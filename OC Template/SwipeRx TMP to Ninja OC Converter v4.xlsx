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490" windowHeight="7620" tabRatio="600" firstSheet="0" activeTab="1" autoFilterDateGrouping="1"/>
  </bookViews>
  <sheets>
    <sheet xmlns:r="http://schemas.openxmlformats.org/officeDocument/2006/relationships" name="Petunjuk" sheetId="1" state="visible" r:id="rId1"/>
    <sheet xmlns:r="http://schemas.openxmlformats.org/officeDocument/2006/relationships" name="Config" sheetId="2" state="visible" r:id="rId2"/>
    <sheet xmlns:r="http://schemas.openxmlformats.org/officeDocument/2006/relationships" name="TMP Paste" sheetId="3" state="visible" r:id="rId3"/>
    <sheet xmlns:r="http://schemas.openxmlformats.org/officeDocument/2006/relationships" name="OC Upload" sheetId="4" state="visible" r:id="rId4"/>
    <sheet xmlns:r="http://schemas.openxmlformats.org/officeDocument/2006/relationships" name="Calc" sheetId="5" state="hidden" r:id="rId5"/>
  </sheets>
  <definedNames/>
  <calcPr calcId="191029" fullCalcOnLoad="1"/>
</workbook>
</file>

<file path=xl/styles.xml><?xml version="1.0" encoding="utf-8"?>
<styleSheet xmlns="http://schemas.openxmlformats.org/spreadsheetml/2006/main">
  <numFmts count="6">
    <numFmt numFmtId="164" formatCode="0.000"/>
    <numFmt numFmtId="165" formatCode="0.0000000000"/>
    <numFmt numFmtId="166" formatCode="0.00000000"/>
    <numFmt numFmtId="167" formatCode="yyyy\-mm\-dd"/>
    <numFmt numFmtId="168" formatCode="_ * #,##0.00_ ;_ * \-#,##0.00_ ;_ * &quot;-&quot;??_ ;_ @_ "/>
    <numFmt numFmtId="169" formatCode="_ * #,##0_ ;_ * \-#,##0_ ;_ * &quot;-&quot;_ ;_ @_ "/>
  </numFmts>
  <fonts count="32">
    <font>
      <name val="Calibri"/>
      <charset val="134"/>
      <color theme="1"/>
      <sz val="11"/>
      <scheme val="minor"/>
    </font>
    <font>
      <name val="Calibri"/>
      <charset val="134"/>
      <b val="1"/>
      <color rgb="FF777777"/>
      <sz val="9"/>
      <scheme val="minor"/>
    </font>
    <font>
      <name val="Calibri"/>
      <charset val="134"/>
      <b val="1"/>
      <color rgb="FFFFFFFF"/>
      <sz val="10"/>
      <scheme val="minor"/>
    </font>
    <font>
      <name val="Calibri"/>
      <charset val="134"/>
      <b val="1"/>
      <sz val="11"/>
      <scheme val="minor"/>
    </font>
    <font>
      <name val="Calibri"/>
      <charset val="134"/>
      <i val="1"/>
      <color rgb="FF999999"/>
      <sz val="9"/>
      <scheme val="minor"/>
    </font>
    <font>
      <name val="Arial"/>
      <charset val="134"/>
      <color theme="1"/>
      <sz val="10"/>
    </font>
    <font>
      <name val="Calibri"/>
      <charset val="134"/>
      <b val="1"/>
      <color rgb="FF1F4E5F"/>
      <sz val="14"/>
      <scheme val="minor"/>
    </font>
    <font>
      <name val="Calibri"/>
      <charset val="134"/>
      <b val="1"/>
      <color rgb="FF1F4E5F"/>
      <sz val="11"/>
      <scheme val="minor"/>
    </font>
    <font>
      <name val="Calibri"/>
      <charset val="134"/>
      <i val="1"/>
      <color rgb="FF555555"/>
      <sz val="11"/>
      <scheme val="minor"/>
    </font>
    <font>
      <name val="Calibri"/>
      <charset val="134"/>
      <sz val="10"/>
      <scheme val="minor"/>
    </font>
    <font>
      <name val="Consolas"/>
      <charset val="134"/>
      <color rgb="FF333333"/>
      <sz val="9"/>
    </font>
    <font>
      <name val="Calibri"/>
      <charset val="134"/>
      <b val="1"/>
      <color rgb="FFB00020"/>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color rgb="00777777"/>
      <sz val="9"/>
    </font>
  </fonts>
  <fills count="38">
    <fill>
      <patternFill/>
    </fill>
    <fill>
      <patternFill patternType="gray125"/>
    </fill>
    <fill>
      <patternFill patternType="solid">
        <fgColor rgb="FF1F4E5F"/>
        <bgColor indexed="64"/>
      </patternFill>
    </fill>
    <fill>
      <patternFill patternType="solid">
        <fgColor rgb="FFF4B183"/>
        <bgColor indexed="64"/>
      </patternFill>
    </fill>
    <fill>
      <patternFill patternType="solid">
        <fgColor rgb="FFFFF3CD"/>
        <bgColor indexed="64"/>
      </patternFill>
    </fill>
    <fill>
      <patternFill patternType="solid">
        <fgColor rgb="FFDCE6EA"/>
        <bgColor indexed="64"/>
      </patternFill>
    </fill>
    <fill>
      <patternFill patternType="solid">
        <fgColor rgb="FFEDED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thin">
        <color rgb="FFFFFFFF"/>
      </right>
      <top/>
      <bottom/>
      <diagonal/>
    </border>
    <border>
      <left style="thin">
        <color rgb="FFBBBBBB"/>
      </left>
      <right style="thin">
        <color rgb="FFBBBBBB"/>
      </right>
      <top style="thin">
        <color rgb="FFBBBBBB"/>
      </top>
      <bottom style="thin">
        <color rgb="FFBBBBB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8" fontId="0" fillId="0" borderId="0" applyAlignment="1">
      <alignment vertical="center"/>
    </xf>
    <xf numFmtId="44" fontId="0" fillId="0" borderId="0" applyAlignment="1">
      <alignment vertical="center"/>
    </xf>
    <xf numFmtId="9" fontId="0" fillId="0" borderId="0" applyAlignment="1">
      <alignment vertical="center"/>
    </xf>
    <xf numFmtId="169" fontId="0" fillId="0" borderId="0" applyAlignment="1">
      <alignment vertical="center"/>
    </xf>
    <xf numFmtId="42" fontId="0" fillId="0" borderId="0" applyAlignment="1">
      <alignment vertical="center"/>
    </xf>
    <xf numFmtId="0" fontId="12" fillId="0" borderId="0" applyAlignment="1">
      <alignment vertical="center"/>
    </xf>
    <xf numFmtId="0" fontId="13" fillId="0" borderId="0" applyAlignment="1">
      <alignment vertical="center"/>
    </xf>
    <xf numFmtId="0" fontId="0" fillId="7" borderId="3"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4" applyAlignment="1">
      <alignment vertical="center"/>
    </xf>
    <xf numFmtId="0" fontId="18" fillId="0" borderId="4" applyAlignment="1">
      <alignment vertical="center"/>
    </xf>
    <xf numFmtId="0" fontId="19" fillId="0" borderId="5" applyAlignment="1">
      <alignment vertical="center"/>
    </xf>
    <xf numFmtId="0" fontId="19" fillId="0" borderId="0" applyAlignment="1">
      <alignment vertical="center"/>
    </xf>
    <xf numFmtId="0" fontId="20" fillId="8" borderId="6" applyAlignment="1">
      <alignment vertical="center"/>
    </xf>
    <xf numFmtId="0" fontId="21" fillId="9" borderId="7" applyAlignment="1">
      <alignment vertical="center"/>
    </xf>
    <xf numFmtId="0" fontId="22" fillId="9" borderId="6" applyAlignment="1">
      <alignment vertical="center"/>
    </xf>
    <xf numFmtId="0" fontId="23" fillId="10" borderId="8" applyAlignment="1">
      <alignment vertical="center"/>
    </xf>
    <xf numFmtId="0" fontId="24" fillId="0" borderId="9" applyAlignment="1">
      <alignment vertical="center"/>
    </xf>
    <xf numFmtId="0" fontId="25" fillId="0" borderId="10" applyAlignment="1">
      <alignment vertical="center"/>
    </xf>
    <xf numFmtId="0" fontId="26" fillId="11" borderId="0" applyAlignment="1">
      <alignment vertical="center"/>
    </xf>
    <xf numFmtId="0" fontId="27" fillId="12" borderId="0" applyAlignment="1">
      <alignment vertical="center"/>
    </xf>
    <xf numFmtId="0" fontId="28" fillId="13" borderId="0" applyAlignment="1">
      <alignment vertical="center"/>
    </xf>
    <xf numFmtId="0" fontId="29" fillId="14" borderId="0" applyAlignment="1">
      <alignment vertical="center"/>
    </xf>
    <xf numFmtId="0" fontId="30" fillId="15" borderId="0" applyAlignment="1">
      <alignment vertical="center"/>
    </xf>
    <xf numFmtId="0" fontId="30" fillId="16" borderId="0" applyAlignment="1">
      <alignment vertical="center"/>
    </xf>
    <xf numFmtId="0" fontId="29" fillId="17" borderId="0" applyAlignment="1">
      <alignment vertical="center"/>
    </xf>
    <xf numFmtId="0" fontId="29" fillId="18" borderId="0" applyAlignment="1">
      <alignment vertical="center"/>
    </xf>
    <xf numFmtId="0" fontId="30" fillId="19" borderId="0" applyAlignment="1">
      <alignment vertical="center"/>
    </xf>
    <xf numFmtId="0" fontId="30" fillId="20" borderId="0" applyAlignment="1">
      <alignment vertical="center"/>
    </xf>
    <xf numFmtId="0" fontId="29" fillId="21" borderId="0" applyAlignment="1">
      <alignment vertical="center"/>
    </xf>
    <xf numFmtId="0" fontId="29" fillId="22" borderId="0" applyAlignment="1">
      <alignment vertical="center"/>
    </xf>
    <xf numFmtId="0" fontId="30" fillId="23" borderId="0" applyAlignment="1">
      <alignment vertical="center"/>
    </xf>
    <xf numFmtId="0" fontId="30" fillId="24" borderId="0" applyAlignment="1">
      <alignment vertical="center"/>
    </xf>
    <xf numFmtId="0" fontId="29" fillId="25" borderId="0" applyAlignment="1">
      <alignment vertical="center"/>
    </xf>
    <xf numFmtId="0" fontId="29" fillId="26" borderId="0" applyAlignment="1">
      <alignment vertical="center"/>
    </xf>
    <xf numFmtId="0" fontId="30" fillId="27" borderId="0" applyAlignment="1">
      <alignment vertical="center"/>
    </xf>
    <xf numFmtId="0" fontId="30" fillId="28" borderId="0" applyAlignment="1">
      <alignment vertical="center"/>
    </xf>
    <xf numFmtId="0" fontId="29" fillId="29" borderId="0" applyAlignment="1">
      <alignment vertical="center"/>
    </xf>
    <xf numFmtId="0" fontId="29" fillId="30" borderId="0" applyAlignment="1">
      <alignment vertical="center"/>
    </xf>
    <xf numFmtId="0" fontId="30" fillId="31" borderId="0" applyAlignment="1">
      <alignment vertical="center"/>
    </xf>
    <xf numFmtId="0" fontId="30" fillId="32" borderId="0" applyAlignment="1">
      <alignment vertical="center"/>
    </xf>
    <xf numFmtId="0" fontId="29" fillId="33" borderId="0" applyAlignment="1">
      <alignment vertical="center"/>
    </xf>
    <xf numFmtId="0" fontId="29" fillId="34" borderId="0" applyAlignment="1">
      <alignment vertical="center"/>
    </xf>
    <xf numFmtId="0" fontId="30" fillId="35" borderId="0" applyAlignment="1">
      <alignment vertical="center"/>
    </xf>
    <xf numFmtId="0" fontId="30" fillId="36" borderId="0" applyAlignment="1">
      <alignment vertical="center"/>
    </xf>
    <xf numFmtId="0" fontId="29" fillId="37" borderId="0" applyAlignment="1">
      <alignment vertical="center"/>
    </xf>
  </cellStyleXfs>
  <cellXfs count="4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0" fontId="0" fillId="0" borderId="0" applyAlignment="1" pivotButton="0" quotePrefix="0" xfId="0">
      <alignment wrapText="1"/>
    </xf>
    <xf numFmtId="0" fontId="4" fillId="0" borderId="0" pivotButton="0" quotePrefix="0" xfId="0"/>
    <xf numFmtId="0" fontId="5" fillId="0" borderId="0" applyAlignment="1" pivotButton="0" quotePrefix="0" xfId="0">
      <alignment horizontal="left"/>
    </xf>
    <xf numFmtId="0" fontId="5" fillId="0" borderId="1" applyAlignment="1" pivotButton="0" quotePrefix="0" xfId="0">
      <alignment horizontal="left"/>
    </xf>
    <xf numFmtId="164" fontId="5" fillId="0" borderId="1" applyAlignment="1" pivotButton="0" quotePrefix="0" xfId="0">
      <alignment horizontal="center"/>
    </xf>
    <xf numFmtId="165" fontId="5" fillId="0" borderId="1" applyAlignment="1" pivotButton="0" quotePrefix="0" xfId="0">
      <alignment horizontal="center"/>
    </xf>
    <xf numFmtId="0" fontId="5" fillId="0" borderId="1" applyAlignment="1" pivotButton="0" quotePrefix="0" xfId="0">
      <alignment horizontal="center"/>
    </xf>
    <xf numFmtId="166" fontId="5" fillId="0" borderId="1" pivotButton="0" quotePrefix="0" xfId="0"/>
    <xf numFmtId="0" fontId="5" fillId="0" borderId="1" applyAlignment="1" pivotButton="0" quotePrefix="0" xfId="0">
      <alignment horizontal="right"/>
    </xf>
    <xf numFmtId="165" fontId="5" fillId="0" borderId="1" applyAlignment="1" pivotButton="0" quotePrefix="0" xfId="0">
      <alignment horizontal="left"/>
    </xf>
    <xf numFmtId="1" fontId="5" fillId="0" borderId="1" pivotButton="0" quotePrefix="0" xfId="0"/>
    <xf numFmtId="0" fontId="5" fillId="0" borderId="0" pivotButton="0" quotePrefix="0" xfId="0"/>
    <xf numFmtId="0" fontId="5" fillId="0" borderId="0" applyAlignment="1" pivotButton="0" quotePrefix="0" xfId="0">
      <alignment horizontal="right"/>
    </xf>
    <xf numFmtId="1" fontId="5" fillId="0" borderId="0" applyAlignment="1" pivotButton="0" quotePrefix="0" xfId="0">
      <alignment horizontal="right"/>
    </xf>
    <xf numFmtId="11" fontId="5" fillId="0" borderId="0" pivotButton="0" quotePrefix="0" xfId="0"/>
    <xf numFmtId="164" fontId="5" fillId="0" borderId="0" applyAlignment="1" pivotButton="0" quotePrefix="0" xfId="0">
      <alignment horizontal="center"/>
    </xf>
    <xf numFmtId="165" fontId="5" fillId="0" borderId="0" applyAlignment="1" pivotButton="0" quotePrefix="0" xfId="0">
      <alignment horizontal="left"/>
    </xf>
    <xf numFmtId="49" fontId="5" fillId="0" borderId="1" applyAlignment="1" pivotButton="0" quotePrefix="0" xfId="0">
      <alignment horizontal="left"/>
    </xf>
    <xf numFmtId="0" fontId="6" fillId="0" borderId="0" pivotButton="0" quotePrefix="0" xfId="0"/>
    <xf numFmtId="0" fontId="3" fillId="0" borderId="0" pivotButton="0" quotePrefix="0" xfId="0"/>
    <xf numFmtId="0" fontId="0" fillId="4" borderId="2" pivotButton="0" quotePrefix="0" xfId="0"/>
    <xf numFmtId="167" fontId="0" fillId="4" borderId="2" pivotButton="0" quotePrefix="0" xfId="0"/>
    <xf numFmtId="0" fontId="7" fillId="0" borderId="0" pivotButton="0" quotePrefix="0" xfId="0"/>
    <xf numFmtId="0" fontId="3" fillId="5" borderId="2" pivotButton="0" quotePrefix="0" xfId="0"/>
    <xf numFmtId="0" fontId="0" fillId="0" borderId="2" pivotButton="0" quotePrefix="0" xfId="0"/>
    <xf numFmtId="0" fontId="0" fillId="6" borderId="2" pivotButton="0" quotePrefix="0" xfId="0"/>
    <xf numFmtId="0" fontId="0" fillId="6" borderId="2"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9" fillId="0" borderId="0" pivotButton="0" quotePrefix="1" xfId="0"/>
    <xf numFmtId="167" fontId="0" fillId="4" borderId="2" pivotButton="0" quotePrefix="0" xfId="0"/>
    <xf numFmtId="164" fontId="5" fillId="0" borderId="1" applyAlignment="1" pivotButton="0" quotePrefix="0" xfId="0">
      <alignment horizontal="center"/>
    </xf>
    <xf numFmtId="165" fontId="5" fillId="0" borderId="1" applyAlignment="1" pivotButton="0" quotePrefix="0" xfId="0">
      <alignment horizontal="center"/>
    </xf>
    <xf numFmtId="166" fontId="5" fillId="0" borderId="1" pivotButton="0" quotePrefix="0" xfId="0"/>
    <xf numFmtId="165" fontId="5" fillId="0" borderId="1" applyAlignment="1" pivotButton="0" quotePrefix="0" xfId="0">
      <alignment horizontal="left"/>
    </xf>
    <xf numFmtId="164" fontId="5" fillId="0" borderId="0" applyAlignment="1" pivotButton="0" quotePrefix="0" xfId="0">
      <alignment horizontal="center"/>
    </xf>
    <xf numFmtId="165" fontId="5" fillId="0" borderId="0" applyAlignment="1" pivotButton="0" quotePrefix="0" xfId="0">
      <alignment horizontal="left"/>
    </xf>
    <xf numFmtId="0" fontId="31"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B39"/>
  <sheetViews>
    <sheetView showGridLines="0" topLeftCell="A9" workbookViewId="0">
      <selection activeCell="B21" sqref="B21"/>
    </sheetView>
  </sheetViews>
  <sheetFormatPr baseColWidth="8" defaultColWidth="9" defaultRowHeight="15"/>
  <cols>
    <col width="3" customWidth="1" min="1" max="1"/>
    <col width="114" customWidth="1" min="2" max="2"/>
  </cols>
  <sheetData>
    <row r="1" ht="18.75" customHeight="1">
      <c r="B1" s="22" t="inlineStr">
        <is>
          <t>Konverter TMP SwipeRx  -&gt;  Upload OC Ninja Van</t>
        </is>
      </c>
    </row>
    <row r="2">
      <c r="B2" s="31" t="inlineStr">
        <is>
          <t>Tanpa makro. Cukup tempel data TMP dan pilih layanan â€” kolom otomatis terisi rumus.</t>
        </is>
      </c>
    </row>
    <row r="3">
      <c r="B3" s="32" t="inlineStr"/>
    </row>
    <row r="4">
      <c r="B4" s="26" t="inlineStr">
        <is>
          <t>CARA PAKAI</t>
        </is>
      </c>
    </row>
    <row r="5">
      <c r="B5" s="32" t="inlineStr">
        <is>
          <t>1.  Buka file TMP dari SwipeRx (file '[Template Swipe ...] TMP Batch'). Pilih SELURUH Sheet1 (Ctrl+A), Copy.</t>
        </is>
      </c>
    </row>
    <row r="6">
      <c r="B6" s="32" t="inlineStr">
        <is>
          <t>2.  Ke sheet 'TMP Paste', tempel di sel A1 (Paste Values boleh). Data mulai baris 2 (1 baris judul).</t>
        </is>
      </c>
    </row>
    <row r="7">
      <c r="B7" s="32" t="inlineStr">
        <is>
          <t>3.  Ke sheet  'Config' (sel kuning): pilih Layanan (S1/S2/S3), atur tanggal kirim dan gudang asal.</t>
        </is>
      </c>
    </row>
    <row r="8">
      <c r="B8" s="32" t="inlineStr">
        <is>
          <t>4.  Buka sheet  'OC Upload'. Baris terisi otomatis. Salin kolom A sampai AE + semua baris terisi, tempel ke sistem Ninja Van.</t>
        </is>
      </c>
    </row>
    <row r="9">
      <c r="B9" s="32" t="inlineStr">
        <is>
          <t xml:space="preserve">     (Kolom setelah AE hanya bantuan/CEK â€” JANGAN ikut di-upload.)</t>
        </is>
      </c>
    </row>
    <row r="10">
      <c r="B10" s="32" t="inlineStr"/>
    </row>
    <row r="11">
      <c r="B11" s="26" t="inlineStr">
        <is>
          <t>STRUKTUR OUTPUT (acuan: template tech team 'Bulk_Upload_MPS_RDO')</t>
        </is>
      </c>
    </row>
    <row r="12">
      <c r="B12" s="35" t="inlineStr">
        <is>
          <t>•  SATU BARIS = SATU SwipeAWB (satu MPS order). Bukan satu baris per PO.</t>
        </is>
      </c>
    </row>
    <row r="13">
      <c r="B13" s="35" t="inlineStr">
        <is>
          <t>•  A requested_tracking_number = SwipeAWB (MPS Tracking ID) = D merchant_order_number. 1 WP = 1 MPS TRID = 1 SwipeAWB.</t>
        </is>
      </c>
    </row>
    <row r="14">
      <c r="B14" s="35" t="inlineStr">
        <is>
          <t>•  AC = seluruh TRID anak milik MPS tsb, prefix Nomor PO, nomor urut BERJALAN lintas AWB, dipisah ', '. Contoh AWB dgn 3 PO (PO1 = 2 koli):</t>
        </is>
      </c>
    </row>
    <row r="15">
      <c r="B15" s="33" t="inlineStr">
        <is>
          <t xml:space="preserve">        260630054137433DSXWMpd-01, 260630054137433DSXWMpd-02, 26070102001839ezpAD07IG-03, 26070102001839MzOIv6dbd-04</t>
        </is>
      </c>
    </row>
    <row r="16">
      <c r="B16" s="35" t="inlineStr">
        <is>
          <t>•  AB = total koli seluruh AWB (jumlah semua koli PO).  Y = daftar PO + total koli (cross-check kurir di lokasi).</t>
        </is>
      </c>
    </row>
    <row r="17">
      <c r="B17" s="35" t="inlineStr">
        <is>
          <t>•  W = berat total per AWB (TMP kolom D), karena 1 baris = 1 AWB.</t>
        </is>
      </c>
    </row>
    <row r="18">
      <c r="B18" s="35" t="inlineStr">
        <is>
          <t>•  B = shipper master 11398423; Layanan menentukan E (STANDARD/SAMEDAY) dan AE (branch 1/2/3).</t>
        </is>
      </c>
    </row>
    <row r="19">
      <c r="B19" s="32" t="inlineStr"/>
    </row>
    <row r="20">
      <c r="B20" s="34" t="inlineStr">
        <is>
          <t>STRUKTUR TMP YANG DIKUNCI (acuan: 'TMP Batch Ninja Depok (Order) 28-07-26')</t>
        </is>
      </c>
    </row>
    <row r="21">
      <c r="B21" s="32" t="inlineStr">
        <is>
          <t>A Pharmacy Name | B SwipeAWB | C Total Weight per AWB | D Total Volume | E PO Number | F Pharmacy's Id</t>
        </is>
      </c>
    </row>
    <row r="22">
      <c r="B22" s="32" t="inlineStr">
        <is>
          <t>G Note's | H Picking Priority | I Pharmacy's Id - Address | J Zip Code | K City | L Phone | M Koli</t>
        </is>
      </c>
    </row>
    <row r="23">
      <c r="B23" t="inlineStr">
        <is>
          <t>Baris PO lanjutan hanya berisi E..M (A/B/C kosong). Jika SwipeRx mengubah urutan kolom lagi, rumus harus disesuaikan.</t>
        </is>
      </c>
    </row>
    <row r="24"/>
    <row r="25"/>
    <row r="26"/>
    <row r="27"/>
    <row r="28"/>
    <row r="29"/>
    <row r="30"/>
    <row r="31"/>
    <row r="32"/>
    <row r="33"/>
    <row r="34"/>
    <row r="35"/>
    <row r="36"/>
    <row r="37"/>
    <row r="38"/>
    <row r="39"/>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0" tabSelected="1" topLeftCell="B1" workbookViewId="0">
      <selection activeCell="D16" sqref="D16"/>
    </sheetView>
  </sheetViews>
  <sheetFormatPr baseColWidth="8" defaultColWidth="9" defaultRowHeight="15"/>
  <cols>
    <col width="32" customWidth="1" min="1" max="1"/>
    <col width="66" customWidth="1" min="2" max="2"/>
    <col width="3" customWidth="1" min="3" max="3"/>
    <col width="26" customWidth="1" min="4" max="4"/>
    <col width="48" customWidth="1" min="5" max="5"/>
    <col width="28" customWidth="1" min="6" max="7"/>
  </cols>
  <sheetData>
    <row r="1" ht="18.75" customHeight="1">
      <c r="A1" s="22" t="inlineStr">
        <is>
          <t>CONFIG â€” atur sebelum baca OC Upload</t>
        </is>
      </c>
    </row>
    <row r="3">
      <c r="A3" s="23" t="inlineStr">
        <is>
          <t>Layanan (pilih)</t>
        </is>
      </c>
      <c r="B3" s="24" t="inlineStr">
        <is>
          <t>S1 - Regular (STANDARD)</t>
        </is>
      </c>
      <c r="D3" s="23" t="inlineStr">
        <is>
          <t>Layanan</t>
        </is>
      </c>
      <c r="E3" s="23" t="inlineStr">
        <is>
          <t>service_level</t>
        </is>
      </c>
      <c r="F3" s="23" t="inlineStr">
        <is>
          <t>branch</t>
        </is>
      </c>
      <c r="G3" s="23" t="inlineStr">
        <is>
          <t>pickup</t>
        </is>
      </c>
    </row>
    <row r="4">
      <c r="A4" s="23" t="inlineStr">
        <is>
          <t>Tanggal kirim</t>
        </is>
      </c>
      <c r="B4" s="36">
        <f>TODAY()</f>
        <v/>
      </c>
      <c r="D4" t="inlineStr">
        <is>
          <t>S1 - Regular (STANDARD)</t>
        </is>
      </c>
      <c r="E4" t="inlineStr">
        <is>
          <t>STANDARD</t>
        </is>
      </c>
      <c r="F4" t="n">
        <v>1</v>
      </c>
      <c r="G4" t="inlineStr">
        <is>
          <t>FALSE</t>
        </is>
      </c>
    </row>
    <row r="5">
      <c r="D5" t="inlineStr">
        <is>
          <t>S2 - Sameday (SAMEDAY)</t>
        </is>
      </c>
      <c r="E5" t="inlineStr">
        <is>
          <t>SAMEDAY</t>
        </is>
      </c>
      <c r="F5" t="n">
        <v>3</v>
      </c>
      <c r="G5" t="inlineStr">
        <is>
          <t>FALSE</t>
        </is>
      </c>
    </row>
    <row r="6">
      <c r="D6" t="inlineStr">
        <is>
          <t>S3 - POD Return</t>
        </is>
      </c>
      <c r="E6" t="inlineStr">
        <is>
          <t>STANDARD</t>
        </is>
      </c>
      <c r="F6" t="n">
        <v>2</v>
      </c>
      <c r="G6" t="inlineStr">
        <is>
          <t>TRUE</t>
        </is>
      </c>
    </row>
    <row r="8">
      <c r="A8" s="26" t="inlineStr">
        <is>
          <t>GUDANG ASAL (from.*)</t>
        </is>
      </c>
      <c r="D8" s="26" t="inlineStr">
        <is>
          <t>REFERENSI SHIPPER ID (info — B selalu master 11398423)</t>
        </is>
      </c>
    </row>
    <row r="9">
      <c r="A9" s="23" t="inlineStr">
        <is>
          <t>from.name (F)</t>
        </is>
      </c>
      <c r="B9" s="24" t="inlineStr">
        <is>
          <t>PT Teknologi Medika Pratama (SwipeRx) (B2BR)</t>
        </is>
      </c>
      <c r="D9" s="27" t="inlineStr">
        <is>
          <t>Shipper ID</t>
        </is>
      </c>
      <c r="E9" s="27" t="inlineStr">
        <is>
          <t>Shipper Name</t>
        </is>
      </c>
      <c r="F9" s="27" t="inlineStr">
        <is>
          <t>Layanan / Branch</t>
        </is>
      </c>
    </row>
    <row r="10">
      <c r="A10" s="23" t="inlineStr">
        <is>
          <t>from.phone_number (G)</t>
        </is>
      </c>
      <c r="B10" s="24" t="inlineStr">
        <is>
          <t>087733785699</t>
        </is>
      </c>
      <c r="D10" s="28" t="n">
        <v>11398423</v>
      </c>
      <c r="E10" s="28" t="inlineStr">
        <is>
          <t>PT Teknologi Medika Pratama (B2BR)</t>
        </is>
      </c>
      <c r="F10" s="28" t="inlineStr">
        <is>
          <t>MASTER — selalu di kolom B</t>
        </is>
      </c>
    </row>
    <row r="11">
      <c r="A11" s="23" t="inlineStr">
        <is>
          <t>from.address.address1 (H)</t>
        </is>
      </c>
      <c r="B11" s="24" t="inlineStr">
        <is>
          <t>Jl. Tugu Raya, Tugu, Kec. Cimanggis, Kota Depok, Jawa Barat 16451,KUBIK LOGISTICS - Kompleks Pergudangan,Gudang E1</t>
        </is>
      </c>
      <c r="D11" s="28" t="n">
        <v>11398224</v>
      </c>
      <c r="E11" s="28" t="inlineStr">
        <is>
          <t>PT Teknologi Medika Pratama HW (B2BR)</t>
        </is>
      </c>
      <c r="F11" s="28" t="inlineStr">
        <is>
          <t>S1 Regular — branch 1</t>
        </is>
      </c>
    </row>
    <row r="12">
      <c r="D12" s="28" t="n">
        <v>11549046</v>
      </c>
      <c r="E12" s="28" t="inlineStr">
        <is>
          <t>PT Teknologi Medika Pratama Sameday CTM (B2BR)</t>
        </is>
      </c>
      <c r="F12" s="28" t="inlineStr">
        <is>
          <t>S2 Sameday — branch 3</t>
        </is>
      </c>
    </row>
    <row r="13">
      <c r="A13" s="26" t="inlineStr">
        <is>
          <t>KONSTANTA TERKUNCI (jangan diubah)</t>
        </is>
      </c>
      <c r="D13" s="28" t="n">
        <v>11398434</v>
      </c>
      <c r="E13" s="28" t="inlineStr">
        <is>
          <t>PT Teknologi Medika Pratama HW - RTS Account (B2BR)</t>
        </is>
      </c>
      <c r="F13" s="28" t="inlineStr">
        <is>
          <t>S3 Return/POD — branch 2</t>
        </is>
      </c>
    </row>
    <row r="14">
      <c r="A14" s="23" t="inlineStr">
        <is>
          <t>global_shipper_id (B) master</t>
        </is>
      </c>
      <c r="B14" s="29" t="n">
        <v>11398423</v>
      </c>
    </row>
    <row r="15">
      <c r="A15" s="23" t="inlineStr">
        <is>
          <t>service_type (C)</t>
        </is>
      </c>
      <c r="B15" s="29" t="inlineStr">
        <is>
          <t>Corporate B2B Bundle</t>
        </is>
      </c>
    </row>
    <row r="16">
      <c r="A16" s="23" t="inlineStr">
        <is>
          <t>country (I / M)</t>
        </is>
      </c>
      <c r="B16" s="29" t="inlineStr">
        <is>
          <t>ID</t>
        </is>
      </c>
    </row>
    <row r="17">
      <c r="A17" s="23" t="inlineStr">
        <is>
          <t>timeslot mulai (T)</t>
        </is>
      </c>
      <c r="B17" s="29" t="inlineStr">
        <is>
          <t>09:00</t>
        </is>
      </c>
    </row>
    <row r="18">
      <c r="A18" s="23" t="inlineStr">
        <is>
          <t>timeslot selesai (U)</t>
        </is>
      </c>
      <c r="B18" s="29" t="inlineStr">
        <is>
          <t>22:00</t>
        </is>
      </c>
    </row>
    <row r="19">
      <c r="A19" s="23" t="inlineStr">
        <is>
          <t>timezone (V)</t>
        </is>
      </c>
      <c r="B19" s="29" t="inlineStr">
        <is>
          <t>Asia/Jakarta</t>
        </is>
      </c>
    </row>
    <row r="20">
      <c r="A20" s="23" t="inlineStr">
        <is>
          <t>(cadangan)</t>
        </is>
      </c>
      <c r="B20" s="29" t="inlineStr"/>
    </row>
    <row r="21">
      <c r="A21" s="23" t="inlineStr">
        <is>
          <t>is_dangerous_good (Z)</t>
        </is>
      </c>
      <c r="B21" s="29" t="inlineStr">
        <is>
          <t>FALSE</t>
        </is>
      </c>
    </row>
    <row r="22">
      <c r="A22" s="23" t="inlineStr">
        <is>
          <t>documents_required (AA)</t>
        </is>
      </c>
      <c r="B22" s="29" t="inlineStr">
        <is>
          <t>RDO</t>
        </is>
      </c>
    </row>
    <row r="23">
      <c r="A23" s="23" t="inlineStr">
        <is>
          <t>insured_value (AD)</t>
        </is>
      </c>
      <c r="B23" s="29" t="n">
        <v>0</v>
      </c>
    </row>
    <row r="24" ht="60" customHeight="1">
      <c r="A24" s="23" t="inlineStr">
        <is>
          <t>Teks instruksi RDO (R)</t>
        </is>
      </c>
      <c r="B24" s="30" t="inlineStr">
        <is>
          <t>Delivery Note wajib ada nama penerima, ditandatangani dan distempel penerima. Jika di label tertera "SP Manual", maka dokumen SP Manual harus diminta ke penerima sesuai dengan jumlah PO yang butuh SP Manual. Apabila ada retur, catat di Delivery Note dan update ke IC</t>
        </is>
      </c>
    </row>
    <row r="27">
      <c r="A27" s="23" t="inlineStr">
        <is>
          <t>service_level (E)</t>
        </is>
      </c>
      <c r="B27">
        <f>VLOOKUP($B$3,$D$4:$G$6,2,FALSE)</f>
        <v/>
      </c>
    </row>
    <row r="28">
      <c r="A28" s="23" t="inlineStr">
        <is>
          <t>branch_id (AE)</t>
        </is>
      </c>
      <c r="B28">
        <f>VLOOKUP($B$3,$D$4:$G$6,3,FALSE)</f>
        <v/>
      </c>
    </row>
    <row r="29">
      <c r="A29" s="23" t="inlineStr">
        <is>
          <t>is_pickup_required (X)</t>
        </is>
      </c>
      <c r="B29">
        <f>VLOOKUP($B$3,$D$4:$G$6,4,FALSE)</f>
        <v/>
      </c>
    </row>
  </sheetData>
  <dataValidations count="1">
    <dataValidation sqref="B3" showDropDown="0" showInputMessage="0" showErrorMessage="0" allowBlank="0" type="list">
      <formula1>$D$4:$D$6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11"/>
  <sheetViews>
    <sheetView topLeftCell="W1" workbookViewId="0">
      <pane ySplit="1" topLeftCell="A2" activePane="bottomLeft" state="frozen"/>
      <selection pane="bottomLeft" activeCell="A1" sqref="A1"/>
      <selection pane="bottomLeft" activeCell="AD6" sqref="AD6"/>
    </sheetView>
  </sheetViews>
  <sheetFormatPr baseColWidth="8" defaultColWidth="9" defaultRowHeight="15"/>
  <cols>
    <col width="26" customWidth="1" min="1" max="9"/>
    <col width="14" customWidth="1" min="2" max="2"/>
    <col width="12" customWidth="1" min="3" max="3"/>
    <col width="12" customWidth="1" min="4" max="4"/>
    <col width="26" customWidth="1" min="5" max="5"/>
    <col width="12" customWidth="1" min="6" max="6"/>
    <col width="24" customWidth="1" min="7" max="7"/>
    <col width="12" customWidth="1" min="8" max="8"/>
    <col width="46" customWidth="1" min="9" max="9"/>
    <col width="10" customWidth="1" min="10" max="10"/>
    <col width="18" customWidth="1" min="11" max="14"/>
    <col width="16" customWidth="1" min="12" max="12"/>
    <col width="8" customWidth="1" min="13" max="13"/>
  </cols>
  <sheetData>
    <row r="1">
      <c r="A1" s="5" t="inlineStr">
        <is>
          <t>Pharmacy Name</t>
        </is>
      </c>
      <c r="B1" s="5" t="inlineStr">
        <is>
          <t>SwipeAWB</t>
        </is>
      </c>
      <c r="C1" s="5" t="inlineStr">
        <is>
          <t>Total Weight per AWB (kg)</t>
        </is>
      </c>
      <c r="D1" s="5" t="inlineStr">
        <is>
          <t>Total Volume per AWB (m3)</t>
        </is>
      </c>
      <c r="E1" s="5" t="inlineStr">
        <is>
          <t>PO Number</t>
        </is>
      </c>
      <c r="F1" s="5" t="inlineStr">
        <is>
          <t>Pharmacy's Id</t>
        </is>
      </c>
      <c r="G1" s="5" t="inlineStr">
        <is>
          <t>Note's</t>
        </is>
      </c>
      <c r="H1" s="5" t="inlineStr">
        <is>
          <t>Picking Priority</t>
        </is>
      </c>
      <c r="I1" s="5" t="inlineStr">
        <is>
          <t>Pharmacy's Id - Address</t>
        </is>
      </c>
      <c r="J1" s="5" t="inlineStr">
        <is>
          <t>Zip Code</t>
        </is>
      </c>
      <c r="K1" s="5" t="inlineStr">
        <is>
          <t>City</t>
        </is>
      </c>
      <c r="L1" s="5" t="inlineStr">
        <is>
          <t>Phone</t>
        </is>
      </c>
      <c r="M1" s="5" t="inlineStr">
        <is>
          <t>Koli</t>
        </is>
      </c>
      <c r="N1" s="5" t="n"/>
      <c r="O1" s="5" t="n"/>
      <c r="P1" s="5" t="n"/>
      <c r="Q1" s="5" t="n"/>
      <c r="R1" s="5" t="n"/>
      <c r="S1" s="5" t="n"/>
      <c r="T1" s="5" t="n"/>
      <c r="U1" s="5" t="n"/>
      <c r="W1" s="5" t="n"/>
    </row>
    <row r="2">
      <c r="A2" s="6" t="inlineStr">
        <is>
          <t>Apotek Afia</t>
        </is>
      </c>
      <c r="B2" s="7" t="inlineStr">
        <is>
          <t>AWB02WJVH</t>
        </is>
      </c>
      <c r="C2" s="7" t="n">
        <v>0.3</v>
      </c>
      <c r="D2" s="37" t="n">
        <v>0.001423</v>
      </c>
      <c r="E2" s="38" t="inlineStr">
        <is>
          <t>26072713473538DTjozNXFa</t>
        </is>
      </c>
      <c r="F2" s="7" t="n">
        <v>3062</v>
      </c>
      <c r="G2" s="10" t="inlineStr">
        <is>
          <t>26072713473538DTjozNXFa</t>
        </is>
      </c>
      <c r="H2" s="39" t="inlineStr">
        <is>
          <t>P4N</t>
        </is>
      </c>
      <c r="I2" s="12" t="inlineStr">
        <is>
          <t>3062-Jalan MI Ridwan Rais No.3 RT 002 RW 006 Kelurahan Beji Timur Kecamatan Beji Kota Depok 16422</t>
        </is>
      </c>
      <c r="J2" s="37" t="n">
        <v>16422</v>
      </c>
      <c r="K2" s="40" t="inlineStr">
        <is>
          <t>Kota Depok</t>
        </is>
      </c>
      <c r="L2" s="7" t="n">
        <v>895808010200</v>
      </c>
      <c r="M2" s="14" t="n">
        <v>1</v>
      </c>
      <c r="N2" s="6" t="n"/>
      <c r="O2" s="15" t="n"/>
      <c r="P2" s="15" t="n"/>
      <c r="Q2" s="16" t="n"/>
      <c r="R2" s="15" t="n"/>
      <c r="S2" s="17" t="n"/>
      <c r="T2" s="15" t="n"/>
      <c r="U2" s="15" t="n"/>
      <c r="V2" s="15" t="n"/>
      <c r="W2" s="15" t="n"/>
    </row>
    <row r="3">
      <c r="A3" s="6" t="inlineStr">
        <is>
          <t>Apotek Alam Sehat Farma</t>
        </is>
      </c>
      <c r="B3" s="7" t="inlineStr">
        <is>
          <t>AWB02WJ90</t>
        </is>
      </c>
      <c r="C3" s="7" t="n">
        <v>1.2</v>
      </c>
      <c r="D3" s="37" t="n">
        <v>0.002902</v>
      </c>
      <c r="E3" s="38" t="inlineStr">
        <is>
          <t>26072707484936JExQscwbq</t>
        </is>
      </c>
      <c r="F3" s="7" t="n">
        <v>836</v>
      </c>
      <c r="G3" s="10" t="inlineStr">
        <is>
          <t>26072707484936JExQscwbq</t>
        </is>
      </c>
      <c r="H3" s="39" t="inlineStr">
        <is>
          <t>P4N</t>
        </is>
      </c>
      <c r="I3" s="12" t="inlineStr">
        <is>
          <t>836-Jalan Anggrek Raya No. 27-28 RT 002/004 Kelurahan Depok Jaya Kecamatan Pancoran Mas 16432</t>
        </is>
      </c>
      <c r="J3" s="37" t="n">
        <v>16432</v>
      </c>
      <c r="K3" s="40" t="inlineStr">
        <is>
          <t>Kota Depok</t>
        </is>
      </c>
      <c r="L3" s="7" t="inlineStr">
        <is>
          <t>81382701345</t>
        </is>
      </c>
      <c r="M3" s="14" t="n">
        <v>1</v>
      </c>
      <c r="N3" s="6" t="n"/>
      <c r="O3" s="15" t="n"/>
      <c r="P3" s="15" t="n"/>
      <c r="Q3" s="16" t="n"/>
      <c r="R3" s="15" t="n"/>
      <c r="S3" s="17" t="n"/>
      <c r="T3" s="15" t="n"/>
      <c r="U3" s="15" t="n"/>
      <c r="V3" s="15" t="n"/>
      <c r="W3" s="15" t="n"/>
    </row>
    <row r="4">
      <c r="A4" s="6" t="inlineStr">
        <is>
          <t>Apotek Ben Waras 19</t>
        </is>
      </c>
      <c r="B4" s="7" t="inlineStr">
        <is>
          <t>AWB02WL4S</t>
        </is>
      </c>
      <c r="C4" s="7" t="n">
        <v>0.46</v>
      </c>
      <c r="D4" s="37" t="n">
        <v>0.001794</v>
      </c>
      <c r="E4" s="38" t="inlineStr">
        <is>
          <t>26072802143715UaH54d1OD</t>
        </is>
      </c>
      <c r="F4" s="7" t="n">
        <v>903</v>
      </c>
      <c r="G4" s="10" t="inlineStr">
        <is>
          <t>26072802143715UaH54d1OD</t>
        </is>
      </c>
      <c r="H4" s="39" t="inlineStr">
        <is>
          <t>P4N</t>
        </is>
      </c>
      <c r="I4" s="12" t="inlineStr">
        <is>
          <t>903-Jalan Karya Ruko Tugu Bedahan No. 10 RT.001 RW.16 Kelurahan Bedahan, Kecamatan Sawangan, Kota Depok, Jawa Barat 16519</t>
        </is>
      </c>
      <c r="J4" s="37" t="n">
        <v>16519</v>
      </c>
      <c r="K4" s="40" t="inlineStr">
        <is>
          <t>Kota Depok</t>
        </is>
      </c>
      <c r="L4" s="7" t="inlineStr">
        <is>
          <t>6289510341165</t>
        </is>
      </c>
      <c r="M4" s="14" t="n">
        <v>1</v>
      </c>
      <c r="N4" s="6" t="n"/>
      <c r="O4" s="15" t="n"/>
      <c r="P4" s="15" t="n"/>
      <c r="Q4" s="16" t="n"/>
      <c r="R4" s="15" t="n"/>
      <c r="S4" s="17" t="n"/>
      <c r="T4" s="15" t="n"/>
      <c r="U4" s="15" t="n"/>
      <c r="V4" s="15" t="n"/>
      <c r="W4" s="15" t="n"/>
    </row>
    <row r="5">
      <c r="A5" s="6" t="inlineStr">
        <is>
          <t>Apotek Berkah 9</t>
        </is>
      </c>
      <c r="B5" s="7" t="inlineStr">
        <is>
          <t>AWB02WKTT</t>
        </is>
      </c>
      <c r="C5" s="7" t="n">
        <v>3.04</v>
      </c>
      <c r="D5" s="37" t="n">
        <v>0.009864</v>
      </c>
      <c r="E5" s="38" t="inlineStr">
        <is>
          <t>26072801412330Cygue4Ku6</t>
        </is>
      </c>
      <c r="F5" s="7" t="n">
        <v>3479</v>
      </c>
      <c r="G5" s="10" t="inlineStr">
        <is>
          <t>26072801412330Cygue4Ku6-26072802554064GKk0wdiYh-26072802554064ljldqS88pC</t>
        </is>
      </c>
      <c r="H5" s="39" t="inlineStr">
        <is>
          <t>P4N</t>
        </is>
      </c>
      <c r="I5" s="12" t="inlineStr">
        <is>
          <t>3479-Jalan Raya Pasir Putih Ruko Cahaya Garuda No. 6 RT 005 RW 009 Sawangan Permai Kelurahan Pasir Putih Kecamatan Sawangan Kota Depok 16519</t>
        </is>
      </c>
      <c r="J5" s="37" t="n">
        <v>16519</v>
      </c>
      <c r="K5" s="40" t="inlineStr">
        <is>
          <t>Kota Depok</t>
        </is>
      </c>
      <c r="L5" s="7" t="inlineStr">
        <is>
          <t>8979743443</t>
        </is>
      </c>
      <c r="M5" s="14" t="n">
        <v>1</v>
      </c>
      <c r="N5" s="6" t="n"/>
      <c r="O5" s="15" t="n"/>
      <c r="P5" s="15" t="n"/>
      <c r="Q5" s="16" t="n"/>
      <c r="R5" s="15" t="n"/>
      <c r="S5" s="17" t="n"/>
      <c r="T5" s="15" t="n"/>
      <c r="U5" s="15" t="n"/>
      <c r="V5" s="15" t="n"/>
      <c r="W5" s="15" t="n"/>
    </row>
    <row r="6">
      <c r="A6" s="6" t="n"/>
      <c r="B6" s="7" t="n"/>
      <c r="C6" s="7" t="n"/>
      <c r="D6" s="37" t="n"/>
      <c r="E6" s="38" t="inlineStr">
        <is>
          <t>26072802554064GKk0wdiYh</t>
        </is>
      </c>
      <c r="F6" s="7" t="n"/>
      <c r="G6" s="10" t="n"/>
      <c r="H6" s="39" t="n"/>
      <c r="I6" s="12" t="n"/>
      <c r="J6" s="37" t="n"/>
      <c r="K6" s="40" t="n"/>
      <c r="L6" s="7" t="n"/>
      <c r="M6" s="14" t="n">
        <v>1</v>
      </c>
      <c r="N6" s="6" t="n"/>
      <c r="O6" s="15" t="n"/>
      <c r="P6" s="18" t="n"/>
      <c r="Q6" s="16" t="n"/>
      <c r="R6" s="15" t="n"/>
      <c r="S6" s="17" t="n"/>
      <c r="T6" s="15" t="n"/>
      <c r="U6" s="15" t="n"/>
      <c r="V6" s="15" t="n"/>
      <c r="W6" s="15" t="n"/>
    </row>
    <row r="7">
      <c r="A7" s="6" t="n"/>
      <c r="B7" s="7" t="n"/>
      <c r="C7" s="7" t="n"/>
      <c r="D7" s="37" t="n"/>
      <c r="E7" s="38" t="inlineStr">
        <is>
          <t>26072802554064ljldqS88pC</t>
        </is>
      </c>
      <c r="F7" s="7" t="n"/>
      <c r="G7" s="10" t="n"/>
      <c r="H7" s="39" t="n"/>
      <c r="I7" s="12" t="n"/>
      <c r="J7" s="37" t="n"/>
      <c r="K7" s="40" t="n"/>
      <c r="L7" s="7" t="n"/>
      <c r="M7" s="14" t="n">
        <v>1</v>
      </c>
      <c r="N7" s="6" t="n"/>
      <c r="O7" s="15" t="n"/>
      <c r="P7" s="15" t="n"/>
      <c r="Q7" s="16" t="n"/>
      <c r="R7" s="15" t="n"/>
      <c r="S7" s="17" t="n"/>
      <c r="T7" s="15" t="n"/>
      <c r="U7" s="15" t="n"/>
      <c r="V7" s="15" t="n"/>
      <c r="W7" s="15" t="n"/>
    </row>
    <row r="8">
      <c r="A8" s="6" t="inlineStr">
        <is>
          <t>Apotek Berlian Farma</t>
        </is>
      </c>
      <c r="B8" s="7" t="inlineStr">
        <is>
          <t>AWB02WKFU</t>
        </is>
      </c>
      <c r="C8" s="7" t="n">
        <v>7.9</v>
      </c>
      <c r="D8" s="37" t="n">
        <v>0.023541</v>
      </c>
      <c r="E8" s="38" t="inlineStr">
        <is>
          <t>26072800444949VmLEmOlB9</t>
        </is>
      </c>
      <c r="F8" s="7" t="n">
        <v>667</v>
      </c>
      <c r="G8" s="10" t="inlineStr">
        <is>
          <t>26072800444949VmLEmOlB9-260728010345500SexiSn1Av-26072801034550trixNIPaR-26072801473602jTFSiKfF</t>
        </is>
      </c>
      <c r="H8" s="39" t="inlineStr">
        <is>
          <t>P4N</t>
        </is>
      </c>
      <c r="I8" s="12" t="inlineStr">
        <is>
          <t>667-Komplek Permata Jasindo Lestari Blok A6/14 RT.007 RW.004 Kelurahan Mekarsari, Kecamatan Cimanggis, Kota Depok 16452</t>
        </is>
      </c>
      <c r="J8" s="37" t="n">
        <v>16452</v>
      </c>
      <c r="K8" s="40" t="inlineStr">
        <is>
          <t>Kota Depok</t>
        </is>
      </c>
      <c r="L8" s="7" t="inlineStr">
        <is>
          <t>85374101944</t>
        </is>
      </c>
      <c r="M8" s="14" t="n">
        <v>1</v>
      </c>
      <c r="N8" s="6" t="n"/>
      <c r="O8" s="15" t="n"/>
      <c r="P8" s="15" t="n"/>
      <c r="Q8" s="16" t="n"/>
      <c r="R8" s="15" t="n"/>
      <c r="S8" s="17" t="n"/>
      <c r="T8" s="15" t="n"/>
      <c r="U8" s="15" t="n"/>
      <c r="V8" s="15" t="n"/>
      <c r="W8" s="15" t="n"/>
    </row>
    <row r="9">
      <c r="A9" s="6" t="n"/>
      <c r="B9" s="7" t="n"/>
      <c r="C9" s="7" t="n"/>
      <c r="D9" s="37" t="n"/>
      <c r="E9" s="38" t="inlineStr">
        <is>
          <t>260728010345500SexiSn1Av</t>
        </is>
      </c>
      <c r="F9" s="7" t="n"/>
      <c r="G9" s="10" t="n"/>
      <c r="H9" s="39" t="n"/>
      <c r="I9" s="12" t="n"/>
      <c r="J9" s="37" t="n"/>
      <c r="K9" s="40" t="n"/>
      <c r="L9" s="7" t="n"/>
      <c r="M9" s="14" t="n">
        <v>1</v>
      </c>
      <c r="N9" s="6" t="n"/>
      <c r="O9" s="15" t="n"/>
      <c r="P9" s="15" t="n"/>
      <c r="Q9" s="16" t="n"/>
      <c r="R9" s="15" t="n"/>
      <c r="S9" s="17" t="n"/>
      <c r="T9" s="15" t="n"/>
      <c r="U9" s="15" t="n"/>
      <c r="V9" s="15" t="n"/>
      <c r="W9" s="15" t="n"/>
    </row>
    <row r="10">
      <c r="A10" s="6" t="n"/>
      <c r="B10" s="7" t="n"/>
      <c r="C10" s="7" t="n"/>
      <c r="D10" s="37" t="n"/>
      <c r="E10" s="38" t="inlineStr">
        <is>
          <t>26072801034550trixNIPaR</t>
        </is>
      </c>
      <c r="F10" s="7" t="n"/>
      <c r="G10" s="10" t="n"/>
      <c r="H10" s="39" t="n"/>
      <c r="I10" s="12" t="n"/>
      <c r="J10" s="37" t="n"/>
      <c r="K10" s="40" t="n"/>
      <c r="L10" s="7" t="n"/>
      <c r="M10" s="14" t="n">
        <v>1</v>
      </c>
      <c r="N10" s="6" t="n"/>
      <c r="O10" s="15" t="n"/>
      <c r="P10" s="15" t="n"/>
      <c r="Q10" s="16" t="n"/>
      <c r="R10" s="15" t="n"/>
      <c r="S10" s="17" t="n"/>
      <c r="T10" s="15" t="n"/>
      <c r="U10" s="15" t="n"/>
      <c r="V10" s="15" t="n"/>
      <c r="W10" s="15" t="n"/>
    </row>
    <row r="11">
      <c r="A11" s="6" t="n"/>
      <c r="B11" s="7" t="n"/>
      <c r="C11" s="7" t="n"/>
      <c r="D11" s="37" t="n"/>
      <c r="E11" s="38" t="inlineStr">
        <is>
          <t>26072801473602jTFSiKfF</t>
        </is>
      </c>
      <c r="F11" s="7" t="n"/>
      <c r="G11" s="10" t="n"/>
      <c r="H11" s="39" t="n"/>
      <c r="I11" s="12" t="n"/>
      <c r="J11" s="37" t="n"/>
      <c r="K11" s="40" t="n"/>
      <c r="L11" s="7" t="n"/>
      <c r="M11" s="14" t="n">
        <v>1</v>
      </c>
      <c r="N11" s="6" t="n"/>
      <c r="O11" s="15" t="n"/>
      <c r="P11" s="18" t="n"/>
      <c r="Q11" s="16" t="n"/>
      <c r="R11" s="15" t="n"/>
      <c r="S11" s="17" t="n"/>
      <c r="T11" s="15" t="n"/>
      <c r="U11" s="15" t="n"/>
      <c r="V11" s="15" t="n"/>
      <c r="W11" s="15" t="n"/>
    </row>
    <row r="12">
      <c r="A12" s="6" t="inlineStr">
        <is>
          <t>Apotek Berlian Farma Rasamala Bakti Jaya Sukmajaya</t>
        </is>
      </c>
      <c r="B12" s="7" t="inlineStr">
        <is>
          <t>AWB02WGVD</t>
        </is>
      </c>
      <c r="C12" s="7" t="n">
        <v>7.4</v>
      </c>
      <c r="D12" s="37" t="n">
        <v>0.023336</v>
      </c>
      <c r="E12" s="38" t="inlineStr">
        <is>
          <t>26072703245809wQimRVF1</t>
        </is>
      </c>
      <c r="F12" s="7" t="n">
        <v>11437</v>
      </c>
      <c r="G12" s="10" t="inlineStr">
        <is>
          <t>26072703245809wQimRVF1-26072802522246IUjxQvWbh-26072802592265RiGBF708N-26072802592265wqZCVet0V</t>
        </is>
      </c>
      <c r="H12" s="39" t="inlineStr">
        <is>
          <t>P4N</t>
        </is>
      </c>
      <c r="I12" s="12" t="inlineStr">
        <is>
          <t>11437-Jl. Rasamala Raya No. 423 Kel. Baktijaya Kec. Sukmajaya Kota Depok 16418</t>
        </is>
      </c>
      <c r="J12" s="37" t="n">
        <v>16418</v>
      </c>
      <c r="K12" s="40" t="inlineStr">
        <is>
          <t>Kota Depok</t>
        </is>
      </c>
      <c r="L12" s="7" t="inlineStr">
        <is>
          <t>6285374101944</t>
        </is>
      </c>
      <c r="M12" s="14" t="n">
        <v>1</v>
      </c>
      <c r="N12" s="6" t="n"/>
      <c r="O12" s="15" t="n"/>
      <c r="P12" s="15" t="n"/>
      <c r="Q12" s="16" t="n"/>
      <c r="R12" s="15" t="n"/>
      <c r="S12" s="17" t="n"/>
      <c r="T12" s="15" t="n"/>
      <c r="U12" s="15" t="n"/>
      <c r="V12" s="15" t="n"/>
      <c r="W12" s="15" t="n"/>
    </row>
    <row r="13">
      <c r="A13" s="6" t="n"/>
      <c r="B13" s="7" t="n"/>
      <c r="C13" s="7" t="n"/>
      <c r="D13" s="37" t="n"/>
      <c r="E13" s="38" t="inlineStr">
        <is>
          <t>26072802522246IUjxQvWbh</t>
        </is>
      </c>
      <c r="F13" s="7" t="n"/>
      <c r="G13" s="10" t="n"/>
      <c r="H13" s="39" t="n"/>
      <c r="I13" s="12" t="n"/>
      <c r="J13" s="37" t="n"/>
      <c r="K13" s="40" t="n"/>
      <c r="L13" s="7" t="n"/>
      <c r="M13" s="14" t="n">
        <v>1</v>
      </c>
      <c r="N13" s="6" t="n"/>
      <c r="O13" s="15" t="n"/>
      <c r="P13" s="15" t="n"/>
      <c r="Q13" s="16" t="n"/>
      <c r="R13" s="15" t="n"/>
      <c r="S13" s="17" t="n"/>
      <c r="T13" s="15" t="n"/>
      <c r="U13" s="15" t="n"/>
      <c r="V13" s="15" t="n"/>
      <c r="W13" s="15" t="n"/>
    </row>
    <row r="14">
      <c r="A14" s="6" t="n"/>
      <c r="B14" s="7" t="n"/>
      <c r="C14" s="7" t="n"/>
      <c r="D14" s="37" t="n"/>
      <c r="E14" s="38" t="inlineStr">
        <is>
          <t>26072802592265RiGBF708N</t>
        </is>
      </c>
      <c r="F14" s="7" t="n"/>
      <c r="G14" s="10" t="n"/>
      <c r="H14" s="39" t="n"/>
      <c r="I14" s="16" t="n"/>
      <c r="J14" s="37" t="n"/>
      <c r="K14" s="40" t="n"/>
      <c r="L14" s="7" t="n"/>
      <c r="M14" s="14" t="n">
        <v>1</v>
      </c>
      <c r="N14" s="6" t="n"/>
      <c r="O14" s="15" t="n"/>
      <c r="P14" s="15" t="n"/>
      <c r="Q14" s="16" t="n"/>
      <c r="R14" s="15" t="n"/>
      <c r="S14" s="17" t="n"/>
      <c r="T14" s="15" t="n"/>
      <c r="U14" s="15" t="n"/>
      <c r="V14" s="15" t="n"/>
      <c r="W14" s="15" t="n"/>
    </row>
    <row r="15">
      <c r="A15" s="6" t="n"/>
      <c r="B15" s="7" t="n"/>
      <c r="C15" s="7" t="n"/>
      <c r="D15" s="37" t="n"/>
      <c r="E15" s="38" t="inlineStr">
        <is>
          <t>26072802592265wqZCVet0V</t>
        </is>
      </c>
      <c r="F15" s="7" t="n"/>
      <c r="G15" s="10" t="n"/>
      <c r="H15" s="39" t="n"/>
      <c r="I15" s="12" t="n"/>
      <c r="J15" s="37" t="n"/>
      <c r="K15" s="40" t="n"/>
      <c r="L15" s="7" t="n"/>
      <c r="M15" s="14" t="n">
        <v>1</v>
      </c>
      <c r="N15" s="6" t="n"/>
      <c r="O15" s="15" t="n"/>
      <c r="P15" s="15" t="n"/>
      <c r="Q15" s="16" t="n"/>
      <c r="R15" s="15" t="n"/>
      <c r="S15" s="17" t="n"/>
      <c r="T15" s="15" t="n"/>
      <c r="U15" s="15" t="n"/>
      <c r="V15" s="15" t="n"/>
      <c r="W15" s="15" t="n"/>
    </row>
    <row r="16">
      <c r="A16" s="6" t="inlineStr">
        <is>
          <t>Apotek Bersama Plus Jatimulya Cilodong</t>
        </is>
      </c>
      <c r="B16" s="7" t="inlineStr">
        <is>
          <t>AWB02WJRN</t>
        </is>
      </c>
      <c r="C16" s="7" t="n">
        <v>7.31</v>
      </c>
      <c r="D16" s="37" t="n">
        <v>0.035554</v>
      </c>
      <c r="E16" s="38" t="inlineStr">
        <is>
          <t>26072712475211w4O3Py9yv</t>
        </is>
      </c>
      <c r="F16" s="7" t="n">
        <v>15120</v>
      </c>
      <c r="G16" s="10" t="inlineStr">
        <is>
          <t>26072712475211w4O3Py9yv-260727124752122dYBQKGDe-26072712475212Ec78WQpCrD-26072712475212XTxGNiHixm</t>
        </is>
      </c>
      <c r="H16" s="39" t="inlineStr">
        <is>
          <t>P4N</t>
        </is>
      </c>
      <c r="I16" s="12" t="inlineStr">
        <is>
          <t>15120-Jalan Pondok Rajeg RT 01 RW 01 NO 79, Desa/Kelurahan Jatimulya, Kec. Cilodong, Kota Depok, Provinsi Jawa Barat,</t>
        </is>
      </c>
      <c r="J16" s="37" t="n">
        <v>16413</v>
      </c>
      <c r="K16" s="40" t="inlineStr">
        <is>
          <t>Kota Depok</t>
        </is>
      </c>
      <c r="L16" s="7" t="inlineStr">
        <is>
          <t>6285282565256</t>
        </is>
      </c>
      <c r="M16" s="14" t="n">
        <v>1</v>
      </c>
      <c r="N16" s="6" t="n"/>
      <c r="O16" s="15" t="n"/>
      <c r="P16" s="15" t="n"/>
      <c r="Q16" s="16" t="n"/>
      <c r="R16" s="15" t="n"/>
      <c r="S16" s="17" t="n"/>
      <c r="T16" s="15" t="n"/>
      <c r="U16" s="15" t="n"/>
      <c r="V16" s="15" t="n"/>
      <c r="W16" s="15" t="n"/>
    </row>
    <row r="17">
      <c r="A17" s="6" t="n"/>
      <c r="B17" s="7" t="n"/>
      <c r="C17" s="7" t="n"/>
      <c r="D17" s="37" t="n"/>
      <c r="E17" s="38" t="inlineStr">
        <is>
          <t>260727124752122dYBQKGDe</t>
        </is>
      </c>
      <c r="F17" s="7" t="n"/>
      <c r="G17" s="10" t="n"/>
      <c r="H17" s="39" t="n"/>
      <c r="I17" s="12" t="n"/>
      <c r="J17" s="37" t="n"/>
      <c r="K17" s="40" t="n"/>
      <c r="L17" s="7" t="n"/>
      <c r="M17" s="14" t="n">
        <v>1</v>
      </c>
      <c r="N17" s="6" t="n"/>
      <c r="O17" s="15" t="n"/>
      <c r="P17" s="15" t="n"/>
      <c r="Q17" s="16" t="n"/>
      <c r="R17" s="15" t="n"/>
      <c r="S17" s="17" t="n"/>
      <c r="T17" s="15" t="n"/>
      <c r="U17" s="15" t="n"/>
      <c r="V17" s="15" t="n"/>
      <c r="W17" s="15" t="n"/>
    </row>
    <row r="18">
      <c r="A18" s="6" t="n"/>
      <c r="B18" s="7" t="n"/>
      <c r="C18" s="7" t="n"/>
      <c r="D18" s="37" t="n"/>
      <c r="E18" s="38" t="inlineStr">
        <is>
          <t>26072712475212Ec78WQpCrD</t>
        </is>
      </c>
      <c r="F18" s="7" t="n"/>
      <c r="G18" s="10" t="n"/>
      <c r="H18" s="39" t="n"/>
      <c r="I18" s="12" t="n"/>
      <c r="J18" s="37" t="n"/>
      <c r="K18" s="40" t="n"/>
      <c r="L18" s="7" t="n"/>
      <c r="M18" s="14" t="n">
        <v>1</v>
      </c>
      <c r="N18" s="6" t="n"/>
      <c r="O18" s="15" t="n"/>
      <c r="P18" s="15" t="n"/>
      <c r="Q18" s="16" t="n"/>
      <c r="R18" s="15" t="n"/>
      <c r="S18" s="17" t="n"/>
      <c r="T18" s="15" t="n"/>
      <c r="U18" s="15" t="n"/>
      <c r="V18" s="15" t="n"/>
      <c r="W18" s="15" t="n"/>
    </row>
    <row r="19">
      <c r="A19" s="6" t="n"/>
      <c r="B19" s="7" t="n"/>
      <c r="C19" s="7" t="n"/>
      <c r="D19" s="37" t="n"/>
      <c r="E19" s="38" t="inlineStr">
        <is>
          <t>26072712475212XTxGNiHixm</t>
        </is>
      </c>
      <c r="F19" s="7" t="n"/>
      <c r="G19" s="10" t="n"/>
      <c r="H19" s="39" t="n"/>
      <c r="I19" s="12" t="n"/>
      <c r="J19" s="37" t="n"/>
      <c r="K19" s="40" t="n"/>
      <c r="L19" s="7" t="n"/>
      <c r="M19" s="14" t="n">
        <v>1</v>
      </c>
      <c r="N19" s="6" t="n"/>
      <c r="O19" s="15" t="n"/>
      <c r="P19" s="15" t="n"/>
      <c r="Q19" s="16" t="n"/>
      <c r="R19" s="15" t="n"/>
      <c r="S19" s="17" t="n"/>
      <c r="T19" s="15" t="n"/>
      <c r="U19" s="15" t="n"/>
      <c r="V19" s="15" t="n"/>
      <c r="W19" s="15" t="n"/>
    </row>
    <row r="20">
      <c r="A20" s="6" t="inlineStr">
        <is>
          <t>Apotek Bersama Pondok Ranggon Cipayung</t>
        </is>
      </c>
      <c r="B20" s="7" t="inlineStr">
        <is>
          <t>AWB02WKH1</t>
        </is>
      </c>
      <c r="C20" s="7" t="n">
        <v>0.53</v>
      </c>
      <c r="D20" s="37" t="n">
        <v>0.001416</v>
      </c>
      <c r="E20" s="38" t="inlineStr">
        <is>
          <t>26072800513343zU8ph3SKJ</t>
        </is>
      </c>
      <c r="F20" s="7" t="n">
        <v>12430</v>
      </c>
      <c r="G20" s="10" t="inlineStr">
        <is>
          <t>26072800513343zU8ph3SKJ</t>
        </is>
      </c>
      <c r="H20" s="39" t="inlineStr">
        <is>
          <t>P4N</t>
        </is>
      </c>
      <c r="I20" s="12" t="inlineStr">
        <is>
          <t>12430-Jl Raya Pondok Ranggon RT 006 RW 004 Kel. Pondok Ranggon Kec. Cipayung, Jakarta Timur</t>
        </is>
      </c>
      <c r="J20" s="37" t="n">
        <v>13860</v>
      </c>
      <c r="K20" s="40" t="inlineStr">
        <is>
          <t>Kota Jakarta Timur</t>
        </is>
      </c>
      <c r="L20" s="7" t="inlineStr">
        <is>
          <t>6289529655094</t>
        </is>
      </c>
      <c r="M20" s="14" t="n">
        <v>1</v>
      </c>
      <c r="N20" s="6" t="n"/>
      <c r="O20" s="15" t="n"/>
      <c r="P20" s="15" t="n"/>
      <c r="Q20" s="16" t="n"/>
      <c r="R20" s="15" t="n"/>
      <c r="S20" s="17" t="n"/>
      <c r="T20" s="15" t="n"/>
      <c r="U20" s="15" t="n"/>
      <c r="V20" s="15" t="n"/>
      <c r="W20" s="15" t="n"/>
    </row>
    <row r="21">
      <c r="A21" s="6" t="inlineStr">
        <is>
          <t>Apotek Bumi Sehat Serua Bojongsari</t>
        </is>
      </c>
      <c r="B21" s="7" t="inlineStr">
        <is>
          <t>AWB02WJ9B</t>
        </is>
      </c>
      <c r="C21" s="7" t="n">
        <v>0.44</v>
      </c>
      <c r="D21" s="37" t="n">
        <v>0.002296</v>
      </c>
      <c r="E21" s="38" t="inlineStr">
        <is>
          <t>26072707523848Dhpuftwa</t>
        </is>
      </c>
      <c r="F21" s="7" t="n">
        <v>11084</v>
      </c>
      <c r="G21" s="10" t="inlineStr">
        <is>
          <t>26072707523848Dhpuftwa</t>
        </is>
      </c>
      <c r="H21" s="39" t="inlineStr">
        <is>
          <t>P4N</t>
        </is>
      </c>
      <c r="I21" s="12" t="inlineStr">
        <is>
          <t>11084-Jl. Serua Raya, Kel Serua Kec. Bojongsari, Kota Depok, 16517</t>
        </is>
      </c>
      <c r="J21" s="37" t="n">
        <v>16517</v>
      </c>
      <c r="K21" s="40" t="inlineStr">
        <is>
          <t>Kota Depok</t>
        </is>
      </c>
      <c r="L21" s="7" t="inlineStr">
        <is>
          <t>6281934028112</t>
        </is>
      </c>
      <c r="M21" s="14" t="n">
        <v>1</v>
      </c>
      <c r="N21" s="6" t="n"/>
      <c r="O21" s="15" t="n"/>
      <c r="P21" s="15" t="n"/>
      <c r="Q21" s="16" t="n"/>
      <c r="R21" s="15" t="n"/>
      <c r="S21" s="17" t="n"/>
      <c r="T21" s="15" t="n"/>
      <c r="U21" s="15" t="n"/>
      <c r="V21" s="15" t="n"/>
      <c r="W21" s="15" t="n"/>
    </row>
    <row r="22">
      <c r="A22" s="6" t="inlineStr">
        <is>
          <t>Apotek Bunda Bedahan Sawangan</t>
        </is>
      </c>
      <c r="B22" s="7" t="inlineStr">
        <is>
          <t>AWB02WJJX</t>
        </is>
      </c>
      <c r="C22" s="7" t="n">
        <v>1.05</v>
      </c>
      <c r="D22" s="37" t="n">
        <v>0.002578</v>
      </c>
      <c r="E22" s="38" t="inlineStr">
        <is>
          <t>26072710184801AQgMPUJcI</t>
        </is>
      </c>
      <c r="F22" s="7" t="n">
        <v>13593</v>
      </c>
      <c r="G22" s="10" t="inlineStr">
        <is>
          <t>26072710184801AQgMPUJcI</t>
        </is>
      </c>
      <c r="H22" s="39" t="inlineStr">
        <is>
          <t>P4N</t>
        </is>
      </c>
      <c r="I22" s="12" t="inlineStr">
        <is>
          <t>13593-Jl. H. Sulaiman No.06, RT004/RW007, Desa/Kelurahan Bedahan, Kec. Sawangan, Kota Depok</t>
        </is>
      </c>
      <c r="J22" s="37" t="n">
        <v>16519</v>
      </c>
      <c r="K22" s="40" t="inlineStr">
        <is>
          <t>Kota Depok</t>
        </is>
      </c>
      <c r="L22" s="7" t="inlineStr">
        <is>
          <t>6281382843554</t>
        </is>
      </c>
      <c r="M22" s="14" t="n">
        <v>1</v>
      </c>
      <c r="N22" s="6" t="n"/>
      <c r="O22" s="15" t="n"/>
      <c r="P22" s="15" t="n"/>
      <c r="Q22" s="16" t="n"/>
      <c r="R22" s="15" t="n"/>
      <c r="S22" s="17" t="n"/>
      <c r="T22" s="15" t="n"/>
      <c r="U22" s="15" t="n"/>
      <c r="V22" s="15" t="n"/>
      <c r="W22" s="15" t="n"/>
    </row>
    <row r="23">
      <c r="A23" s="6" t="inlineStr">
        <is>
          <t>Apotek Cipayung 1</t>
        </is>
      </c>
      <c r="B23" s="7" t="inlineStr">
        <is>
          <t>AWB02WKTX</t>
        </is>
      </c>
      <c r="C23" s="7" t="n">
        <v>9.890000000000001</v>
      </c>
      <c r="D23" s="37" t="n">
        <v>0.035966</v>
      </c>
      <c r="E23" s="38" t="inlineStr">
        <is>
          <t>260728014140360ppVZvbV</t>
        </is>
      </c>
      <c r="F23" s="7" t="n">
        <v>8251</v>
      </c>
      <c r="G23" s="10" t="inlineStr">
        <is>
          <t>260728014140360ppVZvbV-26072801414037XH6dCj30sh-260728015619662gr5Ce0Coa-26072801561966LCCsOJtss</t>
        </is>
      </c>
      <c r="H23" s="39" t="inlineStr">
        <is>
          <t>P4N</t>
        </is>
      </c>
      <c r="I23" s="12" t="inlineStr">
        <is>
          <t>8251-Jl. Raya Jembatan Serong Blok Sawo No. 115 RT. 002 RW. 003 Kel. Cipayung Kec. Cipayung Kota Depok</t>
        </is>
      </c>
      <c r="J23" s="37" t="n">
        <v>16437</v>
      </c>
      <c r="K23" s="40" t="inlineStr">
        <is>
          <t>Kota Depok</t>
        </is>
      </c>
      <c r="L23" s="7" t="inlineStr">
        <is>
          <t>81264043044</t>
        </is>
      </c>
      <c r="M23" s="14" t="n">
        <v>1</v>
      </c>
      <c r="N23" s="6" t="n"/>
      <c r="O23" s="15" t="n"/>
      <c r="P23" s="15" t="n"/>
      <c r="Q23" s="16" t="n"/>
      <c r="R23" s="15" t="n"/>
      <c r="S23" s="17" t="n"/>
      <c r="T23" s="15" t="n"/>
      <c r="U23" s="15" t="n"/>
      <c r="V23" s="15" t="n"/>
      <c r="W23" s="15" t="n"/>
    </row>
    <row r="24">
      <c r="A24" s="6" t="n"/>
      <c r="B24" s="7" t="n"/>
      <c r="C24" s="7" t="n"/>
      <c r="D24" s="37" t="n"/>
      <c r="E24" s="38" t="inlineStr">
        <is>
          <t>26072801414037XH6dCj30sh</t>
        </is>
      </c>
      <c r="F24" s="7" t="n"/>
      <c r="G24" s="10" t="n"/>
      <c r="H24" s="39" t="n"/>
      <c r="I24" s="12" t="n"/>
      <c r="J24" s="37" t="n"/>
      <c r="K24" s="40" t="n"/>
      <c r="L24" s="7" t="n"/>
      <c r="M24" s="14" t="n">
        <v>1</v>
      </c>
      <c r="N24" s="6" t="n"/>
      <c r="O24" s="15" t="n"/>
      <c r="P24" s="15" t="n"/>
      <c r="Q24" s="16" t="n"/>
      <c r="R24" s="15" t="n"/>
      <c r="S24" s="17" t="n"/>
      <c r="T24" s="15" t="n"/>
      <c r="U24" s="15" t="n"/>
      <c r="V24" s="15" t="n"/>
      <c r="W24" s="15" t="n"/>
    </row>
    <row r="25">
      <c r="A25" s="6" t="n"/>
      <c r="B25" s="7" t="n"/>
      <c r="C25" s="7" t="n"/>
      <c r="D25" s="37" t="n"/>
      <c r="E25" s="38" t="inlineStr">
        <is>
          <t>260728015619662gr5Ce0Coa</t>
        </is>
      </c>
      <c r="F25" s="7" t="n"/>
      <c r="G25" s="10" t="n"/>
      <c r="H25" s="39" t="n"/>
      <c r="I25" s="12" t="n"/>
      <c r="J25" s="37" t="n"/>
      <c r="K25" s="40" t="n"/>
      <c r="L25" s="7" t="n"/>
      <c r="M25" s="14" t="n">
        <v>1</v>
      </c>
      <c r="N25" s="6" t="n"/>
      <c r="O25" s="15" t="n"/>
      <c r="P25" s="15" t="n"/>
      <c r="Q25" s="16" t="n"/>
      <c r="R25" s="15" t="n"/>
      <c r="S25" s="17" t="n"/>
      <c r="T25" s="15" t="n"/>
      <c r="U25" s="15" t="n"/>
      <c r="V25" s="15" t="n"/>
      <c r="W25" s="15" t="n"/>
    </row>
    <row r="26">
      <c r="A26" s="6" t="n"/>
      <c r="B26" s="7" t="n"/>
      <c r="C26" s="7" t="n"/>
      <c r="D26" s="37" t="n"/>
      <c r="E26" s="38" t="inlineStr">
        <is>
          <t>26072801561966LCCsOJtss</t>
        </is>
      </c>
      <c r="F26" s="7" t="n"/>
      <c r="G26" s="10" t="n"/>
      <c r="H26" s="39" t="n"/>
      <c r="I26" s="12" t="n"/>
      <c r="J26" s="37" t="n"/>
      <c r="K26" s="40" t="n"/>
      <c r="L26" s="7" t="n"/>
      <c r="M26" s="14" t="n">
        <v>1</v>
      </c>
      <c r="N26" s="6" t="n"/>
      <c r="O26" s="15" t="n"/>
      <c r="P26" s="15" t="n"/>
      <c r="Q26" s="16" t="n"/>
      <c r="R26" s="15" t="n"/>
      <c r="S26" s="17" t="n"/>
      <c r="T26" s="15" t="n"/>
      <c r="U26" s="15" t="n"/>
      <c r="V26" s="15" t="n"/>
      <c r="W26" s="15" t="n"/>
    </row>
    <row r="27">
      <c r="A27" s="6" t="inlineStr">
        <is>
          <t>Apotek Cita Sehat Curug Bojongsari</t>
        </is>
      </c>
      <c r="B27" s="7" t="inlineStr">
        <is>
          <t>AWB02WJMZ</t>
        </is>
      </c>
      <c r="C27" s="7" t="n">
        <v>7.39</v>
      </c>
      <c r="D27" s="37" t="n">
        <v>0.035216</v>
      </c>
      <c r="E27" s="38" t="inlineStr">
        <is>
          <t>26072711371829bD90OfAG</t>
        </is>
      </c>
      <c r="F27" s="7" t="n">
        <v>13096</v>
      </c>
      <c r="G27" s="10" t="inlineStr">
        <is>
          <t>26072711371829bD90OfAG-26072711371829hZImrWHPpe-26072711371829MedkSjEjj</t>
        </is>
      </c>
      <c r="H27" s="39" t="inlineStr">
        <is>
          <t>P4N</t>
        </is>
      </c>
      <c r="I27" s="12" t="inlineStr">
        <is>
          <t>13096-Jl. Raya Curug Ciputat RT 001 RW 002 Kel. Curug Kec. Bojongsari Kota Depok</t>
        </is>
      </c>
      <c r="J27" s="37" t="n">
        <v>16517</v>
      </c>
      <c r="K27" s="40" t="inlineStr">
        <is>
          <t>Kota Depok</t>
        </is>
      </c>
      <c r="L27" s="7" t="inlineStr">
        <is>
          <t>6285220978760</t>
        </is>
      </c>
      <c r="M27" s="14" t="n">
        <v>1</v>
      </c>
      <c r="N27" s="6" t="n"/>
      <c r="O27" s="15" t="n"/>
      <c r="P27" s="18" t="n"/>
      <c r="Q27" s="16" t="n"/>
      <c r="R27" s="15" t="n"/>
      <c r="S27" s="17" t="n"/>
      <c r="T27" s="15" t="n"/>
      <c r="U27" s="15" t="n"/>
      <c r="V27" s="15" t="n"/>
      <c r="W27" s="15" t="n"/>
    </row>
    <row r="28">
      <c r="A28" s="6" t="n"/>
      <c r="B28" s="7" t="n"/>
      <c r="C28" s="7" t="n"/>
      <c r="D28" s="37" t="n"/>
      <c r="E28" s="38" t="inlineStr">
        <is>
          <t>26072711371829hZImrWHPpe</t>
        </is>
      </c>
      <c r="F28" s="7" t="n"/>
      <c r="G28" s="10" t="n"/>
      <c r="H28" s="39" t="n"/>
      <c r="I28" s="12" t="n"/>
      <c r="J28" s="37" t="n"/>
      <c r="K28" s="40" t="n"/>
      <c r="L28" s="7" t="n"/>
      <c r="M28" s="14" t="n">
        <v>1</v>
      </c>
      <c r="N28" s="6" t="n"/>
      <c r="O28" s="15" t="n"/>
      <c r="P28" s="18" t="n"/>
      <c r="Q28" s="16" t="n"/>
      <c r="R28" s="15" t="n"/>
      <c r="S28" s="17" t="n"/>
      <c r="T28" s="15" t="n"/>
      <c r="U28" s="15" t="n"/>
      <c r="V28" s="15" t="n"/>
      <c r="W28" s="15" t="n"/>
    </row>
    <row r="29">
      <c r="A29" s="6" t="n"/>
      <c r="B29" s="7" t="n"/>
      <c r="C29" s="7" t="n"/>
      <c r="D29" s="37" t="n"/>
      <c r="E29" s="38" t="inlineStr">
        <is>
          <t>26072711371829MedkSjEjj</t>
        </is>
      </c>
      <c r="F29" s="7" t="n"/>
      <c r="G29" s="10" t="n"/>
      <c r="H29" s="39" t="n"/>
      <c r="I29" s="12" t="n"/>
      <c r="J29" s="37" t="n"/>
      <c r="K29" s="40" t="n"/>
      <c r="L29" s="7" t="n"/>
      <c r="M29" s="14" t="n">
        <v>1</v>
      </c>
      <c r="N29" s="6" t="n"/>
      <c r="O29" s="15" t="n"/>
      <c r="P29" s="15" t="n"/>
      <c r="Q29" s="16" t="n"/>
      <c r="R29" s="15" t="n"/>
      <c r="S29" s="17" t="n"/>
      <c r="T29" s="15" t="n"/>
      <c r="U29" s="15" t="n"/>
      <c r="V29" s="15" t="n"/>
      <c r="W29" s="15" t="n"/>
    </row>
    <row r="30">
      <c r="A30" s="6" t="inlineStr">
        <is>
          <t>Apotek Clara Jaya</t>
        </is>
      </c>
      <c r="B30" s="7" t="inlineStr">
        <is>
          <t>AWB02WJ03</t>
        </is>
      </c>
      <c r="C30" s="7" t="n">
        <v>0.21</v>
      </c>
      <c r="D30" s="37" t="n">
        <v>0.001617</v>
      </c>
      <c r="E30" s="38" t="inlineStr">
        <is>
          <t>260727060846087GrvfxYt</t>
        </is>
      </c>
      <c r="F30" s="7" t="n">
        <v>2649</v>
      </c>
      <c r="G30" s="10" t="inlineStr">
        <is>
          <t>260727060846087GrvfxYt</t>
        </is>
      </c>
      <c r="H30" s="39" t="inlineStr">
        <is>
          <t>P4N</t>
        </is>
      </c>
      <c r="I30" s="12" t="inlineStr">
        <is>
          <t>2649-Jalan Monumen Pancasila Sakti RT 007 RW 002 Kelurahan Lubang Buaya Kecamatan Cipayung Jakarta Timur 13810</t>
        </is>
      </c>
      <c r="J30" s="37" t="n">
        <v>13810</v>
      </c>
      <c r="K30" s="40" t="inlineStr">
        <is>
          <t>Kota Jakarta Timur</t>
        </is>
      </c>
      <c r="L30" s="7" t="inlineStr">
        <is>
          <t>6285748601748</t>
        </is>
      </c>
      <c r="M30" s="14" t="n">
        <v>1</v>
      </c>
      <c r="N30" s="6" t="n"/>
      <c r="O30" s="15" t="n"/>
      <c r="P30" s="15" t="n"/>
      <c r="Q30" s="16" t="n"/>
      <c r="R30" s="15" t="n"/>
      <c r="S30" s="17" t="n"/>
      <c r="T30" s="15" t="n"/>
      <c r="U30" s="15" t="n"/>
      <c r="V30" s="15" t="n"/>
      <c r="W30" s="15" t="n"/>
    </row>
    <row r="31">
      <c r="A31" s="6" t="inlineStr">
        <is>
          <t>Apotek Dafa Cipayung Cipayung</t>
        </is>
      </c>
      <c r="B31" s="7" t="inlineStr">
        <is>
          <t>AWB02WJ9T</t>
        </is>
      </c>
      <c r="C31" s="7" t="n">
        <v>11.51</v>
      </c>
      <c r="D31" s="37" t="n">
        <v>0.040022</v>
      </c>
      <c r="E31" s="38" t="inlineStr">
        <is>
          <t>26072707560190rhBnVpiLi</t>
        </is>
      </c>
      <c r="F31" s="7" t="n">
        <v>13177</v>
      </c>
      <c r="G31" s="10" t="inlineStr">
        <is>
          <t>26072707560190rhBnVpiLi-26072707560190ymqgVdWPi</t>
        </is>
      </c>
      <c r="H31" s="39" t="inlineStr">
        <is>
          <t>P4N</t>
        </is>
      </c>
      <c r="I31" s="12" t="inlineStr">
        <is>
          <t>13177-Jl. Jembatan Serong RT 006 RW 002 Kel. Cipayung Kec. Cipayung Kota Depok</t>
        </is>
      </c>
      <c r="J31" s="37" t="n">
        <v>16437</v>
      </c>
      <c r="K31" s="40" t="inlineStr">
        <is>
          <t>Kota Depok</t>
        </is>
      </c>
      <c r="L31" s="7" t="inlineStr">
        <is>
          <t>6282364343108</t>
        </is>
      </c>
      <c r="M31" s="14" t="n">
        <v>2</v>
      </c>
      <c r="N31" s="6" t="n"/>
      <c r="O31" s="15" t="n"/>
      <c r="P31" s="15" t="n"/>
      <c r="Q31" s="16" t="n"/>
      <c r="R31" s="15" t="n"/>
      <c r="S31" s="17" t="n"/>
      <c r="T31" s="15" t="n"/>
      <c r="U31" s="15" t="n"/>
      <c r="V31" s="15" t="n"/>
      <c r="W31" s="15" t="n"/>
    </row>
    <row r="32">
      <c r="A32" s="6" t="n"/>
      <c r="B32" s="7" t="n"/>
      <c r="C32" s="7" t="n"/>
      <c r="D32" s="37" t="n"/>
      <c r="E32" s="38" t="inlineStr">
        <is>
          <t>26072707560190ymqgVdWPi</t>
        </is>
      </c>
      <c r="F32" s="7" t="n"/>
      <c r="G32" s="10" t="n"/>
      <c r="H32" s="39" t="n"/>
      <c r="I32" s="12" t="n"/>
      <c r="J32" s="37" t="n"/>
      <c r="K32" s="40" t="n"/>
      <c r="L32" s="7" t="n"/>
      <c r="M32" s="14" t="n">
        <v>1</v>
      </c>
      <c r="N32" s="6" t="n"/>
      <c r="O32" s="15" t="n"/>
      <c r="P32" s="15" t="n"/>
      <c r="Q32" s="16" t="n"/>
      <c r="R32" s="15" t="n"/>
      <c r="S32" s="17" t="n"/>
      <c r="T32" s="15" t="n"/>
      <c r="U32" s="15" t="n"/>
      <c r="V32" s="15" t="n"/>
      <c r="W32" s="15" t="n"/>
    </row>
    <row r="33">
      <c r="A33" s="6" t="inlineStr">
        <is>
          <t>Apotek Damai</t>
        </is>
      </c>
      <c r="B33" s="7" t="inlineStr">
        <is>
          <t>AWB02WJC8</t>
        </is>
      </c>
      <c r="C33" s="7" t="n">
        <v>0.25</v>
      </c>
      <c r="D33" s="37" t="n">
        <v>0.00168</v>
      </c>
      <c r="E33" s="38" t="inlineStr">
        <is>
          <t>26072708294775X2jgOh7r</t>
        </is>
      </c>
      <c r="F33" s="7" t="n">
        <v>317</v>
      </c>
      <c r="G33" s="10" t="inlineStr">
        <is>
          <t>26072708294775X2jgOh7r</t>
        </is>
      </c>
      <c r="H33" s="39" t="inlineStr">
        <is>
          <t>P4N</t>
        </is>
      </c>
      <c r="I33" s="12" t="inlineStr">
        <is>
          <t>317-Jl. Menpor No. 12, Palsigunung, RT. 007 / RW. 003, Kelurahan Tugu, Kecamatan Cimanggis, Depok, Jawa Barat 16451</t>
        </is>
      </c>
      <c r="J33" s="37" t="n">
        <v>16451</v>
      </c>
      <c r="K33" s="40" t="inlineStr">
        <is>
          <t>Kota Depok</t>
        </is>
      </c>
      <c r="L33" s="7" t="inlineStr">
        <is>
          <t>81296144347</t>
        </is>
      </c>
      <c r="M33" s="14" t="n">
        <v>1</v>
      </c>
      <c r="N33" s="6" t="n"/>
      <c r="O33" s="15" t="n"/>
      <c r="P33" s="15" t="n"/>
      <c r="Q33" s="16" t="n"/>
      <c r="R33" s="15" t="n"/>
      <c r="S33" s="17" t="n"/>
      <c r="T33" s="15" t="n"/>
      <c r="U33" s="15" t="n"/>
      <c r="V33" s="15" t="n"/>
      <c r="W33" s="15" t="n"/>
    </row>
    <row r="34">
      <c r="A34" s="6" t="inlineStr">
        <is>
          <t>Apotek Dewi Farma</t>
        </is>
      </c>
      <c r="B34" s="7" t="inlineStr">
        <is>
          <t>AWB02WJ7E</t>
        </is>
      </c>
      <c r="C34" s="7" t="n">
        <v>3.67</v>
      </c>
      <c r="D34" s="37" t="n">
        <v>0.009967</v>
      </c>
      <c r="E34" s="38" t="inlineStr">
        <is>
          <t>26072707241110QJcTk8YNC</t>
        </is>
      </c>
      <c r="F34" s="7" t="n">
        <v>724</v>
      </c>
      <c r="G34" s="10" t="inlineStr">
        <is>
          <t>26072707241110QJcTk8YNC</t>
        </is>
      </c>
      <c r="H34" s="39" t="inlineStr">
        <is>
          <t>P4N</t>
        </is>
      </c>
      <c r="I34" s="12" t="inlineStr">
        <is>
          <t>724-Jalan Mess AL Kranggan Wetan RT.001/RW.012, Kelurahan Jatirangga, Kecamatan Jatisampurna, Kota Bekasi 17434</t>
        </is>
      </c>
      <c r="J34" s="37" t="n">
        <v>17434</v>
      </c>
      <c r="K34" s="40" t="inlineStr">
        <is>
          <t>Kota Bekasi</t>
        </is>
      </c>
      <c r="L34" s="7" t="inlineStr">
        <is>
          <t>85283705505</t>
        </is>
      </c>
      <c r="M34" s="14" t="n">
        <v>2</v>
      </c>
      <c r="N34" s="6" t="n"/>
      <c r="O34" s="15" t="n"/>
      <c r="P34" s="15" t="n"/>
      <c r="Q34" s="16" t="n"/>
      <c r="R34" s="15" t="n"/>
      <c r="S34" s="17" t="n"/>
      <c r="T34" s="15" t="n"/>
      <c r="U34" s="15" t="n"/>
      <c r="V34" s="15" t="n"/>
      <c r="W34" s="15" t="n"/>
    </row>
    <row r="35">
      <c r="A35" s="6" t="inlineStr">
        <is>
          <t>Apotek Faisal</t>
        </is>
      </c>
      <c r="B35" s="7" t="inlineStr">
        <is>
          <t>AWB02WKEL</t>
        </is>
      </c>
      <c r="C35" s="7" t="n">
        <v>1.11</v>
      </c>
      <c r="D35" s="37" t="n">
        <v>0.003461</v>
      </c>
      <c r="E35" s="38" t="inlineStr">
        <is>
          <t>26072800322508vKhc2TWx9</t>
        </is>
      </c>
      <c r="F35" s="7" t="n">
        <v>1442</v>
      </c>
      <c r="G35" s="10" t="inlineStr">
        <is>
          <t>26072800322508vKhc2TWx9</t>
        </is>
      </c>
      <c r="H35" s="39" t="inlineStr">
        <is>
          <t>P4N</t>
        </is>
      </c>
      <c r="I35" s="12" t="inlineStr">
        <is>
          <t>1442-Jalan Tawangmangu Raya Blok C2 No. 4 RT 19 RW 07 Kelurahan Jati Cempaka Kecamatan Pondok Gede Kota Bekasi 17411</t>
        </is>
      </c>
      <c r="J35" s="37" t="n">
        <v>17411</v>
      </c>
      <c r="K35" s="40" t="inlineStr">
        <is>
          <t>Kota Bekasi</t>
        </is>
      </c>
      <c r="L35" s="7" t="inlineStr">
        <is>
          <t>87773506955</t>
        </is>
      </c>
      <c r="M35" s="14" t="n">
        <v>1</v>
      </c>
      <c r="N35" s="6" t="n"/>
      <c r="O35" s="15" t="n"/>
      <c r="P35" s="15" t="n"/>
      <c r="Q35" s="16" t="n"/>
      <c r="R35" s="15" t="n"/>
      <c r="S35" s="17" t="n"/>
      <c r="T35" s="15" t="n"/>
      <c r="U35" s="15" t="n"/>
      <c r="V35" s="15" t="n"/>
      <c r="W35" s="15" t="n"/>
    </row>
    <row r="36">
      <c r="A36" s="6" t="inlineStr">
        <is>
          <t>Apotek FarmaDok Jatiranggon Jatisampurna</t>
        </is>
      </c>
      <c r="B36" s="7" t="inlineStr">
        <is>
          <t>AWB02WJT2</t>
        </is>
      </c>
      <c r="C36" s="7" t="n">
        <v>9.390000000000001</v>
      </c>
      <c r="D36" s="37" t="n">
        <v>0.031097</v>
      </c>
      <c r="E36" s="38" t="inlineStr">
        <is>
          <t>260727130541123P9fwqGX8k</t>
        </is>
      </c>
      <c r="F36" s="7" t="n">
        <v>17703</v>
      </c>
      <c r="G36" s="10" t="inlineStr">
        <is>
          <t>260727130541123P9fwqGX8k-26072713054112jKXG2Pgb2D-26072713054112VQ5BgPLP</t>
        </is>
      </c>
      <c r="H36" s="39" t="inlineStr">
        <is>
          <t>P4N</t>
        </is>
      </c>
      <c r="I36" s="12" t="inlineStr">
        <is>
          <t>17703-Jl. Raya Kranggan No. 93 RT.006/RW.005, Desa/Kelurahan Jatiranggon, Kec. Jatisampurna, Kota Bekasi</t>
        </is>
      </c>
      <c r="J36" s="37" t="n">
        <v>17432</v>
      </c>
      <c r="K36" s="40" t="inlineStr">
        <is>
          <t>Kota Bekasi</t>
        </is>
      </c>
      <c r="L36" s="7" t="inlineStr">
        <is>
          <t>6285885477255</t>
        </is>
      </c>
      <c r="M36" s="14" t="n">
        <v>1</v>
      </c>
      <c r="N36" s="6" t="n"/>
      <c r="O36" s="15" t="n"/>
      <c r="P36" s="15" t="n"/>
      <c r="Q36" s="16" t="n"/>
      <c r="R36" s="15" t="n"/>
      <c r="S36" s="17" t="n"/>
      <c r="T36" s="15" t="n"/>
      <c r="U36" s="15" t="n"/>
      <c r="V36" s="15" t="n"/>
      <c r="W36" s="15" t="n"/>
    </row>
    <row r="37">
      <c r="A37" s="6" t="n"/>
      <c r="B37" s="7" t="n"/>
      <c r="C37" s="7" t="n"/>
      <c r="D37" s="37" t="n"/>
      <c r="E37" s="38" t="inlineStr">
        <is>
          <t>26072713054112jKXG2Pgb2D</t>
        </is>
      </c>
      <c r="F37" s="7" t="n"/>
      <c r="G37" s="10" t="n"/>
      <c r="H37" s="39" t="n"/>
      <c r="I37" s="12" t="n"/>
      <c r="J37" s="37" t="n"/>
      <c r="K37" s="40" t="n"/>
      <c r="L37" s="7" t="n"/>
      <c r="M37" s="14" t="n">
        <v>2</v>
      </c>
      <c r="N37" s="6" t="n"/>
      <c r="O37" s="15" t="n"/>
      <c r="P37" s="15" t="n"/>
      <c r="Q37" s="16" t="n"/>
      <c r="R37" s="15" t="n"/>
      <c r="S37" s="17" t="n"/>
      <c r="T37" s="15" t="n"/>
      <c r="U37" s="15" t="n"/>
      <c r="V37" s="15" t="n"/>
      <c r="W37" s="15" t="n"/>
    </row>
    <row r="38">
      <c r="A38" s="6" t="n"/>
      <c r="B38" s="7" t="n"/>
      <c r="C38" s="7" t="n"/>
      <c r="D38" s="37" t="n"/>
      <c r="E38" s="38" t="inlineStr">
        <is>
          <t>26072713054112VQ5BgPLP</t>
        </is>
      </c>
      <c r="F38" s="7" t="n"/>
      <c r="G38" s="10" t="n"/>
      <c r="H38" s="39" t="n"/>
      <c r="I38" s="12" t="n"/>
      <c r="J38" s="37" t="n"/>
      <c r="K38" s="40" t="n"/>
      <c r="L38" s="7" t="n"/>
      <c r="M38" s="14" t="n">
        <v>1</v>
      </c>
      <c r="N38" s="6" t="n"/>
      <c r="O38" s="15" t="n"/>
      <c r="P38" s="15" t="n"/>
      <c r="Q38" s="16" t="n"/>
      <c r="R38" s="15" t="n"/>
      <c r="S38" s="17" t="n"/>
      <c r="T38" s="15" t="n"/>
      <c r="U38" s="15" t="n"/>
      <c r="V38" s="15" t="n"/>
      <c r="W38" s="15" t="n"/>
    </row>
    <row r="39">
      <c r="A39" s="6" t="inlineStr">
        <is>
          <t>Apotek Fatih Jatibening Baru Pondok Gede</t>
        </is>
      </c>
      <c r="B39" s="7" t="inlineStr">
        <is>
          <t>AWB02WJMV</t>
        </is>
      </c>
      <c r="C39" s="7" t="n">
        <v>9.83</v>
      </c>
      <c r="D39" s="37" t="n">
        <v>0.021641</v>
      </c>
      <c r="E39" s="38" t="inlineStr">
        <is>
          <t>26072711350898koIZhWruw</t>
        </is>
      </c>
      <c r="F39" s="7" t="n">
        <v>16587</v>
      </c>
      <c r="G39" s="10" t="inlineStr">
        <is>
          <t>26072711350898koIZhWruw-26072711350899gtRmMQ5NSR-26072711471783EBYJf2XQ8B-26072711471783v1Ybwtvm</t>
        </is>
      </c>
      <c r="H39" s="39" t="inlineStr">
        <is>
          <t>P4N</t>
        </is>
      </c>
      <c r="I39" s="12" t="inlineStr">
        <is>
          <t>16587-Jl. Lampiri Raya No.108 B Desa/Kelurahan Jatibening Baru,Kecamatan Pondok Gede, Kota Bekasi, Jawa Barat, 17412</t>
        </is>
      </c>
      <c r="J39" s="37" t="n">
        <v>17412</v>
      </c>
      <c r="K39" s="40" t="inlineStr">
        <is>
          <t>Kota Bekasi</t>
        </is>
      </c>
      <c r="L39" s="7" t="inlineStr">
        <is>
          <t>6281214148920</t>
        </is>
      </c>
      <c r="M39" s="14" t="n">
        <v>1</v>
      </c>
      <c r="N39" s="6" t="n"/>
      <c r="O39" s="15" t="n"/>
      <c r="P39" s="15" t="n"/>
      <c r="Q39" s="16" t="n"/>
      <c r="R39" s="15" t="n"/>
      <c r="S39" s="17" t="n"/>
      <c r="T39" s="15" t="n"/>
      <c r="U39" s="15" t="n"/>
      <c r="V39" s="15" t="n"/>
      <c r="W39" s="15" t="n"/>
    </row>
    <row r="40">
      <c r="A40" s="6" t="n"/>
      <c r="B40" s="7" t="n"/>
      <c r="C40" s="7" t="n"/>
      <c r="D40" s="37" t="n"/>
      <c r="E40" s="38" t="inlineStr">
        <is>
          <t>26072711350899gtRmMQ5NSR</t>
        </is>
      </c>
      <c r="F40" s="7" t="n"/>
      <c r="G40" s="10" t="n"/>
      <c r="H40" s="39" t="n"/>
      <c r="I40" s="12" t="n"/>
      <c r="J40" s="37" t="n"/>
      <c r="K40" s="40" t="n"/>
      <c r="L40" s="7" t="n"/>
      <c r="M40" s="14" t="n">
        <v>1</v>
      </c>
      <c r="N40" s="6" t="n"/>
      <c r="O40" s="15" t="n"/>
      <c r="P40" s="15" t="n"/>
      <c r="Q40" s="16" t="n"/>
      <c r="R40" s="15" t="n"/>
      <c r="S40" s="17" t="n"/>
      <c r="T40" s="15" t="n"/>
      <c r="U40" s="15" t="n"/>
      <c r="V40" s="15" t="n"/>
      <c r="W40" s="15" t="n"/>
    </row>
    <row r="41">
      <c r="A41" s="6" t="n"/>
      <c r="B41" s="7" t="n"/>
      <c r="C41" s="7" t="n"/>
      <c r="D41" s="37" t="n"/>
      <c r="E41" s="38" t="inlineStr">
        <is>
          <t>26072711471783EBYJf2XQ8B</t>
        </is>
      </c>
      <c r="F41" s="7" t="n"/>
      <c r="G41" s="10" t="n"/>
      <c r="H41" s="39" t="n"/>
      <c r="I41" s="12" t="n"/>
      <c r="J41" s="37" t="n"/>
      <c r="K41" s="40" t="n"/>
      <c r="L41" s="7" t="n"/>
      <c r="M41" s="14" t="n">
        <v>1</v>
      </c>
      <c r="N41" s="6" t="n"/>
      <c r="O41" s="15" t="n"/>
      <c r="P41" s="15" t="n"/>
      <c r="Q41" s="16" t="n"/>
      <c r="R41" s="15" t="n"/>
      <c r="S41" s="17" t="n"/>
      <c r="T41" s="15" t="n"/>
      <c r="U41" s="15" t="n"/>
      <c r="V41" s="15" t="n"/>
      <c r="W41" s="15" t="n"/>
    </row>
    <row r="42">
      <c r="A42" s="6" t="n"/>
      <c r="B42" s="7" t="n"/>
      <c r="C42" s="7" t="n"/>
      <c r="D42" s="37" t="n"/>
      <c r="E42" s="38" t="inlineStr">
        <is>
          <t>26072711471783v1Ybwtvm</t>
        </is>
      </c>
      <c r="F42" s="7" t="n"/>
      <c r="G42" s="10" t="n"/>
      <c r="H42" s="39" t="n"/>
      <c r="I42" s="12" t="n"/>
      <c r="J42" s="37" t="n"/>
      <c r="K42" s="40" t="n"/>
      <c r="L42" s="7" t="n"/>
      <c r="M42" s="14" t="n">
        <v>1</v>
      </c>
      <c r="N42" s="6" t="n"/>
      <c r="O42" s="15" t="n"/>
      <c r="P42" s="15" t="n"/>
      <c r="Q42" s="16" t="n"/>
      <c r="R42" s="15" t="n"/>
      <c r="S42" s="17" t="n"/>
      <c r="T42" s="15" t="n"/>
      <c r="U42" s="15" t="n"/>
      <c r="V42" s="15" t="n"/>
      <c r="W42" s="15" t="n"/>
    </row>
    <row r="43">
      <c r="A43" s="6" t="inlineStr">
        <is>
          <t>Apotek Fikri Setu Cipayung</t>
        </is>
      </c>
      <c r="B43" s="7" t="inlineStr">
        <is>
          <t>AWB02WL7H</t>
        </is>
      </c>
      <c r="C43" s="7" t="n">
        <v>2.74</v>
      </c>
      <c r="D43" s="37" t="n">
        <v>0.010439</v>
      </c>
      <c r="E43" s="38" t="inlineStr">
        <is>
          <t>260728022212646PTExoyK</t>
        </is>
      </c>
      <c r="F43" s="7" t="n">
        <v>10722</v>
      </c>
      <c r="G43" s="10" t="inlineStr">
        <is>
          <t>260728022212646PTExoyK-26072802221264cGexMLOGnr-26072802221264tBcTbwVSiT</t>
        </is>
      </c>
      <c r="H43" s="39" t="inlineStr">
        <is>
          <t>P4N</t>
        </is>
      </c>
      <c r="I43" s="12" t="inlineStr">
        <is>
          <t>10722-Jalan Terusan Mabes Hankam RT 007 RW 004, Desa/Kelurahan Setu, Kecamatan Cipayung, Kota Administrasi Jakarta Timur, DKI Jakarta 13880</t>
        </is>
      </c>
      <c r="J43" s="37" t="n">
        <v>13880</v>
      </c>
      <c r="K43" s="40" t="inlineStr">
        <is>
          <t>Kota Jakarta Timur</t>
        </is>
      </c>
      <c r="L43" s="7" t="inlineStr">
        <is>
          <t>628176566205</t>
        </is>
      </c>
      <c r="M43" s="14" t="n">
        <v>1</v>
      </c>
      <c r="N43" s="6" t="n"/>
      <c r="O43" s="15" t="n"/>
      <c r="P43" s="15" t="n"/>
      <c r="Q43" s="16" t="n"/>
      <c r="R43" s="15" t="n"/>
      <c r="S43" s="17" t="n"/>
      <c r="T43" s="15" t="n"/>
      <c r="U43" s="15" t="n"/>
      <c r="V43" s="15" t="n"/>
      <c r="W43" s="15" t="n"/>
    </row>
    <row r="44">
      <c r="A44" s="6" t="n"/>
      <c r="B44" s="7" t="n"/>
      <c r="C44" s="7" t="n"/>
      <c r="D44" s="37" t="n"/>
      <c r="E44" s="38" t="inlineStr">
        <is>
          <t>26072802221264cGexMLOGnr</t>
        </is>
      </c>
      <c r="F44" s="7" t="n"/>
      <c r="G44" s="10" t="n"/>
      <c r="H44" s="39" t="n"/>
      <c r="I44" s="12" t="n"/>
      <c r="J44" s="37" t="n"/>
      <c r="K44" s="40" t="n"/>
      <c r="L44" s="7" t="n"/>
      <c r="M44" s="14" t="n">
        <v>1</v>
      </c>
      <c r="N44" s="6" t="n"/>
      <c r="O44" s="15" t="n"/>
      <c r="P44" s="15" t="n"/>
      <c r="Q44" s="16" t="n"/>
      <c r="R44" s="15" t="n"/>
      <c r="S44" s="17" t="n"/>
      <c r="T44" s="15" t="n"/>
      <c r="U44" s="15" t="n"/>
      <c r="V44" s="15" t="n"/>
      <c r="W44" s="15" t="n"/>
    </row>
    <row r="45">
      <c r="A45" s="6" t="n"/>
      <c r="B45" s="7" t="n"/>
      <c r="C45" s="7" t="n"/>
      <c r="D45" s="37" t="n"/>
      <c r="E45" s="38" t="inlineStr">
        <is>
          <t>26072802221264tBcTbwVSiT</t>
        </is>
      </c>
      <c r="F45" s="7" t="n"/>
      <c r="G45" s="10" t="n"/>
      <c r="H45" s="39" t="n"/>
      <c r="I45" s="12" t="n"/>
      <c r="J45" s="37" t="n"/>
      <c r="K45" s="40" t="n"/>
      <c r="L45" s="7" t="n"/>
      <c r="M45" s="14" t="n">
        <v>1</v>
      </c>
      <c r="N45" s="6" t="n"/>
      <c r="O45" s="15" t="n"/>
      <c r="P45" s="15" t="n"/>
      <c r="Q45" s="16" t="n"/>
      <c r="R45" s="15" t="n"/>
      <c r="S45" s="17" t="n"/>
      <c r="T45" s="15" t="n"/>
      <c r="U45" s="15" t="n"/>
      <c r="V45" s="15" t="n"/>
      <c r="W45" s="15" t="n"/>
    </row>
    <row r="46">
      <c r="A46" s="6" t="inlineStr">
        <is>
          <t>Apotek G Farma Kranggan</t>
        </is>
      </c>
      <c r="B46" s="7" t="inlineStr">
        <is>
          <t>AWB02WKJ4</t>
        </is>
      </c>
      <c r="C46" s="7" t="n">
        <v>0.46</v>
      </c>
      <c r="D46" s="37" t="n">
        <v>0.00433</v>
      </c>
      <c r="E46" s="38" t="inlineStr">
        <is>
          <t>26072800590510bpZcrNFC5H</t>
        </is>
      </c>
      <c r="F46" s="7" t="n">
        <v>552</v>
      </c>
      <c r="G46" s="10" t="inlineStr">
        <is>
          <t>26072800590510bpZcrNFC5H-26072800590510PNkY214v7</t>
        </is>
      </c>
      <c r="H46" s="39" t="inlineStr">
        <is>
          <t>P4N</t>
        </is>
      </c>
      <c r="I46" s="12" t="inlineStr">
        <is>
          <t>552-Ruko Kranggan Permai Blok RT 2 No. 4, RT 015 RW 015, Kelurahan Jatisampurna, Kecamatan Jatisampurna, Kota Bekasi, Jawa Barat 17433</t>
        </is>
      </c>
      <c r="J46" s="37" t="n">
        <v>17433</v>
      </c>
      <c r="K46" s="40" t="inlineStr">
        <is>
          <t>Kota Bekasi</t>
        </is>
      </c>
      <c r="L46" s="7" t="inlineStr">
        <is>
          <t>81932511145</t>
        </is>
      </c>
      <c r="M46" s="14" t="n">
        <v>1</v>
      </c>
      <c r="N46" s="6" t="n"/>
      <c r="O46" s="15" t="n"/>
      <c r="P46" s="15" t="n"/>
      <c r="Q46" s="16" t="n"/>
      <c r="R46" s="15" t="n"/>
      <c r="S46" s="17" t="n"/>
      <c r="T46" s="15" t="n"/>
      <c r="U46" s="15" t="n"/>
      <c r="V46" s="15" t="n"/>
      <c r="W46" s="15" t="n"/>
    </row>
    <row r="47">
      <c r="A47" s="6" t="n"/>
      <c r="B47" s="7" t="n"/>
      <c r="C47" s="7" t="n"/>
      <c r="D47" s="37" t="n"/>
      <c r="E47" s="38" t="inlineStr">
        <is>
          <t>26072800590510PNkY214v7</t>
        </is>
      </c>
      <c r="F47" s="7" t="n"/>
      <c r="G47" s="10" t="n"/>
      <c r="H47" s="39" t="n"/>
      <c r="I47" s="12" t="n"/>
      <c r="J47" s="37" t="n"/>
      <c r="K47" s="40" t="n"/>
      <c r="L47" s="7" t="n"/>
      <c r="M47" s="14" t="n">
        <v>1</v>
      </c>
      <c r="N47" s="6" t="n"/>
      <c r="O47" s="15" t="n"/>
      <c r="P47" s="15" t="n"/>
      <c r="Q47" s="16" t="n"/>
      <c r="R47" s="15" t="n"/>
      <c r="S47" s="17" t="n"/>
      <c r="T47" s="15" t="n"/>
      <c r="U47" s="15" t="n"/>
      <c r="V47" s="15" t="n"/>
      <c r="W47" s="15" t="n"/>
    </row>
    <row r="48">
      <c r="A48" s="6" t="inlineStr">
        <is>
          <t>Apotek Gaharu 926</t>
        </is>
      </c>
      <c r="B48" s="7" t="inlineStr">
        <is>
          <t>AWB02WKD5</t>
        </is>
      </c>
      <c r="C48" s="7" t="n">
        <v>1.4</v>
      </c>
      <c r="D48" s="37" t="n">
        <v>0.006592</v>
      </c>
      <c r="E48" s="38" t="inlineStr">
        <is>
          <t>26072800084322Zg0uQsbhY</t>
        </is>
      </c>
      <c r="F48" s="7" t="n">
        <v>926</v>
      </c>
      <c r="G48" s="10" t="inlineStr">
        <is>
          <t>26072800084322Zg0uQsbhY</t>
        </is>
      </c>
      <c r="H48" s="39" t="inlineStr">
        <is>
          <t>P4N</t>
        </is>
      </c>
      <c r="I48" s="16" t="inlineStr">
        <is>
          <t>926-Jl. Kramat 3 Ruko Perumahan Gaharu No.C7, Sukatani, Kec. Tapos, Kota Depok</t>
        </is>
      </c>
      <c r="J48" s="41" t="n">
        <v>16454</v>
      </c>
      <c r="K48" s="42" t="inlineStr">
        <is>
          <t>Kota Depok</t>
        </is>
      </c>
      <c r="L48" s="7" t="inlineStr">
        <is>
          <t>2122920093</t>
        </is>
      </c>
      <c r="M48" s="14" t="n">
        <v>1</v>
      </c>
      <c r="N48" s="6" t="n"/>
      <c r="O48" s="15" t="n"/>
      <c r="P48" s="15" t="n"/>
      <c r="Q48" s="16" t="n"/>
      <c r="R48" s="15" t="n"/>
      <c r="S48" s="17" t="n"/>
      <c r="T48" s="15" t="n"/>
      <c r="U48" s="15" t="n"/>
      <c r="V48" s="15" t="n"/>
      <c r="W48" s="15" t="n"/>
    </row>
    <row r="49">
      <c r="A49" s="6" t="inlineStr">
        <is>
          <t>Apotek Gemintang Farma Jatimelati Pondok Melati</t>
        </is>
      </c>
      <c r="B49" s="7" t="inlineStr">
        <is>
          <t>AWB02WLJ2</t>
        </is>
      </c>
      <c r="C49" s="7" t="n">
        <v>8.32</v>
      </c>
      <c r="D49" s="37" t="n">
        <v>0.025131</v>
      </c>
      <c r="E49" s="38" t="inlineStr">
        <is>
          <t>26072802471485AaAsvhvmkO</t>
        </is>
      </c>
      <c r="F49" s="7" t="n">
        <v>11120</v>
      </c>
      <c r="G49" s="10" t="inlineStr">
        <is>
          <t>26072802471485AaAsvhvmkO-26072802471485DBoYI0b3e-26072802471485G6fx5GyCjY</t>
        </is>
      </c>
      <c r="H49" s="39" t="inlineStr">
        <is>
          <t>P4N</t>
        </is>
      </c>
      <c r="I49" s="12" t="inlineStr">
        <is>
          <t>11120-Jalan Raya Kampung Sawah No 50, Desa/Kelurahan Jatimelati, Kecamatan Pondokmelati, Kota Bekasi,Jawa Barat,17414</t>
        </is>
      </c>
      <c r="J49" s="37" t="n">
        <v>17414</v>
      </c>
      <c r="K49" s="40" t="inlineStr">
        <is>
          <t>Kota Bekasi</t>
        </is>
      </c>
      <c r="L49" s="7" t="inlineStr">
        <is>
          <t>6285691132174</t>
        </is>
      </c>
      <c r="M49" s="14" t="n">
        <v>1</v>
      </c>
      <c r="N49" s="6" t="n"/>
      <c r="O49" s="15" t="n"/>
      <c r="P49" s="15" t="n"/>
      <c r="Q49" s="16" t="n"/>
      <c r="R49" s="15" t="n"/>
      <c r="S49" s="17" t="n"/>
      <c r="T49" s="15" t="n"/>
      <c r="U49" s="15" t="n"/>
      <c r="V49" s="15" t="n"/>
      <c r="W49" s="15" t="n"/>
    </row>
    <row r="50">
      <c r="A50" s="6" t="n"/>
      <c r="B50" s="7" t="n"/>
      <c r="C50" s="7" t="n"/>
      <c r="D50" s="37" t="n"/>
      <c r="E50" s="38" t="inlineStr">
        <is>
          <t>26072802471485DBoYI0b3e</t>
        </is>
      </c>
      <c r="F50" s="7" t="n"/>
      <c r="G50" s="10" t="n"/>
      <c r="H50" s="39" t="n"/>
      <c r="I50" s="12" t="n"/>
      <c r="J50" s="37" t="n"/>
      <c r="K50" s="40" t="n"/>
      <c r="L50" s="7" t="n"/>
      <c r="M50" s="14" t="n">
        <v>1</v>
      </c>
      <c r="N50" s="6" t="n"/>
      <c r="O50" s="15" t="n"/>
      <c r="P50" s="15" t="n"/>
      <c r="Q50" s="16" t="n"/>
      <c r="R50" s="15" t="n"/>
      <c r="S50" s="17" t="n"/>
      <c r="T50" s="15" t="n"/>
      <c r="U50" s="15" t="n"/>
      <c r="V50" s="15" t="n"/>
      <c r="W50" s="15" t="n"/>
    </row>
    <row r="51">
      <c r="A51" s="6" t="n"/>
      <c r="B51" s="7" t="n"/>
      <c r="C51" s="7" t="n"/>
      <c r="D51" s="37" t="n"/>
      <c r="E51" s="38" t="inlineStr">
        <is>
          <t>26072802471485G6fx5GyCjY</t>
        </is>
      </c>
      <c r="F51" s="7" t="n"/>
      <c r="G51" s="10" t="n"/>
      <c r="H51" s="39" t="n"/>
      <c r="I51" s="12" t="n"/>
      <c r="J51" s="37" t="n"/>
      <c r="K51" s="40" t="n"/>
      <c r="L51" s="7" t="n"/>
      <c r="M51" s="14" t="n">
        <v>1</v>
      </c>
      <c r="N51" s="6" t="n"/>
      <c r="O51" s="15" t="n"/>
      <c r="P51" s="15" t="n"/>
      <c r="Q51" s="16" t="n"/>
      <c r="R51" s="15" t="n"/>
      <c r="S51" s="17" t="n"/>
      <c r="T51" s="15" t="n"/>
      <c r="U51" s="15" t="n"/>
      <c r="V51" s="15" t="n"/>
      <c r="W51" s="15" t="n"/>
    </row>
    <row r="52">
      <c r="A52" s="6" t="inlineStr">
        <is>
          <t>Apotek Ghanim Farma Tanah Baru Beji</t>
        </is>
      </c>
      <c r="B52" s="7" t="inlineStr">
        <is>
          <t>AWB02WM53</t>
        </is>
      </c>
      <c r="C52" s="7" t="n">
        <v>2.22</v>
      </c>
      <c r="D52" s="37" t="n">
        <v>0.009169999999999999</v>
      </c>
      <c r="E52" s="38" t="inlineStr">
        <is>
          <t>26072803313223Ps0Z2kIHf</t>
        </is>
      </c>
      <c r="F52" s="7" t="n">
        <v>17924</v>
      </c>
      <c r="G52" s="10" t="inlineStr">
        <is>
          <t>26072803313223Ps0Z2kIHf-26072803313223vSJNdDD6HK</t>
        </is>
      </c>
      <c r="H52" s="39" t="inlineStr">
        <is>
          <t>P4N</t>
        </is>
      </c>
      <c r="I52" s="12" t="inlineStr">
        <is>
          <t>17924-Jl. Raden Sanim No.77 B RT 006 RW 012, Desa/Kelurahan Tanah Baru, Kec.Beji, Kota Depok</t>
        </is>
      </c>
      <c r="J52" s="37" t="n">
        <v>16426</v>
      </c>
      <c r="K52" s="40" t="inlineStr">
        <is>
          <t>Kota Depok</t>
        </is>
      </c>
      <c r="L52" s="7" t="inlineStr">
        <is>
          <t>6282285086937</t>
        </is>
      </c>
      <c r="M52" s="14" t="n">
        <v>1</v>
      </c>
      <c r="N52" s="6" t="n"/>
      <c r="O52" s="15" t="n"/>
      <c r="P52" s="15" t="n"/>
      <c r="Q52" s="16" t="n"/>
      <c r="R52" s="15" t="n"/>
      <c r="S52" s="17" t="n"/>
      <c r="T52" s="15" t="n"/>
      <c r="U52" s="15" t="n"/>
      <c r="V52" s="15" t="n"/>
      <c r="W52" s="15" t="n"/>
    </row>
    <row r="53">
      <c r="A53" s="6" t="n"/>
      <c r="B53" s="7" t="n"/>
      <c r="C53" s="7" t="n"/>
      <c r="D53" s="37" t="n"/>
      <c r="E53" s="38" t="inlineStr">
        <is>
          <t>26072803313223vSJNdDD6HK</t>
        </is>
      </c>
      <c r="F53" s="7" t="n"/>
      <c r="G53" s="10" t="n"/>
      <c r="H53" s="39" t="n"/>
      <c r="I53" s="12" t="n"/>
      <c r="J53" s="37" t="n"/>
      <c r="K53" s="40" t="n"/>
      <c r="L53" s="7" t="n"/>
      <c r="M53" s="14" t="n">
        <v>1</v>
      </c>
      <c r="N53" s="6" t="n"/>
      <c r="O53" s="15" t="n"/>
      <c r="P53" s="15" t="n"/>
      <c r="Q53" s="16" t="n"/>
      <c r="R53" s="15" t="n"/>
      <c r="S53" s="17" t="n"/>
      <c r="T53" s="15" t="n"/>
      <c r="U53" s="15" t="n"/>
      <c r="V53" s="15" t="n"/>
      <c r="W53" s="15" t="n"/>
    </row>
    <row r="54">
      <c r="A54" s="6" t="inlineStr">
        <is>
          <t>Apotek GM Pharma Cipayung Cipayung</t>
        </is>
      </c>
      <c r="B54" s="7" t="inlineStr">
        <is>
          <t>AWB02WMFG</t>
        </is>
      </c>
      <c r="C54" s="7" t="n">
        <v>1.23</v>
      </c>
      <c r="D54" s="37" t="n">
        <v>0.015442</v>
      </c>
      <c r="E54" s="38" t="inlineStr">
        <is>
          <t>26072803595231IFhVy7FfL</t>
        </is>
      </c>
      <c r="F54" s="7" t="n">
        <v>15649</v>
      </c>
      <c r="G54" s="10" t="inlineStr">
        <is>
          <t>26072803595231IFhVy7FfL-26072803595231KnRYgpyZ8-26072803595231q7AHq7ty9T</t>
        </is>
      </c>
      <c r="H54" s="39" t="inlineStr">
        <is>
          <t>P4N</t>
        </is>
      </c>
      <c r="I54" s="12" t="inlineStr">
        <is>
          <t>15649-Jl. Raya Setu Cipayung No. 17C, Desa/Kelurahan Cipayung, Kec. Cipayung, Kota Adm. Jakarta Timur</t>
        </is>
      </c>
      <c r="J54" s="37" t="n">
        <v>13840</v>
      </c>
      <c r="K54" s="40" t="inlineStr">
        <is>
          <t>Kota Jakarta Timur</t>
        </is>
      </c>
      <c r="L54" s="7" t="inlineStr">
        <is>
          <t>6287882243635</t>
        </is>
      </c>
      <c r="M54" s="14" t="n">
        <v>1</v>
      </c>
      <c r="N54" s="6" t="n"/>
      <c r="O54" s="15" t="n"/>
      <c r="P54" s="15" t="n"/>
      <c r="Q54" s="16" t="n"/>
      <c r="R54" s="15" t="n"/>
      <c r="S54" s="17" t="n"/>
      <c r="T54" s="15" t="n"/>
      <c r="U54" s="15" t="n"/>
      <c r="V54" s="15" t="n"/>
      <c r="W54" s="15" t="n"/>
    </row>
    <row r="55">
      <c r="A55" s="6" t="n"/>
      <c r="B55" s="7" t="n"/>
      <c r="C55" s="7" t="n"/>
      <c r="D55" s="37" t="n"/>
      <c r="E55" s="38" t="inlineStr">
        <is>
          <t>26072803595231KnRYgpyZ8</t>
        </is>
      </c>
      <c r="F55" s="7" t="n"/>
      <c r="G55" s="10" t="n"/>
      <c r="H55" s="39" t="n"/>
      <c r="I55" s="12" t="n"/>
      <c r="J55" s="37" t="n"/>
      <c r="K55" s="40" t="n"/>
      <c r="L55" s="7" t="n"/>
      <c r="M55" s="14" t="n">
        <v>2</v>
      </c>
      <c r="N55" s="6" t="n"/>
      <c r="O55" s="15" t="n"/>
      <c r="P55" s="15" t="n"/>
      <c r="Q55" s="16" t="n"/>
      <c r="R55" s="15" t="n"/>
      <c r="S55" s="17" t="n"/>
      <c r="T55" s="15" t="n"/>
      <c r="U55" s="15" t="n"/>
      <c r="V55" s="15" t="n"/>
      <c r="W55" s="15" t="n"/>
    </row>
    <row r="56">
      <c r="A56" s="6" t="n"/>
      <c r="B56" s="7" t="n"/>
      <c r="C56" s="7" t="n"/>
      <c r="D56" s="37" t="n"/>
      <c r="E56" s="38" t="inlineStr">
        <is>
          <t>26072803595231q7AHq7ty9T</t>
        </is>
      </c>
      <c r="F56" s="7" t="n"/>
      <c r="G56" s="10" t="n"/>
      <c r="H56" s="39" t="n"/>
      <c r="I56" s="12" t="n"/>
      <c r="J56" s="37" t="n"/>
      <c r="K56" s="40" t="n"/>
      <c r="L56" s="7" t="n"/>
      <c r="M56" s="14" t="n">
        <v>1</v>
      </c>
      <c r="N56" s="6" t="n"/>
      <c r="O56" s="15" t="n"/>
      <c r="P56" s="15" t="n"/>
      <c r="Q56" s="16" t="n"/>
      <c r="R56" s="15" t="n"/>
      <c r="S56" s="17" t="n"/>
      <c r="T56" s="15" t="n"/>
      <c r="U56" s="15" t="n"/>
      <c r="V56" s="15" t="n"/>
      <c r="W56" s="15" t="n"/>
    </row>
    <row r="57">
      <c r="A57" s="6" t="inlineStr">
        <is>
          <t>Apotek GMF Farma Depok Pancoran Mas</t>
        </is>
      </c>
      <c r="B57" s="7" t="inlineStr">
        <is>
          <t>AWB02WJCE</t>
        </is>
      </c>
      <c r="C57" s="7" t="n">
        <v>2.23</v>
      </c>
      <c r="D57" s="37" t="n">
        <v>0.007237</v>
      </c>
      <c r="E57" s="38" t="inlineStr">
        <is>
          <t>260727083612480BwhS7OPy</t>
        </is>
      </c>
      <c r="F57" s="7" t="n">
        <v>16693</v>
      </c>
      <c r="G57" s="10" t="inlineStr">
        <is>
          <t>260727083612480BwhS7OPy-26072708361248hJgpwuitfd-26072708361248qXuEbCMerV</t>
        </is>
      </c>
      <c r="H57" s="39" t="inlineStr">
        <is>
          <t>P4N</t>
        </is>
      </c>
      <c r="I57" s="12" t="inlineStr">
        <is>
          <t>16693-Jl. Siliwangi No. 065 Rt. 001 Rw. 010 Kelurahan Depok Jaya, Kecamatan Pancoran Mas Kota Depok</t>
        </is>
      </c>
      <c r="J57" s="37" t="n">
        <v>16432</v>
      </c>
      <c r="K57" s="40" t="inlineStr">
        <is>
          <t>Kota Depok</t>
        </is>
      </c>
      <c r="L57" s="7" t="inlineStr">
        <is>
          <t>6281311908068</t>
        </is>
      </c>
      <c r="M57" s="14" t="n">
        <v>1</v>
      </c>
      <c r="N57" s="6" t="n"/>
      <c r="O57" s="15" t="n"/>
      <c r="P57" s="15" t="n"/>
      <c r="Q57" s="16" t="n"/>
      <c r="R57" s="15" t="n"/>
      <c r="S57" s="17" t="n"/>
      <c r="T57" s="15" t="n"/>
      <c r="U57" s="15" t="n"/>
      <c r="V57" s="15" t="n"/>
      <c r="W57" s="15" t="n"/>
    </row>
    <row r="58">
      <c r="A58" s="6" t="n"/>
      <c r="B58" s="7" t="n"/>
      <c r="C58" s="7" t="n"/>
      <c r="D58" s="37" t="n"/>
      <c r="E58" s="38" t="inlineStr">
        <is>
          <t>26072708361248hJgpwuitfd</t>
        </is>
      </c>
      <c r="F58" s="7" t="n"/>
      <c r="G58" s="10" t="n"/>
      <c r="H58" s="39" t="n"/>
      <c r="I58" s="12" t="n"/>
      <c r="J58" s="37" t="n"/>
      <c r="K58" s="40" t="n"/>
      <c r="L58" s="7" t="n"/>
      <c r="M58" s="14" t="n">
        <v>1</v>
      </c>
      <c r="N58" s="6" t="n"/>
      <c r="O58" s="15" t="n"/>
      <c r="P58" s="15" t="n"/>
      <c r="Q58" s="16" t="n"/>
      <c r="R58" s="15" t="n"/>
      <c r="S58" s="17" t="n"/>
      <c r="T58" s="15" t="n"/>
      <c r="U58" s="15" t="n"/>
      <c r="V58" s="15" t="n"/>
      <c r="W58" s="15" t="n"/>
    </row>
    <row r="59">
      <c r="A59" s="6" t="n"/>
      <c r="B59" s="7" t="n"/>
      <c r="C59" s="7" t="n"/>
      <c r="D59" s="37" t="n"/>
      <c r="E59" s="38" t="inlineStr">
        <is>
          <t>26072708361248qXuEbCMerV</t>
        </is>
      </c>
      <c r="F59" s="7" t="n"/>
      <c r="G59" s="10" t="n"/>
      <c r="H59" s="39" t="n"/>
      <c r="I59" s="12" t="n"/>
      <c r="J59" s="37" t="n"/>
      <c r="K59" s="40" t="n"/>
      <c r="L59" s="7" t="n"/>
      <c r="M59" s="14" t="n">
        <v>1</v>
      </c>
      <c r="N59" s="6" t="n"/>
      <c r="O59" s="15" t="n"/>
      <c r="P59" s="15" t="n"/>
      <c r="Q59" s="16" t="n"/>
      <c r="R59" s="15" t="n"/>
      <c r="S59" s="17" t="n"/>
      <c r="T59" s="15" t="n"/>
      <c r="U59" s="15" t="n"/>
      <c r="V59" s="15" t="n"/>
      <c r="W59" s="15" t="n"/>
    </row>
    <row r="60">
      <c r="A60" s="6" t="inlineStr">
        <is>
          <t>Apotek Golden 7952</t>
        </is>
      </c>
      <c r="B60" s="7" t="inlineStr">
        <is>
          <t>AWB02WKJS</t>
        </is>
      </c>
      <c r="C60" s="7" t="n">
        <v>1.04</v>
      </c>
      <c r="D60" s="37" t="n">
        <v>0.003174</v>
      </c>
      <c r="E60" s="38" t="inlineStr">
        <is>
          <t>26072801031567Hp24HoWZF</t>
        </is>
      </c>
      <c r="F60" s="7" t="n">
        <v>7952</v>
      </c>
      <c r="G60" s="10" t="inlineStr">
        <is>
          <t>26072801031567Hp24HoWZF</t>
        </is>
      </c>
      <c r="H60" s="39" t="inlineStr">
        <is>
          <t>P4N</t>
        </is>
      </c>
      <c r="I60" s="16" t="inlineStr">
        <is>
          <t>7952-Jl. Bakti Abri No. 41C RT. 04 RW. 8 Kel. Sukamaju Baru, Kec. Tapos Kota Depok 16462</t>
        </is>
      </c>
      <c r="J60" s="37" t="n">
        <v>16462</v>
      </c>
      <c r="K60" s="40" t="inlineStr">
        <is>
          <t>Kota Depok</t>
        </is>
      </c>
      <c r="L60" s="7" t="inlineStr">
        <is>
          <t>81380247863</t>
        </is>
      </c>
      <c r="M60" s="14" t="n">
        <v>1</v>
      </c>
      <c r="N60" s="6" t="n"/>
      <c r="O60" s="15" t="n"/>
      <c r="P60" s="15" t="n"/>
      <c r="Q60" s="16" t="n"/>
      <c r="R60" s="15" t="n"/>
      <c r="S60" s="17" t="n"/>
      <c r="T60" s="15" t="n"/>
      <c r="U60" s="15" t="n"/>
      <c r="V60" s="15" t="n"/>
      <c r="W60" s="15" t="n"/>
    </row>
    <row r="61">
      <c r="A61" s="6" t="inlineStr">
        <is>
          <t>Apotek Hanna Farma</t>
        </is>
      </c>
      <c r="B61" s="7" t="inlineStr">
        <is>
          <t>AWB02WJZ8</t>
        </is>
      </c>
      <c r="C61" s="7" t="n">
        <v>0.79</v>
      </c>
      <c r="D61" s="37" t="n">
        <v>0.00422</v>
      </c>
      <c r="E61" s="38" t="inlineStr">
        <is>
          <t>26072714525639O5nHEBIMW</t>
        </is>
      </c>
      <c r="F61" s="7" t="n">
        <v>4082</v>
      </c>
      <c r="G61" s="10" t="inlineStr">
        <is>
          <t>26072714525639O5nHEBIMW-26072714525639WMgyKzlcO2</t>
        </is>
      </c>
      <c r="H61" s="39" t="inlineStr">
        <is>
          <t>P4N</t>
        </is>
      </c>
      <c r="I61" s="12" t="inlineStr">
        <is>
          <t>4082-Ruko Golden Land Kav 2 Jl. Kemangsari RT 018 RW 007 Kelurahan Jatibening Kecamatan Pondok Gede Kota Bekasi 17412</t>
        </is>
      </c>
      <c r="J61" s="37" t="n">
        <v>17412</v>
      </c>
      <c r="K61" s="40" t="inlineStr">
        <is>
          <t>Kota Bekasi</t>
        </is>
      </c>
      <c r="L61" s="7" t="inlineStr">
        <is>
          <t>85691174363</t>
        </is>
      </c>
      <c r="M61" s="14" t="n">
        <v>1</v>
      </c>
      <c r="N61" s="6" t="n"/>
      <c r="O61" s="15" t="n"/>
      <c r="P61" s="15" t="n"/>
      <c r="Q61" s="16" t="n"/>
      <c r="R61" s="15" t="n"/>
      <c r="S61" s="17" t="n"/>
      <c r="T61" s="15" t="n"/>
      <c r="U61" s="15" t="n"/>
      <c r="V61" s="15" t="n"/>
      <c r="W61" s="15" t="n"/>
    </row>
    <row r="62">
      <c r="A62" s="6" t="n"/>
      <c r="B62" s="7" t="n"/>
      <c r="C62" s="7" t="n"/>
      <c r="D62" s="37" t="n"/>
      <c r="E62" s="38" t="inlineStr">
        <is>
          <t>26072714525639WMgyKzlcO2</t>
        </is>
      </c>
      <c r="F62" s="7" t="n"/>
      <c r="G62" s="10" t="n"/>
      <c r="H62" s="39" t="n"/>
      <c r="I62" s="12" t="n"/>
      <c r="J62" s="37" t="n"/>
      <c r="K62" s="40" t="n"/>
      <c r="L62" s="7" t="n"/>
      <c r="M62" s="14" t="n">
        <v>1</v>
      </c>
      <c r="N62" s="6" t="n"/>
      <c r="O62" s="15" t="n"/>
      <c r="P62" s="15" t="n"/>
      <c r="Q62" s="16" t="n"/>
      <c r="R62" s="15" t="n"/>
      <c r="S62" s="17" t="n"/>
      <c r="T62" s="15" t="n"/>
      <c r="U62" s="15" t="n"/>
      <c r="V62" s="15" t="n"/>
      <c r="W62" s="15" t="n"/>
    </row>
    <row r="63">
      <c r="A63" s="6" t="inlineStr">
        <is>
          <t>Apotek Imani</t>
        </is>
      </c>
      <c r="B63" s="7" t="inlineStr">
        <is>
          <t>AWB02WHJP</t>
        </is>
      </c>
      <c r="C63" s="7" t="n">
        <v>2.07</v>
      </c>
      <c r="D63" s="37" t="n">
        <v>0.00679</v>
      </c>
      <c r="E63" s="38" t="inlineStr">
        <is>
          <t>26072704165254LSWd1kcn9</t>
        </is>
      </c>
      <c r="F63" s="7" t="n">
        <v>2080</v>
      </c>
      <c r="G63" s="10" t="inlineStr">
        <is>
          <t>26072704165254LSWd1kcn9-26072801104243uTFKVy5E</t>
        </is>
      </c>
      <c r="H63" s="39" t="inlineStr">
        <is>
          <t>P4N</t>
        </is>
      </c>
      <c r="I63" s="12" t="inlineStr">
        <is>
          <t>2080-Jalan  KH. M. Usman No. 17 RT 004 RW 002 Kelurahan Kukusan Kecamatan Beji Kota Depok 16425</t>
        </is>
      </c>
      <c r="J63" s="37" t="n">
        <v>16425</v>
      </c>
      <c r="K63" s="40" t="inlineStr">
        <is>
          <t>Kota Depok</t>
        </is>
      </c>
      <c r="L63" s="7" t="inlineStr">
        <is>
          <t>8176684929</t>
        </is>
      </c>
      <c r="M63" s="14" t="n">
        <v>1</v>
      </c>
      <c r="N63" s="6" t="n"/>
      <c r="O63" s="15" t="n"/>
      <c r="P63" s="15" t="n"/>
      <c r="Q63" s="16" t="n"/>
      <c r="R63" s="15" t="n"/>
      <c r="S63" s="17" t="n"/>
      <c r="T63" s="15" t="n"/>
      <c r="U63" s="15" t="n"/>
      <c r="V63" s="15" t="n"/>
      <c r="W63" s="15" t="n"/>
    </row>
    <row r="64">
      <c r="A64" s="6" t="n"/>
      <c r="B64" s="7" t="n"/>
      <c r="C64" s="7" t="n"/>
      <c r="D64" s="37" t="n"/>
      <c r="E64" s="38" t="inlineStr">
        <is>
          <t>26072801104243uTFKVy5E</t>
        </is>
      </c>
      <c r="F64" s="7" t="n"/>
      <c r="G64" s="10" t="n"/>
      <c r="H64" s="39" t="n"/>
      <c r="I64" s="12" t="n"/>
      <c r="J64" s="37" t="n"/>
      <c r="K64" s="40" t="n"/>
      <c r="L64" s="7" t="n"/>
      <c r="M64" s="14" t="n">
        <v>1</v>
      </c>
      <c r="N64" s="6" t="n"/>
      <c r="O64" s="15" t="n"/>
      <c r="P64" s="15" t="n"/>
      <c r="Q64" s="16" t="n"/>
      <c r="R64" s="15" t="n"/>
      <c r="S64" s="17" t="n"/>
      <c r="T64" s="15" t="n"/>
      <c r="U64" s="15" t="n"/>
      <c r="V64" s="15" t="n"/>
      <c r="W64" s="15" t="n"/>
    </row>
    <row r="65">
      <c r="A65" s="6" t="inlineStr">
        <is>
          <t>Apotek Inofarma Asmawi Beji Beji</t>
        </is>
      </c>
      <c r="B65" s="7" t="inlineStr">
        <is>
          <t>AWB02WLVW</t>
        </is>
      </c>
      <c r="C65" s="7" t="n">
        <v>1.83</v>
      </c>
      <c r="D65" s="37" t="n">
        <v>0.005767</v>
      </c>
      <c r="E65" s="38" t="inlineStr">
        <is>
          <t>26072803133514fSeInejt</t>
        </is>
      </c>
      <c r="F65" s="7" t="n">
        <v>12478</v>
      </c>
      <c r="G65" s="10" t="inlineStr">
        <is>
          <t>26072803133514fSeInejt-26072803133514HsGJ4oecG9-26072803133514MJHAp1LhUM</t>
        </is>
      </c>
      <c r="H65" s="39" t="inlineStr">
        <is>
          <t>P4N</t>
        </is>
      </c>
      <c r="I65" s="12" t="inlineStr">
        <is>
          <t>12478-Jl. Haji Asmawi No.62A RT 004 RW 005 Kel. Beji Kec. Beji Kota Depok</t>
        </is>
      </c>
      <c r="J65" s="37" t="n">
        <v>16421</v>
      </c>
      <c r="K65" s="40" t="inlineStr">
        <is>
          <t>Kota Depok</t>
        </is>
      </c>
      <c r="L65" s="7" t="inlineStr">
        <is>
          <t>6282266622264</t>
        </is>
      </c>
      <c r="M65" s="14" t="n">
        <v>1</v>
      </c>
      <c r="N65" s="6" t="n"/>
      <c r="O65" s="15" t="n"/>
      <c r="P65" s="15" t="n"/>
      <c r="Q65" s="16" t="n"/>
      <c r="R65" s="15" t="n"/>
      <c r="S65" s="17" t="n"/>
      <c r="T65" s="15" t="n"/>
      <c r="U65" s="15" t="n"/>
      <c r="V65" s="15" t="n"/>
      <c r="W65" s="15" t="n"/>
    </row>
    <row r="66">
      <c r="A66" s="6" t="n"/>
      <c r="B66" s="7" t="n"/>
      <c r="C66" s="7" t="n"/>
      <c r="D66" s="37" t="n"/>
      <c r="E66" s="38" t="inlineStr">
        <is>
          <t>26072803133514HsGJ4oecG9</t>
        </is>
      </c>
      <c r="F66" s="7" t="n"/>
      <c r="G66" s="10" t="n"/>
      <c r="H66" s="39" t="n"/>
      <c r="I66" s="12" t="n"/>
      <c r="J66" s="37" t="n"/>
      <c r="K66" s="40" t="n"/>
      <c r="L66" s="7" t="n"/>
      <c r="M66" s="14" t="n">
        <v>1</v>
      </c>
      <c r="N66" s="6" t="n"/>
      <c r="O66" s="15" t="n"/>
      <c r="P66" s="15" t="n"/>
      <c r="Q66" s="16" t="n"/>
      <c r="R66" s="15" t="n"/>
      <c r="S66" s="17" t="n"/>
      <c r="T66" s="15" t="n"/>
      <c r="U66" s="15" t="n"/>
      <c r="V66" s="15" t="n"/>
      <c r="W66" s="15" t="n"/>
    </row>
    <row r="67">
      <c r="A67" s="6" t="n"/>
      <c r="B67" s="7" t="n"/>
      <c r="C67" s="7" t="n"/>
      <c r="D67" s="37" t="n"/>
      <c r="E67" s="38" t="inlineStr">
        <is>
          <t>26072803133514MJHAp1LhUM</t>
        </is>
      </c>
      <c r="F67" s="7" t="n"/>
      <c r="G67" s="10" t="n"/>
      <c r="H67" s="39" t="n"/>
      <c r="I67" s="12" t="n"/>
      <c r="J67" s="37" t="n"/>
      <c r="K67" s="40" t="n"/>
      <c r="L67" s="7" t="n"/>
      <c r="M67" s="14" t="n">
        <v>1</v>
      </c>
      <c r="N67" s="6" t="n"/>
      <c r="O67" s="15" t="n"/>
      <c r="P67" s="15" t="n"/>
      <c r="Q67" s="16" t="n"/>
      <c r="R67" s="15" t="n"/>
      <c r="S67" s="17" t="n"/>
      <c r="T67" s="15" t="n"/>
      <c r="U67" s="15" t="n"/>
      <c r="V67" s="15" t="n"/>
      <c r="W67" s="15" t="n"/>
    </row>
    <row r="68">
      <c r="A68" s="6" t="inlineStr">
        <is>
          <t>Apotek Jati Raden Jatiraden Jatisampurna</t>
        </is>
      </c>
      <c r="B68" s="7" t="inlineStr">
        <is>
          <t>AWB02WKL7</t>
        </is>
      </c>
      <c r="C68" s="7" t="n">
        <v>4.88</v>
      </c>
      <c r="D68" s="37" t="n">
        <v>0.008237</v>
      </c>
      <c r="E68" s="38" t="inlineStr">
        <is>
          <t>26072801103762I3EhQmAV9</t>
        </is>
      </c>
      <c r="F68" s="7" t="n">
        <v>12602</v>
      </c>
      <c r="G68" s="10" t="inlineStr">
        <is>
          <t>26072801103762I3EhQmAV9</t>
        </is>
      </c>
      <c r="H68" s="39" t="inlineStr">
        <is>
          <t>P4N</t>
        </is>
      </c>
      <c r="I68" s="12" t="inlineStr">
        <is>
          <t>12602-Jalan Kranggan Kulon No. 2 RT.002 RW.009, Desa/Kelurahan Jatiraden, Kec. Jatisampurna, Kota Bekasi</t>
        </is>
      </c>
      <c r="J68" s="37" t="n">
        <v>17433</v>
      </c>
      <c r="K68" s="40" t="inlineStr">
        <is>
          <t>Kota Bekasi</t>
        </is>
      </c>
      <c r="L68" s="7" t="inlineStr">
        <is>
          <t>6285715877796</t>
        </is>
      </c>
      <c r="M68" s="14" t="n">
        <v>1</v>
      </c>
      <c r="N68" s="6" t="n"/>
      <c r="O68" s="15" t="n"/>
      <c r="P68" s="15" t="n"/>
      <c r="Q68" s="16" t="n"/>
      <c r="R68" s="15" t="n"/>
      <c r="S68" s="17" t="n"/>
      <c r="T68" s="15" t="n"/>
      <c r="U68" s="15" t="n"/>
      <c r="V68" s="15" t="n"/>
      <c r="W68" s="15" t="n"/>
    </row>
    <row r="69">
      <c r="A69" s="6" t="inlineStr">
        <is>
          <t>Apotek K24 Bintang Farma</t>
        </is>
      </c>
      <c r="B69" s="7" t="inlineStr">
        <is>
          <t>AWB02WKNX</t>
        </is>
      </c>
      <c r="C69" s="7" t="n">
        <v>0.03</v>
      </c>
      <c r="D69" s="37" t="n">
        <v>0.000189</v>
      </c>
      <c r="E69" s="38" t="inlineStr">
        <is>
          <t>26072801220793TpsCocuVQ</t>
        </is>
      </c>
      <c r="F69" s="7" t="n">
        <v>4</v>
      </c>
      <c r="G69" s="10" t="inlineStr">
        <is>
          <t>26072801220793TpsCocuVQ</t>
        </is>
      </c>
      <c r="H69" s="39" t="inlineStr">
        <is>
          <t>P4N</t>
        </is>
      </c>
      <c r="I69" s="12" t="inlineStr">
        <is>
          <t>4-Jl. Kincan raya No. 17C RT.001 RW.007 Kelurahan Jatibening,Kecamatan Pondok Gede,Kota Bekasi,Jawa Barat,17412</t>
        </is>
      </c>
      <c r="J69" s="37" t="n">
        <v>17412</v>
      </c>
      <c r="K69" s="40" t="inlineStr">
        <is>
          <t>Kota Bekasi</t>
        </is>
      </c>
      <c r="L69" s="7" t="inlineStr">
        <is>
          <t>628176740151</t>
        </is>
      </c>
      <c r="M69" s="14" t="n">
        <v>1</v>
      </c>
      <c r="N69" s="6" t="n"/>
      <c r="O69" s="15" t="n"/>
      <c r="P69" s="15" t="n"/>
      <c r="Q69" s="16" t="n"/>
      <c r="R69" s="15" t="n"/>
      <c r="S69" s="17" t="n"/>
      <c r="T69" s="15" t="n"/>
      <c r="U69" s="15" t="n"/>
      <c r="V69" s="15" t="n"/>
      <c r="W69" s="15" t="n"/>
    </row>
    <row r="70">
      <c r="A70" s="6" t="inlineStr">
        <is>
          <t>Apotek K24 Grand Depok City</t>
        </is>
      </c>
      <c r="B70" s="7" t="inlineStr">
        <is>
          <t>AWB02WHSE</t>
        </is>
      </c>
      <c r="C70" s="7" t="n">
        <v>8.93</v>
      </c>
      <c r="D70" s="37" t="n">
        <v>0.045845</v>
      </c>
      <c r="E70" s="38" t="inlineStr">
        <is>
          <t>26072705014435OHwD9GRWrr</t>
        </is>
      </c>
      <c r="F70" s="7" t="n">
        <v>1113</v>
      </c>
      <c r="G70" s="10" t="inlineStr">
        <is>
          <t>26072705014435OHwD9GRWrr-26072705014435U4wjCNpuHt-26072705014435VCRwd3dm</t>
        </is>
      </c>
      <c r="H70" s="39" t="inlineStr">
        <is>
          <t>P4N</t>
        </is>
      </c>
      <c r="I70" s="12" t="inlineStr">
        <is>
          <t>1113-Perumahan Grand Depok City Sektor Caspia Blok B12 RT 002/006 Kelurahan Kalibaru Kecamatan Cilodong Depok 16414</t>
        </is>
      </c>
      <c r="J70" s="37" t="n">
        <v>16414</v>
      </c>
      <c r="K70" s="40" t="inlineStr">
        <is>
          <t>Kota Depok</t>
        </is>
      </c>
      <c r="L70" s="7" t="inlineStr">
        <is>
          <t>81298228333</t>
        </is>
      </c>
      <c r="M70" s="14" t="n">
        <v>2</v>
      </c>
      <c r="N70" s="6" t="n"/>
      <c r="O70" s="15" t="n"/>
      <c r="P70" s="15" t="n"/>
      <c r="Q70" s="16" t="n"/>
      <c r="R70" s="15" t="n"/>
      <c r="S70" s="17" t="n"/>
      <c r="T70" s="15" t="n"/>
      <c r="U70" s="15" t="n"/>
      <c r="V70" s="15" t="n"/>
      <c r="W70" s="15" t="n"/>
    </row>
    <row r="71">
      <c r="A71" s="6" t="n"/>
      <c r="B71" s="7" t="n"/>
      <c r="C71" s="7" t="n"/>
      <c r="D71" s="37" t="n"/>
      <c r="E71" s="38" t="inlineStr">
        <is>
          <t>26072705014435U4wjCNpuHt</t>
        </is>
      </c>
      <c r="F71" s="7" t="n"/>
      <c r="G71" s="10" t="n"/>
      <c r="H71" s="39" t="n"/>
      <c r="I71" s="12" t="n"/>
      <c r="J71" s="37" t="n"/>
      <c r="K71" s="40" t="n"/>
      <c r="L71" s="7" t="n"/>
      <c r="M71" s="14" t="n">
        <v>1</v>
      </c>
      <c r="N71" s="6" t="n"/>
      <c r="O71" s="15" t="n"/>
      <c r="P71" s="15" t="n"/>
      <c r="Q71" s="16" t="n"/>
      <c r="R71" s="15" t="n"/>
      <c r="S71" s="17" t="n"/>
      <c r="T71" s="15" t="n"/>
      <c r="U71" s="15" t="n"/>
      <c r="V71" s="15" t="n"/>
      <c r="W71" s="15" t="n"/>
    </row>
    <row r="72">
      <c r="A72" s="6" t="n"/>
      <c r="B72" s="7" t="n"/>
      <c r="C72" s="7" t="n"/>
      <c r="D72" s="37" t="n"/>
      <c r="E72" s="38" t="inlineStr">
        <is>
          <t>26072705014435VCRwd3dm</t>
        </is>
      </c>
      <c r="F72" s="7" t="n"/>
      <c r="G72" s="10" t="n"/>
      <c r="H72" s="39" t="n"/>
      <c r="I72" s="12" t="n"/>
      <c r="J72" s="37" t="n"/>
      <c r="K72" s="40" t="n"/>
      <c r="L72" s="7" t="n"/>
      <c r="M72" s="14" t="n">
        <v>1</v>
      </c>
      <c r="N72" s="6" t="n"/>
      <c r="O72" s="15" t="n"/>
      <c r="P72" s="15" t="n"/>
      <c r="Q72" s="16" t="n"/>
      <c r="R72" s="15" t="n"/>
      <c r="S72" s="17" t="n"/>
      <c r="T72" s="15" t="n"/>
      <c r="U72" s="15" t="n"/>
      <c r="V72" s="15" t="n"/>
      <c r="W72" s="15" t="n"/>
    </row>
    <row r="73">
      <c r="A73" s="6" t="inlineStr">
        <is>
          <t>Apotek K24 Jatiasih</t>
        </is>
      </c>
      <c r="B73" s="7" t="inlineStr">
        <is>
          <t>AWB02WHP0</t>
        </is>
      </c>
      <c r="C73" s="7" t="n">
        <v>0.71</v>
      </c>
      <c r="D73" s="37" t="n">
        <v>0.002318</v>
      </c>
      <c r="E73" s="38" t="inlineStr">
        <is>
          <t>260727043728560vNLRTQ</t>
        </is>
      </c>
      <c r="F73" s="7" t="n">
        <v>1474</v>
      </c>
      <c r="G73" s="10" t="inlineStr">
        <is>
          <t>260727043728560vNLRTQ</t>
        </is>
      </c>
      <c r="H73" s="39" t="inlineStr">
        <is>
          <t>P4N</t>
        </is>
      </c>
      <c r="I73" s="12" t="inlineStr">
        <is>
          <t>1474-Jalan Raya Jatiasih No. 1 Kelurahan Jatirasa Kecamatan Jatiasih Bekasi 17424</t>
        </is>
      </c>
      <c r="J73" s="37" t="n">
        <v>17424</v>
      </c>
      <c r="K73" s="40" t="inlineStr">
        <is>
          <t>Kota Bekasi</t>
        </is>
      </c>
      <c r="L73" s="7" t="inlineStr">
        <is>
          <t>8561566690</t>
        </is>
      </c>
      <c r="M73" s="14" t="n">
        <v>1</v>
      </c>
      <c r="N73" s="6" t="n"/>
      <c r="O73" s="15" t="n"/>
      <c r="P73" s="15" t="n"/>
      <c r="Q73" s="16" t="n"/>
      <c r="R73" s="15" t="n"/>
      <c r="S73" s="17" t="n"/>
      <c r="T73" s="15" t="n"/>
      <c r="U73" s="15" t="n"/>
      <c r="V73" s="15" t="n"/>
      <c r="W73" s="15" t="n"/>
    </row>
    <row r="74">
      <c r="A74" s="6" t="inlineStr">
        <is>
          <t>Apotek K24 Jatirahayu Jatirahayu Pondok Melati</t>
        </is>
      </c>
      <c r="B74" s="7" t="inlineStr">
        <is>
          <t>AWB02WLRF</t>
        </is>
      </c>
      <c r="C74" s="7" t="n">
        <v>3.02</v>
      </c>
      <c r="D74" s="37" t="n">
        <v>0.008359999999999999</v>
      </c>
      <c r="E74" s="38" t="inlineStr">
        <is>
          <t>260728030109194Fw15EUDO</t>
        </is>
      </c>
      <c r="F74" s="7" t="n">
        <v>13059</v>
      </c>
      <c r="G74" s="10" t="inlineStr">
        <is>
          <t>260728030109194Fw15EUDO-26072803010919wmzmZTNRPG-26072803010919Z6M7BwAYQ4</t>
        </is>
      </c>
      <c r="H74" s="39" t="inlineStr">
        <is>
          <t>P4N</t>
        </is>
      </c>
      <c r="I74" s="12" t="inlineStr">
        <is>
          <t>13059-Jl Raya Hankam No. 114 Kel. Jatirahayu Kec. Pondok Melati Kota Bekasi</t>
        </is>
      </c>
      <c r="J74" s="37" t="n">
        <v>17414</v>
      </c>
      <c r="K74" s="40" t="inlineStr">
        <is>
          <t>Kota Bekasi</t>
        </is>
      </c>
      <c r="L74" s="7" t="inlineStr">
        <is>
          <t>6282283312589</t>
        </is>
      </c>
      <c r="M74" s="14" t="n">
        <v>1</v>
      </c>
      <c r="N74" s="6" t="n"/>
      <c r="O74" s="15" t="n"/>
      <c r="P74" s="15" t="n"/>
      <c r="Q74" s="16" t="n"/>
      <c r="R74" s="15" t="n"/>
      <c r="S74" s="17" t="n"/>
      <c r="T74" s="15" t="n"/>
      <c r="U74" s="15" t="n"/>
      <c r="V74" s="15" t="n"/>
      <c r="W74" s="15" t="n"/>
    </row>
    <row r="75">
      <c r="A75" s="6" t="n"/>
      <c r="B75" s="7" t="n"/>
      <c r="C75" s="7" t="n"/>
      <c r="D75" s="37" t="n"/>
      <c r="E75" s="38" t="inlineStr">
        <is>
          <t>26072803010919wmzmZTNRPG</t>
        </is>
      </c>
      <c r="F75" s="7" t="n"/>
      <c r="G75" s="10" t="n"/>
      <c r="H75" s="39" t="n"/>
      <c r="I75" s="12" t="n"/>
      <c r="J75" s="37" t="n"/>
      <c r="K75" s="40" t="n"/>
      <c r="L75" s="7" t="n"/>
      <c r="M75" s="14" t="n">
        <v>1</v>
      </c>
      <c r="N75" s="6" t="n"/>
      <c r="O75" s="15" t="n"/>
      <c r="P75" s="15" t="n"/>
      <c r="Q75" s="16" t="n"/>
      <c r="R75" s="15" t="n"/>
      <c r="S75" s="17" t="n"/>
      <c r="T75" s="15" t="n"/>
      <c r="U75" s="15" t="n"/>
      <c r="V75" s="15" t="n"/>
      <c r="W75" s="15" t="n"/>
    </row>
    <row r="76">
      <c r="A76" s="6" t="n"/>
      <c r="B76" s="7" t="n"/>
      <c r="C76" s="7" t="n"/>
      <c r="D76" s="37" t="n"/>
      <c r="E76" s="38" t="inlineStr">
        <is>
          <t>26072803010919Z6M7BwAYQ4</t>
        </is>
      </c>
      <c r="F76" s="7" t="n"/>
      <c r="G76" s="10" t="n"/>
      <c r="H76" s="39" t="n"/>
      <c r="I76" s="12" t="n"/>
      <c r="J76" s="37" t="n"/>
      <c r="K76" s="40" t="n"/>
      <c r="L76" s="7" t="n"/>
      <c r="M76" s="14" t="n">
        <v>1</v>
      </c>
      <c r="N76" s="6" t="n"/>
      <c r="O76" s="15" t="n"/>
      <c r="P76" s="15" t="n"/>
      <c r="Q76" s="16" t="n"/>
      <c r="R76" s="15" t="n"/>
      <c r="S76" s="17" t="n"/>
      <c r="T76" s="15" t="n"/>
      <c r="U76" s="15" t="n"/>
      <c r="V76" s="15" t="n"/>
      <c r="W76" s="15" t="n"/>
    </row>
    <row r="77">
      <c r="A77" s="6" t="inlineStr">
        <is>
          <t>Apotek K24 Meruyung Depok</t>
        </is>
      </c>
      <c r="B77" s="7" t="inlineStr">
        <is>
          <t>AWB02WDF1</t>
        </is>
      </c>
      <c r="C77" s="7" t="n">
        <v>0.85</v>
      </c>
      <c r="D77" s="37" t="n">
        <v>0.00165</v>
      </c>
      <c r="E77" s="38" t="inlineStr">
        <is>
          <t>26072606505263XHL2DBii</t>
        </is>
      </c>
      <c r="F77" s="7" t="n">
        <v>8254</v>
      </c>
      <c r="G77" s="10" t="inlineStr">
        <is>
          <t>26072606505263XHL2DBii</t>
        </is>
      </c>
      <c r="H77" s="39" t="inlineStr">
        <is>
          <t>P4N</t>
        </is>
      </c>
      <c r="I77" s="12" t="inlineStr">
        <is>
          <t>8254-Jl. Parung Bingung RT 01 RW 10 Kel. Rangkapan Jaya, Kec. Pancoran Mas, Kota Depok, 16434</t>
        </is>
      </c>
      <c r="J77" s="37" t="n">
        <v>16434</v>
      </c>
      <c r="K77" s="40" t="inlineStr">
        <is>
          <t>Kota Depok</t>
        </is>
      </c>
      <c r="L77" s="7" t="inlineStr">
        <is>
          <t>6281318526502</t>
        </is>
      </c>
      <c r="M77" s="14" t="n">
        <v>1</v>
      </c>
      <c r="N77" s="6" t="n"/>
      <c r="O77" s="15" t="n"/>
      <c r="P77" s="15" t="n"/>
      <c r="Q77" s="16" t="n"/>
      <c r="R77" s="15" t="n"/>
      <c r="S77" s="17" t="n"/>
      <c r="T77" s="15" t="n"/>
      <c r="U77" s="15" t="n"/>
      <c r="V77" s="15" t="n"/>
      <c r="W77" s="15" t="n"/>
    </row>
    <row r="78">
      <c r="A78" s="6" t="inlineStr">
        <is>
          <t>Apotek Kalilicin Rangkapan Jaya Pancoran Mas</t>
        </is>
      </c>
      <c r="B78" s="7" t="inlineStr">
        <is>
          <t>AWB02WHMZ</t>
        </is>
      </c>
      <c r="C78" s="7" t="n">
        <v>2.17</v>
      </c>
      <c r="D78" s="37" t="n">
        <v>0.009005000000000001</v>
      </c>
      <c r="E78" s="38" t="inlineStr">
        <is>
          <t>26072704305528ppN2RL5</t>
        </is>
      </c>
      <c r="F78" s="7" t="n">
        <v>9208</v>
      </c>
      <c r="G78" s="10" t="inlineStr">
        <is>
          <t>26072704305528ppN2RL5</t>
        </is>
      </c>
      <c r="H78" s="39" t="inlineStr">
        <is>
          <t>P4N</t>
        </is>
      </c>
      <c r="I78" s="12" t="inlineStr">
        <is>
          <t>9208-Ruko Rangkapan Jaya No 02-03, Kel. Rangkapan Jaya, Kec. Pancoran Mas, Kota Depok 16435</t>
        </is>
      </c>
      <c r="J78" s="37" t="n">
        <v>16435</v>
      </c>
      <c r="K78" s="40" t="inlineStr">
        <is>
          <t>Kota Depok</t>
        </is>
      </c>
      <c r="L78" s="7" t="inlineStr">
        <is>
          <t>215703335</t>
        </is>
      </c>
      <c r="M78" s="14" t="n">
        <v>1</v>
      </c>
      <c r="N78" s="6" t="n"/>
      <c r="O78" s="15" t="n"/>
      <c r="P78" s="15" t="n"/>
      <c r="Q78" s="16" t="n"/>
      <c r="R78" s="15" t="n"/>
      <c r="S78" s="17" t="n"/>
      <c r="T78" s="15" t="n"/>
      <c r="U78" s="15" t="n"/>
      <c r="V78" s="15" t="n"/>
      <c r="W78" s="15" t="n"/>
    </row>
    <row r="79">
      <c r="A79" s="6" t="inlineStr">
        <is>
          <t>Apotek Kalimulya Kalimulya Cilodong</t>
        </is>
      </c>
      <c r="B79" s="7" t="inlineStr">
        <is>
          <t>AWB02WMBR</t>
        </is>
      </c>
      <c r="C79" s="7" t="n">
        <v>6.83</v>
      </c>
      <c r="D79" s="37" t="n">
        <v>0.017522</v>
      </c>
      <c r="E79" s="38" t="inlineStr">
        <is>
          <t>260728035150397r7WBD2c6</t>
        </is>
      </c>
      <c r="F79" s="7" t="n">
        <v>13426</v>
      </c>
      <c r="G79" s="10" t="inlineStr">
        <is>
          <t>260728035150397r7WBD2c6-26072803515040WR8YD6H9a</t>
        </is>
      </c>
      <c r="H79" s="39" t="inlineStr">
        <is>
          <t>P4N</t>
        </is>
      </c>
      <c r="I79" s="12" t="inlineStr">
        <is>
          <t>13426-Jl. Raya Kalimulya RT. 005 RW. 002, Desa/Kel. Kalimulya, Kec. Cilodong, Kota Depok</t>
        </is>
      </c>
      <c r="J79" s="37" t="n">
        <v>16413</v>
      </c>
      <c r="K79" s="40" t="inlineStr">
        <is>
          <t>Kota Depok</t>
        </is>
      </c>
      <c r="L79" s="7" t="inlineStr">
        <is>
          <t>6285263336109</t>
        </is>
      </c>
      <c r="M79" s="14" t="n">
        <v>1</v>
      </c>
      <c r="N79" s="6" t="n"/>
      <c r="O79" s="15" t="n"/>
      <c r="P79" s="15" t="n"/>
      <c r="Q79" s="16" t="n"/>
      <c r="R79" s="15" t="n"/>
      <c r="S79" s="17" t="n"/>
      <c r="T79" s="15" t="n"/>
      <c r="U79" s="15" t="n"/>
      <c r="V79" s="15" t="n"/>
      <c r="W79" s="15" t="n"/>
    </row>
    <row r="80">
      <c r="A80" s="6" t="n"/>
      <c r="B80" s="7" t="n"/>
      <c r="C80" s="7" t="n"/>
      <c r="D80" s="37" t="n"/>
      <c r="E80" s="38" t="inlineStr">
        <is>
          <t>26072803515040WR8YD6H9a</t>
        </is>
      </c>
      <c r="F80" s="7" t="n"/>
      <c r="G80" s="10" t="n"/>
      <c r="H80" s="39" t="n"/>
      <c r="I80" s="12" t="n"/>
      <c r="J80" s="37" t="n"/>
      <c r="K80" s="40" t="n"/>
      <c r="L80" s="7" t="n"/>
      <c r="M80" s="14" t="n">
        <v>2</v>
      </c>
      <c r="N80" s="6" t="n"/>
      <c r="O80" s="15" t="n"/>
      <c r="P80" s="15" t="n"/>
      <c r="Q80" s="16" t="n"/>
      <c r="R80" s="15" t="n"/>
      <c r="S80" s="17" t="n"/>
      <c r="T80" s="15" t="n"/>
      <c r="U80" s="15" t="n"/>
      <c r="V80" s="15" t="n"/>
      <c r="W80" s="15" t="n"/>
    </row>
    <row r="81">
      <c r="A81" s="6" t="inlineStr">
        <is>
          <t>Apotek Kartini</t>
        </is>
      </c>
      <c r="B81" s="7" t="inlineStr">
        <is>
          <t>AWB02WHNK</t>
        </is>
      </c>
      <c r="C81" s="7" t="n">
        <v>1.96</v>
      </c>
      <c r="D81" s="37" t="n">
        <v>0.006878</v>
      </c>
      <c r="E81" s="38" t="inlineStr">
        <is>
          <t>26072704341502qdbRVQ5P</t>
        </is>
      </c>
      <c r="F81" s="7" t="n">
        <v>536</v>
      </c>
      <c r="G81" s="10" t="inlineStr">
        <is>
          <t>26072704341502qdbRVQ5P-26072712032924MjdyBhu-260728033101816irAnKvBHn-26072803310181m8tf9X6oL</t>
        </is>
      </c>
      <c r="H81" s="39" t="inlineStr">
        <is>
          <t>P4N</t>
        </is>
      </c>
      <c r="I81" s="12" t="inlineStr">
        <is>
          <t>536-Jalan Kartini No. 78 RT 004 RW 009, Kelurahan Pancoranmas, Kecamatan Pancoranmas, Kota Depok, Jawa Barat 16436</t>
        </is>
      </c>
      <c r="J81" s="37" t="n">
        <v>16436</v>
      </c>
      <c r="K81" s="40" t="inlineStr">
        <is>
          <t>Kota Depok</t>
        </is>
      </c>
      <c r="L81" s="7" t="inlineStr">
        <is>
          <t>6285719246772</t>
        </is>
      </c>
      <c r="M81" s="14" t="n">
        <v>1</v>
      </c>
      <c r="N81" s="6" t="n"/>
      <c r="O81" s="15" t="n"/>
      <c r="P81" s="15" t="n"/>
      <c r="Q81" s="16" t="n"/>
      <c r="R81" s="15" t="n"/>
      <c r="S81" s="17" t="n"/>
      <c r="T81" s="15" t="n"/>
      <c r="U81" s="15" t="n"/>
      <c r="V81" s="15" t="n"/>
      <c r="W81" s="15" t="n"/>
    </row>
    <row r="82">
      <c r="A82" s="6" t="n"/>
      <c r="B82" s="7" t="n"/>
      <c r="C82" s="7" t="n"/>
      <c r="D82" s="37" t="n"/>
      <c r="E82" s="38" t="inlineStr">
        <is>
          <t>26072712032924MjdyBhu</t>
        </is>
      </c>
      <c r="F82" s="7" t="n"/>
      <c r="G82" s="10" t="n"/>
      <c r="H82" s="39" t="n"/>
      <c r="I82" s="12" t="n"/>
      <c r="J82" s="37" t="n"/>
      <c r="K82" s="40" t="n"/>
      <c r="L82" s="7" t="n"/>
      <c r="M82" s="14" t="n">
        <v>1</v>
      </c>
      <c r="N82" s="6" t="n"/>
      <c r="O82" s="15" t="n"/>
      <c r="P82" s="15" t="n"/>
      <c r="Q82" s="16" t="n"/>
      <c r="R82" s="15" t="n"/>
      <c r="S82" s="17" t="n"/>
      <c r="T82" s="15" t="n"/>
      <c r="U82" s="15" t="n"/>
      <c r="V82" s="15" t="n"/>
      <c r="W82" s="15" t="n"/>
    </row>
    <row r="83">
      <c r="A83" s="6" t="n"/>
      <c r="B83" s="7" t="n"/>
      <c r="C83" s="7" t="n"/>
      <c r="D83" s="37" t="n"/>
      <c r="E83" s="38" t="inlineStr">
        <is>
          <t>260728033101816irAnKvBHn</t>
        </is>
      </c>
      <c r="F83" s="7" t="n"/>
      <c r="G83" s="10" t="n"/>
      <c r="H83" s="39" t="n"/>
      <c r="I83" s="12" t="n"/>
      <c r="J83" s="37" t="n"/>
      <c r="K83" s="40" t="n"/>
      <c r="L83" s="7" t="n"/>
      <c r="M83" s="14" t="n">
        <v>1</v>
      </c>
      <c r="N83" s="6" t="n"/>
      <c r="O83" s="15" t="n"/>
      <c r="P83" s="15" t="n"/>
      <c r="Q83" s="16" t="n"/>
      <c r="R83" s="15" t="n"/>
      <c r="S83" s="17" t="n"/>
      <c r="T83" s="15" t="n"/>
      <c r="U83" s="15" t="n"/>
      <c r="V83" s="15" t="n"/>
      <c r="W83" s="15" t="n"/>
    </row>
    <row r="84">
      <c r="A84" s="6" t="n"/>
      <c r="B84" s="7" t="n"/>
      <c r="C84" s="7" t="n"/>
      <c r="D84" s="37" t="n"/>
      <c r="E84" s="38" t="inlineStr">
        <is>
          <t>26072803310181m8tf9X6oL</t>
        </is>
      </c>
      <c r="F84" s="7" t="n"/>
      <c r="G84" s="10" t="n"/>
      <c r="H84" s="39" t="n"/>
      <c r="I84" s="12" t="n"/>
      <c r="J84" s="37" t="n"/>
      <c r="K84" s="40" t="n"/>
      <c r="L84" s="7" t="n"/>
      <c r="M84" s="14" t="n">
        <v>1</v>
      </c>
      <c r="N84" s="6" t="n"/>
      <c r="O84" s="15" t="n"/>
      <c r="P84" s="15" t="n"/>
      <c r="Q84" s="16" t="n"/>
      <c r="R84" s="15" t="n"/>
      <c r="S84" s="17" t="n"/>
      <c r="T84" s="15" t="n"/>
      <c r="U84" s="15" t="n"/>
      <c r="V84" s="15" t="n"/>
      <c r="W84" s="15" t="n"/>
    </row>
    <row r="85">
      <c r="A85" s="6" t="inlineStr">
        <is>
          <t>Apotek Karunia Farma Curug Bojongsari</t>
        </is>
      </c>
      <c r="B85" s="7" t="inlineStr">
        <is>
          <t>AWB02WHKT</t>
        </is>
      </c>
      <c r="C85" s="7" t="n">
        <v>1.39</v>
      </c>
      <c r="D85" s="37" t="n">
        <v>0.0045</v>
      </c>
      <c r="E85" s="38" t="inlineStr">
        <is>
          <t>260727042103423Z7gUddIeC</t>
        </is>
      </c>
      <c r="F85" s="7" t="n">
        <v>16776</v>
      </c>
      <c r="G85" s="10" t="inlineStr">
        <is>
          <t>260727042103423Z7gUddIeC-26072704210342Ptkz57fgS</t>
        </is>
      </c>
      <c r="H85" s="39" t="inlineStr">
        <is>
          <t>P4N</t>
        </is>
      </c>
      <c r="I85" s="12" t="inlineStr">
        <is>
          <t>16776-Jl. Raya Curug No.80 A, Desa/Kelurahan Curug, Kec. Bojongsari, Kota Depok</t>
        </is>
      </c>
      <c r="J85" s="37" t="n">
        <v>16517</v>
      </c>
      <c r="K85" s="40" t="inlineStr">
        <is>
          <t>Kota Depok</t>
        </is>
      </c>
      <c r="L85" s="7" t="inlineStr">
        <is>
          <t>6282261115996</t>
        </is>
      </c>
      <c r="M85" s="14" t="n">
        <v>1</v>
      </c>
      <c r="N85" s="6" t="n"/>
      <c r="O85" s="15" t="n"/>
      <c r="P85" s="15" t="n"/>
      <c r="Q85" s="16" t="n"/>
      <c r="R85" s="15" t="n"/>
      <c r="S85" s="17" t="n"/>
      <c r="T85" s="15" t="n"/>
      <c r="U85" s="15" t="n"/>
      <c r="V85" s="15" t="n"/>
      <c r="W85" s="15" t="n"/>
    </row>
    <row r="86">
      <c r="A86" s="6" t="n"/>
      <c r="B86" s="7" t="n"/>
      <c r="C86" s="7" t="n"/>
      <c r="D86" s="37" t="n"/>
      <c r="E86" s="38" t="inlineStr">
        <is>
          <t>26072704210342Ptkz57fgS</t>
        </is>
      </c>
      <c r="F86" s="7" t="n"/>
      <c r="G86" s="10" t="n"/>
      <c r="H86" s="39" t="n"/>
      <c r="I86" s="12" t="n"/>
      <c r="J86" s="37" t="n"/>
      <c r="K86" s="40" t="n"/>
      <c r="L86" s="7" t="n"/>
      <c r="M86" s="14" t="n">
        <v>1</v>
      </c>
      <c r="N86" s="6" t="n"/>
      <c r="O86" s="15" t="n"/>
      <c r="P86" s="15" t="n"/>
      <c r="Q86" s="16" t="n"/>
      <c r="R86" s="15" t="n"/>
      <c r="S86" s="17" t="n"/>
      <c r="T86" s="15" t="n"/>
      <c r="U86" s="15" t="n"/>
      <c r="V86" s="15" t="n"/>
      <c r="W86" s="15" t="n"/>
    </row>
    <row r="87">
      <c r="A87" s="6" t="inlineStr">
        <is>
          <t>Apotek Karunia Sejahtera Jatimurni Pondok Melati</t>
        </is>
      </c>
      <c r="B87" s="7" t="inlineStr">
        <is>
          <t>AWB02WKAF</t>
        </is>
      </c>
      <c r="C87" s="7" t="n">
        <v>3.03</v>
      </c>
      <c r="D87" s="37" t="n">
        <v>0.014947</v>
      </c>
      <c r="E87" s="38" t="inlineStr">
        <is>
          <t>26072723241347gQeGJZgTe</t>
        </is>
      </c>
      <c r="F87" s="7" t="n">
        <v>12876</v>
      </c>
      <c r="G87" s="10" t="inlineStr">
        <is>
          <t>26072723241347gQeGJZgTe-26072802112338LNmw0XGb6</t>
        </is>
      </c>
      <c r="H87" s="39" t="inlineStr">
        <is>
          <t>P4N</t>
        </is>
      </c>
      <c r="I87" s="12" t="inlineStr">
        <is>
          <t>12876-Jl. Raya Kampung Sawah No. 2 RT. 007 RW. 001 Desa/Kelurahan Jatimurni, Kec. Pondokmelati, Kota Bekasi</t>
        </is>
      </c>
      <c r="J87" s="37" t="n">
        <v>17431</v>
      </c>
      <c r="K87" s="40" t="inlineStr">
        <is>
          <t>Kota Bekasi</t>
        </is>
      </c>
      <c r="L87" s="7" t="inlineStr">
        <is>
          <t>6285881785140</t>
        </is>
      </c>
      <c r="M87" s="14" t="n">
        <v>1</v>
      </c>
      <c r="N87" s="6" t="n"/>
      <c r="O87" s="15" t="n"/>
      <c r="P87" s="15" t="n"/>
      <c r="Q87" s="16" t="n"/>
      <c r="R87" s="15" t="n"/>
      <c r="S87" s="17" t="n"/>
      <c r="T87" s="15" t="n"/>
      <c r="U87" s="15" t="n"/>
      <c r="V87" s="15" t="n"/>
      <c r="W87" s="15" t="n"/>
    </row>
    <row r="88">
      <c r="A88" s="6" t="n"/>
      <c r="B88" s="7" t="n"/>
      <c r="C88" s="7" t="n"/>
      <c r="D88" s="37" t="n"/>
      <c r="E88" s="38" t="inlineStr">
        <is>
          <t>26072802112338LNmw0XGb6</t>
        </is>
      </c>
      <c r="F88" s="7" t="n"/>
      <c r="G88" s="10" t="n"/>
      <c r="H88" s="39" t="n"/>
      <c r="I88" s="12" t="n"/>
      <c r="J88" s="37" t="n"/>
      <c r="K88" s="40" t="n"/>
      <c r="L88" s="7" t="n"/>
      <c r="M88" s="14" t="n">
        <v>1</v>
      </c>
      <c r="N88" s="6" t="n"/>
      <c r="O88" s="15" t="n"/>
      <c r="P88" s="15" t="n"/>
      <c r="Q88" s="16" t="n"/>
      <c r="R88" s="15" t="n"/>
      <c r="S88" s="17" t="n"/>
      <c r="T88" s="15" t="n"/>
      <c r="U88" s="15" t="n"/>
      <c r="V88" s="15" t="n"/>
      <c r="W88" s="15" t="n"/>
    </row>
    <row r="89">
      <c r="A89" s="6" t="inlineStr">
        <is>
          <t>Apotek Kejayaan Abadijaya Sukmajaya</t>
        </is>
      </c>
      <c r="B89" s="7" t="inlineStr">
        <is>
          <t>AWB02WM96</t>
        </is>
      </c>
      <c r="C89" s="7" t="n">
        <v>1.14</v>
      </c>
      <c r="D89" s="37" t="n">
        <v>0.002511</v>
      </c>
      <c r="E89" s="38" t="inlineStr">
        <is>
          <t>26072803451506gUV8kMu</t>
        </is>
      </c>
      <c r="F89" s="7" t="n">
        <v>13718</v>
      </c>
      <c r="G89" s="10" t="inlineStr">
        <is>
          <t>26072803451506gUV8kMu</t>
        </is>
      </c>
      <c r="H89" s="39" t="inlineStr">
        <is>
          <t>P4N</t>
        </is>
      </c>
      <c r="I89" s="12" t="inlineStr">
        <is>
          <t>13718-Jl. Kejayaan No. 1 RT. 001 RW. 008,Desa/Kelurahan Abadijaya,Kecamatan Sukmajaya,Kota Depok,Jawa Barat,16417</t>
        </is>
      </c>
      <c r="J89" s="37" t="n">
        <v>16417</v>
      </c>
      <c r="K89" s="40" t="inlineStr">
        <is>
          <t>Kota Depok</t>
        </is>
      </c>
      <c r="L89" s="7" t="inlineStr">
        <is>
          <t>6281281385101</t>
        </is>
      </c>
      <c r="M89" s="14" t="n">
        <v>1</v>
      </c>
      <c r="N89" s="6" t="n"/>
      <c r="O89" s="15" t="n"/>
      <c r="P89" s="15" t="n"/>
      <c r="Q89" s="16" t="n"/>
      <c r="R89" s="15" t="n"/>
      <c r="S89" s="17" t="n"/>
      <c r="T89" s="15" t="n"/>
      <c r="U89" s="15" t="n"/>
      <c r="V89" s="15" t="n"/>
      <c r="W89" s="15" t="n"/>
    </row>
    <row r="90">
      <c r="A90" s="6" t="inlineStr">
        <is>
          <t>Apotek Kimora Farma</t>
        </is>
      </c>
      <c r="B90" s="7" t="inlineStr">
        <is>
          <t>AWB02WK0E</t>
        </is>
      </c>
      <c r="C90" s="7" t="n">
        <v>44.71</v>
      </c>
      <c r="D90" s="37" t="n">
        <v>0.168549</v>
      </c>
      <c r="E90" s="38" t="inlineStr">
        <is>
          <t>26072715175632enev8dlT</t>
        </is>
      </c>
      <c r="F90" s="7" t="n">
        <v>2816</v>
      </c>
      <c r="G90" s="10" t="inlineStr">
        <is>
          <t>26072715175632enev8dlT-26072715175632TXfu46KF1h-26072715175632yj2F2HjwSr</t>
        </is>
      </c>
      <c r="H90" s="39" t="inlineStr">
        <is>
          <t>P4N</t>
        </is>
      </c>
      <c r="I90" s="12" t="inlineStr">
        <is>
          <t>2816-Jalan Raya Pondok Petir RT 01 RW 01 Kelurahan Pondok Petir Kecamatan Bojongsari Kota Depok 16517</t>
        </is>
      </c>
      <c r="J90" s="37" t="n">
        <v>16517</v>
      </c>
      <c r="K90" s="40" t="inlineStr">
        <is>
          <t>Kota Depok</t>
        </is>
      </c>
      <c r="L90" s="7" t="inlineStr">
        <is>
          <t>81264679459</t>
        </is>
      </c>
      <c r="M90" s="14" t="n">
        <v>3</v>
      </c>
      <c r="N90" s="6" t="n"/>
      <c r="O90" s="15" t="n"/>
      <c r="P90" s="15" t="n"/>
      <c r="Q90" s="16" t="n"/>
      <c r="R90" s="15" t="n"/>
      <c r="S90" s="17" t="n"/>
      <c r="T90" s="15" t="n"/>
      <c r="U90" s="15" t="n"/>
      <c r="V90" s="15" t="n"/>
      <c r="W90" s="15" t="n"/>
    </row>
    <row r="91">
      <c r="A91" s="6" t="n"/>
      <c r="B91" s="7" t="n"/>
      <c r="C91" s="7" t="n"/>
      <c r="D91" s="37" t="n"/>
      <c r="E91" s="38" t="inlineStr">
        <is>
          <t>26072715175632TXfu46KF1h</t>
        </is>
      </c>
      <c r="F91" s="7" t="n"/>
      <c r="G91" s="10" t="n"/>
      <c r="H91" s="39" t="n"/>
      <c r="I91" s="12" t="n"/>
      <c r="J91" s="37" t="n"/>
      <c r="K91" s="40" t="n"/>
      <c r="L91" s="7" t="n"/>
      <c r="M91" s="14" t="n">
        <v>3</v>
      </c>
      <c r="N91" s="6" t="n"/>
      <c r="O91" s="15" t="n"/>
      <c r="P91" s="15" t="n"/>
      <c r="Q91" s="16" t="n"/>
      <c r="R91" s="15" t="n"/>
      <c r="S91" s="17" t="n"/>
      <c r="T91" s="15" t="n"/>
      <c r="U91" s="15" t="n"/>
      <c r="V91" s="15" t="n"/>
      <c r="W91" s="15" t="n"/>
    </row>
    <row r="92">
      <c r="A92" s="6" t="n"/>
      <c r="B92" s="7" t="n"/>
      <c r="C92" s="7" t="n"/>
      <c r="D92" s="37" t="n"/>
      <c r="E92" s="38" t="inlineStr">
        <is>
          <t>26072715175632yj2F2HjwSr</t>
        </is>
      </c>
      <c r="F92" s="7" t="n"/>
      <c r="G92" s="10" t="n"/>
      <c r="H92" s="39" t="n"/>
      <c r="I92" s="12" t="n"/>
      <c r="J92" s="37" t="n"/>
      <c r="K92" s="40" t="n"/>
      <c r="L92" s="7" t="n"/>
      <c r="M92" s="14" t="n">
        <v>3</v>
      </c>
      <c r="N92" s="6" t="n"/>
      <c r="O92" s="15" t="n"/>
      <c r="P92" s="15" t="n"/>
      <c r="Q92" s="16" t="n"/>
      <c r="R92" s="15" t="n"/>
      <c r="S92" s="17" t="n"/>
      <c r="T92" s="15" t="n"/>
      <c r="U92" s="15" t="n"/>
      <c r="V92" s="15" t="n"/>
      <c r="W92" s="15" t="n"/>
    </row>
    <row r="93">
      <c r="A93" s="6" t="inlineStr">
        <is>
          <t>Apotek Kiray Farma Cimpaeun Tapos</t>
        </is>
      </c>
      <c r="B93" s="7" t="inlineStr">
        <is>
          <t>AWB02WJ8X</t>
        </is>
      </c>
      <c r="C93" s="7" t="n">
        <v>1.61</v>
      </c>
      <c r="D93" s="37" t="n">
        <v>0.006774</v>
      </c>
      <c r="E93" s="38" t="inlineStr">
        <is>
          <t>26072707484123A88nijyae</t>
        </is>
      </c>
      <c r="F93" s="7" t="n">
        <v>16017</v>
      </c>
      <c r="G93" s="10" t="inlineStr">
        <is>
          <t>26072707484123A88nijyae-260727074841243wfickmqt</t>
        </is>
      </c>
      <c r="H93" s="39" t="inlineStr">
        <is>
          <t>P4N</t>
        </is>
      </c>
      <c r="I93" s="12" t="inlineStr">
        <is>
          <t>16017-Jalan Raya Tapos RT 003 RW 02, Desa/Kelurahan Cimpaeun, Kec.Tapos, Kota Depok</t>
        </is>
      </c>
      <c r="J93" s="37" t="n">
        <v>16459</v>
      </c>
      <c r="K93" s="40" t="inlineStr">
        <is>
          <t>Kota Depok</t>
        </is>
      </c>
      <c r="L93" s="7" t="inlineStr">
        <is>
          <t>6281318087890</t>
        </is>
      </c>
      <c r="M93" s="14" t="n">
        <v>1</v>
      </c>
      <c r="N93" s="6" t="n"/>
      <c r="O93" s="15" t="n"/>
      <c r="P93" s="15" t="n"/>
      <c r="Q93" s="16" t="n"/>
      <c r="R93" s="15" t="n"/>
      <c r="S93" s="17" t="n"/>
      <c r="T93" s="15" t="n"/>
      <c r="U93" s="15" t="n"/>
      <c r="V93" s="15" t="n"/>
      <c r="W93" s="15" t="n"/>
    </row>
    <row r="94">
      <c r="A94" s="6" t="n"/>
      <c r="B94" s="7" t="n"/>
      <c r="C94" s="7" t="n"/>
      <c r="D94" s="37" t="n"/>
      <c r="E94" s="38" t="inlineStr">
        <is>
          <t>260727074841243wfickmqt</t>
        </is>
      </c>
      <c r="F94" s="7" t="n"/>
      <c r="G94" s="10" t="n"/>
      <c r="H94" s="39" t="n"/>
      <c r="I94" s="12" t="n"/>
      <c r="J94" s="37" t="n"/>
      <c r="K94" s="40" t="n"/>
      <c r="L94" s="7" t="n"/>
      <c r="M94" s="14" t="n">
        <v>1</v>
      </c>
      <c r="N94" s="6" t="n"/>
      <c r="O94" s="15" t="n"/>
      <c r="P94" s="15" t="n"/>
      <c r="Q94" s="16" t="n"/>
      <c r="R94" s="15" t="n"/>
      <c r="S94" s="17" t="n"/>
      <c r="T94" s="15" t="n"/>
      <c r="U94" s="15" t="n"/>
      <c r="V94" s="15" t="n"/>
      <c r="W94" s="15" t="n"/>
    </row>
    <row r="95">
      <c r="A95" s="6" t="inlineStr">
        <is>
          <t>Apotek Kita 2</t>
        </is>
      </c>
      <c r="B95" s="7" t="inlineStr">
        <is>
          <t>AWB02WHTA</t>
        </is>
      </c>
      <c r="C95" s="7" t="n">
        <v>1.67</v>
      </c>
      <c r="D95" s="37" t="n">
        <v>0.004194</v>
      </c>
      <c r="E95" s="38" t="inlineStr">
        <is>
          <t>26072705085896Tq3msdNjq</t>
        </is>
      </c>
      <c r="F95" s="7" t="n">
        <v>2333</v>
      </c>
      <c r="G95" s="10" t="inlineStr">
        <is>
          <t>26072705085896Tq3msdNjq-26072705085896TYVZCvOyBK</t>
        </is>
      </c>
      <c r="H95" s="39" t="inlineStr">
        <is>
          <t>P4N</t>
        </is>
      </c>
      <c r="I95" s="12" t="inlineStr">
        <is>
          <t>2333-Jalan Cipayung Jaya RT 04 RW 05 Kelurahan Cipayung Jaya Kecamatan Cipayung Kota Depok 16437</t>
        </is>
      </c>
      <c r="J95" s="37" t="n">
        <v>16437</v>
      </c>
      <c r="K95" s="40" t="inlineStr">
        <is>
          <t>Kota Depok</t>
        </is>
      </c>
      <c r="L95" s="7" t="inlineStr">
        <is>
          <t>81311214281</t>
        </is>
      </c>
      <c r="M95" s="14" t="n">
        <v>1</v>
      </c>
      <c r="N95" s="6" t="n"/>
      <c r="O95" s="15" t="n"/>
      <c r="P95" s="15" t="n"/>
      <c r="Q95" s="16" t="n"/>
      <c r="R95" s="15" t="n"/>
      <c r="S95" s="17" t="n"/>
      <c r="T95" s="15" t="n"/>
      <c r="U95" s="15" t="n"/>
      <c r="V95" s="15" t="n"/>
      <c r="W95" s="15" t="n"/>
    </row>
    <row r="96">
      <c r="A96" s="6" t="n"/>
      <c r="B96" s="7" t="n"/>
      <c r="C96" s="7" t="n"/>
      <c r="D96" s="37" t="n"/>
      <c r="E96" s="38" t="inlineStr">
        <is>
          <t>26072705085896TYVZCvOyBK</t>
        </is>
      </c>
      <c r="F96" s="7" t="n"/>
      <c r="G96" s="10" t="n"/>
      <c r="H96" s="39" t="n"/>
      <c r="I96" s="12" t="n"/>
      <c r="J96" s="37" t="n"/>
      <c r="K96" s="40" t="n"/>
      <c r="L96" s="7" t="n"/>
      <c r="M96" s="14" t="n">
        <v>1</v>
      </c>
      <c r="N96" s="6" t="n"/>
      <c r="O96" s="15" t="n"/>
      <c r="P96" s="15" t="n"/>
      <c r="Q96" s="16" t="n"/>
      <c r="R96" s="15" t="n"/>
      <c r="S96" s="17" t="n"/>
      <c r="T96" s="15" t="n"/>
      <c r="U96" s="15" t="n"/>
      <c r="V96" s="15" t="n"/>
      <c r="W96" s="15" t="n"/>
    </row>
    <row r="97">
      <c r="A97" s="6" t="inlineStr">
        <is>
          <t>Apotek Kita Utama Pancoran Mas Pancoran Mas</t>
        </is>
      </c>
      <c r="B97" s="7" t="inlineStr">
        <is>
          <t>AWB02WLXF</t>
        </is>
      </c>
      <c r="C97" s="7" t="n">
        <v>1.9</v>
      </c>
      <c r="D97" s="37" t="n">
        <v>0.007779</v>
      </c>
      <c r="E97" s="38" t="inlineStr">
        <is>
          <t>26072803175029kCTz1OwUR</t>
        </is>
      </c>
      <c r="F97" s="7" t="n">
        <v>17869</v>
      </c>
      <c r="G97" s="10" t="inlineStr">
        <is>
          <t>26072803175029kCTz1OwUR-26072803175030oT1RZhJws-26072803175030rtBz9At5T</t>
        </is>
      </c>
      <c r="H97" s="39" t="inlineStr">
        <is>
          <t>P4N</t>
        </is>
      </c>
      <c r="I97" s="12" t="inlineStr">
        <is>
          <t>17869-Jl. Cagar Alam RT 001 RW 006 Kel. Pancoran Mas Kec. Pancoran Mas Kota Depok</t>
        </is>
      </c>
      <c r="J97" s="37" t="n">
        <v>16436</v>
      </c>
      <c r="K97" s="40" t="inlineStr">
        <is>
          <t>Kota Depok</t>
        </is>
      </c>
      <c r="L97" s="7" t="inlineStr">
        <is>
          <t>6282152156244</t>
        </is>
      </c>
      <c r="M97" s="14" t="n">
        <v>1</v>
      </c>
      <c r="N97" s="6" t="n"/>
      <c r="O97" s="15" t="n"/>
      <c r="P97" s="15" t="n"/>
      <c r="Q97" s="16" t="n"/>
      <c r="R97" s="15" t="n"/>
      <c r="S97" s="17" t="n"/>
      <c r="T97" s="15" t="n"/>
      <c r="U97" s="15" t="n"/>
      <c r="V97" s="15" t="n"/>
      <c r="W97" s="15" t="n"/>
    </row>
    <row r="98">
      <c r="A98" s="6" t="n"/>
      <c r="B98" s="7" t="n"/>
      <c r="C98" s="7" t="n"/>
      <c r="D98" s="37" t="n"/>
      <c r="E98" s="38" t="inlineStr">
        <is>
          <t>26072803175030oT1RZhJws</t>
        </is>
      </c>
      <c r="F98" s="7" t="n"/>
      <c r="G98" s="10" t="n"/>
      <c r="H98" s="39" t="n"/>
      <c r="I98" s="12" t="n"/>
      <c r="J98" s="37" t="n"/>
      <c r="K98" s="40" t="n"/>
      <c r="L98" s="7" t="n"/>
      <c r="M98" s="14" t="n">
        <v>1</v>
      </c>
      <c r="N98" s="6" t="n"/>
      <c r="O98" s="15" t="n"/>
      <c r="P98" s="15" t="n"/>
      <c r="Q98" s="16" t="n"/>
      <c r="R98" s="15" t="n"/>
      <c r="S98" s="17" t="n"/>
      <c r="T98" s="15" t="n"/>
      <c r="U98" s="15" t="n"/>
      <c r="V98" s="15" t="n"/>
      <c r="W98" s="15" t="n"/>
    </row>
    <row r="99">
      <c r="A99" s="6" t="n"/>
      <c r="B99" s="7" t="n"/>
      <c r="C99" s="7" t="n"/>
      <c r="D99" s="37" t="n"/>
      <c r="E99" s="38" t="inlineStr">
        <is>
          <t>26072803175030rtBz9At5T</t>
        </is>
      </c>
      <c r="F99" s="7" t="n"/>
      <c r="G99" s="10" t="n"/>
      <c r="H99" s="39" t="n"/>
      <c r="I99" s="12" t="n"/>
      <c r="J99" s="37" t="n"/>
      <c r="K99" s="40" t="n"/>
      <c r="L99" s="7" t="n"/>
      <c r="M99" s="14" t="n">
        <v>1</v>
      </c>
      <c r="N99" s="6" t="n"/>
      <c r="O99" s="15" t="n"/>
      <c r="P99" s="15" t="n"/>
      <c r="Q99" s="16" t="n"/>
      <c r="R99" s="15" t="n"/>
      <c r="S99" s="17" t="n"/>
      <c r="T99" s="15" t="n"/>
      <c r="U99" s="15" t="n"/>
      <c r="V99" s="15" t="n"/>
      <c r="W99" s="15" t="n"/>
    </row>
    <row r="100">
      <c r="A100" s="6" t="inlineStr">
        <is>
          <t>Apotek Kopkar One Gedong Pasar Rebo</t>
        </is>
      </c>
      <c r="B100" s="7" t="inlineStr">
        <is>
          <t>AWB02WHMW</t>
        </is>
      </c>
      <c r="C100" s="7" t="n">
        <v>4.54</v>
      </c>
      <c r="D100" s="37" t="n">
        <v>0.024649</v>
      </c>
      <c r="E100" s="38" t="inlineStr">
        <is>
          <t>26072704304684v7RLStbbD</t>
        </is>
      </c>
      <c r="F100" s="7" t="n">
        <v>12667</v>
      </c>
      <c r="G100" s="10" t="inlineStr">
        <is>
          <t>26072704304684v7RLStbbD</t>
        </is>
      </c>
      <c r="H100" s="39" t="inlineStr">
        <is>
          <t>P4N</t>
        </is>
      </c>
      <c r="I100" s="12" t="inlineStr">
        <is>
          <t>12667-Jalan Dana Karya No. 04 Rt. 003 Rw 008, Desa/Kel. Gedong, Kec. Pasar Rebo, Kota Adm. Jakarta Timur</t>
        </is>
      </c>
      <c r="J100" s="37" t="n">
        <v>13760</v>
      </c>
      <c r="K100" s="40" t="inlineStr">
        <is>
          <t>Kota Jakarta Timur</t>
        </is>
      </c>
      <c r="L100" s="7" t="inlineStr">
        <is>
          <t>6285211630292</t>
        </is>
      </c>
      <c r="M100" s="14" t="n">
        <v>2</v>
      </c>
      <c r="N100" s="6" t="n"/>
      <c r="O100" s="15" t="n"/>
      <c r="P100" s="15" t="n"/>
      <c r="Q100" s="16" t="n"/>
      <c r="R100" s="15" t="n"/>
      <c r="S100" s="17" t="n"/>
      <c r="T100" s="15" t="n"/>
      <c r="U100" s="15" t="n"/>
      <c r="V100" s="15" t="n"/>
      <c r="W100" s="15" t="n"/>
    </row>
    <row r="101">
      <c r="A101" s="6" t="inlineStr">
        <is>
          <t>Apotek Makmur Sehat</t>
        </is>
      </c>
      <c r="B101" s="7" t="inlineStr">
        <is>
          <t>AWB02WHKZ</t>
        </is>
      </c>
      <c r="C101" s="7" t="n">
        <v>0.43</v>
      </c>
      <c r="D101" s="37" t="n">
        <v>0.001572</v>
      </c>
      <c r="E101" s="38" t="inlineStr">
        <is>
          <t>26072704214871P5wacKs03</t>
        </is>
      </c>
      <c r="F101" s="7" t="n">
        <v>1725</v>
      </c>
      <c r="G101" s="10" t="inlineStr">
        <is>
          <t>26072704214871P5wacKs03-26072704375108dcNtw683l</t>
        </is>
      </c>
      <c r="H101" s="39" t="inlineStr">
        <is>
          <t>P4N</t>
        </is>
      </c>
      <c r="I101" s="12" t="inlineStr">
        <is>
          <t>1725-Jalan Raya Pondok Petir No. 38 RT. 004/005 Kelurahan Pondok Petir Kecamatan Bojongsari Kota Depok 16516</t>
        </is>
      </c>
      <c r="J101" s="37" t="n">
        <v>16516</v>
      </c>
      <c r="K101" s="40" t="inlineStr">
        <is>
          <t>Kota Depok</t>
        </is>
      </c>
      <c r="L101" s="7" t="inlineStr">
        <is>
          <t>81354877771</t>
        </is>
      </c>
      <c r="M101" s="14" t="n">
        <v>1</v>
      </c>
      <c r="N101" s="6" t="n"/>
      <c r="O101" s="15" t="n"/>
      <c r="P101" s="15" t="n"/>
      <c r="Q101" s="16" t="n"/>
      <c r="R101" s="15" t="n"/>
      <c r="S101" s="17" t="n"/>
      <c r="T101" s="15" t="n"/>
      <c r="U101" s="15" t="n"/>
      <c r="V101" s="15" t="n"/>
      <c r="W101" s="15" t="n"/>
    </row>
    <row r="102">
      <c r="A102" s="6" t="n"/>
      <c r="B102" s="7" t="n"/>
      <c r="C102" s="7" t="n"/>
      <c r="D102" s="37" t="n"/>
      <c r="E102" s="38" t="inlineStr">
        <is>
          <t>26072704375108dcNtw683l</t>
        </is>
      </c>
      <c r="F102" s="7" t="n"/>
      <c r="G102" s="10" t="n"/>
      <c r="H102" s="39" t="n"/>
      <c r="I102" s="12" t="n"/>
      <c r="J102" s="37" t="n"/>
      <c r="K102" s="40" t="n"/>
      <c r="L102" s="7" t="n"/>
      <c r="M102" s="14" t="n">
        <v>1</v>
      </c>
      <c r="N102" s="6" t="n"/>
      <c r="O102" s="15" t="n"/>
      <c r="P102" s="15" t="n"/>
      <c r="Q102" s="16" t="n"/>
      <c r="R102" s="15" t="n"/>
      <c r="S102" s="17" t="n"/>
      <c r="T102" s="15" t="n"/>
      <c r="U102" s="15" t="n"/>
      <c r="V102" s="15" t="n"/>
      <c r="W102" s="15" t="n"/>
    </row>
    <row r="103">
      <c r="A103" s="6" t="inlineStr">
        <is>
          <t>Apotek Manjur Pondok Cina Beji</t>
        </is>
      </c>
      <c r="B103" s="7" t="inlineStr">
        <is>
          <t>AWB02WK38</t>
        </is>
      </c>
      <c r="C103" s="7" t="n">
        <v>0.73</v>
      </c>
      <c r="D103" s="37" t="n">
        <v>0.002139</v>
      </c>
      <c r="E103" s="38" t="inlineStr">
        <is>
          <t>26072716393780FhBo299KV</t>
        </is>
      </c>
      <c r="F103" s="7" t="n">
        <v>16209</v>
      </c>
      <c r="G103" s="10" t="inlineStr">
        <is>
          <t>26072716393780FhBo299KV-2607271643250944xqmndnd-260727164917489wsa6agyC</t>
        </is>
      </c>
      <c r="H103" s="39" t="inlineStr">
        <is>
          <t>P4N</t>
        </is>
      </c>
      <c r="I103" s="12" t="inlineStr">
        <is>
          <t>16209-Jl. Margonda Raya No. 514 RT. 001 RW. 005 Jl. Raya Pondok Duta Kel. Pondok Cina Kec. Beji Kota Depok</t>
        </is>
      </c>
      <c r="J103" s="37" t="n">
        <v>16424</v>
      </c>
      <c r="K103" s="40" t="inlineStr">
        <is>
          <t>Kota Depok</t>
        </is>
      </c>
      <c r="L103" s="7" t="inlineStr">
        <is>
          <t>6282137785242</t>
        </is>
      </c>
      <c r="M103" s="14" t="n">
        <v>1</v>
      </c>
      <c r="N103" s="6" t="n"/>
      <c r="O103" s="15" t="n"/>
      <c r="P103" s="15" t="n"/>
      <c r="Q103" s="16" t="n"/>
      <c r="R103" s="15" t="n"/>
      <c r="S103" s="17" t="n"/>
      <c r="T103" s="15" t="n"/>
      <c r="U103" s="15" t="n"/>
      <c r="V103" s="15" t="n"/>
      <c r="W103" s="15" t="n"/>
    </row>
    <row r="104">
      <c r="A104" s="6" t="n"/>
      <c r="B104" s="7" t="n"/>
      <c r="C104" s="7" t="n"/>
      <c r="D104" s="37" t="n"/>
      <c r="E104" s="38" t="inlineStr">
        <is>
          <t>2607271643250944xqmndnd</t>
        </is>
      </c>
      <c r="F104" s="7" t="n"/>
      <c r="G104" s="10" t="n"/>
      <c r="H104" s="39" t="n"/>
      <c r="I104" s="12" t="n"/>
      <c r="J104" s="37" t="n"/>
      <c r="K104" s="40" t="n"/>
      <c r="L104" s="7" t="n"/>
      <c r="M104" s="14" t="n">
        <v>1</v>
      </c>
      <c r="N104" s="6" t="n"/>
      <c r="O104" s="15" t="n"/>
      <c r="P104" s="15" t="n"/>
      <c r="Q104" s="16" t="n"/>
      <c r="R104" s="15" t="n"/>
      <c r="S104" s="17" t="n"/>
      <c r="T104" s="15" t="n"/>
      <c r="U104" s="15" t="n"/>
      <c r="V104" s="15" t="n"/>
      <c r="W104" s="15" t="n"/>
    </row>
    <row r="105">
      <c r="A105" s="6" t="n"/>
      <c r="B105" s="7" t="n"/>
      <c r="C105" s="7" t="n"/>
      <c r="D105" s="37" t="n"/>
      <c r="E105" s="38" t="inlineStr">
        <is>
          <t>260727164917489wsa6agyC</t>
        </is>
      </c>
      <c r="F105" s="7" t="n"/>
      <c r="G105" s="10" t="n"/>
      <c r="H105" s="39" t="n"/>
      <c r="I105" s="12" t="n"/>
      <c r="J105" s="37" t="n"/>
      <c r="K105" s="40" t="n"/>
      <c r="L105" s="7" t="n"/>
      <c r="M105" s="14" t="n">
        <v>1</v>
      </c>
      <c r="N105" s="6" t="n"/>
      <c r="O105" s="15" t="n"/>
      <c r="P105" s="15" t="n"/>
      <c r="Q105" s="16" t="n"/>
      <c r="R105" s="15" t="n"/>
      <c r="S105" s="17" t="n"/>
      <c r="T105" s="15" t="n"/>
      <c r="U105" s="15" t="n"/>
      <c r="V105" s="15" t="n"/>
      <c r="W105" s="15" t="n"/>
    </row>
    <row r="106">
      <c r="A106" s="6" t="inlineStr">
        <is>
          <t>Apotek Mars Tugu Cimanggis</t>
        </is>
      </c>
      <c r="B106" s="7" t="inlineStr">
        <is>
          <t>AWB02WHWK</t>
        </is>
      </c>
      <c r="C106" s="7" t="n">
        <v>2.16</v>
      </c>
      <c r="D106" s="37" t="n">
        <v>0.011897</v>
      </c>
      <c r="E106" s="38" t="inlineStr">
        <is>
          <t>26072705363473JsgtZYExG</t>
        </is>
      </c>
      <c r="F106" s="7" t="n">
        <v>12104</v>
      </c>
      <c r="G106" s="10" t="inlineStr">
        <is>
          <t>26072705363473JsgtZYExG</t>
        </is>
      </c>
      <c r="H106" s="39" t="inlineStr">
        <is>
          <t>P4N</t>
        </is>
      </c>
      <c r="I106" s="12" t="inlineStr">
        <is>
          <t>12104-Jl. Hankam Raya No. 15 E, Kelapa Dua, Desa/Kelurahan Tugu, Kec. Cimanggis, Kota Depok</t>
        </is>
      </c>
      <c r="J106" s="37" t="n">
        <v>16451</v>
      </c>
      <c r="K106" s="40" t="inlineStr">
        <is>
          <t>Kota Depok</t>
        </is>
      </c>
      <c r="L106" s="7" t="inlineStr">
        <is>
          <t>6281210725818</t>
        </is>
      </c>
      <c r="M106" s="14" t="n">
        <v>1</v>
      </c>
      <c r="N106" s="6" t="n"/>
      <c r="O106" s="15" t="n"/>
      <c r="P106" s="15" t="n"/>
      <c r="Q106" s="16" t="n"/>
      <c r="R106" s="15" t="n"/>
      <c r="S106" s="17" t="n"/>
      <c r="T106" s="15" t="n"/>
      <c r="U106" s="15" t="n"/>
      <c r="V106" s="15" t="n"/>
      <c r="W106" s="15" t="n"/>
    </row>
    <row r="107">
      <c r="A107" s="6" t="inlineStr">
        <is>
          <t>Apotek Maryam Tanah Baru Beji</t>
        </is>
      </c>
      <c r="B107" s="7" t="inlineStr">
        <is>
          <t>AWB02WL01</t>
        </is>
      </c>
      <c r="C107" s="7" t="n">
        <v>1.49</v>
      </c>
      <c r="D107" s="37" t="n">
        <v>0.121733</v>
      </c>
      <c r="E107" s="38" t="inlineStr">
        <is>
          <t>26072801595190vSRVlibl4</t>
        </is>
      </c>
      <c r="F107" s="7" t="n">
        <v>15970</v>
      </c>
      <c r="G107" s="10" t="inlineStr">
        <is>
          <t>26072801595190vSRVlibl4-26072801595190XLGrI4ikQy-26072801595190Z8oVqWEt</t>
        </is>
      </c>
      <c r="H107" s="39" t="inlineStr">
        <is>
          <t>P4N</t>
        </is>
      </c>
      <c r="I107" s="12" t="inlineStr">
        <is>
          <t>15970-Jl. Curug Agung No. 7 RT. 006 RW. 009 Kel. Tanah Baru Kec. Beji Kota Depok</t>
        </is>
      </c>
      <c r="J107" s="37" t="n">
        <v>16426</v>
      </c>
      <c r="K107" s="40" t="inlineStr">
        <is>
          <t>Kota Depok</t>
        </is>
      </c>
      <c r="L107" s="7" t="inlineStr">
        <is>
          <t>6281902244788</t>
        </is>
      </c>
      <c r="M107" s="14" t="n">
        <v>1</v>
      </c>
      <c r="N107" s="6" t="n"/>
      <c r="O107" s="15" t="n"/>
      <c r="P107" s="15" t="n"/>
      <c r="Q107" s="16" t="n"/>
      <c r="R107" s="15" t="n"/>
      <c r="S107" s="17" t="n"/>
      <c r="T107" s="15" t="n"/>
      <c r="U107" s="15" t="n"/>
      <c r="V107" s="15" t="n"/>
      <c r="W107" s="15" t="n"/>
    </row>
    <row r="108">
      <c r="A108" s="6" t="n"/>
      <c r="B108" s="7" t="n"/>
      <c r="C108" s="7" t="n"/>
      <c r="D108" s="37" t="n"/>
      <c r="E108" s="38" t="inlineStr">
        <is>
          <t>26072801595190XLGrI4ikQy</t>
        </is>
      </c>
      <c r="F108" s="7" t="n"/>
      <c r="G108" s="10" t="n"/>
      <c r="H108" s="39" t="n"/>
      <c r="I108" s="12" t="n"/>
      <c r="J108" s="37" t="n"/>
      <c r="K108" s="40" t="n"/>
      <c r="L108" s="7" t="n"/>
      <c r="M108" s="14" t="n">
        <v>1</v>
      </c>
      <c r="N108" s="6" t="n"/>
      <c r="O108" s="15" t="n"/>
      <c r="P108" s="15" t="n"/>
      <c r="Q108" s="16" t="n"/>
      <c r="R108" s="15" t="n"/>
      <c r="S108" s="17" t="n"/>
      <c r="T108" s="15" t="n"/>
      <c r="U108" s="15" t="n"/>
      <c r="V108" s="15" t="n"/>
      <c r="W108" s="15" t="n"/>
    </row>
    <row r="109">
      <c r="A109" s="6" t="n"/>
      <c r="B109" s="7" t="n"/>
      <c r="C109" s="7" t="n"/>
      <c r="D109" s="37" t="n"/>
      <c r="E109" s="38" t="inlineStr">
        <is>
          <t>26072801595190Z8oVqWEt</t>
        </is>
      </c>
      <c r="F109" s="7" t="n"/>
      <c r="G109" s="10" t="n"/>
      <c r="H109" s="39" t="n"/>
      <c r="I109" s="12" t="n"/>
      <c r="J109" s="37" t="n"/>
      <c r="K109" s="40" t="n"/>
      <c r="L109" s="7" t="n"/>
      <c r="M109" s="14" t="n">
        <v>1</v>
      </c>
      <c r="N109" s="6" t="n"/>
      <c r="O109" s="15" t="n"/>
      <c r="P109" s="15" t="n"/>
      <c r="Q109" s="16" t="n"/>
      <c r="R109" s="15" t="n"/>
      <c r="S109" s="17" t="n"/>
      <c r="T109" s="15" t="n"/>
      <c r="U109" s="15" t="n"/>
      <c r="V109" s="15" t="n"/>
      <c r="W109" s="15" t="n"/>
    </row>
    <row r="110">
      <c r="A110" s="6" t="inlineStr">
        <is>
          <t>Apotek Medika 126 Baru Pasar Rebo</t>
        </is>
      </c>
      <c r="B110" s="7" t="inlineStr">
        <is>
          <t>AWB02WJHH</t>
        </is>
      </c>
      <c r="C110" s="7" t="n">
        <v>0.61</v>
      </c>
      <c r="D110" s="37" t="n">
        <v>0.002124</v>
      </c>
      <c r="E110" s="38" t="inlineStr">
        <is>
          <t>26072710005569qoMepCZ1K</t>
        </is>
      </c>
      <c r="F110" s="7" t="n">
        <v>13566</v>
      </c>
      <c r="G110" s="10" t="inlineStr">
        <is>
          <t>26072710005569qoMepCZ1K-26072710415979BLVpGgsq3</t>
        </is>
      </c>
      <c r="H110" s="39" t="inlineStr">
        <is>
          <t>P4N</t>
        </is>
      </c>
      <c r="I110" s="12" t="inlineStr">
        <is>
          <t>13566-Jalan Gongseng Raya Nomor 8 B, Desa/Kelurahan Baru, Kec. Pasar Rebo, Kota Jakarta Timur</t>
        </is>
      </c>
      <c r="J110" s="37" t="n">
        <v>13780</v>
      </c>
      <c r="K110" s="40" t="inlineStr">
        <is>
          <t>Kota Jakarta Timur</t>
        </is>
      </c>
      <c r="L110" s="7" t="inlineStr">
        <is>
          <t>6282125844069</t>
        </is>
      </c>
      <c r="M110" s="14" t="n">
        <v>1</v>
      </c>
      <c r="N110" s="6" t="n"/>
      <c r="O110" s="15" t="n"/>
      <c r="P110" s="15" t="n"/>
      <c r="Q110" s="16" t="n"/>
      <c r="R110" s="15" t="n"/>
      <c r="S110" s="17" t="n"/>
      <c r="T110" s="15" t="n"/>
      <c r="U110" s="15" t="n"/>
      <c r="V110" s="15" t="n"/>
      <c r="W110" s="15" t="n"/>
    </row>
    <row r="111">
      <c r="A111" s="6" t="n"/>
      <c r="B111" s="7" t="n"/>
      <c r="C111" s="7" t="n"/>
      <c r="D111" s="37" t="n"/>
      <c r="E111" s="38" t="inlineStr">
        <is>
          <t>26072710415979BLVpGgsq3</t>
        </is>
      </c>
      <c r="F111" s="7" t="n"/>
      <c r="G111" s="10" t="n"/>
      <c r="H111" s="39" t="n"/>
      <c r="I111" s="12" t="n"/>
      <c r="J111" s="37" t="n"/>
      <c r="K111" s="40" t="n"/>
      <c r="L111" s="7" t="n"/>
      <c r="M111" s="14" t="n">
        <v>1</v>
      </c>
      <c r="N111" s="6" t="n"/>
      <c r="O111" s="15" t="n"/>
      <c r="P111" s="15" t="n"/>
      <c r="Q111" s="16" t="n"/>
      <c r="R111" s="15" t="n"/>
      <c r="S111" s="17" t="n"/>
      <c r="T111" s="15" t="n"/>
      <c r="U111" s="15" t="n"/>
      <c r="V111" s="15" t="n"/>
      <c r="W111" s="15" t="n"/>
    </row>
    <row r="112">
      <c r="A112" s="6" t="inlineStr">
        <is>
          <t>Apotek Merapi</t>
        </is>
      </c>
      <c r="B112" s="7" t="inlineStr">
        <is>
          <t>AWB02WM39</t>
        </is>
      </c>
      <c r="C112" s="7" t="n">
        <v>9.800000000000001</v>
      </c>
      <c r="D112" s="37" t="n">
        <v>0.028739</v>
      </c>
      <c r="E112" s="38" t="inlineStr">
        <is>
          <t>26072803283505cI8I77fXXj</t>
        </is>
      </c>
      <c r="F112" s="7" t="n">
        <v>334</v>
      </c>
      <c r="G112" s="10" t="inlineStr">
        <is>
          <t>26072803283505cI8I77fXXj-26072803283505IrS9O5GP4-26072803283505rckWTaHni-26072803574432jW7lwvjk5</t>
        </is>
      </c>
      <c r="H112" s="39" t="inlineStr">
        <is>
          <t>P4N</t>
        </is>
      </c>
      <c r="I112" s="12" t="inlineStr">
        <is>
          <t>334-Jalan Kejayaan Blok X No. 9 RT 006/ RW 012 Kelurahan Abadijaya, Kecamatan Sukmajaya Kota Depok 16417</t>
        </is>
      </c>
      <c r="J112" s="37" t="n">
        <v>16417</v>
      </c>
      <c r="K112" s="40" t="inlineStr">
        <is>
          <t>Kota Depok</t>
        </is>
      </c>
      <c r="L112" s="7" t="inlineStr">
        <is>
          <t>2177833109</t>
        </is>
      </c>
      <c r="M112" s="14" t="n">
        <v>1</v>
      </c>
      <c r="N112" s="6" t="n"/>
      <c r="O112" s="15" t="n"/>
      <c r="P112" s="15" t="n"/>
      <c r="Q112" s="16" t="n"/>
      <c r="R112" s="15" t="n"/>
      <c r="S112" s="17" t="n"/>
      <c r="T112" s="15" t="n"/>
      <c r="U112" s="15" t="n"/>
      <c r="V112" s="15" t="n"/>
      <c r="W112" s="15" t="n"/>
    </row>
    <row r="113">
      <c r="A113" s="6" t="n"/>
      <c r="B113" s="7" t="n"/>
      <c r="C113" s="7" t="n"/>
      <c r="D113" s="37" t="n"/>
      <c r="E113" s="38" t="inlineStr">
        <is>
          <t>26072803283505IrS9O5GP4</t>
        </is>
      </c>
      <c r="F113" s="7" t="n"/>
      <c r="G113" s="10" t="n"/>
      <c r="H113" s="39" t="n"/>
      <c r="I113" s="12" t="n"/>
      <c r="J113" s="37" t="n"/>
      <c r="K113" s="40" t="n"/>
      <c r="L113" s="7" t="n"/>
      <c r="M113" s="14" t="n">
        <v>1</v>
      </c>
      <c r="N113" s="6" t="n"/>
      <c r="O113" s="15" t="n"/>
      <c r="P113" s="15" t="n"/>
      <c r="Q113" s="16" t="n"/>
      <c r="R113" s="15" t="n"/>
      <c r="S113" s="17" t="n"/>
      <c r="T113" s="15" t="n"/>
      <c r="U113" s="15" t="n"/>
      <c r="V113" s="15" t="n"/>
      <c r="W113" s="15" t="n"/>
    </row>
    <row r="114">
      <c r="A114" s="6" t="n"/>
      <c r="B114" s="7" t="n"/>
      <c r="C114" s="7" t="n"/>
      <c r="D114" s="37" t="n"/>
      <c r="E114" s="38" t="inlineStr">
        <is>
          <t>26072803283505rckWTaHni</t>
        </is>
      </c>
      <c r="F114" s="7" t="n"/>
      <c r="G114" s="10" t="n"/>
      <c r="H114" s="39" t="n"/>
      <c r="I114" s="12" t="n"/>
      <c r="J114" s="37" t="n"/>
      <c r="K114" s="40" t="n"/>
      <c r="L114" s="7" t="n"/>
      <c r="M114" s="14" t="n">
        <v>1</v>
      </c>
      <c r="N114" s="6" t="n"/>
      <c r="O114" s="15" t="n"/>
      <c r="P114" s="15" t="n"/>
      <c r="Q114" s="16" t="n"/>
      <c r="R114" s="15" t="n"/>
      <c r="S114" s="17" t="n"/>
      <c r="T114" s="15" t="n"/>
      <c r="U114" s="15" t="n"/>
      <c r="V114" s="15" t="n"/>
      <c r="W114" s="15" t="n"/>
    </row>
    <row r="115">
      <c r="A115" s="6" t="n"/>
      <c r="B115" s="7" t="n"/>
      <c r="C115" s="7" t="n"/>
      <c r="D115" s="37" t="n"/>
      <c r="E115" s="38" t="inlineStr">
        <is>
          <t>26072803574432jW7lwvjk5</t>
        </is>
      </c>
      <c r="F115" s="7" t="n"/>
      <c r="G115" s="10" t="n"/>
      <c r="H115" s="39" t="n"/>
      <c r="I115" s="12" t="n"/>
      <c r="J115" s="37" t="n"/>
      <c r="K115" s="40" t="n"/>
      <c r="L115" s="7" t="n"/>
      <c r="M115" s="14" t="n">
        <v>1</v>
      </c>
      <c r="N115" s="6" t="n"/>
      <c r="O115" s="15" t="n"/>
      <c r="P115" s="15" t="n"/>
      <c r="Q115" s="16" t="n"/>
      <c r="R115" s="15" t="n"/>
      <c r="S115" s="17" t="n"/>
      <c r="T115" s="15" t="n"/>
      <c r="U115" s="15" t="n"/>
      <c r="V115" s="15" t="n"/>
      <c r="W115" s="15" t="n"/>
    </row>
    <row r="116">
      <c r="A116" s="6" t="inlineStr">
        <is>
          <t>Apotek Mumtaz Bedahan Sawangan</t>
        </is>
      </c>
      <c r="B116" s="7" t="inlineStr">
        <is>
          <t>AWB02WJJL</t>
        </is>
      </c>
      <c r="C116" s="7" t="n">
        <v>0.97</v>
      </c>
      <c r="D116" s="37" t="n">
        <v>0.004045</v>
      </c>
      <c r="E116" s="38" t="inlineStr">
        <is>
          <t>26072710133904pNcuq6ld</t>
        </is>
      </c>
      <c r="F116" s="7" t="n">
        <v>15895</v>
      </c>
      <c r="G116" s="10" t="inlineStr">
        <is>
          <t>26072710133904pNcuq6ld-2607271013390590AlcCl43l</t>
        </is>
      </c>
      <c r="H116" s="39" t="inlineStr">
        <is>
          <t>P4N</t>
        </is>
      </c>
      <c r="I116" s="12" t="inlineStr">
        <is>
          <t>15895-Ruko Almoetamad Regency No.1 RT 005 RW 003 Kel.Bedahan Kec.Sawangan Kota Depok</t>
        </is>
      </c>
      <c r="J116" s="37" t="n">
        <v>16519</v>
      </c>
      <c r="K116" s="40" t="inlineStr">
        <is>
          <t>Kota Depok</t>
        </is>
      </c>
      <c r="L116" s="7" t="inlineStr">
        <is>
          <t>6285177925786</t>
        </is>
      </c>
      <c r="M116" s="14" t="n">
        <v>1</v>
      </c>
      <c r="N116" s="6" t="n"/>
      <c r="O116" s="15" t="n"/>
      <c r="P116" s="15" t="n"/>
      <c r="Q116" s="16" t="n"/>
      <c r="R116" s="15" t="n"/>
      <c r="S116" s="17" t="n"/>
      <c r="T116" s="15" t="n"/>
      <c r="U116" s="15" t="n"/>
      <c r="V116" s="15" t="n"/>
      <c r="W116" s="15" t="n"/>
    </row>
    <row r="117">
      <c r="A117" s="6" t="n"/>
      <c r="B117" s="7" t="n"/>
      <c r="C117" s="7" t="n"/>
      <c r="D117" s="37" t="n"/>
      <c r="E117" s="38" t="inlineStr">
        <is>
          <t>2607271013390590AlcCl43l</t>
        </is>
      </c>
      <c r="F117" s="7" t="n"/>
      <c r="G117" s="10" t="n"/>
      <c r="H117" s="39" t="n"/>
      <c r="I117" s="12" t="n"/>
      <c r="J117" s="37" t="n"/>
      <c r="K117" s="40" t="n"/>
      <c r="L117" s="7" t="n"/>
      <c r="M117" s="14" t="n">
        <v>1</v>
      </c>
      <c r="N117" s="6" t="n"/>
      <c r="O117" s="15" t="n"/>
      <c r="P117" s="15" t="n"/>
      <c r="Q117" s="16" t="n"/>
      <c r="R117" s="15" t="n"/>
      <c r="S117" s="17" t="n"/>
      <c r="T117" s="15" t="n"/>
      <c r="U117" s="15" t="n"/>
      <c r="V117" s="15" t="n"/>
      <c r="W117" s="15" t="n"/>
    </row>
    <row r="118">
      <c r="A118" s="6" t="inlineStr">
        <is>
          <t>Apotek Mustika Waras Jatirasa Jatiasih</t>
        </is>
      </c>
      <c r="B118" s="7" t="inlineStr">
        <is>
          <t>AWB02WG7D</t>
        </is>
      </c>
      <c r="C118" s="7" t="n">
        <v>2.99</v>
      </c>
      <c r="D118" s="37" t="n">
        <v>0.00961</v>
      </c>
      <c r="E118" s="38" t="inlineStr">
        <is>
          <t>26072702572626NtbbW1wOJ</t>
        </is>
      </c>
      <c r="F118" s="7" t="n">
        <v>9079</v>
      </c>
      <c r="G118" s="10" t="inlineStr">
        <is>
          <t>26072702572626NtbbW1wOJ-26072705573895qVOjd2FOO-26072803404163RnXrEhtGw</t>
        </is>
      </c>
      <c r="H118" s="39" t="inlineStr">
        <is>
          <t>P4N</t>
        </is>
      </c>
      <c r="I118" s="12" t="inlineStr">
        <is>
          <t>9079-Jl. Swatantra V No. 66 B RT 07 RW 03 Kel. Jatirasa, Kec. Jatiasih, Kota Bekasi 17424</t>
        </is>
      </c>
      <c r="J118" s="37" t="n">
        <v>17424</v>
      </c>
      <c r="K118" s="40" t="inlineStr">
        <is>
          <t>Kota Bekasi</t>
        </is>
      </c>
      <c r="L118" s="7" t="inlineStr">
        <is>
          <t>6285770601565</t>
        </is>
      </c>
      <c r="M118" s="14" t="n">
        <v>1</v>
      </c>
      <c r="N118" s="6" t="n"/>
      <c r="O118" s="15" t="n"/>
      <c r="P118" s="15" t="n"/>
      <c r="Q118" s="16" t="n"/>
      <c r="R118" s="15" t="n"/>
      <c r="S118" s="17" t="n"/>
      <c r="T118" s="15" t="n"/>
      <c r="U118" s="15" t="n"/>
      <c r="V118" s="15" t="n"/>
      <c r="W118" s="15" t="n"/>
    </row>
    <row r="119">
      <c r="A119" s="6" t="n"/>
      <c r="B119" s="7" t="n"/>
      <c r="C119" s="7" t="n"/>
      <c r="D119" s="37" t="n"/>
      <c r="E119" s="38" t="inlineStr">
        <is>
          <t>26072705573895qVOjd2FOO</t>
        </is>
      </c>
      <c r="F119" s="7" t="n"/>
      <c r="G119" s="10" t="n"/>
      <c r="H119" s="39" t="n"/>
      <c r="I119" s="12" t="n"/>
      <c r="J119" s="37" t="n"/>
      <c r="K119" s="40" t="n"/>
      <c r="L119" s="7" t="n"/>
      <c r="M119" s="14" t="n">
        <v>1</v>
      </c>
      <c r="N119" s="6" t="n"/>
      <c r="O119" s="15" t="n"/>
      <c r="P119" s="15" t="n"/>
      <c r="Q119" s="16" t="n"/>
      <c r="R119" s="15" t="n"/>
      <c r="S119" s="17" t="n"/>
      <c r="T119" s="15" t="n"/>
      <c r="U119" s="15" t="n"/>
      <c r="V119" s="15" t="n"/>
      <c r="W119" s="15" t="n"/>
    </row>
    <row r="120">
      <c r="A120" s="6" t="n"/>
      <c r="B120" s="7" t="n"/>
      <c r="C120" s="7" t="n"/>
      <c r="D120" s="37" t="n"/>
      <c r="E120" s="38" t="inlineStr">
        <is>
          <t>26072803404163RnXrEhtGw</t>
        </is>
      </c>
      <c r="F120" s="7" t="n"/>
      <c r="G120" s="10" t="n"/>
      <c r="H120" s="39" t="n"/>
      <c r="I120" s="12" t="n"/>
      <c r="J120" s="37" t="n"/>
      <c r="K120" s="40" t="n"/>
      <c r="L120" s="7" t="n"/>
      <c r="M120" s="14" t="n">
        <v>1</v>
      </c>
      <c r="N120" s="6" t="n"/>
      <c r="O120" s="15" t="n"/>
      <c r="P120" s="15" t="n"/>
      <c r="Q120" s="16" t="n"/>
      <c r="R120" s="15" t="n"/>
      <c r="S120" s="17" t="n"/>
      <c r="T120" s="15" t="n"/>
      <c r="U120" s="15" t="n"/>
      <c r="V120" s="15" t="n"/>
      <c r="W120" s="15" t="n"/>
    </row>
    <row r="121">
      <c r="A121" s="6" t="inlineStr">
        <is>
          <t>Apotek Nakita Madalle</t>
        </is>
      </c>
      <c r="B121" s="7" t="inlineStr">
        <is>
          <t>AWB02WJRJ</t>
        </is>
      </c>
      <c r="C121" s="7" t="n">
        <v>10.61</v>
      </c>
      <c r="D121" s="37" t="n">
        <v>0.023055</v>
      </c>
      <c r="E121" s="38" t="inlineStr">
        <is>
          <t>260727124440934EgupLab9c</t>
        </is>
      </c>
      <c r="F121" s="7" t="n">
        <v>3381</v>
      </c>
      <c r="G121" s="10" t="inlineStr">
        <is>
          <t>260727124440934EgupLab9c-26072712444093IXHKlo2Ay-260727125219212MMDlZOLc-260728023522615z7OLNzk1S-26072802352261CPB3TVO4E-26072802352261HUwl3S7E3E-26072802523653PAwWASWwN</t>
        </is>
      </c>
      <c r="H121" s="39" t="inlineStr">
        <is>
          <t>P4N</t>
        </is>
      </c>
      <c r="I121" s="12" t="inlineStr">
        <is>
          <t>3381-Perumahan Permata Cimanggis Blok CC No.15 RT005/RW021 Kel.Cimpaeun Kec.Tapos Depok Jawa Barat 16459</t>
        </is>
      </c>
      <c r="J121" s="37" t="n">
        <v>16459</v>
      </c>
      <c r="K121" s="40" t="inlineStr">
        <is>
          <t>Kota Depok</t>
        </is>
      </c>
      <c r="L121" s="7" t="inlineStr">
        <is>
          <t>82122191810</t>
        </is>
      </c>
      <c r="M121" s="14" t="n">
        <v>1</v>
      </c>
      <c r="N121" s="6" t="n"/>
      <c r="O121" s="15" t="n"/>
      <c r="P121" s="15" t="n"/>
      <c r="Q121" s="16" t="n"/>
      <c r="R121" s="15" t="n"/>
      <c r="S121" s="17" t="n"/>
      <c r="T121" s="15" t="n"/>
      <c r="U121" s="15" t="n"/>
      <c r="V121" s="15" t="n"/>
      <c r="W121" s="15" t="n"/>
    </row>
    <row r="122">
      <c r="A122" s="6" t="n"/>
      <c r="B122" s="7" t="n"/>
      <c r="C122" s="7" t="n"/>
      <c r="D122" s="37" t="n"/>
      <c r="E122" s="38" t="inlineStr">
        <is>
          <t>26072712444093IXHKlo2Ay</t>
        </is>
      </c>
      <c r="F122" s="7" t="n"/>
      <c r="G122" s="10" t="n"/>
      <c r="H122" s="39" t="n"/>
      <c r="I122" s="12" t="n"/>
      <c r="J122" s="37" t="n"/>
      <c r="K122" s="40" t="n"/>
      <c r="L122" s="7" t="n"/>
      <c r="M122" s="14" t="n">
        <v>1</v>
      </c>
      <c r="N122" s="6" t="n"/>
      <c r="O122" s="15" t="n"/>
      <c r="P122" s="15" t="n"/>
      <c r="Q122" s="16" t="n"/>
      <c r="R122" s="15" t="n"/>
      <c r="S122" s="17" t="n"/>
      <c r="T122" s="15" t="n"/>
      <c r="U122" s="15" t="n"/>
      <c r="V122" s="15" t="n"/>
      <c r="W122" s="15" t="n"/>
    </row>
    <row r="123">
      <c r="A123" s="6" t="n"/>
      <c r="B123" s="7" t="n"/>
      <c r="C123" s="7" t="n"/>
      <c r="D123" s="37" t="n"/>
      <c r="E123" s="38" t="inlineStr">
        <is>
          <t>260727125219212MMDlZOLc</t>
        </is>
      </c>
      <c r="F123" s="7" t="n"/>
      <c r="G123" s="10" t="n"/>
      <c r="H123" s="39" t="n"/>
      <c r="I123" s="12" t="n"/>
      <c r="J123" s="37" t="n"/>
      <c r="K123" s="40" t="n"/>
      <c r="L123" s="7" t="n"/>
      <c r="M123" s="14" t="n">
        <v>1</v>
      </c>
      <c r="N123" s="6" t="n"/>
      <c r="O123" s="15" t="n"/>
      <c r="P123" s="15" t="n"/>
      <c r="Q123" s="16" t="n"/>
      <c r="R123" s="15" t="n"/>
      <c r="S123" s="17" t="n"/>
      <c r="T123" s="15" t="n"/>
      <c r="U123" s="15" t="n"/>
      <c r="V123" s="15" t="n"/>
      <c r="W123" s="15" t="n"/>
    </row>
    <row r="124">
      <c r="A124" s="6" t="n"/>
      <c r="B124" s="7" t="n"/>
      <c r="C124" s="7" t="n"/>
      <c r="D124" s="37" t="n"/>
      <c r="E124" s="38" t="inlineStr">
        <is>
          <t>260728023522615z7OLNzk1S</t>
        </is>
      </c>
      <c r="F124" s="7" t="n"/>
      <c r="G124" s="10" t="n"/>
      <c r="H124" s="39" t="n"/>
      <c r="I124" s="12" t="n"/>
      <c r="J124" s="37" t="n"/>
      <c r="K124" s="40" t="n"/>
      <c r="L124" s="7" t="n"/>
      <c r="M124" s="14" t="n">
        <v>1</v>
      </c>
      <c r="N124" s="6" t="n"/>
      <c r="O124" s="15" t="n"/>
      <c r="P124" s="15" t="n"/>
      <c r="Q124" s="16" t="n"/>
      <c r="R124" s="15" t="n"/>
      <c r="S124" s="17" t="n"/>
      <c r="T124" s="15" t="n"/>
      <c r="U124" s="15" t="n"/>
      <c r="V124" s="15" t="n"/>
      <c r="W124" s="15" t="n"/>
    </row>
    <row r="125">
      <c r="A125" s="6" t="n"/>
      <c r="B125" s="7" t="n"/>
      <c r="C125" s="7" t="n"/>
      <c r="D125" s="37" t="n"/>
      <c r="E125" s="38" t="inlineStr">
        <is>
          <t>26072802352261CPB3TVO4E</t>
        </is>
      </c>
      <c r="F125" s="7" t="n"/>
      <c r="G125" s="10" t="n"/>
      <c r="H125" s="39" t="n"/>
      <c r="I125" s="12" t="n"/>
      <c r="J125" s="37" t="n"/>
      <c r="K125" s="40" t="n"/>
      <c r="L125" s="7" t="n"/>
      <c r="M125" s="14" t="n">
        <v>1</v>
      </c>
      <c r="N125" s="6" t="n"/>
      <c r="O125" s="15" t="n"/>
      <c r="P125" s="15" t="n"/>
      <c r="Q125" s="16" t="n"/>
      <c r="R125" s="15" t="n"/>
      <c r="S125" s="17" t="n"/>
      <c r="T125" s="15" t="n"/>
      <c r="U125" s="15" t="n"/>
      <c r="V125" s="15" t="n"/>
      <c r="W125" s="15" t="n"/>
    </row>
    <row r="126">
      <c r="A126" s="6" t="n"/>
      <c r="B126" s="7" t="n"/>
      <c r="C126" s="7" t="n"/>
      <c r="D126" s="37" t="n"/>
      <c r="E126" s="38" t="inlineStr">
        <is>
          <t>26072802352261HUwl3S7E3E</t>
        </is>
      </c>
      <c r="F126" s="7" t="n"/>
      <c r="G126" s="10" t="n"/>
      <c r="H126" s="39" t="n"/>
      <c r="I126" s="12" t="n"/>
      <c r="J126" s="37" t="n"/>
      <c r="K126" s="40" t="n"/>
      <c r="L126" s="7" t="n"/>
      <c r="M126" s="14" t="n">
        <v>1</v>
      </c>
      <c r="N126" s="6" t="n"/>
      <c r="O126" s="15" t="n"/>
      <c r="P126" s="15" t="n"/>
      <c r="Q126" s="16" t="n"/>
      <c r="R126" s="15" t="n"/>
      <c r="S126" s="17" t="n"/>
      <c r="T126" s="15" t="n"/>
      <c r="U126" s="15" t="n"/>
      <c r="V126" s="15" t="n"/>
      <c r="W126" s="15" t="n"/>
    </row>
    <row r="127">
      <c r="A127" s="6" t="n"/>
      <c r="B127" s="7" t="n"/>
      <c r="C127" s="7" t="n"/>
      <c r="D127" s="37" t="n"/>
      <c r="E127" s="38" t="inlineStr">
        <is>
          <t>26072802523653PAwWASWwN</t>
        </is>
      </c>
      <c r="F127" s="7" t="n"/>
      <c r="G127" s="10" t="n"/>
      <c r="H127" s="39" t="n"/>
      <c r="I127" s="12" t="n"/>
      <c r="J127" s="37" t="n"/>
      <c r="K127" s="40" t="n"/>
      <c r="L127" s="7" t="n"/>
      <c r="M127" s="14" t="n">
        <v>1</v>
      </c>
      <c r="N127" s="6" t="n"/>
      <c r="O127" s="15" t="n"/>
      <c r="P127" s="15" t="n"/>
      <c r="Q127" s="16" t="n"/>
      <c r="R127" s="15" t="n"/>
      <c r="S127" s="17" t="n"/>
      <c r="T127" s="15" t="n"/>
      <c r="U127" s="15" t="n"/>
      <c r="V127" s="15" t="n"/>
      <c r="W127" s="15" t="n"/>
    </row>
    <row r="128">
      <c r="A128" s="6" t="inlineStr">
        <is>
          <t>Apotek Pekapuran</t>
        </is>
      </c>
      <c r="B128" s="7" t="inlineStr">
        <is>
          <t>AWB02WKWC</t>
        </is>
      </c>
      <c r="C128" s="7" t="n">
        <v>12.53</v>
      </c>
      <c r="D128" s="37" t="n">
        <v>0.036723</v>
      </c>
      <c r="E128" s="38" t="inlineStr">
        <is>
          <t>26072801495840egbfgBSpN</t>
        </is>
      </c>
      <c r="F128" s="7" t="n">
        <v>308</v>
      </c>
      <c r="G128" s="10" t="inlineStr">
        <is>
          <t>26072801495840egbfgBSpN-26072801495840hpcPzgh98a-26072802320160NKV2NFv2Bd-26072802320160vLY5ZF5av</t>
        </is>
      </c>
      <c r="H128" s="39" t="inlineStr">
        <is>
          <t>P4N</t>
        </is>
      </c>
      <c r="I128" s="12" t="inlineStr">
        <is>
          <t>308-Jalan Raya Pekapuran No. 106 RT 001 RW 022, Kelurahan Sukatani, Kecamatan Tapos Kota Depok 16454</t>
        </is>
      </c>
      <c r="J128" s="37" t="n">
        <v>16454</v>
      </c>
      <c r="K128" s="40" t="inlineStr">
        <is>
          <t>Kota Depok</t>
        </is>
      </c>
      <c r="L128" s="7" t="inlineStr">
        <is>
          <t>89679099392</t>
        </is>
      </c>
      <c r="M128" s="14" t="n">
        <v>1</v>
      </c>
      <c r="N128" s="6" t="n"/>
      <c r="O128" s="15" t="n"/>
      <c r="P128" s="15" t="n"/>
      <c r="Q128" s="16" t="n"/>
      <c r="R128" s="15" t="n"/>
      <c r="S128" s="17" t="n"/>
      <c r="T128" s="15" t="n"/>
      <c r="U128" s="15" t="n"/>
      <c r="V128" s="15" t="n"/>
      <c r="W128" s="15" t="n"/>
    </row>
    <row r="129">
      <c r="A129" s="6" t="n"/>
      <c r="B129" s="7" t="n"/>
      <c r="C129" s="7" t="n"/>
      <c r="D129" s="37" t="n"/>
      <c r="E129" s="38" t="inlineStr">
        <is>
          <t>26072801495840hpcPzgh98a</t>
        </is>
      </c>
      <c r="F129" s="7" t="n"/>
      <c r="G129" s="10" t="n"/>
      <c r="H129" s="39" t="n"/>
      <c r="I129" s="12" t="n"/>
      <c r="J129" s="37" t="n"/>
      <c r="K129" s="40" t="n"/>
      <c r="L129" s="7" t="n"/>
      <c r="M129" s="14" t="n">
        <v>2</v>
      </c>
      <c r="N129" s="6" t="n"/>
      <c r="O129" s="15" t="n"/>
      <c r="P129" s="15" t="n"/>
      <c r="Q129" s="16" t="n"/>
      <c r="R129" s="15" t="n"/>
      <c r="S129" s="17" t="n"/>
      <c r="T129" s="15" t="n"/>
      <c r="U129" s="15" t="n"/>
      <c r="V129" s="15" t="n"/>
      <c r="W129" s="15" t="n"/>
    </row>
    <row r="130">
      <c r="A130" s="6" t="n"/>
      <c r="B130" s="7" t="n"/>
      <c r="C130" s="7" t="n"/>
      <c r="D130" s="37" t="n"/>
      <c r="E130" s="38" t="inlineStr">
        <is>
          <t>26072802320160NKV2NFv2Bd</t>
        </is>
      </c>
      <c r="F130" s="7" t="n"/>
      <c r="G130" s="10" t="n"/>
      <c r="H130" s="39" t="n"/>
      <c r="I130" s="12" t="n"/>
      <c r="J130" s="37" t="n"/>
      <c r="K130" s="40" t="n"/>
      <c r="L130" s="7" t="n"/>
      <c r="M130" s="14" t="n">
        <v>1</v>
      </c>
      <c r="N130" s="6" t="n"/>
      <c r="O130" s="15" t="n"/>
      <c r="P130" s="15" t="n"/>
      <c r="Q130" s="16" t="n"/>
      <c r="R130" s="15" t="n"/>
      <c r="S130" s="17" t="n"/>
      <c r="T130" s="15" t="n"/>
      <c r="U130" s="15" t="n"/>
      <c r="V130" s="15" t="n"/>
      <c r="W130" s="15" t="n"/>
    </row>
    <row r="131">
      <c r="A131" s="6" t="n"/>
      <c r="B131" s="7" t="n"/>
      <c r="C131" s="7" t="n"/>
      <c r="D131" s="37" t="n"/>
      <c r="E131" s="38" t="inlineStr">
        <is>
          <t>26072802320160vLY5ZF5av</t>
        </is>
      </c>
      <c r="F131" s="7" t="n"/>
      <c r="G131" s="10" t="n"/>
      <c r="H131" s="39" t="n"/>
      <c r="I131" s="12" t="n"/>
      <c r="J131" s="37" t="n"/>
      <c r="K131" s="40" t="n"/>
      <c r="L131" s="7" t="n"/>
      <c r="M131" s="14" t="n">
        <v>1</v>
      </c>
      <c r="N131" s="6" t="n"/>
      <c r="O131" s="15" t="n"/>
      <c r="P131" s="15" t="n"/>
      <c r="Q131" s="16" t="n"/>
      <c r="R131" s="15" t="n"/>
      <c r="S131" s="17" t="n"/>
      <c r="T131" s="15" t="n"/>
      <c r="U131" s="15" t="n"/>
      <c r="V131" s="15" t="n"/>
      <c r="W131" s="15" t="n"/>
    </row>
    <row r="132">
      <c r="A132" s="6" t="inlineStr">
        <is>
          <t>Apotek Permata Sehat Sukamajaya Sukmajaya</t>
        </is>
      </c>
      <c r="B132" s="7" t="inlineStr">
        <is>
          <t>AWB02WLNK</t>
        </is>
      </c>
      <c r="C132" s="7" t="n">
        <v>4.21</v>
      </c>
      <c r="D132" s="37" t="n">
        <v>0.012429</v>
      </c>
      <c r="E132" s="38" t="inlineStr">
        <is>
          <t>26072802550278N34N9hRl</t>
        </is>
      </c>
      <c r="F132" s="7" t="n">
        <v>11645</v>
      </c>
      <c r="G132" s="10" t="inlineStr">
        <is>
          <t>26072802550278N34N9hRl-26072803050134jyd0UwlxE-26072803125570MWzB2f1X</t>
        </is>
      </c>
      <c r="H132" s="39" t="inlineStr">
        <is>
          <t>P4N</t>
        </is>
      </c>
      <c r="I132" s="12" t="inlineStr">
        <is>
          <t>11645-Jl. Raden Saleh No.45, Rt.003 Rw.005, Kel. Sukmajaya Kec. Sukmajaya Kota Depok</t>
        </is>
      </c>
      <c r="J132" s="37" t="n">
        <v>16412</v>
      </c>
      <c r="K132" s="40" t="inlineStr">
        <is>
          <t>Kota Depok</t>
        </is>
      </c>
      <c r="L132" s="7" t="inlineStr">
        <is>
          <t>6285186695789</t>
        </is>
      </c>
      <c r="M132" s="14" t="n">
        <v>1</v>
      </c>
      <c r="N132" s="6" t="n"/>
      <c r="O132" s="15" t="n"/>
      <c r="P132" s="15" t="n"/>
      <c r="Q132" s="16" t="n"/>
      <c r="R132" s="15" t="n"/>
      <c r="S132" s="17" t="n"/>
      <c r="T132" s="15" t="n"/>
      <c r="U132" s="15" t="n"/>
      <c r="V132" s="15" t="n"/>
      <c r="W132" s="15" t="n"/>
    </row>
    <row r="133">
      <c r="A133" s="6" t="n"/>
      <c r="B133" s="7" t="n"/>
      <c r="C133" s="7" t="n"/>
      <c r="D133" s="37" t="n"/>
      <c r="E133" s="38" t="inlineStr">
        <is>
          <t>26072803050134jyd0UwlxE</t>
        </is>
      </c>
      <c r="F133" s="7" t="n"/>
      <c r="G133" s="10" t="n"/>
      <c r="H133" s="39" t="n"/>
      <c r="I133" s="12" t="n"/>
      <c r="J133" s="37" t="n"/>
      <c r="K133" s="40" t="n"/>
      <c r="L133" s="7" t="n"/>
      <c r="M133" s="14" t="n">
        <v>1</v>
      </c>
      <c r="N133" s="6" t="n"/>
      <c r="O133" s="15" t="n"/>
      <c r="P133" s="15" t="n"/>
      <c r="Q133" s="16" t="n"/>
      <c r="R133" s="15" t="n"/>
      <c r="S133" s="17" t="n"/>
      <c r="T133" s="15" t="n"/>
      <c r="U133" s="15" t="n"/>
      <c r="V133" s="15" t="n"/>
      <c r="W133" s="15" t="n"/>
    </row>
    <row r="134">
      <c r="A134" s="6" t="n"/>
      <c r="B134" s="7" t="n"/>
      <c r="C134" s="7" t="n"/>
      <c r="D134" s="37" t="n"/>
      <c r="E134" s="38" t="inlineStr">
        <is>
          <t>26072803125570MWzB2f1X</t>
        </is>
      </c>
      <c r="F134" s="7" t="n"/>
      <c r="G134" s="10" t="n"/>
      <c r="H134" s="39" t="n"/>
      <c r="I134" s="12" t="n"/>
      <c r="J134" s="37" t="n"/>
      <c r="K134" s="40" t="n"/>
      <c r="L134" s="7" t="n"/>
      <c r="M134" s="14" t="n">
        <v>1</v>
      </c>
      <c r="N134" s="6" t="n"/>
      <c r="O134" s="15" t="n"/>
      <c r="P134" s="15" t="n"/>
      <c r="Q134" s="16" t="n"/>
      <c r="R134" s="15" t="n"/>
      <c r="S134" s="17" t="n"/>
      <c r="T134" s="15" t="n"/>
      <c r="U134" s="15" t="n"/>
      <c r="V134" s="15" t="n"/>
      <c r="W134" s="15" t="n"/>
    </row>
    <row r="135">
      <c r="A135" s="6" t="inlineStr">
        <is>
          <t>Apotek Pondok Gede Farma</t>
        </is>
      </c>
      <c r="B135" s="7" t="inlineStr">
        <is>
          <t>AWB02WL5M</t>
        </is>
      </c>
      <c r="C135" s="7" t="n">
        <v>1.36</v>
      </c>
      <c r="D135" s="37" t="n">
        <v>0.007058</v>
      </c>
      <c r="E135" s="38" t="inlineStr">
        <is>
          <t>260728021729684mcZToiip</t>
        </is>
      </c>
      <c r="F135" s="7" t="n">
        <v>982</v>
      </c>
      <c r="G135" s="10" t="inlineStr">
        <is>
          <t>260728021729684mcZToiip</t>
        </is>
      </c>
      <c r="H135" s="39" t="inlineStr">
        <is>
          <t>P4N</t>
        </is>
      </c>
      <c r="I135" s="12" t="inlineStr">
        <is>
          <t>982-Jalan Raya Jatiwaringin 232 B Kelurahan Jaticempaka Kecamatan Pondokgede Kota Bekasi Jawa Barat 17411</t>
        </is>
      </c>
      <c r="J135" s="37" t="n">
        <v>17411</v>
      </c>
      <c r="K135" s="40" t="inlineStr">
        <is>
          <t>Kota Bekasi</t>
        </is>
      </c>
      <c r="L135" s="7" t="inlineStr">
        <is>
          <t>81314637235</t>
        </is>
      </c>
      <c r="M135" s="14" t="n">
        <v>1</v>
      </c>
      <c r="N135" s="6" t="n"/>
      <c r="O135" s="15" t="n"/>
      <c r="P135" s="15" t="n"/>
      <c r="Q135" s="16" t="n"/>
      <c r="R135" s="15" t="n"/>
      <c r="S135" s="17" t="n"/>
      <c r="T135" s="15" t="n"/>
      <c r="U135" s="15" t="n"/>
      <c r="V135" s="15" t="n"/>
      <c r="W135" s="15" t="n"/>
    </row>
    <row r="136">
      <c r="A136" s="6" t="inlineStr">
        <is>
          <t>Apotek Pritama 2 Rangkapanjaya Pancoran Mas</t>
        </is>
      </c>
      <c r="B136" s="7" t="inlineStr">
        <is>
          <t>AWB02WHK6</t>
        </is>
      </c>
      <c r="C136" s="7" t="n">
        <v>1.34</v>
      </c>
      <c r="D136" s="37" t="n">
        <v>0.005368</v>
      </c>
      <c r="E136" s="38" t="inlineStr">
        <is>
          <t>26072704182889lK6f5PbSp</t>
        </is>
      </c>
      <c r="F136" s="7" t="n">
        <v>13758</v>
      </c>
      <c r="G136" s="10" t="inlineStr">
        <is>
          <t>26072704182889lK6f5PbSp</t>
        </is>
      </c>
      <c r="H136" s="39" t="inlineStr">
        <is>
          <t>P4N</t>
        </is>
      </c>
      <c r="I136" s="12" t="inlineStr">
        <is>
          <t>13758-Jl. Caringin Ruko Av-1 RT003 RW005 Kel. Rangkapan Jaya Kec. Pancoran Mas Kota Depok</t>
        </is>
      </c>
      <c r="J136" s="37" t="n">
        <v>16435</v>
      </c>
      <c r="K136" s="40" t="inlineStr">
        <is>
          <t>Kota Depok</t>
        </is>
      </c>
      <c r="L136" s="7" t="inlineStr">
        <is>
          <t>6283807880626</t>
        </is>
      </c>
      <c r="M136" s="14" t="n">
        <v>1</v>
      </c>
      <c r="N136" s="6" t="n"/>
      <c r="O136" s="15" t="n"/>
      <c r="P136" s="15" t="n"/>
      <c r="Q136" s="16" t="n"/>
      <c r="R136" s="15" t="n"/>
      <c r="S136" s="17" t="n"/>
      <c r="T136" s="15" t="n"/>
      <c r="U136" s="15" t="n"/>
      <c r="V136" s="15" t="n"/>
      <c r="W136" s="15" t="n"/>
    </row>
    <row r="137">
      <c r="A137" s="6" t="inlineStr">
        <is>
          <t>Apotek Pulih</t>
        </is>
      </c>
      <c r="B137" s="7" t="inlineStr">
        <is>
          <t>AWB02WM4L</t>
        </is>
      </c>
      <c r="C137" s="7" t="n">
        <v>1.47</v>
      </c>
      <c r="D137" s="37" t="n">
        <v>0.006026</v>
      </c>
      <c r="E137" s="38" t="inlineStr">
        <is>
          <t>26072803303911AGf6Dz5QP</t>
        </is>
      </c>
      <c r="F137" s="7" t="n">
        <v>720</v>
      </c>
      <c r="G137" s="10" t="inlineStr">
        <is>
          <t>26072803303911AGf6Dz5QP-26072803303911AhreMfDPvn</t>
        </is>
      </c>
      <c r="H137" s="39" t="inlineStr">
        <is>
          <t>P4N</t>
        </is>
      </c>
      <c r="I137" s="12" t="inlineStr">
        <is>
          <t>720-Jl. Raya kranggan No. 148, RT. 004 RW..008, Kelurahan Jatiranggon, Kecamatan Jatisampurna, Kota Bekasi 17432</t>
        </is>
      </c>
      <c r="J137" s="37" t="n">
        <v>17432</v>
      </c>
      <c r="K137" s="40" t="inlineStr">
        <is>
          <t>Kota Bekasi</t>
        </is>
      </c>
      <c r="L137" s="7" t="inlineStr">
        <is>
          <t>89601216786</t>
        </is>
      </c>
      <c r="M137" s="14" t="n">
        <v>1</v>
      </c>
      <c r="N137" s="6" t="n"/>
      <c r="O137" s="15" t="n"/>
      <c r="P137" s="15" t="n"/>
      <c r="Q137" s="16" t="n"/>
      <c r="R137" s="15" t="n"/>
      <c r="S137" s="17" t="n"/>
      <c r="T137" s="15" t="n"/>
      <c r="U137" s="15" t="n"/>
      <c r="V137" s="15" t="n"/>
      <c r="W137" s="15" t="n"/>
    </row>
    <row r="138">
      <c r="A138" s="6" t="n"/>
      <c r="B138" s="7" t="n"/>
      <c r="C138" s="7" t="n"/>
      <c r="D138" s="37" t="n"/>
      <c r="E138" s="38" t="inlineStr">
        <is>
          <t>26072803303911AhreMfDPvn</t>
        </is>
      </c>
      <c r="F138" s="7" t="n"/>
      <c r="G138" s="10" t="n"/>
      <c r="H138" s="39" t="n"/>
      <c r="I138" s="12" t="n"/>
      <c r="J138" s="37" t="n"/>
      <c r="K138" s="40" t="n"/>
      <c r="L138" s="7" t="n"/>
      <c r="M138" s="14" t="n">
        <v>1</v>
      </c>
      <c r="N138" s="6" t="n"/>
      <c r="O138" s="15" t="n"/>
      <c r="P138" s="15" t="n"/>
      <c r="Q138" s="16" t="n"/>
      <c r="R138" s="15" t="n"/>
      <c r="S138" s="17" t="n"/>
      <c r="T138" s="15" t="n"/>
      <c r="U138" s="15" t="n"/>
      <c r="V138" s="15" t="n"/>
      <c r="W138" s="15" t="n"/>
    </row>
    <row r="139">
      <c r="A139" s="6" t="inlineStr">
        <is>
          <t>Apotek Puri Pasir Putih Pasir Putih Sawangan</t>
        </is>
      </c>
      <c r="B139" s="7" t="inlineStr">
        <is>
          <t>AWB02WJUA</t>
        </is>
      </c>
      <c r="C139" s="7" t="n">
        <v>5.21</v>
      </c>
      <c r="D139" s="37" t="n">
        <v>0.010528</v>
      </c>
      <c r="E139" s="38" t="inlineStr">
        <is>
          <t>260727132612940W4ifO0ju</t>
        </is>
      </c>
      <c r="F139" s="7" t="n">
        <v>11879</v>
      </c>
      <c r="G139" s="10" t="inlineStr">
        <is>
          <t>260727132612940W4ifO0ju</t>
        </is>
      </c>
      <c r="H139" s="39" t="inlineStr">
        <is>
          <t>P4N</t>
        </is>
      </c>
      <c r="I139" s="12" t="inlineStr">
        <is>
          <t>11879-Ruko Villagio Residence No. V4 Jl. Raya Pasir Putih Kp. Kekupu RT. 01 RW. 05 Kel. Pasir Putih Kec. Sawangan Kota Depok</t>
        </is>
      </c>
      <c r="J139" s="37" t="n">
        <v>16519</v>
      </c>
      <c r="K139" s="40" t="inlineStr">
        <is>
          <t>Kota Depok</t>
        </is>
      </c>
      <c r="L139" s="7" t="inlineStr">
        <is>
          <t>6282311323121</t>
        </is>
      </c>
      <c r="M139" s="14" t="n">
        <v>1</v>
      </c>
      <c r="N139" s="6" t="n"/>
      <c r="O139" s="15" t="n"/>
      <c r="P139" s="15" t="n"/>
      <c r="Q139" s="16" t="n"/>
      <c r="R139" s="15" t="n"/>
      <c r="S139" s="17" t="n"/>
      <c r="T139" s="15" t="n"/>
      <c r="U139" s="15" t="n"/>
      <c r="V139" s="15" t="n"/>
      <c r="W139" s="15" t="n"/>
    </row>
    <row r="140">
      <c r="A140" s="6" t="inlineStr">
        <is>
          <t>Apotek Pusena Pratama Duren Seribu Bojongsari</t>
        </is>
      </c>
      <c r="B140" s="7" t="inlineStr">
        <is>
          <t>AWB02WHG7</t>
        </is>
      </c>
      <c r="C140" s="7" t="n">
        <v>5.95</v>
      </c>
      <c r="D140" s="37" t="n">
        <v>0.015122</v>
      </c>
      <c r="E140" s="38" t="inlineStr">
        <is>
          <t>260727040240507I1EQSEt</t>
        </is>
      </c>
      <c r="F140" s="7" t="n">
        <v>13183</v>
      </c>
      <c r="G140" s="10" t="inlineStr">
        <is>
          <t>260727040240507I1EQSEt-26072704024050hpzTVyJR1J-26072704024050OzkAxb3KZi</t>
        </is>
      </c>
      <c r="H140" s="39" t="inlineStr">
        <is>
          <t>P4N</t>
        </is>
      </c>
      <c r="I140" s="12" t="inlineStr">
        <is>
          <t>13183-Jl. Sawangan Elok No. 72 Rt 03/08 Kel. Duren Seribu Kec. Bojongsari Kota Depok</t>
        </is>
      </c>
      <c r="J140" s="37" t="n">
        <v>16518</v>
      </c>
      <c r="K140" s="40" t="inlineStr">
        <is>
          <t>Kota Depok</t>
        </is>
      </c>
      <c r="L140" s="7" t="inlineStr">
        <is>
          <t>6281381212509</t>
        </is>
      </c>
      <c r="M140" s="14" t="n">
        <v>1</v>
      </c>
      <c r="N140" s="6" t="n"/>
      <c r="O140" s="15" t="n"/>
      <c r="P140" s="15" t="n"/>
      <c r="Q140" s="16" t="n"/>
      <c r="R140" s="15" t="n"/>
      <c r="S140" s="17" t="n"/>
      <c r="T140" s="15" t="n"/>
      <c r="U140" s="15" t="n"/>
      <c r="V140" s="15" t="n"/>
      <c r="W140" s="15" t="n"/>
    </row>
    <row r="141">
      <c r="A141" s="6" t="n"/>
      <c r="B141" s="7" t="n"/>
      <c r="C141" s="7" t="n"/>
      <c r="D141" s="37" t="n"/>
      <c r="E141" s="38" t="inlineStr">
        <is>
          <t>26072704024050hpzTVyJR1J</t>
        </is>
      </c>
      <c r="F141" s="7" t="n"/>
      <c r="G141" s="10" t="n"/>
      <c r="H141" s="39" t="n"/>
      <c r="I141" s="12" t="n"/>
      <c r="J141" s="37" t="n"/>
      <c r="K141" s="40" t="n"/>
      <c r="L141" s="7" t="n"/>
      <c r="M141" s="14" t="n">
        <v>1</v>
      </c>
      <c r="N141" s="6" t="n"/>
      <c r="O141" s="15" t="n"/>
      <c r="P141" s="15" t="n"/>
      <c r="Q141" s="16" t="n"/>
      <c r="R141" s="15" t="n"/>
      <c r="S141" s="17" t="n"/>
      <c r="T141" s="15" t="n"/>
      <c r="U141" s="15" t="n"/>
      <c r="V141" s="15" t="n"/>
      <c r="W141" s="15" t="n"/>
    </row>
    <row r="142">
      <c r="A142" s="6" t="n"/>
      <c r="B142" s="7" t="n"/>
      <c r="C142" s="7" t="n"/>
      <c r="D142" s="37" t="n"/>
      <c r="E142" s="38" t="inlineStr">
        <is>
          <t>26072704024050OzkAxb3KZi</t>
        </is>
      </c>
      <c r="F142" s="7" t="n"/>
      <c r="G142" s="10" t="n"/>
      <c r="H142" s="39" t="n"/>
      <c r="I142" s="12" t="n"/>
      <c r="J142" s="37" t="n"/>
      <c r="K142" s="40" t="n"/>
      <c r="L142" s="7" t="n"/>
      <c r="M142" s="14" t="n">
        <v>1</v>
      </c>
      <c r="N142" s="6" t="n"/>
      <c r="O142" s="15" t="n"/>
      <c r="P142" s="15" t="n"/>
      <c r="Q142" s="16" t="n"/>
      <c r="R142" s="15" t="n"/>
      <c r="S142" s="17" t="n"/>
      <c r="T142" s="15" t="n"/>
      <c r="U142" s="15" t="n"/>
      <c r="V142" s="15" t="n"/>
      <c r="W142" s="15" t="n"/>
    </row>
    <row r="143">
      <c r="A143" s="6" t="inlineStr">
        <is>
          <t>Apotek Quality</t>
        </is>
      </c>
      <c r="B143" s="7" t="inlineStr">
        <is>
          <t>AWB02WHW1</t>
        </is>
      </c>
      <c r="C143" s="7" t="n">
        <v>0.2</v>
      </c>
      <c r="D143" s="37" t="n">
        <v>0.000945</v>
      </c>
      <c r="E143" s="38" t="inlineStr">
        <is>
          <t>26072705340405JBvhQILbs</t>
        </is>
      </c>
      <c r="F143" s="7" t="n">
        <v>406</v>
      </c>
      <c r="G143" s="10" t="inlineStr">
        <is>
          <t>26072705340405JBvhQILbs</t>
        </is>
      </c>
      <c r="H143" s="39" t="inlineStr">
        <is>
          <t>P4N</t>
        </is>
      </c>
      <c r="I143" s="12" t="inlineStr">
        <is>
          <t>406-Jalan Caman Raya No. 23B RT 006 RW 003, Kelurahan Jatibening, Kecamatan Pondok Gede, Kota Bekasi, Jawa Barat 17412</t>
        </is>
      </c>
      <c r="J143" s="37" t="n">
        <v>17412</v>
      </c>
      <c r="K143" s="40" t="inlineStr">
        <is>
          <t>Kota Bekasi</t>
        </is>
      </c>
      <c r="L143" s="7" t="inlineStr">
        <is>
          <t>218472816</t>
        </is>
      </c>
      <c r="M143" s="14" t="n">
        <v>1</v>
      </c>
      <c r="N143" s="6" t="n"/>
      <c r="O143" s="15" t="n"/>
      <c r="P143" s="15" t="n"/>
      <c r="Q143" s="16" t="n"/>
      <c r="R143" s="15" t="n"/>
      <c r="S143" s="17" t="n"/>
      <c r="T143" s="15" t="n"/>
      <c r="U143" s="15" t="n"/>
      <c r="V143" s="15" t="n"/>
      <c r="W143" s="15" t="n"/>
    </row>
    <row r="144">
      <c r="A144" s="6" t="inlineStr">
        <is>
          <t>Apotek Raudha Farma</t>
        </is>
      </c>
      <c r="B144" s="7" t="inlineStr">
        <is>
          <t>AWB02WJZH</t>
        </is>
      </c>
      <c r="C144" s="7" t="n">
        <v>0.68</v>
      </c>
      <c r="D144" s="37" t="n">
        <v>0.003512</v>
      </c>
      <c r="E144" s="38" t="inlineStr">
        <is>
          <t>26072714552972jh2qRqv9r</t>
        </is>
      </c>
      <c r="F144" s="7" t="n">
        <v>47</v>
      </c>
      <c r="G144" s="10" t="inlineStr">
        <is>
          <t>26072714552972jh2qRqv9r</t>
        </is>
      </c>
      <c r="H144" s="39" t="inlineStr">
        <is>
          <t>P4N</t>
        </is>
      </c>
      <c r="I144" s="12" t="inlineStr">
        <is>
          <t>47-Jl. Raya Ceger No. 99, Ceger, Cipayung</t>
        </is>
      </c>
      <c r="J144" s="37" t="n">
        <v>13820</v>
      </c>
      <c r="K144" s="40" t="inlineStr">
        <is>
          <t>Kota Jakarta Timur</t>
        </is>
      </c>
      <c r="L144" s="21" t="inlineStr">
        <is>
          <t>81299422172</t>
        </is>
      </c>
      <c r="M144" s="14" t="n">
        <v>1</v>
      </c>
      <c r="N144" s="6" t="n"/>
      <c r="O144" s="15" t="n"/>
      <c r="P144" s="15" t="n"/>
      <c r="Q144" s="16" t="n"/>
      <c r="R144" s="15" t="n"/>
      <c r="S144" s="17" t="n"/>
      <c r="T144" s="15" t="n"/>
      <c r="U144" s="15" t="n"/>
      <c r="V144" s="15" t="n"/>
      <c r="W144" s="15" t="n"/>
    </row>
    <row r="145">
      <c r="A145" s="6" t="inlineStr">
        <is>
          <t>Apotek Rosa Farma</t>
        </is>
      </c>
      <c r="B145" s="7" t="inlineStr">
        <is>
          <t>AWB02WHZX</t>
        </is>
      </c>
      <c r="C145" s="7" t="n">
        <v>2.99</v>
      </c>
      <c r="D145" s="37" t="n">
        <v>0.012813</v>
      </c>
      <c r="E145" s="38" t="inlineStr">
        <is>
          <t>260727060627070ag9ElKTY</t>
        </is>
      </c>
      <c r="F145" s="7" t="n">
        <v>455</v>
      </c>
      <c r="G145" s="10" t="inlineStr">
        <is>
          <t>260727060627070ag9ElKTY-26072706062707capyILlsg-26072802532612MUrJaTVZ</t>
        </is>
      </c>
      <c r="H145" s="39" t="inlineStr">
        <is>
          <t>P4N</t>
        </is>
      </c>
      <c r="I145" s="12" t="inlineStr">
        <is>
          <t>455-Jalan Klamono No. 17 RT 001 RW 001, Kelurahan Jatimakmur, Kecamatan Pondok Gede, Kota Bekasi 17413</t>
        </is>
      </c>
      <c r="J145" s="37" t="n">
        <v>17413</v>
      </c>
      <c r="K145" s="40" t="inlineStr">
        <is>
          <t>Kota Bekasi</t>
        </is>
      </c>
      <c r="L145" s="7" t="inlineStr">
        <is>
          <t>81212834867</t>
        </is>
      </c>
      <c r="M145" s="14" t="n">
        <v>1</v>
      </c>
      <c r="N145" s="6" t="n"/>
      <c r="O145" s="15" t="n"/>
      <c r="P145" s="15" t="n"/>
      <c r="Q145" s="16" t="n"/>
      <c r="R145" s="15" t="n"/>
      <c r="S145" s="17" t="n"/>
      <c r="T145" s="15" t="n"/>
      <c r="U145" s="15" t="n"/>
      <c r="V145" s="15" t="n"/>
      <c r="W145" s="15" t="n"/>
    </row>
    <row r="146">
      <c r="A146" s="6" t="n"/>
      <c r="B146" s="7" t="n"/>
      <c r="C146" s="7" t="n"/>
      <c r="D146" s="37" t="n"/>
      <c r="E146" s="38" t="inlineStr">
        <is>
          <t>26072706062707capyILlsg</t>
        </is>
      </c>
      <c r="F146" s="7" t="n"/>
      <c r="G146" s="10" t="n"/>
      <c r="H146" s="39" t="n"/>
      <c r="I146" s="12" t="n"/>
      <c r="J146" s="37" t="n"/>
      <c r="K146" s="40" t="n"/>
      <c r="L146" s="7" t="n"/>
      <c r="M146" s="14" t="n">
        <v>1</v>
      </c>
      <c r="N146" s="6" t="n"/>
      <c r="O146" s="15" t="n"/>
      <c r="P146" s="15" t="n"/>
      <c r="Q146" s="16" t="n"/>
      <c r="R146" s="15" t="n"/>
      <c r="S146" s="17" t="n"/>
      <c r="T146" s="15" t="n"/>
      <c r="U146" s="15" t="n"/>
      <c r="V146" s="15" t="n"/>
      <c r="W146" s="15" t="n"/>
    </row>
    <row r="147">
      <c r="A147" s="6" t="n"/>
      <c r="B147" s="7" t="n"/>
      <c r="C147" s="7" t="n"/>
      <c r="D147" s="37" t="n"/>
      <c r="E147" s="38" t="inlineStr">
        <is>
          <t>26072802532612MUrJaTVZ</t>
        </is>
      </c>
      <c r="F147" s="7" t="n"/>
      <c r="G147" s="10" t="n"/>
      <c r="H147" s="39" t="n"/>
      <c r="I147" s="12" t="n"/>
      <c r="J147" s="37" t="n"/>
      <c r="K147" s="40" t="n"/>
      <c r="L147" s="7" t="n"/>
      <c r="M147" s="14" t="n">
        <v>1</v>
      </c>
      <c r="N147" s="6" t="n"/>
      <c r="O147" s="15" t="n"/>
      <c r="P147" s="15" t="n"/>
      <c r="Q147" s="16" t="n"/>
      <c r="R147" s="15" t="n"/>
      <c r="S147" s="17" t="n"/>
      <c r="T147" s="15" t="n"/>
      <c r="U147" s="15" t="n"/>
      <c r="V147" s="15" t="n"/>
      <c r="W147" s="15" t="n"/>
    </row>
    <row r="148">
      <c r="A148" s="6" t="inlineStr">
        <is>
          <t>Apotek Ruellia Mampang Pancoran Mas</t>
        </is>
      </c>
      <c r="B148" s="7" t="inlineStr">
        <is>
          <t>AWB02WMD1</t>
        </is>
      </c>
      <c r="C148" s="7" t="n">
        <v>1.91</v>
      </c>
      <c r="D148" s="37" t="n">
        <v>0.014273</v>
      </c>
      <c r="E148" s="38" t="inlineStr">
        <is>
          <t>26072803541276KOK1OoPAx</t>
        </is>
      </c>
      <c r="F148" s="7" t="n">
        <v>15088</v>
      </c>
      <c r="G148" s="10" t="inlineStr">
        <is>
          <t>26072803541276KOK1OoPAx-26072803541276yKDEPQ58g</t>
        </is>
      </c>
      <c r="H148" s="39" t="inlineStr">
        <is>
          <t>P4N</t>
        </is>
      </c>
      <c r="I148" s="12" t="inlineStr">
        <is>
          <t>15088-Jl. Raya Sawangan No.15 (15D), Mampang, Kec. Pancoran Mas, Kota Depok</t>
        </is>
      </c>
      <c r="J148" s="37" t="n">
        <v>16433</v>
      </c>
      <c r="K148" s="40" t="inlineStr">
        <is>
          <t>Kota Depok</t>
        </is>
      </c>
      <c r="L148" s="7" t="inlineStr">
        <is>
          <t>6282122365183</t>
        </is>
      </c>
      <c r="M148" s="14" t="n">
        <v>1</v>
      </c>
      <c r="N148" s="6" t="n"/>
      <c r="O148" s="15" t="n"/>
      <c r="P148" s="15" t="n"/>
      <c r="Q148" s="16" t="n"/>
      <c r="R148" s="15" t="n"/>
      <c r="S148" s="17" t="n"/>
      <c r="T148" s="15" t="n"/>
      <c r="U148" s="15" t="n"/>
      <c r="V148" s="15" t="n"/>
      <c r="W148" s="15" t="n"/>
    </row>
    <row r="149">
      <c r="A149" s="6" t="n"/>
      <c r="B149" s="7" t="n"/>
      <c r="C149" s="7" t="n"/>
      <c r="D149" s="37" t="n"/>
      <c r="E149" s="38" t="inlineStr">
        <is>
          <t>26072803541276yKDEPQ58g</t>
        </is>
      </c>
      <c r="F149" s="7" t="n"/>
      <c r="G149" s="10" t="n"/>
      <c r="H149" s="39" t="n"/>
      <c r="I149" s="12" t="n"/>
      <c r="J149" s="37" t="n"/>
      <c r="K149" s="40" t="n"/>
      <c r="L149" s="7" t="n"/>
      <c r="M149" s="14" t="n">
        <v>1</v>
      </c>
      <c r="N149" s="6" t="n"/>
      <c r="O149" s="15" t="n"/>
      <c r="P149" s="15" t="n"/>
      <c r="Q149" s="16" t="n"/>
      <c r="R149" s="15" t="n"/>
      <c r="S149" s="17" t="n"/>
      <c r="T149" s="15" t="n"/>
      <c r="U149" s="15" t="n"/>
      <c r="V149" s="15" t="n"/>
      <c r="W149" s="15" t="n"/>
    </row>
    <row r="150">
      <c r="A150" s="6" t="inlineStr">
        <is>
          <t>Apotek Sabi Pharma Cilangkap Cipayung</t>
        </is>
      </c>
      <c r="B150" s="7" t="inlineStr">
        <is>
          <t>AWB02WKYZ</t>
        </is>
      </c>
      <c r="C150" s="7" t="n">
        <v>3.82</v>
      </c>
      <c r="D150" s="37" t="n">
        <v>0.008293999999999999</v>
      </c>
      <c r="E150" s="38" t="inlineStr">
        <is>
          <t>260728015642841IWdYmhkTE</t>
        </is>
      </c>
      <c r="F150" s="7" t="n">
        <v>13565</v>
      </c>
      <c r="G150" s="10" t="inlineStr">
        <is>
          <t>260728015642841IWdYmhkTE-26072801564284JNse9GxzU-26072801564284oCeymW6moF</t>
        </is>
      </c>
      <c r="H150" s="39" t="inlineStr">
        <is>
          <t>P4N</t>
        </is>
      </c>
      <c r="I150" s="12" t="inlineStr">
        <is>
          <t>13565-Jl. Cilangkap Baru Blok R No. 3 RT 001 RW 001 Kel. Cilangkap Kec. Cipayung Kota Jakarta Timur</t>
        </is>
      </c>
      <c r="J150" s="37" t="n">
        <v>13870</v>
      </c>
      <c r="K150" s="40" t="inlineStr">
        <is>
          <t>Kota Jakarta Timur</t>
        </is>
      </c>
      <c r="L150" s="7" t="inlineStr">
        <is>
          <t>6281212537641</t>
        </is>
      </c>
      <c r="M150" s="14" t="n">
        <v>1</v>
      </c>
      <c r="N150" s="6" t="n"/>
      <c r="O150" s="15" t="n"/>
      <c r="P150" s="15" t="n"/>
      <c r="Q150" s="16" t="n"/>
      <c r="R150" s="15" t="n"/>
      <c r="S150" s="17" t="n"/>
      <c r="T150" s="15" t="n"/>
      <c r="U150" s="15" t="n"/>
      <c r="V150" s="15" t="n"/>
      <c r="W150" s="15" t="n"/>
    </row>
    <row r="151">
      <c r="A151" s="6" t="n"/>
      <c r="B151" s="7" t="n"/>
      <c r="C151" s="7" t="n"/>
      <c r="D151" s="37" t="n"/>
      <c r="E151" s="38" t="inlineStr">
        <is>
          <t>26072801564284JNse9GxzU</t>
        </is>
      </c>
      <c r="F151" s="7" t="n"/>
      <c r="G151" s="10" t="n"/>
      <c r="H151" s="39" t="n"/>
      <c r="I151" s="12" t="n"/>
      <c r="J151" s="37" t="n"/>
      <c r="K151" s="40" t="n"/>
      <c r="L151" s="7" t="n"/>
      <c r="M151" s="14" t="n">
        <v>1</v>
      </c>
      <c r="N151" s="6" t="n"/>
      <c r="O151" s="15" t="n"/>
      <c r="P151" s="15" t="n"/>
      <c r="Q151" s="16" t="n"/>
      <c r="R151" s="15" t="n"/>
      <c r="S151" s="17" t="n"/>
      <c r="T151" s="15" t="n"/>
      <c r="U151" s="15" t="n"/>
      <c r="V151" s="15" t="n"/>
      <c r="W151" s="15" t="n"/>
    </row>
    <row r="152">
      <c r="A152" s="6" t="n"/>
      <c r="B152" s="7" t="n"/>
      <c r="C152" s="7" t="n"/>
      <c r="D152" s="37" t="n"/>
      <c r="E152" s="38" t="inlineStr">
        <is>
          <t>26072801564284oCeymW6moF</t>
        </is>
      </c>
      <c r="F152" s="7" t="n"/>
      <c r="G152" s="10" t="n"/>
      <c r="H152" s="39" t="n"/>
      <c r="I152" s="12" t="n"/>
      <c r="J152" s="37" t="n"/>
      <c r="K152" s="40" t="n"/>
      <c r="L152" s="7" t="n"/>
      <c r="M152" s="14" t="n">
        <v>1</v>
      </c>
      <c r="N152" s="6" t="n"/>
      <c r="O152" s="15" t="n"/>
      <c r="P152" s="15" t="n"/>
      <c r="Q152" s="16" t="n"/>
      <c r="R152" s="15" t="n"/>
      <c r="S152" s="17" t="n"/>
      <c r="T152" s="15" t="n"/>
      <c r="U152" s="15" t="n"/>
      <c r="V152" s="15" t="n"/>
      <c r="W152" s="15" t="n"/>
    </row>
    <row r="153">
      <c r="A153" s="6" t="inlineStr">
        <is>
          <t>Apotek Sahabat Galenika 1 Jatiwaringin Pondok Gede</t>
        </is>
      </c>
      <c r="B153" s="7" t="inlineStr">
        <is>
          <t>AWB02WJ0D</t>
        </is>
      </c>
      <c r="C153" s="7" t="n">
        <v>4.89</v>
      </c>
      <c r="D153" s="37" t="n">
        <v>0.011011</v>
      </c>
      <c r="E153" s="38" t="inlineStr">
        <is>
          <t>260727060943666CtJN1HnS</t>
        </is>
      </c>
      <c r="F153" s="7" t="n">
        <v>11952</v>
      </c>
      <c r="G153" s="10" t="inlineStr">
        <is>
          <t>260727060943666CtJN1HnS-26072706094366kjDALZWoaI</t>
        </is>
      </c>
      <c r="H153" s="39" t="inlineStr">
        <is>
          <t>P4N</t>
        </is>
      </c>
      <c r="I153" s="12" t="inlineStr">
        <is>
          <t>11952-Jl. Jatiwaringin No. 130 Kel. Jatiwaringin Kec. Pondok Gede  Kota Bekasi</t>
        </is>
      </c>
      <c r="J153" s="37" t="n">
        <v>17411</v>
      </c>
      <c r="K153" s="40" t="inlineStr">
        <is>
          <t>Kota Bekasi</t>
        </is>
      </c>
      <c r="L153" s="7" t="inlineStr">
        <is>
          <t>6281228881173</t>
        </is>
      </c>
      <c r="M153" s="14" t="n">
        <v>1</v>
      </c>
      <c r="N153" s="6" t="n"/>
      <c r="O153" s="15" t="n"/>
      <c r="P153" s="15" t="n"/>
      <c r="Q153" s="16" t="n"/>
      <c r="R153" s="15" t="n"/>
      <c r="S153" s="17" t="n"/>
      <c r="T153" s="15" t="n"/>
      <c r="U153" s="15" t="n"/>
      <c r="V153" s="15" t="n"/>
      <c r="W153" s="15" t="n"/>
    </row>
    <row r="154">
      <c r="A154" s="6" t="n"/>
      <c r="B154" s="7" t="n"/>
      <c r="C154" s="7" t="n"/>
      <c r="D154" s="37" t="n"/>
      <c r="E154" s="38" t="inlineStr">
        <is>
          <t>26072706094366kjDALZWoaI</t>
        </is>
      </c>
      <c r="F154" s="7" t="n"/>
      <c r="G154" s="10" t="n"/>
      <c r="H154" s="39" t="n"/>
      <c r="I154" s="12" t="n"/>
      <c r="J154" s="37" t="n"/>
      <c r="K154" s="40" t="n"/>
      <c r="L154" s="7" t="n"/>
      <c r="M154" s="14" t="n">
        <v>1</v>
      </c>
      <c r="N154" s="6" t="n"/>
      <c r="O154" s="15" t="n"/>
      <c r="P154" s="15" t="n"/>
      <c r="Q154" s="16" t="n"/>
      <c r="R154" s="15" t="n"/>
      <c r="S154" s="17" t="n"/>
      <c r="T154" s="15" t="n"/>
      <c r="U154" s="15" t="n"/>
      <c r="V154" s="15" t="n"/>
      <c r="W154" s="15" t="n"/>
    </row>
    <row r="155">
      <c r="A155" s="6" t="inlineStr">
        <is>
          <t>Apotek Sahabat Sehat 1455</t>
        </is>
      </c>
      <c r="B155" s="7" t="inlineStr">
        <is>
          <t>AWB02WKBQ</t>
        </is>
      </c>
      <c r="C155" s="7" t="n">
        <v>4.64</v>
      </c>
      <c r="D155" s="37" t="n">
        <v>0.014459</v>
      </c>
      <c r="E155" s="38" t="inlineStr">
        <is>
          <t>26072723480157PhUIAU3y</t>
        </is>
      </c>
      <c r="F155" s="7" t="n">
        <v>1455</v>
      </c>
      <c r="G155" s="10" t="inlineStr">
        <is>
          <t>26072723480157PhUIAU3y-26072723480157RREEx7S9s6-260728023140878ftOWfUr-26072802314087kwZkpxvszF-26072802314087zwbyFhPuk</t>
        </is>
      </c>
      <c r="H155" s="39" t="inlineStr">
        <is>
          <t>P4N</t>
        </is>
      </c>
      <c r="I155" s="12" t="inlineStr">
        <is>
          <t>1455-Jl. Masjid Raya No. 30 RT 001 RW 012 Kelurahan - Jaticempaka Kecamatan - Pondok Gede Kota Bekasi</t>
        </is>
      </c>
      <c r="J155" s="37" t="n">
        <v>17411</v>
      </c>
      <c r="K155" s="40" t="inlineStr">
        <is>
          <t>Kota Bekasi</t>
        </is>
      </c>
      <c r="L155" s="7" t="inlineStr">
        <is>
          <t>81314967799</t>
        </is>
      </c>
      <c r="M155" s="14" t="n">
        <v>1</v>
      </c>
      <c r="N155" s="6" t="n"/>
      <c r="O155" s="15" t="n"/>
      <c r="P155" s="15" t="n"/>
      <c r="Q155" s="16" t="n"/>
      <c r="R155" s="15" t="n"/>
      <c r="S155" s="17" t="n"/>
      <c r="T155" s="15" t="n"/>
      <c r="U155" s="15" t="n"/>
      <c r="V155" s="15" t="n"/>
      <c r="W155" s="15" t="n"/>
    </row>
    <row r="156">
      <c r="A156" s="6" t="n"/>
      <c r="B156" s="7" t="n"/>
      <c r="C156" s="7" t="n"/>
      <c r="D156" s="37" t="n"/>
      <c r="E156" s="38" t="inlineStr">
        <is>
          <t>26072723480157RREEx7S9s6</t>
        </is>
      </c>
      <c r="F156" s="7" t="n"/>
      <c r="G156" s="10" t="n"/>
      <c r="H156" s="39" t="n"/>
      <c r="I156" s="12" t="n"/>
      <c r="J156" s="37" t="n"/>
      <c r="K156" s="40" t="n"/>
      <c r="L156" s="7" t="n"/>
      <c r="M156" s="14" t="n">
        <v>1</v>
      </c>
      <c r="N156" s="6" t="n"/>
      <c r="O156" s="15" t="n"/>
      <c r="P156" s="15" t="n"/>
      <c r="Q156" s="16" t="n"/>
      <c r="R156" s="15" t="n"/>
      <c r="S156" s="17" t="n"/>
      <c r="T156" s="15" t="n"/>
      <c r="U156" s="15" t="n"/>
      <c r="V156" s="15" t="n"/>
      <c r="W156" s="15" t="n"/>
    </row>
    <row r="157">
      <c r="A157" s="6" t="n"/>
      <c r="B157" s="7" t="n"/>
      <c r="C157" s="7" t="n"/>
      <c r="D157" s="37" t="n"/>
      <c r="E157" s="38" t="inlineStr">
        <is>
          <t>260728023140878ftOWfUr</t>
        </is>
      </c>
      <c r="F157" s="7" t="n"/>
      <c r="G157" s="10" t="n"/>
      <c r="H157" s="39" t="n"/>
      <c r="I157" s="12" t="n"/>
      <c r="J157" s="37" t="n"/>
      <c r="K157" s="40" t="n"/>
      <c r="L157" s="7" t="n"/>
      <c r="M157" s="14" t="n">
        <v>1</v>
      </c>
      <c r="N157" s="6" t="n"/>
      <c r="O157" s="15" t="n"/>
      <c r="P157" s="15" t="n"/>
      <c r="Q157" s="16" t="n"/>
      <c r="R157" s="15" t="n"/>
      <c r="S157" s="17" t="n"/>
      <c r="T157" s="15" t="n"/>
      <c r="U157" s="15" t="n"/>
      <c r="V157" s="15" t="n"/>
      <c r="W157" s="15" t="n"/>
    </row>
    <row r="158">
      <c r="A158" s="6" t="n"/>
      <c r="B158" s="7" t="n"/>
      <c r="C158" s="7" t="n"/>
      <c r="D158" s="37" t="n"/>
      <c r="E158" s="38" t="inlineStr">
        <is>
          <t>26072802314087kwZkpxvszF</t>
        </is>
      </c>
      <c r="F158" s="7" t="n"/>
      <c r="G158" s="10" t="n"/>
      <c r="H158" s="39" t="n"/>
      <c r="I158" s="12" t="n"/>
      <c r="J158" s="37" t="n"/>
      <c r="K158" s="40" t="n"/>
      <c r="L158" s="7" t="n"/>
      <c r="M158" s="14" t="n">
        <v>1</v>
      </c>
      <c r="N158" s="6" t="n"/>
      <c r="O158" s="15" t="n"/>
      <c r="P158" s="15" t="n"/>
      <c r="Q158" s="16" t="n"/>
      <c r="R158" s="15" t="n"/>
      <c r="S158" s="17" t="n"/>
      <c r="T158" s="15" t="n"/>
      <c r="U158" s="15" t="n"/>
      <c r="V158" s="15" t="n"/>
      <c r="W158" s="15" t="n"/>
    </row>
    <row r="159">
      <c r="A159" s="6" t="n"/>
      <c r="B159" s="7" t="n"/>
      <c r="C159" s="7" t="n"/>
      <c r="D159" s="37" t="n"/>
      <c r="E159" s="38" t="inlineStr">
        <is>
          <t>26072802314087zwbyFhPuk</t>
        </is>
      </c>
      <c r="F159" s="7" t="n"/>
      <c r="G159" s="10" t="n"/>
      <c r="H159" s="39" t="n"/>
      <c r="I159" s="12" t="n"/>
      <c r="J159" s="37" t="n"/>
      <c r="K159" s="40" t="n"/>
      <c r="L159" s="7" t="n"/>
      <c r="M159" s="14" t="n">
        <v>1</v>
      </c>
      <c r="N159" s="6" t="n"/>
      <c r="O159" s="15" t="n"/>
      <c r="P159" s="15" t="n"/>
      <c r="Q159" s="16" t="n"/>
      <c r="R159" s="15" t="n"/>
      <c r="S159" s="17" t="n"/>
      <c r="T159" s="15" t="n"/>
      <c r="U159" s="15" t="n"/>
      <c r="V159" s="15" t="n"/>
      <c r="W159" s="15" t="n"/>
    </row>
    <row r="160">
      <c r="A160" s="6" t="inlineStr">
        <is>
          <t>Apotek Sahabat Sehat 2 Jatibening Baru Pondok Gede</t>
        </is>
      </c>
      <c r="B160" s="7" t="inlineStr">
        <is>
          <t>AWB02WK01</t>
        </is>
      </c>
      <c r="C160" s="7" t="n">
        <v>1.87</v>
      </c>
      <c r="D160" s="37" t="n">
        <v>0.006371</v>
      </c>
      <c r="E160" s="38" t="inlineStr">
        <is>
          <t>26072715054749hbqR01qPb</t>
        </is>
      </c>
      <c r="F160" s="7" t="n">
        <v>13278</v>
      </c>
      <c r="G160" s="10" t="inlineStr">
        <is>
          <t>26072715054749hbqR01qPb-26072715054749ifvHhc4yGN-26072715054749k6pyGONU8p</t>
        </is>
      </c>
      <c r="H160" s="39" t="inlineStr">
        <is>
          <t>P4N</t>
        </is>
      </c>
      <c r="I160" s="12" t="inlineStr">
        <is>
          <t>13278-Jl. Pangrango Terusan No. 34 RT. 01 RW. 04,Desa/Kelurahan Jatibening Baru,Kecamatan Pondok Gede,Kota Bekasi,Jawa Barat,17412</t>
        </is>
      </c>
      <c r="J160" s="37" t="n">
        <v>17412</v>
      </c>
      <c r="K160" s="40" t="inlineStr">
        <is>
          <t>Kota Bekasi</t>
        </is>
      </c>
      <c r="L160" s="7" t="inlineStr">
        <is>
          <t>6281382221003</t>
        </is>
      </c>
      <c r="M160" s="14" t="n">
        <v>1</v>
      </c>
      <c r="N160" s="6" t="n"/>
      <c r="O160" s="15" t="n"/>
      <c r="P160" s="15" t="n"/>
      <c r="Q160" s="16" t="n"/>
      <c r="R160" s="15" t="n"/>
      <c r="S160" s="17" t="n"/>
      <c r="T160" s="15" t="n"/>
      <c r="U160" s="15" t="n"/>
      <c r="V160" s="15" t="n"/>
      <c r="W160" s="15" t="n"/>
    </row>
    <row r="161">
      <c r="A161" s="6" t="n"/>
      <c r="B161" s="7" t="n"/>
      <c r="C161" s="7" t="n"/>
      <c r="D161" s="37" t="n"/>
      <c r="E161" s="38" t="inlineStr">
        <is>
          <t>26072715054749ifvHhc4yGN</t>
        </is>
      </c>
      <c r="F161" s="7" t="n"/>
      <c r="G161" s="10" t="n"/>
      <c r="H161" s="39" t="n"/>
      <c r="I161" s="12" t="n"/>
      <c r="J161" s="37" t="n"/>
      <c r="K161" s="40" t="n"/>
      <c r="L161" s="7" t="n"/>
      <c r="M161" s="14" t="n">
        <v>1</v>
      </c>
      <c r="N161" s="6" t="n"/>
      <c r="O161" s="15" t="n"/>
      <c r="P161" s="15" t="n"/>
      <c r="Q161" s="16" t="n"/>
      <c r="R161" s="15" t="n"/>
      <c r="S161" s="17" t="n"/>
      <c r="T161" s="15" t="n"/>
      <c r="U161" s="15" t="n"/>
      <c r="V161" s="15" t="n"/>
      <c r="W161" s="15" t="n"/>
    </row>
    <row r="162">
      <c r="A162" s="6" t="n"/>
      <c r="B162" s="7" t="n"/>
      <c r="C162" s="7" t="n"/>
      <c r="D162" s="37" t="n"/>
      <c r="E162" s="38" t="inlineStr">
        <is>
          <t>26072715054749k6pyGONU8p</t>
        </is>
      </c>
      <c r="F162" s="7" t="n"/>
      <c r="G162" s="10" t="n"/>
      <c r="H162" s="39" t="n"/>
      <c r="I162" s="12" t="n"/>
      <c r="J162" s="37" t="n"/>
      <c r="K162" s="40" t="n"/>
      <c r="L162" s="7" t="n"/>
      <c r="M162" s="14" t="n">
        <v>1</v>
      </c>
      <c r="N162" s="6" t="n"/>
      <c r="O162" s="15" t="n"/>
      <c r="P162" s="15" t="n"/>
      <c r="Q162" s="16" t="n"/>
      <c r="R162" s="15" t="n"/>
      <c r="S162" s="17" t="n"/>
      <c r="T162" s="15" t="n"/>
      <c r="U162" s="15" t="n"/>
      <c r="V162" s="15" t="n"/>
      <c r="W162" s="15" t="n"/>
    </row>
    <row r="163">
      <c r="A163" s="6" t="inlineStr">
        <is>
          <t>Apotek Sehat Bersama 4 Jatimakmur Pd Gede</t>
        </is>
      </c>
      <c r="B163" s="7" t="inlineStr">
        <is>
          <t>AWB02WL89</t>
        </is>
      </c>
      <c r="C163" s="7" t="n">
        <v>2.7</v>
      </c>
      <c r="D163" s="37" t="n">
        <v>0.008998000000000001</v>
      </c>
      <c r="E163" s="38" t="inlineStr">
        <is>
          <t>26072802244846fYDrmdJ5L</t>
        </is>
      </c>
      <c r="F163" s="7" t="n">
        <v>11809</v>
      </c>
      <c r="G163" s="10" t="inlineStr">
        <is>
          <t>26072802244846fYDrmdJ5L-26072802244846ogMprKD4XM</t>
        </is>
      </c>
      <c r="H163" s="39" t="inlineStr">
        <is>
          <t>P4N</t>
        </is>
      </c>
      <c r="I163" s="12" t="inlineStr">
        <is>
          <t>11809-Jl Raya Jati Makmur, Ruko Pesona Taman Mini Blok B1 no 7 RT 001 RW 23, Desa/Kel. Jatimakmur, Kec. Pondokgede, Kota Bekasi</t>
        </is>
      </c>
      <c r="J163" s="37" t="n">
        <v>17413</v>
      </c>
      <c r="K163" s="40" t="inlineStr">
        <is>
          <t>Kota Bekasi</t>
        </is>
      </c>
      <c r="L163" s="7" t="inlineStr">
        <is>
          <t>6287890053269</t>
        </is>
      </c>
      <c r="M163" s="14" t="n">
        <v>1</v>
      </c>
      <c r="N163" s="6" t="n"/>
      <c r="O163" s="15" t="n"/>
      <c r="P163" s="15" t="n"/>
      <c r="Q163" s="16" t="n"/>
      <c r="R163" s="15" t="n"/>
      <c r="S163" s="17" t="n"/>
      <c r="T163" s="15" t="n"/>
      <c r="U163" s="15" t="n"/>
      <c r="V163" s="15" t="n"/>
      <c r="W163" s="15" t="n"/>
    </row>
    <row r="164">
      <c r="A164" s="6" t="n"/>
      <c r="B164" s="7" t="n"/>
      <c r="C164" s="7" t="n"/>
      <c r="D164" s="37" t="n"/>
      <c r="E164" s="38" t="inlineStr">
        <is>
          <t>26072802244846ogMprKD4XM</t>
        </is>
      </c>
      <c r="F164" s="7" t="n"/>
      <c r="G164" s="10" t="n"/>
      <c r="H164" s="39" t="n"/>
      <c r="I164" s="12" t="n"/>
      <c r="J164" s="37" t="n"/>
      <c r="K164" s="40" t="n"/>
      <c r="L164" s="7" t="n"/>
      <c r="M164" s="14" t="n">
        <v>1</v>
      </c>
      <c r="N164" s="6" t="n"/>
      <c r="O164" s="15" t="n"/>
      <c r="P164" s="15" t="n"/>
      <c r="Q164" s="16" t="n"/>
      <c r="R164" s="15" t="n"/>
      <c r="S164" s="17" t="n"/>
      <c r="T164" s="15" t="n"/>
      <c r="U164" s="15" t="n"/>
      <c r="V164" s="15" t="n"/>
      <c r="W164" s="15" t="n"/>
    </row>
    <row r="165">
      <c r="A165" s="6" t="inlineStr">
        <is>
          <t>Apotek Sehat Milenial Sukamaju Baru Tapos</t>
        </is>
      </c>
      <c r="B165" s="7" t="inlineStr">
        <is>
          <t>AWB02WM7S</t>
        </is>
      </c>
      <c r="C165" s="7" t="n">
        <v>1.84</v>
      </c>
      <c r="D165" s="37" t="n">
        <v>0.00439</v>
      </c>
      <c r="E165" s="38" t="inlineStr">
        <is>
          <t>26072803404718UjJPImcmp</t>
        </is>
      </c>
      <c r="F165" s="7" t="n">
        <v>13267</v>
      </c>
      <c r="G165" s="10" t="inlineStr">
        <is>
          <t>26072803404718UjJPImcmp</t>
        </is>
      </c>
      <c r="H165" s="39" t="inlineStr">
        <is>
          <t>P4N</t>
        </is>
      </c>
      <c r="I165" s="12" t="inlineStr">
        <is>
          <t>13267-Ruko De���Khirani Village 2 T5, Kp. Sindangkarsa RT. 004 RW.006,Desa/Kelurahan Sukamaju Baru,Kecamatan Tapos,Kota Depok,Jawa Barat,</t>
        </is>
      </c>
      <c r="J165" s="37" t="n">
        <v>16455</v>
      </c>
      <c r="K165" s="40" t="inlineStr">
        <is>
          <t>Kota Depok</t>
        </is>
      </c>
      <c r="L165" s="7" t="inlineStr">
        <is>
          <t>6289620265220</t>
        </is>
      </c>
      <c r="M165" s="14" t="n">
        <v>1</v>
      </c>
      <c r="N165" s="6" t="n"/>
      <c r="O165" s="15" t="n"/>
      <c r="P165" s="15" t="n"/>
      <c r="Q165" s="16" t="n"/>
      <c r="R165" s="15" t="n"/>
      <c r="S165" s="17" t="n"/>
      <c r="T165" s="15" t="n"/>
      <c r="U165" s="15" t="n"/>
      <c r="V165" s="15" t="n"/>
      <c r="W165" s="15" t="n"/>
    </row>
    <row r="166">
      <c r="A166" s="6" t="inlineStr">
        <is>
          <t>Apotek Sejahtera I</t>
        </is>
      </c>
      <c r="B166" s="7" t="inlineStr">
        <is>
          <t>AWB02WJYG</t>
        </is>
      </c>
      <c r="C166" s="7" t="n">
        <v>1.88</v>
      </c>
      <c r="D166" s="37" t="n">
        <v>0.004806</v>
      </c>
      <c r="E166" s="38" t="inlineStr">
        <is>
          <t>260727143936313co7MpEDE</t>
        </is>
      </c>
      <c r="F166" s="7" t="n">
        <v>778</v>
      </c>
      <c r="G166" s="10" t="inlineStr">
        <is>
          <t>260727143936313co7MpEDE</t>
        </is>
      </c>
      <c r="H166" s="39" t="inlineStr">
        <is>
          <t>P4N</t>
        </is>
      </c>
      <c r="I166" s="12" t="inlineStr">
        <is>
          <t>778-Jalan Kemang Raya No.1 RT.002 RW.005 Kelurahan Cilodong, Kecamtan Cilodong, Kota Depok 16414</t>
        </is>
      </c>
      <c r="J166" s="37" t="n">
        <v>16414</v>
      </c>
      <c r="K166" s="40" t="inlineStr">
        <is>
          <t>Kota Depok</t>
        </is>
      </c>
      <c r="L166" s="7" t="inlineStr">
        <is>
          <t>628990900977</t>
        </is>
      </c>
      <c r="M166" s="14" t="n">
        <v>1</v>
      </c>
      <c r="N166" s="6" t="n"/>
      <c r="O166" s="15" t="n"/>
      <c r="P166" s="15" t="n"/>
      <c r="Q166" s="16" t="n"/>
      <c r="R166" s="15" t="n"/>
      <c r="S166" s="17" t="n"/>
      <c r="T166" s="15" t="n"/>
      <c r="U166" s="15" t="n"/>
      <c r="V166" s="15" t="n"/>
      <c r="W166" s="15" t="n"/>
    </row>
    <row r="167">
      <c r="A167" s="6" t="inlineStr">
        <is>
          <t>Apotek Seruni</t>
        </is>
      </c>
      <c r="B167" s="7" t="inlineStr">
        <is>
          <t>AWB02WHP7</t>
        </is>
      </c>
      <c r="C167" s="7" t="n">
        <v>6.17</v>
      </c>
      <c r="D167" s="37" t="n">
        <v>0.031223</v>
      </c>
      <c r="E167" s="38" t="inlineStr">
        <is>
          <t>2607270439482393zNao8sB</t>
        </is>
      </c>
      <c r="F167" s="7" t="n">
        <v>642</v>
      </c>
      <c r="G167" s="10" t="inlineStr">
        <is>
          <t>2607270439482393zNao8sB-26072704394823Gm6I9wq6hr-26072704394824Ml6CU7knS-260727235321734bAl7IjuPr-26072723532173Xs4qp2z5Kd</t>
        </is>
      </c>
      <c r="H167" s="39" t="inlineStr">
        <is>
          <t>P4N</t>
        </is>
      </c>
      <c r="I167" s="12" t="inlineStr">
        <is>
          <t>642-Jalan Radar Auri No. 87, Kelurahan Mekarsari, Kecamatan Cimanggis, Kota Depok 16452</t>
        </is>
      </c>
      <c r="J167" s="37" t="n">
        <v>16452</v>
      </c>
      <c r="K167" s="40" t="inlineStr">
        <is>
          <t>Kota Depok</t>
        </is>
      </c>
      <c r="L167" s="7" t="inlineStr">
        <is>
          <t>218734133</t>
        </is>
      </c>
      <c r="M167" s="14" t="n">
        <v>1</v>
      </c>
      <c r="N167" s="6" t="n"/>
      <c r="O167" s="15" t="n"/>
      <c r="P167" s="15" t="n"/>
      <c r="Q167" s="16" t="n"/>
      <c r="R167" s="15" t="n"/>
      <c r="S167" s="17" t="n"/>
      <c r="T167" s="15" t="n"/>
      <c r="U167" s="15" t="n"/>
      <c r="V167" s="15" t="n"/>
      <c r="W167" s="15" t="n"/>
    </row>
    <row r="168">
      <c r="A168" s="6" t="n"/>
      <c r="B168" s="7" t="n"/>
      <c r="C168" s="7" t="n"/>
      <c r="D168" s="37" t="n"/>
      <c r="E168" s="38" t="inlineStr">
        <is>
          <t>26072704394823Gm6I9wq6hr</t>
        </is>
      </c>
      <c r="F168" s="7" t="n"/>
      <c r="G168" s="10" t="n"/>
      <c r="H168" s="39" t="n"/>
      <c r="I168" s="12" t="n"/>
      <c r="J168" s="37" t="n"/>
      <c r="K168" s="40" t="n"/>
      <c r="L168" s="7" t="n"/>
      <c r="M168" s="14" t="n">
        <v>1</v>
      </c>
      <c r="N168" s="6" t="n"/>
      <c r="O168" s="15" t="n"/>
      <c r="P168" s="15" t="n"/>
      <c r="Q168" s="16" t="n"/>
      <c r="R168" s="15" t="n"/>
      <c r="S168" s="17" t="n"/>
      <c r="T168" s="15" t="n"/>
      <c r="U168" s="15" t="n"/>
      <c r="V168" s="15" t="n"/>
      <c r="W168" s="15" t="n"/>
    </row>
    <row r="169">
      <c r="A169" s="6" t="n"/>
      <c r="B169" s="7" t="n"/>
      <c r="C169" s="7" t="n"/>
      <c r="D169" s="37" t="n"/>
      <c r="E169" s="38" t="inlineStr">
        <is>
          <t>26072704394824Ml6CU7knS</t>
        </is>
      </c>
      <c r="F169" s="7" t="n"/>
      <c r="G169" s="10" t="n"/>
      <c r="H169" s="39" t="n"/>
      <c r="I169" s="12" t="n"/>
      <c r="J169" s="37" t="n"/>
      <c r="K169" s="40" t="n"/>
      <c r="L169" s="7" t="n"/>
      <c r="M169" s="14" t="n">
        <v>1</v>
      </c>
      <c r="N169" s="6" t="n"/>
      <c r="O169" s="15" t="n"/>
      <c r="P169" s="15" t="n"/>
      <c r="Q169" s="16" t="n"/>
      <c r="R169" s="15" t="n"/>
      <c r="S169" s="17" t="n"/>
      <c r="T169" s="15" t="n"/>
      <c r="U169" s="15" t="n"/>
      <c r="V169" s="15" t="n"/>
      <c r="W169" s="15" t="n"/>
    </row>
    <row r="170">
      <c r="A170" s="6" t="n"/>
      <c r="B170" s="7" t="n"/>
      <c r="C170" s="7" t="n"/>
      <c r="D170" s="37" t="n"/>
      <c r="E170" s="38" t="inlineStr">
        <is>
          <t>260727235321734bAl7IjuPr</t>
        </is>
      </c>
      <c r="F170" s="7" t="n"/>
      <c r="G170" s="10" t="n"/>
      <c r="H170" s="39" t="n"/>
      <c r="I170" s="12" t="n"/>
      <c r="J170" s="37" t="n"/>
      <c r="K170" s="40" t="n"/>
      <c r="L170" s="7" t="n"/>
      <c r="M170" s="14" t="n">
        <v>1</v>
      </c>
      <c r="N170" s="6" t="n"/>
      <c r="O170" s="15" t="n"/>
      <c r="P170" s="15" t="n"/>
      <c r="Q170" s="16" t="n"/>
      <c r="R170" s="15" t="n"/>
      <c r="S170" s="17" t="n"/>
      <c r="T170" s="15" t="n"/>
      <c r="U170" s="15" t="n"/>
      <c r="V170" s="15" t="n"/>
      <c r="W170" s="15" t="n"/>
    </row>
    <row r="171">
      <c r="A171" s="6" t="n"/>
      <c r="B171" s="7" t="n"/>
      <c r="C171" s="7" t="n"/>
      <c r="D171" s="37" t="n"/>
      <c r="E171" s="38" t="inlineStr">
        <is>
          <t>26072723532173Xs4qp2z5Kd</t>
        </is>
      </c>
      <c r="F171" s="7" t="n"/>
      <c r="G171" s="10" t="n"/>
      <c r="H171" s="39" t="n"/>
      <c r="I171" s="12" t="n"/>
      <c r="J171" s="37" t="n"/>
      <c r="K171" s="40" t="n"/>
      <c r="L171" s="7" t="n"/>
      <c r="M171" s="14" t="n">
        <v>1</v>
      </c>
      <c r="N171" s="6" t="n"/>
      <c r="O171" s="15" t="n"/>
      <c r="P171" s="15" t="n"/>
      <c r="Q171" s="16" t="n"/>
      <c r="R171" s="15" t="n"/>
      <c r="S171" s="17" t="n"/>
      <c r="T171" s="15" t="n"/>
      <c r="U171" s="15" t="n"/>
      <c r="V171" s="15" t="n"/>
      <c r="W171" s="15" t="n"/>
    </row>
    <row r="172">
      <c r="A172" s="6" t="inlineStr">
        <is>
          <t>Apotek Shakira Sehat Bersama Jaticempaka Pondok Gede</t>
        </is>
      </c>
      <c r="B172" s="7" t="inlineStr">
        <is>
          <t>AWB02WKY8</t>
        </is>
      </c>
      <c r="C172" s="7" t="n">
        <v>12.87</v>
      </c>
      <c r="D172" s="37" t="n">
        <v>0.02179</v>
      </c>
      <c r="E172" s="38" t="inlineStr">
        <is>
          <t>26072801551625sxyIPgBq</t>
        </is>
      </c>
      <c r="F172" s="7" t="n">
        <v>10824</v>
      </c>
      <c r="G172" s="10" t="inlineStr">
        <is>
          <t>26072801551625sxyIPgBq-26072801551625WGgqp9jEp3</t>
        </is>
      </c>
      <c r="H172" s="39" t="inlineStr">
        <is>
          <t>P4N</t>
        </is>
      </c>
      <c r="I172" s="12" t="inlineStr">
        <is>
          <t>10824-Jl. MASJID No.18, Desa/Kelurahan Jaticempaka, Kec. Pondokgede, Kota Bekasi, Provinsi Jawa Barat, 17416</t>
        </is>
      </c>
      <c r="J172" s="37" t="n">
        <v>17416</v>
      </c>
      <c r="K172" s="40" t="inlineStr">
        <is>
          <t>Kota Bekasi</t>
        </is>
      </c>
      <c r="L172" s="7" t="inlineStr">
        <is>
          <t>6285216893936</t>
        </is>
      </c>
      <c r="M172" s="14" t="n">
        <v>1</v>
      </c>
      <c r="N172" s="6" t="n"/>
      <c r="O172" s="15" t="n"/>
      <c r="P172" s="15" t="n"/>
      <c r="Q172" s="16" t="n"/>
      <c r="R172" s="15" t="n"/>
      <c r="S172" s="17" t="n"/>
      <c r="T172" s="15" t="n"/>
      <c r="U172" s="15" t="n"/>
      <c r="V172" s="15" t="n"/>
      <c r="W172" s="15" t="n"/>
    </row>
    <row r="173">
      <c r="A173" s="6" t="n"/>
      <c r="B173" s="7" t="n"/>
      <c r="C173" s="7" t="n"/>
      <c r="D173" s="37" t="n"/>
      <c r="E173" s="38" t="inlineStr">
        <is>
          <t>26072801551625WGgqp9jEp3</t>
        </is>
      </c>
      <c r="F173" s="7" t="n"/>
      <c r="G173" s="10" t="n"/>
      <c r="H173" s="39" t="n"/>
      <c r="I173" s="12" t="n"/>
      <c r="J173" s="37" t="n"/>
      <c r="K173" s="40" t="n"/>
      <c r="L173" s="7" t="n"/>
      <c r="M173" s="14" t="n">
        <v>2</v>
      </c>
      <c r="N173" s="6" t="n"/>
      <c r="O173" s="15" t="n"/>
      <c r="P173" s="15" t="n"/>
      <c r="Q173" s="16" t="n"/>
      <c r="R173" s="15" t="n"/>
      <c r="S173" s="17" t="n"/>
      <c r="T173" s="15" t="n"/>
      <c r="U173" s="15" t="n"/>
      <c r="V173" s="15" t="n"/>
      <c r="W173" s="15" t="n"/>
    </row>
    <row r="174">
      <c r="A174" s="6" t="inlineStr">
        <is>
          <t>Apotek Via</t>
        </is>
      </c>
      <c r="B174" s="7" t="inlineStr">
        <is>
          <t>AWB02WHPP</t>
        </is>
      </c>
      <c r="C174" s="7" t="n">
        <v>5.5</v>
      </c>
      <c r="D174" s="37" t="n">
        <v>0.023026</v>
      </c>
      <c r="E174" s="38" t="inlineStr">
        <is>
          <t>260727044151853iD5rxzZZQ</t>
        </is>
      </c>
      <c r="F174" s="7" t="n">
        <v>1139</v>
      </c>
      <c r="G174" s="10" t="inlineStr">
        <is>
          <t>260727044151853iD5rxzZZQ-260727044151856dvOp8PmR</t>
        </is>
      </c>
      <c r="H174" s="39" t="inlineStr">
        <is>
          <t>P4N</t>
        </is>
      </c>
      <c r="I174" s="12" t="inlineStr">
        <is>
          <t>1139-Jalan Krukut Raya RT 006 RW 001 Kelurahan Krukut Kecamatan Limo Kota Depok 16512</t>
        </is>
      </c>
      <c r="J174" s="37" t="n">
        <v>16512</v>
      </c>
      <c r="K174" s="40" t="inlineStr">
        <is>
          <t>Kota Depok</t>
        </is>
      </c>
      <c r="L174" s="7" t="inlineStr">
        <is>
          <t>8119988989</t>
        </is>
      </c>
      <c r="M174" s="14" t="n">
        <v>1</v>
      </c>
      <c r="N174" s="6" t="n"/>
      <c r="O174" s="15" t="n"/>
      <c r="P174" s="15" t="n"/>
      <c r="Q174" s="16" t="n"/>
      <c r="R174" s="15" t="n"/>
      <c r="S174" s="17" t="n"/>
      <c r="T174" s="15" t="n"/>
      <c r="U174" s="15" t="n"/>
      <c r="V174" s="15" t="n"/>
      <c r="W174" s="15" t="n"/>
    </row>
    <row r="175">
      <c r="A175" s="6" t="n"/>
      <c r="B175" s="7" t="n"/>
      <c r="C175" s="7" t="n"/>
      <c r="D175" s="37" t="n"/>
      <c r="E175" s="38" t="inlineStr">
        <is>
          <t>260727044151856dvOp8PmR</t>
        </is>
      </c>
      <c r="F175" s="7" t="n"/>
      <c r="G175" s="10" t="n"/>
      <c r="H175" s="39" t="n"/>
      <c r="I175" s="12" t="n"/>
      <c r="J175" s="37" t="n"/>
      <c r="K175" s="40" t="n"/>
      <c r="L175" s="7" t="n"/>
      <c r="M175" s="14" t="n">
        <v>1</v>
      </c>
      <c r="N175" s="6" t="n"/>
      <c r="O175" s="15" t="n"/>
      <c r="P175" s="15" t="n"/>
      <c r="Q175" s="16" t="n"/>
      <c r="R175" s="15" t="n"/>
      <c r="S175" s="17" t="n"/>
      <c r="T175" s="15" t="n"/>
      <c r="U175" s="15" t="n"/>
      <c r="V175" s="15" t="n"/>
      <c r="W175" s="15" t="n"/>
    </row>
    <row r="176">
      <c r="A176" s="6" t="inlineStr">
        <is>
          <t>Apotek Wijaya Cinangka Sawangan</t>
        </is>
      </c>
      <c r="B176" s="7" t="inlineStr">
        <is>
          <t>AWB02WLW5</t>
        </is>
      </c>
      <c r="C176" s="7" t="n">
        <v>1.37</v>
      </c>
      <c r="D176" s="37" t="n">
        <v>0.003193</v>
      </c>
      <c r="E176" s="38" t="inlineStr">
        <is>
          <t>26072803135291mG4ZXPwI1L</t>
        </is>
      </c>
      <c r="F176" s="7" t="n">
        <v>15548</v>
      </c>
      <c r="G176" s="10" t="inlineStr">
        <is>
          <t>26072803135291mG4ZXPwI1L-26072803135291nbcWvvqwh-26072803135291Rk1rLwAi3Y</t>
        </is>
      </c>
      <c r="H176" s="39" t="inlineStr">
        <is>
          <t>P4N</t>
        </is>
      </c>
      <c r="I176" s="12" t="inlineStr">
        <is>
          <t>15548-Perumahan Amara Residence No A-11 Desa/Kelurahan Cinangka, Kec. Sawangan, Kota Depok</t>
        </is>
      </c>
      <c r="J176" s="37" t="n">
        <v>16516</v>
      </c>
      <c r="K176" s="40" t="inlineStr">
        <is>
          <t>Kota Depok</t>
        </is>
      </c>
      <c r="L176" s="7" t="inlineStr">
        <is>
          <t>6282298501719</t>
        </is>
      </c>
      <c r="M176" s="14" t="n">
        <v>1</v>
      </c>
      <c r="N176" s="6" t="n"/>
      <c r="O176" s="15" t="n"/>
      <c r="P176" s="15" t="n"/>
      <c r="Q176" s="16" t="n"/>
      <c r="R176" s="15" t="n"/>
      <c r="S176" s="17" t="n"/>
      <c r="T176" s="15" t="n"/>
      <c r="U176" s="15" t="n"/>
      <c r="V176" s="15" t="n"/>
      <c r="W176" s="15" t="n"/>
    </row>
    <row r="177">
      <c r="A177" s="6" t="n"/>
      <c r="B177" s="7" t="n"/>
      <c r="C177" s="7" t="n"/>
      <c r="D177" s="37" t="n"/>
      <c r="E177" s="38" t="inlineStr">
        <is>
          <t>26072803135291nbcWvvqwh</t>
        </is>
      </c>
      <c r="F177" s="7" t="n"/>
      <c r="G177" s="10" t="n"/>
      <c r="H177" s="39" t="n"/>
      <c r="I177" s="12" t="n"/>
      <c r="J177" s="37" t="n"/>
      <c r="K177" s="40" t="n"/>
      <c r="L177" s="7" t="n"/>
      <c r="M177" s="14" t="n">
        <v>1</v>
      </c>
      <c r="N177" s="6" t="n"/>
      <c r="O177" s="15" t="n"/>
      <c r="P177" s="15" t="n"/>
      <c r="Q177" s="16" t="n"/>
      <c r="R177" s="15" t="n"/>
      <c r="S177" s="17" t="n"/>
      <c r="T177" s="15" t="n"/>
      <c r="U177" s="15" t="n"/>
      <c r="V177" s="15" t="n"/>
      <c r="W177" s="15" t="n"/>
    </row>
    <row r="178">
      <c r="A178" s="6" t="n"/>
      <c r="B178" s="7" t="n"/>
      <c r="C178" s="7" t="n"/>
      <c r="D178" s="37" t="n"/>
      <c r="E178" s="38" t="inlineStr">
        <is>
          <t>26072803135291Rk1rLwAi3Y</t>
        </is>
      </c>
      <c r="F178" s="7" t="n"/>
      <c r="G178" s="10" t="n"/>
      <c r="H178" s="39" t="n"/>
      <c r="I178" s="12" t="n"/>
      <c r="J178" s="37" t="n"/>
      <c r="K178" s="40" t="n"/>
      <c r="L178" s="7" t="n"/>
      <c r="M178" s="14" t="n">
        <v>1</v>
      </c>
      <c r="N178" s="6" t="n"/>
      <c r="O178" s="15" t="n"/>
      <c r="P178" s="15" t="n"/>
      <c r="Q178" s="16" t="n"/>
      <c r="R178" s="15" t="n"/>
      <c r="S178" s="17" t="n"/>
      <c r="T178" s="15" t="n"/>
      <c r="U178" s="15" t="n"/>
      <c r="V178" s="15" t="n"/>
      <c r="W178" s="15" t="n"/>
    </row>
    <row r="179">
      <c r="A179" s="6" t="inlineStr">
        <is>
          <t>Apotek Xpert Duren Mekar Bojongsari</t>
        </is>
      </c>
      <c r="B179" s="7" t="inlineStr">
        <is>
          <t>AWB02WHR8</t>
        </is>
      </c>
      <c r="C179" s="7" t="n">
        <v>0.78</v>
      </c>
      <c r="D179" s="37" t="n">
        <v>0.00451</v>
      </c>
      <c r="E179" s="38" t="inlineStr">
        <is>
          <t>26072704525395I4KU23YdN</t>
        </is>
      </c>
      <c r="F179" s="7" t="n">
        <v>9256</v>
      </c>
      <c r="G179" s="10" t="inlineStr">
        <is>
          <t>26072704525395I4KU23YdN-26072718234320aGdSAWb9d-26072718234320Dzbd1ptYQl-26072718234320hW25wTdVx</t>
        </is>
      </c>
      <c r="H179" s="39" t="inlineStr">
        <is>
          <t>P4N</t>
        </is>
      </c>
      <c r="I179" s="12" t="inlineStr">
        <is>
          <t>9256-Jl. Raya Parung, Bukit Sawangan Indah No.F2/4, Desa/Kel. Duren Mekar, Kec. Bojongsari, Kota Depok 16518</t>
        </is>
      </c>
      <c r="J179" s="37" t="n">
        <v>16518</v>
      </c>
      <c r="K179" s="40" t="inlineStr">
        <is>
          <t>Kota Depok</t>
        </is>
      </c>
      <c r="L179" s="7" t="inlineStr">
        <is>
          <t>6281329779198</t>
        </is>
      </c>
      <c r="M179" s="14" t="n">
        <v>1</v>
      </c>
      <c r="N179" s="6" t="n"/>
      <c r="O179" s="15" t="n"/>
      <c r="P179" s="15" t="n"/>
      <c r="Q179" s="16" t="n"/>
      <c r="R179" s="15" t="n"/>
      <c r="S179" s="17" t="n"/>
      <c r="T179" s="15" t="n"/>
      <c r="U179" s="15" t="n"/>
      <c r="V179" s="15" t="n"/>
      <c r="W179" s="15" t="n"/>
    </row>
    <row r="180">
      <c r="A180" s="6" t="n"/>
      <c r="B180" s="7" t="n"/>
      <c r="C180" s="7" t="n"/>
      <c r="D180" s="37" t="n"/>
      <c r="E180" s="38" t="inlineStr">
        <is>
          <t>26072718234320aGdSAWb9d</t>
        </is>
      </c>
      <c r="F180" s="7" t="n"/>
      <c r="G180" s="10" t="n"/>
      <c r="H180" s="39" t="n"/>
      <c r="I180" s="12" t="n"/>
      <c r="J180" s="37" t="n"/>
      <c r="K180" s="40" t="n"/>
      <c r="L180" s="7" t="n"/>
      <c r="M180" s="14" t="n">
        <v>1</v>
      </c>
      <c r="N180" s="6" t="n"/>
      <c r="O180" s="15" t="n"/>
      <c r="P180" s="15" t="n"/>
      <c r="Q180" s="16" t="n"/>
      <c r="R180" s="15" t="n"/>
      <c r="S180" s="17" t="n"/>
      <c r="T180" s="15" t="n"/>
      <c r="U180" s="15" t="n"/>
      <c r="V180" s="15" t="n"/>
      <c r="W180" s="15" t="n"/>
    </row>
    <row r="181">
      <c r="A181" s="6" t="n"/>
      <c r="B181" s="7" t="n"/>
      <c r="C181" s="7" t="n"/>
      <c r="D181" s="37" t="n"/>
      <c r="E181" s="38" t="inlineStr">
        <is>
          <t>26072718234320Dzbd1ptYQl</t>
        </is>
      </c>
      <c r="F181" s="7" t="n"/>
      <c r="G181" s="10" t="n"/>
      <c r="H181" s="39" t="n"/>
      <c r="I181" s="12" t="n"/>
      <c r="J181" s="37" t="n"/>
      <c r="K181" s="40" t="n"/>
      <c r="L181" s="7" t="n"/>
      <c r="M181" s="14" t="n">
        <v>1</v>
      </c>
      <c r="N181" s="6" t="n"/>
      <c r="O181" s="15" t="n"/>
      <c r="P181" s="15" t="n"/>
      <c r="Q181" s="16" t="n"/>
      <c r="R181" s="15" t="n"/>
      <c r="S181" s="17" t="n"/>
      <c r="T181" s="15" t="n"/>
      <c r="U181" s="15" t="n"/>
      <c r="V181" s="15" t="n"/>
      <c r="W181" s="15" t="n"/>
    </row>
    <row r="182">
      <c r="A182" s="6" t="n"/>
      <c r="B182" s="7" t="n"/>
      <c r="C182" s="7" t="n"/>
      <c r="D182" s="37" t="n"/>
      <c r="E182" s="38" t="inlineStr">
        <is>
          <t>26072718234320hW25wTdVx</t>
        </is>
      </c>
      <c r="F182" s="7" t="n"/>
      <c r="G182" s="10" t="n"/>
      <c r="H182" s="39" t="n"/>
      <c r="I182" s="12" t="n"/>
      <c r="J182" s="37" t="n"/>
      <c r="K182" s="40" t="n"/>
      <c r="L182" s="7" t="n"/>
      <c r="M182" s="14" t="n"/>
      <c r="N182" s="6" t="n"/>
      <c r="O182" s="15" t="n"/>
      <c r="P182" s="15" t="n"/>
      <c r="Q182" s="16" t="n"/>
      <c r="R182" s="15" t="n"/>
      <c r="S182" s="17" t="n"/>
      <c r="T182" s="15" t="n"/>
      <c r="U182" s="15" t="n"/>
      <c r="V182" s="15" t="n"/>
      <c r="W182" s="15" t="n"/>
    </row>
    <row r="183">
      <c r="A183" s="6" t="inlineStr">
        <is>
          <t>Apotek Zahra Medika</t>
        </is>
      </c>
      <c r="B183" s="7" t="inlineStr">
        <is>
          <t>AWB02WMD5</t>
        </is>
      </c>
      <c r="C183" s="7" t="n">
        <v>0.32</v>
      </c>
      <c r="D183" s="37" t="n">
        <v>0.001476</v>
      </c>
      <c r="E183" s="38" t="inlineStr">
        <is>
          <t>260728035413838c3In1BRD</t>
        </is>
      </c>
      <c r="F183" s="7" t="n">
        <v>2138</v>
      </c>
      <c r="G183" s="10" t="inlineStr">
        <is>
          <t>260728035413838c3In1BRD</t>
        </is>
      </c>
      <c r="H183" s="39" t="inlineStr">
        <is>
          <t>P4N</t>
        </is>
      </c>
      <c r="I183" s="12" t="inlineStr">
        <is>
          <t>2138-Jalan Cagar Alam Raya No. 42 RT 001 RW 001 Kelurahan Pancoran Mas Kecamatann Pancoran Mas Depok 16436</t>
        </is>
      </c>
      <c r="J183" s="37" t="n">
        <v>16436</v>
      </c>
      <c r="K183" s="40" t="inlineStr">
        <is>
          <t>Kota Depok</t>
        </is>
      </c>
      <c r="L183" s="7" t="inlineStr">
        <is>
          <t>81387688857</t>
        </is>
      </c>
      <c r="M183" s="14" t="n">
        <v>1</v>
      </c>
      <c r="N183" s="6" t="n"/>
      <c r="O183" s="15" t="n"/>
      <c r="P183" s="15" t="n"/>
      <c r="Q183" s="16" t="n"/>
      <c r="R183" s="15" t="n"/>
      <c r="S183" s="17" t="n"/>
      <c r="T183" s="15" t="n"/>
      <c r="U183" s="15" t="n"/>
      <c r="V183" s="15" t="n"/>
      <c r="W183" s="15" t="n"/>
    </row>
    <row r="184">
      <c r="A184" s="6" t="inlineStr">
        <is>
          <t>Apotek Zam Zam Mulia</t>
        </is>
      </c>
      <c r="B184" s="7" t="inlineStr">
        <is>
          <t>AWB02WLBN</t>
        </is>
      </c>
      <c r="C184" s="7" t="n">
        <v>3</v>
      </c>
      <c r="D184" s="37" t="n">
        <v>0.008776000000000001</v>
      </c>
      <c r="E184" s="38" t="inlineStr">
        <is>
          <t>26072802325196gW8ys4jv7N</t>
        </is>
      </c>
      <c r="F184" s="7" t="n">
        <v>103</v>
      </c>
      <c r="G184" s="10" t="inlineStr">
        <is>
          <t>26072802325196gW8ys4jv7N-26072802325196jze2QN3u</t>
        </is>
      </c>
      <c r="H184" s="39" t="inlineStr">
        <is>
          <t>P4N</t>
        </is>
      </c>
      <c r="I184" s="12" t="inlineStr">
        <is>
          <t>103-Jl Raya Jatiwaringin no 306 Kel. jatiwaringin Kec. Pondok Gede Bekasi</t>
        </is>
      </c>
      <c r="J184" s="37" t="n">
        <v>17411</v>
      </c>
      <c r="K184" s="40" t="inlineStr">
        <is>
          <t>Kota Bekasi</t>
        </is>
      </c>
      <c r="L184" s="7" t="inlineStr">
        <is>
          <t>6281295719194</t>
        </is>
      </c>
      <c r="M184" s="14" t="n">
        <v>1</v>
      </c>
      <c r="N184" s="6" t="n"/>
      <c r="O184" s="15" t="n"/>
      <c r="P184" s="15" t="n"/>
      <c r="Q184" s="16" t="n"/>
      <c r="R184" s="15" t="n"/>
      <c r="S184" s="17" t="n"/>
      <c r="T184" s="15" t="n"/>
      <c r="U184" s="15" t="n"/>
      <c r="V184" s="15" t="n"/>
      <c r="W184" s="15" t="n"/>
    </row>
    <row r="185">
      <c r="A185" s="6" t="n"/>
      <c r="B185" s="7" t="n"/>
      <c r="C185" s="7" t="n"/>
      <c r="D185" s="37" t="n"/>
      <c r="E185" s="38" t="inlineStr">
        <is>
          <t>26072802325196jze2QN3u</t>
        </is>
      </c>
      <c r="F185" s="7" t="n"/>
      <c r="G185" s="10" t="n"/>
      <c r="H185" s="39" t="n"/>
      <c r="I185" s="12" t="n"/>
      <c r="J185" s="37" t="n"/>
      <c r="K185" s="40" t="n"/>
      <c r="L185" s="7" t="n"/>
      <c r="M185" s="14" t="n">
        <v>1</v>
      </c>
      <c r="N185" s="6" t="n"/>
      <c r="O185" s="15" t="n"/>
      <c r="P185" s="15" t="n"/>
      <c r="Q185" s="16" t="n"/>
      <c r="R185" s="15" t="n"/>
      <c r="S185" s="17" t="n"/>
      <c r="T185" s="15" t="n"/>
      <c r="U185" s="15" t="n"/>
      <c r="V185" s="15" t="n"/>
      <c r="W185" s="15" t="n"/>
    </row>
    <row r="186">
      <c r="A186" s="6" t="inlineStr">
        <is>
          <t>Apotek Zea Farma Cibubur Ciracas</t>
        </is>
      </c>
      <c r="B186" s="7" t="inlineStr">
        <is>
          <t>AWB02WJKV</t>
        </is>
      </c>
      <c r="C186" s="7" t="n">
        <v>0.11</v>
      </c>
      <c r="D186" s="37" t="n">
        <v>0.00045</v>
      </c>
      <c r="E186" s="38" t="inlineStr">
        <is>
          <t>260727103447597ygQw1Iek</t>
        </is>
      </c>
      <c r="F186" s="7" t="n">
        <v>12281</v>
      </c>
      <c r="G186" s="10" t="inlineStr">
        <is>
          <t>260727103447597ygQw1Iek</t>
        </is>
      </c>
      <c r="H186" s="39" t="inlineStr">
        <is>
          <t>P4N</t>
        </is>
      </c>
      <c r="I186" s="12" t="inlineStr">
        <is>
          <t>12281-Ruko Cibubur Indah,Jl.Lapangan Tembak Blok A No. 27,Desa/Kelurahan Cibubur, Kec. Ciracas, Kota Adm. Jakarta Timur,DKI Jakarta,13720</t>
        </is>
      </c>
      <c r="J186" s="37" t="n">
        <v>13720</v>
      </c>
      <c r="K186" s="40" t="inlineStr">
        <is>
          <t>Kota Jakarta Timur</t>
        </is>
      </c>
      <c r="L186" s="7" t="inlineStr">
        <is>
          <t>6285891661099</t>
        </is>
      </c>
      <c r="M186" s="14" t="n">
        <v>1</v>
      </c>
      <c r="N186" s="6" t="n"/>
      <c r="O186" s="15" t="n"/>
      <c r="P186" s="15" t="n"/>
      <c r="Q186" s="16" t="n"/>
      <c r="R186" s="15" t="n"/>
      <c r="S186" s="17" t="n"/>
      <c r="T186" s="15" t="n"/>
      <c r="U186" s="15" t="n"/>
      <c r="V186" s="15" t="n"/>
      <c r="W186" s="15" t="n"/>
    </row>
    <row r="187">
      <c r="A187" s="6" t="inlineStr">
        <is>
          <t>Apotek Zee33</t>
        </is>
      </c>
      <c r="B187" s="7" t="inlineStr">
        <is>
          <t>AWB02WKSK</t>
        </is>
      </c>
      <c r="C187" s="7" t="n">
        <v>1.33</v>
      </c>
      <c r="D187" s="37" t="n">
        <v>0.004428</v>
      </c>
      <c r="E187" s="38" t="inlineStr">
        <is>
          <t>26072801351421YjqMztyUO</t>
        </is>
      </c>
      <c r="F187" s="7" t="n">
        <v>8423</v>
      </c>
      <c r="G187" s="10" t="inlineStr">
        <is>
          <t>26072801351421YjqMztyUO-26072801381955q6rNfOrj1-26072801393651dSYnaEYGG</t>
        </is>
      </c>
      <c r="H187" s="39" t="inlineStr">
        <is>
          <t>P4N</t>
        </is>
      </c>
      <c r="I187" s="12" t="inlineStr">
        <is>
          <t>8423-Jl. Damai PBSI No. 3D RT.011 RW 01, Desa/Kelurahan Cipayung, Kec.  Cipayung, Kota Adm. Jakarta Timur,13840</t>
        </is>
      </c>
      <c r="J187" s="37" t="n">
        <v>13840</v>
      </c>
      <c r="K187" s="40" t="inlineStr">
        <is>
          <t>Kota Jakarta Timur</t>
        </is>
      </c>
      <c r="L187" s="7" t="inlineStr">
        <is>
          <t>81398912227</t>
        </is>
      </c>
      <c r="M187" s="14" t="n">
        <v>1</v>
      </c>
      <c r="N187" s="6" t="n"/>
      <c r="O187" s="15" t="n"/>
      <c r="P187" s="15" t="n"/>
      <c r="Q187" s="16" t="n"/>
      <c r="R187" s="15" t="n"/>
      <c r="S187" s="17" t="n"/>
      <c r="T187" s="15" t="n"/>
      <c r="U187" s="15" t="n"/>
      <c r="V187" s="15" t="n"/>
      <c r="W187" s="15" t="n"/>
    </row>
    <row r="188">
      <c r="A188" s="6" t="n"/>
      <c r="B188" s="7" t="n"/>
      <c r="C188" s="7" t="n"/>
      <c r="D188" s="37" t="n"/>
      <c r="E188" s="38" t="inlineStr">
        <is>
          <t>26072801381955q6rNfOrj1</t>
        </is>
      </c>
      <c r="F188" s="7" t="n"/>
      <c r="G188" s="10" t="n"/>
      <c r="H188" s="39" t="n"/>
      <c r="I188" s="12" t="n"/>
      <c r="J188" s="37" t="n"/>
      <c r="K188" s="40" t="n"/>
      <c r="L188" s="7" t="n"/>
      <c r="M188" s="14" t="n">
        <v>1</v>
      </c>
      <c r="N188" s="6" t="n"/>
      <c r="O188" s="15" t="n"/>
      <c r="P188" s="15" t="n"/>
      <c r="Q188" s="16" t="n"/>
      <c r="R188" s="15" t="n"/>
      <c r="S188" s="17" t="n"/>
      <c r="T188" s="15" t="n"/>
      <c r="U188" s="15" t="n"/>
      <c r="V188" s="15" t="n"/>
      <c r="W188" s="15" t="n"/>
    </row>
    <row r="189">
      <c r="A189" s="6" t="n"/>
      <c r="B189" s="7" t="n"/>
      <c r="C189" s="7" t="n"/>
      <c r="D189" s="37" t="n"/>
      <c r="E189" s="38" t="inlineStr">
        <is>
          <t>26072801393651dSYnaEYGG</t>
        </is>
      </c>
      <c r="F189" s="7" t="n"/>
      <c r="G189" s="10" t="n"/>
      <c r="H189" s="39" t="n"/>
      <c r="I189" s="12" t="n"/>
      <c r="J189" s="37" t="n"/>
      <c r="K189" s="40" t="n"/>
      <c r="L189" s="7" t="n"/>
      <c r="M189" s="14" t="n">
        <v>1</v>
      </c>
      <c r="N189" s="6" t="n"/>
      <c r="O189" s="15" t="n"/>
      <c r="P189" s="15" t="n"/>
      <c r="Q189" s="16" t="n"/>
      <c r="R189" s="15" t="n"/>
      <c r="S189" s="17" t="n"/>
      <c r="T189" s="15" t="n"/>
      <c r="U189" s="15" t="n"/>
      <c r="V189" s="15" t="n"/>
      <c r="W189" s="15" t="n"/>
    </row>
    <row r="190">
      <c r="A190" s="6" t="inlineStr">
        <is>
          <t>Klinik Berkah Medika Tirtajaya Sukmajaya</t>
        </is>
      </c>
      <c r="B190" s="7" t="inlineStr">
        <is>
          <t>AWB02WHX5</t>
        </is>
      </c>
      <c r="C190" s="7" t="n">
        <v>0.34</v>
      </c>
      <c r="D190" s="37" t="n">
        <v>0.002524</v>
      </c>
      <c r="E190" s="38" t="inlineStr">
        <is>
          <t>26072705432463mCmdfsUG</t>
        </is>
      </c>
      <c r="F190" s="7" t="n">
        <v>12709</v>
      </c>
      <c r="G190" s="10" t="inlineStr">
        <is>
          <t>26072705432463mCmdfsUG-26072705432463mFMaJfopF2-26072705480412Qsdw0vhHZ</t>
        </is>
      </c>
      <c r="H190" s="39" t="inlineStr">
        <is>
          <t>P4N</t>
        </is>
      </c>
      <c r="I190" s="12" t="inlineStr">
        <is>
          <t>12709-Perumahan Grand Depok City, Ruko Anggrek I Blok C1 no 29 RT007 RW004 Kel. Tirtajaya Kec. Sukmajaya Kota Depok</t>
        </is>
      </c>
      <c r="J190" s="37" t="n">
        <v>16412</v>
      </c>
      <c r="K190" s="40" t="inlineStr">
        <is>
          <t>Kota Depok</t>
        </is>
      </c>
      <c r="L190" s="7" t="inlineStr">
        <is>
          <t>6285711483438</t>
        </is>
      </c>
      <c r="M190" s="14" t="n">
        <v>1</v>
      </c>
      <c r="N190" s="6" t="n"/>
      <c r="O190" s="15" t="n"/>
      <c r="P190" s="15" t="n"/>
      <c r="Q190" s="16" t="n"/>
      <c r="R190" s="15" t="n"/>
      <c r="S190" s="17" t="n"/>
      <c r="T190" s="15" t="n"/>
      <c r="U190" s="15" t="n"/>
      <c r="V190" s="15" t="n"/>
      <c r="W190" s="15" t="n"/>
    </row>
    <row r="191">
      <c r="A191" s="6" t="n"/>
      <c r="B191" s="7" t="n"/>
      <c r="C191" s="7" t="n"/>
      <c r="D191" s="37" t="n"/>
      <c r="E191" s="38" t="inlineStr">
        <is>
          <t>26072705432463mFMaJfopF2</t>
        </is>
      </c>
      <c r="F191" s="7" t="n"/>
      <c r="G191" s="10" t="n"/>
      <c r="H191" s="39" t="n"/>
      <c r="I191" s="12" t="n"/>
      <c r="J191" s="37" t="n"/>
      <c r="K191" s="40" t="n"/>
      <c r="L191" s="7" t="n"/>
      <c r="M191" s="14" t="n">
        <v>1</v>
      </c>
      <c r="N191" s="6" t="n"/>
      <c r="O191" s="15" t="n"/>
      <c r="P191" s="15" t="n"/>
      <c r="Q191" s="16" t="n"/>
      <c r="R191" s="15" t="n"/>
      <c r="S191" s="17" t="n"/>
      <c r="T191" s="15" t="n"/>
      <c r="U191" s="15" t="n"/>
      <c r="V191" s="15" t="n"/>
      <c r="W191" s="15" t="n"/>
    </row>
    <row r="192">
      <c r="A192" s="6" t="n"/>
      <c r="B192" s="7" t="n"/>
      <c r="C192" s="7" t="n"/>
      <c r="D192" s="37" t="n"/>
      <c r="E192" s="38" t="inlineStr">
        <is>
          <t>26072705480412Qsdw0vhHZ</t>
        </is>
      </c>
      <c r="F192" s="7" t="n"/>
      <c r="G192" s="10" t="n"/>
      <c r="H192" s="39" t="n"/>
      <c r="I192" s="12" t="n"/>
      <c r="J192" s="37" t="n"/>
      <c r="K192" s="40" t="n"/>
      <c r="L192" s="7" t="n"/>
      <c r="M192" s="14" t="n">
        <v>1</v>
      </c>
      <c r="N192" s="6" t="n"/>
      <c r="O192" s="15" t="n"/>
      <c r="P192" s="15" t="n"/>
      <c r="Q192" s="16" t="n"/>
      <c r="R192" s="15" t="n"/>
      <c r="S192" s="17" t="n"/>
      <c r="T192" s="15" t="n"/>
      <c r="U192" s="15" t="n"/>
      <c r="V192" s="15" t="n"/>
      <c r="W192" s="15" t="n"/>
    </row>
    <row r="193">
      <c r="A193" s="6" t="inlineStr">
        <is>
          <t>Klinik Pratama Andani Sehat Bedahan Sawangan</t>
        </is>
      </c>
      <c r="B193" s="7" t="inlineStr">
        <is>
          <t>AWB02WKLC</t>
        </is>
      </c>
      <c r="C193" s="7" t="n">
        <v>1.37</v>
      </c>
      <c r="D193" s="37" t="n">
        <v>0.005222</v>
      </c>
      <c r="E193" s="38" t="inlineStr">
        <is>
          <t>26072801113514LZIuux8B0</t>
        </is>
      </c>
      <c r="F193" s="7" t="n">
        <v>12007</v>
      </c>
      <c r="G193" s="10" t="inlineStr">
        <is>
          <t>26072801113514LZIuux8B0-26072801321757afuJi4A5</t>
        </is>
      </c>
      <c r="H193" s="39" t="inlineStr">
        <is>
          <t>P4N</t>
        </is>
      </c>
      <c r="I193" s="12" t="inlineStr">
        <is>
          <t>12007-Jl. Babakan no. 138 RT. 05 RW. 07 Kel. Bedahan Kec. Sawangan Kota Depok</t>
        </is>
      </c>
      <c r="J193" s="37" t="n">
        <v>16519</v>
      </c>
      <c r="K193" s="40" t="inlineStr">
        <is>
          <t>Kota Depok</t>
        </is>
      </c>
      <c r="L193" s="7" t="inlineStr">
        <is>
          <t>6281244276296</t>
        </is>
      </c>
      <c r="M193" s="14" t="n">
        <v>1</v>
      </c>
      <c r="N193" s="6" t="n"/>
      <c r="O193" s="15" t="n"/>
      <c r="P193" s="15" t="n"/>
      <c r="Q193" s="16" t="n"/>
      <c r="R193" s="15" t="n"/>
      <c r="S193" s="17" t="n"/>
      <c r="T193" s="15" t="n"/>
      <c r="U193" s="15" t="n"/>
      <c r="V193" s="15" t="n"/>
      <c r="W193" s="15" t="n"/>
    </row>
    <row r="194">
      <c r="A194" s="6" t="n"/>
      <c r="B194" s="7" t="n"/>
      <c r="C194" s="7" t="n"/>
      <c r="D194" s="37" t="n"/>
      <c r="E194" s="38" t="inlineStr">
        <is>
          <t>26072801321757afuJi4A5</t>
        </is>
      </c>
      <c r="F194" s="7" t="n"/>
      <c r="G194" s="10" t="n"/>
      <c r="H194" s="39" t="n"/>
      <c r="I194" s="12" t="n"/>
      <c r="J194" s="37" t="n"/>
      <c r="K194" s="40" t="n"/>
      <c r="L194" s="7" t="n"/>
      <c r="M194" s="14" t="n">
        <v>1</v>
      </c>
      <c r="N194" s="6" t="n"/>
      <c r="O194" s="15" t="n"/>
      <c r="P194" s="15" t="n"/>
      <c r="Q194" s="16" t="n"/>
      <c r="R194" s="15" t="n"/>
      <c r="S194" s="17" t="n"/>
      <c r="T194" s="15" t="n"/>
      <c r="U194" s="15" t="n"/>
      <c r="V194" s="15" t="n"/>
      <c r="W194" s="15" t="n"/>
    </row>
    <row r="195">
      <c r="A195" s="6" t="inlineStr">
        <is>
          <t>Klinik Pratama Bhakti Kerinci</t>
        </is>
      </c>
      <c r="B195" s="7" t="inlineStr">
        <is>
          <t>AWB02WMFW</t>
        </is>
      </c>
      <c r="C195" s="7" t="n">
        <v>21.85</v>
      </c>
      <c r="D195" s="37" t="n">
        <v>0.11853</v>
      </c>
      <c r="E195" s="38" t="inlineStr">
        <is>
          <t>26072804002186oZi2kDBx9</t>
        </is>
      </c>
      <c r="F195" s="7" t="n">
        <v>1241</v>
      </c>
      <c r="G195" s="10" t="inlineStr">
        <is>
          <t>26072804002186oZi2kDBx9</t>
        </is>
      </c>
      <c r="H195" s="39" t="inlineStr">
        <is>
          <t>P4N</t>
        </is>
      </c>
      <c r="I195" s="12" t="inlineStr">
        <is>
          <t>1241-Jalan Kerinci III No.5 RT 001/026 Kelurahan Abadijaya Kecamatan Sukmajaya  Depok 16417</t>
        </is>
      </c>
      <c r="J195" s="37" t="n">
        <v>16417</v>
      </c>
      <c r="K195" s="40" t="inlineStr">
        <is>
          <t>Kota Depok</t>
        </is>
      </c>
      <c r="L195" s="7" t="inlineStr">
        <is>
          <t>87781998785</t>
        </is>
      </c>
      <c r="M195" s="14" t="n">
        <v>6</v>
      </c>
      <c r="N195" s="6" t="n"/>
      <c r="O195" s="15" t="n"/>
      <c r="P195" s="15" t="n"/>
      <c r="Q195" s="16" t="n"/>
      <c r="R195" s="15" t="n"/>
      <c r="S195" s="17" t="n"/>
      <c r="T195" s="15" t="n"/>
      <c r="U195" s="15" t="n"/>
      <c r="V195" s="15" t="n"/>
      <c r="W195" s="15" t="n"/>
    </row>
    <row r="196">
      <c r="A196" s="6" t="inlineStr">
        <is>
          <t>Klinik Pratama dr Salma Pd Jaya Cipayung</t>
        </is>
      </c>
      <c r="B196" s="7" t="inlineStr">
        <is>
          <t>AWB02WLRX</t>
        </is>
      </c>
      <c r="C196" s="7" t="n">
        <v>2.74</v>
      </c>
      <c r="D196" s="37" t="n">
        <v>0.010252</v>
      </c>
      <c r="E196" s="38" t="inlineStr">
        <is>
          <t>26072803021338Zh4QmNI</t>
        </is>
      </c>
      <c r="F196" s="7" t="n">
        <v>12048</v>
      </c>
      <c r="G196" s="10" t="inlineStr">
        <is>
          <t>26072803021338Zh4QmNI</t>
        </is>
      </c>
      <c r="H196" s="39" t="inlineStr">
        <is>
          <t>P4N</t>
        </is>
      </c>
      <c r="I196" s="12" t="inlineStr">
        <is>
          <t>12048-Permata Depok Berlian D1/2 RT 03 RW 07 Kel. Pondok Jaya Kec. Cipayung Kota Depok</t>
        </is>
      </c>
      <c r="J196" s="37" t="n">
        <v>16438</v>
      </c>
      <c r="K196" s="40" t="inlineStr">
        <is>
          <t>Kota Depok</t>
        </is>
      </c>
      <c r="L196" s="7" t="inlineStr">
        <is>
          <t>628176684929</t>
        </is>
      </c>
      <c r="M196" s="14" t="n">
        <v>2</v>
      </c>
      <c r="N196" s="6" t="n"/>
      <c r="O196" s="15" t="n"/>
      <c r="P196" s="15" t="n"/>
      <c r="Q196" s="16" t="n"/>
      <c r="R196" s="15" t="n"/>
      <c r="S196" s="17" t="n"/>
      <c r="T196" s="15" t="n"/>
      <c r="U196" s="15" t="n"/>
      <c r="V196" s="15" t="n"/>
      <c r="W196" s="15" t="n"/>
    </row>
    <row r="197">
      <c r="A197" s="6" t="inlineStr">
        <is>
          <t>Klinik Pratama Indria Medicare Jatimelati Pd Melati</t>
        </is>
      </c>
      <c r="B197" s="7" t="inlineStr">
        <is>
          <t>AWB02WLJ5</t>
        </is>
      </c>
      <c r="C197" s="7" t="n">
        <v>2.84</v>
      </c>
      <c r="D197" s="37" t="n">
        <v>0.010446</v>
      </c>
      <c r="E197" s="38" t="inlineStr">
        <is>
          <t>26072802471526O8iugwjMu</t>
        </is>
      </c>
      <c r="F197" s="7" t="n">
        <v>11186</v>
      </c>
      <c r="G197" s="10" t="inlineStr">
        <is>
          <t>26072802471526O8iugwjMu-26072802471526z9hsjnLTJ</t>
        </is>
      </c>
      <c r="H197" s="39" t="inlineStr">
        <is>
          <t>P4N</t>
        </is>
      </c>
      <c r="I197" s="12" t="inlineStr">
        <is>
          <t>11186-JI. Kp Sawah No.30 RT 005 RW 004 Kel. Jatimelati Kec. Pondok Melati Kota Bekasi</t>
        </is>
      </c>
      <c r="J197" s="37" t="n">
        <v>17414</v>
      </c>
      <c r="K197" s="40" t="inlineStr">
        <is>
          <t>Kota Bekasi</t>
        </is>
      </c>
      <c r="L197" s="7" t="inlineStr">
        <is>
          <t>6281213640831</t>
        </is>
      </c>
      <c r="M197" s="14" t="n">
        <v>1</v>
      </c>
      <c r="N197" s="6" t="n"/>
      <c r="O197" s="15" t="n"/>
      <c r="P197" s="15" t="n"/>
      <c r="Q197" s="16" t="n"/>
      <c r="R197" s="15" t="n"/>
      <c r="S197" s="17" t="n"/>
      <c r="T197" s="15" t="n"/>
      <c r="U197" s="15" t="n"/>
      <c r="V197" s="15" t="n"/>
      <c r="W197" s="15" t="n"/>
    </row>
    <row r="198">
      <c r="A198" s="6" t="n"/>
      <c r="B198" s="7" t="n"/>
      <c r="C198" s="7" t="n"/>
      <c r="D198" s="37" t="n"/>
      <c r="E198" s="38" t="inlineStr">
        <is>
          <t>26072802471526z9hsjnLTJ</t>
        </is>
      </c>
      <c r="F198" s="7" t="n"/>
      <c r="G198" s="10" t="n"/>
      <c r="H198" s="39" t="n"/>
      <c r="I198" s="12" t="n"/>
      <c r="J198" s="37" t="n"/>
      <c r="K198" s="40" t="n"/>
      <c r="L198" s="7" t="n"/>
      <c r="M198" s="14" t="n">
        <v>1</v>
      </c>
      <c r="N198" s="6" t="n"/>
      <c r="O198" s="15" t="n"/>
      <c r="P198" s="15" t="n"/>
      <c r="Q198" s="16" t="n"/>
      <c r="R198" s="15" t="n"/>
      <c r="S198" s="17" t="n"/>
      <c r="T198" s="15" t="n"/>
      <c r="U198" s="15" t="n"/>
      <c r="V198" s="15" t="n"/>
      <c r="W198" s="15" t="n"/>
    </row>
    <row r="199">
      <c r="A199" s="6" t="inlineStr">
        <is>
          <t>Klinik Pratama Rawat Inap Aras</t>
        </is>
      </c>
      <c r="B199" s="7" t="inlineStr">
        <is>
          <t>AWB02WJBL</t>
        </is>
      </c>
      <c r="C199" s="7" t="n">
        <v>12.56</v>
      </c>
      <c r="D199" s="37" t="n">
        <v>0.051226</v>
      </c>
      <c r="E199" s="38" t="inlineStr">
        <is>
          <t>26072708201425aYVxmwwjQ</t>
        </is>
      </c>
      <c r="F199" s="7" t="n">
        <v>1675</v>
      </c>
      <c r="G199" s="10" t="inlineStr">
        <is>
          <t>26072708201425aYVxmwwjQ</t>
        </is>
      </c>
      <c r="H199" s="39" t="inlineStr">
        <is>
          <t>P4N</t>
        </is>
      </c>
      <c r="I199" s="12" t="inlineStr">
        <is>
          <t>1675-Jalan Sawangan Permai Blok A RT 002 RW 009 Kelurahan Sawangan Baru Kecamatam Sawangan Kota Depok 16511</t>
        </is>
      </c>
      <c r="J199" s="37" t="n">
        <v>16511</v>
      </c>
      <c r="K199" s="40" t="inlineStr">
        <is>
          <t>Kota Depok</t>
        </is>
      </c>
      <c r="L199" s="7" t="inlineStr">
        <is>
          <t>81319553273</t>
        </is>
      </c>
      <c r="M199" s="14" t="n">
        <v>2</v>
      </c>
      <c r="N199" s="6" t="n"/>
      <c r="O199" s="15" t="n"/>
      <c r="P199" s="15" t="n"/>
      <c r="Q199" s="16" t="n"/>
      <c r="R199" s="15" t="n"/>
      <c r="S199" s="17" t="n"/>
      <c r="T199" s="15" t="n"/>
      <c r="U199" s="15" t="n"/>
      <c r="V199" s="15" t="n"/>
      <c r="W199" s="15" t="n"/>
    </row>
    <row r="200">
      <c r="A200" s="6" t="inlineStr">
        <is>
          <t>Klinik Pratama Rawat Jalan Ibu Mas Sukamaju Baru Tapos</t>
        </is>
      </c>
      <c r="B200" s="7" t="inlineStr">
        <is>
          <t>AWB02WLVB</t>
        </is>
      </c>
      <c r="C200" s="7" t="n">
        <v>1.46</v>
      </c>
      <c r="D200" s="37" t="n">
        <v>0.009453</v>
      </c>
      <c r="E200" s="38" t="inlineStr">
        <is>
          <t>26072803115903LmjXVdOL3</t>
        </is>
      </c>
      <c r="F200" s="7" t="n">
        <v>11876</v>
      </c>
      <c r="G200" s="10" t="inlineStr">
        <is>
          <t>26072803115903LmjXVdOL3</t>
        </is>
      </c>
      <c r="H200" s="39" t="inlineStr">
        <is>
          <t>P4N</t>
        </is>
      </c>
      <c r="I200" s="12" t="inlineStr">
        <is>
          <t>11876-Jl. Raya Bogor KM. 34, RT.01/RW.01, No.1 Kel. Sukamaju Baru Kel. Tapos Kota Depok</t>
        </is>
      </c>
      <c r="J200" s="37" t="n">
        <v>16455</v>
      </c>
      <c r="K200" s="40" t="inlineStr">
        <is>
          <t>Kota Depok</t>
        </is>
      </c>
      <c r="L200" s="7" t="inlineStr">
        <is>
          <t>6281280230198</t>
        </is>
      </c>
      <c r="M200" s="14" t="n">
        <v>1</v>
      </c>
      <c r="N200" s="6" t="n"/>
      <c r="O200" s="15" t="n"/>
      <c r="P200" s="15" t="n"/>
      <c r="Q200" s="16" t="n"/>
      <c r="R200" s="15" t="n"/>
      <c r="S200" s="17" t="n"/>
      <c r="T200" s="15" t="n"/>
      <c r="U200" s="15" t="n"/>
      <c r="V200" s="15" t="n"/>
      <c r="W200" s="15" t="n"/>
    </row>
    <row r="201">
      <c r="A201" s="6" t="inlineStr">
        <is>
          <t>Klinik Pratama Relof</t>
        </is>
      </c>
      <c r="B201" s="7" t="inlineStr">
        <is>
          <t>AWB02WJHG</t>
        </is>
      </c>
      <c r="C201" s="7" t="n">
        <v>1.19</v>
      </c>
      <c r="D201" s="37" t="n">
        <v>0.01188</v>
      </c>
      <c r="E201" s="38" t="inlineStr">
        <is>
          <t>26072710001492JtIouWR</t>
        </is>
      </c>
      <c r="F201" s="7" t="n">
        <v>784</v>
      </c>
      <c r="G201" s="10" t="inlineStr">
        <is>
          <t>26072710001492JtIouWR</t>
        </is>
      </c>
      <c r="H201" s="39" t="inlineStr">
        <is>
          <t>P4N</t>
        </is>
      </c>
      <c r="I201" s="12" t="inlineStr">
        <is>
          <t>784-Jl. Soka No.203 Perum Jatibening RT.001 RW.006 Kel. Jatibening Kec. Pondok Gede Kota Bekasi</t>
        </is>
      </c>
      <c r="J201" s="37" t="n">
        <v>17412</v>
      </c>
      <c r="K201" s="40" t="inlineStr">
        <is>
          <t>Kota Bekasi</t>
        </is>
      </c>
      <c r="L201" s="7" t="inlineStr">
        <is>
          <t>2184998865</t>
        </is>
      </c>
      <c r="M201" s="14" t="n">
        <v>1</v>
      </c>
      <c r="N201" s="6" t="n"/>
      <c r="O201" s="15" t="n"/>
      <c r="P201" s="15" t="n"/>
      <c r="Q201" s="16" t="n"/>
      <c r="R201" s="15" t="n"/>
      <c r="S201" s="17" t="n"/>
      <c r="T201" s="15" t="n"/>
      <c r="U201" s="15" t="n"/>
      <c r="V201" s="15" t="n"/>
      <c r="W201" s="15" t="n"/>
    </row>
    <row r="202">
      <c r="A202" s="6" t="inlineStr">
        <is>
          <t>Klinik Utama Rawat Inap Prima Husada</t>
        </is>
      </c>
      <c r="B202" s="7" t="inlineStr">
        <is>
          <t>AWB02WJ0C</t>
        </is>
      </c>
      <c r="C202" s="7" t="n">
        <v>2.17</v>
      </c>
      <c r="D202" s="37" t="n">
        <v>0.009138</v>
      </c>
      <c r="E202" s="38" t="inlineStr">
        <is>
          <t>26072706094093claGJrOPv</t>
        </is>
      </c>
      <c r="F202" s="7" t="n">
        <v>355</v>
      </c>
      <c r="G202" s="10" t="inlineStr">
        <is>
          <t>26072706094093claGJrOPv</t>
        </is>
      </c>
      <c r="H202" s="39" t="inlineStr">
        <is>
          <t>P4N</t>
        </is>
      </c>
      <c r="I202" s="12" t="inlineStr">
        <is>
          <t>355-Jalan Cinere Raya Blok F1 No. 1 RT 01 RW 15, Kelurahan Cinere, Kecamatan Cinere, Kota Depok 16514</t>
        </is>
      </c>
      <c r="J202" s="37" t="n">
        <v>16514</v>
      </c>
      <c r="K202" s="40" t="inlineStr">
        <is>
          <t>Kota Depok</t>
        </is>
      </c>
      <c r="L202" s="7" t="inlineStr">
        <is>
          <t>6281381219328</t>
        </is>
      </c>
      <c r="M202" s="14" t="n">
        <v>1</v>
      </c>
      <c r="N202" s="6" t="n"/>
      <c r="O202" s="15" t="n"/>
      <c r="P202" s="15" t="n"/>
      <c r="Q202" s="16" t="n"/>
      <c r="R202" s="15" t="n"/>
      <c r="S202" s="17" t="n"/>
      <c r="T202" s="15" t="n"/>
      <c r="U202" s="15" t="n"/>
      <c r="V202" s="15" t="n"/>
      <c r="W202" s="15" t="n"/>
    </row>
    <row r="203">
      <c r="A203" s="6" t="inlineStr">
        <is>
          <t>Klinik Utama Rawat Jalan Esa Pemuda</t>
        </is>
      </c>
      <c r="B203" s="7" t="inlineStr">
        <is>
          <t>AWB02WM5H</t>
        </is>
      </c>
      <c r="C203" s="7" t="n">
        <v>4.72</v>
      </c>
      <c r="D203" s="37" t="n">
        <v>0.00506</v>
      </c>
      <c r="E203" s="38" t="inlineStr">
        <is>
          <t>26072803323613WkEOM8tgI</t>
        </is>
      </c>
      <c r="F203" s="7" t="n">
        <v>1273</v>
      </c>
      <c r="G203" s="10" t="inlineStr">
        <is>
          <t>26072803323613WkEOM8tgI</t>
        </is>
      </c>
      <c r="H203" s="39" t="inlineStr">
        <is>
          <t>P4N</t>
        </is>
      </c>
      <c r="I203" s="12" t="inlineStr">
        <is>
          <t>1273-Jalan Pemuda No.6 Kelurahan Depok Kecamatan Pancoran Mas Kota Depok 16431</t>
        </is>
      </c>
      <c r="J203" s="37" t="n">
        <v>16431</v>
      </c>
      <c r="K203" s="40" t="inlineStr">
        <is>
          <t>Kota Depok</t>
        </is>
      </c>
      <c r="L203" s="7" t="inlineStr">
        <is>
          <t>81311664778</t>
        </is>
      </c>
      <c r="M203" s="14" t="n">
        <v>1</v>
      </c>
      <c r="N203" s="6" t="n"/>
      <c r="O203" s="15" t="n"/>
      <c r="P203" s="15" t="n"/>
      <c r="Q203" s="16" t="n"/>
      <c r="R203" s="15" t="n"/>
      <c r="S203" s="17" t="n"/>
      <c r="T203" s="15" t="n"/>
      <c r="U203" s="15" t="n"/>
      <c r="V203" s="15" t="n"/>
      <c r="W203" s="15" t="n"/>
    </row>
    <row r="204">
      <c r="A204" s="6" t="inlineStr">
        <is>
          <t>Klinik Utama Saka Medika Sukamaju Cilodong</t>
        </is>
      </c>
      <c r="B204" s="7" t="inlineStr">
        <is>
          <t>AWB02W7M3</t>
        </is>
      </c>
      <c r="C204" s="7" t="n">
        <v>2.43</v>
      </c>
      <c r="D204" s="37" t="n">
        <v>0.005816</v>
      </c>
      <c r="E204" s="38" t="inlineStr">
        <is>
          <t>26072402204805FMqFOqqif</t>
        </is>
      </c>
      <c r="F204" s="7" t="n">
        <v>13719</v>
      </c>
      <c r="G204" s="10" t="inlineStr">
        <is>
          <t>26072402204805FMqFOqqif</t>
        </is>
      </c>
      <c r="H204" s="39" t="inlineStr">
        <is>
          <t>P4N</t>
        </is>
      </c>
      <c r="I204" s="12" t="inlineStr">
        <is>
          <t>13719-Jl. Tole Iskandar RT 005 RW 014, Desa/Kelurahan Sukamaju, Kec. Cilodong, Kota Depok</t>
        </is>
      </c>
      <c r="J204" s="37" t="n">
        <v>16415</v>
      </c>
      <c r="K204" s="40" t="inlineStr">
        <is>
          <t>Kota Depok</t>
        </is>
      </c>
      <c r="L204" s="7" t="inlineStr">
        <is>
          <t>6288224013983</t>
        </is>
      </c>
      <c r="M204" s="14" t="n">
        <v>1</v>
      </c>
      <c r="N204" s="6" t="n"/>
      <c r="O204" s="15" t="n"/>
      <c r="P204" s="15" t="n"/>
      <c r="Q204" s="16" t="n"/>
      <c r="R204" s="15" t="n"/>
      <c r="S204" s="17" t="n"/>
      <c r="T204" s="15" t="n"/>
      <c r="U204" s="15" t="n"/>
      <c r="V204" s="15" t="n"/>
      <c r="W204" s="15" t="n"/>
    </row>
    <row r="205">
      <c r="A205" s="6" t="n"/>
      <c r="B205" s="7" t="n"/>
      <c r="C205" s="7" t="n"/>
      <c r="D205" s="37" t="n"/>
      <c r="E205" s="38" t="n"/>
      <c r="F205" s="7" t="n"/>
      <c r="G205" s="10" t="n"/>
      <c r="H205" s="39" t="n"/>
      <c r="I205" s="12" t="n"/>
      <c r="J205" s="37" t="n"/>
      <c r="K205" s="40" t="n"/>
      <c r="L205" s="7" t="n"/>
      <c r="M205" s="14" t="n"/>
      <c r="N205" s="6" t="n"/>
      <c r="O205" s="15" t="n"/>
      <c r="P205" s="15" t="n"/>
      <c r="Q205" s="16" t="n"/>
      <c r="R205" s="15" t="n"/>
      <c r="S205" s="17" t="n"/>
      <c r="T205" s="15" t="n"/>
      <c r="U205" s="15" t="n"/>
      <c r="V205" s="15" t="n"/>
      <c r="W205" s="15" t="n"/>
    </row>
    <row r="206">
      <c r="A206" s="6" t="n"/>
      <c r="B206" s="7" t="n"/>
      <c r="C206" s="7" t="n"/>
      <c r="D206" s="37" t="n"/>
      <c r="E206" s="38" t="n"/>
      <c r="F206" s="7" t="n"/>
      <c r="G206" s="10" t="n"/>
      <c r="H206" s="39" t="n"/>
      <c r="I206" s="12" t="n"/>
      <c r="J206" s="37" t="n"/>
      <c r="K206" s="40" t="n"/>
      <c r="L206" s="7" t="n"/>
      <c r="M206" s="14" t="n"/>
      <c r="N206" s="6" t="n"/>
      <c r="O206" s="15" t="n"/>
      <c r="P206" s="15" t="n"/>
      <c r="Q206" s="16" t="n"/>
      <c r="R206" s="15" t="n"/>
      <c r="S206" s="17" t="n"/>
      <c r="T206" s="15" t="n"/>
      <c r="U206" s="15" t="n"/>
      <c r="V206" s="15" t="n"/>
      <c r="W206" s="15" t="n"/>
    </row>
    <row r="207">
      <c r="A207" s="6" t="n"/>
      <c r="B207" s="7" t="n"/>
      <c r="C207" s="7" t="n"/>
      <c r="D207" s="37" t="n"/>
      <c r="E207" s="38" t="n"/>
      <c r="F207" s="7" t="n"/>
      <c r="G207" s="10" t="n"/>
      <c r="H207" s="39" t="n"/>
      <c r="I207" s="12" t="n"/>
      <c r="J207" s="37" t="n"/>
      <c r="K207" s="40" t="n"/>
      <c r="L207" s="7" t="n"/>
      <c r="M207" s="14" t="n"/>
      <c r="N207" s="6" t="n"/>
      <c r="O207" s="15" t="n"/>
      <c r="P207" s="15" t="n"/>
      <c r="Q207" s="16" t="n"/>
      <c r="R207" s="15" t="n"/>
      <c r="S207" s="17" t="n"/>
      <c r="T207" s="15" t="n"/>
      <c r="U207" s="15" t="n"/>
      <c r="V207" s="15" t="n"/>
      <c r="W207" s="15" t="n"/>
    </row>
    <row r="208">
      <c r="A208" s="6" t="n"/>
      <c r="B208" s="7" t="n"/>
      <c r="C208" s="7" t="n"/>
      <c r="D208" s="37" t="n"/>
      <c r="E208" s="38" t="n"/>
      <c r="F208" s="7" t="n"/>
      <c r="G208" s="10" t="n"/>
      <c r="H208" s="39" t="n"/>
      <c r="I208" s="12" t="n"/>
      <c r="J208" s="37" t="n"/>
      <c r="K208" s="40" t="n"/>
      <c r="L208" s="7" t="n"/>
      <c r="M208" s="14" t="n"/>
      <c r="N208" s="6" t="n"/>
      <c r="O208" s="15" t="n"/>
      <c r="P208" s="15" t="n"/>
      <c r="Q208" s="16" t="n"/>
      <c r="R208" s="15" t="n"/>
      <c r="S208" s="17" t="n"/>
      <c r="T208" s="15" t="n"/>
      <c r="U208" s="15" t="n"/>
      <c r="V208" s="15" t="n"/>
      <c r="W208" s="15" t="n"/>
    </row>
    <row r="209">
      <c r="A209" s="6" t="n"/>
      <c r="B209" s="7" t="n"/>
      <c r="C209" s="7" t="n"/>
      <c r="D209" s="37" t="n"/>
      <c r="E209" s="38" t="n"/>
      <c r="F209" s="7" t="n"/>
      <c r="G209" s="10" t="n"/>
      <c r="H209" s="39" t="n"/>
      <c r="I209" s="12" t="n"/>
      <c r="J209" s="37" t="n"/>
      <c r="K209" s="40" t="n"/>
      <c r="L209" s="7" t="n"/>
      <c r="M209" s="14" t="n"/>
      <c r="N209" s="6" t="n"/>
      <c r="O209" s="15" t="n"/>
      <c r="P209" s="15" t="n"/>
      <c r="Q209" s="16" t="n"/>
      <c r="R209" s="15" t="n"/>
      <c r="S209" s="17" t="n"/>
      <c r="T209" s="15" t="n"/>
      <c r="U209" s="15" t="n"/>
      <c r="V209" s="15" t="n"/>
      <c r="W209" s="15" t="n"/>
    </row>
    <row r="210">
      <c r="A210" s="6" t="n"/>
      <c r="B210" s="7" t="n"/>
      <c r="C210" s="7" t="n"/>
      <c r="D210" s="37" t="n"/>
      <c r="E210" s="38" t="n"/>
      <c r="F210" s="7" t="n"/>
      <c r="G210" s="10" t="n"/>
      <c r="H210" s="39" t="n"/>
      <c r="I210" s="12" t="n"/>
      <c r="J210" s="37" t="n"/>
      <c r="K210" s="40" t="n"/>
      <c r="L210" s="7" t="n"/>
      <c r="M210" s="14" t="n"/>
      <c r="N210" s="6" t="n"/>
      <c r="O210" s="15" t="n"/>
      <c r="P210" s="15" t="n"/>
      <c r="Q210" s="16" t="n"/>
      <c r="R210" s="15" t="n"/>
      <c r="S210" s="17" t="n"/>
      <c r="T210" s="15" t="n"/>
      <c r="U210" s="15" t="n"/>
      <c r="V210" s="15" t="n"/>
      <c r="W210" s="15" t="n"/>
    </row>
    <row r="211">
      <c r="A211" s="6" t="n"/>
      <c r="B211" s="7" t="n"/>
      <c r="C211" s="7" t="n"/>
      <c r="D211" s="37" t="n"/>
      <c r="E211" s="38" t="n"/>
      <c r="F211" s="7" t="n"/>
      <c r="G211" s="10" t="n"/>
      <c r="H211" s="39" t="n"/>
      <c r="I211" s="12" t="n"/>
      <c r="J211" s="37" t="n"/>
      <c r="K211" s="40" t="n"/>
      <c r="L211" s="7" t="n"/>
      <c r="M211" s="14" t="n"/>
      <c r="N211" s="6" t="n"/>
      <c r="O211" s="15" t="n"/>
      <c r="P211" s="15" t="n"/>
      <c r="Q211" s="16" t="n"/>
      <c r="R211" s="15" t="n"/>
      <c r="S211" s="17" t="n"/>
      <c r="T211" s="15" t="n"/>
      <c r="U211" s="15" t="n"/>
      <c r="V211" s="15" t="n"/>
      <c r="W211" s="1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1601"/>
  <sheetViews>
    <sheetView workbookViewId="0">
      <pane ySplit="1" topLeftCell="A2" activePane="bottomLeft" state="frozen"/>
      <selection activeCell="A1" sqref="A1"/>
      <selection pane="bottomLeft" activeCell="F6" sqref="A6 F6"/>
    </sheetView>
  </sheetViews>
  <sheetFormatPr baseColWidth="8" defaultColWidth="9" defaultRowHeight="15"/>
  <cols>
    <col width="26" customWidth="1" min="1" max="1"/>
    <col width="14" customWidth="1" min="2" max="2"/>
    <col width="18" customWidth="1" min="3" max="3"/>
    <col width="16" customWidth="1" min="4" max="4"/>
    <col width="12" customWidth="1" min="5" max="5"/>
    <col width="30" customWidth="1" min="6" max="6"/>
    <col width="14" customWidth="1" min="7" max="7"/>
    <col width="34" customWidth="1" min="8" max="8"/>
    <col width="8" customWidth="1" min="9" max="9"/>
    <col width="26" customWidth="1" min="10" max="10"/>
    <col width="14" customWidth="1" min="11" max="11"/>
    <col width="40" customWidth="1" min="12" max="12"/>
    <col width="10" customWidth="1" min="13" max="13"/>
    <col width="14" customWidth="1" min="14" max="14"/>
    <col width="20" customWidth="1" min="15" max="15"/>
    <col width="14" customWidth="1" min="16" max="16"/>
    <col width="12" customWidth="1" min="17" max="17"/>
    <col width="60" customWidth="1" min="18" max="18"/>
    <col width="14" customWidth="1" min="19" max="19"/>
    <col width="10" customWidth="1" min="20" max="21"/>
    <col width="14" customWidth="1" min="22" max="22"/>
    <col width="10" customWidth="1" min="23" max="23"/>
    <col width="12" customWidth="1" min="24" max="24"/>
    <col width="46" customWidth="1" min="25" max="25"/>
    <col width="12" customWidth="1" min="26" max="26"/>
    <col width="10" customWidth="1" min="27" max="27"/>
    <col width="12" customWidth="1" min="28" max="28"/>
    <col width="52" customWidth="1" min="29" max="29"/>
    <col width="10" customWidth="1" min="30" max="31"/>
    <col hidden="1" width="11" customWidth="1" min="33" max="33"/>
    <col hidden="1" width="13" customWidth="1" min="34" max="34"/>
    <col hidden="1" width="11" customWidth="1" min="35" max="42"/>
    <col width="20" customWidth="1" min="43" max="43"/>
  </cols>
  <sheetData>
    <row r="1" ht="42" customHeight="1">
      <c r="A1" s="2" t="inlineStr">
        <is>
          <t>requested_tracking_number</t>
        </is>
      </c>
      <c r="B1" s="2" t="inlineStr">
        <is>
          <t>global_shipper_id</t>
        </is>
      </c>
      <c r="C1" s="2" t="inlineStr">
        <is>
          <t>service_type</t>
        </is>
      </c>
      <c r="D1" s="2" t="inlineStr">
        <is>
          <t>reference.merchant_order_number</t>
        </is>
      </c>
      <c r="E1" s="2" t="inlineStr">
        <is>
          <t>service_level</t>
        </is>
      </c>
      <c r="F1" s="2" t="inlineStr">
        <is>
          <t>from.name</t>
        </is>
      </c>
      <c r="G1" s="2" t="inlineStr">
        <is>
          <t>from.phone_number</t>
        </is>
      </c>
      <c r="H1" s="2" t="inlineStr">
        <is>
          <t>from.address.address1</t>
        </is>
      </c>
      <c r="I1" s="2" t="inlineStr">
        <is>
          <t>from.address.country</t>
        </is>
      </c>
      <c r="J1" s="2" t="inlineStr">
        <is>
          <t>to.name</t>
        </is>
      </c>
      <c r="K1" s="2" t="inlineStr">
        <is>
          <t>to.phone_number</t>
        </is>
      </c>
      <c r="L1" s="2" t="inlineStr">
        <is>
          <t>to.address.address1</t>
        </is>
      </c>
      <c r="M1" s="2" t="inlineStr">
        <is>
          <t>to.address.country</t>
        </is>
      </c>
      <c r="N1" s="2" t="inlineStr">
        <is>
          <t>to.address.kecamatan</t>
        </is>
      </c>
      <c r="O1" s="2" t="inlineStr">
        <is>
          <t>to.address.city</t>
        </is>
      </c>
      <c r="P1" s="2" t="inlineStr">
        <is>
          <t>to.address.province</t>
        </is>
      </c>
      <c r="Q1" s="2" t="inlineStr">
        <is>
          <t>to.address.postcode</t>
        </is>
      </c>
      <c r="R1" s="2" t="inlineStr">
        <is>
          <t>parcel_job.delivery_instructions</t>
        </is>
      </c>
      <c r="S1" s="2" t="inlineStr">
        <is>
          <t>parcel_job.delivery_start_date</t>
        </is>
      </c>
      <c r="T1" s="2" t="inlineStr">
        <is>
          <t>parcel_job.delivery_timeslot.start_time</t>
        </is>
      </c>
      <c r="U1" s="2" t="inlineStr">
        <is>
          <t>parcel_job.delivery_timeslot.end_time</t>
        </is>
      </c>
      <c r="V1" s="2" t="inlineStr">
        <is>
          <t>parcel_job.delivery_timeslot.timezone</t>
        </is>
      </c>
      <c r="W1" s="2" t="inlineStr">
        <is>
          <t>parcel_job.dimensions.weight</t>
        </is>
      </c>
      <c r="X1" s="2" t="inlineStr">
        <is>
          <t>parcel_job.is_pickup_required</t>
        </is>
      </c>
      <c r="Y1" s="2" t="inlineStr">
        <is>
          <t>parcel_job.items.0.item_description</t>
        </is>
      </c>
      <c r="Z1" s="2" t="inlineStr">
        <is>
          <t>parcel_job.items.0.is_dangerous_good</t>
        </is>
      </c>
      <c r="AA1" s="2" t="inlineStr">
        <is>
          <t>b2b.documents_required</t>
        </is>
      </c>
      <c r="AB1" s="2" t="inlineStr">
        <is>
          <t>bundle_information.total_quantity</t>
        </is>
      </c>
      <c r="AC1" s="2" t="inlineStr">
        <is>
          <t>bundle_information.requested_piece_tracking_numbers</t>
        </is>
      </c>
      <c r="AD1" s="2" t="inlineStr">
        <is>
          <t>parcel_job.insured_value</t>
        </is>
      </c>
      <c r="AE1" s="2" t="inlineStr">
        <is>
          <t>corporate.branch_id</t>
        </is>
      </c>
      <c r="AQ1" s="3" t="inlineStr">
        <is>
          <t>CEK (jangan upload)</t>
        </is>
      </c>
    </row>
    <row r="2" ht="60" customHeight="1">
      <c r="A2">
        <f>IF($AG2="","",INDEX('TMP Paste'!$B$2:$B$1601,$AG2))</f>
        <v/>
      </c>
      <c r="B2">
        <f>IF($AG2="","",Config!$B$14)</f>
        <v/>
      </c>
      <c r="C2">
        <f>IF($AG2="","",Config!$B$15)</f>
        <v/>
      </c>
      <c r="D2">
        <f>IF($AG2="","",INDEX('TMP Paste'!$B$2:$B$1601,$AG2))</f>
        <v/>
      </c>
      <c r="E2">
        <f>IF($AG2="","",Config!$B$27)</f>
        <v/>
      </c>
      <c r="F2">
        <f>IF($AG2="","",Config!$B$9)</f>
        <v/>
      </c>
      <c r="G2">
        <f>IF($AG2="","",Config!$B$10)</f>
        <v/>
      </c>
      <c r="H2">
        <f>IF($AG2="","",Config!$B$11)</f>
        <v/>
      </c>
      <c r="I2">
        <f>IF($AG2="","",Config!$B$16)</f>
        <v/>
      </c>
      <c r="J2">
        <f>IF($AG2="","",INDEX('TMP Paste'!$A$2:$A$1601,$AG2))</f>
        <v/>
      </c>
      <c r="K2">
        <f>IF($AG2="","",INDEX('TMP Paste'!$L$2:$L$1601,$AG2))</f>
        <v/>
      </c>
      <c r="L2">
        <f>IF($AG2="","",INDEX('TMP Paste'!$I$2:$I$1601,$AG2))</f>
        <v/>
      </c>
      <c r="M2">
        <f>IF($AG2="","",Config!$B$16)</f>
        <v/>
      </c>
      <c r="N2">
        <f>IF($AG2="","","")</f>
        <v/>
      </c>
      <c r="O2">
        <f>IF($AG2="","",INDEX('TMP Paste'!$K$2:$K$1601,$AG2))</f>
        <v/>
      </c>
      <c r="P2">
        <f>IF($AG2="","","")</f>
        <v/>
      </c>
      <c r="Q2">
        <f>IF($AG2="","",INDEX('TMP Paste'!$J$2:$J$1601,$AG2))</f>
        <v/>
      </c>
      <c r="R2">
        <f>IF($AG2="","",Config!$B$24)</f>
        <v/>
      </c>
      <c r="S2">
        <f>IF($AG2="","",TEXT(Config!$B$4,"yyyy-mm-dd"))</f>
        <v/>
      </c>
      <c r="T2">
        <f>IF($AG2="","",Config!$B$17)</f>
        <v/>
      </c>
      <c r="U2">
        <f>IF($AG2="","",Config!$B$18)</f>
        <v/>
      </c>
      <c r="V2">
        <f>IF($AG2="","",Config!$B$19)</f>
        <v/>
      </c>
      <c r="W2">
        <f>IF($AG2="","",INDEX('TMP Paste'!$C$2:$C$1601,$AG2))</f>
        <v/>
      </c>
      <c r="X2">
        <f>IF($AG2="","",Config!$B$29)</f>
        <v/>
      </c>
      <c r="Y2">
        <f>IF($AH2="","",INDEX(Calc!$I$2:$I$1601,$AH2)&amp;" - "&amp;INDEX(Calc!$D$2:$D$1601,$AH2)&amp;" koli")</f>
        <v/>
      </c>
      <c r="Z2">
        <f>IF($AG2="","",Config!$B$21)</f>
        <v/>
      </c>
      <c r="AA2">
        <f>IF($AG2="","",Config!$B$22)</f>
        <v/>
      </c>
      <c r="AB2">
        <f>IF($AH2="","",INDEX(Calc!$D$2:$D$1601,$AH2))</f>
        <v/>
      </c>
      <c r="AC2" s="4">
        <f>IF($AH2="","",INDEX(Calc!$G$2:$G$1601,$AH2))</f>
        <v/>
      </c>
      <c r="AD2">
        <f>IF($AG2="","",Config!$B$23)</f>
        <v/>
      </c>
      <c r="AE2">
        <f>IF($AG2="","",Config!$B$28)</f>
        <v/>
      </c>
      <c r="AG2">
        <f>IFERROR(MATCH(ROW()-1,Calc!$J$2:$J$1601,0),"")</f>
        <v/>
      </c>
      <c r="AH2">
        <f>IFERROR(MATCH(ROW()-1,Calc!$K$2:$K$1601,0),"")</f>
        <v/>
      </c>
      <c r="AI2">
        <f>IF($AG2="","",SUMIF($AG$2:$AG2,$AG2,$AH$2:$AH2))</f>
        <v/>
      </c>
      <c r="AJ2">
        <f>IF('TMP Paste'!$F2="","",IF('TMP Paste'!$B2="",$AJ1,'TMP Paste'!$B2))</f>
        <v/>
      </c>
      <c r="AK2">
        <f>IF('TMP Paste'!$F2="","",N('TMP Paste'!$G2))</f>
        <v/>
      </c>
      <c r="AL2">
        <f>IF('TMP Paste'!$F2="","",IF('TMP Paste'!$M2="",$AL1,'TMP Paste'!$M2))</f>
        <v/>
      </c>
      <c r="AM2">
        <f>IF('TMP Paste'!$F2="","",IF('TMP Paste'!$N2="",$AM1,'TMP Paste'!$N2))</f>
        <v/>
      </c>
      <c r="AN2">
        <f>IF('TMP Paste'!$F2="","",IF('TMP Paste'!$O2="",$AN1,'TMP Paste'!$O2))</f>
        <v/>
      </c>
      <c r="AO2">
        <f>IF('TMP Paste'!$F2="","",IF('TMP Paste'!$P2="",$AO1,'TMP Paste'!$P2))</f>
        <v/>
      </c>
      <c r="AP2">
        <f>IF($AG2="","",LEN($R2))</f>
        <v/>
      </c>
      <c r="AQ2">
        <f>IF($AG2="","",TRIM(IF(COUNTIFS(Calc!$B$2:$B$1601,ROW()-1,Calc!$C$2:$C$1601,"&lt;1")&gt;0,"Ada PO tanpa Koli - cek TMP. ","")&amp;IF(LEN($R2)&gt;500,"R &gt; 500 karakter.","")))</f>
        <v/>
      </c>
    </row>
    <row r="3">
      <c r="A3">
        <f>IF($AG3="","",INDEX('TMP Paste'!$B$2:$B$1601,$AG3))</f>
        <v/>
      </c>
      <c r="B3">
        <f>IF($AG3="","",Config!$B$14)</f>
        <v/>
      </c>
      <c r="C3">
        <f>IF($AG3="","",Config!$B$15)</f>
        <v/>
      </c>
      <c r="D3">
        <f>IF($AG3="","",INDEX('TMP Paste'!$B$2:$B$1601,$AG3))</f>
        <v/>
      </c>
      <c r="E3">
        <f>IF($AG3="","",Config!$B$27)</f>
        <v/>
      </c>
      <c r="F3">
        <f>IF($AG3="","",Config!$B$9)</f>
        <v/>
      </c>
      <c r="G3">
        <f>IF($AG3="","",Config!$B$10)</f>
        <v/>
      </c>
      <c r="H3">
        <f>IF($AG3="","",Config!$B$11)</f>
        <v/>
      </c>
      <c r="I3">
        <f>IF($AG3="","",Config!$B$16)</f>
        <v/>
      </c>
      <c r="J3">
        <f>IF($AG3="","",INDEX('TMP Paste'!$A$2:$A$1601,$AG3))</f>
        <v/>
      </c>
      <c r="K3">
        <f>IF($AG3="","",INDEX('TMP Paste'!$L$2:$L$1601,$AG3))</f>
        <v/>
      </c>
      <c r="L3">
        <f>IF($AG3="","",INDEX('TMP Paste'!$I$2:$I$1601,$AG3))</f>
        <v/>
      </c>
      <c r="M3">
        <f>IF($AG3="","",Config!$B$16)</f>
        <v/>
      </c>
      <c r="N3">
        <f>IF($AG3="","","")</f>
        <v/>
      </c>
      <c r="O3">
        <f>IF($AG3="","",INDEX('TMP Paste'!$K$2:$K$1601,$AG3))</f>
        <v/>
      </c>
      <c r="P3">
        <f>IF($AG3="","","")</f>
        <v/>
      </c>
      <c r="Q3">
        <f>IF($AG3="","",INDEX('TMP Paste'!$J$2:$J$1601,$AG3))</f>
        <v/>
      </c>
      <c r="R3">
        <f>IF($AG3="","",Config!$B$24)</f>
        <v/>
      </c>
      <c r="S3">
        <f>IF($AG3="","",TEXT(Config!$B$4,"yyyy-mm-dd"))</f>
        <v/>
      </c>
      <c r="T3">
        <f>IF($AG3="","",Config!$B$17)</f>
        <v/>
      </c>
      <c r="U3">
        <f>IF($AG3="","",Config!$B$18)</f>
        <v/>
      </c>
      <c r="V3">
        <f>IF($AG3="","",Config!$B$19)</f>
        <v/>
      </c>
      <c r="W3">
        <f>IF($AG3="","",INDEX('TMP Paste'!$C$2:$C$1601,$AG3))</f>
        <v/>
      </c>
      <c r="X3">
        <f>IF($AG3="","",Config!$B$29)</f>
        <v/>
      </c>
      <c r="Y3">
        <f>IF($AH3="","",INDEX(Calc!$I$2:$I$1601,$AH3)&amp;" - "&amp;INDEX(Calc!$D$2:$D$1601,$AH3)&amp;" koli")</f>
        <v/>
      </c>
      <c r="Z3">
        <f>IF($AG3="","",Config!$B$21)</f>
        <v/>
      </c>
      <c r="AA3">
        <f>IF($AG3="","",Config!$B$22)</f>
        <v/>
      </c>
      <c r="AB3">
        <f>IF($AH3="","",INDEX(Calc!$D$2:$D$1601,$AH3))</f>
        <v/>
      </c>
      <c r="AC3">
        <f>IF($AH3="","",INDEX(Calc!$G$2:$G$1601,$AH3))</f>
        <v/>
      </c>
      <c r="AD3">
        <f>IF($AG3="","",Config!$B$23)</f>
        <v/>
      </c>
      <c r="AE3">
        <f>IF($AG3="","",Config!$B$28)</f>
        <v/>
      </c>
      <c r="AG3">
        <f>IFERROR(MATCH(ROW()-1,Calc!$J$2:$J$1601,0),"")</f>
        <v/>
      </c>
      <c r="AH3">
        <f>IFERROR(MATCH(ROW()-1,Calc!$K$2:$K$1601,0),"")</f>
        <v/>
      </c>
      <c r="AI3">
        <f>IF($AG3="","",SUMIF($AG$2:$AG3,$AG3,$AH$2:$AH3))</f>
        <v/>
      </c>
      <c r="AJ3">
        <f>IF('TMP Paste'!$F3="","",IF('TMP Paste'!$B3="",$AJ2,'TMP Paste'!$B3))</f>
        <v/>
      </c>
      <c r="AK3">
        <f>IF('TMP Paste'!$F3="","",N('TMP Paste'!$G3))</f>
        <v/>
      </c>
      <c r="AL3">
        <f>IF('TMP Paste'!$F3="","",IF('TMP Paste'!$M3="",$AL2,'TMP Paste'!$M3))</f>
        <v/>
      </c>
      <c r="AM3">
        <f>IF('TMP Paste'!$F3="","",IF('TMP Paste'!$N3="",$AM2,'TMP Paste'!$N3))</f>
        <v/>
      </c>
      <c r="AN3">
        <f>IF('TMP Paste'!$F3="","",IF('TMP Paste'!$O3="",$AN2,'TMP Paste'!$O3))</f>
        <v/>
      </c>
      <c r="AO3">
        <f>IF('TMP Paste'!$F3="","",IF('TMP Paste'!$P3="",$AO2,'TMP Paste'!$P3))</f>
        <v/>
      </c>
      <c r="AP3">
        <f>IF($AG3="","",LEN($R3))</f>
        <v/>
      </c>
      <c r="AQ3">
        <f>IF($AG3="","",TRIM(IF(COUNTIFS(Calc!$B$2:$B$1601,ROW()-1,Calc!$C$2:$C$1601,"&lt;1")&gt;0,"Ada PO tanpa Koli - cek TMP. ","")&amp;IF(LEN($R3)&gt;500,"R &gt; 500 karakter.","")))</f>
        <v/>
      </c>
    </row>
    <row r="4">
      <c r="A4">
        <f>IF($AG4="","",INDEX('TMP Paste'!$B$2:$B$1601,$AG4))</f>
        <v/>
      </c>
      <c r="B4">
        <f>IF($AG4="","",Config!$B$14)</f>
        <v/>
      </c>
      <c r="C4">
        <f>IF($AG4="","",Config!$B$15)</f>
        <v/>
      </c>
      <c r="D4">
        <f>IF($AG4="","",INDEX('TMP Paste'!$B$2:$B$1601,$AG4))</f>
        <v/>
      </c>
      <c r="E4">
        <f>IF($AG4="","",Config!$B$27)</f>
        <v/>
      </c>
      <c r="F4">
        <f>IF($AG4="","",Config!$B$9)</f>
        <v/>
      </c>
      <c r="G4">
        <f>IF($AG4="","",Config!$B$10)</f>
        <v/>
      </c>
      <c r="H4">
        <f>IF($AG4="","",Config!$B$11)</f>
        <v/>
      </c>
      <c r="I4">
        <f>IF($AG4="","",Config!$B$16)</f>
        <v/>
      </c>
      <c r="J4">
        <f>IF($AG4="","",INDEX('TMP Paste'!$A$2:$A$1601,$AG4))</f>
        <v/>
      </c>
      <c r="K4">
        <f>IF($AG4="","",INDEX('TMP Paste'!$L$2:$L$1601,$AG4))</f>
        <v/>
      </c>
      <c r="L4">
        <f>IF($AG4="","",INDEX('TMP Paste'!$I$2:$I$1601,$AG4))</f>
        <v/>
      </c>
      <c r="M4">
        <f>IF($AG4="","",Config!$B$16)</f>
        <v/>
      </c>
      <c r="N4">
        <f>IF($AG4="","","")</f>
        <v/>
      </c>
      <c r="O4">
        <f>IF($AG4="","",INDEX('TMP Paste'!$K$2:$K$1601,$AG4))</f>
        <v/>
      </c>
      <c r="P4">
        <f>IF($AG4="","","")</f>
        <v/>
      </c>
      <c r="Q4">
        <f>IF($AG4="","",INDEX('TMP Paste'!$J$2:$J$1601,$AG4))</f>
        <v/>
      </c>
      <c r="R4">
        <f>IF($AG4="","",Config!$B$24)</f>
        <v/>
      </c>
      <c r="S4">
        <f>IF($AG4="","",TEXT(Config!$B$4,"yyyy-mm-dd"))</f>
        <v/>
      </c>
      <c r="T4">
        <f>IF($AG4="","",Config!$B$17)</f>
        <v/>
      </c>
      <c r="U4">
        <f>IF($AG4="","",Config!$B$18)</f>
        <v/>
      </c>
      <c r="V4">
        <f>IF($AG4="","",Config!$B$19)</f>
        <v/>
      </c>
      <c r="W4">
        <f>IF($AG4="","",INDEX('TMP Paste'!$C$2:$C$1601,$AG4))</f>
        <v/>
      </c>
      <c r="X4">
        <f>IF($AG4="","",Config!$B$29)</f>
        <v/>
      </c>
      <c r="Y4">
        <f>IF($AH4="","",INDEX(Calc!$I$2:$I$1601,$AH4)&amp;" - "&amp;INDEX(Calc!$D$2:$D$1601,$AH4)&amp;" koli")</f>
        <v/>
      </c>
      <c r="Z4">
        <f>IF($AG4="","",Config!$B$21)</f>
        <v/>
      </c>
      <c r="AA4">
        <f>IF($AG4="","",Config!$B$22)</f>
        <v/>
      </c>
      <c r="AB4">
        <f>IF($AH4="","",INDEX(Calc!$D$2:$D$1601,$AH4))</f>
        <v/>
      </c>
      <c r="AC4">
        <f>IF($AH4="","",INDEX(Calc!$G$2:$G$1601,$AH4))</f>
        <v/>
      </c>
      <c r="AD4">
        <f>IF($AG4="","",Config!$B$23)</f>
        <v/>
      </c>
      <c r="AE4">
        <f>IF($AG4="","",Config!$B$28)</f>
        <v/>
      </c>
      <c r="AG4">
        <f>IFERROR(MATCH(ROW()-1,Calc!$J$2:$J$1601,0),"")</f>
        <v/>
      </c>
      <c r="AH4">
        <f>IFERROR(MATCH(ROW()-1,Calc!$K$2:$K$1601,0),"")</f>
        <v/>
      </c>
      <c r="AI4">
        <f>IF($AG4="","",SUMIF($AG$2:$AG4,$AG4,$AH$2:$AH4))</f>
        <v/>
      </c>
      <c r="AJ4">
        <f>IF('TMP Paste'!$F4="","",IF('TMP Paste'!$B4="",$AJ3,'TMP Paste'!$B4))</f>
        <v/>
      </c>
      <c r="AK4">
        <f>IF('TMP Paste'!$F4="","",N('TMP Paste'!$G4))</f>
        <v/>
      </c>
      <c r="AL4">
        <f>IF('TMP Paste'!$F4="","",IF('TMP Paste'!$M4="",$AL3,'TMP Paste'!$M4))</f>
        <v/>
      </c>
      <c r="AM4">
        <f>IF('TMP Paste'!$F4="","",IF('TMP Paste'!$N4="",$AM3,'TMP Paste'!$N4))</f>
        <v/>
      </c>
      <c r="AN4">
        <f>IF('TMP Paste'!$F4="","",IF('TMP Paste'!$O4="",$AN3,'TMP Paste'!$O4))</f>
        <v/>
      </c>
      <c r="AO4">
        <f>IF('TMP Paste'!$F4="","",IF('TMP Paste'!$P4="",$AO3,'TMP Paste'!$P4))</f>
        <v/>
      </c>
      <c r="AP4">
        <f>IF($AG4="","",LEN($R4))</f>
        <v/>
      </c>
      <c r="AQ4">
        <f>IF($AG4="","",TRIM(IF(COUNTIFS(Calc!$B$2:$B$1601,ROW()-1,Calc!$C$2:$C$1601,"&lt;1")&gt;0,"Ada PO tanpa Koli - cek TMP. ","")&amp;IF(LEN($R4)&gt;500,"R &gt; 500 karakter.","")))</f>
        <v/>
      </c>
    </row>
    <row r="5">
      <c r="A5">
        <f>IF($AG5="","",INDEX('TMP Paste'!$B$2:$B$1601,$AG5))</f>
        <v/>
      </c>
      <c r="B5">
        <f>IF($AG5="","",Config!$B$14)</f>
        <v/>
      </c>
      <c r="C5">
        <f>IF($AG5="","",Config!$B$15)</f>
        <v/>
      </c>
      <c r="D5">
        <f>IF($AG5="","",INDEX('TMP Paste'!$B$2:$B$1601,$AG5))</f>
        <v/>
      </c>
      <c r="E5">
        <f>IF($AG5="","",Config!$B$27)</f>
        <v/>
      </c>
      <c r="F5">
        <f>IF($AG5="","",Config!$B$9)</f>
        <v/>
      </c>
      <c r="G5">
        <f>IF($AG5="","",Config!$B$10)</f>
        <v/>
      </c>
      <c r="H5">
        <f>IF($AG5="","",Config!$B$11)</f>
        <v/>
      </c>
      <c r="I5">
        <f>IF($AG5="","",Config!$B$16)</f>
        <v/>
      </c>
      <c r="J5">
        <f>IF($AG5="","",INDEX('TMP Paste'!$A$2:$A$1601,$AG5))</f>
        <v/>
      </c>
      <c r="K5">
        <f>IF($AG5="","",INDEX('TMP Paste'!$L$2:$L$1601,$AG5))</f>
        <v/>
      </c>
      <c r="L5">
        <f>IF($AG5="","",INDEX('TMP Paste'!$I$2:$I$1601,$AG5))</f>
        <v/>
      </c>
      <c r="M5">
        <f>IF($AG5="","",Config!$B$16)</f>
        <v/>
      </c>
      <c r="N5">
        <f>IF($AG5="","","")</f>
        <v/>
      </c>
      <c r="O5">
        <f>IF($AG5="","",INDEX('TMP Paste'!$K$2:$K$1601,$AG5))</f>
        <v/>
      </c>
      <c r="P5">
        <f>IF($AG5="","","")</f>
        <v/>
      </c>
      <c r="Q5">
        <f>IF($AG5="","",INDEX('TMP Paste'!$J$2:$J$1601,$AG5))</f>
        <v/>
      </c>
      <c r="R5">
        <f>IF($AG5="","",Config!$B$24)</f>
        <v/>
      </c>
      <c r="S5">
        <f>IF($AG5="","",TEXT(Config!$B$4,"yyyy-mm-dd"))</f>
        <v/>
      </c>
      <c r="T5">
        <f>IF($AG5="","",Config!$B$17)</f>
        <v/>
      </c>
      <c r="U5">
        <f>IF($AG5="","",Config!$B$18)</f>
        <v/>
      </c>
      <c r="V5">
        <f>IF($AG5="","",Config!$B$19)</f>
        <v/>
      </c>
      <c r="W5">
        <f>IF($AG5="","",INDEX('TMP Paste'!$C$2:$C$1601,$AG5))</f>
        <v/>
      </c>
      <c r="X5">
        <f>IF($AG5="","",Config!$B$29)</f>
        <v/>
      </c>
      <c r="Y5">
        <f>IF($AH5="","",INDEX(Calc!$I$2:$I$1601,$AH5)&amp;" - "&amp;INDEX(Calc!$D$2:$D$1601,$AH5)&amp;" koli")</f>
        <v/>
      </c>
      <c r="Z5">
        <f>IF($AG5="","",Config!$B$21)</f>
        <v/>
      </c>
      <c r="AA5">
        <f>IF($AG5="","",Config!$B$22)</f>
        <v/>
      </c>
      <c r="AB5">
        <f>IF($AH5="","",INDEX(Calc!$D$2:$D$1601,$AH5))</f>
        <v/>
      </c>
      <c r="AC5">
        <f>IF($AH5="","",INDEX(Calc!$G$2:$G$1601,$AH5))</f>
        <v/>
      </c>
      <c r="AD5">
        <f>IF($AG5="","",Config!$B$23)</f>
        <v/>
      </c>
      <c r="AE5">
        <f>IF($AG5="","",Config!$B$28)</f>
        <v/>
      </c>
      <c r="AG5">
        <f>IFERROR(MATCH(ROW()-1,Calc!$J$2:$J$1601,0),"")</f>
        <v/>
      </c>
      <c r="AH5">
        <f>IFERROR(MATCH(ROW()-1,Calc!$K$2:$K$1601,0),"")</f>
        <v/>
      </c>
      <c r="AI5">
        <f>IF($AG5="","",SUMIF($AG$2:$AG5,$AG5,$AH$2:$AH5))</f>
        <v/>
      </c>
      <c r="AJ5">
        <f>IF('TMP Paste'!$F5="","",IF('TMP Paste'!$B5="",$AJ4,'TMP Paste'!$B5))</f>
        <v/>
      </c>
      <c r="AK5">
        <f>IF('TMP Paste'!$F5="","",N('TMP Paste'!$G5))</f>
        <v/>
      </c>
      <c r="AL5">
        <f>IF('TMP Paste'!$F5="","",IF('TMP Paste'!$M5="",$AL4,'TMP Paste'!$M5))</f>
        <v/>
      </c>
      <c r="AM5">
        <f>IF('TMP Paste'!$F5="","",IF('TMP Paste'!$N5="",$AM4,'TMP Paste'!$N5))</f>
        <v/>
      </c>
      <c r="AN5">
        <f>IF('TMP Paste'!$F5="","",IF('TMP Paste'!$O5="",$AN4,'TMP Paste'!$O5))</f>
        <v/>
      </c>
      <c r="AO5">
        <f>IF('TMP Paste'!$F5="","",IF('TMP Paste'!$P5="",$AO4,'TMP Paste'!$P5))</f>
        <v/>
      </c>
      <c r="AP5">
        <f>IF($AG5="","",LEN($R5))</f>
        <v/>
      </c>
      <c r="AQ5">
        <f>IF($AG5="","",TRIM(IF(COUNTIFS(Calc!$B$2:$B$1601,ROW()-1,Calc!$C$2:$C$1601,"&lt;1")&gt;0,"Ada PO tanpa Koli - cek TMP. ","")&amp;IF(LEN($R5)&gt;500,"R &gt; 500 karakter.","")))</f>
        <v/>
      </c>
    </row>
    <row r="6">
      <c r="A6">
        <f>IF($AG6="","",INDEX('TMP Paste'!$B$2:$B$1601,$AG6))</f>
        <v/>
      </c>
      <c r="B6">
        <f>IF($AG6="","",Config!$B$14)</f>
        <v/>
      </c>
      <c r="C6">
        <f>IF($AG6="","",Config!$B$15)</f>
        <v/>
      </c>
      <c r="D6">
        <f>IF($AG6="","",INDEX('TMP Paste'!$B$2:$B$1601,$AG6))</f>
        <v/>
      </c>
      <c r="E6">
        <f>IF($AG6="","",Config!$B$27)</f>
        <v/>
      </c>
      <c r="F6">
        <f>IF($AG6="","",Config!$B$9)</f>
        <v/>
      </c>
      <c r="G6">
        <f>IF($AG6="","",Config!$B$10)</f>
        <v/>
      </c>
      <c r="H6">
        <f>IF($AG6="","",Config!$B$11)</f>
        <v/>
      </c>
      <c r="I6">
        <f>IF($AG6="","",Config!$B$16)</f>
        <v/>
      </c>
      <c r="J6">
        <f>IF($AG6="","",INDEX('TMP Paste'!$A$2:$A$1601,$AG6))</f>
        <v/>
      </c>
      <c r="K6">
        <f>IF($AG6="","",INDEX('TMP Paste'!$L$2:$L$1601,$AG6))</f>
        <v/>
      </c>
      <c r="L6">
        <f>IF($AG6="","",INDEX('TMP Paste'!$I$2:$I$1601,$AG6))</f>
        <v/>
      </c>
      <c r="M6">
        <f>IF($AG6="","",Config!$B$16)</f>
        <v/>
      </c>
      <c r="N6">
        <f>IF($AG6="","","")</f>
        <v/>
      </c>
      <c r="O6">
        <f>IF($AG6="","",INDEX('TMP Paste'!$K$2:$K$1601,$AG6))</f>
        <v/>
      </c>
      <c r="P6">
        <f>IF($AG6="","","")</f>
        <v/>
      </c>
      <c r="Q6">
        <f>IF($AG6="","",INDEX('TMP Paste'!$J$2:$J$1601,$AG6))</f>
        <v/>
      </c>
      <c r="R6">
        <f>IF($AG6="","",Config!$B$24)</f>
        <v/>
      </c>
      <c r="S6">
        <f>IF($AG6="","",TEXT(Config!$B$4,"yyyy-mm-dd"))</f>
        <v/>
      </c>
      <c r="T6">
        <f>IF($AG6="","",Config!$B$17)</f>
        <v/>
      </c>
      <c r="U6">
        <f>IF($AG6="","",Config!$B$18)</f>
        <v/>
      </c>
      <c r="V6">
        <f>IF($AG6="","",Config!$B$19)</f>
        <v/>
      </c>
      <c r="W6">
        <f>IF($AG6="","",INDEX('TMP Paste'!$C$2:$C$1601,$AG6))</f>
        <v/>
      </c>
      <c r="X6">
        <f>IF($AG6="","",Config!$B$29)</f>
        <v/>
      </c>
      <c r="Y6">
        <f>IF($AH6="","",INDEX(Calc!$I$2:$I$1601,$AH6)&amp;" - "&amp;INDEX(Calc!$D$2:$D$1601,$AH6)&amp;" koli")</f>
        <v/>
      </c>
      <c r="Z6">
        <f>IF($AG6="","",Config!$B$21)</f>
        <v/>
      </c>
      <c r="AA6">
        <f>IF($AG6="","",Config!$B$22)</f>
        <v/>
      </c>
      <c r="AB6">
        <f>IF($AH6="","",INDEX(Calc!$D$2:$D$1601,$AH6))</f>
        <v/>
      </c>
      <c r="AC6">
        <f>IF($AH6="","",INDEX(Calc!$G$2:$G$1601,$AH6))</f>
        <v/>
      </c>
      <c r="AD6">
        <f>IF($AG6="","",Config!$B$23)</f>
        <v/>
      </c>
      <c r="AE6">
        <f>IF($AG6="","",Config!$B$28)</f>
        <v/>
      </c>
      <c r="AG6">
        <f>IFERROR(MATCH(ROW()-1,Calc!$J$2:$J$1601,0),"")</f>
        <v/>
      </c>
      <c r="AH6">
        <f>IFERROR(MATCH(ROW()-1,Calc!$K$2:$K$1601,0),"")</f>
        <v/>
      </c>
      <c r="AI6">
        <f>IF($AG6="","",SUMIF($AG$2:$AG6,$AG6,$AH$2:$AH6))</f>
        <v/>
      </c>
      <c r="AJ6">
        <f>IF('TMP Paste'!$F6="","",IF('TMP Paste'!$B6="",$AJ5,'TMP Paste'!$B6))</f>
        <v/>
      </c>
      <c r="AK6">
        <f>IF('TMP Paste'!$F6="","",N('TMP Paste'!$G6))</f>
        <v/>
      </c>
      <c r="AL6">
        <f>IF('TMP Paste'!$F6="","",IF('TMP Paste'!$M6="",$AL5,'TMP Paste'!$M6))</f>
        <v/>
      </c>
      <c r="AM6">
        <f>IF('TMP Paste'!$F6="","",IF('TMP Paste'!$N6="",$AM5,'TMP Paste'!$N6))</f>
        <v/>
      </c>
      <c r="AN6">
        <f>IF('TMP Paste'!$F6="","",IF('TMP Paste'!$O6="",$AN5,'TMP Paste'!$O6))</f>
        <v/>
      </c>
      <c r="AO6">
        <f>IF('TMP Paste'!$F6="","",IF('TMP Paste'!$P6="",$AO5,'TMP Paste'!$P6))</f>
        <v/>
      </c>
      <c r="AP6">
        <f>IF($AG6="","",LEN($R6))</f>
        <v/>
      </c>
      <c r="AQ6">
        <f>IF($AG6="","",TRIM(IF(COUNTIFS(Calc!$B$2:$B$1601,ROW()-1,Calc!$C$2:$C$1601,"&lt;1")&gt;0,"Ada PO tanpa Koli - cek TMP. ","")&amp;IF(LEN($R6)&gt;500,"R &gt; 500 karakter.","")))</f>
        <v/>
      </c>
    </row>
    <row r="7">
      <c r="A7">
        <f>IF($AG7="","",INDEX('TMP Paste'!$B$2:$B$1601,$AG7))</f>
        <v/>
      </c>
      <c r="B7">
        <f>IF($AG7="","",Config!$B$14)</f>
        <v/>
      </c>
      <c r="C7">
        <f>IF($AG7="","",Config!$B$15)</f>
        <v/>
      </c>
      <c r="D7">
        <f>IF($AG7="","",INDEX('TMP Paste'!$B$2:$B$1601,$AG7))</f>
        <v/>
      </c>
      <c r="E7">
        <f>IF($AG7="","",Config!$B$27)</f>
        <v/>
      </c>
      <c r="F7">
        <f>IF($AG7="","",Config!$B$9)</f>
        <v/>
      </c>
      <c r="G7">
        <f>IF($AG7="","",Config!$B$10)</f>
        <v/>
      </c>
      <c r="H7">
        <f>IF($AG7="","",Config!$B$11)</f>
        <v/>
      </c>
      <c r="I7">
        <f>IF($AG7="","",Config!$B$16)</f>
        <v/>
      </c>
      <c r="J7">
        <f>IF($AG7="","",INDEX('TMP Paste'!$A$2:$A$1601,$AG7))</f>
        <v/>
      </c>
      <c r="K7">
        <f>IF($AG7="","",INDEX('TMP Paste'!$L$2:$L$1601,$AG7))</f>
        <v/>
      </c>
      <c r="L7">
        <f>IF($AG7="","",INDEX('TMP Paste'!$I$2:$I$1601,$AG7))</f>
        <v/>
      </c>
      <c r="M7">
        <f>IF($AG7="","",Config!$B$16)</f>
        <v/>
      </c>
      <c r="N7">
        <f>IF($AG7="","","")</f>
        <v/>
      </c>
      <c r="O7">
        <f>IF($AG7="","",INDEX('TMP Paste'!$K$2:$K$1601,$AG7))</f>
        <v/>
      </c>
      <c r="P7">
        <f>IF($AG7="","","")</f>
        <v/>
      </c>
      <c r="Q7">
        <f>IF($AG7="","",INDEX('TMP Paste'!$J$2:$J$1601,$AG7))</f>
        <v/>
      </c>
      <c r="R7">
        <f>IF($AG7="","",Config!$B$24)</f>
        <v/>
      </c>
      <c r="S7">
        <f>IF($AG7="","",TEXT(Config!$B$4,"yyyy-mm-dd"))</f>
        <v/>
      </c>
      <c r="T7">
        <f>IF($AG7="","",Config!$B$17)</f>
        <v/>
      </c>
      <c r="U7">
        <f>IF($AG7="","",Config!$B$18)</f>
        <v/>
      </c>
      <c r="V7">
        <f>IF($AG7="","",Config!$B$19)</f>
        <v/>
      </c>
      <c r="W7">
        <f>IF($AG7="","",INDEX('TMP Paste'!$C$2:$C$1601,$AG7))</f>
        <v/>
      </c>
      <c r="X7">
        <f>IF($AG7="","",Config!$B$29)</f>
        <v/>
      </c>
      <c r="Y7">
        <f>IF($AH7="","",INDEX(Calc!$I$2:$I$1601,$AH7)&amp;" - "&amp;INDEX(Calc!$D$2:$D$1601,$AH7)&amp;" koli")</f>
        <v/>
      </c>
      <c r="Z7">
        <f>IF($AG7="","",Config!$B$21)</f>
        <v/>
      </c>
      <c r="AA7">
        <f>IF($AG7="","",Config!$B$22)</f>
        <v/>
      </c>
      <c r="AB7">
        <f>IF($AH7="","",INDEX(Calc!$D$2:$D$1601,$AH7))</f>
        <v/>
      </c>
      <c r="AC7">
        <f>IF($AH7="","",INDEX(Calc!$G$2:$G$1601,$AH7))</f>
        <v/>
      </c>
      <c r="AD7">
        <f>IF($AG7="","",Config!$B$23)</f>
        <v/>
      </c>
      <c r="AE7">
        <f>IF($AG7="","",Config!$B$28)</f>
        <v/>
      </c>
      <c r="AG7">
        <f>IFERROR(MATCH(ROW()-1,Calc!$J$2:$J$1601,0),"")</f>
        <v/>
      </c>
      <c r="AH7">
        <f>IFERROR(MATCH(ROW()-1,Calc!$K$2:$K$1601,0),"")</f>
        <v/>
      </c>
      <c r="AI7">
        <f>IF($AG7="","",SUMIF($AG$2:$AG7,$AG7,$AH$2:$AH7))</f>
        <v/>
      </c>
      <c r="AJ7">
        <f>IF('TMP Paste'!$F7="","",IF('TMP Paste'!$B7="",$AJ6,'TMP Paste'!$B7))</f>
        <v/>
      </c>
      <c r="AK7">
        <f>IF('TMP Paste'!$F7="","",N('TMP Paste'!$G7))</f>
        <v/>
      </c>
      <c r="AL7">
        <f>IF('TMP Paste'!$F7="","",IF('TMP Paste'!$M7="",$AL6,'TMP Paste'!$M7))</f>
        <v/>
      </c>
      <c r="AM7">
        <f>IF('TMP Paste'!$F7="","",IF('TMP Paste'!$N7="",$AM6,'TMP Paste'!$N7))</f>
        <v/>
      </c>
      <c r="AN7">
        <f>IF('TMP Paste'!$F7="","",IF('TMP Paste'!$O7="",$AN6,'TMP Paste'!$O7))</f>
        <v/>
      </c>
      <c r="AO7">
        <f>IF('TMP Paste'!$F7="","",IF('TMP Paste'!$P7="",$AO6,'TMP Paste'!$P7))</f>
        <v/>
      </c>
      <c r="AP7">
        <f>IF($AG7="","",LEN($R7))</f>
        <v/>
      </c>
      <c r="AQ7">
        <f>IF($AG7="","",TRIM(IF(COUNTIFS(Calc!$B$2:$B$1601,ROW()-1,Calc!$C$2:$C$1601,"&lt;1")&gt;0,"Ada PO tanpa Koli - cek TMP. ","")&amp;IF(LEN($R7)&gt;500,"R &gt; 500 karakter.","")))</f>
        <v/>
      </c>
    </row>
    <row r="8">
      <c r="A8">
        <f>IF($AG8="","",INDEX('TMP Paste'!$B$2:$B$1601,$AG8))</f>
        <v/>
      </c>
      <c r="B8">
        <f>IF($AG8="","",Config!$B$14)</f>
        <v/>
      </c>
      <c r="C8">
        <f>IF($AG8="","",Config!$B$15)</f>
        <v/>
      </c>
      <c r="D8">
        <f>IF($AG8="","",INDEX('TMP Paste'!$B$2:$B$1601,$AG8))</f>
        <v/>
      </c>
      <c r="E8">
        <f>IF($AG8="","",Config!$B$27)</f>
        <v/>
      </c>
      <c r="F8">
        <f>IF($AG8="","",Config!$B$9)</f>
        <v/>
      </c>
      <c r="G8">
        <f>IF($AG8="","",Config!$B$10)</f>
        <v/>
      </c>
      <c r="H8">
        <f>IF($AG8="","",Config!$B$11)</f>
        <v/>
      </c>
      <c r="I8">
        <f>IF($AG8="","",Config!$B$16)</f>
        <v/>
      </c>
      <c r="J8">
        <f>IF($AG8="","",INDEX('TMP Paste'!$A$2:$A$1601,$AG8))</f>
        <v/>
      </c>
      <c r="K8">
        <f>IF($AG8="","",INDEX('TMP Paste'!$L$2:$L$1601,$AG8))</f>
        <v/>
      </c>
      <c r="L8">
        <f>IF($AG8="","",INDEX('TMP Paste'!$I$2:$I$1601,$AG8))</f>
        <v/>
      </c>
      <c r="M8">
        <f>IF($AG8="","",Config!$B$16)</f>
        <v/>
      </c>
      <c r="N8">
        <f>IF($AG8="","","")</f>
        <v/>
      </c>
      <c r="O8">
        <f>IF($AG8="","",INDEX('TMP Paste'!$K$2:$K$1601,$AG8))</f>
        <v/>
      </c>
      <c r="P8">
        <f>IF($AG8="","","")</f>
        <v/>
      </c>
      <c r="Q8">
        <f>IF($AG8="","",INDEX('TMP Paste'!$J$2:$J$1601,$AG8))</f>
        <v/>
      </c>
      <c r="R8">
        <f>IF($AG8="","",Config!$B$24)</f>
        <v/>
      </c>
      <c r="S8">
        <f>IF($AG8="","",TEXT(Config!$B$4,"yyyy-mm-dd"))</f>
        <v/>
      </c>
      <c r="T8">
        <f>IF($AG8="","",Config!$B$17)</f>
        <v/>
      </c>
      <c r="U8">
        <f>IF($AG8="","",Config!$B$18)</f>
        <v/>
      </c>
      <c r="V8">
        <f>IF($AG8="","",Config!$B$19)</f>
        <v/>
      </c>
      <c r="W8">
        <f>IF($AG8="","",INDEX('TMP Paste'!$C$2:$C$1601,$AG8))</f>
        <v/>
      </c>
      <c r="X8">
        <f>IF($AG8="","",Config!$B$29)</f>
        <v/>
      </c>
      <c r="Y8">
        <f>IF($AH8="","",INDEX(Calc!$I$2:$I$1601,$AH8)&amp;" - "&amp;INDEX(Calc!$D$2:$D$1601,$AH8)&amp;" koli")</f>
        <v/>
      </c>
      <c r="Z8">
        <f>IF($AG8="","",Config!$B$21)</f>
        <v/>
      </c>
      <c r="AA8">
        <f>IF($AG8="","",Config!$B$22)</f>
        <v/>
      </c>
      <c r="AB8">
        <f>IF($AH8="","",INDEX(Calc!$D$2:$D$1601,$AH8))</f>
        <v/>
      </c>
      <c r="AC8">
        <f>IF($AH8="","",INDEX(Calc!$G$2:$G$1601,$AH8))</f>
        <v/>
      </c>
      <c r="AD8">
        <f>IF($AG8="","",Config!$B$23)</f>
        <v/>
      </c>
      <c r="AE8">
        <f>IF($AG8="","",Config!$B$28)</f>
        <v/>
      </c>
      <c r="AG8">
        <f>IFERROR(MATCH(ROW()-1,Calc!$J$2:$J$1601,0),"")</f>
        <v/>
      </c>
      <c r="AH8">
        <f>IFERROR(MATCH(ROW()-1,Calc!$K$2:$K$1601,0),"")</f>
        <v/>
      </c>
      <c r="AI8">
        <f>IF($AG8="","",SUMIF($AG$2:$AG8,$AG8,$AH$2:$AH8))</f>
        <v/>
      </c>
      <c r="AJ8">
        <f>IF('TMP Paste'!$F8="","",IF('TMP Paste'!$B8="",$AJ7,'TMP Paste'!$B8))</f>
        <v/>
      </c>
      <c r="AK8">
        <f>IF('TMP Paste'!$F8="","",N('TMP Paste'!$G8))</f>
        <v/>
      </c>
      <c r="AL8">
        <f>IF('TMP Paste'!$F8="","",IF('TMP Paste'!$M8="",$AL7,'TMP Paste'!$M8))</f>
        <v/>
      </c>
      <c r="AM8">
        <f>IF('TMP Paste'!$F8="","",IF('TMP Paste'!$N8="",$AM7,'TMP Paste'!$N8))</f>
        <v/>
      </c>
      <c r="AN8">
        <f>IF('TMP Paste'!$F8="","",IF('TMP Paste'!$O8="",$AN7,'TMP Paste'!$O8))</f>
        <v/>
      </c>
      <c r="AO8">
        <f>IF('TMP Paste'!$F8="","",IF('TMP Paste'!$P8="",$AO7,'TMP Paste'!$P8))</f>
        <v/>
      </c>
      <c r="AP8">
        <f>IF($AG8="","",LEN($R8))</f>
        <v/>
      </c>
      <c r="AQ8">
        <f>IF($AG8="","",TRIM(IF(COUNTIFS(Calc!$B$2:$B$1601,ROW()-1,Calc!$C$2:$C$1601,"&lt;1")&gt;0,"Ada PO tanpa Koli - cek TMP. ","")&amp;IF(LEN($R8)&gt;500,"R &gt; 500 karakter.","")))</f>
        <v/>
      </c>
    </row>
    <row r="9">
      <c r="A9">
        <f>IF($AG9="","",INDEX('TMP Paste'!$B$2:$B$1601,$AG9))</f>
        <v/>
      </c>
      <c r="B9">
        <f>IF($AG9="","",Config!$B$14)</f>
        <v/>
      </c>
      <c r="C9">
        <f>IF($AG9="","",Config!$B$15)</f>
        <v/>
      </c>
      <c r="D9">
        <f>IF($AG9="","",INDEX('TMP Paste'!$B$2:$B$1601,$AG9))</f>
        <v/>
      </c>
      <c r="E9">
        <f>IF($AG9="","",Config!$B$27)</f>
        <v/>
      </c>
      <c r="F9">
        <f>IF($AG9="","",Config!$B$9)</f>
        <v/>
      </c>
      <c r="G9">
        <f>IF($AG9="","",Config!$B$10)</f>
        <v/>
      </c>
      <c r="H9">
        <f>IF($AG9="","",Config!$B$11)</f>
        <v/>
      </c>
      <c r="I9">
        <f>IF($AG9="","",Config!$B$16)</f>
        <v/>
      </c>
      <c r="J9">
        <f>IF($AG9="","",INDEX('TMP Paste'!$A$2:$A$1601,$AG9))</f>
        <v/>
      </c>
      <c r="K9">
        <f>IF($AG9="","",INDEX('TMP Paste'!$L$2:$L$1601,$AG9))</f>
        <v/>
      </c>
      <c r="L9">
        <f>IF($AG9="","",INDEX('TMP Paste'!$I$2:$I$1601,$AG9))</f>
        <v/>
      </c>
      <c r="M9">
        <f>IF($AG9="","",Config!$B$16)</f>
        <v/>
      </c>
      <c r="N9">
        <f>IF($AG9="","","")</f>
        <v/>
      </c>
      <c r="O9">
        <f>IF($AG9="","",INDEX('TMP Paste'!$K$2:$K$1601,$AG9))</f>
        <v/>
      </c>
      <c r="P9">
        <f>IF($AG9="","","")</f>
        <v/>
      </c>
      <c r="Q9">
        <f>IF($AG9="","",INDEX('TMP Paste'!$J$2:$J$1601,$AG9))</f>
        <v/>
      </c>
      <c r="R9">
        <f>IF($AG9="","",Config!$B$24)</f>
        <v/>
      </c>
      <c r="S9">
        <f>IF($AG9="","",TEXT(Config!$B$4,"yyyy-mm-dd"))</f>
        <v/>
      </c>
      <c r="T9">
        <f>IF($AG9="","",Config!$B$17)</f>
        <v/>
      </c>
      <c r="U9">
        <f>IF($AG9="","",Config!$B$18)</f>
        <v/>
      </c>
      <c r="V9">
        <f>IF($AG9="","",Config!$B$19)</f>
        <v/>
      </c>
      <c r="W9">
        <f>IF($AG9="","",INDEX('TMP Paste'!$C$2:$C$1601,$AG9))</f>
        <v/>
      </c>
      <c r="X9">
        <f>IF($AG9="","",Config!$B$29)</f>
        <v/>
      </c>
      <c r="Y9">
        <f>IF($AH9="","",INDEX(Calc!$I$2:$I$1601,$AH9)&amp;" - "&amp;INDEX(Calc!$D$2:$D$1601,$AH9)&amp;" koli")</f>
        <v/>
      </c>
      <c r="Z9">
        <f>IF($AG9="","",Config!$B$21)</f>
        <v/>
      </c>
      <c r="AA9">
        <f>IF($AG9="","",Config!$B$22)</f>
        <v/>
      </c>
      <c r="AB9">
        <f>IF($AH9="","",INDEX(Calc!$D$2:$D$1601,$AH9))</f>
        <v/>
      </c>
      <c r="AC9">
        <f>IF($AH9="","",INDEX(Calc!$G$2:$G$1601,$AH9))</f>
        <v/>
      </c>
      <c r="AD9">
        <f>IF($AG9="","",Config!$B$23)</f>
        <v/>
      </c>
      <c r="AE9">
        <f>IF($AG9="","",Config!$B$28)</f>
        <v/>
      </c>
      <c r="AG9">
        <f>IFERROR(MATCH(ROW()-1,Calc!$J$2:$J$1601,0),"")</f>
        <v/>
      </c>
      <c r="AH9">
        <f>IFERROR(MATCH(ROW()-1,Calc!$K$2:$K$1601,0),"")</f>
        <v/>
      </c>
      <c r="AI9">
        <f>IF($AG9="","",SUMIF($AG$2:$AG9,$AG9,$AH$2:$AH9))</f>
        <v/>
      </c>
      <c r="AJ9">
        <f>IF('TMP Paste'!$F9="","",IF('TMP Paste'!$B9="",$AJ8,'TMP Paste'!$B9))</f>
        <v/>
      </c>
      <c r="AK9">
        <f>IF('TMP Paste'!$F9="","",N('TMP Paste'!$G9))</f>
        <v/>
      </c>
      <c r="AL9">
        <f>IF('TMP Paste'!$F9="","",IF('TMP Paste'!$M9="",$AL8,'TMP Paste'!$M9))</f>
        <v/>
      </c>
      <c r="AM9">
        <f>IF('TMP Paste'!$F9="","",IF('TMP Paste'!$N9="",$AM8,'TMP Paste'!$N9))</f>
        <v/>
      </c>
      <c r="AN9">
        <f>IF('TMP Paste'!$F9="","",IF('TMP Paste'!$O9="",$AN8,'TMP Paste'!$O9))</f>
        <v/>
      </c>
      <c r="AO9">
        <f>IF('TMP Paste'!$F9="","",IF('TMP Paste'!$P9="",$AO8,'TMP Paste'!$P9))</f>
        <v/>
      </c>
      <c r="AP9">
        <f>IF($AG9="","",LEN($R9))</f>
        <v/>
      </c>
      <c r="AQ9">
        <f>IF($AG9="","",TRIM(IF(COUNTIFS(Calc!$B$2:$B$1601,ROW()-1,Calc!$C$2:$C$1601,"&lt;1")&gt;0,"Ada PO tanpa Koli - cek TMP. ","")&amp;IF(LEN($R9)&gt;500,"R &gt; 500 karakter.","")))</f>
        <v/>
      </c>
    </row>
    <row r="10">
      <c r="A10">
        <f>IF($AG10="","",INDEX('TMP Paste'!$B$2:$B$1601,$AG10))</f>
        <v/>
      </c>
      <c r="B10">
        <f>IF($AG10="","",Config!$B$14)</f>
        <v/>
      </c>
      <c r="C10">
        <f>IF($AG10="","",Config!$B$15)</f>
        <v/>
      </c>
      <c r="D10">
        <f>IF($AG10="","",INDEX('TMP Paste'!$B$2:$B$1601,$AG10))</f>
        <v/>
      </c>
      <c r="E10">
        <f>IF($AG10="","",Config!$B$27)</f>
        <v/>
      </c>
      <c r="F10">
        <f>IF($AG10="","",Config!$B$9)</f>
        <v/>
      </c>
      <c r="G10">
        <f>IF($AG10="","",Config!$B$10)</f>
        <v/>
      </c>
      <c r="H10">
        <f>IF($AG10="","",Config!$B$11)</f>
        <v/>
      </c>
      <c r="I10">
        <f>IF($AG10="","",Config!$B$16)</f>
        <v/>
      </c>
      <c r="J10">
        <f>IF($AG10="","",INDEX('TMP Paste'!$A$2:$A$1601,$AG10))</f>
        <v/>
      </c>
      <c r="K10">
        <f>IF($AG10="","",INDEX('TMP Paste'!$L$2:$L$1601,$AG10))</f>
        <v/>
      </c>
      <c r="L10">
        <f>IF($AG10="","",INDEX('TMP Paste'!$I$2:$I$1601,$AG10))</f>
        <v/>
      </c>
      <c r="M10">
        <f>IF($AG10="","",Config!$B$16)</f>
        <v/>
      </c>
      <c r="N10">
        <f>IF($AG10="","","")</f>
        <v/>
      </c>
      <c r="O10">
        <f>IF($AG10="","",INDEX('TMP Paste'!$K$2:$K$1601,$AG10))</f>
        <v/>
      </c>
      <c r="P10">
        <f>IF($AG10="","","")</f>
        <v/>
      </c>
      <c r="Q10">
        <f>IF($AG10="","",INDEX('TMP Paste'!$J$2:$J$1601,$AG10))</f>
        <v/>
      </c>
      <c r="R10">
        <f>IF($AG10="","",Config!$B$24)</f>
        <v/>
      </c>
      <c r="S10">
        <f>IF($AG10="","",TEXT(Config!$B$4,"yyyy-mm-dd"))</f>
        <v/>
      </c>
      <c r="T10">
        <f>IF($AG10="","",Config!$B$17)</f>
        <v/>
      </c>
      <c r="U10">
        <f>IF($AG10="","",Config!$B$18)</f>
        <v/>
      </c>
      <c r="V10">
        <f>IF($AG10="","",Config!$B$19)</f>
        <v/>
      </c>
      <c r="W10">
        <f>IF($AG10="","",INDEX('TMP Paste'!$C$2:$C$1601,$AG10))</f>
        <v/>
      </c>
      <c r="X10">
        <f>IF($AG10="","",Config!$B$29)</f>
        <v/>
      </c>
      <c r="Y10">
        <f>IF($AH10="","",INDEX(Calc!$I$2:$I$1601,$AH10)&amp;" - "&amp;INDEX(Calc!$D$2:$D$1601,$AH10)&amp;" koli")</f>
        <v/>
      </c>
      <c r="Z10">
        <f>IF($AG10="","",Config!$B$21)</f>
        <v/>
      </c>
      <c r="AA10">
        <f>IF($AG10="","",Config!$B$22)</f>
        <v/>
      </c>
      <c r="AB10">
        <f>IF($AH10="","",INDEX(Calc!$D$2:$D$1601,$AH10))</f>
        <v/>
      </c>
      <c r="AC10">
        <f>IF($AH10="","",INDEX(Calc!$G$2:$G$1601,$AH10))</f>
        <v/>
      </c>
      <c r="AD10">
        <f>IF($AG10="","",Config!$B$23)</f>
        <v/>
      </c>
      <c r="AE10">
        <f>IF($AG10="","",Config!$B$28)</f>
        <v/>
      </c>
      <c r="AG10">
        <f>IFERROR(MATCH(ROW()-1,Calc!$J$2:$J$1601,0),"")</f>
        <v/>
      </c>
      <c r="AH10">
        <f>IFERROR(MATCH(ROW()-1,Calc!$K$2:$K$1601,0),"")</f>
        <v/>
      </c>
      <c r="AI10">
        <f>IF($AG10="","",SUMIF($AG$2:$AG10,$AG10,$AH$2:$AH10))</f>
        <v/>
      </c>
      <c r="AJ10">
        <f>IF('TMP Paste'!$F10="","",IF('TMP Paste'!$B10="",$AJ9,'TMP Paste'!$B10))</f>
        <v/>
      </c>
      <c r="AK10">
        <f>IF('TMP Paste'!$F10="","",N('TMP Paste'!$G10))</f>
        <v/>
      </c>
      <c r="AL10">
        <f>IF('TMP Paste'!$F10="","",IF('TMP Paste'!$M10="",$AL9,'TMP Paste'!$M10))</f>
        <v/>
      </c>
      <c r="AM10">
        <f>IF('TMP Paste'!$F10="","",IF('TMP Paste'!$N10="",$AM9,'TMP Paste'!$N10))</f>
        <v/>
      </c>
      <c r="AN10">
        <f>IF('TMP Paste'!$F10="","",IF('TMP Paste'!$O10="",$AN9,'TMP Paste'!$O10))</f>
        <v/>
      </c>
      <c r="AO10">
        <f>IF('TMP Paste'!$F10="","",IF('TMP Paste'!$P10="",$AO9,'TMP Paste'!$P10))</f>
        <v/>
      </c>
      <c r="AP10">
        <f>IF($AG10="","",LEN($R10))</f>
        <v/>
      </c>
      <c r="AQ10">
        <f>IF($AG10="","",TRIM(IF(COUNTIFS(Calc!$B$2:$B$1601,ROW()-1,Calc!$C$2:$C$1601,"&lt;1")&gt;0,"Ada PO tanpa Koli - cek TMP. ","")&amp;IF(LEN($R10)&gt;500,"R &gt; 500 karakter.","")))</f>
        <v/>
      </c>
    </row>
    <row r="11">
      <c r="A11">
        <f>IF($AG11="","",INDEX('TMP Paste'!$B$2:$B$1601,$AG11))</f>
        <v/>
      </c>
      <c r="B11">
        <f>IF($AG11="","",Config!$B$14)</f>
        <v/>
      </c>
      <c r="C11">
        <f>IF($AG11="","",Config!$B$15)</f>
        <v/>
      </c>
      <c r="D11">
        <f>IF($AG11="","",INDEX('TMP Paste'!$B$2:$B$1601,$AG11))</f>
        <v/>
      </c>
      <c r="E11">
        <f>IF($AG11="","",Config!$B$27)</f>
        <v/>
      </c>
      <c r="F11">
        <f>IF($AG11="","",Config!$B$9)</f>
        <v/>
      </c>
      <c r="G11">
        <f>IF($AG11="","",Config!$B$10)</f>
        <v/>
      </c>
      <c r="H11">
        <f>IF($AG11="","",Config!$B$11)</f>
        <v/>
      </c>
      <c r="I11">
        <f>IF($AG11="","",Config!$B$16)</f>
        <v/>
      </c>
      <c r="J11">
        <f>IF($AG11="","",INDEX('TMP Paste'!$A$2:$A$1601,$AG11))</f>
        <v/>
      </c>
      <c r="K11">
        <f>IF($AG11="","",INDEX('TMP Paste'!$L$2:$L$1601,$AG11))</f>
        <v/>
      </c>
      <c r="L11">
        <f>IF($AG11="","",INDEX('TMP Paste'!$I$2:$I$1601,$AG11))</f>
        <v/>
      </c>
      <c r="M11">
        <f>IF($AG11="","",Config!$B$16)</f>
        <v/>
      </c>
      <c r="N11">
        <f>IF($AG11="","","")</f>
        <v/>
      </c>
      <c r="O11">
        <f>IF($AG11="","",INDEX('TMP Paste'!$K$2:$K$1601,$AG11))</f>
        <v/>
      </c>
      <c r="P11">
        <f>IF($AG11="","","")</f>
        <v/>
      </c>
      <c r="Q11">
        <f>IF($AG11="","",INDEX('TMP Paste'!$J$2:$J$1601,$AG11))</f>
        <v/>
      </c>
      <c r="R11">
        <f>IF($AG11="","",Config!$B$24)</f>
        <v/>
      </c>
      <c r="S11">
        <f>IF($AG11="","",TEXT(Config!$B$4,"yyyy-mm-dd"))</f>
        <v/>
      </c>
      <c r="T11">
        <f>IF($AG11="","",Config!$B$17)</f>
        <v/>
      </c>
      <c r="U11">
        <f>IF($AG11="","",Config!$B$18)</f>
        <v/>
      </c>
      <c r="V11">
        <f>IF($AG11="","",Config!$B$19)</f>
        <v/>
      </c>
      <c r="W11">
        <f>IF($AG11="","",INDEX('TMP Paste'!$C$2:$C$1601,$AG11))</f>
        <v/>
      </c>
      <c r="X11">
        <f>IF($AG11="","",Config!$B$29)</f>
        <v/>
      </c>
      <c r="Y11">
        <f>IF($AH11="","",INDEX(Calc!$I$2:$I$1601,$AH11)&amp;" - "&amp;INDEX(Calc!$D$2:$D$1601,$AH11)&amp;" koli")</f>
        <v/>
      </c>
      <c r="Z11">
        <f>IF($AG11="","",Config!$B$21)</f>
        <v/>
      </c>
      <c r="AA11">
        <f>IF($AG11="","",Config!$B$22)</f>
        <v/>
      </c>
      <c r="AB11">
        <f>IF($AH11="","",INDEX(Calc!$D$2:$D$1601,$AH11))</f>
        <v/>
      </c>
      <c r="AC11">
        <f>IF($AH11="","",INDEX(Calc!$G$2:$G$1601,$AH11))</f>
        <v/>
      </c>
      <c r="AD11">
        <f>IF($AG11="","",Config!$B$23)</f>
        <v/>
      </c>
      <c r="AE11">
        <f>IF($AG11="","",Config!$B$28)</f>
        <v/>
      </c>
      <c r="AG11">
        <f>IFERROR(MATCH(ROW()-1,Calc!$J$2:$J$1601,0),"")</f>
        <v/>
      </c>
      <c r="AH11">
        <f>IFERROR(MATCH(ROW()-1,Calc!$K$2:$K$1601,0),"")</f>
        <v/>
      </c>
      <c r="AI11">
        <f>IF($AG11="","",SUMIF($AG$2:$AG11,$AG11,$AH$2:$AH11))</f>
        <v/>
      </c>
      <c r="AJ11">
        <f>IF('TMP Paste'!$F11="","",IF('TMP Paste'!$B11="",$AJ10,'TMP Paste'!$B11))</f>
        <v/>
      </c>
      <c r="AK11">
        <f>IF('TMP Paste'!$F11="","",N('TMP Paste'!$G11))</f>
        <v/>
      </c>
      <c r="AL11">
        <f>IF('TMP Paste'!$F11="","",IF('TMP Paste'!$M11="",$AL10,'TMP Paste'!$M11))</f>
        <v/>
      </c>
      <c r="AM11">
        <f>IF('TMP Paste'!$F11="","",IF('TMP Paste'!$N11="",$AM10,'TMP Paste'!$N11))</f>
        <v/>
      </c>
      <c r="AN11">
        <f>IF('TMP Paste'!$F11="","",IF('TMP Paste'!$O11="",$AN10,'TMP Paste'!$O11))</f>
        <v/>
      </c>
      <c r="AO11">
        <f>IF('TMP Paste'!$F11="","",IF('TMP Paste'!$P11="",$AO10,'TMP Paste'!$P11))</f>
        <v/>
      </c>
      <c r="AP11">
        <f>IF($AG11="","",LEN($R11))</f>
        <v/>
      </c>
      <c r="AQ11">
        <f>IF($AG11="","",TRIM(IF(COUNTIFS(Calc!$B$2:$B$1601,ROW()-1,Calc!$C$2:$C$1601,"&lt;1")&gt;0,"Ada PO tanpa Koli - cek TMP. ","")&amp;IF(LEN($R11)&gt;500,"R &gt; 500 karakter.","")))</f>
        <v/>
      </c>
    </row>
    <row r="12">
      <c r="A12">
        <f>IF($AG12="","",INDEX('TMP Paste'!$B$2:$B$1601,$AG12))</f>
        <v/>
      </c>
      <c r="B12">
        <f>IF($AG12="","",Config!$B$14)</f>
        <v/>
      </c>
      <c r="C12">
        <f>IF($AG12="","",Config!$B$15)</f>
        <v/>
      </c>
      <c r="D12">
        <f>IF($AG12="","",INDEX('TMP Paste'!$B$2:$B$1601,$AG12))</f>
        <v/>
      </c>
      <c r="E12">
        <f>IF($AG12="","",Config!$B$27)</f>
        <v/>
      </c>
      <c r="F12">
        <f>IF($AG12="","",Config!$B$9)</f>
        <v/>
      </c>
      <c r="G12">
        <f>IF($AG12="","",Config!$B$10)</f>
        <v/>
      </c>
      <c r="H12">
        <f>IF($AG12="","",Config!$B$11)</f>
        <v/>
      </c>
      <c r="I12">
        <f>IF($AG12="","",Config!$B$16)</f>
        <v/>
      </c>
      <c r="J12">
        <f>IF($AG12="","",INDEX('TMP Paste'!$A$2:$A$1601,$AG12))</f>
        <v/>
      </c>
      <c r="K12">
        <f>IF($AG12="","",INDEX('TMP Paste'!$L$2:$L$1601,$AG12))</f>
        <v/>
      </c>
      <c r="L12">
        <f>IF($AG12="","",INDEX('TMP Paste'!$I$2:$I$1601,$AG12))</f>
        <v/>
      </c>
      <c r="M12">
        <f>IF($AG12="","",Config!$B$16)</f>
        <v/>
      </c>
      <c r="N12">
        <f>IF($AG12="","","")</f>
        <v/>
      </c>
      <c r="O12">
        <f>IF($AG12="","",INDEX('TMP Paste'!$K$2:$K$1601,$AG12))</f>
        <v/>
      </c>
      <c r="P12">
        <f>IF($AG12="","","")</f>
        <v/>
      </c>
      <c r="Q12">
        <f>IF($AG12="","",INDEX('TMP Paste'!$J$2:$J$1601,$AG12))</f>
        <v/>
      </c>
      <c r="R12">
        <f>IF($AG12="","",Config!$B$24)</f>
        <v/>
      </c>
      <c r="S12">
        <f>IF($AG12="","",TEXT(Config!$B$4,"yyyy-mm-dd"))</f>
        <v/>
      </c>
      <c r="T12">
        <f>IF($AG12="","",Config!$B$17)</f>
        <v/>
      </c>
      <c r="U12">
        <f>IF($AG12="","",Config!$B$18)</f>
        <v/>
      </c>
      <c r="V12">
        <f>IF($AG12="","",Config!$B$19)</f>
        <v/>
      </c>
      <c r="W12">
        <f>IF($AG12="","",INDEX('TMP Paste'!$C$2:$C$1601,$AG12))</f>
        <v/>
      </c>
      <c r="X12">
        <f>IF($AG12="","",Config!$B$29)</f>
        <v/>
      </c>
      <c r="Y12">
        <f>IF($AH12="","",INDEX(Calc!$I$2:$I$1601,$AH12)&amp;" - "&amp;INDEX(Calc!$D$2:$D$1601,$AH12)&amp;" koli")</f>
        <v/>
      </c>
      <c r="Z12">
        <f>IF($AG12="","",Config!$B$21)</f>
        <v/>
      </c>
      <c r="AA12">
        <f>IF($AG12="","",Config!$B$22)</f>
        <v/>
      </c>
      <c r="AB12">
        <f>IF($AH12="","",INDEX(Calc!$D$2:$D$1601,$AH12))</f>
        <v/>
      </c>
      <c r="AC12">
        <f>IF($AH12="","",INDEX(Calc!$G$2:$G$1601,$AH12))</f>
        <v/>
      </c>
      <c r="AD12">
        <f>IF($AG12="","",Config!$B$23)</f>
        <v/>
      </c>
      <c r="AE12">
        <f>IF($AG12="","",Config!$B$28)</f>
        <v/>
      </c>
      <c r="AG12">
        <f>IFERROR(MATCH(ROW()-1,Calc!$J$2:$J$1601,0),"")</f>
        <v/>
      </c>
      <c r="AH12">
        <f>IFERROR(MATCH(ROW()-1,Calc!$K$2:$K$1601,0),"")</f>
        <v/>
      </c>
      <c r="AI12">
        <f>IF($AG12="","",SUMIF($AG$2:$AG12,$AG12,$AH$2:$AH12))</f>
        <v/>
      </c>
      <c r="AJ12">
        <f>IF('TMP Paste'!$F12="","",IF('TMP Paste'!$B12="",$AJ11,'TMP Paste'!$B12))</f>
        <v/>
      </c>
      <c r="AK12">
        <f>IF('TMP Paste'!$F12="","",N('TMP Paste'!$G12))</f>
        <v/>
      </c>
      <c r="AL12">
        <f>IF('TMP Paste'!$F12="","",IF('TMP Paste'!$M12="",$AL11,'TMP Paste'!$M12))</f>
        <v/>
      </c>
      <c r="AM12">
        <f>IF('TMP Paste'!$F12="","",IF('TMP Paste'!$N12="",$AM11,'TMP Paste'!$N12))</f>
        <v/>
      </c>
      <c r="AN12">
        <f>IF('TMP Paste'!$F12="","",IF('TMP Paste'!$O12="",$AN11,'TMP Paste'!$O12))</f>
        <v/>
      </c>
      <c r="AO12">
        <f>IF('TMP Paste'!$F12="","",IF('TMP Paste'!$P12="",$AO11,'TMP Paste'!$P12))</f>
        <v/>
      </c>
      <c r="AP12">
        <f>IF($AG12="","",LEN($R12))</f>
        <v/>
      </c>
      <c r="AQ12">
        <f>IF($AG12="","",TRIM(IF(COUNTIFS(Calc!$B$2:$B$1601,ROW()-1,Calc!$C$2:$C$1601,"&lt;1")&gt;0,"Ada PO tanpa Koli - cek TMP. ","")&amp;IF(LEN($R12)&gt;500,"R &gt; 500 karakter.","")))</f>
        <v/>
      </c>
    </row>
    <row r="13">
      <c r="A13">
        <f>IF($AG13="","",INDEX('TMP Paste'!$B$2:$B$1601,$AG13))</f>
        <v/>
      </c>
      <c r="B13">
        <f>IF($AG13="","",Config!$B$14)</f>
        <v/>
      </c>
      <c r="C13">
        <f>IF($AG13="","",Config!$B$15)</f>
        <v/>
      </c>
      <c r="D13">
        <f>IF($AG13="","",INDEX('TMP Paste'!$B$2:$B$1601,$AG13))</f>
        <v/>
      </c>
      <c r="E13">
        <f>IF($AG13="","",Config!$B$27)</f>
        <v/>
      </c>
      <c r="F13">
        <f>IF($AG13="","",Config!$B$9)</f>
        <v/>
      </c>
      <c r="G13">
        <f>IF($AG13="","",Config!$B$10)</f>
        <v/>
      </c>
      <c r="H13">
        <f>IF($AG13="","",Config!$B$11)</f>
        <v/>
      </c>
      <c r="I13">
        <f>IF($AG13="","",Config!$B$16)</f>
        <v/>
      </c>
      <c r="J13">
        <f>IF($AG13="","",INDEX('TMP Paste'!$A$2:$A$1601,$AG13))</f>
        <v/>
      </c>
      <c r="K13">
        <f>IF($AG13="","",INDEX('TMP Paste'!$L$2:$L$1601,$AG13))</f>
        <v/>
      </c>
      <c r="L13">
        <f>IF($AG13="","",INDEX('TMP Paste'!$I$2:$I$1601,$AG13))</f>
        <v/>
      </c>
      <c r="M13">
        <f>IF($AG13="","",Config!$B$16)</f>
        <v/>
      </c>
      <c r="N13">
        <f>IF($AG13="","","")</f>
        <v/>
      </c>
      <c r="O13">
        <f>IF($AG13="","",INDEX('TMP Paste'!$K$2:$K$1601,$AG13))</f>
        <v/>
      </c>
      <c r="P13">
        <f>IF($AG13="","","")</f>
        <v/>
      </c>
      <c r="Q13">
        <f>IF($AG13="","",INDEX('TMP Paste'!$J$2:$J$1601,$AG13))</f>
        <v/>
      </c>
      <c r="R13">
        <f>IF($AG13="","",Config!$B$24)</f>
        <v/>
      </c>
      <c r="S13">
        <f>IF($AG13="","",TEXT(Config!$B$4,"yyyy-mm-dd"))</f>
        <v/>
      </c>
      <c r="T13">
        <f>IF($AG13="","",Config!$B$17)</f>
        <v/>
      </c>
      <c r="U13">
        <f>IF($AG13="","",Config!$B$18)</f>
        <v/>
      </c>
      <c r="V13">
        <f>IF($AG13="","",Config!$B$19)</f>
        <v/>
      </c>
      <c r="W13">
        <f>IF($AG13="","",INDEX('TMP Paste'!$C$2:$C$1601,$AG13))</f>
        <v/>
      </c>
      <c r="X13">
        <f>IF($AG13="","",Config!$B$29)</f>
        <v/>
      </c>
      <c r="Y13">
        <f>IF($AH13="","",INDEX(Calc!$I$2:$I$1601,$AH13)&amp;" - "&amp;INDEX(Calc!$D$2:$D$1601,$AH13)&amp;" koli")</f>
        <v/>
      </c>
      <c r="Z13">
        <f>IF($AG13="","",Config!$B$21)</f>
        <v/>
      </c>
      <c r="AA13">
        <f>IF($AG13="","",Config!$B$22)</f>
        <v/>
      </c>
      <c r="AB13">
        <f>IF($AH13="","",INDEX(Calc!$D$2:$D$1601,$AH13))</f>
        <v/>
      </c>
      <c r="AC13">
        <f>IF($AH13="","",INDEX(Calc!$G$2:$G$1601,$AH13))</f>
        <v/>
      </c>
      <c r="AD13">
        <f>IF($AG13="","",Config!$B$23)</f>
        <v/>
      </c>
      <c r="AE13">
        <f>IF($AG13="","",Config!$B$28)</f>
        <v/>
      </c>
      <c r="AG13">
        <f>IFERROR(MATCH(ROW()-1,Calc!$J$2:$J$1601,0),"")</f>
        <v/>
      </c>
      <c r="AH13">
        <f>IFERROR(MATCH(ROW()-1,Calc!$K$2:$K$1601,0),"")</f>
        <v/>
      </c>
      <c r="AI13">
        <f>IF($AG13="","",SUMIF($AG$2:$AG13,$AG13,$AH$2:$AH13))</f>
        <v/>
      </c>
      <c r="AJ13">
        <f>IF('TMP Paste'!$F13="","",IF('TMP Paste'!$B13="",$AJ12,'TMP Paste'!$B13))</f>
        <v/>
      </c>
      <c r="AK13">
        <f>IF('TMP Paste'!$F13="","",N('TMP Paste'!$G13))</f>
        <v/>
      </c>
      <c r="AL13">
        <f>IF('TMP Paste'!$F13="","",IF('TMP Paste'!$M13="",$AL12,'TMP Paste'!$M13))</f>
        <v/>
      </c>
      <c r="AM13">
        <f>IF('TMP Paste'!$F13="","",IF('TMP Paste'!$N13="",$AM12,'TMP Paste'!$N13))</f>
        <v/>
      </c>
      <c r="AN13">
        <f>IF('TMP Paste'!$F13="","",IF('TMP Paste'!$O13="",$AN12,'TMP Paste'!$O13))</f>
        <v/>
      </c>
      <c r="AO13">
        <f>IF('TMP Paste'!$F13="","",IF('TMP Paste'!$P13="",$AO12,'TMP Paste'!$P13))</f>
        <v/>
      </c>
      <c r="AP13">
        <f>IF($AG13="","",LEN($R13))</f>
        <v/>
      </c>
      <c r="AQ13">
        <f>IF($AG13="","",TRIM(IF(COUNTIFS(Calc!$B$2:$B$1601,ROW()-1,Calc!$C$2:$C$1601,"&lt;1")&gt;0,"Ada PO tanpa Koli - cek TMP. ","")&amp;IF(LEN($R13)&gt;500,"R &gt; 500 karakter.","")))</f>
        <v/>
      </c>
    </row>
    <row r="14">
      <c r="A14">
        <f>IF($AG14="","",INDEX('TMP Paste'!$B$2:$B$1601,$AG14))</f>
        <v/>
      </c>
      <c r="B14">
        <f>IF($AG14="","",Config!$B$14)</f>
        <v/>
      </c>
      <c r="C14">
        <f>IF($AG14="","",Config!$B$15)</f>
        <v/>
      </c>
      <c r="D14">
        <f>IF($AG14="","",INDEX('TMP Paste'!$B$2:$B$1601,$AG14))</f>
        <v/>
      </c>
      <c r="E14">
        <f>IF($AG14="","",Config!$B$27)</f>
        <v/>
      </c>
      <c r="F14">
        <f>IF($AG14="","",Config!$B$9)</f>
        <v/>
      </c>
      <c r="G14">
        <f>IF($AG14="","",Config!$B$10)</f>
        <v/>
      </c>
      <c r="H14">
        <f>IF($AG14="","",Config!$B$11)</f>
        <v/>
      </c>
      <c r="I14">
        <f>IF($AG14="","",Config!$B$16)</f>
        <v/>
      </c>
      <c r="J14">
        <f>IF($AG14="","",INDEX('TMP Paste'!$A$2:$A$1601,$AG14))</f>
        <v/>
      </c>
      <c r="K14">
        <f>IF($AG14="","",INDEX('TMP Paste'!$L$2:$L$1601,$AG14))</f>
        <v/>
      </c>
      <c r="L14">
        <f>IF($AG14="","",INDEX('TMP Paste'!$I$2:$I$1601,$AG14))</f>
        <v/>
      </c>
      <c r="M14">
        <f>IF($AG14="","",Config!$B$16)</f>
        <v/>
      </c>
      <c r="N14">
        <f>IF($AG14="","","")</f>
        <v/>
      </c>
      <c r="O14">
        <f>IF($AG14="","",INDEX('TMP Paste'!$K$2:$K$1601,$AG14))</f>
        <v/>
      </c>
      <c r="P14">
        <f>IF($AG14="","","")</f>
        <v/>
      </c>
      <c r="Q14">
        <f>IF($AG14="","",INDEX('TMP Paste'!$J$2:$J$1601,$AG14))</f>
        <v/>
      </c>
      <c r="R14">
        <f>IF($AG14="","",Config!$B$24)</f>
        <v/>
      </c>
      <c r="S14">
        <f>IF($AG14="","",TEXT(Config!$B$4,"yyyy-mm-dd"))</f>
        <v/>
      </c>
      <c r="T14">
        <f>IF($AG14="","",Config!$B$17)</f>
        <v/>
      </c>
      <c r="U14">
        <f>IF($AG14="","",Config!$B$18)</f>
        <v/>
      </c>
      <c r="V14">
        <f>IF($AG14="","",Config!$B$19)</f>
        <v/>
      </c>
      <c r="W14">
        <f>IF($AG14="","",INDEX('TMP Paste'!$C$2:$C$1601,$AG14))</f>
        <v/>
      </c>
      <c r="X14">
        <f>IF($AG14="","",Config!$B$29)</f>
        <v/>
      </c>
      <c r="Y14">
        <f>IF($AH14="","",INDEX(Calc!$I$2:$I$1601,$AH14)&amp;" - "&amp;INDEX(Calc!$D$2:$D$1601,$AH14)&amp;" koli")</f>
        <v/>
      </c>
      <c r="Z14">
        <f>IF($AG14="","",Config!$B$21)</f>
        <v/>
      </c>
      <c r="AA14">
        <f>IF($AG14="","",Config!$B$22)</f>
        <v/>
      </c>
      <c r="AB14">
        <f>IF($AH14="","",INDEX(Calc!$D$2:$D$1601,$AH14))</f>
        <v/>
      </c>
      <c r="AC14">
        <f>IF($AH14="","",INDEX(Calc!$G$2:$G$1601,$AH14))</f>
        <v/>
      </c>
      <c r="AD14">
        <f>IF($AG14="","",Config!$B$23)</f>
        <v/>
      </c>
      <c r="AE14">
        <f>IF($AG14="","",Config!$B$28)</f>
        <v/>
      </c>
      <c r="AG14">
        <f>IFERROR(MATCH(ROW()-1,Calc!$J$2:$J$1601,0),"")</f>
        <v/>
      </c>
      <c r="AH14">
        <f>IFERROR(MATCH(ROW()-1,Calc!$K$2:$K$1601,0),"")</f>
        <v/>
      </c>
      <c r="AI14">
        <f>IF($AG14="","",SUMIF($AG$2:$AG14,$AG14,$AH$2:$AH14))</f>
        <v/>
      </c>
      <c r="AJ14">
        <f>IF('TMP Paste'!$F14="","",IF('TMP Paste'!$B14="",$AJ13,'TMP Paste'!$B14))</f>
        <v/>
      </c>
      <c r="AK14">
        <f>IF('TMP Paste'!$F14="","",N('TMP Paste'!$G14))</f>
        <v/>
      </c>
      <c r="AL14">
        <f>IF('TMP Paste'!$F14="","",IF('TMP Paste'!$M14="",$AL13,'TMP Paste'!$M14))</f>
        <v/>
      </c>
      <c r="AM14">
        <f>IF('TMP Paste'!$F14="","",IF('TMP Paste'!$N14="",$AM13,'TMP Paste'!$N14))</f>
        <v/>
      </c>
      <c r="AN14">
        <f>IF('TMP Paste'!$F14="","",IF('TMP Paste'!$O14="",$AN13,'TMP Paste'!$O14))</f>
        <v/>
      </c>
      <c r="AO14">
        <f>IF('TMP Paste'!$F14="","",IF('TMP Paste'!$P14="",$AO13,'TMP Paste'!$P14))</f>
        <v/>
      </c>
      <c r="AP14">
        <f>IF($AG14="","",LEN($R14))</f>
        <v/>
      </c>
      <c r="AQ14">
        <f>IF($AG14="","",TRIM(IF(COUNTIFS(Calc!$B$2:$B$1601,ROW()-1,Calc!$C$2:$C$1601,"&lt;1")&gt;0,"Ada PO tanpa Koli - cek TMP. ","")&amp;IF(LEN($R14)&gt;500,"R &gt; 500 karakter.","")))</f>
        <v/>
      </c>
    </row>
    <row r="15">
      <c r="A15">
        <f>IF($AG15="","",INDEX('TMP Paste'!$B$2:$B$1601,$AG15))</f>
        <v/>
      </c>
      <c r="B15">
        <f>IF($AG15="","",Config!$B$14)</f>
        <v/>
      </c>
      <c r="C15">
        <f>IF($AG15="","",Config!$B$15)</f>
        <v/>
      </c>
      <c r="D15">
        <f>IF($AG15="","",INDEX('TMP Paste'!$B$2:$B$1601,$AG15))</f>
        <v/>
      </c>
      <c r="E15">
        <f>IF($AG15="","",Config!$B$27)</f>
        <v/>
      </c>
      <c r="F15">
        <f>IF($AG15="","",Config!$B$9)</f>
        <v/>
      </c>
      <c r="G15">
        <f>IF($AG15="","",Config!$B$10)</f>
        <v/>
      </c>
      <c r="H15">
        <f>IF($AG15="","",Config!$B$11)</f>
        <v/>
      </c>
      <c r="I15">
        <f>IF($AG15="","",Config!$B$16)</f>
        <v/>
      </c>
      <c r="J15">
        <f>IF($AG15="","",INDEX('TMP Paste'!$A$2:$A$1601,$AG15))</f>
        <v/>
      </c>
      <c r="K15">
        <f>IF($AG15="","",INDEX('TMP Paste'!$L$2:$L$1601,$AG15))</f>
        <v/>
      </c>
      <c r="L15">
        <f>IF($AG15="","",INDEX('TMP Paste'!$I$2:$I$1601,$AG15))</f>
        <v/>
      </c>
      <c r="M15">
        <f>IF($AG15="","",Config!$B$16)</f>
        <v/>
      </c>
      <c r="N15">
        <f>IF($AG15="","","")</f>
        <v/>
      </c>
      <c r="O15">
        <f>IF($AG15="","",INDEX('TMP Paste'!$K$2:$K$1601,$AG15))</f>
        <v/>
      </c>
      <c r="P15">
        <f>IF($AG15="","","")</f>
        <v/>
      </c>
      <c r="Q15">
        <f>IF($AG15="","",INDEX('TMP Paste'!$J$2:$J$1601,$AG15))</f>
        <v/>
      </c>
      <c r="R15">
        <f>IF($AG15="","",Config!$B$24)</f>
        <v/>
      </c>
      <c r="S15">
        <f>IF($AG15="","",TEXT(Config!$B$4,"yyyy-mm-dd"))</f>
        <v/>
      </c>
      <c r="T15">
        <f>IF($AG15="","",Config!$B$17)</f>
        <v/>
      </c>
      <c r="U15">
        <f>IF($AG15="","",Config!$B$18)</f>
        <v/>
      </c>
      <c r="V15">
        <f>IF($AG15="","",Config!$B$19)</f>
        <v/>
      </c>
      <c r="W15">
        <f>IF($AG15="","",INDEX('TMP Paste'!$C$2:$C$1601,$AG15))</f>
        <v/>
      </c>
      <c r="X15">
        <f>IF($AG15="","",Config!$B$29)</f>
        <v/>
      </c>
      <c r="Y15">
        <f>IF($AH15="","",INDEX(Calc!$I$2:$I$1601,$AH15)&amp;" - "&amp;INDEX(Calc!$D$2:$D$1601,$AH15)&amp;" koli")</f>
        <v/>
      </c>
      <c r="Z15">
        <f>IF($AG15="","",Config!$B$21)</f>
        <v/>
      </c>
      <c r="AA15">
        <f>IF($AG15="","",Config!$B$22)</f>
        <v/>
      </c>
      <c r="AB15">
        <f>IF($AH15="","",INDEX(Calc!$D$2:$D$1601,$AH15))</f>
        <v/>
      </c>
      <c r="AC15">
        <f>IF($AH15="","",INDEX(Calc!$G$2:$G$1601,$AH15))</f>
        <v/>
      </c>
      <c r="AD15">
        <f>IF($AG15="","",Config!$B$23)</f>
        <v/>
      </c>
      <c r="AE15">
        <f>IF($AG15="","",Config!$B$28)</f>
        <v/>
      </c>
      <c r="AG15">
        <f>IFERROR(MATCH(ROW()-1,Calc!$J$2:$J$1601,0),"")</f>
        <v/>
      </c>
      <c r="AH15">
        <f>IFERROR(MATCH(ROW()-1,Calc!$K$2:$K$1601,0),"")</f>
        <v/>
      </c>
      <c r="AI15">
        <f>IF($AG15="","",SUMIF($AG$2:$AG15,$AG15,$AH$2:$AH15))</f>
        <v/>
      </c>
      <c r="AJ15">
        <f>IF('TMP Paste'!$F15="","",IF('TMP Paste'!$B15="",$AJ14,'TMP Paste'!$B15))</f>
        <v/>
      </c>
      <c r="AK15">
        <f>IF('TMP Paste'!$F15="","",N('TMP Paste'!$G15))</f>
        <v/>
      </c>
      <c r="AL15">
        <f>IF('TMP Paste'!$F15="","",IF('TMP Paste'!$M15="",$AL14,'TMP Paste'!$M15))</f>
        <v/>
      </c>
      <c r="AM15">
        <f>IF('TMP Paste'!$F15="","",IF('TMP Paste'!$N15="",$AM14,'TMP Paste'!$N15))</f>
        <v/>
      </c>
      <c r="AN15">
        <f>IF('TMP Paste'!$F15="","",IF('TMP Paste'!$O15="",$AN14,'TMP Paste'!$O15))</f>
        <v/>
      </c>
      <c r="AO15">
        <f>IF('TMP Paste'!$F15="","",IF('TMP Paste'!$P15="",$AO14,'TMP Paste'!$P15))</f>
        <v/>
      </c>
      <c r="AP15">
        <f>IF($AG15="","",LEN($R15))</f>
        <v/>
      </c>
      <c r="AQ15">
        <f>IF($AG15="","",TRIM(IF(COUNTIFS(Calc!$B$2:$B$1601,ROW()-1,Calc!$C$2:$C$1601,"&lt;1")&gt;0,"Ada PO tanpa Koli - cek TMP. ","")&amp;IF(LEN($R15)&gt;500,"R &gt; 500 karakter.","")))</f>
        <v/>
      </c>
    </row>
    <row r="16">
      <c r="A16">
        <f>IF($AG16="","",INDEX('TMP Paste'!$B$2:$B$1601,$AG16))</f>
        <v/>
      </c>
      <c r="B16">
        <f>IF($AG16="","",Config!$B$14)</f>
        <v/>
      </c>
      <c r="C16">
        <f>IF($AG16="","",Config!$B$15)</f>
        <v/>
      </c>
      <c r="D16">
        <f>IF($AG16="","",INDEX('TMP Paste'!$B$2:$B$1601,$AG16))</f>
        <v/>
      </c>
      <c r="E16">
        <f>IF($AG16="","",Config!$B$27)</f>
        <v/>
      </c>
      <c r="F16">
        <f>IF($AG16="","",Config!$B$9)</f>
        <v/>
      </c>
      <c r="G16">
        <f>IF($AG16="","",Config!$B$10)</f>
        <v/>
      </c>
      <c r="H16">
        <f>IF($AG16="","",Config!$B$11)</f>
        <v/>
      </c>
      <c r="I16">
        <f>IF($AG16="","",Config!$B$16)</f>
        <v/>
      </c>
      <c r="J16">
        <f>IF($AG16="","",INDEX('TMP Paste'!$A$2:$A$1601,$AG16))</f>
        <v/>
      </c>
      <c r="K16">
        <f>IF($AG16="","",INDEX('TMP Paste'!$L$2:$L$1601,$AG16))</f>
        <v/>
      </c>
      <c r="L16">
        <f>IF($AG16="","",INDEX('TMP Paste'!$I$2:$I$1601,$AG16))</f>
        <v/>
      </c>
      <c r="M16">
        <f>IF($AG16="","",Config!$B$16)</f>
        <v/>
      </c>
      <c r="N16">
        <f>IF($AG16="","","")</f>
        <v/>
      </c>
      <c r="O16">
        <f>IF($AG16="","",INDEX('TMP Paste'!$K$2:$K$1601,$AG16))</f>
        <v/>
      </c>
      <c r="P16">
        <f>IF($AG16="","","")</f>
        <v/>
      </c>
      <c r="Q16">
        <f>IF($AG16="","",INDEX('TMP Paste'!$J$2:$J$1601,$AG16))</f>
        <v/>
      </c>
      <c r="R16">
        <f>IF($AG16="","",Config!$B$24)</f>
        <v/>
      </c>
      <c r="S16">
        <f>IF($AG16="","",TEXT(Config!$B$4,"yyyy-mm-dd"))</f>
        <v/>
      </c>
      <c r="T16">
        <f>IF($AG16="","",Config!$B$17)</f>
        <v/>
      </c>
      <c r="U16">
        <f>IF($AG16="","",Config!$B$18)</f>
        <v/>
      </c>
      <c r="V16">
        <f>IF($AG16="","",Config!$B$19)</f>
        <v/>
      </c>
      <c r="W16">
        <f>IF($AG16="","",INDEX('TMP Paste'!$C$2:$C$1601,$AG16))</f>
        <v/>
      </c>
      <c r="X16">
        <f>IF($AG16="","",Config!$B$29)</f>
        <v/>
      </c>
      <c r="Y16">
        <f>IF($AH16="","",INDEX(Calc!$I$2:$I$1601,$AH16)&amp;" - "&amp;INDEX(Calc!$D$2:$D$1601,$AH16)&amp;" koli")</f>
        <v/>
      </c>
      <c r="Z16">
        <f>IF($AG16="","",Config!$B$21)</f>
        <v/>
      </c>
      <c r="AA16">
        <f>IF($AG16="","",Config!$B$22)</f>
        <v/>
      </c>
      <c r="AB16">
        <f>IF($AH16="","",INDEX(Calc!$D$2:$D$1601,$AH16))</f>
        <v/>
      </c>
      <c r="AC16">
        <f>IF($AH16="","",INDEX(Calc!$G$2:$G$1601,$AH16))</f>
        <v/>
      </c>
      <c r="AD16">
        <f>IF($AG16="","",Config!$B$23)</f>
        <v/>
      </c>
      <c r="AE16">
        <f>IF($AG16="","",Config!$B$28)</f>
        <v/>
      </c>
      <c r="AG16">
        <f>IFERROR(MATCH(ROW()-1,Calc!$J$2:$J$1601,0),"")</f>
        <v/>
      </c>
      <c r="AH16">
        <f>IFERROR(MATCH(ROW()-1,Calc!$K$2:$K$1601,0),"")</f>
        <v/>
      </c>
      <c r="AI16">
        <f>IF($AG16="","",SUMIF($AG$2:$AG16,$AG16,$AH$2:$AH16))</f>
        <v/>
      </c>
      <c r="AJ16">
        <f>IF('TMP Paste'!$F16="","",IF('TMP Paste'!$B16="",$AJ15,'TMP Paste'!$B16))</f>
        <v/>
      </c>
      <c r="AK16">
        <f>IF('TMP Paste'!$F16="","",N('TMP Paste'!$G16))</f>
        <v/>
      </c>
      <c r="AL16">
        <f>IF('TMP Paste'!$F16="","",IF('TMP Paste'!$M16="",$AL15,'TMP Paste'!$M16))</f>
        <v/>
      </c>
      <c r="AM16">
        <f>IF('TMP Paste'!$F16="","",IF('TMP Paste'!$N16="",$AM15,'TMP Paste'!$N16))</f>
        <v/>
      </c>
      <c r="AN16">
        <f>IF('TMP Paste'!$F16="","",IF('TMP Paste'!$O16="",$AN15,'TMP Paste'!$O16))</f>
        <v/>
      </c>
      <c r="AO16">
        <f>IF('TMP Paste'!$F16="","",IF('TMP Paste'!$P16="",$AO15,'TMP Paste'!$P16))</f>
        <v/>
      </c>
      <c r="AP16">
        <f>IF($AG16="","",LEN($R16))</f>
        <v/>
      </c>
      <c r="AQ16">
        <f>IF($AG16="","",TRIM(IF(COUNTIFS(Calc!$B$2:$B$1601,ROW()-1,Calc!$C$2:$C$1601,"&lt;1")&gt;0,"Ada PO tanpa Koli - cek TMP. ","")&amp;IF(LEN($R16)&gt;500,"R &gt; 500 karakter.","")))</f>
        <v/>
      </c>
    </row>
    <row r="17">
      <c r="A17">
        <f>IF($AG17="","",INDEX('TMP Paste'!$B$2:$B$1601,$AG17))</f>
        <v/>
      </c>
      <c r="B17">
        <f>IF($AG17="","",Config!$B$14)</f>
        <v/>
      </c>
      <c r="C17">
        <f>IF($AG17="","",Config!$B$15)</f>
        <v/>
      </c>
      <c r="D17">
        <f>IF($AG17="","",INDEX('TMP Paste'!$B$2:$B$1601,$AG17))</f>
        <v/>
      </c>
      <c r="E17">
        <f>IF($AG17="","",Config!$B$27)</f>
        <v/>
      </c>
      <c r="F17">
        <f>IF($AG17="","",Config!$B$9)</f>
        <v/>
      </c>
      <c r="G17">
        <f>IF($AG17="","",Config!$B$10)</f>
        <v/>
      </c>
      <c r="H17">
        <f>IF($AG17="","",Config!$B$11)</f>
        <v/>
      </c>
      <c r="I17">
        <f>IF($AG17="","",Config!$B$16)</f>
        <v/>
      </c>
      <c r="J17">
        <f>IF($AG17="","",INDEX('TMP Paste'!$A$2:$A$1601,$AG17))</f>
        <v/>
      </c>
      <c r="K17">
        <f>IF($AG17="","",INDEX('TMP Paste'!$L$2:$L$1601,$AG17))</f>
        <v/>
      </c>
      <c r="L17">
        <f>IF($AG17="","",INDEX('TMP Paste'!$I$2:$I$1601,$AG17))</f>
        <v/>
      </c>
      <c r="M17">
        <f>IF($AG17="","",Config!$B$16)</f>
        <v/>
      </c>
      <c r="N17">
        <f>IF($AG17="","","")</f>
        <v/>
      </c>
      <c r="O17">
        <f>IF($AG17="","",INDEX('TMP Paste'!$K$2:$K$1601,$AG17))</f>
        <v/>
      </c>
      <c r="P17">
        <f>IF($AG17="","","")</f>
        <v/>
      </c>
      <c r="Q17">
        <f>IF($AG17="","",INDEX('TMP Paste'!$J$2:$J$1601,$AG17))</f>
        <v/>
      </c>
      <c r="R17">
        <f>IF($AG17="","",Config!$B$24)</f>
        <v/>
      </c>
      <c r="S17">
        <f>IF($AG17="","",TEXT(Config!$B$4,"yyyy-mm-dd"))</f>
        <v/>
      </c>
      <c r="T17">
        <f>IF($AG17="","",Config!$B$17)</f>
        <v/>
      </c>
      <c r="U17">
        <f>IF($AG17="","",Config!$B$18)</f>
        <v/>
      </c>
      <c r="V17">
        <f>IF($AG17="","",Config!$B$19)</f>
        <v/>
      </c>
      <c r="W17">
        <f>IF($AG17="","",INDEX('TMP Paste'!$C$2:$C$1601,$AG17))</f>
        <v/>
      </c>
      <c r="X17">
        <f>IF($AG17="","",Config!$B$29)</f>
        <v/>
      </c>
      <c r="Y17">
        <f>IF($AH17="","",INDEX(Calc!$I$2:$I$1601,$AH17)&amp;" - "&amp;INDEX(Calc!$D$2:$D$1601,$AH17)&amp;" koli")</f>
        <v/>
      </c>
      <c r="Z17">
        <f>IF($AG17="","",Config!$B$21)</f>
        <v/>
      </c>
      <c r="AA17">
        <f>IF($AG17="","",Config!$B$22)</f>
        <v/>
      </c>
      <c r="AB17">
        <f>IF($AH17="","",INDEX(Calc!$D$2:$D$1601,$AH17))</f>
        <v/>
      </c>
      <c r="AC17">
        <f>IF($AH17="","",INDEX(Calc!$G$2:$G$1601,$AH17))</f>
        <v/>
      </c>
      <c r="AD17">
        <f>IF($AG17="","",Config!$B$23)</f>
        <v/>
      </c>
      <c r="AE17">
        <f>IF($AG17="","",Config!$B$28)</f>
        <v/>
      </c>
      <c r="AG17">
        <f>IFERROR(MATCH(ROW()-1,Calc!$J$2:$J$1601,0),"")</f>
        <v/>
      </c>
      <c r="AH17">
        <f>IFERROR(MATCH(ROW()-1,Calc!$K$2:$K$1601,0),"")</f>
        <v/>
      </c>
      <c r="AI17">
        <f>IF($AG17="","",SUMIF($AG$2:$AG17,$AG17,$AH$2:$AH17))</f>
        <v/>
      </c>
      <c r="AJ17">
        <f>IF('TMP Paste'!$F17="","",IF('TMP Paste'!$B17="",$AJ16,'TMP Paste'!$B17))</f>
        <v/>
      </c>
      <c r="AK17">
        <f>IF('TMP Paste'!$F17="","",N('TMP Paste'!$G17))</f>
        <v/>
      </c>
      <c r="AL17">
        <f>IF('TMP Paste'!$F17="","",IF('TMP Paste'!$M17="",$AL16,'TMP Paste'!$M17))</f>
        <v/>
      </c>
      <c r="AM17">
        <f>IF('TMP Paste'!$F17="","",IF('TMP Paste'!$N17="",$AM16,'TMP Paste'!$N17))</f>
        <v/>
      </c>
      <c r="AN17">
        <f>IF('TMP Paste'!$F17="","",IF('TMP Paste'!$O17="",$AN16,'TMP Paste'!$O17))</f>
        <v/>
      </c>
      <c r="AO17">
        <f>IF('TMP Paste'!$F17="","",IF('TMP Paste'!$P17="",$AO16,'TMP Paste'!$P17))</f>
        <v/>
      </c>
      <c r="AP17">
        <f>IF($AG17="","",LEN($R17))</f>
        <v/>
      </c>
      <c r="AQ17">
        <f>IF($AG17="","",TRIM(IF(COUNTIFS(Calc!$B$2:$B$1601,ROW()-1,Calc!$C$2:$C$1601,"&lt;1")&gt;0,"Ada PO tanpa Koli - cek TMP. ","")&amp;IF(LEN($R17)&gt;500,"R &gt; 500 karakter.","")))</f>
        <v/>
      </c>
    </row>
    <row r="18">
      <c r="A18">
        <f>IF($AG18="","",INDEX('TMP Paste'!$B$2:$B$1601,$AG18))</f>
        <v/>
      </c>
      <c r="B18">
        <f>IF($AG18="","",Config!$B$14)</f>
        <v/>
      </c>
      <c r="C18">
        <f>IF($AG18="","",Config!$B$15)</f>
        <v/>
      </c>
      <c r="D18">
        <f>IF($AG18="","",INDEX('TMP Paste'!$B$2:$B$1601,$AG18))</f>
        <v/>
      </c>
      <c r="E18">
        <f>IF($AG18="","",Config!$B$27)</f>
        <v/>
      </c>
      <c r="F18">
        <f>IF($AG18="","",Config!$B$9)</f>
        <v/>
      </c>
      <c r="G18">
        <f>IF($AG18="","",Config!$B$10)</f>
        <v/>
      </c>
      <c r="H18">
        <f>IF($AG18="","",Config!$B$11)</f>
        <v/>
      </c>
      <c r="I18">
        <f>IF($AG18="","",Config!$B$16)</f>
        <v/>
      </c>
      <c r="J18">
        <f>IF($AG18="","",INDEX('TMP Paste'!$A$2:$A$1601,$AG18))</f>
        <v/>
      </c>
      <c r="K18">
        <f>IF($AG18="","",INDEX('TMP Paste'!$L$2:$L$1601,$AG18))</f>
        <v/>
      </c>
      <c r="L18">
        <f>IF($AG18="","",INDEX('TMP Paste'!$I$2:$I$1601,$AG18))</f>
        <v/>
      </c>
      <c r="M18">
        <f>IF($AG18="","",Config!$B$16)</f>
        <v/>
      </c>
      <c r="N18">
        <f>IF($AG18="","","")</f>
        <v/>
      </c>
      <c r="O18">
        <f>IF($AG18="","",INDEX('TMP Paste'!$K$2:$K$1601,$AG18))</f>
        <v/>
      </c>
      <c r="P18">
        <f>IF($AG18="","","")</f>
        <v/>
      </c>
      <c r="Q18">
        <f>IF($AG18="","",INDEX('TMP Paste'!$J$2:$J$1601,$AG18))</f>
        <v/>
      </c>
      <c r="R18">
        <f>IF($AG18="","",Config!$B$24)</f>
        <v/>
      </c>
      <c r="S18">
        <f>IF($AG18="","",TEXT(Config!$B$4,"yyyy-mm-dd"))</f>
        <v/>
      </c>
      <c r="T18">
        <f>IF($AG18="","",Config!$B$17)</f>
        <v/>
      </c>
      <c r="U18">
        <f>IF($AG18="","",Config!$B$18)</f>
        <v/>
      </c>
      <c r="V18">
        <f>IF($AG18="","",Config!$B$19)</f>
        <v/>
      </c>
      <c r="W18">
        <f>IF($AG18="","",INDEX('TMP Paste'!$C$2:$C$1601,$AG18))</f>
        <v/>
      </c>
      <c r="X18">
        <f>IF($AG18="","",Config!$B$29)</f>
        <v/>
      </c>
      <c r="Y18">
        <f>IF($AH18="","",INDEX(Calc!$I$2:$I$1601,$AH18)&amp;" - "&amp;INDEX(Calc!$D$2:$D$1601,$AH18)&amp;" koli")</f>
        <v/>
      </c>
      <c r="Z18">
        <f>IF($AG18="","",Config!$B$21)</f>
        <v/>
      </c>
      <c r="AA18">
        <f>IF($AG18="","",Config!$B$22)</f>
        <v/>
      </c>
      <c r="AB18">
        <f>IF($AH18="","",INDEX(Calc!$D$2:$D$1601,$AH18))</f>
        <v/>
      </c>
      <c r="AC18">
        <f>IF($AH18="","",INDEX(Calc!$G$2:$G$1601,$AH18))</f>
        <v/>
      </c>
      <c r="AD18">
        <f>IF($AG18="","",Config!$B$23)</f>
        <v/>
      </c>
      <c r="AE18">
        <f>IF($AG18="","",Config!$B$28)</f>
        <v/>
      </c>
      <c r="AG18">
        <f>IFERROR(MATCH(ROW()-1,Calc!$J$2:$J$1601,0),"")</f>
        <v/>
      </c>
      <c r="AH18">
        <f>IFERROR(MATCH(ROW()-1,Calc!$K$2:$K$1601,0),"")</f>
        <v/>
      </c>
      <c r="AI18">
        <f>IF($AG18="","",SUMIF($AG$2:$AG18,$AG18,$AH$2:$AH18))</f>
        <v/>
      </c>
      <c r="AJ18">
        <f>IF('TMP Paste'!$F18="","",IF('TMP Paste'!$B18="",$AJ17,'TMP Paste'!$B18))</f>
        <v/>
      </c>
      <c r="AK18">
        <f>IF('TMP Paste'!$F18="","",N('TMP Paste'!$G18))</f>
        <v/>
      </c>
      <c r="AL18">
        <f>IF('TMP Paste'!$F18="","",IF('TMP Paste'!$M18="",$AL17,'TMP Paste'!$M18))</f>
        <v/>
      </c>
      <c r="AM18">
        <f>IF('TMP Paste'!$F18="","",IF('TMP Paste'!$N18="",$AM17,'TMP Paste'!$N18))</f>
        <v/>
      </c>
      <c r="AN18">
        <f>IF('TMP Paste'!$F18="","",IF('TMP Paste'!$O18="",$AN17,'TMP Paste'!$O18))</f>
        <v/>
      </c>
      <c r="AO18">
        <f>IF('TMP Paste'!$F18="","",IF('TMP Paste'!$P18="",$AO17,'TMP Paste'!$P18))</f>
        <v/>
      </c>
      <c r="AP18">
        <f>IF($AG18="","",LEN($R18))</f>
        <v/>
      </c>
      <c r="AQ18">
        <f>IF($AG18="","",TRIM(IF(COUNTIFS(Calc!$B$2:$B$1601,ROW()-1,Calc!$C$2:$C$1601,"&lt;1")&gt;0,"Ada PO tanpa Koli - cek TMP. ","")&amp;IF(LEN($R18)&gt;500,"R &gt; 500 karakter.","")))</f>
        <v/>
      </c>
    </row>
    <row r="19">
      <c r="A19">
        <f>IF($AG19="","",INDEX('TMP Paste'!$B$2:$B$1601,$AG19))</f>
        <v/>
      </c>
      <c r="B19">
        <f>IF($AG19="","",Config!$B$14)</f>
        <v/>
      </c>
      <c r="C19">
        <f>IF($AG19="","",Config!$B$15)</f>
        <v/>
      </c>
      <c r="D19">
        <f>IF($AG19="","",INDEX('TMP Paste'!$B$2:$B$1601,$AG19))</f>
        <v/>
      </c>
      <c r="E19">
        <f>IF($AG19="","",Config!$B$27)</f>
        <v/>
      </c>
      <c r="F19">
        <f>IF($AG19="","",Config!$B$9)</f>
        <v/>
      </c>
      <c r="G19">
        <f>IF($AG19="","",Config!$B$10)</f>
        <v/>
      </c>
      <c r="H19">
        <f>IF($AG19="","",Config!$B$11)</f>
        <v/>
      </c>
      <c r="I19">
        <f>IF($AG19="","",Config!$B$16)</f>
        <v/>
      </c>
      <c r="J19">
        <f>IF($AG19="","",INDEX('TMP Paste'!$A$2:$A$1601,$AG19))</f>
        <v/>
      </c>
      <c r="K19">
        <f>IF($AG19="","",INDEX('TMP Paste'!$L$2:$L$1601,$AG19))</f>
        <v/>
      </c>
      <c r="L19">
        <f>IF($AG19="","",INDEX('TMP Paste'!$I$2:$I$1601,$AG19))</f>
        <v/>
      </c>
      <c r="M19">
        <f>IF($AG19="","",Config!$B$16)</f>
        <v/>
      </c>
      <c r="N19">
        <f>IF($AG19="","","")</f>
        <v/>
      </c>
      <c r="O19">
        <f>IF($AG19="","",INDEX('TMP Paste'!$K$2:$K$1601,$AG19))</f>
        <v/>
      </c>
      <c r="P19">
        <f>IF($AG19="","","")</f>
        <v/>
      </c>
      <c r="Q19">
        <f>IF($AG19="","",INDEX('TMP Paste'!$J$2:$J$1601,$AG19))</f>
        <v/>
      </c>
      <c r="R19">
        <f>IF($AG19="","",Config!$B$24)</f>
        <v/>
      </c>
      <c r="S19">
        <f>IF($AG19="","",TEXT(Config!$B$4,"yyyy-mm-dd"))</f>
        <v/>
      </c>
      <c r="T19">
        <f>IF($AG19="","",Config!$B$17)</f>
        <v/>
      </c>
      <c r="U19">
        <f>IF($AG19="","",Config!$B$18)</f>
        <v/>
      </c>
      <c r="V19">
        <f>IF($AG19="","",Config!$B$19)</f>
        <v/>
      </c>
      <c r="W19">
        <f>IF($AG19="","",INDEX('TMP Paste'!$C$2:$C$1601,$AG19))</f>
        <v/>
      </c>
      <c r="X19">
        <f>IF($AG19="","",Config!$B$29)</f>
        <v/>
      </c>
      <c r="Y19">
        <f>IF($AH19="","",INDEX(Calc!$I$2:$I$1601,$AH19)&amp;" - "&amp;INDEX(Calc!$D$2:$D$1601,$AH19)&amp;" koli")</f>
        <v/>
      </c>
      <c r="Z19">
        <f>IF($AG19="","",Config!$B$21)</f>
        <v/>
      </c>
      <c r="AA19">
        <f>IF($AG19="","",Config!$B$22)</f>
        <v/>
      </c>
      <c r="AB19">
        <f>IF($AH19="","",INDEX(Calc!$D$2:$D$1601,$AH19))</f>
        <v/>
      </c>
      <c r="AC19">
        <f>IF($AH19="","",INDEX(Calc!$G$2:$G$1601,$AH19))</f>
        <v/>
      </c>
      <c r="AD19">
        <f>IF($AG19="","",Config!$B$23)</f>
        <v/>
      </c>
      <c r="AE19">
        <f>IF($AG19="","",Config!$B$28)</f>
        <v/>
      </c>
      <c r="AG19">
        <f>IFERROR(MATCH(ROW()-1,Calc!$J$2:$J$1601,0),"")</f>
        <v/>
      </c>
      <c r="AH19">
        <f>IFERROR(MATCH(ROW()-1,Calc!$K$2:$K$1601,0),"")</f>
        <v/>
      </c>
      <c r="AI19">
        <f>IF($AG19="","",SUMIF($AG$2:$AG19,$AG19,$AH$2:$AH19))</f>
        <v/>
      </c>
      <c r="AJ19">
        <f>IF('TMP Paste'!$F19="","",IF('TMP Paste'!$B19="",$AJ18,'TMP Paste'!$B19))</f>
        <v/>
      </c>
      <c r="AK19">
        <f>IF('TMP Paste'!$F19="","",N('TMP Paste'!$G19))</f>
        <v/>
      </c>
      <c r="AL19">
        <f>IF('TMP Paste'!$F19="","",IF('TMP Paste'!$M19="",$AL18,'TMP Paste'!$M19))</f>
        <v/>
      </c>
      <c r="AM19">
        <f>IF('TMP Paste'!$F19="","",IF('TMP Paste'!$N19="",$AM18,'TMP Paste'!$N19))</f>
        <v/>
      </c>
      <c r="AN19">
        <f>IF('TMP Paste'!$F19="","",IF('TMP Paste'!$O19="",$AN18,'TMP Paste'!$O19))</f>
        <v/>
      </c>
      <c r="AO19">
        <f>IF('TMP Paste'!$F19="","",IF('TMP Paste'!$P19="",$AO18,'TMP Paste'!$P19))</f>
        <v/>
      </c>
      <c r="AP19">
        <f>IF($AG19="","",LEN($R19))</f>
        <v/>
      </c>
      <c r="AQ19">
        <f>IF($AG19="","",TRIM(IF(COUNTIFS(Calc!$B$2:$B$1601,ROW()-1,Calc!$C$2:$C$1601,"&lt;1")&gt;0,"Ada PO tanpa Koli - cek TMP. ","")&amp;IF(LEN($R19)&gt;500,"R &gt; 500 karakter.","")))</f>
        <v/>
      </c>
    </row>
    <row r="20">
      <c r="A20">
        <f>IF($AG20="","",INDEX('TMP Paste'!$B$2:$B$1601,$AG20))</f>
        <v/>
      </c>
      <c r="B20">
        <f>IF($AG20="","",Config!$B$14)</f>
        <v/>
      </c>
      <c r="C20">
        <f>IF($AG20="","",Config!$B$15)</f>
        <v/>
      </c>
      <c r="D20">
        <f>IF($AG20="","",INDEX('TMP Paste'!$B$2:$B$1601,$AG20))</f>
        <v/>
      </c>
      <c r="E20">
        <f>IF($AG20="","",Config!$B$27)</f>
        <v/>
      </c>
      <c r="F20">
        <f>IF($AG20="","",Config!$B$9)</f>
        <v/>
      </c>
      <c r="G20">
        <f>IF($AG20="","",Config!$B$10)</f>
        <v/>
      </c>
      <c r="H20">
        <f>IF($AG20="","",Config!$B$11)</f>
        <v/>
      </c>
      <c r="I20">
        <f>IF($AG20="","",Config!$B$16)</f>
        <v/>
      </c>
      <c r="J20">
        <f>IF($AG20="","",INDEX('TMP Paste'!$A$2:$A$1601,$AG20))</f>
        <v/>
      </c>
      <c r="K20">
        <f>IF($AG20="","",INDEX('TMP Paste'!$L$2:$L$1601,$AG20))</f>
        <v/>
      </c>
      <c r="L20">
        <f>IF($AG20="","",INDEX('TMP Paste'!$I$2:$I$1601,$AG20))</f>
        <v/>
      </c>
      <c r="M20">
        <f>IF($AG20="","",Config!$B$16)</f>
        <v/>
      </c>
      <c r="N20">
        <f>IF($AG20="","","")</f>
        <v/>
      </c>
      <c r="O20">
        <f>IF($AG20="","",INDEX('TMP Paste'!$K$2:$K$1601,$AG20))</f>
        <v/>
      </c>
      <c r="P20">
        <f>IF($AG20="","","")</f>
        <v/>
      </c>
      <c r="Q20">
        <f>IF($AG20="","",INDEX('TMP Paste'!$J$2:$J$1601,$AG20))</f>
        <v/>
      </c>
      <c r="R20">
        <f>IF($AG20="","",Config!$B$24)</f>
        <v/>
      </c>
      <c r="S20">
        <f>IF($AG20="","",TEXT(Config!$B$4,"yyyy-mm-dd"))</f>
        <v/>
      </c>
      <c r="T20">
        <f>IF($AG20="","",Config!$B$17)</f>
        <v/>
      </c>
      <c r="U20">
        <f>IF($AG20="","",Config!$B$18)</f>
        <v/>
      </c>
      <c r="V20">
        <f>IF($AG20="","",Config!$B$19)</f>
        <v/>
      </c>
      <c r="W20">
        <f>IF($AG20="","",INDEX('TMP Paste'!$C$2:$C$1601,$AG20))</f>
        <v/>
      </c>
      <c r="X20">
        <f>IF($AG20="","",Config!$B$29)</f>
        <v/>
      </c>
      <c r="Y20">
        <f>IF($AH20="","",INDEX(Calc!$I$2:$I$1601,$AH20)&amp;" - "&amp;INDEX(Calc!$D$2:$D$1601,$AH20)&amp;" koli")</f>
        <v/>
      </c>
      <c r="Z20">
        <f>IF($AG20="","",Config!$B$21)</f>
        <v/>
      </c>
      <c r="AA20">
        <f>IF($AG20="","",Config!$B$22)</f>
        <v/>
      </c>
      <c r="AB20">
        <f>IF($AH20="","",INDEX(Calc!$D$2:$D$1601,$AH20))</f>
        <v/>
      </c>
      <c r="AC20">
        <f>IF($AH20="","",INDEX(Calc!$G$2:$G$1601,$AH20))</f>
        <v/>
      </c>
      <c r="AD20">
        <f>IF($AG20="","",Config!$B$23)</f>
        <v/>
      </c>
      <c r="AE20">
        <f>IF($AG20="","",Config!$B$28)</f>
        <v/>
      </c>
      <c r="AG20">
        <f>IFERROR(MATCH(ROW()-1,Calc!$J$2:$J$1601,0),"")</f>
        <v/>
      </c>
      <c r="AH20">
        <f>IFERROR(MATCH(ROW()-1,Calc!$K$2:$K$1601,0),"")</f>
        <v/>
      </c>
      <c r="AI20">
        <f>IF($AG20="","",SUMIF($AG$2:$AG20,$AG20,$AH$2:$AH20))</f>
        <v/>
      </c>
      <c r="AJ20">
        <f>IF('TMP Paste'!$F20="","",IF('TMP Paste'!$B20="",$AJ19,'TMP Paste'!$B20))</f>
        <v/>
      </c>
      <c r="AK20">
        <f>IF('TMP Paste'!$F20="","",N('TMP Paste'!$G20))</f>
        <v/>
      </c>
      <c r="AL20">
        <f>IF('TMP Paste'!$F20="","",IF('TMP Paste'!$M20="",$AL19,'TMP Paste'!$M20))</f>
        <v/>
      </c>
      <c r="AM20">
        <f>IF('TMP Paste'!$F20="","",IF('TMP Paste'!$N20="",$AM19,'TMP Paste'!$N20))</f>
        <v/>
      </c>
      <c r="AN20">
        <f>IF('TMP Paste'!$F20="","",IF('TMP Paste'!$O20="",$AN19,'TMP Paste'!$O20))</f>
        <v/>
      </c>
      <c r="AO20">
        <f>IF('TMP Paste'!$F20="","",IF('TMP Paste'!$P20="",$AO19,'TMP Paste'!$P20))</f>
        <v/>
      </c>
      <c r="AP20">
        <f>IF($AG20="","",LEN($R20))</f>
        <v/>
      </c>
      <c r="AQ20">
        <f>IF($AG20="","",TRIM(IF(COUNTIFS(Calc!$B$2:$B$1601,ROW()-1,Calc!$C$2:$C$1601,"&lt;1")&gt;0,"Ada PO tanpa Koli - cek TMP. ","")&amp;IF(LEN($R20)&gt;500,"R &gt; 500 karakter.","")))</f>
        <v/>
      </c>
    </row>
    <row r="21">
      <c r="A21">
        <f>IF($AG21="","",INDEX('TMP Paste'!$B$2:$B$1601,$AG21))</f>
        <v/>
      </c>
      <c r="B21">
        <f>IF($AG21="","",Config!$B$14)</f>
        <v/>
      </c>
      <c r="C21">
        <f>IF($AG21="","",Config!$B$15)</f>
        <v/>
      </c>
      <c r="D21">
        <f>IF($AG21="","",INDEX('TMP Paste'!$B$2:$B$1601,$AG21))</f>
        <v/>
      </c>
      <c r="E21">
        <f>IF($AG21="","",Config!$B$27)</f>
        <v/>
      </c>
      <c r="F21">
        <f>IF($AG21="","",Config!$B$9)</f>
        <v/>
      </c>
      <c r="G21">
        <f>IF($AG21="","",Config!$B$10)</f>
        <v/>
      </c>
      <c r="H21">
        <f>IF($AG21="","",Config!$B$11)</f>
        <v/>
      </c>
      <c r="I21">
        <f>IF($AG21="","",Config!$B$16)</f>
        <v/>
      </c>
      <c r="J21">
        <f>IF($AG21="","",INDEX('TMP Paste'!$A$2:$A$1601,$AG21))</f>
        <v/>
      </c>
      <c r="K21">
        <f>IF($AG21="","",INDEX('TMP Paste'!$L$2:$L$1601,$AG21))</f>
        <v/>
      </c>
      <c r="L21">
        <f>IF($AG21="","",INDEX('TMP Paste'!$I$2:$I$1601,$AG21))</f>
        <v/>
      </c>
      <c r="M21">
        <f>IF($AG21="","",Config!$B$16)</f>
        <v/>
      </c>
      <c r="N21">
        <f>IF($AG21="","","")</f>
        <v/>
      </c>
      <c r="O21">
        <f>IF($AG21="","",INDEX('TMP Paste'!$K$2:$K$1601,$AG21))</f>
        <v/>
      </c>
      <c r="P21">
        <f>IF($AG21="","","")</f>
        <v/>
      </c>
      <c r="Q21">
        <f>IF($AG21="","",INDEX('TMP Paste'!$J$2:$J$1601,$AG21))</f>
        <v/>
      </c>
      <c r="R21">
        <f>IF($AG21="","",Config!$B$24)</f>
        <v/>
      </c>
      <c r="S21">
        <f>IF($AG21="","",TEXT(Config!$B$4,"yyyy-mm-dd"))</f>
        <v/>
      </c>
      <c r="T21">
        <f>IF($AG21="","",Config!$B$17)</f>
        <v/>
      </c>
      <c r="U21">
        <f>IF($AG21="","",Config!$B$18)</f>
        <v/>
      </c>
      <c r="V21">
        <f>IF($AG21="","",Config!$B$19)</f>
        <v/>
      </c>
      <c r="W21">
        <f>IF($AG21="","",INDEX('TMP Paste'!$C$2:$C$1601,$AG21))</f>
        <v/>
      </c>
      <c r="X21">
        <f>IF($AG21="","",Config!$B$29)</f>
        <v/>
      </c>
      <c r="Y21">
        <f>IF($AH21="","",INDEX(Calc!$I$2:$I$1601,$AH21)&amp;" - "&amp;INDEX(Calc!$D$2:$D$1601,$AH21)&amp;" koli")</f>
        <v/>
      </c>
      <c r="Z21">
        <f>IF($AG21="","",Config!$B$21)</f>
        <v/>
      </c>
      <c r="AA21">
        <f>IF($AG21="","",Config!$B$22)</f>
        <v/>
      </c>
      <c r="AB21">
        <f>IF($AH21="","",INDEX(Calc!$D$2:$D$1601,$AH21))</f>
        <v/>
      </c>
      <c r="AC21">
        <f>IF($AH21="","",INDEX(Calc!$G$2:$G$1601,$AH21))</f>
        <v/>
      </c>
      <c r="AD21">
        <f>IF($AG21="","",Config!$B$23)</f>
        <v/>
      </c>
      <c r="AE21">
        <f>IF($AG21="","",Config!$B$28)</f>
        <v/>
      </c>
      <c r="AG21">
        <f>IFERROR(MATCH(ROW()-1,Calc!$J$2:$J$1601,0),"")</f>
        <v/>
      </c>
      <c r="AH21">
        <f>IFERROR(MATCH(ROW()-1,Calc!$K$2:$K$1601,0),"")</f>
        <v/>
      </c>
      <c r="AI21">
        <f>IF($AG21="","",SUMIF($AG$2:$AG21,$AG21,$AH$2:$AH21))</f>
        <v/>
      </c>
      <c r="AJ21">
        <f>IF('TMP Paste'!$F21="","",IF('TMP Paste'!$B21="",$AJ20,'TMP Paste'!$B21))</f>
        <v/>
      </c>
      <c r="AK21">
        <f>IF('TMP Paste'!$F21="","",N('TMP Paste'!$G21))</f>
        <v/>
      </c>
      <c r="AL21">
        <f>IF('TMP Paste'!$F21="","",IF('TMP Paste'!$M21="",$AL20,'TMP Paste'!$M21))</f>
        <v/>
      </c>
      <c r="AM21">
        <f>IF('TMP Paste'!$F21="","",IF('TMP Paste'!$N21="",$AM20,'TMP Paste'!$N21))</f>
        <v/>
      </c>
      <c r="AN21">
        <f>IF('TMP Paste'!$F21="","",IF('TMP Paste'!$O21="",$AN20,'TMP Paste'!$O21))</f>
        <v/>
      </c>
      <c r="AO21">
        <f>IF('TMP Paste'!$F21="","",IF('TMP Paste'!$P21="",$AO20,'TMP Paste'!$P21))</f>
        <v/>
      </c>
      <c r="AP21">
        <f>IF($AG21="","",LEN($R21))</f>
        <v/>
      </c>
      <c r="AQ21">
        <f>IF($AG21="","",TRIM(IF(COUNTIFS(Calc!$B$2:$B$1601,ROW()-1,Calc!$C$2:$C$1601,"&lt;1")&gt;0,"Ada PO tanpa Koli - cek TMP. ","")&amp;IF(LEN($R21)&gt;500,"R &gt; 500 karakter.","")))</f>
        <v/>
      </c>
    </row>
    <row r="22">
      <c r="A22">
        <f>IF($AG22="","",INDEX('TMP Paste'!$B$2:$B$1601,$AG22))</f>
        <v/>
      </c>
      <c r="B22">
        <f>IF($AG22="","",Config!$B$14)</f>
        <v/>
      </c>
      <c r="C22">
        <f>IF($AG22="","",Config!$B$15)</f>
        <v/>
      </c>
      <c r="D22">
        <f>IF($AG22="","",INDEX('TMP Paste'!$B$2:$B$1601,$AG22))</f>
        <v/>
      </c>
      <c r="E22">
        <f>IF($AG22="","",Config!$B$27)</f>
        <v/>
      </c>
      <c r="F22">
        <f>IF($AG22="","",Config!$B$9)</f>
        <v/>
      </c>
      <c r="G22">
        <f>IF($AG22="","",Config!$B$10)</f>
        <v/>
      </c>
      <c r="H22">
        <f>IF($AG22="","",Config!$B$11)</f>
        <v/>
      </c>
      <c r="I22">
        <f>IF($AG22="","",Config!$B$16)</f>
        <v/>
      </c>
      <c r="J22">
        <f>IF($AG22="","",INDEX('TMP Paste'!$A$2:$A$1601,$AG22))</f>
        <v/>
      </c>
      <c r="K22">
        <f>IF($AG22="","",INDEX('TMP Paste'!$L$2:$L$1601,$AG22))</f>
        <v/>
      </c>
      <c r="L22">
        <f>IF($AG22="","",INDEX('TMP Paste'!$I$2:$I$1601,$AG22))</f>
        <v/>
      </c>
      <c r="M22">
        <f>IF($AG22="","",Config!$B$16)</f>
        <v/>
      </c>
      <c r="N22">
        <f>IF($AG22="","","")</f>
        <v/>
      </c>
      <c r="O22">
        <f>IF($AG22="","",INDEX('TMP Paste'!$K$2:$K$1601,$AG22))</f>
        <v/>
      </c>
      <c r="P22">
        <f>IF($AG22="","","")</f>
        <v/>
      </c>
      <c r="Q22">
        <f>IF($AG22="","",INDEX('TMP Paste'!$J$2:$J$1601,$AG22))</f>
        <v/>
      </c>
      <c r="R22">
        <f>IF($AG22="","",Config!$B$24)</f>
        <v/>
      </c>
      <c r="S22">
        <f>IF($AG22="","",TEXT(Config!$B$4,"yyyy-mm-dd"))</f>
        <v/>
      </c>
      <c r="T22">
        <f>IF($AG22="","",Config!$B$17)</f>
        <v/>
      </c>
      <c r="U22">
        <f>IF($AG22="","",Config!$B$18)</f>
        <v/>
      </c>
      <c r="V22">
        <f>IF($AG22="","",Config!$B$19)</f>
        <v/>
      </c>
      <c r="W22">
        <f>IF($AG22="","",INDEX('TMP Paste'!$C$2:$C$1601,$AG22))</f>
        <v/>
      </c>
      <c r="X22">
        <f>IF($AG22="","",Config!$B$29)</f>
        <v/>
      </c>
      <c r="Y22">
        <f>IF($AH22="","",INDEX(Calc!$I$2:$I$1601,$AH22)&amp;" - "&amp;INDEX(Calc!$D$2:$D$1601,$AH22)&amp;" koli")</f>
        <v/>
      </c>
      <c r="Z22">
        <f>IF($AG22="","",Config!$B$21)</f>
        <v/>
      </c>
      <c r="AA22">
        <f>IF($AG22="","",Config!$B$22)</f>
        <v/>
      </c>
      <c r="AB22">
        <f>IF($AH22="","",INDEX(Calc!$D$2:$D$1601,$AH22))</f>
        <v/>
      </c>
      <c r="AC22">
        <f>IF($AH22="","",INDEX(Calc!$G$2:$G$1601,$AH22))</f>
        <v/>
      </c>
      <c r="AD22">
        <f>IF($AG22="","",Config!$B$23)</f>
        <v/>
      </c>
      <c r="AE22">
        <f>IF($AG22="","",Config!$B$28)</f>
        <v/>
      </c>
      <c r="AG22">
        <f>IFERROR(MATCH(ROW()-1,Calc!$J$2:$J$1601,0),"")</f>
        <v/>
      </c>
      <c r="AH22">
        <f>IFERROR(MATCH(ROW()-1,Calc!$K$2:$K$1601,0),"")</f>
        <v/>
      </c>
      <c r="AI22">
        <f>IF($AG22="","",SUMIF($AG$2:$AG22,$AG22,$AH$2:$AH22))</f>
        <v/>
      </c>
      <c r="AJ22">
        <f>IF('TMP Paste'!$F22="","",IF('TMP Paste'!$B22="",$AJ21,'TMP Paste'!$B22))</f>
        <v/>
      </c>
      <c r="AK22">
        <f>IF('TMP Paste'!$F22="","",N('TMP Paste'!$G22))</f>
        <v/>
      </c>
      <c r="AL22">
        <f>IF('TMP Paste'!$F22="","",IF('TMP Paste'!$M22="",$AL21,'TMP Paste'!$M22))</f>
        <v/>
      </c>
      <c r="AM22">
        <f>IF('TMP Paste'!$F22="","",IF('TMP Paste'!$N22="",$AM21,'TMP Paste'!$N22))</f>
        <v/>
      </c>
      <c r="AN22">
        <f>IF('TMP Paste'!$F22="","",IF('TMP Paste'!$O22="",$AN21,'TMP Paste'!$O22))</f>
        <v/>
      </c>
      <c r="AO22">
        <f>IF('TMP Paste'!$F22="","",IF('TMP Paste'!$P22="",$AO21,'TMP Paste'!$P22))</f>
        <v/>
      </c>
      <c r="AP22">
        <f>IF($AG22="","",LEN($R22))</f>
        <v/>
      </c>
      <c r="AQ22">
        <f>IF($AG22="","",TRIM(IF(COUNTIFS(Calc!$B$2:$B$1601,ROW()-1,Calc!$C$2:$C$1601,"&lt;1")&gt;0,"Ada PO tanpa Koli - cek TMP. ","")&amp;IF(LEN($R22)&gt;500,"R &gt; 500 karakter.","")))</f>
        <v/>
      </c>
    </row>
    <row r="23">
      <c r="A23">
        <f>IF($AG23="","",INDEX('TMP Paste'!$B$2:$B$1601,$AG23))</f>
        <v/>
      </c>
      <c r="B23">
        <f>IF($AG23="","",Config!$B$14)</f>
        <v/>
      </c>
      <c r="C23">
        <f>IF($AG23="","",Config!$B$15)</f>
        <v/>
      </c>
      <c r="D23">
        <f>IF($AG23="","",INDEX('TMP Paste'!$B$2:$B$1601,$AG23))</f>
        <v/>
      </c>
      <c r="E23">
        <f>IF($AG23="","",Config!$B$27)</f>
        <v/>
      </c>
      <c r="F23">
        <f>IF($AG23="","",Config!$B$9)</f>
        <v/>
      </c>
      <c r="G23">
        <f>IF($AG23="","",Config!$B$10)</f>
        <v/>
      </c>
      <c r="H23">
        <f>IF($AG23="","",Config!$B$11)</f>
        <v/>
      </c>
      <c r="I23">
        <f>IF($AG23="","",Config!$B$16)</f>
        <v/>
      </c>
      <c r="J23">
        <f>IF($AG23="","",INDEX('TMP Paste'!$A$2:$A$1601,$AG23))</f>
        <v/>
      </c>
      <c r="K23">
        <f>IF($AG23="","",INDEX('TMP Paste'!$L$2:$L$1601,$AG23))</f>
        <v/>
      </c>
      <c r="L23">
        <f>IF($AG23="","",INDEX('TMP Paste'!$I$2:$I$1601,$AG23))</f>
        <v/>
      </c>
      <c r="M23">
        <f>IF($AG23="","",Config!$B$16)</f>
        <v/>
      </c>
      <c r="N23">
        <f>IF($AG23="","","")</f>
        <v/>
      </c>
      <c r="O23">
        <f>IF($AG23="","",INDEX('TMP Paste'!$K$2:$K$1601,$AG23))</f>
        <v/>
      </c>
      <c r="P23">
        <f>IF($AG23="","","")</f>
        <v/>
      </c>
      <c r="Q23">
        <f>IF($AG23="","",INDEX('TMP Paste'!$J$2:$J$1601,$AG23))</f>
        <v/>
      </c>
      <c r="R23">
        <f>IF($AG23="","",Config!$B$24)</f>
        <v/>
      </c>
      <c r="S23">
        <f>IF($AG23="","",TEXT(Config!$B$4,"yyyy-mm-dd"))</f>
        <v/>
      </c>
      <c r="T23">
        <f>IF($AG23="","",Config!$B$17)</f>
        <v/>
      </c>
      <c r="U23">
        <f>IF($AG23="","",Config!$B$18)</f>
        <v/>
      </c>
      <c r="V23">
        <f>IF($AG23="","",Config!$B$19)</f>
        <v/>
      </c>
      <c r="W23">
        <f>IF($AG23="","",INDEX('TMP Paste'!$C$2:$C$1601,$AG23))</f>
        <v/>
      </c>
      <c r="X23">
        <f>IF($AG23="","",Config!$B$29)</f>
        <v/>
      </c>
      <c r="Y23">
        <f>IF($AH23="","",INDEX(Calc!$I$2:$I$1601,$AH23)&amp;" - "&amp;INDEX(Calc!$D$2:$D$1601,$AH23)&amp;" koli")</f>
        <v/>
      </c>
      <c r="Z23">
        <f>IF($AG23="","",Config!$B$21)</f>
        <v/>
      </c>
      <c r="AA23">
        <f>IF($AG23="","",Config!$B$22)</f>
        <v/>
      </c>
      <c r="AB23">
        <f>IF($AH23="","",INDEX(Calc!$D$2:$D$1601,$AH23))</f>
        <v/>
      </c>
      <c r="AC23">
        <f>IF($AH23="","",INDEX(Calc!$G$2:$G$1601,$AH23))</f>
        <v/>
      </c>
      <c r="AD23">
        <f>IF($AG23="","",Config!$B$23)</f>
        <v/>
      </c>
      <c r="AE23">
        <f>IF($AG23="","",Config!$B$28)</f>
        <v/>
      </c>
      <c r="AG23">
        <f>IFERROR(MATCH(ROW()-1,Calc!$J$2:$J$1601,0),"")</f>
        <v/>
      </c>
      <c r="AH23">
        <f>IFERROR(MATCH(ROW()-1,Calc!$K$2:$K$1601,0),"")</f>
        <v/>
      </c>
      <c r="AI23">
        <f>IF($AG23="","",SUMIF($AG$2:$AG23,$AG23,$AH$2:$AH23))</f>
        <v/>
      </c>
      <c r="AJ23">
        <f>IF('TMP Paste'!$F23="","",IF('TMP Paste'!$B23="",$AJ22,'TMP Paste'!$B23))</f>
        <v/>
      </c>
      <c r="AK23">
        <f>IF('TMP Paste'!$F23="","",N('TMP Paste'!$G23))</f>
        <v/>
      </c>
      <c r="AL23">
        <f>IF('TMP Paste'!$F23="","",IF('TMP Paste'!$M23="",$AL22,'TMP Paste'!$M23))</f>
        <v/>
      </c>
      <c r="AM23">
        <f>IF('TMP Paste'!$F23="","",IF('TMP Paste'!$N23="",$AM22,'TMP Paste'!$N23))</f>
        <v/>
      </c>
      <c r="AN23">
        <f>IF('TMP Paste'!$F23="","",IF('TMP Paste'!$O23="",$AN22,'TMP Paste'!$O23))</f>
        <v/>
      </c>
      <c r="AO23">
        <f>IF('TMP Paste'!$F23="","",IF('TMP Paste'!$P23="",$AO22,'TMP Paste'!$P23))</f>
        <v/>
      </c>
      <c r="AP23">
        <f>IF($AG23="","",LEN($R23))</f>
        <v/>
      </c>
      <c r="AQ23">
        <f>IF($AG23="","",TRIM(IF(COUNTIFS(Calc!$B$2:$B$1601,ROW()-1,Calc!$C$2:$C$1601,"&lt;1")&gt;0,"Ada PO tanpa Koli - cek TMP. ","")&amp;IF(LEN($R23)&gt;500,"R &gt; 500 karakter.","")))</f>
        <v/>
      </c>
    </row>
    <row r="24">
      <c r="A24">
        <f>IF($AG24="","",INDEX('TMP Paste'!$B$2:$B$1601,$AG24))</f>
        <v/>
      </c>
      <c r="B24">
        <f>IF($AG24="","",Config!$B$14)</f>
        <v/>
      </c>
      <c r="C24">
        <f>IF($AG24="","",Config!$B$15)</f>
        <v/>
      </c>
      <c r="D24">
        <f>IF($AG24="","",INDEX('TMP Paste'!$B$2:$B$1601,$AG24))</f>
        <v/>
      </c>
      <c r="E24">
        <f>IF($AG24="","",Config!$B$27)</f>
        <v/>
      </c>
      <c r="F24">
        <f>IF($AG24="","",Config!$B$9)</f>
        <v/>
      </c>
      <c r="G24">
        <f>IF($AG24="","",Config!$B$10)</f>
        <v/>
      </c>
      <c r="H24">
        <f>IF($AG24="","",Config!$B$11)</f>
        <v/>
      </c>
      <c r="I24">
        <f>IF($AG24="","",Config!$B$16)</f>
        <v/>
      </c>
      <c r="J24">
        <f>IF($AG24="","",INDEX('TMP Paste'!$A$2:$A$1601,$AG24))</f>
        <v/>
      </c>
      <c r="K24">
        <f>IF($AG24="","",INDEX('TMP Paste'!$L$2:$L$1601,$AG24))</f>
        <v/>
      </c>
      <c r="L24">
        <f>IF($AG24="","",INDEX('TMP Paste'!$I$2:$I$1601,$AG24))</f>
        <v/>
      </c>
      <c r="M24">
        <f>IF($AG24="","",Config!$B$16)</f>
        <v/>
      </c>
      <c r="N24">
        <f>IF($AG24="","","")</f>
        <v/>
      </c>
      <c r="O24">
        <f>IF($AG24="","",INDEX('TMP Paste'!$K$2:$K$1601,$AG24))</f>
        <v/>
      </c>
      <c r="P24">
        <f>IF($AG24="","","")</f>
        <v/>
      </c>
      <c r="Q24">
        <f>IF($AG24="","",INDEX('TMP Paste'!$J$2:$J$1601,$AG24))</f>
        <v/>
      </c>
      <c r="R24">
        <f>IF($AG24="","",Config!$B$24)</f>
        <v/>
      </c>
      <c r="S24">
        <f>IF($AG24="","",TEXT(Config!$B$4,"yyyy-mm-dd"))</f>
        <v/>
      </c>
      <c r="T24">
        <f>IF($AG24="","",Config!$B$17)</f>
        <v/>
      </c>
      <c r="U24">
        <f>IF($AG24="","",Config!$B$18)</f>
        <v/>
      </c>
      <c r="V24">
        <f>IF($AG24="","",Config!$B$19)</f>
        <v/>
      </c>
      <c r="W24">
        <f>IF($AG24="","",INDEX('TMP Paste'!$C$2:$C$1601,$AG24))</f>
        <v/>
      </c>
      <c r="X24">
        <f>IF($AG24="","",Config!$B$29)</f>
        <v/>
      </c>
      <c r="Y24">
        <f>IF($AH24="","",INDEX(Calc!$I$2:$I$1601,$AH24)&amp;" - "&amp;INDEX(Calc!$D$2:$D$1601,$AH24)&amp;" koli")</f>
        <v/>
      </c>
      <c r="Z24">
        <f>IF($AG24="","",Config!$B$21)</f>
        <v/>
      </c>
      <c r="AA24">
        <f>IF($AG24="","",Config!$B$22)</f>
        <v/>
      </c>
      <c r="AB24">
        <f>IF($AH24="","",INDEX(Calc!$D$2:$D$1601,$AH24))</f>
        <v/>
      </c>
      <c r="AC24">
        <f>IF($AH24="","",INDEX(Calc!$G$2:$G$1601,$AH24))</f>
        <v/>
      </c>
      <c r="AD24">
        <f>IF($AG24="","",Config!$B$23)</f>
        <v/>
      </c>
      <c r="AE24">
        <f>IF($AG24="","",Config!$B$28)</f>
        <v/>
      </c>
      <c r="AG24">
        <f>IFERROR(MATCH(ROW()-1,Calc!$J$2:$J$1601,0),"")</f>
        <v/>
      </c>
      <c r="AH24">
        <f>IFERROR(MATCH(ROW()-1,Calc!$K$2:$K$1601,0),"")</f>
        <v/>
      </c>
      <c r="AI24">
        <f>IF($AG24="","",SUMIF($AG$2:$AG24,$AG24,$AH$2:$AH24))</f>
        <v/>
      </c>
      <c r="AJ24">
        <f>IF('TMP Paste'!$F24="","",IF('TMP Paste'!$B24="",$AJ23,'TMP Paste'!$B24))</f>
        <v/>
      </c>
      <c r="AK24">
        <f>IF('TMP Paste'!$F24="","",N('TMP Paste'!$G24))</f>
        <v/>
      </c>
      <c r="AL24">
        <f>IF('TMP Paste'!$F24="","",IF('TMP Paste'!$M24="",$AL23,'TMP Paste'!$M24))</f>
        <v/>
      </c>
      <c r="AM24">
        <f>IF('TMP Paste'!$F24="","",IF('TMP Paste'!$N24="",$AM23,'TMP Paste'!$N24))</f>
        <v/>
      </c>
      <c r="AN24">
        <f>IF('TMP Paste'!$F24="","",IF('TMP Paste'!$O24="",$AN23,'TMP Paste'!$O24))</f>
        <v/>
      </c>
      <c r="AO24">
        <f>IF('TMP Paste'!$F24="","",IF('TMP Paste'!$P24="",$AO23,'TMP Paste'!$P24))</f>
        <v/>
      </c>
      <c r="AP24">
        <f>IF($AG24="","",LEN($R24))</f>
        <v/>
      </c>
      <c r="AQ24">
        <f>IF($AG24="","",TRIM(IF(COUNTIFS(Calc!$B$2:$B$1601,ROW()-1,Calc!$C$2:$C$1601,"&lt;1")&gt;0,"Ada PO tanpa Koli - cek TMP. ","")&amp;IF(LEN($R24)&gt;500,"R &gt; 500 karakter.","")))</f>
        <v/>
      </c>
    </row>
    <row r="25">
      <c r="A25">
        <f>IF($AG25="","",INDEX('TMP Paste'!$B$2:$B$1601,$AG25))</f>
        <v/>
      </c>
      <c r="B25">
        <f>IF($AG25="","",Config!$B$14)</f>
        <v/>
      </c>
      <c r="C25">
        <f>IF($AG25="","",Config!$B$15)</f>
        <v/>
      </c>
      <c r="D25">
        <f>IF($AG25="","",INDEX('TMP Paste'!$B$2:$B$1601,$AG25))</f>
        <v/>
      </c>
      <c r="E25">
        <f>IF($AG25="","",Config!$B$27)</f>
        <v/>
      </c>
      <c r="F25">
        <f>IF($AG25="","",Config!$B$9)</f>
        <v/>
      </c>
      <c r="G25">
        <f>IF($AG25="","",Config!$B$10)</f>
        <v/>
      </c>
      <c r="H25">
        <f>IF($AG25="","",Config!$B$11)</f>
        <v/>
      </c>
      <c r="I25">
        <f>IF($AG25="","",Config!$B$16)</f>
        <v/>
      </c>
      <c r="J25">
        <f>IF($AG25="","",INDEX('TMP Paste'!$A$2:$A$1601,$AG25))</f>
        <v/>
      </c>
      <c r="K25">
        <f>IF($AG25="","",INDEX('TMP Paste'!$L$2:$L$1601,$AG25))</f>
        <v/>
      </c>
      <c r="L25">
        <f>IF($AG25="","",INDEX('TMP Paste'!$I$2:$I$1601,$AG25))</f>
        <v/>
      </c>
      <c r="M25">
        <f>IF($AG25="","",Config!$B$16)</f>
        <v/>
      </c>
      <c r="N25">
        <f>IF($AG25="","","")</f>
        <v/>
      </c>
      <c r="O25">
        <f>IF($AG25="","",INDEX('TMP Paste'!$K$2:$K$1601,$AG25))</f>
        <v/>
      </c>
      <c r="P25">
        <f>IF($AG25="","","")</f>
        <v/>
      </c>
      <c r="Q25">
        <f>IF($AG25="","",INDEX('TMP Paste'!$J$2:$J$1601,$AG25))</f>
        <v/>
      </c>
      <c r="R25">
        <f>IF($AG25="","",Config!$B$24)</f>
        <v/>
      </c>
      <c r="S25">
        <f>IF($AG25="","",TEXT(Config!$B$4,"yyyy-mm-dd"))</f>
        <v/>
      </c>
      <c r="T25">
        <f>IF($AG25="","",Config!$B$17)</f>
        <v/>
      </c>
      <c r="U25">
        <f>IF($AG25="","",Config!$B$18)</f>
        <v/>
      </c>
      <c r="V25">
        <f>IF($AG25="","",Config!$B$19)</f>
        <v/>
      </c>
      <c r="W25">
        <f>IF($AG25="","",INDEX('TMP Paste'!$C$2:$C$1601,$AG25))</f>
        <v/>
      </c>
      <c r="X25">
        <f>IF($AG25="","",Config!$B$29)</f>
        <v/>
      </c>
      <c r="Y25">
        <f>IF($AH25="","",INDEX(Calc!$I$2:$I$1601,$AH25)&amp;" - "&amp;INDEX(Calc!$D$2:$D$1601,$AH25)&amp;" koli")</f>
        <v/>
      </c>
      <c r="Z25">
        <f>IF($AG25="","",Config!$B$21)</f>
        <v/>
      </c>
      <c r="AA25">
        <f>IF($AG25="","",Config!$B$22)</f>
        <v/>
      </c>
      <c r="AB25">
        <f>IF($AH25="","",INDEX(Calc!$D$2:$D$1601,$AH25))</f>
        <v/>
      </c>
      <c r="AC25">
        <f>IF($AH25="","",INDEX(Calc!$G$2:$G$1601,$AH25))</f>
        <v/>
      </c>
      <c r="AD25">
        <f>IF($AG25="","",Config!$B$23)</f>
        <v/>
      </c>
      <c r="AE25">
        <f>IF($AG25="","",Config!$B$28)</f>
        <v/>
      </c>
      <c r="AG25">
        <f>IFERROR(MATCH(ROW()-1,Calc!$J$2:$J$1601,0),"")</f>
        <v/>
      </c>
      <c r="AH25">
        <f>IFERROR(MATCH(ROW()-1,Calc!$K$2:$K$1601,0),"")</f>
        <v/>
      </c>
      <c r="AI25">
        <f>IF($AG25="","",SUMIF($AG$2:$AG25,$AG25,$AH$2:$AH25))</f>
        <v/>
      </c>
      <c r="AJ25">
        <f>IF('TMP Paste'!$F25="","",IF('TMP Paste'!$B25="",$AJ24,'TMP Paste'!$B25))</f>
        <v/>
      </c>
      <c r="AK25">
        <f>IF('TMP Paste'!$F25="","",N('TMP Paste'!$G25))</f>
        <v/>
      </c>
      <c r="AL25">
        <f>IF('TMP Paste'!$F25="","",IF('TMP Paste'!$M25="",$AL24,'TMP Paste'!$M25))</f>
        <v/>
      </c>
      <c r="AM25">
        <f>IF('TMP Paste'!$F25="","",IF('TMP Paste'!$N25="",$AM24,'TMP Paste'!$N25))</f>
        <v/>
      </c>
      <c r="AN25">
        <f>IF('TMP Paste'!$F25="","",IF('TMP Paste'!$O25="",$AN24,'TMP Paste'!$O25))</f>
        <v/>
      </c>
      <c r="AO25">
        <f>IF('TMP Paste'!$F25="","",IF('TMP Paste'!$P25="",$AO24,'TMP Paste'!$P25))</f>
        <v/>
      </c>
      <c r="AP25">
        <f>IF($AG25="","",LEN($R25))</f>
        <v/>
      </c>
      <c r="AQ25">
        <f>IF($AG25="","",TRIM(IF(COUNTIFS(Calc!$B$2:$B$1601,ROW()-1,Calc!$C$2:$C$1601,"&lt;1")&gt;0,"Ada PO tanpa Koli - cek TMP. ","")&amp;IF(LEN($R25)&gt;500,"R &gt; 500 karakter.","")))</f>
        <v/>
      </c>
    </row>
    <row r="26">
      <c r="A26">
        <f>IF($AG26="","",INDEX('TMP Paste'!$B$2:$B$1601,$AG26))</f>
        <v/>
      </c>
      <c r="B26">
        <f>IF($AG26="","",Config!$B$14)</f>
        <v/>
      </c>
      <c r="C26">
        <f>IF($AG26="","",Config!$B$15)</f>
        <v/>
      </c>
      <c r="D26">
        <f>IF($AG26="","",INDEX('TMP Paste'!$B$2:$B$1601,$AG26))</f>
        <v/>
      </c>
      <c r="E26">
        <f>IF($AG26="","",Config!$B$27)</f>
        <v/>
      </c>
      <c r="F26">
        <f>IF($AG26="","",Config!$B$9)</f>
        <v/>
      </c>
      <c r="G26">
        <f>IF($AG26="","",Config!$B$10)</f>
        <v/>
      </c>
      <c r="H26">
        <f>IF($AG26="","",Config!$B$11)</f>
        <v/>
      </c>
      <c r="I26">
        <f>IF($AG26="","",Config!$B$16)</f>
        <v/>
      </c>
      <c r="J26">
        <f>IF($AG26="","",INDEX('TMP Paste'!$A$2:$A$1601,$AG26))</f>
        <v/>
      </c>
      <c r="K26">
        <f>IF($AG26="","",INDEX('TMP Paste'!$L$2:$L$1601,$AG26))</f>
        <v/>
      </c>
      <c r="L26">
        <f>IF($AG26="","",INDEX('TMP Paste'!$I$2:$I$1601,$AG26))</f>
        <v/>
      </c>
      <c r="M26">
        <f>IF($AG26="","",Config!$B$16)</f>
        <v/>
      </c>
      <c r="N26">
        <f>IF($AG26="","","")</f>
        <v/>
      </c>
      <c r="O26">
        <f>IF($AG26="","",INDEX('TMP Paste'!$K$2:$K$1601,$AG26))</f>
        <v/>
      </c>
      <c r="P26">
        <f>IF($AG26="","","")</f>
        <v/>
      </c>
      <c r="Q26">
        <f>IF($AG26="","",INDEX('TMP Paste'!$J$2:$J$1601,$AG26))</f>
        <v/>
      </c>
      <c r="R26">
        <f>IF($AG26="","",Config!$B$24)</f>
        <v/>
      </c>
      <c r="S26">
        <f>IF($AG26="","",TEXT(Config!$B$4,"yyyy-mm-dd"))</f>
        <v/>
      </c>
      <c r="T26">
        <f>IF($AG26="","",Config!$B$17)</f>
        <v/>
      </c>
      <c r="U26">
        <f>IF($AG26="","",Config!$B$18)</f>
        <v/>
      </c>
      <c r="V26">
        <f>IF($AG26="","",Config!$B$19)</f>
        <v/>
      </c>
      <c r="W26">
        <f>IF($AG26="","",INDEX('TMP Paste'!$C$2:$C$1601,$AG26))</f>
        <v/>
      </c>
      <c r="X26">
        <f>IF($AG26="","",Config!$B$29)</f>
        <v/>
      </c>
      <c r="Y26">
        <f>IF($AH26="","",INDEX(Calc!$I$2:$I$1601,$AH26)&amp;" - "&amp;INDEX(Calc!$D$2:$D$1601,$AH26)&amp;" koli")</f>
        <v/>
      </c>
      <c r="Z26">
        <f>IF($AG26="","",Config!$B$21)</f>
        <v/>
      </c>
      <c r="AA26">
        <f>IF($AG26="","",Config!$B$22)</f>
        <v/>
      </c>
      <c r="AB26">
        <f>IF($AH26="","",INDEX(Calc!$D$2:$D$1601,$AH26))</f>
        <v/>
      </c>
      <c r="AC26">
        <f>IF($AH26="","",INDEX(Calc!$G$2:$G$1601,$AH26))</f>
        <v/>
      </c>
      <c r="AD26">
        <f>IF($AG26="","",Config!$B$23)</f>
        <v/>
      </c>
      <c r="AE26">
        <f>IF($AG26="","",Config!$B$28)</f>
        <v/>
      </c>
      <c r="AG26">
        <f>IFERROR(MATCH(ROW()-1,Calc!$J$2:$J$1601,0),"")</f>
        <v/>
      </c>
      <c r="AH26">
        <f>IFERROR(MATCH(ROW()-1,Calc!$K$2:$K$1601,0),"")</f>
        <v/>
      </c>
      <c r="AI26">
        <f>IF($AG26="","",SUMIF($AG$2:$AG26,$AG26,$AH$2:$AH26))</f>
        <v/>
      </c>
      <c r="AJ26">
        <f>IF('TMP Paste'!$F26="","",IF('TMP Paste'!$B26="",$AJ25,'TMP Paste'!$B26))</f>
        <v/>
      </c>
      <c r="AK26">
        <f>IF('TMP Paste'!$F26="","",N('TMP Paste'!$G26))</f>
        <v/>
      </c>
      <c r="AL26">
        <f>IF('TMP Paste'!$F26="","",IF('TMP Paste'!$M26="",$AL25,'TMP Paste'!$M26))</f>
        <v/>
      </c>
      <c r="AM26">
        <f>IF('TMP Paste'!$F26="","",IF('TMP Paste'!$N26="",$AM25,'TMP Paste'!$N26))</f>
        <v/>
      </c>
      <c r="AN26">
        <f>IF('TMP Paste'!$F26="","",IF('TMP Paste'!$O26="",$AN25,'TMP Paste'!$O26))</f>
        <v/>
      </c>
      <c r="AO26">
        <f>IF('TMP Paste'!$F26="","",IF('TMP Paste'!$P26="",$AO25,'TMP Paste'!$P26))</f>
        <v/>
      </c>
      <c r="AP26">
        <f>IF($AG26="","",LEN($R26))</f>
        <v/>
      </c>
      <c r="AQ26">
        <f>IF($AG26="","",TRIM(IF(COUNTIFS(Calc!$B$2:$B$1601,ROW()-1,Calc!$C$2:$C$1601,"&lt;1")&gt;0,"Ada PO tanpa Koli - cek TMP. ","")&amp;IF(LEN($R26)&gt;500,"R &gt; 500 karakter.","")))</f>
        <v/>
      </c>
    </row>
    <row r="27">
      <c r="A27">
        <f>IF($AG27="","",INDEX('TMP Paste'!$B$2:$B$1601,$AG27))</f>
        <v/>
      </c>
      <c r="B27">
        <f>IF($AG27="","",Config!$B$14)</f>
        <v/>
      </c>
      <c r="C27">
        <f>IF($AG27="","",Config!$B$15)</f>
        <v/>
      </c>
      <c r="D27">
        <f>IF($AG27="","",INDEX('TMP Paste'!$B$2:$B$1601,$AG27))</f>
        <v/>
      </c>
      <c r="E27">
        <f>IF($AG27="","",Config!$B$27)</f>
        <v/>
      </c>
      <c r="F27">
        <f>IF($AG27="","",Config!$B$9)</f>
        <v/>
      </c>
      <c r="G27">
        <f>IF($AG27="","",Config!$B$10)</f>
        <v/>
      </c>
      <c r="H27">
        <f>IF($AG27="","",Config!$B$11)</f>
        <v/>
      </c>
      <c r="I27">
        <f>IF($AG27="","",Config!$B$16)</f>
        <v/>
      </c>
      <c r="J27">
        <f>IF($AG27="","",INDEX('TMP Paste'!$A$2:$A$1601,$AG27))</f>
        <v/>
      </c>
      <c r="K27">
        <f>IF($AG27="","",INDEX('TMP Paste'!$L$2:$L$1601,$AG27))</f>
        <v/>
      </c>
      <c r="L27">
        <f>IF($AG27="","",INDEX('TMP Paste'!$I$2:$I$1601,$AG27))</f>
        <v/>
      </c>
      <c r="M27">
        <f>IF($AG27="","",Config!$B$16)</f>
        <v/>
      </c>
      <c r="N27">
        <f>IF($AG27="","","")</f>
        <v/>
      </c>
      <c r="O27">
        <f>IF($AG27="","",INDEX('TMP Paste'!$K$2:$K$1601,$AG27))</f>
        <v/>
      </c>
      <c r="P27">
        <f>IF($AG27="","","")</f>
        <v/>
      </c>
      <c r="Q27">
        <f>IF($AG27="","",INDEX('TMP Paste'!$J$2:$J$1601,$AG27))</f>
        <v/>
      </c>
      <c r="R27">
        <f>IF($AG27="","",Config!$B$24)</f>
        <v/>
      </c>
      <c r="S27">
        <f>IF($AG27="","",TEXT(Config!$B$4,"yyyy-mm-dd"))</f>
        <v/>
      </c>
      <c r="T27">
        <f>IF($AG27="","",Config!$B$17)</f>
        <v/>
      </c>
      <c r="U27">
        <f>IF($AG27="","",Config!$B$18)</f>
        <v/>
      </c>
      <c r="V27">
        <f>IF($AG27="","",Config!$B$19)</f>
        <v/>
      </c>
      <c r="W27">
        <f>IF($AG27="","",INDEX('TMP Paste'!$C$2:$C$1601,$AG27))</f>
        <v/>
      </c>
      <c r="X27">
        <f>IF($AG27="","",Config!$B$29)</f>
        <v/>
      </c>
      <c r="Y27">
        <f>IF($AH27="","",INDEX(Calc!$I$2:$I$1601,$AH27)&amp;" - "&amp;INDEX(Calc!$D$2:$D$1601,$AH27)&amp;" koli")</f>
        <v/>
      </c>
      <c r="Z27">
        <f>IF($AG27="","",Config!$B$21)</f>
        <v/>
      </c>
      <c r="AA27">
        <f>IF($AG27="","",Config!$B$22)</f>
        <v/>
      </c>
      <c r="AB27">
        <f>IF($AH27="","",INDEX(Calc!$D$2:$D$1601,$AH27))</f>
        <v/>
      </c>
      <c r="AC27">
        <f>IF($AH27="","",INDEX(Calc!$G$2:$G$1601,$AH27))</f>
        <v/>
      </c>
      <c r="AD27">
        <f>IF($AG27="","",Config!$B$23)</f>
        <v/>
      </c>
      <c r="AE27">
        <f>IF($AG27="","",Config!$B$28)</f>
        <v/>
      </c>
      <c r="AG27">
        <f>IFERROR(MATCH(ROW()-1,Calc!$J$2:$J$1601,0),"")</f>
        <v/>
      </c>
      <c r="AH27">
        <f>IFERROR(MATCH(ROW()-1,Calc!$K$2:$K$1601,0),"")</f>
        <v/>
      </c>
      <c r="AI27">
        <f>IF($AG27="","",SUMIF($AG$2:$AG27,$AG27,$AH$2:$AH27))</f>
        <v/>
      </c>
      <c r="AJ27">
        <f>IF('TMP Paste'!$F27="","",IF('TMP Paste'!$B27="",$AJ26,'TMP Paste'!$B27))</f>
        <v/>
      </c>
      <c r="AK27">
        <f>IF('TMP Paste'!$F27="","",N('TMP Paste'!$G27))</f>
        <v/>
      </c>
      <c r="AL27">
        <f>IF('TMP Paste'!$F27="","",IF('TMP Paste'!$M27="",$AL26,'TMP Paste'!$M27))</f>
        <v/>
      </c>
      <c r="AM27">
        <f>IF('TMP Paste'!$F27="","",IF('TMP Paste'!$N27="",$AM26,'TMP Paste'!$N27))</f>
        <v/>
      </c>
      <c r="AN27">
        <f>IF('TMP Paste'!$F27="","",IF('TMP Paste'!$O27="",$AN26,'TMP Paste'!$O27))</f>
        <v/>
      </c>
      <c r="AO27">
        <f>IF('TMP Paste'!$F27="","",IF('TMP Paste'!$P27="",$AO26,'TMP Paste'!$P27))</f>
        <v/>
      </c>
      <c r="AP27">
        <f>IF($AG27="","",LEN($R27))</f>
        <v/>
      </c>
      <c r="AQ27">
        <f>IF($AG27="","",TRIM(IF(COUNTIFS(Calc!$B$2:$B$1601,ROW()-1,Calc!$C$2:$C$1601,"&lt;1")&gt;0,"Ada PO tanpa Koli - cek TMP. ","")&amp;IF(LEN($R27)&gt;500,"R &gt; 500 karakter.","")))</f>
        <v/>
      </c>
    </row>
    <row r="28">
      <c r="A28">
        <f>IF($AG28="","",INDEX('TMP Paste'!$B$2:$B$1601,$AG28))</f>
        <v/>
      </c>
      <c r="B28">
        <f>IF($AG28="","",Config!$B$14)</f>
        <v/>
      </c>
      <c r="C28">
        <f>IF($AG28="","",Config!$B$15)</f>
        <v/>
      </c>
      <c r="D28">
        <f>IF($AG28="","",INDEX('TMP Paste'!$B$2:$B$1601,$AG28))</f>
        <v/>
      </c>
      <c r="E28">
        <f>IF($AG28="","",Config!$B$27)</f>
        <v/>
      </c>
      <c r="F28">
        <f>IF($AG28="","",Config!$B$9)</f>
        <v/>
      </c>
      <c r="G28">
        <f>IF($AG28="","",Config!$B$10)</f>
        <v/>
      </c>
      <c r="H28">
        <f>IF($AG28="","",Config!$B$11)</f>
        <v/>
      </c>
      <c r="I28">
        <f>IF($AG28="","",Config!$B$16)</f>
        <v/>
      </c>
      <c r="J28">
        <f>IF($AG28="","",INDEX('TMP Paste'!$A$2:$A$1601,$AG28))</f>
        <v/>
      </c>
      <c r="K28">
        <f>IF($AG28="","",INDEX('TMP Paste'!$L$2:$L$1601,$AG28))</f>
        <v/>
      </c>
      <c r="L28">
        <f>IF($AG28="","",INDEX('TMP Paste'!$I$2:$I$1601,$AG28))</f>
        <v/>
      </c>
      <c r="M28">
        <f>IF($AG28="","",Config!$B$16)</f>
        <v/>
      </c>
      <c r="N28">
        <f>IF($AG28="","","")</f>
        <v/>
      </c>
      <c r="O28">
        <f>IF($AG28="","",INDEX('TMP Paste'!$K$2:$K$1601,$AG28))</f>
        <v/>
      </c>
      <c r="P28">
        <f>IF($AG28="","","")</f>
        <v/>
      </c>
      <c r="Q28">
        <f>IF($AG28="","",INDEX('TMP Paste'!$J$2:$J$1601,$AG28))</f>
        <v/>
      </c>
      <c r="R28">
        <f>IF($AG28="","",Config!$B$24)</f>
        <v/>
      </c>
      <c r="S28">
        <f>IF($AG28="","",TEXT(Config!$B$4,"yyyy-mm-dd"))</f>
        <v/>
      </c>
      <c r="T28">
        <f>IF($AG28="","",Config!$B$17)</f>
        <v/>
      </c>
      <c r="U28">
        <f>IF($AG28="","",Config!$B$18)</f>
        <v/>
      </c>
      <c r="V28">
        <f>IF($AG28="","",Config!$B$19)</f>
        <v/>
      </c>
      <c r="W28">
        <f>IF($AG28="","",INDEX('TMP Paste'!$C$2:$C$1601,$AG28))</f>
        <v/>
      </c>
      <c r="X28">
        <f>IF($AG28="","",Config!$B$29)</f>
        <v/>
      </c>
      <c r="Y28">
        <f>IF($AH28="","",INDEX(Calc!$I$2:$I$1601,$AH28)&amp;" - "&amp;INDEX(Calc!$D$2:$D$1601,$AH28)&amp;" koli")</f>
        <v/>
      </c>
      <c r="Z28">
        <f>IF($AG28="","",Config!$B$21)</f>
        <v/>
      </c>
      <c r="AA28">
        <f>IF($AG28="","",Config!$B$22)</f>
        <v/>
      </c>
      <c r="AB28">
        <f>IF($AH28="","",INDEX(Calc!$D$2:$D$1601,$AH28))</f>
        <v/>
      </c>
      <c r="AC28">
        <f>IF($AH28="","",INDEX(Calc!$G$2:$G$1601,$AH28))</f>
        <v/>
      </c>
      <c r="AD28">
        <f>IF($AG28="","",Config!$B$23)</f>
        <v/>
      </c>
      <c r="AE28">
        <f>IF($AG28="","",Config!$B$28)</f>
        <v/>
      </c>
      <c r="AG28">
        <f>IFERROR(MATCH(ROW()-1,Calc!$J$2:$J$1601,0),"")</f>
        <v/>
      </c>
      <c r="AH28">
        <f>IFERROR(MATCH(ROW()-1,Calc!$K$2:$K$1601,0),"")</f>
        <v/>
      </c>
      <c r="AI28">
        <f>IF($AG28="","",SUMIF($AG$2:$AG28,$AG28,$AH$2:$AH28))</f>
        <v/>
      </c>
      <c r="AJ28">
        <f>IF('TMP Paste'!$F28="","",IF('TMP Paste'!$B28="",$AJ27,'TMP Paste'!$B28))</f>
        <v/>
      </c>
      <c r="AK28">
        <f>IF('TMP Paste'!$F28="","",N('TMP Paste'!$G28))</f>
        <v/>
      </c>
      <c r="AL28">
        <f>IF('TMP Paste'!$F28="","",IF('TMP Paste'!$M28="",$AL27,'TMP Paste'!$M28))</f>
        <v/>
      </c>
      <c r="AM28">
        <f>IF('TMP Paste'!$F28="","",IF('TMP Paste'!$N28="",$AM27,'TMP Paste'!$N28))</f>
        <v/>
      </c>
      <c r="AN28">
        <f>IF('TMP Paste'!$F28="","",IF('TMP Paste'!$O28="",$AN27,'TMP Paste'!$O28))</f>
        <v/>
      </c>
      <c r="AO28">
        <f>IF('TMP Paste'!$F28="","",IF('TMP Paste'!$P28="",$AO27,'TMP Paste'!$P28))</f>
        <v/>
      </c>
      <c r="AP28">
        <f>IF($AG28="","",LEN($R28))</f>
        <v/>
      </c>
      <c r="AQ28">
        <f>IF($AG28="","",TRIM(IF(COUNTIFS(Calc!$B$2:$B$1601,ROW()-1,Calc!$C$2:$C$1601,"&lt;1")&gt;0,"Ada PO tanpa Koli - cek TMP. ","")&amp;IF(LEN($R28)&gt;500,"R &gt; 500 karakter.","")))</f>
        <v/>
      </c>
    </row>
    <row r="29">
      <c r="A29">
        <f>IF($AG29="","",INDEX('TMP Paste'!$B$2:$B$1601,$AG29))</f>
        <v/>
      </c>
      <c r="B29">
        <f>IF($AG29="","",Config!$B$14)</f>
        <v/>
      </c>
      <c r="C29">
        <f>IF($AG29="","",Config!$B$15)</f>
        <v/>
      </c>
      <c r="D29">
        <f>IF($AG29="","",INDEX('TMP Paste'!$B$2:$B$1601,$AG29))</f>
        <v/>
      </c>
      <c r="E29">
        <f>IF($AG29="","",Config!$B$27)</f>
        <v/>
      </c>
      <c r="F29">
        <f>IF($AG29="","",Config!$B$9)</f>
        <v/>
      </c>
      <c r="G29">
        <f>IF($AG29="","",Config!$B$10)</f>
        <v/>
      </c>
      <c r="H29">
        <f>IF($AG29="","",Config!$B$11)</f>
        <v/>
      </c>
      <c r="I29">
        <f>IF($AG29="","",Config!$B$16)</f>
        <v/>
      </c>
      <c r="J29">
        <f>IF($AG29="","",INDEX('TMP Paste'!$A$2:$A$1601,$AG29))</f>
        <v/>
      </c>
      <c r="K29">
        <f>IF($AG29="","",INDEX('TMP Paste'!$L$2:$L$1601,$AG29))</f>
        <v/>
      </c>
      <c r="L29">
        <f>IF($AG29="","",INDEX('TMP Paste'!$I$2:$I$1601,$AG29))</f>
        <v/>
      </c>
      <c r="M29">
        <f>IF($AG29="","",Config!$B$16)</f>
        <v/>
      </c>
      <c r="N29">
        <f>IF($AG29="","","")</f>
        <v/>
      </c>
      <c r="O29">
        <f>IF($AG29="","",INDEX('TMP Paste'!$K$2:$K$1601,$AG29))</f>
        <v/>
      </c>
      <c r="P29">
        <f>IF($AG29="","","")</f>
        <v/>
      </c>
      <c r="Q29">
        <f>IF($AG29="","",INDEX('TMP Paste'!$J$2:$J$1601,$AG29))</f>
        <v/>
      </c>
      <c r="R29">
        <f>IF($AG29="","",Config!$B$24)</f>
        <v/>
      </c>
      <c r="S29">
        <f>IF($AG29="","",TEXT(Config!$B$4,"yyyy-mm-dd"))</f>
        <v/>
      </c>
      <c r="T29">
        <f>IF($AG29="","",Config!$B$17)</f>
        <v/>
      </c>
      <c r="U29">
        <f>IF($AG29="","",Config!$B$18)</f>
        <v/>
      </c>
      <c r="V29">
        <f>IF($AG29="","",Config!$B$19)</f>
        <v/>
      </c>
      <c r="W29">
        <f>IF($AG29="","",INDEX('TMP Paste'!$C$2:$C$1601,$AG29))</f>
        <v/>
      </c>
      <c r="X29">
        <f>IF($AG29="","",Config!$B$29)</f>
        <v/>
      </c>
      <c r="Y29">
        <f>IF($AH29="","",INDEX(Calc!$I$2:$I$1601,$AH29)&amp;" - "&amp;INDEX(Calc!$D$2:$D$1601,$AH29)&amp;" koli")</f>
        <v/>
      </c>
      <c r="Z29">
        <f>IF($AG29="","",Config!$B$21)</f>
        <v/>
      </c>
      <c r="AA29">
        <f>IF($AG29="","",Config!$B$22)</f>
        <v/>
      </c>
      <c r="AB29">
        <f>IF($AH29="","",INDEX(Calc!$D$2:$D$1601,$AH29))</f>
        <v/>
      </c>
      <c r="AC29">
        <f>IF($AH29="","",INDEX(Calc!$G$2:$G$1601,$AH29))</f>
        <v/>
      </c>
      <c r="AD29">
        <f>IF($AG29="","",Config!$B$23)</f>
        <v/>
      </c>
      <c r="AE29">
        <f>IF($AG29="","",Config!$B$28)</f>
        <v/>
      </c>
      <c r="AG29">
        <f>IFERROR(MATCH(ROW()-1,Calc!$J$2:$J$1601,0),"")</f>
        <v/>
      </c>
      <c r="AH29">
        <f>IFERROR(MATCH(ROW()-1,Calc!$K$2:$K$1601,0),"")</f>
        <v/>
      </c>
      <c r="AI29">
        <f>IF($AG29="","",SUMIF($AG$2:$AG29,$AG29,$AH$2:$AH29))</f>
        <v/>
      </c>
      <c r="AJ29">
        <f>IF('TMP Paste'!$F29="","",IF('TMP Paste'!$B29="",$AJ28,'TMP Paste'!$B29))</f>
        <v/>
      </c>
      <c r="AK29">
        <f>IF('TMP Paste'!$F29="","",N('TMP Paste'!$G29))</f>
        <v/>
      </c>
      <c r="AL29">
        <f>IF('TMP Paste'!$F29="","",IF('TMP Paste'!$M29="",$AL28,'TMP Paste'!$M29))</f>
        <v/>
      </c>
      <c r="AM29">
        <f>IF('TMP Paste'!$F29="","",IF('TMP Paste'!$N29="",$AM28,'TMP Paste'!$N29))</f>
        <v/>
      </c>
      <c r="AN29">
        <f>IF('TMP Paste'!$F29="","",IF('TMP Paste'!$O29="",$AN28,'TMP Paste'!$O29))</f>
        <v/>
      </c>
      <c r="AO29">
        <f>IF('TMP Paste'!$F29="","",IF('TMP Paste'!$P29="",$AO28,'TMP Paste'!$P29))</f>
        <v/>
      </c>
      <c r="AP29">
        <f>IF($AG29="","",LEN($R29))</f>
        <v/>
      </c>
      <c r="AQ29">
        <f>IF($AG29="","",TRIM(IF(COUNTIFS(Calc!$B$2:$B$1601,ROW()-1,Calc!$C$2:$C$1601,"&lt;1")&gt;0,"Ada PO tanpa Koli - cek TMP. ","")&amp;IF(LEN($R29)&gt;500,"R &gt; 500 karakter.","")))</f>
        <v/>
      </c>
    </row>
    <row r="30">
      <c r="A30">
        <f>IF($AG30="","",INDEX('TMP Paste'!$B$2:$B$1601,$AG30))</f>
        <v/>
      </c>
      <c r="B30">
        <f>IF($AG30="","",Config!$B$14)</f>
        <v/>
      </c>
      <c r="C30">
        <f>IF($AG30="","",Config!$B$15)</f>
        <v/>
      </c>
      <c r="D30">
        <f>IF($AG30="","",INDEX('TMP Paste'!$B$2:$B$1601,$AG30))</f>
        <v/>
      </c>
      <c r="E30">
        <f>IF($AG30="","",Config!$B$27)</f>
        <v/>
      </c>
      <c r="F30">
        <f>IF($AG30="","",Config!$B$9)</f>
        <v/>
      </c>
      <c r="G30">
        <f>IF($AG30="","",Config!$B$10)</f>
        <v/>
      </c>
      <c r="H30">
        <f>IF($AG30="","",Config!$B$11)</f>
        <v/>
      </c>
      <c r="I30">
        <f>IF($AG30="","",Config!$B$16)</f>
        <v/>
      </c>
      <c r="J30">
        <f>IF($AG30="","",INDEX('TMP Paste'!$A$2:$A$1601,$AG30))</f>
        <v/>
      </c>
      <c r="K30">
        <f>IF($AG30="","",INDEX('TMP Paste'!$L$2:$L$1601,$AG30))</f>
        <v/>
      </c>
      <c r="L30">
        <f>IF($AG30="","",INDEX('TMP Paste'!$I$2:$I$1601,$AG30))</f>
        <v/>
      </c>
      <c r="M30">
        <f>IF($AG30="","",Config!$B$16)</f>
        <v/>
      </c>
      <c r="N30">
        <f>IF($AG30="","","")</f>
        <v/>
      </c>
      <c r="O30">
        <f>IF($AG30="","",INDEX('TMP Paste'!$K$2:$K$1601,$AG30))</f>
        <v/>
      </c>
      <c r="P30">
        <f>IF($AG30="","","")</f>
        <v/>
      </c>
      <c r="Q30">
        <f>IF($AG30="","",INDEX('TMP Paste'!$J$2:$J$1601,$AG30))</f>
        <v/>
      </c>
      <c r="R30">
        <f>IF($AG30="","",Config!$B$24)</f>
        <v/>
      </c>
      <c r="S30">
        <f>IF($AG30="","",TEXT(Config!$B$4,"yyyy-mm-dd"))</f>
        <v/>
      </c>
      <c r="T30">
        <f>IF($AG30="","",Config!$B$17)</f>
        <v/>
      </c>
      <c r="U30">
        <f>IF($AG30="","",Config!$B$18)</f>
        <v/>
      </c>
      <c r="V30">
        <f>IF($AG30="","",Config!$B$19)</f>
        <v/>
      </c>
      <c r="W30">
        <f>IF($AG30="","",INDEX('TMP Paste'!$C$2:$C$1601,$AG30))</f>
        <v/>
      </c>
      <c r="X30">
        <f>IF($AG30="","",Config!$B$29)</f>
        <v/>
      </c>
      <c r="Y30">
        <f>IF($AH30="","",INDEX(Calc!$I$2:$I$1601,$AH30)&amp;" - "&amp;INDEX(Calc!$D$2:$D$1601,$AH30)&amp;" koli")</f>
        <v/>
      </c>
      <c r="Z30">
        <f>IF($AG30="","",Config!$B$21)</f>
        <v/>
      </c>
      <c r="AA30">
        <f>IF($AG30="","",Config!$B$22)</f>
        <v/>
      </c>
      <c r="AB30">
        <f>IF($AH30="","",INDEX(Calc!$D$2:$D$1601,$AH30))</f>
        <v/>
      </c>
      <c r="AC30">
        <f>IF($AH30="","",INDEX(Calc!$G$2:$G$1601,$AH30))</f>
        <v/>
      </c>
      <c r="AD30">
        <f>IF($AG30="","",Config!$B$23)</f>
        <v/>
      </c>
      <c r="AE30">
        <f>IF($AG30="","",Config!$B$28)</f>
        <v/>
      </c>
      <c r="AG30">
        <f>IFERROR(MATCH(ROW()-1,Calc!$J$2:$J$1601,0),"")</f>
        <v/>
      </c>
      <c r="AH30">
        <f>IFERROR(MATCH(ROW()-1,Calc!$K$2:$K$1601,0),"")</f>
        <v/>
      </c>
      <c r="AI30">
        <f>IF($AG30="","",SUMIF($AG$2:$AG30,$AG30,$AH$2:$AH30))</f>
        <v/>
      </c>
      <c r="AJ30">
        <f>IF('TMP Paste'!$F30="","",IF('TMP Paste'!$B30="",$AJ29,'TMP Paste'!$B30))</f>
        <v/>
      </c>
      <c r="AK30">
        <f>IF('TMP Paste'!$F30="","",N('TMP Paste'!$G30))</f>
        <v/>
      </c>
      <c r="AL30">
        <f>IF('TMP Paste'!$F30="","",IF('TMP Paste'!$M30="",$AL29,'TMP Paste'!$M30))</f>
        <v/>
      </c>
      <c r="AM30">
        <f>IF('TMP Paste'!$F30="","",IF('TMP Paste'!$N30="",$AM29,'TMP Paste'!$N30))</f>
        <v/>
      </c>
      <c r="AN30">
        <f>IF('TMP Paste'!$F30="","",IF('TMP Paste'!$O30="",$AN29,'TMP Paste'!$O30))</f>
        <v/>
      </c>
      <c r="AO30">
        <f>IF('TMP Paste'!$F30="","",IF('TMP Paste'!$P30="",$AO29,'TMP Paste'!$P30))</f>
        <v/>
      </c>
      <c r="AP30">
        <f>IF($AG30="","",LEN($R30))</f>
        <v/>
      </c>
      <c r="AQ30">
        <f>IF($AG30="","",TRIM(IF(COUNTIFS(Calc!$B$2:$B$1601,ROW()-1,Calc!$C$2:$C$1601,"&lt;1")&gt;0,"Ada PO tanpa Koli - cek TMP. ","")&amp;IF(LEN($R30)&gt;500,"R &gt; 500 karakter.","")))</f>
        <v/>
      </c>
    </row>
    <row r="31">
      <c r="A31">
        <f>IF($AG31="","",INDEX('TMP Paste'!$B$2:$B$1601,$AG31))</f>
        <v/>
      </c>
      <c r="B31">
        <f>IF($AG31="","",Config!$B$14)</f>
        <v/>
      </c>
      <c r="C31">
        <f>IF($AG31="","",Config!$B$15)</f>
        <v/>
      </c>
      <c r="D31">
        <f>IF($AG31="","",INDEX('TMP Paste'!$B$2:$B$1601,$AG31))</f>
        <v/>
      </c>
      <c r="E31">
        <f>IF($AG31="","",Config!$B$27)</f>
        <v/>
      </c>
      <c r="F31">
        <f>IF($AG31="","",Config!$B$9)</f>
        <v/>
      </c>
      <c r="G31">
        <f>IF($AG31="","",Config!$B$10)</f>
        <v/>
      </c>
      <c r="H31">
        <f>IF($AG31="","",Config!$B$11)</f>
        <v/>
      </c>
      <c r="I31">
        <f>IF($AG31="","",Config!$B$16)</f>
        <v/>
      </c>
      <c r="J31">
        <f>IF($AG31="","",INDEX('TMP Paste'!$A$2:$A$1601,$AG31))</f>
        <v/>
      </c>
      <c r="K31">
        <f>IF($AG31="","",INDEX('TMP Paste'!$L$2:$L$1601,$AG31))</f>
        <v/>
      </c>
      <c r="L31">
        <f>IF($AG31="","",INDEX('TMP Paste'!$I$2:$I$1601,$AG31))</f>
        <v/>
      </c>
      <c r="M31">
        <f>IF($AG31="","",Config!$B$16)</f>
        <v/>
      </c>
      <c r="N31">
        <f>IF($AG31="","","")</f>
        <v/>
      </c>
      <c r="O31">
        <f>IF($AG31="","",INDEX('TMP Paste'!$K$2:$K$1601,$AG31))</f>
        <v/>
      </c>
      <c r="P31">
        <f>IF($AG31="","","")</f>
        <v/>
      </c>
      <c r="Q31">
        <f>IF($AG31="","",INDEX('TMP Paste'!$J$2:$J$1601,$AG31))</f>
        <v/>
      </c>
      <c r="R31">
        <f>IF($AG31="","",Config!$B$24)</f>
        <v/>
      </c>
      <c r="S31">
        <f>IF($AG31="","",TEXT(Config!$B$4,"yyyy-mm-dd"))</f>
        <v/>
      </c>
      <c r="T31">
        <f>IF($AG31="","",Config!$B$17)</f>
        <v/>
      </c>
      <c r="U31">
        <f>IF($AG31="","",Config!$B$18)</f>
        <v/>
      </c>
      <c r="V31">
        <f>IF($AG31="","",Config!$B$19)</f>
        <v/>
      </c>
      <c r="W31">
        <f>IF($AG31="","",INDEX('TMP Paste'!$C$2:$C$1601,$AG31))</f>
        <v/>
      </c>
      <c r="X31">
        <f>IF($AG31="","",Config!$B$29)</f>
        <v/>
      </c>
      <c r="Y31">
        <f>IF($AH31="","",INDEX(Calc!$I$2:$I$1601,$AH31)&amp;" - "&amp;INDEX(Calc!$D$2:$D$1601,$AH31)&amp;" koli")</f>
        <v/>
      </c>
      <c r="Z31">
        <f>IF($AG31="","",Config!$B$21)</f>
        <v/>
      </c>
      <c r="AA31">
        <f>IF($AG31="","",Config!$B$22)</f>
        <v/>
      </c>
      <c r="AB31">
        <f>IF($AH31="","",INDEX(Calc!$D$2:$D$1601,$AH31))</f>
        <v/>
      </c>
      <c r="AC31">
        <f>IF($AH31="","",INDEX(Calc!$G$2:$G$1601,$AH31))</f>
        <v/>
      </c>
      <c r="AD31">
        <f>IF($AG31="","",Config!$B$23)</f>
        <v/>
      </c>
      <c r="AE31">
        <f>IF($AG31="","",Config!$B$28)</f>
        <v/>
      </c>
      <c r="AG31">
        <f>IFERROR(MATCH(ROW()-1,Calc!$J$2:$J$1601,0),"")</f>
        <v/>
      </c>
      <c r="AH31">
        <f>IFERROR(MATCH(ROW()-1,Calc!$K$2:$K$1601,0),"")</f>
        <v/>
      </c>
      <c r="AI31">
        <f>IF($AG31="","",SUMIF($AG$2:$AG31,$AG31,$AH$2:$AH31))</f>
        <v/>
      </c>
      <c r="AJ31">
        <f>IF('TMP Paste'!$F31="","",IF('TMP Paste'!$B31="",$AJ30,'TMP Paste'!$B31))</f>
        <v/>
      </c>
      <c r="AK31">
        <f>IF('TMP Paste'!$F31="","",N('TMP Paste'!$G31))</f>
        <v/>
      </c>
      <c r="AL31">
        <f>IF('TMP Paste'!$F31="","",IF('TMP Paste'!$M31="",$AL30,'TMP Paste'!$M31))</f>
        <v/>
      </c>
      <c r="AM31">
        <f>IF('TMP Paste'!$F31="","",IF('TMP Paste'!$N31="",$AM30,'TMP Paste'!$N31))</f>
        <v/>
      </c>
      <c r="AN31">
        <f>IF('TMP Paste'!$F31="","",IF('TMP Paste'!$O31="",$AN30,'TMP Paste'!$O31))</f>
        <v/>
      </c>
      <c r="AO31">
        <f>IF('TMP Paste'!$F31="","",IF('TMP Paste'!$P31="",$AO30,'TMP Paste'!$P31))</f>
        <v/>
      </c>
      <c r="AP31">
        <f>IF($AG31="","",LEN($R31))</f>
        <v/>
      </c>
      <c r="AQ31">
        <f>IF($AG31="","",TRIM(IF(COUNTIFS(Calc!$B$2:$B$1601,ROW()-1,Calc!$C$2:$C$1601,"&lt;1")&gt;0,"Ada PO tanpa Koli - cek TMP. ","")&amp;IF(LEN($R31)&gt;500,"R &gt; 500 karakter.","")))</f>
        <v/>
      </c>
    </row>
    <row r="32">
      <c r="A32">
        <f>IF($AG32="","",INDEX('TMP Paste'!$B$2:$B$1601,$AG32))</f>
        <v/>
      </c>
      <c r="B32">
        <f>IF($AG32="","",Config!$B$14)</f>
        <v/>
      </c>
      <c r="C32">
        <f>IF($AG32="","",Config!$B$15)</f>
        <v/>
      </c>
      <c r="D32">
        <f>IF($AG32="","",INDEX('TMP Paste'!$B$2:$B$1601,$AG32))</f>
        <v/>
      </c>
      <c r="E32">
        <f>IF($AG32="","",Config!$B$27)</f>
        <v/>
      </c>
      <c r="F32">
        <f>IF($AG32="","",Config!$B$9)</f>
        <v/>
      </c>
      <c r="G32">
        <f>IF($AG32="","",Config!$B$10)</f>
        <v/>
      </c>
      <c r="H32">
        <f>IF($AG32="","",Config!$B$11)</f>
        <v/>
      </c>
      <c r="I32">
        <f>IF($AG32="","",Config!$B$16)</f>
        <v/>
      </c>
      <c r="J32">
        <f>IF($AG32="","",INDEX('TMP Paste'!$A$2:$A$1601,$AG32))</f>
        <v/>
      </c>
      <c r="K32">
        <f>IF($AG32="","",INDEX('TMP Paste'!$L$2:$L$1601,$AG32))</f>
        <v/>
      </c>
      <c r="L32">
        <f>IF($AG32="","",INDEX('TMP Paste'!$I$2:$I$1601,$AG32))</f>
        <v/>
      </c>
      <c r="M32">
        <f>IF($AG32="","",Config!$B$16)</f>
        <v/>
      </c>
      <c r="N32">
        <f>IF($AG32="","","")</f>
        <v/>
      </c>
      <c r="O32">
        <f>IF($AG32="","",INDEX('TMP Paste'!$K$2:$K$1601,$AG32))</f>
        <v/>
      </c>
      <c r="P32">
        <f>IF($AG32="","","")</f>
        <v/>
      </c>
      <c r="Q32">
        <f>IF($AG32="","",INDEX('TMP Paste'!$J$2:$J$1601,$AG32))</f>
        <v/>
      </c>
      <c r="R32">
        <f>IF($AG32="","",Config!$B$24)</f>
        <v/>
      </c>
      <c r="S32">
        <f>IF($AG32="","",TEXT(Config!$B$4,"yyyy-mm-dd"))</f>
        <v/>
      </c>
      <c r="T32">
        <f>IF($AG32="","",Config!$B$17)</f>
        <v/>
      </c>
      <c r="U32">
        <f>IF($AG32="","",Config!$B$18)</f>
        <v/>
      </c>
      <c r="V32">
        <f>IF($AG32="","",Config!$B$19)</f>
        <v/>
      </c>
      <c r="W32">
        <f>IF($AG32="","",INDEX('TMP Paste'!$C$2:$C$1601,$AG32))</f>
        <v/>
      </c>
      <c r="X32">
        <f>IF($AG32="","",Config!$B$29)</f>
        <v/>
      </c>
      <c r="Y32">
        <f>IF($AH32="","",INDEX(Calc!$I$2:$I$1601,$AH32)&amp;" - "&amp;INDEX(Calc!$D$2:$D$1601,$AH32)&amp;" koli")</f>
        <v/>
      </c>
      <c r="Z32">
        <f>IF($AG32="","",Config!$B$21)</f>
        <v/>
      </c>
      <c r="AA32">
        <f>IF($AG32="","",Config!$B$22)</f>
        <v/>
      </c>
      <c r="AB32">
        <f>IF($AH32="","",INDEX(Calc!$D$2:$D$1601,$AH32))</f>
        <v/>
      </c>
      <c r="AC32">
        <f>IF($AH32="","",INDEX(Calc!$G$2:$G$1601,$AH32))</f>
        <v/>
      </c>
      <c r="AD32">
        <f>IF($AG32="","",Config!$B$23)</f>
        <v/>
      </c>
      <c r="AE32">
        <f>IF($AG32="","",Config!$B$28)</f>
        <v/>
      </c>
      <c r="AG32">
        <f>IFERROR(MATCH(ROW()-1,Calc!$J$2:$J$1601,0),"")</f>
        <v/>
      </c>
      <c r="AH32">
        <f>IFERROR(MATCH(ROW()-1,Calc!$K$2:$K$1601,0),"")</f>
        <v/>
      </c>
      <c r="AI32">
        <f>IF($AG32="","",SUMIF($AG$2:$AG32,$AG32,$AH$2:$AH32))</f>
        <v/>
      </c>
      <c r="AJ32">
        <f>IF('TMP Paste'!$F32="","",IF('TMP Paste'!$B32="",$AJ31,'TMP Paste'!$B32))</f>
        <v/>
      </c>
      <c r="AK32">
        <f>IF('TMP Paste'!$F32="","",N('TMP Paste'!$G32))</f>
        <v/>
      </c>
      <c r="AL32">
        <f>IF('TMP Paste'!$F32="","",IF('TMP Paste'!$M32="",$AL31,'TMP Paste'!$M32))</f>
        <v/>
      </c>
      <c r="AM32">
        <f>IF('TMP Paste'!$F32="","",IF('TMP Paste'!$N32="",$AM31,'TMP Paste'!$N32))</f>
        <v/>
      </c>
      <c r="AN32">
        <f>IF('TMP Paste'!$F32="","",IF('TMP Paste'!$O32="",$AN31,'TMP Paste'!$O32))</f>
        <v/>
      </c>
      <c r="AO32">
        <f>IF('TMP Paste'!$F32="","",IF('TMP Paste'!$P32="",$AO31,'TMP Paste'!$P32))</f>
        <v/>
      </c>
      <c r="AP32">
        <f>IF($AG32="","",LEN($R32))</f>
        <v/>
      </c>
      <c r="AQ32">
        <f>IF($AG32="","",TRIM(IF(COUNTIFS(Calc!$B$2:$B$1601,ROW()-1,Calc!$C$2:$C$1601,"&lt;1")&gt;0,"Ada PO tanpa Koli - cek TMP. ","")&amp;IF(LEN($R32)&gt;500,"R &gt; 500 karakter.","")))</f>
        <v/>
      </c>
    </row>
    <row r="33">
      <c r="A33">
        <f>IF($AG33="","",INDEX('TMP Paste'!$B$2:$B$1601,$AG33))</f>
        <v/>
      </c>
      <c r="B33">
        <f>IF($AG33="","",Config!$B$14)</f>
        <v/>
      </c>
      <c r="C33">
        <f>IF($AG33="","",Config!$B$15)</f>
        <v/>
      </c>
      <c r="D33">
        <f>IF($AG33="","",INDEX('TMP Paste'!$B$2:$B$1601,$AG33))</f>
        <v/>
      </c>
      <c r="E33">
        <f>IF($AG33="","",Config!$B$27)</f>
        <v/>
      </c>
      <c r="F33">
        <f>IF($AG33="","",Config!$B$9)</f>
        <v/>
      </c>
      <c r="G33">
        <f>IF($AG33="","",Config!$B$10)</f>
        <v/>
      </c>
      <c r="H33">
        <f>IF($AG33="","",Config!$B$11)</f>
        <v/>
      </c>
      <c r="I33">
        <f>IF($AG33="","",Config!$B$16)</f>
        <v/>
      </c>
      <c r="J33">
        <f>IF($AG33="","",INDEX('TMP Paste'!$A$2:$A$1601,$AG33))</f>
        <v/>
      </c>
      <c r="K33">
        <f>IF($AG33="","",INDEX('TMP Paste'!$L$2:$L$1601,$AG33))</f>
        <v/>
      </c>
      <c r="L33">
        <f>IF($AG33="","",INDEX('TMP Paste'!$I$2:$I$1601,$AG33))</f>
        <v/>
      </c>
      <c r="M33">
        <f>IF($AG33="","",Config!$B$16)</f>
        <v/>
      </c>
      <c r="N33">
        <f>IF($AG33="","","")</f>
        <v/>
      </c>
      <c r="O33">
        <f>IF($AG33="","",INDEX('TMP Paste'!$K$2:$K$1601,$AG33))</f>
        <v/>
      </c>
      <c r="P33">
        <f>IF($AG33="","","")</f>
        <v/>
      </c>
      <c r="Q33">
        <f>IF($AG33="","",INDEX('TMP Paste'!$J$2:$J$1601,$AG33))</f>
        <v/>
      </c>
      <c r="R33">
        <f>IF($AG33="","",Config!$B$24)</f>
        <v/>
      </c>
      <c r="S33">
        <f>IF($AG33="","",TEXT(Config!$B$4,"yyyy-mm-dd"))</f>
        <v/>
      </c>
      <c r="T33">
        <f>IF($AG33="","",Config!$B$17)</f>
        <v/>
      </c>
      <c r="U33">
        <f>IF($AG33="","",Config!$B$18)</f>
        <v/>
      </c>
      <c r="V33">
        <f>IF($AG33="","",Config!$B$19)</f>
        <v/>
      </c>
      <c r="W33">
        <f>IF($AG33="","",INDEX('TMP Paste'!$C$2:$C$1601,$AG33))</f>
        <v/>
      </c>
      <c r="X33">
        <f>IF($AG33="","",Config!$B$29)</f>
        <v/>
      </c>
      <c r="Y33">
        <f>IF($AH33="","",INDEX(Calc!$I$2:$I$1601,$AH33)&amp;" - "&amp;INDEX(Calc!$D$2:$D$1601,$AH33)&amp;" koli")</f>
        <v/>
      </c>
      <c r="Z33">
        <f>IF($AG33="","",Config!$B$21)</f>
        <v/>
      </c>
      <c r="AA33">
        <f>IF($AG33="","",Config!$B$22)</f>
        <v/>
      </c>
      <c r="AB33">
        <f>IF($AH33="","",INDEX(Calc!$D$2:$D$1601,$AH33))</f>
        <v/>
      </c>
      <c r="AC33">
        <f>IF($AH33="","",INDEX(Calc!$G$2:$G$1601,$AH33))</f>
        <v/>
      </c>
      <c r="AD33">
        <f>IF($AG33="","",Config!$B$23)</f>
        <v/>
      </c>
      <c r="AE33">
        <f>IF($AG33="","",Config!$B$28)</f>
        <v/>
      </c>
      <c r="AG33">
        <f>IFERROR(MATCH(ROW()-1,Calc!$J$2:$J$1601,0),"")</f>
        <v/>
      </c>
      <c r="AH33">
        <f>IFERROR(MATCH(ROW()-1,Calc!$K$2:$K$1601,0),"")</f>
        <v/>
      </c>
      <c r="AI33">
        <f>IF($AG33="","",SUMIF($AG$2:$AG33,$AG33,$AH$2:$AH33))</f>
        <v/>
      </c>
      <c r="AJ33">
        <f>IF('TMP Paste'!$F33="","",IF('TMP Paste'!$B33="",$AJ32,'TMP Paste'!$B33))</f>
        <v/>
      </c>
      <c r="AK33">
        <f>IF('TMP Paste'!$F33="","",N('TMP Paste'!$G33))</f>
        <v/>
      </c>
      <c r="AL33">
        <f>IF('TMP Paste'!$F33="","",IF('TMP Paste'!$M33="",$AL32,'TMP Paste'!$M33))</f>
        <v/>
      </c>
      <c r="AM33">
        <f>IF('TMP Paste'!$F33="","",IF('TMP Paste'!$N33="",$AM32,'TMP Paste'!$N33))</f>
        <v/>
      </c>
      <c r="AN33">
        <f>IF('TMP Paste'!$F33="","",IF('TMP Paste'!$O33="",$AN32,'TMP Paste'!$O33))</f>
        <v/>
      </c>
      <c r="AO33">
        <f>IF('TMP Paste'!$F33="","",IF('TMP Paste'!$P33="",$AO32,'TMP Paste'!$P33))</f>
        <v/>
      </c>
      <c r="AP33">
        <f>IF($AG33="","",LEN($R33))</f>
        <v/>
      </c>
      <c r="AQ33">
        <f>IF($AG33="","",TRIM(IF(COUNTIFS(Calc!$B$2:$B$1601,ROW()-1,Calc!$C$2:$C$1601,"&lt;1")&gt;0,"Ada PO tanpa Koli - cek TMP. ","")&amp;IF(LEN($R33)&gt;500,"R &gt; 500 karakter.","")))</f>
        <v/>
      </c>
    </row>
    <row r="34">
      <c r="A34">
        <f>IF($AG34="","",INDEX('TMP Paste'!$B$2:$B$1601,$AG34))</f>
        <v/>
      </c>
      <c r="B34">
        <f>IF($AG34="","",Config!$B$14)</f>
        <v/>
      </c>
      <c r="C34">
        <f>IF($AG34="","",Config!$B$15)</f>
        <v/>
      </c>
      <c r="D34">
        <f>IF($AG34="","",INDEX('TMP Paste'!$B$2:$B$1601,$AG34))</f>
        <v/>
      </c>
      <c r="E34">
        <f>IF($AG34="","",Config!$B$27)</f>
        <v/>
      </c>
      <c r="F34">
        <f>IF($AG34="","",Config!$B$9)</f>
        <v/>
      </c>
      <c r="G34">
        <f>IF($AG34="","",Config!$B$10)</f>
        <v/>
      </c>
      <c r="H34">
        <f>IF($AG34="","",Config!$B$11)</f>
        <v/>
      </c>
      <c r="I34">
        <f>IF($AG34="","",Config!$B$16)</f>
        <v/>
      </c>
      <c r="J34">
        <f>IF($AG34="","",INDEX('TMP Paste'!$A$2:$A$1601,$AG34))</f>
        <v/>
      </c>
      <c r="K34">
        <f>IF($AG34="","",INDEX('TMP Paste'!$L$2:$L$1601,$AG34))</f>
        <v/>
      </c>
      <c r="L34">
        <f>IF($AG34="","",INDEX('TMP Paste'!$I$2:$I$1601,$AG34))</f>
        <v/>
      </c>
      <c r="M34">
        <f>IF($AG34="","",Config!$B$16)</f>
        <v/>
      </c>
      <c r="N34">
        <f>IF($AG34="","","")</f>
        <v/>
      </c>
      <c r="O34">
        <f>IF($AG34="","",INDEX('TMP Paste'!$K$2:$K$1601,$AG34))</f>
        <v/>
      </c>
      <c r="P34">
        <f>IF($AG34="","","")</f>
        <v/>
      </c>
      <c r="Q34">
        <f>IF($AG34="","",INDEX('TMP Paste'!$J$2:$J$1601,$AG34))</f>
        <v/>
      </c>
      <c r="R34">
        <f>IF($AG34="","",Config!$B$24)</f>
        <v/>
      </c>
      <c r="S34">
        <f>IF($AG34="","",TEXT(Config!$B$4,"yyyy-mm-dd"))</f>
        <v/>
      </c>
      <c r="T34">
        <f>IF($AG34="","",Config!$B$17)</f>
        <v/>
      </c>
      <c r="U34">
        <f>IF($AG34="","",Config!$B$18)</f>
        <v/>
      </c>
      <c r="V34">
        <f>IF($AG34="","",Config!$B$19)</f>
        <v/>
      </c>
      <c r="W34">
        <f>IF($AG34="","",INDEX('TMP Paste'!$C$2:$C$1601,$AG34))</f>
        <v/>
      </c>
      <c r="X34">
        <f>IF($AG34="","",Config!$B$29)</f>
        <v/>
      </c>
      <c r="Y34">
        <f>IF($AH34="","",INDEX(Calc!$I$2:$I$1601,$AH34)&amp;" - "&amp;INDEX(Calc!$D$2:$D$1601,$AH34)&amp;" koli")</f>
        <v/>
      </c>
      <c r="Z34">
        <f>IF($AG34="","",Config!$B$21)</f>
        <v/>
      </c>
      <c r="AA34">
        <f>IF($AG34="","",Config!$B$22)</f>
        <v/>
      </c>
      <c r="AB34">
        <f>IF($AH34="","",INDEX(Calc!$D$2:$D$1601,$AH34))</f>
        <v/>
      </c>
      <c r="AC34">
        <f>IF($AH34="","",INDEX(Calc!$G$2:$G$1601,$AH34))</f>
        <v/>
      </c>
      <c r="AD34">
        <f>IF($AG34="","",Config!$B$23)</f>
        <v/>
      </c>
      <c r="AE34">
        <f>IF($AG34="","",Config!$B$28)</f>
        <v/>
      </c>
      <c r="AG34">
        <f>IFERROR(MATCH(ROW()-1,Calc!$J$2:$J$1601,0),"")</f>
        <v/>
      </c>
      <c r="AH34">
        <f>IFERROR(MATCH(ROW()-1,Calc!$K$2:$K$1601,0),"")</f>
        <v/>
      </c>
      <c r="AI34">
        <f>IF($AG34="","",SUMIF($AG$2:$AG34,$AG34,$AH$2:$AH34))</f>
        <v/>
      </c>
      <c r="AJ34">
        <f>IF('TMP Paste'!$F34="","",IF('TMP Paste'!$B34="",$AJ33,'TMP Paste'!$B34))</f>
        <v/>
      </c>
      <c r="AK34">
        <f>IF('TMP Paste'!$F34="","",N('TMP Paste'!$G34))</f>
        <v/>
      </c>
      <c r="AL34">
        <f>IF('TMP Paste'!$F34="","",IF('TMP Paste'!$M34="",$AL33,'TMP Paste'!$M34))</f>
        <v/>
      </c>
      <c r="AM34">
        <f>IF('TMP Paste'!$F34="","",IF('TMP Paste'!$N34="",$AM33,'TMP Paste'!$N34))</f>
        <v/>
      </c>
      <c r="AN34">
        <f>IF('TMP Paste'!$F34="","",IF('TMP Paste'!$O34="",$AN33,'TMP Paste'!$O34))</f>
        <v/>
      </c>
      <c r="AO34">
        <f>IF('TMP Paste'!$F34="","",IF('TMP Paste'!$P34="",$AO33,'TMP Paste'!$P34))</f>
        <v/>
      </c>
      <c r="AP34">
        <f>IF($AG34="","",LEN($R34))</f>
        <v/>
      </c>
      <c r="AQ34">
        <f>IF($AG34="","",TRIM(IF(COUNTIFS(Calc!$B$2:$B$1601,ROW()-1,Calc!$C$2:$C$1601,"&lt;1")&gt;0,"Ada PO tanpa Koli - cek TMP. ","")&amp;IF(LEN($R34)&gt;500,"R &gt; 500 karakter.","")))</f>
        <v/>
      </c>
    </row>
    <row r="35">
      <c r="A35">
        <f>IF($AG35="","",INDEX('TMP Paste'!$B$2:$B$1601,$AG35))</f>
        <v/>
      </c>
      <c r="B35">
        <f>IF($AG35="","",Config!$B$14)</f>
        <v/>
      </c>
      <c r="C35">
        <f>IF($AG35="","",Config!$B$15)</f>
        <v/>
      </c>
      <c r="D35">
        <f>IF($AG35="","",INDEX('TMP Paste'!$B$2:$B$1601,$AG35))</f>
        <v/>
      </c>
      <c r="E35">
        <f>IF($AG35="","",Config!$B$27)</f>
        <v/>
      </c>
      <c r="F35">
        <f>IF($AG35="","",Config!$B$9)</f>
        <v/>
      </c>
      <c r="G35">
        <f>IF($AG35="","",Config!$B$10)</f>
        <v/>
      </c>
      <c r="H35">
        <f>IF($AG35="","",Config!$B$11)</f>
        <v/>
      </c>
      <c r="I35">
        <f>IF($AG35="","",Config!$B$16)</f>
        <v/>
      </c>
      <c r="J35">
        <f>IF($AG35="","",INDEX('TMP Paste'!$A$2:$A$1601,$AG35))</f>
        <v/>
      </c>
      <c r="K35">
        <f>IF($AG35="","",INDEX('TMP Paste'!$L$2:$L$1601,$AG35))</f>
        <v/>
      </c>
      <c r="L35">
        <f>IF($AG35="","",INDEX('TMP Paste'!$I$2:$I$1601,$AG35))</f>
        <v/>
      </c>
      <c r="M35">
        <f>IF($AG35="","",Config!$B$16)</f>
        <v/>
      </c>
      <c r="N35">
        <f>IF($AG35="","","")</f>
        <v/>
      </c>
      <c r="O35">
        <f>IF($AG35="","",INDEX('TMP Paste'!$K$2:$K$1601,$AG35))</f>
        <v/>
      </c>
      <c r="P35">
        <f>IF($AG35="","","")</f>
        <v/>
      </c>
      <c r="Q35">
        <f>IF($AG35="","",INDEX('TMP Paste'!$J$2:$J$1601,$AG35))</f>
        <v/>
      </c>
      <c r="R35">
        <f>IF($AG35="","",Config!$B$24)</f>
        <v/>
      </c>
      <c r="S35">
        <f>IF($AG35="","",TEXT(Config!$B$4,"yyyy-mm-dd"))</f>
        <v/>
      </c>
      <c r="T35">
        <f>IF($AG35="","",Config!$B$17)</f>
        <v/>
      </c>
      <c r="U35">
        <f>IF($AG35="","",Config!$B$18)</f>
        <v/>
      </c>
      <c r="V35">
        <f>IF($AG35="","",Config!$B$19)</f>
        <v/>
      </c>
      <c r="W35">
        <f>IF($AG35="","",INDEX('TMP Paste'!$C$2:$C$1601,$AG35))</f>
        <v/>
      </c>
      <c r="X35">
        <f>IF($AG35="","",Config!$B$29)</f>
        <v/>
      </c>
      <c r="Y35">
        <f>IF($AH35="","",INDEX(Calc!$I$2:$I$1601,$AH35)&amp;" - "&amp;INDEX(Calc!$D$2:$D$1601,$AH35)&amp;" koli")</f>
        <v/>
      </c>
      <c r="Z35">
        <f>IF($AG35="","",Config!$B$21)</f>
        <v/>
      </c>
      <c r="AA35">
        <f>IF($AG35="","",Config!$B$22)</f>
        <v/>
      </c>
      <c r="AB35">
        <f>IF($AH35="","",INDEX(Calc!$D$2:$D$1601,$AH35))</f>
        <v/>
      </c>
      <c r="AC35">
        <f>IF($AH35="","",INDEX(Calc!$G$2:$G$1601,$AH35))</f>
        <v/>
      </c>
      <c r="AD35">
        <f>IF($AG35="","",Config!$B$23)</f>
        <v/>
      </c>
      <c r="AE35">
        <f>IF($AG35="","",Config!$B$28)</f>
        <v/>
      </c>
      <c r="AG35">
        <f>IFERROR(MATCH(ROW()-1,Calc!$J$2:$J$1601,0),"")</f>
        <v/>
      </c>
      <c r="AH35">
        <f>IFERROR(MATCH(ROW()-1,Calc!$K$2:$K$1601,0),"")</f>
        <v/>
      </c>
      <c r="AI35">
        <f>IF($AG35="","",SUMIF($AG$2:$AG35,$AG35,$AH$2:$AH35))</f>
        <v/>
      </c>
      <c r="AJ35">
        <f>IF('TMP Paste'!$F35="","",IF('TMP Paste'!$B35="",$AJ34,'TMP Paste'!$B35))</f>
        <v/>
      </c>
      <c r="AK35">
        <f>IF('TMP Paste'!$F35="","",N('TMP Paste'!$G35))</f>
        <v/>
      </c>
      <c r="AL35">
        <f>IF('TMP Paste'!$F35="","",IF('TMP Paste'!$M35="",$AL34,'TMP Paste'!$M35))</f>
        <v/>
      </c>
      <c r="AM35">
        <f>IF('TMP Paste'!$F35="","",IF('TMP Paste'!$N35="",$AM34,'TMP Paste'!$N35))</f>
        <v/>
      </c>
      <c r="AN35">
        <f>IF('TMP Paste'!$F35="","",IF('TMP Paste'!$O35="",$AN34,'TMP Paste'!$O35))</f>
        <v/>
      </c>
      <c r="AO35">
        <f>IF('TMP Paste'!$F35="","",IF('TMP Paste'!$P35="",$AO34,'TMP Paste'!$P35))</f>
        <v/>
      </c>
      <c r="AP35">
        <f>IF($AG35="","",LEN($R35))</f>
        <v/>
      </c>
      <c r="AQ35">
        <f>IF($AG35="","",TRIM(IF(COUNTIFS(Calc!$B$2:$B$1601,ROW()-1,Calc!$C$2:$C$1601,"&lt;1")&gt;0,"Ada PO tanpa Koli - cek TMP. ","")&amp;IF(LEN($R35)&gt;500,"R &gt; 500 karakter.","")))</f>
        <v/>
      </c>
    </row>
    <row r="36">
      <c r="A36">
        <f>IF($AG36="","",INDEX('TMP Paste'!$B$2:$B$1601,$AG36))</f>
        <v/>
      </c>
      <c r="B36">
        <f>IF($AG36="","",Config!$B$14)</f>
        <v/>
      </c>
      <c r="C36">
        <f>IF($AG36="","",Config!$B$15)</f>
        <v/>
      </c>
      <c r="D36">
        <f>IF($AG36="","",INDEX('TMP Paste'!$B$2:$B$1601,$AG36))</f>
        <v/>
      </c>
      <c r="E36">
        <f>IF($AG36="","",Config!$B$27)</f>
        <v/>
      </c>
      <c r="F36">
        <f>IF($AG36="","",Config!$B$9)</f>
        <v/>
      </c>
      <c r="G36">
        <f>IF($AG36="","",Config!$B$10)</f>
        <v/>
      </c>
      <c r="H36">
        <f>IF($AG36="","",Config!$B$11)</f>
        <v/>
      </c>
      <c r="I36">
        <f>IF($AG36="","",Config!$B$16)</f>
        <v/>
      </c>
      <c r="J36">
        <f>IF($AG36="","",INDEX('TMP Paste'!$A$2:$A$1601,$AG36))</f>
        <v/>
      </c>
      <c r="K36">
        <f>IF($AG36="","",INDEX('TMP Paste'!$L$2:$L$1601,$AG36))</f>
        <v/>
      </c>
      <c r="L36">
        <f>IF($AG36="","",INDEX('TMP Paste'!$I$2:$I$1601,$AG36))</f>
        <v/>
      </c>
      <c r="M36">
        <f>IF($AG36="","",Config!$B$16)</f>
        <v/>
      </c>
      <c r="N36">
        <f>IF($AG36="","","")</f>
        <v/>
      </c>
      <c r="O36">
        <f>IF($AG36="","",INDEX('TMP Paste'!$K$2:$K$1601,$AG36))</f>
        <v/>
      </c>
      <c r="P36">
        <f>IF($AG36="","","")</f>
        <v/>
      </c>
      <c r="Q36">
        <f>IF($AG36="","",INDEX('TMP Paste'!$J$2:$J$1601,$AG36))</f>
        <v/>
      </c>
      <c r="R36">
        <f>IF($AG36="","",Config!$B$24)</f>
        <v/>
      </c>
      <c r="S36">
        <f>IF($AG36="","",TEXT(Config!$B$4,"yyyy-mm-dd"))</f>
        <v/>
      </c>
      <c r="T36">
        <f>IF($AG36="","",Config!$B$17)</f>
        <v/>
      </c>
      <c r="U36">
        <f>IF($AG36="","",Config!$B$18)</f>
        <v/>
      </c>
      <c r="V36">
        <f>IF($AG36="","",Config!$B$19)</f>
        <v/>
      </c>
      <c r="W36">
        <f>IF($AG36="","",INDEX('TMP Paste'!$C$2:$C$1601,$AG36))</f>
        <v/>
      </c>
      <c r="X36">
        <f>IF($AG36="","",Config!$B$29)</f>
        <v/>
      </c>
      <c r="Y36">
        <f>IF($AH36="","",INDEX(Calc!$I$2:$I$1601,$AH36)&amp;" - "&amp;INDEX(Calc!$D$2:$D$1601,$AH36)&amp;" koli")</f>
        <v/>
      </c>
      <c r="Z36">
        <f>IF($AG36="","",Config!$B$21)</f>
        <v/>
      </c>
      <c r="AA36">
        <f>IF($AG36="","",Config!$B$22)</f>
        <v/>
      </c>
      <c r="AB36">
        <f>IF($AH36="","",INDEX(Calc!$D$2:$D$1601,$AH36))</f>
        <v/>
      </c>
      <c r="AC36">
        <f>IF($AH36="","",INDEX(Calc!$G$2:$G$1601,$AH36))</f>
        <v/>
      </c>
      <c r="AD36">
        <f>IF($AG36="","",Config!$B$23)</f>
        <v/>
      </c>
      <c r="AE36">
        <f>IF($AG36="","",Config!$B$28)</f>
        <v/>
      </c>
      <c r="AG36">
        <f>IFERROR(MATCH(ROW()-1,Calc!$J$2:$J$1601,0),"")</f>
        <v/>
      </c>
      <c r="AH36">
        <f>IFERROR(MATCH(ROW()-1,Calc!$K$2:$K$1601,0),"")</f>
        <v/>
      </c>
      <c r="AI36">
        <f>IF($AG36="","",SUMIF($AG$2:$AG36,$AG36,$AH$2:$AH36))</f>
        <v/>
      </c>
      <c r="AJ36">
        <f>IF('TMP Paste'!$F36="","",IF('TMP Paste'!$B36="",$AJ35,'TMP Paste'!$B36))</f>
        <v/>
      </c>
      <c r="AK36">
        <f>IF('TMP Paste'!$F36="","",N('TMP Paste'!$G36))</f>
        <v/>
      </c>
      <c r="AL36">
        <f>IF('TMP Paste'!$F36="","",IF('TMP Paste'!$M36="",$AL35,'TMP Paste'!$M36))</f>
        <v/>
      </c>
      <c r="AM36">
        <f>IF('TMP Paste'!$F36="","",IF('TMP Paste'!$N36="",$AM35,'TMP Paste'!$N36))</f>
        <v/>
      </c>
      <c r="AN36">
        <f>IF('TMP Paste'!$F36="","",IF('TMP Paste'!$O36="",$AN35,'TMP Paste'!$O36))</f>
        <v/>
      </c>
      <c r="AO36">
        <f>IF('TMP Paste'!$F36="","",IF('TMP Paste'!$P36="",$AO35,'TMP Paste'!$P36))</f>
        <v/>
      </c>
      <c r="AP36">
        <f>IF($AG36="","",LEN($R36))</f>
        <v/>
      </c>
      <c r="AQ36">
        <f>IF($AG36="","",TRIM(IF(COUNTIFS(Calc!$B$2:$B$1601,ROW()-1,Calc!$C$2:$C$1601,"&lt;1")&gt;0,"Ada PO tanpa Koli - cek TMP. ","")&amp;IF(LEN($R36)&gt;500,"R &gt; 500 karakter.","")))</f>
        <v/>
      </c>
    </row>
    <row r="37">
      <c r="A37">
        <f>IF($AG37="","",INDEX('TMP Paste'!$B$2:$B$1601,$AG37))</f>
        <v/>
      </c>
      <c r="B37">
        <f>IF($AG37="","",Config!$B$14)</f>
        <v/>
      </c>
      <c r="C37">
        <f>IF($AG37="","",Config!$B$15)</f>
        <v/>
      </c>
      <c r="D37">
        <f>IF($AG37="","",INDEX('TMP Paste'!$B$2:$B$1601,$AG37))</f>
        <v/>
      </c>
      <c r="E37">
        <f>IF($AG37="","",Config!$B$27)</f>
        <v/>
      </c>
      <c r="F37">
        <f>IF($AG37="","",Config!$B$9)</f>
        <v/>
      </c>
      <c r="G37">
        <f>IF($AG37="","",Config!$B$10)</f>
        <v/>
      </c>
      <c r="H37">
        <f>IF($AG37="","",Config!$B$11)</f>
        <v/>
      </c>
      <c r="I37">
        <f>IF($AG37="","",Config!$B$16)</f>
        <v/>
      </c>
      <c r="J37">
        <f>IF($AG37="","",INDEX('TMP Paste'!$A$2:$A$1601,$AG37))</f>
        <v/>
      </c>
      <c r="K37">
        <f>IF($AG37="","",INDEX('TMP Paste'!$L$2:$L$1601,$AG37))</f>
        <v/>
      </c>
      <c r="L37">
        <f>IF($AG37="","",INDEX('TMP Paste'!$I$2:$I$1601,$AG37))</f>
        <v/>
      </c>
      <c r="M37">
        <f>IF($AG37="","",Config!$B$16)</f>
        <v/>
      </c>
      <c r="N37">
        <f>IF($AG37="","","")</f>
        <v/>
      </c>
      <c r="O37">
        <f>IF($AG37="","",INDEX('TMP Paste'!$K$2:$K$1601,$AG37))</f>
        <v/>
      </c>
      <c r="P37">
        <f>IF($AG37="","","")</f>
        <v/>
      </c>
      <c r="Q37">
        <f>IF($AG37="","",INDEX('TMP Paste'!$J$2:$J$1601,$AG37))</f>
        <v/>
      </c>
      <c r="R37">
        <f>IF($AG37="","",Config!$B$24)</f>
        <v/>
      </c>
      <c r="S37">
        <f>IF($AG37="","",TEXT(Config!$B$4,"yyyy-mm-dd"))</f>
        <v/>
      </c>
      <c r="T37">
        <f>IF($AG37="","",Config!$B$17)</f>
        <v/>
      </c>
      <c r="U37">
        <f>IF($AG37="","",Config!$B$18)</f>
        <v/>
      </c>
      <c r="V37">
        <f>IF($AG37="","",Config!$B$19)</f>
        <v/>
      </c>
      <c r="W37">
        <f>IF($AG37="","",INDEX('TMP Paste'!$C$2:$C$1601,$AG37))</f>
        <v/>
      </c>
      <c r="X37">
        <f>IF($AG37="","",Config!$B$29)</f>
        <v/>
      </c>
      <c r="Y37">
        <f>IF($AH37="","",INDEX(Calc!$I$2:$I$1601,$AH37)&amp;" - "&amp;INDEX(Calc!$D$2:$D$1601,$AH37)&amp;" koli")</f>
        <v/>
      </c>
      <c r="Z37">
        <f>IF($AG37="","",Config!$B$21)</f>
        <v/>
      </c>
      <c r="AA37">
        <f>IF($AG37="","",Config!$B$22)</f>
        <v/>
      </c>
      <c r="AB37">
        <f>IF($AH37="","",INDEX(Calc!$D$2:$D$1601,$AH37))</f>
        <v/>
      </c>
      <c r="AC37">
        <f>IF($AH37="","",INDEX(Calc!$G$2:$G$1601,$AH37))</f>
        <v/>
      </c>
      <c r="AD37">
        <f>IF($AG37="","",Config!$B$23)</f>
        <v/>
      </c>
      <c r="AE37">
        <f>IF($AG37="","",Config!$B$28)</f>
        <v/>
      </c>
      <c r="AG37">
        <f>IFERROR(MATCH(ROW()-1,Calc!$J$2:$J$1601,0),"")</f>
        <v/>
      </c>
      <c r="AH37">
        <f>IFERROR(MATCH(ROW()-1,Calc!$K$2:$K$1601,0),"")</f>
        <v/>
      </c>
      <c r="AI37">
        <f>IF($AG37="","",SUMIF($AG$2:$AG37,$AG37,$AH$2:$AH37))</f>
        <v/>
      </c>
      <c r="AJ37">
        <f>IF('TMP Paste'!$F37="","",IF('TMP Paste'!$B37="",$AJ36,'TMP Paste'!$B37))</f>
        <v/>
      </c>
      <c r="AK37">
        <f>IF('TMP Paste'!$F37="","",N('TMP Paste'!$G37))</f>
        <v/>
      </c>
      <c r="AL37">
        <f>IF('TMP Paste'!$F37="","",IF('TMP Paste'!$M37="",$AL36,'TMP Paste'!$M37))</f>
        <v/>
      </c>
      <c r="AM37">
        <f>IF('TMP Paste'!$F37="","",IF('TMP Paste'!$N37="",$AM36,'TMP Paste'!$N37))</f>
        <v/>
      </c>
      <c r="AN37">
        <f>IF('TMP Paste'!$F37="","",IF('TMP Paste'!$O37="",$AN36,'TMP Paste'!$O37))</f>
        <v/>
      </c>
      <c r="AO37">
        <f>IF('TMP Paste'!$F37="","",IF('TMP Paste'!$P37="",$AO36,'TMP Paste'!$P37))</f>
        <v/>
      </c>
      <c r="AP37">
        <f>IF($AG37="","",LEN($R37))</f>
        <v/>
      </c>
      <c r="AQ37">
        <f>IF($AG37="","",TRIM(IF(COUNTIFS(Calc!$B$2:$B$1601,ROW()-1,Calc!$C$2:$C$1601,"&lt;1")&gt;0,"Ada PO tanpa Koli - cek TMP. ","")&amp;IF(LEN($R37)&gt;500,"R &gt; 500 karakter.","")))</f>
        <v/>
      </c>
    </row>
    <row r="38">
      <c r="A38">
        <f>IF($AG38="","",INDEX('TMP Paste'!$B$2:$B$1601,$AG38))</f>
        <v/>
      </c>
      <c r="B38">
        <f>IF($AG38="","",Config!$B$14)</f>
        <v/>
      </c>
      <c r="C38">
        <f>IF($AG38="","",Config!$B$15)</f>
        <v/>
      </c>
      <c r="D38">
        <f>IF($AG38="","",INDEX('TMP Paste'!$B$2:$B$1601,$AG38))</f>
        <v/>
      </c>
      <c r="E38">
        <f>IF($AG38="","",Config!$B$27)</f>
        <v/>
      </c>
      <c r="F38">
        <f>IF($AG38="","",Config!$B$9)</f>
        <v/>
      </c>
      <c r="G38">
        <f>IF($AG38="","",Config!$B$10)</f>
        <v/>
      </c>
      <c r="H38">
        <f>IF($AG38="","",Config!$B$11)</f>
        <v/>
      </c>
      <c r="I38">
        <f>IF($AG38="","",Config!$B$16)</f>
        <v/>
      </c>
      <c r="J38">
        <f>IF($AG38="","",INDEX('TMP Paste'!$A$2:$A$1601,$AG38))</f>
        <v/>
      </c>
      <c r="K38">
        <f>IF($AG38="","",INDEX('TMP Paste'!$L$2:$L$1601,$AG38))</f>
        <v/>
      </c>
      <c r="L38">
        <f>IF($AG38="","",INDEX('TMP Paste'!$I$2:$I$1601,$AG38))</f>
        <v/>
      </c>
      <c r="M38">
        <f>IF($AG38="","",Config!$B$16)</f>
        <v/>
      </c>
      <c r="N38">
        <f>IF($AG38="","","")</f>
        <v/>
      </c>
      <c r="O38">
        <f>IF($AG38="","",INDEX('TMP Paste'!$K$2:$K$1601,$AG38))</f>
        <v/>
      </c>
      <c r="P38">
        <f>IF($AG38="","","")</f>
        <v/>
      </c>
      <c r="Q38">
        <f>IF($AG38="","",INDEX('TMP Paste'!$J$2:$J$1601,$AG38))</f>
        <v/>
      </c>
      <c r="R38">
        <f>IF($AG38="","",Config!$B$24)</f>
        <v/>
      </c>
      <c r="S38">
        <f>IF($AG38="","",TEXT(Config!$B$4,"yyyy-mm-dd"))</f>
        <v/>
      </c>
      <c r="T38">
        <f>IF($AG38="","",Config!$B$17)</f>
        <v/>
      </c>
      <c r="U38">
        <f>IF($AG38="","",Config!$B$18)</f>
        <v/>
      </c>
      <c r="V38">
        <f>IF($AG38="","",Config!$B$19)</f>
        <v/>
      </c>
      <c r="W38">
        <f>IF($AG38="","",INDEX('TMP Paste'!$C$2:$C$1601,$AG38))</f>
        <v/>
      </c>
      <c r="X38">
        <f>IF($AG38="","",Config!$B$29)</f>
        <v/>
      </c>
      <c r="Y38">
        <f>IF($AH38="","",INDEX(Calc!$I$2:$I$1601,$AH38)&amp;" - "&amp;INDEX(Calc!$D$2:$D$1601,$AH38)&amp;" koli")</f>
        <v/>
      </c>
      <c r="Z38">
        <f>IF($AG38="","",Config!$B$21)</f>
        <v/>
      </c>
      <c r="AA38">
        <f>IF($AG38="","",Config!$B$22)</f>
        <v/>
      </c>
      <c r="AB38">
        <f>IF($AH38="","",INDEX(Calc!$D$2:$D$1601,$AH38))</f>
        <v/>
      </c>
      <c r="AC38">
        <f>IF($AH38="","",INDEX(Calc!$G$2:$G$1601,$AH38))</f>
        <v/>
      </c>
      <c r="AD38">
        <f>IF($AG38="","",Config!$B$23)</f>
        <v/>
      </c>
      <c r="AE38">
        <f>IF($AG38="","",Config!$B$28)</f>
        <v/>
      </c>
      <c r="AG38">
        <f>IFERROR(MATCH(ROW()-1,Calc!$J$2:$J$1601,0),"")</f>
        <v/>
      </c>
      <c r="AH38">
        <f>IFERROR(MATCH(ROW()-1,Calc!$K$2:$K$1601,0),"")</f>
        <v/>
      </c>
      <c r="AI38">
        <f>IF($AG38="","",SUMIF($AG$2:$AG38,$AG38,$AH$2:$AH38))</f>
        <v/>
      </c>
      <c r="AJ38">
        <f>IF('TMP Paste'!$F38="","",IF('TMP Paste'!$B38="",$AJ37,'TMP Paste'!$B38))</f>
        <v/>
      </c>
      <c r="AK38">
        <f>IF('TMP Paste'!$F38="","",N('TMP Paste'!$G38))</f>
        <v/>
      </c>
      <c r="AL38">
        <f>IF('TMP Paste'!$F38="","",IF('TMP Paste'!$M38="",$AL37,'TMP Paste'!$M38))</f>
        <v/>
      </c>
      <c r="AM38">
        <f>IF('TMP Paste'!$F38="","",IF('TMP Paste'!$N38="",$AM37,'TMP Paste'!$N38))</f>
        <v/>
      </c>
      <c r="AN38">
        <f>IF('TMP Paste'!$F38="","",IF('TMP Paste'!$O38="",$AN37,'TMP Paste'!$O38))</f>
        <v/>
      </c>
      <c r="AO38">
        <f>IF('TMP Paste'!$F38="","",IF('TMP Paste'!$P38="",$AO37,'TMP Paste'!$P38))</f>
        <v/>
      </c>
      <c r="AP38">
        <f>IF($AG38="","",LEN($R38))</f>
        <v/>
      </c>
      <c r="AQ38">
        <f>IF($AG38="","",TRIM(IF(COUNTIFS(Calc!$B$2:$B$1601,ROW()-1,Calc!$C$2:$C$1601,"&lt;1")&gt;0,"Ada PO tanpa Koli - cek TMP. ","")&amp;IF(LEN($R38)&gt;500,"R &gt; 500 karakter.","")))</f>
        <v/>
      </c>
    </row>
    <row r="39">
      <c r="A39">
        <f>IF($AG39="","",INDEX('TMP Paste'!$B$2:$B$1601,$AG39))</f>
        <v/>
      </c>
      <c r="B39">
        <f>IF($AG39="","",Config!$B$14)</f>
        <v/>
      </c>
      <c r="C39">
        <f>IF($AG39="","",Config!$B$15)</f>
        <v/>
      </c>
      <c r="D39">
        <f>IF($AG39="","",INDEX('TMP Paste'!$B$2:$B$1601,$AG39))</f>
        <v/>
      </c>
      <c r="E39">
        <f>IF($AG39="","",Config!$B$27)</f>
        <v/>
      </c>
      <c r="F39">
        <f>IF($AG39="","",Config!$B$9)</f>
        <v/>
      </c>
      <c r="G39">
        <f>IF($AG39="","",Config!$B$10)</f>
        <v/>
      </c>
      <c r="H39">
        <f>IF($AG39="","",Config!$B$11)</f>
        <v/>
      </c>
      <c r="I39">
        <f>IF($AG39="","",Config!$B$16)</f>
        <v/>
      </c>
      <c r="J39">
        <f>IF($AG39="","",INDEX('TMP Paste'!$A$2:$A$1601,$AG39))</f>
        <v/>
      </c>
      <c r="K39">
        <f>IF($AG39="","",INDEX('TMP Paste'!$L$2:$L$1601,$AG39))</f>
        <v/>
      </c>
      <c r="L39">
        <f>IF($AG39="","",INDEX('TMP Paste'!$I$2:$I$1601,$AG39))</f>
        <v/>
      </c>
      <c r="M39">
        <f>IF($AG39="","",Config!$B$16)</f>
        <v/>
      </c>
      <c r="N39">
        <f>IF($AG39="","","")</f>
        <v/>
      </c>
      <c r="O39">
        <f>IF($AG39="","",INDEX('TMP Paste'!$K$2:$K$1601,$AG39))</f>
        <v/>
      </c>
      <c r="P39">
        <f>IF($AG39="","","")</f>
        <v/>
      </c>
      <c r="Q39">
        <f>IF($AG39="","",INDEX('TMP Paste'!$J$2:$J$1601,$AG39))</f>
        <v/>
      </c>
      <c r="R39">
        <f>IF($AG39="","",Config!$B$24)</f>
        <v/>
      </c>
      <c r="S39">
        <f>IF($AG39="","",TEXT(Config!$B$4,"yyyy-mm-dd"))</f>
        <v/>
      </c>
      <c r="T39">
        <f>IF($AG39="","",Config!$B$17)</f>
        <v/>
      </c>
      <c r="U39">
        <f>IF($AG39="","",Config!$B$18)</f>
        <v/>
      </c>
      <c r="V39">
        <f>IF($AG39="","",Config!$B$19)</f>
        <v/>
      </c>
      <c r="W39">
        <f>IF($AG39="","",INDEX('TMP Paste'!$C$2:$C$1601,$AG39))</f>
        <v/>
      </c>
      <c r="X39">
        <f>IF($AG39="","",Config!$B$29)</f>
        <v/>
      </c>
      <c r="Y39">
        <f>IF($AH39="","",INDEX(Calc!$I$2:$I$1601,$AH39)&amp;" - "&amp;INDEX(Calc!$D$2:$D$1601,$AH39)&amp;" koli")</f>
        <v/>
      </c>
      <c r="Z39">
        <f>IF($AG39="","",Config!$B$21)</f>
        <v/>
      </c>
      <c r="AA39">
        <f>IF($AG39="","",Config!$B$22)</f>
        <v/>
      </c>
      <c r="AB39">
        <f>IF($AH39="","",INDEX(Calc!$D$2:$D$1601,$AH39))</f>
        <v/>
      </c>
      <c r="AC39">
        <f>IF($AH39="","",INDEX(Calc!$G$2:$G$1601,$AH39))</f>
        <v/>
      </c>
      <c r="AD39">
        <f>IF($AG39="","",Config!$B$23)</f>
        <v/>
      </c>
      <c r="AE39">
        <f>IF($AG39="","",Config!$B$28)</f>
        <v/>
      </c>
      <c r="AG39">
        <f>IFERROR(MATCH(ROW()-1,Calc!$J$2:$J$1601,0),"")</f>
        <v/>
      </c>
      <c r="AH39">
        <f>IFERROR(MATCH(ROW()-1,Calc!$K$2:$K$1601,0),"")</f>
        <v/>
      </c>
      <c r="AI39">
        <f>IF($AG39="","",SUMIF($AG$2:$AG39,$AG39,$AH$2:$AH39))</f>
        <v/>
      </c>
      <c r="AJ39">
        <f>IF('TMP Paste'!$F39="","",IF('TMP Paste'!$B39="",$AJ38,'TMP Paste'!$B39))</f>
        <v/>
      </c>
      <c r="AK39">
        <f>IF('TMP Paste'!$F39="","",N('TMP Paste'!$G39))</f>
        <v/>
      </c>
      <c r="AL39">
        <f>IF('TMP Paste'!$F39="","",IF('TMP Paste'!$M39="",$AL38,'TMP Paste'!$M39))</f>
        <v/>
      </c>
      <c r="AM39">
        <f>IF('TMP Paste'!$F39="","",IF('TMP Paste'!$N39="",$AM38,'TMP Paste'!$N39))</f>
        <v/>
      </c>
      <c r="AN39">
        <f>IF('TMP Paste'!$F39="","",IF('TMP Paste'!$O39="",$AN38,'TMP Paste'!$O39))</f>
        <v/>
      </c>
      <c r="AO39">
        <f>IF('TMP Paste'!$F39="","",IF('TMP Paste'!$P39="",$AO38,'TMP Paste'!$P39))</f>
        <v/>
      </c>
      <c r="AP39">
        <f>IF($AG39="","",LEN($R39))</f>
        <v/>
      </c>
      <c r="AQ39">
        <f>IF($AG39="","",TRIM(IF(COUNTIFS(Calc!$B$2:$B$1601,ROW()-1,Calc!$C$2:$C$1601,"&lt;1")&gt;0,"Ada PO tanpa Koli - cek TMP. ","")&amp;IF(LEN($R39)&gt;500,"R &gt; 500 karakter.","")))</f>
        <v/>
      </c>
    </row>
    <row r="40">
      <c r="A40">
        <f>IF($AG40="","",INDEX('TMP Paste'!$B$2:$B$1601,$AG40))</f>
        <v/>
      </c>
      <c r="B40">
        <f>IF($AG40="","",Config!$B$14)</f>
        <v/>
      </c>
      <c r="C40">
        <f>IF($AG40="","",Config!$B$15)</f>
        <v/>
      </c>
      <c r="D40">
        <f>IF($AG40="","",INDEX('TMP Paste'!$B$2:$B$1601,$AG40))</f>
        <v/>
      </c>
      <c r="E40">
        <f>IF($AG40="","",Config!$B$27)</f>
        <v/>
      </c>
      <c r="F40">
        <f>IF($AG40="","",Config!$B$9)</f>
        <v/>
      </c>
      <c r="G40">
        <f>IF($AG40="","",Config!$B$10)</f>
        <v/>
      </c>
      <c r="H40">
        <f>IF($AG40="","",Config!$B$11)</f>
        <v/>
      </c>
      <c r="I40">
        <f>IF($AG40="","",Config!$B$16)</f>
        <v/>
      </c>
      <c r="J40">
        <f>IF($AG40="","",INDEX('TMP Paste'!$A$2:$A$1601,$AG40))</f>
        <v/>
      </c>
      <c r="K40">
        <f>IF($AG40="","",INDEX('TMP Paste'!$L$2:$L$1601,$AG40))</f>
        <v/>
      </c>
      <c r="L40">
        <f>IF($AG40="","",INDEX('TMP Paste'!$I$2:$I$1601,$AG40))</f>
        <v/>
      </c>
      <c r="M40">
        <f>IF($AG40="","",Config!$B$16)</f>
        <v/>
      </c>
      <c r="N40">
        <f>IF($AG40="","","")</f>
        <v/>
      </c>
      <c r="O40">
        <f>IF($AG40="","",INDEX('TMP Paste'!$K$2:$K$1601,$AG40))</f>
        <v/>
      </c>
      <c r="P40">
        <f>IF($AG40="","","")</f>
        <v/>
      </c>
      <c r="Q40">
        <f>IF($AG40="","",INDEX('TMP Paste'!$J$2:$J$1601,$AG40))</f>
        <v/>
      </c>
      <c r="R40">
        <f>IF($AG40="","",Config!$B$24)</f>
        <v/>
      </c>
      <c r="S40">
        <f>IF($AG40="","",TEXT(Config!$B$4,"yyyy-mm-dd"))</f>
        <v/>
      </c>
      <c r="T40">
        <f>IF($AG40="","",Config!$B$17)</f>
        <v/>
      </c>
      <c r="U40">
        <f>IF($AG40="","",Config!$B$18)</f>
        <v/>
      </c>
      <c r="V40">
        <f>IF($AG40="","",Config!$B$19)</f>
        <v/>
      </c>
      <c r="W40">
        <f>IF($AG40="","",INDEX('TMP Paste'!$C$2:$C$1601,$AG40))</f>
        <v/>
      </c>
      <c r="X40">
        <f>IF($AG40="","",Config!$B$29)</f>
        <v/>
      </c>
      <c r="Y40">
        <f>IF($AH40="","",INDEX(Calc!$I$2:$I$1601,$AH40)&amp;" - "&amp;INDEX(Calc!$D$2:$D$1601,$AH40)&amp;" koli")</f>
        <v/>
      </c>
      <c r="Z40">
        <f>IF($AG40="","",Config!$B$21)</f>
        <v/>
      </c>
      <c r="AA40">
        <f>IF($AG40="","",Config!$B$22)</f>
        <v/>
      </c>
      <c r="AB40">
        <f>IF($AH40="","",INDEX(Calc!$D$2:$D$1601,$AH40))</f>
        <v/>
      </c>
      <c r="AC40">
        <f>IF($AH40="","",INDEX(Calc!$G$2:$G$1601,$AH40))</f>
        <v/>
      </c>
      <c r="AD40">
        <f>IF($AG40="","",Config!$B$23)</f>
        <v/>
      </c>
      <c r="AE40">
        <f>IF($AG40="","",Config!$B$28)</f>
        <v/>
      </c>
      <c r="AG40">
        <f>IFERROR(MATCH(ROW()-1,Calc!$J$2:$J$1601,0),"")</f>
        <v/>
      </c>
      <c r="AH40">
        <f>IFERROR(MATCH(ROW()-1,Calc!$K$2:$K$1601,0),"")</f>
        <v/>
      </c>
      <c r="AI40">
        <f>IF($AG40="","",SUMIF($AG$2:$AG40,$AG40,$AH$2:$AH40))</f>
        <v/>
      </c>
      <c r="AJ40">
        <f>IF('TMP Paste'!$F40="","",IF('TMP Paste'!$B40="",$AJ39,'TMP Paste'!$B40))</f>
        <v/>
      </c>
      <c r="AK40">
        <f>IF('TMP Paste'!$F40="","",N('TMP Paste'!$G40))</f>
        <v/>
      </c>
      <c r="AL40">
        <f>IF('TMP Paste'!$F40="","",IF('TMP Paste'!$M40="",$AL39,'TMP Paste'!$M40))</f>
        <v/>
      </c>
      <c r="AM40">
        <f>IF('TMP Paste'!$F40="","",IF('TMP Paste'!$N40="",$AM39,'TMP Paste'!$N40))</f>
        <v/>
      </c>
      <c r="AN40">
        <f>IF('TMP Paste'!$F40="","",IF('TMP Paste'!$O40="",$AN39,'TMP Paste'!$O40))</f>
        <v/>
      </c>
      <c r="AO40">
        <f>IF('TMP Paste'!$F40="","",IF('TMP Paste'!$P40="",$AO39,'TMP Paste'!$P40))</f>
        <v/>
      </c>
      <c r="AP40">
        <f>IF($AG40="","",LEN($R40))</f>
        <v/>
      </c>
      <c r="AQ40">
        <f>IF($AG40="","",TRIM(IF(COUNTIFS(Calc!$B$2:$B$1601,ROW()-1,Calc!$C$2:$C$1601,"&lt;1")&gt;0,"Ada PO tanpa Koli - cek TMP. ","")&amp;IF(LEN($R40)&gt;500,"R &gt; 500 karakter.","")))</f>
        <v/>
      </c>
    </row>
    <row r="41">
      <c r="A41">
        <f>IF($AG41="","",INDEX('TMP Paste'!$B$2:$B$1601,$AG41))</f>
        <v/>
      </c>
      <c r="B41">
        <f>IF($AG41="","",Config!$B$14)</f>
        <v/>
      </c>
      <c r="C41">
        <f>IF($AG41="","",Config!$B$15)</f>
        <v/>
      </c>
      <c r="D41">
        <f>IF($AG41="","",INDEX('TMP Paste'!$B$2:$B$1601,$AG41))</f>
        <v/>
      </c>
      <c r="E41">
        <f>IF($AG41="","",Config!$B$27)</f>
        <v/>
      </c>
      <c r="F41">
        <f>IF($AG41="","",Config!$B$9)</f>
        <v/>
      </c>
      <c r="G41">
        <f>IF($AG41="","",Config!$B$10)</f>
        <v/>
      </c>
      <c r="H41">
        <f>IF($AG41="","",Config!$B$11)</f>
        <v/>
      </c>
      <c r="I41">
        <f>IF($AG41="","",Config!$B$16)</f>
        <v/>
      </c>
      <c r="J41">
        <f>IF($AG41="","",INDEX('TMP Paste'!$A$2:$A$1601,$AG41))</f>
        <v/>
      </c>
      <c r="K41">
        <f>IF($AG41="","",INDEX('TMP Paste'!$L$2:$L$1601,$AG41))</f>
        <v/>
      </c>
      <c r="L41">
        <f>IF($AG41="","",INDEX('TMP Paste'!$I$2:$I$1601,$AG41))</f>
        <v/>
      </c>
      <c r="M41">
        <f>IF($AG41="","",Config!$B$16)</f>
        <v/>
      </c>
      <c r="N41">
        <f>IF($AG41="","","")</f>
        <v/>
      </c>
      <c r="O41">
        <f>IF($AG41="","",INDEX('TMP Paste'!$K$2:$K$1601,$AG41))</f>
        <v/>
      </c>
      <c r="P41">
        <f>IF($AG41="","","")</f>
        <v/>
      </c>
      <c r="Q41">
        <f>IF($AG41="","",INDEX('TMP Paste'!$J$2:$J$1601,$AG41))</f>
        <v/>
      </c>
      <c r="R41">
        <f>IF($AG41="","",Config!$B$24)</f>
        <v/>
      </c>
      <c r="S41">
        <f>IF($AG41="","",TEXT(Config!$B$4,"yyyy-mm-dd"))</f>
        <v/>
      </c>
      <c r="T41">
        <f>IF($AG41="","",Config!$B$17)</f>
        <v/>
      </c>
      <c r="U41">
        <f>IF($AG41="","",Config!$B$18)</f>
        <v/>
      </c>
      <c r="V41">
        <f>IF($AG41="","",Config!$B$19)</f>
        <v/>
      </c>
      <c r="W41">
        <f>IF($AG41="","",INDEX('TMP Paste'!$C$2:$C$1601,$AG41))</f>
        <v/>
      </c>
      <c r="X41">
        <f>IF($AG41="","",Config!$B$29)</f>
        <v/>
      </c>
      <c r="Y41">
        <f>IF($AH41="","",INDEX(Calc!$I$2:$I$1601,$AH41)&amp;" - "&amp;INDEX(Calc!$D$2:$D$1601,$AH41)&amp;" koli")</f>
        <v/>
      </c>
      <c r="Z41">
        <f>IF($AG41="","",Config!$B$21)</f>
        <v/>
      </c>
      <c r="AA41">
        <f>IF($AG41="","",Config!$B$22)</f>
        <v/>
      </c>
      <c r="AB41">
        <f>IF($AH41="","",INDEX(Calc!$D$2:$D$1601,$AH41))</f>
        <v/>
      </c>
      <c r="AC41">
        <f>IF($AH41="","",INDEX(Calc!$G$2:$G$1601,$AH41))</f>
        <v/>
      </c>
      <c r="AD41">
        <f>IF($AG41="","",Config!$B$23)</f>
        <v/>
      </c>
      <c r="AE41">
        <f>IF($AG41="","",Config!$B$28)</f>
        <v/>
      </c>
      <c r="AG41">
        <f>IFERROR(MATCH(ROW()-1,Calc!$J$2:$J$1601,0),"")</f>
        <v/>
      </c>
      <c r="AH41">
        <f>IFERROR(MATCH(ROW()-1,Calc!$K$2:$K$1601,0),"")</f>
        <v/>
      </c>
      <c r="AI41">
        <f>IF($AG41="","",SUMIF($AG$2:$AG41,$AG41,$AH$2:$AH41))</f>
        <v/>
      </c>
      <c r="AJ41">
        <f>IF('TMP Paste'!$F41="","",IF('TMP Paste'!$B41="",$AJ40,'TMP Paste'!$B41))</f>
        <v/>
      </c>
      <c r="AK41">
        <f>IF('TMP Paste'!$F41="","",N('TMP Paste'!$G41))</f>
        <v/>
      </c>
      <c r="AL41">
        <f>IF('TMP Paste'!$F41="","",IF('TMP Paste'!$M41="",$AL40,'TMP Paste'!$M41))</f>
        <v/>
      </c>
      <c r="AM41">
        <f>IF('TMP Paste'!$F41="","",IF('TMP Paste'!$N41="",$AM40,'TMP Paste'!$N41))</f>
        <v/>
      </c>
      <c r="AN41">
        <f>IF('TMP Paste'!$F41="","",IF('TMP Paste'!$O41="",$AN40,'TMP Paste'!$O41))</f>
        <v/>
      </c>
      <c r="AO41">
        <f>IF('TMP Paste'!$F41="","",IF('TMP Paste'!$P41="",$AO40,'TMP Paste'!$P41))</f>
        <v/>
      </c>
      <c r="AP41">
        <f>IF($AG41="","",LEN($R41))</f>
        <v/>
      </c>
      <c r="AQ41">
        <f>IF($AG41="","",TRIM(IF(COUNTIFS(Calc!$B$2:$B$1601,ROW()-1,Calc!$C$2:$C$1601,"&lt;1")&gt;0,"Ada PO tanpa Koli - cek TMP. ","")&amp;IF(LEN($R41)&gt;500,"R &gt; 500 karakter.","")))</f>
        <v/>
      </c>
    </row>
    <row r="42">
      <c r="A42">
        <f>IF($AG42="","",INDEX('TMP Paste'!$B$2:$B$1601,$AG42))</f>
        <v/>
      </c>
      <c r="B42">
        <f>IF($AG42="","",Config!$B$14)</f>
        <v/>
      </c>
      <c r="C42">
        <f>IF($AG42="","",Config!$B$15)</f>
        <v/>
      </c>
      <c r="D42">
        <f>IF($AG42="","",INDEX('TMP Paste'!$B$2:$B$1601,$AG42))</f>
        <v/>
      </c>
      <c r="E42">
        <f>IF($AG42="","",Config!$B$27)</f>
        <v/>
      </c>
      <c r="F42">
        <f>IF($AG42="","",Config!$B$9)</f>
        <v/>
      </c>
      <c r="G42">
        <f>IF($AG42="","",Config!$B$10)</f>
        <v/>
      </c>
      <c r="H42">
        <f>IF($AG42="","",Config!$B$11)</f>
        <v/>
      </c>
      <c r="I42">
        <f>IF($AG42="","",Config!$B$16)</f>
        <v/>
      </c>
      <c r="J42">
        <f>IF($AG42="","",INDEX('TMP Paste'!$A$2:$A$1601,$AG42))</f>
        <v/>
      </c>
      <c r="K42">
        <f>IF($AG42="","",INDEX('TMP Paste'!$L$2:$L$1601,$AG42))</f>
        <v/>
      </c>
      <c r="L42">
        <f>IF($AG42="","",INDEX('TMP Paste'!$I$2:$I$1601,$AG42))</f>
        <v/>
      </c>
      <c r="M42">
        <f>IF($AG42="","",Config!$B$16)</f>
        <v/>
      </c>
      <c r="N42">
        <f>IF($AG42="","","")</f>
        <v/>
      </c>
      <c r="O42">
        <f>IF($AG42="","",INDEX('TMP Paste'!$K$2:$K$1601,$AG42))</f>
        <v/>
      </c>
      <c r="P42">
        <f>IF($AG42="","","")</f>
        <v/>
      </c>
      <c r="Q42">
        <f>IF($AG42="","",INDEX('TMP Paste'!$J$2:$J$1601,$AG42))</f>
        <v/>
      </c>
      <c r="R42">
        <f>IF($AG42="","",Config!$B$24)</f>
        <v/>
      </c>
      <c r="S42">
        <f>IF($AG42="","",TEXT(Config!$B$4,"yyyy-mm-dd"))</f>
        <v/>
      </c>
      <c r="T42">
        <f>IF($AG42="","",Config!$B$17)</f>
        <v/>
      </c>
      <c r="U42">
        <f>IF($AG42="","",Config!$B$18)</f>
        <v/>
      </c>
      <c r="V42">
        <f>IF($AG42="","",Config!$B$19)</f>
        <v/>
      </c>
      <c r="W42">
        <f>IF($AG42="","",INDEX('TMP Paste'!$C$2:$C$1601,$AG42))</f>
        <v/>
      </c>
      <c r="X42">
        <f>IF($AG42="","",Config!$B$29)</f>
        <v/>
      </c>
      <c r="Y42">
        <f>IF($AH42="","",INDEX(Calc!$I$2:$I$1601,$AH42)&amp;" - "&amp;INDEX(Calc!$D$2:$D$1601,$AH42)&amp;" koli")</f>
        <v/>
      </c>
      <c r="Z42">
        <f>IF($AG42="","",Config!$B$21)</f>
        <v/>
      </c>
      <c r="AA42">
        <f>IF($AG42="","",Config!$B$22)</f>
        <v/>
      </c>
      <c r="AB42">
        <f>IF($AH42="","",INDEX(Calc!$D$2:$D$1601,$AH42))</f>
        <v/>
      </c>
      <c r="AC42">
        <f>IF($AH42="","",INDEX(Calc!$G$2:$G$1601,$AH42))</f>
        <v/>
      </c>
      <c r="AD42">
        <f>IF($AG42="","",Config!$B$23)</f>
        <v/>
      </c>
      <c r="AE42">
        <f>IF($AG42="","",Config!$B$28)</f>
        <v/>
      </c>
      <c r="AG42">
        <f>IFERROR(MATCH(ROW()-1,Calc!$J$2:$J$1601,0),"")</f>
        <v/>
      </c>
      <c r="AH42">
        <f>IFERROR(MATCH(ROW()-1,Calc!$K$2:$K$1601,0),"")</f>
        <v/>
      </c>
      <c r="AI42">
        <f>IF($AG42="","",SUMIF($AG$2:$AG42,$AG42,$AH$2:$AH42))</f>
        <v/>
      </c>
      <c r="AJ42">
        <f>IF('TMP Paste'!$F42="","",IF('TMP Paste'!$B42="",$AJ41,'TMP Paste'!$B42))</f>
        <v/>
      </c>
      <c r="AK42">
        <f>IF('TMP Paste'!$F42="","",N('TMP Paste'!$G42))</f>
        <v/>
      </c>
      <c r="AL42">
        <f>IF('TMP Paste'!$F42="","",IF('TMP Paste'!$M42="",$AL41,'TMP Paste'!$M42))</f>
        <v/>
      </c>
      <c r="AM42">
        <f>IF('TMP Paste'!$F42="","",IF('TMP Paste'!$N42="",$AM41,'TMP Paste'!$N42))</f>
        <v/>
      </c>
      <c r="AN42">
        <f>IF('TMP Paste'!$F42="","",IF('TMP Paste'!$O42="",$AN41,'TMP Paste'!$O42))</f>
        <v/>
      </c>
      <c r="AO42">
        <f>IF('TMP Paste'!$F42="","",IF('TMP Paste'!$P42="",$AO41,'TMP Paste'!$P42))</f>
        <v/>
      </c>
      <c r="AP42">
        <f>IF($AG42="","",LEN($R42))</f>
        <v/>
      </c>
      <c r="AQ42">
        <f>IF($AG42="","",TRIM(IF(COUNTIFS(Calc!$B$2:$B$1601,ROW()-1,Calc!$C$2:$C$1601,"&lt;1")&gt;0,"Ada PO tanpa Koli - cek TMP. ","")&amp;IF(LEN($R42)&gt;500,"R &gt; 500 karakter.","")))</f>
        <v/>
      </c>
    </row>
    <row r="43">
      <c r="A43">
        <f>IF($AG43="","",INDEX('TMP Paste'!$B$2:$B$1601,$AG43))</f>
        <v/>
      </c>
      <c r="B43">
        <f>IF($AG43="","",Config!$B$14)</f>
        <v/>
      </c>
      <c r="C43">
        <f>IF($AG43="","",Config!$B$15)</f>
        <v/>
      </c>
      <c r="D43">
        <f>IF($AG43="","",INDEX('TMP Paste'!$B$2:$B$1601,$AG43))</f>
        <v/>
      </c>
      <c r="E43">
        <f>IF($AG43="","",Config!$B$27)</f>
        <v/>
      </c>
      <c r="F43">
        <f>IF($AG43="","",Config!$B$9)</f>
        <v/>
      </c>
      <c r="G43">
        <f>IF($AG43="","",Config!$B$10)</f>
        <v/>
      </c>
      <c r="H43">
        <f>IF($AG43="","",Config!$B$11)</f>
        <v/>
      </c>
      <c r="I43">
        <f>IF($AG43="","",Config!$B$16)</f>
        <v/>
      </c>
      <c r="J43">
        <f>IF($AG43="","",INDEX('TMP Paste'!$A$2:$A$1601,$AG43))</f>
        <v/>
      </c>
      <c r="K43">
        <f>IF($AG43="","",INDEX('TMP Paste'!$L$2:$L$1601,$AG43))</f>
        <v/>
      </c>
      <c r="L43">
        <f>IF($AG43="","",INDEX('TMP Paste'!$I$2:$I$1601,$AG43))</f>
        <v/>
      </c>
      <c r="M43">
        <f>IF($AG43="","",Config!$B$16)</f>
        <v/>
      </c>
      <c r="N43">
        <f>IF($AG43="","","")</f>
        <v/>
      </c>
      <c r="O43">
        <f>IF($AG43="","",INDEX('TMP Paste'!$K$2:$K$1601,$AG43))</f>
        <v/>
      </c>
      <c r="P43">
        <f>IF($AG43="","","")</f>
        <v/>
      </c>
      <c r="Q43">
        <f>IF($AG43="","",INDEX('TMP Paste'!$J$2:$J$1601,$AG43))</f>
        <v/>
      </c>
      <c r="R43">
        <f>IF($AG43="","",Config!$B$24)</f>
        <v/>
      </c>
      <c r="S43">
        <f>IF($AG43="","",TEXT(Config!$B$4,"yyyy-mm-dd"))</f>
        <v/>
      </c>
      <c r="T43">
        <f>IF($AG43="","",Config!$B$17)</f>
        <v/>
      </c>
      <c r="U43">
        <f>IF($AG43="","",Config!$B$18)</f>
        <v/>
      </c>
      <c r="V43">
        <f>IF($AG43="","",Config!$B$19)</f>
        <v/>
      </c>
      <c r="W43">
        <f>IF($AG43="","",INDEX('TMP Paste'!$C$2:$C$1601,$AG43))</f>
        <v/>
      </c>
      <c r="X43">
        <f>IF($AG43="","",Config!$B$29)</f>
        <v/>
      </c>
      <c r="Y43">
        <f>IF($AH43="","",INDEX(Calc!$I$2:$I$1601,$AH43)&amp;" - "&amp;INDEX(Calc!$D$2:$D$1601,$AH43)&amp;" koli")</f>
        <v/>
      </c>
      <c r="Z43">
        <f>IF($AG43="","",Config!$B$21)</f>
        <v/>
      </c>
      <c r="AA43">
        <f>IF($AG43="","",Config!$B$22)</f>
        <v/>
      </c>
      <c r="AB43">
        <f>IF($AH43="","",INDEX(Calc!$D$2:$D$1601,$AH43))</f>
        <v/>
      </c>
      <c r="AC43">
        <f>IF($AH43="","",INDEX(Calc!$G$2:$G$1601,$AH43))</f>
        <v/>
      </c>
      <c r="AD43">
        <f>IF($AG43="","",Config!$B$23)</f>
        <v/>
      </c>
      <c r="AE43">
        <f>IF($AG43="","",Config!$B$28)</f>
        <v/>
      </c>
      <c r="AG43">
        <f>IFERROR(MATCH(ROW()-1,Calc!$J$2:$J$1601,0),"")</f>
        <v/>
      </c>
      <c r="AH43">
        <f>IFERROR(MATCH(ROW()-1,Calc!$K$2:$K$1601,0),"")</f>
        <v/>
      </c>
      <c r="AI43">
        <f>IF($AG43="","",SUMIF($AG$2:$AG43,$AG43,$AH$2:$AH43))</f>
        <v/>
      </c>
      <c r="AJ43">
        <f>IF('TMP Paste'!$F43="","",IF('TMP Paste'!$B43="",$AJ42,'TMP Paste'!$B43))</f>
        <v/>
      </c>
      <c r="AK43">
        <f>IF('TMP Paste'!$F43="","",N('TMP Paste'!$G43))</f>
        <v/>
      </c>
      <c r="AL43">
        <f>IF('TMP Paste'!$F43="","",IF('TMP Paste'!$M43="",$AL42,'TMP Paste'!$M43))</f>
        <v/>
      </c>
      <c r="AM43">
        <f>IF('TMP Paste'!$F43="","",IF('TMP Paste'!$N43="",$AM42,'TMP Paste'!$N43))</f>
        <v/>
      </c>
      <c r="AN43">
        <f>IF('TMP Paste'!$F43="","",IF('TMP Paste'!$O43="",$AN42,'TMP Paste'!$O43))</f>
        <v/>
      </c>
      <c r="AO43">
        <f>IF('TMP Paste'!$F43="","",IF('TMP Paste'!$P43="",$AO42,'TMP Paste'!$P43))</f>
        <v/>
      </c>
      <c r="AP43">
        <f>IF($AG43="","",LEN($R43))</f>
        <v/>
      </c>
      <c r="AQ43">
        <f>IF($AG43="","",TRIM(IF(COUNTIFS(Calc!$B$2:$B$1601,ROW()-1,Calc!$C$2:$C$1601,"&lt;1")&gt;0,"Ada PO tanpa Koli - cek TMP. ","")&amp;IF(LEN($R43)&gt;500,"R &gt; 500 karakter.","")))</f>
        <v/>
      </c>
    </row>
    <row r="44">
      <c r="A44">
        <f>IF($AG44="","",INDEX('TMP Paste'!$B$2:$B$1601,$AG44))</f>
        <v/>
      </c>
      <c r="B44">
        <f>IF($AG44="","",Config!$B$14)</f>
        <v/>
      </c>
      <c r="C44">
        <f>IF($AG44="","",Config!$B$15)</f>
        <v/>
      </c>
      <c r="D44">
        <f>IF($AG44="","",INDEX('TMP Paste'!$B$2:$B$1601,$AG44))</f>
        <v/>
      </c>
      <c r="E44">
        <f>IF($AG44="","",Config!$B$27)</f>
        <v/>
      </c>
      <c r="F44">
        <f>IF($AG44="","",Config!$B$9)</f>
        <v/>
      </c>
      <c r="G44">
        <f>IF($AG44="","",Config!$B$10)</f>
        <v/>
      </c>
      <c r="H44">
        <f>IF($AG44="","",Config!$B$11)</f>
        <v/>
      </c>
      <c r="I44">
        <f>IF($AG44="","",Config!$B$16)</f>
        <v/>
      </c>
      <c r="J44">
        <f>IF($AG44="","",INDEX('TMP Paste'!$A$2:$A$1601,$AG44))</f>
        <v/>
      </c>
      <c r="K44">
        <f>IF($AG44="","",INDEX('TMP Paste'!$L$2:$L$1601,$AG44))</f>
        <v/>
      </c>
      <c r="L44">
        <f>IF($AG44="","",INDEX('TMP Paste'!$I$2:$I$1601,$AG44))</f>
        <v/>
      </c>
      <c r="M44">
        <f>IF($AG44="","",Config!$B$16)</f>
        <v/>
      </c>
      <c r="N44">
        <f>IF($AG44="","","")</f>
        <v/>
      </c>
      <c r="O44">
        <f>IF($AG44="","",INDEX('TMP Paste'!$K$2:$K$1601,$AG44))</f>
        <v/>
      </c>
      <c r="P44">
        <f>IF($AG44="","","")</f>
        <v/>
      </c>
      <c r="Q44">
        <f>IF($AG44="","",INDEX('TMP Paste'!$J$2:$J$1601,$AG44))</f>
        <v/>
      </c>
      <c r="R44">
        <f>IF($AG44="","",Config!$B$24)</f>
        <v/>
      </c>
      <c r="S44">
        <f>IF($AG44="","",TEXT(Config!$B$4,"yyyy-mm-dd"))</f>
        <v/>
      </c>
      <c r="T44">
        <f>IF($AG44="","",Config!$B$17)</f>
        <v/>
      </c>
      <c r="U44">
        <f>IF($AG44="","",Config!$B$18)</f>
        <v/>
      </c>
      <c r="V44">
        <f>IF($AG44="","",Config!$B$19)</f>
        <v/>
      </c>
      <c r="W44">
        <f>IF($AG44="","",INDEX('TMP Paste'!$C$2:$C$1601,$AG44))</f>
        <v/>
      </c>
      <c r="X44">
        <f>IF($AG44="","",Config!$B$29)</f>
        <v/>
      </c>
      <c r="Y44">
        <f>IF($AH44="","",INDEX(Calc!$I$2:$I$1601,$AH44)&amp;" - "&amp;INDEX(Calc!$D$2:$D$1601,$AH44)&amp;" koli")</f>
        <v/>
      </c>
      <c r="Z44">
        <f>IF($AG44="","",Config!$B$21)</f>
        <v/>
      </c>
      <c r="AA44">
        <f>IF($AG44="","",Config!$B$22)</f>
        <v/>
      </c>
      <c r="AB44">
        <f>IF($AH44="","",INDEX(Calc!$D$2:$D$1601,$AH44))</f>
        <v/>
      </c>
      <c r="AC44">
        <f>IF($AH44="","",INDEX(Calc!$G$2:$G$1601,$AH44))</f>
        <v/>
      </c>
      <c r="AD44">
        <f>IF($AG44="","",Config!$B$23)</f>
        <v/>
      </c>
      <c r="AE44">
        <f>IF($AG44="","",Config!$B$28)</f>
        <v/>
      </c>
      <c r="AG44">
        <f>IFERROR(MATCH(ROW()-1,Calc!$J$2:$J$1601,0),"")</f>
        <v/>
      </c>
      <c r="AH44">
        <f>IFERROR(MATCH(ROW()-1,Calc!$K$2:$K$1601,0),"")</f>
        <v/>
      </c>
      <c r="AI44">
        <f>IF($AG44="","",SUMIF($AG$2:$AG44,$AG44,$AH$2:$AH44))</f>
        <v/>
      </c>
      <c r="AJ44">
        <f>IF('TMP Paste'!$F44="","",IF('TMP Paste'!$B44="",$AJ43,'TMP Paste'!$B44))</f>
        <v/>
      </c>
      <c r="AK44">
        <f>IF('TMP Paste'!$F44="","",N('TMP Paste'!$G44))</f>
        <v/>
      </c>
      <c r="AL44">
        <f>IF('TMP Paste'!$F44="","",IF('TMP Paste'!$M44="",$AL43,'TMP Paste'!$M44))</f>
        <v/>
      </c>
      <c r="AM44">
        <f>IF('TMP Paste'!$F44="","",IF('TMP Paste'!$N44="",$AM43,'TMP Paste'!$N44))</f>
        <v/>
      </c>
      <c r="AN44">
        <f>IF('TMP Paste'!$F44="","",IF('TMP Paste'!$O44="",$AN43,'TMP Paste'!$O44))</f>
        <v/>
      </c>
      <c r="AO44">
        <f>IF('TMP Paste'!$F44="","",IF('TMP Paste'!$P44="",$AO43,'TMP Paste'!$P44))</f>
        <v/>
      </c>
      <c r="AP44">
        <f>IF($AG44="","",LEN($R44))</f>
        <v/>
      </c>
      <c r="AQ44">
        <f>IF($AG44="","",TRIM(IF(COUNTIFS(Calc!$B$2:$B$1601,ROW()-1,Calc!$C$2:$C$1601,"&lt;1")&gt;0,"Ada PO tanpa Koli - cek TMP. ","")&amp;IF(LEN($R44)&gt;500,"R &gt; 500 karakter.","")))</f>
        <v/>
      </c>
    </row>
    <row r="45">
      <c r="A45">
        <f>IF($AG45="","",INDEX('TMP Paste'!$B$2:$B$1601,$AG45))</f>
        <v/>
      </c>
      <c r="B45">
        <f>IF($AG45="","",Config!$B$14)</f>
        <v/>
      </c>
      <c r="C45">
        <f>IF($AG45="","",Config!$B$15)</f>
        <v/>
      </c>
      <c r="D45">
        <f>IF($AG45="","",INDEX('TMP Paste'!$B$2:$B$1601,$AG45))</f>
        <v/>
      </c>
      <c r="E45">
        <f>IF($AG45="","",Config!$B$27)</f>
        <v/>
      </c>
      <c r="F45">
        <f>IF($AG45="","",Config!$B$9)</f>
        <v/>
      </c>
      <c r="G45">
        <f>IF($AG45="","",Config!$B$10)</f>
        <v/>
      </c>
      <c r="H45">
        <f>IF($AG45="","",Config!$B$11)</f>
        <v/>
      </c>
      <c r="I45">
        <f>IF($AG45="","",Config!$B$16)</f>
        <v/>
      </c>
      <c r="J45">
        <f>IF($AG45="","",INDEX('TMP Paste'!$A$2:$A$1601,$AG45))</f>
        <v/>
      </c>
      <c r="K45">
        <f>IF($AG45="","",INDEX('TMP Paste'!$L$2:$L$1601,$AG45))</f>
        <v/>
      </c>
      <c r="L45">
        <f>IF($AG45="","",INDEX('TMP Paste'!$I$2:$I$1601,$AG45))</f>
        <v/>
      </c>
      <c r="M45">
        <f>IF($AG45="","",Config!$B$16)</f>
        <v/>
      </c>
      <c r="N45">
        <f>IF($AG45="","","")</f>
        <v/>
      </c>
      <c r="O45">
        <f>IF($AG45="","",INDEX('TMP Paste'!$K$2:$K$1601,$AG45))</f>
        <v/>
      </c>
      <c r="P45">
        <f>IF($AG45="","","")</f>
        <v/>
      </c>
      <c r="Q45">
        <f>IF($AG45="","",INDEX('TMP Paste'!$J$2:$J$1601,$AG45))</f>
        <v/>
      </c>
      <c r="R45">
        <f>IF($AG45="","",Config!$B$24)</f>
        <v/>
      </c>
      <c r="S45">
        <f>IF($AG45="","",TEXT(Config!$B$4,"yyyy-mm-dd"))</f>
        <v/>
      </c>
      <c r="T45">
        <f>IF($AG45="","",Config!$B$17)</f>
        <v/>
      </c>
      <c r="U45">
        <f>IF($AG45="","",Config!$B$18)</f>
        <v/>
      </c>
      <c r="V45">
        <f>IF($AG45="","",Config!$B$19)</f>
        <v/>
      </c>
      <c r="W45">
        <f>IF($AG45="","",INDEX('TMP Paste'!$C$2:$C$1601,$AG45))</f>
        <v/>
      </c>
      <c r="X45">
        <f>IF($AG45="","",Config!$B$29)</f>
        <v/>
      </c>
      <c r="Y45">
        <f>IF($AH45="","",INDEX(Calc!$I$2:$I$1601,$AH45)&amp;" - "&amp;INDEX(Calc!$D$2:$D$1601,$AH45)&amp;" koli")</f>
        <v/>
      </c>
      <c r="Z45">
        <f>IF($AG45="","",Config!$B$21)</f>
        <v/>
      </c>
      <c r="AA45">
        <f>IF($AG45="","",Config!$B$22)</f>
        <v/>
      </c>
      <c r="AB45">
        <f>IF($AH45="","",INDEX(Calc!$D$2:$D$1601,$AH45))</f>
        <v/>
      </c>
      <c r="AC45">
        <f>IF($AH45="","",INDEX(Calc!$G$2:$G$1601,$AH45))</f>
        <v/>
      </c>
      <c r="AD45">
        <f>IF($AG45="","",Config!$B$23)</f>
        <v/>
      </c>
      <c r="AE45">
        <f>IF($AG45="","",Config!$B$28)</f>
        <v/>
      </c>
      <c r="AG45">
        <f>IFERROR(MATCH(ROW()-1,Calc!$J$2:$J$1601,0),"")</f>
        <v/>
      </c>
      <c r="AH45">
        <f>IFERROR(MATCH(ROW()-1,Calc!$K$2:$K$1601,0),"")</f>
        <v/>
      </c>
      <c r="AI45">
        <f>IF($AG45="","",SUMIF($AG$2:$AG45,$AG45,$AH$2:$AH45))</f>
        <v/>
      </c>
      <c r="AJ45">
        <f>IF('TMP Paste'!$F45="","",IF('TMP Paste'!$B45="",$AJ44,'TMP Paste'!$B45))</f>
        <v/>
      </c>
      <c r="AK45">
        <f>IF('TMP Paste'!$F45="","",N('TMP Paste'!$G45))</f>
        <v/>
      </c>
      <c r="AL45">
        <f>IF('TMP Paste'!$F45="","",IF('TMP Paste'!$M45="",$AL44,'TMP Paste'!$M45))</f>
        <v/>
      </c>
      <c r="AM45">
        <f>IF('TMP Paste'!$F45="","",IF('TMP Paste'!$N45="",$AM44,'TMP Paste'!$N45))</f>
        <v/>
      </c>
      <c r="AN45">
        <f>IF('TMP Paste'!$F45="","",IF('TMP Paste'!$O45="",$AN44,'TMP Paste'!$O45))</f>
        <v/>
      </c>
      <c r="AO45">
        <f>IF('TMP Paste'!$F45="","",IF('TMP Paste'!$P45="",$AO44,'TMP Paste'!$P45))</f>
        <v/>
      </c>
      <c r="AP45">
        <f>IF($AG45="","",LEN($R45))</f>
        <v/>
      </c>
      <c r="AQ45">
        <f>IF($AG45="","",TRIM(IF(COUNTIFS(Calc!$B$2:$B$1601,ROW()-1,Calc!$C$2:$C$1601,"&lt;1")&gt;0,"Ada PO tanpa Koli - cek TMP. ","")&amp;IF(LEN($R45)&gt;500,"R &gt; 500 karakter.","")))</f>
        <v/>
      </c>
    </row>
    <row r="46">
      <c r="A46">
        <f>IF($AG46="","",INDEX('TMP Paste'!$B$2:$B$1601,$AG46))</f>
        <v/>
      </c>
      <c r="B46">
        <f>IF($AG46="","",Config!$B$14)</f>
        <v/>
      </c>
      <c r="C46">
        <f>IF($AG46="","",Config!$B$15)</f>
        <v/>
      </c>
      <c r="D46">
        <f>IF($AG46="","",INDEX('TMP Paste'!$B$2:$B$1601,$AG46))</f>
        <v/>
      </c>
      <c r="E46">
        <f>IF($AG46="","",Config!$B$27)</f>
        <v/>
      </c>
      <c r="F46">
        <f>IF($AG46="","",Config!$B$9)</f>
        <v/>
      </c>
      <c r="G46">
        <f>IF($AG46="","",Config!$B$10)</f>
        <v/>
      </c>
      <c r="H46">
        <f>IF($AG46="","",Config!$B$11)</f>
        <v/>
      </c>
      <c r="I46">
        <f>IF($AG46="","",Config!$B$16)</f>
        <v/>
      </c>
      <c r="J46">
        <f>IF($AG46="","",INDEX('TMP Paste'!$A$2:$A$1601,$AG46))</f>
        <v/>
      </c>
      <c r="K46">
        <f>IF($AG46="","",INDEX('TMP Paste'!$L$2:$L$1601,$AG46))</f>
        <v/>
      </c>
      <c r="L46">
        <f>IF($AG46="","",INDEX('TMP Paste'!$I$2:$I$1601,$AG46))</f>
        <v/>
      </c>
      <c r="M46">
        <f>IF($AG46="","",Config!$B$16)</f>
        <v/>
      </c>
      <c r="N46">
        <f>IF($AG46="","","")</f>
        <v/>
      </c>
      <c r="O46">
        <f>IF($AG46="","",INDEX('TMP Paste'!$K$2:$K$1601,$AG46))</f>
        <v/>
      </c>
      <c r="P46">
        <f>IF($AG46="","","")</f>
        <v/>
      </c>
      <c r="Q46">
        <f>IF($AG46="","",INDEX('TMP Paste'!$J$2:$J$1601,$AG46))</f>
        <v/>
      </c>
      <c r="R46">
        <f>IF($AG46="","",Config!$B$24)</f>
        <v/>
      </c>
      <c r="S46">
        <f>IF($AG46="","",TEXT(Config!$B$4,"yyyy-mm-dd"))</f>
        <v/>
      </c>
      <c r="T46">
        <f>IF($AG46="","",Config!$B$17)</f>
        <v/>
      </c>
      <c r="U46">
        <f>IF($AG46="","",Config!$B$18)</f>
        <v/>
      </c>
      <c r="V46">
        <f>IF($AG46="","",Config!$B$19)</f>
        <v/>
      </c>
      <c r="W46">
        <f>IF($AG46="","",INDEX('TMP Paste'!$C$2:$C$1601,$AG46))</f>
        <v/>
      </c>
      <c r="X46">
        <f>IF($AG46="","",Config!$B$29)</f>
        <v/>
      </c>
      <c r="Y46">
        <f>IF($AH46="","",INDEX(Calc!$I$2:$I$1601,$AH46)&amp;" - "&amp;INDEX(Calc!$D$2:$D$1601,$AH46)&amp;" koli")</f>
        <v/>
      </c>
      <c r="Z46">
        <f>IF($AG46="","",Config!$B$21)</f>
        <v/>
      </c>
      <c r="AA46">
        <f>IF($AG46="","",Config!$B$22)</f>
        <v/>
      </c>
      <c r="AB46">
        <f>IF($AH46="","",INDEX(Calc!$D$2:$D$1601,$AH46))</f>
        <v/>
      </c>
      <c r="AC46">
        <f>IF($AH46="","",INDEX(Calc!$G$2:$G$1601,$AH46))</f>
        <v/>
      </c>
      <c r="AD46">
        <f>IF($AG46="","",Config!$B$23)</f>
        <v/>
      </c>
      <c r="AE46">
        <f>IF($AG46="","",Config!$B$28)</f>
        <v/>
      </c>
      <c r="AG46">
        <f>IFERROR(MATCH(ROW()-1,Calc!$J$2:$J$1601,0),"")</f>
        <v/>
      </c>
      <c r="AH46">
        <f>IFERROR(MATCH(ROW()-1,Calc!$K$2:$K$1601,0),"")</f>
        <v/>
      </c>
      <c r="AI46">
        <f>IF($AG46="","",SUMIF($AG$2:$AG46,$AG46,$AH$2:$AH46))</f>
        <v/>
      </c>
      <c r="AJ46">
        <f>IF('TMP Paste'!$F46="","",IF('TMP Paste'!$B46="",$AJ45,'TMP Paste'!$B46))</f>
        <v/>
      </c>
      <c r="AK46">
        <f>IF('TMP Paste'!$F46="","",N('TMP Paste'!$G46))</f>
        <v/>
      </c>
      <c r="AL46">
        <f>IF('TMP Paste'!$F46="","",IF('TMP Paste'!$M46="",$AL45,'TMP Paste'!$M46))</f>
        <v/>
      </c>
      <c r="AM46">
        <f>IF('TMP Paste'!$F46="","",IF('TMP Paste'!$N46="",$AM45,'TMP Paste'!$N46))</f>
        <v/>
      </c>
      <c r="AN46">
        <f>IF('TMP Paste'!$F46="","",IF('TMP Paste'!$O46="",$AN45,'TMP Paste'!$O46))</f>
        <v/>
      </c>
      <c r="AO46">
        <f>IF('TMP Paste'!$F46="","",IF('TMP Paste'!$P46="",$AO45,'TMP Paste'!$P46))</f>
        <v/>
      </c>
      <c r="AP46">
        <f>IF($AG46="","",LEN($R46))</f>
        <v/>
      </c>
      <c r="AQ46">
        <f>IF($AG46="","",TRIM(IF(COUNTIFS(Calc!$B$2:$B$1601,ROW()-1,Calc!$C$2:$C$1601,"&lt;1")&gt;0,"Ada PO tanpa Koli - cek TMP. ","")&amp;IF(LEN($R46)&gt;500,"R &gt; 500 karakter.","")))</f>
        <v/>
      </c>
    </row>
    <row r="47">
      <c r="A47">
        <f>IF($AG47="","",INDEX('TMP Paste'!$B$2:$B$1601,$AG47))</f>
        <v/>
      </c>
      <c r="B47">
        <f>IF($AG47="","",Config!$B$14)</f>
        <v/>
      </c>
      <c r="C47">
        <f>IF($AG47="","",Config!$B$15)</f>
        <v/>
      </c>
      <c r="D47">
        <f>IF($AG47="","",INDEX('TMP Paste'!$B$2:$B$1601,$AG47))</f>
        <v/>
      </c>
      <c r="E47">
        <f>IF($AG47="","",Config!$B$27)</f>
        <v/>
      </c>
      <c r="F47">
        <f>IF($AG47="","",Config!$B$9)</f>
        <v/>
      </c>
      <c r="G47">
        <f>IF($AG47="","",Config!$B$10)</f>
        <v/>
      </c>
      <c r="H47">
        <f>IF($AG47="","",Config!$B$11)</f>
        <v/>
      </c>
      <c r="I47">
        <f>IF($AG47="","",Config!$B$16)</f>
        <v/>
      </c>
      <c r="J47">
        <f>IF($AG47="","",INDEX('TMP Paste'!$A$2:$A$1601,$AG47))</f>
        <v/>
      </c>
      <c r="K47">
        <f>IF($AG47="","",INDEX('TMP Paste'!$L$2:$L$1601,$AG47))</f>
        <v/>
      </c>
      <c r="L47">
        <f>IF($AG47="","",INDEX('TMP Paste'!$I$2:$I$1601,$AG47))</f>
        <v/>
      </c>
      <c r="M47">
        <f>IF($AG47="","",Config!$B$16)</f>
        <v/>
      </c>
      <c r="N47">
        <f>IF($AG47="","","")</f>
        <v/>
      </c>
      <c r="O47">
        <f>IF($AG47="","",INDEX('TMP Paste'!$K$2:$K$1601,$AG47))</f>
        <v/>
      </c>
      <c r="P47">
        <f>IF($AG47="","","")</f>
        <v/>
      </c>
      <c r="Q47">
        <f>IF($AG47="","",INDEX('TMP Paste'!$J$2:$J$1601,$AG47))</f>
        <v/>
      </c>
      <c r="R47">
        <f>IF($AG47="","",Config!$B$24)</f>
        <v/>
      </c>
      <c r="S47">
        <f>IF($AG47="","",TEXT(Config!$B$4,"yyyy-mm-dd"))</f>
        <v/>
      </c>
      <c r="T47">
        <f>IF($AG47="","",Config!$B$17)</f>
        <v/>
      </c>
      <c r="U47">
        <f>IF($AG47="","",Config!$B$18)</f>
        <v/>
      </c>
      <c r="V47">
        <f>IF($AG47="","",Config!$B$19)</f>
        <v/>
      </c>
      <c r="W47">
        <f>IF($AG47="","",INDEX('TMP Paste'!$C$2:$C$1601,$AG47))</f>
        <v/>
      </c>
      <c r="X47">
        <f>IF($AG47="","",Config!$B$29)</f>
        <v/>
      </c>
      <c r="Y47">
        <f>IF($AH47="","",INDEX(Calc!$I$2:$I$1601,$AH47)&amp;" - "&amp;INDEX(Calc!$D$2:$D$1601,$AH47)&amp;" koli")</f>
        <v/>
      </c>
      <c r="Z47">
        <f>IF($AG47="","",Config!$B$21)</f>
        <v/>
      </c>
      <c r="AA47">
        <f>IF($AG47="","",Config!$B$22)</f>
        <v/>
      </c>
      <c r="AB47">
        <f>IF($AH47="","",INDEX(Calc!$D$2:$D$1601,$AH47))</f>
        <v/>
      </c>
      <c r="AC47">
        <f>IF($AH47="","",INDEX(Calc!$G$2:$G$1601,$AH47))</f>
        <v/>
      </c>
      <c r="AD47">
        <f>IF($AG47="","",Config!$B$23)</f>
        <v/>
      </c>
      <c r="AE47">
        <f>IF($AG47="","",Config!$B$28)</f>
        <v/>
      </c>
      <c r="AG47">
        <f>IFERROR(MATCH(ROW()-1,Calc!$J$2:$J$1601,0),"")</f>
        <v/>
      </c>
      <c r="AH47">
        <f>IFERROR(MATCH(ROW()-1,Calc!$K$2:$K$1601,0),"")</f>
        <v/>
      </c>
      <c r="AI47">
        <f>IF($AG47="","",SUMIF($AG$2:$AG47,$AG47,$AH$2:$AH47))</f>
        <v/>
      </c>
      <c r="AJ47">
        <f>IF('TMP Paste'!$F47="","",IF('TMP Paste'!$B47="",$AJ46,'TMP Paste'!$B47))</f>
        <v/>
      </c>
      <c r="AK47">
        <f>IF('TMP Paste'!$F47="","",N('TMP Paste'!$G47))</f>
        <v/>
      </c>
      <c r="AL47">
        <f>IF('TMP Paste'!$F47="","",IF('TMP Paste'!$M47="",$AL46,'TMP Paste'!$M47))</f>
        <v/>
      </c>
      <c r="AM47">
        <f>IF('TMP Paste'!$F47="","",IF('TMP Paste'!$N47="",$AM46,'TMP Paste'!$N47))</f>
        <v/>
      </c>
      <c r="AN47">
        <f>IF('TMP Paste'!$F47="","",IF('TMP Paste'!$O47="",$AN46,'TMP Paste'!$O47))</f>
        <v/>
      </c>
      <c r="AO47">
        <f>IF('TMP Paste'!$F47="","",IF('TMP Paste'!$P47="",$AO46,'TMP Paste'!$P47))</f>
        <v/>
      </c>
      <c r="AP47">
        <f>IF($AG47="","",LEN($R47))</f>
        <v/>
      </c>
      <c r="AQ47">
        <f>IF($AG47="","",TRIM(IF(COUNTIFS(Calc!$B$2:$B$1601,ROW()-1,Calc!$C$2:$C$1601,"&lt;1")&gt;0,"Ada PO tanpa Koli - cek TMP. ","")&amp;IF(LEN($R47)&gt;500,"R &gt; 500 karakter.","")))</f>
        <v/>
      </c>
    </row>
    <row r="48">
      <c r="A48">
        <f>IF($AG48="","",INDEX('TMP Paste'!$B$2:$B$1601,$AG48))</f>
        <v/>
      </c>
      <c r="B48">
        <f>IF($AG48="","",Config!$B$14)</f>
        <v/>
      </c>
      <c r="C48">
        <f>IF($AG48="","",Config!$B$15)</f>
        <v/>
      </c>
      <c r="D48">
        <f>IF($AG48="","",INDEX('TMP Paste'!$B$2:$B$1601,$AG48))</f>
        <v/>
      </c>
      <c r="E48">
        <f>IF($AG48="","",Config!$B$27)</f>
        <v/>
      </c>
      <c r="F48">
        <f>IF($AG48="","",Config!$B$9)</f>
        <v/>
      </c>
      <c r="G48">
        <f>IF($AG48="","",Config!$B$10)</f>
        <v/>
      </c>
      <c r="H48">
        <f>IF($AG48="","",Config!$B$11)</f>
        <v/>
      </c>
      <c r="I48">
        <f>IF($AG48="","",Config!$B$16)</f>
        <v/>
      </c>
      <c r="J48">
        <f>IF($AG48="","",INDEX('TMP Paste'!$A$2:$A$1601,$AG48))</f>
        <v/>
      </c>
      <c r="K48">
        <f>IF($AG48="","",INDEX('TMP Paste'!$L$2:$L$1601,$AG48))</f>
        <v/>
      </c>
      <c r="L48">
        <f>IF($AG48="","",INDEX('TMP Paste'!$I$2:$I$1601,$AG48))</f>
        <v/>
      </c>
      <c r="M48">
        <f>IF($AG48="","",Config!$B$16)</f>
        <v/>
      </c>
      <c r="N48">
        <f>IF($AG48="","","")</f>
        <v/>
      </c>
      <c r="O48">
        <f>IF($AG48="","",INDEX('TMP Paste'!$K$2:$K$1601,$AG48))</f>
        <v/>
      </c>
      <c r="P48">
        <f>IF($AG48="","","")</f>
        <v/>
      </c>
      <c r="Q48">
        <f>IF($AG48="","",INDEX('TMP Paste'!$J$2:$J$1601,$AG48))</f>
        <v/>
      </c>
      <c r="R48">
        <f>IF($AG48="","",Config!$B$24)</f>
        <v/>
      </c>
      <c r="S48">
        <f>IF($AG48="","",TEXT(Config!$B$4,"yyyy-mm-dd"))</f>
        <v/>
      </c>
      <c r="T48">
        <f>IF($AG48="","",Config!$B$17)</f>
        <v/>
      </c>
      <c r="U48">
        <f>IF($AG48="","",Config!$B$18)</f>
        <v/>
      </c>
      <c r="V48">
        <f>IF($AG48="","",Config!$B$19)</f>
        <v/>
      </c>
      <c r="W48">
        <f>IF($AG48="","",INDEX('TMP Paste'!$C$2:$C$1601,$AG48))</f>
        <v/>
      </c>
      <c r="X48">
        <f>IF($AG48="","",Config!$B$29)</f>
        <v/>
      </c>
      <c r="Y48">
        <f>IF($AH48="","",INDEX(Calc!$I$2:$I$1601,$AH48)&amp;" - "&amp;INDEX(Calc!$D$2:$D$1601,$AH48)&amp;" koli")</f>
        <v/>
      </c>
      <c r="Z48">
        <f>IF($AG48="","",Config!$B$21)</f>
        <v/>
      </c>
      <c r="AA48">
        <f>IF($AG48="","",Config!$B$22)</f>
        <v/>
      </c>
      <c r="AB48">
        <f>IF($AH48="","",INDEX(Calc!$D$2:$D$1601,$AH48))</f>
        <v/>
      </c>
      <c r="AC48">
        <f>IF($AH48="","",INDEX(Calc!$G$2:$G$1601,$AH48))</f>
        <v/>
      </c>
      <c r="AD48">
        <f>IF($AG48="","",Config!$B$23)</f>
        <v/>
      </c>
      <c r="AE48">
        <f>IF($AG48="","",Config!$B$28)</f>
        <v/>
      </c>
      <c r="AG48">
        <f>IFERROR(MATCH(ROW()-1,Calc!$J$2:$J$1601,0),"")</f>
        <v/>
      </c>
      <c r="AH48">
        <f>IFERROR(MATCH(ROW()-1,Calc!$K$2:$K$1601,0),"")</f>
        <v/>
      </c>
      <c r="AI48">
        <f>IF($AG48="","",SUMIF($AG$2:$AG48,$AG48,$AH$2:$AH48))</f>
        <v/>
      </c>
      <c r="AJ48">
        <f>IF('TMP Paste'!$F48="","",IF('TMP Paste'!$B48="",$AJ47,'TMP Paste'!$B48))</f>
        <v/>
      </c>
      <c r="AK48">
        <f>IF('TMP Paste'!$F48="","",N('TMP Paste'!$G48))</f>
        <v/>
      </c>
      <c r="AL48">
        <f>IF('TMP Paste'!$F48="","",IF('TMP Paste'!$M48="",$AL47,'TMP Paste'!$M48))</f>
        <v/>
      </c>
      <c r="AM48">
        <f>IF('TMP Paste'!$F48="","",IF('TMP Paste'!$N48="",$AM47,'TMP Paste'!$N48))</f>
        <v/>
      </c>
      <c r="AN48">
        <f>IF('TMP Paste'!$F48="","",IF('TMP Paste'!$O48="",$AN47,'TMP Paste'!$O48))</f>
        <v/>
      </c>
      <c r="AO48">
        <f>IF('TMP Paste'!$F48="","",IF('TMP Paste'!$P48="",$AO47,'TMP Paste'!$P48))</f>
        <v/>
      </c>
      <c r="AP48">
        <f>IF($AG48="","",LEN($R48))</f>
        <v/>
      </c>
      <c r="AQ48">
        <f>IF($AG48="","",TRIM(IF(COUNTIFS(Calc!$B$2:$B$1601,ROW()-1,Calc!$C$2:$C$1601,"&lt;1")&gt;0,"Ada PO tanpa Koli - cek TMP. ","")&amp;IF(LEN($R48)&gt;500,"R &gt; 500 karakter.","")))</f>
        <v/>
      </c>
    </row>
    <row r="49">
      <c r="A49">
        <f>IF($AG49="","",INDEX('TMP Paste'!$B$2:$B$1601,$AG49))</f>
        <v/>
      </c>
      <c r="B49">
        <f>IF($AG49="","",Config!$B$14)</f>
        <v/>
      </c>
      <c r="C49">
        <f>IF($AG49="","",Config!$B$15)</f>
        <v/>
      </c>
      <c r="D49">
        <f>IF($AG49="","",INDEX('TMP Paste'!$B$2:$B$1601,$AG49))</f>
        <v/>
      </c>
      <c r="E49">
        <f>IF($AG49="","",Config!$B$27)</f>
        <v/>
      </c>
      <c r="F49">
        <f>IF($AG49="","",Config!$B$9)</f>
        <v/>
      </c>
      <c r="G49">
        <f>IF($AG49="","",Config!$B$10)</f>
        <v/>
      </c>
      <c r="H49">
        <f>IF($AG49="","",Config!$B$11)</f>
        <v/>
      </c>
      <c r="I49">
        <f>IF($AG49="","",Config!$B$16)</f>
        <v/>
      </c>
      <c r="J49">
        <f>IF($AG49="","",INDEX('TMP Paste'!$A$2:$A$1601,$AG49))</f>
        <v/>
      </c>
      <c r="K49">
        <f>IF($AG49="","",INDEX('TMP Paste'!$L$2:$L$1601,$AG49))</f>
        <v/>
      </c>
      <c r="L49">
        <f>IF($AG49="","",INDEX('TMP Paste'!$I$2:$I$1601,$AG49))</f>
        <v/>
      </c>
      <c r="M49">
        <f>IF($AG49="","",Config!$B$16)</f>
        <v/>
      </c>
      <c r="N49">
        <f>IF($AG49="","","")</f>
        <v/>
      </c>
      <c r="O49">
        <f>IF($AG49="","",INDEX('TMP Paste'!$K$2:$K$1601,$AG49))</f>
        <v/>
      </c>
      <c r="P49">
        <f>IF($AG49="","","")</f>
        <v/>
      </c>
      <c r="Q49">
        <f>IF($AG49="","",INDEX('TMP Paste'!$J$2:$J$1601,$AG49))</f>
        <v/>
      </c>
      <c r="R49">
        <f>IF($AG49="","",Config!$B$24)</f>
        <v/>
      </c>
      <c r="S49">
        <f>IF($AG49="","",TEXT(Config!$B$4,"yyyy-mm-dd"))</f>
        <v/>
      </c>
      <c r="T49">
        <f>IF($AG49="","",Config!$B$17)</f>
        <v/>
      </c>
      <c r="U49">
        <f>IF($AG49="","",Config!$B$18)</f>
        <v/>
      </c>
      <c r="V49">
        <f>IF($AG49="","",Config!$B$19)</f>
        <v/>
      </c>
      <c r="W49">
        <f>IF($AG49="","",INDEX('TMP Paste'!$C$2:$C$1601,$AG49))</f>
        <v/>
      </c>
      <c r="X49">
        <f>IF($AG49="","",Config!$B$29)</f>
        <v/>
      </c>
      <c r="Y49">
        <f>IF($AH49="","",INDEX(Calc!$I$2:$I$1601,$AH49)&amp;" - "&amp;INDEX(Calc!$D$2:$D$1601,$AH49)&amp;" koli")</f>
        <v/>
      </c>
      <c r="Z49">
        <f>IF($AG49="","",Config!$B$21)</f>
        <v/>
      </c>
      <c r="AA49">
        <f>IF($AG49="","",Config!$B$22)</f>
        <v/>
      </c>
      <c r="AB49">
        <f>IF($AH49="","",INDEX(Calc!$D$2:$D$1601,$AH49))</f>
        <v/>
      </c>
      <c r="AC49">
        <f>IF($AH49="","",INDEX(Calc!$G$2:$G$1601,$AH49))</f>
        <v/>
      </c>
      <c r="AD49">
        <f>IF($AG49="","",Config!$B$23)</f>
        <v/>
      </c>
      <c r="AE49">
        <f>IF($AG49="","",Config!$B$28)</f>
        <v/>
      </c>
      <c r="AG49">
        <f>IFERROR(MATCH(ROW()-1,Calc!$J$2:$J$1601,0),"")</f>
        <v/>
      </c>
      <c r="AH49">
        <f>IFERROR(MATCH(ROW()-1,Calc!$K$2:$K$1601,0),"")</f>
        <v/>
      </c>
      <c r="AI49">
        <f>IF($AG49="","",SUMIF($AG$2:$AG49,$AG49,$AH$2:$AH49))</f>
        <v/>
      </c>
      <c r="AJ49">
        <f>IF('TMP Paste'!$F49="","",IF('TMP Paste'!$B49="",$AJ48,'TMP Paste'!$B49))</f>
        <v/>
      </c>
      <c r="AK49">
        <f>IF('TMP Paste'!$F49="","",N('TMP Paste'!$G49))</f>
        <v/>
      </c>
      <c r="AL49">
        <f>IF('TMP Paste'!$F49="","",IF('TMP Paste'!$M49="",$AL48,'TMP Paste'!$M49))</f>
        <v/>
      </c>
      <c r="AM49">
        <f>IF('TMP Paste'!$F49="","",IF('TMP Paste'!$N49="",$AM48,'TMP Paste'!$N49))</f>
        <v/>
      </c>
      <c r="AN49">
        <f>IF('TMP Paste'!$F49="","",IF('TMP Paste'!$O49="",$AN48,'TMP Paste'!$O49))</f>
        <v/>
      </c>
      <c r="AO49">
        <f>IF('TMP Paste'!$F49="","",IF('TMP Paste'!$P49="",$AO48,'TMP Paste'!$P49))</f>
        <v/>
      </c>
      <c r="AP49">
        <f>IF($AG49="","",LEN($R49))</f>
        <v/>
      </c>
      <c r="AQ49">
        <f>IF($AG49="","",TRIM(IF(COUNTIFS(Calc!$B$2:$B$1601,ROW()-1,Calc!$C$2:$C$1601,"&lt;1")&gt;0,"Ada PO tanpa Koli - cek TMP. ","")&amp;IF(LEN($R49)&gt;500,"R &gt; 500 karakter.","")))</f>
        <v/>
      </c>
    </row>
    <row r="50">
      <c r="A50">
        <f>IF($AG50="","",INDEX('TMP Paste'!$B$2:$B$1601,$AG50))</f>
        <v/>
      </c>
      <c r="B50">
        <f>IF($AG50="","",Config!$B$14)</f>
        <v/>
      </c>
      <c r="C50">
        <f>IF($AG50="","",Config!$B$15)</f>
        <v/>
      </c>
      <c r="D50">
        <f>IF($AG50="","",INDEX('TMP Paste'!$B$2:$B$1601,$AG50))</f>
        <v/>
      </c>
      <c r="E50">
        <f>IF($AG50="","",Config!$B$27)</f>
        <v/>
      </c>
      <c r="F50">
        <f>IF($AG50="","",Config!$B$9)</f>
        <v/>
      </c>
      <c r="G50">
        <f>IF($AG50="","",Config!$B$10)</f>
        <v/>
      </c>
      <c r="H50">
        <f>IF($AG50="","",Config!$B$11)</f>
        <v/>
      </c>
      <c r="I50">
        <f>IF($AG50="","",Config!$B$16)</f>
        <v/>
      </c>
      <c r="J50">
        <f>IF($AG50="","",INDEX('TMP Paste'!$A$2:$A$1601,$AG50))</f>
        <v/>
      </c>
      <c r="K50">
        <f>IF($AG50="","",INDEX('TMP Paste'!$L$2:$L$1601,$AG50))</f>
        <v/>
      </c>
      <c r="L50">
        <f>IF($AG50="","",INDEX('TMP Paste'!$I$2:$I$1601,$AG50))</f>
        <v/>
      </c>
      <c r="M50">
        <f>IF($AG50="","",Config!$B$16)</f>
        <v/>
      </c>
      <c r="N50">
        <f>IF($AG50="","","")</f>
        <v/>
      </c>
      <c r="O50">
        <f>IF($AG50="","",INDEX('TMP Paste'!$K$2:$K$1601,$AG50))</f>
        <v/>
      </c>
      <c r="P50">
        <f>IF($AG50="","","")</f>
        <v/>
      </c>
      <c r="Q50">
        <f>IF($AG50="","",INDEX('TMP Paste'!$J$2:$J$1601,$AG50))</f>
        <v/>
      </c>
      <c r="R50">
        <f>IF($AG50="","",Config!$B$24)</f>
        <v/>
      </c>
      <c r="S50">
        <f>IF($AG50="","",TEXT(Config!$B$4,"yyyy-mm-dd"))</f>
        <v/>
      </c>
      <c r="T50">
        <f>IF($AG50="","",Config!$B$17)</f>
        <v/>
      </c>
      <c r="U50">
        <f>IF($AG50="","",Config!$B$18)</f>
        <v/>
      </c>
      <c r="V50">
        <f>IF($AG50="","",Config!$B$19)</f>
        <v/>
      </c>
      <c r="W50">
        <f>IF($AG50="","",INDEX('TMP Paste'!$C$2:$C$1601,$AG50))</f>
        <v/>
      </c>
      <c r="X50">
        <f>IF($AG50="","",Config!$B$29)</f>
        <v/>
      </c>
      <c r="Y50">
        <f>IF($AH50="","",INDEX(Calc!$I$2:$I$1601,$AH50)&amp;" - "&amp;INDEX(Calc!$D$2:$D$1601,$AH50)&amp;" koli")</f>
        <v/>
      </c>
      <c r="Z50">
        <f>IF($AG50="","",Config!$B$21)</f>
        <v/>
      </c>
      <c r="AA50">
        <f>IF($AG50="","",Config!$B$22)</f>
        <v/>
      </c>
      <c r="AB50">
        <f>IF($AH50="","",INDEX(Calc!$D$2:$D$1601,$AH50))</f>
        <v/>
      </c>
      <c r="AC50">
        <f>IF($AH50="","",INDEX(Calc!$G$2:$G$1601,$AH50))</f>
        <v/>
      </c>
      <c r="AD50">
        <f>IF($AG50="","",Config!$B$23)</f>
        <v/>
      </c>
      <c r="AE50">
        <f>IF($AG50="","",Config!$B$28)</f>
        <v/>
      </c>
      <c r="AG50">
        <f>IFERROR(MATCH(ROW()-1,Calc!$J$2:$J$1601,0),"")</f>
        <v/>
      </c>
      <c r="AH50">
        <f>IFERROR(MATCH(ROW()-1,Calc!$K$2:$K$1601,0),"")</f>
        <v/>
      </c>
      <c r="AI50">
        <f>IF($AG50="","",SUMIF($AG$2:$AG50,$AG50,$AH$2:$AH50))</f>
        <v/>
      </c>
      <c r="AJ50">
        <f>IF('TMP Paste'!$F50="","",IF('TMP Paste'!$B50="",$AJ49,'TMP Paste'!$B50))</f>
        <v/>
      </c>
      <c r="AK50">
        <f>IF('TMP Paste'!$F50="","",N('TMP Paste'!$G50))</f>
        <v/>
      </c>
      <c r="AL50">
        <f>IF('TMP Paste'!$F50="","",IF('TMP Paste'!$M50="",$AL49,'TMP Paste'!$M50))</f>
        <v/>
      </c>
      <c r="AM50">
        <f>IF('TMP Paste'!$F50="","",IF('TMP Paste'!$N50="",$AM49,'TMP Paste'!$N50))</f>
        <v/>
      </c>
      <c r="AN50">
        <f>IF('TMP Paste'!$F50="","",IF('TMP Paste'!$O50="",$AN49,'TMP Paste'!$O50))</f>
        <v/>
      </c>
      <c r="AO50">
        <f>IF('TMP Paste'!$F50="","",IF('TMP Paste'!$P50="",$AO49,'TMP Paste'!$P50))</f>
        <v/>
      </c>
      <c r="AP50">
        <f>IF($AG50="","",LEN($R50))</f>
        <v/>
      </c>
      <c r="AQ50">
        <f>IF($AG50="","",TRIM(IF(COUNTIFS(Calc!$B$2:$B$1601,ROW()-1,Calc!$C$2:$C$1601,"&lt;1")&gt;0,"Ada PO tanpa Koli - cek TMP. ","")&amp;IF(LEN($R50)&gt;500,"R &gt; 500 karakter.","")))</f>
        <v/>
      </c>
    </row>
    <row r="51">
      <c r="A51">
        <f>IF($AG51="","",INDEX('TMP Paste'!$B$2:$B$1601,$AG51))</f>
        <v/>
      </c>
      <c r="B51">
        <f>IF($AG51="","",Config!$B$14)</f>
        <v/>
      </c>
      <c r="C51">
        <f>IF($AG51="","",Config!$B$15)</f>
        <v/>
      </c>
      <c r="D51">
        <f>IF($AG51="","",INDEX('TMP Paste'!$B$2:$B$1601,$AG51))</f>
        <v/>
      </c>
      <c r="E51">
        <f>IF($AG51="","",Config!$B$27)</f>
        <v/>
      </c>
      <c r="F51">
        <f>IF($AG51="","",Config!$B$9)</f>
        <v/>
      </c>
      <c r="G51">
        <f>IF($AG51="","",Config!$B$10)</f>
        <v/>
      </c>
      <c r="H51">
        <f>IF($AG51="","",Config!$B$11)</f>
        <v/>
      </c>
      <c r="I51">
        <f>IF($AG51="","",Config!$B$16)</f>
        <v/>
      </c>
      <c r="J51">
        <f>IF($AG51="","",INDEX('TMP Paste'!$A$2:$A$1601,$AG51))</f>
        <v/>
      </c>
      <c r="K51">
        <f>IF($AG51="","",INDEX('TMP Paste'!$L$2:$L$1601,$AG51))</f>
        <v/>
      </c>
      <c r="L51">
        <f>IF($AG51="","",INDEX('TMP Paste'!$I$2:$I$1601,$AG51))</f>
        <v/>
      </c>
      <c r="M51">
        <f>IF($AG51="","",Config!$B$16)</f>
        <v/>
      </c>
      <c r="N51">
        <f>IF($AG51="","","")</f>
        <v/>
      </c>
      <c r="O51">
        <f>IF($AG51="","",INDEX('TMP Paste'!$K$2:$K$1601,$AG51))</f>
        <v/>
      </c>
      <c r="P51">
        <f>IF($AG51="","","")</f>
        <v/>
      </c>
      <c r="Q51">
        <f>IF($AG51="","",INDEX('TMP Paste'!$J$2:$J$1601,$AG51))</f>
        <v/>
      </c>
      <c r="R51">
        <f>IF($AG51="","",Config!$B$24)</f>
        <v/>
      </c>
      <c r="S51">
        <f>IF($AG51="","",TEXT(Config!$B$4,"yyyy-mm-dd"))</f>
        <v/>
      </c>
      <c r="T51">
        <f>IF($AG51="","",Config!$B$17)</f>
        <v/>
      </c>
      <c r="U51">
        <f>IF($AG51="","",Config!$B$18)</f>
        <v/>
      </c>
      <c r="V51">
        <f>IF($AG51="","",Config!$B$19)</f>
        <v/>
      </c>
      <c r="W51">
        <f>IF($AG51="","",INDEX('TMP Paste'!$C$2:$C$1601,$AG51))</f>
        <v/>
      </c>
      <c r="X51">
        <f>IF($AG51="","",Config!$B$29)</f>
        <v/>
      </c>
      <c r="Y51">
        <f>IF($AH51="","",INDEX(Calc!$I$2:$I$1601,$AH51)&amp;" - "&amp;INDEX(Calc!$D$2:$D$1601,$AH51)&amp;" koli")</f>
        <v/>
      </c>
      <c r="Z51">
        <f>IF($AG51="","",Config!$B$21)</f>
        <v/>
      </c>
      <c r="AA51">
        <f>IF($AG51="","",Config!$B$22)</f>
        <v/>
      </c>
      <c r="AB51">
        <f>IF($AH51="","",INDEX(Calc!$D$2:$D$1601,$AH51))</f>
        <v/>
      </c>
      <c r="AC51">
        <f>IF($AH51="","",INDEX(Calc!$G$2:$G$1601,$AH51))</f>
        <v/>
      </c>
      <c r="AD51">
        <f>IF($AG51="","",Config!$B$23)</f>
        <v/>
      </c>
      <c r="AE51">
        <f>IF($AG51="","",Config!$B$28)</f>
        <v/>
      </c>
      <c r="AG51">
        <f>IFERROR(MATCH(ROW()-1,Calc!$J$2:$J$1601,0),"")</f>
        <v/>
      </c>
      <c r="AH51">
        <f>IFERROR(MATCH(ROW()-1,Calc!$K$2:$K$1601,0),"")</f>
        <v/>
      </c>
      <c r="AI51">
        <f>IF($AG51="","",SUMIF($AG$2:$AG51,$AG51,$AH$2:$AH51))</f>
        <v/>
      </c>
      <c r="AJ51">
        <f>IF('TMP Paste'!$F51="","",IF('TMP Paste'!$B51="",$AJ50,'TMP Paste'!$B51))</f>
        <v/>
      </c>
      <c r="AK51">
        <f>IF('TMP Paste'!$F51="","",N('TMP Paste'!$G51))</f>
        <v/>
      </c>
      <c r="AL51">
        <f>IF('TMP Paste'!$F51="","",IF('TMP Paste'!$M51="",$AL50,'TMP Paste'!$M51))</f>
        <v/>
      </c>
      <c r="AM51">
        <f>IF('TMP Paste'!$F51="","",IF('TMP Paste'!$N51="",$AM50,'TMP Paste'!$N51))</f>
        <v/>
      </c>
      <c r="AN51">
        <f>IF('TMP Paste'!$F51="","",IF('TMP Paste'!$O51="",$AN50,'TMP Paste'!$O51))</f>
        <v/>
      </c>
      <c r="AO51">
        <f>IF('TMP Paste'!$F51="","",IF('TMP Paste'!$P51="",$AO50,'TMP Paste'!$P51))</f>
        <v/>
      </c>
      <c r="AP51">
        <f>IF($AG51="","",LEN($R51))</f>
        <v/>
      </c>
      <c r="AQ51">
        <f>IF($AG51="","",TRIM(IF(COUNTIFS(Calc!$B$2:$B$1601,ROW()-1,Calc!$C$2:$C$1601,"&lt;1")&gt;0,"Ada PO tanpa Koli - cek TMP. ","")&amp;IF(LEN($R51)&gt;500,"R &gt; 500 karakter.","")))</f>
        <v/>
      </c>
    </row>
    <row r="52">
      <c r="A52">
        <f>IF($AG52="","",INDEX('TMP Paste'!$B$2:$B$1601,$AG52))</f>
        <v/>
      </c>
      <c r="B52">
        <f>IF($AG52="","",Config!$B$14)</f>
        <v/>
      </c>
      <c r="C52">
        <f>IF($AG52="","",Config!$B$15)</f>
        <v/>
      </c>
      <c r="D52">
        <f>IF($AG52="","",INDEX('TMP Paste'!$B$2:$B$1601,$AG52))</f>
        <v/>
      </c>
      <c r="E52">
        <f>IF($AG52="","",Config!$B$27)</f>
        <v/>
      </c>
      <c r="F52">
        <f>IF($AG52="","",Config!$B$9)</f>
        <v/>
      </c>
      <c r="G52">
        <f>IF($AG52="","",Config!$B$10)</f>
        <v/>
      </c>
      <c r="H52">
        <f>IF($AG52="","",Config!$B$11)</f>
        <v/>
      </c>
      <c r="I52">
        <f>IF($AG52="","",Config!$B$16)</f>
        <v/>
      </c>
      <c r="J52">
        <f>IF($AG52="","",INDEX('TMP Paste'!$A$2:$A$1601,$AG52))</f>
        <v/>
      </c>
      <c r="K52">
        <f>IF($AG52="","",INDEX('TMP Paste'!$L$2:$L$1601,$AG52))</f>
        <v/>
      </c>
      <c r="L52">
        <f>IF($AG52="","",INDEX('TMP Paste'!$I$2:$I$1601,$AG52))</f>
        <v/>
      </c>
      <c r="M52">
        <f>IF($AG52="","",Config!$B$16)</f>
        <v/>
      </c>
      <c r="N52">
        <f>IF($AG52="","","")</f>
        <v/>
      </c>
      <c r="O52">
        <f>IF($AG52="","",INDEX('TMP Paste'!$K$2:$K$1601,$AG52))</f>
        <v/>
      </c>
      <c r="P52">
        <f>IF($AG52="","","")</f>
        <v/>
      </c>
      <c r="Q52">
        <f>IF($AG52="","",INDEX('TMP Paste'!$J$2:$J$1601,$AG52))</f>
        <v/>
      </c>
      <c r="R52">
        <f>IF($AG52="","",Config!$B$24)</f>
        <v/>
      </c>
      <c r="S52">
        <f>IF($AG52="","",TEXT(Config!$B$4,"yyyy-mm-dd"))</f>
        <v/>
      </c>
      <c r="T52">
        <f>IF($AG52="","",Config!$B$17)</f>
        <v/>
      </c>
      <c r="U52">
        <f>IF($AG52="","",Config!$B$18)</f>
        <v/>
      </c>
      <c r="V52">
        <f>IF($AG52="","",Config!$B$19)</f>
        <v/>
      </c>
      <c r="W52">
        <f>IF($AG52="","",INDEX('TMP Paste'!$C$2:$C$1601,$AG52))</f>
        <v/>
      </c>
      <c r="X52">
        <f>IF($AG52="","",Config!$B$29)</f>
        <v/>
      </c>
      <c r="Y52">
        <f>IF($AH52="","",INDEX(Calc!$I$2:$I$1601,$AH52)&amp;" - "&amp;INDEX(Calc!$D$2:$D$1601,$AH52)&amp;" koli")</f>
        <v/>
      </c>
      <c r="Z52">
        <f>IF($AG52="","",Config!$B$21)</f>
        <v/>
      </c>
      <c r="AA52">
        <f>IF($AG52="","",Config!$B$22)</f>
        <v/>
      </c>
      <c r="AB52">
        <f>IF($AH52="","",INDEX(Calc!$D$2:$D$1601,$AH52))</f>
        <v/>
      </c>
      <c r="AC52">
        <f>IF($AH52="","",INDEX(Calc!$G$2:$G$1601,$AH52))</f>
        <v/>
      </c>
      <c r="AD52">
        <f>IF($AG52="","",Config!$B$23)</f>
        <v/>
      </c>
      <c r="AE52">
        <f>IF($AG52="","",Config!$B$28)</f>
        <v/>
      </c>
      <c r="AG52">
        <f>IFERROR(MATCH(ROW()-1,Calc!$J$2:$J$1601,0),"")</f>
        <v/>
      </c>
      <c r="AH52">
        <f>IFERROR(MATCH(ROW()-1,Calc!$K$2:$K$1601,0),"")</f>
        <v/>
      </c>
      <c r="AI52">
        <f>IF($AG52="","",SUMIF($AG$2:$AG52,$AG52,$AH$2:$AH52))</f>
        <v/>
      </c>
      <c r="AJ52">
        <f>IF('TMP Paste'!$F52="","",IF('TMP Paste'!$B52="",$AJ51,'TMP Paste'!$B52))</f>
        <v/>
      </c>
      <c r="AK52">
        <f>IF('TMP Paste'!$F52="","",N('TMP Paste'!$G52))</f>
        <v/>
      </c>
      <c r="AL52">
        <f>IF('TMP Paste'!$F52="","",IF('TMP Paste'!$M52="",$AL51,'TMP Paste'!$M52))</f>
        <v/>
      </c>
      <c r="AM52">
        <f>IF('TMP Paste'!$F52="","",IF('TMP Paste'!$N52="",$AM51,'TMP Paste'!$N52))</f>
        <v/>
      </c>
      <c r="AN52">
        <f>IF('TMP Paste'!$F52="","",IF('TMP Paste'!$O52="",$AN51,'TMP Paste'!$O52))</f>
        <v/>
      </c>
      <c r="AO52">
        <f>IF('TMP Paste'!$F52="","",IF('TMP Paste'!$P52="",$AO51,'TMP Paste'!$P52))</f>
        <v/>
      </c>
      <c r="AP52">
        <f>IF($AG52="","",LEN($R52))</f>
        <v/>
      </c>
      <c r="AQ52">
        <f>IF($AG52="","",TRIM(IF(COUNTIFS(Calc!$B$2:$B$1601,ROW()-1,Calc!$C$2:$C$1601,"&lt;1")&gt;0,"Ada PO tanpa Koli - cek TMP. ","")&amp;IF(LEN($R52)&gt;500,"R &gt; 500 karakter.","")))</f>
        <v/>
      </c>
    </row>
    <row r="53">
      <c r="A53">
        <f>IF($AG53="","",INDEX('TMP Paste'!$B$2:$B$1601,$AG53))</f>
        <v/>
      </c>
      <c r="B53">
        <f>IF($AG53="","",Config!$B$14)</f>
        <v/>
      </c>
      <c r="C53">
        <f>IF($AG53="","",Config!$B$15)</f>
        <v/>
      </c>
      <c r="D53">
        <f>IF($AG53="","",INDEX('TMP Paste'!$B$2:$B$1601,$AG53))</f>
        <v/>
      </c>
      <c r="E53">
        <f>IF($AG53="","",Config!$B$27)</f>
        <v/>
      </c>
      <c r="F53">
        <f>IF($AG53="","",Config!$B$9)</f>
        <v/>
      </c>
      <c r="G53">
        <f>IF($AG53="","",Config!$B$10)</f>
        <v/>
      </c>
      <c r="H53">
        <f>IF($AG53="","",Config!$B$11)</f>
        <v/>
      </c>
      <c r="I53">
        <f>IF($AG53="","",Config!$B$16)</f>
        <v/>
      </c>
      <c r="J53">
        <f>IF($AG53="","",INDEX('TMP Paste'!$A$2:$A$1601,$AG53))</f>
        <v/>
      </c>
      <c r="K53">
        <f>IF($AG53="","",INDEX('TMP Paste'!$L$2:$L$1601,$AG53))</f>
        <v/>
      </c>
      <c r="L53">
        <f>IF($AG53="","",INDEX('TMP Paste'!$I$2:$I$1601,$AG53))</f>
        <v/>
      </c>
      <c r="M53">
        <f>IF($AG53="","",Config!$B$16)</f>
        <v/>
      </c>
      <c r="N53">
        <f>IF($AG53="","","")</f>
        <v/>
      </c>
      <c r="O53">
        <f>IF($AG53="","",INDEX('TMP Paste'!$K$2:$K$1601,$AG53))</f>
        <v/>
      </c>
      <c r="P53">
        <f>IF($AG53="","","")</f>
        <v/>
      </c>
      <c r="Q53">
        <f>IF($AG53="","",INDEX('TMP Paste'!$J$2:$J$1601,$AG53))</f>
        <v/>
      </c>
      <c r="R53">
        <f>IF($AG53="","",Config!$B$24)</f>
        <v/>
      </c>
      <c r="S53">
        <f>IF($AG53="","",TEXT(Config!$B$4,"yyyy-mm-dd"))</f>
        <v/>
      </c>
      <c r="T53">
        <f>IF($AG53="","",Config!$B$17)</f>
        <v/>
      </c>
      <c r="U53">
        <f>IF($AG53="","",Config!$B$18)</f>
        <v/>
      </c>
      <c r="V53">
        <f>IF($AG53="","",Config!$B$19)</f>
        <v/>
      </c>
      <c r="W53">
        <f>IF($AG53="","",INDEX('TMP Paste'!$C$2:$C$1601,$AG53))</f>
        <v/>
      </c>
      <c r="X53">
        <f>IF($AG53="","",Config!$B$29)</f>
        <v/>
      </c>
      <c r="Y53">
        <f>IF($AH53="","",INDEX(Calc!$I$2:$I$1601,$AH53)&amp;" - "&amp;INDEX(Calc!$D$2:$D$1601,$AH53)&amp;" koli")</f>
        <v/>
      </c>
      <c r="Z53">
        <f>IF($AG53="","",Config!$B$21)</f>
        <v/>
      </c>
      <c r="AA53">
        <f>IF($AG53="","",Config!$B$22)</f>
        <v/>
      </c>
      <c r="AB53">
        <f>IF($AH53="","",INDEX(Calc!$D$2:$D$1601,$AH53))</f>
        <v/>
      </c>
      <c r="AC53">
        <f>IF($AH53="","",INDEX(Calc!$G$2:$G$1601,$AH53))</f>
        <v/>
      </c>
      <c r="AD53">
        <f>IF($AG53="","",Config!$B$23)</f>
        <v/>
      </c>
      <c r="AE53">
        <f>IF($AG53="","",Config!$B$28)</f>
        <v/>
      </c>
      <c r="AG53">
        <f>IFERROR(MATCH(ROW()-1,Calc!$J$2:$J$1601,0),"")</f>
        <v/>
      </c>
      <c r="AH53">
        <f>IFERROR(MATCH(ROW()-1,Calc!$K$2:$K$1601,0),"")</f>
        <v/>
      </c>
      <c r="AI53">
        <f>IF($AG53="","",SUMIF($AG$2:$AG53,$AG53,$AH$2:$AH53))</f>
        <v/>
      </c>
      <c r="AJ53">
        <f>IF('TMP Paste'!$F53="","",IF('TMP Paste'!$B53="",$AJ52,'TMP Paste'!$B53))</f>
        <v/>
      </c>
      <c r="AK53">
        <f>IF('TMP Paste'!$F53="","",N('TMP Paste'!$G53))</f>
        <v/>
      </c>
      <c r="AL53">
        <f>IF('TMP Paste'!$F53="","",IF('TMP Paste'!$M53="",$AL52,'TMP Paste'!$M53))</f>
        <v/>
      </c>
      <c r="AM53">
        <f>IF('TMP Paste'!$F53="","",IF('TMP Paste'!$N53="",$AM52,'TMP Paste'!$N53))</f>
        <v/>
      </c>
      <c r="AN53">
        <f>IF('TMP Paste'!$F53="","",IF('TMP Paste'!$O53="",$AN52,'TMP Paste'!$O53))</f>
        <v/>
      </c>
      <c r="AO53">
        <f>IF('TMP Paste'!$F53="","",IF('TMP Paste'!$P53="",$AO52,'TMP Paste'!$P53))</f>
        <v/>
      </c>
      <c r="AP53">
        <f>IF($AG53="","",LEN($R53))</f>
        <v/>
      </c>
      <c r="AQ53">
        <f>IF($AG53="","",TRIM(IF(COUNTIFS(Calc!$B$2:$B$1601,ROW()-1,Calc!$C$2:$C$1601,"&lt;1")&gt;0,"Ada PO tanpa Koli - cek TMP. ","")&amp;IF(LEN($R53)&gt;500,"R &gt; 500 karakter.","")))</f>
        <v/>
      </c>
    </row>
    <row r="54">
      <c r="A54">
        <f>IF($AG54="","",INDEX('TMP Paste'!$B$2:$B$1601,$AG54))</f>
        <v/>
      </c>
      <c r="B54">
        <f>IF($AG54="","",Config!$B$14)</f>
        <v/>
      </c>
      <c r="C54">
        <f>IF($AG54="","",Config!$B$15)</f>
        <v/>
      </c>
      <c r="D54">
        <f>IF($AG54="","",INDEX('TMP Paste'!$B$2:$B$1601,$AG54))</f>
        <v/>
      </c>
      <c r="E54">
        <f>IF($AG54="","",Config!$B$27)</f>
        <v/>
      </c>
      <c r="F54">
        <f>IF($AG54="","",Config!$B$9)</f>
        <v/>
      </c>
      <c r="G54">
        <f>IF($AG54="","",Config!$B$10)</f>
        <v/>
      </c>
      <c r="H54">
        <f>IF($AG54="","",Config!$B$11)</f>
        <v/>
      </c>
      <c r="I54">
        <f>IF($AG54="","",Config!$B$16)</f>
        <v/>
      </c>
      <c r="J54">
        <f>IF($AG54="","",INDEX('TMP Paste'!$A$2:$A$1601,$AG54))</f>
        <v/>
      </c>
      <c r="K54">
        <f>IF($AG54="","",INDEX('TMP Paste'!$L$2:$L$1601,$AG54))</f>
        <v/>
      </c>
      <c r="L54">
        <f>IF($AG54="","",INDEX('TMP Paste'!$I$2:$I$1601,$AG54))</f>
        <v/>
      </c>
      <c r="M54">
        <f>IF($AG54="","",Config!$B$16)</f>
        <v/>
      </c>
      <c r="N54">
        <f>IF($AG54="","","")</f>
        <v/>
      </c>
      <c r="O54">
        <f>IF($AG54="","",INDEX('TMP Paste'!$K$2:$K$1601,$AG54))</f>
        <v/>
      </c>
      <c r="P54">
        <f>IF($AG54="","","")</f>
        <v/>
      </c>
      <c r="Q54">
        <f>IF($AG54="","",INDEX('TMP Paste'!$J$2:$J$1601,$AG54))</f>
        <v/>
      </c>
      <c r="R54">
        <f>IF($AG54="","",Config!$B$24)</f>
        <v/>
      </c>
      <c r="S54">
        <f>IF($AG54="","",TEXT(Config!$B$4,"yyyy-mm-dd"))</f>
        <v/>
      </c>
      <c r="T54">
        <f>IF($AG54="","",Config!$B$17)</f>
        <v/>
      </c>
      <c r="U54">
        <f>IF($AG54="","",Config!$B$18)</f>
        <v/>
      </c>
      <c r="V54">
        <f>IF($AG54="","",Config!$B$19)</f>
        <v/>
      </c>
      <c r="W54">
        <f>IF($AG54="","",INDEX('TMP Paste'!$C$2:$C$1601,$AG54))</f>
        <v/>
      </c>
      <c r="X54">
        <f>IF($AG54="","",Config!$B$29)</f>
        <v/>
      </c>
      <c r="Y54">
        <f>IF($AH54="","",INDEX(Calc!$I$2:$I$1601,$AH54)&amp;" - "&amp;INDEX(Calc!$D$2:$D$1601,$AH54)&amp;" koli")</f>
        <v/>
      </c>
      <c r="Z54">
        <f>IF($AG54="","",Config!$B$21)</f>
        <v/>
      </c>
      <c r="AA54">
        <f>IF($AG54="","",Config!$B$22)</f>
        <v/>
      </c>
      <c r="AB54">
        <f>IF($AH54="","",INDEX(Calc!$D$2:$D$1601,$AH54))</f>
        <v/>
      </c>
      <c r="AC54">
        <f>IF($AH54="","",INDEX(Calc!$G$2:$G$1601,$AH54))</f>
        <v/>
      </c>
      <c r="AD54">
        <f>IF($AG54="","",Config!$B$23)</f>
        <v/>
      </c>
      <c r="AE54">
        <f>IF($AG54="","",Config!$B$28)</f>
        <v/>
      </c>
      <c r="AG54">
        <f>IFERROR(MATCH(ROW()-1,Calc!$J$2:$J$1601,0),"")</f>
        <v/>
      </c>
      <c r="AH54">
        <f>IFERROR(MATCH(ROW()-1,Calc!$K$2:$K$1601,0),"")</f>
        <v/>
      </c>
      <c r="AI54">
        <f>IF($AG54="","",SUMIF($AG$2:$AG54,$AG54,$AH$2:$AH54))</f>
        <v/>
      </c>
      <c r="AJ54">
        <f>IF('TMP Paste'!$F54="","",IF('TMP Paste'!$B54="",$AJ53,'TMP Paste'!$B54))</f>
        <v/>
      </c>
      <c r="AK54">
        <f>IF('TMP Paste'!$F54="","",N('TMP Paste'!$G54))</f>
        <v/>
      </c>
      <c r="AL54">
        <f>IF('TMP Paste'!$F54="","",IF('TMP Paste'!$M54="",$AL53,'TMP Paste'!$M54))</f>
        <v/>
      </c>
      <c r="AM54">
        <f>IF('TMP Paste'!$F54="","",IF('TMP Paste'!$N54="",$AM53,'TMP Paste'!$N54))</f>
        <v/>
      </c>
      <c r="AN54">
        <f>IF('TMP Paste'!$F54="","",IF('TMP Paste'!$O54="",$AN53,'TMP Paste'!$O54))</f>
        <v/>
      </c>
      <c r="AO54">
        <f>IF('TMP Paste'!$F54="","",IF('TMP Paste'!$P54="",$AO53,'TMP Paste'!$P54))</f>
        <v/>
      </c>
      <c r="AP54">
        <f>IF($AG54="","",LEN($R54))</f>
        <v/>
      </c>
      <c r="AQ54">
        <f>IF($AG54="","",TRIM(IF(COUNTIFS(Calc!$B$2:$B$1601,ROW()-1,Calc!$C$2:$C$1601,"&lt;1")&gt;0,"Ada PO tanpa Koli - cek TMP. ","")&amp;IF(LEN($R54)&gt;500,"R &gt; 500 karakter.","")))</f>
        <v/>
      </c>
    </row>
    <row r="55">
      <c r="A55">
        <f>IF($AG55="","",INDEX('TMP Paste'!$B$2:$B$1601,$AG55))</f>
        <v/>
      </c>
      <c r="B55">
        <f>IF($AG55="","",Config!$B$14)</f>
        <v/>
      </c>
      <c r="C55">
        <f>IF($AG55="","",Config!$B$15)</f>
        <v/>
      </c>
      <c r="D55">
        <f>IF($AG55="","",INDEX('TMP Paste'!$B$2:$B$1601,$AG55))</f>
        <v/>
      </c>
      <c r="E55">
        <f>IF($AG55="","",Config!$B$27)</f>
        <v/>
      </c>
      <c r="F55">
        <f>IF($AG55="","",Config!$B$9)</f>
        <v/>
      </c>
      <c r="G55">
        <f>IF($AG55="","",Config!$B$10)</f>
        <v/>
      </c>
      <c r="H55">
        <f>IF($AG55="","",Config!$B$11)</f>
        <v/>
      </c>
      <c r="I55">
        <f>IF($AG55="","",Config!$B$16)</f>
        <v/>
      </c>
      <c r="J55">
        <f>IF($AG55="","",INDEX('TMP Paste'!$A$2:$A$1601,$AG55))</f>
        <v/>
      </c>
      <c r="K55">
        <f>IF($AG55="","",INDEX('TMP Paste'!$L$2:$L$1601,$AG55))</f>
        <v/>
      </c>
      <c r="L55">
        <f>IF($AG55="","",INDEX('TMP Paste'!$I$2:$I$1601,$AG55))</f>
        <v/>
      </c>
      <c r="M55">
        <f>IF($AG55="","",Config!$B$16)</f>
        <v/>
      </c>
      <c r="N55">
        <f>IF($AG55="","","")</f>
        <v/>
      </c>
      <c r="O55">
        <f>IF($AG55="","",INDEX('TMP Paste'!$K$2:$K$1601,$AG55))</f>
        <v/>
      </c>
      <c r="P55">
        <f>IF($AG55="","","")</f>
        <v/>
      </c>
      <c r="Q55">
        <f>IF($AG55="","",INDEX('TMP Paste'!$J$2:$J$1601,$AG55))</f>
        <v/>
      </c>
      <c r="R55">
        <f>IF($AG55="","",Config!$B$24)</f>
        <v/>
      </c>
      <c r="S55">
        <f>IF($AG55="","",TEXT(Config!$B$4,"yyyy-mm-dd"))</f>
        <v/>
      </c>
      <c r="T55">
        <f>IF($AG55="","",Config!$B$17)</f>
        <v/>
      </c>
      <c r="U55">
        <f>IF($AG55="","",Config!$B$18)</f>
        <v/>
      </c>
      <c r="V55">
        <f>IF($AG55="","",Config!$B$19)</f>
        <v/>
      </c>
      <c r="W55">
        <f>IF($AG55="","",INDEX('TMP Paste'!$C$2:$C$1601,$AG55))</f>
        <v/>
      </c>
      <c r="X55">
        <f>IF($AG55="","",Config!$B$29)</f>
        <v/>
      </c>
      <c r="Y55">
        <f>IF($AH55="","",INDEX(Calc!$I$2:$I$1601,$AH55)&amp;" - "&amp;INDEX(Calc!$D$2:$D$1601,$AH55)&amp;" koli")</f>
        <v/>
      </c>
      <c r="Z55">
        <f>IF($AG55="","",Config!$B$21)</f>
        <v/>
      </c>
      <c r="AA55">
        <f>IF($AG55="","",Config!$B$22)</f>
        <v/>
      </c>
      <c r="AB55">
        <f>IF($AH55="","",INDEX(Calc!$D$2:$D$1601,$AH55))</f>
        <v/>
      </c>
      <c r="AC55">
        <f>IF($AH55="","",INDEX(Calc!$G$2:$G$1601,$AH55))</f>
        <v/>
      </c>
      <c r="AD55">
        <f>IF($AG55="","",Config!$B$23)</f>
        <v/>
      </c>
      <c r="AE55">
        <f>IF($AG55="","",Config!$B$28)</f>
        <v/>
      </c>
      <c r="AG55">
        <f>IFERROR(MATCH(ROW()-1,Calc!$J$2:$J$1601,0),"")</f>
        <v/>
      </c>
      <c r="AH55">
        <f>IFERROR(MATCH(ROW()-1,Calc!$K$2:$K$1601,0),"")</f>
        <v/>
      </c>
      <c r="AI55">
        <f>IF($AG55="","",SUMIF($AG$2:$AG55,$AG55,$AH$2:$AH55))</f>
        <v/>
      </c>
      <c r="AJ55">
        <f>IF('TMP Paste'!$F55="","",IF('TMP Paste'!$B55="",$AJ54,'TMP Paste'!$B55))</f>
        <v/>
      </c>
      <c r="AK55">
        <f>IF('TMP Paste'!$F55="","",N('TMP Paste'!$G55))</f>
        <v/>
      </c>
      <c r="AL55">
        <f>IF('TMP Paste'!$F55="","",IF('TMP Paste'!$M55="",$AL54,'TMP Paste'!$M55))</f>
        <v/>
      </c>
      <c r="AM55">
        <f>IF('TMP Paste'!$F55="","",IF('TMP Paste'!$N55="",$AM54,'TMP Paste'!$N55))</f>
        <v/>
      </c>
      <c r="AN55">
        <f>IF('TMP Paste'!$F55="","",IF('TMP Paste'!$O55="",$AN54,'TMP Paste'!$O55))</f>
        <v/>
      </c>
      <c r="AO55">
        <f>IF('TMP Paste'!$F55="","",IF('TMP Paste'!$P55="",$AO54,'TMP Paste'!$P55))</f>
        <v/>
      </c>
      <c r="AP55">
        <f>IF($AG55="","",LEN($R55))</f>
        <v/>
      </c>
      <c r="AQ55">
        <f>IF($AG55="","",TRIM(IF(COUNTIFS(Calc!$B$2:$B$1601,ROW()-1,Calc!$C$2:$C$1601,"&lt;1")&gt;0,"Ada PO tanpa Koli - cek TMP. ","")&amp;IF(LEN($R55)&gt;500,"R &gt; 500 karakter.","")))</f>
        <v/>
      </c>
    </row>
    <row r="56">
      <c r="A56">
        <f>IF($AG56="","",INDEX('TMP Paste'!$B$2:$B$1601,$AG56))</f>
        <v/>
      </c>
      <c r="B56">
        <f>IF($AG56="","",Config!$B$14)</f>
        <v/>
      </c>
      <c r="C56">
        <f>IF($AG56="","",Config!$B$15)</f>
        <v/>
      </c>
      <c r="D56">
        <f>IF($AG56="","",INDEX('TMP Paste'!$B$2:$B$1601,$AG56))</f>
        <v/>
      </c>
      <c r="E56">
        <f>IF($AG56="","",Config!$B$27)</f>
        <v/>
      </c>
      <c r="F56">
        <f>IF($AG56="","",Config!$B$9)</f>
        <v/>
      </c>
      <c r="G56">
        <f>IF($AG56="","",Config!$B$10)</f>
        <v/>
      </c>
      <c r="H56">
        <f>IF($AG56="","",Config!$B$11)</f>
        <v/>
      </c>
      <c r="I56">
        <f>IF($AG56="","",Config!$B$16)</f>
        <v/>
      </c>
      <c r="J56">
        <f>IF($AG56="","",INDEX('TMP Paste'!$A$2:$A$1601,$AG56))</f>
        <v/>
      </c>
      <c r="K56">
        <f>IF($AG56="","",INDEX('TMP Paste'!$L$2:$L$1601,$AG56))</f>
        <v/>
      </c>
      <c r="L56">
        <f>IF($AG56="","",INDEX('TMP Paste'!$I$2:$I$1601,$AG56))</f>
        <v/>
      </c>
      <c r="M56">
        <f>IF($AG56="","",Config!$B$16)</f>
        <v/>
      </c>
      <c r="N56">
        <f>IF($AG56="","","")</f>
        <v/>
      </c>
      <c r="O56">
        <f>IF($AG56="","",INDEX('TMP Paste'!$K$2:$K$1601,$AG56))</f>
        <v/>
      </c>
      <c r="P56">
        <f>IF($AG56="","","")</f>
        <v/>
      </c>
      <c r="Q56">
        <f>IF($AG56="","",INDEX('TMP Paste'!$J$2:$J$1601,$AG56))</f>
        <v/>
      </c>
      <c r="R56">
        <f>IF($AG56="","",Config!$B$24)</f>
        <v/>
      </c>
      <c r="S56">
        <f>IF($AG56="","",TEXT(Config!$B$4,"yyyy-mm-dd"))</f>
        <v/>
      </c>
      <c r="T56">
        <f>IF($AG56="","",Config!$B$17)</f>
        <v/>
      </c>
      <c r="U56">
        <f>IF($AG56="","",Config!$B$18)</f>
        <v/>
      </c>
      <c r="V56">
        <f>IF($AG56="","",Config!$B$19)</f>
        <v/>
      </c>
      <c r="W56">
        <f>IF($AG56="","",INDEX('TMP Paste'!$C$2:$C$1601,$AG56))</f>
        <v/>
      </c>
      <c r="X56">
        <f>IF($AG56="","",Config!$B$29)</f>
        <v/>
      </c>
      <c r="Y56">
        <f>IF($AH56="","",INDEX(Calc!$I$2:$I$1601,$AH56)&amp;" - "&amp;INDEX(Calc!$D$2:$D$1601,$AH56)&amp;" koli")</f>
        <v/>
      </c>
      <c r="Z56">
        <f>IF($AG56="","",Config!$B$21)</f>
        <v/>
      </c>
      <c r="AA56">
        <f>IF($AG56="","",Config!$B$22)</f>
        <v/>
      </c>
      <c r="AB56">
        <f>IF($AH56="","",INDEX(Calc!$D$2:$D$1601,$AH56))</f>
        <v/>
      </c>
      <c r="AC56">
        <f>IF($AH56="","",INDEX(Calc!$G$2:$G$1601,$AH56))</f>
        <v/>
      </c>
      <c r="AD56">
        <f>IF($AG56="","",Config!$B$23)</f>
        <v/>
      </c>
      <c r="AE56">
        <f>IF($AG56="","",Config!$B$28)</f>
        <v/>
      </c>
      <c r="AG56">
        <f>IFERROR(MATCH(ROW()-1,Calc!$J$2:$J$1601,0),"")</f>
        <v/>
      </c>
      <c r="AH56">
        <f>IFERROR(MATCH(ROW()-1,Calc!$K$2:$K$1601,0),"")</f>
        <v/>
      </c>
      <c r="AI56">
        <f>IF($AG56="","",SUMIF($AG$2:$AG56,$AG56,$AH$2:$AH56))</f>
        <v/>
      </c>
      <c r="AJ56">
        <f>IF('TMP Paste'!$F56="","",IF('TMP Paste'!$B56="",$AJ55,'TMP Paste'!$B56))</f>
        <v/>
      </c>
      <c r="AK56">
        <f>IF('TMP Paste'!$F56="","",N('TMP Paste'!$G56))</f>
        <v/>
      </c>
      <c r="AL56">
        <f>IF('TMP Paste'!$F56="","",IF('TMP Paste'!$M56="",$AL55,'TMP Paste'!$M56))</f>
        <v/>
      </c>
      <c r="AM56">
        <f>IF('TMP Paste'!$F56="","",IF('TMP Paste'!$N56="",$AM55,'TMP Paste'!$N56))</f>
        <v/>
      </c>
      <c r="AN56">
        <f>IF('TMP Paste'!$F56="","",IF('TMP Paste'!$O56="",$AN55,'TMP Paste'!$O56))</f>
        <v/>
      </c>
      <c r="AO56">
        <f>IF('TMP Paste'!$F56="","",IF('TMP Paste'!$P56="",$AO55,'TMP Paste'!$P56))</f>
        <v/>
      </c>
      <c r="AP56">
        <f>IF($AG56="","",LEN($R56))</f>
        <v/>
      </c>
      <c r="AQ56">
        <f>IF($AG56="","",TRIM(IF(COUNTIFS(Calc!$B$2:$B$1601,ROW()-1,Calc!$C$2:$C$1601,"&lt;1")&gt;0,"Ada PO tanpa Koli - cek TMP. ","")&amp;IF(LEN($R56)&gt;500,"R &gt; 500 karakter.","")))</f>
        <v/>
      </c>
    </row>
    <row r="57">
      <c r="A57">
        <f>IF($AG57="","",INDEX('TMP Paste'!$B$2:$B$1601,$AG57))</f>
        <v/>
      </c>
      <c r="B57">
        <f>IF($AG57="","",Config!$B$14)</f>
        <v/>
      </c>
      <c r="C57">
        <f>IF($AG57="","",Config!$B$15)</f>
        <v/>
      </c>
      <c r="D57">
        <f>IF($AG57="","",INDEX('TMP Paste'!$B$2:$B$1601,$AG57))</f>
        <v/>
      </c>
      <c r="E57">
        <f>IF($AG57="","",Config!$B$27)</f>
        <v/>
      </c>
      <c r="F57">
        <f>IF($AG57="","",Config!$B$9)</f>
        <v/>
      </c>
      <c r="G57">
        <f>IF($AG57="","",Config!$B$10)</f>
        <v/>
      </c>
      <c r="H57">
        <f>IF($AG57="","",Config!$B$11)</f>
        <v/>
      </c>
      <c r="I57">
        <f>IF($AG57="","",Config!$B$16)</f>
        <v/>
      </c>
      <c r="J57">
        <f>IF($AG57="","",INDEX('TMP Paste'!$A$2:$A$1601,$AG57))</f>
        <v/>
      </c>
      <c r="K57">
        <f>IF($AG57="","",INDEX('TMP Paste'!$L$2:$L$1601,$AG57))</f>
        <v/>
      </c>
      <c r="L57">
        <f>IF($AG57="","",INDEX('TMP Paste'!$I$2:$I$1601,$AG57))</f>
        <v/>
      </c>
      <c r="M57">
        <f>IF($AG57="","",Config!$B$16)</f>
        <v/>
      </c>
      <c r="N57">
        <f>IF($AG57="","","")</f>
        <v/>
      </c>
      <c r="O57">
        <f>IF($AG57="","",INDEX('TMP Paste'!$K$2:$K$1601,$AG57))</f>
        <v/>
      </c>
      <c r="P57">
        <f>IF($AG57="","","")</f>
        <v/>
      </c>
      <c r="Q57">
        <f>IF($AG57="","",INDEX('TMP Paste'!$J$2:$J$1601,$AG57))</f>
        <v/>
      </c>
      <c r="R57">
        <f>IF($AG57="","",Config!$B$24)</f>
        <v/>
      </c>
      <c r="S57">
        <f>IF($AG57="","",TEXT(Config!$B$4,"yyyy-mm-dd"))</f>
        <v/>
      </c>
      <c r="T57">
        <f>IF($AG57="","",Config!$B$17)</f>
        <v/>
      </c>
      <c r="U57">
        <f>IF($AG57="","",Config!$B$18)</f>
        <v/>
      </c>
      <c r="V57">
        <f>IF($AG57="","",Config!$B$19)</f>
        <v/>
      </c>
      <c r="W57">
        <f>IF($AG57="","",INDEX('TMP Paste'!$C$2:$C$1601,$AG57))</f>
        <v/>
      </c>
      <c r="X57">
        <f>IF($AG57="","",Config!$B$29)</f>
        <v/>
      </c>
      <c r="Y57">
        <f>IF($AH57="","",INDEX(Calc!$I$2:$I$1601,$AH57)&amp;" - "&amp;INDEX(Calc!$D$2:$D$1601,$AH57)&amp;" koli")</f>
        <v/>
      </c>
      <c r="Z57">
        <f>IF($AG57="","",Config!$B$21)</f>
        <v/>
      </c>
      <c r="AA57">
        <f>IF($AG57="","",Config!$B$22)</f>
        <v/>
      </c>
      <c r="AB57">
        <f>IF($AH57="","",INDEX(Calc!$D$2:$D$1601,$AH57))</f>
        <v/>
      </c>
      <c r="AC57">
        <f>IF($AH57="","",INDEX(Calc!$G$2:$G$1601,$AH57))</f>
        <v/>
      </c>
      <c r="AD57">
        <f>IF($AG57="","",Config!$B$23)</f>
        <v/>
      </c>
      <c r="AE57">
        <f>IF($AG57="","",Config!$B$28)</f>
        <v/>
      </c>
      <c r="AG57">
        <f>IFERROR(MATCH(ROW()-1,Calc!$J$2:$J$1601,0),"")</f>
        <v/>
      </c>
      <c r="AH57">
        <f>IFERROR(MATCH(ROW()-1,Calc!$K$2:$K$1601,0),"")</f>
        <v/>
      </c>
      <c r="AI57">
        <f>IF($AG57="","",SUMIF($AG$2:$AG57,$AG57,$AH$2:$AH57))</f>
        <v/>
      </c>
      <c r="AJ57">
        <f>IF('TMP Paste'!$F57="","",IF('TMP Paste'!$B57="",$AJ56,'TMP Paste'!$B57))</f>
        <v/>
      </c>
      <c r="AK57">
        <f>IF('TMP Paste'!$F57="","",N('TMP Paste'!$G57))</f>
        <v/>
      </c>
      <c r="AL57">
        <f>IF('TMP Paste'!$F57="","",IF('TMP Paste'!$M57="",$AL56,'TMP Paste'!$M57))</f>
        <v/>
      </c>
      <c r="AM57">
        <f>IF('TMP Paste'!$F57="","",IF('TMP Paste'!$N57="",$AM56,'TMP Paste'!$N57))</f>
        <v/>
      </c>
      <c r="AN57">
        <f>IF('TMP Paste'!$F57="","",IF('TMP Paste'!$O57="",$AN56,'TMP Paste'!$O57))</f>
        <v/>
      </c>
      <c r="AO57">
        <f>IF('TMP Paste'!$F57="","",IF('TMP Paste'!$P57="",$AO56,'TMP Paste'!$P57))</f>
        <v/>
      </c>
      <c r="AP57">
        <f>IF($AG57="","",LEN($R57))</f>
        <v/>
      </c>
      <c r="AQ57">
        <f>IF($AG57="","",TRIM(IF(COUNTIFS(Calc!$B$2:$B$1601,ROW()-1,Calc!$C$2:$C$1601,"&lt;1")&gt;0,"Ada PO tanpa Koli - cek TMP. ","")&amp;IF(LEN($R57)&gt;500,"R &gt; 500 karakter.","")))</f>
        <v/>
      </c>
    </row>
    <row r="58">
      <c r="A58">
        <f>IF($AG58="","",INDEX('TMP Paste'!$B$2:$B$1601,$AG58))</f>
        <v/>
      </c>
      <c r="B58">
        <f>IF($AG58="","",Config!$B$14)</f>
        <v/>
      </c>
      <c r="C58">
        <f>IF($AG58="","",Config!$B$15)</f>
        <v/>
      </c>
      <c r="D58">
        <f>IF($AG58="","",INDEX('TMP Paste'!$B$2:$B$1601,$AG58))</f>
        <v/>
      </c>
      <c r="E58">
        <f>IF($AG58="","",Config!$B$27)</f>
        <v/>
      </c>
      <c r="F58">
        <f>IF($AG58="","",Config!$B$9)</f>
        <v/>
      </c>
      <c r="G58">
        <f>IF($AG58="","",Config!$B$10)</f>
        <v/>
      </c>
      <c r="H58">
        <f>IF($AG58="","",Config!$B$11)</f>
        <v/>
      </c>
      <c r="I58">
        <f>IF($AG58="","",Config!$B$16)</f>
        <v/>
      </c>
      <c r="J58">
        <f>IF($AG58="","",INDEX('TMP Paste'!$A$2:$A$1601,$AG58))</f>
        <v/>
      </c>
      <c r="K58">
        <f>IF($AG58="","",INDEX('TMP Paste'!$L$2:$L$1601,$AG58))</f>
        <v/>
      </c>
      <c r="L58">
        <f>IF($AG58="","",INDEX('TMP Paste'!$I$2:$I$1601,$AG58))</f>
        <v/>
      </c>
      <c r="M58">
        <f>IF($AG58="","",Config!$B$16)</f>
        <v/>
      </c>
      <c r="N58">
        <f>IF($AG58="","","")</f>
        <v/>
      </c>
      <c r="O58">
        <f>IF($AG58="","",INDEX('TMP Paste'!$K$2:$K$1601,$AG58))</f>
        <v/>
      </c>
      <c r="P58">
        <f>IF($AG58="","","")</f>
        <v/>
      </c>
      <c r="Q58">
        <f>IF($AG58="","",INDEX('TMP Paste'!$J$2:$J$1601,$AG58))</f>
        <v/>
      </c>
      <c r="R58">
        <f>IF($AG58="","",Config!$B$24)</f>
        <v/>
      </c>
      <c r="S58">
        <f>IF($AG58="","",TEXT(Config!$B$4,"yyyy-mm-dd"))</f>
        <v/>
      </c>
      <c r="T58">
        <f>IF($AG58="","",Config!$B$17)</f>
        <v/>
      </c>
      <c r="U58">
        <f>IF($AG58="","",Config!$B$18)</f>
        <v/>
      </c>
      <c r="V58">
        <f>IF($AG58="","",Config!$B$19)</f>
        <v/>
      </c>
      <c r="W58">
        <f>IF($AG58="","",INDEX('TMP Paste'!$C$2:$C$1601,$AG58))</f>
        <v/>
      </c>
      <c r="X58">
        <f>IF($AG58="","",Config!$B$29)</f>
        <v/>
      </c>
      <c r="Y58">
        <f>IF($AH58="","",INDEX(Calc!$I$2:$I$1601,$AH58)&amp;" - "&amp;INDEX(Calc!$D$2:$D$1601,$AH58)&amp;" koli")</f>
        <v/>
      </c>
      <c r="Z58">
        <f>IF($AG58="","",Config!$B$21)</f>
        <v/>
      </c>
      <c r="AA58">
        <f>IF($AG58="","",Config!$B$22)</f>
        <v/>
      </c>
      <c r="AB58">
        <f>IF($AH58="","",INDEX(Calc!$D$2:$D$1601,$AH58))</f>
        <v/>
      </c>
      <c r="AC58">
        <f>IF($AH58="","",INDEX(Calc!$G$2:$G$1601,$AH58))</f>
        <v/>
      </c>
      <c r="AD58">
        <f>IF($AG58="","",Config!$B$23)</f>
        <v/>
      </c>
      <c r="AE58">
        <f>IF($AG58="","",Config!$B$28)</f>
        <v/>
      </c>
      <c r="AG58">
        <f>IFERROR(MATCH(ROW()-1,Calc!$J$2:$J$1601,0),"")</f>
        <v/>
      </c>
      <c r="AH58">
        <f>IFERROR(MATCH(ROW()-1,Calc!$K$2:$K$1601,0),"")</f>
        <v/>
      </c>
      <c r="AI58">
        <f>IF($AG58="","",SUMIF($AG$2:$AG58,$AG58,$AH$2:$AH58))</f>
        <v/>
      </c>
      <c r="AJ58">
        <f>IF('TMP Paste'!$F58="","",IF('TMP Paste'!$B58="",$AJ57,'TMP Paste'!$B58))</f>
        <v/>
      </c>
      <c r="AK58">
        <f>IF('TMP Paste'!$F58="","",N('TMP Paste'!$G58))</f>
        <v/>
      </c>
      <c r="AL58">
        <f>IF('TMP Paste'!$F58="","",IF('TMP Paste'!$M58="",$AL57,'TMP Paste'!$M58))</f>
        <v/>
      </c>
      <c r="AM58">
        <f>IF('TMP Paste'!$F58="","",IF('TMP Paste'!$N58="",$AM57,'TMP Paste'!$N58))</f>
        <v/>
      </c>
      <c r="AN58">
        <f>IF('TMP Paste'!$F58="","",IF('TMP Paste'!$O58="",$AN57,'TMP Paste'!$O58))</f>
        <v/>
      </c>
      <c r="AO58">
        <f>IF('TMP Paste'!$F58="","",IF('TMP Paste'!$P58="",$AO57,'TMP Paste'!$P58))</f>
        <v/>
      </c>
      <c r="AP58">
        <f>IF($AG58="","",LEN($R58))</f>
        <v/>
      </c>
      <c r="AQ58">
        <f>IF($AG58="","",TRIM(IF(COUNTIFS(Calc!$B$2:$B$1601,ROW()-1,Calc!$C$2:$C$1601,"&lt;1")&gt;0,"Ada PO tanpa Koli - cek TMP. ","")&amp;IF(LEN($R58)&gt;500,"R &gt; 500 karakter.","")))</f>
        <v/>
      </c>
    </row>
    <row r="59">
      <c r="A59">
        <f>IF($AG59="","",INDEX('TMP Paste'!$B$2:$B$1601,$AG59))</f>
        <v/>
      </c>
      <c r="B59">
        <f>IF($AG59="","",Config!$B$14)</f>
        <v/>
      </c>
      <c r="C59">
        <f>IF($AG59="","",Config!$B$15)</f>
        <v/>
      </c>
      <c r="D59">
        <f>IF($AG59="","",INDEX('TMP Paste'!$B$2:$B$1601,$AG59))</f>
        <v/>
      </c>
      <c r="E59">
        <f>IF($AG59="","",Config!$B$27)</f>
        <v/>
      </c>
      <c r="F59">
        <f>IF($AG59="","",Config!$B$9)</f>
        <v/>
      </c>
      <c r="G59">
        <f>IF($AG59="","",Config!$B$10)</f>
        <v/>
      </c>
      <c r="H59">
        <f>IF($AG59="","",Config!$B$11)</f>
        <v/>
      </c>
      <c r="I59">
        <f>IF($AG59="","",Config!$B$16)</f>
        <v/>
      </c>
      <c r="J59">
        <f>IF($AG59="","",INDEX('TMP Paste'!$A$2:$A$1601,$AG59))</f>
        <v/>
      </c>
      <c r="K59">
        <f>IF($AG59="","",INDEX('TMP Paste'!$L$2:$L$1601,$AG59))</f>
        <v/>
      </c>
      <c r="L59">
        <f>IF($AG59="","",INDEX('TMP Paste'!$I$2:$I$1601,$AG59))</f>
        <v/>
      </c>
      <c r="M59">
        <f>IF($AG59="","",Config!$B$16)</f>
        <v/>
      </c>
      <c r="N59">
        <f>IF($AG59="","","")</f>
        <v/>
      </c>
      <c r="O59">
        <f>IF($AG59="","",INDEX('TMP Paste'!$K$2:$K$1601,$AG59))</f>
        <v/>
      </c>
      <c r="P59">
        <f>IF($AG59="","","")</f>
        <v/>
      </c>
      <c r="Q59">
        <f>IF($AG59="","",INDEX('TMP Paste'!$J$2:$J$1601,$AG59))</f>
        <v/>
      </c>
      <c r="R59">
        <f>IF($AG59="","",Config!$B$24)</f>
        <v/>
      </c>
      <c r="S59">
        <f>IF($AG59="","",TEXT(Config!$B$4,"yyyy-mm-dd"))</f>
        <v/>
      </c>
      <c r="T59">
        <f>IF($AG59="","",Config!$B$17)</f>
        <v/>
      </c>
      <c r="U59">
        <f>IF($AG59="","",Config!$B$18)</f>
        <v/>
      </c>
      <c r="V59">
        <f>IF($AG59="","",Config!$B$19)</f>
        <v/>
      </c>
      <c r="W59">
        <f>IF($AG59="","",INDEX('TMP Paste'!$C$2:$C$1601,$AG59))</f>
        <v/>
      </c>
      <c r="X59">
        <f>IF($AG59="","",Config!$B$29)</f>
        <v/>
      </c>
      <c r="Y59">
        <f>IF($AH59="","",INDEX(Calc!$I$2:$I$1601,$AH59)&amp;" - "&amp;INDEX(Calc!$D$2:$D$1601,$AH59)&amp;" koli")</f>
        <v/>
      </c>
      <c r="Z59">
        <f>IF($AG59="","",Config!$B$21)</f>
        <v/>
      </c>
      <c r="AA59">
        <f>IF($AG59="","",Config!$B$22)</f>
        <v/>
      </c>
      <c r="AB59">
        <f>IF($AH59="","",INDEX(Calc!$D$2:$D$1601,$AH59))</f>
        <v/>
      </c>
      <c r="AC59">
        <f>IF($AH59="","",INDEX(Calc!$G$2:$G$1601,$AH59))</f>
        <v/>
      </c>
      <c r="AD59">
        <f>IF($AG59="","",Config!$B$23)</f>
        <v/>
      </c>
      <c r="AE59">
        <f>IF($AG59="","",Config!$B$28)</f>
        <v/>
      </c>
      <c r="AG59">
        <f>IFERROR(MATCH(ROW()-1,Calc!$J$2:$J$1601,0),"")</f>
        <v/>
      </c>
      <c r="AH59">
        <f>IFERROR(MATCH(ROW()-1,Calc!$K$2:$K$1601,0),"")</f>
        <v/>
      </c>
      <c r="AI59">
        <f>IF($AG59="","",SUMIF($AG$2:$AG59,$AG59,$AH$2:$AH59))</f>
        <v/>
      </c>
      <c r="AJ59">
        <f>IF('TMP Paste'!$F59="","",IF('TMP Paste'!$B59="",$AJ58,'TMP Paste'!$B59))</f>
        <v/>
      </c>
      <c r="AK59">
        <f>IF('TMP Paste'!$F59="","",N('TMP Paste'!$G59))</f>
        <v/>
      </c>
      <c r="AL59">
        <f>IF('TMP Paste'!$F59="","",IF('TMP Paste'!$M59="",$AL58,'TMP Paste'!$M59))</f>
        <v/>
      </c>
      <c r="AM59">
        <f>IF('TMP Paste'!$F59="","",IF('TMP Paste'!$N59="",$AM58,'TMP Paste'!$N59))</f>
        <v/>
      </c>
      <c r="AN59">
        <f>IF('TMP Paste'!$F59="","",IF('TMP Paste'!$O59="",$AN58,'TMP Paste'!$O59))</f>
        <v/>
      </c>
      <c r="AO59">
        <f>IF('TMP Paste'!$F59="","",IF('TMP Paste'!$P59="",$AO58,'TMP Paste'!$P59))</f>
        <v/>
      </c>
      <c r="AP59">
        <f>IF($AG59="","",LEN($R59))</f>
        <v/>
      </c>
      <c r="AQ59">
        <f>IF($AG59="","",TRIM(IF(COUNTIFS(Calc!$B$2:$B$1601,ROW()-1,Calc!$C$2:$C$1601,"&lt;1")&gt;0,"Ada PO tanpa Koli - cek TMP. ","")&amp;IF(LEN($R59)&gt;500,"R &gt; 500 karakter.","")))</f>
        <v/>
      </c>
    </row>
    <row r="60">
      <c r="A60">
        <f>IF($AG60="","",INDEX('TMP Paste'!$B$2:$B$1601,$AG60))</f>
        <v/>
      </c>
      <c r="B60">
        <f>IF($AG60="","",Config!$B$14)</f>
        <v/>
      </c>
      <c r="C60">
        <f>IF($AG60="","",Config!$B$15)</f>
        <v/>
      </c>
      <c r="D60">
        <f>IF($AG60="","",INDEX('TMP Paste'!$B$2:$B$1601,$AG60))</f>
        <v/>
      </c>
      <c r="E60">
        <f>IF($AG60="","",Config!$B$27)</f>
        <v/>
      </c>
      <c r="F60">
        <f>IF($AG60="","",Config!$B$9)</f>
        <v/>
      </c>
      <c r="G60">
        <f>IF($AG60="","",Config!$B$10)</f>
        <v/>
      </c>
      <c r="H60">
        <f>IF($AG60="","",Config!$B$11)</f>
        <v/>
      </c>
      <c r="I60">
        <f>IF($AG60="","",Config!$B$16)</f>
        <v/>
      </c>
      <c r="J60">
        <f>IF($AG60="","",INDEX('TMP Paste'!$A$2:$A$1601,$AG60))</f>
        <v/>
      </c>
      <c r="K60">
        <f>IF($AG60="","",INDEX('TMP Paste'!$L$2:$L$1601,$AG60))</f>
        <v/>
      </c>
      <c r="L60">
        <f>IF($AG60="","",INDEX('TMP Paste'!$I$2:$I$1601,$AG60))</f>
        <v/>
      </c>
      <c r="M60">
        <f>IF($AG60="","",Config!$B$16)</f>
        <v/>
      </c>
      <c r="N60">
        <f>IF($AG60="","","")</f>
        <v/>
      </c>
      <c r="O60">
        <f>IF($AG60="","",INDEX('TMP Paste'!$K$2:$K$1601,$AG60))</f>
        <v/>
      </c>
      <c r="P60">
        <f>IF($AG60="","","")</f>
        <v/>
      </c>
      <c r="Q60">
        <f>IF($AG60="","",INDEX('TMP Paste'!$J$2:$J$1601,$AG60))</f>
        <v/>
      </c>
      <c r="R60">
        <f>IF($AG60="","",Config!$B$24)</f>
        <v/>
      </c>
      <c r="S60">
        <f>IF($AG60="","",TEXT(Config!$B$4,"yyyy-mm-dd"))</f>
        <v/>
      </c>
      <c r="T60">
        <f>IF($AG60="","",Config!$B$17)</f>
        <v/>
      </c>
      <c r="U60">
        <f>IF($AG60="","",Config!$B$18)</f>
        <v/>
      </c>
      <c r="V60">
        <f>IF($AG60="","",Config!$B$19)</f>
        <v/>
      </c>
      <c r="W60">
        <f>IF($AG60="","",INDEX('TMP Paste'!$C$2:$C$1601,$AG60))</f>
        <v/>
      </c>
      <c r="X60">
        <f>IF($AG60="","",Config!$B$29)</f>
        <v/>
      </c>
      <c r="Y60">
        <f>IF($AH60="","",INDEX(Calc!$I$2:$I$1601,$AH60)&amp;" - "&amp;INDEX(Calc!$D$2:$D$1601,$AH60)&amp;" koli")</f>
        <v/>
      </c>
      <c r="Z60">
        <f>IF($AG60="","",Config!$B$21)</f>
        <v/>
      </c>
      <c r="AA60">
        <f>IF($AG60="","",Config!$B$22)</f>
        <v/>
      </c>
      <c r="AB60">
        <f>IF($AH60="","",INDEX(Calc!$D$2:$D$1601,$AH60))</f>
        <v/>
      </c>
      <c r="AC60">
        <f>IF($AH60="","",INDEX(Calc!$G$2:$G$1601,$AH60))</f>
        <v/>
      </c>
      <c r="AD60">
        <f>IF($AG60="","",Config!$B$23)</f>
        <v/>
      </c>
      <c r="AE60">
        <f>IF($AG60="","",Config!$B$28)</f>
        <v/>
      </c>
      <c r="AG60">
        <f>IFERROR(MATCH(ROW()-1,Calc!$J$2:$J$1601,0),"")</f>
        <v/>
      </c>
      <c r="AH60">
        <f>IFERROR(MATCH(ROW()-1,Calc!$K$2:$K$1601,0),"")</f>
        <v/>
      </c>
      <c r="AI60">
        <f>IF($AG60="","",SUMIF($AG$2:$AG60,$AG60,$AH$2:$AH60))</f>
        <v/>
      </c>
      <c r="AJ60">
        <f>IF('TMP Paste'!$F60="","",IF('TMP Paste'!$B60="",$AJ59,'TMP Paste'!$B60))</f>
        <v/>
      </c>
      <c r="AK60">
        <f>IF('TMP Paste'!$F60="","",N('TMP Paste'!$G60))</f>
        <v/>
      </c>
      <c r="AL60">
        <f>IF('TMP Paste'!$F60="","",IF('TMP Paste'!$M60="",$AL59,'TMP Paste'!$M60))</f>
        <v/>
      </c>
      <c r="AM60">
        <f>IF('TMP Paste'!$F60="","",IF('TMP Paste'!$N60="",$AM59,'TMP Paste'!$N60))</f>
        <v/>
      </c>
      <c r="AN60">
        <f>IF('TMP Paste'!$F60="","",IF('TMP Paste'!$O60="",$AN59,'TMP Paste'!$O60))</f>
        <v/>
      </c>
      <c r="AO60">
        <f>IF('TMP Paste'!$F60="","",IF('TMP Paste'!$P60="",$AO59,'TMP Paste'!$P60))</f>
        <v/>
      </c>
      <c r="AP60">
        <f>IF($AG60="","",LEN($R60))</f>
        <v/>
      </c>
      <c r="AQ60">
        <f>IF($AG60="","",TRIM(IF(COUNTIFS(Calc!$B$2:$B$1601,ROW()-1,Calc!$C$2:$C$1601,"&lt;1")&gt;0,"Ada PO tanpa Koli - cek TMP. ","")&amp;IF(LEN($R60)&gt;500,"R &gt; 500 karakter.","")))</f>
        <v/>
      </c>
    </row>
    <row r="61">
      <c r="A61">
        <f>IF($AG61="","",INDEX('TMP Paste'!$B$2:$B$1601,$AG61))</f>
        <v/>
      </c>
      <c r="B61">
        <f>IF($AG61="","",Config!$B$14)</f>
        <v/>
      </c>
      <c r="C61">
        <f>IF($AG61="","",Config!$B$15)</f>
        <v/>
      </c>
      <c r="D61">
        <f>IF($AG61="","",INDEX('TMP Paste'!$B$2:$B$1601,$AG61))</f>
        <v/>
      </c>
      <c r="E61">
        <f>IF($AG61="","",Config!$B$27)</f>
        <v/>
      </c>
      <c r="F61">
        <f>IF($AG61="","",Config!$B$9)</f>
        <v/>
      </c>
      <c r="G61">
        <f>IF($AG61="","",Config!$B$10)</f>
        <v/>
      </c>
      <c r="H61">
        <f>IF($AG61="","",Config!$B$11)</f>
        <v/>
      </c>
      <c r="I61">
        <f>IF($AG61="","",Config!$B$16)</f>
        <v/>
      </c>
      <c r="J61">
        <f>IF($AG61="","",INDEX('TMP Paste'!$A$2:$A$1601,$AG61))</f>
        <v/>
      </c>
      <c r="K61">
        <f>IF($AG61="","",INDEX('TMP Paste'!$L$2:$L$1601,$AG61))</f>
        <v/>
      </c>
      <c r="L61">
        <f>IF($AG61="","",INDEX('TMP Paste'!$I$2:$I$1601,$AG61))</f>
        <v/>
      </c>
      <c r="M61">
        <f>IF($AG61="","",Config!$B$16)</f>
        <v/>
      </c>
      <c r="N61">
        <f>IF($AG61="","","")</f>
        <v/>
      </c>
      <c r="O61">
        <f>IF($AG61="","",INDEX('TMP Paste'!$K$2:$K$1601,$AG61))</f>
        <v/>
      </c>
      <c r="P61">
        <f>IF($AG61="","","")</f>
        <v/>
      </c>
      <c r="Q61">
        <f>IF($AG61="","",INDEX('TMP Paste'!$J$2:$J$1601,$AG61))</f>
        <v/>
      </c>
      <c r="R61">
        <f>IF($AG61="","",Config!$B$24)</f>
        <v/>
      </c>
      <c r="S61">
        <f>IF($AG61="","",TEXT(Config!$B$4,"yyyy-mm-dd"))</f>
        <v/>
      </c>
      <c r="T61">
        <f>IF($AG61="","",Config!$B$17)</f>
        <v/>
      </c>
      <c r="U61">
        <f>IF($AG61="","",Config!$B$18)</f>
        <v/>
      </c>
      <c r="V61">
        <f>IF($AG61="","",Config!$B$19)</f>
        <v/>
      </c>
      <c r="W61">
        <f>IF($AG61="","",INDEX('TMP Paste'!$C$2:$C$1601,$AG61))</f>
        <v/>
      </c>
      <c r="X61">
        <f>IF($AG61="","",Config!$B$29)</f>
        <v/>
      </c>
      <c r="Y61">
        <f>IF($AH61="","",INDEX(Calc!$I$2:$I$1601,$AH61)&amp;" - "&amp;INDEX(Calc!$D$2:$D$1601,$AH61)&amp;" koli")</f>
        <v/>
      </c>
      <c r="Z61">
        <f>IF($AG61="","",Config!$B$21)</f>
        <v/>
      </c>
      <c r="AA61">
        <f>IF($AG61="","",Config!$B$22)</f>
        <v/>
      </c>
      <c r="AB61">
        <f>IF($AH61="","",INDEX(Calc!$D$2:$D$1601,$AH61))</f>
        <v/>
      </c>
      <c r="AC61">
        <f>IF($AH61="","",INDEX(Calc!$G$2:$G$1601,$AH61))</f>
        <v/>
      </c>
      <c r="AD61">
        <f>IF($AG61="","",Config!$B$23)</f>
        <v/>
      </c>
      <c r="AE61">
        <f>IF($AG61="","",Config!$B$28)</f>
        <v/>
      </c>
      <c r="AG61">
        <f>IFERROR(MATCH(ROW()-1,Calc!$J$2:$J$1601,0),"")</f>
        <v/>
      </c>
      <c r="AH61">
        <f>IFERROR(MATCH(ROW()-1,Calc!$K$2:$K$1601,0),"")</f>
        <v/>
      </c>
      <c r="AI61">
        <f>IF($AG61="","",SUMIF($AG$2:$AG61,$AG61,$AH$2:$AH61))</f>
        <v/>
      </c>
      <c r="AJ61">
        <f>IF('TMP Paste'!$F61="","",IF('TMP Paste'!$B61="",$AJ60,'TMP Paste'!$B61))</f>
        <v/>
      </c>
      <c r="AK61">
        <f>IF('TMP Paste'!$F61="","",N('TMP Paste'!$G61))</f>
        <v/>
      </c>
      <c r="AL61">
        <f>IF('TMP Paste'!$F61="","",IF('TMP Paste'!$M61="",$AL60,'TMP Paste'!$M61))</f>
        <v/>
      </c>
      <c r="AM61">
        <f>IF('TMP Paste'!$F61="","",IF('TMP Paste'!$N61="",$AM60,'TMP Paste'!$N61))</f>
        <v/>
      </c>
      <c r="AN61">
        <f>IF('TMP Paste'!$F61="","",IF('TMP Paste'!$O61="",$AN60,'TMP Paste'!$O61))</f>
        <v/>
      </c>
      <c r="AO61">
        <f>IF('TMP Paste'!$F61="","",IF('TMP Paste'!$P61="",$AO60,'TMP Paste'!$P61))</f>
        <v/>
      </c>
      <c r="AP61">
        <f>IF($AG61="","",LEN($R61))</f>
        <v/>
      </c>
      <c r="AQ61">
        <f>IF($AG61="","",TRIM(IF(COUNTIFS(Calc!$B$2:$B$1601,ROW()-1,Calc!$C$2:$C$1601,"&lt;1")&gt;0,"Ada PO tanpa Koli - cek TMP. ","")&amp;IF(LEN($R61)&gt;500,"R &gt; 500 karakter.","")))</f>
        <v/>
      </c>
    </row>
    <row r="62">
      <c r="A62">
        <f>IF($AG62="","",INDEX('TMP Paste'!$B$2:$B$1601,$AG62))</f>
        <v/>
      </c>
      <c r="B62">
        <f>IF($AG62="","",Config!$B$14)</f>
        <v/>
      </c>
      <c r="C62">
        <f>IF($AG62="","",Config!$B$15)</f>
        <v/>
      </c>
      <c r="D62">
        <f>IF($AG62="","",INDEX('TMP Paste'!$B$2:$B$1601,$AG62))</f>
        <v/>
      </c>
      <c r="E62">
        <f>IF($AG62="","",Config!$B$27)</f>
        <v/>
      </c>
      <c r="F62">
        <f>IF($AG62="","",Config!$B$9)</f>
        <v/>
      </c>
      <c r="G62">
        <f>IF($AG62="","",Config!$B$10)</f>
        <v/>
      </c>
      <c r="H62">
        <f>IF($AG62="","",Config!$B$11)</f>
        <v/>
      </c>
      <c r="I62">
        <f>IF($AG62="","",Config!$B$16)</f>
        <v/>
      </c>
      <c r="J62">
        <f>IF($AG62="","",INDEX('TMP Paste'!$A$2:$A$1601,$AG62))</f>
        <v/>
      </c>
      <c r="K62">
        <f>IF($AG62="","",INDEX('TMP Paste'!$L$2:$L$1601,$AG62))</f>
        <v/>
      </c>
      <c r="L62">
        <f>IF($AG62="","",INDEX('TMP Paste'!$I$2:$I$1601,$AG62))</f>
        <v/>
      </c>
      <c r="M62">
        <f>IF($AG62="","",Config!$B$16)</f>
        <v/>
      </c>
      <c r="N62">
        <f>IF($AG62="","","")</f>
        <v/>
      </c>
      <c r="O62">
        <f>IF($AG62="","",INDEX('TMP Paste'!$K$2:$K$1601,$AG62))</f>
        <v/>
      </c>
      <c r="P62">
        <f>IF($AG62="","","")</f>
        <v/>
      </c>
      <c r="Q62">
        <f>IF($AG62="","",INDEX('TMP Paste'!$J$2:$J$1601,$AG62))</f>
        <v/>
      </c>
      <c r="R62">
        <f>IF($AG62="","",Config!$B$24)</f>
        <v/>
      </c>
      <c r="S62">
        <f>IF($AG62="","",TEXT(Config!$B$4,"yyyy-mm-dd"))</f>
        <v/>
      </c>
      <c r="T62">
        <f>IF($AG62="","",Config!$B$17)</f>
        <v/>
      </c>
      <c r="U62">
        <f>IF($AG62="","",Config!$B$18)</f>
        <v/>
      </c>
      <c r="V62">
        <f>IF($AG62="","",Config!$B$19)</f>
        <v/>
      </c>
      <c r="W62">
        <f>IF($AG62="","",INDEX('TMP Paste'!$C$2:$C$1601,$AG62))</f>
        <v/>
      </c>
      <c r="X62">
        <f>IF($AG62="","",Config!$B$29)</f>
        <v/>
      </c>
      <c r="Y62">
        <f>IF($AH62="","",INDEX(Calc!$I$2:$I$1601,$AH62)&amp;" - "&amp;INDEX(Calc!$D$2:$D$1601,$AH62)&amp;" koli")</f>
        <v/>
      </c>
      <c r="Z62">
        <f>IF($AG62="","",Config!$B$21)</f>
        <v/>
      </c>
      <c r="AA62">
        <f>IF($AG62="","",Config!$B$22)</f>
        <v/>
      </c>
      <c r="AB62">
        <f>IF($AH62="","",INDEX(Calc!$D$2:$D$1601,$AH62))</f>
        <v/>
      </c>
      <c r="AC62">
        <f>IF($AH62="","",INDEX(Calc!$G$2:$G$1601,$AH62))</f>
        <v/>
      </c>
      <c r="AD62">
        <f>IF($AG62="","",Config!$B$23)</f>
        <v/>
      </c>
      <c r="AE62">
        <f>IF($AG62="","",Config!$B$28)</f>
        <v/>
      </c>
      <c r="AG62">
        <f>IFERROR(MATCH(ROW()-1,Calc!$J$2:$J$1601,0),"")</f>
        <v/>
      </c>
      <c r="AH62">
        <f>IFERROR(MATCH(ROW()-1,Calc!$K$2:$K$1601,0),"")</f>
        <v/>
      </c>
      <c r="AI62">
        <f>IF($AG62="","",SUMIF($AG$2:$AG62,$AG62,$AH$2:$AH62))</f>
        <v/>
      </c>
      <c r="AJ62">
        <f>IF('TMP Paste'!$F62="","",IF('TMP Paste'!$B62="",$AJ61,'TMP Paste'!$B62))</f>
        <v/>
      </c>
      <c r="AK62">
        <f>IF('TMP Paste'!$F62="","",N('TMP Paste'!$G62))</f>
        <v/>
      </c>
      <c r="AL62">
        <f>IF('TMP Paste'!$F62="","",IF('TMP Paste'!$M62="",$AL61,'TMP Paste'!$M62))</f>
        <v/>
      </c>
      <c r="AM62">
        <f>IF('TMP Paste'!$F62="","",IF('TMP Paste'!$N62="",$AM61,'TMP Paste'!$N62))</f>
        <v/>
      </c>
      <c r="AN62">
        <f>IF('TMP Paste'!$F62="","",IF('TMP Paste'!$O62="",$AN61,'TMP Paste'!$O62))</f>
        <v/>
      </c>
      <c r="AO62">
        <f>IF('TMP Paste'!$F62="","",IF('TMP Paste'!$P62="",$AO61,'TMP Paste'!$P62))</f>
        <v/>
      </c>
      <c r="AP62">
        <f>IF($AG62="","",LEN($R62))</f>
        <v/>
      </c>
      <c r="AQ62">
        <f>IF($AG62="","",TRIM(IF(COUNTIFS(Calc!$B$2:$B$1601,ROW()-1,Calc!$C$2:$C$1601,"&lt;1")&gt;0,"Ada PO tanpa Koli - cek TMP. ","")&amp;IF(LEN($R62)&gt;500,"R &gt; 500 karakter.","")))</f>
        <v/>
      </c>
    </row>
    <row r="63">
      <c r="A63">
        <f>IF($AG63="","",INDEX('TMP Paste'!$B$2:$B$1601,$AG63))</f>
        <v/>
      </c>
      <c r="B63">
        <f>IF($AG63="","",Config!$B$14)</f>
        <v/>
      </c>
      <c r="C63">
        <f>IF($AG63="","",Config!$B$15)</f>
        <v/>
      </c>
      <c r="D63">
        <f>IF($AG63="","",INDEX('TMP Paste'!$B$2:$B$1601,$AG63))</f>
        <v/>
      </c>
      <c r="E63">
        <f>IF($AG63="","",Config!$B$27)</f>
        <v/>
      </c>
      <c r="F63">
        <f>IF($AG63="","",Config!$B$9)</f>
        <v/>
      </c>
      <c r="G63">
        <f>IF($AG63="","",Config!$B$10)</f>
        <v/>
      </c>
      <c r="H63">
        <f>IF($AG63="","",Config!$B$11)</f>
        <v/>
      </c>
      <c r="I63">
        <f>IF($AG63="","",Config!$B$16)</f>
        <v/>
      </c>
      <c r="J63">
        <f>IF($AG63="","",INDEX('TMP Paste'!$A$2:$A$1601,$AG63))</f>
        <v/>
      </c>
      <c r="K63">
        <f>IF($AG63="","",INDEX('TMP Paste'!$L$2:$L$1601,$AG63))</f>
        <v/>
      </c>
      <c r="L63">
        <f>IF($AG63="","",INDEX('TMP Paste'!$I$2:$I$1601,$AG63))</f>
        <v/>
      </c>
      <c r="M63">
        <f>IF($AG63="","",Config!$B$16)</f>
        <v/>
      </c>
      <c r="N63">
        <f>IF($AG63="","","")</f>
        <v/>
      </c>
      <c r="O63">
        <f>IF($AG63="","",INDEX('TMP Paste'!$K$2:$K$1601,$AG63))</f>
        <v/>
      </c>
      <c r="P63">
        <f>IF($AG63="","","")</f>
        <v/>
      </c>
      <c r="Q63">
        <f>IF($AG63="","",INDEX('TMP Paste'!$J$2:$J$1601,$AG63))</f>
        <v/>
      </c>
      <c r="R63">
        <f>IF($AG63="","",Config!$B$24)</f>
        <v/>
      </c>
      <c r="S63">
        <f>IF($AG63="","",TEXT(Config!$B$4,"yyyy-mm-dd"))</f>
        <v/>
      </c>
      <c r="T63">
        <f>IF($AG63="","",Config!$B$17)</f>
        <v/>
      </c>
      <c r="U63">
        <f>IF($AG63="","",Config!$B$18)</f>
        <v/>
      </c>
      <c r="V63">
        <f>IF($AG63="","",Config!$B$19)</f>
        <v/>
      </c>
      <c r="W63">
        <f>IF($AG63="","",INDEX('TMP Paste'!$C$2:$C$1601,$AG63))</f>
        <v/>
      </c>
      <c r="X63">
        <f>IF($AG63="","",Config!$B$29)</f>
        <v/>
      </c>
      <c r="Y63">
        <f>IF($AH63="","",INDEX(Calc!$I$2:$I$1601,$AH63)&amp;" - "&amp;INDEX(Calc!$D$2:$D$1601,$AH63)&amp;" koli")</f>
        <v/>
      </c>
      <c r="Z63">
        <f>IF($AG63="","",Config!$B$21)</f>
        <v/>
      </c>
      <c r="AA63">
        <f>IF($AG63="","",Config!$B$22)</f>
        <v/>
      </c>
      <c r="AB63">
        <f>IF($AH63="","",INDEX(Calc!$D$2:$D$1601,$AH63))</f>
        <v/>
      </c>
      <c r="AC63">
        <f>IF($AH63="","",INDEX(Calc!$G$2:$G$1601,$AH63))</f>
        <v/>
      </c>
      <c r="AD63">
        <f>IF($AG63="","",Config!$B$23)</f>
        <v/>
      </c>
      <c r="AE63">
        <f>IF($AG63="","",Config!$B$28)</f>
        <v/>
      </c>
      <c r="AG63">
        <f>IFERROR(MATCH(ROW()-1,Calc!$J$2:$J$1601,0),"")</f>
        <v/>
      </c>
      <c r="AH63">
        <f>IFERROR(MATCH(ROW()-1,Calc!$K$2:$K$1601,0),"")</f>
        <v/>
      </c>
      <c r="AI63">
        <f>IF($AG63="","",SUMIF($AG$2:$AG63,$AG63,$AH$2:$AH63))</f>
        <v/>
      </c>
      <c r="AJ63">
        <f>IF('TMP Paste'!$F63="","",IF('TMP Paste'!$B63="",$AJ62,'TMP Paste'!$B63))</f>
        <v/>
      </c>
      <c r="AK63">
        <f>IF('TMP Paste'!$F63="","",N('TMP Paste'!$G63))</f>
        <v/>
      </c>
      <c r="AL63">
        <f>IF('TMP Paste'!$F63="","",IF('TMP Paste'!$M63="",$AL62,'TMP Paste'!$M63))</f>
        <v/>
      </c>
      <c r="AM63">
        <f>IF('TMP Paste'!$F63="","",IF('TMP Paste'!$N63="",$AM62,'TMP Paste'!$N63))</f>
        <v/>
      </c>
      <c r="AN63">
        <f>IF('TMP Paste'!$F63="","",IF('TMP Paste'!$O63="",$AN62,'TMP Paste'!$O63))</f>
        <v/>
      </c>
      <c r="AO63">
        <f>IF('TMP Paste'!$F63="","",IF('TMP Paste'!$P63="",$AO62,'TMP Paste'!$P63))</f>
        <v/>
      </c>
      <c r="AP63">
        <f>IF($AG63="","",LEN($R63))</f>
        <v/>
      </c>
      <c r="AQ63">
        <f>IF($AG63="","",TRIM(IF(COUNTIFS(Calc!$B$2:$B$1601,ROW()-1,Calc!$C$2:$C$1601,"&lt;1")&gt;0,"Ada PO tanpa Koli - cek TMP. ","")&amp;IF(LEN($R63)&gt;500,"R &gt; 500 karakter.","")))</f>
        <v/>
      </c>
    </row>
    <row r="64">
      <c r="A64">
        <f>IF($AG64="","",INDEX('TMP Paste'!$B$2:$B$1601,$AG64))</f>
        <v/>
      </c>
      <c r="B64">
        <f>IF($AG64="","",Config!$B$14)</f>
        <v/>
      </c>
      <c r="C64">
        <f>IF($AG64="","",Config!$B$15)</f>
        <v/>
      </c>
      <c r="D64">
        <f>IF($AG64="","",INDEX('TMP Paste'!$B$2:$B$1601,$AG64))</f>
        <v/>
      </c>
      <c r="E64">
        <f>IF($AG64="","",Config!$B$27)</f>
        <v/>
      </c>
      <c r="F64">
        <f>IF($AG64="","",Config!$B$9)</f>
        <v/>
      </c>
      <c r="G64">
        <f>IF($AG64="","",Config!$B$10)</f>
        <v/>
      </c>
      <c r="H64">
        <f>IF($AG64="","",Config!$B$11)</f>
        <v/>
      </c>
      <c r="I64">
        <f>IF($AG64="","",Config!$B$16)</f>
        <v/>
      </c>
      <c r="J64">
        <f>IF($AG64="","",INDEX('TMP Paste'!$A$2:$A$1601,$AG64))</f>
        <v/>
      </c>
      <c r="K64">
        <f>IF($AG64="","",INDEX('TMP Paste'!$L$2:$L$1601,$AG64))</f>
        <v/>
      </c>
      <c r="L64">
        <f>IF($AG64="","",INDEX('TMP Paste'!$I$2:$I$1601,$AG64))</f>
        <v/>
      </c>
      <c r="M64">
        <f>IF($AG64="","",Config!$B$16)</f>
        <v/>
      </c>
      <c r="N64">
        <f>IF($AG64="","","")</f>
        <v/>
      </c>
      <c r="O64">
        <f>IF($AG64="","",INDEX('TMP Paste'!$K$2:$K$1601,$AG64))</f>
        <v/>
      </c>
      <c r="P64">
        <f>IF($AG64="","","")</f>
        <v/>
      </c>
      <c r="Q64">
        <f>IF($AG64="","",INDEX('TMP Paste'!$J$2:$J$1601,$AG64))</f>
        <v/>
      </c>
      <c r="R64">
        <f>IF($AG64="","",Config!$B$24)</f>
        <v/>
      </c>
      <c r="S64">
        <f>IF($AG64="","",TEXT(Config!$B$4,"yyyy-mm-dd"))</f>
        <v/>
      </c>
      <c r="T64">
        <f>IF($AG64="","",Config!$B$17)</f>
        <v/>
      </c>
      <c r="U64">
        <f>IF($AG64="","",Config!$B$18)</f>
        <v/>
      </c>
      <c r="V64">
        <f>IF($AG64="","",Config!$B$19)</f>
        <v/>
      </c>
      <c r="W64">
        <f>IF($AG64="","",INDEX('TMP Paste'!$C$2:$C$1601,$AG64))</f>
        <v/>
      </c>
      <c r="X64">
        <f>IF($AG64="","",Config!$B$29)</f>
        <v/>
      </c>
      <c r="Y64">
        <f>IF($AH64="","",INDEX(Calc!$I$2:$I$1601,$AH64)&amp;" - "&amp;INDEX(Calc!$D$2:$D$1601,$AH64)&amp;" koli")</f>
        <v/>
      </c>
      <c r="Z64">
        <f>IF($AG64="","",Config!$B$21)</f>
        <v/>
      </c>
      <c r="AA64">
        <f>IF($AG64="","",Config!$B$22)</f>
        <v/>
      </c>
      <c r="AB64">
        <f>IF($AH64="","",INDEX(Calc!$D$2:$D$1601,$AH64))</f>
        <v/>
      </c>
      <c r="AC64">
        <f>IF($AH64="","",INDEX(Calc!$G$2:$G$1601,$AH64))</f>
        <v/>
      </c>
      <c r="AD64">
        <f>IF($AG64="","",Config!$B$23)</f>
        <v/>
      </c>
      <c r="AE64">
        <f>IF($AG64="","",Config!$B$28)</f>
        <v/>
      </c>
      <c r="AG64">
        <f>IFERROR(MATCH(ROW()-1,Calc!$J$2:$J$1601,0),"")</f>
        <v/>
      </c>
      <c r="AH64">
        <f>IFERROR(MATCH(ROW()-1,Calc!$K$2:$K$1601,0),"")</f>
        <v/>
      </c>
      <c r="AI64">
        <f>IF($AG64="","",SUMIF($AG$2:$AG64,$AG64,$AH$2:$AH64))</f>
        <v/>
      </c>
      <c r="AJ64">
        <f>IF('TMP Paste'!$F64="","",IF('TMP Paste'!$B64="",$AJ63,'TMP Paste'!$B64))</f>
        <v/>
      </c>
      <c r="AK64">
        <f>IF('TMP Paste'!$F64="","",N('TMP Paste'!$G64))</f>
        <v/>
      </c>
      <c r="AL64">
        <f>IF('TMP Paste'!$F64="","",IF('TMP Paste'!$M64="",$AL63,'TMP Paste'!$M64))</f>
        <v/>
      </c>
      <c r="AM64">
        <f>IF('TMP Paste'!$F64="","",IF('TMP Paste'!$N64="",$AM63,'TMP Paste'!$N64))</f>
        <v/>
      </c>
      <c r="AN64">
        <f>IF('TMP Paste'!$F64="","",IF('TMP Paste'!$O64="",$AN63,'TMP Paste'!$O64))</f>
        <v/>
      </c>
      <c r="AO64">
        <f>IF('TMP Paste'!$F64="","",IF('TMP Paste'!$P64="",$AO63,'TMP Paste'!$P64))</f>
        <v/>
      </c>
      <c r="AP64">
        <f>IF($AG64="","",LEN($R64))</f>
        <v/>
      </c>
      <c r="AQ64">
        <f>IF($AG64="","",TRIM(IF(COUNTIFS(Calc!$B$2:$B$1601,ROW()-1,Calc!$C$2:$C$1601,"&lt;1")&gt;0,"Ada PO tanpa Koli - cek TMP. ","")&amp;IF(LEN($R64)&gt;500,"R &gt; 500 karakter.","")))</f>
        <v/>
      </c>
    </row>
    <row r="65">
      <c r="A65">
        <f>IF($AG65="","",INDEX('TMP Paste'!$B$2:$B$1601,$AG65))</f>
        <v/>
      </c>
      <c r="B65">
        <f>IF($AG65="","",Config!$B$14)</f>
        <v/>
      </c>
      <c r="C65">
        <f>IF($AG65="","",Config!$B$15)</f>
        <v/>
      </c>
      <c r="D65">
        <f>IF($AG65="","",INDEX('TMP Paste'!$B$2:$B$1601,$AG65))</f>
        <v/>
      </c>
      <c r="E65">
        <f>IF($AG65="","",Config!$B$27)</f>
        <v/>
      </c>
      <c r="F65">
        <f>IF($AG65="","",Config!$B$9)</f>
        <v/>
      </c>
      <c r="G65">
        <f>IF($AG65="","",Config!$B$10)</f>
        <v/>
      </c>
      <c r="H65">
        <f>IF($AG65="","",Config!$B$11)</f>
        <v/>
      </c>
      <c r="I65">
        <f>IF($AG65="","",Config!$B$16)</f>
        <v/>
      </c>
      <c r="J65">
        <f>IF($AG65="","",INDEX('TMP Paste'!$A$2:$A$1601,$AG65))</f>
        <v/>
      </c>
      <c r="K65">
        <f>IF($AG65="","",INDEX('TMP Paste'!$L$2:$L$1601,$AG65))</f>
        <v/>
      </c>
      <c r="L65">
        <f>IF($AG65="","",INDEX('TMP Paste'!$I$2:$I$1601,$AG65))</f>
        <v/>
      </c>
      <c r="M65">
        <f>IF($AG65="","",Config!$B$16)</f>
        <v/>
      </c>
      <c r="N65">
        <f>IF($AG65="","","")</f>
        <v/>
      </c>
      <c r="O65">
        <f>IF($AG65="","",INDEX('TMP Paste'!$K$2:$K$1601,$AG65))</f>
        <v/>
      </c>
      <c r="P65">
        <f>IF($AG65="","","")</f>
        <v/>
      </c>
      <c r="Q65">
        <f>IF($AG65="","",INDEX('TMP Paste'!$J$2:$J$1601,$AG65))</f>
        <v/>
      </c>
      <c r="R65">
        <f>IF($AG65="","",Config!$B$24)</f>
        <v/>
      </c>
      <c r="S65">
        <f>IF($AG65="","",TEXT(Config!$B$4,"yyyy-mm-dd"))</f>
        <v/>
      </c>
      <c r="T65">
        <f>IF($AG65="","",Config!$B$17)</f>
        <v/>
      </c>
      <c r="U65">
        <f>IF($AG65="","",Config!$B$18)</f>
        <v/>
      </c>
      <c r="V65">
        <f>IF($AG65="","",Config!$B$19)</f>
        <v/>
      </c>
      <c r="W65">
        <f>IF($AG65="","",INDEX('TMP Paste'!$C$2:$C$1601,$AG65))</f>
        <v/>
      </c>
      <c r="X65">
        <f>IF($AG65="","",Config!$B$29)</f>
        <v/>
      </c>
      <c r="Y65">
        <f>IF($AH65="","",INDEX(Calc!$I$2:$I$1601,$AH65)&amp;" - "&amp;INDEX(Calc!$D$2:$D$1601,$AH65)&amp;" koli")</f>
        <v/>
      </c>
      <c r="Z65">
        <f>IF($AG65="","",Config!$B$21)</f>
        <v/>
      </c>
      <c r="AA65">
        <f>IF($AG65="","",Config!$B$22)</f>
        <v/>
      </c>
      <c r="AB65">
        <f>IF($AH65="","",INDEX(Calc!$D$2:$D$1601,$AH65))</f>
        <v/>
      </c>
      <c r="AC65">
        <f>IF($AH65="","",INDEX(Calc!$G$2:$G$1601,$AH65))</f>
        <v/>
      </c>
      <c r="AD65">
        <f>IF($AG65="","",Config!$B$23)</f>
        <v/>
      </c>
      <c r="AE65">
        <f>IF($AG65="","",Config!$B$28)</f>
        <v/>
      </c>
      <c r="AG65">
        <f>IFERROR(MATCH(ROW()-1,Calc!$J$2:$J$1601,0),"")</f>
        <v/>
      </c>
      <c r="AH65">
        <f>IFERROR(MATCH(ROW()-1,Calc!$K$2:$K$1601,0),"")</f>
        <v/>
      </c>
      <c r="AI65">
        <f>IF($AG65="","",SUMIF($AG$2:$AG65,$AG65,$AH$2:$AH65))</f>
        <v/>
      </c>
      <c r="AJ65">
        <f>IF('TMP Paste'!$F65="","",IF('TMP Paste'!$B65="",$AJ64,'TMP Paste'!$B65))</f>
        <v/>
      </c>
      <c r="AK65">
        <f>IF('TMP Paste'!$F65="","",N('TMP Paste'!$G65))</f>
        <v/>
      </c>
      <c r="AL65">
        <f>IF('TMP Paste'!$F65="","",IF('TMP Paste'!$M65="",$AL64,'TMP Paste'!$M65))</f>
        <v/>
      </c>
      <c r="AM65">
        <f>IF('TMP Paste'!$F65="","",IF('TMP Paste'!$N65="",$AM64,'TMP Paste'!$N65))</f>
        <v/>
      </c>
      <c r="AN65">
        <f>IF('TMP Paste'!$F65="","",IF('TMP Paste'!$O65="",$AN64,'TMP Paste'!$O65))</f>
        <v/>
      </c>
      <c r="AO65">
        <f>IF('TMP Paste'!$F65="","",IF('TMP Paste'!$P65="",$AO64,'TMP Paste'!$P65))</f>
        <v/>
      </c>
      <c r="AP65">
        <f>IF($AG65="","",LEN($R65))</f>
        <v/>
      </c>
      <c r="AQ65">
        <f>IF($AG65="","",TRIM(IF(COUNTIFS(Calc!$B$2:$B$1601,ROW()-1,Calc!$C$2:$C$1601,"&lt;1")&gt;0,"Ada PO tanpa Koli - cek TMP. ","")&amp;IF(LEN($R65)&gt;500,"R &gt; 500 karakter.","")))</f>
        <v/>
      </c>
    </row>
    <row r="66">
      <c r="A66">
        <f>IF($AG66="","",INDEX('TMP Paste'!$B$2:$B$1601,$AG66))</f>
        <v/>
      </c>
      <c r="B66">
        <f>IF($AG66="","",Config!$B$14)</f>
        <v/>
      </c>
      <c r="C66">
        <f>IF($AG66="","",Config!$B$15)</f>
        <v/>
      </c>
      <c r="D66">
        <f>IF($AG66="","",INDEX('TMP Paste'!$B$2:$B$1601,$AG66))</f>
        <v/>
      </c>
      <c r="E66">
        <f>IF($AG66="","",Config!$B$27)</f>
        <v/>
      </c>
      <c r="F66">
        <f>IF($AG66="","",Config!$B$9)</f>
        <v/>
      </c>
      <c r="G66">
        <f>IF($AG66="","",Config!$B$10)</f>
        <v/>
      </c>
      <c r="H66">
        <f>IF($AG66="","",Config!$B$11)</f>
        <v/>
      </c>
      <c r="I66">
        <f>IF($AG66="","",Config!$B$16)</f>
        <v/>
      </c>
      <c r="J66">
        <f>IF($AG66="","",INDEX('TMP Paste'!$A$2:$A$1601,$AG66))</f>
        <v/>
      </c>
      <c r="K66">
        <f>IF($AG66="","",INDEX('TMP Paste'!$L$2:$L$1601,$AG66))</f>
        <v/>
      </c>
      <c r="L66">
        <f>IF($AG66="","",INDEX('TMP Paste'!$I$2:$I$1601,$AG66))</f>
        <v/>
      </c>
      <c r="M66">
        <f>IF($AG66="","",Config!$B$16)</f>
        <v/>
      </c>
      <c r="N66">
        <f>IF($AG66="","","")</f>
        <v/>
      </c>
      <c r="O66">
        <f>IF($AG66="","",INDEX('TMP Paste'!$K$2:$K$1601,$AG66))</f>
        <v/>
      </c>
      <c r="P66">
        <f>IF($AG66="","","")</f>
        <v/>
      </c>
      <c r="Q66">
        <f>IF($AG66="","",INDEX('TMP Paste'!$J$2:$J$1601,$AG66))</f>
        <v/>
      </c>
      <c r="R66">
        <f>IF($AG66="","",Config!$B$24)</f>
        <v/>
      </c>
      <c r="S66">
        <f>IF($AG66="","",TEXT(Config!$B$4,"yyyy-mm-dd"))</f>
        <v/>
      </c>
      <c r="T66">
        <f>IF($AG66="","",Config!$B$17)</f>
        <v/>
      </c>
      <c r="U66">
        <f>IF($AG66="","",Config!$B$18)</f>
        <v/>
      </c>
      <c r="V66">
        <f>IF($AG66="","",Config!$B$19)</f>
        <v/>
      </c>
      <c r="W66">
        <f>IF($AG66="","",INDEX('TMP Paste'!$C$2:$C$1601,$AG66))</f>
        <v/>
      </c>
      <c r="X66">
        <f>IF($AG66="","",Config!$B$29)</f>
        <v/>
      </c>
      <c r="Y66">
        <f>IF($AH66="","",INDEX(Calc!$I$2:$I$1601,$AH66)&amp;" - "&amp;INDEX(Calc!$D$2:$D$1601,$AH66)&amp;" koli")</f>
        <v/>
      </c>
      <c r="Z66">
        <f>IF($AG66="","",Config!$B$21)</f>
        <v/>
      </c>
      <c r="AA66">
        <f>IF($AG66="","",Config!$B$22)</f>
        <v/>
      </c>
      <c r="AB66">
        <f>IF($AH66="","",INDEX(Calc!$D$2:$D$1601,$AH66))</f>
        <v/>
      </c>
      <c r="AC66">
        <f>IF($AH66="","",INDEX(Calc!$G$2:$G$1601,$AH66))</f>
        <v/>
      </c>
      <c r="AD66">
        <f>IF($AG66="","",Config!$B$23)</f>
        <v/>
      </c>
      <c r="AE66">
        <f>IF($AG66="","",Config!$B$28)</f>
        <v/>
      </c>
      <c r="AG66">
        <f>IFERROR(MATCH(ROW()-1,Calc!$J$2:$J$1601,0),"")</f>
        <v/>
      </c>
      <c r="AH66">
        <f>IFERROR(MATCH(ROW()-1,Calc!$K$2:$K$1601,0),"")</f>
        <v/>
      </c>
      <c r="AI66">
        <f>IF($AG66="","",SUMIF($AG$2:$AG66,$AG66,$AH$2:$AH66))</f>
        <v/>
      </c>
      <c r="AJ66">
        <f>IF('TMP Paste'!$F66="","",IF('TMP Paste'!$B66="",$AJ65,'TMP Paste'!$B66))</f>
        <v/>
      </c>
      <c r="AK66">
        <f>IF('TMP Paste'!$F66="","",N('TMP Paste'!$G66))</f>
        <v/>
      </c>
      <c r="AL66">
        <f>IF('TMP Paste'!$F66="","",IF('TMP Paste'!$M66="",$AL65,'TMP Paste'!$M66))</f>
        <v/>
      </c>
      <c r="AM66">
        <f>IF('TMP Paste'!$F66="","",IF('TMP Paste'!$N66="",$AM65,'TMP Paste'!$N66))</f>
        <v/>
      </c>
      <c r="AN66">
        <f>IF('TMP Paste'!$F66="","",IF('TMP Paste'!$O66="",$AN65,'TMP Paste'!$O66))</f>
        <v/>
      </c>
      <c r="AO66">
        <f>IF('TMP Paste'!$F66="","",IF('TMP Paste'!$P66="",$AO65,'TMP Paste'!$P66))</f>
        <v/>
      </c>
      <c r="AP66">
        <f>IF($AG66="","",LEN($R66))</f>
        <v/>
      </c>
      <c r="AQ66">
        <f>IF($AG66="","",TRIM(IF(COUNTIFS(Calc!$B$2:$B$1601,ROW()-1,Calc!$C$2:$C$1601,"&lt;1")&gt;0,"Ada PO tanpa Koli - cek TMP. ","")&amp;IF(LEN($R66)&gt;500,"R &gt; 500 karakter.","")))</f>
        <v/>
      </c>
    </row>
    <row r="67">
      <c r="A67">
        <f>IF($AG67="","",INDEX('TMP Paste'!$B$2:$B$1601,$AG67))</f>
        <v/>
      </c>
      <c r="B67">
        <f>IF($AG67="","",Config!$B$14)</f>
        <v/>
      </c>
      <c r="C67">
        <f>IF($AG67="","",Config!$B$15)</f>
        <v/>
      </c>
      <c r="D67">
        <f>IF($AG67="","",INDEX('TMP Paste'!$B$2:$B$1601,$AG67))</f>
        <v/>
      </c>
      <c r="E67">
        <f>IF($AG67="","",Config!$B$27)</f>
        <v/>
      </c>
      <c r="F67">
        <f>IF($AG67="","",Config!$B$9)</f>
        <v/>
      </c>
      <c r="G67">
        <f>IF($AG67="","",Config!$B$10)</f>
        <v/>
      </c>
      <c r="H67">
        <f>IF($AG67="","",Config!$B$11)</f>
        <v/>
      </c>
      <c r="I67">
        <f>IF($AG67="","",Config!$B$16)</f>
        <v/>
      </c>
      <c r="J67">
        <f>IF($AG67="","",INDEX('TMP Paste'!$A$2:$A$1601,$AG67))</f>
        <v/>
      </c>
      <c r="K67">
        <f>IF($AG67="","",INDEX('TMP Paste'!$L$2:$L$1601,$AG67))</f>
        <v/>
      </c>
      <c r="L67">
        <f>IF($AG67="","",INDEX('TMP Paste'!$I$2:$I$1601,$AG67))</f>
        <v/>
      </c>
      <c r="M67">
        <f>IF($AG67="","",Config!$B$16)</f>
        <v/>
      </c>
      <c r="N67">
        <f>IF($AG67="","","")</f>
        <v/>
      </c>
      <c r="O67">
        <f>IF($AG67="","",INDEX('TMP Paste'!$K$2:$K$1601,$AG67))</f>
        <v/>
      </c>
      <c r="P67">
        <f>IF($AG67="","","")</f>
        <v/>
      </c>
      <c r="Q67">
        <f>IF($AG67="","",INDEX('TMP Paste'!$J$2:$J$1601,$AG67))</f>
        <v/>
      </c>
      <c r="R67">
        <f>IF($AG67="","",Config!$B$24)</f>
        <v/>
      </c>
      <c r="S67">
        <f>IF($AG67="","",TEXT(Config!$B$4,"yyyy-mm-dd"))</f>
        <v/>
      </c>
      <c r="T67">
        <f>IF($AG67="","",Config!$B$17)</f>
        <v/>
      </c>
      <c r="U67">
        <f>IF($AG67="","",Config!$B$18)</f>
        <v/>
      </c>
      <c r="V67">
        <f>IF($AG67="","",Config!$B$19)</f>
        <v/>
      </c>
      <c r="W67">
        <f>IF($AG67="","",INDEX('TMP Paste'!$C$2:$C$1601,$AG67))</f>
        <v/>
      </c>
      <c r="X67">
        <f>IF($AG67="","",Config!$B$29)</f>
        <v/>
      </c>
      <c r="Y67">
        <f>IF($AH67="","",INDEX(Calc!$I$2:$I$1601,$AH67)&amp;" - "&amp;INDEX(Calc!$D$2:$D$1601,$AH67)&amp;" koli")</f>
        <v/>
      </c>
      <c r="Z67">
        <f>IF($AG67="","",Config!$B$21)</f>
        <v/>
      </c>
      <c r="AA67">
        <f>IF($AG67="","",Config!$B$22)</f>
        <v/>
      </c>
      <c r="AB67">
        <f>IF($AH67="","",INDEX(Calc!$D$2:$D$1601,$AH67))</f>
        <v/>
      </c>
      <c r="AC67">
        <f>IF($AH67="","",INDEX(Calc!$G$2:$G$1601,$AH67))</f>
        <v/>
      </c>
      <c r="AD67">
        <f>IF($AG67="","",Config!$B$23)</f>
        <v/>
      </c>
      <c r="AE67">
        <f>IF($AG67="","",Config!$B$28)</f>
        <v/>
      </c>
      <c r="AG67">
        <f>IFERROR(MATCH(ROW()-1,Calc!$J$2:$J$1601,0),"")</f>
        <v/>
      </c>
      <c r="AH67">
        <f>IFERROR(MATCH(ROW()-1,Calc!$K$2:$K$1601,0),"")</f>
        <v/>
      </c>
      <c r="AI67">
        <f>IF($AG67="","",SUMIF($AG$2:$AG67,$AG67,$AH$2:$AH67))</f>
        <v/>
      </c>
      <c r="AJ67">
        <f>IF('TMP Paste'!$F67="","",IF('TMP Paste'!$B67="",$AJ66,'TMP Paste'!$B67))</f>
        <v/>
      </c>
      <c r="AK67">
        <f>IF('TMP Paste'!$F67="","",N('TMP Paste'!$G67))</f>
        <v/>
      </c>
      <c r="AL67">
        <f>IF('TMP Paste'!$F67="","",IF('TMP Paste'!$M67="",$AL66,'TMP Paste'!$M67))</f>
        <v/>
      </c>
      <c r="AM67">
        <f>IF('TMP Paste'!$F67="","",IF('TMP Paste'!$N67="",$AM66,'TMP Paste'!$N67))</f>
        <v/>
      </c>
      <c r="AN67">
        <f>IF('TMP Paste'!$F67="","",IF('TMP Paste'!$O67="",$AN66,'TMP Paste'!$O67))</f>
        <v/>
      </c>
      <c r="AO67">
        <f>IF('TMP Paste'!$F67="","",IF('TMP Paste'!$P67="",$AO66,'TMP Paste'!$P67))</f>
        <v/>
      </c>
      <c r="AP67">
        <f>IF($AG67="","",LEN($R67))</f>
        <v/>
      </c>
      <c r="AQ67">
        <f>IF($AG67="","",TRIM(IF(COUNTIFS(Calc!$B$2:$B$1601,ROW()-1,Calc!$C$2:$C$1601,"&lt;1")&gt;0,"Ada PO tanpa Koli - cek TMP. ","")&amp;IF(LEN($R67)&gt;500,"R &gt; 500 karakter.","")))</f>
        <v/>
      </c>
    </row>
    <row r="68">
      <c r="A68">
        <f>IF($AG68="","",INDEX('TMP Paste'!$B$2:$B$1601,$AG68))</f>
        <v/>
      </c>
      <c r="B68">
        <f>IF($AG68="","",Config!$B$14)</f>
        <v/>
      </c>
      <c r="C68">
        <f>IF($AG68="","",Config!$B$15)</f>
        <v/>
      </c>
      <c r="D68">
        <f>IF($AG68="","",INDEX('TMP Paste'!$B$2:$B$1601,$AG68))</f>
        <v/>
      </c>
      <c r="E68">
        <f>IF($AG68="","",Config!$B$27)</f>
        <v/>
      </c>
      <c r="F68">
        <f>IF($AG68="","",Config!$B$9)</f>
        <v/>
      </c>
      <c r="G68">
        <f>IF($AG68="","",Config!$B$10)</f>
        <v/>
      </c>
      <c r="H68">
        <f>IF($AG68="","",Config!$B$11)</f>
        <v/>
      </c>
      <c r="I68">
        <f>IF($AG68="","",Config!$B$16)</f>
        <v/>
      </c>
      <c r="J68">
        <f>IF($AG68="","",INDEX('TMP Paste'!$A$2:$A$1601,$AG68))</f>
        <v/>
      </c>
      <c r="K68">
        <f>IF($AG68="","",INDEX('TMP Paste'!$L$2:$L$1601,$AG68))</f>
        <v/>
      </c>
      <c r="L68">
        <f>IF($AG68="","",INDEX('TMP Paste'!$I$2:$I$1601,$AG68))</f>
        <v/>
      </c>
      <c r="M68">
        <f>IF($AG68="","",Config!$B$16)</f>
        <v/>
      </c>
      <c r="N68">
        <f>IF($AG68="","","")</f>
        <v/>
      </c>
      <c r="O68">
        <f>IF($AG68="","",INDEX('TMP Paste'!$K$2:$K$1601,$AG68))</f>
        <v/>
      </c>
      <c r="P68">
        <f>IF($AG68="","","")</f>
        <v/>
      </c>
      <c r="Q68">
        <f>IF($AG68="","",INDEX('TMP Paste'!$J$2:$J$1601,$AG68))</f>
        <v/>
      </c>
      <c r="R68">
        <f>IF($AG68="","",Config!$B$24)</f>
        <v/>
      </c>
      <c r="S68">
        <f>IF($AG68="","",TEXT(Config!$B$4,"yyyy-mm-dd"))</f>
        <v/>
      </c>
      <c r="T68">
        <f>IF($AG68="","",Config!$B$17)</f>
        <v/>
      </c>
      <c r="U68">
        <f>IF($AG68="","",Config!$B$18)</f>
        <v/>
      </c>
      <c r="V68">
        <f>IF($AG68="","",Config!$B$19)</f>
        <v/>
      </c>
      <c r="W68">
        <f>IF($AG68="","",INDEX('TMP Paste'!$C$2:$C$1601,$AG68))</f>
        <v/>
      </c>
      <c r="X68">
        <f>IF($AG68="","",Config!$B$29)</f>
        <v/>
      </c>
      <c r="Y68">
        <f>IF($AH68="","",INDEX(Calc!$I$2:$I$1601,$AH68)&amp;" - "&amp;INDEX(Calc!$D$2:$D$1601,$AH68)&amp;" koli")</f>
        <v/>
      </c>
      <c r="Z68">
        <f>IF($AG68="","",Config!$B$21)</f>
        <v/>
      </c>
      <c r="AA68">
        <f>IF($AG68="","",Config!$B$22)</f>
        <v/>
      </c>
      <c r="AB68">
        <f>IF($AH68="","",INDEX(Calc!$D$2:$D$1601,$AH68))</f>
        <v/>
      </c>
      <c r="AC68">
        <f>IF($AH68="","",INDEX(Calc!$G$2:$G$1601,$AH68))</f>
        <v/>
      </c>
      <c r="AD68">
        <f>IF($AG68="","",Config!$B$23)</f>
        <v/>
      </c>
      <c r="AE68">
        <f>IF($AG68="","",Config!$B$28)</f>
        <v/>
      </c>
      <c r="AG68">
        <f>IFERROR(MATCH(ROW()-1,Calc!$J$2:$J$1601,0),"")</f>
        <v/>
      </c>
      <c r="AH68">
        <f>IFERROR(MATCH(ROW()-1,Calc!$K$2:$K$1601,0),"")</f>
        <v/>
      </c>
      <c r="AI68">
        <f>IF($AG68="","",SUMIF($AG$2:$AG68,$AG68,$AH$2:$AH68))</f>
        <v/>
      </c>
      <c r="AJ68">
        <f>IF('TMP Paste'!$F68="","",IF('TMP Paste'!$B68="",$AJ67,'TMP Paste'!$B68))</f>
        <v/>
      </c>
      <c r="AK68">
        <f>IF('TMP Paste'!$F68="","",N('TMP Paste'!$G68))</f>
        <v/>
      </c>
      <c r="AL68">
        <f>IF('TMP Paste'!$F68="","",IF('TMP Paste'!$M68="",$AL67,'TMP Paste'!$M68))</f>
        <v/>
      </c>
      <c r="AM68">
        <f>IF('TMP Paste'!$F68="","",IF('TMP Paste'!$N68="",$AM67,'TMP Paste'!$N68))</f>
        <v/>
      </c>
      <c r="AN68">
        <f>IF('TMP Paste'!$F68="","",IF('TMP Paste'!$O68="",$AN67,'TMP Paste'!$O68))</f>
        <v/>
      </c>
      <c r="AO68">
        <f>IF('TMP Paste'!$F68="","",IF('TMP Paste'!$P68="",$AO67,'TMP Paste'!$P68))</f>
        <v/>
      </c>
      <c r="AP68">
        <f>IF($AG68="","",LEN($R68))</f>
        <v/>
      </c>
      <c r="AQ68">
        <f>IF($AG68="","",TRIM(IF(COUNTIFS(Calc!$B$2:$B$1601,ROW()-1,Calc!$C$2:$C$1601,"&lt;1")&gt;0,"Ada PO tanpa Koli - cek TMP. ","")&amp;IF(LEN($R68)&gt;500,"R &gt; 500 karakter.","")))</f>
        <v/>
      </c>
    </row>
    <row r="69">
      <c r="A69">
        <f>IF($AG69="","",INDEX('TMP Paste'!$B$2:$B$1601,$AG69))</f>
        <v/>
      </c>
      <c r="B69">
        <f>IF($AG69="","",Config!$B$14)</f>
        <v/>
      </c>
      <c r="C69">
        <f>IF($AG69="","",Config!$B$15)</f>
        <v/>
      </c>
      <c r="D69">
        <f>IF($AG69="","",INDEX('TMP Paste'!$B$2:$B$1601,$AG69))</f>
        <v/>
      </c>
      <c r="E69">
        <f>IF($AG69="","",Config!$B$27)</f>
        <v/>
      </c>
      <c r="F69">
        <f>IF($AG69="","",Config!$B$9)</f>
        <v/>
      </c>
      <c r="G69">
        <f>IF($AG69="","",Config!$B$10)</f>
        <v/>
      </c>
      <c r="H69">
        <f>IF($AG69="","",Config!$B$11)</f>
        <v/>
      </c>
      <c r="I69">
        <f>IF($AG69="","",Config!$B$16)</f>
        <v/>
      </c>
      <c r="J69">
        <f>IF($AG69="","",INDEX('TMP Paste'!$A$2:$A$1601,$AG69))</f>
        <v/>
      </c>
      <c r="K69">
        <f>IF($AG69="","",INDEX('TMP Paste'!$L$2:$L$1601,$AG69))</f>
        <v/>
      </c>
      <c r="L69">
        <f>IF($AG69="","",INDEX('TMP Paste'!$I$2:$I$1601,$AG69))</f>
        <v/>
      </c>
      <c r="M69">
        <f>IF($AG69="","",Config!$B$16)</f>
        <v/>
      </c>
      <c r="N69">
        <f>IF($AG69="","","")</f>
        <v/>
      </c>
      <c r="O69">
        <f>IF($AG69="","",INDEX('TMP Paste'!$K$2:$K$1601,$AG69))</f>
        <v/>
      </c>
      <c r="P69">
        <f>IF($AG69="","","")</f>
        <v/>
      </c>
      <c r="Q69">
        <f>IF($AG69="","",INDEX('TMP Paste'!$J$2:$J$1601,$AG69))</f>
        <v/>
      </c>
      <c r="R69">
        <f>IF($AG69="","",Config!$B$24)</f>
        <v/>
      </c>
      <c r="S69">
        <f>IF($AG69="","",TEXT(Config!$B$4,"yyyy-mm-dd"))</f>
        <v/>
      </c>
      <c r="T69">
        <f>IF($AG69="","",Config!$B$17)</f>
        <v/>
      </c>
      <c r="U69">
        <f>IF($AG69="","",Config!$B$18)</f>
        <v/>
      </c>
      <c r="V69">
        <f>IF($AG69="","",Config!$B$19)</f>
        <v/>
      </c>
      <c r="W69">
        <f>IF($AG69="","",INDEX('TMP Paste'!$C$2:$C$1601,$AG69))</f>
        <v/>
      </c>
      <c r="X69">
        <f>IF($AG69="","",Config!$B$29)</f>
        <v/>
      </c>
      <c r="Y69">
        <f>IF($AH69="","",INDEX(Calc!$I$2:$I$1601,$AH69)&amp;" - "&amp;INDEX(Calc!$D$2:$D$1601,$AH69)&amp;" koli")</f>
        <v/>
      </c>
      <c r="Z69">
        <f>IF($AG69="","",Config!$B$21)</f>
        <v/>
      </c>
      <c r="AA69">
        <f>IF($AG69="","",Config!$B$22)</f>
        <v/>
      </c>
      <c r="AB69">
        <f>IF($AH69="","",INDEX(Calc!$D$2:$D$1601,$AH69))</f>
        <v/>
      </c>
      <c r="AC69">
        <f>IF($AH69="","",INDEX(Calc!$G$2:$G$1601,$AH69))</f>
        <v/>
      </c>
      <c r="AD69">
        <f>IF($AG69="","",Config!$B$23)</f>
        <v/>
      </c>
      <c r="AE69">
        <f>IF($AG69="","",Config!$B$28)</f>
        <v/>
      </c>
      <c r="AG69">
        <f>IFERROR(MATCH(ROW()-1,Calc!$J$2:$J$1601,0),"")</f>
        <v/>
      </c>
      <c r="AH69">
        <f>IFERROR(MATCH(ROW()-1,Calc!$K$2:$K$1601,0),"")</f>
        <v/>
      </c>
      <c r="AI69">
        <f>IF($AG69="","",SUMIF($AG$2:$AG69,$AG69,$AH$2:$AH69))</f>
        <v/>
      </c>
      <c r="AJ69">
        <f>IF('TMP Paste'!$F69="","",IF('TMP Paste'!$B69="",$AJ68,'TMP Paste'!$B69))</f>
        <v/>
      </c>
      <c r="AK69">
        <f>IF('TMP Paste'!$F69="","",N('TMP Paste'!$G69))</f>
        <v/>
      </c>
      <c r="AL69">
        <f>IF('TMP Paste'!$F69="","",IF('TMP Paste'!$M69="",$AL68,'TMP Paste'!$M69))</f>
        <v/>
      </c>
      <c r="AM69">
        <f>IF('TMP Paste'!$F69="","",IF('TMP Paste'!$N69="",$AM68,'TMP Paste'!$N69))</f>
        <v/>
      </c>
      <c r="AN69">
        <f>IF('TMP Paste'!$F69="","",IF('TMP Paste'!$O69="",$AN68,'TMP Paste'!$O69))</f>
        <v/>
      </c>
      <c r="AO69">
        <f>IF('TMP Paste'!$F69="","",IF('TMP Paste'!$P69="",$AO68,'TMP Paste'!$P69))</f>
        <v/>
      </c>
      <c r="AP69">
        <f>IF($AG69="","",LEN($R69))</f>
        <v/>
      </c>
      <c r="AQ69">
        <f>IF($AG69="","",TRIM(IF(COUNTIFS(Calc!$B$2:$B$1601,ROW()-1,Calc!$C$2:$C$1601,"&lt;1")&gt;0,"Ada PO tanpa Koli - cek TMP. ","")&amp;IF(LEN($R69)&gt;500,"R &gt; 500 karakter.","")))</f>
        <v/>
      </c>
    </row>
    <row r="70">
      <c r="A70">
        <f>IF($AG70="","",INDEX('TMP Paste'!$B$2:$B$1601,$AG70))</f>
        <v/>
      </c>
      <c r="B70">
        <f>IF($AG70="","",Config!$B$14)</f>
        <v/>
      </c>
      <c r="C70">
        <f>IF($AG70="","",Config!$B$15)</f>
        <v/>
      </c>
      <c r="D70">
        <f>IF($AG70="","",INDEX('TMP Paste'!$B$2:$B$1601,$AG70))</f>
        <v/>
      </c>
      <c r="E70">
        <f>IF($AG70="","",Config!$B$27)</f>
        <v/>
      </c>
      <c r="F70">
        <f>IF($AG70="","",Config!$B$9)</f>
        <v/>
      </c>
      <c r="G70">
        <f>IF($AG70="","",Config!$B$10)</f>
        <v/>
      </c>
      <c r="H70">
        <f>IF($AG70="","",Config!$B$11)</f>
        <v/>
      </c>
      <c r="I70">
        <f>IF($AG70="","",Config!$B$16)</f>
        <v/>
      </c>
      <c r="J70">
        <f>IF($AG70="","",INDEX('TMP Paste'!$A$2:$A$1601,$AG70))</f>
        <v/>
      </c>
      <c r="K70">
        <f>IF($AG70="","",INDEX('TMP Paste'!$L$2:$L$1601,$AG70))</f>
        <v/>
      </c>
      <c r="L70">
        <f>IF($AG70="","",INDEX('TMP Paste'!$I$2:$I$1601,$AG70))</f>
        <v/>
      </c>
      <c r="M70">
        <f>IF($AG70="","",Config!$B$16)</f>
        <v/>
      </c>
      <c r="N70">
        <f>IF($AG70="","","")</f>
        <v/>
      </c>
      <c r="O70">
        <f>IF($AG70="","",INDEX('TMP Paste'!$K$2:$K$1601,$AG70))</f>
        <v/>
      </c>
      <c r="P70">
        <f>IF($AG70="","","")</f>
        <v/>
      </c>
      <c r="Q70">
        <f>IF($AG70="","",INDEX('TMP Paste'!$J$2:$J$1601,$AG70))</f>
        <v/>
      </c>
      <c r="R70">
        <f>IF($AG70="","",Config!$B$24)</f>
        <v/>
      </c>
      <c r="S70">
        <f>IF($AG70="","",TEXT(Config!$B$4,"yyyy-mm-dd"))</f>
        <v/>
      </c>
      <c r="T70">
        <f>IF($AG70="","",Config!$B$17)</f>
        <v/>
      </c>
      <c r="U70">
        <f>IF($AG70="","",Config!$B$18)</f>
        <v/>
      </c>
      <c r="V70">
        <f>IF($AG70="","",Config!$B$19)</f>
        <v/>
      </c>
      <c r="W70">
        <f>IF($AG70="","",INDEX('TMP Paste'!$C$2:$C$1601,$AG70))</f>
        <v/>
      </c>
      <c r="X70">
        <f>IF($AG70="","",Config!$B$29)</f>
        <v/>
      </c>
      <c r="Y70">
        <f>IF($AH70="","",INDEX(Calc!$I$2:$I$1601,$AH70)&amp;" - "&amp;INDEX(Calc!$D$2:$D$1601,$AH70)&amp;" koli")</f>
        <v/>
      </c>
      <c r="Z70">
        <f>IF($AG70="","",Config!$B$21)</f>
        <v/>
      </c>
      <c r="AA70">
        <f>IF($AG70="","",Config!$B$22)</f>
        <v/>
      </c>
      <c r="AB70">
        <f>IF($AH70="","",INDEX(Calc!$D$2:$D$1601,$AH70))</f>
        <v/>
      </c>
      <c r="AC70">
        <f>IF($AH70="","",INDEX(Calc!$G$2:$G$1601,$AH70))</f>
        <v/>
      </c>
      <c r="AD70">
        <f>IF($AG70="","",Config!$B$23)</f>
        <v/>
      </c>
      <c r="AE70">
        <f>IF($AG70="","",Config!$B$28)</f>
        <v/>
      </c>
      <c r="AG70">
        <f>IFERROR(MATCH(ROW()-1,Calc!$J$2:$J$1601,0),"")</f>
        <v/>
      </c>
      <c r="AH70">
        <f>IFERROR(MATCH(ROW()-1,Calc!$K$2:$K$1601,0),"")</f>
        <v/>
      </c>
      <c r="AI70">
        <f>IF($AG70="","",SUMIF($AG$2:$AG70,$AG70,$AH$2:$AH70))</f>
        <v/>
      </c>
      <c r="AJ70">
        <f>IF('TMP Paste'!$F70="","",IF('TMP Paste'!$B70="",$AJ69,'TMP Paste'!$B70))</f>
        <v/>
      </c>
      <c r="AK70">
        <f>IF('TMP Paste'!$F70="","",N('TMP Paste'!$G70))</f>
        <v/>
      </c>
      <c r="AL70">
        <f>IF('TMP Paste'!$F70="","",IF('TMP Paste'!$M70="",$AL69,'TMP Paste'!$M70))</f>
        <v/>
      </c>
      <c r="AM70">
        <f>IF('TMP Paste'!$F70="","",IF('TMP Paste'!$N70="",$AM69,'TMP Paste'!$N70))</f>
        <v/>
      </c>
      <c r="AN70">
        <f>IF('TMP Paste'!$F70="","",IF('TMP Paste'!$O70="",$AN69,'TMP Paste'!$O70))</f>
        <v/>
      </c>
      <c r="AO70">
        <f>IF('TMP Paste'!$F70="","",IF('TMP Paste'!$P70="",$AO69,'TMP Paste'!$P70))</f>
        <v/>
      </c>
      <c r="AP70">
        <f>IF($AG70="","",LEN($R70))</f>
        <v/>
      </c>
      <c r="AQ70">
        <f>IF($AG70="","",TRIM(IF(COUNTIFS(Calc!$B$2:$B$1601,ROW()-1,Calc!$C$2:$C$1601,"&lt;1")&gt;0,"Ada PO tanpa Koli - cek TMP. ","")&amp;IF(LEN($R70)&gt;500,"R &gt; 500 karakter.","")))</f>
        <v/>
      </c>
    </row>
    <row r="71">
      <c r="A71">
        <f>IF($AG71="","",INDEX('TMP Paste'!$B$2:$B$1601,$AG71))</f>
        <v/>
      </c>
      <c r="B71">
        <f>IF($AG71="","",Config!$B$14)</f>
        <v/>
      </c>
      <c r="C71">
        <f>IF($AG71="","",Config!$B$15)</f>
        <v/>
      </c>
      <c r="D71">
        <f>IF($AG71="","",INDEX('TMP Paste'!$B$2:$B$1601,$AG71))</f>
        <v/>
      </c>
      <c r="E71">
        <f>IF($AG71="","",Config!$B$27)</f>
        <v/>
      </c>
      <c r="F71">
        <f>IF($AG71="","",Config!$B$9)</f>
        <v/>
      </c>
      <c r="G71">
        <f>IF($AG71="","",Config!$B$10)</f>
        <v/>
      </c>
      <c r="H71">
        <f>IF($AG71="","",Config!$B$11)</f>
        <v/>
      </c>
      <c r="I71">
        <f>IF($AG71="","",Config!$B$16)</f>
        <v/>
      </c>
      <c r="J71">
        <f>IF($AG71="","",INDEX('TMP Paste'!$A$2:$A$1601,$AG71))</f>
        <v/>
      </c>
      <c r="K71">
        <f>IF($AG71="","",INDEX('TMP Paste'!$L$2:$L$1601,$AG71))</f>
        <v/>
      </c>
      <c r="L71">
        <f>IF($AG71="","",INDEX('TMP Paste'!$I$2:$I$1601,$AG71))</f>
        <v/>
      </c>
      <c r="M71">
        <f>IF($AG71="","",Config!$B$16)</f>
        <v/>
      </c>
      <c r="N71">
        <f>IF($AG71="","","")</f>
        <v/>
      </c>
      <c r="O71">
        <f>IF($AG71="","",INDEX('TMP Paste'!$K$2:$K$1601,$AG71))</f>
        <v/>
      </c>
      <c r="P71">
        <f>IF($AG71="","","")</f>
        <v/>
      </c>
      <c r="Q71">
        <f>IF($AG71="","",INDEX('TMP Paste'!$J$2:$J$1601,$AG71))</f>
        <v/>
      </c>
      <c r="R71">
        <f>IF($AG71="","",Config!$B$24)</f>
        <v/>
      </c>
      <c r="S71">
        <f>IF($AG71="","",TEXT(Config!$B$4,"yyyy-mm-dd"))</f>
        <v/>
      </c>
      <c r="T71">
        <f>IF($AG71="","",Config!$B$17)</f>
        <v/>
      </c>
      <c r="U71">
        <f>IF($AG71="","",Config!$B$18)</f>
        <v/>
      </c>
      <c r="V71">
        <f>IF($AG71="","",Config!$B$19)</f>
        <v/>
      </c>
      <c r="W71">
        <f>IF($AG71="","",INDEX('TMP Paste'!$C$2:$C$1601,$AG71))</f>
        <v/>
      </c>
      <c r="X71">
        <f>IF($AG71="","",Config!$B$29)</f>
        <v/>
      </c>
      <c r="Y71">
        <f>IF($AH71="","",INDEX(Calc!$I$2:$I$1601,$AH71)&amp;" - "&amp;INDEX(Calc!$D$2:$D$1601,$AH71)&amp;" koli")</f>
        <v/>
      </c>
      <c r="Z71">
        <f>IF($AG71="","",Config!$B$21)</f>
        <v/>
      </c>
      <c r="AA71">
        <f>IF($AG71="","",Config!$B$22)</f>
        <v/>
      </c>
      <c r="AB71">
        <f>IF($AH71="","",INDEX(Calc!$D$2:$D$1601,$AH71))</f>
        <v/>
      </c>
      <c r="AC71">
        <f>IF($AH71="","",INDEX(Calc!$G$2:$G$1601,$AH71))</f>
        <v/>
      </c>
      <c r="AD71">
        <f>IF($AG71="","",Config!$B$23)</f>
        <v/>
      </c>
      <c r="AE71">
        <f>IF($AG71="","",Config!$B$28)</f>
        <v/>
      </c>
      <c r="AG71">
        <f>IFERROR(MATCH(ROW()-1,Calc!$J$2:$J$1601,0),"")</f>
        <v/>
      </c>
      <c r="AH71">
        <f>IFERROR(MATCH(ROW()-1,Calc!$K$2:$K$1601,0),"")</f>
        <v/>
      </c>
      <c r="AI71">
        <f>IF($AG71="","",SUMIF($AG$2:$AG71,$AG71,$AH$2:$AH71))</f>
        <v/>
      </c>
      <c r="AJ71">
        <f>IF('TMP Paste'!$F71="","",IF('TMP Paste'!$B71="",$AJ70,'TMP Paste'!$B71))</f>
        <v/>
      </c>
      <c r="AK71">
        <f>IF('TMP Paste'!$F71="","",N('TMP Paste'!$G71))</f>
        <v/>
      </c>
      <c r="AL71">
        <f>IF('TMP Paste'!$F71="","",IF('TMP Paste'!$M71="",$AL70,'TMP Paste'!$M71))</f>
        <v/>
      </c>
      <c r="AM71">
        <f>IF('TMP Paste'!$F71="","",IF('TMP Paste'!$N71="",$AM70,'TMP Paste'!$N71))</f>
        <v/>
      </c>
      <c r="AN71">
        <f>IF('TMP Paste'!$F71="","",IF('TMP Paste'!$O71="",$AN70,'TMP Paste'!$O71))</f>
        <v/>
      </c>
      <c r="AO71">
        <f>IF('TMP Paste'!$F71="","",IF('TMP Paste'!$P71="",$AO70,'TMP Paste'!$P71))</f>
        <v/>
      </c>
      <c r="AP71">
        <f>IF($AG71="","",LEN($R71))</f>
        <v/>
      </c>
      <c r="AQ71">
        <f>IF($AG71="","",TRIM(IF(COUNTIFS(Calc!$B$2:$B$1601,ROW()-1,Calc!$C$2:$C$1601,"&lt;1")&gt;0,"Ada PO tanpa Koli - cek TMP. ","")&amp;IF(LEN($R71)&gt;500,"R &gt; 500 karakter.","")))</f>
        <v/>
      </c>
    </row>
    <row r="72">
      <c r="A72">
        <f>IF($AG72="","",INDEX('TMP Paste'!$B$2:$B$1601,$AG72))</f>
        <v/>
      </c>
      <c r="B72">
        <f>IF($AG72="","",Config!$B$14)</f>
        <v/>
      </c>
      <c r="C72">
        <f>IF($AG72="","",Config!$B$15)</f>
        <v/>
      </c>
      <c r="D72">
        <f>IF($AG72="","",INDEX('TMP Paste'!$B$2:$B$1601,$AG72))</f>
        <v/>
      </c>
      <c r="E72">
        <f>IF($AG72="","",Config!$B$27)</f>
        <v/>
      </c>
      <c r="F72">
        <f>IF($AG72="","",Config!$B$9)</f>
        <v/>
      </c>
      <c r="G72">
        <f>IF($AG72="","",Config!$B$10)</f>
        <v/>
      </c>
      <c r="H72">
        <f>IF($AG72="","",Config!$B$11)</f>
        <v/>
      </c>
      <c r="I72">
        <f>IF($AG72="","",Config!$B$16)</f>
        <v/>
      </c>
      <c r="J72">
        <f>IF($AG72="","",INDEX('TMP Paste'!$A$2:$A$1601,$AG72))</f>
        <v/>
      </c>
      <c r="K72">
        <f>IF($AG72="","",INDEX('TMP Paste'!$L$2:$L$1601,$AG72))</f>
        <v/>
      </c>
      <c r="L72">
        <f>IF($AG72="","",INDEX('TMP Paste'!$I$2:$I$1601,$AG72))</f>
        <v/>
      </c>
      <c r="M72">
        <f>IF($AG72="","",Config!$B$16)</f>
        <v/>
      </c>
      <c r="N72">
        <f>IF($AG72="","","")</f>
        <v/>
      </c>
      <c r="O72">
        <f>IF($AG72="","",INDEX('TMP Paste'!$K$2:$K$1601,$AG72))</f>
        <v/>
      </c>
      <c r="P72">
        <f>IF($AG72="","","")</f>
        <v/>
      </c>
      <c r="Q72">
        <f>IF($AG72="","",INDEX('TMP Paste'!$J$2:$J$1601,$AG72))</f>
        <v/>
      </c>
      <c r="R72">
        <f>IF($AG72="","",Config!$B$24)</f>
        <v/>
      </c>
      <c r="S72">
        <f>IF($AG72="","",TEXT(Config!$B$4,"yyyy-mm-dd"))</f>
        <v/>
      </c>
      <c r="T72">
        <f>IF($AG72="","",Config!$B$17)</f>
        <v/>
      </c>
      <c r="U72">
        <f>IF($AG72="","",Config!$B$18)</f>
        <v/>
      </c>
      <c r="V72">
        <f>IF($AG72="","",Config!$B$19)</f>
        <v/>
      </c>
      <c r="W72">
        <f>IF($AG72="","",INDEX('TMP Paste'!$C$2:$C$1601,$AG72))</f>
        <v/>
      </c>
      <c r="X72">
        <f>IF($AG72="","",Config!$B$29)</f>
        <v/>
      </c>
      <c r="Y72">
        <f>IF($AH72="","",INDEX(Calc!$I$2:$I$1601,$AH72)&amp;" - "&amp;INDEX(Calc!$D$2:$D$1601,$AH72)&amp;" koli")</f>
        <v/>
      </c>
      <c r="Z72">
        <f>IF($AG72="","",Config!$B$21)</f>
        <v/>
      </c>
      <c r="AA72">
        <f>IF($AG72="","",Config!$B$22)</f>
        <v/>
      </c>
      <c r="AB72">
        <f>IF($AH72="","",INDEX(Calc!$D$2:$D$1601,$AH72))</f>
        <v/>
      </c>
      <c r="AC72">
        <f>IF($AH72="","",INDEX(Calc!$G$2:$G$1601,$AH72))</f>
        <v/>
      </c>
      <c r="AD72">
        <f>IF($AG72="","",Config!$B$23)</f>
        <v/>
      </c>
      <c r="AE72">
        <f>IF($AG72="","",Config!$B$28)</f>
        <v/>
      </c>
      <c r="AG72">
        <f>IFERROR(MATCH(ROW()-1,Calc!$J$2:$J$1601,0),"")</f>
        <v/>
      </c>
      <c r="AH72">
        <f>IFERROR(MATCH(ROW()-1,Calc!$K$2:$K$1601,0),"")</f>
        <v/>
      </c>
      <c r="AI72">
        <f>IF($AG72="","",SUMIF($AG$2:$AG72,$AG72,$AH$2:$AH72))</f>
        <v/>
      </c>
      <c r="AJ72">
        <f>IF('TMP Paste'!$F72="","",IF('TMP Paste'!$B72="",$AJ71,'TMP Paste'!$B72))</f>
        <v/>
      </c>
      <c r="AK72">
        <f>IF('TMP Paste'!$F72="","",N('TMP Paste'!$G72))</f>
        <v/>
      </c>
      <c r="AL72">
        <f>IF('TMP Paste'!$F72="","",IF('TMP Paste'!$M72="",$AL71,'TMP Paste'!$M72))</f>
        <v/>
      </c>
      <c r="AM72">
        <f>IF('TMP Paste'!$F72="","",IF('TMP Paste'!$N72="",$AM71,'TMP Paste'!$N72))</f>
        <v/>
      </c>
      <c r="AN72">
        <f>IF('TMP Paste'!$F72="","",IF('TMP Paste'!$O72="",$AN71,'TMP Paste'!$O72))</f>
        <v/>
      </c>
      <c r="AO72">
        <f>IF('TMP Paste'!$F72="","",IF('TMP Paste'!$P72="",$AO71,'TMP Paste'!$P72))</f>
        <v/>
      </c>
      <c r="AP72">
        <f>IF($AG72="","",LEN($R72))</f>
        <v/>
      </c>
      <c r="AQ72">
        <f>IF($AG72="","",TRIM(IF(COUNTIFS(Calc!$B$2:$B$1601,ROW()-1,Calc!$C$2:$C$1601,"&lt;1")&gt;0,"Ada PO tanpa Koli - cek TMP. ","")&amp;IF(LEN($R72)&gt;500,"R &gt; 500 karakter.","")))</f>
        <v/>
      </c>
    </row>
    <row r="73">
      <c r="A73">
        <f>IF($AG73="","",INDEX('TMP Paste'!$B$2:$B$1601,$AG73))</f>
        <v/>
      </c>
      <c r="B73">
        <f>IF($AG73="","",Config!$B$14)</f>
        <v/>
      </c>
      <c r="C73">
        <f>IF($AG73="","",Config!$B$15)</f>
        <v/>
      </c>
      <c r="D73">
        <f>IF($AG73="","",INDEX('TMP Paste'!$B$2:$B$1601,$AG73))</f>
        <v/>
      </c>
      <c r="E73">
        <f>IF($AG73="","",Config!$B$27)</f>
        <v/>
      </c>
      <c r="F73">
        <f>IF($AG73="","",Config!$B$9)</f>
        <v/>
      </c>
      <c r="G73">
        <f>IF($AG73="","",Config!$B$10)</f>
        <v/>
      </c>
      <c r="H73">
        <f>IF($AG73="","",Config!$B$11)</f>
        <v/>
      </c>
      <c r="I73">
        <f>IF($AG73="","",Config!$B$16)</f>
        <v/>
      </c>
      <c r="J73">
        <f>IF($AG73="","",INDEX('TMP Paste'!$A$2:$A$1601,$AG73))</f>
        <v/>
      </c>
      <c r="K73">
        <f>IF($AG73="","",INDEX('TMP Paste'!$L$2:$L$1601,$AG73))</f>
        <v/>
      </c>
      <c r="L73">
        <f>IF($AG73="","",INDEX('TMP Paste'!$I$2:$I$1601,$AG73))</f>
        <v/>
      </c>
      <c r="M73">
        <f>IF($AG73="","",Config!$B$16)</f>
        <v/>
      </c>
      <c r="N73">
        <f>IF($AG73="","","")</f>
        <v/>
      </c>
      <c r="O73">
        <f>IF($AG73="","",INDEX('TMP Paste'!$K$2:$K$1601,$AG73))</f>
        <v/>
      </c>
      <c r="P73">
        <f>IF($AG73="","","")</f>
        <v/>
      </c>
      <c r="Q73">
        <f>IF($AG73="","",INDEX('TMP Paste'!$J$2:$J$1601,$AG73))</f>
        <v/>
      </c>
      <c r="R73">
        <f>IF($AG73="","",Config!$B$24)</f>
        <v/>
      </c>
      <c r="S73">
        <f>IF($AG73="","",TEXT(Config!$B$4,"yyyy-mm-dd"))</f>
        <v/>
      </c>
      <c r="T73">
        <f>IF($AG73="","",Config!$B$17)</f>
        <v/>
      </c>
      <c r="U73">
        <f>IF($AG73="","",Config!$B$18)</f>
        <v/>
      </c>
      <c r="V73">
        <f>IF($AG73="","",Config!$B$19)</f>
        <v/>
      </c>
      <c r="W73">
        <f>IF($AG73="","",INDEX('TMP Paste'!$C$2:$C$1601,$AG73))</f>
        <v/>
      </c>
      <c r="X73">
        <f>IF($AG73="","",Config!$B$29)</f>
        <v/>
      </c>
      <c r="Y73">
        <f>IF($AH73="","",INDEX(Calc!$I$2:$I$1601,$AH73)&amp;" - "&amp;INDEX(Calc!$D$2:$D$1601,$AH73)&amp;" koli")</f>
        <v/>
      </c>
      <c r="Z73">
        <f>IF($AG73="","",Config!$B$21)</f>
        <v/>
      </c>
      <c r="AA73">
        <f>IF($AG73="","",Config!$B$22)</f>
        <v/>
      </c>
      <c r="AB73">
        <f>IF($AH73="","",INDEX(Calc!$D$2:$D$1601,$AH73))</f>
        <v/>
      </c>
      <c r="AC73">
        <f>IF($AH73="","",INDEX(Calc!$G$2:$G$1601,$AH73))</f>
        <v/>
      </c>
      <c r="AD73">
        <f>IF($AG73="","",Config!$B$23)</f>
        <v/>
      </c>
      <c r="AE73">
        <f>IF($AG73="","",Config!$B$28)</f>
        <v/>
      </c>
      <c r="AG73">
        <f>IFERROR(MATCH(ROW()-1,Calc!$J$2:$J$1601,0),"")</f>
        <v/>
      </c>
      <c r="AH73">
        <f>IFERROR(MATCH(ROW()-1,Calc!$K$2:$K$1601,0),"")</f>
        <v/>
      </c>
      <c r="AI73">
        <f>IF($AG73="","",SUMIF($AG$2:$AG73,$AG73,$AH$2:$AH73))</f>
        <v/>
      </c>
      <c r="AJ73">
        <f>IF('TMP Paste'!$F73="","",IF('TMP Paste'!$B73="",$AJ72,'TMP Paste'!$B73))</f>
        <v/>
      </c>
      <c r="AK73">
        <f>IF('TMP Paste'!$F73="","",N('TMP Paste'!$G73))</f>
        <v/>
      </c>
      <c r="AL73">
        <f>IF('TMP Paste'!$F73="","",IF('TMP Paste'!$M73="",$AL72,'TMP Paste'!$M73))</f>
        <v/>
      </c>
      <c r="AM73">
        <f>IF('TMP Paste'!$F73="","",IF('TMP Paste'!$N73="",$AM72,'TMP Paste'!$N73))</f>
        <v/>
      </c>
      <c r="AN73">
        <f>IF('TMP Paste'!$F73="","",IF('TMP Paste'!$O73="",$AN72,'TMP Paste'!$O73))</f>
        <v/>
      </c>
      <c r="AO73">
        <f>IF('TMP Paste'!$F73="","",IF('TMP Paste'!$P73="",$AO72,'TMP Paste'!$P73))</f>
        <v/>
      </c>
      <c r="AP73">
        <f>IF($AG73="","",LEN($R73))</f>
        <v/>
      </c>
      <c r="AQ73">
        <f>IF($AG73="","",TRIM(IF(COUNTIFS(Calc!$B$2:$B$1601,ROW()-1,Calc!$C$2:$C$1601,"&lt;1")&gt;0,"Ada PO tanpa Koli - cek TMP. ","")&amp;IF(LEN($R73)&gt;500,"R &gt; 500 karakter.","")))</f>
        <v/>
      </c>
    </row>
    <row r="74">
      <c r="A74">
        <f>IF($AG74="","",INDEX('TMP Paste'!$B$2:$B$1601,$AG74))</f>
        <v/>
      </c>
      <c r="B74">
        <f>IF($AG74="","",Config!$B$14)</f>
        <v/>
      </c>
      <c r="C74">
        <f>IF($AG74="","",Config!$B$15)</f>
        <v/>
      </c>
      <c r="D74">
        <f>IF($AG74="","",INDEX('TMP Paste'!$B$2:$B$1601,$AG74))</f>
        <v/>
      </c>
      <c r="E74">
        <f>IF($AG74="","",Config!$B$27)</f>
        <v/>
      </c>
      <c r="F74">
        <f>IF($AG74="","",Config!$B$9)</f>
        <v/>
      </c>
      <c r="G74">
        <f>IF($AG74="","",Config!$B$10)</f>
        <v/>
      </c>
      <c r="H74">
        <f>IF($AG74="","",Config!$B$11)</f>
        <v/>
      </c>
      <c r="I74">
        <f>IF($AG74="","",Config!$B$16)</f>
        <v/>
      </c>
      <c r="J74">
        <f>IF($AG74="","",INDEX('TMP Paste'!$A$2:$A$1601,$AG74))</f>
        <v/>
      </c>
      <c r="K74">
        <f>IF($AG74="","",INDEX('TMP Paste'!$L$2:$L$1601,$AG74))</f>
        <v/>
      </c>
      <c r="L74">
        <f>IF($AG74="","",INDEX('TMP Paste'!$I$2:$I$1601,$AG74))</f>
        <v/>
      </c>
      <c r="M74">
        <f>IF($AG74="","",Config!$B$16)</f>
        <v/>
      </c>
      <c r="N74">
        <f>IF($AG74="","","")</f>
        <v/>
      </c>
      <c r="O74">
        <f>IF($AG74="","",INDEX('TMP Paste'!$K$2:$K$1601,$AG74))</f>
        <v/>
      </c>
      <c r="P74">
        <f>IF($AG74="","","")</f>
        <v/>
      </c>
      <c r="Q74">
        <f>IF($AG74="","",INDEX('TMP Paste'!$J$2:$J$1601,$AG74))</f>
        <v/>
      </c>
      <c r="R74">
        <f>IF($AG74="","",Config!$B$24)</f>
        <v/>
      </c>
      <c r="S74">
        <f>IF($AG74="","",TEXT(Config!$B$4,"yyyy-mm-dd"))</f>
        <v/>
      </c>
      <c r="T74">
        <f>IF($AG74="","",Config!$B$17)</f>
        <v/>
      </c>
      <c r="U74">
        <f>IF($AG74="","",Config!$B$18)</f>
        <v/>
      </c>
      <c r="V74">
        <f>IF($AG74="","",Config!$B$19)</f>
        <v/>
      </c>
      <c r="W74">
        <f>IF($AG74="","",INDEX('TMP Paste'!$C$2:$C$1601,$AG74))</f>
        <v/>
      </c>
      <c r="X74">
        <f>IF($AG74="","",Config!$B$29)</f>
        <v/>
      </c>
      <c r="Y74">
        <f>IF($AH74="","",INDEX(Calc!$I$2:$I$1601,$AH74)&amp;" - "&amp;INDEX(Calc!$D$2:$D$1601,$AH74)&amp;" koli")</f>
        <v/>
      </c>
      <c r="Z74">
        <f>IF($AG74="","",Config!$B$21)</f>
        <v/>
      </c>
      <c r="AA74">
        <f>IF($AG74="","",Config!$B$22)</f>
        <v/>
      </c>
      <c r="AB74">
        <f>IF($AH74="","",INDEX(Calc!$D$2:$D$1601,$AH74))</f>
        <v/>
      </c>
      <c r="AC74">
        <f>IF($AH74="","",INDEX(Calc!$G$2:$G$1601,$AH74))</f>
        <v/>
      </c>
      <c r="AD74">
        <f>IF($AG74="","",Config!$B$23)</f>
        <v/>
      </c>
      <c r="AE74">
        <f>IF($AG74="","",Config!$B$28)</f>
        <v/>
      </c>
      <c r="AG74">
        <f>IFERROR(MATCH(ROW()-1,Calc!$J$2:$J$1601,0),"")</f>
        <v/>
      </c>
      <c r="AH74">
        <f>IFERROR(MATCH(ROW()-1,Calc!$K$2:$K$1601,0),"")</f>
        <v/>
      </c>
      <c r="AI74">
        <f>IF($AG74="","",SUMIF($AG$2:$AG74,$AG74,$AH$2:$AH74))</f>
        <v/>
      </c>
      <c r="AJ74">
        <f>IF('TMP Paste'!$F74="","",IF('TMP Paste'!$B74="",$AJ73,'TMP Paste'!$B74))</f>
        <v/>
      </c>
      <c r="AK74">
        <f>IF('TMP Paste'!$F74="","",N('TMP Paste'!$G74))</f>
        <v/>
      </c>
      <c r="AL74">
        <f>IF('TMP Paste'!$F74="","",IF('TMP Paste'!$M74="",$AL73,'TMP Paste'!$M74))</f>
        <v/>
      </c>
      <c r="AM74">
        <f>IF('TMP Paste'!$F74="","",IF('TMP Paste'!$N74="",$AM73,'TMP Paste'!$N74))</f>
        <v/>
      </c>
      <c r="AN74">
        <f>IF('TMP Paste'!$F74="","",IF('TMP Paste'!$O74="",$AN73,'TMP Paste'!$O74))</f>
        <v/>
      </c>
      <c r="AO74">
        <f>IF('TMP Paste'!$F74="","",IF('TMP Paste'!$P74="",$AO73,'TMP Paste'!$P74))</f>
        <v/>
      </c>
      <c r="AP74">
        <f>IF($AG74="","",LEN($R74))</f>
        <v/>
      </c>
      <c r="AQ74">
        <f>IF($AG74="","",TRIM(IF(COUNTIFS(Calc!$B$2:$B$1601,ROW()-1,Calc!$C$2:$C$1601,"&lt;1")&gt;0,"Ada PO tanpa Koli - cek TMP. ","")&amp;IF(LEN($R74)&gt;500,"R &gt; 500 karakter.","")))</f>
        <v/>
      </c>
    </row>
    <row r="75">
      <c r="A75">
        <f>IF($AG75="","",INDEX('TMP Paste'!$B$2:$B$1601,$AG75))</f>
        <v/>
      </c>
      <c r="B75">
        <f>IF($AG75="","",Config!$B$14)</f>
        <v/>
      </c>
      <c r="C75">
        <f>IF($AG75="","",Config!$B$15)</f>
        <v/>
      </c>
      <c r="D75">
        <f>IF($AG75="","",INDEX('TMP Paste'!$B$2:$B$1601,$AG75))</f>
        <v/>
      </c>
      <c r="E75">
        <f>IF($AG75="","",Config!$B$27)</f>
        <v/>
      </c>
      <c r="F75">
        <f>IF($AG75="","",Config!$B$9)</f>
        <v/>
      </c>
      <c r="G75">
        <f>IF($AG75="","",Config!$B$10)</f>
        <v/>
      </c>
      <c r="H75">
        <f>IF($AG75="","",Config!$B$11)</f>
        <v/>
      </c>
      <c r="I75">
        <f>IF($AG75="","",Config!$B$16)</f>
        <v/>
      </c>
      <c r="J75">
        <f>IF($AG75="","",INDEX('TMP Paste'!$A$2:$A$1601,$AG75))</f>
        <v/>
      </c>
      <c r="K75">
        <f>IF($AG75="","",INDEX('TMP Paste'!$L$2:$L$1601,$AG75))</f>
        <v/>
      </c>
      <c r="L75">
        <f>IF($AG75="","",INDEX('TMP Paste'!$I$2:$I$1601,$AG75))</f>
        <v/>
      </c>
      <c r="M75">
        <f>IF($AG75="","",Config!$B$16)</f>
        <v/>
      </c>
      <c r="N75">
        <f>IF($AG75="","","")</f>
        <v/>
      </c>
      <c r="O75">
        <f>IF($AG75="","",INDEX('TMP Paste'!$K$2:$K$1601,$AG75))</f>
        <v/>
      </c>
      <c r="P75">
        <f>IF($AG75="","","")</f>
        <v/>
      </c>
      <c r="Q75">
        <f>IF($AG75="","",INDEX('TMP Paste'!$J$2:$J$1601,$AG75))</f>
        <v/>
      </c>
      <c r="R75">
        <f>IF($AG75="","",Config!$B$24)</f>
        <v/>
      </c>
      <c r="S75">
        <f>IF($AG75="","",TEXT(Config!$B$4,"yyyy-mm-dd"))</f>
        <v/>
      </c>
      <c r="T75">
        <f>IF($AG75="","",Config!$B$17)</f>
        <v/>
      </c>
      <c r="U75">
        <f>IF($AG75="","",Config!$B$18)</f>
        <v/>
      </c>
      <c r="V75">
        <f>IF($AG75="","",Config!$B$19)</f>
        <v/>
      </c>
      <c r="W75">
        <f>IF($AG75="","",INDEX('TMP Paste'!$C$2:$C$1601,$AG75))</f>
        <v/>
      </c>
      <c r="X75">
        <f>IF($AG75="","",Config!$B$29)</f>
        <v/>
      </c>
      <c r="Y75">
        <f>IF($AH75="","",INDEX(Calc!$I$2:$I$1601,$AH75)&amp;" - "&amp;INDEX(Calc!$D$2:$D$1601,$AH75)&amp;" koli")</f>
        <v/>
      </c>
      <c r="Z75">
        <f>IF($AG75="","",Config!$B$21)</f>
        <v/>
      </c>
      <c r="AA75">
        <f>IF($AG75="","",Config!$B$22)</f>
        <v/>
      </c>
      <c r="AB75">
        <f>IF($AH75="","",INDEX(Calc!$D$2:$D$1601,$AH75))</f>
        <v/>
      </c>
      <c r="AC75">
        <f>IF($AH75="","",INDEX(Calc!$G$2:$G$1601,$AH75))</f>
        <v/>
      </c>
      <c r="AD75">
        <f>IF($AG75="","",Config!$B$23)</f>
        <v/>
      </c>
      <c r="AE75">
        <f>IF($AG75="","",Config!$B$28)</f>
        <v/>
      </c>
      <c r="AG75">
        <f>IFERROR(MATCH(ROW()-1,Calc!$J$2:$J$1601,0),"")</f>
        <v/>
      </c>
      <c r="AH75">
        <f>IFERROR(MATCH(ROW()-1,Calc!$K$2:$K$1601,0),"")</f>
        <v/>
      </c>
      <c r="AI75">
        <f>IF($AG75="","",SUMIF($AG$2:$AG75,$AG75,$AH$2:$AH75))</f>
        <v/>
      </c>
      <c r="AJ75">
        <f>IF('TMP Paste'!$F75="","",IF('TMP Paste'!$B75="",$AJ74,'TMP Paste'!$B75))</f>
        <v/>
      </c>
      <c r="AK75">
        <f>IF('TMP Paste'!$F75="","",N('TMP Paste'!$G75))</f>
        <v/>
      </c>
      <c r="AL75">
        <f>IF('TMP Paste'!$F75="","",IF('TMP Paste'!$M75="",$AL74,'TMP Paste'!$M75))</f>
        <v/>
      </c>
      <c r="AM75">
        <f>IF('TMP Paste'!$F75="","",IF('TMP Paste'!$N75="",$AM74,'TMP Paste'!$N75))</f>
        <v/>
      </c>
      <c r="AN75">
        <f>IF('TMP Paste'!$F75="","",IF('TMP Paste'!$O75="",$AN74,'TMP Paste'!$O75))</f>
        <v/>
      </c>
      <c r="AO75">
        <f>IF('TMP Paste'!$F75="","",IF('TMP Paste'!$P75="",$AO74,'TMP Paste'!$P75))</f>
        <v/>
      </c>
      <c r="AP75">
        <f>IF($AG75="","",LEN($R75))</f>
        <v/>
      </c>
      <c r="AQ75">
        <f>IF($AG75="","",TRIM(IF(COUNTIFS(Calc!$B$2:$B$1601,ROW()-1,Calc!$C$2:$C$1601,"&lt;1")&gt;0,"Ada PO tanpa Koli - cek TMP. ","")&amp;IF(LEN($R75)&gt;500,"R &gt; 500 karakter.","")))</f>
        <v/>
      </c>
    </row>
    <row r="76">
      <c r="A76">
        <f>IF($AG76="","",INDEX('TMP Paste'!$B$2:$B$1601,$AG76))</f>
        <v/>
      </c>
      <c r="B76">
        <f>IF($AG76="","",Config!$B$14)</f>
        <v/>
      </c>
      <c r="C76">
        <f>IF($AG76="","",Config!$B$15)</f>
        <v/>
      </c>
      <c r="D76">
        <f>IF($AG76="","",INDEX('TMP Paste'!$B$2:$B$1601,$AG76))</f>
        <v/>
      </c>
      <c r="E76">
        <f>IF($AG76="","",Config!$B$27)</f>
        <v/>
      </c>
      <c r="F76">
        <f>IF($AG76="","",Config!$B$9)</f>
        <v/>
      </c>
      <c r="G76">
        <f>IF($AG76="","",Config!$B$10)</f>
        <v/>
      </c>
      <c r="H76">
        <f>IF($AG76="","",Config!$B$11)</f>
        <v/>
      </c>
      <c r="I76">
        <f>IF($AG76="","",Config!$B$16)</f>
        <v/>
      </c>
      <c r="J76">
        <f>IF($AG76="","",INDEX('TMP Paste'!$A$2:$A$1601,$AG76))</f>
        <v/>
      </c>
      <c r="K76">
        <f>IF($AG76="","",INDEX('TMP Paste'!$L$2:$L$1601,$AG76))</f>
        <v/>
      </c>
      <c r="L76">
        <f>IF($AG76="","",INDEX('TMP Paste'!$I$2:$I$1601,$AG76))</f>
        <v/>
      </c>
      <c r="M76">
        <f>IF($AG76="","",Config!$B$16)</f>
        <v/>
      </c>
      <c r="N76">
        <f>IF($AG76="","","")</f>
        <v/>
      </c>
      <c r="O76">
        <f>IF($AG76="","",INDEX('TMP Paste'!$K$2:$K$1601,$AG76))</f>
        <v/>
      </c>
      <c r="P76">
        <f>IF($AG76="","","")</f>
        <v/>
      </c>
      <c r="Q76">
        <f>IF($AG76="","",INDEX('TMP Paste'!$J$2:$J$1601,$AG76))</f>
        <v/>
      </c>
      <c r="R76">
        <f>IF($AG76="","",Config!$B$24)</f>
        <v/>
      </c>
      <c r="S76">
        <f>IF($AG76="","",TEXT(Config!$B$4,"yyyy-mm-dd"))</f>
        <v/>
      </c>
      <c r="T76">
        <f>IF($AG76="","",Config!$B$17)</f>
        <v/>
      </c>
      <c r="U76">
        <f>IF($AG76="","",Config!$B$18)</f>
        <v/>
      </c>
      <c r="V76">
        <f>IF($AG76="","",Config!$B$19)</f>
        <v/>
      </c>
      <c r="W76">
        <f>IF($AG76="","",INDEX('TMP Paste'!$C$2:$C$1601,$AG76))</f>
        <v/>
      </c>
      <c r="X76">
        <f>IF($AG76="","",Config!$B$29)</f>
        <v/>
      </c>
      <c r="Y76">
        <f>IF($AH76="","",INDEX(Calc!$I$2:$I$1601,$AH76)&amp;" - "&amp;INDEX(Calc!$D$2:$D$1601,$AH76)&amp;" koli")</f>
        <v/>
      </c>
      <c r="Z76">
        <f>IF($AG76="","",Config!$B$21)</f>
        <v/>
      </c>
      <c r="AA76">
        <f>IF($AG76="","",Config!$B$22)</f>
        <v/>
      </c>
      <c r="AB76">
        <f>IF($AH76="","",INDEX(Calc!$D$2:$D$1601,$AH76))</f>
        <v/>
      </c>
      <c r="AC76">
        <f>IF($AH76="","",INDEX(Calc!$G$2:$G$1601,$AH76))</f>
        <v/>
      </c>
      <c r="AD76">
        <f>IF($AG76="","",Config!$B$23)</f>
        <v/>
      </c>
      <c r="AE76">
        <f>IF($AG76="","",Config!$B$28)</f>
        <v/>
      </c>
      <c r="AG76">
        <f>IFERROR(MATCH(ROW()-1,Calc!$J$2:$J$1601,0),"")</f>
        <v/>
      </c>
      <c r="AH76">
        <f>IFERROR(MATCH(ROW()-1,Calc!$K$2:$K$1601,0),"")</f>
        <v/>
      </c>
      <c r="AI76">
        <f>IF($AG76="","",SUMIF($AG$2:$AG76,$AG76,$AH$2:$AH76))</f>
        <v/>
      </c>
      <c r="AJ76">
        <f>IF('TMP Paste'!$F76="","",IF('TMP Paste'!$B76="",$AJ75,'TMP Paste'!$B76))</f>
        <v/>
      </c>
      <c r="AK76">
        <f>IF('TMP Paste'!$F76="","",N('TMP Paste'!$G76))</f>
        <v/>
      </c>
      <c r="AL76">
        <f>IF('TMP Paste'!$F76="","",IF('TMP Paste'!$M76="",$AL75,'TMP Paste'!$M76))</f>
        <v/>
      </c>
      <c r="AM76">
        <f>IF('TMP Paste'!$F76="","",IF('TMP Paste'!$N76="",$AM75,'TMP Paste'!$N76))</f>
        <v/>
      </c>
      <c r="AN76">
        <f>IF('TMP Paste'!$F76="","",IF('TMP Paste'!$O76="",$AN75,'TMP Paste'!$O76))</f>
        <v/>
      </c>
      <c r="AO76">
        <f>IF('TMP Paste'!$F76="","",IF('TMP Paste'!$P76="",$AO75,'TMP Paste'!$P76))</f>
        <v/>
      </c>
      <c r="AP76">
        <f>IF($AG76="","",LEN($R76))</f>
        <v/>
      </c>
      <c r="AQ76">
        <f>IF($AG76="","",TRIM(IF(COUNTIFS(Calc!$B$2:$B$1601,ROW()-1,Calc!$C$2:$C$1601,"&lt;1")&gt;0,"Ada PO tanpa Koli - cek TMP. ","")&amp;IF(LEN($R76)&gt;500,"R &gt; 500 karakter.","")))</f>
        <v/>
      </c>
    </row>
    <row r="77">
      <c r="A77">
        <f>IF($AG77="","",INDEX('TMP Paste'!$B$2:$B$1601,$AG77))</f>
        <v/>
      </c>
      <c r="B77">
        <f>IF($AG77="","",Config!$B$14)</f>
        <v/>
      </c>
      <c r="C77">
        <f>IF($AG77="","",Config!$B$15)</f>
        <v/>
      </c>
      <c r="D77">
        <f>IF($AG77="","",INDEX('TMP Paste'!$B$2:$B$1601,$AG77))</f>
        <v/>
      </c>
      <c r="E77">
        <f>IF($AG77="","",Config!$B$27)</f>
        <v/>
      </c>
      <c r="F77">
        <f>IF($AG77="","",Config!$B$9)</f>
        <v/>
      </c>
      <c r="G77">
        <f>IF($AG77="","",Config!$B$10)</f>
        <v/>
      </c>
      <c r="H77">
        <f>IF($AG77="","",Config!$B$11)</f>
        <v/>
      </c>
      <c r="I77">
        <f>IF($AG77="","",Config!$B$16)</f>
        <v/>
      </c>
      <c r="J77">
        <f>IF($AG77="","",INDEX('TMP Paste'!$A$2:$A$1601,$AG77))</f>
        <v/>
      </c>
      <c r="K77">
        <f>IF($AG77="","",INDEX('TMP Paste'!$L$2:$L$1601,$AG77))</f>
        <v/>
      </c>
      <c r="L77">
        <f>IF($AG77="","",INDEX('TMP Paste'!$I$2:$I$1601,$AG77))</f>
        <v/>
      </c>
      <c r="M77">
        <f>IF($AG77="","",Config!$B$16)</f>
        <v/>
      </c>
      <c r="N77">
        <f>IF($AG77="","","")</f>
        <v/>
      </c>
      <c r="O77">
        <f>IF($AG77="","",INDEX('TMP Paste'!$K$2:$K$1601,$AG77))</f>
        <v/>
      </c>
      <c r="P77">
        <f>IF($AG77="","","")</f>
        <v/>
      </c>
      <c r="Q77">
        <f>IF($AG77="","",INDEX('TMP Paste'!$J$2:$J$1601,$AG77))</f>
        <v/>
      </c>
      <c r="R77">
        <f>IF($AG77="","",Config!$B$24)</f>
        <v/>
      </c>
      <c r="S77">
        <f>IF($AG77="","",TEXT(Config!$B$4,"yyyy-mm-dd"))</f>
        <v/>
      </c>
      <c r="T77">
        <f>IF($AG77="","",Config!$B$17)</f>
        <v/>
      </c>
      <c r="U77">
        <f>IF($AG77="","",Config!$B$18)</f>
        <v/>
      </c>
      <c r="V77">
        <f>IF($AG77="","",Config!$B$19)</f>
        <v/>
      </c>
      <c r="W77">
        <f>IF($AG77="","",INDEX('TMP Paste'!$C$2:$C$1601,$AG77))</f>
        <v/>
      </c>
      <c r="X77">
        <f>IF($AG77="","",Config!$B$29)</f>
        <v/>
      </c>
      <c r="Y77">
        <f>IF($AH77="","",INDEX(Calc!$I$2:$I$1601,$AH77)&amp;" - "&amp;INDEX(Calc!$D$2:$D$1601,$AH77)&amp;" koli")</f>
        <v/>
      </c>
      <c r="Z77">
        <f>IF($AG77="","",Config!$B$21)</f>
        <v/>
      </c>
      <c r="AA77">
        <f>IF($AG77="","",Config!$B$22)</f>
        <v/>
      </c>
      <c r="AB77">
        <f>IF($AH77="","",INDEX(Calc!$D$2:$D$1601,$AH77))</f>
        <v/>
      </c>
      <c r="AC77">
        <f>IF($AH77="","",INDEX(Calc!$G$2:$G$1601,$AH77))</f>
        <v/>
      </c>
      <c r="AD77">
        <f>IF($AG77="","",Config!$B$23)</f>
        <v/>
      </c>
      <c r="AE77">
        <f>IF($AG77="","",Config!$B$28)</f>
        <v/>
      </c>
      <c r="AG77">
        <f>IFERROR(MATCH(ROW()-1,Calc!$J$2:$J$1601,0),"")</f>
        <v/>
      </c>
      <c r="AH77">
        <f>IFERROR(MATCH(ROW()-1,Calc!$K$2:$K$1601,0),"")</f>
        <v/>
      </c>
      <c r="AI77">
        <f>IF($AG77="","",SUMIF($AG$2:$AG77,$AG77,$AH$2:$AH77))</f>
        <v/>
      </c>
      <c r="AJ77">
        <f>IF('TMP Paste'!$F77="","",IF('TMP Paste'!$B77="",$AJ76,'TMP Paste'!$B77))</f>
        <v/>
      </c>
      <c r="AK77">
        <f>IF('TMP Paste'!$F77="","",N('TMP Paste'!$G77))</f>
        <v/>
      </c>
      <c r="AL77">
        <f>IF('TMP Paste'!$F77="","",IF('TMP Paste'!$M77="",$AL76,'TMP Paste'!$M77))</f>
        <v/>
      </c>
      <c r="AM77">
        <f>IF('TMP Paste'!$F77="","",IF('TMP Paste'!$N77="",$AM76,'TMP Paste'!$N77))</f>
        <v/>
      </c>
      <c r="AN77">
        <f>IF('TMP Paste'!$F77="","",IF('TMP Paste'!$O77="",$AN76,'TMP Paste'!$O77))</f>
        <v/>
      </c>
      <c r="AO77">
        <f>IF('TMP Paste'!$F77="","",IF('TMP Paste'!$P77="",$AO76,'TMP Paste'!$P77))</f>
        <v/>
      </c>
      <c r="AP77">
        <f>IF($AG77="","",LEN($R77))</f>
        <v/>
      </c>
      <c r="AQ77">
        <f>IF($AG77="","",TRIM(IF(COUNTIFS(Calc!$B$2:$B$1601,ROW()-1,Calc!$C$2:$C$1601,"&lt;1")&gt;0,"Ada PO tanpa Koli - cek TMP. ","")&amp;IF(LEN($R77)&gt;500,"R &gt; 500 karakter.","")))</f>
        <v/>
      </c>
    </row>
    <row r="78">
      <c r="A78">
        <f>IF($AG78="","",INDEX('TMP Paste'!$B$2:$B$1601,$AG78))</f>
        <v/>
      </c>
      <c r="B78">
        <f>IF($AG78="","",Config!$B$14)</f>
        <v/>
      </c>
      <c r="C78">
        <f>IF($AG78="","",Config!$B$15)</f>
        <v/>
      </c>
      <c r="D78">
        <f>IF($AG78="","",INDEX('TMP Paste'!$B$2:$B$1601,$AG78))</f>
        <v/>
      </c>
      <c r="E78">
        <f>IF($AG78="","",Config!$B$27)</f>
        <v/>
      </c>
      <c r="F78">
        <f>IF($AG78="","",Config!$B$9)</f>
        <v/>
      </c>
      <c r="G78">
        <f>IF($AG78="","",Config!$B$10)</f>
        <v/>
      </c>
      <c r="H78">
        <f>IF($AG78="","",Config!$B$11)</f>
        <v/>
      </c>
      <c r="I78">
        <f>IF($AG78="","",Config!$B$16)</f>
        <v/>
      </c>
      <c r="J78">
        <f>IF($AG78="","",INDEX('TMP Paste'!$A$2:$A$1601,$AG78))</f>
        <v/>
      </c>
      <c r="K78">
        <f>IF($AG78="","",INDEX('TMP Paste'!$L$2:$L$1601,$AG78))</f>
        <v/>
      </c>
      <c r="L78">
        <f>IF($AG78="","",INDEX('TMP Paste'!$I$2:$I$1601,$AG78))</f>
        <v/>
      </c>
      <c r="M78">
        <f>IF($AG78="","",Config!$B$16)</f>
        <v/>
      </c>
      <c r="N78">
        <f>IF($AG78="","","")</f>
        <v/>
      </c>
      <c r="O78">
        <f>IF($AG78="","",INDEX('TMP Paste'!$K$2:$K$1601,$AG78))</f>
        <v/>
      </c>
      <c r="P78">
        <f>IF($AG78="","","")</f>
        <v/>
      </c>
      <c r="Q78">
        <f>IF($AG78="","",INDEX('TMP Paste'!$J$2:$J$1601,$AG78))</f>
        <v/>
      </c>
      <c r="R78">
        <f>IF($AG78="","",Config!$B$24)</f>
        <v/>
      </c>
      <c r="S78">
        <f>IF($AG78="","",TEXT(Config!$B$4,"yyyy-mm-dd"))</f>
        <v/>
      </c>
      <c r="T78">
        <f>IF($AG78="","",Config!$B$17)</f>
        <v/>
      </c>
      <c r="U78">
        <f>IF($AG78="","",Config!$B$18)</f>
        <v/>
      </c>
      <c r="V78">
        <f>IF($AG78="","",Config!$B$19)</f>
        <v/>
      </c>
      <c r="W78">
        <f>IF($AG78="","",INDEX('TMP Paste'!$C$2:$C$1601,$AG78))</f>
        <v/>
      </c>
      <c r="X78">
        <f>IF($AG78="","",Config!$B$29)</f>
        <v/>
      </c>
      <c r="Y78">
        <f>IF($AH78="","",INDEX(Calc!$I$2:$I$1601,$AH78)&amp;" - "&amp;INDEX(Calc!$D$2:$D$1601,$AH78)&amp;" koli")</f>
        <v/>
      </c>
      <c r="Z78">
        <f>IF($AG78="","",Config!$B$21)</f>
        <v/>
      </c>
      <c r="AA78">
        <f>IF($AG78="","",Config!$B$22)</f>
        <v/>
      </c>
      <c r="AB78">
        <f>IF($AH78="","",INDEX(Calc!$D$2:$D$1601,$AH78))</f>
        <v/>
      </c>
      <c r="AC78">
        <f>IF($AH78="","",INDEX(Calc!$G$2:$G$1601,$AH78))</f>
        <v/>
      </c>
      <c r="AD78">
        <f>IF($AG78="","",Config!$B$23)</f>
        <v/>
      </c>
      <c r="AE78">
        <f>IF($AG78="","",Config!$B$28)</f>
        <v/>
      </c>
      <c r="AG78">
        <f>IFERROR(MATCH(ROW()-1,Calc!$J$2:$J$1601,0),"")</f>
        <v/>
      </c>
      <c r="AH78">
        <f>IFERROR(MATCH(ROW()-1,Calc!$K$2:$K$1601,0),"")</f>
        <v/>
      </c>
      <c r="AI78">
        <f>IF($AG78="","",SUMIF($AG$2:$AG78,$AG78,$AH$2:$AH78))</f>
        <v/>
      </c>
      <c r="AJ78">
        <f>IF('TMP Paste'!$F78="","",IF('TMP Paste'!$B78="",$AJ77,'TMP Paste'!$B78))</f>
        <v/>
      </c>
      <c r="AK78">
        <f>IF('TMP Paste'!$F78="","",N('TMP Paste'!$G78))</f>
        <v/>
      </c>
      <c r="AL78">
        <f>IF('TMP Paste'!$F78="","",IF('TMP Paste'!$M78="",$AL77,'TMP Paste'!$M78))</f>
        <v/>
      </c>
      <c r="AM78">
        <f>IF('TMP Paste'!$F78="","",IF('TMP Paste'!$N78="",$AM77,'TMP Paste'!$N78))</f>
        <v/>
      </c>
      <c r="AN78">
        <f>IF('TMP Paste'!$F78="","",IF('TMP Paste'!$O78="",$AN77,'TMP Paste'!$O78))</f>
        <v/>
      </c>
      <c r="AO78">
        <f>IF('TMP Paste'!$F78="","",IF('TMP Paste'!$P78="",$AO77,'TMP Paste'!$P78))</f>
        <v/>
      </c>
      <c r="AP78">
        <f>IF($AG78="","",LEN($R78))</f>
        <v/>
      </c>
      <c r="AQ78">
        <f>IF($AG78="","",TRIM(IF(COUNTIFS(Calc!$B$2:$B$1601,ROW()-1,Calc!$C$2:$C$1601,"&lt;1")&gt;0,"Ada PO tanpa Koli - cek TMP. ","")&amp;IF(LEN($R78)&gt;500,"R &gt; 500 karakter.","")))</f>
        <v/>
      </c>
    </row>
    <row r="79">
      <c r="A79">
        <f>IF($AG79="","",INDEX('TMP Paste'!$B$2:$B$1601,$AG79))</f>
        <v/>
      </c>
      <c r="B79">
        <f>IF($AG79="","",Config!$B$14)</f>
        <v/>
      </c>
      <c r="C79">
        <f>IF($AG79="","",Config!$B$15)</f>
        <v/>
      </c>
      <c r="D79">
        <f>IF($AG79="","",INDEX('TMP Paste'!$B$2:$B$1601,$AG79))</f>
        <v/>
      </c>
      <c r="E79">
        <f>IF($AG79="","",Config!$B$27)</f>
        <v/>
      </c>
      <c r="F79">
        <f>IF($AG79="","",Config!$B$9)</f>
        <v/>
      </c>
      <c r="G79">
        <f>IF($AG79="","",Config!$B$10)</f>
        <v/>
      </c>
      <c r="H79">
        <f>IF($AG79="","",Config!$B$11)</f>
        <v/>
      </c>
      <c r="I79">
        <f>IF($AG79="","",Config!$B$16)</f>
        <v/>
      </c>
      <c r="J79">
        <f>IF($AG79="","",INDEX('TMP Paste'!$A$2:$A$1601,$AG79))</f>
        <v/>
      </c>
      <c r="K79">
        <f>IF($AG79="","",INDEX('TMP Paste'!$L$2:$L$1601,$AG79))</f>
        <v/>
      </c>
      <c r="L79">
        <f>IF($AG79="","",INDEX('TMP Paste'!$I$2:$I$1601,$AG79))</f>
        <v/>
      </c>
      <c r="M79">
        <f>IF($AG79="","",Config!$B$16)</f>
        <v/>
      </c>
      <c r="N79">
        <f>IF($AG79="","","")</f>
        <v/>
      </c>
      <c r="O79">
        <f>IF($AG79="","",INDEX('TMP Paste'!$K$2:$K$1601,$AG79))</f>
        <v/>
      </c>
      <c r="P79">
        <f>IF($AG79="","","")</f>
        <v/>
      </c>
      <c r="Q79">
        <f>IF($AG79="","",INDEX('TMP Paste'!$J$2:$J$1601,$AG79))</f>
        <v/>
      </c>
      <c r="R79">
        <f>IF($AG79="","",Config!$B$24)</f>
        <v/>
      </c>
      <c r="S79">
        <f>IF($AG79="","",TEXT(Config!$B$4,"yyyy-mm-dd"))</f>
        <v/>
      </c>
      <c r="T79">
        <f>IF($AG79="","",Config!$B$17)</f>
        <v/>
      </c>
      <c r="U79">
        <f>IF($AG79="","",Config!$B$18)</f>
        <v/>
      </c>
      <c r="V79">
        <f>IF($AG79="","",Config!$B$19)</f>
        <v/>
      </c>
      <c r="W79">
        <f>IF($AG79="","",INDEX('TMP Paste'!$C$2:$C$1601,$AG79))</f>
        <v/>
      </c>
      <c r="X79">
        <f>IF($AG79="","",Config!$B$29)</f>
        <v/>
      </c>
      <c r="Y79">
        <f>IF($AH79="","",INDEX(Calc!$I$2:$I$1601,$AH79)&amp;" - "&amp;INDEX(Calc!$D$2:$D$1601,$AH79)&amp;" koli")</f>
        <v/>
      </c>
      <c r="Z79">
        <f>IF($AG79="","",Config!$B$21)</f>
        <v/>
      </c>
      <c r="AA79">
        <f>IF($AG79="","",Config!$B$22)</f>
        <v/>
      </c>
      <c r="AB79">
        <f>IF($AH79="","",INDEX(Calc!$D$2:$D$1601,$AH79))</f>
        <v/>
      </c>
      <c r="AC79">
        <f>IF($AH79="","",INDEX(Calc!$G$2:$G$1601,$AH79))</f>
        <v/>
      </c>
      <c r="AD79">
        <f>IF($AG79="","",Config!$B$23)</f>
        <v/>
      </c>
      <c r="AE79">
        <f>IF($AG79="","",Config!$B$28)</f>
        <v/>
      </c>
      <c r="AG79">
        <f>IFERROR(MATCH(ROW()-1,Calc!$J$2:$J$1601,0),"")</f>
        <v/>
      </c>
      <c r="AH79">
        <f>IFERROR(MATCH(ROW()-1,Calc!$K$2:$K$1601,0),"")</f>
        <v/>
      </c>
      <c r="AI79">
        <f>IF($AG79="","",SUMIF($AG$2:$AG79,$AG79,$AH$2:$AH79))</f>
        <v/>
      </c>
      <c r="AJ79">
        <f>IF('TMP Paste'!$F79="","",IF('TMP Paste'!$B79="",$AJ78,'TMP Paste'!$B79))</f>
        <v/>
      </c>
      <c r="AK79">
        <f>IF('TMP Paste'!$F79="","",N('TMP Paste'!$G79))</f>
        <v/>
      </c>
      <c r="AL79">
        <f>IF('TMP Paste'!$F79="","",IF('TMP Paste'!$M79="",$AL78,'TMP Paste'!$M79))</f>
        <v/>
      </c>
      <c r="AM79">
        <f>IF('TMP Paste'!$F79="","",IF('TMP Paste'!$N79="",$AM78,'TMP Paste'!$N79))</f>
        <v/>
      </c>
      <c r="AN79">
        <f>IF('TMP Paste'!$F79="","",IF('TMP Paste'!$O79="",$AN78,'TMP Paste'!$O79))</f>
        <v/>
      </c>
      <c r="AO79">
        <f>IF('TMP Paste'!$F79="","",IF('TMP Paste'!$P79="",$AO78,'TMP Paste'!$P79))</f>
        <v/>
      </c>
      <c r="AP79">
        <f>IF($AG79="","",LEN($R79))</f>
        <v/>
      </c>
      <c r="AQ79">
        <f>IF($AG79="","",TRIM(IF(COUNTIFS(Calc!$B$2:$B$1601,ROW()-1,Calc!$C$2:$C$1601,"&lt;1")&gt;0,"Ada PO tanpa Koli - cek TMP. ","")&amp;IF(LEN($R79)&gt;500,"R &gt; 500 karakter.","")))</f>
        <v/>
      </c>
    </row>
    <row r="80">
      <c r="A80">
        <f>IF($AG80="","",INDEX('TMP Paste'!$B$2:$B$1601,$AG80))</f>
        <v/>
      </c>
      <c r="B80">
        <f>IF($AG80="","",Config!$B$14)</f>
        <v/>
      </c>
      <c r="C80">
        <f>IF($AG80="","",Config!$B$15)</f>
        <v/>
      </c>
      <c r="D80">
        <f>IF($AG80="","",INDEX('TMP Paste'!$B$2:$B$1601,$AG80))</f>
        <v/>
      </c>
      <c r="E80">
        <f>IF($AG80="","",Config!$B$27)</f>
        <v/>
      </c>
      <c r="F80">
        <f>IF($AG80="","",Config!$B$9)</f>
        <v/>
      </c>
      <c r="G80">
        <f>IF($AG80="","",Config!$B$10)</f>
        <v/>
      </c>
      <c r="H80">
        <f>IF($AG80="","",Config!$B$11)</f>
        <v/>
      </c>
      <c r="I80">
        <f>IF($AG80="","",Config!$B$16)</f>
        <v/>
      </c>
      <c r="J80">
        <f>IF($AG80="","",INDEX('TMP Paste'!$A$2:$A$1601,$AG80))</f>
        <v/>
      </c>
      <c r="K80">
        <f>IF($AG80="","",INDEX('TMP Paste'!$L$2:$L$1601,$AG80))</f>
        <v/>
      </c>
      <c r="L80">
        <f>IF($AG80="","",INDEX('TMP Paste'!$I$2:$I$1601,$AG80))</f>
        <v/>
      </c>
      <c r="M80">
        <f>IF($AG80="","",Config!$B$16)</f>
        <v/>
      </c>
      <c r="N80">
        <f>IF($AG80="","","")</f>
        <v/>
      </c>
      <c r="O80">
        <f>IF($AG80="","",INDEX('TMP Paste'!$K$2:$K$1601,$AG80))</f>
        <v/>
      </c>
      <c r="P80">
        <f>IF($AG80="","","")</f>
        <v/>
      </c>
      <c r="Q80">
        <f>IF($AG80="","",INDEX('TMP Paste'!$J$2:$J$1601,$AG80))</f>
        <v/>
      </c>
      <c r="R80">
        <f>IF($AG80="","",Config!$B$24)</f>
        <v/>
      </c>
      <c r="S80">
        <f>IF($AG80="","",TEXT(Config!$B$4,"yyyy-mm-dd"))</f>
        <v/>
      </c>
      <c r="T80">
        <f>IF($AG80="","",Config!$B$17)</f>
        <v/>
      </c>
      <c r="U80">
        <f>IF($AG80="","",Config!$B$18)</f>
        <v/>
      </c>
      <c r="V80">
        <f>IF($AG80="","",Config!$B$19)</f>
        <v/>
      </c>
      <c r="W80">
        <f>IF($AG80="","",INDEX('TMP Paste'!$C$2:$C$1601,$AG80))</f>
        <v/>
      </c>
      <c r="X80">
        <f>IF($AG80="","",Config!$B$29)</f>
        <v/>
      </c>
      <c r="Y80">
        <f>IF($AH80="","",INDEX(Calc!$I$2:$I$1601,$AH80)&amp;" - "&amp;INDEX(Calc!$D$2:$D$1601,$AH80)&amp;" koli")</f>
        <v/>
      </c>
      <c r="Z80">
        <f>IF($AG80="","",Config!$B$21)</f>
        <v/>
      </c>
      <c r="AA80">
        <f>IF($AG80="","",Config!$B$22)</f>
        <v/>
      </c>
      <c r="AB80">
        <f>IF($AH80="","",INDEX(Calc!$D$2:$D$1601,$AH80))</f>
        <v/>
      </c>
      <c r="AC80">
        <f>IF($AH80="","",INDEX(Calc!$G$2:$G$1601,$AH80))</f>
        <v/>
      </c>
      <c r="AD80">
        <f>IF($AG80="","",Config!$B$23)</f>
        <v/>
      </c>
      <c r="AE80">
        <f>IF($AG80="","",Config!$B$28)</f>
        <v/>
      </c>
      <c r="AG80">
        <f>IFERROR(MATCH(ROW()-1,Calc!$J$2:$J$1601,0),"")</f>
        <v/>
      </c>
      <c r="AH80">
        <f>IFERROR(MATCH(ROW()-1,Calc!$K$2:$K$1601,0),"")</f>
        <v/>
      </c>
      <c r="AI80">
        <f>IF($AG80="","",SUMIF($AG$2:$AG80,$AG80,$AH$2:$AH80))</f>
        <v/>
      </c>
      <c r="AJ80">
        <f>IF('TMP Paste'!$F80="","",IF('TMP Paste'!$B80="",$AJ79,'TMP Paste'!$B80))</f>
        <v/>
      </c>
      <c r="AK80">
        <f>IF('TMP Paste'!$F80="","",N('TMP Paste'!$G80))</f>
        <v/>
      </c>
      <c r="AL80">
        <f>IF('TMP Paste'!$F80="","",IF('TMP Paste'!$M80="",$AL79,'TMP Paste'!$M80))</f>
        <v/>
      </c>
      <c r="AM80">
        <f>IF('TMP Paste'!$F80="","",IF('TMP Paste'!$N80="",$AM79,'TMP Paste'!$N80))</f>
        <v/>
      </c>
      <c r="AN80">
        <f>IF('TMP Paste'!$F80="","",IF('TMP Paste'!$O80="",$AN79,'TMP Paste'!$O80))</f>
        <v/>
      </c>
      <c r="AO80">
        <f>IF('TMP Paste'!$F80="","",IF('TMP Paste'!$P80="",$AO79,'TMP Paste'!$P80))</f>
        <v/>
      </c>
      <c r="AP80">
        <f>IF($AG80="","",LEN($R80))</f>
        <v/>
      </c>
      <c r="AQ80">
        <f>IF($AG80="","",TRIM(IF(COUNTIFS(Calc!$B$2:$B$1601,ROW()-1,Calc!$C$2:$C$1601,"&lt;1")&gt;0,"Ada PO tanpa Koli - cek TMP. ","")&amp;IF(LEN($R80)&gt;500,"R &gt; 500 karakter.","")))</f>
        <v/>
      </c>
    </row>
    <row r="81">
      <c r="A81">
        <f>IF($AG81="","",INDEX('TMP Paste'!$B$2:$B$1601,$AG81))</f>
        <v/>
      </c>
      <c r="B81">
        <f>IF($AG81="","",Config!$B$14)</f>
        <v/>
      </c>
      <c r="C81">
        <f>IF($AG81="","",Config!$B$15)</f>
        <v/>
      </c>
      <c r="D81">
        <f>IF($AG81="","",INDEX('TMP Paste'!$B$2:$B$1601,$AG81))</f>
        <v/>
      </c>
      <c r="E81">
        <f>IF($AG81="","",Config!$B$27)</f>
        <v/>
      </c>
      <c r="F81">
        <f>IF($AG81="","",Config!$B$9)</f>
        <v/>
      </c>
      <c r="G81">
        <f>IF($AG81="","",Config!$B$10)</f>
        <v/>
      </c>
      <c r="H81">
        <f>IF($AG81="","",Config!$B$11)</f>
        <v/>
      </c>
      <c r="I81">
        <f>IF($AG81="","",Config!$B$16)</f>
        <v/>
      </c>
      <c r="J81">
        <f>IF($AG81="","",INDEX('TMP Paste'!$A$2:$A$1601,$AG81))</f>
        <v/>
      </c>
      <c r="K81">
        <f>IF($AG81="","",INDEX('TMP Paste'!$L$2:$L$1601,$AG81))</f>
        <v/>
      </c>
      <c r="L81">
        <f>IF($AG81="","",INDEX('TMP Paste'!$I$2:$I$1601,$AG81))</f>
        <v/>
      </c>
      <c r="M81">
        <f>IF($AG81="","",Config!$B$16)</f>
        <v/>
      </c>
      <c r="N81">
        <f>IF($AG81="","","")</f>
        <v/>
      </c>
      <c r="O81">
        <f>IF($AG81="","",INDEX('TMP Paste'!$K$2:$K$1601,$AG81))</f>
        <v/>
      </c>
      <c r="P81">
        <f>IF($AG81="","","")</f>
        <v/>
      </c>
      <c r="Q81">
        <f>IF($AG81="","",INDEX('TMP Paste'!$J$2:$J$1601,$AG81))</f>
        <v/>
      </c>
      <c r="R81">
        <f>IF($AG81="","",Config!$B$24)</f>
        <v/>
      </c>
      <c r="S81">
        <f>IF($AG81="","",TEXT(Config!$B$4,"yyyy-mm-dd"))</f>
        <v/>
      </c>
      <c r="T81">
        <f>IF($AG81="","",Config!$B$17)</f>
        <v/>
      </c>
      <c r="U81">
        <f>IF($AG81="","",Config!$B$18)</f>
        <v/>
      </c>
      <c r="V81">
        <f>IF($AG81="","",Config!$B$19)</f>
        <v/>
      </c>
      <c r="W81">
        <f>IF($AG81="","",INDEX('TMP Paste'!$C$2:$C$1601,$AG81))</f>
        <v/>
      </c>
      <c r="X81">
        <f>IF($AG81="","",Config!$B$29)</f>
        <v/>
      </c>
      <c r="Y81">
        <f>IF($AH81="","",INDEX(Calc!$I$2:$I$1601,$AH81)&amp;" - "&amp;INDEX(Calc!$D$2:$D$1601,$AH81)&amp;" koli")</f>
        <v/>
      </c>
      <c r="Z81">
        <f>IF($AG81="","",Config!$B$21)</f>
        <v/>
      </c>
      <c r="AA81">
        <f>IF($AG81="","",Config!$B$22)</f>
        <v/>
      </c>
      <c r="AB81">
        <f>IF($AH81="","",INDEX(Calc!$D$2:$D$1601,$AH81))</f>
        <v/>
      </c>
      <c r="AC81">
        <f>IF($AH81="","",INDEX(Calc!$G$2:$G$1601,$AH81))</f>
        <v/>
      </c>
      <c r="AD81">
        <f>IF($AG81="","",Config!$B$23)</f>
        <v/>
      </c>
      <c r="AE81">
        <f>IF($AG81="","",Config!$B$28)</f>
        <v/>
      </c>
      <c r="AG81">
        <f>IFERROR(MATCH(ROW()-1,Calc!$J$2:$J$1601,0),"")</f>
        <v/>
      </c>
      <c r="AH81">
        <f>IFERROR(MATCH(ROW()-1,Calc!$K$2:$K$1601,0),"")</f>
        <v/>
      </c>
      <c r="AI81">
        <f>IF($AG81="","",SUMIF($AG$2:$AG81,$AG81,$AH$2:$AH81))</f>
        <v/>
      </c>
      <c r="AJ81">
        <f>IF('TMP Paste'!$F81="","",IF('TMP Paste'!$B81="",$AJ80,'TMP Paste'!$B81))</f>
        <v/>
      </c>
      <c r="AK81">
        <f>IF('TMP Paste'!$F81="","",N('TMP Paste'!$G81))</f>
        <v/>
      </c>
      <c r="AL81">
        <f>IF('TMP Paste'!$F81="","",IF('TMP Paste'!$M81="",$AL80,'TMP Paste'!$M81))</f>
        <v/>
      </c>
      <c r="AM81">
        <f>IF('TMP Paste'!$F81="","",IF('TMP Paste'!$N81="",$AM80,'TMP Paste'!$N81))</f>
        <v/>
      </c>
      <c r="AN81">
        <f>IF('TMP Paste'!$F81="","",IF('TMP Paste'!$O81="",$AN80,'TMP Paste'!$O81))</f>
        <v/>
      </c>
      <c r="AO81">
        <f>IF('TMP Paste'!$F81="","",IF('TMP Paste'!$P81="",$AO80,'TMP Paste'!$P81))</f>
        <v/>
      </c>
      <c r="AP81">
        <f>IF($AG81="","",LEN($R81))</f>
        <v/>
      </c>
      <c r="AQ81">
        <f>IF($AG81="","",TRIM(IF(COUNTIFS(Calc!$B$2:$B$1601,ROW()-1,Calc!$C$2:$C$1601,"&lt;1")&gt;0,"Ada PO tanpa Koli - cek TMP. ","")&amp;IF(LEN($R81)&gt;500,"R &gt; 500 karakter.","")))</f>
        <v/>
      </c>
    </row>
    <row r="82">
      <c r="A82">
        <f>IF($AG82="","",INDEX('TMP Paste'!$B$2:$B$1601,$AG82))</f>
        <v/>
      </c>
      <c r="B82">
        <f>IF($AG82="","",Config!$B$14)</f>
        <v/>
      </c>
      <c r="C82">
        <f>IF($AG82="","",Config!$B$15)</f>
        <v/>
      </c>
      <c r="D82">
        <f>IF($AG82="","",INDEX('TMP Paste'!$B$2:$B$1601,$AG82))</f>
        <v/>
      </c>
      <c r="E82">
        <f>IF($AG82="","",Config!$B$27)</f>
        <v/>
      </c>
      <c r="F82">
        <f>IF($AG82="","",Config!$B$9)</f>
        <v/>
      </c>
      <c r="G82">
        <f>IF($AG82="","",Config!$B$10)</f>
        <v/>
      </c>
      <c r="H82">
        <f>IF($AG82="","",Config!$B$11)</f>
        <v/>
      </c>
      <c r="I82">
        <f>IF($AG82="","",Config!$B$16)</f>
        <v/>
      </c>
      <c r="J82">
        <f>IF($AG82="","",INDEX('TMP Paste'!$A$2:$A$1601,$AG82))</f>
        <v/>
      </c>
      <c r="K82">
        <f>IF($AG82="","",INDEX('TMP Paste'!$L$2:$L$1601,$AG82))</f>
        <v/>
      </c>
      <c r="L82">
        <f>IF($AG82="","",INDEX('TMP Paste'!$I$2:$I$1601,$AG82))</f>
        <v/>
      </c>
      <c r="M82">
        <f>IF($AG82="","",Config!$B$16)</f>
        <v/>
      </c>
      <c r="N82">
        <f>IF($AG82="","","")</f>
        <v/>
      </c>
      <c r="O82">
        <f>IF($AG82="","",INDEX('TMP Paste'!$K$2:$K$1601,$AG82))</f>
        <v/>
      </c>
      <c r="P82">
        <f>IF($AG82="","","")</f>
        <v/>
      </c>
      <c r="Q82">
        <f>IF($AG82="","",INDEX('TMP Paste'!$J$2:$J$1601,$AG82))</f>
        <v/>
      </c>
      <c r="R82">
        <f>IF($AG82="","",Config!$B$24)</f>
        <v/>
      </c>
      <c r="S82">
        <f>IF($AG82="","",TEXT(Config!$B$4,"yyyy-mm-dd"))</f>
        <v/>
      </c>
      <c r="T82">
        <f>IF($AG82="","",Config!$B$17)</f>
        <v/>
      </c>
      <c r="U82">
        <f>IF($AG82="","",Config!$B$18)</f>
        <v/>
      </c>
      <c r="V82">
        <f>IF($AG82="","",Config!$B$19)</f>
        <v/>
      </c>
      <c r="W82">
        <f>IF($AG82="","",INDEX('TMP Paste'!$C$2:$C$1601,$AG82))</f>
        <v/>
      </c>
      <c r="X82">
        <f>IF($AG82="","",Config!$B$29)</f>
        <v/>
      </c>
      <c r="Y82">
        <f>IF($AH82="","",INDEX(Calc!$I$2:$I$1601,$AH82)&amp;" - "&amp;INDEX(Calc!$D$2:$D$1601,$AH82)&amp;" koli")</f>
        <v/>
      </c>
      <c r="Z82">
        <f>IF($AG82="","",Config!$B$21)</f>
        <v/>
      </c>
      <c r="AA82">
        <f>IF($AG82="","",Config!$B$22)</f>
        <v/>
      </c>
      <c r="AB82">
        <f>IF($AH82="","",INDEX(Calc!$D$2:$D$1601,$AH82))</f>
        <v/>
      </c>
      <c r="AC82">
        <f>IF($AH82="","",INDEX(Calc!$G$2:$G$1601,$AH82))</f>
        <v/>
      </c>
      <c r="AD82">
        <f>IF($AG82="","",Config!$B$23)</f>
        <v/>
      </c>
      <c r="AE82">
        <f>IF($AG82="","",Config!$B$28)</f>
        <v/>
      </c>
      <c r="AG82">
        <f>IFERROR(MATCH(ROW()-1,Calc!$J$2:$J$1601,0),"")</f>
        <v/>
      </c>
      <c r="AH82">
        <f>IFERROR(MATCH(ROW()-1,Calc!$K$2:$K$1601,0),"")</f>
        <v/>
      </c>
      <c r="AI82">
        <f>IF($AG82="","",SUMIF($AG$2:$AG82,$AG82,$AH$2:$AH82))</f>
        <v/>
      </c>
      <c r="AJ82">
        <f>IF('TMP Paste'!$F82="","",IF('TMP Paste'!$B82="",$AJ81,'TMP Paste'!$B82))</f>
        <v/>
      </c>
      <c r="AK82">
        <f>IF('TMP Paste'!$F82="","",N('TMP Paste'!$G82))</f>
        <v/>
      </c>
      <c r="AL82">
        <f>IF('TMP Paste'!$F82="","",IF('TMP Paste'!$M82="",$AL81,'TMP Paste'!$M82))</f>
        <v/>
      </c>
      <c r="AM82">
        <f>IF('TMP Paste'!$F82="","",IF('TMP Paste'!$N82="",$AM81,'TMP Paste'!$N82))</f>
        <v/>
      </c>
      <c r="AN82">
        <f>IF('TMP Paste'!$F82="","",IF('TMP Paste'!$O82="",$AN81,'TMP Paste'!$O82))</f>
        <v/>
      </c>
      <c r="AO82">
        <f>IF('TMP Paste'!$F82="","",IF('TMP Paste'!$P82="",$AO81,'TMP Paste'!$P82))</f>
        <v/>
      </c>
      <c r="AP82">
        <f>IF($AG82="","",LEN($R82))</f>
        <v/>
      </c>
      <c r="AQ82">
        <f>IF($AG82="","",TRIM(IF(COUNTIFS(Calc!$B$2:$B$1601,ROW()-1,Calc!$C$2:$C$1601,"&lt;1")&gt;0,"Ada PO tanpa Koli - cek TMP. ","")&amp;IF(LEN($R82)&gt;500,"R &gt; 500 karakter.","")))</f>
        <v/>
      </c>
    </row>
    <row r="83">
      <c r="A83">
        <f>IF($AG83="","",INDEX('TMP Paste'!$B$2:$B$1601,$AG83))</f>
        <v/>
      </c>
      <c r="B83">
        <f>IF($AG83="","",Config!$B$14)</f>
        <v/>
      </c>
      <c r="C83">
        <f>IF($AG83="","",Config!$B$15)</f>
        <v/>
      </c>
      <c r="D83">
        <f>IF($AG83="","",INDEX('TMP Paste'!$B$2:$B$1601,$AG83))</f>
        <v/>
      </c>
      <c r="E83">
        <f>IF($AG83="","",Config!$B$27)</f>
        <v/>
      </c>
      <c r="F83">
        <f>IF($AG83="","",Config!$B$9)</f>
        <v/>
      </c>
      <c r="G83">
        <f>IF($AG83="","",Config!$B$10)</f>
        <v/>
      </c>
      <c r="H83">
        <f>IF($AG83="","",Config!$B$11)</f>
        <v/>
      </c>
      <c r="I83">
        <f>IF($AG83="","",Config!$B$16)</f>
        <v/>
      </c>
      <c r="J83">
        <f>IF($AG83="","",INDEX('TMP Paste'!$A$2:$A$1601,$AG83))</f>
        <v/>
      </c>
      <c r="K83">
        <f>IF($AG83="","",INDEX('TMP Paste'!$L$2:$L$1601,$AG83))</f>
        <v/>
      </c>
      <c r="L83">
        <f>IF($AG83="","",INDEX('TMP Paste'!$I$2:$I$1601,$AG83))</f>
        <v/>
      </c>
      <c r="M83">
        <f>IF($AG83="","",Config!$B$16)</f>
        <v/>
      </c>
      <c r="N83">
        <f>IF($AG83="","","")</f>
        <v/>
      </c>
      <c r="O83">
        <f>IF($AG83="","",INDEX('TMP Paste'!$K$2:$K$1601,$AG83))</f>
        <v/>
      </c>
      <c r="P83">
        <f>IF($AG83="","","")</f>
        <v/>
      </c>
      <c r="Q83">
        <f>IF($AG83="","",INDEX('TMP Paste'!$J$2:$J$1601,$AG83))</f>
        <v/>
      </c>
      <c r="R83">
        <f>IF($AG83="","",Config!$B$24)</f>
        <v/>
      </c>
      <c r="S83">
        <f>IF($AG83="","",TEXT(Config!$B$4,"yyyy-mm-dd"))</f>
        <v/>
      </c>
      <c r="T83">
        <f>IF($AG83="","",Config!$B$17)</f>
        <v/>
      </c>
      <c r="U83">
        <f>IF($AG83="","",Config!$B$18)</f>
        <v/>
      </c>
      <c r="V83">
        <f>IF($AG83="","",Config!$B$19)</f>
        <v/>
      </c>
      <c r="W83">
        <f>IF($AG83="","",INDEX('TMP Paste'!$C$2:$C$1601,$AG83))</f>
        <v/>
      </c>
      <c r="X83">
        <f>IF($AG83="","",Config!$B$29)</f>
        <v/>
      </c>
      <c r="Y83">
        <f>IF($AH83="","",INDEX(Calc!$I$2:$I$1601,$AH83)&amp;" - "&amp;INDEX(Calc!$D$2:$D$1601,$AH83)&amp;" koli")</f>
        <v/>
      </c>
      <c r="Z83">
        <f>IF($AG83="","",Config!$B$21)</f>
        <v/>
      </c>
      <c r="AA83">
        <f>IF($AG83="","",Config!$B$22)</f>
        <v/>
      </c>
      <c r="AB83">
        <f>IF($AH83="","",INDEX(Calc!$D$2:$D$1601,$AH83))</f>
        <v/>
      </c>
      <c r="AC83">
        <f>IF($AH83="","",INDEX(Calc!$G$2:$G$1601,$AH83))</f>
        <v/>
      </c>
      <c r="AD83">
        <f>IF($AG83="","",Config!$B$23)</f>
        <v/>
      </c>
      <c r="AE83">
        <f>IF($AG83="","",Config!$B$28)</f>
        <v/>
      </c>
      <c r="AG83">
        <f>IFERROR(MATCH(ROW()-1,Calc!$J$2:$J$1601,0),"")</f>
        <v/>
      </c>
      <c r="AH83">
        <f>IFERROR(MATCH(ROW()-1,Calc!$K$2:$K$1601,0),"")</f>
        <v/>
      </c>
      <c r="AI83">
        <f>IF($AG83="","",SUMIF($AG$2:$AG83,$AG83,$AH$2:$AH83))</f>
        <v/>
      </c>
      <c r="AJ83">
        <f>IF('TMP Paste'!$F83="","",IF('TMP Paste'!$B83="",$AJ82,'TMP Paste'!$B83))</f>
        <v/>
      </c>
      <c r="AK83">
        <f>IF('TMP Paste'!$F83="","",N('TMP Paste'!$G83))</f>
        <v/>
      </c>
      <c r="AL83">
        <f>IF('TMP Paste'!$F83="","",IF('TMP Paste'!$M83="",$AL82,'TMP Paste'!$M83))</f>
        <v/>
      </c>
      <c r="AM83">
        <f>IF('TMP Paste'!$F83="","",IF('TMP Paste'!$N83="",$AM82,'TMP Paste'!$N83))</f>
        <v/>
      </c>
      <c r="AN83">
        <f>IF('TMP Paste'!$F83="","",IF('TMP Paste'!$O83="",$AN82,'TMP Paste'!$O83))</f>
        <v/>
      </c>
      <c r="AO83">
        <f>IF('TMP Paste'!$F83="","",IF('TMP Paste'!$P83="",$AO82,'TMP Paste'!$P83))</f>
        <v/>
      </c>
      <c r="AP83">
        <f>IF($AG83="","",LEN($R83))</f>
        <v/>
      </c>
      <c r="AQ83">
        <f>IF($AG83="","",TRIM(IF(COUNTIFS(Calc!$B$2:$B$1601,ROW()-1,Calc!$C$2:$C$1601,"&lt;1")&gt;0,"Ada PO tanpa Koli - cek TMP. ","")&amp;IF(LEN($R83)&gt;500,"R &gt; 500 karakter.","")))</f>
        <v/>
      </c>
    </row>
    <row r="84">
      <c r="A84">
        <f>IF($AG84="","",INDEX('TMP Paste'!$B$2:$B$1601,$AG84))</f>
        <v/>
      </c>
      <c r="B84">
        <f>IF($AG84="","",Config!$B$14)</f>
        <v/>
      </c>
      <c r="C84">
        <f>IF($AG84="","",Config!$B$15)</f>
        <v/>
      </c>
      <c r="D84">
        <f>IF($AG84="","",INDEX('TMP Paste'!$B$2:$B$1601,$AG84))</f>
        <v/>
      </c>
      <c r="E84">
        <f>IF($AG84="","",Config!$B$27)</f>
        <v/>
      </c>
      <c r="F84">
        <f>IF($AG84="","",Config!$B$9)</f>
        <v/>
      </c>
      <c r="G84">
        <f>IF($AG84="","",Config!$B$10)</f>
        <v/>
      </c>
      <c r="H84">
        <f>IF($AG84="","",Config!$B$11)</f>
        <v/>
      </c>
      <c r="I84">
        <f>IF($AG84="","",Config!$B$16)</f>
        <v/>
      </c>
      <c r="J84">
        <f>IF($AG84="","",INDEX('TMP Paste'!$A$2:$A$1601,$AG84))</f>
        <v/>
      </c>
      <c r="K84">
        <f>IF($AG84="","",INDEX('TMP Paste'!$L$2:$L$1601,$AG84))</f>
        <v/>
      </c>
      <c r="L84">
        <f>IF($AG84="","",INDEX('TMP Paste'!$I$2:$I$1601,$AG84))</f>
        <v/>
      </c>
      <c r="M84">
        <f>IF($AG84="","",Config!$B$16)</f>
        <v/>
      </c>
      <c r="N84">
        <f>IF($AG84="","","")</f>
        <v/>
      </c>
      <c r="O84">
        <f>IF($AG84="","",INDEX('TMP Paste'!$K$2:$K$1601,$AG84))</f>
        <v/>
      </c>
      <c r="P84">
        <f>IF($AG84="","","")</f>
        <v/>
      </c>
      <c r="Q84">
        <f>IF($AG84="","",INDEX('TMP Paste'!$J$2:$J$1601,$AG84))</f>
        <v/>
      </c>
      <c r="R84">
        <f>IF($AG84="","",Config!$B$24)</f>
        <v/>
      </c>
      <c r="S84">
        <f>IF($AG84="","",TEXT(Config!$B$4,"yyyy-mm-dd"))</f>
        <v/>
      </c>
      <c r="T84">
        <f>IF($AG84="","",Config!$B$17)</f>
        <v/>
      </c>
      <c r="U84">
        <f>IF($AG84="","",Config!$B$18)</f>
        <v/>
      </c>
      <c r="V84">
        <f>IF($AG84="","",Config!$B$19)</f>
        <v/>
      </c>
      <c r="W84">
        <f>IF($AG84="","",INDEX('TMP Paste'!$C$2:$C$1601,$AG84))</f>
        <v/>
      </c>
      <c r="X84">
        <f>IF($AG84="","",Config!$B$29)</f>
        <v/>
      </c>
      <c r="Y84">
        <f>IF($AH84="","",INDEX(Calc!$I$2:$I$1601,$AH84)&amp;" - "&amp;INDEX(Calc!$D$2:$D$1601,$AH84)&amp;" koli")</f>
        <v/>
      </c>
      <c r="Z84">
        <f>IF($AG84="","",Config!$B$21)</f>
        <v/>
      </c>
      <c r="AA84">
        <f>IF($AG84="","",Config!$B$22)</f>
        <v/>
      </c>
      <c r="AB84">
        <f>IF($AH84="","",INDEX(Calc!$D$2:$D$1601,$AH84))</f>
        <v/>
      </c>
      <c r="AC84">
        <f>IF($AH84="","",INDEX(Calc!$G$2:$G$1601,$AH84))</f>
        <v/>
      </c>
      <c r="AD84">
        <f>IF($AG84="","",Config!$B$23)</f>
        <v/>
      </c>
      <c r="AE84">
        <f>IF($AG84="","",Config!$B$28)</f>
        <v/>
      </c>
      <c r="AG84">
        <f>IFERROR(MATCH(ROW()-1,Calc!$J$2:$J$1601,0),"")</f>
        <v/>
      </c>
      <c r="AH84">
        <f>IFERROR(MATCH(ROW()-1,Calc!$K$2:$K$1601,0),"")</f>
        <v/>
      </c>
      <c r="AI84">
        <f>IF($AG84="","",SUMIF($AG$2:$AG84,$AG84,$AH$2:$AH84))</f>
        <v/>
      </c>
      <c r="AJ84">
        <f>IF('TMP Paste'!$F84="","",IF('TMP Paste'!$B84="",$AJ83,'TMP Paste'!$B84))</f>
        <v/>
      </c>
      <c r="AK84">
        <f>IF('TMP Paste'!$F84="","",N('TMP Paste'!$G84))</f>
        <v/>
      </c>
      <c r="AL84">
        <f>IF('TMP Paste'!$F84="","",IF('TMP Paste'!$M84="",$AL83,'TMP Paste'!$M84))</f>
        <v/>
      </c>
      <c r="AM84">
        <f>IF('TMP Paste'!$F84="","",IF('TMP Paste'!$N84="",$AM83,'TMP Paste'!$N84))</f>
        <v/>
      </c>
      <c r="AN84">
        <f>IF('TMP Paste'!$F84="","",IF('TMP Paste'!$O84="",$AN83,'TMP Paste'!$O84))</f>
        <v/>
      </c>
      <c r="AO84">
        <f>IF('TMP Paste'!$F84="","",IF('TMP Paste'!$P84="",$AO83,'TMP Paste'!$P84))</f>
        <v/>
      </c>
      <c r="AP84">
        <f>IF($AG84="","",LEN($R84))</f>
        <v/>
      </c>
      <c r="AQ84">
        <f>IF($AG84="","",TRIM(IF(COUNTIFS(Calc!$B$2:$B$1601,ROW()-1,Calc!$C$2:$C$1601,"&lt;1")&gt;0,"Ada PO tanpa Koli - cek TMP. ","")&amp;IF(LEN($R84)&gt;500,"R &gt; 500 karakter.","")))</f>
        <v/>
      </c>
    </row>
    <row r="85">
      <c r="A85">
        <f>IF($AG85="","",INDEX('TMP Paste'!$B$2:$B$1601,$AG85))</f>
        <v/>
      </c>
      <c r="B85">
        <f>IF($AG85="","",Config!$B$14)</f>
        <v/>
      </c>
      <c r="C85">
        <f>IF($AG85="","",Config!$B$15)</f>
        <v/>
      </c>
      <c r="D85">
        <f>IF($AG85="","",INDEX('TMP Paste'!$B$2:$B$1601,$AG85))</f>
        <v/>
      </c>
      <c r="E85">
        <f>IF($AG85="","",Config!$B$27)</f>
        <v/>
      </c>
      <c r="F85">
        <f>IF($AG85="","",Config!$B$9)</f>
        <v/>
      </c>
      <c r="G85">
        <f>IF($AG85="","",Config!$B$10)</f>
        <v/>
      </c>
      <c r="H85">
        <f>IF($AG85="","",Config!$B$11)</f>
        <v/>
      </c>
      <c r="I85">
        <f>IF($AG85="","",Config!$B$16)</f>
        <v/>
      </c>
      <c r="J85">
        <f>IF($AG85="","",INDEX('TMP Paste'!$A$2:$A$1601,$AG85))</f>
        <v/>
      </c>
      <c r="K85">
        <f>IF($AG85="","",INDEX('TMP Paste'!$L$2:$L$1601,$AG85))</f>
        <v/>
      </c>
      <c r="L85">
        <f>IF($AG85="","",INDEX('TMP Paste'!$I$2:$I$1601,$AG85))</f>
        <v/>
      </c>
      <c r="M85">
        <f>IF($AG85="","",Config!$B$16)</f>
        <v/>
      </c>
      <c r="N85">
        <f>IF($AG85="","","")</f>
        <v/>
      </c>
      <c r="O85">
        <f>IF($AG85="","",INDEX('TMP Paste'!$K$2:$K$1601,$AG85))</f>
        <v/>
      </c>
      <c r="P85">
        <f>IF($AG85="","","")</f>
        <v/>
      </c>
      <c r="Q85">
        <f>IF($AG85="","",INDEX('TMP Paste'!$J$2:$J$1601,$AG85))</f>
        <v/>
      </c>
      <c r="R85">
        <f>IF($AG85="","",Config!$B$24)</f>
        <v/>
      </c>
      <c r="S85">
        <f>IF($AG85="","",TEXT(Config!$B$4,"yyyy-mm-dd"))</f>
        <v/>
      </c>
      <c r="T85">
        <f>IF($AG85="","",Config!$B$17)</f>
        <v/>
      </c>
      <c r="U85">
        <f>IF($AG85="","",Config!$B$18)</f>
        <v/>
      </c>
      <c r="V85">
        <f>IF($AG85="","",Config!$B$19)</f>
        <v/>
      </c>
      <c r="W85">
        <f>IF($AG85="","",INDEX('TMP Paste'!$C$2:$C$1601,$AG85))</f>
        <v/>
      </c>
      <c r="X85">
        <f>IF($AG85="","",Config!$B$29)</f>
        <v/>
      </c>
      <c r="Y85">
        <f>IF($AH85="","",INDEX(Calc!$I$2:$I$1601,$AH85)&amp;" - "&amp;INDEX(Calc!$D$2:$D$1601,$AH85)&amp;" koli")</f>
        <v/>
      </c>
      <c r="Z85">
        <f>IF($AG85="","",Config!$B$21)</f>
        <v/>
      </c>
      <c r="AA85">
        <f>IF($AG85="","",Config!$B$22)</f>
        <v/>
      </c>
      <c r="AB85">
        <f>IF($AH85="","",INDEX(Calc!$D$2:$D$1601,$AH85))</f>
        <v/>
      </c>
      <c r="AC85">
        <f>IF($AH85="","",INDEX(Calc!$G$2:$G$1601,$AH85))</f>
        <v/>
      </c>
      <c r="AD85">
        <f>IF($AG85="","",Config!$B$23)</f>
        <v/>
      </c>
      <c r="AE85">
        <f>IF($AG85="","",Config!$B$28)</f>
        <v/>
      </c>
      <c r="AG85">
        <f>IFERROR(MATCH(ROW()-1,Calc!$J$2:$J$1601,0),"")</f>
        <v/>
      </c>
      <c r="AH85">
        <f>IFERROR(MATCH(ROW()-1,Calc!$K$2:$K$1601,0),"")</f>
        <v/>
      </c>
      <c r="AI85">
        <f>IF($AG85="","",SUMIF($AG$2:$AG85,$AG85,$AH$2:$AH85))</f>
        <v/>
      </c>
      <c r="AJ85">
        <f>IF('TMP Paste'!$F85="","",IF('TMP Paste'!$B85="",$AJ84,'TMP Paste'!$B85))</f>
        <v/>
      </c>
      <c r="AK85">
        <f>IF('TMP Paste'!$F85="","",N('TMP Paste'!$G85))</f>
        <v/>
      </c>
      <c r="AL85">
        <f>IF('TMP Paste'!$F85="","",IF('TMP Paste'!$M85="",$AL84,'TMP Paste'!$M85))</f>
        <v/>
      </c>
      <c r="AM85">
        <f>IF('TMP Paste'!$F85="","",IF('TMP Paste'!$N85="",$AM84,'TMP Paste'!$N85))</f>
        <v/>
      </c>
      <c r="AN85">
        <f>IF('TMP Paste'!$F85="","",IF('TMP Paste'!$O85="",$AN84,'TMP Paste'!$O85))</f>
        <v/>
      </c>
      <c r="AO85">
        <f>IF('TMP Paste'!$F85="","",IF('TMP Paste'!$P85="",$AO84,'TMP Paste'!$P85))</f>
        <v/>
      </c>
      <c r="AP85">
        <f>IF($AG85="","",LEN($R85))</f>
        <v/>
      </c>
      <c r="AQ85">
        <f>IF($AG85="","",TRIM(IF(COUNTIFS(Calc!$B$2:$B$1601,ROW()-1,Calc!$C$2:$C$1601,"&lt;1")&gt;0,"Ada PO tanpa Koli - cek TMP. ","")&amp;IF(LEN($R85)&gt;500,"R &gt; 500 karakter.","")))</f>
        <v/>
      </c>
    </row>
    <row r="86">
      <c r="A86">
        <f>IF($AG86="","",INDEX('TMP Paste'!$B$2:$B$1601,$AG86))</f>
        <v/>
      </c>
      <c r="B86">
        <f>IF($AG86="","",Config!$B$14)</f>
        <v/>
      </c>
      <c r="C86">
        <f>IF($AG86="","",Config!$B$15)</f>
        <v/>
      </c>
      <c r="D86">
        <f>IF($AG86="","",INDEX('TMP Paste'!$B$2:$B$1601,$AG86))</f>
        <v/>
      </c>
      <c r="E86">
        <f>IF($AG86="","",Config!$B$27)</f>
        <v/>
      </c>
      <c r="F86">
        <f>IF($AG86="","",Config!$B$9)</f>
        <v/>
      </c>
      <c r="G86">
        <f>IF($AG86="","",Config!$B$10)</f>
        <v/>
      </c>
      <c r="H86">
        <f>IF($AG86="","",Config!$B$11)</f>
        <v/>
      </c>
      <c r="I86">
        <f>IF($AG86="","",Config!$B$16)</f>
        <v/>
      </c>
      <c r="J86">
        <f>IF($AG86="","",INDEX('TMP Paste'!$A$2:$A$1601,$AG86))</f>
        <v/>
      </c>
      <c r="K86">
        <f>IF($AG86="","",INDEX('TMP Paste'!$L$2:$L$1601,$AG86))</f>
        <v/>
      </c>
      <c r="L86">
        <f>IF($AG86="","",INDEX('TMP Paste'!$I$2:$I$1601,$AG86))</f>
        <v/>
      </c>
      <c r="M86">
        <f>IF($AG86="","",Config!$B$16)</f>
        <v/>
      </c>
      <c r="N86">
        <f>IF($AG86="","","")</f>
        <v/>
      </c>
      <c r="O86">
        <f>IF($AG86="","",INDEX('TMP Paste'!$K$2:$K$1601,$AG86))</f>
        <v/>
      </c>
      <c r="P86">
        <f>IF($AG86="","","")</f>
        <v/>
      </c>
      <c r="Q86">
        <f>IF($AG86="","",INDEX('TMP Paste'!$J$2:$J$1601,$AG86))</f>
        <v/>
      </c>
      <c r="R86">
        <f>IF($AG86="","",Config!$B$24)</f>
        <v/>
      </c>
      <c r="S86">
        <f>IF($AG86="","",TEXT(Config!$B$4,"yyyy-mm-dd"))</f>
        <v/>
      </c>
      <c r="T86">
        <f>IF($AG86="","",Config!$B$17)</f>
        <v/>
      </c>
      <c r="U86">
        <f>IF($AG86="","",Config!$B$18)</f>
        <v/>
      </c>
      <c r="V86">
        <f>IF($AG86="","",Config!$B$19)</f>
        <v/>
      </c>
      <c r="W86">
        <f>IF($AG86="","",INDEX('TMP Paste'!$C$2:$C$1601,$AG86))</f>
        <v/>
      </c>
      <c r="X86">
        <f>IF($AG86="","",Config!$B$29)</f>
        <v/>
      </c>
      <c r="Y86">
        <f>IF($AH86="","",INDEX(Calc!$I$2:$I$1601,$AH86)&amp;" - "&amp;INDEX(Calc!$D$2:$D$1601,$AH86)&amp;" koli")</f>
        <v/>
      </c>
      <c r="Z86">
        <f>IF($AG86="","",Config!$B$21)</f>
        <v/>
      </c>
      <c r="AA86">
        <f>IF($AG86="","",Config!$B$22)</f>
        <v/>
      </c>
      <c r="AB86">
        <f>IF($AH86="","",INDEX(Calc!$D$2:$D$1601,$AH86))</f>
        <v/>
      </c>
      <c r="AC86">
        <f>IF($AH86="","",INDEX(Calc!$G$2:$G$1601,$AH86))</f>
        <v/>
      </c>
      <c r="AD86">
        <f>IF($AG86="","",Config!$B$23)</f>
        <v/>
      </c>
      <c r="AE86">
        <f>IF($AG86="","",Config!$B$28)</f>
        <v/>
      </c>
      <c r="AG86">
        <f>IFERROR(MATCH(ROW()-1,Calc!$J$2:$J$1601,0),"")</f>
        <v/>
      </c>
      <c r="AH86">
        <f>IFERROR(MATCH(ROW()-1,Calc!$K$2:$K$1601,0),"")</f>
        <v/>
      </c>
      <c r="AI86">
        <f>IF($AG86="","",SUMIF($AG$2:$AG86,$AG86,$AH$2:$AH86))</f>
        <v/>
      </c>
      <c r="AJ86">
        <f>IF('TMP Paste'!$F86="","",IF('TMP Paste'!$B86="",$AJ85,'TMP Paste'!$B86))</f>
        <v/>
      </c>
      <c r="AK86">
        <f>IF('TMP Paste'!$F86="","",N('TMP Paste'!$G86))</f>
        <v/>
      </c>
      <c r="AL86">
        <f>IF('TMP Paste'!$F86="","",IF('TMP Paste'!$M86="",$AL85,'TMP Paste'!$M86))</f>
        <v/>
      </c>
      <c r="AM86">
        <f>IF('TMP Paste'!$F86="","",IF('TMP Paste'!$N86="",$AM85,'TMP Paste'!$N86))</f>
        <v/>
      </c>
      <c r="AN86">
        <f>IF('TMP Paste'!$F86="","",IF('TMP Paste'!$O86="",$AN85,'TMP Paste'!$O86))</f>
        <v/>
      </c>
      <c r="AO86">
        <f>IF('TMP Paste'!$F86="","",IF('TMP Paste'!$P86="",$AO85,'TMP Paste'!$P86))</f>
        <v/>
      </c>
      <c r="AP86">
        <f>IF($AG86="","",LEN($R86))</f>
        <v/>
      </c>
      <c r="AQ86">
        <f>IF($AG86="","",TRIM(IF(COUNTIFS(Calc!$B$2:$B$1601,ROW()-1,Calc!$C$2:$C$1601,"&lt;1")&gt;0,"Ada PO tanpa Koli - cek TMP. ","")&amp;IF(LEN($R86)&gt;500,"R &gt; 500 karakter.","")))</f>
        <v/>
      </c>
    </row>
    <row r="87">
      <c r="A87">
        <f>IF($AG87="","",INDEX('TMP Paste'!$B$2:$B$1601,$AG87))</f>
        <v/>
      </c>
      <c r="B87">
        <f>IF($AG87="","",Config!$B$14)</f>
        <v/>
      </c>
      <c r="C87">
        <f>IF($AG87="","",Config!$B$15)</f>
        <v/>
      </c>
      <c r="D87">
        <f>IF($AG87="","",INDEX('TMP Paste'!$B$2:$B$1601,$AG87))</f>
        <v/>
      </c>
      <c r="E87">
        <f>IF($AG87="","",Config!$B$27)</f>
        <v/>
      </c>
      <c r="F87">
        <f>IF($AG87="","",Config!$B$9)</f>
        <v/>
      </c>
      <c r="G87">
        <f>IF($AG87="","",Config!$B$10)</f>
        <v/>
      </c>
      <c r="H87">
        <f>IF($AG87="","",Config!$B$11)</f>
        <v/>
      </c>
      <c r="I87">
        <f>IF($AG87="","",Config!$B$16)</f>
        <v/>
      </c>
      <c r="J87">
        <f>IF($AG87="","",INDEX('TMP Paste'!$A$2:$A$1601,$AG87))</f>
        <v/>
      </c>
      <c r="K87">
        <f>IF($AG87="","",INDEX('TMP Paste'!$L$2:$L$1601,$AG87))</f>
        <v/>
      </c>
      <c r="L87">
        <f>IF($AG87="","",INDEX('TMP Paste'!$I$2:$I$1601,$AG87))</f>
        <v/>
      </c>
      <c r="M87">
        <f>IF($AG87="","",Config!$B$16)</f>
        <v/>
      </c>
      <c r="N87">
        <f>IF($AG87="","","")</f>
        <v/>
      </c>
      <c r="O87">
        <f>IF($AG87="","",INDEX('TMP Paste'!$K$2:$K$1601,$AG87))</f>
        <v/>
      </c>
      <c r="P87">
        <f>IF($AG87="","","")</f>
        <v/>
      </c>
      <c r="Q87">
        <f>IF($AG87="","",INDEX('TMP Paste'!$J$2:$J$1601,$AG87))</f>
        <v/>
      </c>
      <c r="R87">
        <f>IF($AG87="","",Config!$B$24)</f>
        <v/>
      </c>
      <c r="S87">
        <f>IF($AG87="","",TEXT(Config!$B$4,"yyyy-mm-dd"))</f>
        <v/>
      </c>
      <c r="T87">
        <f>IF($AG87="","",Config!$B$17)</f>
        <v/>
      </c>
      <c r="U87">
        <f>IF($AG87="","",Config!$B$18)</f>
        <v/>
      </c>
      <c r="V87">
        <f>IF($AG87="","",Config!$B$19)</f>
        <v/>
      </c>
      <c r="W87">
        <f>IF($AG87="","",INDEX('TMP Paste'!$C$2:$C$1601,$AG87))</f>
        <v/>
      </c>
      <c r="X87">
        <f>IF($AG87="","",Config!$B$29)</f>
        <v/>
      </c>
      <c r="Y87">
        <f>IF($AH87="","",INDEX(Calc!$I$2:$I$1601,$AH87)&amp;" - "&amp;INDEX(Calc!$D$2:$D$1601,$AH87)&amp;" koli")</f>
        <v/>
      </c>
      <c r="Z87">
        <f>IF($AG87="","",Config!$B$21)</f>
        <v/>
      </c>
      <c r="AA87">
        <f>IF($AG87="","",Config!$B$22)</f>
        <v/>
      </c>
      <c r="AB87">
        <f>IF($AH87="","",INDEX(Calc!$D$2:$D$1601,$AH87))</f>
        <v/>
      </c>
      <c r="AC87">
        <f>IF($AH87="","",INDEX(Calc!$G$2:$G$1601,$AH87))</f>
        <v/>
      </c>
      <c r="AD87">
        <f>IF($AG87="","",Config!$B$23)</f>
        <v/>
      </c>
      <c r="AE87">
        <f>IF($AG87="","",Config!$B$28)</f>
        <v/>
      </c>
      <c r="AG87">
        <f>IFERROR(MATCH(ROW()-1,Calc!$J$2:$J$1601,0),"")</f>
        <v/>
      </c>
      <c r="AH87">
        <f>IFERROR(MATCH(ROW()-1,Calc!$K$2:$K$1601,0),"")</f>
        <v/>
      </c>
      <c r="AI87">
        <f>IF($AG87="","",SUMIF($AG$2:$AG87,$AG87,$AH$2:$AH87))</f>
        <v/>
      </c>
      <c r="AJ87">
        <f>IF('TMP Paste'!$F87="","",IF('TMP Paste'!$B87="",$AJ86,'TMP Paste'!$B87))</f>
        <v/>
      </c>
      <c r="AK87">
        <f>IF('TMP Paste'!$F87="","",N('TMP Paste'!$G87))</f>
        <v/>
      </c>
      <c r="AL87">
        <f>IF('TMP Paste'!$F87="","",IF('TMP Paste'!$M87="",$AL86,'TMP Paste'!$M87))</f>
        <v/>
      </c>
      <c r="AM87">
        <f>IF('TMP Paste'!$F87="","",IF('TMP Paste'!$N87="",$AM86,'TMP Paste'!$N87))</f>
        <v/>
      </c>
      <c r="AN87">
        <f>IF('TMP Paste'!$F87="","",IF('TMP Paste'!$O87="",$AN86,'TMP Paste'!$O87))</f>
        <v/>
      </c>
      <c r="AO87">
        <f>IF('TMP Paste'!$F87="","",IF('TMP Paste'!$P87="",$AO86,'TMP Paste'!$P87))</f>
        <v/>
      </c>
      <c r="AP87">
        <f>IF($AG87="","",LEN($R87))</f>
        <v/>
      </c>
      <c r="AQ87">
        <f>IF($AG87="","",TRIM(IF(COUNTIFS(Calc!$B$2:$B$1601,ROW()-1,Calc!$C$2:$C$1601,"&lt;1")&gt;0,"Ada PO tanpa Koli - cek TMP. ","")&amp;IF(LEN($R87)&gt;500,"R &gt; 500 karakter.","")))</f>
        <v/>
      </c>
    </row>
    <row r="88">
      <c r="A88">
        <f>IF($AG88="","",INDEX('TMP Paste'!$B$2:$B$1601,$AG88))</f>
        <v/>
      </c>
      <c r="B88">
        <f>IF($AG88="","",Config!$B$14)</f>
        <v/>
      </c>
      <c r="C88">
        <f>IF($AG88="","",Config!$B$15)</f>
        <v/>
      </c>
      <c r="D88">
        <f>IF($AG88="","",INDEX('TMP Paste'!$B$2:$B$1601,$AG88))</f>
        <v/>
      </c>
      <c r="E88">
        <f>IF($AG88="","",Config!$B$27)</f>
        <v/>
      </c>
      <c r="F88">
        <f>IF($AG88="","",Config!$B$9)</f>
        <v/>
      </c>
      <c r="G88">
        <f>IF($AG88="","",Config!$B$10)</f>
        <v/>
      </c>
      <c r="H88">
        <f>IF($AG88="","",Config!$B$11)</f>
        <v/>
      </c>
      <c r="I88">
        <f>IF($AG88="","",Config!$B$16)</f>
        <v/>
      </c>
      <c r="J88">
        <f>IF($AG88="","",INDEX('TMP Paste'!$A$2:$A$1601,$AG88))</f>
        <v/>
      </c>
      <c r="K88">
        <f>IF($AG88="","",INDEX('TMP Paste'!$L$2:$L$1601,$AG88))</f>
        <v/>
      </c>
      <c r="L88">
        <f>IF($AG88="","",INDEX('TMP Paste'!$I$2:$I$1601,$AG88))</f>
        <v/>
      </c>
      <c r="M88">
        <f>IF($AG88="","",Config!$B$16)</f>
        <v/>
      </c>
      <c r="N88">
        <f>IF($AG88="","","")</f>
        <v/>
      </c>
      <c r="O88">
        <f>IF($AG88="","",INDEX('TMP Paste'!$K$2:$K$1601,$AG88))</f>
        <v/>
      </c>
      <c r="P88">
        <f>IF($AG88="","","")</f>
        <v/>
      </c>
      <c r="Q88">
        <f>IF($AG88="","",INDEX('TMP Paste'!$J$2:$J$1601,$AG88))</f>
        <v/>
      </c>
      <c r="R88">
        <f>IF($AG88="","",Config!$B$24)</f>
        <v/>
      </c>
      <c r="S88">
        <f>IF($AG88="","",TEXT(Config!$B$4,"yyyy-mm-dd"))</f>
        <v/>
      </c>
      <c r="T88">
        <f>IF($AG88="","",Config!$B$17)</f>
        <v/>
      </c>
      <c r="U88">
        <f>IF($AG88="","",Config!$B$18)</f>
        <v/>
      </c>
      <c r="V88">
        <f>IF($AG88="","",Config!$B$19)</f>
        <v/>
      </c>
      <c r="W88">
        <f>IF($AG88="","",INDEX('TMP Paste'!$C$2:$C$1601,$AG88))</f>
        <v/>
      </c>
      <c r="X88">
        <f>IF($AG88="","",Config!$B$29)</f>
        <v/>
      </c>
      <c r="Y88">
        <f>IF($AH88="","",INDEX(Calc!$I$2:$I$1601,$AH88)&amp;" - "&amp;INDEX(Calc!$D$2:$D$1601,$AH88)&amp;" koli")</f>
        <v/>
      </c>
      <c r="Z88">
        <f>IF($AG88="","",Config!$B$21)</f>
        <v/>
      </c>
      <c r="AA88">
        <f>IF($AG88="","",Config!$B$22)</f>
        <v/>
      </c>
      <c r="AB88">
        <f>IF($AH88="","",INDEX(Calc!$D$2:$D$1601,$AH88))</f>
        <v/>
      </c>
      <c r="AC88">
        <f>IF($AH88="","",INDEX(Calc!$G$2:$G$1601,$AH88))</f>
        <v/>
      </c>
      <c r="AD88">
        <f>IF($AG88="","",Config!$B$23)</f>
        <v/>
      </c>
      <c r="AE88">
        <f>IF($AG88="","",Config!$B$28)</f>
        <v/>
      </c>
      <c r="AG88">
        <f>IFERROR(MATCH(ROW()-1,Calc!$J$2:$J$1601,0),"")</f>
        <v/>
      </c>
      <c r="AH88">
        <f>IFERROR(MATCH(ROW()-1,Calc!$K$2:$K$1601,0),"")</f>
        <v/>
      </c>
      <c r="AI88">
        <f>IF($AG88="","",SUMIF($AG$2:$AG88,$AG88,$AH$2:$AH88))</f>
        <v/>
      </c>
      <c r="AJ88">
        <f>IF('TMP Paste'!$F88="","",IF('TMP Paste'!$B88="",$AJ87,'TMP Paste'!$B88))</f>
        <v/>
      </c>
      <c r="AK88">
        <f>IF('TMP Paste'!$F88="","",N('TMP Paste'!$G88))</f>
        <v/>
      </c>
      <c r="AL88">
        <f>IF('TMP Paste'!$F88="","",IF('TMP Paste'!$M88="",$AL87,'TMP Paste'!$M88))</f>
        <v/>
      </c>
      <c r="AM88">
        <f>IF('TMP Paste'!$F88="","",IF('TMP Paste'!$N88="",$AM87,'TMP Paste'!$N88))</f>
        <v/>
      </c>
      <c r="AN88">
        <f>IF('TMP Paste'!$F88="","",IF('TMP Paste'!$O88="",$AN87,'TMP Paste'!$O88))</f>
        <v/>
      </c>
      <c r="AO88">
        <f>IF('TMP Paste'!$F88="","",IF('TMP Paste'!$P88="",$AO87,'TMP Paste'!$P88))</f>
        <v/>
      </c>
      <c r="AP88">
        <f>IF($AG88="","",LEN($R88))</f>
        <v/>
      </c>
      <c r="AQ88">
        <f>IF($AG88="","",TRIM(IF(COUNTIFS(Calc!$B$2:$B$1601,ROW()-1,Calc!$C$2:$C$1601,"&lt;1")&gt;0,"Ada PO tanpa Koli - cek TMP. ","")&amp;IF(LEN($R88)&gt;500,"R &gt; 500 karakter.","")))</f>
        <v/>
      </c>
    </row>
    <row r="89">
      <c r="A89">
        <f>IF($AG89="","",INDEX('TMP Paste'!$B$2:$B$1601,$AG89))</f>
        <v/>
      </c>
      <c r="B89">
        <f>IF($AG89="","",Config!$B$14)</f>
        <v/>
      </c>
      <c r="C89">
        <f>IF($AG89="","",Config!$B$15)</f>
        <v/>
      </c>
      <c r="D89">
        <f>IF($AG89="","",INDEX('TMP Paste'!$B$2:$B$1601,$AG89))</f>
        <v/>
      </c>
      <c r="E89">
        <f>IF($AG89="","",Config!$B$27)</f>
        <v/>
      </c>
      <c r="F89">
        <f>IF($AG89="","",Config!$B$9)</f>
        <v/>
      </c>
      <c r="G89">
        <f>IF($AG89="","",Config!$B$10)</f>
        <v/>
      </c>
      <c r="H89">
        <f>IF($AG89="","",Config!$B$11)</f>
        <v/>
      </c>
      <c r="I89">
        <f>IF($AG89="","",Config!$B$16)</f>
        <v/>
      </c>
      <c r="J89">
        <f>IF($AG89="","",INDEX('TMP Paste'!$A$2:$A$1601,$AG89))</f>
        <v/>
      </c>
      <c r="K89">
        <f>IF($AG89="","",INDEX('TMP Paste'!$L$2:$L$1601,$AG89))</f>
        <v/>
      </c>
      <c r="L89">
        <f>IF($AG89="","",INDEX('TMP Paste'!$I$2:$I$1601,$AG89))</f>
        <v/>
      </c>
      <c r="M89">
        <f>IF($AG89="","",Config!$B$16)</f>
        <v/>
      </c>
      <c r="N89">
        <f>IF($AG89="","","")</f>
        <v/>
      </c>
      <c r="O89">
        <f>IF($AG89="","",INDEX('TMP Paste'!$K$2:$K$1601,$AG89))</f>
        <v/>
      </c>
      <c r="P89">
        <f>IF($AG89="","","")</f>
        <v/>
      </c>
      <c r="Q89">
        <f>IF($AG89="","",INDEX('TMP Paste'!$J$2:$J$1601,$AG89))</f>
        <v/>
      </c>
      <c r="R89">
        <f>IF($AG89="","",Config!$B$24)</f>
        <v/>
      </c>
      <c r="S89">
        <f>IF($AG89="","",TEXT(Config!$B$4,"yyyy-mm-dd"))</f>
        <v/>
      </c>
      <c r="T89">
        <f>IF($AG89="","",Config!$B$17)</f>
        <v/>
      </c>
      <c r="U89">
        <f>IF($AG89="","",Config!$B$18)</f>
        <v/>
      </c>
      <c r="V89">
        <f>IF($AG89="","",Config!$B$19)</f>
        <v/>
      </c>
      <c r="W89">
        <f>IF($AG89="","",INDEX('TMP Paste'!$C$2:$C$1601,$AG89))</f>
        <v/>
      </c>
      <c r="X89">
        <f>IF($AG89="","",Config!$B$29)</f>
        <v/>
      </c>
      <c r="Y89">
        <f>IF($AH89="","",INDEX(Calc!$I$2:$I$1601,$AH89)&amp;" - "&amp;INDEX(Calc!$D$2:$D$1601,$AH89)&amp;" koli")</f>
        <v/>
      </c>
      <c r="Z89">
        <f>IF($AG89="","",Config!$B$21)</f>
        <v/>
      </c>
      <c r="AA89">
        <f>IF($AG89="","",Config!$B$22)</f>
        <v/>
      </c>
      <c r="AB89">
        <f>IF($AH89="","",INDEX(Calc!$D$2:$D$1601,$AH89))</f>
        <v/>
      </c>
      <c r="AC89">
        <f>IF($AH89="","",INDEX(Calc!$G$2:$G$1601,$AH89))</f>
        <v/>
      </c>
      <c r="AD89">
        <f>IF($AG89="","",Config!$B$23)</f>
        <v/>
      </c>
      <c r="AE89">
        <f>IF($AG89="","",Config!$B$28)</f>
        <v/>
      </c>
      <c r="AG89">
        <f>IFERROR(MATCH(ROW()-1,Calc!$J$2:$J$1601,0),"")</f>
        <v/>
      </c>
      <c r="AH89">
        <f>IFERROR(MATCH(ROW()-1,Calc!$K$2:$K$1601,0),"")</f>
        <v/>
      </c>
      <c r="AI89">
        <f>IF($AG89="","",SUMIF($AG$2:$AG89,$AG89,$AH$2:$AH89))</f>
        <v/>
      </c>
      <c r="AJ89">
        <f>IF('TMP Paste'!$F89="","",IF('TMP Paste'!$B89="",$AJ88,'TMP Paste'!$B89))</f>
        <v/>
      </c>
      <c r="AK89">
        <f>IF('TMP Paste'!$F89="","",N('TMP Paste'!$G89))</f>
        <v/>
      </c>
      <c r="AL89">
        <f>IF('TMP Paste'!$F89="","",IF('TMP Paste'!$M89="",$AL88,'TMP Paste'!$M89))</f>
        <v/>
      </c>
      <c r="AM89">
        <f>IF('TMP Paste'!$F89="","",IF('TMP Paste'!$N89="",$AM88,'TMP Paste'!$N89))</f>
        <v/>
      </c>
      <c r="AN89">
        <f>IF('TMP Paste'!$F89="","",IF('TMP Paste'!$O89="",$AN88,'TMP Paste'!$O89))</f>
        <v/>
      </c>
      <c r="AO89">
        <f>IF('TMP Paste'!$F89="","",IF('TMP Paste'!$P89="",$AO88,'TMP Paste'!$P89))</f>
        <v/>
      </c>
      <c r="AP89">
        <f>IF($AG89="","",LEN($R89))</f>
        <v/>
      </c>
      <c r="AQ89">
        <f>IF($AG89="","",TRIM(IF(COUNTIFS(Calc!$B$2:$B$1601,ROW()-1,Calc!$C$2:$C$1601,"&lt;1")&gt;0,"Ada PO tanpa Koli - cek TMP. ","")&amp;IF(LEN($R89)&gt;500,"R &gt; 500 karakter.","")))</f>
        <v/>
      </c>
    </row>
    <row r="90">
      <c r="A90">
        <f>IF($AG90="","",INDEX('TMP Paste'!$B$2:$B$1601,$AG90))</f>
        <v/>
      </c>
      <c r="B90">
        <f>IF($AG90="","",Config!$B$14)</f>
        <v/>
      </c>
      <c r="C90">
        <f>IF($AG90="","",Config!$B$15)</f>
        <v/>
      </c>
      <c r="D90">
        <f>IF($AG90="","",INDEX('TMP Paste'!$B$2:$B$1601,$AG90))</f>
        <v/>
      </c>
      <c r="E90">
        <f>IF($AG90="","",Config!$B$27)</f>
        <v/>
      </c>
      <c r="F90">
        <f>IF($AG90="","",Config!$B$9)</f>
        <v/>
      </c>
      <c r="G90">
        <f>IF($AG90="","",Config!$B$10)</f>
        <v/>
      </c>
      <c r="H90">
        <f>IF($AG90="","",Config!$B$11)</f>
        <v/>
      </c>
      <c r="I90">
        <f>IF($AG90="","",Config!$B$16)</f>
        <v/>
      </c>
      <c r="J90">
        <f>IF($AG90="","",INDEX('TMP Paste'!$A$2:$A$1601,$AG90))</f>
        <v/>
      </c>
      <c r="K90">
        <f>IF($AG90="","",INDEX('TMP Paste'!$L$2:$L$1601,$AG90))</f>
        <v/>
      </c>
      <c r="L90">
        <f>IF($AG90="","",INDEX('TMP Paste'!$I$2:$I$1601,$AG90))</f>
        <v/>
      </c>
      <c r="M90">
        <f>IF($AG90="","",Config!$B$16)</f>
        <v/>
      </c>
      <c r="N90">
        <f>IF($AG90="","","")</f>
        <v/>
      </c>
      <c r="O90">
        <f>IF($AG90="","",INDEX('TMP Paste'!$K$2:$K$1601,$AG90))</f>
        <v/>
      </c>
      <c r="P90">
        <f>IF($AG90="","","")</f>
        <v/>
      </c>
      <c r="Q90">
        <f>IF($AG90="","",INDEX('TMP Paste'!$J$2:$J$1601,$AG90))</f>
        <v/>
      </c>
      <c r="R90">
        <f>IF($AG90="","",Config!$B$24)</f>
        <v/>
      </c>
      <c r="S90">
        <f>IF($AG90="","",TEXT(Config!$B$4,"yyyy-mm-dd"))</f>
        <v/>
      </c>
      <c r="T90">
        <f>IF($AG90="","",Config!$B$17)</f>
        <v/>
      </c>
      <c r="U90">
        <f>IF($AG90="","",Config!$B$18)</f>
        <v/>
      </c>
      <c r="V90">
        <f>IF($AG90="","",Config!$B$19)</f>
        <v/>
      </c>
      <c r="W90">
        <f>IF($AG90="","",INDEX('TMP Paste'!$C$2:$C$1601,$AG90))</f>
        <v/>
      </c>
      <c r="X90">
        <f>IF($AG90="","",Config!$B$29)</f>
        <v/>
      </c>
      <c r="Y90">
        <f>IF($AH90="","",INDEX(Calc!$I$2:$I$1601,$AH90)&amp;" - "&amp;INDEX(Calc!$D$2:$D$1601,$AH90)&amp;" koli")</f>
        <v/>
      </c>
      <c r="Z90">
        <f>IF($AG90="","",Config!$B$21)</f>
        <v/>
      </c>
      <c r="AA90">
        <f>IF($AG90="","",Config!$B$22)</f>
        <v/>
      </c>
      <c r="AB90">
        <f>IF($AH90="","",INDEX(Calc!$D$2:$D$1601,$AH90))</f>
        <v/>
      </c>
      <c r="AC90">
        <f>IF($AH90="","",INDEX(Calc!$G$2:$G$1601,$AH90))</f>
        <v/>
      </c>
      <c r="AD90">
        <f>IF($AG90="","",Config!$B$23)</f>
        <v/>
      </c>
      <c r="AE90">
        <f>IF($AG90="","",Config!$B$28)</f>
        <v/>
      </c>
      <c r="AG90">
        <f>IFERROR(MATCH(ROW()-1,Calc!$J$2:$J$1601,0),"")</f>
        <v/>
      </c>
      <c r="AH90">
        <f>IFERROR(MATCH(ROW()-1,Calc!$K$2:$K$1601,0),"")</f>
        <v/>
      </c>
      <c r="AI90">
        <f>IF($AG90="","",SUMIF($AG$2:$AG90,$AG90,$AH$2:$AH90))</f>
        <v/>
      </c>
      <c r="AJ90">
        <f>IF('TMP Paste'!$F90="","",IF('TMP Paste'!$B90="",$AJ89,'TMP Paste'!$B90))</f>
        <v/>
      </c>
      <c r="AK90">
        <f>IF('TMP Paste'!$F90="","",N('TMP Paste'!$G90))</f>
        <v/>
      </c>
      <c r="AL90">
        <f>IF('TMP Paste'!$F90="","",IF('TMP Paste'!$M90="",$AL89,'TMP Paste'!$M90))</f>
        <v/>
      </c>
      <c r="AM90">
        <f>IF('TMP Paste'!$F90="","",IF('TMP Paste'!$N90="",$AM89,'TMP Paste'!$N90))</f>
        <v/>
      </c>
      <c r="AN90">
        <f>IF('TMP Paste'!$F90="","",IF('TMP Paste'!$O90="",$AN89,'TMP Paste'!$O90))</f>
        <v/>
      </c>
      <c r="AO90">
        <f>IF('TMP Paste'!$F90="","",IF('TMP Paste'!$P90="",$AO89,'TMP Paste'!$P90))</f>
        <v/>
      </c>
      <c r="AP90">
        <f>IF($AG90="","",LEN($R90))</f>
        <v/>
      </c>
      <c r="AQ90">
        <f>IF($AG90="","",TRIM(IF(COUNTIFS(Calc!$B$2:$B$1601,ROW()-1,Calc!$C$2:$C$1601,"&lt;1")&gt;0,"Ada PO tanpa Koli - cek TMP. ","")&amp;IF(LEN($R90)&gt;500,"R &gt; 500 karakter.","")))</f>
        <v/>
      </c>
    </row>
    <row r="91">
      <c r="A91">
        <f>IF($AG91="","",INDEX('TMP Paste'!$B$2:$B$1601,$AG91))</f>
        <v/>
      </c>
      <c r="B91">
        <f>IF($AG91="","",Config!$B$14)</f>
        <v/>
      </c>
      <c r="C91">
        <f>IF($AG91="","",Config!$B$15)</f>
        <v/>
      </c>
      <c r="D91">
        <f>IF($AG91="","",INDEX('TMP Paste'!$B$2:$B$1601,$AG91))</f>
        <v/>
      </c>
      <c r="E91">
        <f>IF($AG91="","",Config!$B$27)</f>
        <v/>
      </c>
      <c r="F91">
        <f>IF($AG91="","",Config!$B$9)</f>
        <v/>
      </c>
      <c r="G91">
        <f>IF($AG91="","",Config!$B$10)</f>
        <v/>
      </c>
      <c r="H91">
        <f>IF($AG91="","",Config!$B$11)</f>
        <v/>
      </c>
      <c r="I91">
        <f>IF($AG91="","",Config!$B$16)</f>
        <v/>
      </c>
      <c r="J91">
        <f>IF($AG91="","",INDEX('TMP Paste'!$A$2:$A$1601,$AG91))</f>
        <v/>
      </c>
      <c r="K91">
        <f>IF($AG91="","",INDEX('TMP Paste'!$L$2:$L$1601,$AG91))</f>
        <v/>
      </c>
      <c r="L91">
        <f>IF($AG91="","",INDEX('TMP Paste'!$I$2:$I$1601,$AG91))</f>
        <v/>
      </c>
      <c r="M91">
        <f>IF($AG91="","",Config!$B$16)</f>
        <v/>
      </c>
      <c r="N91">
        <f>IF($AG91="","","")</f>
        <v/>
      </c>
      <c r="O91">
        <f>IF($AG91="","",INDEX('TMP Paste'!$K$2:$K$1601,$AG91))</f>
        <v/>
      </c>
      <c r="P91">
        <f>IF($AG91="","","")</f>
        <v/>
      </c>
      <c r="Q91">
        <f>IF($AG91="","",INDEX('TMP Paste'!$J$2:$J$1601,$AG91))</f>
        <v/>
      </c>
      <c r="R91">
        <f>IF($AG91="","",Config!$B$24)</f>
        <v/>
      </c>
      <c r="S91">
        <f>IF($AG91="","",TEXT(Config!$B$4,"yyyy-mm-dd"))</f>
        <v/>
      </c>
      <c r="T91">
        <f>IF($AG91="","",Config!$B$17)</f>
        <v/>
      </c>
      <c r="U91">
        <f>IF($AG91="","",Config!$B$18)</f>
        <v/>
      </c>
      <c r="V91">
        <f>IF($AG91="","",Config!$B$19)</f>
        <v/>
      </c>
      <c r="W91">
        <f>IF($AG91="","",INDEX('TMP Paste'!$C$2:$C$1601,$AG91))</f>
        <v/>
      </c>
      <c r="X91">
        <f>IF($AG91="","",Config!$B$29)</f>
        <v/>
      </c>
      <c r="Y91">
        <f>IF($AH91="","",INDEX(Calc!$I$2:$I$1601,$AH91)&amp;" - "&amp;INDEX(Calc!$D$2:$D$1601,$AH91)&amp;" koli")</f>
        <v/>
      </c>
      <c r="Z91">
        <f>IF($AG91="","",Config!$B$21)</f>
        <v/>
      </c>
      <c r="AA91">
        <f>IF($AG91="","",Config!$B$22)</f>
        <v/>
      </c>
      <c r="AB91">
        <f>IF($AH91="","",INDEX(Calc!$D$2:$D$1601,$AH91))</f>
        <v/>
      </c>
      <c r="AC91">
        <f>IF($AH91="","",INDEX(Calc!$G$2:$G$1601,$AH91))</f>
        <v/>
      </c>
      <c r="AD91">
        <f>IF($AG91="","",Config!$B$23)</f>
        <v/>
      </c>
      <c r="AE91">
        <f>IF($AG91="","",Config!$B$28)</f>
        <v/>
      </c>
      <c r="AG91">
        <f>IFERROR(MATCH(ROW()-1,Calc!$J$2:$J$1601,0),"")</f>
        <v/>
      </c>
      <c r="AH91">
        <f>IFERROR(MATCH(ROW()-1,Calc!$K$2:$K$1601,0),"")</f>
        <v/>
      </c>
      <c r="AI91">
        <f>IF($AG91="","",SUMIF($AG$2:$AG91,$AG91,$AH$2:$AH91))</f>
        <v/>
      </c>
      <c r="AJ91">
        <f>IF('TMP Paste'!$F91="","",IF('TMP Paste'!$B91="",$AJ90,'TMP Paste'!$B91))</f>
        <v/>
      </c>
      <c r="AK91">
        <f>IF('TMP Paste'!$F91="","",N('TMP Paste'!$G91))</f>
        <v/>
      </c>
      <c r="AL91">
        <f>IF('TMP Paste'!$F91="","",IF('TMP Paste'!$M91="",$AL90,'TMP Paste'!$M91))</f>
        <v/>
      </c>
      <c r="AM91">
        <f>IF('TMP Paste'!$F91="","",IF('TMP Paste'!$N91="",$AM90,'TMP Paste'!$N91))</f>
        <v/>
      </c>
      <c r="AN91">
        <f>IF('TMP Paste'!$F91="","",IF('TMP Paste'!$O91="",$AN90,'TMP Paste'!$O91))</f>
        <v/>
      </c>
      <c r="AO91">
        <f>IF('TMP Paste'!$F91="","",IF('TMP Paste'!$P91="",$AO90,'TMP Paste'!$P91))</f>
        <v/>
      </c>
      <c r="AP91">
        <f>IF($AG91="","",LEN($R91))</f>
        <v/>
      </c>
      <c r="AQ91">
        <f>IF($AG91="","",TRIM(IF(COUNTIFS(Calc!$B$2:$B$1601,ROW()-1,Calc!$C$2:$C$1601,"&lt;1")&gt;0,"Ada PO tanpa Koli - cek TMP. ","")&amp;IF(LEN($R91)&gt;500,"R &gt; 500 karakter.","")))</f>
        <v/>
      </c>
    </row>
    <row r="92">
      <c r="A92">
        <f>IF($AG92="","",INDEX('TMP Paste'!$B$2:$B$1601,$AG92))</f>
        <v/>
      </c>
      <c r="B92">
        <f>IF($AG92="","",Config!$B$14)</f>
        <v/>
      </c>
      <c r="C92">
        <f>IF($AG92="","",Config!$B$15)</f>
        <v/>
      </c>
      <c r="D92">
        <f>IF($AG92="","",INDEX('TMP Paste'!$B$2:$B$1601,$AG92))</f>
        <v/>
      </c>
      <c r="E92">
        <f>IF($AG92="","",Config!$B$27)</f>
        <v/>
      </c>
      <c r="F92">
        <f>IF($AG92="","",Config!$B$9)</f>
        <v/>
      </c>
      <c r="G92">
        <f>IF($AG92="","",Config!$B$10)</f>
        <v/>
      </c>
      <c r="H92">
        <f>IF($AG92="","",Config!$B$11)</f>
        <v/>
      </c>
      <c r="I92">
        <f>IF($AG92="","",Config!$B$16)</f>
        <v/>
      </c>
      <c r="J92">
        <f>IF($AG92="","",INDEX('TMP Paste'!$A$2:$A$1601,$AG92))</f>
        <v/>
      </c>
      <c r="K92">
        <f>IF($AG92="","",INDEX('TMP Paste'!$L$2:$L$1601,$AG92))</f>
        <v/>
      </c>
      <c r="L92">
        <f>IF($AG92="","",INDEX('TMP Paste'!$I$2:$I$1601,$AG92))</f>
        <v/>
      </c>
      <c r="M92">
        <f>IF($AG92="","",Config!$B$16)</f>
        <v/>
      </c>
      <c r="N92">
        <f>IF($AG92="","","")</f>
        <v/>
      </c>
      <c r="O92">
        <f>IF($AG92="","",INDEX('TMP Paste'!$K$2:$K$1601,$AG92))</f>
        <v/>
      </c>
      <c r="P92">
        <f>IF($AG92="","","")</f>
        <v/>
      </c>
      <c r="Q92">
        <f>IF($AG92="","",INDEX('TMP Paste'!$J$2:$J$1601,$AG92))</f>
        <v/>
      </c>
      <c r="R92">
        <f>IF($AG92="","",Config!$B$24)</f>
        <v/>
      </c>
      <c r="S92">
        <f>IF($AG92="","",TEXT(Config!$B$4,"yyyy-mm-dd"))</f>
        <v/>
      </c>
      <c r="T92">
        <f>IF($AG92="","",Config!$B$17)</f>
        <v/>
      </c>
      <c r="U92">
        <f>IF($AG92="","",Config!$B$18)</f>
        <v/>
      </c>
      <c r="V92">
        <f>IF($AG92="","",Config!$B$19)</f>
        <v/>
      </c>
      <c r="W92">
        <f>IF($AG92="","",INDEX('TMP Paste'!$C$2:$C$1601,$AG92))</f>
        <v/>
      </c>
      <c r="X92">
        <f>IF($AG92="","",Config!$B$29)</f>
        <v/>
      </c>
      <c r="Y92">
        <f>IF($AH92="","",INDEX(Calc!$I$2:$I$1601,$AH92)&amp;" - "&amp;INDEX(Calc!$D$2:$D$1601,$AH92)&amp;" koli")</f>
        <v/>
      </c>
      <c r="Z92">
        <f>IF($AG92="","",Config!$B$21)</f>
        <v/>
      </c>
      <c r="AA92">
        <f>IF($AG92="","",Config!$B$22)</f>
        <v/>
      </c>
      <c r="AB92">
        <f>IF($AH92="","",INDEX(Calc!$D$2:$D$1601,$AH92))</f>
        <v/>
      </c>
      <c r="AC92">
        <f>IF($AH92="","",INDEX(Calc!$G$2:$G$1601,$AH92))</f>
        <v/>
      </c>
      <c r="AD92">
        <f>IF($AG92="","",Config!$B$23)</f>
        <v/>
      </c>
      <c r="AE92">
        <f>IF($AG92="","",Config!$B$28)</f>
        <v/>
      </c>
      <c r="AG92">
        <f>IFERROR(MATCH(ROW()-1,Calc!$J$2:$J$1601,0),"")</f>
        <v/>
      </c>
      <c r="AH92">
        <f>IFERROR(MATCH(ROW()-1,Calc!$K$2:$K$1601,0),"")</f>
        <v/>
      </c>
      <c r="AI92">
        <f>IF($AG92="","",SUMIF($AG$2:$AG92,$AG92,$AH$2:$AH92))</f>
        <v/>
      </c>
      <c r="AJ92">
        <f>IF('TMP Paste'!$F92="","",IF('TMP Paste'!$B92="",$AJ91,'TMP Paste'!$B92))</f>
        <v/>
      </c>
      <c r="AK92">
        <f>IF('TMP Paste'!$F92="","",N('TMP Paste'!$G92))</f>
        <v/>
      </c>
      <c r="AL92">
        <f>IF('TMP Paste'!$F92="","",IF('TMP Paste'!$M92="",$AL91,'TMP Paste'!$M92))</f>
        <v/>
      </c>
      <c r="AM92">
        <f>IF('TMP Paste'!$F92="","",IF('TMP Paste'!$N92="",$AM91,'TMP Paste'!$N92))</f>
        <v/>
      </c>
      <c r="AN92">
        <f>IF('TMP Paste'!$F92="","",IF('TMP Paste'!$O92="",$AN91,'TMP Paste'!$O92))</f>
        <v/>
      </c>
      <c r="AO92">
        <f>IF('TMP Paste'!$F92="","",IF('TMP Paste'!$P92="",$AO91,'TMP Paste'!$P92))</f>
        <v/>
      </c>
      <c r="AP92">
        <f>IF($AG92="","",LEN($R92))</f>
        <v/>
      </c>
      <c r="AQ92">
        <f>IF($AG92="","",TRIM(IF(COUNTIFS(Calc!$B$2:$B$1601,ROW()-1,Calc!$C$2:$C$1601,"&lt;1")&gt;0,"Ada PO tanpa Koli - cek TMP. ","")&amp;IF(LEN($R92)&gt;500,"R &gt; 500 karakter.","")))</f>
        <v/>
      </c>
    </row>
    <row r="93">
      <c r="A93">
        <f>IF($AG93="","",INDEX('TMP Paste'!$B$2:$B$1601,$AG93))</f>
        <v/>
      </c>
      <c r="B93">
        <f>IF($AG93="","",Config!$B$14)</f>
        <v/>
      </c>
      <c r="C93">
        <f>IF($AG93="","",Config!$B$15)</f>
        <v/>
      </c>
      <c r="D93">
        <f>IF($AG93="","",INDEX('TMP Paste'!$B$2:$B$1601,$AG93))</f>
        <v/>
      </c>
      <c r="E93">
        <f>IF($AG93="","",Config!$B$27)</f>
        <v/>
      </c>
      <c r="F93">
        <f>IF($AG93="","",Config!$B$9)</f>
        <v/>
      </c>
      <c r="G93">
        <f>IF($AG93="","",Config!$B$10)</f>
        <v/>
      </c>
      <c r="H93">
        <f>IF($AG93="","",Config!$B$11)</f>
        <v/>
      </c>
      <c r="I93">
        <f>IF($AG93="","",Config!$B$16)</f>
        <v/>
      </c>
      <c r="J93">
        <f>IF($AG93="","",INDEX('TMP Paste'!$A$2:$A$1601,$AG93))</f>
        <v/>
      </c>
      <c r="K93">
        <f>IF($AG93="","",INDEX('TMP Paste'!$L$2:$L$1601,$AG93))</f>
        <v/>
      </c>
      <c r="L93">
        <f>IF($AG93="","",INDEX('TMP Paste'!$I$2:$I$1601,$AG93))</f>
        <v/>
      </c>
      <c r="M93">
        <f>IF($AG93="","",Config!$B$16)</f>
        <v/>
      </c>
      <c r="N93">
        <f>IF($AG93="","","")</f>
        <v/>
      </c>
      <c r="O93">
        <f>IF($AG93="","",INDEX('TMP Paste'!$K$2:$K$1601,$AG93))</f>
        <v/>
      </c>
      <c r="P93">
        <f>IF($AG93="","","")</f>
        <v/>
      </c>
      <c r="Q93">
        <f>IF($AG93="","",INDEX('TMP Paste'!$J$2:$J$1601,$AG93))</f>
        <v/>
      </c>
      <c r="R93">
        <f>IF($AG93="","",Config!$B$24)</f>
        <v/>
      </c>
      <c r="S93">
        <f>IF($AG93="","",TEXT(Config!$B$4,"yyyy-mm-dd"))</f>
        <v/>
      </c>
      <c r="T93">
        <f>IF($AG93="","",Config!$B$17)</f>
        <v/>
      </c>
      <c r="U93">
        <f>IF($AG93="","",Config!$B$18)</f>
        <v/>
      </c>
      <c r="V93">
        <f>IF($AG93="","",Config!$B$19)</f>
        <v/>
      </c>
      <c r="W93">
        <f>IF($AG93="","",INDEX('TMP Paste'!$C$2:$C$1601,$AG93))</f>
        <v/>
      </c>
      <c r="X93">
        <f>IF($AG93="","",Config!$B$29)</f>
        <v/>
      </c>
      <c r="Y93">
        <f>IF($AH93="","",INDEX(Calc!$I$2:$I$1601,$AH93)&amp;" - "&amp;INDEX(Calc!$D$2:$D$1601,$AH93)&amp;" koli")</f>
        <v/>
      </c>
      <c r="Z93">
        <f>IF($AG93="","",Config!$B$21)</f>
        <v/>
      </c>
      <c r="AA93">
        <f>IF($AG93="","",Config!$B$22)</f>
        <v/>
      </c>
      <c r="AB93">
        <f>IF($AH93="","",INDEX(Calc!$D$2:$D$1601,$AH93))</f>
        <v/>
      </c>
      <c r="AC93">
        <f>IF($AH93="","",INDEX(Calc!$G$2:$G$1601,$AH93))</f>
        <v/>
      </c>
      <c r="AD93">
        <f>IF($AG93="","",Config!$B$23)</f>
        <v/>
      </c>
      <c r="AE93">
        <f>IF($AG93="","",Config!$B$28)</f>
        <v/>
      </c>
      <c r="AG93">
        <f>IFERROR(MATCH(ROW()-1,Calc!$J$2:$J$1601,0),"")</f>
        <v/>
      </c>
      <c r="AH93">
        <f>IFERROR(MATCH(ROW()-1,Calc!$K$2:$K$1601,0),"")</f>
        <v/>
      </c>
      <c r="AI93">
        <f>IF($AG93="","",SUMIF($AG$2:$AG93,$AG93,$AH$2:$AH93))</f>
        <v/>
      </c>
      <c r="AJ93">
        <f>IF('TMP Paste'!$F93="","",IF('TMP Paste'!$B93="",$AJ92,'TMP Paste'!$B93))</f>
        <v/>
      </c>
      <c r="AK93">
        <f>IF('TMP Paste'!$F93="","",N('TMP Paste'!$G93))</f>
        <v/>
      </c>
      <c r="AL93">
        <f>IF('TMP Paste'!$F93="","",IF('TMP Paste'!$M93="",$AL92,'TMP Paste'!$M93))</f>
        <v/>
      </c>
      <c r="AM93">
        <f>IF('TMP Paste'!$F93="","",IF('TMP Paste'!$N93="",$AM92,'TMP Paste'!$N93))</f>
        <v/>
      </c>
      <c r="AN93">
        <f>IF('TMP Paste'!$F93="","",IF('TMP Paste'!$O93="",$AN92,'TMP Paste'!$O93))</f>
        <v/>
      </c>
      <c r="AO93">
        <f>IF('TMP Paste'!$F93="","",IF('TMP Paste'!$P93="",$AO92,'TMP Paste'!$P93))</f>
        <v/>
      </c>
      <c r="AP93">
        <f>IF($AG93="","",LEN($R93))</f>
        <v/>
      </c>
      <c r="AQ93">
        <f>IF($AG93="","",TRIM(IF(COUNTIFS(Calc!$B$2:$B$1601,ROW()-1,Calc!$C$2:$C$1601,"&lt;1")&gt;0,"Ada PO tanpa Koli - cek TMP. ","")&amp;IF(LEN($R93)&gt;500,"R &gt; 500 karakter.","")))</f>
        <v/>
      </c>
    </row>
    <row r="94">
      <c r="A94">
        <f>IF($AG94="","",INDEX('TMP Paste'!$B$2:$B$1601,$AG94))</f>
        <v/>
      </c>
      <c r="B94">
        <f>IF($AG94="","",Config!$B$14)</f>
        <v/>
      </c>
      <c r="C94">
        <f>IF($AG94="","",Config!$B$15)</f>
        <v/>
      </c>
      <c r="D94">
        <f>IF($AG94="","",INDEX('TMP Paste'!$B$2:$B$1601,$AG94))</f>
        <v/>
      </c>
      <c r="E94">
        <f>IF($AG94="","",Config!$B$27)</f>
        <v/>
      </c>
      <c r="F94">
        <f>IF($AG94="","",Config!$B$9)</f>
        <v/>
      </c>
      <c r="G94">
        <f>IF($AG94="","",Config!$B$10)</f>
        <v/>
      </c>
      <c r="H94">
        <f>IF($AG94="","",Config!$B$11)</f>
        <v/>
      </c>
      <c r="I94">
        <f>IF($AG94="","",Config!$B$16)</f>
        <v/>
      </c>
      <c r="J94">
        <f>IF($AG94="","",INDEX('TMP Paste'!$A$2:$A$1601,$AG94))</f>
        <v/>
      </c>
      <c r="K94">
        <f>IF($AG94="","",INDEX('TMP Paste'!$L$2:$L$1601,$AG94))</f>
        <v/>
      </c>
      <c r="L94">
        <f>IF($AG94="","",INDEX('TMP Paste'!$I$2:$I$1601,$AG94))</f>
        <v/>
      </c>
      <c r="M94">
        <f>IF($AG94="","",Config!$B$16)</f>
        <v/>
      </c>
      <c r="N94">
        <f>IF($AG94="","","")</f>
        <v/>
      </c>
      <c r="O94">
        <f>IF($AG94="","",INDEX('TMP Paste'!$K$2:$K$1601,$AG94))</f>
        <v/>
      </c>
      <c r="P94">
        <f>IF($AG94="","","")</f>
        <v/>
      </c>
      <c r="Q94">
        <f>IF($AG94="","",INDEX('TMP Paste'!$J$2:$J$1601,$AG94))</f>
        <v/>
      </c>
      <c r="R94">
        <f>IF($AG94="","",Config!$B$24)</f>
        <v/>
      </c>
      <c r="S94">
        <f>IF($AG94="","",TEXT(Config!$B$4,"yyyy-mm-dd"))</f>
        <v/>
      </c>
      <c r="T94">
        <f>IF($AG94="","",Config!$B$17)</f>
        <v/>
      </c>
      <c r="U94">
        <f>IF($AG94="","",Config!$B$18)</f>
        <v/>
      </c>
      <c r="V94">
        <f>IF($AG94="","",Config!$B$19)</f>
        <v/>
      </c>
      <c r="W94">
        <f>IF($AG94="","",INDEX('TMP Paste'!$C$2:$C$1601,$AG94))</f>
        <v/>
      </c>
      <c r="X94">
        <f>IF($AG94="","",Config!$B$29)</f>
        <v/>
      </c>
      <c r="Y94">
        <f>IF($AH94="","",INDEX(Calc!$I$2:$I$1601,$AH94)&amp;" - "&amp;INDEX(Calc!$D$2:$D$1601,$AH94)&amp;" koli")</f>
        <v/>
      </c>
      <c r="Z94">
        <f>IF($AG94="","",Config!$B$21)</f>
        <v/>
      </c>
      <c r="AA94">
        <f>IF($AG94="","",Config!$B$22)</f>
        <v/>
      </c>
      <c r="AB94">
        <f>IF($AH94="","",INDEX(Calc!$D$2:$D$1601,$AH94))</f>
        <v/>
      </c>
      <c r="AC94">
        <f>IF($AH94="","",INDEX(Calc!$G$2:$G$1601,$AH94))</f>
        <v/>
      </c>
      <c r="AD94">
        <f>IF($AG94="","",Config!$B$23)</f>
        <v/>
      </c>
      <c r="AE94">
        <f>IF($AG94="","",Config!$B$28)</f>
        <v/>
      </c>
      <c r="AG94">
        <f>IFERROR(MATCH(ROW()-1,Calc!$J$2:$J$1601,0),"")</f>
        <v/>
      </c>
      <c r="AH94">
        <f>IFERROR(MATCH(ROW()-1,Calc!$K$2:$K$1601,0),"")</f>
        <v/>
      </c>
      <c r="AI94">
        <f>IF($AG94="","",SUMIF($AG$2:$AG94,$AG94,$AH$2:$AH94))</f>
        <v/>
      </c>
      <c r="AJ94">
        <f>IF('TMP Paste'!$F94="","",IF('TMP Paste'!$B94="",$AJ93,'TMP Paste'!$B94))</f>
        <v/>
      </c>
      <c r="AK94">
        <f>IF('TMP Paste'!$F94="","",N('TMP Paste'!$G94))</f>
        <v/>
      </c>
      <c r="AL94">
        <f>IF('TMP Paste'!$F94="","",IF('TMP Paste'!$M94="",$AL93,'TMP Paste'!$M94))</f>
        <v/>
      </c>
      <c r="AM94">
        <f>IF('TMP Paste'!$F94="","",IF('TMP Paste'!$N94="",$AM93,'TMP Paste'!$N94))</f>
        <v/>
      </c>
      <c r="AN94">
        <f>IF('TMP Paste'!$F94="","",IF('TMP Paste'!$O94="",$AN93,'TMP Paste'!$O94))</f>
        <v/>
      </c>
      <c r="AO94">
        <f>IF('TMP Paste'!$F94="","",IF('TMP Paste'!$P94="",$AO93,'TMP Paste'!$P94))</f>
        <v/>
      </c>
      <c r="AP94">
        <f>IF($AG94="","",LEN($R94))</f>
        <v/>
      </c>
      <c r="AQ94">
        <f>IF($AG94="","",TRIM(IF(COUNTIFS(Calc!$B$2:$B$1601,ROW()-1,Calc!$C$2:$C$1601,"&lt;1")&gt;0,"Ada PO tanpa Koli - cek TMP. ","")&amp;IF(LEN($R94)&gt;500,"R &gt; 500 karakter.","")))</f>
        <v/>
      </c>
    </row>
    <row r="95">
      <c r="A95">
        <f>IF($AG95="","",INDEX('TMP Paste'!$B$2:$B$1601,$AG95))</f>
        <v/>
      </c>
      <c r="B95">
        <f>IF($AG95="","",Config!$B$14)</f>
        <v/>
      </c>
      <c r="C95">
        <f>IF($AG95="","",Config!$B$15)</f>
        <v/>
      </c>
      <c r="D95">
        <f>IF($AG95="","",INDEX('TMP Paste'!$B$2:$B$1601,$AG95))</f>
        <v/>
      </c>
      <c r="E95">
        <f>IF($AG95="","",Config!$B$27)</f>
        <v/>
      </c>
      <c r="F95">
        <f>IF($AG95="","",Config!$B$9)</f>
        <v/>
      </c>
      <c r="G95">
        <f>IF($AG95="","",Config!$B$10)</f>
        <v/>
      </c>
      <c r="H95">
        <f>IF($AG95="","",Config!$B$11)</f>
        <v/>
      </c>
      <c r="I95">
        <f>IF($AG95="","",Config!$B$16)</f>
        <v/>
      </c>
      <c r="J95">
        <f>IF($AG95="","",INDEX('TMP Paste'!$A$2:$A$1601,$AG95))</f>
        <v/>
      </c>
      <c r="K95">
        <f>IF($AG95="","",INDEX('TMP Paste'!$L$2:$L$1601,$AG95))</f>
        <v/>
      </c>
      <c r="L95">
        <f>IF($AG95="","",INDEX('TMP Paste'!$I$2:$I$1601,$AG95))</f>
        <v/>
      </c>
      <c r="M95">
        <f>IF($AG95="","",Config!$B$16)</f>
        <v/>
      </c>
      <c r="N95">
        <f>IF($AG95="","","")</f>
        <v/>
      </c>
      <c r="O95">
        <f>IF($AG95="","",INDEX('TMP Paste'!$K$2:$K$1601,$AG95))</f>
        <v/>
      </c>
      <c r="P95">
        <f>IF($AG95="","","")</f>
        <v/>
      </c>
      <c r="Q95">
        <f>IF($AG95="","",INDEX('TMP Paste'!$J$2:$J$1601,$AG95))</f>
        <v/>
      </c>
      <c r="R95">
        <f>IF($AG95="","",Config!$B$24)</f>
        <v/>
      </c>
      <c r="S95">
        <f>IF($AG95="","",TEXT(Config!$B$4,"yyyy-mm-dd"))</f>
        <v/>
      </c>
      <c r="T95">
        <f>IF($AG95="","",Config!$B$17)</f>
        <v/>
      </c>
      <c r="U95">
        <f>IF($AG95="","",Config!$B$18)</f>
        <v/>
      </c>
      <c r="V95">
        <f>IF($AG95="","",Config!$B$19)</f>
        <v/>
      </c>
      <c r="W95">
        <f>IF($AG95="","",INDEX('TMP Paste'!$C$2:$C$1601,$AG95))</f>
        <v/>
      </c>
      <c r="X95">
        <f>IF($AG95="","",Config!$B$29)</f>
        <v/>
      </c>
      <c r="Y95">
        <f>IF($AH95="","",INDEX(Calc!$I$2:$I$1601,$AH95)&amp;" - "&amp;INDEX(Calc!$D$2:$D$1601,$AH95)&amp;" koli")</f>
        <v/>
      </c>
      <c r="Z95">
        <f>IF($AG95="","",Config!$B$21)</f>
        <v/>
      </c>
      <c r="AA95">
        <f>IF($AG95="","",Config!$B$22)</f>
        <v/>
      </c>
      <c r="AB95">
        <f>IF($AH95="","",INDEX(Calc!$D$2:$D$1601,$AH95))</f>
        <v/>
      </c>
      <c r="AC95">
        <f>IF($AH95="","",INDEX(Calc!$G$2:$G$1601,$AH95))</f>
        <v/>
      </c>
      <c r="AD95">
        <f>IF($AG95="","",Config!$B$23)</f>
        <v/>
      </c>
      <c r="AE95">
        <f>IF($AG95="","",Config!$B$28)</f>
        <v/>
      </c>
      <c r="AG95">
        <f>IFERROR(MATCH(ROW()-1,Calc!$J$2:$J$1601,0),"")</f>
        <v/>
      </c>
      <c r="AH95">
        <f>IFERROR(MATCH(ROW()-1,Calc!$K$2:$K$1601,0),"")</f>
        <v/>
      </c>
      <c r="AI95">
        <f>IF($AG95="","",SUMIF($AG$2:$AG95,$AG95,$AH$2:$AH95))</f>
        <v/>
      </c>
      <c r="AJ95">
        <f>IF('TMP Paste'!$F95="","",IF('TMP Paste'!$B95="",$AJ94,'TMP Paste'!$B95))</f>
        <v/>
      </c>
      <c r="AK95">
        <f>IF('TMP Paste'!$F95="","",N('TMP Paste'!$G95))</f>
        <v/>
      </c>
      <c r="AL95">
        <f>IF('TMP Paste'!$F95="","",IF('TMP Paste'!$M95="",$AL94,'TMP Paste'!$M95))</f>
        <v/>
      </c>
      <c r="AM95">
        <f>IF('TMP Paste'!$F95="","",IF('TMP Paste'!$N95="",$AM94,'TMP Paste'!$N95))</f>
        <v/>
      </c>
      <c r="AN95">
        <f>IF('TMP Paste'!$F95="","",IF('TMP Paste'!$O95="",$AN94,'TMP Paste'!$O95))</f>
        <v/>
      </c>
      <c r="AO95">
        <f>IF('TMP Paste'!$F95="","",IF('TMP Paste'!$P95="",$AO94,'TMP Paste'!$P95))</f>
        <v/>
      </c>
      <c r="AP95">
        <f>IF($AG95="","",LEN($R95))</f>
        <v/>
      </c>
      <c r="AQ95">
        <f>IF($AG95="","",TRIM(IF(COUNTIFS(Calc!$B$2:$B$1601,ROW()-1,Calc!$C$2:$C$1601,"&lt;1")&gt;0,"Ada PO tanpa Koli - cek TMP. ","")&amp;IF(LEN($R95)&gt;500,"R &gt; 500 karakter.","")))</f>
        <v/>
      </c>
    </row>
    <row r="96">
      <c r="A96">
        <f>IF($AG96="","",INDEX('TMP Paste'!$B$2:$B$1601,$AG96))</f>
        <v/>
      </c>
      <c r="B96">
        <f>IF($AG96="","",Config!$B$14)</f>
        <v/>
      </c>
      <c r="C96">
        <f>IF($AG96="","",Config!$B$15)</f>
        <v/>
      </c>
      <c r="D96">
        <f>IF($AG96="","",INDEX('TMP Paste'!$B$2:$B$1601,$AG96))</f>
        <v/>
      </c>
      <c r="E96">
        <f>IF($AG96="","",Config!$B$27)</f>
        <v/>
      </c>
      <c r="F96">
        <f>IF($AG96="","",Config!$B$9)</f>
        <v/>
      </c>
      <c r="G96">
        <f>IF($AG96="","",Config!$B$10)</f>
        <v/>
      </c>
      <c r="H96">
        <f>IF($AG96="","",Config!$B$11)</f>
        <v/>
      </c>
      <c r="I96">
        <f>IF($AG96="","",Config!$B$16)</f>
        <v/>
      </c>
      <c r="J96">
        <f>IF($AG96="","",INDEX('TMP Paste'!$A$2:$A$1601,$AG96))</f>
        <v/>
      </c>
      <c r="K96">
        <f>IF($AG96="","",INDEX('TMP Paste'!$L$2:$L$1601,$AG96))</f>
        <v/>
      </c>
      <c r="L96">
        <f>IF($AG96="","",INDEX('TMP Paste'!$I$2:$I$1601,$AG96))</f>
        <v/>
      </c>
      <c r="M96">
        <f>IF($AG96="","",Config!$B$16)</f>
        <v/>
      </c>
      <c r="N96">
        <f>IF($AG96="","","")</f>
        <v/>
      </c>
      <c r="O96">
        <f>IF($AG96="","",INDEX('TMP Paste'!$K$2:$K$1601,$AG96))</f>
        <v/>
      </c>
      <c r="P96">
        <f>IF($AG96="","","")</f>
        <v/>
      </c>
      <c r="Q96">
        <f>IF($AG96="","",INDEX('TMP Paste'!$J$2:$J$1601,$AG96))</f>
        <v/>
      </c>
      <c r="R96">
        <f>IF($AG96="","",Config!$B$24)</f>
        <v/>
      </c>
      <c r="S96">
        <f>IF($AG96="","",TEXT(Config!$B$4,"yyyy-mm-dd"))</f>
        <v/>
      </c>
      <c r="T96">
        <f>IF($AG96="","",Config!$B$17)</f>
        <v/>
      </c>
      <c r="U96">
        <f>IF($AG96="","",Config!$B$18)</f>
        <v/>
      </c>
      <c r="V96">
        <f>IF($AG96="","",Config!$B$19)</f>
        <v/>
      </c>
      <c r="W96">
        <f>IF($AG96="","",INDEX('TMP Paste'!$C$2:$C$1601,$AG96))</f>
        <v/>
      </c>
      <c r="X96">
        <f>IF($AG96="","",Config!$B$29)</f>
        <v/>
      </c>
      <c r="Y96">
        <f>IF($AH96="","",INDEX(Calc!$I$2:$I$1601,$AH96)&amp;" - "&amp;INDEX(Calc!$D$2:$D$1601,$AH96)&amp;" koli")</f>
        <v/>
      </c>
      <c r="Z96">
        <f>IF($AG96="","",Config!$B$21)</f>
        <v/>
      </c>
      <c r="AA96">
        <f>IF($AG96="","",Config!$B$22)</f>
        <v/>
      </c>
      <c r="AB96">
        <f>IF($AH96="","",INDEX(Calc!$D$2:$D$1601,$AH96))</f>
        <v/>
      </c>
      <c r="AC96">
        <f>IF($AH96="","",INDEX(Calc!$G$2:$G$1601,$AH96))</f>
        <v/>
      </c>
      <c r="AD96">
        <f>IF($AG96="","",Config!$B$23)</f>
        <v/>
      </c>
      <c r="AE96">
        <f>IF($AG96="","",Config!$B$28)</f>
        <v/>
      </c>
      <c r="AG96">
        <f>IFERROR(MATCH(ROW()-1,Calc!$J$2:$J$1601,0),"")</f>
        <v/>
      </c>
      <c r="AH96">
        <f>IFERROR(MATCH(ROW()-1,Calc!$K$2:$K$1601,0),"")</f>
        <v/>
      </c>
      <c r="AI96">
        <f>IF($AG96="","",SUMIF($AG$2:$AG96,$AG96,$AH$2:$AH96))</f>
        <v/>
      </c>
      <c r="AJ96">
        <f>IF('TMP Paste'!$F96="","",IF('TMP Paste'!$B96="",$AJ95,'TMP Paste'!$B96))</f>
        <v/>
      </c>
      <c r="AK96">
        <f>IF('TMP Paste'!$F96="","",N('TMP Paste'!$G96))</f>
        <v/>
      </c>
      <c r="AL96">
        <f>IF('TMP Paste'!$F96="","",IF('TMP Paste'!$M96="",$AL95,'TMP Paste'!$M96))</f>
        <v/>
      </c>
      <c r="AM96">
        <f>IF('TMP Paste'!$F96="","",IF('TMP Paste'!$N96="",$AM95,'TMP Paste'!$N96))</f>
        <v/>
      </c>
      <c r="AN96">
        <f>IF('TMP Paste'!$F96="","",IF('TMP Paste'!$O96="",$AN95,'TMP Paste'!$O96))</f>
        <v/>
      </c>
      <c r="AO96">
        <f>IF('TMP Paste'!$F96="","",IF('TMP Paste'!$P96="",$AO95,'TMP Paste'!$P96))</f>
        <v/>
      </c>
      <c r="AP96">
        <f>IF($AG96="","",LEN($R96))</f>
        <v/>
      </c>
      <c r="AQ96">
        <f>IF($AG96="","",TRIM(IF(COUNTIFS(Calc!$B$2:$B$1601,ROW()-1,Calc!$C$2:$C$1601,"&lt;1")&gt;0,"Ada PO tanpa Koli - cek TMP. ","")&amp;IF(LEN($R96)&gt;500,"R &gt; 500 karakter.","")))</f>
        <v/>
      </c>
    </row>
    <row r="97">
      <c r="A97">
        <f>IF($AG97="","",INDEX('TMP Paste'!$B$2:$B$1601,$AG97))</f>
        <v/>
      </c>
      <c r="B97">
        <f>IF($AG97="","",Config!$B$14)</f>
        <v/>
      </c>
      <c r="C97">
        <f>IF($AG97="","",Config!$B$15)</f>
        <v/>
      </c>
      <c r="D97">
        <f>IF($AG97="","",INDEX('TMP Paste'!$B$2:$B$1601,$AG97))</f>
        <v/>
      </c>
      <c r="E97">
        <f>IF($AG97="","",Config!$B$27)</f>
        <v/>
      </c>
      <c r="F97">
        <f>IF($AG97="","",Config!$B$9)</f>
        <v/>
      </c>
      <c r="G97">
        <f>IF($AG97="","",Config!$B$10)</f>
        <v/>
      </c>
      <c r="H97">
        <f>IF($AG97="","",Config!$B$11)</f>
        <v/>
      </c>
      <c r="I97">
        <f>IF($AG97="","",Config!$B$16)</f>
        <v/>
      </c>
      <c r="J97">
        <f>IF($AG97="","",INDEX('TMP Paste'!$A$2:$A$1601,$AG97))</f>
        <v/>
      </c>
      <c r="K97">
        <f>IF($AG97="","",INDEX('TMP Paste'!$L$2:$L$1601,$AG97))</f>
        <v/>
      </c>
      <c r="L97">
        <f>IF($AG97="","",INDEX('TMP Paste'!$I$2:$I$1601,$AG97))</f>
        <v/>
      </c>
      <c r="M97">
        <f>IF($AG97="","",Config!$B$16)</f>
        <v/>
      </c>
      <c r="N97">
        <f>IF($AG97="","","")</f>
        <v/>
      </c>
      <c r="O97">
        <f>IF($AG97="","",INDEX('TMP Paste'!$K$2:$K$1601,$AG97))</f>
        <v/>
      </c>
      <c r="P97">
        <f>IF($AG97="","","")</f>
        <v/>
      </c>
      <c r="Q97">
        <f>IF($AG97="","",INDEX('TMP Paste'!$J$2:$J$1601,$AG97))</f>
        <v/>
      </c>
      <c r="R97">
        <f>IF($AG97="","",Config!$B$24)</f>
        <v/>
      </c>
      <c r="S97">
        <f>IF($AG97="","",TEXT(Config!$B$4,"yyyy-mm-dd"))</f>
        <v/>
      </c>
      <c r="T97">
        <f>IF($AG97="","",Config!$B$17)</f>
        <v/>
      </c>
      <c r="U97">
        <f>IF($AG97="","",Config!$B$18)</f>
        <v/>
      </c>
      <c r="V97">
        <f>IF($AG97="","",Config!$B$19)</f>
        <v/>
      </c>
      <c r="W97">
        <f>IF($AG97="","",INDEX('TMP Paste'!$C$2:$C$1601,$AG97))</f>
        <v/>
      </c>
      <c r="X97">
        <f>IF($AG97="","",Config!$B$29)</f>
        <v/>
      </c>
      <c r="Y97">
        <f>IF($AH97="","",INDEX(Calc!$I$2:$I$1601,$AH97)&amp;" - "&amp;INDEX(Calc!$D$2:$D$1601,$AH97)&amp;" koli")</f>
        <v/>
      </c>
      <c r="Z97">
        <f>IF($AG97="","",Config!$B$21)</f>
        <v/>
      </c>
      <c r="AA97">
        <f>IF($AG97="","",Config!$B$22)</f>
        <v/>
      </c>
      <c r="AB97">
        <f>IF($AH97="","",INDEX(Calc!$D$2:$D$1601,$AH97))</f>
        <v/>
      </c>
      <c r="AC97">
        <f>IF($AH97="","",INDEX(Calc!$G$2:$G$1601,$AH97))</f>
        <v/>
      </c>
      <c r="AD97">
        <f>IF($AG97="","",Config!$B$23)</f>
        <v/>
      </c>
      <c r="AE97">
        <f>IF($AG97="","",Config!$B$28)</f>
        <v/>
      </c>
      <c r="AG97">
        <f>IFERROR(MATCH(ROW()-1,Calc!$J$2:$J$1601,0),"")</f>
        <v/>
      </c>
      <c r="AH97">
        <f>IFERROR(MATCH(ROW()-1,Calc!$K$2:$K$1601,0),"")</f>
        <v/>
      </c>
      <c r="AI97">
        <f>IF($AG97="","",SUMIF($AG$2:$AG97,$AG97,$AH$2:$AH97))</f>
        <v/>
      </c>
      <c r="AJ97">
        <f>IF('TMP Paste'!$F97="","",IF('TMP Paste'!$B97="",$AJ96,'TMP Paste'!$B97))</f>
        <v/>
      </c>
      <c r="AK97">
        <f>IF('TMP Paste'!$F97="","",N('TMP Paste'!$G97))</f>
        <v/>
      </c>
      <c r="AL97">
        <f>IF('TMP Paste'!$F97="","",IF('TMP Paste'!$M97="",$AL96,'TMP Paste'!$M97))</f>
        <v/>
      </c>
      <c r="AM97">
        <f>IF('TMP Paste'!$F97="","",IF('TMP Paste'!$N97="",$AM96,'TMP Paste'!$N97))</f>
        <v/>
      </c>
      <c r="AN97">
        <f>IF('TMP Paste'!$F97="","",IF('TMP Paste'!$O97="",$AN96,'TMP Paste'!$O97))</f>
        <v/>
      </c>
      <c r="AO97">
        <f>IF('TMP Paste'!$F97="","",IF('TMP Paste'!$P97="",$AO96,'TMP Paste'!$P97))</f>
        <v/>
      </c>
      <c r="AP97">
        <f>IF($AG97="","",LEN($R97))</f>
        <v/>
      </c>
      <c r="AQ97">
        <f>IF($AG97="","",TRIM(IF(COUNTIFS(Calc!$B$2:$B$1601,ROW()-1,Calc!$C$2:$C$1601,"&lt;1")&gt;0,"Ada PO tanpa Koli - cek TMP. ","")&amp;IF(LEN($R97)&gt;500,"R &gt; 500 karakter.","")))</f>
        <v/>
      </c>
    </row>
    <row r="98">
      <c r="A98">
        <f>IF($AG98="","",INDEX('TMP Paste'!$B$2:$B$1601,$AG98))</f>
        <v/>
      </c>
      <c r="B98">
        <f>IF($AG98="","",Config!$B$14)</f>
        <v/>
      </c>
      <c r="C98">
        <f>IF($AG98="","",Config!$B$15)</f>
        <v/>
      </c>
      <c r="D98">
        <f>IF($AG98="","",INDEX('TMP Paste'!$B$2:$B$1601,$AG98))</f>
        <v/>
      </c>
      <c r="E98">
        <f>IF($AG98="","",Config!$B$27)</f>
        <v/>
      </c>
      <c r="F98">
        <f>IF($AG98="","",Config!$B$9)</f>
        <v/>
      </c>
      <c r="G98">
        <f>IF($AG98="","",Config!$B$10)</f>
        <v/>
      </c>
      <c r="H98">
        <f>IF($AG98="","",Config!$B$11)</f>
        <v/>
      </c>
      <c r="I98">
        <f>IF($AG98="","",Config!$B$16)</f>
        <v/>
      </c>
      <c r="J98">
        <f>IF($AG98="","",INDEX('TMP Paste'!$A$2:$A$1601,$AG98))</f>
        <v/>
      </c>
      <c r="K98">
        <f>IF($AG98="","",INDEX('TMP Paste'!$L$2:$L$1601,$AG98))</f>
        <v/>
      </c>
      <c r="L98">
        <f>IF($AG98="","",INDEX('TMP Paste'!$I$2:$I$1601,$AG98))</f>
        <v/>
      </c>
      <c r="M98">
        <f>IF($AG98="","",Config!$B$16)</f>
        <v/>
      </c>
      <c r="N98">
        <f>IF($AG98="","","")</f>
        <v/>
      </c>
      <c r="O98">
        <f>IF($AG98="","",INDEX('TMP Paste'!$K$2:$K$1601,$AG98))</f>
        <v/>
      </c>
      <c r="P98">
        <f>IF($AG98="","","")</f>
        <v/>
      </c>
      <c r="Q98">
        <f>IF($AG98="","",INDEX('TMP Paste'!$J$2:$J$1601,$AG98))</f>
        <v/>
      </c>
      <c r="R98">
        <f>IF($AG98="","",Config!$B$24)</f>
        <v/>
      </c>
      <c r="S98">
        <f>IF($AG98="","",TEXT(Config!$B$4,"yyyy-mm-dd"))</f>
        <v/>
      </c>
      <c r="T98">
        <f>IF($AG98="","",Config!$B$17)</f>
        <v/>
      </c>
      <c r="U98">
        <f>IF($AG98="","",Config!$B$18)</f>
        <v/>
      </c>
      <c r="V98">
        <f>IF($AG98="","",Config!$B$19)</f>
        <v/>
      </c>
      <c r="W98">
        <f>IF($AG98="","",INDEX('TMP Paste'!$C$2:$C$1601,$AG98))</f>
        <v/>
      </c>
      <c r="X98">
        <f>IF($AG98="","",Config!$B$29)</f>
        <v/>
      </c>
      <c r="Y98">
        <f>IF($AH98="","",INDEX(Calc!$I$2:$I$1601,$AH98)&amp;" - "&amp;INDEX(Calc!$D$2:$D$1601,$AH98)&amp;" koli")</f>
        <v/>
      </c>
      <c r="Z98">
        <f>IF($AG98="","",Config!$B$21)</f>
        <v/>
      </c>
      <c r="AA98">
        <f>IF($AG98="","",Config!$B$22)</f>
        <v/>
      </c>
      <c r="AB98">
        <f>IF($AH98="","",INDEX(Calc!$D$2:$D$1601,$AH98))</f>
        <v/>
      </c>
      <c r="AC98">
        <f>IF($AH98="","",INDEX(Calc!$G$2:$G$1601,$AH98))</f>
        <v/>
      </c>
      <c r="AD98">
        <f>IF($AG98="","",Config!$B$23)</f>
        <v/>
      </c>
      <c r="AE98">
        <f>IF($AG98="","",Config!$B$28)</f>
        <v/>
      </c>
      <c r="AG98">
        <f>IFERROR(MATCH(ROW()-1,Calc!$J$2:$J$1601,0),"")</f>
        <v/>
      </c>
      <c r="AH98">
        <f>IFERROR(MATCH(ROW()-1,Calc!$K$2:$K$1601,0),"")</f>
        <v/>
      </c>
      <c r="AI98">
        <f>IF($AG98="","",SUMIF($AG$2:$AG98,$AG98,$AH$2:$AH98))</f>
        <v/>
      </c>
      <c r="AJ98">
        <f>IF('TMP Paste'!$F98="","",IF('TMP Paste'!$B98="",$AJ97,'TMP Paste'!$B98))</f>
        <v/>
      </c>
      <c r="AK98">
        <f>IF('TMP Paste'!$F98="","",N('TMP Paste'!$G98))</f>
        <v/>
      </c>
      <c r="AL98">
        <f>IF('TMP Paste'!$F98="","",IF('TMP Paste'!$M98="",$AL97,'TMP Paste'!$M98))</f>
        <v/>
      </c>
      <c r="AM98">
        <f>IF('TMP Paste'!$F98="","",IF('TMP Paste'!$N98="",$AM97,'TMP Paste'!$N98))</f>
        <v/>
      </c>
      <c r="AN98">
        <f>IF('TMP Paste'!$F98="","",IF('TMP Paste'!$O98="",$AN97,'TMP Paste'!$O98))</f>
        <v/>
      </c>
      <c r="AO98">
        <f>IF('TMP Paste'!$F98="","",IF('TMP Paste'!$P98="",$AO97,'TMP Paste'!$P98))</f>
        <v/>
      </c>
      <c r="AP98">
        <f>IF($AG98="","",LEN($R98))</f>
        <v/>
      </c>
      <c r="AQ98">
        <f>IF($AG98="","",TRIM(IF(COUNTIFS(Calc!$B$2:$B$1601,ROW()-1,Calc!$C$2:$C$1601,"&lt;1")&gt;0,"Ada PO tanpa Koli - cek TMP. ","")&amp;IF(LEN($R98)&gt;500,"R &gt; 500 karakter.","")))</f>
        <v/>
      </c>
    </row>
    <row r="99">
      <c r="A99">
        <f>IF($AG99="","",INDEX('TMP Paste'!$B$2:$B$1601,$AG99))</f>
        <v/>
      </c>
      <c r="B99">
        <f>IF($AG99="","",Config!$B$14)</f>
        <v/>
      </c>
      <c r="C99">
        <f>IF($AG99="","",Config!$B$15)</f>
        <v/>
      </c>
      <c r="D99">
        <f>IF($AG99="","",INDEX('TMP Paste'!$B$2:$B$1601,$AG99))</f>
        <v/>
      </c>
      <c r="E99">
        <f>IF($AG99="","",Config!$B$27)</f>
        <v/>
      </c>
      <c r="F99">
        <f>IF($AG99="","",Config!$B$9)</f>
        <v/>
      </c>
      <c r="G99">
        <f>IF($AG99="","",Config!$B$10)</f>
        <v/>
      </c>
      <c r="H99">
        <f>IF($AG99="","",Config!$B$11)</f>
        <v/>
      </c>
      <c r="I99">
        <f>IF($AG99="","",Config!$B$16)</f>
        <v/>
      </c>
      <c r="J99">
        <f>IF($AG99="","",INDEX('TMP Paste'!$A$2:$A$1601,$AG99))</f>
        <v/>
      </c>
      <c r="K99">
        <f>IF($AG99="","",INDEX('TMP Paste'!$L$2:$L$1601,$AG99))</f>
        <v/>
      </c>
      <c r="L99">
        <f>IF($AG99="","",INDEX('TMP Paste'!$I$2:$I$1601,$AG99))</f>
        <v/>
      </c>
      <c r="M99">
        <f>IF($AG99="","",Config!$B$16)</f>
        <v/>
      </c>
      <c r="N99">
        <f>IF($AG99="","","")</f>
        <v/>
      </c>
      <c r="O99">
        <f>IF($AG99="","",INDEX('TMP Paste'!$K$2:$K$1601,$AG99))</f>
        <v/>
      </c>
      <c r="P99">
        <f>IF($AG99="","","")</f>
        <v/>
      </c>
      <c r="Q99">
        <f>IF($AG99="","",INDEX('TMP Paste'!$J$2:$J$1601,$AG99))</f>
        <v/>
      </c>
      <c r="R99">
        <f>IF($AG99="","",Config!$B$24)</f>
        <v/>
      </c>
      <c r="S99">
        <f>IF($AG99="","",TEXT(Config!$B$4,"yyyy-mm-dd"))</f>
        <v/>
      </c>
      <c r="T99">
        <f>IF($AG99="","",Config!$B$17)</f>
        <v/>
      </c>
      <c r="U99">
        <f>IF($AG99="","",Config!$B$18)</f>
        <v/>
      </c>
      <c r="V99">
        <f>IF($AG99="","",Config!$B$19)</f>
        <v/>
      </c>
      <c r="W99">
        <f>IF($AG99="","",INDEX('TMP Paste'!$C$2:$C$1601,$AG99))</f>
        <v/>
      </c>
      <c r="X99">
        <f>IF($AG99="","",Config!$B$29)</f>
        <v/>
      </c>
      <c r="Y99">
        <f>IF($AH99="","",INDEX(Calc!$I$2:$I$1601,$AH99)&amp;" - "&amp;INDEX(Calc!$D$2:$D$1601,$AH99)&amp;" koli")</f>
        <v/>
      </c>
      <c r="Z99">
        <f>IF($AG99="","",Config!$B$21)</f>
        <v/>
      </c>
      <c r="AA99">
        <f>IF($AG99="","",Config!$B$22)</f>
        <v/>
      </c>
      <c r="AB99">
        <f>IF($AH99="","",INDEX(Calc!$D$2:$D$1601,$AH99))</f>
        <v/>
      </c>
      <c r="AC99">
        <f>IF($AH99="","",INDEX(Calc!$G$2:$G$1601,$AH99))</f>
        <v/>
      </c>
      <c r="AD99">
        <f>IF($AG99="","",Config!$B$23)</f>
        <v/>
      </c>
      <c r="AE99">
        <f>IF($AG99="","",Config!$B$28)</f>
        <v/>
      </c>
      <c r="AG99">
        <f>IFERROR(MATCH(ROW()-1,Calc!$J$2:$J$1601,0),"")</f>
        <v/>
      </c>
      <c r="AH99">
        <f>IFERROR(MATCH(ROW()-1,Calc!$K$2:$K$1601,0),"")</f>
        <v/>
      </c>
      <c r="AI99">
        <f>IF($AG99="","",SUMIF($AG$2:$AG99,$AG99,$AH$2:$AH99))</f>
        <v/>
      </c>
      <c r="AJ99">
        <f>IF('TMP Paste'!$F99="","",IF('TMP Paste'!$B99="",$AJ98,'TMP Paste'!$B99))</f>
        <v/>
      </c>
      <c r="AK99">
        <f>IF('TMP Paste'!$F99="","",N('TMP Paste'!$G99))</f>
        <v/>
      </c>
      <c r="AL99">
        <f>IF('TMP Paste'!$F99="","",IF('TMP Paste'!$M99="",$AL98,'TMP Paste'!$M99))</f>
        <v/>
      </c>
      <c r="AM99">
        <f>IF('TMP Paste'!$F99="","",IF('TMP Paste'!$N99="",$AM98,'TMP Paste'!$N99))</f>
        <v/>
      </c>
      <c r="AN99">
        <f>IF('TMP Paste'!$F99="","",IF('TMP Paste'!$O99="",$AN98,'TMP Paste'!$O99))</f>
        <v/>
      </c>
      <c r="AO99">
        <f>IF('TMP Paste'!$F99="","",IF('TMP Paste'!$P99="",$AO98,'TMP Paste'!$P99))</f>
        <v/>
      </c>
      <c r="AP99">
        <f>IF($AG99="","",LEN($R99))</f>
        <v/>
      </c>
      <c r="AQ99">
        <f>IF($AG99="","",TRIM(IF(COUNTIFS(Calc!$B$2:$B$1601,ROW()-1,Calc!$C$2:$C$1601,"&lt;1")&gt;0,"Ada PO tanpa Koli - cek TMP. ","")&amp;IF(LEN($R99)&gt;500,"R &gt; 500 karakter.","")))</f>
        <v/>
      </c>
    </row>
    <row r="100">
      <c r="A100">
        <f>IF($AG100="","",INDEX('TMP Paste'!$B$2:$B$1601,$AG100))</f>
        <v/>
      </c>
      <c r="B100">
        <f>IF($AG100="","",Config!$B$14)</f>
        <v/>
      </c>
      <c r="C100">
        <f>IF($AG100="","",Config!$B$15)</f>
        <v/>
      </c>
      <c r="D100">
        <f>IF($AG100="","",INDEX('TMP Paste'!$B$2:$B$1601,$AG100))</f>
        <v/>
      </c>
      <c r="E100">
        <f>IF($AG100="","",Config!$B$27)</f>
        <v/>
      </c>
      <c r="F100">
        <f>IF($AG100="","",Config!$B$9)</f>
        <v/>
      </c>
      <c r="G100">
        <f>IF($AG100="","",Config!$B$10)</f>
        <v/>
      </c>
      <c r="H100">
        <f>IF($AG100="","",Config!$B$11)</f>
        <v/>
      </c>
      <c r="I100">
        <f>IF($AG100="","",Config!$B$16)</f>
        <v/>
      </c>
      <c r="J100">
        <f>IF($AG100="","",INDEX('TMP Paste'!$A$2:$A$1601,$AG100))</f>
        <v/>
      </c>
      <c r="K100">
        <f>IF($AG100="","",INDEX('TMP Paste'!$L$2:$L$1601,$AG100))</f>
        <v/>
      </c>
      <c r="L100">
        <f>IF($AG100="","",INDEX('TMP Paste'!$I$2:$I$1601,$AG100))</f>
        <v/>
      </c>
      <c r="M100">
        <f>IF($AG100="","",Config!$B$16)</f>
        <v/>
      </c>
      <c r="N100">
        <f>IF($AG100="","","")</f>
        <v/>
      </c>
      <c r="O100">
        <f>IF($AG100="","",INDEX('TMP Paste'!$K$2:$K$1601,$AG100))</f>
        <v/>
      </c>
      <c r="P100">
        <f>IF($AG100="","","")</f>
        <v/>
      </c>
      <c r="Q100">
        <f>IF($AG100="","",INDEX('TMP Paste'!$J$2:$J$1601,$AG100))</f>
        <v/>
      </c>
      <c r="R100">
        <f>IF($AG100="","",Config!$B$24)</f>
        <v/>
      </c>
      <c r="S100">
        <f>IF($AG100="","",TEXT(Config!$B$4,"yyyy-mm-dd"))</f>
        <v/>
      </c>
      <c r="T100">
        <f>IF($AG100="","",Config!$B$17)</f>
        <v/>
      </c>
      <c r="U100">
        <f>IF($AG100="","",Config!$B$18)</f>
        <v/>
      </c>
      <c r="V100">
        <f>IF($AG100="","",Config!$B$19)</f>
        <v/>
      </c>
      <c r="W100">
        <f>IF($AG100="","",INDEX('TMP Paste'!$C$2:$C$1601,$AG100))</f>
        <v/>
      </c>
      <c r="X100">
        <f>IF($AG100="","",Config!$B$29)</f>
        <v/>
      </c>
      <c r="Y100">
        <f>IF($AH100="","",INDEX(Calc!$I$2:$I$1601,$AH100)&amp;" - "&amp;INDEX(Calc!$D$2:$D$1601,$AH100)&amp;" koli")</f>
        <v/>
      </c>
      <c r="Z100">
        <f>IF($AG100="","",Config!$B$21)</f>
        <v/>
      </c>
      <c r="AA100">
        <f>IF($AG100="","",Config!$B$22)</f>
        <v/>
      </c>
      <c r="AB100">
        <f>IF($AH100="","",INDEX(Calc!$D$2:$D$1601,$AH100))</f>
        <v/>
      </c>
      <c r="AC100">
        <f>IF($AH100="","",INDEX(Calc!$G$2:$G$1601,$AH100))</f>
        <v/>
      </c>
      <c r="AD100">
        <f>IF($AG100="","",Config!$B$23)</f>
        <v/>
      </c>
      <c r="AE100">
        <f>IF($AG100="","",Config!$B$28)</f>
        <v/>
      </c>
      <c r="AG100">
        <f>IFERROR(MATCH(ROW()-1,Calc!$J$2:$J$1601,0),"")</f>
        <v/>
      </c>
      <c r="AH100">
        <f>IFERROR(MATCH(ROW()-1,Calc!$K$2:$K$1601,0),"")</f>
        <v/>
      </c>
      <c r="AI100">
        <f>IF($AG100="","",SUMIF($AG$2:$AG100,$AG100,$AH$2:$AH100))</f>
        <v/>
      </c>
      <c r="AJ100">
        <f>IF('TMP Paste'!$F100="","",IF('TMP Paste'!$B100="",$AJ99,'TMP Paste'!$B100))</f>
        <v/>
      </c>
      <c r="AK100">
        <f>IF('TMP Paste'!$F100="","",N('TMP Paste'!$G100))</f>
        <v/>
      </c>
      <c r="AL100">
        <f>IF('TMP Paste'!$F100="","",IF('TMP Paste'!$M100="",$AL99,'TMP Paste'!$M100))</f>
        <v/>
      </c>
      <c r="AM100">
        <f>IF('TMP Paste'!$F100="","",IF('TMP Paste'!$N100="",$AM99,'TMP Paste'!$N100))</f>
        <v/>
      </c>
      <c r="AN100">
        <f>IF('TMP Paste'!$F100="","",IF('TMP Paste'!$O100="",$AN99,'TMP Paste'!$O100))</f>
        <v/>
      </c>
      <c r="AO100">
        <f>IF('TMP Paste'!$F100="","",IF('TMP Paste'!$P100="",$AO99,'TMP Paste'!$P100))</f>
        <v/>
      </c>
      <c r="AP100">
        <f>IF($AG100="","",LEN($R100))</f>
        <v/>
      </c>
      <c r="AQ100">
        <f>IF($AG100="","",TRIM(IF(COUNTIFS(Calc!$B$2:$B$1601,ROW()-1,Calc!$C$2:$C$1601,"&lt;1")&gt;0,"Ada PO tanpa Koli - cek TMP. ","")&amp;IF(LEN($R100)&gt;500,"R &gt; 500 karakter.","")))</f>
        <v/>
      </c>
    </row>
    <row r="101">
      <c r="A101">
        <f>IF($AG101="","",INDEX('TMP Paste'!$B$2:$B$1601,$AG101))</f>
        <v/>
      </c>
      <c r="B101">
        <f>IF($AG101="","",Config!$B$14)</f>
        <v/>
      </c>
      <c r="C101">
        <f>IF($AG101="","",Config!$B$15)</f>
        <v/>
      </c>
      <c r="D101">
        <f>IF($AG101="","",INDEX('TMP Paste'!$B$2:$B$1601,$AG101))</f>
        <v/>
      </c>
      <c r="E101">
        <f>IF($AG101="","",Config!$B$27)</f>
        <v/>
      </c>
      <c r="F101">
        <f>IF($AG101="","",Config!$B$9)</f>
        <v/>
      </c>
      <c r="G101">
        <f>IF($AG101="","",Config!$B$10)</f>
        <v/>
      </c>
      <c r="H101">
        <f>IF($AG101="","",Config!$B$11)</f>
        <v/>
      </c>
      <c r="I101">
        <f>IF($AG101="","",Config!$B$16)</f>
        <v/>
      </c>
      <c r="J101">
        <f>IF($AG101="","",INDEX('TMP Paste'!$A$2:$A$1601,$AG101))</f>
        <v/>
      </c>
      <c r="K101">
        <f>IF($AG101="","",INDEX('TMP Paste'!$L$2:$L$1601,$AG101))</f>
        <v/>
      </c>
      <c r="L101">
        <f>IF($AG101="","",INDEX('TMP Paste'!$I$2:$I$1601,$AG101))</f>
        <v/>
      </c>
      <c r="M101">
        <f>IF($AG101="","",Config!$B$16)</f>
        <v/>
      </c>
      <c r="N101">
        <f>IF($AG101="","","")</f>
        <v/>
      </c>
      <c r="O101">
        <f>IF($AG101="","",INDEX('TMP Paste'!$K$2:$K$1601,$AG101))</f>
        <v/>
      </c>
      <c r="P101">
        <f>IF($AG101="","","")</f>
        <v/>
      </c>
      <c r="Q101">
        <f>IF($AG101="","",INDEX('TMP Paste'!$J$2:$J$1601,$AG101))</f>
        <v/>
      </c>
      <c r="R101">
        <f>IF($AG101="","",Config!$B$24)</f>
        <v/>
      </c>
      <c r="S101">
        <f>IF($AG101="","",TEXT(Config!$B$4,"yyyy-mm-dd"))</f>
        <v/>
      </c>
      <c r="T101">
        <f>IF($AG101="","",Config!$B$17)</f>
        <v/>
      </c>
      <c r="U101">
        <f>IF($AG101="","",Config!$B$18)</f>
        <v/>
      </c>
      <c r="V101">
        <f>IF($AG101="","",Config!$B$19)</f>
        <v/>
      </c>
      <c r="W101">
        <f>IF($AG101="","",INDEX('TMP Paste'!$C$2:$C$1601,$AG101))</f>
        <v/>
      </c>
      <c r="X101">
        <f>IF($AG101="","",Config!$B$29)</f>
        <v/>
      </c>
      <c r="Y101">
        <f>IF($AH101="","",INDEX(Calc!$I$2:$I$1601,$AH101)&amp;" - "&amp;INDEX(Calc!$D$2:$D$1601,$AH101)&amp;" koli")</f>
        <v/>
      </c>
      <c r="Z101">
        <f>IF($AG101="","",Config!$B$21)</f>
        <v/>
      </c>
      <c r="AA101">
        <f>IF($AG101="","",Config!$B$22)</f>
        <v/>
      </c>
      <c r="AB101">
        <f>IF($AH101="","",INDEX(Calc!$D$2:$D$1601,$AH101))</f>
        <v/>
      </c>
      <c r="AC101">
        <f>IF($AH101="","",INDEX(Calc!$G$2:$G$1601,$AH101))</f>
        <v/>
      </c>
      <c r="AD101">
        <f>IF($AG101="","",Config!$B$23)</f>
        <v/>
      </c>
      <c r="AE101">
        <f>IF($AG101="","",Config!$B$28)</f>
        <v/>
      </c>
      <c r="AG101">
        <f>IFERROR(MATCH(ROW()-1,Calc!$J$2:$J$1601,0),"")</f>
        <v/>
      </c>
      <c r="AH101">
        <f>IFERROR(MATCH(ROW()-1,Calc!$K$2:$K$1601,0),"")</f>
        <v/>
      </c>
      <c r="AI101">
        <f>IF($AG101="","",SUMIF($AG$2:$AG101,$AG101,$AH$2:$AH101))</f>
        <v/>
      </c>
      <c r="AJ101">
        <f>IF('TMP Paste'!$F101="","",IF('TMP Paste'!$B101="",$AJ100,'TMP Paste'!$B101))</f>
        <v/>
      </c>
      <c r="AK101">
        <f>IF('TMP Paste'!$F101="","",N('TMP Paste'!$G101))</f>
        <v/>
      </c>
      <c r="AL101">
        <f>IF('TMP Paste'!$F101="","",IF('TMP Paste'!$M101="",$AL100,'TMP Paste'!$M101))</f>
        <v/>
      </c>
      <c r="AM101">
        <f>IF('TMP Paste'!$F101="","",IF('TMP Paste'!$N101="",$AM100,'TMP Paste'!$N101))</f>
        <v/>
      </c>
      <c r="AN101">
        <f>IF('TMP Paste'!$F101="","",IF('TMP Paste'!$O101="",$AN100,'TMP Paste'!$O101))</f>
        <v/>
      </c>
      <c r="AO101">
        <f>IF('TMP Paste'!$F101="","",IF('TMP Paste'!$P101="",$AO100,'TMP Paste'!$P101))</f>
        <v/>
      </c>
      <c r="AP101">
        <f>IF($AG101="","",LEN($R101))</f>
        <v/>
      </c>
      <c r="AQ101">
        <f>IF($AG101="","",TRIM(IF(COUNTIFS(Calc!$B$2:$B$1601,ROW()-1,Calc!$C$2:$C$1601,"&lt;1")&gt;0,"Ada PO tanpa Koli - cek TMP. ","")&amp;IF(LEN($R101)&gt;500,"R &gt; 500 karakter.","")))</f>
        <v/>
      </c>
    </row>
    <row r="102">
      <c r="A102">
        <f>IF($AG102="","",INDEX('TMP Paste'!$B$2:$B$1601,$AG102))</f>
        <v/>
      </c>
      <c r="B102">
        <f>IF($AG102="","",Config!$B$14)</f>
        <v/>
      </c>
      <c r="C102">
        <f>IF($AG102="","",Config!$B$15)</f>
        <v/>
      </c>
      <c r="D102">
        <f>IF($AG102="","",INDEX('TMP Paste'!$B$2:$B$1601,$AG102))</f>
        <v/>
      </c>
      <c r="E102">
        <f>IF($AG102="","",Config!$B$27)</f>
        <v/>
      </c>
      <c r="F102">
        <f>IF($AG102="","",Config!$B$9)</f>
        <v/>
      </c>
      <c r="G102">
        <f>IF($AG102="","",Config!$B$10)</f>
        <v/>
      </c>
      <c r="H102">
        <f>IF($AG102="","",Config!$B$11)</f>
        <v/>
      </c>
      <c r="I102">
        <f>IF($AG102="","",Config!$B$16)</f>
        <v/>
      </c>
      <c r="J102">
        <f>IF($AG102="","",INDEX('TMP Paste'!$A$2:$A$1601,$AG102))</f>
        <v/>
      </c>
      <c r="K102">
        <f>IF($AG102="","",INDEX('TMP Paste'!$L$2:$L$1601,$AG102))</f>
        <v/>
      </c>
      <c r="L102">
        <f>IF($AG102="","",INDEX('TMP Paste'!$I$2:$I$1601,$AG102))</f>
        <v/>
      </c>
      <c r="M102">
        <f>IF($AG102="","",Config!$B$16)</f>
        <v/>
      </c>
      <c r="N102">
        <f>IF($AG102="","","")</f>
        <v/>
      </c>
      <c r="O102">
        <f>IF($AG102="","",INDEX('TMP Paste'!$K$2:$K$1601,$AG102))</f>
        <v/>
      </c>
      <c r="P102">
        <f>IF($AG102="","","")</f>
        <v/>
      </c>
      <c r="Q102">
        <f>IF($AG102="","",INDEX('TMP Paste'!$J$2:$J$1601,$AG102))</f>
        <v/>
      </c>
      <c r="R102">
        <f>IF($AG102="","",Config!$B$24)</f>
        <v/>
      </c>
      <c r="S102">
        <f>IF($AG102="","",TEXT(Config!$B$4,"yyyy-mm-dd"))</f>
        <v/>
      </c>
      <c r="T102">
        <f>IF($AG102="","",Config!$B$17)</f>
        <v/>
      </c>
      <c r="U102">
        <f>IF($AG102="","",Config!$B$18)</f>
        <v/>
      </c>
      <c r="V102">
        <f>IF($AG102="","",Config!$B$19)</f>
        <v/>
      </c>
      <c r="W102">
        <f>IF($AG102="","",INDEX('TMP Paste'!$C$2:$C$1601,$AG102))</f>
        <v/>
      </c>
      <c r="X102">
        <f>IF($AG102="","",Config!$B$29)</f>
        <v/>
      </c>
      <c r="Y102">
        <f>IF($AH102="","",INDEX(Calc!$I$2:$I$1601,$AH102)&amp;" - "&amp;INDEX(Calc!$D$2:$D$1601,$AH102)&amp;" koli")</f>
        <v/>
      </c>
      <c r="Z102">
        <f>IF($AG102="","",Config!$B$21)</f>
        <v/>
      </c>
      <c r="AA102">
        <f>IF($AG102="","",Config!$B$22)</f>
        <v/>
      </c>
      <c r="AB102">
        <f>IF($AH102="","",INDEX(Calc!$D$2:$D$1601,$AH102))</f>
        <v/>
      </c>
      <c r="AC102">
        <f>IF($AH102="","",INDEX(Calc!$G$2:$G$1601,$AH102))</f>
        <v/>
      </c>
      <c r="AD102">
        <f>IF($AG102="","",Config!$B$23)</f>
        <v/>
      </c>
      <c r="AE102">
        <f>IF($AG102="","",Config!$B$28)</f>
        <v/>
      </c>
      <c r="AG102">
        <f>IFERROR(MATCH(ROW()-1,Calc!$J$2:$J$1601,0),"")</f>
        <v/>
      </c>
      <c r="AH102">
        <f>IFERROR(MATCH(ROW()-1,Calc!$K$2:$K$1601,0),"")</f>
        <v/>
      </c>
      <c r="AI102">
        <f>IF($AG102="","",SUMIF($AG$2:$AG102,$AG102,$AH$2:$AH102))</f>
        <v/>
      </c>
      <c r="AJ102">
        <f>IF('TMP Paste'!$F102="","",IF('TMP Paste'!$B102="",$AJ101,'TMP Paste'!$B102))</f>
        <v/>
      </c>
      <c r="AK102">
        <f>IF('TMP Paste'!$F102="","",N('TMP Paste'!$G102))</f>
        <v/>
      </c>
      <c r="AL102">
        <f>IF('TMP Paste'!$F102="","",IF('TMP Paste'!$M102="",$AL101,'TMP Paste'!$M102))</f>
        <v/>
      </c>
      <c r="AM102">
        <f>IF('TMP Paste'!$F102="","",IF('TMP Paste'!$N102="",$AM101,'TMP Paste'!$N102))</f>
        <v/>
      </c>
      <c r="AN102">
        <f>IF('TMP Paste'!$F102="","",IF('TMP Paste'!$O102="",$AN101,'TMP Paste'!$O102))</f>
        <v/>
      </c>
      <c r="AO102">
        <f>IF('TMP Paste'!$F102="","",IF('TMP Paste'!$P102="",$AO101,'TMP Paste'!$P102))</f>
        <v/>
      </c>
      <c r="AP102">
        <f>IF($AG102="","",LEN($R102))</f>
        <v/>
      </c>
      <c r="AQ102">
        <f>IF($AG102="","",TRIM(IF(COUNTIFS(Calc!$B$2:$B$1601,ROW()-1,Calc!$C$2:$C$1601,"&lt;1")&gt;0,"Ada PO tanpa Koli - cek TMP. ","")&amp;IF(LEN($R102)&gt;500,"R &gt; 500 karakter.","")))</f>
        <v/>
      </c>
    </row>
    <row r="103">
      <c r="A103">
        <f>IF($AG103="","",INDEX('TMP Paste'!$B$2:$B$1601,$AG103))</f>
        <v/>
      </c>
      <c r="B103">
        <f>IF($AG103="","",Config!$B$14)</f>
        <v/>
      </c>
      <c r="C103">
        <f>IF($AG103="","",Config!$B$15)</f>
        <v/>
      </c>
      <c r="D103">
        <f>IF($AG103="","",INDEX('TMP Paste'!$B$2:$B$1601,$AG103))</f>
        <v/>
      </c>
      <c r="E103">
        <f>IF($AG103="","",Config!$B$27)</f>
        <v/>
      </c>
      <c r="F103">
        <f>IF($AG103="","",Config!$B$9)</f>
        <v/>
      </c>
      <c r="G103">
        <f>IF($AG103="","",Config!$B$10)</f>
        <v/>
      </c>
      <c r="H103">
        <f>IF($AG103="","",Config!$B$11)</f>
        <v/>
      </c>
      <c r="I103">
        <f>IF($AG103="","",Config!$B$16)</f>
        <v/>
      </c>
      <c r="J103">
        <f>IF($AG103="","",INDEX('TMP Paste'!$A$2:$A$1601,$AG103))</f>
        <v/>
      </c>
      <c r="K103">
        <f>IF($AG103="","",INDEX('TMP Paste'!$L$2:$L$1601,$AG103))</f>
        <v/>
      </c>
      <c r="L103">
        <f>IF($AG103="","",INDEX('TMP Paste'!$I$2:$I$1601,$AG103))</f>
        <v/>
      </c>
      <c r="M103">
        <f>IF($AG103="","",Config!$B$16)</f>
        <v/>
      </c>
      <c r="N103">
        <f>IF($AG103="","","")</f>
        <v/>
      </c>
      <c r="O103">
        <f>IF($AG103="","",INDEX('TMP Paste'!$K$2:$K$1601,$AG103))</f>
        <v/>
      </c>
      <c r="P103">
        <f>IF($AG103="","","")</f>
        <v/>
      </c>
      <c r="Q103">
        <f>IF($AG103="","",INDEX('TMP Paste'!$J$2:$J$1601,$AG103))</f>
        <v/>
      </c>
      <c r="R103">
        <f>IF($AG103="","",Config!$B$24)</f>
        <v/>
      </c>
      <c r="S103">
        <f>IF($AG103="","",TEXT(Config!$B$4,"yyyy-mm-dd"))</f>
        <v/>
      </c>
      <c r="T103">
        <f>IF($AG103="","",Config!$B$17)</f>
        <v/>
      </c>
      <c r="U103">
        <f>IF($AG103="","",Config!$B$18)</f>
        <v/>
      </c>
      <c r="V103">
        <f>IF($AG103="","",Config!$B$19)</f>
        <v/>
      </c>
      <c r="W103">
        <f>IF($AG103="","",INDEX('TMP Paste'!$C$2:$C$1601,$AG103))</f>
        <v/>
      </c>
      <c r="X103">
        <f>IF($AG103="","",Config!$B$29)</f>
        <v/>
      </c>
      <c r="Y103">
        <f>IF($AH103="","",INDEX(Calc!$I$2:$I$1601,$AH103)&amp;" - "&amp;INDEX(Calc!$D$2:$D$1601,$AH103)&amp;" koli")</f>
        <v/>
      </c>
      <c r="Z103">
        <f>IF($AG103="","",Config!$B$21)</f>
        <v/>
      </c>
      <c r="AA103">
        <f>IF($AG103="","",Config!$B$22)</f>
        <v/>
      </c>
      <c r="AB103">
        <f>IF($AH103="","",INDEX(Calc!$D$2:$D$1601,$AH103))</f>
        <v/>
      </c>
      <c r="AC103">
        <f>IF($AH103="","",INDEX(Calc!$G$2:$G$1601,$AH103))</f>
        <v/>
      </c>
      <c r="AD103">
        <f>IF($AG103="","",Config!$B$23)</f>
        <v/>
      </c>
      <c r="AE103">
        <f>IF($AG103="","",Config!$B$28)</f>
        <v/>
      </c>
      <c r="AG103">
        <f>IFERROR(MATCH(ROW()-1,Calc!$J$2:$J$1601,0),"")</f>
        <v/>
      </c>
      <c r="AH103">
        <f>IFERROR(MATCH(ROW()-1,Calc!$K$2:$K$1601,0),"")</f>
        <v/>
      </c>
      <c r="AI103">
        <f>IF($AG103="","",SUMIF($AG$2:$AG103,$AG103,$AH$2:$AH103))</f>
        <v/>
      </c>
      <c r="AJ103">
        <f>IF('TMP Paste'!$F103="","",IF('TMP Paste'!$B103="",$AJ102,'TMP Paste'!$B103))</f>
        <v/>
      </c>
      <c r="AK103">
        <f>IF('TMP Paste'!$F103="","",N('TMP Paste'!$G103))</f>
        <v/>
      </c>
      <c r="AL103">
        <f>IF('TMP Paste'!$F103="","",IF('TMP Paste'!$M103="",$AL102,'TMP Paste'!$M103))</f>
        <v/>
      </c>
      <c r="AM103">
        <f>IF('TMP Paste'!$F103="","",IF('TMP Paste'!$N103="",$AM102,'TMP Paste'!$N103))</f>
        <v/>
      </c>
      <c r="AN103">
        <f>IF('TMP Paste'!$F103="","",IF('TMP Paste'!$O103="",$AN102,'TMP Paste'!$O103))</f>
        <v/>
      </c>
      <c r="AO103">
        <f>IF('TMP Paste'!$F103="","",IF('TMP Paste'!$P103="",$AO102,'TMP Paste'!$P103))</f>
        <v/>
      </c>
      <c r="AP103">
        <f>IF($AG103="","",LEN($R103))</f>
        <v/>
      </c>
      <c r="AQ103">
        <f>IF($AG103="","",TRIM(IF(COUNTIFS(Calc!$B$2:$B$1601,ROW()-1,Calc!$C$2:$C$1601,"&lt;1")&gt;0,"Ada PO tanpa Koli - cek TMP. ","")&amp;IF(LEN($R103)&gt;500,"R &gt; 500 karakter.","")))</f>
        <v/>
      </c>
    </row>
    <row r="104">
      <c r="A104">
        <f>IF($AG104="","",INDEX('TMP Paste'!$B$2:$B$1601,$AG104))</f>
        <v/>
      </c>
      <c r="B104">
        <f>IF($AG104="","",Config!$B$14)</f>
        <v/>
      </c>
      <c r="C104">
        <f>IF($AG104="","",Config!$B$15)</f>
        <v/>
      </c>
      <c r="D104">
        <f>IF($AG104="","",INDEX('TMP Paste'!$B$2:$B$1601,$AG104))</f>
        <v/>
      </c>
      <c r="E104">
        <f>IF($AG104="","",Config!$B$27)</f>
        <v/>
      </c>
      <c r="F104">
        <f>IF($AG104="","",Config!$B$9)</f>
        <v/>
      </c>
      <c r="G104">
        <f>IF($AG104="","",Config!$B$10)</f>
        <v/>
      </c>
      <c r="H104">
        <f>IF($AG104="","",Config!$B$11)</f>
        <v/>
      </c>
      <c r="I104">
        <f>IF($AG104="","",Config!$B$16)</f>
        <v/>
      </c>
      <c r="J104">
        <f>IF($AG104="","",INDEX('TMP Paste'!$A$2:$A$1601,$AG104))</f>
        <v/>
      </c>
      <c r="K104">
        <f>IF($AG104="","",INDEX('TMP Paste'!$L$2:$L$1601,$AG104))</f>
        <v/>
      </c>
      <c r="L104">
        <f>IF($AG104="","",INDEX('TMP Paste'!$I$2:$I$1601,$AG104))</f>
        <v/>
      </c>
      <c r="M104">
        <f>IF($AG104="","",Config!$B$16)</f>
        <v/>
      </c>
      <c r="N104">
        <f>IF($AG104="","","")</f>
        <v/>
      </c>
      <c r="O104">
        <f>IF($AG104="","",INDEX('TMP Paste'!$K$2:$K$1601,$AG104))</f>
        <v/>
      </c>
      <c r="P104">
        <f>IF($AG104="","","")</f>
        <v/>
      </c>
      <c r="Q104">
        <f>IF($AG104="","",INDEX('TMP Paste'!$J$2:$J$1601,$AG104))</f>
        <v/>
      </c>
      <c r="R104">
        <f>IF($AG104="","",Config!$B$24)</f>
        <v/>
      </c>
      <c r="S104">
        <f>IF($AG104="","",TEXT(Config!$B$4,"yyyy-mm-dd"))</f>
        <v/>
      </c>
      <c r="T104">
        <f>IF($AG104="","",Config!$B$17)</f>
        <v/>
      </c>
      <c r="U104">
        <f>IF($AG104="","",Config!$B$18)</f>
        <v/>
      </c>
      <c r="V104">
        <f>IF($AG104="","",Config!$B$19)</f>
        <v/>
      </c>
      <c r="W104">
        <f>IF($AG104="","",INDEX('TMP Paste'!$C$2:$C$1601,$AG104))</f>
        <v/>
      </c>
      <c r="X104">
        <f>IF($AG104="","",Config!$B$29)</f>
        <v/>
      </c>
      <c r="Y104">
        <f>IF($AH104="","",INDEX(Calc!$I$2:$I$1601,$AH104)&amp;" - "&amp;INDEX(Calc!$D$2:$D$1601,$AH104)&amp;" koli")</f>
        <v/>
      </c>
      <c r="Z104">
        <f>IF($AG104="","",Config!$B$21)</f>
        <v/>
      </c>
      <c r="AA104">
        <f>IF($AG104="","",Config!$B$22)</f>
        <v/>
      </c>
      <c r="AB104">
        <f>IF($AH104="","",INDEX(Calc!$D$2:$D$1601,$AH104))</f>
        <v/>
      </c>
      <c r="AC104">
        <f>IF($AH104="","",INDEX(Calc!$G$2:$G$1601,$AH104))</f>
        <v/>
      </c>
      <c r="AD104">
        <f>IF($AG104="","",Config!$B$23)</f>
        <v/>
      </c>
      <c r="AE104">
        <f>IF($AG104="","",Config!$B$28)</f>
        <v/>
      </c>
      <c r="AG104">
        <f>IFERROR(MATCH(ROW()-1,Calc!$J$2:$J$1601,0),"")</f>
        <v/>
      </c>
      <c r="AH104">
        <f>IFERROR(MATCH(ROW()-1,Calc!$K$2:$K$1601,0),"")</f>
        <v/>
      </c>
      <c r="AI104">
        <f>IF($AG104="","",SUMIF($AG$2:$AG104,$AG104,$AH$2:$AH104))</f>
        <v/>
      </c>
      <c r="AJ104">
        <f>IF('TMP Paste'!$F104="","",IF('TMP Paste'!$B104="",$AJ103,'TMP Paste'!$B104))</f>
        <v/>
      </c>
      <c r="AK104">
        <f>IF('TMP Paste'!$F104="","",N('TMP Paste'!$G104))</f>
        <v/>
      </c>
      <c r="AL104">
        <f>IF('TMP Paste'!$F104="","",IF('TMP Paste'!$M104="",$AL103,'TMP Paste'!$M104))</f>
        <v/>
      </c>
      <c r="AM104">
        <f>IF('TMP Paste'!$F104="","",IF('TMP Paste'!$N104="",$AM103,'TMP Paste'!$N104))</f>
        <v/>
      </c>
      <c r="AN104">
        <f>IF('TMP Paste'!$F104="","",IF('TMP Paste'!$O104="",$AN103,'TMP Paste'!$O104))</f>
        <v/>
      </c>
      <c r="AO104">
        <f>IF('TMP Paste'!$F104="","",IF('TMP Paste'!$P104="",$AO103,'TMP Paste'!$P104))</f>
        <v/>
      </c>
      <c r="AP104">
        <f>IF($AG104="","",LEN($R104))</f>
        <v/>
      </c>
      <c r="AQ104">
        <f>IF($AG104="","",TRIM(IF(COUNTIFS(Calc!$B$2:$B$1601,ROW()-1,Calc!$C$2:$C$1601,"&lt;1")&gt;0,"Ada PO tanpa Koli - cek TMP. ","")&amp;IF(LEN($R104)&gt;500,"R &gt; 500 karakter.","")))</f>
        <v/>
      </c>
    </row>
    <row r="105">
      <c r="A105">
        <f>IF($AG105="","",INDEX('TMP Paste'!$B$2:$B$1601,$AG105))</f>
        <v/>
      </c>
      <c r="B105">
        <f>IF($AG105="","",Config!$B$14)</f>
        <v/>
      </c>
      <c r="C105">
        <f>IF($AG105="","",Config!$B$15)</f>
        <v/>
      </c>
      <c r="D105">
        <f>IF($AG105="","",INDEX('TMP Paste'!$B$2:$B$1601,$AG105))</f>
        <v/>
      </c>
      <c r="E105">
        <f>IF($AG105="","",Config!$B$27)</f>
        <v/>
      </c>
      <c r="F105">
        <f>IF($AG105="","",Config!$B$9)</f>
        <v/>
      </c>
      <c r="G105">
        <f>IF($AG105="","",Config!$B$10)</f>
        <v/>
      </c>
      <c r="H105">
        <f>IF($AG105="","",Config!$B$11)</f>
        <v/>
      </c>
      <c r="I105">
        <f>IF($AG105="","",Config!$B$16)</f>
        <v/>
      </c>
      <c r="J105">
        <f>IF($AG105="","",INDEX('TMP Paste'!$A$2:$A$1601,$AG105))</f>
        <v/>
      </c>
      <c r="K105">
        <f>IF($AG105="","",INDEX('TMP Paste'!$L$2:$L$1601,$AG105))</f>
        <v/>
      </c>
      <c r="L105">
        <f>IF($AG105="","",INDEX('TMP Paste'!$I$2:$I$1601,$AG105))</f>
        <v/>
      </c>
      <c r="M105">
        <f>IF($AG105="","",Config!$B$16)</f>
        <v/>
      </c>
      <c r="N105">
        <f>IF($AG105="","","")</f>
        <v/>
      </c>
      <c r="O105">
        <f>IF($AG105="","",INDEX('TMP Paste'!$K$2:$K$1601,$AG105))</f>
        <v/>
      </c>
      <c r="P105">
        <f>IF($AG105="","","")</f>
        <v/>
      </c>
      <c r="Q105">
        <f>IF($AG105="","",INDEX('TMP Paste'!$J$2:$J$1601,$AG105))</f>
        <v/>
      </c>
      <c r="R105">
        <f>IF($AG105="","",Config!$B$24)</f>
        <v/>
      </c>
      <c r="S105">
        <f>IF($AG105="","",TEXT(Config!$B$4,"yyyy-mm-dd"))</f>
        <v/>
      </c>
      <c r="T105">
        <f>IF($AG105="","",Config!$B$17)</f>
        <v/>
      </c>
      <c r="U105">
        <f>IF($AG105="","",Config!$B$18)</f>
        <v/>
      </c>
      <c r="V105">
        <f>IF($AG105="","",Config!$B$19)</f>
        <v/>
      </c>
      <c r="W105">
        <f>IF($AG105="","",INDEX('TMP Paste'!$C$2:$C$1601,$AG105))</f>
        <v/>
      </c>
      <c r="X105">
        <f>IF($AG105="","",Config!$B$29)</f>
        <v/>
      </c>
      <c r="Y105">
        <f>IF($AH105="","",INDEX(Calc!$I$2:$I$1601,$AH105)&amp;" - "&amp;INDEX(Calc!$D$2:$D$1601,$AH105)&amp;" koli")</f>
        <v/>
      </c>
      <c r="Z105">
        <f>IF($AG105="","",Config!$B$21)</f>
        <v/>
      </c>
      <c r="AA105">
        <f>IF($AG105="","",Config!$B$22)</f>
        <v/>
      </c>
      <c r="AB105">
        <f>IF($AH105="","",INDEX(Calc!$D$2:$D$1601,$AH105))</f>
        <v/>
      </c>
      <c r="AC105">
        <f>IF($AH105="","",INDEX(Calc!$G$2:$G$1601,$AH105))</f>
        <v/>
      </c>
      <c r="AD105">
        <f>IF($AG105="","",Config!$B$23)</f>
        <v/>
      </c>
      <c r="AE105">
        <f>IF($AG105="","",Config!$B$28)</f>
        <v/>
      </c>
      <c r="AG105">
        <f>IFERROR(MATCH(ROW()-1,Calc!$J$2:$J$1601,0),"")</f>
        <v/>
      </c>
      <c r="AH105">
        <f>IFERROR(MATCH(ROW()-1,Calc!$K$2:$K$1601,0),"")</f>
        <v/>
      </c>
      <c r="AI105">
        <f>IF($AG105="","",SUMIF($AG$2:$AG105,$AG105,$AH$2:$AH105))</f>
        <v/>
      </c>
      <c r="AJ105">
        <f>IF('TMP Paste'!$F105="","",IF('TMP Paste'!$B105="",$AJ104,'TMP Paste'!$B105))</f>
        <v/>
      </c>
      <c r="AK105">
        <f>IF('TMP Paste'!$F105="","",N('TMP Paste'!$G105))</f>
        <v/>
      </c>
      <c r="AL105">
        <f>IF('TMP Paste'!$F105="","",IF('TMP Paste'!$M105="",$AL104,'TMP Paste'!$M105))</f>
        <v/>
      </c>
      <c r="AM105">
        <f>IF('TMP Paste'!$F105="","",IF('TMP Paste'!$N105="",$AM104,'TMP Paste'!$N105))</f>
        <v/>
      </c>
      <c r="AN105">
        <f>IF('TMP Paste'!$F105="","",IF('TMP Paste'!$O105="",$AN104,'TMP Paste'!$O105))</f>
        <v/>
      </c>
      <c r="AO105">
        <f>IF('TMP Paste'!$F105="","",IF('TMP Paste'!$P105="",$AO104,'TMP Paste'!$P105))</f>
        <v/>
      </c>
      <c r="AP105">
        <f>IF($AG105="","",LEN($R105))</f>
        <v/>
      </c>
      <c r="AQ105">
        <f>IF($AG105="","",TRIM(IF(COUNTIFS(Calc!$B$2:$B$1601,ROW()-1,Calc!$C$2:$C$1601,"&lt;1")&gt;0,"Ada PO tanpa Koli - cek TMP. ","")&amp;IF(LEN($R105)&gt;500,"R &gt; 500 karakter.","")))</f>
        <v/>
      </c>
    </row>
    <row r="106">
      <c r="A106">
        <f>IF($AG106="","",INDEX('TMP Paste'!$B$2:$B$1601,$AG106))</f>
        <v/>
      </c>
      <c r="B106">
        <f>IF($AG106="","",Config!$B$14)</f>
        <v/>
      </c>
      <c r="C106">
        <f>IF($AG106="","",Config!$B$15)</f>
        <v/>
      </c>
      <c r="D106">
        <f>IF($AG106="","",INDEX('TMP Paste'!$B$2:$B$1601,$AG106))</f>
        <v/>
      </c>
      <c r="E106">
        <f>IF($AG106="","",Config!$B$27)</f>
        <v/>
      </c>
      <c r="F106">
        <f>IF($AG106="","",Config!$B$9)</f>
        <v/>
      </c>
      <c r="G106">
        <f>IF($AG106="","",Config!$B$10)</f>
        <v/>
      </c>
      <c r="H106">
        <f>IF($AG106="","",Config!$B$11)</f>
        <v/>
      </c>
      <c r="I106">
        <f>IF($AG106="","",Config!$B$16)</f>
        <v/>
      </c>
      <c r="J106">
        <f>IF($AG106="","",INDEX('TMP Paste'!$A$2:$A$1601,$AG106))</f>
        <v/>
      </c>
      <c r="K106">
        <f>IF($AG106="","",INDEX('TMP Paste'!$L$2:$L$1601,$AG106))</f>
        <v/>
      </c>
      <c r="L106">
        <f>IF($AG106="","",INDEX('TMP Paste'!$I$2:$I$1601,$AG106))</f>
        <v/>
      </c>
      <c r="M106">
        <f>IF($AG106="","",Config!$B$16)</f>
        <v/>
      </c>
      <c r="N106">
        <f>IF($AG106="","","")</f>
        <v/>
      </c>
      <c r="O106">
        <f>IF($AG106="","",INDEX('TMP Paste'!$K$2:$K$1601,$AG106))</f>
        <v/>
      </c>
      <c r="P106">
        <f>IF($AG106="","","")</f>
        <v/>
      </c>
      <c r="Q106">
        <f>IF($AG106="","",INDEX('TMP Paste'!$J$2:$J$1601,$AG106))</f>
        <v/>
      </c>
      <c r="R106">
        <f>IF($AG106="","",Config!$B$24)</f>
        <v/>
      </c>
      <c r="S106">
        <f>IF($AG106="","",TEXT(Config!$B$4,"yyyy-mm-dd"))</f>
        <v/>
      </c>
      <c r="T106">
        <f>IF($AG106="","",Config!$B$17)</f>
        <v/>
      </c>
      <c r="U106">
        <f>IF($AG106="","",Config!$B$18)</f>
        <v/>
      </c>
      <c r="V106">
        <f>IF($AG106="","",Config!$B$19)</f>
        <v/>
      </c>
      <c r="W106">
        <f>IF($AG106="","",INDEX('TMP Paste'!$C$2:$C$1601,$AG106))</f>
        <v/>
      </c>
      <c r="X106">
        <f>IF($AG106="","",Config!$B$29)</f>
        <v/>
      </c>
      <c r="Y106">
        <f>IF($AH106="","",INDEX(Calc!$I$2:$I$1601,$AH106)&amp;" - "&amp;INDEX(Calc!$D$2:$D$1601,$AH106)&amp;" koli")</f>
        <v/>
      </c>
      <c r="Z106">
        <f>IF($AG106="","",Config!$B$21)</f>
        <v/>
      </c>
      <c r="AA106">
        <f>IF($AG106="","",Config!$B$22)</f>
        <v/>
      </c>
      <c r="AB106">
        <f>IF($AH106="","",INDEX(Calc!$D$2:$D$1601,$AH106))</f>
        <v/>
      </c>
      <c r="AC106">
        <f>IF($AH106="","",INDEX(Calc!$G$2:$G$1601,$AH106))</f>
        <v/>
      </c>
      <c r="AD106">
        <f>IF($AG106="","",Config!$B$23)</f>
        <v/>
      </c>
      <c r="AE106">
        <f>IF($AG106="","",Config!$B$28)</f>
        <v/>
      </c>
      <c r="AG106">
        <f>IFERROR(MATCH(ROW()-1,Calc!$J$2:$J$1601,0),"")</f>
        <v/>
      </c>
      <c r="AH106">
        <f>IFERROR(MATCH(ROW()-1,Calc!$K$2:$K$1601,0),"")</f>
        <v/>
      </c>
      <c r="AI106">
        <f>IF($AG106="","",SUMIF($AG$2:$AG106,$AG106,$AH$2:$AH106))</f>
        <v/>
      </c>
      <c r="AJ106">
        <f>IF('TMP Paste'!$F106="","",IF('TMP Paste'!$B106="",$AJ105,'TMP Paste'!$B106))</f>
        <v/>
      </c>
      <c r="AK106">
        <f>IF('TMP Paste'!$F106="","",N('TMP Paste'!$G106))</f>
        <v/>
      </c>
      <c r="AL106">
        <f>IF('TMP Paste'!$F106="","",IF('TMP Paste'!$M106="",$AL105,'TMP Paste'!$M106))</f>
        <v/>
      </c>
      <c r="AM106">
        <f>IF('TMP Paste'!$F106="","",IF('TMP Paste'!$N106="",$AM105,'TMP Paste'!$N106))</f>
        <v/>
      </c>
      <c r="AN106">
        <f>IF('TMP Paste'!$F106="","",IF('TMP Paste'!$O106="",$AN105,'TMP Paste'!$O106))</f>
        <v/>
      </c>
      <c r="AO106">
        <f>IF('TMP Paste'!$F106="","",IF('TMP Paste'!$P106="",$AO105,'TMP Paste'!$P106))</f>
        <v/>
      </c>
      <c r="AP106">
        <f>IF($AG106="","",LEN($R106))</f>
        <v/>
      </c>
      <c r="AQ106">
        <f>IF($AG106="","",TRIM(IF(COUNTIFS(Calc!$B$2:$B$1601,ROW()-1,Calc!$C$2:$C$1601,"&lt;1")&gt;0,"Ada PO tanpa Koli - cek TMP. ","")&amp;IF(LEN($R106)&gt;500,"R &gt; 500 karakter.","")))</f>
        <v/>
      </c>
    </row>
    <row r="107">
      <c r="A107">
        <f>IF($AG107="","",INDEX('TMP Paste'!$B$2:$B$1601,$AG107))</f>
        <v/>
      </c>
      <c r="B107">
        <f>IF($AG107="","",Config!$B$14)</f>
        <v/>
      </c>
      <c r="C107">
        <f>IF($AG107="","",Config!$B$15)</f>
        <v/>
      </c>
      <c r="D107">
        <f>IF($AG107="","",INDEX('TMP Paste'!$B$2:$B$1601,$AG107))</f>
        <v/>
      </c>
      <c r="E107">
        <f>IF($AG107="","",Config!$B$27)</f>
        <v/>
      </c>
      <c r="F107">
        <f>IF($AG107="","",Config!$B$9)</f>
        <v/>
      </c>
      <c r="G107">
        <f>IF($AG107="","",Config!$B$10)</f>
        <v/>
      </c>
      <c r="H107">
        <f>IF($AG107="","",Config!$B$11)</f>
        <v/>
      </c>
      <c r="I107">
        <f>IF($AG107="","",Config!$B$16)</f>
        <v/>
      </c>
      <c r="J107">
        <f>IF($AG107="","",INDEX('TMP Paste'!$A$2:$A$1601,$AG107))</f>
        <v/>
      </c>
      <c r="K107">
        <f>IF($AG107="","",INDEX('TMP Paste'!$L$2:$L$1601,$AG107))</f>
        <v/>
      </c>
      <c r="L107">
        <f>IF($AG107="","",INDEX('TMP Paste'!$I$2:$I$1601,$AG107))</f>
        <v/>
      </c>
      <c r="M107">
        <f>IF($AG107="","",Config!$B$16)</f>
        <v/>
      </c>
      <c r="N107">
        <f>IF($AG107="","","")</f>
        <v/>
      </c>
      <c r="O107">
        <f>IF($AG107="","",INDEX('TMP Paste'!$K$2:$K$1601,$AG107))</f>
        <v/>
      </c>
      <c r="P107">
        <f>IF($AG107="","","")</f>
        <v/>
      </c>
      <c r="Q107">
        <f>IF($AG107="","",INDEX('TMP Paste'!$J$2:$J$1601,$AG107))</f>
        <v/>
      </c>
      <c r="R107">
        <f>IF($AG107="","",Config!$B$24)</f>
        <v/>
      </c>
      <c r="S107">
        <f>IF($AG107="","",TEXT(Config!$B$4,"yyyy-mm-dd"))</f>
        <v/>
      </c>
      <c r="T107">
        <f>IF($AG107="","",Config!$B$17)</f>
        <v/>
      </c>
      <c r="U107">
        <f>IF($AG107="","",Config!$B$18)</f>
        <v/>
      </c>
      <c r="V107">
        <f>IF($AG107="","",Config!$B$19)</f>
        <v/>
      </c>
      <c r="W107">
        <f>IF($AG107="","",INDEX('TMP Paste'!$C$2:$C$1601,$AG107))</f>
        <v/>
      </c>
      <c r="X107">
        <f>IF($AG107="","",Config!$B$29)</f>
        <v/>
      </c>
      <c r="Y107">
        <f>IF($AH107="","",INDEX(Calc!$I$2:$I$1601,$AH107)&amp;" - "&amp;INDEX(Calc!$D$2:$D$1601,$AH107)&amp;" koli")</f>
        <v/>
      </c>
      <c r="Z107">
        <f>IF($AG107="","",Config!$B$21)</f>
        <v/>
      </c>
      <c r="AA107">
        <f>IF($AG107="","",Config!$B$22)</f>
        <v/>
      </c>
      <c r="AB107">
        <f>IF($AH107="","",INDEX(Calc!$D$2:$D$1601,$AH107))</f>
        <v/>
      </c>
      <c r="AC107">
        <f>IF($AH107="","",INDEX(Calc!$G$2:$G$1601,$AH107))</f>
        <v/>
      </c>
      <c r="AD107">
        <f>IF($AG107="","",Config!$B$23)</f>
        <v/>
      </c>
      <c r="AE107">
        <f>IF($AG107="","",Config!$B$28)</f>
        <v/>
      </c>
      <c r="AG107">
        <f>IFERROR(MATCH(ROW()-1,Calc!$J$2:$J$1601,0),"")</f>
        <v/>
      </c>
      <c r="AH107">
        <f>IFERROR(MATCH(ROW()-1,Calc!$K$2:$K$1601,0),"")</f>
        <v/>
      </c>
      <c r="AI107">
        <f>IF($AG107="","",SUMIF($AG$2:$AG107,$AG107,$AH$2:$AH107))</f>
        <v/>
      </c>
      <c r="AJ107">
        <f>IF('TMP Paste'!$F107="","",IF('TMP Paste'!$B107="",$AJ106,'TMP Paste'!$B107))</f>
        <v/>
      </c>
      <c r="AK107">
        <f>IF('TMP Paste'!$F107="","",N('TMP Paste'!$G107))</f>
        <v/>
      </c>
      <c r="AL107">
        <f>IF('TMP Paste'!$F107="","",IF('TMP Paste'!$M107="",$AL106,'TMP Paste'!$M107))</f>
        <v/>
      </c>
      <c r="AM107">
        <f>IF('TMP Paste'!$F107="","",IF('TMP Paste'!$N107="",$AM106,'TMP Paste'!$N107))</f>
        <v/>
      </c>
      <c r="AN107">
        <f>IF('TMP Paste'!$F107="","",IF('TMP Paste'!$O107="",$AN106,'TMP Paste'!$O107))</f>
        <v/>
      </c>
      <c r="AO107">
        <f>IF('TMP Paste'!$F107="","",IF('TMP Paste'!$P107="",$AO106,'TMP Paste'!$P107))</f>
        <v/>
      </c>
      <c r="AP107">
        <f>IF($AG107="","",LEN($R107))</f>
        <v/>
      </c>
      <c r="AQ107">
        <f>IF($AG107="","",TRIM(IF(COUNTIFS(Calc!$B$2:$B$1601,ROW()-1,Calc!$C$2:$C$1601,"&lt;1")&gt;0,"Ada PO tanpa Koli - cek TMP. ","")&amp;IF(LEN($R107)&gt;500,"R &gt; 500 karakter.","")))</f>
        <v/>
      </c>
    </row>
    <row r="108">
      <c r="A108">
        <f>IF($AG108="","",INDEX('TMP Paste'!$B$2:$B$1601,$AG108))</f>
        <v/>
      </c>
      <c r="B108">
        <f>IF($AG108="","",Config!$B$14)</f>
        <v/>
      </c>
      <c r="C108">
        <f>IF($AG108="","",Config!$B$15)</f>
        <v/>
      </c>
      <c r="D108">
        <f>IF($AG108="","",INDEX('TMP Paste'!$B$2:$B$1601,$AG108))</f>
        <v/>
      </c>
      <c r="E108">
        <f>IF($AG108="","",Config!$B$27)</f>
        <v/>
      </c>
      <c r="F108">
        <f>IF($AG108="","",Config!$B$9)</f>
        <v/>
      </c>
      <c r="G108">
        <f>IF($AG108="","",Config!$B$10)</f>
        <v/>
      </c>
      <c r="H108">
        <f>IF($AG108="","",Config!$B$11)</f>
        <v/>
      </c>
      <c r="I108">
        <f>IF($AG108="","",Config!$B$16)</f>
        <v/>
      </c>
      <c r="J108">
        <f>IF($AG108="","",INDEX('TMP Paste'!$A$2:$A$1601,$AG108))</f>
        <v/>
      </c>
      <c r="K108">
        <f>IF($AG108="","",INDEX('TMP Paste'!$L$2:$L$1601,$AG108))</f>
        <v/>
      </c>
      <c r="L108">
        <f>IF($AG108="","",INDEX('TMP Paste'!$I$2:$I$1601,$AG108))</f>
        <v/>
      </c>
      <c r="M108">
        <f>IF($AG108="","",Config!$B$16)</f>
        <v/>
      </c>
      <c r="N108">
        <f>IF($AG108="","","")</f>
        <v/>
      </c>
      <c r="O108">
        <f>IF($AG108="","",INDEX('TMP Paste'!$K$2:$K$1601,$AG108))</f>
        <v/>
      </c>
      <c r="P108">
        <f>IF($AG108="","","")</f>
        <v/>
      </c>
      <c r="Q108">
        <f>IF($AG108="","",INDEX('TMP Paste'!$J$2:$J$1601,$AG108))</f>
        <v/>
      </c>
      <c r="R108">
        <f>IF($AG108="","",Config!$B$24)</f>
        <v/>
      </c>
      <c r="S108">
        <f>IF($AG108="","",TEXT(Config!$B$4,"yyyy-mm-dd"))</f>
        <v/>
      </c>
      <c r="T108">
        <f>IF($AG108="","",Config!$B$17)</f>
        <v/>
      </c>
      <c r="U108">
        <f>IF($AG108="","",Config!$B$18)</f>
        <v/>
      </c>
      <c r="V108">
        <f>IF($AG108="","",Config!$B$19)</f>
        <v/>
      </c>
      <c r="W108">
        <f>IF($AG108="","",INDEX('TMP Paste'!$C$2:$C$1601,$AG108))</f>
        <v/>
      </c>
      <c r="X108">
        <f>IF($AG108="","",Config!$B$29)</f>
        <v/>
      </c>
      <c r="Y108">
        <f>IF($AH108="","",INDEX(Calc!$I$2:$I$1601,$AH108)&amp;" - "&amp;INDEX(Calc!$D$2:$D$1601,$AH108)&amp;" koli")</f>
        <v/>
      </c>
      <c r="Z108">
        <f>IF($AG108="","",Config!$B$21)</f>
        <v/>
      </c>
      <c r="AA108">
        <f>IF($AG108="","",Config!$B$22)</f>
        <v/>
      </c>
      <c r="AB108">
        <f>IF($AH108="","",INDEX(Calc!$D$2:$D$1601,$AH108))</f>
        <v/>
      </c>
      <c r="AC108">
        <f>IF($AH108="","",INDEX(Calc!$G$2:$G$1601,$AH108))</f>
        <v/>
      </c>
      <c r="AD108">
        <f>IF($AG108="","",Config!$B$23)</f>
        <v/>
      </c>
      <c r="AE108">
        <f>IF($AG108="","",Config!$B$28)</f>
        <v/>
      </c>
      <c r="AG108">
        <f>IFERROR(MATCH(ROW()-1,Calc!$J$2:$J$1601,0),"")</f>
        <v/>
      </c>
      <c r="AH108">
        <f>IFERROR(MATCH(ROW()-1,Calc!$K$2:$K$1601,0),"")</f>
        <v/>
      </c>
      <c r="AI108">
        <f>IF($AG108="","",SUMIF($AG$2:$AG108,$AG108,$AH$2:$AH108))</f>
        <v/>
      </c>
      <c r="AJ108">
        <f>IF('TMP Paste'!$F108="","",IF('TMP Paste'!$B108="",$AJ107,'TMP Paste'!$B108))</f>
        <v/>
      </c>
      <c r="AK108">
        <f>IF('TMP Paste'!$F108="","",N('TMP Paste'!$G108))</f>
        <v/>
      </c>
      <c r="AL108">
        <f>IF('TMP Paste'!$F108="","",IF('TMP Paste'!$M108="",$AL107,'TMP Paste'!$M108))</f>
        <v/>
      </c>
      <c r="AM108">
        <f>IF('TMP Paste'!$F108="","",IF('TMP Paste'!$N108="",$AM107,'TMP Paste'!$N108))</f>
        <v/>
      </c>
      <c r="AN108">
        <f>IF('TMP Paste'!$F108="","",IF('TMP Paste'!$O108="",$AN107,'TMP Paste'!$O108))</f>
        <v/>
      </c>
      <c r="AO108">
        <f>IF('TMP Paste'!$F108="","",IF('TMP Paste'!$P108="",$AO107,'TMP Paste'!$P108))</f>
        <v/>
      </c>
      <c r="AP108">
        <f>IF($AG108="","",LEN($R108))</f>
        <v/>
      </c>
      <c r="AQ108">
        <f>IF($AG108="","",TRIM(IF(COUNTIFS(Calc!$B$2:$B$1601,ROW()-1,Calc!$C$2:$C$1601,"&lt;1")&gt;0,"Ada PO tanpa Koli - cek TMP. ","")&amp;IF(LEN($R108)&gt;500,"R &gt; 500 karakter.","")))</f>
        <v/>
      </c>
    </row>
    <row r="109">
      <c r="A109">
        <f>IF($AG109="","",INDEX('TMP Paste'!$B$2:$B$1601,$AG109))</f>
        <v/>
      </c>
      <c r="B109">
        <f>IF($AG109="","",Config!$B$14)</f>
        <v/>
      </c>
      <c r="C109">
        <f>IF($AG109="","",Config!$B$15)</f>
        <v/>
      </c>
      <c r="D109">
        <f>IF($AG109="","",INDEX('TMP Paste'!$B$2:$B$1601,$AG109))</f>
        <v/>
      </c>
      <c r="E109">
        <f>IF($AG109="","",Config!$B$27)</f>
        <v/>
      </c>
      <c r="F109">
        <f>IF($AG109="","",Config!$B$9)</f>
        <v/>
      </c>
      <c r="G109">
        <f>IF($AG109="","",Config!$B$10)</f>
        <v/>
      </c>
      <c r="H109">
        <f>IF($AG109="","",Config!$B$11)</f>
        <v/>
      </c>
      <c r="I109">
        <f>IF($AG109="","",Config!$B$16)</f>
        <v/>
      </c>
      <c r="J109">
        <f>IF($AG109="","",INDEX('TMP Paste'!$A$2:$A$1601,$AG109))</f>
        <v/>
      </c>
      <c r="K109">
        <f>IF($AG109="","",INDEX('TMP Paste'!$L$2:$L$1601,$AG109))</f>
        <v/>
      </c>
      <c r="L109">
        <f>IF($AG109="","",INDEX('TMP Paste'!$I$2:$I$1601,$AG109))</f>
        <v/>
      </c>
      <c r="M109">
        <f>IF($AG109="","",Config!$B$16)</f>
        <v/>
      </c>
      <c r="N109">
        <f>IF($AG109="","","")</f>
        <v/>
      </c>
      <c r="O109">
        <f>IF($AG109="","",INDEX('TMP Paste'!$K$2:$K$1601,$AG109))</f>
        <v/>
      </c>
      <c r="P109">
        <f>IF($AG109="","","")</f>
        <v/>
      </c>
      <c r="Q109">
        <f>IF($AG109="","",INDEX('TMP Paste'!$J$2:$J$1601,$AG109))</f>
        <v/>
      </c>
      <c r="R109">
        <f>IF($AG109="","",Config!$B$24)</f>
        <v/>
      </c>
      <c r="S109">
        <f>IF($AG109="","",TEXT(Config!$B$4,"yyyy-mm-dd"))</f>
        <v/>
      </c>
      <c r="T109">
        <f>IF($AG109="","",Config!$B$17)</f>
        <v/>
      </c>
      <c r="U109">
        <f>IF($AG109="","",Config!$B$18)</f>
        <v/>
      </c>
      <c r="V109">
        <f>IF($AG109="","",Config!$B$19)</f>
        <v/>
      </c>
      <c r="W109">
        <f>IF($AG109="","",INDEX('TMP Paste'!$C$2:$C$1601,$AG109))</f>
        <v/>
      </c>
      <c r="X109">
        <f>IF($AG109="","",Config!$B$29)</f>
        <v/>
      </c>
      <c r="Y109">
        <f>IF($AH109="","",INDEX(Calc!$I$2:$I$1601,$AH109)&amp;" - "&amp;INDEX(Calc!$D$2:$D$1601,$AH109)&amp;" koli")</f>
        <v/>
      </c>
      <c r="Z109">
        <f>IF($AG109="","",Config!$B$21)</f>
        <v/>
      </c>
      <c r="AA109">
        <f>IF($AG109="","",Config!$B$22)</f>
        <v/>
      </c>
      <c r="AB109">
        <f>IF($AH109="","",INDEX(Calc!$D$2:$D$1601,$AH109))</f>
        <v/>
      </c>
      <c r="AC109">
        <f>IF($AH109="","",INDEX(Calc!$G$2:$G$1601,$AH109))</f>
        <v/>
      </c>
      <c r="AD109">
        <f>IF($AG109="","",Config!$B$23)</f>
        <v/>
      </c>
      <c r="AE109">
        <f>IF($AG109="","",Config!$B$28)</f>
        <v/>
      </c>
      <c r="AG109">
        <f>IFERROR(MATCH(ROW()-1,Calc!$J$2:$J$1601,0),"")</f>
        <v/>
      </c>
      <c r="AH109">
        <f>IFERROR(MATCH(ROW()-1,Calc!$K$2:$K$1601,0),"")</f>
        <v/>
      </c>
      <c r="AI109">
        <f>IF($AG109="","",SUMIF($AG$2:$AG109,$AG109,$AH$2:$AH109))</f>
        <v/>
      </c>
      <c r="AJ109">
        <f>IF('TMP Paste'!$F109="","",IF('TMP Paste'!$B109="",$AJ108,'TMP Paste'!$B109))</f>
        <v/>
      </c>
      <c r="AK109">
        <f>IF('TMP Paste'!$F109="","",N('TMP Paste'!$G109))</f>
        <v/>
      </c>
      <c r="AL109">
        <f>IF('TMP Paste'!$F109="","",IF('TMP Paste'!$M109="",$AL108,'TMP Paste'!$M109))</f>
        <v/>
      </c>
      <c r="AM109">
        <f>IF('TMP Paste'!$F109="","",IF('TMP Paste'!$N109="",$AM108,'TMP Paste'!$N109))</f>
        <v/>
      </c>
      <c r="AN109">
        <f>IF('TMP Paste'!$F109="","",IF('TMP Paste'!$O109="",$AN108,'TMP Paste'!$O109))</f>
        <v/>
      </c>
      <c r="AO109">
        <f>IF('TMP Paste'!$F109="","",IF('TMP Paste'!$P109="",$AO108,'TMP Paste'!$P109))</f>
        <v/>
      </c>
      <c r="AP109">
        <f>IF($AG109="","",LEN($R109))</f>
        <v/>
      </c>
      <c r="AQ109">
        <f>IF($AG109="","",TRIM(IF(COUNTIFS(Calc!$B$2:$B$1601,ROW()-1,Calc!$C$2:$C$1601,"&lt;1")&gt;0,"Ada PO tanpa Koli - cek TMP. ","")&amp;IF(LEN($R109)&gt;500,"R &gt; 500 karakter.","")))</f>
        <v/>
      </c>
    </row>
    <row r="110">
      <c r="A110">
        <f>IF($AG110="","",INDEX('TMP Paste'!$B$2:$B$1601,$AG110))</f>
        <v/>
      </c>
      <c r="B110">
        <f>IF($AG110="","",Config!$B$14)</f>
        <v/>
      </c>
      <c r="C110">
        <f>IF($AG110="","",Config!$B$15)</f>
        <v/>
      </c>
      <c r="D110">
        <f>IF($AG110="","",INDEX('TMP Paste'!$B$2:$B$1601,$AG110))</f>
        <v/>
      </c>
      <c r="E110">
        <f>IF($AG110="","",Config!$B$27)</f>
        <v/>
      </c>
      <c r="F110">
        <f>IF($AG110="","",Config!$B$9)</f>
        <v/>
      </c>
      <c r="G110">
        <f>IF($AG110="","",Config!$B$10)</f>
        <v/>
      </c>
      <c r="H110">
        <f>IF($AG110="","",Config!$B$11)</f>
        <v/>
      </c>
      <c r="I110">
        <f>IF($AG110="","",Config!$B$16)</f>
        <v/>
      </c>
      <c r="J110">
        <f>IF($AG110="","",INDEX('TMP Paste'!$A$2:$A$1601,$AG110))</f>
        <v/>
      </c>
      <c r="K110">
        <f>IF($AG110="","",INDEX('TMP Paste'!$L$2:$L$1601,$AG110))</f>
        <v/>
      </c>
      <c r="L110">
        <f>IF($AG110="","",INDEX('TMP Paste'!$I$2:$I$1601,$AG110))</f>
        <v/>
      </c>
      <c r="M110">
        <f>IF($AG110="","",Config!$B$16)</f>
        <v/>
      </c>
      <c r="N110">
        <f>IF($AG110="","","")</f>
        <v/>
      </c>
      <c r="O110">
        <f>IF($AG110="","",INDEX('TMP Paste'!$K$2:$K$1601,$AG110))</f>
        <v/>
      </c>
      <c r="P110">
        <f>IF($AG110="","","")</f>
        <v/>
      </c>
      <c r="Q110">
        <f>IF($AG110="","",INDEX('TMP Paste'!$J$2:$J$1601,$AG110))</f>
        <v/>
      </c>
      <c r="R110">
        <f>IF($AG110="","",Config!$B$24)</f>
        <v/>
      </c>
      <c r="S110">
        <f>IF($AG110="","",TEXT(Config!$B$4,"yyyy-mm-dd"))</f>
        <v/>
      </c>
      <c r="T110">
        <f>IF($AG110="","",Config!$B$17)</f>
        <v/>
      </c>
      <c r="U110">
        <f>IF($AG110="","",Config!$B$18)</f>
        <v/>
      </c>
      <c r="V110">
        <f>IF($AG110="","",Config!$B$19)</f>
        <v/>
      </c>
      <c r="W110">
        <f>IF($AG110="","",INDEX('TMP Paste'!$C$2:$C$1601,$AG110))</f>
        <v/>
      </c>
      <c r="X110">
        <f>IF($AG110="","",Config!$B$29)</f>
        <v/>
      </c>
      <c r="Y110">
        <f>IF($AH110="","",INDEX(Calc!$I$2:$I$1601,$AH110)&amp;" - "&amp;INDEX(Calc!$D$2:$D$1601,$AH110)&amp;" koli")</f>
        <v/>
      </c>
      <c r="Z110">
        <f>IF($AG110="","",Config!$B$21)</f>
        <v/>
      </c>
      <c r="AA110">
        <f>IF($AG110="","",Config!$B$22)</f>
        <v/>
      </c>
      <c r="AB110">
        <f>IF($AH110="","",INDEX(Calc!$D$2:$D$1601,$AH110))</f>
        <v/>
      </c>
      <c r="AC110">
        <f>IF($AH110="","",INDEX(Calc!$G$2:$G$1601,$AH110))</f>
        <v/>
      </c>
      <c r="AD110">
        <f>IF($AG110="","",Config!$B$23)</f>
        <v/>
      </c>
      <c r="AE110">
        <f>IF($AG110="","",Config!$B$28)</f>
        <v/>
      </c>
      <c r="AG110">
        <f>IFERROR(MATCH(ROW()-1,Calc!$J$2:$J$1601,0),"")</f>
        <v/>
      </c>
      <c r="AH110">
        <f>IFERROR(MATCH(ROW()-1,Calc!$K$2:$K$1601,0),"")</f>
        <v/>
      </c>
      <c r="AI110">
        <f>IF($AG110="","",SUMIF($AG$2:$AG110,$AG110,$AH$2:$AH110))</f>
        <v/>
      </c>
      <c r="AJ110">
        <f>IF('TMP Paste'!$F110="","",IF('TMP Paste'!$B110="",$AJ109,'TMP Paste'!$B110))</f>
        <v/>
      </c>
      <c r="AK110">
        <f>IF('TMP Paste'!$F110="","",N('TMP Paste'!$G110))</f>
        <v/>
      </c>
      <c r="AL110">
        <f>IF('TMP Paste'!$F110="","",IF('TMP Paste'!$M110="",$AL109,'TMP Paste'!$M110))</f>
        <v/>
      </c>
      <c r="AM110">
        <f>IF('TMP Paste'!$F110="","",IF('TMP Paste'!$N110="",$AM109,'TMP Paste'!$N110))</f>
        <v/>
      </c>
      <c r="AN110">
        <f>IF('TMP Paste'!$F110="","",IF('TMP Paste'!$O110="",$AN109,'TMP Paste'!$O110))</f>
        <v/>
      </c>
      <c r="AO110">
        <f>IF('TMP Paste'!$F110="","",IF('TMP Paste'!$P110="",$AO109,'TMP Paste'!$P110))</f>
        <v/>
      </c>
      <c r="AP110">
        <f>IF($AG110="","",LEN($R110))</f>
        <v/>
      </c>
      <c r="AQ110">
        <f>IF($AG110="","",TRIM(IF(COUNTIFS(Calc!$B$2:$B$1601,ROW()-1,Calc!$C$2:$C$1601,"&lt;1")&gt;0,"Ada PO tanpa Koli - cek TMP. ","")&amp;IF(LEN($R110)&gt;500,"R &gt; 500 karakter.","")))</f>
        <v/>
      </c>
    </row>
    <row r="111">
      <c r="A111">
        <f>IF($AG111="","",INDEX('TMP Paste'!$B$2:$B$1601,$AG111))</f>
        <v/>
      </c>
      <c r="B111">
        <f>IF($AG111="","",Config!$B$14)</f>
        <v/>
      </c>
      <c r="C111">
        <f>IF($AG111="","",Config!$B$15)</f>
        <v/>
      </c>
      <c r="D111">
        <f>IF($AG111="","",INDEX('TMP Paste'!$B$2:$B$1601,$AG111))</f>
        <v/>
      </c>
      <c r="E111">
        <f>IF($AG111="","",Config!$B$27)</f>
        <v/>
      </c>
      <c r="F111">
        <f>IF($AG111="","",Config!$B$9)</f>
        <v/>
      </c>
      <c r="G111">
        <f>IF($AG111="","",Config!$B$10)</f>
        <v/>
      </c>
      <c r="H111">
        <f>IF($AG111="","",Config!$B$11)</f>
        <v/>
      </c>
      <c r="I111">
        <f>IF($AG111="","",Config!$B$16)</f>
        <v/>
      </c>
      <c r="J111">
        <f>IF($AG111="","",INDEX('TMP Paste'!$A$2:$A$1601,$AG111))</f>
        <v/>
      </c>
      <c r="K111">
        <f>IF($AG111="","",INDEX('TMP Paste'!$L$2:$L$1601,$AG111))</f>
        <v/>
      </c>
      <c r="L111">
        <f>IF($AG111="","",INDEX('TMP Paste'!$I$2:$I$1601,$AG111))</f>
        <v/>
      </c>
      <c r="M111">
        <f>IF($AG111="","",Config!$B$16)</f>
        <v/>
      </c>
      <c r="N111">
        <f>IF($AG111="","","")</f>
        <v/>
      </c>
      <c r="O111">
        <f>IF($AG111="","",INDEX('TMP Paste'!$K$2:$K$1601,$AG111))</f>
        <v/>
      </c>
      <c r="P111">
        <f>IF($AG111="","","")</f>
        <v/>
      </c>
      <c r="Q111">
        <f>IF($AG111="","",INDEX('TMP Paste'!$J$2:$J$1601,$AG111))</f>
        <v/>
      </c>
      <c r="R111">
        <f>IF($AG111="","",Config!$B$24)</f>
        <v/>
      </c>
      <c r="S111">
        <f>IF($AG111="","",TEXT(Config!$B$4,"yyyy-mm-dd"))</f>
        <v/>
      </c>
      <c r="T111">
        <f>IF($AG111="","",Config!$B$17)</f>
        <v/>
      </c>
      <c r="U111">
        <f>IF($AG111="","",Config!$B$18)</f>
        <v/>
      </c>
      <c r="V111">
        <f>IF($AG111="","",Config!$B$19)</f>
        <v/>
      </c>
      <c r="W111">
        <f>IF($AG111="","",INDEX('TMP Paste'!$C$2:$C$1601,$AG111))</f>
        <v/>
      </c>
      <c r="X111">
        <f>IF($AG111="","",Config!$B$29)</f>
        <v/>
      </c>
      <c r="Y111">
        <f>IF($AH111="","",INDEX(Calc!$I$2:$I$1601,$AH111)&amp;" - "&amp;INDEX(Calc!$D$2:$D$1601,$AH111)&amp;" koli")</f>
        <v/>
      </c>
      <c r="Z111">
        <f>IF($AG111="","",Config!$B$21)</f>
        <v/>
      </c>
      <c r="AA111">
        <f>IF($AG111="","",Config!$B$22)</f>
        <v/>
      </c>
      <c r="AB111">
        <f>IF($AH111="","",INDEX(Calc!$D$2:$D$1601,$AH111))</f>
        <v/>
      </c>
      <c r="AC111">
        <f>IF($AH111="","",INDEX(Calc!$G$2:$G$1601,$AH111))</f>
        <v/>
      </c>
      <c r="AD111">
        <f>IF($AG111="","",Config!$B$23)</f>
        <v/>
      </c>
      <c r="AE111">
        <f>IF($AG111="","",Config!$B$28)</f>
        <v/>
      </c>
      <c r="AG111">
        <f>IFERROR(MATCH(ROW()-1,Calc!$J$2:$J$1601,0),"")</f>
        <v/>
      </c>
      <c r="AH111">
        <f>IFERROR(MATCH(ROW()-1,Calc!$K$2:$K$1601,0),"")</f>
        <v/>
      </c>
      <c r="AI111">
        <f>IF($AG111="","",SUMIF($AG$2:$AG111,$AG111,$AH$2:$AH111))</f>
        <v/>
      </c>
      <c r="AJ111">
        <f>IF('TMP Paste'!$F111="","",IF('TMP Paste'!$B111="",$AJ110,'TMP Paste'!$B111))</f>
        <v/>
      </c>
      <c r="AK111">
        <f>IF('TMP Paste'!$F111="","",N('TMP Paste'!$G111))</f>
        <v/>
      </c>
      <c r="AL111">
        <f>IF('TMP Paste'!$F111="","",IF('TMP Paste'!$M111="",$AL110,'TMP Paste'!$M111))</f>
        <v/>
      </c>
      <c r="AM111">
        <f>IF('TMP Paste'!$F111="","",IF('TMP Paste'!$N111="",$AM110,'TMP Paste'!$N111))</f>
        <v/>
      </c>
      <c r="AN111">
        <f>IF('TMP Paste'!$F111="","",IF('TMP Paste'!$O111="",$AN110,'TMP Paste'!$O111))</f>
        <v/>
      </c>
      <c r="AO111">
        <f>IF('TMP Paste'!$F111="","",IF('TMP Paste'!$P111="",$AO110,'TMP Paste'!$P111))</f>
        <v/>
      </c>
      <c r="AP111">
        <f>IF($AG111="","",LEN($R111))</f>
        <v/>
      </c>
      <c r="AQ111">
        <f>IF($AG111="","",TRIM(IF(COUNTIFS(Calc!$B$2:$B$1601,ROW()-1,Calc!$C$2:$C$1601,"&lt;1")&gt;0,"Ada PO tanpa Koli - cek TMP. ","")&amp;IF(LEN($R111)&gt;500,"R &gt; 500 karakter.","")))</f>
        <v/>
      </c>
    </row>
    <row r="112">
      <c r="A112">
        <f>IF($AG112="","",INDEX('TMP Paste'!$B$2:$B$1601,$AG112))</f>
        <v/>
      </c>
      <c r="B112">
        <f>IF($AG112="","",Config!$B$14)</f>
        <v/>
      </c>
      <c r="C112">
        <f>IF($AG112="","",Config!$B$15)</f>
        <v/>
      </c>
      <c r="D112">
        <f>IF($AG112="","",INDEX('TMP Paste'!$B$2:$B$1601,$AG112))</f>
        <v/>
      </c>
      <c r="E112">
        <f>IF($AG112="","",Config!$B$27)</f>
        <v/>
      </c>
      <c r="F112">
        <f>IF($AG112="","",Config!$B$9)</f>
        <v/>
      </c>
      <c r="G112">
        <f>IF($AG112="","",Config!$B$10)</f>
        <v/>
      </c>
      <c r="H112">
        <f>IF($AG112="","",Config!$B$11)</f>
        <v/>
      </c>
      <c r="I112">
        <f>IF($AG112="","",Config!$B$16)</f>
        <v/>
      </c>
      <c r="J112">
        <f>IF($AG112="","",INDEX('TMP Paste'!$A$2:$A$1601,$AG112))</f>
        <v/>
      </c>
      <c r="K112">
        <f>IF($AG112="","",INDEX('TMP Paste'!$L$2:$L$1601,$AG112))</f>
        <v/>
      </c>
      <c r="L112">
        <f>IF($AG112="","",INDEX('TMP Paste'!$I$2:$I$1601,$AG112))</f>
        <v/>
      </c>
      <c r="M112">
        <f>IF($AG112="","",Config!$B$16)</f>
        <v/>
      </c>
      <c r="N112">
        <f>IF($AG112="","","")</f>
        <v/>
      </c>
      <c r="O112">
        <f>IF($AG112="","",INDEX('TMP Paste'!$K$2:$K$1601,$AG112))</f>
        <v/>
      </c>
      <c r="P112">
        <f>IF($AG112="","","")</f>
        <v/>
      </c>
      <c r="Q112">
        <f>IF($AG112="","",INDEX('TMP Paste'!$J$2:$J$1601,$AG112))</f>
        <v/>
      </c>
      <c r="R112">
        <f>IF($AG112="","",Config!$B$24)</f>
        <v/>
      </c>
      <c r="S112">
        <f>IF($AG112="","",TEXT(Config!$B$4,"yyyy-mm-dd"))</f>
        <v/>
      </c>
      <c r="T112">
        <f>IF($AG112="","",Config!$B$17)</f>
        <v/>
      </c>
      <c r="U112">
        <f>IF($AG112="","",Config!$B$18)</f>
        <v/>
      </c>
      <c r="V112">
        <f>IF($AG112="","",Config!$B$19)</f>
        <v/>
      </c>
      <c r="W112">
        <f>IF($AG112="","",INDEX('TMP Paste'!$C$2:$C$1601,$AG112))</f>
        <v/>
      </c>
      <c r="X112">
        <f>IF($AG112="","",Config!$B$29)</f>
        <v/>
      </c>
      <c r="Y112">
        <f>IF($AH112="","",INDEX(Calc!$I$2:$I$1601,$AH112)&amp;" - "&amp;INDEX(Calc!$D$2:$D$1601,$AH112)&amp;" koli")</f>
        <v/>
      </c>
      <c r="Z112">
        <f>IF($AG112="","",Config!$B$21)</f>
        <v/>
      </c>
      <c r="AA112">
        <f>IF($AG112="","",Config!$B$22)</f>
        <v/>
      </c>
      <c r="AB112">
        <f>IF($AH112="","",INDEX(Calc!$D$2:$D$1601,$AH112))</f>
        <v/>
      </c>
      <c r="AC112">
        <f>IF($AH112="","",INDEX(Calc!$G$2:$G$1601,$AH112))</f>
        <v/>
      </c>
      <c r="AD112">
        <f>IF($AG112="","",Config!$B$23)</f>
        <v/>
      </c>
      <c r="AE112">
        <f>IF($AG112="","",Config!$B$28)</f>
        <v/>
      </c>
      <c r="AG112">
        <f>IFERROR(MATCH(ROW()-1,Calc!$J$2:$J$1601,0),"")</f>
        <v/>
      </c>
      <c r="AH112">
        <f>IFERROR(MATCH(ROW()-1,Calc!$K$2:$K$1601,0),"")</f>
        <v/>
      </c>
      <c r="AI112">
        <f>IF($AG112="","",SUMIF($AG$2:$AG112,$AG112,$AH$2:$AH112))</f>
        <v/>
      </c>
      <c r="AJ112">
        <f>IF('TMP Paste'!$F112="","",IF('TMP Paste'!$B112="",$AJ111,'TMP Paste'!$B112))</f>
        <v/>
      </c>
      <c r="AK112">
        <f>IF('TMP Paste'!$F112="","",N('TMP Paste'!$G112))</f>
        <v/>
      </c>
      <c r="AL112">
        <f>IF('TMP Paste'!$F112="","",IF('TMP Paste'!$M112="",$AL111,'TMP Paste'!$M112))</f>
        <v/>
      </c>
      <c r="AM112">
        <f>IF('TMP Paste'!$F112="","",IF('TMP Paste'!$N112="",$AM111,'TMP Paste'!$N112))</f>
        <v/>
      </c>
      <c r="AN112">
        <f>IF('TMP Paste'!$F112="","",IF('TMP Paste'!$O112="",$AN111,'TMP Paste'!$O112))</f>
        <v/>
      </c>
      <c r="AO112">
        <f>IF('TMP Paste'!$F112="","",IF('TMP Paste'!$P112="",$AO111,'TMP Paste'!$P112))</f>
        <v/>
      </c>
      <c r="AP112">
        <f>IF($AG112="","",LEN($R112))</f>
        <v/>
      </c>
      <c r="AQ112">
        <f>IF($AG112="","",TRIM(IF(COUNTIFS(Calc!$B$2:$B$1601,ROW()-1,Calc!$C$2:$C$1601,"&lt;1")&gt;0,"Ada PO tanpa Koli - cek TMP. ","")&amp;IF(LEN($R112)&gt;500,"R &gt; 500 karakter.","")))</f>
        <v/>
      </c>
    </row>
    <row r="113">
      <c r="A113">
        <f>IF($AG113="","",INDEX('TMP Paste'!$B$2:$B$1601,$AG113))</f>
        <v/>
      </c>
      <c r="B113">
        <f>IF($AG113="","",Config!$B$14)</f>
        <v/>
      </c>
      <c r="C113">
        <f>IF($AG113="","",Config!$B$15)</f>
        <v/>
      </c>
      <c r="D113">
        <f>IF($AG113="","",INDEX('TMP Paste'!$B$2:$B$1601,$AG113))</f>
        <v/>
      </c>
      <c r="E113">
        <f>IF($AG113="","",Config!$B$27)</f>
        <v/>
      </c>
      <c r="F113">
        <f>IF($AG113="","",Config!$B$9)</f>
        <v/>
      </c>
      <c r="G113">
        <f>IF($AG113="","",Config!$B$10)</f>
        <v/>
      </c>
      <c r="H113">
        <f>IF($AG113="","",Config!$B$11)</f>
        <v/>
      </c>
      <c r="I113">
        <f>IF($AG113="","",Config!$B$16)</f>
        <v/>
      </c>
      <c r="J113">
        <f>IF($AG113="","",INDEX('TMP Paste'!$A$2:$A$1601,$AG113))</f>
        <v/>
      </c>
      <c r="K113">
        <f>IF($AG113="","",INDEX('TMP Paste'!$L$2:$L$1601,$AG113))</f>
        <v/>
      </c>
      <c r="L113">
        <f>IF($AG113="","",INDEX('TMP Paste'!$I$2:$I$1601,$AG113))</f>
        <v/>
      </c>
      <c r="M113">
        <f>IF($AG113="","",Config!$B$16)</f>
        <v/>
      </c>
      <c r="N113">
        <f>IF($AG113="","","")</f>
        <v/>
      </c>
      <c r="O113">
        <f>IF($AG113="","",INDEX('TMP Paste'!$K$2:$K$1601,$AG113))</f>
        <v/>
      </c>
      <c r="P113">
        <f>IF($AG113="","","")</f>
        <v/>
      </c>
      <c r="Q113">
        <f>IF($AG113="","",INDEX('TMP Paste'!$J$2:$J$1601,$AG113))</f>
        <v/>
      </c>
      <c r="R113">
        <f>IF($AG113="","",Config!$B$24)</f>
        <v/>
      </c>
      <c r="S113">
        <f>IF($AG113="","",TEXT(Config!$B$4,"yyyy-mm-dd"))</f>
        <v/>
      </c>
      <c r="T113">
        <f>IF($AG113="","",Config!$B$17)</f>
        <v/>
      </c>
      <c r="U113">
        <f>IF($AG113="","",Config!$B$18)</f>
        <v/>
      </c>
      <c r="V113">
        <f>IF($AG113="","",Config!$B$19)</f>
        <v/>
      </c>
      <c r="W113">
        <f>IF($AG113="","",INDEX('TMP Paste'!$C$2:$C$1601,$AG113))</f>
        <v/>
      </c>
      <c r="X113">
        <f>IF($AG113="","",Config!$B$29)</f>
        <v/>
      </c>
      <c r="Y113">
        <f>IF($AH113="","",INDEX(Calc!$I$2:$I$1601,$AH113)&amp;" - "&amp;INDEX(Calc!$D$2:$D$1601,$AH113)&amp;" koli")</f>
        <v/>
      </c>
      <c r="Z113">
        <f>IF($AG113="","",Config!$B$21)</f>
        <v/>
      </c>
      <c r="AA113">
        <f>IF($AG113="","",Config!$B$22)</f>
        <v/>
      </c>
      <c r="AB113">
        <f>IF($AH113="","",INDEX(Calc!$D$2:$D$1601,$AH113))</f>
        <v/>
      </c>
      <c r="AC113">
        <f>IF($AH113="","",INDEX(Calc!$G$2:$G$1601,$AH113))</f>
        <v/>
      </c>
      <c r="AD113">
        <f>IF($AG113="","",Config!$B$23)</f>
        <v/>
      </c>
      <c r="AE113">
        <f>IF($AG113="","",Config!$B$28)</f>
        <v/>
      </c>
      <c r="AG113">
        <f>IFERROR(MATCH(ROW()-1,Calc!$J$2:$J$1601,0),"")</f>
        <v/>
      </c>
      <c r="AH113">
        <f>IFERROR(MATCH(ROW()-1,Calc!$K$2:$K$1601,0),"")</f>
        <v/>
      </c>
      <c r="AI113">
        <f>IF($AG113="","",SUMIF($AG$2:$AG113,$AG113,$AH$2:$AH113))</f>
        <v/>
      </c>
      <c r="AJ113">
        <f>IF('TMP Paste'!$F113="","",IF('TMP Paste'!$B113="",$AJ112,'TMP Paste'!$B113))</f>
        <v/>
      </c>
      <c r="AK113">
        <f>IF('TMP Paste'!$F113="","",N('TMP Paste'!$G113))</f>
        <v/>
      </c>
      <c r="AL113">
        <f>IF('TMP Paste'!$F113="","",IF('TMP Paste'!$M113="",$AL112,'TMP Paste'!$M113))</f>
        <v/>
      </c>
      <c r="AM113">
        <f>IF('TMP Paste'!$F113="","",IF('TMP Paste'!$N113="",$AM112,'TMP Paste'!$N113))</f>
        <v/>
      </c>
      <c r="AN113">
        <f>IF('TMP Paste'!$F113="","",IF('TMP Paste'!$O113="",$AN112,'TMP Paste'!$O113))</f>
        <v/>
      </c>
      <c r="AO113">
        <f>IF('TMP Paste'!$F113="","",IF('TMP Paste'!$P113="",$AO112,'TMP Paste'!$P113))</f>
        <v/>
      </c>
      <c r="AP113">
        <f>IF($AG113="","",LEN($R113))</f>
        <v/>
      </c>
      <c r="AQ113">
        <f>IF($AG113="","",TRIM(IF(COUNTIFS(Calc!$B$2:$B$1601,ROW()-1,Calc!$C$2:$C$1601,"&lt;1")&gt;0,"Ada PO tanpa Koli - cek TMP. ","")&amp;IF(LEN($R113)&gt;500,"R &gt; 500 karakter.","")))</f>
        <v/>
      </c>
    </row>
    <row r="114">
      <c r="A114">
        <f>IF($AG114="","",INDEX('TMP Paste'!$B$2:$B$1601,$AG114))</f>
        <v/>
      </c>
      <c r="B114">
        <f>IF($AG114="","",Config!$B$14)</f>
        <v/>
      </c>
      <c r="C114">
        <f>IF($AG114="","",Config!$B$15)</f>
        <v/>
      </c>
      <c r="D114">
        <f>IF($AG114="","",INDEX('TMP Paste'!$B$2:$B$1601,$AG114))</f>
        <v/>
      </c>
      <c r="E114">
        <f>IF($AG114="","",Config!$B$27)</f>
        <v/>
      </c>
      <c r="F114">
        <f>IF($AG114="","",Config!$B$9)</f>
        <v/>
      </c>
      <c r="G114">
        <f>IF($AG114="","",Config!$B$10)</f>
        <v/>
      </c>
      <c r="H114">
        <f>IF($AG114="","",Config!$B$11)</f>
        <v/>
      </c>
      <c r="I114">
        <f>IF($AG114="","",Config!$B$16)</f>
        <v/>
      </c>
      <c r="J114">
        <f>IF($AG114="","",INDEX('TMP Paste'!$A$2:$A$1601,$AG114))</f>
        <v/>
      </c>
      <c r="K114">
        <f>IF($AG114="","",INDEX('TMP Paste'!$L$2:$L$1601,$AG114))</f>
        <v/>
      </c>
      <c r="L114">
        <f>IF($AG114="","",INDEX('TMP Paste'!$I$2:$I$1601,$AG114))</f>
        <v/>
      </c>
      <c r="M114">
        <f>IF($AG114="","",Config!$B$16)</f>
        <v/>
      </c>
      <c r="N114">
        <f>IF($AG114="","","")</f>
        <v/>
      </c>
      <c r="O114">
        <f>IF($AG114="","",INDEX('TMP Paste'!$K$2:$K$1601,$AG114))</f>
        <v/>
      </c>
      <c r="P114">
        <f>IF($AG114="","","")</f>
        <v/>
      </c>
      <c r="Q114">
        <f>IF($AG114="","",INDEX('TMP Paste'!$J$2:$J$1601,$AG114))</f>
        <v/>
      </c>
      <c r="R114">
        <f>IF($AG114="","",Config!$B$24)</f>
        <v/>
      </c>
      <c r="S114">
        <f>IF($AG114="","",TEXT(Config!$B$4,"yyyy-mm-dd"))</f>
        <v/>
      </c>
      <c r="T114">
        <f>IF($AG114="","",Config!$B$17)</f>
        <v/>
      </c>
      <c r="U114">
        <f>IF($AG114="","",Config!$B$18)</f>
        <v/>
      </c>
      <c r="V114">
        <f>IF($AG114="","",Config!$B$19)</f>
        <v/>
      </c>
      <c r="W114">
        <f>IF($AG114="","",INDEX('TMP Paste'!$C$2:$C$1601,$AG114))</f>
        <v/>
      </c>
      <c r="X114">
        <f>IF($AG114="","",Config!$B$29)</f>
        <v/>
      </c>
      <c r="Y114">
        <f>IF($AH114="","",INDEX(Calc!$I$2:$I$1601,$AH114)&amp;" - "&amp;INDEX(Calc!$D$2:$D$1601,$AH114)&amp;" koli")</f>
        <v/>
      </c>
      <c r="Z114">
        <f>IF($AG114="","",Config!$B$21)</f>
        <v/>
      </c>
      <c r="AA114">
        <f>IF($AG114="","",Config!$B$22)</f>
        <v/>
      </c>
      <c r="AB114">
        <f>IF($AH114="","",INDEX(Calc!$D$2:$D$1601,$AH114))</f>
        <v/>
      </c>
      <c r="AC114">
        <f>IF($AH114="","",INDEX(Calc!$G$2:$G$1601,$AH114))</f>
        <v/>
      </c>
      <c r="AD114">
        <f>IF($AG114="","",Config!$B$23)</f>
        <v/>
      </c>
      <c r="AE114">
        <f>IF($AG114="","",Config!$B$28)</f>
        <v/>
      </c>
      <c r="AG114">
        <f>IFERROR(MATCH(ROW()-1,Calc!$J$2:$J$1601,0),"")</f>
        <v/>
      </c>
      <c r="AH114">
        <f>IFERROR(MATCH(ROW()-1,Calc!$K$2:$K$1601,0),"")</f>
        <v/>
      </c>
      <c r="AI114">
        <f>IF($AG114="","",SUMIF($AG$2:$AG114,$AG114,$AH$2:$AH114))</f>
        <v/>
      </c>
      <c r="AJ114">
        <f>IF('TMP Paste'!$F114="","",IF('TMP Paste'!$B114="",$AJ113,'TMP Paste'!$B114))</f>
        <v/>
      </c>
      <c r="AK114">
        <f>IF('TMP Paste'!$F114="","",N('TMP Paste'!$G114))</f>
        <v/>
      </c>
      <c r="AL114">
        <f>IF('TMP Paste'!$F114="","",IF('TMP Paste'!$M114="",$AL113,'TMP Paste'!$M114))</f>
        <v/>
      </c>
      <c r="AM114">
        <f>IF('TMP Paste'!$F114="","",IF('TMP Paste'!$N114="",$AM113,'TMP Paste'!$N114))</f>
        <v/>
      </c>
      <c r="AN114">
        <f>IF('TMP Paste'!$F114="","",IF('TMP Paste'!$O114="",$AN113,'TMP Paste'!$O114))</f>
        <v/>
      </c>
      <c r="AO114">
        <f>IF('TMP Paste'!$F114="","",IF('TMP Paste'!$P114="",$AO113,'TMP Paste'!$P114))</f>
        <v/>
      </c>
      <c r="AP114">
        <f>IF($AG114="","",LEN($R114))</f>
        <v/>
      </c>
      <c r="AQ114">
        <f>IF($AG114="","",TRIM(IF(COUNTIFS(Calc!$B$2:$B$1601,ROW()-1,Calc!$C$2:$C$1601,"&lt;1")&gt;0,"Ada PO tanpa Koli - cek TMP. ","")&amp;IF(LEN($R114)&gt;500,"R &gt; 500 karakter.","")))</f>
        <v/>
      </c>
    </row>
    <row r="115">
      <c r="A115">
        <f>IF($AG115="","",INDEX('TMP Paste'!$B$2:$B$1601,$AG115))</f>
        <v/>
      </c>
      <c r="B115">
        <f>IF($AG115="","",Config!$B$14)</f>
        <v/>
      </c>
      <c r="C115">
        <f>IF($AG115="","",Config!$B$15)</f>
        <v/>
      </c>
      <c r="D115">
        <f>IF($AG115="","",INDEX('TMP Paste'!$B$2:$B$1601,$AG115))</f>
        <v/>
      </c>
      <c r="E115">
        <f>IF($AG115="","",Config!$B$27)</f>
        <v/>
      </c>
      <c r="F115">
        <f>IF($AG115="","",Config!$B$9)</f>
        <v/>
      </c>
      <c r="G115">
        <f>IF($AG115="","",Config!$B$10)</f>
        <v/>
      </c>
      <c r="H115">
        <f>IF($AG115="","",Config!$B$11)</f>
        <v/>
      </c>
      <c r="I115">
        <f>IF($AG115="","",Config!$B$16)</f>
        <v/>
      </c>
      <c r="J115">
        <f>IF($AG115="","",INDEX('TMP Paste'!$A$2:$A$1601,$AG115))</f>
        <v/>
      </c>
      <c r="K115">
        <f>IF($AG115="","",INDEX('TMP Paste'!$L$2:$L$1601,$AG115))</f>
        <v/>
      </c>
      <c r="L115">
        <f>IF($AG115="","",INDEX('TMP Paste'!$I$2:$I$1601,$AG115))</f>
        <v/>
      </c>
      <c r="M115">
        <f>IF($AG115="","",Config!$B$16)</f>
        <v/>
      </c>
      <c r="N115">
        <f>IF($AG115="","","")</f>
        <v/>
      </c>
      <c r="O115">
        <f>IF($AG115="","",INDEX('TMP Paste'!$K$2:$K$1601,$AG115))</f>
        <v/>
      </c>
      <c r="P115">
        <f>IF($AG115="","","")</f>
        <v/>
      </c>
      <c r="Q115">
        <f>IF($AG115="","",INDEX('TMP Paste'!$J$2:$J$1601,$AG115))</f>
        <v/>
      </c>
      <c r="R115">
        <f>IF($AG115="","",Config!$B$24)</f>
        <v/>
      </c>
      <c r="S115">
        <f>IF($AG115="","",TEXT(Config!$B$4,"yyyy-mm-dd"))</f>
        <v/>
      </c>
      <c r="T115">
        <f>IF($AG115="","",Config!$B$17)</f>
        <v/>
      </c>
      <c r="U115">
        <f>IF($AG115="","",Config!$B$18)</f>
        <v/>
      </c>
      <c r="V115">
        <f>IF($AG115="","",Config!$B$19)</f>
        <v/>
      </c>
      <c r="W115">
        <f>IF($AG115="","",INDEX('TMP Paste'!$C$2:$C$1601,$AG115))</f>
        <v/>
      </c>
      <c r="X115">
        <f>IF($AG115="","",Config!$B$29)</f>
        <v/>
      </c>
      <c r="Y115">
        <f>IF($AH115="","",INDEX(Calc!$I$2:$I$1601,$AH115)&amp;" - "&amp;INDEX(Calc!$D$2:$D$1601,$AH115)&amp;" koli")</f>
        <v/>
      </c>
      <c r="Z115">
        <f>IF($AG115="","",Config!$B$21)</f>
        <v/>
      </c>
      <c r="AA115">
        <f>IF($AG115="","",Config!$B$22)</f>
        <v/>
      </c>
      <c r="AB115">
        <f>IF($AH115="","",INDEX(Calc!$D$2:$D$1601,$AH115))</f>
        <v/>
      </c>
      <c r="AC115">
        <f>IF($AH115="","",INDEX(Calc!$G$2:$G$1601,$AH115))</f>
        <v/>
      </c>
      <c r="AD115">
        <f>IF($AG115="","",Config!$B$23)</f>
        <v/>
      </c>
      <c r="AE115">
        <f>IF($AG115="","",Config!$B$28)</f>
        <v/>
      </c>
      <c r="AG115">
        <f>IFERROR(MATCH(ROW()-1,Calc!$J$2:$J$1601,0),"")</f>
        <v/>
      </c>
      <c r="AH115">
        <f>IFERROR(MATCH(ROW()-1,Calc!$K$2:$K$1601,0),"")</f>
        <v/>
      </c>
      <c r="AI115">
        <f>IF($AG115="","",SUMIF($AG$2:$AG115,$AG115,$AH$2:$AH115))</f>
        <v/>
      </c>
      <c r="AJ115">
        <f>IF('TMP Paste'!$F115="","",IF('TMP Paste'!$B115="",$AJ114,'TMP Paste'!$B115))</f>
        <v/>
      </c>
      <c r="AK115">
        <f>IF('TMP Paste'!$F115="","",N('TMP Paste'!$G115))</f>
        <v/>
      </c>
      <c r="AL115">
        <f>IF('TMP Paste'!$F115="","",IF('TMP Paste'!$M115="",$AL114,'TMP Paste'!$M115))</f>
        <v/>
      </c>
      <c r="AM115">
        <f>IF('TMP Paste'!$F115="","",IF('TMP Paste'!$N115="",$AM114,'TMP Paste'!$N115))</f>
        <v/>
      </c>
      <c r="AN115">
        <f>IF('TMP Paste'!$F115="","",IF('TMP Paste'!$O115="",$AN114,'TMP Paste'!$O115))</f>
        <v/>
      </c>
      <c r="AO115">
        <f>IF('TMP Paste'!$F115="","",IF('TMP Paste'!$P115="",$AO114,'TMP Paste'!$P115))</f>
        <v/>
      </c>
      <c r="AP115">
        <f>IF($AG115="","",LEN($R115))</f>
        <v/>
      </c>
      <c r="AQ115">
        <f>IF($AG115="","",TRIM(IF(COUNTIFS(Calc!$B$2:$B$1601,ROW()-1,Calc!$C$2:$C$1601,"&lt;1")&gt;0,"Ada PO tanpa Koli - cek TMP. ","")&amp;IF(LEN($R115)&gt;500,"R &gt; 500 karakter.","")))</f>
        <v/>
      </c>
    </row>
    <row r="116">
      <c r="A116">
        <f>IF($AG116="","",INDEX('TMP Paste'!$B$2:$B$1601,$AG116))</f>
        <v/>
      </c>
      <c r="B116">
        <f>IF($AG116="","",Config!$B$14)</f>
        <v/>
      </c>
      <c r="C116">
        <f>IF($AG116="","",Config!$B$15)</f>
        <v/>
      </c>
      <c r="D116">
        <f>IF($AG116="","",INDEX('TMP Paste'!$B$2:$B$1601,$AG116))</f>
        <v/>
      </c>
      <c r="E116">
        <f>IF($AG116="","",Config!$B$27)</f>
        <v/>
      </c>
      <c r="F116">
        <f>IF($AG116="","",Config!$B$9)</f>
        <v/>
      </c>
      <c r="G116">
        <f>IF($AG116="","",Config!$B$10)</f>
        <v/>
      </c>
      <c r="H116">
        <f>IF($AG116="","",Config!$B$11)</f>
        <v/>
      </c>
      <c r="I116">
        <f>IF($AG116="","",Config!$B$16)</f>
        <v/>
      </c>
      <c r="J116">
        <f>IF($AG116="","",INDEX('TMP Paste'!$A$2:$A$1601,$AG116))</f>
        <v/>
      </c>
      <c r="K116">
        <f>IF($AG116="","",INDEX('TMP Paste'!$L$2:$L$1601,$AG116))</f>
        <v/>
      </c>
      <c r="L116">
        <f>IF($AG116="","",INDEX('TMP Paste'!$I$2:$I$1601,$AG116))</f>
        <v/>
      </c>
      <c r="M116">
        <f>IF($AG116="","",Config!$B$16)</f>
        <v/>
      </c>
      <c r="N116">
        <f>IF($AG116="","","")</f>
        <v/>
      </c>
      <c r="O116">
        <f>IF($AG116="","",INDEX('TMP Paste'!$K$2:$K$1601,$AG116))</f>
        <v/>
      </c>
      <c r="P116">
        <f>IF($AG116="","","")</f>
        <v/>
      </c>
      <c r="Q116">
        <f>IF($AG116="","",INDEX('TMP Paste'!$J$2:$J$1601,$AG116))</f>
        <v/>
      </c>
      <c r="R116">
        <f>IF($AG116="","",Config!$B$24)</f>
        <v/>
      </c>
      <c r="S116">
        <f>IF($AG116="","",TEXT(Config!$B$4,"yyyy-mm-dd"))</f>
        <v/>
      </c>
      <c r="T116">
        <f>IF($AG116="","",Config!$B$17)</f>
        <v/>
      </c>
      <c r="U116">
        <f>IF($AG116="","",Config!$B$18)</f>
        <v/>
      </c>
      <c r="V116">
        <f>IF($AG116="","",Config!$B$19)</f>
        <v/>
      </c>
      <c r="W116">
        <f>IF($AG116="","",INDEX('TMP Paste'!$C$2:$C$1601,$AG116))</f>
        <v/>
      </c>
      <c r="X116">
        <f>IF($AG116="","",Config!$B$29)</f>
        <v/>
      </c>
      <c r="Y116">
        <f>IF($AH116="","",INDEX(Calc!$I$2:$I$1601,$AH116)&amp;" - "&amp;INDEX(Calc!$D$2:$D$1601,$AH116)&amp;" koli")</f>
        <v/>
      </c>
      <c r="Z116">
        <f>IF($AG116="","",Config!$B$21)</f>
        <v/>
      </c>
      <c r="AA116">
        <f>IF($AG116="","",Config!$B$22)</f>
        <v/>
      </c>
      <c r="AB116">
        <f>IF($AH116="","",INDEX(Calc!$D$2:$D$1601,$AH116))</f>
        <v/>
      </c>
      <c r="AC116">
        <f>IF($AH116="","",INDEX(Calc!$G$2:$G$1601,$AH116))</f>
        <v/>
      </c>
      <c r="AD116">
        <f>IF($AG116="","",Config!$B$23)</f>
        <v/>
      </c>
      <c r="AE116">
        <f>IF($AG116="","",Config!$B$28)</f>
        <v/>
      </c>
      <c r="AG116">
        <f>IFERROR(MATCH(ROW()-1,Calc!$J$2:$J$1601,0),"")</f>
        <v/>
      </c>
      <c r="AH116">
        <f>IFERROR(MATCH(ROW()-1,Calc!$K$2:$K$1601,0),"")</f>
        <v/>
      </c>
      <c r="AI116">
        <f>IF($AG116="","",SUMIF($AG$2:$AG116,$AG116,$AH$2:$AH116))</f>
        <v/>
      </c>
      <c r="AJ116">
        <f>IF('TMP Paste'!$F116="","",IF('TMP Paste'!$B116="",$AJ115,'TMP Paste'!$B116))</f>
        <v/>
      </c>
      <c r="AK116">
        <f>IF('TMP Paste'!$F116="","",N('TMP Paste'!$G116))</f>
        <v/>
      </c>
      <c r="AL116">
        <f>IF('TMP Paste'!$F116="","",IF('TMP Paste'!$M116="",$AL115,'TMP Paste'!$M116))</f>
        <v/>
      </c>
      <c r="AM116">
        <f>IF('TMP Paste'!$F116="","",IF('TMP Paste'!$N116="",$AM115,'TMP Paste'!$N116))</f>
        <v/>
      </c>
      <c r="AN116">
        <f>IF('TMP Paste'!$F116="","",IF('TMP Paste'!$O116="",$AN115,'TMP Paste'!$O116))</f>
        <v/>
      </c>
      <c r="AO116">
        <f>IF('TMP Paste'!$F116="","",IF('TMP Paste'!$P116="",$AO115,'TMP Paste'!$P116))</f>
        <v/>
      </c>
      <c r="AP116">
        <f>IF($AG116="","",LEN($R116))</f>
        <v/>
      </c>
      <c r="AQ116">
        <f>IF($AG116="","",TRIM(IF(COUNTIFS(Calc!$B$2:$B$1601,ROW()-1,Calc!$C$2:$C$1601,"&lt;1")&gt;0,"Ada PO tanpa Koli - cek TMP. ","")&amp;IF(LEN($R116)&gt;500,"R &gt; 500 karakter.","")))</f>
        <v/>
      </c>
    </row>
    <row r="117">
      <c r="A117">
        <f>IF($AG117="","",INDEX('TMP Paste'!$B$2:$B$1601,$AG117))</f>
        <v/>
      </c>
      <c r="B117">
        <f>IF($AG117="","",Config!$B$14)</f>
        <v/>
      </c>
      <c r="C117">
        <f>IF($AG117="","",Config!$B$15)</f>
        <v/>
      </c>
      <c r="D117">
        <f>IF($AG117="","",INDEX('TMP Paste'!$B$2:$B$1601,$AG117))</f>
        <v/>
      </c>
      <c r="E117">
        <f>IF($AG117="","",Config!$B$27)</f>
        <v/>
      </c>
      <c r="F117">
        <f>IF($AG117="","",Config!$B$9)</f>
        <v/>
      </c>
      <c r="G117">
        <f>IF($AG117="","",Config!$B$10)</f>
        <v/>
      </c>
      <c r="H117">
        <f>IF($AG117="","",Config!$B$11)</f>
        <v/>
      </c>
      <c r="I117">
        <f>IF($AG117="","",Config!$B$16)</f>
        <v/>
      </c>
      <c r="J117">
        <f>IF($AG117="","",INDEX('TMP Paste'!$A$2:$A$1601,$AG117))</f>
        <v/>
      </c>
      <c r="K117">
        <f>IF($AG117="","",INDEX('TMP Paste'!$L$2:$L$1601,$AG117))</f>
        <v/>
      </c>
      <c r="L117">
        <f>IF($AG117="","",INDEX('TMP Paste'!$I$2:$I$1601,$AG117))</f>
        <v/>
      </c>
      <c r="M117">
        <f>IF($AG117="","",Config!$B$16)</f>
        <v/>
      </c>
      <c r="N117">
        <f>IF($AG117="","","")</f>
        <v/>
      </c>
      <c r="O117">
        <f>IF($AG117="","",INDEX('TMP Paste'!$K$2:$K$1601,$AG117))</f>
        <v/>
      </c>
      <c r="P117">
        <f>IF($AG117="","","")</f>
        <v/>
      </c>
      <c r="Q117">
        <f>IF($AG117="","",INDEX('TMP Paste'!$J$2:$J$1601,$AG117))</f>
        <v/>
      </c>
      <c r="R117">
        <f>IF($AG117="","",Config!$B$24)</f>
        <v/>
      </c>
      <c r="S117">
        <f>IF($AG117="","",TEXT(Config!$B$4,"yyyy-mm-dd"))</f>
        <v/>
      </c>
      <c r="T117">
        <f>IF($AG117="","",Config!$B$17)</f>
        <v/>
      </c>
      <c r="U117">
        <f>IF($AG117="","",Config!$B$18)</f>
        <v/>
      </c>
      <c r="V117">
        <f>IF($AG117="","",Config!$B$19)</f>
        <v/>
      </c>
      <c r="W117">
        <f>IF($AG117="","",INDEX('TMP Paste'!$C$2:$C$1601,$AG117))</f>
        <v/>
      </c>
      <c r="X117">
        <f>IF($AG117="","",Config!$B$29)</f>
        <v/>
      </c>
      <c r="Y117">
        <f>IF($AH117="","",INDEX(Calc!$I$2:$I$1601,$AH117)&amp;" - "&amp;INDEX(Calc!$D$2:$D$1601,$AH117)&amp;" koli")</f>
        <v/>
      </c>
      <c r="Z117">
        <f>IF($AG117="","",Config!$B$21)</f>
        <v/>
      </c>
      <c r="AA117">
        <f>IF($AG117="","",Config!$B$22)</f>
        <v/>
      </c>
      <c r="AB117">
        <f>IF($AH117="","",INDEX(Calc!$D$2:$D$1601,$AH117))</f>
        <v/>
      </c>
      <c r="AC117">
        <f>IF($AH117="","",INDEX(Calc!$G$2:$G$1601,$AH117))</f>
        <v/>
      </c>
      <c r="AD117">
        <f>IF($AG117="","",Config!$B$23)</f>
        <v/>
      </c>
      <c r="AE117">
        <f>IF($AG117="","",Config!$B$28)</f>
        <v/>
      </c>
      <c r="AG117">
        <f>IFERROR(MATCH(ROW()-1,Calc!$J$2:$J$1601,0),"")</f>
        <v/>
      </c>
      <c r="AH117">
        <f>IFERROR(MATCH(ROW()-1,Calc!$K$2:$K$1601,0),"")</f>
        <v/>
      </c>
      <c r="AI117">
        <f>IF($AG117="","",SUMIF($AG$2:$AG117,$AG117,$AH$2:$AH117))</f>
        <v/>
      </c>
      <c r="AJ117">
        <f>IF('TMP Paste'!$F117="","",IF('TMP Paste'!$B117="",$AJ116,'TMP Paste'!$B117))</f>
        <v/>
      </c>
      <c r="AK117">
        <f>IF('TMP Paste'!$F117="","",N('TMP Paste'!$G117))</f>
        <v/>
      </c>
      <c r="AL117">
        <f>IF('TMP Paste'!$F117="","",IF('TMP Paste'!$M117="",$AL116,'TMP Paste'!$M117))</f>
        <v/>
      </c>
      <c r="AM117">
        <f>IF('TMP Paste'!$F117="","",IF('TMP Paste'!$N117="",$AM116,'TMP Paste'!$N117))</f>
        <v/>
      </c>
      <c r="AN117">
        <f>IF('TMP Paste'!$F117="","",IF('TMP Paste'!$O117="",$AN116,'TMP Paste'!$O117))</f>
        <v/>
      </c>
      <c r="AO117">
        <f>IF('TMP Paste'!$F117="","",IF('TMP Paste'!$P117="",$AO116,'TMP Paste'!$P117))</f>
        <v/>
      </c>
      <c r="AP117">
        <f>IF($AG117="","",LEN($R117))</f>
        <v/>
      </c>
      <c r="AQ117">
        <f>IF($AG117="","",TRIM(IF(COUNTIFS(Calc!$B$2:$B$1601,ROW()-1,Calc!$C$2:$C$1601,"&lt;1")&gt;0,"Ada PO tanpa Koli - cek TMP. ","")&amp;IF(LEN($R117)&gt;500,"R &gt; 500 karakter.","")))</f>
        <v/>
      </c>
    </row>
    <row r="118">
      <c r="A118">
        <f>IF($AG118="","",INDEX('TMP Paste'!$B$2:$B$1601,$AG118))</f>
        <v/>
      </c>
      <c r="B118">
        <f>IF($AG118="","",Config!$B$14)</f>
        <v/>
      </c>
      <c r="C118">
        <f>IF($AG118="","",Config!$B$15)</f>
        <v/>
      </c>
      <c r="D118">
        <f>IF($AG118="","",INDEX('TMP Paste'!$B$2:$B$1601,$AG118))</f>
        <v/>
      </c>
      <c r="E118">
        <f>IF($AG118="","",Config!$B$27)</f>
        <v/>
      </c>
      <c r="F118">
        <f>IF($AG118="","",Config!$B$9)</f>
        <v/>
      </c>
      <c r="G118">
        <f>IF($AG118="","",Config!$B$10)</f>
        <v/>
      </c>
      <c r="H118">
        <f>IF($AG118="","",Config!$B$11)</f>
        <v/>
      </c>
      <c r="I118">
        <f>IF($AG118="","",Config!$B$16)</f>
        <v/>
      </c>
      <c r="J118">
        <f>IF($AG118="","",INDEX('TMP Paste'!$A$2:$A$1601,$AG118))</f>
        <v/>
      </c>
      <c r="K118">
        <f>IF($AG118="","",INDEX('TMP Paste'!$L$2:$L$1601,$AG118))</f>
        <v/>
      </c>
      <c r="L118">
        <f>IF($AG118="","",INDEX('TMP Paste'!$I$2:$I$1601,$AG118))</f>
        <v/>
      </c>
      <c r="M118">
        <f>IF($AG118="","",Config!$B$16)</f>
        <v/>
      </c>
      <c r="N118">
        <f>IF($AG118="","","")</f>
        <v/>
      </c>
      <c r="O118">
        <f>IF($AG118="","",INDEX('TMP Paste'!$K$2:$K$1601,$AG118))</f>
        <v/>
      </c>
      <c r="P118">
        <f>IF($AG118="","","")</f>
        <v/>
      </c>
      <c r="Q118">
        <f>IF($AG118="","",INDEX('TMP Paste'!$J$2:$J$1601,$AG118))</f>
        <v/>
      </c>
      <c r="R118">
        <f>IF($AG118="","",Config!$B$24)</f>
        <v/>
      </c>
      <c r="S118">
        <f>IF($AG118="","",TEXT(Config!$B$4,"yyyy-mm-dd"))</f>
        <v/>
      </c>
      <c r="T118">
        <f>IF($AG118="","",Config!$B$17)</f>
        <v/>
      </c>
      <c r="U118">
        <f>IF($AG118="","",Config!$B$18)</f>
        <v/>
      </c>
      <c r="V118">
        <f>IF($AG118="","",Config!$B$19)</f>
        <v/>
      </c>
      <c r="W118">
        <f>IF($AG118="","",INDEX('TMP Paste'!$C$2:$C$1601,$AG118))</f>
        <v/>
      </c>
      <c r="X118">
        <f>IF($AG118="","",Config!$B$29)</f>
        <v/>
      </c>
      <c r="Y118">
        <f>IF($AH118="","",INDEX(Calc!$I$2:$I$1601,$AH118)&amp;" - "&amp;INDEX(Calc!$D$2:$D$1601,$AH118)&amp;" koli")</f>
        <v/>
      </c>
      <c r="Z118">
        <f>IF($AG118="","",Config!$B$21)</f>
        <v/>
      </c>
      <c r="AA118">
        <f>IF($AG118="","",Config!$B$22)</f>
        <v/>
      </c>
      <c r="AB118">
        <f>IF($AH118="","",INDEX(Calc!$D$2:$D$1601,$AH118))</f>
        <v/>
      </c>
      <c r="AC118">
        <f>IF($AH118="","",INDEX(Calc!$G$2:$G$1601,$AH118))</f>
        <v/>
      </c>
      <c r="AD118">
        <f>IF($AG118="","",Config!$B$23)</f>
        <v/>
      </c>
      <c r="AE118">
        <f>IF($AG118="","",Config!$B$28)</f>
        <v/>
      </c>
      <c r="AG118">
        <f>IFERROR(MATCH(ROW()-1,Calc!$J$2:$J$1601,0),"")</f>
        <v/>
      </c>
      <c r="AH118">
        <f>IFERROR(MATCH(ROW()-1,Calc!$K$2:$K$1601,0),"")</f>
        <v/>
      </c>
      <c r="AI118">
        <f>IF($AG118="","",SUMIF($AG$2:$AG118,$AG118,$AH$2:$AH118))</f>
        <v/>
      </c>
      <c r="AJ118">
        <f>IF('TMP Paste'!$F118="","",IF('TMP Paste'!$B118="",$AJ117,'TMP Paste'!$B118))</f>
        <v/>
      </c>
      <c r="AK118">
        <f>IF('TMP Paste'!$F118="","",N('TMP Paste'!$G118))</f>
        <v/>
      </c>
      <c r="AL118">
        <f>IF('TMP Paste'!$F118="","",IF('TMP Paste'!$M118="",$AL117,'TMP Paste'!$M118))</f>
        <v/>
      </c>
      <c r="AM118">
        <f>IF('TMP Paste'!$F118="","",IF('TMP Paste'!$N118="",$AM117,'TMP Paste'!$N118))</f>
        <v/>
      </c>
      <c r="AN118">
        <f>IF('TMP Paste'!$F118="","",IF('TMP Paste'!$O118="",$AN117,'TMP Paste'!$O118))</f>
        <v/>
      </c>
      <c r="AO118">
        <f>IF('TMP Paste'!$F118="","",IF('TMP Paste'!$P118="",$AO117,'TMP Paste'!$P118))</f>
        <v/>
      </c>
      <c r="AP118">
        <f>IF($AG118="","",LEN($R118))</f>
        <v/>
      </c>
      <c r="AQ118">
        <f>IF($AG118="","",TRIM(IF(COUNTIFS(Calc!$B$2:$B$1601,ROW()-1,Calc!$C$2:$C$1601,"&lt;1")&gt;0,"Ada PO tanpa Koli - cek TMP. ","")&amp;IF(LEN($R118)&gt;500,"R &gt; 500 karakter.","")))</f>
        <v/>
      </c>
    </row>
    <row r="119">
      <c r="A119">
        <f>IF($AG119="","",INDEX('TMP Paste'!$B$2:$B$1601,$AG119))</f>
        <v/>
      </c>
      <c r="B119">
        <f>IF($AG119="","",Config!$B$14)</f>
        <v/>
      </c>
      <c r="C119">
        <f>IF($AG119="","",Config!$B$15)</f>
        <v/>
      </c>
      <c r="D119">
        <f>IF($AG119="","",INDEX('TMP Paste'!$B$2:$B$1601,$AG119))</f>
        <v/>
      </c>
      <c r="E119">
        <f>IF($AG119="","",Config!$B$27)</f>
        <v/>
      </c>
      <c r="F119">
        <f>IF($AG119="","",Config!$B$9)</f>
        <v/>
      </c>
      <c r="G119">
        <f>IF($AG119="","",Config!$B$10)</f>
        <v/>
      </c>
      <c r="H119">
        <f>IF($AG119="","",Config!$B$11)</f>
        <v/>
      </c>
      <c r="I119">
        <f>IF($AG119="","",Config!$B$16)</f>
        <v/>
      </c>
      <c r="J119">
        <f>IF($AG119="","",INDEX('TMP Paste'!$A$2:$A$1601,$AG119))</f>
        <v/>
      </c>
      <c r="K119">
        <f>IF($AG119="","",INDEX('TMP Paste'!$L$2:$L$1601,$AG119))</f>
        <v/>
      </c>
      <c r="L119">
        <f>IF($AG119="","",INDEX('TMP Paste'!$I$2:$I$1601,$AG119))</f>
        <v/>
      </c>
      <c r="M119">
        <f>IF($AG119="","",Config!$B$16)</f>
        <v/>
      </c>
      <c r="N119">
        <f>IF($AG119="","","")</f>
        <v/>
      </c>
      <c r="O119">
        <f>IF($AG119="","",INDEX('TMP Paste'!$K$2:$K$1601,$AG119))</f>
        <v/>
      </c>
      <c r="P119">
        <f>IF($AG119="","","")</f>
        <v/>
      </c>
      <c r="Q119">
        <f>IF($AG119="","",INDEX('TMP Paste'!$J$2:$J$1601,$AG119))</f>
        <v/>
      </c>
      <c r="R119">
        <f>IF($AG119="","",Config!$B$24)</f>
        <v/>
      </c>
      <c r="S119">
        <f>IF($AG119="","",TEXT(Config!$B$4,"yyyy-mm-dd"))</f>
        <v/>
      </c>
      <c r="T119">
        <f>IF($AG119="","",Config!$B$17)</f>
        <v/>
      </c>
      <c r="U119">
        <f>IF($AG119="","",Config!$B$18)</f>
        <v/>
      </c>
      <c r="V119">
        <f>IF($AG119="","",Config!$B$19)</f>
        <v/>
      </c>
      <c r="W119">
        <f>IF($AG119="","",INDEX('TMP Paste'!$C$2:$C$1601,$AG119))</f>
        <v/>
      </c>
      <c r="X119">
        <f>IF($AG119="","",Config!$B$29)</f>
        <v/>
      </c>
      <c r="Y119">
        <f>IF($AH119="","",INDEX(Calc!$I$2:$I$1601,$AH119)&amp;" - "&amp;INDEX(Calc!$D$2:$D$1601,$AH119)&amp;" koli")</f>
        <v/>
      </c>
      <c r="Z119">
        <f>IF($AG119="","",Config!$B$21)</f>
        <v/>
      </c>
      <c r="AA119">
        <f>IF($AG119="","",Config!$B$22)</f>
        <v/>
      </c>
      <c r="AB119">
        <f>IF($AH119="","",INDEX(Calc!$D$2:$D$1601,$AH119))</f>
        <v/>
      </c>
      <c r="AC119">
        <f>IF($AH119="","",INDEX(Calc!$G$2:$G$1601,$AH119))</f>
        <v/>
      </c>
      <c r="AD119">
        <f>IF($AG119="","",Config!$B$23)</f>
        <v/>
      </c>
      <c r="AE119">
        <f>IF($AG119="","",Config!$B$28)</f>
        <v/>
      </c>
      <c r="AG119">
        <f>IFERROR(MATCH(ROW()-1,Calc!$J$2:$J$1601,0),"")</f>
        <v/>
      </c>
      <c r="AH119">
        <f>IFERROR(MATCH(ROW()-1,Calc!$K$2:$K$1601,0),"")</f>
        <v/>
      </c>
      <c r="AI119">
        <f>IF($AG119="","",SUMIF($AG$2:$AG119,$AG119,$AH$2:$AH119))</f>
        <v/>
      </c>
      <c r="AJ119">
        <f>IF('TMP Paste'!$F119="","",IF('TMP Paste'!$B119="",$AJ118,'TMP Paste'!$B119))</f>
        <v/>
      </c>
      <c r="AK119">
        <f>IF('TMP Paste'!$F119="","",N('TMP Paste'!$G119))</f>
        <v/>
      </c>
      <c r="AL119">
        <f>IF('TMP Paste'!$F119="","",IF('TMP Paste'!$M119="",$AL118,'TMP Paste'!$M119))</f>
        <v/>
      </c>
      <c r="AM119">
        <f>IF('TMP Paste'!$F119="","",IF('TMP Paste'!$N119="",$AM118,'TMP Paste'!$N119))</f>
        <v/>
      </c>
      <c r="AN119">
        <f>IF('TMP Paste'!$F119="","",IF('TMP Paste'!$O119="",$AN118,'TMP Paste'!$O119))</f>
        <v/>
      </c>
      <c r="AO119">
        <f>IF('TMP Paste'!$F119="","",IF('TMP Paste'!$P119="",$AO118,'TMP Paste'!$P119))</f>
        <v/>
      </c>
      <c r="AP119">
        <f>IF($AG119="","",LEN($R119))</f>
        <v/>
      </c>
      <c r="AQ119">
        <f>IF($AG119="","",TRIM(IF(COUNTIFS(Calc!$B$2:$B$1601,ROW()-1,Calc!$C$2:$C$1601,"&lt;1")&gt;0,"Ada PO tanpa Koli - cek TMP. ","")&amp;IF(LEN($R119)&gt;500,"R &gt; 500 karakter.","")))</f>
        <v/>
      </c>
    </row>
    <row r="120">
      <c r="A120">
        <f>IF($AG120="","",INDEX('TMP Paste'!$B$2:$B$1601,$AG120))</f>
        <v/>
      </c>
      <c r="B120">
        <f>IF($AG120="","",Config!$B$14)</f>
        <v/>
      </c>
      <c r="C120">
        <f>IF($AG120="","",Config!$B$15)</f>
        <v/>
      </c>
      <c r="D120">
        <f>IF($AG120="","",INDEX('TMP Paste'!$B$2:$B$1601,$AG120))</f>
        <v/>
      </c>
      <c r="E120">
        <f>IF($AG120="","",Config!$B$27)</f>
        <v/>
      </c>
      <c r="F120">
        <f>IF($AG120="","",Config!$B$9)</f>
        <v/>
      </c>
      <c r="G120">
        <f>IF($AG120="","",Config!$B$10)</f>
        <v/>
      </c>
      <c r="H120">
        <f>IF($AG120="","",Config!$B$11)</f>
        <v/>
      </c>
      <c r="I120">
        <f>IF($AG120="","",Config!$B$16)</f>
        <v/>
      </c>
      <c r="J120">
        <f>IF($AG120="","",INDEX('TMP Paste'!$A$2:$A$1601,$AG120))</f>
        <v/>
      </c>
      <c r="K120">
        <f>IF($AG120="","",INDEX('TMP Paste'!$L$2:$L$1601,$AG120))</f>
        <v/>
      </c>
      <c r="L120">
        <f>IF($AG120="","",INDEX('TMP Paste'!$I$2:$I$1601,$AG120))</f>
        <v/>
      </c>
      <c r="M120">
        <f>IF($AG120="","",Config!$B$16)</f>
        <v/>
      </c>
      <c r="N120">
        <f>IF($AG120="","","")</f>
        <v/>
      </c>
      <c r="O120">
        <f>IF($AG120="","",INDEX('TMP Paste'!$K$2:$K$1601,$AG120))</f>
        <v/>
      </c>
      <c r="P120">
        <f>IF($AG120="","","")</f>
        <v/>
      </c>
      <c r="Q120">
        <f>IF($AG120="","",INDEX('TMP Paste'!$J$2:$J$1601,$AG120))</f>
        <v/>
      </c>
      <c r="R120">
        <f>IF($AG120="","",Config!$B$24)</f>
        <v/>
      </c>
      <c r="S120">
        <f>IF($AG120="","",TEXT(Config!$B$4,"yyyy-mm-dd"))</f>
        <v/>
      </c>
      <c r="T120">
        <f>IF($AG120="","",Config!$B$17)</f>
        <v/>
      </c>
      <c r="U120">
        <f>IF($AG120="","",Config!$B$18)</f>
        <v/>
      </c>
      <c r="V120">
        <f>IF($AG120="","",Config!$B$19)</f>
        <v/>
      </c>
      <c r="W120">
        <f>IF($AG120="","",INDEX('TMP Paste'!$C$2:$C$1601,$AG120))</f>
        <v/>
      </c>
      <c r="X120">
        <f>IF($AG120="","",Config!$B$29)</f>
        <v/>
      </c>
      <c r="Y120">
        <f>IF($AH120="","",INDEX(Calc!$I$2:$I$1601,$AH120)&amp;" - "&amp;INDEX(Calc!$D$2:$D$1601,$AH120)&amp;" koli")</f>
        <v/>
      </c>
      <c r="Z120">
        <f>IF($AG120="","",Config!$B$21)</f>
        <v/>
      </c>
      <c r="AA120">
        <f>IF($AG120="","",Config!$B$22)</f>
        <v/>
      </c>
      <c r="AB120">
        <f>IF($AH120="","",INDEX(Calc!$D$2:$D$1601,$AH120))</f>
        <v/>
      </c>
      <c r="AC120">
        <f>IF($AH120="","",INDEX(Calc!$G$2:$G$1601,$AH120))</f>
        <v/>
      </c>
      <c r="AD120">
        <f>IF($AG120="","",Config!$B$23)</f>
        <v/>
      </c>
      <c r="AE120">
        <f>IF($AG120="","",Config!$B$28)</f>
        <v/>
      </c>
      <c r="AG120">
        <f>IFERROR(MATCH(ROW()-1,Calc!$J$2:$J$1601,0),"")</f>
        <v/>
      </c>
      <c r="AH120">
        <f>IFERROR(MATCH(ROW()-1,Calc!$K$2:$K$1601,0),"")</f>
        <v/>
      </c>
      <c r="AI120">
        <f>IF($AG120="","",SUMIF($AG$2:$AG120,$AG120,$AH$2:$AH120))</f>
        <v/>
      </c>
      <c r="AJ120">
        <f>IF('TMP Paste'!$F120="","",IF('TMP Paste'!$B120="",$AJ119,'TMP Paste'!$B120))</f>
        <v/>
      </c>
      <c r="AK120">
        <f>IF('TMP Paste'!$F120="","",N('TMP Paste'!$G120))</f>
        <v/>
      </c>
      <c r="AL120">
        <f>IF('TMP Paste'!$F120="","",IF('TMP Paste'!$M120="",$AL119,'TMP Paste'!$M120))</f>
        <v/>
      </c>
      <c r="AM120">
        <f>IF('TMP Paste'!$F120="","",IF('TMP Paste'!$N120="",$AM119,'TMP Paste'!$N120))</f>
        <v/>
      </c>
      <c r="AN120">
        <f>IF('TMP Paste'!$F120="","",IF('TMP Paste'!$O120="",$AN119,'TMP Paste'!$O120))</f>
        <v/>
      </c>
      <c r="AO120">
        <f>IF('TMP Paste'!$F120="","",IF('TMP Paste'!$P120="",$AO119,'TMP Paste'!$P120))</f>
        <v/>
      </c>
      <c r="AP120">
        <f>IF($AG120="","",LEN($R120))</f>
        <v/>
      </c>
      <c r="AQ120">
        <f>IF($AG120="","",TRIM(IF(COUNTIFS(Calc!$B$2:$B$1601,ROW()-1,Calc!$C$2:$C$1601,"&lt;1")&gt;0,"Ada PO tanpa Koli - cek TMP. ","")&amp;IF(LEN($R120)&gt;500,"R &gt; 500 karakter.","")))</f>
        <v/>
      </c>
    </row>
    <row r="121">
      <c r="A121">
        <f>IF($AG121="","",INDEX('TMP Paste'!$B$2:$B$1601,$AG121))</f>
        <v/>
      </c>
      <c r="B121">
        <f>IF($AG121="","",Config!$B$14)</f>
        <v/>
      </c>
      <c r="C121">
        <f>IF($AG121="","",Config!$B$15)</f>
        <v/>
      </c>
      <c r="D121">
        <f>IF($AG121="","",INDEX('TMP Paste'!$B$2:$B$1601,$AG121))</f>
        <v/>
      </c>
      <c r="E121">
        <f>IF($AG121="","",Config!$B$27)</f>
        <v/>
      </c>
      <c r="F121">
        <f>IF($AG121="","",Config!$B$9)</f>
        <v/>
      </c>
      <c r="G121">
        <f>IF($AG121="","",Config!$B$10)</f>
        <v/>
      </c>
      <c r="H121">
        <f>IF($AG121="","",Config!$B$11)</f>
        <v/>
      </c>
      <c r="I121">
        <f>IF($AG121="","",Config!$B$16)</f>
        <v/>
      </c>
      <c r="J121">
        <f>IF($AG121="","",INDEX('TMP Paste'!$A$2:$A$1601,$AG121))</f>
        <v/>
      </c>
      <c r="K121">
        <f>IF($AG121="","",INDEX('TMP Paste'!$L$2:$L$1601,$AG121))</f>
        <v/>
      </c>
      <c r="L121">
        <f>IF($AG121="","",INDEX('TMP Paste'!$I$2:$I$1601,$AG121))</f>
        <v/>
      </c>
      <c r="M121">
        <f>IF($AG121="","",Config!$B$16)</f>
        <v/>
      </c>
      <c r="N121">
        <f>IF($AG121="","","")</f>
        <v/>
      </c>
      <c r="O121">
        <f>IF($AG121="","",INDEX('TMP Paste'!$K$2:$K$1601,$AG121))</f>
        <v/>
      </c>
      <c r="P121">
        <f>IF($AG121="","","")</f>
        <v/>
      </c>
      <c r="Q121">
        <f>IF($AG121="","",INDEX('TMP Paste'!$J$2:$J$1601,$AG121))</f>
        <v/>
      </c>
      <c r="R121">
        <f>IF($AG121="","",Config!$B$24)</f>
        <v/>
      </c>
      <c r="S121">
        <f>IF($AG121="","",TEXT(Config!$B$4,"yyyy-mm-dd"))</f>
        <v/>
      </c>
      <c r="T121">
        <f>IF($AG121="","",Config!$B$17)</f>
        <v/>
      </c>
      <c r="U121">
        <f>IF($AG121="","",Config!$B$18)</f>
        <v/>
      </c>
      <c r="V121">
        <f>IF($AG121="","",Config!$B$19)</f>
        <v/>
      </c>
      <c r="W121">
        <f>IF($AG121="","",INDEX('TMP Paste'!$C$2:$C$1601,$AG121))</f>
        <v/>
      </c>
      <c r="X121">
        <f>IF($AG121="","",Config!$B$29)</f>
        <v/>
      </c>
      <c r="Y121">
        <f>IF($AH121="","",INDEX(Calc!$I$2:$I$1601,$AH121)&amp;" - "&amp;INDEX(Calc!$D$2:$D$1601,$AH121)&amp;" koli")</f>
        <v/>
      </c>
      <c r="Z121">
        <f>IF($AG121="","",Config!$B$21)</f>
        <v/>
      </c>
      <c r="AA121">
        <f>IF($AG121="","",Config!$B$22)</f>
        <v/>
      </c>
      <c r="AB121">
        <f>IF($AH121="","",INDEX(Calc!$D$2:$D$1601,$AH121))</f>
        <v/>
      </c>
      <c r="AC121">
        <f>IF($AH121="","",INDEX(Calc!$G$2:$G$1601,$AH121))</f>
        <v/>
      </c>
      <c r="AD121">
        <f>IF($AG121="","",Config!$B$23)</f>
        <v/>
      </c>
      <c r="AE121">
        <f>IF($AG121="","",Config!$B$28)</f>
        <v/>
      </c>
      <c r="AG121">
        <f>IFERROR(MATCH(ROW()-1,Calc!$J$2:$J$1601,0),"")</f>
        <v/>
      </c>
      <c r="AH121">
        <f>IFERROR(MATCH(ROW()-1,Calc!$K$2:$K$1601,0),"")</f>
        <v/>
      </c>
      <c r="AI121">
        <f>IF($AG121="","",SUMIF($AG$2:$AG121,$AG121,$AH$2:$AH121))</f>
        <v/>
      </c>
      <c r="AJ121">
        <f>IF('TMP Paste'!$F121="","",IF('TMP Paste'!$B121="",$AJ120,'TMP Paste'!$B121))</f>
        <v/>
      </c>
      <c r="AK121">
        <f>IF('TMP Paste'!$F121="","",N('TMP Paste'!$G121))</f>
        <v/>
      </c>
      <c r="AL121">
        <f>IF('TMP Paste'!$F121="","",IF('TMP Paste'!$M121="",$AL120,'TMP Paste'!$M121))</f>
        <v/>
      </c>
      <c r="AM121">
        <f>IF('TMP Paste'!$F121="","",IF('TMP Paste'!$N121="",$AM120,'TMP Paste'!$N121))</f>
        <v/>
      </c>
      <c r="AN121">
        <f>IF('TMP Paste'!$F121="","",IF('TMP Paste'!$O121="",$AN120,'TMP Paste'!$O121))</f>
        <v/>
      </c>
      <c r="AO121">
        <f>IF('TMP Paste'!$F121="","",IF('TMP Paste'!$P121="",$AO120,'TMP Paste'!$P121))</f>
        <v/>
      </c>
      <c r="AP121">
        <f>IF($AG121="","",LEN($R121))</f>
        <v/>
      </c>
      <c r="AQ121">
        <f>IF($AG121="","",TRIM(IF(COUNTIFS(Calc!$B$2:$B$1601,ROW()-1,Calc!$C$2:$C$1601,"&lt;1")&gt;0,"Ada PO tanpa Koli - cek TMP. ","")&amp;IF(LEN($R121)&gt;500,"R &gt; 500 karakter.","")))</f>
        <v/>
      </c>
    </row>
    <row r="122">
      <c r="A122">
        <f>IF($AG122="","",INDEX('TMP Paste'!$B$2:$B$1601,$AG122))</f>
        <v/>
      </c>
      <c r="B122">
        <f>IF($AG122="","",Config!$B$14)</f>
        <v/>
      </c>
      <c r="C122">
        <f>IF($AG122="","",Config!$B$15)</f>
        <v/>
      </c>
      <c r="D122">
        <f>IF($AG122="","",INDEX('TMP Paste'!$B$2:$B$1601,$AG122))</f>
        <v/>
      </c>
      <c r="E122">
        <f>IF($AG122="","",Config!$B$27)</f>
        <v/>
      </c>
      <c r="F122">
        <f>IF($AG122="","",Config!$B$9)</f>
        <v/>
      </c>
      <c r="G122">
        <f>IF($AG122="","",Config!$B$10)</f>
        <v/>
      </c>
      <c r="H122">
        <f>IF($AG122="","",Config!$B$11)</f>
        <v/>
      </c>
      <c r="I122">
        <f>IF($AG122="","",Config!$B$16)</f>
        <v/>
      </c>
      <c r="J122">
        <f>IF($AG122="","",INDEX('TMP Paste'!$A$2:$A$1601,$AG122))</f>
        <v/>
      </c>
      <c r="K122">
        <f>IF($AG122="","",INDEX('TMP Paste'!$L$2:$L$1601,$AG122))</f>
        <v/>
      </c>
      <c r="L122">
        <f>IF($AG122="","",INDEX('TMP Paste'!$I$2:$I$1601,$AG122))</f>
        <v/>
      </c>
      <c r="M122">
        <f>IF($AG122="","",Config!$B$16)</f>
        <v/>
      </c>
      <c r="N122">
        <f>IF($AG122="","","")</f>
        <v/>
      </c>
      <c r="O122">
        <f>IF($AG122="","",INDEX('TMP Paste'!$K$2:$K$1601,$AG122))</f>
        <v/>
      </c>
      <c r="P122">
        <f>IF($AG122="","","")</f>
        <v/>
      </c>
      <c r="Q122">
        <f>IF($AG122="","",INDEX('TMP Paste'!$J$2:$J$1601,$AG122))</f>
        <v/>
      </c>
      <c r="R122">
        <f>IF($AG122="","",Config!$B$24)</f>
        <v/>
      </c>
      <c r="S122">
        <f>IF($AG122="","",TEXT(Config!$B$4,"yyyy-mm-dd"))</f>
        <v/>
      </c>
      <c r="T122">
        <f>IF($AG122="","",Config!$B$17)</f>
        <v/>
      </c>
      <c r="U122">
        <f>IF($AG122="","",Config!$B$18)</f>
        <v/>
      </c>
      <c r="V122">
        <f>IF($AG122="","",Config!$B$19)</f>
        <v/>
      </c>
      <c r="W122">
        <f>IF($AG122="","",INDEX('TMP Paste'!$C$2:$C$1601,$AG122))</f>
        <v/>
      </c>
      <c r="X122">
        <f>IF($AG122="","",Config!$B$29)</f>
        <v/>
      </c>
      <c r="Y122">
        <f>IF($AH122="","",INDEX(Calc!$I$2:$I$1601,$AH122)&amp;" - "&amp;INDEX(Calc!$D$2:$D$1601,$AH122)&amp;" koli")</f>
        <v/>
      </c>
      <c r="Z122">
        <f>IF($AG122="","",Config!$B$21)</f>
        <v/>
      </c>
      <c r="AA122">
        <f>IF($AG122="","",Config!$B$22)</f>
        <v/>
      </c>
      <c r="AB122">
        <f>IF($AH122="","",INDEX(Calc!$D$2:$D$1601,$AH122))</f>
        <v/>
      </c>
      <c r="AC122">
        <f>IF($AH122="","",INDEX(Calc!$G$2:$G$1601,$AH122))</f>
        <v/>
      </c>
      <c r="AD122">
        <f>IF($AG122="","",Config!$B$23)</f>
        <v/>
      </c>
      <c r="AE122">
        <f>IF($AG122="","",Config!$B$28)</f>
        <v/>
      </c>
      <c r="AG122">
        <f>IFERROR(MATCH(ROW()-1,Calc!$J$2:$J$1601,0),"")</f>
        <v/>
      </c>
      <c r="AH122">
        <f>IFERROR(MATCH(ROW()-1,Calc!$K$2:$K$1601,0),"")</f>
        <v/>
      </c>
      <c r="AI122">
        <f>IF($AG122="","",SUMIF($AG$2:$AG122,$AG122,$AH$2:$AH122))</f>
        <v/>
      </c>
      <c r="AJ122">
        <f>IF('TMP Paste'!$F122="","",IF('TMP Paste'!$B122="",$AJ121,'TMP Paste'!$B122))</f>
        <v/>
      </c>
      <c r="AK122">
        <f>IF('TMP Paste'!$F122="","",N('TMP Paste'!$G122))</f>
        <v/>
      </c>
      <c r="AL122">
        <f>IF('TMP Paste'!$F122="","",IF('TMP Paste'!$M122="",$AL121,'TMP Paste'!$M122))</f>
        <v/>
      </c>
      <c r="AM122">
        <f>IF('TMP Paste'!$F122="","",IF('TMP Paste'!$N122="",$AM121,'TMP Paste'!$N122))</f>
        <v/>
      </c>
      <c r="AN122">
        <f>IF('TMP Paste'!$F122="","",IF('TMP Paste'!$O122="",$AN121,'TMP Paste'!$O122))</f>
        <v/>
      </c>
      <c r="AO122">
        <f>IF('TMP Paste'!$F122="","",IF('TMP Paste'!$P122="",$AO121,'TMP Paste'!$P122))</f>
        <v/>
      </c>
      <c r="AP122">
        <f>IF($AG122="","",LEN($R122))</f>
        <v/>
      </c>
      <c r="AQ122">
        <f>IF($AG122="","",TRIM(IF(COUNTIFS(Calc!$B$2:$B$1601,ROW()-1,Calc!$C$2:$C$1601,"&lt;1")&gt;0,"Ada PO tanpa Koli - cek TMP. ","")&amp;IF(LEN($R122)&gt;500,"R &gt; 500 karakter.","")))</f>
        <v/>
      </c>
    </row>
    <row r="123">
      <c r="A123">
        <f>IF($AG123="","",INDEX('TMP Paste'!$B$2:$B$1601,$AG123))</f>
        <v/>
      </c>
      <c r="B123">
        <f>IF($AG123="","",Config!$B$14)</f>
        <v/>
      </c>
      <c r="C123">
        <f>IF($AG123="","",Config!$B$15)</f>
        <v/>
      </c>
      <c r="D123">
        <f>IF($AG123="","",INDEX('TMP Paste'!$B$2:$B$1601,$AG123))</f>
        <v/>
      </c>
      <c r="E123">
        <f>IF($AG123="","",Config!$B$27)</f>
        <v/>
      </c>
      <c r="F123">
        <f>IF($AG123="","",Config!$B$9)</f>
        <v/>
      </c>
      <c r="G123">
        <f>IF($AG123="","",Config!$B$10)</f>
        <v/>
      </c>
      <c r="H123">
        <f>IF($AG123="","",Config!$B$11)</f>
        <v/>
      </c>
      <c r="I123">
        <f>IF($AG123="","",Config!$B$16)</f>
        <v/>
      </c>
      <c r="J123">
        <f>IF($AG123="","",INDEX('TMP Paste'!$A$2:$A$1601,$AG123))</f>
        <v/>
      </c>
      <c r="K123">
        <f>IF($AG123="","",INDEX('TMP Paste'!$L$2:$L$1601,$AG123))</f>
        <v/>
      </c>
      <c r="L123">
        <f>IF($AG123="","",INDEX('TMP Paste'!$I$2:$I$1601,$AG123))</f>
        <v/>
      </c>
      <c r="M123">
        <f>IF($AG123="","",Config!$B$16)</f>
        <v/>
      </c>
      <c r="N123">
        <f>IF($AG123="","","")</f>
        <v/>
      </c>
      <c r="O123">
        <f>IF($AG123="","",INDEX('TMP Paste'!$K$2:$K$1601,$AG123))</f>
        <v/>
      </c>
      <c r="P123">
        <f>IF($AG123="","","")</f>
        <v/>
      </c>
      <c r="Q123">
        <f>IF($AG123="","",INDEX('TMP Paste'!$J$2:$J$1601,$AG123))</f>
        <v/>
      </c>
      <c r="R123">
        <f>IF($AG123="","",Config!$B$24)</f>
        <v/>
      </c>
      <c r="S123">
        <f>IF($AG123="","",TEXT(Config!$B$4,"yyyy-mm-dd"))</f>
        <v/>
      </c>
      <c r="T123">
        <f>IF($AG123="","",Config!$B$17)</f>
        <v/>
      </c>
      <c r="U123">
        <f>IF($AG123="","",Config!$B$18)</f>
        <v/>
      </c>
      <c r="V123">
        <f>IF($AG123="","",Config!$B$19)</f>
        <v/>
      </c>
      <c r="W123">
        <f>IF($AG123="","",INDEX('TMP Paste'!$C$2:$C$1601,$AG123))</f>
        <v/>
      </c>
      <c r="X123">
        <f>IF($AG123="","",Config!$B$29)</f>
        <v/>
      </c>
      <c r="Y123">
        <f>IF($AH123="","",INDEX(Calc!$I$2:$I$1601,$AH123)&amp;" - "&amp;INDEX(Calc!$D$2:$D$1601,$AH123)&amp;" koli")</f>
        <v/>
      </c>
      <c r="Z123">
        <f>IF($AG123="","",Config!$B$21)</f>
        <v/>
      </c>
      <c r="AA123">
        <f>IF($AG123="","",Config!$B$22)</f>
        <v/>
      </c>
      <c r="AB123">
        <f>IF($AH123="","",INDEX(Calc!$D$2:$D$1601,$AH123))</f>
        <v/>
      </c>
      <c r="AC123">
        <f>IF($AH123="","",INDEX(Calc!$G$2:$G$1601,$AH123))</f>
        <v/>
      </c>
      <c r="AD123">
        <f>IF($AG123="","",Config!$B$23)</f>
        <v/>
      </c>
      <c r="AE123">
        <f>IF($AG123="","",Config!$B$28)</f>
        <v/>
      </c>
      <c r="AG123">
        <f>IFERROR(MATCH(ROW()-1,Calc!$J$2:$J$1601,0),"")</f>
        <v/>
      </c>
      <c r="AH123">
        <f>IFERROR(MATCH(ROW()-1,Calc!$K$2:$K$1601,0),"")</f>
        <v/>
      </c>
      <c r="AI123">
        <f>IF($AG123="","",SUMIF($AG$2:$AG123,$AG123,$AH$2:$AH123))</f>
        <v/>
      </c>
      <c r="AJ123">
        <f>IF('TMP Paste'!$F123="","",IF('TMP Paste'!$B123="",$AJ122,'TMP Paste'!$B123))</f>
        <v/>
      </c>
      <c r="AK123">
        <f>IF('TMP Paste'!$F123="","",N('TMP Paste'!$G123))</f>
        <v/>
      </c>
      <c r="AL123">
        <f>IF('TMP Paste'!$F123="","",IF('TMP Paste'!$M123="",$AL122,'TMP Paste'!$M123))</f>
        <v/>
      </c>
      <c r="AM123">
        <f>IF('TMP Paste'!$F123="","",IF('TMP Paste'!$N123="",$AM122,'TMP Paste'!$N123))</f>
        <v/>
      </c>
      <c r="AN123">
        <f>IF('TMP Paste'!$F123="","",IF('TMP Paste'!$O123="",$AN122,'TMP Paste'!$O123))</f>
        <v/>
      </c>
      <c r="AO123">
        <f>IF('TMP Paste'!$F123="","",IF('TMP Paste'!$P123="",$AO122,'TMP Paste'!$P123))</f>
        <v/>
      </c>
      <c r="AP123">
        <f>IF($AG123="","",LEN($R123))</f>
        <v/>
      </c>
      <c r="AQ123">
        <f>IF($AG123="","",TRIM(IF(COUNTIFS(Calc!$B$2:$B$1601,ROW()-1,Calc!$C$2:$C$1601,"&lt;1")&gt;0,"Ada PO tanpa Koli - cek TMP. ","")&amp;IF(LEN($R123)&gt;500,"R &gt; 500 karakter.","")))</f>
        <v/>
      </c>
    </row>
    <row r="124">
      <c r="A124">
        <f>IF($AG124="","",INDEX('TMP Paste'!$B$2:$B$1601,$AG124))</f>
        <v/>
      </c>
      <c r="B124">
        <f>IF($AG124="","",Config!$B$14)</f>
        <v/>
      </c>
      <c r="C124">
        <f>IF($AG124="","",Config!$B$15)</f>
        <v/>
      </c>
      <c r="D124">
        <f>IF($AG124="","",INDEX('TMP Paste'!$B$2:$B$1601,$AG124))</f>
        <v/>
      </c>
      <c r="E124">
        <f>IF($AG124="","",Config!$B$27)</f>
        <v/>
      </c>
      <c r="F124">
        <f>IF($AG124="","",Config!$B$9)</f>
        <v/>
      </c>
      <c r="G124">
        <f>IF($AG124="","",Config!$B$10)</f>
        <v/>
      </c>
      <c r="H124">
        <f>IF($AG124="","",Config!$B$11)</f>
        <v/>
      </c>
      <c r="I124">
        <f>IF($AG124="","",Config!$B$16)</f>
        <v/>
      </c>
      <c r="J124">
        <f>IF($AG124="","",INDEX('TMP Paste'!$A$2:$A$1601,$AG124))</f>
        <v/>
      </c>
      <c r="K124">
        <f>IF($AG124="","",INDEX('TMP Paste'!$L$2:$L$1601,$AG124))</f>
        <v/>
      </c>
      <c r="L124">
        <f>IF($AG124="","",INDEX('TMP Paste'!$I$2:$I$1601,$AG124))</f>
        <v/>
      </c>
      <c r="M124">
        <f>IF($AG124="","",Config!$B$16)</f>
        <v/>
      </c>
      <c r="N124">
        <f>IF($AG124="","","")</f>
        <v/>
      </c>
      <c r="O124">
        <f>IF($AG124="","",INDEX('TMP Paste'!$K$2:$K$1601,$AG124))</f>
        <v/>
      </c>
      <c r="P124">
        <f>IF($AG124="","","")</f>
        <v/>
      </c>
      <c r="Q124">
        <f>IF($AG124="","",INDEX('TMP Paste'!$J$2:$J$1601,$AG124))</f>
        <v/>
      </c>
      <c r="R124">
        <f>IF($AG124="","",Config!$B$24)</f>
        <v/>
      </c>
      <c r="S124">
        <f>IF($AG124="","",TEXT(Config!$B$4,"yyyy-mm-dd"))</f>
        <v/>
      </c>
      <c r="T124">
        <f>IF($AG124="","",Config!$B$17)</f>
        <v/>
      </c>
      <c r="U124">
        <f>IF($AG124="","",Config!$B$18)</f>
        <v/>
      </c>
      <c r="V124">
        <f>IF($AG124="","",Config!$B$19)</f>
        <v/>
      </c>
      <c r="W124">
        <f>IF($AG124="","",INDEX('TMP Paste'!$C$2:$C$1601,$AG124))</f>
        <v/>
      </c>
      <c r="X124">
        <f>IF($AG124="","",Config!$B$29)</f>
        <v/>
      </c>
      <c r="Y124">
        <f>IF($AH124="","",INDEX(Calc!$I$2:$I$1601,$AH124)&amp;" - "&amp;INDEX(Calc!$D$2:$D$1601,$AH124)&amp;" koli")</f>
        <v/>
      </c>
      <c r="Z124">
        <f>IF($AG124="","",Config!$B$21)</f>
        <v/>
      </c>
      <c r="AA124">
        <f>IF($AG124="","",Config!$B$22)</f>
        <v/>
      </c>
      <c r="AB124">
        <f>IF($AH124="","",INDEX(Calc!$D$2:$D$1601,$AH124))</f>
        <v/>
      </c>
      <c r="AC124">
        <f>IF($AH124="","",INDEX(Calc!$G$2:$G$1601,$AH124))</f>
        <v/>
      </c>
      <c r="AD124">
        <f>IF($AG124="","",Config!$B$23)</f>
        <v/>
      </c>
      <c r="AE124">
        <f>IF($AG124="","",Config!$B$28)</f>
        <v/>
      </c>
      <c r="AG124">
        <f>IFERROR(MATCH(ROW()-1,Calc!$J$2:$J$1601,0),"")</f>
        <v/>
      </c>
      <c r="AH124">
        <f>IFERROR(MATCH(ROW()-1,Calc!$K$2:$K$1601,0),"")</f>
        <v/>
      </c>
      <c r="AI124">
        <f>IF($AG124="","",SUMIF($AG$2:$AG124,$AG124,$AH$2:$AH124))</f>
        <v/>
      </c>
      <c r="AJ124">
        <f>IF('TMP Paste'!$F124="","",IF('TMP Paste'!$B124="",$AJ123,'TMP Paste'!$B124))</f>
        <v/>
      </c>
      <c r="AK124">
        <f>IF('TMP Paste'!$F124="","",N('TMP Paste'!$G124))</f>
        <v/>
      </c>
      <c r="AL124">
        <f>IF('TMP Paste'!$F124="","",IF('TMP Paste'!$M124="",$AL123,'TMP Paste'!$M124))</f>
        <v/>
      </c>
      <c r="AM124">
        <f>IF('TMP Paste'!$F124="","",IF('TMP Paste'!$N124="",$AM123,'TMP Paste'!$N124))</f>
        <v/>
      </c>
      <c r="AN124">
        <f>IF('TMP Paste'!$F124="","",IF('TMP Paste'!$O124="",$AN123,'TMP Paste'!$O124))</f>
        <v/>
      </c>
      <c r="AO124">
        <f>IF('TMP Paste'!$F124="","",IF('TMP Paste'!$P124="",$AO123,'TMP Paste'!$P124))</f>
        <v/>
      </c>
      <c r="AP124">
        <f>IF($AG124="","",LEN($R124))</f>
        <v/>
      </c>
      <c r="AQ124">
        <f>IF($AG124="","",TRIM(IF(COUNTIFS(Calc!$B$2:$B$1601,ROW()-1,Calc!$C$2:$C$1601,"&lt;1")&gt;0,"Ada PO tanpa Koli - cek TMP. ","")&amp;IF(LEN($R124)&gt;500,"R &gt; 500 karakter.","")))</f>
        <v/>
      </c>
    </row>
    <row r="125">
      <c r="A125">
        <f>IF($AG125="","",INDEX('TMP Paste'!$B$2:$B$1601,$AG125))</f>
        <v/>
      </c>
      <c r="B125">
        <f>IF($AG125="","",Config!$B$14)</f>
        <v/>
      </c>
      <c r="C125">
        <f>IF($AG125="","",Config!$B$15)</f>
        <v/>
      </c>
      <c r="D125">
        <f>IF($AG125="","",INDEX('TMP Paste'!$B$2:$B$1601,$AG125))</f>
        <v/>
      </c>
      <c r="E125">
        <f>IF($AG125="","",Config!$B$27)</f>
        <v/>
      </c>
      <c r="F125">
        <f>IF($AG125="","",Config!$B$9)</f>
        <v/>
      </c>
      <c r="G125">
        <f>IF($AG125="","",Config!$B$10)</f>
        <v/>
      </c>
      <c r="H125">
        <f>IF($AG125="","",Config!$B$11)</f>
        <v/>
      </c>
      <c r="I125">
        <f>IF($AG125="","",Config!$B$16)</f>
        <v/>
      </c>
      <c r="J125">
        <f>IF($AG125="","",INDEX('TMP Paste'!$A$2:$A$1601,$AG125))</f>
        <v/>
      </c>
      <c r="K125">
        <f>IF($AG125="","",INDEX('TMP Paste'!$L$2:$L$1601,$AG125))</f>
        <v/>
      </c>
      <c r="L125">
        <f>IF($AG125="","",INDEX('TMP Paste'!$I$2:$I$1601,$AG125))</f>
        <v/>
      </c>
      <c r="M125">
        <f>IF($AG125="","",Config!$B$16)</f>
        <v/>
      </c>
      <c r="N125">
        <f>IF($AG125="","","")</f>
        <v/>
      </c>
      <c r="O125">
        <f>IF($AG125="","",INDEX('TMP Paste'!$K$2:$K$1601,$AG125))</f>
        <v/>
      </c>
      <c r="P125">
        <f>IF($AG125="","","")</f>
        <v/>
      </c>
      <c r="Q125">
        <f>IF($AG125="","",INDEX('TMP Paste'!$J$2:$J$1601,$AG125))</f>
        <v/>
      </c>
      <c r="R125">
        <f>IF($AG125="","",Config!$B$24)</f>
        <v/>
      </c>
      <c r="S125">
        <f>IF($AG125="","",TEXT(Config!$B$4,"yyyy-mm-dd"))</f>
        <v/>
      </c>
      <c r="T125">
        <f>IF($AG125="","",Config!$B$17)</f>
        <v/>
      </c>
      <c r="U125">
        <f>IF($AG125="","",Config!$B$18)</f>
        <v/>
      </c>
      <c r="V125">
        <f>IF($AG125="","",Config!$B$19)</f>
        <v/>
      </c>
      <c r="W125">
        <f>IF($AG125="","",INDEX('TMP Paste'!$C$2:$C$1601,$AG125))</f>
        <v/>
      </c>
      <c r="X125">
        <f>IF($AG125="","",Config!$B$29)</f>
        <v/>
      </c>
      <c r="Y125">
        <f>IF($AH125="","",INDEX(Calc!$I$2:$I$1601,$AH125)&amp;" - "&amp;INDEX(Calc!$D$2:$D$1601,$AH125)&amp;" koli")</f>
        <v/>
      </c>
      <c r="Z125">
        <f>IF($AG125="","",Config!$B$21)</f>
        <v/>
      </c>
      <c r="AA125">
        <f>IF($AG125="","",Config!$B$22)</f>
        <v/>
      </c>
      <c r="AB125">
        <f>IF($AH125="","",INDEX(Calc!$D$2:$D$1601,$AH125))</f>
        <v/>
      </c>
      <c r="AC125">
        <f>IF($AH125="","",INDEX(Calc!$G$2:$G$1601,$AH125))</f>
        <v/>
      </c>
      <c r="AD125">
        <f>IF($AG125="","",Config!$B$23)</f>
        <v/>
      </c>
      <c r="AE125">
        <f>IF($AG125="","",Config!$B$28)</f>
        <v/>
      </c>
      <c r="AG125">
        <f>IFERROR(MATCH(ROW()-1,Calc!$J$2:$J$1601,0),"")</f>
        <v/>
      </c>
      <c r="AH125">
        <f>IFERROR(MATCH(ROW()-1,Calc!$K$2:$K$1601,0),"")</f>
        <v/>
      </c>
      <c r="AI125">
        <f>IF($AG125="","",SUMIF($AG$2:$AG125,$AG125,$AH$2:$AH125))</f>
        <v/>
      </c>
      <c r="AJ125">
        <f>IF('TMP Paste'!$F125="","",IF('TMP Paste'!$B125="",$AJ124,'TMP Paste'!$B125))</f>
        <v/>
      </c>
      <c r="AK125">
        <f>IF('TMP Paste'!$F125="","",N('TMP Paste'!$G125))</f>
        <v/>
      </c>
      <c r="AL125">
        <f>IF('TMP Paste'!$F125="","",IF('TMP Paste'!$M125="",$AL124,'TMP Paste'!$M125))</f>
        <v/>
      </c>
      <c r="AM125">
        <f>IF('TMP Paste'!$F125="","",IF('TMP Paste'!$N125="",$AM124,'TMP Paste'!$N125))</f>
        <v/>
      </c>
      <c r="AN125">
        <f>IF('TMP Paste'!$F125="","",IF('TMP Paste'!$O125="",$AN124,'TMP Paste'!$O125))</f>
        <v/>
      </c>
      <c r="AO125">
        <f>IF('TMP Paste'!$F125="","",IF('TMP Paste'!$P125="",$AO124,'TMP Paste'!$P125))</f>
        <v/>
      </c>
      <c r="AP125">
        <f>IF($AG125="","",LEN($R125))</f>
        <v/>
      </c>
      <c r="AQ125">
        <f>IF($AG125="","",TRIM(IF(COUNTIFS(Calc!$B$2:$B$1601,ROW()-1,Calc!$C$2:$C$1601,"&lt;1")&gt;0,"Ada PO tanpa Koli - cek TMP. ","")&amp;IF(LEN($R125)&gt;500,"R &gt; 500 karakter.","")))</f>
        <v/>
      </c>
    </row>
    <row r="126">
      <c r="A126">
        <f>IF($AG126="","",INDEX('TMP Paste'!$B$2:$B$1601,$AG126))</f>
        <v/>
      </c>
      <c r="B126">
        <f>IF($AG126="","",Config!$B$14)</f>
        <v/>
      </c>
      <c r="C126">
        <f>IF($AG126="","",Config!$B$15)</f>
        <v/>
      </c>
      <c r="D126">
        <f>IF($AG126="","",INDEX('TMP Paste'!$B$2:$B$1601,$AG126))</f>
        <v/>
      </c>
      <c r="E126">
        <f>IF($AG126="","",Config!$B$27)</f>
        <v/>
      </c>
      <c r="F126">
        <f>IF($AG126="","",Config!$B$9)</f>
        <v/>
      </c>
      <c r="G126">
        <f>IF($AG126="","",Config!$B$10)</f>
        <v/>
      </c>
      <c r="H126">
        <f>IF($AG126="","",Config!$B$11)</f>
        <v/>
      </c>
      <c r="I126">
        <f>IF($AG126="","",Config!$B$16)</f>
        <v/>
      </c>
      <c r="J126">
        <f>IF($AG126="","",INDEX('TMP Paste'!$A$2:$A$1601,$AG126))</f>
        <v/>
      </c>
      <c r="K126">
        <f>IF($AG126="","",INDEX('TMP Paste'!$L$2:$L$1601,$AG126))</f>
        <v/>
      </c>
      <c r="L126">
        <f>IF($AG126="","",INDEX('TMP Paste'!$I$2:$I$1601,$AG126))</f>
        <v/>
      </c>
      <c r="M126">
        <f>IF($AG126="","",Config!$B$16)</f>
        <v/>
      </c>
      <c r="N126">
        <f>IF($AG126="","","")</f>
        <v/>
      </c>
      <c r="O126">
        <f>IF($AG126="","",INDEX('TMP Paste'!$K$2:$K$1601,$AG126))</f>
        <v/>
      </c>
      <c r="P126">
        <f>IF($AG126="","","")</f>
        <v/>
      </c>
      <c r="Q126">
        <f>IF($AG126="","",INDEX('TMP Paste'!$J$2:$J$1601,$AG126))</f>
        <v/>
      </c>
      <c r="R126">
        <f>IF($AG126="","",Config!$B$24)</f>
        <v/>
      </c>
      <c r="S126">
        <f>IF($AG126="","",TEXT(Config!$B$4,"yyyy-mm-dd"))</f>
        <v/>
      </c>
      <c r="T126">
        <f>IF($AG126="","",Config!$B$17)</f>
        <v/>
      </c>
      <c r="U126">
        <f>IF($AG126="","",Config!$B$18)</f>
        <v/>
      </c>
      <c r="V126">
        <f>IF($AG126="","",Config!$B$19)</f>
        <v/>
      </c>
      <c r="W126">
        <f>IF($AG126="","",INDEX('TMP Paste'!$C$2:$C$1601,$AG126))</f>
        <v/>
      </c>
      <c r="X126">
        <f>IF($AG126="","",Config!$B$29)</f>
        <v/>
      </c>
      <c r="Y126">
        <f>IF($AH126="","",INDEX(Calc!$I$2:$I$1601,$AH126)&amp;" - "&amp;INDEX(Calc!$D$2:$D$1601,$AH126)&amp;" koli")</f>
        <v/>
      </c>
      <c r="Z126">
        <f>IF($AG126="","",Config!$B$21)</f>
        <v/>
      </c>
      <c r="AA126">
        <f>IF($AG126="","",Config!$B$22)</f>
        <v/>
      </c>
      <c r="AB126">
        <f>IF($AH126="","",INDEX(Calc!$D$2:$D$1601,$AH126))</f>
        <v/>
      </c>
      <c r="AC126">
        <f>IF($AH126="","",INDEX(Calc!$G$2:$G$1601,$AH126))</f>
        <v/>
      </c>
      <c r="AD126">
        <f>IF($AG126="","",Config!$B$23)</f>
        <v/>
      </c>
      <c r="AE126">
        <f>IF($AG126="","",Config!$B$28)</f>
        <v/>
      </c>
      <c r="AG126">
        <f>IFERROR(MATCH(ROW()-1,Calc!$J$2:$J$1601,0),"")</f>
        <v/>
      </c>
      <c r="AH126">
        <f>IFERROR(MATCH(ROW()-1,Calc!$K$2:$K$1601,0),"")</f>
        <v/>
      </c>
      <c r="AI126">
        <f>IF($AG126="","",SUMIF($AG$2:$AG126,$AG126,$AH$2:$AH126))</f>
        <v/>
      </c>
      <c r="AJ126">
        <f>IF('TMP Paste'!$F126="","",IF('TMP Paste'!$B126="",$AJ125,'TMP Paste'!$B126))</f>
        <v/>
      </c>
      <c r="AK126">
        <f>IF('TMP Paste'!$F126="","",N('TMP Paste'!$G126))</f>
        <v/>
      </c>
      <c r="AL126">
        <f>IF('TMP Paste'!$F126="","",IF('TMP Paste'!$M126="",$AL125,'TMP Paste'!$M126))</f>
        <v/>
      </c>
      <c r="AM126">
        <f>IF('TMP Paste'!$F126="","",IF('TMP Paste'!$N126="",$AM125,'TMP Paste'!$N126))</f>
        <v/>
      </c>
      <c r="AN126">
        <f>IF('TMP Paste'!$F126="","",IF('TMP Paste'!$O126="",$AN125,'TMP Paste'!$O126))</f>
        <v/>
      </c>
      <c r="AO126">
        <f>IF('TMP Paste'!$F126="","",IF('TMP Paste'!$P126="",$AO125,'TMP Paste'!$P126))</f>
        <v/>
      </c>
      <c r="AP126">
        <f>IF($AG126="","",LEN($R126))</f>
        <v/>
      </c>
      <c r="AQ126">
        <f>IF($AG126="","",TRIM(IF(COUNTIFS(Calc!$B$2:$B$1601,ROW()-1,Calc!$C$2:$C$1601,"&lt;1")&gt;0,"Ada PO tanpa Koli - cek TMP. ","")&amp;IF(LEN($R126)&gt;500,"R &gt; 500 karakter.","")))</f>
        <v/>
      </c>
    </row>
    <row r="127">
      <c r="A127">
        <f>IF($AG127="","",INDEX('TMP Paste'!$B$2:$B$1601,$AG127))</f>
        <v/>
      </c>
      <c r="B127">
        <f>IF($AG127="","",Config!$B$14)</f>
        <v/>
      </c>
      <c r="C127">
        <f>IF($AG127="","",Config!$B$15)</f>
        <v/>
      </c>
      <c r="D127">
        <f>IF($AG127="","",INDEX('TMP Paste'!$B$2:$B$1601,$AG127))</f>
        <v/>
      </c>
      <c r="E127">
        <f>IF($AG127="","",Config!$B$27)</f>
        <v/>
      </c>
      <c r="F127">
        <f>IF($AG127="","",Config!$B$9)</f>
        <v/>
      </c>
      <c r="G127">
        <f>IF($AG127="","",Config!$B$10)</f>
        <v/>
      </c>
      <c r="H127">
        <f>IF($AG127="","",Config!$B$11)</f>
        <v/>
      </c>
      <c r="I127">
        <f>IF($AG127="","",Config!$B$16)</f>
        <v/>
      </c>
      <c r="J127">
        <f>IF($AG127="","",INDEX('TMP Paste'!$A$2:$A$1601,$AG127))</f>
        <v/>
      </c>
      <c r="K127">
        <f>IF($AG127="","",INDEX('TMP Paste'!$L$2:$L$1601,$AG127))</f>
        <v/>
      </c>
      <c r="L127">
        <f>IF($AG127="","",INDEX('TMP Paste'!$I$2:$I$1601,$AG127))</f>
        <v/>
      </c>
      <c r="M127">
        <f>IF($AG127="","",Config!$B$16)</f>
        <v/>
      </c>
      <c r="N127">
        <f>IF($AG127="","","")</f>
        <v/>
      </c>
      <c r="O127">
        <f>IF($AG127="","",INDEX('TMP Paste'!$K$2:$K$1601,$AG127))</f>
        <v/>
      </c>
      <c r="P127">
        <f>IF($AG127="","","")</f>
        <v/>
      </c>
      <c r="Q127">
        <f>IF($AG127="","",INDEX('TMP Paste'!$J$2:$J$1601,$AG127))</f>
        <v/>
      </c>
      <c r="R127">
        <f>IF($AG127="","",Config!$B$24)</f>
        <v/>
      </c>
      <c r="S127">
        <f>IF($AG127="","",TEXT(Config!$B$4,"yyyy-mm-dd"))</f>
        <v/>
      </c>
      <c r="T127">
        <f>IF($AG127="","",Config!$B$17)</f>
        <v/>
      </c>
      <c r="U127">
        <f>IF($AG127="","",Config!$B$18)</f>
        <v/>
      </c>
      <c r="V127">
        <f>IF($AG127="","",Config!$B$19)</f>
        <v/>
      </c>
      <c r="W127">
        <f>IF($AG127="","",INDEX('TMP Paste'!$C$2:$C$1601,$AG127))</f>
        <v/>
      </c>
      <c r="X127">
        <f>IF($AG127="","",Config!$B$29)</f>
        <v/>
      </c>
      <c r="Y127">
        <f>IF($AH127="","",INDEX(Calc!$I$2:$I$1601,$AH127)&amp;" - "&amp;INDEX(Calc!$D$2:$D$1601,$AH127)&amp;" koli")</f>
        <v/>
      </c>
      <c r="Z127">
        <f>IF($AG127="","",Config!$B$21)</f>
        <v/>
      </c>
      <c r="AA127">
        <f>IF($AG127="","",Config!$B$22)</f>
        <v/>
      </c>
      <c r="AB127">
        <f>IF($AH127="","",INDEX(Calc!$D$2:$D$1601,$AH127))</f>
        <v/>
      </c>
      <c r="AC127">
        <f>IF($AH127="","",INDEX(Calc!$G$2:$G$1601,$AH127))</f>
        <v/>
      </c>
      <c r="AD127">
        <f>IF($AG127="","",Config!$B$23)</f>
        <v/>
      </c>
      <c r="AE127">
        <f>IF($AG127="","",Config!$B$28)</f>
        <v/>
      </c>
      <c r="AG127">
        <f>IFERROR(MATCH(ROW()-1,Calc!$J$2:$J$1601,0),"")</f>
        <v/>
      </c>
      <c r="AH127">
        <f>IFERROR(MATCH(ROW()-1,Calc!$K$2:$K$1601,0),"")</f>
        <v/>
      </c>
      <c r="AI127">
        <f>IF($AG127="","",SUMIF($AG$2:$AG127,$AG127,$AH$2:$AH127))</f>
        <v/>
      </c>
      <c r="AJ127">
        <f>IF('TMP Paste'!$F127="","",IF('TMP Paste'!$B127="",$AJ126,'TMP Paste'!$B127))</f>
        <v/>
      </c>
      <c r="AK127">
        <f>IF('TMP Paste'!$F127="","",N('TMP Paste'!$G127))</f>
        <v/>
      </c>
      <c r="AL127">
        <f>IF('TMP Paste'!$F127="","",IF('TMP Paste'!$M127="",$AL126,'TMP Paste'!$M127))</f>
        <v/>
      </c>
      <c r="AM127">
        <f>IF('TMP Paste'!$F127="","",IF('TMP Paste'!$N127="",$AM126,'TMP Paste'!$N127))</f>
        <v/>
      </c>
      <c r="AN127">
        <f>IF('TMP Paste'!$F127="","",IF('TMP Paste'!$O127="",$AN126,'TMP Paste'!$O127))</f>
        <v/>
      </c>
      <c r="AO127">
        <f>IF('TMP Paste'!$F127="","",IF('TMP Paste'!$P127="",$AO126,'TMP Paste'!$P127))</f>
        <v/>
      </c>
      <c r="AP127">
        <f>IF($AG127="","",LEN($R127))</f>
        <v/>
      </c>
      <c r="AQ127">
        <f>IF($AG127="","",TRIM(IF(COUNTIFS(Calc!$B$2:$B$1601,ROW()-1,Calc!$C$2:$C$1601,"&lt;1")&gt;0,"Ada PO tanpa Koli - cek TMP. ","")&amp;IF(LEN($R127)&gt;500,"R &gt; 500 karakter.","")))</f>
        <v/>
      </c>
    </row>
    <row r="128">
      <c r="A128">
        <f>IF($AG128="","",INDEX('TMP Paste'!$B$2:$B$1601,$AG128))</f>
        <v/>
      </c>
      <c r="B128">
        <f>IF($AG128="","",Config!$B$14)</f>
        <v/>
      </c>
      <c r="C128">
        <f>IF($AG128="","",Config!$B$15)</f>
        <v/>
      </c>
      <c r="D128">
        <f>IF($AG128="","",INDEX('TMP Paste'!$B$2:$B$1601,$AG128))</f>
        <v/>
      </c>
      <c r="E128">
        <f>IF($AG128="","",Config!$B$27)</f>
        <v/>
      </c>
      <c r="F128">
        <f>IF($AG128="","",Config!$B$9)</f>
        <v/>
      </c>
      <c r="G128">
        <f>IF($AG128="","",Config!$B$10)</f>
        <v/>
      </c>
      <c r="H128">
        <f>IF($AG128="","",Config!$B$11)</f>
        <v/>
      </c>
      <c r="I128">
        <f>IF($AG128="","",Config!$B$16)</f>
        <v/>
      </c>
      <c r="J128">
        <f>IF($AG128="","",INDEX('TMP Paste'!$A$2:$A$1601,$AG128))</f>
        <v/>
      </c>
      <c r="K128">
        <f>IF($AG128="","",INDEX('TMP Paste'!$L$2:$L$1601,$AG128))</f>
        <v/>
      </c>
      <c r="L128">
        <f>IF($AG128="","",INDEX('TMP Paste'!$I$2:$I$1601,$AG128))</f>
        <v/>
      </c>
      <c r="M128">
        <f>IF($AG128="","",Config!$B$16)</f>
        <v/>
      </c>
      <c r="N128">
        <f>IF($AG128="","","")</f>
        <v/>
      </c>
      <c r="O128">
        <f>IF($AG128="","",INDEX('TMP Paste'!$K$2:$K$1601,$AG128))</f>
        <v/>
      </c>
      <c r="P128">
        <f>IF($AG128="","","")</f>
        <v/>
      </c>
      <c r="Q128">
        <f>IF($AG128="","",INDEX('TMP Paste'!$J$2:$J$1601,$AG128))</f>
        <v/>
      </c>
      <c r="R128">
        <f>IF($AG128="","",Config!$B$24)</f>
        <v/>
      </c>
      <c r="S128">
        <f>IF($AG128="","",TEXT(Config!$B$4,"yyyy-mm-dd"))</f>
        <v/>
      </c>
      <c r="T128">
        <f>IF($AG128="","",Config!$B$17)</f>
        <v/>
      </c>
      <c r="U128">
        <f>IF($AG128="","",Config!$B$18)</f>
        <v/>
      </c>
      <c r="V128">
        <f>IF($AG128="","",Config!$B$19)</f>
        <v/>
      </c>
      <c r="W128">
        <f>IF($AG128="","",INDEX('TMP Paste'!$C$2:$C$1601,$AG128))</f>
        <v/>
      </c>
      <c r="X128">
        <f>IF($AG128="","",Config!$B$29)</f>
        <v/>
      </c>
      <c r="Y128">
        <f>IF($AH128="","",INDEX(Calc!$I$2:$I$1601,$AH128)&amp;" - "&amp;INDEX(Calc!$D$2:$D$1601,$AH128)&amp;" koli")</f>
        <v/>
      </c>
      <c r="Z128">
        <f>IF($AG128="","",Config!$B$21)</f>
        <v/>
      </c>
      <c r="AA128">
        <f>IF($AG128="","",Config!$B$22)</f>
        <v/>
      </c>
      <c r="AB128">
        <f>IF($AH128="","",INDEX(Calc!$D$2:$D$1601,$AH128))</f>
        <v/>
      </c>
      <c r="AC128">
        <f>IF($AH128="","",INDEX(Calc!$G$2:$G$1601,$AH128))</f>
        <v/>
      </c>
      <c r="AD128">
        <f>IF($AG128="","",Config!$B$23)</f>
        <v/>
      </c>
      <c r="AE128">
        <f>IF($AG128="","",Config!$B$28)</f>
        <v/>
      </c>
      <c r="AG128">
        <f>IFERROR(MATCH(ROW()-1,Calc!$J$2:$J$1601,0),"")</f>
        <v/>
      </c>
      <c r="AH128">
        <f>IFERROR(MATCH(ROW()-1,Calc!$K$2:$K$1601,0),"")</f>
        <v/>
      </c>
      <c r="AI128">
        <f>IF($AG128="","",SUMIF($AG$2:$AG128,$AG128,$AH$2:$AH128))</f>
        <v/>
      </c>
      <c r="AJ128">
        <f>IF('TMP Paste'!$F128="","",IF('TMP Paste'!$B128="",$AJ127,'TMP Paste'!$B128))</f>
        <v/>
      </c>
      <c r="AK128">
        <f>IF('TMP Paste'!$F128="","",N('TMP Paste'!$G128))</f>
        <v/>
      </c>
      <c r="AL128">
        <f>IF('TMP Paste'!$F128="","",IF('TMP Paste'!$M128="",$AL127,'TMP Paste'!$M128))</f>
        <v/>
      </c>
      <c r="AM128">
        <f>IF('TMP Paste'!$F128="","",IF('TMP Paste'!$N128="",$AM127,'TMP Paste'!$N128))</f>
        <v/>
      </c>
      <c r="AN128">
        <f>IF('TMP Paste'!$F128="","",IF('TMP Paste'!$O128="",$AN127,'TMP Paste'!$O128))</f>
        <v/>
      </c>
      <c r="AO128">
        <f>IF('TMP Paste'!$F128="","",IF('TMP Paste'!$P128="",$AO127,'TMP Paste'!$P128))</f>
        <v/>
      </c>
      <c r="AP128">
        <f>IF($AG128="","",LEN($R128))</f>
        <v/>
      </c>
      <c r="AQ128">
        <f>IF($AG128="","",TRIM(IF(COUNTIFS(Calc!$B$2:$B$1601,ROW()-1,Calc!$C$2:$C$1601,"&lt;1")&gt;0,"Ada PO tanpa Koli - cek TMP. ","")&amp;IF(LEN($R128)&gt;500,"R &gt; 500 karakter.","")))</f>
        <v/>
      </c>
    </row>
    <row r="129">
      <c r="A129">
        <f>IF($AG129="","",INDEX('TMP Paste'!$B$2:$B$1601,$AG129))</f>
        <v/>
      </c>
      <c r="B129">
        <f>IF($AG129="","",Config!$B$14)</f>
        <v/>
      </c>
      <c r="C129">
        <f>IF($AG129="","",Config!$B$15)</f>
        <v/>
      </c>
      <c r="D129">
        <f>IF($AG129="","",INDEX('TMP Paste'!$B$2:$B$1601,$AG129))</f>
        <v/>
      </c>
      <c r="E129">
        <f>IF($AG129="","",Config!$B$27)</f>
        <v/>
      </c>
      <c r="F129">
        <f>IF($AG129="","",Config!$B$9)</f>
        <v/>
      </c>
      <c r="G129">
        <f>IF($AG129="","",Config!$B$10)</f>
        <v/>
      </c>
      <c r="H129">
        <f>IF($AG129="","",Config!$B$11)</f>
        <v/>
      </c>
      <c r="I129">
        <f>IF($AG129="","",Config!$B$16)</f>
        <v/>
      </c>
      <c r="J129">
        <f>IF($AG129="","",INDEX('TMP Paste'!$A$2:$A$1601,$AG129))</f>
        <v/>
      </c>
      <c r="K129">
        <f>IF($AG129="","",INDEX('TMP Paste'!$L$2:$L$1601,$AG129))</f>
        <v/>
      </c>
      <c r="L129">
        <f>IF($AG129="","",INDEX('TMP Paste'!$I$2:$I$1601,$AG129))</f>
        <v/>
      </c>
      <c r="M129">
        <f>IF($AG129="","",Config!$B$16)</f>
        <v/>
      </c>
      <c r="N129">
        <f>IF($AG129="","","")</f>
        <v/>
      </c>
      <c r="O129">
        <f>IF($AG129="","",INDEX('TMP Paste'!$K$2:$K$1601,$AG129))</f>
        <v/>
      </c>
      <c r="P129">
        <f>IF($AG129="","","")</f>
        <v/>
      </c>
      <c r="Q129">
        <f>IF($AG129="","",INDEX('TMP Paste'!$J$2:$J$1601,$AG129))</f>
        <v/>
      </c>
      <c r="R129">
        <f>IF($AG129="","",Config!$B$24)</f>
        <v/>
      </c>
      <c r="S129">
        <f>IF($AG129="","",TEXT(Config!$B$4,"yyyy-mm-dd"))</f>
        <v/>
      </c>
      <c r="T129">
        <f>IF($AG129="","",Config!$B$17)</f>
        <v/>
      </c>
      <c r="U129">
        <f>IF($AG129="","",Config!$B$18)</f>
        <v/>
      </c>
      <c r="V129">
        <f>IF($AG129="","",Config!$B$19)</f>
        <v/>
      </c>
      <c r="W129">
        <f>IF($AG129="","",INDEX('TMP Paste'!$C$2:$C$1601,$AG129))</f>
        <v/>
      </c>
      <c r="X129">
        <f>IF($AG129="","",Config!$B$29)</f>
        <v/>
      </c>
      <c r="Y129">
        <f>IF($AH129="","",INDEX(Calc!$I$2:$I$1601,$AH129)&amp;" - "&amp;INDEX(Calc!$D$2:$D$1601,$AH129)&amp;" koli")</f>
        <v/>
      </c>
      <c r="Z129">
        <f>IF($AG129="","",Config!$B$21)</f>
        <v/>
      </c>
      <c r="AA129">
        <f>IF($AG129="","",Config!$B$22)</f>
        <v/>
      </c>
      <c r="AB129">
        <f>IF($AH129="","",INDEX(Calc!$D$2:$D$1601,$AH129))</f>
        <v/>
      </c>
      <c r="AC129">
        <f>IF($AH129="","",INDEX(Calc!$G$2:$G$1601,$AH129))</f>
        <v/>
      </c>
      <c r="AD129">
        <f>IF($AG129="","",Config!$B$23)</f>
        <v/>
      </c>
      <c r="AE129">
        <f>IF($AG129="","",Config!$B$28)</f>
        <v/>
      </c>
      <c r="AG129">
        <f>IFERROR(MATCH(ROW()-1,Calc!$J$2:$J$1601,0),"")</f>
        <v/>
      </c>
      <c r="AH129">
        <f>IFERROR(MATCH(ROW()-1,Calc!$K$2:$K$1601,0),"")</f>
        <v/>
      </c>
      <c r="AI129">
        <f>IF($AG129="","",SUMIF($AG$2:$AG129,$AG129,$AH$2:$AH129))</f>
        <v/>
      </c>
      <c r="AJ129">
        <f>IF('TMP Paste'!$F129="","",IF('TMP Paste'!$B129="",$AJ128,'TMP Paste'!$B129))</f>
        <v/>
      </c>
      <c r="AK129">
        <f>IF('TMP Paste'!$F129="","",N('TMP Paste'!$G129))</f>
        <v/>
      </c>
      <c r="AL129">
        <f>IF('TMP Paste'!$F129="","",IF('TMP Paste'!$M129="",$AL128,'TMP Paste'!$M129))</f>
        <v/>
      </c>
      <c r="AM129">
        <f>IF('TMP Paste'!$F129="","",IF('TMP Paste'!$N129="",$AM128,'TMP Paste'!$N129))</f>
        <v/>
      </c>
      <c r="AN129">
        <f>IF('TMP Paste'!$F129="","",IF('TMP Paste'!$O129="",$AN128,'TMP Paste'!$O129))</f>
        <v/>
      </c>
      <c r="AO129">
        <f>IF('TMP Paste'!$F129="","",IF('TMP Paste'!$P129="",$AO128,'TMP Paste'!$P129))</f>
        <v/>
      </c>
      <c r="AP129">
        <f>IF($AG129="","",LEN($R129))</f>
        <v/>
      </c>
      <c r="AQ129">
        <f>IF($AG129="","",TRIM(IF(COUNTIFS(Calc!$B$2:$B$1601,ROW()-1,Calc!$C$2:$C$1601,"&lt;1")&gt;0,"Ada PO tanpa Koli - cek TMP. ","")&amp;IF(LEN($R129)&gt;500,"R &gt; 500 karakter.","")))</f>
        <v/>
      </c>
    </row>
    <row r="130">
      <c r="A130">
        <f>IF($AG130="","",INDEX('TMP Paste'!$B$2:$B$1601,$AG130))</f>
        <v/>
      </c>
      <c r="B130">
        <f>IF($AG130="","",Config!$B$14)</f>
        <v/>
      </c>
      <c r="C130">
        <f>IF($AG130="","",Config!$B$15)</f>
        <v/>
      </c>
      <c r="D130">
        <f>IF($AG130="","",INDEX('TMP Paste'!$B$2:$B$1601,$AG130))</f>
        <v/>
      </c>
      <c r="E130">
        <f>IF($AG130="","",Config!$B$27)</f>
        <v/>
      </c>
      <c r="F130">
        <f>IF($AG130="","",Config!$B$9)</f>
        <v/>
      </c>
      <c r="G130">
        <f>IF($AG130="","",Config!$B$10)</f>
        <v/>
      </c>
      <c r="H130">
        <f>IF($AG130="","",Config!$B$11)</f>
        <v/>
      </c>
      <c r="I130">
        <f>IF($AG130="","",Config!$B$16)</f>
        <v/>
      </c>
      <c r="J130">
        <f>IF($AG130="","",INDEX('TMP Paste'!$A$2:$A$1601,$AG130))</f>
        <v/>
      </c>
      <c r="K130">
        <f>IF($AG130="","",INDEX('TMP Paste'!$L$2:$L$1601,$AG130))</f>
        <v/>
      </c>
      <c r="L130">
        <f>IF($AG130="","",INDEX('TMP Paste'!$I$2:$I$1601,$AG130))</f>
        <v/>
      </c>
      <c r="M130">
        <f>IF($AG130="","",Config!$B$16)</f>
        <v/>
      </c>
      <c r="N130">
        <f>IF($AG130="","","")</f>
        <v/>
      </c>
      <c r="O130">
        <f>IF($AG130="","",INDEX('TMP Paste'!$K$2:$K$1601,$AG130))</f>
        <v/>
      </c>
      <c r="P130">
        <f>IF($AG130="","","")</f>
        <v/>
      </c>
      <c r="Q130">
        <f>IF($AG130="","",INDEX('TMP Paste'!$J$2:$J$1601,$AG130))</f>
        <v/>
      </c>
      <c r="R130">
        <f>IF($AG130="","",Config!$B$24)</f>
        <v/>
      </c>
      <c r="S130">
        <f>IF($AG130="","",TEXT(Config!$B$4,"yyyy-mm-dd"))</f>
        <v/>
      </c>
      <c r="T130">
        <f>IF($AG130="","",Config!$B$17)</f>
        <v/>
      </c>
      <c r="U130">
        <f>IF($AG130="","",Config!$B$18)</f>
        <v/>
      </c>
      <c r="V130">
        <f>IF($AG130="","",Config!$B$19)</f>
        <v/>
      </c>
      <c r="W130">
        <f>IF($AG130="","",INDEX('TMP Paste'!$C$2:$C$1601,$AG130))</f>
        <v/>
      </c>
      <c r="X130">
        <f>IF($AG130="","",Config!$B$29)</f>
        <v/>
      </c>
      <c r="Y130">
        <f>IF($AH130="","",INDEX(Calc!$I$2:$I$1601,$AH130)&amp;" - "&amp;INDEX(Calc!$D$2:$D$1601,$AH130)&amp;" koli")</f>
        <v/>
      </c>
      <c r="Z130">
        <f>IF($AG130="","",Config!$B$21)</f>
        <v/>
      </c>
      <c r="AA130">
        <f>IF($AG130="","",Config!$B$22)</f>
        <v/>
      </c>
      <c r="AB130">
        <f>IF($AH130="","",INDEX(Calc!$D$2:$D$1601,$AH130))</f>
        <v/>
      </c>
      <c r="AC130">
        <f>IF($AH130="","",INDEX(Calc!$G$2:$G$1601,$AH130))</f>
        <v/>
      </c>
      <c r="AD130">
        <f>IF($AG130="","",Config!$B$23)</f>
        <v/>
      </c>
      <c r="AE130">
        <f>IF($AG130="","",Config!$B$28)</f>
        <v/>
      </c>
      <c r="AG130">
        <f>IFERROR(MATCH(ROW()-1,Calc!$J$2:$J$1601,0),"")</f>
        <v/>
      </c>
      <c r="AH130">
        <f>IFERROR(MATCH(ROW()-1,Calc!$K$2:$K$1601,0),"")</f>
        <v/>
      </c>
      <c r="AI130">
        <f>IF($AG130="","",SUMIF($AG$2:$AG130,$AG130,$AH$2:$AH130))</f>
        <v/>
      </c>
      <c r="AJ130">
        <f>IF('TMP Paste'!$F130="","",IF('TMP Paste'!$B130="",$AJ129,'TMP Paste'!$B130))</f>
        <v/>
      </c>
      <c r="AK130">
        <f>IF('TMP Paste'!$F130="","",N('TMP Paste'!$G130))</f>
        <v/>
      </c>
      <c r="AL130">
        <f>IF('TMP Paste'!$F130="","",IF('TMP Paste'!$M130="",$AL129,'TMP Paste'!$M130))</f>
        <v/>
      </c>
      <c r="AM130">
        <f>IF('TMP Paste'!$F130="","",IF('TMP Paste'!$N130="",$AM129,'TMP Paste'!$N130))</f>
        <v/>
      </c>
      <c r="AN130">
        <f>IF('TMP Paste'!$F130="","",IF('TMP Paste'!$O130="",$AN129,'TMP Paste'!$O130))</f>
        <v/>
      </c>
      <c r="AO130">
        <f>IF('TMP Paste'!$F130="","",IF('TMP Paste'!$P130="",$AO129,'TMP Paste'!$P130))</f>
        <v/>
      </c>
      <c r="AP130">
        <f>IF($AG130="","",LEN($R130))</f>
        <v/>
      </c>
      <c r="AQ130">
        <f>IF($AG130="","",TRIM(IF(COUNTIFS(Calc!$B$2:$B$1601,ROW()-1,Calc!$C$2:$C$1601,"&lt;1")&gt;0,"Ada PO tanpa Koli - cek TMP. ","")&amp;IF(LEN($R130)&gt;500,"R &gt; 500 karakter.","")))</f>
        <v/>
      </c>
    </row>
    <row r="131">
      <c r="A131">
        <f>IF($AG131="","",INDEX('TMP Paste'!$B$2:$B$1601,$AG131))</f>
        <v/>
      </c>
      <c r="B131">
        <f>IF($AG131="","",Config!$B$14)</f>
        <v/>
      </c>
      <c r="C131">
        <f>IF($AG131="","",Config!$B$15)</f>
        <v/>
      </c>
      <c r="D131">
        <f>IF($AG131="","",INDEX('TMP Paste'!$B$2:$B$1601,$AG131))</f>
        <v/>
      </c>
      <c r="E131">
        <f>IF($AG131="","",Config!$B$27)</f>
        <v/>
      </c>
      <c r="F131">
        <f>IF($AG131="","",Config!$B$9)</f>
        <v/>
      </c>
      <c r="G131">
        <f>IF($AG131="","",Config!$B$10)</f>
        <v/>
      </c>
      <c r="H131">
        <f>IF($AG131="","",Config!$B$11)</f>
        <v/>
      </c>
      <c r="I131">
        <f>IF($AG131="","",Config!$B$16)</f>
        <v/>
      </c>
      <c r="J131">
        <f>IF($AG131="","",INDEX('TMP Paste'!$A$2:$A$1601,$AG131))</f>
        <v/>
      </c>
      <c r="K131">
        <f>IF($AG131="","",INDEX('TMP Paste'!$L$2:$L$1601,$AG131))</f>
        <v/>
      </c>
      <c r="L131">
        <f>IF($AG131="","",INDEX('TMP Paste'!$I$2:$I$1601,$AG131))</f>
        <v/>
      </c>
      <c r="M131">
        <f>IF($AG131="","",Config!$B$16)</f>
        <v/>
      </c>
      <c r="N131">
        <f>IF($AG131="","","")</f>
        <v/>
      </c>
      <c r="O131">
        <f>IF($AG131="","",INDEX('TMP Paste'!$K$2:$K$1601,$AG131))</f>
        <v/>
      </c>
      <c r="P131">
        <f>IF($AG131="","","")</f>
        <v/>
      </c>
      <c r="Q131">
        <f>IF($AG131="","",INDEX('TMP Paste'!$J$2:$J$1601,$AG131))</f>
        <v/>
      </c>
      <c r="R131">
        <f>IF($AG131="","",Config!$B$24)</f>
        <v/>
      </c>
      <c r="S131">
        <f>IF($AG131="","",TEXT(Config!$B$4,"yyyy-mm-dd"))</f>
        <v/>
      </c>
      <c r="T131">
        <f>IF($AG131="","",Config!$B$17)</f>
        <v/>
      </c>
      <c r="U131">
        <f>IF($AG131="","",Config!$B$18)</f>
        <v/>
      </c>
      <c r="V131">
        <f>IF($AG131="","",Config!$B$19)</f>
        <v/>
      </c>
      <c r="W131">
        <f>IF($AG131="","",INDEX('TMP Paste'!$C$2:$C$1601,$AG131))</f>
        <v/>
      </c>
      <c r="X131">
        <f>IF($AG131="","",Config!$B$29)</f>
        <v/>
      </c>
      <c r="Y131">
        <f>IF($AH131="","",INDEX(Calc!$I$2:$I$1601,$AH131)&amp;" - "&amp;INDEX(Calc!$D$2:$D$1601,$AH131)&amp;" koli")</f>
        <v/>
      </c>
      <c r="Z131">
        <f>IF($AG131="","",Config!$B$21)</f>
        <v/>
      </c>
      <c r="AA131">
        <f>IF($AG131="","",Config!$B$22)</f>
        <v/>
      </c>
      <c r="AB131">
        <f>IF($AH131="","",INDEX(Calc!$D$2:$D$1601,$AH131))</f>
        <v/>
      </c>
      <c r="AC131">
        <f>IF($AH131="","",INDEX(Calc!$G$2:$G$1601,$AH131))</f>
        <v/>
      </c>
      <c r="AD131">
        <f>IF($AG131="","",Config!$B$23)</f>
        <v/>
      </c>
      <c r="AE131">
        <f>IF($AG131="","",Config!$B$28)</f>
        <v/>
      </c>
      <c r="AG131">
        <f>IFERROR(MATCH(ROW()-1,Calc!$J$2:$J$1601,0),"")</f>
        <v/>
      </c>
      <c r="AH131">
        <f>IFERROR(MATCH(ROW()-1,Calc!$K$2:$K$1601,0),"")</f>
        <v/>
      </c>
      <c r="AI131">
        <f>IF($AG131="","",SUMIF($AG$2:$AG131,$AG131,$AH$2:$AH131))</f>
        <v/>
      </c>
      <c r="AJ131">
        <f>IF('TMP Paste'!$F131="","",IF('TMP Paste'!$B131="",$AJ130,'TMP Paste'!$B131))</f>
        <v/>
      </c>
      <c r="AK131">
        <f>IF('TMP Paste'!$F131="","",N('TMP Paste'!$G131))</f>
        <v/>
      </c>
      <c r="AL131">
        <f>IF('TMP Paste'!$F131="","",IF('TMP Paste'!$M131="",$AL130,'TMP Paste'!$M131))</f>
        <v/>
      </c>
      <c r="AM131">
        <f>IF('TMP Paste'!$F131="","",IF('TMP Paste'!$N131="",$AM130,'TMP Paste'!$N131))</f>
        <v/>
      </c>
      <c r="AN131">
        <f>IF('TMP Paste'!$F131="","",IF('TMP Paste'!$O131="",$AN130,'TMP Paste'!$O131))</f>
        <v/>
      </c>
      <c r="AO131">
        <f>IF('TMP Paste'!$F131="","",IF('TMP Paste'!$P131="",$AO130,'TMP Paste'!$P131))</f>
        <v/>
      </c>
      <c r="AP131">
        <f>IF($AG131="","",LEN($R131))</f>
        <v/>
      </c>
      <c r="AQ131">
        <f>IF($AG131="","",TRIM(IF(COUNTIFS(Calc!$B$2:$B$1601,ROW()-1,Calc!$C$2:$C$1601,"&lt;1")&gt;0,"Ada PO tanpa Koli - cek TMP. ","")&amp;IF(LEN($R131)&gt;500,"R &gt; 500 karakter.","")))</f>
        <v/>
      </c>
    </row>
    <row r="132">
      <c r="A132">
        <f>IF($AG132="","",INDEX('TMP Paste'!$B$2:$B$1601,$AG132))</f>
        <v/>
      </c>
      <c r="B132">
        <f>IF($AG132="","",Config!$B$14)</f>
        <v/>
      </c>
      <c r="C132">
        <f>IF($AG132="","",Config!$B$15)</f>
        <v/>
      </c>
      <c r="D132">
        <f>IF($AG132="","",INDEX('TMP Paste'!$B$2:$B$1601,$AG132))</f>
        <v/>
      </c>
      <c r="E132">
        <f>IF($AG132="","",Config!$B$27)</f>
        <v/>
      </c>
      <c r="F132">
        <f>IF($AG132="","",Config!$B$9)</f>
        <v/>
      </c>
      <c r="G132">
        <f>IF($AG132="","",Config!$B$10)</f>
        <v/>
      </c>
      <c r="H132">
        <f>IF($AG132="","",Config!$B$11)</f>
        <v/>
      </c>
      <c r="I132">
        <f>IF($AG132="","",Config!$B$16)</f>
        <v/>
      </c>
      <c r="J132">
        <f>IF($AG132="","",INDEX('TMP Paste'!$A$2:$A$1601,$AG132))</f>
        <v/>
      </c>
      <c r="K132">
        <f>IF($AG132="","",INDEX('TMP Paste'!$L$2:$L$1601,$AG132))</f>
        <v/>
      </c>
      <c r="L132">
        <f>IF($AG132="","",INDEX('TMP Paste'!$I$2:$I$1601,$AG132))</f>
        <v/>
      </c>
      <c r="M132">
        <f>IF($AG132="","",Config!$B$16)</f>
        <v/>
      </c>
      <c r="N132">
        <f>IF($AG132="","","")</f>
        <v/>
      </c>
      <c r="O132">
        <f>IF($AG132="","",INDEX('TMP Paste'!$K$2:$K$1601,$AG132))</f>
        <v/>
      </c>
      <c r="P132">
        <f>IF($AG132="","","")</f>
        <v/>
      </c>
      <c r="Q132">
        <f>IF($AG132="","",INDEX('TMP Paste'!$J$2:$J$1601,$AG132))</f>
        <v/>
      </c>
      <c r="R132">
        <f>IF($AG132="","",Config!$B$24)</f>
        <v/>
      </c>
      <c r="S132">
        <f>IF($AG132="","",TEXT(Config!$B$4,"yyyy-mm-dd"))</f>
        <v/>
      </c>
      <c r="T132">
        <f>IF($AG132="","",Config!$B$17)</f>
        <v/>
      </c>
      <c r="U132">
        <f>IF($AG132="","",Config!$B$18)</f>
        <v/>
      </c>
      <c r="V132">
        <f>IF($AG132="","",Config!$B$19)</f>
        <v/>
      </c>
      <c r="W132">
        <f>IF($AG132="","",INDEX('TMP Paste'!$C$2:$C$1601,$AG132))</f>
        <v/>
      </c>
      <c r="X132">
        <f>IF($AG132="","",Config!$B$29)</f>
        <v/>
      </c>
      <c r="Y132">
        <f>IF($AH132="","",INDEX(Calc!$I$2:$I$1601,$AH132)&amp;" - "&amp;INDEX(Calc!$D$2:$D$1601,$AH132)&amp;" koli")</f>
        <v/>
      </c>
      <c r="Z132">
        <f>IF($AG132="","",Config!$B$21)</f>
        <v/>
      </c>
      <c r="AA132">
        <f>IF($AG132="","",Config!$B$22)</f>
        <v/>
      </c>
      <c r="AB132">
        <f>IF($AH132="","",INDEX(Calc!$D$2:$D$1601,$AH132))</f>
        <v/>
      </c>
      <c r="AC132">
        <f>IF($AH132="","",INDEX(Calc!$G$2:$G$1601,$AH132))</f>
        <v/>
      </c>
      <c r="AD132">
        <f>IF($AG132="","",Config!$B$23)</f>
        <v/>
      </c>
      <c r="AE132">
        <f>IF($AG132="","",Config!$B$28)</f>
        <v/>
      </c>
      <c r="AG132">
        <f>IFERROR(MATCH(ROW()-1,Calc!$J$2:$J$1601,0),"")</f>
        <v/>
      </c>
      <c r="AH132">
        <f>IFERROR(MATCH(ROW()-1,Calc!$K$2:$K$1601,0),"")</f>
        <v/>
      </c>
      <c r="AI132">
        <f>IF($AG132="","",SUMIF($AG$2:$AG132,$AG132,$AH$2:$AH132))</f>
        <v/>
      </c>
      <c r="AJ132">
        <f>IF('TMP Paste'!$F132="","",IF('TMP Paste'!$B132="",$AJ131,'TMP Paste'!$B132))</f>
        <v/>
      </c>
      <c r="AK132">
        <f>IF('TMP Paste'!$F132="","",N('TMP Paste'!$G132))</f>
        <v/>
      </c>
      <c r="AL132">
        <f>IF('TMP Paste'!$F132="","",IF('TMP Paste'!$M132="",$AL131,'TMP Paste'!$M132))</f>
        <v/>
      </c>
      <c r="AM132">
        <f>IF('TMP Paste'!$F132="","",IF('TMP Paste'!$N132="",$AM131,'TMP Paste'!$N132))</f>
        <v/>
      </c>
      <c r="AN132">
        <f>IF('TMP Paste'!$F132="","",IF('TMP Paste'!$O132="",$AN131,'TMP Paste'!$O132))</f>
        <v/>
      </c>
      <c r="AO132">
        <f>IF('TMP Paste'!$F132="","",IF('TMP Paste'!$P132="",$AO131,'TMP Paste'!$P132))</f>
        <v/>
      </c>
      <c r="AP132">
        <f>IF($AG132="","",LEN($R132))</f>
        <v/>
      </c>
      <c r="AQ132">
        <f>IF($AG132="","",TRIM(IF(COUNTIFS(Calc!$B$2:$B$1601,ROW()-1,Calc!$C$2:$C$1601,"&lt;1")&gt;0,"Ada PO tanpa Koli - cek TMP. ","")&amp;IF(LEN($R132)&gt;500,"R &gt; 500 karakter.","")))</f>
        <v/>
      </c>
    </row>
    <row r="133">
      <c r="A133">
        <f>IF($AG133="","",INDEX('TMP Paste'!$B$2:$B$1601,$AG133))</f>
        <v/>
      </c>
      <c r="B133">
        <f>IF($AG133="","",Config!$B$14)</f>
        <v/>
      </c>
      <c r="C133">
        <f>IF($AG133="","",Config!$B$15)</f>
        <v/>
      </c>
      <c r="D133">
        <f>IF($AG133="","",INDEX('TMP Paste'!$B$2:$B$1601,$AG133))</f>
        <v/>
      </c>
      <c r="E133">
        <f>IF($AG133="","",Config!$B$27)</f>
        <v/>
      </c>
      <c r="F133">
        <f>IF($AG133="","",Config!$B$9)</f>
        <v/>
      </c>
      <c r="G133">
        <f>IF($AG133="","",Config!$B$10)</f>
        <v/>
      </c>
      <c r="H133">
        <f>IF($AG133="","",Config!$B$11)</f>
        <v/>
      </c>
      <c r="I133">
        <f>IF($AG133="","",Config!$B$16)</f>
        <v/>
      </c>
      <c r="J133">
        <f>IF($AG133="","",INDEX('TMP Paste'!$A$2:$A$1601,$AG133))</f>
        <v/>
      </c>
      <c r="K133">
        <f>IF($AG133="","",INDEX('TMP Paste'!$L$2:$L$1601,$AG133))</f>
        <v/>
      </c>
      <c r="L133">
        <f>IF($AG133="","",INDEX('TMP Paste'!$I$2:$I$1601,$AG133))</f>
        <v/>
      </c>
      <c r="M133">
        <f>IF($AG133="","",Config!$B$16)</f>
        <v/>
      </c>
      <c r="N133">
        <f>IF($AG133="","","")</f>
        <v/>
      </c>
      <c r="O133">
        <f>IF($AG133="","",INDEX('TMP Paste'!$K$2:$K$1601,$AG133))</f>
        <v/>
      </c>
      <c r="P133">
        <f>IF($AG133="","","")</f>
        <v/>
      </c>
      <c r="Q133">
        <f>IF($AG133="","",INDEX('TMP Paste'!$J$2:$J$1601,$AG133))</f>
        <v/>
      </c>
      <c r="R133">
        <f>IF($AG133="","",Config!$B$24)</f>
        <v/>
      </c>
      <c r="S133">
        <f>IF($AG133="","",TEXT(Config!$B$4,"yyyy-mm-dd"))</f>
        <v/>
      </c>
      <c r="T133">
        <f>IF($AG133="","",Config!$B$17)</f>
        <v/>
      </c>
      <c r="U133">
        <f>IF($AG133="","",Config!$B$18)</f>
        <v/>
      </c>
      <c r="V133">
        <f>IF($AG133="","",Config!$B$19)</f>
        <v/>
      </c>
      <c r="W133">
        <f>IF($AG133="","",INDEX('TMP Paste'!$C$2:$C$1601,$AG133))</f>
        <v/>
      </c>
      <c r="X133">
        <f>IF($AG133="","",Config!$B$29)</f>
        <v/>
      </c>
      <c r="Y133">
        <f>IF($AH133="","",INDEX(Calc!$I$2:$I$1601,$AH133)&amp;" - "&amp;INDEX(Calc!$D$2:$D$1601,$AH133)&amp;" koli")</f>
        <v/>
      </c>
      <c r="Z133">
        <f>IF($AG133="","",Config!$B$21)</f>
        <v/>
      </c>
      <c r="AA133">
        <f>IF($AG133="","",Config!$B$22)</f>
        <v/>
      </c>
      <c r="AB133">
        <f>IF($AH133="","",INDEX(Calc!$D$2:$D$1601,$AH133))</f>
        <v/>
      </c>
      <c r="AC133">
        <f>IF($AH133="","",INDEX(Calc!$G$2:$G$1601,$AH133))</f>
        <v/>
      </c>
      <c r="AD133">
        <f>IF($AG133="","",Config!$B$23)</f>
        <v/>
      </c>
      <c r="AE133">
        <f>IF($AG133="","",Config!$B$28)</f>
        <v/>
      </c>
      <c r="AG133">
        <f>IFERROR(MATCH(ROW()-1,Calc!$J$2:$J$1601,0),"")</f>
        <v/>
      </c>
      <c r="AH133">
        <f>IFERROR(MATCH(ROW()-1,Calc!$K$2:$K$1601,0),"")</f>
        <v/>
      </c>
      <c r="AI133">
        <f>IF($AG133="","",SUMIF($AG$2:$AG133,$AG133,$AH$2:$AH133))</f>
        <v/>
      </c>
      <c r="AJ133">
        <f>IF('TMP Paste'!$F133="","",IF('TMP Paste'!$B133="",$AJ132,'TMP Paste'!$B133))</f>
        <v/>
      </c>
      <c r="AK133">
        <f>IF('TMP Paste'!$F133="","",N('TMP Paste'!$G133))</f>
        <v/>
      </c>
      <c r="AL133">
        <f>IF('TMP Paste'!$F133="","",IF('TMP Paste'!$M133="",$AL132,'TMP Paste'!$M133))</f>
        <v/>
      </c>
      <c r="AM133">
        <f>IF('TMP Paste'!$F133="","",IF('TMP Paste'!$N133="",$AM132,'TMP Paste'!$N133))</f>
        <v/>
      </c>
      <c r="AN133">
        <f>IF('TMP Paste'!$F133="","",IF('TMP Paste'!$O133="",$AN132,'TMP Paste'!$O133))</f>
        <v/>
      </c>
      <c r="AO133">
        <f>IF('TMP Paste'!$F133="","",IF('TMP Paste'!$P133="",$AO132,'TMP Paste'!$P133))</f>
        <v/>
      </c>
      <c r="AP133">
        <f>IF($AG133="","",LEN($R133))</f>
        <v/>
      </c>
      <c r="AQ133">
        <f>IF($AG133="","",TRIM(IF(COUNTIFS(Calc!$B$2:$B$1601,ROW()-1,Calc!$C$2:$C$1601,"&lt;1")&gt;0,"Ada PO tanpa Koli - cek TMP. ","")&amp;IF(LEN($R133)&gt;500,"R &gt; 500 karakter.","")))</f>
        <v/>
      </c>
    </row>
    <row r="134">
      <c r="A134">
        <f>IF($AG134="","",INDEX('TMP Paste'!$B$2:$B$1601,$AG134))</f>
        <v/>
      </c>
      <c r="B134">
        <f>IF($AG134="","",Config!$B$14)</f>
        <v/>
      </c>
      <c r="C134">
        <f>IF($AG134="","",Config!$B$15)</f>
        <v/>
      </c>
      <c r="D134">
        <f>IF($AG134="","",INDEX('TMP Paste'!$B$2:$B$1601,$AG134))</f>
        <v/>
      </c>
      <c r="E134">
        <f>IF($AG134="","",Config!$B$27)</f>
        <v/>
      </c>
      <c r="F134">
        <f>IF($AG134="","",Config!$B$9)</f>
        <v/>
      </c>
      <c r="G134">
        <f>IF($AG134="","",Config!$B$10)</f>
        <v/>
      </c>
      <c r="H134">
        <f>IF($AG134="","",Config!$B$11)</f>
        <v/>
      </c>
      <c r="I134">
        <f>IF($AG134="","",Config!$B$16)</f>
        <v/>
      </c>
      <c r="J134">
        <f>IF($AG134="","",INDEX('TMP Paste'!$A$2:$A$1601,$AG134))</f>
        <v/>
      </c>
      <c r="K134">
        <f>IF($AG134="","",INDEX('TMP Paste'!$L$2:$L$1601,$AG134))</f>
        <v/>
      </c>
      <c r="L134">
        <f>IF($AG134="","",INDEX('TMP Paste'!$I$2:$I$1601,$AG134))</f>
        <v/>
      </c>
      <c r="M134">
        <f>IF($AG134="","",Config!$B$16)</f>
        <v/>
      </c>
      <c r="N134">
        <f>IF($AG134="","","")</f>
        <v/>
      </c>
      <c r="O134">
        <f>IF($AG134="","",INDEX('TMP Paste'!$K$2:$K$1601,$AG134))</f>
        <v/>
      </c>
      <c r="P134">
        <f>IF($AG134="","","")</f>
        <v/>
      </c>
      <c r="Q134">
        <f>IF($AG134="","",INDEX('TMP Paste'!$J$2:$J$1601,$AG134))</f>
        <v/>
      </c>
      <c r="R134">
        <f>IF($AG134="","",Config!$B$24)</f>
        <v/>
      </c>
      <c r="S134">
        <f>IF($AG134="","",TEXT(Config!$B$4,"yyyy-mm-dd"))</f>
        <v/>
      </c>
      <c r="T134">
        <f>IF($AG134="","",Config!$B$17)</f>
        <v/>
      </c>
      <c r="U134">
        <f>IF($AG134="","",Config!$B$18)</f>
        <v/>
      </c>
      <c r="V134">
        <f>IF($AG134="","",Config!$B$19)</f>
        <v/>
      </c>
      <c r="W134">
        <f>IF($AG134="","",INDEX('TMP Paste'!$C$2:$C$1601,$AG134))</f>
        <v/>
      </c>
      <c r="X134">
        <f>IF($AG134="","",Config!$B$29)</f>
        <v/>
      </c>
      <c r="Y134">
        <f>IF($AH134="","",INDEX(Calc!$I$2:$I$1601,$AH134)&amp;" - "&amp;INDEX(Calc!$D$2:$D$1601,$AH134)&amp;" koli")</f>
        <v/>
      </c>
      <c r="Z134">
        <f>IF($AG134="","",Config!$B$21)</f>
        <v/>
      </c>
      <c r="AA134">
        <f>IF($AG134="","",Config!$B$22)</f>
        <v/>
      </c>
      <c r="AB134">
        <f>IF($AH134="","",INDEX(Calc!$D$2:$D$1601,$AH134))</f>
        <v/>
      </c>
      <c r="AC134">
        <f>IF($AH134="","",INDEX(Calc!$G$2:$G$1601,$AH134))</f>
        <v/>
      </c>
      <c r="AD134">
        <f>IF($AG134="","",Config!$B$23)</f>
        <v/>
      </c>
      <c r="AE134">
        <f>IF($AG134="","",Config!$B$28)</f>
        <v/>
      </c>
      <c r="AG134">
        <f>IFERROR(MATCH(ROW()-1,Calc!$J$2:$J$1601,0),"")</f>
        <v/>
      </c>
      <c r="AH134">
        <f>IFERROR(MATCH(ROW()-1,Calc!$K$2:$K$1601,0),"")</f>
        <v/>
      </c>
      <c r="AI134">
        <f>IF($AG134="","",SUMIF($AG$2:$AG134,$AG134,$AH$2:$AH134))</f>
        <v/>
      </c>
      <c r="AJ134">
        <f>IF('TMP Paste'!$F134="","",IF('TMP Paste'!$B134="",$AJ133,'TMP Paste'!$B134))</f>
        <v/>
      </c>
      <c r="AK134">
        <f>IF('TMP Paste'!$F134="","",N('TMP Paste'!$G134))</f>
        <v/>
      </c>
      <c r="AL134">
        <f>IF('TMP Paste'!$F134="","",IF('TMP Paste'!$M134="",$AL133,'TMP Paste'!$M134))</f>
        <v/>
      </c>
      <c r="AM134">
        <f>IF('TMP Paste'!$F134="","",IF('TMP Paste'!$N134="",$AM133,'TMP Paste'!$N134))</f>
        <v/>
      </c>
      <c r="AN134">
        <f>IF('TMP Paste'!$F134="","",IF('TMP Paste'!$O134="",$AN133,'TMP Paste'!$O134))</f>
        <v/>
      </c>
      <c r="AO134">
        <f>IF('TMP Paste'!$F134="","",IF('TMP Paste'!$P134="",$AO133,'TMP Paste'!$P134))</f>
        <v/>
      </c>
      <c r="AP134">
        <f>IF($AG134="","",LEN($R134))</f>
        <v/>
      </c>
      <c r="AQ134">
        <f>IF($AG134="","",TRIM(IF(COUNTIFS(Calc!$B$2:$B$1601,ROW()-1,Calc!$C$2:$C$1601,"&lt;1")&gt;0,"Ada PO tanpa Koli - cek TMP. ","")&amp;IF(LEN($R134)&gt;500,"R &gt; 500 karakter.","")))</f>
        <v/>
      </c>
    </row>
    <row r="135">
      <c r="A135">
        <f>IF($AG135="","",INDEX('TMP Paste'!$B$2:$B$1601,$AG135))</f>
        <v/>
      </c>
      <c r="B135">
        <f>IF($AG135="","",Config!$B$14)</f>
        <v/>
      </c>
      <c r="C135">
        <f>IF($AG135="","",Config!$B$15)</f>
        <v/>
      </c>
      <c r="D135">
        <f>IF($AG135="","",INDEX('TMP Paste'!$B$2:$B$1601,$AG135))</f>
        <v/>
      </c>
      <c r="E135">
        <f>IF($AG135="","",Config!$B$27)</f>
        <v/>
      </c>
      <c r="F135">
        <f>IF($AG135="","",Config!$B$9)</f>
        <v/>
      </c>
      <c r="G135">
        <f>IF($AG135="","",Config!$B$10)</f>
        <v/>
      </c>
      <c r="H135">
        <f>IF($AG135="","",Config!$B$11)</f>
        <v/>
      </c>
      <c r="I135">
        <f>IF($AG135="","",Config!$B$16)</f>
        <v/>
      </c>
      <c r="J135">
        <f>IF($AG135="","",INDEX('TMP Paste'!$A$2:$A$1601,$AG135))</f>
        <v/>
      </c>
      <c r="K135">
        <f>IF($AG135="","",INDEX('TMP Paste'!$L$2:$L$1601,$AG135))</f>
        <v/>
      </c>
      <c r="L135">
        <f>IF($AG135="","",INDEX('TMP Paste'!$I$2:$I$1601,$AG135))</f>
        <v/>
      </c>
      <c r="M135">
        <f>IF($AG135="","",Config!$B$16)</f>
        <v/>
      </c>
      <c r="N135">
        <f>IF($AG135="","","")</f>
        <v/>
      </c>
      <c r="O135">
        <f>IF($AG135="","",INDEX('TMP Paste'!$K$2:$K$1601,$AG135))</f>
        <v/>
      </c>
      <c r="P135">
        <f>IF($AG135="","","")</f>
        <v/>
      </c>
      <c r="Q135">
        <f>IF($AG135="","",INDEX('TMP Paste'!$J$2:$J$1601,$AG135))</f>
        <v/>
      </c>
      <c r="R135">
        <f>IF($AG135="","",Config!$B$24)</f>
        <v/>
      </c>
      <c r="S135">
        <f>IF($AG135="","",TEXT(Config!$B$4,"yyyy-mm-dd"))</f>
        <v/>
      </c>
      <c r="T135">
        <f>IF($AG135="","",Config!$B$17)</f>
        <v/>
      </c>
      <c r="U135">
        <f>IF($AG135="","",Config!$B$18)</f>
        <v/>
      </c>
      <c r="V135">
        <f>IF($AG135="","",Config!$B$19)</f>
        <v/>
      </c>
      <c r="W135">
        <f>IF($AG135="","",INDEX('TMP Paste'!$C$2:$C$1601,$AG135))</f>
        <v/>
      </c>
      <c r="X135">
        <f>IF($AG135="","",Config!$B$29)</f>
        <v/>
      </c>
      <c r="Y135">
        <f>IF($AH135="","",INDEX(Calc!$I$2:$I$1601,$AH135)&amp;" - "&amp;INDEX(Calc!$D$2:$D$1601,$AH135)&amp;" koli")</f>
        <v/>
      </c>
      <c r="Z135">
        <f>IF($AG135="","",Config!$B$21)</f>
        <v/>
      </c>
      <c r="AA135">
        <f>IF($AG135="","",Config!$B$22)</f>
        <v/>
      </c>
      <c r="AB135">
        <f>IF($AH135="","",INDEX(Calc!$D$2:$D$1601,$AH135))</f>
        <v/>
      </c>
      <c r="AC135">
        <f>IF($AH135="","",INDEX(Calc!$G$2:$G$1601,$AH135))</f>
        <v/>
      </c>
      <c r="AD135">
        <f>IF($AG135="","",Config!$B$23)</f>
        <v/>
      </c>
      <c r="AE135">
        <f>IF($AG135="","",Config!$B$28)</f>
        <v/>
      </c>
      <c r="AG135">
        <f>IFERROR(MATCH(ROW()-1,Calc!$J$2:$J$1601,0),"")</f>
        <v/>
      </c>
      <c r="AH135">
        <f>IFERROR(MATCH(ROW()-1,Calc!$K$2:$K$1601,0),"")</f>
        <v/>
      </c>
      <c r="AI135">
        <f>IF($AG135="","",SUMIF($AG$2:$AG135,$AG135,$AH$2:$AH135))</f>
        <v/>
      </c>
      <c r="AJ135">
        <f>IF('TMP Paste'!$F135="","",IF('TMP Paste'!$B135="",$AJ134,'TMP Paste'!$B135))</f>
        <v/>
      </c>
      <c r="AK135">
        <f>IF('TMP Paste'!$F135="","",N('TMP Paste'!$G135))</f>
        <v/>
      </c>
      <c r="AL135">
        <f>IF('TMP Paste'!$F135="","",IF('TMP Paste'!$M135="",$AL134,'TMP Paste'!$M135))</f>
        <v/>
      </c>
      <c r="AM135">
        <f>IF('TMP Paste'!$F135="","",IF('TMP Paste'!$N135="",$AM134,'TMP Paste'!$N135))</f>
        <v/>
      </c>
      <c r="AN135">
        <f>IF('TMP Paste'!$F135="","",IF('TMP Paste'!$O135="",$AN134,'TMP Paste'!$O135))</f>
        <v/>
      </c>
      <c r="AO135">
        <f>IF('TMP Paste'!$F135="","",IF('TMP Paste'!$P135="",$AO134,'TMP Paste'!$P135))</f>
        <v/>
      </c>
      <c r="AP135">
        <f>IF($AG135="","",LEN($R135))</f>
        <v/>
      </c>
      <c r="AQ135">
        <f>IF($AG135="","",TRIM(IF(COUNTIFS(Calc!$B$2:$B$1601,ROW()-1,Calc!$C$2:$C$1601,"&lt;1")&gt;0,"Ada PO tanpa Koli - cek TMP. ","")&amp;IF(LEN($R135)&gt;500,"R &gt; 500 karakter.","")))</f>
        <v/>
      </c>
    </row>
    <row r="136">
      <c r="A136">
        <f>IF($AG136="","",INDEX('TMP Paste'!$B$2:$B$1601,$AG136))</f>
        <v/>
      </c>
      <c r="B136">
        <f>IF($AG136="","",Config!$B$14)</f>
        <v/>
      </c>
      <c r="C136">
        <f>IF($AG136="","",Config!$B$15)</f>
        <v/>
      </c>
      <c r="D136">
        <f>IF($AG136="","",INDEX('TMP Paste'!$B$2:$B$1601,$AG136))</f>
        <v/>
      </c>
      <c r="E136">
        <f>IF($AG136="","",Config!$B$27)</f>
        <v/>
      </c>
      <c r="F136">
        <f>IF($AG136="","",Config!$B$9)</f>
        <v/>
      </c>
      <c r="G136">
        <f>IF($AG136="","",Config!$B$10)</f>
        <v/>
      </c>
      <c r="H136">
        <f>IF($AG136="","",Config!$B$11)</f>
        <v/>
      </c>
      <c r="I136">
        <f>IF($AG136="","",Config!$B$16)</f>
        <v/>
      </c>
      <c r="J136">
        <f>IF($AG136="","",INDEX('TMP Paste'!$A$2:$A$1601,$AG136))</f>
        <v/>
      </c>
      <c r="K136">
        <f>IF($AG136="","",INDEX('TMP Paste'!$L$2:$L$1601,$AG136))</f>
        <v/>
      </c>
      <c r="L136">
        <f>IF($AG136="","",INDEX('TMP Paste'!$I$2:$I$1601,$AG136))</f>
        <v/>
      </c>
      <c r="M136">
        <f>IF($AG136="","",Config!$B$16)</f>
        <v/>
      </c>
      <c r="N136">
        <f>IF($AG136="","","")</f>
        <v/>
      </c>
      <c r="O136">
        <f>IF($AG136="","",INDEX('TMP Paste'!$K$2:$K$1601,$AG136))</f>
        <v/>
      </c>
      <c r="P136">
        <f>IF($AG136="","","")</f>
        <v/>
      </c>
      <c r="Q136">
        <f>IF($AG136="","",INDEX('TMP Paste'!$J$2:$J$1601,$AG136))</f>
        <v/>
      </c>
      <c r="R136">
        <f>IF($AG136="","",Config!$B$24)</f>
        <v/>
      </c>
      <c r="S136">
        <f>IF($AG136="","",TEXT(Config!$B$4,"yyyy-mm-dd"))</f>
        <v/>
      </c>
      <c r="T136">
        <f>IF($AG136="","",Config!$B$17)</f>
        <v/>
      </c>
      <c r="U136">
        <f>IF($AG136="","",Config!$B$18)</f>
        <v/>
      </c>
      <c r="V136">
        <f>IF($AG136="","",Config!$B$19)</f>
        <v/>
      </c>
      <c r="W136">
        <f>IF($AG136="","",INDEX('TMP Paste'!$C$2:$C$1601,$AG136))</f>
        <v/>
      </c>
      <c r="X136">
        <f>IF($AG136="","",Config!$B$29)</f>
        <v/>
      </c>
      <c r="Y136">
        <f>IF($AH136="","",INDEX(Calc!$I$2:$I$1601,$AH136)&amp;" - "&amp;INDEX(Calc!$D$2:$D$1601,$AH136)&amp;" koli")</f>
        <v/>
      </c>
      <c r="Z136">
        <f>IF($AG136="","",Config!$B$21)</f>
        <v/>
      </c>
      <c r="AA136">
        <f>IF($AG136="","",Config!$B$22)</f>
        <v/>
      </c>
      <c r="AB136">
        <f>IF($AH136="","",INDEX(Calc!$D$2:$D$1601,$AH136))</f>
        <v/>
      </c>
      <c r="AC136">
        <f>IF($AH136="","",INDEX(Calc!$G$2:$G$1601,$AH136))</f>
        <v/>
      </c>
      <c r="AD136">
        <f>IF($AG136="","",Config!$B$23)</f>
        <v/>
      </c>
      <c r="AE136">
        <f>IF($AG136="","",Config!$B$28)</f>
        <v/>
      </c>
      <c r="AG136">
        <f>IFERROR(MATCH(ROW()-1,Calc!$J$2:$J$1601,0),"")</f>
        <v/>
      </c>
      <c r="AH136">
        <f>IFERROR(MATCH(ROW()-1,Calc!$K$2:$K$1601,0),"")</f>
        <v/>
      </c>
      <c r="AI136">
        <f>IF($AG136="","",SUMIF($AG$2:$AG136,$AG136,$AH$2:$AH136))</f>
        <v/>
      </c>
      <c r="AJ136">
        <f>IF('TMP Paste'!$F136="","",IF('TMP Paste'!$B136="",$AJ135,'TMP Paste'!$B136))</f>
        <v/>
      </c>
      <c r="AK136">
        <f>IF('TMP Paste'!$F136="","",N('TMP Paste'!$G136))</f>
        <v/>
      </c>
      <c r="AL136">
        <f>IF('TMP Paste'!$F136="","",IF('TMP Paste'!$M136="",$AL135,'TMP Paste'!$M136))</f>
        <v/>
      </c>
      <c r="AM136">
        <f>IF('TMP Paste'!$F136="","",IF('TMP Paste'!$N136="",$AM135,'TMP Paste'!$N136))</f>
        <v/>
      </c>
      <c r="AN136">
        <f>IF('TMP Paste'!$F136="","",IF('TMP Paste'!$O136="",$AN135,'TMP Paste'!$O136))</f>
        <v/>
      </c>
      <c r="AO136">
        <f>IF('TMP Paste'!$F136="","",IF('TMP Paste'!$P136="",$AO135,'TMP Paste'!$P136))</f>
        <v/>
      </c>
      <c r="AP136">
        <f>IF($AG136="","",LEN($R136))</f>
        <v/>
      </c>
      <c r="AQ136">
        <f>IF($AG136="","",TRIM(IF(COUNTIFS(Calc!$B$2:$B$1601,ROW()-1,Calc!$C$2:$C$1601,"&lt;1")&gt;0,"Ada PO tanpa Koli - cek TMP. ","")&amp;IF(LEN($R136)&gt;500,"R &gt; 500 karakter.","")))</f>
        <v/>
      </c>
    </row>
    <row r="137">
      <c r="A137">
        <f>IF($AG137="","",INDEX('TMP Paste'!$B$2:$B$1601,$AG137))</f>
        <v/>
      </c>
      <c r="B137">
        <f>IF($AG137="","",Config!$B$14)</f>
        <v/>
      </c>
      <c r="C137">
        <f>IF($AG137="","",Config!$B$15)</f>
        <v/>
      </c>
      <c r="D137">
        <f>IF($AG137="","",INDEX('TMP Paste'!$B$2:$B$1601,$AG137))</f>
        <v/>
      </c>
      <c r="E137">
        <f>IF($AG137="","",Config!$B$27)</f>
        <v/>
      </c>
      <c r="F137">
        <f>IF($AG137="","",Config!$B$9)</f>
        <v/>
      </c>
      <c r="G137">
        <f>IF($AG137="","",Config!$B$10)</f>
        <v/>
      </c>
      <c r="H137">
        <f>IF($AG137="","",Config!$B$11)</f>
        <v/>
      </c>
      <c r="I137">
        <f>IF($AG137="","",Config!$B$16)</f>
        <v/>
      </c>
      <c r="J137">
        <f>IF($AG137="","",INDEX('TMP Paste'!$A$2:$A$1601,$AG137))</f>
        <v/>
      </c>
      <c r="K137">
        <f>IF($AG137="","",INDEX('TMP Paste'!$L$2:$L$1601,$AG137))</f>
        <v/>
      </c>
      <c r="L137">
        <f>IF($AG137="","",INDEX('TMP Paste'!$I$2:$I$1601,$AG137))</f>
        <v/>
      </c>
      <c r="M137">
        <f>IF($AG137="","",Config!$B$16)</f>
        <v/>
      </c>
      <c r="N137">
        <f>IF($AG137="","","")</f>
        <v/>
      </c>
      <c r="O137">
        <f>IF($AG137="","",INDEX('TMP Paste'!$K$2:$K$1601,$AG137))</f>
        <v/>
      </c>
      <c r="P137">
        <f>IF($AG137="","","")</f>
        <v/>
      </c>
      <c r="Q137">
        <f>IF($AG137="","",INDEX('TMP Paste'!$J$2:$J$1601,$AG137))</f>
        <v/>
      </c>
      <c r="R137">
        <f>IF($AG137="","",Config!$B$24)</f>
        <v/>
      </c>
      <c r="S137">
        <f>IF($AG137="","",TEXT(Config!$B$4,"yyyy-mm-dd"))</f>
        <v/>
      </c>
      <c r="T137">
        <f>IF($AG137="","",Config!$B$17)</f>
        <v/>
      </c>
      <c r="U137">
        <f>IF($AG137="","",Config!$B$18)</f>
        <v/>
      </c>
      <c r="V137">
        <f>IF($AG137="","",Config!$B$19)</f>
        <v/>
      </c>
      <c r="W137">
        <f>IF($AG137="","",INDEX('TMP Paste'!$C$2:$C$1601,$AG137))</f>
        <v/>
      </c>
      <c r="X137">
        <f>IF($AG137="","",Config!$B$29)</f>
        <v/>
      </c>
      <c r="Y137">
        <f>IF($AH137="","",INDEX(Calc!$I$2:$I$1601,$AH137)&amp;" - "&amp;INDEX(Calc!$D$2:$D$1601,$AH137)&amp;" koli")</f>
        <v/>
      </c>
      <c r="Z137">
        <f>IF($AG137="","",Config!$B$21)</f>
        <v/>
      </c>
      <c r="AA137">
        <f>IF($AG137="","",Config!$B$22)</f>
        <v/>
      </c>
      <c r="AB137">
        <f>IF($AH137="","",INDEX(Calc!$D$2:$D$1601,$AH137))</f>
        <v/>
      </c>
      <c r="AC137">
        <f>IF($AH137="","",INDEX(Calc!$G$2:$G$1601,$AH137))</f>
        <v/>
      </c>
      <c r="AD137">
        <f>IF($AG137="","",Config!$B$23)</f>
        <v/>
      </c>
      <c r="AE137">
        <f>IF($AG137="","",Config!$B$28)</f>
        <v/>
      </c>
      <c r="AG137">
        <f>IFERROR(MATCH(ROW()-1,Calc!$J$2:$J$1601,0),"")</f>
        <v/>
      </c>
      <c r="AH137">
        <f>IFERROR(MATCH(ROW()-1,Calc!$K$2:$K$1601,0),"")</f>
        <v/>
      </c>
      <c r="AI137">
        <f>IF($AG137="","",SUMIF($AG$2:$AG137,$AG137,$AH$2:$AH137))</f>
        <v/>
      </c>
      <c r="AJ137">
        <f>IF('TMP Paste'!$F137="","",IF('TMP Paste'!$B137="",$AJ136,'TMP Paste'!$B137))</f>
        <v/>
      </c>
      <c r="AK137">
        <f>IF('TMP Paste'!$F137="","",N('TMP Paste'!$G137))</f>
        <v/>
      </c>
      <c r="AL137">
        <f>IF('TMP Paste'!$F137="","",IF('TMP Paste'!$M137="",$AL136,'TMP Paste'!$M137))</f>
        <v/>
      </c>
      <c r="AM137">
        <f>IF('TMP Paste'!$F137="","",IF('TMP Paste'!$N137="",$AM136,'TMP Paste'!$N137))</f>
        <v/>
      </c>
      <c r="AN137">
        <f>IF('TMP Paste'!$F137="","",IF('TMP Paste'!$O137="",$AN136,'TMP Paste'!$O137))</f>
        <v/>
      </c>
      <c r="AO137">
        <f>IF('TMP Paste'!$F137="","",IF('TMP Paste'!$P137="",$AO136,'TMP Paste'!$P137))</f>
        <v/>
      </c>
      <c r="AP137">
        <f>IF($AG137="","",LEN($R137))</f>
        <v/>
      </c>
      <c r="AQ137">
        <f>IF($AG137="","",TRIM(IF(COUNTIFS(Calc!$B$2:$B$1601,ROW()-1,Calc!$C$2:$C$1601,"&lt;1")&gt;0,"Ada PO tanpa Koli - cek TMP. ","")&amp;IF(LEN($R137)&gt;500,"R &gt; 500 karakter.","")))</f>
        <v/>
      </c>
    </row>
    <row r="138">
      <c r="A138">
        <f>IF($AG138="","",INDEX('TMP Paste'!$B$2:$B$1601,$AG138))</f>
        <v/>
      </c>
      <c r="B138">
        <f>IF($AG138="","",Config!$B$14)</f>
        <v/>
      </c>
      <c r="C138">
        <f>IF($AG138="","",Config!$B$15)</f>
        <v/>
      </c>
      <c r="D138">
        <f>IF($AG138="","",INDEX('TMP Paste'!$B$2:$B$1601,$AG138))</f>
        <v/>
      </c>
      <c r="E138">
        <f>IF($AG138="","",Config!$B$27)</f>
        <v/>
      </c>
      <c r="F138">
        <f>IF($AG138="","",Config!$B$9)</f>
        <v/>
      </c>
      <c r="G138">
        <f>IF($AG138="","",Config!$B$10)</f>
        <v/>
      </c>
      <c r="H138">
        <f>IF($AG138="","",Config!$B$11)</f>
        <v/>
      </c>
      <c r="I138">
        <f>IF($AG138="","",Config!$B$16)</f>
        <v/>
      </c>
      <c r="J138">
        <f>IF($AG138="","",INDEX('TMP Paste'!$A$2:$A$1601,$AG138))</f>
        <v/>
      </c>
      <c r="K138">
        <f>IF($AG138="","",INDEX('TMP Paste'!$L$2:$L$1601,$AG138))</f>
        <v/>
      </c>
      <c r="L138">
        <f>IF($AG138="","",INDEX('TMP Paste'!$I$2:$I$1601,$AG138))</f>
        <v/>
      </c>
      <c r="M138">
        <f>IF($AG138="","",Config!$B$16)</f>
        <v/>
      </c>
      <c r="N138">
        <f>IF($AG138="","","")</f>
        <v/>
      </c>
      <c r="O138">
        <f>IF($AG138="","",INDEX('TMP Paste'!$K$2:$K$1601,$AG138))</f>
        <v/>
      </c>
      <c r="P138">
        <f>IF($AG138="","","")</f>
        <v/>
      </c>
      <c r="Q138">
        <f>IF($AG138="","",INDEX('TMP Paste'!$J$2:$J$1601,$AG138))</f>
        <v/>
      </c>
      <c r="R138">
        <f>IF($AG138="","",Config!$B$24)</f>
        <v/>
      </c>
      <c r="S138">
        <f>IF($AG138="","",TEXT(Config!$B$4,"yyyy-mm-dd"))</f>
        <v/>
      </c>
      <c r="T138">
        <f>IF($AG138="","",Config!$B$17)</f>
        <v/>
      </c>
      <c r="U138">
        <f>IF($AG138="","",Config!$B$18)</f>
        <v/>
      </c>
      <c r="V138">
        <f>IF($AG138="","",Config!$B$19)</f>
        <v/>
      </c>
      <c r="W138">
        <f>IF($AG138="","",INDEX('TMP Paste'!$C$2:$C$1601,$AG138))</f>
        <v/>
      </c>
      <c r="X138">
        <f>IF($AG138="","",Config!$B$29)</f>
        <v/>
      </c>
      <c r="Y138">
        <f>IF($AH138="","",INDEX(Calc!$I$2:$I$1601,$AH138)&amp;" - "&amp;INDEX(Calc!$D$2:$D$1601,$AH138)&amp;" koli")</f>
        <v/>
      </c>
      <c r="Z138">
        <f>IF($AG138="","",Config!$B$21)</f>
        <v/>
      </c>
      <c r="AA138">
        <f>IF($AG138="","",Config!$B$22)</f>
        <v/>
      </c>
      <c r="AB138">
        <f>IF($AH138="","",INDEX(Calc!$D$2:$D$1601,$AH138))</f>
        <v/>
      </c>
      <c r="AC138">
        <f>IF($AH138="","",INDEX(Calc!$G$2:$G$1601,$AH138))</f>
        <v/>
      </c>
      <c r="AD138">
        <f>IF($AG138="","",Config!$B$23)</f>
        <v/>
      </c>
      <c r="AE138">
        <f>IF($AG138="","",Config!$B$28)</f>
        <v/>
      </c>
      <c r="AG138">
        <f>IFERROR(MATCH(ROW()-1,Calc!$J$2:$J$1601,0),"")</f>
        <v/>
      </c>
      <c r="AH138">
        <f>IFERROR(MATCH(ROW()-1,Calc!$K$2:$K$1601,0),"")</f>
        <v/>
      </c>
      <c r="AI138">
        <f>IF($AG138="","",SUMIF($AG$2:$AG138,$AG138,$AH$2:$AH138))</f>
        <v/>
      </c>
      <c r="AJ138">
        <f>IF('TMP Paste'!$F138="","",IF('TMP Paste'!$B138="",$AJ137,'TMP Paste'!$B138))</f>
        <v/>
      </c>
      <c r="AK138">
        <f>IF('TMP Paste'!$F138="","",N('TMP Paste'!$G138))</f>
        <v/>
      </c>
      <c r="AL138">
        <f>IF('TMP Paste'!$F138="","",IF('TMP Paste'!$M138="",$AL137,'TMP Paste'!$M138))</f>
        <v/>
      </c>
      <c r="AM138">
        <f>IF('TMP Paste'!$F138="","",IF('TMP Paste'!$N138="",$AM137,'TMP Paste'!$N138))</f>
        <v/>
      </c>
      <c r="AN138">
        <f>IF('TMP Paste'!$F138="","",IF('TMP Paste'!$O138="",$AN137,'TMP Paste'!$O138))</f>
        <v/>
      </c>
      <c r="AO138">
        <f>IF('TMP Paste'!$F138="","",IF('TMP Paste'!$P138="",$AO137,'TMP Paste'!$P138))</f>
        <v/>
      </c>
      <c r="AP138">
        <f>IF($AG138="","",LEN($R138))</f>
        <v/>
      </c>
      <c r="AQ138">
        <f>IF($AG138="","",TRIM(IF(COUNTIFS(Calc!$B$2:$B$1601,ROW()-1,Calc!$C$2:$C$1601,"&lt;1")&gt;0,"Ada PO tanpa Koli - cek TMP. ","")&amp;IF(LEN($R138)&gt;500,"R &gt; 500 karakter.","")))</f>
        <v/>
      </c>
    </row>
    <row r="139">
      <c r="A139">
        <f>IF($AG139="","",INDEX('TMP Paste'!$B$2:$B$1601,$AG139))</f>
        <v/>
      </c>
      <c r="B139">
        <f>IF($AG139="","",Config!$B$14)</f>
        <v/>
      </c>
      <c r="C139">
        <f>IF($AG139="","",Config!$B$15)</f>
        <v/>
      </c>
      <c r="D139">
        <f>IF($AG139="","",INDEX('TMP Paste'!$B$2:$B$1601,$AG139))</f>
        <v/>
      </c>
      <c r="E139">
        <f>IF($AG139="","",Config!$B$27)</f>
        <v/>
      </c>
      <c r="F139">
        <f>IF($AG139="","",Config!$B$9)</f>
        <v/>
      </c>
      <c r="G139">
        <f>IF($AG139="","",Config!$B$10)</f>
        <v/>
      </c>
      <c r="H139">
        <f>IF($AG139="","",Config!$B$11)</f>
        <v/>
      </c>
      <c r="I139">
        <f>IF($AG139="","",Config!$B$16)</f>
        <v/>
      </c>
      <c r="J139">
        <f>IF($AG139="","",INDEX('TMP Paste'!$A$2:$A$1601,$AG139))</f>
        <v/>
      </c>
      <c r="K139">
        <f>IF($AG139="","",INDEX('TMP Paste'!$L$2:$L$1601,$AG139))</f>
        <v/>
      </c>
      <c r="L139">
        <f>IF($AG139="","",INDEX('TMP Paste'!$I$2:$I$1601,$AG139))</f>
        <v/>
      </c>
      <c r="M139">
        <f>IF($AG139="","",Config!$B$16)</f>
        <v/>
      </c>
      <c r="N139">
        <f>IF($AG139="","","")</f>
        <v/>
      </c>
      <c r="O139">
        <f>IF($AG139="","",INDEX('TMP Paste'!$K$2:$K$1601,$AG139))</f>
        <v/>
      </c>
      <c r="P139">
        <f>IF($AG139="","","")</f>
        <v/>
      </c>
      <c r="Q139">
        <f>IF($AG139="","",INDEX('TMP Paste'!$J$2:$J$1601,$AG139))</f>
        <v/>
      </c>
      <c r="R139">
        <f>IF($AG139="","",Config!$B$24)</f>
        <v/>
      </c>
      <c r="S139">
        <f>IF($AG139="","",TEXT(Config!$B$4,"yyyy-mm-dd"))</f>
        <v/>
      </c>
      <c r="T139">
        <f>IF($AG139="","",Config!$B$17)</f>
        <v/>
      </c>
      <c r="U139">
        <f>IF($AG139="","",Config!$B$18)</f>
        <v/>
      </c>
      <c r="V139">
        <f>IF($AG139="","",Config!$B$19)</f>
        <v/>
      </c>
      <c r="W139">
        <f>IF($AG139="","",INDEX('TMP Paste'!$C$2:$C$1601,$AG139))</f>
        <v/>
      </c>
      <c r="X139">
        <f>IF($AG139="","",Config!$B$29)</f>
        <v/>
      </c>
      <c r="Y139">
        <f>IF($AH139="","",INDEX(Calc!$I$2:$I$1601,$AH139)&amp;" - "&amp;INDEX(Calc!$D$2:$D$1601,$AH139)&amp;" koli")</f>
        <v/>
      </c>
      <c r="Z139">
        <f>IF($AG139="","",Config!$B$21)</f>
        <v/>
      </c>
      <c r="AA139">
        <f>IF($AG139="","",Config!$B$22)</f>
        <v/>
      </c>
      <c r="AB139">
        <f>IF($AH139="","",INDEX(Calc!$D$2:$D$1601,$AH139))</f>
        <v/>
      </c>
      <c r="AC139">
        <f>IF($AH139="","",INDEX(Calc!$G$2:$G$1601,$AH139))</f>
        <v/>
      </c>
      <c r="AD139">
        <f>IF($AG139="","",Config!$B$23)</f>
        <v/>
      </c>
      <c r="AE139">
        <f>IF($AG139="","",Config!$B$28)</f>
        <v/>
      </c>
      <c r="AG139">
        <f>IFERROR(MATCH(ROW()-1,Calc!$J$2:$J$1601,0),"")</f>
        <v/>
      </c>
      <c r="AH139">
        <f>IFERROR(MATCH(ROW()-1,Calc!$K$2:$K$1601,0),"")</f>
        <v/>
      </c>
      <c r="AI139">
        <f>IF($AG139="","",SUMIF($AG$2:$AG139,$AG139,$AH$2:$AH139))</f>
        <v/>
      </c>
      <c r="AJ139">
        <f>IF('TMP Paste'!$F139="","",IF('TMP Paste'!$B139="",$AJ138,'TMP Paste'!$B139))</f>
        <v/>
      </c>
      <c r="AK139">
        <f>IF('TMP Paste'!$F139="","",N('TMP Paste'!$G139))</f>
        <v/>
      </c>
      <c r="AL139">
        <f>IF('TMP Paste'!$F139="","",IF('TMP Paste'!$M139="",$AL138,'TMP Paste'!$M139))</f>
        <v/>
      </c>
      <c r="AM139">
        <f>IF('TMP Paste'!$F139="","",IF('TMP Paste'!$N139="",$AM138,'TMP Paste'!$N139))</f>
        <v/>
      </c>
      <c r="AN139">
        <f>IF('TMP Paste'!$F139="","",IF('TMP Paste'!$O139="",$AN138,'TMP Paste'!$O139))</f>
        <v/>
      </c>
      <c r="AO139">
        <f>IF('TMP Paste'!$F139="","",IF('TMP Paste'!$P139="",$AO138,'TMP Paste'!$P139))</f>
        <v/>
      </c>
      <c r="AP139">
        <f>IF($AG139="","",LEN($R139))</f>
        <v/>
      </c>
      <c r="AQ139">
        <f>IF($AG139="","",TRIM(IF(COUNTIFS(Calc!$B$2:$B$1601,ROW()-1,Calc!$C$2:$C$1601,"&lt;1")&gt;0,"Ada PO tanpa Koli - cek TMP. ","")&amp;IF(LEN($R139)&gt;500,"R &gt; 500 karakter.","")))</f>
        <v/>
      </c>
    </row>
    <row r="140">
      <c r="A140">
        <f>IF($AG140="","",INDEX('TMP Paste'!$B$2:$B$1601,$AG140))</f>
        <v/>
      </c>
      <c r="B140">
        <f>IF($AG140="","",Config!$B$14)</f>
        <v/>
      </c>
      <c r="C140">
        <f>IF($AG140="","",Config!$B$15)</f>
        <v/>
      </c>
      <c r="D140">
        <f>IF($AG140="","",INDEX('TMP Paste'!$B$2:$B$1601,$AG140))</f>
        <v/>
      </c>
      <c r="E140">
        <f>IF($AG140="","",Config!$B$27)</f>
        <v/>
      </c>
      <c r="F140">
        <f>IF($AG140="","",Config!$B$9)</f>
        <v/>
      </c>
      <c r="G140">
        <f>IF($AG140="","",Config!$B$10)</f>
        <v/>
      </c>
      <c r="H140">
        <f>IF($AG140="","",Config!$B$11)</f>
        <v/>
      </c>
      <c r="I140">
        <f>IF($AG140="","",Config!$B$16)</f>
        <v/>
      </c>
      <c r="J140">
        <f>IF($AG140="","",INDEX('TMP Paste'!$A$2:$A$1601,$AG140))</f>
        <v/>
      </c>
      <c r="K140">
        <f>IF($AG140="","",INDEX('TMP Paste'!$L$2:$L$1601,$AG140))</f>
        <v/>
      </c>
      <c r="L140">
        <f>IF($AG140="","",INDEX('TMP Paste'!$I$2:$I$1601,$AG140))</f>
        <v/>
      </c>
      <c r="M140">
        <f>IF($AG140="","",Config!$B$16)</f>
        <v/>
      </c>
      <c r="N140">
        <f>IF($AG140="","","")</f>
        <v/>
      </c>
      <c r="O140">
        <f>IF($AG140="","",INDEX('TMP Paste'!$K$2:$K$1601,$AG140))</f>
        <v/>
      </c>
      <c r="P140">
        <f>IF($AG140="","","")</f>
        <v/>
      </c>
      <c r="Q140">
        <f>IF($AG140="","",INDEX('TMP Paste'!$J$2:$J$1601,$AG140))</f>
        <v/>
      </c>
      <c r="R140">
        <f>IF($AG140="","",Config!$B$24)</f>
        <v/>
      </c>
      <c r="S140">
        <f>IF($AG140="","",TEXT(Config!$B$4,"yyyy-mm-dd"))</f>
        <v/>
      </c>
      <c r="T140">
        <f>IF($AG140="","",Config!$B$17)</f>
        <v/>
      </c>
      <c r="U140">
        <f>IF($AG140="","",Config!$B$18)</f>
        <v/>
      </c>
      <c r="V140">
        <f>IF($AG140="","",Config!$B$19)</f>
        <v/>
      </c>
      <c r="W140">
        <f>IF($AG140="","",INDEX('TMP Paste'!$C$2:$C$1601,$AG140))</f>
        <v/>
      </c>
      <c r="X140">
        <f>IF($AG140="","",Config!$B$29)</f>
        <v/>
      </c>
      <c r="Y140">
        <f>IF($AH140="","",INDEX(Calc!$I$2:$I$1601,$AH140)&amp;" - "&amp;INDEX(Calc!$D$2:$D$1601,$AH140)&amp;" koli")</f>
        <v/>
      </c>
      <c r="Z140">
        <f>IF($AG140="","",Config!$B$21)</f>
        <v/>
      </c>
      <c r="AA140">
        <f>IF($AG140="","",Config!$B$22)</f>
        <v/>
      </c>
      <c r="AB140">
        <f>IF($AH140="","",INDEX(Calc!$D$2:$D$1601,$AH140))</f>
        <v/>
      </c>
      <c r="AC140">
        <f>IF($AH140="","",INDEX(Calc!$G$2:$G$1601,$AH140))</f>
        <v/>
      </c>
      <c r="AD140">
        <f>IF($AG140="","",Config!$B$23)</f>
        <v/>
      </c>
      <c r="AE140">
        <f>IF($AG140="","",Config!$B$28)</f>
        <v/>
      </c>
      <c r="AG140">
        <f>IFERROR(MATCH(ROW()-1,Calc!$J$2:$J$1601,0),"")</f>
        <v/>
      </c>
      <c r="AH140">
        <f>IFERROR(MATCH(ROW()-1,Calc!$K$2:$K$1601,0),"")</f>
        <v/>
      </c>
      <c r="AI140">
        <f>IF($AG140="","",SUMIF($AG$2:$AG140,$AG140,$AH$2:$AH140))</f>
        <v/>
      </c>
      <c r="AJ140">
        <f>IF('TMP Paste'!$F140="","",IF('TMP Paste'!$B140="",$AJ139,'TMP Paste'!$B140))</f>
        <v/>
      </c>
      <c r="AK140">
        <f>IF('TMP Paste'!$F140="","",N('TMP Paste'!$G140))</f>
        <v/>
      </c>
      <c r="AL140">
        <f>IF('TMP Paste'!$F140="","",IF('TMP Paste'!$M140="",$AL139,'TMP Paste'!$M140))</f>
        <v/>
      </c>
      <c r="AM140">
        <f>IF('TMP Paste'!$F140="","",IF('TMP Paste'!$N140="",$AM139,'TMP Paste'!$N140))</f>
        <v/>
      </c>
      <c r="AN140">
        <f>IF('TMP Paste'!$F140="","",IF('TMP Paste'!$O140="",$AN139,'TMP Paste'!$O140))</f>
        <v/>
      </c>
      <c r="AO140">
        <f>IF('TMP Paste'!$F140="","",IF('TMP Paste'!$P140="",$AO139,'TMP Paste'!$P140))</f>
        <v/>
      </c>
      <c r="AP140">
        <f>IF($AG140="","",LEN($R140))</f>
        <v/>
      </c>
      <c r="AQ140">
        <f>IF($AG140="","",TRIM(IF(COUNTIFS(Calc!$B$2:$B$1601,ROW()-1,Calc!$C$2:$C$1601,"&lt;1")&gt;0,"Ada PO tanpa Koli - cek TMP. ","")&amp;IF(LEN($R140)&gt;500,"R &gt; 500 karakter.","")))</f>
        <v/>
      </c>
    </row>
    <row r="141">
      <c r="A141">
        <f>IF($AG141="","",INDEX('TMP Paste'!$B$2:$B$1601,$AG141))</f>
        <v/>
      </c>
      <c r="B141">
        <f>IF($AG141="","",Config!$B$14)</f>
        <v/>
      </c>
      <c r="C141">
        <f>IF($AG141="","",Config!$B$15)</f>
        <v/>
      </c>
      <c r="D141">
        <f>IF($AG141="","",INDEX('TMP Paste'!$B$2:$B$1601,$AG141))</f>
        <v/>
      </c>
      <c r="E141">
        <f>IF($AG141="","",Config!$B$27)</f>
        <v/>
      </c>
      <c r="F141">
        <f>IF($AG141="","",Config!$B$9)</f>
        <v/>
      </c>
      <c r="G141">
        <f>IF($AG141="","",Config!$B$10)</f>
        <v/>
      </c>
      <c r="H141">
        <f>IF($AG141="","",Config!$B$11)</f>
        <v/>
      </c>
      <c r="I141">
        <f>IF($AG141="","",Config!$B$16)</f>
        <v/>
      </c>
      <c r="J141">
        <f>IF($AG141="","",INDEX('TMP Paste'!$A$2:$A$1601,$AG141))</f>
        <v/>
      </c>
      <c r="K141">
        <f>IF($AG141="","",INDEX('TMP Paste'!$L$2:$L$1601,$AG141))</f>
        <v/>
      </c>
      <c r="L141">
        <f>IF($AG141="","",INDEX('TMP Paste'!$I$2:$I$1601,$AG141))</f>
        <v/>
      </c>
      <c r="M141">
        <f>IF($AG141="","",Config!$B$16)</f>
        <v/>
      </c>
      <c r="N141">
        <f>IF($AG141="","","")</f>
        <v/>
      </c>
      <c r="O141">
        <f>IF($AG141="","",INDEX('TMP Paste'!$K$2:$K$1601,$AG141))</f>
        <v/>
      </c>
      <c r="P141">
        <f>IF($AG141="","","")</f>
        <v/>
      </c>
      <c r="Q141">
        <f>IF($AG141="","",INDEX('TMP Paste'!$J$2:$J$1601,$AG141))</f>
        <v/>
      </c>
      <c r="R141">
        <f>IF($AG141="","",Config!$B$24)</f>
        <v/>
      </c>
      <c r="S141">
        <f>IF($AG141="","",TEXT(Config!$B$4,"yyyy-mm-dd"))</f>
        <v/>
      </c>
      <c r="T141">
        <f>IF($AG141="","",Config!$B$17)</f>
        <v/>
      </c>
      <c r="U141">
        <f>IF($AG141="","",Config!$B$18)</f>
        <v/>
      </c>
      <c r="V141">
        <f>IF($AG141="","",Config!$B$19)</f>
        <v/>
      </c>
      <c r="W141">
        <f>IF($AG141="","",INDEX('TMP Paste'!$C$2:$C$1601,$AG141))</f>
        <v/>
      </c>
      <c r="X141">
        <f>IF($AG141="","",Config!$B$29)</f>
        <v/>
      </c>
      <c r="Y141">
        <f>IF($AH141="","",INDEX(Calc!$I$2:$I$1601,$AH141)&amp;" - "&amp;INDEX(Calc!$D$2:$D$1601,$AH141)&amp;" koli")</f>
        <v/>
      </c>
      <c r="Z141">
        <f>IF($AG141="","",Config!$B$21)</f>
        <v/>
      </c>
      <c r="AA141">
        <f>IF($AG141="","",Config!$B$22)</f>
        <v/>
      </c>
      <c r="AB141">
        <f>IF($AH141="","",INDEX(Calc!$D$2:$D$1601,$AH141))</f>
        <v/>
      </c>
      <c r="AC141">
        <f>IF($AH141="","",INDEX(Calc!$G$2:$G$1601,$AH141))</f>
        <v/>
      </c>
      <c r="AD141">
        <f>IF($AG141="","",Config!$B$23)</f>
        <v/>
      </c>
      <c r="AE141">
        <f>IF($AG141="","",Config!$B$28)</f>
        <v/>
      </c>
      <c r="AG141">
        <f>IFERROR(MATCH(ROW()-1,Calc!$J$2:$J$1601,0),"")</f>
        <v/>
      </c>
      <c r="AH141">
        <f>IFERROR(MATCH(ROW()-1,Calc!$K$2:$K$1601,0),"")</f>
        <v/>
      </c>
      <c r="AI141">
        <f>IF($AG141="","",SUMIF($AG$2:$AG141,$AG141,$AH$2:$AH141))</f>
        <v/>
      </c>
      <c r="AJ141">
        <f>IF('TMP Paste'!$F141="","",IF('TMP Paste'!$B141="",$AJ140,'TMP Paste'!$B141))</f>
        <v/>
      </c>
      <c r="AK141">
        <f>IF('TMP Paste'!$F141="","",N('TMP Paste'!$G141))</f>
        <v/>
      </c>
      <c r="AL141">
        <f>IF('TMP Paste'!$F141="","",IF('TMP Paste'!$M141="",$AL140,'TMP Paste'!$M141))</f>
        <v/>
      </c>
      <c r="AM141">
        <f>IF('TMP Paste'!$F141="","",IF('TMP Paste'!$N141="",$AM140,'TMP Paste'!$N141))</f>
        <v/>
      </c>
      <c r="AN141">
        <f>IF('TMP Paste'!$F141="","",IF('TMP Paste'!$O141="",$AN140,'TMP Paste'!$O141))</f>
        <v/>
      </c>
      <c r="AO141">
        <f>IF('TMP Paste'!$F141="","",IF('TMP Paste'!$P141="",$AO140,'TMP Paste'!$P141))</f>
        <v/>
      </c>
      <c r="AP141">
        <f>IF($AG141="","",LEN($R141))</f>
        <v/>
      </c>
      <c r="AQ141">
        <f>IF($AG141="","",TRIM(IF(COUNTIFS(Calc!$B$2:$B$1601,ROW()-1,Calc!$C$2:$C$1601,"&lt;1")&gt;0,"Ada PO tanpa Koli - cek TMP. ","")&amp;IF(LEN($R141)&gt;500,"R &gt; 500 karakter.","")))</f>
        <v/>
      </c>
    </row>
    <row r="142">
      <c r="A142">
        <f>IF($AG142="","",INDEX('TMP Paste'!$B$2:$B$1601,$AG142))</f>
        <v/>
      </c>
      <c r="B142">
        <f>IF($AG142="","",Config!$B$14)</f>
        <v/>
      </c>
      <c r="C142">
        <f>IF($AG142="","",Config!$B$15)</f>
        <v/>
      </c>
      <c r="D142">
        <f>IF($AG142="","",INDEX('TMP Paste'!$B$2:$B$1601,$AG142))</f>
        <v/>
      </c>
      <c r="E142">
        <f>IF($AG142="","",Config!$B$27)</f>
        <v/>
      </c>
      <c r="F142">
        <f>IF($AG142="","",Config!$B$9)</f>
        <v/>
      </c>
      <c r="G142">
        <f>IF($AG142="","",Config!$B$10)</f>
        <v/>
      </c>
      <c r="H142">
        <f>IF($AG142="","",Config!$B$11)</f>
        <v/>
      </c>
      <c r="I142">
        <f>IF($AG142="","",Config!$B$16)</f>
        <v/>
      </c>
      <c r="J142">
        <f>IF($AG142="","",INDEX('TMP Paste'!$A$2:$A$1601,$AG142))</f>
        <v/>
      </c>
      <c r="K142">
        <f>IF($AG142="","",INDEX('TMP Paste'!$L$2:$L$1601,$AG142))</f>
        <v/>
      </c>
      <c r="L142">
        <f>IF($AG142="","",INDEX('TMP Paste'!$I$2:$I$1601,$AG142))</f>
        <v/>
      </c>
      <c r="M142">
        <f>IF($AG142="","",Config!$B$16)</f>
        <v/>
      </c>
      <c r="N142">
        <f>IF($AG142="","","")</f>
        <v/>
      </c>
      <c r="O142">
        <f>IF($AG142="","",INDEX('TMP Paste'!$K$2:$K$1601,$AG142))</f>
        <v/>
      </c>
      <c r="P142">
        <f>IF($AG142="","","")</f>
        <v/>
      </c>
      <c r="Q142">
        <f>IF($AG142="","",INDEX('TMP Paste'!$J$2:$J$1601,$AG142))</f>
        <v/>
      </c>
      <c r="R142">
        <f>IF($AG142="","",Config!$B$24)</f>
        <v/>
      </c>
      <c r="S142">
        <f>IF($AG142="","",TEXT(Config!$B$4,"yyyy-mm-dd"))</f>
        <v/>
      </c>
      <c r="T142">
        <f>IF($AG142="","",Config!$B$17)</f>
        <v/>
      </c>
      <c r="U142">
        <f>IF($AG142="","",Config!$B$18)</f>
        <v/>
      </c>
      <c r="V142">
        <f>IF($AG142="","",Config!$B$19)</f>
        <v/>
      </c>
      <c r="W142">
        <f>IF($AG142="","",INDEX('TMP Paste'!$C$2:$C$1601,$AG142))</f>
        <v/>
      </c>
      <c r="X142">
        <f>IF($AG142="","",Config!$B$29)</f>
        <v/>
      </c>
      <c r="Y142">
        <f>IF($AH142="","",INDEX(Calc!$I$2:$I$1601,$AH142)&amp;" - "&amp;INDEX(Calc!$D$2:$D$1601,$AH142)&amp;" koli")</f>
        <v/>
      </c>
      <c r="Z142">
        <f>IF($AG142="","",Config!$B$21)</f>
        <v/>
      </c>
      <c r="AA142">
        <f>IF($AG142="","",Config!$B$22)</f>
        <v/>
      </c>
      <c r="AB142">
        <f>IF($AH142="","",INDEX(Calc!$D$2:$D$1601,$AH142))</f>
        <v/>
      </c>
      <c r="AC142">
        <f>IF($AH142="","",INDEX(Calc!$G$2:$G$1601,$AH142))</f>
        <v/>
      </c>
      <c r="AD142">
        <f>IF($AG142="","",Config!$B$23)</f>
        <v/>
      </c>
      <c r="AE142">
        <f>IF($AG142="","",Config!$B$28)</f>
        <v/>
      </c>
      <c r="AG142">
        <f>IFERROR(MATCH(ROW()-1,Calc!$J$2:$J$1601,0),"")</f>
        <v/>
      </c>
      <c r="AH142">
        <f>IFERROR(MATCH(ROW()-1,Calc!$K$2:$K$1601,0),"")</f>
        <v/>
      </c>
      <c r="AI142">
        <f>IF($AG142="","",SUMIF($AG$2:$AG142,$AG142,$AH$2:$AH142))</f>
        <v/>
      </c>
      <c r="AJ142">
        <f>IF('TMP Paste'!$F142="","",IF('TMP Paste'!$B142="",$AJ141,'TMP Paste'!$B142))</f>
        <v/>
      </c>
      <c r="AK142">
        <f>IF('TMP Paste'!$F142="","",N('TMP Paste'!$G142))</f>
        <v/>
      </c>
      <c r="AL142">
        <f>IF('TMP Paste'!$F142="","",IF('TMP Paste'!$M142="",$AL141,'TMP Paste'!$M142))</f>
        <v/>
      </c>
      <c r="AM142">
        <f>IF('TMP Paste'!$F142="","",IF('TMP Paste'!$N142="",$AM141,'TMP Paste'!$N142))</f>
        <v/>
      </c>
      <c r="AN142">
        <f>IF('TMP Paste'!$F142="","",IF('TMP Paste'!$O142="",$AN141,'TMP Paste'!$O142))</f>
        <v/>
      </c>
      <c r="AO142">
        <f>IF('TMP Paste'!$F142="","",IF('TMP Paste'!$P142="",$AO141,'TMP Paste'!$P142))</f>
        <v/>
      </c>
      <c r="AP142">
        <f>IF($AG142="","",LEN($R142))</f>
        <v/>
      </c>
      <c r="AQ142">
        <f>IF($AG142="","",TRIM(IF(COUNTIFS(Calc!$B$2:$B$1601,ROW()-1,Calc!$C$2:$C$1601,"&lt;1")&gt;0,"Ada PO tanpa Koli - cek TMP. ","")&amp;IF(LEN($R142)&gt;500,"R &gt; 500 karakter.","")))</f>
        <v/>
      </c>
    </row>
    <row r="143">
      <c r="A143">
        <f>IF($AG143="","",INDEX('TMP Paste'!$B$2:$B$1601,$AG143))</f>
        <v/>
      </c>
      <c r="B143">
        <f>IF($AG143="","",Config!$B$14)</f>
        <v/>
      </c>
      <c r="C143">
        <f>IF($AG143="","",Config!$B$15)</f>
        <v/>
      </c>
      <c r="D143">
        <f>IF($AG143="","",INDEX('TMP Paste'!$B$2:$B$1601,$AG143))</f>
        <v/>
      </c>
      <c r="E143">
        <f>IF($AG143="","",Config!$B$27)</f>
        <v/>
      </c>
      <c r="F143">
        <f>IF($AG143="","",Config!$B$9)</f>
        <v/>
      </c>
      <c r="G143">
        <f>IF($AG143="","",Config!$B$10)</f>
        <v/>
      </c>
      <c r="H143">
        <f>IF($AG143="","",Config!$B$11)</f>
        <v/>
      </c>
      <c r="I143">
        <f>IF($AG143="","",Config!$B$16)</f>
        <v/>
      </c>
      <c r="J143">
        <f>IF($AG143="","",INDEX('TMP Paste'!$A$2:$A$1601,$AG143))</f>
        <v/>
      </c>
      <c r="K143">
        <f>IF($AG143="","",INDEX('TMP Paste'!$L$2:$L$1601,$AG143))</f>
        <v/>
      </c>
      <c r="L143">
        <f>IF($AG143="","",INDEX('TMP Paste'!$I$2:$I$1601,$AG143))</f>
        <v/>
      </c>
      <c r="M143">
        <f>IF($AG143="","",Config!$B$16)</f>
        <v/>
      </c>
      <c r="N143">
        <f>IF($AG143="","","")</f>
        <v/>
      </c>
      <c r="O143">
        <f>IF($AG143="","",INDEX('TMP Paste'!$K$2:$K$1601,$AG143))</f>
        <v/>
      </c>
      <c r="P143">
        <f>IF($AG143="","","")</f>
        <v/>
      </c>
      <c r="Q143">
        <f>IF($AG143="","",INDEX('TMP Paste'!$J$2:$J$1601,$AG143))</f>
        <v/>
      </c>
      <c r="R143">
        <f>IF($AG143="","",Config!$B$24)</f>
        <v/>
      </c>
      <c r="S143">
        <f>IF($AG143="","",TEXT(Config!$B$4,"yyyy-mm-dd"))</f>
        <v/>
      </c>
      <c r="T143">
        <f>IF($AG143="","",Config!$B$17)</f>
        <v/>
      </c>
      <c r="U143">
        <f>IF($AG143="","",Config!$B$18)</f>
        <v/>
      </c>
      <c r="V143">
        <f>IF($AG143="","",Config!$B$19)</f>
        <v/>
      </c>
      <c r="W143">
        <f>IF($AG143="","",INDEX('TMP Paste'!$C$2:$C$1601,$AG143))</f>
        <v/>
      </c>
      <c r="X143">
        <f>IF($AG143="","",Config!$B$29)</f>
        <v/>
      </c>
      <c r="Y143">
        <f>IF($AH143="","",INDEX(Calc!$I$2:$I$1601,$AH143)&amp;" - "&amp;INDEX(Calc!$D$2:$D$1601,$AH143)&amp;" koli")</f>
        <v/>
      </c>
      <c r="Z143">
        <f>IF($AG143="","",Config!$B$21)</f>
        <v/>
      </c>
      <c r="AA143">
        <f>IF($AG143="","",Config!$B$22)</f>
        <v/>
      </c>
      <c r="AB143">
        <f>IF($AH143="","",INDEX(Calc!$D$2:$D$1601,$AH143))</f>
        <v/>
      </c>
      <c r="AC143">
        <f>IF($AH143="","",INDEX(Calc!$G$2:$G$1601,$AH143))</f>
        <v/>
      </c>
      <c r="AD143">
        <f>IF($AG143="","",Config!$B$23)</f>
        <v/>
      </c>
      <c r="AE143">
        <f>IF($AG143="","",Config!$B$28)</f>
        <v/>
      </c>
      <c r="AG143">
        <f>IFERROR(MATCH(ROW()-1,Calc!$J$2:$J$1601,0),"")</f>
        <v/>
      </c>
      <c r="AH143">
        <f>IFERROR(MATCH(ROW()-1,Calc!$K$2:$K$1601,0),"")</f>
        <v/>
      </c>
      <c r="AI143">
        <f>IF($AG143="","",SUMIF($AG$2:$AG143,$AG143,$AH$2:$AH143))</f>
        <v/>
      </c>
      <c r="AJ143">
        <f>IF('TMP Paste'!$F143="","",IF('TMP Paste'!$B143="",$AJ142,'TMP Paste'!$B143))</f>
        <v/>
      </c>
      <c r="AK143">
        <f>IF('TMP Paste'!$F143="","",N('TMP Paste'!$G143))</f>
        <v/>
      </c>
      <c r="AL143">
        <f>IF('TMP Paste'!$F143="","",IF('TMP Paste'!$M143="",$AL142,'TMP Paste'!$M143))</f>
        <v/>
      </c>
      <c r="AM143">
        <f>IF('TMP Paste'!$F143="","",IF('TMP Paste'!$N143="",$AM142,'TMP Paste'!$N143))</f>
        <v/>
      </c>
      <c r="AN143">
        <f>IF('TMP Paste'!$F143="","",IF('TMP Paste'!$O143="",$AN142,'TMP Paste'!$O143))</f>
        <v/>
      </c>
      <c r="AO143">
        <f>IF('TMP Paste'!$F143="","",IF('TMP Paste'!$P143="",$AO142,'TMP Paste'!$P143))</f>
        <v/>
      </c>
      <c r="AP143">
        <f>IF($AG143="","",LEN($R143))</f>
        <v/>
      </c>
      <c r="AQ143">
        <f>IF($AG143="","",TRIM(IF(COUNTIFS(Calc!$B$2:$B$1601,ROW()-1,Calc!$C$2:$C$1601,"&lt;1")&gt;0,"Ada PO tanpa Koli - cek TMP. ","")&amp;IF(LEN($R143)&gt;500,"R &gt; 500 karakter.","")))</f>
        <v/>
      </c>
    </row>
    <row r="144">
      <c r="A144">
        <f>IF($AG144="","",INDEX('TMP Paste'!$B$2:$B$1601,$AG144))</f>
        <v/>
      </c>
      <c r="B144">
        <f>IF($AG144="","",Config!$B$14)</f>
        <v/>
      </c>
      <c r="C144">
        <f>IF($AG144="","",Config!$B$15)</f>
        <v/>
      </c>
      <c r="D144">
        <f>IF($AG144="","",INDEX('TMP Paste'!$B$2:$B$1601,$AG144))</f>
        <v/>
      </c>
      <c r="E144">
        <f>IF($AG144="","",Config!$B$27)</f>
        <v/>
      </c>
      <c r="F144">
        <f>IF($AG144="","",Config!$B$9)</f>
        <v/>
      </c>
      <c r="G144">
        <f>IF($AG144="","",Config!$B$10)</f>
        <v/>
      </c>
      <c r="H144">
        <f>IF($AG144="","",Config!$B$11)</f>
        <v/>
      </c>
      <c r="I144">
        <f>IF($AG144="","",Config!$B$16)</f>
        <v/>
      </c>
      <c r="J144">
        <f>IF($AG144="","",INDEX('TMP Paste'!$A$2:$A$1601,$AG144))</f>
        <v/>
      </c>
      <c r="K144">
        <f>IF($AG144="","",INDEX('TMP Paste'!$L$2:$L$1601,$AG144))</f>
        <v/>
      </c>
      <c r="L144">
        <f>IF($AG144="","",INDEX('TMP Paste'!$I$2:$I$1601,$AG144))</f>
        <v/>
      </c>
      <c r="M144">
        <f>IF($AG144="","",Config!$B$16)</f>
        <v/>
      </c>
      <c r="N144">
        <f>IF($AG144="","","")</f>
        <v/>
      </c>
      <c r="O144">
        <f>IF($AG144="","",INDEX('TMP Paste'!$K$2:$K$1601,$AG144))</f>
        <v/>
      </c>
      <c r="P144">
        <f>IF($AG144="","","")</f>
        <v/>
      </c>
      <c r="Q144">
        <f>IF($AG144="","",INDEX('TMP Paste'!$J$2:$J$1601,$AG144))</f>
        <v/>
      </c>
      <c r="R144">
        <f>IF($AG144="","",Config!$B$24)</f>
        <v/>
      </c>
      <c r="S144">
        <f>IF($AG144="","",TEXT(Config!$B$4,"yyyy-mm-dd"))</f>
        <v/>
      </c>
      <c r="T144">
        <f>IF($AG144="","",Config!$B$17)</f>
        <v/>
      </c>
      <c r="U144">
        <f>IF($AG144="","",Config!$B$18)</f>
        <v/>
      </c>
      <c r="V144">
        <f>IF($AG144="","",Config!$B$19)</f>
        <v/>
      </c>
      <c r="W144">
        <f>IF($AG144="","",INDEX('TMP Paste'!$C$2:$C$1601,$AG144))</f>
        <v/>
      </c>
      <c r="X144">
        <f>IF($AG144="","",Config!$B$29)</f>
        <v/>
      </c>
      <c r="Y144">
        <f>IF($AH144="","",INDEX(Calc!$I$2:$I$1601,$AH144)&amp;" - "&amp;INDEX(Calc!$D$2:$D$1601,$AH144)&amp;" koli")</f>
        <v/>
      </c>
      <c r="Z144">
        <f>IF($AG144="","",Config!$B$21)</f>
        <v/>
      </c>
      <c r="AA144">
        <f>IF($AG144="","",Config!$B$22)</f>
        <v/>
      </c>
      <c r="AB144">
        <f>IF($AH144="","",INDEX(Calc!$D$2:$D$1601,$AH144))</f>
        <v/>
      </c>
      <c r="AC144">
        <f>IF($AH144="","",INDEX(Calc!$G$2:$G$1601,$AH144))</f>
        <v/>
      </c>
      <c r="AD144">
        <f>IF($AG144="","",Config!$B$23)</f>
        <v/>
      </c>
      <c r="AE144">
        <f>IF($AG144="","",Config!$B$28)</f>
        <v/>
      </c>
      <c r="AG144">
        <f>IFERROR(MATCH(ROW()-1,Calc!$J$2:$J$1601,0),"")</f>
        <v/>
      </c>
      <c r="AH144">
        <f>IFERROR(MATCH(ROW()-1,Calc!$K$2:$K$1601,0),"")</f>
        <v/>
      </c>
      <c r="AI144">
        <f>IF($AG144="","",SUMIF($AG$2:$AG144,$AG144,$AH$2:$AH144))</f>
        <v/>
      </c>
      <c r="AJ144">
        <f>IF('TMP Paste'!$F144="","",IF('TMP Paste'!$B144="",$AJ143,'TMP Paste'!$B144))</f>
        <v/>
      </c>
      <c r="AK144">
        <f>IF('TMP Paste'!$F144="","",N('TMP Paste'!$G144))</f>
        <v/>
      </c>
      <c r="AL144">
        <f>IF('TMP Paste'!$F144="","",IF('TMP Paste'!$M144="",$AL143,'TMP Paste'!$M144))</f>
        <v/>
      </c>
      <c r="AM144">
        <f>IF('TMP Paste'!$F144="","",IF('TMP Paste'!$N144="",$AM143,'TMP Paste'!$N144))</f>
        <v/>
      </c>
      <c r="AN144">
        <f>IF('TMP Paste'!$F144="","",IF('TMP Paste'!$O144="",$AN143,'TMP Paste'!$O144))</f>
        <v/>
      </c>
      <c r="AO144">
        <f>IF('TMP Paste'!$F144="","",IF('TMP Paste'!$P144="",$AO143,'TMP Paste'!$P144))</f>
        <v/>
      </c>
      <c r="AP144">
        <f>IF($AG144="","",LEN($R144))</f>
        <v/>
      </c>
      <c r="AQ144">
        <f>IF($AG144="","",TRIM(IF(COUNTIFS(Calc!$B$2:$B$1601,ROW()-1,Calc!$C$2:$C$1601,"&lt;1")&gt;0,"Ada PO tanpa Koli - cek TMP. ","")&amp;IF(LEN($R144)&gt;500,"R &gt; 500 karakter.","")))</f>
        <v/>
      </c>
    </row>
    <row r="145">
      <c r="A145">
        <f>IF($AG145="","",INDEX('TMP Paste'!$B$2:$B$1601,$AG145))</f>
        <v/>
      </c>
      <c r="B145">
        <f>IF($AG145="","",Config!$B$14)</f>
        <v/>
      </c>
      <c r="C145">
        <f>IF($AG145="","",Config!$B$15)</f>
        <v/>
      </c>
      <c r="D145">
        <f>IF($AG145="","",INDEX('TMP Paste'!$B$2:$B$1601,$AG145))</f>
        <v/>
      </c>
      <c r="E145">
        <f>IF($AG145="","",Config!$B$27)</f>
        <v/>
      </c>
      <c r="F145">
        <f>IF($AG145="","",Config!$B$9)</f>
        <v/>
      </c>
      <c r="G145">
        <f>IF($AG145="","",Config!$B$10)</f>
        <v/>
      </c>
      <c r="H145">
        <f>IF($AG145="","",Config!$B$11)</f>
        <v/>
      </c>
      <c r="I145">
        <f>IF($AG145="","",Config!$B$16)</f>
        <v/>
      </c>
      <c r="J145">
        <f>IF($AG145="","",INDEX('TMP Paste'!$A$2:$A$1601,$AG145))</f>
        <v/>
      </c>
      <c r="K145">
        <f>IF($AG145="","",INDEX('TMP Paste'!$L$2:$L$1601,$AG145))</f>
        <v/>
      </c>
      <c r="L145">
        <f>IF($AG145="","",INDEX('TMP Paste'!$I$2:$I$1601,$AG145))</f>
        <v/>
      </c>
      <c r="M145">
        <f>IF($AG145="","",Config!$B$16)</f>
        <v/>
      </c>
      <c r="N145">
        <f>IF($AG145="","","")</f>
        <v/>
      </c>
      <c r="O145">
        <f>IF($AG145="","",INDEX('TMP Paste'!$K$2:$K$1601,$AG145))</f>
        <v/>
      </c>
      <c r="P145">
        <f>IF($AG145="","","")</f>
        <v/>
      </c>
      <c r="Q145">
        <f>IF($AG145="","",INDEX('TMP Paste'!$J$2:$J$1601,$AG145))</f>
        <v/>
      </c>
      <c r="R145">
        <f>IF($AG145="","",Config!$B$24)</f>
        <v/>
      </c>
      <c r="S145">
        <f>IF($AG145="","",TEXT(Config!$B$4,"yyyy-mm-dd"))</f>
        <v/>
      </c>
      <c r="T145">
        <f>IF($AG145="","",Config!$B$17)</f>
        <v/>
      </c>
      <c r="U145">
        <f>IF($AG145="","",Config!$B$18)</f>
        <v/>
      </c>
      <c r="V145">
        <f>IF($AG145="","",Config!$B$19)</f>
        <v/>
      </c>
      <c r="W145">
        <f>IF($AG145="","",INDEX('TMP Paste'!$C$2:$C$1601,$AG145))</f>
        <v/>
      </c>
      <c r="X145">
        <f>IF($AG145="","",Config!$B$29)</f>
        <v/>
      </c>
      <c r="Y145">
        <f>IF($AH145="","",INDEX(Calc!$I$2:$I$1601,$AH145)&amp;" - "&amp;INDEX(Calc!$D$2:$D$1601,$AH145)&amp;" koli")</f>
        <v/>
      </c>
      <c r="Z145">
        <f>IF($AG145="","",Config!$B$21)</f>
        <v/>
      </c>
      <c r="AA145">
        <f>IF($AG145="","",Config!$B$22)</f>
        <v/>
      </c>
      <c r="AB145">
        <f>IF($AH145="","",INDEX(Calc!$D$2:$D$1601,$AH145))</f>
        <v/>
      </c>
      <c r="AC145">
        <f>IF($AH145="","",INDEX(Calc!$G$2:$G$1601,$AH145))</f>
        <v/>
      </c>
      <c r="AD145">
        <f>IF($AG145="","",Config!$B$23)</f>
        <v/>
      </c>
      <c r="AE145">
        <f>IF($AG145="","",Config!$B$28)</f>
        <v/>
      </c>
      <c r="AG145">
        <f>IFERROR(MATCH(ROW()-1,Calc!$J$2:$J$1601,0),"")</f>
        <v/>
      </c>
      <c r="AH145">
        <f>IFERROR(MATCH(ROW()-1,Calc!$K$2:$K$1601,0),"")</f>
        <v/>
      </c>
      <c r="AI145">
        <f>IF($AG145="","",SUMIF($AG$2:$AG145,$AG145,$AH$2:$AH145))</f>
        <v/>
      </c>
      <c r="AJ145">
        <f>IF('TMP Paste'!$F145="","",IF('TMP Paste'!$B145="",$AJ144,'TMP Paste'!$B145))</f>
        <v/>
      </c>
      <c r="AK145">
        <f>IF('TMP Paste'!$F145="","",N('TMP Paste'!$G145))</f>
        <v/>
      </c>
      <c r="AL145">
        <f>IF('TMP Paste'!$F145="","",IF('TMP Paste'!$M145="",$AL144,'TMP Paste'!$M145))</f>
        <v/>
      </c>
      <c r="AM145">
        <f>IF('TMP Paste'!$F145="","",IF('TMP Paste'!$N145="",$AM144,'TMP Paste'!$N145))</f>
        <v/>
      </c>
      <c r="AN145">
        <f>IF('TMP Paste'!$F145="","",IF('TMP Paste'!$O145="",$AN144,'TMP Paste'!$O145))</f>
        <v/>
      </c>
      <c r="AO145">
        <f>IF('TMP Paste'!$F145="","",IF('TMP Paste'!$P145="",$AO144,'TMP Paste'!$P145))</f>
        <v/>
      </c>
      <c r="AP145">
        <f>IF($AG145="","",LEN($R145))</f>
        <v/>
      </c>
      <c r="AQ145">
        <f>IF($AG145="","",TRIM(IF(COUNTIFS(Calc!$B$2:$B$1601,ROW()-1,Calc!$C$2:$C$1601,"&lt;1")&gt;0,"Ada PO tanpa Koli - cek TMP. ","")&amp;IF(LEN($R145)&gt;500,"R &gt; 500 karakter.","")))</f>
        <v/>
      </c>
    </row>
    <row r="146">
      <c r="A146">
        <f>IF($AG146="","",INDEX('TMP Paste'!$B$2:$B$1601,$AG146))</f>
        <v/>
      </c>
      <c r="B146">
        <f>IF($AG146="","",Config!$B$14)</f>
        <v/>
      </c>
      <c r="C146">
        <f>IF($AG146="","",Config!$B$15)</f>
        <v/>
      </c>
      <c r="D146">
        <f>IF($AG146="","",INDEX('TMP Paste'!$B$2:$B$1601,$AG146))</f>
        <v/>
      </c>
      <c r="E146">
        <f>IF($AG146="","",Config!$B$27)</f>
        <v/>
      </c>
      <c r="F146">
        <f>IF($AG146="","",Config!$B$9)</f>
        <v/>
      </c>
      <c r="G146">
        <f>IF($AG146="","",Config!$B$10)</f>
        <v/>
      </c>
      <c r="H146">
        <f>IF($AG146="","",Config!$B$11)</f>
        <v/>
      </c>
      <c r="I146">
        <f>IF($AG146="","",Config!$B$16)</f>
        <v/>
      </c>
      <c r="J146">
        <f>IF($AG146="","",INDEX('TMP Paste'!$A$2:$A$1601,$AG146))</f>
        <v/>
      </c>
      <c r="K146">
        <f>IF($AG146="","",INDEX('TMP Paste'!$L$2:$L$1601,$AG146))</f>
        <v/>
      </c>
      <c r="L146">
        <f>IF($AG146="","",INDEX('TMP Paste'!$I$2:$I$1601,$AG146))</f>
        <v/>
      </c>
      <c r="M146">
        <f>IF($AG146="","",Config!$B$16)</f>
        <v/>
      </c>
      <c r="N146">
        <f>IF($AG146="","","")</f>
        <v/>
      </c>
      <c r="O146">
        <f>IF($AG146="","",INDEX('TMP Paste'!$K$2:$K$1601,$AG146))</f>
        <v/>
      </c>
      <c r="P146">
        <f>IF($AG146="","","")</f>
        <v/>
      </c>
      <c r="Q146">
        <f>IF($AG146="","",INDEX('TMP Paste'!$J$2:$J$1601,$AG146))</f>
        <v/>
      </c>
      <c r="R146">
        <f>IF($AG146="","",Config!$B$24)</f>
        <v/>
      </c>
      <c r="S146">
        <f>IF($AG146="","",TEXT(Config!$B$4,"yyyy-mm-dd"))</f>
        <v/>
      </c>
      <c r="T146">
        <f>IF($AG146="","",Config!$B$17)</f>
        <v/>
      </c>
      <c r="U146">
        <f>IF($AG146="","",Config!$B$18)</f>
        <v/>
      </c>
      <c r="V146">
        <f>IF($AG146="","",Config!$B$19)</f>
        <v/>
      </c>
      <c r="W146">
        <f>IF($AG146="","",INDEX('TMP Paste'!$C$2:$C$1601,$AG146))</f>
        <v/>
      </c>
      <c r="X146">
        <f>IF($AG146="","",Config!$B$29)</f>
        <v/>
      </c>
      <c r="Y146">
        <f>IF($AH146="","",INDEX(Calc!$I$2:$I$1601,$AH146)&amp;" - "&amp;INDEX(Calc!$D$2:$D$1601,$AH146)&amp;" koli")</f>
        <v/>
      </c>
      <c r="Z146">
        <f>IF($AG146="","",Config!$B$21)</f>
        <v/>
      </c>
      <c r="AA146">
        <f>IF($AG146="","",Config!$B$22)</f>
        <v/>
      </c>
      <c r="AB146">
        <f>IF($AH146="","",INDEX(Calc!$D$2:$D$1601,$AH146))</f>
        <v/>
      </c>
      <c r="AC146">
        <f>IF($AH146="","",INDEX(Calc!$G$2:$G$1601,$AH146))</f>
        <v/>
      </c>
      <c r="AD146">
        <f>IF($AG146="","",Config!$B$23)</f>
        <v/>
      </c>
      <c r="AE146">
        <f>IF($AG146="","",Config!$B$28)</f>
        <v/>
      </c>
      <c r="AG146">
        <f>IFERROR(MATCH(ROW()-1,Calc!$J$2:$J$1601,0),"")</f>
        <v/>
      </c>
      <c r="AH146">
        <f>IFERROR(MATCH(ROW()-1,Calc!$K$2:$K$1601,0),"")</f>
        <v/>
      </c>
      <c r="AI146">
        <f>IF($AG146="","",SUMIF($AG$2:$AG146,$AG146,$AH$2:$AH146))</f>
        <v/>
      </c>
      <c r="AJ146">
        <f>IF('TMP Paste'!$F146="","",IF('TMP Paste'!$B146="",$AJ145,'TMP Paste'!$B146))</f>
        <v/>
      </c>
      <c r="AK146">
        <f>IF('TMP Paste'!$F146="","",N('TMP Paste'!$G146))</f>
        <v/>
      </c>
      <c r="AL146">
        <f>IF('TMP Paste'!$F146="","",IF('TMP Paste'!$M146="",$AL145,'TMP Paste'!$M146))</f>
        <v/>
      </c>
      <c r="AM146">
        <f>IF('TMP Paste'!$F146="","",IF('TMP Paste'!$N146="",$AM145,'TMP Paste'!$N146))</f>
        <v/>
      </c>
      <c r="AN146">
        <f>IF('TMP Paste'!$F146="","",IF('TMP Paste'!$O146="",$AN145,'TMP Paste'!$O146))</f>
        <v/>
      </c>
      <c r="AO146">
        <f>IF('TMP Paste'!$F146="","",IF('TMP Paste'!$P146="",$AO145,'TMP Paste'!$P146))</f>
        <v/>
      </c>
      <c r="AP146">
        <f>IF($AG146="","",LEN($R146))</f>
        <v/>
      </c>
      <c r="AQ146">
        <f>IF($AG146="","",TRIM(IF(COUNTIFS(Calc!$B$2:$B$1601,ROW()-1,Calc!$C$2:$C$1601,"&lt;1")&gt;0,"Ada PO tanpa Koli - cek TMP. ","")&amp;IF(LEN($R146)&gt;500,"R &gt; 500 karakter.","")))</f>
        <v/>
      </c>
    </row>
    <row r="147">
      <c r="A147">
        <f>IF($AG147="","",INDEX('TMP Paste'!$B$2:$B$1601,$AG147))</f>
        <v/>
      </c>
      <c r="B147">
        <f>IF($AG147="","",Config!$B$14)</f>
        <v/>
      </c>
      <c r="C147">
        <f>IF($AG147="","",Config!$B$15)</f>
        <v/>
      </c>
      <c r="D147">
        <f>IF($AG147="","",INDEX('TMP Paste'!$B$2:$B$1601,$AG147))</f>
        <v/>
      </c>
      <c r="E147">
        <f>IF($AG147="","",Config!$B$27)</f>
        <v/>
      </c>
      <c r="F147">
        <f>IF($AG147="","",Config!$B$9)</f>
        <v/>
      </c>
      <c r="G147">
        <f>IF($AG147="","",Config!$B$10)</f>
        <v/>
      </c>
      <c r="H147">
        <f>IF($AG147="","",Config!$B$11)</f>
        <v/>
      </c>
      <c r="I147">
        <f>IF($AG147="","",Config!$B$16)</f>
        <v/>
      </c>
      <c r="J147">
        <f>IF($AG147="","",INDEX('TMP Paste'!$A$2:$A$1601,$AG147))</f>
        <v/>
      </c>
      <c r="K147">
        <f>IF($AG147="","",INDEX('TMP Paste'!$L$2:$L$1601,$AG147))</f>
        <v/>
      </c>
      <c r="L147">
        <f>IF($AG147="","",INDEX('TMP Paste'!$I$2:$I$1601,$AG147))</f>
        <v/>
      </c>
      <c r="M147">
        <f>IF($AG147="","",Config!$B$16)</f>
        <v/>
      </c>
      <c r="N147">
        <f>IF($AG147="","","")</f>
        <v/>
      </c>
      <c r="O147">
        <f>IF($AG147="","",INDEX('TMP Paste'!$K$2:$K$1601,$AG147))</f>
        <v/>
      </c>
      <c r="P147">
        <f>IF($AG147="","","")</f>
        <v/>
      </c>
      <c r="Q147">
        <f>IF($AG147="","",INDEX('TMP Paste'!$J$2:$J$1601,$AG147))</f>
        <v/>
      </c>
      <c r="R147">
        <f>IF($AG147="","",Config!$B$24)</f>
        <v/>
      </c>
      <c r="S147">
        <f>IF($AG147="","",TEXT(Config!$B$4,"yyyy-mm-dd"))</f>
        <v/>
      </c>
      <c r="T147">
        <f>IF($AG147="","",Config!$B$17)</f>
        <v/>
      </c>
      <c r="U147">
        <f>IF($AG147="","",Config!$B$18)</f>
        <v/>
      </c>
      <c r="V147">
        <f>IF($AG147="","",Config!$B$19)</f>
        <v/>
      </c>
      <c r="W147">
        <f>IF($AG147="","",INDEX('TMP Paste'!$C$2:$C$1601,$AG147))</f>
        <v/>
      </c>
      <c r="X147">
        <f>IF($AG147="","",Config!$B$29)</f>
        <v/>
      </c>
      <c r="Y147">
        <f>IF($AH147="","",INDEX(Calc!$I$2:$I$1601,$AH147)&amp;" - "&amp;INDEX(Calc!$D$2:$D$1601,$AH147)&amp;" koli")</f>
        <v/>
      </c>
      <c r="Z147">
        <f>IF($AG147="","",Config!$B$21)</f>
        <v/>
      </c>
      <c r="AA147">
        <f>IF($AG147="","",Config!$B$22)</f>
        <v/>
      </c>
      <c r="AB147">
        <f>IF($AH147="","",INDEX(Calc!$D$2:$D$1601,$AH147))</f>
        <v/>
      </c>
      <c r="AC147">
        <f>IF($AH147="","",INDEX(Calc!$G$2:$G$1601,$AH147))</f>
        <v/>
      </c>
      <c r="AD147">
        <f>IF($AG147="","",Config!$B$23)</f>
        <v/>
      </c>
      <c r="AE147">
        <f>IF($AG147="","",Config!$B$28)</f>
        <v/>
      </c>
      <c r="AG147">
        <f>IFERROR(MATCH(ROW()-1,Calc!$J$2:$J$1601,0),"")</f>
        <v/>
      </c>
      <c r="AH147">
        <f>IFERROR(MATCH(ROW()-1,Calc!$K$2:$K$1601,0),"")</f>
        <v/>
      </c>
      <c r="AI147">
        <f>IF($AG147="","",SUMIF($AG$2:$AG147,$AG147,$AH$2:$AH147))</f>
        <v/>
      </c>
      <c r="AJ147">
        <f>IF('TMP Paste'!$F147="","",IF('TMP Paste'!$B147="",$AJ146,'TMP Paste'!$B147))</f>
        <v/>
      </c>
      <c r="AK147">
        <f>IF('TMP Paste'!$F147="","",N('TMP Paste'!$G147))</f>
        <v/>
      </c>
      <c r="AL147">
        <f>IF('TMP Paste'!$F147="","",IF('TMP Paste'!$M147="",$AL146,'TMP Paste'!$M147))</f>
        <v/>
      </c>
      <c r="AM147">
        <f>IF('TMP Paste'!$F147="","",IF('TMP Paste'!$N147="",$AM146,'TMP Paste'!$N147))</f>
        <v/>
      </c>
      <c r="AN147">
        <f>IF('TMP Paste'!$F147="","",IF('TMP Paste'!$O147="",$AN146,'TMP Paste'!$O147))</f>
        <v/>
      </c>
      <c r="AO147">
        <f>IF('TMP Paste'!$F147="","",IF('TMP Paste'!$P147="",$AO146,'TMP Paste'!$P147))</f>
        <v/>
      </c>
      <c r="AP147">
        <f>IF($AG147="","",LEN($R147))</f>
        <v/>
      </c>
      <c r="AQ147">
        <f>IF($AG147="","",TRIM(IF(COUNTIFS(Calc!$B$2:$B$1601,ROW()-1,Calc!$C$2:$C$1601,"&lt;1")&gt;0,"Ada PO tanpa Koli - cek TMP. ","")&amp;IF(LEN($R147)&gt;500,"R &gt; 500 karakter.","")))</f>
        <v/>
      </c>
    </row>
    <row r="148">
      <c r="A148">
        <f>IF($AG148="","",INDEX('TMP Paste'!$B$2:$B$1601,$AG148))</f>
        <v/>
      </c>
      <c r="B148">
        <f>IF($AG148="","",Config!$B$14)</f>
        <v/>
      </c>
      <c r="C148">
        <f>IF($AG148="","",Config!$B$15)</f>
        <v/>
      </c>
      <c r="D148">
        <f>IF($AG148="","",INDEX('TMP Paste'!$B$2:$B$1601,$AG148))</f>
        <v/>
      </c>
      <c r="E148">
        <f>IF($AG148="","",Config!$B$27)</f>
        <v/>
      </c>
      <c r="F148">
        <f>IF($AG148="","",Config!$B$9)</f>
        <v/>
      </c>
      <c r="G148">
        <f>IF($AG148="","",Config!$B$10)</f>
        <v/>
      </c>
      <c r="H148">
        <f>IF($AG148="","",Config!$B$11)</f>
        <v/>
      </c>
      <c r="I148">
        <f>IF($AG148="","",Config!$B$16)</f>
        <v/>
      </c>
      <c r="J148">
        <f>IF($AG148="","",INDEX('TMP Paste'!$A$2:$A$1601,$AG148))</f>
        <v/>
      </c>
      <c r="K148">
        <f>IF($AG148="","",INDEX('TMP Paste'!$L$2:$L$1601,$AG148))</f>
        <v/>
      </c>
      <c r="L148">
        <f>IF($AG148="","",INDEX('TMP Paste'!$I$2:$I$1601,$AG148))</f>
        <v/>
      </c>
      <c r="M148">
        <f>IF($AG148="","",Config!$B$16)</f>
        <v/>
      </c>
      <c r="N148">
        <f>IF($AG148="","","")</f>
        <v/>
      </c>
      <c r="O148">
        <f>IF($AG148="","",INDEX('TMP Paste'!$K$2:$K$1601,$AG148))</f>
        <v/>
      </c>
      <c r="P148">
        <f>IF($AG148="","","")</f>
        <v/>
      </c>
      <c r="Q148">
        <f>IF($AG148="","",INDEX('TMP Paste'!$J$2:$J$1601,$AG148))</f>
        <v/>
      </c>
      <c r="R148">
        <f>IF($AG148="","",Config!$B$24)</f>
        <v/>
      </c>
      <c r="S148">
        <f>IF($AG148="","",TEXT(Config!$B$4,"yyyy-mm-dd"))</f>
        <v/>
      </c>
      <c r="T148">
        <f>IF($AG148="","",Config!$B$17)</f>
        <v/>
      </c>
      <c r="U148">
        <f>IF($AG148="","",Config!$B$18)</f>
        <v/>
      </c>
      <c r="V148">
        <f>IF($AG148="","",Config!$B$19)</f>
        <v/>
      </c>
      <c r="W148">
        <f>IF($AG148="","",INDEX('TMP Paste'!$C$2:$C$1601,$AG148))</f>
        <v/>
      </c>
      <c r="X148">
        <f>IF($AG148="","",Config!$B$29)</f>
        <v/>
      </c>
      <c r="Y148">
        <f>IF($AH148="","",INDEX(Calc!$I$2:$I$1601,$AH148)&amp;" - "&amp;INDEX(Calc!$D$2:$D$1601,$AH148)&amp;" koli")</f>
        <v/>
      </c>
      <c r="Z148">
        <f>IF($AG148="","",Config!$B$21)</f>
        <v/>
      </c>
      <c r="AA148">
        <f>IF($AG148="","",Config!$B$22)</f>
        <v/>
      </c>
      <c r="AB148">
        <f>IF($AH148="","",INDEX(Calc!$D$2:$D$1601,$AH148))</f>
        <v/>
      </c>
      <c r="AC148">
        <f>IF($AH148="","",INDEX(Calc!$G$2:$G$1601,$AH148))</f>
        <v/>
      </c>
      <c r="AD148">
        <f>IF($AG148="","",Config!$B$23)</f>
        <v/>
      </c>
      <c r="AE148">
        <f>IF($AG148="","",Config!$B$28)</f>
        <v/>
      </c>
      <c r="AG148">
        <f>IFERROR(MATCH(ROW()-1,Calc!$J$2:$J$1601,0),"")</f>
        <v/>
      </c>
      <c r="AH148">
        <f>IFERROR(MATCH(ROW()-1,Calc!$K$2:$K$1601,0),"")</f>
        <v/>
      </c>
      <c r="AI148">
        <f>IF($AG148="","",SUMIF($AG$2:$AG148,$AG148,$AH$2:$AH148))</f>
        <v/>
      </c>
      <c r="AJ148">
        <f>IF('TMP Paste'!$F148="","",IF('TMP Paste'!$B148="",$AJ147,'TMP Paste'!$B148))</f>
        <v/>
      </c>
      <c r="AK148">
        <f>IF('TMP Paste'!$F148="","",N('TMP Paste'!$G148))</f>
        <v/>
      </c>
      <c r="AL148">
        <f>IF('TMP Paste'!$F148="","",IF('TMP Paste'!$M148="",$AL147,'TMP Paste'!$M148))</f>
        <v/>
      </c>
      <c r="AM148">
        <f>IF('TMP Paste'!$F148="","",IF('TMP Paste'!$N148="",$AM147,'TMP Paste'!$N148))</f>
        <v/>
      </c>
      <c r="AN148">
        <f>IF('TMP Paste'!$F148="","",IF('TMP Paste'!$O148="",$AN147,'TMP Paste'!$O148))</f>
        <v/>
      </c>
      <c r="AO148">
        <f>IF('TMP Paste'!$F148="","",IF('TMP Paste'!$P148="",$AO147,'TMP Paste'!$P148))</f>
        <v/>
      </c>
      <c r="AP148">
        <f>IF($AG148="","",LEN($R148))</f>
        <v/>
      </c>
      <c r="AQ148">
        <f>IF($AG148="","",TRIM(IF(COUNTIFS(Calc!$B$2:$B$1601,ROW()-1,Calc!$C$2:$C$1601,"&lt;1")&gt;0,"Ada PO tanpa Koli - cek TMP. ","")&amp;IF(LEN($R148)&gt;500,"R &gt; 500 karakter.","")))</f>
        <v/>
      </c>
    </row>
    <row r="149">
      <c r="A149">
        <f>IF($AG149="","",INDEX('TMP Paste'!$B$2:$B$1601,$AG149))</f>
        <v/>
      </c>
      <c r="B149">
        <f>IF($AG149="","",Config!$B$14)</f>
        <v/>
      </c>
      <c r="C149">
        <f>IF($AG149="","",Config!$B$15)</f>
        <v/>
      </c>
      <c r="D149">
        <f>IF($AG149="","",INDEX('TMP Paste'!$B$2:$B$1601,$AG149))</f>
        <v/>
      </c>
      <c r="E149">
        <f>IF($AG149="","",Config!$B$27)</f>
        <v/>
      </c>
      <c r="F149">
        <f>IF($AG149="","",Config!$B$9)</f>
        <v/>
      </c>
      <c r="G149">
        <f>IF($AG149="","",Config!$B$10)</f>
        <v/>
      </c>
      <c r="H149">
        <f>IF($AG149="","",Config!$B$11)</f>
        <v/>
      </c>
      <c r="I149">
        <f>IF($AG149="","",Config!$B$16)</f>
        <v/>
      </c>
      <c r="J149">
        <f>IF($AG149="","",INDEX('TMP Paste'!$A$2:$A$1601,$AG149))</f>
        <v/>
      </c>
      <c r="K149">
        <f>IF($AG149="","",INDEX('TMP Paste'!$L$2:$L$1601,$AG149))</f>
        <v/>
      </c>
      <c r="L149">
        <f>IF($AG149="","",INDEX('TMP Paste'!$I$2:$I$1601,$AG149))</f>
        <v/>
      </c>
      <c r="M149">
        <f>IF($AG149="","",Config!$B$16)</f>
        <v/>
      </c>
      <c r="N149">
        <f>IF($AG149="","","")</f>
        <v/>
      </c>
      <c r="O149">
        <f>IF($AG149="","",INDEX('TMP Paste'!$K$2:$K$1601,$AG149))</f>
        <v/>
      </c>
      <c r="P149">
        <f>IF($AG149="","","")</f>
        <v/>
      </c>
      <c r="Q149">
        <f>IF($AG149="","",INDEX('TMP Paste'!$J$2:$J$1601,$AG149))</f>
        <v/>
      </c>
      <c r="R149">
        <f>IF($AG149="","",Config!$B$24)</f>
        <v/>
      </c>
      <c r="S149">
        <f>IF($AG149="","",TEXT(Config!$B$4,"yyyy-mm-dd"))</f>
        <v/>
      </c>
      <c r="T149">
        <f>IF($AG149="","",Config!$B$17)</f>
        <v/>
      </c>
      <c r="U149">
        <f>IF($AG149="","",Config!$B$18)</f>
        <v/>
      </c>
      <c r="V149">
        <f>IF($AG149="","",Config!$B$19)</f>
        <v/>
      </c>
      <c r="W149">
        <f>IF($AG149="","",INDEX('TMP Paste'!$C$2:$C$1601,$AG149))</f>
        <v/>
      </c>
      <c r="X149">
        <f>IF($AG149="","",Config!$B$29)</f>
        <v/>
      </c>
      <c r="Y149">
        <f>IF($AH149="","",INDEX(Calc!$I$2:$I$1601,$AH149)&amp;" - "&amp;INDEX(Calc!$D$2:$D$1601,$AH149)&amp;" koli")</f>
        <v/>
      </c>
      <c r="Z149">
        <f>IF($AG149="","",Config!$B$21)</f>
        <v/>
      </c>
      <c r="AA149">
        <f>IF($AG149="","",Config!$B$22)</f>
        <v/>
      </c>
      <c r="AB149">
        <f>IF($AH149="","",INDEX(Calc!$D$2:$D$1601,$AH149))</f>
        <v/>
      </c>
      <c r="AC149">
        <f>IF($AH149="","",INDEX(Calc!$G$2:$G$1601,$AH149))</f>
        <v/>
      </c>
      <c r="AD149">
        <f>IF($AG149="","",Config!$B$23)</f>
        <v/>
      </c>
      <c r="AE149">
        <f>IF($AG149="","",Config!$B$28)</f>
        <v/>
      </c>
      <c r="AG149">
        <f>IFERROR(MATCH(ROW()-1,Calc!$J$2:$J$1601,0),"")</f>
        <v/>
      </c>
      <c r="AH149">
        <f>IFERROR(MATCH(ROW()-1,Calc!$K$2:$K$1601,0),"")</f>
        <v/>
      </c>
      <c r="AI149">
        <f>IF($AG149="","",SUMIF($AG$2:$AG149,$AG149,$AH$2:$AH149))</f>
        <v/>
      </c>
      <c r="AJ149">
        <f>IF('TMP Paste'!$F149="","",IF('TMP Paste'!$B149="",$AJ148,'TMP Paste'!$B149))</f>
        <v/>
      </c>
      <c r="AK149">
        <f>IF('TMP Paste'!$F149="","",N('TMP Paste'!$G149))</f>
        <v/>
      </c>
      <c r="AL149">
        <f>IF('TMP Paste'!$F149="","",IF('TMP Paste'!$M149="",$AL148,'TMP Paste'!$M149))</f>
        <v/>
      </c>
      <c r="AM149">
        <f>IF('TMP Paste'!$F149="","",IF('TMP Paste'!$N149="",$AM148,'TMP Paste'!$N149))</f>
        <v/>
      </c>
      <c r="AN149">
        <f>IF('TMP Paste'!$F149="","",IF('TMP Paste'!$O149="",$AN148,'TMP Paste'!$O149))</f>
        <v/>
      </c>
      <c r="AO149">
        <f>IF('TMP Paste'!$F149="","",IF('TMP Paste'!$P149="",$AO148,'TMP Paste'!$P149))</f>
        <v/>
      </c>
      <c r="AP149">
        <f>IF($AG149="","",LEN($R149))</f>
        <v/>
      </c>
      <c r="AQ149">
        <f>IF($AG149="","",TRIM(IF(COUNTIFS(Calc!$B$2:$B$1601,ROW()-1,Calc!$C$2:$C$1601,"&lt;1")&gt;0,"Ada PO tanpa Koli - cek TMP. ","")&amp;IF(LEN($R149)&gt;500,"R &gt; 500 karakter.","")))</f>
        <v/>
      </c>
    </row>
    <row r="150">
      <c r="A150">
        <f>IF($AG150="","",INDEX('TMP Paste'!$B$2:$B$1601,$AG150))</f>
        <v/>
      </c>
      <c r="B150">
        <f>IF($AG150="","",Config!$B$14)</f>
        <v/>
      </c>
      <c r="C150">
        <f>IF($AG150="","",Config!$B$15)</f>
        <v/>
      </c>
      <c r="D150">
        <f>IF($AG150="","",INDEX('TMP Paste'!$B$2:$B$1601,$AG150))</f>
        <v/>
      </c>
      <c r="E150">
        <f>IF($AG150="","",Config!$B$27)</f>
        <v/>
      </c>
      <c r="F150">
        <f>IF($AG150="","",Config!$B$9)</f>
        <v/>
      </c>
      <c r="G150">
        <f>IF($AG150="","",Config!$B$10)</f>
        <v/>
      </c>
      <c r="H150">
        <f>IF($AG150="","",Config!$B$11)</f>
        <v/>
      </c>
      <c r="I150">
        <f>IF($AG150="","",Config!$B$16)</f>
        <v/>
      </c>
      <c r="J150">
        <f>IF($AG150="","",INDEX('TMP Paste'!$A$2:$A$1601,$AG150))</f>
        <v/>
      </c>
      <c r="K150">
        <f>IF($AG150="","",INDEX('TMP Paste'!$L$2:$L$1601,$AG150))</f>
        <v/>
      </c>
      <c r="L150">
        <f>IF($AG150="","",INDEX('TMP Paste'!$I$2:$I$1601,$AG150))</f>
        <v/>
      </c>
      <c r="M150">
        <f>IF($AG150="","",Config!$B$16)</f>
        <v/>
      </c>
      <c r="N150">
        <f>IF($AG150="","","")</f>
        <v/>
      </c>
      <c r="O150">
        <f>IF($AG150="","",INDEX('TMP Paste'!$K$2:$K$1601,$AG150))</f>
        <v/>
      </c>
      <c r="P150">
        <f>IF($AG150="","","")</f>
        <v/>
      </c>
      <c r="Q150">
        <f>IF($AG150="","",INDEX('TMP Paste'!$J$2:$J$1601,$AG150))</f>
        <v/>
      </c>
      <c r="R150">
        <f>IF($AG150="","",Config!$B$24)</f>
        <v/>
      </c>
      <c r="S150">
        <f>IF($AG150="","",TEXT(Config!$B$4,"yyyy-mm-dd"))</f>
        <v/>
      </c>
      <c r="T150">
        <f>IF($AG150="","",Config!$B$17)</f>
        <v/>
      </c>
      <c r="U150">
        <f>IF($AG150="","",Config!$B$18)</f>
        <v/>
      </c>
      <c r="V150">
        <f>IF($AG150="","",Config!$B$19)</f>
        <v/>
      </c>
      <c r="W150">
        <f>IF($AG150="","",INDEX('TMP Paste'!$C$2:$C$1601,$AG150))</f>
        <v/>
      </c>
      <c r="X150">
        <f>IF($AG150="","",Config!$B$29)</f>
        <v/>
      </c>
      <c r="Y150">
        <f>IF($AH150="","",INDEX(Calc!$I$2:$I$1601,$AH150)&amp;" - "&amp;INDEX(Calc!$D$2:$D$1601,$AH150)&amp;" koli")</f>
        <v/>
      </c>
      <c r="Z150">
        <f>IF($AG150="","",Config!$B$21)</f>
        <v/>
      </c>
      <c r="AA150">
        <f>IF($AG150="","",Config!$B$22)</f>
        <v/>
      </c>
      <c r="AB150">
        <f>IF($AH150="","",INDEX(Calc!$D$2:$D$1601,$AH150))</f>
        <v/>
      </c>
      <c r="AC150">
        <f>IF($AH150="","",INDEX(Calc!$G$2:$G$1601,$AH150))</f>
        <v/>
      </c>
      <c r="AD150">
        <f>IF($AG150="","",Config!$B$23)</f>
        <v/>
      </c>
      <c r="AE150">
        <f>IF($AG150="","",Config!$B$28)</f>
        <v/>
      </c>
      <c r="AG150">
        <f>IFERROR(MATCH(ROW()-1,Calc!$J$2:$J$1601,0),"")</f>
        <v/>
      </c>
      <c r="AH150">
        <f>IFERROR(MATCH(ROW()-1,Calc!$K$2:$K$1601,0),"")</f>
        <v/>
      </c>
      <c r="AI150">
        <f>IF($AG150="","",SUMIF($AG$2:$AG150,$AG150,$AH$2:$AH150))</f>
        <v/>
      </c>
      <c r="AJ150">
        <f>IF('TMP Paste'!$F150="","",IF('TMP Paste'!$B150="",$AJ149,'TMP Paste'!$B150))</f>
        <v/>
      </c>
      <c r="AK150">
        <f>IF('TMP Paste'!$F150="","",N('TMP Paste'!$G150))</f>
        <v/>
      </c>
      <c r="AL150">
        <f>IF('TMP Paste'!$F150="","",IF('TMP Paste'!$M150="",$AL149,'TMP Paste'!$M150))</f>
        <v/>
      </c>
      <c r="AM150">
        <f>IF('TMP Paste'!$F150="","",IF('TMP Paste'!$N150="",$AM149,'TMP Paste'!$N150))</f>
        <v/>
      </c>
      <c r="AN150">
        <f>IF('TMP Paste'!$F150="","",IF('TMP Paste'!$O150="",$AN149,'TMP Paste'!$O150))</f>
        <v/>
      </c>
      <c r="AO150">
        <f>IF('TMP Paste'!$F150="","",IF('TMP Paste'!$P150="",$AO149,'TMP Paste'!$P150))</f>
        <v/>
      </c>
      <c r="AP150">
        <f>IF($AG150="","",LEN($R150))</f>
        <v/>
      </c>
      <c r="AQ150">
        <f>IF($AG150="","",TRIM(IF(COUNTIFS(Calc!$B$2:$B$1601,ROW()-1,Calc!$C$2:$C$1601,"&lt;1")&gt;0,"Ada PO tanpa Koli - cek TMP. ","")&amp;IF(LEN($R150)&gt;500,"R &gt; 500 karakter.","")))</f>
        <v/>
      </c>
    </row>
    <row r="151">
      <c r="A151">
        <f>IF($AG151="","",INDEX('TMP Paste'!$B$2:$B$1601,$AG151))</f>
        <v/>
      </c>
      <c r="B151">
        <f>IF($AG151="","",Config!$B$14)</f>
        <v/>
      </c>
      <c r="C151">
        <f>IF($AG151="","",Config!$B$15)</f>
        <v/>
      </c>
      <c r="D151">
        <f>IF($AG151="","",INDEX('TMP Paste'!$B$2:$B$1601,$AG151))</f>
        <v/>
      </c>
      <c r="E151">
        <f>IF($AG151="","",Config!$B$27)</f>
        <v/>
      </c>
      <c r="F151">
        <f>IF($AG151="","",Config!$B$9)</f>
        <v/>
      </c>
      <c r="G151">
        <f>IF($AG151="","",Config!$B$10)</f>
        <v/>
      </c>
      <c r="H151">
        <f>IF($AG151="","",Config!$B$11)</f>
        <v/>
      </c>
      <c r="I151">
        <f>IF($AG151="","",Config!$B$16)</f>
        <v/>
      </c>
      <c r="J151">
        <f>IF($AG151="","",INDEX('TMP Paste'!$A$2:$A$1601,$AG151))</f>
        <v/>
      </c>
      <c r="K151">
        <f>IF($AG151="","",INDEX('TMP Paste'!$L$2:$L$1601,$AG151))</f>
        <v/>
      </c>
      <c r="L151">
        <f>IF($AG151="","",INDEX('TMP Paste'!$I$2:$I$1601,$AG151))</f>
        <v/>
      </c>
      <c r="M151">
        <f>IF($AG151="","",Config!$B$16)</f>
        <v/>
      </c>
      <c r="N151">
        <f>IF($AG151="","","")</f>
        <v/>
      </c>
      <c r="O151">
        <f>IF($AG151="","",INDEX('TMP Paste'!$K$2:$K$1601,$AG151))</f>
        <v/>
      </c>
      <c r="P151">
        <f>IF($AG151="","","")</f>
        <v/>
      </c>
      <c r="Q151">
        <f>IF($AG151="","",INDEX('TMP Paste'!$J$2:$J$1601,$AG151))</f>
        <v/>
      </c>
      <c r="R151">
        <f>IF($AG151="","",Config!$B$24)</f>
        <v/>
      </c>
      <c r="S151">
        <f>IF($AG151="","",TEXT(Config!$B$4,"yyyy-mm-dd"))</f>
        <v/>
      </c>
      <c r="T151">
        <f>IF($AG151="","",Config!$B$17)</f>
        <v/>
      </c>
      <c r="U151">
        <f>IF($AG151="","",Config!$B$18)</f>
        <v/>
      </c>
      <c r="V151">
        <f>IF($AG151="","",Config!$B$19)</f>
        <v/>
      </c>
      <c r="W151">
        <f>IF($AG151="","",INDEX('TMP Paste'!$C$2:$C$1601,$AG151))</f>
        <v/>
      </c>
      <c r="X151">
        <f>IF($AG151="","",Config!$B$29)</f>
        <v/>
      </c>
      <c r="Y151">
        <f>IF($AH151="","",INDEX(Calc!$I$2:$I$1601,$AH151)&amp;" - "&amp;INDEX(Calc!$D$2:$D$1601,$AH151)&amp;" koli")</f>
        <v/>
      </c>
      <c r="Z151">
        <f>IF($AG151="","",Config!$B$21)</f>
        <v/>
      </c>
      <c r="AA151">
        <f>IF($AG151="","",Config!$B$22)</f>
        <v/>
      </c>
      <c r="AB151">
        <f>IF($AH151="","",INDEX(Calc!$D$2:$D$1601,$AH151))</f>
        <v/>
      </c>
      <c r="AC151">
        <f>IF($AH151="","",INDEX(Calc!$G$2:$G$1601,$AH151))</f>
        <v/>
      </c>
      <c r="AD151">
        <f>IF($AG151="","",Config!$B$23)</f>
        <v/>
      </c>
      <c r="AE151">
        <f>IF($AG151="","",Config!$B$28)</f>
        <v/>
      </c>
      <c r="AG151">
        <f>IFERROR(MATCH(ROW()-1,Calc!$J$2:$J$1601,0),"")</f>
        <v/>
      </c>
      <c r="AH151">
        <f>IFERROR(MATCH(ROW()-1,Calc!$K$2:$K$1601,0),"")</f>
        <v/>
      </c>
      <c r="AI151">
        <f>IF($AG151="","",SUMIF($AG$2:$AG151,$AG151,$AH$2:$AH151))</f>
        <v/>
      </c>
      <c r="AJ151">
        <f>IF('TMP Paste'!$F151="","",IF('TMP Paste'!$B151="",$AJ150,'TMP Paste'!$B151))</f>
        <v/>
      </c>
      <c r="AK151">
        <f>IF('TMP Paste'!$F151="","",N('TMP Paste'!$G151))</f>
        <v/>
      </c>
      <c r="AL151">
        <f>IF('TMP Paste'!$F151="","",IF('TMP Paste'!$M151="",$AL150,'TMP Paste'!$M151))</f>
        <v/>
      </c>
      <c r="AM151">
        <f>IF('TMP Paste'!$F151="","",IF('TMP Paste'!$N151="",$AM150,'TMP Paste'!$N151))</f>
        <v/>
      </c>
      <c r="AN151">
        <f>IF('TMP Paste'!$F151="","",IF('TMP Paste'!$O151="",$AN150,'TMP Paste'!$O151))</f>
        <v/>
      </c>
      <c r="AO151">
        <f>IF('TMP Paste'!$F151="","",IF('TMP Paste'!$P151="",$AO150,'TMP Paste'!$P151))</f>
        <v/>
      </c>
      <c r="AP151">
        <f>IF($AG151="","",LEN($R151))</f>
        <v/>
      </c>
      <c r="AQ151">
        <f>IF($AG151="","",TRIM(IF(COUNTIFS(Calc!$B$2:$B$1601,ROW()-1,Calc!$C$2:$C$1601,"&lt;1")&gt;0,"Ada PO tanpa Koli - cek TMP. ","")&amp;IF(LEN($R151)&gt;500,"R &gt; 500 karakter.","")))</f>
        <v/>
      </c>
    </row>
    <row r="152">
      <c r="A152">
        <f>IF($AG152="","",INDEX('TMP Paste'!$B$2:$B$1601,$AG152))</f>
        <v/>
      </c>
      <c r="B152">
        <f>IF($AG152="","",Config!$B$14)</f>
        <v/>
      </c>
      <c r="C152">
        <f>IF($AG152="","",Config!$B$15)</f>
        <v/>
      </c>
      <c r="D152">
        <f>IF($AG152="","",INDEX('TMP Paste'!$B$2:$B$1601,$AG152))</f>
        <v/>
      </c>
      <c r="E152">
        <f>IF($AG152="","",Config!$B$27)</f>
        <v/>
      </c>
      <c r="F152">
        <f>IF($AG152="","",Config!$B$9)</f>
        <v/>
      </c>
      <c r="G152">
        <f>IF($AG152="","",Config!$B$10)</f>
        <v/>
      </c>
      <c r="H152">
        <f>IF($AG152="","",Config!$B$11)</f>
        <v/>
      </c>
      <c r="I152">
        <f>IF($AG152="","",Config!$B$16)</f>
        <v/>
      </c>
      <c r="J152">
        <f>IF($AG152="","",INDEX('TMP Paste'!$A$2:$A$1601,$AG152))</f>
        <v/>
      </c>
      <c r="K152">
        <f>IF($AG152="","",INDEX('TMP Paste'!$L$2:$L$1601,$AG152))</f>
        <v/>
      </c>
      <c r="L152">
        <f>IF($AG152="","",INDEX('TMP Paste'!$I$2:$I$1601,$AG152))</f>
        <v/>
      </c>
      <c r="M152">
        <f>IF($AG152="","",Config!$B$16)</f>
        <v/>
      </c>
      <c r="N152">
        <f>IF($AG152="","","")</f>
        <v/>
      </c>
      <c r="O152">
        <f>IF($AG152="","",INDEX('TMP Paste'!$K$2:$K$1601,$AG152))</f>
        <v/>
      </c>
      <c r="P152">
        <f>IF($AG152="","","")</f>
        <v/>
      </c>
      <c r="Q152">
        <f>IF($AG152="","",INDEX('TMP Paste'!$J$2:$J$1601,$AG152))</f>
        <v/>
      </c>
      <c r="R152">
        <f>IF($AG152="","",Config!$B$24)</f>
        <v/>
      </c>
      <c r="S152">
        <f>IF($AG152="","",TEXT(Config!$B$4,"yyyy-mm-dd"))</f>
        <v/>
      </c>
      <c r="T152">
        <f>IF($AG152="","",Config!$B$17)</f>
        <v/>
      </c>
      <c r="U152">
        <f>IF($AG152="","",Config!$B$18)</f>
        <v/>
      </c>
      <c r="V152">
        <f>IF($AG152="","",Config!$B$19)</f>
        <v/>
      </c>
      <c r="W152">
        <f>IF($AG152="","",INDEX('TMP Paste'!$C$2:$C$1601,$AG152))</f>
        <v/>
      </c>
      <c r="X152">
        <f>IF($AG152="","",Config!$B$29)</f>
        <v/>
      </c>
      <c r="Y152">
        <f>IF($AH152="","",INDEX(Calc!$I$2:$I$1601,$AH152)&amp;" - "&amp;INDEX(Calc!$D$2:$D$1601,$AH152)&amp;" koli")</f>
        <v/>
      </c>
      <c r="Z152">
        <f>IF($AG152="","",Config!$B$21)</f>
        <v/>
      </c>
      <c r="AA152">
        <f>IF($AG152="","",Config!$B$22)</f>
        <v/>
      </c>
      <c r="AB152">
        <f>IF($AH152="","",INDEX(Calc!$D$2:$D$1601,$AH152))</f>
        <v/>
      </c>
      <c r="AC152">
        <f>IF($AH152="","",INDEX(Calc!$G$2:$G$1601,$AH152))</f>
        <v/>
      </c>
      <c r="AD152">
        <f>IF($AG152="","",Config!$B$23)</f>
        <v/>
      </c>
      <c r="AE152">
        <f>IF($AG152="","",Config!$B$28)</f>
        <v/>
      </c>
      <c r="AG152">
        <f>IFERROR(MATCH(ROW()-1,Calc!$J$2:$J$1601,0),"")</f>
        <v/>
      </c>
      <c r="AH152">
        <f>IFERROR(MATCH(ROW()-1,Calc!$K$2:$K$1601,0),"")</f>
        <v/>
      </c>
      <c r="AI152">
        <f>IF($AG152="","",SUMIF($AG$2:$AG152,$AG152,$AH$2:$AH152))</f>
        <v/>
      </c>
      <c r="AJ152">
        <f>IF('TMP Paste'!$F152="","",IF('TMP Paste'!$B152="",$AJ151,'TMP Paste'!$B152))</f>
        <v/>
      </c>
      <c r="AK152">
        <f>IF('TMP Paste'!$F152="","",N('TMP Paste'!$G152))</f>
        <v/>
      </c>
      <c r="AL152">
        <f>IF('TMP Paste'!$F152="","",IF('TMP Paste'!$M152="",$AL151,'TMP Paste'!$M152))</f>
        <v/>
      </c>
      <c r="AM152">
        <f>IF('TMP Paste'!$F152="","",IF('TMP Paste'!$N152="",$AM151,'TMP Paste'!$N152))</f>
        <v/>
      </c>
      <c r="AN152">
        <f>IF('TMP Paste'!$F152="","",IF('TMP Paste'!$O152="",$AN151,'TMP Paste'!$O152))</f>
        <v/>
      </c>
      <c r="AO152">
        <f>IF('TMP Paste'!$F152="","",IF('TMP Paste'!$P152="",$AO151,'TMP Paste'!$P152))</f>
        <v/>
      </c>
      <c r="AP152">
        <f>IF($AG152="","",LEN($R152))</f>
        <v/>
      </c>
      <c r="AQ152">
        <f>IF($AG152="","",TRIM(IF(COUNTIFS(Calc!$B$2:$B$1601,ROW()-1,Calc!$C$2:$C$1601,"&lt;1")&gt;0,"Ada PO tanpa Koli - cek TMP. ","")&amp;IF(LEN($R152)&gt;500,"R &gt; 500 karakter.","")))</f>
        <v/>
      </c>
    </row>
    <row r="153">
      <c r="A153">
        <f>IF($AG153="","",INDEX('TMP Paste'!$B$2:$B$1601,$AG153))</f>
        <v/>
      </c>
      <c r="B153">
        <f>IF($AG153="","",Config!$B$14)</f>
        <v/>
      </c>
      <c r="C153">
        <f>IF($AG153="","",Config!$B$15)</f>
        <v/>
      </c>
      <c r="D153">
        <f>IF($AG153="","",INDEX('TMP Paste'!$B$2:$B$1601,$AG153))</f>
        <v/>
      </c>
      <c r="E153">
        <f>IF($AG153="","",Config!$B$27)</f>
        <v/>
      </c>
      <c r="F153">
        <f>IF($AG153="","",Config!$B$9)</f>
        <v/>
      </c>
      <c r="G153">
        <f>IF($AG153="","",Config!$B$10)</f>
        <v/>
      </c>
      <c r="H153">
        <f>IF($AG153="","",Config!$B$11)</f>
        <v/>
      </c>
      <c r="I153">
        <f>IF($AG153="","",Config!$B$16)</f>
        <v/>
      </c>
      <c r="J153">
        <f>IF($AG153="","",INDEX('TMP Paste'!$A$2:$A$1601,$AG153))</f>
        <v/>
      </c>
      <c r="K153">
        <f>IF($AG153="","",INDEX('TMP Paste'!$L$2:$L$1601,$AG153))</f>
        <v/>
      </c>
      <c r="L153">
        <f>IF($AG153="","",INDEX('TMP Paste'!$I$2:$I$1601,$AG153))</f>
        <v/>
      </c>
      <c r="M153">
        <f>IF($AG153="","",Config!$B$16)</f>
        <v/>
      </c>
      <c r="N153">
        <f>IF($AG153="","","")</f>
        <v/>
      </c>
      <c r="O153">
        <f>IF($AG153="","",INDEX('TMP Paste'!$K$2:$K$1601,$AG153))</f>
        <v/>
      </c>
      <c r="P153">
        <f>IF($AG153="","","")</f>
        <v/>
      </c>
      <c r="Q153">
        <f>IF($AG153="","",INDEX('TMP Paste'!$J$2:$J$1601,$AG153))</f>
        <v/>
      </c>
      <c r="R153">
        <f>IF($AG153="","",Config!$B$24)</f>
        <v/>
      </c>
      <c r="S153">
        <f>IF($AG153="","",TEXT(Config!$B$4,"yyyy-mm-dd"))</f>
        <v/>
      </c>
      <c r="T153">
        <f>IF($AG153="","",Config!$B$17)</f>
        <v/>
      </c>
      <c r="U153">
        <f>IF($AG153="","",Config!$B$18)</f>
        <v/>
      </c>
      <c r="V153">
        <f>IF($AG153="","",Config!$B$19)</f>
        <v/>
      </c>
      <c r="W153">
        <f>IF($AG153="","",INDEX('TMP Paste'!$C$2:$C$1601,$AG153))</f>
        <v/>
      </c>
      <c r="X153">
        <f>IF($AG153="","",Config!$B$29)</f>
        <v/>
      </c>
      <c r="Y153">
        <f>IF($AH153="","",INDEX(Calc!$I$2:$I$1601,$AH153)&amp;" - "&amp;INDEX(Calc!$D$2:$D$1601,$AH153)&amp;" koli")</f>
        <v/>
      </c>
      <c r="Z153">
        <f>IF($AG153="","",Config!$B$21)</f>
        <v/>
      </c>
      <c r="AA153">
        <f>IF($AG153="","",Config!$B$22)</f>
        <v/>
      </c>
      <c r="AB153">
        <f>IF($AH153="","",INDEX(Calc!$D$2:$D$1601,$AH153))</f>
        <v/>
      </c>
      <c r="AC153">
        <f>IF($AH153="","",INDEX(Calc!$G$2:$G$1601,$AH153))</f>
        <v/>
      </c>
      <c r="AD153">
        <f>IF($AG153="","",Config!$B$23)</f>
        <v/>
      </c>
      <c r="AE153">
        <f>IF($AG153="","",Config!$B$28)</f>
        <v/>
      </c>
      <c r="AG153">
        <f>IFERROR(MATCH(ROW()-1,Calc!$J$2:$J$1601,0),"")</f>
        <v/>
      </c>
      <c r="AH153">
        <f>IFERROR(MATCH(ROW()-1,Calc!$K$2:$K$1601,0),"")</f>
        <v/>
      </c>
      <c r="AI153">
        <f>IF($AG153="","",SUMIF($AG$2:$AG153,$AG153,$AH$2:$AH153))</f>
        <v/>
      </c>
      <c r="AJ153">
        <f>IF('TMP Paste'!$F153="","",IF('TMP Paste'!$B153="",$AJ152,'TMP Paste'!$B153))</f>
        <v/>
      </c>
      <c r="AK153">
        <f>IF('TMP Paste'!$F153="","",N('TMP Paste'!$G153))</f>
        <v/>
      </c>
      <c r="AL153">
        <f>IF('TMP Paste'!$F153="","",IF('TMP Paste'!$M153="",$AL152,'TMP Paste'!$M153))</f>
        <v/>
      </c>
      <c r="AM153">
        <f>IF('TMP Paste'!$F153="","",IF('TMP Paste'!$N153="",$AM152,'TMP Paste'!$N153))</f>
        <v/>
      </c>
      <c r="AN153">
        <f>IF('TMP Paste'!$F153="","",IF('TMP Paste'!$O153="",$AN152,'TMP Paste'!$O153))</f>
        <v/>
      </c>
      <c r="AO153">
        <f>IF('TMP Paste'!$F153="","",IF('TMP Paste'!$P153="",$AO152,'TMP Paste'!$P153))</f>
        <v/>
      </c>
      <c r="AP153">
        <f>IF($AG153="","",LEN($R153))</f>
        <v/>
      </c>
      <c r="AQ153">
        <f>IF($AG153="","",TRIM(IF(COUNTIFS(Calc!$B$2:$B$1601,ROW()-1,Calc!$C$2:$C$1601,"&lt;1")&gt;0,"Ada PO tanpa Koli - cek TMP. ","")&amp;IF(LEN($R153)&gt;500,"R &gt; 500 karakter.","")))</f>
        <v/>
      </c>
    </row>
    <row r="154">
      <c r="A154">
        <f>IF($AG154="","",INDEX('TMP Paste'!$B$2:$B$1601,$AG154))</f>
        <v/>
      </c>
      <c r="B154">
        <f>IF($AG154="","",Config!$B$14)</f>
        <v/>
      </c>
      <c r="C154">
        <f>IF($AG154="","",Config!$B$15)</f>
        <v/>
      </c>
      <c r="D154">
        <f>IF($AG154="","",INDEX('TMP Paste'!$B$2:$B$1601,$AG154))</f>
        <v/>
      </c>
      <c r="E154">
        <f>IF($AG154="","",Config!$B$27)</f>
        <v/>
      </c>
      <c r="F154">
        <f>IF($AG154="","",Config!$B$9)</f>
        <v/>
      </c>
      <c r="G154">
        <f>IF($AG154="","",Config!$B$10)</f>
        <v/>
      </c>
      <c r="H154">
        <f>IF($AG154="","",Config!$B$11)</f>
        <v/>
      </c>
      <c r="I154">
        <f>IF($AG154="","",Config!$B$16)</f>
        <v/>
      </c>
      <c r="J154">
        <f>IF($AG154="","",INDEX('TMP Paste'!$A$2:$A$1601,$AG154))</f>
        <v/>
      </c>
      <c r="K154">
        <f>IF($AG154="","",INDEX('TMP Paste'!$L$2:$L$1601,$AG154))</f>
        <v/>
      </c>
      <c r="L154">
        <f>IF($AG154="","",INDEX('TMP Paste'!$I$2:$I$1601,$AG154))</f>
        <v/>
      </c>
      <c r="M154">
        <f>IF($AG154="","",Config!$B$16)</f>
        <v/>
      </c>
      <c r="N154">
        <f>IF($AG154="","","")</f>
        <v/>
      </c>
      <c r="O154">
        <f>IF($AG154="","",INDEX('TMP Paste'!$K$2:$K$1601,$AG154))</f>
        <v/>
      </c>
      <c r="P154">
        <f>IF($AG154="","","")</f>
        <v/>
      </c>
      <c r="Q154">
        <f>IF($AG154="","",INDEX('TMP Paste'!$J$2:$J$1601,$AG154))</f>
        <v/>
      </c>
      <c r="R154">
        <f>IF($AG154="","",Config!$B$24)</f>
        <v/>
      </c>
      <c r="S154">
        <f>IF($AG154="","",TEXT(Config!$B$4,"yyyy-mm-dd"))</f>
        <v/>
      </c>
      <c r="T154">
        <f>IF($AG154="","",Config!$B$17)</f>
        <v/>
      </c>
      <c r="U154">
        <f>IF($AG154="","",Config!$B$18)</f>
        <v/>
      </c>
      <c r="V154">
        <f>IF($AG154="","",Config!$B$19)</f>
        <v/>
      </c>
      <c r="W154">
        <f>IF($AG154="","",INDEX('TMP Paste'!$C$2:$C$1601,$AG154))</f>
        <v/>
      </c>
      <c r="X154">
        <f>IF($AG154="","",Config!$B$29)</f>
        <v/>
      </c>
      <c r="Y154">
        <f>IF($AH154="","",INDEX(Calc!$I$2:$I$1601,$AH154)&amp;" - "&amp;INDEX(Calc!$D$2:$D$1601,$AH154)&amp;" koli")</f>
        <v/>
      </c>
      <c r="Z154">
        <f>IF($AG154="","",Config!$B$21)</f>
        <v/>
      </c>
      <c r="AA154">
        <f>IF($AG154="","",Config!$B$22)</f>
        <v/>
      </c>
      <c r="AB154">
        <f>IF($AH154="","",INDEX(Calc!$D$2:$D$1601,$AH154))</f>
        <v/>
      </c>
      <c r="AC154">
        <f>IF($AH154="","",INDEX(Calc!$G$2:$G$1601,$AH154))</f>
        <v/>
      </c>
      <c r="AD154">
        <f>IF($AG154="","",Config!$B$23)</f>
        <v/>
      </c>
      <c r="AE154">
        <f>IF($AG154="","",Config!$B$28)</f>
        <v/>
      </c>
      <c r="AG154">
        <f>IFERROR(MATCH(ROW()-1,Calc!$J$2:$J$1601,0),"")</f>
        <v/>
      </c>
      <c r="AH154">
        <f>IFERROR(MATCH(ROW()-1,Calc!$K$2:$K$1601,0),"")</f>
        <v/>
      </c>
      <c r="AI154">
        <f>IF($AG154="","",SUMIF($AG$2:$AG154,$AG154,$AH$2:$AH154))</f>
        <v/>
      </c>
      <c r="AJ154">
        <f>IF('TMP Paste'!$F154="","",IF('TMP Paste'!$B154="",$AJ153,'TMP Paste'!$B154))</f>
        <v/>
      </c>
      <c r="AK154">
        <f>IF('TMP Paste'!$F154="","",N('TMP Paste'!$G154))</f>
        <v/>
      </c>
      <c r="AL154">
        <f>IF('TMP Paste'!$F154="","",IF('TMP Paste'!$M154="",$AL153,'TMP Paste'!$M154))</f>
        <v/>
      </c>
      <c r="AM154">
        <f>IF('TMP Paste'!$F154="","",IF('TMP Paste'!$N154="",$AM153,'TMP Paste'!$N154))</f>
        <v/>
      </c>
      <c r="AN154">
        <f>IF('TMP Paste'!$F154="","",IF('TMP Paste'!$O154="",$AN153,'TMP Paste'!$O154))</f>
        <v/>
      </c>
      <c r="AO154">
        <f>IF('TMP Paste'!$F154="","",IF('TMP Paste'!$P154="",$AO153,'TMP Paste'!$P154))</f>
        <v/>
      </c>
      <c r="AP154">
        <f>IF($AG154="","",LEN($R154))</f>
        <v/>
      </c>
      <c r="AQ154">
        <f>IF($AG154="","",TRIM(IF(COUNTIFS(Calc!$B$2:$B$1601,ROW()-1,Calc!$C$2:$C$1601,"&lt;1")&gt;0,"Ada PO tanpa Koli - cek TMP. ","")&amp;IF(LEN($R154)&gt;500,"R &gt; 500 karakter.","")))</f>
        <v/>
      </c>
    </row>
    <row r="155">
      <c r="A155">
        <f>IF($AG155="","",INDEX('TMP Paste'!$B$2:$B$1601,$AG155))</f>
        <v/>
      </c>
      <c r="B155">
        <f>IF($AG155="","",Config!$B$14)</f>
        <v/>
      </c>
      <c r="C155">
        <f>IF($AG155="","",Config!$B$15)</f>
        <v/>
      </c>
      <c r="D155">
        <f>IF($AG155="","",INDEX('TMP Paste'!$B$2:$B$1601,$AG155))</f>
        <v/>
      </c>
      <c r="E155">
        <f>IF($AG155="","",Config!$B$27)</f>
        <v/>
      </c>
      <c r="F155">
        <f>IF($AG155="","",Config!$B$9)</f>
        <v/>
      </c>
      <c r="G155">
        <f>IF($AG155="","",Config!$B$10)</f>
        <v/>
      </c>
      <c r="H155">
        <f>IF($AG155="","",Config!$B$11)</f>
        <v/>
      </c>
      <c r="I155">
        <f>IF($AG155="","",Config!$B$16)</f>
        <v/>
      </c>
      <c r="J155">
        <f>IF($AG155="","",INDEX('TMP Paste'!$A$2:$A$1601,$AG155))</f>
        <v/>
      </c>
      <c r="K155">
        <f>IF($AG155="","",INDEX('TMP Paste'!$L$2:$L$1601,$AG155))</f>
        <v/>
      </c>
      <c r="L155">
        <f>IF($AG155="","",INDEX('TMP Paste'!$I$2:$I$1601,$AG155))</f>
        <v/>
      </c>
      <c r="M155">
        <f>IF($AG155="","",Config!$B$16)</f>
        <v/>
      </c>
      <c r="N155">
        <f>IF($AG155="","","")</f>
        <v/>
      </c>
      <c r="O155">
        <f>IF($AG155="","",INDEX('TMP Paste'!$K$2:$K$1601,$AG155))</f>
        <v/>
      </c>
      <c r="P155">
        <f>IF($AG155="","","")</f>
        <v/>
      </c>
      <c r="Q155">
        <f>IF($AG155="","",INDEX('TMP Paste'!$J$2:$J$1601,$AG155))</f>
        <v/>
      </c>
      <c r="R155">
        <f>IF($AG155="","",Config!$B$24)</f>
        <v/>
      </c>
      <c r="S155">
        <f>IF($AG155="","",TEXT(Config!$B$4,"yyyy-mm-dd"))</f>
        <v/>
      </c>
      <c r="T155">
        <f>IF($AG155="","",Config!$B$17)</f>
        <v/>
      </c>
      <c r="U155">
        <f>IF($AG155="","",Config!$B$18)</f>
        <v/>
      </c>
      <c r="V155">
        <f>IF($AG155="","",Config!$B$19)</f>
        <v/>
      </c>
      <c r="W155">
        <f>IF($AG155="","",INDEX('TMP Paste'!$C$2:$C$1601,$AG155))</f>
        <v/>
      </c>
      <c r="X155">
        <f>IF($AG155="","",Config!$B$29)</f>
        <v/>
      </c>
      <c r="Y155">
        <f>IF($AH155="","",INDEX(Calc!$I$2:$I$1601,$AH155)&amp;" - "&amp;INDEX(Calc!$D$2:$D$1601,$AH155)&amp;" koli")</f>
        <v/>
      </c>
      <c r="Z155">
        <f>IF($AG155="","",Config!$B$21)</f>
        <v/>
      </c>
      <c r="AA155">
        <f>IF($AG155="","",Config!$B$22)</f>
        <v/>
      </c>
      <c r="AB155">
        <f>IF($AH155="","",INDEX(Calc!$D$2:$D$1601,$AH155))</f>
        <v/>
      </c>
      <c r="AC155">
        <f>IF($AH155="","",INDEX(Calc!$G$2:$G$1601,$AH155))</f>
        <v/>
      </c>
      <c r="AD155">
        <f>IF($AG155="","",Config!$B$23)</f>
        <v/>
      </c>
      <c r="AE155">
        <f>IF($AG155="","",Config!$B$28)</f>
        <v/>
      </c>
      <c r="AG155">
        <f>IFERROR(MATCH(ROW()-1,Calc!$J$2:$J$1601,0),"")</f>
        <v/>
      </c>
      <c r="AH155">
        <f>IFERROR(MATCH(ROW()-1,Calc!$K$2:$K$1601,0),"")</f>
        <v/>
      </c>
      <c r="AI155">
        <f>IF($AG155="","",SUMIF($AG$2:$AG155,$AG155,$AH$2:$AH155))</f>
        <v/>
      </c>
      <c r="AJ155">
        <f>IF('TMP Paste'!$F155="","",IF('TMP Paste'!$B155="",$AJ154,'TMP Paste'!$B155))</f>
        <v/>
      </c>
      <c r="AK155">
        <f>IF('TMP Paste'!$F155="","",N('TMP Paste'!$G155))</f>
        <v/>
      </c>
      <c r="AL155">
        <f>IF('TMP Paste'!$F155="","",IF('TMP Paste'!$M155="",$AL154,'TMP Paste'!$M155))</f>
        <v/>
      </c>
      <c r="AM155">
        <f>IF('TMP Paste'!$F155="","",IF('TMP Paste'!$N155="",$AM154,'TMP Paste'!$N155))</f>
        <v/>
      </c>
      <c r="AN155">
        <f>IF('TMP Paste'!$F155="","",IF('TMP Paste'!$O155="",$AN154,'TMP Paste'!$O155))</f>
        <v/>
      </c>
      <c r="AO155">
        <f>IF('TMP Paste'!$F155="","",IF('TMP Paste'!$P155="",$AO154,'TMP Paste'!$P155))</f>
        <v/>
      </c>
      <c r="AP155">
        <f>IF($AG155="","",LEN($R155))</f>
        <v/>
      </c>
      <c r="AQ155">
        <f>IF($AG155="","",TRIM(IF(COUNTIFS(Calc!$B$2:$B$1601,ROW()-1,Calc!$C$2:$C$1601,"&lt;1")&gt;0,"Ada PO tanpa Koli - cek TMP. ","")&amp;IF(LEN($R155)&gt;500,"R &gt; 500 karakter.","")))</f>
        <v/>
      </c>
    </row>
    <row r="156">
      <c r="A156">
        <f>IF($AG156="","",INDEX('TMP Paste'!$B$2:$B$1601,$AG156))</f>
        <v/>
      </c>
      <c r="B156">
        <f>IF($AG156="","",Config!$B$14)</f>
        <v/>
      </c>
      <c r="C156">
        <f>IF($AG156="","",Config!$B$15)</f>
        <v/>
      </c>
      <c r="D156">
        <f>IF($AG156="","",INDEX('TMP Paste'!$B$2:$B$1601,$AG156))</f>
        <v/>
      </c>
      <c r="E156">
        <f>IF($AG156="","",Config!$B$27)</f>
        <v/>
      </c>
      <c r="F156">
        <f>IF($AG156="","",Config!$B$9)</f>
        <v/>
      </c>
      <c r="G156">
        <f>IF($AG156="","",Config!$B$10)</f>
        <v/>
      </c>
      <c r="H156">
        <f>IF($AG156="","",Config!$B$11)</f>
        <v/>
      </c>
      <c r="I156">
        <f>IF($AG156="","",Config!$B$16)</f>
        <v/>
      </c>
      <c r="J156">
        <f>IF($AG156="","",INDEX('TMP Paste'!$A$2:$A$1601,$AG156))</f>
        <v/>
      </c>
      <c r="K156">
        <f>IF($AG156="","",INDEX('TMP Paste'!$L$2:$L$1601,$AG156))</f>
        <v/>
      </c>
      <c r="L156">
        <f>IF($AG156="","",INDEX('TMP Paste'!$I$2:$I$1601,$AG156))</f>
        <v/>
      </c>
      <c r="M156">
        <f>IF($AG156="","",Config!$B$16)</f>
        <v/>
      </c>
      <c r="N156">
        <f>IF($AG156="","","")</f>
        <v/>
      </c>
      <c r="O156">
        <f>IF($AG156="","",INDEX('TMP Paste'!$K$2:$K$1601,$AG156))</f>
        <v/>
      </c>
      <c r="P156">
        <f>IF($AG156="","","")</f>
        <v/>
      </c>
      <c r="Q156">
        <f>IF($AG156="","",INDEX('TMP Paste'!$J$2:$J$1601,$AG156))</f>
        <v/>
      </c>
      <c r="R156">
        <f>IF($AG156="","",Config!$B$24)</f>
        <v/>
      </c>
      <c r="S156">
        <f>IF($AG156="","",TEXT(Config!$B$4,"yyyy-mm-dd"))</f>
        <v/>
      </c>
      <c r="T156">
        <f>IF($AG156="","",Config!$B$17)</f>
        <v/>
      </c>
      <c r="U156">
        <f>IF($AG156="","",Config!$B$18)</f>
        <v/>
      </c>
      <c r="V156">
        <f>IF($AG156="","",Config!$B$19)</f>
        <v/>
      </c>
      <c r="W156">
        <f>IF($AG156="","",INDEX('TMP Paste'!$C$2:$C$1601,$AG156))</f>
        <v/>
      </c>
      <c r="X156">
        <f>IF($AG156="","",Config!$B$29)</f>
        <v/>
      </c>
      <c r="Y156">
        <f>IF($AH156="","",INDEX(Calc!$I$2:$I$1601,$AH156)&amp;" - "&amp;INDEX(Calc!$D$2:$D$1601,$AH156)&amp;" koli")</f>
        <v/>
      </c>
      <c r="Z156">
        <f>IF($AG156="","",Config!$B$21)</f>
        <v/>
      </c>
      <c r="AA156">
        <f>IF($AG156="","",Config!$B$22)</f>
        <v/>
      </c>
      <c r="AB156">
        <f>IF($AH156="","",INDEX(Calc!$D$2:$D$1601,$AH156))</f>
        <v/>
      </c>
      <c r="AC156">
        <f>IF($AH156="","",INDEX(Calc!$G$2:$G$1601,$AH156))</f>
        <v/>
      </c>
      <c r="AD156">
        <f>IF($AG156="","",Config!$B$23)</f>
        <v/>
      </c>
      <c r="AE156">
        <f>IF($AG156="","",Config!$B$28)</f>
        <v/>
      </c>
      <c r="AG156">
        <f>IFERROR(MATCH(ROW()-1,Calc!$J$2:$J$1601,0),"")</f>
        <v/>
      </c>
      <c r="AH156">
        <f>IFERROR(MATCH(ROW()-1,Calc!$K$2:$K$1601,0),"")</f>
        <v/>
      </c>
      <c r="AI156">
        <f>IF($AG156="","",SUMIF($AG$2:$AG156,$AG156,$AH$2:$AH156))</f>
        <v/>
      </c>
      <c r="AJ156">
        <f>IF('TMP Paste'!$F156="","",IF('TMP Paste'!$B156="",$AJ155,'TMP Paste'!$B156))</f>
        <v/>
      </c>
      <c r="AK156">
        <f>IF('TMP Paste'!$F156="","",N('TMP Paste'!$G156))</f>
        <v/>
      </c>
      <c r="AL156">
        <f>IF('TMP Paste'!$F156="","",IF('TMP Paste'!$M156="",$AL155,'TMP Paste'!$M156))</f>
        <v/>
      </c>
      <c r="AM156">
        <f>IF('TMP Paste'!$F156="","",IF('TMP Paste'!$N156="",$AM155,'TMP Paste'!$N156))</f>
        <v/>
      </c>
      <c r="AN156">
        <f>IF('TMP Paste'!$F156="","",IF('TMP Paste'!$O156="",$AN155,'TMP Paste'!$O156))</f>
        <v/>
      </c>
      <c r="AO156">
        <f>IF('TMP Paste'!$F156="","",IF('TMP Paste'!$P156="",$AO155,'TMP Paste'!$P156))</f>
        <v/>
      </c>
      <c r="AP156">
        <f>IF($AG156="","",LEN($R156))</f>
        <v/>
      </c>
      <c r="AQ156">
        <f>IF($AG156="","",TRIM(IF(COUNTIFS(Calc!$B$2:$B$1601,ROW()-1,Calc!$C$2:$C$1601,"&lt;1")&gt;0,"Ada PO tanpa Koli - cek TMP. ","")&amp;IF(LEN($R156)&gt;500,"R &gt; 500 karakter.","")))</f>
        <v/>
      </c>
    </row>
    <row r="157">
      <c r="A157">
        <f>IF($AG157="","",INDEX('TMP Paste'!$B$2:$B$1601,$AG157))</f>
        <v/>
      </c>
      <c r="B157">
        <f>IF($AG157="","",Config!$B$14)</f>
        <v/>
      </c>
      <c r="C157">
        <f>IF($AG157="","",Config!$B$15)</f>
        <v/>
      </c>
      <c r="D157">
        <f>IF($AG157="","",INDEX('TMP Paste'!$B$2:$B$1601,$AG157))</f>
        <v/>
      </c>
      <c r="E157">
        <f>IF($AG157="","",Config!$B$27)</f>
        <v/>
      </c>
      <c r="F157">
        <f>IF($AG157="","",Config!$B$9)</f>
        <v/>
      </c>
      <c r="G157">
        <f>IF($AG157="","",Config!$B$10)</f>
        <v/>
      </c>
      <c r="H157">
        <f>IF($AG157="","",Config!$B$11)</f>
        <v/>
      </c>
      <c r="I157">
        <f>IF($AG157="","",Config!$B$16)</f>
        <v/>
      </c>
      <c r="J157">
        <f>IF($AG157="","",INDEX('TMP Paste'!$A$2:$A$1601,$AG157))</f>
        <v/>
      </c>
      <c r="K157">
        <f>IF($AG157="","",INDEX('TMP Paste'!$L$2:$L$1601,$AG157))</f>
        <v/>
      </c>
      <c r="L157">
        <f>IF($AG157="","",INDEX('TMP Paste'!$I$2:$I$1601,$AG157))</f>
        <v/>
      </c>
      <c r="M157">
        <f>IF($AG157="","",Config!$B$16)</f>
        <v/>
      </c>
      <c r="N157">
        <f>IF($AG157="","","")</f>
        <v/>
      </c>
      <c r="O157">
        <f>IF($AG157="","",INDEX('TMP Paste'!$K$2:$K$1601,$AG157))</f>
        <v/>
      </c>
      <c r="P157">
        <f>IF($AG157="","","")</f>
        <v/>
      </c>
      <c r="Q157">
        <f>IF($AG157="","",INDEX('TMP Paste'!$J$2:$J$1601,$AG157))</f>
        <v/>
      </c>
      <c r="R157">
        <f>IF($AG157="","",Config!$B$24)</f>
        <v/>
      </c>
      <c r="S157">
        <f>IF($AG157="","",TEXT(Config!$B$4,"yyyy-mm-dd"))</f>
        <v/>
      </c>
      <c r="T157">
        <f>IF($AG157="","",Config!$B$17)</f>
        <v/>
      </c>
      <c r="U157">
        <f>IF($AG157="","",Config!$B$18)</f>
        <v/>
      </c>
      <c r="V157">
        <f>IF($AG157="","",Config!$B$19)</f>
        <v/>
      </c>
      <c r="W157">
        <f>IF($AG157="","",INDEX('TMP Paste'!$C$2:$C$1601,$AG157))</f>
        <v/>
      </c>
      <c r="X157">
        <f>IF($AG157="","",Config!$B$29)</f>
        <v/>
      </c>
      <c r="Y157">
        <f>IF($AH157="","",INDEX(Calc!$I$2:$I$1601,$AH157)&amp;" - "&amp;INDEX(Calc!$D$2:$D$1601,$AH157)&amp;" koli")</f>
        <v/>
      </c>
      <c r="Z157">
        <f>IF($AG157="","",Config!$B$21)</f>
        <v/>
      </c>
      <c r="AA157">
        <f>IF($AG157="","",Config!$B$22)</f>
        <v/>
      </c>
      <c r="AB157">
        <f>IF($AH157="","",INDEX(Calc!$D$2:$D$1601,$AH157))</f>
        <v/>
      </c>
      <c r="AC157">
        <f>IF($AH157="","",INDEX(Calc!$G$2:$G$1601,$AH157))</f>
        <v/>
      </c>
      <c r="AD157">
        <f>IF($AG157="","",Config!$B$23)</f>
        <v/>
      </c>
      <c r="AE157">
        <f>IF($AG157="","",Config!$B$28)</f>
        <v/>
      </c>
      <c r="AG157">
        <f>IFERROR(MATCH(ROW()-1,Calc!$J$2:$J$1601,0),"")</f>
        <v/>
      </c>
      <c r="AH157">
        <f>IFERROR(MATCH(ROW()-1,Calc!$K$2:$K$1601,0),"")</f>
        <v/>
      </c>
      <c r="AI157">
        <f>IF($AG157="","",SUMIF($AG$2:$AG157,$AG157,$AH$2:$AH157))</f>
        <v/>
      </c>
      <c r="AJ157">
        <f>IF('TMP Paste'!$F157="","",IF('TMP Paste'!$B157="",$AJ156,'TMP Paste'!$B157))</f>
        <v/>
      </c>
      <c r="AK157">
        <f>IF('TMP Paste'!$F157="","",N('TMP Paste'!$G157))</f>
        <v/>
      </c>
      <c r="AL157">
        <f>IF('TMP Paste'!$F157="","",IF('TMP Paste'!$M157="",$AL156,'TMP Paste'!$M157))</f>
        <v/>
      </c>
      <c r="AM157">
        <f>IF('TMP Paste'!$F157="","",IF('TMP Paste'!$N157="",$AM156,'TMP Paste'!$N157))</f>
        <v/>
      </c>
      <c r="AN157">
        <f>IF('TMP Paste'!$F157="","",IF('TMP Paste'!$O157="",$AN156,'TMP Paste'!$O157))</f>
        <v/>
      </c>
      <c r="AO157">
        <f>IF('TMP Paste'!$F157="","",IF('TMP Paste'!$P157="",$AO156,'TMP Paste'!$P157))</f>
        <v/>
      </c>
      <c r="AP157">
        <f>IF($AG157="","",LEN($R157))</f>
        <v/>
      </c>
      <c r="AQ157">
        <f>IF($AG157="","",TRIM(IF(COUNTIFS(Calc!$B$2:$B$1601,ROW()-1,Calc!$C$2:$C$1601,"&lt;1")&gt;0,"Ada PO tanpa Koli - cek TMP. ","")&amp;IF(LEN($R157)&gt;500,"R &gt; 500 karakter.","")))</f>
        <v/>
      </c>
    </row>
    <row r="158">
      <c r="A158">
        <f>IF($AG158="","",INDEX('TMP Paste'!$B$2:$B$1601,$AG158))</f>
        <v/>
      </c>
      <c r="B158">
        <f>IF($AG158="","",Config!$B$14)</f>
        <v/>
      </c>
      <c r="C158">
        <f>IF($AG158="","",Config!$B$15)</f>
        <v/>
      </c>
      <c r="D158">
        <f>IF($AG158="","",INDEX('TMP Paste'!$B$2:$B$1601,$AG158))</f>
        <v/>
      </c>
      <c r="E158">
        <f>IF($AG158="","",Config!$B$27)</f>
        <v/>
      </c>
      <c r="F158">
        <f>IF($AG158="","",Config!$B$9)</f>
        <v/>
      </c>
      <c r="G158">
        <f>IF($AG158="","",Config!$B$10)</f>
        <v/>
      </c>
      <c r="H158">
        <f>IF($AG158="","",Config!$B$11)</f>
        <v/>
      </c>
      <c r="I158">
        <f>IF($AG158="","",Config!$B$16)</f>
        <v/>
      </c>
      <c r="J158">
        <f>IF($AG158="","",INDEX('TMP Paste'!$A$2:$A$1601,$AG158))</f>
        <v/>
      </c>
      <c r="K158">
        <f>IF($AG158="","",INDEX('TMP Paste'!$L$2:$L$1601,$AG158))</f>
        <v/>
      </c>
      <c r="L158">
        <f>IF($AG158="","",INDEX('TMP Paste'!$I$2:$I$1601,$AG158))</f>
        <v/>
      </c>
      <c r="M158">
        <f>IF($AG158="","",Config!$B$16)</f>
        <v/>
      </c>
      <c r="N158">
        <f>IF($AG158="","","")</f>
        <v/>
      </c>
      <c r="O158">
        <f>IF($AG158="","",INDEX('TMP Paste'!$K$2:$K$1601,$AG158))</f>
        <v/>
      </c>
      <c r="P158">
        <f>IF($AG158="","","")</f>
        <v/>
      </c>
      <c r="Q158">
        <f>IF($AG158="","",INDEX('TMP Paste'!$J$2:$J$1601,$AG158))</f>
        <v/>
      </c>
      <c r="R158">
        <f>IF($AG158="","",Config!$B$24)</f>
        <v/>
      </c>
      <c r="S158">
        <f>IF($AG158="","",TEXT(Config!$B$4,"yyyy-mm-dd"))</f>
        <v/>
      </c>
      <c r="T158">
        <f>IF($AG158="","",Config!$B$17)</f>
        <v/>
      </c>
      <c r="U158">
        <f>IF($AG158="","",Config!$B$18)</f>
        <v/>
      </c>
      <c r="V158">
        <f>IF($AG158="","",Config!$B$19)</f>
        <v/>
      </c>
      <c r="W158">
        <f>IF($AG158="","",INDEX('TMP Paste'!$C$2:$C$1601,$AG158))</f>
        <v/>
      </c>
      <c r="X158">
        <f>IF($AG158="","",Config!$B$29)</f>
        <v/>
      </c>
      <c r="Y158">
        <f>IF($AH158="","",INDEX(Calc!$I$2:$I$1601,$AH158)&amp;" - "&amp;INDEX(Calc!$D$2:$D$1601,$AH158)&amp;" koli")</f>
        <v/>
      </c>
      <c r="Z158">
        <f>IF($AG158="","",Config!$B$21)</f>
        <v/>
      </c>
      <c r="AA158">
        <f>IF($AG158="","",Config!$B$22)</f>
        <v/>
      </c>
      <c r="AB158">
        <f>IF($AH158="","",INDEX(Calc!$D$2:$D$1601,$AH158))</f>
        <v/>
      </c>
      <c r="AC158">
        <f>IF($AH158="","",INDEX(Calc!$G$2:$G$1601,$AH158))</f>
        <v/>
      </c>
      <c r="AD158">
        <f>IF($AG158="","",Config!$B$23)</f>
        <v/>
      </c>
      <c r="AE158">
        <f>IF($AG158="","",Config!$B$28)</f>
        <v/>
      </c>
      <c r="AG158">
        <f>IFERROR(MATCH(ROW()-1,Calc!$J$2:$J$1601,0),"")</f>
        <v/>
      </c>
      <c r="AH158">
        <f>IFERROR(MATCH(ROW()-1,Calc!$K$2:$K$1601,0),"")</f>
        <v/>
      </c>
      <c r="AI158">
        <f>IF($AG158="","",SUMIF($AG$2:$AG158,$AG158,$AH$2:$AH158))</f>
        <v/>
      </c>
      <c r="AJ158">
        <f>IF('TMP Paste'!$F158="","",IF('TMP Paste'!$B158="",$AJ157,'TMP Paste'!$B158))</f>
        <v/>
      </c>
      <c r="AK158">
        <f>IF('TMP Paste'!$F158="","",N('TMP Paste'!$G158))</f>
        <v/>
      </c>
      <c r="AL158">
        <f>IF('TMP Paste'!$F158="","",IF('TMP Paste'!$M158="",$AL157,'TMP Paste'!$M158))</f>
        <v/>
      </c>
      <c r="AM158">
        <f>IF('TMP Paste'!$F158="","",IF('TMP Paste'!$N158="",$AM157,'TMP Paste'!$N158))</f>
        <v/>
      </c>
      <c r="AN158">
        <f>IF('TMP Paste'!$F158="","",IF('TMP Paste'!$O158="",$AN157,'TMP Paste'!$O158))</f>
        <v/>
      </c>
      <c r="AO158">
        <f>IF('TMP Paste'!$F158="","",IF('TMP Paste'!$P158="",$AO157,'TMP Paste'!$P158))</f>
        <v/>
      </c>
      <c r="AP158">
        <f>IF($AG158="","",LEN($R158))</f>
        <v/>
      </c>
      <c r="AQ158">
        <f>IF($AG158="","",TRIM(IF(COUNTIFS(Calc!$B$2:$B$1601,ROW()-1,Calc!$C$2:$C$1601,"&lt;1")&gt;0,"Ada PO tanpa Koli - cek TMP. ","")&amp;IF(LEN($R158)&gt;500,"R &gt; 500 karakter.","")))</f>
        <v/>
      </c>
    </row>
    <row r="159">
      <c r="A159">
        <f>IF($AG159="","",INDEX('TMP Paste'!$B$2:$B$1601,$AG159))</f>
        <v/>
      </c>
      <c r="B159">
        <f>IF($AG159="","",Config!$B$14)</f>
        <v/>
      </c>
      <c r="C159">
        <f>IF($AG159="","",Config!$B$15)</f>
        <v/>
      </c>
      <c r="D159">
        <f>IF($AG159="","",INDEX('TMP Paste'!$B$2:$B$1601,$AG159))</f>
        <v/>
      </c>
      <c r="E159">
        <f>IF($AG159="","",Config!$B$27)</f>
        <v/>
      </c>
      <c r="F159">
        <f>IF($AG159="","",Config!$B$9)</f>
        <v/>
      </c>
      <c r="G159">
        <f>IF($AG159="","",Config!$B$10)</f>
        <v/>
      </c>
      <c r="H159">
        <f>IF($AG159="","",Config!$B$11)</f>
        <v/>
      </c>
      <c r="I159">
        <f>IF($AG159="","",Config!$B$16)</f>
        <v/>
      </c>
      <c r="J159">
        <f>IF($AG159="","",INDEX('TMP Paste'!$A$2:$A$1601,$AG159))</f>
        <v/>
      </c>
      <c r="K159">
        <f>IF($AG159="","",INDEX('TMP Paste'!$L$2:$L$1601,$AG159))</f>
        <v/>
      </c>
      <c r="L159">
        <f>IF($AG159="","",INDEX('TMP Paste'!$I$2:$I$1601,$AG159))</f>
        <v/>
      </c>
      <c r="M159">
        <f>IF($AG159="","",Config!$B$16)</f>
        <v/>
      </c>
      <c r="N159">
        <f>IF($AG159="","","")</f>
        <v/>
      </c>
      <c r="O159">
        <f>IF($AG159="","",INDEX('TMP Paste'!$K$2:$K$1601,$AG159))</f>
        <v/>
      </c>
      <c r="P159">
        <f>IF($AG159="","","")</f>
        <v/>
      </c>
      <c r="Q159">
        <f>IF($AG159="","",INDEX('TMP Paste'!$J$2:$J$1601,$AG159))</f>
        <v/>
      </c>
      <c r="R159">
        <f>IF($AG159="","",Config!$B$24)</f>
        <v/>
      </c>
      <c r="S159">
        <f>IF($AG159="","",TEXT(Config!$B$4,"yyyy-mm-dd"))</f>
        <v/>
      </c>
      <c r="T159">
        <f>IF($AG159="","",Config!$B$17)</f>
        <v/>
      </c>
      <c r="U159">
        <f>IF($AG159="","",Config!$B$18)</f>
        <v/>
      </c>
      <c r="V159">
        <f>IF($AG159="","",Config!$B$19)</f>
        <v/>
      </c>
      <c r="W159">
        <f>IF($AG159="","",INDEX('TMP Paste'!$C$2:$C$1601,$AG159))</f>
        <v/>
      </c>
      <c r="X159">
        <f>IF($AG159="","",Config!$B$29)</f>
        <v/>
      </c>
      <c r="Y159">
        <f>IF($AH159="","",INDEX(Calc!$I$2:$I$1601,$AH159)&amp;" - "&amp;INDEX(Calc!$D$2:$D$1601,$AH159)&amp;" koli")</f>
        <v/>
      </c>
      <c r="Z159">
        <f>IF($AG159="","",Config!$B$21)</f>
        <v/>
      </c>
      <c r="AA159">
        <f>IF($AG159="","",Config!$B$22)</f>
        <v/>
      </c>
      <c r="AB159">
        <f>IF($AH159="","",INDEX(Calc!$D$2:$D$1601,$AH159))</f>
        <v/>
      </c>
      <c r="AC159">
        <f>IF($AH159="","",INDEX(Calc!$G$2:$G$1601,$AH159))</f>
        <v/>
      </c>
      <c r="AD159">
        <f>IF($AG159="","",Config!$B$23)</f>
        <v/>
      </c>
      <c r="AE159">
        <f>IF($AG159="","",Config!$B$28)</f>
        <v/>
      </c>
      <c r="AG159">
        <f>IFERROR(MATCH(ROW()-1,Calc!$J$2:$J$1601,0),"")</f>
        <v/>
      </c>
      <c r="AH159">
        <f>IFERROR(MATCH(ROW()-1,Calc!$K$2:$K$1601,0),"")</f>
        <v/>
      </c>
      <c r="AI159">
        <f>IF($AG159="","",SUMIF($AG$2:$AG159,$AG159,$AH$2:$AH159))</f>
        <v/>
      </c>
      <c r="AJ159">
        <f>IF('TMP Paste'!$F159="","",IF('TMP Paste'!$B159="",$AJ158,'TMP Paste'!$B159))</f>
        <v/>
      </c>
      <c r="AK159">
        <f>IF('TMP Paste'!$F159="","",N('TMP Paste'!$G159))</f>
        <v/>
      </c>
      <c r="AL159">
        <f>IF('TMP Paste'!$F159="","",IF('TMP Paste'!$M159="",$AL158,'TMP Paste'!$M159))</f>
        <v/>
      </c>
      <c r="AM159">
        <f>IF('TMP Paste'!$F159="","",IF('TMP Paste'!$N159="",$AM158,'TMP Paste'!$N159))</f>
        <v/>
      </c>
      <c r="AN159">
        <f>IF('TMP Paste'!$F159="","",IF('TMP Paste'!$O159="",$AN158,'TMP Paste'!$O159))</f>
        <v/>
      </c>
      <c r="AO159">
        <f>IF('TMP Paste'!$F159="","",IF('TMP Paste'!$P159="",$AO158,'TMP Paste'!$P159))</f>
        <v/>
      </c>
      <c r="AP159">
        <f>IF($AG159="","",LEN($R159))</f>
        <v/>
      </c>
      <c r="AQ159">
        <f>IF($AG159="","",TRIM(IF(COUNTIFS(Calc!$B$2:$B$1601,ROW()-1,Calc!$C$2:$C$1601,"&lt;1")&gt;0,"Ada PO tanpa Koli - cek TMP. ","")&amp;IF(LEN($R159)&gt;500,"R &gt; 500 karakter.","")))</f>
        <v/>
      </c>
    </row>
    <row r="160">
      <c r="A160">
        <f>IF($AG160="","",INDEX('TMP Paste'!$B$2:$B$1601,$AG160))</f>
        <v/>
      </c>
      <c r="B160">
        <f>IF($AG160="","",Config!$B$14)</f>
        <v/>
      </c>
      <c r="C160">
        <f>IF($AG160="","",Config!$B$15)</f>
        <v/>
      </c>
      <c r="D160">
        <f>IF($AG160="","",INDEX('TMP Paste'!$B$2:$B$1601,$AG160))</f>
        <v/>
      </c>
      <c r="E160">
        <f>IF($AG160="","",Config!$B$27)</f>
        <v/>
      </c>
      <c r="F160">
        <f>IF($AG160="","",Config!$B$9)</f>
        <v/>
      </c>
      <c r="G160">
        <f>IF($AG160="","",Config!$B$10)</f>
        <v/>
      </c>
      <c r="H160">
        <f>IF($AG160="","",Config!$B$11)</f>
        <v/>
      </c>
      <c r="I160">
        <f>IF($AG160="","",Config!$B$16)</f>
        <v/>
      </c>
      <c r="J160">
        <f>IF($AG160="","",INDEX('TMP Paste'!$A$2:$A$1601,$AG160))</f>
        <v/>
      </c>
      <c r="K160">
        <f>IF($AG160="","",INDEX('TMP Paste'!$L$2:$L$1601,$AG160))</f>
        <v/>
      </c>
      <c r="L160">
        <f>IF($AG160="","",INDEX('TMP Paste'!$I$2:$I$1601,$AG160))</f>
        <v/>
      </c>
      <c r="M160">
        <f>IF($AG160="","",Config!$B$16)</f>
        <v/>
      </c>
      <c r="N160">
        <f>IF($AG160="","","")</f>
        <v/>
      </c>
      <c r="O160">
        <f>IF($AG160="","",INDEX('TMP Paste'!$K$2:$K$1601,$AG160))</f>
        <v/>
      </c>
      <c r="P160">
        <f>IF($AG160="","","")</f>
        <v/>
      </c>
      <c r="Q160">
        <f>IF($AG160="","",INDEX('TMP Paste'!$J$2:$J$1601,$AG160))</f>
        <v/>
      </c>
      <c r="R160">
        <f>IF($AG160="","",Config!$B$24)</f>
        <v/>
      </c>
      <c r="S160">
        <f>IF($AG160="","",TEXT(Config!$B$4,"yyyy-mm-dd"))</f>
        <v/>
      </c>
      <c r="T160">
        <f>IF($AG160="","",Config!$B$17)</f>
        <v/>
      </c>
      <c r="U160">
        <f>IF($AG160="","",Config!$B$18)</f>
        <v/>
      </c>
      <c r="V160">
        <f>IF($AG160="","",Config!$B$19)</f>
        <v/>
      </c>
      <c r="W160">
        <f>IF($AG160="","",INDEX('TMP Paste'!$C$2:$C$1601,$AG160))</f>
        <v/>
      </c>
      <c r="X160">
        <f>IF($AG160="","",Config!$B$29)</f>
        <v/>
      </c>
      <c r="Y160">
        <f>IF($AH160="","",INDEX(Calc!$I$2:$I$1601,$AH160)&amp;" - "&amp;INDEX(Calc!$D$2:$D$1601,$AH160)&amp;" koli")</f>
        <v/>
      </c>
      <c r="Z160">
        <f>IF($AG160="","",Config!$B$21)</f>
        <v/>
      </c>
      <c r="AA160">
        <f>IF($AG160="","",Config!$B$22)</f>
        <v/>
      </c>
      <c r="AB160">
        <f>IF($AH160="","",INDEX(Calc!$D$2:$D$1601,$AH160))</f>
        <v/>
      </c>
      <c r="AC160">
        <f>IF($AH160="","",INDEX(Calc!$G$2:$G$1601,$AH160))</f>
        <v/>
      </c>
      <c r="AD160">
        <f>IF($AG160="","",Config!$B$23)</f>
        <v/>
      </c>
      <c r="AE160">
        <f>IF($AG160="","",Config!$B$28)</f>
        <v/>
      </c>
      <c r="AG160">
        <f>IFERROR(MATCH(ROW()-1,Calc!$J$2:$J$1601,0),"")</f>
        <v/>
      </c>
      <c r="AH160">
        <f>IFERROR(MATCH(ROW()-1,Calc!$K$2:$K$1601,0),"")</f>
        <v/>
      </c>
      <c r="AI160">
        <f>IF($AG160="","",SUMIF($AG$2:$AG160,$AG160,$AH$2:$AH160))</f>
        <v/>
      </c>
      <c r="AJ160">
        <f>IF('TMP Paste'!$F160="","",IF('TMP Paste'!$B160="",$AJ159,'TMP Paste'!$B160))</f>
        <v/>
      </c>
      <c r="AK160">
        <f>IF('TMP Paste'!$F160="","",N('TMP Paste'!$G160))</f>
        <v/>
      </c>
      <c r="AL160">
        <f>IF('TMP Paste'!$F160="","",IF('TMP Paste'!$M160="",$AL159,'TMP Paste'!$M160))</f>
        <v/>
      </c>
      <c r="AM160">
        <f>IF('TMP Paste'!$F160="","",IF('TMP Paste'!$N160="",$AM159,'TMP Paste'!$N160))</f>
        <v/>
      </c>
      <c r="AN160">
        <f>IF('TMP Paste'!$F160="","",IF('TMP Paste'!$O160="",$AN159,'TMP Paste'!$O160))</f>
        <v/>
      </c>
      <c r="AO160">
        <f>IF('TMP Paste'!$F160="","",IF('TMP Paste'!$P160="",$AO159,'TMP Paste'!$P160))</f>
        <v/>
      </c>
      <c r="AP160">
        <f>IF($AG160="","",LEN($R160))</f>
        <v/>
      </c>
      <c r="AQ160">
        <f>IF($AG160="","",TRIM(IF(COUNTIFS(Calc!$B$2:$B$1601,ROW()-1,Calc!$C$2:$C$1601,"&lt;1")&gt;0,"Ada PO tanpa Koli - cek TMP. ","")&amp;IF(LEN($R160)&gt;500,"R &gt; 500 karakter.","")))</f>
        <v/>
      </c>
    </row>
    <row r="161">
      <c r="A161">
        <f>IF($AG161="","",INDEX('TMP Paste'!$B$2:$B$1601,$AG161))</f>
        <v/>
      </c>
      <c r="B161">
        <f>IF($AG161="","",Config!$B$14)</f>
        <v/>
      </c>
      <c r="C161">
        <f>IF($AG161="","",Config!$B$15)</f>
        <v/>
      </c>
      <c r="D161">
        <f>IF($AG161="","",INDEX('TMP Paste'!$B$2:$B$1601,$AG161))</f>
        <v/>
      </c>
      <c r="E161">
        <f>IF($AG161="","",Config!$B$27)</f>
        <v/>
      </c>
      <c r="F161">
        <f>IF($AG161="","",Config!$B$9)</f>
        <v/>
      </c>
      <c r="G161">
        <f>IF($AG161="","",Config!$B$10)</f>
        <v/>
      </c>
      <c r="H161">
        <f>IF($AG161="","",Config!$B$11)</f>
        <v/>
      </c>
      <c r="I161">
        <f>IF($AG161="","",Config!$B$16)</f>
        <v/>
      </c>
      <c r="J161">
        <f>IF($AG161="","",INDEX('TMP Paste'!$A$2:$A$1601,$AG161))</f>
        <v/>
      </c>
      <c r="K161">
        <f>IF($AG161="","",INDEX('TMP Paste'!$L$2:$L$1601,$AG161))</f>
        <v/>
      </c>
      <c r="L161">
        <f>IF($AG161="","",INDEX('TMP Paste'!$I$2:$I$1601,$AG161))</f>
        <v/>
      </c>
      <c r="M161">
        <f>IF($AG161="","",Config!$B$16)</f>
        <v/>
      </c>
      <c r="N161">
        <f>IF($AG161="","","")</f>
        <v/>
      </c>
      <c r="O161">
        <f>IF($AG161="","",INDEX('TMP Paste'!$K$2:$K$1601,$AG161))</f>
        <v/>
      </c>
      <c r="P161">
        <f>IF($AG161="","","")</f>
        <v/>
      </c>
      <c r="Q161">
        <f>IF($AG161="","",INDEX('TMP Paste'!$J$2:$J$1601,$AG161))</f>
        <v/>
      </c>
      <c r="R161">
        <f>IF($AG161="","",Config!$B$24)</f>
        <v/>
      </c>
      <c r="S161">
        <f>IF($AG161="","",TEXT(Config!$B$4,"yyyy-mm-dd"))</f>
        <v/>
      </c>
      <c r="T161">
        <f>IF($AG161="","",Config!$B$17)</f>
        <v/>
      </c>
      <c r="U161">
        <f>IF($AG161="","",Config!$B$18)</f>
        <v/>
      </c>
      <c r="V161">
        <f>IF($AG161="","",Config!$B$19)</f>
        <v/>
      </c>
      <c r="W161">
        <f>IF($AG161="","",INDEX('TMP Paste'!$C$2:$C$1601,$AG161))</f>
        <v/>
      </c>
      <c r="X161">
        <f>IF($AG161="","",Config!$B$29)</f>
        <v/>
      </c>
      <c r="Y161">
        <f>IF($AH161="","",INDEX(Calc!$I$2:$I$1601,$AH161)&amp;" - "&amp;INDEX(Calc!$D$2:$D$1601,$AH161)&amp;" koli")</f>
        <v/>
      </c>
      <c r="Z161">
        <f>IF($AG161="","",Config!$B$21)</f>
        <v/>
      </c>
      <c r="AA161">
        <f>IF($AG161="","",Config!$B$22)</f>
        <v/>
      </c>
      <c r="AB161">
        <f>IF($AH161="","",INDEX(Calc!$D$2:$D$1601,$AH161))</f>
        <v/>
      </c>
      <c r="AC161">
        <f>IF($AH161="","",INDEX(Calc!$G$2:$G$1601,$AH161))</f>
        <v/>
      </c>
      <c r="AD161">
        <f>IF($AG161="","",Config!$B$23)</f>
        <v/>
      </c>
      <c r="AE161">
        <f>IF($AG161="","",Config!$B$28)</f>
        <v/>
      </c>
      <c r="AG161">
        <f>IFERROR(MATCH(ROW()-1,Calc!$J$2:$J$1601,0),"")</f>
        <v/>
      </c>
      <c r="AH161">
        <f>IFERROR(MATCH(ROW()-1,Calc!$K$2:$K$1601,0),"")</f>
        <v/>
      </c>
      <c r="AI161">
        <f>IF($AG161="","",SUMIF($AG$2:$AG161,$AG161,$AH$2:$AH161))</f>
        <v/>
      </c>
      <c r="AJ161">
        <f>IF('TMP Paste'!$F161="","",IF('TMP Paste'!$B161="",$AJ160,'TMP Paste'!$B161))</f>
        <v/>
      </c>
      <c r="AK161">
        <f>IF('TMP Paste'!$F161="","",N('TMP Paste'!$G161))</f>
        <v/>
      </c>
      <c r="AL161">
        <f>IF('TMP Paste'!$F161="","",IF('TMP Paste'!$M161="",$AL160,'TMP Paste'!$M161))</f>
        <v/>
      </c>
      <c r="AM161">
        <f>IF('TMP Paste'!$F161="","",IF('TMP Paste'!$N161="",$AM160,'TMP Paste'!$N161))</f>
        <v/>
      </c>
      <c r="AN161">
        <f>IF('TMP Paste'!$F161="","",IF('TMP Paste'!$O161="",$AN160,'TMP Paste'!$O161))</f>
        <v/>
      </c>
      <c r="AO161">
        <f>IF('TMP Paste'!$F161="","",IF('TMP Paste'!$P161="",$AO160,'TMP Paste'!$P161))</f>
        <v/>
      </c>
      <c r="AP161">
        <f>IF($AG161="","",LEN($R161))</f>
        <v/>
      </c>
      <c r="AQ161">
        <f>IF($AG161="","",TRIM(IF(COUNTIFS(Calc!$B$2:$B$1601,ROW()-1,Calc!$C$2:$C$1601,"&lt;1")&gt;0,"Ada PO tanpa Koli - cek TMP. ","")&amp;IF(LEN($R161)&gt;500,"R &gt; 500 karakter.","")))</f>
        <v/>
      </c>
    </row>
    <row r="162">
      <c r="A162">
        <f>IF($AG162="","",INDEX('TMP Paste'!$B$2:$B$1601,$AG162))</f>
        <v/>
      </c>
      <c r="B162">
        <f>IF($AG162="","",Config!$B$14)</f>
        <v/>
      </c>
      <c r="C162">
        <f>IF($AG162="","",Config!$B$15)</f>
        <v/>
      </c>
      <c r="D162">
        <f>IF($AG162="","",INDEX('TMP Paste'!$B$2:$B$1601,$AG162))</f>
        <v/>
      </c>
      <c r="E162">
        <f>IF($AG162="","",Config!$B$27)</f>
        <v/>
      </c>
      <c r="F162">
        <f>IF($AG162="","",Config!$B$9)</f>
        <v/>
      </c>
      <c r="G162">
        <f>IF($AG162="","",Config!$B$10)</f>
        <v/>
      </c>
      <c r="H162">
        <f>IF($AG162="","",Config!$B$11)</f>
        <v/>
      </c>
      <c r="I162">
        <f>IF($AG162="","",Config!$B$16)</f>
        <v/>
      </c>
      <c r="J162">
        <f>IF($AG162="","",INDEX('TMP Paste'!$A$2:$A$1601,$AG162))</f>
        <v/>
      </c>
      <c r="K162">
        <f>IF($AG162="","",INDEX('TMP Paste'!$L$2:$L$1601,$AG162))</f>
        <v/>
      </c>
      <c r="L162">
        <f>IF($AG162="","",INDEX('TMP Paste'!$I$2:$I$1601,$AG162))</f>
        <v/>
      </c>
      <c r="M162">
        <f>IF($AG162="","",Config!$B$16)</f>
        <v/>
      </c>
      <c r="N162">
        <f>IF($AG162="","","")</f>
        <v/>
      </c>
      <c r="O162">
        <f>IF($AG162="","",INDEX('TMP Paste'!$K$2:$K$1601,$AG162))</f>
        <v/>
      </c>
      <c r="P162">
        <f>IF($AG162="","","")</f>
        <v/>
      </c>
      <c r="Q162">
        <f>IF($AG162="","",INDEX('TMP Paste'!$J$2:$J$1601,$AG162))</f>
        <v/>
      </c>
      <c r="R162">
        <f>IF($AG162="","",Config!$B$24)</f>
        <v/>
      </c>
      <c r="S162">
        <f>IF($AG162="","",TEXT(Config!$B$4,"yyyy-mm-dd"))</f>
        <v/>
      </c>
      <c r="T162">
        <f>IF($AG162="","",Config!$B$17)</f>
        <v/>
      </c>
      <c r="U162">
        <f>IF($AG162="","",Config!$B$18)</f>
        <v/>
      </c>
      <c r="V162">
        <f>IF($AG162="","",Config!$B$19)</f>
        <v/>
      </c>
      <c r="W162">
        <f>IF($AG162="","",INDEX('TMP Paste'!$C$2:$C$1601,$AG162))</f>
        <v/>
      </c>
      <c r="X162">
        <f>IF($AG162="","",Config!$B$29)</f>
        <v/>
      </c>
      <c r="Y162">
        <f>IF($AH162="","",INDEX(Calc!$I$2:$I$1601,$AH162)&amp;" - "&amp;INDEX(Calc!$D$2:$D$1601,$AH162)&amp;" koli")</f>
        <v/>
      </c>
      <c r="Z162">
        <f>IF($AG162="","",Config!$B$21)</f>
        <v/>
      </c>
      <c r="AA162">
        <f>IF($AG162="","",Config!$B$22)</f>
        <v/>
      </c>
      <c r="AB162">
        <f>IF($AH162="","",INDEX(Calc!$D$2:$D$1601,$AH162))</f>
        <v/>
      </c>
      <c r="AC162">
        <f>IF($AH162="","",INDEX(Calc!$G$2:$G$1601,$AH162))</f>
        <v/>
      </c>
      <c r="AD162">
        <f>IF($AG162="","",Config!$B$23)</f>
        <v/>
      </c>
      <c r="AE162">
        <f>IF($AG162="","",Config!$B$28)</f>
        <v/>
      </c>
      <c r="AG162">
        <f>IFERROR(MATCH(ROW()-1,Calc!$J$2:$J$1601,0),"")</f>
        <v/>
      </c>
      <c r="AH162">
        <f>IFERROR(MATCH(ROW()-1,Calc!$K$2:$K$1601,0),"")</f>
        <v/>
      </c>
      <c r="AI162">
        <f>IF($AG162="","",SUMIF($AG$2:$AG162,$AG162,$AH$2:$AH162))</f>
        <v/>
      </c>
      <c r="AJ162">
        <f>IF('TMP Paste'!$F162="","",IF('TMP Paste'!$B162="",$AJ161,'TMP Paste'!$B162))</f>
        <v/>
      </c>
      <c r="AK162">
        <f>IF('TMP Paste'!$F162="","",N('TMP Paste'!$G162))</f>
        <v/>
      </c>
      <c r="AL162">
        <f>IF('TMP Paste'!$F162="","",IF('TMP Paste'!$M162="",$AL161,'TMP Paste'!$M162))</f>
        <v/>
      </c>
      <c r="AM162">
        <f>IF('TMP Paste'!$F162="","",IF('TMP Paste'!$N162="",$AM161,'TMP Paste'!$N162))</f>
        <v/>
      </c>
      <c r="AN162">
        <f>IF('TMP Paste'!$F162="","",IF('TMP Paste'!$O162="",$AN161,'TMP Paste'!$O162))</f>
        <v/>
      </c>
      <c r="AO162">
        <f>IF('TMP Paste'!$F162="","",IF('TMP Paste'!$P162="",$AO161,'TMP Paste'!$P162))</f>
        <v/>
      </c>
      <c r="AP162">
        <f>IF($AG162="","",LEN($R162))</f>
        <v/>
      </c>
      <c r="AQ162">
        <f>IF($AG162="","",TRIM(IF(COUNTIFS(Calc!$B$2:$B$1601,ROW()-1,Calc!$C$2:$C$1601,"&lt;1")&gt;0,"Ada PO tanpa Koli - cek TMP. ","")&amp;IF(LEN($R162)&gt;500,"R &gt; 500 karakter.","")))</f>
        <v/>
      </c>
    </row>
    <row r="163">
      <c r="A163">
        <f>IF($AG163="","",INDEX('TMP Paste'!$B$2:$B$1601,$AG163))</f>
        <v/>
      </c>
      <c r="B163">
        <f>IF($AG163="","",Config!$B$14)</f>
        <v/>
      </c>
      <c r="C163">
        <f>IF($AG163="","",Config!$B$15)</f>
        <v/>
      </c>
      <c r="D163">
        <f>IF($AG163="","",INDEX('TMP Paste'!$B$2:$B$1601,$AG163))</f>
        <v/>
      </c>
      <c r="E163">
        <f>IF($AG163="","",Config!$B$27)</f>
        <v/>
      </c>
      <c r="F163">
        <f>IF($AG163="","",Config!$B$9)</f>
        <v/>
      </c>
      <c r="G163">
        <f>IF($AG163="","",Config!$B$10)</f>
        <v/>
      </c>
      <c r="H163">
        <f>IF($AG163="","",Config!$B$11)</f>
        <v/>
      </c>
      <c r="I163">
        <f>IF($AG163="","",Config!$B$16)</f>
        <v/>
      </c>
      <c r="J163">
        <f>IF($AG163="","",INDEX('TMP Paste'!$A$2:$A$1601,$AG163))</f>
        <v/>
      </c>
      <c r="K163">
        <f>IF($AG163="","",INDEX('TMP Paste'!$L$2:$L$1601,$AG163))</f>
        <v/>
      </c>
      <c r="L163">
        <f>IF($AG163="","",INDEX('TMP Paste'!$I$2:$I$1601,$AG163))</f>
        <v/>
      </c>
      <c r="M163">
        <f>IF($AG163="","",Config!$B$16)</f>
        <v/>
      </c>
      <c r="N163">
        <f>IF($AG163="","","")</f>
        <v/>
      </c>
      <c r="O163">
        <f>IF($AG163="","",INDEX('TMP Paste'!$K$2:$K$1601,$AG163))</f>
        <v/>
      </c>
      <c r="P163">
        <f>IF($AG163="","","")</f>
        <v/>
      </c>
      <c r="Q163">
        <f>IF($AG163="","",INDEX('TMP Paste'!$J$2:$J$1601,$AG163))</f>
        <v/>
      </c>
      <c r="R163">
        <f>IF($AG163="","",Config!$B$24)</f>
        <v/>
      </c>
      <c r="S163">
        <f>IF($AG163="","",TEXT(Config!$B$4,"yyyy-mm-dd"))</f>
        <v/>
      </c>
      <c r="T163">
        <f>IF($AG163="","",Config!$B$17)</f>
        <v/>
      </c>
      <c r="U163">
        <f>IF($AG163="","",Config!$B$18)</f>
        <v/>
      </c>
      <c r="V163">
        <f>IF($AG163="","",Config!$B$19)</f>
        <v/>
      </c>
      <c r="W163">
        <f>IF($AG163="","",INDEX('TMP Paste'!$C$2:$C$1601,$AG163))</f>
        <v/>
      </c>
      <c r="X163">
        <f>IF($AG163="","",Config!$B$29)</f>
        <v/>
      </c>
      <c r="Y163">
        <f>IF($AH163="","",INDEX(Calc!$I$2:$I$1601,$AH163)&amp;" - "&amp;INDEX(Calc!$D$2:$D$1601,$AH163)&amp;" koli")</f>
        <v/>
      </c>
      <c r="Z163">
        <f>IF($AG163="","",Config!$B$21)</f>
        <v/>
      </c>
      <c r="AA163">
        <f>IF($AG163="","",Config!$B$22)</f>
        <v/>
      </c>
      <c r="AB163">
        <f>IF($AH163="","",INDEX(Calc!$D$2:$D$1601,$AH163))</f>
        <v/>
      </c>
      <c r="AC163">
        <f>IF($AH163="","",INDEX(Calc!$G$2:$G$1601,$AH163))</f>
        <v/>
      </c>
      <c r="AD163">
        <f>IF($AG163="","",Config!$B$23)</f>
        <v/>
      </c>
      <c r="AE163">
        <f>IF($AG163="","",Config!$B$28)</f>
        <v/>
      </c>
      <c r="AG163">
        <f>IFERROR(MATCH(ROW()-1,Calc!$J$2:$J$1601,0),"")</f>
        <v/>
      </c>
      <c r="AH163">
        <f>IFERROR(MATCH(ROW()-1,Calc!$K$2:$K$1601,0),"")</f>
        <v/>
      </c>
      <c r="AI163">
        <f>IF($AG163="","",SUMIF($AG$2:$AG163,$AG163,$AH$2:$AH163))</f>
        <v/>
      </c>
      <c r="AJ163">
        <f>IF('TMP Paste'!$F163="","",IF('TMP Paste'!$B163="",$AJ162,'TMP Paste'!$B163))</f>
        <v/>
      </c>
      <c r="AK163">
        <f>IF('TMP Paste'!$F163="","",N('TMP Paste'!$G163))</f>
        <v/>
      </c>
      <c r="AL163">
        <f>IF('TMP Paste'!$F163="","",IF('TMP Paste'!$M163="",$AL162,'TMP Paste'!$M163))</f>
        <v/>
      </c>
      <c r="AM163">
        <f>IF('TMP Paste'!$F163="","",IF('TMP Paste'!$N163="",$AM162,'TMP Paste'!$N163))</f>
        <v/>
      </c>
      <c r="AN163">
        <f>IF('TMP Paste'!$F163="","",IF('TMP Paste'!$O163="",$AN162,'TMP Paste'!$O163))</f>
        <v/>
      </c>
      <c r="AO163">
        <f>IF('TMP Paste'!$F163="","",IF('TMP Paste'!$P163="",$AO162,'TMP Paste'!$P163))</f>
        <v/>
      </c>
      <c r="AP163">
        <f>IF($AG163="","",LEN($R163))</f>
        <v/>
      </c>
      <c r="AQ163">
        <f>IF($AG163="","",TRIM(IF(COUNTIFS(Calc!$B$2:$B$1601,ROW()-1,Calc!$C$2:$C$1601,"&lt;1")&gt;0,"Ada PO tanpa Koli - cek TMP. ","")&amp;IF(LEN($R163)&gt;500,"R &gt; 500 karakter.","")))</f>
        <v/>
      </c>
    </row>
    <row r="164">
      <c r="A164">
        <f>IF($AG164="","",INDEX('TMP Paste'!$B$2:$B$1601,$AG164))</f>
        <v/>
      </c>
      <c r="B164">
        <f>IF($AG164="","",Config!$B$14)</f>
        <v/>
      </c>
      <c r="C164">
        <f>IF($AG164="","",Config!$B$15)</f>
        <v/>
      </c>
      <c r="D164">
        <f>IF($AG164="","",INDEX('TMP Paste'!$B$2:$B$1601,$AG164))</f>
        <v/>
      </c>
      <c r="E164">
        <f>IF($AG164="","",Config!$B$27)</f>
        <v/>
      </c>
      <c r="F164">
        <f>IF($AG164="","",Config!$B$9)</f>
        <v/>
      </c>
      <c r="G164">
        <f>IF($AG164="","",Config!$B$10)</f>
        <v/>
      </c>
      <c r="H164">
        <f>IF($AG164="","",Config!$B$11)</f>
        <v/>
      </c>
      <c r="I164">
        <f>IF($AG164="","",Config!$B$16)</f>
        <v/>
      </c>
      <c r="J164">
        <f>IF($AG164="","",INDEX('TMP Paste'!$A$2:$A$1601,$AG164))</f>
        <v/>
      </c>
      <c r="K164">
        <f>IF($AG164="","",INDEX('TMP Paste'!$L$2:$L$1601,$AG164))</f>
        <v/>
      </c>
      <c r="L164">
        <f>IF($AG164="","",INDEX('TMP Paste'!$I$2:$I$1601,$AG164))</f>
        <v/>
      </c>
      <c r="M164">
        <f>IF($AG164="","",Config!$B$16)</f>
        <v/>
      </c>
      <c r="N164">
        <f>IF($AG164="","","")</f>
        <v/>
      </c>
      <c r="O164">
        <f>IF($AG164="","",INDEX('TMP Paste'!$K$2:$K$1601,$AG164))</f>
        <v/>
      </c>
      <c r="P164">
        <f>IF($AG164="","","")</f>
        <v/>
      </c>
      <c r="Q164">
        <f>IF($AG164="","",INDEX('TMP Paste'!$J$2:$J$1601,$AG164))</f>
        <v/>
      </c>
      <c r="R164">
        <f>IF($AG164="","",Config!$B$24)</f>
        <v/>
      </c>
      <c r="S164">
        <f>IF($AG164="","",TEXT(Config!$B$4,"yyyy-mm-dd"))</f>
        <v/>
      </c>
      <c r="T164">
        <f>IF($AG164="","",Config!$B$17)</f>
        <v/>
      </c>
      <c r="U164">
        <f>IF($AG164="","",Config!$B$18)</f>
        <v/>
      </c>
      <c r="V164">
        <f>IF($AG164="","",Config!$B$19)</f>
        <v/>
      </c>
      <c r="W164">
        <f>IF($AG164="","",INDEX('TMP Paste'!$C$2:$C$1601,$AG164))</f>
        <v/>
      </c>
      <c r="X164">
        <f>IF($AG164="","",Config!$B$29)</f>
        <v/>
      </c>
      <c r="Y164">
        <f>IF($AH164="","",INDEX(Calc!$I$2:$I$1601,$AH164)&amp;" - "&amp;INDEX(Calc!$D$2:$D$1601,$AH164)&amp;" koli")</f>
        <v/>
      </c>
      <c r="Z164">
        <f>IF($AG164="","",Config!$B$21)</f>
        <v/>
      </c>
      <c r="AA164">
        <f>IF($AG164="","",Config!$B$22)</f>
        <v/>
      </c>
      <c r="AB164">
        <f>IF($AH164="","",INDEX(Calc!$D$2:$D$1601,$AH164))</f>
        <v/>
      </c>
      <c r="AC164">
        <f>IF($AH164="","",INDEX(Calc!$G$2:$G$1601,$AH164))</f>
        <v/>
      </c>
      <c r="AD164">
        <f>IF($AG164="","",Config!$B$23)</f>
        <v/>
      </c>
      <c r="AE164">
        <f>IF($AG164="","",Config!$B$28)</f>
        <v/>
      </c>
      <c r="AG164">
        <f>IFERROR(MATCH(ROW()-1,Calc!$J$2:$J$1601,0),"")</f>
        <v/>
      </c>
      <c r="AH164">
        <f>IFERROR(MATCH(ROW()-1,Calc!$K$2:$K$1601,0),"")</f>
        <v/>
      </c>
      <c r="AI164">
        <f>IF($AG164="","",SUMIF($AG$2:$AG164,$AG164,$AH$2:$AH164))</f>
        <v/>
      </c>
      <c r="AJ164">
        <f>IF('TMP Paste'!$F164="","",IF('TMP Paste'!$B164="",$AJ163,'TMP Paste'!$B164))</f>
        <v/>
      </c>
      <c r="AK164">
        <f>IF('TMP Paste'!$F164="","",N('TMP Paste'!$G164))</f>
        <v/>
      </c>
      <c r="AL164">
        <f>IF('TMP Paste'!$F164="","",IF('TMP Paste'!$M164="",$AL163,'TMP Paste'!$M164))</f>
        <v/>
      </c>
      <c r="AM164">
        <f>IF('TMP Paste'!$F164="","",IF('TMP Paste'!$N164="",$AM163,'TMP Paste'!$N164))</f>
        <v/>
      </c>
      <c r="AN164">
        <f>IF('TMP Paste'!$F164="","",IF('TMP Paste'!$O164="",$AN163,'TMP Paste'!$O164))</f>
        <v/>
      </c>
      <c r="AO164">
        <f>IF('TMP Paste'!$F164="","",IF('TMP Paste'!$P164="",$AO163,'TMP Paste'!$P164))</f>
        <v/>
      </c>
      <c r="AP164">
        <f>IF($AG164="","",LEN($R164))</f>
        <v/>
      </c>
      <c r="AQ164">
        <f>IF($AG164="","",TRIM(IF(COUNTIFS(Calc!$B$2:$B$1601,ROW()-1,Calc!$C$2:$C$1601,"&lt;1")&gt;0,"Ada PO tanpa Koli - cek TMP. ","")&amp;IF(LEN($R164)&gt;500,"R &gt; 500 karakter.","")))</f>
        <v/>
      </c>
    </row>
    <row r="165">
      <c r="A165">
        <f>IF($AG165="","",INDEX('TMP Paste'!$B$2:$B$1601,$AG165))</f>
        <v/>
      </c>
      <c r="B165">
        <f>IF($AG165="","",Config!$B$14)</f>
        <v/>
      </c>
      <c r="C165">
        <f>IF($AG165="","",Config!$B$15)</f>
        <v/>
      </c>
      <c r="D165">
        <f>IF($AG165="","",INDEX('TMP Paste'!$B$2:$B$1601,$AG165))</f>
        <v/>
      </c>
      <c r="E165">
        <f>IF($AG165="","",Config!$B$27)</f>
        <v/>
      </c>
      <c r="F165">
        <f>IF($AG165="","",Config!$B$9)</f>
        <v/>
      </c>
      <c r="G165">
        <f>IF($AG165="","",Config!$B$10)</f>
        <v/>
      </c>
      <c r="H165">
        <f>IF($AG165="","",Config!$B$11)</f>
        <v/>
      </c>
      <c r="I165">
        <f>IF($AG165="","",Config!$B$16)</f>
        <v/>
      </c>
      <c r="J165">
        <f>IF($AG165="","",INDEX('TMP Paste'!$A$2:$A$1601,$AG165))</f>
        <v/>
      </c>
      <c r="K165">
        <f>IF($AG165="","",INDEX('TMP Paste'!$L$2:$L$1601,$AG165))</f>
        <v/>
      </c>
      <c r="L165">
        <f>IF($AG165="","",INDEX('TMP Paste'!$I$2:$I$1601,$AG165))</f>
        <v/>
      </c>
      <c r="M165">
        <f>IF($AG165="","",Config!$B$16)</f>
        <v/>
      </c>
      <c r="N165">
        <f>IF($AG165="","","")</f>
        <v/>
      </c>
      <c r="O165">
        <f>IF($AG165="","",INDEX('TMP Paste'!$K$2:$K$1601,$AG165))</f>
        <v/>
      </c>
      <c r="P165">
        <f>IF($AG165="","","")</f>
        <v/>
      </c>
      <c r="Q165">
        <f>IF($AG165="","",INDEX('TMP Paste'!$J$2:$J$1601,$AG165))</f>
        <v/>
      </c>
      <c r="R165">
        <f>IF($AG165="","",Config!$B$24)</f>
        <v/>
      </c>
      <c r="S165">
        <f>IF($AG165="","",TEXT(Config!$B$4,"yyyy-mm-dd"))</f>
        <v/>
      </c>
      <c r="T165">
        <f>IF($AG165="","",Config!$B$17)</f>
        <v/>
      </c>
      <c r="U165">
        <f>IF($AG165="","",Config!$B$18)</f>
        <v/>
      </c>
      <c r="V165">
        <f>IF($AG165="","",Config!$B$19)</f>
        <v/>
      </c>
      <c r="W165">
        <f>IF($AG165="","",INDEX('TMP Paste'!$C$2:$C$1601,$AG165))</f>
        <v/>
      </c>
      <c r="X165">
        <f>IF($AG165="","",Config!$B$29)</f>
        <v/>
      </c>
      <c r="Y165">
        <f>IF($AH165="","",INDEX(Calc!$I$2:$I$1601,$AH165)&amp;" - "&amp;INDEX(Calc!$D$2:$D$1601,$AH165)&amp;" koli")</f>
        <v/>
      </c>
      <c r="Z165">
        <f>IF($AG165="","",Config!$B$21)</f>
        <v/>
      </c>
      <c r="AA165">
        <f>IF($AG165="","",Config!$B$22)</f>
        <v/>
      </c>
      <c r="AB165">
        <f>IF($AH165="","",INDEX(Calc!$D$2:$D$1601,$AH165))</f>
        <v/>
      </c>
      <c r="AC165">
        <f>IF($AH165="","",INDEX(Calc!$G$2:$G$1601,$AH165))</f>
        <v/>
      </c>
      <c r="AD165">
        <f>IF($AG165="","",Config!$B$23)</f>
        <v/>
      </c>
      <c r="AE165">
        <f>IF($AG165="","",Config!$B$28)</f>
        <v/>
      </c>
      <c r="AG165">
        <f>IFERROR(MATCH(ROW()-1,Calc!$J$2:$J$1601,0),"")</f>
        <v/>
      </c>
      <c r="AH165">
        <f>IFERROR(MATCH(ROW()-1,Calc!$K$2:$K$1601,0),"")</f>
        <v/>
      </c>
      <c r="AI165">
        <f>IF($AG165="","",SUMIF($AG$2:$AG165,$AG165,$AH$2:$AH165))</f>
        <v/>
      </c>
      <c r="AJ165">
        <f>IF('TMP Paste'!$F165="","",IF('TMP Paste'!$B165="",$AJ164,'TMP Paste'!$B165))</f>
        <v/>
      </c>
      <c r="AK165">
        <f>IF('TMP Paste'!$F165="","",N('TMP Paste'!$G165))</f>
        <v/>
      </c>
      <c r="AL165">
        <f>IF('TMP Paste'!$F165="","",IF('TMP Paste'!$M165="",$AL164,'TMP Paste'!$M165))</f>
        <v/>
      </c>
      <c r="AM165">
        <f>IF('TMP Paste'!$F165="","",IF('TMP Paste'!$N165="",$AM164,'TMP Paste'!$N165))</f>
        <v/>
      </c>
      <c r="AN165">
        <f>IF('TMP Paste'!$F165="","",IF('TMP Paste'!$O165="",$AN164,'TMP Paste'!$O165))</f>
        <v/>
      </c>
      <c r="AO165">
        <f>IF('TMP Paste'!$F165="","",IF('TMP Paste'!$P165="",$AO164,'TMP Paste'!$P165))</f>
        <v/>
      </c>
      <c r="AP165">
        <f>IF($AG165="","",LEN($R165))</f>
        <v/>
      </c>
      <c r="AQ165">
        <f>IF($AG165="","",TRIM(IF(COUNTIFS(Calc!$B$2:$B$1601,ROW()-1,Calc!$C$2:$C$1601,"&lt;1")&gt;0,"Ada PO tanpa Koli - cek TMP. ","")&amp;IF(LEN($R165)&gt;500,"R &gt; 500 karakter.","")))</f>
        <v/>
      </c>
    </row>
    <row r="166">
      <c r="A166">
        <f>IF($AG166="","",INDEX('TMP Paste'!$B$2:$B$1601,$AG166))</f>
        <v/>
      </c>
      <c r="B166">
        <f>IF($AG166="","",Config!$B$14)</f>
        <v/>
      </c>
      <c r="C166">
        <f>IF($AG166="","",Config!$B$15)</f>
        <v/>
      </c>
      <c r="D166">
        <f>IF($AG166="","",INDEX('TMP Paste'!$B$2:$B$1601,$AG166))</f>
        <v/>
      </c>
      <c r="E166">
        <f>IF($AG166="","",Config!$B$27)</f>
        <v/>
      </c>
      <c r="F166">
        <f>IF($AG166="","",Config!$B$9)</f>
        <v/>
      </c>
      <c r="G166">
        <f>IF($AG166="","",Config!$B$10)</f>
        <v/>
      </c>
      <c r="H166">
        <f>IF($AG166="","",Config!$B$11)</f>
        <v/>
      </c>
      <c r="I166">
        <f>IF($AG166="","",Config!$B$16)</f>
        <v/>
      </c>
      <c r="J166">
        <f>IF($AG166="","",INDEX('TMP Paste'!$A$2:$A$1601,$AG166))</f>
        <v/>
      </c>
      <c r="K166">
        <f>IF($AG166="","",INDEX('TMP Paste'!$L$2:$L$1601,$AG166))</f>
        <v/>
      </c>
      <c r="L166">
        <f>IF($AG166="","",INDEX('TMP Paste'!$I$2:$I$1601,$AG166))</f>
        <v/>
      </c>
      <c r="M166">
        <f>IF($AG166="","",Config!$B$16)</f>
        <v/>
      </c>
      <c r="N166">
        <f>IF($AG166="","","")</f>
        <v/>
      </c>
      <c r="O166">
        <f>IF($AG166="","",INDEX('TMP Paste'!$K$2:$K$1601,$AG166))</f>
        <v/>
      </c>
      <c r="P166">
        <f>IF($AG166="","","")</f>
        <v/>
      </c>
      <c r="Q166">
        <f>IF($AG166="","",INDEX('TMP Paste'!$J$2:$J$1601,$AG166))</f>
        <v/>
      </c>
      <c r="R166">
        <f>IF($AG166="","",Config!$B$24)</f>
        <v/>
      </c>
      <c r="S166">
        <f>IF($AG166="","",TEXT(Config!$B$4,"yyyy-mm-dd"))</f>
        <v/>
      </c>
      <c r="T166">
        <f>IF($AG166="","",Config!$B$17)</f>
        <v/>
      </c>
      <c r="U166">
        <f>IF($AG166="","",Config!$B$18)</f>
        <v/>
      </c>
      <c r="V166">
        <f>IF($AG166="","",Config!$B$19)</f>
        <v/>
      </c>
      <c r="W166">
        <f>IF($AG166="","",INDEX('TMP Paste'!$C$2:$C$1601,$AG166))</f>
        <v/>
      </c>
      <c r="X166">
        <f>IF($AG166="","",Config!$B$29)</f>
        <v/>
      </c>
      <c r="Y166">
        <f>IF($AH166="","",INDEX(Calc!$I$2:$I$1601,$AH166)&amp;" - "&amp;INDEX(Calc!$D$2:$D$1601,$AH166)&amp;" koli")</f>
        <v/>
      </c>
      <c r="Z166">
        <f>IF($AG166="","",Config!$B$21)</f>
        <v/>
      </c>
      <c r="AA166">
        <f>IF($AG166="","",Config!$B$22)</f>
        <v/>
      </c>
      <c r="AB166">
        <f>IF($AH166="","",INDEX(Calc!$D$2:$D$1601,$AH166))</f>
        <v/>
      </c>
      <c r="AC166">
        <f>IF($AH166="","",INDEX(Calc!$G$2:$G$1601,$AH166))</f>
        <v/>
      </c>
      <c r="AD166">
        <f>IF($AG166="","",Config!$B$23)</f>
        <v/>
      </c>
      <c r="AE166">
        <f>IF($AG166="","",Config!$B$28)</f>
        <v/>
      </c>
      <c r="AG166">
        <f>IFERROR(MATCH(ROW()-1,Calc!$J$2:$J$1601,0),"")</f>
        <v/>
      </c>
      <c r="AH166">
        <f>IFERROR(MATCH(ROW()-1,Calc!$K$2:$K$1601,0),"")</f>
        <v/>
      </c>
      <c r="AI166">
        <f>IF($AG166="","",SUMIF($AG$2:$AG166,$AG166,$AH$2:$AH166))</f>
        <v/>
      </c>
      <c r="AJ166">
        <f>IF('TMP Paste'!$F166="","",IF('TMP Paste'!$B166="",$AJ165,'TMP Paste'!$B166))</f>
        <v/>
      </c>
      <c r="AK166">
        <f>IF('TMP Paste'!$F166="","",N('TMP Paste'!$G166))</f>
        <v/>
      </c>
      <c r="AL166">
        <f>IF('TMP Paste'!$F166="","",IF('TMP Paste'!$M166="",$AL165,'TMP Paste'!$M166))</f>
        <v/>
      </c>
      <c r="AM166">
        <f>IF('TMP Paste'!$F166="","",IF('TMP Paste'!$N166="",$AM165,'TMP Paste'!$N166))</f>
        <v/>
      </c>
      <c r="AN166">
        <f>IF('TMP Paste'!$F166="","",IF('TMP Paste'!$O166="",$AN165,'TMP Paste'!$O166))</f>
        <v/>
      </c>
      <c r="AO166">
        <f>IF('TMP Paste'!$F166="","",IF('TMP Paste'!$P166="",$AO165,'TMP Paste'!$P166))</f>
        <v/>
      </c>
      <c r="AP166">
        <f>IF($AG166="","",LEN($R166))</f>
        <v/>
      </c>
      <c r="AQ166">
        <f>IF($AG166="","",TRIM(IF(COUNTIFS(Calc!$B$2:$B$1601,ROW()-1,Calc!$C$2:$C$1601,"&lt;1")&gt;0,"Ada PO tanpa Koli - cek TMP. ","")&amp;IF(LEN($R166)&gt;500,"R &gt; 500 karakter.","")))</f>
        <v/>
      </c>
    </row>
    <row r="167">
      <c r="A167">
        <f>IF($AG167="","",INDEX('TMP Paste'!$B$2:$B$1601,$AG167))</f>
        <v/>
      </c>
      <c r="B167">
        <f>IF($AG167="","",Config!$B$14)</f>
        <v/>
      </c>
      <c r="C167">
        <f>IF($AG167="","",Config!$B$15)</f>
        <v/>
      </c>
      <c r="D167">
        <f>IF($AG167="","",INDEX('TMP Paste'!$B$2:$B$1601,$AG167))</f>
        <v/>
      </c>
      <c r="E167">
        <f>IF($AG167="","",Config!$B$27)</f>
        <v/>
      </c>
      <c r="F167">
        <f>IF($AG167="","",Config!$B$9)</f>
        <v/>
      </c>
      <c r="G167">
        <f>IF($AG167="","",Config!$B$10)</f>
        <v/>
      </c>
      <c r="H167">
        <f>IF($AG167="","",Config!$B$11)</f>
        <v/>
      </c>
      <c r="I167">
        <f>IF($AG167="","",Config!$B$16)</f>
        <v/>
      </c>
      <c r="J167">
        <f>IF($AG167="","",INDEX('TMP Paste'!$A$2:$A$1601,$AG167))</f>
        <v/>
      </c>
      <c r="K167">
        <f>IF($AG167="","",INDEX('TMP Paste'!$L$2:$L$1601,$AG167))</f>
        <v/>
      </c>
      <c r="L167">
        <f>IF($AG167="","",INDEX('TMP Paste'!$I$2:$I$1601,$AG167))</f>
        <v/>
      </c>
      <c r="M167">
        <f>IF($AG167="","",Config!$B$16)</f>
        <v/>
      </c>
      <c r="N167">
        <f>IF($AG167="","","")</f>
        <v/>
      </c>
      <c r="O167">
        <f>IF($AG167="","",INDEX('TMP Paste'!$K$2:$K$1601,$AG167))</f>
        <v/>
      </c>
      <c r="P167">
        <f>IF($AG167="","","")</f>
        <v/>
      </c>
      <c r="Q167">
        <f>IF($AG167="","",INDEX('TMP Paste'!$J$2:$J$1601,$AG167))</f>
        <v/>
      </c>
      <c r="R167">
        <f>IF($AG167="","",Config!$B$24)</f>
        <v/>
      </c>
      <c r="S167">
        <f>IF($AG167="","",TEXT(Config!$B$4,"yyyy-mm-dd"))</f>
        <v/>
      </c>
      <c r="T167">
        <f>IF($AG167="","",Config!$B$17)</f>
        <v/>
      </c>
      <c r="U167">
        <f>IF($AG167="","",Config!$B$18)</f>
        <v/>
      </c>
      <c r="V167">
        <f>IF($AG167="","",Config!$B$19)</f>
        <v/>
      </c>
      <c r="W167">
        <f>IF($AG167="","",INDEX('TMP Paste'!$C$2:$C$1601,$AG167))</f>
        <v/>
      </c>
      <c r="X167">
        <f>IF($AG167="","",Config!$B$29)</f>
        <v/>
      </c>
      <c r="Y167">
        <f>IF($AH167="","",INDEX(Calc!$I$2:$I$1601,$AH167)&amp;" - "&amp;INDEX(Calc!$D$2:$D$1601,$AH167)&amp;" koli")</f>
        <v/>
      </c>
      <c r="Z167">
        <f>IF($AG167="","",Config!$B$21)</f>
        <v/>
      </c>
      <c r="AA167">
        <f>IF($AG167="","",Config!$B$22)</f>
        <v/>
      </c>
      <c r="AB167">
        <f>IF($AH167="","",INDEX(Calc!$D$2:$D$1601,$AH167))</f>
        <v/>
      </c>
      <c r="AC167">
        <f>IF($AH167="","",INDEX(Calc!$G$2:$G$1601,$AH167))</f>
        <v/>
      </c>
      <c r="AD167">
        <f>IF($AG167="","",Config!$B$23)</f>
        <v/>
      </c>
      <c r="AE167">
        <f>IF($AG167="","",Config!$B$28)</f>
        <v/>
      </c>
      <c r="AG167">
        <f>IFERROR(MATCH(ROW()-1,Calc!$J$2:$J$1601,0),"")</f>
        <v/>
      </c>
      <c r="AH167">
        <f>IFERROR(MATCH(ROW()-1,Calc!$K$2:$K$1601,0),"")</f>
        <v/>
      </c>
      <c r="AI167">
        <f>IF($AG167="","",SUMIF($AG$2:$AG167,$AG167,$AH$2:$AH167))</f>
        <v/>
      </c>
      <c r="AJ167">
        <f>IF('TMP Paste'!$F167="","",IF('TMP Paste'!$B167="",$AJ166,'TMP Paste'!$B167))</f>
        <v/>
      </c>
      <c r="AK167">
        <f>IF('TMP Paste'!$F167="","",N('TMP Paste'!$G167))</f>
        <v/>
      </c>
      <c r="AL167">
        <f>IF('TMP Paste'!$F167="","",IF('TMP Paste'!$M167="",$AL166,'TMP Paste'!$M167))</f>
        <v/>
      </c>
      <c r="AM167">
        <f>IF('TMP Paste'!$F167="","",IF('TMP Paste'!$N167="",$AM166,'TMP Paste'!$N167))</f>
        <v/>
      </c>
      <c r="AN167">
        <f>IF('TMP Paste'!$F167="","",IF('TMP Paste'!$O167="",$AN166,'TMP Paste'!$O167))</f>
        <v/>
      </c>
      <c r="AO167">
        <f>IF('TMP Paste'!$F167="","",IF('TMP Paste'!$P167="",$AO166,'TMP Paste'!$P167))</f>
        <v/>
      </c>
      <c r="AP167">
        <f>IF($AG167="","",LEN($R167))</f>
        <v/>
      </c>
      <c r="AQ167">
        <f>IF($AG167="","",TRIM(IF(COUNTIFS(Calc!$B$2:$B$1601,ROW()-1,Calc!$C$2:$C$1601,"&lt;1")&gt;0,"Ada PO tanpa Koli - cek TMP. ","")&amp;IF(LEN($R167)&gt;500,"R &gt; 500 karakter.","")))</f>
        <v/>
      </c>
    </row>
    <row r="168">
      <c r="A168">
        <f>IF($AG168="","",INDEX('TMP Paste'!$B$2:$B$1601,$AG168))</f>
        <v/>
      </c>
      <c r="B168">
        <f>IF($AG168="","",Config!$B$14)</f>
        <v/>
      </c>
      <c r="C168">
        <f>IF($AG168="","",Config!$B$15)</f>
        <v/>
      </c>
      <c r="D168">
        <f>IF($AG168="","",INDEX('TMP Paste'!$B$2:$B$1601,$AG168))</f>
        <v/>
      </c>
      <c r="E168">
        <f>IF($AG168="","",Config!$B$27)</f>
        <v/>
      </c>
      <c r="F168">
        <f>IF($AG168="","",Config!$B$9)</f>
        <v/>
      </c>
      <c r="G168">
        <f>IF($AG168="","",Config!$B$10)</f>
        <v/>
      </c>
      <c r="H168">
        <f>IF($AG168="","",Config!$B$11)</f>
        <v/>
      </c>
      <c r="I168">
        <f>IF($AG168="","",Config!$B$16)</f>
        <v/>
      </c>
      <c r="J168">
        <f>IF($AG168="","",INDEX('TMP Paste'!$A$2:$A$1601,$AG168))</f>
        <v/>
      </c>
      <c r="K168">
        <f>IF($AG168="","",INDEX('TMP Paste'!$L$2:$L$1601,$AG168))</f>
        <v/>
      </c>
      <c r="L168">
        <f>IF($AG168="","",INDEX('TMP Paste'!$I$2:$I$1601,$AG168))</f>
        <v/>
      </c>
      <c r="M168">
        <f>IF($AG168="","",Config!$B$16)</f>
        <v/>
      </c>
      <c r="N168">
        <f>IF($AG168="","","")</f>
        <v/>
      </c>
      <c r="O168">
        <f>IF($AG168="","",INDEX('TMP Paste'!$K$2:$K$1601,$AG168))</f>
        <v/>
      </c>
      <c r="P168">
        <f>IF($AG168="","","")</f>
        <v/>
      </c>
      <c r="Q168">
        <f>IF($AG168="","",INDEX('TMP Paste'!$J$2:$J$1601,$AG168))</f>
        <v/>
      </c>
      <c r="R168">
        <f>IF($AG168="","",Config!$B$24)</f>
        <v/>
      </c>
      <c r="S168">
        <f>IF($AG168="","",TEXT(Config!$B$4,"yyyy-mm-dd"))</f>
        <v/>
      </c>
      <c r="T168">
        <f>IF($AG168="","",Config!$B$17)</f>
        <v/>
      </c>
      <c r="U168">
        <f>IF($AG168="","",Config!$B$18)</f>
        <v/>
      </c>
      <c r="V168">
        <f>IF($AG168="","",Config!$B$19)</f>
        <v/>
      </c>
      <c r="W168">
        <f>IF($AG168="","",INDEX('TMP Paste'!$C$2:$C$1601,$AG168))</f>
        <v/>
      </c>
      <c r="X168">
        <f>IF($AG168="","",Config!$B$29)</f>
        <v/>
      </c>
      <c r="Y168">
        <f>IF($AH168="","",INDEX(Calc!$I$2:$I$1601,$AH168)&amp;" - "&amp;INDEX(Calc!$D$2:$D$1601,$AH168)&amp;" koli")</f>
        <v/>
      </c>
      <c r="Z168">
        <f>IF($AG168="","",Config!$B$21)</f>
        <v/>
      </c>
      <c r="AA168">
        <f>IF($AG168="","",Config!$B$22)</f>
        <v/>
      </c>
      <c r="AB168">
        <f>IF($AH168="","",INDEX(Calc!$D$2:$D$1601,$AH168))</f>
        <v/>
      </c>
      <c r="AC168">
        <f>IF($AH168="","",INDEX(Calc!$G$2:$G$1601,$AH168))</f>
        <v/>
      </c>
      <c r="AD168">
        <f>IF($AG168="","",Config!$B$23)</f>
        <v/>
      </c>
      <c r="AE168">
        <f>IF($AG168="","",Config!$B$28)</f>
        <v/>
      </c>
      <c r="AG168">
        <f>IFERROR(MATCH(ROW()-1,Calc!$J$2:$J$1601,0),"")</f>
        <v/>
      </c>
      <c r="AH168">
        <f>IFERROR(MATCH(ROW()-1,Calc!$K$2:$K$1601,0),"")</f>
        <v/>
      </c>
      <c r="AI168">
        <f>IF($AG168="","",SUMIF($AG$2:$AG168,$AG168,$AH$2:$AH168))</f>
        <v/>
      </c>
      <c r="AJ168">
        <f>IF('TMP Paste'!$F168="","",IF('TMP Paste'!$B168="",$AJ167,'TMP Paste'!$B168))</f>
        <v/>
      </c>
      <c r="AK168">
        <f>IF('TMP Paste'!$F168="","",N('TMP Paste'!$G168))</f>
        <v/>
      </c>
      <c r="AL168">
        <f>IF('TMP Paste'!$F168="","",IF('TMP Paste'!$M168="",$AL167,'TMP Paste'!$M168))</f>
        <v/>
      </c>
      <c r="AM168">
        <f>IF('TMP Paste'!$F168="","",IF('TMP Paste'!$N168="",$AM167,'TMP Paste'!$N168))</f>
        <v/>
      </c>
      <c r="AN168">
        <f>IF('TMP Paste'!$F168="","",IF('TMP Paste'!$O168="",$AN167,'TMP Paste'!$O168))</f>
        <v/>
      </c>
      <c r="AO168">
        <f>IF('TMP Paste'!$F168="","",IF('TMP Paste'!$P168="",$AO167,'TMP Paste'!$P168))</f>
        <v/>
      </c>
      <c r="AP168">
        <f>IF($AG168="","",LEN($R168))</f>
        <v/>
      </c>
      <c r="AQ168">
        <f>IF($AG168="","",TRIM(IF(COUNTIFS(Calc!$B$2:$B$1601,ROW()-1,Calc!$C$2:$C$1601,"&lt;1")&gt;0,"Ada PO tanpa Koli - cek TMP. ","")&amp;IF(LEN($R168)&gt;500,"R &gt; 500 karakter.","")))</f>
        <v/>
      </c>
    </row>
    <row r="169">
      <c r="A169">
        <f>IF($AG169="","",INDEX('TMP Paste'!$B$2:$B$1601,$AG169))</f>
        <v/>
      </c>
      <c r="B169">
        <f>IF($AG169="","",Config!$B$14)</f>
        <v/>
      </c>
      <c r="C169">
        <f>IF($AG169="","",Config!$B$15)</f>
        <v/>
      </c>
      <c r="D169">
        <f>IF($AG169="","",INDEX('TMP Paste'!$B$2:$B$1601,$AG169))</f>
        <v/>
      </c>
      <c r="E169">
        <f>IF($AG169="","",Config!$B$27)</f>
        <v/>
      </c>
      <c r="F169">
        <f>IF($AG169="","",Config!$B$9)</f>
        <v/>
      </c>
      <c r="G169">
        <f>IF($AG169="","",Config!$B$10)</f>
        <v/>
      </c>
      <c r="H169">
        <f>IF($AG169="","",Config!$B$11)</f>
        <v/>
      </c>
      <c r="I169">
        <f>IF($AG169="","",Config!$B$16)</f>
        <v/>
      </c>
      <c r="J169">
        <f>IF($AG169="","",INDEX('TMP Paste'!$A$2:$A$1601,$AG169))</f>
        <v/>
      </c>
      <c r="K169">
        <f>IF($AG169="","",INDEX('TMP Paste'!$L$2:$L$1601,$AG169))</f>
        <v/>
      </c>
      <c r="L169">
        <f>IF($AG169="","",INDEX('TMP Paste'!$I$2:$I$1601,$AG169))</f>
        <v/>
      </c>
      <c r="M169">
        <f>IF($AG169="","",Config!$B$16)</f>
        <v/>
      </c>
      <c r="N169">
        <f>IF($AG169="","","")</f>
        <v/>
      </c>
      <c r="O169">
        <f>IF($AG169="","",INDEX('TMP Paste'!$K$2:$K$1601,$AG169))</f>
        <v/>
      </c>
      <c r="P169">
        <f>IF($AG169="","","")</f>
        <v/>
      </c>
      <c r="Q169">
        <f>IF($AG169="","",INDEX('TMP Paste'!$J$2:$J$1601,$AG169))</f>
        <v/>
      </c>
      <c r="R169">
        <f>IF($AG169="","",Config!$B$24)</f>
        <v/>
      </c>
      <c r="S169">
        <f>IF($AG169="","",TEXT(Config!$B$4,"yyyy-mm-dd"))</f>
        <v/>
      </c>
      <c r="T169">
        <f>IF($AG169="","",Config!$B$17)</f>
        <v/>
      </c>
      <c r="U169">
        <f>IF($AG169="","",Config!$B$18)</f>
        <v/>
      </c>
      <c r="V169">
        <f>IF($AG169="","",Config!$B$19)</f>
        <v/>
      </c>
      <c r="W169">
        <f>IF($AG169="","",INDEX('TMP Paste'!$C$2:$C$1601,$AG169))</f>
        <v/>
      </c>
      <c r="X169">
        <f>IF($AG169="","",Config!$B$29)</f>
        <v/>
      </c>
      <c r="Y169">
        <f>IF($AH169="","",INDEX(Calc!$I$2:$I$1601,$AH169)&amp;" - "&amp;INDEX(Calc!$D$2:$D$1601,$AH169)&amp;" koli")</f>
        <v/>
      </c>
      <c r="Z169">
        <f>IF($AG169="","",Config!$B$21)</f>
        <v/>
      </c>
      <c r="AA169">
        <f>IF($AG169="","",Config!$B$22)</f>
        <v/>
      </c>
      <c r="AB169">
        <f>IF($AH169="","",INDEX(Calc!$D$2:$D$1601,$AH169))</f>
        <v/>
      </c>
      <c r="AC169">
        <f>IF($AH169="","",INDEX(Calc!$G$2:$G$1601,$AH169))</f>
        <v/>
      </c>
      <c r="AD169">
        <f>IF($AG169="","",Config!$B$23)</f>
        <v/>
      </c>
      <c r="AE169">
        <f>IF($AG169="","",Config!$B$28)</f>
        <v/>
      </c>
      <c r="AG169">
        <f>IFERROR(MATCH(ROW()-1,Calc!$J$2:$J$1601,0),"")</f>
        <v/>
      </c>
      <c r="AH169">
        <f>IFERROR(MATCH(ROW()-1,Calc!$K$2:$K$1601,0),"")</f>
        <v/>
      </c>
      <c r="AI169">
        <f>IF($AG169="","",SUMIF($AG$2:$AG169,$AG169,$AH$2:$AH169))</f>
        <v/>
      </c>
      <c r="AJ169">
        <f>IF('TMP Paste'!$F169="","",IF('TMP Paste'!$B169="",$AJ168,'TMP Paste'!$B169))</f>
        <v/>
      </c>
      <c r="AK169">
        <f>IF('TMP Paste'!$F169="","",N('TMP Paste'!$G169))</f>
        <v/>
      </c>
      <c r="AL169">
        <f>IF('TMP Paste'!$F169="","",IF('TMP Paste'!$M169="",$AL168,'TMP Paste'!$M169))</f>
        <v/>
      </c>
      <c r="AM169">
        <f>IF('TMP Paste'!$F169="","",IF('TMP Paste'!$N169="",$AM168,'TMP Paste'!$N169))</f>
        <v/>
      </c>
      <c r="AN169">
        <f>IF('TMP Paste'!$F169="","",IF('TMP Paste'!$O169="",$AN168,'TMP Paste'!$O169))</f>
        <v/>
      </c>
      <c r="AO169">
        <f>IF('TMP Paste'!$F169="","",IF('TMP Paste'!$P169="",$AO168,'TMP Paste'!$P169))</f>
        <v/>
      </c>
      <c r="AP169">
        <f>IF($AG169="","",LEN($R169))</f>
        <v/>
      </c>
      <c r="AQ169">
        <f>IF($AG169="","",TRIM(IF(COUNTIFS(Calc!$B$2:$B$1601,ROW()-1,Calc!$C$2:$C$1601,"&lt;1")&gt;0,"Ada PO tanpa Koli - cek TMP. ","")&amp;IF(LEN($R169)&gt;500,"R &gt; 500 karakter.","")))</f>
        <v/>
      </c>
    </row>
    <row r="170">
      <c r="A170">
        <f>IF($AG170="","",INDEX('TMP Paste'!$B$2:$B$1601,$AG170))</f>
        <v/>
      </c>
      <c r="B170">
        <f>IF($AG170="","",Config!$B$14)</f>
        <v/>
      </c>
      <c r="C170">
        <f>IF($AG170="","",Config!$B$15)</f>
        <v/>
      </c>
      <c r="D170">
        <f>IF($AG170="","",INDEX('TMP Paste'!$B$2:$B$1601,$AG170))</f>
        <v/>
      </c>
      <c r="E170">
        <f>IF($AG170="","",Config!$B$27)</f>
        <v/>
      </c>
      <c r="F170">
        <f>IF($AG170="","",Config!$B$9)</f>
        <v/>
      </c>
      <c r="G170">
        <f>IF($AG170="","",Config!$B$10)</f>
        <v/>
      </c>
      <c r="H170">
        <f>IF($AG170="","",Config!$B$11)</f>
        <v/>
      </c>
      <c r="I170">
        <f>IF($AG170="","",Config!$B$16)</f>
        <v/>
      </c>
      <c r="J170">
        <f>IF($AG170="","",INDEX('TMP Paste'!$A$2:$A$1601,$AG170))</f>
        <v/>
      </c>
      <c r="K170">
        <f>IF($AG170="","",INDEX('TMP Paste'!$L$2:$L$1601,$AG170))</f>
        <v/>
      </c>
      <c r="L170">
        <f>IF($AG170="","",INDEX('TMP Paste'!$I$2:$I$1601,$AG170))</f>
        <v/>
      </c>
      <c r="M170">
        <f>IF($AG170="","",Config!$B$16)</f>
        <v/>
      </c>
      <c r="N170">
        <f>IF($AG170="","","")</f>
        <v/>
      </c>
      <c r="O170">
        <f>IF($AG170="","",INDEX('TMP Paste'!$K$2:$K$1601,$AG170))</f>
        <v/>
      </c>
      <c r="P170">
        <f>IF($AG170="","","")</f>
        <v/>
      </c>
      <c r="Q170">
        <f>IF($AG170="","",INDEX('TMP Paste'!$J$2:$J$1601,$AG170))</f>
        <v/>
      </c>
      <c r="R170">
        <f>IF($AG170="","",Config!$B$24)</f>
        <v/>
      </c>
      <c r="S170">
        <f>IF($AG170="","",TEXT(Config!$B$4,"yyyy-mm-dd"))</f>
        <v/>
      </c>
      <c r="T170">
        <f>IF($AG170="","",Config!$B$17)</f>
        <v/>
      </c>
      <c r="U170">
        <f>IF($AG170="","",Config!$B$18)</f>
        <v/>
      </c>
      <c r="V170">
        <f>IF($AG170="","",Config!$B$19)</f>
        <v/>
      </c>
      <c r="W170">
        <f>IF($AG170="","",INDEX('TMP Paste'!$C$2:$C$1601,$AG170))</f>
        <v/>
      </c>
      <c r="X170">
        <f>IF($AG170="","",Config!$B$29)</f>
        <v/>
      </c>
      <c r="Y170">
        <f>IF($AH170="","",INDEX(Calc!$I$2:$I$1601,$AH170)&amp;" - "&amp;INDEX(Calc!$D$2:$D$1601,$AH170)&amp;" koli")</f>
        <v/>
      </c>
      <c r="Z170">
        <f>IF($AG170="","",Config!$B$21)</f>
        <v/>
      </c>
      <c r="AA170">
        <f>IF($AG170="","",Config!$B$22)</f>
        <v/>
      </c>
      <c r="AB170">
        <f>IF($AH170="","",INDEX(Calc!$D$2:$D$1601,$AH170))</f>
        <v/>
      </c>
      <c r="AC170">
        <f>IF($AH170="","",INDEX(Calc!$G$2:$G$1601,$AH170))</f>
        <v/>
      </c>
      <c r="AD170">
        <f>IF($AG170="","",Config!$B$23)</f>
        <v/>
      </c>
      <c r="AE170">
        <f>IF($AG170="","",Config!$B$28)</f>
        <v/>
      </c>
      <c r="AG170">
        <f>IFERROR(MATCH(ROW()-1,Calc!$J$2:$J$1601,0),"")</f>
        <v/>
      </c>
      <c r="AH170">
        <f>IFERROR(MATCH(ROW()-1,Calc!$K$2:$K$1601,0),"")</f>
        <v/>
      </c>
      <c r="AI170">
        <f>IF($AG170="","",SUMIF($AG$2:$AG170,$AG170,$AH$2:$AH170))</f>
        <v/>
      </c>
      <c r="AJ170">
        <f>IF('TMP Paste'!$F170="","",IF('TMP Paste'!$B170="",$AJ169,'TMP Paste'!$B170))</f>
        <v/>
      </c>
      <c r="AK170">
        <f>IF('TMP Paste'!$F170="","",N('TMP Paste'!$G170))</f>
        <v/>
      </c>
      <c r="AL170">
        <f>IF('TMP Paste'!$F170="","",IF('TMP Paste'!$M170="",$AL169,'TMP Paste'!$M170))</f>
        <v/>
      </c>
      <c r="AM170">
        <f>IF('TMP Paste'!$F170="","",IF('TMP Paste'!$N170="",$AM169,'TMP Paste'!$N170))</f>
        <v/>
      </c>
      <c r="AN170">
        <f>IF('TMP Paste'!$F170="","",IF('TMP Paste'!$O170="",$AN169,'TMP Paste'!$O170))</f>
        <v/>
      </c>
      <c r="AO170">
        <f>IF('TMP Paste'!$F170="","",IF('TMP Paste'!$P170="",$AO169,'TMP Paste'!$P170))</f>
        <v/>
      </c>
      <c r="AP170">
        <f>IF($AG170="","",LEN($R170))</f>
        <v/>
      </c>
      <c r="AQ170">
        <f>IF($AG170="","",TRIM(IF(COUNTIFS(Calc!$B$2:$B$1601,ROW()-1,Calc!$C$2:$C$1601,"&lt;1")&gt;0,"Ada PO tanpa Koli - cek TMP. ","")&amp;IF(LEN($R170)&gt;500,"R &gt; 500 karakter.","")))</f>
        <v/>
      </c>
    </row>
    <row r="171">
      <c r="A171">
        <f>IF($AG171="","",INDEX('TMP Paste'!$B$2:$B$1601,$AG171))</f>
        <v/>
      </c>
      <c r="B171">
        <f>IF($AG171="","",Config!$B$14)</f>
        <v/>
      </c>
      <c r="C171">
        <f>IF($AG171="","",Config!$B$15)</f>
        <v/>
      </c>
      <c r="D171">
        <f>IF($AG171="","",INDEX('TMP Paste'!$B$2:$B$1601,$AG171))</f>
        <v/>
      </c>
      <c r="E171">
        <f>IF($AG171="","",Config!$B$27)</f>
        <v/>
      </c>
      <c r="F171">
        <f>IF($AG171="","",Config!$B$9)</f>
        <v/>
      </c>
      <c r="G171">
        <f>IF($AG171="","",Config!$B$10)</f>
        <v/>
      </c>
      <c r="H171">
        <f>IF($AG171="","",Config!$B$11)</f>
        <v/>
      </c>
      <c r="I171">
        <f>IF($AG171="","",Config!$B$16)</f>
        <v/>
      </c>
      <c r="J171">
        <f>IF($AG171="","",INDEX('TMP Paste'!$A$2:$A$1601,$AG171))</f>
        <v/>
      </c>
      <c r="K171">
        <f>IF($AG171="","",INDEX('TMP Paste'!$L$2:$L$1601,$AG171))</f>
        <v/>
      </c>
      <c r="L171">
        <f>IF($AG171="","",INDEX('TMP Paste'!$I$2:$I$1601,$AG171))</f>
        <v/>
      </c>
      <c r="M171">
        <f>IF($AG171="","",Config!$B$16)</f>
        <v/>
      </c>
      <c r="N171">
        <f>IF($AG171="","","")</f>
        <v/>
      </c>
      <c r="O171">
        <f>IF($AG171="","",INDEX('TMP Paste'!$K$2:$K$1601,$AG171))</f>
        <v/>
      </c>
      <c r="P171">
        <f>IF($AG171="","","")</f>
        <v/>
      </c>
      <c r="Q171">
        <f>IF($AG171="","",INDEX('TMP Paste'!$J$2:$J$1601,$AG171))</f>
        <v/>
      </c>
      <c r="R171">
        <f>IF($AG171="","",Config!$B$24)</f>
        <v/>
      </c>
      <c r="S171">
        <f>IF($AG171="","",TEXT(Config!$B$4,"yyyy-mm-dd"))</f>
        <v/>
      </c>
      <c r="T171">
        <f>IF($AG171="","",Config!$B$17)</f>
        <v/>
      </c>
      <c r="U171">
        <f>IF($AG171="","",Config!$B$18)</f>
        <v/>
      </c>
      <c r="V171">
        <f>IF($AG171="","",Config!$B$19)</f>
        <v/>
      </c>
      <c r="W171">
        <f>IF($AG171="","",INDEX('TMP Paste'!$C$2:$C$1601,$AG171))</f>
        <v/>
      </c>
      <c r="X171">
        <f>IF($AG171="","",Config!$B$29)</f>
        <v/>
      </c>
      <c r="Y171">
        <f>IF($AH171="","",INDEX(Calc!$I$2:$I$1601,$AH171)&amp;" - "&amp;INDEX(Calc!$D$2:$D$1601,$AH171)&amp;" koli")</f>
        <v/>
      </c>
      <c r="Z171">
        <f>IF($AG171="","",Config!$B$21)</f>
        <v/>
      </c>
      <c r="AA171">
        <f>IF($AG171="","",Config!$B$22)</f>
        <v/>
      </c>
      <c r="AB171">
        <f>IF($AH171="","",INDEX(Calc!$D$2:$D$1601,$AH171))</f>
        <v/>
      </c>
      <c r="AC171">
        <f>IF($AH171="","",INDEX(Calc!$G$2:$G$1601,$AH171))</f>
        <v/>
      </c>
      <c r="AD171">
        <f>IF($AG171="","",Config!$B$23)</f>
        <v/>
      </c>
      <c r="AE171">
        <f>IF($AG171="","",Config!$B$28)</f>
        <v/>
      </c>
      <c r="AG171">
        <f>IFERROR(MATCH(ROW()-1,Calc!$J$2:$J$1601,0),"")</f>
        <v/>
      </c>
      <c r="AH171">
        <f>IFERROR(MATCH(ROW()-1,Calc!$K$2:$K$1601,0),"")</f>
        <v/>
      </c>
      <c r="AI171">
        <f>IF($AG171="","",SUMIF($AG$2:$AG171,$AG171,$AH$2:$AH171))</f>
        <v/>
      </c>
      <c r="AJ171">
        <f>IF('TMP Paste'!$F171="","",IF('TMP Paste'!$B171="",$AJ170,'TMP Paste'!$B171))</f>
        <v/>
      </c>
      <c r="AK171">
        <f>IF('TMP Paste'!$F171="","",N('TMP Paste'!$G171))</f>
        <v/>
      </c>
      <c r="AL171">
        <f>IF('TMP Paste'!$F171="","",IF('TMP Paste'!$M171="",$AL170,'TMP Paste'!$M171))</f>
        <v/>
      </c>
      <c r="AM171">
        <f>IF('TMP Paste'!$F171="","",IF('TMP Paste'!$N171="",$AM170,'TMP Paste'!$N171))</f>
        <v/>
      </c>
      <c r="AN171">
        <f>IF('TMP Paste'!$F171="","",IF('TMP Paste'!$O171="",$AN170,'TMP Paste'!$O171))</f>
        <v/>
      </c>
      <c r="AO171">
        <f>IF('TMP Paste'!$F171="","",IF('TMP Paste'!$P171="",$AO170,'TMP Paste'!$P171))</f>
        <v/>
      </c>
      <c r="AP171">
        <f>IF($AG171="","",LEN($R171))</f>
        <v/>
      </c>
      <c r="AQ171">
        <f>IF($AG171="","",TRIM(IF(COUNTIFS(Calc!$B$2:$B$1601,ROW()-1,Calc!$C$2:$C$1601,"&lt;1")&gt;0,"Ada PO tanpa Koli - cek TMP. ","")&amp;IF(LEN($R171)&gt;500,"R &gt; 500 karakter.","")))</f>
        <v/>
      </c>
    </row>
    <row r="172">
      <c r="A172">
        <f>IF($AG172="","",INDEX('TMP Paste'!$B$2:$B$1601,$AG172))</f>
        <v/>
      </c>
      <c r="B172">
        <f>IF($AG172="","",Config!$B$14)</f>
        <v/>
      </c>
      <c r="C172">
        <f>IF($AG172="","",Config!$B$15)</f>
        <v/>
      </c>
      <c r="D172">
        <f>IF($AG172="","",INDEX('TMP Paste'!$B$2:$B$1601,$AG172))</f>
        <v/>
      </c>
      <c r="E172">
        <f>IF($AG172="","",Config!$B$27)</f>
        <v/>
      </c>
      <c r="F172">
        <f>IF($AG172="","",Config!$B$9)</f>
        <v/>
      </c>
      <c r="G172">
        <f>IF($AG172="","",Config!$B$10)</f>
        <v/>
      </c>
      <c r="H172">
        <f>IF($AG172="","",Config!$B$11)</f>
        <v/>
      </c>
      <c r="I172">
        <f>IF($AG172="","",Config!$B$16)</f>
        <v/>
      </c>
      <c r="J172">
        <f>IF($AG172="","",INDEX('TMP Paste'!$A$2:$A$1601,$AG172))</f>
        <v/>
      </c>
      <c r="K172">
        <f>IF($AG172="","",INDEX('TMP Paste'!$L$2:$L$1601,$AG172))</f>
        <v/>
      </c>
      <c r="L172">
        <f>IF($AG172="","",INDEX('TMP Paste'!$I$2:$I$1601,$AG172))</f>
        <v/>
      </c>
      <c r="M172">
        <f>IF($AG172="","",Config!$B$16)</f>
        <v/>
      </c>
      <c r="N172">
        <f>IF($AG172="","","")</f>
        <v/>
      </c>
      <c r="O172">
        <f>IF($AG172="","",INDEX('TMP Paste'!$K$2:$K$1601,$AG172))</f>
        <v/>
      </c>
      <c r="P172">
        <f>IF($AG172="","","")</f>
        <v/>
      </c>
      <c r="Q172">
        <f>IF($AG172="","",INDEX('TMP Paste'!$J$2:$J$1601,$AG172))</f>
        <v/>
      </c>
      <c r="R172">
        <f>IF($AG172="","",Config!$B$24)</f>
        <v/>
      </c>
      <c r="S172">
        <f>IF($AG172="","",TEXT(Config!$B$4,"yyyy-mm-dd"))</f>
        <v/>
      </c>
      <c r="T172">
        <f>IF($AG172="","",Config!$B$17)</f>
        <v/>
      </c>
      <c r="U172">
        <f>IF($AG172="","",Config!$B$18)</f>
        <v/>
      </c>
      <c r="V172">
        <f>IF($AG172="","",Config!$B$19)</f>
        <v/>
      </c>
      <c r="W172">
        <f>IF($AG172="","",INDEX('TMP Paste'!$C$2:$C$1601,$AG172))</f>
        <v/>
      </c>
      <c r="X172">
        <f>IF($AG172="","",Config!$B$29)</f>
        <v/>
      </c>
      <c r="Y172">
        <f>IF($AH172="","",INDEX(Calc!$I$2:$I$1601,$AH172)&amp;" - "&amp;INDEX(Calc!$D$2:$D$1601,$AH172)&amp;" koli")</f>
        <v/>
      </c>
      <c r="Z172">
        <f>IF($AG172="","",Config!$B$21)</f>
        <v/>
      </c>
      <c r="AA172">
        <f>IF($AG172="","",Config!$B$22)</f>
        <v/>
      </c>
      <c r="AB172">
        <f>IF($AH172="","",INDEX(Calc!$D$2:$D$1601,$AH172))</f>
        <v/>
      </c>
      <c r="AC172">
        <f>IF($AH172="","",INDEX(Calc!$G$2:$G$1601,$AH172))</f>
        <v/>
      </c>
      <c r="AD172">
        <f>IF($AG172="","",Config!$B$23)</f>
        <v/>
      </c>
      <c r="AE172">
        <f>IF($AG172="","",Config!$B$28)</f>
        <v/>
      </c>
      <c r="AG172">
        <f>IFERROR(MATCH(ROW()-1,Calc!$J$2:$J$1601,0),"")</f>
        <v/>
      </c>
      <c r="AH172">
        <f>IFERROR(MATCH(ROW()-1,Calc!$K$2:$K$1601,0),"")</f>
        <v/>
      </c>
      <c r="AI172">
        <f>IF($AG172="","",SUMIF($AG$2:$AG172,$AG172,$AH$2:$AH172))</f>
        <v/>
      </c>
      <c r="AJ172">
        <f>IF('TMP Paste'!$F172="","",IF('TMP Paste'!$B172="",$AJ171,'TMP Paste'!$B172))</f>
        <v/>
      </c>
      <c r="AK172">
        <f>IF('TMP Paste'!$F172="","",N('TMP Paste'!$G172))</f>
        <v/>
      </c>
      <c r="AL172">
        <f>IF('TMP Paste'!$F172="","",IF('TMP Paste'!$M172="",$AL171,'TMP Paste'!$M172))</f>
        <v/>
      </c>
      <c r="AM172">
        <f>IF('TMP Paste'!$F172="","",IF('TMP Paste'!$N172="",$AM171,'TMP Paste'!$N172))</f>
        <v/>
      </c>
      <c r="AN172">
        <f>IF('TMP Paste'!$F172="","",IF('TMP Paste'!$O172="",$AN171,'TMP Paste'!$O172))</f>
        <v/>
      </c>
      <c r="AO172">
        <f>IF('TMP Paste'!$F172="","",IF('TMP Paste'!$P172="",$AO171,'TMP Paste'!$P172))</f>
        <v/>
      </c>
      <c r="AP172">
        <f>IF($AG172="","",LEN($R172))</f>
        <v/>
      </c>
      <c r="AQ172">
        <f>IF($AG172="","",TRIM(IF(COUNTIFS(Calc!$B$2:$B$1601,ROW()-1,Calc!$C$2:$C$1601,"&lt;1")&gt;0,"Ada PO tanpa Koli - cek TMP. ","")&amp;IF(LEN($R172)&gt;500,"R &gt; 500 karakter.","")))</f>
        <v/>
      </c>
    </row>
    <row r="173">
      <c r="A173">
        <f>IF($AG173="","",INDEX('TMP Paste'!$B$2:$B$1601,$AG173))</f>
        <v/>
      </c>
      <c r="B173">
        <f>IF($AG173="","",Config!$B$14)</f>
        <v/>
      </c>
      <c r="C173">
        <f>IF($AG173="","",Config!$B$15)</f>
        <v/>
      </c>
      <c r="D173">
        <f>IF($AG173="","",INDEX('TMP Paste'!$B$2:$B$1601,$AG173))</f>
        <v/>
      </c>
      <c r="E173">
        <f>IF($AG173="","",Config!$B$27)</f>
        <v/>
      </c>
      <c r="F173">
        <f>IF($AG173="","",Config!$B$9)</f>
        <v/>
      </c>
      <c r="G173">
        <f>IF($AG173="","",Config!$B$10)</f>
        <v/>
      </c>
      <c r="H173">
        <f>IF($AG173="","",Config!$B$11)</f>
        <v/>
      </c>
      <c r="I173">
        <f>IF($AG173="","",Config!$B$16)</f>
        <v/>
      </c>
      <c r="J173">
        <f>IF($AG173="","",INDEX('TMP Paste'!$A$2:$A$1601,$AG173))</f>
        <v/>
      </c>
      <c r="K173">
        <f>IF($AG173="","",INDEX('TMP Paste'!$L$2:$L$1601,$AG173))</f>
        <v/>
      </c>
      <c r="L173">
        <f>IF($AG173="","",INDEX('TMP Paste'!$I$2:$I$1601,$AG173))</f>
        <v/>
      </c>
      <c r="M173">
        <f>IF($AG173="","",Config!$B$16)</f>
        <v/>
      </c>
      <c r="N173">
        <f>IF($AG173="","","")</f>
        <v/>
      </c>
      <c r="O173">
        <f>IF($AG173="","",INDEX('TMP Paste'!$K$2:$K$1601,$AG173))</f>
        <v/>
      </c>
      <c r="P173">
        <f>IF($AG173="","","")</f>
        <v/>
      </c>
      <c r="Q173">
        <f>IF($AG173="","",INDEX('TMP Paste'!$J$2:$J$1601,$AG173))</f>
        <v/>
      </c>
      <c r="R173">
        <f>IF($AG173="","",Config!$B$24)</f>
        <v/>
      </c>
      <c r="S173">
        <f>IF($AG173="","",TEXT(Config!$B$4,"yyyy-mm-dd"))</f>
        <v/>
      </c>
      <c r="T173">
        <f>IF($AG173="","",Config!$B$17)</f>
        <v/>
      </c>
      <c r="U173">
        <f>IF($AG173="","",Config!$B$18)</f>
        <v/>
      </c>
      <c r="V173">
        <f>IF($AG173="","",Config!$B$19)</f>
        <v/>
      </c>
      <c r="W173">
        <f>IF($AG173="","",INDEX('TMP Paste'!$C$2:$C$1601,$AG173))</f>
        <v/>
      </c>
      <c r="X173">
        <f>IF($AG173="","",Config!$B$29)</f>
        <v/>
      </c>
      <c r="Y173">
        <f>IF($AH173="","",INDEX(Calc!$I$2:$I$1601,$AH173)&amp;" - "&amp;INDEX(Calc!$D$2:$D$1601,$AH173)&amp;" koli")</f>
        <v/>
      </c>
      <c r="Z173">
        <f>IF($AG173="","",Config!$B$21)</f>
        <v/>
      </c>
      <c r="AA173">
        <f>IF($AG173="","",Config!$B$22)</f>
        <v/>
      </c>
      <c r="AB173">
        <f>IF($AH173="","",INDEX(Calc!$D$2:$D$1601,$AH173))</f>
        <v/>
      </c>
      <c r="AC173">
        <f>IF($AH173="","",INDEX(Calc!$G$2:$G$1601,$AH173))</f>
        <v/>
      </c>
      <c r="AD173">
        <f>IF($AG173="","",Config!$B$23)</f>
        <v/>
      </c>
      <c r="AE173">
        <f>IF($AG173="","",Config!$B$28)</f>
        <v/>
      </c>
      <c r="AG173">
        <f>IFERROR(MATCH(ROW()-1,Calc!$J$2:$J$1601,0),"")</f>
        <v/>
      </c>
      <c r="AH173">
        <f>IFERROR(MATCH(ROW()-1,Calc!$K$2:$K$1601,0),"")</f>
        <v/>
      </c>
      <c r="AI173">
        <f>IF($AG173="","",SUMIF($AG$2:$AG173,$AG173,$AH$2:$AH173))</f>
        <v/>
      </c>
      <c r="AJ173">
        <f>IF('TMP Paste'!$F173="","",IF('TMP Paste'!$B173="",$AJ172,'TMP Paste'!$B173))</f>
        <v/>
      </c>
      <c r="AK173">
        <f>IF('TMP Paste'!$F173="","",N('TMP Paste'!$G173))</f>
        <v/>
      </c>
      <c r="AL173">
        <f>IF('TMP Paste'!$F173="","",IF('TMP Paste'!$M173="",$AL172,'TMP Paste'!$M173))</f>
        <v/>
      </c>
      <c r="AM173">
        <f>IF('TMP Paste'!$F173="","",IF('TMP Paste'!$N173="",$AM172,'TMP Paste'!$N173))</f>
        <v/>
      </c>
      <c r="AN173">
        <f>IF('TMP Paste'!$F173="","",IF('TMP Paste'!$O173="",$AN172,'TMP Paste'!$O173))</f>
        <v/>
      </c>
      <c r="AO173">
        <f>IF('TMP Paste'!$F173="","",IF('TMP Paste'!$P173="",$AO172,'TMP Paste'!$P173))</f>
        <v/>
      </c>
      <c r="AP173">
        <f>IF($AG173="","",LEN($R173))</f>
        <v/>
      </c>
      <c r="AQ173">
        <f>IF($AG173="","",TRIM(IF(COUNTIFS(Calc!$B$2:$B$1601,ROW()-1,Calc!$C$2:$C$1601,"&lt;1")&gt;0,"Ada PO tanpa Koli - cek TMP. ","")&amp;IF(LEN($R173)&gt;500,"R &gt; 500 karakter.","")))</f>
        <v/>
      </c>
    </row>
    <row r="174">
      <c r="A174">
        <f>IF($AG174="","",INDEX('TMP Paste'!$B$2:$B$1601,$AG174))</f>
        <v/>
      </c>
      <c r="B174">
        <f>IF($AG174="","",Config!$B$14)</f>
        <v/>
      </c>
      <c r="C174">
        <f>IF($AG174="","",Config!$B$15)</f>
        <v/>
      </c>
      <c r="D174">
        <f>IF($AG174="","",INDEX('TMP Paste'!$B$2:$B$1601,$AG174))</f>
        <v/>
      </c>
      <c r="E174">
        <f>IF($AG174="","",Config!$B$27)</f>
        <v/>
      </c>
      <c r="F174">
        <f>IF($AG174="","",Config!$B$9)</f>
        <v/>
      </c>
      <c r="G174">
        <f>IF($AG174="","",Config!$B$10)</f>
        <v/>
      </c>
      <c r="H174">
        <f>IF($AG174="","",Config!$B$11)</f>
        <v/>
      </c>
      <c r="I174">
        <f>IF($AG174="","",Config!$B$16)</f>
        <v/>
      </c>
      <c r="J174">
        <f>IF($AG174="","",INDEX('TMP Paste'!$A$2:$A$1601,$AG174))</f>
        <v/>
      </c>
      <c r="K174">
        <f>IF($AG174="","",INDEX('TMP Paste'!$L$2:$L$1601,$AG174))</f>
        <v/>
      </c>
      <c r="L174">
        <f>IF($AG174="","",INDEX('TMP Paste'!$I$2:$I$1601,$AG174))</f>
        <v/>
      </c>
      <c r="M174">
        <f>IF($AG174="","",Config!$B$16)</f>
        <v/>
      </c>
      <c r="N174">
        <f>IF($AG174="","","")</f>
        <v/>
      </c>
      <c r="O174">
        <f>IF($AG174="","",INDEX('TMP Paste'!$K$2:$K$1601,$AG174))</f>
        <v/>
      </c>
      <c r="P174">
        <f>IF($AG174="","","")</f>
        <v/>
      </c>
      <c r="Q174">
        <f>IF($AG174="","",INDEX('TMP Paste'!$J$2:$J$1601,$AG174))</f>
        <v/>
      </c>
      <c r="R174">
        <f>IF($AG174="","",Config!$B$24)</f>
        <v/>
      </c>
      <c r="S174">
        <f>IF($AG174="","",TEXT(Config!$B$4,"yyyy-mm-dd"))</f>
        <v/>
      </c>
      <c r="T174">
        <f>IF($AG174="","",Config!$B$17)</f>
        <v/>
      </c>
      <c r="U174">
        <f>IF($AG174="","",Config!$B$18)</f>
        <v/>
      </c>
      <c r="V174">
        <f>IF($AG174="","",Config!$B$19)</f>
        <v/>
      </c>
      <c r="W174">
        <f>IF($AG174="","",INDEX('TMP Paste'!$C$2:$C$1601,$AG174))</f>
        <v/>
      </c>
      <c r="X174">
        <f>IF($AG174="","",Config!$B$29)</f>
        <v/>
      </c>
      <c r="Y174">
        <f>IF($AH174="","",INDEX(Calc!$I$2:$I$1601,$AH174)&amp;" - "&amp;INDEX(Calc!$D$2:$D$1601,$AH174)&amp;" koli")</f>
        <v/>
      </c>
      <c r="Z174">
        <f>IF($AG174="","",Config!$B$21)</f>
        <v/>
      </c>
      <c r="AA174">
        <f>IF($AG174="","",Config!$B$22)</f>
        <v/>
      </c>
      <c r="AB174">
        <f>IF($AH174="","",INDEX(Calc!$D$2:$D$1601,$AH174))</f>
        <v/>
      </c>
      <c r="AC174">
        <f>IF($AH174="","",INDEX(Calc!$G$2:$G$1601,$AH174))</f>
        <v/>
      </c>
      <c r="AD174">
        <f>IF($AG174="","",Config!$B$23)</f>
        <v/>
      </c>
      <c r="AE174">
        <f>IF($AG174="","",Config!$B$28)</f>
        <v/>
      </c>
      <c r="AG174">
        <f>IFERROR(MATCH(ROW()-1,Calc!$J$2:$J$1601,0),"")</f>
        <v/>
      </c>
      <c r="AH174">
        <f>IFERROR(MATCH(ROW()-1,Calc!$K$2:$K$1601,0),"")</f>
        <v/>
      </c>
      <c r="AI174">
        <f>IF($AG174="","",SUMIF($AG$2:$AG174,$AG174,$AH$2:$AH174))</f>
        <v/>
      </c>
      <c r="AJ174">
        <f>IF('TMP Paste'!$F174="","",IF('TMP Paste'!$B174="",$AJ173,'TMP Paste'!$B174))</f>
        <v/>
      </c>
      <c r="AK174">
        <f>IF('TMP Paste'!$F174="","",N('TMP Paste'!$G174))</f>
        <v/>
      </c>
      <c r="AL174">
        <f>IF('TMP Paste'!$F174="","",IF('TMP Paste'!$M174="",$AL173,'TMP Paste'!$M174))</f>
        <v/>
      </c>
      <c r="AM174">
        <f>IF('TMP Paste'!$F174="","",IF('TMP Paste'!$N174="",$AM173,'TMP Paste'!$N174))</f>
        <v/>
      </c>
      <c r="AN174">
        <f>IF('TMP Paste'!$F174="","",IF('TMP Paste'!$O174="",$AN173,'TMP Paste'!$O174))</f>
        <v/>
      </c>
      <c r="AO174">
        <f>IF('TMP Paste'!$F174="","",IF('TMP Paste'!$P174="",$AO173,'TMP Paste'!$P174))</f>
        <v/>
      </c>
      <c r="AP174">
        <f>IF($AG174="","",LEN($R174))</f>
        <v/>
      </c>
      <c r="AQ174">
        <f>IF($AG174="","",TRIM(IF(COUNTIFS(Calc!$B$2:$B$1601,ROW()-1,Calc!$C$2:$C$1601,"&lt;1")&gt;0,"Ada PO tanpa Koli - cek TMP. ","")&amp;IF(LEN($R174)&gt;500,"R &gt; 500 karakter.","")))</f>
        <v/>
      </c>
    </row>
    <row r="175">
      <c r="A175">
        <f>IF($AG175="","",INDEX('TMP Paste'!$B$2:$B$1601,$AG175))</f>
        <v/>
      </c>
      <c r="B175">
        <f>IF($AG175="","",Config!$B$14)</f>
        <v/>
      </c>
      <c r="C175">
        <f>IF($AG175="","",Config!$B$15)</f>
        <v/>
      </c>
      <c r="D175">
        <f>IF($AG175="","",INDEX('TMP Paste'!$B$2:$B$1601,$AG175))</f>
        <v/>
      </c>
      <c r="E175">
        <f>IF($AG175="","",Config!$B$27)</f>
        <v/>
      </c>
      <c r="F175">
        <f>IF($AG175="","",Config!$B$9)</f>
        <v/>
      </c>
      <c r="G175">
        <f>IF($AG175="","",Config!$B$10)</f>
        <v/>
      </c>
      <c r="H175">
        <f>IF($AG175="","",Config!$B$11)</f>
        <v/>
      </c>
      <c r="I175">
        <f>IF($AG175="","",Config!$B$16)</f>
        <v/>
      </c>
      <c r="J175">
        <f>IF($AG175="","",INDEX('TMP Paste'!$A$2:$A$1601,$AG175))</f>
        <v/>
      </c>
      <c r="K175">
        <f>IF($AG175="","",INDEX('TMP Paste'!$L$2:$L$1601,$AG175))</f>
        <v/>
      </c>
      <c r="L175">
        <f>IF($AG175="","",INDEX('TMP Paste'!$I$2:$I$1601,$AG175))</f>
        <v/>
      </c>
      <c r="M175">
        <f>IF($AG175="","",Config!$B$16)</f>
        <v/>
      </c>
      <c r="N175">
        <f>IF($AG175="","","")</f>
        <v/>
      </c>
      <c r="O175">
        <f>IF($AG175="","",INDEX('TMP Paste'!$K$2:$K$1601,$AG175))</f>
        <v/>
      </c>
      <c r="P175">
        <f>IF($AG175="","","")</f>
        <v/>
      </c>
      <c r="Q175">
        <f>IF($AG175="","",INDEX('TMP Paste'!$J$2:$J$1601,$AG175))</f>
        <v/>
      </c>
      <c r="R175">
        <f>IF($AG175="","",Config!$B$24)</f>
        <v/>
      </c>
      <c r="S175">
        <f>IF($AG175="","",TEXT(Config!$B$4,"yyyy-mm-dd"))</f>
        <v/>
      </c>
      <c r="T175">
        <f>IF($AG175="","",Config!$B$17)</f>
        <v/>
      </c>
      <c r="U175">
        <f>IF($AG175="","",Config!$B$18)</f>
        <v/>
      </c>
      <c r="V175">
        <f>IF($AG175="","",Config!$B$19)</f>
        <v/>
      </c>
      <c r="W175">
        <f>IF($AG175="","",INDEX('TMP Paste'!$C$2:$C$1601,$AG175))</f>
        <v/>
      </c>
      <c r="X175">
        <f>IF($AG175="","",Config!$B$29)</f>
        <v/>
      </c>
      <c r="Y175">
        <f>IF($AH175="","",INDEX(Calc!$I$2:$I$1601,$AH175)&amp;" - "&amp;INDEX(Calc!$D$2:$D$1601,$AH175)&amp;" koli")</f>
        <v/>
      </c>
      <c r="Z175">
        <f>IF($AG175="","",Config!$B$21)</f>
        <v/>
      </c>
      <c r="AA175">
        <f>IF($AG175="","",Config!$B$22)</f>
        <v/>
      </c>
      <c r="AB175">
        <f>IF($AH175="","",INDEX(Calc!$D$2:$D$1601,$AH175))</f>
        <v/>
      </c>
      <c r="AC175">
        <f>IF($AH175="","",INDEX(Calc!$G$2:$G$1601,$AH175))</f>
        <v/>
      </c>
      <c r="AD175">
        <f>IF($AG175="","",Config!$B$23)</f>
        <v/>
      </c>
      <c r="AE175">
        <f>IF($AG175="","",Config!$B$28)</f>
        <v/>
      </c>
      <c r="AG175">
        <f>IFERROR(MATCH(ROW()-1,Calc!$J$2:$J$1601,0),"")</f>
        <v/>
      </c>
      <c r="AH175">
        <f>IFERROR(MATCH(ROW()-1,Calc!$K$2:$K$1601,0),"")</f>
        <v/>
      </c>
      <c r="AI175">
        <f>IF($AG175="","",SUMIF($AG$2:$AG175,$AG175,$AH$2:$AH175))</f>
        <v/>
      </c>
      <c r="AJ175">
        <f>IF('TMP Paste'!$F175="","",IF('TMP Paste'!$B175="",$AJ174,'TMP Paste'!$B175))</f>
        <v/>
      </c>
      <c r="AK175">
        <f>IF('TMP Paste'!$F175="","",N('TMP Paste'!$G175))</f>
        <v/>
      </c>
      <c r="AL175">
        <f>IF('TMP Paste'!$F175="","",IF('TMP Paste'!$M175="",$AL174,'TMP Paste'!$M175))</f>
        <v/>
      </c>
      <c r="AM175">
        <f>IF('TMP Paste'!$F175="","",IF('TMP Paste'!$N175="",$AM174,'TMP Paste'!$N175))</f>
        <v/>
      </c>
      <c r="AN175">
        <f>IF('TMP Paste'!$F175="","",IF('TMP Paste'!$O175="",$AN174,'TMP Paste'!$O175))</f>
        <v/>
      </c>
      <c r="AO175">
        <f>IF('TMP Paste'!$F175="","",IF('TMP Paste'!$P175="",$AO174,'TMP Paste'!$P175))</f>
        <v/>
      </c>
      <c r="AP175">
        <f>IF($AG175="","",LEN($R175))</f>
        <v/>
      </c>
      <c r="AQ175">
        <f>IF($AG175="","",TRIM(IF(COUNTIFS(Calc!$B$2:$B$1601,ROW()-1,Calc!$C$2:$C$1601,"&lt;1")&gt;0,"Ada PO tanpa Koli - cek TMP. ","")&amp;IF(LEN($R175)&gt;500,"R &gt; 500 karakter.","")))</f>
        <v/>
      </c>
    </row>
    <row r="176">
      <c r="A176">
        <f>IF($AG176="","",INDEX('TMP Paste'!$B$2:$B$1601,$AG176))</f>
        <v/>
      </c>
      <c r="B176">
        <f>IF($AG176="","",Config!$B$14)</f>
        <v/>
      </c>
      <c r="C176">
        <f>IF($AG176="","",Config!$B$15)</f>
        <v/>
      </c>
      <c r="D176">
        <f>IF($AG176="","",INDEX('TMP Paste'!$B$2:$B$1601,$AG176))</f>
        <v/>
      </c>
      <c r="E176">
        <f>IF($AG176="","",Config!$B$27)</f>
        <v/>
      </c>
      <c r="F176">
        <f>IF($AG176="","",Config!$B$9)</f>
        <v/>
      </c>
      <c r="G176">
        <f>IF($AG176="","",Config!$B$10)</f>
        <v/>
      </c>
      <c r="H176">
        <f>IF($AG176="","",Config!$B$11)</f>
        <v/>
      </c>
      <c r="I176">
        <f>IF($AG176="","",Config!$B$16)</f>
        <v/>
      </c>
      <c r="J176">
        <f>IF($AG176="","",INDEX('TMP Paste'!$A$2:$A$1601,$AG176))</f>
        <v/>
      </c>
      <c r="K176">
        <f>IF($AG176="","",INDEX('TMP Paste'!$L$2:$L$1601,$AG176))</f>
        <v/>
      </c>
      <c r="L176">
        <f>IF($AG176="","",INDEX('TMP Paste'!$I$2:$I$1601,$AG176))</f>
        <v/>
      </c>
      <c r="M176">
        <f>IF($AG176="","",Config!$B$16)</f>
        <v/>
      </c>
      <c r="N176">
        <f>IF($AG176="","","")</f>
        <v/>
      </c>
      <c r="O176">
        <f>IF($AG176="","",INDEX('TMP Paste'!$K$2:$K$1601,$AG176))</f>
        <v/>
      </c>
      <c r="P176">
        <f>IF($AG176="","","")</f>
        <v/>
      </c>
      <c r="Q176">
        <f>IF($AG176="","",INDEX('TMP Paste'!$J$2:$J$1601,$AG176))</f>
        <v/>
      </c>
      <c r="R176">
        <f>IF($AG176="","",Config!$B$24)</f>
        <v/>
      </c>
      <c r="S176">
        <f>IF($AG176="","",TEXT(Config!$B$4,"yyyy-mm-dd"))</f>
        <v/>
      </c>
      <c r="T176">
        <f>IF($AG176="","",Config!$B$17)</f>
        <v/>
      </c>
      <c r="U176">
        <f>IF($AG176="","",Config!$B$18)</f>
        <v/>
      </c>
      <c r="V176">
        <f>IF($AG176="","",Config!$B$19)</f>
        <v/>
      </c>
      <c r="W176">
        <f>IF($AG176="","",INDEX('TMP Paste'!$C$2:$C$1601,$AG176))</f>
        <v/>
      </c>
      <c r="X176">
        <f>IF($AG176="","",Config!$B$29)</f>
        <v/>
      </c>
      <c r="Y176">
        <f>IF($AH176="","",INDEX(Calc!$I$2:$I$1601,$AH176)&amp;" - "&amp;INDEX(Calc!$D$2:$D$1601,$AH176)&amp;" koli")</f>
        <v/>
      </c>
      <c r="Z176">
        <f>IF($AG176="","",Config!$B$21)</f>
        <v/>
      </c>
      <c r="AA176">
        <f>IF($AG176="","",Config!$B$22)</f>
        <v/>
      </c>
      <c r="AB176">
        <f>IF($AH176="","",INDEX(Calc!$D$2:$D$1601,$AH176))</f>
        <v/>
      </c>
      <c r="AC176">
        <f>IF($AH176="","",INDEX(Calc!$G$2:$G$1601,$AH176))</f>
        <v/>
      </c>
      <c r="AD176">
        <f>IF($AG176="","",Config!$B$23)</f>
        <v/>
      </c>
      <c r="AE176">
        <f>IF($AG176="","",Config!$B$28)</f>
        <v/>
      </c>
      <c r="AG176">
        <f>IFERROR(MATCH(ROW()-1,Calc!$J$2:$J$1601,0),"")</f>
        <v/>
      </c>
      <c r="AH176">
        <f>IFERROR(MATCH(ROW()-1,Calc!$K$2:$K$1601,0),"")</f>
        <v/>
      </c>
      <c r="AI176">
        <f>IF($AG176="","",SUMIF($AG$2:$AG176,$AG176,$AH$2:$AH176))</f>
        <v/>
      </c>
      <c r="AJ176">
        <f>IF('TMP Paste'!$F176="","",IF('TMP Paste'!$B176="",$AJ175,'TMP Paste'!$B176))</f>
        <v/>
      </c>
      <c r="AK176">
        <f>IF('TMP Paste'!$F176="","",N('TMP Paste'!$G176))</f>
        <v/>
      </c>
      <c r="AL176">
        <f>IF('TMP Paste'!$F176="","",IF('TMP Paste'!$M176="",$AL175,'TMP Paste'!$M176))</f>
        <v/>
      </c>
      <c r="AM176">
        <f>IF('TMP Paste'!$F176="","",IF('TMP Paste'!$N176="",$AM175,'TMP Paste'!$N176))</f>
        <v/>
      </c>
      <c r="AN176">
        <f>IF('TMP Paste'!$F176="","",IF('TMP Paste'!$O176="",$AN175,'TMP Paste'!$O176))</f>
        <v/>
      </c>
      <c r="AO176">
        <f>IF('TMP Paste'!$F176="","",IF('TMP Paste'!$P176="",$AO175,'TMP Paste'!$P176))</f>
        <v/>
      </c>
      <c r="AP176">
        <f>IF($AG176="","",LEN($R176))</f>
        <v/>
      </c>
      <c r="AQ176">
        <f>IF($AG176="","",TRIM(IF(COUNTIFS(Calc!$B$2:$B$1601,ROW()-1,Calc!$C$2:$C$1601,"&lt;1")&gt;0,"Ada PO tanpa Koli - cek TMP. ","")&amp;IF(LEN($R176)&gt;500,"R &gt; 500 karakter.","")))</f>
        <v/>
      </c>
    </row>
    <row r="177">
      <c r="A177">
        <f>IF($AG177="","",INDEX('TMP Paste'!$B$2:$B$1601,$AG177))</f>
        <v/>
      </c>
      <c r="B177">
        <f>IF($AG177="","",Config!$B$14)</f>
        <v/>
      </c>
      <c r="C177">
        <f>IF($AG177="","",Config!$B$15)</f>
        <v/>
      </c>
      <c r="D177">
        <f>IF($AG177="","",INDEX('TMP Paste'!$B$2:$B$1601,$AG177))</f>
        <v/>
      </c>
      <c r="E177">
        <f>IF($AG177="","",Config!$B$27)</f>
        <v/>
      </c>
      <c r="F177">
        <f>IF($AG177="","",Config!$B$9)</f>
        <v/>
      </c>
      <c r="G177">
        <f>IF($AG177="","",Config!$B$10)</f>
        <v/>
      </c>
      <c r="H177">
        <f>IF($AG177="","",Config!$B$11)</f>
        <v/>
      </c>
      <c r="I177">
        <f>IF($AG177="","",Config!$B$16)</f>
        <v/>
      </c>
      <c r="J177">
        <f>IF($AG177="","",INDEX('TMP Paste'!$A$2:$A$1601,$AG177))</f>
        <v/>
      </c>
      <c r="K177">
        <f>IF($AG177="","",INDEX('TMP Paste'!$L$2:$L$1601,$AG177))</f>
        <v/>
      </c>
      <c r="L177">
        <f>IF($AG177="","",INDEX('TMP Paste'!$I$2:$I$1601,$AG177))</f>
        <v/>
      </c>
      <c r="M177">
        <f>IF($AG177="","",Config!$B$16)</f>
        <v/>
      </c>
      <c r="N177">
        <f>IF($AG177="","","")</f>
        <v/>
      </c>
      <c r="O177">
        <f>IF($AG177="","",INDEX('TMP Paste'!$K$2:$K$1601,$AG177))</f>
        <v/>
      </c>
      <c r="P177">
        <f>IF($AG177="","","")</f>
        <v/>
      </c>
      <c r="Q177">
        <f>IF($AG177="","",INDEX('TMP Paste'!$J$2:$J$1601,$AG177))</f>
        <v/>
      </c>
      <c r="R177">
        <f>IF($AG177="","",Config!$B$24)</f>
        <v/>
      </c>
      <c r="S177">
        <f>IF($AG177="","",TEXT(Config!$B$4,"yyyy-mm-dd"))</f>
        <v/>
      </c>
      <c r="T177">
        <f>IF($AG177="","",Config!$B$17)</f>
        <v/>
      </c>
      <c r="U177">
        <f>IF($AG177="","",Config!$B$18)</f>
        <v/>
      </c>
      <c r="V177">
        <f>IF($AG177="","",Config!$B$19)</f>
        <v/>
      </c>
      <c r="W177">
        <f>IF($AG177="","",INDEX('TMP Paste'!$C$2:$C$1601,$AG177))</f>
        <v/>
      </c>
      <c r="X177">
        <f>IF($AG177="","",Config!$B$29)</f>
        <v/>
      </c>
      <c r="Y177">
        <f>IF($AH177="","",INDEX(Calc!$I$2:$I$1601,$AH177)&amp;" - "&amp;INDEX(Calc!$D$2:$D$1601,$AH177)&amp;" koli")</f>
        <v/>
      </c>
      <c r="Z177">
        <f>IF($AG177="","",Config!$B$21)</f>
        <v/>
      </c>
      <c r="AA177">
        <f>IF($AG177="","",Config!$B$22)</f>
        <v/>
      </c>
      <c r="AB177">
        <f>IF($AH177="","",INDEX(Calc!$D$2:$D$1601,$AH177))</f>
        <v/>
      </c>
      <c r="AC177">
        <f>IF($AH177="","",INDEX(Calc!$G$2:$G$1601,$AH177))</f>
        <v/>
      </c>
      <c r="AD177">
        <f>IF($AG177="","",Config!$B$23)</f>
        <v/>
      </c>
      <c r="AE177">
        <f>IF($AG177="","",Config!$B$28)</f>
        <v/>
      </c>
      <c r="AG177">
        <f>IFERROR(MATCH(ROW()-1,Calc!$J$2:$J$1601,0),"")</f>
        <v/>
      </c>
      <c r="AH177">
        <f>IFERROR(MATCH(ROW()-1,Calc!$K$2:$K$1601,0),"")</f>
        <v/>
      </c>
      <c r="AI177">
        <f>IF($AG177="","",SUMIF($AG$2:$AG177,$AG177,$AH$2:$AH177))</f>
        <v/>
      </c>
      <c r="AJ177">
        <f>IF('TMP Paste'!$F177="","",IF('TMP Paste'!$B177="",$AJ176,'TMP Paste'!$B177))</f>
        <v/>
      </c>
      <c r="AK177">
        <f>IF('TMP Paste'!$F177="","",N('TMP Paste'!$G177))</f>
        <v/>
      </c>
      <c r="AL177">
        <f>IF('TMP Paste'!$F177="","",IF('TMP Paste'!$M177="",$AL176,'TMP Paste'!$M177))</f>
        <v/>
      </c>
      <c r="AM177">
        <f>IF('TMP Paste'!$F177="","",IF('TMP Paste'!$N177="",$AM176,'TMP Paste'!$N177))</f>
        <v/>
      </c>
      <c r="AN177">
        <f>IF('TMP Paste'!$F177="","",IF('TMP Paste'!$O177="",$AN176,'TMP Paste'!$O177))</f>
        <v/>
      </c>
      <c r="AO177">
        <f>IF('TMP Paste'!$F177="","",IF('TMP Paste'!$P177="",$AO176,'TMP Paste'!$P177))</f>
        <v/>
      </c>
      <c r="AP177">
        <f>IF($AG177="","",LEN($R177))</f>
        <v/>
      </c>
      <c r="AQ177">
        <f>IF($AG177="","",TRIM(IF(COUNTIFS(Calc!$B$2:$B$1601,ROW()-1,Calc!$C$2:$C$1601,"&lt;1")&gt;0,"Ada PO tanpa Koli - cek TMP. ","")&amp;IF(LEN($R177)&gt;500,"R &gt; 500 karakter.","")))</f>
        <v/>
      </c>
    </row>
    <row r="178">
      <c r="A178">
        <f>IF($AG178="","",INDEX('TMP Paste'!$B$2:$B$1601,$AG178))</f>
        <v/>
      </c>
      <c r="B178">
        <f>IF($AG178="","",Config!$B$14)</f>
        <v/>
      </c>
      <c r="C178">
        <f>IF($AG178="","",Config!$B$15)</f>
        <v/>
      </c>
      <c r="D178">
        <f>IF($AG178="","",INDEX('TMP Paste'!$B$2:$B$1601,$AG178))</f>
        <v/>
      </c>
      <c r="E178">
        <f>IF($AG178="","",Config!$B$27)</f>
        <v/>
      </c>
      <c r="F178">
        <f>IF($AG178="","",Config!$B$9)</f>
        <v/>
      </c>
      <c r="G178">
        <f>IF($AG178="","",Config!$B$10)</f>
        <v/>
      </c>
      <c r="H178">
        <f>IF($AG178="","",Config!$B$11)</f>
        <v/>
      </c>
      <c r="I178">
        <f>IF($AG178="","",Config!$B$16)</f>
        <v/>
      </c>
      <c r="J178">
        <f>IF($AG178="","",INDEX('TMP Paste'!$A$2:$A$1601,$AG178))</f>
        <v/>
      </c>
      <c r="K178">
        <f>IF($AG178="","",INDEX('TMP Paste'!$L$2:$L$1601,$AG178))</f>
        <v/>
      </c>
      <c r="L178">
        <f>IF($AG178="","",INDEX('TMP Paste'!$I$2:$I$1601,$AG178))</f>
        <v/>
      </c>
      <c r="M178">
        <f>IF($AG178="","",Config!$B$16)</f>
        <v/>
      </c>
      <c r="N178">
        <f>IF($AG178="","","")</f>
        <v/>
      </c>
      <c r="O178">
        <f>IF($AG178="","",INDEX('TMP Paste'!$K$2:$K$1601,$AG178))</f>
        <v/>
      </c>
      <c r="P178">
        <f>IF($AG178="","","")</f>
        <v/>
      </c>
      <c r="Q178">
        <f>IF($AG178="","",INDEX('TMP Paste'!$J$2:$J$1601,$AG178))</f>
        <v/>
      </c>
      <c r="R178">
        <f>IF($AG178="","",Config!$B$24)</f>
        <v/>
      </c>
      <c r="S178">
        <f>IF($AG178="","",TEXT(Config!$B$4,"yyyy-mm-dd"))</f>
        <v/>
      </c>
      <c r="T178">
        <f>IF($AG178="","",Config!$B$17)</f>
        <v/>
      </c>
      <c r="U178">
        <f>IF($AG178="","",Config!$B$18)</f>
        <v/>
      </c>
      <c r="V178">
        <f>IF($AG178="","",Config!$B$19)</f>
        <v/>
      </c>
      <c r="W178">
        <f>IF($AG178="","",INDEX('TMP Paste'!$C$2:$C$1601,$AG178))</f>
        <v/>
      </c>
      <c r="X178">
        <f>IF($AG178="","",Config!$B$29)</f>
        <v/>
      </c>
      <c r="Y178">
        <f>IF($AH178="","",INDEX(Calc!$I$2:$I$1601,$AH178)&amp;" - "&amp;INDEX(Calc!$D$2:$D$1601,$AH178)&amp;" koli")</f>
        <v/>
      </c>
      <c r="Z178">
        <f>IF($AG178="","",Config!$B$21)</f>
        <v/>
      </c>
      <c r="AA178">
        <f>IF($AG178="","",Config!$B$22)</f>
        <v/>
      </c>
      <c r="AB178">
        <f>IF($AH178="","",INDEX(Calc!$D$2:$D$1601,$AH178))</f>
        <v/>
      </c>
      <c r="AC178">
        <f>IF($AH178="","",INDEX(Calc!$G$2:$G$1601,$AH178))</f>
        <v/>
      </c>
      <c r="AD178">
        <f>IF($AG178="","",Config!$B$23)</f>
        <v/>
      </c>
      <c r="AE178">
        <f>IF($AG178="","",Config!$B$28)</f>
        <v/>
      </c>
      <c r="AG178">
        <f>IFERROR(MATCH(ROW()-1,Calc!$J$2:$J$1601,0),"")</f>
        <v/>
      </c>
      <c r="AH178">
        <f>IFERROR(MATCH(ROW()-1,Calc!$K$2:$K$1601,0),"")</f>
        <v/>
      </c>
      <c r="AI178">
        <f>IF($AG178="","",SUMIF($AG$2:$AG178,$AG178,$AH$2:$AH178))</f>
        <v/>
      </c>
      <c r="AJ178">
        <f>IF('TMP Paste'!$F178="","",IF('TMP Paste'!$B178="",$AJ177,'TMP Paste'!$B178))</f>
        <v/>
      </c>
      <c r="AK178">
        <f>IF('TMP Paste'!$F178="","",N('TMP Paste'!$G178))</f>
        <v/>
      </c>
      <c r="AL178">
        <f>IF('TMP Paste'!$F178="","",IF('TMP Paste'!$M178="",$AL177,'TMP Paste'!$M178))</f>
        <v/>
      </c>
      <c r="AM178">
        <f>IF('TMP Paste'!$F178="","",IF('TMP Paste'!$N178="",$AM177,'TMP Paste'!$N178))</f>
        <v/>
      </c>
      <c r="AN178">
        <f>IF('TMP Paste'!$F178="","",IF('TMP Paste'!$O178="",$AN177,'TMP Paste'!$O178))</f>
        <v/>
      </c>
      <c r="AO178">
        <f>IF('TMP Paste'!$F178="","",IF('TMP Paste'!$P178="",$AO177,'TMP Paste'!$P178))</f>
        <v/>
      </c>
      <c r="AP178">
        <f>IF($AG178="","",LEN($R178))</f>
        <v/>
      </c>
      <c r="AQ178">
        <f>IF($AG178="","",TRIM(IF(COUNTIFS(Calc!$B$2:$B$1601,ROW()-1,Calc!$C$2:$C$1601,"&lt;1")&gt;0,"Ada PO tanpa Koli - cek TMP. ","")&amp;IF(LEN($R178)&gt;500,"R &gt; 500 karakter.","")))</f>
        <v/>
      </c>
    </row>
    <row r="179">
      <c r="A179">
        <f>IF($AG179="","",INDEX('TMP Paste'!$B$2:$B$1601,$AG179))</f>
        <v/>
      </c>
      <c r="B179">
        <f>IF($AG179="","",Config!$B$14)</f>
        <v/>
      </c>
      <c r="C179">
        <f>IF($AG179="","",Config!$B$15)</f>
        <v/>
      </c>
      <c r="D179">
        <f>IF($AG179="","",INDEX('TMP Paste'!$B$2:$B$1601,$AG179))</f>
        <v/>
      </c>
      <c r="E179">
        <f>IF($AG179="","",Config!$B$27)</f>
        <v/>
      </c>
      <c r="F179">
        <f>IF($AG179="","",Config!$B$9)</f>
        <v/>
      </c>
      <c r="G179">
        <f>IF($AG179="","",Config!$B$10)</f>
        <v/>
      </c>
      <c r="H179">
        <f>IF($AG179="","",Config!$B$11)</f>
        <v/>
      </c>
      <c r="I179">
        <f>IF($AG179="","",Config!$B$16)</f>
        <v/>
      </c>
      <c r="J179">
        <f>IF($AG179="","",INDEX('TMP Paste'!$A$2:$A$1601,$AG179))</f>
        <v/>
      </c>
      <c r="K179">
        <f>IF($AG179="","",INDEX('TMP Paste'!$L$2:$L$1601,$AG179))</f>
        <v/>
      </c>
      <c r="L179">
        <f>IF($AG179="","",INDEX('TMP Paste'!$I$2:$I$1601,$AG179))</f>
        <v/>
      </c>
      <c r="M179">
        <f>IF($AG179="","",Config!$B$16)</f>
        <v/>
      </c>
      <c r="N179">
        <f>IF($AG179="","","")</f>
        <v/>
      </c>
      <c r="O179">
        <f>IF($AG179="","",INDEX('TMP Paste'!$K$2:$K$1601,$AG179))</f>
        <v/>
      </c>
      <c r="P179">
        <f>IF($AG179="","","")</f>
        <v/>
      </c>
      <c r="Q179">
        <f>IF($AG179="","",INDEX('TMP Paste'!$J$2:$J$1601,$AG179))</f>
        <v/>
      </c>
      <c r="R179">
        <f>IF($AG179="","",Config!$B$24)</f>
        <v/>
      </c>
      <c r="S179">
        <f>IF($AG179="","",TEXT(Config!$B$4,"yyyy-mm-dd"))</f>
        <v/>
      </c>
      <c r="T179">
        <f>IF($AG179="","",Config!$B$17)</f>
        <v/>
      </c>
      <c r="U179">
        <f>IF($AG179="","",Config!$B$18)</f>
        <v/>
      </c>
      <c r="V179">
        <f>IF($AG179="","",Config!$B$19)</f>
        <v/>
      </c>
      <c r="W179">
        <f>IF($AG179="","",INDEX('TMP Paste'!$C$2:$C$1601,$AG179))</f>
        <v/>
      </c>
      <c r="X179">
        <f>IF($AG179="","",Config!$B$29)</f>
        <v/>
      </c>
      <c r="Y179">
        <f>IF($AH179="","",INDEX(Calc!$I$2:$I$1601,$AH179)&amp;" - "&amp;INDEX(Calc!$D$2:$D$1601,$AH179)&amp;" koli")</f>
        <v/>
      </c>
      <c r="Z179">
        <f>IF($AG179="","",Config!$B$21)</f>
        <v/>
      </c>
      <c r="AA179">
        <f>IF($AG179="","",Config!$B$22)</f>
        <v/>
      </c>
      <c r="AB179">
        <f>IF($AH179="","",INDEX(Calc!$D$2:$D$1601,$AH179))</f>
        <v/>
      </c>
      <c r="AC179">
        <f>IF($AH179="","",INDEX(Calc!$G$2:$G$1601,$AH179))</f>
        <v/>
      </c>
      <c r="AD179">
        <f>IF($AG179="","",Config!$B$23)</f>
        <v/>
      </c>
      <c r="AE179">
        <f>IF($AG179="","",Config!$B$28)</f>
        <v/>
      </c>
      <c r="AG179">
        <f>IFERROR(MATCH(ROW()-1,Calc!$J$2:$J$1601,0),"")</f>
        <v/>
      </c>
      <c r="AH179">
        <f>IFERROR(MATCH(ROW()-1,Calc!$K$2:$K$1601,0),"")</f>
        <v/>
      </c>
      <c r="AI179">
        <f>IF($AG179="","",SUMIF($AG$2:$AG179,$AG179,$AH$2:$AH179))</f>
        <v/>
      </c>
      <c r="AJ179">
        <f>IF('TMP Paste'!$F179="","",IF('TMP Paste'!$B179="",$AJ178,'TMP Paste'!$B179))</f>
        <v/>
      </c>
      <c r="AK179">
        <f>IF('TMP Paste'!$F179="","",N('TMP Paste'!$G179))</f>
        <v/>
      </c>
      <c r="AL179">
        <f>IF('TMP Paste'!$F179="","",IF('TMP Paste'!$M179="",$AL178,'TMP Paste'!$M179))</f>
        <v/>
      </c>
      <c r="AM179">
        <f>IF('TMP Paste'!$F179="","",IF('TMP Paste'!$N179="",$AM178,'TMP Paste'!$N179))</f>
        <v/>
      </c>
      <c r="AN179">
        <f>IF('TMP Paste'!$F179="","",IF('TMP Paste'!$O179="",$AN178,'TMP Paste'!$O179))</f>
        <v/>
      </c>
      <c r="AO179">
        <f>IF('TMP Paste'!$F179="","",IF('TMP Paste'!$P179="",$AO178,'TMP Paste'!$P179))</f>
        <v/>
      </c>
      <c r="AP179">
        <f>IF($AG179="","",LEN($R179))</f>
        <v/>
      </c>
      <c r="AQ179">
        <f>IF($AG179="","",TRIM(IF(COUNTIFS(Calc!$B$2:$B$1601,ROW()-1,Calc!$C$2:$C$1601,"&lt;1")&gt;0,"Ada PO tanpa Koli - cek TMP. ","")&amp;IF(LEN($R179)&gt;500,"R &gt; 500 karakter.","")))</f>
        <v/>
      </c>
    </row>
    <row r="180">
      <c r="A180">
        <f>IF($AG180="","",INDEX('TMP Paste'!$B$2:$B$1601,$AG180))</f>
        <v/>
      </c>
      <c r="B180">
        <f>IF($AG180="","",Config!$B$14)</f>
        <v/>
      </c>
      <c r="C180">
        <f>IF($AG180="","",Config!$B$15)</f>
        <v/>
      </c>
      <c r="D180">
        <f>IF($AG180="","",INDEX('TMP Paste'!$B$2:$B$1601,$AG180))</f>
        <v/>
      </c>
      <c r="E180">
        <f>IF($AG180="","",Config!$B$27)</f>
        <v/>
      </c>
      <c r="F180">
        <f>IF($AG180="","",Config!$B$9)</f>
        <v/>
      </c>
      <c r="G180">
        <f>IF($AG180="","",Config!$B$10)</f>
        <v/>
      </c>
      <c r="H180">
        <f>IF($AG180="","",Config!$B$11)</f>
        <v/>
      </c>
      <c r="I180">
        <f>IF($AG180="","",Config!$B$16)</f>
        <v/>
      </c>
      <c r="J180">
        <f>IF($AG180="","",INDEX('TMP Paste'!$A$2:$A$1601,$AG180))</f>
        <v/>
      </c>
      <c r="K180">
        <f>IF($AG180="","",INDEX('TMP Paste'!$L$2:$L$1601,$AG180))</f>
        <v/>
      </c>
      <c r="L180">
        <f>IF($AG180="","",INDEX('TMP Paste'!$I$2:$I$1601,$AG180))</f>
        <v/>
      </c>
      <c r="M180">
        <f>IF($AG180="","",Config!$B$16)</f>
        <v/>
      </c>
      <c r="N180">
        <f>IF($AG180="","","")</f>
        <v/>
      </c>
      <c r="O180">
        <f>IF($AG180="","",INDEX('TMP Paste'!$K$2:$K$1601,$AG180))</f>
        <v/>
      </c>
      <c r="P180">
        <f>IF($AG180="","","")</f>
        <v/>
      </c>
      <c r="Q180">
        <f>IF($AG180="","",INDEX('TMP Paste'!$J$2:$J$1601,$AG180))</f>
        <v/>
      </c>
      <c r="R180">
        <f>IF($AG180="","",Config!$B$24)</f>
        <v/>
      </c>
      <c r="S180">
        <f>IF($AG180="","",TEXT(Config!$B$4,"yyyy-mm-dd"))</f>
        <v/>
      </c>
      <c r="T180">
        <f>IF($AG180="","",Config!$B$17)</f>
        <v/>
      </c>
      <c r="U180">
        <f>IF($AG180="","",Config!$B$18)</f>
        <v/>
      </c>
      <c r="V180">
        <f>IF($AG180="","",Config!$B$19)</f>
        <v/>
      </c>
      <c r="W180">
        <f>IF($AG180="","",INDEX('TMP Paste'!$C$2:$C$1601,$AG180))</f>
        <v/>
      </c>
      <c r="X180">
        <f>IF($AG180="","",Config!$B$29)</f>
        <v/>
      </c>
      <c r="Y180">
        <f>IF($AH180="","",INDEX(Calc!$I$2:$I$1601,$AH180)&amp;" - "&amp;INDEX(Calc!$D$2:$D$1601,$AH180)&amp;" koli")</f>
        <v/>
      </c>
      <c r="Z180">
        <f>IF($AG180="","",Config!$B$21)</f>
        <v/>
      </c>
      <c r="AA180">
        <f>IF($AG180="","",Config!$B$22)</f>
        <v/>
      </c>
      <c r="AB180">
        <f>IF($AH180="","",INDEX(Calc!$D$2:$D$1601,$AH180))</f>
        <v/>
      </c>
      <c r="AC180">
        <f>IF($AH180="","",INDEX(Calc!$G$2:$G$1601,$AH180))</f>
        <v/>
      </c>
      <c r="AD180">
        <f>IF($AG180="","",Config!$B$23)</f>
        <v/>
      </c>
      <c r="AE180">
        <f>IF($AG180="","",Config!$B$28)</f>
        <v/>
      </c>
      <c r="AG180">
        <f>IFERROR(MATCH(ROW()-1,Calc!$J$2:$J$1601,0),"")</f>
        <v/>
      </c>
      <c r="AH180">
        <f>IFERROR(MATCH(ROW()-1,Calc!$K$2:$K$1601,0),"")</f>
        <v/>
      </c>
      <c r="AI180">
        <f>IF($AG180="","",SUMIF($AG$2:$AG180,$AG180,$AH$2:$AH180))</f>
        <v/>
      </c>
      <c r="AJ180">
        <f>IF('TMP Paste'!$F180="","",IF('TMP Paste'!$B180="",$AJ179,'TMP Paste'!$B180))</f>
        <v/>
      </c>
      <c r="AK180">
        <f>IF('TMP Paste'!$F180="","",N('TMP Paste'!$G180))</f>
        <v/>
      </c>
      <c r="AL180">
        <f>IF('TMP Paste'!$F180="","",IF('TMP Paste'!$M180="",$AL179,'TMP Paste'!$M180))</f>
        <v/>
      </c>
      <c r="AM180">
        <f>IF('TMP Paste'!$F180="","",IF('TMP Paste'!$N180="",$AM179,'TMP Paste'!$N180))</f>
        <v/>
      </c>
      <c r="AN180">
        <f>IF('TMP Paste'!$F180="","",IF('TMP Paste'!$O180="",$AN179,'TMP Paste'!$O180))</f>
        <v/>
      </c>
      <c r="AO180">
        <f>IF('TMP Paste'!$F180="","",IF('TMP Paste'!$P180="",$AO179,'TMP Paste'!$P180))</f>
        <v/>
      </c>
      <c r="AP180">
        <f>IF($AG180="","",LEN($R180))</f>
        <v/>
      </c>
      <c r="AQ180">
        <f>IF($AG180="","",TRIM(IF(COUNTIFS(Calc!$B$2:$B$1601,ROW()-1,Calc!$C$2:$C$1601,"&lt;1")&gt;0,"Ada PO tanpa Koli - cek TMP. ","")&amp;IF(LEN($R180)&gt;500,"R &gt; 500 karakter.","")))</f>
        <v/>
      </c>
    </row>
    <row r="181">
      <c r="A181">
        <f>IF($AG181="","",INDEX('TMP Paste'!$B$2:$B$1601,$AG181))</f>
        <v/>
      </c>
      <c r="B181">
        <f>IF($AG181="","",Config!$B$14)</f>
        <v/>
      </c>
      <c r="C181">
        <f>IF($AG181="","",Config!$B$15)</f>
        <v/>
      </c>
      <c r="D181">
        <f>IF($AG181="","",INDEX('TMP Paste'!$B$2:$B$1601,$AG181))</f>
        <v/>
      </c>
      <c r="E181">
        <f>IF($AG181="","",Config!$B$27)</f>
        <v/>
      </c>
      <c r="F181">
        <f>IF($AG181="","",Config!$B$9)</f>
        <v/>
      </c>
      <c r="G181">
        <f>IF($AG181="","",Config!$B$10)</f>
        <v/>
      </c>
      <c r="H181">
        <f>IF($AG181="","",Config!$B$11)</f>
        <v/>
      </c>
      <c r="I181">
        <f>IF($AG181="","",Config!$B$16)</f>
        <v/>
      </c>
      <c r="J181">
        <f>IF($AG181="","",INDEX('TMP Paste'!$A$2:$A$1601,$AG181))</f>
        <v/>
      </c>
      <c r="K181">
        <f>IF($AG181="","",INDEX('TMP Paste'!$L$2:$L$1601,$AG181))</f>
        <v/>
      </c>
      <c r="L181">
        <f>IF($AG181="","",INDEX('TMP Paste'!$I$2:$I$1601,$AG181))</f>
        <v/>
      </c>
      <c r="M181">
        <f>IF($AG181="","",Config!$B$16)</f>
        <v/>
      </c>
      <c r="N181">
        <f>IF($AG181="","","")</f>
        <v/>
      </c>
      <c r="O181">
        <f>IF($AG181="","",INDEX('TMP Paste'!$K$2:$K$1601,$AG181))</f>
        <v/>
      </c>
      <c r="P181">
        <f>IF($AG181="","","")</f>
        <v/>
      </c>
      <c r="Q181">
        <f>IF($AG181="","",INDEX('TMP Paste'!$J$2:$J$1601,$AG181))</f>
        <v/>
      </c>
      <c r="R181">
        <f>IF($AG181="","",Config!$B$24)</f>
        <v/>
      </c>
      <c r="S181">
        <f>IF($AG181="","",TEXT(Config!$B$4,"yyyy-mm-dd"))</f>
        <v/>
      </c>
      <c r="T181">
        <f>IF($AG181="","",Config!$B$17)</f>
        <v/>
      </c>
      <c r="U181">
        <f>IF($AG181="","",Config!$B$18)</f>
        <v/>
      </c>
      <c r="V181">
        <f>IF($AG181="","",Config!$B$19)</f>
        <v/>
      </c>
      <c r="W181">
        <f>IF($AG181="","",INDEX('TMP Paste'!$C$2:$C$1601,$AG181))</f>
        <v/>
      </c>
      <c r="X181">
        <f>IF($AG181="","",Config!$B$29)</f>
        <v/>
      </c>
      <c r="Y181">
        <f>IF($AH181="","",INDEX(Calc!$I$2:$I$1601,$AH181)&amp;" - "&amp;INDEX(Calc!$D$2:$D$1601,$AH181)&amp;" koli")</f>
        <v/>
      </c>
      <c r="Z181">
        <f>IF($AG181="","",Config!$B$21)</f>
        <v/>
      </c>
      <c r="AA181">
        <f>IF($AG181="","",Config!$B$22)</f>
        <v/>
      </c>
      <c r="AB181">
        <f>IF($AH181="","",INDEX(Calc!$D$2:$D$1601,$AH181))</f>
        <v/>
      </c>
      <c r="AC181">
        <f>IF($AH181="","",INDEX(Calc!$G$2:$G$1601,$AH181))</f>
        <v/>
      </c>
      <c r="AD181">
        <f>IF($AG181="","",Config!$B$23)</f>
        <v/>
      </c>
      <c r="AE181">
        <f>IF($AG181="","",Config!$B$28)</f>
        <v/>
      </c>
      <c r="AG181">
        <f>IFERROR(MATCH(ROW()-1,Calc!$J$2:$J$1601,0),"")</f>
        <v/>
      </c>
      <c r="AH181">
        <f>IFERROR(MATCH(ROW()-1,Calc!$K$2:$K$1601,0),"")</f>
        <v/>
      </c>
      <c r="AI181">
        <f>IF($AG181="","",SUMIF($AG$2:$AG181,$AG181,$AH$2:$AH181))</f>
        <v/>
      </c>
      <c r="AJ181">
        <f>IF('TMP Paste'!$F181="","",IF('TMP Paste'!$B181="",$AJ180,'TMP Paste'!$B181))</f>
        <v/>
      </c>
      <c r="AK181">
        <f>IF('TMP Paste'!$F181="","",N('TMP Paste'!$G181))</f>
        <v/>
      </c>
      <c r="AL181">
        <f>IF('TMP Paste'!$F181="","",IF('TMP Paste'!$M181="",$AL180,'TMP Paste'!$M181))</f>
        <v/>
      </c>
      <c r="AM181">
        <f>IF('TMP Paste'!$F181="","",IF('TMP Paste'!$N181="",$AM180,'TMP Paste'!$N181))</f>
        <v/>
      </c>
      <c r="AN181">
        <f>IF('TMP Paste'!$F181="","",IF('TMP Paste'!$O181="",$AN180,'TMP Paste'!$O181))</f>
        <v/>
      </c>
      <c r="AO181">
        <f>IF('TMP Paste'!$F181="","",IF('TMP Paste'!$P181="",$AO180,'TMP Paste'!$P181))</f>
        <v/>
      </c>
      <c r="AP181">
        <f>IF($AG181="","",LEN($R181))</f>
        <v/>
      </c>
      <c r="AQ181">
        <f>IF($AG181="","",TRIM(IF(COUNTIFS(Calc!$B$2:$B$1601,ROW()-1,Calc!$C$2:$C$1601,"&lt;1")&gt;0,"Ada PO tanpa Koli - cek TMP. ","")&amp;IF(LEN($R181)&gt;500,"R &gt; 500 karakter.","")))</f>
        <v/>
      </c>
    </row>
    <row r="182">
      <c r="A182">
        <f>IF($AG182="","",INDEX('TMP Paste'!$B$2:$B$1601,$AG182))</f>
        <v/>
      </c>
      <c r="B182">
        <f>IF($AG182="","",Config!$B$14)</f>
        <v/>
      </c>
      <c r="C182">
        <f>IF($AG182="","",Config!$B$15)</f>
        <v/>
      </c>
      <c r="D182">
        <f>IF($AG182="","",INDEX('TMP Paste'!$B$2:$B$1601,$AG182))</f>
        <v/>
      </c>
      <c r="E182">
        <f>IF($AG182="","",Config!$B$27)</f>
        <v/>
      </c>
      <c r="F182">
        <f>IF($AG182="","",Config!$B$9)</f>
        <v/>
      </c>
      <c r="G182">
        <f>IF($AG182="","",Config!$B$10)</f>
        <v/>
      </c>
      <c r="H182">
        <f>IF($AG182="","",Config!$B$11)</f>
        <v/>
      </c>
      <c r="I182">
        <f>IF($AG182="","",Config!$B$16)</f>
        <v/>
      </c>
      <c r="J182">
        <f>IF($AG182="","",INDEX('TMP Paste'!$A$2:$A$1601,$AG182))</f>
        <v/>
      </c>
      <c r="K182">
        <f>IF($AG182="","",INDEX('TMP Paste'!$L$2:$L$1601,$AG182))</f>
        <v/>
      </c>
      <c r="L182">
        <f>IF($AG182="","",INDEX('TMP Paste'!$I$2:$I$1601,$AG182))</f>
        <v/>
      </c>
      <c r="M182">
        <f>IF($AG182="","",Config!$B$16)</f>
        <v/>
      </c>
      <c r="N182">
        <f>IF($AG182="","","")</f>
        <v/>
      </c>
      <c r="O182">
        <f>IF($AG182="","",INDEX('TMP Paste'!$K$2:$K$1601,$AG182))</f>
        <v/>
      </c>
      <c r="P182">
        <f>IF($AG182="","","")</f>
        <v/>
      </c>
      <c r="Q182">
        <f>IF($AG182="","",INDEX('TMP Paste'!$J$2:$J$1601,$AG182))</f>
        <v/>
      </c>
      <c r="R182">
        <f>IF($AG182="","",Config!$B$24)</f>
        <v/>
      </c>
      <c r="S182">
        <f>IF($AG182="","",TEXT(Config!$B$4,"yyyy-mm-dd"))</f>
        <v/>
      </c>
      <c r="T182">
        <f>IF($AG182="","",Config!$B$17)</f>
        <v/>
      </c>
      <c r="U182">
        <f>IF($AG182="","",Config!$B$18)</f>
        <v/>
      </c>
      <c r="V182">
        <f>IF($AG182="","",Config!$B$19)</f>
        <v/>
      </c>
      <c r="W182">
        <f>IF($AG182="","",INDEX('TMP Paste'!$C$2:$C$1601,$AG182))</f>
        <v/>
      </c>
      <c r="X182">
        <f>IF($AG182="","",Config!$B$29)</f>
        <v/>
      </c>
      <c r="Y182">
        <f>IF($AH182="","",INDEX(Calc!$I$2:$I$1601,$AH182)&amp;" - "&amp;INDEX(Calc!$D$2:$D$1601,$AH182)&amp;" koli")</f>
        <v/>
      </c>
      <c r="Z182">
        <f>IF($AG182="","",Config!$B$21)</f>
        <v/>
      </c>
      <c r="AA182">
        <f>IF($AG182="","",Config!$B$22)</f>
        <v/>
      </c>
      <c r="AB182">
        <f>IF($AH182="","",INDEX(Calc!$D$2:$D$1601,$AH182))</f>
        <v/>
      </c>
      <c r="AC182">
        <f>IF($AH182="","",INDEX(Calc!$G$2:$G$1601,$AH182))</f>
        <v/>
      </c>
      <c r="AD182">
        <f>IF($AG182="","",Config!$B$23)</f>
        <v/>
      </c>
      <c r="AE182">
        <f>IF($AG182="","",Config!$B$28)</f>
        <v/>
      </c>
      <c r="AG182">
        <f>IFERROR(MATCH(ROW()-1,Calc!$J$2:$J$1601,0),"")</f>
        <v/>
      </c>
      <c r="AH182">
        <f>IFERROR(MATCH(ROW()-1,Calc!$K$2:$K$1601,0),"")</f>
        <v/>
      </c>
      <c r="AI182">
        <f>IF($AG182="","",SUMIF($AG$2:$AG182,$AG182,$AH$2:$AH182))</f>
        <v/>
      </c>
      <c r="AJ182">
        <f>IF('TMP Paste'!$F182="","",IF('TMP Paste'!$B182="",$AJ181,'TMP Paste'!$B182))</f>
        <v/>
      </c>
      <c r="AK182">
        <f>IF('TMP Paste'!$F182="","",N('TMP Paste'!$G182))</f>
        <v/>
      </c>
      <c r="AL182">
        <f>IF('TMP Paste'!$F182="","",IF('TMP Paste'!$M182="",$AL181,'TMP Paste'!$M182))</f>
        <v/>
      </c>
      <c r="AM182">
        <f>IF('TMP Paste'!$F182="","",IF('TMP Paste'!$N182="",$AM181,'TMP Paste'!$N182))</f>
        <v/>
      </c>
      <c r="AN182">
        <f>IF('TMP Paste'!$F182="","",IF('TMP Paste'!$O182="",$AN181,'TMP Paste'!$O182))</f>
        <v/>
      </c>
      <c r="AO182">
        <f>IF('TMP Paste'!$F182="","",IF('TMP Paste'!$P182="",$AO181,'TMP Paste'!$P182))</f>
        <v/>
      </c>
      <c r="AP182">
        <f>IF($AG182="","",LEN($R182))</f>
        <v/>
      </c>
      <c r="AQ182">
        <f>IF($AG182="","",TRIM(IF(COUNTIFS(Calc!$B$2:$B$1601,ROW()-1,Calc!$C$2:$C$1601,"&lt;1")&gt;0,"Ada PO tanpa Koli - cek TMP. ","")&amp;IF(LEN($R182)&gt;500,"R &gt; 500 karakter.","")))</f>
        <v/>
      </c>
    </row>
    <row r="183">
      <c r="A183">
        <f>IF($AG183="","",INDEX('TMP Paste'!$B$2:$B$1601,$AG183))</f>
        <v/>
      </c>
      <c r="B183">
        <f>IF($AG183="","",Config!$B$14)</f>
        <v/>
      </c>
      <c r="C183">
        <f>IF($AG183="","",Config!$B$15)</f>
        <v/>
      </c>
      <c r="D183">
        <f>IF($AG183="","",INDEX('TMP Paste'!$B$2:$B$1601,$AG183))</f>
        <v/>
      </c>
      <c r="E183">
        <f>IF($AG183="","",Config!$B$27)</f>
        <v/>
      </c>
      <c r="F183">
        <f>IF($AG183="","",Config!$B$9)</f>
        <v/>
      </c>
      <c r="G183">
        <f>IF($AG183="","",Config!$B$10)</f>
        <v/>
      </c>
      <c r="H183">
        <f>IF($AG183="","",Config!$B$11)</f>
        <v/>
      </c>
      <c r="I183">
        <f>IF($AG183="","",Config!$B$16)</f>
        <v/>
      </c>
      <c r="J183">
        <f>IF($AG183="","",INDEX('TMP Paste'!$A$2:$A$1601,$AG183))</f>
        <v/>
      </c>
      <c r="K183">
        <f>IF($AG183="","",INDEX('TMP Paste'!$L$2:$L$1601,$AG183))</f>
        <v/>
      </c>
      <c r="L183">
        <f>IF($AG183="","",INDEX('TMP Paste'!$I$2:$I$1601,$AG183))</f>
        <v/>
      </c>
      <c r="M183">
        <f>IF($AG183="","",Config!$B$16)</f>
        <v/>
      </c>
      <c r="N183">
        <f>IF($AG183="","","")</f>
        <v/>
      </c>
      <c r="O183">
        <f>IF($AG183="","",INDEX('TMP Paste'!$K$2:$K$1601,$AG183))</f>
        <v/>
      </c>
      <c r="P183">
        <f>IF($AG183="","","")</f>
        <v/>
      </c>
      <c r="Q183">
        <f>IF($AG183="","",INDEX('TMP Paste'!$J$2:$J$1601,$AG183))</f>
        <v/>
      </c>
      <c r="R183">
        <f>IF($AG183="","",Config!$B$24)</f>
        <v/>
      </c>
      <c r="S183">
        <f>IF($AG183="","",TEXT(Config!$B$4,"yyyy-mm-dd"))</f>
        <v/>
      </c>
      <c r="T183">
        <f>IF($AG183="","",Config!$B$17)</f>
        <v/>
      </c>
      <c r="U183">
        <f>IF($AG183="","",Config!$B$18)</f>
        <v/>
      </c>
      <c r="V183">
        <f>IF($AG183="","",Config!$B$19)</f>
        <v/>
      </c>
      <c r="W183">
        <f>IF($AG183="","",INDEX('TMP Paste'!$C$2:$C$1601,$AG183))</f>
        <v/>
      </c>
      <c r="X183">
        <f>IF($AG183="","",Config!$B$29)</f>
        <v/>
      </c>
      <c r="Y183">
        <f>IF($AH183="","",INDEX(Calc!$I$2:$I$1601,$AH183)&amp;" - "&amp;INDEX(Calc!$D$2:$D$1601,$AH183)&amp;" koli")</f>
        <v/>
      </c>
      <c r="Z183">
        <f>IF($AG183="","",Config!$B$21)</f>
        <v/>
      </c>
      <c r="AA183">
        <f>IF($AG183="","",Config!$B$22)</f>
        <v/>
      </c>
      <c r="AB183">
        <f>IF($AH183="","",INDEX(Calc!$D$2:$D$1601,$AH183))</f>
        <v/>
      </c>
      <c r="AC183">
        <f>IF($AH183="","",INDEX(Calc!$G$2:$G$1601,$AH183))</f>
        <v/>
      </c>
      <c r="AD183">
        <f>IF($AG183="","",Config!$B$23)</f>
        <v/>
      </c>
      <c r="AE183">
        <f>IF($AG183="","",Config!$B$28)</f>
        <v/>
      </c>
      <c r="AG183">
        <f>IFERROR(MATCH(ROW()-1,Calc!$J$2:$J$1601,0),"")</f>
        <v/>
      </c>
      <c r="AH183">
        <f>IFERROR(MATCH(ROW()-1,Calc!$K$2:$K$1601,0),"")</f>
        <v/>
      </c>
      <c r="AI183">
        <f>IF($AG183="","",SUMIF($AG$2:$AG183,$AG183,$AH$2:$AH183))</f>
        <v/>
      </c>
      <c r="AJ183">
        <f>IF('TMP Paste'!$F183="","",IF('TMP Paste'!$B183="",$AJ182,'TMP Paste'!$B183))</f>
        <v/>
      </c>
      <c r="AK183">
        <f>IF('TMP Paste'!$F183="","",N('TMP Paste'!$G183))</f>
        <v/>
      </c>
      <c r="AL183">
        <f>IF('TMP Paste'!$F183="","",IF('TMP Paste'!$M183="",$AL182,'TMP Paste'!$M183))</f>
        <v/>
      </c>
      <c r="AM183">
        <f>IF('TMP Paste'!$F183="","",IF('TMP Paste'!$N183="",$AM182,'TMP Paste'!$N183))</f>
        <v/>
      </c>
      <c r="AN183">
        <f>IF('TMP Paste'!$F183="","",IF('TMP Paste'!$O183="",$AN182,'TMP Paste'!$O183))</f>
        <v/>
      </c>
      <c r="AO183">
        <f>IF('TMP Paste'!$F183="","",IF('TMP Paste'!$P183="",$AO182,'TMP Paste'!$P183))</f>
        <v/>
      </c>
      <c r="AP183">
        <f>IF($AG183="","",LEN($R183))</f>
        <v/>
      </c>
      <c r="AQ183">
        <f>IF($AG183="","",TRIM(IF(COUNTIFS(Calc!$B$2:$B$1601,ROW()-1,Calc!$C$2:$C$1601,"&lt;1")&gt;0,"Ada PO tanpa Koli - cek TMP. ","")&amp;IF(LEN($R183)&gt;500,"R &gt; 500 karakter.","")))</f>
        <v/>
      </c>
    </row>
    <row r="184">
      <c r="A184">
        <f>IF($AG184="","",INDEX('TMP Paste'!$B$2:$B$1601,$AG184))</f>
        <v/>
      </c>
      <c r="B184">
        <f>IF($AG184="","",Config!$B$14)</f>
        <v/>
      </c>
      <c r="C184">
        <f>IF($AG184="","",Config!$B$15)</f>
        <v/>
      </c>
      <c r="D184">
        <f>IF($AG184="","",INDEX('TMP Paste'!$B$2:$B$1601,$AG184))</f>
        <v/>
      </c>
      <c r="E184">
        <f>IF($AG184="","",Config!$B$27)</f>
        <v/>
      </c>
      <c r="F184">
        <f>IF($AG184="","",Config!$B$9)</f>
        <v/>
      </c>
      <c r="G184">
        <f>IF($AG184="","",Config!$B$10)</f>
        <v/>
      </c>
      <c r="H184">
        <f>IF($AG184="","",Config!$B$11)</f>
        <v/>
      </c>
      <c r="I184">
        <f>IF($AG184="","",Config!$B$16)</f>
        <v/>
      </c>
      <c r="J184">
        <f>IF($AG184="","",INDEX('TMP Paste'!$A$2:$A$1601,$AG184))</f>
        <v/>
      </c>
      <c r="K184">
        <f>IF($AG184="","",INDEX('TMP Paste'!$L$2:$L$1601,$AG184))</f>
        <v/>
      </c>
      <c r="L184">
        <f>IF($AG184="","",INDEX('TMP Paste'!$I$2:$I$1601,$AG184))</f>
        <v/>
      </c>
      <c r="M184">
        <f>IF($AG184="","",Config!$B$16)</f>
        <v/>
      </c>
      <c r="N184">
        <f>IF($AG184="","","")</f>
        <v/>
      </c>
      <c r="O184">
        <f>IF($AG184="","",INDEX('TMP Paste'!$K$2:$K$1601,$AG184))</f>
        <v/>
      </c>
      <c r="P184">
        <f>IF($AG184="","","")</f>
        <v/>
      </c>
      <c r="Q184">
        <f>IF($AG184="","",INDEX('TMP Paste'!$J$2:$J$1601,$AG184))</f>
        <v/>
      </c>
      <c r="R184">
        <f>IF($AG184="","",Config!$B$24)</f>
        <v/>
      </c>
      <c r="S184">
        <f>IF($AG184="","",TEXT(Config!$B$4,"yyyy-mm-dd"))</f>
        <v/>
      </c>
      <c r="T184">
        <f>IF($AG184="","",Config!$B$17)</f>
        <v/>
      </c>
      <c r="U184">
        <f>IF($AG184="","",Config!$B$18)</f>
        <v/>
      </c>
      <c r="V184">
        <f>IF($AG184="","",Config!$B$19)</f>
        <v/>
      </c>
      <c r="W184">
        <f>IF($AG184="","",INDEX('TMP Paste'!$C$2:$C$1601,$AG184))</f>
        <v/>
      </c>
      <c r="X184">
        <f>IF($AG184="","",Config!$B$29)</f>
        <v/>
      </c>
      <c r="Y184">
        <f>IF($AH184="","",INDEX(Calc!$I$2:$I$1601,$AH184)&amp;" - "&amp;INDEX(Calc!$D$2:$D$1601,$AH184)&amp;" koli")</f>
        <v/>
      </c>
      <c r="Z184">
        <f>IF($AG184="","",Config!$B$21)</f>
        <v/>
      </c>
      <c r="AA184">
        <f>IF($AG184="","",Config!$B$22)</f>
        <v/>
      </c>
      <c r="AB184">
        <f>IF($AH184="","",INDEX(Calc!$D$2:$D$1601,$AH184))</f>
        <v/>
      </c>
      <c r="AC184">
        <f>IF($AH184="","",INDEX(Calc!$G$2:$G$1601,$AH184))</f>
        <v/>
      </c>
      <c r="AD184">
        <f>IF($AG184="","",Config!$B$23)</f>
        <v/>
      </c>
      <c r="AE184">
        <f>IF($AG184="","",Config!$B$28)</f>
        <v/>
      </c>
      <c r="AG184">
        <f>IFERROR(MATCH(ROW()-1,Calc!$J$2:$J$1601,0),"")</f>
        <v/>
      </c>
      <c r="AH184">
        <f>IFERROR(MATCH(ROW()-1,Calc!$K$2:$K$1601,0),"")</f>
        <v/>
      </c>
      <c r="AI184">
        <f>IF($AG184="","",SUMIF($AG$2:$AG184,$AG184,$AH$2:$AH184))</f>
        <v/>
      </c>
      <c r="AJ184">
        <f>IF('TMP Paste'!$F184="","",IF('TMP Paste'!$B184="",$AJ183,'TMP Paste'!$B184))</f>
        <v/>
      </c>
      <c r="AK184">
        <f>IF('TMP Paste'!$F184="","",N('TMP Paste'!$G184))</f>
        <v/>
      </c>
      <c r="AL184">
        <f>IF('TMP Paste'!$F184="","",IF('TMP Paste'!$M184="",$AL183,'TMP Paste'!$M184))</f>
        <v/>
      </c>
      <c r="AM184">
        <f>IF('TMP Paste'!$F184="","",IF('TMP Paste'!$N184="",$AM183,'TMP Paste'!$N184))</f>
        <v/>
      </c>
      <c r="AN184">
        <f>IF('TMP Paste'!$F184="","",IF('TMP Paste'!$O184="",$AN183,'TMP Paste'!$O184))</f>
        <v/>
      </c>
      <c r="AO184">
        <f>IF('TMP Paste'!$F184="","",IF('TMP Paste'!$P184="",$AO183,'TMP Paste'!$P184))</f>
        <v/>
      </c>
      <c r="AP184">
        <f>IF($AG184="","",LEN($R184))</f>
        <v/>
      </c>
      <c r="AQ184">
        <f>IF($AG184="","",TRIM(IF(COUNTIFS(Calc!$B$2:$B$1601,ROW()-1,Calc!$C$2:$C$1601,"&lt;1")&gt;0,"Ada PO tanpa Koli - cek TMP. ","")&amp;IF(LEN($R184)&gt;500,"R &gt; 500 karakter.","")))</f>
        <v/>
      </c>
    </row>
    <row r="185">
      <c r="A185">
        <f>IF($AG185="","",INDEX('TMP Paste'!$B$2:$B$1601,$AG185))</f>
        <v/>
      </c>
      <c r="B185">
        <f>IF($AG185="","",Config!$B$14)</f>
        <v/>
      </c>
      <c r="C185">
        <f>IF($AG185="","",Config!$B$15)</f>
        <v/>
      </c>
      <c r="D185">
        <f>IF($AG185="","",INDEX('TMP Paste'!$B$2:$B$1601,$AG185))</f>
        <v/>
      </c>
      <c r="E185">
        <f>IF($AG185="","",Config!$B$27)</f>
        <v/>
      </c>
      <c r="F185">
        <f>IF($AG185="","",Config!$B$9)</f>
        <v/>
      </c>
      <c r="G185">
        <f>IF($AG185="","",Config!$B$10)</f>
        <v/>
      </c>
      <c r="H185">
        <f>IF($AG185="","",Config!$B$11)</f>
        <v/>
      </c>
      <c r="I185">
        <f>IF($AG185="","",Config!$B$16)</f>
        <v/>
      </c>
      <c r="J185">
        <f>IF($AG185="","",INDEX('TMP Paste'!$A$2:$A$1601,$AG185))</f>
        <v/>
      </c>
      <c r="K185">
        <f>IF($AG185="","",INDEX('TMP Paste'!$L$2:$L$1601,$AG185))</f>
        <v/>
      </c>
      <c r="L185">
        <f>IF($AG185="","",INDEX('TMP Paste'!$I$2:$I$1601,$AG185))</f>
        <v/>
      </c>
      <c r="M185">
        <f>IF($AG185="","",Config!$B$16)</f>
        <v/>
      </c>
      <c r="N185">
        <f>IF($AG185="","","")</f>
        <v/>
      </c>
      <c r="O185">
        <f>IF($AG185="","",INDEX('TMP Paste'!$K$2:$K$1601,$AG185))</f>
        <v/>
      </c>
      <c r="P185">
        <f>IF($AG185="","","")</f>
        <v/>
      </c>
      <c r="Q185">
        <f>IF($AG185="","",INDEX('TMP Paste'!$J$2:$J$1601,$AG185))</f>
        <v/>
      </c>
      <c r="R185">
        <f>IF($AG185="","",Config!$B$24)</f>
        <v/>
      </c>
      <c r="S185">
        <f>IF($AG185="","",TEXT(Config!$B$4,"yyyy-mm-dd"))</f>
        <v/>
      </c>
      <c r="T185">
        <f>IF($AG185="","",Config!$B$17)</f>
        <v/>
      </c>
      <c r="U185">
        <f>IF($AG185="","",Config!$B$18)</f>
        <v/>
      </c>
      <c r="V185">
        <f>IF($AG185="","",Config!$B$19)</f>
        <v/>
      </c>
      <c r="W185">
        <f>IF($AG185="","",INDEX('TMP Paste'!$C$2:$C$1601,$AG185))</f>
        <v/>
      </c>
      <c r="X185">
        <f>IF($AG185="","",Config!$B$29)</f>
        <v/>
      </c>
      <c r="Y185">
        <f>IF($AH185="","",INDEX(Calc!$I$2:$I$1601,$AH185)&amp;" - "&amp;INDEX(Calc!$D$2:$D$1601,$AH185)&amp;" koli")</f>
        <v/>
      </c>
      <c r="Z185">
        <f>IF($AG185="","",Config!$B$21)</f>
        <v/>
      </c>
      <c r="AA185">
        <f>IF($AG185="","",Config!$B$22)</f>
        <v/>
      </c>
      <c r="AB185">
        <f>IF($AH185="","",INDEX(Calc!$D$2:$D$1601,$AH185))</f>
        <v/>
      </c>
      <c r="AC185">
        <f>IF($AH185="","",INDEX(Calc!$G$2:$G$1601,$AH185))</f>
        <v/>
      </c>
      <c r="AD185">
        <f>IF($AG185="","",Config!$B$23)</f>
        <v/>
      </c>
      <c r="AE185">
        <f>IF($AG185="","",Config!$B$28)</f>
        <v/>
      </c>
      <c r="AG185">
        <f>IFERROR(MATCH(ROW()-1,Calc!$J$2:$J$1601,0),"")</f>
        <v/>
      </c>
      <c r="AH185">
        <f>IFERROR(MATCH(ROW()-1,Calc!$K$2:$K$1601,0),"")</f>
        <v/>
      </c>
      <c r="AI185">
        <f>IF($AG185="","",SUMIF($AG$2:$AG185,$AG185,$AH$2:$AH185))</f>
        <v/>
      </c>
      <c r="AJ185">
        <f>IF('TMP Paste'!$F185="","",IF('TMP Paste'!$B185="",$AJ184,'TMP Paste'!$B185))</f>
        <v/>
      </c>
      <c r="AK185">
        <f>IF('TMP Paste'!$F185="","",N('TMP Paste'!$G185))</f>
        <v/>
      </c>
      <c r="AL185">
        <f>IF('TMP Paste'!$F185="","",IF('TMP Paste'!$M185="",$AL184,'TMP Paste'!$M185))</f>
        <v/>
      </c>
      <c r="AM185">
        <f>IF('TMP Paste'!$F185="","",IF('TMP Paste'!$N185="",$AM184,'TMP Paste'!$N185))</f>
        <v/>
      </c>
      <c r="AN185">
        <f>IF('TMP Paste'!$F185="","",IF('TMP Paste'!$O185="",$AN184,'TMP Paste'!$O185))</f>
        <v/>
      </c>
      <c r="AO185">
        <f>IF('TMP Paste'!$F185="","",IF('TMP Paste'!$P185="",$AO184,'TMP Paste'!$P185))</f>
        <v/>
      </c>
      <c r="AP185">
        <f>IF($AG185="","",LEN($R185))</f>
        <v/>
      </c>
      <c r="AQ185">
        <f>IF($AG185="","",TRIM(IF(COUNTIFS(Calc!$B$2:$B$1601,ROW()-1,Calc!$C$2:$C$1601,"&lt;1")&gt;0,"Ada PO tanpa Koli - cek TMP. ","")&amp;IF(LEN($R185)&gt;500,"R &gt; 500 karakter.","")))</f>
        <v/>
      </c>
    </row>
    <row r="186">
      <c r="A186">
        <f>IF($AG186="","",INDEX('TMP Paste'!$B$2:$B$1601,$AG186))</f>
        <v/>
      </c>
      <c r="B186">
        <f>IF($AG186="","",Config!$B$14)</f>
        <v/>
      </c>
      <c r="C186">
        <f>IF($AG186="","",Config!$B$15)</f>
        <v/>
      </c>
      <c r="D186">
        <f>IF($AG186="","",INDEX('TMP Paste'!$B$2:$B$1601,$AG186))</f>
        <v/>
      </c>
      <c r="E186">
        <f>IF($AG186="","",Config!$B$27)</f>
        <v/>
      </c>
      <c r="F186">
        <f>IF($AG186="","",Config!$B$9)</f>
        <v/>
      </c>
      <c r="G186">
        <f>IF($AG186="","",Config!$B$10)</f>
        <v/>
      </c>
      <c r="H186">
        <f>IF($AG186="","",Config!$B$11)</f>
        <v/>
      </c>
      <c r="I186">
        <f>IF($AG186="","",Config!$B$16)</f>
        <v/>
      </c>
      <c r="J186">
        <f>IF($AG186="","",INDEX('TMP Paste'!$A$2:$A$1601,$AG186))</f>
        <v/>
      </c>
      <c r="K186">
        <f>IF($AG186="","",INDEX('TMP Paste'!$L$2:$L$1601,$AG186))</f>
        <v/>
      </c>
      <c r="L186">
        <f>IF($AG186="","",INDEX('TMP Paste'!$I$2:$I$1601,$AG186))</f>
        <v/>
      </c>
      <c r="M186">
        <f>IF($AG186="","",Config!$B$16)</f>
        <v/>
      </c>
      <c r="N186">
        <f>IF($AG186="","","")</f>
        <v/>
      </c>
      <c r="O186">
        <f>IF($AG186="","",INDEX('TMP Paste'!$K$2:$K$1601,$AG186))</f>
        <v/>
      </c>
      <c r="P186">
        <f>IF($AG186="","","")</f>
        <v/>
      </c>
      <c r="Q186">
        <f>IF($AG186="","",INDEX('TMP Paste'!$J$2:$J$1601,$AG186))</f>
        <v/>
      </c>
      <c r="R186">
        <f>IF($AG186="","",Config!$B$24)</f>
        <v/>
      </c>
      <c r="S186">
        <f>IF($AG186="","",TEXT(Config!$B$4,"yyyy-mm-dd"))</f>
        <v/>
      </c>
      <c r="T186">
        <f>IF($AG186="","",Config!$B$17)</f>
        <v/>
      </c>
      <c r="U186">
        <f>IF($AG186="","",Config!$B$18)</f>
        <v/>
      </c>
      <c r="V186">
        <f>IF($AG186="","",Config!$B$19)</f>
        <v/>
      </c>
      <c r="W186">
        <f>IF($AG186="","",INDEX('TMP Paste'!$C$2:$C$1601,$AG186))</f>
        <v/>
      </c>
      <c r="X186">
        <f>IF($AG186="","",Config!$B$29)</f>
        <v/>
      </c>
      <c r="Y186">
        <f>IF($AH186="","",INDEX(Calc!$I$2:$I$1601,$AH186)&amp;" - "&amp;INDEX(Calc!$D$2:$D$1601,$AH186)&amp;" koli")</f>
        <v/>
      </c>
      <c r="Z186">
        <f>IF($AG186="","",Config!$B$21)</f>
        <v/>
      </c>
      <c r="AA186">
        <f>IF($AG186="","",Config!$B$22)</f>
        <v/>
      </c>
      <c r="AB186">
        <f>IF($AH186="","",INDEX(Calc!$D$2:$D$1601,$AH186))</f>
        <v/>
      </c>
      <c r="AC186">
        <f>IF($AH186="","",INDEX(Calc!$G$2:$G$1601,$AH186))</f>
        <v/>
      </c>
      <c r="AD186">
        <f>IF($AG186="","",Config!$B$23)</f>
        <v/>
      </c>
      <c r="AE186">
        <f>IF($AG186="","",Config!$B$28)</f>
        <v/>
      </c>
      <c r="AG186">
        <f>IFERROR(MATCH(ROW()-1,Calc!$J$2:$J$1601,0),"")</f>
        <v/>
      </c>
      <c r="AH186">
        <f>IFERROR(MATCH(ROW()-1,Calc!$K$2:$K$1601,0),"")</f>
        <v/>
      </c>
      <c r="AI186">
        <f>IF($AG186="","",SUMIF($AG$2:$AG186,$AG186,$AH$2:$AH186))</f>
        <v/>
      </c>
      <c r="AJ186">
        <f>IF('TMP Paste'!$F186="","",IF('TMP Paste'!$B186="",$AJ185,'TMP Paste'!$B186))</f>
        <v/>
      </c>
      <c r="AK186">
        <f>IF('TMP Paste'!$F186="","",N('TMP Paste'!$G186))</f>
        <v/>
      </c>
      <c r="AL186">
        <f>IF('TMP Paste'!$F186="","",IF('TMP Paste'!$M186="",$AL185,'TMP Paste'!$M186))</f>
        <v/>
      </c>
      <c r="AM186">
        <f>IF('TMP Paste'!$F186="","",IF('TMP Paste'!$N186="",$AM185,'TMP Paste'!$N186))</f>
        <v/>
      </c>
      <c r="AN186">
        <f>IF('TMP Paste'!$F186="","",IF('TMP Paste'!$O186="",$AN185,'TMP Paste'!$O186))</f>
        <v/>
      </c>
      <c r="AO186">
        <f>IF('TMP Paste'!$F186="","",IF('TMP Paste'!$P186="",$AO185,'TMP Paste'!$P186))</f>
        <v/>
      </c>
      <c r="AP186">
        <f>IF($AG186="","",LEN($R186))</f>
        <v/>
      </c>
      <c r="AQ186">
        <f>IF($AG186="","",TRIM(IF(COUNTIFS(Calc!$B$2:$B$1601,ROW()-1,Calc!$C$2:$C$1601,"&lt;1")&gt;0,"Ada PO tanpa Koli - cek TMP. ","")&amp;IF(LEN($R186)&gt;500,"R &gt; 500 karakter.","")))</f>
        <v/>
      </c>
    </row>
    <row r="187">
      <c r="A187">
        <f>IF($AG187="","",INDEX('TMP Paste'!$B$2:$B$1601,$AG187))</f>
        <v/>
      </c>
      <c r="B187">
        <f>IF($AG187="","",Config!$B$14)</f>
        <v/>
      </c>
      <c r="C187">
        <f>IF($AG187="","",Config!$B$15)</f>
        <v/>
      </c>
      <c r="D187">
        <f>IF($AG187="","",INDEX('TMP Paste'!$B$2:$B$1601,$AG187))</f>
        <v/>
      </c>
      <c r="E187">
        <f>IF($AG187="","",Config!$B$27)</f>
        <v/>
      </c>
      <c r="F187">
        <f>IF($AG187="","",Config!$B$9)</f>
        <v/>
      </c>
      <c r="G187">
        <f>IF($AG187="","",Config!$B$10)</f>
        <v/>
      </c>
      <c r="H187">
        <f>IF($AG187="","",Config!$B$11)</f>
        <v/>
      </c>
      <c r="I187">
        <f>IF($AG187="","",Config!$B$16)</f>
        <v/>
      </c>
      <c r="J187">
        <f>IF($AG187="","",INDEX('TMP Paste'!$A$2:$A$1601,$AG187))</f>
        <v/>
      </c>
      <c r="K187">
        <f>IF($AG187="","",INDEX('TMP Paste'!$L$2:$L$1601,$AG187))</f>
        <v/>
      </c>
      <c r="L187">
        <f>IF($AG187="","",INDEX('TMP Paste'!$I$2:$I$1601,$AG187))</f>
        <v/>
      </c>
      <c r="M187">
        <f>IF($AG187="","",Config!$B$16)</f>
        <v/>
      </c>
      <c r="N187">
        <f>IF($AG187="","","")</f>
        <v/>
      </c>
      <c r="O187">
        <f>IF($AG187="","",INDEX('TMP Paste'!$K$2:$K$1601,$AG187))</f>
        <v/>
      </c>
      <c r="P187">
        <f>IF($AG187="","","")</f>
        <v/>
      </c>
      <c r="Q187">
        <f>IF($AG187="","",INDEX('TMP Paste'!$J$2:$J$1601,$AG187))</f>
        <v/>
      </c>
      <c r="R187">
        <f>IF($AG187="","",Config!$B$24)</f>
        <v/>
      </c>
      <c r="S187">
        <f>IF($AG187="","",TEXT(Config!$B$4,"yyyy-mm-dd"))</f>
        <v/>
      </c>
      <c r="T187">
        <f>IF($AG187="","",Config!$B$17)</f>
        <v/>
      </c>
      <c r="U187">
        <f>IF($AG187="","",Config!$B$18)</f>
        <v/>
      </c>
      <c r="V187">
        <f>IF($AG187="","",Config!$B$19)</f>
        <v/>
      </c>
      <c r="W187">
        <f>IF($AG187="","",INDEX('TMP Paste'!$C$2:$C$1601,$AG187))</f>
        <v/>
      </c>
      <c r="X187">
        <f>IF($AG187="","",Config!$B$29)</f>
        <v/>
      </c>
      <c r="Y187">
        <f>IF($AH187="","",INDEX(Calc!$I$2:$I$1601,$AH187)&amp;" - "&amp;INDEX(Calc!$D$2:$D$1601,$AH187)&amp;" koli")</f>
        <v/>
      </c>
      <c r="Z187">
        <f>IF($AG187="","",Config!$B$21)</f>
        <v/>
      </c>
      <c r="AA187">
        <f>IF($AG187="","",Config!$B$22)</f>
        <v/>
      </c>
      <c r="AB187">
        <f>IF($AH187="","",INDEX(Calc!$D$2:$D$1601,$AH187))</f>
        <v/>
      </c>
      <c r="AC187">
        <f>IF($AH187="","",INDEX(Calc!$G$2:$G$1601,$AH187))</f>
        <v/>
      </c>
      <c r="AD187">
        <f>IF($AG187="","",Config!$B$23)</f>
        <v/>
      </c>
      <c r="AE187">
        <f>IF($AG187="","",Config!$B$28)</f>
        <v/>
      </c>
      <c r="AG187">
        <f>IFERROR(MATCH(ROW()-1,Calc!$J$2:$J$1601,0),"")</f>
        <v/>
      </c>
      <c r="AH187">
        <f>IFERROR(MATCH(ROW()-1,Calc!$K$2:$K$1601,0),"")</f>
        <v/>
      </c>
      <c r="AI187">
        <f>IF($AG187="","",SUMIF($AG$2:$AG187,$AG187,$AH$2:$AH187))</f>
        <v/>
      </c>
      <c r="AJ187">
        <f>IF('TMP Paste'!$F187="","",IF('TMP Paste'!$B187="",$AJ186,'TMP Paste'!$B187))</f>
        <v/>
      </c>
      <c r="AK187">
        <f>IF('TMP Paste'!$F187="","",N('TMP Paste'!$G187))</f>
        <v/>
      </c>
      <c r="AL187">
        <f>IF('TMP Paste'!$F187="","",IF('TMP Paste'!$M187="",$AL186,'TMP Paste'!$M187))</f>
        <v/>
      </c>
      <c r="AM187">
        <f>IF('TMP Paste'!$F187="","",IF('TMP Paste'!$N187="",$AM186,'TMP Paste'!$N187))</f>
        <v/>
      </c>
      <c r="AN187">
        <f>IF('TMP Paste'!$F187="","",IF('TMP Paste'!$O187="",$AN186,'TMP Paste'!$O187))</f>
        <v/>
      </c>
      <c r="AO187">
        <f>IF('TMP Paste'!$F187="","",IF('TMP Paste'!$P187="",$AO186,'TMP Paste'!$P187))</f>
        <v/>
      </c>
      <c r="AP187">
        <f>IF($AG187="","",LEN($R187))</f>
        <v/>
      </c>
      <c r="AQ187">
        <f>IF($AG187="","",TRIM(IF(COUNTIFS(Calc!$B$2:$B$1601,ROW()-1,Calc!$C$2:$C$1601,"&lt;1")&gt;0,"Ada PO tanpa Koli - cek TMP. ","")&amp;IF(LEN($R187)&gt;500,"R &gt; 500 karakter.","")))</f>
        <v/>
      </c>
    </row>
    <row r="188">
      <c r="A188">
        <f>IF($AG188="","",INDEX('TMP Paste'!$B$2:$B$1601,$AG188))</f>
        <v/>
      </c>
      <c r="B188">
        <f>IF($AG188="","",Config!$B$14)</f>
        <v/>
      </c>
      <c r="C188">
        <f>IF($AG188="","",Config!$B$15)</f>
        <v/>
      </c>
      <c r="D188">
        <f>IF($AG188="","",INDEX('TMP Paste'!$B$2:$B$1601,$AG188))</f>
        <v/>
      </c>
      <c r="E188">
        <f>IF($AG188="","",Config!$B$27)</f>
        <v/>
      </c>
      <c r="F188">
        <f>IF($AG188="","",Config!$B$9)</f>
        <v/>
      </c>
      <c r="G188">
        <f>IF($AG188="","",Config!$B$10)</f>
        <v/>
      </c>
      <c r="H188">
        <f>IF($AG188="","",Config!$B$11)</f>
        <v/>
      </c>
      <c r="I188">
        <f>IF($AG188="","",Config!$B$16)</f>
        <v/>
      </c>
      <c r="J188">
        <f>IF($AG188="","",INDEX('TMP Paste'!$A$2:$A$1601,$AG188))</f>
        <v/>
      </c>
      <c r="K188">
        <f>IF($AG188="","",INDEX('TMP Paste'!$L$2:$L$1601,$AG188))</f>
        <v/>
      </c>
      <c r="L188">
        <f>IF($AG188="","",INDEX('TMP Paste'!$I$2:$I$1601,$AG188))</f>
        <v/>
      </c>
      <c r="M188">
        <f>IF($AG188="","",Config!$B$16)</f>
        <v/>
      </c>
      <c r="N188">
        <f>IF($AG188="","","")</f>
        <v/>
      </c>
      <c r="O188">
        <f>IF($AG188="","",INDEX('TMP Paste'!$K$2:$K$1601,$AG188))</f>
        <v/>
      </c>
      <c r="P188">
        <f>IF($AG188="","","")</f>
        <v/>
      </c>
      <c r="Q188">
        <f>IF($AG188="","",INDEX('TMP Paste'!$J$2:$J$1601,$AG188))</f>
        <v/>
      </c>
      <c r="R188">
        <f>IF($AG188="","",Config!$B$24)</f>
        <v/>
      </c>
      <c r="S188">
        <f>IF($AG188="","",TEXT(Config!$B$4,"yyyy-mm-dd"))</f>
        <v/>
      </c>
      <c r="T188">
        <f>IF($AG188="","",Config!$B$17)</f>
        <v/>
      </c>
      <c r="U188">
        <f>IF($AG188="","",Config!$B$18)</f>
        <v/>
      </c>
      <c r="V188">
        <f>IF($AG188="","",Config!$B$19)</f>
        <v/>
      </c>
      <c r="W188">
        <f>IF($AG188="","",INDEX('TMP Paste'!$C$2:$C$1601,$AG188))</f>
        <v/>
      </c>
      <c r="X188">
        <f>IF($AG188="","",Config!$B$29)</f>
        <v/>
      </c>
      <c r="Y188">
        <f>IF($AH188="","",INDEX(Calc!$I$2:$I$1601,$AH188)&amp;" - "&amp;INDEX(Calc!$D$2:$D$1601,$AH188)&amp;" koli")</f>
        <v/>
      </c>
      <c r="Z188">
        <f>IF($AG188="","",Config!$B$21)</f>
        <v/>
      </c>
      <c r="AA188">
        <f>IF($AG188="","",Config!$B$22)</f>
        <v/>
      </c>
      <c r="AB188">
        <f>IF($AH188="","",INDEX(Calc!$D$2:$D$1601,$AH188))</f>
        <v/>
      </c>
      <c r="AC188">
        <f>IF($AH188="","",INDEX(Calc!$G$2:$G$1601,$AH188))</f>
        <v/>
      </c>
      <c r="AD188">
        <f>IF($AG188="","",Config!$B$23)</f>
        <v/>
      </c>
      <c r="AE188">
        <f>IF($AG188="","",Config!$B$28)</f>
        <v/>
      </c>
      <c r="AG188">
        <f>IFERROR(MATCH(ROW()-1,Calc!$J$2:$J$1601,0),"")</f>
        <v/>
      </c>
      <c r="AH188">
        <f>IFERROR(MATCH(ROW()-1,Calc!$K$2:$K$1601,0),"")</f>
        <v/>
      </c>
      <c r="AI188">
        <f>IF($AG188="","",SUMIF($AG$2:$AG188,$AG188,$AH$2:$AH188))</f>
        <v/>
      </c>
      <c r="AJ188">
        <f>IF('TMP Paste'!$F188="","",IF('TMP Paste'!$B188="",$AJ187,'TMP Paste'!$B188))</f>
        <v/>
      </c>
      <c r="AK188">
        <f>IF('TMP Paste'!$F188="","",N('TMP Paste'!$G188))</f>
        <v/>
      </c>
      <c r="AL188">
        <f>IF('TMP Paste'!$F188="","",IF('TMP Paste'!$M188="",$AL187,'TMP Paste'!$M188))</f>
        <v/>
      </c>
      <c r="AM188">
        <f>IF('TMP Paste'!$F188="","",IF('TMP Paste'!$N188="",$AM187,'TMP Paste'!$N188))</f>
        <v/>
      </c>
      <c r="AN188">
        <f>IF('TMP Paste'!$F188="","",IF('TMP Paste'!$O188="",$AN187,'TMP Paste'!$O188))</f>
        <v/>
      </c>
      <c r="AO188">
        <f>IF('TMP Paste'!$F188="","",IF('TMP Paste'!$P188="",$AO187,'TMP Paste'!$P188))</f>
        <v/>
      </c>
      <c r="AP188">
        <f>IF($AG188="","",LEN($R188))</f>
        <v/>
      </c>
      <c r="AQ188">
        <f>IF($AG188="","",TRIM(IF(COUNTIFS(Calc!$B$2:$B$1601,ROW()-1,Calc!$C$2:$C$1601,"&lt;1")&gt;0,"Ada PO tanpa Koli - cek TMP. ","")&amp;IF(LEN($R188)&gt;500,"R &gt; 500 karakter.","")))</f>
        <v/>
      </c>
    </row>
    <row r="189">
      <c r="A189">
        <f>IF($AG189="","",INDEX('TMP Paste'!$B$2:$B$1601,$AG189))</f>
        <v/>
      </c>
      <c r="B189">
        <f>IF($AG189="","",Config!$B$14)</f>
        <v/>
      </c>
      <c r="C189">
        <f>IF($AG189="","",Config!$B$15)</f>
        <v/>
      </c>
      <c r="D189">
        <f>IF($AG189="","",INDEX('TMP Paste'!$B$2:$B$1601,$AG189))</f>
        <v/>
      </c>
      <c r="E189">
        <f>IF($AG189="","",Config!$B$27)</f>
        <v/>
      </c>
      <c r="F189">
        <f>IF($AG189="","",Config!$B$9)</f>
        <v/>
      </c>
      <c r="G189">
        <f>IF($AG189="","",Config!$B$10)</f>
        <v/>
      </c>
      <c r="H189">
        <f>IF($AG189="","",Config!$B$11)</f>
        <v/>
      </c>
      <c r="I189">
        <f>IF($AG189="","",Config!$B$16)</f>
        <v/>
      </c>
      <c r="J189">
        <f>IF($AG189="","",INDEX('TMP Paste'!$A$2:$A$1601,$AG189))</f>
        <v/>
      </c>
      <c r="K189">
        <f>IF($AG189="","",INDEX('TMP Paste'!$L$2:$L$1601,$AG189))</f>
        <v/>
      </c>
      <c r="L189">
        <f>IF($AG189="","",INDEX('TMP Paste'!$I$2:$I$1601,$AG189))</f>
        <v/>
      </c>
      <c r="M189">
        <f>IF($AG189="","",Config!$B$16)</f>
        <v/>
      </c>
      <c r="N189">
        <f>IF($AG189="","","")</f>
        <v/>
      </c>
      <c r="O189">
        <f>IF($AG189="","",INDEX('TMP Paste'!$K$2:$K$1601,$AG189))</f>
        <v/>
      </c>
      <c r="P189">
        <f>IF($AG189="","","")</f>
        <v/>
      </c>
      <c r="Q189">
        <f>IF($AG189="","",INDEX('TMP Paste'!$J$2:$J$1601,$AG189))</f>
        <v/>
      </c>
      <c r="R189">
        <f>IF($AG189="","",Config!$B$24)</f>
        <v/>
      </c>
      <c r="S189">
        <f>IF($AG189="","",TEXT(Config!$B$4,"yyyy-mm-dd"))</f>
        <v/>
      </c>
      <c r="T189">
        <f>IF($AG189="","",Config!$B$17)</f>
        <v/>
      </c>
      <c r="U189">
        <f>IF($AG189="","",Config!$B$18)</f>
        <v/>
      </c>
      <c r="V189">
        <f>IF($AG189="","",Config!$B$19)</f>
        <v/>
      </c>
      <c r="W189">
        <f>IF($AG189="","",INDEX('TMP Paste'!$C$2:$C$1601,$AG189))</f>
        <v/>
      </c>
      <c r="X189">
        <f>IF($AG189="","",Config!$B$29)</f>
        <v/>
      </c>
      <c r="Y189">
        <f>IF($AH189="","",INDEX(Calc!$I$2:$I$1601,$AH189)&amp;" - "&amp;INDEX(Calc!$D$2:$D$1601,$AH189)&amp;" koli")</f>
        <v/>
      </c>
      <c r="Z189">
        <f>IF($AG189="","",Config!$B$21)</f>
        <v/>
      </c>
      <c r="AA189">
        <f>IF($AG189="","",Config!$B$22)</f>
        <v/>
      </c>
      <c r="AB189">
        <f>IF($AH189="","",INDEX(Calc!$D$2:$D$1601,$AH189))</f>
        <v/>
      </c>
      <c r="AC189">
        <f>IF($AH189="","",INDEX(Calc!$G$2:$G$1601,$AH189))</f>
        <v/>
      </c>
      <c r="AD189">
        <f>IF($AG189="","",Config!$B$23)</f>
        <v/>
      </c>
      <c r="AE189">
        <f>IF($AG189="","",Config!$B$28)</f>
        <v/>
      </c>
      <c r="AG189">
        <f>IFERROR(MATCH(ROW()-1,Calc!$J$2:$J$1601,0),"")</f>
        <v/>
      </c>
      <c r="AH189">
        <f>IFERROR(MATCH(ROW()-1,Calc!$K$2:$K$1601,0),"")</f>
        <v/>
      </c>
      <c r="AI189">
        <f>IF($AG189="","",SUMIF($AG$2:$AG189,$AG189,$AH$2:$AH189))</f>
        <v/>
      </c>
      <c r="AJ189">
        <f>IF('TMP Paste'!$F189="","",IF('TMP Paste'!$B189="",$AJ188,'TMP Paste'!$B189))</f>
        <v/>
      </c>
      <c r="AK189">
        <f>IF('TMP Paste'!$F189="","",N('TMP Paste'!$G189))</f>
        <v/>
      </c>
      <c r="AL189">
        <f>IF('TMP Paste'!$F189="","",IF('TMP Paste'!$M189="",$AL188,'TMP Paste'!$M189))</f>
        <v/>
      </c>
      <c r="AM189">
        <f>IF('TMP Paste'!$F189="","",IF('TMP Paste'!$N189="",$AM188,'TMP Paste'!$N189))</f>
        <v/>
      </c>
      <c r="AN189">
        <f>IF('TMP Paste'!$F189="","",IF('TMP Paste'!$O189="",$AN188,'TMP Paste'!$O189))</f>
        <v/>
      </c>
      <c r="AO189">
        <f>IF('TMP Paste'!$F189="","",IF('TMP Paste'!$P189="",$AO188,'TMP Paste'!$P189))</f>
        <v/>
      </c>
      <c r="AP189">
        <f>IF($AG189="","",LEN($R189))</f>
        <v/>
      </c>
      <c r="AQ189">
        <f>IF($AG189="","",TRIM(IF(COUNTIFS(Calc!$B$2:$B$1601,ROW()-1,Calc!$C$2:$C$1601,"&lt;1")&gt;0,"Ada PO tanpa Koli - cek TMP. ","")&amp;IF(LEN($R189)&gt;500,"R &gt; 500 karakter.","")))</f>
        <v/>
      </c>
    </row>
    <row r="190">
      <c r="A190">
        <f>IF($AG190="","",INDEX('TMP Paste'!$B$2:$B$1601,$AG190))</f>
        <v/>
      </c>
      <c r="B190">
        <f>IF($AG190="","",Config!$B$14)</f>
        <v/>
      </c>
      <c r="C190">
        <f>IF($AG190="","",Config!$B$15)</f>
        <v/>
      </c>
      <c r="D190">
        <f>IF($AG190="","",INDEX('TMP Paste'!$B$2:$B$1601,$AG190))</f>
        <v/>
      </c>
      <c r="E190">
        <f>IF($AG190="","",Config!$B$27)</f>
        <v/>
      </c>
      <c r="F190">
        <f>IF($AG190="","",Config!$B$9)</f>
        <v/>
      </c>
      <c r="G190">
        <f>IF($AG190="","",Config!$B$10)</f>
        <v/>
      </c>
      <c r="H190">
        <f>IF($AG190="","",Config!$B$11)</f>
        <v/>
      </c>
      <c r="I190">
        <f>IF($AG190="","",Config!$B$16)</f>
        <v/>
      </c>
      <c r="J190">
        <f>IF($AG190="","",INDEX('TMP Paste'!$A$2:$A$1601,$AG190))</f>
        <v/>
      </c>
      <c r="K190">
        <f>IF($AG190="","",INDEX('TMP Paste'!$L$2:$L$1601,$AG190))</f>
        <v/>
      </c>
      <c r="L190">
        <f>IF($AG190="","",INDEX('TMP Paste'!$I$2:$I$1601,$AG190))</f>
        <v/>
      </c>
      <c r="M190">
        <f>IF($AG190="","",Config!$B$16)</f>
        <v/>
      </c>
      <c r="N190">
        <f>IF($AG190="","","")</f>
        <v/>
      </c>
      <c r="O190">
        <f>IF($AG190="","",INDEX('TMP Paste'!$K$2:$K$1601,$AG190))</f>
        <v/>
      </c>
      <c r="P190">
        <f>IF($AG190="","","")</f>
        <v/>
      </c>
      <c r="Q190">
        <f>IF($AG190="","",INDEX('TMP Paste'!$J$2:$J$1601,$AG190))</f>
        <v/>
      </c>
      <c r="R190">
        <f>IF($AG190="","",Config!$B$24)</f>
        <v/>
      </c>
      <c r="S190">
        <f>IF($AG190="","",TEXT(Config!$B$4,"yyyy-mm-dd"))</f>
        <v/>
      </c>
      <c r="T190">
        <f>IF($AG190="","",Config!$B$17)</f>
        <v/>
      </c>
      <c r="U190">
        <f>IF($AG190="","",Config!$B$18)</f>
        <v/>
      </c>
      <c r="V190">
        <f>IF($AG190="","",Config!$B$19)</f>
        <v/>
      </c>
      <c r="W190">
        <f>IF($AG190="","",INDEX('TMP Paste'!$C$2:$C$1601,$AG190))</f>
        <v/>
      </c>
      <c r="X190">
        <f>IF($AG190="","",Config!$B$29)</f>
        <v/>
      </c>
      <c r="Y190">
        <f>IF($AH190="","",INDEX(Calc!$I$2:$I$1601,$AH190)&amp;" - "&amp;INDEX(Calc!$D$2:$D$1601,$AH190)&amp;" koli")</f>
        <v/>
      </c>
      <c r="Z190">
        <f>IF($AG190="","",Config!$B$21)</f>
        <v/>
      </c>
      <c r="AA190">
        <f>IF($AG190="","",Config!$B$22)</f>
        <v/>
      </c>
      <c r="AB190">
        <f>IF($AH190="","",INDEX(Calc!$D$2:$D$1601,$AH190))</f>
        <v/>
      </c>
      <c r="AC190">
        <f>IF($AH190="","",INDEX(Calc!$G$2:$G$1601,$AH190))</f>
        <v/>
      </c>
      <c r="AD190">
        <f>IF($AG190="","",Config!$B$23)</f>
        <v/>
      </c>
      <c r="AE190">
        <f>IF($AG190="","",Config!$B$28)</f>
        <v/>
      </c>
      <c r="AG190">
        <f>IFERROR(MATCH(ROW()-1,Calc!$J$2:$J$1601,0),"")</f>
        <v/>
      </c>
      <c r="AH190">
        <f>IFERROR(MATCH(ROW()-1,Calc!$K$2:$K$1601,0),"")</f>
        <v/>
      </c>
      <c r="AI190">
        <f>IF($AG190="","",SUMIF($AG$2:$AG190,$AG190,$AH$2:$AH190))</f>
        <v/>
      </c>
      <c r="AJ190">
        <f>IF('TMP Paste'!$F190="","",IF('TMP Paste'!$B190="",$AJ189,'TMP Paste'!$B190))</f>
        <v/>
      </c>
      <c r="AK190">
        <f>IF('TMP Paste'!$F190="","",N('TMP Paste'!$G190))</f>
        <v/>
      </c>
      <c r="AL190">
        <f>IF('TMP Paste'!$F190="","",IF('TMP Paste'!$M190="",$AL189,'TMP Paste'!$M190))</f>
        <v/>
      </c>
      <c r="AM190">
        <f>IF('TMP Paste'!$F190="","",IF('TMP Paste'!$N190="",$AM189,'TMP Paste'!$N190))</f>
        <v/>
      </c>
      <c r="AN190">
        <f>IF('TMP Paste'!$F190="","",IF('TMP Paste'!$O190="",$AN189,'TMP Paste'!$O190))</f>
        <v/>
      </c>
      <c r="AO190">
        <f>IF('TMP Paste'!$F190="","",IF('TMP Paste'!$P190="",$AO189,'TMP Paste'!$P190))</f>
        <v/>
      </c>
      <c r="AP190">
        <f>IF($AG190="","",LEN($R190))</f>
        <v/>
      </c>
      <c r="AQ190">
        <f>IF($AG190="","",TRIM(IF(COUNTIFS(Calc!$B$2:$B$1601,ROW()-1,Calc!$C$2:$C$1601,"&lt;1")&gt;0,"Ada PO tanpa Koli - cek TMP. ","")&amp;IF(LEN($R190)&gt;500,"R &gt; 500 karakter.","")))</f>
        <v/>
      </c>
    </row>
    <row r="191">
      <c r="A191">
        <f>IF($AG191="","",INDEX('TMP Paste'!$B$2:$B$1601,$AG191))</f>
        <v/>
      </c>
      <c r="B191">
        <f>IF($AG191="","",Config!$B$14)</f>
        <v/>
      </c>
      <c r="C191">
        <f>IF($AG191="","",Config!$B$15)</f>
        <v/>
      </c>
      <c r="D191">
        <f>IF($AG191="","",INDEX('TMP Paste'!$B$2:$B$1601,$AG191))</f>
        <v/>
      </c>
      <c r="E191">
        <f>IF($AG191="","",Config!$B$27)</f>
        <v/>
      </c>
      <c r="F191">
        <f>IF($AG191="","",Config!$B$9)</f>
        <v/>
      </c>
      <c r="G191">
        <f>IF($AG191="","",Config!$B$10)</f>
        <v/>
      </c>
      <c r="H191">
        <f>IF($AG191="","",Config!$B$11)</f>
        <v/>
      </c>
      <c r="I191">
        <f>IF($AG191="","",Config!$B$16)</f>
        <v/>
      </c>
      <c r="J191">
        <f>IF($AG191="","",INDEX('TMP Paste'!$A$2:$A$1601,$AG191))</f>
        <v/>
      </c>
      <c r="K191">
        <f>IF($AG191="","",INDEX('TMP Paste'!$L$2:$L$1601,$AG191))</f>
        <v/>
      </c>
      <c r="L191">
        <f>IF($AG191="","",INDEX('TMP Paste'!$I$2:$I$1601,$AG191))</f>
        <v/>
      </c>
      <c r="M191">
        <f>IF($AG191="","",Config!$B$16)</f>
        <v/>
      </c>
      <c r="N191">
        <f>IF($AG191="","","")</f>
        <v/>
      </c>
      <c r="O191">
        <f>IF($AG191="","",INDEX('TMP Paste'!$K$2:$K$1601,$AG191))</f>
        <v/>
      </c>
      <c r="P191">
        <f>IF($AG191="","","")</f>
        <v/>
      </c>
      <c r="Q191">
        <f>IF($AG191="","",INDEX('TMP Paste'!$J$2:$J$1601,$AG191))</f>
        <v/>
      </c>
      <c r="R191">
        <f>IF($AG191="","",Config!$B$24)</f>
        <v/>
      </c>
      <c r="S191">
        <f>IF($AG191="","",TEXT(Config!$B$4,"yyyy-mm-dd"))</f>
        <v/>
      </c>
      <c r="T191">
        <f>IF($AG191="","",Config!$B$17)</f>
        <v/>
      </c>
      <c r="U191">
        <f>IF($AG191="","",Config!$B$18)</f>
        <v/>
      </c>
      <c r="V191">
        <f>IF($AG191="","",Config!$B$19)</f>
        <v/>
      </c>
      <c r="W191">
        <f>IF($AG191="","",INDEX('TMP Paste'!$C$2:$C$1601,$AG191))</f>
        <v/>
      </c>
      <c r="X191">
        <f>IF($AG191="","",Config!$B$29)</f>
        <v/>
      </c>
      <c r="Y191">
        <f>IF($AH191="","",INDEX(Calc!$I$2:$I$1601,$AH191)&amp;" - "&amp;INDEX(Calc!$D$2:$D$1601,$AH191)&amp;" koli")</f>
        <v/>
      </c>
      <c r="Z191">
        <f>IF($AG191="","",Config!$B$21)</f>
        <v/>
      </c>
      <c r="AA191">
        <f>IF($AG191="","",Config!$B$22)</f>
        <v/>
      </c>
      <c r="AB191">
        <f>IF($AH191="","",INDEX(Calc!$D$2:$D$1601,$AH191))</f>
        <v/>
      </c>
      <c r="AC191">
        <f>IF($AH191="","",INDEX(Calc!$G$2:$G$1601,$AH191))</f>
        <v/>
      </c>
      <c r="AD191">
        <f>IF($AG191="","",Config!$B$23)</f>
        <v/>
      </c>
      <c r="AE191">
        <f>IF($AG191="","",Config!$B$28)</f>
        <v/>
      </c>
      <c r="AG191">
        <f>IFERROR(MATCH(ROW()-1,Calc!$J$2:$J$1601,0),"")</f>
        <v/>
      </c>
      <c r="AH191">
        <f>IFERROR(MATCH(ROW()-1,Calc!$K$2:$K$1601,0),"")</f>
        <v/>
      </c>
      <c r="AI191">
        <f>IF($AG191="","",SUMIF($AG$2:$AG191,$AG191,$AH$2:$AH191))</f>
        <v/>
      </c>
      <c r="AJ191">
        <f>IF('TMP Paste'!$F191="","",IF('TMP Paste'!$B191="",$AJ190,'TMP Paste'!$B191))</f>
        <v/>
      </c>
      <c r="AK191">
        <f>IF('TMP Paste'!$F191="","",N('TMP Paste'!$G191))</f>
        <v/>
      </c>
      <c r="AL191">
        <f>IF('TMP Paste'!$F191="","",IF('TMP Paste'!$M191="",$AL190,'TMP Paste'!$M191))</f>
        <v/>
      </c>
      <c r="AM191">
        <f>IF('TMP Paste'!$F191="","",IF('TMP Paste'!$N191="",$AM190,'TMP Paste'!$N191))</f>
        <v/>
      </c>
      <c r="AN191">
        <f>IF('TMP Paste'!$F191="","",IF('TMP Paste'!$O191="",$AN190,'TMP Paste'!$O191))</f>
        <v/>
      </c>
      <c r="AO191">
        <f>IF('TMP Paste'!$F191="","",IF('TMP Paste'!$P191="",$AO190,'TMP Paste'!$P191))</f>
        <v/>
      </c>
      <c r="AP191">
        <f>IF($AG191="","",LEN($R191))</f>
        <v/>
      </c>
      <c r="AQ191">
        <f>IF($AG191="","",TRIM(IF(COUNTIFS(Calc!$B$2:$B$1601,ROW()-1,Calc!$C$2:$C$1601,"&lt;1")&gt;0,"Ada PO tanpa Koli - cek TMP. ","")&amp;IF(LEN($R191)&gt;500,"R &gt; 500 karakter.","")))</f>
        <v/>
      </c>
    </row>
    <row r="192">
      <c r="A192">
        <f>IF($AG192="","",INDEX('TMP Paste'!$B$2:$B$1601,$AG192))</f>
        <v/>
      </c>
      <c r="B192">
        <f>IF($AG192="","",Config!$B$14)</f>
        <v/>
      </c>
      <c r="C192">
        <f>IF($AG192="","",Config!$B$15)</f>
        <v/>
      </c>
      <c r="D192">
        <f>IF($AG192="","",INDEX('TMP Paste'!$B$2:$B$1601,$AG192))</f>
        <v/>
      </c>
      <c r="E192">
        <f>IF($AG192="","",Config!$B$27)</f>
        <v/>
      </c>
      <c r="F192">
        <f>IF($AG192="","",Config!$B$9)</f>
        <v/>
      </c>
      <c r="G192">
        <f>IF($AG192="","",Config!$B$10)</f>
        <v/>
      </c>
      <c r="H192">
        <f>IF($AG192="","",Config!$B$11)</f>
        <v/>
      </c>
      <c r="I192">
        <f>IF($AG192="","",Config!$B$16)</f>
        <v/>
      </c>
      <c r="J192">
        <f>IF($AG192="","",INDEX('TMP Paste'!$A$2:$A$1601,$AG192))</f>
        <v/>
      </c>
      <c r="K192">
        <f>IF($AG192="","",INDEX('TMP Paste'!$L$2:$L$1601,$AG192))</f>
        <v/>
      </c>
      <c r="L192">
        <f>IF($AG192="","",INDEX('TMP Paste'!$I$2:$I$1601,$AG192))</f>
        <v/>
      </c>
      <c r="M192">
        <f>IF($AG192="","",Config!$B$16)</f>
        <v/>
      </c>
      <c r="N192">
        <f>IF($AG192="","","")</f>
        <v/>
      </c>
      <c r="O192">
        <f>IF($AG192="","",INDEX('TMP Paste'!$K$2:$K$1601,$AG192))</f>
        <v/>
      </c>
      <c r="P192">
        <f>IF($AG192="","","")</f>
        <v/>
      </c>
      <c r="Q192">
        <f>IF($AG192="","",INDEX('TMP Paste'!$J$2:$J$1601,$AG192))</f>
        <v/>
      </c>
      <c r="R192">
        <f>IF($AG192="","",Config!$B$24)</f>
        <v/>
      </c>
      <c r="S192">
        <f>IF($AG192="","",TEXT(Config!$B$4,"yyyy-mm-dd"))</f>
        <v/>
      </c>
      <c r="T192">
        <f>IF($AG192="","",Config!$B$17)</f>
        <v/>
      </c>
      <c r="U192">
        <f>IF($AG192="","",Config!$B$18)</f>
        <v/>
      </c>
      <c r="V192">
        <f>IF($AG192="","",Config!$B$19)</f>
        <v/>
      </c>
      <c r="W192">
        <f>IF($AG192="","",INDEX('TMP Paste'!$C$2:$C$1601,$AG192))</f>
        <v/>
      </c>
      <c r="X192">
        <f>IF($AG192="","",Config!$B$29)</f>
        <v/>
      </c>
      <c r="Y192">
        <f>IF($AH192="","",INDEX(Calc!$I$2:$I$1601,$AH192)&amp;" - "&amp;INDEX(Calc!$D$2:$D$1601,$AH192)&amp;" koli")</f>
        <v/>
      </c>
      <c r="Z192">
        <f>IF($AG192="","",Config!$B$21)</f>
        <v/>
      </c>
      <c r="AA192">
        <f>IF($AG192="","",Config!$B$22)</f>
        <v/>
      </c>
      <c r="AB192">
        <f>IF($AH192="","",INDEX(Calc!$D$2:$D$1601,$AH192))</f>
        <v/>
      </c>
      <c r="AC192">
        <f>IF($AH192="","",INDEX(Calc!$G$2:$G$1601,$AH192))</f>
        <v/>
      </c>
      <c r="AD192">
        <f>IF($AG192="","",Config!$B$23)</f>
        <v/>
      </c>
      <c r="AE192">
        <f>IF($AG192="","",Config!$B$28)</f>
        <v/>
      </c>
      <c r="AG192">
        <f>IFERROR(MATCH(ROW()-1,Calc!$J$2:$J$1601,0),"")</f>
        <v/>
      </c>
      <c r="AH192">
        <f>IFERROR(MATCH(ROW()-1,Calc!$K$2:$K$1601,0),"")</f>
        <v/>
      </c>
      <c r="AI192">
        <f>IF($AG192="","",SUMIF($AG$2:$AG192,$AG192,$AH$2:$AH192))</f>
        <v/>
      </c>
      <c r="AJ192">
        <f>IF('TMP Paste'!$F192="","",IF('TMP Paste'!$B192="",$AJ191,'TMP Paste'!$B192))</f>
        <v/>
      </c>
      <c r="AK192">
        <f>IF('TMP Paste'!$F192="","",N('TMP Paste'!$G192))</f>
        <v/>
      </c>
      <c r="AL192">
        <f>IF('TMP Paste'!$F192="","",IF('TMP Paste'!$M192="",$AL191,'TMP Paste'!$M192))</f>
        <v/>
      </c>
      <c r="AM192">
        <f>IF('TMP Paste'!$F192="","",IF('TMP Paste'!$N192="",$AM191,'TMP Paste'!$N192))</f>
        <v/>
      </c>
      <c r="AN192">
        <f>IF('TMP Paste'!$F192="","",IF('TMP Paste'!$O192="",$AN191,'TMP Paste'!$O192))</f>
        <v/>
      </c>
      <c r="AO192">
        <f>IF('TMP Paste'!$F192="","",IF('TMP Paste'!$P192="",$AO191,'TMP Paste'!$P192))</f>
        <v/>
      </c>
      <c r="AP192">
        <f>IF($AG192="","",LEN($R192))</f>
        <v/>
      </c>
      <c r="AQ192">
        <f>IF($AG192="","",TRIM(IF(COUNTIFS(Calc!$B$2:$B$1601,ROW()-1,Calc!$C$2:$C$1601,"&lt;1")&gt;0,"Ada PO tanpa Koli - cek TMP. ","")&amp;IF(LEN($R192)&gt;500,"R &gt; 500 karakter.","")))</f>
        <v/>
      </c>
    </row>
    <row r="193">
      <c r="A193">
        <f>IF($AG193="","",INDEX('TMP Paste'!$B$2:$B$1601,$AG193))</f>
        <v/>
      </c>
      <c r="B193">
        <f>IF($AG193="","",Config!$B$14)</f>
        <v/>
      </c>
      <c r="C193">
        <f>IF($AG193="","",Config!$B$15)</f>
        <v/>
      </c>
      <c r="D193">
        <f>IF($AG193="","",INDEX('TMP Paste'!$B$2:$B$1601,$AG193))</f>
        <v/>
      </c>
      <c r="E193">
        <f>IF($AG193="","",Config!$B$27)</f>
        <v/>
      </c>
      <c r="F193">
        <f>IF($AG193="","",Config!$B$9)</f>
        <v/>
      </c>
      <c r="G193">
        <f>IF($AG193="","",Config!$B$10)</f>
        <v/>
      </c>
      <c r="H193">
        <f>IF($AG193="","",Config!$B$11)</f>
        <v/>
      </c>
      <c r="I193">
        <f>IF($AG193="","",Config!$B$16)</f>
        <v/>
      </c>
      <c r="J193">
        <f>IF($AG193="","",INDEX('TMP Paste'!$A$2:$A$1601,$AG193))</f>
        <v/>
      </c>
      <c r="K193">
        <f>IF($AG193="","",INDEX('TMP Paste'!$L$2:$L$1601,$AG193))</f>
        <v/>
      </c>
      <c r="L193">
        <f>IF($AG193="","",INDEX('TMP Paste'!$I$2:$I$1601,$AG193))</f>
        <v/>
      </c>
      <c r="M193">
        <f>IF($AG193="","",Config!$B$16)</f>
        <v/>
      </c>
      <c r="N193">
        <f>IF($AG193="","","")</f>
        <v/>
      </c>
      <c r="O193">
        <f>IF($AG193="","",INDEX('TMP Paste'!$K$2:$K$1601,$AG193))</f>
        <v/>
      </c>
      <c r="P193">
        <f>IF($AG193="","","")</f>
        <v/>
      </c>
      <c r="Q193">
        <f>IF($AG193="","",INDEX('TMP Paste'!$J$2:$J$1601,$AG193))</f>
        <v/>
      </c>
      <c r="R193">
        <f>IF($AG193="","",Config!$B$24)</f>
        <v/>
      </c>
      <c r="S193">
        <f>IF($AG193="","",TEXT(Config!$B$4,"yyyy-mm-dd"))</f>
        <v/>
      </c>
      <c r="T193">
        <f>IF($AG193="","",Config!$B$17)</f>
        <v/>
      </c>
      <c r="U193">
        <f>IF($AG193="","",Config!$B$18)</f>
        <v/>
      </c>
      <c r="V193">
        <f>IF($AG193="","",Config!$B$19)</f>
        <v/>
      </c>
      <c r="W193">
        <f>IF($AG193="","",INDEX('TMP Paste'!$C$2:$C$1601,$AG193))</f>
        <v/>
      </c>
      <c r="X193">
        <f>IF($AG193="","",Config!$B$29)</f>
        <v/>
      </c>
      <c r="Y193">
        <f>IF($AH193="","",INDEX(Calc!$I$2:$I$1601,$AH193)&amp;" - "&amp;INDEX(Calc!$D$2:$D$1601,$AH193)&amp;" koli")</f>
        <v/>
      </c>
      <c r="Z193">
        <f>IF($AG193="","",Config!$B$21)</f>
        <v/>
      </c>
      <c r="AA193">
        <f>IF($AG193="","",Config!$B$22)</f>
        <v/>
      </c>
      <c r="AB193">
        <f>IF($AH193="","",INDEX(Calc!$D$2:$D$1601,$AH193))</f>
        <v/>
      </c>
      <c r="AC193">
        <f>IF($AH193="","",INDEX(Calc!$G$2:$G$1601,$AH193))</f>
        <v/>
      </c>
      <c r="AD193">
        <f>IF($AG193="","",Config!$B$23)</f>
        <v/>
      </c>
      <c r="AE193">
        <f>IF($AG193="","",Config!$B$28)</f>
        <v/>
      </c>
      <c r="AG193">
        <f>IFERROR(MATCH(ROW()-1,Calc!$J$2:$J$1601,0),"")</f>
        <v/>
      </c>
      <c r="AH193">
        <f>IFERROR(MATCH(ROW()-1,Calc!$K$2:$K$1601,0),"")</f>
        <v/>
      </c>
      <c r="AI193">
        <f>IF($AG193="","",SUMIF($AG$2:$AG193,$AG193,$AH$2:$AH193))</f>
        <v/>
      </c>
      <c r="AJ193">
        <f>IF('TMP Paste'!$F193="","",IF('TMP Paste'!$B193="",$AJ192,'TMP Paste'!$B193))</f>
        <v/>
      </c>
      <c r="AK193">
        <f>IF('TMP Paste'!$F193="","",N('TMP Paste'!$G193))</f>
        <v/>
      </c>
      <c r="AL193">
        <f>IF('TMP Paste'!$F193="","",IF('TMP Paste'!$M193="",$AL192,'TMP Paste'!$M193))</f>
        <v/>
      </c>
      <c r="AM193">
        <f>IF('TMP Paste'!$F193="","",IF('TMP Paste'!$N193="",$AM192,'TMP Paste'!$N193))</f>
        <v/>
      </c>
      <c r="AN193">
        <f>IF('TMP Paste'!$F193="","",IF('TMP Paste'!$O193="",$AN192,'TMP Paste'!$O193))</f>
        <v/>
      </c>
      <c r="AO193">
        <f>IF('TMP Paste'!$F193="","",IF('TMP Paste'!$P193="",$AO192,'TMP Paste'!$P193))</f>
        <v/>
      </c>
      <c r="AP193">
        <f>IF($AG193="","",LEN($R193))</f>
        <v/>
      </c>
      <c r="AQ193">
        <f>IF($AG193="","",TRIM(IF(COUNTIFS(Calc!$B$2:$B$1601,ROW()-1,Calc!$C$2:$C$1601,"&lt;1")&gt;0,"Ada PO tanpa Koli - cek TMP. ","")&amp;IF(LEN($R193)&gt;500,"R &gt; 500 karakter.","")))</f>
        <v/>
      </c>
    </row>
    <row r="194">
      <c r="A194">
        <f>IF($AG194="","",INDEX('TMP Paste'!$B$2:$B$1601,$AG194))</f>
        <v/>
      </c>
      <c r="B194">
        <f>IF($AG194="","",Config!$B$14)</f>
        <v/>
      </c>
      <c r="C194">
        <f>IF($AG194="","",Config!$B$15)</f>
        <v/>
      </c>
      <c r="D194">
        <f>IF($AG194="","",INDEX('TMP Paste'!$B$2:$B$1601,$AG194))</f>
        <v/>
      </c>
      <c r="E194">
        <f>IF($AG194="","",Config!$B$27)</f>
        <v/>
      </c>
      <c r="F194">
        <f>IF($AG194="","",Config!$B$9)</f>
        <v/>
      </c>
      <c r="G194">
        <f>IF($AG194="","",Config!$B$10)</f>
        <v/>
      </c>
      <c r="H194">
        <f>IF($AG194="","",Config!$B$11)</f>
        <v/>
      </c>
      <c r="I194">
        <f>IF($AG194="","",Config!$B$16)</f>
        <v/>
      </c>
      <c r="J194">
        <f>IF($AG194="","",INDEX('TMP Paste'!$A$2:$A$1601,$AG194))</f>
        <v/>
      </c>
      <c r="K194">
        <f>IF($AG194="","",INDEX('TMP Paste'!$L$2:$L$1601,$AG194))</f>
        <v/>
      </c>
      <c r="L194">
        <f>IF($AG194="","",INDEX('TMP Paste'!$I$2:$I$1601,$AG194))</f>
        <v/>
      </c>
      <c r="M194">
        <f>IF($AG194="","",Config!$B$16)</f>
        <v/>
      </c>
      <c r="N194">
        <f>IF($AG194="","","")</f>
        <v/>
      </c>
      <c r="O194">
        <f>IF($AG194="","",INDEX('TMP Paste'!$K$2:$K$1601,$AG194))</f>
        <v/>
      </c>
      <c r="P194">
        <f>IF($AG194="","","")</f>
        <v/>
      </c>
      <c r="Q194">
        <f>IF($AG194="","",INDEX('TMP Paste'!$J$2:$J$1601,$AG194))</f>
        <v/>
      </c>
      <c r="R194">
        <f>IF($AG194="","",Config!$B$24)</f>
        <v/>
      </c>
      <c r="S194">
        <f>IF($AG194="","",TEXT(Config!$B$4,"yyyy-mm-dd"))</f>
        <v/>
      </c>
      <c r="T194">
        <f>IF($AG194="","",Config!$B$17)</f>
        <v/>
      </c>
      <c r="U194">
        <f>IF($AG194="","",Config!$B$18)</f>
        <v/>
      </c>
      <c r="V194">
        <f>IF($AG194="","",Config!$B$19)</f>
        <v/>
      </c>
      <c r="W194">
        <f>IF($AG194="","",INDEX('TMP Paste'!$C$2:$C$1601,$AG194))</f>
        <v/>
      </c>
      <c r="X194">
        <f>IF($AG194="","",Config!$B$29)</f>
        <v/>
      </c>
      <c r="Y194">
        <f>IF($AH194="","",INDEX(Calc!$I$2:$I$1601,$AH194)&amp;" - "&amp;INDEX(Calc!$D$2:$D$1601,$AH194)&amp;" koli")</f>
        <v/>
      </c>
      <c r="Z194">
        <f>IF($AG194="","",Config!$B$21)</f>
        <v/>
      </c>
      <c r="AA194">
        <f>IF($AG194="","",Config!$B$22)</f>
        <v/>
      </c>
      <c r="AB194">
        <f>IF($AH194="","",INDEX(Calc!$D$2:$D$1601,$AH194))</f>
        <v/>
      </c>
      <c r="AC194">
        <f>IF($AH194="","",INDEX(Calc!$G$2:$G$1601,$AH194))</f>
        <v/>
      </c>
      <c r="AD194">
        <f>IF($AG194="","",Config!$B$23)</f>
        <v/>
      </c>
      <c r="AE194">
        <f>IF($AG194="","",Config!$B$28)</f>
        <v/>
      </c>
      <c r="AG194">
        <f>IFERROR(MATCH(ROW()-1,Calc!$J$2:$J$1601,0),"")</f>
        <v/>
      </c>
      <c r="AH194">
        <f>IFERROR(MATCH(ROW()-1,Calc!$K$2:$K$1601,0),"")</f>
        <v/>
      </c>
      <c r="AI194">
        <f>IF($AG194="","",SUMIF($AG$2:$AG194,$AG194,$AH$2:$AH194))</f>
        <v/>
      </c>
      <c r="AJ194">
        <f>IF('TMP Paste'!$F194="","",IF('TMP Paste'!$B194="",$AJ193,'TMP Paste'!$B194))</f>
        <v/>
      </c>
      <c r="AK194">
        <f>IF('TMP Paste'!$F194="","",N('TMP Paste'!$G194))</f>
        <v/>
      </c>
      <c r="AL194">
        <f>IF('TMP Paste'!$F194="","",IF('TMP Paste'!$M194="",$AL193,'TMP Paste'!$M194))</f>
        <v/>
      </c>
      <c r="AM194">
        <f>IF('TMP Paste'!$F194="","",IF('TMP Paste'!$N194="",$AM193,'TMP Paste'!$N194))</f>
        <v/>
      </c>
      <c r="AN194">
        <f>IF('TMP Paste'!$F194="","",IF('TMP Paste'!$O194="",$AN193,'TMP Paste'!$O194))</f>
        <v/>
      </c>
      <c r="AO194">
        <f>IF('TMP Paste'!$F194="","",IF('TMP Paste'!$P194="",$AO193,'TMP Paste'!$P194))</f>
        <v/>
      </c>
      <c r="AP194">
        <f>IF($AG194="","",LEN($R194))</f>
        <v/>
      </c>
      <c r="AQ194">
        <f>IF($AG194="","",TRIM(IF(COUNTIFS(Calc!$B$2:$B$1601,ROW()-1,Calc!$C$2:$C$1601,"&lt;1")&gt;0,"Ada PO tanpa Koli - cek TMP. ","")&amp;IF(LEN($R194)&gt;500,"R &gt; 500 karakter.","")))</f>
        <v/>
      </c>
    </row>
    <row r="195">
      <c r="A195">
        <f>IF($AG195="","",INDEX('TMP Paste'!$B$2:$B$1601,$AG195))</f>
        <v/>
      </c>
      <c r="B195">
        <f>IF($AG195="","",Config!$B$14)</f>
        <v/>
      </c>
      <c r="C195">
        <f>IF($AG195="","",Config!$B$15)</f>
        <v/>
      </c>
      <c r="D195">
        <f>IF($AG195="","",INDEX('TMP Paste'!$B$2:$B$1601,$AG195))</f>
        <v/>
      </c>
      <c r="E195">
        <f>IF($AG195="","",Config!$B$27)</f>
        <v/>
      </c>
      <c r="F195">
        <f>IF($AG195="","",Config!$B$9)</f>
        <v/>
      </c>
      <c r="G195">
        <f>IF($AG195="","",Config!$B$10)</f>
        <v/>
      </c>
      <c r="H195">
        <f>IF($AG195="","",Config!$B$11)</f>
        <v/>
      </c>
      <c r="I195">
        <f>IF($AG195="","",Config!$B$16)</f>
        <v/>
      </c>
      <c r="J195">
        <f>IF($AG195="","",INDEX('TMP Paste'!$A$2:$A$1601,$AG195))</f>
        <v/>
      </c>
      <c r="K195">
        <f>IF($AG195="","",INDEX('TMP Paste'!$L$2:$L$1601,$AG195))</f>
        <v/>
      </c>
      <c r="L195">
        <f>IF($AG195="","",INDEX('TMP Paste'!$I$2:$I$1601,$AG195))</f>
        <v/>
      </c>
      <c r="M195">
        <f>IF($AG195="","",Config!$B$16)</f>
        <v/>
      </c>
      <c r="N195">
        <f>IF($AG195="","","")</f>
        <v/>
      </c>
      <c r="O195">
        <f>IF($AG195="","",INDEX('TMP Paste'!$K$2:$K$1601,$AG195))</f>
        <v/>
      </c>
      <c r="P195">
        <f>IF($AG195="","","")</f>
        <v/>
      </c>
      <c r="Q195">
        <f>IF($AG195="","",INDEX('TMP Paste'!$J$2:$J$1601,$AG195))</f>
        <v/>
      </c>
      <c r="R195">
        <f>IF($AG195="","",Config!$B$24)</f>
        <v/>
      </c>
      <c r="S195">
        <f>IF($AG195="","",TEXT(Config!$B$4,"yyyy-mm-dd"))</f>
        <v/>
      </c>
      <c r="T195">
        <f>IF($AG195="","",Config!$B$17)</f>
        <v/>
      </c>
      <c r="U195">
        <f>IF($AG195="","",Config!$B$18)</f>
        <v/>
      </c>
      <c r="V195">
        <f>IF($AG195="","",Config!$B$19)</f>
        <v/>
      </c>
      <c r="W195">
        <f>IF($AG195="","",INDEX('TMP Paste'!$C$2:$C$1601,$AG195))</f>
        <v/>
      </c>
      <c r="X195">
        <f>IF($AG195="","",Config!$B$29)</f>
        <v/>
      </c>
      <c r="Y195">
        <f>IF($AH195="","",INDEX(Calc!$I$2:$I$1601,$AH195)&amp;" - "&amp;INDEX(Calc!$D$2:$D$1601,$AH195)&amp;" koli")</f>
        <v/>
      </c>
      <c r="Z195">
        <f>IF($AG195="","",Config!$B$21)</f>
        <v/>
      </c>
      <c r="AA195">
        <f>IF($AG195="","",Config!$B$22)</f>
        <v/>
      </c>
      <c r="AB195">
        <f>IF($AH195="","",INDEX(Calc!$D$2:$D$1601,$AH195))</f>
        <v/>
      </c>
      <c r="AC195">
        <f>IF($AH195="","",INDEX(Calc!$G$2:$G$1601,$AH195))</f>
        <v/>
      </c>
      <c r="AD195">
        <f>IF($AG195="","",Config!$B$23)</f>
        <v/>
      </c>
      <c r="AE195">
        <f>IF($AG195="","",Config!$B$28)</f>
        <v/>
      </c>
      <c r="AG195">
        <f>IFERROR(MATCH(ROW()-1,Calc!$J$2:$J$1601,0),"")</f>
        <v/>
      </c>
      <c r="AH195">
        <f>IFERROR(MATCH(ROW()-1,Calc!$K$2:$K$1601,0),"")</f>
        <v/>
      </c>
      <c r="AI195">
        <f>IF($AG195="","",SUMIF($AG$2:$AG195,$AG195,$AH$2:$AH195))</f>
        <v/>
      </c>
      <c r="AJ195">
        <f>IF('TMP Paste'!$F195="","",IF('TMP Paste'!$B195="",$AJ194,'TMP Paste'!$B195))</f>
        <v/>
      </c>
      <c r="AK195">
        <f>IF('TMP Paste'!$F195="","",N('TMP Paste'!$G195))</f>
        <v/>
      </c>
      <c r="AL195">
        <f>IF('TMP Paste'!$F195="","",IF('TMP Paste'!$M195="",$AL194,'TMP Paste'!$M195))</f>
        <v/>
      </c>
      <c r="AM195">
        <f>IF('TMP Paste'!$F195="","",IF('TMP Paste'!$N195="",$AM194,'TMP Paste'!$N195))</f>
        <v/>
      </c>
      <c r="AN195">
        <f>IF('TMP Paste'!$F195="","",IF('TMP Paste'!$O195="",$AN194,'TMP Paste'!$O195))</f>
        <v/>
      </c>
      <c r="AO195">
        <f>IF('TMP Paste'!$F195="","",IF('TMP Paste'!$P195="",$AO194,'TMP Paste'!$P195))</f>
        <v/>
      </c>
      <c r="AP195">
        <f>IF($AG195="","",LEN($R195))</f>
        <v/>
      </c>
      <c r="AQ195">
        <f>IF($AG195="","",TRIM(IF(COUNTIFS(Calc!$B$2:$B$1601,ROW()-1,Calc!$C$2:$C$1601,"&lt;1")&gt;0,"Ada PO tanpa Koli - cek TMP. ","")&amp;IF(LEN($R195)&gt;500,"R &gt; 500 karakter.","")))</f>
        <v/>
      </c>
    </row>
    <row r="196">
      <c r="A196">
        <f>IF($AG196="","",INDEX('TMP Paste'!$B$2:$B$1601,$AG196))</f>
        <v/>
      </c>
      <c r="B196">
        <f>IF($AG196="","",Config!$B$14)</f>
        <v/>
      </c>
      <c r="C196">
        <f>IF($AG196="","",Config!$B$15)</f>
        <v/>
      </c>
      <c r="D196">
        <f>IF($AG196="","",INDEX('TMP Paste'!$B$2:$B$1601,$AG196))</f>
        <v/>
      </c>
      <c r="E196">
        <f>IF($AG196="","",Config!$B$27)</f>
        <v/>
      </c>
      <c r="F196">
        <f>IF($AG196="","",Config!$B$9)</f>
        <v/>
      </c>
      <c r="G196">
        <f>IF($AG196="","",Config!$B$10)</f>
        <v/>
      </c>
      <c r="H196">
        <f>IF($AG196="","",Config!$B$11)</f>
        <v/>
      </c>
      <c r="I196">
        <f>IF($AG196="","",Config!$B$16)</f>
        <v/>
      </c>
      <c r="J196">
        <f>IF($AG196="","",INDEX('TMP Paste'!$A$2:$A$1601,$AG196))</f>
        <v/>
      </c>
      <c r="K196">
        <f>IF($AG196="","",INDEX('TMP Paste'!$L$2:$L$1601,$AG196))</f>
        <v/>
      </c>
      <c r="L196">
        <f>IF($AG196="","",INDEX('TMP Paste'!$I$2:$I$1601,$AG196))</f>
        <v/>
      </c>
      <c r="M196">
        <f>IF($AG196="","",Config!$B$16)</f>
        <v/>
      </c>
      <c r="N196">
        <f>IF($AG196="","","")</f>
        <v/>
      </c>
      <c r="O196">
        <f>IF($AG196="","",INDEX('TMP Paste'!$K$2:$K$1601,$AG196))</f>
        <v/>
      </c>
      <c r="P196">
        <f>IF($AG196="","","")</f>
        <v/>
      </c>
      <c r="Q196">
        <f>IF($AG196="","",INDEX('TMP Paste'!$J$2:$J$1601,$AG196))</f>
        <v/>
      </c>
      <c r="R196">
        <f>IF($AG196="","",Config!$B$24)</f>
        <v/>
      </c>
      <c r="S196">
        <f>IF($AG196="","",TEXT(Config!$B$4,"yyyy-mm-dd"))</f>
        <v/>
      </c>
      <c r="T196">
        <f>IF($AG196="","",Config!$B$17)</f>
        <v/>
      </c>
      <c r="U196">
        <f>IF($AG196="","",Config!$B$18)</f>
        <v/>
      </c>
      <c r="V196">
        <f>IF($AG196="","",Config!$B$19)</f>
        <v/>
      </c>
      <c r="W196">
        <f>IF($AG196="","",INDEX('TMP Paste'!$C$2:$C$1601,$AG196))</f>
        <v/>
      </c>
      <c r="X196">
        <f>IF($AG196="","",Config!$B$29)</f>
        <v/>
      </c>
      <c r="Y196">
        <f>IF($AH196="","",INDEX(Calc!$I$2:$I$1601,$AH196)&amp;" - "&amp;INDEX(Calc!$D$2:$D$1601,$AH196)&amp;" koli")</f>
        <v/>
      </c>
      <c r="Z196">
        <f>IF($AG196="","",Config!$B$21)</f>
        <v/>
      </c>
      <c r="AA196">
        <f>IF($AG196="","",Config!$B$22)</f>
        <v/>
      </c>
      <c r="AB196">
        <f>IF($AH196="","",INDEX(Calc!$D$2:$D$1601,$AH196))</f>
        <v/>
      </c>
      <c r="AC196">
        <f>IF($AH196="","",INDEX(Calc!$G$2:$G$1601,$AH196))</f>
        <v/>
      </c>
      <c r="AD196">
        <f>IF($AG196="","",Config!$B$23)</f>
        <v/>
      </c>
      <c r="AE196">
        <f>IF($AG196="","",Config!$B$28)</f>
        <v/>
      </c>
      <c r="AG196">
        <f>IFERROR(MATCH(ROW()-1,Calc!$J$2:$J$1601,0),"")</f>
        <v/>
      </c>
      <c r="AH196">
        <f>IFERROR(MATCH(ROW()-1,Calc!$K$2:$K$1601,0),"")</f>
        <v/>
      </c>
      <c r="AI196">
        <f>IF($AG196="","",SUMIF($AG$2:$AG196,$AG196,$AH$2:$AH196))</f>
        <v/>
      </c>
      <c r="AJ196">
        <f>IF('TMP Paste'!$F196="","",IF('TMP Paste'!$B196="",$AJ195,'TMP Paste'!$B196))</f>
        <v/>
      </c>
      <c r="AK196">
        <f>IF('TMP Paste'!$F196="","",N('TMP Paste'!$G196))</f>
        <v/>
      </c>
      <c r="AL196">
        <f>IF('TMP Paste'!$F196="","",IF('TMP Paste'!$M196="",$AL195,'TMP Paste'!$M196))</f>
        <v/>
      </c>
      <c r="AM196">
        <f>IF('TMP Paste'!$F196="","",IF('TMP Paste'!$N196="",$AM195,'TMP Paste'!$N196))</f>
        <v/>
      </c>
      <c r="AN196">
        <f>IF('TMP Paste'!$F196="","",IF('TMP Paste'!$O196="",$AN195,'TMP Paste'!$O196))</f>
        <v/>
      </c>
      <c r="AO196">
        <f>IF('TMP Paste'!$F196="","",IF('TMP Paste'!$P196="",$AO195,'TMP Paste'!$P196))</f>
        <v/>
      </c>
      <c r="AP196">
        <f>IF($AG196="","",LEN($R196))</f>
        <v/>
      </c>
      <c r="AQ196">
        <f>IF($AG196="","",TRIM(IF(COUNTIFS(Calc!$B$2:$B$1601,ROW()-1,Calc!$C$2:$C$1601,"&lt;1")&gt;0,"Ada PO tanpa Koli - cek TMP. ","")&amp;IF(LEN($R196)&gt;500,"R &gt; 500 karakter.","")))</f>
        <v/>
      </c>
    </row>
    <row r="197">
      <c r="A197">
        <f>IF($AG197="","",INDEX('TMP Paste'!$B$2:$B$1601,$AG197))</f>
        <v/>
      </c>
      <c r="B197">
        <f>IF($AG197="","",Config!$B$14)</f>
        <v/>
      </c>
      <c r="C197">
        <f>IF($AG197="","",Config!$B$15)</f>
        <v/>
      </c>
      <c r="D197">
        <f>IF($AG197="","",INDEX('TMP Paste'!$B$2:$B$1601,$AG197))</f>
        <v/>
      </c>
      <c r="E197">
        <f>IF($AG197="","",Config!$B$27)</f>
        <v/>
      </c>
      <c r="F197">
        <f>IF($AG197="","",Config!$B$9)</f>
        <v/>
      </c>
      <c r="G197">
        <f>IF($AG197="","",Config!$B$10)</f>
        <v/>
      </c>
      <c r="H197">
        <f>IF($AG197="","",Config!$B$11)</f>
        <v/>
      </c>
      <c r="I197">
        <f>IF($AG197="","",Config!$B$16)</f>
        <v/>
      </c>
      <c r="J197">
        <f>IF($AG197="","",INDEX('TMP Paste'!$A$2:$A$1601,$AG197))</f>
        <v/>
      </c>
      <c r="K197">
        <f>IF($AG197="","",INDEX('TMP Paste'!$L$2:$L$1601,$AG197))</f>
        <v/>
      </c>
      <c r="L197">
        <f>IF($AG197="","",INDEX('TMP Paste'!$I$2:$I$1601,$AG197))</f>
        <v/>
      </c>
      <c r="M197">
        <f>IF($AG197="","",Config!$B$16)</f>
        <v/>
      </c>
      <c r="N197">
        <f>IF($AG197="","","")</f>
        <v/>
      </c>
      <c r="O197">
        <f>IF($AG197="","",INDEX('TMP Paste'!$K$2:$K$1601,$AG197))</f>
        <v/>
      </c>
      <c r="P197">
        <f>IF($AG197="","","")</f>
        <v/>
      </c>
      <c r="Q197">
        <f>IF($AG197="","",INDEX('TMP Paste'!$J$2:$J$1601,$AG197))</f>
        <v/>
      </c>
      <c r="R197">
        <f>IF($AG197="","",Config!$B$24)</f>
        <v/>
      </c>
      <c r="S197">
        <f>IF($AG197="","",TEXT(Config!$B$4,"yyyy-mm-dd"))</f>
        <v/>
      </c>
      <c r="T197">
        <f>IF($AG197="","",Config!$B$17)</f>
        <v/>
      </c>
      <c r="U197">
        <f>IF($AG197="","",Config!$B$18)</f>
        <v/>
      </c>
      <c r="V197">
        <f>IF($AG197="","",Config!$B$19)</f>
        <v/>
      </c>
      <c r="W197">
        <f>IF($AG197="","",INDEX('TMP Paste'!$C$2:$C$1601,$AG197))</f>
        <v/>
      </c>
      <c r="X197">
        <f>IF($AG197="","",Config!$B$29)</f>
        <v/>
      </c>
      <c r="Y197">
        <f>IF($AH197="","",INDEX(Calc!$I$2:$I$1601,$AH197)&amp;" - "&amp;INDEX(Calc!$D$2:$D$1601,$AH197)&amp;" koli")</f>
        <v/>
      </c>
      <c r="Z197">
        <f>IF($AG197="","",Config!$B$21)</f>
        <v/>
      </c>
      <c r="AA197">
        <f>IF($AG197="","",Config!$B$22)</f>
        <v/>
      </c>
      <c r="AB197">
        <f>IF($AH197="","",INDEX(Calc!$D$2:$D$1601,$AH197))</f>
        <v/>
      </c>
      <c r="AC197">
        <f>IF($AH197="","",INDEX(Calc!$G$2:$G$1601,$AH197))</f>
        <v/>
      </c>
      <c r="AD197">
        <f>IF($AG197="","",Config!$B$23)</f>
        <v/>
      </c>
      <c r="AE197">
        <f>IF($AG197="","",Config!$B$28)</f>
        <v/>
      </c>
      <c r="AG197">
        <f>IFERROR(MATCH(ROW()-1,Calc!$J$2:$J$1601,0),"")</f>
        <v/>
      </c>
      <c r="AH197">
        <f>IFERROR(MATCH(ROW()-1,Calc!$K$2:$K$1601,0),"")</f>
        <v/>
      </c>
      <c r="AI197">
        <f>IF($AG197="","",SUMIF($AG$2:$AG197,$AG197,$AH$2:$AH197))</f>
        <v/>
      </c>
      <c r="AJ197">
        <f>IF('TMP Paste'!$F197="","",IF('TMP Paste'!$B197="",$AJ196,'TMP Paste'!$B197))</f>
        <v/>
      </c>
      <c r="AK197">
        <f>IF('TMP Paste'!$F197="","",N('TMP Paste'!$G197))</f>
        <v/>
      </c>
      <c r="AL197">
        <f>IF('TMP Paste'!$F197="","",IF('TMP Paste'!$M197="",$AL196,'TMP Paste'!$M197))</f>
        <v/>
      </c>
      <c r="AM197">
        <f>IF('TMP Paste'!$F197="","",IF('TMP Paste'!$N197="",$AM196,'TMP Paste'!$N197))</f>
        <v/>
      </c>
      <c r="AN197">
        <f>IF('TMP Paste'!$F197="","",IF('TMP Paste'!$O197="",$AN196,'TMP Paste'!$O197))</f>
        <v/>
      </c>
      <c r="AO197">
        <f>IF('TMP Paste'!$F197="","",IF('TMP Paste'!$P197="",$AO196,'TMP Paste'!$P197))</f>
        <v/>
      </c>
      <c r="AP197">
        <f>IF($AG197="","",LEN($R197))</f>
        <v/>
      </c>
      <c r="AQ197">
        <f>IF($AG197="","",TRIM(IF(COUNTIFS(Calc!$B$2:$B$1601,ROW()-1,Calc!$C$2:$C$1601,"&lt;1")&gt;0,"Ada PO tanpa Koli - cek TMP. ","")&amp;IF(LEN($R197)&gt;500,"R &gt; 500 karakter.","")))</f>
        <v/>
      </c>
    </row>
    <row r="198">
      <c r="A198">
        <f>IF($AG198="","",INDEX('TMP Paste'!$B$2:$B$1601,$AG198))</f>
        <v/>
      </c>
      <c r="B198">
        <f>IF($AG198="","",Config!$B$14)</f>
        <v/>
      </c>
      <c r="C198">
        <f>IF($AG198="","",Config!$B$15)</f>
        <v/>
      </c>
      <c r="D198">
        <f>IF($AG198="","",INDEX('TMP Paste'!$B$2:$B$1601,$AG198))</f>
        <v/>
      </c>
      <c r="E198">
        <f>IF($AG198="","",Config!$B$27)</f>
        <v/>
      </c>
      <c r="F198">
        <f>IF($AG198="","",Config!$B$9)</f>
        <v/>
      </c>
      <c r="G198">
        <f>IF($AG198="","",Config!$B$10)</f>
        <v/>
      </c>
      <c r="H198">
        <f>IF($AG198="","",Config!$B$11)</f>
        <v/>
      </c>
      <c r="I198">
        <f>IF($AG198="","",Config!$B$16)</f>
        <v/>
      </c>
      <c r="J198">
        <f>IF($AG198="","",INDEX('TMP Paste'!$A$2:$A$1601,$AG198))</f>
        <v/>
      </c>
      <c r="K198">
        <f>IF($AG198="","",INDEX('TMP Paste'!$L$2:$L$1601,$AG198))</f>
        <v/>
      </c>
      <c r="L198">
        <f>IF($AG198="","",INDEX('TMP Paste'!$I$2:$I$1601,$AG198))</f>
        <v/>
      </c>
      <c r="M198">
        <f>IF($AG198="","",Config!$B$16)</f>
        <v/>
      </c>
      <c r="N198">
        <f>IF($AG198="","","")</f>
        <v/>
      </c>
      <c r="O198">
        <f>IF($AG198="","",INDEX('TMP Paste'!$K$2:$K$1601,$AG198))</f>
        <v/>
      </c>
      <c r="P198">
        <f>IF($AG198="","","")</f>
        <v/>
      </c>
      <c r="Q198">
        <f>IF($AG198="","",INDEX('TMP Paste'!$J$2:$J$1601,$AG198))</f>
        <v/>
      </c>
      <c r="R198">
        <f>IF($AG198="","",Config!$B$24)</f>
        <v/>
      </c>
      <c r="S198">
        <f>IF($AG198="","",TEXT(Config!$B$4,"yyyy-mm-dd"))</f>
        <v/>
      </c>
      <c r="T198">
        <f>IF($AG198="","",Config!$B$17)</f>
        <v/>
      </c>
      <c r="U198">
        <f>IF($AG198="","",Config!$B$18)</f>
        <v/>
      </c>
      <c r="V198">
        <f>IF($AG198="","",Config!$B$19)</f>
        <v/>
      </c>
      <c r="W198">
        <f>IF($AG198="","",INDEX('TMP Paste'!$C$2:$C$1601,$AG198))</f>
        <v/>
      </c>
      <c r="X198">
        <f>IF($AG198="","",Config!$B$29)</f>
        <v/>
      </c>
      <c r="Y198">
        <f>IF($AH198="","",INDEX(Calc!$I$2:$I$1601,$AH198)&amp;" - "&amp;INDEX(Calc!$D$2:$D$1601,$AH198)&amp;" koli")</f>
        <v/>
      </c>
      <c r="Z198">
        <f>IF($AG198="","",Config!$B$21)</f>
        <v/>
      </c>
      <c r="AA198">
        <f>IF($AG198="","",Config!$B$22)</f>
        <v/>
      </c>
      <c r="AB198">
        <f>IF($AH198="","",INDEX(Calc!$D$2:$D$1601,$AH198))</f>
        <v/>
      </c>
      <c r="AC198">
        <f>IF($AH198="","",INDEX(Calc!$G$2:$G$1601,$AH198))</f>
        <v/>
      </c>
      <c r="AD198">
        <f>IF($AG198="","",Config!$B$23)</f>
        <v/>
      </c>
      <c r="AE198">
        <f>IF($AG198="","",Config!$B$28)</f>
        <v/>
      </c>
      <c r="AG198">
        <f>IFERROR(MATCH(ROW()-1,Calc!$J$2:$J$1601,0),"")</f>
        <v/>
      </c>
      <c r="AH198">
        <f>IFERROR(MATCH(ROW()-1,Calc!$K$2:$K$1601,0),"")</f>
        <v/>
      </c>
      <c r="AI198">
        <f>IF($AG198="","",SUMIF($AG$2:$AG198,$AG198,$AH$2:$AH198))</f>
        <v/>
      </c>
      <c r="AJ198">
        <f>IF('TMP Paste'!$F198="","",IF('TMP Paste'!$B198="",$AJ197,'TMP Paste'!$B198))</f>
        <v/>
      </c>
      <c r="AK198">
        <f>IF('TMP Paste'!$F198="","",N('TMP Paste'!$G198))</f>
        <v/>
      </c>
      <c r="AL198">
        <f>IF('TMP Paste'!$F198="","",IF('TMP Paste'!$M198="",$AL197,'TMP Paste'!$M198))</f>
        <v/>
      </c>
      <c r="AM198">
        <f>IF('TMP Paste'!$F198="","",IF('TMP Paste'!$N198="",$AM197,'TMP Paste'!$N198))</f>
        <v/>
      </c>
      <c r="AN198">
        <f>IF('TMP Paste'!$F198="","",IF('TMP Paste'!$O198="",$AN197,'TMP Paste'!$O198))</f>
        <v/>
      </c>
      <c r="AO198">
        <f>IF('TMP Paste'!$F198="","",IF('TMP Paste'!$P198="",$AO197,'TMP Paste'!$P198))</f>
        <v/>
      </c>
      <c r="AP198">
        <f>IF($AG198="","",LEN($R198))</f>
        <v/>
      </c>
      <c r="AQ198">
        <f>IF($AG198="","",TRIM(IF(COUNTIFS(Calc!$B$2:$B$1601,ROW()-1,Calc!$C$2:$C$1601,"&lt;1")&gt;0,"Ada PO tanpa Koli - cek TMP. ","")&amp;IF(LEN($R198)&gt;500,"R &gt; 500 karakter.","")))</f>
        <v/>
      </c>
    </row>
    <row r="199">
      <c r="A199">
        <f>IF($AG199="","",INDEX('TMP Paste'!$B$2:$B$1601,$AG199))</f>
        <v/>
      </c>
      <c r="B199">
        <f>IF($AG199="","",Config!$B$14)</f>
        <v/>
      </c>
      <c r="C199">
        <f>IF($AG199="","",Config!$B$15)</f>
        <v/>
      </c>
      <c r="D199">
        <f>IF($AG199="","",INDEX('TMP Paste'!$B$2:$B$1601,$AG199))</f>
        <v/>
      </c>
      <c r="E199">
        <f>IF($AG199="","",Config!$B$27)</f>
        <v/>
      </c>
      <c r="F199">
        <f>IF($AG199="","",Config!$B$9)</f>
        <v/>
      </c>
      <c r="G199">
        <f>IF($AG199="","",Config!$B$10)</f>
        <v/>
      </c>
      <c r="H199">
        <f>IF($AG199="","",Config!$B$11)</f>
        <v/>
      </c>
      <c r="I199">
        <f>IF($AG199="","",Config!$B$16)</f>
        <v/>
      </c>
      <c r="J199">
        <f>IF($AG199="","",INDEX('TMP Paste'!$A$2:$A$1601,$AG199))</f>
        <v/>
      </c>
      <c r="K199">
        <f>IF($AG199="","",INDEX('TMP Paste'!$L$2:$L$1601,$AG199))</f>
        <v/>
      </c>
      <c r="L199">
        <f>IF($AG199="","",INDEX('TMP Paste'!$I$2:$I$1601,$AG199))</f>
        <v/>
      </c>
      <c r="M199">
        <f>IF($AG199="","",Config!$B$16)</f>
        <v/>
      </c>
      <c r="N199">
        <f>IF($AG199="","","")</f>
        <v/>
      </c>
      <c r="O199">
        <f>IF($AG199="","",INDEX('TMP Paste'!$K$2:$K$1601,$AG199))</f>
        <v/>
      </c>
      <c r="P199">
        <f>IF($AG199="","","")</f>
        <v/>
      </c>
      <c r="Q199">
        <f>IF($AG199="","",INDEX('TMP Paste'!$J$2:$J$1601,$AG199))</f>
        <v/>
      </c>
      <c r="R199">
        <f>IF($AG199="","",Config!$B$24)</f>
        <v/>
      </c>
      <c r="S199">
        <f>IF($AG199="","",TEXT(Config!$B$4,"yyyy-mm-dd"))</f>
        <v/>
      </c>
      <c r="T199">
        <f>IF($AG199="","",Config!$B$17)</f>
        <v/>
      </c>
      <c r="U199">
        <f>IF($AG199="","",Config!$B$18)</f>
        <v/>
      </c>
      <c r="V199">
        <f>IF($AG199="","",Config!$B$19)</f>
        <v/>
      </c>
      <c r="W199">
        <f>IF($AG199="","",INDEX('TMP Paste'!$C$2:$C$1601,$AG199))</f>
        <v/>
      </c>
      <c r="X199">
        <f>IF($AG199="","",Config!$B$29)</f>
        <v/>
      </c>
      <c r="Y199">
        <f>IF($AH199="","",INDEX(Calc!$I$2:$I$1601,$AH199)&amp;" - "&amp;INDEX(Calc!$D$2:$D$1601,$AH199)&amp;" koli")</f>
        <v/>
      </c>
      <c r="Z199">
        <f>IF($AG199="","",Config!$B$21)</f>
        <v/>
      </c>
      <c r="AA199">
        <f>IF($AG199="","",Config!$B$22)</f>
        <v/>
      </c>
      <c r="AB199">
        <f>IF($AH199="","",INDEX(Calc!$D$2:$D$1601,$AH199))</f>
        <v/>
      </c>
      <c r="AC199">
        <f>IF($AH199="","",INDEX(Calc!$G$2:$G$1601,$AH199))</f>
        <v/>
      </c>
      <c r="AD199">
        <f>IF($AG199="","",Config!$B$23)</f>
        <v/>
      </c>
      <c r="AE199">
        <f>IF($AG199="","",Config!$B$28)</f>
        <v/>
      </c>
      <c r="AG199">
        <f>IFERROR(MATCH(ROW()-1,Calc!$J$2:$J$1601,0),"")</f>
        <v/>
      </c>
      <c r="AH199">
        <f>IFERROR(MATCH(ROW()-1,Calc!$K$2:$K$1601,0),"")</f>
        <v/>
      </c>
      <c r="AI199">
        <f>IF($AG199="","",SUMIF($AG$2:$AG199,$AG199,$AH$2:$AH199))</f>
        <v/>
      </c>
      <c r="AJ199">
        <f>IF('TMP Paste'!$F199="","",IF('TMP Paste'!$B199="",$AJ198,'TMP Paste'!$B199))</f>
        <v/>
      </c>
      <c r="AK199">
        <f>IF('TMP Paste'!$F199="","",N('TMP Paste'!$G199))</f>
        <v/>
      </c>
      <c r="AL199">
        <f>IF('TMP Paste'!$F199="","",IF('TMP Paste'!$M199="",$AL198,'TMP Paste'!$M199))</f>
        <v/>
      </c>
      <c r="AM199">
        <f>IF('TMP Paste'!$F199="","",IF('TMP Paste'!$N199="",$AM198,'TMP Paste'!$N199))</f>
        <v/>
      </c>
      <c r="AN199">
        <f>IF('TMP Paste'!$F199="","",IF('TMP Paste'!$O199="",$AN198,'TMP Paste'!$O199))</f>
        <v/>
      </c>
      <c r="AO199">
        <f>IF('TMP Paste'!$F199="","",IF('TMP Paste'!$P199="",$AO198,'TMP Paste'!$P199))</f>
        <v/>
      </c>
      <c r="AP199">
        <f>IF($AG199="","",LEN($R199))</f>
        <v/>
      </c>
      <c r="AQ199">
        <f>IF($AG199="","",TRIM(IF(COUNTIFS(Calc!$B$2:$B$1601,ROW()-1,Calc!$C$2:$C$1601,"&lt;1")&gt;0,"Ada PO tanpa Koli - cek TMP. ","")&amp;IF(LEN($R199)&gt;500,"R &gt; 500 karakter.","")))</f>
        <v/>
      </c>
    </row>
    <row r="200">
      <c r="A200">
        <f>IF($AG200="","",INDEX('TMP Paste'!$B$2:$B$1601,$AG200))</f>
        <v/>
      </c>
      <c r="B200">
        <f>IF($AG200="","",Config!$B$14)</f>
        <v/>
      </c>
      <c r="C200">
        <f>IF($AG200="","",Config!$B$15)</f>
        <v/>
      </c>
      <c r="D200">
        <f>IF($AG200="","",INDEX('TMP Paste'!$B$2:$B$1601,$AG200))</f>
        <v/>
      </c>
      <c r="E200">
        <f>IF($AG200="","",Config!$B$27)</f>
        <v/>
      </c>
      <c r="F200">
        <f>IF($AG200="","",Config!$B$9)</f>
        <v/>
      </c>
      <c r="G200">
        <f>IF($AG200="","",Config!$B$10)</f>
        <v/>
      </c>
      <c r="H200">
        <f>IF($AG200="","",Config!$B$11)</f>
        <v/>
      </c>
      <c r="I200">
        <f>IF($AG200="","",Config!$B$16)</f>
        <v/>
      </c>
      <c r="J200">
        <f>IF($AG200="","",INDEX('TMP Paste'!$A$2:$A$1601,$AG200))</f>
        <v/>
      </c>
      <c r="K200">
        <f>IF($AG200="","",INDEX('TMP Paste'!$L$2:$L$1601,$AG200))</f>
        <v/>
      </c>
      <c r="L200">
        <f>IF($AG200="","",INDEX('TMP Paste'!$I$2:$I$1601,$AG200))</f>
        <v/>
      </c>
      <c r="M200">
        <f>IF($AG200="","",Config!$B$16)</f>
        <v/>
      </c>
      <c r="N200">
        <f>IF($AG200="","","")</f>
        <v/>
      </c>
      <c r="O200">
        <f>IF($AG200="","",INDEX('TMP Paste'!$K$2:$K$1601,$AG200))</f>
        <v/>
      </c>
      <c r="P200">
        <f>IF($AG200="","","")</f>
        <v/>
      </c>
      <c r="Q200">
        <f>IF($AG200="","",INDEX('TMP Paste'!$J$2:$J$1601,$AG200))</f>
        <v/>
      </c>
      <c r="R200">
        <f>IF($AG200="","",Config!$B$24)</f>
        <v/>
      </c>
      <c r="S200">
        <f>IF($AG200="","",TEXT(Config!$B$4,"yyyy-mm-dd"))</f>
        <v/>
      </c>
      <c r="T200">
        <f>IF($AG200="","",Config!$B$17)</f>
        <v/>
      </c>
      <c r="U200">
        <f>IF($AG200="","",Config!$B$18)</f>
        <v/>
      </c>
      <c r="V200">
        <f>IF($AG200="","",Config!$B$19)</f>
        <v/>
      </c>
      <c r="W200">
        <f>IF($AG200="","",INDEX('TMP Paste'!$C$2:$C$1601,$AG200))</f>
        <v/>
      </c>
      <c r="X200">
        <f>IF($AG200="","",Config!$B$29)</f>
        <v/>
      </c>
      <c r="Y200">
        <f>IF($AH200="","",INDEX(Calc!$I$2:$I$1601,$AH200)&amp;" - "&amp;INDEX(Calc!$D$2:$D$1601,$AH200)&amp;" koli")</f>
        <v/>
      </c>
      <c r="Z200">
        <f>IF($AG200="","",Config!$B$21)</f>
        <v/>
      </c>
      <c r="AA200">
        <f>IF($AG200="","",Config!$B$22)</f>
        <v/>
      </c>
      <c r="AB200">
        <f>IF($AH200="","",INDEX(Calc!$D$2:$D$1601,$AH200))</f>
        <v/>
      </c>
      <c r="AC200">
        <f>IF($AH200="","",INDEX(Calc!$G$2:$G$1601,$AH200))</f>
        <v/>
      </c>
      <c r="AD200">
        <f>IF($AG200="","",Config!$B$23)</f>
        <v/>
      </c>
      <c r="AE200">
        <f>IF($AG200="","",Config!$B$28)</f>
        <v/>
      </c>
      <c r="AG200">
        <f>IFERROR(MATCH(ROW()-1,Calc!$J$2:$J$1601,0),"")</f>
        <v/>
      </c>
      <c r="AH200">
        <f>IFERROR(MATCH(ROW()-1,Calc!$K$2:$K$1601,0),"")</f>
        <v/>
      </c>
      <c r="AI200">
        <f>IF($AG200="","",SUMIF($AG$2:$AG200,$AG200,$AH$2:$AH200))</f>
        <v/>
      </c>
      <c r="AJ200">
        <f>IF('TMP Paste'!$F200="","",IF('TMP Paste'!$B200="",$AJ199,'TMP Paste'!$B200))</f>
        <v/>
      </c>
      <c r="AK200">
        <f>IF('TMP Paste'!$F200="","",N('TMP Paste'!$G200))</f>
        <v/>
      </c>
      <c r="AL200">
        <f>IF('TMP Paste'!$F200="","",IF('TMP Paste'!$M200="",$AL199,'TMP Paste'!$M200))</f>
        <v/>
      </c>
      <c r="AM200">
        <f>IF('TMP Paste'!$F200="","",IF('TMP Paste'!$N200="",$AM199,'TMP Paste'!$N200))</f>
        <v/>
      </c>
      <c r="AN200">
        <f>IF('TMP Paste'!$F200="","",IF('TMP Paste'!$O200="",$AN199,'TMP Paste'!$O200))</f>
        <v/>
      </c>
      <c r="AO200">
        <f>IF('TMP Paste'!$F200="","",IF('TMP Paste'!$P200="",$AO199,'TMP Paste'!$P200))</f>
        <v/>
      </c>
      <c r="AP200">
        <f>IF($AG200="","",LEN($R200))</f>
        <v/>
      </c>
      <c r="AQ200">
        <f>IF($AG200="","",TRIM(IF(COUNTIFS(Calc!$B$2:$B$1601,ROW()-1,Calc!$C$2:$C$1601,"&lt;1")&gt;0,"Ada PO tanpa Koli - cek TMP. ","")&amp;IF(LEN($R200)&gt;500,"R &gt; 500 karakter.","")))</f>
        <v/>
      </c>
    </row>
    <row r="201">
      <c r="A201">
        <f>IF($AG201="","",INDEX('TMP Paste'!$B$2:$B$1601,$AG201))</f>
        <v/>
      </c>
      <c r="B201">
        <f>IF($AG201="","",Config!$B$14)</f>
        <v/>
      </c>
      <c r="C201">
        <f>IF($AG201="","",Config!$B$15)</f>
        <v/>
      </c>
      <c r="D201">
        <f>IF($AG201="","",INDEX('TMP Paste'!$B$2:$B$1601,$AG201))</f>
        <v/>
      </c>
      <c r="E201">
        <f>IF($AG201="","",Config!$B$27)</f>
        <v/>
      </c>
      <c r="F201">
        <f>IF($AG201="","",Config!$B$9)</f>
        <v/>
      </c>
      <c r="G201">
        <f>IF($AG201="","",Config!$B$10)</f>
        <v/>
      </c>
      <c r="H201">
        <f>IF($AG201="","",Config!$B$11)</f>
        <v/>
      </c>
      <c r="I201">
        <f>IF($AG201="","",Config!$B$16)</f>
        <v/>
      </c>
      <c r="J201">
        <f>IF($AG201="","",INDEX('TMP Paste'!$A$2:$A$1601,$AG201))</f>
        <v/>
      </c>
      <c r="K201">
        <f>IF($AG201="","",INDEX('TMP Paste'!$L$2:$L$1601,$AG201))</f>
        <v/>
      </c>
      <c r="L201">
        <f>IF($AG201="","",INDEX('TMP Paste'!$I$2:$I$1601,$AG201))</f>
        <v/>
      </c>
      <c r="M201">
        <f>IF($AG201="","",Config!$B$16)</f>
        <v/>
      </c>
      <c r="N201">
        <f>IF($AG201="","","")</f>
        <v/>
      </c>
      <c r="O201">
        <f>IF($AG201="","",INDEX('TMP Paste'!$K$2:$K$1601,$AG201))</f>
        <v/>
      </c>
      <c r="P201">
        <f>IF($AG201="","","")</f>
        <v/>
      </c>
      <c r="Q201">
        <f>IF($AG201="","",INDEX('TMP Paste'!$J$2:$J$1601,$AG201))</f>
        <v/>
      </c>
      <c r="R201">
        <f>IF($AG201="","",Config!$B$24)</f>
        <v/>
      </c>
      <c r="S201">
        <f>IF($AG201="","",TEXT(Config!$B$4,"yyyy-mm-dd"))</f>
        <v/>
      </c>
      <c r="T201">
        <f>IF($AG201="","",Config!$B$17)</f>
        <v/>
      </c>
      <c r="U201">
        <f>IF($AG201="","",Config!$B$18)</f>
        <v/>
      </c>
      <c r="V201">
        <f>IF($AG201="","",Config!$B$19)</f>
        <v/>
      </c>
      <c r="W201">
        <f>IF($AG201="","",INDEX('TMP Paste'!$C$2:$C$1601,$AG201))</f>
        <v/>
      </c>
      <c r="X201">
        <f>IF($AG201="","",Config!$B$29)</f>
        <v/>
      </c>
      <c r="Y201">
        <f>IF($AH201="","",INDEX(Calc!$I$2:$I$1601,$AH201)&amp;" - "&amp;INDEX(Calc!$D$2:$D$1601,$AH201)&amp;" koli")</f>
        <v/>
      </c>
      <c r="Z201">
        <f>IF($AG201="","",Config!$B$21)</f>
        <v/>
      </c>
      <c r="AA201">
        <f>IF($AG201="","",Config!$B$22)</f>
        <v/>
      </c>
      <c r="AB201">
        <f>IF($AH201="","",INDEX(Calc!$D$2:$D$1601,$AH201))</f>
        <v/>
      </c>
      <c r="AC201">
        <f>IF($AH201="","",INDEX(Calc!$G$2:$G$1601,$AH201))</f>
        <v/>
      </c>
      <c r="AD201">
        <f>IF($AG201="","",Config!$B$23)</f>
        <v/>
      </c>
      <c r="AE201">
        <f>IF($AG201="","",Config!$B$28)</f>
        <v/>
      </c>
      <c r="AG201">
        <f>IFERROR(MATCH(ROW()-1,Calc!$J$2:$J$1601,0),"")</f>
        <v/>
      </c>
      <c r="AH201">
        <f>IFERROR(MATCH(ROW()-1,Calc!$K$2:$K$1601,0),"")</f>
        <v/>
      </c>
      <c r="AI201">
        <f>IF($AG201="","",SUMIF($AG$2:$AG201,$AG201,$AH$2:$AH201))</f>
        <v/>
      </c>
      <c r="AJ201">
        <f>IF('TMP Paste'!$F201="","",IF('TMP Paste'!$B201="",$AJ200,'TMP Paste'!$B201))</f>
        <v/>
      </c>
      <c r="AK201">
        <f>IF('TMP Paste'!$F201="","",N('TMP Paste'!$G201))</f>
        <v/>
      </c>
      <c r="AL201">
        <f>IF('TMP Paste'!$F201="","",IF('TMP Paste'!$M201="",$AL200,'TMP Paste'!$M201))</f>
        <v/>
      </c>
      <c r="AM201">
        <f>IF('TMP Paste'!$F201="","",IF('TMP Paste'!$N201="",$AM200,'TMP Paste'!$N201))</f>
        <v/>
      </c>
      <c r="AN201">
        <f>IF('TMP Paste'!$F201="","",IF('TMP Paste'!$O201="",$AN200,'TMP Paste'!$O201))</f>
        <v/>
      </c>
      <c r="AO201">
        <f>IF('TMP Paste'!$F201="","",IF('TMP Paste'!$P201="",$AO200,'TMP Paste'!$P201))</f>
        <v/>
      </c>
      <c r="AP201">
        <f>IF($AG201="","",LEN($R201))</f>
        <v/>
      </c>
      <c r="AQ201">
        <f>IF($AG201="","",TRIM(IF(COUNTIFS(Calc!$B$2:$B$1601,ROW()-1,Calc!$C$2:$C$1601,"&lt;1")&gt;0,"Ada PO tanpa Koli - cek TMP. ","")&amp;IF(LEN($R201)&gt;500,"R &gt; 500 karakter.","")))</f>
        <v/>
      </c>
    </row>
    <row r="202">
      <c r="A202">
        <f>IF($AG202="","",INDEX('TMP Paste'!$B$2:$B$1601,$AG202))</f>
        <v/>
      </c>
      <c r="B202">
        <f>IF($AG202="","",Config!$B$14)</f>
        <v/>
      </c>
      <c r="C202">
        <f>IF($AG202="","",Config!$B$15)</f>
        <v/>
      </c>
      <c r="D202">
        <f>IF($AG202="","",INDEX('TMP Paste'!$B$2:$B$1601,$AG202))</f>
        <v/>
      </c>
      <c r="E202">
        <f>IF($AG202="","",Config!$B$27)</f>
        <v/>
      </c>
      <c r="F202">
        <f>IF($AG202="","",Config!$B$9)</f>
        <v/>
      </c>
      <c r="G202">
        <f>IF($AG202="","",Config!$B$10)</f>
        <v/>
      </c>
      <c r="H202">
        <f>IF($AG202="","",Config!$B$11)</f>
        <v/>
      </c>
      <c r="I202">
        <f>IF($AG202="","",Config!$B$16)</f>
        <v/>
      </c>
      <c r="J202">
        <f>IF($AG202="","",INDEX('TMP Paste'!$A$2:$A$1601,$AG202))</f>
        <v/>
      </c>
      <c r="K202">
        <f>IF($AG202="","",INDEX('TMP Paste'!$L$2:$L$1601,$AG202))</f>
        <v/>
      </c>
      <c r="L202">
        <f>IF($AG202="","",INDEX('TMP Paste'!$I$2:$I$1601,$AG202))</f>
        <v/>
      </c>
      <c r="M202">
        <f>IF($AG202="","",Config!$B$16)</f>
        <v/>
      </c>
      <c r="N202">
        <f>IF($AG202="","","")</f>
        <v/>
      </c>
      <c r="O202">
        <f>IF($AG202="","",INDEX('TMP Paste'!$K$2:$K$1601,$AG202))</f>
        <v/>
      </c>
      <c r="P202">
        <f>IF($AG202="","","")</f>
        <v/>
      </c>
      <c r="Q202">
        <f>IF($AG202="","",INDEX('TMP Paste'!$J$2:$J$1601,$AG202))</f>
        <v/>
      </c>
      <c r="R202">
        <f>IF($AG202="","",Config!$B$24)</f>
        <v/>
      </c>
      <c r="S202">
        <f>IF($AG202="","",TEXT(Config!$B$4,"yyyy-mm-dd"))</f>
        <v/>
      </c>
      <c r="T202">
        <f>IF($AG202="","",Config!$B$17)</f>
        <v/>
      </c>
      <c r="U202">
        <f>IF($AG202="","",Config!$B$18)</f>
        <v/>
      </c>
      <c r="V202">
        <f>IF($AG202="","",Config!$B$19)</f>
        <v/>
      </c>
      <c r="W202">
        <f>IF($AG202="","",INDEX('TMP Paste'!$C$2:$C$1601,$AG202))</f>
        <v/>
      </c>
      <c r="X202">
        <f>IF($AG202="","",Config!$B$29)</f>
        <v/>
      </c>
      <c r="Y202">
        <f>IF($AH202="","",INDEX(Calc!$I$2:$I$1601,$AH202)&amp;" - "&amp;INDEX(Calc!$D$2:$D$1601,$AH202)&amp;" koli")</f>
        <v/>
      </c>
      <c r="Z202">
        <f>IF($AG202="","",Config!$B$21)</f>
        <v/>
      </c>
      <c r="AA202">
        <f>IF($AG202="","",Config!$B$22)</f>
        <v/>
      </c>
      <c r="AB202">
        <f>IF($AH202="","",INDEX(Calc!$D$2:$D$1601,$AH202))</f>
        <v/>
      </c>
      <c r="AC202">
        <f>IF($AH202="","",INDEX(Calc!$G$2:$G$1601,$AH202))</f>
        <v/>
      </c>
      <c r="AD202">
        <f>IF($AG202="","",Config!$B$23)</f>
        <v/>
      </c>
      <c r="AE202">
        <f>IF($AG202="","",Config!$B$28)</f>
        <v/>
      </c>
      <c r="AG202">
        <f>IFERROR(MATCH(ROW()-1,Calc!$J$2:$J$1601,0),"")</f>
        <v/>
      </c>
      <c r="AH202">
        <f>IFERROR(MATCH(ROW()-1,Calc!$K$2:$K$1601,0),"")</f>
        <v/>
      </c>
      <c r="AI202">
        <f>IF($AG202="","",SUMIF($AG$2:$AG202,$AG202,$AH$2:$AH202))</f>
        <v/>
      </c>
      <c r="AJ202">
        <f>IF('TMP Paste'!$F202="","",IF('TMP Paste'!$B202="",$AJ201,'TMP Paste'!$B202))</f>
        <v/>
      </c>
      <c r="AK202">
        <f>IF('TMP Paste'!$F202="","",N('TMP Paste'!$G202))</f>
        <v/>
      </c>
      <c r="AL202">
        <f>IF('TMP Paste'!$F202="","",IF('TMP Paste'!$M202="",$AL201,'TMP Paste'!$M202))</f>
        <v/>
      </c>
      <c r="AM202">
        <f>IF('TMP Paste'!$F202="","",IF('TMP Paste'!$N202="",$AM201,'TMP Paste'!$N202))</f>
        <v/>
      </c>
      <c r="AN202">
        <f>IF('TMP Paste'!$F202="","",IF('TMP Paste'!$O202="",$AN201,'TMP Paste'!$O202))</f>
        <v/>
      </c>
      <c r="AO202">
        <f>IF('TMP Paste'!$F202="","",IF('TMP Paste'!$P202="",$AO201,'TMP Paste'!$P202))</f>
        <v/>
      </c>
      <c r="AP202">
        <f>IF($AG202="","",LEN($R202))</f>
        <v/>
      </c>
      <c r="AQ202">
        <f>IF($AG202="","",TRIM(IF(COUNTIFS(Calc!$B$2:$B$1601,ROW()-1,Calc!$C$2:$C$1601,"&lt;1")&gt;0,"Ada PO tanpa Koli - cek TMP. ","")&amp;IF(LEN($R202)&gt;500,"R &gt; 500 karakter.","")))</f>
        <v/>
      </c>
    </row>
    <row r="203">
      <c r="A203">
        <f>IF($AG203="","",INDEX('TMP Paste'!$B$2:$B$1601,$AG203))</f>
        <v/>
      </c>
      <c r="B203">
        <f>IF($AG203="","",Config!$B$14)</f>
        <v/>
      </c>
      <c r="C203">
        <f>IF($AG203="","",Config!$B$15)</f>
        <v/>
      </c>
      <c r="D203">
        <f>IF($AG203="","",INDEX('TMP Paste'!$B$2:$B$1601,$AG203))</f>
        <v/>
      </c>
      <c r="E203">
        <f>IF($AG203="","",Config!$B$27)</f>
        <v/>
      </c>
      <c r="F203">
        <f>IF($AG203="","",Config!$B$9)</f>
        <v/>
      </c>
      <c r="G203">
        <f>IF($AG203="","",Config!$B$10)</f>
        <v/>
      </c>
      <c r="H203">
        <f>IF($AG203="","",Config!$B$11)</f>
        <v/>
      </c>
      <c r="I203">
        <f>IF($AG203="","",Config!$B$16)</f>
        <v/>
      </c>
      <c r="J203">
        <f>IF($AG203="","",INDEX('TMP Paste'!$A$2:$A$1601,$AG203))</f>
        <v/>
      </c>
      <c r="K203">
        <f>IF($AG203="","",INDEX('TMP Paste'!$L$2:$L$1601,$AG203))</f>
        <v/>
      </c>
      <c r="L203">
        <f>IF($AG203="","",INDEX('TMP Paste'!$I$2:$I$1601,$AG203))</f>
        <v/>
      </c>
      <c r="M203">
        <f>IF($AG203="","",Config!$B$16)</f>
        <v/>
      </c>
      <c r="N203">
        <f>IF($AG203="","","")</f>
        <v/>
      </c>
      <c r="O203">
        <f>IF($AG203="","",INDEX('TMP Paste'!$K$2:$K$1601,$AG203))</f>
        <v/>
      </c>
      <c r="P203">
        <f>IF($AG203="","","")</f>
        <v/>
      </c>
      <c r="Q203">
        <f>IF($AG203="","",INDEX('TMP Paste'!$J$2:$J$1601,$AG203))</f>
        <v/>
      </c>
      <c r="R203">
        <f>IF($AG203="","",Config!$B$24)</f>
        <v/>
      </c>
      <c r="S203">
        <f>IF($AG203="","",TEXT(Config!$B$4,"yyyy-mm-dd"))</f>
        <v/>
      </c>
      <c r="T203">
        <f>IF($AG203="","",Config!$B$17)</f>
        <v/>
      </c>
      <c r="U203">
        <f>IF($AG203="","",Config!$B$18)</f>
        <v/>
      </c>
      <c r="V203">
        <f>IF($AG203="","",Config!$B$19)</f>
        <v/>
      </c>
      <c r="W203">
        <f>IF($AG203="","",INDEX('TMP Paste'!$C$2:$C$1601,$AG203))</f>
        <v/>
      </c>
      <c r="X203">
        <f>IF($AG203="","",Config!$B$29)</f>
        <v/>
      </c>
      <c r="Y203">
        <f>IF($AH203="","",INDEX(Calc!$I$2:$I$1601,$AH203)&amp;" - "&amp;INDEX(Calc!$D$2:$D$1601,$AH203)&amp;" koli")</f>
        <v/>
      </c>
      <c r="Z203">
        <f>IF($AG203="","",Config!$B$21)</f>
        <v/>
      </c>
      <c r="AA203">
        <f>IF($AG203="","",Config!$B$22)</f>
        <v/>
      </c>
      <c r="AB203">
        <f>IF($AH203="","",INDEX(Calc!$D$2:$D$1601,$AH203))</f>
        <v/>
      </c>
      <c r="AC203">
        <f>IF($AH203="","",INDEX(Calc!$G$2:$G$1601,$AH203))</f>
        <v/>
      </c>
      <c r="AD203">
        <f>IF($AG203="","",Config!$B$23)</f>
        <v/>
      </c>
      <c r="AE203">
        <f>IF($AG203="","",Config!$B$28)</f>
        <v/>
      </c>
      <c r="AG203">
        <f>IFERROR(MATCH(ROW()-1,Calc!$J$2:$J$1601,0),"")</f>
        <v/>
      </c>
      <c r="AH203">
        <f>IFERROR(MATCH(ROW()-1,Calc!$K$2:$K$1601,0),"")</f>
        <v/>
      </c>
      <c r="AI203">
        <f>IF($AG203="","",SUMIF($AG$2:$AG203,$AG203,$AH$2:$AH203))</f>
        <v/>
      </c>
      <c r="AJ203">
        <f>IF('TMP Paste'!$F203="","",IF('TMP Paste'!$B203="",$AJ202,'TMP Paste'!$B203))</f>
        <v/>
      </c>
      <c r="AK203">
        <f>IF('TMP Paste'!$F203="","",N('TMP Paste'!$G203))</f>
        <v/>
      </c>
      <c r="AL203">
        <f>IF('TMP Paste'!$F203="","",IF('TMP Paste'!$M203="",$AL202,'TMP Paste'!$M203))</f>
        <v/>
      </c>
      <c r="AM203">
        <f>IF('TMP Paste'!$F203="","",IF('TMP Paste'!$N203="",$AM202,'TMP Paste'!$N203))</f>
        <v/>
      </c>
      <c r="AN203">
        <f>IF('TMP Paste'!$F203="","",IF('TMP Paste'!$O203="",$AN202,'TMP Paste'!$O203))</f>
        <v/>
      </c>
      <c r="AO203">
        <f>IF('TMP Paste'!$F203="","",IF('TMP Paste'!$P203="",$AO202,'TMP Paste'!$P203))</f>
        <v/>
      </c>
      <c r="AP203">
        <f>IF($AG203="","",LEN($R203))</f>
        <v/>
      </c>
      <c r="AQ203">
        <f>IF($AG203="","",TRIM(IF(COUNTIFS(Calc!$B$2:$B$1601,ROW()-1,Calc!$C$2:$C$1601,"&lt;1")&gt;0,"Ada PO tanpa Koli - cek TMP. ","")&amp;IF(LEN($R203)&gt;500,"R &gt; 500 karakter.","")))</f>
        <v/>
      </c>
    </row>
    <row r="204">
      <c r="A204">
        <f>IF($AG204="","",INDEX('TMP Paste'!$B$2:$B$1601,$AG204))</f>
        <v/>
      </c>
      <c r="B204">
        <f>IF($AG204="","",Config!$B$14)</f>
        <v/>
      </c>
      <c r="C204">
        <f>IF($AG204="","",Config!$B$15)</f>
        <v/>
      </c>
      <c r="D204">
        <f>IF($AG204="","",INDEX('TMP Paste'!$B$2:$B$1601,$AG204))</f>
        <v/>
      </c>
      <c r="E204">
        <f>IF($AG204="","",Config!$B$27)</f>
        <v/>
      </c>
      <c r="F204">
        <f>IF($AG204="","",Config!$B$9)</f>
        <v/>
      </c>
      <c r="G204">
        <f>IF($AG204="","",Config!$B$10)</f>
        <v/>
      </c>
      <c r="H204">
        <f>IF($AG204="","",Config!$B$11)</f>
        <v/>
      </c>
      <c r="I204">
        <f>IF($AG204="","",Config!$B$16)</f>
        <v/>
      </c>
      <c r="J204">
        <f>IF($AG204="","",INDEX('TMP Paste'!$A$2:$A$1601,$AG204))</f>
        <v/>
      </c>
      <c r="K204">
        <f>IF($AG204="","",INDEX('TMP Paste'!$L$2:$L$1601,$AG204))</f>
        <v/>
      </c>
      <c r="L204">
        <f>IF($AG204="","",INDEX('TMP Paste'!$I$2:$I$1601,$AG204))</f>
        <v/>
      </c>
      <c r="M204">
        <f>IF($AG204="","",Config!$B$16)</f>
        <v/>
      </c>
      <c r="N204">
        <f>IF($AG204="","","")</f>
        <v/>
      </c>
      <c r="O204">
        <f>IF($AG204="","",INDEX('TMP Paste'!$K$2:$K$1601,$AG204))</f>
        <v/>
      </c>
      <c r="P204">
        <f>IF($AG204="","","")</f>
        <v/>
      </c>
      <c r="Q204">
        <f>IF($AG204="","",INDEX('TMP Paste'!$J$2:$J$1601,$AG204))</f>
        <v/>
      </c>
      <c r="R204">
        <f>IF($AG204="","",Config!$B$24)</f>
        <v/>
      </c>
      <c r="S204">
        <f>IF($AG204="","",TEXT(Config!$B$4,"yyyy-mm-dd"))</f>
        <v/>
      </c>
      <c r="T204">
        <f>IF($AG204="","",Config!$B$17)</f>
        <v/>
      </c>
      <c r="U204">
        <f>IF($AG204="","",Config!$B$18)</f>
        <v/>
      </c>
      <c r="V204">
        <f>IF($AG204="","",Config!$B$19)</f>
        <v/>
      </c>
      <c r="W204">
        <f>IF($AG204="","",INDEX('TMP Paste'!$C$2:$C$1601,$AG204))</f>
        <v/>
      </c>
      <c r="X204">
        <f>IF($AG204="","",Config!$B$29)</f>
        <v/>
      </c>
      <c r="Y204">
        <f>IF($AH204="","",INDEX(Calc!$I$2:$I$1601,$AH204)&amp;" - "&amp;INDEX(Calc!$D$2:$D$1601,$AH204)&amp;" koli")</f>
        <v/>
      </c>
      <c r="Z204">
        <f>IF($AG204="","",Config!$B$21)</f>
        <v/>
      </c>
      <c r="AA204">
        <f>IF($AG204="","",Config!$B$22)</f>
        <v/>
      </c>
      <c r="AB204">
        <f>IF($AH204="","",INDEX(Calc!$D$2:$D$1601,$AH204))</f>
        <v/>
      </c>
      <c r="AC204">
        <f>IF($AH204="","",INDEX(Calc!$G$2:$G$1601,$AH204))</f>
        <v/>
      </c>
      <c r="AD204">
        <f>IF($AG204="","",Config!$B$23)</f>
        <v/>
      </c>
      <c r="AE204">
        <f>IF($AG204="","",Config!$B$28)</f>
        <v/>
      </c>
      <c r="AG204">
        <f>IFERROR(MATCH(ROW()-1,Calc!$J$2:$J$1601,0),"")</f>
        <v/>
      </c>
      <c r="AH204">
        <f>IFERROR(MATCH(ROW()-1,Calc!$K$2:$K$1601,0),"")</f>
        <v/>
      </c>
      <c r="AI204">
        <f>IF($AG204="","",SUMIF($AG$2:$AG204,$AG204,$AH$2:$AH204))</f>
        <v/>
      </c>
      <c r="AJ204">
        <f>IF('TMP Paste'!$F204="","",IF('TMP Paste'!$B204="",$AJ203,'TMP Paste'!$B204))</f>
        <v/>
      </c>
      <c r="AK204">
        <f>IF('TMP Paste'!$F204="","",N('TMP Paste'!$G204))</f>
        <v/>
      </c>
      <c r="AL204">
        <f>IF('TMP Paste'!$F204="","",IF('TMP Paste'!$M204="",$AL203,'TMP Paste'!$M204))</f>
        <v/>
      </c>
      <c r="AM204">
        <f>IF('TMP Paste'!$F204="","",IF('TMP Paste'!$N204="",$AM203,'TMP Paste'!$N204))</f>
        <v/>
      </c>
      <c r="AN204">
        <f>IF('TMP Paste'!$F204="","",IF('TMP Paste'!$O204="",$AN203,'TMP Paste'!$O204))</f>
        <v/>
      </c>
      <c r="AO204">
        <f>IF('TMP Paste'!$F204="","",IF('TMP Paste'!$P204="",$AO203,'TMP Paste'!$P204))</f>
        <v/>
      </c>
      <c r="AP204">
        <f>IF($AG204="","",LEN($R204))</f>
        <v/>
      </c>
      <c r="AQ204">
        <f>IF($AG204="","",TRIM(IF(COUNTIFS(Calc!$B$2:$B$1601,ROW()-1,Calc!$C$2:$C$1601,"&lt;1")&gt;0,"Ada PO tanpa Koli - cek TMP. ","")&amp;IF(LEN($R204)&gt;500,"R &gt; 500 karakter.","")))</f>
        <v/>
      </c>
    </row>
    <row r="205">
      <c r="A205">
        <f>IF($AG205="","",INDEX('TMP Paste'!$B$2:$B$1601,$AG205))</f>
        <v/>
      </c>
      <c r="B205">
        <f>IF($AG205="","",Config!$B$14)</f>
        <v/>
      </c>
      <c r="C205">
        <f>IF($AG205="","",Config!$B$15)</f>
        <v/>
      </c>
      <c r="D205">
        <f>IF($AG205="","",INDEX('TMP Paste'!$B$2:$B$1601,$AG205))</f>
        <v/>
      </c>
      <c r="E205">
        <f>IF($AG205="","",Config!$B$27)</f>
        <v/>
      </c>
      <c r="F205">
        <f>IF($AG205="","",Config!$B$9)</f>
        <v/>
      </c>
      <c r="G205">
        <f>IF($AG205="","",Config!$B$10)</f>
        <v/>
      </c>
      <c r="H205">
        <f>IF($AG205="","",Config!$B$11)</f>
        <v/>
      </c>
      <c r="I205">
        <f>IF($AG205="","",Config!$B$16)</f>
        <v/>
      </c>
      <c r="J205">
        <f>IF($AG205="","",INDEX('TMP Paste'!$A$2:$A$1601,$AG205))</f>
        <v/>
      </c>
      <c r="K205">
        <f>IF($AG205="","",INDEX('TMP Paste'!$L$2:$L$1601,$AG205))</f>
        <v/>
      </c>
      <c r="L205">
        <f>IF($AG205="","",INDEX('TMP Paste'!$I$2:$I$1601,$AG205))</f>
        <v/>
      </c>
      <c r="M205">
        <f>IF($AG205="","",Config!$B$16)</f>
        <v/>
      </c>
      <c r="N205">
        <f>IF($AG205="","","")</f>
        <v/>
      </c>
      <c r="O205">
        <f>IF($AG205="","",INDEX('TMP Paste'!$K$2:$K$1601,$AG205))</f>
        <v/>
      </c>
      <c r="P205">
        <f>IF($AG205="","","")</f>
        <v/>
      </c>
      <c r="Q205">
        <f>IF($AG205="","",INDEX('TMP Paste'!$J$2:$J$1601,$AG205))</f>
        <v/>
      </c>
      <c r="R205">
        <f>IF($AG205="","",Config!$B$24)</f>
        <v/>
      </c>
      <c r="S205">
        <f>IF($AG205="","",TEXT(Config!$B$4,"yyyy-mm-dd"))</f>
        <v/>
      </c>
      <c r="T205">
        <f>IF($AG205="","",Config!$B$17)</f>
        <v/>
      </c>
      <c r="U205">
        <f>IF($AG205="","",Config!$B$18)</f>
        <v/>
      </c>
      <c r="V205">
        <f>IF($AG205="","",Config!$B$19)</f>
        <v/>
      </c>
      <c r="W205">
        <f>IF($AG205="","",INDEX('TMP Paste'!$C$2:$C$1601,$AG205))</f>
        <v/>
      </c>
      <c r="X205">
        <f>IF($AG205="","",Config!$B$29)</f>
        <v/>
      </c>
      <c r="Y205">
        <f>IF($AH205="","",INDEX(Calc!$I$2:$I$1601,$AH205)&amp;" - "&amp;INDEX(Calc!$D$2:$D$1601,$AH205)&amp;" koli")</f>
        <v/>
      </c>
      <c r="Z205">
        <f>IF($AG205="","",Config!$B$21)</f>
        <v/>
      </c>
      <c r="AA205">
        <f>IF($AG205="","",Config!$B$22)</f>
        <v/>
      </c>
      <c r="AB205">
        <f>IF($AH205="","",INDEX(Calc!$D$2:$D$1601,$AH205))</f>
        <v/>
      </c>
      <c r="AC205">
        <f>IF($AH205="","",INDEX(Calc!$G$2:$G$1601,$AH205))</f>
        <v/>
      </c>
      <c r="AD205">
        <f>IF($AG205="","",Config!$B$23)</f>
        <v/>
      </c>
      <c r="AE205">
        <f>IF($AG205="","",Config!$B$28)</f>
        <v/>
      </c>
      <c r="AG205">
        <f>IFERROR(MATCH(ROW()-1,Calc!$J$2:$J$1601,0),"")</f>
        <v/>
      </c>
      <c r="AH205">
        <f>IFERROR(MATCH(ROW()-1,Calc!$K$2:$K$1601,0),"")</f>
        <v/>
      </c>
      <c r="AI205">
        <f>IF($AG205="","",SUMIF($AG$2:$AG205,$AG205,$AH$2:$AH205))</f>
        <v/>
      </c>
      <c r="AJ205">
        <f>IF('TMP Paste'!$F205="","",IF('TMP Paste'!$B205="",$AJ204,'TMP Paste'!$B205))</f>
        <v/>
      </c>
      <c r="AK205">
        <f>IF('TMP Paste'!$F205="","",N('TMP Paste'!$G205))</f>
        <v/>
      </c>
      <c r="AL205">
        <f>IF('TMP Paste'!$F205="","",IF('TMP Paste'!$M205="",$AL204,'TMP Paste'!$M205))</f>
        <v/>
      </c>
      <c r="AM205">
        <f>IF('TMP Paste'!$F205="","",IF('TMP Paste'!$N205="",$AM204,'TMP Paste'!$N205))</f>
        <v/>
      </c>
      <c r="AN205">
        <f>IF('TMP Paste'!$F205="","",IF('TMP Paste'!$O205="",$AN204,'TMP Paste'!$O205))</f>
        <v/>
      </c>
      <c r="AO205">
        <f>IF('TMP Paste'!$F205="","",IF('TMP Paste'!$P205="",$AO204,'TMP Paste'!$P205))</f>
        <v/>
      </c>
      <c r="AP205">
        <f>IF($AG205="","",LEN($R205))</f>
        <v/>
      </c>
      <c r="AQ205">
        <f>IF($AG205="","",TRIM(IF(COUNTIFS(Calc!$B$2:$B$1601,ROW()-1,Calc!$C$2:$C$1601,"&lt;1")&gt;0,"Ada PO tanpa Koli - cek TMP. ","")&amp;IF(LEN($R205)&gt;500,"R &gt; 500 karakter.","")))</f>
        <v/>
      </c>
    </row>
    <row r="206">
      <c r="A206">
        <f>IF($AG206="","",INDEX('TMP Paste'!$B$2:$B$1601,$AG206))</f>
        <v/>
      </c>
      <c r="B206">
        <f>IF($AG206="","",Config!$B$14)</f>
        <v/>
      </c>
      <c r="C206">
        <f>IF($AG206="","",Config!$B$15)</f>
        <v/>
      </c>
      <c r="D206">
        <f>IF($AG206="","",INDEX('TMP Paste'!$B$2:$B$1601,$AG206))</f>
        <v/>
      </c>
      <c r="E206">
        <f>IF($AG206="","",Config!$B$27)</f>
        <v/>
      </c>
      <c r="F206">
        <f>IF($AG206="","",Config!$B$9)</f>
        <v/>
      </c>
      <c r="G206">
        <f>IF($AG206="","",Config!$B$10)</f>
        <v/>
      </c>
      <c r="H206">
        <f>IF($AG206="","",Config!$B$11)</f>
        <v/>
      </c>
      <c r="I206">
        <f>IF($AG206="","",Config!$B$16)</f>
        <v/>
      </c>
      <c r="J206">
        <f>IF($AG206="","",INDEX('TMP Paste'!$A$2:$A$1601,$AG206))</f>
        <v/>
      </c>
      <c r="K206">
        <f>IF($AG206="","",INDEX('TMP Paste'!$L$2:$L$1601,$AG206))</f>
        <v/>
      </c>
      <c r="L206">
        <f>IF($AG206="","",INDEX('TMP Paste'!$I$2:$I$1601,$AG206))</f>
        <v/>
      </c>
      <c r="M206">
        <f>IF($AG206="","",Config!$B$16)</f>
        <v/>
      </c>
      <c r="N206">
        <f>IF($AG206="","","")</f>
        <v/>
      </c>
      <c r="O206">
        <f>IF($AG206="","",INDEX('TMP Paste'!$K$2:$K$1601,$AG206))</f>
        <v/>
      </c>
      <c r="P206">
        <f>IF($AG206="","","")</f>
        <v/>
      </c>
      <c r="Q206">
        <f>IF($AG206="","",INDEX('TMP Paste'!$J$2:$J$1601,$AG206))</f>
        <v/>
      </c>
      <c r="R206">
        <f>IF($AG206="","",Config!$B$24)</f>
        <v/>
      </c>
      <c r="S206">
        <f>IF($AG206="","",TEXT(Config!$B$4,"yyyy-mm-dd"))</f>
        <v/>
      </c>
      <c r="T206">
        <f>IF($AG206="","",Config!$B$17)</f>
        <v/>
      </c>
      <c r="U206">
        <f>IF($AG206="","",Config!$B$18)</f>
        <v/>
      </c>
      <c r="V206">
        <f>IF($AG206="","",Config!$B$19)</f>
        <v/>
      </c>
      <c r="W206">
        <f>IF($AG206="","",INDEX('TMP Paste'!$C$2:$C$1601,$AG206))</f>
        <v/>
      </c>
      <c r="X206">
        <f>IF($AG206="","",Config!$B$29)</f>
        <v/>
      </c>
      <c r="Y206">
        <f>IF($AH206="","",INDEX(Calc!$I$2:$I$1601,$AH206)&amp;" - "&amp;INDEX(Calc!$D$2:$D$1601,$AH206)&amp;" koli")</f>
        <v/>
      </c>
      <c r="Z206">
        <f>IF($AG206="","",Config!$B$21)</f>
        <v/>
      </c>
      <c r="AA206">
        <f>IF($AG206="","",Config!$B$22)</f>
        <v/>
      </c>
      <c r="AB206">
        <f>IF($AH206="","",INDEX(Calc!$D$2:$D$1601,$AH206))</f>
        <v/>
      </c>
      <c r="AC206">
        <f>IF($AH206="","",INDEX(Calc!$G$2:$G$1601,$AH206))</f>
        <v/>
      </c>
      <c r="AD206">
        <f>IF($AG206="","",Config!$B$23)</f>
        <v/>
      </c>
      <c r="AE206">
        <f>IF($AG206="","",Config!$B$28)</f>
        <v/>
      </c>
      <c r="AG206">
        <f>IFERROR(MATCH(ROW()-1,Calc!$J$2:$J$1601,0),"")</f>
        <v/>
      </c>
      <c r="AH206">
        <f>IFERROR(MATCH(ROW()-1,Calc!$K$2:$K$1601,0),"")</f>
        <v/>
      </c>
      <c r="AI206">
        <f>IF($AG206="","",SUMIF($AG$2:$AG206,$AG206,$AH$2:$AH206))</f>
        <v/>
      </c>
      <c r="AJ206">
        <f>IF('TMP Paste'!$F206="","",IF('TMP Paste'!$B206="",$AJ205,'TMP Paste'!$B206))</f>
        <v/>
      </c>
      <c r="AK206">
        <f>IF('TMP Paste'!$F206="","",N('TMP Paste'!$G206))</f>
        <v/>
      </c>
      <c r="AL206">
        <f>IF('TMP Paste'!$F206="","",IF('TMP Paste'!$M206="",$AL205,'TMP Paste'!$M206))</f>
        <v/>
      </c>
      <c r="AM206">
        <f>IF('TMP Paste'!$F206="","",IF('TMP Paste'!$N206="",$AM205,'TMP Paste'!$N206))</f>
        <v/>
      </c>
      <c r="AN206">
        <f>IF('TMP Paste'!$F206="","",IF('TMP Paste'!$O206="",$AN205,'TMP Paste'!$O206))</f>
        <v/>
      </c>
      <c r="AO206">
        <f>IF('TMP Paste'!$F206="","",IF('TMP Paste'!$P206="",$AO205,'TMP Paste'!$P206))</f>
        <v/>
      </c>
      <c r="AP206">
        <f>IF($AG206="","",LEN($R206))</f>
        <v/>
      </c>
      <c r="AQ206">
        <f>IF($AG206="","",TRIM(IF(COUNTIFS(Calc!$B$2:$B$1601,ROW()-1,Calc!$C$2:$C$1601,"&lt;1")&gt;0,"Ada PO tanpa Koli - cek TMP. ","")&amp;IF(LEN($R206)&gt;500,"R &gt; 500 karakter.","")))</f>
        <v/>
      </c>
    </row>
    <row r="207">
      <c r="A207">
        <f>IF($AG207="","",INDEX('TMP Paste'!$B$2:$B$1601,$AG207))</f>
        <v/>
      </c>
      <c r="B207">
        <f>IF($AG207="","",Config!$B$14)</f>
        <v/>
      </c>
      <c r="C207">
        <f>IF($AG207="","",Config!$B$15)</f>
        <v/>
      </c>
      <c r="D207">
        <f>IF($AG207="","",INDEX('TMP Paste'!$B$2:$B$1601,$AG207))</f>
        <v/>
      </c>
      <c r="E207">
        <f>IF($AG207="","",Config!$B$27)</f>
        <v/>
      </c>
      <c r="F207">
        <f>IF($AG207="","",Config!$B$9)</f>
        <v/>
      </c>
      <c r="G207">
        <f>IF($AG207="","",Config!$B$10)</f>
        <v/>
      </c>
      <c r="H207">
        <f>IF($AG207="","",Config!$B$11)</f>
        <v/>
      </c>
      <c r="I207">
        <f>IF($AG207="","",Config!$B$16)</f>
        <v/>
      </c>
      <c r="J207">
        <f>IF($AG207="","",INDEX('TMP Paste'!$A$2:$A$1601,$AG207))</f>
        <v/>
      </c>
      <c r="K207">
        <f>IF($AG207="","",INDEX('TMP Paste'!$L$2:$L$1601,$AG207))</f>
        <v/>
      </c>
      <c r="L207">
        <f>IF($AG207="","",INDEX('TMP Paste'!$I$2:$I$1601,$AG207))</f>
        <v/>
      </c>
      <c r="M207">
        <f>IF($AG207="","",Config!$B$16)</f>
        <v/>
      </c>
      <c r="N207">
        <f>IF($AG207="","","")</f>
        <v/>
      </c>
      <c r="O207">
        <f>IF($AG207="","",INDEX('TMP Paste'!$K$2:$K$1601,$AG207))</f>
        <v/>
      </c>
      <c r="P207">
        <f>IF($AG207="","","")</f>
        <v/>
      </c>
      <c r="Q207">
        <f>IF($AG207="","",INDEX('TMP Paste'!$J$2:$J$1601,$AG207))</f>
        <v/>
      </c>
      <c r="R207">
        <f>IF($AG207="","",Config!$B$24)</f>
        <v/>
      </c>
      <c r="S207">
        <f>IF($AG207="","",TEXT(Config!$B$4,"yyyy-mm-dd"))</f>
        <v/>
      </c>
      <c r="T207">
        <f>IF($AG207="","",Config!$B$17)</f>
        <v/>
      </c>
      <c r="U207">
        <f>IF($AG207="","",Config!$B$18)</f>
        <v/>
      </c>
      <c r="V207">
        <f>IF($AG207="","",Config!$B$19)</f>
        <v/>
      </c>
      <c r="W207">
        <f>IF($AG207="","",INDEX('TMP Paste'!$C$2:$C$1601,$AG207))</f>
        <v/>
      </c>
      <c r="X207">
        <f>IF($AG207="","",Config!$B$29)</f>
        <v/>
      </c>
      <c r="Y207">
        <f>IF($AH207="","",INDEX(Calc!$I$2:$I$1601,$AH207)&amp;" - "&amp;INDEX(Calc!$D$2:$D$1601,$AH207)&amp;" koli")</f>
        <v/>
      </c>
      <c r="Z207">
        <f>IF($AG207="","",Config!$B$21)</f>
        <v/>
      </c>
      <c r="AA207">
        <f>IF($AG207="","",Config!$B$22)</f>
        <v/>
      </c>
      <c r="AB207">
        <f>IF($AH207="","",INDEX(Calc!$D$2:$D$1601,$AH207))</f>
        <v/>
      </c>
      <c r="AC207">
        <f>IF($AH207="","",INDEX(Calc!$G$2:$G$1601,$AH207))</f>
        <v/>
      </c>
      <c r="AD207">
        <f>IF($AG207="","",Config!$B$23)</f>
        <v/>
      </c>
      <c r="AE207">
        <f>IF($AG207="","",Config!$B$28)</f>
        <v/>
      </c>
      <c r="AG207">
        <f>IFERROR(MATCH(ROW()-1,Calc!$J$2:$J$1601,0),"")</f>
        <v/>
      </c>
      <c r="AH207">
        <f>IFERROR(MATCH(ROW()-1,Calc!$K$2:$K$1601,0),"")</f>
        <v/>
      </c>
      <c r="AI207">
        <f>IF($AG207="","",SUMIF($AG$2:$AG207,$AG207,$AH$2:$AH207))</f>
        <v/>
      </c>
      <c r="AJ207">
        <f>IF('TMP Paste'!$F207="","",IF('TMP Paste'!$B207="",$AJ206,'TMP Paste'!$B207))</f>
        <v/>
      </c>
      <c r="AK207">
        <f>IF('TMP Paste'!$F207="","",N('TMP Paste'!$G207))</f>
        <v/>
      </c>
      <c r="AL207">
        <f>IF('TMP Paste'!$F207="","",IF('TMP Paste'!$M207="",$AL206,'TMP Paste'!$M207))</f>
        <v/>
      </c>
      <c r="AM207">
        <f>IF('TMP Paste'!$F207="","",IF('TMP Paste'!$N207="",$AM206,'TMP Paste'!$N207))</f>
        <v/>
      </c>
      <c r="AN207">
        <f>IF('TMP Paste'!$F207="","",IF('TMP Paste'!$O207="",$AN206,'TMP Paste'!$O207))</f>
        <v/>
      </c>
      <c r="AO207">
        <f>IF('TMP Paste'!$F207="","",IF('TMP Paste'!$P207="",$AO206,'TMP Paste'!$P207))</f>
        <v/>
      </c>
      <c r="AP207">
        <f>IF($AG207="","",LEN($R207))</f>
        <v/>
      </c>
      <c r="AQ207">
        <f>IF($AG207="","",TRIM(IF(COUNTIFS(Calc!$B$2:$B$1601,ROW()-1,Calc!$C$2:$C$1601,"&lt;1")&gt;0,"Ada PO tanpa Koli - cek TMP. ","")&amp;IF(LEN($R207)&gt;500,"R &gt; 500 karakter.","")))</f>
        <v/>
      </c>
    </row>
    <row r="208">
      <c r="A208">
        <f>IF($AG208="","",INDEX('TMP Paste'!$B$2:$B$1601,$AG208))</f>
        <v/>
      </c>
      <c r="B208">
        <f>IF($AG208="","",Config!$B$14)</f>
        <v/>
      </c>
      <c r="C208">
        <f>IF($AG208="","",Config!$B$15)</f>
        <v/>
      </c>
      <c r="D208">
        <f>IF($AG208="","",INDEX('TMP Paste'!$B$2:$B$1601,$AG208))</f>
        <v/>
      </c>
      <c r="E208">
        <f>IF($AG208="","",Config!$B$27)</f>
        <v/>
      </c>
      <c r="F208">
        <f>IF($AG208="","",Config!$B$9)</f>
        <v/>
      </c>
      <c r="G208">
        <f>IF($AG208="","",Config!$B$10)</f>
        <v/>
      </c>
      <c r="H208">
        <f>IF($AG208="","",Config!$B$11)</f>
        <v/>
      </c>
      <c r="I208">
        <f>IF($AG208="","",Config!$B$16)</f>
        <v/>
      </c>
      <c r="J208">
        <f>IF($AG208="","",INDEX('TMP Paste'!$A$2:$A$1601,$AG208))</f>
        <v/>
      </c>
      <c r="K208">
        <f>IF($AG208="","",INDEX('TMP Paste'!$L$2:$L$1601,$AG208))</f>
        <v/>
      </c>
      <c r="L208">
        <f>IF($AG208="","",INDEX('TMP Paste'!$I$2:$I$1601,$AG208))</f>
        <v/>
      </c>
      <c r="M208">
        <f>IF($AG208="","",Config!$B$16)</f>
        <v/>
      </c>
      <c r="N208">
        <f>IF($AG208="","","")</f>
        <v/>
      </c>
      <c r="O208">
        <f>IF($AG208="","",INDEX('TMP Paste'!$K$2:$K$1601,$AG208))</f>
        <v/>
      </c>
      <c r="P208">
        <f>IF($AG208="","","")</f>
        <v/>
      </c>
      <c r="Q208">
        <f>IF($AG208="","",INDEX('TMP Paste'!$J$2:$J$1601,$AG208))</f>
        <v/>
      </c>
      <c r="R208">
        <f>IF($AG208="","",Config!$B$24)</f>
        <v/>
      </c>
      <c r="S208">
        <f>IF($AG208="","",TEXT(Config!$B$4,"yyyy-mm-dd"))</f>
        <v/>
      </c>
      <c r="T208">
        <f>IF($AG208="","",Config!$B$17)</f>
        <v/>
      </c>
      <c r="U208">
        <f>IF($AG208="","",Config!$B$18)</f>
        <v/>
      </c>
      <c r="V208">
        <f>IF($AG208="","",Config!$B$19)</f>
        <v/>
      </c>
      <c r="W208">
        <f>IF($AG208="","",INDEX('TMP Paste'!$C$2:$C$1601,$AG208))</f>
        <v/>
      </c>
      <c r="X208">
        <f>IF($AG208="","",Config!$B$29)</f>
        <v/>
      </c>
      <c r="Y208">
        <f>IF($AH208="","",INDEX(Calc!$I$2:$I$1601,$AH208)&amp;" - "&amp;INDEX(Calc!$D$2:$D$1601,$AH208)&amp;" koli")</f>
        <v/>
      </c>
      <c r="Z208">
        <f>IF($AG208="","",Config!$B$21)</f>
        <v/>
      </c>
      <c r="AA208">
        <f>IF($AG208="","",Config!$B$22)</f>
        <v/>
      </c>
      <c r="AB208">
        <f>IF($AH208="","",INDEX(Calc!$D$2:$D$1601,$AH208))</f>
        <v/>
      </c>
      <c r="AC208">
        <f>IF($AH208="","",INDEX(Calc!$G$2:$G$1601,$AH208))</f>
        <v/>
      </c>
      <c r="AD208">
        <f>IF($AG208="","",Config!$B$23)</f>
        <v/>
      </c>
      <c r="AE208">
        <f>IF($AG208="","",Config!$B$28)</f>
        <v/>
      </c>
      <c r="AG208">
        <f>IFERROR(MATCH(ROW()-1,Calc!$J$2:$J$1601,0),"")</f>
        <v/>
      </c>
      <c r="AH208">
        <f>IFERROR(MATCH(ROW()-1,Calc!$K$2:$K$1601,0),"")</f>
        <v/>
      </c>
      <c r="AI208">
        <f>IF($AG208="","",SUMIF($AG$2:$AG208,$AG208,$AH$2:$AH208))</f>
        <v/>
      </c>
      <c r="AJ208">
        <f>IF('TMP Paste'!$F208="","",IF('TMP Paste'!$B208="",$AJ207,'TMP Paste'!$B208))</f>
        <v/>
      </c>
      <c r="AK208">
        <f>IF('TMP Paste'!$F208="","",N('TMP Paste'!$G208))</f>
        <v/>
      </c>
      <c r="AL208">
        <f>IF('TMP Paste'!$F208="","",IF('TMP Paste'!$M208="",$AL207,'TMP Paste'!$M208))</f>
        <v/>
      </c>
      <c r="AM208">
        <f>IF('TMP Paste'!$F208="","",IF('TMP Paste'!$N208="",$AM207,'TMP Paste'!$N208))</f>
        <v/>
      </c>
      <c r="AN208">
        <f>IF('TMP Paste'!$F208="","",IF('TMP Paste'!$O208="",$AN207,'TMP Paste'!$O208))</f>
        <v/>
      </c>
      <c r="AO208">
        <f>IF('TMP Paste'!$F208="","",IF('TMP Paste'!$P208="",$AO207,'TMP Paste'!$P208))</f>
        <v/>
      </c>
      <c r="AP208">
        <f>IF($AG208="","",LEN($R208))</f>
        <v/>
      </c>
      <c r="AQ208">
        <f>IF($AG208="","",TRIM(IF(COUNTIFS(Calc!$B$2:$B$1601,ROW()-1,Calc!$C$2:$C$1601,"&lt;1")&gt;0,"Ada PO tanpa Koli - cek TMP. ","")&amp;IF(LEN($R208)&gt;500,"R &gt; 500 karakter.","")))</f>
        <v/>
      </c>
    </row>
    <row r="209">
      <c r="A209">
        <f>IF($AG209="","",INDEX('TMP Paste'!$B$2:$B$1601,$AG209))</f>
        <v/>
      </c>
      <c r="B209">
        <f>IF($AG209="","",Config!$B$14)</f>
        <v/>
      </c>
      <c r="C209">
        <f>IF($AG209="","",Config!$B$15)</f>
        <v/>
      </c>
      <c r="D209">
        <f>IF($AG209="","",INDEX('TMP Paste'!$B$2:$B$1601,$AG209))</f>
        <v/>
      </c>
      <c r="E209">
        <f>IF($AG209="","",Config!$B$27)</f>
        <v/>
      </c>
      <c r="F209">
        <f>IF($AG209="","",Config!$B$9)</f>
        <v/>
      </c>
      <c r="G209">
        <f>IF($AG209="","",Config!$B$10)</f>
        <v/>
      </c>
      <c r="H209">
        <f>IF($AG209="","",Config!$B$11)</f>
        <v/>
      </c>
      <c r="I209">
        <f>IF($AG209="","",Config!$B$16)</f>
        <v/>
      </c>
      <c r="J209">
        <f>IF($AG209="","",INDEX('TMP Paste'!$A$2:$A$1601,$AG209))</f>
        <v/>
      </c>
      <c r="K209">
        <f>IF($AG209="","",INDEX('TMP Paste'!$L$2:$L$1601,$AG209))</f>
        <v/>
      </c>
      <c r="L209">
        <f>IF($AG209="","",INDEX('TMP Paste'!$I$2:$I$1601,$AG209))</f>
        <v/>
      </c>
      <c r="M209">
        <f>IF($AG209="","",Config!$B$16)</f>
        <v/>
      </c>
      <c r="N209">
        <f>IF($AG209="","","")</f>
        <v/>
      </c>
      <c r="O209">
        <f>IF($AG209="","",INDEX('TMP Paste'!$K$2:$K$1601,$AG209))</f>
        <v/>
      </c>
      <c r="P209">
        <f>IF($AG209="","","")</f>
        <v/>
      </c>
      <c r="Q209">
        <f>IF($AG209="","",INDEX('TMP Paste'!$J$2:$J$1601,$AG209))</f>
        <v/>
      </c>
      <c r="R209">
        <f>IF($AG209="","",Config!$B$24)</f>
        <v/>
      </c>
      <c r="S209">
        <f>IF($AG209="","",TEXT(Config!$B$4,"yyyy-mm-dd"))</f>
        <v/>
      </c>
      <c r="T209">
        <f>IF($AG209="","",Config!$B$17)</f>
        <v/>
      </c>
      <c r="U209">
        <f>IF($AG209="","",Config!$B$18)</f>
        <v/>
      </c>
      <c r="V209">
        <f>IF($AG209="","",Config!$B$19)</f>
        <v/>
      </c>
      <c r="W209">
        <f>IF($AG209="","",INDEX('TMP Paste'!$C$2:$C$1601,$AG209))</f>
        <v/>
      </c>
      <c r="X209">
        <f>IF($AG209="","",Config!$B$29)</f>
        <v/>
      </c>
      <c r="Y209">
        <f>IF($AH209="","",INDEX(Calc!$I$2:$I$1601,$AH209)&amp;" - "&amp;INDEX(Calc!$D$2:$D$1601,$AH209)&amp;" koli")</f>
        <v/>
      </c>
      <c r="Z209">
        <f>IF($AG209="","",Config!$B$21)</f>
        <v/>
      </c>
      <c r="AA209">
        <f>IF($AG209="","",Config!$B$22)</f>
        <v/>
      </c>
      <c r="AB209">
        <f>IF($AH209="","",INDEX(Calc!$D$2:$D$1601,$AH209))</f>
        <v/>
      </c>
      <c r="AC209">
        <f>IF($AH209="","",INDEX(Calc!$G$2:$G$1601,$AH209))</f>
        <v/>
      </c>
      <c r="AD209">
        <f>IF($AG209="","",Config!$B$23)</f>
        <v/>
      </c>
      <c r="AE209">
        <f>IF($AG209="","",Config!$B$28)</f>
        <v/>
      </c>
      <c r="AG209">
        <f>IFERROR(MATCH(ROW()-1,Calc!$J$2:$J$1601,0),"")</f>
        <v/>
      </c>
      <c r="AH209">
        <f>IFERROR(MATCH(ROW()-1,Calc!$K$2:$K$1601,0),"")</f>
        <v/>
      </c>
      <c r="AI209">
        <f>IF($AG209="","",SUMIF($AG$2:$AG209,$AG209,$AH$2:$AH209))</f>
        <v/>
      </c>
      <c r="AJ209">
        <f>IF('TMP Paste'!$F209="","",IF('TMP Paste'!$B209="",$AJ208,'TMP Paste'!$B209))</f>
        <v/>
      </c>
      <c r="AK209">
        <f>IF('TMP Paste'!$F209="","",N('TMP Paste'!$G209))</f>
        <v/>
      </c>
      <c r="AL209">
        <f>IF('TMP Paste'!$F209="","",IF('TMP Paste'!$M209="",$AL208,'TMP Paste'!$M209))</f>
        <v/>
      </c>
      <c r="AM209">
        <f>IF('TMP Paste'!$F209="","",IF('TMP Paste'!$N209="",$AM208,'TMP Paste'!$N209))</f>
        <v/>
      </c>
      <c r="AN209">
        <f>IF('TMP Paste'!$F209="","",IF('TMP Paste'!$O209="",$AN208,'TMP Paste'!$O209))</f>
        <v/>
      </c>
      <c r="AO209">
        <f>IF('TMP Paste'!$F209="","",IF('TMP Paste'!$P209="",$AO208,'TMP Paste'!$P209))</f>
        <v/>
      </c>
      <c r="AP209">
        <f>IF($AG209="","",LEN($R209))</f>
        <v/>
      </c>
      <c r="AQ209">
        <f>IF($AG209="","",TRIM(IF(COUNTIFS(Calc!$B$2:$B$1601,ROW()-1,Calc!$C$2:$C$1601,"&lt;1")&gt;0,"Ada PO tanpa Koli - cek TMP. ","")&amp;IF(LEN($R209)&gt;500,"R &gt; 500 karakter.","")))</f>
        <v/>
      </c>
    </row>
    <row r="210">
      <c r="A210">
        <f>IF($AG210="","",INDEX('TMP Paste'!$B$2:$B$1601,$AG210))</f>
        <v/>
      </c>
      <c r="B210">
        <f>IF($AG210="","",Config!$B$14)</f>
        <v/>
      </c>
      <c r="C210">
        <f>IF($AG210="","",Config!$B$15)</f>
        <v/>
      </c>
      <c r="D210">
        <f>IF($AG210="","",INDEX('TMP Paste'!$B$2:$B$1601,$AG210))</f>
        <v/>
      </c>
      <c r="E210">
        <f>IF($AG210="","",Config!$B$27)</f>
        <v/>
      </c>
      <c r="F210">
        <f>IF($AG210="","",Config!$B$9)</f>
        <v/>
      </c>
      <c r="G210">
        <f>IF($AG210="","",Config!$B$10)</f>
        <v/>
      </c>
      <c r="H210">
        <f>IF($AG210="","",Config!$B$11)</f>
        <v/>
      </c>
      <c r="I210">
        <f>IF($AG210="","",Config!$B$16)</f>
        <v/>
      </c>
      <c r="J210">
        <f>IF($AG210="","",INDEX('TMP Paste'!$A$2:$A$1601,$AG210))</f>
        <v/>
      </c>
      <c r="K210">
        <f>IF($AG210="","",INDEX('TMP Paste'!$L$2:$L$1601,$AG210))</f>
        <v/>
      </c>
      <c r="L210">
        <f>IF($AG210="","",INDEX('TMP Paste'!$I$2:$I$1601,$AG210))</f>
        <v/>
      </c>
      <c r="M210">
        <f>IF($AG210="","",Config!$B$16)</f>
        <v/>
      </c>
      <c r="N210">
        <f>IF($AG210="","","")</f>
        <v/>
      </c>
      <c r="O210">
        <f>IF($AG210="","",INDEX('TMP Paste'!$K$2:$K$1601,$AG210))</f>
        <v/>
      </c>
      <c r="P210">
        <f>IF($AG210="","","")</f>
        <v/>
      </c>
      <c r="Q210">
        <f>IF($AG210="","",INDEX('TMP Paste'!$J$2:$J$1601,$AG210))</f>
        <v/>
      </c>
      <c r="R210">
        <f>IF($AG210="","",Config!$B$24)</f>
        <v/>
      </c>
      <c r="S210">
        <f>IF($AG210="","",TEXT(Config!$B$4,"yyyy-mm-dd"))</f>
        <v/>
      </c>
      <c r="T210">
        <f>IF($AG210="","",Config!$B$17)</f>
        <v/>
      </c>
      <c r="U210">
        <f>IF($AG210="","",Config!$B$18)</f>
        <v/>
      </c>
      <c r="V210">
        <f>IF($AG210="","",Config!$B$19)</f>
        <v/>
      </c>
      <c r="W210">
        <f>IF($AG210="","",INDEX('TMP Paste'!$C$2:$C$1601,$AG210))</f>
        <v/>
      </c>
      <c r="X210">
        <f>IF($AG210="","",Config!$B$29)</f>
        <v/>
      </c>
      <c r="Y210">
        <f>IF($AH210="","",INDEX(Calc!$I$2:$I$1601,$AH210)&amp;" - "&amp;INDEX(Calc!$D$2:$D$1601,$AH210)&amp;" koli")</f>
        <v/>
      </c>
      <c r="Z210">
        <f>IF($AG210="","",Config!$B$21)</f>
        <v/>
      </c>
      <c r="AA210">
        <f>IF($AG210="","",Config!$B$22)</f>
        <v/>
      </c>
      <c r="AB210">
        <f>IF($AH210="","",INDEX(Calc!$D$2:$D$1601,$AH210))</f>
        <v/>
      </c>
      <c r="AC210">
        <f>IF($AH210="","",INDEX(Calc!$G$2:$G$1601,$AH210))</f>
        <v/>
      </c>
      <c r="AD210">
        <f>IF($AG210="","",Config!$B$23)</f>
        <v/>
      </c>
      <c r="AE210">
        <f>IF($AG210="","",Config!$B$28)</f>
        <v/>
      </c>
      <c r="AG210">
        <f>IFERROR(MATCH(ROW()-1,Calc!$J$2:$J$1601,0),"")</f>
        <v/>
      </c>
      <c r="AH210">
        <f>IFERROR(MATCH(ROW()-1,Calc!$K$2:$K$1601,0),"")</f>
        <v/>
      </c>
      <c r="AI210">
        <f>IF($AG210="","",SUMIF($AG$2:$AG210,$AG210,$AH$2:$AH210))</f>
        <v/>
      </c>
      <c r="AJ210">
        <f>IF('TMP Paste'!$F210="","",IF('TMP Paste'!$B210="",$AJ209,'TMP Paste'!$B210))</f>
        <v/>
      </c>
      <c r="AK210">
        <f>IF('TMP Paste'!$F210="","",N('TMP Paste'!$G210))</f>
        <v/>
      </c>
      <c r="AL210">
        <f>IF('TMP Paste'!$F210="","",IF('TMP Paste'!$M210="",$AL209,'TMP Paste'!$M210))</f>
        <v/>
      </c>
      <c r="AM210">
        <f>IF('TMP Paste'!$F210="","",IF('TMP Paste'!$N210="",$AM209,'TMP Paste'!$N210))</f>
        <v/>
      </c>
      <c r="AN210">
        <f>IF('TMP Paste'!$F210="","",IF('TMP Paste'!$O210="",$AN209,'TMP Paste'!$O210))</f>
        <v/>
      </c>
      <c r="AO210">
        <f>IF('TMP Paste'!$F210="","",IF('TMP Paste'!$P210="",$AO209,'TMP Paste'!$P210))</f>
        <v/>
      </c>
      <c r="AP210">
        <f>IF($AG210="","",LEN($R210))</f>
        <v/>
      </c>
      <c r="AQ210">
        <f>IF($AG210="","",TRIM(IF(COUNTIFS(Calc!$B$2:$B$1601,ROW()-1,Calc!$C$2:$C$1601,"&lt;1")&gt;0,"Ada PO tanpa Koli - cek TMP. ","")&amp;IF(LEN($R210)&gt;500,"R &gt; 500 karakter.","")))</f>
        <v/>
      </c>
    </row>
    <row r="211">
      <c r="A211">
        <f>IF($AG211="","",INDEX('TMP Paste'!$B$2:$B$1601,$AG211))</f>
        <v/>
      </c>
      <c r="B211">
        <f>IF($AG211="","",Config!$B$14)</f>
        <v/>
      </c>
      <c r="C211">
        <f>IF($AG211="","",Config!$B$15)</f>
        <v/>
      </c>
      <c r="D211">
        <f>IF($AG211="","",INDEX('TMP Paste'!$B$2:$B$1601,$AG211))</f>
        <v/>
      </c>
      <c r="E211">
        <f>IF($AG211="","",Config!$B$27)</f>
        <v/>
      </c>
      <c r="F211">
        <f>IF($AG211="","",Config!$B$9)</f>
        <v/>
      </c>
      <c r="G211">
        <f>IF($AG211="","",Config!$B$10)</f>
        <v/>
      </c>
      <c r="H211">
        <f>IF($AG211="","",Config!$B$11)</f>
        <v/>
      </c>
      <c r="I211">
        <f>IF($AG211="","",Config!$B$16)</f>
        <v/>
      </c>
      <c r="J211">
        <f>IF($AG211="","",INDEX('TMP Paste'!$A$2:$A$1601,$AG211))</f>
        <v/>
      </c>
      <c r="K211">
        <f>IF($AG211="","",INDEX('TMP Paste'!$L$2:$L$1601,$AG211))</f>
        <v/>
      </c>
      <c r="L211">
        <f>IF($AG211="","",INDEX('TMP Paste'!$I$2:$I$1601,$AG211))</f>
        <v/>
      </c>
      <c r="M211">
        <f>IF($AG211="","",Config!$B$16)</f>
        <v/>
      </c>
      <c r="N211">
        <f>IF($AG211="","","")</f>
        <v/>
      </c>
      <c r="O211">
        <f>IF($AG211="","",INDEX('TMP Paste'!$K$2:$K$1601,$AG211))</f>
        <v/>
      </c>
      <c r="P211">
        <f>IF($AG211="","","")</f>
        <v/>
      </c>
      <c r="Q211">
        <f>IF($AG211="","",INDEX('TMP Paste'!$J$2:$J$1601,$AG211))</f>
        <v/>
      </c>
      <c r="R211">
        <f>IF($AG211="","",Config!$B$24)</f>
        <v/>
      </c>
      <c r="S211">
        <f>IF($AG211="","",TEXT(Config!$B$4,"yyyy-mm-dd"))</f>
        <v/>
      </c>
      <c r="T211">
        <f>IF($AG211="","",Config!$B$17)</f>
        <v/>
      </c>
      <c r="U211">
        <f>IF($AG211="","",Config!$B$18)</f>
        <v/>
      </c>
      <c r="V211">
        <f>IF($AG211="","",Config!$B$19)</f>
        <v/>
      </c>
      <c r="W211">
        <f>IF($AG211="","",INDEX('TMP Paste'!$C$2:$C$1601,$AG211))</f>
        <v/>
      </c>
      <c r="X211">
        <f>IF($AG211="","",Config!$B$29)</f>
        <v/>
      </c>
      <c r="Y211">
        <f>IF($AH211="","",INDEX(Calc!$I$2:$I$1601,$AH211)&amp;" - "&amp;INDEX(Calc!$D$2:$D$1601,$AH211)&amp;" koli")</f>
        <v/>
      </c>
      <c r="Z211">
        <f>IF($AG211="","",Config!$B$21)</f>
        <v/>
      </c>
      <c r="AA211">
        <f>IF($AG211="","",Config!$B$22)</f>
        <v/>
      </c>
      <c r="AB211">
        <f>IF($AH211="","",INDEX(Calc!$D$2:$D$1601,$AH211))</f>
        <v/>
      </c>
      <c r="AC211">
        <f>IF($AH211="","",INDEX(Calc!$G$2:$G$1601,$AH211))</f>
        <v/>
      </c>
      <c r="AD211">
        <f>IF($AG211="","",Config!$B$23)</f>
        <v/>
      </c>
      <c r="AE211">
        <f>IF($AG211="","",Config!$B$28)</f>
        <v/>
      </c>
      <c r="AG211">
        <f>IFERROR(MATCH(ROW()-1,Calc!$J$2:$J$1601,0),"")</f>
        <v/>
      </c>
      <c r="AH211">
        <f>IFERROR(MATCH(ROW()-1,Calc!$K$2:$K$1601,0),"")</f>
        <v/>
      </c>
      <c r="AI211">
        <f>IF($AG211="","",SUMIF($AG$2:$AG211,$AG211,$AH$2:$AH211))</f>
        <v/>
      </c>
      <c r="AJ211">
        <f>IF('TMP Paste'!$F211="","",IF('TMP Paste'!$B211="",$AJ210,'TMP Paste'!$B211))</f>
        <v/>
      </c>
      <c r="AK211">
        <f>IF('TMP Paste'!$F211="","",N('TMP Paste'!$G211))</f>
        <v/>
      </c>
      <c r="AL211">
        <f>IF('TMP Paste'!$F211="","",IF('TMP Paste'!$M211="",$AL210,'TMP Paste'!$M211))</f>
        <v/>
      </c>
      <c r="AM211">
        <f>IF('TMP Paste'!$F211="","",IF('TMP Paste'!$N211="",$AM210,'TMP Paste'!$N211))</f>
        <v/>
      </c>
      <c r="AN211">
        <f>IF('TMP Paste'!$F211="","",IF('TMP Paste'!$O211="",$AN210,'TMP Paste'!$O211))</f>
        <v/>
      </c>
      <c r="AO211">
        <f>IF('TMP Paste'!$F211="","",IF('TMP Paste'!$P211="",$AO210,'TMP Paste'!$P211))</f>
        <v/>
      </c>
      <c r="AP211">
        <f>IF($AG211="","",LEN($R211))</f>
        <v/>
      </c>
      <c r="AQ211">
        <f>IF($AG211="","",TRIM(IF(COUNTIFS(Calc!$B$2:$B$1601,ROW()-1,Calc!$C$2:$C$1601,"&lt;1")&gt;0,"Ada PO tanpa Koli - cek TMP. ","")&amp;IF(LEN($R211)&gt;500,"R &gt; 500 karakter.","")))</f>
        <v/>
      </c>
    </row>
    <row r="212">
      <c r="A212">
        <f>IF($AG212="","",INDEX('TMP Paste'!$B$2:$B$1601,$AG212))</f>
        <v/>
      </c>
      <c r="B212">
        <f>IF($AG212="","",Config!$B$14)</f>
        <v/>
      </c>
      <c r="C212">
        <f>IF($AG212="","",Config!$B$15)</f>
        <v/>
      </c>
      <c r="D212">
        <f>IF($AG212="","",INDEX('TMP Paste'!$B$2:$B$1601,$AG212))</f>
        <v/>
      </c>
      <c r="E212">
        <f>IF($AG212="","",Config!$B$27)</f>
        <v/>
      </c>
      <c r="F212">
        <f>IF($AG212="","",Config!$B$9)</f>
        <v/>
      </c>
      <c r="G212">
        <f>IF($AG212="","",Config!$B$10)</f>
        <v/>
      </c>
      <c r="H212">
        <f>IF($AG212="","",Config!$B$11)</f>
        <v/>
      </c>
      <c r="I212">
        <f>IF($AG212="","",Config!$B$16)</f>
        <v/>
      </c>
      <c r="J212">
        <f>IF($AG212="","",INDEX('TMP Paste'!$A$2:$A$1601,$AG212))</f>
        <v/>
      </c>
      <c r="K212">
        <f>IF($AG212="","",INDEX('TMP Paste'!$L$2:$L$1601,$AG212))</f>
        <v/>
      </c>
      <c r="L212">
        <f>IF($AG212="","",INDEX('TMP Paste'!$I$2:$I$1601,$AG212))</f>
        <v/>
      </c>
      <c r="M212">
        <f>IF($AG212="","",Config!$B$16)</f>
        <v/>
      </c>
      <c r="N212">
        <f>IF($AG212="","","")</f>
        <v/>
      </c>
      <c r="O212">
        <f>IF($AG212="","",INDEX('TMP Paste'!$K$2:$K$1601,$AG212))</f>
        <v/>
      </c>
      <c r="P212">
        <f>IF($AG212="","","")</f>
        <v/>
      </c>
      <c r="Q212">
        <f>IF($AG212="","",INDEX('TMP Paste'!$J$2:$J$1601,$AG212))</f>
        <v/>
      </c>
      <c r="R212">
        <f>IF($AG212="","",Config!$B$24)</f>
        <v/>
      </c>
      <c r="S212">
        <f>IF($AG212="","",TEXT(Config!$B$4,"yyyy-mm-dd"))</f>
        <v/>
      </c>
      <c r="T212">
        <f>IF($AG212="","",Config!$B$17)</f>
        <v/>
      </c>
      <c r="U212">
        <f>IF($AG212="","",Config!$B$18)</f>
        <v/>
      </c>
      <c r="V212">
        <f>IF($AG212="","",Config!$B$19)</f>
        <v/>
      </c>
      <c r="W212">
        <f>IF($AG212="","",INDEX('TMP Paste'!$C$2:$C$1601,$AG212))</f>
        <v/>
      </c>
      <c r="X212">
        <f>IF($AG212="","",Config!$B$29)</f>
        <v/>
      </c>
      <c r="Y212">
        <f>IF($AH212="","",INDEX(Calc!$I$2:$I$1601,$AH212)&amp;" - "&amp;INDEX(Calc!$D$2:$D$1601,$AH212)&amp;" koli")</f>
        <v/>
      </c>
      <c r="Z212">
        <f>IF($AG212="","",Config!$B$21)</f>
        <v/>
      </c>
      <c r="AA212">
        <f>IF($AG212="","",Config!$B$22)</f>
        <v/>
      </c>
      <c r="AB212">
        <f>IF($AH212="","",INDEX(Calc!$D$2:$D$1601,$AH212))</f>
        <v/>
      </c>
      <c r="AC212">
        <f>IF($AH212="","",INDEX(Calc!$G$2:$G$1601,$AH212))</f>
        <v/>
      </c>
      <c r="AD212">
        <f>IF($AG212="","",Config!$B$23)</f>
        <v/>
      </c>
      <c r="AE212">
        <f>IF($AG212="","",Config!$B$28)</f>
        <v/>
      </c>
      <c r="AG212">
        <f>IFERROR(MATCH(ROW()-1,Calc!$J$2:$J$1601,0),"")</f>
        <v/>
      </c>
      <c r="AH212">
        <f>IFERROR(MATCH(ROW()-1,Calc!$K$2:$K$1601,0),"")</f>
        <v/>
      </c>
      <c r="AI212">
        <f>IF($AG212="","",SUMIF($AG$2:$AG212,$AG212,$AH$2:$AH212))</f>
        <v/>
      </c>
      <c r="AJ212">
        <f>IF('TMP Paste'!$F212="","",IF('TMP Paste'!$B212="",$AJ211,'TMP Paste'!$B212))</f>
        <v/>
      </c>
      <c r="AK212">
        <f>IF('TMP Paste'!$F212="","",N('TMP Paste'!$G212))</f>
        <v/>
      </c>
      <c r="AL212">
        <f>IF('TMP Paste'!$F212="","",IF('TMP Paste'!$M212="",$AL211,'TMP Paste'!$M212))</f>
        <v/>
      </c>
      <c r="AM212">
        <f>IF('TMP Paste'!$F212="","",IF('TMP Paste'!$N212="",$AM211,'TMP Paste'!$N212))</f>
        <v/>
      </c>
      <c r="AN212">
        <f>IF('TMP Paste'!$F212="","",IF('TMP Paste'!$O212="",$AN211,'TMP Paste'!$O212))</f>
        <v/>
      </c>
      <c r="AO212">
        <f>IF('TMP Paste'!$F212="","",IF('TMP Paste'!$P212="",$AO211,'TMP Paste'!$P212))</f>
        <v/>
      </c>
      <c r="AP212">
        <f>IF($AG212="","",LEN($R212))</f>
        <v/>
      </c>
      <c r="AQ212">
        <f>IF($AG212="","",TRIM(IF(COUNTIFS(Calc!$B$2:$B$1601,ROW()-1,Calc!$C$2:$C$1601,"&lt;1")&gt;0,"Ada PO tanpa Koli - cek TMP. ","")&amp;IF(LEN($R212)&gt;500,"R &gt; 500 karakter.","")))</f>
        <v/>
      </c>
    </row>
    <row r="213">
      <c r="A213">
        <f>IF($AG213="","",INDEX('TMP Paste'!$B$2:$B$1601,$AG213))</f>
        <v/>
      </c>
      <c r="B213">
        <f>IF($AG213="","",Config!$B$14)</f>
        <v/>
      </c>
      <c r="C213">
        <f>IF($AG213="","",Config!$B$15)</f>
        <v/>
      </c>
      <c r="D213">
        <f>IF($AG213="","",INDEX('TMP Paste'!$B$2:$B$1601,$AG213))</f>
        <v/>
      </c>
      <c r="E213">
        <f>IF($AG213="","",Config!$B$27)</f>
        <v/>
      </c>
      <c r="F213">
        <f>IF($AG213="","",Config!$B$9)</f>
        <v/>
      </c>
      <c r="G213">
        <f>IF($AG213="","",Config!$B$10)</f>
        <v/>
      </c>
      <c r="H213">
        <f>IF($AG213="","",Config!$B$11)</f>
        <v/>
      </c>
      <c r="I213">
        <f>IF($AG213="","",Config!$B$16)</f>
        <v/>
      </c>
      <c r="J213">
        <f>IF($AG213="","",INDEX('TMP Paste'!$A$2:$A$1601,$AG213))</f>
        <v/>
      </c>
      <c r="K213">
        <f>IF($AG213="","",INDEX('TMP Paste'!$L$2:$L$1601,$AG213))</f>
        <v/>
      </c>
      <c r="L213">
        <f>IF($AG213="","",INDEX('TMP Paste'!$I$2:$I$1601,$AG213))</f>
        <v/>
      </c>
      <c r="M213">
        <f>IF($AG213="","",Config!$B$16)</f>
        <v/>
      </c>
      <c r="N213">
        <f>IF($AG213="","","")</f>
        <v/>
      </c>
      <c r="O213">
        <f>IF($AG213="","",INDEX('TMP Paste'!$K$2:$K$1601,$AG213))</f>
        <v/>
      </c>
      <c r="P213">
        <f>IF($AG213="","","")</f>
        <v/>
      </c>
      <c r="Q213">
        <f>IF($AG213="","",INDEX('TMP Paste'!$J$2:$J$1601,$AG213))</f>
        <v/>
      </c>
      <c r="R213">
        <f>IF($AG213="","",Config!$B$24)</f>
        <v/>
      </c>
      <c r="S213">
        <f>IF($AG213="","",TEXT(Config!$B$4,"yyyy-mm-dd"))</f>
        <v/>
      </c>
      <c r="T213">
        <f>IF($AG213="","",Config!$B$17)</f>
        <v/>
      </c>
      <c r="U213">
        <f>IF($AG213="","",Config!$B$18)</f>
        <v/>
      </c>
      <c r="V213">
        <f>IF($AG213="","",Config!$B$19)</f>
        <v/>
      </c>
      <c r="W213">
        <f>IF($AG213="","",INDEX('TMP Paste'!$C$2:$C$1601,$AG213))</f>
        <v/>
      </c>
      <c r="X213">
        <f>IF($AG213="","",Config!$B$29)</f>
        <v/>
      </c>
      <c r="Y213">
        <f>IF($AH213="","",INDEX(Calc!$I$2:$I$1601,$AH213)&amp;" - "&amp;INDEX(Calc!$D$2:$D$1601,$AH213)&amp;" koli")</f>
        <v/>
      </c>
      <c r="Z213">
        <f>IF($AG213="","",Config!$B$21)</f>
        <v/>
      </c>
      <c r="AA213">
        <f>IF($AG213="","",Config!$B$22)</f>
        <v/>
      </c>
      <c r="AB213">
        <f>IF($AH213="","",INDEX(Calc!$D$2:$D$1601,$AH213))</f>
        <v/>
      </c>
      <c r="AC213">
        <f>IF($AH213="","",INDEX(Calc!$G$2:$G$1601,$AH213))</f>
        <v/>
      </c>
      <c r="AD213">
        <f>IF($AG213="","",Config!$B$23)</f>
        <v/>
      </c>
      <c r="AE213">
        <f>IF($AG213="","",Config!$B$28)</f>
        <v/>
      </c>
      <c r="AG213">
        <f>IFERROR(MATCH(ROW()-1,Calc!$J$2:$J$1601,0),"")</f>
        <v/>
      </c>
      <c r="AH213">
        <f>IFERROR(MATCH(ROW()-1,Calc!$K$2:$K$1601,0),"")</f>
        <v/>
      </c>
      <c r="AI213">
        <f>IF($AG213="","",SUMIF($AG$2:$AG213,$AG213,$AH$2:$AH213))</f>
        <v/>
      </c>
      <c r="AJ213">
        <f>IF('TMP Paste'!$F213="","",IF('TMP Paste'!$B213="",$AJ212,'TMP Paste'!$B213))</f>
        <v/>
      </c>
      <c r="AK213">
        <f>IF('TMP Paste'!$F213="","",N('TMP Paste'!$G213))</f>
        <v/>
      </c>
      <c r="AL213">
        <f>IF('TMP Paste'!$F213="","",IF('TMP Paste'!$M213="",$AL212,'TMP Paste'!$M213))</f>
        <v/>
      </c>
      <c r="AM213">
        <f>IF('TMP Paste'!$F213="","",IF('TMP Paste'!$N213="",$AM212,'TMP Paste'!$N213))</f>
        <v/>
      </c>
      <c r="AN213">
        <f>IF('TMP Paste'!$F213="","",IF('TMP Paste'!$O213="",$AN212,'TMP Paste'!$O213))</f>
        <v/>
      </c>
      <c r="AO213">
        <f>IF('TMP Paste'!$F213="","",IF('TMP Paste'!$P213="",$AO212,'TMP Paste'!$P213))</f>
        <v/>
      </c>
      <c r="AP213">
        <f>IF($AG213="","",LEN($R213))</f>
        <v/>
      </c>
      <c r="AQ213">
        <f>IF($AG213="","",TRIM(IF(COUNTIFS(Calc!$B$2:$B$1601,ROW()-1,Calc!$C$2:$C$1601,"&lt;1")&gt;0,"Ada PO tanpa Koli - cek TMP. ","")&amp;IF(LEN($R213)&gt;500,"R &gt; 500 karakter.","")))</f>
        <v/>
      </c>
    </row>
    <row r="214">
      <c r="A214">
        <f>IF($AG214="","",INDEX('TMP Paste'!$B$2:$B$1601,$AG214))</f>
        <v/>
      </c>
      <c r="B214">
        <f>IF($AG214="","",Config!$B$14)</f>
        <v/>
      </c>
      <c r="C214">
        <f>IF($AG214="","",Config!$B$15)</f>
        <v/>
      </c>
      <c r="D214">
        <f>IF($AG214="","",INDEX('TMP Paste'!$B$2:$B$1601,$AG214))</f>
        <v/>
      </c>
      <c r="E214">
        <f>IF($AG214="","",Config!$B$27)</f>
        <v/>
      </c>
      <c r="F214">
        <f>IF($AG214="","",Config!$B$9)</f>
        <v/>
      </c>
      <c r="G214">
        <f>IF($AG214="","",Config!$B$10)</f>
        <v/>
      </c>
      <c r="H214">
        <f>IF($AG214="","",Config!$B$11)</f>
        <v/>
      </c>
      <c r="I214">
        <f>IF($AG214="","",Config!$B$16)</f>
        <v/>
      </c>
      <c r="J214">
        <f>IF($AG214="","",INDEX('TMP Paste'!$A$2:$A$1601,$AG214))</f>
        <v/>
      </c>
      <c r="K214">
        <f>IF($AG214="","",INDEX('TMP Paste'!$L$2:$L$1601,$AG214))</f>
        <v/>
      </c>
      <c r="L214">
        <f>IF($AG214="","",INDEX('TMP Paste'!$I$2:$I$1601,$AG214))</f>
        <v/>
      </c>
      <c r="M214">
        <f>IF($AG214="","",Config!$B$16)</f>
        <v/>
      </c>
      <c r="N214">
        <f>IF($AG214="","","")</f>
        <v/>
      </c>
      <c r="O214">
        <f>IF($AG214="","",INDEX('TMP Paste'!$K$2:$K$1601,$AG214))</f>
        <v/>
      </c>
      <c r="P214">
        <f>IF($AG214="","","")</f>
        <v/>
      </c>
      <c r="Q214">
        <f>IF($AG214="","",INDEX('TMP Paste'!$J$2:$J$1601,$AG214))</f>
        <v/>
      </c>
      <c r="R214">
        <f>IF($AG214="","",Config!$B$24)</f>
        <v/>
      </c>
      <c r="S214">
        <f>IF($AG214="","",TEXT(Config!$B$4,"yyyy-mm-dd"))</f>
        <v/>
      </c>
      <c r="T214">
        <f>IF($AG214="","",Config!$B$17)</f>
        <v/>
      </c>
      <c r="U214">
        <f>IF($AG214="","",Config!$B$18)</f>
        <v/>
      </c>
      <c r="V214">
        <f>IF($AG214="","",Config!$B$19)</f>
        <v/>
      </c>
      <c r="W214">
        <f>IF($AG214="","",INDEX('TMP Paste'!$C$2:$C$1601,$AG214))</f>
        <v/>
      </c>
      <c r="X214">
        <f>IF($AG214="","",Config!$B$29)</f>
        <v/>
      </c>
      <c r="Y214">
        <f>IF($AH214="","",INDEX(Calc!$I$2:$I$1601,$AH214)&amp;" - "&amp;INDEX(Calc!$D$2:$D$1601,$AH214)&amp;" koli")</f>
        <v/>
      </c>
      <c r="Z214">
        <f>IF($AG214="","",Config!$B$21)</f>
        <v/>
      </c>
      <c r="AA214">
        <f>IF($AG214="","",Config!$B$22)</f>
        <v/>
      </c>
      <c r="AB214">
        <f>IF($AH214="","",INDEX(Calc!$D$2:$D$1601,$AH214))</f>
        <v/>
      </c>
      <c r="AC214">
        <f>IF($AH214="","",INDEX(Calc!$G$2:$G$1601,$AH214))</f>
        <v/>
      </c>
      <c r="AD214">
        <f>IF($AG214="","",Config!$B$23)</f>
        <v/>
      </c>
      <c r="AE214">
        <f>IF($AG214="","",Config!$B$28)</f>
        <v/>
      </c>
      <c r="AG214">
        <f>IFERROR(MATCH(ROW()-1,Calc!$J$2:$J$1601,0),"")</f>
        <v/>
      </c>
      <c r="AH214">
        <f>IFERROR(MATCH(ROW()-1,Calc!$K$2:$K$1601,0),"")</f>
        <v/>
      </c>
      <c r="AI214">
        <f>IF($AG214="","",SUMIF($AG$2:$AG214,$AG214,$AH$2:$AH214))</f>
        <v/>
      </c>
      <c r="AJ214">
        <f>IF('TMP Paste'!$F214="","",IF('TMP Paste'!$B214="",$AJ213,'TMP Paste'!$B214))</f>
        <v/>
      </c>
      <c r="AK214">
        <f>IF('TMP Paste'!$F214="","",N('TMP Paste'!$G214))</f>
        <v/>
      </c>
      <c r="AL214">
        <f>IF('TMP Paste'!$F214="","",IF('TMP Paste'!$M214="",$AL213,'TMP Paste'!$M214))</f>
        <v/>
      </c>
      <c r="AM214">
        <f>IF('TMP Paste'!$F214="","",IF('TMP Paste'!$N214="",$AM213,'TMP Paste'!$N214))</f>
        <v/>
      </c>
      <c r="AN214">
        <f>IF('TMP Paste'!$F214="","",IF('TMP Paste'!$O214="",$AN213,'TMP Paste'!$O214))</f>
        <v/>
      </c>
      <c r="AO214">
        <f>IF('TMP Paste'!$F214="","",IF('TMP Paste'!$P214="",$AO213,'TMP Paste'!$P214))</f>
        <v/>
      </c>
      <c r="AP214">
        <f>IF($AG214="","",LEN($R214))</f>
        <v/>
      </c>
      <c r="AQ214">
        <f>IF($AG214="","",TRIM(IF(COUNTIFS(Calc!$B$2:$B$1601,ROW()-1,Calc!$C$2:$C$1601,"&lt;1")&gt;0,"Ada PO tanpa Koli - cek TMP. ","")&amp;IF(LEN($R214)&gt;500,"R &gt; 500 karakter.","")))</f>
        <v/>
      </c>
    </row>
    <row r="215">
      <c r="A215">
        <f>IF($AG215="","",INDEX('TMP Paste'!$B$2:$B$1601,$AG215))</f>
        <v/>
      </c>
      <c r="B215">
        <f>IF($AG215="","",Config!$B$14)</f>
        <v/>
      </c>
      <c r="C215">
        <f>IF($AG215="","",Config!$B$15)</f>
        <v/>
      </c>
      <c r="D215">
        <f>IF($AG215="","",INDEX('TMP Paste'!$B$2:$B$1601,$AG215))</f>
        <v/>
      </c>
      <c r="E215">
        <f>IF($AG215="","",Config!$B$27)</f>
        <v/>
      </c>
      <c r="F215">
        <f>IF($AG215="","",Config!$B$9)</f>
        <v/>
      </c>
      <c r="G215">
        <f>IF($AG215="","",Config!$B$10)</f>
        <v/>
      </c>
      <c r="H215">
        <f>IF($AG215="","",Config!$B$11)</f>
        <v/>
      </c>
      <c r="I215">
        <f>IF($AG215="","",Config!$B$16)</f>
        <v/>
      </c>
      <c r="J215">
        <f>IF($AG215="","",INDEX('TMP Paste'!$A$2:$A$1601,$AG215))</f>
        <v/>
      </c>
      <c r="K215">
        <f>IF($AG215="","",INDEX('TMP Paste'!$L$2:$L$1601,$AG215))</f>
        <v/>
      </c>
      <c r="L215">
        <f>IF($AG215="","",INDEX('TMP Paste'!$I$2:$I$1601,$AG215))</f>
        <v/>
      </c>
      <c r="M215">
        <f>IF($AG215="","",Config!$B$16)</f>
        <v/>
      </c>
      <c r="N215">
        <f>IF($AG215="","","")</f>
        <v/>
      </c>
      <c r="O215">
        <f>IF($AG215="","",INDEX('TMP Paste'!$K$2:$K$1601,$AG215))</f>
        <v/>
      </c>
      <c r="P215">
        <f>IF($AG215="","","")</f>
        <v/>
      </c>
      <c r="Q215">
        <f>IF($AG215="","",INDEX('TMP Paste'!$J$2:$J$1601,$AG215))</f>
        <v/>
      </c>
      <c r="R215">
        <f>IF($AG215="","",Config!$B$24)</f>
        <v/>
      </c>
      <c r="S215">
        <f>IF($AG215="","",TEXT(Config!$B$4,"yyyy-mm-dd"))</f>
        <v/>
      </c>
      <c r="T215">
        <f>IF($AG215="","",Config!$B$17)</f>
        <v/>
      </c>
      <c r="U215">
        <f>IF($AG215="","",Config!$B$18)</f>
        <v/>
      </c>
      <c r="V215">
        <f>IF($AG215="","",Config!$B$19)</f>
        <v/>
      </c>
      <c r="W215">
        <f>IF($AG215="","",INDEX('TMP Paste'!$C$2:$C$1601,$AG215))</f>
        <v/>
      </c>
      <c r="X215">
        <f>IF($AG215="","",Config!$B$29)</f>
        <v/>
      </c>
      <c r="Y215">
        <f>IF($AH215="","",INDEX(Calc!$I$2:$I$1601,$AH215)&amp;" - "&amp;INDEX(Calc!$D$2:$D$1601,$AH215)&amp;" koli")</f>
        <v/>
      </c>
      <c r="Z215">
        <f>IF($AG215="","",Config!$B$21)</f>
        <v/>
      </c>
      <c r="AA215">
        <f>IF($AG215="","",Config!$B$22)</f>
        <v/>
      </c>
      <c r="AB215">
        <f>IF($AH215="","",INDEX(Calc!$D$2:$D$1601,$AH215))</f>
        <v/>
      </c>
      <c r="AC215">
        <f>IF($AH215="","",INDEX(Calc!$G$2:$G$1601,$AH215))</f>
        <v/>
      </c>
      <c r="AD215">
        <f>IF($AG215="","",Config!$B$23)</f>
        <v/>
      </c>
      <c r="AE215">
        <f>IF($AG215="","",Config!$B$28)</f>
        <v/>
      </c>
      <c r="AG215">
        <f>IFERROR(MATCH(ROW()-1,Calc!$J$2:$J$1601,0),"")</f>
        <v/>
      </c>
      <c r="AH215">
        <f>IFERROR(MATCH(ROW()-1,Calc!$K$2:$K$1601,0),"")</f>
        <v/>
      </c>
      <c r="AI215">
        <f>IF($AG215="","",SUMIF($AG$2:$AG215,$AG215,$AH$2:$AH215))</f>
        <v/>
      </c>
      <c r="AJ215">
        <f>IF('TMP Paste'!$F215="","",IF('TMP Paste'!$B215="",$AJ214,'TMP Paste'!$B215))</f>
        <v/>
      </c>
      <c r="AK215">
        <f>IF('TMP Paste'!$F215="","",N('TMP Paste'!$G215))</f>
        <v/>
      </c>
      <c r="AL215">
        <f>IF('TMP Paste'!$F215="","",IF('TMP Paste'!$M215="",$AL214,'TMP Paste'!$M215))</f>
        <v/>
      </c>
      <c r="AM215">
        <f>IF('TMP Paste'!$F215="","",IF('TMP Paste'!$N215="",$AM214,'TMP Paste'!$N215))</f>
        <v/>
      </c>
      <c r="AN215">
        <f>IF('TMP Paste'!$F215="","",IF('TMP Paste'!$O215="",$AN214,'TMP Paste'!$O215))</f>
        <v/>
      </c>
      <c r="AO215">
        <f>IF('TMP Paste'!$F215="","",IF('TMP Paste'!$P215="",$AO214,'TMP Paste'!$P215))</f>
        <v/>
      </c>
      <c r="AP215">
        <f>IF($AG215="","",LEN($R215))</f>
        <v/>
      </c>
      <c r="AQ215">
        <f>IF($AG215="","",TRIM(IF(COUNTIFS(Calc!$B$2:$B$1601,ROW()-1,Calc!$C$2:$C$1601,"&lt;1")&gt;0,"Ada PO tanpa Koli - cek TMP. ","")&amp;IF(LEN($R215)&gt;500,"R &gt; 500 karakter.","")))</f>
        <v/>
      </c>
    </row>
    <row r="216">
      <c r="A216">
        <f>IF($AG216="","",INDEX('TMP Paste'!$B$2:$B$1601,$AG216))</f>
        <v/>
      </c>
      <c r="B216">
        <f>IF($AG216="","",Config!$B$14)</f>
        <v/>
      </c>
      <c r="C216">
        <f>IF($AG216="","",Config!$B$15)</f>
        <v/>
      </c>
      <c r="D216">
        <f>IF($AG216="","",INDEX('TMP Paste'!$B$2:$B$1601,$AG216))</f>
        <v/>
      </c>
      <c r="E216">
        <f>IF($AG216="","",Config!$B$27)</f>
        <v/>
      </c>
      <c r="F216">
        <f>IF($AG216="","",Config!$B$9)</f>
        <v/>
      </c>
      <c r="G216">
        <f>IF($AG216="","",Config!$B$10)</f>
        <v/>
      </c>
      <c r="H216">
        <f>IF($AG216="","",Config!$B$11)</f>
        <v/>
      </c>
      <c r="I216">
        <f>IF($AG216="","",Config!$B$16)</f>
        <v/>
      </c>
      <c r="J216">
        <f>IF($AG216="","",INDEX('TMP Paste'!$A$2:$A$1601,$AG216))</f>
        <v/>
      </c>
      <c r="K216">
        <f>IF($AG216="","",INDEX('TMP Paste'!$L$2:$L$1601,$AG216))</f>
        <v/>
      </c>
      <c r="L216">
        <f>IF($AG216="","",INDEX('TMP Paste'!$I$2:$I$1601,$AG216))</f>
        <v/>
      </c>
      <c r="M216">
        <f>IF($AG216="","",Config!$B$16)</f>
        <v/>
      </c>
      <c r="N216">
        <f>IF($AG216="","","")</f>
        <v/>
      </c>
      <c r="O216">
        <f>IF($AG216="","",INDEX('TMP Paste'!$K$2:$K$1601,$AG216))</f>
        <v/>
      </c>
      <c r="P216">
        <f>IF($AG216="","","")</f>
        <v/>
      </c>
      <c r="Q216">
        <f>IF($AG216="","",INDEX('TMP Paste'!$J$2:$J$1601,$AG216))</f>
        <v/>
      </c>
      <c r="R216">
        <f>IF($AG216="","",Config!$B$24)</f>
        <v/>
      </c>
      <c r="S216">
        <f>IF($AG216="","",TEXT(Config!$B$4,"yyyy-mm-dd"))</f>
        <v/>
      </c>
      <c r="T216">
        <f>IF($AG216="","",Config!$B$17)</f>
        <v/>
      </c>
      <c r="U216">
        <f>IF($AG216="","",Config!$B$18)</f>
        <v/>
      </c>
      <c r="V216">
        <f>IF($AG216="","",Config!$B$19)</f>
        <v/>
      </c>
      <c r="W216">
        <f>IF($AG216="","",INDEX('TMP Paste'!$C$2:$C$1601,$AG216))</f>
        <v/>
      </c>
      <c r="X216">
        <f>IF($AG216="","",Config!$B$29)</f>
        <v/>
      </c>
      <c r="Y216">
        <f>IF($AH216="","",INDEX(Calc!$I$2:$I$1601,$AH216)&amp;" - "&amp;INDEX(Calc!$D$2:$D$1601,$AH216)&amp;" koli")</f>
        <v/>
      </c>
      <c r="Z216">
        <f>IF($AG216="","",Config!$B$21)</f>
        <v/>
      </c>
      <c r="AA216">
        <f>IF($AG216="","",Config!$B$22)</f>
        <v/>
      </c>
      <c r="AB216">
        <f>IF($AH216="","",INDEX(Calc!$D$2:$D$1601,$AH216))</f>
        <v/>
      </c>
      <c r="AC216">
        <f>IF($AH216="","",INDEX(Calc!$G$2:$G$1601,$AH216))</f>
        <v/>
      </c>
      <c r="AD216">
        <f>IF($AG216="","",Config!$B$23)</f>
        <v/>
      </c>
      <c r="AE216">
        <f>IF($AG216="","",Config!$B$28)</f>
        <v/>
      </c>
      <c r="AG216">
        <f>IFERROR(MATCH(ROW()-1,Calc!$J$2:$J$1601,0),"")</f>
        <v/>
      </c>
      <c r="AH216">
        <f>IFERROR(MATCH(ROW()-1,Calc!$K$2:$K$1601,0),"")</f>
        <v/>
      </c>
      <c r="AI216">
        <f>IF($AG216="","",SUMIF($AG$2:$AG216,$AG216,$AH$2:$AH216))</f>
        <v/>
      </c>
      <c r="AJ216">
        <f>IF('TMP Paste'!$F216="","",IF('TMP Paste'!$B216="",$AJ215,'TMP Paste'!$B216))</f>
        <v/>
      </c>
      <c r="AK216">
        <f>IF('TMP Paste'!$F216="","",N('TMP Paste'!$G216))</f>
        <v/>
      </c>
      <c r="AL216">
        <f>IF('TMP Paste'!$F216="","",IF('TMP Paste'!$M216="",$AL215,'TMP Paste'!$M216))</f>
        <v/>
      </c>
      <c r="AM216">
        <f>IF('TMP Paste'!$F216="","",IF('TMP Paste'!$N216="",$AM215,'TMP Paste'!$N216))</f>
        <v/>
      </c>
      <c r="AN216">
        <f>IF('TMP Paste'!$F216="","",IF('TMP Paste'!$O216="",$AN215,'TMP Paste'!$O216))</f>
        <v/>
      </c>
      <c r="AO216">
        <f>IF('TMP Paste'!$F216="","",IF('TMP Paste'!$P216="",$AO215,'TMP Paste'!$P216))</f>
        <v/>
      </c>
      <c r="AP216">
        <f>IF($AG216="","",LEN($R216))</f>
        <v/>
      </c>
      <c r="AQ216">
        <f>IF($AG216="","",TRIM(IF(COUNTIFS(Calc!$B$2:$B$1601,ROW()-1,Calc!$C$2:$C$1601,"&lt;1")&gt;0,"Ada PO tanpa Koli - cek TMP. ","")&amp;IF(LEN($R216)&gt;500,"R &gt; 500 karakter.","")))</f>
        <v/>
      </c>
    </row>
    <row r="217">
      <c r="A217">
        <f>IF($AG217="","",INDEX('TMP Paste'!$B$2:$B$1601,$AG217))</f>
        <v/>
      </c>
      <c r="B217">
        <f>IF($AG217="","",Config!$B$14)</f>
        <v/>
      </c>
      <c r="C217">
        <f>IF($AG217="","",Config!$B$15)</f>
        <v/>
      </c>
      <c r="D217">
        <f>IF($AG217="","",INDEX('TMP Paste'!$B$2:$B$1601,$AG217))</f>
        <v/>
      </c>
      <c r="E217">
        <f>IF($AG217="","",Config!$B$27)</f>
        <v/>
      </c>
      <c r="F217">
        <f>IF($AG217="","",Config!$B$9)</f>
        <v/>
      </c>
      <c r="G217">
        <f>IF($AG217="","",Config!$B$10)</f>
        <v/>
      </c>
      <c r="H217">
        <f>IF($AG217="","",Config!$B$11)</f>
        <v/>
      </c>
      <c r="I217">
        <f>IF($AG217="","",Config!$B$16)</f>
        <v/>
      </c>
      <c r="J217">
        <f>IF($AG217="","",INDEX('TMP Paste'!$A$2:$A$1601,$AG217))</f>
        <v/>
      </c>
      <c r="K217">
        <f>IF($AG217="","",INDEX('TMP Paste'!$L$2:$L$1601,$AG217))</f>
        <v/>
      </c>
      <c r="L217">
        <f>IF($AG217="","",INDEX('TMP Paste'!$I$2:$I$1601,$AG217))</f>
        <v/>
      </c>
      <c r="M217">
        <f>IF($AG217="","",Config!$B$16)</f>
        <v/>
      </c>
      <c r="N217">
        <f>IF($AG217="","","")</f>
        <v/>
      </c>
      <c r="O217">
        <f>IF($AG217="","",INDEX('TMP Paste'!$K$2:$K$1601,$AG217))</f>
        <v/>
      </c>
      <c r="P217">
        <f>IF($AG217="","","")</f>
        <v/>
      </c>
      <c r="Q217">
        <f>IF($AG217="","",INDEX('TMP Paste'!$J$2:$J$1601,$AG217))</f>
        <v/>
      </c>
      <c r="R217">
        <f>IF($AG217="","",Config!$B$24)</f>
        <v/>
      </c>
      <c r="S217">
        <f>IF($AG217="","",TEXT(Config!$B$4,"yyyy-mm-dd"))</f>
        <v/>
      </c>
      <c r="T217">
        <f>IF($AG217="","",Config!$B$17)</f>
        <v/>
      </c>
      <c r="U217">
        <f>IF($AG217="","",Config!$B$18)</f>
        <v/>
      </c>
      <c r="V217">
        <f>IF($AG217="","",Config!$B$19)</f>
        <v/>
      </c>
      <c r="W217">
        <f>IF($AG217="","",INDEX('TMP Paste'!$C$2:$C$1601,$AG217))</f>
        <v/>
      </c>
      <c r="X217">
        <f>IF($AG217="","",Config!$B$29)</f>
        <v/>
      </c>
      <c r="Y217">
        <f>IF($AH217="","",INDEX(Calc!$I$2:$I$1601,$AH217)&amp;" - "&amp;INDEX(Calc!$D$2:$D$1601,$AH217)&amp;" koli")</f>
        <v/>
      </c>
      <c r="Z217">
        <f>IF($AG217="","",Config!$B$21)</f>
        <v/>
      </c>
      <c r="AA217">
        <f>IF($AG217="","",Config!$B$22)</f>
        <v/>
      </c>
      <c r="AB217">
        <f>IF($AH217="","",INDEX(Calc!$D$2:$D$1601,$AH217))</f>
        <v/>
      </c>
      <c r="AC217">
        <f>IF($AH217="","",INDEX(Calc!$G$2:$G$1601,$AH217))</f>
        <v/>
      </c>
      <c r="AD217">
        <f>IF($AG217="","",Config!$B$23)</f>
        <v/>
      </c>
      <c r="AE217">
        <f>IF($AG217="","",Config!$B$28)</f>
        <v/>
      </c>
      <c r="AG217">
        <f>IFERROR(MATCH(ROW()-1,Calc!$J$2:$J$1601,0),"")</f>
        <v/>
      </c>
      <c r="AH217">
        <f>IFERROR(MATCH(ROW()-1,Calc!$K$2:$K$1601,0),"")</f>
        <v/>
      </c>
      <c r="AI217">
        <f>IF($AG217="","",SUMIF($AG$2:$AG217,$AG217,$AH$2:$AH217))</f>
        <v/>
      </c>
      <c r="AJ217">
        <f>IF('TMP Paste'!$F217="","",IF('TMP Paste'!$B217="",$AJ216,'TMP Paste'!$B217))</f>
        <v/>
      </c>
      <c r="AK217">
        <f>IF('TMP Paste'!$F217="","",N('TMP Paste'!$G217))</f>
        <v/>
      </c>
      <c r="AL217">
        <f>IF('TMP Paste'!$F217="","",IF('TMP Paste'!$M217="",$AL216,'TMP Paste'!$M217))</f>
        <v/>
      </c>
      <c r="AM217">
        <f>IF('TMP Paste'!$F217="","",IF('TMP Paste'!$N217="",$AM216,'TMP Paste'!$N217))</f>
        <v/>
      </c>
      <c r="AN217">
        <f>IF('TMP Paste'!$F217="","",IF('TMP Paste'!$O217="",$AN216,'TMP Paste'!$O217))</f>
        <v/>
      </c>
      <c r="AO217">
        <f>IF('TMP Paste'!$F217="","",IF('TMP Paste'!$P217="",$AO216,'TMP Paste'!$P217))</f>
        <v/>
      </c>
      <c r="AP217">
        <f>IF($AG217="","",LEN($R217))</f>
        <v/>
      </c>
      <c r="AQ217">
        <f>IF($AG217="","",TRIM(IF(COUNTIFS(Calc!$B$2:$B$1601,ROW()-1,Calc!$C$2:$C$1601,"&lt;1")&gt;0,"Ada PO tanpa Koli - cek TMP. ","")&amp;IF(LEN($R217)&gt;500,"R &gt; 500 karakter.","")))</f>
        <v/>
      </c>
    </row>
    <row r="218">
      <c r="A218">
        <f>IF($AG218="","",INDEX('TMP Paste'!$B$2:$B$1601,$AG218))</f>
        <v/>
      </c>
      <c r="B218">
        <f>IF($AG218="","",Config!$B$14)</f>
        <v/>
      </c>
      <c r="C218">
        <f>IF($AG218="","",Config!$B$15)</f>
        <v/>
      </c>
      <c r="D218">
        <f>IF($AG218="","",INDEX('TMP Paste'!$B$2:$B$1601,$AG218))</f>
        <v/>
      </c>
      <c r="E218">
        <f>IF($AG218="","",Config!$B$27)</f>
        <v/>
      </c>
      <c r="F218">
        <f>IF($AG218="","",Config!$B$9)</f>
        <v/>
      </c>
      <c r="G218">
        <f>IF($AG218="","",Config!$B$10)</f>
        <v/>
      </c>
      <c r="H218">
        <f>IF($AG218="","",Config!$B$11)</f>
        <v/>
      </c>
      <c r="I218">
        <f>IF($AG218="","",Config!$B$16)</f>
        <v/>
      </c>
      <c r="J218">
        <f>IF($AG218="","",INDEX('TMP Paste'!$A$2:$A$1601,$AG218))</f>
        <v/>
      </c>
      <c r="K218">
        <f>IF($AG218="","",INDEX('TMP Paste'!$L$2:$L$1601,$AG218))</f>
        <v/>
      </c>
      <c r="L218">
        <f>IF($AG218="","",INDEX('TMP Paste'!$I$2:$I$1601,$AG218))</f>
        <v/>
      </c>
      <c r="M218">
        <f>IF($AG218="","",Config!$B$16)</f>
        <v/>
      </c>
      <c r="N218">
        <f>IF($AG218="","","")</f>
        <v/>
      </c>
      <c r="O218">
        <f>IF($AG218="","",INDEX('TMP Paste'!$K$2:$K$1601,$AG218))</f>
        <v/>
      </c>
      <c r="P218">
        <f>IF($AG218="","","")</f>
        <v/>
      </c>
      <c r="Q218">
        <f>IF($AG218="","",INDEX('TMP Paste'!$J$2:$J$1601,$AG218))</f>
        <v/>
      </c>
      <c r="R218">
        <f>IF($AG218="","",Config!$B$24)</f>
        <v/>
      </c>
      <c r="S218">
        <f>IF($AG218="","",TEXT(Config!$B$4,"yyyy-mm-dd"))</f>
        <v/>
      </c>
      <c r="T218">
        <f>IF($AG218="","",Config!$B$17)</f>
        <v/>
      </c>
      <c r="U218">
        <f>IF($AG218="","",Config!$B$18)</f>
        <v/>
      </c>
      <c r="V218">
        <f>IF($AG218="","",Config!$B$19)</f>
        <v/>
      </c>
      <c r="W218">
        <f>IF($AG218="","",INDEX('TMP Paste'!$C$2:$C$1601,$AG218))</f>
        <v/>
      </c>
      <c r="X218">
        <f>IF($AG218="","",Config!$B$29)</f>
        <v/>
      </c>
      <c r="Y218">
        <f>IF($AH218="","",INDEX(Calc!$I$2:$I$1601,$AH218)&amp;" - "&amp;INDEX(Calc!$D$2:$D$1601,$AH218)&amp;" koli")</f>
        <v/>
      </c>
      <c r="Z218">
        <f>IF($AG218="","",Config!$B$21)</f>
        <v/>
      </c>
      <c r="AA218">
        <f>IF($AG218="","",Config!$B$22)</f>
        <v/>
      </c>
      <c r="AB218">
        <f>IF($AH218="","",INDEX(Calc!$D$2:$D$1601,$AH218))</f>
        <v/>
      </c>
      <c r="AC218">
        <f>IF($AH218="","",INDEX(Calc!$G$2:$G$1601,$AH218))</f>
        <v/>
      </c>
      <c r="AD218">
        <f>IF($AG218="","",Config!$B$23)</f>
        <v/>
      </c>
      <c r="AE218">
        <f>IF($AG218="","",Config!$B$28)</f>
        <v/>
      </c>
      <c r="AG218">
        <f>IFERROR(MATCH(ROW()-1,Calc!$J$2:$J$1601,0),"")</f>
        <v/>
      </c>
      <c r="AH218">
        <f>IFERROR(MATCH(ROW()-1,Calc!$K$2:$K$1601,0),"")</f>
        <v/>
      </c>
      <c r="AI218">
        <f>IF($AG218="","",SUMIF($AG$2:$AG218,$AG218,$AH$2:$AH218))</f>
        <v/>
      </c>
      <c r="AJ218">
        <f>IF('TMP Paste'!$F218="","",IF('TMP Paste'!$B218="",$AJ217,'TMP Paste'!$B218))</f>
        <v/>
      </c>
      <c r="AK218">
        <f>IF('TMP Paste'!$F218="","",N('TMP Paste'!$G218))</f>
        <v/>
      </c>
      <c r="AL218">
        <f>IF('TMP Paste'!$F218="","",IF('TMP Paste'!$M218="",$AL217,'TMP Paste'!$M218))</f>
        <v/>
      </c>
      <c r="AM218">
        <f>IF('TMP Paste'!$F218="","",IF('TMP Paste'!$N218="",$AM217,'TMP Paste'!$N218))</f>
        <v/>
      </c>
      <c r="AN218">
        <f>IF('TMP Paste'!$F218="","",IF('TMP Paste'!$O218="",$AN217,'TMP Paste'!$O218))</f>
        <v/>
      </c>
      <c r="AO218">
        <f>IF('TMP Paste'!$F218="","",IF('TMP Paste'!$P218="",$AO217,'TMP Paste'!$P218))</f>
        <v/>
      </c>
      <c r="AP218">
        <f>IF($AG218="","",LEN($R218))</f>
        <v/>
      </c>
      <c r="AQ218">
        <f>IF($AG218="","",TRIM(IF(COUNTIFS(Calc!$B$2:$B$1601,ROW()-1,Calc!$C$2:$C$1601,"&lt;1")&gt;0,"Ada PO tanpa Koli - cek TMP. ","")&amp;IF(LEN($R218)&gt;500,"R &gt; 500 karakter.","")))</f>
        <v/>
      </c>
    </row>
    <row r="219">
      <c r="A219">
        <f>IF($AG219="","",INDEX('TMP Paste'!$B$2:$B$1601,$AG219))</f>
        <v/>
      </c>
      <c r="B219">
        <f>IF($AG219="","",Config!$B$14)</f>
        <v/>
      </c>
      <c r="C219">
        <f>IF($AG219="","",Config!$B$15)</f>
        <v/>
      </c>
      <c r="D219">
        <f>IF($AG219="","",INDEX('TMP Paste'!$B$2:$B$1601,$AG219))</f>
        <v/>
      </c>
      <c r="E219">
        <f>IF($AG219="","",Config!$B$27)</f>
        <v/>
      </c>
      <c r="F219">
        <f>IF($AG219="","",Config!$B$9)</f>
        <v/>
      </c>
      <c r="G219">
        <f>IF($AG219="","",Config!$B$10)</f>
        <v/>
      </c>
      <c r="H219">
        <f>IF($AG219="","",Config!$B$11)</f>
        <v/>
      </c>
      <c r="I219">
        <f>IF($AG219="","",Config!$B$16)</f>
        <v/>
      </c>
      <c r="J219">
        <f>IF($AG219="","",INDEX('TMP Paste'!$A$2:$A$1601,$AG219))</f>
        <v/>
      </c>
      <c r="K219">
        <f>IF($AG219="","",INDEX('TMP Paste'!$L$2:$L$1601,$AG219))</f>
        <v/>
      </c>
      <c r="L219">
        <f>IF($AG219="","",INDEX('TMP Paste'!$I$2:$I$1601,$AG219))</f>
        <v/>
      </c>
      <c r="M219">
        <f>IF($AG219="","",Config!$B$16)</f>
        <v/>
      </c>
      <c r="N219">
        <f>IF($AG219="","","")</f>
        <v/>
      </c>
      <c r="O219">
        <f>IF($AG219="","",INDEX('TMP Paste'!$K$2:$K$1601,$AG219))</f>
        <v/>
      </c>
      <c r="P219">
        <f>IF($AG219="","","")</f>
        <v/>
      </c>
      <c r="Q219">
        <f>IF($AG219="","",INDEX('TMP Paste'!$J$2:$J$1601,$AG219))</f>
        <v/>
      </c>
      <c r="R219">
        <f>IF($AG219="","",Config!$B$24)</f>
        <v/>
      </c>
      <c r="S219">
        <f>IF($AG219="","",TEXT(Config!$B$4,"yyyy-mm-dd"))</f>
        <v/>
      </c>
      <c r="T219">
        <f>IF($AG219="","",Config!$B$17)</f>
        <v/>
      </c>
      <c r="U219">
        <f>IF($AG219="","",Config!$B$18)</f>
        <v/>
      </c>
      <c r="V219">
        <f>IF($AG219="","",Config!$B$19)</f>
        <v/>
      </c>
      <c r="W219">
        <f>IF($AG219="","",INDEX('TMP Paste'!$C$2:$C$1601,$AG219))</f>
        <v/>
      </c>
      <c r="X219">
        <f>IF($AG219="","",Config!$B$29)</f>
        <v/>
      </c>
      <c r="Y219">
        <f>IF($AH219="","",INDEX(Calc!$I$2:$I$1601,$AH219)&amp;" - "&amp;INDEX(Calc!$D$2:$D$1601,$AH219)&amp;" koli")</f>
        <v/>
      </c>
      <c r="Z219">
        <f>IF($AG219="","",Config!$B$21)</f>
        <v/>
      </c>
      <c r="AA219">
        <f>IF($AG219="","",Config!$B$22)</f>
        <v/>
      </c>
      <c r="AB219">
        <f>IF($AH219="","",INDEX(Calc!$D$2:$D$1601,$AH219))</f>
        <v/>
      </c>
      <c r="AC219">
        <f>IF($AH219="","",INDEX(Calc!$G$2:$G$1601,$AH219))</f>
        <v/>
      </c>
      <c r="AD219">
        <f>IF($AG219="","",Config!$B$23)</f>
        <v/>
      </c>
      <c r="AE219">
        <f>IF($AG219="","",Config!$B$28)</f>
        <v/>
      </c>
      <c r="AG219">
        <f>IFERROR(MATCH(ROW()-1,Calc!$J$2:$J$1601,0),"")</f>
        <v/>
      </c>
      <c r="AH219">
        <f>IFERROR(MATCH(ROW()-1,Calc!$K$2:$K$1601,0),"")</f>
        <v/>
      </c>
      <c r="AI219">
        <f>IF($AG219="","",SUMIF($AG$2:$AG219,$AG219,$AH$2:$AH219))</f>
        <v/>
      </c>
      <c r="AJ219">
        <f>IF('TMP Paste'!$F219="","",IF('TMP Paste'!$B219="",$AJ218,'TMP Paste'!$B219))</f>
        <v/>
      </c>
      <c r="AK219">
        <f>IF('TMP Paste'!$F219="","",N('TMP Paste'!$G219))</f>
        <v/>
      </c>
      <c r="AL219">
        <f>IF('TMP Paste'!$F219="","",IF('TMP Paste'!$M219="",$AL218,'TMP Paste'!$M219))</f>
        <v/>
      </c>
      <c r="AM219">
        <f>IF('TMP Paste'!$F219="","",IF('TMP Paste'!$N219="",$AM218,'TMP Paste'!$N219))</f>
        <v/>
      </c>
      <c r="AN219">
        <f>IF('TMP Paste'!$F219="","",IF('TMP Paste'!$O219="",$AN218,'TMP Paste'!$O219))</f>
        <v/>
      </c>
      <c r="AO219">
        <f>IF('TMP Paste'!$F219="","",IF('TMP Paste'!$P219="",$AO218,'TMP Paste'!$P219))</f>
        <v/>
      </c>
      <c r="AP219">
        <f>IF($AG219="","",LEN($R219))</f>
        <v/>
      </c>
      <c r="AQ219">
        <f>IF($AG219="","",TRIM(IF(COUNTIFS(Calc!$B$2:$B$1601,ROW()-1,Calc!$C$2:$C$1601,"&lt;1")&gt;0,"Ada PO tanpa Koli - cek TMP. ","")&amp;IF(LEN($R219)&gt;500,"R &gt; 500 karakter.","")))</f>
        <v/>
      </c>
    </row>
    <row r="220">
      <c r="A220">
        <f>IF($AG220="","",INDEX('TMP Paste'!$B$2:$B$1601,$AG220))</f>
        <v/>
      </c>
      <c r="B220">
        <f>IF($AG220="","",Config!$B$14)</f>
        <v/>
      </c>
      <c r="C220">
        <f>IF($AG220="","",Config!$B$15)</f>
        <v/>
      </c>
      <c r="D220">
        <f>IF($AG220="","",INDEX('TMP Paste'!$B$2:$B$1601,$AG220))</f>
        <v/>
      </c>
      <c r="E220">
        <f>IF($AG220="","",Config!$B$27)</f>
        <v/>
      </c>
      <c r="F220">
        <f>IF($AG220="","",Config!$B$9)</f>
        <v/>
      </c>
      <c r="G220">
        <f>IF($AG220="","",Config!$B$10)</f>
        <v/>
      </c>
      <c r="H220">
        <f>IF($AG220="","",Config!$B$11)</f>
        <v/>
      </c>
      <c r="I220">
        <f>IF($AG220="","",Config!$B$16)</f>
        <v/>
      </c>
      <c r="J220">
        <f>IF($AG220="","",INDEX('TMP Paste'!$A$2:$A$1601,$AG220))</f>
        <v/>
      </c>
      <c r="K220">
        <f>IF($AG220="","",INDEX('TMP Paste'!$L$2:$L$1601,$AG220))</f>
        <v/>
      </c>
      <c r="L220">
        <f>IF($AG220="","",INDEX('TMP Paste'!$I$2:$I$1601,$AG220))</f>
        <v/>
      </c>
      <c r="M220">
        <f>IF($AG220="","",Config!$B$16)</f>
        <v/>
      </c>
      <c r="N220">
        <f>IF($AG220="","","")</f>
        <v/>
      </c>
      <c r="O220">
        <f>IF($AG220="","",INDEX('TMP Paste'!$K$2:$K$1601,$AG220))</f>
        <v/>
      </c>
      <c r="P220">
        <f>IF($AG220="","","")</f>
        <v/>
      </c>
      <c r="Q220">
        <f>IF($AG220="","",INDEX('TMP Paste'!$J$2:$J$1601,$AG220))</f>
        <v/>
      </c>
      <c r="R220">
        <f>IF($AG220="","",Config!$B$24)</f>
        <v/>
      </c>
      <c r="S220">
        <f>IF($AG220="","",TEXT(Config!$B$4,"yyyy-mm-dd"))</f>
        <v/>
      </c>
      <c r="T220">
        <f>IF($AG220="","",Config!$B$17)</f>
        <v/>
      </c>
      <c r="U220">
        <f>IF($AG220="","",Config!$B$18)</f>
        <v/>
      </c>
      <c r="V220">
        <f>IF($AG220="","",Config!$B$19)</f>
        <v/>
      </c>
      <c r="W220">
        <f>IF($AG220="","",INDEX('TMP Paste'!$C$2:$C$1601,$AG220))</f>
        <v/>
      </c>
      <c r="X220">
        <f>IF($AG220="","",Config!$B$29)</f>
        <v/>
      </c>
      <c r="Y220">
        <f>IF($AH220="","",INDEX(Calc!$I$2:$I$1601,$AH220)&amp;" - "&amp;INDEX(Calc!$D$2:$D$1601,$AH220)&amp;" koli")</f>
        <v/>
      </c>
      <c r="Z220">
        <f>IF($AG220="","",Config!$B$21)</f>
        <v/>
      </c>
      <c r="AA220">
        <f>IF($AG220="","",Config!$B$22)</f>
        <v/>
      </c>
      <c r="AB220">
        <f>IF($AH220="","",INDEX(Calc!$D$2:$D$1601,$AH220))</f>
        <v/>
      </c>
      <c r="AC220">
        <f>IF($AH220="","",INDEX(Calc!$G$2:$G$1601,$AH220))</f>
        <v/>
      </c>
      <c r="AD220">
        <f>IF($AG220="","",Config!$B$23)</f>
        <v/>
      </c>
      <c r="AE220">
        <f>IF($AG220="","",Config!$B$28)</f>
        <v/>
      </c>
      <c r="AG220">
        <f>IFERROR(MATCH(ROW()-1,Calc!$J$2:$J$1601,0),"")</f>
        <v/>
      </c>
      <c r="AH220">
        <f>IFERROR(MATCH(ROW()-1,Calc!$K$2:$K$1601,0),"")</f>
        <v/>
      </c>
      <c r="AI220">
        <f>IF($AG220="","",SUMIF($AG$2:$AG220,$AG220,$AH$2:$AH220))</f>
        <v/>
      </c>
      <c r="AJ220">
        <f>IF('TMP Paste'!$F220="","",IF('TMP Paste'!$B220="",$AJ219,'TMP Paste'!$B220))</f>
        <v/>
      </c>
      <c r="AK220">
        <f>IF('TMP Paste'!$F220="","",N('TMP Paste'!$G220))</f>
        <v/>
      </c>
      <c r="AL220">
        <f>IF('TMP Paste'!$F220="","",IF('TMP Paste'!$M220="",$AL219,'TMP Paste'!$M220))</f>
        <v/>
      </c>
      <c r="AM220">
        <f>IF('TMP Paste'!$F220="","",IF('TMP Paste'!$N220="",$AM219,'TMP Paste'!$N220))</f>
        <v/>
      </c>
      <c r="AN220">
        <f>IF('TMP Paste'!$F220="","",IF('TMP Paste'!$O220="",$AN219,'TMP Paste'!$O220))</f>
        <v/>
      </c>
      <c r="AO220">
        <f>IF('TMP Paste'!$F220="","",IF('TMP Paste'!$P220="",$AO219,'TMP Paste'!$P220))</f>
        <v/>
      </c>
      <c r="AP220">
        <f>IF($AG220="","",LEN($R220))</f>
        <v/>
      </c>
      <c r="AQ220">
        <f>IF($AG220="","",TRIM(IF(COUNTIFS(Calc!$B$2:$B$1601,ROW()-1,Calc!$C$2:$C$1601,"&lt;1")&gt;0,"Ada PO tanpa Koli - cek TMP. ","")&amp;IF(LEN($R220)&gt;500,"R &gt; 500 karakter.","")))</f>
        <v/>
      </c>
    </row>
    <row r="221">
      <c r="A221">
        <f>IF($AG221="","",INDEX('TMP Paste'!$B$2:$B$1601,$AG221))</f>
        <v/>
      </c>
      <c r="B221">
        <f>IF($AG221="","",Config!$B$14)</f>
        <v/>
      </c>
      <c r="C221">
        <f>IF($AG221="","",Config!$B$15)</f>
        <v/>
      </c>
      <c r="D221">
        <f>IF($AG221="","",INDEX('TMP Paste'!$B$2:$B$1601,$AG221))</f>
        <v/>
      </c>
      <c r="E221">
        <f>IF($AG221="","",Config!$B$27)</f>
        <v/>
      </c>
      <c r="F221">
        <f>IF($AG221="","",Config!$B$9)</f>
        <v/>
      </c>
      <c r="G221">
        <f>IF($AG221="","",Config!$B$10)</f>
        <v/>
      </c>
      <c r="H221">
        <f>IF($AG221="","",Config!$B$11)</f>
        <v/>
      </c>
      <c r="I221">
        <f>IF($AG221="","",Config!$B$16)</f>
        <v/>
      </c>
      <c r="J221">
        <f>IF($AG221="","",INDEX('TMP Paste'!$A$2:$A$1601,$AG221))</f>
        <v/>
      </c>
      <c r="K221">
        <f>IF($AG221="","",INDEX('TMP Paste'!$L$2:$L$1601,$AG221))</f>
        <v/>
      </c>
      <c r="L221">
        <f>IF($AG221="","",INDEX('TMP Paste'!$I$2:$I$1601,$AG221))</f>
        <v/>
      </c>
      <c r="M221">
        <f>IF($AG221="","",Config!$B$16)</f>
        <v/>
      </c>
      <c r="N221">
        <f>IF($AG221="","","")</f>
        <v/>
      </c>
      <c r="O221">
        <f>IF($AG221="","",INDEX('TMP Paste'!$K$2:$K$1601,$AG221))</f>
        <v/>
      </c>
      <c r="P221">
        <f>IF($AG221="","","")</f>
        <v/>
      </c>
      <c r="Q221">
        <f>IF($AG221="","",INDEX('TMP Paste'!$J$2:$J$1601,$AG221))</f>
        <v/>
      </c>
      <c r="R221">
        <f>IF($AG221="","",Config!$B$24)</f>
        <v/>
      </c>
      <c r="S221">
        <f>IF($AG221="","",TEXT(Config!$B$4,"yyyy-mm-dd"))</f>
        <v/>
      </c>
      <c r="T221">
        <f>IF($AG221="","",Config!$B$17)</f>
        <v/>
      </c>
      <c r="U221">
        <f>IF($AG221="","",Config!$B$18)</f>
        <v/>
      </c>
      <c r="V221">
        <f>IF($AG221="","",Config!$B$19)</f>
        <v/>
      </c>
      <c r="W221">
        <f>IF($AG221="","",INDEX('TMP Paste'!$C$2:$C$1601,$AG221))</f>
        <v/>
      </c>
      <c r="X221">
        <f>IF($AG221="","",Config!$B$29)</f>
        <v/>
      </c>
      <c r="Y221">
        <f>IF($AH221="","",INDEX(Calc!$I$2:$I$1601,$AH221)&amp;" - "&amp;INDEX(Calc!$D$2:$D$1601,$AH221)&amp;" koli")</f>
        <v/>
      </c>
      <c r="Z221">
        <f>IF($AG221="","",Config!$B$21)</f>
        <v/>
      </c>
      <c r="AA221">
        <f>IF($AG221="","",Config!$B$22)</f>
        <v/>
      </c>
      <c r="AB221">
        <f>IF($AH221="","",INDEX(Calc!$D$2:$D$1601,$AH221))</f>
        <v/>
      </c>
      <c r="AC221">
        <f>IF($AH221="","",INDEX(Calc!$G$2:$G$1601,$AH221))</f>
        <v/>
      </c>
      <c r="AD221">
        <f>IF($AG221="","",Config!$B$23)</f>
        <v/>
      </c>
      <c r="AE221">
        <f>IF($AG221="","",Config!$B$28)</f>
        <v/>
      </c>
      <c r="AG221">
        <f>IFERROR(MATCH(ROW()-1,Calc!$J$2:$J$1601,0),"")</f>
        <v/>
      </c>
      <c r="AH221">
        <f>IFERROR(MATCH(ROW()-1,Calc!$K$2:$K$1601,0),"")</f>
        <v/>
      </c>
      <c r="AI221">
        <f>IF($AG221="","",SUMIF($AG$2:$AG221,$AG221,$AH$2:$AH221))</f>
        <v/>
      </c>
      <c r="AJ221">
        <f>IF('TMP Paste'!$F221="","",IF('TMP Paste'!$B221="",$AJ220,'TMP Paste'!$B221))</f>
        <v/>
      </c>
      <c r="AK221">
        <f>IF('TMP Paste'!$F221="","",N('TMP Paste'!$G221))</f>
        <v/>
      </c>
      <c r="AL221">
        <f>IF('TMP Paste'!$F221="","",IF('TMP Paste'!$M221="",$AL220,'TMP Paste'!$M221))</f>
        <v/>
      </c>
      <c r="AM221">
        <f>IF('TMP Paste'!$F221="","",IF('TMP Paste'!$N221="",$AM220,'TMP Paste'!$N221))</f>
        <v/>
      </c>
      <c r="AN221">
        <f>IF('TMP Paste'!$F221="","",IF('TMP Paste'!$O221="",$AN220,'TMP Paste'!$O221))</f>
        <v/>
      </c>
      <c r="AO221">
        <f>IF('TMP Paste'!$F221="","",IF('TMP Paste'!$P221="",$AO220,'TMP Paste'!$P221))</f>
        <v/>
      </c>
      <c r="AP221">
        <f>IF($AG221="","",LEN($R221))</f>
        <v/>
      </c>
      <c r="AQ221">
        <f>IF($AG221="","",TRIM(IF(COUNTIFS(Calc!$B$2:$B$1601,ROW()-1,Calc!$C$2:$C$1601,"&lt;1")&gt;0,"Ada PO tanpa Koli - cek TMP. ","")&amp;IF(LEN($R221)&gt;500,"R &gt; 500 karakter.","")))</f>
        <v/>
      </c>
    </row>
    <row r="222">
      <c r="A222">
        <f>IF($AG222="","",INDEX('TMP Paste'!$B$2:$B$1601,$AG222))</f>
        <v/>
      </c>
      <c r="B222">
        <f>IF($AG222="","",Config!$B$14)</f>
        <v/>
      </c>
      <c r="C222">
        <f>IF($AG222="","",Config!$B$15)</f>
        <v/>
      </c>
      <c r="D222">
        <f>IF($AG222="","",INDEX('TMP Paste'!$B$2:$B$1601,$AG222))</f>
        <v/>
      </c>
      <c r="E222">
        <f>IF($AG222="","",Config!$B$27)</f>
        <v/>
      </c>
      <c r="F222">
        <f>IF($AG222="","",Config!$B$9)</f>
        <v/>
      </c>
      <c r="G222">
        <f>IF($AG222="","",Config!$B$10)</f>
        <v/>
      </c>
      <c r="H222">
        <f>IF($AG222="","",Config!$B$11)</f>
        <v/>
      </c>
      <c r="I222">
        <f>IF($AG222="","",Config!$B$16)</f>
        <v/>
      </c>
      <c r="J222">
        <f>IF($AG222="","",INDEX('TMP Paste'!$A$2:$A$1601,$AG222))</f>
        <v/>
      </c>
      <c r="K222">
        <f>IF($AG222="","",INDEX('TMP Paste'!$L$2:$L$1601,$AG222))</f>
        <v/>
      </c>
      <c r="L222">
        <f>IF($AG222="","",INDEX('TMP Paste'!$I$2:$I$1601,$AG222))</f>
        <v/>
      </c>
      <c r="M222">
        <f>IF($AG222="","",Config!$B$16)</f>
        <v/>
      </c>
      <c r="N222">
        <f>IF($AG222="","","")</f>
        <v/>
      </c>
      <c r="O222">
        <f>IF($AG222="","",INDEX('TMP Paste'!$K$2:$K$1601,$AG222))</f>
        <v/>
      </c>
      <c r="P222">
        <f>IF($AG222="","","")</f>
        <v/>
      </c>
      <c r="Q222">
        <f>IF($AG222="","",INDEX('TMP Paste'!$J$2:$J$1601,$AG222))</f>
        <v/>
      </c>
      <c r="R222">
        <f>IF($AG222="","",Config!$B$24)</f>
        <v/>
      </c>
      <c r="S222">
        <f>IF($AG222="","",TEXT(Config!$B$4,"yyyy-mm-dd"))</f>
        <v/>
      </c>
      <c r="T222">
        <f>IF($AG222="","",Config!$B$17)</f>
        <v/>
      </c>
      <c r="U222">
        <f>IF($AG222="","",Config!$B$18)</f>
        <v/>
      </c>
      <c r="V222">
        <f>IF($AG222="","",Config!$B$19)</f>
        <v/>
      </c>
      <c r="W222">
        <f>IF($AG222="","",INDEX('TMP Paste'!$C$2:$C$1601,$AG222))</f>
        <v/>
      </c>
      <c r="X222">
        <f>IF($AG222="","",Config!$B$29)</f>
        <v/>
      </c>
      <c r="Y222">
        <f>IF($AH222="","",INDEX(Calc!$I$2:$I$1601,$AH222)&amp;" - "&amp;INDEX(Calc!$D$2:$D$1601,$AH222)&amp;" koli")</f>
        <v/>
      </c>
      <c r="Z222">
        <f>IF($AG222="","",Config!$B$21)</f>
        <v/>
      </c>
      <c r="AA222">
        <f>IF($AG222="","",Config!$B$22)</f>
        <v/>
      </c>
      <c r="AB222">
        <f>IF($AH222="","",INDEX(Calc!$D$2:$D$1601,$AH222))</f>
        <v/>
      </c>
      <c r="AC222">
        <f>IF($AH222="","",INDEX(Calc!$G$2:$G$1601,$AH222))</f>
        <v/>
      </c>
      <c r="AD222">
        <f>IF($AG222="","",Config!$B$23)</f>
        <v/>
      </c>
      <c r="AE222">
        <f>IF($AG222="","",Config!$B$28)</f>
        <v/>
      </c>
      <c r="AG222">
        <f>IFERROR(MATCH(ROW()-1,Calc!$J$2:$J$1601,0),"")</f>
        <v/>
      </c>
      <c r="AH222">
        <f>IFERROR(MATCH(ROW()-1,Calc!$K$2:$K$1601,0),"")</f>
        <v/>
      </c>
      <c r="AI222">
        <f>IF($AG222="","",SUMIF($AG$2:$AG222,$AG222,$AH$2:$AH222))</f>
        <v/>
      </c>
      <c r="AJ222">
        <f>IF('TMP Paste'!$F222="","",IF('TMP Paste'!$B222="",$AJ221,'TMP Paste'!$B222))</f>
        <v/>
      </c>
      <c r="AK222">
        <f>IF('TMP Paste'!$F222="","",N('TMP Paste'!$G222))</f>
        <v/>
      </c>
      <c r="AL222">
        <f>IF('TMP Paste'!$F222="","",IF('TMP Paste'!$M222="",$AL221,'TMP Paste'!$M222))</f>
        <v/>
      </c>
      <c r="AM222">
        <f>IF('TMP Paste'!$F222="","",IF('TMP Paste'!$N222="",$AM221,'TMP Paste'!$N222))</f>
        <v/>
      </c>
      <c r="AN222">
        <f>IF('TMP Paste'!$F222="","",IF('TMP Paste'!$O222="",$AN221,'TMP Paste'!$O222))</f>
        <v/>
      </c>
      <c r="AO222">
        <f>IF('TMP Paste'!$F222="","",IF('TMP Paste'!$P222="",$AO221,'TMP Paste'!$P222))</f>
        <v/>
      </c>
      <c r="AP222">
        <f>IF($AG222="","",LEN($R222))</f>
        <v/>
      </c>
      <c r="AQ222">
        <f>IF($AG222="","",TRIM(IF(COUNTIFS(Calc!$B$2:$B$1601,ROW()-1,Calc!$C$2:$C$1601,"&lt;1")&gt;0,"Ada PO tanpa Koli - cek TMP. ","")&amp;IF(LEN($R222)&gt;500,"R &gt; 500 karakter.","")))</f>
        <v/>
      </c>
    </row>
    <row r="223">
      <c r="A223">
        <f>IF($AG223="","",INDEX('TMP Paste'!$B$2:$B$1601,$AG223))</f>
        <v/>
      </c>
      <c r="B223">
        <f>IF($AG223="","",Config!$B$14)</f>
        <v/>
      </c>
      <c r="C223">
        <f>IF($AG223="","",Config!$B$15)</f>
        <v/>
      </c>
      <c r="D223">
        <f>IF($AG223="","",INDEX('TMP Paste'!$B$2:$B$1601,$AG223))</f>
        <v/>
      </c>
      <c r="E223">
        <f>IF($AG223="","",Config!$B$27)</f>
        <v/>
      </c>
      <c r="F223">
        <f>IF($AG223="","",Config!$B$9)</f>
        <v/>
      </c>
      <c r="G223">
        <f>IF($AG223="","",Config!$B$10)</f>
        <v/>
      </c>
      <c r="H223">
        <f>IF($AG223="","",Config!$B$11)</f>
        <v/>
      </c>
      <c r="I223">
        <f>IF($AG223="","",Config!$B$16)</f>
        <v/>
      </c>
      <c r="J223">
        <f>IF($AG223="","",INDEX('TMP Paste'!$A$2:$A$1601,$AG223))</f>
        <v/>
      </c>
      <c r="K223">
        <f>IF($AG223="","",INDEX('TMP Paste'!$L$2:$L$1601,$AG223))</f>
        <v/>
      </c>
      <c r="L223">
        <f>IF($AG223="","",INDEX('TMP Paste'!$I$2:$I$1601,$AG223))</f>
        <v/>
      </c>
      <c r="M223">
        <f>IF($AG223="","",Config!$B$16)</f>
        <v/>
      </c>
      <c r="N223">
        <f>IF($AG223="","","")</f>
        <v/>
      </c>
      <c r="O223">
        <f>IF($AG223="","",INDEX('TMP Paste'!$K$2:$K$1601,$AG223))</f>
        <v/>
      </c>
      <c r="P223">
        <f>IF($AG223="","","")</f>
        <v/>
      </c>
      <c r="Q223">
        <f>IF($AG223="","",INDEX('TMP Paste'!$J$2:$J$1601,$AG223))</f>
        <v/>
      </c>
      <c r="R223">
        <f>IF($AG223="","",Config!$B$24)</f>
        <v/>
      </c>
      <c r="S223">
        <f>IF($AG223="","",TEXT(Config!$B$4,"yyyy-mm-dd"))</f>
        <v/>
      </c>
      <c r="T223">
        <f>IF($AG223="","",Config!$B$17)</f>
        <v/>
      </c>
      <c r="U223">
        <f>IF($AG223="","",Config!$B$18)</f>
        <v/>
      </c>
      <c r="V223">
        <f>IF($AG223="","",Config!$B$19)</f>
        <v/>
      </c>
      <c r="W223">
        <f>IF($AG223="","",INDEX('TMP Paste'!$C$2:$C$1601,$AG223))</f>
        <v/>
      </c>
      <c r="X223">
        <f>IF($AG223="","",Config!$B$29)</f>
        <v/>
      </c>
      <c r="Y223">
        <f>IF($AH223="","",INDEX(Calc!$I$2:$I$1601,$AH223)&amp;" - "&amp;INDEX(Calc!$D$2:$D$1601,$AH223)&amp;" koli")</f>
        <v/>
      </c>
      <c r="Z223">
        <f>IF($AG223="","",Config!$B$21)</f>
        <v/>
      </c>
      <c r="AA223">
        <f>IF($AG223="","",Config!$B$22)</f>
        <v/>
      </c>
      <c r="AB223">
        <f>IF($AH223="","",INDEX(Calc!$D$2:$D$1601,$AH223))</f>
        <v/>
      </c>
      <c r="AC223">
        <f>IF($AH223="","",INDEX(Calc!$G$2:$G$1601,$AH223))</f>
        <v/>
      </c>
      <c r="AD223">
        <f>IF($AG223="","",Config!$B$23)</f>
        <v/>
      </c>
      <c r="AE223">
        <f>IF($AG223="","",Config!$B$28)</f>
        <v/>
      </c>
      <c r="AG223">
        <f>IFERROR(MATCH(ROW()-1,Calc!$J$2:$J$1601,0),"")</f>
        <v/>
      </c>
      <c r="AH223">
        <f>IFERROR(MATCH(ROW()-1,Calc!$K$2:$K$1601,0),"")</f>
        <v/>
      </c>
      <c r="AI223">
        <f>IF($AG223="","",SUMIF($AG$2:$AG223,$AG223,$AH$2:$AH223))</f>
        <v/>
      </c>
      <c r="AJ223">
        <f>IF('TMP Paste'!$F223="","",IF('TMP Paste'!$B223="",$AJ222,'TMP Paste'!$B223))</f>
        <v/>
      </c>
      <c r="AK223">
        <f>IF('TMP Paste'!$F223="","",N('TMP Paste'!$G223))</f>
        <v/>
      </c>
      <c r="AL223">
        <f>IF('TMP Paste'!$F223="","",IF('TMP Paste'!$M223="",$AL222,'TMP Paste'!$M223))</f>
        <v/>
      </c>
      <c r="AM223">
        <f>IF('TMP Paste'!$F223="","",IF('TMP Paste'!$N223="",$AM222,'TMP Paste'!$N223))</f>
        <v/>
      </c>
      <c r="AN223">
        <f>IF('TMP Paste'!$F223="","",IF('TMP Paste'!$O223="",$AN222,'TMP Paste'!$O223))</f>
        <v/>
      </c>
      <c r="AO223">
        <f>IF('TMP Paste'!$F223="","",IF('TMP Paste'!$P223="",$AO222,'TMP Paste'!$P223))</f>
        <v/>
      </c>
      <c r="AP223">
        <f>IF($AG223="","",LEN($R223))</f>
        <v/>
      </c>
      <c r="AQ223">
        <f>IF($AG223="","",TRIM(IF(COUNTIFS(Calc!$B$2:$B$1601,ROW()-1,Calc!$C$2:$C$1601,"&lt;1")&gt;0,"Ada PO tanpa Koli - cek TMP. ","")&amp;IF(LEN($R223)&gt;500,"R &gt; 500 karakter.","")))</f>
        <v/>
      </c>
    </row>
    <row r="224">
      <c r="A224">
        <f>IF($AG224="","",INDEX('TMP Paste'!$B$2:$B$1601,$AG224))</f>
        <v/>
      </c>
      <c r="B224">
        <f>IF($AG224="","",Config!$B$14)</f>
        <v/>
      </c>
      <c r="C224">
        <f>IF($AG224="","",Config!$B$15)</f>
        <v/>
      </c>
      <c r="D224">
        <f>IF($AG224="","",INDEX('TMP Paste'!$B$2:$B$1601,$AG224))</f>
        <v/>
      </c>
      <c r="E224">
        <f>IF($AG224="","",Config!$B$27)</f>
        <v/>
      </c>
      <c r="F224">
        <f>IF($AG224="","",Config!$B$9)</f>
        <v/>
      </c>
      <c r="G224">
        <f>IF($AG224="","",Config!$B$10)</f>
        <v/>
      </c>
      <c r="H224">
        <f>IF($AG224="","",Config!$B$11)</f>
        <v/>
      </c>
      <c r="I224">
        <f>IF($AG224="","",Config!$B$16)</f>
        <v/>
      </c>
      <c r="J224">
        <f>IF($AG224="","",INDEX('TMP Paste'!$A$2:$A$1601,$AG224))</f>
        <v/>
      </c>
      <c r="K224">
        <f>IF($AG224="","",INDEX('TMP Paste'!$L$2:$L$1601,$AG224))</f>
        <v/>
      </c>
      <c r="L224">
        <f>IF($AG224="","",INDEX('TMP Paste'!$I$2:$I$1601,$AG224))</f>
        <v/>
      </c>
      <c r="M224">
        <f>IF($AG224="","",Config!$B$16)</f>
        <v/>
      </c>
      <c r="N224">
        <f>IF($AG224="","","")</f>
        <v/>
      </c>
      <c r="O224">
        <f>IF($AG224="","",INDEX('TMP Paste'!$K$2:$K$1601,$AG224))</f>
        <v/>
      </c>
      <c r="P224">
        <f>IF($AG224="","","")</f>
        <v/>
      </c>
      <c r="Q224">
        <f>IF($AG224="","",INDEX('TMP Paste'!$J$2:$J$1601,$AG224))</f>
        <v/>
      </c>
      <c r="R224">
        <f>IF($AG224="","",Config!$B$24)</f>
        <v/>
      </c>
      <c r="S224">
        <f>IF($AG224="","",TEXT(Config!$B$4,"yyyy-mm-dd"))</f>
        <v/>
      </c>
      <c r="T224">
        <f>IF($AG224="","",Config!$B$17)</f>
        <v/>
      </c>
      <c r="U224">
        <f>IF($AG224="","",Config!$B$18)</f>
        <v/>
      </c>
      <c r="V224">
        <f>IF($AG224="","",Config!$B$19)</f>
        <v/>
      </c>
      <c r="W224">
        <f>IF($AG224="","",INDEX('TMP Paste'!$C$2:$C$1601,$AG224))</f>
        <v/>
      </c>
      <c r="X224">
        <f>IF($AG224="","",Config!$B$29)</f>
        <v/>
      </c>
      <c r="Y224">
        <f>IF($AH224="","",INDEX(Calc!$I$2:$I$1601,$AH224)&amp;" - "&amp;INDEX(Calc!$D$2:$D$1601,$AH224)&amp;" koli")</f>
        <v/>
      </c>
      <c r="Z224">
        <f>IF($AG224="","",Config!$B$21)</f>
        <v/>
      </c>
      <c r="AA224">
        <f>IF($AG224="","",Config!$B$22)</f>
        <v/>
      </c>
      <c r="AB224">
        <f>IF($AH224="","",INDEX(Calc!$D$2:$D$1601,$AH224))</f>
        <v/>
      </c>
      <c r="AC224">
        <f>IF($AH224="","",INDEX(Calc!$G$2:$G$1601,$AH224))</f>
        <v/>
      </c>
      <c r="AD224">
        <f>IF($AG224="","",Config!$B$23)</f>
        <v/>
      </c>
      <c r="AE224">
        <f>IF($AG224="","",Config!$B$28)</f>
        <v/>
      </c>
      <c r="AG224">
        <f>IFERROR(MATCH(ROW()-1,Calc!$J$2:$J$1601,0),"")</f>
        <v/>
      </c>
      <c r="AH224">
        <f>IFERROR(MATCH(ROW()-1,Calc!$K$2:$K$1601,0),"")</f>
        <v/>
      </c>
      <c r="AI224">
        <f>IF($AG224="","",SUMIF($AG$2:$AG224,$AG224,$AH$2:$AH224))</f>
        <v/>
      </c>
      <c r="AJ224">
        <f>IF('TMP Paste'!$F224="","",IF('TMP Paste'!$B224="",$AJ223,'TMP Paste'!$B224))</f>
        <v/>
      </c>
      <c r="AK224">
        <f>IF('TMP Paste'!$F224="","",N('TMP Paste'!$G224))</f>
        <v/>
      </c>
      <c r="AL224">
        <f>IF('TMP Paste'!$F224="","",IF('TMP Paste'!$M224="",$AL223,'TMP Paste'!$M224))</f>
        <v/>
      </c>
      <c r="AM224">
        <f>IF('TMP Paste'!$F224="","",IF('TMP Paste'!$N224="",$AM223,'TMP Paste'!$N224))</f>
        <v/>
      </c>
      <c r="AN224">
        <f>IF('TMP Paste'!$F224="","",IF('TMP Paste'!$O224="",$AN223,'TMP Paste'!$O224))</f>
        <v/>
      </c>
      <c r="AO224">
        <f>IF('TMP Paste'!$F224="","",IF('TMP Paste'!$P224="",$AO223,'TMP Paste'!$P224))</f>
        <v/>
      </c>
      <c r="AP224">
        <f>IF($AG224="","",LEN($R224))</f>
        <v/>
      </c>
      <c r="AQ224">
        <f>IF($AG224="","",TRIM(IF(COUNTIFS(Calc!$B$2:$B$1601,ROW()-1,Calc!$C$2:$C$1601,"&lt;1")&gt;0,"Ada PO tanpa Koli - cek TMP. ","")&amp;IF(LEN($R224)&gt;500,"R &gt; 500 karakter.","")))</f>
        <v/>
      </c>
    </row>
    <row r="225">
      <c r="A225">
        <f>IF($AG225="","",INDEX('TMP Paste'!$B$2:$B$1601,$AG225))</f>
        <v/>
      </c>
      <c r="B225">
        <f>IF($AG225="","",Config!$B$14)</f>
        <v/>
      </c>
      <c r="C225">
        <f>IF($AG225="","",Config!$B$15)</f>
        <v/>
      </c>
      <c r="D225">
        <f>IF($AG225="","",INDEX('TMP Paste'!$B$2:$B$1601,$AG225))</f>
        <v/>
      </c>
      <c r="E225">
        <f>IF($AG225="","",Config!$B$27)</f>
        <v/>
      </c>
      <c r="F225">
        <f>IF($AG225="","",Config!$B$9)</f>
        <v/>
      </c>
      <c r="G225">
        <f>IF($AG225="","",Config!$B$10)</f>
        <v/>
      </c>
      <c r="H225">
        <f>IF($AG225="","",Config!$B$11)</f>
        <v/>
      </c>
      <c r="I225">
        <f>IF($AG225="","",Config!$B$16)</f>
        <v/>
      </c>
      <c r="J225">
        <f>IF($AG225="","",INDEX('TMP Paste'!$A$2:$A$1601,$AG225))</f>
        <v/>
      </c>
      <c r="K225">
        <f>IF($AG225="","",INDEX('TMP Paste'!$L$2:$L$1601,$AG225))</f>
        <v/>
      </c>
      <c r="L225">
        <f>IF($AG225="","",INDEX('TMP Paste'!$I$2:$I$1601,$AG225))</f>
        <v/>
      </c>
      <c r="M225">
        <f>IF($AG225="","",Config!$B$16)</f>
        <v/>
      </c>
      <c r="N225">
        <f>IF($AG225="","","")</f>
        <v/>
      </c>
      <c r="O225">
        <f>IF($AG225="","",INDEX('TMP Paste'!$K$2:$K$1601,$AG225))</f>
        <v/>
      </c>
      <c r="P225">
        <f>IF($AG225="","","")</f>
        <v/>
      </c>
      <c r="Q225">
        <f>IF($AG225="","",INDEX('TMP Paste'!$J$2:$J$1601,$AG225))</f>
        <v/>
      </c>
      <c r="R225">
        <f>IF($AG225="","",Config!$B$24)</f>
        <v/>
      </c>
      <c r="S225">
        <f>IF($AG225="","",TEXT(Config!$B$4,"yyyy-mm-dd"))</f>
        <v/>
      </c>
      <c r="T225">
        <f>IF($AG225="","",Config!$B$17)</f>
        <v/>
      </c>
      <c r="U225">
        <f>IF($AG225="","",Config!$B$18)</f>
        <v/>
      </c>
      <c r="V225">
        <f>IF($AG225="","",Config!$B$19)</f>
        <v/>
      </c>
      <c r="W225">
        <f>IF($AG225="","",INDEX('TMP Paste'!$C$2:$C$1601,$AG225))</f>
        <v/>
      </c>
      <c r="X225">
        <f>IF($AG225="","",Config!$B$29)</f>
        <v/>
      </c>
      <c r="Y225">
        <f>IF($AH225="","",INDEX(Calc!$I$2:$I$1601,$AH225)&amp;" - "&amp;INDEX(Calc!$D$2:$D$1601,$AH225)&amp;" koli")</f>
        <v/>
      </c>
      <c r="Z225">
        <f>IF($AG225="","",Config!$B$21)</f>
        <v/>
      </c>
      <c r="AA225">
        <f>IF($AG225="","",Config!$B$22)</f>
        <v/>
      </c>
      <c r="AB225">
        <f>IF($AH225="","",INDEX(Calc!$D$2:$D$1601,$AH225))</f>
        <v/>
      </c>
      <c r="AC225">
        <f>IF($AH225="","",INDEX(Calc!$G$2:$G$1601,$AH225))</f>
        <v/>
      </c>
      <c r="AD225">
        <f>IF($AG225="","",Config!$B$23)</f>
        <v/>
      </c>
      <c r="AE225">
        <f>IF($AG225="","",Config!$B$28)</f>
        <v/>
      </c>
      <c r="AG225">
        <f>IFERROR(MATCH(ROW()-1,Calc!$J$2:$J$1601,0),"")</f>
        <v/>
      </c>
      <c r="AH225">
        <f>IFERROR(MATCH(ROW()-1,Calc!$K$2:$K$1601,0),"")</f>
        <v/>
      </c>
      <c r="AI225">
        <f>IF($AG225="","",SUMIF($AG$2:$AG225,$AG225,$AH$2:$AH225))</f>
        <v/>
      </c>
      <c r="AJ225">
        <f>IF('TMP Paste'!$F225="","",IF('TMP Paste'!$B225="",$AJ224,'TMP Paste'!$B225))</f>
        <v/>
      </c>
      <c r="AK225">
        <f>IF('TMP Paste'!$F225="","",N('TMP Paste'!$G225))</f>
        <v/>
      </c>
      <c r="AL225">
        <f>IF('TMP Paste'!$F225="","",IF('TMP Paste'!$M225="",$AL224,'TMP Paste'!$M225))</f>
        <v/>
      </c>
      <c r="AM225">
        <f>IF('TMP Paste'!$F225="","",IF('TMP Paste'!$N225="",$AM224,'TMP Paste'!$N225))</f>
        <v/>
      </c>
      <c r="AN225">
        <f>IF('TMP Paste'!$F225="","",IF('TMP Paste'!$O225="",$AN224,'TMP Paste'!$O225))</f>
        <v/>
      </c>
      <c r="AO225">
        <f>IF('TMP Paste'!$F225="","",IF('TMP Paste'!$P225="",$AO224,'TMP Paste'!$P225))</f>
        <v/>
      </c>
      <c r="AP225">
        <f>IF($AG225="","",LEN($R225))</f>
        <v/>
      </c>
      <c r="AQ225">
        <f>IF($AG225="","",TRIM(IF(COUNTIFS(Calc!$B$2:$B$1601,ROW()-1,Calc!$C$2:$C$1601,"&lt;1")&gt;0,"Ada PO tanpa Koli - cek TMP. ","")&amp;IF(LEN($R225)&gt;500,"R &gt; 500 karakter.","")))</f>
        <v/>
      </c>
    </row>
    <row r="226">
      <c r="A226">
        <f>IF($AG226="","",INDEX('TMP Paste'!$B$2:$B$1601,$AG226))</f>
        <v/>
      </c>
      <c r="B226">
        <f>IF($AG226="","",Config!$B$14)</f>
        <v/>
      </c>
      <c r="C226">
        <f>IF($AG226="","",Config!$B$15)</f>
        <v/>
      </c>
      <c r="D226">
        <f>IF($AG226="","",INDEX('TMP Paste'!$B$2:$B$1601,$AG226))</f>
        <v/>
      </c>
      <c r="E226">
        <f>IF($AG226="","",Config!$B$27)</f>
        <v/>
      </c>
      <c r="F226">
        <f>IF($AG226="","",Config!$B$9)</f>
        <v/>
      </c>
      <c r="G226">
        <f>IF($AG226="","",Config!$B$10)</f>
        <v/>
      </c>
      <c r="H226">
        <f>IF($AG226="","",Config!$B$11)</f>
        <v/>
      </c>
      <c r="I226">
        <f>IF($AG226="","",Config!$B$16)</f>
        <v/>
      </c>
      <c r="J226">
        <f>IF($AG226="","",INDEX('TMP Paste'!$A$2:$A$1601,$AG226))</f>
        <v/>
      </c>
      <c r="K226">
        <f>IF($AG226="","",INDEX('TMP Paste'!$L$2:$L$1601,$AG226))</f>
        <v/>
      </c>
      <c r="L226">
        <f>IF($AG226="","",INDEX('TMP Paste'!$I$2:$I$1601,$AG226))</f>
        <v/>
      </c>
      <c r="M226">
        <f>IF($AG226="","",Config!$B$16)</f>
        <v/>
      </c>
      <c r="N226">
        <f>IF($AG226="","","")</f>
        <v/>
      </c>
      <c r="O226">
        <f>IF($AG226="","",INDEX('TMP Paste'!$K$2:$K$1601,$AG226))</f>
        <v/>
      </c>
      <c r="P226">
        <f>IF($AG226="","","")</f>
        <v/>
      </c>
      <c r="Q226">
        <f>IF($AG226="","",INDEX('TMP Paste'!$J$2:$J$1601,$AG226))</f>
        <v/>
      </c>
      <c r="R226">
        <f>IF($AG226="","",Config!$B$24)</f>
        <v/>
      </c>
      <c r="S226">
        <f>IF($AG226="","",TEXT(Config!$B$4,"yyyy-mm-dd"))</f>
        <v/>
      </c>
      <c r="T226">
        <f>IF($AG226="","",Config!$B$17)</f>
        <v/>
      </c>
      <c r="U226">
        <f>IF($AG226="","",Config!$B$18)</f>
        <v/>
      </c>
      <c r="V226">
        <f>IF($AG226="","",Config!$B$19)</f>
        <v/>
      </c>
      <c r="W226">
        <f>IF($AG226="","",INDEX('TMP Paste'!$C$2:$C$1601,$AG226))</f>
        <v/>
      </c>
      <c r="X226">
        <f>IF($AG226="","",Config!$B$29)</f>
        <v/>
      </c>
      <c r="Y226">
        <f>IF($AH226="","",INDEX(Calc!$I$2:$I$1601,$AH226)&amp;" - "&amp;INDEX(Calc!$D$2:$D$1601,$AH226)&amp;" koli")</f>
        <v/>
      </c>
      <c r="Z226">
        <f>IF($AG226="","",Config!$B$21)</f>
        <v/>
      </c>
      <c r="AA226">
        <f>IF($AG226="","",Config!$B$22)</f>
        <v/>
      </c>
      <c r="AB226">
        <f>IF($AH226="","",INDEX(Calc!$D$2:$D$1601,$AH226))</f>
        <v/>
      </c>
      <c r="AC226">
        <f>IF($AH226="","",INDEX(Calc!$G$2:$G$1601,$AH226))</f>
        <v/>
      </c>
      <c r="AD226">
        <f>IF($AG226="","",Config!$B$23)</f>
        <v/>
      </c>
      <c r="AE226">
        <f>IF($AG226="","",Config!$B$28)</f>
        <v/>
      </c>
      <c r="AG226">
        <f>IFERROR(MATCH(ROW()-1,Calc!$J$2:$J$1601,0),"")</f>
        <v/>
      </c>
      <c r="AH226">
        <f>IFERROR(MATCH(ROW()-1,Calc!$K$2:$K$1601,0),"")</f>
        <v/>
      </c>
      <c r="AI226">
        <f>IF($AG226="","",SUMIF($AG$2:$AG226,$AG226,$AH$2:$AH226))</f>
        <v/>
      </c>
      <c r="AJ226">
        <f>IF('TMP Paste'!$F226="","",IF('TMP Paste'!$B226="",$AJ225,'TMP Paste'!$B226))</f>
        <v/>
      </c>
      <c r="AK226">
        <f>IF('TMP Paste'!$F226="","",N('TMP Paste'!$G226))</f>
        <v/>
      </c>
      <c r="AL226">
        <f>IF('TMP Paste'!$F226="","",IF('TMP Paste'!$M226="",$AL225,'TMP Paste'!$M226))</f>
        <v/>
      </c>
      <c r="AM226">
        <f>IF('TMP Paste'!$F226="","",IF('TMP Paste'!$N226="",$AM225,'TMP Paste'!$N226))</f>
        <v/>
      </c>
      <c r="AN226">
        <f>IF('TMP Paste'!$F226="","",IF('TMP Paste'!$O226="",$AN225,'TMP Paste'!$O226))</f>
        <v/>
      </c>
      <c r="AO226">
        <f>IF('TMP Paste'!$F226="","",IF('TMP Paste'!$P226="",$AO225,'TMP Paste'!$P226))</f>
        <v/>
      </c>
      <c r="AP226">
        <f>IF($AG226="","",LEN($R226))</f>
        <v/>
      </c>
      <c r="AQ226">
        <f>IF($AG226="","",TRIM(IF(COUNTIFS(Calc!$B$2:$B$1601,ROW()-1,Calc!$C$2:$C$1601,"&lt;1")&gt;0,"Ada PO tanpa Koli - cek TMP. ","")&amp;IF(LEN($R226)&gt;500,"R &gt; 500 karakter.","")))</f>
        <v/>
      </c>
    </row>
    <row r="227">
      <c r="A227">
        <f>IF($AG227="","",INDEX('TMP Paste'!$B$2:$B$1601,$AG227))</f>
        <v/>
      </c>
      <c r="B227">
        <f>IF($AG227="","",Config!$B$14)</f>
        <v/>
      </c>
      <c r="C227">
        <f>IF($AG227="","",Config!$B$15)</f>
        <v/>
      </c>
      <c r="D227">
        <f>IF($AG227="","",INDEX('TMP Paste'!$B$2:$B$1601,$AG227))</f>
        <v/>
      </c>
      <c r="E227">
        <f>IF($AG227="","",Config!$B$27)</f>
        <v/>
      </c>
      <c r="F227">
        <f>IF($AG227="","",Config!$B$9)</f>
        <v/>
      </c>
      <c r="G227">
        <f>IF($AG227="","",Config!$B$10)</f>
        <v/>
      </c>
      <c r="H227">
        <f>IF($AG227="","",Config!$B$11)</f>
        <v/>
      </c>
      <c r="I227">
        <f>IF($AG227="","",Config!$B$16)</f>
        <v/>
      </c>
      <c r="J227">
        <f>IF($AG227="","",INDEX('TMP Paste'!$A$2:$A$1601,$AG227))</f>
        <v/>
      </c>
      <c r="K227">
        <f>IF($AG227="","",INDEX('TMP Paste'!$L$2:$L$1601,$AG227))</f>
        <v/>
      </c>
      <c r="L227">
        <f>IF($AG227="","",INDEX('TMP Paste'!$I$2:$I$1601,$AG227))</f>
        <v/>
      </c>
      <c r="M227">
        <f>IF($AG227="","",Config!$B$16)</f>
        <v/>
      </c>
      <c r="N227">
        <f>IF($AG227="","","")</f>
        <v/>
      </c>
      <c r="O227">
        <f>IF($AG227="","",INDEX('TMP Paste'!$K$2:$K$1601,$AG227))</f>
        <v/>
      </c>
      <c r="P227">
        <f>IF($AG227="","","")</f>
        <v/>
      </c>
      <c r="Q227">
        <f>IF($AG227="","",INDEX('TMP Paste'!$J$2:$J$1601,$AG227))</f>
        <v/>
      </c>
      <c r="R227">
        <f>IF($AG227="","",Config!$B$24)</f>
        <v/>
      </c>
      <c r="S227">
        <f>IF($AG227="","",TEXT(Config!$B$4,"yyyy-mm-dd"))</f>
        <v/>
      </c>
      <c r="T227">
        <f>IF($AG227="","",Config!$B$17)</f>
        <v/>
      </c>
      <c r="U227">
        <f>IF($AG227="","",Config!$B$18)</f>
        <v/>
      </c>
      <c r="V227">
        <f>IF($AG227="","",Config!$B$19)</f>
        <v/>
      </c>
      <c r="W227">
        <f>IF($AG227="","",INDEX('TMP Paste'!$C$2:$C$1601,$AG227))</f>
        <v/>
      </c>
      <c r="X227">
        <f>IF($AG227="","",Config!$B$29)</f>
        <v/>
      </c>
      <c r="Y227">
        <f>IF($AH227="","",INDEX(Calc!$I$2:$I$1601,$AH227)&amp;" - "&amp;INDEX(Calc!$D$2:$D$1601,$AH227)&amp;" koli")</f>
        <v/>
      </c>
      <c r="Z227">
        <f>IF($AG227="","",Config!$B$21)</f>
        <v/>
      </c>
      <c r="AA227">
        <f>IF($AG227="","",Config!$B$22)</f>
        <v/>
      </c>
      <c r="AB227">
        <f>IF($AH227="","",INDEX(Calc!$D$2:$D$1601,$AH227))</f>
        <v/>
      </c>
      <c r="AC227">
        <f>IF($AH227="","",INDEX(Calc!$G$2:$G$1601,$AH227))</f>
        <v/>
      </c>
      <c r="AD227">
        <f>IF($AG227="","",Config!$B$23)</f>
        <v/>
      </c>
      <c r="AE227">
        <f>IF($AG227="","",Config!$B$28)</f>
        <v/>
      </c>
      <c r="AG227">
        <f>IFERROR(MATCH(ROW()-1,Calc!$J$2:$J$1601,0),"")</f>
        <v/>
      </c>
      <c r="AH227">
        <f>IFERROR(MATCH(ROW()-1,Calc!$K$2:$K$1601,0),"")</f>
        <v/>
      </c>
      <c r="AI227">
        <f>IF($AG227="","",SUMIF($AG$2:$AG227,$AG227,$AH$2:$AH227))</f>
        <v/>
      </c>
      <c r="AJ227">
        <f>IF('TMP Paste'!$F227="","",IF('TMP Paste'!$B227="",$AJ226,'TMP Paste'!$B227))</f>
        <v/>
      </c>
      <c r="AK227">
        <f>IF('TMP Paste'!$F227="","",N('TMP Paste'!$G227))</f>
        <v/>
      </c>
      <c r="AL227">
        <f>IF('TMP Paste'!$F227="","",IF('TMP Paste'!$M227="",$AL226,'TMP Paste'!$M227))</f>
        <v/>
      </c>
      <c r="AM227">
        <f>IF('TMP Paste'!$F227="","",IF('TMP Paste'!$N227="",$AM226,'TMP Paste'!$N227))</f>
        <v/>
      </c>
      <c r="AN227">
        <f>IF('TMP Paste'!$F227="","",IF('TMP Paste'!$O227="",$AN226,'TMP Paste'!$O227))</f>
        <v/>
      </c>
      <c r="AO227">
        <f>IF('TMP Paste'!$F227="","",IF('TMP Paste'!$P227="",$AO226,'TMP Paste'!$P227))</f>
        <v/>
      </c>
      <c r="AP227">
        <f>IF($AG227="","",LEN($R227))</f>
        <v/>
      </c>
      <c r="AQ227">
        <f>IF($AG227="","",TRIM(IF(COUNTIFS(Calc!$B$2:$B$1601,ROW()-1,Calc!$C$2:$C$1601,"&lt;1")&gt;0,"Ada PO tanpa Koli - cek TMP. ","")&amp;IF(LEN($R227)&gt;500,"R &gt; 500 karakter.","")))</f>
        <v/>
      </c>
    </row>
    <row r="228">
      <c r="A228">
        <f>IF($AG228="","",INDEX('TMP Paste'!$B$2:$B$1601,$AG228))</f>
        <v/>
      </c>
      <c r="B228">
        <f>IF($AG228="","",Config!$B$14)</f>
        <v/>
      </c>
      <c r="C228">
        <f>IF($AG228="","",Config!$B$15)</f>
        <v/>
      </c>
      <c r="D228">
        <f>IF($AG228="","",INDEX('TMP Paste'!$B$2:$B$1601,$AG228))</f>
        <v/>
      </c>
      <c r="E228">
        <f>IF($AG228="","",Config!$B$27)</f>
        <v/>
      </c>
      <c r="F228">
        <f>IF($AG228="","",Config!$B$9)</f>
        <v/>
      </c>
      <c r="G228">
        <f>IF($AG228="","",Config!$B$10)</f>
        <v/>
      </c>
      <c r="H228">
        <f>IF($AG228="","",Config!$B$11)</f>
        <v/>
      </c>
      <c r="I228">
        <f>IF($AG228="","",Config!$B$16)</f>
        <v/>
      </c>
      <c r="J228">
        <f>IF($AG228="","",INDEX('TMP Paste'!$A$2:$A$1601,$AG228))</f>
        <v/>
      </c>
      <c r="K228">
        <f>IF($AG228="","",INDEX('TMP Paste'!$L$2:$L$1601,$AG228))</f>
        <v/>
      </c>
      <c r="L228">
        <f>IF($AG228="","",INDEX('TMP Paste'!$I$2:$I$1601,$AG228))</f>
        <v/>
      </c>
      <c r="M228">
        <f>IF($AG228="","",Config!$B$16)</f>
        <v/>
      </c>
      <c r="N228">
        <f>IF($AG228="","","")</f>
        <v/>
      </c>
      <c r="O228">
        <f>IF($AG228="","",INDEX('TMP Paste'!$K$2:$K$1601,$AG228))</f>
        <v/>
      </c>
      <c r="P228">
        <f>IF($AG228="","","")</f>
        <v/>
      </c>
      <c r="Q228">
        <f>IF($AG228="","",INDEX('TMP Paste'!$J$2:$J$1601,$AG228))</f>
        <v/>
      </c>
      <c r="R228">
        <f>IF($AG228="","",Config!$B$24)</f>
        <v/>
      </c>
      <c r="S228">
        <f>IF($AG228="","",TEXT(Config!$B$4,"yyyy-mm-dd"))</f>
        <v/>
      </c>
      <c r="T228">
        <f>IF($AG228="","",Config!$B$17)</f>
        <v/>
      </c>
      <c r="U228">
        <f>IF($AG228="","",Config!$B$18)</f>
        <v/>
      </c>
      <c r="V228">
        <f>IF($AG228="","",Config!$B$19)</f>
        <v/>
      </c>
      <c r="W228">
        <f>IF($AG228="","",INDEX('TMP Paste'!$C$2:$C$1601,$AG228))</f>
        <v/>
      </c>
      <c r="X228">
        <f>IF($AG228="","",Config!$B$29)</f>
        <v/>
      </c>
      <c r="Y228">
        <f>IF($AH228="","",INDEX(Calc!$I$2:$I$1601,$AH228)&amp;" - "&amp;INDEX(Calc!$D$2:$D$1601,$AH228)&amp;" koli")</f>
        <v/>
      </c>
      <c r="Z228">
        <f>IF($AG228="","",Config!$B$21)</f>
        <v/>
      </c>
      <c r="AA228">
        <f>IF($AG228="","",Config!$B$22)</f>
        <v/>
      </c>
      <c r="AB228">
        <f>IF($AH228="","",INDEX(Calc!$D$2:$D$1601,$AH228))</f>
        <v/>
      </c>
      <c r="AC228">
        <f>IF($AH228="","",INDEX(Calc!$G$2:$G$1601,$AH228))</f>
        <v/>
      </c>
      <c r="AD228">
        <f>IF($AG228="","",Config!$B$23)</f>
        <v/>
      </c>
      <c r="AE228">
        <f>IF($AG228="","",Config!$B$28)</f>
        <v/>
      </c>
      <c r="AG228">
        <f>IFERROR(MATCH(ROW()-1,Calc!$J$2:$J$1601,0),"")</f>
        <v/>
      </c>
      <c r="AH228">
        <f>IFERROR(MATCH(ROW()-1,Calc!$K$2:$K$1601,0),"")</f>
        <v/>
      </c>
      <c r="AI228">
        <f>IF($AG228="","",SUMIF($AG$2:$AG228,$AG228,$AH$2:$AH228))</f>
        <v/>
      </c>
      <c r="AJ228">
        <f>IF('TMP Paste'!$F228="","",IF('TMP Paste'!$B228="",$AJ227,'TMP Paste'!$B228))</f>
        <v/>
      </c>
      <c r="AK228">
        <f>IF('TMP Paste'!$F228="","",N('TMP Paste'!$G228))</f>
        <v/>
      </c>
      <c r="AL228">
        <f>IF('TMP Paste'!$F228="","",IF('TMP Paste'!$M228="",$AL227,'TMP Paste'!$M228))</f>
        <v/>
      </c>
      <c r="AM228">
        <f>IF('TMP Paste'!$F228="","",IF('TMP Paste'!$N228="",$AM227,'TMP Paste'!$N228))</f>
        <v/>
      </c>
      <c r="AN228">
        <f>IF('TMP Paste'!$F228="","",IF('TMP Paste'!$O228="",$AN227,'TMP Paste'!$O228))</f>
        <v/>
      </c>
      <c r="AO228">
        <f>IF('TMP Paste'!$F228="","",IF('TMP Paste'!$P228="",$AO227,'TMP Paste'!$P228))</f>
        <v/>
      </c>
      <c r="AP228">
        <f>IF($AG228="","",LEN($R228))</f>
        <v/>
      </c>
      <c r="AQ228">
        <f>IF($AG228="","",TRIM(IF(COUNTIFS(Calc!$B$2:$B$1601,ROW()-1,Calc!$C$2:$C$1601,"&lt;1")&gt;0,"Ada PO tanpa Koli - cek TMP. ","")&amp;IF(LEN($R228)&gt;500,"R &gt; 500 karakter.","")))</f>
        <v/>
      </c>
    </row>
    <row r="229">
      <c r="A229">
        <f>IF($AG229="","",INDEX('TMP Paste'!$B$2:$B$1601,$AG229))</f>
        <v/>
      </c>
      <c r="B229">
        <f>IF($AG229="","",Config!$B$14)</f>
        <v/>
      </c>
      <c r="C229">
        <f>IF($AG229="","",Config!$B$15)</f>
        <v/>
      </c>
      <c r="D229">
        <f>IF($AG229="","",INDEX('TMP Paste'!$B$2:$B$1601,$AG229))</f>
        <v/>
      </c>
      <c r="E229">
        <f>IF($AG229="","",Config!$B$27)</f>
        <v/>
      </c>
      <c r="F229">
        <f>IF($AG229="","",Config!$B$9)</f>
        <v/>
      </c>
      <c r="G229">
        <f>IF($AG229="","",Config!$B$10)</f>
        <v/>
      </c>
      <c r="H229">
        <f>IF($AG229="","",Config!$B$11)</f>
        <v/>
      </c>
      <c r="I229">
        <f>IF($AG229="","",Config!$B$16)</f>
        <v/>
      </c>
      <c r="J229">
        <f>IF($AG229="","",INDEX('TMP Paste'!$A$2:$A$1601,$AG229))</f>
        <v/>
      </c>
      <c r="K229">
        <f>IF($AG229="","",INDEX('TMP Paste'!$L$2:$L$1601,$AG229))</f>
        <v/>
      </c>
      <c r="L229">
        <f>IF($AG229="","",INDEX('TMP Paste'!$I$2:$I$1601,$AG229))</f>
        <v/>
      </c>
      <c r="M229">
        <f>IF($AG229="","",Config!$B$16)</f>
        <v/>
      </c>
      <c r="N229">
        <f>IF($AG229="","","")</f>
        <v/>
      </c>
      <c r="O229">
        <f>IF($AG229="","",INDEX('TMP Paste'!$K$2:$K$1601,$AG229))</f>
        <v/>
      </c>
      <c r="P229">
        <f>IF($AG229="","","")</f>
        <v/>
      </c>
      <c r="Q229">
        <f>IF($AG229="","",INDEX('TMP Paste'!$J$2:$J$1601,$AG229))</f>
        <v/>
      </c>
      <c r="R229">
        <f>IF($AG229="","",Config!$B$24)</f>
        <v/>
      </c>
      <c r="S229">
        <f>IF($AG229="","",TEXT(Config!$B$4,"yyyy-mm-dd"))</f>
        <v/>
      </c>
      <c r="T229">
        <f>IF($AG229="","",Config!$B$17)</f>
        <v/>
      </c>
      <c r="U229">
        <f>IF($AG229="","",Config!$B$18)</f>
        <v/>
      </c>
      <c r="V229">
        <f>IF($AG229="","",Config!$B$19)</f>
        <v/>
      </c>
      <c r="W229">
        <f>IF($AG229="","",INDEX('TMP Paste'!$C$2:$C$1601,$AG229))</f>
        <v/>
      </c>
      <c r="X229">
        <f>IF($AG229="","",Config!$B$29)</f>
        <v/>
      </c>
      <c r="Y229">
        <f>IF($AH229="","",INDEX(Calc!$I$2:$I$1601,$AH229)&amp;" - "&amp;INDEX(Calc!$D$2:$D$1601,$AH229)&amp;" koli")</f>
        <v/>
      </c>
      <c r="Z229">
        <f>IF($AG229="","",Config!$B$21)</f>
        <v/>
      </c>
      <c r="AA229">
        <f>IF($AG229="","",Config!$B$22)</f>
        <v/>
      </c>
      <c r="AB229">
        <f>IF($AH229="","",INDEX(Calc!$D$2:$D$1601,$AH229))</f>
        <v/>
      </c>
      <c r="AC229">
        <f>IF($AH229="","",INDEX(Calc!$G$2:$G$1601,$AH229))</f>
        <v/>
      </c>
      <c r="AD229">
        <f>IF($AG229="","",Config!$B$23)</f>
        <v/>
      </c>
      <c r="AE229">
        <f>IF($AG229="","",Config!$B$28)</f>
        <v/>
      </c>
      <c r="AG229">
        <f>IFERROR(MATCH(ROW()-1,Calc!$J$2:$J$1601,0),"")</f>
        <v/>
      </c>
      <c r="AH229">
        <f>IFERROR(MATCH(ROW()-1,Calc!$K$2:$K$1601,0),"")</f>
        <v/>
      </c>
      <c r="AI229">
        <f>IF($AG229="","",SUMIF($AG$2:$AG229,$AG229,$AH$2:$AH229))</f>
        <v/>
      </c>
      <c r="AJ229">
        <f>IF('TMP Paste'!$F229="","",IF('TMP Paste'!$B229="",$AJ228,'TMP Paste'!$B229))</f>
        <v/>
      </c>
      <c r="AK229">
        <f>IF('TMP Paste'!$F229="","",N('TMP Paste'!$G229))</f>
        <v/>
      </c>
      <c r="AL229">
        <f>IF('TMP Paste'!$F229="","",IF('TMP Paste'!$M229="",$AL228,'TMP Paste'!$M229))</f>
        <v/>
      </c>
      <c r="AM229">
        <f>IF('TMP Paste'!$F229="","",IF('TMP Paste'!$N229="",$AM228,'TMP Paste'!$N229))</f>
        <v/>
      </c>
      <c r="AN229">
        <f>IF('TMP Paste'!$F229="","",IF('TMP Paste'!$O229="",$AN228,'TMP Paste'!$O229))</f>
        <v/>
      </c>
      <c r="AO229">
        <f>IF('TMP Paste'!$F229="","",IF('TMP Paste'!$P229="",$AO228,'TMP Paste'!$P229))</f>
        <v/>
      </c>
      <c r="AP229">
        <f>IF($AG229="","",LEN($R229))</f>
        <v/>
      </c>
      <c r="AQ229">
        <f>IF($AG229="","",TRIM(IF(COUNTIFS(Calc!$B$2:$B$1601,ROW()-1,Calc!$C$2:$C$1601,"&lt;1")&gt;0,"Ada PO tanpa Koli - cek TMP. ","")&amp;IF(LEN($R229)&gt;500,"R &gt; 500 karakter.","")))</f>
        <v/>
      </c>
    </row>
    <row r="230">
      <c r="A230">
        <f>IF($AG230="","",INDEX('TMP Paste'!$B$2:$B$1601,$AG230))</f>
        <v/>
      </c>
      <c r="B230">
        <f>IF($AG230="","",Config!$B$14)</f>
        <v/>
      </c>
      <c r="C230">
        <f>IF($AG230="","",Config!$B$15)</f>
        <v/>
      </c>
      <c r="D230">
        <f>IF($AG230="","",INDEX('TMP Paste'!$B$2:$B$1601,$AG230))</f>
        <v/>
      </c>
      <c r="E230">
        <f>IF($AG230="","",Config!$B$27)</f>
        <v/>
      </c>
      <c r="F230">
        <f>IF($AG230="","",Config!$B$9)</f>
        <v/>
      </c>
      <c r="G230">
        <f>IF($AG230="","",Config!$B$10)</f>
        <v/>
      </c>
      <c r="H230">
        <f>IF($AG230="","",Config!$B$11)</f>
        <v/>
      </c>
      <c r="I230">
        <f>IF($AG230="","",Config!$B$16)</f>
        <v/>
      </c>
      <c r="J230">
        <f>IF($AG230="","",INDEX('TMP Paste'!$A$2:$A$1601,$AG230))</f>
        <v/>
      </c>
      <c r="K230">
        <f>IF($AG230="","",INDEX('TMP Paste'!$L$2:$L$1601,$AG230))</f>
        <v/>
      </c>
      <c r="L230">
        <f>IF($AG230="","",INDEX('TMP Paste'!$I$2:$I$1601,$AG230))</f>
        <v/>
      </c>
      <c r="M230">
        <f>IF($AG230="","",Config!$B$16)</f>
        <v/>
      </c>
      <c r="N230">
        <f>IF($AG230="","","")</f>
        <v/>
      </c>
      <c r="O230">
        <f>IF($AG230="","",INDEX('TMP Paste'!$K$2:$K$1601,$AG230))</f>
        <v/>
      </c>
      <c r="P230">
        <f>IF($AG230="","","")</f>
        <v/>
      </c>
      <c r="Q230">
        <f>IF($AG230="","",INDEX('TMP Paste'!$J$2:$J$1601,$AG230))</f>
        <v/>
      </c>
      <c r="R230">
        <f>IF($AG230="","",Config!$B$24)</f>
        <v/>
      </c>
      <c r="S230">
        <f>IF($AG230="","",TEXT(Config!$B$4,"yyyy-mm-dd"))</f>
        <v/>
      </c>
      <c r="T230">
        <f>IF($AG230="","",Config!$B$17)</f>
        <v/>
      </c>
      <c r="U230">
        <f>IF($AG230="","",Config!$B$18)</f>
        <v/>
      </c>
      <c r="V230">
        <f>IF($AG230="","",Config!$B$19)</f>
        <v/>
      </c>
      <c r="W230">
        <f>IF($AG230="","",INDEX('TMP Paste'!$C$2:$C$1601,$AG230))</f>
        <v/>
      </c>
      <c r="X230">
        <f>IF($AG230="","",Config!$B$29)</f>
        <v/>
      </c>
      <c r="Y230">
        <f>IF($AH230="","",INDEX(Calc!$I$2:$I$1601,$AH230)&amp;" - "&amp;INDEX(Calc!$D$2:$D$1601,$AH230)&amp;" koli")</f>
        <v/>
      </c>
      <c r="Z230">
        <f>IF($AG230="","",Config!$B$21)</f>
        <v/>
      </c>
      <c r="AA230">
        <f>IF($AG230="","",Config!$B$22)</f>
        <v/>
      </c>
      <c r="AB230">
        <f>IF($AH230="","",INDEX(Calc!$D$2:$D$1601,$AH230))</f>
        <v/>
      </c>
      <c r="AC230">
        <f>IF($AH230="","",INDEX(Calc!$G$2:$G$1601,$AH230))</f>
        <v/>
      </c>
      <c r="AD230">
        <f>IF($AG230="","",Config!$B$23)</f>
        <v/>
      </c>
      <c r="AE230">
        <f>IF($AG230="","",Config!$B$28)</f>
        <v/>
      </c>
      <c r="AG230">
        <f>IFERROR(MATCH(ROW()-1,Calc!$J$2:$J$1601,0),"")</f>
        <v/>
      </c>
      <c r="AH230">
        <f>IFERROR(MATCH(ROW()-1,Calc!$K$2:$K$1601,0),"")</f>
        <v/>
      </c>
      <c r="AI230">
        <f>IF($AG230="","",SUMIF($AG$2:$AG230,$AG230,$AH$2:$AH230))</f>
        <v/>
      </c>
      <c r="AJ230">
        <f>IF('TMP Paste'!$F230="","",IF('TMP Paste'!$B230="",$AJ229,'TMP Paste'!$B230))</f>
        <v/>
      </c>
      <c r="AK230">
        <f>IF('TMP Paste'!$F230="","",N('TMP Paste'!$G230))</f>
        <v/>
      </c>
      <c r="AL230">
        <f>IF('TMP Paste'!$F230="","",IF('TMP Paste'!$M230="",$AL229,'TMP Paste'!$M230))</f>
        <v/>
      </c>
      <c r="AM230">
        <f>IF('TMP Paste'!$F230="","",IF('TMP Paste'!$N230="",$AM229,'TMP Paste'!$N230))</f>
        <v/>
      </c>
      <c r="AN230">
        <f>IF('TMP Paste'!$F230="","",IF('TMP Paste'!$O230="",$AN229,'TMP Paste'!$O230))</f>
        <v/>
      </c>
      <c r="AO230">
        <f>IF('TMP Paste'!$F230="","",IF('TMP Paste'!$P230="",$AO229,'TMP Paste'!$P230))</f>
        <v/>
      </c>
      <c r="AP230">
        <f>IF($AG230="","",LEN($R230))</f>
        <v/>
      </c>
      <c r="AQ230">
        <f>IF($AG230="","",TRIM(IF(COUNTIFS(Calc!$B$2:$B$1601,ROW()-1,Calc!$C$2:$C$1601,"&lt;1")&gt;0,"Ada PO tanpa Koli - cek TMP. ","")&amp;IF(LEN($R230)&gt;500,"R &gt; 500 karakter.","")))</f>
        <v/>
      </c>
    </row>
    <row r="231">
      <c r="A231">
        <f>IF($AG231="","",INDEX('TMP Paste'!$B$2:$B$1601,$AG231))</f>
        <v/>
      </c>
      <c r="B231">
        <f>IF($AG231="","",Config!$B$14)</f>
        <v/>
      </c>
      <c r="C231">
        <f>IF($AG231="","",Config!$B$15)</f>
        <v/>
      </c>
      <c r="D231">
        <f>IF($AG231="","",INDEX('TMP Paste'!$B$2:$B$1601,$AG231))</f>
        <v/>
      </c>
      <c r="E231">
        <f>IF($AG231="","",Config!$B$27)</f>
        <v/>
      </c>
      <c r="F231">
        <f>IF($AG231="","",Config!$B$9)</f>
        <v/>
      </c>
      <c r="G231">
        <f>IF($AG231="","",Config!$B$10)</f>
        <v/>
      </c>
      <c r="H231">
        <f>IF($AG231="","",Config!$B$11)</f>
        <v/>
      </c>
      <c r="I231">
        <f>IF($AG231="","",Config!$B$16)</f>
        <v/>
      </c>
      <c r="J231">
        <f>IF($AG231="","",INDEX('TMP Paste'!$A$2:$A$1601,$AG231))</f>
        <v/>
      </c>
      <c r="K231">
        <f>IF($AG231="","",INDEX('TMP Paste'!$L$2:$L$1601,$AG231))</f>
        <v/>
      </c>
      <c r="L231">
        <f>IF($AG231="","",INDEX('TMP Paste'!$I$2:$I$1601,$AG231))</f>
        <v/>
      </c>
      <c r="M231">
        <f>IF($AG231="","",Config!$B$16)</f>
        <v/>
      </c>
      <c r="N231">
        <f>IF($AG231="","","")</f>
        <v/>
      </c>
      <c r="O231">
        <f>IF($AG231="","",INDEX('TMP Paste'!$K$2:$K$1601,$AG231))</f>
        <v/>
      </c>
      <c r="P231">
        <f>IF($AG231="","","")</f>
        <v/>
      </c>
      <c r="Q231">
        <f>IF($AG231="","",INDEX('TMP Paste'!$J$2:$J$1601,$AG231))</f>
        <v/>
      </c>
      <c r="R231">
        <f>IF($AG231="","",Config!$B$24)</f>
        <v/>
      </c>
      <c r="S231">
        <f>IF($AG231="","",TEXT(Config!$B$4,"yyyy-mm-dd"))</f>
        <v/>
      </c>
      <c r="T231">
        <f>IF($AG231="","",Config!$B$17)</f>
        <v/>
      </c>
      <c r="U231">
        <f>IF($AG231="","",Config!$B$18)</f>
        <v/>
      </c>
      <c r="V231">
        <f>IF($AG231="","",Config!$B$19)</f>
        <v/>
      </c>
      <c r="W231">
        <f>IF($AG231="","",INDEX('TMP Paste'!$C$2:$C$1601,$AG231))</f>
        <v/>
      </c>
      <c r="X231">
        <f>IF($AG231="","",Config!$B$29)</f>
        <v/>
      </c>
      <c r="Y231">
        <f>IF($AH231="","",INDEX(Calc!$I$2:$I$1601,$AH231)&amp;" - "&amp;INDEX(Calc!$D$2:$D$1601,$AH231)&amp;" koli")</f>
        <v/>
      </c>
      <c r="Z231">
        <f>IF($AG231="","",Config!$B$21)</f>
        <v/>
      </c>
      <c r="AA231">
        <f>IF($AG231="","",Config!$B$22)</f>
        <v/>
      </c>
      <c r="AB231">
        <f>IF($AH231="","",INDEX(Calc!$D$2:$D$1601,$AH231))</f>
        <v/>
      </c>
      <c r="AC231">
        <f>IF($AH231="","",INDEX(Calc!$G$2:$G$1601,$AH231))</f>
        <v/>
      </c>
      <c r="AD231">
        <f>IF($AG231="","",Config!$B$23)</f>
        <v/>
      </c>
      <c r="AE231">
        <f>IF($AG231="","",Config!$B$28)</f>
        <v/>
      </c>
      <c r="AG231">
        <f>IFERROR(MATCH(ROW()-1,Calc!$J$2:$J$1601,0),"")</f>
        <v/>
      </c>
      <c r="AH231">
        <f>IFERROR(MATCH(ROW()-1,Calc!$K$2:$K$1601,0),"")</f>
        <v/>
      </c>
      <c r="AI231">
        <f>IF($AG231="","",SUMIF($AG$2:$AG231,$AG231,$AH$2:$AH231))</f>
        <v/>
      </c>
      <c r="AJ231">
        <f>IF('TMP Paste'!$F231="","",IF('TMP Paste'!$B231="",$AJ230,'TMP Paste'!$B231))</f>
        <v/>
      </c>
      <c r="AK231">
        <f>IF('TMP Paste'!$F231="","",N('TMP Paste'!$G231))</f>
        <v/>
      </c>
      <c r="AL231">
        <f>IF('TMP Paste'!$F231="","",IF('TMP Paste'!$M231="",$AL230,'TMP Paste'!$M231))</f>
        <v/>
      </c>
      <c r="AM231">
        <f>IF('TMP Paste'!$F231="","",IF('TMP Paste'!$N231="",$AM230,'TMP Paste'!$N231))</f>
        <v/>
      </c>
      <c r="AN231">
        <f>IF('TMP Paste'!$F231="","",IF('TMP Paste'!$O231="",$AN230,'TMP Paste'!$O231))</f>
        <v/>
      </c>
      <c r="AO231">
        <f>IF('TMP Paste'!$F231="","",IF('TMP Paste'!$P231="",$AO230,'TMP Paste'!$P231))</f>
        <v/>
      </c>
      <c r="AP231">
        <f>IF($AG231="","",LEN($R231))</f>
        <v/>
      </c>
      <c r="AQ231">
        <f>IF($AG231="","",TRIM(IF(COUNTIFS(Calc!$B$2:$B$1601,ROW()-1,Calc!$C$2:$C$1601,"&lt;1")&gt;0,"Ada PO tanpa Koli - cek TMP. ","")&amp;IF(LEN($R231)&gt;500,"R &gt; 500 karakter.","")))</f>
        <v/>
      </c>
    </row>
    <row r="232">
      <c r="A232">
        <f>IF($AG232="","",INDEX('TMP Paste'!$B$2:$B$1601,$AG232))</f>
        <v/>
      </c>
      <c r="B232">
        <f>IF($AG232="","",Config!$B$14)</f>
        <v/>
      </c>
      <c r="C232">
        <f>IF($AG232="","",Config!$B$15)</f>
        <v/>
      </c>
      <c r="D232">
        <f>IF($AG232="","",INDEX('TMP Paste'!$B$2:$B$1601,$AG232))</f>
        <v/>
      </c>
      <c r="E232">
        <f>IF($AG232="","",Config!$B$27)</f>
        <v/>
      </c>
      <c r="F232">
        <f>IF($AG232="","",Config!$B$9)</f>
        <v/>
      </c>
      <c r="G232">
        <f>IF($AG232="","",Config!$B$10)</f>
        <v/>
      </c>
      <c r="H232">
        <f>IF($AG232="","",Config!$B$11)</f>
        <v/>
      </c>
      <c r="I232">
        <f>IF($AG232="","",Config!$B$16)</f>
        <v/>
      </c>
      <c r="J232">
        <f>IF($AG232="","",INDEX('TMP Paste'!$A$2:$A$1601,$AG232))</f>
        <v/>
      </c>
      <c r="K232">
        <f>IF($AG232="","",INDEX('TMP Paste'!$L$2:$L$1601,$AG232))</f>
        <v/>
      </c>
      <c r="L232">
        <f>IF($AG232="","",INDEX('TMP Paste'!$I$2:$I$1601,$AG232))</f>
        <v/>
      </c>
      <c r="M232">
        <f>IF($AG232="","",Config!$B$16)</f>
        <v/>
      </c>
      <c r="N232">
        <f>IF($AG232="","","")</f>
        <v/>
      </c>
      <c r="O232">
        <f>IF($AG232="","",INDEX('TMP Paste'!$K$2:$K$1601,$AG232))</f>
        <v/>
      </c>
      <c r="P232">
        <f>IF($AG232="","","")</f>
        <v/>
      </c>
      <c r="Q232">
        <f>IF($AG232="","",INDEX('TMP Paste'!$J$2:$J$1601,$AG232))</f>
        <v/>
      </c>
      <c r="R232">
        <f>IF($AG232="","",Config!$B$24)</f>
        <v/>
      </c>
      <c r="S232">
        <f>IF($AG232="","",TEXT(Config!$B$4,"yyyy-mm-dd"))</f>
        <v/>
      </c>
      <c r="T232">
        <f>IF($AG232="","",Config!$B$17)</f>
        <v/>
      </c>
      <c r="U232">
        <f>IF($AG232="","",Config!$B$18)</f>
        <v/>
      </c>
      <c r="V232">
        <f>IF($AG232="","",Config!$B$19)</f>
        <v/>
      </c>
      <c r="W232">
        <f>IF($AG232="","",INDEX('TMP Paste'!$C$2:$C$1601,$AG232))</f>
        <v/>
      </c>
      <c r="X232">
        <f>IF($AG232="","",Config!$B$29)</f>
        <v/>
      </c>
      <c r="Y232">
        <f>IF($AH232="","",INDEX(Calc!$I$2:$I$1601,$AH232)&amp;" - "&amp;INDEX(Calc!$D$2:$D$1601,$AH232)&amp;" koli")</f>
        <v/>
      </c>
      <c r="Z232">
        <f>IF($AG232="","",Config!$B$21)</f>
        <v/>
      </c>
      <c r="AA232">
        <f>IF($AG232="","",Config!$B$22)</f>
        <v/>
      </c>
      <c r="AB232">
        <f>IF($AH232="","",INDEX(Calc!$D$2:$D$1601,$AH232))</f>
        <v/>
      </c>
      <c r="AC232">
        <f>IF($AH232="","",INDEX(Calc!$G$2:$G$1601,$AH232))</f>
        <v/>
      </c>
      <c r="AD232">
        <f>IF($AG232="","",Config!$B$23)</f>
        <v/>
      </c>
      <c r="AE232">
        <f>IF($AG232="","",Config!$B$28)</f>
        <v/>
      </c>
      <c r="AG232">
        <f>IFERROR(MATCH(ROW()-1,Calc!$J$2:$J$1601,0),"")</f>
        <v/>
      </c>
      <c r="AH232">
        <f>IFERROR(MATCH(ROW()-1,Calc!$K$2:$K$1601,0),"")</f>
        <v/>
      </c>
      <c r="AI232">
        <f>IF($AG232="","",SUMIF($AG$2:$AG232,$AG232,$AH$2:$AH232))</f>
        <v/>
      </c>
      <c r="AJ232">
        <f>IF('TMP Paste'!$F232="","",IF('TMP Paste'!$B232="",$AJ231,'TMP Paste'!$B232))</f>
        <v/>
      </c>
      <c r="AK232">
        <f>IF('TMP Paste'!$F232="","",N('TMP Paste'!$G232))</f>
        <v/>
      </c>
      <c r="AL232">
        <f>IF('TMP Paste'!$F232="","",IF('TMP Paste'!$M232="",$AL231,'TMP Paste'!$M232))</f>
        <v/>
      </c>
      <c r="AM232">
        <f>IF('TMP Paste'!$F232="","",IF('TMP Paste'!$N232="",$AM231,'TMP Paste'!$N232))</f>
        <v/>
      </c>
      <c r="AN232">
        <f>IF('TMP Paste'!$F232="","",IF('TMP Paste'!$O232="",$AN231,'TMP Paste'!$O232))</f>
        <v/>
      </c>
      <c r="AO232">
        <f>IF('TMP Paste'!$F232="","",IF('TMP Paste'!$P232="",$AO231,'TMP Paste'!$P232))</f>
        <v/>
      </c>
      <c r="AP232">
        <f>IF($AG232="","",LEN($R232))</f>
        <v/>
      </c>
      <c r="AQ232">
        <f>IF($AG232="","",TRIM(IF(COUNTIFS(Calc!$B$2:$B$1601,ROW()-1,Calc!$C$2:$C$1601,"&lt;1")&gt;0,"Ada PO tanpa Koli - cek TMP. ","")&amp;IF(LEN($R232)&gt;500,"R &gt; 500 karakter.","")))</f>
        <v/>
      </c>
    </row>
    <row r="233">
      <c r="A233">
        <f>IF($AG233="","",INDEX('TMP Paste'!$B$2:$B$1601,$AG233))</f>
        <v/>
      </c>
      <c r="B233">
        <f>IF($AG233="","",Config!$B$14)</f>
        <v/>
      </c>
      <c r="C233">
        <f>IF($AG233="","",Config!$B$15)</f>
        <v/>
      </c>
      <c r="D233">
        <f>IF($AG233="","",INDEX('TMP Paste'!$B$2:$B$1601,$AG233))</f>
        <v/>
      </c>
      <c r="E233">
        <f>IF($AG233="","",Config!$B$27)</f>
        <v/>
      </c>
      <c r="F233">
        <f>IF($AG233="","",Config!$B$9)</f>
        <v/>
      </c>
      <c r="G233">
        <f>IF($AG233="","",Config!$B$10)</f>
        <v/>
      </c>
      <c r="H233">
        <f>IF($AG233="","",Config!$B$11)</f>
        <v/>
      </c>
      <c r="I233">
        <f>IF($AG233="","",Config!$B$16)</f>
        <v/>
      </c>
      <c r="J233">
        <f>IF($AG233="","",INDEX('TMP Paste'!$A$2:$A$1601,$AG233))</f>
        <v/>
      </c>
      <c r="K233">
        <f>IF($AG233="","",INDEX('TMP Paste'!$L$2:$L$1601,$AG233))</f>
        <v/>
      </c>
      <c r="L233">
        <f>IF($AG233="","",INDEX('TMP Paste'!$I$2:$I$1601,$AG233))</f>
        <v/>
      </c>
      <c r="M233">
        <f>IF($AG233="","",Config!$B$16)</f>
        <v/>
      </c>
      <c r="N233">
        <f>IF($AG233="","","")</f>
        <v/>
      </c>
      <c r="O233">
        <f>IF($AG233="","",INDEX('TMP Paste'!$K$2:$K$1601,$AG233))</f>
        <v/>
      </c>
      <c r="P233">
        <f>IF($AG233="","","")</f>
        <v/>
      </c>
      <c r="Q233">
        <f>IF($AG233="","",INDEX('TMP Paste'!$J$2:$J$1601,$AG233))</f>
        <v/>
      </c>
      <c r="R233">
        <f>IF($AG233="","",Config!$B$24)</f>
        <v/>
      </c>
      <c r="S233">
        <f>IF($AG233="","",TEXT(Config!$B$4,"yyyy-mm-dd"))</f>
        <v/>
      </c>
      <c r="T233">
        <f>IF($AG233="","",Config!$B$17)</f>
        <v/>
      </c>
      <c r="U233">
        <f>IF($AG233="","",Config!$B$18)</f>
        <v/>
      </c>
      <c r="V233">
        <f>IF($AG233="","",Config!$B$19)</f>
        <v/>
      </c>
      <c r="W233">
        <f>IF($AG233="","",INDEX('TMP Paste'!$C$2:$C$1601,$AG233))</f>
        <v/>
      </c>
      <c r="X233">
        <f>IF($AG233="","",Config!$B$29)</f>
        <v/>
      </c>
      <c r="Y233">
        <f>IF($AH233="","",INDEX(Calc!$I$2:$I$1601,$AH233)&amp;" - "&amp;INDEX(Calc!$D$2:$D$1601,$AH233)&amp;" koli")</f>
        <v/>
      </c>
      <c r="Z233">
        <f>IF($AG233="","",Config!$B$21)</f>
        <v/>
      </c>
      <c r="AA233">
        <f>IF($AG233="","",Config!$B$22)</f>
        <v/>
      </c>
      <c r="AB233">
        <f>IF($AH233="","",INDEX(Calc!$D$2:$D$1601,$AH233))</f>
        <v/>
      </c>
      <c r="AC233">
        <f>IF($AH233="","",INDEX(Calc!$G$2:$G$1601,$AH233))</f>
        <v/>
      </c>
      <c r="AD233">
        <f>IF($AG233="","",Config!$B$23)</f>
        <v/>
      </c>
      <c r="AE233">
        <f>IF($AG233="","",Config!$B$28)</f>
        <v/>
      </c>
      <c r="AG233">
        <f>IFERROR(MATCH(ROW()-1,Calc!$J$2:$J$1601,0),"")</f>
        <v/>
      </c>
      <c r="AH233">
        <f>IFERROR(MATCH(ROW()-1,Calc!$K$2:$K$1601,0),"")</f>
        <v/>
      </c>
      <c r="AI233">
        <f>IF($AG233="","",SUMIF($AG$2:$AG233,$AG233,$AH$2:$AH233))</f>
        <v/>
      </c>
      <c r="AJ233">
        <f>IF('TMP Paste'!$F233="","",IF('TMP Paste'!$B233="",$AJ232,'TMP Paste'!$B233))</f>
        <v/>
      </c>
      <c r="AK233">
        <f>IF('TMP Paste'!$F233="","",N('TMP Paste'!$G233))</f>
        <v/>
      </c>
      <c r="AL233">
        <f>IF('TMP Paste'!$F233="","",IF('TMP Paste'!$M233="",$AL232,'TMP Paste'!$M233))</f>
        <v/>
      </c>
      <c r="AM233">
        <f>IF('TMP Paste'!$F233="","",IF('TMP Paste'!$N233="",$AM232,'TMP Paste'!$N233))</f>
        <v/>
      </c>
      <c r="AN233">
        <f>IF('TMP Paste'!$F233="","",IF('TMP Paste'!$O233="",$AN232,'TMP Paste'!$O233))</f>
        <v/>
      </c>
      <c r="AO233">
        <f>IF('TMP Paste'!$F233="","",IF('TMP Paste'!$P233="",$AO232,'TMP Paste'!$P233))</f>
        <v/>
      </c>
      <c r="AP233">
        <f>IF($AG233="","",LEN($R233))</f>
        <v/>
      </c>
      <c r="AQ233">
        <f>IF($AG233="","",TRIM(IF(COUNTIFS(Calc!$B$2:$B$1601,ROW()-1,Calc!$C$2:$C$1601,"&lt;1")&gt;0,"Ada PO tanpa Koli - cek TMP. ","")&amp;IF(LEN($R233)&gt;500,"R &gt; 500 karakter.","")))</f>
        <v/>
      </c>
    </row>
    <row r="234">
      <c r="A234">
        <f>IF($AG234="","",INDEX('TMP Paste'!$B$2:$B$1601,$AG234))</f>
        <v/>
      </c>
      <c r="B234">
        <f>IF($AG234="","",Config!$B$14)</f>
        <v/>
      </c>
      <c r="C234">
        <f>IF($AG234="","",Config!$B$15)</f>
        <v/>
      </c>
      <c r="D234">
        <f>IF($AG234="","",INDEX('TMP Paste'!$B$2:$B$1601,$AG234))</f>
        <v/>
      </c>
      <c r="E234">
        <f>IF($AG234="","",Config!$B$27)</f>
        <v/>
      </c>
      <c r="F234">
        <f>IF($AG234="","",Config!$B$9)</f>
        <v/>
      </c>
      <c r="G234">
        <f>IF($AG234="","",Config!$B$10)</f>
        <v/>
      </c>
      <c r="H234">
        <f>IF($AG234="","",Config!$B$11)</f>
        <v/>
      </c>
      <c r="I234">
        <f>IF($AG234="","",Config!$B$16)</f>
        <v/>
      </c>
      <c r="J234">
        <f>IF($AG234="","",INDEX('TMP Paste'!$A$2:$A$1601,$AG234))</f>
        <v/>
      </c>
      <c r="K234">
        <f>IF($AG234="","",INDEX('TMP Paste'!$L$2:$L$1601,$AG234))</f>
        <v/>
      </c>
      <c r="L234">
        <f>IF($AG234="","",INDEX('TMP Paste'!$I$2:$I$1601,$AG234))</f>
        <v/>
      </c>
      <c r="M234">
        <f>IF($AG234="","",Config!$B$16)</f>
        <v/>
      </c>
      <c r="N234">
        <f>IF($AG234="","","")</f>
        <v/>
      </c>
      <c r="O234">
        <f>IF($AG234="","",INDEX('TMP Paste'!$K$2:$K$1601,$AG234))</f>
        <v/>
      </c>
      <c r="P234">
        <f>IF($AG234="","","")</f>
        <v/>
      </c>
      <c r="Q234">
        <f>IF($AG234="","",INDEX('TMP Paste'!$J$2:$J$1601,$AG234))</f>
        <v/>
      </c>
      <c r="R234">
        <f>IF($AG234="","",Config!$B$24)</f>
        <v/>
      </c>
      <c r="S234">
        <f>IF($AG234="","",TEXT(Config!$B$4,"yyyy-mm-dd"))</f>
        <v/>
      </c>
      <c r="T234">
        <f>IF($AG234="","",Config!$B$17)</f>
        <v/>
      </c>
      <c r="U234">
        <f>IF($AG234="","",Config!$B$18)</f>
        <v/>
      </c>
      <c r="V234">
        <f>IF($AG234="","",Config!$B$19)</f>
        <v/>
      </c>
      <c r="W234">
        <f>IF($AG234="","",INDEX('TMP Paste'!$C$2:$C$1601,$AG234))</f>
        <v/>
      </c>
      <c r="X234">
        <f>IF($AG234="","",Config!$B$29)</f>
        <v/>
      </c>
      <c r="Y234">
        <f>IF($AH234="","",INDEX(Calc!$I$2:$I$1601,$AH234)&amp;" - "&amp;INDEX(Calc!$D$2:$D$1601,$AH234)&amp;" koli")</f>
        <v/>
      </c>
      <c r="Z234">
        <f>IF($AG234="","",Config!$B$21)</f>
        <v/>
      </c>
      <c r="AA234">
        <f>IF($AG234="","",Config!$B$22)</f>
        <v/>
      </c>
      <c r="AB234">
        <f>IF($AH234="","",INDEX(Calc!$D$2:$D$1601,$AH234))</f>
        <v/>
      </c>
      <c r="AC234">
        <f>IF($AH234="","",INDEX(Calc!$G$2:$G$1601,$AH234))</f>
        <v/>
      </c>
      <c r="AD234">
        <f>IF($AG234="","",Config!$B$23)</f>
        <v/>
      </c>
      <c r="AE234">
        <f>IF($AG234="","",Config!$B$28)</f>
        <v/>
      </c>
      <c r="AG234">
        <f>IFERROR(MATCH(ROW()-1,Calc!$J$2:$J$1601,0),"")</f>
        <v/>
      </c>
      <c r="AH234">
        <f>IFERROR(MATCH(ROW()-1,Calc!$K$2:$K$1601,0),"")</f>
        <v/>
      </c>
      <c r="AI234">
        <f>IF($AG234="","",SUMIF($AG$2:$AG234,$AG234,$AH$2:$AH234))</f>
        <v/>
      </c>
      <c r="AJ234">
        <f>IF('TMP Paste'!$F234="","",IF('TMP Paste'!$B234="",$AJ233,'TMP Paste'!$B234))</f>
        <v/>
      </c>
      <c r="AK234">
        <f>IF('TMP Paste'!$F234="","",N('TMP Paste'!$G234))</f>
        <v/>
      </c>
      <c r="AL234">
        <f>IF('TMP Paste'!$F234="","",IF('TMP Paste'!$M234="",$AL233,'TMP Paste'!$M234))</f>
        <v/>
      </c>
      <c r="AM234">
        <f>IF('TMP Paste'!$F234="","",IF('TMP Paste'!$N234="",$AM233,'TMP Paste'!$N234))</f>
        <v/>
      </c>
      <c r="AN234">
        <f>IF('TMP Paste'!$F234="","",IF('TMP Paste'!$O234="",$AN233,'TMP Paste'!$O234))</f>
        <v/>
      </c>
      <c r="AO234">
        <f>IF('TMP Paste'!$F234="","",IF('TMP Paste'!$P234="",$AO233,'TMP Paste'!$P234))</f>
        <v/>
      </c>
      <c r="AP234">
        <f>IF($AG234="","",LEN($R234))</f>
        <v/>
      </c>
      <c r="AQ234">
        <f>IF($AG234="","",TRIM(IF(COUNTIFS(Calc!$B$2:$B$1601,ROW()-1,Calc!$C$2:$C$1601,"&lt;1")&gt;0,"Ada PO tanpa Koli - cek TMP. ","")&amp;IF(LEN($R234)&gt;500,"R &gt; 500 karakter.","")))</f>
        <v/>
      </c>
    </row>
    <row r="235">
      <c r="A235">
        <f>IF($AG235="","",INDEX('TMP Paste'!$B$2:$B$1601,$AG235))</f>
        <v/>
      </c>
      <c r="B235">
        <f>IF($AG235="","",Config!$B$14)</f>
        <v/>
      </c>
      <c r="C235">
        <f>IF($AG235="","",Config!$B$15)</f>
        <v/>
      </c>
      <c r="D235">
        <f>IF($AG235="","",INDEX('TMP Paste'!$B$2:$B$1601,$AG235))</f>
        <v/>
      </c>
      <c r="E235">
        <f>IF($AG235="","",Config!$B$27)</f>
        <v/>
      </c>
      <c r="F235">
        <f>IF($AG235="","",Config!$B$9)</f>
        <v/>
      </c>
      <c r="G235">
        <f>IF($AG235="","",Config!$B$10)</f>
        <v/>
      </c>
      <c r="H235">
        <f>IF($AG235="","",Config!$B$11)</f>
        <v/>
      </c>
      <c r="I235">
        <f>IF($AG235="","",Config!$B$16)</f>
        <v/>
      </c>
      <c r="J235">
        <f>IF($AG235="","",INDEX('TMP Paste'!$A$2:$A$1601,$AG235))</f>
        <v/>
      </c>
      <c r="K235">
        <f>IF($AG235="","",INDEX('TMP Paste'!$L$2:$L$1601,$AG235))</f>
        <v/>
      </c>
      <c r="L235">
        <f>IF($AG235="","",INDEX('TMP Paste'!$I$2:$I$1601,$AG235))</f>
        <v/>
      </c>
      <c r="M235">
        <f>IF($AG235="","",Config!$B$16)</f>
        <v/>
      </c>
      <c r="N235">
        <f>IF($AG235="","","")</f>
        <v/>
      </c>
      <c r="O235">
        <f>IF($AG235="","",INDEX('TMP Paste'!$K$2:$K$1601,$AG235))</f>
        <v/>
      </c>
      <c r="P235">
        <f>IF($AG235="","","")</f>
        <v/>
      </c>
      <c r="Q235">
        <f>IF($AG235="","",INDEX('TMP Paste'!$J$2:$J$1601,$AG235))</f>
        <v/>
      </c>
      <c r="R235">
        <f>IF($AG235="","",Config!$B$24)</f>
        <v/>
      </c>
      <c r="S235">
        <f>IF($AG235="","",TEXT(Config!$B$4,"yyyy-mm-dd"))</f>
        <v/>
      </c>
      <c r="T235">
        <f>IF($AG235="","",Config!$B$17)</f>
        <v/>
      </c>
      <c r="U235">
        <f>IF($AG235="","",Config!$B$18)</f>
        <v/>
      </c>
      <c r="V235">
        <f>IF($AG235="","",Config!$B$19)</f>
        <v/>
      </c>
      <c r="W235">
        <f>IF($AG235="","",INDEX('TMP Paste'!$C$2:$C$1601,$AG235))</f>
        <v/>
      </c>
      <c r="X235">
        <f>IF($AG235="","",Config!$B$29)</f>
        <v/>
      </c>
      <c r="Y235">
        <f>IF($AH235="","",INDEX(Calc!$I$2:$I$1601,$AH235)&amp;" - "&amp;INDEX(Calc!$D$2:$D$1601,$AH235)&amp;" koli")</f>
        <v/>
      </c>
      <c r="Z235">
        <f>IF($AG235="","",Config!$B$21)</f>
        <v/>
      </c>
      <c r="AA235">
        <f>IF($AG235="","",Config!$B$22)</f>
        <v/>
      </c>
      <c r="AB235">
        <f>IF($AH235="","",INDEX(Calc!$D$2:$D$1601,$AH235))</f>
        <v/>
      </c>
      <c r="AC235">
        <f>IF($AH235="","",INDEX(Calc!$G$2:$G$1601,$AH235))</f>
        <v/>
      </c>
      <c r="AD235">
        <f>IF($AG235="","",Config!$B$23)</f>
        <v/>
      </c>
      <c r="AE235">
        <f>IF($AG235="","",Config!$B$28)</f>
        <v/>
      </c>
      <c r="AG235">
        <f>IFERROR(MATCH(ROW()-1,Calc!$J$2:$J$1601,0),"")</f>
        <v/>
      </c>
      <c r="AH235">
        <f>IFERROR(MATCH(ROW()-1,Calc!$K$2:$K$1601,0),"")</f>
        <v/>
      </c>
      <c r="AI235">
        <f>IF($AG235="","",SUMIF($AG$2:$AG235,$AG235,$AH$2:$AH235))</f>
        <v/>
      </c>
      <c r="AJ235">
        <f>IF('TMP Paste'!$F235="","",IF('TMP Paste'!$B235="",$AJ234,'TMP Paste'!$B235))</f>
        <v/>
      </c>
      <c r="AK235">
        <f>IF('TMP Paste'!$F235="","",N('TMP Paste'!$G235))</f>
        <v/>
      </c>
      <c r="AL235">
        <f>IF('TMP Paste'!$F235="","",IF('TMP Paste'!$M235="",$AL234,'TMP Paste'!$M235))</f>
        <v/>
      </c>
      <c r="AM235">
        <f>IF('TMP Paste'!$F235="","",IF('TMP Paste'!$N235="",$AM234,'TMP Paste'!$N235))</f>
        <v/>
      </c>
      <c r="AN235">
        <f>IF('TMP Paste'!$F235="","",IF('TMP Paste'!$O235="",$AN234,'TMP Paste'!$O235))</f>
        <v/>
      </c>
      <c r="AO235">
        <f>IF('TMP Paste'!$F235="","",IF('TMP Paste'!$P235="",$AO234,'TMP Paste'!$P235))</f>
        <v/>
      </c>
      <c r="AP235">
        <f>IF($AG235="","",LEN($R235))</f>
        <v/>
      </c>
      <c r="AQ235">
        <f>IF($AG235="","",TRIM(IF(COUNTIFS(Calc!$B$2:$B$1601,ROW()-1,Calc!$C$2:$C$1601,"&lt;1")&gt;0,"Ada PO tanpa Koli - cek TMP. ","")&amp;IF(LEN($R235)&gt;500,"R &gt; 500 karakter.","")))</f>
        <v/>
      </c>
    </row>
    <row r="236">
      <c r="A236">
        <f>IF($AG236="","",INDEX('TMP Paste'!$B$2:$B$1601,$AG236))</f>
        <v/>
      </c>
      <c r="B236">
        <f>IF($AG236="","",Config!$B$14)</f>
        <v/>
      </c>
      <c r="C236">
        <f>IF($AG236="","",Config!$B$15)</f>
        <v/>
      </c>
      <c r="D236">
        <f>IF($AG236="","",INDEX('TMP Paste'!$B$2:$B$1601,$AG236))</f>
        <v/>
      </c>
      <c r="E236">
        <f>IF($AG236="","",Config!$B$27)</f>
        <v/>
      </c>
      <c r="F236">
        <f>IF($AG236="","",Config!$B$9)</f>
        <v/>
      </c>
      <c r="G236">
        <f>IF($AG236="","",Config!$B$10)</f>
        <v/>
      </c>
      <c r="H236">
        <f>IF($AG236="","",Config!$B$11)</f>
        <v/>
      </c>
      <c r="I236">
        <f>IF($AG236="","",Config!$B$16)</f>
        <v/>
      </c>
      <c r="J236">
        <f>IF($AG236="","",INDEX('TMP Paste'!$A$2:$A$1601,$AG236))</f>
        <v/>
      </c>
      <c r="K236">
        <f>IF($AG236="","",INDEX('TMP Paste'!$L$2:$L$1601,$AG236))</f>
        <v/>
      </c>
      <c r="L236">
        <f>IF($AG236="","",INDEX('TMP Paste'!$I$2:$I$1601,$AG236))</f>
        <v/>
      </c>
      <c r="M236">
        <f>IF($AG236="","",Config!$B$16)</f>
        <v/>
      </c>
      <c r="N236">
        <f>IF($AG236="","","")</f>
        <v/>
      </c>
      <c r="O236">
        <f>IF($AG236="","",INDEX('TMP Paste'!$K$2:$K$1601,$AG236))</f>
        <v/>
      </c>
      <c r="P236">
        <f>IF($AG236="","","")</f>
        <v/>
      </c>
      <c r="Q236">
        <f>IF($AG236="","",INDEX('TMP Paste'!$J$2:$J$1601,$AG236))</f>
        <v/>
      </c>
      <c r="R236">
        <f>IF($AG236="","",Config!$B$24)</f>
        <v/>
      </c>
      <c r="S236">
        <f>IF($AG236="","",TEXT(Config!$B$4,"yyyy-mm-dd"))</f>
        <v/>
      </c>
      <c r="T236">
        <f>IF($AG236="","",Config!$B$17)</f>
        <v/>
      </c>
      <c r="U236">
        <f>IF($AG236="","",Config!$B$18)</f>
        <v/>
      </c>
      <c r="V236">
        <f>IF($AG236="","",Config!$B$19)</f>
        <v/>
      </c>
      <c r="W236">
        <f>IF($AG236="","",INDEX('TMP Paste'!$C$2:$C$1601,$AG236))</f>
        <v/>
      </c>
      <c r="X236">
        <f>IF($AG236="","",Config!$B$29)</f>
        <v/>
      </c>
      <c r="Y236">
        <f>IF($AH236="","",INDEX(Calc!$I$2:$I$1601,$AH236)&amp;" - "&amp;INDEX(Calc!$D$2:$D$1601,$AH236)&amp;" koli")</f>
        <v/>
      </c>
      <c r="Z236">
        <f>IF($AG236="","",Config!$B$21)</f>
        <v/>
      </c>
      <c r="AA236">
        <f>IF($AG236="","",Config!$B$22)</f>
        <v/>
      </c>
      <c r="AB236">
        <f>IF($AH236="","",INDEX(Calc!$D$2:$D$1601,$AH236))</f>
        <v/>
      </c>
      <c r="AC236">
        <f>IF($AH236="","",INDEX(Calc!$G$2:$G$1601,$AH236))</f>
        <v/>
      </c>
      <c r="AD236">
        <f>IF($AG236="","",Config!$B$23)</f>
        <v/>
      </c>
      <c r="AE236">
        <f>IF($AG236="","",Config!$B$28)</f>
        <v/>
      </c>
      <c r="AG236">
        <f>IFERROR(MATCH(ROW()-1,Calc!$J$2:$J$1601,0),"")</f>
        <v/>
      </c>
      <c r="AH236">
        <f>IFERROR(MATCH(ROW()-1,Calc!$K$2:$K$1601,0),"")</f>
        <v/>
      </c>
      <c r="AI236">
        <f>IF($AG236="","",SUMIF($AG$2:$AG236,$AG236,$AH$2:$AH236))</f>
        <v/>
      </c>
      <c r="AJ236">
        <f>IF('TMP Paste'!$F236="","",IF('TMP Paste'!$B236="",$AJ235,'TMP Paste'!$B236))</f>
        <v/>
      </c>
      <c r="AK236">
        <f>IF('TMP Paste'!$F236="","",N('TMP Paste'!$G236))</f>
        <v/>
      </c>
      <c r="AL236">
        <f>IF('TMP Paste'!$F236="","",IF('TMP Paste'!$M236="",$AL235,'TMP Paste'!$M236))</f>
        <v/>
      </c>
      <c r="AM236">
        <f>IF('TMP Paste'!$F236="","",IF('TMP Paste'!$N236="",$AM235,'TMP Paste'!$N236))</f>
        <v/>
      </c>
      <c r="AN236">
        <f>IF('TMP Paste'!$F236="","",IF('TMP Paste'!$O236="",$AN235,'TMP Paste'!$O236))</f>
        <v/>
      </c>
      <c r="AO236">
        <f>IF('TMP Paste'!$F236="","",IF('TMP Paste'!$P236="",$AO235,'TMP Paste'!$P236))</f>
        <v/>
      </c>
      <c r="AP236">
        <f>IF($AG236="","",LEN($R236))</f>
        <v/>
      </c>
      <c r="AQ236">
        <f>IF($AG236="","",TRIM(IF(COUNTIFS(Calc!$B$2:$B$1601,ROW()-1,Calc!$C$2:$C$1601,"&lt;1")&gt;0,"Ada PO tanpa Koli - cek TMP. ","")&amp;IF(LEN($R236)&gt;500,"R &gt; 500 karakter.","")))</f>
        <v/>
      </c>
    </row>
    <row r="237">
      <c r="A237">
        <f>IF($AG237="","",INDEX('TMP Paste'!$B$2:$B$1601,$AG237))</f>
        <v/>
      </c>
      <c r="B237">
        <f>IF($AG237="","",Config!$B$14)</f>
        <v/>
      </c>
      <c r="C237">
        <f>IF($AG237="","",Config!$B$15)</f>
        <v/>
      </c>
      <c r="D237">
        <f>IF($AG237="","",INDEX('TMP Paste'!$B$2:$B$1601,$AG237))</f>
        <v/>
      </c>
      <c r="E237">
        <f>IF($AG237="","",Config!$B$27)</f>
        <v/>
      </c>
      <c r="F237">
        <f>IF($AG237="","",Config!$B$9)</f>
        <v/>
      </c>
      <c r="G237">
        <f>IF($AG237="","",Config!$B$10)</f>
        <v/>
      </c>
      <c r="H237">
        <f>IF($AG237="","",Config!$B$11)</f>
        <v/>
      </c>
      <c r="I237">
        <f>IF($AG237="","",Config!$B$16)</f>
        <v/>
      </c>
      <c r="J237">
        <f>IF($AG237="","",INDEX('TMP Paste'!$A$2:$A$1601,$AG237))</f>
        <v/>
      </c>
      <c r="K237">
        <f>IF($AG237="","",INDEX('TMP Paste'!$L$2:$L$1601,$AG237))</f>
        <v/>
      </c>
      <c r="L237">
        <f>IF($AG237="","",INDEX('TMP Paste'!$I$2:$I$1601,$AG237))</f>
        <v/>
      </c>
      <c r="M237">
        <f>IF($AG237="","",Config!$B$16)</f>
        <v/>
      </c>
      <c r="N237">
        <f>IF($AG237="","","")</f>
        <v/>
      </c>
      <c r="O237">
        <f>IF($AG237="","",INDEX('TMP Paste'!$K$2:$K$1601,$AG237))</f>
        <v/>
      </c>
      <c r="P237">
        <f>IF($AG237="","","")</f>
        <v/>
      </c>
      <c r="Q237">
        <f>IF($AG237="","",INDEX('TMP Paste'!$J$2:$J$1601,$AG237))</f>
        <v/>
      </c>
      <c r="R237">
        <f>IF($AG237="","",Config!$B$24)</f>
        <v/>
      </c>
      <c r="S237">
        <f>IF($AG237="","",TEXT(Config!$B$4,"yyyy-mm-dd"))</f>
        <v/>
      </c>
      <c r="T237">
        <f>IF($AG237="","",Config!$B$17)</f>
        <v/>
      </c>
      <c r="U237">
        <f>IF($AG237="","",Config!$B$18)</f>
        <v/>
      </c>
      <c r="V237">
        <f>IF($AG237="","",Config!$B$19)</f>
        <v/>
      </c>
      <c r="W237">
        <f>IF($AG237="","",INDEX('TMP Paste'!$C$2:$C$1601,$AG237))</f>
        <v/>
      </c>
      <c r="X237">
        <f>IF($AG237="","",Config!$B$29)</f>
        <v/>
      </c>
      <c r="Y237">
        <f>IF($AH237="","",INDEX(Calc!$I$2:$I$1601,$AH237)&amp;" - "&amp;INDEX(Calc!$D$2:$D$1601,$AH237)&amp;" koli")</f>
        <v/>
      </c>
      <c r="Z237">
        <f>IF($AG237="","",Config!$B$21)</f>
        <v/>
      </c>
      <c r="AA237">
        <f>IF($AG237="","",Config!$B$22)</f>
        <v/>
      </c>
      <c r="AB237">
        <f>IF($AH237="","",INDEX(Calc!$D$2:$D$1601,$AH237))</f>
        <v/>
      </c>
      <c r="AC237">
        <f>IF($AH237="","",INDEX(Calc!$G$2:$G$1601,$AH237))</f>
        <v/>
      </c>
      <c r="AD237">
        <f>IF($AG237="","",Config!$B$23)</f>
        <v/>
      </c>
      <c r="AE237">
        <f>IF($AG237="","",Config!$B$28)</f>
        <v/>
      </c>
      <c r="AG237">
        <f>IFERROR(MATCH(ROW()-1,Calc!$J$2:$J$1601,0),"")</f>
        <v/>
      </c>
      <c r="AH237">
        <f>IFERROR(MATCH(ROW()-1,Calc!$K$2:$K$1601,0),"")</f>
        <v/>
      </c>
      <c r="AI237">
        <f>IF($AG237="","",SUMIF($AG$2:$AG237,$AG237,$AH$2:$AH237))</f>
        <v/>
      </c>
      <c r="AJ237">
        <f>IF('TMP Paste'!$F237="","",IF('TMP Paste'!$B237="",$AJ236,'TMP Paste'!$B237))</f>
        <v/>
      </c>
      <c r="AK237">
        <f>IF('TMP Paste'!$F237="","",N('TMP Paste'!$G237))</f>
        <v/>
      </c>
      <c r="AL237">
        <f>IF('TMP Paste'!$F237="","",IF('TMP Paste'!$M237="",$AL236,'TMP Paste'!$M237))</f>
        <v/>
      </c>
      <c r="AM237">
        <f>IF('TMP Paste'!$F237="","",IF('TMP Paste'!$N237="",$AM236,'TMP Paste'!$N237))</f>
        <v/>
      </c>
      <c r="AN237">
        <f>IF('TMP Paste'!$F237="","",IF('TMP Paste'!$O237="",$AN236,'TMP Paste'!$O237))</f>
        <v/>
      </c>
      <c r="AO237">
        <f>IF('TMP Paste'!$F237="","",IF('TMP Paste'!$P237="",$AO236,'TMP Paste'!$P237))</f>
        <v/>
      </c>
      <c r="AP237">
        <f>IF($AG237="","",LEN($R237))</f>
        <v/>
      </c>
      <c r="AQ237">
        <f>IF($AG237="","",TRIM(IF(COUNTIFS(Calc!$B$2:$B$1601,ROW()-1,Calc!$C$2:$C$1601,"&lt;1")&gt;0,"Ada PO tanpa Koli - cek TMP. ","")&amp;IF(LEN($R237)&gt;500,"R &gt; 500 karakter.","")))</f>
        <v/>
      </c>
    </row>
    <row r="238">
      <c r="A238">
        <f>IF($AG238="","",INDEX('TMP Paste'!$B$2:$B$1601,$AG238))</f>
        <v/>
      </c>
      <c r="B238">
        <f>IF($AG238="","",Config!$B$14)</f>
        <v/>
      </c>
      <c r="C238">
        <f>IF($AG238="","",Config!$B$15)</f>
        <v/>
      </c>
      <c r="D238">
        <f>IF($AG238="","",INDEX('TMP Paste'!$B$2:$B$1601,$AG238))</f>
        <v/>
      </c>
      <c r="E238">
        <f>IF($AG238="","",Config!$B$27)</f>
        <v/>
      </c>
      <c r="F238">
        <f>IF($AG238="","",Config!$B$9)</f>
        <v/>
      </c>
      <c r="G238">
        <f>IF($AG238="","",Config!$B$10)</f>
        <v/>
      </c>
      <c r="H238">
        <f>IF($AG238="","",Config!$B$11)</f>
        <v/>
      </c>
      <c r="I238">
        <f>IF($AG238="","",Config!$B$16)</f>
        <v/>
      </c>
      <c r="J238">
        <f>IF($AG238="","",INDEX('TMP Paste'!$A$2:$A$1601,$AG238))</f>
        <v/>
      </c>
      <c r="K238">
        <f>IF($AG238="","",INDEX('TMP Paste'!$L$2:$L$1601,$AG238))</f>
        <v/>
      </c>
      <c r="L238">
        <f>IF($AG238="","",INDEX('TMP Paste'!$I$2:$I$1601,$AG238))</f>
        <v/>
      </c>
      <c r="M238">
        <f>IF($AG238="","",Config!$B$16)</f>
        <v/>
      </c>
      <c r="N238">
        <f>IF($AG238="","","")</f>
        <v/>
      </c>
      <c r="O238">
        <f>IF($AG238="","",INDEX('TMP Paste'!$K$2:$K$1601,$AG238))</f>
        <v/>
      </c>
      <c r="P238">
        <f>IF($AG238="","","")</f>
        <v/>
      </c>
      <c r="Q238">
        <f>IF($AG238="","",INDEX('TMP Paste'!$J$2:$J$1601,$AG238))</f>
        <v/>
      </c>
      <c r="R238">
        <f>IF($AG238="","",Config!$B$24)</f>
        <v/>
      </c>
      <c r="S238">
        <f>IF($AG238="","",TEXT(Config!$B$4,"yyyy-mm-dd"))</f>
        <v/>
      </c>
      <c r="T238">
        <f>IF($AG238="","",Config!$B$17)</f>
        <v/>
      </c>
      <c r="U238">
        <f>IF($AG238="","",Config!$B$18)</f>
        <v/>
      </c>
      <c r="V238">
        <f>IF($AG238="","",Config!$B$19)</f>
        <v/>
      </c>
      <c r="W238">
        <f>IF($AG238="","",INDEX('TMP Paste'!$C$2:$C$1601,$AG238))</f>
        <v/>
      </c>
      <c r="X238">
        <f>IF($AG238="","",Config!$B$29)</f>
        <v/>
      </c>
      <c r="Y238">
        <f>IF($AH238="","",INDEX(Calc!$I$2:$I$1601,$AH238)&amp;" - "&amp;INDEX(Calc!$D$2:$D$1601,$AH238)&amp;" koli")</f>
        <v/>
      </c>
      <c r="Z238">
        <f>IF($AG238="","",Config!$B$21)</f>
        <v/>
      </c>
      <c r="AA238">
        <f>IF($AG238="","",Config!$B$22)</f>
        <v/>
      </c>
      <c r="AB238">
        <f>IF($AH238="","",INDEX(Calc!$D$2:$D$1601,$AH238))</f>
        <v/>
      </c>
      <c r="AC238">
        <f>IF($AH238="","",INDEX(Calc!$G$2:$G$1601,$AH238))</f>
        <v/>
      </c>
      <c r="AD238">
        <f>IF($AG238="","",Config!$B$23)</f>
        <v/>
      </c>
      <c r="AE238">
        <f>IF($AG238="","",Config!$B$28)</f>
        <v/>
      </c>
      <c r="AG238">
        <f>IFERROR(MATCH(ROW()-1,Calc!$J$2:$J$1601,0),"")</f>
        <v/>
      </c>
      <c r="AH238">
        <f>IFERROR(MATCH(ROW()-1,Calc!$K$2:$K$1601,0),"")</f>
        <v/>
      </c>
      <c r="AI238">
        <f>IF($AG238="","",SUMIF($AG$2:$AG238,$AG238,$AH$2:$AH238))</f>
        <v/>
      </c>
      <c r="AJ238">
        <f>IF('TMP Paste'!$F238="","",IF('TMP Paste'!$B238="",$AJ237,'TMP Paste'!$B238))</f>
        <v/>
      </c>
      <c r="AK238">
        <f>IF('TMP Paste'!$F238="","",N('TMP Paste'!$G238))</f>
        <v/>
      </c>
      <c r="AL238">
        <f>IF('TMP Paste'!$F238="","",IF('TMP Paste'!$M238="",$AL237,'TMP Paste'!$M238))</f>
        <v/>
      </c>
      <c r="AM238">
        <f>IF('TMP Paste'!$F238="","",IF('TMP Paste'!$N238="",$AM237,'TMP Paste'!$N238))</f>
        <v/>
      </c>
      <c r="AN238">
        <f>IF('TMP Paste'!$F238="","",IF('TMP Paste'!$O238="",$AN237,'TMP Paste'!$O238))</f>
        <v/>
      </c>
      <c r="AO238">
        <f>IF('TMP Paste'!$F238="","",IF('TMP Paste'!$P238="",$AO237,'TMP Paste'!$P238))</f>
        <v/>
      </c>
      <c r="AP238">
        <f>IF($AG238="","",LEN($R238))</f>
        <v/>
      </c>
      <c r="AQ238">
        <f>IF($AG238="","",TRIM(IF(COUNTIFS(Calc!$B$2:$B$1601,ROW()-1,Calc!$C$2:$C$1601,"&lt;1")&gt;0,"Ada PO tanpa Koli - cek TMP. ","")&amp;IF(LEN($R238)&gt;500,"R &gt; 500 karakter.","")))</f>
        <v/>
      </c>
    </row>
    <row r="239">
      <c r="A239">
        <f>IF($AG239="","",INDEX('TMP Paste'!$B$2:$B$1601,$AG239))</f>
        <v/>
      </c>
      <c r="B239">
        <f>IF($AG239="","",Config!$B$14)</f>
        <v/>
      </c>
      <c r="C239">
        <f>IF($AG239="","",Config!$B$15)</f>
        <v/>
      </c>
      <c r="D239">
        <f>IF($AG239="","",INDEX('TMP Paste'!$B$2:$B$1601,$AG239))</f>
        <v/>
      </c>
      <c r="E239">
        <f>IF($AG239="","",Config!$B$27)</f>
        <v/>
      </c>
      <c r="F239">
        <f>IF($AG239="","",Config!$B$9)</f>
        <v/>
      </c>
      <c r="G239">
        <f>IF($AG239="","",Config!$B$10)</f>
        <v/>
      </c>
      <c r="H239">
        <f>IF($AG239="","",Config!$B$11)</f>
        <v/>
      </c>
      <c r="I239">
        <f>IF($AG239="","",Config!$B$16)</f>
        <v/>
      </c>
      <c r="J239">
        <f>IF($AG239="","",INDEX('TMP Paste'!$A$2:$A$1601,$AG239))</f>
        <v/>
      </c>
      <c r="K239">
        <f>IF($AG239="","",INDEX('TMP Paste'!$L$2:$L$1601,$AG239))</f>
        <v/>
      </c>
      <c r="L239">
        <f>IF($AG239="","",INDEX('TMP Paste'!$I$2:$I$1601,$AG239))</f>
        <v/>
      </c>
      <c r="M239">
        <f>IF($AG239="","",Config!$B$16)</f>
        <v/>
      </c>
      <c r="N239">
        <f>IF($AG239="","","")</f>
        <v/>
      </c>
      <c r="O239">
        <f>IF($AG239="","",INDEX('TMP Paste'!$K$2:$K$1601,$AG239))</f>
        <v/>
      </c>
      <c r="P239">
        <f>IF($AG239="","","")</f>
        <v/>
      </c>
      <c r="Q239">
        <f>IF($AG239="","",INDEX('TMP Paste'!$J$2:$J$1601,$AG239))</f>
        <v/>
      </c>
      <c r="R239">
        <f>IF($AG239="","",Config!$B$24)</f>
        <v/>
      </c>
      <c r="S239">
        <f>IF($AG239="","",TEXT(Config!$B$4,"yyyy-mm-dd"))</f>
        <v/>
      </c>
      <c r="T239">
        <f>IF($AG239="","",Config!$B$17)</f>
        <v/>
      </c>
      <c r="U239">
        <f>IF($AG239="","",Config!$B$18)</f>
        <v/>
      </c>
      <c r="V239">
        <f>IF($AG239="","",Config!$B$19)</f>
        <v/>
      </c>
      <c r="W239">
        <f>IF($AG239="","",INDEX('TMP Paste'!$C$2:$C$1601,$AG239))</f>
        <v/>
      </c>
      <c r="X239">
        <f>IF($AG239="","",Config!$B$29)</f>
        <v/>
      </c>
      <c r="Y239">
        <f>IF($AH239="","",INDEX(Calc!$I$2:$I$1601,$AH239)&amp;" - "&amp;INDEX(Calc!$D$2:$D$1601,$AH239)&amp;" koli")</f>
        <v/>
      </c>
      <c r="Z239">
        <f>IF($AG239="","",Config!$B$21)</f>
        <v/>
      </c>
      <c r="AA239">
        <f>IF($AG239="","",Config!$B$22)</f>
        <v/>
      </c>
      <c r="AB239">
        <f>IF($AH239="","",INDEX(Calc!$D$2:$D$1601,$AH239))</f>
        <v/>
      </c>
      <c r="AC239">
        <f>IF($AH239="","",INDEX(Calc!$G$2:$G$1601,$AH239))</f>
        <v/>
      </c>
      <c r="AD239">
        <f>IF($AG239="","",Config!$B$23)</f>
        <v/>
      </c>
      <c r="AE239">
        <f>IF($AG239="","",Config!$B$28)</f>
        <v/>
      </c>
      <c r="AG239">
        <f>IFERROR(MATCH(ROW()-1,Calc!$J$2:$J$1601,0),"")</f>
        <v/>
      </c>
      <c r="AH239">
        <f>IFERROR(MATCH(ROW()-1,Calc!$K$2:$K$1601,0),"")</f>
        <v/>
      </c>
      <c r="AI239">
        <f>IF($AG239="","",SUMIF($AG$2:$AG239,$AG239,$AH$2:$AH239))</f>
        <v/>
      </c>
      <c r="AJ239">
        <f>IF('TMP Paste'!$F239="","",IF('TMP Paste'!$B239="",$AJ238,'TMP Paste'!$B239))</f>
        <v/>
      </c>
      <c r="AK239">
        <f>IF('TMP Paste'!$F239="","",N('TMP Paste'!$G239))</f>
        <v/>
      </c>
      <c r="AL239">
        <f>IF('TMP Paste'!$F239="","",IF('TMP Paste'!$M239="",$AL238,'TMP Paste'!$M239))</f>
        <v/>
      </c>
      <c r="AM239">
        <f>IF('TMP Paste'!$F239="","",IF('TMP Paste'!$N239="",$AM238,'TMP Paste'!$N239))</f>
        <v/>
      </c>
      <c r="AN239">
        <f>IF('TMP Paste'!$F239="","",IF('TMP Paste'!$O239="",$AN238,'TMP Paste'!$O239))</f>
        <v/>
      </c>
      <c r="AO239">
        <f>IF('TMP Paste'!$F239="","",IF('TMP Paste'!$P239="",$AO238,'TMP Paste'!$P239))</f>
        <v/>
      </c>
      <c r="AP239">
        <f>IF($AG239="","",LEN($R239))</f>
        <v/>
      </c>
      <c r="AQ239">
        <f>IF($AG239="","",TRIM(IF(COUNTIFS(Calc!$B$2:$B$1601,ROW()-1,Calc!$C$2:$C$1601,"&lt;1")&gt;0,"Ada PO tanpa Koli - cek TMP. ","")&amp;IF(LEN($R239)&gt;500,"R &gt; 500 karakter.","")))</f>
        <v/>
      </c>
    </row>
    <row r="240">
      <c r="A240">
        <f>IF($AG240="","",INDEX('TMP Paste'!$B$2:$B$1601,$AG240))</f>
        <v/>
      </c>
      <c r="B240">
        <f>IF($AG240="","",Config!$B$14)</f>
        <v/>
      </c>
      <c r="C240">
        <f>IF($AG240="","",Config!$B$15)</f>
        <v/>
      </c>
      <c r="D240">
        <f>IF($AG240="","",INDEX('TMP Paste'!$B$2:$B$1601,$AG240))</f>
        <v/>
      </c>
      <c r="E240">
        <f>IF($AG240="","",Config!$B$27)</f>
        <v/>
      </c>
      <c r="F240">
        <f>IF($AG240="","",Config!$B$9)</f>
        <v/>
      </c>
      <c r="G240">
        <f>IF($AG240="","",Config!$B$10)</f>
        <v/>
      </c>
      <c r="H240">
        <f>IF($AG240="","",Config!$B$11)</f>
        <v/>
      </c>
      <c r="I240">
        <f>IF($AG240="","",Config!$B$16)</f>
        <v/>
      </c>
      <c r="J240">
        <f>IF($AG240="","",INDEX('TMP Paste'!$A$2:$A$1601,$AG240))</f>
        <v/>
      </c>
      <c r="K240">
        <f>IF($AG240="","",INDEX('TMP Paste'!$L$2:$L$1601,$AG240))</f>
        <v/>
      </c>
      <c r="L240">
        <f>IF($AG240="","",INDEX('TMP Paste'!$I$2:$I$1601,$AG240))</f>
        <v/>
      </c>
      <c r="M240">
        <f>IF($AG240="","",Config!$B$16)</f>
        <v/>
      </c>
      <c r="N240">
        <f>IF($AG240="","","")</f>
        <v/>
      </c>
      <c r="O240">
        <f>IF($AG240="","",INDEX('TMP Paste'!$K$2:$K$1601,$AG240))</f>
        <v/>
      </c>
      <c r="P240">
        <f>IF($AG240="","","")</f>
        <v/>
      </c>
      <c r="Q240">
        <f>IF($AG240="","",INDEX('TMP Paste'!$J$2:$J$1601,$AG240))</f>
        <v/>
      </c>
      <c r="R240">
        <f>IF($AG240="","",Config!$B$24)</f>
        <v/>
      </c>
      <c r="S240">
        <f>IF($AG240="","",TEXT(Config!$B$4,"yyyy-mm-dd"))</f>
        <v/>
      </c>
      <c r="T240">
        <f>IF($AG240="","",Config!$B$17)</f>
        <v/>
      </c>
      <c r="U240">
        <f>IF($AG240="","",Config!$B$18)</f>
        <v/>
      </c>
      <c r="V240">
        <f>IF($AG240="","",Config!$B$19)</f>
        <v/>
      </c>
      <c r="W240">
        <f>IF($AG240="","",INDEX('TMP Paste'!$C$2:$C$1601,$AG240))</f>
        <v/>
      </c>
      <c r="X240">
        <f>IF($AG240="","",Config!$B$29)</f>
        <v/>
      </c>
      <c r="Y240">
        <f>IF($AH240="","",INDEX(Calc!$I$2:$I$1601,$AH240)&amp;" - "&amp;INDEX(Calc!$D$2:$D$1601,$AH240)&amp;" koli")</f>
        <v/>
      </c>
      <c r="Z240">
        <f>IF($AG240="","",Config!$B$21)</f>
        <v/>
      </c>
      <c r="AA240">
        <f>IF($AG240="","",Config!$B$22)</f>
        <v/>
      </c>
      <c r="AB240">
        <f>IF($AH240="","",INDEX(Calc!$D$2:$D$1601,$AH240))</f>
        <v/>
      </c>
      <c r="AC240">
        <f>IF($AH240="","",INDEX(Calc!$G$2:$G$1601,$AH240))</f>
        <v/>
      </c>
      <c r="AD240">
        <f>IF($AG240="","",Config!$B$23)</f>
        <v/>
      </c>
      <c r="AE240">
        <f>IF($AG240="","",Config!$B$28)</f>
        <v/>
      </c>
      <c r="AG240">
        <f>IFERROR(MATCH(ROW()-1,Calc!$J$2:$J$1601,0),"")</f>
        <v/>
      </c>
      <c r="AH240">
        <f>IFERROR(MATCH(ROW()-1,Calc!$K$2:$K$1601,0),"")</f>
        <v/>
      </c>
      <c r="AI240">
        <f>IF($AG240="","",SUMIF($AG$2:$AG240,$AG240,$AH$2:$AH240))</f>
        <v/>
      </c>
      <c r="AJ240">
        <f>IF('TMP Paste'!$F240="","",IF('TMP Paste'!$B240="",$AJ239,'TMP Paste'!$B240))</f>
        <v/>
      </c>
      <c r="AK240">
        <f>IF('TMP Paste'!$F240="","",N('TMP Paste'!$G240))</f>
        <v/>
      </c>
      <c r="AL240">
        <f>IF('TMP Paste'!$F240="","",IF('TMP Paste'!$M240="",$AL239,'TMP Paste'!$M240))</f>
        <v/>
      </c>
      <c r="AM240">
        <f>IF('TMP Paste'!$F240="","",IF('TMP Paste'!$N240="",$AM239,'TMP Paste'!$N240))</f>
        <v/>
      </c>
      <c r="AN240">
        <f>IF('TMP Paste'!$F240="","",IF('TMP Paste'!$O240="",$AN239,'TMP Paste'!$O240))</f>
        <v/>
      </c>
      <c r="AO240">
        <f>IF('TMP Paste'!$F240="","",IF('TMP Paste'!$P240="",$AO239,'TMP Paste'!$P240))</f>
        <v/>
      </c>
      <c r="AP240">
        <f>IF($AG240="","",LEN($R240))</f>
        <v/>
      </c>
      <c r="AQ240">
        <f>IF($AG240="","",TRIM(IF(COUNTIFS(Calc!$B$2:$B$1601,ROW()-1,Calc!$C$2:$C$1601,"&lt;1")&gt;0,"Ada PO tanpa Koli - cek TMP. ","")&amp;IF(LEN($R240)&gt;500,"R &gt; 500 karakter.","")))</f>
        <v/>
      </c>
    </row>
    <row r="241">
      <c r="A241">
        <f>IF($AG241="","",INDEX('TMP Paste'!$B$2:$B$1601,$AG241))</f>
        <v/>
      </c>
      <c r="B241">
        <f>IF($AG241="","",Config!$B$14)</f>
        <v/>
      </c>
      <c r="C241">
        <f>IF($AG241="","",Config!$B$15)</f>
        <v/>
      </c>
      <c r="D241">
        <f>IF($AG241="","",INDEX('TMP Paste'!$B$2:$B$1601,$AG241))</f>
        <v/>
      </c>
      <c r="E241">
        <f>IF($AG241="","",Config!$B$27)</f>
        <v/>
      </c>
      <c r="F241">
        <f>IF($AG241="","",Config!$B$9)</f>
        <v/>
      </c>
      <c r="G241">
        <f>IF($AG241="","",Config!$B$10)</f>
        <v/>
      </c>
      <c r="H241">
        <f>IF($AG241="","",Config!$B$11)</f>
        <v/>
      </c>
      <c r="I241">
        <f>IF($AG241="","",Config!$B$16)</f>
        <v/>
      </c>
      <c r="J241">
        <f>IF($AG241="","",INDEX('TMP Paste'!$A$2:$A$1601,$AG241))</f>
        <v/>
      </c>
      <c r="K241">
        <f>IF($AG241="","",INDEX('TMP Paste'!$L$2:$L$1601,$AG241))</f>
        <v/>
      </c>
      <c r="L241">
        <f>IF($AG241="","",INDEX('TMP Paste'!$I$2:$I$1601,$AG241))</f>
        <v/>
      </c>
      <c r="M241">
        <f>IF($AG241="","",Config!$B$16)</f>
        <v/>
      </c>
      <c r="N241">
        <f>IF($AG241="","","")</f>
        <v/>
      </c>
      <c r="O241">
        <f>IF($AG241="","",INDEX('TMP Paste'!$K$2:$K$1601,$AG241))</f>
        <v/>
      </c>
      <c r="P241">
        <f>IF($AG241="","","")</f>
        <v/>
      </c>
      <c r="Q241">
        <f>IF($AG241="","",INDEX('TMP Paste'!$J$2:$J$1601,$AG241))</f>
        <v/>
      </c>
      <c r="R241">
        <f>IF($AG241="","",Config!$B$24)</f>
        <v/>
      </c>
      <c r="S241">
        <f>IF($AG241="","",TEXT(Config!$B$4,"yyyy-mm-dd"))</f>
        <v/>
      </c>
      <c r="T241">
        <f>IF($AG241="","",Config!$B$17)</f>
        <v/>
      </c>
      <c r="U241">
        <f>IF($AG241="","",Config!$B$18)</f>
        <v/>
      </c>
      <c r="V241">
        <f>IF($AG241="","",Config!$B$19)</f>
        <v/>
      </c>
      <c r="W241">
        <f>IF($AG241="","",INDEX('TMP Paste'!$C$2:$C$1601,$AG241))</f>
        <v/>
      </c>
      <c r="X241">
        <f>IF($AG241="","",Config!$B$29)</f>
        <v/>
      </c>
      <c r="Y241">
        <f>IF($AH241="","",INDEX(Calc!$I$2:$I$1601,$AH241)&amp;" - "&amp;INDEX(Calc!$D$2:$D$1601,$AH241)&amp;" koli")</f>
        <v/>
      </c>
      <c r="Z241">
        <f>IF($AG241="","",Config!$B$21)</f>
        <v/>
      </c>
      <c r="AA241">
        <f>IF($AG241="","",Config!$B$22)</f>
        <v/>
      </c>
      <c r="AB241">
        <f>IF($AH241="","",INDEX(Calc!$D$2:$D$1601,$AH241))</f>
        <v/>
      </c>
      <c r="AC241">
        <f>IF($AH241="","",INDEX(Calc!$G$2:$G$1601,$AH241))</f>
        <v/>
      </c>
      <c r="AD241">
        <f>IF($AG241="","",Config!$B$23)</f>
        <v/>
      </c>
      <c r="AE241">
        <f>IF($AG241="","",Config!$B$28)</f>
        <v/>
      </c>
      <c r="AG241">
        <f>IFERROR(MATCH(ROW()-1,Calc!$J$2:$J$1601,0),"")</f>
        <v/>
      </c>
      <c r="AH241">
        <f>IFERROR(MATCH(ROW()-1,Calc!$K$2:$K$1601,0),"")</f>
        <v/>
      </c>
      <c r="AI241">
        <f>IF($AG241="","",SUMIF($AG$2:$AG241,$AG241,$AH$2:$AH241))</f>
        <v/>
      </c>
      <c r="AJ241">
        <f>IF('TMP Paste'!$F241="","",IF('TMP Paste'!$B241="",$AJ240,'TMP Paste'!$B241))</f>
        <v/>
      </c>
      <c r="AK241">
        <f>IF('TMP Paste'!$F241="","",N('TMP Paste'!$G241))</f>
        <v/>
      </c>
      <c r="AL241">
        <f>IF('TMP Paste'!$F241="","",IF('TMP Paste'!$M241="",$AL240,'TMP Paste'!$M241))</f>
        <v/>
      </c>
      <c r="AM241">
        <f>IF('TMP Paste'!$F241="","",IF('TMP Paste'!$N241="",$AM240,'TMP Paste'!$N241))</f>
        <v/>
      </c>
      <c r="AN241">
        <f>IF('TMP Paste'!$F241="","",IF('TMP Paste'!$O241="",$AN240,'TMP Paste'!$O241))</f>
        <v/>
      </c>
      <c r="AO241">
        <f>IF('TMP Paste'!$F241="","",IF('TMP Paste'!$P241="",$AO240,'TMP Paste'!$P241))</f>
        <v/>
      </c>
      <c r="AP241">
        <f>IF($AG241="","",LEN($R241))</f>
        <v/>
      </c>
      <c r="AQ241">
        <f>IF($AG241="","",TRIM(IF(COUNTIFS(Calc!$B$2:$B$1601,ROW()-1,Calc!$C$2:$C$1601,"&lt;1")&gt;0,"Ada PO tanpa Koli - cek TMP. ","")&amp;IF(LEN($R241)&gt;500,"R &gt; 500 karakter.","")))</f>
        <v/>
      </c>
    </row>
    <row r="242">
      <c r="A242">
        <f>IF($AG242="","",INDEX('TMP Paste'!$B$2:$B$1601,$AG242))</f>
        <v/>
      </c>
      <c r="B242">
        <f>IF($AG242="","",Config!$B$14)</f>
        <v/>
      </c>
      <c r="C242">
        <f>IF($AG242="","",Config!$B$15)</f>
        <v/>
      </c>
      <c r="D242">
        <f>IF($AG242="","",INDEX('TMP Paste'!$B$2:$B$1601,$AG242))</f>
        <v/>
      </c>
      <c r="E242">
        <f>IF($AG242="","",Config!$B$27)</f>
        <v/>
      </c>
      <c r="F242">
        <f>IF($AG242="","",Config!$B$9)</f>
        <v/>
      </c>
      <c r="G242">
        <f>IF($AG242="","",Config!$B$10)</f>
        <v/>
      </c>
      <c r="H242">
        <f>IF($AG242="","",Config!$B$11)</f>
        <v/>
      </c>
      <c r="I242">
        <f>IF($AG242="","",Config!$B$16)</f>
        <v/>
      </c>
      <c r="J242">
        <f>IF($AG242="","",INDEX('TMP Paste'!$A$2:$A$1601,$AG242))</f>
        <v/>
      </c>
      <c r="K242">
        <f>IF($AG242="","",INDEX('TMP Paste'!$L$2:$L$1601,$AG242))</f>
        <v/>
      </c>
      <c r="L242">
        <f>IF($AG242="","",INDEX('TMP Paste'!$I$2:$I$1601,$AG242))</f>
        <v/>
      </c>
      <c r="M242">
        <f>IF($AG242="","",Config!$B$16)</f>
        <v/>
      </c>
      <c r="N242">
        <f>IF($AG242="","","")</f>
        <v/>
      </c>
      <c r="O242">
        <f>IF($AG242="","",INDEX('TMP Paste'!$K$2:$K$1601,$AG242))</f>
        <v/>
      </c>
      <c r="P242">
        <f>IF($AG242="","","")</f>
        <v/>
      </c>
      <c r="Q242">
        <f>IF($AG242="","",INDEX('TMP Paste'!$J$2:$J$1601,$AG242))</f>
        <v/>
      </c>
      <c r="R242">
        <f>IF($AG242="","",Config!$B$24)</f>
        <v/>
      </c>
      <c r="S242">
        <f>IF($AG242="","",TEXT(Config!$B$4,"yyyy-mm-dd"))</f>
        <v/>
      </c>
      <c r="T242">
        <f>IF($AG242="","",Config!$B$17)</f>
        <v/>
      </c>
      <c r="U242">
        <f>IF($AG242="","",Config!$B$18)</f>
        <v/>
      </c>
      <c r="V242">
        <f>IF($AG242="","",Config!$B$19)</f>
        <v/>
      </c>
      <c r="W242">
        <f>IF($AG242="","",INDEX('TMP Paste'!$C$2:$C$1601,$AG242))</f>
        <v/>
      </c>
      <c r="X242">
        <f>IF($AG242="","",Config!$B$29)</f>
        <v/>
      </c>
      <c r="Y242">
        <f>IF($AH242="","",INDEX(Calc!$I$2:$I$1601,$AH242)&amp;" - "&amp;INDEX(Calc!$D$2:$D$1601,$AH242)&amp;" koli")</f>
        <v/>
      </c>
      <c r="Z242">
        <f>IF($AG242="","",Config!$B$21)</f>
        <v/>
      </c>
      <c r="AA242">
        <f>IF($AG242="","",Config!$B$22)</f>
        <v/>
      </c>
      <c r="AB242">
        <f>IF($AH242="","",INDEX(Calc!$D$2:$D$1601,$AH242))</f>
        <v/>
      </c>
      <c r="AC242">
        <f>IF($AH242="","",INDEX(Calc!$G$2:$G$1601,$AH242))</f>
        <v/>
      </c>
      <c r="AD242">
        <f>IF($AG242="","",Config!$B$23)</f>
        <v/>
      </c>
      <c r="AE242">
        <f>IF($AG242="","",Config!$B$28)</f>
        <v/>
      </c>
      <c r="AG242">
        <f>IFERROR(MATCH(ROW()-1,Calc!$J$2:$J$1601,0),"")</f>
        <v/>
      </c>
      <c r="AH242">
        <f>IFERROR(MATCH(ROW()-1,Calc!$K$2:$K$1601,0),"")</f>
        <v/>
      </c>
      <c r="AI242">
        <f>IF($AG242="","",SUMIF($AG$2:$AG242,$AG242,$AH$2:$AH242))</f>
        <v/>
      </c>
      <c r="AJ242">
        <f>IF('TMP Paste'!$F242="","",IF('TMP Paste'!$B242="",$AJ241,'TMP Paste'!$B242))</f>
        <v/>
      </c>
      <c r="AK242">
        <f>IF('TMP Paste'!$F242="","",N('TMP Paste'!$G242))</f>
        <v/>
      </c>
      <c r="AL242">
        <f>IF('TMP Paste'!$F242="","",IF('TMP Paste'!$M242="",$AL241,'TMP Paste'!$M242))</f>
        <v/>
      </c>
      <c r="AM242">
        <f>IF('TMP Paste'!$F242="","",IF('TMP Paste'!$N242="",$AM241,'TMP Paste'!$N242))</f>
        <v/>
      </c>
      <c r="AN242">
        <f>IF('TMP Paste'!$F242="","",IF('TMP Paste'!$O242="",$AN241,'TMP Paste'!$O242))</f>
        <v/>
      </c>
      <c r="AO242">
        <f>IF('TMP Paste'!$F242="","",IF('TMP Paste'!$P242="",$AO241,'TMP Paste'!$P242))</f>
        <v/>
      </c>
      <c r="AP242">
        <f>IF($AG242="","",LEN($R242))</f>
        <v/>
      </c>
      <c r="AQ242">
        <f>IF($AG242="","",TRIM(IF(COUNTIFS(Calc!$B$2:$B$1601,ROW()-1,Calc!$C$2:$C$1601,"&lt;1")&gt;0,"Ada PO tanpa Koli - cek TMP. ","")&amp;IF(LEN($R242)&gt;500,"R &gt; 500 karakter.","")))</f>
        <v/>
      </c>
    </row>
    <row r="243">
      <c r="A243">
        <f>IF($AG243="","",INDEX('TMP Paste'!$B$2:$B$1601,$AG243))</f>
        <v/>
      </c>
      <c r="B243">
        <f>IF($AG243="","",Config!$B$14)</f>
        <v/>
      </c>
      <c r="C243">
        <f>IF($AG243="","",Config!$B$15)</f>
        <v/>
      </c>
      <c r="D243">
        <f>IF($AG243="","",INDEX('TMP Paste'!$B$2:$B$1601,$AG243))</f>
        <v/>
      </c>
      <c r="E243">
        <f>IF($AG243="","",Config!$B$27)</f>
        <v/>
      </c>
      <c r="F243">
        <f>IF($AG243="","",Config!$B$9)</f>
        <v/>
      </c>
      <c r="G243">
        <f>IF($AG243="","",Config!$B$10)</f>
        <v/>
      </c>
      <c r="H243">
        <f>IF($AG243="","",Config!$B$11)</f>
        <v/>
      </c>
      <c r="I243">
        <f>IF($AG243="","",Config!$B$16)</f>
        <v/>
      </c>
      <c r="J243">
        <f>IF($AG243="","",INDEX('TMP Paste'!$A$2:$A$1601,$AG243))</f>
        <v/>
      </c>
      <c r="K243">
        <f>IF($AG243="","",INDEX('TMP Paste'!$L$2:$L$1601,$AG243))</f>
        <v/>
      </c>
      <c r="L243">
        <f>IF($AG243="","",INDEX('TMP Paste'!$I$2:$I$1601,$AG243))</f>
        <v/>
      </c>
      <c r="M243">
        <f>IF($AG243="","",Config!$B$16)</f>
        <v/>
      </c>
      <c r="N243">
        <f>IF($AG243="","","")</f>
        <v/>
      </c>
      <c r="O243">
        <f>IF($AG243="","",INDEX('TMP Paste'!$K$2:$K$1601,$AG243))</f>
        <v/>
      </c>
      <c r="P243">
        <f>IF($AG243="","","")</f>
        <v/>
      </c>
      <c r="Q243">
        <f>IF($AG243="","",INDEX('TMP Paste'!$J$2:$J$1601,$AG243))</f>
        <v/>
      </c>
      <c r="R243">
        <f>IF($AG243="","",Config!$B$24)</f>
        <v/>
      </c>
      <c r="S243">
        <f>IF($AG243="","",TEXT(Config!$B$4,"yyyy-mm-dd"))</f>
        <v/>
      </c>
      <c r="T243">
        <f>IF($AG243="","",Config!$B$17)</f>
        <v/>
      </c>
      <c r="U243">
        <f>IF($AG243="","",Config!$B$18)</f>
        <v/>
      </c>
      <c r="V243">
        <f>IF($AG243="","",Config!$B$19)</f>
        <v/>
      </c>
      <c r="W243">
        <f>IF($AG243="","",INDEX('TMP Paste'!$C$2:$C$1601,$AG243))</f>
        <v/>
      </c>
      <c r="X243">
        <f>IF($AG243="","",Config!$B$29)</f>
        <v/>
      </c>
      <c r="Y243">
        <f>IF($AH243="","",INDEX(Calc!$I$2:$I$1601,$AH243)&amp;" - "&amp;INDEX(Calc!$D$2:$D$1601,$AH243)&amp;" koli")</f>
        <v/>
      </c>
      <c r="Z243">
        <f>IF($AG243="","",Config!$B$21)</f>
        <v/>
      </c>
      <c r="AA243">
        <f>IF($AG243="","",Config!$B$22)</f>
        <v/>
      </c>
      <c r="AB243">
        <f>IF($AH243="","",INDEX(Calc!$D$2:$D$1601,$AH243))</f>
        <v/>
      </c>
      <c r="AC243">
        <f>IF($AH243="","",INDEX(Calc!$G$2:$G$1601,$AH243))</f>
        <v/>
      </c>
      <c r="AD243">
        <f>IF($AG243="","",Config!$B$23)</f>
        <v/>
      </c>
      <c r="AE243">
        <f>IF($AG243="","",Config!$B$28)</f>
        <v/>
      </c>
      <c r="AG243">
        <f>IFERROR(MATCH(ROW()-1,Calc!$J$2:$J$1601,0),"")</f>
        <v/>
      </c>
      <c r="AH243">
        <f>IFERROR(MATCH(ROW()-1,Calc!$K$2:$K$1601,0),"")</f>
        <v/>
      </c>
      <c r="AI243">
        <f>IF($AG243="","",SUMIF($AG$2:$AG243,$AG243,$AH$2:$AH243))</f>
        <v/>
      </c>
      <c r="AJ243">
        <f>IF('TMP Paste'!$F243="","",IF('TMP Paste'!$B243="",$AJ242,'TMP Paste'!$B243))</f>
        <v/>
      </c>
      <c r="AK243">
        <f>IF('TMP Paste'!$F243="","",N('TMP Paste'!$G243))</f>
        <v/>
      </c>
      <c r="AL243">
        <f>IF('TMP Paste'!$F243="","",IF('TMP Paste'!$M243="",$AL242,'TMP Paste'!$M243))</f>
        <v/>
      </c>
      <c r="AM243">
        <f>IF('TMP Paste'!$F243="","",IF('TMP Paste'!$N243="",$AM242,'TMP Paste'!$N243))</f>
        <v/>
      </c>
      <c r="AN243">
        <f>IF('TMP Paste'!$F243="","",IF('TMP Paste'!$O243="",$AN242,'TMP Paste'!$O243))</f>
        <v/>
      </c>
      <c r="AO243">
        <f>IF('TMP Paste'!$F243="","",IF('TMP Paste'!$P243="",$AO242,'TMP Paste'!$P243))</f>
        <v/>
      </c>
      <c r="AP243">
        <f>IF($AG243="","",LEN($R243))</f>
        <v/>
      </c>
      <c r="AQ243">
        <f>IF($AG243="","",TRIM(IF(COUNTIFS(Calc!$B$2:$B$1601,ROW()-1,Calc!$C$2:$C$1601,"&lt;1")&gt;0,"Ada PO tanpa Koli - cek TMP. ","")&amp;IF(LEN($R243)&gt;500,"R &gt; 500 karakter.","")))</f>
        <v/>
      </c>
    </row>
    <row r="244">
      <c r="A244">
        <f>IF($AG244="","",INDEX('TMP Paste'!$B$2:$B$1601,$AG244))</f>
        <v/>
      </c>
      <c r="B244">
        <f>IF($AG244="","",Config!$B$14)</f>
        <v/>
      </c>
      <c r="C244">
        <f>IF($AG244="","",Config!$B$15)</f>
        <v/>
      </c>
      <c r="D244">
        <f>IF($AG244="","",INDEX('TMP Paste'!$B$2:$B$1601,$AG244))</f>
        <v/>
      </c>
      <c r="E244">
        <f>IF($AG244="","",Config!$B$27)</f>
        <v/>
      </c>
      <c r="F244">
        <f>IF($AG244="","",Config!$B$9)</f>
        <v/>
      </c>
      <c r="G244">
        <f>IF($AG244="","",Config!$B$10)</f>
        <v/>
      </c>
      <c r="H244">
        <f>IF($AG244="","",Config!$B$11)</f>
        <v/>
      </c>
      <c r="I244">
        <f>IF($AG244="","",Config!$B$16)</f>
        <v/>
      </c>
      <c r="J244">
        <f>IF($AG244="","",INDEX('TMP Paste'!$A$2:$A$1601,$AG244))</f>
        <v/>
      </c>
      <c r="K244">
        <f>IF($AG244="","",INDEX('TMP Paste'!$L$2:$L$1601,$AG244))</f>
        <v/>
      </c>
      <c r="L244">
        <f>IF($AG244="","",INDEX('TMP Paste'!$I$2:$I$1601,$AG244))</f>
        <v/>
      </c>
      <c r="M244">
        <f>IF($AG244="","",Config!$B$16)</f>
        <v/>
      </c>
      <c r="N244">
        <f>IF($AG244="","","")</f>
        <v/>
      </c>
      <c r="O244">
        <f>IF($AG244="","",INDEX('TMP Paste'!$K$2:$K$1601,$AG244))</f>
        <v/>
      </c>
      <c r="P244">
        <f>IF($AG244="","","")</f>
        <v/>
      </c>
      <c r="Q244">
        <f>IF($AG244="","",INDEX('TMP Paste'!$J$2:$J$1601,$AG244))</f>
        <v/>
      </c>
      <c r="R244">
        <f>IF($AG244="","",Config!$B$24)</f>
        <v/>
      </c>
      <c r="S244">
        <f>IF($AG244="","",TEXT(Config!$B$4,"yyyy-mm-dd"))</f>
        <v/>
      </c>
      <c r="T244">
        <f>IF($AG244="","",Config!$B$17)</f>
        <v/>
      </c>
      <c r="U244">
        <f>IF($AG244="","",Config!$B$18)</f>
        <v/>
      </c>
      <c r="V244">
        <f>IF($AG244="","",Config!$B$19)</f>
        <v/>
      </c>
      <c r="W244">
        <f>IF($AG244="","",INDEX('TMP Paste'!$C$2:$C$1601,$AG244))</f>
        <v/>
      </c>
      <c r="X244">
        <f>IF($AG244="","",Config!$B$29)</f>
        <v/>
      </c>
      <c r="Y244">
        <f>IF($AH244="","",INDEX(Calc!$I$2:$I$1601,$AH244)&amp;" - "&amp;INDEX(Calc!$D$2:$D$1601,$AH244)&amp;" koli")</f>
        <v/>
      </c>
      <c r="Z244">
        <f>IF($AG244="","",Config!$B$21)</f>
        <v/>
      </c>
      <c r="AA244">
        <f>IF($AG244="","",Config!$B$22)</f>
        <v/>
      </c>
      <c r="AB244">
        <f>IF($AH244="","",INDEX(Calc!$D$2:$D$1601,$AH244))</f>
        <v/>
      </c>
      <c r="AC244">
        <f>IF($AH244="","",INDEX(Calc!$G$2:$G$1601,$AH244))</f>
        <v/>
      </c>
      <c r="AD244">
        <f>IF($AG244="","",Config!$B$23)</f>
        <v/>
      </c>
      <c r="AE244">
        <f>IF($AG244="","",Config!$B$28)</f>
        <v/>
      </c>
      <c r="AG244">
        <f>IFERROR(MATCH(ROW()-1,Calc!$J$2:$J$1601,0),"")</f>
        <v/>
      </c>
      <c r="AH244">
        <f>IFERROR(MATCH(ROW()-1,Calc!$K$2:$K$1601,0),"")</f>
        <v/>
      </c>
      <c r="AI244">
        <f>IF($AG244="","",SUMIF($AG$2:$AG244,$AG244,$AH$2:$AH244))</f>
        <v/>
      </c>
      <c r="AJ244">
        <f>IF('TMP Paste'!$F244="","",IF('TMP Paste'!$B244="",$AJ243,'TMP Paste'!$B244))</f>
        <v/>
      </c>
      <c r="AK244">
        <f>IF('TMP Paste'!$F244="","",N('TMP Paste'!$G244))</f>
        <v/>
      </c>
      <c r="AL244">
        <f>IF('TMP Paste'!$F244="","",IF('TMP Paste'!$M244="",$AL243,'TMP Paste'!$M244))</f>
        <v/>
      </c>
      <c r="AM244">
        <f>IF('TMP Paste'!$F244="","",IF('TMP Paste'!$N244="",$AM243,'TMP Paste'!$N244))</f>
        <v/>
      </c>
      <c r="AN244">
        <f>IF('TMP Paste'!$F244="","",IF('TMP Paste'!$O244="",$AN243,'TMP Paste'!$O244))</f>
        <v/>
      </c>
      <c r="AO244">
        <f>IF('TMP Paste'!$F244="","",IF('TMP Paste'!$P244="",$AO243,'TMP Paste'!$P244))</f>
        <v/>
      </c>
      <c r="AP244">
        <f>IF($AG244="","",LEN($R244))</f>
        <v/>
      </c>
      <c r="AQ244">
        <f>IF($AG244="","",TRIM(IF(COUNTIFS(Calc!$B$2:$B$1601,ROW()-1,Calc!$C$2:$C$1601,"&lt;1")&gt;0,"Ada PO tanpa Koli - cek TMP. ","")&amp;IF(LEN($R244)&gt;500,"R &gt; 500 karakter.","")))</f>
        <v/>
      </c>
    </row>
    <row r="245">
      <c r="A245">
        <f>IF($AG245="","",INDEX('TMP Paste'!$B$2:$B$1601,$AG245))</f>
        <v/>
      </c>
      <c r="B245">
        <f>IF($AG245="","",Config!$B$14)</f>
        <v/>
      </c>
      <c r="C245">
        <f>IF($AG245="","",Config!$B$15)</f>
        <v/>
      </c>
      <c r="D245">
        <f>IF($AG245="","",INDEX('TMP Paste'!$B$2:$B$1601,$AG245))</f>
        <v/>
      </c>
      <c r="E245">
        <f>IF($AG245="","",Config!$B$27)</f>
        <v/>
      </c>
      <c r="F245">
        <f>IF($AG245="","",Config!$B$9)</f>
        <v/>
      </c>
      <c r="G245">
        <f>IF($AG245="","",Config!$B$10)</f>
        <v/>
      </c>
      <c r="H245">
        <f>IF($AG245="","",Config!$B$11)</f>
        <v/>
      </c>
      <c r="I245">
        <f>IF($AG245="","",Config!$B$16)</f>
        <v/>
      </c>
      <c r="J245">
        <f>IF($AG245="","",INDEX('TMP Paste'!$A$2:$A$1601,$AG245))</f>
        <v/>
      </c>
      <c r="K245">
        <f>IF($AG245="","",INDEX('TMP Paste'!$L$2:$L$1601,$AG245))</f>
        <v/>
      </c>
      <c r="L245">
        <f>IF($AG245="","",INDEX('TMP Paste'!$I$2:$I$1601,$AG245))</f>
        <v/>
      </c>
      <c r="M245">
        <f>IF($AG245="","",Config!$B$16)</f>
        <v/>
      </c>
      <c r="N245">
        <f>IF($AG245="","","")</f>
        <v/>
      </c>
      <c r="O245">
        <f>IF($AG245="","",INDEX('TMP Paste'!$K$2:$K$1601,$AG245))</f>
        <v/>
      </c>
      <c r="P245">
        <f>IF($AG245="","","")</f>
        <v/>
      </c>
      <c r="Q245">
        <f>IF($AG245="","",INDEX('TMP Paste'!$J$2:$J$1601,$AG245))</f>
        <v/>
      </c>
      <c r="R245">
        <f>IF($AG245="","",Config!$B$24)</f>
        <v/>
      </c>
      <c r="S245">
        <f>IF($AG245="","",TEXT(Config!$B$4,"yyyy-mm-dd"))</f>
        <v/>
      </c>
      <c r="T245">
        <f>IF($AG245="","",Config!$B$17)</f>
        <v/>
      </c>
      <c r="U245">
        <f>IF($AG245="","",Config!$B$18)</f>
        <v/>
      </c>
      <c r="V245">
        <f>IF($AG245="","",Config!$B$19)</f>
        <v/>
      </c>
      <c r="W245">
        <f>IF($AG245="","",INDEX('TMP Paste'!$C$2:$C$1601,$AG245))</f>
        <v/>
      </c>
      <c r="X245">
        <f>IF($AG245="","",Config!$B$29)</f>
        <v/>
      </c>
      <c r="Y245">
        <f>IF($AH245="","",INDEX(Calc!$I$2:$I$1601,$AH245)&amp;" - "&amp;INDEX(Calc!$D$2:$D$1601,$AH245)&amp;" koli")</f>
        <v/>
      </c>
      <c r="Z245">
        <f>IF($AG245="","",Config!$B$21)</f>
        <v/>
      </c>
      <c r="AA245">
        <f>IF($AG245="","",Config!$B$22)</f>
        <v/>
      </c>
      <c r="AB245">
        <f>IF($AH245="","",INDEX(Calc!$D$2:$D$1601,$AH245))</f>
        <v/>
      </c>
      <c r="AC245">
        <f>IF($AH245="","",INDEX(Calc!$G$2:$G$1601,$AH245))</f>
        <v/>
      </c>
      <c r="AD245">
        <f>IF($AG245="","",Config!$B$23)</f>
        <v/>
      </c>
      <c r="AE245">
        <f>IF($AG245="","",Config!$B$28)</f>
        <v/>
      </c>
      <c r="AG245">
        <f>IFERROR(MATCH(ROW()-1,Calc!$J$2:$J$1601,0),"")</f>
        <v/>
      </c>
      <c r="AH245">
        <f>IFERROR(MATCH(ROW()-1,Calc!$K$2:$K$1601,0),"")</f>
        <v/>
      </c>
      <c r="AI245">
        <f>IF($AG245="","",SUMIF($AG$2:$AG245,$AG245,$AH$2:$AH245))</f>
        <v/>
      </c>
      <c r="AJ245">
        <f>IF('TMP Paste'!$F245="","",IF('TMP Paste'!$B245="",$AJ244,'TMP Paste'!$B245))</f>
        <v/>
      </c>
      <c r="AK245">
        <f>IF('TMP Paste'!$F245="","",N('TMP Paste'!$G245))</f>
        <v/>
      </c>
      <c r="AL245">
        <f>IF('TMP Paste'!$F245="","",IF('TMP Paste'!$M245="",$AL244,'TMP Paste'!$M245))</f>
        <v/>
      </c>
      <c r="AM245">
        <f>IF('TMP Paste'!$F245="","",IF('TMP Paste'!$N245="",$AM244,'TMP Paste'!$N245))</f>
        <v/>
      </c>
      <c r="AN245">
        <f>IF('TMP Paste'!$F245="","",IF('TMP Paste'!$O245="",$AN244,'TMP Paste'!$O245))</f>
        <v/>
      </c>
      <c r="AO245">
        <f>IF('TMP Paste'!$F245="","",IF('TMP Paste'!$P245="",$AO244,'TMP Paste'!$P245))</f>
        <v/>
      </c>
      <c r="AP245">
        <f>IF($AG245="","",LEN($R245))</f>
        <v/>
      </c>
      <c r="AQ245">
        <f>IF($AG245="","",TRIM(IF(COUNTIFS(Calc!$B$2:$B$1601,ROW()-1,Calc!$C$2:$C$1601,"&lt;1")&gt;0,"Ada PO tanpa Koli - cek TMP. ","")&amp;IF(LEN($R245)&gt;500,"R &gt; 500 karakter.","")))</f>
        <v/>
      </c>
    </row>
    <row r="246">
      <c r="A246">
        <f>IF($AG246="","",INDEX('TMP Paste'!$B$2:$B$1601,$AG246))</f>
        <v/>
      </c>
      <c r="B246">
        <f>IF($AG246="","",Config!$B$14)</f>
        <v/>
      </c>
      <c r="C246">
        <f>IF($AG246="","",Config!$B$15)</f>
        <v/>
      </c>
      <c r="D246">
        <f>IF($AG246="","",INDEX('TMP Paste'!$B$2:$B$1601,$AG246))</f>
        <v/>
      </c>
      <c r="E246">
        <f>IF($AG246="","",Config!$B$27)</f>
        <v/>
      </c>
      <c r="F246">
        <f>IF($AG246="","",Config!$B$9)</f>
        <v/>
      </c>
      <c r="G246">
        <f>IF($AG246="","",Config!$B$10)</f>
        <v/>
      </c>
      <c r="H246">
        <f>IF($AG246="","",Config!$B$11)</f>
        <v/>
      </c>
      <c r="I246">
        <f>IF($AG246="","",Config!$B$16)</f>
        <v/>
      </c>
      <c r="J246">
        <f>IF($AG246="","",INDEX('TMP Paste'!$A$2:$A$1601,$AG246))</f>
        <v/>
      </c>
      <c r="K246">
        <f>IF($AG246="","",INDEX('TMP Paste'!$L$2:$L$1601,$AG246))</f>
        <v/>
      </c>
      <c r="L246">
        <f>IF($AG246="","",INDEX('TMP Paste'!$I$2:$I$1601,$AG246))</f>
        <v/>
      </c>
      <c r="M246">
        <f>IF($AG246="","",Config!$B$16)</f>
        <v/>
      </c>
      <c r="N246">
        <f>IF($AG246="","","")</f>
        <v/>
      </c>
      <c r="O246">
        <f>IF($AG246="","",INDEX('TMP Paste'!$K$2:$K$1601,$AG246))</f>
        <v/>
      </c>
      <c r="P246">
        <f>IF($AG246="","","")</f>
        <v/>
      </c>
      <c r="Q246">
        <f>IF($AG246="","",INDEX('TMP Paste'!$J$2:$J$1601,$AG246))</f>
        <v/>
      </c>
      <c r="R246">
        <f>IF($AG246="","",Config!$B$24)</f>
        <v/>
      </c>
      <c r="S246">
        <f>IF($AG246="","",TEXT(Config!$B$4,"yyyy-mm-dd"))</f>
        <v/>
      </c>
      <c r="T246">
        <f>IF($AG246="","",Config!$B$17)</f>
        <v/>
      </c>
      <c r="U246">
        <f>IF($AG246="","",Config!$B$18)</f>
        <v/>
      </c>
      <c r="V246">
        <f>IF($AG246="","",Config!$B$19)</f>
        <v/>
      </c>
      <c r="W246">
        <f>IF($AG246="","",INDEX('TMP Paste'!$C$2:$C$1601,$AG246))</f>
        <v/>
      </c>
      <c r="X246">
        <f>IF($AG246="","",Config!$B$29)</f>
        <v/>
      </c>
      <c r="Y246">
        <f>IF($AH246="","",INDEX(Calc!$I$2:$I$1601,$AH246)&amp;" - "&amp;INDEX(Calc!$D$2:$D$1601,$AH246)&amp;" koli")</f>
        <v/>
      </c>
      <c r="Z246">
        <f>IF($AG246="","",Config!$B$21)</f>
        <v/>
      </c>
      <c r="AA246">
        <f>IF($AG246="","",Config!$B$22)</f>
        <v/>
      </c>
      <c r="AB246">
        <f>IF($AH246="","",INDEX(Calc!$D$2:$D$1601,$AH246))</f>
        <v/>
      </c>
      <c r="AC246">
        <f>IF($AH246="","",INDEX(Calc!$G$2:$G$1601,$AH246))</f>
        <v/>
      </c>
      <c r="AD246">
        <f>IF($AG246="","",Config!$B$23)</f>
        <v/>
      </c>
      <c r="AE246">
        <f>IF($AG246="","",Config!$B$28)</f>
        <v/>
      </c>
      <c r="AG246">
        <f>IFERROR(MATCH(ROW()-1,Calc!$J$2:$J$1601,0),"")</f>
        <v/>
      </c>
      <c r="AH246">
        <f>IFERROR(MATCH(ROW()-1,Calc!$K$2:$K$1601,0),"")</f>
        <v/>
      </c>
      <c r="AI246">
        <f>IF($AG246="","",SUMIF($AG$2:$AG246,$AG246,$AH$2:$AH246))</f>
        <v/>
      </c>
      <c r="AJ246">
        <f>IF('TMP Paste'!$F246="","",IF('TMP Paste'!$B246="",$AJ245,'TMP Paste'!$B246))</f>
        <v/>
      </c>
      <c r="AK246">
        <f>IF('TMP Paste'!$F246="","",N('TMP Paste'!$G246))</f>
        <v/>
      </c>
      <c r="AL246">
        <f>IF('TMP Paste'!$F246="","",IF('TMP Paste'!$M246="",$AL245,'TMP Paste'!$M246))</f>
        <v/>
      </c>
      <c r="AM246">
        <f>IF('TMP Paste'!$F246="","",IF('TMP Paste'!$N246="",$AM245,'TMP Paste'!$N246))</f>
        <v/>
      </c>
      <c r="AN246">
        <f>IF('TMP Paste'!$F246="","",IF('TMP Paste'!$O246="",$AN245,'TMP Paste'!$O246))</f>
        <v/>
      </c>
      <c r="AO246">
        <f>IF('TMP Paste'!$F246="","",IF('TMP Paste'!$P246="",$AO245,'TMP Paste'!$P246))</f>
        <v/>
      </c>
      <c r="AP246">
        <f>IF($AG246="","",LEN($R246))</f>
        <v/>
      </c>
      <c r="AQ246">
        <f>IF($AG246="","",TRIM(IF(COUNTIFS(Calc!$B$2:$B$1601,ROW()-1,Calc!$C$2:$C$1601,"&lt;1")&gt;0,"Ada PO tanpa Koli - cek TMP. ","")&amp;IF(LEN($R246)&gt;500,"R &gt; 500 karakter.","")))</f>
        <v/>
      </c>
    </row>
    <row r="247">
      <c r="A247">
        <f>IF($AG247="","",INDEX('TMP Paste'!$B$2:$B$1601,$AG247))</f>
        <v/>
      </c>
      <c r="B247">
        <f>IF($AG247="","",Config!$B$14)</f>
        <v/>
      </c>
      <c r="C247">
        <f>IF($AG247="","",Config!$B$15)</f>
        <v/>
      </c>
      <c r="D247">
        <f>IF($AG247="","",INDEX('TMP Paste'!$B$2:$B$1601,$AG247))</f>
        <v/>
      </c>
      <c r="E247">
        <f>IF($AG247="","",Config!$B$27)</f>
        <v/>
      </c>
      <c r="F247">
        <f>IF($AG247="","",Config!$B$9)</f>
        <v/>
      </c>
      <c r="G247">
        <f>IF($AG247="","",Config!$B$10)</f>
        <v/>
      </c>
      <c r="H247">
        <f>IF($AG247="","",Config!$B$11)</f>
        <v/>
      </c>
      <c r="I247">
        <f>IF($AG247="","",Config!$B$16)</f>
        <v/>
      </c>
      <c r="J247">
        <f>IF($AG247="","",INDEX('TMP Paste'!$A$2:$A$1601,$AG247))</f>
        <v/>
      </c>
      <c r="K247">
        <f>IF($AG247="","",INDEX('TMP Paste'!$L$2:$L$1601,$AG247))</f>
        <v/>
      </c>
      <c r="L247">
        <f>IF($AG247="","",INDEX('TMP Paste'!$I$2:$I$1601,$AG247))</f>
        <v/>
      </c>
      <c r="M247">
        <f>IF($AG247="","",Config!$B$16)</f>
        <v/>
      </c>
      <c r="N247">
        <f>IF($AG247="","","")</f>
        <v/>
      </c>
      <c r="O247">
        <f>IF($AG247="","",INDEX('TMP Paste'!$K$2:$K$1601,$AG247))</f>
        <v/>
      </c>
      <c r="P247">
        <f>IF($AG247="","","")</f>
        <v/>
      </c>
      <c r="Q247">
        <f>IF($AG247="","",INDEX('TMP Paste'!$J$2:$J$1601,$AG247))</f>
        <v/>
      </c>
      <c r="R247">
        <f>IF($AG247="","",Config!$B$24)</f>
        <v/>
      </c>
      <c r="S247">
        <f>IF($AG247="","",TEXT(Config!$B$4,"yyyy-mm-dd"))</f>
        <v/>
      </c>
      <c r="T247">
        <f>IF($AG247="","",Config!$B$17)</f>
        <v/>
      </c>
      <c r="U247">
        <f>IF($AG247="","",Config!$B$18)</f>
        <v/>
      </c>
      <c r="V247">
        <f>IF($AG247="","",Config!$B$19)</f>
        <v/>
      </c>
      <c r="W247">
        <f>IF($AG247="","",INDEX('TMP Paste'!$C$2:$C$1601,$AG247))</f>
        <v/>
      </c>
      <c r="X247">
        <f>IF($AG247="","",Config!$B$29)</f>
        <v/>
      </c>
      <c r="Y247">
        <f>IF($AH247="","",INDEX(Calc!$I$2:$I$1601,$AH247)&amp;" - "&amp;INDEX(Calc!$D$2:$D$1601,$AH247)&amp;" koli")</f>
        <v/>
      </c>
      <c r="Z247">
        <f>IF($AG247="","",Config!$B$21)</f>
        <v/>
      </c>
      <c r="AA247">
        <f>IF($AG247="","",Config!$B$22)</f>
        <v/>
      </c>
      <c r="AB247">
        <f>IF($AH247="","",INDEX(Calc!$D$2:$D$1601,$AH247))</f>
        <v/>
      </c>
      <c r="AC247">
        <f>IF($AH247="","",INDEX(Calc!$G$2:$G$1601,$AH247))</f>
        <v/>
      </c>
      <c r="AD247">
        <f>IF($AG247="","",Config!$B$23)</f>
        <v/>
      </c>
      <c r="AE247">
        <f>IF($AG247="","",Config!$B$28)</f>
        <v/>
      </c>
      <c r="AG247">
        <f>IFERROR(MATCH(ROW()-1,Calc!$J$2:$J$1601,0),"")</f>
        <v/>
      </c>
      <c r="AH247">
        <f>IFERROR(MATCH(ROW()-1,Calc!$K$2:$K$1601,0),"")</f>
        <v/>
      </c>
      <c r="AI247">
        <f>IF($AG247="","",SUMIF($AG$2:$AG247,$AG247,$AH$2:$AH247))</f>
        <v/>
      </c>
      <c r="AJ247">
        <f>IF('TMP Paste'!$F247="","",IF('TMP Paste'!$B247="",$AJ246,'TMP Paste'!$B247))</f>
        <v/>
      </c>
      <c r="AK247">
        <f>IF('TMP Paste'!$F247="","",N('TMP Paste'!$G247))</f>
        <v/>
      </c>
      <c r="AL247">
        <f>IF('TMP Paste'!$F247="","",IF('TMP Paste'!$M247="",$AL246,'TMP Paste'!$M247))</f>
        <v/>
      </c>
      <c r="AM247">
        <f>IF('TMP Paste'!$F247="","",IF('TMP Paste'!$N247="",$AM246,'TMP Paste'!$N247))</f>
        <v/>
      </c>
      <c r="AN247">
        <f>IF('TMP Paste'!$F247="","",IF('TMP Paste'!$O247="",$AN246,'TMP Paste'!$O247))</f>
        <v/>
      </c>
      <c r="AO247">
        <f>IF('TMP Paste'!$F247="","",IF('TMP Paste'!$P247="",$AO246,'TMP Paste'!$P247))</f>
        <v/>
      </c>
      <c r="AP247">
        <f>IF($AG247="","",LEN($R247))</f>
        <v/>
      </c>
      <c r="AQ247">
        <f>IF($AG247="","",TRIM(IF(COUNTIFS(Calc!$B$2:$B$1601,ROW()-1,Calc!$C$2:$C$1601,"&lt;1")&gt;0,"Ada PO tanpa Koli - cek TMP. ","")&amp;IF(LEN($R247)&gt;500,"R &gt; 500 karakter.","")))</f>
        <v/>
      </c>
    </row>
    <row r="248">
      <c r="A248">
        <f>IF($AG248="","",INDEX('TMP Paste'!$B$2:$B$1601,$AG248))</f>
        <v/>
      </c>
      <c r="B248">
        <f>IF($AG248="","",Config!$B$14)</f>
        <v/>
      </c>
      <c r="C248">
        <f>IF($AG248="","",Config!$B$15)</f>
        <v/>
      </c>
      <c r="D248">
        <f>IF($AG248="","",INDEX('TMP Paste'!$B$2:$B$1601,$AG248))</f>
        <v/>
      </c>
      <c r="E248">
        <f>IF($AG248="","",Config!$B$27)</f>
        <v/>
      </c>
      <c r="F248">
        <f>IF($AG248="","",Config!$B$9)</f>
        <v/>
      </c>
      <c r="G248">
        <f>IF($AG248="","",Config!$B$10)</f>
        <v/>
      </c>
      <c r="H248">
        <f>IF($AG248="","",Config!$B$11)</f>
        <v/>
      </c>
      <c r="I248">
        <f>IF($AG248="","",Config!$B$16)</f>
        <v/>
      </c>
      <c r="J248">
        <f>IF($AG248="","",INDEX('TMP Paste'!$A$2:$A$1601,$AG248))</f>
        <v/>
      </c>
      <c r="K248">
        <f>IF($AG248="","",INDEX('TMP Paste'!$L$2:$L$1601,$AG248))</f>
        <v/>
      </c>
      <c r="L248">
        <f>IF($AG248="","",INDEX('TMP Paste'!$I$2:$I$1601,$AG248))</f>
        <v/>
      </c>
      <c r="M248">
        <f>IF($AG248="","",Config!$B$16)</f>
        <v/>
      </c>
      <c r="N248">
        <f>IF($AG248="","","")</f>
        <v/>
      </c>
      <c r="O248">
        <f>IF($AG248="","",INDEX('TMP Paste'!$K$2:$K$1601,$AG248))</f>
        <v/>
      </c>
      <c r="P248">
        <f>IF($AG248="","","")</f>
        <v/>
      </c>
      <c r="Q248">
        <f>IF($AG248="","",INDEX('TMP Paste'!$J$2:$J$1601,$AG248))</f>
        <v/>
      </c>
      <c r="R248">
        <f>IF($AG248="","",Config!$B$24)</f>
        <v/>
      </c>
      <c r="S248">
        <f>IF($AG248="","",TEXT(Config!$B$4,"yyyy-mm-dd"))</f>
        <v/>
      </c>
      <c r="T248">
        <f>IF($AG248="","",Config!$B$17)</f>
        <v/>
      </c>
      <c r="U248">
        <f>IF($AG248="","",Config!$B$18)</f>
        <v/>
      </c>
      <c r="V248">
        <f>IF($AG248="","",Config!$B$19)</f>
        <v/>
      </c>
      <c r="W248">
        <f>IF($AG248="","",INDEX('TMP Paste'!$C$2:$C$1601,$AG248))</f>
        <v/>
      </c>
      <c r="X248">
        <f>IF($AG248="","",Config!$B$29)</f>
        <v/>
      </c>
      <c r="Y248">
        <f>IF($AH248="","",INDEX(Calc!$I$2:$I$1601,$AH248)&amp;" - "&amp;INDEX(Calc!$D$2:$D$1601,$AH248)&amp;" koli")</f>
        <v/>
      </c>
      <c r="Z248">
        <f>IF($AG248="","",Config!$B$21)</f>
        <v/>
      </c>
      <c r="AA248">
        <f>IF($AG248="","",Config!$B$22)</f>
        <v/>
      </c>
      <c r="AB248">
        <f>IF($AH248="","",INDEX(Calc!$D$2:$D$1601,$AH248))</f>
        <v/>
      </c>
      <c r="AC248">
        <f>IF($AH248="","",INDEX(Calc!$G$2:$G$1601,$AH248))</f>
        <v/>
      </c>
      <c r="AD248">
        <f>IF($AG248="","",Config!$B$23)</f>
        <v/>
      </c>
      <c r="AE248">
        <f>IF($AG248="","",Config!$B$28)</f>
        <v/>
      </c>
      <c r="AG248">
        <f>IFERROR(MATCH(ROW()-1,Calc!$J$2:$J$1601,0),"")</f>
        <v/>
      </c>
      <c r="AH248">
        <f>IFERROR(MATCH(ROW()-1,Calc!$K$2:$K$1601,0),"")</f>
        <v/>
      </c>
      <c r="AI248">
        <f>IF($AG248="","",SUMIF($AG$2:$AG248,$AG248,$AH$2:$AH248))</f>
        <v/>
      </c>
      <c r="AJ248">
        <f>IF('TMP Paste'!$F248="","",IF('TMP Paste'!$B248="",$AJ247,'TMP Paste'!$B248))</f>
        <v/>
      </c>
      <c r="AK248">
        <f>IF('TMP Paste'!$F248="","",N('TMP Paste'!$G248))</f>
        <v/>
      </c>
      <c r="AL248">
        <f>IF('TMP Paste'!$F248="","",IF('TMP Paste'!$M248="",$AL247,'TMP Paste'!$M248))</f>
        <v/>
      </c>
      <c r="AM248">
        <f>IF('TMP Paste'!$F248="","",IF('TMP Paste'!$N248="",$AM247,'TMP Paste'!$N248))</f>
        <v/>
      </c>
      <c r="AN248">
        <f>IF('TMP Paste'!$F248="","",IF('TMP Paste'!$O248="",$AN247,'TMP Paste'!$O248))</f>
        <v/>
      </c>
      <c r="AO248">
        <f>IF('TMP Paste'!$F248="","",IF('TMP Paste'!$P248="",$AO247,'TMP Paste'!$P248))</f>
        <v/>
      </c>
      <c r="AP248">
        <f>IF($AG248="","",LEN($R248))</f>
        <v/>
      </c>
      <c r="AQ248">
        <f>IF($AG248="","",TRIM(IF(COUNTIFS(Calc!$B$2:$B$1601,ROW()-1,Calc!$C$2:$C$1601,"&lt;1")&gt;0,"Ada PO tanpa Koli - cek TMP. ","")&amp;IF(LEN($R248)&gt;500,"R &gt; 500 karakter.","")))</f>
        <v/>
      </c>
    </row>
    <row r="249">
      <c r="A249">
        <f>IF($AG249="","",INDEX('TMP Paste'!$B$2:$B$1601,$AG249))</f>
        <v/>
      </c>
      <c r="B249">
        <f>IF($AG249="","",Config!$B$14)</f>
        <v/>
      </c>
      <c r="C249">
        <f>IF($AG249="","",Config!$B$15)</f>
        <v/>
      </c>
      <c r="D249">
        <f>IF($AG249="","",INDEX('TMP Paste'!$B$2:$B$1601,$AG249))</f>
        <v/>
      </c>
      <c r="E249">
        <f>IF($AG249="","",Config!$B$27)</f>
        <v/>
      </c>
      <c r="F249">
        <f>IF($AG249="","",Config!$B$9)</f>
        <v/>
      </c>
      <c r="G249">
        <f>IF($AG249="","",Config!$B$10)</f>
        <v/>
      </c>
      <c r="H249">
        <f>IF($AG249="","",Config!$B$11)</f>
        <v/>
      </c>
      <c r="I249">
        <f>IF($AG249="","",Config!$B$16)</f>
        <v/>
      </c>
      <c r="J249">
        <f>IF($AG249="","",INDEX('TMP Paste'!$A$2:$A$1601,$AG249))</f>
        <v/>
      </c>
      <c r="K249">
        <f>IF($AG249="","",INDEX('TMP Paste'!$L$2:$L$1601,$AG249))</f>
        <v/>
      </c>
      <c r="L249">
        <f>IF($AG249="","",INDEX('TMP Paste'!$I$2:$I$1601,$AG249))</f>
        <v/>
      </c>
      <c r="M249">
        <f>IF($AG249="","",Config!$B$16)</f>
        <v/>
      </c>
      <c r="N249">
        <f>IF($AG249="","","")</f>
        <v/>
      </c>
      <c r="O249">
        <f>IF($AG249="","",INDEX('TMP Paste'!$K$2:$K$1601,$AG249))</f>
        <v/>
      </c>
      <c r="P249">
        <f>IF($AG249="","","")</f>
        <v/>
      </c>
      <c r="Q249">
        <f>IF($AG249="","",INDEX('TMP Paste'!$J$2:$J$1601,$AG249))</f>
        <v/>
      </c>
      <c r="R249">
        <f>IF($AG249="","",Config!$B$24)</f>
        <v/>
      </c>
      <c r="S249">
        <f>IF($AG249="","",TEXT(Config!$B$4,"yyyy-mm-dd"))</f>
        <v/>
      </c>
      <c r="T249">
        <f>IF($AG249="","",Config!$B$17)</f>
        <v/>
      </c>
      <c r="U249">
        <f>IF($AG249="","",Config!$B$18)</f>
        <v/>
      </c>
      <c r="V249">
        <f>IF($AG249="","",Config!$B$19)</f>
        <v/>
      </c>
      <c r="W249">
        <f>IF($AG249="","",INDEX('TMP Paste'!$C$2:$C$1601,$AG249))</f>
        <v/>
      </c>
      <c r="X249">
        <f>IF($AG249="","",Config!$B$29)</f>
        <v/>
      </c>
      <c r="Y249">
        <f>IF($AH249="","",INDEX(Calc!$I$2:$I$1601,$AH249)&amp;" - "&amp;INDEX(Calc!$D$2:$D$1601,$AH249)&amp;" koli")</f>
        <v/>
      </c>
      <c r="Z249">
        <f>IF($AG249="","",Config!$B$21)</f>
        <v/>
      </c>
      <c r="AA249">
        <f>IF($AG249="","",Config!$B$22)</f>
        <v/>
      </c>
      <c r="AB249">
        <f>IF($AH249="","",INDEX(Calc!$D$2:$D$1601,$AH249))</f>
        <v/>
      </c>
      <c r="AC249">
        <f>IF($AH249="","",INDEX(Calc!$G$2:$G$1601,$AH249))</f>
        <v/>
      </c>
      <c r="AD249">
        <f>IF($AG249="","",Config!$B$23)</f>
        <v/>
      </c>
      <c r="AE249">
        <f>IF($AG249="","",Config!$B$28)</f>
        <v/>
      </c>
      <c r="AG249">
        <f>IFERROR(MATCH(ROW()-1,Calc!$J$2:$J$1601,0),"")</f>
        <v/>
      </c>
      <c r="AH249">
        <f>IFERROR(MATCH(ROW()-1,Calc!$K$2:$K$1601,0),"")</f>
        <v/>
      </c>
      <c r="AI249">
        <f>IF($AG249="","",SUMIF($AG$2:$AG249,$AG249,$AH$2:$AH249))</f>
        <v/>
      </c>
      <c r="AJ249">
        <f>IF('TMP Paste'!$F249="","",IF('TMP Paste'!$B249="",$AJ248,'TMP Paste'!$B249))</f>
        <v/>
      </c>
      <c r="AK249">
        <f>IF('TMP Paste'!$F249="","",N('TMP Paste'!$G249))</f>
        <v/>
      </c>
      <c r="AL249">
        <f>IF('TMP Paste'!$F249="","",IF('TMP Paste'!$M249="",$AL248,'TMP Paste'!$M249))</f>
        <v/>
      </c>
      <c r="AM249">
        <f>IF('TMP Paste'!$F249="","",IF('TMP Paste'!$N249="",$AM248,'TMP Paste'!$N249))</f>
        <v/>
      </c>
      <c r="AN249">
        <f>IF('TMP Paste'!$F249="","",IF('TMP Paste'!$O249="",$AN248,'TMP Paste'!$O249))</f>
        <v/>
      </c>
      <c r="AO249">
        <f>IF('TMP Paste'!$F249="","",IF('TMP Paste'!$P249="",$AO248,'TMP Paste'!$P249))</f>
        <v/>
      </c>
      <c r="AP249">
        <f>IF($AG249="","",LEN($R249))</f>
        <v/>
      </c>
      <c r="AQ249">
        <f>IF($AG249="","",TRIM(IF(COUNTIFS(Calc!$B$2:$B$1601,ROW()-1,Calc!$C$2:$C$1601,"&lt;1")&gt;0,"Ada PO tanpa Koli - cek TMP. ","")&amp;IF(LEN($R249)&gt;500,"R &gt; 500 karakter.","")))</f>
        <v/>
      </c>
    </row>
    <row r="250">
      <c r="A250">
        <f>IF($AG250="","",INDEX('TMP Paste'!$B$2:$B$1601,$AG250))</f>
        <v/>
      </c>
      <c r="B250">
        <f>IF($AG250="","",Config!$B$14)</f>
        <v/>
      </c>
      <c r="C250">
        <f>IF($AG250="","",Config!$B$15)</f>
        <v/>
      </c>
      <c r="D250">
        <f>IF($AG250="","",INDEX('TMP Paste'!$B$2:$B$1601,$AG250))</f>
        <v/>
      </c>
      <c r="E250">
        <f>IF($AG250="","",Config!$B$27)</f>
        <v/>
      </c>
      <c r="F250">
        <f>IF($AG250="","",Config!$B$9)</f>
        <v/>
      </c>
      <c r="G250">
        <f>IF($AG250="","",Config!$B$10)</f>
        <v/>
      </c>
      <c r="H250">
        <f>IF($AG250="","",Config!$B$11)</f>
        <v/>
      </c>
      <c r="I250">
        <f>IF($AG250="","",Config!$B$16)</f>
        <v/>
      </c>
      <c r="J250">
        <f>IF($AG250="","",INDEX('TMP Paste'!$A$2:$A$1601,$AG250))</f>
        <v/>
      </c>
      <c r="K250">
        <f>IF($AG250="","",INDEX('TMP Paste'!$L$2:$L$1601,$AG250))</f>
        <v/>
      </c>
      <c r="L250">
        <f>IF($AG250="","",INDEX('TMP Paste'!$I$2:$I$1601,$AG250))</f>
        <v/>
      </c>
      <c r="M250">
        <f>IF($AG250="","",Config!$B$16)</f>
        <v/>
      </c>
      <c r="N250">
        <f>IF($AG250="","","")</f>
        <v/>
      </c>
      <c r="O250">
        <f>IF($AG250="","",INDEX('TMP Paste'!$K$2:$K$1601,$AG250))</f>
        <v/>
      </c>
      <c r="P250">
        <f>IF($AG250="","","")</f>
        <v/>
      </c>
      <c r="Q250">
        <f>IF($AG250="","",INDEX('TMP Paste'!$J$2:$J$1601,$AG250))</f>
        <v/>
      </c>
      <c r="R250">
        <f>IF($AG250="","",Config!$B$24)</f>
        <v/>
      </c>
      <c r="S250">
        <f>IF($AG250="","",TEXT(Config!$B$4,"yyyy-mm-dd"))</f>
        <v/>
      </c>
      <c r="T250">
        <f>IF($AG250="","",Config!$B$17)</f>
        <v/>
      </c>
      <c r="U250">
        <f>IF($AG250="","",Config!$B$18)</f>
        <v/>
      </c>
      <c r="V250">
        <f>IF($AG250="","",Config!$B$19)</f>
        <v/>
      </c>
      <c r="W250">
        <f>IF($AG250="","",INDEX('TMP Paste'!$C$2:$C$1601,$AG250))</f>
        <v/>
      </c>
      <c r="X250">
        <f>IF($AG250="","",Config!$B$29)</f>
        <v/>
      </c>
      <c r="Y250">
        <f>IF($AH250="","",INDEX(Calc!$I$2:$I$1601,$AH250)&amp;" - "&amp;INDEX(Calc!$D$2:$D$1601,$AH250)&amp;" koli")</f>
        <v/>
      </c>
      <c r="Z250">
        <f>IF($AG250="","",Config!$B$21)</f>
        <v/>
      </c>
      <c r="AA250">
        <f>IF($AG250="","",Config!$B$22)</f>
        <v/>
      </c>
      <c r="AB250">
        <f>IF($AH250="","",INDEX(Calc!$D$2:$D$1601,$AH250))</f>
        <v/>
      </c>
      <c r="AC250">
        <f>IF($AH250="","",INDEX(Calc!$G$2:$G$1601,$AH250))</f>
        <v/>
      </c>
      <c r="AD250">
        <f>IF($AG250="","",Config!$B$23)</f>
        <v/>
      </c>
      <c r="AE250">
        <f>IF($AG250="","",Config!$B$28)</f>
        <v/>
      </c>
      <c r="AG250">
        <f>IFERROR(MATCH(ROW()-1,Calc!$J$2:$J$1601,0),"")</f>
        <v/>
      </c>
      <c r="AH250">
        <f>IFERROR(MATCH(ROW()-1,Calc!$K$2:$K$1601,0),"")</f>
        <v/>
      </c>
      <c r="AI250">
        <f>IF($AG250="","",SUMIF($AG$2:$AG250,$AG250,$AH$2:$AH250))</f>
        <v/>
      </c>
      <c r="AJ250">
        <f>IF('TMP Paste'!$F250="","",IF('TMP Paste'!$B250="",$AJ249,'TMP Paste'!$B250))</f>
        <v/>
      </c>
      <c r="AK250">
        <f>IF('TMP Paste'!$F250="","",N('TMP Paste'!$G250))</f>
        <v/>
      </c>
      <c r="AL250">
        <f>IF('TMP Paste'!$F250="","",IF('TMP Paste'!$M250="",$AL249,'TMP Paste'!$M250))</f>
        <v/>
      </c>
      <c r="AM250">
        <f>IF('TMP Paste'!$F250="","",IF('TMP Paste'!$N250="",$AM249,'TMP Paste'!$N250))</f>
        <v/>
      </c>
      <c r="AN250">
        <f>IF('TMP Paste'!$F250="","",IF('TMP Paste'!$O250="",$AN249,'TMP Paste'!$O250))</f>
        <v/>
      </c>
      <c r="AO250">
        <f>IF('TMP Paste'!$F250="","",IF('TMP Paste'!$P250="",$AO249,'TMP Paste'!$P250))</f>
        <v/>
      </c>
      <c r="AP250">
        <f>IF($AG250="","",LEN($R250))</f>
        <v/>
      </c>
      <c r="AQ250">
        <f>IF($AG250="","",TRIM(IF(COUNTIFS(Calc!$B$2:$B$1601,ROW()-1,Calc!$C$2:$C$1601,"&lt;1")&gt;0,"Ada PO tanpa Koli - cek TMP. ","")&amp;IF(LEN($R250)&gt;500,"R &gt; 500 karakter.","")))</f>
        <v/>
      </c>
    </row>
    <row r="251">
      <c r="A251">
        <f>IF($AG251="","",INDEX('TMP Paste'!$B$2:$B$1601,$AG251))</f>
        <v/>
      </c>
      <c r="B251">
        <f>IF($AG251="","",Config!$B$14)</f>
        <v/>
      </c>
      <c r="C251">
        <f>IF($AG251="","",Config!$B$15)</f>
        <v/>
      </c>
      <c r="D251">
        <f>IF($AG251="","",INDEX('TMP Paste'!$B$2:$B$1601,$AG251))</f>
        <v/>
      </c>
      <c r="E251">
        <f>IF($AG251="","",Config!$B$27)</f>
        <v/>
      </c>
      <c r="F251">
        <f>IF($AG251="","",Config!$B$9)</f>
        <v/>
      </c>
      <c r="G251">
        <f>IF($AG251="","",Config!$B$10)</f>
        <v/>
      </c>
      <c r="H251">
        <f>IF($AG251="","",Config!$B$11)</f>
        <v/>
      </c>
      <c r="I251">
        <f>IF($AG251="","",Config!$B$16)</f>
        <v/>
      </c>
      <c r="J251">
        <f>IF($AG251="","",INDEX('TMP Paste'!$A$2:$A$1601,$AG251))</f>
        <v/>
      </c>
      <c r="K251">
        <f>IF($AG251="","",INDEX('TMP Paste'!$L$2:$L$1601,$AG251))</f>
        <v/>
      </c>
      <c r="L251">
        <f>IF($AG251="","",INDEX('TMP Paste'!$I$2:$I$1601,$AG251))</f>
        <v/>
      </c>
      <c r="M251">
        <f>IF($AG251="","",Config!$B$16)</f>
        <v/>
      </c>
      <c r="N251">
        <f>IF($AG251="","","")</f>
        <v/>
      </c>
      <c r="O251">
        <f>IF($AG251="","",INDEX('TMP Paste'!$K$2:$K$1601,$AG251))</f>
        <v/>
      </c>
      <c r="P251">
        <f>IF($AG251="","","")</f>
        <v/>
      </c>
      <c r="Q251">
        <f>IF($AG251="","",INDEX('TMP Paste'!$J$2:$J$1601,$AG251))</f>
        <v/>
      </c>
      <c r="R251">
        <f>IF($AG251="","",Config!$B$24)</f>
        <v/>
      </c>
      <c r="S251">
        <f>IF($AG251="","",TEXT(Config!$B$4,"yyyy-mm-dd"))</f>
        <v/>
      </c>
      <c r="T251">
        <f>IF($AG251="","",Config!$B$17)</f>
        <v/>
      </c>
      <c r="U251">
        <f>IF($AG251="","",Config!$B$18)</f>
        <v/>
      </c>
      <c r="V251">
        <f>IF($AG251="","",Config!$B$19)</f>
        <v/>
      </c>
      <c r="W251">
        <f>IF($AG251="","",INDEX('TMP Paste'!$C$2:$C$1601,$AG251))</f>
        <v/>
      </c>
      <c r="X251">
        <f>IF($AG251="","",Config!$B$29)</f>
        <v/>
      </c>
      <c r="Y251">
        <f>IF($AH251="","",INDEX(Calc!$I$2:$I$1601,$AH251)&amp;" - "&amp;INDEX(Calc!$D$2:$D$1601,$AH251)&amp;" koli")</f>
        <v/>
      </c>
      <c r="Z251">
        <f>IF($AG251="","",Config!$B$21)</f>
        <v/>
      </c>
      <c r="AA251">
        <f>IF($AG251="","",Config!$B$22)</f>
        <v/>
      </c>
      <c r="AB251">
        <f>IF($AH251="","",INDEX(Calc!$D$2:$D$1601,$AH251))</f>
        <v/>
      </c>
      <c r="AC251">
        <f>IF($AH251="","",INDEX(Calc!$G$2:$G$1601,$AH251))</f>
        <v/>
      </c>
      <c r="AD251">
        <f>IF($AG251="","",Config!$B$23)</f>
        <v/>
      </c>
      <c r="AE251">
        <f>IF($AG251="","",Config!$B$28)</f>
        <v/>
      </c>
      <c r="AG251">
        <f>IFERROR(MATCH(ROW()-1,Calc!$J$2:$J$1601,0),"")</f>
        <v/>
      </c>
      <c r="AH251">
        <f>IFERROR(MATCH(ROW()-1,Calc!$K$2:$K$1601,0),"")</f>
        <v/>
      </c>
      <c r="AI251">
        <f>IF($AG251="","",SUMIF($AG$2:$AG251,$AG251,$AH$2:$AH251))</f>
        <v/>
      </c>
      <c r="AJ251">
        <f>IF('TMP Paste'!$F251="","",IF('TMP Paste'!$B251="",$AJ250,'TMP Paste'!$B251))</f>
        <v/>
      </c>
      <c r="AK251">
        <f>IF('TMP Paste'!$F251="","",N('TMP Paste'!$G251))</f>
        <v/>
      </c>
      <c r="AL251">
        <f>IF('TMP Paste'!$F251="","",IF('TMP Paste'!$M251="",$AL250,'TMP Paste'!$M251))</f>
        <v/>
      </c>
      <c r="AM251">
        <f>IF('TMP Paste'!$F251="","",IF('TMP Paste'!$N251="",$AM250,'TMP Paste'!$N251))</f>
        <v/>
      </c>
      <c r="AN251">
        <f>IF('TMP Paste'!$F251="","",IF('TMP Paste'!$O251="",$AN250,'TMP Paste'!$O251))</f>
        <v/>
      </c>
      <c r="AO251">
        <f>IF('TMP Paste'!$F251="","",IF('TMP Paste'!$P251="",$AO250,'TMP Paste'!$P251))</f>
        <v/>
      </c>
      <c r="AP251">
        <f>IF($AG251="","",LEN($R251))</f>
        <v/>
      </c>
      <c r="AQ251">
        <f>IF($AG251="","",TRIM(IF(COUNTIFS(Calc!$B$2:$B$1601,ROW()-1,Calc!$C$2:$C$1601,"&lt;1")&gt;0,"Ada PO tanpa Koli - cek TMP. ","")&amp;IF(LEN($R251)&gt;500,"R &gt; 500 karakter.","")))</f>
        <v/>
      </c>
    </row>
    <row r="252">
      <c r="A252">
        <f>IF($AG252="","",INDEX('TMP Paste'!$B$2:$B$1601,$AG252))</f>
        <v/>
      </c>
      <c r="B252">
        <f>IF($AG252="","",Config!$B$14)</f>
        <v/>
      </c>
      <c r="C252">
        <f>IF($AG252="","",Config!$B$15)</f>
        <v/>
      </c>
      <c r="D252">
        <f>IF($AG252="","",INDEX('TMP Paste'!$B$2:$B$1601,$AG252))</f>
        <v/>
      </c>
      <c r="E252">
        <f>IF($AG252="","",Config!$B$27)</f>
        <v/>
      </c>
      <c r="F252">
        <f>IF($AG252="","",Config!$B$9)</f>
        <v/>
      </c>
      <c r="G252">
        <f>IF($AG252="","",Config!$B$10)</f>
        <v/>
      </c>
      <c r="H252">
        <f>IF($AG252="","",Config!$B$11)</f>
        <v/>
      </c>
      <c r="I252">
        <f>IF($AG252="","",Config!$B$16)</f>
        <v/>
      </c>
      <c r="J252">
        <f>IF($AG252="","",INDEX('TMP Paste'!$A$2:$A$1601,$AG252))</f>
        <v/>
      </c>
      <c r="K252">
        <f>IF($AG252="","",INDEX('TMP Paste'!$L$2:$L$1601,$AG252))</f>
        <v/>
      </c>
      <c r="L252">
        <f>IF($AG252="","",INDEX('TMP Paste'!$I$2:$I$1601,$AG252))</f>
        <v/>
      </c>
      <c r="M252">
        <f>IF($AG252="","",Config!$B$16)</f>
        <v/>
      </c>
      <c r="N252">
        <f>IF($AG252="","","")</f>
        <v/>
      </c>
      <c r="O252">
        <f>IF($AG252="","",INDEX('TMP Paste'!$K$2:$K$1601,$AG252))</f>
        <v/>
      </c>
      <c r="P252">
        <f>IF($AG252="","","")</f>
        <v/>
      </c>
      <c r="Q252">
        <f>IF($AG252="","",INDEX('TMP Paste'!$J$2:$J$1601,$AG252))</f>
        <v/>
      </c>
      <c r="R252">
        <f>IF($AG252="","",Config!$B$24)</f>
        <v/>
      </c>
      <c r="S252">
        <f>IF($AG252="","",TEXT(Config!$B$4,"yyyy-mm-dd"))</f>
        <v/>
      </c>
      <c r="T252">
        <f>IF($AG252="","",Config!$B$17)</f>
        <v/>
      </c>
      <c r="U252">
        <f>IF($AG252="","",Config!$B$18)</f>
        <v/>
      </c>
      <c r="V252">
        <f>IF($AG252="","",Config!$B$19)</f>
        <v/>
      </c>
      <c r="W252">
        <f>IF($AG252="","",INDEX('TMP Paste'!$C$2:$C$1601,$AG252))</f>
        <v/>
      </c>
      <c r="X252">
        <f>IF($AG252="","",Config!$B$29)</f>
        <v/>
      </c>
      <c r="Y252">
        <f>IF($AH252="","",INDEX(Calc!$I$2:$I$1601,$AH252)&amp;" - "&amp;INDEX(Calc!$D$2:$D$1601,$AH252)&amp;" koli")</f>
        <v/>
      </c>
      <c r="Z252">
        <f>IF($AG252="","",Config!$B$21)</f>
        <v/>
      </c>
      <c r="AA252">
        <f>IF($AG252="","",Config!$B$22)</f>
        <v/>
      </c>
      <c r="AB252">
        <f>IF($AH252="","",INDEX(Calc!$D$2:$D$1601,$AH252))</f>
        <v/>
      </c>
      <c r="AC252">
        <f>IF($AH252="","",INDEX(Calc!$G$2:$G$1601,$AH252))</f>
        <v/>
      </c>
      <c r="AD252">
        <f>IF($AG252="","",Config!$B$23)</f>
        <v/>
      </c>
      <c r="AE252">
        <f>IF($AG252="","",Config!$B$28)</f>
        <v/>
      </c>
      <c r="AG252">
        <f>IFERROR(MATCH(ROW()-1,Calc!$J$2:$J$1601,0),"")</f>
        <v/>
      </c>
      <c r="AH252">
        <f>IFERROR(MATCH(ROW()-1,Calc!$K$2:$K$1601,0),"")</f>
        <v/>
      </c>
      <c r="AI252">
        <f>IF($AG252="","",SUMIF($AG$2:$AG252,$AG252,$AH$2:$AH252))</f>
        <v/>
      </c>
      <c r="AJ252">
        <f>IF('TMP Paste'!$F252="","",IF('TMP Paste'!$B252="",$AJ251,'TMP Paste'!$B252))</f>
        <v/>
      </c>
      <c r="AK252">
        <f>IF('TMP Paste'!$F252="","",N('TMP Paste'!$G252))</f>
        <v/>
      </c>
      <c r="AL252">
        <f>IF('TMP Paste'!$F252="","",IF('TMP Paste'!$M252="",$AL251,'TMP Paste'!$M252))</f>
        <v/>
      </c>
      <c r="AM252">
        <f>IF('TMP Paste'!$F252="","",IF('TMP Paste'!$N252="",$AM251,'TMP Paste'!$N252))</f>
        <v/>
      </c>
      <c r="AN252">
        <f>IF('TMP Paste'!$F252="","",IF('TMP Paste'!$O252="",$AN251,'TMP Paste'!$O252))</f>
        <v/>
      </c>
      <c r="AO252">
        <f>IF('TMP Paste'!$F252="","",IF('TMP Paste'!$P252="",$AO251,'TMP Paste'!$P252))</f>
        <v/>
      </c>
      <c r="AP252">
        <f>IF($AG252="","",LEN($R252))</f>
        <v/>
      </c>
      <c r="AQ252">
        <f>IF($AG252="","",TRIM(IF(COUNTIFS(Calc!$B$2:$B$1601,ROW()-1,Calc!$C$2:$C$1601,"&lt;1")&gt;0,"Ada PO tanpa Koli - cek TMP. ","")&amp;IF(LEN($R252)&gt;500,"R &gt; 500 karakter.","")))</f>
        <v/>
      </c>
    </row>
    <row r="253">
      <c r="A253">
        <f>IF($AG253="","",INDEX('TMP Paste'!$B$2:$B$1601,$AG253))</f>
        <v/>
      </c>
      <c r="B253">
        <f>IF($AG253="","",Config!$B$14)</f>
        <v/>
      </c>
      <c r="C253">
        <f>IF($AG253="","",Config!$B$15)</f>
        <v/>
      </c>
      <c r="D253">
        <f>IF($AG253="","",INDEX('TMP Paste'!$B$2:$B$1601,$AG253))</f>
        <v/>
      </c>
      <c r="E253">
        <f>IF($AG253="","",Config!$B$27)</f>
        <v/>
      </c>
      <c r="F253">
        <f>IF($AG253="","",Config!$B$9)</f>
        <v/>
      </c>
      <c r="G253">
        <f>IF($AG253="","",Config!$B$10)</f>
        <v/>
      </c>
      <c r="H253">
        <f>IF($AG253="","",Config!$B$11)</f>
        <v/>
      </c>
      <c r="I253">
        <f>IF($AG253="","",Config!$B$16)</f>
        <v/>
      </c>
      <c r="J253">
        <f>IF($AG253="","",INDEX('TMP Paste'!$A$2:$A$1601,$AG253))</f>
        <v/>
      </c>
      <c r="K253">
        <f>IF($AG253="","",INDEX('TMP Paste'!$L$2:$L$1601,$AG253))</f>
        <v/>
      </c>
      <c r="L253">
        <f>IF($AG253="","",INDEX('TMP Paste'!$I$2:$I$1601,$AG253))</f>
        <v/>
      </c>
      <c r="M253">
        <f>IF($AG253="","",Config!$B$16)</f>
        <v/>
      </c>
      <c r="N253">
        <f>IF($AG253="","","")</f>
        <v/>
      </c>
      <c r="O253">
        <f>IF($AG253="","",INDEX('TMP Paste'!$K$2:$K$1601,$AG253))</f>
        <v/>
      </c>
      <c r="P253">
        <f>IF($AG253="","","")</f>
        <v/>
      </c>
      <c r="Q253">
        <f>IF($AG253="","",INDEX('TMP Paste'!$J$2:$J$1601,$AG253))</f>
        <v/>
      </c>
      <c r="R253">
        <f>IF($AG253="","",Config!$B$24)</f>
        <v/>
      </c>
      <c r="S253">
        <f>IF($AG253="","",TEXT(Config!$B$4,"yyyy-mm-dd"))</f>
        <v/>
      </c>
      <c r="T253">
        <f>IF($AG253="","",Config!$B$17)</f>
        <v/>
      </c>
      <c r="U253">
        <f>IF($AG253="","",Config!$B$18)</f>
        <v/>
      </c>
      <c r="V253">
        <f>IF($AG253="","",Config!$B$19)</f>
        <v/>
      </c>
      <c r="W253">
        <f>IF($AG253="","",INDEX('TMP Paste'!$C$2:$C$1601,$AG253))</f>
        <v/>
      </c>
      <c r="X253">
        <f>IF($AG253="","",Config!$B$29)</f>
        <v/>
      </c>
      <c r="Y253">
        <f>IF($AH253="","",INDEX(Calc!$I$2:$I$1601,$AH253)&amp;" - "&amp;INDEX(Calc!$D$2:$D$1601,$AH253)&amp;" koli")</f>
        <v/>
      </c>
      <c r="Z253">
        <f>IF($AG253="","",Config!$B$21)</f>
        <v/>
      </c>
      <c r="AA253">
        <f>IF($AG253="","",Config!$B$22)</f>
        <v/>
      </c>
      <c r="AB253">
        <f>IF($AH253="","",INDEX(Calc!$D$2:$D$1601,$AH253))</f>
        <v/>
      </c>
      <c r="AC253">
        <f>IF($AH253="","",INDEX(Calc!$G$2:$G$1601,$AH253))</f>
        <v/>
      </c>
      <c r="AD253">
        <f>IF($AG253="","",Config!$B$23)</f>
        <v/>
      </c>
      <c r="AE253">
        <f>IF($AG253="","",Config!$B$28)</f>
        <v/>
      </c>
      <c r="AG253">
        <f>IFERROR(MATCH(ROW()-1,Calc!$J$2:$J$1601,0),"")</f>
        <v/>
      </c>
      <c r="AH253">
        <f>IFERROR(MATCH(ROW()-1,Calc!$K$2:$K$1601,0),"")</f>
        <v/>
      </c>
      <c r="AI253">
        <f>IF($AG253="","",SUMIF($AG$2:$AG253,$AG253,$AH$2:$AH253))</f>
        <v/>
      </c>
      <c r="AJ253">
        <f>IF('TMP Paste'!$F253="","",IF('TMP Paste'!$B253="",$AJ252,'TMP Paste'!$B253))</f>
        <v/>
      </c>
      <c r="AK253">
        <f>IF('TMP Paste'!$F253="","",N('TMP Paste'!$G253))</f>
        <v/>
      </c>
      <c r="AL253">
        <f>IF('TMP Paste'!$F253="","",IF('TMP Paste'!$M253="",$AL252,'TMP Paste'!$M253))</f>
        <v/>
      </c>
      <c r="AM253">
        <f>IF('TMP Paste'!$F253="","",IF('TMP Paste'!$N253="",$AM252,'TMP Paste'!$N253))</f>
        <v/>
      </c>
      <c r="AN253">
        <f>IF('TMP Paste'!$F253="","",IF('TMP Paste'!$O253="",$AN252,'TMP Paste'!$O253))</f>
        <v/>
      </c>
      <c r="AO253">
        <f>IF('TMP Paste'!$F253="","",IF('TMP Paste'!$P253="",$AO252,'TMP Paste'!$P253))</f>
        <v/>
      </c>
      <c r="AP253">
        <f>IF($AG253="","",LEN($R253))</f>
        <v/>
      </c>
      <c r="AQ253">
        <f>IF($AG253="","",TRIM(IF(COUNTIFS(Calc!$B$2:$B$1601,ROW()-1,Calc!$C$2:$C$1601,"&lt;1")&gt;0,"Ada PO tanpa Koli - cek TMP. ","")&amp;IF(LEN($R253)&gt;500,"R &gt; 500 karakter.","")))</f>
        <v/>
      </c>
    </row>
    <row r="254">
      <c r="A254">
        <f>IF($AG254="","",INDEX('TMP Paste'!$B$2:$B$1601,$AG254))</f>
        <v/>
      </c>
      <c r="B254">
        <f>IF($AG254="","",Config!$B$14)</f>
        <v/>
      </c>
      <c r="C254">
        <f>IF($AG254="","",Config!$B$15)</f>
        <v/>
      </c>
      <c r="D254">
        <f>IF($AG254="","",INDEX('TMP Paste'!$B$2:$B$1601,$AG254))</f>
        <v/>
      </c>
      <c r="E254">
        <f>IF($AG254="","",Config!$B$27)</f>
        <v/>
      </c>
      <c r="F254">
        <f>IF($AG254="","",Config!$B$9)</f>
        <v/>
      </c>
      <c r="G254">
        <f>IF($AG254="","",Config!$B$10)</f>
        <v/>
      </c>
      <c r="H254">
        <f>IF($AG254="","",Config!$B$11)</f>
        <v/>
      </c>
      <c r="I254">
        <f>IF($AG254="","",Config!$B$16)</f>
        <v/>
      </c>
      <c r="J254">
        <f>IF($AG254="","",INDEX('TMP Paste'!$A$2:$A$1601,$AG254))</f>
        <v/>
      </c>
      <c r="K254">
        <f>IF($AG254="","",INDEX('TMP Paste'!$L$2:$L$1601,$AG254))</f>
        <v/>
      </c>
      <c r="L254">
        <f>IF($AG254="","",INDEX('TMP Paste'!$I$2:$I$1601,$AG254))</f>
        <v/>
      </c>
      <c r="M254">
        <f>IF($AG254="","",Config!$B$16)</f>
        <v/>
      </c>
      <c r="N254">
        <f>IF($AG254="","","")</f>
        <v/>
      </c>
      <c r="O254">
        <f>IF($AG254="","",INDEX('TMP Paste'!$K$2:$K$1601,$AG254))</f>
        <v/>
      </c>
      <c r="P254">
        <f>IF($AG254="","","")</f>
        <v/>
      </c>
      <c r="Q254">
        <f>IF($AG254="","",INDEX('TMP Paste'!$J$2:$J$1601,$AG254))</f>
        <v/>
      </c>
      <c r="R254">
        <f>IF($AG254="","",Config!$B$24)</f>
        <v/>
      </c>
      <c r="S254">
        <f>IF($AG254="","",TEXT(Config!$B$4,"yyyy-mm-dd"))</f>
        <v/>
      </c>
      <c r="T254">
        <f>IF($AG254="","",Config!$B$17)</f>
        <v/>
      </c>
      <c r="U254">
        <f>IF($AG254="","",Config!$B$18)</f>
        <v/>
      </c>
      <c r="V254">
        <f>IF($AG254="","",Config!$B$19)</f>
        <v/>
      </c>
      <c r="W254">
        <f>IF($AG254="","",INDEX('TMP Paste'!$C$2:$C$1601,$AG254))</f>
        <v/>
      </c>
      <c r="X254">
        <f>IF($AG254="","",Config!$B$29)</f>
        <v/>
      </c>
      <c r="Y254">
        <f>IF($AH254="","",INDEX(Calc!$I$2:$I$1601,$AH254)&amp;" - "&amp;INDEX(Calc!$D$2:$D$1601,$AH254)&amp;" koli")</f>
        <v/>
      </c>
      <c r="Z254">
        <f>IF($AG254="","",Config!$B$21)</f>
        <v/>
      </c>
      <c r="AA254">
        <f>IF($AG254="","",Config!$B$22)</f>
        <v/>
      </c>
      <c r="AB254">
        <f>IF($AH254="","",INDEX(Calc!$D$2:$D$1601,$AH254))</f>
        <v/>
      </c>
      <c r="AC254">
        <f>IF($AH254="","",INDEX(Calc!$G$2:$G$1601,$AH254))</f>
        <v/>
      </c>
      <c r="AD254">
        <f>IF($AG254="","",Config!$B$23)</f>
        <v/>
      </c>
      <c r="AE254">
        <f>IF($AG254="","",Config!$B$28)</f>
        <v/>
      </c>
      <c r="AG254">
        <f>IFERROR(MATCH(ROW()-1,Calc!$J$2:$J$1601,0),"")</f>
        <v/>
      </c>
      <c r="AH254">
        <f>IFERROR(MATCH(ROW()-1,Calc!$K$2:$K$1601,0),"")</f>
        <v/>
      </c>
      <c r="AI254">
        <f>IF($AG254="","",SUMIF($AG$2:$AG254,$AG254,$AH$2:$AH254))</f>
        <v/>
      </c>
      <c r="AJ254">
        <f>IF('TMP Paste'!$F254="","",IF('TMP Paste'!$B254="",$AJ253,'TMP Paste'!$B254))</f>
        <v/>
      </c>
      <c r="AK254">
        <f>IF('TMP Paste'!$F254="","",N('TMP Paste'!$G254))</f>
        <v/>
      </c>
      <c r="AL254">
        <f>IF('TMP Paste'!$F254="","",IF('TMP Paste'!$M254="",$AL253,'TMP Paste'!$M254))</f>
        <v/>
      </c>
      <c r="AM254">
        <f>IF('TMP Paste'!$F254="","",IF('TMP Paste'!$N254="",$AM253,'TMP Paste'!$N254))</f>
        <v/>
      </c>
      <c r="AN254">
        <f>IF('TMP Paste'!$F254="","",IF('TMP Paste'!$O254="",$AN253,'TMP Paste'!$O254))</f>
        <v/>
      </c>
      <c r="AO254">
        <f>IF('TMP Paste'!$F254="","",IF('TMP Paste'!$P254="",$AO253,'TMP Paste'!$P254))</f>
        <v/>
      </c>
      <c r="AP254">
        <f>IF($AG254="","",LEN($R254))</f>
        <v/>
      </c>
      <c r="AQ254">
        <f>IF($AG254="","",TRIM(IF(COUNTIFS(Calc!$B$2:$B$1601,ROW()-1,Calc!$C$2:$C$1601,"&lt;1")&gt;0,"Ada PO tanpa Koli - cek TMP. ","")&amp;IF(LEN($R254)&gt;500,"R &gt; 500 karakter.","")))</f>
        <v/>
      </c>
    </row>
    <row r="255">
      <c r="A255">
        <f>IF($AG255="","",INDEX('TMP Paste'!$B$2:$B$1601,$AG255))</f>
        <v/>
      </c>
      <c r="B255">
        <f>IF($AG255="","",Config!$B$14)</f>
        <v/>
      </c>
      <c r="C255">
        <f>IF($AG255="","",Config!$B$15)</f>
        <v/>
      </c>
      <c r="D255">
        <f>IF($AG255="","",INDEX('TMP Paste'!$B$2:$B$1601,$AG255))</f>
        <v/>
      </c>
      <c r="E255">
        <f>IF($AG255="","",Config!$B$27)</f>
        <v/>
      </c>
      <c r="F255">
        <f>IF($AG255="","",Config!$B$9)</f>
        <v/>
      </c>
      <c r="G255">
        <f>IF($AG255="","",Config!$B$10)</f>
        <v/>
      </c>
      <c r="H255">
        <f>IF($AG255="","",Config!$B$11)</f>
        <v/>
      </c>
      <c r="I255">
        <f>IF($AG255="","",Config!$B$16)</f>
        <v/>
      </c>
      <c r="J255">
        <f>IF($AG255="","",INDEX('TMP Paste'!$A$2:$A$1601,$AG255))</f>
        <v/>
      </c>
      <c r="K255">
        <f>IF($AG255="","",INDEX('TMP Paste'!$L$2:$L$1601,$AG255))</f>
        <v/>
      </c>
      <c r="L255">
        <f>IF($AG255="","",INDEX('TMP Paste'!$I$2:$I$1601,$AG255))</f>
        <v/>
      </c>
      <c r="M255">
        <f>IF($AG255="","",Config!$B$16)</f>
        <v/>
      </c>
      <c r="N255">
        <f>IF($AG255="","","")</f>
        <v/>
      </c>
      <c r="O255">
        <f>IF($AG255="","",INDEX('TMP Paste'!$K$2:$K$1601,$AG255))</f>
        <v/>
      </c>
      <c r="P255">
        <f>IF($AG255="","","")</f>
        <v/>
      </c>
      <c r="Q255">
        <f>IF($AG255="","",INDEX('TMP Paste'!$J$2:$J$1601,$AG255))</f>
        <v/>
      </c>
      <c r="R255">
        <f>IF($AG255="","",Config!$B$24)</f>
        <v/>
      </c>
      <c r="S255">
        <f>IF($AG255="","",TEXT(Config!$B$4,"yyyy-mm-dd"))</f>
        <v/>
      </c>
      <c r="T255">
        <f>IF($AG255="","",Config!$B$17)</f>
        <v/>
      </c>
      <c r="U255">
        <f>IF($AG255="","",Config!$B$18)</f>
        <v/>
      </c>
      <c r="V255">
        <f>IF($AG255="","",Config!$B$19)</f>
        <v/>
      </c>
      <c r="W255">
        <f>IF($AG255="","",INDEX('TMP Paste'!$C$2:$C$1601,$AG255))</f>
        <v/>
      </c>
      <c r="X255">
        <f>IF($AG255="","",Config!$B$29)</f>
        <v/>
      </c>
      <c r="Y255">
        <f>IF($AH255="","",INDEX(Calc!$I$2:$I$1601,$AH255)&amp;" - "&amp;INDEX(Calc!$D$2:$D$1601,$AH255)&amp;" koli")</f>
        <v/>
      </c>
      <c r="Z255">
        <f>IF($AG255="","",Config!$B$21)</f>
        <v/>
      </c>
      <c r="AA255">
        <f>IF($AG255="","",Config!$B$22)</f>
        <v/>
      </c>
      <c r="AB255">
        <f>IF($AH255="","",INDEX(Calc!$D$2:$D$1601,$AH255))</f>
        <v/>
      </c>
      <c r="AC255">
        <f>IF($AH255="","",INDEX(Calc!$G$2:$G$1601,$AH255))</f>
        <v/>
      </c>
      <c r="AD255">
        <f>IF($AG255="","",Config!$B$23)</f>
        <v/>
      </c>
      <c r="AE255">
        <f>IF($AG255="","",Config!$B$28)</f>
        <v/>
      </c>
      <c r="AG255">
        <f>IFERROR(MATCH(ROW()-1,Calc!$J$2:$J$1601,0),"")</f>
        <v/>
      </c>
      <c r="AH255">
        <f>IFERROR(MATCH(ROW()-1,Calc!$K$2:$K$1601,0),"")</f>
        <v/>
      </c>
      <c r="AI255">
        <f>IF($AG255="","",SUMIF($AG$2:$AG255,$AG255,$AH$2:$AH255))</f>
        <v/>
      </c>
      <c r="AJ255">
        <f>IF('TMP Paste'!$F255="","",IF('TMP Paste'!$B255="",$AJ254,'TMP Paste'!$B255))</f>
        <v/>
      </c>
      <c r="AK255">
        <f>IF('TMP Paste'!$F255="","",N('TMP Paste'!$G255))</f>
        <v/>
      </c>
      <c r="AL255">
        <f>IF('TMP Paste'!$F255="","",IF('TMP Paste'!$M255="",$AL254,'TMP Paste'!$M255))</f>
        <v/>
      </c>
      <c r="AM255">
        <f>IF('TMP Paste'!$F255="","",IF('TMP Paste'!$N255="",$AM254,'TMP Paste'!$N255))</f>
        <v/>
      </c>
      <c r="AN255">
        <f>IF('TMP Paste'!$F255="","",IF('TMP Paste'!$O255="",$AN254,'TMP Paste'!$O255))</f>
        <v/>
      </c>
      <c r="AO255">
        <f>IF('TMP Paste'!$F255="","",IF('TMP Paste'!$P255="",$AO254,'TMP Paste'!$P255))</f>
        <v/>
      </c>
      <c r="AP255">
        <f>IF($AG255="","",LEN($R255))</f>
        <v/>
      </c>
      <c r="AQ255">
        <f>IF($AG255="","",TRIM(IF(COUNTIFS(Calc!$B$2:$B$1601,ROW()-1,Calc!$C$2:$C$1601,"&lt;1")&gt;0,"Ada PO tanpa Koli - cek TMP. ","")&amp;IF(LEN($R255)&gt;500,"R &gt; 500 karakter.","")))</f>
        <v/>
      </c>
    </row>
    <row r="256">
      <c r="A256">
        <f>IF($AG256="","",INDEX('TMP Paste'!$B$2:$B$1601,$AG256))</f>
        <v/>
      </c>
      <c r="B256">
        <f>IF($AG256="","",Config!$B$14)</f>
        <v/>
      </c>
      <c r="C256">
        <f>IF($AG256="","",Config!$B$15)</f>
        <v/>
      </c>
      <c r="D256">
        <f>IF($AG256="","",INDEX('TMP Paste'!$B$2:$B$1601,$AG256))</f>
        <v/>
      </c>
      <c r="E256">
        <f>IF($AG256="","",Config!$B$27)</f>
        <v/>
      </c>
      <c r="F256">
        <f>IF($AG256="","",Config!$B$9)</f>
        <v/>
      </c>
      <c r="G256">
        <f>IF($AG256="","",Config!$B$10)</f>
        <v/>
      </c>
      <c r="H256">
        <f>IF($AG256="","",Config!$B$11)</f>
        <v/>
      </c>
      <c r="I256">
        <f>IF($AG256="","",Config!$B$16)</f>
        <v/>
      </c>
      <c r="J256">
        <f>IF($AG256="","",INDEX('TMP Paste'!$A$2:$A$1601,$AG256))</f>
        <v/>
      </c>
      <c r="K256">
        <f>IF($AG256="","",INDEX('TMP Paste'!$L$2:$L$1601,$AG256))</f>
        <v/>
      </c>
      <c r="L256">
        <f>IF($AG256="","",INDEX('TMP Paste'!$I$2:$I$1601,$AG256))</f>
        <v/>
      </c>
      <c r="M256">
        <f>IF($AG256="","",Config!$B$16)</f>
        <v/>
      </c>
      <c r="N256">
        <f>IF($AG256="","","")</f>
        <v/>
      </c>
      <c r="O256">
        <f>IF($AG256="","",INDEX('TMP Paste'!$K$2:$K$1601,$AG256))</f>
        <v/>
      </c>
      <c r="P256">
        <f>IF($AG256="","","")</f>
        <v/>
      </c>
      <c r="Q256">
        <f>IF($AG256="","",INDEX('TMP Paste'!$J$2:$J$1601,$AG256))</f>
        <v/>
      </c>
      <c r="R256">
        <f>IF($AG256="","",Config!$B$24)</f>
        <v/>
      </c>
      <c r="S256">
        <f>IF($AG256="","",TEXT(Config!$B$4,"yyyy-mm-dd"))</f>
        <v/>
      </c>
      <c r="T256">
        <f>IF($AG256="","",Config!$B$17)</f>
        <v/>
      </c>
      <c r="U256">
        <f>IF($AG256="","",Config!$B$18)</f>
        <v/>
      </c>
      <c r="V256">
        <f>IF($AG256="","",Config!$B$19)</f>
        <v/>
      </c>
      <c r="W256">
        <f>IF($AG256="","",INDEX('TMP Paste'!$C$2:$C$1601,$AG256))</f>
        <v/>
      </c>
      <c r="X256">
        <f>IF($AG256="","",Config!$B$29)</f>
        <v/>
      </c>
      <c r="Y256">
        <f>IF($AH256="","",INDEX(Calc!$I$2:$I$1601,$AH256)&amp;" - "&amp;INDEX(Calc!$D$2:$D$1601,$AH256)&amp;" koli")</f>
        <v/>
      </c>
      <c r="Z256">
        <f>IF($AG256="","",Config!$B$21)</f>
        <v/>
      </c>
      <c r="AA256">
        <f>IF($AG256="","",Config!$B$22)</f>
        <v/>
      </c>
      <c r="AB256">
        <f>IF($AH256="","",INDEX(Calc!$D$2:$D$1601,$AH256))</f>
        <v/>
      </c>
      <c r="AC256">
        <f>IF($AH256="","",INDEX(Calc!$G$2:$G$1601,$AH256))</f>
        <v/>
      </c>
      <c r="AD256">
        <f>IF($AG256="","",Config!$B$23)</f>
        <v/>
      </c>
      <c r="AE256">
        <f>IF($AG256="","",Config!$B$28)</f>
        <v/>
      </c>
      <c r="AG256">
        <f>IFERROR(MATCH(ROW()-1,Calc!$J$2:$J$1601,0),"")</f>
        <v/>
      </c>
      <c r="AH256">
        <f>IFERROR(MATCH(ROW()-1,Calc!$K$2:$K$1601,0),"")</f>
        <v/>
      </c>
      <c r="AI256">
        <f>IF($AG256="","",SUMIF($AG$2:$AG256,$AG256,$AH$2:$AH256))</f>
        <v/>
      </c>
      <c r="AJ256">
        <f>IF('TMP Paste'!$F256="","",IF('TMP Paste'!$B256="",$AJ255,'TMP Paste'!$B256))</f>
        <v/>
      </c>
      <c r="AK256">
        <f>IF('TMP Paste'!$F256="","",N('TMP Paste'!$G256))</f>
        <v/>
      </c>
      <c r="AL256">
        <f>IF('TMP Paste'!$F256="","",IF('TMP Paste'!$M256="",$AL255,'TMP Paste'!$M256))</f>
        <v/>
      </c>
      <c r="AM256">
        <f>IF('TMP Paste'!$F256="","",IF('TMP Paste'!$N256="",$AM255,'TMP Paste'!$N256))</f>
        <v/>
      </c>
      <c r="AN256">
        <f>IF('TMP Paste'!$F256="","",IF('TMP Paste'!$O256="",$AN255,'TMP Paste'!$O256))</f>
        <v/>
      </c>
      <c r="AO256">
        <f>IF('TMP Paste'!$F256="","",IF('TMP Paste'!$P256="",$AO255,'TMP Paste'!$P256))</f>
        <v/>
      </c>
      <c r="AP256">
        <f>IF($AG256="","",LEN($R256))</f>
        <v/>
      </c>
      <c r="AQ256">
        <f>IF($AG256="","",TRIM(IF(COUNTIFS(Calc!$B$2:$B$1601,ROW()-1,Calc!$C$2:$C$1601,"&lt;1")&gt;0,"Ada PO tanpa Koli - cek TMP. ","")&amp;IF(LEN($R256)&gt;500,"R &gt; 500 karakter.","")))</f>
        <v/>
      </c>
    </row>
    <row r="257">
      <c r="A257">
        <f>IF($AG257="","",INDEX('TMP Paste'!$B$2:$B$1601,$AG257))</f>
        <v/>
      </c>
      <c r="B257">
        <f>IF($AG257="","",Config!$B$14)</f>
        <v/>
      </c>
      <c r="C257">
        <f>IF($AG257="","",Config!$B$15)</f>
        <v/>
      </c>
      <c r="D257">
        <f>IF($AG257="","",INDEX('TMP Paste'!$B$2:$B$1601,$AG257))</f>
        <v/>
      </c>
      <c r="E257">
        <f>IF($AG257="","",Config!$B$27)</f>
        <v/>
      </c>
      <c r="F257">
        <f>IF($AG257="","",Config!$B$9)</f>
        <v/>
      </c>
      <c r="G257">
        <f>IF($AG257="","",Config!$B$10)</f>
        <v/>
      </c>
      <c r="H257">
        <f>IF($AG257="","",Config!$B$11)</f>
        <v/>
      </c>
      <c r="I257">
        <f>IF($AG257="","",Config!$B$16)</f>
        <v/>
      </c>
      <c r="J257">
        <f>IF($AG257="","",INDEX('TMP Paste'!$A$2:$A$1601,$AG257))</f>
        <v/>
      </c>
      <c r="K257">
        <f>IF($AG257="","",INDEX('TMP Paste'!$L$2:$L$1601,$AG257))</f>
        <v/>
      </c>
      <c r="L257">
        <f>IF($AG257="","",INDEX('TMP Paste'!$I$2:$I$1601,$AG257))</f>
        <v/>
      </c>
      <c r="M257">
        <f>IF($AG257="","",Config!$B$16)</f>
        <v/>
      </c>
      <c r="N257">
        <f>IF($AG257="","","")</f>
        <v/>
      </c>
      <c r="O257">
        <f>IF($AG257="","",INDEX('TMP Paste'!$K$2:$K$1601,$AG257))</f>
        <v/>
      </c>
      <c r="P257">
        <f>IF($AG257="","","")</f>
        <v/>
      </c>
      <c r="Q257">
        <f>IF($AG257="","",INDEX('TMP Paste'!$J$2:$J$1601,$AG257))</f>
        <v/>
      </c>
      <c r="R257">
        <f>IF($AG257="","",Config!$B$24)</f>
        <v/>
      </c>
      <c r="S257">
        <f>IF($AG257="","",TEXT(Config!$B$4,"yyyy-mm-dd"))</f>
        <v/>
      </c>
      <c r="T257">
        <f>IF($AG257="","",Config!$B$17)</f>
        <v/>
      </c>
      <c r="U257">
        <f>IF($AG257="","",Config!$B$18)</f>
        <v/>
      </c>
      <c r="V257">
        <f>IF($AG257="","",Config!$B$19)</f>
        <v/>
      </c>
      <c r="W257">
        <f>IF($AG257="","",INDEX('TMP Paste'!$C$2:$C$1601,$AG257))</f>
        <v/>
      </c>
      <c r="X257">
        <f>IF($AG257="","",Config!$B$29)</f>
        <v/>
      </c>
      <c r="Y257">
        <f>IF($AH257="","",INDEX(Calc!$I$2:$I$1601,$AH257)&amp;" - "&amp;INDEX(Calc!$D$2:$D$1601,$AH257)&amp;" koli")</f>
        <v/>
      </c>
      <c r="Z257">
        <f>IF($AG257="","",Config!$B$21)</f>
        <v/>
      </c>
      <c r="AA257">
        <f>IF($AG257="","",Config!$B$22)</f>
        <v/>
      </c>
      <c r="AB257">
        <f>IF($AH257="","",INDEX(Calc!$D$2:$D$1601,$AH257))</f>
        <v/>
      </c>
      <c r="AC257">
        <f>IF($AH257="","",INDEX(Calc!$G$2:$G$1601,$AH257))</f>
        <v/>
      </c>
      <c r="AD257">
        <f>IF($AG257="","",Config!$B$23)</f>
        <v/>
      </c>
      <c r="AE257">
        <f>IF($AG257="","",Config!$B$28)</f>
        <v/>
      </c>
      <c r="AG257">
        <f>IFERROR(MATCH(ROW()-1,Calc!$J$2:$J$1601,0),"")</f>
        <v/>
      </c>
      <c r="AH257">
        <f>IFERROR(MATCH(ROW()-1,Calc!$K$2:$K$1601,0),"")</f>
        <v/>
      </c>
      <c r="AI257">
        <f>IF($AG257="","",SUMIF($AG$2:$AG257,$AG257,$AH$2:$AH257))</f>
        <v/>
      </c>
      <c r="AJ257">
        <f>IF('TMP Paste'!$F257="","",IF('TMP Paste'!$B257="",$AJ256,'TMP Paste'!$B257))</f>
        <v/>
      </c>
      <c r="AK257">
        <f>IF('TMP Paste'!$F257="","",N('TMP Paste'!$G257))</f>
        <v/>
      </c>
      <c r="AL257">
        <f>IF('TMP Paste'!$F257="","",IF('TMP Paste'!$M257="",$AL256,'TMP Paste'!$M257))</f>
        <v/>
      </c>
      <c r="AM257">
        <f>IF('TMP Paste'!$F257="","",IF('TMP Paste'!$N257="",$AM256,'TMP Paste'!$N257))</f>
        <v/>
      </c>
      <c r="AN257">
        <f>IF('TMP Paste'!$F257="","",IF('TMP Paste'!$O257="",$AN256,'TMP Paste'!$O257))</f>
        <v/>
      </c>
      <c r="AO257">
        <f>IF('TMP Paste'!$F257="","",IF('TMP Paste'!$P257="",$AO256,'TMP Paste'!$P257))</f>
        <v/>
      </c>
      <c r="AP257">
        <f>IF($AG257="","",LEN($R257))</f>
        <v/>
      </c>
      <c r="AQ257">
        <f>IF($AG257="","",TRIM(IF(COUNTIFS(Calc!$B$2:$B$1601,ROW()-1,Calc!$C$2:$C$1601,"&lt;1")&gt;0,"Ada PO tanpa Koli - cek TMP. ","")&amp;IF(LEN($R257)&gt;500,"R &gt; 500 karakter.","")))</f>
        <v/>
      </c>
    </row>
    <row r="258">
      <c r="A258">
        <f>IF($AG258="","",INDEX('TMP Paste'!$B$2:$B$1601,$AG258))</f>
        <v/>
      </c>
      <c r="B258">
        <f>IF($AG258="","",Config!$B$14)</f>
        <v/>
      </c>
      <c r="C258">
        <f>IF($AG258="","",Config!$B$15)</f>
        <v/>
      </c>
      <c r="D258">
        <f>IF($AG258="","",INDEX('TMP Paste'!$B$2:$B$1601,$AG258))</f>
        <v/>
      </c>
      <c r="E258">
        <f>IF($AG258="","",Config!$B$27)</f>
        <v/>
      </c>
      <c r="F258">
        <f>IF($AG258="","",Config!$B$9)</f>
        <v/>
      </c>
      <c r="G258">
        <f>IF($AG258="","",Config!$B$10)</f>
        <v/>
      </c>
      <c r="H258">
        <f>IF($AG258="","",Config!$B$11)</f>
        <v/>
      </c>
      <c r="I258">
        <f>IF($AG258="","",Config!$B$16)</f>
        <v/>
      </c>
      <c r="J258">
        <f>IF($AG258="","",INDEX('TMP Paste'!$A$2:$A$1601,$AG258))</f>
        <v/>
      </c>
      <c r="K258">
        <f>IF($AG258="","",INDEX('TMP Paste'!$L$2:$L$1601,$AG258))</f>
        <v/>
      </c>
      <c r="L258">
        <f>IF($AG258="","",INDEX('TMP Paste'!$I$2:$I$1601,$AG258))</f>
        <v/>
      </c>
      <c r="M258">
        <f>IF($AG258="","",Config!$B$16)</f>
        <v/>
      </c>
      <c r="N258">
        <f>IF($AG258="","","")</f>
        <v/>
      </c>
      <c r="O258">
        <f>IF($AG258="","",INDEX('TMP Paste'!$K$2:$K$1601,$AG258))</f>
        <v/>
      </c>
      <c r="P258">
        <f>IF($AG258="","","")</f>
        <v/>
      </c>
      <c r="Q258">
        <f>IF($AG258="","",INDEX('TMP Paste'!$J$2:$J$1601,$AG258))</f>
        <v/>
      </c>
      <c r="R258">
        <f>IF($AG258="","",Config!$B$24)</f>
        <v/>
      </c>
      <c r="S258">
        <f>IF($AG258="","",TEXT(Config!$B$4,"yyyy-mm-dd"))</f>
        <v/>
      </c>
      <c r="T258">
        <f>IF($AG258="","",Config!$B$17)</f>
        <v/>
      </c>
      <c r="U258">
        <f>IF($AG258="","",Config!$B$18)</f>
        <v/>
      </c>
      <c r="V258">
        <f>IF($AG258="","",Config!$B$19)</f>
        <v/>
      </c>
      <c r="W258">
        <f>IF($AG258="","",INDEX('TMP Paste'!$C$2:$C$1601,$AG258))</f>
        <v/>
      </c>
      <c r="X258">
        <f>IF($AG258="","",Config!$B$29)</f>
        <v/>
      </c>
      <c r="Y258">
        <f>IF($AH258="","",INDEX(Calc!$I$2:$I$1601,$AH258)&amp;" - "&amp;INDEX(Calc!$D$2:$D$1601,$AH258)&amp;" koli")</f>
        <v/>
      </c>
      <c r="Z258">
        <f>IF($AG258="","",Config!$B$21)</f>
        <v/>
      </c>
      <c r="AA258">
        <f>IF($AG258="","",Config!$B$22)</f>
        <v/>
      </c>
      <c r="AB258">
        <f>IF($AH258="","",INDEX(Calc!$D$2:$D$1601,$AH258))</f>
        <v/>
      </c>
      <c r="AC258">
        <f>IF($AH258="","",INDEX(Calc!$G$2:$G$1601,$AH258))</f>
        <v/>
      </c>
      <c r="AD258">
        <f>IF($AG258="","",Config!$B$23)</f>
        <v/>
      </c>
      <c r="AE258">
        <f>IF($AG258="","",Config!$B$28)</f>
        <v/>
      </c>
      <c r="AG258">
        <f>IFERROR(MATCH(ROW()-1,Calc!$J$2:$J$1601,0),"")</f>
        <v/>
      </c>
      <c r="AH258">
        <f>IFERROR(MATCH(ROW()-1,Calc!$K$2:$K$1601,0),"")</f>
        <v/>
      </c>
      <c r="AI258">
        <f>IF($AG258="","",SUMIF($AG$2:$AG258,$AG258,$AH$2:$AH258))</f>
        <v/>
      </c>
      <c r="AJ258">
        <f>IF('TMP Paste'!$F258="","",IF('TMP Paste'!$B258="",$AJ257,'TMP Paste'!$B258))</f>
        <v/>
      </c>
      <c r="AK258">
        <f>IF('TMP Paste'!$F258="","",N('TMP Paste'!$G258))</f>
        <v/>
      </c>
      <c r="AL258">
        <f>IF('TMP Paste'!$F258="","",IF('TMP Paste'!$M258="",$AL257,'TMP Paste'!$M258))</f>
        <v/>
      </c>
      <c r="AM258">
        <f>IF('TMP Paste'!$F258="","",IF('TMP Paste'!$N258="",$AM257,'TMP Paste'!$N258))</f>
        <v/>
      </c>
      <c r="AN258">
        <f>IF('TMP Paste'!$F258="","",IF('TMP Paste'!$O258="",$AN257,'TMP Paste'!$O258))</f>
        <v/>
      </c>
      <c r="AO258">
        <f>IF('TMP Paste'!$F258="","",IF('TMP Paste'!$P258="",$AO257,'TMP Paste'!$P258))</f>
        <v/>
      </c>
      <c r="AP258">
        <f>IF($AG258="","",LEN($R258))</f>
        <v/>
      </c>
      <c r="AQ258">
        <f>IF($AG258="","",TRIM(IF(COUNTIFS(Calc!$B$2:$B$1601,ROW()-1,Calc!$C$2:$C$1601,"&lt;1")&gt;0,"Ada PO tanpa Koli - cek TMP. ","")&amp;IF(LEN($R258)&gt;500,"R &gt; 500 karakter.","")))</f>
        <v/>
      </c>
    </row>
    <row r="259">
      <c r="A259">
        <f>IF($AG259="","",INDEX('TMP Paste'!$B$2:$B$1601,$AG259))</f>
        <v/>
      </c>
      <c r="B259">
        <f>IF($AG259="","",Config!$B$14)</f>
        <v/>
      </c>
      <c r="C259">
        <f>IF($AG259="","",Config!$B$15)</f>
        <v/>
      </c>
      <c r="D259">
        <f>IF($AG259="","",INDEX('TMP Paste'!$B$2:$B$1601,$AG259))</f>
        <v/>
      </c>
      <c r="E259">
        <f>IF($AG259="","",Config!$B$27)</f>
        <v/>
      </c>
      <c r="F259">
        <f>IF($AG259="","",Config!$B$9)</f>
        <v/>
      </c>
      <c r="G259">
        <f>IF($AG259="","",Config!$B$10)</f>
        <v/>
      </c>
      <c r="H259">
        <f>IF($AG259="","",Config!$B$11)</f>
        <v/>
      </c>
      <c r="I259">
        <f>IF($AG259="","",Config!$B$16)</f>
        <v/>
      </c>
      <c r="J259">
        <f>IF($AG259="","",INDEX('TMP Paste'!$A$2:$A$1601,$AG259))</f>
        <v/>
      </c>
      <c r="K259">
        <f>IF($AG259="","",INDEX('TMP Paste'!$L$2:$L$1601,$AG259))</f>
        <v/>
      </c>
      <c r="L259">
        <f>IF($AG259="","",INDEX('TMP Paste'!$I$2:$I$1601,$AG259))</f>
        <v/>
      </c>
      <c r="M259">
        <f>IF($AG259="","",Config!$B$16)</f>
        <v/>
      </c>
      <c r="N259">
        <f>IF($AG259="","","")</f>
        <v/>
      </c>
      <c r="O259">
        <f>IF($AG259="","",INDEX('TMP Paste'!$K$2:$K$1601,$AG259))</f>
        <v/>
      </c>
      <c r="P259">
        <f>IF($AG259="","","")</f>
        <v/>
      </c>
      <c r="Q259">
        <f>IF($AG259="","",INDEX('TMP Paste'!$J$2:$J$1601,$AG259))</f>
        <v/>
      </c>
      <c r="R259">
        <f>IF($AG259="","",Config!$B$24)</f>
        <v/>
      </c>
      <c r="S259">
        <f>IF($AG259="","",TEXT(Config!$B$4,"yyyy-mm-dd"))</f>
        <v/>
      </c>
      <c r="T259">
        <f>IF($AG259="","",Config!$B$17)</f>
        <v/>
      </c>
      <c r="U259">
        <f>IF($AG259="","",Config!$B$18)</f>
        <v/>
      </c>
      <c r="V259">
        <f>IF($AG259="","",Config!$B$19)</f>
        <v/>
      </c>
      <c r="W259">
        <f>IF($AG259="","",INDEX('TMP Paste'!$C$2:$C$1601,$AG259))</f>
        <v/>
      </c>
      <c r="X259">
        <f>IF($AG259="","",Config!$B$29)</f>
        <v/>
      </c>
      <c r="Y259">
        <f>IF($AH259="","",INDEX(Calc!$I$2:$I$1601,$AH259)&amp;" - "&amp;INDEX(Calc!$D$2:$D$1601,$AH259)&amp;" koli")</f>
        <v/>
      </c>
      <c r="Z259">
        <f>IF($AG259="","",Config!$B$21)</f>
        <v/>
      </c>
      <c r="AA259">
        <f>IF($AG259="","",Config!$B$22)</f>
        <v/>
      </c>
      <c r="AB259">
        <f>IF($AH259="","",INDEX(Calc!$D$2:$D$1601,$AH259))</f>
        <v/>
      </c>
      <c r="AC259">
        <f>IF($AH259="","",INDEX(Calc!$G$2:$G$1601,$AH259))</f>
        <v/>
      </c>
      <c r="AD259">
        <f>IF($AG259="","",Config!$B$23)</f>
        <v/>
      </c>
      <c r="AE259">
        <f>IF($AG259="","",Config!$B$28)</f>
        <v/>
      </c>
      <c r="AG259">
        <f>IFERROR(MATCH(ROW()-1,Calc!$J$2:$J$1601,0),"")</f>
        <v/>
      </c>
      <c r="AH259">
        <f>IFERROR(MATCH(ROW()-1,Calc!$K$2:$K$1601,0),"")</f>
        <v/>
      </c>
      <c r="AI259">
        <f>IF($AG259="","",SUMIF($AG$2:$AG259,$AG259,$AH$2:$AH259))</f>
        <v/>
      </c>
      <c r="AJ259">
        <f>IF('TMP Paste'!$F259="","",IF('TMP Paste'!$B259="",$AJ258,'TMP Paste'!$B259))</f>
        <v/>
      </c>
      <c r="AK259">
        <f>IF('TMP Paste'!$F259="","",N('TMP Paste'!$G259))</f>
        <v/>
      </c>
      <c r="AL259">
        <f>IF('TMP Paste'!$F259="","",IF('TMP Paste'!$M259="",$AL258,'TMP Paste'!$M259))</f>
        <v/>
      </c>
      <c r="AM259">
        <f>IF('TMP Paste'!$F259="","",IF('TMP Paste'!$N259="",$AM258,'TMP Paste'!$N259))</f>
        <v/>
      </c>
      <c r="AN259">
        <f>IF('TMP Paste'!$F259="","",IF('TMP Paste'!$O259="",$AN258,'TMP Paste'!$O259))</f>
        <v/>
      </c>
      <c r="AO259">
        <f>IF('TMP Paste'!$F259="","",IF('TMP Paste'!$P259="",$AO258,'TMP Paste'!$P259))</f>
        <v/>
      </c>
      <c r="AP259">
        <f>IF($AG259="","",LEN($R259))</f>
        <v/>
      </c>
      <c r="AQ259">
        <f>IF($AG259="","",TRIM(IF(COUNTIFS(Calc!$B$2:$B$1601,ROW()-1,Calc!$C$2:$C$1601,"&lt;1")&gt;0,"Ada PO tanpa Koli - cek TMP. ","")&amp;IF(LEN($R259)&gt;500,"R &gt; 500 karakter.","")))</f>
        <v/>
      </c>
    </row>
    <row r="260">
      <c r="A260">
        <f>IF($AG260="","",INDEX('TMP Paste'!$B$2:$B$1601,$AG260))</f>
        <v/>
      </c>
      <c r="B260">
        <f>IF($AG260="","",Config!$B$14)</f>
        <v/>
      </c>
      <c r="C260">
        <f>IF($AG260="","",Config!$B$15)</f>
        <v/>
      </c>
      <c r="D260">
        <f>IF($AG260="","",INDEX('TMP Paste'!$B$2:$B$1601,$AG260))</f>
        <v/>
      </c>
      <c r="E260">
        <f>IF($AG260="","",Config!$B$27)</f>
        <v/>
      </c>
      <c r="F260">
        <f>IF($AG260="","",Config!$B$9)</f>
        <v/>
      </c>
      <c r="G260">
        <f>IF($AG260="","",Config!$B$10)</f>
        <v/>
      </c>
      <c r="H260">
        <f>IF($AG260="","",Config!$B$11)</f>
        <v/>
      </c>
      <c r="I260">
        <f>IF($AG260="","",Config!$B$16)</f>
        <v/>
      </c>
      <c r="J260">
        <f>IF($AG260="","",INDEX('TMP Paste'!$A$2:$A$1601,$AG260))</f>
        <v/>
      </c>
      <c r="K260">
        <f>IF($AG260="","",INDEX('TMP Paste'!$L$2:$L$1601,$AG260))</f>
        <v/>
      </c>
      <c r="L260">
        <f>IF($AG260="","",INDEX('TMP Paste'!$I$2:$I$1601,$AG260))</f>
        <v/>
      </c>
      <c r="M260">
        <f>IF($AG260="","",Config!$B$16)</f>
        <v/>
      </c>
      <c r="N260">
        <f>IF($AG260="","","")</f>
        <v/>
      </c>
      <c r="O260">
        <f>IF($AG260="","",INDEX('TMP Paste'!$K$2:$K$1601,$AG260))</f>
        <v/>
      </c>
      <c r="P260">
        <f>IF($AG260="","","")</f>
        <v/>
      </c>
      <c r="Q260">
        <f>IF($AG260="","",INDEX('TMP Paste'!$J$2:$J$1601,$AG260))</f>
        <v/>
      </c>
      <c r="R260">
        <f>IF($AG260="","",Config!$B$24)</f>
        <v/>
      </c>
      <c r="S260">
        <f>IF($AG260="","",TEXT(Config!$B$4,"yyyy-mm-dd"))</f>
        <v/>
      </c>
      <c r="T260">
        <f>IF($AG260="","",Config!$B$17)</f>
        <v/>
      </c>
      <c r="U260">
        <f>IF($AG260="","",Config!$B$18)</f>
        <v/>
      </c>
      <c r="V260">
        <f>IF($AG260="","",Config!$B$19)</f>
        <v/>
      </c>
      <c r="W260">
        <f>IF($AG260="","",INDEX('TMP Paste'!$C$2:$C$1601,$AG260))</f>
        <v/>
      </c>
      <c r="X260">
        <f>IF($AG260="","",Config!$B$29)</f>
        <v/>
      </c>
      <c r="Y260">
        <f>IF($AH260="","",INDEX(Calc!$I$2:$I$1601,$AH260)&amp;" - "&amp;INDEX(Calc!$D$2:$D$1601,$AH260)&amp;" koli")</f>
        <v/>
      </c>
      <c r="Z260">
        <f>IF($AG260="","",Config!$B$21)</f>
        <v/>
      </c>
      <c r="AA260">
        <f>IF($AG260="","",Config!$B$22)</f>
        <v/>
      </c>
      <c r="AB260">
        <f>IF($AH260="","",INDEX(Calc!$D$2:$D$1601,$AH260))</f>
        <v/>
      </c>
      <c r="AC260">
        <f>IF($AH260="","",INDEX(Calc!$G$2:$G$1601,$AH260))</f>
        <v/>
      </c>
      <c r="AD260">
        <f>IF($AG260="","",Config!$B$23)</f>
        <v/>
      </c>
      <c r="AE260">
        <f>IF($AG260="","",Config!$B$28)</f>
        <v/>
      </c>
      <c r="AG260">
        <f>IFERROR(MATCH(ROW()-1,Calc!$J$2:$J$1601,0),"")</f>
        <v/>
      </c>
      <c r="AH260">
        <f>IFERROR(MATCH(ROW()-1,Calc!$K$2:$K$1601,0),"")</f>
        <v/>
      </c>
      <c r="AI260">
        <f>IF($AG260="","",SUMIF($AG$2:$AG260,$AG260,$AH$2:$AH260))</f>
        <v/>
      </c>
      <c r="AJ260">
        <f>IF('TMP Paste'!$F260="","",IF('TMP Paste'!$B260="",$AJ259,'TMP Paste'!$B260))</f>
        <v/>
      </c>
      <c r="AK260">
        <f>IF('TMP Paste'!$F260="","",N('TMP Paste'!$G260))</f>
        <v/>
      </c>
      <c r="AL260">
        <f>IF('TMP Paste'!$F260="","",IF('TMP Paste'!$M260="",$AL259,'TMP Paste'!$M260))</f>
        <v/>
      </c>
      <c r="AM260">
        <f>IF('TMP Paste'!$F260="","",IF('TMP Paste'!$N260="",$AM259,'TMP Paste'!$N260))</f>
        <v/>
      </c>
      <c r="AN260">
        <f>IF('TMP Paste'!$F260="","",IF('TMP Paste'!$O260="",$AN259,'TMP Paste'!$O260))</f>
        <v/>
      </c>
      <c r="AO260">
        <f>IF('TMP Paste'!$F260="","",IF('TMP Paste'!$P260="",$AO259,'TMP Paste'!$P260))</f>
        <v/>
      </c>
      <c r="AP260">
        <f>IF($AG260="","",LEN($R260))</f>
        <v/>
      </c>
      <c r="AQ260">
        <f>IF($AG260="","",TRIM(IF(COUNTIFS(Calc!$B$2:$B$1601,ROW()-1,Calc!$C$2:$C$1601,"&lt;1")&gt;0,"Ada PO tanpa Koli - cek TMP. ","")&amp;IF(LEN($R260)&gt;500,"R &gt; 500 karakter.","")))</f>
        <v/>
      </c>
    </row>
    <row r="261">
      <c r="A261">
        <f>IF($AG261="","",INDEX('TMP Paste'!$B$2:$B$1601,$AG261))</f>
        <v/>
      </c>
      <c r="B261">
        <f>IF($AG261="","",Config!$B$14)</f>
        <v/>
      </c>
      <c r="C261">
        <f>IF($AG261="","",Config!$B$15)</f>
        <v/>
      </c>
      <c r="D261">
        <f>IF($AG261="","",INDEX('TMP Paste'!$B$2:$B$1601,$AG261))</f>
        <v/>
      </c>
      <c r="E261">
        <f>IF($AG261="","",Config!$B$27)</f>
        <v/>
      </c>
      <c r="F261">
        <f>IF($AG261="","",Config!$B$9)</f>
        <v/>
      </c>
      <c r="G261">
        <f>IF($AG261="","",Config!$B$10)</f>
        <v/>
      </c>
      <c r="H261">
        <f>IF($AG261="","",Config!$B$11)</f>
        <v/>
      </c>
      <c r="I261">
        <f>IF($AG261="","",Config!$B$16)</f>
        <v/>
      </c>
      <c r="J261">
        <f>IF($AG261="","",INDEX('TMP Paste'!$A$2:$A$1601,$AG261))</f>
        <v/>
      </c>
      <c r="K261">
        <f>IF($AG261="","",INDEX('TMP Paste'!$L$2:$L$1601,$AG261))</f>
        <v/>
      </c>
      <c r="L261">
        <f>IF($AG261="","",INDEX('TMP Paste'!$I$2:$I$1601,$AG261))</f>
        <v/>
      </c>
      <c r="M261">
        <f>IF($AG261="","",Config!$B$16)</f>
        <v/>
      </c>
      <c r="N261">
        <f>IF($AG261="","","")</f>
        <v/>
      </c>
      <c r="O261">
        <f>IF($AG261="","",INDEX('TMP Paste'!$K$2:$K$1601,$AG261))</f>
        <v/>
      </c>
      <c r="P261">
        <f>IF($AG261="","","")</f>
        <v/>
      </c>
      <c r="Q261">
        <f>IF($AG261="","",INDEX('TMP Paste'!$J$2:$J$1601,$AG261))</f>
        <v/>
      </c>
      <c r="R261">
        <f>IF($AG261="","",Config!$B$24)</f>
        <v/>
      </c>
      <c r="S261">
        <f>IF($AG261="","",TEXT(Config!$B$4,"yyyy-mm-dd"))</f>
        <v/>
      </c>
      <c r="T261">
        <f>IF($AG261="","",Config!$B$17)</f>
        <v/>
      </c>
      <c r="U261">
        <f>IF($AG261="","",Config!$B$18)</f>
        <v/>
      </c>
      <c r="V261">
        <f>IF($AG261="","",Config!$B$19)</f>
        <v/>
      </c>
      <c r="W261">
        <f>IF($AG261="","",INDEX('TMP Paste'!$C$2:$C$1601,$AG261))</f>
        <v/>
      </c>
      <c r="X261">
        <f>IF($AG261="","",Config!$B$29)</f>
        <v/>
      </c>
      <c r="Y261">
        <f>IF($AH261="","",INDEX(Calc!$I$2:$I$1601,$AH261)&amp;" - "&amp;INDEX(Calc!$D$2:$D$1601,$AH261)&amp;" koli")</f>
        <v/>
      </c>
      <c r="Z261">
        <f>IF($AG261="","",Config!$B$21)</f>
        <v/>
      </c>
      <c r="AA261">
        <f>IF($AG261="","",Config!$B$22)</f>
        <v/>
      </c>
      <c r="AB261">
        <f>IF($AH261="","",INDEX(Calc!$D$2:$D$1601,$AH261))</f>
        <v/>
      </c>
      <c r="AC261">
        <f>IF($AH261="","",INDEX(Calc!$G$2:$G$1601,$AH261))</f>
        <v/>
      </c>
      <c r="AD261">
        <f>IF($AG261="","",Config!$B$23)</f>
        <v/>
      </c>
      <c r="AE261">
        <f>IF($AG261="","",Config!$B$28)</f>
        <v/>
      </c>
      <c r="AG261">
        <f>IFERROR(MATCH(ROW()-1,Calc!$J$2:$J$1601,0),"")</f>
        <v/>
      </c>
      <c r="AH261">
        <f>IFERROR(MATCH(ROW()-1,Calc!$K$2:$K$1601,0),"")</f>
        <v/>
      </c>
      <c r="AI261">
        <f>IF($AG261="","",SUMIF($AG$2:$AG261,$AG261,$AH$2:$AH261))</f>
        <v/>
      </c>
      <c r="AJ261">
        <f>IF('TMP Paste'!$F261="","",IF('TMP Paste'!$B261="",$AJ260,'TMP Paste'!$B261))</f>
        <v/>
      </c>
      <c r="AK261">
        <f>IF('TMP Paste'!$F261="","",N('TMP Paste'!$G261))</f>
        <v/>
      </c>
      <c r="AL261">
        <f>IF('TMP Paste'!$F261="","",IF('TMP Paste'!$M261="",$AL260,'TMP Paste'!$M261))</f>
        <v/>
      </c>
      <c r="AM261">
        <f>IF('TMP Paste'!$F261="","",IF('TMP Paste'!$N261="",$AM260,'TMP Paste'!$N261))</f>
        <v/>
      </c>
      <c r="AN261">
        <f>IF('TMP Paste'!$F261="","",IF('TMP Paste'!$O261="",$AN260,'TMP Paste'!$O261))</f>
        <v/>
      </c>
      <c r="AO261">
        <f>IF('TMP Paste'!$F261="","",IF('TMP Paste'!$P261="",$AO260,'TMP Paste'!$P261))</f>
        <v/>
      </c>
      <c r="AP261">
        <f>IF($AG261="","",LEN($R261))</f>
        <v/>
      </c>
      <c r="AQ261">
        <f>IF($AG261="","",TRIM(IF(COUNTIFS(Calc!$B$2:$B$1601,ROW()-1,Calc!$C$2:$C$1601,"&lt;1")&gt;0,"Ada PO tanpa Koli - cek TMP. ","")&amp;IF(LEN($R261)&gt;500,"R &gt; 500 karakter.","")))</f>
        <v/>
      </c>
    </row>
    <row r="262">
      <c r="A262">
        <f>IF($AG262="","",INDEX('TMP Paste'!$B$2:$B$1601,$AG262))</f>
        <v/>
      </c>
      <c r="B262">
        <f>IF($AG262="","",Config!$B$14)</f>
        <v/>
      </c>
      <c r="C262">
        <f>IF($AG262="","",Config!$B$15)</f>
        <v/>
      </c>
      <c r="D262">
        <f>IF($AG262="","",INDEX('TMP Paste'!$B$2:$B$1601,$AG262))</f>
        <v/>
      </c>
      <c r="E262">
        <f>IF($AG262="","",Config!$B$27)</f>
        <v/>
      </c>
      <c r="F262">
        <f>IF($AG262="","",Config!$B$9)</f>
        <v/>
      </c>
      <c r="G262">
        <f>IF($AG262="","",Config!$B$10)</f>
        <v/>
      </c>
      <c r="H262">
        <f>IF($AG262="","",Config!$B$11)</f>
        <v/>
      </c>
      <c r="I262">
        <f>IF($AG262="","",Config!$B$16)</f>
        <v/>
      </c>
      <c r="J262">
        <f>IF($AG262="","",INDEX('TMP Paste'!$A$2:$A$1601,$AG262))</f>
        <v/>
      </c>
      <c r="K262">
        <f>IF($AG262="","",INDEX('TMP Paste'!$L$2:$L$1601,$AG262))</f>
        <v/>
      </c>
      <c r="L262">
        <f>IF($AG262="","",INDEX('TMP Paste'!$I$2:$I$1601,$AG262))</f>
        <v/>
      </c>
      <c r="M262">
        <f>IF($AG262="","",Config!$B$16)</f>
        <v/>
      </c>
      <c r="N262">
        <f>IF($AG262="","","")</f>
        <v/>
      </c>
      <c r="O262">
        <f>IF($AG262="","",INDEX('TMP Paste'!$K$2:$K$1601,$AG262))</f>
        <v/>
      </c>
      <c r="P262">
        <f>IF($AG262="","","")</f>
        <v/>
      </c>
      <c r="Q262">
        <f>IF($AG262="","",INDEX('TMP Paste'!$J$2:$J$1601,$AG262))</f>
        <v/>
      </c>
      <c r="R262">
        <f>IF($AG262="","",Config!$B$24)</f>
        <v/>
      </c>
      <c r="S262">
        <f>IF($AG262="","",TEXT(Config!$B$4,"yyyy-mm-dd"))</f>
        <v/>
      </c>
      <c r="T262">
        <f>IF($AG262="","",Config!$B$17)</f>
        <v/>
      </c>
      <c r="U262">
        <f>IF($AG262="","",Config!$B$18)</f>
        <v/>
      </c>
      <c r="V262">
        <f>IF($AG262="","",Config!$B$19)</f>
        <v/>
      </c>
      <c r="W262">
        <f>IF($AG262="","",INDEX('TMP Paste'!$C$2:$C$1601,$AG262))</f>
        <v/>
      </c>
      <c r="X262">
        <f>IF($AG262="","",Config!$B$29)</f>
        <v/>
      </c>
      <c r="Y262">
        <f>IF($AH262="","",INDEX(Calc!$I$2:$I$1601,$AH262)&amp;" - "&amp;INDEX(Calc!$D$2:$D$1601,$AH262)&amp;" koli")</f>
        <v/>
      </c>
      <c r="Z262">
        <f>IF($AG262="","",Config!$B$21)</f>
        <v/>
      </c>
      <c r="AA262">
        <f>IF($AG262="","",Config!$B$22)</f>
        <v/>
      </c>
      <c r="AB262">
        <f>IF($AH262="","",INDEX(Calc!$D$2:$D$1601,$AH262))</f>
        <v/>
      </c>
      <c r="AC262">
        <f>IF($AH262="","",INDEX(Calc!$G$2:$G$1601,$AH262))</f>
        <v/>
      </c>
      <c r="AD262">
        <f>IF($AG262="","",Config!$B$23)</f>
        <v/>
      </c>
      <c r="AE262">
        <f>IF($AG262="","",Config!$B$28)</f>
        <v/>
      </c>
      <c r="AG262">
        <f>IFERROR(MATCH(ROW()-1,Calc!$J$2:$J$1601,0),"")</f>
        <v/>
      </c>
      <c r="AH262">
        <f>IFERROR(MATCH(ROW()-1,Calc!$K$2:$K$1601,0),"")</f>
        <v/>
      </c>
      <c r="AI262">
        <f>IF($AG262="","",SUMIF($AG$2:$AG262,$AG262,$AH$2:$AH262))</f>
        <v/>
      </c>
      <c r="AJ262">
        <f>IF('TMP Paste'!$F262="","",IF('TMP Paste'!$B262="",$AJ261,'TMP Paste'!$B262))</f>
        <v/>
      </c>
      <c r="AK262">
        <f>IF('TMP Paste'!$F262="","",N('TMP Paste'!$G262))</f>
        <v/>
      </c>
      <c r="AL262">
        <f>IF('TMP Paste'!$F262="","",IF('TMP Paste'!$M262="",$AL261,'TMP Paste'!$M262))</f>
        <v/>
      </c>
      <c r="AM262">
        <f>IF('TMP Paste'!$F262="","",IF('TMP Paste'!$N262="",$AM261,'TMP Paste'!$N262))</f>
        <v/>
      </c>
      <c r="AN262">
        <f>IF('TMP Paste'!$F262="","",IF('TMP Paste'!$O262="",$AN261,'TMP Paste'!$O262))</f>
        <v/>
      </c>
      <c r="AO262">
        <f>IF('TMP Paste'!$F262="","",IF('TMP Paste'!$P262="",$AO261,'TMP Paste'!$P262))</f>
        <v/>
      </c>
      <c r="AP262">
        <f>IF($AG262="","",LEN($R262))</f>
        <v/>
      </c>
      <c r="AQ262">
        <f>IF($AG262="","",TRIM(IF(COUNTIFS(Calc!$B$2:$B$1601,ROW()-1,Calc!$C$2:$C$1601,"&lt;1")&gt;0,"Ada PO tanpa Koli - cek TMP. ","")&amp;IF(LEN($R262)&gt;500,"R &gt; 500 karakter.","")))</f>
        <v/>
      </c>
    </row>
    <row r="263">
      <c r="A263">
        <f>IF($AG263="","",INDEX('TMP Paste'!$B$2:$B$1601,$AG263))</f>
        <v/>
      </c>
      <c r="B263">
        <f>IF($AG263="","",Config!$B$14)</f>
        <v/>
      </c>
      <c r="C263">
        <f>IF($AG263="","",Config!$B$15)</f>
        <v/>
      </c>
      <c r="D263">
        <f>IF($AG263="","",INDEX('TMP Paste'!$B$2:$B$1601,$AG263))</f>
        <v/>
      </c>
      <c r="E263">
        <f>IF($AG263="","",Config!$B$27)</f>
        <v/>
      </c>
      <c r="F263">
        <f>IF($AG263="","",Config!$B$9)</f>
        <v/>
      </c>
      <c r="G263">
        <f>IF($AG263="","",Config!$B$10)</f>
        <v/>
      </c>
      <c r="H263">
        <f>IF($AG263="","",Config!$B$11)</f>
        <v/>
      </c>
      <c r="I263">
        <f>IF($AG263="","",Config!$B$16)</f>
        <v/>
      </c>
      <c r="J263">
        <f>IF($AG263="","",INDEX('TMP Paste'!$A$2:$A$1601,$AG263))</f>
        <v/>
      </c>
      <c r="K263">
        <f>IF($AG263="","",INDEX('TMP Paste'!$L$2:$L$1601,$AG263))</f>
        <v/>
      </c>
      <c r="L263">
        <f>IF($AG263="","",INDEX('TMP Paste'!$I$2:$I$1601,$AG263))</f>
        <v/>
      </c>
      <c r="M263">
        <f>IF($AG263="","",Config!$B$16)</f>
        <v/>
      </c>
      <c r="N263">
        <f>IF($AG263="","","")</f>
        <v/>
      </c>
      <c r="O263">
        <f>IF($AG263="","",INDEX('TMP Paste'!$K$2:$K$1601,$AG263))</f>
        <v/>
      </c>
      <c r="P263">
        <f>IF($AG263="","","")</f>
        <v/>
      </c>
      <c r="Q263">
        <f>IF($AG263="","",INDEX('TMP Paste'!$J$2:$J$1601,$AG263))</f>
        <v/>
      </c>
      <c r="R263">
        <f>IF($AG263="","",Config!$B$24)</f>
        <v/>
      </c>
      <c r="S263">
        <f>IF($AG263="","",TEXT(Config!$B$4,"yyyy-mm-dd"))</f>
        <v/>
      </c>
      <c r="T263">
        <f>IF($AG263="","",Config!$B$17)</f>
        <v/>
      </c>
      <c r="U263">
        <f>IF($AG263="","",Config!$B$18)</f>
        <v/>
      </c>
      <c r="V263">
        <f>IF($AG263="","",Config!$B$19)</f>
        <v/>
      </c>
      <c r="W263">
        <f>IF($AG263="","",INDEX('TMP Paste'!$C$2:$C$1601,$AG263))</f>
        <v/>
      </c>
      <c r="X263">
        <f>IF($AG263="","",Config!$B$29)</f>
        <v/>
      </c>
      <c r="Y263">
        <f>IF($AH263="","",INDEX(Calc!$I$2:$I$1601,$AH263)&amp;" - "&amp;INDEX(Calc!$D$2:$D$1601,$AH263)&amp;" koli")</f>
        <v/>
      </c>
      <c r="Z263">
        <f>IF($AG263="","",Config!$B$21)</f>
        <v/>
      </c>
      <c r="AA263">
        <f>IF($AG263="","",Config!$B$22)</f>
        <v/>
      </c>
      <c r="AB263">
        <f>IF($AH263="","",INDEX(Calc!$D$2:$D$1601,$AH263))</f>
        <v/>
      </c>
      <c r="AC263">
        <f>IF($AH263="","",INDEX(Calc!$G$2:$G$1601,$AH263))</f>
        <v/>
      </c>
      <c r="AD263">
        <f>IF($AG263="","",Config!$B$23)</f>
        <v/>
      </c>
      <c r="AE263">
        <f>IF($AG263="","",Config!$B$28)</f>
        <v/>
      </c>
      <c r="AG263">
        <f>IFERROR(MATCH(ROW()-1,Calc!$J$2:$J$1601,0),"")</f>
        <v/>
      </c>
      <c r="AH263">
        <f>IFERROR(MATCH(ROW()-1,Calc!$K$2:$K$1601,0),"")</f>
        <v/>
      </c>
      <c r="AI263">
        <f>IF($AG263="","",SUMIF($AG$2:$AG263,$AG263,$AH$2:$AH263))</f>
        <v/>
      </c>
      <c r="AJ263">
        <f>IF('TMP Paste'!$F263="","",IF('TMP Paste'!$B263="",$AJ262,'TMP Paste'!$B263))</f>
        <v/>
      </c>
      <c r="AK263">
        <f>IF('TMP Paste'!$F263="","",N('TMP Paste'!$G263))</f>
        <v/>
      </c>
      <c r="AL263">
        <f>IF('TMP Paste'!$F263="","",IF('TMP Paste'!$M263="",$AL262,'TMP Paste'!$M263))</f>
        <v/>
      </c>
      <c r="AM263">
        <f>IF('TMP Paste'!$F263="","",IF('TMP Paste'!$N263="",$AM262,'TMP Paste'!$N263))</f>
        <v/>
      </c>
      <c r="AN263">
        <f>IF('TMP Paste'!$F263="","",IF('TMP Paste'!$O263="",$AN262,'TMP Paste'!$O263))</f>
        <v/>
      </c>
      <c r="AO263">
        <f>IF('TMP Paste'!$F263="","",IF('TMP Paste'!$P263="",$AO262,'TMP Paste'!$P263))</f>
        <v/>
      </c>
      <c r="AP263">
        <f>IF($AG263="","",LEN($R263))</f>
        <v/>
      </c>
      <c r="AQ263">
        <f>IF($AG263="","",TRIM(IF(COUNTIFS(Calc!$B$2:$B$1601,ROW()-1,Calc!$C$2:$C$1601,"&lt;1")&gt;0,"Ada PO tanpa Koli - cek TMP. ","")&amp;IF(LEN($R263)&gt;500,"R &gt; 500 karakter.","")))</f>
        <v/>
      </c>
    </row>
    <row r="264">
      <c r="A264">
        <f>IF($AG264="","",INDEX('TMP Paste'!$B$2:$B$1601,$AG264))</f>
        <v/>
      </c>
      <c r="B264">
        <f>IF($AG264="","",Config!$B$14)</f>
        <v/>
      </c>
      <c r="C264">
        <f>IF($AG264="","",Config!$B$15)</f>
        <v/>
      </c>
      <c r="D264">
        <f>IF($AG264="","",INDEX('TMP Paste'!$B$2:$B$1601,$AG264))</f>
        <v/>
      </c>
      <c r="E264">
        <f>IF($AG264="","",Config!$B$27)</f>
        <v/>
      </c>
      <c r="F264">
        <f>IF($AG264="","",Config!$B$9)</f>
        <v/>
      </c>
      <c r="G264">
        <f>IF($AG264="","",Config!$B$10)</f>
        <v/>
      </c>
      <c r="H264">
        <f>IF($AG264="","",Config!$B$11)</f>
        <v/>
      </c>
      <c r="I264">
        <f>IF($AG264="","",Config!$B$16)</f>
        <v/>
      </c>
      <c r="J264">
        <f>IF($AG264="","",INDEX('TMP Paste'!$A$2:$A$1601,$AG264))</f>
        <v/>
      </c>
      <c r="K264">
        <f>IF($AG264="","",INDEX('TMP Paste'!$L$2:$L$1601,$AG264))</f>
        <v/>
      </c>
      <c r="L264">
        <f>IF($AG264="","",INDEX('TMP Paste'!$I$2:$I$1601,$AG264))</f>
        <v/>
      </c>
      <c r="M264">
        <f>IF($AG264="","",Config!$B$16)</f>
        <v/>
      </c>
      <c r="N264">
        <f>IF($AG264="","","")</f>
        <v/>
      </c>
      <c r="O264">
        <f>IF($AG264="","",INDEX('TMP Paste'!$K$2:$K$1601,$AG264))</f>
        <v/>
      </c>
      <c r="P264">
        <f>IF($AG264="","","")</f>
        <v/>
      </c>
      <c r="Q264">
        <f>IF($AG264="","",INDEX('TMP Paste'!$J$2:$J$1601,$AG264))</f>
        <v/>
      </c>
      <c r="R264">
        <f>IF($AG264="","",Config!$B$24)</f>
        <v/>
      </c>
      <c r="S264">
        <f>IF($AG264="","",TEXT(Config!$B$4,"yyyy-mm-dd"))</f>
        <v/>
      </c>
      <c r="T264">
        <f>IF($AG264="","",Config!$B$17)</f>
        <v/>
      </c>
      <c r="U264">
        <f>IF($AG264="","",Config!$B$18)</f>
        <v/>
      </c>
      <c r="V264">
        <f>IF($AG264="","",Config!$B$19)</f>
        <v/>
      </c>
      <c r="W264">
        <f>IF($AG264="","",INDEX('TMP Paste'!$C$2:$C$1601,$AG264))</f>
        <v/>
      </c>
      <c r="X264">
        <f>IF($AG264="","",Config!$B$29)</f>
        <v/>
      </c>
      <c r="Y264">
        <f>IF($AH264="","",INDEX(Calc!$I$2:$I$1601,$AH264)&amp;" - "&amp;INDEX(Calc!$D$2:$D$1601,$AH264)&amp;" koli")</f>
        <v/>
      </c>
      <c r="Z264">
        <f>IF($AG264="","",Config!$B$21)</f>
        <v/>
      </c>
      <c r="AA264">
        <f>IF($AG264="","",Config!$B$22)</f>
        <v/>
      </c>
      <c r="AB264">
        <f>IF($AH264="","",INDEX(Calc!$D$2:$D$1601,$AH264))</f>
        <v/>
      </c>
      <c r="AC264">
        <f>IF($AH264="","",INDEX(Calc!$G$2:$G$1601,$AH264))</f>
        <v/>
      </c>
      <c r="AD264">
        <f>IF($AG264="","",Config!$B$23)</f>
        <v/>
      </c>
      <c r="AE264">
        <f>IF($AG264="","",Config!$B$28)</f>
        <v/>
      </c>
      <c r="AG264">
        <f>IFERROR(MATCH(ROW()-1,Calc!$J$2:$J$1601,0),"")</f>
        <v/>
      </c>
      <c r="AH264">
        <f>IFERROR(MATCH(ROW()-1,Calc!$K$2:$K$1601,0),"")</f>
        <v/>
      </c>
      <c r="AI264">
        <f>IF($AG264="","",SUMIF($AG$2:$AG264,$AG264,$AH$2:$AH264))</f>
        <v/>
      </c>
      <c r="AJ264">
        <f>IF('TMP Paste'!$F264="","",IF('TMP Paste'!$B264="",$AJ263,'TMP Paste'!$B264))</f>
        <v/>
      </c>
      <c r="AK264">
        <f>IF('TMP Paste'!$F264="","",N('TMP Paste'!$G264))</f>
        <v/>
      </c>
      <c r="AL264">
        <f>IF('TMP Paste'!$F264="","",IF('TMP Paste'!$M264="",$AL263,'TMP Paste'!$M264))</f>
        <v/>
      </c>
      <c r="AM264">
        <f>IF('TMP Paste'!$F264="","",IF('TMP Paste'!$N264="",$AM263,'TMP Paste'!$N264))</f>
        <v/>
      </c>
      <c r="AN264">
        <f>IF('TMP Paste'!$F264="","",IF('TMP Paste'!$O264="",$AN263,'TMP Paste'!$O264))</f>
        <v/>
      </c>
      <c r="AO264">
        <f>IF('TMP Paste'!$F264="","",IF('TMP Paste'!$P264="",$AO263,'TMP Paste'!$P264))</f>
        <v/>
      </c>
      <c r="AP264">
        <f>IF($AG264="","",LEN($R264))</f>
        <v/>
      </c>
      <c r="AQ264">
        <f>IF($AG264="","",TRIM(IF(COUNTIFS(Calc!$B$2:$B$1601,ROW()-1,Calc!$C$2:$C$1601,"&lt;1")&gt;0,"Ada PO tanpa Koli - cek TMP. ","")&amp;IF(LEN($R264)&gt;500,"R &gt; 500 karakter.","")))</f>
        <v/>
      </c>
    </row>
    <row r="265">
      <c r="A265">
        <f>IF($AG265="","",INDEX('TMP Paste'!$B$2:$B$1601,$AG265))</f>
        <v/>
      </c>
      <c r="B265">
        <f>IF($AG265="","",Config!$B$14)</f>
        <v/>
      </c>
      <c r="C265">
        <f>IF($AG265="","",Config!$B$15)</f>
        <v/>
      </c>
      <c r="D265">
        <f>IF($AG265="","",INDEX('TMP Paste'!$B$2:$B$1601,$AG265))</f>
        <v/>
      </c>
      <c r="E265">
        <f>IF($AG265="","",Config!$B$27)</f>
        <v/>
      </c>
      <c r="F265">
        <f>IF($AG265="","",Config!$B$9)</f>
        <v/>
      </c>
      <c r="G265">
        <f>IF($AG265="","",Config!$B$10)</f>
        <v/>
      </c>
      <c r="H265">
        <f>IF($AG265="","",Config!$B$11)</f>
        <v/>
      </c>
      <c r="I265">
        <f>IF($AG265="","",Config!$B$16)</f>
        <v/>
      </c>
      <c r="J265">
        <f>IF($AG265="","",INDEX('TMP Paste'!$A$2:$A$1601,$AG265))</f>
        <v/>
      </c>
      <c r="K265">
        <f>IF($AG265="","",INDEX('TMP Paste'!$L$2:$L$1601,$AG265))</f>
        <v/>
      </c>
      <c r="L265">
        <f>IF($AG265="","",INDEX('TMP Paste'!$I$2:$I$1601,$AG265))</f>
        <v/>
      </c>
      <c r="M265">
        <f>IF($AG265="","",Config!$B$16)</f>
        <v/>
      </c>
      <c r="N265">
        <f>IF($AG265="","","")</f>
        <v/>
      </c>
      <c r="O265">
        <f>IF($AG265="","",INDEX('TMP Paste'!$K$2:$K$1601,$AG265))</f>
        <v/>
      </c>
      <c r="P265">
        <f>IF($AG265="","","")</f>
        <v/>
      </c>
      <c r="Q265">
        <f>IF($AG265="","",INDEX('TMP Paste'!$J$2:$J$1601,$AG265))</f>
        <v/>
      </c>
      <c r="R265">
        <f>IF($AG265="","",Config!$B$24)</f>
        <v/>
      </c>
      <c r="S265">
        <f>IF($AG265="","",TEXT(Config!$B$4,"yyyy-mm-dd"))</f>
        <v/>
      </c>
      <c r="T265">
        <f>IF($AG265="","",Config!$B$17)</f>
        <v/>
      </c>
      <c r="U265">
        <f>IF($AG265="","",Config!$B$18)</f>
        <v/>
      </c>
      <c r="V265">
        <f>IF($AG265="","",Config!$B$19)</f>
        <v/>
      </c>
      <c r="W265">
        <f>IF($AG265="","",INDEX('TMP Paste'!$C$2:$C$1601,$AG265))</f>
        <v/>
      </c>
      <c r="X265">
        <f>IF($AG265="","",Config!$B$29)</f>
        <v/>
      </c>
      <c r="Y265">
        <f>IF($AH265="","",INDEX(Calc!$I$2:$I$1601,$AH265)&amp;" - "&amp;INDEX(Calc!$D$2:$D$1601,$AH265)&amp;" koli")</f>
        <v/>
      </c>
      <c r="Z265">
        <f>IF($AG265="","",Config!$B$21)</f>
        <v/>
      </c>
      <c r="AA265">
        <f>IF($AG265="","",Config!$B$22)</f>
        <v/>
      </c>
      <c r="AB265">
        <f>IF($AH265="","",INDEX(Calc!$D$2:$D$1601,$AH265))</f>
        <v/>
      </c>
      <c r="AC265">
        <f>IF($AH265="","",INDEX(Calc!$G$2:$G$1601,$AH265))</f>
        <v/>
      </c>
      <c r="AD265">
        <f>IF($AG265="","",Config!$B$23)</f>
        <v/>
      </c>
      <c r="AE265">
        <f>IF($AG265="","",Config!$B$28)</f>
        <v/>
      </c>
      <c r="AG265">
        <f>IFERROR(MATCH(ROW()-1,Calc!$J$2:$J$1601,0),"")</f>
        <v/>
      </c>
      <c r="AH265">
        <f>IFERROR(MATCH(ROW()-1,Calc!$K$2:$K$1601,0),"")</f>
        <v/>
      </c>
      <c r="AI265">
        <f>IF($AG265="","",SUMIF($AG$2:$AG265,$AG265,$AH$2:$AH265))</f>
        <v/>
      </c>
      <c r="AJ265">
        <f>IF('TMP Paste'!$F265="","",IF('TMP Paste'!$B265="",$AJ264,'TMP Paste'!$B265))</f>
        <v/>
      </c>
      <c r="AK265">
        <f>IF('TMP Paste'!$F265="","",N('TMP Paste'!$G265))</f>
        <v/>
      </c>
      <c r="AL265">
        <f>IF('TMP Paste'!$F265="","",IF('TMP Paste'!$M265="",$AL264,'TMP Paste'!$M265))</f>
        <v/>
      </c>
      <c r="AM265">
        <f>IF('TMP Paste'!$F265="","",IF('TMP Paste'!$N265="",$AM264,'TMP Paste'!$N265))</f>
        <v/>
      </c>
      <c r="AN265">
        <f>IF('TMP Paste'!$F265="","",IF('TMP Paste'!$O265="",$AN264,'TMP Paste'!$O265))</f>
        <v/>
      </c>
      <c r="AO265">
        <f>IF('TMP Paste'!$F265="","",IF('TMP Paste'!$P265="",$AO264,'TMP Paste'!$P265))</f>
        <v/>
      </c>
      <c r="AP265">
        <f>IF($AG265="","",LEN($R265))</f>
        <v/>
      </c>
      <c r="AQ265">
        <f>IF($AG265="","",TRIM(IF(COUNTIFS(Calc!$B$2:$B$1601,ROW()-1,Calc!$C$2:$C$1601,"&lt;1")&gt;0,"Ada PO tanpa Koli - cek TMP. ","")&amp;IF(LEN($R265)&gt;500,"R &gt; 500 karakter.","")))</f>
        <v/>
      </c>
    </row>
    <row r="266">
      <c r="A266">
        <f>IF($AG266="","",INDEX('TMP Paste'!$B$2:$B$1601,$AG266))</f>
        <v/>
      </c>
      <c r="B266">
        <f>IF($AG266="","",Config!$B$14)</f>
        <v/>
      </c>
      <c r="C266">
        <f>IF($AG266="","",Config!$B$15)</f>
        <v/>
      </c>
      <c r="D266">
        <f>IF($AG266="","",INDEX('TMP Paste'!$B$2:$B$1601,$AG266))</f>
        <v/>
      </c>
      <c r="E266">
        <f>IF($AG266="","",Config!$B$27)</f>
        <v/>
      </c>
      <c r="F266">
        <f>IF($AG266="","",Config!$B$9)</f>
        <v/>
      </c>
      <c r="G266">
        <f>IF($AG266="","",Config!$B$10)</f>
        <v/>
      </c>
      <c r="H266">
        <f>IF($AG266="","",Config!$B$11)</f>
        <v/>
      </c>
      <c r="I266">
        <f>IF($AG266="","",Config!$B$16)</f>
        <v/>
      </c>
      <c r="J266">
        <f>IF($AG266="","",INDEX('TMP Paste'!$A$2:$A$1601,$AG266))</f>
        <v/>
      </c>
      <c r="K266">
        <f>IF($AG266="","",INDEX('TMP Paste'!$L$2:$L$1601,$AG266))</f>
        <v/>
      </c>
      <c r="L266">
        <f>IF($AG266="","",INDEX('TMP Paste'!$I$2:$I$1601,$AG266))</f>
        <v/>
      </c>
      <c r="M266">
        <f>IF($AG266="","",Config!$B$16)</f>
        <v/>
      </c>
      <c r="N266">
        <f>IF($AG266="","","")</f>
        <v/>
      </c>
      <c r="O266">
        <f>IF($AG266="","",INDEX('TMP Paste'!$K$2:$K$1601,$AG266))</f>
        <v/>
      </c>
      <c r="P266">
        <f>IF($AG266="","","")</f>
        <v/>
      </c>
      <c r="Q266">
        <f>IF($AG266="","",INDEX('TMP Paste'!$J$2:$J$1601,$AG266))</f>
        <v/>
      </c>
      <c r="R266">
        <f>IF($AG266="","",Config!$B$24)</f>
        <v/>
      </c>
      <c r="S266">
        <f>IF($AG266="","",TEXT(Config!$B$4,"yyyy-mm-dd"))</f>
        <v/>
      </c>
      <c r="T266">
        <f>IF($AG266="","",Config!$B$17)</f>
        <v/>
      </c>
      <c r="U266">
        <f>IF($AG266="","",Config!$B$18)</f>
        <v/>
      </c>
      <c r="V266">
        <f>IF($AG266="","",Config!$B$19)</f>
        <v/>
      </c>
      <c r="W266">
        <f>IF($AG266="","",INDEX('TMP Paste'!$C$2:$C$1601,$AG266))</f>
        <v/>
      </c>
      <c r="X266">
        <f>IF($AG266="","",Config!$B$29)</f>
        <v/>
      </c>
      <c r="Y266">
        <f>IF($AH266="","",INDEX(Calc!$I$2:$I$1601,$AH266)&amp;" - "&amp;INDEX(Calc!$D$2:$D$1601,$AH266)&amp;" koli")</f>
        <v/>
      </c>
      <c r="Z266">
        <f>IF($AG266="","",Config!$B$21)</f>
        <v/>
      </c>
      <c r="AA266">
        <f>IF($AG266="","",Config!$B$22)</f>
        <v/>
      </c>
      <c r="AB266">
        <f>IF($AH266="","",INDEX(Calc!$D$2:$D$1601,$AH266))</f>
        <v/>
      </c>
      <c r="AC266">
        <f>IF($AH266="","",INDEX(Calc!$G$2:$G$1601,$AH266))</f>
        <v/>
      </c>
      <c r="AD266">
        <f>IF($AG266="","",Config!$B$23)</f>
        <v/>
      </c>
      <c r="AE266">
        <f>IF($AG266="","",Config!$B$28)</f>
        <v/>
      </c>
      <c r="AG266">
        <f>IFERROR(MATCH(ROW()-1,Calc!$J$2:$J$1601,0),"")</f>
        <v/>
      </c>
      <c r="AH266">
        <f>IFERROR(MATCH(ROW()-1,Calc!$K$2:$K$1601,0),"")</f>
        <v/>
      </c>
      <c r="AI266">
        <f>IF($AG266="","",SUMIF($AG$2:$AG266,$AG266,$AH$2:$AH266))</f>
        <v/>
      </c>
      <c r="AJ266">
        <f>IF('TMP Paste'!$F266="","",IF('TMP Paste'!$B266="",$AJ265,'TMP Paste'!$B266))</f>
        <v/>
      </c>
      <c r="AK266">
        <f>IF('TMP Paste'!$F266="","",N('TMP Paste'!$G266))</f>
        <v/>
      </c>
      <c r="AL266">
        <f>IF('TMP Paste'!$F266="","",IF('TMP Paste'!$M266="",$AL265,'TMP Paste'!$M266))</f>
        <v/>
      </c>
      <c r="AM266">
        <f>IF('TMP Paste'!$F266="","",IF('TMP Paste'!$N266="",$AM265,'TMP Paste'!$N266))</f>
        <v/>
      </c>
      <c r="AN266">
        <f>IF('TMP Paste'!$F266="","",IF('TMP Paste'!$O266="",$AN265,'TMP Paste'!$O266))</f>
        <v/>
      </c>
      <c r="AO266">
        <f>IF('TMP Paste'!$F266="","",IF('TMP Paste'!$P266="",$AO265,'TMP Paste'!$P266))</f>
        <v/>
      </c>
      <c r="AP266">
        <f>IF($AG266="","",LEN($R266))</f>
        <v/>
      </c>
      <c r="AQ266">
        <f>IF($AG266="","",TRIM(IF(COUNTIFS(Calc!$B$2:$B$1601,ROW()-1,Calc!$C$2:$C$1601,"&lt;1")&gt;0,"Ada PO tanpa Koli - cek TMP. ","")&amp;IF(LEN($R266)&gt;500,"R &gt; 500 karakter.","")))</f>
        <v/>
      </c>
    </row>
    <row r="267">
      <c r="A267">
        <f>IF($AG267="","",INDEX('TMP Paste'!$B$2:$B$1601,$AG267))</f>
        <v/>
      </c>
      <c r="B267">
        <f>IF($AG267="","",Config!$B$14)</f>
        <v/>
      </c>
      <c r="C267">
        <f>IF($AG267="","",Config!$B$15)</f>
        <v/>
      </c>
      <c r="D267">
        <f>IF($AG267="","",INDEX('TMP Paste'!$B$2:$B$1601,$AG267))</f>
        <v/>
      </c>
      <c r="E267">
        <f>IF($AG267="","",Config!$B$27)</f>
        <v/>
      </c>
      <c r="F267">
        <f>IF($AG267="","",Config!$B$9)</f>
        <v/>
      </c>
      <c r="G267">
        <f>IF($AG267="","",Config!$B$10)</f>
        <v/>
      </c>
      <c r="H267">
        <f>IF($AG267="","",Config!$B$11)</f>
        <v/>
      </c>
      <c r="I267">
        <f>IF($AG267="","",Config!$B$16)</f>
        <v/>
      </c>
      <c r="J267">
        <f>IF($AG267="","",INDEX('TMP Paste'!$A$2:$A$1601,$AG267))</f>
        <v/>
      </c>
      <c r="K267">
        <f>IF($AG267="","",INDEX('TMP Paste'!$L$2:$L$1601,$AG267))</f>
        <v/>
      </c>
      <c r="L267">
        <f>IF($AG267="","",INDEX('TMP Paste'!$I$2:$I$1601,$AG267))</f>
        <v/>
      </c>
      <c r="M267">
        <f>IF($AG267="","",Config!$B$16)</f>
        <v/>
      </c>
      <c r="N267">
        <f>IF($AG267="","","")</f>
        <v/>
      </c>
      <c r="O267">
        <f>IF($AG267="","",INDEX('TMP Paste'!$K$2:$K$1601,$AG267))</f>
        <v/>
      </c>
      <c r="P267">
        <f>IF($AG267="","","")</f>
        <v/>
      </c>
      <c r="Q267">
        <f>IF($AG267="","",INDEX('TMP Paste'!$J$2:$J$1601,$AG267))</f>
        <v/>
      </c>
      <c r="R267">
        <f>IF($AG267="","",Config!$B$24)</f>
        <v/>
      </c>
      <c r="S267">
        <f>IF($AG267="","",TEXT(Config!$B$4,"yyyy-mm-dd"))</f>
        <v/>
      </c>
      <c r="T267">
        <f>IF($AG267="","",Config!$B$17)</f>
        <v/>
      </c>
      <c r="U267">
        <f>IF($AG267="","",Config!$B$18)</f>
        <v/>
      </c>
      <c r="V267">
        <f>IF($AG267="","",Config!$B$19)</f>
        <v/>
      </c>
      <c r="W267">
        <f>IF($AG267="","",INDEX('TMP Paste'!$C$2:$C$1601,$AG267))</f>
        <v/>
      </c>
      <c r="X267">
        <f>IF($AG267="","",Config!$B$29)</f>
        <v/>
      </c>
      <c r="Y267">
        <f>IF($AH267="","",INDEX(Calc!$I$2:$I$1601,$AH267)&amp;" - "&amp;INDEX(Calc!$D$2:$D$1601,$AH267)&amp;" koli")</f>
        <v/>
      </c>
      <c r="Z267">
        <f>IF($AG267="","",Config!$B$21)</f>
        <v/>
      </c>
      <c r="AA267">
        <f>IF($AG267="","",Config!$B$22)</f>
        <v/>
      </c>
      <c r="AB267">
        <f>IF($AH267="","",INDEX(Calc!$D$2:$D$1601,$AH267))</f>
        <v/>
      </c>
      <c r="AC267">
        <f>IF($AH267="","",INDEX(Calc!$G$2:$G$1601,$AH267))</f>
        <v/>
      </c>
      <c r="AD267">
        <f>IF($AG267="","",Config!$B$23)</f>
        <v/>
      </c>
      <c r="AE267">
        <f>IF($AG267="","",Config!$B$28)</f>
        <v/>
      </c>
      <c r="AG267">
        <f>IFERROR(MATCH(ROW()-1,Calc!$J$2:$J$1601,0),"")</f>
        <v/>
      </c>
      <c r="AH267">
        <f>IFERROR(MATCH(ROW()-1,Calc!$K$2:$K$1601,0),"")</f>
        <v/>
      </c>
      <c r="AI267">
        <f>IF($AG267="","",SUMIF($AG$2:$AG267,$AG267,$AH$2:$AH267))</f>
        <v/>
      </c>
      <c r="AJ267">
        <f>IF('TMP Paste'!$F267="","",IF('TMP Paste'!$B267="",$AJ266,'TMP Paste'!$B267))</f>
        <v/>
      </c>
      <c r="AK267">
        <f>IF('TMP Paste'!$F267="","",N('TMP Paste'!$G267))</f>
        <v/>
      </c>
      <c r="AL267">
        <f>IF('TMP Paste'!$F267="","",IF('TMP Paste'!$M267="",$AL266,'TMP Paste'!$M267))</f>
        <v/>
      </c>
      <c r="AM267">
        <f>IF('TMP Paste'!$F267="","",IF('TMP Paste'!$N267="",$AM266,'TMP Paste'!$N267))</f>
        <v/>
      </c>
      <c r="AN267">
        <f>IF('TMP Paste'!$F267="","",IF('TMP Paste'!$O267="",$AN266,'TMP Paste'!$O267))</f>
        <v/>
      </c>
      <c r="AO267">
        <f>IF('TMP Paste'!$F267="","",IF('TMP Paste'!$P267="",$AO266,'TMP Paste'!$P267))</f>
        <v/>
      </c>
      <c r="AP267">
        <f>IF($AG267="","",LEN($R267))</f>
        <v/>
      </c>
      <c r="AQ267">
        <f>IF($AG267="","",TRIM(IF(COUNTIFS(Calc!$B$2:$B$1601,ROW()-1,Calc!$C$2:$C$1601,"&lt;1")&gt;0,"Ada PO tanpa Koli - cek TMP. ","")&amp;IF(LEN($R267)&gt;500,"R &gt; 500 karakter.","")))</f>
        <v/>
      </c>
    </row>
    <row r="268">
      <c r="A268">
        <f>IF($AG268="","",INDEX('TMP Paste'!$B$2:$B$1601,$AG268))</f>
        <v/>
      </c>
      <c r="B268">
        <f>IF($AG268="","",Config!$B$14)</f>
        <v/>
      </c>
      <c r="C268">
        <f>IF($AG268="","",Config!$B$15)</f>
        <v/>
      </c>
      <c r="D268">
        <f>IF($AG268="","",INDEX('TMP Paste'!$B$2:$B$1601,$AG268))</f>
        <v/>
      </c>
      <c r="E268">
        <f>IF($AG268="","",Config!$B$27)</f>
        <v/>
      </c>
      <c r="F268">
        <f>IF($AG268="","",Config!$B$9)</f>
        <v/>
      </c>
      <c r="G268">
        <f>IF($AG268="","",Config!$B$10)</f>
        <v/>
      </c>
      <c r="H268">
        <f>IF($AG268="","",Config!$B$11)</f>
        <v/>
      </c>
      <c r="I268">
        <f>IF($AG268="","",Config!$B$16)</f>
        <v/>
      </c>
      <c r="J268">
        <f>IF($AG268="","",INDEX('TMP Paste'!$A$2:$A$1601,$AG268))</f>
        <v/>
      </c>
      <c r="K268">
        <f>IF($AG268="","",INDEX('TMP Paste'!$L$2:$L$1601,$AG268))</f>
        <v/>
      </c>
      <c r="L268">
        <f>IF($AG268="","",INDEX('TMP Paste'!$I$2:$I$1601,$AG268))</f>
        <v/>
      </c>
      <c r="M268">
        <f>IF($AG268="","",Config!$B$16)</f>
        <v/>
      </c>
      <c r="N268">
        <f>IF($AG268="","","")</f>
        <v/>
      </c>
      <c r="O268">
        <f>IF($AG268="","",INDEX('TMP Paste'!$K$2:$K$1601,$AG268))</f>
        <v/>
      </c>
      <c r="P268">
        <f>IF($AG268="","","")</f>
        <v/>
      </c>
      <c r="Q268">
        <f>IF($AG268="","",INDEX('TMP Paste'!$J$2:$J$1601,$AG268))</f>
        <v/>
      </c>
      <c r="R268">
        <f>IF($AG268="","",Config!$B$24)</f>
        <v/>
      </c>
      <c r="S268">
        <f>IF($AG268="","",TEXT(Config!$B$4,"yyyy-mm-dd"))</f>
        <v/>
      </c>
      <c r="T268">
        <f>IF($AG268="","",Config!$B$17)</f>
        <v/>
      </c>
      <c r="U268">
        <f>IF($AG268="","",Config!$B$18)</f>
        <v/>
      </c>
      <c r="V268">
        <f>IF($AG268="","",Config!$B$19)</f>
        <v/>
      </c>
      <c r="W268">
        <f>IF($AG268="","",INDEX('TMP Paste'!$C$2:$C$1601,$AG268))</f>
        <v/>
      </c>
      <c r="X268">
        <f>IF($AG268="","",Config!$B$29)</f>
        <v/>
      </c>
      <c r="Y268">
        <f>IF($AH268="","",INDEX(Calc!$I$2:$I$1601,$AH268)&amp;" - "&amp;INDEX(Calc!$D$2:$D$1601,$AH268)&amp;" koli")</f>
        <v/>
      </c>
      <c r="Z268">
        <f>IF($AG268="","",Config!$B$21)</f>
        <v/>
      </c>
      <c r="AA268">
        <f>IF($AG268="","",Config!$B$22)</f>
        <v/>
      </c>
      <c r="AB268">
        <f>IF($AH268="","",INDEX(Calc!$D$2:$D$1601,$AH268))</f>
        <v/>
      </c>
      <c r="AC268">
        <f>IF($AH268="","",INDEX(Calc!$G$2:$G$1601,$AH268))</f>
        <v/>
      </c>
      <c r="AD268">
        <f>IF($AG268="","",Config!$B$23)</f>
        <v/>
      </c>
      <c r="AE268">
        <f>IF($AG268="","",Config!$B$28)</f>
        <v/>
      </c>
      <c r="AG268">
        <f>IFERROR(MATCH(ROW()-1,Calc!$J$2:$J$1601,0),"")</f>
        <v/>
      </c>
      <c r="AH268">
        <f>IFERROR(MATCH(ROW()-1,Calc!$K$2:$K$1601,0),"")</f>
        <v/>
      </c>
      <c r="AI268">
        <f>IF($AG268="","",SUMIF($AG$2:$AG268,$AG268,$AH$2:$AH268))</f>
        <v/>
      </c>
      <c r="AJ268">
        <f>IF('TMP Paste'!$F268="","",IF('TMP Paste'!$B268="",$AJ267,'TMP Paste'!$B268))</f>
        <v/>
      </c>
      <c r="AK268">
        <f>IF('TMP Paste'!$F268="","",N('TMP Paste'!$G268))</f>
        <v/>
      </c>
      <c r="AL268">
        <f>IF('TMP Paste'!$F268="","",IF('TMP Paste'!$M268="",$AL267,'TMP Paste'!$M268))</f>
        <v/>
      </c>
      <c r="AM268">
        <f>IF('TMP Paste'!$F268="","",IF('TMP Paste'!$N268="",$AM267,'TMP Paste'!$N268))</f>
        <v/>
      </c>
      <c r="AN268">
        <f>IF('TMP Paste'!$F268="","",IF('TMP Paste'!$O268="",$AN267,'TMP Paste'!$O268))</f>
        <v/>
      </c>
      <c r="AO268">
        <f>IF('TMP Paste'!$F268="","",IF('TMP Paste'!$P268="",$AO267,'TMP Paste'!$P268))</f>
        <v/>
      </c>
      <c r="AP268">
        <f>IF($AG268="","",LEN($R268))</f>
        <v/>
      </c>
      <c r="AQ268">
        <f>IF($AG268="","",TRIM(IF(COUNTIFS(Calc!$B$2:$B$1601,ROW()-1,Calc!$C$2:$C$1601,"&lt;1")&gt;0,"Ada PO tanpa Koli - cek TMP. ","")&amp;IF(LEN($R268)&gt;500,"R &gt; 500 karakter.","")))</f>
        <v/>
      </c>
    </row>
    <row r="269">
      <c r="A269">
        <f>IF($AG269="","",INDEX('TMP Paste'!$B$2:$B$1601,$AG269))</f>
        <v/>
      </c>
      <c r="B269">
        <f>IF($AG269="","",Config!$B$14)</f>
        <v/>
      </c>
      <c r="C269">
        <f>IF($AG269="","",Config!$B$15)</f>
        <v/>
      </c>
      <c r="D269">
        <f>IF($AG269="","",INDEX('TMP Paste'!$B$2:$B$1601,$AG269))</f>
        <v/>
      </c>
      <c r="E269">
        <f>IF($AG269="","",Config!$B$27)</f>
        <v/>
      </c>
      <c r="F269">
        <f>IF($AG269="","",Config!$B$9)</f>
        <v/>
      </c>
      <c r="G269">
        <f>IF($AG269="","",Config!$B$10)</f>
        <v/>
      </c>
      <c r="H269">
        <f>IF($AG269="","",Config!$B$11)</f>
        <v/>
      </c>
      <c r="I269">
        <f>IF($AG269="","",Config!$B$16)</f>
        <v/>
      </c>
      <c r="J269">
        <f>IF($AG269="","",INDEX('TMP Paste'!$A$2:$A$1601,$AG269))</f>
        <v/>
      </c>
      <c r="K269">
        <f>IF($AG269="","",INDEX('TMP Paste'!$L$2:$L$1601,$AG269))</f>
        <v/>
      </c>
      <c r="L269">
        <f>IF($AG269="","",INDEX('TMP Paste'!$I$2:$I$1601,$AG269))</f>
        <v/>
      </c>
      <c r="M269">
        <f>IF($AG269="","",Config!$B$16)</f>
        <v/>
      </c>
      <c r="N269">
        <f>IF($AG269="","","")</f>
        <v/>
      </c>
      <c r="O269">
        <f>IF($AG269="","",INDEX('TMP Paste'!$K$2:$K$1601,$AG269))</f>
        <v/>
      </c>
      <c r="P269">
        <f>IF($AG269="","","")</f>
        <v/>
      </c>
      <c r="Q269">
        <f>IF($AG269="","",INDEX('TMP Paste'!$J$2:$J$1601,$AG269))</f>
        <v/>
      </c>
      <c r="R269">
        <f>IF($AG269="","",Config!$B$24)</f>
        <v/>
      </c>
      <c r="S269">
        <f>IF($AG269="","",TEXT(Config!$B$4,"yyyy-mm-dd"))</f>
        <v/>
      </c>
      <c r="T269">
        <f>IF($AG269="","",Config!$B$17)</f>
        <v/>
      </c>
      <c r="U269">
        <f>IF($AG269="","",Config!$B$18)</f>
        <v/>
      </c>
      <c r="V269">
        <f>IF($AG269="","",Config!$B$19)</f>
        <v/>
      </c>
      <c r="W269">
        <f>IF($AG269="","",INDEX('TMP Paste'!$C$2:$C$1601,$AG269))</f>
        <v/>
      </c>
      <c r="X269">
        <f>IF($AG269="","",Config!$B$29)</f>
        <v/>
      </c>
      <c r="Y269">
        <f>IF($AH269="","",INDEX(Calc!$I$2:$I$1601,$AH269)&amp;" - "&amp;INDEX(Calc!$D$2:$D$1601,$AH269)&amp;" koli")</f>
        <v/>
      </c>
      <c r="Z269">
        <f>IF($AG269="","",Config!$B$21)</f>
        <v/>
      </c>
      <c r="AA269">
        <f>IF($AG269="","",Config!$B$22)</f>
        <v/>
      </c>
      <c r="AB269">
        <f>IF($AH269="","",INDEX(Calc!$D$2:$D$1601,$AH269))</f>
        <v/>
      </c>
      <c r="AC269">
        <f>IF($AH269="","",INDEX(Calc!$G$2:$G$1601,$AH269))</f>
        <v/>
      </c>
      <c r="AD269">
        <f>IF($AG269="","",Config!$B$23)</f>
        <v/>
      </c>
      <c r="AE269">
        <f>IF($AG269="","",Config!$B$28)</f>
        <v/>
      </c>
      <c r="AG269">
        <f>IFERROR(MATCH(ROW()-1,Calc!$J$2:$J$1601,0),"")</f>
        <v/>
      </c>
      <c r="AH269">
        <f>IFERROR(MATCH(ROW()-1,Calc!$K$2:$K$1601,0),"")</f>
        <v/>
      </c>
      <c r="AI269">
        <f>IF($AG269="","",SUMIF($AG$2:$AG269,$AG269,$AH$2:$AH269))</f>
        <v/>
      </c>
      <c r="AJ269">
        <f>IF('TMP Paste'!$F269="","",IF('TMP Paste'!$B269="",$AJ268,'TMP Paste'!$B269))</f>
        <v/>
      </c>
      <c r="AK269">
        <f>IF('TMP Paste'!$F269="","",N('TMP Paste'!$G269))</f>
        <v/>
      </c>
      <c r="AL269">
        <f>IF('TMP Paste'!$F269="","",IF('TMP Paste'!$M269="",$AL268,'TMP Paste'!$M269))</f>
        <v/>
      </c>
      <c r="AM269">
        <f>IF('TMP Paste'!$F269="","",IF('TMP Paste'!$N269="",$AM268,'TMP Paste'!$N269))</f>
        <v/>
      </c>
      <c r="AN269">
        <f>IF('TMP Paste'!$F269="","",IF('TMP Paste'!$O269="",$AN268,'TMP Paste'!$O269))</f>
        <v/>
      </c>
      <c r="AO269">
        <f>IF('TMP Paste'!$F269="","",IF('TMP Paste'!$P269="",$AO268,'TMP Paste'!$P269))</f>
        <v/>
      </c>
      <c r="AP269">
        <f>IF($AG269="","",LEN($R269))</f>
        <v/>
      </c>
      <c r="AQ269">
        <f>IF($AG269="","",TRIM(IF(COUNTIFS(Calc!$B$2:$B$1601,ROW()-1,Calc!$C$2:$C$1601,"&lt;1")&gt;0,"Ada PO tanpa Koli - cek TMP. ","")&amp;IF(LEN($R269)&gt;500,"R &gt; 500 karakter.","")))</f>
        <v/>
      </c>
    </row>
    <row r="270">
      <c r="A270">
        <f>IF($AG270="","",INDEX('TMP Paste'!$B$2:$B$1601,$AG270))</f>
        <v/>
      </c>
      <c r="B270">
        <f>IF($AG270="","",Config!$B$14)</f>
        <v/>
      </c>
      <c r="C270">
        <f>IF($AG270="","",Config!$B$15)</f>
        <v/>
      </c>
      <c r="D270">
        <f>IF($AG270="","",INDEX('TMP Paste'!$B$2:$B$1601,$AG270))</f>
        <v/>
      </c>
      <c r="E270">
        <f>IF($AG270="","",Config!$B$27)</f>
        <v/>
      </c>
      <c r="F270">
        <f>IF($AG270="","",Config!$B$9)</f>
        <v/>
      </c>
      <c r="G270">
        <f>IF($AG270="","",Config!$B$10)</f>
        <v/>
      </c>
      <c r="H270">
        <f>IF($AG270="","",Config!$B$11)</f>
        <v/>
      </c>
      <c r="I270">
        <f>IF($AG270="","",Config!$B$16)</f>
        <v/>
      </c>
      <c r="J270">
        <f>IF($AG270="","",INDEX('TMP Paste'!$A$2:$A$1601,$AG270))</f>
        <v/>
      </c>
      <c r="K270">
        <f>IF($AG270="","",INDEX('TMP Paste'!$L$2:$L$1601,$AG270))</f>
        <v/>
      </c>
      <c r="L270">
        <f>IF($AG270="","",INDEX('TMP Paste'!$I$2:$I$1601,$AG270))</f>
        <v/>
      </c>
      <c r="M270">
        <f>IF($AG270="","",Config!$B$16)</f>
        <v/>
      </c>
      <c r="N270">
        <f>IF($AG270="","","")</f>
        <v/>
      </c>
      <c r="O270">
        <f>IF($AG270="","",INDEX('TMP Paste'!$K$2:$K$1601,$AG270))</f>
        <v/>
      </c>
      <c r="P270">
        <f>IF($AG270="","","")</f>
        <v/>
      </c>
      <c r="Q270">
        <f>IF($AG270="","",INDEX('TMP Paste'!$J$2:$J$1601,$AG270))</f>
        <v/>
      </c>
      <c r="R270">
        <f>IF($AG270="","",Config!$B$24)</f>
        <v/>
      </c>
      <c r="S270">
        <f>IF($AG270="","",TEXT(Config!$B$4,"yyyy-mm-dd"))</f>
        <v/>
      </c>
      <c r="T270">
        <f>IF($AG270="","",Config!$B$17)</f>
        <v/>
      </c>
      <c r="U270">
        <f>IF($AG270="","",Config!$B$18)</f>
        <v/>
      </c>
      <c r="V270">
        <f>IF($AG270="","",Config!$B$19)</f>
        <v/>
      </c>
      <c r="W270">
        <f>IF($AG270="","",INDEX('TMP Paste'!$C$2:$C$1601,$AG270))</f>
        <v/>
      </c>
      <c r="X270">
        <f>IF($AG270="","",Config!$B$29)</f>
        <v/>
      </c>
      <c r="Y270">
        <f>IF($AH270="","",INDEX(Calc!$I$2:$I$1601,$AH270)&amp;" - "&amp;INDEX(Calc!$D$2:$D$1601,$AH270)&amp;" koli")</f>
        <v/>
      </c>
      <c r="Z270">
        <f>IF($AG270="","",Config!$B$21)</f>
        <v/>
      </c>
      <c r="AA270">
        <f>IF($AG270="","",Config!$B$22)</f>
        <v/>
      </c>
      <c r="AB270">
        <f>IF($AH270="","",INDEX(Calc!$D$2:$D$1601,$AH270))</f>
        <v/>
      </c>
      <c r="AC270">
        <f>IF($AH270="","",INDEX(Calc!$G$2:$G$1601,$AH270))</f>
        <v/>
      </c>
      <c r="AD270">
        <f>IF($AG270="","",Config!$B$23)</f>
        <v/>
      </c>
      <c r="AE270">
        <f>IF($AG270="","",Config!$B$28)</f>
        <v/>
      </c>
      <c r="AG270">
        <f>IFERROR(MATCH(ROW()-1,Calc!$J$2:$J$1601,0),"")</f>
        <v/>
      </c>
      <c r="AH270">
        <f>IFERROR(MATCH(ROW()-1,Calc!$K$2:$K$1601,0),"")</f>
        <v/>
      </c>
      <c r="AI270">
        <f>IF($AG270="","",SUMIF($AG$2:$AG270,$AG270,$AH$2:$AH270))</f>
        <v/>
      </c>
      <c r="AJ270">
        <f>IF('TMP Paste'!$F270="","",IF('TMP Paste'!$B270="",$AJ269,'TMP Paste'!$B270))</f>
        <v/>
      </c>
      <c r="AK270">
        <f>IF('TMP Paste'!$F270="","",N('TMP Paste'!$G270))</f>
        <v/>
      </c>
      <c r="AL270">
        <f>IF('TMP Paste'!$F270="","",IF('TMP Paste'!$M270="",$AL269,'TMP Paste'!$M270))</f>
        <v/>
      </c>
      <c r="AM270">
        <f>IF('TMP Paste'!$F270="","",IF('TMP Paste'!$N270="",$AM269,'TMP Paste'!$N270))</f>
        <v/>
      </c>
      <c r="AN270">
        <f>IF('TMP Paste'!$F270="","",IF('TMP Paste'!$O270="",$AN269,'TMP Paste'!$O270))</f>
        <v/>
      </c>
      <c r="AO270">
        <f>IF('TMP Paste'!$F270="","",IF('TMP Paste'!$P270="",$AO269,'TMP Paste'!$P270))</f>
        <v/>
      </c>
      <c r="AP270">
        <f>IF($AG270="","",LEN($R270))</f>
        <v/>
      </c>
      <c r="AQ270">
        <f>IF($AG270="","",TRIM(IF(COUNTIFS(Calc!$B$2:$B$1601,ROW()-1,Calc!$C$2:$C$1601,"&lt;1")&gt;0,"Ada PO tanpa Koli - cek TMP. ","")&amp;IF(LEN($R270)&gt;500,"R &gt; 500 karakter.","")))</f>
        <v/>
      </c>
    </row>
    <row r="271">
      <c r="A271">
        <f>IF($AG271="","",INDEX('TMP Paste'!$B$2:$B$1601,$AG271))</f>
        <v/>
      </c>
      <c r="B271">
        <f>IF($AG271="","",Config!$B$14)</f>
        <v/>
      </c>
      <c r="C271">
        <f>IF($AG271="","",Config!$B$15)</f>
        <v/>
      </c>
      <c r="D271">
        <f>IF($AG271="","",INDEX('TMP Paste'!$B$2:$B$1601,$AG271))</f>
        <v/>
      </c>
      <c r="E271">
        <f>IF($AG271="","",Config!$B$27)</f>
        <v/>
      </c>
      <c r="F271">
        <f>IF($AG271="","",Config!$B$9)</f>
        <v/>
      </c>
      <c r="G271">
        <f>IF($AG271="","",Config!$B$10)</f>
        <v/>
      </c>
      <c r="H271">
        <f>IF($AG271="","",Config!$B$11)</f>
        <v/>
      </c>
      <c r="I271">
        <f>IF($AG271="","",Config!$B$16)</f>
        <v/>
      </c>
      <c r="J271">
        <f>IF($AG271="","",INDEX('TMP Paste'!$A$2:$A$1601,$AG271))</f>
        <v/>
      </c>
      <c r="K271">
        <f>IF($AG271="","",INDEX('TMP Paste'!$L$2:$L$1601,$AG271))</f>
        <v/>
      </c>
      <c r="L271">
        <f>IF($AG271="","",INDEX('TMP Paste'!$I$2:$I$1601,$AG271))</f>
        <v/>
      </c>
      <c r="M271">
        <f>IF($AG271="","",Config!$B$16)</f>
        <v/>
      </c>
      <c r="N271">
        <f>IF($AG271="","","")</f>
        <v/>
      </c>
      <c r="O271">
        <f>IF($AG271="","",INDEX('TMP Paste'!$K$2:$K$1601,$AG271))</f>
        <v/>
      </c>
      <c r="P271">
        <f>IF($AG271="","","")</f>
        <v/>
      </c>
      <c r="Q271">
        <f>IF($AG271="","",INDEX('TMP Paste'!$J$2:$J$1601,$AG271))</f>
        <v/>
      </c>
      <c r="R271">
        <f>IF($AG271="","",Config!$B$24)</f>
        <v/>
      </c>
      <c r="S271">
        <f>IF($AG271="","",TEXT(Config!$B$4,"yyyy-mm-dd"))</f>
        <v/>
      </c>
      <c r="T271">
        <f>IF($AG271="","",Config!$B$17)</f>
        <v/>
      </c>
      <c r="U271">
        <f>IF($AG271="","",Config!$B$18)</f>
        <v/>
      </c>
      <c r="V271">
        <f>IF($AG271="","",Config!$B$19)</f>
        <v/>
      </c>
      <c r="W271">
        <f>IF($AG271="","",INDEX('TMP Paste'!$C$2:$C$1601,$AG271))</f>
        <v/>
      </c>
      <c r="X271">
        <f>IF($AG271="","",Config!$B$29)</f>
        <v/>
      </c>
      <c r="Y271">
        <f>IF($AH271="","",INDEX(Calc!$I$2:$I$1601,$AH271)&amp;" - "&amp;INDEX(Calc!$D$2:$D$1601,$AH271)&amp;" koli")</f>
        <v/>
      </c>
      <c r="Z271">
        <f>IF($AG271="","",Config!$B$21)</f>
        <v/>
      </c>
      <c r="AA271">
        <f>IF($AG271="","",Config!$B$22)</f>
        <v/>
      </c>
      <c r="AB271">
        <f>IF($AH271="","",INDEX(Calc!$D$2:$D$1601,$AH271))</f>
        <v/>
      </c>
      <c r="AC271">
        <f>IF($AH271="","",INDEX(Calc!$G$2:$G$1601,$AH271))</f>
        <v/>
      </c>
      <c r="AD271">
        <f>IF($AG271="","",Config!$B$23)</f>
        <v/>
      </c>
      <c r="AE271">
        <f>IF($AG271="","",Config!$B$28)</f>
        <v/>
      </c>
      <c r="AG271">
        <f>IFERROR(MATCH(ROW()-1,Calc!$J$2:$J$1601,0),"")</f>
        <v/>
      </c>
      <c r="AH271">
        <f>IFERROR(MATCH(ROW()-1,Calc!$K$2:$K$1601,0),"")</f>
        <v/>
      </c>
      <c r="AI271">
        <f>IF($AG271="","",SUMIF($AG$2:$AG271,$AG271,$AH$2:$AH271))</f>
        <v/>
      </c>
      <c r="AJ271">
        <f>IF('TMP Paste'!$F271="","",IF('TMP Paste'!$B271="",$AJ270,'TMP Paste'!$B271))</f>
        <v/>
      </c>
      <c r="AK271">
        <f>IF('TMP Paste'!$F271="","",N('TMP Paste'!$G271))</f>
        <v/>
      </c>
      <c r="AL271">
        <f>IF('TMP Paste'!$F271="","",IF('TMP Paste'!$M271="",$AL270,'TMP Paste'!$M271))</f>
        <v/>
      </c>
      <c r="AM271">
        <f>IF('TMP Paste'!$F271="","",IF('TMP Paste'!$N271="",$AM270,'TMP Paste'!$N271))</f>
        <v/>
      </c>
      <c r="AN271">
        <f>IF('TMP Paste'!$F271="","",IF('TMP Paste'!$O271="",$AN270,'TMP Paste'!$O271))</f>
        <v/>
      </c>
      <c r="AO271">
        <f>IF('TMP Paste'!$F271="","",IF('TMP Paste'!$P271="",$AO270,'TMP Paste'!$P271))</f>
        <v/>
      </c>
      <c r="AP271">
        <f>IF($AG271="","",LEN($R271))</f>
        <v/>
      </c>
      <c r="AQ271">
        <f>IF($AG271="","",TRIM(IF(COUNTIFS(Calc!$B$2:$B$1601,ROW()-1,Calc!$C$2:$C$1601,"&lt;1")&gt;0,"Ada PO tanpa Koli - cek TMP. ","")&amp;IF(LEN($R271)&gt;500,"R &gt; 500 karakter.","")))</f>
        <v/>
      </c>
    </row>
    <row r="272">
      <c r="A272">
        <f>IF($AG272="","",INDEX('TMP Paste'!$B$2:$B$1601,$AG272))</f>
        <v/>
      </c>
      <c r="B272">
        <f>IF($AG272="","",Config!$B$14)</f>
        <v/>
      </c>
      <c r="C272">
        <f>IF($AG272="","",Config!$B$15)</f>
        <v/>
      </c>
      <c r="D272">
        <f>IF($AG272="","",INDEX('TMP Paste'!$B$2:$B$1601,$AG272))</f>
        <v/>
      </c>
      <c r="E272">
        <f>IF($AG272="","",Config!$B$27)</f>
        <v/>
      </c>
      <c r="F272">
        <f>IF($AG272="","",Config!$B$9)</f>
        <v/>
      </c>
      <c r="G272">
        <f>IF($AG272="","",Config!$B$10)</f>
        <v/>
      </c>
      <c r="H272">
        <f>IF($AG272="","",Config!$B$11)</f>
        <v/>
      </c>
      <c r="I272">
        <f>IF($AG272="","",Config!$B$16)</f>
        <v/>
      </c>
      <c r="J272">
        <f>IF($AG272="","",INDEX('TMP Paste'!$A$2:$A$1601,$AG272))</f>
        <v/>
      </c>
      <c r="K272">
        <f>IF($AG272="","",INDEX('TMP Paste'!$L$2:$L$1601,$AG272))</f>
        <v/>
      </c>
      <c r="L272">
        <f>IF($AG272="","",INDEX('TMP Paste'!$I$2:$I$1601,$AG272))</f>
        <v/>
      </c>
      <c r="M272">
        <f>IF($AG272="","",Config!$B$16)</f>
        <v/>
      </c>
      <c r="N272">
        <f>IF($AG272="","","")</f>
        <v/>
      </c>
      <c r="O272">
        <f>IF($AG272="","",INDEX('TMP Paste'!$K$2:$K$1601,$AG272))</f>
        <v/>
      </c>
      <c r="P272">
        <f>IF($AG272="","","")</f>
        <v/>
      </c>
      <c r="Q272">
        <f>IF($AG272="","",INDEX('TMP Paste'!$J$2:$J$1601,$AG272))</f>
        <v/>
      </c>
      <c r="R272">
        <f>IF($AG272="","",Config!$B$24)</f>
        <v/>
      </c>
      <c r="S272">
        <f>IF($AG272="","",TEXT(Config!$B$4,"yyyy-mm-dd"))</f>
        <v/>
      </c>
      <c r="T272">
        <f>IF($AG272="","",Config!$B$17)</f>
        <v/>
      </c>
      <c r="U272">
        <f>IF($AG272="","",Config!$B$18)</f>
        <v/>
      </c>
      <c r="V272">
        <f>IF($AG272="","",Config!$B$19)</f>
        <v/>
      </c>
      <c r="W272">
        <f>IF($AG272="","",INDEX('TMP Paste'!$C$2:$C$1601,$AG272))</f>
        <v/>
      </c>
      <c r="X272">
        <f>IF($AG272="","",Config!$B$29)</f>
        <v/>
      </c>
      <c r="Y272">
        <f>IF($AH272="","",INDEX(Calc!$I$2:$I$1601,$AH272)&amp;" - "&amp;INDEX(Calc!$D$2:$D$1601,$AH272)&amp;" koli")</f>
        <v/>
      </c>
      <c r="Z272">
        <f>IF($AG272="","",Config!$B$21)</f>
        <v/>
      </c>
      <c r="AA272">
        <f>IF($AG272="","",Config!$B$22)</f>
        <v/>
      </c>
      <c r="AB272">
        <f>IF($AH272="","",INDEX(Calc!$D$2:$D$1601,$AH272))</f>
        <v/>
      </c>
      <c r="AC272">
        <f>IF($AH272="","",INDEX(Calc!$G$2:$G$1601,$AH272))</f>
        <v/>
      </c>
      <c r="AD272">
        <f>IF($AG272="","",Config!$B$23)</f>
        <v/>
      </c>
      <c r="AE272">
        <f>IF($AG272="","",Config!$B$28)</f>
        <v/>
      </c>
      <c r="AG272">
        <f>IFERROR(MATCH(ROW()-1,Calc!$J$2:$J$1601,0),"")</f>
        <v/>
      </c>
      <c r="AH272">
        <f>IFERROR(MATCH(ROW()-1,Calc!$K$2:$K$1601,0),"")</f>
        <v/>
      </c>
      <c r="AI272">
        <f>IF($AG272="","",SUMIF($AG$2:$AG272,$AG272,$AH$2:$AH272))</f>
        <v/>
      </c>
      <c r="AJ272">
        <f>IF('TMP Paste'!$F272="","",IF('TMP Paste'!$B272="",$AJ271,'TMP Paste'!$B272))</f>
        <v/>
      </c>
      <c r="AK272">
        <f>IF('TMP Paste'!$F272="","",N('TMP Paste'!$G272))</f>
        <v/>
      </c>
      <c r="AL272">
        <f>IF('TMP Paste'!$F272="","",IF('TMP Paste'!$M272="",$AL271,'TMP Paste'!$M272))</f>
        <v/>
      </c>
      <c r="AM272">
        <f>IF('TMP Paste'!$F272="","",IF('TMP Paste'!$N272="",$AM271,'TMP Paste'!$N272))</f>
        <v/>
      </c>
      <c r="AN272">
        <f>IF('TMP Paste'!$F272="","",IF('TMP Paste'!$O272="",$AN271,'TMP Paste'!$O272))</f>
        <v/>
      </c>
      <c r="AO272">
        <f>IF('TMP Paste'!$F272="","",IF('TMP Paste'!$P272="",$AO271,'TMP Paste'!$P272))</f>
        <v/>
      </c>
      <c r="AP272">
        <f>IF($AG272="","",LEN($R272))</f>
        <v/>
      </c>
      <c r="AQ272">
        <f>IF($AG272="","",TRIM(IF(COUNTIFS(Calc!$B$2:$B$1601,ROW()-1,Calc!$C$2:$C$1601,"&lt;1")&gt;0,"Ada PO tanpa Koli - cek TMP. ","")&amp;IF(LEN($R272)&gt;500,"R &gt; 500 karakter.","")))</f>
        <v/>
      </c>
    </row>
    <row r="273">
      <c r="A273">
        <f>IF($AG273="","",INDEX('TMP Paste'!$B$2:$B$1601,$AG273))</f>
        <v/>
      </c>
      <c r="B273">
        <f>IF($AG273="","",Config!$B$14)</f>
        <v/>
      </c>
      <c r="C273">
        <f>IF($AG273="","",Config!$B$15)</f>
        <v/>
      </c>
      <c r="D273">
        <f>IF($AG273="","",INDEX('TMP Paste'!$B$2:$B$1601,$AG273))</f>
        <v/>
      </c>
      <c r="E273">
        <f>IF($AG273="","",Config!$B$27)</f>
        <v/>
      </c>
      <c r="F273">
        <f>IF($AG273="","",Config!$B$9)</f>
        <v/>
      </c>
      <c r="G273">
        <f>IF($AG273="","",Config!$B$10)</f>
        <v/>
      </c>
      <c r="H273">
        <f>IF($AG273="","",Config!$B$11)</f>
        <v/>
      </c>
      <c r="I273">
        <f>IF($AG273="","",Config!$B$16)</f>
        <v/>
      </c>
      <c r="J273">
        <f>IF($AG273="","",INDEX('TMP Paste'!$A$2:$A$1601,$AG273))</f>
        <v/>
      </c>
      <c r="K273">
        <f>IF($AG273="","",INDEX('TMP Paste'!$L$2:$L$1601,$AG273))</f>
        <v/>
      </c>
      <c r="L273">
        <f>IF($AG273="","",INDEX('TMP Paste'!$I$2:$I$1601,$AG273))</f>
        <v/>
      </c>
      <c r="M273">
        <f>IF($AG273="","",Config!$B$16)</f>
        <v/>
      </c>
      <c r="N273">
        <f>IF($AG273="","","")</f>
        <v/>
      </c>
      <c r="O273">
        <f>IF($AG273="","",INDEX('TMP Paste'!$K$2:$K$1601,$AG273))</f>
        <v/>
      </c>
      <c r="P273">
        <f>IF($AG273="","","")</f>
        <v/>
      </c>
      <c r="Q273">
        <f>IF($AG273="","",INDEX('TMP Paste'!$J$2:$J$1601,$AG273))</f>
        <v/>
      </c>
      <c r="R273">
        <f>IF($AG273="","",Config!$B$24)</f>
        <v/>
      </c>
      <c r="S273">
        <f>IF($AG273="","",TEXT(Config!$B$4,"yyyy-mm-dd"))</f>
        <v/>
      </c>
      <c r="T273">
        <f>IF($AG273="","",Config!$B$17)</f>
        <v/>
      </c>
      <c r="U273">
        <f>IF($AG273="","",Config!$B$18)</f>
        <v/>
      </c>
      <c r="V273">
        <f>IF($AG273="","",Config!$B$19)</f>
        <v/>
      </c>
      <c r="W273">
        <f>IF($AG273="","",INDEX('TMP Paste'!$C$2:$C$1601,$AG273))</f>
        <v/>
      </c>
      <c r="X273">
        <f>IF($AG273="","",Config!$B$29)</f>
        <v/>
      </c>
      <c r="Y273">
        <f>IF($AH273="","",INDEX(Calc!$I$2:$I$1601,$AH273)&amp;" - "&amp;INDEX(Calc!$D$2:$D$1601,$AH273)&amp;" koli")</f>
        <v/>
      </c>
      <c r="Z273">
        <f>IF($AG273="","",Config!$B$21)</f>
        <v/>
      </c>
      <c r="AA273">
        <f>IF($AG273="","",Config!$B$22)</f>
        <v/>
      </c>
      <c r="AB273">
        <f>IF($AH273="","",INDEX(Calc!$D$2:$D$1601,$AH273))</f>
        <v/>
      </c>
      <c r="AC273">
        <f>IF($AH273="","",INDEX(Calc!$G$2:$G$1601,$AH273))</f>
        <v/>
      </c>
      <c r="AD273">
        <f>IF($AG273="","",Config!$B$23)</f>
        <v/>
      </c>
      <c r="AE273">
        <f>IF($AG273="","",Config!$B$28)</f>
        <v/>
      </c>
      <c r="AG273">
        <f>IFERROR(MATCH(ROW()-1,Calc!$J$2:$J$1601,0),"")</f>
        <v/>
      </c>
      <c r="AH273">
        <f>IFERROR(MATCH(ROW()-1,Calc!$K$2:$K$1601,0),"")</f>
        <v/>
      </c>
      <c r="AI273">
        <f>IF($AG273="","",SUMIF($AG$2:$AG273,$AG273,$AH$2:$AH273))</f>
        <v/>
      </c>
      <c r="AJ273">
        <f>IF('TMP Paste'!$F273="","",IF('TMP Paste'!$B273="",$AJ272,'TMP Paste'!$B273))</f>
        <v/>
      </c>
      <c r="AK273">
        <f>IF('TMP Paste'!$F273="","",N('TMP Paste'!$G273))</f>
        <v/>
      </c>
      <c r="AL273">
        <f>IF('TMP Paste'!$F273="","",IF('TMP Paste'!$M273="",$AL272,'TMP Paste'!$M273))</f>
        <v/>
      </c>
      <c r="AM273">
        <f>IF('TMP Paste'!$F273="","",IF('TMP Paste'!$N273="",$AM272,'TMP Paste'!$N273))</f>
        <v/>
      </c>
      <c r="AN273">
        <f>IF('TMP Paste'!$F273="","",IF('TMP Paste'!$O273="",$AN272,'TMP Paste'!$O273))</f>
        <v/>
      </c>
      <c r="AO273">
        <f>IF('TMP Paste'!$F273="","",IF('TMP Paste'!$P273="",$AO272,'TMP Paste'!$P273))</f>
        <v/>
      </c>
      <c r="AP273">
        <f>IF($AG273="","",LEN($R273))</f>
        <v/>
      </c>
      <c r="AQ273">
        <f>IF($AG273="","",TRIM(IF(COUNTIFS(Calc!$B$2:$B$1601,ROW()-1,Calc!$C$2:$C$1601,"&lt;1")&gt;0,"Ada PO tanpa Koli - cek TMP. ","")&amp;IF(LEN($R273)&gt;500,"R &gt; 500 karakter.","")))</f>
        <v/>
      </c>
    </row>
    <row r="274">
      <c r="A274">
        <f>IF($AG274="","",INDEX('TMP Paste'!$B$2:$B$1601,$AG274))</f>
        <v/>
      </c>
      <c r="B274">
        <f>IF($AG274="","",Config!$B$14)</f>
        <v/>
      </c>
      <c r="C274">
        <f>IF($AG274="","",Config!$B$15)</f>
        <v/>
      </c>
      <c r="D274">
        <f>IF($AG274="","",INDEX('TMP Paste'!$B$2:$B$1601,$AG274))</f>
        <v/>
      </c>
      <c r="E274">
        <f>IF($AG274="","",Config!$B$27)</f>
        <v/>
      </c>
      <c r="F274">
        <f>IF($AG274="","",Config!$B$9)</f>
        <v/>
      </c>
      <c r="G274">
        <f>IF($AG274="","",Config!$B$10)</f>
        <v/>
      </c>
      <c r="H274">
        <f>IF($AG274="","",Config!$B$11)</f>
        <v/>
      </c>
      <c r="I274">
        <f>IF($AG274="","",Config!$B$16)</f>
        <v/>
      </c>
      <c r="J274">
        <f>IF($AG274="","",INDEX('TMP Paste'!$A$2:$A$1601,$AG274))</f>
        <v/>
      </c>
      <c r="K274">
        <f>IF($AG274="","",INDEX('TMP Paste'!$L$2:$L$1601,$AG274))</f>
        <v/>
      </c>
      <c r="L274">
        <f>IF($AG274="","",INDEX('TMP Paste'!$I$2:$I$1601,$AG274))</f>
        <v/>
      </c>
      <c r="M274">
        <f>IF($AG274="","",Config!$B$16)</f>
        <v/>
      </c>
      <c r="N274">
        <f>IF($AG274="","","")</f>
        <v/>
      </c>
      <c r="O274">
        <f>IF($AG274="","",INDEX('TMP Paste'!$K$2:$K$1601,$AG274))</f>
        <v/>
      </c>
      <c r="P274">
        <f>IF($AG274="","","")</f>
        <v/>
      </c>
      <c r="Q274">
        <f>IF($AG274="","",INDEX('TMP Paste'!$J$2:$J$1601,$AG274))</f>
        <v/>
      </c>
      <c r="R274">
        <f>IF($AG274="","",Config!$B$24)</f>
        <v/>
      </c>
      <c r="S274">
        <f>IF($AG274="","",TEXT(Config!$B$4,"yyyy-mm-dd"))</f>
        <v/>
      </c>
      <c r="T274">
        <f>IF($AG274="","",Config!$B$17)</f>
        <v/>
      </c>
      <c r="U274">
        <f>IF($AG274="","",Config!$B$18)</f>
        <v/>
      </c>
      <c r="V274">
        <f>IF($AG274="","",Config!$B$19)</f>
        <v/>
      </c>
      <c r="W274">
        <f>IF($AG274="","",INDEX('TMP Paste'!$C$2:$C$1601,$AG274))</f>
        <v/>
      </c>
      <c r="X274">
        <f>IF($AG274="","",Config!$B$29)</f>
        <v/>
      </c>
      <c r="Y274">
        <f>IF($AH274="","",INDEX(Calc!$I$2:$I$1601,$AH274)&amp;" - "&amp;INDEX(Calc!$D$2:$D$1601,$AH274)&amp;" koli")</f>
        <v/>
      </c>
      <c r="Z274">
        <f>IF($AG274="","",Config!$B$21)</f>
        <v/>
      </c>
      <c r="AA274">
        <f>IF($AG274="","",Config!$B$22)</f>
        <v/>
      </c>
      <c r="AB274">
        <f>IF($AH274="","",INDEX(Calc!$D$2:$D$1601,$AH274))</f>
        <v/>
      </c>
      <c r="AC274">
        <f>IF($AH274="","",INDEX(Calc!$G$2:$G$1601,$AH274))</f>
        <v/>
      </c>
      <c r="AD274">
        <f>IF($AG274="","",Config!$B$23)</f>
        <v/>
      </c>
      <c r="AE274">
        <f>IF($AG274="","",Config!$B$28)</f>
        <v/>
      </c>
      <c r="AG274">
        <f>IFERROR(MATCH(ROW()-1,Calc!$J$2:$J$1601,0),"")</f>
        <v/>
      </c>
      <c r="AH274">
        <f>IFERROR(MATCH(ROW()-1,Calc!$K$2:$K$1601,0),"")</f>
        <v/>
      </c>
      <c r="AI274">
        <f>IF($AG274="","",SUMIF($AG$2:$AG274,$AG274,$AH$2:$AH274))</f>
        <v/>
      </c>
      <c r="AJ274">
        <f>IF('TMP Paste'!$F274="","",IF('TMP Paste'!$B274="",$AJ273,'TMP Paste'!$B274))</f>
        <v/>
      </c>
      <c r="AK274">
        <f>IF('TMP Paste'!$F274="","",N('TMP Paste'!$G274))</f>
        <v/>
      </c>
      <c r="AL274">
        <f>IF('TMP Paste'!$F274="","",IF('TMP Paste'!$M274="",$AL273,'TMP Paste'!$M274))</f>
        <v/>
      </c>
      <c r="AM274">
        <f>IF('TMP Paste'!$F274="","",IF('TMP Paste'!$N274="",$AM273,'TMP Paste'!$N274))</f>
        <v/>
      </c>
      <c r="AN274">
        <f>IF('TMP Paste'!$F274="","",IF('TMP Paste'!$O274="",$AN273,'TMP Paste'!$O274))</f>
        <v/>
      </c>
      <c r="AO274">
        <f>IF('TMP Paste'!$F274="","",IF('TMP Paste'!$P274="",$AO273,'TMP Paste'!$P274))</f>
        <v/>
      </c>
      <c r="AP274">
        <f>IF($AG274="","",LEN($R274))</f>
        <v/>
      </c>
      <c r="AQ274">
        <f>IF($AG274="","",TRIM(IF(COUNTIFS(Calc!$B$2:$B$1601,ROW()-1,Calc!$C$2:$C$1601,"&lt;1")&gt;0,"Ada PO tanpa Koli - cek TMP. ","")&amp;IF(LEN($R274)&gt;500,"R &gt; 500 karakter.","")))</f>
        <v/>
      </c>
    </row>
    <row r="275">
      <c r="A275">
        <f>IF($AG275="","",INDEX('TMP Paste'!$B$2:$B$1601,$AG275))</f>
        <v/>
      </c>
      <c r="B275">
        <f>IF($AG275="","",Config!$B$14)</f>
        <v/>
      </c>
      <c r="C275">
        <f>IF($AG275="","",Config!$B$15)</f>
        <v/>
      </c>
      <c r="D275">
        <f>IF($AG275="","",INDEX('TMP Paste'!$B$2:$B$1601,$AG275))</f>
        <v/>
      </c>
      <c r="E275">
        <f>IF($AG275="","",Config!$B$27)</f>
        <v/>
      </c>
      <c r="F275">
        <f>IF($AG275="","",Config!$B$9)</f>
        <v/>
      </c>
      <c r="G275">
        <f>IF($AG275="","",Config!$B$10)</f>
        <v/>
      </c>
      <c r="H275">
        <f>IF($AG275="","",Config!$B$11)</f>
        <v/>
      </c>
      <c r="I275">
        <f>IF($AG275="","",Config!$B$16)</f>
        <v/>
      </c>
      <c r="J275">
        <f>IF($AG275="","",INDEX('TMP Paste'!$A$2:$A$1601,$AG275))</f>
        <v/>
      </c>
      <c r="K275">
        <f>IF($AG275="","",INDEX('TMP Paste'!$L$2:$L$1601,$AG275))</f>
        <v/>
      </c>
      <c r="L275">
        <f>IF($AG275="","",INDEX('TMP Paste'!$I$2:$I$1601,$AG275))</f>
        <v/>
      </c>
      <c r="M275">
        <f>IF($AG275="","",Config!$B$16)</f>
        <v/>
      </c>
      <c r="N275">
        <f>IF($AG275="","","")</f>
        <v/>
      </c>
      <c r="O275">
        <f>IF($AG275="","",INDEX('TMP Paste'!$K$2:$K$1601,$AG275))</f>
        <v/>
      </c>
      <c r="P275">
        <f>IF($AG275="","","")</f>
        <v/>
      </c>
      <c r="Q275">
        <f>IF($AG275="","",INDEX('TMP Paste'!$J$2:$J$1601,$AG275))</f>
        <v/>
      </c>
      <c r="R275">
        <f>IF($AG275="","",Config!$B$24)</f>
        <v/>
      </c>
      <c r="S275">
        <f>IF($AG275="","",TEXT(Config!$B$4,"yyyy-mm-dd"))</f>
        <v/>
      </c>
      <c r="T275">
        <f>IF($AG275="","",Config!$B$17)</f>
        <v/>
      </c>
      <c r="U275">
        <f>IF($AG275="","",Config!$B$18)</f>
        <v/>
      </c>
      <c r="V275">
        <f>IF($AG275="","",Config!$B$19)</f>
        <v/>
      </c>
      <c r="W275">
        <f>IF($AG275="","",INDEX('TMP Paste'!$C$2:$C$1601,$AG275))</f>
        <v/>
      </c>
      <c r="X275">
        <f>IF($AG275="","",Config!$B$29)</f>
        <v/>
      </c>
      <c r="Y275">
        <f>IF($AH275="","",INDEX(Calc!$I$2:$I$1601,$AH275)&amp;" - "&amp;INDEX(Calc!$D$2:$D$1601,$AH275)&amp;" koli")</f>
        <v/>
      </c>
      <c r="Z275">
        <f>IF($AG275="","",Config!$B$21)</f>
        <v/>
      </c>
      <c r="AA275">
        <f>IF($AG275="","",Config!$B$22)</f>
        <v/>
      </c>
      <c r="AB275">
        <f>IF($AH275="","",INDEX(Calc!$D$2:$D$1601,$AH275))</f>
        <v/>
      </c>
      <c r="AC275">
        <f>IF($AH275="","",INDEX(Calc!$G$2:$G$1601,$AH275))</f>
        <v/>
      </c>
      <c r="AD275">
        <f>IF($AG275="","",Config!$B$23)</f>
        <v/>
      </c>
      <c r="AE275">
        <f>IF($AG275="","",Config!$B$28)</f>
        <v/>
      </c>
      <c r="AG275">
        <f>IFERROR(MATCH(ROW()-1,Calc!$J$2:$J$1601,0),"")</f>
        <v/>
      </c>
      <c r="AH275">
        <f>IFERROR(MATCH(ROW()-1,Calc!$K$2:$K$1601,0),"")</f>
        <v/>
      </c>
      <c r="AI275">
        <f>IF($AG275="","",SUMIF($AG$2:$AG275,$AG275,$AH$2:$AH275))</f>
        <v/>
      </c>
      <c r="AJ275">
        <f>IF('TMP Paste'!$F275="","",IF('TMP Paste'!$B275="",$AJ274,'TMP Paste'!$B275))</f>
        <v/>
      </c>
      <c r="AK275">
        <f>IF('TMP Paste'!$F275="","",N('TMP Paste'!$G275))</f>
        <v/>
      </c>
      <c r="AL275">
        <f>IF('TMP Paste'!$F275="","",IF('TMP Paste'!$M275="",$AL274,'TMP Paste'!$M275))</f>
        <v/>
      </c>
      <c r="AM275">
        <f>IF('TMP Paste'!$F275="","",IF('TMP Paste'!$N275="",$AM274,'TMP Paste'!$N275))</f>
        <v/>
      </c>
      <c r="AN275">
        <f>IF('TMP Paste'!$F275="","",IF('TMP Paste'!$O275="",$AN274,'TMP Paste'!$O275))</f>
        <v/>
      </c>
      <c r="AO275">
        <f>IF('TMP Paste'!$F275="","",IF('TMP Paste'!$P275="",$AO274,'TMP Paste'!$P275))</f>
        <v/>
      </c>
      <c r="AP275">
        <f>IF($AG275="","",LEN($R275))</f>
        <v/>
      </c>
      <c r="AQ275">
        <f>IF($AG275="","",TRIM(IF(COUNTIFS(Calc!$B$2:$B$1601,ROW()-1,Calc!$C$2:$C$1601,"&lt;1")&gt;0,"Ada PO tanpa Koli - cek TMP. ","")&amp;IF(LEN($R275)&gt;500,"R &gt; 500 karakter.","")))</f>
        <v/>
      </c>
    </row>
    <row r="276">
      <c r="A276">
        <f>IF($AG276="","",INDEX('TMP Paste'!$B$2:$B$1601,$AG276))</f>
        <v/>
      </c>
      <c r="B276">
        <f>IF($AG276="","",Config!$B$14)</f>
        <v/>
      </c>
      <c r="C276">
        <f>IF($AG276="","",Config!$B$15)</f>
        <v/>
      </c>
      <c r="D276">
        <f>IF($AG276="","",INDEX('TMP Paste'!$B$2:$B$1601,$AG276))</f>
        <v/>
      </c>
      <c r="E276">
        <f>IF($AG276="","",Config!$B$27)</f>
        <v/>
      </c>
      <c r="F276">
        <f>IF($AG276="","",Config!$B$9)</f>
        <v/>
      </c>
      <c r="G276">
        <f>IF($AG276="","",Config!$B$10)</f>
        <v/>
      </c>
      <c r="H276">
        <f>IF($AG276="","",Config!$B$11)</f>
        <v/>
      </c>
      <c r="I276">
        <f>IF($AG276="","",Config!$B$16)</f>
        <v/>
      </c>
      <c r="J276">
        <f>IF($AG276="","",INDEX('TMP Paste'!$A$2:$A$1601,$AG276))</f>
        <v/>
      </c>
      <c r="K276">
        <f>IF($AG276="","",INDEX('TMP Paste'!$L$2:$L$1601,$AG276))</f>
        <v/>
      </c>
      <c r="L276">
        <f>IF($AG276="","",INDEX('TMP Paste'!$I$2:$I$1601,$AG276))</f>
        <v/>
      </c>
      <c r="M276">
        <f>IF($AG276="","",Config!$B$16)</f>
        <v/>
      </c>
      <c r="N276">
        <f>IF($AG276="","","")</f>
        <v/>
      </c>
      <c r="O276">
        <f>IF($AG276="","",INDEX('TMP Paste'!$K$2:$K$1601,$AG276))</f>
        <v/>
      </c>
      <c r="P276">
        <f>IF($AG276="","","")</f>
        <v/>
      </c>
      <c r="Q276">
        <f>IF($AG276="","",INDEX('TMP Paste'!$J$2:$J$1601,$AG276))</f>
        <v/>
      </c>
      <c r="R276">
        <f>IF($AG276="","",Config!$B$24)</f>
        <v/>
      </c>
      <c r="S276">
        <f>IF($AG276="","",TEXT(Config!$B$4,"yyyy-mm-dd"))</f>
        <v/>
      </c>
      <c r="T276">
        <f>IF($AG276="","",Config!$B$17)</f>
        <v/>
      </c>
      <c r="U276">
        <f>IF($AG276="","",Config!$B$18)</f>
        <v/>
      </c>
      <c r="V276">
        <f>IF($AG276="","",Config!$B$19)</f>
        <v/>
      </c>
      <c r="W276">
        <f>IF($AG276="","",INDEX('TMP Paste'!$C$2:$C$1601,$AG276))</f>
        <v/>
      </c>
      <c r="X276">
        <f>IF($AG276="","",Config!$B$29)</f>
        <v/>
      </c>
      <c r="Y276">
        <f>IF($AH276="","",INDEX(Calc!$I$2:$I$1601,$AH276)&amp;" - "&amp;INDEX(Calc!$D$2:$D$1601,$AH276)&amp;" koli")</f>
        <v/>
      </c>
      <c r="Z276">
        <f>IF($AG276="","",Config!$B$21)</f>
        <v/>
      </c>
      <c r="AA276">
        <f>IF($AG276="","",Config!$B$22)</f>
        <v/>
      </c>
      <c r="AB276">
        <f>IF($AH276="","",INDEX(Calc!$D$2:$D$1601,$AH276))</f>
        <v/>
      </c>
      <c r="AC276">
        <f>IF($AH276="","",INDEX(Calc!$G$2:$G$1601,$AH276))</f>
        <v/>
      </c>
      <c r="AD276">
        <f>IF($AG276="","",Config!$B$23)</f>
        <v/>
      </c>
      <c r="AE276">
        <f>IF($AG276="","",Config!$B$28)</f>
        <v/>
      </c>
      <c r="AG276">
        <f>IFERROR(MATCH(ROW()-1,Calc!$J$2:$J$1601,0),"")</f>
        <v/>
      </c>
      <c r="AH276">
        <f>IFERROR(MATCH(ROW()-1,Calc!$K$2:$K$1601,0),"")</f>
        <v/>
      </c>
      <c r="AI276">
        <f>IF($AG276="","",SUMIF($AG$2:$AG276,$AG276,$AH$2:$AH276))</f>
        <v/>
      </c>
      <c r="AJ276">
        <f>IF('TMP Paste'!$F276="","",IF('TMP Paste'!$B276="",$AJ275,'TMP Paste'!$B276))</f>
        <v/>
      </c>
      <c r="AK276">
        <f>IF('TMP Paste'!$F276="","",N('TMP Paste'!$G276))</f>
        <v/>
      </c>
      <c r="AL276">
        <f>IF('TMP Paste'!$F276="","",IF('TMP Paste'!$M276="",$AL275,'TMP Paste'!$M276))</f>
        <v/>
      </c>
      <c r="AM276">
        <f>IF('TMP Paste'!$F276="","",IF('TMP Paste'!$N276="",$AM275,'TMP Paste'!$N276))</f>
        <v/>
      </c>
      <c r="AN276">
        <f>IF('TMP Paste'!$F276="","",IF('TMP Paste'!$O276="",$AN275,'TMP Paste'!$O276))</f>
        <v/>
      </c>
      <c r="AO276">
        <f>IF('TMP Paste'!$F276="","",IF('TMP Paste'!$P276="",$AO275,'TMP Paste'!$P276))</f>
        <v/>
      </c>
      <c r="AP276">
        <f>IF($AG276="","",LEN($R276))</f>
        <v/>
      </c>
      <c r="AQ276">
        <f>IF($AG276="","",TRIM(IF(COUNTIFS(Calc!$B$2:$B$1601,ROW()-1,Calc!$C$2:$C$1601,"&lt;1")&gt;0,"Ada PO tanpa Koli - cek TMP. ","")&amp;IF(LEN($R276)&gt;500,"R &gt; 500 karakter.","")))</f>
        <v/>
      </c>
    </row>
    <row r="277">
      <c r="A277">
        <f>IF($AG277="","",INDEX('TMP Paste'!$B$2:$B$1601,$AG277))</f>
        <v/>
      </c>
      <c r="B277">
        <f>IF($AG277="","",Config!$B$14)</f>
        <v/>
      </c>
      <c r="C277">
        <f>IF($AG277="","",Config!$B$15)</f>
        <v/>
      </c>
      <c r="D277">
        <f>IF($AG277="","",INDEX('TMP Paste'!$B$2:$B$1601,$AG277))</f>
        <v/>
      </c>
      <c r="E277">
        <f>IF($AG277="","",Config!$B$27)</f>
        <v/>
      </c>
      <c r="F277">
        <f>IF($AG277="","",Config!$B$9)</f>
        <v/>
      </c>
      <c r="G277">
        <f>IF($AG277="","",Config!$B$10)</f>
        <v/>
      </c>
      <c r="H277">
        <f>IF($AG277="","",Config!$B$11)</f>
        <v/>
      </c>
      <c r="I277">
        <f>IF($AG277="","",Config!$B$16)</f>
        <v/>
      </c>
      <c r="J277">
        <f>IF($AG277="","",INDEX('TMP Paste'!$A$2:$A$1601,$AG277))</f>
        <v/>
      </c>
      <c r="K277">
        <f>IF($AG277="","",INDEX('TMP Paste'!$L$2:$L$1601,$AG277))</f>
        <v/>
      </c>
      <c r="L277">
        <f>IF($AG277="","",INDEX('TMP Paste'!$I$2:$I$1601,$AG277))</f>
        <v/>
      </c>
      <c r="M277">
        <f>IF($AG277="","",Config!$B$16)</f>
        <v/>
      </c>
      <c r="N277">
        <f>IF($AG277="","","")</f>
        <v/>
      </c>
      <c r="O277">
        <f>IF($AG277="","",INDEX('TMP Paste'!$K$2:$K$1601,$AG277))</f>
        <v/>
      </c>
      <c r="P277">
        <f>IF($AG277="","","")</f>
        <v/>
      </c>
      <c r="Q277">
        <f>IF($AG277="","",INDEX('TMP Paste'!$J$2:$J$1601,$AG277))</f>
        <v/>
      </c>
      <c r="R277">
        <f>IF($AG277="","",Config!$B$24)</f>
        <v/>
      </c>
      <c r="S277">
        <f>IF($AG277="","",TEXT(Config!$B$4,"yyyy-mm-dd"))</f>
        <v/>
      </c>
      <c r="T277">
        <f>IF($AG277="","",Config!$B$17)</f>
        <v/>
      </c>
      <c r="U277">
        <f>IF($AG277="","",Config!$B$18)</f>
        <v/>
      </c>
      <c r="V277">
        <f>IF($AG277="","",Config!$B$19)</f>
        <v/>
      </c>
      <c r="W277">
        <f>IF($AG277="","",INDEX('TMP Paste'!$C$2:$C$1601,$AG277))</f>
        <v/>
      </c>
      <c r="X277">
        <f>IF($AG277="","",Config!$B$29)</f>
        <v/>
      </c>
      <c r="Y277">
        <f>IF($AH277="","",INDEX(Calc!$I$2:$I$1601,$AH277)&amp;" - "&amp;INDEX(Calc!$D$2:$D$1601,$AH277)&amp;" koli")</f>
        <v/>
      </c>
      <c r="Z277">
        <f>IF($AG277="","",Config!$B$21)</f>
        <v/>
      </c>
      <c r="AA277">
        <f>IF($AG277="","",Config!$B$22)</f>
        <v/>
      </c>
      <c r="AB277">
        <f>IF($AH277="","",INDEX(Calc!$D$2:$D$1601,$AH277))</f>
        <v/>
      </c>
      <c r="AC277">
        <f>IF($AH277="","",INDEX(Calc!$G$2:$G$1601,$AH277))</f>
        <v/>
      </c>
      <c r="AD277">
        <f>IF($AG277="","",Config!$B$23)</f>
        <v/>
      </c>
      <c r="AE277">
        <f>IF($AG277="","",Config!$B$28)</f>
        <v/>
      </c>
      <c r="AG277">
        <f>IFERROR(MATCH(ROW()-1,Calc!$J$2:$J$1601,0),"")</f>
        <v/>
      </c>
      <c r="AH277">
        <f>IFERROR(MATCH(ROW()-1,Calc!$K$2:$K$1601,0),"")</f>
        <v/>
      </c>
      <c r="AI277">
        <f>IF($AG277="","",SUMIF($AG$2:$AG277,$AG277,$AH$2:$AH277))</f>
        <v/>
      </c>
      <c r="AJ277">
        <f>IF('TMP Paste'!$F277="","",IF('TMP Paste'!$B277="",$AJ276,'TMP Paste'!$B277))</f>
        <v/>
      </c>
      <c r="AK277">
        <f>IF('TMP Paste'!$F277="","",N('TMP Paste'!$G277))</f>
        <v/>
      </c>
      <c r="AL277">
        <f>IF('TMP Paste'!$F277="","",IF('TMP Paste'!$M277="",$AL276,'TMP Paste'!$M277))</f>
        <v/>
      </c>
      <c r="AM277">
        <f>IF('TMP Paste'!$F277="","",IF('TMP Paste'!$N277="",$AM276,'TMP Paste'!$N277))</f>
        <v/>
      </c>
      <c r="AN277">
        <f>IF('TMP Paste'!$F277="","",IF('TMP Paste'!$O277="",$AN276,'TMP Paste'!$O277))</f>
        <v/>
      </c>
      <c r="AO277">
        <f>IF('TMP Paste'!$F277="","",IF('TMP Paste'!$P277="",$AO276,'TMP Paste'!$P277))</f>
        <v/>
      </c>
      <c r="AP277">
        <f>IF($AG277="","",LEN($R277))</f>
        <v/>
      </c>
      <c r="AQ277">
        <f>IF($AG277="","",TRIM(IF(COUNTIFS(Calc!$B$2:$B$1601,ROW()-1,Calc!$C$2:$C$1601,"&lt;1")&gt;0,"Ada PO tanpa Koli - cek TMP. ","")&amp;IF(LEN($R277)&gt;500,"R &gt; 500 karakter.","")))</f>
        <v/>
      </c>
    </row>
    <row r="278">
      <c r="A278">
        <f>IF($AG278="","",INDEX('TMP Paste'!$B$2:$B$1601,$AG278))</f>
        <v/>
      </c>
      <c r="B278">
        <f>IF($AG278="","",Config!$B$14)</f>
        <v/>
      </c>
      <c r="C278">
        <f>IF($AG278="","",Config!$B$15)</f>
        <v/>
      </c>
      <c r="D278">
        <f>IF($AG278="","",INDEX('TMP Paste'!$B$2:$B$1601,$AG278))</f>
        <v/>
      </c>
      <c r="E278">
        <f>IF($AG278="","",Config!$B$27)</f>
        <v/>
      </c>
      <c r="F278">
        <f>IF($AG278="","",Config!$B$9)</f>
        <v/>
      </c>
      <c r="G278">
        <f>IF($AG278="","",Config!$B$10)</f>
        <v/>
      </c>
      <c r="H278">
        <f>IF($AG278="","",Config!$B$11)</f>
        <v/>
      </c>
      <c r="I278">
        <f>IF($AG278="","",Config!$B$16)</f>
        <v/>
      </c>
      <c r="J278">
        <f>IF($AG278="","",INDEX('TMP Paste'!$A$2:$A$1601,$AG278))</f>
        <v/>
      </c>
      <c r="K278">
        <f>IF($AG278="","",INDEX('TMP Paste'!$L$2:$L$1601,$AG278))</f>
        <v/>
      </c>
      <c r="L278">
        <f>IF($AG278="","",INDEX('TMP Paste'!$I$2:$I$1601,$AG278))</f>
        <v/>
      </c>
      <c r="M278">
        <f>IF($AG278="","",Config!$B$16)</f>
        <v/>
      </c>
      <c r="N278">
        <f>IF($AG278="","","")</f>
        <v/>
      </c>
      <c r="O278">
        <f>IF($AG278="","",INDEX('TMP Paste'!$K$2:$K$1601,$AG278))</f>
        <v/>
      </c>
      <c r="P278">
        <f>IF($AG278="","","")</f>
        <v/>
      </c>
      <c r="Q278">
        <f>IF($AG278="","",INDEX('TMP Paste'!$J$2:$J$1601,$AG278))</f>
        <v/>
      </c>
      <c r="R278">
        <f>IF($AG278="","",Config!$B$24)</f>
        <v/>
      </c>
      <c r="S278">
        <f>IF($AG278="","",TEXT(Config!$B$4,"yyyy-mm-dd"))</f>
        <v/>
      </c>
      <c r="T278">
        <f>IF($AG278="","",Config!$B$17)</f>
        <v/>
      </c>
      <c r="U278">
        <f>IF($AG278="","",Config!$B$18)</f>
        <v/>
      </c>
      <c r="V278">
        <f>IF($AG278="","",Config!$B$19)</f>
        <v/>
      </c>
      <c r="W278">
        <f>IF($AG278="","",INDEX('TMP Paste'!$C$2:$C$1601,$AG278))</f>
        <v/>
      </c>
      <c r="X278">
        <f>IF($AG278="","",Config!$B$29)</f>
        <v/>
      </c>
      <c r="Y278">
        <f>IF($AH278="","",INDEX(Calc!$I$2:$I$1601,$AH278)&amp;" - "&amp;INDEX(Calc!$D$2:$D$1601,$AH278)&amp;" koli")</f>
        <v/>
      </c>
      <c r="Z278">
        <f>IF($AG278="","",Config!$B$21)</f>
        <v/>
      </c>
      <c r="AA278">
        <f>IF($AG278="","",Config!$B$22)</f>
        <v/>
      </c>
      <c r="AB278">
        <f>IF($AH278="","",INDEX(Calc!$D$2:$D$1601,$AH278))</f>
        <v/>
      </c>
      <c r="AC278">
        <f>IF($AH278="","",INDEX(Calc!$G$2:$G$1601,$AH278))</f>
        <v/>
      </c>
      <c r="AD278">
        <f>IF($AG278="","",Config!$B$23)</f>
        <v/>
      </c>
      <c r="AE278">
        <f>IF($AG278="","",Config!$B$28)</f>
        <v/>
      </c>
      <c r="AG278">
        <f>IFERROR(MATCH(ROW()-1,Calc!$J$2:$J$1601,0),"")</f>
        <v/>
      </c>
      <c r="AH278">
        <f>IFERROR(MATCH(ROW()-1,Calc!$K$2:$K$1601,0),"")</f>
        <v/>
      </c>
      <c r="AI278">
        <f>IF($AG278="","",SUMIF($AG$2:$AG278,$AG278,$AH$2:$AH278))</f>
        <v/>
      </c>
      <c r="AJ278">
        <f>IF('TMP Paste'!$F278="","",IF('TMP Paste'!$B278="",$AJ277,'TMP Paste'!$B278))</f>
        <v/>
      </c>
      <c r="AK278">
        <f>IF('TMP Paste'!$F278="","",N('TMP Paste'!$G278))</f>
        <v/>
      </c>
      <c r="AL278">
        <f>IF('TMP Paste'!$F278="","",IF('TMP Paste'!$M278="",$AL277,'TMP Paste'!$M278))</f>
        <v/>
      </c>
      <c r="AM278">
        <f>IF('TMP Paste'!$F278="","",IF('TMP Paste'!$N278="",$AM277,'TMP Paste'!$N278))</f>
        <v/>
      </c>
      <c r="AN278">
        <f>IF('TMP Paste'!$F278="","",IF('TMP Paste'!$O278="",$AN277,'TMP Paste'!$O278))</f>
        <v/>
      </c>
      <c r="AO278">
        <f>IF('TMP Paste'!$F278="","",IF('TMP Paste'!$P278="",$AO277,'TMP Paste'!$P278))</f>
        <v/>
      </c>
      <c r="AP278">
        <f>IF($AG278="","",LEN($R278))</f>
        <v/>
      </c>
      <c r="AQ278">
        <f>IF($AG278="","",TRIM(IF(COUNTIFS(Calc!$B$2:$B$1601,ROW()-1,Calc!$C$2:$C$1601,"&lt;1")&gt;0,"Ada PO tanpa Koli - cek TMP. ","")&amp;IF(LEN($R278)&gt;500,"R &gt; 500 karakter.","")))</f>
        <v/>
      </c>
    </row>
    <row r="279">
      <c r="A279">
        <f>IF($AG279="","",INDEX('TMP Paste'!$B$2:$B$1601,$AG279))</f>
        <v/>
      </c>
      <c r="B279">
        <f>IF($AG279="","",Config!$B$14)</f>
        <v/>
      </c>
      <c r="C279">
        <f>IF($AG279="","",Config!$B$15)</f>
        <v/>
      </c>
      <c r="D279">
        <f>IF($AG279="","",INDEX('TMP Paste'!$B$2:$B$1601,$AG279))</f>
        <v/>
      </c>
      <c r="E279">
        <f>IF($AG279="","",Config!$B$27)</f>
        <v/>
      </c>
      <c r="F279">
        <f>IF($AG279="","",Config!$B$9)</f>
        <v/>
      </c>
      <c r="G279">
        <f>IF($AG279="","",Config!$B$10)</f>
        <v/>
      </c>
      <c r="H279">
        <f>IF($AG279="","",Config!$B$11)</f>
        <v/>
      </c>
      <c r="I279">
        <f>IF($AG279="","",Config!$B$16)</f>
        <v/>
      </c>
      <c r="J279">
        <f>IF($AG279="","",INDEX('TMP Paste'!$A$2:$A$1601,$AG279))</f>
        <v/>
      </c>
      <c r="K279">
        <f>IF($AG279="","",INDEX('TMP Paste'!$L$2:$L$1601,$AG279))</f>
        <v/>
      </c>
      <c r="L279">
        <f>IF($AG279="","",INDEX('TMP Paste'!$I$2:$I$1601,$AG279))</f>
        <v/>
      </c>
      <c r="M279">
        <f>IF($AG279="","",Config!$B$16)</f>
        <v/>
      </c>
      <c r="N279">
        <f>IF($AG279="","","")</f>
        <v/>
      </c>
      <c r="O279">
        <f>IF($AG279="","",INDEX('TMP Paste'!$K$2:$K$1601,$AG279))</f>
        <v/>
      </c>
      <c r="P279">
        <f>IF($AG279="","","")</f>
        <v/>
      </c>
      <c r="Q279">
        <f>IF($AG279="","",INDEX('TMP Paste'!$J$2:$J$1601,$AG279))</f>
        <v/>
      </c>
      <c r="R279">
        <f>IF($AG279="","",Config!$B$24)</f>
        <v/>
      </c>
      <c r="S279">
        <f>IF($AG279="","",TEXT(Config!$B$4,"yyyy-mm-dd"))</f>
        <v/>
      </c>
      <c r="T279">
        <f>IF($AG279="","",Config!$B$17)</f>
        <v/>
      </c>
      <c r="U279">
        <f>IF($AG279="","",Config!$B$18)</f>
        <v/>
      </c>
      <c r="V279">
        <f>IF($AG279="","",Config!$B$19)</f>
        <v/>
      </c>
      <c r="W279">
        <f>IF($AG279="","",INDEX('TMP Paste'!$C$2:$C$1601,$AG279))</f>
        <v/>
      </c>
      <c r="X279">
        <f>IF($AG279="","",Config!$B$29)</f>
        <v/>
      </c>
      <c r="Y279">
        <f>IF($AH279="","",INDEX(Calc!$I$2:$I$1601,$AH279)&amp;" - "&amp;INDEX(Calc!$D$2:$D$1601,$AH279)&amp;" koli")</f>
        <v/>
      </c>
      <c r="Z279">
        <f>IF($AG279="","",Config!$B$21)</f>
        <v/>
      </c>
      <c r="AA279">
        <f>IF($AG279="","",Config!$B$22)</f>
        <v/>
      </c>
      <c r="AB279">
        <f>IF($AH279="","",INDEX(Calc!$D$2:$D$1601,$AH279))</f>
        <v/>
      </c>
      <c r="AC279">
        <f>IF($AH279="","",INDEX(Calc!$G$2:$G$1601,$AH279))</f>
        <v/>
      </c>
      <c r="AD279">
        <f>IF($AG279="","",Config!$B$23)</f>
        <v/>
      </c>
      <c r="AE279">
        <f>IF($AG279="","",Config!$B$28)</f>
        <v/>
      </c>
      <c r="AG279">
        <f>IFERROR(MATCH(ROW()-1,Calc!$J$2:$J$1601,0),"")</f>
        <v/>
      </c>
      <c r="AH279">
        <f>IFERROR(MATCH(ROW()-1,Calc!$K$2:$K$1601,0),"")</f>
        <v/>
      </c>
      <c r="AI279">
        <f>IF($AG279="","",SUMIF($AG$2:$AG279,$AG279,$AH$2:$AH279))</f>
        <v/>
      </c>
      <c r="AJ279">
        <f>IF('TMP Paste'!$F279="","",IF('TMP Paste'!$B279="",$AJ278,'TMP Paste'!$B279))</f>
        <v/>
      </c>
      <c r="AK279">
        <f>IF('TMP Paste'!$F279="","",N('TMP Paste'!$G279))</f>
        <v/>
      </c>
      <c r="AL279">
        <f>IF('TMP Paste'!$F279="","",IF('TMP Paste'!$M279="",$AL278,'TMP Paste'!$M279))</f>
        <v/>
      </c>
      <c r="AM279">
        <f>IF('TMP Paste'!$F279="","",IF('TMP Paste'!$N279="",$AM278,'TMP Paste'!$N279))</f>
        <v/>
      </c>
      <c r="AN279">
        <f>IF('TMP Paste'!$F279="","",IF('TMP Paste'!$O279="",$AN278,'TMP Paste'!$O279))</f>
        <v/>
      </c>
      <c r="AO279">
        <f>IF('TMP Paste'!$F279="","",IF('TMP Paste'!$P279="",$AO278,'TMP Paste'!$P279))</f>
        <v/>
      </c>
      <c r="AP279">
        <f>IF($AG279="","",LEN($R279))</f>
        <v/>
      </c>
      <c r="AQ279">
        <f>IF($AG279="","",TRIM(IF(COUNTIFS(Calc!$B$2:$B$1601,ROW()-1,Calc!$C$2:$C$1601,"&lt;1")&gt;0,"Ada PO tanpa Koli - cek TMP. ","")&amp;IF(LEN($R279)&gt;500,"R &gt; 500 karakter.","")))</f>
        <v/>
      </c>
    </row>
    <row r="280">
      <c r="A280">
        <f>IF($AG280="","",INDEX('TMP Paste'!$B$2:$B$1601,$AG280))</f>
        <v/>
      </c>
      <c r="B280">
        <f>IF($AG280="","",Config!$B$14)</f>
        <v/>
      </c>
      <c r="C280">
        <f>IF($AG280="","",Config!$B$15)</f>
        <v/>
      </c>
      <c r="D280">
        <f>IF($AG280="","",INDEX('TMP Paste'!$B$2:$B$1601,$AG280))</f>
        <v/>
      </c>
      <c r="E280">
        <f>IF($AG280="","",Config!$B$27)</f>
        <v/>
      </c>
      <c r="F280">
        <f>IF($AG280="","",Config!$B$9)</f>
        <v/>
      </c>
      <c r="G280">
        <f>IF($AG280="","",Config!$B$10)</f>
        <v/>
      </c>
      <c r="H280">
        <f>IF($AG280="","",Config!$B$11)</f>
        <v/>
      </c>
      <c r="I280">
        <f>IF($AG280="","",Config!$B$16)</f>
        <v/>
      </c>
      <c r="J280">
        <f>IF($AG280="","",INDEX('TMP Paste'!$A$2:$A$1601,$AG280))</f>
        <v/>
      </c>
      <c r="K280">
        <f>IF($AG280="","",INDEX('TMP Paste'!$L$2:$L$1601,$AG280))</f>
        <v/>
      </c>
      <c r="L280">
        <f>IF($AG280="","",INDEX('TMP Paste'!$I$2:$I$1601,$AG280))</f>
        <v/>
      </c>
      <c r="M280">
        <f>IF($AG280="","",Config!$B$16)</f>
        <v/>
      </c>
      <c r="N280">
        <f>IF($AG280="","","")</f>
        <v/>
      </c>
      <c r="O280">
        <f>IF($AG280="","",INDEX('TMP Paste'!$K$2:$K$1601,$AG280))</f>
        <v/>
      </c>
      <c r="P280">
        <f>IF($AG280="","","")</f>
        <v/>
      </c>
      <c r="Q280">
        <f>IF($AG280="","",INDEX('TMP Paste'!$J$2:$J$1601,$AG280))</f>
        <v/>
      </c>
      <c r="R280">
        <f>IF($AG280="","",Config!$B$24)</f>
        <v/>
      </c>
      <c r="S280">
        <f>IF($AG280="","",TEXT(Config!$B$4,"yyyy-mm-dd"))</f>
        <v/>
      </c>
      <c r="T280">
        <f>IF($AG280="","",Config!$B$17)</f>
        <v/>
      </c>
      <c r="U280">
        <f>IF($AG280="","",Config!$B$18)</f>
        <v/>
      </c>
      <c r="V280">
        <f>IF($AG280="","",Config!$B$19)</f>
        <v/>
      </c>
      <c r="W280">
        <f>IF($AG280="","",INDEX('TMP Paste'!$C$2:$C$1601,$AG280))</f>
        <v/>
      </c>
      <c r="X280">
        <f>IF($AG280="","",Config!$B$29)</f>
        <v/>
      </c>
      <c r="Y280">
        <f>IF($AH280="","",INDEX(Calc!$I$2:$I$1601,$AH280)&amp;" - "&amp;INDEX(Calc!$D$2:$D$1601,$AH280)&amp;" koli")</f>
        <v/>
      </c>
      <c r="Z280">
        <f>IF($AG280="","",Config!$B$21)</f>
        <v/>
      </c>
      <c r="AA280">
        <f>IF($AG280="","",Config!$B$22)</f>
        <v/>
      </c>
      <c r="AB280">
        <f>IF($AH280="","",INDEX(Calc!$D$2:$D$1601,$AH280))</f>
        <v/>
      </c>
      <c r="AC280">
        <f>IF($AH280="","",INDEX(Calc!$G$2:$G$1601,$AH280))</f>
        <v/>
      </c>
      <c r="AD280">
        <f>IF($AG280="","",Config!$B$23)</f>
        <v/>
      </c>
      <c r="AE280">
        <f>IF($AG280="","",Config!$B$28)</f>
        <v/>
      </c>
      <c r="AG280">
        <f>IFERROR(MATCH(ROW()-1,Calc!$J$2:$J$1601,0),"")</f>
        <v/>
      </c>
      <c r="AH280">
        <f>IFERROR(MATCH(ROW()-1,Calc!$K$2:$K$1601,0),"")</f>
        <v/>
      </c>
      <c r="AI280">
        <f>IF($AG280="","",SUMIF($AG$2:$AG280,$AG280,$AH$2:$AH280))</f>
        <v/>
      </c>
      <c r="AJ280">
        <f>IF('TMP Paste'!$F280="","",IF('TMP Paste'!$B280="",$AJ279,'TMP Paste'!$B280))</f>
        <v/>
      </c>
      <c r="AK280">
        <f>IF('TMP Paste'!$F280="","",N('TMP Paste'!$G280))</f>
        <v/>
      </c>
      <c r="AL280">
        <f>IF('TMP Paste'!$F280="","",IF('TMP Paste'!$M280="",$AL279,'TMP Paste'!$M280))</f>
        <v/>
      </c>
      <c r="AM280">
        <f>IF('TMP Paste'!$F280="","",IF('TMP Paste'!$N280="",$AM279,'TMP Paste'!$N280))</f>
        <v/>
      </c>
      <c r="AN280">
        <f>IF('TMP Paste'!$F280="","",IF('TMP Paste'!$O280="",$AN279,'TMP Paste'!$O280))</f>
        <v/>
      </c>
      <c r="AO280">
        <f>IF('TMP Paste'!$F280="","",IF('TMP Paste'!$P280="",$AO279,'TMP Paste'!$P280))</f>
        <v/>
      </c>
      <c r="AP280">
        <f>IF($AG280="","",LEN($R280))</f>
        <v/>
      </c>
      <c r="AQ280">
        <f>IF($AG280="","",TRIM(IF(COUNTIFS(Calc!$B$2:$B$1601,ROW()-1,Calc!$C$2:$C$1601,"&lt;1")&gt;0,"Ada PO tanpa Koli - cek TMP. ","")&amp;IF(LEN($R280)&gt;500,"R &gt; 500 karakter.","")))</f>
        <v/>
      </c>
    </row>
    <row r="281">
      <c r="A281">
        <f>IF($AG281="","",INDEX('TMP Paste'!$B$2:$B$1601,$AG281))</f>
        <v/>
      </c>
      <c r="B281">
        <f>IF($AG281="","",Config!$B$14)</f>
        <v/>
      </c>
      <c r="C281">
        <f>IF($AG281="","",Config!$B$15)</f>
        <v/>
      </c>
      <c r="D281">
        <f>IF($AG281="","",INDEX('TMP Paste'!$B$2:$B$1601,$AG281))</f>
        <v/>
      </c>
      <c r="E281">
        <f>IF($AG281="","",Config!$B$27)</f>
        <v/>
      </c>
      <c r="F281">
        <f>IF($AG281="","",Config!$B$9)</f>
        <v/>
      </c>
      <c r="G281">
        <f>IF($AG281="","",Config!$B$10)</f>
        <v/>
      </c>
      <c r="H281">
        <f>IF($AG281="","",Config!$B$11)</f>
        <v/>
      </c>
      <c r="I281">
        <f>IF($AG281="","",Config!$B$16)</f>
        <v/>
      </c>
      <c r="J281">
        <f>IF($AG281="","",INDEX('TMP Paste'!$A$2:$A$1601,$AG281))</f>
        <v/>
      </c>
      <c r="K281">
        <f>IF($AG281="","",INDEX('TMP Paste'!$L$2:$L$1601,$AG281))</f>
        <v/>
      </c>
      <c r="L281">
        <f>IF($AG281="","",INDEX('TMP Paste'!$I$2:$I$1601,$AG281))</f>
        <v/>
      </c>
      <c r="M281">
        <f>IF($AG281="","",Config!$B$16)</f>
        <v/>
      </c>
      <c r="N281">
        <f>IF($AG281="","","")</f>
        <v/>
      </c>
      <c r="O281">
        <f>IF($AG281="","",INDEX('TMP Paste'!$K$2:$K$1601,$AG281))</f>
        <v/>
      </c>
      <c r="P281">
        <f>IF($AG281="","","")</f>
        <v/>
      </c>
      <c r="Q281">
        <f>IF($AG281="","",INDEX('TMP Paste'!$J$2:$J$1601,$AG281))</f>
        <v/>
      </c>
      <c r="R281">
        <f>IF($AG281="","",Config!$B$24)</f>
        <v/>
      </c>
      <c r="S281">
        <f>IF($AG281="","",TEXT(Config!$B$4,"yyyy-mm-dd"))</f>
        <v/>
      </c>
      <c r="T281">
        <f>IF($AG281="","",Config!$B$17)</f>
        <v/>
      </c>
      <c r="U281">
        <f>IF($AG281="","",Config!$B$18)</f>
        <v/>
      </c>
      <c r="V281">
        <f>IF($AG281="","",Config!$B$19)</f>
        <v/>
      </c>
      <c r="W281">
        <f>IF($AG281="","",INDEX('TMP Paste'!$C$2:$C$1601,$AG281))</f>
        <v/>
      </c>
      <c r="X281">
        <f>IF($AG281="","",Config!$B$29)</f>
        <v/>
      </c>
      <c r="Y281">
        <f>IF($AH281="","",INDEX(Calc!$I$2:$I$1601,$AH281)&amp;" - "&amp;INDEX(Calc!$D$2:$D$1601,$AH281)&amp;" koli")</f>
        <v/>
      </c>
      <c r="Z281">
        <f>IF($AG281="","",Config!$B$21)</f>
        <v/>
      </c>
      <c r="AA281">
        <f>IF($AG281="","",Config!$B$22)</f>
        <v/>
      </c>
      <c r="AB281">
        <f>IF($AH281="","",INDEX(Calc!$D$2:$D$1601,$AH281))</f>
        <v/>
      </c>
      <c r="AC281">
        <f>IF($AH281="","",INDEX(Calc!$G$2:$G$1601,$AH281))</f>
        <v/>
      </c>
      <c r="AD281">
        <f>IF($AG281="","",Config!$B$23)</f>
        <v/>
      </c>
      <c r="AE281">
        <f>IF($AG281="","",Config!$B$28)</f>
        <v/>
      </c>
      <c r="AG281">
        <f>IFERROR(MATCH(ROW()-1,Calc!$J$2:$J$1601,0),"")</f>
        <v/>
      </c>
      <c r="AH281">
        <f>IFERROR(MATCH(ROW()-1,Calc!$K$2:$K$1601,0),"")</f>
        <v/>
      </c>
      <c r="AI281">
        <f>IF($AG281="","",SUMIF($AG$2:$AG281,$AG281,$AH$2:$AH281))</f>
        <v/>
      </c>
      <c r="AJ281">
        <f>IF('TMP Paste'!$F281="","",IF('TMP Paste'!$B281="",$AJ280,'TMP Paste'!$B281))</f>
        <v/>
      </c>
      <c r="AK281">
        <f>IF('TMP Paste'!$F281="","",N('TMP Paste'!$G281))</f>
        <v/>
      </c>
      <c r="AL281">
        <f>IF('TMP Paste'!$F281="","",IF('TMP Paste'!$M281="",$AL280,'TMP Paste'!$M281))</f>
        <v/>
      </c>
      <c r="AM281">
        <f>IF('TMP Paste'!$F281="","",IF('TMP Paste'!$N281="",$AM280,'TMP Paste'!$N281))</f>
        <v/>
      </c>
      <c r="AN281">
        <f>IF('TMP Paste'!$F281="","",IF('TMP Paste'!$O281="",$AN280,'TMP Paste'!$O281))</f>
        <v/>
      </c>
      <c r="AO281">
        <f>IF('TMP Paste'!$F281="","",IF('TMP Paste'!$P281="",$AO280,'TMP Paste'!$P281))</f>
        <v/>
      </c>
      <c r="AP281">
        <f>IF($AG281="","",LEN($R281))</f>
        <v/>
      </c>
      <c r="AQ281">
        <f>IF($AG281="","",TRIM(IF(COUNTIFS(Calc!$B$2:$B$1601,ROW()-1,Calc!$C$2:$C$1601,"&lt;1")&gt;0,"Ada PO tanpa Koli - cek TMP. ","")&amp;IF(LEN($R281)&gt;500,"R &gt; 500 karakter.","")))</f>
        <v/>
      </c>
    </row>
    <row r="282">
      <c r="A282">
        <f>IF($AG282="","",INDEX('TMP Paste'!$B$2:$B$1601,$AG282))</f>
        <v/>
      </c>
      <c r="B282">
        <f>IF($AG282="","",Config!$B$14)</f>
        <v/>
      </c>
      <c r="C282">
        <f>IF($AG282="","",Config!$B$15)</f>
        <v/>
      </c>
      <c r="D282">
        <f>IF($AG282="","",INDEX('TMP Paste'!$B$2:$B$1601,$AG282))</f>
        <v/>
      </c>
      <c r="E282">
        <f>IF($AG282="","",Config!$B$27)</f>
        <v/>
      </c>
      <c r="F282">
        <f>IF($AG282="","",Config!$B$9)</f>
        <v/>
      </c>
      <c r="G282">
        <f>IF($AG282="","",Config!$B$10)</f>
        <v/>
      </c>
      <c r="H282">
        <f>IF($AG282="","",Config!$B$11)</f>
        <v/>
      </c>
      <c r="I282">
        <f>IF($AG282="","",Config!$B$16)</f>
        <v/>
      </c>
      <c r="J282">
        <f>IF($AG282="","",INDEX('TMP Paste'!$A$2:$A$1601,$AG282))</f>
        <v/>
      </c>
      <c r="K282">
        <f>IF($AG282="","",INDEX('TMP Paste'!$L$2:$L$1601,$AG282))</f>
        <v/>
      </c>
      <c r="L282">
        <f>IF($AG282="","",INDEX('TMP Paste'!$I$2:$I$1601,$AG282))</f>
        <v/>
      </c>
      <c r="M282">
        <f>IF($AG282="","",Config!$B$16)</f>
        <v/>
      </c>
      <c r="N282">
        <f>IF($AG282="","","")</f>
        <v/>
      </c>
      <c r="O282">
        <f>IF($AG282="","",INDEX('TMP Paste'!$K$2:$K$1601,$AG282))</f>
        <v/>
      </c>
      <c r="P282">
        <f>IF($AG282="","","")</f>
        <v/>
      </c>
      <c r="Q282">
        <f>IF($AG282="","",INDEX('TMP Paste'!$J$2:$J$1601,$AG282))</f>
        <v/>
      </c>
      <c r="R282">
        <f>IF($AG282="","",Config!$B$24)</f>
        <v/>
      </c>
      <c r="S282">
        <f>IF($AG282="","",TEXT(Config!$B$4,"yyyy-mm-dd"))</f>
        <v/>
      </c>
      <c r="T282">
        <f>IF($AG282="","",Config!$B$17)</f>
        <v/>
      </c>
      <c r="U282">
        <f>IF($AG282="","",Config!$B$18)</f>
        <v/>
      </c>
      <c r="V282">
        <f>IF($AG282="","",Config!$B$19)</f>
        <v/>
      </c>
      <c r="W282">
        <f>IF($AG282="","",INDEX('TMP Paste'!$C$2:$C$1601,$AG282))</f>
        <v/>
      </c>
      <c r="X282">
        <f>IF($AG282="","",Config!$B$29)</f>
        <v/>
      </c>
      <c r="Y282">
        <f>IF($AH282="","",INDEX(Calc!$I$2:$I$1601,$AH282)&amp;" - "&amp;INDEX(Calc!$D$2:$D$1601,$AH282)&amp;" koli")</f>
        <v/>
      </c>
      <c r="Z282">
        <f>IF($AG282="","",Config!$B$21)</f>
        <v/>
      </c>
      <c r="AA282">
        <f>IF($AG282="","",Config!$B$22)</f>
        <v/>
      </c>
      <c r="AB282">
        <f>IF($AH282="","",INDEX(Calc!$D$2:$D$1601,$AH282))</f>
        <v/>
      </c>
      <c r="AC282">
        <f>IF($AH282="","",INDEX(Calc!$G$2:$G$1601,$AH282))</f>
        <v/>
      </c>
      <c r="AD282">
        <f>IF($AG282="","",Config!$B$23)</f>
        <v/>
      </c>
      <c r="AE282">
        <f>IF($AG282="","",Config!$B$28)</f>
        <v/>
      </c>
      <c r="AG282">
        <f>IFERROR(MATCH(ROW()-1,Calc!$J$2:$J$1601,0),"")</f>
        <v/>
      </c>
      <c r="AH282">
        <f>IFERROR(MATCH(ROW()-1,Calc!$K$2:$K$1601,0),"")</f>
        <v/>
      </c>
      <c r="AI282">
        <f>IF($AG282="","",SUMIF($AG$2:$AG282,$AG282,$AH$2:$AH282))</f>
        <v/>
      </c>
      <c r="AJ282">
        <f>IF('TMP Paste'!$F282="","",IF('TMP Paste'!$B282="",$AJ281,'TMP Paste'!$B282))</f>
        <v/>
      </c>
      <c r="AK282">
        <f>IF('TMP Paste'!$F282="","",N('TMP Paste'!$G282))</f>
        <v/>
      </c>
      <c r="AL282">
        <f>IF('TMP Paste'!$F282="","",IF('TMP Paste'!$M282="",$AL281,'TMP Paste'!$M282))</f>
        <v/>
      </c>
      <c r="AM282">
        <f>IF('TMP Paste'!$F282="","",IF('TMP Paste'!$N282="",$AM281,'TMP Paste'!$N282))</f>
        <v/>
      </c>
      <c r="AN282">
        <f>IF('TMP Paste'!$F282="","",IF('TMP Paste'!$O282="",$AN281,'TMP Paste'!$O282))</f>
        <v/>
      </c>
      <c r="AO282">
        <f>IF('TMP Paste'!$F282="","",IF('TMP Paste'!$P282="",$AO281,'TMP Paste'!$P282))</f>
        <v/>
      </c>
      <c r="AP282">
        <f>IF($AG282="","",LEN($R282))</f>
        <v/>
      </c>
      <c r="AQ282">
        <f>IF($AG282="","",TRIM(IF(COUNTIFS(Calc!$B$2:$B$1601,ROW()-1,Calc!$C$2:$C$1601,"&lt;1")&gt;0,"Ada PO tanpa Koli - cek TMP. ","")&amp;IF(LEN($R282)&gt;500,"R &gt; 500 karakter.","")))</f>
        <v/>
      </c>
    </row>
    <row r="283">
      <c r="A283">
        <f>IF($AG283="","",INDEX('TMP Paste'!$B$2:$B$1601,$AG283))</f>
        <v/>
      </c>
      <c r="B283">
        <f>IF($AG283="","",Config!$B$14)</f>
        <v/>
      </c>
      <c r="C283">
        <f>IF($AG283="","",Config!$B$15)</f>
        <v/>
      </c>
      <c r="D283">
        <f>IF($AG283="","",INDEX('TMP Paste'!$B$2:$B$1601,$AG283))</f>
        <v/>
      </c>
      <c r="E283">
        <f>IF($AG283="","",Config!$B$27)</f>
        <v/>
      </c>
      <c r="F283">
        <f>IF($AG283="","",Config!$B$9)</f>
        <v/>
      </c>
      <c r="G283">
        <f>IF($AG283="","",Config!$B$10)</f>
        <v/>
      </c>
      <c r="H283">
        <f>IF($AG283="","",Config!$B$11)</f>
        <v/>
      </c>
      <c r="I283">
        <f>IF($AG283="","",Config!$B$16)</f>
        <v/>
      </c>
      <c r="J283">
        <f>IF($AG283="","",INDEX('TMP Paste'!$A$2:$A$1601,$AG283))</f>
        <v/>
      </c>
      <c r="K283">
        <f>IF($AG283="","",INDEX('TMP Paste'!$L$2:$L$1601,$AG283))</f>
        <v/>
      </c>
      <c r="L283">
        <f>IF($AG283="","",INDEX('TMP Paste'!$I$2:$I$1601,$AG283))</f>
        <v/>
      </c>
      <c r="M283">
        <f>IF($AG283="","",Config!$B$16)</f>
        <v/>
      </c>
      <c r="N283">
        <f>IF($AG283="","","")</f>
        <v/>
      </c>
      <c r="O283">
        <f>IF($AG283="","",INDEX('TMP Paste'!$K$2:$K$1601,$AG283))</f>
        <v/>
      </c>
      <c r="P283">
        <f>IF($AG283="","","")</f>
        <v/>
      </c>
      <c r="Q283">
        <f>IF($AG283="","",INDEX('TMP Paste'!$J$2:$J$1601,$AG283))</f>
        <v/>
      </c>
      <c r="R283">
        <f>IF($AG283="","",Config!$B$24)</f>
        <v/>
      </c>
      <c r="S283">
        <f>IF($AG283="","",TEXT(Config!$B$4,"yyyy-mm-dd"))</f>
        <v/>
      </c>
      <c r="T283">
        <f>IF($AG283="","",Config!$B$17)</f>
        <v/>
      </c>
      <c r="U283">
        <f>IF($AG283="","",Config!$B$18)</f>
        <v/>
      </c>
      <c r="V283">
        <f>IF($AG283="","",Config!$B$19)</f>
        <v/>
      </c>
      <c r="W283">
        <f>IF($AG283="","",INDEX('TMP Paste'!$C$2:$C$1601,$AG283))</f>
        <v/>
      </c>
      <c r="X283">
        <f>IF($AG283="","",Config!$B$29)</f>
        <v/>
      </c>
      <c r="Y283">
        <f>IF($AH283="","",INDEX(Calc!$I$2:$I$1601,$AH283)&amp;" - "&amp;INDEX(Calc!$D$2:$D$1601,$AH283)&amp;" koli")</f>
        <v/>
      </c>
      <c r="Z283">
        <f>IF($AG283="","",Config!$B$21)</f>
        <v/>
      </c>
      <c r="AA283">
        <f>IF($AG283="","",Config!$B$22)</f>
        <v/>
      </c>
      <c r="AB283">
        <f>IF($AH283="","",INDEX(Calc!$D$2:$D$1601,$AH283))</f>
        <v/>
      </c>
      <c r="AC283">
        <f>IF($AH283="","",INDEX(Calc!$G$2:$G$1601,$AH283))</f>
        <v/>
      </c>
      <c r="AD283">
        <f>IF($AG283="","",Config!$B$23)</f>
        <v/>
      </c>
      <c r="AE283">
        <f>IF($AG283="","",Config!$B$28)</f>
        <v/>
      </c>
      <c r="AG283">
        <f>IFERROR(MATCH(ROW()-1,Calc!$J$2:$J$1601,0),"")</f>
        <v/>
      </c>
      <c r="AH283">
        <f>IFERROR(MATCH(ROW()-1,Calc!$K$2:$K$1601,0),"")</f>
        <v/>
      </c>
      <c r="AI283">
        <f>IF($AG283="","",SUMIF($AG$2:$AG283,$AG283,$AH$2:$AH283))</f>
        <v/>
      </c>
      <c r="AJ283">
        <f>IF('TMP Paste'!$F283="","",IF('TMP Paste'!$B283="",$AJ282,'TMP Paste'!$B283))</f>
        <v/>
      </c>
      <c r="AK283">
        <f>IF('TMP Paste'!$F283="","",N('TMP Paste'!$G283))</f>
        <v/>
      </c>
      <c r="AL283">
        <f>IF('TMP Paste'!$F283="","",IF('TMP Paste'!$M283="",$AL282,'TMP Paste'!$M283))</f>
        <v/>
      </c>
      <c r="AM283">
        <f>IF('TMP Paste'!$F283="","",IF('TMP Paste'!$N283="",$AM282,'TMP Paste'!$N283))</f>
        <v/>
      </c>
      <c r="AN283">
        <f>IF('TMP Paste'!$F283="","",IF('TMP Paste'!$O283="",$AN282,'TMP Paste'!$O283))</f>
        <v/>
      </c>
      <c r="AO283">
        <f>IF('TMP Paste'!$F283="","",IF('TMP Paste'!$P283="",$AO282,'TMP Paste'!$P283))</f>
        <v/>
      </c>
      <c r="AP283">
        <f>IF($AG283="","",LEN($R283))</f>
        <v/>
      </c>
      <c r="AQ283">
        <f>IF($AG283="","",TRIM(IF(COUNTIFS(Calc!$B$2:$B$1601,ROW()-1,Calc!$C$2:$C$1601,"&lt;1")&gt;0,"Ada PO tanpa Koli - cek TMP. ","")&amp;IF(LEN($R283)&gt;500,"R &gt; 500 karakter.","")))</f>
        <v/>
      </c>
    </row>
    <row r="284">
      <c r="A284">
        <f>IF($AG284="","",INDEX('TMP Paste'!$B$2:$B$1601,$AG284))</f>
        <v/>
      </c>
      <c r="B284">
        <f>IF($AG284="","",Config!$B$14)</f>
        <v/>
      </c>
      <c r="C284">
        <f>IF($AG284="","",Config!$B$15)</f>
        <v/>
      </c>
      <c r="D284">
        <f>IF($AG284="","",INDEX('TMP Paste'!$B$2:$B$1601,$AG284))</f>
        <v/>
      </c>
      <c r="E284">
        <f>IF($AG284="","",Config!$B$27)</f>
        <v/>
      </c>
      <c r="F284">
        <f>IF($AG284="","",Config!$B$9)</f>
        <v/>
      </c>
      <c r="G284">
        <f>IF($AG284="","",Config!$B$10)</f>
        <v/>
      </c>
      <c r="H284">
        <f>IF($AG284="","",Config!$B$11)</f>
        <v/>
      </c>
      <c r="I284">
        <f>IF($AG284="","",Config!$B$16)</f>
        <v/>
      </c>
      <c r="J284">
        <f>IF($AG284="","",INDEX('TMP Paste'!$A$2:$A$1601,$AG284))</f>
        <v/>
      </c>
      <c r="K284">
        <f>IF($AG284="","",INDEX('TMP Paste'!$L$2:$L$1601,$AG284))</f>
        <v/>
      </c>
      <c r="L284">
        <f>IF($AG284="","",INDEX('TMP Paste'!$I$2:$I$1601,$AG284))</f>
        <v/>
      </c>
      <c r="M284">
        <f>IF($AG284="","",Config!$B$16)</f>
        <v/>
      </c>
      <c r="N284">
        <f>IF($AG284="","","")</f>
        <v/>
      </c>
      <c r="O284">
        <f>IF($AG284="","",INDEX('TMP Paste'!$K$2:$K$1601,$AG284))</f>
        <v/>
      </c>
      <c r="P284">
        <f>IF($AG284="","","")</f>
        <v/>
      </c>
      <c r="Q284">
        <f>IF($AG284="","",INDEX('TMP Paste'!$J$2:$J$1601,$AG284))</f>
        <v/>
      </c>
      <c r="R284">
        <f>IF($AG284="","",Config!$B$24)</f>
        <v/>
      </c>
      <c r="S284">
        <f>IF($AG284="","",TEXT(Config!$B$4,"yyyy-mm-dd"))</f>
        <v/>
      </c>
      <c r="T284">
        <f>IF($AG284="","",Config!$B$17)</f>
        <v/>
      </c>
      <c r="U284">
        <f>IF($AG284="","",Config!$B$18)</f>
        <v/>
      </c>
      <c r="V284">
        <f>IF($AG284="","",Config!$B$19)</f>
        <v/>
      </c>
      <c r="W284">
        <f>IF($AG284="","",INDEX('TMP Paste'!$C$2:$C$1601,$AG284))</f>
        <v/>
      </c>
      <c r="X284">
        <f>IF($AG284="","",Config!$B$29)</f>
        <v/>
      </c>
      <c r="Y284">
        <f>IF($AH284="","",INDEX(Calc!$I$2:$I$1601,$AH284)&amp;" - "&amp;INDEX(Calc!$D$2:$D$1601,$AH284)&amp;" koli")</f>
        <v/>
      </c>
      <c r="Z284">
        <f>IF($AG284="","",Config!$B$21)</f>
        <v/>
      </c>
      <c r="AA284">
        <f>IF($AG284="","",Config!$B$22)</f>
        <v/>
      </c>
      <c r="AB284">
        <f>IF($AH284="","",INDEX(Calc!$D$2:$D$1601,$AH284))</f>
        <v/>
      </c>
      <c r="AC284">
        <f>IF($AH284="","",INDEX(Calc!$G$2:$G$1601,$AH284))</f>
        <v/>
      </c>
      <c r="AD284">
        <f>IF($AG284="","",Config!$B$23)</f>
        <v/>
      </c>
      <c r="AE284">
        <f>IF($AG284="","",Config!$B$28)</f>
        <v/>
      </c>
      <c r="AG284">
        <f>IFERROR(MATCH(ROW()-1,Calc!$J$2:$J$1601,0),"")</f>
        <v/>
      </c>
      <c r="AH284">
        <f>IFERROR(MATCH(ROW()-1,Calc!$K$2:$K$1601,0),"")</f>
        <v/>
      </c>
      <c r="AI284">
        <f>IF($AG284="","",SUMIF($AG$2:$AG284,$AG284,$AH$2:$AH284))</f>
        <v/>
      </c>
      <c r="AJ284">
        <f>IF('TMP Paste'!$F284="","",IF('TMP Paste'!$B284="",$AJ283,'TMP Paste'!$B284))</f>
        <v/>
      </c>
      <c r="AK284">
        <f>IF('TMP Paste'!$F284="","",N('TMP Paste'!$G284))</f>
        <v/>
      </c>
      <c r="AL284">
        <f>IF('TMP Paste'!$F284="","",IF('TMP Paste'!$M284="",$AL283,'TMP Paste'!$M284))</f>
        <v/>
      </c>
      <c r="AM284">
        <f>IF('TMP Paste'!$F284="","",IF('TMP Paste'!$N284="",$AM283,'TMP Paste'!$N284))</f>
        <v/>
      </c>
      <c r="AN284">
        <f>IF('TMP Paste'!$F284="","",IF('TMP Paste'!$O284="",$AN283,'TMP Paste'!$O284))</f>
        <v/>
      </c>
      <c r="AO284">
        <f>IF('TMP Paste'!$F284="","",IF('TMP Paste'!$P284="",$AO283,'TMP Paste'!$P284))</f>
        <v/>
      </c>
      <c r="AP284">
        <f>IF($AG284="","",LEN($R284))</f>
        <v/>
      </c>
      <c r="AQ284">
        <f>IF($AG284="","",TRIM(IF(COUNTIFS(Calc!$B$2:$B$1601,ROW()-1,Calc!$C$2:$C$1601,"&lt;1")&gt;0,"Ada PO tanpa Koli - cek TMP. ","")&amp;IF(LEN($R284)&gt;500,"R &gt; 500 karakter.","")))</f>
        <v/>
      </c>
    </row>
    <row r="285">
      <c r="A285">
        <f>IF($AG285="","",INDEX('TMP Paste'!$B$2:$B$1601,$AG285))</f>
        <v/>
      </c>
      <c r="B285">
        <f>IF($AG285="","",Config!$B$14)</f>
        <v/>
      </c>
      <c r="C285">
        <f>IF($AG285="","",Config!$B$15)</f>
        <v/>
      </c>
      <c r="D285">
        <f>IF($AG285="","",INDEX('TMP Paste'!$B$2:$B$1601,$AG285))</f>
        <v/>
      </c>
      <c r="E285">
        <f>IF($AG285="","",Config!$B$27)</f>
        <v/>
      </c>
      <c r="F285">
        <f>IF($AG285="","",Config!$B$9)</f>
        <v/>
      </c>
      <c r="G285">
        <f>IF($AG285="","",Config!$B$10)</f>
        <v/>
      </c>
      <c r="H285">
        <f>IF($AG285="","",Config!$B$11)</f>
        <v/>
      </c>
      <c r="I285">
        <f>IF($AG285="","",Config!$B$16)</f>
        <v/>
      </c>
      <c r="J285">
        <f>IF($AG285="","",INDEX('TMP Paste'!$A$2:$A$1601,$AG285))</f>
        <v/>
      </c>
      <c r="K285">
        <f>IF($AG285="","",INDEX('TMP Paste'!$L$2:$L$1601,$AG285))</f>
        <v/>
      </c>
      <c r="L285">
        <f>IF($AG285="","",INDEX('TMP Paste'!$I$2:$I$1601,$AG285))</f>
        <v/>
      </c>
      <c r="M285">
        <f>IF($AG285="","",Config!$B$16)</f>
        <v/>
      </c>
      <c r="N285">
        <f>IF($AG285="","","")</f>
        <v/>
      </c>
      <c r="O285">
        <f>IF($AG285="","",INDEX('TMP Paste'!$K$2:$K$1601,$AG285))</f>
        <v/>
      </c>
      <c r="P285">
        <f>IF($AG285="","","")</f>
        <v/>
      </c>
      <c r="Q285">
        <f>IF($AG285="","",INDEX('TMP Paste'!$J$2:$J$1601,$AG285))</f>
        <v/>
      </c>
      <c r="R285">
        <f>IF($AG285="","",Config!$B$24)</f>
        <v/>
      </c>
      <c r="S285">
        <f>IF($AG285="","",TEXT(Config!$B$4,"yyyy-mm-dd"))</f>
        <v/>
      </c>
      <c r="T285">
        <f>IF($AG285="","",Config!$B$17)</f>
        <v/>
      </c>
      <c r="U285">
        <f>IF($AG285="","",Config!$B$18)</f>
        <v/>
      </c>
      <c r="V285">
        <f>IF($AG285="","",Config!$B$19)</f>
        <v/>
      </c>
      <c r="W285">
        <f>IF($AG285="","",INDEX('TMP Paste'!$C$2:$C$1601,$AG285))</f>
        <v/>
      </c>
      <c r="X285">
        <f>IF($AG285="","",Config!$B$29)</f>
        <v/>
      </c>
      <c r="Y285">
        <f>IF($AH285="","",INDEX(Calc!$I$2:$I$1601,$AH285)&amp;" - "&amp;INDEX(Calc!$D$2:$D$1601,$AH285)&amp;" koli")</f>
        <v/>
      </c>
      <c r="Z285">
        <f>IF($AG285="","",Config!$B$21)</f>
        <v/>
      </c>
      <c r="AA285">
        <f>IF($AG285="","",Config!$B$22)</f>
        <v/>
      </c>
      <c r="AB285">
        <f>IF($AH285="","",INDEX(Calc!$D$2:$D$1601,$AH285))</f>
        <v/>
      </c>
      <c r="AC285">
        <f>IF($AH285="","",INDEX(Calc!$G$2:$G$1601,$AH285))</f>
        <v/>
      </c>
      <c r="AD285">
        <f>IF($AG285="","",Config!$B$23)</f>
        <v/>
      </c>
      <c r="AE285">
        <f>IF($AG285="","",Config!$B$28)</f>
        <v/>
      </c>
      <c r="AG285">
        <f>IFERROR(MATCH(ROW()-1,Calc!$J$2:$J$1601,0),"")</f>
        <v/>
      </c>
      <c r="AH285">
        <f>IFERROR(MATCH(ROW()-1,Calc!$K$2:$K$1601,0),"")</f>
        <v/>
      </c>
      <c r="AI285">
        <f>IF($AG285="","",SUMIF($AG$2:$AG285,$AG285,$AH$2:$AH285))</f>
        <v/>
      </c>
      <c r="AJ285">
        <f>IF('TMP Paste'!$F285="","",IF('TMP Paste'!$B285="",$AJ284,'TMP Paste'!$B285))</f>
        <v/>
      </c>
      <c r="AK285">
        <f>IF('TMP Paste'!$F285="","",N('TMP Paste'!$G285))</f>
        <v/>
      </c>
      <c r="AL285">
        <f>IF('TMP Paste'!$F285="","",IF('TMP Paste'!$M285="",$AL284,'TMP Paste'!$M285))</f>
        <v/>
      </c>
      <c r="AM285">
        <f>IF('TMP Paste'!$F285="","",IF('TMP Paste'!$N285="",$AM284,'TMP Paste'!$N285))</f>
        <v/>
      </c>
      <c r="AN285">
        <f>IF('TMP Paste'!$F285="","",IF('TMP Paste'!$O285="",$AN284,'TMP Paste'!$O285))</f>
        <v/>
      </c>
      <c r="AO285">
        <f>IF('TMP Paste'!$F285="","",IF('TMP Paste'!$P285="",$AO284,'TMP Paste'!$P285))</f>
        <v/>
      </c>
      <c r="AP285">
        <f>IF($AG285="","",LEN($R285))</f>
        <v/>
      </c>
      <c r="AQ285">
        <f>IF($AG285="","",TRIM(IF(COUNTIFS(Calc!$B$2:$B$1601,ROW()-1,Calc!$C$2:$C$1601,"&lt;1")&gt;0,"Ada PO tanpa Koli - cek TMP. ","")&amp;IF(LEN($R285)&gt;500,"R &gt; 500 karakter.","")))</f>
        <v/>
      </c>
    </row>
    <row r="286">
      <c r="A286">
        <f>IF($AG286="","",INDEX('TMP Paste'!$B$2:$B$1601,$AG286))</f>
        <v/>
      </c>
      <c r="B286">
        <f>IF($AG286="","",Config!$B$14)</f>
        <v/>
      </c>
      <c r="C286">
        <f>IF($AG286="","",Config!$B$15)</f>
        <v/>
      </c>
      <c r="D286">
        <f>IF($AG286="","",INDEX('TMP Paste'!$B$2:$B$1601,$AG286))</f>
        <v/>
      </c>
      <c r="E286">
        <f>IF($AG286="","",Config!$B$27)</f>
        <v/>
      </c>
      <c r="F286">
        <f>IF($AG286="","",Config!$B$9)</f>
        <v/>
      </c>
      <c r="G286">
        <f>IF($AG286="","",Config!$B$10)</f>
        <v/>
      </c>
      <c r="H286">
        <f>IF($AG286="","",Config!$B$11)</f>
        <v/>
      </c>
      <c r="I286">
        <f>IF($AG286="","",Config!$B$16)</f>
        <v/>
      </c>
      <c r="J286">
        <f>IF($AG286="","",INDEX('TMP Paste'!$A$2:$A$1601,$AG286))</f>
        <v/>
      </c>
      <c r="K286">
        <f>IF($AG286="","",INDEX('TMP Paste'!$L$2:$L$1601,$AG286))</f>
        <v/>
      </c>
      <c r="L286">
        <f>IF($AG286="","",INDEX('TMP Paste'!$I$2:$I$1601,$AG286))</f>
        <v/>
      </c>
      <c r="M286">
        <f>IF($AG286="","",Config!$B$16)</f>
        <v/>
      </c>
      <c r="N286">
        <f>IF($AG286="","","")</f>
        <v/>
      </c>
      <c r="O286">
        <f>IF($AG286="","",INDEX('TMP Paste'!$K$2:$K$1601,$AG286))</f>
        <v/>
      </c>
      <c r="P286">
        <f>IF($AG286="","","")</f>
        <v/>
      </c>
      <c r="Q286">
        <f>IF($AG286="","",INDEX('TMP Paste'!$J$2:$J$1601,$AG286))</f>
        <v/>
      </c>
      <c r="R286">
        <f>IF($AG286="","",Config!$B$24)</f>
        <v/>
      </c>
      <c r="S286">
        <f>IF($AG286="","",TEXT(Config!$B$4,"yyyy-mm-dd"))</f>
        <v/>
      </c>
      <c r="T286">
        <f>IF($AG286="","",Config!$B$17)</f>
        <v/>
      </c>
      <c r="U286">
        <f>IF($AG286="","",Config!$B$18)</f>
        <v/>
      </c>
      <c r="V286">
        <f>IF($AG286="","",Config!$B$19)</f>
        <v/>
      </c>
      <c r="W286">
        <f>IF($AG286="","",INDEX('TMP Paste'!$C$2:$C$1601,$AG286))</f>
        <v/>
      </c>
      <c r="X286">
        <f>IF($AG286="","",Config!$B$29)</f>
        <v/>
      </c>
      <c r="Y286">
        <f>IF($AH286="","",INDEX(Calc!$I$2:$I$1601,$AH286)&amp;" - "&amp;INDEX(Calc!$D$2:$D$1601,$AH286)&amp;" koli")</f>
        <v/>
      </c>
      <c r="Z286">
        <f>IF($AG286="","",Config!$B$21)</f>
        <v/>
      </c>
      <c r="AA286">
        <f>IF($AG286="","",Config!$B$22)</f>
        <v/>
      </c>
      <c r="AB286">
        <f>IF($AH286="","",INDEX(Calc!$D$2:$D$1601,$AH286))</f>
        <v/>
      </c>
      <c r="AC286">
        <f>IF($AH286="","",INDEX(Calc!$G$2:$G$1601,$AH286))</f>
        <v/>
      </c>
      <c r="AD286">
        <f>IF($AG286="","",Config!$B$23)</f>
        <v/>
      </c>
      <c r="AE286">
        <f>IF($AG286="","",Config!$B$28)</f>
        <v/>
      </c>
      <c r="AG286">
        <f>IFERROR(MATCH(ROW()-1,Calc!$J$2:$J$1601,0),"")</f>
        <v/>
      </c>
      <c r="AH286">
        <f>IFERROR(MATCH(ROW()-1,Calc!$K$2:$K$1601,0),"")</f>
        <v/>
      </c>
      <c r="AI286">
        <f>IF($AG286="","",SUMIF($AG$2:$AG286,$AG286,$AH$2:$AH286))</f>
        <v/>
      </c>
      <c r="AJ286">
        <f>IF('TMP Paste'!$F286="","",IF('TMP Paste'!$B286="",$AJ285,'TMP Paste'!$B286))</f>
        <v/>
      </c>
      <c r="AK286">
        <f>IF('TMP Paste'!$F286="","",N('TMP Paste'!$G286))</f>
        <v/>
      </c>
      <c r="AL286">
        <f>IF('TMP Paste'!$F286="","",IF('TMP Paste'!$M286="",$AL285,'TMP Paste'!$M286))</f>
        <v/>
      </c>
      <c r="AM286">
        <f>IF('TMP Paste'!$F286="","",IF('TMP Paste'!$N286="",$AM285,'TMP Paste'!$N286))</f>
        <v/>
      </c>
      <c r="AN286">
        <f>IF('TMP Paste'!$F286="","",IF('TMP Paste'!$O286="",$AN285,'TMP Paste'!$O286))</f>
        <v/>
      </c>
      <c r="AO286">
        <f>IF('TMP Paste'!$F286="","",IF('TMP Paste'!$P286="",$AO285,'TMP Paste'!$P286))</f>
        <v/>
      </c>
      <c r="AP286">
        <f>IF($AG286="","",LEN($R286))</f>
        <v/>
      </c>
      <c r="AQ286">
        <f>IF($AG286="","",TRIM(IF(COUNTIFS(Calc!$B$2:$B$1601,ROW()-1,Calc!$C$2:$C$1601,"&lt;1")&gt;0,"Ada PO tanpa Koli - cek TMP. ","")&amp;IF(LEN($R286)&gt;500,"R &gt; 500 karakter.","")))</f>
        <v/>
      </c>
    </row>
    <row r="287">
      <c r="A287">
        <f>IF($AG287="","",INDEX('TMP Paste'!$B$2:$B$1601,$AG287))</f>
        <v/>
      </c>
      <c r="B287">
        <f>IF($AG287="","",Config!$B$14)</f>
        <v/>
      </c>
      <c r="C287">
        <f>IF($AG287="","",Config!$B$15)</f>
        <v/>
      </c>
      <c r="D287">
        <f>IF($AG287="","",INDEX('TMP Paste'!$B$2:$B$1601,$AG287))</f>
        <v/>
      </c>
      <c r="E287">
        <f>IF($AG287="","",Config!$B$27)</f>
        <v/>
      </c>
      <c r="F287">
        <f>IF($AG287="","",Config!$B$9)</f>
        <v/>
      </c>
      <c r="G287">
        <f>IF($AG287="","",Config!$B$10)</f>
        <v/>
      </c>
      <c r="H287">
        <f>IF($AG287="","",Config!$B$11)</f>
        <v/>
      </c>
      <c r="I287">
        <f>IF($AG287="","",Config!$B$16)</f>
        <v/>
      </c>
      <c r="J287">
        <f>IF($AG287="","",INDEX('TMP Paste'!$A$2:$A$1601,$AG287))</f>
        <v/>
      </c>
      <c r="K287">
        <f>IF($AG287="","",INDEX('TMP Paste'!$L$2:$L$1601,$AG287))</f>
        <v/>
      </c>
      <c r="L287">
        <f>IF($AG287="","",INDEX('TMP Paste'!$I$2:$I$1601,$AG287))</f>
        <v/>
      </c>
      <c r="M287">
        <f>IF($AG287="","",Config!$B$16)</f>
        <v/>
      </c>
      <c r="N287">
        <f>IF($AG287="","","")</f>
        <v/>
      </c>
      <c r="O287">
        <f>IF($AG287="","",INDEX('TMP Paste'!$K$2:$K$1601,$AG287))</f>
        <v/>
      </c>
      <c r="P287">
        <f>IF($AG287="","","")</f>
        <v/>
      </c>
      <c r="Q287">
        <f>IF($AG287="","",INDEX('TMP Paste'!$J$2:$J$1601,$AG287))</f>
        <v/>
      </c>
      <c r="R287">
        <f>IF($AG287="","",Config!$B$24)</f>
        <v/>
      </c>
      <c r="S287">
        <f>IF($AG287="","",TEXT(Config!$B$4,"yyyy-mm-dd"))</f>
        <v/>
      </c>
      <c r="T287">
        <f>IF($AG287="","",Config!$B$17)</f>
        <v/>
      </c>
      <c r="U287">
        <f>IF($AG287="","",Config!$B$18)</f>
        <v/>
      </c>
      <c r="V287">
        <f>IF($AG287="","",Config!$B$19)</f>
        <v/>
      </c>
      <c r="W287">
        <f>IF($AG287="","",INDEX('TMP Paste'!$C$2:$C$1601,$AG287))</f>
        <v/>
      </c>
      <c r="X287">
        <f>IF($AG287="","",Config!$B$29)</f>
        <v/>
      </c>
      <c r="Y287">
        <f>IF($AH287="","",INDEX(Calc!$I$2:$I$1601,$AH287)&amp;" - "&amp;INDEX(Calc!$D$2:$D$1601,$AH287)&amp;" koli")</f>
        <v/>
      </c>
      <c r="Z287">
        <f>IF($AG287="","",Config!$B$21)</f>
        <v/>
      </c>
      <c r="AA287">
        <f>IF($AG287="","",Config!$B$22)</f>
        <v/>
      </c>
      <c r="AB287">
        <f>IF($AH287="","",INDEX(Calc!$D$2:$D$1601,$AH287))</f>
        <v/>
      </c>
      <c r="AC287">
        <f>IF($AH287="","",INDEX(Calc!$G$2:$G$1601,$AH287))</f>
        <v/>
      </c>
      <c r="AD287">
        <f>IF($AG287="","",Config!$B$23)</f>
        <v/>
      </c>
      <c r="AE287">
        <f>IF($AG287="","",Config!$B$28)</f>
        <v/>
      </c>
      <c r="AG287">
        <f>IFERROR(MATCH(ROW()-1,Calc!$J$2:$J$1601,0),"")</f>
        <v/>
      </c>
      <c r="AH287">
        <f>IFERROR(MATCH(ROW()-1,Calc!$K$2:$K$1601,0),"")</f>
        <v/>
      </c>
      <c r="AI287">
        <f>IF($AG287="","",SUMIF($AG$2:$AG287,$AG287,$AH$2:$AH287))</f>
        <v/>
      </c>
      <c r="AJ287">
        <f>IF('TMP Paste'!$F287="","",IF('TMP Paste'!$B287="",$AJ286,'TMP Paste'!$B287))</f>
        <v/>
      </c>
      <c r="AK287">
        <f>IF('TMP Paste'!$F287="","",N('TMP Paste'!$G287))</f>
        <v/>
      </c>
      <c r="AL287">
        <f>IF('TMP Paste'!$F287="","",IF('TMP Paste'!$M287="",$AL286,'TMP Paste'!$M287))</f>
        <v/>
      </c>
      <c r="AM287">
        <f>IF('TMP Paste'!$F287="","",IF('TMP Paste'!$N287="",$AM286,'TMP Paste'!$N287))</f>
        <v/>
      </c>
      <c r="AN287">
        <f>IF('TMP Paste'!$F287="","",IF('TMP Paste'!$O287="",$AN286,'TMP Paste'!$O287))</f>
        <v/>
      </c>
      <c r="AO287">
        <f>IF('TMP Paste'!$F287="","",IF('TMP Paste'!$P287="",$AO286,'TMP Paste'!$P287))</f>
        <v/>
      </c>
      <c r="AP287">
        <f>IF($AG287="","",LEN($R287))</f>
        <v/>
      </c>
      <c r="AQ287">
        <f>IF($AG287="","",TRIM(IF(COUNTIFS(Calc!$B$2:$B$1601,ROW()-1,Calc!$C$2:$C$1601,"&lt;1")&gt;0,"Ada PO tanpa Koli - cek TMP. ","")&amp;IF(LEN($R287)&gt;500,"R &gt; 500 karakter.","")))</f>
        <v/>
      </c>
    </row>
    <row r="288">
      <c r="A288">
        <f>IF($AG288="","",INDEX('TMP Paste'!$B$2:$B$1601,$AG288))</f>
        <v/>
      </c>
      <c r="B288">
        <f>IF($AG288="","",Config!$B$14)</f>
        <v/>
      </c>
      <c r="C288">
        <f>IF($AG288="","",Config!$B$15)</f>
        <v/>
      </c>
      <c r="D288">
        <f>IF($AG288="","",INDEX('TMP Paste'!$B$2:$B$1601,$AG288))</f>
        <v/>
      </c>
      <c r="E288">
        <f>IF($AG288="","",Config!$B$27)</f>
        <v/>
      </c>
      <c r="F288">
        <f>IF($AG288="","",Config!$B$9)</f>
        <v/>
      </c>
      <c r="G288">
        <f>IF($AG288="","",Config!$B$10)</f>
        <v/>
      </c>
      <c r="H288">
        <f>IF($AG288="","",Config!$B$11)</f>
        <v/>
      </c>
      <c r="I288">
        <f>IF($AG288="","",Config!$B$16)</f>
        <v/>
      </c>
      <c r="J288">
        <f>IF($AG288="","",INDEX('TMP Paste'!$A$2:$A$1601,$AG288))</f>
        <v/>
      </c>
      <c r="K288">
        <f>IF($AG288="","",INDEX('TMP Paste'!$L$2:$L$1601,$AG288))</f>
        <v/>
      </c>
      <c r="L288">
        <f>IF($AG288="","",INDEX('TMP Paste'!$I$2:$I$1601,$AG288))</f>
        <v/>
      </c>
      <c r="M288">
        <f>IF($AG288="","",Config!$B$16)</f>
        <v/>
      </c>
      <c r="N288">
        <f>IF($AG288="","","")</f>
        <v/>
      </c>
      <c r="O288">
        <f>IF($AG288="","",INDEX('TMP Paste'!$K$2:$K$1601,$AG288))</f>
        <v/>
      </c>
      <c r="P288">
        <f>IF($AG288="","","")</f>
        <v/>
      </c>
      <c r="Q288">
        <f>IF($AG288="","",INDEX('TMP Paste'!$J$2:$J$1601,$AG288))</f>
        <v/>
      </c>
      <c r="R288">
        <f>IF($AG288="","",Config!$B$24)</f>
        <v/>
      </c>
      <c r="S288">
        <f>IF($AG288="","",TEXT(Config!$B$4,"yyyy-mm-dd"))</f>
        <v/>
      </c>
      <c r="T288">
        <f>IF($AG288="","",Config!$B$17)</f>
        <v/>
      </c>
      <c r="U288">
        <f>IF($AG288="","",Config!$B$18)</f>
        <v/>
      </c>
      <c r="V288">
        <f>IF($AG288="","",Config!$B$19)</f>
        <v/>
      </c>
      <c r="W288">
        <f>IF($AG288="","",INDEX('TMP Paste'!$C$2:$C$1601,$AG288))</f>
        <v/>
      </c>
      <c r="X288">
        <f>IF($AG288="","",Config!$B$29)</f>
        <v/>
      </c>
      <c r="Y288">
        <f>IF($AH288="","",INDEX(Calc!$I$2:$I$1601,$AH288)&amp;" - "&amp;INDEX(Calc!$D$2:$D$1601,$AH288)&amp;" koli")</f>
        <v/>
      </c>
      <c r="Z288">
        <f>IF($AG288="","",Config!$B$21)</f>
        <v/>
      </c>
      <c r="AA288">
        <f>IF($AG288="","",Config!$B$22)</f>
        <v/>
      </c>
      <c r="AB288">
        <f>IF($AH288="","",INDEX(Calc!$D$2:$D$1601,$AH288))</f>
        <v/>
      </c>
      <c r="AC288">
        <f>IF($AH288="","",INDEX(Calc!$G$2:$G$1601,$AH288))</f>
        <v/>
      </c>
      <c r="AD288">
        <f>IF($AG288="","",Config!$B$23)</f>
        <v/>
      </c>
      <c r="AE288">
        <f>IF($AG288="","",Config!$B$28)</f>
        <v/>
      </c>
      <c r="AG288">
        <f>IFERROR(MATCH(ROW()-1,Calc!$J$2:$J$1601,0),"")</f>
        <v/>
      </c>
      <c r="AH288">
        <f>IFERROR(MATCH(ROW()-1,Calc!$K$2:$K$1601,0),"")</f>
        <v/>
      </c>
      <c r="AI288">
        <f>IF($AG288="","",SUMIF($AG$2:$AG288,$AG288,$AH$2:$AH288))</f>
        <v/>
      </c>
      <c r="AJ288">
        <f>IF('TMP Paste'!$F288="","",IF('TMP Paste'!$B288="",$AJ287,'TMP Paste'!$B288))</f>
        <v/>
      </c>
      <c r="AK288">
        <f>IF('TMP Paste'!$F288="","",N('TMP Paste'!$G288))</f>
        <v/>
      </c>
      <c r="AL288">
        <f>IF('TMP Paste'!$F288="","",IF('TMP Paste'!$M288="",$AL287,'TMP Paste'!$M288))</f>
        <v/>
      </c>
      <c r="AM288">
        <f>IF('TMP Paste'!$F288="","",IF('TMP Paste'!$N288="",$AM287,'TMP Paste'!$N288))</f>
        <v/>
      </c>
      <c r="AN288">
        <f>IF('TMP Paste'!$F288="","",IF('TMP Paste'!$O288="",$AN287,'TMP Paste'!$O288))</f>
        <v/>
      </c>
      <c r="AO288">
        <f>IF('TMP Paste'!$F288="","",IF('TMP Paste'!$P288="",$AO287,'TMP Paste'!$P288))</f>
        <v/>
      </c>
      <c r="AP288">
        <f>IF($AG288="","",LEN($R288))</f>
        <v/>
      </c>
      <c r="AQ288">
        <f>IF($AG288="","",TRIM(IF(COUNTIFS(Calc!$B$2:$B$1601,ROW()-1,Calc!$C$2:$C$1601,"&lt;1")&gt;0,"Ada PO tanpa Koli - cek TMP. ","")&amp;IF(LEN($R288)&gt;500,"R &gt; 500 karakter.","")))</f>
        <v/>
      </c>
    </row>
    <row r="289">
      <c r="A289">
        <f>IF($AG289="","",INDEX('TMP Paste'!$B$2:$B$1601,$AG289))</f>
        <v/>
      </c>
      <c r="B289">
        <f>IF($AG289="","",Config!$B$14)</f>
        <v/>
      </c>
      <c r="C289">
        <f>IF($AG289="","",Config!$B$15)</f>
        <v/>
      </c>
      <c r="D289">
        <f>IF($AG289="","",INDEX('TMP Paste'!$B$2:$B$1601,$AG289))</f>
        <v/>
      </c>
      <c r="E289">
        <f>IF($AG289="","",Config!$B$27)</f>
        <v/>
      </c>
      <c r="F289">
        <f>IF($AG289="","",Config!$B$9)</f>
        <v/>
      </c>
      <c r="G289">
        <f>IF($AG289="","",Config!$B$10)</f>
        <v/>
      </c>
      <c r="H289">
        <f>IF($AG289="","",Config!$B$11)</f>
        <v/>
      </c>
      <c r="I289">
        <f>IF($AG289="","",Config!$B$16)</f>
        <v/>
      </c>
      <c r="J289">
        <f>IF($AG289="","",INDEX('TMP Paste'!$A$2:$A$1601,$AG289))</f>
        <v/>
      </c>
      <c r="K289">
        <f>IF($AG289="","",INDEX('TMP Paste'!$L$2:$L$1601,$AG289))</f>
        <v/>
      </c>
      <c r="L289">
        <f>IF($AG289="","",INDEX('TMP Paste'!$I$2:$I$1601,$AG289))</f>
        <v/>
      </c>
      <c r="M289">
        <f>IF($AG289="","",Config!$B$16)</f>
        <v/>
      </c>
      <c r="N289">
        <f>IF($AG289="","","")</f>
        <v/>
      </c>
      <c r="O289">
        <f>IF($AG289="","",INDEX('TMP Paste'!$K$2:$K$1601,$AG289))</f>
        <v/>
      </c>
      <c r="P289">
        <f>IF($AG289="","","")</f>
        <v/>
      </c>
      <c r="Q289">
        <f>IF($AG289="","",INDEX('TMP Paste'!$J$2:$J$1601,$AG289))</f>
        <v/>
      </c>
      <c r="R289">
        <f>IF($AG289="","",Config!$B$24)</f>
        <v/>
      </c>
      <c r="S289">
        <f>IF($AG289="","",TEXT(Config!$B$4,"yyyy-mm-dd"))</f>
        <v/>
      </c>
      <c r="T289">
        <f>IF($AG289="","",Config!$B$17)</f>
        <v/>
      </c>
      <c r="U289">
        <f>IF($AG289="","",Config!$B$18)</f>
        <v/>
      </c>
      <c r="V289">
        <f>IF($AG289="","",Config!$B$19)</f>
        <v/>
      </c>
      <c r="W289">
        <f>IF($AG289="","",INDEX('TMP Paste'!$C$2:$C$1601,$AG289))</f>
        <v/>
      </c>
      <c r="X289">
        <f>IF($AG289="","",Config!$B$29)</f>
        <v/>
      </c>
      <c r="Y289">
        <f>IF($AH289="","",INDEX(Calc!$I$2:$I$1601,$AH289)&amp;" - "&amp;INDEX(Calc!$D$2:$D$1601,$AH289)&amp;" koli")</f>
        <v/>
      </c>
      <c r="Z289">
        <f>IF($AG289="","",Config!$B$21)</f>
        <v/>
      </c>
      <c r="AA289">
        <f>IF($AG289="","",Config!$B$22)</f>
        <v/>
      </c>
      <c r="AB289">
        <f>IF($AH289="","",INDEX(Calc!$D$2:$D$1601,$AH289))</f>
        <v/>
      </c>
      <c r="AC289">
        <f>IF($AH289="","",INDEX(Calc!$G$2:$G$1601,$AH289))</f>
        <v/>
      </c>
      <c r="AD289">
        <f>IF($AG289="","",Config!$B$23)</f>
        <v/>
      </c>
      <c r="AE289">
        <f>IF($AG289="","",Config!$B$28)</f>
        <v/>
      </c>
      <c r="AG289">
        <f>IFERROR(MATCH(ROW()-1,Calc!$J$2:$J$1601,0),"")</f>
        <v/>
      </c>
      <c r="AH289">
        <f>IFERROR(MATCH(ROW()-1,Calc!$K$2:$K$1601,0),"")</f>
        <v/>
      </c>
      <c r="AI289">
        <f>IF($AG289="","",SUMIF($AG$2:$AG289,$AG289,$AH$2:$AH289))</f>
        <v/>
      </c>
      <c r="AJ289">
        <f>IF('TMP Paste'!$F289="","",IF('TMP Paste'!$B289="",$AJ288,'TMP Paste'!$B289))</f>
        <v/>
      </c>
      <c r="AK289">
        <f>IF('TMP Paste'!$F289="","",N('TMP Paste'!$G289))</f>
        <v/>
      </c>
      <c r="AL289">
        <f>IF('TMP Paste'!$F289="","",IF('TMP Paste'!$M289="",$AL288,'TMP Paste'!$M289))</f>
        <v/>
      </c>
      <c r="AM289">
        <f>IF('TMP Paste'!$F289="","",IF('TMP Paste'!$N289="",$AM288,'TMP Paste'!$N289))</f>
        <v/>
      </c>
      <c r="AN289">
        <f>IF('TMP Paste'!$F289="","",IF('TMP Paste'!$O289="",$AN288,'TMP Paste'!$O289))</f>
        <v/>
      </c>
      <c r="AO289">
        <f>IF('TMP Paste'!$F289="","",IF('TMP Paste'!$P289="",$AO288,'TMP Paste'!$P289))</f>
        <v/>
      </c>
      <c r="AP289">
        <f>IF($AG289="","",LEN($R289))</f>
        <v/>
      </c>
      <c r="AQ289">
        <f>IF($AG289="","",TRIM(IF(COUNTIFS(Calc!$B$2:$B$1601,ROW()-1,Calc!$C$2:$C$1601,"&lt;1")&gt;0,"Ada PO tanpa Koli - cek TMP. ","")&amp;IF(LEN($R289)&gt;500,"R &gt; 500 karakter.","")))</f>
        <v/>
      </c>
    </row>
    <row r="290">
      <c r="A290">
        <f>IF($AG290="","",INDEX('TMP Paste'!$B$2:$B$1601,$AG290))</f>
        <v/>
      </c>
      <c r="B290">
        <f>IF($AG290="","",Config!$B$14)</f>
        <v/>
      </c>
      <c r="C290">
        <f>IF($AG290="","",Config!$B$15)</f>
        <v/>
      </c>
      <c r="D290">
        <f>IF($AG290="","",INDEX('TMP Paste'!$B$2:$B$1601,$AG290))</f>
        <v/>
      </c>
      <c r="E290">
        <f>IF($AG290="","",Config!$B$27)</f>
        <v/>
      </c>
      <c r="F290">
        <f>IF($AG290="","",Config!$B$9)</f>
        <v/>
      </c>
      <c r="G290">
        <f>IF($AG290="","",Config!$B$10)</f>
        <v/>
      </c>
      <c r="H290">
        <f>IF($AG290="","",Config!$B$11)</f>
        <v/>
      </c>
      <c r="I290">
        <f>IF($AG290="","",Config!$B$16)</f>
        <v/>
      </c>
      <c r="J290">
        <f>IF($AG290="","",INDEX('TMP Paste'!$A$2:$A$1601,$AG290))</f>
        <v/>
      </c>
      <c r="K290">
        <f>IF($AG290="","",INDEX('TMP Paste'!$L$2:$L$1601,$AG290))</f>
        <v/>
      </c>
      <c r="L290">
        <f>IF($AG290="","",INDEX('TMP Paste'!$I$2:$I$1601,$AG290))</f>
        <v/>
      </c>
      <c r="M290">
        <f>IF($AG290="","",Config!$B$16)</f>
        <v/>
      </c>
      <c r="N290">
        <f>IF($AG290="","","")</f>
        <v/>
      </c>
      <c r="O290">
        <f>IF($AG290="","",INDEX('TMP Paste'!$K$2:$K$1601,$AG290))</f>
        <v/>
      </c>
      <c r="P290">
        <f>IF($AG290="","","")</f>
        <v/>
      </c>
      <c r="Q290">
        <f>IF($AG290="","",INDEX('TMP Paste'!$J$2:$J$1601,$AG290))</f>
        <v/>
      </c>
      <c r="R290">
        <f>IF($AG290="","",Config!$B$24)</f>
        <v/>
      </c>
      <c r="S290">
        <f>IF($AG290="","",TEXT(Config!$B$4,"yyyy-mm-dd"))</f>
        <v/>
      </c>
      <c r="T290">
        <f>IF($AG290="","",Config!$B$17)</f>
        <v/>
      </c>
      <c r="U290">
        <f>IF($AG290="","",Config!$B$18)</f>
        <v/>
      </c>
      <c r="V290">
        <f>IF($AG290="","",Config!$B$19)</f>
        <v/>
      </c>
      <c r="W290">
        <f>IF($AG290="","",INDEX('TMP Paste'!$C$2:$C$1601,$AG290))</f>
        <v/>
      </c>
      <c r="X290">
        <f>IF($AG290="","",Config!$B$29)</f>
        <v/>
      </c>
      <c r="Y290">
        <f>IF($AH290="","",INDEX(Calc!$I$2:$I$1601,$AH290)&amp;" - "&amp;INDEX(Calc!$D$2:$D$1601,$AH290)&amp;" koli")</f>
        <v/>
      </c>
      <c r="Z290">
        <f>IF($AG290="","",Config!$B$21)</f>
        <v/>
      </c>
      <c r="AA290">
        <f>IF($AG290="","",Config!$B$22)</f>
        <v/>
      </c>
      <c r="AB290">
        <f>IF($AH290="","",INDEX(Calc!$D$2:$D$1601,$AH290))</f>
        <v/>
      </c>
      <c r="AC290">
        <f>IF($AH290="","",INDEX(Calc!$G$2:$G$1601,$AH290))</f>
        <v/>
      </c>
      <c r="AD290">
        <f>IF($AG290="","",Config!$B$23)</f>
        <v/>
      </c>
      <c r="AE290">
        <f>IF($AG290="","",Config!$B$28)</f>
        <v/>
      </c>
      <c r="AG290">
        <f>IFERROR(MATCH(ROW()-1,Calc!$J$2:$J$1601,0),"")</f>
        <v/>
      </c>
      <c r="AH290">
        <f>IFERROR(MATCH(ROW()-1,Calc!$K$2:$K$1601,0),"")</f>
        <v/>
      </c>
      <c r="AI290">
        <f>IF($AG290="","",SUMIF($AG$2:$AG290,$AG290,$AH$2:$AH290))</f>
        <v/>
      </c>
      <c r="AJ290">
        <f>IF('TMP Paste'!$F290="","",IF('TMP Paste'!$B290="",$AJ289,'TMP Paste'!$B290))</f>
        <v/>
      </c>
      <c r="AK290">
        <f>IF('TMP Paste'!$F290="","",N('TMP Paste'!$G290))</f>
        <v/>
      </c>
      <c r="AL290">
        <f>IF('TMP Paste'!$F290="","",IF('TMP Paste'!$M290="",$AL289,'TMP Paste'!$M290))</f>
        <v/>
      </c>
      <c r="AM290">
        <f>IF('TMP Paste'!$F290="","",IF('TMP Paste'!$N290="",$AM289,'TMP Paste'!$N290))</f>
        <v/>
      </c>
      <c r="AN290">
        <f>IF('TMP Paste'!$F290="","",IF('TMP Paste'!$O290="",$AN289,'TMP Paste'!$O290))</f>
        <v/>
      </c>
      <c r="AO290">
        <f>IF('TMP Paste'!$F290="","",IF('TMP Paste'!$P290="",$AO289,'TMP Paste'!$P290))</f>
        <v/>
      </c>
      <c r="AP290">
        <f>IF($AG290="","",LEN($R290))</f>
        <v/>
      </c>
      <c r="AQ290">
        <f>IF($AG290="","",TRIM(IF(COUNTIFS(Calc!$B$2:$B$1601,ROW()-1,Calc!$C$2:$C$1601,"&lt;1")&gt;0,"Ada PO tanpa Koli - cek TMP. ","")&amp;IF(LEN($R290)&gt;500,"R &gt; 500 karakter.","")))</f>
        <v/>
      </c>
    </row>
    <row r="291">
      <c r="A291">
        <f>IF($AG291="","",INDEX('TMP Paste'!$B$2:$B$1601,$AG291))</f>
        <v/>
      </c>
      <c r="B291">
        <f>IF($AG291="","",Config!$B$14)</f>
        <v/>
      </c>
      <c r="C291">
        <f>IF($AG291="","",Config!$B$15)</f>
        <v/>
      </c>
      <c r="D291">
        <f>IF($AG291="","",INDEX('TMP Paste'!$B$2:$B$1601,$AG291))</f>
        <v/>
      </c>
      <c r="E291">
        <f>IF($AG291="","",Config!$B$27)</f>
        <v/>
      </c>
      <c r="F291">
        <f>IF($AG291="","",Config!$B$9)</f>
        <v/>
      </c>
      <c r="G291">
        <f>IF($AG291="","",Config!$B$10)</f>
        <v/>
      </c>
      <c r="H291">
        <f>IF($AG291="","",Config!$B$11)</f>
        <v/>
      </c>
      <c r="I291">
        <f>IF($AG291="","",Config!$B$16)</f>
        <v/>
      </c>
      <c r="J291">
        <f>IF($AG291="","",INDEX('TMP Paste'!$A$2:$A$1601,$AG291))</f>
        <v/>
      </c>
      <c r="K291">
        <f>IF($AG291="","",INDEX('TMP Paste'!$L$2:$L$1601,$AG291))</f>
        <v/>
      </c>
      <c r="L291">
        <f>IF($AG291="","",INDEX('TMP Paste'!$I$2:$I$1601,$AG291))</f>
        <v/>
      </c>
      <c r="M291">
        <f>IF($AG291="","",Config!$B$16)</f>
        <v/>
      </c>
      <c r="N291">
        <f>IF($AG291="","","")</f>
        <v/>
      </c>
      <c r="O291">
        <f>IF($AG291="","",INDEX('TMP Paste'!$K$2:$K$1601,$AG291))</f>
        <v/>
      </c>
      <c r="P291">
        <f>IF($AG291="","","")</f>
        <v/>
      </c>
      <c r="Q291">
        <f>IF($AG291="","",INDEX('TMP Paste'!$J$2:$J$1601,$AG291))</f>
        <v/>
      </c>
      <c r="R291">
        <f>IF($AG291="","",Config!$B$24)</f>
        <v/>
      </c>
      <c r="S291">
        <f>IF($AG291="","",TEXT(Config!$B$4,"yyyy-mm-dd"))</f>
        <v/>
      </c>
      <c r="T291">
        <f>IF($AG291="","",Config!$B$17)</f>
        <v/>
      </c>
      <c r="U291">
        <f>IF($AG291="","",Config!$B$18)</f>
        <v/>
      </c>
      <c r="V291">
        <f>IF($AG291="","",Config!$B$19)</f>
        <v/>
      </c>
      <c r="W291">
        <f>IF($AG291="","",INDEX('TMP Paste'!$C$2:$C$1601,$AG291))</f>
        <v/>
      </c>
      <c r="X291">
        <f>IF($AG291="","",Config!$B$29)</f>
        <v/>
      </c>
      <c r="Y291">
        <f>IF($AH291="","",INDEX(Calc!$I$2:$I$1601,$AH291)&amp;" - "&amp;INDEX(Calc!$D$2:$D$1601,$AH291)&amp;" koli")</f>
        <v/>
      </c>
      <c r="Z291">
        <f>IF($AG291="","",Config!$B$21)</f>
        <v/>
      </c>
      <c r="AA291">
        <f>IF($AG291="","",Config!$B$22)</f>
        <v/>
      </c>
      <c r="AB291">
        <f>IF($AH291="","",INDEX(Calc!$D$2:$D$1601,$AH291))</f>
        <v/>
      </c>
      <c r="AC291">
        <f>IF($AH291="","",INDEX(Calc!$G$2:$G$1601,$AH291))</f>
        <v/>
      </c>
      <c r="AD291">
        <f>IF($AG291="","",Config!$B$23)</f>
        <v/>
      </c>
      <c r="AE291">
        <f>IF($AG291="","",Config!$B$28)</f>
        <v/>
      </c>
      <c r="AG291">
        <f>IFERROR(MATCH(ROW()-1,Calc!$J$2:$J$1601,0),"")</f>
        <v/>
      </c>
      <c r="AH291">
        <f>IFERROR(MATCH(ROW()-1,Calc!$K$2:$K$1601,0),"")</f>
        <v/>
      </c>
      <c r="AI291">
        <f>IF($AG291="","",SUMIF($AG$2:$AG291,$AG291,$AH$2:$AH291))</f>
        <v/>
      </c>
      <c r="AJ291">
        <f>IF('TMP Paste'!$F291="","",IF('TMP Paste'!$B291="",$AJ290,'TMP Paste'!$B291))</f>
        <v/>
      </c>
      <c r="AK291">
        <f>IF('TMP Paste'!$F291="","",N('TMP Paste'!$G291))</f>
        <v/>
      </c>
      <c r="AL291">
        <f>IF('TMP Paste'!$F291="","",IF('TMP Paste'!$M291="",$AL290,'TMP Paste'!$M291))</f>
        <v/>
      </c>
      <c r="AM291">
        <f>IF('TMP Paste'!$F291="","",IF('TMP Paste'!$N291="",$AM290,'TMP Paste'!$N291))</f>
        <v/>
      </c>
      <c r="AN291">
        <f>IF('TMP Paste'!$F291="","",IF('TMP Paste'!$O291="",$AN290,'TMP Paste'!$O291))</f>
        <v/>
      </c>
      <c r="AO291">
        <f>IF('TMP Paste'!$F291="","",IF('TMP Paste'!$P291="",$AO290,'TMP Paste'!$P291))</f>
        <v/>
      </c>
      <c r="AP291">
        <f>IF($AG291="","",LEN($R291))</f>
        <v/>
      </c>
      <c r="AQ291">
        <f>IF($AG291="","",TRIM(IF(COUNTIFS(Calc!$B$2:$B$1601,ROW()-1,Calc!$C$2:$C$1601,"&lt;1")&gt;0,"Ada PO tanpa Koli - cek TMP. ","")&amp;IF(LEN($R291)&gt;500,"R &gt; 500 karakter.","")))</f>
        <v/>
      </c>
    </row>
    <row r="292">
      <c r="A292">
        <f>IF($AG292="","",INDEX('TMP Paste'!$B$2:$B$1601,$AG292))</f>
        <v/>
      </c>
      <c r="B292">
        <f>IF($AG292="","",Config!$B$14)</f>
        <v/>
      </c>
      <c r="C292">
        <f>IF($AG292="","",Config!$B$15)</f>
        <v/>
      </c>
      <c r="D292">
        <f>IF($AG292="","",INDEX('TMP Paste'!$B$2:$B$1601,$AG292))</f>
        <v/>
      </c>
      <c r="E292">
        <f>IF($AG292="","",Config!$B$27)</f>
        <v/>
      </c>
      <c r="F292">
        <f>IF($AG292="","",Config!$B$9)</f>
        <v/>
      </c>
      <c r="G292">
        <f>IF($AG292="","",Config!$B$10)</f>
        <v/>
      </c>
      <c r="H292">
        <f>IF($AG292="","",Config!$B$11)</f>
        <v/>
      </c>
      <c r="I292">
        <f>IF($AG292="","",Config!$B$16)</f>
        <v/>
      </c>
      <c r="J292">
        <f>IF($AG292="","",INDEX('TMP Paste'!$A$2:$A$1601,$AG292))</f>
        <v/>
      </c>
      <c r="K292">
        <f>IF($AG292="","",INDEX('TMP Paste'!$L$2:$L$1601,$AG292))</f>
        <v/>
      </c>
      <c r="L292">
        <f>IF($AG292="","",INDEX('TMP Paste'!$I$2:$I$1601,$AG292))</f>
        <v/>
      </c>
      <c r="M292">
        <f>IF($AG292="","",Config!$B$16)</f>
        <v/>
      </c>
      <c r="N292">
        <f>IF($AG292="","","")</f>
        <v/>
      </c>
      <c r="O292">
        <f>IF($AG292="","",INDEX('TMP Paste'!$K$2:$K$1601,$AG292))</f>
        <v/>
      </c>
      <c r="P292">
        <f>IF($AG292="","","")</f>
        <v/>
      </c>
      <c r="Q292">
        <f>IF($AG292="","",INDEX('TMP Paste'!$J$2:$J$1601,$AG292))</f>
        <v/>
      </c>
      <c r="R292">
        <f>IF($AG292="","",Config!$B$24)</f>
        <v/>
      </c>
      <c r="S292">
        <f>IF($AG292="","",TEXT(Config!$B$4,"yyyy-mm-dd"))</f>
        <v/>
      </c>
      <c r="T292">
        <f>IF($AG292="","",Config!$B$17)</f>
        <v/>
      </c>
      <c r="U292">
        <f>IF($AG292="","",Config!$B$18)</f>
        <v/>
      </c>
      <c r="V292">
        <f>IF($AG292="","",Config!$B$19)</f>
        <v/>
      </c>
      <c r="W292">
        <f>IF($AG292="","",INDEX('TMP Paste'!$C$2:$C$1601,$AG292))</f>
        <v/>
      </c>
      <c r="X292">
        <f>IF($AG292="","",Config!$B$29)</f>
        <v/>
      </c>
      <c r="Y292">
        <f>IF($AH292="","",INDEX(Calc!$I$2:$I$1601,$AH292)&amp;" - "&amp;INDEX(Calc!$D$2:$D$1601,$AH292)&amp;" koli")</f>
        <v/>
      </c>
      <c r="Z292">
        <f>IF($AG292="","",Config!$B$21)</f>
        <v/>
      </c>
      <c r="AA292">
        <f>IF($AG292="","",Config!$B$22)</f>
        <v/>
      </c>
      <c r="AB292">
        <f>IF($AH292="","",INDEX(Calc!$D$2:$D$1601,$AH292))</f>
        <v/>
      </c>
      <c r="AC292">
        <f>IF($AH292="","",INDEX(Calc!$G$2:$G$1601,$AH292))</f>
        <v/>
      </c>
      <c r="AD292">
        <f>IF($AG292="","",Config!$B$23)</f>
        <v/>
      </c>
      <c r="AE292">
        <f>IF($AG292="","",Config!$B$28)</f>
        <v/>
      </c>
      <c r="AG292">
        <f>IFERROR(MATCH(ROW()-1,Calc!$J$2:$J$1601,0),"")</f>
        <v/>
      </c>
      <c r="AH292">
        <f>IFERROR(MATCH(ROW()-1,Calc!$K$2:$K$1601,0),"")</f>
        <v/>
      </c>
      <c r="AI292">
        <f>IF($AG292="","",SUMIF($AG$2:$AG292,$AG292,$AH$2:$AH292))</f>
        <v/>
      </c>
      <c r="AJ292">
        <f>IF('TMP Paste'!$F292="","",IF('TMP Paste'!$B292="",$AJ291,'TMP Paste'!$B292))</f>
        <v/>
      </c>
      <c r="AK292">
        <f>IF('TMP Paste'!$F292="","",N('TMP Paste'!$G292))</f>
        <v/>
      </c>
      <c r="AL292">
        <f>IF('TMP Paste'!$F292="","",IF('TMP Paste'!$M292="",$AL291,'TMP Paste'!$M292))</f>
        <v/>
      </c>
      <c r="AM292">
        <f>IF('TMP Paste'!$F292="","",IF('TMP Paste'!$N292="",$AM291,'TMP Paste'!$N292))</f>
        <v/>
      </c>
      <c r="AN292">
        <f>IF('TMP Paste'!$F292="","",IF('TMP Paste'!$O292="",$AN291,'TMP Paste'!$O292))</f>
        <v/>
      </c>
      <c r="AO292">
        <f>IF('TMP Paste'!$F292="","",IF('TMP Paste'!$P292="",$AO291,'TMP Paste'!$P292))</f>
        <v/>
      </c>
      <c r="AP292">
        <f>IF($AG292="","",LEN($R292))</f>
        <v/>
      </c>
      <c r="AQ292">
        <f>IF($AG292="","",TRIM(IF(COUNTIFS(Calc!$B$2:$B$1601,ROW()-1,Calc!$C$2:$C$1601,"&lt;1")&gt;0,"Ada PO tanpa Koli - cek TMP. ","")&amp;IF(LEN($R292)&gt;500,"R &gt; 500 karakter.","")))</f>
        <v/>
      </c>
    </row>
    <row r="293">
      <c r="A293">
        <f>IF($AG293="","",INDEX('TMP Paste'!$B$2:$B$1601,$AG293))</f>
        <v/>
      </c>
      <c r="B293">
        <f>IF($AG293="","",Config!$B$14)</f>
        <v/>
      </c>
      <c r="C293">
        <f>IF($AG293="","",Config!$B$15)</f>
        <v/>
      </c>
      <c r="D293">
        <f>IF($AG293="","",INDEX('TMP Paste'!$B$2:$B$1601,$AG293))</f>
        <v/>
      </c>
      <c r="E293">
        <f>IF($AG293="","",Config!$B$27)</f>
        <v/>
      </c>
      <c r="F293">
        <f>IF($AG293="","",Config!$B$9)</f>
        <v/>
      </c>
      <c r="G293">
        <f>IF($AG293="","",Config!$B$10)</f>
        <v/>
      </c>
      <c r="H293">
        <f>IF($AG293="","",Config!$B$11)</f>
        <v/>
      </c>
      <c r="I293">
        <f>IF($AG293="","",Config!$B$16)</f>
        <v/>
      </c>
      <c r="J293">
        <f>IF($AG293="","",INDEX('TMP Paste'!$A$2:$A$1601,$AG293))</f>
        <v/>
      </c>
      <c r="K293">
        <f>IF($AG293="","",INDEX('TMP Paste'!$L$2:$L$1601,$AG293))</f>
        <v/>
      </c>
      <c r="L293">
        <f>IF($AG293="","",INDEX('TMP Paste'!$I$2:$I$1601,$AG293))</f>
        <v/>
      </c>
      <c r="M293">
        <f>IF($AG293="","",Config!$B$16)</f>
        <v/>
      </c>
      <c r="N293">
        <f>IF($AG293="","","")</f>
        <v/>
      </c>
      <c r="O293">
        <f>IF($AG293="","",INDEX('TMP Paste'!$K$2:$K$1601,$AG293))</f>
        <v/>
      </c>
      <c r="P293">
        <f>IF($AG293="","","")</f>
        <v/>
      </c>
      <c r="Q293">
        <f>IF($AG293="","",INDEX('TMP Paste'!$J$2:$J$1601,$AG293))</f>
        <v/>
      </c>
      <c r="R293">
        <f>IF($AG293="","",Config!$B$24)</f>
        <v/>
      </c>
      <c r="S293">
        <f>IF($AG293="","",TEXT(Config!$B$4,"yyyy-mm-dd"))</f>
        <v/>
      </c>
      <c r="T293">
        <f>IF($AG293="","",Config!$B$17)</f>
        <v/>
      </c>
      <c r="U293">
        <f>IF($AG293="","",Config!$B$18)</f>
        <v/>
      </c>
      <c r="V293">
        <f>IF($AG293="","",Config!$B$19)</f>
        <v/>
      </c>
      <c r="W293">
        <f>IF($AG293="","",INDEX('TMP Paste'!$C$2:$C$1601,$AG293))</f>
        <v/>
      </c>
      <c r="X293">
        <f>IF($AG293="","",Config!$B$29)</f>
        <v/>
      </c>
      <c r="Y293">
        <f>IF($AH293="","",INDEX(Calc!$I$2:$I$1601,$AH293)&amp;" - "&amp;INDEX(Calc!$D$2:$D$1601,$AH293)&amp;" koli")</f>
        <v/>
      </c>
      <c r="Z293">
        <f>IF($AG293="","",Config!$B$21)</f>
        <v/>
      </c>
      <c r="AA293">
        <f>IF($AG293="","",Config!$B$22)</f>
        <v/>
      </c>
      <c r="AB293">
        <f>IF($AH293="","",INDEX(Calc!$D$2:$D$1601,$AH293))</f>
        <v/>
      </c>
      <c r="AC293">
        <f>IF($AH293="","",INDEX(Calc!$G$2:$G$1601,$AH293))</f>
        <v/>
      </c>
      <c r="AD293">
        <f>IF($AG293="","",Config!$B$23)</f>
        <v/>
      </c>
      <c r="AE293">
        <f>IF($AG293="","",Config!$B$28)</f>
        <v/>
      </c>
      <c r="AG293">
        <f>IFERROR(MATCH(ROW()-1,Calc!$J$2:$J$1601,0),"")</f>
        <v/>
      </c>
      <c r="AH293">
        <f>IFERROR(MATCH(ROW()-1,Calc!$K$2:$K$1601,0),"")</f>
        <v/>
      </c>
      <c r="AI293">
        <f>IF($AG293="","",SUMIF($AG$2:$AG293,$AG293,$AH$2:$AH293))</f>
        <v/>
      </c>
      <c r="AJ293">
        <f>IF('TMP Paste'!$F293="","",IF('TMP Paste'!$B293="",$AJ292,'TMP Paste'!$B293))</f>
        <v/>
      </c>
      <c r="AK293">
        <f>IF('TMP Paste'!$F293="","",N('TMP Paste'!$G293))</f>
        <v/>
      </c>
      <c r="AL293">
        <f>IF('TMP Paste'!$F293="","",IF('TMP Paste'!$M293="",$AL292,'TMP Paste'!$M293))</f>
        <v/>
      </c>
      <c r="AM293">
        <f>IF('TMP Paste'!$F293="","",IF('TMP Paste'!$N293="",$AM292,'TMP Paste'!$N293))</f>
        <v/>
      </c>
      <c r="AN293">
        <f>IF('TMP Paste'!$F293="","",IF('TMP Paste'!$O293="",$AN292,'TMP Paste'!$O293))</f>
        <v/>
      </c>
      <c r="AO293">
        <f>IF('TMP Paste'!$F293="","",IF('TMP Paste'!$P293="",$AO292,'TMP Paste'!$P293))</f>
        <v/>
      </c>
      <c r="AP293">
        <f>IF($AG293="","",LEN($R293))</f>
        <v/>
      </c>
      <c r="AQ293">
        <f>IF($AG293="","",TRIM(IF(COUNTIFS(Calc!$B$2:$B$1601,ROW()-1,Calc!$C$2:$C$1601,"&lt;1")&gt;0,"Ada PO tanpa Koli - cek TMP. ","")&amp;IF(LEN($R293)&gt;500,"R &gt; 500 karakter.","")))</f>
        <v/>
      </c>
    </row>
    <row r="294">
      <c r="A294">
        <f>IF($AG294="","",INDEX('TMP Paste'!$B$2:$B$1601,$AG294))</f>
        <v/>
      </c>
      <c r="B294">
        <f>IF($AG294="","",Config!$B$14)</f>
        <v/>
      </c>
      <c r="C294">
        <f>IF($AG294="","",Config!$B$15)</f>
        <v/>
      </c>
      <c r="D294">
        <f>IF($AG294="","",INDEX('TMP Paste'!$B$2:$B$1601,$AG294))</f>
        <v/>
      </c>
      <c r="E294">
        <f>IF($AG294="","",Config!$B$27)</f>
        <v/>
      </c>
      <c r="F294">
        <f>IF($AG294="","",Config!$B$9)</f>
        <v/>
      </c>
      <c r="G294">
        <f>IF($AG294="","",Config!$B$10)</f>
        <v/>
      </c>
      <c r="H294">
        <f>IF($AG294="","",Config!$B$11)</f>
        <v/>
      </c>
      <c r="I294">
        <f>IF($AG294="","",Config!$B$16)</f>
        <v/>
      </c>
      <c r="J294">
        <f>IF($AG294="","",INDEX('TMP Paste'!$A$2:$A$1601,$AG294))</f>
        <v/>
      </c>
      <c r="K294">
        <f>IF($AG294="","",INDEX('TMP Paste'!$L$2:$L$1601,$AG294))</f>
        <v/>
      </c>
      <c r="L294">
        <f>IF($AG294="","",INDEX('TMP Paste'!$I$2:$I$1601,$AG294))</f>
        <v/>
      </c>
      <c r="M294">
        <f>IF($AG294="","",Config!$B$16)</f>
        <v/>
      </c>
      <c r="N294">
        <f>IF($AG294="","","")</f>
        <v/>
      </c>
      <c r="O294">
        <f>IF($AG294="","",INDEX('TMP Paste'!$K$2:$K$1601,$AG294))</f>
        <v/>
      </c>
      <c r="P294">
        <f>IF($AG294="","","")</f>
        <v/>
      </c>
      <c r="Q294">
        <f>IF($AG294="","",INDEX('TMP Paste'!$J$2:$J$1601,$AG294))</f>
        <v/>
      </c>
      <c r="R294">
        <f>IF($AG294="","",Config!$B$24)</f>
        <v/>
      </c>
      <c r="S294">
        <f>IF($AG294="","",TEXT(Config!$B$4,"yyyy-mm-dd"))</f>
        <v/>
      </c>
      <c r="T294">
        <f>IF($AG294="","",Config!$B$17)</f>
        <v/>
      </c>
      <c r="U294">
        <f>IF($AG294="","",Config!$B$18)</f>
        <v/>
      </c>
      <c r="V294">
        <f>IF($AG294="","",Config!$B$19)</f>
        <v/>
      </c>
      <c r="W294">
        <f>IF($AG294="","",INDEX('TMP Paste'!$C$2:$C$1601,$AG294))</f>
        <v/>
      </c>
      <c r="X294">
        <f>IF($AG294="","",Config!$B$29)</f>
        <v/>
      </c>
      <c r="Y294">
        <f>IF($AH294="","",INDEX(Calc!$I$2:$I$1601,$AH294)&amp;" - "&amp;INDEX(Calc!$D$2:$D$1601,$AH294)&amp;" koli")</f>
        <v/>
      </c>
      <c r="Z294">
        <f>IF($AG294="","",Config!$B$21)</f>
        <v/>
      </c>
      <c r="AA294">
        <f>IF($AG294="","",Config!$B$22)</f>
        <v/>
      </c>
      <c r="AB294">
        <f>IF($AH294="","",INDEX(Calc!$D$2:$D$1601,$AH294))</f>
        <v/>
      </c>
      <c r="AC294">
        <f>IF($AH294="","",INDEX(Calc!$G$2:$G$1601,$AH294))</f>
        <v/>
      </c>
      <c r="AD294">
        <f>IF($AG294="","",Config!$B$23)</f>
        <v/>
      </c>
      <c r="AE294">
        <f>IF($AG294="","",Config!$B$28)</f>
        <v/>
      </c>
      <c r="AG294">
        <f>IFERROR(MATCH(ROW()-1,Calc!$J$2:$J$1601,0),"")</f>
        <v/>
      </c>
      <c r="AH294">
        <f>IFERROR(MATCH(ROW()-1,Calc!$K$2:$K$1601,0),"")</f>
        <v/>
      </c>
      <c r="AI294">
        <f>IF($AG294="","",SUMIF($AG$2:$AG294,$AG294,$AH$2:$AH294))</f>
        <v/>
      </c>
      <c r="AJ294">
        <f>IF('TMP Paste'!$F294="","",IF('TMP Paste'!$B294="",$AJ293,'TMP Paste'!$B294))</f>
        <v/>
      </c>
      <c r="AK294">
        <f>IF('TMP Paste'!$F294="","",N('TMP Paste'!$G294))</f>
        <v/>
      </c>
      <c r="AL294">
        <f>IF('TMP Paste'!$F294="","",IF('TMP Paste'!$M294="",$AL293,'TMP Paste'!$M294))</f>
        <v/>
      </c>
      <c r="AM294">
        <f>IF('TMP Paste'!$F294="","",IF('TMP Paste'!$N294="",$AM293,'TMP Paste'!$N294))</f>
        <v/>
      </c>
      <c r="AN294">
        <f>IF('TMP Paste'!$F294="","",IF('TMP Paste'!$O294="",$AN293,'TMP Paste'!$O294))</f>
        <v/>
      </c>
      <c r="AO294">
        <f>IF('TMP Paste'!$F294="","",IF('TMP Paste'!$P294="",$AO293,'TMP Paste'!$P294))</f>
        <v/>
      </c>
      <c r="AP294">
        <f>IF($AG294="","",LEN($R294))</f>
        <v/>
      </c>
      <c r="AQ294">
        <f>IF($AG294="","",TRIM(IF(COUNTIFS(Calc!$B$2:$B$1601,ROW()-1,Calc!$C$2:$C$1601,"&lt;1")&gt;0,"Ada PO tanpa Koli - cek TMP. ","")&amp;IF(LEN($R294)&gt;500,"R &gt; 500 karakter.","")))</f>
        <v/>
      </c>
    </row>
    <row r="295">
      <c r="A295">
        <f>IF($AG295="","",INDEX('TMP Paste'!$B$2:$B$1601,$AG295))</f>
        <v/>
      </c>
      <c r="B295">
        <f>IF($AG295="","",Config!$B$14)</f>
        <v/>
      </c>
      <c r="C295">
        <f>IF($AG295="","",Config!$B$15)</f>
        <v/>
      </c>
      <c r="D295">
        <f>IF($AG295="","",INDEX('TMP Paste'!$B$2:$B$1601,$AG295))</f>
        <v/>
      </c>
      <c r="E295">
        <f>IF($AG295="","",Config!$B$27)</f>
        <v/>
      </c>
      <c r="F295">
        <f>IF($AG295="","",Config!$B$9)</f>
        <v/>
      </c>
      <c r="G295">
        <f>IF($AG295="","",Config!$B$10)</f>
        <v/>
      </c>
      <c r="H295">
        <f>IF($AG295="","",Config!$B$11)</f>
        <v/>
      </c>
      <c r="I295">
        <f>IF($AG295="","",Config!$B$16)</f>
        <v/>
      </c>
      <c r="J295">
        <f>IF($AG295="","",INDEX('TMP Paste'!$A$2:$A$1601,$AG295))</f>
        <v/>
      </c>
      <c r="K295">
        <f>IF($AG295="","",INDEX('TMP Paste'!$L$2:$L$1601,$AG295))</f>
        <v/>
      </c>
      <c r="L295">
        <f>IF($AG295="","",INDEX('TMP Paste'!$I$2:$I$1601,$AG295))</f>
        <v/>
      </c>
      <c r="M295">
        <f>IF($AG295="","",Config!$B$16)</f>
        <v/>
      </c>
      <c r="N295">
        <f>IF($AG295="","","")</f>
        <v/>
      </c>
      <c r="O295">
        <f>IF($AG295="","",INDEX('TMP Paste'!$K$2:$K$1601,$AG295))</f>
        <v/>
      </c>
      <c r="P295">
        <f>IF($AG295="","","")</f>
        <v/>
      </c>
      <c r="Q295">
        <f>IF($AG295="","",INDEX('TMP Paste'!$J$2:$J$1601,$AG295))</f>
        <v/>
      </c>
      <c r="R295">
        <f>IF($AG295="","",Config!$B$24)</f>
        <v/>
      </c>
      <c r="S295">
        <f>IF($AG295="","",TEXT(Config!$B$4,"yyyy-mm-dd"))</f>
        <v/>
      </c>
      <c r="T295">
        <f>IF($AG295="","",Config!$B$17)</f>
        <v/>
      </c>
      <c r="U295">
        <f>IF($AG295="","",Config!$B$18)</f>
        <v/>
      </c>
      <c r="V295">
        <f>IF($AG295="","",Config!$B$19)</f>
        <v/>
      </c>
      <c r="W295">
        <f>IF($AG295="","",INDEX('TMP Paste'!$C$2:$C$1601,$AG295))</f>
        <v/>
      </c>
      <c r="X295">
        <f>IF($AG295="","",Config!$B$29)</f>
        <v/>
      </c>
      <c r="Y295">
        <f>IF($AH295="","",INDEX(Calc!$I$2:$I$1601,$AH295)&amp;" - "&amp;INDEX(Calc!$D$2:$D$1601,$AH295)&amp;" koli")</f>
        <v/>
      </c>
      <c r="Z295">
        <f>IF($AG295="","",Config!$B$21)</f>
        <v/>
      </c>
      <c r="AA295">
        <f>IF($AG295="","",Config!$B$22)</f>
        <v/>
      </c>
      <c r="AB295">
        <f>IF($AH295="","",INDEX(Calc!$D$2:$D$1601,$AH295))</f>
        <v/>
      </c>
      <c r="AC295">
        <f>IF($AH295="","",INDEX(Calc!$G$2:$G$1601,$AH295))</f>
        <v/>
      </c>
      <c r="AD295">
        <f>IF($AG295="","",Config!$B$23)</f>
        <v/>
      </c>
      <c r="AE295">
        <f>IF($AG295="","",Config!$B$28)</f>
        <v/>
      </c>
      <c r="AG295">
        <f>IFERROR(MATCH(ROW()-1,Calc!$J$2:$J$1601,0),"")</f>
        <v/>
      </c>
      <c r="AH295">
        <f>IFERROR(MATCH(ROW()-1,Calc!$K$2:$K$1601,0),"")</f>
        <v/>
      </c>
      <c r="AI295">
        <f>IF($AG295="","",SUMIF($AG$2:$AG295,$AG295,$AH$2:$AH295))</f>
        <v/>
      </c>
      <c r="AJ295">
        <f>IF('TMP Paste'!$F295="","",IF('TMP Paste'!$B295="",$AJ294,'TMP Paste'!$B295))</f>
        <v/>
      </c>
      <c r="AK295">
        <f>IF('TMP Paste'!$F295="","",N('TMP Paste'!$G295))</f>
        <v/>
      </c>
      <c r="AL295">
        <f>IF('TMP Paste'!$F295="","",IF('TMP Paste'!$M295="",$AL294,'TMP Paste'!$M295))</f>
        <v/>
      </c>
      <c r="AM295">
        <f>IF('TMP Paste'!$F295="","",IF('TMP Paste'!$N295="",$AM294,'TMP Paste'!$N295))</f>
        <v/>
      </c>
      <c r="AN295">
        <f>IF('TMP Paste'!$F295="","",IF('TMP Paste'!$O295="",$AN294,'TMP Paste'!$O295))</f>
        <v/>
      </c>
      <c r="AO295">
        <f>IF('TMP Paste'!$F295="","",IF('TMP Paste'!$P295="",$AO294,'TMP Paste'!$P295))</f>
        <v/>
      </c>
      <c r="AP295">
        <f>IF($AG295="","",LEN($R295))</f>
        <v/>
      </c>
      <c r="AQ295">
        <f>IF($AG295="","",TRIM(IF(COUNTIFS(Calc!$B$2:$B$1601,ROW()-1,Calc!$C$2:$C$1601,"&lt;1")&gt;0,"Ada PO tanpa Koli - cek TMP. ","")&amp;IF(LEN($R295)&gt;500,"R &gt; 500 karakter.","")))</f>
        <v/>
      </c>
    </row>
    <row r="296">
      <c r="A296">
        <f>IF($AG296="","",INDEX('TMP Paste'!$B$2:$B$1601,$AG296))</f>
        <v/>
      </c>
      <c r="B296">
        <f>IF($AG296="","",Config!$B$14)</f>
        <v/>
      </c>
      <c r="C296">
        <f>IF($AG296="","",Config!$B$15)</f>
        <v/>
      </c>
      <c r="D296">
        <f>IF($AG296="","",INDEX('TMP Paste'!$B$2:$B$1601,$AG296))</f>
        <v/>
      </c>
      <c r="E296">
        <f>IF($AG296="","",Config!$B$27)</f>
        <v/>
      </c>
      <c r="F296">
        <f>IF($AG296="","",Config!$B$9)</f>
        <v/>
      </c>
      <c r="G296">
        <f>IF($AG296="","",Config!$B$10)</f>
        <v/>
      </c>
      <c r="H296">
        <f>IF($AG296="","",Config!$B$11)</f>
        <v/>
      </c>
      <c r="I296">
        <f>IF($AG296="","",Config!$B$16)</f>
        <v/>
      </c>
      <c r="J296">
        <f>IF($AG296="","",INDEX('TMP Paste'!$A$2:$A$1601,$AG296))</f>
        <v/>
      </c>
      <c r="K296">
        <f>IF($AG296="","",INDEX('TMP Paste'!$L$2:$L$1601,$AG296))</f>
        <v/>
      </c>
      <c r="L296">
        <f>IF($AG296="","",INDEX('TMP Paste'!$I$2:$I$1601,$AG296))</f>
        <v/>
      </c>
      <c r="M296">
        <f>IF($AG296="","",Config!$B$16)</f>
        <v/>
      </c>
      <c r="N296">
        <f>IF($AG296="","","")</f>
        <v/>
      </c>
      <c r="O296">
        <f>IF($AG296="","",INDEX('TMP Paste'!$K$2:$K$1601,$AG296))</f>
        <v/>
      </c>
      <c r="P296">
        <f>IF($AG296="","","")</f>
        <v/>
      </c>
      <c r="Q296">
        <f>IF($AG296="","",INDEX('TMP Paste'!$J$2:$J$1601,$AG296))</f>
        <v/>
      </c>
      <c r="R296">
        <f>IF($AG296="","",Config!$B$24)</f>
        <v/>
      </c>
      <c r="S296">
        <f>IF($AG296="","",TEXT(Config!$B$4,"yyyy-mm-dd"))</f>
        <v/>
      </c>
      <c r="T296">
        <f>IF($AG296="","",Config!$B$17)</f>
        <v/>
      </c>
      <c r="U296">
        <f>IF($AG296="","",Config!$B$18)</f>
        <v/>
      </c>
      <c r="V296">
        <f>IF($AG296="","",Config!$B$19)</f>
        <v/>
      </c>
      <c r="W296">
        <f>IF($AG296="","",INDEX('TMP Paste'!$C$2:$C$1601,$AG296))</f>
        <v/>
      </c>
      <c r="X296">
        <f>IF($AG296="","",Config!$B$29)</f>
        <v/>
      </c>
      <c r="Y296">
        <f>IF($AH296="","",INDEX(Calc!$I$2:$I$1601,$AH296)&amp;" - "&amp;INDEX(Calc!$D$2:$D$1601,$AH296)&amp;" koli")</f>
        <v/>
      </c>
      <c r="Z296">
        <f>IF($AG296="","",Config!$B$21)</f>
        <v/>
      </c>
      <c r="AA296">
        <f>IF($AG296="","",Config!$B$22)</f>
        <v/>
      </c>
      <c r="AB296">
        <f>IF($AH296="","",INDEX(Calc!$D$2:$D$1601,$AH296))</f>
        <v/>
      </c>
      <c r="AC296">
        <f>IF($AH296="","",INDEX(Calc!$G$2:$G$1601,$AH296))</f>
        <v/>
      </c>
      <c r="AD296">
        <f>IF($AG296="","",Config!$B$23)</f>
        <v/>
      </c>
      <c r="AE296">
        <f>IF($AG296="","",Config!$B$28)</f>
        <v/>
      </c>
      <c r="AG296">
        <f>IFERROR(MATCH(ROW()-1,Calc!$J$2:$J$1601,0),"")</f>
        <v/>
      </c>
      <c r="AH296">
        <f>IFERROR(MATCH(ROW()-1,Calc!$K$2:$K$1601,0),"")</f>
        <v/>
      </c>
      <c r="AI296">
        <f>IF($AG296="","",SUMIF($AG$2:$AG296,$AG296,$AH$2:$AH296))</f>
        <v/>
      </c>
      <c r="AJ296">
        <f>IF('TMP Paste'!$F296="","",IF('TMP Paste'!$B296="",$AJ295,'TMP Paste'!$B296))</f>
        <v/>
      </c>
      <c r="AK296">
        <f>IF('TMP Paste'!$F296="","",N('TMP Paste'!$G296))</f>
        <v/>
      </c>
      <c r="AL296">
        <f>IF('TMP Paste'!$F296="","",IF('TMP Paste'!$M296="",$AL295,'TMP Paste'!$M296))</f>
        <v/>
      </c>
      <c r="AM296">
        <f>IF('TMP Paste'!$F296="","",IF('TMP Paste'!$N296="",$AM295,'TMP Paste'!$N296))</f>
        <v/>
      </c>
      <c r="AN296">
        <f>IF('TMP Paste'!$F296="","",IF('TMP Paste'!$O296="",$AN295,'TMP Paste'!$O296))</f>
        <v/>
      </c>
      <c r="AO296">
        <f>IF('TMP Paste'!$F296="","",IF('TMP Paste'!$P296="",$AO295,'TMP Paste'!$P296))</f>
        <v/>
      </c>
      <c r="AP296">
        <f>IF($AG296="","",LEN($R296))</f>
        <v/>
      </c>
      <c r="AQ296">
        <f>IF($AG296="","",TRIM(IF(COUNTIFS(Calc!$B$2:$B$1601,ROW()-1,Calc!$C$2:$C$1601,"&lt;1")&gt;0,"Ada PO tanpa Koli - cek TMP. ","")&amp;IF(LEN($R296)&gt;500,"R &gt; 500 karakter.","")))</f>
        <v/>
      </c>
    </row>
    <row r="297">
      <c r="A297">
        <f>IF($AG297="","",INDEX('TMP Paste'!$B$2:$B$1601,$AG297))</f>
        <v/>
      </c>
      <c r="B297">
        <f>IF($AG297="","",Config!$B$14)</f>
        <v/>
      </c>
      <c r="C297">
        <f>IF($AG297="","",Config!$B$15)</f>
        <v/>
      </c>
      <c r="D297">
        <f>IF($AG297="","",INDEX('TMP Paste'!$B$2:$B$1601,$AG297))</f>
        <v/>
      </c>
      <c r="E297">
        <f>IF($AG297="","",Config!$B$27)</f>
        <v/>
      </c>
      <c r="F297">
        <f>IF($AG297="","",Config!$B$9)</f>
        <v/>
      </c>
      <c r="G297">
        <f>IF($AG297="","",Config!$B$10)</f>
        <v/>
      </c>
      <c r="H297">
        <f>IF($AG297="","",Config!$B$11)</f>
        <v/>
      </c>
      <c r="I297">
        <f>IF($AG297="","",Config!$B$16)</f>
        <v/>
      </c>
      <c r="J297">
        <f>IF($AG297="","",INDEX('TMP Paste'!$A$2:$A$1601,$AG297))</f>
        <v/>
      </c>
      <c r="K297">
        <f>IF($AG297="","",INDEX('TMP Paste'!$L$2:$L$1601,$AG297))</f>
        <v/>
      </c>
      <c r="L297">
        <f>IF($AG297="","",INDEX('TMP Paste'!$I$2:$I$1601,$AG297))</f>
        <v/>
      </c>
      <c r="M297">
        <f>IF($AG297="","",Config!$B$16)</f>
        <v/>
      </c>
      <c r="N297">
        <f>IF($AG297="","","")</f>
        <v/>
      </c>
      <c r="O297">
        <f>IF($AG297="","",INDEX('TMP Paste'!$K$2:$K$1601,$AG297))</f>
        <v/>
      </c>
      <c r="P297">
        <f>IF($AG297="","","")</f>
        <v/>
      </c>
      <c r="Q297">
        <f>IF($AG297="","",INDEX('TMP Paste'!$J$2:$J$1601,$AG297))</f>
        <v/>
      </c>
      <c r="R297">
        <f>IF($AG297="","",Config!$B$24)</f>
        <v/>
      </c>
      <c r="S297">
        <f>IF($AG297="","",TEXT(Config!$B$4,"yyyy-mm-dd"))</f>
        <v/>
      </c>
      <c r="T297">
        <f>IF($AG297="","",Config!$B$17)</f>
        <v/>
      </c>
      <c r="U297">
        <f>IF($AG297="","",Config!$B$18)</f>
        <v/>
      </c>
      <c r="V297">
        <f>IF($AG297="","",Config!$B$19)</f>
        <v/>
      </c>
      <c r="W297">
        <f>IF($AG297="","",INDEX('TMP Paste'!$C$2:$C$1601,$AG297))</f>
        <v/>
      </c>
      <c r="X297">
        <f>IF($AG297="","",Config!$B$29)</f>
        <v/>
      </c>
      <c r="Y297">
        <f>IF($AH297="","",INDEX(Calc!$I$2:$I$1601,$AH297)&amp;" - "&amp;INDEX(Calc!$D$2:$D$1601,$AH297)&amp;" koli")</f>
        <v/>
      </c>
      <c r="Z297">
        <f>IF($AG297="","",Config!$B$21)</f>
        <v/>
      </c>
      <c r="AA297">
        <f>IF($AG297="","",Config!$B$22)</f>
        <v/>
      </c>
      <c r="AB297">
        <f>IF($AH297="","",INDEX(Calc!$D$2:$D$1601,$AH297))</f>
        <v/>
      </c>
      <c r="AC297">
        <f>IF($AH297="","",INDEX(Calc!$G$2:$G$1601,$AH297))</f>
        <v/>
      </c>
      <c r="AD297">
        <f>IF($AG297="","",Config!$B$23)</f>
        <v/>
      </c>
      <c r="AE297">
        <f>IF($AG297="","",Config!$B$28)</f>
        <v/>
      </c>
      <c r="AG297">
        <f>IFERROR(MATCH(ROW()-1,Calc!$J$2:$J$1601,0),"")</f>
        <v/>
      </c>
      <c r="AH297">
        <f>IFERROR(MATCH(ROW()-1,Calc!$K$2:$K$1601,0),"")</f>
        <v/>
      </c>
      <c r="AI297">
        <f>IF($AG297="","",SUMIF($AG$2:$AG297,$AG297,$AH$2:$AH297))</f>
        <v/>
      </c>
      <c r="AJ297">
        <f>IF('TMP Paste'!$F297="","",IF('TMP Paste'!$B297="",$AJ296,'TMP Paste'!$B297))</f>
        <v/>
      </c>
      <c r="AK297">
        <f>IF('TMP Paste'!$F297="","",N('TMP Paste'!$G297))</f>
        <v/>
      </c>
      <c r="AL297">
        <f>IF('TMP Paste'!$F297="","",IF('TMP Paste'!$M297="",$AL296,'TMP Paste'!$M297))</f>
        <v/>
      </c>
      <c r="AM297">
        <f>IF('TMP Paste'!$F297="","",IF('TMP Paste'!$N297="",$AM296,'TMP Paste'!$N297))</f>
        <v/>
      </c>
      <c r="AN297">
        <f>IF('TMP Paste'!$F297="","",IF('TMP Paste'!$O297="",$AN296,'TMP Paste'!$O297))</f>
        <v/>
      </c>
      <c r="AO297">
        <f>IF('TMP Paste'!$F297="","",IF('TMP Paste'!$P297="",$AO296,'TMP Paste'!$P297))</f>
        <v/>
      </c>
      <c r="AP297">
        <f>IF($AG297="","",LEN($R297))</f>
        <v/>
      </c>
      <c r="AQ297">
        <f>IF($AG297="","",TRIM(IF(COUNTIFS(Calc!$B$2:$B$1601,ROW()-1,Calc!$C$2:$C$1601,"&lt;1")&gt;0,"Ada PO tanpa Koli - cek TMP. ","")&amp;IF(LEN($R297)&gt;500,"R &gt; 500 karakter.","")))</f>
        <v/>
      </c>
    </row>
    <row r="298">
      <c r="A298">
        <f>IF($AG298="","",INDEX('TMP Paste'!$B$2:$B$1601,$AG298))</f>
        <v/>
      </c>
      <c r="B298">
        <f>IF($AG298="","",Config!$B$14)</f>
        <v/>
      </c>
      <c r="C298">
        <f>IF($AG298="","",Config!$B$15)</f>
        <v/>
      </c>
      <c r="D298">
        <f>IF($AG298="","",INDEX('TMP Paste'!$B$2:$B$1601,$AG298))</f>
        <v/>
      </c>
      <c r="E298">
        <f>IF($AG298="","",Config!$B$27)</f>
        <v/>
      </c>
      <c r="F298">
        <f>IF($AG298="","",Config!$B$9)</f>
        <v/>
      </c>
      <c r="G298">
        <f>IF($AG298="","",Config!$B$10)</f>
        <v/>
      </c>
      <c r="H298">
        <f>IF($AG298="","",Config!$B$11)</f>
        <v/>
      </c>
      <c r="I298">
        <f>IF($AG298="","",Config!$B$16)</f>
        <v/>
      </c>
      <c r="J298">
        <f>IF($AG298="","",INDEX('TMP Paste'!$A$2:$A$1601,$AG298))</f>
        <v/>
      </c>
      <c r="K298">
        <f>IF($AG298="","",INDEX('TMP Paste'!$L$2:$L$1601,$AG298))</f>
        <v/>
      </c>
      <c r="L298">
        <f>IF($AG298="","",INDEX('TMP Paste'!$I$2:$I$1601,$AG298))</f>
        <v/>
      </c>
      <c r="M298">
        <f>IF($AG298="","",Config!$B$16)</f>
        <v/>
      </c>
      <c r="N298">
        <f>IF($AG298="","","")</f>
        <v/>
      </c>
      <c r="O298">
        <f>IF($AG298="","",INDEX('TMP Paste'!$K$2:$K$1601,$AG298))</f>
        <v/>
      </c>
      <c r="P298">
        <f>IF($AG298="","","")</f>
        <v/>
      </c>
      <c r="Q298">
        <f>IF($AG298="","",INDEX('TMP Paste'!$J$2:$J$1601,$AG298))</f>
        <v/>
      </c>
      <c r="R298">
        <f>IF($AG298="","",Config!$B$24)</f>
        <v/>
      </c>
      <c r="S298">
        <f>IF($AG298="","",TEXT(Config!$B$4,"yyyy-mm-dd"))</f>
        <v/>
      </c>
      <c r="T298">
        <f>IF($AG298="","",Config!$B$17)</f>
        <v/>
      </c>
      <c r="U298">
        <f>IF($AG298="","",Config!$B$18)</f>
        <v/>
      </c>
      <c r="V298">
        <f>IF($AG298="","",Config!$B$19)</f>
        <v/>
      </c>
      <c r="W298">
        <f>IF($AG298="","",INDEX('TMP Paste'!$C$2:$C$1601,$AG298))</f>
        <v/>
      </c>
      <c r="X298">
        <f>IF($AG298="","",Config!$B$29)</f>
        <v/>
      </c>
      <c r="Y298">
        <f>IF($AH298="","",INDEX(Calc!$I$2:$I$1601,$AH298)&amp;" - "&amp;INDEX(Calc!$D$2:$D$1601,$AH298)&amp;" koli")</f>
        <v/>
      </c>
      <c r="Z298">
        <f>IF($AG298="","",Config!$B$21)</f>
        <v/>
      </c>
      <c r="AA298">
        <f>IF($AG298="","",Config!$B$22)</f>
        <v/>
      </c>
      <c r="AB298">
        <f>IF($AH298="","",INDEX(Calc!$D$2:$D$1601,$AH298))</f>
        <v/>
      </c>
      <c r="AC298">
        <f>IF($AH298="","",INDEX(Calc!$G$2:$G$1601,$AH298))</f>
        <v/>
      </c>
      <c r="AD298">
        <f>IF($AG298="","",Config!$B$23)</f>
        <v/>
      </c>
      <c r="AE298">
        <f>IF($AG298="","",Config!$B$28)</f>
        <v/>
      </c>
      <c r="AG298">
        <f>IFERROR(MATCH(ROW()-1,Calc!$J$2:$J$1601,0),"")</f>
        <v/>
      </c>
      <c r="AH298">
        <f>IFERROR(MATCH(ROW()-1,Calc!$K$2:$K$1601,0),"")</f>
        <v/>
      </c>
      <c r="AI298">
        <f>IF($AG298="","",SUMIF($AG$2:$AG298,$AG298,$AH$2:$AH298))</f>
        <v/>
      </c>
      <c r="AJ298">
        <f>IF('TMP Paste'!$F298="","",IF('TMP Paste'!$B298="",$AJ297,'TMP Paste'!$B298))</f>
        <v/>
      </c>
      <c r="AK298">
        <f>IF('TMP Paste'!$F298="","",N('TMP Paste'!$G298))</f>
        <v/>
      </c>
      <c r="AL298">
        <f>IF('TMP Paste'!$F298="","",IF('TMP Paste'!$M298="",$AL297,'TMP Paste'!$M298))</f>
        <v/>
      </c>
      <c r="AM298">
        <f>IF('TMP Paste'!$F298="","",IF('TMP Paste'!$N298="",$AM297,'TMP Paste'!$N298))</f>
        <v/>
      </c>
      <c r="AN298">
        <f>IF('TMP Paste'!$F298="","",IF('TMP Paste'!$O298="",$AN297,'TMP Paste'!$O298))</f>
        <v/>
      </c>
      <c r="AO298">
        <f>IF('TMP Paste'!$F298="","",IF('TMP Paste'!$P298="",$AO297,'TMP Paste'!$P298))</f>
        <v/>
      </c>
      <c r="AP298">
        <f>IF($AG298="","",LEN($R298))</f>
        <v/>
      </c>
      <c r="AQ298">
        <f>IF($AG298="","",TRIM(IF(COUNTIFS(Calc!$B$2:$B$1601,ROW()-1,Calc!$C$2:$C$1601,"&lt;1")&gt;0,"Ada PO tanpa Koli - cek TMP. ","")&amp;IF(LEN($R298)&gt;500,"R &gt; 500 karakter.","")))</f>
        <v/>
      </c>
    </row>
    <row r="299">
      <c r="A299">
        <f>IF($AG299="","",INDEX('TMP Paste'!$B$2:$B$1601,$AG299))</f>
        <v/>
      </c>
      <c r="B299">
        <f>IF($AG299="","",Config!$B$14)</f>
        <v/>
      </c>
      <c r="C299">
        <f>IF($AG299="","",Config!$B$15)</f>
        <v/>
      </c>
      <c r="D299">
        <f>IF($AG299="","",INDEX('TMP Paste'!$B$2:$B$1601,$AG299))</f>
        <v/>
      </c>
      <c r="E299">
        <f>IF($AG299="","",Config!$B$27)</f>
        <v/>
      </c>
      <c r="F299">
        <f>IF($AG299="","",Config!$B$9)</f>
        <v/>
      </c>
      <c r="G299">
        <f>IF($AG299="","",Config!$B$10)</f>
        <v/>
      </c>
      <c r="H299">
        <f>IF($AG299="","",Config!$B$11)</f>
        <v/>
      </c>
      <c r="I299">
        <f>IF($AG299="","",Config!$B$16)</f>
        <v/>
      </c>
      <c r="J299">
        <f>IF($AG299="","",INDEX('TMP Paste'!$A$2:$A$1601,$AG299))</f>
        <v/>
      </c>
      <c r="K299">
        <f>IF($AG299="","",INDEX('TMP Paste'!$L$2:$L$1601,$AG299))</f>
        <v/>
      </c>
      <c r="L299">
        <f>IF($AG299="","",INDEX('TMP Paste'!$I$2:$I$1601,$AG299))</f>
        <v/>
      </c>
      <c r="M299">
        <f>IF($AG299="","",Config!$B$16)</f>
        <v/>
      </c>
      <c r="N299">
        <f>IF($AG299="","","")</f>
        <v/>
      </c>
      <c r="O299">
        <f>IF($AG299="","",INDEX('TMP Paste'!$K$2:$K$1601,$AG299))</f>
        <v/>
      </c>
      <c r="P299">
        <f>IF($AG299="","","")</f>
        <v/>
      </c>
      <c r="Q299">
        <f>IF($AG299="","",INDEX('TMP Paste'!$J$2:$J$1601,$AG299))</f>
        <v/>
      </c>
      <c r="R299">
        <f>IF($AG299="","",Config!$B$24)</f>
        <v/>
      </c>
      <c r="S299">
        <f>IF($AG299="","",TEXT(Config!$B$4,"yyyy-mm-dd"))</f>
        <v/>
      </c>
      <c r="T299">
        <f>IF($AG299="","",Config!$B$17)</f>
        <v/>
      </c>
      <c r="U299">
        <f>IF($AG299="","",Config!$B$18)</f>
        <v/>
      </c>
      <c r="V299">
        <f>IF($AG299="","",Config!$B$19)</f>
        <v/>
      </c>
      <c r="W299">
        <f>IF($AG299="","",INDEX('TMP Paste'!$C$2:$C$1601,$AG299))</f>
        <v/>
      </c>
      <c r="X299">
        <f>IF($AG299="","",Config!$B$29)</f>
        <v/>
      </c>
      <c r="Y299">
        <f>IF($AH299="","",INDEX(Calc!$I$2:$I$1601,$AH299)&amp;" - "&amp;INDEX(Calc!$D$2:$D$1601,$AH299)&amp;" koli")</f>
        <v/>
      </c>
      <c r="Z299">
        <f>IF($AG299="","",Config!$B$21)</f>
        <v/>
      </c>
      <c r="AA299">
        <f>IF($AG299="","",Config!$B$22)</f>
        <v/>
      </c>
      <c r="AB299">
        <f>IF($AH299="","",INDEX(Calc!$D$2:$D$1601,$AH299))</f>
        <v/>
      </c>
      <c r="AC299">
        <f>IF($AH299="","",INDEX(Calc!$G$2:$G$1601,$AH299))</f>
        <v/>
      </c>
      <c r="AD299">
        <f>IF($AG299="","",Config!$B$23)</f>
        <v/>
      </c>
      <c r="AE299">
        <f>IF($AG299="","",Config!$B$28)</f>
        <v/>
      </c>
      <c r="AG299">
        <f>IFERROR(MATCH(ROW()-1,Calc!$J$2:$J$1601,0),"")</f>
        <v/>
      </c>
      <c r="AH299">
        <f>IFERROR(MATCH(ROW()-1,Calc!$K$2:$K$1601,0),"")</f>
        <v/>
      </c>
      <c r="AI299">
        <f>IF($AG299="","",SUMIF($AG$2:$AG299,$AG299,$AH$2:$AH299))</f>
        <v/>
      </c>
      <c r="AJ299">
        <f>IF('TMP Paste'!$F299="","",IF('TMP Paste'!$B299="",$AJ298,'TMP Paste'!$B299))</f>
        <v/>
      </c>
      <c r="AK299">
        <f>IF('TMP Paste'!$F299="","",N('TMP Paste'!$G299))</f>
        <v/>
      </c>
      <c r="AL299">
        <f>IF('TMP Paste'!$F299="","",IF('TMP Paste'!$M299="",$AL298,'TMP Paste'!$M299))</f>
        <v/>
      </c>
      <c r="AM299">
        <f>IF('TMP Paste'!$F299="","",IF('TMP Paste'!$N299="",$AM298,'TMP Paste'!$N299))</f>
        <v/>
      </c>
      <c r="AN299">
        <f>IF('TMP Paste'!$F299="","",IF('TMP Paste'!$O299="",$AN298,'TMP Paste'!$O299))</f>
        <v/>
      </c>
      <c r="AO299">
        <f>IF('TMP Paste'!$F299="","",IF('TMP Paste'!$P299="",$AO298,'TMP Paste'!$P299))</f>
        <v/>
      </c>
      <c r="AP299">
        <f>IF($AG299="","",LEN($R299))</f>
        <v/>
      </c>
      <c r="AQ299">
        <f>IF($AG299="","",TRIM(IF(COUNTIFS(Calc!$B$2:$B$1601,ROW()-1,Calc!$C$2:$C$1601,"&lt;1")&gt;0,"Ada PO tanpa Koli - cek TMP. ","")&amp;IF(LEN($R299)&gt;500,"R &gt; 500 karakter.","")))</f>
        <v/>
      </c>
    </row>
    <row r="300">
      <c r="A300">
        <f>IF($AG300="","",INDEX('TMP Paste'!$B$2:$B$1601,$AG300))</f>
        <v/>
      </c>
      <c r="B300">
        <f>IF($AG300="","",Config!$B$14)</f>
        <v/>
      </c>
      <c r="C300">
        <f>IF($AG300="","",Config!$B$15)</f>
        <v/>
      </c>
      <c r="D300">
        <f>IF($AG300="","",INDEX('TMP Paste'!$B$2:$B$1601,$AG300))</f>
        <v/>
      </c>
      <c r="E300">
        <f>IF($AG300="","",Config!$B$27)</f>
        <v/>
      </c>
      <c r="F300">
        <f>IF($AG300="","",Config!$B$9)</f>
        <v/>
      </c>
      <c r="G300">
        <f>IF($AG300="","",Config!$B$10)</f>
        <v/>
      </c>
      <c r="H300">
        <f>IF($AG300="","",Config!$B$11)</f>
        <v/>
      </c>
      <c r="I300">
        <f>IF($AG300="","",Config!$B$16)</f>
        <v/>
      </c>
      <c r="J300">
        <f>IF($AG300="","",INDEX('TMP Paste'!$A$2:$A$1601,$AG300))</f>
        <v/>
      </c>
      <c r="K300">
        <f>IF($AG300="","",INDEX('TMP Paste'!$L$2:$L$1601,$AG300))</f>
        <v/>
      </c>
      <c r="L300">
        <f>IF($AG300="","",INDEX('TMP Paste'!$I$2:$I$1601,$AG300))</f>
        <v/>
      </c>
      <c r="M300">
        <f>IF($AG300="","",Config!$B$16)</f>
        <v/>
      </c>
      <c r="N300">
        <f>IF($AG300="","","")</f>
        <v/>
      </c>
      <c r="O300">
        <f>IF($AG300="","",INDEX('TMP Paste'!$K$2:$K$1601,$AG300))</f>
        <v/>
      </c>
      <c r="P300">
        <f>IF($AG300="","","")</f>
        <v/>
      </c>
      <c r="Q300">
        <f>IF($AG300="","",INDEX('TMP Paste'!$J$2:$J$1601,$AG300))</f>
        <v/>
      </c>
      <c r="R300">
        <f>IF($AG300="","",Config!$B$24)</f>
        <v/>
      </c>
      <c r="S300">
        <f>IF($AG300="","",TEXT(Config!$B$4,"yyyy-mm-dd"))</f>
        <v/>
      </c>
      <c r="T300">
        <f>IF($AG300="","",Config!$B$17)</f>
        <v/>
      </c>
      <c r="U300">
        <f>IF($AG300="","",Config!$B$18)</f>
        <v/>
      </c>
      <c r="V300">
        <f>IF($AG300="","",Config!$B$19)</f>
        <v/>
      </c>
      <c r="W300">
        <f>IF($AG300="","",INDEX('TMP Paste'!$C$2:$C$1601,$AG300))</f>
        <v/>
      </c>
      <c r="X300">
        <f>IF($AG300="","",Config!$B$29)</f>
        <v/>
      </c>
      <c r="Y300">
        <f>IF($AH300="","",INDEX(Calc!$I$2:$I$1601,$AH300)&amp;" - "&amp;INDEX(Calc!$D$2:$D$1601,$AH300)&amp;" koli")</f>
        <v/>
      </c>
      <c r="Z300">
        <f>IF($AG300="","",Config!$B$21)</f>
        <v/>
      </c>
      <c r="AA300">
        <f>IF($AG300="","",Config!$B$22)</f>
        <v/>
      </c>
      <c r="AB300">
        <f>IF($AH300="","",INDEX(Calc!$D$2:$D$1601,$AH300))</f>
        <v/>
      </c>
      <c r="AC300">
        <f>IF($AH300="","",INDEX(Calc!$G$2:$G$1601,$AH300))</f>
        <v/>
      </c>
      <c r="AD300">
        <f>IF($AG300="","",Config!$B$23)</f>
        <v/>
      </c>
      <c r="AE300">
        <f>IF($AG300="","",Config!$B$28)</f>
        <v/>
      </c>
      <c r="AG300">
        <f>IFERROR(MATCH(ROW()-1,Calc!$J$2:$J$1601,0),"")</f>
        <v/>
      </c>
      <c r="AH300">
        <f>IFERROR(MATCH(ROW()-1,Calc!$K$2:$K$1601,0),"")</f>
        <v/>
      </c>
      <c r="AI300">
        <f>IF($AG300="","",SUMIF($AG$2:$AG300,$AG300,$AH$2:$AH300))</f>
        <v/>
      </c>
      <c r="AJ300">
        <f>IF('TMP Paste'!$F300="","",IF('TMP Paste'!$B300="",$AJ299,'TMP Paste'!$B300))</f>
        <v/>
      </c>
      <c r="AK300">
        <f>IF('TMP Paste'!$F300="","",N('TMP Paste'!$G300))</f>
        <v/>
      </c>
      <c r="AL300">
        <f>IF('TMP Paste'!$F300="","",IF('TMP Paste'!$M300="",$AL299,'TMP Paste'!$M300))</f>
        <v/>
      </c>
      <c r="AM300">
        <f>IF('TMP Paste'!$F300="","",IF('TMP Paste'!$N300="",$AM299,'TMP Paste'!$N300))</f>
        <v/>
      </c>
      <c r="AN300">
        <f>IF('TMP Paste'!$F300="","",IF('TMP Paste'!$O300="",$AN299,'TMP Paste'!$O300))</f>
        <v/>
      </c>
      <c r="AO300">
        <f>IF('TMP Paste'!$F300="","",IF('TMP Paste'!$P300="",$AO299,'TMP Paste'!$P300))</f>
        <v/>
      </c>
      <c r="AP300">
        <f>IF($AG300="","",LEN($R300))</f>
        <v/>
      </c>
      <c r="AQ300">
        <f>IF($AG300="","",TRIM(IF(COUNTIFS(Calc!$B$2:$B$1601,ROW()-1,Calc!$C$2:$C$1601,"&lt;1")&gt;0,"Ada PO tanpa Koli - cek TMP. ","")&amp;IF(LEN($R300)&gt;500,"R &gt; 500 karakter.","")))</f>
        <v/>
      </c>
    </row>
    <row r="301">
      <c r="A301">
        <f>IF($AG301="","",INDEX('TMP Paste'!$B$2:$B$1601,$AG301))</f>
        <v/>
      </c>
      <c r="B301">
        <f>IF($AG301="","",Config!$B$14)</f>
        <v/>
      </c>
      <c r="C301">
        <f>IF($AG301="","",Config!$B$15)</f>
        <v/>
      </c>
      <c r="D301">
        <f>IF($AG301="","",INDEX('TMP Paste'!$B$2:$B$1601,$AG301))</f>
        <v/>
      </c>
      <c r="E301">
        <f>IF($AG301="","",Config!$B$27)</f>
        <v/>
      </c>
      <c r="F301">
        <f>IF($AG301="","",Config!$B$9)</f>
        <v/>
      </c>
      <c r="G301">
        <f>IF($AG301="","",Config!$B$10)</f>
        <v/>
      </c>
      <c r="H301">
        <f>IF($AG301="","",Config!$B$11)</f>
        <v/>
      </c>
      <c r="I301">
        <f>IF($AG301="","",Config!$B$16)</f>
        <v/>
      </c>
      <c r="J301">
        <f>IF($AG301="","",INDEX('TMP Paste'!$A$2:$A$1601,$AG301))</f>
        <v/>
      </c>
      <c r="K301">
        <f>IF($AG301="","",INDEX('TMP Paste'!$L$2:$L$1601,$AG301))</f>
        <v/>
      </c>
      <c r="L301">
        <f>IF($AG301="","",INDEX('TMP Paste'!$I$2:$I$1601,$AG301))</f>
        <v/>
      </c>
      <c r="M301">
        <f>IF($AG301="","",Config!$B$16)</f>
        <v/>
      </c>
      <c r="N301">
        <f>IF($AG301="","","")</f>
        <v/>
      </c>
      <c r="O301">
        <f>IF($AG301="","",INDEX('TMP Paste'!$K$2:$K$1601,$AG301))</f>
        <v/>
      </c>
      <c r="P301">
        <f>IF($AG301="","","")</f>
        <v/>
      </c>
      <c r="Q301">
        <f>IF($AG301="","",INDEX('TMP Paste'!$J$2:$J$1601,$AG301))</f>
        <v/>
      </c>
      <c r="R301">
        <f>IF($AG301="","",Config!$B$24)</f>
        <v/>
      </c>
      <c r="S301">
        <f>IF($AG301="","",TEXT(Config!$B$4,"yyyy-mm-dd"))</f>
        <v/>
      </c>
      <c r="T301">
        <f>IF($AG301="","",Config!$B$17)</f>
        <v/>
      </c>
      <c r="U301">
        <f>IF($AG301="","",Config!$B$18)</f>
        <v/>
      </c>
      <c r="V301">
        <f>IF($AG301="","",Config!$B$19)</f>
        <v/>
      </c>
      <c r="W301">
        <f>IF($AG301="","",INDEX('TMP Paste'!$C$2:$C$1601,$AG301))</f>
        <v/>
      </c>
      <c r="X301">
        <f>IF($AG301="","",Config!$B$29)</f>
        <v/>
      </c>
      <c r="Y301">
        <f>IF($AH301="","",INDEX(Calc!$I$2:$I$1601,$AH301)&amp;" - "&amp;INDEX(Calc!$D$2:$D$1601,$AH301)&amp;" koli")</f>
        <v/>
      </c>
      <c r="Z301">
        <f>IF($AG301="","",Config!$B$21)</f>
        <v/>
      </c>
      <c r="AA301">
        <f>IF($AG301="","",Config!$B$22)</f>
        <v/>
      </c>
      <c r="AB301">
        <f>IF($AH301="","",INDEX(Calc!$D$2:$D$1601,$AH301))</f>
        <v/>
      </c>
      <c r="AC301">
        <f>IF($AH301="","",INDEX(Calc!$G$2:$G$1601,$AH301))</f>
        <v/>
      </c>
      <c r="AD301">
        <f>IF($AG301="","",Config!$B$23)</f>
        <v/>
      </c>
      <c r="AE301">
        <f>IF($AG301="","",Config!$B$28)</f>
        <v/>
      </c>
      <c r="AG301">
        <f>IFERROR(MATCH(ROW()-1,Calc!$J$2:$J$1601,0),"")</f>
        <v/>
      </c>
      <c r="AH301">
        <f>IFERROR(MATCH(ROW()-1,Calc!$K$2:$K$1601,0),"")</f>
        <v/>
      </c>
      <c r="AI301">
        <f>IF($AG301="","",SUMIF($AG$2:$AG301,$AG301,$AH$2:$AH301))</f>
        <v/>
      </c>
      <c r="AJ301">
        <f>IF('TMP Paste'!$F301="","",IF('TMP Paste'!$B301="",$AJ300,'TMP Paste'!$B301))</f>
        <v/>
      </c>
      <c r="AK301">
        <f>IF('TMP Paste'!$F301="","",N('TMP Paste'!$G301))</f>
        <v/>
      </c>
      <c r="AL301">
        <f>IF('TMP Paste'!$F301="","",IF('TMP Paste'!$M301="",$AL300,'TMP Paste'!$M301))</f>
        <v/>
      </c>
      <c r="AM301">
        <f>IF('TMP Paste'!$F301="","",IF('TMP Paste'!$N301="",$AM300,'TMP Paste'!$N301))</f>
        <v/>
      </c>
      <c r="AN301">
        <f>IF('TMP Paste'!$F301="","",IF('TMP Paste'!$O301="",$AN300,'TMP Paste'!$O301))</f>
        <v/>
      </c>
      <c r="AO301">
        <f>IF('TMP Paste'!$F301="","",IF('TMP Paste'!$P301="",$AO300,'TMP Paste'!$P301))</f>
        <v/>
      </c>
      <c r="AP301">
        <f>IF($AG301="","",LEN($R301))</f>
        <v/>
      </c>
      <c r="AQ301">
        <f>IF($AG301="","",TRIM(IF(COUNTIFS(Calc!$B$2:$B$1601,ROW()-1,Calc!$C$2:$C$1601,"&lt;1")&gt;0,"Ada PO tanpa Koli - cek TMP. ","")&amp;IF(LEN($R301)&gt;500,"R &gt; 500 karakter.","")))</f>
        <v/>
      </c>
    </row>
    <row r="302">
      <c r="A302">
        <f>IF($AG302="","",INDEX('TMP Paste'!$B$2:$B$1601,$AG302))</f>
        <v/>
      </c>
      <c r="B302">
        <f>IF($AG302="","",Config!$B$14)</f>
        <v/>
      </c>
      <c r="C302">
        <f>IF($AG302="","",Config!$B$15)</f>
        <v/>
      </c>
      <c r="D302">
        <f>IF($AG302="","",INDEX('TMP Paste'!$B$2:$B$1601,$AG302))</f>
        <v/>
      </c>
      <c r="E302">
        <f>IF($AG302="","",Config!$B$27)</f>
        <v/>
      </c>
      <c r="F302">
        <f>IF($AG302="","",Config!$B$9)</f>
        <v/>
      </c>
      <c r="G302">
        <f>IF($AG302="","",Config!$B$10)</f>
        <v/>
      </c>
      <c r="H302">
        <f>IF($AG302="","",Config!$B$11)</f>
        <v/>
      </c>
      <c r="I302">
        <f>IF($AG302="","",Config!$B$16)</f>
        <v/>
      </c>
      <c r="J302">
        <f>IF($AG302="","",INDEX('TMP Paste'!$A$2:$A$1601,$AG302))</f>
        <v/>
      </c>
      <c r="K302">
        <f>IF($AG302="","",INDEX('TMP Paste'!$L$2:$L$1601,$AG302))</f>
        <v/>
      </c>
      <c r="L302">
        <f>IF($AG302="","",INDEX('TMP Paste'!$I$2:$I$1601,$AG302))</f>
        <v/>
      </c>
      <c r="M302">
        <f>IF($AG302="","",Config!$B$16)</f>
        <v/>
      </c>
      <c r="N302">
        <f>IF($AG302="","","")</f>
        <v/>
      </c>
      <c r="O302">
        <f>IF($AG302="","",INDEX('TMP Paste'!$K$2:$K$1601,$AG302))</f>
        <v/>
      </c>
      <c r="P302">
        <f>IF($AG302="","","")</f>
        <v/>
      </c>
      <c r="Q302">
        <f>IF($AG302="","",INDEX('TMP Paste'!$J$2:$J$1601,$AG302))</f>
        <v/>
      </c>
      <c r="R302">
        <f>IF($AG302="","",Config!$B$24)</f>
        <v/>
      </c>
      <c r="S302">
        <f>IF($AG302="","",TEXT(Config!$B$4,"yyyy-mm-dd"))</f>
        <v/>
      </c>
      <c r="T302">
        <f>IF($AG302="","",Config!$B$17)</f>
        <v/>
      </c>
      <c r="U302">
        <f>IF($AG302="","",Config!$B$18)</f>
        <v/>
      </c>
      <c r="V302">
        <f>IF($AG302="","",Config!$B$19)</f>
        <v/>
      </c>
      <c r="W302">
        <f>IF($AG302="","",INDEX('TMP Paste'!$C$2:$C$1601,$AG302))</f>
        <v/>
      </c>
      <c r="X302">
        <f>IF($AG302="","",Config!$B$29)</f>
        <v/>
      </c>
      <c r="Y302">
        <f>IF($AH302="","",INDEX(Calc!$I$2:$I$1601,$AH302)&amp;" - "&amp;INDEX(Calc!$D$2:$D$1601,$AH302)&amp;" koli")</f>
        <v/>
      </c>
      <c r="Z302">
        <f>IF($AG302="","",Config!$B$21)</f>
        <v/>
      </c>
      <c r="AA302">
        <f>IF($AG302="","",Config!$B$22)</f>
        <v/>
      </c>
      <c r="AB302">
        <f>IF($AH302="","",INDEX(Calc!$D$2:$D$1601,$AH302))</f>
        <v/>
      </c>
      <c r="AC302">
        <f>IF($AH302="","",INDEX(Calc!$G$2:$G$1601,$AH302))</f>
        <v/>
      </c>
      <c r="AD302">
        <f>IF($AG302="","",Config!$B$23)</f>
        <v/>
      </c>
      <c r="AE302">
        <f>IF($AG302="","",Config!$B$28)</f>
        <v/>
      </c>
      <c r="AG302">
        <f>IFERROR(MATCH(ROW()-1,Calc!$J$2:$J$1601,0),"")</f>
        <v/>
      </c>
      <c r="AH302">
        <f>IFERROR(MATCH(ROW()-1,Calc!$K$2:$K$1601,0),"")</f>
        <v/>
      </c>
      <c r="AI302">
        <f>IF($AG302="","",SUMIF($AG$2:$AG302,$AG302,$AH$2:$AH302))</f>
        <v/>
      </c>
      <c r="AJ302">
        <f>IF('TMP Paste'!$F302="","",IF('TMP Paste'!$B302="",$AJ301,'TMP Paste'!$B302))</f>
        <v/>
      </c>
      <c r="AK302">
        <f>IF('TMP Paste'!$F302="","",N('TMP Paste'!$G302))</f>
        <v/>
      </c>
      <c r="AL302">
        <f>IF('TMP Paste'!$F302="","",IF('TMP Paste'!$M302="",$AL301,'TMP Paste'!$M302))</f>
        <v/>
      </c>
      <c r="AM302">
        <f>IF('TMP Paste'!$F302="","",IF('TMP Paste'!$N302="",$AM301,'TMP Paste'!$N302))</f>
        <v/>
      </c>
      <c r="AN302">
        <f>IF('TMP Paste'!$F302="","",IF('TMP Paste'!$O302="",$AN301,'TMP Paste'!$O302))</f>
        <v/>
      </c>
      <c r="AO302">
        <f>IF('TMP Paste'!$F302="","",IF('TMP Paste'!$P302="",$AO301,'TMP Paste'!$P302))</f>
        <v/>
      </c>
      <c r="AP302">
        <f>IF($AG302="","",LEN($R302))</f>
        <v/>
      </c>
      <c r="AQ302">
        <f>IF($AG302="","",TRIM(IF(COUNTIFS(Calc!$B$2:$B$1601,ROW()-1,Calc!$C$2:$C$1601,"&lt;1")&gt;0,"Ada PO tanpa Koli - cek TMP. ","")&amp;IF(LEN($R302)&gt;500,"R &gt; 500 karakter.","")))</f>
        <v/>
      </c>
    </row>
    <row r="303">
      <c r="A303">
        <f>IF($AG303="","",INDEX('TMP Paste'!$B$2:$B$1601,$AG303))</f>
        <v/>
      </c>
      <c r="B303">
        <f>IF($AG303="","",Config!$B$14)</f>
        <v/>
      </c>
      <c r="C303">
        <f>IF($AG303="","",Config!$B$15)</f>
        <v/>
      </c>
      <c r="D303">
        <f>IF($AG303="","",INDEX('TMP Paste'!$B$2:$B$1601,$AG303))</f>
        <v/>
      </c>
      <c r="E303">
        <f>IF($AG303="","",Config!$B$27)</f>
        <v/>
      </c>
      <c r="F303">
        <f>IF($AG303="","",Config!$B$9)</f>
        <v/>
      </c>
      <c r="G303">
        <f>IF($AG303="","",Config!$B$10)</f>
        <v/>
      </c>
      <c r="H303">
        <f>IF($AG303="","",Config!$B$11)</f>
        <v/>
      </c>
      <c r="I303">
        <f>IF($AG303="","",Config!$B$16)</f>
        <v/>
      </c>
      <c r="J303">
        <f>IF($AG303="","",INDEX('TMP Paste'!$A$2:$A$1601,$AG303))</f>
        <v/>
      </c>
      <c r="K303">
        <f>IF($AG303="","",INDEX('TMP Paste'!$L$2:$L$1601,$AG303))</f>
        <v/>
      </c>
      <c r="L303">
        <f>IF($AG303="","",INDEX('TMP Paste'!$I$2:$I$1601,$AG303))</f>
        <v/>
      </c>
      <c r="M303">
        <f>IF($AG303="","",Config!$B$16)</f>
        <v/>
      </c>
      <c r="N303">
        <f>IF($AG303="","","")</f>
        <v/>
      </c>
      <c r="O303">
        <f>IF($AG303="","",INDEX('TMP Paste'!$K$2:$K$1601,$AG303))</f>
        <v/>
      </c>
      <c r="P303">
        <f>IF($AG303="","","")</f>
        <v/>
      </c>
      <c r="Q303">
        <f>IF($AG303="","",INDEX('TMP Paste'!$J$2:$J$1601,$AG303))</f>
        <v/>
      </c>
      <c r="R303">
        <f>IF($AG303="","",Config!$B$24)</f>
        <v/>
      </c>
      <c r="S303">
        <f>IF($AG303="","",TEXT(Config!$B$4,"yyyy-mm-dd"))</f>
        <v/>
      </c>
      <c r="T303">
        <f>IF($AG303="","",Config!$B$17)</f>
        <v/>
      </c>
      <c r="U303">
        <f>IF($AG303="","",Config!$B$18)</f>
        <v/>
      </c>
      <c r="V303">
        <f>IF($AG303="","",Config!$B$19)</f>
        <v/>
      </c>
      <c r="W303">
        <f>IF($AG303="","",INDEX('TMP Paste'!$C$2:$C$1601,$AG303))</f>
        <v/>
      </c>
      <c r="X303">
        <f>IF($AG303="","",Config!$B$29)</f>
        <v/>
      </c>
      <c r="Y303">
        <f>IF($AH303="","",INDEX(Calc!$I$2:$I$1601,$AH303)&amp;" - "&amp;INDEX(Calc!$D$2:$D$1601,$AH303)&amp;" koli")</f>
        <v/>
      </c>
      <c r="Z303">
        <f>IF($AG303="","",Config!$B$21)</f>
        <v/>
      </c>
      <c r="AA303">
        <f>IF($AG303="","",Config!$B$22)</f>
        <v/>
      </c>
      <c r="AB303">
        <f>IF($AH303="","",INDEX(Calc!$D$2:$D$1601,$AH303))</f>
        <v/>
      </c>
      <c r="AC303">
        <f>IF($AH303="","",INDEX(Calc!$G$2:$G$1601,$AH303))</f>
        <v/>
      </c>
      <c r="AD303">
        <f>IF($AG303="","",Config!$B$23)</f>
        <v/>
      </c>
      <c r="AE303">
        <f>IF($AG303="","",Config!$B$28)</f>
        <v/>
      </c>
      <c r="AG303">
        <f>IFERROR(MATCH(ROW()-1,Calc!$J$2:$J$1601,0),"")</f>
        <v/>
      </c>
      <c r="AH303">
        <f>IFERROR(MATCH(ROW()-1,Calc!$K$2:$K$1601,0),"")</f>
        <v/>
      </c>
      <c r="AI303">
        <f>IF($AG303="","",SUMIF($AG$2:$AG303,$AG303,$AH$2:$AH303))</f>
        <v/>
      </c>
      <c r="AJ303">
        <f>IF('TMP Paste'!$F303="","",IF('TMP Paste'!$B303="",$AJ302,'TMP Paste'!$B303))</f>
        <v/>
      </c>
      <c r="AK303">
        <f>IF('TMP Paste'!$F303="","",N('TMP Paste'!$G303))</f>
        <v/>
      </c>
      <c r="AL303">
        <f>IF('TMP Paste'!$F303="","",IF('TMP Paste'!$M303="",$AL302,'TMP Paste'!$M303))</f>
        <v/>
      </c>
      <c r="AM303">
        <f>IF('TMP Paste'!$F303="","",IF('TMP Paste'!$N303="",$AM302,'TMP Paste'!$N303))</f>
        <v/>
      </c>
      <c r="AN303">
        <f>IF('TMP Paste'!$F303="","",IF('TMP Paste'!$O303="",$AN302,'TMP Paste'!$O303))</f>
        <v/>
      </c>
      <c r="AO303">
        <f>IF('TMP Paste'!$F303="","",IF('TMP Paste'!$P303="",$AO302,'TMP Paste'!$P303))</f>
        <v/>
      </c>
      <c r="AP303">
        <f>IF($AG303="","",LEN($R303))</f>
        <v/>
      </c>
      <c r="AQ303">
        <f>IF($AG303="","",TRIM(IF(COUNTIFS(Calc!$B$2:$B$1601,ROW()-1,Calc!$C$2:$C$1601,"&lt;1")&gt;0,"Ada PO tanpa Koli - cek TMP. ","")&amp;IF(LEN($R303)&gt;500,"R &gt; 500 karakter.","")))</f>
        <v/>
      </c>
    </row>
    <row r="304">
      <c r="A304">
        <f>IF($AG304="","",INDEX('TMP Paste'!$B$2:$B$1601,$AG304))</f>
        <v/>
      </c>
      <c r="B304">
        <f>IF($AG304="","",Config!$B$14)</f>
        <v/>
      </c>
      <c r="C304">
        <f>IF($AG304="","",Config!$B$15)</f>
        <v/>
      </c>
      <c r="D304">
        <f>IF($AG304="","",INDEX('TMP Paste'!$B$2:$B$1601,$AG304))</f>
        <v/>
      </c>
      <c r="E304">
        <f>IF($AG304="","",Config!$B$27)</f>
        <v/>
      </c>
      <c r="F304">
        <f>IF($AG304="","",Config!$B$9)</f>
        <v/>
      </c>
      <c r="G304">
        <f>IF($AG304="","",Config!$B$10)</f>
        <v/>
      </c>
      <c r="H304">
        <f>IF($AG304="","",Config!$B$11)</f>
        <v/>
      </c>
      <c r="I304">
        <f>IF($AG304="","",Config!$B$16)</f>
        <v/>
      </c>
      <c r="J304">
        <f>IF($AG304="","",INDEX('TMP Paste'!$A$2:$A$1601,$AG304))</f>
        <v/>
      </c>
      <c r="K304">
        <f>IF($AG304="","",INDEX('TMP Paste'!$L$2:$L$1601,$AG304))</f>
        <v/>
      </c>
      <c r="L304">
        <f>IF($AG304="","",INDEX('TMP Paste'!$I$2:$I$1601,$AG304))</f>
        <v/>
      </c>
      <c r="M304">
        <f>IF($AG304="","",Config!$B$16)</f>
        <v/>
      </c>
      <c r="N304">
        <f>IF($AG304="","","")</f>
        <v/>
      </c>
      <c r="O304">
        <f>IF($AG304="","",INDEX('TMP Paste'!$K$2:$K$1601,$AG304))</f>
        <v/>
      </c>
      <c r="P304">
        <f>IF($AG304="","","")</f>
        <v/>
      </c>
      <c r="Q304">
        <f>IF($AG304="","",INDEX('TMP Paste'!$J$2:$J$1601,$AG304))</f>
        <v/>
      </c>
      <c r="R304">
        <f>IF($AG304="","",Config!$B$24)</f>
        <v/>
      </c>
      <c r="S304">
        <f>IF($AG304="","",TEXT(Config!$B$4,"yyyy-mm-dd"))</f>
        <v/>
      </c>
      <c r="T304">
        <f>IF($AG304="","",Config!$B$17)</f>
        <v/>
      </c>
      <c r="U304">
        <f>IF($AG304="","",Config!$B$18)</f>
        <v/>
      </c>
      <c r="V304">
        <f>IF($AG304="","",Config!$B$19)</f>
        <v/>
      </c>
      <c r="W304">
        <f>IF($AG304="","",INDEX('TMP Paste'!$C$2:$C$1601,$AG304))</f>
        <v/>
      </c>
      <c r="X304">
        <f>IF($AG304="","",Config!$B$29)</f>
        <v/>
      </c>
      <c r="Y304">
        <f>IF($AH304="","",INDEX(Calc!$I$2:$I$1601,$AH304)&amp;" - "&amp;INDEX(Calc!$D$2:$D$1601,$AH304)&amp;" koli")</f>
        <v/>
      </c>
      <c r="Z304">
        <f>IF($AG304="","",Config!$B$21)</f>
        <v/>
      </c>
      <c r="AA304">
        <f>IF($AG304="","",Config!$B$22)</f>
        <v/>
      </c>
      <c r="AB304">
        <f>IF($AH304="","",INDEX(Calc!$D$2:$D$1601,$AH304))</f>
        <v/>
      </c>
      <c r="AC304">
        <f>IF($AH304="","",INDEX(Calc!$G$2:$G$1601,$AH304))</f>
        <v/>
      </c>
      <c r="AD304">
        <f>IF($AG304="","",Config!$B$23)</f>
        <v/>
      </c>
      <c r="AE304">
        <f>IF($AG304="","",Config!$B$28)</f>
        <v/>
      </c>
      <c r="AG304">
        <f>IFERROR(MATCH(ROW()-1,Calc!$J$2:$J$1601,0),"")</f>
        <v/>
      </c>
      <c r="AH304">
        <f>IFERROR(MATCH(ROW()-1,Calc!$K$2:$K$1601,0),"")</f>
        <v/>
      </c>
      <c r="AI304">
        <f>IF($AG304="","",SUMIF($AG$2:$AG304,$AG304,$AH$2:$AH304))</f>
        <v/>
      </c>
      <c r="AJ304">
        <f>IF('TMP Paste'!$F304="","",IF('TMP Paste'!$B304="",$AJ303,'TMP Paste'!$B304))</f>
        <v/>
      </c>
      <c r="AK304">
        <f>IF('TMP Paste'!$F304="","",N('TMP Paste'!$G304))</f>
        <v/>
      </c>
      <c r="AL304">
        <f>IF('TMP Paste'!$F304="","",IF('TMP Paste'!$M304="",$AL303,'TMP Paste'!$M304))</f>
        <v/>
      </c>
      <c r="AM304">
        <f>IF('TMP Paste'!$F304="","",IF('TMP Paste'!$N304="",$AM303,'TMP Paste'!$N304))</f>
        <v/>
      </c>
      <c r="AN304">
        <f>IF('TMP Paste'!$F304="","",IF('TMP Paste'!$O304="",$AN303,'TMP Paste'!$O304))</f>
        <v/>
      </c>
      <c r="AO304">
        <f>IF('TMP Paste'!$F304="","",IF('TMP Paste'!$P304="",$AO303,'TMP Paste'!$P304))</f>
        <v/>
      </c>
      <c r="AP304">
        <f>IF($AG304="","",LEN($R304))</f>
        <v/>
      </c>
      <c r="AQ304">
        <f>IF($AG304="","",TRIM(IF(COUNTIFS(Calc!$B$2:$B$1601,ROW()-1,Calc!$C$2:$C$1601,"&lt;1")&gt;0,"Ada PO tanpa Koli - cek TMP. ","")&amp;IF(LEN($R304)&gt;500,"R &gt; 500 karakter.","")))</f>
        <v/>
      </c>
    </row>
    <row r="305">
      <c r="A305">
        <f>IF($AG305="","",INDEX('TMP Paste'!$B$2:$B$1601,$AG305))</f>
        <v/>
      </c>
      <c r="B305">
        <f>IF($AG305="","",Config!$B$14)</f>
        <v/>
      </c>
      <c r="C305">
        <f>IF($AG305="","",Config!$B$15)</f>
        <v/>
      </c>
      <c r="D305">
        <f>IF($AG305="","",INDEX('TMP Paste'!$B$2:$B$1601,$AG305))</f>
        <v/>
      </c>
      <c r="E305">
        <f>IF($AG305="","",Config!$B$27)</f>
        <v/>
      </c>
      <c r="F305">
        <f>IF($AG305="","",Config!$B$9)</f>
        <v/>
      </c>
      <c r="G305">
        <f>IF($AG305="","",Config!$B$10)</f>
        <v/>
      </c>
      <c r="H305">
        <f>IF($AG305="","",Config!$B$11)</f>
        <v/>
      </c>
      <c r="I305">
        <f>IF($AG305="","",Config!$B$16)</f>
        <v/>
      </c>
      <c r="J305">
        <f>IF($AG305="","",INDEX('TMP Paste'!$A$2:$A$1601,$AG305))</f>
        <v/>
      </c>
      <c r="K305">
        <f>IF($AG305="","",INDEX('TMP Paste'!$L$2:$L$1601,$AG305))</f>
        <v/>
      </c>
      <c r="L305">
        <f>IF($AG305="","",INDEX('TMP Paste'!$I$2:$I$1601,$AG305))</f>
        <v/>
      </c>
      <c r="M305">
        <f>IF($AG305="","",Config!$B$16)</f>
        <v/>
      </c>
      <c r="N305">
        <f>IF($AG305="","","")</f>
        <v/>
      </c>
      <c r="O305">
        <f>IF($AG305="","",INDEX('TMP Paste'!$K$2:$K$1601,$AG305))</f>
        <v/>
      </c>
      <c r="P305">
        <f>IF($AG305="","","")</f>
        <v/>
      </c>
      <c r="Q305">
        <f>IF($AG305="","",INDEX('TMP Paste'!$J$2:$J$1601,$AG305))</f>
        <v/>
      </c>
      <c r="R305">
        <f>IF($AG305="","",Config!$B$24)</f>
        <v/>
      </c>
      <c r="S305">
        <f>IF($AG305="","",TEXT(Config!$B$4,"yyyy-mm-dd"))</f>
        <v/>
      </c>
      <c r="T305">
        <f>IF($AG305="","",Config!$B$17)</f>
        <v/>
      </c>
      <c r="U305">
        <f>IF($AG305="","",Config!$B$18)</f>
        <v/>
      </c>
      <c r="V305">
        <f>IF($AG305="","",Config!$B$19)</f>
        <v/>
      </c>
      <c r="W305">
        <f>IF($AG305="","",INDEX('TMP Paste'!$C$2:$C$1601,$AG305))</f>
        <v/>
      </c>
      <c r="X305">
        <f>IF($AG305="","",Config!$B$29)</f>
        <v/>
      </c>
      <c r="Y305">
        <f>IF($AH305="","",INDEX(Calc!$I$2:$I$1601,$AH305)&amp;" - "&amp;INDEX(Calc!$D$2:$D$1601,$AH305)&amp;" koli")</f>
        <v/>
      </c>
      <c r="Z305">
        <f>IF($AG305="","",Config!$B$21)</f>
        <v/>
      </c>
      <c r="AA305">
        <f>IF($AG305="","",Config!$B$22)</f>
        <v/>
      </c>
      <c r="AB305">
        <f>IF($AH305="","",INDEX(Calc!$D$2:$D$1601,$AH305))</f>
        <v/>
      </c>
      <c r="AC305">
        <f>IF($AH305="","",INDEX(Calc!$G$2:$G$1601,$AH305))</f>
        <v/>
      </c>
      <c r="AD305">
        <f>IF($AG305="","",Config!$B$23)</f>
        <v/>
      </c>
      <c r="AE305">
        <f>IF($AG305="","",Config!$B$28)</f>
        <v/>
      </c>
      <c r="AG305">
        <f>IFERROR(MATCH(ROW()-1,Calc!$J$2:$J$1601,0),"")</f>
        <v/>
      </c>
      <c r="AH305">
        <f>IFERROR(MATCH(ROW()-1,Calc!$K$2:$K$1601,0),"")</f>
        <v/>
      </c>
      <c r="AI305">
        <f>IF($AG305="","",SUMIF($AG$2:$AG305,$AG305,$AH$2:$AH305))</f>
        <v/>
      </c>
      <c r="AJ305">
        <f>IF('TMP Paste'!$F305="","",IF('TMP Paste'!$B305="",$AJ304,'TMP Paste'!$B305))</f>
        <v/>
      </c>
      <c r="AK305">
        <f>IF('TMP Paste'!$F305="","",N('TMP Paste'!$G305))</f>
        <v/>
      </c>
      <c r="AL305">
        <f>IF('TMP Paste'!$F305="","",IF('TMP Paste'!$M305="",$AL304,'TMP Paste'!$M305))</f>
        <v/>
      </c>
      <c r="AM305">
        <f>IF('TMP Paste'!$F305="","",IF('TMP Paste'!$N305="",$AM304,'TMP Paste'!$N305))</f>
        <v/>
      </c>
      <c r="AN305">
        <f>IF('TMP Paste'!$F305="","",IF('TMP Paste'!$O305="",$AN304,'TMP Paste'!$O305))</f>
        <v/>
      </c>
      <c r="AO305">
        <f>IF('TMP Paste'!$F305="","",IF('TMP Paste'!$P305="",$AO304,'TMP Paste'!$P305))</f>
        <v/>
      </c>
      <c r="AP305">
        <f>IF($AG305="","",LEN($R305))</f>
        <v/>
      </c>
      <c r="AQ305">
        <f>IF($AG305="","",TRIM(IF(COUNTIFS(Calc!$B$2:$B$1601,ROW()-1,Calc!$C$2:$C$1601,"&lt;1")&gt;0,"Ada PO tanpa Koli - cek TMP. ","")&amp;IF(LEN($R305)&gt;500,"R &gt; 500 karakter.","")))</f>
        <v/>
      </c>
    </row>
    <row r="306">
      <c r="A306">
        <f>IF($AG306="","",INDEX('TMP Paste'!$B$2:$B$1601,$AG306))</f>
        <v/>
      </c>
      <c r="B306">
        <f>IF($AG306="","",Config!$B$14)</f>
        <v/>
      </c>
      <c r="C306">
        <f>IF($AG306="","",Config!$B$15)</f>
        <v/>
      </c>
      <c r="D306">
        <f>IF($AG306="","",INDEX('TMP Paste'!$B$2:$B$1601,$AG306))</f>
        <v/>
      </c>
      <c r="E306">
        <f>IF($AG306="","",Config!$B$27)</f>
        <v/>
      </c>
      <c r="F306">
        <f>IF($AG306="","",Config!$B$9)</f>
        <v/>
      </c>
      <c r="G306">
        <f>IF($AG306="","",Config!$B$10)</f>
        <v/>
      </c>
      <c r="H306">
        <f>IF($AG306="","",Config!$B$11)</f>
        <v/>
      </c>
      <c r="I306">
        <f>IF($AG306="","",Config!$B$16)</f>
        <v/>
      </c>
      <c r="J306">
        <f>IF($AG306="","",INDEX('TMP Paste'!$A$2:$A$1601,$AG306))</f>
        <v/>
      </c>
      <c r="K306">
        <f>IF($AG306="","",INDEX('TMP Paste'!$L$2:$L$1601,$AG306))</f>
        <v/>
      </c>
      <c r="L306">
        <f>IF($AG306="","",INDEX('TMP Paste'!$I$2:$I$1601,$AG306))</f>
        <v/>
      </c>
      <c r="M306">
        <f>IF($AG306="","",Config!$B$16)</f>
        <v/>
      </c>
      <c r="N306">
        <f>IF($AG306="","","")</f>
        <v/>
      </c>
      <c r="O306">
        <f>IF($AG306="","",INDEX('TMP Paste'!$K$2:$K$1601,$AG306))</f>
        <v/>
      </c>
      <c r="P306">
        <f>IF($AG306="","","")</f>
        <v/>
      </c>
      <c r="Q306">
        <f>IF($AG306="","",INDEX('TMP Paste'!$J$2:$J$1601,$AG306))</f>
        <v/>
      </c>
      <c r="R306">
        <f>IF($AG306="","",Config!$B$24)</f>
        <v/>
      </c>
      <c r="S306">
        <f>IF($AG306="","",TEXT(Config!$B$4,"yyyy-mm-dd"))</f>
        <v/>
      </c>
      <c r="T306">
        <f>IF($AG306="","",Config!$B$17)</f>
        <v/>
      </c>
      <c r="U306">
        <f>IF($AG306="","",Config!$B$18)</f>
        <v/>
      </c>
      <c r="V306">
        <f>IF($AG306="","",Config!$B$19)</f>
        <v/>
      </c>
      <c r="W306">
        <f>IF($AG306="","",INDEX('TMP Paste'!$C$2:$C$1601,$AG306))</f>
        <v/>
      </c>
      <c r="X306">
        <f>IF($AG306="","",Config!$B$29)</f>
        <v/>
      </c>
      <c r="Y306">
        <f>IF($AH306="","",INDEX(Calc!$I$2:$I$1601,$AH306)&amp;" - "&amp;INDEX(Calc!$D$2:$D$1601,$AH306)&amp;" koli")</f>
        <v/>
      </c>
      <c r="Z306">
        <f>IF($AG306="","",Config!$B$21)</f>
        <v/>
      </c>
      <c r="AA306">
        <f>IF($AG306="","",Config!$B$22)</f>
        <v/>
      </c>
      <c r="AB306">
        <f>IF($AH306="","",INDEX(Calc!$D$2:$D$1601,$AH306))</f>
        <v/>
      </c>
      <c r="AC306">
        <f>IF($AH306="","",INDEX(Calc!$G$2:$G$1601,$AH306))</f>
        <v/>
      </c>
      <c r="AD306">
        <f>IF($AG306="","",Config!$B$23)</f>
        <v/>
      </c>
      <c r="AE306">
        <f>IF($AG306="","",Config!$B$28)</f>
        <v/>
      </c>
      <c r="AG306">
        <f>IFERROR(MATCH(ROW()-1,Calc!$J$2:$J$1601,0),"")</f>
        <v/>
      </c>
      <c r="AH306">
        <f>IFERROR(MATCH(ROW()-1,Calc!$K$2:$K$1601,0),"")</f>
        <v/>
      </c>
      <c r="AI306">
        <f>IF($AG306="","",SUMIF($AG$2:$AG306,$AG306,$AH$2:$AH306))</f>
        <v/>
      </c>
      <c r="AJ306">
        <f>IF('TMP Paste'!$F306="","",IF('TMP Paste'!$B306="",$AJ305,'TMP Paste'!$B306))</f>
        <v/>
      </c>
      <c r="AK306">
        <f>IF('TMP Paste'!$F306="","",N('TMP Paste'!$G306))</f>
        <v/>
      </c>
      <c r="AL306">
        <f>IF('TMP Paste'!$F306="","",IF('TMP Paste'!$M306="",$AL305,'TMP Paste'!$M306))</f>
        <v/>
      </c>
      <c r="AM306">
        <f>IF('TMP Paste'!$F306="","",IF('TMP Paste'!$N306="",$AM305,'TMP Paste'!$N306))</f>
        <v/>
      </c>
      <c r="AN306">
        <f>IF('TMP Paste'!$F306="","",IF('TMP Paste'!$O306="",$AN305,'TMP Paste'!$O306))</f>
        <v/>
      </c>
      <c r="AO306">
        <f>IF('TMP Paste'!$F306="","",IF('TMP Paste'!$P306="",$AO305,'TMP Paste'!$P306))</f>
        <v/>
      </c>
      <c r="AP306">
        <f>IF($AG306="","",LEN($R306))</f>
        <v/>
      </c>
      <c r="AQ306">
        <f>IF($AG306="","",TRIM(IF(COUNTIFS(Calc!$B$2:$B$1601,ROW()-1,Calc!$C$2:$C$1601,"&lt;1")&gt;0,"Ada PO tanpa Koli - cek TMP. ","")&amp;IF(LEN($R306)&gt;500,"R &gt; 500 karakter.","")))</f>
        <v/>
      </c>
    </row>
    <row r="307">
      <c r="A307">
        <f>IF($AG307="","",INDEX('TMP Paste'!$B$2:$B$1601,$AG307))</f>
        <v/>
      </c>
      <c r="B307">
        <f>IF($AG307="","",Config!$B$14)</f>
        <v/>
      </c>
      <c r="C307">
        <f>IF($AG307="","",Config!$B$15)</f>
        <v/>
      </c>
      <c r="D307">
        <f>IF($AG307="","",INDEX('TMP Paste'!$B$2:$B$1601,$AG307))</f>
        <v/>
      </c>
      <c r="E307">
        <f>IF($AG307="","",Config!$B$27)</f>
        <v/>
      </c>
      <c r="F307">
        <f>IF($AG307="","",Config!$B$9)</f>
        <v/>
      </c>
      <c r="G307">
        <f>IF($AG307="","",Config!$B$10)</f>
        <v/>
      </c>
      <c r="H307">
        <f>IF($AG307="","",Config!$B$11)</f>
        <v/>
      </c>
      <c r="I307">
        <f>IF($AG307="","",Config!$B$16)</f>
        <v/>
      </c>
      <c r="J307">
        <f>IF($AG307="","",INDEX('TMP Paste'!$A$2:$A$1601,$AG307))</f>
        <v/>
      </c>
      <c r="K307">
        <f>IF($AG307="","",INDEX('TMP Paste'!$L$2:$L$1601,$AG307))</f>
        <v/>
      </c>
      <c r="L307">
        <f>IF($AG307="","",INDEX('TMP Paste'!$I$2:$I$1601,$AG307))</f>
        <v/>
      </c>
      <c r="M307">
        <f>IF($AG307="","",Config!$B$16)</f>
        <v/>
      </c>
      <c r="N307">
        <f>IF($AG307="","","")</f>
        <v/>
      </c>
      <c r="O307">
        <f>IF($AG307="","",INDEX('TMP Paste'!$K$2:$K$1601,$AG307))</f>
        <v/>
      </c>
      <c r="P307">
        <f>IF($AG307="","","")</f>
        <v/>
      </c>
      <c r="Q307">
        <f>IF($AG307="","",INDEX('TMP Paste'!$J$2:$J$1601,$AG307))</f>
        <v/>
      </c>
      <c r="R307">
        <f>IF($AG307="","",Config!$B$24)</f>
        <v/>
      </c>
      <c r="S307">
        <f>IF($AG307="","",TEXT(Config!$B$4,"yyyy-mm-dd"))</f>
        <v/>
      </c>
      <c r="T307">
        <f>IF($AG307="","",Config!$B$17)</f>
        <v/>
      </c>
      <c r="U307">
        <f>IF($AG307="","",Config!$B$18)</f>
        <v/>
      </c>
      <c r="V307">
        <f>IF($AG307="","",Config!$B$19)</f>
        <v/>
      </c>
      <c r="W307">
        <f>IF($AG307="","",INDEX('TMP Paste'!$C$2:$C$1601,$AG307))</f>
        <v/>
      </c>
      <c r="X307">
        <f>IF($AG307="","",Config!$B$29)</f>
        <v/>
      </c>
      <c r="Y307">
        <f>IF($AH307="","",INDEX(Calc!$I$2:$I$1601,$AH307)&amp;" - "&amp;INDEX(Calc!$D$2:$D$1601,$AH307)&amp;" koli")</f>
        <v/>
      </c>
      <c r="Z307">
        <f>IF($AG307="","",Config!$B$21)</f>
        <v/>
      </c>
      <c r="AA307">
        <f>IF($AG307="","",Config!$B$22)</f>
        <v/>
      </c>
      <c r="AB307">
        <f>IF($AH307="","",INDEX(Calc!$D$2:$D$1601,$AH307))</f>
        <v/>
      </c>
      <c r="AC307">
        <f>IF($AH307="","",INDEX(Calc!$G$2:$G$1601,$AH307))</f>
        <v/>
      </c>
      <c r="AD307">
        <f>IF($AG307="","",Config!$B$23)</f>
        <v/>
      </c>
      <c r="AE307">
        <f>IF($AG307="","",Config!$B$28)</f>
        <v/>
      </c>
      <c r="AG307">
        <f>IFERROR(MATCH(ROW()-1,Calc!$J$2:$J$1601,0),"")</f>
        <v/>
      </c>
      <c r="AH307">
        <f>IFERROR(MATCH(ROW()-1,Calc!$K$2:$K$1601,0),"")</f>
        <v/>
      </c>
      <c r="AI307">
        <f>IF($AG307="","",SUMIF($AG$2:$AG307,$AG307,$AH$2:$AH307))</f>
        <v/>
      </c>
      <c r="AJ307">
        <f>IF('TMP Paste'!$F307="","",IF('TMP Paste'!$B307="",$AJ306,'TMP Paste'!$B307))</f>
        <v/>
      </c>
      <c r="AK307">
        <f>IF('TMP Paste'!$F307="","",N('TMP Paste'!$G307))</f>
        <v/>
      </c>
      <c r="AL307">
        <f>IF('TMP Paste'!$F307="","",IF('TMP Paste'!$M307="",$AL306,'TMP Paste'!$M307))</f>
        <v/>
      </c>
      <c r="AM307">
        <f>IF('TMP Paste'!$F307="","",IF('TMP Paste'!$N307="",$AM306,'TMP Paste'!$N307))</f>
        <v/>
      </c>
      <c r="AN307">
        <f>IF('TMP Paste'!$F307="","",IF('TMP Paste'!$O307="",$AN306,'TMP Paste'!$O307))</f>
        <v/>
      </c>
      <c r="AO307">
        <f>IF('TMP Paste'!$F307="","",IF('TMP Paste'!$P307="",$AO306,'TMP Paste'!$P307))</f>
        <v/>
      </c>
      <c r="AP307">
        <f>IF($AG307="","",LEN($R307))</f>
        <v/>
      </c>
      <c r="AQ307">
        <f>IF($AG307="","",TRIM(IF(COUNTIFS(Calc!$B$2:$B$1601,ROW()-1,Calc!$C$2:$C$1601,"&lt;1")&gt;0,"Ada PO tanpa Koli - cek TMP. ","")&amp;IF(LEN($R307)&gt;500,"R &gt; 500 karakter.","")))</f>
        <v/>
      </c>
    </row>
    <row r="308">
      <c r="A308">
        <f>IF($AG308="","",INDEX('TMP Paste'!$B$2:$B$1601,$AG308))</f>
        <v/>
      </c>
      <c r="B308">
        <f>IF($AG308="","",Config!$B$14)</f>
        <v/>
      </c>
      <c r="C308">
        <f>IF($AG308="","",Config!$B$15)</f>
        <v/>
      </c>
      <c r="D308">
        <f>IF($AG308="","",INDEX('TMP Paste'!$B$2:$B$1601,$AG308))</f>
        <v/>
      </c>
      <c r="E308">
        <f>IF($AG308="","",Config!$B$27)</f>
        <v/>
      </c>
      <c r="F308">
        <f>IF($AG308="","",Config!$B$9)</f>
        <v/>
      </c>
      <c r="G308">
        <f>IF($AG308="","",Config!$B$10)</f>
        <v/>
      </c>
      <c r="H308">
        <f>IF($AG308="","",Config!$B$11)</f>
        <v/>
      </c>
      <c r="I308">
        <f>IF($AG308="","",Config!$B$16)</f>
        <v/>
      </c>
      <c r="J308">
        <f>IF($AG308="","",INDEX('TMP Paste'!$A$2:$A$1601,$AG308))</f>
        <v/>
      </c>
      <c r="K308">
        <f>IF($AG308="","",INDEX('TMP Paste'!$L$2:$L$1601,$AG308))</f>
        <v/>
      </c>
      <c r="L308">
        <f>IF($AG308="","",INDEX('TMP Paste'!$I$2:$I$1601,$AG308))</f>
        <v/>
      </c>
      <c r="M308">
        <f>IF($AG308="","",Config!$B$16)</f>
        <v/>
      </c>
      <c r="N308">
        <f>IF($AG308="","","")</f>
        <v/>
      </c>
      <c r="O308">
        <f>IF($AG308="","",INDEX('TMP Paste'!$K$2:$K$1601,$AG308))</f>
        <v/>
      </c>
      <c r="P308">
        <f>IF($AG308="","","")</f>
        <v/>
      </c>
      <c r="Q308">
        <f>IF($AG308="","",INDEX('TMP Paste'!$J$2:$J$1601,$AG308))</f>
        <v/>
      </c>
      <c r="R308">
        <f>IF($AG308="","",Config!$B$24)</f>
        <v/>
      </c>
      <c r="S308">
        <f>IF($AG308="","",TEXT(Config!$B$4,"yyyy-mm-dd"))</f>
        <v/>
      </c>
      <c r="T308">
        <f>IF($AG308="","",Config!$B$17)</f>
        <v/>
      </c>
      <c r="U308">
        <f>IF($AG308="","",Config!$B$18)</f>
        <v/>
      </c>
      <c r="V308">
        <f>IF($AG308="","",Config!$B$19)</f>
        <v/>
      </c>
      <c r="W308">
        <f>IF($AG308="","",INDEX('TMP Paste'!$C$2:$C$1601,$AG308))</f>
        <v/>
      </c>
      <c r="X308">
        <f>IF($AG308="","",Config!$B$29)</f>
        <v/>
      </c>
      <c r="Y308">
        <f>IF($AH308="","",INDEX(Calc!$I$2:$I$1601,$AH308)&amp;" - "&amp;INDEX(Calc!$D$2:$D$1601,$AH308)&amp;" koli")</f>
        <v/>
      </c>
      <c r="Z308">
        <f>IF($AG308="","",Config!$B$21)</f>
        <v/>
      </c>
      <c r="AA308">
        <f>IF($AG308="","",Config!$B$22)</f>
        <v/>
      </c>
      <c r="AB308">
        <f>IF($AH308="","",INDEX(Calc!$D$2:$D$1601,$AH308))</f>
        <v/>
      </c>
      <c r="AC308">
        <f>IF($AH308="","",INDEX(Calc!$G$2:$G$1601,$AH308))</f>
        <v/>
      </c>
      <c r="AD308">
        <f>IF($AG308="","",Config!$B$23)</f>
        <v/>
      </c>
      <c r="AE308">
        <f>IF($AG308="","",Config!$B$28)</f>
        <v/>
      </c>
      <c r="AG308">
        <f>IFERROR(MATCH(ROW()-1,Calc!$J$2:$J$1601,0),"")</f>
        <v/>
      </c>
      <c r="AH308">
        <f>IFERROR(MATCH(ROW()-1,Calc!$K$2:$K$1601,0),"")</f>
        <v/>
      </c>
      <c r="AI308">
        <f>IF($AG308="","",SUMIF($AG$2:$AG308,$AG308,$AH$2:$AH308))</f>
        <v/>
      </c>
      <c r="AJ308">
        <f>IF('TMP Paste'!$F308="","",IF('TMP Paste'!$B308="",$AJ307,'TMP Paste'!$B308))</f>
        <v/>
      </c>
      <c r="AK308">
        <f>IF('TMP Paste'!$F308="","",N('TMP Paste'!$G308))</f>
        <v/>
      </c>
      <c r="AL308">
        <f>IF('TMP Paste'!$F308="","",IF('TMP Paste'!$M308="",$AL307,'TMP Paste'!$M308))</f>
        <v/>
      </c>
      <c r="AM308">
        <f>IF('TMP Paste'!$F308="","",IF('TMP Paste'!$N308="",$AM307,'TMP Paste'!$N308))</f>
        <v/>
      </c>
      <c r="AN308">
        <f>IF('TMP Paste'!$F308="","",IF('TMP Paste'!$O308="",$AN307,'TMP Paste'!$O308))</f>
        <v/>
      </c>
      <c r="AO308">
        <f>IF('TMP Paste'!$F308="","",IF('TMP Paste'!$P308="",$AO307,'TMP Paste'!$P308))</f>
        <v/>
      </c>
      <c r="AP308">
        <f>IF($AG308="","",LEN($R308))</f>
        <v/>
      </c>
      <c r="AQ308">
        <f>IF($AG308="","",TRIM(IF(COUNTIFS(Calc!$B$2:$B$1601,ROW()-1,Calc!$C$2:$C$1601,"&lt;1")&gt;0,"Ada PO tanpa Koli - cek TMP. ","")&amp;IF(LEN($R308)&gt;500,"R &gt; 500 karakter.","")))</f>
        <v/>
      </c>
    </row>
    <row r="309">
      <c r="A309">
        <f>IF($AG309="","",INDEX('TMP Paste'!$B$2:$B$1601,$AG309))</f>
        <v/>
      </c>
      <c r="B309">
        <f>IF($AG309="","",Config!$B$14)</f>
        <v/>
      </c>
      <c r="C309">
        <f>IF($AG309="","",Config!$B$15)</f>
        <v/>
      </c>
      <c r="D309">
        <f>IF($AG309="","",INDEX('TMP Paste'!$B$2:$B$1601,$AG309))</f>
        <v/>
      </c>
      <c r="E309">
        <f>IF($AG309="","",Config!$B$27)</f>
        <v/>
      </c>
      <c r="F309">
        <f>IF($AG309="","",Config!$B$9)</f>
        <v/>
      </c>
      <c r="G309">
        <f>IF($AG309="","",Config!$B$10)</f>
        <v/>
      </c>
      <c r="H309">
        <f>IF($AG309="","",Config!$B$11)</f>
        <v/>
      </c>
      <c r="I309">
        <f>IF($AG309="","",Config!$B$16)</f>
        <v/>
      </c>
      <c r="J309">
        <f>IF($AG309="","",INDEX('TMP Paste'!$A$2:$A$1601,$AG309))</f>
        <v/>
      </c>
      <c r="K309">
        <f>IF($AG309="","",INDEX('TMP Paste'!$L$2:$L$1601,$AG309))</f>
        <v/>
      </c>
      <c r="L309">
        <f>IF($AG309="","",INDEX('TMP Paste'!$I$2:$I$1601,$AG309))</f>
        <v/>
      </c>
      <c r="M309">
        <f>IF($AG309="","",Config!$B$16)</f>
        <v/>
      </c>
      <c r="N309">
        <f>IF($AG309="","","")</f>
        <v/>
      </c>
      <c r="O309">
        <f>IF($AG309="","",INDEX('TMP Paste'!$K$2:$K$1601,$AG309))</f>
        <v/>
      </c>
      <c r="P309">
        <f>IF($AG309="","","")</f>
        <v/>
      </c>
      <c r="Q309">
        <f>IF($AG309="","",INDEX('TMP Paste'!$J$2:$J$1601,$AG309))</f>
        <v/>
      </c>
      <c r="R309">
        <f>IF($AG309="","",Config!$B$24)</f>
        <v/>
      </c>
      <c r="S309">
        <f>IF($AG309="","",TEXT(Config!$B$4,"yyyy-mm-dd"))</f>
        <v/>
      </c>
      <c r="T309">
        <f>IF($AG309="","",Config!$B$17)</f>
        <v/>
      </c>
      <c r="U309">
        <f>IF($AG309="","",Config!$B$18)</f>
        <v/>
      </c>
      <c r="V309">
        <f>IF($AG309="","",Config!$B$19)</f>
        <v/>
      </c>
      <c r="W309">
        <f>IF($AG309="","",INDEX('TMP Paste'!$C$2:$C$1601,$AG309))</f>
        <v/>
      </c>
      <c r="X309">
        <f>IF($AG309="","",Config!$B$29)</f>
        <v/>
      </c>
      <c r="Y309">
        <f>IF($AH309="","",INDEX(Calc!$I$2:$I$1601,$AH309)&amp;" - "&amp;INDEX(Calc!$D$2:$D$1601,$AH309)&amp;" koli")</f>
        <v/>
      </c>
      <c r="Z309">
        <f>IF($AG309="","",Config!$B$21)</f>
        <v/>
      </c>
      <c r="AA309">
        <f>IF($AG309="","",Config!$B$22)</f>
        <v/>
      </c>
      <c r="AB309">
        <f>IF($AH309="","",INDEX(Calc!$D$2:$D$1601,$AH309))</f>
        <v/>
      </c>
      <c r="AC309">
        <f>IF($AH309="","",INDEX(Calc!$G$2:$G$1601,$AH309))</f>
        <v/>
      </c>
      <c r="AD309">
        <f>IF($AG309="","",Config!$B$23)</f>
        <v/>
      </c>
      <c r="AE309">
        <f>IF($AG309="","",Config!$B$28)</f>
        <v/>
      </c>
      <c r="AG309">
        <f>IFERROR(MATCH(ROW()-1,Calc!$J$2:$J$1601,0),"")</f>
        <v/>
      </c>
      <c r="AH309">
        <f>IFERROR(MATCH(ROW()-1,Calc!$K$2:$K$1601,0),"")</f>
        <v/>
      </c>
      <c r="AI309">
        <f>IF($AG309="","",SUMIF($AG$2:$AG309,$AG309,$AH$2:$AH309))</f>
        <v/>
      </c>
      <c r="AJ309">
        <f>IF('TMP Paste'!$F309="","",IF('TMP Paste'!$B309="",$AJ308,'TMP Paste'!$B309))</f>
        <v/>
      </c>
      <c r="AK309">
        <f>IF('TMP Paste'!$F309="","",N('TMP Paste'!$G309))</f>
        <v/>
      </c>
      <c r="AL309">
        <f>IF('TMP Paste'!$F309="","",IF('TMP Paste'!$M309="",$AL308,'TMP Paste'!$M309))</f>
        <v/>
      </c>
      <c r="AM309">
        <f>IF('TMP Paste'!$F309="","",IF('TMP Paste'!$N309="",$AM308,'TMP Paste'!$N309))</f>
        <v/>
      </c>
      <c r="AN309">
        <f>IF('TMP Paste'!$F309="","",IF('TMP Paste'!$O309="",$AN308,'TMP Paste'!$O309))</f>
        <v/>
      </c>
      <c r="AO309">
        <f>IF('TMP Paste'!$F309="","",IF('TMP Paste'!$P309="",$AO308,'TMP Paste'!$P309))</f>
        <v/>
      </c>
      <c r="AP309">
        <f>IF($AG309="","",LEN($R309))</f>
        <v/>
      </c>
      <c r="AQ309">
        <f>IF($AG309="","",TRIM(IF(COUNTIFS(Calc!$B$2:$B$1601,ROW()-1,Calc!$C$2:$C$1601,"&lt;1")&gt;0,"Ada PO tanpa Koli - cek TMP. ","")&amp;IF(LEN($R309)&gt;500,"R &gt; 500 karakter.","")))</f>
        <v/>
      </c>
    </row>
    <row r="310">
      <c r="A310">
        <f>IF($AG310="","",INDEX('TMP Paste'!$B$2:$B$1601,$AG310))</f>
        <v/>
      </c>
      <c r="B310">
        <f>IF($AG310="","",Config!$B$14)</f>
        <v/>
      </c>
      <c r="C310">
        <f>IF($AG310="","",Config!$B$15)</f>
        <v/>
      </c>
      <c r="D310">
        <f>IF($AG310="","",INDEX('TMP Paste'!$B$2:$B$1601,$AG310))</f>
        <v/>
      </c>
      <c r="E310">
        <f>IF($AG310="","",Config!$B$27)</f>
        <v/>
      </c>
      <c r="F310">
        <f>IF($AG310="","",Config!$B$9)</f>
        <v/>
      </c>
      <c r="G310">
        <f>IF($AG310="","",Config!$B$10)</f>
        <v/>
      </c>
      <c r="H310">
        <f>IF($AG310="","",Config!$B$11)</f>
        <v/>
      </c>
      <c r="I310">
        <f>IF($AG310="","",Config!$B$16)</f>
        <v/>
      </c>
      <c r="J310">
        <f>IF($AG310="","",INDEX('TMP Paste'!$A$2:$A$1601,$AG310))</f>
        <v/>
      </c>
      <c r="K310">
        <f>IF($AG310="","",INDEX('TMP Paste'!$L$2:$L$1601,$AG310))</f>
        <v/>
      </c>
      <c r="L310">
        <f>IF($AG310="","",INDEX('TMP Paste'!$I$2:$I$1601,$AG310))</f>
        <v/>
      </c>
      <c r="M310">
        <f>IF($AG310="","",Config!$B$16)</f>
        <v/>
      </c>
      <c r="N310">
        <f>IF($AG310="","","")</f>
        <v/>
      </c>
      <c r="O310">
        <f>IF($AG310="","",INDEX('TMP Paste'!$K$2:$K$1601,$AG310))</f>
        <v/>
      </c>
      <c r="P310">
        <f>IF($AG310="","","")</f>
        <v/>
      </c>
      <c r="Q310">
        <f>IF($AG310="","",INDEX('TMP Paste'!$J$2:$J$1601,$AG310))</f>
        <v/>
      </c>
      <c r="R310">
        <f>IF($AG310="","",Config!$B$24)</f>
        <v/>
      </c>
      <c r="S310">
        <f>IF($AG310="","",TEXT(Config!$B$4,"yyyy-mm-dd"))</f>
        <v/>
      </c>
      <c r="T310">
        <f>IF($AG310="","",Config!$B$17)</f>
        <v/>
      </c>
      <c r="U310">
        <f>IF($AG310="","",Config!$B$18)</f>
        <v/>
      </c>
      <c r="V310">
        <f>IF($AG310="","",Config!$B$19)</f>
        <v/>
      </c>
      <c r="W310">
        <f>IF($AG310="","",INDEX('TMP Paste'!$C$2:$C$1601,$AG310))</f>
        <v/>
      </c>
      <c r="X310">
        <f>IF($AG310="","",Config!$B$29)</f>
        <v/>
      </c>
      <c r="Y310">
        <f>IF($AH310="","",INDEX(Calc!$I$2:$I$1601,$AH310)&amp;" - "&amp;INDEX(Calc!$D$2:$D$1601,$AH310)&amp;" koli")</f>
        <v/>
      </c>
      <c r="Z310">
        <f>IF($AG310="","",Config!$B$21)</f>
        <v/>
      </c>
      <c r="AA310">
        <f>IF($AG310="","",Config!$B$22)</f>
        <v/>
      </c>
      <c r="AB310">
        <f>IF($AH310="","",INDEX(Calc!$D$2:$D$1601,$AH310))</f>
        <v/>
      </c>
      <c r="AC310">
        <f>IF($AH310="","",INDEX(Calc!$G$2:$G$1601,$AH310))</f>
        <v/>
      </c>
      <c r="AD310">
        <f>IF($AG310="","",Config!$B$23)</f>
        <v/>
      </c>
      <c r="AE310">
        <f>IF($AG310="","",Config!$B$28)</f>
        <v/>
      </c>
      <c r="AG310">
        <f>IFERROR(MATCH(ROW()-1,Calc!$J$2:$J$1601,0),"")</f>
        <v/>
      </c>
      <c r="AH310">
        <f>IFERROR(MATCH(ROW()-1,Calc!$K$2:$K$1601,0),"")</f>
        <v/>
      </c>
      <c r="AI310">
        <f>IF($AG310="","",SUMIF($AG$2:$AG310,$AG310,$AH$2:$AH310))</f>
        <v/>
      </c>
      <c r="AJ310">
        <f>IF('TMP Paste'!$F310="","",IF('TMP Paste'!$B310="",$AJ309,'TMP Paste'!$B310))</f>
        <v/>
      </c>
      <c r="AK310">
        <f>IF('TMP Paste'!$F310="","",N('TMP Paste'!$G310))</f>
        <v/>
      </c>
      <c r="AL310">
        <f>IF('TMP Paste'!$F310="","",IF('TMP Paste'!$M310="",$AL309,'TMP Paste'!$M310))</f>
        <v/>
      </c>
      <c r="AM310">
        <f>IF('TMP Paste'!$F310="","",IF('TMP Paste'!$N310="",$AM309,'TMP Paste'!$N310))</f>
        <v/>
      </c>
      <c r="AN310">
        <f>IF('TMP Paste'!$F310="","",IF('TMP Paste'!$O310="",$AN309,'TMP Paste'!$O310))</f>
        <v/>
      </c>
      <c r="AO310">
        <f>IF('TMP Paste'!$F310="","",IF('TMP Paste'!$P310="",$AO309,'TMP Paste'!$P310))</f>
        <v/>
      </c>
      <c r="AP310">
        <f>IF($AG310="","",LEN($R310))</f>
        <v/>
      </c>
      <c r="AQ310">
        <f>IF($AG310="","",TRIM(IF(COUNTIFS(Calc!$B$2:$B$1601,ROW()-1,Calc!$C$2:$C$1601,"&lt;1")&gt;0,"Ada PO tanpa Koli - cek TMP. ","")&amp;IF(LEN($R310)&gt;500,"R &gt; 500 karakter.","")))</f>
        <v/>
      </c>
    </row>
    <row r="311">
      <c r="A311">
        <f>IF($AG311="","",INDEX('TMP Paste'!$B$2:$B$1601,$AG311))</f>
        <v/>
      </c>
      <c r="B311">
        <f>IF($AG311="","",Config!$B$14)</f>
        <v/>
      </c>
      <c r="C311">
        <f>IF($AG311="","",Config!$B$15)</f>
        <v/>
      </c>
      <c r="D311">
        <f>IF($AG311="","",INDEX('TMP Paste'!$B$2:$B$1601,$AG311))</f>
        <v/>
      </c>
      <c r="E311">
        <f>IF($AG311="","",Config!$B$27)</f>
        <v/>
      </c>
      <c r="F311">
        <f>IF($AG311="","",Config!$B$9)</f>
        <v/>
      </c>
      <c r="G311">
        <f>IF($AG311="","",Config!$B$10)</f>
        <v/>
      </c>
      <c r="H311">
        <f>IF($AG311="","",Config!$B$11)</f>
        <v/>
      </c>
      <c r="I311">
        <f>IF($AG311="","",Config!$B$16)</f>
        <v/>
      </c>
      <c r="J311">
        <f>IF($AG311="","",INDEX('TMP Paste'!$A$2:$A$1601,$AG311))</f>
        <v/>
      </c>
      <c r="K311">
        <f>IF($AG311="","",INDEX('TMP Paste'!$L$2:$L$1601,$AG311))</f>
        <v/>
      </c>
      <c r="L311">
        <f>IF($AG311="","",INDEX('TMP Paste'!$I$2:$I$1601,$AG311))</f>
        <v/>
      </c>
      <c r="M311">
        <f>IF($AG311="","",Config!$B$16)</f>
        <v/>
      </c>
      <c r="N311">
        <f>IF($AG311="","","")</f>
        <v/>
      </c>
      <c r="O311">
        <f>IF($AG311="","",INDEX('TMP Paste'!$K$2:$K$1601,$AG311))</f>
        <v/>
      </c>
      <c r="P311">
        <f>IF($AG311="","","")</f>
        <v/>
      </c>
      <c r="Q311">
        <f>IF($AG311="","",INDEX('TMP Paste'!$J$2:$J$1601,$AG311))</f>
        <v/>
      </c>
      <c r="R311">
        <f>IF($AG311="","",Config!$B$24)</f>
        <v/>
      </c>
      <c r="S311">
        <f>IF($AG311="","",TEXT(Config!$B$4,"yyyy-mm-dd"))</f>
        <v/>
      </c>
      <c r="T311">
        <f>IF($AG311="","",Config!$B$17)</f>
        <v/>
      </c>
      <c r="U311">
        <f>IF($AG311="","",Config!$B$18)</f>
        <v/>
      </c>
      <c r="V311">
        <f>IF($AG311="","",Config!$B$19)</f>
        <v/>
      </c>
      <c r="W311">
        <f>IF($AG311="","",INDEX('TMP Paste'!$C$2:$C$1601,$AG311))</f>
        <v/>
      </c>
      <c r="X311">
        <f>IF($AG311="","",Config!$B$29)</f>
        <v/>
      </c>
      <c r="Y311">
        <f>IF($AH311="","",INDEX(Calc!$I$2:$I$1601,$AH311)&amp;" - "&amp;INDEX(Calc!$D$2:$D$1601,$AH311)&amp;" koli")</f>
        <v/>
      </c>
      <c r="Z311">
        <f>IF($AG311="","",Config!$B$21)</f>
        <v/>
      </c>
      <c r="AA311">
        <f>IF($AG311="","",Config!$B$22)</f>
        <v/>
      </c>
      <c r="AB311">
        <f>IF($AH311="","",INDEX(Calc!$D$2:$D$1601,$AH311))</f>
        <v/>
      </c>
      <c r="AC311">
        <f>IF($AH311="","",INDEX(Calc!$G$2:$G$1601,$AH311))</f>
        <v/>
      </c>
      <c r="AD311">
        <f>IF($AG311="","",Config!$B$23)</f>
        <v/>
      </c>
      <c r="AE311">
        <f>IF($AG311="","",Config!$B$28)</f>
        <v/>
      </c>
      <c r="AG311">
        <f>IFERROR(MATCH(ROW()-1,Calc!$J$2:$J$1601,0),"")</f>
        <v/>
      </c>
      <c r="AH311">
        <f>IFERROR(MATCH(ROW()-1,Calc!$K$2:$K$1601,0),"")</f>
        <v/>
      </c>
      <c r="AI311">
        <f>IF($AG311="","",SUMIF($AG$2:$AG311,$AG311,$AH$2:$AH311))</f>
        <v/>
      </c>
      <c r="AJ311">
        <f>IF('TMP Paste'!$F311="","",IF('TMP Paste'!$B311="",$AJ310,'TMP Paste'!$B311))</f>
        <v/>
      </c>
      <c r="AK311">
        <f>IF('TMP Paste'!$F311="","",N('TMP Paste'!$G311))</f>
        <v/>
      </c>
      <c r="AL311">
        <f>IF('TMP Paste'!$F311="","",IF('TMP Paste'!$M311="",$AL310,'TMP Paste'!$M311))</f>
        <v/>
      </c>
      <c r="AM311">
        <f>IF('TMP Paste'!$F311="","",IF('TMP Paste'!$N311="",$AM310,'TMP Paste'!$N311))</f>
        <v/>
      </c>
      <c r="AN311">
        <f>IF('TMP Paste'!$F311="","",IF('TMP Paste'!$O311="",$AN310,'TMP Paste'!$O311))</f>
        <v/>
      </c>
      <c r="AO311">
        <f>IF('TMP Paste'!$F311="","",IF('TMP Paste'!$P311="",$AO310,'TMP Paste'!$P311))</f>
        <v/>
      </c>
      <c r="AP311">
        <f>IF($AG311="","",LEN($R311))</f>
        <v/>
      </c>
      <c r="AQ311">
        <f>IF($AG311="","",TRIM(IF(COUNTIFS(Calc!$B$2:$B$1601,ROW()-1,Calc!$C$2:$C$1601,"&lt;1")&gt;0,"Ada PO tanpa Koli - cek TMP. ","")&amp;IF(LEN($R311)&gt;500,"R &gt; 500 karakter.","")))</f>
        <v/>
      </c>
    </row>
    <row r="312">
      <c r="A312">
        <f>IF($AG312="","",INDEX('TMP Paste'!$B$2:$B$1601,$AG312))</f>
        <v/>
      </c>
      <c r="B312">
        <f>IF($AG312="","",Config!$B$14)</f>
        <v/>
      </c>
      <c r="C312">
        <f>IF($AG312="","",Config!$B$15)</f>
        <v/>
      </c>
      <c r="D312">
        <f>IF($AG312="","",INDEX('TMP Paste'!$B$2:$B$1601,$AG312))</f>
        <v/>
      </c>
      <c r="E312">
        <f>IF($AG312="","",Config!$B$27)</f>
        <v/>
      </c>
      <c r="F312">
        <f>IF($AG312="","",Config!$B$9)</f>
        <v/>
      </c>
      <c r="G312">
        <f>IF($AG312="","",Config!$B$10)</f>
        <v/>
      </c>
      <c r="H312">
        <f>IF($AG312="","",Config!$B$11)</f>
        <v/>
      </c>
      <c r="I312">
        <f>IF($AG312="","",Config!$B$16)</f>
        <v/>
      </c>
      <c r="J312">
        <f>IF($AG312="","",INDEX('TMP Paste'!$A$2:$A$1601,$AG312))</f>
        <v/>
      </c>
      <c r="K312">
        <f>IF($AG312="","",INDEX('TMP Paste'!$L$2:$L$1601,$AG312))</f>
        <v/>
      </c>
      <c r="L312">
        <f>IF($AG312="","",INDEX('TMP Paste'!$I$2:$I$1601,$AG312))</f>
        <v/>
      </c>
      <c r="M312">
        <f>IF($AG312="","",Config!$B$16)</f>
        <v/>
      </c>
      <c r="N312">
        <f>IF($AG312="","","")</f>
        <v/>
      </c>
      <c r="O312">
        <f>IF($AG312="","",INDEX('TMP Paste'!$K$2:$K$1601,$AG312))</f>
        <v/>
      </c>
      <c r="P312">
        <f>IF($AG312="","","")</f>
        <v/>
      </c>
      <c r="Q312">
        <f>IF($AG312="","",INDEX('TMP Paste'!$J$2:$J$1601,$AG312))</f>
        <v/>
      </c>
      <c r="R312">
        <f>IF($AG312="","",Config!$B$24)</f>
        <v/>
      </c>
      <c r="S312">
        <f>IF($AG312="","",TEXT(Config!$B$4,"yyyy-mm-dd"))</f>
        <v/>
      </c>
      <c r="T312">
        <f>IF($AG312="","",Config!$B$17)</f>
        <v/>
      </c>
      <c r="U312">
        <f>IF($AG312="","",Config!$B$18)</f>
        <v/>
      </c>
      <c r="V312">
        <f>IF($AG312="","",Config!$B$19)</f>
        <v/>
      </c>
      <c r="W312">
        <f>IF($AG312="","",INDEX('TMP Paste'!$C$2:$C$1601,$AG312))</f>
        <v/>
      </c>
      <c r="X312">
        <f>IF($AG312="","",Config!$B$29)</f>
        <v/>
      </c>
      <c r="Y312">
        <f>IF($AH312="","",INDEX(Calc!$I$2:$I$1601,$AH312)&amp;" - "&amp;INDEX(Calc!$D$2:$D$1601,$AH312)&amp;" koli")</f>
        <v/>
      </c>
      <c r="Z312">
        <f>IF($AG312="","",Config!$B$21)</f>
        <v/>
      </c>
      <c r="AA312">
        <f>IF($AG312="","",Config!$B$22)</f>
        <v/>
      </c>
      <c r="AB312">
        <f>IF($AH312="","",INDEX(Calc!$D$2:$D$1601,$AH312))</f>
        <v/>
      </c>
      <c r="AC312">
        <f>IF($AH312="","",INDEX(Calc!$G$2:$G$1601,$AH312))</f>
        <v/>
      </c>
      <c r="AD312">
        <f>IF($AG312="","",Config!$B$23)</f>
        <v/>
      </c>
      <c r="AE312">
        <f>IF($AG312="","",Config!$B$28)</f>
        <v/>
      </c>
      <c r="AG312">
        <f>IFERROR(MATCH(ROW()-1,Calc!$J$2:$J$1601,0),"")</f>
        <v/>
      </c>
      <c r="AH312">
        <f>IFERROR(MATCH(ROW()-1,Calc!$K$2:$K$1601,0),"")</f>
        <v/>
      </c>
      <c r="AI312">
        <f>IF($AG312="","",SUMIF($AG$2:$AG312,$AG312,$AH$2:$AH312))</f>
        <v/>
      </c>
      <c r="AJ312">
        <f>IF('TMP Paste'!$F312="","",IF('TMP Paste'!$B312="",$AJ311,'TMP Paste'!$B312))</f>
        <v/>
      </c>
      <c r="AK312">
        <f>IF('TMP Paste'!$F312="","",N('TMP Paste'!$G312))</f>
        <v/>
      </c>
      <c r="AL312">
        <f>IF('TMP Paste'!$F312="","",IF('TMP Paste'!$M312="",$AL311,'TMP Paste'!$M312))</f>
        <v/>
      </c>
      <c r="AM312">
        <f>IF('TMP Paste'!$F312="","",IF('TMP Paste'!$N312="",$AM311,'TMP Paste'!$N312))</f>
        <v/>
      </c>
      <c r="AN312">
        <f>IF('TMP Paste'!$F312="","",IF('TMP Paste'!$O312="",$AN311,'TMP Paste'!$O312))</f>
        <v/>
      </c>
      <c r="AO312">
        <f>IF('TMP Paste'!$F312="","",IF('TMP Paste'!$P312="",$AO311,'TMP Paste'!$P312))</f>
        <v/>
      </c>
      <c r="AP312">
        <f>IF($AG312="","",LEN($R312))</f>
        <v/>
      </c>
      <c r="AQ312">
        <f>IF($AG312="","",TRIM(IF(COUNTIFS(Calc!$B$2:$B$1601,ROW()-1,Calc!$C$2:$C$1601,"&lt;1")&gt;0,"Ada PO tanpa Koli - cek TMP. ","")&amp;IF(LEN($R312)&gt;500,"R &gt; 500 karakter.","")))</f>
        <v/>
      </c>
    </row>
    <row r="313">
      <c r="A313">
        <f>IF($AG313="","",INDEX('TMP Paste'!$B$2:$B$1601,$AG313))</f>
        <v/>
      </c>
      <c r="B313">
        <f>IF($AG313="","",Config!$B$14)</f>
        <v/>
      </c>
      <c r="C313">
        <f>IF($AG313="","",Config!$B$15)</f>
        <v/>
      </c>
      <c r="D313">
        <f>IF($AG313="","",INDEX('TMP Paste'!$B$2:$B$1601,$AG313))</f>
        <v/>
      </c>
      <c r="E313">
        <f>IF($AG313="","",Config!$B$27)</f>
        <v/>
      </c>
      <c r="F313">
        <f>IF($AG313="","",Config!$B$9)</f>
        <v/>
      </c>
      <c r="G313">
        <f>IF($AG313="","",Config!$B$10)</f>
        <v/>
      </c>
      <c r="H313">
        <f>IF($AG313="","",Config!$B$11)</f>
        <v/>
      </c>
      <c r="I313">
        <f>IF($AG313="","",Config!$B$16)</f>
        <v/>
      </c>
      <c r="J313">
        <f>IF($AG313="","",INDEX('TMP Paste'!$A$2:$A$1601,$AG313))</f>
        <v/>
      </c>
      <c r="K313">
        <f>IF($AG313="","",INDEX('TMP Paste'!$L$2:$L$1601,$AG313))</f>
        <v/>
      </c>
      <c r="L313">
        <f>IF($AG313="","",INDEX('TMP Paste'!$I$2:$I$1601,$AG313))</f>
        <v/>
      </c>
      <c r="M313">
        <f>IF($AG313="","",Config!$B$16)</f>
        <v/>
      </c>
      <c r="N313">
        <f>IF($AG313="","","")</f>
        <v/>
      </c>
      <c r="O313">
        <f>IF($AG313="","",INDEX('TMP Paste'!$K$2:$K$1601,$AG313))</f>
        <v/>
      </c>
      <c r="P313">
        <f>IF($AG313="","","")</f>
        <v/>
      </c>
      <c r="Q313">
        <f>IF($AG313="","",INDEX('TMP Paste'!$J$2:$J$1601,$AG313))</f>
        <v/>
      </c>
      <c r="R313">
        <f>IF($AG313="","",Config!$B$24)</f>
        <v/>
      </c>
      <c r="S313">
        <f>IF($AG313="","",TEXT(Config!$B$4,"yyyy-mm-dd"))</f>
        <v/>
      </c>
      <c r="T313">
        <f>IF($AG313="","",Config!$B$17)</f>
        <v/>
      </c>
      <c r="U313">
        <f>IF($AG313="","",Config!$B$18)</f>
        <v/>
      </c>
      <c r="V313">
        <f>IF($AG313="","",Config!$B$19)</f>
        <v/>
      </c>
      <c r="W313">
        <f>IF($AG313="","",INDEX('TMP Paste'!$C$2:$C$1601,$AG313))</f>
        <v/>
      </c>
      <c r="X313">
        <f>IF($AG313="","",Config!$B$29)</f>
        <v/>
      </c>
      <c r="Y313">
        <f>IF($AH313="","",INDEX(Calc!$I$2:$I$1601,$AH313)&amp;" - "&amp;INDEX(Calc!$D$2:$D$1601,$AH313)&amp;" koli")</f>
        <v/>
      </c>
      <c r="Z313">
        <f>IF($AG313="","",Config!$B$21)</f>
        <v/>
      </c>
      <c r="AA313">
        <f>IF($AG313="","",Config!$B$22)</f>
        <v/>
      </c>
      <c r="AB313">
        <f>IF($AH313="","",INDEX(Calc!$D$2:$D$1601,$AH313))</f>
        <v/>
      </c>
      <c r="AC313">
        <f>IF($AH313="","",INDEX(Calc!$G$2:$G$1601,$AH313))</f>
        <v/>
      </c>
      <c r="AD313">
        <f>IF($AG313="","",Config!$B$23)</f>
        <v/>
      </c>
      <c r="AE313">
        <f>IF($AG313="","",Config!$B$28)</f>
        <v/>
      </c>
      <c r="AG313">
        <f>IFERROR(MATCH(ROW()-1,Calc!$J$2:$J$1601,0),"")</f>
        <v/>
      </c>
      <c r="AH313">
        <f>IFERROR(MATCH(ROW()-1,Calc!$K$2:$K$1601,0),"")</f>
        <v/>
      </c>
      <c r="AI313">
        <f>IF($AG313="","",SUMIF($AG$2:$AG313,$AG313,$AH$2:$AH313))</f>
        <v/>
      </c>
      <c r="AJ313">
        <f>IF('TMP Paste'!$F313="","",IF('TMP Paste'!$B313="",$AJ312,'TMP Paste'!$B313))</f>
        <v/>
      </c>
      <c r="AK313">
        <f>IF('TMP Paste'!$F313="","",N('TMP Paste'!$G313))</f>
        <v/>
      </c>
      <c r="AL313">
        <f>IF('TMP Paste'!$F313="","",IF('TMP Paste'!$M313="",$AL312,'TMP Paste'!$M313))</f>
        <v/>
      </c>
      <c r="AM313">
        <f>IF('TMP Paste'!$F313="","",IF('TMP Paste'!$N313="",$AM312,'TMP Paste'!$N313))</f>
        <v/>
      </c>
      <c r="AN313">
        <f>IF('TMP Paste'!$F313="","",IF('TMP Paste'!$O313="",$AN312,'TMP Paste'!$O313))</f>
        <v/>
      </c>
      <c r="AO313">
        <f>IF('TMP Paste'!$F313="","",IF('TMP Paste'!$P313="",$AO312,'TMP Paste'!$P313))</f>
        <v/>
      </c>
      <c r="AP313">
        <f>IF($AG313="","",LEN($R313))</f>
        <v/>
      </c>
      <c r="AQ313">
        <f>IF($AG313="","",TRIM(IF(COUNTIFS(Calc!$B$2:$B$1601,ROW()-1,Calc!$C$2:$C$1601,"&lt;1")&gt;0,"Ada PO tanpa Koli - cek TMP. ","")&amp;IF(LEN($R313)&gt;500,"R &gt; 500 karakter.","")))</f>
        <v/>
      </c>
    </row>
    <row r="314">
      <c r="A314">
        <f>IF($AG314="","",INDEX('TMP Paste'!$B$2:$B$1601,$AG314))</f>
        <v/>
      </c>
      <c r="B314">
        <f>IF($AG314="","",Config!$B$14)</f>
        <v/>
      </c>
      <c r="C314">
        <f>IF($AG314="","",Config!$B$15)</f>
        <v/>
      </c>
      <c r="D314">
        <f>IF($AG314="","",INDEX('TMP Paste'!$B$2:$B$1601,$AG314))</f>
        <v/>
      </c>
      <c r="E314">
        <f>IF($AG314="","",Config!$B$27)</f>
        <v/>
      </c>
      <c r="F314">
        <f>IF($AG314="","",Config!$B$9)</f>
        <v/>
      </c>
      <c r="G314">
        <f>IF($AG314="","",Config!$B$10)</f>
        <v/>
      </c>
      <c r="H314">
        <f>IF($AG314="","",Config!$B$11)</f>
        <v/>
      </c>
      <c r="I314">
        <f>IF($AG314="","",Config!$B$16)</f>
        <v/>
      </c>
      <c r="J314">
        <f>IF($AG314="","",INDEX('TMP Paste'!$A$2:$A$1601,$AG314))</f>
        <v/>
      </c>
      <c r="K314">
        <f>IF($AG314="","",INDEX('TMP Paste'!$L$2:$L$1601,$AG314))</f>
        <v/>
      </c>
      <c r="L314">
        <f>IF($AG314="","",INDEX('TMP Paste'!$I$2:$I$1601,$AG314))</f>
        <v/>
      </c>
      <c r="M314">
        <f>IF($AG314="","",Config!$B$16)</f>
        <v/>
      </c>
      <c r="N314">
        <f>IF($AG314="","","")</f>
        <v/>
      </c>
      <c r="O314">
        <f>IF($AG314="","",INDEX('TMP Paste'!$K$2:$K$1601,$AG314))</f>
        <v/>
      </c>
      <c r="P314">
        <f>IF($AG314="","","")</f>
        <v/>
      </c>
      <c r="Q314">
        <f>IF($AG314="","",INDEX('TMP Paste'!$J$2:$J$1601,$AG314))</f>
        <v/>
      </c>
      <c r="R314">
        <f>IF($AG314="","",Config!$B$24)</f>
        <v/>
      </c>
      <c r="S314">
        <f>IF($AG314="","",TEXT(Config!$B$4,"yyyy-mm-dd"))</f>
        <v/>
      </c>
      <c r="T314">
        <f>IF($AG314="","",Config!$B$17)</f>
        <v/>
      </c>
      <c r="U314">
        <f>IF($AG314="","",Config!$B$18)</f>
        <v/>
      </c>
      <c r="V314">
        <f>IF($AG314="","",Config!$B$19)</f>
        <v/>
      </c>
      <c r="W314">
        <f>IF($AG314="","",INDEX('TMP Paste'!$C$2:$C$1601,$AG314))</f>
        <v/>
      </c>
      <c r="X314">
        <f>IF($AG314="","",Config!$B$29)</f>
        <v/>
      </c>
      <c r="Y314">
        <f>IF($AH314="","",INDEX(Calc!$I$2:$I$1601,$AH314)&amp;" - "&amp;INDEX(Calc!$D$2:$D$1601,$AH314)&amp;" koli")</f>
        <v/>
      </c>
      <c r="Z314">
        <f>IF($AG314="","",Config!$B$21)</f>
        <v/>
      </c>
      <c r="AA314">
        <f>IF($AG314="","",Config!$B$22)</f>
        <v/>
      </c>
      <c r="AB314">
        <f>IF($AH314="","",INDEX(Calc!$D$2:$D$1601,$AH314))</f>
        <v/>
      </c>
      <c r="AC314">
        <f>IF($AH314="","",INDEX(Calc!$G$2:$G$1601,$AH314))</f>
        <v/>
      </c>
      <c r="AD314">
        <f>IF($AG314="","",Config!$B$23)</f>
        <v/>
      </c>
      <c r="AE314">
        <f>IF($AG314="","",Config!$B$28)</f>
        <v/>
      </c>
      <c r="AG314">
        <f>IFERROR(MATCH(ROW()-1,Calc!$J$2:$J$1601,0),"")</f>
        <v/>
      </c>
      <c r="AH314">
        <f>IFERROR(MATCH(ROW()-1,Calc!$K$2:$K$1601,0),"")</f>
        <v/>
      </c>
      <c r="AI314">
        <f>IF($AG314="","",SUMIF($AG$2:$AG314,$AG314,$AH$2:$AH314))</f>
        <v/>
      </c>
      <c r="AJ314">
        <f>IF('TMP Paste'!$F314="","",IF('TMP Paste'!$B314="",$AJ313,'TMP Paste'!$B314))</f>
        <v/>
      </c>
      <c r="AK314">
        <f>IF('TMP Paste'!$F314="","",N('TMP Paste'!$G314))</f>
        <v/>
      </c>
      <c r="AL314">
        <f>IF('TMP Paste'!$F314="","",IF('TMP Paste'!$M314="",$AL313,'TMP Paste'!$M314))</f>
        <v/>
      </c>
      <c r="AM314">
        <f>IF('TMP Paste'!$F314="","",IF('TMP Paste'!$N314="",$AM313,'TMP Paste'!$N314))</f>
        <v/>
      </c>
      <c r="AN314">
        <f>IF('TMP Paste'!$F314="","",IF('TMP Paste'!$O314="",$AN313,'TMP Paste'!$O314))</f>
        <v/>
      </c>
      <c r="AO314">
        <f>IF('TMP Paste'!$F314="","",IF('TMP Paste'!$P314="",$AO313,'TMP Paste'!$P314))</f>
        <v/>
      </c>
      <c r="AP314">
        <f>IF($AG314="","",LEN($R314))</f>
        <v/>
      </c>
      <c r="AQ314">
        <f>IF($AG314="","",TRIM(IF(COUNTIFS(Calc!$B$2:$B$1601,ROW()-1,Calc!$C$2:$C$1601,"&lt;1")&gt;0,"Ada PO tanpa Koli - cek TMP. ","")&amp;IF(LEN($R314)&gt;500,"R &gt; 500 karakter.","")))</f>
        <v/>
      </c>
    </row>
    <row r="315">
      <c r="A315">
        <f>IF($AG315="","",INDEX('TMP Paste'!$B$2:$B$1601,$AG315))</f>
        <v/>
      </c>
      <c r="B315">
        <f>IF($AG315="","",Config!$B$14)</f>
        <v/>
      </c>
      <c r="C315">
        <f>IF($AG315="","",Config!$B$15)</f>
        <v/>
      </c>
      <c r="D315">
        <f>IF($AG315="","",INDEX('TMP Paste'!$B$2:$B$1601,$AG315))</f>
        <v/>
      </c>
      <c r="E315">
        <f>IF($AG315="","",Config!$B$27)</f>
        <v/>
      </c>
      <c r="F315">
        <f>IF($AG315="","",Config!$B$9)</f>
        <v/>
      </c>
      <c r="G315">
        <f>IF($AG315="","",Config!$B$10)</f>
        <v/>
      </c>
      <c r="H315">
        <f>IF($AG315="","",Config!$B$11)</f>
        <v/>
      </c>
      <c r="I315">
        <f>IF($AG315="","",Config!$B$16)</f>
        <v/>
      </c>
      <c r="J315">
        <f>IF($AG315="","",INDEX('TMP Paste'!$A$2:$A$1601,$AG315))</f>
        <v/>
      </c>
      <c r="K315">
        <f>IF($AG315="","",INDEX('TMP Paste'!$L$2:$L$1601,$AG315))</f>
        <v/>
      </c>
      <c r="L315">
        <f>IF($AG315="","",INDEX('TMP Paste'!$I$2:$I$1601,$AG315))</f>
        <v/>
      </c>
      <c r="M315">
        <f>IF($AG315="","",Config!$B$16)</f>
        <v/>
      </c>
      <c r="N315">
        <f>IF($AG315="","","")</f>
        <v/>
      </c>
      <c r="O315">
        <f>IF($AG315="","",INDEX('TMP Paste'!$K$2:$K$1601,$AG315))</f>
        <v/>
      </c>
      <c r="P315">
        <f>IF($AG315="","","")</f>
        <v/>
      </c>
      <c r="Q315">
        <f>IF($AG315="","",INDEX('TMP Paste'!$J$2:$J$1601,$AG315))</f>
        <v/>
      </c>
      <c r="R315">
        <f>IF($AG315="","",Config!$B$24)</f>
        <v/>
      </c>
      <c r="S315">
        <f>IF($AG315="","",TEXT(Config!$B$4,"yyyy-mm-dd"))</f>
        <v/>
      </c>
      <c r="T315">
        <f>IF($AG315="","",Config!$B$17)</f>
        <v/>
      </c>
      <c r="U315">
        <f>IF($AG315="","",Config!$B$18)</f>
        <v/>
      </c>
      <c r="V315">
        <f>IF($AG315="","",Config!$B$19)</f>
        <v/>
      </c>
      <c r="W315">
        <f>IF($AG315="","",INDEX('TMP Paste'!$C$2:$C$1601,$AG315))</f>
        <v/>
      </c>
      <c r="X315">
        <f>IF($AG315="","",Config!$B$29)</f>
        <v/>
      </c>
      <c r="Y315">
        <f>IF($AH315="","",INDEX(Calc!$I$2:$I$1601,$AH315)&amp;" - "&amp;INDEX(Calc!$D$2:$D$1601,$AH315)&amp;" koli")</f>
        <v/>
      </c>
      <c r="Z315">
        <f>IF($AG315="","",Config!$B$21)</f>
        <v/>
      </c>
      <c r="AA315">
        <f>IF($AG315="","",Config!$B$22)</f>
        <v/>
      </c>
      <c r="AB315">
        <f>IF($AH315="","",INDEX(Calc!$D$2:$D$1601,$AH315))</f>
        <v/>
      </c>
      <c r="AC315">
        <f>IF($AH315="","",INDEX(Calc!$G$2:$G$1601,$AH315))</f>
        <v/>
      </c>
      <c r="AD315">
        <f>IF($AG315="","",Config!$B$23)</f>
        <v/>
      </c>
      <c r="AE315">
        <f>IF($AG315="","",Config!$B$28)</f>
        <v/>
      </c>
      <c r="AG315">
        <f>IFERROR(MATCH(ROW()-1,Calc!$J$2:$J$1601,0),"")</f>
        <v/>
      </c>
      <c r="AH315">
        <f>IFERROR(MATCH(ROW()-1,Calc!$K$2:$K$1601,0),"")</f>
        <v/>
      </c>
      <c r="AI315">
        <f>IF($AG315="","",SUMIF($AG$2:$AG315,$AG315,$AH$2:$AH315))</f>
        <v/>
      </c>
      <c r="AJ315">
        <f>IF('TMP Paste'!$F315="","",IF('TMP Paste'!$B315="",$AJ314,'TMP Paste'!$B315))</f>
        <v/>
      </c>
      <c r="AK315">
        <f>IF('TMP Paste'!$F315="","",N('TMP Paste'!$G315))</f>
        <v/>
      </c>
      <c r="AL315">
        <f>IF('TMP Paste'!$F315="","",IF('TMP Paste'!$M315="",$AL314,'TMP Paste'!$M315))</f>
        <v/>
      </c>
      <c r="AM315">
        <f>IF('TMP Paste'!$F315="","",IF('TMP Paste'!$N315="",$AM314,'TMP Paste'!$N315))</f>
        <v/>
      </c>
      <c r="AN315">
        <f>IF('TMP Paste'!$F315="","",IF('TMP Paste'!$O315="",$AN314,'TMP Paste'!$O315))</f>
        <v/>
      </c>
      <c r="AO315">
        <f>IF('TMP Paste'!$F315="","",IF('TMP Paste'!$P315="",$AO314,'TMP Paste'!$P315))</f>
        <v/>
      </c>
      <c r="AP315">
        <f>IF($AG315="","",LEN($R315))</f>
        <v/>
      </c>
      <c r="AQ315">
        <f>IF($AG315="","",TRIM(IF(COUNTIFS(Calc!$B$2:$B$1601,ROW()-1,Calc!$C$2:$C$1601,"&lt;1")&gt;0,"Ada PO tanpa Koli - cek TMP. ","")&amp;IF(LEN($R315)&gt;500,"R &gt; 500 karakter.","")))</f>
        <v/>
      </c>
    </row>
    <row r="316">
      <c r="A316">
        <f>IF($AG316="","",INDEX('TMP Paste'!$B$2:$B$1601,$AG316))</f>
        <v/>
      </c>
      <c r="B316">
        <f>IF($AG316="","",Config!$B$14)</f>
        <v/>
      </c>
      <c r="C316">
        <f>IF($AG316="","",Config!$B$15)</f>
        <v/>
      </c>
      <c r="D316">
        <f>IF($AG316="","",INDEX('TMP Paste'!$B$2:$B$1601,$AG316))</f>
        <v/>
      </c>
      <c r="E316">
        <f>IF($AG316="","",Config!$B$27)</f>
        <v/>
      </c>
      <c r="F316">
        <f>IF($AG316="","",Config!$B$9)</f>
        <v/>
      </c>
      <c r="G316">
        <f>IF($AG316="","",Config!$B$10)</f>
        <v/>
      </c>
      <c r="H316">
        <f>IF($AG316="","",Config!$B$11)</f>
        <v/>
      </c>
      <c r="I316">
        <f>IF($AG316="","",Config!$B$16)</f>
        <v/>
      </c>
      <c r="J316">
        <f>IF($AG316="","",INDEX('TMP Paste'!$A$2:$A$1601,$AG316))</f>
        <v/>
      </c>
      <c r="K316">
        <f>IF($AG316="","",INDEX('TMP Paste'!$L$2:$L$1601,$AG316))</f>
        <v/>
      </c>
      <c r="L316">
        <f>IF($AG316="","",INDEX('TMP Paste'!$I$2:$I$1601,$AG316))</f>
        <v/>
      </c>
      <c r="M316">
        <f>IF($AG316="","",Config!$B$16)</f>
        <v/>
      </c>
      <c r="N316">
        <f>IF($AG316="","","")</f>
        <v/>
      </c>
      <c r="O316">
        <f>IF($AG316="","",INDEX('TMP Paste'!$K$2:$K$1601,$AG316))</f>
        <v/>
      </c>
      <c r="P316">
        <f>IF($AG316="","","")</f>
        <v/>
      </c>
      <c r="Q316">
        <f>IF($AG316="","",INDEX('TMP Paste'!$J$2:$J$1601,$AG316))</f>
        <v/>
      </c>
      <c r="R316">
        <f>IF($AG316="","",Config!$B$24)</f>
        <v/>
      </c>
      <c r="S316">
        <f>IF($AG316="","",TEXT(Config!$B$4,"yyyy-mm-dd"))</f>
        <v/>
      </c>
      <c r="T316">
        <f>IF($AG316="","",Config!$B$17)</f>
        <v/>
      </c>
      <c r="U316">
        <f>IF($AG316="","",Config!$B$18)</f>
        <v/>
      </c>
      <c r="V316">
        <f>IF($AG316="","",Config!$B$19)</f>
        <v/>
      </c>
      <c r="W316">
        <f>IF($AG316="","",INDEX('TMP Paste'!$C$2:$C$1601,$AG316))</f>
        <v/>
      </c>
      <c r="X316">
        <f>IF($AG316="","",Config!$B$29)</f>
        <v/>
      </c>
      <c r="Y316">
        <f>IF($AH316="","",INDEX(Calc!$I$2:$I$1601,$AH316)&amp;" - "&amp;INDEX(Calc!$D$2:$D$1601,$AH316)&amp;" koli")</f>
        <v/>
      </c>
      <c r="Z316">
        <f>IF($AG316="","",Config!$B$21)</f>
        <v/>
      </c>
      <c r="AA316">
        <f>IF($AG316="","",Config!$B$22)</f>
        <v/>
      </c>
      <c r="AB316">
        <f>IF($AH316="","",INDEX(Calc!$D$2:$D$1601,$AH316))</f>
        <v/>
      </c>
      <c r="AC316">
        <f>IF($AH316="","",INDEX(Calc!$G$2:$G$1601,$AH316))</f>
        <v/>
      </c>
      <c r="AD316">
        <f>IF($AG316="","",Config!$B$23)</f>
        <v/>
      </c>
      <c r="AE316">
        <f>IF($AG316="","",Config!$B$28)</f>
        <v/>
      </c>
      <c r="AG316">
        <f>IFERROR(MATCH(ROW()-1,Calc!$J$2:$J$1601,0),"")</f>
        <v/>
      </c>
      <c r="AH316">
        <f>IFERROR(MATCH(ROW()-1,Calc!$K$2:$K$1601,0),"")</f>
        <v/>
      </c>
      <c r="AI316">
        <f>IF($AG316="","",SUMIF($AG$2:$AG316,$AG316,$AH$2:$AH316))</f>
        <v/>
      </c>
      <c r="AJ316">
        <f>IF('TMP Paste'!$F316="","",IF('TMP Paste'!$B316="",$AJ315,'TMP Paste'!$B316))</f>
        <v/>
      </c>
      <c r="AK316">
        <f>IF('TMP Paste'!$F316="","",N('TMP Paste'!$G316))</f>
        <v/>
      </c>
      <c r="AL316">
        <f>IF('TMP Paste'!$F316="","",IF('TMP Paste'!$M316="",$AL315,'TMP Paste'!$M316))</f>
        <v/>
      </c>
      <c r="AM316">
        <f>IF('TMP Paste'!$F316="","",IF('TMP Paste'!$N316="",$AM315,'TMP Paste'!$N316))</f>
        <v/>
      </c>
      <c r="AN316">
        <f>IF('TMP Paste'!$F316="","",IF('TMP Paste'!$O316="",$AN315,'TMP Paste'!$O316))</f>
        <v/>
      </c>
      <c r="AO316">
        <f>IF('TMP Paste'!$F316="","",IF('TMP Paste'!$P316="",$AO315,'TMP Paste'!$P316))</f>
        <v/>
      </c>
      <c r="AP316">
        <f>IF($AG316="","",LEN($R316))</f>
        <v/>
      </c>
      <c r="AQ316">
        <f>IF($AG316="","",TRIM(IF(COUNTIFS(Calc!$B$2:$B$1601,ROW()-1,Calc!$C$2:$C$1601,"&lt;1")&gt;0,"Ada PO tanpa Koli - cek TMP. ","")&amp;IF(LEN($R316)&gt;500,"R &gt; 500 karakter.","")))</f>
        <v/>
      </c>
    </row>
    <row r="317">
      <c r="A317">
        <f>IF($AG317="","",INDEX('TMP Paste'!$B$2:$B$1601,$AG317))</f>
        <v/>
      </c>
      <c r="B317">
        <f>IF($AG317="","",Config!$B$14)</f>
        <v/>
      </c>
      <c r="C317">
        <f>IF($AG317="","",Config!$B$15)</f>
        <v/>
      </c>
      <c r="D317">
        <f>IF($AG317="","",INDEX('TMP Paste'!$B$2:$B$1601,$AG317))</f>
        <v/>
      </c>
      <c r="E317">
        <f>IF($AG317="","",Config!$B$27)</f>
        <v/>
      </c>
      <c r="F317">
        <f>IF($AG317="","",Config!$B$9)</f>
        <v/>
      </c>
      <c r="G317">
        <f>IF($AG317="","",Config!$B$10)</f>
        <v/>
      </c>
      <c r="H317">
        <f>IF($AG317="","",Config!$B$11)</f>
        <v/>
      </c>
      <c r="I317">
        <f>IF($AG317="","",Config!$B$16)</f>
        <v/>
      </c>
      <c r="J317">
        <f>IF($AG317="","",INDEX('TMP Paste'!$A$2:$A$1601,$AG317))</f>
        <v/>
      </c>
      <c r="K317">
        <f>IF($AG317="","",INDEX('TMP Paste'!$L$2:$L$1601,$AG317))</f>
        <v/>
      </c>
      <c r="L317">
        <f>IF($AG317="","",INDEX('TMP Paste'!$I$2:$I$1601,$AG317))</f>
        <v/>
      </c>
      <c r="M317">
        <f>IF($AG317="","",Config!$B$16)</f>
        <v/>
      </c>
      <c r="N317">
        <f>IF($AG317="","","")</f>
        <v/>
      </c>
      <c r="O317">
        <f>IF($AG317="","",INDEX('TMP Paste'!$K$2:$K$1601,$AG317))</f>
        <v/>
      </c>
      <c r="P317">
        <f>IF($AG317="","","")</f>
        <v/>
      </c>
      <c r="Q317">
        <f>IF($AG317="","",INDEX('TMP Paste'!$J$2:$J$1601,$AG317))</f>
        <v/>
      </c>
      <c r="R317">
        <f>IF($AG317="","",Config!$B$24)</f>
        <v/>
      </c>
      <c r="S317">
        <f>IF($AG317="","",TEXT(Config!$B$4,"yyyy-mm-dd"))</f>
        <v/>
      </c>
      <c r="T317">
        <f>IF($AG317="","",Config!$B$17)</f>
        <v/>
      </c>
      <c r="U317">
        <f>IF($AG317="","",Config!$B$18)</f>
        <v/>
      </c>
      <c r="V317">
        <f>IF($AG317="","",Config!$B$19)</f>
        <v/>
      </c>
      <c r="W317">
        <f>IF($AG317="","",INDEX('TMP Paste'!$C$2:$C$1601,$AG317))</f>
        <v/>
      </c>
      <c r="X317">
        <f>IF($AG317="","",Config!$B$29)</f>
        <v/>
      </c>
      <c r="Y317">
        <f>IF($AH317="","",INDEX(Calc!$I$2:$I$1601,$AH317)&amp;" - "&amp;INDEX(Calc!$D$2:$D$1601,$AH317)&amp;" koli")</f>
        <v/>
      </c>
      <c r="Z317">
        <f>IF($AG317="","",Config!$B$21)</f>
        <v/>
      </c>
      <c r="AA317">
        <f>IF($AG317="","",Config!$B$22)</f>
        <v/>
      </c>
      <c r="AB317">
        <f>IF($AH317="","",INDEX(Calc!$D$2:$D$1601,$AH317))</f>
        <v/>
      </c>
      <c r="AC317">
        <f>IF($AH317="","",INDEX(Calc!$G$2:$G$1601,$AH317))</f>
        <v/>
      </c>
      <c r="AD317">
        <f>IF($AG317="","",Config!$B$23)</f>
        <v/>
      </c>
      <c r="AE317">
        <f>IF($AG317="","",Config!$B$28)</f>
        <v/>
      </c>
      <c r="AG317">
        <f>IFERROR(MATCH(ROW()-1,Calc!$J$2:$J$1601,0),"")</f>
        <v/>
      </c>
      <c r="AH317">
        <f>IFERROR(MATCH(ROW()-1,Calc!$K$2:$K$1601,0),"")</f>
        <v/>
      </c>
      <c r="AI317">
        <f>IF($AG317="","",SUMIF($AG$2:$AG317,$AG317,$AH$2:$AH317))</f>
        <v/>
      </c>
      <c r="AJ317">
        <f>IF('TMP Paste'!$F317="","",IF('TMP Paste'!$B317="",$AJ316,'TMP Paste'!$B317))</f>
        <v/>
      </c>
      <c r="AK317">
        <f>IF('TMP Paste'!$F317="","",N('TMP Paste'!$G317))</f>
        <v/>
      </c>
      <c r="AL317">
        <f>IF('TMP Paste'!$F317="","",IF('TMP Paste'!$M317="",$AL316,'TMP Paste'!$M317))</f>
        <v/>
      </c>
      <c r="AM317">
        <f>IF('TMP Paste'!$F317="","",IF('TMP Paste'!$N317="",$AM316,'TMP Paste'!$N317))</f>
        <v/>
      </c>
      <c r="AN317">
        <f>IF('TMP Paste'!$F317="","",IF('TMP Paste'!$O317="",$AN316,'TMP Paste'!$O317))</f>
        <v/>
      </c>
      <c r="AO317">
        <f>IF('TMP Paste'!$F317="","",IF('TMP Paste'!$P317="",$AO316,'TMP Paste'!$P317))</f>
        <v/>
      </c>
      <c r="AP317">
        <f>IF($AG317="","",LEN($R317))</f>
        <v/>
      </c>
      <c r="AQ317">
        <f>IF($AG317="","",TRIM(IF(COUNTIFS(Calc!$B$2:$B$1601,ROW()-1,Calc!$C$2:$C$1601,"&lt;1")&gt;0,"Ada PO tanpa Koli - cek TMP. ","")&amp;IF(LEN($R317)&gt;500,"R &gt; 500 karakter.","")))</f>
        <v/>
      </c>
    </row>
    <row r="318">
      <c r="A318">
        <f>IF($AG318="","",INDEX('TMP Paste'!$B$2:$B$1601,$AG318))</f>
        <v/>
      </c>
      <c r="B318">
        <f>IF($AG318="","",Config!$B$14)</f>
        <v/>
      </c>
      <c r="C318">
        <f>IF($AG318="","",Config!$B$15)</f>
        <v/>
      </c>
      <c r="D318">
        <f>IF($AG318="","",INDEX('TMP Paste'!$B$2:$B$1601,$AG318))</f>
        <v/>
      </c>
      <c r="E318">
        <f>IF($AG318="","",Config!$B$27)</f>
        <v/>
      </c>
      <c r="F318">
        <f>IF($AG318="","",Config!$B$9)</f>
        <v/>
      </c>
      <c r="G318">
        <f>IF($AG318="","",Config!$B$10)</f>
        <v/>
      </c>
      <c r="H318">
        <f>IF($AG318="","",Config!$B$11)</f>
        <v/>
      </c>
      <c r="I318">
        <f>IF($AG318="","",Config!$B$16)</f>
        <v/>
      </c>
      <c r="J318">
        <f>IF($AG318="","",INDEX('TMP Paste'!$A$2:$A$1601,$AG318))</f>
        <v/>
      </c>
      <c r="K318">
        <f>IF($AG318="","",INDEX('TMP Paste'!$L$2:$L$1601,$AG318))</f>
        <v/>
      </c>
      <c r="L318">
        <f>IF($AG318="","",INDEX('TMP Paste'!$I$2:$I$1601,$AG318))</f>
        <v/>
      </c>
      <c r="M318">
        <f>IF($AG318="","",Config!$B$16)</f>
        <v/>
      </c>
      <c r="N318">
        <f>IF($AG318="","","")</f>
        <v/>
      </c>
      <c r="O318">
        <f>IF($AG318="","",INDEX('TMP Paste'!$K$2:$K$1601,$AG318))</f>
        <v/>
      </c>
      <c r="P318">
        <f>IF($AG318="","","")</f>
        <v/>
      </c>
      <c r="Q318">
        <f>IF($AG318="","",INDEX('TMP Paste'!$J$2:$J$1601,$AG318))</f>
        <v/>
      </c>
      <c r="R318">
        <f>IF($AG318="","",Config!$B$24)</f>
        <v/>
      </c>
      <c r="S318">
        <f>IF($AG318="","",TEXT(Config!$B$4,"yyyy-mm-dd"))</f>
        <v/>
      </c>
      <c r="T318">
        <f>IF($AG318="","",Config!$B$17)</f>
        <v/>
      </c>
      <c r="U318">
        <f>IF($AG318="","",Config!$B$18)</f>
        <v/>
      </c>
      <c r="V318">
        <f>IF($AG318="","",Config!$B$19)</f>
        <v/>
      </c>
      <c r="W318">
        <f>IF($AG318="","",INDEX('TMP Paste'!$C$2:$C$1601,$AG318))</f>
        <v/>
      </c>
      <c r="X318">
        <f>IF($AG318="","",Config!$B$29)</f>
        <v/>
      </c>
      <c r="Y318">
        <f>IF($AH318="","",INDEX(Calc!$I$2:$I$1601,$AH318)&amp;" - "&amp;INDEX(Calc!$D$2:$D$1601,$AH318)&amp;" koli")</f>
        <v/>
      </c>
      <c r="Z318">
        <f>IF($AG318="","",Config!$B$21)</f>
        <v/>
      </c>
      <c r="AA318">
        <f>IF($AG318="","",Config!$B$22)</f>
        <v/>
      </c>
      <c r="AB318">
        <f>IF($AH318="","",INDEX(Calc!$D$2:$D$1601,$AH318))</f>
        <v/>
      </c>
      <c r="AC318">
        <f>IF($AH318="","",INDEX(Calc!$G$2:$G$1601,$AH318))</f>
        <v/>
      </c>
      <c r="AD318">
        <f>IF($AG318="","",Config!$B$23)</f>
        <v/>
      </c>
      <c r="AE318">
        <f>IF($AG318="","",Config!$B$28)</f>
        <v/>
      </c>
      <c r="AG318">
        <f>IFERROR(MATCH(ROW()-1,Calc!$J$2:$J$1601,0),"")</f>
        <v/>
      </c>
      <c r="AH318">
        <f>IFERROR(MATCH(ROW()-1,Calc!$K$2:$K$1601,0),"")</f>
        <v/>
      </c>
      <c r="AI318">
        <f>IF($AG318="","",SUMIF($AG$2:$AG318,$AG318,$AH$2:$AH318))</f>
        <v/>
      </c>
      <c r="AJ318">
        <f>IF('TMP Paste'!$F318="","",IF('TMP Paste'!$B318="",$AJ317,'TMP Paste'!$B318))</f>
        <v/>
      </c>
      <c r="AK318">
        <f>IF('TMP Paste'!$F318="","",N('TMP Paste'!$G318))</f>
        <v/>
      </c>
      <c r="AL318">
        <f>IF('TMP Paste'!$F318="","",IF('TMP Paste'!$M318="",$AL317,'TMP Paste'!$M318))</f>
        <v/>
      </c>
      <c r="AM318">
        <f>IF('TMP Paste'!$F318="","",IF('TMP Paste'!$N318="",$AM317,'TMP Paste'!$N318))</f>
        <v/>
      </c>
      <c r="AN318">
        <f>IF('TMP Paste'!$F318="","",IF('TMP Paste'!$O318="",$AN317,'TMP Paste'!$O318))</f>
        <v/>
      </c>
      <c r="AO318">
        <f>IF('TMP Paste'!$F318="","",IF('TMP Paste'!$P318="",$AO317,'TMP Paste'!$P318))</f>
        <v/>
      </c>
      <c r="AP318">
        <f>IF($AG318="","",LEN($R318))</f>
        <v/>
      </c>
      <c r="AQ318">
        <f>IF($AG318="","",TRIM(IF(COUNTIFS(Calc!$B$2:$B$1601,ROW()-1,Calc!$C$2:$C$1601,"&lt;1")&gt;0,"Ada PO tanpa Koli - cek TMP. ","")&amp;IF(LEN($R318)&gt;500,"R &gt; 500 karakter.","")))</f>
        <v/>
      </c>
    </row>
    <row r="319">
      <c r="A319">
        <f>IF($AG319="","",INDEX('TMP Paste'!$B$2:$B$1601,$AG319))</f>
        <v/>
      </c>
      <c r="B319">
        <f>IF($AG319="","",Config!$B$14)</f>
        <v/>
      </c>
      <c r="C319">
        <f>IF($AG319="","",Config!$B$15)</f>
        <v/>
      </c>
      <c r="D319">
        <f>IF($AG319="","",INDEX('TMP Paste'!$B$2:$B$1601,$AG319))</f>
        <v/>
      </c>
      <c r="E319">
        <f>IF($AG319="","",Config!$B$27)</f>
        <v/>
      </c>
      <c r="F319">
        <f>IF($AG319="","",Config!$B$9)</f>
        <v/>
      </c>
      <c r="G319">
        <f>IF($AG319="","",Config!$B$10)</f>
        <v/>
      </c>
      <c r="H319">
        <f>IF($AG319="","",Config!$B$11)</f>
        <v/>
      </c>
      <c r="I319">
        <f>IF($AG319="","",Config!$B$16)</f>
        <v/>
      </c>
      <c r="J319">
        <f>IF($AG319="","",INDEX('TMP Paste'!$A$2:$A$1601,$AG319))</f>
        <v/>
      </c>
      <c r="K319">
        <f>IF($AG319="","",INDEX('TMP Paste'!$L$2:$L$1601,$AG319))</f>
        <v/>
      </c>
      <c r="L319">
        <f>IF($AG319="","",INDEX('TMP Paste'!$I$2:$I$1601,$AG319))</f>
        <v/>
      </c>
      <c r="M319">
        <f>IF($AG319="","",Config!$B$16)</f>
        <v/>
      </c>
      <c r="N319">
        <f>IF($AG319="","","")</f>
        <v/>
      </c>
      <c r="O319">
        <f>IF($AG319="","",INDEX('TMP Paste'!$K$2:$K$1601,$AG319))</f>
        <v/>
      </c>
      <c r="P319">
        <f>IF($AG319="","","")</f>
        <v/>
      </c>
      <c r="Q319">
        <f>IF($AG319="","",INDEX('TMP Paste'!$J$2:$J$1601,$AG319))</f>
        <v/>
      </c>
      <c r="R319">
        <f>IF($AG319="","",Config!$B$24)</f>
        <v/>
      </c>
      <c r="S319">
        <f>IF($AG319="","",TEXT(Config!$B$4,"yyyy-mm-dd"))</f>
        <v/>
      </c>
      <c r="T319">
        <f>IF($AG319="","",Config!$B$17)</f>
        <v/>
      </c>
      <c r="U319">
        <f>IF($AG319="","",Config!$B$18)</f>
        <v/>
      </c>
      <c r="V319">
        <f>IF($AG319="","",Config!$B$19)</f>
        <v/>
      </c>
      <c r="W319">
        <f>IF($AG319="","",INDEX('TMP Paste'!$C$2:$C$1601,$AG319))</f>
        <v/>
      </c>
      <c r="X319">
        <f>IF($AG319="","",Config!$B$29)</f>
        <v/>
      </c>
      <c r="Y319">
        <f>IF($AH319="","",INDEX(Calc!$I$2:$I$1601,$AH319)&amp;" - "&amp;INDEX(Calc!$D$2:$D$1601,$AH319)&amp;" koli")</f>
        <v/>
      </c>
      <c r="Z319">
        <f>IF($AG319="","",Config!$B$21)</f>
        <v/>
      </c>
      <c r="AA319">
        <f>IF($AG319="","",Config!$B$22)</f>
        <v/>
      </c>
      <c r="AB319">
        <f>IF($AH319="","",INDEX(Calc!$D$2:$D$1601,$AH319))</f>
        <v/>
      </c>
      <c r="AC319">
        <f>IF($AH319="","",INDEX(Calc!$G$2:$G$1601,$AH319))</f>
        <v/>
      </c>
      <c r="AD319">
        <f>IF($AG319="","",Config!$B$23)</f>
        <v/>
      </c>
      <c r="AE319">
        <f>IF($AG319="","",Config!$B$28)</f>
        <v/>
      </c>
      <c r="AG319">
        <f>IFERROR(MATCH(ROW()-1,Calc!$J$2:$J$1601,0),"")</f>
        <v/>
      </c>
      <c r="AH319">
        <f>IFERROR(MATCH(ROW()-1,Calc!$K$2:$K$1601,0),"")</f>
        <v/>
      </c>
      <c r="AI319">
        <f>IF($AG319="","",SUMIF($AG$2:$AG319,$AG319,$AH$2:$AH319))</f>
        <v/>
      </c>
      <c r="AJ319">
        <f>IF('TMP Paste'!$F319="","",IF('TMP Paste'!$B319="",$AJ318,'TMP Paste'!$B319))</f>
        <v/>
      </c>
      <c r="AK319">
        <f>IF('TMP Paste'!$F319="","",N('TMP Paste'!$G319))</f>
        <v/>
      </c>
      <c r="AL319">
        <f>IF('TMP Paste'!$F319="","",IF('TMP Paste'!$M319="",$AL318,'TMP Paste'!$M319))</f>
        <v/>
      </c>
      <c r="AM319">
        <f>IF('TMP Paste'!$F319="","",IF('TMP Paste'!$N319="",$AM318,'TMP Paste'!$N319))</f>
        <v/>
      </c>
      <c r="AN319">
        <f>IF('TMP Paste'!$F319="","",IF('TMP Paste'!$O319="",$AN318,'TMP Paste'!$O319))</f>
        <v/>
      </c>
      <c r="AO319">
        <f>IF('TMP Paste'!$F319="","",IF('TMP Paste'!$P319="",$AO318,'TMP Paste'!$P319))</f>
        <v/>
      </c>
      <c r="AP319">
        <f>IF($AG319="","",LEN($R319))</f>
        <v/>
      </c>
      <c r="AQ319">
        <f>IF($AG319="","",TRIM(IF(COUNTIFS(Calc!$B$2:$B$1601,ROW()-1,Calc!$C$2:$C$1601,"&lt;1")&gt;0,"Ada PO tanpa Koli - cek TMP. ","")&amp;IF(LEN($R319)&gt;500,"R &gt; 500 karakter.","")))</f>
        <v/>
      </c>
    </row>
    <row r="320">
      <c r="A320">
        <f>IF($AG320="","",INDEX('TMP Paste'!$B$2:$B$1601,$AG320))</f>
        <v/>
      </c>
      <c r="B320">
        <f>IF($AG320="","",Config!$B$14)</f>
        <v/>
      </c>
      <c r="C320">
        <f>IF($AG320="","",Config!$B$15)</f>
        <v/>
      </c>
      <c r="D320">
        <f>IF($AG320="","",INDEX('TMP Paste'!$B$2:$B$1601,$AG320))</f>
        <v/>
      </c>
      <c r="E320">
        <f>IF($AG320="","",Config!$B$27)</f>
        <v/>
      </c>
      <c r="F320">
        <f>IF($AG320="","",Config!$B$9)</f>
        <v/>
      </c>
      <c r="G320">
        <f>IF($AG320="","",Config!$B$10)</f>
        <v/>
      </c>
      <c r="H320">
        <f>IF($AG320="","",Config!$B$11)</f>
        <v/>
      </c>
      <c r="I320">
        <f>IF($AG320="","",Config!$B$16)</f>
        <v/>
      </c>
      <c r="J320">
        <f>IF($AG320="","",INDEX('TMP Paste'!$A$2:$A$1601,$AG320))</f>
        <v/>
      </c>
      <c r="K320">
        <f>IF($AG320="","",INDEX('TMP Paste'!$L$2:$L$1601,$AG320))</f>
        <v/>
      </c>
      <c r="L320">
        <f>IF($AG320="","",INDEX('TMP Paste'!$I$2:$I$1601,$AG320))</f>
        <v/>
      </c>
      <c r="M320">
        <f>IF($AG320="","",Config!$B$16)</f>
        <v/>
      </c>
      <c r="N320">
        <f>IF($AG320="","","")</f>
        <v/>
      </c>
      <c r="O320">
        <f>IF($AG320="","",INDEX('TMP Paste'!$K$2:$K$1601,$AG320))</f>
        <v/>
      </c>
      <c r="P320">
        <f>IF($AG320="","","")</f>
        <v/>
      </c>
      <c r="Q320">
        <f>IF($AG320="","",INDEX('TMP Paste'!$J$2:$J$1601,$AG320))</f>
        <v/>
      </c>
      <c r="R320">
        <f>IF($AG320="","",Config!$B$24)</f>
        <v/>
      </c>
      <c r="S320">
        <f>IF($AG320="","",TEXT(Config!$B$4,"yyyy-mm-dd"))</f>
        <v/>
      </c>
      <c r="T320">
        <f>IF($AG320="","",Config!$B$17)</f>
        <v/>
      </c>
      <c r="U320">
        <f>IF($AG320="","",Config!$B$18)</f>
        <v/>
      </c>
      <c r="V320">
        <f>IF($AG320="","",Config!$B$19)</f>
        <v/>
      </c>
      <c r="W320">
        <f>IF($AG320="","",INDEX('TMP Paste'!$C$2:$C$1601,$AG320))</f>
        <v/>
      </c>
      <c r="X320">
        <f>IF($AG320="","",Config!$B$29)</f>
        <v/>
      </c>
      <c r="Y320">
        <f>IF($AH320="","",INDEX(Calc!$I$2:$I$1601,$AH320)&amp;" - "&amp;INDEX(Calc!$D$2:$D$1601,$AH320)&amp;" koli")</f>
        <v/>
      </c>
      <c r="Z320">
        <f>IF($AG320="","",Config!$B$21)</f>
        <v/>
      </c>
      <c r="AA320">
        <f>IF($AG320="","",Config!$B$22)</f>
        <v/>
      </c>
      <c r="AB320">
        <f>IF($AH320="","",INDEX(Calc!$D$2:$D$1601,$AH320))</f>
        <v/>
      </c>
      <c r="AC320">
        <f>IF($AH320="","",INDEX(Calc!$G$2:$G$1601,$AH320))</f>
        <v/>
      </c>
      <c r="AD320">
        <f>IF($AG320="","",Config!$B$23)</f>
        <v/>
      </c>
      <c r="AE320">
        <f>IF($AG320="","",Config!$B$28)</f>
        <v/>
      </c>
      <c r="AG320">
        <f>IFERROR(MATCH(ROW()-1,Calc!$J$2:$J$1601,0),"")</f>
        <v/>
      </c>
      <c r="AH320">
        <f>IFERROR(MATCH(ROW()-1,Calc!$K$2:$K$1601,0),"")</f>
        <v/>
      </c>
      <c r="AI320">
        <f>IF($AG320="","",SUMIF($AG$2:$AG320,$AG320,$AH$2:$AH320))</f>
        <v/>
      </c>
      <c r="AJ320">
        <f>IF('TMP Paste'!$F320="","",IF('TMP Paste'!$B320="",$AJ319,'TMP Paste'!$B320))</f>
        <v/>
      </c>
      <c r="AK320">
        <f>IF('TMP Paste'!$F320="","",N('TMP Paste'!$G320))</f>
        <v/>
      </c>
      <c r="AL320">
        <f>IF('TMP Paste'!$F320="","",IF('TMP Paste'!$M320="",$AL319,'TMP Paste'!$M320))</f>
        <v/>
      </c>
      <c r="AM320">
        <f>IF('TMP Paste'!$F320="","",IF('TMP Paste'!$N320="",$AM319,'TMP Paste'!$N320))</f>
        <v/>
      </c>
      <c r="AN320">
        <f>IF('TMP Paste'!$F320="","",IF('TMP Paste'!$O320="",$AN319,'TMP Paste'!$O320))</f>
        <v/>
      </c>
      <c r="AO320">
        <f>IF('TMP Paste'!$F320="","",IF('TMP Paste'!$P320="",$AO319,'TMP Paste'!$P320))</f>
        <v/>
      </c>
      <c r="AP320">
        <f>IF($AG320="","",LEN($R320))</f>
        <v/>
      </c>
      <c r="AQ320">
        <f>IF($AG320="","",TRIM(IF(COUNTIFS(Calc!$B$2:$B$1601,ROW()-1,Calc!$C$2:$C$1601,"&lt;1")&gt;0,"Ada PO tanpa Koli - cek TMP. ","")&amp;IF(LEN($R320)&gt;500,"R &gt; 500 karakter.","")))</f>
        <v/>
      </c>
    </row>
    <row r="321">
      <c r="A321">
        <f>IF($AG321="","",INDEX('TMP Paste'!$B$2:$B$1601,$AG321))</f>
        <v/>
      </c>
      <c r="B321">
        <f>IF($AG321="","",Config!$B$14)</f>
        <v/>
      </c>
      <c r="C321">
        <f>IF($AG321="","",Config!$B$15)</f>
        <v/>
      </c>
      <c r="D321">
        <f>IF($AG321="","",INDEX('TMP Paste'!$B$2:$B$1601,$AG321))</f>
        <v/>
      </c>
      <c r="E321">
        <f>IF($AG321="","",Config!$B$27)</f>
        <v/>
      </c>
      <c r="F321">
        <f>IF($AG321="","",Config!$B$9)</f>
        <v/>
      </c>
      <c r="G321">
        <f>IF($AG321="","",Config!$B$10)</f>
        <v/>
      </c>
      <c r="H321">
        <f>IF($AG321="","",Config!$B$11)</f>
        <v/>
      </c>
      <c r="I321">
        <f>IF($AG321="","",Config!$B$16)</f>
        <v/>
      </c>
      <c r="J321">
        <f>IF($AG321="","",INDEX('TMP Paste'!$A$2:$A$1601,$AG321))</f>
        <v/>
      </c>
      <c r="K321">
        <f>IF($AG321="","",INDEX('TMP Paste'!$L$2:$L$1601,$AG321))</f>
        <v/>
      </c>
      <c r="L321">
        <f>IF($AG321="","",INDEX('TMP Paste'!$I$2:$I$1601,$AG321))</f>
        <v/>
      </c>
      <c r="M321">
        <f>IF($AG321="","",Config!$B$16)</f>
        <v/>
      </c>
      <c r="N321">
        <f>IF($AG321="","","")</f>
        <v/>
      </c>
      <c r="O321">
        <f>IF($AG321="","",INDEX('TMP Paste'!$K$2:$K$1601,$AG321))</f>
        <v/>
      </c>
      <c r="P321">
        <f>IF($AG321="","","")</f>
        <v/>
      </c>
      <c r="Q321">
        <f>IF($AG321="","",INDEX('TMP Paste'!$J$2:$J$1601,$AG321))</f>
        <v/>
      </c>
      <c r="R321">
        <f>IF($AG321="","",Config!$B$24)</f>
        <v/>
      </c>
      <c r="S321">
        <f>IF($AG321="","",TEXT(Config!$B$4,"yyyy-mm-dd"))</f>
        <v/>
      </c>
      <c r="T321">
        <f>IF($AG321="","",Config!$B$17)</f>
        <v/>
      </c>
      <c r="U321">
        <f>IF($AG321="","",Config!$B$18)</f>
        <v/>
      </c>
      <c r="V321">
        <f>IF($AG321="","",Config!$B$19)</f>
        <v/>
      </c>
      <c r="W321">
        <f>IF($AG321="","",INDEX('TMP Paste'!$C$2:$C$1601,$AG321))</f>
        <v/>
      </c>
      <c r="X321">
        <f>IF($AG321="","",Config!$B$29)</f>
        <v/>
      </c>
      <c r="Y321">
        <f>IF($AH321="","",INDEX(Calc!$I$2:$I$1601,$AH321)&amp;" - "&amp;INDEX(Calc!$D$2:$D$1601,$AH321)&amp;" koli")</f>
        <v/>
      </c>
      <c r="Z321">
        <f>IF($AG321="","",Config!$B$21)</f>
        <v/>
      </c>
      <c r="AA321">
        <f>IF($AG321="","",Config!$B$22)</f>
        <v/>
      </c>
      <c r="AB321">
        <f>IF($AH321="","",INDEX(Calc!$D$2:$D$1601,$AH321))</f>
        <v/>
      </c>
      <c r="AC321">
        <f>IF($AH321="","",INDEX(Calc!$G$2:$G$1601,$AH321))</f>
        <v/>
      </c>
      <c r="AD321">
        <f>IF($AG321="","",Config!$B$23)</f>
        <v/>
      </c>
      <c r="AE321">
        <f>IF($AG321="","",Config!$B$28)</f>
        <v/>
      </c>
      <c r="AG321">
        <f>IFERROR(MATCH(ROW()-1,Calc!$J$2:$J$1601,0),"")</f>
        <v/>
      </c>
      <c r="AH321">
        <f>IFERROR(MATCH(ROW()-1,Calc!$K$2:$K$1601,0),"")</f>
        <v/>
      </c>
      <c r="AI321">
        <f>IF($AG321="","",SUMIF($AG$2:$AG321,$AG321,$AH$2:$AH321))</f>
        <v/>
      </c>
      <c r="AJ321">
        <f>IF('TMP Paste'!$F321="","",IF('TMP Paste'!$B321="",$AJ320,'TMP Paste'!$B321))</f>
        <v/>
      </c>
      <c r="AK321">
        <f>IF('TMP Paste'!$F321="","",N('TMP Paste'!$G321))</f>
        <v/>
      </c>
      <c r="AL321">
        <f>IF('TMP Paste'!$F321="","",IF('TMP Paste'!$M321="",$AL320,'TMP Paste'!$M321))</f>
        <v/>
      </c>
      <c r="AM321">
        <f>IF('TMP Paste'!$F321="","",IF('TMP Paste'!$N321="",$AM320,'TMP Paste'!$N321))</f>
        <v/>
      </c>
      <c r="AN321">
        <f>IF('TMP Paste'!$F321="","",IF('TMP Paste'!$O321="",$AN320,'TMP Paste'!$O321))</f>
        <v/>
      </c>
      <c r="AO321">
        <f>IF('TMP Paste'!$F321="","",IF('TMP Paste'!$P321="",$AO320,'TMP Paste'!$P321))</f>
        <v/>
      </c>
      <c r="AP321">
        <f>IF($AG321="","",LEN($R321))</f>
        <v/>
      </c>
      <c r="AQ321">
        <f>IF($AG321="","",TRIM(IF(COUNTIFS(Calc!$B$2:$B$1601,ROW()-1,Calc!$C$2:$C$1601,"&lt;1")&gt;0,"Ada PO tanpa Koli - cek TMP. ","")&amp;IF(LEN($R321)&gt;500,"R &gt; 500 karakter.","")))</f>
        <v/>
      </c>
    </row>
    <row r="322">
      <c r="A322">
        <f>IF($AG322="","",INDEX('TMP Paste'!$B$2:$B$1601,$AG322))</f>
        <v/>
      </c>
      <c r="B322">
        <f>IF($AG322="","",Config!$B$14)</f>
        <v/>
      </c>
      <c r="C322">
        <f>IF($AG322="","",Config!$B$15)</f>
        <v/>
      </c>
      <c r="D322">
        <f>IF($AG322="","",INDEX('TMP Paste'!$B$2:$B$1601,$AG322))</f>
        <v/>
      </c>
      <c r="E322">
        <f>IF($AG322="","",Config!$B$27)</f>
        <v/>
      </c>
      <c r="F322">
        <f>IF($AG322="","",Config!$B$9)</f>
        <v/>
      </c>
      <c r="G322">
        <f>IF($AG322="","",Config!$B$10)</f>
        <v/>
      </c>
      <c r="H322">
        <f>IF($AG322="","",Config!$B$11)</f>
        <v/>
      </c>
      <c r="I322">
        <f>IF($AG322="","",Config!$B$16)</f>
        <v/>
      </c>
      <c r="J322">
        <f>IF($AG322="","",INDEX('TMP Paste'!$A$2:$A$1601,$AG322))</f>
        <v/>
      </c>
      <c r="K322">
        <f>IF($AG322="","",INDEX('TMP Paste'!$L$2:$L$1601,$AG322))</f>
        <v/>
      </c>
      <c r="L322">
        <f>IF($AG322="","",INDEX('TMP Paste'!$I$2:$I$1601,$AG322))</f>
        <v/>
      </c>
      <c r="M322">
        <f>IF($AG322="","",Config!$B$16)</f>
        <v/>
      </c>
      <c r="N322">
        <f>IF($AG322="","","")</f>
        <v/>
      </c>
      <c r="O322">
        <f>IF($AG322="","",INDEX('TMP Paste'!$K$2:$K$1601,$AG322))</f>
        <v/>
      </c>
      <c r="P322">
        <f>IF($AG322="","","")</f>
        <v/>
      </c>
      <c r="Q322">
        <f>IF($AG322="","",INDEX('TMP Paste'!$J$2:$J$1601,$AG322))</f>
        <v/>
      </c>
      <c r="R322">
        <f>IF($AG322="","",Config!$B$24)</f>
        <v/>
      </c>
      <c r="S322">
        <f>IF($AG322="","",TEXT(Config!$B$4,"yyyy-mm-dd"))</f>
        <v/>
      </c>
      <c r="T322">
        <f>IF($AG322="","",Config!$B$17)</f>
        <v/>
      </c>
      <c r="U322">
        <f>IF($AG322="","",Config!$B$18)</f>
        <v/>
      </c>
      <c r="V322">
        <f>IF($AG322="","",Config!$B$19)</f>
        <v/>
      </c>
      <c r="W322">
        <f>IF($AG322="","",INDEX('TMP Paste'!$C$2:$C$1601,$AG322))</f>
        <v/>
      </c>
      <c r="X322">
        <f>IF($AG322="","",Config!$B$29)</f>
        <v/>
      </c>
      <c r="Y322">
        <f>IF($AH322="","",INDEX(Calc!$I$2:$I$1601,$AH322)&amp;" - "&amp;INDEX(Calc!$D$2:$D$1601,$AH322)&amp;" koli")</f>
        <v/>
      </c>
      <c r="Z322">
        <f>IF($AG322="","",Config!$B$21)</f>
        <v/>
      </c>
      <c r="AA322">
        <f>IF($AG322="","",Config!$B$22)</f>
        <v/>
      </c>
      <c r="AB322">
        <f>IF($AH322="","",INDEX(Calc!$D$2:$D$1601,$AH322))</f>
        <v/>
      </c>
      <c r="AC322">
        <f>IF($AH322="","",INDEX(Calc!$G$2:$G$1601,$AH322))</f>
        <v/>
      </c>
      <c r="AD322">
        <f>IF($AG322="","",Config!$B$23)</f>
        <v/>
      </c>
      <c r="AE322">
        <f>IF($AG322="","",Config!$B$28)</f>
        <v/>
      </c>
      <c r="AG322">
        <f>IFERROR(MATCH(ROW()-1,Calc!$J$2:$J$1601,0),"")</f>
        <v/>
      </c>
      <c r="AH322">
        <f>IFERROR(MATCH(ROW()-1,Calc!$K$2:$K$1601,0),"")</f>
        <v/>
      </c>
      <c r="AI322">
        <f>IF($AG322="","",SUMIF($AG$2:$AG322,$AG322,$AH$2:$AH322))</f>
        <v/>
      </c>
      <c r="AJ322">
        <f>IF('TMP Paste'!$F322="","",IF('TMP Paste'!$B322="",$AJ321,'TMP Paste'!$B322))</f>
        <v/>
      </c>
      <c r="AK322">
        <f>IF('TMP Paste'!$F322="","",N('TMP Paste'!$G322))</f>
        <v/>
      </c>
      <c r="AL322">
        <f>IF('TMP Paste'!$F322="","",IF('TMP Paste'!$M322="",$AL321,'TMP Paste'!$M322))</f>
        <v/>
      </c>
      <c r="AM322">
        <f>IF('TMP Paste'!$F322="","",IF('TMP Paste'!$N322="",$AM321,'TMP Paste'!$N322))</f>
        <v/>
      </c>
      <c r="AN322">
        <f>IF('TMP Paste'!$F322="","",IF('TMP Paste'!$O322="",$AN321,'TMP Paste'!$O322))</f>
        <v/>
      </c>
      <c r="AO322">
        <f>IF('TMP Paste'!$F322="","",IF('TMP Paste'!$P322="",$AO321,'TMP Paste'!$P322))</f>
        <v/>
      </c>
      <c r="AP322">
        <f>IF($AG322="","",LEN($R322))</f>
        <v/>
      </c>
      <c r="AQ322">
        <f>IF($AG322="","",TRIM(IF(COUNTIFS(Calc!$B$2:$B$1601,ROW()-1,Calc!$C$2:$C$1601,"&lt;1")&gt;0,"Ada PO tanpa Koli - cek TMP. ","")&amp;IF(LEN($R322)&gt;500,"R &gt; 500 karakter.","")))</f>
        <v/>
      </c>
    </row>
    <row r="323">
      <c r="A323">
        <f>IF($AG323="","",INDEX('TMP Paste'!$B$2:$B$1601,$AG323))</f>
        <v/>
      </c>
      <c r="B323">
        <f>IF($AG323="","",Config!$B$14)</f>
        <v/>
      </c>
      <c r="C323">
        <f>IF($AG323="","",Config!$B$15)</f>
        <v/>
      </c>
      <c r="D323">
        <f>IF($AG323="","",INDEX('TMP Paste'!$B$2:$B$1601,$AG323))</f>
        <v/>
      </c>
      <c r="E323">
        <f>IF($AG323="","",Config!$B$27)</f>
        <v/>
      </c>
      <c r="F323">
        <f>IF($AG323="","",Config!$B$9)</f>
        <v/>
      </c>
      <c r="G323">
        <f>IF($AG323="","",Config!$B$10)</f>
        <v/>
      </c>
      <c r="H323">
        <f>IF($AG323="","",Config!$B$11)</f>
        <v/>
      </c>
      <c r="I323">
        <f>IF($AG323="","",Config!$B$16)</f>
        <v/>
      </c>
      <c r="J323">
        <f>IF($AG323="","",INDEX('TMP Paste'!$A$2:$A$1601,$AG323))</f>
        <v/>
      </c>
      <c r="K323">
        <f>IF($AG323="","",INDEX('TMP Paste'!$L$2:$L$1601,$AG323))</f>
        <v/>
      </c>
      <c r="L323">
        <f>IF($AG323="","",INDEX('TMP Paste'!$I$2:$I$1601,$AG323))</f>
        <v/>
      </c>
      <c r="M323">
        <f>IF($AG323="","",Config!$B$16)</f>
        <v/>
      </c>
      <c r="N323">
        <f>IF($AG323="","","")</f>
        <v/>
      </c>
      <c r="O323">
        <f>IF($AG323="","",INDEX('TMP Paste'!$K$2:$K$1601,$AG323))</f>
        <v/>
      </c>
      <c r="P323">
        <f>IF($AG323="","","")</f>
        <v/>
      </c>
      <c r="Q323">
        <f>IF($AG323="","",INDEX('TMP Paste'!$J$2:$J$1601,$AG323))</f>
        <v/>
      </c>
      <c r="R323">
        <f>IF($AG323="","",Config!$B$24)</f>
        <v/>
      </c>
      <c r="S323">
        <f>IF($AG323="","",TEXT(Config!$B$4,"yyyy-mm-dd"))</f>
        <v/>
      </c>
      <c r="T323">
        <f>IF($AG323="","",Config!$B$17)</f>
        <v/>
      </c>
      <c r="U323">
        <f>IF($AG323="","",Config!$B$18)</f>
        <v/>
      </c>
      <c r="V323">
        <f>IF($AG323="","",Config!$B$19)</f>
        <v/>
      </c>
      <c r="W323">
        <f>IF($AG323="","",INDEX('TMP Paste'!$C$2:$C$1601,$AG323))</f>
        <v/>
      </c>
      <c r="X323">
        <f>IF($AG323="","",Config!$B$29)</f>
        <v/>
      </c>
      <c r="Y323">
        <f>IF($AH323="","",INDEX(Calc!$I$2:$I$1601,$AH323)&amp;" - "&amp;INDEX(Calc!$D$2:$D$1601,$AH323)&amp;" koli")</f>
        <v/>
      </c>
      <c r="Z323">
        <f>IF($AG323="","",Config!$B$21)</f>
        <v/>
      </c>
      <c r="AA323">
        <f>IF($AG323="","",Config!$B$22)</f>
        <v/>
      </c>
      <c r="AB323">
        <f>IF($AH323="","",INDEX(Calc!$D$2:$D$1601,$AH323))</f>
        <v/>
      </c>
      <c r="AC323">
        <f>IF($AH323="","",INDEX(Calc!$G$2:$G$1601,$AH323))</f>
        <v/>
      </c>
      <c r="AD323">
        <f>IF($AG323="","",Config!$B$23)</f>
        <v/>
      </c>
      <c r="AE323">
        <f>IF($AG323="","",Config!$B$28)</f>
        <v/>
      </c>
      <c r="AG323">
        <f>IFERROR(MATCH(ROW()-1,Calc!$J$2:$J$1601,0),"")</f>
        <v/>
      </c>
      <c r="AH323">
        <f>IFERROR(MATCH(ROW()-1,Calc!$K$2:$K$1601,0),"")</f>
        <v/>
      </c>
      <c r="AI323">
        <f>IF($AG323="","",SUMIF($AG$2:$AG323,$AG323,$AH$2:$AH323))</f>
        <v/>
      </c>
      <c r="AJ323">
        <f>IF('TMP Paste'!$F323="","",IF('TMP Paste'!$B323="",$AJ322,'TMP Paste'!$B323))</f>
        <v/>
      </c>
      <c r="AK323">
        <f>IF('TMP Paste'!$F323="","",N('TMP Paste'!$G323))</f>
        <v/>
      </c>
      <c r="AL323">
        <f>IF('TMP Paste'!$F323="","",IF('TMP Paste'!$M323="",$AL322,'TMP Paste'!$M323))</f>
        <v/>
      </c>
      <c r="AM323">
        <f>IF('TMP Paste'!$F323="","",IF('TMP Paste'!$N323="",$AM322,'TMP Paste'!$N323))</f>
        <v/>
      </c>
      <c r="AN323">
        <f>IF('TMP Paste'!$F323="","",IF('TMP Paste'!$O323="",$AN322,'TMP Paste'!$O323))</f>
        <v/>
      </c>
      <c r="AO323">
        <f>IF('TMP Paste'!$F323="","",IF('TMP Paste'!$P323="",$AO322,'TMP Paste'!$P323))</f>
        <v/>
      </c>
      <c r="AP323">
        <f>IF($AG323="","",LEN($R323))</f>
        <v/>
      </c>
      <c r="AQ323">
        <f>IF($AG323="","",TRIM(IF(COUNTIFS(Calc!$B$2:$B$1601,ROW()-1,Calc!$C$2:$C$1601,"&lt;1")&gt;0,"Ada PO tanpa Koli - cek TMP. ","")&amp;IF(LEN($R323)&gt;500,"R &gt; 500 karakter.","")))</f>
        <v/>
      </c>
    </row>
    <row r="324">
      <c r="A324">
        <f>IF($AG324="","",INDEX('TMP Paste'!$B$2:$B$1601,$AG324))</f>
        <v/>
      </c>
      <c r="B324">
        <f>IF($AG324="","",Config!$B$14)</f>
        <v/>
      </c>
      <c r="C324">
        <f>IF($AG324="","",Config!$B$15)</f>
        <v/>
      </c>
      <c r="D324">
        <f>IF($AG324="","",INDEX('TMP Paste'!$B$2:$B$1601,$AG324))</f>
        <v/>
      </c>
      <c r="E324">
        <f>IF($AG324="","",Config!$B$27)</f>
        <v/>
      </c>
      <c r="F324">
        <f>IF($AG324="","",Config!$B$9)</f>
        <v/>
      </c>
      <c r="G324">
        <f>IF($AG324="","",Config!$B$10)</f>
        <v/>
      </c>
      <c r="H324">
        <f>IF($AG324="","",Config!$B$11)</f>
        <v/>
      </c>
      <c r="I324">
        <f>IF($AG324="","",Config!$B$16)</f>
        <v/>
      </c>
      <c r="J324">
        <f>IF($AG324="","",INDEX('TMP Paste'!$A$2:$A$1601,$AG324))</f>
        <v/>
      </c>
      <c r="K324">
        <f>IF($AG324="","",INDEX('TMP Paste'!$L$2:$L$1601,$AG324))</f>
        <v/>
      </c>
      <c r="L324">
        <f>IF($AG324="","",INDEX('TMP Paste'!$I$2:$I$1601,$AG324))</f>
        <v/>
      </c>
      <c r="M324">
        <f>IF($AG324="","",Config!$B$16)</f>
        <v/>
      </c>
      <c r="N324">
        <f>IF($AG324="","","")</f>
        <v/>
      </c>
      <c r="O324">
        <f>IF($AG324="","",INDEX('TMP Paste'!$K$2:$K$1601,$AG324))</f>
        <v/>
      </c>
      <c r="P324">
        <f>IF($AG324="","","")</f>
        <v/>
      </c>
      <c r="Q324">
        <f>IF($AG324="","",INDEX('TMP Paste'!$J$2:$J$1601,$AG324))</f>
        <v/>
      </c>
      <c r="R324">
        <f>IF($AG324="","",Config!$B$24)</f>
        <v/>
      </c>
      <c r="S324">
        <f>IF($AG324="","",TEXT(Config!$B$4,"yyyy-mm-dd"))</f>
        <v/>
      </c>
      <c r="T324">
        <f>IF($AG324="","",Config!$B$17)</f>
        <v/>
      </c>
      <c r="U324">
        <f>IF($AG324="","",Config!$B$18)</f>
        <v/>
      </c>
      <c r="V324">
        <f>IF($AG324="","",Config!$B$19)</f>
        <v/>
      </c>
      <c r="W324">
        <f>IF($AG324="","",INDEX('TMP Paste'!$C$2:$C$1601,$AG324))</f>
        <v/>
      </c>
      <c r="X324">
        <f>IF($AG324="","",Config!$B$29)</f>
        <v/>
      </c>
      <c r="Y324">
        <f>IF($AH324="","",INDEX(Calc!$I$2:$I$1601,$AH324)&amp;" - "&amp;INDEX(Calc!$D$2:$D$1601,$AH324)&amp;" koli")</f>
        <v/>
      </c>
      <c r="Z324">
        <f>IF($AG324="","",Config!$B$21)</f>
        <v/>
      </c>
      <c r="AA324">
        <f>IF($AG324="","",Config!$B$22)</f>
        <v/>
      </c>
      <c r="AB324">
        <f>IF($AH324="","",INDEX(Calc!$D$2:$D$1601,$AH324))</f>
        <v/>
      </c>
      <c r="AC324">
        <f>IF($AH324="","",INDEX(Calc!$G$2:$G$1601,$AH324))</f>
        <v/>
      </c>
      <c r="AD324">
        <f>IF($AG324="","",Config!$B$23)</f>
        <v/>
      </c>
      <c r="AE324">
        <f>IF($AG324="","",Config!$B$28)</f>
        <v/>
      </c>
      <c r="AG324">
        <f>IFERROR(MATCH(ROW()-1,Calc!$J$2:$J$1601,0),"")</f>
        <v/>
      </c>
      <c r="AH324">
        <f>IFERROR(MATCH(ROW()-1,Calc!$K$2:$K$1601,0),"")</f>
        <v/>
      </c>
      <c r="AI324">
        <f>IF($AG324="","",SUMIF($AG$2:$AG324,$AG324,$AH$2:$AH324))</f>
        <v/>
      </c>
      <c r="AJ324">
        <f>IF('TMP Paste'!$F324="","",IF('TMP Paste'!$B324="",$AJ323,'TMP Paste'!$B324))</f>
        <v/>
      </c>
      <c r="AK324">
        <f>IF('TMP Paste'!$F324="","",N('TMP Paste'!$G324))</f>
        <v/>
      </c>
      <c r="AL324">
        <f>IF('TMP Paste'!$F324="","",IF('TMP Paste'!$M324="",$AL323,'TMP Paste'!$M324))</f>
        <v/>
      </c>
      <c r="AM324">
        <f>IF('TMP Paste'!$F324="","",IF('TMP Paste'!$N324="",$AM323,'TMP Paste'!$N324))</f>
        <v/>
      </c>
      <c r="AN324">
        <f>IF('TMP Paste'!$F324="","",IF('TMP Paste'!$O324="",$AN323,'TMP Paste'!$O324))</f>
        <v/>
      </c>
      <c r="AO324">
        <f>IF('TMP Paste'!$F324="","",IF('TMP Paste'!$P324="",$AO323,'TMP Paste'!$P324))</f>
        <v/>
      </c>
      <c r="AP324">
        <f>IF($AG324="","",LEN($R324))</f>
        <v/>
      </c>
      <c r="AQ324">
        <f>IF($AG324="","",TRIM(IF(COUNTIFS(Calc!$B$2:$B$1601,ROW()-1,Calc!$C$2:$C$1601,"&lt;1")&gt;0,"Ada PO tanpa Koli - cek TMP. ","")&amp;IF(LEN($R324)&gt;500,"R &gt; 500 karakter.","")))</f>
        <v/>
      </c>
    </row>
    <row r="325">
      <c r="A325">
        <f>IF($AG325="","",INDEX('TMP Paste'!$B$2:$B$1601,$AG325))</f>
        <v/>
      </c>
      <c r="B325">
        <f>IF($AG325="","",Config!$B$14)</f>
        <v/>
      </c>
      <c r="C325">
        <f>IF($AG325="","",Config!$B$15)</f>
        <v/>
      </c>
      <c r="D325">
        <f>IF($AG325="","",INDEX('TMP Paste'!$B$2:$B$1601,$AG325))</f>
        <v/>
      </c>
      <c r="E325">
        <f>IF($AG325="","",Config!$B$27)</f>
        <v/>
      </c>
      <c r="F325">
        <f>IF($AG325="","",Config!$B$9)</f>
        <v/>
      </c>
      <c r="G325">
        <f>IF($AG325="","",Config!$B$10)</f>
        <v/>
      </c>
      <c r="H325">
        <f>IF($AG325="","",Config!$B$11)</f>
        <v/>
      </c>
      <c r="I325">
        <f>IF($AG325="","",Config!$B$16)</f>
        <v/>
      </c>
      <c r="J325">
        <f>IF($AG325="","",INDEX('TMP Paste'!$A$2:$A$1601,$AG325))</f>
        <v/>
      </c>
      <c r="K325">
        <f>IF($AG325="","",INDEX('TMP Paste'!$L$2:$L$1601,$AG325))</f>
        <v/>
      </c>
      <c r="L325">
        <f>IF($AG325="","",INDEX('TMP Paste'!$I$2:$I$1601,$AG325))</f>
        <v/>
      </c>
      <c r="M325">
        <f>IF($AG325="","",Config!$B$16)</f>
        <v/>
      </c>
      <c r="N325">
        <f>IF($AG325="","","")</f>
        <v/>
      </c>
      <c r="O325">
        <f>IF($AG325="","",INDEX('TMP Paste'!$K$2:$K$1601,$AG325))</f>
        <v/>
      </c>
      <c r="P325">
        <f>IF($AG325="","","")</f>
        <v/>
      </c>
      <c r="Q325">
        <f>IF($AG325="","",INDEX('TMP Paste'!$J$2:$J$1601,$AG325))</f>
        <v/>
      </c>
      <c r="R325">
        <f>IF($AG325="","",Config!$B$24)</f>
        <v/>
      </c>
      <c r="S325">
        <f>IF($AG325="","",TEXT(Config!$B$4,"yyyy-mm-dd"))</f>
        <v/>
      </c>
      <c r="T325">
        <f>IF($AG325="","",Config!$B$17)</f>
        <v/>
      </c>
      <c r="U325">
        <f>IF($AG325="","",Config!$B$18)</f>
        <v/>
      </c>
      <c r="V325">
        <f>IF($AG325="","",Config!$B$19)</f>
        <v/>
      </c>
      <c r="W325">
        <f>IF($AG325="","",INDEX('TMP Paste'!$C$2:$C$1601,$AG325))</f>
        <v/>
      </c>
      <c r="X325">
        <f>IF($AG325="","",Config!$B$29)</f>
        <v/>
      </c>
      <c r="Y325">
        <f>IF($AH325="","",INDEX(Calc!$I$2:$I$1601,$AH325)&amp;" - "&amp;INDEX(Calc!$D$2:$D$1601,$AH325)&amp;" koli")</f>
        <v/>
      </c>
      <c r="Z325">
        <f>IF($AG325="","",Config!$B$21)</f>
        <v/>
      </c>
      <c r="AA325">
        <f>IF($AG325="","",Config!$B$22)</f>
        <v/>
      </c>
      <c r="AB325">
        <f>IF($AH325="","",INDEX(Calc!$D$2:$D$1601,$AH325))</f>
        <v/>
      </c>
      <c r="AC325">
        <f>IF($AH325="","",INDEX(Calc!$G$2:$G$1601,$AH325))</f>
        <v/>
      </c>
      <c r="AD325">
        <f>IF($AG325="","",Config!$B$23)</f>
        <v/>
      </c>
      <c r="AE325">
        <f>IF($AG325="","",Config!$B$28)</f>
        <v/>
      </c>
      <c r="AG325">
        <f>IFERROR(MATCH(ROW()-1,Calc!$J$2:$J$1601,0),"")</f>
        <v/>
      </c>
      <c r="AH325">
        <f>IFERROR(MATCH(ROW()-1,Calc!$K$2:$K$1601,0),"")</f>
        <v/>
      </c>
      <c r="AI325">
        <f>IF($AG325="","",SUMIF($AG$2:$AG325,$AG325,$AH$2:$AH325))</f>
        <v/>
      </c>
      <c r="AJ325">
        <f>IF('TMP Paste'!$F325="","",IF('TMP Paste'!$B325="",$AJ324,'TMP Paste'!$B325))</f>
        <v/>
      </c>
      <c r="AK325">
        <f>IF('TMP Paste'!$F325="","",N('TMP Paste'!$G325))</f>
        <v/>
      </c>
      <c r="AL325">
        <f>IF('TMP Paste'!$F325="","",IF('TMP Paste'!$M325="",$AL324,'TMP Paste'!$M325))</f>
        <v/>
      </c>
      <c r="AM325">
        <f>IF('TMP Paste'!$F325="","",IF('TMP Paste'!$N325="",$AM324,'TMP Paste'!$N325))</f>
        <v/>
      </c>
      <c r="AN325">
        <f>IF('TMP Paste'!$F325="","",IF('TMP Paste'!$O325="",$AN324,'TMP Paste'!$O325))</f>
        <v/>
      </c>
      <c r="AO325">
        <f>IF('TMP Paste'!$F325="","",IF('TMP Paste'!$P325="",$AO324,'TMP Paste'!$P325))</f>
        <v/>
      </c>
      <c r="AP325">
        <f>IF($AG325="","",LEN($R325))</f>
        <v/>
      </c>
      <c r="AQ325">
        <f>IF($AG325="","",TRIM(IF(COUNTIFS(Calc!$B$2:$B$1601,ROW()-1,Calc!$C$2:$C$1601,"&lt;1")&gt;0,"Ada PO tanpa Koli - cek TMP. ","")&amp;IF(LEN($R325)&gt;500,"R &gt; 500 karakter.","")))</f>
        <v/>
      </c>
    </row>
    <row r="326">
      <c r="A326">
        <f>IF($AG326="","",INDEX('TMP Paste'!$B$2:$B$1601,$AG326))</f>
        <v/>
      </c>
      <c r="B326">
        <f>IF($AG326="","",Config!$B$14)</f>
        <v/>
      </c>
      <c r="C326">
        <f>IF($AG326="","",Config!$B$15)</f>
        <v/>
      </c>
      <c r="D326">
        <f>IF($AG326="","",INDEX('TMP Paste'!$B$2:$B$1601,$AG326))</f>
        <v/>
      </c>
      <c r="E326">
        <f>IF($AG326="","",Config!$B$27)</f>
        <v/>
      </c>
      <c r="F326">
        <f>IF($AG326="","",Config!$B$9)</f>
        <v/>
      </c>
      <c r="G326">
        <f>IF($AG326="","",Config!$B$10)</f>
        <v/>
      </c>
      <c r="H326">
        <f>IF($AG326="","",Config!$B$11)</f>
        <v/>
      </c>
      <c r="I326">
        <f>IF($AG326="","",Config!$B$16)</f>
        <v/>
      </c>
      <c r="J326">
        <f>IF($AG326="","",INDEX('TMP Paste'!$A$2:$A$1601,$AG326))</f>
        <v/>
      </c>
      <c r="K326">
        <f>IF($AG326="","",INDEX('TMP Paste'!$L$2:$L$1601,$AG326))</f>
        <v/>
      </c>
      <c r="L326">
        <f>IF($AG326="","",INDEX('TMP Paste'!$I$2:$I$1601,$AG326))</f>
        <v/>
      </c>
      <c r="M326">
        <f>IF($AG326="","",Config!$B$16)</f>
        <v/>
      </c>
      <c r="N326">
        <f>IF($AG326="","","")</f>
        <v/>
      </c>
      <c r="O326">
        <f>IF($AG326="","",INDEX('TMP Paste'!$K$2:$K$1601,$AG326))</f>
        <v/>
      </c>
      <c r="P326">
        <f>IF($AG326="","","")</f>
        <v/>
      </c>
      <c r="Q326">
        <f>IF($AG326="","",INDEX('TMP Paste'!$J$2:$J$1601,$AG326))</f>
        <v/>
      </c>
      <c r="R326">
        <f>IF($AG326="","",Config!$B$24)</f>
        <v/>
      </c>
      <c r="S326">
        <f>IF($AG326="","",TEXT(Config!$B$4,"yyyy-mm-dd"))</f>
        <v/>
      </c>
      <c r="T326">
        <f>IF($AG326="","",Config!$B$17)</f>
        <v/>
      </c>
      <c r="U326">
        <f>IF($AG326="","",Config!$B$18)</f>
        <v/>
      </c>
      <c r="V326">
        <f>IF($AG326="","",Config!$B$19)</f>
        <v/>
      </c>
      <c r="W326">
        <f>IF($AG326="","",INDEX('TMP Paste'!$C$2:$C$1601,$AG326))</f>
        <v/>
      </c>
      <c r="X326">
        <f>IF($AG326="","",Config!$B$29)</f>
        <v/>
      </c>
      <c r="Y326">
        <f>IF($AH326="","",INDEX(Calc!$I$2:$I$1601,$AH326)&amp;" - "&amp;INDEX(Calc!$D$2:$D$1601,$AH326)&amp;" koli")</f>
        <v/>
      </c>
      <c r="Z326">
        <f>IF($AG326="","",Config!$B$21)</f>
        <v/>
      </c>
      <c r="AA326">
        <f>IF($AG326="","",Config!$B$22)</f>
        <v/>
      </c>
      <c r="AB326">
        <f>IF($AH326="","",INDEX(Calc!$D$2:$D$1601,$AH326))</f>
        <v/>
      </c>
      <c r="AC326">
        <f>IF($AH326="","",INDEX(Calc!$G$2:$G$1601,$AH326))</f>
        <v/>
      </c>
      <c r="AD326">
        <f>IF($AG326="","",Config!$B$23)</f>
        <v/>
      </c>
      <c r="AE326">
        <f>IF($AG326="","",Config!$B$28)</f>
        <v/>
      </c>
      <c r="AG326">
        <f>IFERROR(MATCH(ROW()-1,Calc!$J$2:$J$1601,0),"")</f>
        <v/>
      </c>
      <c r="AH326">
        <f>IFERROR(MATCH(ROW()-1,Calc!$K$2:$K$1601,0),"")</f>
        <v/>
      </c>
      <c r="AI326">
        <f>IF($AG326="","",SUMIF($AG$2:$AG326,$AG326,$AH$2:$AH326))</f>
        <v/>
      </c>
      <c r="AJ326">
        <f>IF('TMP Paste'!$F326="","",IF('TMP Paste'!$B326="",$AJ325,'TMP Paste'!$B326))</f>
        <v/>
      </c>
      <c r="AK326">
        <f>IF('TMP Paste'!$F326="","",N('TMP Paste'!$G326))</f>
        <v/>
      </c>
      <c r="AL326">
        <f>IF('TMP Paste'!$F326="","",IF('TMP Paste'!$M326="",$AL325,'TMP Paste'!$M326))</f>
        <v/>
      </c>
      <c r="AM326">
        <f>IF('TMP Paste'!$F326="","",IF('TMP Paste'!$N326="",$AM325,'TMP Paste'!$N326))</f>
        <v/>
      </c>
      <c r="AN326">
        <f>IF('TMP Paste'!$F326="","",IF('TMP Paste'!$O326="",$AN325,'TMP Paste'!$O326))</f>
        <v/>
      </c>
      <c r="AO326">
        <f>IF('TMP Paste'!$F326="","",IF('TMP Paste'!$P326="",$AO325,'TMP Paste'!$P326))</f>
        <v/>
      </c>
      <c r="AP326">
        <f>IF($AG326="","",LEN($R326))</f>
        <v/>
      </c>
      <c r="AQ326">
        <f>IF($AG326="","",TRIM(IF(COUNTIFS(Calc!$B$2:$B$1601,ROW()-1,Calc!$C$2:$C$1601,"&lt;1")&gt;0,"Ada PO tanpa Koli - cek TMP. ","")&amp;IF(LEN($R326)&gt;500,"R &gt; 500 karakter.","")))</f>
        <v/>
      </c>
    </row>
    <row r="327">
      <c r="A327">
        <f>IF($AG327="","",INDEX('TMP Paste'!$B$2:$B$1601,$AG327))</f>
        <v/>
      </c>
      <c r="B327">
        <f>IF($AG327="","",Config!$B$14)</f>
        <v/>
      </c>
      <c r="C327">
        <f>IF($AG327="","",Config!$B$15)</f>
        <v/>
      </c>
      <c r="D327">
        <f>IF($AG327="","",INDEX('TMP Paste'!$B$2:$B$1601,$AG327))</f>
        <v/>
      </c>
      <c r="E327">
        <f>IF($AG327="","",Config!$B$27)</f>
        <v/>
      </c>
      <c r="F327">
        <f>IF($AG327="","",Config!$B$9)</f>
        <v/>
      </c>
      <c r="G327">
        <f>IF($AG327="","",Config!$B$10)</f>
        <v/>
      </c>
      <c r="H327">
        <f>IF($AG327="","",Config!$B$11)</f>
        <v/>
      </c>
      <c r="I327">
        <f>IF($AG327="","",Config!$B$16)</f>
        <v/>
      </c>
      <c r="J327">
        <f>IF($AG327="","",INDEX('TMP Paste'!$A$2:$A$1601,$AG327))</f>
        <v/>
      </c>
      <c r="K327">
        <f>IF($AG327="","",INDEX('TMP Paste'!$L$2:$L$1601,$AG327))</f>
        <v/>
      </c>
      <c r="L327">
        <f>IF($AG327="","",INDEX('TMP Paste'!$I$2:$I$1601,$AG327))</f>
        <v/>
      </c>
      <c r="M327">
        <f>IF($AG327="","",Config!$B$16)</f>
        <v/>
      </c>
      <c r="N327">
        <f>IF($AG327="","","")</f>
        <v/>
      </c>
      <c r="O327">
        <f>IF($AG327="","",INDEX('TMP Paste'!$K$2:$K$1601,$AG327))</f>
        <v/>
      </c>
      <c r="P327">
        <f>IF($AG327="","","")</f>
        <v/>
      </c>
      <c r="Q327">
        <f>IF($AG327="","",INDEX('TMP Paste'!$J$2:$J$1601,$AG327))</f>
        <v/>
      </c>
      <c r="R327">
        <f>IF($AG327="","",Config!$B$24)</f>
        <v/>
      </c>
      <c r="S327">
        <f>IF($AG327="","",TEXT(Config!$B$4,"yyyy-mm-dd"))</f>
        <v/>
      </c>
      <c r="T327">
        <f>IF($AG327="","",Config!$B$17)</f>
        <v/>
      </c>
      <c r="U327">
        <f>IF($AG327="","",Config!$B$18)</f>
        <v/>
      </c>
      <c r="V327">
        <f>IF($AG327="","",Config!$B$19)</f>
        <v/>
      </c>
      <c r="W327">
        <f>IF($AG327="","",INDEX('TMP Paste'!$C$2:$C$1601,$AG327))</f>
        <v/>
      </c>
      <c r="X327">
        <f>IF($AG327="","",Config!$B$29)</f>
        <v/>
      </c>
      <c r="Y327">
        <f>IF($AH327="","",INDEX(Calc!$I$2:$I$1601,$AH327)&amp;" - "&amp;INDEX(Calc!$D$2:$D$1601,$AH327)&amp;" koli")</f>
        <v/>
      </c>
      <c r="Z327">
        <f>IF($AG327="","",Config!$B$21)</f>
        <v/>
      </c>
      <c r="AA327">
        <f>IF($AG327="","",Config!$B$22)</f>
        <v/>
      </c>
      <c r="AB327">
        <f>IF($AH327="","",INDEX(Calc!$D$2:$D$1601,$AH327))</f>
        <v/>
      </c>
      <c r="AC327">
        <f>IF($AH327="","",INDEX(Calc!$G$2:$G$1601,$AH327))</f>
        <v/>
      </c>
      <c r="AD327">
        <f>IF($AG327="","",Config!$B$23)</f>
        <v/>
      </c>
      <c r="AE327">
        <f>IF($AG327="","",Config!$B$28)</f>
        <v/>
      </c>
      <c r="AG327">
        <f>IFERROR(MATCH(ROW()-1,Calc!$J$2:$J$1601,0),"")</f>
        <v/>
      </c>
      <c r="AH327">
        <f>IFERROR(MATCH(ROW()-1,Calc!$K$2:$K$1601,0),"")</f>
        <v/>
      </c>
      <c r="AI327">
        <f>IF($AG327="","",SUMIF($AG$2:$AG327,$AG327,$AH$2:$AH327))</f>
        <v/>
      </c>
      <c r="AJ327">
        <f>IF('TMP Paste'!$F327="","",IF('TMP Paste'!$B327="",$AJ326,'TMP Paste'!$B327))</f>
        <v/>
      </c>
      <c r="AK327">
        <f>IF('TMP Paste'!$F327="","",N('TMP Paste'!$G327))</f>
        <v/>
      </c>
      <c r="AL327">
        <f>IF('TMP Paste'!$F327="","",IF('TMP Paste'!$M327="",$AL326,'TMP Paste'!$M327))</f>
        <v/>
      </c>
      <c r="AM327">
        <f>IF('TMP Paste'!$F327="","",IF('TMP Paste'!$N327="",$AM326,'TMP Paste'!$N327))</f>
        <v/>
      </c>
      <c r="AN327">
        <f>IF('TMP Paste'!$F327="","",IF('TMP Paste'!$O327="",$AN326,'TMP Paste'!$O327))</f>
        <v/>
      </c>
      <c r="AO327">
        <f>IF('TMP Paste'!$F327="","",IF('TMP Paste'!$P327="",$AO326,'TMP Paste'!$P327))</f>
        <v/>
      </c>
      <c r="AP327">
        <f>IF($AG327="","",LEN($R327))</f>
        <v/>
      </c>
      <c r="AQ327">
        <f>IF($AG327="","",TRIM(IF(COUNTIFS(Calc!$B$2:$B$1601,ROW()-1,Calc!$C$2:$C$1601,"&lt;1")&gt;0,"Ada PO tanpa Koli - cek TMP. ","")&amp;IF(LEN($R327)&gt;500,"R &gt; 500 karakter.","")))</f>
        <v/>
      </c>
    </row>
    <row r="328">
      <c r="A328">
        <f>IF($AG328="","",INDEX('TMP Paste'!$B$2:$B$1601,$AG328))</f>
        <v/>
      </c>
      <c r="B328">
        <f>IF($AG328="","",Config!$B$14)</f>
        <v/>
      </c>
      <c r="C328">
        <f>IF($AG328="","",Config!$B$15)</f>
        <v/>
      </c>
      <c r="D328">
        <f>IF($AG328="","",INDEX('TMP Paste'!$B$2:$B$1601,$AG328))</f>
        <v/>
      </c>
      <c r="E328">
        <f>IF($AG328="","",Config!$B$27)</f>
        <v/>
      </c>
      <c r="F328">
        <f>IF($AG328="","",Config!$B$9)</f>
        <v/>
      </c>
      <c r="G328">
        <f>IF($AG328="","",Config!$B$10)</f>
        <v/>
      </c>
      <c r="H328">
        <f>IF($AG328="","",Config!$B$11)</f>
        <v/>
      </c>
      <c r="I328">
        <f>IF($AG328="","",Config!$B$16)</f>
        <v/>
      </c>
      <c r="J328">
        <f>IF($AG328="","",INDEX('TMP Paste'!$A$2:$A$1601,$AG328))</f>
        <v/>
      </c>
      <c r="K328">
        <f>IF($AG328="","",INDEX('TMP Paste'!$L$2:$L$1601,$AG328))</f>
        <v/>
      </c>
      <c r="L328">
        <f>IF($AG328="","",INDEX('TMP Paste'!$I$2:$I$1601,$AG328))</f>
        <v/>
      </c>
      <c r="M328">
        <f>IF($AG328="","",Config!$B$16)</f>
        <v/>
      </c>
      <c r="N328">
        <f>IF($AG328="","","")</f>
        <v/>
      </c>
      <c r="O328">
        <f>IF($AG328="","",INDEX('TMP Paste'!$K$2:$K$1601,$AG328))</f>
        <v/>
      </c>
      <c r="P328">
        <f>IF($AG328="","","")</f>
        <v/>
      </c>
      <c r="Q328">
        <f>IF($AG328="","",INDEX('TMP Paste'!$J$2:$J$1601,$AG328))</f>
        <v/>
      </c>
      <c r="R328">
        <f>IF($AG328="","",Config!$B$24)</f>
        <v/>
      </c>
      <c r="S328">
        <f>IF($AG328="","",TEXT(Config!$B$4,"yyyy-mm-dd"))</f>
        <v/>
      </c>
      <c r="T328">
        <f>IF($AG328="","",Config!$B$17)</f>
        <v/>
      </c>
      <c r="U328">
        <f>IF($AG328="","",Config!$B$18)</f>
        <v/>
      </c>
      <c r="V328">
        <f>IF($AG328="","",Config!$B$19)</f>
        <v/>
      </c>
      <c r="W328">
        <f>IF($AG328="","",INDEX('TMP Paste'!$C$2:$C$1601,$AG328))</f>
        <v/>
      </c>
      <c r="X328">
        <f>IF($AG328="","",Config!$B$29)</f>
        <v/>
      </c>
      <c r="Y328">
        <f>IF($AH328="","",INDEX(Calc!$I$2:$I$1601,$AH328)&amp;" - "&amp;INDEX(Calc!$D$2:$D$1601,$AH328)&amp;" koli")</f>
        <v/>
      </c>
      <c r="Z328">
        <f>IF($AG328="","",Config!$B$21)</f>
        <v/>
      </c>
      <c r="AA328">
        <f>IF($AG328="","",Config!$B$22)</f>
        <v/>
      </c>
      <c r="AB328">
        <f>IF($AH328="","",INDEX(Calc!$D$2:$D$1601,$AH328))</f>
        <v/>
      </c>
      <c r="AC328">
        <f>IF($AH328="","",INDEX(Calc!$G$2:$G$1601,$AH328))</f>
        <v/>
      </c>
      <c r="AD328">
        <f>IF($AG328="","",Config!$B$23)</f>
        <v/>
      </c>
      <c r="AE328">
        <f>IF($AG328="","",Config!$B$28)</f>
        <v/>
      </c>
      <c r="AG328">
        <f>IFERROR(MATCH(ROW()-1,Calc!$J$2:$J$1601,0),"")</f>
        <v/>
      </c>
      <c r="AH328">
        <f>IFERROR(MATCH(ROW()-1,Calc!$K$2:$K$1601,0),"")</f>
        <v/>
      </c>
      <c r="AI328">
        <f>IF($AG328="","",SUMIF($AG$2:$AG328,$AG328,$AH$2:$AH328))</f>
        <v/>
      </c>
      <c r="AJ328">
        <f>IF('TMP Paste'!$F328="","",IF('TMP Paste'!$B328="",$AJ327,'TMP Paste'!$B328))</f>
        <v/>
      </c>
      <c r="AK328">
        <f>IF('TMP Paste'!$F328="","",N('TMP Paste'!$G328))</f>
        <v/>
      </c>
      <c r="AL328">
        <f>IF('TMP Paste'!$F328="","",IF('TMP Paste'!$M328="",$AL327,'TMP Paste'!$M328))</f>
        <v/>
      </c>
      <c r="AM328">
        <f>IF('TMP Paste'!$F328="","",IF('TMP Paste'!$N328="",$AM327,'TMP Paste'!$N328))</f>
        <v/>
      </c>
      <c r="AN328">
        <f>IF('TMP Paste'!$F328="","",IF('TMP Paste'!$O328="",$AN327,'TMP Paste'!$O328))</f>
        <v/>
      </c>
      <c r="AO328">
        <f>IF('TMP Paste'!$F328="","",IF('TMP Paste'!$P328="",$AO327,'TMP Paste'!$P328))</f>
        <v/>
      </c>
      <c r="AP328">
        <f>IF($AG328="","",LEN($R328))</f>
        <v/>
      </c>
      <c r="AQ328">
        <f>IF($AG328="","",TRIM(IF(COUNTIFS(Calc!$B$2:$B$1601,ROW()-1,Calc!$C$2:$C$1601,"&lt;1")&gt;0,"Ada PO tanpa Koli - cek TMP. ","")&amp;IF(LEN($R328)&gt;500,"R &gt; 500 karakter.","")))</f>
        <v/>
      </c>
    </row>
    <row r="329">
      <c r="A329">
        <f>IF($AG329="","",INDEX('TMP Paste'!$B$2:$B$1601,$AG329))</f>
        <v/>
      </c>
      <c r="B329">
        <f>IF($AG329="","",Config!$B$14)</f>
        <v/>
      </c>
      <c r="C329">
        <f>IF($AG329="","",Config!$B$15)</f>
        <v/>
      </c>
      <c r="D329">
        <f>IF($AG329="","",INDEX('TMP Paste'!$B$2:$B$1601,$AG329))</f>
        <v/>
      </c>
      <c r="E329">
        <f>IF($AG329="","",Config!$B$27)</f>
        <v/>
      </c>
      <c r="F329">
        <f>IF($AG329="","",Config!$B$9)</f>
        <v/>
      </c>
      <c r="G329">
        <f>IF($AG329="","",Config!$B$10)</f>
        <v/>
      </c>
      <c r="H329">
        <f>IF($AG329="","",Config!$B$11)</f>
        <v/>
      </c>
      <c r="I329">
        <f>IF($AG329="","",Config!$B$16)</f>
        <v/>
      </c>
      <c r="J329">
        <f>IF($AG329="","",INDEX('TMP Paste'!$A$2:$A$1601,$AG329))</f>
        <v/>
      </c>
      <c r="K329">
        <f>IF($AG329="","",INDEX('TMP Paste'!$L$2:$L$1601,$AG329))</f>
        <v/>
      </c>
      <c r="L329">
        <f>IF($AG329="","",INDEX('TMP Paste'!$I$2:$I$1601,$AG329))</f>
        <v/>
      </c>
      <c r="M329">
        <f>IF($AG329="","",Config!$B$16)</f>
        <v/>
      </c>
      <c r="N329">
        <f>IF($AG329="","","")</f>
        <v/>
      </c>
      <c r="O329">
        <f>IF($AG329="","",INDEX('TMP Paste'!$K$2:$K$1601,$AG329))</f>
        <v/>
      </c>
      <c r="P329">
        <f>IF($AG329="","","")</f>
        <v/>
      </c>
      <c r="Q329">
        <f>IF($AG329="","",INDEX('TMP Paste'!$J$2:$J$1601,$AG329))</f>
        <v/>
      </c>
      <c r="R329">
        <f>IF($AG329="","",Config!$B$24)</f>
        <v/>
      </c>
      <c r="S329">
        <f>IF($AG329="","",TEXT(Config!$B$4,"yyyy-mm-dd"))</f>
        <v/>
      </c>
      <c r="T329">
        <f>IF($AG329="","",Config!$B$17)</f>
        <v/>
      </c>
      <c r="U329">
        <f>IF($AG329="","",Config!$B$18)</f>
        <v/>
      </c>
      <c r="V329">
        <f>IF($AG329="","",Config!$B$19)</f>
        <v/>
      </c>
      <c r="W329">
        <f>IF($AG329="","",INDEX('TMP Paste'!$C$2:$C$1601,$AG329))</f>
        <v/>
      </c>
      <c r="X329">
        <f>IF($AG329="","",Config!$B$29)</f>
        <v/>
      </c>
      <c r="Y329">
        <f>IF($AH329="","",INDEX(Calc!$I$2:$I$1601,$AH329)&amp;" - "&amp;INDEX(Calc!$D$2:$D$1601,$AH329)&amp;" koli")</f>
        <v/>
      </c>
      <c r="Z329">
        <f>IF($AG329="","",Config!$B$21)</f>
        <v/>
      </c>
      <c r="AA329">
        <f>IF($AG329="","",Config!$B$22)</f>
        <v/>
      </c>
      <c r="AB329">
        <f>IF($AH329="","",INDEX(Calc!$D$2:$D$1601,$AH329))</f>
        <v/>
      </c>
      <c r="AC329">
        <f>IF($AH329="","",INDEX(Calc!$G$2:$G$1601,$AH329))</f>
        <v/>
      </c>
      <c r="AD329">
        <f>IF($AG329="","",Config!$B$23)</f>
        <v/>
      </c>
      <c r="AE329">
        <f>IF($AG329="","",Config!$B$28)</f>
        <v/>
      </c>
      <c r="AG329">
        <f>IFERROR(MATCH(ROW()-1,Calc!$J$2:$J$1601,0),"")</f>
        <v/>
      </c>
      <c r="AH329">
        <f>IFERROR(MATCH(ROW()-1,Calc!$K$2:$K$1601,0),"")</f>
        <v/>
      </c>
      <c r="AI329">
        <f>IF($AG329="","",SUMIF($AG$2:$AG329,$AG329,$AH$2:$AH329))</f>
        <v/>
      </c>
      <c r="AJ329">
        <f>IF('TMP Paste'!$F329="","",IF('TMP Paste'!$B329="",$AJ328,'TMP Paste'!$B329))</f>
        <v/>
      </c>
      <c r="AK329">
        <f>IF('TMP Paste'!$F329="","",N('TMP Paste'!$G329))</f>
        <v/>
      </c>
      <c r="AL329">
        <f>IF('TMP Paste'!$F329="","",IF('TMP Paste'!$M329="",$AL328,'TMP Paste'!$M329))</f>
        <v/>
      </c>
      <c r="AM329">
        <f>IF('TMP Paste'!$F329="","",IF('TMP Paste'!$N329="",$AM328,'TMP Paste'!$N329))</f>
        <v/>
      </c>
      <c r="AN329">
        <f>IF('TMP Paste'!$F329="","",IF('TMP Paste'!$O329="",$AN328,'TMP Paste'!$O329))</f>
        <v/>
      </c>
      <c r="AO329">
        <f>IF('TMP Paste'!$F329="","",IF('TMP Paste'!$P329="",$AO328,'TMP Paste'!$P329))</f>
        <v/>
      </c>
      <c r="AP329">
        <f>IF($AG329="","",LEN($R329))</f>
        <v/>
      </c>
      <c r="AQ329">
        <f>IF($AG329="","",TRIM(IF(COUNTIFS(Calc!$B$2:$B$1601,ROW()-1,Calc!$C$2:$C$1601,"&lt;1")&gt;0,"Ada PO tanpa Koli - cek TMP. ","")&amp;IF(LEN($R329)&gt;500,"R &gt; 500 karakter.","")))</f>
        <v/>
      </c>
    </row>
    <row r="330">
      <c r="A330">
        <f>IF($AG330="","",INDEX('TMP Paste'!$B$2:$B$1601,$AG330))</f>
        <v/>
      </c>
      <c r="B330">
        <f>IF($AG330="","",Config!$B$14)</f>
        <v/>
      </c>
      <c r="C330">
        <f>IF($AG330="","",Config!$B$15)</f>
        <v/>
      </c>
      <c r="D330">
        <f>IF($AG330="","",INDEX('TMP Paste'!$B$2:$B$1601,$AG330))</f>
        <v/>
      </c>
      <c r="E330">
        <f>IF($AG330="","",Config!$B$27)</f>
        <v/>
      </c>
      <c r="F330">
        <f>IF($AG330="","",Config!$B$9)</f>
        <v/>
      </c>
      <c r="G330">
        <f>IF($AG330="","",Config!$B$10)</f>
        <v/>
      </c>
      <c r="H330">
        <f>IF($AG330="","",Config!$B$11)</f>
        <v/>
      </c>
      <c r="I330">
        <f>IF($AG330="","",Config!$B$16)</f>
        <v/>
      </c>
      <c r="J330">
        <f>IF($AG330="","",INDEX('TMP Paste'!$A$2:$A$1601,$AG330))</f>
        <v/>
      </c>
      <c r="K330">
        <f>IF($AG330="","",INDEX('TMP Paste'!$L$2:$L$1601,$AG330))</f>
        <v/>
      </c>
      <c r="L330">
        <f>IF($AG330="","",INDEX('TMP Paste'!$I$2:$I$1601,$AG330))</f>
        <v/>
      </c>
      <c r="M330">
        <f>IF($AG330="","",Config!$B$16)</f>
        <v/>
      </c>
      <c r="N330">
        <f>IF($AG330="","","")</f>
        <v/>
      </c>
      <c r="O330">
        <f>IF($AG330="","",INDEX('TMP Paste'!$K$2:$K$1601,$AG330))</f>
        <v/>
      </c>
      <c r="P330">
        <f>IF($AG330="","","")</f>
        <v/>
      </c>
      <c r="Q330">
        <f>IF($AG330="","",INDEX('TMP Paste'!$J$2:$J$1601,$AG330))</f>
        <v/>
      </c>
      <c r="R330">
        <f>IF($AG330="","",Config!$B$24)</f>
        <v/>
      </c>
      <c r="S330">
        <f>IF($AG330="","",TEXT(Config!$B$4,"yyyy-mm-dd"))</f>
        <v/>
      </c>
      <c r="T330">
        <f>IF($AG330="","",Config!$B$17)</f>
        <v/>
      </c>
      <c r="U330">
        <f>IF($AG330="","",Config!$B$18)</f>
        <v/>
      </c>
      <c r="V330">
        <f>IF($AG330="","",Config!$B$19)</f>
        <v/>
      </c>
      <c r="W330">
        <f>IF($AG330="","",INDEX('TMP Paste'!$C$2:$C$1601,$AG330))</f>
        <v/>
      </c>
      <c r="X330">
        <f>IF($AG330="","",Config!$B$29)</f>
        <v/>
      </c>
      <c r="Y330">
        <f>IF($AH330="","",INDEX(Calc!$I$2:$I$1601,$AH330)&amp;" - "&amp;INDEX(Calc!$D$2:$D$1601,$AH330)&amp;" koli")</f>
        <v/>
      </c>
      <c r="Z330">
        <f>IF($AG330="","",Config!$B$21)</f>
        <v/>
      </c>
      <c r="AA330">
        <f>IF($AG330="","",Config!$B$22)</f>
        <v/>
      </c>
      <c r="AB330">
        <f>IF($AH330="","",INDEX(Calc!$D$2:$D$1601,$AH330))</f>
        <v/>
      </c>
      <c r="AC330">
        <f>IF($AH330="","",INDEX(Calc!$G$2:$G$1601,$AH330))</f>
        <v/>
      </c>
      <c r="AD330">
        <f>IF($AG330="","",Config!$B$23)</f>
        <v/>
      </c>
      <c r="AE330">
        <f>IF($AG330="","",Config!$B$28)</f>
        <v/>
      </c>
      <c r="AG330">
        <f>IFERROR(MATCH(ROW()-1,Calc!$J$2:$J$1601,0),"")</f>
        <v/>
      </c>
      <c r="AH330">
        <f>IFERROR(MATCH(ROW()-1,Calc!$K$2:$K$1601,0),"")</f>
        <v/>
      </c>
      <c r="AI330">
        <f>IF($AG330="","",SUMIF($AG$2:$AG330,$AG330,$AH$2:$AH330))</f>
        <v/>
      </c>
      <c r="AJ330">
        <f>IF('TMP Paste'!$F330="","",IF('TMP Paste'!$B330="",$AJ329,'TMP Paste'!$B330))</f>
        <v/>
      </c>
      <c r="AK330">
        <f>IF('TMP Paste'!$F330="","",N('TMP Paste'!$G330))</f>
        <v/>
      </c>
      <c r="AL330">
        <f>IF('TMP Paste'!$F330="","",IF('TMP Paste'!$M330="",$AL329,'TMP Paste'!$M330))</f>
        <v/>
      </c>
      <c r="AM330">
        <f>IF('TMP Paste'!$F330="","",IF('TMP Paste'!$N330="",$AM329,'TMP Paste'!$N330))</f>
        <v/>
      </c>
      <c r="AN330">
        <f>IF('TMP Paste'!$F330="","",IF('TMP Paste'!$O330="",$AN329,'TMP Paste'!$O330))</f>
        <v/>
      </c>
      <c r="AO330">
        <f>IF('TMP Paste'!$F330="","",IF('TMP Paste'!$P330="",$AO329,'TMP Paste'!$P330))</f>
        <v/>
      </c>
      <c r="AP330">
        <f>IF($AG330="","",LEN($R330))</f>
        <v/>
      </c>
      <c r="AQ330">
        <f>IF($AG330="","",TRIM(IF(COUNTIFS(Calc!$B$2:$B$1601,ROW()-1,Calc!$C$2:$C$1601,"&lt;1")&gt;0,"Ada PO tanpa Koli - cek TMP. ","")&amp;IF(LEN($R330)&gt;500,"R &gt; 500 karakter.","")))</f>
        <v/>
      </c>
    </row>
    <row r="331">
      <c r="A331">
        <f>IF($AG331="","",INDEX('TMP Paste'!$B$2:$B$1601,$AG331))</f>
        <v/>
      </c>
      <c r="B331">
        <f>IF($AG331="","",Config!$B$14)</f>
        <v/>
      </c>
      <c r="C331">
        <f>IF($AG331="","",Config!$B$15)</f>
        <v/>
      </c>
      <c r="D331">
        <f>IF($AG331="","",INDEX('TMP Paste'!$B$2:$B$1601,$AG331))</f>
        <v/>
      </c>
      <c r="E331">
        <f>IF($AG331="","",Config!$B$27)</f>
        <v/>
      </c>
      <c r="F331">
        <f>IF($AG331="","",Config!$B$9)</f>
        <v/>
      </c>
      <c r="G331">
        <f>IF($AG331="","",Config!$B$10)</f>
        <v/>
      </c>
      <c r="H331">
        <f>IF($AG331="","",Config!$B$11)</f>
        <v/>
      </c>
      <c r="I331">
        <f>IF($AG331="","",Config!$B$16)</f>
        <v/>
      </c>
      <c r="J331">
        <f>IF($AG331="","",INDEX('TMP Paste'!$A$2:$A$1601,$AG331))</f>
        <v/>
      </c>
      <c r="K331">
        <f>IF($AG331="","",INDEX('TMP Paste'!$L$2:$L$1601,$AG331))</f>
        <v/>
      </c>
      <c r="L331">
        <f>IF($AG331="","",INDEX('TMP Paste'!$I$2:$I$1601,$AG331))</f>
        <v/>
      </c>
      <c r="M331">
        <f>IF($AG331="","",Config!$B$16)</f>
        <v/>
      </c>
      <c r="N331">
        <f>IF($AG331="","","")</f>
        <v/>
      </c>
      <c r="O331">
        <f>IF($AG331="","",INDEX('TMP Paste'!$K$2:$K$1601,$AG331))</f>
        <v/>
      </c>
      <c r="P331">
        <f>IF($AG331="","","")</f>
        <v/>
      </c>
      <c r="Q331">
        <f>IF($AG331="","",INDEX('TMP Paste'!$J$2:$J$1601,$AG331))</f>
        <v/>
      </c>
      <c r="R331">
        <f>IF($AG331="","",Config!$B$24)</f>
        <v/>
      </c>
      <c r="S331">
        <f>IF($AG331="","",TEXT(Config!$B$4,"yyyy-mm-dd"))</f>
        <v/>
      </c>
      <c r="T331">
        <f>IF($AG331="","",Config!$B$17)</f>
        <v/>
      </c>
      <c r="U331">
        <f>IF($AG331="","",Config!$B$18)</f>
        <v/>
      </c>
      <c r="V331">
        <f>IF($AG331="","",Config!$B$19)</f>
        <v/>
      </c>
      <c r="W331">
        <f>IF($AG331="","",INDEX('TMP Paste'!$C$2:$C$1601,$AG331))</f>
        <v/>
      </c>
      <c r="X331">
        <f>IF($AG331="","",Config!$B$29)</f>
        <v/>
      </c>
      <c r="Y331">
        <f>IF($AH331="","",INDEX(Calc!$I$2:$I$1601,$AH331)&amp;" - "&amp;INDEX(Calc!$D$2:$D$1601,$AH331)&amp;" koli")</f>
        <v/>
      </c>
      <c r="Z331">
        <f>IF($AG331="","",Config!$B$21)</f>
        <v/>
      </c>
      <c r="AA331">
        <f>IF($AG331="","",Config!$B$22)</f>
        <v/>
      </c>
      <c r="AB331">
        <f>IF($AH331="","",INDEX(Calc!$D$2:$D$1601,$AH331))</f>
        <v/>
      </c>
      <c r="AC331">
        <f>IF($AH331="","",INDEX(Calc!$G$2:$G$1601,$AH331))</f>
        <v/>
      </c>
      <c r="AD331">
        <f>IF($AG331="","",Config!$B$23)</f>
        <v/>
      </c>
      <c r="AE331">
        <f>IF($AG331="","",Config!$B$28)</f>
        <v/>
      </c>
      <c r="AG331">
        <f>IFERROR(MATCH(ROW()-1,Calc!$J$2:$J$1601,0),"")</f>
        <v/>
      </c>
      <c r="AH331">
        <f>IFERROR(MATCH(ROW()-1,Calc!$K$2:$K$1601,0),"")</f>
        <v/>
      </c>
      <c r="AI331">
        <f>IF($AG331="","",SUMIF($AG$2:$AG331,$AG331,$AH$2:$AH331))</f>
        <v/>
      </c>
      <c r="AJ331">
        <f>IF('TMP Paste'!$F331="","",IF('TMP Paste'!$B331="",$AJ330,'TMP Paste'!$B331))</f>
        <v/>
      </c>
      <c r="AK331">
        <f>IF('TMP Paste'!$F331="","",N('TMP Paste'!$G331))</f>
        <v/>
      </c>
      <c r="AL331">
        <f>IF('TMP Paste'!$F331="","",IF('TMP Paste'!$M331="",$AL330,'TMP Paste'!$M331))</f>
        <v/>
      </c>
      <c r="AM331">
        <f>IF('TMP Paste'!$F331="","",IF('TMP Paste'!$N331="",$AM330,'TMP Paste'!$N331))</f>
        <v/>
      </c>
      <c r="AN331">
        <f>IF('TMP Paste'!$F331="","",IF('TMP Paste'!$O331="",$AN330,'TMP Paste'!$O331))</f>
        <v/>
      </c>
      <c r="AO331">
        <f>IF('TMP Paste'!$F331="","",IF('TMP Paste'!$P331="",$AO330,'TMP Paste'!$P331))</f>
        <v/>
      </c>
      <c r="AP331">
        <f>IF($AG331="","",LEN($R331))</f>
        <v/>
      </c>
      <c r="AQ331">
        <f>IF($AG331="","",TRIM(IF(COUNTIFS(Calc!$B$2:$B$1601,ROW()-1,Calc!$C$2:$C$1601,"&lt;1")&gt;0,"Ada PO tanpa Koli - cek TMP. ","")&amp;IF(LEN($R331)&gt;500,"R &gt; 500 karakter.","")))</f>
        <v/>
      </c>
    </row>
    <row r="332">
      <c r="A332">
        <f>IF($AG332="","",INDEX('TMP Paste'!$B$2:$B$1601,$AG332))</f>
        <v/>
      </c>
      <c r="B332">
        <f>IF($AG332="","",Config!$B$14)</f>
        <v/>
      </c>
      <c r="C332">
        <f>IF($AG332="","",Config!$B$15)</f>
        <v/>
      </c>
      <c r="D332">
        <f>IF($AG332="","",INDEX('TMP Paste'!$B$2:$B$1601,$AG332))</f>
        <v/>
      </c>
      <c r="E332">
        <f>IF($AG332="","",Config!$B$27)</f>
        <v/>
      </c>
      <c r="F332">
        <f>IF($AG332="","",Config!$B$9)</f>
        <v/>
      </c>
      <c r="G332">
        <f>IF($AG332="","",Config!$B$10)</f>
        <v/>
      </c>
      <c r="H332">
        <f>IF($AG332="","",Config!$B$11)</f>
        <v/>
      </c>
      <c r="I332">
        <f>IF($AG332="","",Config!$B$16)</f>
        <v/>
      </c>
      <c r="J332">
        <f>IF($AG332="","",INDEX('TMP Paste'!$A$2:$A$1601,$AG332))</f>
        <v/>
      </c>
      <c r="K332">
        <f>IF($AG332="","",INDEX('TMP Paste'!$L$2:$L$1601,$AG332))</f>
        <v/>
      </c>
      <c r="L332">
        <f>IF($AG332="","",INDEX('TMP Paste'!$I$2:$I$1601,$AG332))</f>
        <v/>
      </c>
      <c r="M332">
        <f>IF($AG332="","",Config!$B$16)</f>
        <v/>
      </c>
      <c r="N332">
        <f>IF($AG332="","","")</f>
        <v/>
      </c>
      <c r="O332">
        <f>IF($AG332="","",INDEX('TMP Paste'!$K$2:$K$1601,$AG332))</f>
        <v/>
      </c>
      <c r="P332">
        <f>IF($AG332="","","")</f>
        <v/>
      </c>
      <c r="Q332">
        <f>IF($AG332="","",INDEX('TMP Paste'!$J$2:$J$1601,$AG332))</f>
        <v/>
      </c>
      <c r="R332">
        <f>IF($AG332="","",Config!$B$24)</f>
        <v/>
      </c>
      <c r="S332">
        <f>IF($AG332="","",TEXT(Config!$B$4,"yyyy-mm-dd"))</f>
        <v/>
      </c>
      <c r="T332">
        <f>IF($AG332="","",Config!$B$17)</f>
        <v/>
      </c>
      <c r="U332">
        <f>IF($AG332="","",Config!$B$18)</f>
        <v/>
      </c>
      <c r="V332">
        <f>IF($AG332="","",Config!$B$19)</f>
        <v/>
      </c>
      <c r="W332">
        <f>IF($AG332="","",INDEX('TMP Paste'!$C$2:$C$1601,$AG332))</f>
        <v/>
      </c>
      <c r="X332">
        <f>IF($AG332="","",Config!$B$29)</f>
        <v/>
      </c>
      <c r="Y332">
        <f>IF($AH332="","",INDEX(Calc!$I$2:$I$1601,$AH332)&amp;" - "&amp;INDEX(Calc!$D$2:$D$1601,$AH332)&amp;" koli")</f>
        <v/>
      </c>
      <c r="Z332">
        <f>IF($AG332="","",Config!$B$21)</f>
        <v/>
      </c>
      <c r="AA332">
        <f>IF($AG332="","",Config!$B$22)</f>
        <v/>
      </c>
      <c r="AB332">
        <f>IF($AH332="","",INDEX(Calc!$D$2:$D$1601,$AH332))</f>
        <v/>
      </c>
      <c r="AC332">
        <f>IF($AH332="","",INDEX(Calc!$G$2:$G$1601,$AH332))</f>
        <v/>
      </c>
      <c r="AD332">
        <f>IF($AG332="","",Config!$B$23)</f>
        <v/>
      </c>
      <c r="AE332">
        <f>IF($AG332="","",Config!$B$28)</f>
        <v/>
      </c>
      <c r="AG332">
        <f>IFERROR(MATCH(ROW()-1,Calc!$J$2:$J$1601,0),"")</f>
        <v/>
      </c>
      <c r="AH332">
        <f>IFERROR(MATCH(ROW()-1,Calc!$K$2:$K$1601,0),"")</f>
        <v/>
      </c>
      <c r="AI332">
        <f>IF($AG332="","",SUMIF($AG$2:$AG332,$AG332,$AH$2:$AH332))</f>
        <v/>
      </c>
      <c r="AJ332">
        <f>IF('TMP Paste'!$F332="","",IF('TMP Paste'!$B332="",$AJ331,'TMP Paste'!$B332))</f>
        <v/>
      </c>
      <c r="AK332">
        <f>IF('TMP Paste'!$F332="","",N('TMP Paste'!$G332))</f>
        <v/>
      </c>
      <c r="AL332">
        <f>IF('TMP Paste'!$F332="","",IF('TMP Paste'!$M332="",$AL331,'TMP Paste'!$M332))</f>
        <v/>
      </c>
      <c r="AM332">
        <f>IF('TMP Paste'!$F332="","",IF('TMP Paste'!$N332="",$AM331,'TMP Paste'!$N332))</f>
        <v/>
      </c>
      <c r="AN332">
        <f>IF('TMP Paste'!$F332="","",IF('TMP Paste'!$O332="",$AN331,'TMP Paste'!$O332))</f>
        <v/>
      </c>
      <c r="AO332">
        <f>IF('TMP Paste'!$F332="","",IF('TMP Paste'!$P332="",$AO331,'TMP Paste'!$P332))</f>
        <v/>
      </c>
      <c r="AP332">
        <f>IF($AG332="","",LEN($R332))</f>
        <v/>
      </c>
      <c r="AQ332">
        <f>IF($AG332="","",TRIM(IF(COUNTIFS(Calc!$B$2:$B$1601,ROW()-1,Calc!$C$2:$C$1601,"&lt;1")&gt;0,"Ada PO tanpa Koli - cek TMP. ","")&amp;IF(LEN($R332)&gt;500,"R &gt; 500 karakter.","")))</f>
        <v/>
      </c>
    </row>
    <row r="333">
      <c r="A333">
        <f>IF($AG333="","",INDEX('TMP Paste'!$B$2:$B$1601,$AG333))</f>
        <v/>
      </c>
      <c r="B333">
        <f>IF($AG333="","",Config!$B$14)</f>
        <v/>
      </c>
      <c r="C333">
        <f>IF($AG333="","",Config!$B$15)</f>
        <v/>
      </c>
      <c r="D333">
        <f>IF($AG333="","",INDEX('TMP Paste'!$B$2:$B$1601,$AG333))</f>
        <v/>
      </c>
      <c r="E333">
        <f>IF($AG333="","",Config!$B$27)</f>
        <v/>
      </c>
      <c r="F333">
        <f>IF($AG333="","",Config!$B$9)</f>
        <v/>
      </c>
      <c r="G333">
        <f>IF($AG333="","",Config!$B$10)</f>
        <v/>
      </c>
      <c r="H333">
        <f>IF($AG333="","",Config!$B$11)</f>
        <v/>
      </c>
      <c r="I333">
        <f>IF($AG333="","",Config!$B$16)</f>
        <v/>
      </c>
      <c r="J333">
        <f>IF($AG333="","",INDEX('TMP Paste'!$A$2:$A$1601,$AG333))</f>
        <v/>
      </c>
      <c r="K333">
        <f>IF($AG333="","",INDEX('TMP Paste'!$L$2:$L$1601,$AG333))</f>
        <v/>
      </c>
      <c r="L333">
        <f>IF($AG333="","",INDEX('TMP Paste'!$I$2:$I$1601,$AG333))</f>
        <v/>
      </c>
      <c r="M333">
        <f>IF($AG333="","",Config!$B$16)</f>
        <v/>
      </c>
      <c r="N333">
        <f>IF($AG333="","","")</f>
        <v/>
      </c>
      <c r="O333">
        <f>IF($AG333="","",INDEX('TMP Paste'!$K$2:$K$1601,$AG333))</f>
        <v/>
      </c>
      <c r="P333">
        <f>IF($AG333="","","")</f>
        <v/>
      </c>
      <c r="Q333">
        <f>IF($AG333="","",INDEX('TMP Paste'!$J$2:$J$1601,$AG333))</f>
        <v/>
      </c>
      <c r="R333">
        <f>IF($AG333="","",Config!$B$24)</f>
        <v/>
      </c>
      <c r="S333">
        <f>IF($AG333="","",TEXT(Config!$B$4,"yyyy-mm-dd"))</f>
        <v/>
      </c>
      <c r="T333">
        <f>IF($AG333="","",Config!$B$17)</f>
        <v/>
      </c>
      <c r="U333">
        <f>IF($AG333="","",Config!$B$18)</f>
        <v/>
      </c>
      <c r="V333">
        <f>IF($AG333="","",Config!$B$19)</f>
        <v/>
      </c>
      <c r="W333">
        <f>IF($AG333="","",INDEX('TMP Paste'!$C$2:$C$1601,$AG333))</f>
        <v/>
      </c>
      <c r="X333">
        <f>IF($AG333="","",Config!$B$29)</f>
        <v/>
      </c>
      <c r="Y333">
        <f>IF($AH333="","",INDEX(Calc!$I$2:$I$1601,$AH333)&amp;" - "&amp;INDEX(Calc!$D$2:$D$1601,$AH333)&amp;" koli")</f>
        <v/>
      </c>
      <c r="Z333">
        <f>IF($AG333="","",Config!$B$21)</f>
        <v/>
      </c>
      <c r="AA333">
        <f>IF($AG333="","",Config!$B$22)</f>
        <v/>
      </c>
      <c r="AB333">
        <f>IF($AH333="","",INDEX(Calc!$D$2:$D$1601,$AH333))</f>
        <v/>
      </c>
      <c r="AC333">
        <f>IF($AH333="","",INDEX(Calc!$G$2:$G$1601,$AH333))</f>
        <v/>
      </c>
      <c r="AD333">
        <f>IF($AG333="","",Config!$B$23)</f>
        <v/>
      </c>
      <c r="AE333">
        <f>IF($AG333="","",Config!$B$28)</f>
        <v/>
      </c>
      <c r="AG333">
        <f>IFERROR(MATCH(ROW()-1,Calc!$J$2:$J$1601,0),"")</f>
        <v/>
      </c>
      <c r="AH333">
        <f>IFERROR(MATCH(ROW()-1,Calc!$K$2:$K$1601,0),"")</f>
        <v/>
      </c>
      <c r="AI333">
        <f>IF($AG333="","",SUMIF($AG$2:$AG333,$AG333,$AH$2:$AH333))</f>
        <v/>
      </c>
      <c r="AJ333">
        <f>IF('TMP Paste'!$F333="","",IF('TMP Paste'!$B333="",$AJ332,'TMP Paste'!$B333))</f>
        <v/>
      </c>
      <c r="AK333">
        <f>IF('TMP Paste'!$F333="","",N('TMP Paste'!$G333))</f>
        <v/>
      </c>
      <c r="AL333">
        <f>IF('TMP Paste'!$F333="","",IF('TMP Paste'!$M333="",$AL332,'TMP Paste'!$M333))</f>
        <v/>
      </c>
      <c r="AM333">
        <f>IF('TMP Paste'!$F333="","",IF('TMP Paste'!$N333="",$AM332,'TMP Paste'!$N333))</f>
        <v/>
      </c>
      <c r="AN333">
        <f>IF('TMP Paste'!$F333="","",IF('TMP Paste'!$O333="",$AN332,'TMP Paste'!$O333))</f>
        <v/>
      </c>
      <c r="AO333">
        <f>IF('TMP Paste'!$F333="","",IF('TMP Paste'!$P333="",$AO332,'TMP Paste'!$P333))</f>
        <v/>
      </c>
      <c r="AP333">
        <f>IF($AG333="","",LEN($R333))</f>
        <v/>
      </c>
      <c r="AQ333">
        <f>IF($AG333="","",TRIM(IF(COUNTIFS(Calc!$B$2:$B$1601,ROW()-1,Calc!$C$2:$C$1601,"&lt;1")&gt;0,"Ada PO tanpa Koli - cek TMP. ","")&amp;IF(LEN($R333)&gt;500,"R &gt; 500 karakter.","")))</f>
        <v/>
      </c>
    </row>
    <row r="334">
      <c r="A334">
        <f>IF($AG334="","",INDEX('TMP Paste'!$B$2:$B$1601,$AG334))</f>
        <v/>
      </c>
      <c r="B334">
        <f>IF($AG334="","",Config!$B$14)</f>
        <v/>
      </c>
      <c r="C334">
        <f>IF($AG334="","",Config!$B$15)</f>
        <v/>
      </c>
      <c r="D334">
        <f>IF($AG334="","",INDEX('TMP Paste'!$B$2:$B$1601,$AG334))</f>
        <v/>
      </c>
      <c r="E334">
        <f>IF($AG334="","",Config!$B$27)</f>
        <v/>
      </c>
      <c r="F334">
        <f>IF($AG334="","",Config!$B$9)</f>
        <v/>
      </c>
      <c r="G334">
        <f>IF($AG334="","",Config!$B$10)</f>
        <v/>
      </c>
      <c r="H334">
        <f>IF($AG334="","",Config!$B$11)</f>
        <v/>
      </c>
      <c r="I334">
        <f>IF($AG334="","",Config!$B$16)</f>
        <v/>
      </c>
      <c r="J334">
        <f>IF($AG334="","",INDEX('TMP Paste'!$A$2:$A$1601,$AG334))</f>
        <v/>
      </c>
      <c r="K334">
        <f>IF($AG334="","",INDEX('TMP Paste'!$L$2:$L$1601,$AG334))</f>
        <v/>
      </c>
      <c r="L334">
        <f>IF($AG334="","",INDEX('TMP Paste'!$I$2:$I$1601,$AG334))</f>
        <v/>
      </c>
      <c r="M334">
        <f>IF($AG334="","",Config!$B$16)</f>
        <v/>
      </c>
      <c r="N334">
        <f>IF($AG334="","","")</f>
        <v/>
      </c>
      <c r="O334">
        <f>IF($AG334="","",INDEX('TMP Paste'!$K$2:$K$1601,$AG334))</f>
        <v/>
      </c>
      <c r="P334">
        <f>IF($AG334="","","")</f>
        <v/>
      </c>
      <c r="Q334">
        <f>IF($AG334="","",INDEX('TMP Paste'!$J$2:$J$1601,$AG334))</f>
        <v/>
      </c>
      <c r="R334">
        <f>IF($AG334="","",Config!$B$24)</f>
        <v/>
      </c>
      <c r="S334">
        <f>IF($AG334="","",TEXT(Config!$B$4,"yyyy-mm-dd"))</f>
        <v/>
      </c>
      <c r="T334">
        <f>IF($AG334="","",Config!$B$17)</f>
        <v/>
      </c>
      <c r="U334">
        <f>IF($AG334="","",Config!$B$18)</f>
        <v/>
      </c>
      <c r="V334">
        <f>IF($AG334="","",Config!$B$19)</f>
        <v/>
      </c>
      <c r="W334">
        <f>IF($AG334="","",INDEX('TMP Paste'!$C$2:$C$1601,$AG334))</f>
        <v/>
      </c>
      <c r="X334">
        <f>IF($AG334="","",Config!$B$29)</f>
        <v/>
      </c>
      <c r="Y334">
        <f>IF($AH334="","",INDEX(Calc!$I$2:$I$1601,$AH334)&amp;" - "&amp;INDEX(Calc!$D$2:$D$1601,$AH334)&amp;" koli")</f>
        <v/>
      </c>
      <c r="Z334">
        <f>IF($AG334="","",Config!$B$21)</f>
        <v/>
      </c>
      <c r="AA334">
        <f>IF($AG334="","",Config!$B$22)</f>
        <v/>
      </c>
      <c r="AB334">
        <f>IF($AH334="","",INDEX(Calc!$D$2:$D$1601,$AH334))</f>
        <v/>
      </c>
      <c r="AC334">
        <f>IF($AH334="","",INDEX(Calc!$G$2:$G$1601,$AH334))</f>
        <v/>
      </c>
      <c r="AD334">
        <f>IF($AG334="","",Config!$B$23)</f>
        <v/>
      </c>
      <c r="AE334">
        <f>IF($AG334="","",Config!$B$28)</f>
        <v/>
      </c>
      <c r="AG334">
        <f>IFERROR(MATCH(ROW()-1,Calc!$J$2:$J$1601,0),"")</f>
        <v/>
      </c>
      <c r="AH334">
        <f>IFERROR(MATCH(ROW()-1,Calc!$K$2:$K$1601,0),"")</f>
        <v/>
      </c>
      <c r="AI334">
        <f>IF($AG334="","",SUMIF($AG$2:$AG334,$AG334,$AH$2:$AH334))</f>
        <v/>
      </c>
      <c r="AJ334">
        <f>IF('TMP Paste'!$F334="","",IF('TMP Paste'!$B334="",$AJ333,'TMP Paste'!$B334))</f>
        <v/>
      </c>
      <c r="AK334">
        <f>IF('TMP Paste'!$F334="","",N('TMP Paste'!$G334))</f>
        <v/>
      </c>
      <c r="AL334">
        <f>IF('TMP Paste'!$F334="","",IF('TMP Paste'!$M334="",$AL333,'TMP Paste'!$M334))</f>
        <v/>
      </c>
      <c r="AM334">
        <f>IF('TMP Paste'!$F334="","",IF('TMP Paste'!$N334="",$AM333,'TMP Paste'!$N334))</f>
        <v/>
      </c>
      <c r="AN334">
        <f>IF('TMP Paste'!$F334="","",IF('TMP Paste'!$O334="",$AN333,'TMP Paste'!$O334))</f>
        <v/>
      </c>
      <c r="AO334">
        <f>IF('TMP Paste'!$F334="","",IF('TMP Paste'!$P334="",$AO333,'TMP Paste'!$P334))</f>
        <v/>
      </c>
      <c r="AP334">
        <f>IF($AG334="","",LEN($R334))</f>
        <v/>
      </c>
      <c r="AQ334">
        <f>IF($AG334="","",TRIM(IF(COUNTIFS(Calc!$B$2:$B$1601,ROW()-1,Calc!$C$2:$C$1601,"&lt;1")&gt;0,"Ada PO tanpa Koli - cek TMP. ","")&amp;IF(LEN($R334)&gt;500,"R &gt; 500 karakter.","")))</f>
        <v/>
      </c>
    </row>
    <row r="335">
      <c r="A335">
        <f>IF($AG335="","",INDEX('TMP Paste'!$B$2:$B$1601,$AG335))</f>
        <v/>
      </c>
      <c r="B335">
        <f>IF($AG335="","",Config!$B$14)</f>
        <v/>
      </c>
      <c r="C335">
        <f>IF($AG335="","",Config!$B$15)</f>
        <v/>
      </c>
      <c r="D335">
        <f>IF($AG335="","",INDEX('TMP Paste'!$B$2:$B$1601,$AG335))</f>
        <v/>
      </c>
      <c r="E335">
        <f>IF($AG335="","",Config!$B$27)</f>
        <v/>
      </c>
      <c r="F335">
        <f>IF($AG335="","",Config!$B$9)</f>
        <v/>
      </c>
      <c r="G335">
        <f>IF($AG335="","",Config!$B$10)</f>
        <v/>
      </c>
      <c r="H335">
        <f>IF($AG335="","",Config!$B$11)</f>
        <v/>
      </c>
      <c r="I335">
        <f>IF($AG335="","",Config!$B$16)</f>
        <v/>
      </c>
      <c r="J335">
        <f>IF($AG335="","",INDEX('TMP Paste'!$A$2:$A$1601,$AG335))</f>
        <v/>
      </c>
      <c r="K335">
        <f>IF($AG335="","",INDEX('TMP Paste'!$L$2:$L$1601,$AG335))</f>
        <v/>
      </c>
      <c r="L335">
        <f>IF($AG335="","",INDEX('TMP Paste'!$I$2:$I$1601,$AG335))</f>
        <v/>
      </c>
      <c r="M335">
        <f>IF($AG335="","",Config!$B$16)</f>
        <v/>
      </c>
      <c r="N335">
        <f>IF($AG335="","","")</f>
        <v/>
      </c>
      <c r="O335">
        <f>IF($AG335="","",INDEX('TMP Paste'!$K$2:$K$1601,$AG335))</f>
        <v/>
      </c>
      <c r="P335">
        <f>IF($AG335="","","")</f>
        <v/>
      </c>
      <c r="Q335">
        <f>IF($AG335="","",INDEX('TMP Paste'!$J$2:$J$1601,$AG335))</f>
        <v/>
      </c>
      <c r="R335">
        <f>IF($AG335="","",Config!$B$24)</f>
        <v/>
      </c>
      <c r="S335">
        <f>IF($AG335="","",TEXT(Config!$B$4,"yyyy-mm-dd"))</f>
        <v/>
      </c>
      <c r="T335">
        <f>IF($AG335="","",Config!$B$17)</f>
        <v/>
      </c>
      <c r="U335">
        <f>IF($AG335="","",Config!$B$18)</f>
        <v/>
      </c>
      <c r="V335">
        <f>IF($AG335="","",Config!$B$19)</f>
        <v/>
      </c>
      <c r="W335">
        <f>IF($AG335="","",INDEX('TMP Paste'!$C$2:$C$1601,$AG335))</f>
        <v/>
      </c>
      <c r="X335">
        <f>IF($AG335="","",Config!$B$29)</f>
        <v/>
      </c>
      <c r="Y335">
        <f>IF($AH335="","",INDEX(Calc!$I$2:$I$1601,$AH335)&amp;" - "&amp;INDEX(Calc!$D$2:$D$1601,$AH335)&amp;" koli")</f>
        <v/>
      </c>
      <c r="Z335">
        <f>IF($AG335="","",Config!$B$21)</f>
        <v/>
      </c>
      <c r="AA335">
        <f>IF($AG335="","",Config!$B$22)</f>
        <v/>
      </c>
      <c r="AB335">
        <f>IF($AH335="","",INDEX(Calc!$D$2:$D$1601,$AH335))</f>
        <v/>
      </c>
      <c r="AC335">
        <f>IF($AH335="","",INDEX(Calc!$G$2:$G$1601,$AH335))</f>
        <v/>
      </c>
      <c r="AD335">
        <f>IF($AG335="","",Config!$B$23)</f>
        <v/>
      </c>
      <c r="AE335">
        <f>IF($AG335="","",Config!$B$28)</f>
        <v/>
      </c>
      <c r="AG335">
        <f>IFERROR(MATCH(ROW()-1,Calc!$J$2:$J$1601,0),"")</f>
        <v/>
      </c>
      <c r="AH335">
        <f>IFERROR(MATCH(ROW()-1,Calc!$K$2:$K$1601,0),"")</f>
        <v/>
      </c>
      <c r="AI335">
        <f>IF($AG335="","",SUMIF($AG$2:$AG335,$AG335,$AH$2:$AH335))</f>
        <v/>
      </c>
      <c r="AJ335">
        <f>IF('TMP Paste'!$F335="","",IF('TMP Paste'!$B335="",$AJ334,'TMP Paste'!$B335))</f>
        <v/>
      </c>
      <c r="AK335">
        <f>IF('TMP Paste'!$F335="","",N('TMP Paste'!$G335))</f>
        <v/>
      </c>
      <c r="AL335">
        <f>IF('TMP Paste'!$F335="","",IF('TMP Paste'!$M335="",$AL334,'TMP Paste'!$M335))</f>
        <v/>
      </c>
      <c r="AM335">
        <f>IF('TMP Paste'!$F335="","",IF('TMP Paste'!$N335="",$AM334,'TMP Paste'!$N335))</f>
        <v/>
      </c>
      <c r="AN335">
        <f>IF('TMP Paste'!$F335="","",IF('TMP Paste'!$O335="",$AN334,'TMP Paste'!$O335))</f>
        <v/>
      </c>
      <c r="AO335">
        <f>IF('TMP Paste'!$F335="","",IF('TMP Paste'!$P335="",$AO334,'TMP Paste'!$P335))</f>
        <v/>
      </c>
      <c r="AP335">
        <f>IF($AG335="","",LEN($R335))</f>
        <v/>
      </c>
      <c r="AQ335">
        <f>IF($AG335="","",TRIM(IF(COUNTIFS(Calc!$B$2:$B$1601,ROW()-1,Calc!$C$2:$C$1601,"&lt;1")&gt;0,"Ada PO tanpa Koli - cek TMP. ","")&amp;IF(LEN($R335)&gt;500,"R &gt; 500 karakter.","")))</f>
        <v/>
      </c>
    </row>
    <row r="336">
      <c r="A336">
        <f>IF($AG336="","",INDEX('TMP Paste'!$B$2:$B$1601,$AG336))</f>
        <v/>
      </c>
      <c r="B336">
        <f>IF($AG336="","",Config!$B$14)</f>
        <v/>
      </c>
      <c r="C336">
        <f>IF($AG336="","",Config!$B$15)</f>
        <v/>
      </c>
      <c r="D336">
        <f>IF($AG336="","",INDEX('TMP Paste'!$B$2:$B$1601,$AG336))</f>
        <v/>
      </c>
      <c r="E336">
        <f>IF($AG336="","",Config!$B$27)</f>
        <v/>
      </c>
      <c r="F336">
        <f>IF($AG336="","",Config!$B$9)</f>
        <v/>
      </c>
      <c r="G336">
        <f>IF($AG336="","",Config!$B$10)</f>
        <v/>
      </c>
      <c r="H336">
        <f>IF($AG336="","",Config!$B$11)</f>
        <v/>
      </c>
      <c r="I336">
        <f>IF($AG336="","",Config!$B$16)</f>
        <v/>
      </c>
      <c r="J336">
        <f>IF($AG336="","",INDEX('TMP Paste'!$A$2:$A$1601,$AG336))</f>
        <v/>
      </c>
      <c r="K336">
        <f>IF($AG336="","",INDEX('TMP Paste'!$L$2:$L$1601,$AG336))</f>
        <v/>
      </c>
      <c r="L336">
        <f>IF($AG336="","",INDEX('TMP Paste'!$I$2:$I$1601,$AG336))</f>
        <v/>
      </c>
      <c r="M336">
        <f>IF($AG336="","",Config!$B$16)</f>
        <v/>
      </c>
      <c r="N336">
        <f>IF($AG336="","","")</f>
        <v/>
      </c>
      <c r="O336">
        <f>IF($AG336="","",INDEX('TMP Paste'!$K$2:$K$1601,$AG336))</f>
        <v/>
      </c>
      <c r="P336">
        <f>IF($AG336="","","")</f>
        <v/>
      </c>
      <c r="Q336">
        <f>IF($AG336="","",INDEX('TMP Paste'!$J$2:$J$1601,$AG336))</f>
        <v/>
      </c>
      <c r="R336">
        <f>IF($AG336="","",Config!$B$24)</f>
        <v/>
      </c>
      <c r="S336">
        <f>IF($AG336="","",TEXT(Config!$B$4,"yyyy-mm-dd"))</f>
        <v/>
      </c>
      <c r="T336">
        <f>IF($AG336="","",Config!$B$17)</f>
        <v/>
      </c>
      <c r="U336">
        <f>IF($AG336="","",Config!$B$18)</f>
        <v/>
      </c>
      <c r="V336">
        <f>IF($AG336="","",Config!$B$19)</f>
        <v/>
      </c>
      <c r="W336">
        <f>IF($AG336="","",INDEX('TMP Paste'!$C$2:$C$1601,$AG336))</f>
        <v/>
      </c>
      <c r="X336">
        <f>IF($AG336="","",Config!$B$29)</f>
        <v/>
      </c>
      <c r="Y336">
        <f>IF($AH336="","",INDEX(Calc!$I$2:$I$1601,$AH336)&amp;" - "&amp;INDEX(Calc!$D$2:$D$1601,$AH336)&amp;" koli")</f>
        <v/>
      </c>
      <c r="Z336">
        <f>IF($AG336="","",Config!$B$21)</f>
        <v/>
      </c>
      <c r="AA336">
        <f>IF($AG336="","",Config!$B$22)</f>
        <v/>
      </c>
      <c r="AB336">
        <f>IF($AH336="","",INDEX(Calc!$D$2:$D$1601,$AH336))</f>
        <v/>
      </c>
      <c r="AC336">
        <f>IF($AH336="","",INDEX(Calc!$G$2:$G$1601,$AH336))</f>
        <v/>
      </c>
      <c r="AD336">
        <f>IF($AG336="","",Config!$B$23)</f>
        <v/>
      </c>
      <c r="AE336">
        <f>IF($AG336="","",Config!$B$28)</f>
        <v/>
      </c>
      <c r="AG336">
        <f>IFERROR(MATCH(ROW()-1,Calc!$J$2:$J$1601,0),"")</f>
        <v/>
      </c>
      <c r="AH336">
        <f>IFERROR(MATCH(ROW()-1,Calc!$K$2:$K$1601,0),"")</f>
        <v/>
      </c>
      <c r="AI336">
        <f>IF($AG336="","",SUMIF($AG$2:$AG336,$AG336,$AH$2:$AH336))</f>
        <v/>
      </c>
      <c r="AJ336">
        <f>IF('TMP Paste'!$F336="","",IF('TMP Paste'!$B336="",$AJ335,'TMP Paste'!$B336))</f>
        <v/>
      </c>
      <c r="AK336">
        <f>IF('TMP Paste'!$F336="","",N('TMP Paste'!$G336))</f>
        <v/>
      </c>
      <c r="AL336">
        <f>IF('TMP Paste'!$F336="","",IF('TMP Paste'!$M336="",$AL335,'TMP Paste'!$M336))</f>
        <v/>
      </c>
      <c r="AM336">
        <f>IF('TMP Paste'!$F336="","",IF('TMP Paste'!$N336="",$AM335,'TMP Paste'!$N336))</f>
        <v/>
      </c>
      <c r="AN336">
        <f>IF('TMP Paste'!$F336="","",IF('TMP Paste'!$O336="",$AN335,'TMP Paste'!$O336))</f>
        <v/>
      </c>
      <c r="AO336">
        <f>IF('TMP Paste'!$F336="","",IF('TMP Paste'!$P336="",$AO335,'TMP Paste'!$P336))</f>
        <v/>
      </c>
      <c r="AP336">
        <f>IF($AG336="","",LEN($R336))</f>
        <v/>
      </c>
      <c r="AQ336">
        <f>IF($AG336="","",TRIM(IF(COUNTIFS(Calc!$B$2:$B$1601,ROW()-1,Calc!$C$2:$C$1601,"&lt;1")&gt;0,"Ada PO tanpa Koli - cek TMP. ","")&amp;IF(LEN($R336)&gt;500,"R &gt; 500 karakter.","")))</f>
        <v/>
      </c>
    </row>
    <row r="337">
      <c r="A337">
        <f>IF($AG337="","",INDEX('TMP Paste'!$B$2:$B$1601,$AG337))</f>
        <v/>
      </c>
      <c r="B337">
        <f>IF($AG337="","",Config!$B$14)</f>
        <v/>
      </c>
      <c r="C337">
        <f>IF($AG337="","",Config!$B$15)</f>
        <v/>
      </c>
      <c r="D337">
        <f>IF($AG337="","",INDEX('TMP Paste'!$B$2:$B$1601,$AG337))</f>
        <v/>
      </c>
      <c r="E337">
        <f>IF($AG337="","",Config!$B$27)</f>
        <v/>
      </c>
      <c r="F337">
        <f>IF($AG337="","",Config!$B$9)</f>
        <v/>
      </c>
      <c r="G337">
        <f>IF($AG337="","",Config!$B$10)</f>
        <v/>
      </c>
      <c r="H337">
        <f>IF($AG337="","",Config!$B$11)</f>
        <v/>
      </c>
      <c r="I337">
        <f>IF($AG337="","",Config!$B$16)</f>
        <v/>
      </c>
      <c r="J337">
        <f>IF($AG337="","",INDEX('TMP Paste'!$A$2:$A$1601,$AG337))</f>
        <v/>
      </c>
      <c r="K337">
        <f>IF($AG337="","",INDEX('TMP Paste'!$L$2:$L$1601,$AG337))</f>
        <v/>
      </c>
      <c r="L337">
        <f>IF($AG337="","",INDEX('TMP Paste'!$I$2:$I$1601,$AG337))</f>
        <v/>
      </c>
      <c r="M337">
        <f>IF($AG337="","",Config!$B$16)</f>
        <v/>
      </c>
      <c r="N337">
        <f>IF($AG337="","","")</f>
        <v/>
      </c>
      <c r="O337">
        <f>IF($AG337="","",INDEX('TMP Paste'!$K$2:$K$1601,$AG337))</f>
        <v/>
      </c>
      <c r="P337">
        <f>IF($AG337="","","")</f>
        <v/>
      </c>
      <c r="Q337">
        <f>IF($AG337="","",INDEX('TMP Paste'!$J$2:$J$1601,$AG337))</f>
        <v/>
      </c>
      <c r="R337">
        <f>IF($AG337="","",Config!$B$24)</f>
        <v/>
      </c>
      <c r="S337">
        <f>IF($AG337="","",TEXT(Config!$B$4,"yyyy-mm-dd"))</f>
        <v/>
      </c>
      <c r="T337">
        <f>IF($AG337="","",Config!$B$17)</f>
        <v/>
      </c>
      <c r="U337">
        <f>IF($AG337="","",Config!$B$18)</f>
        <v/>
      </c>
      <c r="V337">
        <f>IF($AG337="","",Config!$B$19)</f>
        <v/>
      </c>
      <c r="W337">
        <f>IF($AG337="","",INDEX('TMP Paste'!$C$2:$C$1601,$AG337))</f>
        <v/>
      </c>
      <c r="X337">
        <f>IF($AG337="","",Config!$B$29)</f>
        <v/>
      </c>
      <c r="Y337">
        <f>IF($AH337="","",INDEX(Calc!$I$2:$I$1601,$AH337)&amp;" - "&amp;INDEX(Calc!$D$2:$D$1601,$AH337)&amp;" koli")</f>
        <v/>
      </c>
      <c r="Z337">
        <f>IF($AG337="","",Config!$B$21)</f>
        <v/>
      </c>
      <c r="AA337">
        <f>IF($AG337="","",Config!$B$22)</f>
        <v/>
      </c>
      <c r="AB337">
        <f>IF($AH337="","",INDEX(Calc!$D$2:$D$1601,$AH337))</f>
        <v/>
      </c>
      <c r="AC337">
        <f>IF($AH337="","",INDEX(Calc!$G$2:$G$1601,$AH337))</f>
        <v/>
      </c>
      <c r="AD337">
        <f>IF($AG337="","",Config!$B$23)</f>
        <v/>
      </c>
      <c r="AE337">
        <f>IF($AG337="","",Config!$B$28)</f>
        <v/>
      </c>
      <c r="AG337">
        <f>IFERROR(MATCH(ROW()-1,Calc!$J$2:$J$1601,0),"")</f>
        <v/>
      </c>
      <c r="AH337">
        <f>IFERROR(MATCH(ROW()-1,Calc!$K$2:$K$1601,0),"")</f>
        <v/>
      </c>
      <c r="AI337">
        <f>IF($AG337="","",SUMIF($AG$2:$AG337,$AG337,$AH$2:$AH337))</f>
        <v/>
      </c>
      <c r="AJ337">
        <f>IF('TMP Paste'!$F337="","",IF('TMP Paste'!$B337="",$AJ336,'TMP Paste'!$B337))</f>
        <v/>
      </c>
      <c r="AK337">
        <f>IF('TMP Paste'!$F337="","",N('TMP Paste'!$G337))</f>
        <v/>
      </c>
      <c r="AL337">
        <f>IF('TMP Paste'!$F337="","",IF('TMP Paste'!$M337="",$AL336,'TMP Paste'!$M337))</f>
        <v/>
      </c>
      <c r="AM337">
        <f>IF('TMP Paste'!$F337="","",IF('TMP Paste'!$N337="",$AM336,'TMP Paste'!$N337))</f>
        <v/>
      </c>
      <c r="AN337">
        <f>IF('TMP Paste'!$F337="","",IF('TMP Paste'!$O337="",$AN336,'TMP Paste'!$O337))</f>
        <v/>
      </c>
      <c r="AO337">
        <f>IF('TMP Paste'!$F337="","",IF('TMP Paste'!$P337="",$AO336,'TMP Paste'!$P337))</f>
        <v/>
      </c>
      <c r="AP337">
        <f>IF($AG337="","",LEN($R337))</f>
        <v/>
      </c>
      <c r="AQ337">
        <f>IF($AG337="","",TRIM(IF(COUNTIFS(Calc!$B$2:$B$1601,ROW()-1,Calc!$C$2:$C$1601,"&lt;1")&gt;0,"Ada PO tanpa Koli - cek TMP. ","")&amp;IF(LEN($R337)&gt;500,"R &gt; 500 karakter.","")))</f>
        <v/>
      </c>
    </row>
    <row r="338">
      <c r="A338">
        <f>IF($AG338="","",INDEX('TMP Paste'!$B$2:$B$1601,$AG338))</f>
        <v/>
      </c>
      <c r="B338">
        <f>IF($AG338="","",Config!$B$14)</f>
        <v/>
      </c>
      <c r="C338">
        <f>IF($AG338="","",Config!$B$15)</f>
        <v/>
      </c>
      <c r="D338">
        <f>IF($AG338="","",INDEX('TMP Paste'!$B$2:$B$1601,$AG338))</f>
        <v/>
      </c>
      <c r="E338">
        <f>IF($AG338="","",Config!$B$27)</f>
        <v/>
      </c>
      <c r="F338">
        <f>IF($AG338="","",Config!$B$9)</f>
        <v/>
      </c>
      <c r="G338">
        <f>IF($AG338="","",Config!$B$10)</f>
        <v/>
      </c>
      <c r="H338">
        <f>IF($AG338="","",Config!$B$11)</f>
        <v/>
      </c>
      <c r="I338">
        <f>IF($AG338="","",Config!$B$16)</f>
        <v/>
      </c>
      <c r="J338">
        <f>IF($AG338="","",INDEX('TMP Paste'!$A$2:$A$1601,$AG338))</f>
        <v/>
      </c>
      <c r="K338">
        <f>IF($AG338="","",INDEX('TMP Paste'!$L$2:$L$1601,$AG338))</f>
        <v/>
      </c>
      <c r="L338">
        <f>IF($AG338="","",INDEX('TMP Paste'!$I$2:$I$1601,$AG338))</f>
        <v/>
      </c>
      <c r="M338">
        <f>IF($AG338="","",Config!$B$16)</f>
        <v/>
      </c>
      <c r="N338">
        <f>IF($AG338="","","")</f>
        <v/>
      </c>
      <c r="O338">
        <f>IF($AG338="","",INDEX('TMP Paste'!$K$2:$K$1601,$AG338))</f>
        <v/>
      </c>
      <c r="P338">
        <f>IF($AG338="","","")</f>
        <v/>
      </c>
      <c r="Q338">
        <f>IF($AG338="","",INDEX('TMP Paste'!$J$2:$J$1601,$AG338))</f>
        <v/>
      </c>
      <c r="R338">
        <f>IF($AG338="","",Config!$B$24)</f>
        <v/>
      </c>
      <c r="S338">
        <f>IF($AG338="","",TEXT(Config!$B$4,"yyyy-mm-dd"))</f>
        <v/>
      </c>
      <c r="T338">
        <f>IF($AG338="","",Config!$B$17)</f>
        <v/>
      </c>
      <c r="U338">
        <f>IF($AG338="","",Config!$B$18)</f>
        <v/>
      </c>
      <c r="V338">
        <f>IF($AG338="","",Config!$B$19)</f>
        <v/>
      </c>
      <c r="W338">
        <f>IF($AG338="","",INDEX('TMP Paste'!$C$2:$C$1601,$AG338))</f>
        <v/>
      </c>
      <c r="X338">
        <f>IF($AG338="","",Config!$B$29)</f>
        <v/>
      </c>
      <c r="Y338">
        <f>IF($AH338="","",INDEX(Calc!$I$2:$I$1601,$AH338)&amp;" - "&amp;INDEX(Calc!$D$2:$D$1601,$AH338)&amp;" koli")</f>
        <v/>
      </c>
      <c r="Z338">
        <f>IF($AG338="","",Config!$B$21)</f>
        <v/>
      </c>
      <c r="AA338">
        <f>IF($AG338="","",Config!$B$22)</f>
        <v/>
      </c>
      <c r="AB338">
        <f>IF($AH338="","",INDEX(Calc!$D$2:$D$1601,$AH338))</f>
        <v/>
      </c>
      <c r="AC338">
        <f>IF($AH338="","",INDEX(Calc!$G$2:$G$1601,$AH338))</f>
        <v/>
      </c>
      <c r="AD338">
        <f>IF($AG338="","",Config!$B$23)</f>
        <v/>
      </c>
      <c r="AE338">
        <f>IF($AG338="","",Config!$B$28)</f>
        <v/>
      </c>
      <c r="AG338">
        <f>IFERROR(MATCH(ROW()-1,Calc!$J$2:$J$1601,0),"")</f>
        <v/>
      </c>
      <c r="AH338">
        <f>IFERROR(MATCH(ROW()-1,Calc!$K$2:$K$1601,0),"")</f>
        <v/>
      </c>
      <c r="AI338">
        <f>IF($AG338="","",SUMIF($AG$2:$AG338,$AG338,$AH$2:$AH338))</f>
        <v/>
      </c>
      <c r="AJ338">
        <f>IF('TMP Paste'!$F338="","",IF('TMP Paste'!$B338="",$AJ337,'TMP Paste'!$B338))</f>
        <v/>
      </c>
      <c r="AK338">
        <f>IF('TMP Paste'!$F338="","",N('TMP Paste'!$G338))</f>
        <v/>
      </c>
      <c r="AL338">
        <f>IF('TMP Paste'!$F338="","",IF('TMP Paste'!$M338="",$AL337,'TMP Paste'!$M338))</f>
        <v/>
      </c>
      <c r="AM338">
        <f>IF('TMP Paste'!$F338="","",IF('TMP Paste'!$N338="",$AM337,'TMP Paste'!$N338))</f>
        <v/>
      </c>
      <c r="AN338">
        <f>IF('TMP Paste'!$F338="","",IF('TMP Paste'!$O338="",$AN337,'TMP Paste'!$O338))</f>
        <v/>
      </c>
      <c r="AO338">
        <f>IF('TMP Paste'!$F338="","",IF('TMP Paste'!$P338="",$AO337,'TMP Paste'!$P338))</f>
        <v/>
      </c>
      <c r="AP338">
        <f>IF($AG338="","",LEN($R338))</f>
        <v/>
      </c>
      <c r="AQ338">
        <f>IF($AG338="","",TRIM(IF(COUNTIFS(Calc!$B$2:$B$1601,ROW()-1,Calc!$C$2:$C$1601,"&lt;1")&gt;0,"Ada PO tanpa Koli - cek TMP. ","")&amp;IF(LEN($R338)&gt;500,"R &gt; 500 karakter.","")))</f>
        <v/>
      </c>
    </row>
    <row r="339">
      <c r="A339">
        <f>IF($AG339="","",INDEX('TMP Paste'!$B$2:$B$1601,$AG339))</f>
        <v/>
      </c>
      <c r="B339">
        <f>IF($AG339="","",Config!$B$14)</f>
        <v/>
      </c>
      <c r="C339">
        <f>IF($AG339="","",Config!$B$15)</f>
        <v/>
      </c>
      <c r="D339">
        <f>IF($AG339="","",INDEX('TMP Paste'!$B$2:$B$1601,$AG339))</f>
        <v/>
      </c>
      <c r="E339">
        <f>IF($AG339="","",Config!$B$27)</f>
        <v/>
      </c>
      <c r="F339">
        <f>IF($AG339="","",Config!$B$9)</f>
        <v/>
      </c>
      <c r="G339">
        <f>IF($AG339="","",Config!$B$10)</f>
        <v/>
      </c>
      <c r="H339">
        <f>IF($AG339="","",Config!$B$11)</f>
        <v/>
      </c>
      <c r="I339">
        <f>IF($AG339="","",Config!$B$16)</f>
        <v/>
      </c>
      <c r="J339">
        <f>IF($AG339="","",INDEX('TMP Paste'!$A$2:$A$1601,$AG339))</f>
        <v/>
      </c>
      <c r="K339">
        <f>IF($AG339="","",INDEX('TMP Paste'!$L$2:$L$1601,$AG339))</f>
        <v/>
      </c>
      <c r="L339">
        <f>IF($AG339="","",INDEX('TMP Paste'!$I$2:$I$1601,$AG339))</f>
        <v/>
      </c>
      <c r="M339">
        <f>IF($AG339="","",Config!$B$16)</f>
        <v/>
      </c>
      <c r="N339">
        <f>IF($AG339="","","")</f>
        <v/>
      </c>
      <c r="O339">
        <f>IF($AG339="","",INDEX('TMP Paste'!$K$2:$K$1601,$AG339))</f>
        <v/>
      </c>
      <c r="P339">
        <f>IF($AG339="","","")</f>
        <v/>
      </c>
      <c r="Q339">
        <f>IF($AG339="","",INDEX('TMP Paste'!$J$2:$J$1601,$AG339))</f>
        <v/>
      </c>
      <c r="R339">
        <f>IF($AG339="","",Config!$B$24)</f>
        <v/>
      </c>
      <c r="S339">
        <f>IF($AG339="","",TEXT(Config!$B$4,"yyyy-mm-dd"))</f>
        <v/>
      </c>
      <c r="T339">
        <f>IF($AG339="","",Config!$B$17)</f>
        <v/>
      </c>
      <c r="U339">
        <f>IF($AG339="","",Config!$B$18)</f>
        <v/>
      </c>
      <c r="V339">
        <f>IF($AG339="","",Config!$B$19)</f>
        <v/>
      </c>
      <c r="W339">
        <f>IF($AG339="","",INDEX('TMP Paste'!$C$2:$C$1601,$AG339))</f>
        <v/>
      </c>
      <c r="X339">
        <f>IF($AG339="","",Config!$B$29)</f>
        <v/>
      </c>
      <c r="Y339">
        <f>IF($AH339="","",INDEX(Calc!$I$2:$I$1601,$AH339)&amp;" - "&amp;INDEX(Calc!$D$2:$D$1601,$AH339)&amp;" koli")</f>
        <v/>
      </c>
      <c r="Z339">
        <f>IF($AG339="","",Config!$B$21)</f>
        <v/>
      </c>
      <c r="AA339">
        <f>IF($AG339="","",Config!$B$22)</f>
        <v/>
      </c>
      <c r="AB339">
        <f>IF($AH339="","",INDEX(Calc!$D$2:$D$1601,$AH339))</f>
        <v/>
      </c>
      <c r="AC339">
        <f>IF($AH339="","",INDEX(Calc!$G$2:$G$1601,$AH339))</f>
        <v/>
      </c>
      <c r="AD339">
        <f>IF($AG339="","",Config!$B$23)</f>
        <v/>
      </c>
      <c r="AE339">
        <f>IF($AG339="","",Config!$B$28)</f>
        <v/>
      </c>
      <c r="AG339">
        <f>IFERROR(MATCH(ROW()-1,Calc!$J$2:$J$1601,0),"")</f>
        <v/>
      </c>
      <c r="AH339">
        <f>IFERROR(MATCH(ROW()-1,Calc!$K$2:$K$1601,0),"")</f>
        <v/>
      </c>
      <c r="AI339">
        <f>IF($AG339="","",SUMIF($AG$2:$AG339,$AG339,$AH$2:$AH339))</f>
        <v/>
      </c>
      <c r="AJ339">
        <f>IF('TMP Paste'!$F339="","",IF('TMP Paste'!$B339="",$AJ338,'TMP Paste'!$B339))</f>
        <v/>
      </c>
      <c r="AK339">
        <f>IF('TMP Paste'!$F339="","",N('TMP Paste'!$G339))</f>
        <v/>
      </c>
      <c r="AL339">
        <f>IF('TMP Paste'!$F339="","",IF('TMP Paste'!$M339="",$AL338,'TMP Paste'!$M339))</f>
        <v/>
      </c>
      <c r="AM339">
        <f>IF('TMP Paste'!$F339="","",IF('TMP Paste'!$N339="",$AM338,'TMP Paste'!$N339))</f>
        <v/>
      </c>
      <c r="AN339">
        <f>IF('TMP Paste'!$F339="","",IF('TMP Paste'!$O339="",$AN338,'TMP Paste'!$O339))</f>
        <v/>
      </c>
      <c r="AO339">
        <f>IF('TMP Paste'!$F339="","",IF('TMP Paste'!$P339="",$AO338,'TMP Paste'!$P339))</f>
        <v/>
      </c>
      <c r="AP339">
        <f>IF($AG339="","",LEN($R339))</f>
        <v/>
      </c>
      <c r="AQ339">
        <f>IF($AG339="","",TRIM(IF(COUNTIFS(Calc!$B$2:$B$1601,ROW()-1,Calc!$C$2:$C$1601,"&lt;1")&gt;0,"Ada PO tanpa Koli - cek TMP. ","")&amp;IF(LEN($R339)&gt;500,"R &gt; 500 karakter.","")))</f>
        <v/>
      </c>
    </row>
    <row r="340">
      <c r="A340">
        <f>IF($AG340="","",INDEX('TMP Paste'!$B$2:$B$1601,$AG340))</f>
        <v/>
      </c>
      <c r="B340">
        <f>IF($AG340="","",Config!$B$14)</f>
        <v/>
      </c>
      <c r="C340">
        <f>IF($AG340="","",Config!$B$15)</f>
        <v/>
      </c>
      <c r="D340">
        <f>IF($AG340="","",INDEX('TMP Paste'!$B$2:$B$1601,$AG340))</f>
        <v/>
      </c>
      <c r="E340">
        <f>IF($AG340="","",Config!$B$27)</f>
        <v/>
      </c>
      <c r="F340">
        <f>IF($AG340="","",Config!$B$9)</f>
        <v/>
      </c>
      <c r="G340">
        <f>IF($AG340="","",Config!$B$10)</f>
        <v/>
      </c>
      <c r="H340">
        <f>IF($AG340="","",Config!$B$11)</f>
        <v/>
      </c>
      <c r="I340">
        <f>IF($AG340="","",Config!$B$16)</f>
        <v/>
      </c>
      <c r="J340">
        <f>IF($AG340="","",INDEX('TMP Paste'!$A$2:$A$1601,$AG340))</f>
        <v/>
      </c>
      <c r="K340">
        <f>IF($AG340="","",INDEX('TMP Paste'!$L$2:$L$1601,$AG340))</f>
        <v/>
      </c>
      <c r="L340">
        <f>IF($AG340="","",INDEX('TMP Paste'!$I$2:$I$1601,$AG340))</f>
        <v/>
      </c>
      <c r="M340">
        <f>IF($AG340="","",Config!$B$16)</f>
        <v/>
      </c>
      <c r="N340">
        <f>IF($AG340="","","")</f>
        <v/>
      </c>
      <c r="O340">
        <f>IF($AG340="","",INDEX('TMP Paste'!$K$2:$K$1601,$AG340))</f>
        <v/>
      </c>
      <c r="P340">
        <f>IF($AG340="","","")</f>
        <v/>
      </c>
      <c r="Q340">
        <f>IF($AG340="","",INDEX('TMP Paste'!$J$2:$J$1601,$AG340))</f>
        <v/>
      </c>
      <c r="R340">
        <f>IF($AG340="","",Config!$B$24)</f>
        <v/>
      </c>
      <c r="S340">
        <f>IF($AG340="","",TEXT(Config!$B$4,"yyyy-mm-dd"))</f>
        <v/>
      </c>
      <c r="T340">
        <f>IF($AG340="","",Config!$B$17)</f>
        <v/>
      </c>
      <c r="U340">
        <f>IF($AG340="","",Config!$B$18)</f>
        <v/>
      </c>
      <c r="V340">
        <f>IF($AG340="","",Config!$B$19)</f>
        <v/>
      </c>
      <c r="W340">
        <f>IF($AG340="","",INDEX('TMP Paste'!$C$2:$C$1601,$AG340))</f>
        <v/>
      </c>
      <c r="X340">
        <f>IF($AG340="","",Config!$B$29)</f>
        <v/>
      </c>
      <c r="Y340">
        <f>IF($AH340="","",INDEX(Calc!$I$2:$I$1601,$AH340)&amp;" - "&amp;INDEX(Calc!$D$2:$D$1601,$AH340)&amp;" koli")</f>
        <v/>
      </c>
      <c r="Z340">
        <f>IF($AG340="","",Config!$B$21)</f>
        <v/>
      </c>
      <c r="AA340">
        <f>IF($AG340="","",Config!$B$22)</f>
        <v/>
      </c>
      <c r="AB340">
        <f>IF($AH340="","",INDEX(Calc!$D$2:$D$1601,$AH340))</f>
        <v/>
      </c>
      <c r="AC340">
        <f>IF($AH340="","",INDEX(Calc!$G$2:$G$1601,$AH340))</f>
        <v/>
      </c>
      <c r="AD340">
        <f>IF($AG340="","",Config!$B$23)</f>
        <v/>
      </c>
      <c r="AE340">
        <f>IF($AG340="","",Config!$B$28)</f>
        <v/>
      </c>
      <c r="AG340">
        <f>IFERROR(MATCH(ROW()-1,Calc!$J$2:$J$1601,0),"")</f>
        <v/>
      </c>
      <c r="AH340">
        <f>IFERROR(MATCH(ROW()-1,Calc!$K$2:$K$1601,0),"")</f>
        <v/>
      </c>
      <c r="AI340">
        <f>IF($AG340="","",SUMIF($AG$2:$AG340,$AG340,$AH$2:$AH340))</f>
        <v/>
      </c>
      <c r="AJ340">
        <f>IF('TMP Paste'!$F340="","",IF('TMP Paste'!$B340="",$AJ339,'TMP Paste'!$B340))</f>
        <v/>
      </c>
      <c r="AK340">
        <f>IF('TMP Paste'!$F340="","",N('TMP Paste'!$G340))</f>
        <v/>
      </c>
      <c r="AL340">
        <f>IF('TMP Paste'!$F340="","",IF('TMP Paste'!$M340="",$AL339,'TMP Paste'!$M340))</f>
        <v/>
      </c>
      <c r="AM340">
        <f>IF('TMP Paste'!$F340="","",IF('TMP Paste'!$N340="",$AM339,'TMP Paste'!$N340))</f>
        <v/>
      </c>
      <c r="AN340">
        <f>IF('TMP Paste'!$F340="","",IF('TMP Paste'!$O340="",$AN339,'TMP Paste'!$O340))</f>
        <v/>
      </c>
      <c r="AO340">
        <f>IF('TMP Paste'!$F340="","",IF('TMP Paste'!$P340="",$AO339,'TMP Paste'!$P340))</f>
        <v/>
      </c>
      <c r="AP340">
        <f>IF($AG340="","",LEN($R340))</f>
        <v/>
      </c>
      <c r="AQ340">
        <f>IF($AG340="","",TRIM(IF(COUNTIFS(Calc!$B$2:$B$1601,ROW()-1,Calc!$C$2:$C$1601,"&lt;1")&gt;0,"Ada PO tanpa Koli - cek TMP. ","")&amp;IF(LEN($R340)&gt;500,"R &gt; 500 karakter.","")))</f>
        <v/>
      </c>
    </row>
    <row r="341">
      <c r="A341">
        <f>IF($AG341="","",INDEX('TMP Paste'!$B$2:$B$1601,$AG341))</f>
        <v/>
      </c>
      <c r="B341">
        <f>IF($AG341="","",Config!$B$14)</f>
        <v/>
      </c>
      <c r="C341">
        <f>IF($AG341="","",Config!$B$15)</f>
        <v/>
      </c>
      <c r="D341">
        <f>IF($AG341="","",INDEX('TMP Paste'!$B$2:$B$1601,$AG341))</f>
        <v/>
      </c>
      <c r="E341">
        <f>IF($AG341="","",Config!$B$27)</f>
        <v/>
      </c>
      <c r="F341">
        <f>IF($AG341="","",Config!$B$9)</f>
        <v/>
      </c>
      <c r="G341">
        <f>IF($AG341="","",Config!$B$10)</f>
        <v/>
      </c>
      <c r="H341">
        <f>IF($AG341="","",Config!$B$11)</f>
        <v/>
      </c>
      <c r="I341">
        <f>IF($AG341="","",Config!$B$16)</f>
        <v/>
      </c>
      <c r="J341">
        <f>IF($AG341="","",INDEX('TMP Paste'!$A$2:$A$1601,$AG341))</f>
        <v/>
      </c>
      <c r="K341">
        <f>IF($AG341="","",INDEX('TMP Paste'!$L$2:$L$1601,$AG341))</f>
        <v/>
      </c>
      <c r="L341">
        <f>IF($AG341="","",INDEX('TMP Paste'!$I$2:$I$1601,$AG341))</f>
        <v/>
      </c>
      <c r="M341">
        <f>IF($AG341="","",Config!$B$16)</f>
        <v/>
      </c>
      <c r="N341">
        <f>IF($AG341="","","")</f>
        <v/>
      </c>
      <c r="O341">
        <f>IF($AG341="","",INDEX('TMP Paste'!$K$2:$K$1601,$AG341))</f>
        <v/>
      </c>
      <c r="P341">
        <f>IF($AG341="","","")</f>
        <v/>
      </c>
      <c r="Q341">
        <f>IF($AG341="","",INDEX('TMP Paste'!$J$2:$J$1601,$AG341))</f>
        <v/>
      </c>
      <c r="R341">
        <f>IF($AG341="","",Config!$B$24)</f>
        <v/>
      </c>
      <c r="S341">
        <f>IF($AG341="","",TEXT(Config!$B$4,"yyyy-mm-dd"))</f>
        <v/>
      </c>
      <c r="T341">
        <f>IF($AG341="","",Config!$B$17)</f>
        <v/>
      </c>
      <c r="U341">
        <f>IF($AG341="","",Config!$B$18)</f>
        <v/>
      </c>
      <c r="V341">
        <f>IF($AG341="","",Config!$B$19)</f>
        <v/>
      </c>
      <c r="W341">
        <f>IF($AG341="","",INDEX('TMP Paste'!$C$2:$C$1601,$AG341))</f>
        <v/>
      </c>
      <c r="X341">
        <f>IF($AG341="","",Config!$B$29)</f>
        <v/>
      </c>
      <c r="Y341">
        <f>IF($AH341="","",INDEX(Calc!$I$2:$I$1601,$AH341)&amp;" - "&amp;INDEX(Calc!$D$2:$D$1601,$AH341)&amp;" koli")</f>
        <v/>
      </c>
      <c r="Z341">
        <f>IF($AG341="","",Config!$B$21)</f>
        <v/>
      </c>
      <c r="AA341">
        <f>IF($AG341="","",Config!$B$22)</f>
        <v/>
      </c>
      <c r="AB341">
        <f>IF($AH341="","",INDEX(Calc!$D$2:$D$1601,$AH341))</f>
        <v/>
      </c>
      <c r="AC341">
        <f>IF($AH341="","",INDEX(Calc!$G$2:$G$1601,$AH341))</f>
        <v/>
      </c>
      <c r="AD341">
        <f>IF($AG341="","",Config!$B$23)</f>
        <v/>
      </c>
      <c r="AE341">
        <f>IF($AG341="","",Config!$B$28)</f>
        <v/>
      </c>
      <c r="AG341">
        <f>IFERROR(MATCH(ROW()-1,Calc!$J$2:$J$1601,0),"")</f>
        <v/>
      </c>
      <c r="AH341">
        <f>IFERROR(MATCH(ROW()-1,Calc!$K$2:$K$1601,0),"")</f>
        <v/>
      </c>
      <c r="AI341">
        <f>IF($AG341="","",SUMIF($AG$2:$AG341,$AG341,$AH$2:$AH341))</f>
        <v/>
      </c>
      <c r="AJ341">
        <f>IF('TMP Paste'!$F341="","",IF('TMP Paste'!$B341="",$AJ340,'TMP Paste'!$B341))</f>
        <v/>
      </c>
      <c r="AK341">
        <f>IF('TMP Paste'!$F341="","",N('TMP Paste'!$G341))</f>
        <v/>
      </c>
      <c r="AL341">
        <f>IF('TMP Paste'!$F341="","",IF('TMP Paste'!$M341="",$AL340,'TMP Paste'!$M341))</f>
        <v/>
      </c>
      <c r="AM341">
        <f>IF('TMP Paste'!$F341="","",IF('TMP Paste'!$N341="",$AM340,'TMP Paste'!$N341))</f>
        <v/>
      </c>
      <c r="AN341">
        <f>IF('TMP Paste'!$F341="","",IF('TMP Paste'!$O341="",$AN340,'TMP Paste'!$O341))</f>
        <v/>
      </c>
      <c r="AO341">
        <f>IF('TMP Paste'!$F341="","",IF('TMP Paste'!$P341="",$AO340,'TMP Paste'!$P341))</f>
        <v/>
      </c>
      <c r="AP341">
        <f>IF($AG341="","",LEN($R341))</f>
        <v/>
      </c>
      <c r="AQ341">
        <f>IF($AG341="","",TRIM(IF(COUNTIFS(Calc!$B$2:$B$1601,ROW()-1,Calc!$C$2:$C$1601,"&lt;1")&gt;0,"Ada PO tanpa Koli - cek TMP. ","")&amp;IF(LEN($R341)&gt;500,"R &gt; 500 karakter.","")))</f>
        <v/>
      </c>
    </row>
    <row r="342">
      <c r="A342">
        <f>IF($AG342="","",INDEX('TMP Paste'!$B$2:$B$1601,$AG342))</f>
        <v/>
      </c>
      <c r="B342">
        <f>IF($AG342="","",Config!$B$14)</f>
        <v/>
      </c>
      <c r="C342">
        <f>IF($AG342="","",Config!$B$15)</f>
        <v/>
      </c>
      <c r="D342">
        <f>IF($AG342="","",INDEX('TMP Paste'!$B$2:$B$1601,$AG342))</f>
        <v/>
      </c>
      <c r="E342">
        <f>IF($AG342="","",Config!$B$27)</f>
        <v/>
      </c>
      <c r="F342">
        <f>IF($AG342="","",Config!$B$9)</f>
        <v/>
      </c>
      <c r="G342">
        <f>IF($AG342="","",Config!$B$10)</f>
        <v/>
      </c>
      <c r="H342">
        <f>IF($AG342="","",Config!$B$11)</f>
        <v/>
      </c>
      <c r="I342">
        <f>IF($AG342="","",Config!$B$16)</f>
        <v/>
      </c>
      <c r="J342">
        <f>IF($AG342="","",INDEX('TMP Paste'!$A$2:$A$1601,$AG342))</f>
        <v/>
      </c>
      <c r="K342">
        <f>IF($AG342="","",INDEX('TMP Paste'!$L$2:$L$1601,$AG342))</f>
        <v/>
      </c>
      <c r="L342">
        <f>IF($AG342="","",INDEX('TMP Paste'!$I$2:$I$1601,$AG342))</f>
        <v/>
      </c>
      <c r="M342">
        <f>IF($AG342="","",Config!$B$16)</f>
        <v/>
      </c>
      <c r="N342">
        <f>IF($AG342="","","")</f>
        <v/>
      </c>
      <c r="O342">
        <f>IF($AG342="","",INDEX('TMP Paste'!$K$2:$K$1601,$AG342))</f>
        <v/>
      </c>
      <c r="P342">
        <f>IF($AG342="","","")</f>
        <v/>
      </c>
      <c r="Q342">
        <f>IF($AG342="","",INDEX('TMP Paste'!$J$2:$J$1601,$AG342))</f>
        <v/>
      </c>
      <c r="R342">
        <f>IF($AG342="","",Config!$B$24)</f>
        <v/>
      </c>
      <c r="S342">
        <f>IF($AG342="","",TEXT(Config!$B$4,"yyyy-mm-dd"))</f>
        <v/>
      </c>
      <c r="T342">
        <f>IF($AG342="","",Config!$B$17)</f>
        <v/>
      </c>
      <c r="U342">
        <f>IF($AG342="","",Config!$B$18)</f>
        <v/>
      </c>
      <c r="V342">
        <f>IF($AG342="","",Config!$B$19)</f>
        <v/>
      </c>
      <c r="W342">
        <f>IF($AG342="","",INDEX('TMP Paste'!$C$2:$C$1601,$AG342))</f>
        <v/>
      </c>
      <c r="X342">
        <f>IF($AG342="","",Config!$B$29)</f>
        <v/>
      </c>
      <c r="Y342">
        <f>IF($AH342="","",INDEX(Calc!$I$2:$I$1601,$AH342)&amp;" - "&amp;INDEX(Calc!$D$2:$D$1601,$AH342)&amp;" koli")</f>
        <v/>
      </c>
      <c r="Z342">
        <f>IF($AG342="","",Config!$B$21)</f>
        <v/>
      </c>
      <c r="AA342">
        <f>IF($AG342="","",Config!$B$22)</f>
        <v/>
      </c>
      <c r="AB342">
        <f>IF($AH342="","",INDEX(Calc!$D$2:$D$1601,$AH342))</f>
        <v/>
      </c>
      <c r="AC342">
        <f>IF($AH342="","",INDEX(Calc!$G$2:$G$1601,$AH342))</f>
        <v/>
      </c>
      <c r="AD342">
        <f>IF($AG342="","",Config!$B$23)</f>
        <v/>
      </c>
      <c r="AE342">
        <f>IF($AG342="","",Config!$B$28)</f>
        <v/>
      </c>
      <c r="AG342">
        <f>IFERROR(MATCH(ROW()-1,Calc!$J$2:$J$1601,0),"")</f>
        <v/>
      </c>
      <c r="AH342">
        <f>IFERROR(MATCH(ROW()-1,Calc!$K$2:$K$1601,0),"")</f>
        <v/>
      </c>
      <c r="AI342">
        <f>IF($AG342="","",SUMIF($AG$2:$AG342,$AG342,$AH$2:$AH342))</f>
        <v/>
      </c>
      <c r="AJ342">
        <f>IF('TMP Paste'!$F342="","",IF('TMP Paste'!$B342="",$AJ341,'TMP Paste'!$B342))</f>
        <v/>
      </c>
      <c r="AK342">
        <f>IF('TMP Paste'!$F342="","",N('TMP Paste'!$G342))</f>
        <v/>
      </c>
      <c r="AL342">
        <f>IF('TMP Paste'!$F342="","",IF('TMP Paste'!$M342="",$AL341,'TMP Paste'!$M342))</f>
        <v/>
      </c>
      <c r="AM342">
        <f>IF('TMP Paste'!$F342="","",IF('TMP Paste'!$N342="",$AM341,'TMP Paste'!$N342))</f>
        <v/>
      </c>
      <c r="AN342">
        <f>IF('TMP Paste'!$F342="","",IF('TMP Paste'!$O342="",$AN341,'TMP Paste'!$O342))</f>
        <v/>
      </c>
      <c r="AO342">
        <f>IF('TMP Paste'!$F342="","",IF('TMP Paste'!$P342="",$AO341,'TMP Paste'!$P342))</f>
        <v/>
      </c>
      <c r="AP342">
        <f>IF($AG342="","",LEN($R342))</f>
        <v/>
      </c>
      <c r="AQ342">
        <f>IF($AG342="","",TRIM(IF(COUNTIFS(Calc!$B$2:$B$1601,ROW()-1,Calc!$C$2:$C$1601,"&lt;1")&gt;0,"Ada PO tanpa Koli - cek TMP. ","")&amp;IF(LEN($R342)&gt;500,"R &gt; 500 karakter.","")))</f>
        <v/>
      </c>
    </row>
    <row r="343">
      <c r="A343">
        <f>IF($AG343="","",INDEX('TMP Paste'!$B$2:$B$1601,$AG343))</f>
        <v/>
      </c>
      <c r="B343">
        <f>IF($AG343="","",Config!$B$14)</f>
        <v/>
      </c>
      <c r="C343">
        <f>IF($AG343="","",Config!$B$15)</f>
        <v/>
      </c>
      <c r="D343">
        <f>IF($AG343="","",INDEX('TMP Paste'!$B$2:$B$1601,$AG343))</f>
        <v/>
      </c>
      <c r="E343">
        <f>IF($AG343="","",Config!$B$27)</f>
        <v/>
      </c>
      <c r="F343">
        <f>IF($AG343="","",Config!$B$9)</f>
        <v/>
      </c>
      <c r="G343">
        <f>IF($AG343="","",Config!$B$10)</f>
        <v/>
      </c>
      <c r="H343">
        <f>IF($AG343="","",Config!$B$11)</f>
        <v/>
      </c>
      <c r="I343">
        <f>IF($AG343="","",Config!$B$16)</f>
        <v/>
      </c>
      <c r="J343">
        <f>IF($AG343="","",INDEX('TMP Paste'!$A$2:$A$1601,$AG343))</f>
        <v/>
      </c>
      <c r="K343">
        <f>IF($AG343="","",INDEX('TMP Paste'!$L$2:$L$1601,$AG343))</f>
        <v/>
      </c>
      <c r="L343">
        <f>IF($AG343="","",INDEX('TMP Paste'!$I$2:$I$1601,$AG343))</f>
        <v/>
      </c>
      <c r="M343">
        <f>IF($AG343="","",Config!$B$16)</f>
        <v/>
      </c>
      <c r="N343">
        <f>IF($AG343="","","")</f>
        <v/>
      </c>
      <c r="O343">
        <f>IF($AG343="","",INDEX('TMP Paste'!$K$2:$K$1601,$AG343))</f>
        <v/>
      </c>
      <c r="P343">
        <f>IF($AG343="","","")</f>
        <v/>
      </c>
      <c r="Q343">
        <f>IF($AG343="","",INDEX('TMP Paste'!$J$2:$J$1601,$AG343))</f>
        <v/>
      </c>
      <c r="R343">
        <f>IF($AG343="","",Config!$B$24)</f>
        <v/>
      </c>
      <c r="S343">
        <f>IF($AG343="","",TEXT(Config!$B$4,"yyyy-mm-dd"))</f>
        <v/>
      </c>
      <c r="T343">
        <f>IF($AG343="","",Config!$B$17)</f>
        <v/>
      </c>
      <c r="U343">
        <f>IF($AG343="","",Config!$B$18)</f>
        <v/>
      </c>
      <c r="V343">
        <f>IF($AG343="","",Config!$B$19)</f>
        <v/>
      </c>
      <c r="W343">
        <f>IF($AG343="","",INDEX('TMP Paste'!$C$2:$C$1601,$AG343))</f>
        <v/>
      </c>
      <c r="X343">
        <f>IF($AG343="","",Config!$B$29)</f>
        <v/>
      </c>
      <c r="Y343">
        <f>IF($AH343="","",INDEX(Calc!$I$2:$I$1601,$AH343)&amp;" - "&amp;INDEX(Calc!$D$2:$D$1601,$AH343)&amp;" koli")</f>
        <v/>
      </c>
      <c r="Z343">
        <f>IF($AG343="","",Config!$B$21)</f>
        <v/>
      </c>
      <c r="AA343">
        <f>IF($AG343="","",Config!$B$22)</f>
        <v/>
      </c>
      <c r="AB343">
        <f>IF($AH343="","",INDEX(Calc!$D$2:$D$1601,$AH343))</f>
        <v/>
      </c>
      <c r="AC343">
        <f>IF($AH343="","",INDEX(Calc!$G$2:$G$1601,$AH343))</f>
        <v/>
      </c>
      <c r="AD343">
        <f>IF($AG343="","",Config!$B$23)</f>
        <v/>
      </c>
      <c r="AE343">
        <f>IF($AG343="","",Config!$B$28)</f>
        <v/>
      </c>
      <c r="AG343">
        <f>IFERROR(MATCH(ROW()-1,Calc!$J$2:$J$1601,0),"")</f>
        <v/>
      </c>
      <c r="AH343">
        <f>IFERROR(MATCH(ROW()-1,Calc!$K$2:$K$1601,0),"")</f>
        <v/>
      </c>
      <c r="AI343">
        <f>IF($AG343="","",SUMIF($AG$2:$AG343,$AG343,$AH$2:$AH343))</f>
        <v/>
      </c>
      <c r="AJ343">
        <f>IF('TMP Paste'!$F343="","",IF('TMP Paste'!$B343="",$AJ342,'TMP Paste'!$B343))</f>
        <v/>
      </c>
      <c r="AK343">
        <f>IF('TMP Paste'!$F343="","",N('TMP Paste'!$G343))</f>
        <v/>
      </c>
      <c r="AL343">
        <f>IF('TMP Paste'!$F343="","",IF('TMP Paste'!$M343="",$AL342,'TMP Paste'!$M343))</f>
        <v/>
      </c>
      <c r="AM343">
        <f>IF('TMP Paste'!$F343="","",IF('TMP Paste'!$N343="",$AM342,'TMP Paste'!$N343))</f>
        <v/>
      </c>
      <c r="AN343">
        <f>IF('TMP Paste'!$F343="","",IF('TMP Paste'!$O343="",$AN342,'TMP Paste'!$O343))</f>
        <v/>
      </c>
      <c r="AO343">
        <f>IF('TMP Paste'!$F343="","",IF('TMP Paste'!$P343="",$AO342,'TMP Paste'!$P343))</f>
        <v/>
      </c>
      <c r="AP343">
        <f>IF($AG343="","",LEN($R343))</f>
        <v/>
      </c>
      <c r="AQ343">
        <f>IF($AG343="","",TRIM(IF(COUNTIFS(Calc!$B$2:$B$1601,ROW()-1,Calc!$C$2:$C$1601,"&lt;1")&gt;0,"Ada PO tanpa Koli - cek TMP. ","")&amp;IF(LEN($R343)&gt;500,"R &gt; 500 karakter.","")))</f>
        <v/>
      </c>
    </row>
    <row r="344">
      <c r="A344">
        <f>IF($AG344="","",INDEX('TMP Paste'!$B$2:$B$1601,$AG344))</f>
        <v/>
      </c>
      <c r="B344">
        <f>IF($AG344="","",Config!$B$14)</f>
        <v/>
      </c>
      <c r="C344">
        <f>IF($AG344="","",Config!$B$15)</f>
        <v/>
      </c>
      <c r="D344">
        <f>IF($AG344="","",INDEX('TMP Paste'!$B$2:$B$1601,$AG344))</f>
        <v/>
      </c>
      <c r="E344">
        <f>IF($AG344="","",Config!$B$27)</f>
        <v/>
      </c>
      <c r="F344">
        <f>IF($AG344="","",Config!$B$9)</f>
        <v/>
      </c>
      <c r="G344">
        <f>IF($AG344="","",Config!$B$10)</f>
        <v/>
      </c>
      <c r="H344">
        <f>IF($AG344="","",Config!$B$11)</f>
        <v/>
      </c>
      <c r="I344">
        <f>IF($AG344="","",Config!$B$16)</f>
        <v/>
      </c>
      <c r="J344">
        <f>IF($AG344="","",INDEX('TMP Paste'!$A$2:$A$1601,$AG344))</f>
        <v/>
      </c>
      <c r="K344">
        <f>IF($AG344="","",INDEX('TMP Paste'!$L$2:$L$1601,$AG344))</f>
        <v/>
      </c>
      <c r="L344">
        <f>IF($AG344="","",INDEX('TMP Paste'!$I$2:$I$1601,$AG344))</f>
        <v/>
      </c>
      <c r="M344">
        <f>IF($AG344="","",Config!$B$16)</f>
        <v/>
      </c>
      <c r="N344">
        <f>IF($AG344="","","")</f>
        <v/>
      </c>
      <c r="O344">
        <f>IF($AG344="","",INDEX('TMP Paste'!$K$2:$K$1601,$AG344))</f>
        <v/>
      </c>
      <c r="P344">
        <f>IF($AG344="","","")</f>
        <v/>
      </c>
      <c r="Q344">
        <f>IF($AG344="","",INDEX('TMP Paste'!$J$2:$J$1601,$AG344))</f>
        <v/>
      </c>
      <c r="R344">
        <f>IF($AG344="","",Config!$B$24)</f>
        <v/>
      </c>
      <c r="S344">
        <f>IF($AG344="","",TEXT(Config!$B$4,"yyyy-mm-dd"))</f>
        <v/>
      </c>
      <c r="T344">
        <f>IF($AG344="","",Config!$B$17)</f>
        <v/>
      </c>
      <c r="U344">
        <f>IF($AG344="","",Config!$B$18)</f>
        <v/>
      </c>
      <c r="V344">
        <f>IF($AG344="","",Config!$B$19)</f>
        <v/>
      </c>
      <c r="W344">
        <f>IF($AG344="","",INDEX('TMP Paste'!$C$2:$C$1601,$AG344))</f>
        <v/>
      </c>
      <c r="X344">
        <f>IF($AG344="","",Config!$B$29)</f>
        <v/>
      </c>
      <c r="Y344">
        <f>IF($AH344="","",INDEX(Calc!$I$2:$I$1601,$AH344)&amp;" - "&amp;INDEX(Calc!$D$2:$D$1601,$AH344)&amp;" koli")</f>
        <v/>
      </c>
      <c r="Z344">
        <f>IF($AG344="","",Config!$B$21)</f>
        <v/>
      </c>
      <c r="AA344">
        <f>IF($AG344="","",Config!$B$22)</f>
        <v/>
      </c>
      <c r="AB344">
        <f>IF($AH344="","",INDEX(Calc!$D$2:$D$1601,$AH344))</f>
        <v/>
      </c>
      <c r="AC344">
        <f>IF($AH344="","",INDEX(Calc!$G$2:$G$1601,$AH344))</f>
        <v/>
      </c>
      <c r="AD344">
        <f>IF($AG344="","",Config!$B$23)</f>
        <v/>
      </c>
      <c r="AE344">
        <f>IF($AG344="","",Config!$B$28)</f>
        <v/>
      </c>
      <c r="AG344">
        <f>IFERROR(MATCH(ROW()-1,Calc!$J$2:$J$1601,0),"")</f>
        <v/>
      </c>
      <c r="AH344">
        <f>IFERROR(MATCH(ROW()-1,Calc!$K$2:$K$1601,0),"")</f>
        <v/>
      </c>
      <c r="AI344">
        <f>IF($AG344="","",SUMIF($AG$2:$AG344,$AG344,$AH$2:$AH344))</f>
        <v/>
      </c>
      <c r="AJ344">
        <f>IF('TMP Paste'!$F344="","",IF('TMP Paste'!$B344="",$AJ343,'TMP Paste'!$B344))</f>
        <v/>
      </c>
      <c r="AK344">
        <f>IF('TMP Paste'!$F344="","",N('TMP Paste'!$G344))</f>
        <v/>
      </c>
      <c r="AL344">
        <f>IF('TMP Paste'!$F344="","",IF('TMP Paste'!$M344="",$AL343,'TMP Paste'!$M344))</f>
        <v/>
      </c>
      <c r="AM344">
        <f>IF('TMP Paste'!$F344="","",IF('TMP Paste'!$N344="",$AM343,'TMP Paste'!$N344))</f>
        <v/>
      </c>
      <c r="AN344">
        <f>IF('TMP Paste'!$F344="","",IF('TMP Paste'!$O344="",$AN343,'TMP Paste'!$O344))</f>
        <v/>
      </c>
      <c r="AO344">
        <f>IF('TMP Paste'!$F344="","",IF('TMP Paste'!$P344="",$AO343,'TMP Paste'!$P344))</f>
        <v/>
      </c>
      <c r="AP344">
        <f>IF($AG344="","",LEN($R344))</f>
        <v/>
      </c>
      <c r="AQ344">
        <f>IF($AG344="","",TRIM(IF(COUNTIFS(Calc!$B$2:$B$1601,ROW()-1,Calc!$C$2:$C$1601,"&lt;1")&gt;0,"Ada PO tanpa Koli - cek TMP. ","")&amp;IF(LEN($R344)&gt;500,"R &gt; 500 karakter.","")))</f>
        <v/>
      </c>
    </row>
    <row r="345">
      <c r="A345">
        <f>IF($AG345="","",INDEX('TMP Paste'!$B$2:$B$1601,$AG345))</f>
        <v/>
      </c>
      <c r="B345">
        <f>IF($AG345="","",Config!$B$14)</f>
        <v/>
      </c>
      <c r="C345">
        <f>IF($AG345="","",Config!$B$15)</f>
        <v/>
      </c>
      <c r="D345">
        <f>IF($AG345="","",INDEX('TMP Paste'!$B$2:$B$1601,$AG345))</f>
        <v/>
      </c>
      <c r="E345">
        <f>IF($AG345="","",Config!$B$27)</f>
        <v/>
      </c>
      <c r="F345">
        <f>IF($AG345="","",Config!$B$9)</f>
        <v/>
      </c>
      <c r="G345">
        <f>IF($AG345="","",Config!$B$10)</f>
        <v/>
      </c>
      <c r="H345">
        <f>IF($AG345="","",Config!$B$11)</f>
        <v/>
      </c>
      <c r="I345">
        <f>IF($AG345="","",Config!$B$16)</f>
        <v/>
      </c>
      <c r="J345">
        <f>IF($AG345="","",INDEX('TMP Paste'!$A$2:$A$1601,$AG345))</f>
        <v/>
      </c>
      <c r="K345">
        <f>IF($AG345="","",INDEX('TMP Paste'!$L$2:$L$1601,$AG345))</f>
        <v/>
      </c>
      <c r="L345">
        <f>IF($AG345="","",INDEX('TMP Paste'!$I$2:$I$1601,$AG345))</f>
        <v/>
      </c>
      <c r="M345">
        <f>IF($AG345="","",Config!$B$16)</f>
        <v/>
      </c>
      <c r="N345">
        <f>IF($AG345="","","")</f>
        <v/>
      </c>
      <c r="O345">
        <f>IF($AG345="","",INDEX('TMP Paste'!$K$2:$K$1601,$AG345))</f>
        <v/>
      </c>
      <c r="P345">
        <f>IF($AG345="","","")</f>
        <v/>
      </c>
      <c r="Q345">
        <f>IF($AG345="","",INDEX('TMP Paste'!$J$2:$J$1601,$AG345))</f>
        <v/>
      </c>
      <c r="R345">
        <f>IF($AG345="","",Config!$B$24)</f>
        <v/>
      </c>
      <c r="S345">
        <f>IF($AG345="","",TEXT(Config!$B$4,"yyyy-mm-dd"))</f>
        <v/>
      </c>
      <c r="T345">
        <f>IF($AG345="","",Config!$B$17)</f>
        <v/>
      </c>
      <c r="U345">
        <f>IF($AG345="","",Config!$B$18)</f>
        <v/>
      </c>
      <c r="V345">
        <f>IF($AG345="","",Config!$B$19)</f>
        <v/>
      </c>
      <c r="W345">
        <f>IF($AG345="","",INDEX('TMP Paste'!$C$2:$C$1601,$AG345))</f>
        <v/>
      </c>
      <c r="X345">
        <f>IF($AG345="","",Config!$B$29)</f>
        <v/>
      </c>
      <c r="Y345">
        <f>IF($AH345="","",INDEX(Calc!$I$2:$I$1601,$AH345)&amp;" - "&amp;INDEX(Calc!$D$2:$D$1601,$AH345)&amp;" koli")</f>
        <v/>
      </c>
      <c r="Z345">
        <f>IF($AG345="","",Config!$B$21)</f>
        <v/>
      </c>
      <c r="AA345">
        <f>IF($AG345="","",Config!$B$22)</f>
        <v/>
      </c>
      <c r="AB345">
        <f>IF($AH345="","",INDEX(Calc!$D$2:$D$1601,$AH345))</f>
        <v/>
      </c>
      <c r="AC345">
        <f>IF($AH345="","",INDEX(Calc!$G$2:$G$1601,$AH345))</f>
        <v/>
      </c>
      <c r="AD345">
        <f>IF($AG345="","",Config!$B$23)</f>
        <v/>
      </c>
      <c r="AE345">
        <f>IF($AG345="","",Config!$B$28)</f>
        <v/>
      </c>
      <c r="AG345">
        <f>IFERROR(MATCH(ROW()-1,Calc!$J$2:$J$1601,0),"")</f>
        <v/>
      </c>
      <c r="AH345">
        <f>IFERROR(MATCH(ROW()-1,Calc!$K$2:$K$1601,0),"")</f>
        <v/>
      </c>
      <c r="AI345">
        <f>IF($AG345="","",SUMIF($AG$2:$AG345,$AG345,$AH$2:$AH345))</f>
        <v/>
      </c>
      <c r="AJ345">
        <f>IF('TMP Paste'!$F345="","",IF('TMP Paste'!$B345="",$AJ344,'TMP Paste'!$B345))</f>
        <v/>
      </c>
      <c r="AK345">
        <f>IF('TMP Paste'!$F345="","",N('TMP Paste'!$G345))</f>
        <v/>
      </c>
      <c r="AL345">
        <f>IF('TMP Paste'!$F345="","",IF('TMP Paste'!$M345="",$AL344,'TMP Paste'!$M345))</f>
        <v/>
      </c>
      <c r="AM345">
        <f>IF('TMP Paste'!$F345="","",IF('TMP Paste'!$N345="",$AM344,'TMP Paste'!$N345))</f>
        <v/>
      </c>
      <c r="AN345">
        <f>IF('TMP Paste'!$F345="","",IF('TMP Paste'!$O345="",$AN344,'TMP Paste'!$O345))</f>
        <v/>
      </c>
      <c r="AO345">
        <f>IF('TMP Paste'!$F345="","",IF('TMP Paste'!$P345="",$AO344,'TMP Paste'!$P345))</f>
        <v/>
      </c>
      <c r="AP345">
        <f>IF($AG345="","",LEN($R345))</f>
        <v/>
      </c>
      <c r="AQ345">
        <f>IF($AG345="","",TRIM(IF(COUNTIFS(Calc!$B$2:$B$1601,ROW()-1,Calc!$C$2:$C$1601,"&lt;1")&gt;0,"Ada PO tanpa Koli - cek TMP. ","")&amp;IF(LEN($R345)&gt;500,"R &gt; 500 karakter.","")))</f>
        <v/>
      </c>
    </row>
    <row r="346">
      <c r="A346">
        <f>IF($AG346="","",INDEX('TMP Paste'!$B$2:$B$1601,$AG346))</f>
        <v/>
      </c>
      <c r="B346">
        <f>IF($AG346="","",Config!$B$14)</f>
        <v/>
      </c>
      <c r="C346">
        <f>IF($AG346="","",Config!$B$15)</f>
        <v/>
      </c>
      <c r="D346">
        <f>IF($AG346="","",INDEX('TMP Paste'!$B$2:$B$1601,$AG346))</f>
        <v/>
      </c>
      <c r="E346">
        <f>IF($AG346="","",Config!$B$27)</f>
        <v/>
      </c>
      <c r="F346">
        <f>IF($AG346="","",Config!$B$9)</f>
        <v/>
      </c>
      <c r="G346">
        <f>IF($AG346="","",Config!$B$10)</f>
        <v/>
      </c>
      <c r="H346">
        <f>IF($AG346="","",Config!$B$11)</f>
        <v/>
      </c>
      <c r="I346">
        <f>IF($AG346="","",Config!$B$16)</f>
        <v/>
      </c>
      <c r="J346">
        <f>IF($AG346="","",INDEX('TMP Paste'!$A$2:$A$1601,$AG346))</f>
        <v/>
      </c>
      <c r="K346">
        <f>IF($AG346="","",INDEX('TMP Paste'!$L$2:$L$1601,$AG346))</f>
        <v/>
      </c>
      <c r="L346">
        <f>IF($AG346="","",INDEX('TMP Paste'!$I$2:$I$1601,$AG346))</f>
        <v/>
      </c>
      <c r="M346">
        <f>IF($AG346="","",Config!$B$16)</f>
        <v/>
      </c>
      <c r="N346">
        <f>IF($AG346="","","")</f>
        <v/>
      </c>
      <c r="O346">
        <f>IF($AG346="","",INDEX('TMP Paste'!$K$2:$K$1601,$AG346))</f>
        <v/>
      </c>
      <c r="P346">
        <f>IF($AG346="","","")</f>
        <v/>
      </c>
      <c r="Q346">
        <f>IF($AG346="","",INDEX('TMP Paste'!$J$2:$J$1601,$AG346))</f>
        <v/>
      </c>
      <c r="R346">
        <f>IF($AG346="","",Config!$B$24)</f>
        <v/>
      </c>
      <c r="S346">
        <f>IF($AG346="","",TEXT(Config!$B$4,"yyyy-mm-dd"))</f>
        <v/>
      </c>
      <c r="T346">
        <f>IF($AG346="","",Config!$B$17)</f>
        <v/>
      </c>
      <c r="U346">
        <f>IF($AG346="","",Config!$B$18)</f>
        <v/>
      </c>
      <c r="V346">
        <f>IF($AG346="","",Config!$B$19)</f>
        <v/>
      </c>
      <c r="W346">
        <f>IF($AG346="","",INDEX('TMP Paste'!$C$2:$C$1601,$AG346))</f>
        <v/>
      </c>
      <c r="X346">
        <f>IF($AG346="","",Config!$B$29)</f>
        <v/>
      </c>
      <c r="Y346">
        <f>IF($AH346="","",INDEX(Calc!$I$2:$I$1601,$AH346)&amp;" - "&amp;INDEX(Calc!$D$2:$D$1601,$AH346)&amp;" koli")</f>
        <v/>
      </c>
      <c r="Z346">
        <f>IF($AG346="","",Config!$B$21)</f>
        <v/>
      </c>
      <c r="AA346">
        <f>IF($AG346="","",Config!$B$22)</f>
        <v/>
      </c>
      <c r="AB346">
        <f>IF($AH346="","",INDEX(Calc!$D$2:$D$1601,$AH346))</f>
        <v/>
      </c>
      <c r="AC346">
        <f>IF($AH346="","",INDEX(Calc!$G$2:$G$1601,$AH346))</f>
        <v/>
      </c>
      <c r="AD346">
        <f>IF($AG346="","",Config!$B$23)</f>
        <v/>
      </c>
      <c r="AE346">
        <f>IF($AG346="","",Config!$B$28)</f>
        <v/>
      </c>
      <c r="AG346">
        <f>IFERROR(MATCH(ROW()-1,Calc!$J$2:$J$1601,0),"")</f>
        <v/>
      </c>
      <c r="AH346">
        <f>IFERROR(MATCH(ROW()-1,Calc!$K$2:$K$1601,0),"")</f>
        <v/>
      </c>
      <c r="AI346">
        <f>IF($AG346="","",SUMIF($AG$2:$AG346,$AG346,$AH$2:$AH346))</f>
        <v/>
      </c>
      <c r="AJ346">
        <f>IF('TMP Paste'!$F346="","",IF('TMP Paste'!$B346="",$AJ345,'TMP Paste'!$B346))</f>
        <v/>
      </c>
      <c r="AK346">
        <f>IF('TMP Paste'!$F346="","",N('TMP Paste'!$G346))</f>
        <v/>
      </c>
      <c r="AL346">
        <f>IF('TMP Paste'!$F346="","",IF('TMP Paste'!$M346="",$AL345,'TMP Paste'!$M346))</f>
        <v/>
      </c>
      <c r="AM346">
        <f>IF('TMP Paste'!$F346="","",IF('TMP Paste'!$N346="",$AM345,'TMP Paste'!$N346))</f>
        <v/>
      </c>
      <c r="AN346">
        <f>IF('TMP Paste'!$F346="","",IF('TMP Paste'!$O346="",$AN345,'TMP Paste'!$O346))</f>
        <v/>
      </c>
      <c r="AO346">
        <f>IF('TMP Paste'!$F346="","",IF('TMP Paste'!$P346="",$AO345,'TMP Paste'!$P346))</f>
        <v/>
      </c>
      <c r="AP346">
        <f>IF($AG346="","",LEN($R346))</f>
        <v/>
      </c>
      <c r="AQ346">
        <f>IF($AG346="","",TRIM(IF(COUNTIFS(Calc!$B$2:$B$1601,ROW()-1,Calc!$C$2:$C$1601,"&lt;1")&gt;0,"Ada PO tanpa Koli - cek TMP. ","")&amp;IF(LEN($R346)&gt;500,"R &gt; 500 karakter.","")))</f>
        <v/>
      </c>
    </row>
    <row r="347">
      <c r="A347">
        <f>IF($AG347="","",INDEX('TMP Paste'!$B$2:$B$1601,$AG347))</f>
        <v/>
      </c>
      <c r="B347">
        <f>IF($AG347="","",Config!$B$14)</f>
        <v/>
      </c>
      <c r="C347">
        <f>IF($AG347="","",Config!$B$15)</f>
        <v/>
      </c>
      <c r="D347">
        <f>IF($AG347="","",INDEX('TMP Paste'!$B$2:$B$1601,$AG347))</f>
        <v/>
      </c>
      <c r="E347">
        <f>IF($AG347="","",Config!$B$27)</f>
        <v/>
      </c>
      <c r="F347">
        <f>IF($AG347="","",Config!$B$9)</f>
        <v/>
      </c>
      <c r="G347">
        <f>IF($AG347="","",Config!$B$10)</f>
        <v/>
      </c>
      <c r="H347">
        <f>IF($AG347="","",Config!$B$11)</f>
        <v/>
      </c>
      <c r="I347">
        <f>IF($AG347="","",Config!$B$16)</f>
        <v/>
      </c>
      <c r="J347">
        <f>IF($AG347="","",INDEX('TMP Paste'!$A$2:$A$1601,$AG347))</f>
        <v/>
      </c>
      <c r="K347">
        <f>IF($AG347="","",INDEX('TMP Paste'!$L$2:$L$1601,$AG347))</f>
        <v/>
      </c>
      <c r="L347">
        <f>IF($AG347="","",INDEX('TMP Paste'!$I$2:$I$1601,$AG347))</f>
        <v/>
      </c>
      <c r="M347">
        <f>IF($AG347="","",Config!$B$16)</f>
        <v/>
      </c>
      <c r="N347">
        <f>IF($AG347="","","")</f>
        <v/>
      </c>
      <c r="O347">
        <f>IF($AG347="","",INDEX('TMP Paste'!$K$2:$K$1601,$AG347))</f>
        <v/>
      </c>
      <c r="P347">
        <f>IF($AG347="","","")</f>
        <v/>
      </c>
      <c r="Q347">
        <f>IF($AG347="","",INDEX('TMP Paste'!$J$2:$J$1601,$AG347))</f>
        <v/>
      </c>
      <c r="R347">
        <f>IF($AG347="","",Config!$B$24)</f>
        <v/>
      </c>
      <c r="S347">
        <f>IF($AG347="","",TEXT(Config!$B$4,"yyyy-mm-dd"))</f>
        <v/>
      </c>
      <c r="T347">
        <f>IF($AG347="","",Config!$B$17)</f>
        <v/>
      </c>
      <c r="U347">
        <f>IF($AG347="","",Config!$B$18)</f>
        <v/>
      </c>
      <c r="V347">
        <f>IF($AG347="","",Config!$B$19)</f>
        <v/>
      </c>
      <c r="W347">
        <f>IF($AG347="","",INDEX('TMP Paste'!$C$2:$C$1601,$AG347))</f>
        <v/>
      </c>
      <c r="X347">
        <f>IF($AG347="","",Config!$B$29)</f>
        <v/>
      </c>
      <c r="Y347">
        <f>IF($AH347="","",INDEX(Calc!$I$2:$I$1601,$AH347)&amp;" - "&amp;INDEX(Calc!$D$2:$D$1601,$AH347)&amp;" koli")</f>
        <v/>
      </c>
      <c r="Z347">
        <f>IF($AG347="","",Config!$B$21)</f>
        <v/>
      </c>
      <c r="AA347">
        <f>IF($AG347="","",Config!$B$22)</f>
        <v/>
      </c>
      <c r="AB347">
        <f>IF($AH347="","",INDEX(Calc!$D$2:$D$1601,$AH347))</f>
        <v/>
      </c>
      <c r="AC347">
        <f>IF($AH347="","",INDEX(Calc!$G$2:$G$1601,$AH347))</f>
        <v/>
      </c>
      <c r="AD347">
        <f>IF($AG347="","",Config!$B$23)</f>
        <v/>
      </c>
      <c r="AE347">
        <f>IF($AG347="","",Config!$B$28)</f>
        <v/>
      </c>
      <c r="AG347">
        <f>IFERROR(MATCH(ROW()-1,Calc!$J$2:$J$1601,0),"")</f>
        <v/>
      </c>
      <c r="AH347">
        <f>IFERROR(MATCH(ROW()-1,Calc!$K$2:$K$1601,0),"")</f>
        <v/>
      </c>
      <c r="AI347">
        <f>IF($AG347="","",SUMIF($AG$2:$AG347,$AG347,$AH$2:$AH347))</f>
        <v/>
      </c>
      <c r="AJ347">
        <f>IF('TMP Paste'!$F347="","",IF('TMP Paste'!$B347="",$AJ346,'TMP Paste'!$B347))</f>
        <v/>
      </c>
      <c r="AK347">
        <f>IF('TMP Paste'!$F347="","",N('TMP Paste'!$G347))</f>
        <v/>
      </c>
      <c r="AL347">
        <f>IF('TMP Paste'!$F347="","",IF('TMP Paste'!$M347="",$AL346,'TMP Paste'!$M347))</f>
        <v/>
      </c>
      <c r="AM347">
        <f>IF('TMP Paste'!$F347="","",IF('TMP Paste'!$N347="",$AM346,'TMP Paste'!$N347))</f>
        <v/>
      </c>
      <c r="AN347">
        <f>IF('TMP Paste'!$F347="","",IF('TMP Paste'!$O347="",$AN346,'TMP Paste'!$O347))</f>
        <v/>
      </c>
      <c r="AO347">
        <f>IF('TMP Paste'!$F347="","",IF('TMP Paste'!$P347="",$AO346,'TMP Paste'!$P347))</f>
        <v/>
      </c>
      <c r="AP347">
        <f>IF($AG347="","",LEN($R347))</f>
        <v/>
      </c>
      <c r="AQ347">
        <f>IF($AG347="","",TRIM(IF(COUNTIFS(Calc!$B$2:$B$1601,ROW()-1,Calc!$C$2:$C$1601,"&lt;1")&gt;0,"Ada PO tanpa Koli - cek TMP. ","")&amp;IF(LEN($R347)&gt;500,"R &gt; 500 karakter.","")))</f>
        <v/>
      </c>
    </row>
    <row r="348">
      <c r="A348">
        <f>IF($AG348="","",INDEX('TMP Paste'!$B$2:$B$1601,$AG348))</f>
        <v/>
      </c>
      <c r="B348">
        <f>IF($AG348="","",Config!$B$14)</f>
        <v/>
      </c>
      <c r="C348">
        <f>IF($AG348="","",Config!$B$15)</f>
        <v/>
      </c>
      <c r="D348">
        <f>IF($AG348="","",INDEX('TMP Paste'!$B$2:$B$1601,$AG348))</f>
        <v/>
      </c>
      <c r="E348">
        <f>IF($AG348="","",Config!$B$27)</f>
        <v/>
      </c>
      <c r="F348">
        <f>IF($AG348="","",Config!$B$9)</f>
        <v/>
      </c>
      <c r="G348">
        <f>IF($AG348="","",Config!$B$10)</f>
        <v/>
      </c>
      <c r="H348">
        <f>IF($AG348="","",Config!$B$11)</f>
        <v/>
      </c>
      <c r="I348">
        <f>IF($AG348="","",Config!$B$16)</f>
        <v/>
      </c>
      <c r="J348">
        <f>IF($AG348="","",INDEX('TMP Paste'!$A$2:$A$1601,$AG348))</f>
        <v/>
      </c>
      <c r="K348">
        <f>IF($AG348="","",INDEX('TMP Paste'!$L$2:$L$1601,$AG348))</f>
        <v/>
      </c>
      <c r="L348">
        <f>IF($AG348="","",INDEX('TMP Paste'!$I$2:$I$1601,$AG348))</f>
        <v/>
      </c>
      <c r="M348">
        <f>IF($AG348="","",Config!$B$16)</f>
        <v/>
      </c>
      <c r="N348">
        <f>IF($AG348="","","")</f>
        <v/>
      </c>
      <c r="O348">
        <f>IF($AG348="","",INDEX('TMP Paste'!$K$2:$K$1601,$AG348))</f>
        <v/>
      </c>
      <c r="P348">
        <f>IF($AG348="","","")</f>
        <v/>
      </c>
      <c r="Q348">
        <f>IF($AG348="","",INDEX('TMP Paste'!$J$2:$J$1601,$AG348))</f>
        <v/>
      </c>
      <c r="R348">
        <f>IF($AG348="","",Config!$B$24)</f>
        <v/>
      </c>
      <c r="S348">
        <f>IF($AG348="","",TEXT(Config!$B$4,"yyyy-mm-dd"))</f>
        <v/>
      </c>
      <c r="T348">
        <f>IF($AG348="","",Config!$B$17)</f>
        <v/>
      </c>
      <c r="U348">
        <f>IF($AG348="","",Config!$B$18)</f>
        <v/>
      </c>
      <c r="V348">
        <f>IF($AG348="","",Config!$B$19)</f>
        <v/>
      </c>
      <c r="W348">
        <f>IF($AG348="","",INDEX('TMP Paste'!$C$2:$C$1601,$AG348))</f>
        <v/>
      </c>
      <c r="X348">
        <f>IF($AG348="","",Config!$B$29)</f>
        <v/>
      </c>
      <c r="Y348">
        <f>IF($AH348="","",INDEX(Calc!$I$2:$I$1601,$AH348)&amp;" - "&amp;INDEX(Calc!$D$2:$D$1601,$AH348)&amp;" koli")</f>
        <v/>
      </c>
      <c r="Z348">
        <f>IF($AG348="","",Config!$B$21)</f>
        <v/>
      </c>
      <c r="AA348">
        <f>IF($AG348="","",Config!$B$22)</f>
        <v/>
      </c>
      <c r="AB348">
        <f>IF($AH348="","",INDEX(Calc!$D$2:$D$1601,$AH348))</f>
        <v/>
      </c>
      <c r="AC348">
        <f>IF($AH348="","",INDEX(Calc!$G$2:$G$1601,$AH348))</f>
        <v/>
      </c>
      <c r="AD348">
        <f>IF($AG348="","",Config!$B$23)</f>
        <v/>
      </c>
      <c r="AE348">
        <f>IF($AG348="","",Config!$B$28)</f>
        <v/>
      </c>
      <c r="AG348">
        <f>IFERROR(MATCH(ROW()-1,Calc!$J$2:$J$1601,0),"")</f>
        <v/>
      </c>
      <c r="AH348">
        <f>IFERROR(MATCH(ROW()-1,Calc!$K$2:$K$1601,0),"")</f>
        <v/>
      </c>
      <c r="AI348">
        <f>IF($AG348="","",SUMIF($AG$2:$AG348,$AG348,$AH$2:$AH348))</f>
        <v/>
      </c>
      <c r="AJ348">
        <f>IF('TMP Paste'!$F348="","",IF('TMP Paste'!$B348="",$AJ347,'TMP Paste'!$B348))</f>
        <v/>
      </c>
      <c r="AK348">
        <f>IF('TMP Paste'!$F348="","",N('TMP Paste'!$G348))</f>
        <v/>
      </c>
      <c r="AL348">
        <f>IF('TMP Paste'!$F348="","",IF('TMP Paste'!$M348="",$AL347,'TMP Paste'!$M348))</f>
        <v/>
      </c>
      <c r="AM348">
        <f>IF('TMP Paste'!$F348="","",IF('TMP Paste'!$N348="",$AM347,'TMP Paste'!$N348))</f>
        <v/>
      </c>
      <c r="AN348">
        <f>IF('TMP Paste'!$F348="","",IF('TMP Paste'!$O348="",$AN347,'TMP Paste'!$O348))</f>
        <v/>
      </c>
      <c r="AO348">
        <f>IF('TMP Paste'!$F348="","",IF('TMP Paste'!$P348="",$AO347,'TMP Paste'!$P348))</f>
        <v/>
      </c>
      <c r="AP348">
        <f>IF($AG348="","",LEN($R348))</f>
        <v/>
      </c>
      <c r="AQ348">
        <f>IF($AG348="","",TRIM(IF(COUNTIFS(Calc!$B$2:$B$1601,ROW()-1,Calc!$C$2:$C$1601,"&lt;1")&gt;0,"Ada PO tanpa Koli - cek TMP. ","")&amp;IF(LEN($R348)&gt;500,"R &gt; 500 karakter.","")))</f>
        <v/>
      </c>
    </row>
    <row r="349">
      <c r="A349">
        <f>IF($AG349="","",INDEX('TMP Paste'!$B$2:$B$1601,$AG349))</f>
        <v/>
      </c>
      <c r="B349">
        <f>IF($AG349="","",Config!$B$14)</f>
        <v/>
      </c>
      <c r="C349">
        <f>IF($AG349="","",Config!$B$15)</f>
        <v/>
      </c>
      <c r="D349">
        <f>IF($AG349="","",INDEX('TMP Paste'!$B$2:$B$1601,$AG349))</f>
        <v/>
      </c>
      <c r="E349">
        <f>IF($AG349="","",Config!$B$27)</f>
        <v/>
      </c>
      <c r="F349">
        <f>IF($AG349="","",Config!$B$9)</f>
        <v/>
      </c>
      <c r="G349">
        <f>IF($AG349="","",Config!$B$10)</f>
        <v/>
      </c>
      <c r="H349">
        <f>IF($AG349="","",Config!$B$11)</f>
        <v/>
      </c>
      <c r="I349">
        <f>IF($AG349="","",Config!$B$16)</f>
        <v/>
      </c>
      <c r="J349">
        <f>IF($AG349="","",INDEX('TMP Paste'!$A$2:$A$1601,$AG349))</f>
        <v/>
      </c>
      <c r="K349">
        <f>IF($AG349="","",INDEX('TMP Paste'!$L$2:$L$1601,$AG349))</f>
        <v/>
      </c>
      <c r="L349">
        <f>IF($AG349="","",INDEX('TMP Paste'!$I$2:$I$1601,$AG349))</f>
        <v/>
      </c>
      <c r="M349">
        <f>IF($AG349="","",Config!$B$16)</f>
        <v/>
      </c>
      <c r="N349">
        <f>IF($AG349="","","")</f>
        <v/>
      </c>
      <c r="O349">
        <f>IF($AG349="","",INDEX('TMP Paste'!$K$2:$K$1601,$AG349))</f>
        <v/>
      </c>
      <c r="P349">
        <f>IF($AG349="","","")</f>
        <v/>
      </c>
      <c r="Q349">
        <f>IF($AG349="","",INDEX('TMP Paste'!$J$2:$J$1601,$AG349))</f>
        <v/>
      </c>
      <c r="R349">
        <f>IF($AG349="","",Config!$B$24)</f>
        <v/>
      </c>
      <c r="S349">
        <f>IF($AG349="","",TEXT(Config!$B$4,"yyyy-mm-dd"))</f>
        <v/>
      </c>
      <c r="T349">
        <f>IF($AG349="","",Config!$B$17)</f>
        <v/>
      </c>
      <c r="U349">
        <f>IF($AG349="","",Config!$B$18)</f>
        <v/>
      </c>
      <c r="V349">
        <f>IF($AG349="","",Config!$B$19)</f>
        <v/>
      </c>
      <c r="W349">
        <f>IF($AG349="","",INDEX('TMP Paste'!$C$2:$C$1601,$AG349))</f>
        <v/>
      </c>
      <c r="X349">
        <f>IF($AG349="","",Config!$B$29)</f>
        <v/>
      </c>
      <c r="Y349">
        <f>IF($AH349="","",INDEX(Calc!$I$2:$I$1601,$AH349)&amp;" - "&amp;INDEX(Calc!$D$2:$D$1601,$AH349)&amp;" koli")</f>
        <v/>
      </c>
      <c r="Z349">
        <f>IF($AG349="","",Config!$B$21)</f>
        <v/>
      </c>
      <c r="AA349">
        <f>IF($AG349="","",Config!$B$22)</f>
        <v/>
      </c>
      <c r="AB349">
        <f>IF($AH349="","",INDEX(Calc!$D$2:$D$1601,$AH349))</f>
        <v/>
      </c>
      <c r="AC349">
        <f>IF($AH349="","",INDEX(Calc!$G$2:$G$1601,$AH349))</f>
        <v/>
      </c>
      <c r="AD349">
        <f>IF($AG349="","",Config!$B$23)</f>
        <v/>
      </c>
      <c r="AE349">
        <f>IF($AG349="","",Config!$B$28)</f>
        <v/>
      </c>
      <c r="AG349">
        <f>IFERROR(MATCH(ROW()-1,Calc!$J$2:$J$1601,0),"")</f>
        <v/>
      </c>
      <c r="AH349">
        <f>IFERROR(MATCH(ROW()-1,Calc!$K$2:$K$1601,0),"")</f>
        <v/>
      </c>
      <c r="AI349">
        <f>IF($AG349="","",SUMIF($AG$2:$AG349,$AG349,$AH$2:$AH349))</f>
        <v/>
      </c>
      <c r="AJ349">
        <f>IF('TMP Paste'!$F349="","",IF('TMP Paste'!$B349="",$AJ348,'TMP Paste'!$B349))</f>
        <v/>
      </c>
      <c r="AK349">
        <f>IF('TMP Paste'!$F349="","",N('TMP Paste'!$G349))</f>
        <v/>
      </c>
      <c r="AL349">
        <f>IF('TMP Paste'!$F349="","",IF('TMP Paste'!$M349="",$AL348,'TMP Paste'!$M349))</f>
        <v/>
      </c>
      <c r="AM349">
        <f>IF('TMP Paste'!$F349="","",IF('TMP Paste'!$N349="",$AM348,'TMP Paste'!$N349))</f>
        <v/>
      </c>
      <c r="AN349">
        <f>IF('TMP Paste'!$F349="","",IF('TMP Paste'!$O349="",$AN348,'TMP Paste'!$O349))</f>
        <v/>
      </c>
      <c r="AO349">
        <f>IF('TMP Paste'!$F349="","",IF('TMP Paste'!$P349="",$AO348,'TMP Paste'!$P349))</f>
        <v/>
      </c>
      <c r="AP349">
        <f>IF($AG349="","",LEN($R349))</f>
        <v/>
      </c>
      <c r="AQ349">
        <f>IF($AG349="","",TRIM(IF(COUNTIFS(Calc!$B$2:$B$1601,ROW()-1,Calc!$C$2:$C$1601,"&lt;1")&gt;0,"Ada PO tanpa Koli - cek TMP. ","")&amp;IF(LEN($R349)&gt;500,"R &gt; 500 karakter.","")))</f>
        <v/>
      </c>
    </row>
    <row r="350">
      <c r="A350">
        <f>IF($AG350="","",INDEX('TMP Paste'!$B$2:$B$1601,$AG350))</f>
        <v/>
      </c>
      <c r="B350">
        <f>IF($AG350="","",Config!$B$14)</f>
        <v/>
      </c>
      <c r="C350">
        <f>IF($AG350="","",Config!$B$15)</f>
        <v/>
      </c>
      <c r="D350">
        <f>IF($AG350="","",INDEX('TMP Paste'!$B$2:$B$1601,$AG350))</f>
        <v/>
      </c>
      <c r="E350">
        <f>IF($AG350="","",Config!$B$27)</f>
        <v/>
      </c>
      <c r="F350">
        <f>IF($AG350="","",Config!$B$9)</f>
        <v/>
      </c>
      <c r="G350">
        <f>IF($AG350="","",Config!$B$10)</f>
        <v/>
      </c>
      <c r="H350">
        <f>IF($AG350="","",Config!$B$11)</f>
        <v/>
      </c>
      <c r="I350">
        <f>IF($AG350="","",Config!$B$16)</f>
        <v/>
      </c>
      <c r="J350">
        <f>IF($AG350="","",INDEX('TMP Paste'!$A$2:$A$1601,$AG350))</f>
        <v/>
      </c>
      <c r="K350">
        <f>IF($AG350="","",INDEX('TMP Paste'!$L$2:$L$1601,$AG350))</f>
        <v/>
      </c>
      <c r="L350">
        <f>IF($AG350="","",INDEX('TMP Paste'!$I$2:$I$1601,$AG350))</f>
        <v/>
      </c>
      <c r="M350">
        <f>IF($AG350="","",Config!$B$16)</f>
        <v/>
      </c>
      <c r="N350">
        <f>IF($AG350="","","")</f>
        <v/>
      </c>
      <c r="O350">
        <f>IF($AG350="","",INDEX('TMP Paste'!$K$2:$K$1601,$AG350))</f>
        <v/>
      </c>
      <c r="P350">
        <f>IF($AG350="","","")</f>
        <v/>
      </c>
      <c r="Q350">
        <f>IF($AG350="","",INDEX('TMP Paste'!$J$2:$J$1601,$AG350))</f>
        <v/>
      </c>
      <c r="R350">
        <f>IF($AG350="","",Config!$B$24)</f>
        <v/>
      </c>
      <c r="S350">
        <f>IF($AG350="","",TEXT(Config!$B$4,"yyyy-mm-dd"))</f>
        <v/>
      </c>
      <c r="T350">
        <f>IF($AG350="","",Config!$B$17)</f>
        <v/>
      </c>
      <c r="U350">
        <f>IF($AG350="","",Config!$B$18)</f>
        <v/>
      </c>
      <c r="V350">
        <f>IF($AG350="","",Config!$B$19)</f>
        <v/>
      </c>
      <c r="W350">
        <f>IF($AG350="","",INDEX('TMP Paste'!$C$2:$C$1601,$AG350))</f>
        <v/>
      </c>
      <c r="X350">
        <f>IF($AG350="","",Config!$B$29)</f>
        <v/>
      </c>
      <c r="Y350">
        <f>IF($AH350="","",INDEX(Calc!$I$2:$I$1601,$AH350)&amp;" - "&amp;INDEX(Calc!$D$2:$D$1601,$AH350)&amp;" koli")</f>
        <v/>
      </c>
      <c r="Z350">
        <f>IF($AG350="","",Config!$B$21)</f>
        <v/>
      </c>
      <c r="AA350">
        <f>IF($AG350="","",Config!$B$22)</f>
        <v/>
      </c>
      <c r="AB350">
        <f>IF($AH350="","",INDEX(Calc!$D$2:$D$1601,$AH350))</f>
        <v/>
      </c>
      <c r="AC350">
        <f>IF($AH350="","",INDEX(Calc!$G$2:$G$1601,$AH350))</f>
        <v/>
      </c>
      <c r="AD350">
        <f>IF($AG350="","",Config!$B$23)</f>
        <v/>
      </c>
      <c r="AE350">
        <f>IF($AG350="","",Config!$B$28)</f>
        <v/>
      </c>
      <c r="AG350">
        <f>IFERROR(MATCH(ROW()-1,Calc!$J$2:$J$1601,0),"")</f>
        <v/>
      </c>
      <c r="AH350">
        <f>IFERROR(MATCH(ROW()-1,Calc!$K$2:$K$1601,0),"")</f>
        <v/>
      </c>
      <c r="AI350">
        <f>IF($AG350="","",SUMIF($AG$2:$AG350,$AG350,$AH$2:$AH350))</f>
        <v/>
      </c>
      <c r="AJ350">
        <f>IF('TMP Paste'!$F350="","",IF('TMP Paste'!$B350="",$AJ349,'TMP Paste'!$B350))</f>
        <v/>
      </c>
      <c r="AK350">
        <f>IF('TMP Paste'!$F350="","",N('TMP Paste'!$G350))</f>
        <v/>
      </c>
      <c r="AL350">
        <f>IF('TMP Paste'!$F350="","",IF('TMP Paste'!$M350="",$AL349,'TMP Paste'!$M350))</f>
        <v/>
      </c>
      <c r="AM350">
        <f>IF('TMP Paste'!$F350="","",IF('TMP Paste'!$N350="",$AM349,'TMP Paste'!$N350))</f>
        <v/>
      </c>
      <c r="AN350">
        <f>IF('TMP Paste'!$F350="","",IF('TMP Paste'!$O350="",$AN349,'TMP Paste'!$O350))</f>
        <v/>
      </c>
      <c r="AO350">
        <f>IF('TMP Paste'!$F350="","",IF('TMP Paste'!$P350="",$AO349,'TMP Paste'!$P350))</f>
        <v/>
      </c>
      <c r="AP350">
        <f>IF($AG350="","",LEN($R350))</f>
        <v/>
      </c>
      <c r="AQ350">
        <f>IF($AG350="","",TRIM(IF(COUNTIFS(Calc!$B$2:$B$1601,ROW()-1,Calc!$C$2:$C$1601,"&lt;1")&gt;0,"Ada PO tanpa Koli - cek TMP. ","")&amp;IF(LEN($R350)&gt;500,"R &gt; 500 karakter.","")))</f>
        <v/>
      </c>
    </row>
    <row r="351">
      <c r="A351">
        <f>IF($AG351="","",INDEX('TMP Paste'!$B$2:$B$1601,$AG351))</f>
        <v/>
      </c>
      <c r="B351">
        <f>IF($AG351="","",Config!$B$14)</f>
        <v/>
      </c>
      <c r="C351">
        <f>IF($AG351="","",Config!$B$15)</f>
        <v/>
      </c>
      <c r="D351">
        <f>IF($AG351="","",INDEX('TMP Paste'!$B$2:$B$1601,$AG351))</f>
        <v/>
      </c>
      <c r="E351">
        <f>IF($AG351="","",Config!$B$27)</f>
        <v/>
      </c>
      <c r="F351">
        <f>IF($AG351="","",Config!$B$9)</f>
        <v/>
      </c>
      <c r="G351">
        <f>IF($AG351="","",Config!$B$10)</f>
        <v/>
      </c>
      <c r="H351">
        <f>IF($AG351="","",Config!$B$11)</f>
        <v/>
      </c>
      <c r="I351">
        <f>IF($AG351="","",Config!$B$16)</f>
        <v/>
      </c>
      <c r="J351">
        <f>IF($AG351="","",INDEX('TMP Paste'!$A$2:$A$1601,$AG351))</f>
        <v/>
      </c>
      <c r="K351">
        <f>IF($AG351="","",INDEX('TMP Paste'!$L$2:$L$1601,$AG351))</f>
        <v/>
      </c>
      <c r="L351">
        <f>IF($AG351="","",INDEX('TMP Paste'!$I$2:$I$1601,$AG351))</f>
        <v/>
      </c>
      <c r="M351">
        <f>IF($AG351="","",Config!$B$16)</f>
        <v/>
      </c>
      <c r="N351">
        <f>IF($AG351="","","")</f>
        <v/>
      </c>
      <c r="O351">
        <f>IF($AG351="","",INDEX('TMP Paste'!$K$2:$K$1601,$AG351))</f>
        <v/>
      </c>
      <c r="P351">
        <f>IF($AG351="","","")</f>
        <v/>
      </c>
      <c r="Q351">
        <f>IF($AG351="","",INDEX('TMP Paste'!$J$2:$J$1601,$AG351))</f>
        <v/>
      </c>
      <c r="R351">
        <f>IF($AG351="","",Config!$B$24)</f>
        <v/>
      </c>
      <c r="S351">
        <f>IF($AG351="","",TEXT(Config!$B$4,"yyyy-mm-dd"))</f>
        <v/>
      </c>
      <c r="T351">
        <f>IF($AG351="","",Config!$B$17)</f>
        <v/>
      </c>
      <c r="U351">
        <f>IF($AG351="","",Config!$B$18)</f>
        <v/>
      </c>
      <c r="V351">
        <f>IF($AG351="","",Config!$B$19)</f>
        <v/>
      </c>
      <c r="W351">
        <f>IF($AG351="","",INDEX('TMP Paste'!$C$2:$C$1601,$AG351))</f>
        <v/>
      </c>
      <c r="X351">
        <f>IF($AG351="","",Config!$B$29)</f>
        <v/>
      </c>
      <c r="Y351">
        <f>IF($AH351="","",INDEX(Calc!$I$2:$I$1601,$AH351)&amp;" - "&amp;INDEX(Calc!$D$2:$D$1601,$AH351)&amp;" koli")</f>
        <v/>
      </c>
      <c r="Z351">
        <f>IF($AG351="","",Config!$B$21)</f>
        <v/>
      </c>
      <c r="AA351">
        <f>IF($AG351="","",Config!$B$22)</f>
        <v/>
      </c>
      <c r="AB351">
        <f>IF($AH351="","",INDEX(Calc!$D$2:$D$1601,$AH351))</f>
        <v/>
      </c>
      <c r="AC351">
        <f>IF($AH351="","",INDEX(Calc!$G$2:$G$1601,$AH351))</f>
        <v/>
      </c>
      <c r="AD351">
        <f>IF($AG351="","",Config!$B$23)</f>
        <v/>
      </c>
      <c r="AE351">
        <f>IF($AG351="","",Config!$B$28)</f>
        <v/>
      </c>
      <c r="AG351">
        <f>IFERROR(MATCH(ROW()-1,Calc!$J$2:$J$1601,0),"")</f>
        <v/>
      </c>
      <c r="AH351">
        <f>IFERROR(MATCH(ROW()-1,Calc!$K$2:$K$1601,0),"")</f>
        <v/>
      </c>
      <c r="AI351">
        <f>IF($AG351="","",SUMIF($AG$2:$AG351,$AG351,$AH$2:$AH351))</f>
        <v/>
      </c>
      <c r="AJ351">
        <f>IF('TMP Paste'!$F351="","",IF('TMP Paste'!$B351="",$AJ350,'TMP Paste'!$B351))</f>
        <v/>
      </c>
      <c r="AK351">
        <f>IF('TMP Paste'!$F351="","",N('TMP Paste'!$G351))</f>
        <v/>
      </c>
      <c r="AL351">
        <f>IF('TMP Paste'!$F351="","",IF('TMP Paste'!$M351="",$AL350,'TMP Paste'!$M351))</f>
        <v/>
      </c>
      <c r="AM351">
        <f>IF('TMP Paste'!$F351="","",IF('TMP Paste'!$N351="",$AM350,'TMP Paste'!$N351))</f>
        <v/>
      </c>
      <c r="AN351">
        <f>IF('TMP Paste'!$F351="","",IF('TMP Paste'!$O351="",$AN350,'TMP Paste'!$O351))</f>
        <v/>
      </c>
      <c r="AO351">
        <f>IF('TMP Paste'!$F351="","",IF('TMP Paste'!$P351="",$AO350,'TMP Paste'!$P351))</f>
        <v/>
      </c>
      <c r="AP351">
        <f>IF($AG351="","",LEN($R351))</f>
        <v/>
      </c>
      <c r="AQ351">
        <f>IF($AG351="","",TRIM(IF(COUNTIFS(Calc!$B$2:$B$1601,ROW()-1,Calc!$C$2:$C$1601,"&lt;1")&gt;0,"Ada PO tanpa Koli - cek TMP. ","")&amp;IF(LEN($R351)&gt;500,"R &gt; 500 karakter.","")))</f>
        <v/>
      </c>
    </row>
    <row r="352">
      <c r="A352">
        <f>IF($AG352="","",INDEX('TMP Paste'!$B$2:$B$1601,$AG352))</f>
        <v/>
      </c>
      <c r="B352">
        <f>IF($AG352="","",Config!$B$14)</f>
        <v/>
      </c>
      <c r="C352">
        <f>IF($AG352="","",Config!$B$15)</f>
        <v/>
      </c>
      <c r="D352">
        <f>IF($AG352="","",INDEX('TMP Paste'!$B$2:$B$1601,$AG352))</f>
        <v/>
      </c>
      <c r="E352">
        <f>IF($AG352="","",Config!$B$27)</f>
        <v/>
      </c>
      <c r="F352">
        <f>IF($AG352="","",Config!$B$9)</f>
        <v/>
      </c>
      <c r="G352">
        <f>IF($AG352="","",Config!$B$10)</f>
        <v/>
      </c>
      <c r="H352">
        <f>IF($AG352="","",Config!$B$11)</f>
        <v/>
      </c>
      <c r="I352">
        <f>IF($AG352="","",Config!$B$16)</f>
        <v/>
      </c>
      <c r="J352">
        <f>IF($AG352="","",INDEX('TMP Paste'!$A$2:$A$1601,$AG352))</f>
        <v/>
      </c>
      <c r="K352">
        <f>IF($AG352="","",INDEX('TMP Paste'!$L$2:$L$1601,$AG352))</f>
        <v/>
      </c>
      <c r="L352">
        <f>IF($AG352="","",INDEX('TMP Paste'!$I$2:$I$1601,$AG352))</f>
        <v/>
      </c>
      <c r="M352">
        <f>IF($AG352="","",Config!$B$16)</f>
        <v/>
      </c>
      <c r="N352">
        <f>IF($AG352="","","")</f>
        <v/>
      </c>
      <c r="O352">
        <f>IF($AG352="","",INDEX('TMP Paste'!$K$2:$K$1601,$AG352))</f>
        <v/>
      </c>
      <c r="P352">
        <f>IF($AG352="","","")</f>
        <v/>
      </c>
      <c r="Q352">
        <f>IF($AG352="","",INDEX('TMP Paste'!$J$2:$J$1601,$AG352))</f>
        <v/>
      </c>
      <c r="R352">
        <f>IF($AG352="","",Config!$B$24)</f>
        <v/>
      </c>
      <c r="S352">
        <f>IF($AG352="","",TEXT(Config!$B$4,"yyyy-mm-dd"))</f>
        <v/>
      </c>
      <c r="T352">
        <f>IF($AG352="","",Config!$B$17)</f>
        <v/>
      </c>
      <c r="U352">
        <f>IF($AG352="","",Config!$B$18)</f>
        <v/>
      </c>
      <c r="V352">
        <f>IF($AG352="","",Config!$B$19)</f>
        <v/>
      </c>
      <c r="W352">
        <f>IF($AG352="","",INDEX('TMP Paste'!$C$2:$C$1601,$AG352))</f>
        <v/>
      </c>
      <c r="X352">
        <f>IF($AG352="","",Config!$B$29)</f>
        <v/>
      </c>
      <c r="Y352">
        <f>IF($AH352="","",INDEX(Calc!$I$2:$I$1601,$AH352)&amp;" - "&amp;INDEX(Calc!$D$2:$D$1601,$AH352)&amp;" koli")</f>
        <v/>
      </c>
      <c r="Z352">
        <f>IF($AG352="","",Config!$B$21)</f>
        <v/>
      </c>
      <c r="AA352">
        <f>IF($AG352="","",Config!$B$22)</f>
        <v/>
      </c>
      <c r="AB352">
        <f>IF($AH352="","",INDEX(Calc!$D$2:$D$1601,$AH352))</f>
        <v/>
      </c>
      <c r="AC352">
        <f>IF($AH352="","",INDEX(Calc!$G$2:$G$1601,$AH352))</f>
        <v/>
      </c>
      <c r="AD352">
        <f>IF($AG352="","",Config!$B$23)</f>
        <v/>
      </c>
      <c r="AE352">
        <f>IF($AG352="","",Config!$B$28)</f>
        <v/>
      </c>
      <c r="AG352">
        <f>IFERROR(MATCH(ROW()-1,Calc!$J$2:$J$1601,0),"")</f>
        <v/>
      </c>
      <c r="AH352">
        <f>IFERROR(MATCH(ROW()-1,Calc!$K$2:$K$1601,0),"")</f>
        <v/>
      </c>
      <c r="AI352">
        <f>IF($AG352="","",SUMIF($AG$2:$AG352,$AG352,$AH$2:$AH352))</f>
        <v/>
      </c>
      <c r="AJ352">
        <f>IF('TMP Paste'!$F352="","",IF('TMP Paste'!$B352="",$AJ351,'TMP Paste'!$B352))</f>
        <v/>
      </c>
      <c r="AK352">
        <f>IF('TMP Paste'!$F352="","",N('TMP Paste'!$G352))</f>
        <v/>
      </c>
      <c r="AL352">
        <f>IF('TMP Paste'!$F352="","",IF('TMP Paste'!$M352="",$AL351,'TMP Paste'!$M352))</f>
        <v/>
      </c>
      <c r="AM352">
        <f>IF('TMP Paste'!$F352="","",IF('TMP Paste'!$N352="",$AM351,'TMP Paste'!$N352))</f>
        <v/>
      </c>
      <c r="AN352">
        <f>IF('TMP Paste'!$F352="","",IF('TMP Paste'!$O352="",$AN351,'TMP Paste'!$O352))</f>
        <v/>
      </c>
      <c r="AO352">
        <f>IF('TMP Paste'!$F352="","",IF('TMP Paste'!$P352="",$AO351,'TMP Paste'!$P352))</f>
        <v/>
      </c>
      <c r="AP352">
        <f>IF($AG352="","",LEN($R352))</f>
        <v/>
      </c>
      <c r="AQ352">
        <f>IF($AG352="","",TRIM(IF(COUNTIFS(Calc!$B$2:$B$1601,ROW()-1,Calc!$C$2:$C$1601,"&lt;1")&gt;0,"Ada PO tanpa Koli - cek TMP. ","")&amp;IF(LEN($R352)&gt;500,"R &gt; 500 karakter.","")))</f>
        <v/>
      </c>
    </row>
    <row r="353">
      <c r="A353">
        <f>IF($AG353="","",INDEX('TMP Paste'!$B$2:$B$1601,$AG353))</f>
        <v/>
      </c>
      <c r="B353">
        <f>IF($AG353="","",Config!$B$14)</f>
        <v/>
      </c>
      <c r="C353">
        <f>IF($AG353="","",Config!$B$15)</f>
        <v/>
      </c>
      <c r="D353">
        <f>IF($AG353="","",INDEX('TMP Paste'!$B$2:$B$1601,$AG353))</f>
        <v/>
      </c>
      <c r="E353">
        <f>IF($AG353="","",Config!$B$27)</f>
        <v/>
      </c>
      <c r="F353">
        <f>IF($AG353="","",Config!$B$9)</f>
        <v/>
      </c>
      <c r="G353">
        <f>IF($AG353="","",Config!$B$10)</f>
        <v/>
      </c>
      <c r="H353">
        <f>IF($AG353="","",Config!$B$11)</f>
        <v/>
      </c>
      <c r="I353">
        <f>IF($AG353="","",Config!$B$16)</f>
        <v/>
      </c>
      <c r="J353">
        <f>IF($AG353="","",INDEX('TMP Paste'!$A$2:$A$1601,$AG353))</f>
        <v/>
      </c>
      <c r="K353">
        <f>IF($AG353="","",INDEX('TMP Paste'!$L$2:$L$1601,$AG353))</f>
        <v/>
      </c>
      <c r="L353">
        <f>IF($AG353="","",INDEX('TMP Paste'!$I$2:$I$1601,$AG353))</f>
        <v/>
      </c>
      <c r="M353">
        <f>IF($AG353="","",Config!$B$16)</f>
        <v/>
      </c>
      <c r="N353">
        <f>IF($AG353="","","")</f>
        <v/>
      </c>
      <c r="O353">
        <f>IF($AG353="","",INDEX('TMP Paste'!$K$2:$K$1601,$AG353))</f>
        <v/>
      </c>
      <c r="P353">
        <f>IF($AG353="","","")</f>
        <v/>
      </c>
      <c r="Q353">
        <f>IF($AG353="","",INDEX('TMP Paste'!$J$2:$J$1601,$AG353))</f>
        <v/>
      </c>
      <c r="R353">
        <f>IF($AG353="","",Config!$B$24)</f>
        <v/>
      </c>
      <c r="S353">
        <f>IF($AG353="","",TEXT(Config!$B$4,"yyyy-mm-dd"))</f>
        <v/>
      </c>
      <c r="T353">
        <f>IF($AG353="","",Config!$B$17)</f>
        <v/>
      </c>
      <c r="U353">
        <f>IF($AG353="","",Config!$B$18)</f>
        <v/>
      </c>
      <c r="V353">
        <f>IF($AG353="","",Config!$B$19)</f>
        <v/>
      </c>
      <c r="W353">
        <f>IF($AG353="","",INDEX('TMP Paste'!$C$2:$C$1601,$AG353))</f>
        <v/>
      </c>
      <c r="X353">
        <f>IF($AG353="","",Config!$B$29)</f>
        <v/>
      </c>
      <c r="Y353">
        <f>IF($AH353="","",INDEX(Calc!$I$2:$I$1601,$AH353)&amp;" - "&amp;INDEX(Calc!$D$2:$D$1601,$AH353)&amp;" koli")</f>
        <v/>
      </c>
      <c r="Z353">
        <f>IF($AG353="","",Config!$B$21)</f>
        <v/>
      </c>
      <c r="AA353">
        <f>IF($AG353="","",Config!$B$22)</f>
        <v/>
      </c>
      <c r="AB353">
        <f>IF($AH353="","",INDEX(Calc!$D$2:$D$1601,$AH353))</f>
        <v/>
      </c>
      <c r="AC353">
        <f>IF($AH353="","",INDEX(Calc!$G$2:$G$1601,$AH353))</f>
        <v/>
      </c>
      <c r="AD353">
        <f>IF($AG353="","",Config!$B$23)</f>
        <v/>
      </c>
      <c r="AE353">
        <f>IF($AG353="","",Config!$B$28)</f>
        <v/>
      </c>
      <c r="AG353">
        <f>IFERROR(MATCH(ROW()-1,Calc!$J$2:$J$1601,0),"")</f>
        <v/>
      </c>
      <c r="AH353">
        <f>IFERROR(MATCH(ROW()-1,Calc!$K$2:$K$1601,0),"")</f>
        <v/>
      </c>
      <c r="AI353">
        <f>IF($AG353="","",SUMIF($AG$2:$AG353,$AG353,$AH$2:$AH353))</f>
        <v/>
      </c>
      <c r="AJ353">
        <f>IF('TMP Paste'!$F353="","",IF('TMP Paste'!$B353="",$AJ352,'TMP Paste'!$B353))</f>
        <v/>
      </c>
      <c r="AK353">
        <f>IF('TMP Paste'!$F353="","",N('TMP Paste'!$G353))</f>
        <v/>
      </c>
      <c r="AL353">
        <f>IF('TMP Paste'!$F353="","",IF('TMP Paste'!$M353="",$AL352,'TMP Paste'!$M353))</f>
        <v/>
      </c>
      <c r="AM353">
        <f>IF('TMP Paste'!$F353="","",IF('TMP Paste'!$N353="",$AM352,'TMP Paste'!$N353))</f>
        <v/>
      </c>
      <c r="AN353">
        <f>IF('TMP Paste'!$F353="","",IF('TMP Paste'!$O353="",$AN352,'TMP Paste'!$O353))</f>
        <v/>
      </c>
      <c r="AO353">
        <f>IF('TMP Paste'!$F353="","",IF('TMP Paste'!$P353="",$AO352,'TMP Paste'!$P353))</f>
        <v/>
      </c>
      <c r="AP353">
        <f>IF($AG353="","",LEN($R353))</f>
        <v/>
      </c>
      <c r="AQ353">
        <f>IF($AG353="","",TRIM(IF(COUNTIFS(Calc!$B$2:$B$1601,ROW()-1,Calc!$C$2:$C$1601,"&lt;1")&gt;0,"Ada PO tanpa Koli - cek TMP. ","")&amp;IF(LEN($R353)&gt;500,"R &gt; 500 karakter.","")))</f>
        <v/>
      </c>
    </row>
    <row r="354">
      <c r="A354">
        <f>IF($AG354="","",INDEX('TMP Paste'!$B$2:$B$1601,$AG354))</f>
        <v/>
      </c>
      <c r="B354">
        <f>IF($AG354="","",Config!$B$14)</f>
        <v/>
      </c>
      <c r="C354">
        <f>IF($AG354="","",Config!$B$15)</f>
        <v/>
      </c>
      <c r="D354">
        <f>IF($AG354="","",INDEX('TMP Paste'!$B$2:$B$1601,$AG354))</f>
        <v/>
      </c>
      <c r="E354">
        <f>IF($AG354="","",Config!$B$27)</f>
        <v/>
      </c>
      <c r="F354">
        <f>IF($AG354="","",Config!$B$9)</f>
        <v/>
      </c>
      <c r="G354">
        <f>IF($AG354="","",Config!$B$10)</f>
        <v/>
      </c>
      <c r="H354">
        <f>IF($AG354="","",Config!$B$11)</f>
        <v/>
      </c>
      <c r="I354">
        <f>IF($AG354="","",Config!$B$16)</f>
        <v/>
      </c>
      <c r="J354">
        <f>IF($AG354="","",INDEX('TMP Paste'!$A$2:$A$1601,$AG354))</f>
        <v/>
      </c>
      <c r="K354">
        <f>IF($AG354="","",INDEX('TMP Paste'!$L$2:$L$1601,$AG354))</f>
        <v/>
      </c>
      <c r="L354">
        <f>IF($AG354="","",INDEX('TMP Paste'!$I$2:$I$1601,$AG354))</f>
        <v/>
      </c>
      <c r="M354">
        <f>IF($AG354="","",Config!$B$16)</f>
        <v/>
      </c>
      <c r="N354">
        <f>IF($AG354="","","")</f>
        <v/>
      </c>
      <c r="O354">
        <f>IF($AG354="","",INDEX('TMP Paste'!$K$2:$K$1601,$AG354))</f>
        <v/>
      </c>
      <c r="P354">
        <f>IF($AG354="","","")</f>
        <v/>
      </c>
      <c r="Q354">
        <f>IF($AG354="","",INDEX('TMP Paste'!$J$2:$J$1601,$AG354))</f>
        <v/>
      </c>
      <c r="R354">
        <f>IF($AG354="","",Config!$B$24)</f>
        <v/>
      </c>
      <c r="S354">
        <f>IF($AG354="","",TEXT(Config!$B$4,"yyyy-mm-dd"))</f>
        <v/>
      </c>
      <c r="T354">
        <f>IF($AG354="","",Config!$B$17)</f>
        <v/>
      </c>
      <c r="U354">
        <f>IF($AG354="","",Config!$B$18)</f>
        <v/>
      </c>
      <c r="V354">
        <f>IF($AG354="","",Config!$B$19)</f>
        <v/>
      </c>
      <c r="W354">
        <f>IF($AG354="","",INDEX('TMP Paste'!$C$2:$C$1601,$AG354))</f>
        <v/>
      </c>
      <c r="X354">
        <f>IF($AG354="","",Config!$B$29)</f>
        <v/>
      </c>
      <c r="Y354">
        <f>IF($AH354="","",INDEX(Calc!$I$2:$I$1601,$AH354)&amp;" - "&amp;INDEX(Calc!$D$2:$D$1601,$AH354)&amp;" koli")</f>
        <v/>
      </c>
      <c r="Z354">
        <f>IF($AG354="","",Config!$B$21)</f>
        <v/>
      </c>
      <c r="AA354">
        <f>IF($AG354="","",Config!$B$22)</f>
        <v/>
      </c>
      <c r="AB354">
        <f>IF($AH354="","",INDEX(Calc!$D$2:$D$1601,$AH354))</f>
        <v/>
      </c>
      <c r="AC354">
        <f>IF($AH354="","",INDEX(Calc!$G$2:$G$1601,$AH354))</f>
        <v/>
      </c>
      <c r="AD354">
        <f>IF($AG354="","",Config!$B$23)</f>
        <v/>
      </c>
      <c r="AE354">
        <f>IF($AG354="","",Config!$B$28)</f>
        <v/>
      </c>
      <c r="AG354">
        <f>IFERROR(MATCH(ROW()-1,Calc!$J$2:$J$1601,0),"")</f>
        <v/>
      </c>
      <c r="AH354">
        <f>IFERROR(MATCH(ROW()-1,Calc!$K$2:$K$1601,0),"")</f>
        <v/>
      </c>
      <c r="AI354">
        <f>IF($AG354="","",SUMIF($AG$2:$AG354,$AG354,$AH$2:$AH354))</f>
        <v/>
      </c>
      <c r="AJ354">
        <f>IF('TMP Paste'!$F354="","",IF('TMP Paste'!$B354="",$AJ353,'TMP Paste'!$B354))</f>
        <v/>
      </c>
      <c r="AK354">
        <f>IF('TMP Paste'!$F354="","",N('TMP Paste'!$G354))</f>
        <v/>
      </c>
      <c r="AL354">
        <f>IF('TMP Paste'!$F354="","",IF('TMP Paste'!$M354="",$AL353,'TMP Paste'!$M354))</f>
        <v/>
      </c>
      <c r="AM354">
        <f>IF('TMP Paste'!$F354="","",IF('TMP Paste'!$N354="",$AM353,'TMP Paste'!$N354))</f>
        <v/>
      </c>
      <c r="AN354">
        <f>IF('TMP Paste'!$F354="","",IF('TMP Paste'!$O354="",$AN353,'TMP Paste'!$O354))</f>
        <v/>
      </c>
      <c r="AO354">
        <f>IF('TMP Paste'!$F354="","",IF('TMP Paste'!$P354="",$AO353,'TMP Paste'!$P354))</f>
        <v/>
      </c>
      <c r="AP354">
        <f>IF($AG354="","",LEN($R354))</f>
        <v/>
      </c>
      <c r="AQ354">
        <f>IF($AG354="","",TRIM(IF(COUNTIFS(Calc!$B$2:$B$1601,ROW()-1,Calc!$C$2:$C$1601,"&lt;1")&gt;0,"Ada PO tanpa Koli - cek TMP. ","")&amp;IF(LEN($R354)&gt;500,"R &gt; 500 karakter.","")))</f>
        <v/>
      </c>
    </row>
    <row r="355">
      <c r="A355">
        <f>IF($AG355="","",INDEX('TMP Paste'!$B$2:$B$1601,$AG355))</f>
        <v/>
      </c>
      <c r="B355">
        <f>IF($AG355="","",Config!$B$14)</f>
        <v/>
      </c>
      <c r="C355">
        <f>IF($AG355="","",Config!$B$15)</f>
        <v/>
      </c>
      <c r="D355">
        <f>IF($AG355="","",INDEX('TMP Paste'!$B$2:$B$1601,$AG355))</f>
        <v/>
      </c>
      <c r="E355">
        <f>IF($AG355="","",Config!$B$27)</f>
        <v/>
      </c>
      <c r="F355">
        <f>IF($AG355="","",Config!$B$9)</f>
        <v/>
      </c>
      <c r="G355">
        <f>IF($AG355="","",Config!$B$10)</f>
        <v/>
      </c>
      <c r="H355">
        <f>IF($AG355="","",Config!$B$11)</f>
        <v/>
      </c>
      <c r="I355">
        <f>IF($AG355="","",Config!$B$16)</f>
        <v/>
      </c>
      <c r="J355">
        <f>IF($AG355="","",INDEX('TMP Paste'!$A$2:$A$1601,$AG355))</f>
        <v/>
      </c>
      <c r="K355">
        <f>IF($AG355="","",INDEX('TMP Paste'!$L$2:$L$1601,$AG355))</f>
        <v/>
      </c>
      <c r="L355">
        <f>IF($AG355="","",INDEX('TMP Paste'!$I$2:$I$1601,$AG355))</f>
        <v/>
      </c>
      <c r="M355">
        <f>IF($AG355="","",Config!$B$16)</f>
        <v/>
      </c>
      <c r="N355">
        <f>IF($AG355="","","")</f>
        <v/>
      </c>
      <c r="O355">
        <f>IF($AG355="","",INDEX('TMP Paste'!$K$2:$K$1601,$AG355))</f>
        <v/>
      </c>
      <c r="P355">
        <f>IF($AG355="","","")</f>
        <v/>
      </c>
      <c r="Q355">
        <f>IF($AG355="","",INDEX('TMP Paste'!$J$2:$J$1601,$AG355))</f>
        <v/>
      </c>
      <c r="R355">
        <f>IF($AG355="","",Config!$B$24)</f>
        <v/>
      </c>
      <c r="S355">
        <f>IF($AG355="","",TEXT(Config!$B$4,"yyyy-mm-dd"))</f>
        <v/>
      </c>
      <c r="T355">
        <f>IF($AG355="","",Config!$B$17)</f>
        <v/>
      </c>
      <c r="U355">
        <f>IF($AG355="","",Config!$B$18)</f>
        <v/>
      </c>
      <c r="V355">
        <f>IF($AG355="","",Config!$B$19)</f>
        <v/>
      </c>
      <c r="W355">
        <f>IF($AG355="","",INDEX('TMP Paste'!$C$2:$C$1601,$AG355))</f>
        <v/>
      </c>
      <c r="X355">
        <f>IF($AG355="","",Config!$B$29)</f>
        <v/>
      </c>
      <c r="Y355">
        <f>IF($AH355="","",INDEX(Calc!$I$2:$I$1601,$AH355)&amp;" - "&amp;INDEX(Calc!$D$2:$D$1601,$AH355)&amp;" koli")</f>
        <v/>
      </c>
      <c r="Z355">
        <f>IF($AG355="","",Config!$B$21)</f>
        <v/>
      </c>
      <c r="AA355">
        <f>IF($AG355="","",Config!$B$22)</f>
        <v/>
      </c>
      <c r="AB355">
        <f>IF($AH355="","",INDEX(Calc!$D$2:$D$1601,$AH355))</f>
        <v/>
      </c>
      <c r="AC355">
        <f>IF($AH355="","",INDEX(Calc!$G$2:$G$1601,$AH355))</f>
        <v/>
      </c>
      <c r="AD355">
        <f>IF($AG355="","",Config!$B$23)</f>
        <v/>
      </c>
      <c r="AE355">
        <f>IF($AG355="","",Config!$B$28)</f>
        <v/>
      </c>
      <c r="AG355">
        <f>IFERROR(MATCH(ROW()-1,Calc!$J$2:$J$1601,0),"")</f>
        <v/>
      </c>
      <c r="AH355">
        <f>IFERROR(MATCH(ROW()-1,Calc!$K$2:$K$1601,0),"")</f>
        <v/>
      </c>
      <c r="AI355">
        <f>IF($AG355="","",SUMIF($AG$2:$AG355,$AG355,$AH$2:$AH355))</f>
        <v/>
      </c>
      <c r="AJ355">
        <f>IF('TMP Paste'!$F355="","",IF('TMP Paste'!$B355="",$AJ354,'TMP Paste'!$B355))</f>
        <v/>
      </c>
      <c r="AK355">
        <f>IF('TMP Paste'!$F355="","",N('TMP Paste'!$G355))</f>
        <v/>
      </c>
      <c r="AL355">
        <f>IF('TMP Paste'!$F355="","",IF('TMP Paste'!$M355="",$AL354,'TMP Paste'!$M355))</f>
        <v/>
      </c>
      <c r="AM355">
        <f>IF('TMP Paste'!$F355="","",IF('TMP Paste'!$N355="",$AM354,'TMP Paste'!$N355))</f>
        <v/>
      </c>
      <c r="AN355">
        <f>IF('TMP Paste'!$F355="","",IF('TMP Paste'!$O355="",$AN354,'TMP Paste'!$O355))</f>
        <v/>
      </c>
      <c r="AO355">
        <f>IF('TMP Paste'!$F355="","",IF('TMP Paste'!$P355="",$AO354,'TMP Paste'!$P355))</f>
        <v/>
      </c>
      <c r="AP355">
        <f>IF($AG355="","",LEN($R355))</f>
        <v/>
      </c>
      <c r="AQ355">
        <f>IF($AG355="","",TRIM(IF(COUNTIFS(Calc!$B$2:$B$1601,ROW()-1,Calc!$C$2:$C$1601,"&lt;1")&gt;0,"Ada PO tanpa Koli - cek TMP. ","")&amp;IF(LEN($R355)&gt;500,"R &gt; 500 karakter.","")))</f>
        <v/>
      </c>
    </row>
    <row r="356">
      <c r="A356">
        <f>IF($AG356="","",INDEX('TMP Paste'!$B$2:$B$1601,$AG356))</f>
        <v/>
      </c>
      <c r="B356">
        <f>IF($AG356="","",Config!$B$14)</f>
        <v/>
      </c>
      <c r="C356">
        <f>IF($AG356="","",Config!$B$15)</f>
        <v/>
      </c>
      <c r="D356">
        <f>IF($AG356="","",INDEX('TMP Paste'!$B$2:$B$1601,$AG356))</f>
        <v/>
      </c>
      <c r="E356">
        <f>IF($AG356="","",Config!$B$27)</f>
        <v/>
      </c>
      <c r="F356">
        <f>IF($AG356="","",Config!$B$9)</f>
        <v/>
      </c>
      <c r="G356">
        <f>IF($AG356="","",Config!$B$10)</f>
        <v/>
      </c>
      <c r="H356">
        <f>IF($AG356="","",Config!$B$11)</f>
        <v/>
      </c>
      <c r="I356">
        <f>IF($AG356="","",Config!$B$16)</f>
        <v/>
      </c>
      <c r="J356">
        <f>IF($AG356="","",INDEX('TMP Paste'!$A$2:$A$1601,$AG356))</f>
        <v/>
      </c>
      <c r="K356">
        <f>IF($AG356="","",INDEX('TMP Paste'!$L$2:$L$1601,$AG356))</f>
        <v/>
      </c>
      <c r="L356">
        <f>IF($AG356="","",INDEX('TMP Paste'!$I$2:$I$1601,$AG356))</f>
        <v/>
      </c>
      <c r="M356">
        <f>IF($AG356="","",Config!$B$16)</f>
        <v/>
      </c>
      <c r="N356">
        <f>IF($AG356="","","")</f>
        <v/>
      </c>
      <c r="O356">
        <f>IF($AG356="","",INDEX('TMP Paste'!$K$2:$K$1601,$AG356))</f>
        <v/>
      </c>
      <c r="P356">
        <f>IF($AG356="","","")</f>
        <v/>
      </c>
      <c r="Q356">
        <f>IF($AG356="","",INDEX('TMP Paste'!$J$2:$J$1601,$AG356))</f>
        <v/>
      </c>
      <c r="R356">
        <f>IF($AG356="","",Config!$B$24)</f>
        <v/>
      </c>
      <c r="S356">
        <f>IF($AG356="","",TEXT(Config!$B$4,"yyyy-mm-dd"))</f>
        <v/>
      </c>
      <c r="T356">
        <f>IF($AG356="","",Config!$B$17)</f>
        <v/>
      </c>
      <c r="U356">
        <f>IF($AG356="","",Config!$B$18)</f>
        <v/>
      </c>
      <c r="V356">
        <f>IF($AG356="","",Config!$B$19)</f>
        <v/>
      </c>
      <c r="W356">
        <f>IF($AG356="","",INDEX('TMP Paste'!$C$2:$C$1601,$AG356))</f>
        <v/>
      </c>
      <c r="X356">
        <f>IF($AG356="","",Config!$B$29)</f>
        <v/>
      </c>
      <c r="Y356">
        <f>IF($AH356="","",INDEX(Calc!$I$2:$I$1601,$AH356)&amp;" - "&amp;INDEX(Calc!$D$2:$D$1601,$AH356)&amp;" koli")</f>
        <v/>
      </c>
      <c r="Z356">
        <f>IF($AG356="","",Config!$B$21)</f>
        <v/>
      </c>
      <c r="AA356">
        <f>IF($AG356="","",Config!$B$22)</f>
        <v/>
      </c>
      <c r="AB356">
        <f>IF($AH356="","",INDEX(Calc!$D$2:$D$1601,$AH356))</f>
        <v/>
      </c>
      <c r="AC356">
        <f>IF($AH356="","",INDEX(Calc!$G$2:$G$1601,$AH356))</f>
        <v/>
      </c>
      <c r="AD356">
        <f>IF($AG356="","",Config!$B$23)</f>
        <v/>
      </c>
      <c r="AE356">
        <f>IF($AG356="","",Config!$B$28)</f>
        <v/>
      </c>
      <c r="AG356">
        <f>IFERROR(MATCH(ROW()-1,Calc!$J$2:$J$1601,0),"")</f>
        <v/>
      </c>
      <c r="AH356">
        <f>IFERROR(MATCH(ROW()-1,Calc!$K$2:$K$1601,0),"")</f>
        <v/>
      </c>
      <c r="AI356">
        <f>IF($AG356="","",SUMIF($AG$2:$AG356,$AG356,$AH$2:$AH356))</f>
        <v/>
      </c>
      <c r="AJ356">
        <f>IF('TMP Paste'!$F356="","",IF('TMP Paste'!$B356="",$AJ355,'TMP Paste'!$B356))</f>
        <v/>
      </c>
      <c r="AK356">
        <f>IF('TMP Paste'!$F356="","",N('TMP Paste'!$G356))</f>
        <v/>
      </c>
      <c r="AL356">
        <f>IF('TMP Paste'!$F356="","",IF('TMP Paste'!$M356="",$AL355,'TMP Paste'!$M356))</f>
        <v/>
      </c>
      <c r="AM356">
        <f>IF('TMP Paste'!$F356="","",IF('TMP Paste'!$N356="",$AM355,'TMP Paste'!$N356))</f>
        <v/>
      </c>
      <c r="AN356">
        <f>IF('TMP Paste'!$F356="","",IF('TMP Paste'!$O356="",$AN355,'TMP Paste'!$O356))</f>
        <v/>
      </c>
      <c r="AO356">
        <f>IF('TMP Paste'!$F356="","",IF('TMP Paste'!$P356="",$AO355,'TMP Paste'!$P356))</f>
        <v/>
      </c>
      <c r="AP356">
        <f>IF($AG356="","",LEN($R356))</f>
        <v/>
      </c>
      <c r="AQ356">
        <f>IF($AG356="","",TRIM(IF(COUNTIFS(Calc!$B$2:$B$1601,ROW()-1,Calc!$C$2:$C$1601,"&lt;1")&gt;0,"Ada PO tanpa Koli - cek TMP. ","")&amp;IF(LEN($R356)&gt;500,"R &gt; 500 karakter.","")))</f>
        <v/>
      </c>
    </row>
    <row r="357">
      <c r="A357">
        <f>IF($AG357="","",INDEX('TMP Paste'!$B$2:$B$1601,$AG357))</f>
        <v/>
      </c>
      <c r="B357">
        <f>IF($AG357="","",Config!$B$14)</f>
        <v/>
      </c>
      <c r="C357">
        <f>IF($AG357="","",Config!$B$15)</f>
        <v/>
      </c>
      <c r="D357">
        <f>IF($AG357="","",INDEX('TMP Paste'!$B$2:$B$1601,$AG357))</f>
        <v/>
      </c>
      <c r="E357">
        <f>IF($AG357="","",Config!$B$27)</f>
        <v/>
      </c>
      <c r="F357">
        <f>IF($AG357="","",Config!$B$9)</f>
        <v/>
      </c>
      <c r="G357">
        <f>IF($AG357="","",Config!$B$10)</f>
        <v/>
      </c>
      <c r="H357">
        <f>IF($AG357="","",Config!$B$11)</f>
        <v/>
      </c>
      <c r="I357">
        <f>IF($AG357="","",Config!$B$16)</f>
        <v/>
      </c>
      <c r="J357">
        <f>IF($AG357="","",INDEX('TMP Paste'!$A$2:$A$1601,$AG357))</f>
        <v/>
      </c>
      <c r="K357">
        <f>IF($AG357="","",INDEX('TMP Paste'!$L$2:$L$1601,$AG357))</f>
        <v/>
      </c>
      <c r="L357">
        <f>IF($AG357="","",INDEX('TMP Paste'!$I$2:$I$1601,$AG357))</f>
        <v/>
      </c>
      <c r="M357">
        <f>IF($AG357="","",Config!$B$16)</f>
        <v/>
      </c>
      <c r="N357">
        <f>IF($AG357="","","")</f>
        <v/>
      </c>
      <c r="O357">
        <f>IF($AG357="","",INDEX('TMP Paste'!$K$2:$K$1601,$AG357))</f>
        <v/>
      </c>
      <c r="P357">
        <f>IF($AG357="","","")</f>
        <v/>
      </c>
      <c r="Q357">
        <f>IF($AG357="","",INDEX('TMP Paste'!$J$2:$J$1601,$AG357))</f>
        <v/>
      </c>
      <c r="R357">
        <f>IF($AG357="","",Config!$B$24)</f>
        <v/>
      </c>
      <c r="S357">
        <f>IF($AG357="","",TEXT(Config!$B$4,"yyyy-mm-dd"))</f>
        <v/>
      </c>
      <c r="T357">
        <f>IF($AG357="","",Config!$B$17)</f>
        <v/>
      </c>
      <c r="U357">
        <f>IF($AG357="","",Config!$B$18)</f>
        <v/>
      </c>
      <c r="V357">
        <f>IF($AG357="","",Config!$B$19)</f>
        <v/>
      </c>
      <c r="W357">
        <f>IF($AG357="","",INDEX('TMP Paste'!$C$2:$C$1601,$AG357))</f>
        <v/>
      </c>
      <c r="X357">
        <f>IF($AG357="","",Config!$B$29)</f>
        <v/>
      </c>
      <c r="Y357">
        <f>IF($AH357="","",INDEX(Calc!$I$2:$I$1601,$AH357)&amp;" - "&amp;INDEX(Calc!$D$2:$D$1601,$AH357)&amp;" koli")</f>
        <v/>
      </c>
      <c r="Z357">
        <f>IF($AG357="","",Config!$B$21)</f>
        <v/>
      </c>
      <c r="AA357">
        <f>IF($AG357="","",Config!$B$22)</f>
        <v/>
      </c>
      <c r="AB357">
        <f>IF($AH357="","",INDEX(Calc!$D$2:$D$1601,$AH357))</f>
        <v/>
      </c>
      <c r="AC357">
        <f>IF($AH357="","",INDEX(Calc!$G$2:$G$1601,$AH357))</f>
        <v/>
      </c>
      <c r="AD357">
        <f>IF($AG357="","",Config!$B$23)</f>
        <v/>
      </c>
      <c r="AE357">
        <f>IF($AG357="","",Config!$B$28)</f>
        <v/>
      </c>
      <c r="AG357">
        <f>IFERROR(MATCH(ROW()-1,Calc!$J$2:$J$1601,0),"")</f>
        <v/>
      </c>
      <c r="AH357">
        <f>IFERROR(MATCH(ROW()-1,Calc!$K$2:$K$1601,0),"")</f>
        <v/>
      </c>
      <c r="AI357">
        <f>IF($AG357="","",SUMIF($AG$2:$AG357,$AG357,$AH$2:$AH357))</f>
        <v/>
      </c>
      <c r="AJ357">
        <f>IF('TMP Paste'!$F357="","",IF('TMP Paste'!$B357="",$AJ356,'TMP Paste'!$B357))</f>
        <v/>
      </c>
      <c r="AK357">
        <f>IF('TMP Paste'!$F357="","",N('TMP Paste'!$G357))</f>
        <v/>
      </c>
      <c r="AL357">
        <f>IF('TMP Paste'!$F357="","",IF('TMP Paste'!$M357="",$AL356,'TMP Paste'!$M357))</f>
        <v/>
      </c>
      <c r="AM357">
        <f>IF('TMP Paste'!$F357="","",IF('TMP Paste'!$N357="",$AM356,'TMP Paste'!$N357))</f>
        <v/>
      </c>
      <c r="AN357">
        <f>IF('TMP Paste'!$F357="","",IF('TMP Paste'!$O357="",$AN356,'TMP Paste'!$O357))</f>
        <v/>
      </c>
      <c r="AO357">
        <f>IF('TMP Paste'!$F357="","",IF('TMP Paste'!$P357="",$AO356,'TMP Paste'!$P357))</f>
        <v/>
      </c>
      <c r="AP357">
        <f>IF($AG357="","",LEN($R357))</f>
        <v/>
      </c>
      <c r="AQ357">
        <f>IF($AG357="","",TRIM(IF(COUNTIFS(Calc!$B$2:$B$1601,ROW()-1,Calc!$C$2:$C$1601,"&lt;1")&gt;0,"Ada PO tanpa Koli - cek TMP. ","")&amp;IF(LEN($R357)&gt;500,"R &gt; 500 karakter.","")))</f>
        <v/>
      </c>
    </row>
    <row r="358">
      <c r="A358">
        <f>IF($AG358="","",INDEX('TMP Paste'!$B$2:$B$1601,$AG358))</f>
        <v/>
      </c>
      <c r="B358">
        <f>IF($AG358="","",Config!$B$14)</f>
        <v/>
      </c>
      <c r="C358">
        <f>IF($AG358="","",Config!$B$15)</f>
        <v/>
      </c>
      <c r="D358">
        <f>IF($AG358="","",INDEX('TMP Paste'!$B$2:$B$1601,$AG358))</f>
        <v/>
      </c>
      <c r="E358">
        <f>IF($AG358="","",Config!$B$27)</f>
        <v/>
      </c>
      <c r="F358">
        <f>IF($AG358="","",Config!$B$9)</f>
        <v/>
      </c>
      <c r="G358">
        <f>IF($AG358="","",Config!$B$10)</f>
        <v/>
      </c>
      <c r="H358">
        <f>IF($AG358="","",Config!$B$11)</f>
        <v/>
      </c>
      <c r="I358">
        <f>IF($AG358="","",Config!$B$16)</f>
        <v/>
      </c>
      <c r="J358">
        <f>IF($AG358="","",INDEX('TMP Paste'!$A$2:$A$1601,$AG358))</f>
        <v/>
      </c>
      <c r="K358">
        <f>IF($AG358="","",INDEX('TMP Paste'!$L$2:$L$1601,$AG358))</f>
        <v/>
      </c>
      <c r="L358">
        <f>IF($AG358="","",INDEX('TMP Paste'!$I$2:$I$1601,$AG358))</f>
        <v/>
      </c>
      <c r="M358">
        <f>IF($AG358="","",Config!$B$16)</f>
        <v/>
      </c>
      <c r="N358">
        <f>IF($AG358="","","")</f>
        <v/>
      </c>
      <c r="O358">
        <f>IF($AG358="","",INDEX('TMP Paste'!$K$2:$K$1601,$AG358))</f>
        <v/>
      </c>
      <c r="P358">
        <f>IF($AG358="","","")</f>
        <v/>
      </c>
      <c r="Q358">
        <f>IF($AG358="","",INDEX('TMP Paste'!$J$2:$J$1601,$AG358))</f>
        <v/>
      </c>
      <c r="R358">
        <f>IF($AG358="","",Config!$B$24)</f>
        <v/>
      </c>
      <c r="S358">
        <f>IF($AG358="","",TEXT(Config!$B$4,"yyyy-mm-dd"))</f>
        <v/>
      </c>
      <c r="T358">
        <f>IF($AG358="","",Config!$B$17)</f>
        <v/>
      </c>
      <c r="U358">
        <f>IF($AG358="","",Config!$B$18)</f>
        <v/>
      </c>
      <c r="V358">
        <f>IF($AG358="","",Config!$B$19)</f>
        <v/>
      </c>
      <c r="W358">
        <f>IF($AG358="","",INDEX('TMP Paste'!$C$2:$C$1601,$AG358))</f>
        <v/>
      </c>
      <c r="X358">
        <f>IF($AG358="","",Config!$B$29)</f>
        <v/>
      </c>
      <c r="Y358">
        <f>IF($AH358="","",INDEX(Calc!$I$2:$I$1601,$AH358)&amp;" - "&amp;INDEX(Calc!$D$2:$D$1601,$AH358)&amp;" koli")</f>
        <v/>
      </c>
      <c r="Z358">
        <f>IF($AG358="","",Config!$B$21)</f>
        <v/>
      </c>
      <c r="AA358">
        <f>IF($AG358="","",Config!$B$22)</f>
        <v/>
      </c>
      <c r="AB358">
        <f>IF($AH358="","",INDEX(Calc!$D$2:$D$1601,$AH358))</f>
        <v/>
      </c>
      <c r="AC358">
        <f>IF($AH358="","",INDEX(Calc!$G$2:$G$1601,$AH358))</f>
        <v/>
      </c>
      <c r="AD358">
        <f>IF($AG358="","",Config!$B$23)</f>
        <v/>
      </c>
      <c r="AE358">
        <f>IF($AG358="","",Config!$B$28)</f>
        <v/>
      </c>
      <c r="AG358">
        <f>IFERROR(MATCH(ROW()-1,Calc!$J$2:$J$1601,0),"")</f>
        <v/>
      </c>
      <c r="AH358">
        <f>IFERROR(MATCH(ROW()-1,Calc!$K$2:$K$1601,0),"")</f>
        <v/>
      </c>
      <c r="AI358">
        <f>IF($AG358="","",SUMIF($AG$2:$AG358,$AG358,$AH$2:$AH358))</f>
        <v/>
      </c>
      <c r="AJ358">
        <f>IF('TMP Paste'!$F358="","",IF('TMP Paste'!$B358="",$AJ357,'TMP Paste'!$B358))</f>
        <v/>
      </c>
      <c r="AK358">
        <f>IF('TMP Paste'!$F358="","",N('TMP Paste'!$G358))</f>
        <v/>
      </c>
      <c r="AL358">
        <f>IF('TMP Paste'!$F358="","",IF('TMP Paste'!$M358="",$AL357,'TMP Paste'!$M358))</f>
        <v/>
      </c>
      <c r="AM358">
        <f>IF('TMP Paste'!$F358="","",IF('TMP Paste'!$N358="",$AM357,'TMP Paste'!$N358))</f>
        <v/>
      </c>
      <c r="AN358">
        <f>IF('TMP Paste'!$F358="","",IF('TMP Paste'!$O358="",$AN357,'TMP Paste'!$O358))</f>
        <v/>
      </c>
      <c r="AO358">
        <f>IF('TMP Paste'!$F358="","",IF('TMP Paste'!$P358="",$AO357,'TMP Paste'!$P358))</f>
        <v/>
      </c>
      <c r="AP358">
        <f>IF($AG358="","",LEN($R358))</f>
        <v/>
      </c>
      <c r="AQ358">
        <f>IF($AG358="","",TRIM(IF(COUNTIFS(Calc!$B$2:$B$1601,ROW()-1,Calc!$C$2:$C$1601,"&lt;1")&gt;0,"Ada PO tanpa Koli - cek TMP. ","")&amp;IF(LEN($R358)&gt;500,"R &gt; 500 karakter.","")))</f>
        <v/>
      </c>
    </row>
    <row r="359">
      <c r="A359">
        <f>IF($AG359="","",INDEX('TMP Paste'!$B$2:$B$1601,$AG359))</f>
        <v/>
      </c>
      <c r="B359">
        <f>IF($AG359="","",Config!$B$14)</f>
        <v/>
      </c>
      <c r="C359">
        <f>IF($AG359="","",Config!$B$15)</f>
        <v/>
      </c>
      <c r="D359">
        <f>IF($AG359="","",INDEX('TMP Paste'!$B$2:$B$1601,$AG359))</f>
        <v/>
      </c>
      <c r="E359">
        <f>IF($AG359="","",Config!$B$27)</f>
        <v/>
      </c>
      <c r="F359">
        <f>IF($AG359="","",Config!$B$9)</f>
        <v/>
      </c>
      <c r="G359">
        <f>IF($AG359="","",Config!$B$10)</f>
        <v/>
      </c>
      <c r="H359">
        <f>IF($AG359="","",Config!$B$11)</f>
        <v/>
      </c>
      <c r="I359">
        <f>IF($AG359="","",Config!$B$16)</f>
        <v/>
      </c>
      <c r="J359">
        <f>IF($AG359="","",INDEX('TMP Paste'!$A$2:$A$1601,$AG359))</f>
        <v/>
      </c>
      <c r="K359">
        <f>IF($AG359="","",INDEX('TMP Paste'!$L$2:$L$1601,$AG359))</f>
        <v/>
      </c>
      <c r="L359">
        <f>IF($AG359="","",INDEX('TMP Paste'!$I$2:$I$1601,$AG359))</f>
        <v/>
      </c>
      <c r="M359">
        <f>IF($AG359="","",Config!$B$16)</f>
        <v/>
      </c>
      <c r="N359">
        <f>IF($AG359="","","")</f>
        <v/>
      </c>
      <c r="O359">
        <f>IF($AG359="","",INDEX('TMP Paste'!$K$2:$K$1601,$AG359))</f>
        <v/>
      </c>
      <c r="P359">
        <f>IF($AG359="","","")</f>
        <v/>
      </c>
      <c r="Q359">
        <f>IF($AG359="","",INDEX('TMP Paste'!$J$2:$J$1601,$AG359))</f>
        <v/>
      </c>
      <c r="R359">
        <f>IF($AG359="","",Config!$B$24)</f>
        <v/>
      </c>
      <c r="S359">
        <f>IF($AG359="","",TEXT(Config!$B$4,"yyyy-mm-dd"))</f>
        <v/>
      </c>
      <c r="T359">
        <f>IF($AG359="","",Config!$B$17)</f>
        <v/>
      </c>
      <c r="U359">
        <f>IF($AG359="","",Config!$B$18)</f>
        <v/>
      </c>
      <c r="V359">
        <f>IF($AG359="","",Config!$B$19)</f>
        <v/>
      </c>
      <c r="W359">
        <f>IF($AG359="","",INDEX('TMP Paste'!$C$2:$C$1601,$AG359))</f>
        <v/>
      </c>
      <c r="X359">
        <f>IF($AG359="","",Config!$B$29)</f>
        <v/>
      </c>
      <c r="Y359">
        <f>IF($AH359="","",INDEX(Calc!$I$2:$I$1601,$AH359)&amp;" - "&amp;INDEX(Calc!$D$2:$D$1601,$AH359)&amp;" koli")</f>
        <v/>
      </c>
      <c r="Z359">
        <f>IF($AG359="","",Config!$B$21)</f>
        <v/>
      </c>
      <c r="AA359">
        <f>IF($AG359="","",Config!$B$22)</f>
        <v/>
      </c>
      <c r="AB359">
        <f>IF($AH359="","",INDEX(Calc!$D$2:$D$1601,$AH359))</f>
        <v/>
      </c>
      <c r="AC359">
        <f>IF($AH359="","",INDEX(Calc!$G$2:$G$1601,$AH359))</f>
        <v/>
      </c>
      <c r="AD359">
        <f>IF($AG359="","",Config!$B$23)</f>
        <v/>
      </c>
      <c r="AE359">
        <f>IF($AG359="","",Config!$B$28)</f>
        <v/>
      </c>
      <c r="AG359">
        <f>IFERROR(MATCH(ROW()-1,Calc!$J$2:$J$1601,0),"")</f>
        <v/>
      </c>
      <c r="AH359">
        <f>IFERROR(MATCH(ROW()-1,Calc!$K$2:$K$1601,0),"")</f>
        <v/>
      </c>
      <c r="AI359">
        <f>IF($AG359="","",SUMIF($AG$2:$AG359,$AG359,$AH$2:$AH359))</f>
        <v/>
      </c>
      <c r="AJ359">
        <f>IF('TMP Paste'!$F359="","",IF('TMP Paste'!$B359="",$AJ358,'TMP Paste'!$B359))</f>
        <v/>
      </c>
      <c r="AK359">
        <f>IF('TMP Paste'!$F359="","",N('TMP Paste'!$G359))</f>
        <v/>
      </c>
      <c r="AL359">
        <f>IF('TMP Paste'!$F359="","",IF('TMP Paste'!$M359="",$AL358,'TMP Paste'!$M359))</f>
        <v/>
      </c>
      <c r="AM359">
        <f>IF('TMP Paste'!$F359="","",IF('TMP Paste'!$N359="",$AM358,'TMP Paste'!$N359))</f>
        <v/>
      </c>
      <c r="AN359">
        <f>IF('TMP Paste'!$F359="","",IF('TMP Paste'!$O359="",$AN358,'TMP Paste'!$O359))</f>
        <v/>
      </c>
      <c r="AO359">
        <f>IF('TMP Paste'!$F359="","",IF('TMP Paste'!$P359="",$AO358,'TMP Paste'!$P359))</f>
        <v/>
      </c>
      <c r="AP359">
        <f>IF($AG359="","",LEN($R359))</f>
        <v/>
      </c>
      <c r="AQ359">
        <f>IF($AG359="","",TRIM(IF(COUNTIFS(Calc!$B$2:$B$1601,ROW()-1,Calc!$C$2:$C$1601,"&lt;1")&gt;0,"Ada PO tanpa Koli - cek TMP. ","")&amp;IF(LEN($R359)&gt;500,"R &gt; 500 karakter.","")))</f>
        <v/>
      </c>
    </row>
    <row r="360">
      <c r="A360">
        <f>IF($AG360="","",INDEX('TMP Paste'!$B$2:$B$1601,$AG360))</f>
        <v/>
      </c>
      <c r="B360">
        <f>IF($AG360="","",Config!$B$14)</f>
        <v/>
      </c>
      <c r="C360">
        <f>IF($AG360="","",Config!$B$15)</f>
        <v/>
      </c>
      <c r="D360">
        <f>IF($AG360="","",INDEX('TMP Paste'!$B$2:$B$1601,$AG360))</f>
        <v/>
      </c>
      <c r="E360">
        <f>IF($AG360="","",Config!$B$27)</f>
        <v/>
      </c>
      <c r="F360">
        <f>IF($AG360="","",Config!$B$9)</f>
        <v/>
      </c>
      <c r="G360">
        <f>IF($AG360="","",Config!$B$10)</f>
        <v/>
      </c>
      <c r="H360">
        <f>IF($AG360="","",Config!$B$11)</f>
        <v/>
      </c>
      <c r="I360">
        <f>IF($AG360="","",Config!$B$16)</f>
        <v/>
      </c>
      <c r="J360">
        <f>IF($AG360="","",INDEX('TMP Paste'!$A$2:$A$1601,$AG360))</f>
        <v/>
      </c>
      <c r="K360">
        <f>IF($AG360="","",INDEX('TMP Paste'!$L$2:$L$1601,$AG360))</f>
        <v/>
      </c>
      <c r="L360">
        <f>IF($AG360="","",INDEX('TMP Paste'!$I$2:$I$1601,$AG360))</f>
        <v/>
      </c>
      <c r="M360">
        <f>IF($AG360="","",Config!$B$16)</f>
        <v/>
      </c>
      <c r="N360">
        <f>IF($AG360="","","")</f>
        <v/>
      </c>
      <c r="O360">
        <f>IF($AG360="","",INDEX('TMP Paste'!$K$2:$K$1601,$AG360))</f>
        <v/>
      </c>
      <c r="P360">
        <f>IF($AG360="","","")</f>
        <v/>
      </c>
      <c r="Q360">
        <f>IF($AG360="","",INDEX('TMP Paste'!$J$2:$J$1601,$AG360))</f>
        <v/>
      </c>
      <c r="R360">
        <f>IF($AG360="","",Config!$B$24)</f>
        <v/>
      </c>
      <c r="S360">
        <f>IF($AG360="","",TEXT(Config!$B$4,"yyyy-mm-dd"))</f>
        <v/>
      </c>
      <c r="T360">
        <f>IF($AG360="","",Config!$B$17)</f>
        <v/>
      </c>
      <c r="U360">
        <f>IF($AG360="","",Config!$B$18)</f>
        <v/>
      </c>
      <c r="V360">
        <f>IF($AG360="","",Config!$B$19)</f>
        <v/>
      </c>
      <c r="W360">
        <f>IF($AG360="","",INDEX('TMP Paste'!$C$2:$C$1601,$AG360))</f>
        <v/>
      </c>
      <c r="X360">
        <f>IF($AG360="","",Config!$B$29)</f>
        <v/>
      </c>
      <c r="Y360">
        <f>IF($AH360="","",INDEX(Calc!$I$2:$I$1601,$AH360)&amp;" - "&amp;INDEX(Calc!$D$2:$D$1601,$AH360)&amp;" koli")</f>
        <v/>
      </c>
      <c r="Z360">
        <f>IF($AG360="","",Config!$B$21)</f>
        <v/>
      </c>
      <c r="AA360">
        <f>IF($AG360="","",Config!$B$22)</f>
        <v/>
      </c>
      <c r="AB360">
        <f>IF($AH360="","",INDEX(Calc!$D$2:$D$1601,$AH360))</f>
        <v/>
      </c>
      <c r="AC360">
        <f>IF($AH360="","",INDEX(Calc!$G$2:$G$1601,$AH360))</f>
        <v/>
      </c>
      <c r="AD360">
        <f>IF($AG360="","",Config!$B$23)</f>
        <v/>
      </c>
      <c r="AE360">
        <f>IF($AG360="","",Config!$B$28)</f>
        <v/>
      </c>
      <c r="AG360">
        <f>IFERROR(MATCH(ROW()-1,Calc!$J$2:$J$1601,0),"")</f>
        <v/>
      </c>
      <c r="AH360">
        <f>IFERROR(MATCH(ROW()-1,Calc!$K$2:$K$1601,0),"")</f>
        <v/>
      </c>
      <c r="AI360">
        <f>IF($AG360="","",SUMIF($AG$2:$AG360,$AG360,$AH$2:$AH360))</f>
        <v/>
      </c>
      <c r="AJ360">
        <f>IF('TMP Paste'!$F360="","",IF('TMP Paste'!$B360="",$AJ359,'TMP Paste'!$B360))</f>
        <v/>
      </c>
      <c r="AK360">
        <f>IF('TMP Paste'!$F360="","",N('TMP Paste'!$G360))</f>
        <v/>
      </c>
      <c r="AL360">
        <f>IF('TMP Paste'!$F360="","",IF('TMP Paste'!$M360="",$AL359,'TMP Paste'!$M360))</f>
        <v/>
      </c>
      <c r="AM360">
        <f>IF('TMP Paste'!$F360="","",IF('TMP Paste'!$N360="",$AM359,'TMP Paste'!$N360))</f>
        <v/>
      </c>
      <c r="AN360">
        <f>IF('TMP Paste'!$F360="","",IF('TMP Paste'!$O360="",$AN359,'TMP Paste'!$O360))</f>
        <v/>
      </c>
      <c r="AO360">
        <f>IF('TMP Paste'!$F360="","",IF('TMP Paste'!$P360="",$AO359,'TMP Paste'!$P360))</f>
        <v/>
      </c>
      <c r="AP360">
        <f>IF($AG360="","",LEN($R360))</f>
        <v/>
      </c>
      <c r="AQ360">
        <f>IF($AG360="","",TRIM(IF(COUNTIFS(Calc!$B$2:$B$1601,ROW()-1,Calc!$C$2:$C$1601,"&lt;1")&gt;0,"Ada PO tanpa Koli - cek TMP. ","")&amp;IF(LEN($R360)&gt;500,"R &gt; 500 karakter.","")))</f>
        <v/>
      </c>
    </row>
    <row r="361">
      <c r="A361">
        <f>IF($AG361="","",INDEX('TMP Paste'!$B$2:$B$1601,$AG361))</f>
        <v/>
      </c>
      <c r="B361">
        <f>IF($AG361="","",Config!$B$14)</f>
        <v/>
      </c>
      <c r="C361">
        <f>IF($AG361="","",Config!$B$15)</f>
        <v/>
      </c>
      <c r="D361">
        <f>IF($AG361="","",INDEX('TMP Paste'!$B$2:$B$1601,$AG361))</f>
        <v/>
      </c>
      <c r="E361">
        <f>IF($AG361="","",Config!$B$27)</f>
        <v/>
      </c>
      <c r="F361">
        <f>IF($AG361="","",Config!$B$9)</f>
        <v/>
      </c>
      <c r="G361">
        <f>IF($AG361="","",Config!$B$10)</f>
        <v/>
      </c>
      <c r="H361">
        <f>IF($AG361="","",Config!$B$11)</f>
        <v/>
      </c>
      <c r="I361">
        <f>IF($AG361="","",Config!$B$16)</f>
        <v/>
      </c>
      <c r="J361">
        <f>IF($AG361="","",INDEX('TMP Paste'!$A$2:$A$1601,$AG361))</f>
        <v/>
      </c>
      <c r="K361">
        <f>IF($AG361="","",INDEX('TMP Paste'!$L$2:$L$1601,$AG361))</f>
        <v/>
      </c>
      <c r="L361">
        <f>IF($AG361="","",INDEX('TMP Paste'!$I$2:$I$1601,$AG361))</f>
        <v/>
      </c>
      <c r="M361">
        <f>IF($AG361="","",Config!$B$16)</f>
        <v/>
      </c>
      <c r="N361">
        <f>IF($AG361="","","")</f>
        <v/>
      </c>
      <c r="O361">
        <f>IF($AG361="","",INDEX('TMP Paste'!$K$2:$K$1601,$AG361))</f>
        <v/>
      </c>
      <c r="P361">
        <f>IF($AG361="","","")</f>
        <v/>
      </c>
      <c r="Q361">
        <f>IF($AG361="","",INDEX('TMP Paste'!$J$2:$J$1601,$AG361))</f>
        <v/>
      </c>
      <c r="R361">
        <f>IF($AG361="","",Config!$B$24)</f>
        <v/>
      </c>
      <c r="S361">
        <f>IF($AG361="","",TEXT(Config!$B$4,"yyyy-mm-dd"))</f>
        <v/>
      </c>
      <c r="T361">
        <f>IF($AG361="","",Config!$B$17)</f>
        <v/>
      </c>
      <c r="U361">
        <f>IF($AG361="","",Config!$B$18)</f>
        <v/>
      </c>
      <c r="V361">
        <f>IF($AG361="","",Config!$B$19)</f>
        <v/>
      </c>
      <c r="W361">
        <f>IF($AG361="","",INDEX('TMP Paste'!$C$2:$C$1601,$AG361))</f>
        <v/>
      </c>
      <c r="X361">
        <f>IF($AG361="","",Config!$B$29)</f>
        <v/>
      </c>
      <c r="Y361">
        <f>IF($AH361="","",INDEX(Calc!$I$2:$I$1601,$AH361)&amp;" - "&amp;INDEX(Calc!$D$2:$D$1601,$AH361)&amp;" koli")</f>
        <v/>
      </c>
      <c r="Z361">
        <f>IF($AG361="","",Config!$B$21)</f>
        <v/>
      </c>
      <c r="AA361">
        <f>IF($AG361="","",Config!$B$22)</f>
        <v/>
      </c>
      <c r="AB361">
        <f>IF($AH361="","",INDEX(Calc!$D$2:$D$1601,$AH361))</f>
        <v/>
      </c>
      <c r="AC361">
        <f>IF($AH361="","",INDEX(Calc!$G$2:$G$1601,$AH361))</f>
        <v/>
      </c>
      <c r="AD361">
        <f>IF($AG361="","",Config!$B$23)</f>
        <v/>
      </c>
      <c r="AE361">
        <f>IF($AG361="","",Config!$B$28)</f>
        <v/>
      </c>
      <c r="AG361">
        <f>IFERROR(MATCH(ROW()-1,Calc!$J$2:$J$1601,0),"")</f>
        <v/>
      </c>
      <c r="AH361">
        <f>IFERROR(MATCH(ROW()-1,Calc!$K$2:$K$1601,0),"")</f>
        <v/>
      </c>
      <c r="AI361">
        <f>IF($AG361="","",SUMIF($AG$2:$AG361,$AG361,$AH$2:$AH361))</f>
        <v/>
      </c>
      <c r="AJ361">
        <f>IF('TMP Paste'!$F361="","",IF('TMP Paste'!$B361="",$AJ360,'TMP Paste'!$B361))</f>
        <v/>
      </c>
      <c r="AK361">
        <f>IF('TMP Paste'!$F361="","",N('TMP Paste'!$G361))</f>
        <v/>
      </c>
      <c r="AL361">
        <f>IF('TMP Paste'!$F361="","",IF('TMP Paste'!$M361="",$AL360,'TMP Paste'!$M361))</f>
        <v/>
      </c>
      <c r="AM361">
        <f>IF('TMP Paste'!$F361="","",IF('TMP Paste'!$N361="",$AM360,'TMP Paste'!$N361))</f>
        <v/>
      </c>
      <c r="AN361">
        <f>IF('TMP Paste'!$F361="","",IF('TMP Paste'!$O361="",$AN360,'TMP Paste'!$O361))</f>
        <v/>
      </c>
      <c r="AO361">
        <f>IF('TMP Paste'!$F361="","",IF('TMP Paste'!$P361="",$AO360,'TMP Paste'!$P361))</f>
        <v/>
      </c>
      <c r="AP361">
        <f>IF($AG361="","",LEN($R361))</f>
        <v/>
      </c>
      <c r="AQ361">
        <f>IF($AG361="","",TRIM(IF(COUNTIFS(Calc!$B$2:$B$1601,ROW()-1,Calc!$C$2:$C$1601,"&lt;1")&gt;0,"Ada PO tanpa Koli - cek TMP. ","")&amp;IF(LEN($R361)&gt;500,"R &gt; 500 karakter.","")))</f>
        <v/>
      </c>
    </row>
    <row r="362">
      <c r="A362">
        <f>IF($AG362="","",INDEX('TMP Paste'!$B$2:$B$1601,$AG362))</f>
        <v/>
      </c>
      <c r="B362">
        <f>IF($AG362="","",Config!$B$14)</f>
        <v/>
      </c>
      <c r="C362">
        <f>IF($AG362="","",Config!$B$15)</f>
        <v/>
      </c>
      <c r="D362">
        <f>IF($AG362="","",INDEX('TMP Paste'!$B$2:$B$1601,$AG362))</f>
        <v/>
      </c>
      <c r="E362">
        <f>IF($AG362="","",Config!$B$27)</f>
        <v/>
      </c>
      <c r="F362">
        <f>IF($AG362="","",Config!$B$9)</f>
        <v/>
      </c>
      <c r="G362">
        <f>IF($AG362="","",Config!$B$10)</f>
        <v/>
      </c>
      <c r="H362">
        <f>IF($AG362="","",Config!$B$11)</f>
        <v/>
      </c>
      <c r="I362">
        <f>IF($AG362="","",Config!$B$16)</f>
        <v/>
      </c>
      <c r="J362">
        <f>IF($AG362="","",INDEX('TMP Paste'!$A$2:$A$1601,$AG362))</f>
        <v/>
      </c>
      <c r="K362">
        <f>IF($AG362="","",INDEX('TMP Paste'!$L$2:$L$1601,$AG362))</f>
        <v/>
      </c>
      <c r="L362">
        <f>IF($AG362="","",INDEX('TMP Paste'!$I$2:$I$1601,$AG362))</f>
        <v/>
      </c>
      <c r="M362">
        <f>IF($AG362="","",Config!$B$16)</f>
        <v/>
      </c>
      <c r="N362">
        <f>IF($AG362="","","")</f>
        <v/>
      </c>
      <c r="O362">
        <f>IF($AG362="","",INDEX('TMP Paste'!$K$2:$K$1601,$AG362))</f>
        <v/>
      </c>
      <c r="P362">
        <f>IF($AG362="","","")</f>
        <v/>
      </c>
      <c r="Q362">
        <f>IF($AG362="","",INDEX('TMP Paste'!$J$2:$J$1601,$AG362))</f>
        <v/>
      </c>
      <c r="R362">
        <f>IF($AG362="","",Config!$B$24)</f>
        <v/>
      </c>
      <c r="S362">
        <f>IF($AG362="","",TEXT(Config!$B$4,"yyyy-mm-dd"))</f>
        <v/>
      </c>
      <c r="T362">
        <f>IF($AG362="","",Config!$B$17)</f>
        <v/>
      </c>
      <c r="U362">
        <f>IF($AG362="","",Config!$B$18)</f>
        <v/>
      </c>
      <c r="V362">
        <f>IF($AG362="","",Config!$B$19)</f>
        <v/>
      </c>
      <c r="W362">
        <f>IF($AG362="","",INDEX('TMP Paste'!$C$2:$C$1601,$AG362))</f>
        <v/>
      </c>
      <c r="X362">
        <f>IF($AG362="","",Config!$B$29)</f>
        <v/>
      </c>
      <c r="Y362">
        <f>IF($AH362="","",INDEX(Calc!$I$2:$I$1601,$AH362)&amp;" - "&amp;INDEX(Calc!$D$2:$D$1601,$AH362)&amp;" koli")</f>
        <v/>
      </c>
      <c r="Z362">
        <f>IF($AG362="","",Config!$B$21)</f>
        <v/>
      </c>
      <c r="AA362">
        <f>IF($AG362="","",Config!$B$22)</f>
        <v/>
      </c>
      <c r="AB362">
        <f>IF($AH362="","",INDEX(Calc!$D$2:$D$1601,$AH362))</f>
        <v/>
      </c>
      <c r="AC362">
        <f>IF($AH362="","",INDEX(Calc!$G$2:$G$1601,$AH362))</f>
        <v/>
      </c>
      <c r="AD362">
        <f>IF($AG362="","",Config!$B$23)</f>
        <v/>
      </c>
      <c r="AE362">
        <f>IF($AG362="","",Config!$B$28)</f>
        <v/>
      </c>
      <c r="AG362">
        <f>IFERROR(MATCH(ROW()-1,Calc!$J$2:$J$1601,0),"")</f>
        <v/>
      </c>
      <c r="AH362">
        <f>IFERROR(MATCH(ROW()-1,Calc!$K$2:$K$1601,0),"")</f>
        <v/>
      </c>
      <c r="AI362">
        <f>IF($AG362="","",SUMIF($AG$2:$AG362,$AG362,$AH$2:$AH362))</f>
        <v/>
      </c>
      <c r="AJ362">
        <f>IF('TMP Paste'!$F362="","",IF('TMP Paste'!$B362="",$AJ361,'TMP Paste'!$B362))</f>
        <v/>
      </c>
      <c r="AK362">
        <f>IF('TMP Paste'!$F362="","",N('TMP Paste'!$G362))</f>
        <v/>
      </c>
      <c r="AL362">
        <f>IF('TMP Paste'!$F362="","",IF('TMP Paste'!$M362="",$AL361,'TMP Paste'!$M362))</f>
        <v/>
      </c>
      <c r="AM362">
        <f>IF('TMP Paste'!$F362="","",IF('TMP Paste'!$N362="",$AM361,'TMP Paste'!$N362))</f>
        <v/>
      </c>
      <c r="AN362">
        <f>IF('TMP Paste'!$F362="","",IF('TMP Paste'!$O362="",$AN361,'TMP Paste'!$O362))</f>
        <v/>
      </c>
      <c r="AO362">
        <f>IF('TMP Paste'!$F362="","",IF('TMP Paste'!$P362="",$AO361,'TMP Paste'!$P362))</f>
        <v/>
      </c>
      <c r="AP362">
        <f>IF($AG362="","",LEN($R362))</f>
        <v/>
      </c>
      <c r="AQ362">
        <f>IF($AG362="","",TRIM(IF(COUNTIFS(Calc!$B$2:$B$1601,ROW()-1,Calc!$C$2:$C$1601,"&lt;1")&gt;0,"Ada PO tanpa Koli - cek TMP. ","")&amp;IF(LEN($R362)&gt;500,"R &gt; 500 karakter.","")))</f>
        <v/>
      </c>
    </row>
    <row r="363">
      <c r="A363">
        <f>IF($AG363="","",INDEX('TMP Paste'!$B$2:$B$1601,$AG363))</f>
        <v/>
      </c>
      <c r="B363">
        <f>IF($AG363="","",Config!$B$14)</f>
        <v/>
      </c>
      <c r="C363">
        <f>IF($AG363="","",Config!$B$15)</f>
        <v/>
      </c>
      <c r="D363">
        <f>IF($AG363="","",INDEX('TMP Paste'!$B$2:$B$1601,$AG363))</f>
        <v/>
      </c>
      <c r="E363">
        <f>IF($AG363="","",Config!$B$27)</f>
        <v/>
      </c>
      <c r="F363">
        <f>IF($AG363="","",Config!$B$9)</f>
        <v/>
      </c>
      <c r="G363">
        <f>IF($AG363="","",Config!$B$10)</f>
        <v/>
      </c>
      <c r="H363">
        <f>IF($AG363="","",Config!$B$11)</f>
        <v/>
      </c>
      <c r="I363">
        <f>IF($AG363="","",Config!$B$16)</f>
        <v/>
      </c>
      <c r="J363">
        <f>IF($AG363="","",INDEX('TMP Paste'!$A$2:$A$1601,$AG363))</f>
        <v/>
      </c>
      <c r="K363">
        <f>IF($AG363="","",INDEX('TMP Paste'!$L$2:$L$1601,$AG363))</f>
        <v/>
      </c>
      <c r="L363">
        <f>IF($AG363="","",INDEX('TMP Paste'!$I$2:$I$1601,$AG363))</f>
        <v/>
      </c>
      <c r="M363">
        <f>IF($AG363="","",Config!$B$16)</f>
        <v/>
      </c>
      <c r="N363">
        <f>IF($AG363="","","")</f>
        <v/>
      </c>
      <c r="O363">
        <f>IF($AG363="","",INDEX('TMP Paste'!$K$2:$K$1601,$AG363))</f>
        <v/>
      </c>
      <c r="P363">
        <f>IF($AG363="","","")</f>
        <v/>
      </c>
      <c r="Q363">
        <f>IF($AG363="","",INDEX('TMP Paste'!$J$2:$J$1601,$AG363))</f>
        <v/>
      </c>
      <c r="R363">
        <f>IF($AG363="","",Config!$B$24)</f>
        <v/>
      </c>
      <c r="S363">
        <f>IF($AG363="","",TEXT(Config!$B$4,"yyyy-mm-dd"))</f>
        <v/>
      </c>
      <c r="T363">
        <f>IF($AG363="","",Config!$B$17)</f>
        <v/>
      </c>
      <c r="U363">
        <f>IF($AG363="","",Config!$B$18)</f>
        <v/>
      </c>
      <c r="V363">
        <f>IF($AG363="","",Config!$B$19)</f>
        <v/>
      </c>
      <c r="W363">
        <f>IF($AG363="","",INDEX('TMP Paste'!$C$2:$C$1601,$AG363))</f>
        <v/>
      </c>
      <c r="X363">
        <f>IF($AG363="","",Config!$B$29)</f>
        <v/>
      </c>
      <c r="Y363">
        <f>IF($AH363="","",INDEX(Calc!$I$2:$I$1601,$AH363)&amp;" - "&amp;INDEX(Calc!$D$2:$D$1601,$AH363)&amp;" koli")</f>
        <v/>
      </c>
      <c r="Z363">
        <f>IF($AG363="","",Config!$B$21)</f>
        <v/>
      </c>
      <c r="AA363">
        <f>IF($AG363="","",Config!$B$22)</f>
        <v/>
      </c>
      <c r="AB363">
        <f>IF($AH363="","",INDEX(Calc!$D$2:$D$1601,$AH363))</f>
        <v/>
      </c>
      <c r="AC363">
        <f>IF($AH363="","",INDEX(Calc!$G$2:$G$1601,$AH363))</f>
        <v/>
      </c>
      <c r="AD363">
        <f>IF($AG363="","",Config!$B$23)</f>
        <v/>
      </c>
      <c r="AE363">
        <f>IF($AG363="","",Config!$B$28)</f>
        <v/>
      </c>
      <c r="AG363">
        <f>IFERROR(MATCH(ROW()-1,Calc!$J$2:$J$1601,0),"")</f>
        <v/>
      </c>
      <c r="AH363">
        <f>IFERROR(MATCH(ROW()-1,Calc!$K$2:$K$1601,0),"")</f>
        <v/>
      </c>
      <c r="AI363">
        <f>IF($AG363="","",SUMIF($AG$2:$AG363,$AG363,$AH$2:$AH363))</f>
        <v/>
      </c>
      <c r="AJ363">
        <f>IF('TMP Paste'!$F363="","",IF('TMP Paste'!$B363="",$AJ362,'TMP Paste'!$B363))</f>
        <v/>
      </c>
      <c r="AK363">
        <f>IF('TMP Paste'!$F363="","",N('TMP Paste'!$G363))</f>
        <v/>
      </c>
      <c r="AL363">
        <f>IF('TMP Paste'!$F363="","",IF('TMP Paste'!$M363="",$AL362,'TMP Paste'!$M363))</f>
        <v/>
      </c>
      <c r="AM363">
        <f>IF('TMP Paste'!$F363="","",IF('TMP Paste'!$N363="",$AM362,'TMP Paste'!$N363))</f>
        <v/>
      </c>
      <c r="AN363">
        <f>IF('TMP Paste'!$F363="","",IF('TMP Paste'!$O363="",$AN362,'TMP Paste'!$O363))</f>
        <v/>
      </c>
      <c r="AO363">
        <f>IF('TMP Paste'!$F363="","",IF('TMP Paste'!$P363="",$AO362,'TMP Paste'!$P363))</f>
        <v/>
      </c>
      <c r="AP363">
        <f>IF($AG363="","",LEN($R363))</f>
        <v/>
      </c>
      <c r="AQ363">
        <f>IF($AG363="","",TRIM(IF(COUNTIFS(Calc!$B$2:$B$1601,ROW()-1,Calc!$C$2:$C$1601,"&lt;1")&gt;0,"Ada PO tanpa Koli - cek TMP. ","")&amp;IF(LEN($R363)&gt;500,"R &gt; 500 karakter.","")))</f>
        <v/>
      </c>
    </row>
    <row r="364">
      <c r="A364">
        <f>IF($AG364="","",INDEX('TMP Paste'!$B$2:$B$1601,$AG364))</f>
        <v/>
      </c>
      <c r="B364">
        <f>IF($AG364="","",Config!$B$14)</f>
        <v/>
      </c>
      <c r="C364">
        <f>IF($AG364="","",Config!$B$15)</f>
        <v/>
      </c>
      <c r="D364">
        <f>IF($AG364="","",INDEX('TMP Paste'!$B$2:$B$1601,$AG364))</f>
        <v/>
      </c>
      <c r="E364">
        <f>IF($AG364="","",Config!$B$27)</f>
        <v/>
      </c>
      <c r="F364">
        <f>IF($AG364="","",Config!$B$9)</f>
        <v/>
      </c>
      <c r="G364">
        <f>IF($AG364="","",Config!$B$10)</f>
        <v/>
      </c>
      <c r="H364">
        <f>IF($AG364="","",Config!$B$11)</f>
        <v/>
      </c>
      <c r="I364">
        <f>IF($AG364="","",Config!$B$16)</f>
        <v/>
      </c>
      <c r="J364">
        <f>IF($AG364="","",INDEX('TMP Paste'!$A$2:$A$1601,$AG364))</f>
        <v/>
      </c>
      <c r="K364">
        <f>IF($AG364="","",INDEX('TMP Paste'!$L$2:$L$1601,$AG364))</f>
        <v/>
      </c>
      <c r="L364">
        <f>IF($AG364="","",INDEX('TMP Paste'!$I$2:$I$1601,$AG364))</f>
        <v/>
      </c>
      <c r="M364">
        <f>IF($AG364="","",Config!$B$16)</f>
        <v/>
      </c>
      <c r="N364">
        <f>IF($AG364="","","")</f>
        <v/>
      </c>
      <c r="O364">
        <f>IF($AG364="","",INDEX('TMP Paste'!$K$2:$K$1601,$AG364))</f>
        <v/>
      </c>
      <c r="P364">
        <f>IF($AG364="","","")</f>
        <v/>
      </c>
      <c r="Q364">
        <f>IF($AG364="","",INDEX('TMP Paste'!$J$2:$J$1601,$AG364))</f>
        <v/>
      </c>
      <c r="R364">
        <f>IF($AG364="","",Config!$B$24)</f>
        <v/>
      </c>
      <c r="S364">
        <f>IF($AG364="","",TEXT(Config!$B$4,"yyyy-mm-dd"))</f>
        <v/>
      </c>
      <c r="T364">
        <f>IF($AG364="","",Config!$B$17)</f>
        <v/>
      </c>
      <c r="U364">
        <f>IF($AG364="","",Config!$B$18)</f>
        <v/>
      </c>
      <c r="V364">
        <f>IF($AG364="","",Config!$B$19)</f>
        <v/>
      </c>
      <c r="W364">
        <f>IF($AG364="","",INDEX('TMP Paste'!$C$2:$C$1601,$AG364))</f>
        <v/>
      </c>
      <c r="X364">
        <f>IF($AG364="","",Config!$B$29)</f>
        <v/>
      </c>
      <c r="Y364">
        <f>IF($AH364="","",INDEX(Calc!$I$2:$I$1601,$AH364)&amp;" - "&amp;INDEX(Calc!$D$2:$D$1601,$AH364)&amp;" koli")</f>
        <v/>
      </c>
      <c r="Z364">
        <f>IF($AG364="","",Config!$B$21)</f>
        <v/>
      </c>
      <c r="AA364">
        <f>IF($AG364="","",Config!$B$22)</f>
        <v/>
      </c>
      <c r="AB364">
        <f>IF($AH364="","",INDEX(Calc!$D$2:$D$1601,$AH364))</f>
        <v/>
      </c>
      <c r="AC364">
        <f>IF($AH364="","",INDEX(Calc!$G$2:$G$1601,$AH364))</f>
        <v/>
      </c>
      <c r="AD364">
        <f>IF($AG364="","",Config!$B$23)</f>
        <v/>
      </c>
      <c r="AE364">
        <f>IF($AG364="","",Config!$B$28)</f>
        <v/>
      </c>
      <c r="AG364">
        <f>IFERROR(MATCH(ROW()-1,Calc!$J$2:$J$1601,0),"")</f>
        <v/>
      </c>
      <c r="AH364">
        <f>IFERROR(MATCH(ROW()-1,Calc!$K$2:$K$1601,0),"")</f>
        <v/>
      </c>
      <c r="AI364">
        <f>IF($AG364="","",SUMIF($AG$2:$AG364,$AG364,$AH$2:$AH364))</f>
        <v/>
      </c>
      <c r="AJ364">
        <f>IF('TMP Paste'!$F364="","",IF('TMP Paste'!$B364="",$AJ363,'TMP Paste'!$B364))</f>
        <v/>
      </c>
      <c r="AK364">
        <f>IF('TMP Paste'!$F364="","",N('TMP Paste'!$G364))</f>
        <v/>
      </c>
      <c r="AL364">
        <f>IF('TMP Paste'!$F364="","",IF('TMP Paste'!$M364="",$AL363,'TMP Paste'!$M364))</f>
        <v/>
      </c>
      <c r="AM364">
        <f>IF('TMP Paste'!$F364="","",IF('TMP Paste'!$N364="",$AM363,'TMP Paste'!$N364))</f>
        <v/>
      </c>
      <c r="AN364">
        <f>IF('TMP Paste'!$F364="","",IF('TMP Paste'!$O364="",$AN363,'TMP Paste'!$O364))</f>
        <v/>
      </c>
      <c r="AO364">
        <f>IF('TMP Paste'!$F364="","",IF('TMP Paste'!$P364="",$AO363,'TMP Paste'!$P364))</f>
        <v/>
      </c>
      <c r="AP364">
        <f>IF($AG364="","",LEN($R364))</f>
        <v/>
      </c>
      <c r="AQ364">
        <f>IF($AG364="","",TRIM(IF(COUNTIFS(Calc!$B$2:$B$1601,ROW()-1,Calc!$C$2:$C$1601,"&lt;1")&gt;0,"Ada PO tanpa Koli - cek TMP. ","")&amp;IF(LEN($R364)&gt;500,"R &gt; 500 karakter.","")))</f>
        <v/>
      </c>
    </row>
    <row r="365">
      <c r="A365">
        <f>IF($AG365="","",INDEX('TMP Paste'!$B$2:$B$1601,$AG365))</f>
        <v/>
      </c>
      <c r="B365">
        <f>IF($AG365="","",Config!$B$14)</f>
        <v/>
      </c>
      <c r="C365">
        <f>IF($AG365="","",Config!$B$15)</f>
        <v/>
      </c>
      <c r="D365">
        <f>IF($AG365="","",INDEX('TMP Paste'!$B$2:$B$1601,$AG365))</f>
        <v/>
      </c>
      <c r="E365">
        <f>IF($AG365="","",Config!$B$27)</f>
        <v/>
      </c>
      <c r="F365">
        <f>IF($AG365="","",Config!$B$9)</f>
        <v/>
      </c>
      <c r="G365">
        <f>IF($AG365="","",Config!$B$10)</f>
        <v/>
      </c>
      <c r="H365">
        <f>IF($AG365="","",Config!$B$11)</f>
        <v/>
      </c>
      <c r="I365">
        <f>IF($AG365="","",Config!$B$16)</f>
        <v/>
      </c>
      <c r="J365">
        <f>IF($AG365="","",INDEX('TMP Paste'!$A$2:$A$1601,$AG365))</f>
        <v/>
      </c>
      <c r="K365">
        <f>IF($AG365="","",INDEX('TMP Paste'!$L$2:$L$1601,$AG365))</f>
        <v/>
      </c>
      <c r="L365">
        <f>IF($AG365="","",INDEX('TMP Paste'!$I$2:$I$1601,$AG365))</f>
        <v/>
      </c>
      <c r="M365">
        <f>IF($AG365="","",Config!$B$16)</f>
        <v/>
      </c>
      <c r="N365">
        <f>IF($AG365="","","")</f>
        <v/>
      </c>
      <c r="O365">
        <f>IF($AG365="","",INDEX('TMP Paste'!$K$2:$K$1601,$AG365))</f>
        <v/>
      </c>
      <c r="P365">
        <f>IF($AG365="","","")</f>
        <v/>
      </c>
      <c r="Q365">
        <f>IF($AG365="","",INDEX('TMP Paste'!$J$2:$J$1601,$AG365))</f>
        <v/>
      </c>
      <c r="R365">
        <f>IF($AG365="","",Config!$B$24)</f>
        <v/>
      </c>
      <c r="S365">
        <f>IF($AG365="","",TEXT(Config!$B$4,"yyyy-mm-dd"))</f>
        <v/>
      </c>
      <c r="T365">
        <f>IF($AG365="","",Config!$B$17)</f>
        <v/>
      </c>
      <c r="U365">
        <f>IF($AG365="","",Config!$B$18)</f>
        <v/>
      </c>
      <c r="V365">
        <f>IF($AG365="","",Config!$B$19)</f>
        <v/>
      </c>
      <c r="W365">
        <f>IF($AG365="","",INDEX('TMP Paste'!$C$2:$C$1601,$AG365))</f>
        <v/>
      </c>
      <c r="X365">
        <f>IF($AG365="","",Config!$B$29)</f>
        <v/>
      </c>
      <c r="Y365">
        <f>IF($AH365="","",INDEX(Calc!$I$2:$I$1601,$AH365)&amp;" - "&amp;INDEX(Calc!$D$2:$D$1601,$AH365)&amp;" koli")</f>
        <v/>
      </c>
      <c r="Z365">
        <f>IF($AG365="","",Config!$B$21)</f>
        <v/>
      </c>
      <c r="AA365">
        <f>IF($AG365="","",Config!$B$22)</f>
        <v/>
      </c>
      <c r="AB365">
        <f>IF($AH365="","",INDEX(Calc!$D$2:$D$1601,$AH365))</f>
        <v/>
      </c>
      <c r="AC365">
        <f>IF($AH365="","",INDEX(Calc!$G$2:$G$1601,$AH365))</f>
        <v/>
      </c>
      <c r="AD365">
        <f>IF($AG365="","",Config!$B$23)</f>
        <v/>
      </c>
      <c r="AE365">
        <f>IF($AG365="","",Config!$B$28)</f>
        <v/>
      </c>
      <c r="AG365">
        <f>IFERROR(MATCH(ROW()-1,Calc!$J$2:$J$1601,0),"")</f>
        <v/>
      </c>
      <c r="AH365">
        <f>IFERROR(MATCH(ROW()-1,Calc!$K$2:$K$1601,0),"")</f>
        <v/>
      </c>
      <c r="AI365">
        <f>IF($AG365="","",SUMIF($AG$2:$AG365,$AG365,$AH$2:$AH365))</f>
        <v/>
      </c>
      <c r="AJ365">
        <f>IF('TMP Paste'!$F365="","",IF('TMP Paste'!$B365="",$AJ364,'TMP Paste'!$B365))</f>
        <v/>
      </c>
      <c r="AK365">
        <f>IF('TMP Paste'!$F365="","",N('TMP Paste'!$G365))</f>
        <v/>
      </c>
      <c r="AL365">
        <f>IF('TMP Paste'!$F365="","",IF('TMP Paste'!$M365="",$AL364,'TMP Paste'!$M365))</f>
        <v/>
      </c>
      <c r="AM365">
        <f>IF('TMP Paste'!$F365="","",IF('TMP Paste'!$N365="",$AM364,'TMP Paste'!$N365))</f>
        <v/>
      </c>
      <c r="AN365">
        <f>IF('TMP Paste'!$F365="","",IF('TMP Paste'!$O365="",$AN364,'TMP Paste'!$O365))</f>
        <v/>
      </c>
      <c r="AO365">
        <f>IF('TMP Paste'!$F365="","",IF('TMP Paste'!$P365="",$AO364,'TMP Paste'!$P365))</f>
        <v/>
      </c>
      <c r="AP365">
        <f>IF($AG365="","",LEN($R365))</f>
        <v/>
      </c>
      <c r="AQ365">
        <f>IF($AG365="","",TRIM(IF(COUNTIFS(Calc!$B$2:$B$1601,ROW()-1,Calc!$C$2:$C$1601,"&lt;1")&gt;0,"Ada PO tanpa Koli - cek TMP. ","")&amp;IF(LEN($R365)&gt;500,"R &gt; 500 karakter.","")))</f>
        <v/>
      </c>
    </row>
    <row r="366">
      <c r="A366">
        <f>IF($AG366="","",INDEX('TMP Paste'!$B$2:$B$1601,$AG366))</f>
        <v/>
      </c>
      <c r="B366">
        <f>IF($AG366="","",Config!$B$14)</f>
        <v/>
      </c>
      <c r="C366">
        <f>IF($AG366="","",Config!$B$15)</f>
        <v/>
      </c>
      <c r="D366">
        <f>IF($AG366="","",INDEX('TMP Paste'!$B$2:$B$1601,$AG366))</f>
        <v/>
      </c>
      <c r="E366">
        <f>IF($AG366="","",Config!$B$27)</f>
        <v/>
      </c>
      <c r="F366">
        <f>IF($AG366="","",Config!$B$9)</f>
        <v/>
      </c>
      <c r="G366">
        <f>IF($AG366="","",Config!$B$10)</f>
        <v/>
      </c>
      <c r="H366">
        <f>IF($AG366="","",Config!$B$11)</f>
        <v/>
      </c>
      <c r="I366">
        <f>IF($AG366="","",Config!$B$16)</f>
        <v/>
      </c>
      <c r="J366">
        <f>IF($AG366="","",INDEX('TMP Paste'!$A$2:$A$1601,$AG366))</f>
        <v/>
      </c>
      <c r="K366">
        <f>IF($AG366="","",INDEX('TMP Paste'!$L$2:$L$1601,$AG366))</f>
        <v/>
      </c>
      <c r="L366">
        <f>IF($AG366="","",INDEX('TMP Paste'!$I$2:$I$1601,$AG366))</f>
        <v/>
      </c>
      <c r="M366">
        <f>IF($AG366="","",Config!$B$16)</f>
        <v/>
      </c>
      <c r="N366">
        <f>IF($AG366="","","")</f>
        <v/>
      </c>
      <c r="O366">
        <f>IF($AG366="","",INDEX('TMP Paste'!$K$2:$K$1601,$AG366))</f>
        <v/>
      </c>
      <c r="P366">
        <f>IF($AG366="","","")</f>
        <v/>
      </c>
      <c r="Q366">
        <f>IF($AG366="","",INDEX('TMP Paste'!$J$2:$J$1601,$AG366))</f>
        <v/>
      </c>
      <c r="R366">
        <f>IF($AG366="","",Config!$B$24)</f>
        <v/>
      </c>
      <c r="S366">
        <f>IF($AG366="","",TEXT(Config!$B$4,"yyyy-mm-dd"))</f>
        <v/>
      </c>
      <c r="T366">
        <f>IF($AG366="","",Config!$B$17)</f>
        <v/>
      </c>
      <c r="U366">
        <f>IF($AG366="","",Config!$B$18)</f>
        <v/>
      </c>
      <c r="V366">
        <f>IF($AG366="","",Config!$B$19)</f>
        <v/>
      </c>
      <c r="W366">
        <f>IF($AG366="","",INDEX('TMP Paste'!$C$2:$C$1601,$AG366))</f>
        <v/>
      </c>
      <c r="X366">
        <f>IF($AG366="","",Config!$B$29)</f>
        <v/>
      </c>
      <c r="Y366">
        <f>IF($AH366="","",INDEX(Calc!$I$2:$I$1601,$AH366)&amp;" - "&amp;INDEX(Calc!$D$2:$D$1601,$AH366)&amp;" koli")</f>
        <v/>
      </c>
      <c r="Z366">
        <f>IF($AG366="","",Config!$B$21)</f>
        <v/>
      </c>
      <c r="AA366">
        <f>IF($AG366="","",Config!$B$22)</f>
        <v/>
      </c>
      <c r="AB366">
        <f>IF($AH366="","",INDEX(Calc!$D$2:$D$1601,$AH366))</f>
        <v/>
      </c>
      <c r="AC366">
        <f>IF($AH366="","",INDEX(Calc!$G$2:$G$1601,$AH366))</f>
        <v/>
      </c>
      <c r="AD366">
        <f>IF($AG366="","",Config!$B$23)</f>
        <v/>
      </c>
      <c r="AE366">
        <f>IF($AG366="","",Config!$B$28)</f>
        <v/>
      </c>
      <c r="AG366">
        <f>IFERROR(MATCH(ROW()-1,Calc!$J$2:$J$1601,0),"")</f>
        <v/>
      </c>
      <c r="AH366">
        <f>IFERROR(MATCH(ROW()-1,Calc!$K$2:$K$1601,0),"")</f>
        <v/>
      </c>
      <c r="AI366">
        <f>IF($AG366="","",SUMIF($AG$2:$AG366,$AG366,$AH$2:$AH366))</f>
        <v/>
      </c>
      <c r="AJ366">
        <f>IF('TMP Paste'!$F366="","",IF('TMP Paste'!$B366="",$AJ365,'TMP Paste'!$B366))</f>
        <v/>
      </c>
      <c r="AK366">
        <f>IF('TMP Paste'!$F366="","",N('TMP Paste'!$G366))</f>
        <v/>
      </c>
      <c r="AL366">
        <f>IF('TMP Paste'!$F366="","",IF('TMP Paste'!$M366="",$AL365,'TMP Paste'!$M366))</f>
        <v/>
      </c>
      <c r="AM366">
        <f>IF('TMP Paste'!$F366="","",IF('TMP Paste'!$N366="",$AM365,'TMP Paste'!$N366))</f>
        <v/>
      </c>
      <c r="AN366">
        <f>IF('TMP Paste'!$F366="","",IF('TMP Paste'!$O366="",$AN365,'TMP Paste'!$O366))</f>
        <v/>
      </c>
      <c r="AO366">
        <f>IF('TMP Paste'!$F366="","",IF('TMP Paste'!$P366="",$AO365,'TMP Paste'!$P366))</f>
        <v/>
      </c>
      <c r="AP366">
        <f>IF($AG366="","",LEN($R366))</f>
        <v/>
      </c>
      <c r="AQ366">
        <f>IF($AG366="","",TRIM(IF(COUNTIFS(Calc!$B$2:$B$1601,ROW()-1,Calc!$C$2:$C$1601,"&lt;1")&gt;0,"Ada PO tanpa Koli - cek TMP. ","")&amp;IF(LEN($R366)&gt;500,"R &gt; 500 karakter.","")))</f>
        <v/>
      </c>
    </row>
    <row r="367">
      <c r="A367">
        <f>IF($AG367="","",INDEX('TMP Paste'!$B$2:$B$1601,$AG367))</f>
        <v/>
      </c>
      <c r="B367">
        <f>IF($AG367="","",Config!$B$14)</f>
        <v/>
      </c>
      <c r="C367">
        <f>IF($AG367="","",Config!$B$15)</f>
        <v/>
      </c>
      <c r="D367">
        <f>IF($AG367="","",INDEX('TMP Paste'!$B$2:$B$1601,$AG367))</f>
        <v/>
      </c>
      <c r="E367">
        <f>IF($AG367="","",Config!$B$27)</f>
        <v/>
      </c>
      <c r="F367">
        <f>IF($AG367="","",Config!$B$9)</f>
        <v/>
      </c>
      <c r="G367">
        <f>IF($AG367="","",Config!$B$10)</f>
        <v/>
      </c>
      <c r="H367">
        <f>IF($AG367="","",Config!$B$11)</f>
        <v/>
      </c>
      <c r="I367">
        <f>IF($AG367="","",Config!$B$16)</f>
        <v/>
      </c>
      <c r="J367">
        <f>IF($AG367="","",INDEX('TMP Paste'!$A$2:$A$1601,$AG367))</f>
        <v/>
      </c>
      <c r="K367">
        <f>IF($AG367="","",INDEX('TMP Paste'!$L$2:$L$1601,$AG367))</f>
        <v/>
      </c>
      <c r="L367">
        <f>IF($AG367="","",INDEX('TMP Paste'!$I$2:$I$1601,$AG367))</f>
        <v/>
      </c>
      <c r="M367">
        <f>IF($AG367="","",Config!$B$16)</f>
        <v/>
      </c>
      <c r="N367">
        <f>IF($AG367="","","")</f>
        <v/>
      </c>
      <c r="O367">
        <f>IF($AG367="","",INDEX('TMP Paste'!$K$2:$K$1601,$AG367))</f>
        <v/>
      </c>
      <c r="P367">
        <f>IF($AG367="","","")</f>
        <v/>
      </c>
      <c r="Q367">
        <f>IF($AG367="","",INDEX('TMP Paste'!$J$2:$J$1601,$AG367))</f>
        <v/>
      </c>
      <c r="R367">
        <f>IF($AG367="","",Config!$B$24)</f>
        <v/>
      </c>
      <c r="S367">
        <f>IF($AG367="","",TEXT(Config!$B$4,"yyyy-mm-dd"))</f>
        <v/>
      </c>
      <c r="T367">
        <f>IF($AG367="","",Config!$B$17)</f>
        <v/>
      </c>
      <c r="U367">
        <f>IF($AG367="","",Config!$B$18)</f>
        <v/>
      </c>
      <c r="V367">
        <f>IF($AG367="","",Config!$B$19)</f>
        <v/>
      </c>
      <c r="W367">
        <f>IF($AG367="","",INDEX('TMP Paste'!$C$2:$C$1601,$AG367))</f>
        <v/>
      </c>
      <c r="X367">
        <f>IF($AG367="","",Config!$B$29)</f>
        <v/>
      </c>
      <c r="Y367">
        <f>IF($AH367="","",INDEX(Calc!$I$2:$I$1601,$AH367)&amp;" - "&amp;INDEX(Calc!$D$2:$D$1601,$AH367)&amp;" koli")</f>
        <v/>
      </c>
      <c r="Z367">
        <f>IF($AG367="","",Config!$B$21)</f>
        <v/>
      </c>
      <c r="AA367">
        <f>IF($AG367="","",Config!$B$22)</f>
        <v/>
      </c>
      <c r="AB367">
        <f>IF($AH367="","",INDEX(Calc!$D$2:$D$1601,$AH367))</f>
        <v/>
      </c>
      <c r="AC367">
        <f>IF($AH367="","",INDEX(Calc!$G$2:$G$1601,$AH367))</f>
        <v/>
      </c>
      <c r="AD367">
        <f>IF($AG367="","",Config!$B$23)</f>
        <v/>
      </c>
      <c r="AE367">
        <f>IF($AG367="","",Config!$B$28)</f>
        <v/>
      </c>
      <c r="AG367">
        <f>IFERROR(MATCH(ROW()-1,Calc!$J$2:$J$1601,0),"")</f>
        <v/>
      </c>
      <c r="AH367">
        <f>IFERROR(MATCH(ROW()-1,Calc!$K$2:$K$1601,0),"")</f>
        <v/>
      </c>
      <c r="AI367">
        <f>IF($AG367="","",SUMIF($AG$2:$AG367,$AG367,$AH$2:$AH367))</f>
        <v/>
      </c>
      <c r="AJ367">
        <f>IF('TMP Paste'!$F367="","",IF('TMP Paste'!$B367="",$AJ366,'TMP Paste'!$B367))</f>
        <v/>
      </c>
      <c r="AK367">
        <f>IF('TMP Paste'!$F367="","",N('TMP Paste'!$G367))</f>
        <v/>
      </c>
      <c r="AL367">
        <f>IF('TMP Paste'!$F367="","",IF('TMP Paste'!$M367="",$AL366,'TMP Paste'!$M367))</f>
        <v/>
      </c>
      <c r="AM367">
        <f>IF('TMP Paste'!$F367="","",IF('TMP Paste'!$N367="",$AM366,'TMP Paste'!$N367))</f>
        <v/>
      </c>
      <c r="AN367">
        <f>IF('TMP Paste'!$F367="","",IF('TMP Paste'!$O367="",$AN366,'TMP Paste'!$O367))</f>
        <v/>
      </c>
      <c r="AO367">
        <f>IF('TMP Paste'!$F367="","",IF('TMP Paste'!$P367="",$AO366,'TMP Paste'!$P367))</f>
        <v/>
      </c>
      <c r="AP367">
        <f>IF($AG367="","",LEN($R367))</f>
        <v/>
      </c>
      <c r="AQ367">
        <f>IF($AG367="","",TRIM(IF(COUNTIFS(Calc!$B$2:$B$1601,ROW()-1,Calc!$C$2:$C$1601,"&lt;1")&gt;0,"Ada PO tanpa Koli - cek TMP. ","")&amp;IF(LEN($R367)&gt;500,"R &gt; 500 karakter.","")))</f>
        <v/>
      </c>
    </row>
    <row r="368">
      <c r="A368">
        <f>IF($AG368="","",INDEX('TMP Paste'!$B$2:$B$1601,$AG368))</f>
        <v/>
      </c>
      <c r="B368">
        <f>IF($AG368="","",Config!$B$14)</f>
        <v/>
      </c>
      <c r="C368">
        <f>IF($AG368="","",Config!$B$15)</f>
        <v/>
      </c>
      <c r="D368">
        <f>IF($AG368="","",INDEX('TMP Paste'!$B$2:$B$1601,$AG368))</f>
        <v/>
      </c>
      <c r="E368">
        <f>IF($AG368="","",Config!$B$27)</f>
        <v/>
      </c>
      <c r="F368">
        <f>IF($AG368="","",Config!$B$9)</f>
        <v/>
      </c>
      <c r="G368">
        <f>IF($AG368="","",Config!$B$10)</f>
        <v/>
      </c>
      <c r="H368">
        <f>IF($AG368="","",Config!$B$11)</f>
        <v/>
      </c>
      <c r="I368">
        <f>IF($AG368="","",Config!$B$16)</f>
        <v/>
      </c>
      <c r="J368">
        <f>IF($AG368="","",INDEX('TMP Paste'!$A$2:$A$1601,$AG368))</f>
        <v/>
      </c>
      <c r="K368">
        <f>IF($AG368="","",INDEX('TMP Paste'!$L$2:$L$1601,$AG368))</f>
        <v/>
      </c>
      <c r="L368">
        <f>IF($AG368="","",INDEX('TMP Paste'!$I$2:$I$1601,$AG368))</f>
        <v/>
      </c>
      <c r="M368">
        <f>IF($AG368="","",Config!$B$16)</f>
        <v/>
      </c>
      <c r="N368">
        <f>IF($AG368="","","")</f>
        <v/>
      </c>
      <c r="O368">
        <f>IF($AG368="","",INDEX('TMP Paste'!$K$2:$K$1601,$AG368))</f>
        <v/>
      </c>
      <c r="P368">
        <f>IF($AG368="","","")</f>
        <v/>
      </c>
      <c r="Q368">
        <f>IF($AG368="","",INDEX('TMP Paste'!$J$2:$J$1601,$AG368))</f>
        <v/>
      </c>
      <c r="R368">
        <f>IF($AG368="","",Config!$B$24)</f>
        <v/>
      </c>
      <c r="S368">
        <f>IF($AG368="","",TEXT(Config!$B$4,"yyyy-mm-dd"))</f>
        <v/>
      </c>
      <c r="T368">
        <f>IF($AG368="","",Config!$B$17)</f>
        <v/>
      </c>
      <c r="U368">
        <f>IF($AG368="","",Config!$B$18)</f>
        <v/>
      </c>
      <c r="V368">
        <f>IF($AG368="","",Config!$B$19)</f>
        <v/>
      </c>
      <c r="W368">
        <f>IF($AG368="","",INDEX('TMP Paste'!$C$2:$C$1601,$AG368))</f>
        <v/>
      </c>
      <c r="X368">
        <f>IF($AG368="","",Config!$B$29)</f>
        <v/>
      </c>
      <c r="Y368">
        <f>IF($AH368="","",INDEX(Calc!$I$2:$I$1601,$AH368)&amp;" - "&amp;INDEX(Calc!$D$2:$D$1601,$AH368)&amp;" koli")</f>
        <v/>
      </c>
      <c r="Z368">
        <f>IF($AG368="","",Config!$B$21)</f>
        <v/>
      </c>
      <c r="AA368">
        <f>IF($AG368="","",Config!$B$22)</f>
        <v/>
      </c>
      <c r="AB368">
        <f>IF($AH368="","",INDEX(Calc!$D$2:$D$1601,$AH368))</f>
        <v/>
      </c>
      <c r="AC368">
        <f>IF($AH368="","",INDEX(Calc!$G$2:$G$1601,$AH368))</f>
        <v/>
      </c>
      <c r="AD368">
        <f>IF($AG368="","",Config!$B$23)</f>
        <v/>
      </c>
      <c r="AE368">
        <f>IF($AG368="","",Config!$B$28)</f>
        <v/>
      </c>
      <c r="AG368">
        <f>IFERROR(MATCH(ROW()-1,Calc!$J$2:$J$1601,0),"")</f>
        <v/>
      </c>
      <c r="AH368">
        <f>IFERROR(MATCH(ROW()-1,Calc!$K$2:$K$1601,0),"")</f>
        <v/>
      </c>
      <c r="AI368">
        <f>IF($AG368="","",SUMIF($AG$2:$AG368,$AG368,$AH$2:$AH368))</f>
        <v/>
      </c>
      <c r="AJ368">
        <f>IF('TMP Paste'!$F368="","",IF('TMP Paste'!$B368="",$AJ367,'TMP Paste'!$B368))</f>
        <v/>
      </c>
      <c r="AK368">
        <f>IF('TMP Paste'!$F368="","",N('TMP Paste'!$G368))</f>
        <v/>
      </c>
      <c r="AL368">
        <f>IF('TMP Paste'!$F368="","",IF('TMP Paste'!$M368="",$AL367,'TMP Paste'!$M368))</f>
        <v/>
      </c>
      <c r="AM368">
        <f>IF('TMP Paste'!$F368="","",IF('TMP Paste'!$N368="",$AM367,'TMP Paste'!$N368))</f>
        <v/>
      </c>
      <c r="AN368">
        <f>IF('TMP Paste'!$F368="","",IF('TMP Paste'!$O368="",$AN367,'TMP Paste'!$O368))</f>
        <v/>
      </c>
      <c r="AO368">
        <f>IF('TMP Paste'!$F368="","",IF('TMP Paste'!$P368="",$AO367,'TMP Paste'!$P368))</f>
        <v/>
      </c>
      <c r="AP368">
        <f>IF($AG368="","",LEN($R368))</f>
        <v/>
      </c>
      <c r="AQ368">
        <f>IF($AG368="","",TRIM(IF(COUNTIFS(Calc!$B$2:$B$1601,ROW()-1,Calc!$C$2:$C$1601,"&lt;1")&gt;0,"Ada PO tanpa Koli - cek TMP. ","")&amp;IF(LEN($R368)&gt;500,"R &gt; 500 karakter.","")))</f>
        <v/>
      </c>
    </row>
    <row r="369">
      <c r="A369">
        <f>IF($AG369="","",INDEX('TMP Paste'!$B$2:$B$1601,$AG369))</f>
        <v/>
      </c>
      <c r="B369">
        <f>IF($AG369="","",Config!$B$14)</f>
        <v/>
      </c>
      <c r="C369">
        <f>IF($AG369="","",Config!$B$15)</f>
        <v/>
      </c>
      <c r="D369">
        <f>IF($AG369="","",INDEX('TMP Paste'!$B$2:$B$1601,$AG369))</f>
        <v/>
      </c>
      <c r="E369">
        <f>IF($AG369="","",Config!$B$27)</f>
        <v/>
      </c>
      <c r="F369">
        <f>IF($AG369="","",Config!$B$9)</f>
        <v/>
      </c>
      <c r="G369">
        <f>IF($AG369="","",Config!$B$10)</f>
        <v/>
      </c>
      <c r="H369">
        <f>IF($AG369="","",Config!$B$11)</f>
        <v/>
      </c>
      <c r="I369">
        <f>IF($AG369="","",Config!$B$16)</f>
        <v/>
      </c>
      <c r="J369">
        <f>IF($AG369="","",INDEX('TMP Paste'!$A$2:$A$1601,$AG369))</f>
        <v/>
      </c>
      <c r="K369">
        <f>IF($AG369="","",INDEX('TMP Paste'!$L$2:$L$1601,$AG369))</f>
        <v/>
      </c>
      <c r="L369">
        <f>IF($AG369="","",INDEX('TMP Paste'!$I$2:$I$1601,$AG369))</f>
        <v/>
      </c>
      <c r="M369">
        <f>IF($AG369="","",Config!$B$16)</f>
        <v/>
      </c>
      <c r="N369">
        <f>IF($AG369="","","")</f>
        <v/>
      </c>
      <c r="O369">
        <f>IF($AG369="","",INDEX('TMP Paste'!$K$2:$K$1601,$AG369))</f>
        <v/>
      </c>
      <c r="P369">
        <f>IF($AG369="","","")</f>
        <v/>
      </c>
      <c r="Q369">
        <f>IF($AG369="","",INDEX('TMP Paste'!$J$2:$J$1601,$AG369))</f>
        <v/>
      </c>
      <c r="R369">
        <f>IF($AG369="","",Config!$B$24)</f>
        <v/>
      </c>
      <c r="S369">
        <f>IF($AG369="","",TEXT(Config!$B$4,"yyyy-mm-dd"))</f>
        <v/>
      </c>
      <c r="T369">
        <f>IF($AG369="","",Config!$B$17)</f>
        <v/>
      </c>
      <c r="U369">
        <f>IF($AG369="","",Config!$B$18)</f>
        <v/>
      </c>
      <c r="V369">
        <f>IF($AG369="","",Config!$B$19)</f>
        <v/>
      </c>
      <c r="W369">
        <f>IF($AG369="","",INDEX('TMP Paste'!$C$2:$C$1601,$AG369))</f>
        <v/>
      </c>
      <c r="X369">
        <f>IF($AG369="","",Config!$B$29)</f>
        <v/>
      </c>
      <c r="Y369">
        <f>IF($AH369="","",INDEX(Calc!$I$2:$I$1601,$AH369)&amp;" - "&amp;INDEX(Calc!$D$2:$D$1601,$AH369)&amp;" koli")</f>
        <v/>
      </c>
      <c r="Z369">
        <f>IF($AG369="","",Config!$B$21)</f>
        <v/>
      </c>
      <c r="AA369">
        <f>IF($AG369="","",Config!$B$22)</f>
        <v/>
      </c>
      <c r="AB369">
        <f>IF($AH369="","",INDEX(Calc!$D$2:$D$1601,$AH369))</f>
        <v/>
      </c>
      <c r="AC369">
        <f>IF($AH369="","",INDEX(Calc!$G$2:$G$1601,$AH369))</f>
        <v/>
      </c>
      <c r="AD369">
        <f>IF($AG369="","",Config!$B$23)</f>
        <v/>
      </c>
      <c r="AE369">
        <f>IF($AG369="","",Config!$B$28)</f>
        <v/>
      </c>
      <c r="AG369">
        <f>IFERROR(MATCH(ROW()-1,Calc!$J$2:$J$1601,0),"")</f>
        <v/>
      </c>
      <c r="AH369">
        <f>IFERROR(MATCH(ROW()-1,Calc!$K$2:$K$1601,0),"")</f>
        <v/>
      </c>
      <c r="AI369">
        <f>IF($AG369="","",SUMIF($AG$2:$AG369,$AG369,$AH$2:$AH369))</f>
        <v/>
      </c>
      <c r="AJ369">
        <f>IF('TMP Paste'!$F369="","",IF('TMP Paste'!$B369="",$AJ368,'TMP Paste'!$B369))</f>
        <v/>
      </c>
      <c r="AK369">
        <f>IF('TMP Paste'!$F369="","",N('TMP Paste'!$G369))</f>
        <v/>
      </c>
      <c r="AL369">
        <f>IF('TMP Paste'!$F369="","",IF('TMP Paste'!$M369="",$AL368,'TMP Paste'!$M369))</f>
        <v/>
      </c>
      <c r="AM369">
        <f>IF('TMP Paste'!$F369="","",IF('TMP Paste'!$N369="",$AM368,'TMP Paste'!$N369))</f>
        <v/>
      </c>
      <c r="AN369">
        <f>IF('TMP Paste'!$F369="","",IF('TMP Paste'!$O369="",$AN368,'TMP Paste'!$O369))</f>
        <v/>
      </c>
      <c r="AO369">
        <f>IF('TMP Paste'!$F369="","",IF('TMP Paste'!$P369="",$AO368,'TMP Paste'!$P369))</f>
        <v/>
      </c>
      <c r="AP369">
        <f>IF($AG369="","",LEN($R369))</f>
        <v/>
      </c>
      <c r="AQ369">
        <f>IF($AG369="","",TRIM(IF(COUNTIFS(Calc!$B$2:$B$1601,ROW()-1,Calc!$C$2:$C$1601,"&lt;1")&gt;0,"Ada PO tanpa Koli - cek TMP. ","")&amp;IF(LEN($R369)&gt;500,"R &gt; 500 karakter.","")))</f>
        <v/>
      </c>
    </row>
    <row r="370">
      <c r="A370">
        <f>IF($AG370="","",INDEX('TMP Paste'!$B$2:$B$1601,$AG370))</f>
        <v/>
      </c>
      <c r="B370">
        <f>IF($AG370="","",Config!$B$14)</f>
        <v/>
      </c>
      <c r="C370">
        <f>IF($AG370="","",Config!$B$15)</f>
        <v/>
      </c>
      <c r="D370">
        <f>IF($AG370="","",INDEX('TMP Paste'!$B$2:$B$1601,$AG370))</f>
        <v/>
      </c>
      <c r="E370">
        <f>IF($AG370="","",Config!$B$27)</f>
        <v/>
      </c>
      <c r="F370">
        <f>IF($AG370="","",Config!$B$9)</f>
        <v/>
      </c>
      <c r="G370">
        <f>IF($AG370="","",Config!$B$10)</f>
        <v/>
      </c>
      <c r="H370">
        <f>IF($AG370="","",Config!$B$11)</f>
        <v/>
      </c>
      <c r="I370">
        <f>IF($AG370="","",Config!$B$16)</f>
        <v/>
      </c>
      <c r="J370">
        <f>IF($AG370="","",INDEX('TMP Paste'!$A$2:$A$1601,$AG370))</f>
        <v/>
      </c>
      <c r="K370">
        <f>IF($AG370="","",INDEX('TMP Paste'!$L$2:$L$1601,$AG370))</f>
        <v/>
      </c>
      <c r="L370">
        <f>IF($AG370="","",INDEX('TMP Paste'!$I$2:$I$1601,$AG370))</f>
        <v/>
      </c>
      <c r="M370">
        <f>IF($AG370="","",Config!$B$16)</f>
        <v/>
      </c>
      <c r="N370">
        <f>IF($AG370="","","")</f>
        <v/>
      </c>
      <c r="O370">
        <f>IF($AG370="","",INDEX('TMP Paste'!$K$2:$K$1601,$AG370))</f>
        <v/>
      </c>
      <c r="P370">
        <f>IF($AG370="","","")</f>
        <v/>
      </c>
      <c r="Q370">
        <f>IF($AG370="","",INDEX('TMP Paste'!$J$2:$J$1601,$AG370))</f>
        <v/>
      </c>
      <c r="R370">
        <f>IF($AG370="","",Config!$B$24)</f>
        <v/>
      </c>
      <c r="S370">
        <f>IF($AG370="","",TEXT(Config!$B$4,"yyyy-mm-dd"))</f>
        <v/>
      </c>
      <c r="T370">
        <f>IF($AG370="","",Config!$B$17)</f>
        <v/>
      </c>
      <c r="U370">
        <f>IF($AG370="","",Config!$B$18)</f>
        <v/>
      </c>
      <c r="V370">
        <f>IF($AG370="","",Config!$B$19)</f>
        <v/>
      </c>
      <c r="W370">
        <f>IF($AG370="","",INDEX('TMP Paste'!$C$2:$C$1601,$AG370))</f>
        <v/>
      </c>
      <c r="X370">
        <f>IF($AG370="","",Config!$B$29)</f>
        <v/>
      </c>
      <c r="Y370">
        <f>IF($AH370="","",INDEX(Calc!$I$2:$I$1601,$AH370)&amp;" - "&amp;INDEX(Calc!$D$2:$D$1601,$AH370)&amp;" koli")</f>
        <v/>
      </c>
      <c r="Z370">
        <f>IF($AG370="","",Config!$B$21)</f>
        <v/>
      </c>
      <c r="AA370">
        <f>IF($AG370="","",Config!$B$22)</f>
        <v/>
      </c>
      <c r="AB370">
        <f>IF($AH370="","",INDEX(Calc!$D$2:$D$1601,$AH370))</f>
        <v/>
      </c>
      <c r="AC370">
        <f>IF($AH370="","",INDEX(Calc!$G$2:$G$1601,$AH370))</f>
        <v/>
      </c>
      <c r="AD370">
        <f>IF($AG370="","",Config!$B$23)</f>
        <v/>
      </c>
      <c r="AE370">
        <f>IF($AG370="","",Config!$B$28)</f>
        <v/>
      </c>
      <c r="AG370">
        <f>IFERROR(MATCH(ROW()-1,Calc!$J$2:$J$1601,0),"")</f>
        <v/>
      </c>
      <c r="AH370">
        <f>IFERROR(MATCH(ROW()-1,Calc!$K$2:$K$1601,0),"")</f>
        <v/>
      </c>
      <c r="AI370">
        <f>IF($AG370="","",SUMIF($AG$2:$AG370,$AG370,$AH$2:$AH370))</f>
        <v/>
      </c>
      <c r="AJ370">
        <f>IF('TMP Paste'!$F370="","",IF('TMP Paste'!$B370="",$AJ369,'TMP Paste'!$B370))</f>
        <v/>
      </c>
      <c r="AK370">
        <f>IF('TMP Paste'!$F370="","",N('TMP Paste'!$G370))</f>
        <v/>
      </c>
      <c r="AL370">
        <f>IF('TMP Paste'!$F370="","",IF('TMP Paste'!$M370="",$AL369,'TMP Paste'!$M370))</f>
        <v/>
      </c>
      <c r="AM370">
        <f>IF('TMP Paste'!$F370="","",IF('TMP Paste'!$N370="",$AM369,'TMP Paste'!$N370))</f>
        <v/>
      </c>
      <c r="AN370">
        <f>IF('TMP Paste'!$F370="","",IF('TMP Paste'!$O370="",$AN369,'TMP Paste'!$O370))</f>
        <v/>
      </c>
      <c r="AO370">
        <f>IF('TMP Paste'!$F370="","",IF('TMP Paste'!$P370="",$AO369,'TMP Paste'!$P370))</f>
        <v/>
      </c>
      <c r="AP370">
        <f>IF($AG370="","",LEN($R370))</f>
        <v/>
      </c>
      <c r="AQ370">
        <f>IF($AG370="","",TRIM(IF(COUNTIFS(Calc!$B$2:$B$1601,ROW()-1,Calc!$C$2:$C$1601,"&lt;1")&gt;0,"Ada PO tanpa Koli - cek TMP. ","")&amp;IF(LEN($R370)&gt;500,"R &gt; 500 karakter.","")))</f>
        <v/>
      </c>
    </row>
    <row r="371">
      <c r="A371">
        <f>IF($AG371="","",INDEX('TMP Paste'!$B$2:$B$1601,$AG371))</f>
        <v/>
      </c>
      <c r="B371">
        <f>IF($AG371="","",Config!$B$14)</f>
        <v/>
      </c>
      <c r="C371">
        <f>IF($AG371="","",Config!$B$15)</f>
        <v/>
      </c>
      <c r="D371">
        <f>IF($AG371="","",INDEX('TMP Paste'!$B$2:$B$1601,$AG371))</f>
        <v/>
      </c>
      <c r="E371">
        <f>IF($AG371="","",Config!$B$27)</f>
        <v/>
      </c>
      <c r="F371">
        <f>IF($AG371="","",Config!$B$9)</f>
        <v/>
      </c>
      <c r="G371">
        <f>IF($AG371="","",Config!$B$10)</f>
        <v/>
      </c>
      <c r="H371">
        <f>IF($AG371="","",Config!$B$11)</f>
        <v/>
      </c>
      <c r="I371">
        <f>IF($AG371="","",Config!$B$16)</f>
        <v/>
      </c>
      <c r="J371">
        <f>IF($AG371="","",INDEX('TMP Paste'!$A$2:$A$1601,$AG371))</f>
        <v/>
      </c>
      <c r="K371">
        <f>IF($AG371="","",INDEX('TMP Paste'!$L$2:$L$1601,$AG371))</f>
        <v/>
      </c>
      <c r="L371">
        <f>IF($AG371="","",INDEX('TMP Paste'!$I$2:$I$1601,$AG371))</f>
        <v/>
      </c>
      <c r="M371">
        <f>IF($AG371="","",Config!$B$16)</f>
        <v/>
      </c>
      <c r="N371">
        <f>IF($AG371="","","")</f>
        <v/>
      </c>
      <c r="O371">
        <f>IF($AG371="","",INDEX('TMP Paste'!$K$2:$K$1601,$AG371))</f>
        <v/>
      </c>
      <c r="P371">
        <f>IF($AG371="","","")</f>
        <v/>
      </c>
      <c r="Q371">
        <f>IF($AG371="","",INDEX('TMP Paste'!$J$2:$J$1601,$AG371))</f>
        <v/>
      </c>
      <c r="R371">
        <f>IF($AG371="","",Config!$B$24)</f>
        <v/>
      </c>
      <c r="S371">
        <f>IF($AG371="","",TEXT(Config!$B$4,"yyyy-mm-dd"))</f>
        <v/>
      </c>
      <c r="T371">
        <f>IF($AG371="","",Config!$B$17)</f>
        <v/>
      </c>
      <c r="U371">
        <f>IF($AG371="","",Config!$B$18)</f>
        <v/>
      </c>
      <c r="V371">
        <f>IF($AG371="","",Config!$B$19)</f>
        <v/>
      </c>
      <c r="W371">
        <f>IF($AG371="","",INDEX('TMP Paste'!$C$2:$C$1601,$AG371))</f>
        <v/>
      </c>
      <c r="X371">
        <f>IF($AG371="","",Config!$B$29)</f>
        <v/>
      </c>
      <c r="Y371">
        <f>IF($AH371="","",INDEX(Calc!$I$2:$I$1601,$AH371)&amp;" - "&amp;INDEX(Calc!$D$2:$D$1601,$AH371)&amp;" koli")</f>
        <v/>
      </c>
      <c r="Z371">
        <f>IF($AG371="","",Config!$B$21)</f>
        <v/>
      </c>
      <c r="AA371">
        <f>IF($AG371="","",Config!$B$22)</f>
        <v/>
      </c>
      <c r="AB371">
        <f>IF($AH371="","",INDEX(Calc!$D$2:$D$1601,$AH371))</f>
        <v/>
      </c>
      <c r="AC371">
        <f>IF($AH371="","",INDEX(Calc!$G$2:$G$1601,$AH371))</f>
        <v/>
      </c>
      <c r="AD371">
        <f>IF($AG371="","",Config!$B$23)</f>
        <v/>
      </c>
      <c r="AE371">
        <f>IF($AG371="","",Config!$B$28)</f>
        <v/>
      </c>
      <c r="AG371">
        <f>IFERROR(MATCH(ROW()-1,Calc!$J$2:$J$1601,0),"")</f>
        <v/>
      </c>
      <c r="AH371">
        <f>IFERROR(MATCH(ROW()-1,Calc!$K$2:$K$1601,0),"")</f>
        <v/>
      </c>
      <c r="AI371">
        <f>IF($AG371="","",SUMIF($AG$2:$AG371,$AG371,$AH$2:$AH371))</f>
        <v/>
      </c>
      <c r="AJ371">
        <f>IF('TMP Paste'!$F371="","",IF('TMP Paste'!$B371="",$AJ370,'TMP Paste'!$B371))</f>
        <v/>
      </c>
      <c r="AK371">
        <f>IF('TMP Paste'!$F371="","",N('TMP Paste'!$G371))</f>
        <v/>
      </c>
      <c r="AL371">
        <f>IF('TMP Paste'!$F371="","",IF('TMP Paste'!$M371="",$AL370,'TMP Paste'!$M371))</f>
        <v/>
      </c>
      <c r="AM371">
        <f>IF('TMP Paste'!$F371="","",IF('TMP Paste'!$N371="",$AM370,'TMP Paste'!$N371))</f>
        <v/>
      </c>
      <c r="AN371">
        <f>IF('TMP Paste'!$F371="","",IF('TMP Paste'!$O371="",$AN370,'TMP Paste'!$O371))</f>
        <v/>
      </c>
      <c r="AO371">
        <f>IF('TMP Paste'!$F371="","",IF('TMP Paste'!$P371="",$AO370,'TMP Paste'!$P371))</f>
        <v/>
      </c>
      <c r="AP371">
        <f>IF($AG371="","",LEN($R371))</f>
        <v/>
      </c>
      <c r="AQ371">
        <f>IF($AG371="","",TRIM(IF(COUNTIFS(Calc!$B$2:$B$1601,ROW()-1,Calc!$C$2:$C$1601,"&lt;1")&gt;0,"Ada PO tanpa Koli - cek TMP. ","")&amp;IF(LEN($R371)&gt;500,"R &gt; 500 karakter.","")))</f>
        <v/>
      </c>
    </row>
    <row r="372">
      <c r="A372">
        <f>IF($AG372="","",INDEX('TMP Paste'!$B$2:$B$1601,$AG372))</f>
        <v/>
      </c>
      <c r="B372">
        <f>IF($AG372="","",Config!$B$14)</f>
        <v/>
      </c>
      <c r="C372">
        <f>IF($AG372="","",Config!$B$15)</f>
        <v/>
      </c>
      <c r="D372">
        <f>IF($AG372="","",INDEX('TMP Paste'!$B$2:$B$1601,$AG372))</f>
        <v/>
      </c>
      <c r="E372">
        <f>IF($AG372="","",Config!$B$27)</f>
        <v/>
      </c>
      <c r="F372">
        <f>IF($AG372="","",Config!$B$9)</f>
        <v/>
      </c>
      <c r="G372">
        <f>IF($AG372="","",Config!$B$10)</f>
        <v/>
      </c>
      <c r="H372">
        <f>IF($AG372="","",Config!$B$11)</f>
        <v/>
      </c>
      <c r="I372">
        <f>IF($AG372="","",Config!$B$16)</f>
        <v/>
      </c>
      <c r="J372">
        <f>IF($AG372="","",INDEX('TMP Paste'!$A$2:$A$1601,$AG372))</f>
        <v/>
      </c>
      <c r="K372">
        <f>IF($AG372="","",INDEX('TMP Paste'!$L$2:$L$1601,$AG372))</f>
        <v/>
      </c>
      <c r="L372">
        <f>IF($AG372="","",INDEX('TMP Paste'!$I$2:$I$1601,$AG372))</f>
        <v/>
      </c>
      <c r="M372">
        <f>IF($AG372="","",Config!$B$16)</f>
        <v/>
      </c>
      <c r="N372">
        <f>IF($AG372="","","")</f>
        <v/>
      </c>
      <c r="O372">
        <f>IF($AG372="","",INDEX('TMP Paste'!$K$2:$K$1601,$AG372))</f>
        <v/>
      </c>
      <c r="P372">
        <f>IF($AG372="","","")</f>
        <v/>
      </c>
      <c r="Q372">
        <f>IF($AG372="","",INDEX('TMP Paste'!$J$2:$J$1601,$AG372))</f>
        <v/>
      </c>
      <c r="R372">
        <f>IF($AG372="","",Config!$B$24)</f>
        <v/>
      </c>
      <c r="S372">
        <f>IF($AG372="","",TEXT(Config!$B$4,"yyyy-mm-dd"))</f>
        <v/>
      </c>
      <c r="T372">
        <f>IF($AG372="","",Config!$B$17)</f>
        <v/>
      </c>
      <c r="U372">
        <f>IF($AG372="","",Config!$B$18)</f>
        <v/>
      </c>
      <c r="V372">
        <f>IF($AG372="","",Config!$B$19)</f>
        <v/>
      </c>
      <c r="W372">
        <f>IF($AG372="","",INDEX('TMP Paste'!$C$2:$C$1601,$AG372))</f>
        <v/>
      </c>
      <c r="X372">
        <f>IF($AG372="","",Config!$B$29)</f>
        <v/>
      </c>
      <c r="Y372">
        <f>IF($AH372="","",INDEX(Calc!$I$2:$I$1601,$AH372)&amp;" - "&amp;INDEX(Calc!$D$2:$D$1601,$AH372)&amp;" koli")</f>
        <v/>
      </c>
      <c r="Z372">
        <f>IF($AG372="","",Config!$B$21)</f>
        <v/>
      </c>
      <c r="AA372">
        <f>IF($AG372="","",Config!$B$22)</f>
        <v/>
      </c>
      <c r="AB372">
        <f>IF($AH372="","",INDEX(Calc!$D$2:$D$1601,$AH372))</f>
        <v/>
      </c>
      <c r="AC372">
        <f>IF($AH372="","",INDEX(Calc!$G$2:$G$1601,$AH372))</f>
        <v/>
      </c>
      <c r="AD372">
        <f>IF($AG372="","",Config!$B$23)</f>
        <v/>
      </c>
      <c r="AE372">
        <f>IF($AG372="","",Config!$B$28)</f>
        <v/>
      </c>
      <c r="AG372">
        <f>IFERROR(MATCH(ROW()-1,Calc!$J$2:$J$1601,0),"")</f>
        <v/>
      </c>
      <c r="AH372">
        <f>IFERROR(MATCH(ROW()-1,Calc!$K$2:$K$1601,0),"")</f>
        <v/>
      </c>
      <c r="AI372">
        <f>IF($AG372="","",SUMIF($AG$2:$AG372,$AG372,$AH$2:$AH372))</f>
        <v/>
      </c>
      <c r="AJ372">
        <f>IF('TMP Paste'!$F372="","",IF('TMP Paste'!$B372="",$AJ371,'TMP Paste'!$B372))</f>
        <v/>
      </c>
      <c r="AK372">
        <f>IF('TMP Paste'!$F372="","",N('TMP Paste'!$G372))</f>
        <v/>
      </c>
      <c r="AL372">
        <f>IF('TMP Paste'!$F372="","",IF('TMP Paste'!$M372="",$AL371,'TMP Paste'!$M372))</f>
        <v/>
      </c>
      <c r="AM372">
        <f>IF('TMP Paste'!$F372="","",IF('TMP Paste'!$N372="",$AM371,'TMP Paste'!$N372))</f>
        <v/>
      </c>
      <c r="AN372">
        <f>IF('TMP Paste'!$F372="","",IF('TMP Paste'!$O372="",$AN371,'TMP Paste'!$O372))</f>
        <v/>
      </c>
      <c r="AO372">
        <f>IF('TMP Paste'!$F372="","",IF('TMP Paste'!$P372="",$AO371,'TMP Paste'!$P372))</f>
        <v/>
      </c>
      <c r="AP372">
        <f>IF($AG372="","",LEN($R372))</f>
        <v/>
      </c>
      <c r="AQ372">
        <f>IF($AG372="","",TRIM(IF(COUNTIFS(Calc!$B$2:$B$1601,ROW()-1,Calc!$C$2:$C$1601,"&lt;1")&gt;0,"Ada PO tanpa Koli - cek TMP. ","")&amp;IF(LEN($R372)&gt;500,"R &gt; 500 karakter.","")))</f>
        <v/>
      </c>
    </row>
    <row r="373">
      <c r="A373">
        <f>IF($AG373="","",INDEX('TMP Paste'!$B$2:$B$1601,$AG373))</f>
        <v/>
      </c>
      <c r="B373">
        <f>IF($AG373="","",Config!$B$14)</f>
        <v/>
      </c>
      <c r="C373">
        <f>IF($AG373="","",Config!$B$15)</f>
        <v/>
      </c>
      <c r="D373">
        <f>IF($AG373="","",INDEX('TMP Paste'!$B$2:$B$1601,$AG373))</f>
        <v/>
      </c>
      <c r="E373">
        <f>IF($AG373="","",Config!$B$27)</f>
        <v/>
      </c>
      <c r="F373">
        <f>IF($AG373="","",Config!$B$9)</f>
        <v/>
      </c>
      <c r="G373">
        <f>IF($AG373="","",Config!$B$10)</f>
        <v/>
      </c>
      <c r="H373">
        <f>IF($AG373="","",Config!$B$11)</f>
        <v/>
      </c>
      <c r="I373">
        <f>IF($AG373="","",Config!$B$16)</f>
        <v/>
      </c>
      <c r="J373">
        <f>IF($AG373="","",INDEX('TMP Paste'!$A$2:$A$1601,$AG373))</f>
        <v/>
      </c>
      <c r="K373">
        <f>IF($AG373="","",INDEX('TMP Paste'!$L$2:$L$1601,$AG373))</f>
        <v/>
      </c>
      <c r="L373">
        <f>IF($AG373="","",INDEX('TMP Paste'!$I$2:$I$1601,$AG373))</f>
        <v/>
      </c>
      <c r="M373">
        <f>IF($AG373="","",Config!$B$16)</f>
        <v/>
      </c>
      <c r="N373">
        <f>IF($AG373="","","")</f>
        <v/>
      </c>
      <c r="O373">
        <f>IF($AG373="","",INDEX('TMP Paste'!$K$2:$K$1601,$AG373))</f>
        <v/>
      </c>
      <c r="P373">
        <f>IF($AG373="","","")</f>
        <v/>
      </c>
      <c r="Q373">
        <f>IF($AG373="","",INDEX('TMP Paste'!$J$2:$J$1601,$AG373))</f>
        <v/>
      </c>
      <c r="R373">
        <f>IF($AG373="","",Config!$B$24)</f>
        <v/>
      </c>
      <c r="S373">
        <f>IF($AG373="","",TEXT(Config!$B$4,"yyyy-mm-dd"))</f>
        <v/>
      </c>
      <c r="T373">
        <f>IF($AG373="","",Config!$B$17)</f>
        <v/>
      </c>
      <c r="U373">
        <f>IF($AG373="","",Config!$B$18)</f>
        <v/>
      </c>
      <c r="V373">
        <f>IF($AG373="","",Config!$B$19)</f>
        <v/>
      </c>
      <c r="W373">
        <f>IF($AG373="","",INDEX('TMP Paste'!$C$2:$C$1601,$AG373))</f>
        <v/>
      </c>
      <c r="X373">
        <f>IF($AG373="","",Config!$B$29)</f>
        <v/>
      </c>
      <c r="Y373">
        <f>IF($AH373="","",INDEX(Calc!$I$2:$I$1601,$AH373)&amp;" - "&amp;INDEX(Calc!$D$2:$D$1601,$AH373)&amp;" koli")</f>
        <v/>
      </c>
      <c r="Z373">
        <f>IF($AG373="","",Config!$B$21)</f>
        <v/>
      </c>
      <c r="AA373">
        <f>IF($AG373="","",Config!$B$22)</f>
        <v/>
      </c>
      <c r="AB373">
        <f>IF($AH373="","",INDEX(Calc!$D$2:$D$1601,$AH373))</f>
        <v/>
      </c>
      <c r="AC373">
        <f>IF($AH373="","",INDEX(Calc!$G$2:$G$1601,$AH373))</f>
        <v/>
      </c>
      <c r="AD373">
        <f>IF($AG373="","",Config!$B$23)</f>
        <v/>
      </c>
      <c r="AE373">
        <f>IF($AG373="","",Config!$B$28)</f>
        <v/>
      </c>
      <c r="AG373">
        <f>IFERROR(MATCH(ROW()-1,Calc!$J$2:$J$1601,0),"")</f>
        <v/>
      </c>
      <c r="AH373">
        <f>IFERROR(MATCH(ROW()-1,Calc!$K$2:$K$1601,0),"")</f>
        <v/>
      </c>
      <c r="AI373">
        <f>IF($AG373="","",SUMIF($AG$2:$AG373,$AG373,$AH$2:$AH373))</f>
        <v/>
      </c>
      <c r="AJ373">
        <f>IF('TMP Paste'!$F373="","",IF('TMP Paste'!$B373="",$AJ372,'TMP Paste'!$B373))</f>
        <v/>
      </c>
      <c r="AK373">
        <f>IF('TMP Paste'!$F373="","",N('TMP Paste'!$G373))</f>
        <v/>
      </c>
      <c r="AL373">
        <f>IF('TMP Paste'!$F373="","",IF('TMP Paste'!$M373="",$AL372,'TMP Paste'!$M373))</f>
        <v/>
      </c>
      <c r="AM373">
        <f>IF('TMP Paste'!$F373="","",IF('TMP Paste'!$N373="",$AM372,'TMP Paste'!$N373))</f>
        <v/>
      </c>
      <c r="AN373">
        <f>IF('TMP Paste'!$F373="","",IF('TMP Paste'!$O373="",$AN372,'TMP Paste'!$O373))</f>
        <v/>
      </c>
      <c r="AO373">
        <f>IF('TMP Paste'!$F373="","",IF('TMP Paste'!$P373="",$AO372,'TMP Paste'!$P373))</f>
        <v/>
      </c>
      <c r="AP373">
        <f>IF($AG373="","",LEN($R373))</f>
        <v/>
      </c>
      <c r="AQ373">
        <f>IF($AG373="","",TRIM(IF(COUNTIFS(Calc!$B$2:$B$1601,ROW()-1,Calc!$C$2:$C$1601,"&lt;1")&gt;0,"Ada PO tanpa Koli - cek TMP. ","")&amp;IF(LEN($R373)&gt;500,"R &gt; 500 karakter.","")))</f>
        <v/>
      </c>
    </row>
    <row r="374">
      <c r="A374">
        <f>IF($AG374="","",INDEX('TMP Paste'!$B$2:$B$1601,$AG374))</f>
        <v/>
      </c>
      <c r="B374">
        <f>IF($AG374="","",Config!$B$14)</f>
        <v/>
      </c>
      <c r="C374">
        <f>IF($AG374="","",Config!$B$15)</f>
        <v/>
      </c>
      <c r="D374">
        <f>IF($AG374="","",INDEX('TMP Paste'!$B$2:$B$1601,$AG374))</f>
        <v/>
      </c>
      <c r="E374">
        <f>IF($AG374="","",Config!$B$27)</f>
        <v/>
      </c>
      <c r="F374">
        <f>IF($AG374="","",Config!$B$9)</f>
        <v/>
      </c>
      <c r="G374">
        <f>IF($AG374="","",Config!$B$10)</f>
        <v/>
      </c>
      <c r="H374">
        <f>IF($AG374="","",Config!$B$11)</f>
        <v/>
      </c>
      <c r="I374">
        <f>IF($AG374="","",Config!$B$16)</f>
        <v/>
      </c>
      <c r="J374">
        <f>IF($AG374="","",INDEX('TMP Paste'!$A$2:$A$1601,$AG374))</f>
        <v/>
      </c>
      <c r="K374">
        <f>IF($AG374="","",INDEX('TMP Paste'!$L$2:$L$1601,$AG374))</f>
        <v/>
      </c>
      <c r="L374">
        <f>IF($AG374="","",INDEX('TMP Paste'!$I$2:$I$1601,$AG374))</f>
        <v/>
      </c>
      <c r="M374">
        <f>IF($AG374="","",Config!$B$16)</f>
        <v/>
      </c>
      <c r="N374">
        <f>IF($AG374="","","")</f>
        <v/>
      </c>
      <c r="O374">
        <f>IF($AG374="","",INDEX('TMP Paste'!$K$2:$K$1601,$AG374))</f>
        <v/>
      </c>
      <c r="P374">
        <f>IF($AG374="","","")</f>
        <v/>
      </c>
      <c r="Q374">
        <f>IF($AG374="","",INDEX('TMP Paste'!$J$2:$J$1601,$AG374))</f>
        <v/>
      </c>
      <c r="R374">
        <f>IF($AG374="","",Config!$B$24)</f>
        <v/>
      </c>
      <c r="S374">
        <f>IF($AG374="","",TEXT(Config!$B$4,"yyyy-mm-dd"))</f>
        <v/>
      </c>
      <c r="T374">
        <f>IF($AG374="","",Config!$B$17)</f>
        <v/>
      </c>
      <c r="U374">
        <f>IF($AG374="","",Config!$B$18)</f>
        <v/>
      </c>
      <c r="V374">
        <f>IF($AG374="","",Config!$B$19)</f>
        <v/>
      </c>
      <c r="W374">
        <f>IF($AG374="","",INDEX('TMP Paste'!$C$2:$C$1601,$AG374))</f>
        <v/>
      </c>
      <c r="X374">
        <f>IF($AG374="","",Config!$B$29)</f>
        <v/>
      </c>
      <c r="Y374">
        <f>IF($AH374="","",INDEX(Calc!$I$2:$I$1601,$AH374)&amp;" - "&amp;INDEX(Calc!$D$2:$D$1601,$AH374)&amp;" koli")</f>
        <v/>
      </c>
      <c r="Z374">
        <f>IF($AG374="","",Config!$B$21)</f>
        <v/>
      </c>
      <c r="AA374">
        <f>IF($AG374="","",Config!$B$22)</f>
        <v/>
      </c>
      <c r="AB374">
        <f>IF($AH374="","",INDEX(Calc!$D$2:$D$1601,$AH374))</f>
        <v/>
      </c>
      <c r="AC374">
        <f>IF($AH374="","",INDEX(Calc!$G$2:$G$1601,$AH374))</f>
        <v/>
      </c>
      <c r="AD374">
        <f>IF($AG374="","",Config!$B$23)</f>
        <v/>
      </c>
      <c r="AE374">
        <f>IF($AG374="","",Config!$B$28)</f>
        <v/>
      </c>
      <c r="AG374">
        <f>IFERROR(MATCH(ROW()-1,Calc!$J$2:$J$1601,0),"")</f>
        <v/>
      </c>
      <c r="AH374">
        <f>IFERROR(MATCH(ROW()-1,Calc!$K$2:$K$1601,0),"")</f>
        <v/>
      </c>
      <c r="AI374">
        <f>IF($AG374="","",SUMIF($AG$2:$AG374,$AG374,$AH$2:$AH374))</f>
        <v/>
      </c>
      <c r="AJ374">
        <f>IF('TMP Paste'!$F374="","",IF('TMP Paste'!$B374="",$AJ373,'TMP Paste'!$B374))</f>
        <v/>
      </c>
      <c r="AK374">
        <f>IF('TMP Paste'!$F374="","",N('TMP Paste'!$G374))</f>
        <v/>
      </c>
      <c r="AL374">
        <f>IF('TMP Paste'!$F374="","",IF('TMP Paste'!$M374="",$AL373,'TMP Paste'!$M374))</f>
        <v/>
      </c>
      <c r="AM374">
        <f>IF('TMP Paste'!$F374="","",IF('TMP Paste'!$N374="",$AM373,'TMP Paste'!$N374))</f>
        <v/>
      </c>
      <c r="AN374">
        <f>IF('TMP Paste'!$F374="","",IF('TMP Paste'!$O374="",$AN373,'TMP Paste'!$O374))</f>
        <v/>
      </c>
      <c r="AO374">
        <f>IF('TMP Paste'!$F374="","",IF('TMP Paste'!$P374="",$AO373,'TMP Paste'!$P374))</f>
        <v/>
      </c>
      <c r="AP374">
        <f>IF($AG374="","",LEN($R374))</f>
        <v/>
      </c>
      <c r="AQ374">
        <f>IF($AG374="","",TRIM(IF(COUNTIFS(Calc!$B$2:$B$1601,ROW()-1,Calc!$C$2:$C$1601,"&lt;1")&gt;0,"Ada PO tanpa Koli - cek TMP. ","")&amp;IF(LEN($R374)&gt;500,"R &gt; 500 karakter.","")))</f>
        <v/>
      </c>
    </row>
    <row r="375">
      <c r="A375">
        <f>IF($AG375="","",INDEX('TMP Paste'!$B$2:$B$1601,$AG375))</f>
        <v/>
      </c>
      <c r="B375">
        <f>IF($AG375="","",Config!$B$14)</f>
        <v/>
      </c>
      <c r="C375">
        <f>IF($AG375="","",Config!$B$15)</f>
        <v/>
      </c>
      <c r="D375">
        <f>IF($AG375="","",INDEX('TMP Paste'!$B$2:$B$1601,$AG375))</f>
        <v/>
      </c>
      <c r="E375">
        <f>IF($AG375="","",Config!$B$27)</f>
        <v/>
      </c>
      <c r="F375">
        <f>IF($AG375="","",Config!$B$9)</f>
        <v/>
      </c>
      <c r="G375">
        <f>IF($AG375="","",Config!$B$10)</f>
        <v/>
      </c>
      <c r="H375">
        <f>IF($AG375="","",Config!$B$11)</f>
        <v/>
      </c>
      <c r="I375">
        <f>IF($AG375="","",Config!$B$16)</f>
        <v/>
      </c>
      <c r="J375">
        <f>IF($AG375="","",INDEX('TMP Paste'!$A$2:$A$1601,$AG375))</f>
        <v/>
      </c>
      <c r="K375">
        <f>IF($AG375="","",INDEX('TMP Paste'!$L$2:$L$1601,$AG375))</f>
        <v/>
      </c>
      <c r="L375">
        <f>IF($AG375="","",INDEX('TMP Paste'!$I$2:$I$1601,$AG375))</f>
        <v/>
      </c>
      <c r="M375">
        <f>IF($AG375="","",Config!$B$16)</f>
        <v/>
      </c>
      <c r="N375">
        <f>IF($AG375="","","")</f>
        <v/>
      </c>
      <c r="O375">
        <f>IF($AG375="","",INDEX('TMP Paste'!$K$2:$K$1601,$AG375))</f>
        <v/>
      </c>
      <c r="P375">
        <f>IF($AG375="","","")</f>
        <v/>
      </c>
      <c r="Q375">
        <f>IF($AG375="","",INDEX('TMP Paste'!$J$2:$J$1601,$AG375))</f>
        <v/>
      </c>
      <c r="R375">
        <f>IF($AG375="","",Config!$B$24)</f>
        <v/>
      </c>
      <c r="S375">
        <f>IF($AG375="","",TEXT(Config!$B$4,"yyyy-mm-dd"))</f>
        <v/>
      </c>
      <c r="T375">
        <f>IF($AG375="","",Config!$B$17)</f>
        <v/>
      </c>
      <c r="U375">
        <f>IF($AG375="","",Config!$B$18)</f>
        <v/>
      </c>
      <c r="V375">
        <f>IF($AG375="","",Config!$B$19)</f>
        <v/>
      </c>
      <c r="W375">
        <f>IF($AG375="","",INDEX('TMP Paste'!$C$2:$C$1601,$AG375))</f>
        <v/>
      </c>
      <c r="X375">
        <f>IF($AG375="","",Config!$B$29)</f>
        <v/>
      </c>
      <c r="Y375">
        <f>IF($AH375="","",INDEX(Calc!$I$2:$I$1601,$AH375)&amp;" - "&amp;INDEX(Calc!$D$2:$D$1601,$AH375)&amp;" koli")</f>
        <v/>
      </c>
      <c r="Z375">
        <f>IF($AG375="","",Config!$B$21)</f>
        <v/>
      </c>
      <c r="AA375">
        <f>IF($AG375="","",Config!$B$22)</f>
        <v/>
      </c>
      <c r="AB375">
        <f>IF($AH375="","",INDEX(Calc!$D$2:$D$1601,$AH375))</f>
        <v/>
      </c>
      <c r="AC375">
        <f>IF($AH375="","",INDEX(Calc!$G$2:$G$1601,$AH375))</f>
        <v/>
      </c>
      <c r="AD375">
        <f>IF($AG375="","",Config!$B$23)</f>
        <v/>
      </c>
      <c r="AE375">
        <f>IF($AG375="","",Config!$B$28)</f>
        <v/>
      </c>
      <c r="AG375">
        <f>IFERROR(MATCH(ROW()-1,Calc!$J$2:$J$1601,0),"")</f>
        <v/>
      </c>
      <c r="AH375">
        <f>IFERROR(MATCH(ROW()-1,Calc!$K$2:$K$1601,0),"")</f>
        <v/>
      </c>
      <c r="AI375">
        <f>IF($AG375="","",SUMIF($AG$2:$AG375,$AG375,$AH$2:$AH375))</f>
        <v/>
      </c>
      <c r="AJ375">
        <f>IF('TMP Paste'!$F375="","",IF('TMP Paste'!$B375="",$AJ374,'TMP Paste'!$B375))</f>
        <v/>
      </c>
      <c r="AK375">
        <f>IF('TMP Paste'!$F375="","",N('TMP Paste'!$G375))</f>
        <v/>
      </c>
      <c r="AL375">
        <f>IF('TMP Paste'!$F375="","",IF('TMP Paste'!$M375="",$AL374,'TMP Paste'!$M375))</f>
        <v/>
      </c>
      <c r="AM375">
        <f>IF('TMP Paste'!$F375="","",IF('TMP Paste'!$N375="",$AM374,'TMP Paste'!$N375))</f>
        <v/>
      </c>
      <c r="AN375">
        <f>IF('TMP Paste'!$F375="","",IF('TMP Paste'!$O375="",$AN374,'TMP Paste'!$O375))</f>
        <v/>
      </c>
      <c r="AO375">
        <f>IF('TMP Paste'!$F375="","",IF('TMP Paste'!$P375="",$AO374,'TMP Paste'!$P375))</f>
        <v/>
      </c>
      <c r="AP375">
        <f>IF($AG375="","",LEN($R375))</f>
        <v/>
      </c>
      <c r="AQ375">
        <f>IF($AG375="","",TRIM(IF(COUNTIFS(Calc!$B$2:$B$1601,ROW()-1,Calc!$C$2:$C$1601,"&lt;1")&gt;0,"Ada PO tanpa Koli - cek TMP. ","")&amp;IF(LEN($R375)&gt;500,"R &gt; 500 karakter.","")))</f>
        <v/>
      </c>
    </row>
    <row r="376">
      <c r="A376">
        <f>IF($AG376="","",INDEX('TMP Paste'!$B$2:$B$1601,$AG376))</f>
        <v/>
      </c>
      <c r="B376">
        <f>IF($AG376="","",Config!$B$14)</f>
        <v/>
      </c>
      <c r="C376">
        <f>IF($AG376="","",Config!$B$15)</f>
        <v/>
      </c>
      <c r="D376">
        <f>IF($AG376="","",INDEX('TMP Paste'!$B$2:$B$1601,$AG376))</f>
        <v/>
      </c>
      <c r="E376">
        <f>IF($AG376="","",Config!$B$27)</f>
        <v/>
      </c>
      <c r="F376">
        <f>IF($AG376="","",Config!$B$9)</f>
        <v/>
      </c>
      <c r="G376">
        <f>IF($AG376="","",Config!$B$10)</f>
        <v/>
      </c>
      <c r="H376">
        <f>IF($AG376="","",Config!$B$11)</f>
        <v/>
      </c>
      <c r="I376">
        <f>IF($AG376="","",Config!$B$16)</f>
        <v/>
      </c>
      <c r="J376">
        <f>IF($AG376="","",INDEX('TMP Paste'!$A$2:$A$1601,$AG376))</f>
        <v/>
      </c>
      <c r="K376">
        <f>IF($AG376="","",INDEX('TMP Paste'!$L$2:$L$1601,$AG376))</f>
        <v/>
      </c>
      <c r="L376">
        <f>IF($AG376="","",INDEX('TMP Paste'!$I$2:$I$1601,$AG376))</f>
        <v/>
      </c>
      <c r="M376">
        <f>IF($AG376="","",Config!$B$16)</f>
        <v/>
      </c>
      <c r="N376">
        <f>IF($AG376="","","")</f>
        <v/>
      </c>
      <c r="O376">
        <f>IF($AG376="","",INDEX('TMP Paste'!$K$2:$K$1601,$AG376))</f>
        <v/>
      </c>
      <c r="P376">
        <f>IF($AG376="","","")</f>
        <v/>
      </c>
      <c r="Q376">
        <f>IF($AG376="","",INDEX('TMP Paste'!$J$2:$J$1601,$AG376))</f>
        <v/>
      </c>
      <c r="R376">
        <f>IF($AG376="","",Config!$B$24)</f>
        <v/>
      </c>
      <c r="S376">
        <f>IF($AG376="","",TEXT(Config!$B$4,"yyyy-mm-dd"))</f>
        <v/>
      </c>
      <c r="T376">
        <f>IF($AG376="","",Config!$B$17)</f>
        <v/>
      </c>
      <c r="U376">
        <f>IF($AG376="","",Config!$B$18)</f>
        <v/>
      </c>
      <c r="V376">
        <f>IF($AG376="","",Config!$B$19)</f>
        <v/>
      </c>
      <c r="W376">
        <f>IF($AG376="","",INDEX('TMP Paste'!$C$2:$C$1601,$AG376))</f>
        <v/>
      </c>
      <c r="X376">
        <f>IF($AG376="","",Config!$B$29)</f>
        <v/>
      </c>
      <c r="Y376">
        <f>IF($AH376="","",INDEX(Calc!$I$2:$I$1601,$AH376)&amp;" - "&amp;INDEX(Calc!$D$2:$D$1601,$AH376)&amp;" koli")</f>
        <v/>
      </c>
      <c r="Z376">
        <f>IF($AG376="","",Config!$B$21)</f>
        <v/>
      </c>
      <c r="AA376">
        <f>IF($AG376="","",Config!$B$22)</f>
        <v/>
      </c>
      <c r="AB376">
        <f>IF($AH376="","",INDEX(Calc!$D$2:$D$1601,$AH376))</f>
        <v/>
      </c>
      <c r="AC376">
        <f>IF($AH376="","",INDEX(Calc!$G$2:$G$1601,$AH376))</f>
        <v/>
      </c>
      <c r="AD376">
        <f>IF($AG376="","",Config!$B$23)</f>
        <v/>
      </c>
      <c r="AE376">
        <f>IF($AG376="","",Config!$B$28)</f>
        <v/>
      </c>
      <c r="AG376">
        <f>IFERROR(MATCH(ROW()-1,Calc!$J$2:$J$1601,0),"")</f>
        <v/>
      </c>
      <c r="AH376">
        <f>IFERROR(MATCH(ROW()-1,Calc!$K$2:$K$1601,0),"")</f>
        <v/>
      </c>
      <c r="AI376">
        <f>IF($AG376="","",SUMIF($AG$2:$AG376,$AG376,$AH$2:$AH376))</f>
        <v/>
      </c>
      <c r="AJ376">
        <f>IF('TMP Paste'!$F376="","",IF('TMP Paste'!$B376="",$AJ375,'TMP Paste'!$B376))</f>
        <v/>
      </c>
      <c r="AK376">
        <f>IF('TMP Paste'!$F376="","",N('TMP Paste'!$G376))</f>
        <v/>
      </c>
      <c r="AL376">
        <f>IF('TMP Paste'!$F376="","",IF('TMP Paste'!$M376="",$AL375,'TMP Paste'!$M376))</f>
        <v/>
      </c>
      <c r="AM376">
        <f>IF('TMP Paste'!$F376="","",IF('TMP Paste'!$N376="",$AM375,'TMP Paste'!$N376))</f>
        <v/>
      </c>
      <c r="AN376">
        <f>IF('TMP Paste'!$F376="","",IF('TMP Paste'!$O376="",$AN375,'TMP Paste'!$O376))</f>
        <v/>
      </c>
      <c r="AO376">
        <f>IF('TMP Paste'!$F376="","",IF('TMP Paste'!$P376="",$AO375,'TMP Paste'!$P376))</f>
        <v/>
      </c>
      <c r="AP376">
        <f>IF($AG376="","",LEN($R376))</f>
        <v/>
      </c>
      <c r="AQ376">
        <f>IF($AG376="","",TRIM(IF(COUNTIFS(Calc!$B$2:$B$1601,ROW()-1,Calc!$C$2:$C$1601,"&lt;1")&gt;0,"Ada PO tanpa Koli - cek TMP. ","")&amp;IF(LEN($R376)&gt;500,"R &gt; 500 karakter.","")))</f>
        <v/>
      </c>
    </row>
    <row r="377">
      <c r="A377">
        <f>IF($AG377="","",INDEX('TMP Paste'!$B$2:$B$1601,$AG377))</f>
        <v/>
      </c>
      <c r="B377">
        <f>IF($AG377="","",Config!$B$14)</f>
        <v/>
      </c>
      <c r="C377">
        <f>IF($AG377="","",Config!$B$15)</f>
        <v/>
      </c>
      <c r="D377">
        <f>IF($AG377="","",INDEX('TMP Paste'!$B$2:$B$1601,$AG377))</f>
        <v/>
      </c>
      <c r="E377">
        <f>IF($AG377="","",Config!$B$27)</f>
        <v/>
      </c>
      <c r="F377">
        <f>IF($AG377="","",Config!$B$9)</f>
        <v/>
      </c>
      <c r="G377">
        <f>IF($AG377="","",Config!$B$10)</f>
        <v/>
      </c>
      <c r="H377">
        <f>IF($AG377="","",Config!$B$11)</f>
        <v/>
      </c>
      <c r="I377">
        <f>IF($AG377="","",Config!$B$16)</f>
        <v/>
      </c>
      <c r="J377">
        <f>IF($AG377="","",INDEX('TMP Paste'!$A$2:$A$1601,$AG377))</f>
        <v/>
      </c>
      <c r="K377">
        <f>IF($AG377="","",INDEX('TMP Paste'!$L$2:$L$1601,$AG377))</f>
        <v/>
      </c>
      <c r="L377">
        <f>IF($AG377="","",INDEX('TMP Paste'!$I$2:$I$1601,$AG377))</f>
        <v/>
      </c>
      <c r="M377">
        <f>IF($AG377="","",Config!$B$16)</f>
        <v/>
      </c>
      <c r="N377">
        <f>IF($AG377="","","")</f>
        <v/>
      </c>
      <c r="O377">
        <f>IF($AG377="","",INDEX('TMP Paste'!$K$2:$K$1601,$AG377))</f>
        <v/>
      </c>
      <c r="P377">
        <f>IF($AG377="","","")</f>
        <v/>
      </c>
      <c r="Q377">
        <f>IF($AG377="","",INDEX('TMP Paste'!$J$2:$J$1601,$AG377))</f>
        <v/>
      </c>
      <c r="R377">
        <f>IF($AG377="","",Config!$B$24)</f>
        <v/>
      </c>
      <c r="S377">
        <f>IF($AG377="","",TEXT(Config!$B$4,"yyyy-mm-dd"))</f>
        <v/>
      </c>
      <c r="T377">
        <f>IF($AG377="","",Config!$B$17)</f>
        <v/>
      </c>
      <c r="U377">
        <f>IF($AG377="","",Config!$B$18)</f>
        <v/>
      </c>
      <c r="V377">
        <f>IF($AG377="","",Config!$B$19)</f>
        <v/>
      </c>
      <c r="W377">
        <f>IF($AG377="","",INDEX('TMP Paste'!$C$2:$C$1601,$AG377))</f>
        <v/>
      </c>
      <c r="X377">
        <f>IF($AG377="","",Config!$B$29)</f>
        <v/>
      </c>
      <c r="Y377">
        <f>IF($AH377="","",INDEX(Calc!$I$2:$I$1601,$AH377)&amp;" - "&amp;INDEX(Calc!$D$2:$D$1601,$AH377)&amp;" koli")</f>
        <v/>
      </c>
      <c r="Z377">
        <f>IF($AG377="","",Config!$B$21)</f>
        <v/>
      </c>
      <c r="AA377">
        <f>IF($AG377="","",Config!$B$22)</f>
        <v/>
      </c>
      <c r="AB377">
        <f>IF($AH377="","",INDEX(Calc!$D$2:$D$1601,$AH377))</f>
        <v/>
      </c>
      <c r="AC377">
        <f>IF($AH377="","",INDEX(Calc!$G$2:$G$1601,$AH377))</f>
        <v/>
      </c>
      <c r="AD377">
        <f>IF($AG377="","",Config!$B$23)</f>
        <v/>
      </c>
      <c r="AE377">
        <f>IF($AG377="","",Config!$B$28)</f>
        <v/>
      </c>
      <c r="AG377">
        <f>IFERROR(MATCH(ROW()-1,Calc!$J$2:$J$1601,0),"")</f>
        <v/>
      </c>
      <c r="AH377">
        <f>IFERROR(MATCH(ROW()-1,Calc!$K$2:$K$1601,0),"")</f>
        <v/>
      </c>
      <c r="AI377">
        <f>IF($AG377="","",SUMIF($AG$2:$AG377,$AG377,$AH$2:$AH377))</f>
        <v/>
      </c>
      <c r="AJ377">
        <f>IF('TMP Paste'!$F377="","",IF('TMP Paste'!$B377="",$AJ376,'TMP Paste'!$B377))</f>
        <v/>
      </c>
      <c r="AK377">
        <f>IF('TMP Paste'!$F377="","",N('TMP Paste'!$G377))</f>
        <v/>
      </c>
      <c r="AL377">
        <f>IF('TMP Paste'!$F377="","",IF('TMP Paste'!$M377="",$AL376,'TMP Paste'!$M377))</f>
        <v/>
      </c>
      <c r="AM377">
        <f>IF('TMP Paste'!$F377="","",IF('TMP Paste'!$N377="",$AM376,'TMP Paste'!$N377))</f>
        <v/>
      </c>
      <c r="AN377">
        <f>IF('TMP Paste'!$F377="","",IF('TMP Paste'!$O377="",$AN376,'TMP Paste'!$O377))</f>
        <v/>
      </c>
      <c r="AO377">
        <f>IF('TMP Paste'!$F377="","",IF('TMP Paste'!$P377="",$AO376,'TMP Paste'!$P377))</f>
        <v/>
      </c>
      <c r="AP377">
        <f>IF($AG377="","",LEN($R377))</f>
        <v/>
      </c>
      <c r="AQ377">
        <f>IF($AG377="","",TRIM(IF(COUNTIFS(Calc!$B$2:$B$1601,ROW()-1,Calc!$C$2:$C$1601,"&lt;1")&gt;0,"Ada PO tanpa Koli - cek TMP. ","")&amp;IF(LEN($R377)&gt;500,"R &gt; 500 karakter.","")))</f>
        <v/>
      </c>
    </row>
    <row r="378">
      <c r="A378">
        <f>IF($AG378="","",INDEX('TMP Paste'!$B$2:$B$1601,$AG378))</f>
        <v/>
      </c>
      <c r="B378">
        <f>IF($AG378="","",Config!$B$14)</f>
        <v/>
      </c>
      <c r="C378">
        <f>IF($AG378="","",Config!$B$15)</f>
        <v/>
      </c>
      <c r="D378">
        <f>IF($AG378="","",INDEX('TMP Paste'!$B$2:$B$1601,$AG378))</f>
        <v/>
      </c>
      <c r="E378">
        <f>IF($AG378="","",Config!$B$27)</f>
        <v/>
      </c>
      <c r="F378">
        <f>IF($AG378="","",Config!$B$9)</f>
        <v/>
      </c>
      <c r="G378">
        <f>IF($AG378="","",Config!$B$10)</f>
        <v/>
      </c>
      <c r="H378">
        <f>IF($AG378="","",Config!$B$11)</f>
        <v/>
      </c>
      <c r="I378">
        <f>IF($AG378="","",Config!$B$16)</f>
        <v/>
      </c>
      <c r="J378">
        <f>IF($AG378="","",INDEX('TMP Paste'!$A$2:$A$1601,$AG378))</f>
        <v/>
      </c>
      <c r="K378">
        <f>IF($AG378="","",INDEX('TMP Paste'!$L$2:$L$1601,$AG378))</f>
        <v/>
      </c>
      <c r="L378">
        <f>IF($AG378="","",INDEX('TMP Paste'!$I$2:$I$1601,$AG378))</f>
        <v/>
      </c>
      <c r="M378">
        <f>IF($AG378="","",Config!$B$16)</f>
        <v/>
      </c>
      <c r="N378">
        <f>IF($AG378="","","")</f>
        <v/>
      </c>
      <c r="O378">
        <f>IF($AG378="","",INDEX('TMP Paste'!$K$2:$K$1601,$AG378))</f>
        <v/>
      </c>
      <c r="P378">
        <f>IF($AG378="","","")</f>
        <v/>
      </c>
      <c r="Q378">
        <f>IF($AG378="","",INDEX('TMP Paste'!$J$2:$J$1601,$AG378))</f>
        <v/>
      </c>
      <c r="R378">
        <f>IF($AG378="","",Config!$B$24)</f>
        <v/>
      </c>
      <c r="S378">
        <f>IF($AG378="","",TEXT(Config!$B$4,"yyyy-mm-dd"))</f>
        <v/>
      </c>
      <c r="T378">
        <f>IF($AG378="","",Config!$B$17)</f>
        <v/>
      </c>
      <c r="U378">
        <f>IF($AG378="","",Config!$B$18)</f>
        <v/>
      </c>
      <c r="V378">
        <f>IF($AG378="","",Config!$B$19)</f>
        <v/>
      </c>
      <c r="W378">
        <f>IF($AG378="","",INDEX('TMP Paste'!$C$2:$C$1601,$AG378))</f>
        <v/>
      </c>
      <c r="X378">
        <f>IF($AG378="","",Config!$B$29)</f>
        <v/>
      </c>
      <c r="Y378">
        <f>IF($AH378="","",INDEX(Calc!$I$2:$I$1601,$AH378)&amp;" - "&amp;INDEX(Calc!$D$2:$D$1601,$AH378)&amp;" koli")</f>
        <v/>
      </c>
      <c r="Z378">
        <f>IF($AG378="","",Config!$B$21)</f>
        <v/>
      </c>
      <c r="AA378">
        <f>IF($AG378="","",Config!$B$22)</f>
        <v/>
      </c>
      <c r="AB378">
        <f>IF($AH378="","",INDEX(Calc!$D$2:$D$1601,$AH378))</f>
        <v/>
      </c>
      <c r="AC378">
        <f>IF($AH378="","",INDEX(Calc!$G$2:$G$1601,$AH378))</f>
        <v/>
      </c>
      <c r="AD378">
        <f>IF($AG378="","",Config!$B$23)</f>
        <v/>
      </c>
      <c r="AE378">
        <f>IF($AG378="","",Config!$B$28)</f>
        <v/>
      </c>
      <c r="AG378">
        <f>IFERROR(MATCH(ROW()-1,Calc!$J$2:$J$1601,0),"")</f>
        <v/>
      </c>
      <c r="AH378">
        <f>IFERROR(MATCH(ROW()-1,Calc!$K$2:$K$1601,0),"")</f>
        <v/>
      </c>
      <c r="AI378">
        <f>IF($AG378="","",SUMIF($AG$2:$AG378,$AG378,$AH$2:$AH378))</f>
        <v/>
      </c>
      <c r="AJ378">
        <f>IF('TMP Paste'!$F378="","",IF('TMP Paste'!$B378="",$AJ377,'TMP Paste'!$B378))</f>
        <v/>
      </c>
      <c r="AK378">
        <f>IF('TMP Paste'!$F378="","",N('TMP Paste'!$G378))</f>
        <v/>
      </c>
      <c r="AL378">
        <f>IF('TMP Paste'!$F378="","",IF('TMP Paste'!$M378="",$AL377,'TMP Paste'!$M378))</f>
        <v/>
      </c>
      <c r="AM378">
        <f>IF('TMP Paste'!$F378="","",IF('TMP Paste'!$N378="",$AM377,'TMP Paste'!$N378))</f>
        <v/>
      </c>
      <c r="AN378">
        <f>IF('TMP Paste'!$F378="","",IF('TMP Paste'!$O378="",$AN377,'TMP Paste'!$O378))</f>
        <v/>
      </c>
      <c r="AO378">
        <f>IF('TMP Paste'!$F378="","",IF('TMP Paste'!$P378="",$AO377,'TMP Paste'!$P378))</f>
        <v/>
      </c>
      <c r="AP378">
        <f>IF($AG378="","",LEN($R378))</f>
        <v/>
      </c>
      <c r="AQ378">
        <f>IF($AG378="","",TRIM(IF(COUNTIFS(Calc!$B$2:$B$1601,ROW()-1,Calc!$C$2:$C$1601,"&lt;1")&gt;0,"Ada PO tanpa Koli - cek TMP. ","")&amp;IF(LEN($R378)&gt;500,"R &gt; 500 karakter.","")))</f>
        <v/>
      </c>
    </row>
    <row r="379">
      <c r="A379">
        <f>IF($AG379="","",INDEX('TMP Paste'!$B$2:$B$1601,$AG379))</f>
        <v/>
      </c>
      <c r="B379">
        <f>IF($AG379="","",Config!$B$14)</f>
        <v/>
      </c>
      <c r="C379">
        <f>IF($AG379="","",Config!$B$15)</f>
        <v/>
      </c>
      <c r="D379">
        <f>IF($AG379="","",INDEX('TMP Paste'!$B$2:$B$1601,$AG379))</f>
        <v/>
      </c>
      <c r="E379">
        <f>IF($AG379="","",Config!$B$27)</f>
        <v/>
      </c>
      <c r="F379">
        <f>IF($AG379="","",Config!$B$9)</f>
        <v/>
      </c>
      <c r="G379">
        <f>IF($AG379="","",Config!$B$10)</f>
        <v/>
      </c>
      <c r="H379">
        <f>IF($AG379="","",Config!$B$11)</f>
        <v/>
      </c>
      <c r="I379">
        <f>IF($AG379="","",Config!$B$16)</f>
        <v/>
      </c>
      <c r="J379">
        <f>IF($AG379="","",INDEX('TMP Paste'!$A$2:$A$1601,$AG379))</f>
        <v/>
      </c>
      <c r="K379">
        <f>IF($AG379="","",INDEX('TMP Paste'!$L$2:$L$1601,$AG379))</f>
        <v/>
      </c>
      <c r="L379">
        <f>IF($AG379="","",INDEX('TMP Paste'!$I$2:$I$1601,$AG379))</f>
        <v/>
      </c>
      <c r="M379">
        <f>IF($AG379="","",Config!$B$16)</f>
        <v/>
      </c>
      <c r="N379">
        <f>IF($AG379="","","")</f>
        <v/>
      </c>
      <c r="O379">
        <f>IF($AG379="","",INDEX('TMP Paste'!$K$2:$K$1601,$AG379))</f>
        <v/>
      </c>
      <c r="P379">
        <f>IF($AG379="","","")</f>
        <v/>
      </c>
      <c r="Q379">
        <f>IF($AG379="","",INDEX('TMP Paste'!$J$2:$J$1601,$AG379))</f>
        <v/>
      </c>
      <c r="R379">
        <f>IF($AG379="","",Config!$B$24)</f>
        <v/>
      </c>
      <c r="S379">
        <f>IF($AG379="","",TEXT(Config!$B$4,"yyyy-mm-dd"))</f>
        <v/>
      </c>
      <c r="T379">
        <f>IF($AG379="","",Config!$B$17)</f>
        <v/>
      </c>
      <c r="U379">
        <f>IF($AG379="","",Config!$B$18)</f>
        <v/>
      </c>
      <c r="V379">
        <f>IF($AG379="","",Config!$B$19)</f>
        <v/>
      </c>
      <c r="W379">
        <f>IF($AG379="","",INDEX('TMP Paste'!$C$2:$C$1601,$AG379))</f>
        <v/>
      </c>
      <c r="X379">
        <f>IF($AG379="","",Config!$B$29)</f>
        <v/>
      </c>
      <c r="Y379">
        <f>IF($AH379="","",INDEX(Calc!$I$2:$I$1601,$AH379)&amp;" - "&amp;INDEX(Calc!$D$2:$D$1601,$AH379)&amp;" koli")</f>
        <v/>
      </c>
      <c r="Z379">
        <f>IF($AG379="","",Config!$B$21)</f>
        <v/>
      </c>
      <c r="AA379">
        <f>IF($AG379="","",Config!$B$22)</f>
        <v/>
      </c>
      <c r="AB379">
        <f>IF($AH379="","",INDEX(Calc!$D$2:$D$1601,$AH379))</f>
        <v/>
      </c>
      <c r="AC379">
        <f>IF($AH379="","",INDEX(Calc!$G$2:$G$1601,$AH379))</f>
        <v/>
      </c>
      <c r="AD379">
        <f>IF($AG379="","",Config!$B$23)</f>
        <v/>
      </c>
      <c r="AE379">
        <f>IF($AG379="","",Config!$B$28)</f>
        <v/>
      </c>
      <c r="AG379">
        <f>IFERROR(MATCH(ROW()-1,Calc!$J$2:$J$1601,0),"")</f>
        <v/>
      </c>
      <c r="AH379">
        <f>IFERROR(MATCH(ROW()-1,Calc!$K$2:$K$1601,0),"")</f>
        <v/>
      </c>
      <c r="AI379">
        <f>IF($AG379="","",SUMIF($AG$2:$AG379,$AG379,$AH$2:$AH379))</f>
        <v/>
      </c>
      <c r="AJ379">
        <f>IF('TMP Paste'!$F379="","",IF('TMP Paste'!$B379="",$AJ378,'TMP Paste'!$B379))</f>
        <v/>
      </c>
      <c r="AK379">
        <f>IF('TMP Paste'!$F379="","",N('TMP Paste'!$G379))</f>
        <v/>
      </c>
      <c r="AL379">
        <f>IF('TMP Paste'!$F379="","",IF('TMP Paste'!$M379="",$AL378,'TMP Paste'!$M379))</f>
        <v/>
      </c>
      <c r="AM379">
        <f>IF('TMP Paste'!$F379="","",IF('TMP Paste'!$N379="",$AM378,'TMP Paste'!$N379))</f>
        <v/>
      </c>
      <c r="AN379">
        <f>IF('TMP Paste'!$F379="","",IF('TMP Paste'!$O379="",$AN378,'TMP Paste'!$O379))</f>
        <v/>
      </c>
      <c r="AO379">
        <f>IF('TMP Paste'!$F379="","",IF('TMP Paste'!$P379="",$AO378,'TMP Paste'!$P379))</f>
        <v/>
      </c>
      <c r="AP379">
        <f>IF($AG379="","",LEN($R379))</f>
        <v/>
      </c>
      <c r="AQ379">
        <f>IF($AG379="","",TRIM(IF(COUNTIFS(Calc!$B$2:$B$1601,ROW()-1,Calc!$C$2:$C$1601,"&lt;1")&gt;0,"Ada PO tanpa Koli - cek TMP. ","")&amp;IF(LEN($R379)&gt;500,"R &gt; 500 karakter.","")))</f>
        <v/>
      </c>
    </row>
    <row r="380">
      <c r="A380">
        <f>IF($AG380="","",INDEX('TMP Paste'!$B$2:$B$1601,$AG380))</f>
        <v/>
      </c>
      <c r="B380">
        <f>IF($AG380="","",Config!$B$14)</f>
        <v/>
      </c>
      <c r="C380">
        <f>IF($AG380="","",Config!$B$15)</f>
        <v/>
      </c>
      <c r="D380">
        <f>IF($AG380="","",INDEX('TMP Paste'!$B$2:$B$1601,$AG380))</f>
        <v/>
      </c>
      <c r="E380">
        <f>IF($AG380="","",Config!$B$27)</f>
        <v/>
      </c>
      <c r="F380">
        <f>IF($AG380="","",Config!$B$9)</f>
        <v/>
      </c>
      <c r="G380">
        <f>IF($AG380="","",Config!$B$10)</f>
        <v/>
      </c>
      <c r="H380">
        <f>IF($AG380="","",Config!$B$11)</f>
        <v/>
      </c>
      <c r="I380">
        <f>IF($AG380="","",Config!$B$16)</f>
        <v/>
      </c>
      <c r="J380">
        <f>IF($AG380="","",INDEX('TMP Paste'!$A$2:$A$1601,$AG380))</f>
        <v/>
      </c>
      <c r="K380">
        <f>IF($AG380="","",INDEX('TMP Paste'!$L$2:$L$1601,$AG380))</f>
        <v/>
      </c>
      <c r="L380">
        <f>IF($AG380="","",INDEX('TMP Paste'!$I$2:$I$1601,$AG380))</f>
        <v/>
      </c>
      <c r="M380">
        <f>IF($AG380="","",Config!$B$16)</f>
        <v/>
      </c>
      <c r="N380">
        <f>IF($AG380="","","")</f>
        <v/>
      </c>
      <c r="O380">
        <f>IF($AG380="","",INDEX('TMP Paste'!$K$2:$K$1601,$AG380))</f>
        <v/>
      </c>
      <c r="P380">
        <f>IF($AG380="","","")</f>
        <v/>
      </c>
      <c r="Q380">
        <f>IF($AG380="","",INDEX('TMP Paste'!$J$2:$J$1601,$AG380))</f>
        <v/>
      </c>
      <c r="R380">
        <f>IF($AG380="","",Config!$B$24)</f>
        <v/>
      </c>
      <c r="S380">
        <f>IF($AG380="","",TEXT(Config!$B$4,"yyyy-mm-dd"))</f>
        <v/>
      </c>
      <c r="T380">
        <f>IF($AG380="","",Config!$B$17)</f>
        <v/>
      </c>
      <c r="U380">
        <f>IF($AG380="","",Config!$B$18)</f>
        <v/>
      </c>
      <c r="V380">
        <f>IF($AG380="","",Config!$B$19)</f>
        <v/>
      </c>
      <c r="W380">
        <f>IF($AG380="","",INDEX('TMP Paste'!$C$2:$C$1601,$AG380))</f>
        <v/>
      </c>
      <c r="X380">
        <f>IF($AG380="","",Config!$B$29)</f>
        <v/>
      </c>
      <c r="Y380">
        <f>IF($AH380="","",INDEX(Calc!$I$2:$I$1601,$AH380)&amp;" - "&amp;INDEX(Calc!$D$2:$D$1601,$AH380)&amp;" koli")</f>
        <v/>
      </c>
      <c r="Z380">
        <f>IF($AG380="","",Config!$B$21)</f>
        <v/>
      </c>
      <c r="AA380">
        <f>IF($AG380="","",Config!$B$22)</f>
        <v/>
      </c>
      <c r="AB380">
        <f>IF($AH380="","",INDEX(Calc!$D$2:$D$1601,$AH380))</f>
        <v/>
      </c>
      <c r="AC380">
        <f>IF($AH380="","",INDEX(Calc!$G$2:$G$1601,$AH380))</f>
        <v/>
      </c>
      <c r="AD380">
        <f>IF($AG380="","",Config!$B$23)</f>
        <v/>
      </c>
      <c r="AE380">
        <f>IF($AG380="","",Config!$B$28)</f>
        <v/>
      </c>
      <c r="AG380">
        <f>IFERROR(MATCH(ROW()-1,Calc!$J$2:$J$1601,0),"")</f>
        <v/>
      </c>
      <c r="AH380">
        <f>IFERROR(MATCH(ROW()-1,Calc!$K$2:$K$1601,0),"")</f>
        <v/>
      </c>
      <c r="AI380">
        <f>IF($AG380="","",SUMIF($AG$2:$AG380,$AG380,$AH$2:$AH380))</f>
        <v/>
      </c>
      <c r="AJ380">
        <f>IF('TMP Paste'!$F380="","",IF('TMP Paste'!$B380="",$AJ379,'TMP Paste'!$B380))</f>
        <v/>
      </c>
      <c r="AK380">
        <f>IF('TMP Paste'!$F380="","",N('TMP Paste'!$G380))</f>
        <v/>
      </c>
      <c r="AL380">
        <f>IF('TMP Paste'!$F380="","",IF('TMP Paste'!$M380="",$AL379,'TMP Paste'!$M380))</f>
        <v/>
      </c>
      <c r="AM380">
        <f>IF('TMP Paste'!$F380="","",IF('TMP Paste'!$N380="",$AM379,'TMP Paste'!$N380))</f>
        <v/>
      </c>
      <c r="AN380">
        <f>IF('TMP Paste'!$F380="","",IF('TMP Paste'!$O380="",$AN379,'TMP Paste'!$O380))</f>
        <v/>
      </c>
      <c r="AO380">
        <f>IF('TMP Paste'!$F380="","",IF('TMP Paste'!$P380="",$AO379,'TMP Paste'!$P380))</f>
        <v/>
      </c>
      <c r="AP380">
        <f>IF($AG380="","",LEN($R380))</f>
        <v/>
      </c>
      <c r="AQ380">
        <f>IF($AG380="","",TRIM(IF(COUNTIFS(Calc!$B$2:$B$1601,ROW()-1,Calc!$C$2:$C$1601,"&lt;1")&gt;0,"Ada PO tanpa Koli - cek TMP. ","")&amp;IF(LEN($R380)&gt;500,"R &gt; 500 karakter.","")))</f>
        <v/>
      </c>
    </row>
    <row r="381">
      <c r="A381">
        <f>IF($AG381="","",INDEX('TMP Paste'!$B$2:$B$1601,$AG381))</f>
        <v/>
      </c>
      <c r="B381">
        <f>IF($AG381="","",Config!$B$14)</f>
        <v/>
      </c>
      <c r="C381">
        <f>IF($AG381="","",Config!$B$15)</f>
        <v/>
      </c>
      <c r="D381">
        <f>IF($AG381="","",INDEX('TMP Paste'!$B$2:$B$1601,$AG381))</f>
        <v/>
      </c>
      <c r="E381">
        <f>IF($AG381="","",Config!$B$27)</f>
        <v/>
      </c>
      <c r="F381">
        <f>IF($AG381="","",Config!$B$9)</f>
        <v/>
      </c>
      <c r="G381">
        <f>IF($AG381="","",Config!$B$10)</f>
        <v/>
      </c>
      <c r="H381">
        <f>IF($AG381="","",Config!$B$11)</f>
        <v/>
      </c>
      <c r="I381">
        <f>IF($AG381="","",Config!$B$16)</f>
        <v/>
      </c>
      <c r="J381">
        <f>IF($AG381="","",INDEX('TMP Paste'!$A$2:$A$1601,$AG381))</f>
        <v/>
      </c>
      <c r="K381">
        <f>IF($AG381="","",INDEX('TMP Paste'!$L$2:$L$1601,$AG381))</f>
        <v/>
      </c>
      <c r="L381">
        <f>IF($AG381="","",INDEX('TMP Paste'!$I$2:$I$1601,$AG381))</f>
        <v/>
      </c>
      <c r="M381">
        <f>IF($AG381="","",Config!$B$16)</f>
        <v/>
      </c>
      <c r="N381">
        <f>IF($AG381="","","")</f>
        <v/>
      </c>
      <c r="O381">
        <f>IF($AG381="","",INDEX('TMP Paste'!$K$2:$K$1601,$AG381))</f>
        <v/>
      </c>
      <c r="P381">
        <f>IF($AG381="","","")</f>
        <v/>
      </c>
      <c r="Q381">
        <f>IF($AG381="","",INDEX('TMP Paste'!$J$2:$J$1601,$AG381))</f>
        <v/>
      </c>
      <c r="R381">
        <f>IF($AG381="","",Config!$B$24)</f>
        <v/>
      </c>
      <c r="S381">
        <f>IF($AG381="","",TEXT(Config!$B$4,"yyyy-mm-dd"))</f>
        <v/>
      </c>
      <c r="T381">
        <f>IF($AG381="","",Config!$B$17)</f>
        <v/>
      </c>
      <c r="U381">
        <f>IF($AG381="","",Config!$B$18)</f>
        <v/>
      </c>
      <c r="V381">
        <f>IF($AG381="","",Config!$B$19)</f>
        <v/>
      </c>
      <c r="W381">
        <f>IF($AG381="","",INDEX('TMP Paste'!$C$2:$C$1601,$AG381))</f>
        <v/>
      </c>
      <c r="X381">
        <f>IF($AG381="","",Config!$B$29)</f>
        <v/>
      </c>
      <c r="Y381">
        <f>IF($AH381="","",INDEX(Calc!$I$2:$I$1601,$AH381)&amp;" - "&amp;INDEX(Calc!$D$2:$D$1601,$AH381)&amp;" koli")</f>
        <v/>
      </c>
      <c r="Z381">
        <f>IF($AG381="","",Config!$B$21)</f>
        <v/>
      </c>
      <c r="AA381">
        <f>IF($AG381="","",Config!$B$22)</f>
        <v/>
      </c>
      <c r="AB381">
        <f>IF($AH381="","",INDEX(Calc!$D$2:$D$1601,$AH381))</f>
        <v/>
      </c>
      <c r="AC381">
        <f>IF($AH381="","",INDEX(Calc!$G$2:$G$1601,$AH381))</f>
        <v/>
      </c>
      <c r="AD381">
        <f>IF($AG381="","",Config!$B$23)</f>
        <v/>
      </c>
      <c r="AE381">
        <f>IF($AG381="","",Config!$B$28)</f>
        <v/>
      </c>
      <c r="AG381">
        <f>IFERROR(MATCH(ROW()-1,Calc!$J$2:$J$1601,0),"")</f>
        <v/>
      </c>
      <c r="AH381">
        <f>IFERROR(MATCH(ROW()-1,Calc!$K$2:$K$1601,0),"")</f>
        <v/>
      </c>
      <c r="AI381">
        <f>IF($AG381="","",SUMIF($AG$2:$AG381,$AG381,$AH$2:$AH381))</f>
        <v/>
      </c>
      <c r="AJ381">
        <f>IF('TMP Paste'!$F381="","",IF('TMP Paste'!$B381="",$AJ380,'TMP Paste'!$B381))</f>
        <v/>
      </c>
      <c r="AK381">
        <f>IF('TMP Paste'!$F381="","",N('TMP Paste'!$G381))</f>
        <v/>
      </c>
      <c r="AL381">
        <f>IF('TMP Paste'!$F381="","",IF('TMP Paste'!$M381="",$AL380,'TMP Paste'!$M381))</f>
        <v/>
      </c>
      <c r="AM381">
        <f>IF('TMP Paste'!$F381="","",IF('TMP Paste'!$N381="",$AM380,'TMP Paste'!$N381))</f>
        <v/>
      </c>
      <c r="AN381">
        <f>IF('TMP Paste'!$F381="","",IF('TMP Paste'!$O381="",$AN380,'TMP Paste'!$O381))</f>
        <v/>
      </c>
      <c r="AO381">
        <f>IF('TMP Paste'!$F381="","",IF('TMP Paste'!$P381="",$AO380,'TMP Paste'!$P381))</f>
        <v/>
      </c>
      <c r="AP381">
        <f>IF($AG381="","",LEN($R381))</f>
        <v/>
      </c>
      <c r="AQ381">
        <f>IF($AG381="","",TRIM(IF(COUNTIFS(Calc!$B$2:$B$1601,ROW()-1,Calc!$C$2:$C$1601,"&lt;1")&gt;0,"Ada PO tanpa Koli - cek TMP. ","")&amp;IF(LEN($R381)&gt;500,"R &gt; 500 karakter.","")))</f>
        <v/>
      </c>
    </row>
    <row r="382">
      <c r="A382">
        <f>IF($AG382="","",INDEX('TMP Paste'!$B$2:$B$1601,$AG382))</f>
        <v/>
      </c>
      <c r="B382">
        <f>IF($AG382="","",Config!$B$14)</f>
        <v/>
      </c>
      <c r="C382">
        <f>IF($AG382="","",Config!$B$15)</f>
        <v/>
      </c>
      <c r="D382">
        <f>IF($AG382="","",INDEX('TMP Paste'!$B$2:$B$1601,$AG382))</f>
        <v/>
      </c>
      <c r="E382">
        <f>IF($AG382="","",Config!$B$27)</f>
        <v/>
      </c>
      <c r="F382">
        <f>IF($AG382="","",Config!$B$9)</f>
        <v/>
      </c>
      <c r="G382">
        <f>IF($AG382="","",Config!$B$10)</f>
        <v/>
      </c>
      <c r="H382">
        <f>IF($AG382="","",Config!$B$11)</f>
        <v/>
      </c>
      <c r="I382">
        <f>IF($AG382="","",Config!$B$16)</f>
        <v/>
      </c>
      <c r="J382">
        <f>IF($AG382="","",INDEX('TMP Paste'!$A$2:$A$1601,$AG382))</f>
        <v/>
      </c>
      <c r="K382">
        <f>IF($AG382="","",INDEX('TMP Paste'!$L$2:$L$1601,$AG382))</f>
        <v/>
      </c>
      <c r="L382">
        <f>IF($AG382="","",INDEX('TMP Paste'!$I$2:$I$1601,$AG382))</f>
        <v/>
      </c>
      <c r="M382">
        <f>IF($AG382="","",Config!$B$16)</f>
        <v/>
      </c>
      <c r="N382">
        <f>IF($AG382="","","")</f>
        <v/>
      </c>
      <c r="O382">
        <f>IF($AG382="","",INDEX('TMP Paste'!$K$2:$K$1601,$AG382))</f>
        <v/>
      </c>
      <c r="P382">
        <f>IF($AG382="","","")</f>
        <v/>
      </c>
      <c r="Q382">
        <f>IF($AG382="","",INDEX('TMP Paste'!$J$2:$J$1601,$AG382))</f>
        <v/>
      </c>
      <c r="R382">
        <f>IF($AG382="","",Config!$B$24)</f>
        <v/>
      </c>
      <c r="S382">
        <f>IF($AG382="","",TEXT(Config!$B$4,"yyyy-mm-dd"))</f>
        <v/>
      </c>
      <c r="T382">
        <f>IF($AG382="","",Config!$B$17)</f>
        <v/>
      </c>
      <c r="U382">
        <f>IF($AG382="","",Config!$B$18)</f>
        <v/>
      </c>
      <c r="V382">
        <f>IF($AG382="","",Config!$B$19)</f>
        <v/>
      </c>
      <c r="W382">
        <f>IF($AG382="","",INDEX('TMP Paste'!$C$2:$C$1601,$AG382))</f>
        <v/>
      </c>
      <c r="X382">
        <f>IF($AG382="","",Config!$B$29)</f>
        <v/>
      </c>
      <c r="Y382">
        <f>IF($AH382="","",INDEX(Calc!$I$2:$I$1601,$AH382)&amp;" - "&amp;INDEX(Calc!$D$2:$D$1601,$AH382)&amp;" koli")</f>
        <v/>
      </c>
      <c r="Z382">
        <f>IF($AG382="","",Config!$B$21)</f>
        <v/>
      </c>
      <c r="AA382">
        <f>IF($AG382="","",Config!$B$22)</f>
        <v/>
      </c>
      <c r="AB382">
        <f>IF($AH382="","",INDEX(Calc!$D$2:$D$1601,$AH382))</f>
        <v/>
      </c>
      <c r="AC382">
        <f>IF($AH382="","",INDEX(Calc!$G$2:$G$1601,$AH382))</f>
        <v/>
      </c>
      <c r="AD382">
        <f>IF($AG382="","",Config!$B$23)</f>
        <v/>
      </c>
      <c r="AE382">
        <f>IF($AG382="","",Config!$B$28)</f>
        <v/>
      </c>
      <c r="AG382">
        <f>IFERROR(MATCH(ROW()-1,Calc!$J$2:$J$1601,0),"")</f>
        <v/>
      </c>
      <c r="AH382">
        <f>IFERROR(MATCH(ROW()-1,Calc!$K$2:$K$1601,0),"")</f>
        <v/>
      </c>
      <c r="AI382">
        <f>IF($AG382="","",SUMIF($AG$2:$AG382,$AG382,$AH$2:$AH382))</f>
        <v/>
      </c>
      <c r="AJ382">
        <f>IF('TMP Paste'!$F382="","",IF('TMP Paste'!$B382="",$AJ381,'TMP Paste'!$B382))</f>
        <v/>
      </c>
      <c r="AK382">
        <f>IF('TMP Paste'!$F382="","",N('TMP Paste'!$G382))</f>
        <v/>
      </c>
      <c r="AL382">
        <f>IF('TMP Paste'!$F382="","",IF('TMP Paste'!$M382="",$AL381,'TMP Paste'!$M382))</f>
        <v/>
      </c>
      <c r="AM382">
        <f>IF('TMP Paste'!$F382="","",IF('TMP Paste'!$N382="",$AM381,'TMP Paste'!$N382))</f>
        <v/>
      </c>
      <c r="AN382">
        <f>IF('TMP Paste'!$F382="","",IF('TMP Paste'!$O382="",$AN381,'TMP Paste'!$O382))</f>
        <v/>
      </c>
      <c r="AO382">
        <f>IF('TMP Paste'!$F382="","",IF('TMP Paste'!$P382="",$AO381,'TMP Paste'!$P382))</f>
        <v/>
      </c>
      <c r="AP382">
        <f>IF($AG382="","",LEN($R382))</f>
        <v/>
      </c>
      <c r="AQ382">
        <f>IF($AG382="","",TRIM(IF(COUNTIFS(Calc!$B$2:$B$1601,ROW()-1,Calc!$C$2:$C$1601,"&lt;1")&gt;0,"Ada PO tanpa Koli - cek TMP. ","")&amp;IF(LEN($R382)&gt;500,"R &gt; 500 karakter.","")))</f>
        <v/>
      </c>
    </row>
    <row r="383">
      <c r="A383">
        <f>IF($AG383="","",INDEX('TMP Paste'!$B$2:$B$1601,$AG383))</f>
        <v/>
      </c>
      <c r="B383">
        <f>IF($AG383="","",Config!$B$14)</f>
        <v/>
      </c>
      <c r="C383">
        <f>IF($AG383="","",Config!$B$15)</f>
        <v/>
      </c>
      <c r="D383">
        <f>IF($AG383="","",INDEX('TMP Paste'!$B$2:$B$1601,$AG383))</f>
        <v/>
      </c>
      <c r="E383">
        <f>IF($AG383="","",Config!$B$27)</f>
        <v/>
      </c>
      <c r="F383">
        <f>IF($AG383="","",Config!$B$9)</f>
        <v/>
      </c>
      <c r="G383">
        <f>IF($AG383="","",Config!$B$10)</f>
        <v/>
      </c>
      <c r="H383">
        <f>IF($AG383="","",Config!$B$11)</f>
        <v/>
      </c>
      <c r="I383">
        <f>IF($AG383="","",Config!$B$16)</f>
        <v/>
      </c>
      <c r="J383">
        <f>IF($AG383="","",INDEX('TMP Paste'!$A$2:$A$1601,$AG383))</f>
        <v/>
      </c>
      <c r="K383">
        <f>IF($AG383="","",INDEX('TMP Paste'!$L$2:$L$1601,$AG383))</f>
        <v/>
      </c>
      <c r="L383">
        <f>IF($AG383="","",INDEX('TMP Paste'!$I$2:$I$1601,$AG383))</f>
        <v/>
      </c>
      <c r="M383">
        <f>IF($AG383="","",Config!$B$16)</f>
        <v/>
      </c>
      <c r="N383">
        <f>IF($AG383="","","")</f>
        <v/>
      </c>
      <c r="O383">
        <f>IF($AG383="","",INDEX('TMP Paste'!$K$2:$K$1601,$AG383))</f>
        <v/>
      </c>
      <c r="P383">
        <f>IF($AG383="","","")</f>
        <v/>
      </c>
      <c r="Q383">
        <f>IF($AG383="","",INDEX('TMP Paste'!$J$2:$J$1601,$AG383))</f>
        <v/>
      </c>
      <c r="R383">
        <f>IF($AG383="","",Config!$B$24)</f>
        <v/>
      </c>
      <c r="S383">
        <f>IF($AG383="","",TEXT(Config!$B$4,"yyyy-mm-dd"))</f>
        <v/>
      </c>
      <c r="T383">
        <f>IF($AG383="","",Config!$B$17)</f>
        <v/>
      </c>
      <c r="U383">
        <f>IF($AG383="","",Config!$B$18)</f>
        <v/>
      </c>
      <c r="V383">
        <f>IF($AG383="","",Config!$B$19)</f>
        <v/>
      </c>
      <c r="W383">
        <f>IF($AG383="","",INDEX('TMP Paste'!$C$2:$C$1601,$AG383))</f>
        <v/>
      </c>
      <c r="X383">
        <f>IF($AG383="","",Config!$B$29)</f>
        <v/>
      </c>
      <c r="Y383">
        <f>IF($AH383="","",INDEX(Calc!$I$2:$I$1601,$AH383)&amp;" - "&amp;INDEX(Calc!$D$2:$D$1601,$AH383)&amp;" koli")</f>
        <v/>
      </c>
      <c r="Z383">
        <f>IF($AG383="","",Config!$B$21)</f>
        <v/>
      </c>
      <c r="AA383">
        <f>IF($AG383="","",Config!$B$22)</f>
        <v/>
      </c>
      <c r="AB383">
        <f>IF($AH383="","",INDEX(Calc!$D$2:$D$1601,$AH383))</f>
        <v/>
      </c>
      <c r="AC383">
        <f>IF($AH383="","",INDEX(Calc!$G$2:$G$1601,$AH383))</f>
        <v/>
      </c>
      <c r="AD383">
        <f>IF($AG383="","",Config!$B$23)</f>
        <v/>
      </c>
      <c r="AE383">
        <f>IF($AG383="","",Config!$B$28)</f>
        <v/>
      </c>
      <c r="AG383">
        <f>IFERROR(MATCH(ROW()-1,Calc!$J$2:$J$1601,0),"")</f>
        <v/>
      </c>
      <c r="AH383">
        <f>IFERROR(MATCH(ROW()-1,Calc!$K$2:$K$1601,0),"")</f>
        <v/>
      </c>
      <c r="AI383">
        <f>IF($AG383="","",SUMIF($AG$2:$AG383,$AG383,$AH$2:$AH383))</f>
        <v/>
      </c>
      <c r="AJ383">
        <f>IF('TMP Paste'!$F383="","",IF('TMP Paste'!$B383="",$AJ382,'TMP Paste'!$B383))</f>
        <v/>
      </c>
      <c r="AK383">
        <f>IF('TMP Paste'!$F383="","",N('TMP Paste'!$G383))</f>
        <v/>
      </c>
      <c r="AL383">
        <f>IF('TMP Paste'!$F383="","",IF('TMP Paste'!$M383="",$AL382,'TMP Paste'!$M383))</f>
        <v/>
      </c>
      <c r="AM383">
        <f>IF('TMP Paste'!$F383="","",IF('TMP Paste'!$N383="",$AM382,'TMP Paste'!$N383))</f>
        <v/>
      </c>
      <c r="AN383">
        <f>IF('TMP Paste'!$F383="","",IF('TMP Paste'!$O383="",$AN382,'TMP Paste'!$O383))</f>
        <v/>
      </c>
      <c r="AO383">
        <f>IF('TMP Paste'!$F383="","",IF('TMP Paste'!$P383="",$AO382,'TMP Paste'!$P383))</f>
        <v/>
      </c>
      <c r="AP383">
        <f>IF($AG383="","",LEN($R383))</f>
        <v/>
      </c>
      <c r="AQ383">
        <f>IF($AG383="","",TRIM(IF(COUNTIFS(Calc!$B$2:$B$1601,ROW()-1,Calc!$C$2:$C$1601,"&lt;1")&gt;0,"Ada PO tanpa Koli - cek TMP. ","")&amp;IF(LEN($R383)&gt;500,"R &gt; 500 karakter.","")))</f>
        <v/>
      </c>
    </row>
    <row r="384">
      <c r="A384">
        <f>IF($AG384="","",INDEX('TMP Paste'!$B$2:$B$1601,$AG384))</f>
        <v/>
      </c>
      <c r="B384">
        <f>IF($AG384="","",Config!$B$14)</f>
        <v/>
      </c>
      <c r="C384">
        <f>IF($AG384="","",Config!$B$15)</f>
        <v/>
      </c>
      <c r="D384">
        <f>IF($AG384="","",INDEX('TMP Paste'!$B$2:$B$1601,$AG384))</f>
        <v/>
      </c>
      <c r="E384">
        <f>IF($AG384="","",Config!$B$27)</f>
        <v/>
      </c>
      <c r="F384">
        <f>IF($AG384="","",Config!$B$9)</f>
        <v/>
      </c>
      <c r="G384">
        <f>IF($AG384="","",Config!$B$10)</f>
        <v/>
      </c>
      <c r="H384">
        <f>IF($AG384="","",Config!$B$11)</f>
        <v/>
      </c>
      <c r="I384">
        <f>IF($AG384="","",Config!$B$16)</f>
        <v/>
      </c>
      <c r="J384">
        <f>IF($AG384="","",INDEX('TMP Paste'!$A$2:$A$1601,$AG384))</f>
        <v/>
      </c>
      <c r="K384">
        <f>IF($AG384="","",INDEX('TMP Paste'!$L$2:$L$1601,$AG384))</f>
        <v/>
      </c>
      <c r="L384">
        <f>IF($AG384="","",INDEX('TMP Paste'!$I$2:$I$1601,$AG384))</f>
        <v/>
      </c>
      <c r="M384">
        <f>IF($AG384="","",Config!$B$16)</f>
        <v/>
      </c>
      <c r="N384">
        <f>IF($AG384="","","")</f>
        <v/>
      </c>
      <c r="O384">
        <f>IF($AG384="","",INDEX('TMP Paste'!$K$2:$K$1601,$AG384))</f>
        <v/>
      </c>
      <c r="P384">
        <f>IF($AG384="","","")</f>
        <v/>
      </c>
      <c r="Q384">
        <f>IF($AG384="","",INDEX('TMP Paste'!$J$2:$J$1601,$AG384))</f>
        <v/>
      </c>
      <c r="R384">
        <f>IF($AG384="","",Config!$B$24)</f>
        <v/>
      </c>
      <c r="S384">
        <f>IF($AG384="","",TEXT(Config!$B$4,"yyyy-mm-dd"))</f>
        <v/>
      </c>
      <c r="T384">
        <f>IF($AG384="","",Config!$B$17)</f>
        <v/>
      </c>
      <c r="U384">
        <f>IF($AG384="","",Config!$B$18)</f>
        <v/>
      </c>
      <c r="V384">
        <f>IF($AG384="","",Config!$B$19)</f>
        <v/>
      </c>
      <c r="W384">
        <f>IF($AG384="","",INDEX('TMP Paste'!$C$2:$C$1601,$AG384))</f>
        <v/>
      </c>
      <c r="X384">
        <f>IF($AG384="","",Config!$B$29)</f>
        <v/>
      </c>
      <c r="Y384">
        <f>IF($AH384="","",INDEX(Calc!$I$2:$I$1601,$AH384)&amp;" - "&amp;INDEX(Calc!$D$2:$D$1601,$AH384)&amp;" koli")</f>
        <v/>
      </c>
      <c r="Z384">
        <f>IF($AG384="","",Config!$B$21)</f>
        <v/>
      </c>
      <c r="AA384">
        <f>IF($AG384="","",Config!$B$22)</f>
        <v/>
      </c>
      <c r="AB384">
        <f>IF($AH384="","",INDEX(Calc!$D$2:$D$1601,$AH384))</f>
        <v/>
      </c>
      <c r="AC384">
        <f>IF($AH384="","",INDEX(Calc!$G$2:$G$1601,$AH384))</f>
        <v/>
      </c>
      <c r="AD384">
        <f>IF($AG384="","",Config!$B$23)</f>
        <v/>
      </c>
      <c r="AE384">
        <f>IF($AG384="","",Config!$B$28)</f>
        <v/>
      </c>
      <c r="AG384">
        <f>IFERROR(MATCH(ROW()-1,Calc!$J$2:$J$1601,0),"")</f>
        <v/>
      </c>
      <c r="AH384">
        <f>IFERROR(MATCH(ROW()-1,Calc!$K$2:$K$1601,0),"")</f>
        <v/>
      </c>
      <c r="AI384">
        <f>IF($AG384="","",SUMIF($AG$2:$AG384,$AG384,$AH$2:$AH384))</f>
        <v/>
      </c>
      <c r="AJ384">
        <f>IF('TMP Paste'!$F384="","",IF('TMP Paste'!$B384="",$AJ383,'TMP Paste'!$B384))</f>
        <v/>
      </c>
      <c r="AK384">
        <f>IF('TMP Paste'!$F384="","",N('TMP Paste'!$G384))</f>
        <v/>
      </c>
      <c r="AL384">
        <f>IF('TMP Paste'!$F384="","",IF('TMP Paste'!$M384="",$AL383,'TMP Paste'!$M384))</f>
        <v/>
      </c>
      <c r="AM384">
        <f>IF('TMP Paste'!$F384="","",IF('TMP Paste'!$N384="",$AM383,'TMP Paste'!$N384))</f>
        <v/>
      </c>
      <c r="AN384">
        <f>IF('TMP Paste'!$F384="","",IF('TMP Paste'!$O384="",$AN383,'TMP Paste'!$O384))</f>
        <v/>
      </c>
      <c r="AO384">
        <f>IF('TMP Paste'!$F384="","",IF('TMP Paste'!$P384="",$AO383,'TMP Paste'!$P384))</f>
        <v/>
      </c>
      <c r="AP384">
        <f>IF($AG384="","",LEN($R384))</f>
        <v/>
      </c>
      <c r="AQ384">
        <f>IF($AG384="","",TRIM(IF(COUNTIFS(Calc!$B$2:$B$1601,ROW()-1,Calc!$C$2:$C$1601,"&lt;1")&gt;0,"Ada PO tanpa Koli - cek TMP. ","")&amp;IF(LEN($R384)&gt;500,"R &gt; 500 karakter.","")))</f>
        <v/>
      </c>
    </row>
    <row r="385">
      <c r="A385">
        <f>IF($AG385="","",INDEX('TMP Paste'!$B$2:$B$1601,$AG385))</f>
        <v/>
      </c>
      <c r="B385">
        <f>IF($AG385="","",Config!$B$14)</f>
        <v/>
      </c>
      <c r="C385">
        <f>IF($AG385="","",Config!$B$15)</f>
        <v/>
      </c>
      <c r="D385">
        <f>IF($AG385="","",INDEX('TMP Paste'!$B$2:$B$1601,$AG385))</f>
        <v/>
      </c>
      <c r="E385">
        <f>IF($AG385="","",Config!$B$27)</f>
        <v/>
      </c>
      <c r="F385">
        <f>IF($AG385="","",Config!$B$9)</f>
        <v/>
      </c>
      <c r="G385">
        <f>IF($AG385="","",Config!$B$10)</f>
        <v/>
      </c>
      <c r="H385">
        <f>IF($AG385="","",Config!$B$11)</f>
        <v/>
      </c>
      <c r="I385">
        <f>IF($AG385="","",Config!$B$16)</f>
        <v/>
      </c>
      <c r="J385">
        <f>IF($AG385="","",INDEX('TMP Paste'!$A$2:$A$1601,$AG385))</f>
        <v/>
      </c>
      <c r="K385">
        <f>IF($AG385="","",INDEX('TMP Paste'!$L$2:$L$1601,$AG385))</f>
        <v/>
      </c>
      <c r="L385">
        <f>IF($AG385="","",INDEX('TMP Paste'!$I$2:$I$1601,$AG385))</f>
        <v/>
      </c>
      <c r="M385">
        <f>IF($AG385="","",Config!$B$16)</f>
        <v/>
      </c>
      <c r="N385">
        <f>IF($AG385="","","")</f>
        <v/>
      </c>
      <c r="O385">
        <f>IF($AG385="","",INDEX('TMP Paste'!$K$2:$K$1601,$AG385))</f>
        <v/>
      </c>
      <c r="P385">
        <f>IF($AG385="","","")</f>
        <v/>
      </c>
      <c r="Q385">
        <f>IF($AG385="","",INDEX('TMP Paste'!$J$2:$J$1601,$AG385))</f>
        <v/>
      </c>
      <c r="R385">
        <f>IF($AG385="","",Config!$B$24)</f>
        <v/>
      </c>
      <c r="S385">
        <f>IF($AG385="","",TEXT(Config!$B$4,"yyyy-mm-dd"))</f>
        <v/>
      </c>
      <c r="T385">
        <f>IF($AG385="","",Config!$B$17)</f>
        <v/>
      </c>
      <c r="U385">
        <f>IF($AG385="","",Config!$B$18)</f>
        <v/>
      </c>
      <c r="V385">
        <f>IF($AG385="","",Config!$B$19)</f>
        <v/>
      </c>
      <c r="W385">
        <f>IF($AG385="","",INDEX('TMP Paste'!$C$2:$C$1601,$AG385))</f>
        <v/>
      </c>
      <c r="X385">
        <f>IF($AG385="","",Config!$B$29)</f>
        <v/>
      </c>
      <c r="Y385">
        <f>IF($AH385="","",INDEX(Calc!$I$2:$I$1601,$AH385)&amp;" - "&amp;INDEX(Calc!$D$2:$D$1601,$AH385)&amp;" koli")</f>
        <v/>
      </c>
      <c r="Z385">
        <f>IF($AG385="","",Config!$B$21)</f>
        <v/>
      </c>
      <c r="AA385">
        <f>IF($AG385="","",Config!$B$22)</f>
        <v/>
      </c>
      <c r="AB385">
        <f>IF($AH385="","",INDEX(Calc!$D$2:$D$1601,$AH385))</f>
        <v/>
      </c>
      <c r="AC385">
        <f>IF($AH385="","",INDEX(Calc!$G$2:$G$1601,$AH385))</f>
        <v/>
      </c>
      <c r="AD385">
        <f>IF($AG385="","",Config!$B$23)</f>
        <v/>
      </c>
      <c r="AE385">
        <f>IF($AG385="","",Config!$B$28)</f>
        <v/>
      </c>
      <c r="AG385">
        <f>IFERROR(MATCH(ROW()-1,Calc!$J$2:$J$1601,0),"")</f>
        <v/>
      </c>
      <c r="AH385">
        <f>IFERROR(MATCH(ROW()-1,Calc!$K$2:$K$1601,0),"")</f>
        <v/>
      </c>
      <c r="AI385">
        <f>IF($AG385="","",SUMIF($AG$2:$AG385,$AG385,$AH$2:$AH385))</f>
        <v/>
      </c>
      <c r="AJ385">
        <f>IF('TMP Paste'!$F385="","",IF('TMP Paste'!$B385="",$AJ384,'TMP Paste'!$B385))</f>
        <v/>
      </c>
      <c r="AK385">
        <f>IF('TMP Paste'!$F385="","",N('TMP Paste'!$G385))</f>
        <v/>
      </c>
      <c r="AL385">
        <f>IF('TMP Paste'!$F385="","",IF('TMP Paste'!$M385="",$AL384,'TMP Paste'!$M385))</f>
        <v/>
      </c>
      <c r="AM385">
        <f>IF('TMP Paste'!$F385="","",IF('TMP Paste'!$N385="",$AM384,'TMP Paste'!$N385))</f>
        <v/>
      </c>
      <c r="AN385">
        <f>IF('TMP Paste'!$F385="","",IF('TMP Paste'!$O385="",$AN384,'TMP Paste'!$O385))</f>
        <v/>
      </c>
      <c r="AO385">
        <f>IF('TMP Paste'!$F385="","",IF('TMP Paste'!$P385="",$AO384,'TMP Paste'!$P385))</f>
        <v/>
      </c>
      <c r="AP385">
        <f>IF($AG385="","",LEN($R385))</f>
        <v/>
      </c>
      <c r="AQ385">
        <f>IF($AG385="","",TRIM(IF(COUNTIFS(Calc!$B$2:$B$1601,ROW()-1,Calc!$C$2:$C$1601,"&lt;1")&gt;0,"Ada PO tanpa Koli - cek TMP. ","")&amp;IF(LEN($R385)&gt;500,"R &gt; 500 karakter.","")))</f>
        <v/>
      </c>
    </row>
    <row r="386">
      <c r="A386">
        <f>IF($AG386="","",INDEX('TMP Paste'!$B$2:$B$1601,$AG386))</f>
        <v/>
      </c>
      <c r="B386">
        <f>IF($AG386="","",Config!$B$14)</f>
        <v/>
      </c>
      <c r="C386">
        <f>IF($AG386="","",Config!$B$15)</f>
        <v/>
      </c>
      <c r="D386">
        <f>IF($AG386="","",INDEX('TMP Paste'!$B$2:$B$1601,$AG386))</f>
        <v/>
      </c>
      <c r="E386">
        <f>IF($AG386="","",Config!$B$27)</f>
        <v/>
      </c>
      <c r="F386">
        <f>IF($AG386="","",Config!$B$9)</f>
        <v/>
      </c>
      <c r="G386">
        <f>IF($AG386="","",Config!$B$10)</f>
        <v/>
      </c>
      <c r="H386">
        <f>IF($AG386="","",Config!$B$11)</f>
        <v/>
      </c>
      <c r="I386">
        <f>IF($AG386="","",Config!$B$16)</f>
        <v/>
      </c>
      <c r="J386">
        <f>IF($AG386="","",INDEX('TMP Paste'!$A$2:$A$1601,$AG386))</f>
        <v/>
      </c>
      <c r="K386">
        <f>IF($AG386="","",INDEX('TMP Paste'!$L$2:$L$1601,$AG386))</f>
        <v/>
      </c>
      <c r="L386">
        <f>IF($AG386="","",INDEX('TMP Paste'!$I$2:$I$1601,$AG386))</f>
        <v/>
      </c>
      <c r="M386">
        <f>IF($AG386="","",Config!$B$16)</f>
        <v/>
      </c>
      <c r="N386">
        <f>IF($AG386="","","")</f>
        <v/>
      </c>
      <c r="O386">
        <f>IF($AG386="","",INDEX('TMP Paste'!$K$2:$K$1601,$AG386))</f>
        <v/>
      </c>
      <c r="P386">
        <f>IF($AG386="","","")</f>
        <v/>
      </c>
      <c r="Q386">
        <f>IF($AG386="","",INDEX('TMP Paste'!$J$2:$J$1601,$AG386))</f>
        <v/>
      </c>
      <c r="R386">
        <f>IF($AG386="","",Config!$B$24)</f>
        <v/>
      </c>
      <c r="S386">
        <f>IF($AG386="","",TEXT(Config!$B$4,"yyyy-mm-dd"))</f>
        <v/>
      </c>
      <c r="T386">
        <f>IF($AG386="","",Config!$B$17)</f>
        <v/>
      </c>
      <c r="U386">
        <f>IF($AG386="","",Config!$B$18)</f>
        <v/>
      </c>
      <c r="V386">
        <f>IF($AG386="","",Config!$B$19)</f>
        <v/>
      </c>
      <c r="W386">
        <f>IF($AG386="","",INDEX('TMP Paste'!$C$2:$C$1601,$AG386))</f>
        <v/>
      </c>
      <c r="X386">
        <f>IF($AG386="","",Config!$B$29)</f>
        <v/>
      </c>
      <c r="Y386">
        <f>IF($AH386="","",INDEX(Calc!$I$2:$I$1601,$AH386)&amp;" - "&amp;INDEX(Calc!$D$2:$D$1601,$AH386)&amp;" koli")</f>
        <v/>
      </c>
      <c r="Z386">
        <f>IF($AG386="","",Config!$B$21)</f>
        <v/>
      </c>
      <c r="AA386">
        <f>IF($AG386="","",Config!$B$22)</f>
        <v/>
      </c>
      <c r="AB386">
        <f>IF($AH386="","",INDEX(Calc!$D$2:$D$1601,$AH386))</f>
        <v/>
      </c>
      <c r="AC386">
        <f>IF($AH386="","",INDEX(Calc!$G$2:$G$1601,$AH386))</f>
        <v/>
      </c>
      <c r="AD386">
        <f>IF($AG386="","",Config!$B$23)</f>
        <v/>
      </c>
      <c r="AE386">
        <f>IF($AG386="","",Config!$B$28)</f>
        <v/>
      </c>
      <c r="AG386">
        <f>IFERROR(MATCH(ROW()-1,Calc!$J$2:$J$1601,0),"")</f>
        <v/>
      </c>
      <c r="AH386">
        <f>IFERROR(MATCH(ROW()-1,Calc!$K$2:$K$1601,0),"")</f>
        <v/>
      </c>
      <c r="AI386">
        <f>IF($AG386="","",SUMIF($AG$2:$AG386,$AG386,$AH$2:$AH386))</f>
        <v/>
      </c>
      <c r="AJ386">
        <f>IF('TMP Paste'!$F386="","",IF('TMP Paste'!$B386="",$AJ385,'TMP Paste'!$B386))</f>
        <v/>
      </c>
      <c r="AK386">
        <f>IF('TMP Paste'!$F386="","",N('TMP Paste'!$G386))</f>
        <v/>
      </c>
      <c r="AL386">
        <f>IF('TMP Paste'!$F386="","",IF('TMP Paste'!$M386="",$AL385,'TMP Paste'!$M386))</f>
        <v/>
      </c>
      <c r="AM386">
        <f>IF('TMP Paste'!$F386="","",IF('TMP Paste'!$N386="",$AM385,'TMP Paste'!$N386))</f>
        <v/>
      </c>
      <c r="AN386">
        <f>IF('TMP Paste'!$F386="","",IF('TMP Paste'!$O386="",$AN385,'TMP Paste'!$O386))</f>
        <v/>
      </c>
      <c r="AO386">
        <f>IF('TMP Paste'!$F386="","",IF('TMP Paste'!$P386="",$AO385,'TMP Paste'!$P386))</f>
        <v/>
      </c>
      <c r="AP386">
        <f>IF($AG386="","",LEN($R386))</f>
        <v/>
      </c>
      <c r="AQ386">
        <f>IF($AG386="","",TRIM(IF(COUNTIFS(Calc!$B$2:$B$1601,ROW()-1,Calc!$C$2:$C$1601,"&lt;1")&gt;0,"Ada PO tanpa Koli - cek TMP. ","")&amp;IF(LEN($R386)&gt;500,"R &gt; 500 karakter.","")))</f>
        <v/>
      </c>
    </row>
    <row r="387">
      <c r="A387">
        <f>IF($AG387="","",INDEX('TMP Paste'!$B$2:$B$1601,$AG387))</f>
        <v/>
      </c>
      <c r="B387">
        <f>IF($AG387="","",Config!$B$14)</f>
        <v/>
      </c>
      <c r="C387">
        <f>IF($AG387="","",Config!$B$15)</f>
        <v/>
      </c>
      <c r="D387">
        <f>IF($AG387="","",INDEX('TMP Paste'!$B$2:$B$1601,$AG387))</f>
        <v/>
      </c>
      <c r="E387">
        <f>IF($AG387="","",Config!$B$27)</f>
        <v/>
      </c>
      <c r="F387">
        <f>IF($AG387="","",Config!$B$9)</f>
        <v/>
      </c>
      <c r="G387">
        <f>IF($AG387="","",Config!$B$10)</f>
        <v/>
      </c>
      <c r="H387">
        <f>IF($AG387="","",Config!$B$11)</f>
        <v/>
      </c>
      <c r="I387">
        <f>IF($AG387="","",Config!$B$16)</f>
        <v/>
      </c>
      <c r="J387">
        <f>IF($AG387="","",INDEX('TMP Paste'!$A$2:$A$1601,$AG387))</f>
        <v/>
      </c>
      <c r="K387">
        <f>IF($AG387="","",INDEX('TMP Paste'!$L$2:$L$1601,$AG387))</f>
        <v/>
      </c>
      <c r="L387">
        <f>IF($AG387="","",INDEX('TMP Paste'!$I$2:$I$1601,$AG387))</f>
        <v/>
      </c>
      <c r="M387">
        <f>IF($AG387="","",Config!$B$16)</f>
        <v/>
      </c>
      <c r="N387">
        <f>IF($AG387="","","")</f>
        <v/>
      </c>
      <c r="O387">
        <f>IF($AG387="","",INDEX('TMP Paste'!$K$2:$K$1601,$AG387))</f>
        <v/>
      </c>
      <c r="P387">
        <f>IF($AG387="","","")</f>
        <v/>
      </c>
      <c r="Q387">
        <f>IF($AG387="","",INDEX('TMP Paste'!$J$2:$J$1601,$AG387))</f>
        <v/>
      </c>
      <c r="R387">
        <f>IF($AG387="","",Config!$B$24)</f>
        <v/>
      </c>
      <c r="S387">
        <f>IF($AG387="","",TEXT(Config!$B$4,"yyyy-mm-dd"))</f>
        <v/>
      </c>
      <c r="T387">
        <f>IF($AG387="","",Config!$B$17)</f>
        <v/>
      </c>
      <c r="U387">
        <f>IF($AG387="","",Config!$B$18)</f>
        <v/>
      </c>
      <c r="V387">
        <f>IF($AG387="","",Config!$B$19)</f>
        <v/>
      </c>
      <c r="W387">
        <f>IF($AG387="","",INDEX('TMP Paste'!$C$2:$C$1601,$AG387))</f>
        <v/>
      </c>
      <c r="X387">
        <f>IF($AG387="","",Config!$B$29)</f>
        <v/>
      </c>
      <c r="Y387">
        <f>IF($AH387="","",INDEX(Calc!$I$2:$I$1601,$AH387)&amp;" - "&amp;INDEX(Calc!$D$2:$D$1601,$AH387)&amp;" koli")</f>
        <v/>
      </c>
      <c r="Z387">
        <f>IF($AG387="","",Config!$B$21)</f>
        <v/>
      </c>
      <c r="AA387">
        <f>IF($AG387="","",Config!$B$22)</f>
        <v/>
      </c>
      <c r="AB387">
        <f>IF($AH387="","",INDEX(Calc!$D$2:$D$1601,$AH387))</f>
        <v/>
      </c>
      <c r="AC387">
        <f>IF($AH387="","",INDEX(Calc!$G$2:$G$1601,$AH387))</f>
        <v/>
      </c>
      <c r="AD387">
        <f>IF($AG387="","",Config!$B$23)</f>
        <v/>
      </c>
      <c r="AE387">
        <f>IF($AG387="","",Config!$B$28)</f>
        <v/>
      </c>
      <c r="AG387">
        <f>IFERROR(MATCH(ROW()-1,Calc!$J$2:$J$1601,0),"")</f>
        <v/>
      </c>
      <c r="AH387">
        <f>IFERROR(MATCH(ROW()-1,Calc!$K$2:$K$1601,0),"")</f>
        <v/>
      </c>
      <c r="AI387">
        <f>IF($AG387="","",SUMIF($AG$2:$AG387,$AG387,$AH$2:$AH387))</f>
        <v/>
      </c>
      <c r="AJ387">
        <f>IF('TMP Paste'!$F387="","",IF('TMP Paste'!$B387="",$AJ386,'TMP Paste'!$B387))</f>
        <v/>
      </c>
      <c r="AK387">
        <f>IF('TMP Paste'!$F387="","",N('TMP Paste'!$G387))</f>
        <v/>
      </c>
      <c r="AL387">
        <f>IF('TMP Paste'!$F387="","",IF('TMP Paste'!$M387="",$AL386,'TMP Paste'!$M387))</f>
        <v/>
      </c>
      <c r="AM387">
        <f>IF('TMP Paste'!$F387="","",IF('TMP Paste'!$N387="",$AM386,'TMP Paste'!$N387))</f>
        <v/>
      </c>
      <c r="AN387">
        <f>IF('TMP Paste'!$F387="","",IF('TMP Paste'!$O387="",$AN386,'TMP Paste'!$O387))</f>
        <v/>
      </c>
      <c r="AO387">
        <f>IF('TMP Paste'!$F387="","",IF('TMP Paste'!$P387="",$AO386,'TMP Paste'!$P387))</f>
        <v/>
      </c>
      <c r="AP387">
        <f>IF($AG387="","",LEN($R387))</f>
        <v/>
      </c>
      <c r="AQ387">
        <f>IF($AG387="","",TRIM(IF(COUNTIFS(Calc!$B$2:$B$1601,ROW()-1,Calc!$C$2:$C$1601,"&lt;1")&gt;0,"Ada PO tanpa Koli - cek TMP. ","")&amp;IF(LEN($R387)&gt;500,"R &gt; 500 karakter.","")))</f>
        <v/>
      </c>
    </row>
    <row r="388">
      <c r="A388">
        <f>IF($AG388="","",INDEX('TMP Paste'!$B$2:$B$1601,$AG388))</f>
        <v/>
      </c>
      <c r="B388">
        <f>IF($AG388="","",Config!$B$14)</f>
        <v/>
      </c>
      <c r="C388">
        <f>IF($AG388="","",Config!$B$15)</f>
        <v/>
      </c>
      <c r="D388">
        <f>IF($AG388="","",INDEX('TMP Paste'!$B$2:$B$1601,$AG388))</f>
        <v/>
      </c>
      <c r="E388">
        <f>IF($AG388="","",Config!$B$27)</f>
        <v/>
      </c>
      <c r="F388">
        <f>IF($AG388="","",Config!$B$9)</f>
        <v/>
      </c>
      <c r="G388">
        <f>IF($AG388="","",Config!$B$10)</f>
        <v/>
      </c>
      <c r="H388">
        <f>IF($AG388="","",Config!$B$11)</f>
        <v/>
      </c>
      <c r="I388">
        <f>IF($AG388="","",Config!$B$16)</f>
        <v/>
      </c>
      <c r="J388">
        <f>IF($AG388="","",INDEX('TMP Paste'!$A$2:$A$1601,$AG388))</f>
        <v/>
      </c>
      <c r="K388">
        <f>IF($AG388="","",INDEX('TMP Paste'!$L$2:$L$1601,$AG388))</f>
        <v/>
      </c>
      <c r="L388">
        <f>IF($AG388="","",INDEX('TMP Paste'!$I$2:$I$1601,$AG388))</f>
        <v/>
      </c>
      <c r="M388">
        <f>IF($AG388="","",Config!$B$16)</f>
        <v/>
      </c>
      <c r="N388">
        <f>IF($AG388="","","")</f>
        <v/>
      </c>
      <c r="O388">
        <f>IF($AG388="","",INDEX('TMP Paste'!$K$2:$K$1601,$AG388))</f>
        <v/>
      </c>
      <c r="P388">
        <f>IF($AG388="","","")</f>
        <v/>
      </c>
      <c r="Q388">
        <f>IF($AG388="","",INDEX('TMP Paste'!$J$2:$J$1601,$AG388))</f>
        <v/>
      </c>
      <c r="R388">
        <f>IF($AG388="","",Config!$B$24)</f>
        <v/>
      </c>
      <c r="S388">
        <f>IF($AG388="","",TEXT(Config!$B$4,"yyyy-mm-dd"))</f>
        <v/>
      </c>
      <c r="T388">
        <f>IF($AG388="","",Config!$B$17)</f>
        <v/>
      </c>
      <c r="U388">
        <f>IF($AG388="","",Config!$B$18)</f>
        <v/>
      </c>
      <c r="V388">
        <f>IF($AG388="","",Config!$B$19)</f>
        <v/>
      </c>
      <c r="W388">
        <f>IF($AG388="","",INDEX('TMP Paste'!$C$2:$C$1601,$AG388))</f>
        <v/>
      </c>
      <c r="X388">
        <f>IF($AG388="","",Config!$B$29)</f>
        <v/>
      </c>
      <c r="Y388">
        <f>IF($AH388="","",INDEX(Calc!$I$2:$I$1601,$AH388)&amp;" - "&amp;INDEX(Calc!$D$2:$D$1601,$AH388)&amp;" koli")</f>
        <v/>
      </c>
      <c r="Z388">
        <f>IF($AG388="","",Config!$B$21)</f>
        <v/>
      </c>
      <c r="AA388">
        <f>IF($AG388="","",Config!$B$22)</f>
        <v/>
      </c>
      <c r="AB388">
        <f>IF($AH388="","",INDEX(Calc!$D$2:$D$1601,$AH388))</f>
        <v/>
      </c>
      <c r="AC388">
        <f>IF($AH388="","",INDEX(Calc!$G$2:$G$1601,$AH388))</f>
        <v/>
      </c>
      <c r="AD388">
        <f>IF($AG388="","",Config!$B$23)</f>
        <v/>
      </c>
      <c r="AE388">
        <f>IF($AG388="","",Config!$B$28)</f>
        <v/>
      </c>
      <c r="AG388">
        <f>IFERROR(MATCH(ROW()-1,Calc!$J$2:$J$1601,0),"")</f>
        <v/>
      </c>
      <c r="AH388">
        <f>IFERROR(MATCH(ROW()-1,Calc!$K$2:$K$1601,0),"")</f>
        <v/>
      </c>
      <c r="AI388">
        <f>IF($AG388="","",SUMIF($AG$2:$AG388,$AG388,$AH$2:$AH388))</f>
        <v/>
      </c>
      <c r="AJ388">
        <f>IF('TMP Paste'!$F388="","",IF('TMP Paste'!$B388="",$AJ387,'TMP Paste'!$B388))</f>
        <v/>
      </c>
      <c r="AK388">
        <f>IF('TMP Paste'!$F388="","",N('TMP Paste'!$G388))</f>
        <v/>
      </c>
      <c r="AL388">
        <f>IF('TMP Paste'!$F388="","",IF('TMP Paste'!$M388="",$AL387,'TMP Paste'!$M388))</f>
        <v/>
      </c>
      <c r="AM388">
        <f>IF('TMP Paste'!$F388="","",IF('TMP Paste'!$N388="",$AM387,'TMP Paste'!$N388))</f>
        <v/>
      </c>
      <c r="AN388">
        <f>IF('TMP Paste'!$F388="","",IF('TMP Paste'!$O388="",$AN387,'TMP Paste'!$O388))</f>
        <v/>
      </c>
      <c r="AO388">
        <f>IF('TMP Paste'!$F388="","",IF('TMP Paste'!$P388="",$AO387,'TMP Paste'!$P388))</f>
        <v/>
      </c>
      <c r="AP388">
        <f>IF($AG388="","",LEN($R388))</f>
        <v/>
      </c>
      <c r="AQ388">
        <f>IF($AG388="","",TRIM(IF(COUNTIFS(Calc!$B$2:$B$1601,ROW()-1,Calc!$C$2:$C$1601,"&lt;1")&gt;0,"Ada PO tanpa Koli - cek TMP. ","")&amp;IF(LEN($R388)&gt;500,"R &gt; 500 karakter.","")))</f>
        <v/>
      </c>
    </row>
    <row r="389">
      <c r="A389">
        <f>IF($AG389="","",INDEX('TMP Paste'!$B$2:$B$1601,$AG389))</f>
        <v/>
      </c>
      <c r="B389">
        <f>IF($AG389="","",Config!$B$14)</f>
        <v/>
      </c>
      <c r="C389">
        <f>IF($AG389="","",Config!$B$15)</f>
        <v/>
      </c>
      <c r="D389">
        <f>IF($AG389="","",INDEX('TMP Paste'!$B$2:$B$1601,$AG389))</f>
        <v/>
      </c>
      <c r="E389">
        <f>IF($AG389="","",Config!$B$27)</f>
        <v/>
      </c>
      <c r="F389">
        <f>IF($AG389="","",Config!$B$9)</f>
        <v/>
      </c>
      <c r="G389">
        <f>IF($AG389="","",Config!$B$10)</f>
        <v/>
      </c>
      <c r="H389">
        <f>IF($AG389="","",Config!$B$11)</f>
        <v/>
      </c>
      <c r="I389">
        <f>IF($AG389="","",Config!$B$16)</f>
        <v/>
      </c>
      <c r="J389">
        <f>IF($AG389="","",INDEX('TMP Paste'!$A$2:$A$1601,$AG389))</f>
        <v/>
      </c>
      <c r="K389">
        <f>IF($AG389="","",INDEX('TMP Paste'!$L$2:$L$1601,$AG389))</f>
        <v/>
      </c>
      <c r="L389">
        <f>IF($AG389="","",INDEX('TMP Paste'!$I$2:$I$1601,$AG389))</f>
        <v/>
      </c>
      <c r="M389">
        <f>IF($AG389="","",Config!$B$16)</f>
        <v/>
      </c>
      <c r="N389">
        <f>IF($AG389="","","")</f>
        <v/>
      </c>
      <c r="O389">
        <f>IF($AG389="","",INDEX('TMP Paste'!$K$2:$K$1601,$AG389))</f>
        <v/>
      </c>
      <c r="P389">
        <f>IF($AG389="","","")</f>
        <v/>
      </c>
      <c r="Q389">
        <f>IF($AG389="","",INDEX('TMP Paste'!$J$2:$J$1601,$AG389))</f>
        <v/>
      </c>
      <c r="R389">
        <f>IF($AG389="","",Config!$B$24)</f>
        <v/>
      </c>
      <c r="S389">
        <f>IF($AG389="","",TEXT(Config!$B$4,"yyyy-mm-dd"))</f>
        <v/>
      </c>
      <c r="T389">
        <f>IF($AG389="","",Config!$B$17)</f>
        <v/>
      </c>
      <c r="U389">
        <f>IF($AG389="","",Config!$B$18)</f>
        <v/>
      </c>
      <c r="V389">
        <f>IF($AG389="","",Config!$B$19)</f>
        <v/>
      </c>
      <c r="W389">
        <f>IF($AG389="","",INDEX('TMP Paste'!$C$2:$C$1601,$AG389))</f>
        <v/>
      </c>
      <c r="X389">
        <f>IF($AG389="","",Config!$B$29)</f>
        <v/>
      </c>
      <c r="Y389">
        <f>IF($AH389="","",INDEX(Calc!$I$2:$I$1601,$AH389)&amp;" - "&amp;INDEX(Calc!$D$2:$D$1601,$AH389)&amp;" koli")</f>
        <v/>
      </c>
      <c r="Z389">
        <f>IF($AG389="","",Config!$B$21)</f>
        <v/>
      </c>
      <c r="AA389">
        <f>IF($AG389="","",Config!$B$22)</f>
        <v/>
      </c>
      <c r="AB389">
        <f>IF($AH389="","",INDEX(Calc!$D$2:$D$1601,$AH389))</f>
        <v/>
      </c>
      <c r="AC389">
        <f>IF($AH389="","",INDEX(Calc!$G$2:$G$1601,$AH389))</f>
        <v/>
      </c>
      <c r="AD389">
        <f>IF($AG389="","",Config!$B$23)</f>
        <v/>
      </c>
      <c r="AE389">
        <f>IF($AG389="","",Config!$B$28)</f>
        <v/>
      </c>
      <c r="AG389">
        <f>IFERROR(MATCH(ROW()-1,Calc!$J$2:$J$1601,0),"")</f>
        <v/>
      </c>
      <c r="AH389">
        <f>IFERROR(MATCH(ROW()-1,Calc!$K$2:$K$1601,0),"")</f>
        <v/>
      </c>
      <c r="AI389">
        <f>IF($AG389="","",SUMIF($AG$2:$AG389,$AG389,$AH$2:$AH389))</f>
        <v/>
      </c>
      <c r="AJ389">
        <f>IF('TMP Paste'!$F389="","",IF('TMP Paste'!$B389="",$AJ388,'TMP Paste'!$B389))</f>
        <v/>
      </c>
      <c r="AK389">
        <f>IF('TMP Paste'!$F389="","",N('TMP Paste'!$G389))</f>
        <v/>
      </c>
      <c r="AL389">
        <f>IF('TMP Paste'!$F389="","",IF('TMP Paste'!$M389="",$AL388,'TMP Paste'!$M389))</f>
        <v/>
      </c>
      <c r="AM389">
        <f>IF('TMP Paste'!$F389="","",IF('TMP Paste'!$N389="",$AM388,'TMP Paste'!$N389))</f>
        <v/>
      </c>
      <c r="AN389">
        <f>IF('TMP Paste'!$F389="","",IF('TMP Paste'!$O389="",$AN388,'TMP Paste'!$O389))</f>
        <v/>
      </c>
      <c r="AO389">
        <f>IF('TMP Paste'!$F389="","",IF('TMP Paste'!$P389="",$AO388,'TMP Paste'!$P389))</f>
        <v/>
      </c>
      <c r="AP389">
        <f>IF($AG389="","",LEN($R389))</f>
        <v/>
      </c>
      <c r="AQ389">
        <f>IF($AG389="","",TRIM(IF(COUNTIFS(Calc!$B$2:$B$1601,ROW()-1,Calc!$C$2:$C$1601,"&lt;1")&gt;0,"Ada PO tanpa Koli - cek TMP. ","")&amp;IF(LEN($R389)&gt;500,"R &gt; 500 karakter.","")))</f>
        <v/>
      </c>
    </row>
    <row r="390">
      <c r="A390">
        <f>IF($AG390="","",INDEX('TMP Paste'!$B$2:$B$1601,$AG390))</f>
        <v/>
      </c>
      <c r="B390">
        <f>IF($AG390="","",Config!$B$14)</f>
        <v/>
      </c>
      <c r="C390">
        <f>IF($AG390="","",Config!$B$15)</f>
        <v/>
      </c>
      <c r="D390">
        <f>IF($AG390="","",INDEX('TMP Paste'!$B$2:$B$1601,$AG390))</f>
        <v/>
      </c>
      <c r="E390">
        <f>IF($AG390="","",Config!$B$27)</f>
        <v/>
      </c>
      <c r="F390">
        <f>IF($AG390="","",Config!$B$9)</f>
        <v/>
      </c>
      <c r="G390">
        <f>IF($AG390="","",Config!$B$10)</f>
        <v/>
      </c>
      <c r="H390">
        <f>IF($AG390="","",Config!$B$11)</f>
        <v/>
      </c>
      <c r="I390">
        <f>IF($AG390="","",Config!$B$16)</f>
        <v/>
      </c>
      <c r="J390">
        <f>IF($AG390="","",INDEX('TMP Paste'!$A$2:$A$1601,$AG390))</f>
        <v/>
      </c>
      <c r="K390">
        <f>IF($AG390="","",INDEX('TMP Paste'!$L$2:$L$1601,$AG390))</f>
        <v/>
      </c>
      <c r="L390">
        <f>IF($AG390="","",INDEX('TMP Paste'!$I$2:$I$1601,$AG390))</f>
        <v/>
      </c>
      <c r="M390">
        <f>IF($AG390="","",Config!$B$16)</f>
        <v/>
      </c>
      <c r="N390">
        <f>IF($AG390="","","")</f>
        <v/>
      </c>
      <c r="O390">
        <f>IF($AG390="","",INDEX('TMP Paste'!$K$2:$K$1601,$AG390))</f>
        <v/>
      </c>
      <c r="P390">
        <f>IF($AG390="","","")</f>
        <v/>
      </c>
      <c r="Q390">
        <f>IF($AG390="","",INDEX('TMP Paste'!$J$2:$J$1601,$AG390))</f>
        <v/>
      </c>
      <c r="R390">
        <f>IF($AG390="","",Config!$B$24)</f>
        <v/>
      </c>
      <c r="S390">
        <f>IF($AG390="","",TEXT(Config!$B$4,"yyyy-mm-dd"))</f>
        <v/>
      </c>
      <c r="T390">
        <f>IF($AG390="","",Config!$B$17)</f>
        <v/>
      </c>
      <c r="U390">
        <f>IF($AG390="","",Config!$B$18)</f>
        <v/>
      </c>
      <c r="V390">
        <f>IF($AG390="","",Config!$B$19)</f>
        <v/>
      </c>
      <c r="W390">
        <f>IF($AG390="","",INDEX('TMP Paste'!$C$2:$C$1601,$AG390))</f>
        <v/>
      </c>
      <c r="X390">
        <f>IF($AG390="","",Config!$B$29)</f>
        <v/>
      </c>
      <c r="Y390">
        <f>IF($AH390="","",INDEX(Calc!$I$2:$I$1601,$AH390)&amp;" - "&amp;INDEX(Calc!$D$2:$D$1601,$AH390)&amp;" koli")</f>
        <v/>
      </c>
      <c r="Z390">
        <f>IF($AG390="","",Config!$B$21)</f>
        <v/>
      </c>
      <c r="AA390">
        <f>IF($AG390="","",Config!$B$22)</f>
        <v/>
      </c>
      <c r="AB390">
        <f>IF($AH390="","",INDEX(Calc!$D$2:$D$1601,$AH390))</f>
        <v/>
      </c>
      <c r="AC390">
        <f>IF($AH390="","",INDEX(Calc!$G$2:$G$1601,$AH390))</f>
        <v/>
      </c>
      <c r="AD390">
        <f>IF($AG390="","",Config!$B$23)</f>
        <v/>
      </c>
      <c r="AE390">
        <f>IF($AG390="","",Config!$B$28)</f>
        <v/>
      </c>
      <c r="AG390">
        <f>IFERROR(MATCH(ROW()-1,Calc!$J$2:$J$1601,0),"")</f>
        <v/>
      </c>
      <c r="AH390">
        <f>IFERROR(MATCH(ROW()-1,Calc!$K$2:$K$1601,0),"")</f>
        <v/>
      </c>
      <c r="AI390">
        <f>IF($AG390="","",SUMIF($AG$2:$AG390,$AG390,$AH$2:$AH390))</f>
        <v/>
      </c>
      <c r="AJ390">
        <f>IF('TMP Paste'!$F390="","",IF('TMP Paste'!$B390="",$AJ389,'TMP Paste'!$B390))</f>
        <v/>
      </c>
      <c r="AK390">
        <f>IF('TMP Paste'!$F390="","",N('TMP Paste'!$G390))</f>
        <v/>
      </c>
      <c r="AL390">
        <f>IF('TMP Paste'!$F390="","",IF('TMP Paste'!$M390="",$AL389,'TMP Paste'!$M390))</f>
        <v/>
      </c>
      <c r="AM390">
        <f>IF('TMP Paste'!$F390="","",IF('TMP Paste'!$N390="",$AM389,'TMP Paste'!$N390))</f>
        <v/>
      </c>
      <c r="AN390">
        <f>IF('TMP Paste'!$F390="","",IF('TMP Paste'!$O390="",$AN389,'TMP Paste'!$O390))</f>
        <v/>
      </c>
      <c r="AO390">
        <f>IF('TMP Paste'!$F390="","",IF('TMP Paste'!$P390="",$AO389,'TMP Paste'!$P390))</f>
        <v/>
      </c>
      <c r="AP390">
        <f>IF($AG390="","",LEN($R390))</f>
        <v/>
      </c>
      <c r="AQ390">
        <f>IF($AG390="","",TRIM(IF(COUNTIFS(Calc!$B$2:$B$1601,ROW()-1,Calc!$C$2:$C$1601,"&lt;1")&gt;0,"Ada PO tanpa Koli - cek TMP. ","")&amp;IF(LEN($R390)&gt;500,"R &gt; 500 karakter.","")))</f>
        <v/>
      </c>
    </row>
    <row r="391">
      <c r="A391">
        <f>IF($AG391="","",INDEX('TMP Paste'!$B$2:$B$1601,$AG391))</f>
        <v/>
      </c>
      <c r="B391">
        <f>IF($AG391="","",Config!$B$14)</f>
        <v/>
      </c>
      <c r="C391">
        <f>IF($AG391="","",Config!$B$15)</f>
        <v/>
      </c>
      <c r="D391">
        <f>IF($AG391="","",INDEX('TMP Paste'!$B$2:$B$1601,$AG391))</f>
        <v/>
      </c>
      <c r="E391">
        <f>IF($AG391="","",Config!$B$27)</f>
        <v/>
      </c>
      <c r="F391">
        <f>IF($AG391="","",Config!$B$9)</f>
        <v/>
      </c>
      <c r="G391">
        <f>IF($AG391="","",Config!$B$10)</f>
        <v/>
      </c>
      <c r="H391">
        <f>IF($AG391="","",Config!$B$11)</f>
        <v/>
      </c>
      <c r="I391">
        <f>IF($AG391="","",Config!$B$16)</f>
        <v/>
      </c>
      <c r="J391">
        <f>IF($AG391="","",INDEX('TMP Paste'!$A$2:$A$1601,$AG391))</f>
        <v/>
      </c>
      <c r="K391">
        <f>IF($AG391="","",INDEX('TMP Paste'!$L$2:$L$1601,$AG391))</f>
        <v/>
      </c>
      <c r="L391">
        <f>IF($AG391="","",INDEX('TMP Paste'!$I$2:$I$1601,$AG391))</f>
        <v/>
      </c>
      <c r="M391">
        <f>IF($AG391="","",Config!$B$16)</f>
        <v/>
      </c>
      <c r="N391">
        <f>IF($AG391="","","")</f>
        <v/>
      </c>
      <c r="O391">
        <f>IF($AG391="","",INDEX('TMP Paste'!$K$2:$K$1601,$AG391))</f>
        <v/>
      </c>
      <c r="P391">
        <f>IF($AG391="","","")</f>
        <v/>
      </c>
      <c r="Q391">
        <f>IF($AG391="","",INDEX('TMP Paste'!$J$2:$J$1601,$AG391))</f>
        <v/>
      </c>
      <c r="R391">
        <f>IF($AG391="","",Config!$B$24)</f>
        <v/>
      </c>
      <c r="S391">
        <f>IF($AG391="","",TEXT(Config!$B$4,"yyyy-mm-dd"))</f>
        <v/>
      </c>
      <c r="T391">
        <f>IF($AG391="","",Config!$B$17)</f>
        <v/>
      </c>
      <c r="U391">
        <f>IF($AG391="","",Config!$B$18)</f>
        <v/>
      </c>
      <c r="V391">
        <f>IF($AG391="","",Config!$B$19)</f>
        <v/>
      </c>
      <c r="W391">
        <f>IF($AG391="","",INDEX('TMP Paste'!$C$2:$C$1601,$AG391))</f>
        <v/>
      </c>
      <c r="X391">
        <f>IF($AG391="","",Config!$B$29)</f>
        <v/>
      </c>
      <c r="Y391">
        <f>IF($AH391="","",INDEX(Calc!$I$2:$I$1601,$AH391)&amp;" - "&amp;INDEX(Calc!$D$2:$D$1601,$AH391)&amp;" koli")</f>
        <v/>
      </c>
      <c r="Z391">
        <f>IF($AG391="","",Config!$B$21)</f>
        <v/>
      </c>
      <c r="AA391">
        <f>IF($AG391="","",Config!$B$22)</f>
        <v/>
      </c>
      <c r="AB391">
        <f>IF($AH391="","",INDEX(Calc!$D$2:$D$1601,$AH391))</f>
        <v/>
      </c>
      <c r="AC391">
        <f>IF($AH391="","",INDEX(Calc!$G$2:$G$1601,$AH391))</f>
        <v/>
      </c>
      <c r="AD391">
        <f>IF($AG391="","",Config!$B$23)</f>
        <v/>
      </c>
      <c r="AE391">
        <f>IF($AG391="","",Config!$B$28)</f>
        <v/>
      </c>
      <c r="AG391">
        <f>IFERROR(MATCH(ROW()-1,Calc!$J$2:$J$1601,0),"")</f>
        <v/>
      </c>
      <c r="AH391">
        <f>IFERROR(MATCH(ROW()-1,Calc!$K$2:$K$1601,0),"")</f>
        <v/>
      </c>
      <c r="AI391">
        <f>IF($AG391="","",SUMIF($AG$2:$AG391,$AG391,$AH$2:$AH391))</f>
        <v/>
      </c>
      <c r="AJ391">
        <f>IF('TMP Paste'!$F391="","",IF('TMP Paste'!$B391="",$AJ390,'TMP Paste'!$B391))</f>
        <v/>
      </c>
      <c r="AK391">
        <f>IF('TMP Paste'!$F391="","",N('TMP Paste'!$G391))</f>
        <v/>
      </c>
      <c r="AL391">
        <f>IF('TMP Paste'!$F391="","",IF('TMP Paste'!$M391="",$AL390,'TMP Paste'!$M391))</f>
        <v/>
      </c>
      <c r="AM391">
        <f>IF('TMP Paste'!$F391="","",IF('TMP Paste'!$N391="",$AM390,'TMP Paste'!$N391))</f>
        <v/>
      </c>
      <c r="AN391">
        <f>IF('TMP Paste'!$F391="","",IF('TMP Paste'!$O391="",$AN390,'TMP Paste'!$O391))</f>
        <v/>
      </c>
      <c r="AO391">
        <f>IF('TMP Paste'!$F391="","",IF('TMP Paste'!$P391="",$AO390,'TMP Paste'!$P391))</f>
        <v/>
      </c>
      <c r="AP391">
        <f>IF($AG391="","",LEN($R391))</f>
        <v/>
      </c>
      <c r="AQ391">
        <f>IF($AG391="","",TRIM(IF(COUNTIFS(Calc!$B$2:$B$1601,ROW()-1,Calc!$C$2:$C$1601,"&lt;1")&gt;0,"Ada PO tanpa Koli - cek TMP. ","")&amp;IF(LEN($R391)&gt;500,"R &gt; 500 karakter.","")))</f>
        <v/>
      </c>
    </row>
    <row r="392">
      <c r="A392">
        <f>IF($AG392="","",INDEX('TMP Paste'!$B$2:$B$1601,$AG392))</f>
        <v/>
      </c>
      <c r="B392">
        <f>IF($AG392="","",Config!$B$14)</f>
        <v/>
      </c>
      <c r="C392">
        <f>IF($AG392="","",Config!$B$15)</f>
        <v/>
      </c>
      <c r="D392">
        <f>IF($AG392="","",INDEX('TMP Paste'!$B$2:$B$1601,$AG392))</f>
        <v/>
      </c>
      <c r="E392">
        <f>IF($AG392="","",Config!$B$27)</f>
        <v/>
      </c>
      <c r="F392">
        <f>IF($AG392="","",Config!$B$9)</f>
        <v/>
      </c>
      <c r="G392">
        <f>IF($AG392="","",Config!$B$10)</f>
        <v/>
      </c>
      <c r="H392">
        <f>IF($AG392="","",Config!$B$11)</f>
        <v/>
      </c>
      <c r="I392">
        <f>IF($AG392="","",Config!$B$16)</f>
        <v/>
      </c>
      <c r="J392">
        <f>IF($AG392="","",INDEX('TMP Paste'!$A$2:$A$1601,$AG392))</f>
        <v/>
      </c>
      <c r="K392">
        <f>IF($AG392="","",INDEX('TMP Paste'!$L$2:$L$1601,$AG392))</f>
        <v/>
      </c>
      <c r="L392">
        <f>IF($AG392="","",INDEX('TMP Paste'!$I$2:$I$1601,$AG392))</f>
        <v/>
      </c>
      <c r="M392">
        <f>IF($AG392="","",Config!$B$16)</f>
        <v/>
      </c>
      <c r="N392">
        <f>IF($AG392="","","")</f>
        <v/>
      </c>
      <c r="O392">
        <f>IF($AG392="","",INDEX('TMP Paste'!$K$2:$K$1601,$AG392))</f>
        <v/>
      </c>
      <c r="P392">
        <f>IF($AG392="","","")</f>
        <v/>
      </c>
      <c r="Q392">
        <f>IF($AG392="","",INDEX('TMP Paste'!$J$2:$J$1601,$AG392))</f>
        <v/>
      </c>
      <c r="R392">
        <f>IF($AG392="","",Config!$B$24)</f>
        <v/>
      </c>
      <c r="S392">
        <f>IF($AG392="","",TEXT(Config!$B$4,"yyyy-mm-dd"))</f>
        <v/>
      </c>
      <c r="T392">
        <f>IF($AG392="","",Config!$B$17)</f>
        <v/>
      </c>
      <c r="U392">
        <f>IF($AG392="","",Config!$B$18)</f>
        <v/>
      </c>
      <c r="V392">
        <f>IF($AG392="","",Config!$B$19)</f>
        <v/>
      </c>
      <c r="W392">
        <f>IF($AG392="","",INDEX('TMP Paste'!$C$2:$C$1601,$AG392))</f>
        <v/>
      </c>
      <c r="X392">
        <f>IF($AG392="","",Config!$B$29)</f>
        <v/>
      </c>
      <c r="Y392">
        <f>IF($AH392="","",INDEX(Calc!$I$2:$I$1601,$AH392)&amp;" - "&amp;INDEX(Calc!$D$2:$D$1601,$AH392)&amp;" koli")</f>
        <v/>
      </c>
      <c r="Z392">
        <f>IF($AG392="","",Config!$B$21)</f>
        <v/>
      </c>
      <c r="AA392">
        <f>IF($AG392="","",Config!$B$22)</f>
        <v/>
      </c>
      <c r="AB392">
        <f>IF($AH392="","",INDEX(Calc!$D$2:$D$1601,$AH392))</f>
        <v/>
      </c>
      <c r="AC392">
        <f>IF($AH392="","",INDEX(Calc!$G$2:$G$1601,$AH392))</f>
        <v/>
      </c>
      <c r="AD392">
        <f>IF($AG392="","",Config!$B$23)</f>
        <v/>
      </c>
      <c r="AE392">
        <f>IF($AG392="","",Config!$B$28)</f>
        <v/>
      </c>
      <c r="AG392">
        <f>IFERROR(MATCH(ROW()-1,Calc!$J$2:$J$1601,0),"")</f>
        <v/>
      </c>
      <c r="AH392">
        <f>IFERROR(MATCH(ROW()-1,Calc!$K$2:$K$1601,0),"")</f>
        <v/>
      </c>
      <c r="AI392">
        <f>IF($AG392="","",SUMIF($AG$2:$AG392,$AG392,$AH$2:$AH392))</f>
        <v/>
      </c>
      <c r="AJ392">
        <f>IF('TMP Paste'!$F392="","",IF('TMP Paste'!$B392="",$AJ391,'TMP Paste'!$B392))</f>
        <v/>
      </c>
      <c r="AK392">
        <f>IF('TMP Paste'!$F392="","",N('TMP Paste'!$G392))</f>
        <v/>
      </c>
      <c r="AL392">
        <f>IF('TMP Paste'!$F392="","",IF('TMP Paste'!$M392="",$AL391,'TMP Paste'!$M392))</f>
        <v/>
      </c>
      <c r="AM392">
        <f>IF('TMP Paste'!$F392="","",IF('TMP Paste'!$N392="",$AM391,'TMP Paste'!$N392))</f>
        <v/>
      </c>
      <c r="AN392">
        <f>IF('TMP Paste'!$F392="","",IF('TMP Paste'!$O392="",$AN391,'TMP Paste'!$O392))</f>
        <v/>
      </c>
      <c r="AO392">
        <f>IF('TMP Paste'!$F392="","",IF('TMP Paste'!$P392="",$AO391,'TMP Paste'!$P392))</f>
        <v/>
      </c>
      <c r="AP392">
        <f>IF($AG392="","",LEN($R392))</f>
        <v/>
      </c>
      <c r="AQ392">
        <f>IF($AG392="","",TRIM(IF(COUNTIFS(Calc!$B$2:$B$1601,ROW()-1,Calc!$C$2:$C$1601,"&lt;1")&gt;0,"Ada PO tanpa Koli - cek TMP. ","")&amp;IF(LEN($R392)&gt;500,"R &gt; 500 karakter.","")))</f>
        <v/>
      </c>
    </row>
    <row r="393">
      <c r="A393">
        <f>IF($AG393="","",INDEX('TMP Paste'!$B$2:$B$1601,$AG393))</f>
        <v/>
      </c>
      <c r="B393">
        <f>IF($AG393="","",Config!$B$14)</f>
        <v/>
      </c>
      <c r="C393">
        <f>IF($AG393="","",Config!$B$15)</f>
        <v/>
      </c>
      <c r="D393">
        <f>IF($AG393="","",INDEX('TMP Paste'!$B$2:$B$1601,$AG393))</f>
        <v/>
      </c>
      <c r="E393">
        <f>IF($AG393="","",Config!$B$27)</f>
        <v/>
      </c>
      <c r="F393">
        <f>IF($AG393="","",Config!$B$9)</f>
        <v/>
      </c>
      <c r="G393">
        <f>IF($AG393="","",Config!$B$10)</f>
        <v/>
      </c>
      <c r="H393">
        <f>IF($AG393="","",Config!$B$11)</f>
        <v/>
      </c>
      <c r="I393">
        <f>IF($AG393="","",Config!$B$16)</f>
        <v/>
      </c>
      <c r="J393">
        <f>IF($AG393="","",INDEX('TMP Paste'!$A$2:$A$1601,$AG393))</f>
        <v/>
      </c>
      <c r="K393">
        <f>IF($AG393="","",INDEX('TMP Paste'!$L$2:$L$1601,$AG393))</f>
        <v/>
      </c>
      <c r="L393">
        <f>IF($AG393="","",INDEX('TMP Paste'!$I$2:$I$1601,$AG393))</f>
        <v/>
      </c>
      <c r="M393">
        <f>IF($AG393="","",Config!$B$16)</f>
        <v/>
      </c>
      <c r="N393">
        <f>IF($AG393="","","")</f>
        <v/>
      </c>
      <c r="O393">
        <f>IF($AG393="","",INDEX('TMP Paste'!$K$2:$K$1601,$AG393))</f>
        <v/>
      </c>
      <c r="P393">
        <f>IF($AG393="","","")</f>
        <v/>
      </c>
      <c r="Q393">
        <f>IF($AG393="","",INDEX('TMP Paste'!$J$2:$J$1601,$AG393))</f>
        <v/>
      </c>
      <c r="R393">
        <f>IF($AG393="","",Config!$B$24)</f>
        <v/>
      </c>
      <c r="S393">
        <f>IF($AG393="","",TEXT(Config!$B$4,"yyyy-mm-dd"))</f>
        <v/>
      </c>
      <c r="T393">
        <f>IF($AG393="","",Config!$B$17)</f>
        <v/>
      </c>
      <c r="U393">
        <f>IF($AG393="","",Config!$B$18)</f>
        <v/>
      </c>
      <c r="V393">
        <f>IF($AG393="","",Config!$B$19)</f>
        <v/>
      </c>
      <c r="W393">
        <f>IF($AG393="","",INDEX('TMP Paste'!$C$2:$C$1601,$AG393))</f>
        <v/>
      </c>
      <c r="X393">
        <f>IF($AG393="","",Config!$B$29)</f>
        <v/>
      </c>
      <c r="Y393">
        <f>IF($AH393="","",INDEX(Calc!$I$2:$I$1601,$AH393)&amp;" - "&amp;INDEX(Calc!$D$2:$D$1601,$AH393)&amp;" koli")</f>
        <v/>
      </c>
      <c r="Z393">
        <f>IF($AG393="","",Config!$B$21)</f>
        <v/>
      </c>
      <c r="AA393">
        <f>IF($AG393="","",Config!$B$22)</f>
        <v/>
      </c>
      <c r="AB393">
        <f>IF($AH393="","",INDEX(Calc!$D$2:$D$1601,$AH393))</f>
        <v/>
      </c>
      <c r="AC393">
        <f>IF($AH393="","",INDEX(Calc!$G$2:$G$1601,$AH393))</f>
        <v/>
      </c>
      <c r="AD393">
        <f>IF($AG393="","",Config!$B$23)</f>
        <v/>
      </c>
      <c r="AE393">
        <f>IF($AG393="","",Config!$B$28)</f>
        <v/>
      </c>
      <c r="AG393">
        <f>IFERROR(MATCH(ROW()-1,Calc!$J$2:$J$1601,0),"")</f>
        <v/>
      </c>
      <c r="AH393">
        <f>IFERROR(MATCH(ROW()-1,Calc!$K$2:$K$1601,0),"")</f>
        <v/>
      </c>
      <c r="AI393">
        <f>IF($AG393="","",SUMIF($AG$2:$AG393,$AG393,$AH$2:$AH393))</f>
        <v/>
      </c>
      <c r="AJ393">
        <f>IF('TMP Paste'!$F393="","",IF('TMP Paste'!$B393="",$AJ392,'TMP Paste'!$B393))</f>
        <v/>
      </c>
      <c r="AK393">
        <f>IF('TMP Paste'!$F393="","",N('TMP Paste'!$G393))</f>
        <v/>
      </c>
      <c r="AL393">
        <f>IF('TMP Paste'!$F393="","",IF('TMP Paste'!$M393="",$AL392,'TMP Paste'!$M393))</f>
        <v/>
      </c>
      <c r="AM393">
        <f>IF('TMP Paste'!$F393="","",IF('TMP Paste'!$N393="",$AM392,'TMP Paste'!$N393))</f>
        <v/>
      </c>
      <c r="AN393">
        <f>IF('TMP Paste'!$F393="","",IF('TMP Paste'!$O393="",$AN392,'TMP Paste'!$O393))</f>
        <v/>
      </c>
      <c r="AO393">
        <f>IF('TMP Paste'!$F393="","",IF('TMP Paste'!$P393="",$AO392,'TMP Paste'!$P393))</f>
        <v/>
      </c>
      <c r="AP393">
        <f>IF($AG393="","",LEN($R393))</f>
        <v/>
      </c>
      <c r="AQ393">
        <f>IF($AG393="","",TRIM(IF(COUNTIFS(Calc!$B$2:$B$1601,ROW()-1,Calc!$C$2:$C$1601,"&lt;1")&gt;0,"Ada PO tanpa Koli - cek TMP. ","")&amp;IF(LEN($R393)&gt;500,"R &gt; 500 karakter.","")))</f>
        <v/>
      </c>
    </row>
    <row r="394">
      <c r="A394">
        <f>IF($AG394="","",INDEX('TMP Paste'!$B$2:$B$1601,$AG394))</f>
        <v/>
      </c>
      <c r="B394">
        <f>IF($AG394="","",Config!$B$14)</f>
        <v/>
      </c>
      <c r="C394">
        <f>IF($AG394="","",Config!$B$15)</f>
        <v/>
      </c>
      <c r="D394">
        <f>IF($AG394="","",INDEX('TMP Paste'!$B$2:$B$1601,$AG394))</f>
        <v/>
      </c>
      <c r="E394">
        <f>IF($AG394="","",Config!$B$27)</f>
        <v/>
      </c>
      <c r="F394">
        <f>IF($AG394="","",Config!$B$9)</f>
        <v/>
      </c>
      <c r="G394">
        <f>IF($AG394="","",Config!$B$10)</f>
        <v/>
      </c>
      <c r="H394">
        <f>IF($AG394="","",Config!$B$11)</f>
        <v/>
      </c>
      <c r="I394">
        <f>IF($AG394="","",Config!$B$16)</f>
        <v/>
      </c>
      <c r="J394">
        <f>IF($AG394="","",INDEX('TMP Paste'!$A$2:$A$1601,$AG394))</f>
        <v/>
      </c>
      <c r="K394">
        <f>IF($AG394="","",INDEX('TMP Paste'!$L$2:$L$1601,$AG394))</f>
        <v/>
      </c>
      <c r="L394">
        <f>IF($AG394="","",INDEX('TMP Paste'!$I$2:$I$1601,$AG394))</f>
        <v/>
      </c>
      <c r="M394">
        <f>IF($AG394="","",Config!$B$16)</f>
        <v/>
      </c>
      <c r="N394">
        <f>IF($AG394="","","")</f>
        <v/>
      </c>
      <c r="O394">
        <f>IF($AG394="","",INDEX('TMP Paste'!$K$2:$K$1601,$AG394))</f>
        <v/>
      </c>
      <c r="P394">
        <f>IF($AG394="","","")</f>
        <v/>
      </c>
      <c r="Q394">
        <f>IF($AG394="","",INDEX('TMP Paste'!$J$2:$J$1601,$AG394))</f>
        <v/>
      </c>
      <c r="R394">
        <f>IF($AG394="","",Config!$B$24)</f>
        <v/>
      </c>
      <c r="S394">
        <f>IF($AG394="","",TEXT(Config!$B$4,"yyyy-mm-dd"))</f>
        <v/>
      </c>
      <c r="T394">
        <f>IF($AG394="","",Config!$B$17)</f>
        <v/>
      </c>
      <c r="U394">
        <f>IF($AG394="","",Config!$B$18)</f>
        <v/>
      </c>
      <c r="V394">
        <f>IF($AG394="","",Config!$B$19)</f>
        <v/>
      </c>
      <c r="W394">
        <f>IF($AG394="","",INDEX('TMP Paste'!$C$2:$C$1601,$AG394))</f>
        <v/>
      </c>
      <c r="X394">
        <f>IF($AG394="","",Config!$B$29)</f>
        <v/>
      </c>
      <c r="Y394">
        <f>IF($AH394="","",INDEX(Calc!$I$2:$I$1601,$AH394)&amp;" - "&amp;INDEX(Calc!$D$2:$D$1601,$AH394)&amp;" koli")</f>
        <v/>
      </c>
      <c r="Z394">
        <f>IF($AG394="","",Config!$B$21)</f>
        <v/>
      </c>
      <c r="AA394">
        <f>IF($AG394="","",Config!$B$22)</f>
        <v/>
      </c>
      <c r="AB394">
        <f>IF($AH394="","",INDEX(Calc!$D$2:$D$1601,$AH394))</f>
        <v/>
      </c>
      <c r="AC394">
        <f>IF($AH394="","",INDEX(Calc!$G$2:$G$1601,$AH394))</f>
        <v/>
      </c>
      <c r="AD394">
        <f>IF($AG394="","",Config!$B$23)</f>
        <v/>
      </c>
      <c r="AE394">
        <f>IF($AG394="","",Config!$B$28)</f>
        <v/>
      </c>
      <c r="AG394">
        <f>IFERROR(MATCH(ROW()-1,Calc!$J$2:$J$1601,0),"")</f>
        <v/>
      </c>
      <c r="AH394">
        <f>IFERROR(MATCH(ROW()-1,Calc!$K$2:$K$1601,0),"")</f>
        <v/>
      </c>
      <c r="AI394">
        <f>IF($AG394="","",SUMIF($AG$2:$AG394,$AG394,$AH$2:$AH394))</f>
        <v/>
      </c>
      <c r="AJ394">
        <f>IF('TMP Paste'!$F394="","",IF('TMP Paste'!$B394="",$AJ393,'TMP Paste'!$B394))</f>
        <v/>
      </c>
      <c r="AK394">
        <f>IF('TMP Paste'!$F394="","",N('TMP Paste'!$G394))</f>
        <v/>
      </c>
      <c r="AL394">
        <f>IF('TMP Paste'!$F394="","",IF('TMP Paste'!$M394="",$AL393,'TMP Paste'!$M394))</f>
        <v/>
      </c>
      <c r="AM394">
        <f>IF('TMP Paste'!$F394="","",IF('TMP Paste'!$N394="",$AM393,'TMP Paste'!$N394))</f>
        <v/>
      </c>
      <c r="AN394">
        <f>IF('TMP Paste'!$F394="","",IF('TMP Paste'!$O394="",$AN393,'TMP Paste'!$O394))</f>
        <v/>
      </c>
      <c r="AO394">
        <f>IF('TMP Paste'!$F394="","",IF('TMP Paste'!$P394="",$AO393,'TMP Paste'!$P394))</f>
        <v/>
      </c>
      <c r="AP394">
        <f>IF($AG394="","",LEN($R394))</f>
        <v/>
      </c>
      <c r="AQ394">
        <f>IF($AG394="","",TRIM(IF(COUNTIFS(Calc!$B$2:$B$1601,ROW()-1,Calc!$C$2:$C$1601,"&lt;1")&gt;0,"Ada PO tanpa Koli - cek TMP. ","")&amp;IF(LEN($R394)&gt;500,"R &gt; 500 karakter.","")))</f>
        <v/>
      </c>
    </row>
    <row r="395">
      <c r="A395">
        <f>IF($AG395="","",INDEX('TMP Paste'!$B$2:$B$1601,$AG395))</f>
        <v/>
      </c>
      <c r="B395">
        <f>IF($AG395="","",Config!$B$14)</f>
        <v/>
      </c>
      <c r="C395">
        <f>IF($AG395="","",Config!$B$15)</f>
        <v/>
      </c>
      <c r="D395">
        <f>IF($AG395="","",INDEX('TMP Paste'!$B$2:$B$1601,$AG395))</f>
        <v/>
      </c>
      <c r="E395">
        <f>IF($AG395="","",Config!$B$27)</f>
        <v/>
      </c>
      <c r="F395">
        <f>IF($AG395="","",Config!$B$9)</f>
        <v/>
      </c>
      <c r="G395">
        <f>IF($AG395="","",Config!$B$10)</f>
        <v/>
      </c>
      <c r="H395">
        <f>IF($AG395="","",Config!$B$11)</f>
        <v/>
      </c>
      <c r="I395">
        <f>IF($AG395="","",Config!$B$16)</f>
        <v/>
      </c>
      <c r="J395">
        <f>IF($AG395="","",INDEX('TMP Paste'!$A$2:$A$1601,$AG395))</f>
        <v/>
      </c>
      <c r="K395">
        <f>IF($AG395="","",INDEX('TMP Paste'!$L$2:$L$1601,$AG395))</f>
        <v/>
      </c>
      <c r="L395">
        <f>IF($AG395="","",INDEX('TMP Paste'!$I$2:$I$1601,$AG395))</f>
        <v/>
      </c>
      <c r="M395">
        <f>IF($AG395="","",Config!$B$16)</f>
        <v/>
      </c>
      <c r="N395">
        <f>IF($AG395="","","")</f>
        <v/>
      </c>
      <c r="O395">
        <f>IF($AG395="","",INDEX('TMP Paste'!$K$2:$K$1601,$AG395))</f>
        <v/>
      </c>
      <c r="P395">
        <f>IF($AG395="","","")</f>
        <v/>
      </c>
      <c r="Q395">
        <f>IF($AG395="","",INDEX('TMP Paste'!$J$2:$J$1601,$AG395))</f>
        <v/>
      </c>
      <c r="R395">
        <f>IF($AG395="","",Config!$B$24)</f>
        <v/>
      </c>
      <c r="S395">
        <f>IF($AG395="","",TEXT(Config!$B$4,"yyyy-mm-dd"))</f>
        <v/>
      </c>
      <c r="T395">
        <f>IF($AG395="","",Config!$B$17)</f>
        <v/>
      </c>
      <c r="U395">
        <f>IF($AG395="","",Config!$B$18)</f>
        <v/>
      </c>
      <c r="V395">
        <f>IF($AG395="","",Config!$B$19)</f>
        <v/>
      </c>
      <c r="W395">
        <f>IF($AG395="","",INDEX('TMP Paste'!$C$2:$C$1601,$AG395))</f>
        <v/>
      </c>
      <c r="X395">
        <f>IF($AG395="","",Config!$B$29)</f>
        <v/>
      </c>
      <c r="Y395">
        <f>IF($AH395="","",INDEX(Calc!$I$2:$I$1601,$AH395)&amp;" - "&amp;INDEX(Calc!$D$2:$D$1601,$AH395)&amp;" koli")</f>
        <v/>
      </c>
      <c r="Z395">
        <f>IF($AG395="","",Config!$B$21)</f>
        <v/>
      </c>
      <c r="AA395">
        <f>IF($AG395="","",Config!$B$22)</f>
        <v/>
      </c>
      <c r="AB395">
        <f>IF($AH395="","",INDEX(Calc!$D$2:$D$1601,$AH395))</f>
        <v/>
      </c>
      <c r="AC395">
        <f>IF($AH395="","",INDEX(Calc!$G$2:$G$1601,$AH395))</f>
        <v/>
      </c>
      <c r="AD395">
        <f>IF($AG395="","",Config!$B$23)</f>
        <v/>
      </c>
      <c r="AE395">
        <f>IF($AG395="","",Config!$B$28)</f>
        <v/>
      </c>
      <c r="AG395">
        <f>IFERROR(MATCH(ROW()-1,Calc!$J$2:$J$1601,0),"")</f>
        <v/>
      </c>
      <c r="AH395">
        <f>IFERROR(MATCH(ROW()-1,Calc!$K$2:$K$1601,0),"")</f>
        <v/>
      </c>
      <c r="AI395">
        <f>IF($AG395="","",SUMIF($AG$2:$AG395,$AG395,$AH$2:$AH395))</f>
        <v/>
      </c>
      <c r="AJ395">
        <f>IF('TMP Paste'!$F395="","",IF('TMP Paste'!$B395="",$AJ394,'TMP Paste'!$B395))</f>
        <v/>
      </c>
      <c r="AK395">
        <f>IF('TMP Paste'!$F395="","",N('TMP Paste'!$G395))</f>
        <v/>
      </c>
      <c r="AL395">
        <f>IF('TMP Paste'!$F395="","",IF('TMP Paste'!$M395="",$AL394,'TMP Paste'!$M395))</f>
        <v/>
      </c>
      <c r="AM395">
        <f>IF('TMP Paste'!$F395="","",IF('TMP Paste'!$N395="",$AM394,'TMP Paste'!$N395))</f>
        <v/>
      </c>
      <c r="AN395">
        <f>IF('TMP Paste'!$F395="","",IF('TMP Paste'!$O395="",$AN394,'TMP Paste'!$O395))</f>
        <v/>
      </c>
      <c r="AO395">
        <f>IF('TMP Paste'!$F395="","",IF('TMP Paste'!$P395="",$AO394,'TMP Paste'!$P395))</f>
        <v/>
      </c>
      <c r="AP395">
        <f>IF($AG395="","",LEN($R395))</f>
        <v/>
      </c>
      <c r="AQ395">
        <f>IF($AG395="","",TRIM(IF(COUNTIFS(Calc!$B$2:$B$1601,ROW()-1,Calc!$C$2:$C$1601,"&lt;1")&gt;0,"Ada PO tanpa Koli - cek TMP. ","")&amp;IF(LEN($R395)&gt;500,"R &gt; 500 karakter.","")))</f>
        <v/>
      </c>
    </row>
    <row r="396">
      <c r="A396">
        <f>IF($AG396="","",INDEX('TMP Paste'!$B$2:$B$1601,$AG396))</f>
        <v/>
      </c>
      <c r="B396">
        <f>IF($AG396="","",Config!$B$14)</f>
        <v/>
      </c>
      <c r="C396">
        <f>IF($AG396="","",Config!$B$15)</f>
        <v/>
      </c>
      <c r="D396">
        <f>IF($AG396="","",INDEX('TMP Paste'!$B$2:$B$1601,$AG396))</f>
        <v/>
      </c>
      <c r="E396">
        <f>IF($AG396="","",Config!$B$27)</f>
        <v/>
      </c>
      <c r="F396">
        <f>IF($AG396="","",Config!$B$9)</f>
        <v/>
      </c>
      <c r="G396">
        <f>IF($AG396="","",Config!$B$10)</f>
        <v/>
      </c>
      <c r="H396">
        <f>IF($AG396="","",Config!$B$11)</f>
        <v/>
      </c>
      <c r="I396">
        <f>IF($AG396="","",Config!$B$16)</f>
        <v/>
      </c>
      <c r="J396">
        <f>IF($AG396="","",INDEX('TMP Paste'!$A$2:$A$1601,$AG396))</f>
        <v/>
      </c>
      <c r="K396">
        <f>IF($AG396="","",INDEX('TMP Paste'!$L$2:$L$1601,$AG396))</f>
        <v/>
      </c>
      <c r="L396">
        <f>IF($AG396="","",INDEX('TMP Paste'!$I$2:$I$1601,$AG396))</f>
        <v/>
      </c>
      <c r="M396">
        <f>IF($AG396="","",Config!$B$16)</f>
        <v/>
      </c>
      <c r="N396">
        <f>IF($AG396="","","")</f>
        <v/>
      </c>
      <c r="O396">
        <f>IF($AG396="","",INDEX('TMP Paste'!$K$2:$K$1601,$AG396))</f>
        <v/>
      </c>
      <c r="P396">
        <f>IF($AG396="","","")</f>
        <v/>
      </c>
      <c r="Q396">
        <f>IF($AG396="","",INDEX('TMP Paste'!$J$2:$J$1601,$AG396))</f>
        <v/>
      </c>
      <c r="R396">
        <f>IF($AG396="","",Config!$B$24)</f>
        <v/>
      </c>
      <c r="S396">
        <f>IF($AG396="","",TEXT(Config!$B$4,"yyyy-mm-dd"))</f>
        <v/>
      </c>
      <c r="T396">
        <f>IF($AG396="","",Config!$B$17)</f>
        <v/>
      </c>
      <c r="U396">
        <f>IF($AG396="","",Config!$B$18)</f>
        <v/>
      </c>
      <c r="V396">
        <f>IF($AG396="","",Config!$B$19)</f>
        <v/>
      </c>
      <c r="W396">
        <f>IF($AG396="","",INDEX('TMP Paste'!$C$2:$C$1601,$AG396))</f>
        <v/>
      </c>
      <c r="X396">
        <f>IF($AG396="","",Config!$B$29)</f>
        <v/>
      </c>
      <c r="Y396">
        <f>IF($AH396="","",INDEX(Calc!$I$2:$I$1601,$AH396)&amp;" - "&amp;INDEX(Calc!$D$2:$D$1601,$AH396)&amp;" koli")</f>
        <v/>
      </c>
      <c r="Z396">
        <f>IF($AG396="","",Config!$B$21)</f>
        <v/>
      </c>
      <c r="AA396">
        <f>IF($AG396="","",Config!$B$22)</f>
        <v/>
      </c>
      <c r="AB396">
        <f>IF($AH396="","",INDEX(Calc!$D$2:$D$1601,$AH396))</f>
        <v/>
      </c>
      <c r="AC396">
        <f>IF($AH396="","",INDEX(Calc!$G$2:$G$1601,$AH396))</f>
        <v/>
      </c>
      <c r="AD396">
        <f>IF($AG396="","",Config!$B$23)</f>
        <v/>
      </c>
      <c r="AE396">
        <f>IF($AG396="","",Config!$B$28)</f>
        <v/>
      </c>
      <c r="AG396">
        <f>IFERROR(MATCH(ROW()-1,Calc!$J$2:$J$1601,0),"")</f>
        <v/>
      </c>
      <c r="AH396">
        <f>IFERROR(MATCH(ROW()-1,Calc!$K$2:$K$1601,0),"")</f>
        <v/>
      </c>
      <c r="AI396">
        <f>IF($AG396="","",SUMIF($AG$2:$AG396,$AG396,$AH$2:$AH396))</f>
        <v/>
      </c>
      <c r="AJ396">
        <f>IF('TMP Paste'!$F396="","",IF('TMP Paste'!$B396="",$AJ395,'TMP Paste'!$B396))</f>
        <v/>
      </c>
      <c r="AK396">
        <f>IF('TMP Paste'!$F396="","",N('TMP Paste'!$G396))</f>
        <v/>
      </c>
      <c r="AL396">
        <f>IF('TMP Paste'!$F396="","",IF('TMP Paste'!$M396="",$AL395,'TMP Paste'!$M396))</f>
        <v/>
      </c>
      <c r="AM396">
        <f>IF('TMP Paste'!$F396="","",IF('TMP Paste'!$N396="",$AM395,'TMP Paste'!$N396))</f>
        <v/>
      </c>
      <c r="AN396">
        <f>IF('TMP Paste'!$F396="","",IF('TMP Paste'!$O396="",$AN395,'TMP Paste'!$O396))</f>
        <v/>
      </c>
      <c r="AO396">
        <f>IF('TMP Paste'!$F396="","",IF('TMP Paste'!$P396="",$AO395,'TMP Paste'!$P396))</f>
        <v/>
      </c>
      <c r="AP396">
        <f>IF($AG396="","",LEN($R396))</f>
        <v/>
      </c>
      <c r="AQ396">
        <f>IF($AG396="","",TRIM(IF(COUNTIFS(Calc!$B$2:$B$1601,ROW()-1,Calc!$C$2:$C$1601,"&lt;1")&gt;0,"Ada PO tanpa Koli - cek TMP. ","")&amp;IF(LEN($R396)&gt;500,"R &gt; 500 karakter.","")))</f>
        <v/>
      </c>
    </row>
    <row r="397">
      <c r="A397">
        <f>IF($AG397="","",INDEX('TMP Paste'!$B$2:$B$1601,$AG397))</f>
        <v/>
      </c>
      <c r="B397">
        <f>IF($AG397="","",Config!$B$14)</f>
        <v/>
      </c>
      <c r="C397">
        <f>IF($AG397="","",Config!$B$15)</f>
        <v/>
      </c>
      <c r="D397">
        <f>IF($AG397="","",INDEX('TMP Paste'!$B$2:$B$1601,$AG397))</f>
        <v/>
      </c>
      <c r="E397">
        <f>IF($AG397="","",Config!$B$27)</f>
        <v/>
      </c>
      <c r="F397">
        <f>IF($AG397="","",Config!$B$9)</f>
        <v/>
      </c>
      <c r="G397">
        <f>IF($AG397="","",Config!$B$10)</f>
        <v/>
      </c>
      <c r="H397">
        <f>IF($AG397="","",Config!$B$11)</f>
        <v/>
      </c>
      <c r="I397">
        <f>IF($AG397="","",Config!$B$16)</f>
        <v/>
      </c>
      <c r="J397">
        <f>IF($AG397="","",INDEX('TMP Paste'!$A$2:$A$1601,$AG397))</f>
        <v/>
      </c>
      <c r="K397">
        <f>IF($AG397="","",INDEX('TMP Paste'!$L$2:$L$1601,$AG397))</f>
        <v/>
      </c>
      <c r="L397">
        <f>IF($AG397="","",INDEX('TMP Paste'!$I$2:$I$1601,$AG397))</f>
        <v/>
      </c>
      <c r="M397">
        <f>IF($AG397="","",Config!$B$16)</f>
        <v/>
      </c>
      <c r="N397">
        <f>IF($AG397="","","")</f>
        <v/>
      </c>
      <c r="O397">
        <f>IF($AG397="","",INDEX('TMP Paste'!$K$2:$K$1601,$AG397))</f>
        <v/>
      </c>
      <c r="P397">
        <f>IF($AG397="","","")</f>
        <v/>
      </c>
      <c r="Q397">
        <f>IF($AG397="","",INDEX('TMP Paste'!$J$2:$J$1601,$AG397))</f>
        <v/>
      </c>
      <c r="R397">
        <f>IF($AG397="","",Config!$B$24)</f>
        <v/>
      </c>
      <c r="S397">
        <f>IF($AG397="","",TEXT(Config!$B$4,"yyyy-mm-dd"))</f>
        <v/>
      </c>
      <c r="T397">
        <f>IF($AG397="","",Config!$B$17)</f>
        <v/>
      </c>
      <c r="U397">
        <f>IF($AG397="","",Config!$B$18)</f>
        <v/>
      </c>
      <c r="V397">
        <f>IF($AG397="","",Config!$B$19)</f>
        <v/>
      </c>
      <c r="W397">
        <f>IF($AG397="","",INDEX('TMP Paste'!$C$2:$C$1601,$AG397))</f>
        <v/>
      </c>
      <c r="X397">
        <f>IF($AG397="","",Config!$B$29)</f>
        <v/>
      </c>
      <c r="Y397">
        <f>IF($AH397="","",INDEX(Calc!$I$2:$I$1601,$AH397)&amp;" - "&amp;INDEX(Calc!$D$2:$D$1601,$AH397)&amp;" koli")</f>
        <v/>
      </c>
      <c r="Z397">
        <f>IF($AG397="","",Config!$B$21)</f>
        <v/>
      </c>
      <c r="AA397">
        <f>IF($AG397="","",Config!$B$22)</f>
        <v/>
      </c>
      <c r="AB397">
        <f>IF($AH397="","",INDEX(Calc!$D$2:$D$1601,$AH397))</f>
        <v/>
      </c>
      <c r="AC397">
        <f>IF($AH397="","",INDEX(Calc!$G$2:$G$1601,$AH397))</f>
        <v/>
      </c>
      <c r="AD397">
        <f>IF($AG397="","",Config!$B$23)</f>
        <v/>
      </c>
      <c r="AE397">
        <f>IF($AG397="","",Config!$B$28)</f>
        <v/>
      </c>
      <c r="AG397">
        <f>IFERROR(MATCH(ROW()-1,Calc!$J$2:$J$1601,0),"")</f>
        <v/>
      </c>
      <c r="AH397">
        <f>IFERROR(MATCH(ROW()-1,Calc!$K$2:$K$1601,0),"")</f>
        <v/>
      </c>
      <c r="AI397">
        <f>IF($AG397="","",SUMIF($AG$2:$AG397,$AG397,$AH$2:$AH397))</f>
        <v/>
      </c>
      <c r="AJ397">
        <f>IF('TMP Paste'!$F397="","",IF('TMP Paste'!$B397="",$AJ396,'TMP Paste'!$B397))</f>
        <v/>
      </c>
      <c r="AK397">
        <f>IF('TMP Paste'!$F397="","",N('TMP Paste'!$G397))</f>
        <v/>
      </c>
      <c r="AL397">
        <f>IF('TMP Paste'!$F397="","",IF('TMP Paste'!$M397="",$AL396,'TMP Paste'!$M397))</f>
        <v/>
      </c>
      <c r="AM397">
        <f>IF('TMP Paste'!$F397="","",IF('TMP Paste'!$N397="",$AM396,'TMP Paste'!$N397))</f>
        <v/>
      </c>
      <c r="AN397">
        <f>IF('TMP Paste'!$F397="","",IF('TMP Paste'!$O397="",$AN396,'TMP Paste'!$O397))</f>
        <v/>
      </c>
      <c r="AO397">
        <f>IF('TMP Paste'!$F397="","",IF('TMP Paste'!$P397="",$AO396,'TMP Paste'!$P397))</f>
        <v/>
      </c>
      <c r="AP397">
        <f>IF($AG397="","",LEN($R397))</f>
        <v/>
      </c>
      <c r="AQ397">
        <f>IF($AG397="","",TRIM(IF(COUNTIFS(Calc!$B$2:$B$1601,ROW()-1,Calc!$C$2:$C$1601,"&lt;1")&gt;0,"Ada PO tanpa Koli - cek TMP. ","")&amp;IF(LEN($R397)&gt;500,"R &gt; 500 karakter.","")))</f>
        <v/>
      </c>
    </row>
    <row r="398">
      <c r="A398">
        <f>IF($AG398="","",INDEX('TMP Paste'!$B$2:$B$1601,$AG398))</f>
        <v/>
      </c>
      <c r="B398">
        <f>IF($AG398="","",Config!$B$14)</f>
        <v/>
      </c>
      <c r="C398">
        <f>IF($AG398="","",Config!$B$15)</f>
        <v/>
      </c>
      <c r="D398">
        <f>IF($AG398="","",INDEX('TMP Paste'!$B$2:$B$1601,$AG398))</f>
        <v/>
      </c>
      <c r="E398">
        <f>IF($AG398="","",Config!$B$27)</f>
        <v/>
      </c>
      <c r="F398">
        <f>IF($AG398="","",Config!$B$9)</f>
        <v/>
      </c>
      <c r="G398">
        <f>IF($AG398="","",Config!$B$10)</f>
        <v/>
      </c>
      <c r="H398">
        <f>IF($AG398="","",Config!$B$11)</f>
        <v/>
      </c>
      <c r="I398">
        <f>IF($AG398="","",Config!$B$16)</f>
        <v/>
      </c>
      <c r="J398">
        <f>IF($AG398="","",INDEX('TMP Paste'!$A$2:$A$1601,$AG398))</f>
        <v/>
      </c>
      <c r="K398">
        <f>IF($AG398="","",INDEX('TMP Paste'!$L$2:$L$1601,$AG398))</f>
        <v/>
      </c>
      <c r="L398">
        <f>IF($AG398="","",INDEX('TMP Paste'!$I$2:$I$1601,$AG398))</f>
        <v/>
      </c>
      <c r="M398">
        <f>IF($AG398="","",Config!$B$16)</f>
        <v/>
      </c>
      <c r="N398">
        <f>IF($AG398="","","")</f>
        <v/>
      </c>
      <c r="O398">
        <f>IF($AG398="","",INDEX('TMP Paste'!$K$2:$K$1601,$AG398))</f>
        <v/>
      </c>
      <c r="P398">
        <f>IF($AG398="","","")</f>
        <v/>
      </c>
      <c r="Q398">
        <f>IF($AG398="","",INDEX('TMP Paste'!$J$2:$J$1601,$AG398))</f>
        <v/>
      </c>
      <c r="R398">
        <f>IF($AG398="","",Config!$B$24)</f>
        <v/>
      </c>
      <c r="S398">
        <f>IF($AG398="","",TEXT(Config!$B$4,"yyyy-mm-dd"))</f>
        <v/>
      </c>
      <c r="T398">
        <f>IF($AG398="","",Config!$B$17)</f>
        <v/>
      </c>
      <c r="U398">
        <f>IF($AG398="","",Config!$B$18)</f>
        <v/>
      </c>
      <c r="V398">
        <f>IF($AG398="","",Config!$B$19)</f>
        <v/>
      </c>
      <c r="W398">
        <f>IF($AG398="","",INDEX('TMP Paste'!$C$2:$C$1601,$AG398))</f>
        <v/>
      </c>
      <c r="X398">
        <f>IF($AG398="","",Config!$B$29)</f>
        <v/>
      </c>
      <c r="Y398">
        <f>IF($AH398="","",INDEX(Calc!$I$2:$I$1601,$AH398)&amp;" - "&amp;INDEX(Calc!$D$2:$D$1601,$AH398)&amp;" koli")</f>
        <v/>
      </c>
      <c r="Z398">
        <f>IF($AG398="","",Config!$B$21)</f>
        <v/>
      </c>
      <c r="AA398">
        <f>IF($AG398="","",Config!$B$22)</f>
        <v/>
      </c>
      <c r="AB398">
        <f>IF($AH398="","",INDEX(Calc!$D$2:$D$1601,$AH398))</f>
        <v/>
      </c>
      <c r="AC398">
        <f>IF($AH398="","",INDEX(Calc!$G$2:$G$1601,$AH398))</f>
        <v/>
      </c>
      <c r="AD398">
        <f>IF($AG398="","",Config!$B$23)</f>
        <v/>
      </c>
      <c r="AE398">
        <f>IF($AG398="","",Config!$B$28)</f>
        <v/>
      </c>
      <c r="AG398">
        <f>IFERROR(MATCH(ROW()-1,Calc!$J$2:$J$1601,0),"")</f>
        <v/>
      </c>
      <c r="AH398">
        <f>IFERROR(MATCH(ROW()-1,Calc!$K$2:$K$1601,0),"")</f>
        <v/>
      </c>
      <c r="AI398">
        <f>IF($AG398="","",SUMIF($AG$2:$AG398,$AG398,$AH$2:$AH398))</f>
        <v/>
      </c>
      <c r="AJ398">
        <f>IF('TMP Paste'!$F398="","",IF('TMP Paste'!$B398="",$AJ397,'TMP Paste'!$B398))</f>
        <v/>
      </c>
      <c r="AK398">
        <f>IF('TMP Paste'!$F398="","",N('TMP Paste'!$G398))</f>
        <v/>
      </c>
      <c r="AL398">
        <f>IF('TMP Paste'!$F398="","",IF('TMP Paste'!$M398="",$AL397,'TMP Paste'!$M398))</f>
        <v/>
      </c>
      <c r="AM398">
        <f>IF('TMP Paste'!$F398="","",IF('TMP Paste'!$N398="",$AM397,'TMP Paste'!$N398))</f>
        <v/>
      </c>
      <c r="AN398">
        <f>IF('TMP Paste'!$F398="","",IF('TMP Paste'!$O398="",$AN397,'TMP Paste'!$O398))</f>
        <v/>
      </c>
      <c r="AO398">
        <f>IF('TMP Paste'!$F398="","",IF('TMP Paste'!$P398="",$AO397,'TMP Paste'!$P398))</f>
        <v/>
      </c>
      <c r="AP398">
        <f>IF($AG398="","",LEN($R398))</f>
        <v/>
      </c>
      <c r="AQ398">
        <f>IF($AG398="","",TRIM(IF(COUNTIFS(Calc!$B$2:$B$1601,ROW()-1,Calc!$C$2:$C$1601,"&lt;1")&gt;0,"Ada PO tanpa Koli - cek TMP. ","")&amp;IF(LEN($R398)&gt;500,"R &gt; 500 karakter.","")))</f>
        <v/>
      </c>
    </row>
    <row r="399">
      <c r="A399">
        <f>IF($AG399="","",INDEX('TMP Paste'!$B$2:$B$1601,$AG399))</f>
        <v/>
      </c>
      <c r="B399">
        <f>IF($AG399="","",Config!$B$14)</f>
        <v/>
      </c>
      <c r="C399">
        <f>IF($AG399="","",Config!$B$15)</f>
        <v/>
      </c>
      <c r="D399">
        <f>IF($AG399="","",INDEX('TMP Paste'!$B$2:$B$1601,$AG399))</f>
        <v/>
      </c>
      <c r="E399">
        <f>IF($AG399="","",Config!$B$27)</f>
        <v/>
      </c>
      <c r="F399">
        <f>IF($AG399="","",Config!$B$9)</f>
        <v/>
      </c>
      <c r="G399">
        <f>IF($AG399="","",Config!$B$10)</f>
        <v/>
      </c>
      <c r="H399">
        <f>IF($AG399="","",Config!$B$11)</f>
        <v/>
      </c>
      <c r="I399">
        <f>IF($AG399="","",Config!$B$16)</f>
        <v/>
      </c>
      <c r="J399">
        <f>IF($AG399="","",INDEX('TMP Paste'!$A$2:$A$1601,$AG399))</f>
        <v/>
      </c>
      <c r="K399">
        <f>IF($AG399="","",INDEX('TMP Paste'!$L$2:$L$1601,$AG399))</f>
        <v/>
      </c>
      <c r="L399">
        <f>IF($AG399="","",INDEX('TMP Paste'!$I$2:$I$1601,$AG399))</f>
        <v/>
      </c>
      <c r="M399">
        <f>IF($AG399="","",Config!$B$16)</f>
        <v/>
      </c>
      <c r="N399">
        <f>IF($AG399="","","")</f>
        <v/>
      </c>
      <c r="O399">
        <f>IF($AG399="","",INDEX('TMP Paste'!$K$2:$K$1601,$AG399))</f>
        <v/>
      </c>
      <c r="P399">
        <f>IF($AG399="","","")</f>
        <v/>
      </c>
      <c r="Q399">
        <f>IF($AG399="","",INDEX('TMP Paste'!$J$2:$J$1601,$AG399))</f>
        <v/>
      </c>
      <c r="R399">
        <f>IF($AG399="","",Config!$B$24)</f>
        <v/>
      </c>
      <c r="S399">
        <f>IF($AG399="","",TEXT(Config!$B$4,"yyyy-mm-dd"))</f>
        <v/>
      </c>
      <c r="T399">
        <f>IF($AG399="","",Config!$B$17)</f>
        <v/>
      </c>
      <c r="U399">
        <f>IF($AG399="","",Config!$B$18)</f>
        <v/>
      </c>
      <c r="V399">
        <f>IF($AG399="","",Config!$B$19)</f>
        <v/>
      </c>
      <c r="W399">
        <f>IF($AG399="","",INDEX('TMP Paste'!$C$2:$C$1601,$AG399))</f>
        <v/>
      </c>
      <c r="X399">
        <f>IF($AG399="","",Config!$B$29)</f>
        <v/>
      </c>
      <c r="Y399">
        <f>IF($AH399="","",INDEX(Calc!$I$2:$I$1601,$AH399)&amp;" - "&amp;INDEX(Calc!$D$2:$D$1601,$AH399)&amp;" koli")</f>
        <v/>
      </c>
      <c r="Z399">
        <f>IF($AG399="","",Config!$B$21)</f>
        <v/>
      </c>
      <c r="AA399">
        <f>IF($AG399="","",Config!$B$22)</f>
        <v/>
      </c>
      <c r="AB399">
        <f>IF($AH399="","",INDEX(Calc!$D$2:$D$1601,$AH399))</f>
        <v/>
      </c>
      <c r="AC399">
        <f>IF($AH399="","",INDEX(Calc!$G$2:$G$1601,$AH399))</f>
        <v/>
      </c>
      <c r="AD399">
        <f>IF($AG399="","",Config!$B$23)</f>
        <v/>
      </c>
      <c r="AE399">
        <f>IF($AG399="","",Config!$B$28)</f>
        <v/>
      </c>
      <c r="AG399">
        <f>IFERROR(MATCH(ROW()-1,Calc!$J$2:$J$1601,0),"")</f>
        <v/>
      </c>
      <c r="AH399">
        <f>IFERROR(MATCH(ROW()-1,Calc!$K$2:$K$1601,0),"")</f>
        <v/>
      </c>
      <c r="AI399">
        <f>IF($AG399="","",SUMIF($AG$2:$AG399,$AG399,$AH$2:$AH399))</f>
        <v/>
      </c>
      <c r="AJ399">
        <f>IF('TMP Paste'!$F399="","",IF('TMP Paste'!$B399="",$AJ398,'TMP Paste'!$B399))</f>
        <v/>
      </c>
      <c r="AK399">
        <f>IF('TMP Paste'!$F399="","",N('TMP Paste'!$G399))</f>
        <v/>
      </c>
      <c r="AL399">
        <f>IF('TMP Paste'!$F399="","",IF('TMP Paste'!$M399="",$AL398,'TMP Paste'!$M399))</f>
        <v/>
      </c>
      <c r="AM399">
        <f>IF('TMP Paste'!$F399="","",IF('TMP Paste'!$N399="",$AM398,'TMP Paste'!$N399))</f>
        <v/>
      </c>
      <c r="AN399">
        <f>IF('TMP Paste'!$F399="","",IF('TMP Paste'!$O399="",$AN398,'TMP Paste'!$O399))</f>
        <v/>
      </c>
      <c r="AO399">
        <f>IF('TMP Paste'!$F399="","",IF('TMP Paste'!$P399="",$AO398,'TMP Paste'!$P399))</f>
        <v/>
      </c>
      <c r="AP399">
        <f>IF($AG399="","",LEN($R399))</f>
        <v/>
      </c>
      <c r="AQ399">
        <f>IF($AG399="","",TRIM(IF(COUNTIFS(Calc!$B$2:$B$1601,ROW()-1,Calc!$C$2:$C$1601,"&lt;1")&gt;0,"Ada PO tanpa Koli - cek TMP. ","")&amp;IF(LEN($R399)&gt;500,"R &gt; 500 karakter.","")))</f>
        <v/>
      </c>
    </row>
    <row r="400">
      <c r="A400">
        <f>IF($AG400="","",INDEX('TMP Paste'!$B$2:$B$1601,$AG400))</f>
        <v/>
      </c>
      <c r="B400">
        <f>IF($AG400="","",Config!$B$14)</f>
        <v/>
      </c>
      <c r="C400">
        <f>IF($AG400="","",Config!$B$15)</f>
        <v/>
      </c>
      <c r="D400">
        <f>IF($AG400="","",INDEX('TMP Paste'!$B$2:$B$1601,$AG400))</f>
        <v/>
      </c>
      <c r="E400">
        <f>IF($AG400="","",Config!$B$27)</f>
        <v/>
      </c>
      <c r="F400">
        <f>IF($AG400="","",Config!$B$9)</f>
        <v/>
      </c>
      <c r="G400">
        <f>IF($AG400="","",Config!$B$10)</f>
        <v/>
      </c>
      <c r="H400">
        <f>IF($AG400="","",Config!$B$11)</f>
        <v/>
      </c>
      <c r="I400">
        <f>IF($AG400="","",Config!$B$16)</f>
        <v/>
      </c>
      <c r="J400">
        <f>IF($AG400="","",INDEX('TMP Paste'!$A$2:$A$1601,$AG400))</f>
        <v/>
      </c>
      <c r="K400">
        <f>IF($AG400="","",INDEX('TMP Paste'!$L$2:$L$1601,$AG400))</f>
        <v/>
      </c>
      <c r="L400">
        <f>IF($AG400="","",INDEX('TMP Paste'!$I$2:$I$1601,$AG400))</f>
        <v/>
      </c>
      <c r="M400">
        <f>IF($AG400="","",Config!$B$16)</f>
        <v/>
      </c>
      <c r="N400">
        <f>IF($AG400="","","")</f>
        <v/>
      </c>
      <c r="O400">
        <f>IF($AG400="","",INDEX('TMP Paste'!$K$2:$K$1601,$AG400))</f>
        <v/>
      </c>
      <c r="P400">
        <f>IF($AG400="","","")</f>
        <v/>
      </c>
      <c r="Q400">
        <f>IF($AG400="","",INDEX('TMP Paste'!$J$2:$J$1601,$AG400))</f>
        <v/>
      </c>
      <c r="R400">
        <f>IF($AG400="","",Config!$B$24)</f>
        <v/>
      </c>
      <c r="S400">
        <f>IF($AG400="","",TEXT(Config!$B$4,"yyyy-mm-dd"))</f>
        <v/>
      </c>
      <c r="T400">
        <f>IF($AG400="","",Config!$B$17)</f>
        <v/>
      </c>
      <c r="U400">
        <f>IF($AG400="","",Config!$B$18)</f>
        <v/>
      </c>
      <c r="V400">
        <f>IF($AG400="","",Config!$B$19)</f>
        <v/>
      </c>
      <c r="W400">
        <f>IF($AG400="","",INDEX('TMP Paste'!$C$2:$C$1601,$AG400))</f>
        <v/>
      </c>
      <c r="X400">
        <f>IF($AG400="","",Config!$B$29)</f>
        <v/>
      </c>
      <c r="Y400">
        <f>IF($AH400="","",INDEX(Calc!$I$2:$I$1601,$AH400)&amp;" - "&amp;INDEX(Calc!$D$2:$D$1601,$AH400)&amp;" koli")</f>
        <v/>
      </c>
      <c r="Z400">
        <f>IF($AG400="","",Config!$B$21)</f>
        <v/>
      </c>
      <c r="AA400">
        <f>IF($AG400="","",Config!$B$22)</f>
        <v/>
      </c>
      <c r="AB400">
        <f>IF($AH400="","",INDEX(Calc!$D$2:$D$1601,$AH400))</f>
        <v/>
      </c>
      <c r="AC400">
        <f>IF($AH400="","",INDEX(Calc!$G$2:$G$1601,$AH400))</f>
        <v/>
      </c>
      <c r="AD400">
        <f>IF($AG400="","",Config!$B$23)</f>
        <v/>
      </c>
      <c r="AE400">
        <f>IF($AG400="","",Config!$B$28)</f>
        <v/>
      </c>
      <c r="AG400">
        <f>IFERROR(MATCH(ROW()-1,Calc!$J$2:$J$1601,0),"")</f>
        <v/>
      </c>
      <c r="AH400">
        <f>IFERROR(MATCH(ROW()-1,Calc!$K$2:$K$1601,0),"")</f>
        <v/>
      </c>
      <c r="AI400">
        <f>IF($AG400="","",SUMIF($AG$2:$AG400,$AG400,$AH$2:$AH400))</f>
        <v/>
      </c>
      <c r="AJ400">
        <f>IF('TMP Paste'!$F400="","",IF('TMP Paste'!$B400="",$AJ399,'TMP Paste'!$B400))</f>
        <v/>
      </c>
      <c r="AK400">
        <f>IF('TMP Paste'!$F400="","",N('TMP Paste'!$G400))</f>
        <v/>
      </c>
      <c r="AL400">
        <f>IF('TMP Paste'!$F400="","",IF('TMP Paste'!$M400="",$AL399,'TMP Paste'!$M400))</f>
        <v/>
      </c>
      <c r="AM400">
        <f>IF('TMP Paste'!$F400="","",IF('TMP Paste'!$N400="",$AM399,'TMP Paste'!$N400))</f>
        <v/>
      </c>
      <c r="AN400">
        <f>IF('TMP Paste'!$F400="","",IF('TMP Paste'!$O400="",$AN399,'TMP Paste'!$O400))</f>
        <v/>
      </c>
      <c r="AO400">
        <f>IF('TMP Paste'!$F400="","",IF('TMP Paste'!$P400="",$AO399,'TMP Paste'!$P400))</f>
        <v/>
      </c>
      <c r="AP400">
        <f>IF($AG400="","",LEN($R400))</f>
        <v/>
      </c>
      <c r="AQ400">
        <f>IF($AG400="","",TRIM(IF(COUNTIFS(Calc!$B$2:$B$1601,ROW()-1,Calc!$C$2:$C$1601,"&lt;1")&gt;0,"Ada PO tanpa Koli - cek TMP. ","")&amp;IF(LEN($R400)&gt;500,"R &gt; 500 karakter.","")))</f>
        <v/>
      </c>
    </row>
    <row r="401">
      <c r="A401">
        <f>IF($AG401="","",INDEX('TMP Paste'!$B$2:$B$1601,$AG401))</f>
        <v/>
      </c>
      <c r="B401">
        <f>IF($AG401="","",Config!$B$14)</f>
        <v/>
      </c>
      <c r="C401">
        <f>IF($AG401="","",Config!$B$15)</f>
        <v/>
      </c>
      <c r="D401">
        <f>IF($AG401="","",INDEX('TMP Paste'!$B$2:$B$1601,$AG401))</f>
        <v/>
      </c>
      <c r="E401">
        <f>IF($AG401="","",Config!$B$27)</f>
        <v/>
      </c>
      <c r="F401">
        <f>IF($AG401="","",Config!$B$9)</f>
        <v/>
      </c>
      <c r="G401">
        <f>IF($AG401="","",Config!$B$10)</f>
        <v/>
      </c>
      <c r="H401">
        <f>IF($AG401="","",Config!$B$11)</f>
        <v/>
      </c>
      <c r="I401">
        <f>IF($AG401="","",Config!$B$16)</f>
        <v/>
      </c>
      <c r="J401">
        <f>IF($AG401="","",INDEX('TMP Paste'!$A$2:$A$1601,$AG401))</f>
        <v/>
      </c>
      <c r="K401">
        <f>IF($AG401="","",INDEX('TMP Paste'!$L$2:$L$1601,$AG401))</f>
        <v/>
      </c>
      <c r="L401">
        <f>IF($AG401="","",INDEX('TMP Paste'!$I$2:$I$1601,$AG401))</f>
        <v/>
      </c>
      <c r="M401">
        <f>IF($AG401="","",Config!$B$16)</f>
        <v/>
      </c>
      <c r="N401">
        <f>IF($AG401="","","")</f>
        <v/>
      </c>
      <c r="O401">
        <f>IF($AG401="","",INDEX('TMP Paste'!$K$2:$K$1601,$AG401))</f>
        <v/>
      </c>
      <c r="P401">
        <f>IF($AG401="","","")</f>
        <v/>
      </c>
      <c r="Q401">
        <f>IF($AG401="","",INDEX('TMP Paste'!$J$2:$J$1601,$AG401))</f>
        <v/>
      </c>
      <c r="R401">
        <f>IF($AG401="","",Config!$B$24)</f>
        <v/>
      </c>
      <c r="S401">
        <f>IF($AG401="","",TEXT(Config!$B$4,"yyyy-mm-dd"))</f>
        <v/>
      </c>
      <c r="T401">
        <f>IF($AG401="","",Config!$B$17)</f>
        <v/>
      </c>
      <c r="U401">
        <f>IF($AG401="","",Config!$B$18)</f>
        <v/>
      </c>
      <c r="V401">
        <f>IF($AG401="","",Config!$B$19)</f>
        <v/>
      </c>
      <c r="W401">
        <f>IF($AG401="","",INDEX('TMP Paste'!$C$2:$C$1601,$AG401))</f>
        <v/>
      </c>
      <c r="X401">
        <f>IF($AG401="","",Config!$B$29)</f>
        <v/>
      </c>
      <c r="Y401">
        <f>IF($AH401="","",INDEX(Calc!$I$2:$I$1601,$AH401)&amp;" - "&amp;INDEX(Calc!$D$2:$D$1601,$AH401)&amp;" koli")</f>
        <v/>
      </c>
      <c r="Z401">
        <f>IF($AG401="","",Config!$B$21)</f>
        <v/>
      </c>
      <c r="AA401">
        <f>IF($AG401="","",Config!$B$22)</f>
        <v/>
      </c>
      <c r="AB401">
        <f>IF($AH401="","",INDEX(Calc!$D$2:$D$1601,$AH401))</f>
        <v/>
      </c>
      <c r="AC401">
        <f>IF($AH401="","",INDEX(Calc!$G$2:$G$1601,$AH401))</f>
        <v/>
      </c>
      <c r="AD401">
        <f>IF($AG401="","",Config!$B$23)</f>
        <v/>
      </c>
      <c r="AE401">
        <f>IF($AG401="","",Config!$B$28)</f>
        <v/>
      </c>
      <c r="AG401">
        <f>IFERROR(MATCH(ROW()-1,Calc!$J$2:$J$1601,0),"")</f>
        <v/>
      </c>
      <c r="AH401">
        <f>IFERROR(MATCH(ROW()-1,Calc!$K$2:$K$1601,0),"")</f>
        <v/>
      </c>
      <c r="AI401">
        <f>IF($AG401="","",SUMIF($AG$2:$AG401,$AG401,$AH$2:$AH401))</f>
        <v/>
      </c>
      <c r="AJ401">
        <f>IF('TMP Paste'!$F401="","",IF('TMP Paste'!$B401="",$AJ400,'TMP Paste'!$B401))</f>
        <v/>
      </c>
      <c r="AK401">
        <f>IF('TMP Paste'!$F401="","",N('TMP Paste'!$G401))</f>
        <v/>
      </c>
      <c r="AL401">
        <f>IF('TMP Paste'!$F401="","",IF('TMP Paste'!$M401="",$AL400,'TMP Paste'!$M401))</f>
        <v/>
      </c>
      <c r="AM401">
        <f>IF('TMP Paste'!$F401="","",IF('TMP Paste'!$N401="",$AM400,'TMP Paste'!$N401))</f>
        <v/>
      </c>
      <c r="AN401">
        <f>IF('TMP Paste'!$F401="","",IF('TMP Paste'!$O401="",$AN400,'TMP Paste'!$O401))</f>
        <v/>
      </c>
      <c r="AO401">
        <f>IF('TMP Paste'!$F401="","",IF('TMP Paste'!$P401="",$AO400,'TMP Paste'!$P401))</f>
        <v/>
      </c>
      <c r="AP401">
        <f>IF($AG401="","",LEN($R401))</f>
        <v/>
      </c>
      <c r="AQ401">
        <f>IF($AG401="","",TRIM(IF(COUNTIFS(Calc!$B$2:$B$1601,ROW()-1,Calc!$C$2:$C$1601,"&lt;1")&gt;0,"Ada PO tanpa Koli - cek TMP. ","")&amp;IF(LEN($R401)&gt;500,"R &gt; 500 karakter.","")))</f>
        <v/>
      </c>
    </row>
    <row r="402">
      <c r="A402">
        <f>IF($AG402="","",INDEX('TMP Paste'!$B$2:$B$1601,$AG402))</f>
        <v/>
      </c>
      <c r="B402">
        <f>IF($AG402="","",Config!$B$14)</f>
        <v/>
      </c>
      <c r="C402">
        <f>IF($AG402="","",Config!$B$15)</f>
        <v/>
      </c>
      <c r="D402">
        <f>IF($AG402="","",INDEX('TMP Paste'!$B$2:$B$1601,$AG402))</f>
        <v/>
      </c>
      <c r="E402">
        <f>IF($AG402="","",Config!$B$27)</f>
        <v/>
      </c>
      <c r="F402">
        <f>IF($AG402="","",Config!$B$9)</f>
        <v/>
      </c>
      <c r="G402">
        <f>IF($AG402="","",Config!$B$10)</f>
        <v/>
      </c>
      <c r="H402">
        <f>IF($AG402="","",Config!$B$11)</f>
        <v/>
      </c>
      <c r="I402">
        <f>IF($AG402="","",Config!$B$16)</f>
        <v/>
      </c>
      <c r="J402">
        <f>IF($AG402="","",INDEX('TMP Paste'!$A$2:$A$1601,$AG402))</f>
        <v/>
      </c>
      <c r="K402">
        <f>IF($AG402="","",INDEX('TMP Paste'!$L$2:$L$1601,$AG402))</f>
        <v/>
      </c>
      <c r="L402">
        <f>IF($AG402="","",INDEX('TMP Paste'!$I$2:$I$1601,$AG402))</f>
        <v/>
      </c>
      <c r="M402">
        <f>IF($AG402="","",Config!$B$16)</f>
        <v/>
      </c>
      <c r="N402">
        <f>IF($AG402="","","")</f>
        <v/>
      </c>
      <c r="O402">
        <f>IF($AG402="","",INDEX('TMP Paste'!$K$2:$K$1601,$AG402))</f>
        <v/>
      </c>
      <c r="P402">
        <f>IF($AG402="","","")</f>
        <v/>
      </c>
      <c r="Q402">
        <f>IF($AG402="","",INDEX('TMP Paste'!$J$2:$J$1601,$AG402))</f>
        <v/>
      </c>
      <c r="R402">
        <f>IF($AG402="","",Config!$B$24)</f>
        <v/>
      </c>
      <c r="S402">
        <f>IF($AG402="","",TEXT(Config!$B$4,"yyyy-mm-dd"))</f>
        <v/>
      </c>
      <c r="T402">
        <f>IF($AG402="","",Config!$B$17)</f>
        <v/>
      </c>
      <c r="U402">
        <f>IF($AG402="","",Config!$B$18)</f>
        <v/>
      </c>
      <c r="V402">
        <f>IF($AG402="","",Config!$B$19)</f>
        <v/>
      </c>
      <c r="W402">
        <f>IF($AG402="","",INDEX('TMP Paste'!$C$2:$C$1601,$AG402))</f>
        <v/>
      </c>
      <c r="X402">
        <f>IF($AG402="","",Config!$B$29)</f>
        <v/>
      </c>
      <c r="Y402">
        <f>IF($AH402="","",INDEX(Calc!$I$2:$I$1601,$AH402)&amp;" - "&amp;INDEX(Calc!$D$2:$D$1601,$AH402)&amp;" koli")</f>
        <v/>
      </c>
      <c r="Z402">
        <f>IF($AG402="","",Config!$B$21)</f>
        <v/>
      </c>
      <c r="AA402">
        <f>IF($AG402="","",Config!$B$22)</f>
        <v/>
      </c>
      <c r="AB402">
        <f>IF($AH402="","",INDEX(Calc!$D$2:$D$1601,$AH402))</f>
        <v/>
      </c>
      <c r="AC402">
        <f>IF($AH402="","",INDEX(Calc!$G$2:$G$1601,$AH402))</f>
        <v/>
      </c>
      <c r="AD402">
        <f>IF($AG402="","",Config!$B$23)</f>
        <v/>
      </c>
      <c r="AE402">
        <f>IF($AG402="","",Config!$B$28)</f>
        <v/>
      </c>
      <c r="AG402">
        <f>IFERROR(MATCH(ROW()-1,Calc!$J$2:$J$1601,0),"")</f>
        <v/>
      </c>
      <c r="AH402">
        <f>IFERROR(MATCH(ROW()-1,Calc!$K$2:$K$1601,0),"")</f>
        <v/>
      </c>
      <c r="AI402">
        <f>IF($AG402="","",SUMIF($AG$2:$AG402,$AG402,$AH$2:$AH402))</f>
        <v/>
      </c>
      <c r="AJ402">
        <f>IF('TMP Paste'!$F402="","",IF('TMP Paste'!$B402="",$AJ401,'TMP Paste'!$B402))</f>
        <v/>
      </c>
      <c r="AK402">
        <f>IF('TMP Paste'!$F402="","",N('TMP Paste'!$G402))</f>
        <v/>
      </c>
      <c r="AL402">
        <f>IF('TMP Paste'!$F402="","",IF('TMP Paste'!$M402="",$AL401,'TMP Paste'!$M402))</f>
        <v/>
      </c>
      <c r="AM402">
        <f>IF('TMP Paste'!$F402="","",IF('TMP Paste'!$N402="",$AM401,'TMP Paste'!$N402))</f>
        <v/>
      </c>
      <c r="AN402">
        <f>IF('TMP Paste'!$F402="","",IF('TMP Paste'!$O402="",$AN401,'TMP Paste'!$O402))</f>
        <v/>
      </c>
      <c r="AO402">
        <f>IF('TMP Paste'!$F402="","",IF('TMP Paste'!$P402="",$AO401,'TMP Paste'!$P402))</f>
        <v/>
      </c>
      <c r="AP402">
        <f>IF($AG402="","",LEN($R402))</f>
        <v/>
      </c>
      <c r="AQ402">
        <f>IF($AG402="","",TRIM(IF(COUNTIFS(Calc!$B$2:$B$1601,ROW()-1,Calc!$C$2:$C$1601,"&lt;1")&gt;0,"Ada PO tanpa Koli - cek TMP. ","")&amp;IF(LEN($R402)&gt;500,"R &gt; 500 karakter.","")))</f>
        <v/>
      </c>
    </row>
    <row r="403">
      <c r="A403">
        <f>IF($AG403="","",INDEX('TMP Paste'!$B$2:$B$1601,$AG403))</f>
        <v/>
      </c>
      <c r="B403">
        <f>IF($AG403="","",Config!$B$14)</f>
        <v/>
      </c>
      <c r="C403">
        <f>IF($AG403="","",Config!$B$15)</f>
        <v/>
      </c>
      <c r="D403">
        <f>IF($AG403="","",INDEX('TMP Paste'!$B$2:$B$1601,$AG403))</f>
        <v/>
      </c>
      <c r="E403">
        <f>IF($AG403="","",Config!$B$27)</f>
        <v/>
      </c>
      <c r="F403">
        <f>IF($AG403="","",Config!$B$9)</f>
        <v/>
      </c>
      <c r="G403">
        <f>IF($AG403="","",Config!$B$10)</f>
        <v/>
      </c>
      <c r="H403">
        <f>IF($AG403="","",Config!$B$11)</f>
        <v/>
      </c>
      <c r="I403">
        <f>IF($AG403="","",Config!$B$16)</f>
        <v/>
      </c>
      <c r="J403">
        <f>IF($AG403="","",INDEX('TMP Paste'!$A$2:$A$1601,$AG403))</f>
        <v/>
      </c>
      <c r="K403">
        <f>IF($AG403="","",INDEX('TMP Paste'!$L$2:$L$1601,$AG403))</f>
        <v/>
      </c>
      <c r="L403">
        <f>IF($AG403="","",INDEX('TMP Paste'!$I$2:$I$1601,$AG403))</f>
        <v/>
      </c>
      <c r="M403">
        <f>IF($AG403="","",Config!$B$16)</f>
        <v/>
      </c>
      <c r="N403">
        <f>IF($AG403="","","")</f>
        <v/>
      </c>
      <c r="O403">
        <f>IF($AG403="","",INDEX('TMP Paste'!$K$2:$K$1601,$AG403))</f>
        <v/>
      </c>
      <c r="P403">
        <f>IF($AG403="","","")</f>
        <v/>
      </c>
      <c r="Q403">
        <f>IF($AG403="","",INDEX('TMP Paste'!$J$2:$J$1601,$AG403))</f>
        <v/>
      </c>
      <c r="R403">
        <f>IF($AG403="","",Config!$B$24)</f>
        <v/>
      </c>
      <c r="S403">
        <f>IF($AG403="","",TEXT(Config!$B$4,"yyyy-mm-dd"))</f>
        <v/>
      </c>
      <c r="T403">
        <f>IF($AG403="","",Config!$B$17)</f>
        <v/>
      </c>
      <c r="U403">
        <f>IF($AG403="","",Config!$B$18)</f>
        <v/>
      </c>
      <c r="V403">
        <f>IF($AG403="","",Config!$B$19)</f>
        <v/>
      </c>
      <c r="W403">
        <f>IF($AG403="","",INDEX('TMP Paste'!$C$2:$C$1601,$AG403))</f>
        <v/>
      </c>
      <c r="X403">
        <f>IF($AG403="","",Config!$B$29)</f>
        <v/>
      </c>
      <c r="Y403">
        <f>IF($AH403="","",INDEX(Calc!$I$2:$I$1601,$AH403)&amp;" - "&amp;INDEX(Calc!$D$2:$D$1601,$AH403)&amp;" koli")</f>
        <v/>
      </c>
      <c r="Z403">
        <f>IF($AG403="","",Config!$B$21)</f>
        <v/>
      </c>
      <c r="AA403">
        <f>IF($AG403="","",Config!$B$22)</f>
        <v/>
      </c>
      <c r="AB403">
        <f>IF($AH403="","",INDEX(Calc!$D$2:$D$1601,$AH403))</f>
        <v/>
      </c>
      <c r="AC403">
        <f>IF($AH403="","",INDEX(Calc!$G$2:$G$1601,$AH403))</f>
        <v/>
      </c>
      <c r="AD403">
        <f>IF($AG403="","",Config!$B$23)</f>
        <v/>
      </c>
      <c r="AE403">
        <f>IF($AG403="","",Config!$B$28)</f>
        <v/>
      </c>
      <c r="AG403">
        <f>IFERROR(MATCH(ROW()-1,Calc!$J$2:$J$1601,0),"")</f>
        <v/>
      </c>
      <c r="AH403">
        <f>IFERROR(MATCH(ROW()-1,Calc!$K$2:$K$1601,0),"")</f>
        <v/>
      </c>
      <c r="AI403">
        <f>IF($AG403="","",SUMIF($AG$2:$AG403,$AG403,$AH$2:$AH403))</f>
        <v/>
      </c>
      <c r="AJ403">
        <f>IF('TMP Paste'!$F403="","",IF('TMP Paste'!$B403="",$AJ402,'TMP Paste'!$B403))</f>
        <v/>
      </c>
      <c r="AK403">
        <f>IF('TMP Paste'!$F403="","",N('TMP Paste'!$G403))</f>
        <v/>
      </c>
      <c r="AL403">
        <f>IF('TMP Paste'!$F403="","",IF('TMP Paste'!$M403="",$AL402,'TMP Paste'!$M403))</f>
        <v/>
      </c>
      <c r="AM403">
        <f>IF('TMP Paste'!$F403="","",IF('TMP Paste'!$N403="",$AM402,'TMP Paste'!$N403))</f>
        <v/>
      </c>
      <c r="AN403">
        <f>IF('TMP Paste'!$F403="","",IF('TMP Paste'!$O403="",$AN402,'TMP Paste'!$O403))</f>
        <v/>
      </c>
      <c r="AO403">
        <f>IF('TMP Paste'!$F403="","",IF('TMP Paste'!$P403="",$AO402,'TMP Paste'!$P403))</f>
        <v/>
      </c>
      <c r="AP403">
        <f>IF($AG403="","",LEN($R403))</f>
        <v/>
      </c>
      <c r="AQ403">
        <f>IF($AG403="","",TRIM(IF(COUNTIFS(Calc!$B$2:$B$1601,ROW()-1,Calc!$C$2:$C$1601,"&lt;1")&gt;0,"Ada PO tanpa Koli - cek TMP. ","")&amp;IF(LEN($R403)&gt;500,"R &gt; 500 karakter.","")))</f>
        <v/>
      </c>
    </row>
    <row r="404">
      <c r="A404">
        <f>IF($AG404="","",INDEX('TMP Paste'!$B$2:$B$1601,$AG404))</f>
        <v/>
      </c>
      <c r="B404">
        <f>IF($AG404="","",Config!$B$14)</f>
        <v/>
      </c>
      <c r="C404">
        <f>IF($AG404="","",Config!$B$15)</f>
        <v/>
      </c>
      <c r="D404">
        <f>IF($AG404="","",INDEX('TMP Paste'!$B$2:$B$1601,$AG404))</f>
        <v/>
      </c>
      <c r="E404">
        <f>IF($AG404="","",Config!$B$27)</f>
        <v/>
      </c>
      <c r="F404">
        <f>IF($AG404="","",Config!$B$9)</f>
        <v/>
      </c>
      <c r="G404">
        <f>IF($AG404="","",Config!$B$10)</f>
        <v/>
      </c>
      <c r="H404">
        <f>IF($AG404="","",Config!$B$11)</f>
        <v/>
      </c>
      <c r="I404">
        <f>IF($AG404="","",Config!$B$16)</f>
        <v/>
      </c>
      <c r="J404">
        <f>IF($AG404="","",INDEX('TMP Paste'!$A$2:$A$1601,$AG404))</f>
        <v/>
      </c>
      <c r="K404">
        <f>IF($AG404="","",INDEX('TMP Paste'!$L$2:$L$1601,$AG404))</f>
        <v/>
      </c>
      <c r="L404">
        <f>IF($AG404="","",INDEX('TMP Paste'!$I$2:$I$1601,$AG404))</f>
        <v/>
      </c>
      <c r="M404">
        <f>IF($AG404="","",Config!$B$16)</f>
        <v/>
      </c>
      <c r="N404">
        <f>IF($AG404="","","")</f>
        <v/>
      </c>
      <c r="O404">
        <f>IF($AG404="","",INDEX('TMP Paste'!$K$2:$K$1601,$AG404))</f>
        <v/>
      </c>
      <c r="P404">
        <f>IF($AG404="","","")</f>
        <v/>
      </c>
      <c r="Q404">
        <f>IF($AG404="","",INDEX('TMP Paste'!$J$2:$J$1601,$AG404))</f>
        <v/>
      </c>
      <c r="R404">
        <f>IF($AG404="","",Config!$B$24)</f>
        <v/>
      </c>
      <c r="S404">
        <f>IF($AG404="","",TEXT(Config!$B$4,"yyyy-mm-dd"))</f>
        <v/>
      </c>
      <c r="T404">
        <f>IF($AG404="","",Config!$B$17)</f>
        <v/>
      </c>
      <c r="U404">
        <f>IF($AG404="","",Config!$B$18)</f>
        <v/>
      </c>
      <c r="V404">
        <f>IF($AG404="","",Config!$B$19)</f>
        <v/>
      </c>
      <c r="W404">
        <f>IF($AG404="","",INDEX('TMP Paste'!$C$2:$C$1601,$AG404))</f>
        <v/>
      </c>
      <c r="X404">
        <f>IF($AG404="","",Config!$B$29)</f>
        <v/>
      </c>
      <c r="Y404">
        <f>IF($AH404="","",INDEX(Calc!$I$2:$I$1601,$AH404)&amp;" - "&amp;INDEX(Calc!$D$2:$D$1601,$AH404)&amp;" koli")</f>
        <v/>
      </c>
      <c r="Z404">
        <f>IF($AG404="","",Config!$B$21)</f>
        <v/>
      </c>
      <c r="AA404">
        <f>IF($AG404="","",Config!$B$22)</f>
        <v/>
      </c>
      <c r="AB404">
        <f>IF($AH404="","",INDEX(Calc!$D$2:$D$1601,$AH404))</f>
        <v/>
      </c>
      <c r="AC404">
        <f>IF($AH404="","",INDEX(Calc!$G$2:$G$1601,$AH404))</f>
        <v/>
      </c>
      <c r="AD404">
        <f>IF($AG404="","",Config!$B$23)</f>
        <v/>
      </c>
      <c r="AE404">
        <f>IF($AG404="","",Config!$B$28)</f>
        <v/>
      </c>
      <c r="AG404">
        <f>IFERROR(MATCH(ROW()-1,Calc!$J$2:$J$1601,0),"")</f>
        <v/>
      </c>
      <c r="AH404">
        <f>IFERROR(MATCH(ROW()-1,Calc!$K$2:$K$1601,0),"")</f>
        <v/>
      </c>
      <c r="AI404">
        <f>IF($AG404="","",SUMIF($AG$2:$AG404,$AG404,$AH$2:$AH404))</f>
        <v/>
      </c>
      <c r="AJ404">
        <f>IF('TMP Paste'!$F404="","",IF('TMP Paste'!$B404="",$AJ403,'TMP Paste'!$B404))</f>
        <v/>
      </c>
      <c r="AK404">
        <f>IF('TMP Paste'!$F404="","",N('TMP Paste'!$G404))</f>
        <v/>
      </c>
      <c r="AL404">
        <f>IF('TMP Paste'!$F404="","",IF('TMP Paste'!$M404="",$AL403,'TMP Paste'!$M404))</f>
        <v/>
      </c>
      <c r="AM404">
        <f>IF('TMP Paste'!$F404="","",IF('TMP Paste'!$N404="",$AM403,'TMP Paste'!$N404))</f>
        <v/>
      </c>
      <c r="AN404">
        <f>IF('TMP Paste'!$F404="","",IF('TMP Paste'!$O404="",$AN403,'TMP Paste'!$O404))</f>
        <v/>
      </c>
      <c r="AO404">
        <f>IF('TMP Paste'!$F404="","",IF('TMP Paste'!$P404="",$AO403,'TMP Paste'!$P404))</f>
        <v/>
      </c>
      <c r="AP404">
        <f>IF($AG404="","",LEN($R404))</f>
        <v/>
      </c>
      <c r="AQ404">
        <f>IF($AG404="","",TRIM(IF(COUNTIFS(Calc!$B$2:$B$1601,ROW()-1,Calc!$C$2:$C$1601,"&lt;1")&gt;0,"Ada PO tanpa Koli - cek TMP. ","")&amp;IF(LEN($R404)&gt;500,"R &gt; 500 karakter.","")))</f>
        <v/>
      </c>
    </row>
    <row r="405">
      <c r="A405">
        <f>IF($AG405="","",INDEX('TMP Paste'!$B$2:$B$1601,$AG405))</f>
        <v/>
      </c>
      <c r="B405">
        <f>IF($AG405="","",Config!$B$14)</f>
        <v/>
      </c>
      <c r="C405">
        <f>IF($AG405="","",Config!$B$15)</f>
        <v/>
      </c>
      <c r="D405">
        <f>IF($AG405="","",INDEX('TMP Paste'!$B$2:$B$1601,$AG405))</f>
        <v/>
      </c>
      <c r="E405">
        <f>IF($AG405="","",Config!$B$27)</f>
        <v/>
      </c>
      <c r="F405">
        <f>IF($AG405="","",Config!$B$9)</f>
        <v/>
      </c>
      <c r="G405">
        <f>IF($AG405="","",Config!$B$10)</f>
        <v/>
      </c>
      <c r="H405">
        <f>IF($AG405="","",Config!$B$11)</f>
        <v/>
      </c>
      <c r="I405">
        <f>IF($AG405="","",Config!$B$16)</f>
        <v/>
      </c>
      <c r="J405">
        <f>IF($AG405="","",INDEX('TMP Paste'!$A$2:$A$1601,$AG405))</f>
        <v/>
      </c>
      <c r="K405">
        <f>IF($AG405="","",INDEX('TMP Paste'!$L$2:$L$1601,$AG405))</f>
        <v/>
      </c>
      <c r="L405">
        <f>IF($AG405="","",INDEX('TMP Paste'!$I$2:$I$1601,$AG405))</f>
        <v/>
      </c>
      <c r="M405">
        <f>IF($AG405="","",Config!$B$16)</f>
        <v/>
      </c>
      <c r="N405">
        <f>IF($AG405="","","")</f>
        <v/>
      </c>
      <c r="O405">
        <f>IF($AG405="","",INDEX('TMP Paste'!$K$2:$K$1601,$AG405))</f>
        <v/>
      </c>
      <c r="P405">
        <f>IF($AG405="","","")</f>
        <v/>
      </c>
      <c r="Q405">
        <f>IF($AG405="","",INDEX('TMP Paste'!$J$2:$J$1601,$AG405))</f>
        <v/>
      </c>
      <c r="R405">
        <f>IF($AG405="","",Config!$B$24)</f>
        <v/>
      </c>
      <c r="S405">
        <f>IF($AG405="","",TEXT(Config!$B$4,"yyyy-mm-dd"))</f>
        <v/>
      </c>
      <c r="T405">
        <f>IF($AG405="","",Config!$B$17)</f>
        <v/>
      </c>
      <c r="U405">
        <f>IF($AG405="","",Config!$B$18)</f>
        <v/>
      </c>
      <c r="V405">
        <f>IF($AG405="","",Config!$B$19)</f>
        <v/>
      </c>
      <c r="W405">
        <f>IF($AG405="","",INDEX('TMP Paste'!$C$2:$C$1601,$AG405))</f>
        <v/>
      </c>
      <c r="X405">
        <f>IF($AG405="","",Config!$B$29)</f>
        <v/>
      </c>
      <c r="Y405">
        <f>IF($AH405="","",INDEX(Calc!$I$2:$I$1601,$AH405)&amp;" - "&amp;INDEX(Calc!$D$2:$D$1601,$AH405)&amp;" koli")</f>
        <v/>
      </c>
      <c r="Z405">
        <f>IF($AG405="","",Config!$B$21)</f>
        <v/>
      </c>
      <c r="AA405">
        <f>IF($AG405="","",Config!$B$22)</f>
        <v/>
      </c>
      <c r="AB405">
        <f>IF($AH405="","",INDEX(Calc!$D$2:$D$1601,$AH405))</f>
        <v/>
      </c>
      <c r="AC405">
        <f>IF($AH405="","",INDEX(Calc!$G$2:$G$1601,$AH405))</f>
        <v/>
      </c>
      <c r="AD405">
        <f>IF($AG405="","",Config!$B$23)</f>
        <v/>
      </c>
      <c r="AE405">
        <f>IF($AG405="","",Config!$B$28)</f>
        <v/>
      </c>
      <c r="AG405">
        <f>IFERROR(MATCH(ROW()-1,Calc!$J$2:$J$1601,0),"")</f>
        <v/>
      </c>
      <c r="AH405">
        <f>IFERROR(MATCH(ROW()-1,Calc!$K$2:$K$1601,0),"")</f>
        <v/>
      </c>
      <c r="AI405">
        <f>IF($AG405="","",SUMIF($AG$2:$AG405,$AG405,$AH$2:$AH405))</f>
        <v/>
      </c>
      <c r="AJ405">
        <f>IF('TMP Paste'!$F405="","",IF('TMP Paste'!$B405="",$AJ404,'TMP Paste'!$B405))</f>
        <v/>
      </c>
      <c r="AK405">
        <f>IF('TMP Paste'!$F405="","",N('TMP Paste'!$G405))</f>
        <v/>
      </c>
      <c r="AL405">
        <f>IF('TMP Paste'!$F405="","",IF('TMP Paste'!$M405="",$AL404,'TMP Paste'!$M405))</f>
        <v/>
      </c>
      <c r="AM405">
        <f>IF('TMP Paste'!$F405="","",IF('TMP Paste'!$N405="",$AM404,'TMP Paste'!$N405))</f>
        <v/>
      </c>
      <c r="AN405">
        <f>IF('TMP Paste'!$F405="","",IF('TMP Paste'!$O405="",$AN404,'TMP Paste'!$O405))</f>
        <v/>
      </c>
      <c r="AO405">
        <f>IF('TMP Paste'!$F405="","",IF('TMP Paste'!$P405="",$AO404,'TMP Paste'!$P405))</f>
        <v/>
      </c>
      <c r="AP405">
        <f>IF($AG405="","",LEN($R405))</f>
        <v/>
      </c>
      <c r="AQ405">
        <f>IF($AG405="","",TRIM(IF(COUNTIFS(Calc!$B$2:$B$1601,ROW()-1,Calc!$C$2:$C$1601,"&lt;1")&gt;0,"Ada PO tanpa Koli - cek TMP. ","")&amp;IF(LEN($R405)&gt;500,"R &gt; 500 karakter.","")))</f>
        <v/>
      </c>
    </row>
    <row r="406">
      <c r="A406">
        <f>IF($AG406="","",INDEX('TMP Paste'!$B$2:$B$1601,$AG406))</f>
        <v/>
      </c>
      <c r="B406">
        <f>IF($AG406="","",Config!$B$14)</f>
        <v/>
      </c>
      <c r="C406">
        <f>IF($AG406="","",Config!$B$15)</f>
        <v/>
      </c>
      <c r="D406">
        <f>IF($AG406="","",INDEX('TMP Paste'!$B$2:$B$1601,$AG406))</f>
        <v/>
      </c>
      <c r="E406">
        <f>IF($AG406="","",Config!$B$27)</f>
        <v/>
      </c>
      <c r="F406">
        <f>IF($AG406="","",Config!$B$9)</f>
        <v/>
      </c>
      <c r="G406">
        <f>IF($AG406="","",Config!$B$10)</f>
        <v/>
      </c>
      <c r="H406">
        <f>IF($AG406="","",Config!$B$11)</f>
        <v/>
      </c>
      <c r="I406">
        <f>IF($AG406="","",Config!$B$16)</f>
        <v/>
      </c>
      <c r="J406">
        <f>IF($AG406="","",INDEX('TMP Paste'!$A$2:$A$1601,$AG406))</f>
        <v/>
      </c>
      <c r="K406">
        <f>IF($AG406="","",INDEX('TMP Paste'!$L$2:$L$1601,$AG406))</f>
        <v/>
      </c>
      <c r="L406">
        <f>IF($AG406="","",INDEX('TMP Paste'!$I$2:$I$1601,$AG406))</f>
        <v/>
      </c>
      <c r="M406">
        <f>IF($AG406="","",Config!$B$16)</f>
        <v/>
      </c>
      <c r="N406">
        <f>IF($AG406="","","")</f>
        <v/>
      </c>
      <c r="O406">
        <f>IF($AG406="","",INDEX('TMP Paste'!$K$2:$K$1601,$AG406))</f>
        <v/>
      </c>
      <c r="P406">
        <f>IF($AG406="","","")</f>
        <v/>
      </c>
      <c r="Q406">
        <f>IF($AG406="","",INDEX('TMP Paste'!$J$2:$J$1601,$AG406))</f>
        <v/>
      </c>
      <c r="R406">
        <f>IF($AG406="","",Config!$B$24)</f>
        <v/>
      </c>
      <c r="S406">
        <f>IF($AG406="","",TEXT(Config!$B$4,"yyyy-mm-dd"))</f>
        <v/>
      </c>
      <c r="T406">
        <f>IF($AG406="","",Config!$B$17)</f>
        <v/>
      </c>
      <c r="U406">
        <f>IF($AG406="","",Config!$B$18)</f>
        <v/>
      </c>
      <c r="V406">
        <f>IF($AG406="","",Config!$B$19)</f>
        <v/>
      </c>
      <c r="W406">
        <f>IF($AG406="","",INDEX('TMP Paste'!$C$2:$C$1601,$AG406))</f>
        <v/>
      </c>
      <c r="X406">
        <f>IF($AG406="","",Config!$B$29)</f>
        <v/>
      </c>
      <c r="Y406">
        <f>IF($AH406="","",INDEX(Calc!$I$2:$I$1601,$AH406)&amp;" - "&amp;INDEX(Calc!$D$2:$D$1601,$AH406)&amp;" koli")</f>
        <v/>
      </c>
      <c r="Z406">
        <f>IF($AG406="","",Config!$B$21)</f>
        <v/>
      </c>
      <c r="AA406">
        <f>IF($AG406="","",Config!$B$22)</f>
        <v/>
      </c>
      <c r="AB406">
        <f>IF($AH406="","",INDEX(Calc!$D$2:$D$1601,$AH406))</f>
        <v/>
      </c>
      <c r="AC406">
        <f>IF($AH406="","",INDEX(Calc!$G$2:$G$1601,$AH406))</f>
        <v/>
      </c>
      <c r="AD406">
        <f>IF($AG406="","",Config!$B$23)</f>
        <v/>
      </c>
      <c r="AE406">
        <f>IF($AG406="","",Config!$B$28)</f>
        <v/>
      </c>
      <c r="AG406">
        <f>IFERROR(MATCH(ROW()-1,Calc!$J$2:$J$1601,0),"")</f>
        <v/>
      </c>
      <c r="AH406">
        <f>IFERROR(MATCH(ROW()-1,Calc!$K$2:$K$1601,0),"")</f>
        <v/>
      </c>
      <c r="AI406">
        <f>IF($AG406="","",SUMIF($AG$2:$AG406,$AG406,$AH$2:$AH406))</f>
        <v/>
      </c>
      <c r="AJ406">
        <f>IF('TMP Paste'!$F406="","",IF('TMP Paste'!$B406="",$AJ405,'TMP Paste'!$B406))</f>
        <v/>
      </c>
      <c r="AK406">
        <f>IF('TMP Paste'!$F406="","",N('TMP Paste'!$G406))</f>
        <v/>
      </c>
      <c r="AL406">
        <f>IF('TMP Paste'!$F406="","",IF('TMP Paste'!$M406="",$AL405,'TMP Paste'!$M406))</f>
        <v/>
      </c>
      <c r="AM406">
        <f>IF('TMP Paste'!$F406="","",IF('TMP Paste'!$N406="",$AM405,'TMP Paste'!$N406))</f>
        <v/>
      </c>
      <c r="AN406">
        <f>IF('TMP Paste'!$F406="","",IF('TMP Paste'!$O406="",$AN405,'TMP Paste'!$O406))</f>
        <v/>
      </c>
      <c r="AO406">
        <f>IF('TMP Paste'!$F406="","",IF('TMP Paste'!$P406="",$AO405,'TMP Paste'!$P406))</f>
        <v/>
      </c>
      <c r="AP406">
        <f>IF($AG406="","",LEN($R406))</f>
        <v/>
      </c>
      <c r="AQ406">
        <f>IF($AG406="","",TRIM(IF(COUNTIFS(Calc!$B$2:$B$1601,ROW()-1,Calc!$C$2:$C$1601,"&lt;1")&gt;0,"Ada PO tanpa Koli - cek TMP. ","")&amp;IF(LEN($R406)&gt;500,"R &gt; 500 karakter.","")))</f>
        <v/>
      </c>
    </row>
    <row r="407">
      <c r="A407">
        <f>IF($AG407="","",INDEX('TMP Paste'!$B$2:$B$1601,$AG407))</f>
        <v/>
      </c>
      <c r="B407">
        <f>IF($AG407="","",Config!$B$14)</f>
        <v/>
      </c>
      <c r="C407">
        <f>IF($AG407="","",Config!$B$15)</f>
        <v/>
      </c>
      <c r="D407">
        <f>IF($AG407="","",INDEX('TMP Paste'!$B$2:$B$1601,$AG407))</f>
        <v/>
      </c>
      <c r="E407">
        <f>IF($AG407="","",Config!$B$27)</f>
        <v/>
      </c>
      <c r="F407">
        <f>IF($AG407="","",Config!$B$9)</f>
        <v/>
      </c>
      <c r="G407">
        <f>IF($AG407="","",Config!$B$10)</f>
        <v/>
      </c>
      <c r="H407">
        <f>IF($AG407="","",Config!$B$11)</f>
        <v/>
      </c>
      <c r="I407">
        <f>IF($AG407="","",Config!$B$16)</f>
        <v/>
      </c>
      <c r="J407">
        <f>IF($AG407="","",INDEX('TMP Paste'!$A$2:$A$1601,$AG407))</f>
        <v/>
      </c>
      <c r="K407">
        <f>IF($AG407="","",INDEX('TMP Paste'!$L$2:$L$1601,$AG407))</f>
        <v/>
      </c>
      <c r="L407">
        <f>IF($AG407="","",INDEX('TMP Paste'!$I$2:$I$1601,$AG407))</f>
        <v/>
      </c>
      <c r="M407">
        <f>IF($AG407="","",Config!$B$16)</f>
        <v/>
      </c>
      <c r="N407">
        <f>IF($AG407="","","")</f>
        <v/>
      </c>
      <c r="O407">
        <f>IF($AG407="","",INDEX('TMP Paste'!$K$2:$K$1601,$AG407))</f>
        <v/>
      </c>
      <c r="P407">
        <f>IF($AG407="","","")</f>
        <v/>
      </c>
      <c r="Q407">
        <f>IF($AG407="","",INDEX('TMP Paste'!$J$2:$J$1601,$AG407))</f>
        <v/>
      </c>
      <c r="R407">
        <f>IF($AG407="","",Config!$B$24)</f>
        <v/>
      </c>
      <c r="S407">
        <f>IF($AG407="","",TEXT(Config!$B$4,"yyyy-mm-dd"))</f>
        <v/>
      </c>
      <c r="T407">
        <f>IF($AG407="","",Config!$B$17)</f>
        <v/>
      </c>
      <c r="U407">
        <f>IF($AG407="","",Config!$B$18)</f>
        <v/>
      </c>
      <c r="V407">
        <f>IF($AG407="","",Config!$B$19)</f>
        <v/>
      </c>
      <c r="W407">
        <f>IF($AG407="","",INDEX('TMP Paste'!$C$2:$C$1601,$AG407))</f>
        <v/>
      </c>
      <c r="X407">
        <f>IF($AG407="","",Config!$B$29)</f>
        <v/>
      </c>
      <c r="Y407">
        <f>IF($AH407="","",INDEX(Calc!$I$2:$I$1601,$AH407)&amp;" - "&amp;INDEX(Calc!$D$2:$D$1601,$AH407)&amp;" koli")</f>
        <v/>
      </c>
      <c r="Z407">
        <f>IF($AG407="","",Config!$B$21)</f>
        <v/>
      </c>
      <c r="AA407">
        <f>IF($AG407="","",Config!$B$22)</f>
        <v/>
      </c>
      <c r="AB407">
        <f>IF($AH407="","",INDEX(Calc!$D$2:$D$1601,$AH407))</f>
        <v/>
      </c>
      <c r="AC407">
        <f>IF($AH407="","",INDEX(Calc!$G$2:$G$1601,$AH407))</f>
        <v/>
      </c>
      <c r="AD407">
        <f>IF($AG407="","",Config!$B$23)</f>
        <v/>
      </c>
      <c r="AE407">
        <f>IF($AG407="","",Config!$B$28)</f>
        <v/>
      </c>
      <c r="AG407">
        <f>IFERROR(MATCH(ROW()-1,Calc!$J$2:$J$1601,0),"")</f>
        <v/>
      </c>
      <c r="AH407">
        <f>IFERROR(MATCH(ROW()-1,Calc!$K$2:$K$1601,0),"")</f>
        <v/>
      </c>
      <c r="AI407">
        <f>IF($AG407="","",SUMIF($AG$2:$AG407,$AG407,$AH$2:$AH407))</f>
        <v/>
      </c>
      <c r="AJ407">
        <f>IF('TMP Paste'!$F407="","",IF('TMP Paste'!$B407="",$AJ406,'TMP Paste'!$B407))</f>
        <v/>
      </c>
      <c r="AK407">
        <f>IF('TMP Paste'!$F407="","",N('TMP Paste'!$G407))</f>
        <v/>
      </c>
      <c r="AL407">
        <f>IF('TMP Paste'!$F407="","",IF('TMP Paste'!$M407="",$AL406,'TMP Paste'!$M407))</f>
        <v/>
      </c>
      <c r="AM407">
        <f>IF('TMP Paste'!$F407="","",IF('TMP Paste'!$N407="",$AM406,'TMP Paste'!$N407))</f>
        <v/>
      </c>
      <c r="AN407">
        <f>IF('TMP Paste'!$F407="","",IF('TMP Paste'!$O407="",$AN406,'TMP Paste'!$O407))</f>
        <v/>
      </c>
      <c r="AO407">
        <f>IF('TMP Paste'!$F407="","",IF('TMP Paste'!$P407="",$AO406,'TMP Paste'!$P407))</f>
        <v/>
      </c>
      <c r="AP407">
        <f>IF($AG407="","",LEN($R407))</f>
        <v/>
      </c>
      <c r="AQ407">
        <f>IF($AG407="","",TRIM(IF(COUNTIFS(Calc!$B$2:$B$1601,ROW()-1,Calc!$C$2:$C$1601,"&lt;1")&gt;0,"Ada PO tanpa Koli - cek TMP. ","")&amp;IF(LEN($R407)&gt;500,"R &gt; 500 karakter.","")))</f>
        <v/>
      </c>
    </row>
    <row r="408">
      <c r="A408">
        <f>IF($AG408="","",INDEX('TMP Paste'!$B$2:$B$1601,$AG408))</f>
        <v/>
      </c>
      <c r="B408">
        <f>IF($AG408="","",Config!$B$14)</f>
        <v/>
      </c>
      <c r="C408">
        <f>IF($AG408="","",Config!$B$15)</f>
        <v/>
      </c>
      <c r="D408">
        <f>IF($AG408="","",INDEX('TMP Paste'!$B$2:$B$1601,$AG408))</f>
        <v/>
      </c>
      <c r="E408">
        <f>IF($AG408="","",Config!$B$27)</f>
        <v/>
      </c>
      <c r="F408">
        <f>IF($AG408="","",Config!$B$9)</f>
        <v/>
      </c>
      <c r="G408">
        <f>IF($AG408="","",Config!$B$10)</f>
        <v/>
      </c>
      <c r="H408">
        <f>IF($AG408="","",Config!$B$11)</f>
        <v/>
      </c>
      <c r="I408">
        <f>IF($AG408="","",Config!$B$16)</f>
        <v/>
      </c>
      <c r="J408">
        <f>IF($AG408="","",INDEX('TMP Paste'!$A$2:$A$1601,$AG408))</f>
        <v/>
      </c>
      <c r="K408">
        <f>IF($AG408="","",INDEX('TMP Paste'!$L$2:$L$1601,$AG408))</f>
        <v/>
      </c>
      <c r="L408">
        <f>IF($AG408="","",INDEX('TMP Paste'!$I$2:$I$1601,$AG408))</f>
        <v/>
      </c>
      <c r="M408">
        <f>IF($AG408="","",Config!$B$16)</f>
        <v/>
      </c>
      <c r="N408">
        <f>IF($AG408="","","")</f>
        <v/>
      </c>
      <c r="O408">
        <f>IF($AG408="","",INDEX('TMP Paste'!$K$2:$K$1601,$AG408))</f>
        <v/>
      </c>
      <c r="P408">
        <f>IF($AG408="","","")</f>
        <v/>
      </c>
      <c r="Q408">
        <f>IF($AG408="","",INDEX('TMP Paste'!$J$2:$J$1601,$AG408))</f>
        <v/>
      </c>
      <c r="R408">
        <f>IF($AG408="","",Config!$B$24)</f>
        <v/>
      </c>
      <c r="S408">
        <f>IF($AG408="","",TEXT(Config!$B$4,"yyyy-mm-dd"))</f>
        <v/>
      </c>
      <c r="T408">
        <f>IF($AG408="","",Config!$B$17)</f>
        <v/>
      </c>
      <c r="U408">
        <f>IF($AG408="","",Config!$B$18)</f>
        <v/>
      </c>
      <c r="V408">
        <f>IF($AG408="","",Config!$B$19)</f>
        <v/>
      </c>
      <c r="W408">
        <f>IF($AG408="","",INDEX('TMP Paste'!$C$2:$C$1601,$AG408))</f>
        <v/>
      </c>
      <c r="X408">
        <f>IF($AG408="","",Config!$B$29)</f>
        <v/>
      </c>
      <c r="Y408">
        <f>IF($AH408="","",INDEX(Calc!$I$2:$I$1601,$AH408)&amp;" - "&amp;INDEX(Calc!$D$2:$D$1601,$AH408)&amp;" koli")</f>
        <v/>
      </c>
      <c r="Z408">
        <f>IF($AG408="","",Config!$B$21)</f>
        <v/>
      </c>
      <c r="AA408">
        <f>IF($AG408="","",Config!$B$22)</f>
        <v/>
      </c>
      <c r="AB408">
        <f>IF($AH408="","",INDEX(Calc!$D$2:$D$1601,$AH408))</f>
        <v/>
      </c>
      <c r="AC408">
        <f>IF($AH408="","",INDEX(Calc!$G$2:$G$1601,$AH408))</f>
        <v/>
      </c>
      <c r="AD408">
        <f>IF($AG408="","",Config!$B$23)</f>
        <v/>
      </c>
      <c r="AE408">
        <f>IF($AG408="","",Config!$B$28)</f>
        <v/>
      </c>
      <c r="AG408">
        <f>IFERROR(MATCH(ROW()-1,Calc!$J$2:$J$1601,0),"")</f>
        <v/>
      </c>
      <c r="AH408">
        <f>IFERROR(MATCH(ROW()-1,Calc!$K$2:$K$1601,0),"")</f>
        <v/>
      </c>
      <c r="AI408">
        <f>IF($AG408="","",SUMIF($AG$2:$AG408,$AG408,$AH$2:$AH408))</f>
        <v/>
      </c>
      <c r="AJ408">
        <f>IF('TMP Paste'!$F408="","",IF('TMP Paste'!$B408="",$AJ407,'TMP Paste'!$B408))</f>
        <v/>
      </c>
      <c r="AK408">
        <f>IF('TMP Paste'!$F408="","",N('TMP Paste'!$G408))</f>
        <v/>
      </c>
      <c r="AL408">
        <f>IF('TMP Paste'!$F408="","",IF('TMP Paste'!$M408="",$AL407,'TMP Paste'!$M408))</f>
        <v/>
      </c>
      <c r="AM408">
        <f>IF('TMP Paste'!$F408="","",IF('TMP Paste'!$N408="",$AM407,'TMP Paste'!$N408))</f>
        <v/>
      </c>
      <c r="AN408">
        <f>IF('TMP Paste'!$F408="","",IF('TMP Paste'!$O408="",$AN407,'TMP Paste'!$O408))</f>
        <v/>
      </c>
      <c r="AO408">
        <f>IF('TMP Paste'!$F408="","",IF('TMP Paste'!$P408="",$AO407,'TMP Paste'!$P408))</f>
        <v/>
      </c>
      <c r="AP408">
        <f>IF($AG408="","",LEN($R408))</f>
        <v/>
      </c>
      <c r="AQ408">
        <f>IF($AG408="","",TRIM(IF(COUNTIFS(Calc!$B$2:$B$1601,ROW()-1,Calc!$C$2:$C$1601,"&lt;1")&gt;0,"Ada PO tanpa Koli - cek TMP. ","")&amp;IF(LEN($R408)&gt;500,"R &gt; 500 karakter.","")))</f>
        <v/>
      </c>
    </row>
    <row r="409">
      <c r="A409">
        <f>IF($AG409="","",INDEX('TMP Paste'!$B$2:$B$1601,$AG409))</f>
        <v/>
      </c>
      <c r="B409">
        <f>IF($AG409="","",Config!$B$14)</f>
        <v/>
      </c>
      <c r="C409">
        <f>IF($AG409="","",Config!$B$15)</f>
        <v/>
      </c>
      <c r="D409">
        <f>IF($AG409="","",INDEX('TMP Paste'!$B$2:$B$1601,$AG409))</f>
        <v/>
      </c>
      <c r="E409">
        <f>IF($AG409="","",Config!$B$27)</f>
        <v/>
      </c>
      <c r="F409">
        <f>IF($AG409="","",Config!$B$9)</f>
        <v/>
      </c>
      <c r="G409">
        <f>IF($AG409="","",Config!$B$10)</f>
        <v/>
      </c>
      <c r="H409">
        <f>IF($AG409="","",Config!$B$11)</f>
        <v/>
      </c>
      <c r="I409">
        <f>IF($AG409="","",Config!$B$16)</f>
        <v/>
      </c>
      <c r="J409">
        <f>IF($AG409="","",INDEX('TMP Paste'!$A$2:$A$1601,$AG409))</f>
        <v/>
      </c>
      <c r="K409">
        <f>IF($AG409="","",INDEX('TMP Paste'!$L$2:$L$1601,$AG409))</f>
        <v/>
      </c>
      <c r="L409">
        <f>IF($AG409="","",INDEX('TMP Paste'!$I$2:$I$1601,$AG409))</f>
        <v/>
      </c>
      <c r="M409">
        <f>IF($AG409="","",Config!$B$16)</f>
        <v/>
      </c>
      <c r="N409">
        <f>IF($AG409="","","")</f>
        <v/>
      </c>
      <c r="O409">
        <f>IF($AG409="","",INDEX('TMP Paste'!$K$2:$K$1601,$AG409))</f>
        <v/>
      </c>
      <c r="P409">
        <f>IF($AG409="","","")</f>
        <v/>
      </c>
      <c r="Q409">
        <f>IF($AG409="","",INDEX('TMP Paste'!$J$2:$J$1601,$AG409))</f>
        <v/>
      </c>
      <c r="R409">
        <f>IF($AG409="","",Config!$B$24)</f>
        <v/>
      </c>
      <c r="S409">
        <f>IF($AG409="","",TEXT(Config!$B$4,"yyyy-mm-dd"))</f>
        <v/>
      </c>
      <c r="T409">
        <f>IF($AG409="","",Config!$B$17)</f>
        <v/>
      </c>
      <c r="U409">
        <f>IF($AG409="","",Config!$B$18)</f>
        <v/>
      </c>
      <c r="V409">
        <f>IF($AG409="","",Config!$B$19)</f>
        <v/>
      </c>
      <c r="W409">
        <f>IF($AG409="","",INDEX('TMP Paste'!$C$2:$C$1601,$AG409))</f>
        <v/>
      </c>
      <c r="X409">
        <f>IF($AG409="","",Config!$B$29)</f>
        <v/>
      </c>
      <c r="Y409">
        <f>IF($AH409="","",INDEX(Calc!$I$2:$I$1601,$AH409)&amp;" - "&amp;INDEX(Calc!$D$2:$D$1601,$AH409)&amp;" koli")</f>
        <v/>
      </c>
      <c r="Z409">
        <f>IF($AG409="","",Config!$B$21)</f>
        <v/>
      </c>
      <c r="AA409">
        <f>IF($AG409="","",Config!$B$22)</f>
        <v/>
      </c>
      <c r="AB409">
        <f>IF($AH409="","",INDEX(Calc!$D$2:$D$1601,$AH409))</f>
        <v/>
      </c>
      <c r="AC409">
        <f>IF($AH409="","",INDEX(Calc!$G$2:$G$1601,$AH409))</f>
        <v/>
      </c>
      <c r="AD409">
        <f>IF($AG409="","",Config!$B$23)</f>
        <v/>
      </c>
      <c r="AE409">
        <f>IF($AG409="","",Config!$B$28)</f>
        <v/>
      </c>
      <c r="AG409">
        <f>IFERROR(MATCH(ROW()-1,Calc!$J$2:$J$1601,0),"")</f>
        <v/>
      </c>
      <c r="AH409">
        <f>IFERROR(MATCH(ROW()-1,Calc!$K$2:$K$1601,0),"")</f>
        <v/>
      </c>
      <c r="AI409">
        <f>IF($AG409="","",SUMIF($AG$2:$AG409,$AG409,$AH$2:$AH409))</f>
        <v/>
      </c>
      <c r="AJ409">
        <f>IF('TMP Paste'!$F409="","",IF('TMP Paste'!$B409="",$AJ408,'TMP Paste'!$B409))</f>
        <v/>
      </c>
      <c r="AK409">
        <f>IF('TMP Paste'!$F409="","",N('TMP Paste'!$G409))</f>
        <v/>
      </c>
      <c r="AL409">
        <f>IF('TMP Paste'!$F409="","",IF('TMP Paste'!$M409="",$AL408,'TMP Paste'!$M409))</f>
        <v/>
      </c>
      <c r="AM409">
        <f>IF('TMP Paste'!$F409="","",IF('TMP Paste'!$N409="",$AM408,'TMP Paste'!$N409))</f>
        <v/>
      </c>
      <c r="AN409">
        <f>IF('TMP Paste'!$F409="","",IF('TMP Paste'!$O409="",$AN408,'TMP Paste'!$O409))</f>
        <v/>
      </c>
      <c r="AO409">
        <f>IF('TMP Paste'!$F409="","",IF('TMP Paste'!$P409="",$AO408,'TMP Paste'!$P409))</f>
        <v/>
      </c>
      <c r="AP409">
        <f>IF($AG409="","",LEN($R409))</f>
        <v/>
      </c>
      <c r="AQ409">
        <f>IF($AG409="","",TRIM(IF(COUNTIFS(Calc!$B$2:$B$1601,ROW()-1,Calc!$C$2:$C$1601,"&lt;1")&gt;0,"Ada PO tanpa Koli - cek TMP. ","")&amp;IF(LEN($R409)&gt;500,"R &gt; 500 karakter.","")))</f>
        <v/>
      </c>
    </row>
    <row r="410">
      <c r="A410">
        <f>IF($AG410="","",INDEX('TMP Paste'!$B$2:$B$1601,$AG410))</f>
        <v/>
      </c>
      <c r="B410">
        <f>IF($AG410="","",Config!$B$14)</f>
        <v/>
      </c>
      <c r="C410">
        <f>IF($AG410="","",Config!$B$15)</f>
        <v/>
      </c>
      <c r="D410">
        <f>IF($AG410="","",INDEX('TMP Paste'!$B$2:$B$1601,$AG410))</f>
        <v/>
      </c>
      <c r="E410">
        <f>IF($AG410="","",Config!$B$27)</f>
        <v/>
      </c>
      <c r="F410">
        <f>IF($AG410="","",Config!$B$9)</f>
        <v/>
      </c>
      <c r="G410">
        <f>IF($AG410="","",Config!$B$10)</f>
        <v/>
      </c>
      <c r="H410">
        <f>IF($AG410="","",Config!$B$11)</f>
        <v/>
      </c>
      <c r="I410">
        <f>IF($AG410="","",Config!$B$16)</f>
        <v/>
      </c>
      <c r="J410">
        <f>IF($AG410="","",INDEX('TMP Paste'!$A$2:$A$1601,$AG410))</f>
        <v/>
      </c>
      <c r="K410">
        <f>IF($AG410="","",INDEX('TMP Paste'!$L$2:$L$1601,$AG410))</f>
        <v/>
      </c>
      <c r="L410">
        <f>IF($AG410="","",INDEX('TMP Paste'!$I$2:$I$1601,$AG410))</f>
        <v/>
      </c>
      <c r="M410">
        <f>IF($AG410="","",Config!$B$16)</f>
        <v/>
      </c>
      <c r="N410">
        <f>IF($AG410="","","")</f>
        <v/>
      </c>
      <c r="O410">
        <f>IF($AG410="","",INDEX('TMP Paste'!$K$2:$K$1601,$AG410))</f>
        <v/>
      </c>
      <c r="P410">
        <f>IF($AG410="","","")</f>
        <v/>
      </c>
      <c r="Q410">
        <f>IF($AG410="","",INDEX('TMP Paste'!$J$2:$J$1601,$AG410))</f>
        <v/>
      </c>
      <c r="R410">
        <f>IF($AG410="","",Config!$B$24)</f>
        <v/>
      </c>
      <c r="S410">
        <f>IF($AG410="","",TEXT(Config!$B$4,"yyyy-mm-dd"))</f>
        <v/>
      </c>
      <c r="T410">
        <f>IF($AG410="","",Config!$B$17)</f>
        <v/>
      </c>
      <c r="U410">
        <f>IF($AG410="","",Config!$B$18)</f>
        <v/>
      </c>
      <c r="V410">
        <f>IF($AG410="","",Config!$B$19)</f>
        <v/>
      </c>
      <c r="W410">
        <f>IF($AG410="","",INDEX('TMP Paste'!$C$2:$C$1601,$AG410))</f>
        <v/>
      </c>
      <c r="X410">
        <f>IF($AG410="","",Config!$B$29)</f>
        <v/>
      </c>
      <c r="Y410">
        <f>IF($AH410="","",INDEX(Calc!$I$2:$I$1601,$AH410)&amp;" - "&amp;INDEX(Calc!$D$2:$D$1601,$AH410)&amp;" koli")</f>
        <v/>
      </c>
      <c r="Z410">
        <f>IF($AG410="","",Config!$B$21)</f>
        <v/>
      </c>
      <c r="AA410">
        <f>IF($AG410="","",Config!$B$22)</f>
        <v/>
      </c>
      <c r="AB410">
        <f>IF($AH410="","",INDEX(Calc!$D$2:$D$1601,$AH410))</f>
        <v/>
      </c>
      <c r="AC410">
        <f>IF($AH410="","",INDEX(Calc!$G$2:$G$1601,$AH410))</f>
        <v/>
      </c>
      <c r="AD410">
        <f>IF($AG410="","",Config!$B$23)</f>
        <v/>
      </c>
      <c r="AE410">
        <f>IF($AG410="","",Config!$B$28)</f>
        <v/>
      </c>
      <c r="AG410">
        <f>IFERROR(MATCH(ROW()-1,Calc!$J$2:$J$1601,0),"")</f>
        <v/>
      </c>
      <c r="AH410">
        <f>IFERROR(MATCH(ROW()-1,Calc!$K$2:$K$1601,0),"")</f>
        <v/>
      </c>
      <c r="AI410">
        <f>IF($AG410="","",SUMIF($AG$2:$AG410,$AG410,$AH$2:$AH410))</f>
        <v/>
      </c>
      <c r="AJ410">
        <f>IF('TMP Paste'!$F410="","",IF('TMP Paste'!$B410="",$AJ409,'TMP Paste'!$B410))</f>
        <v/>
      </c>
      <c r="AK410">
        <f>IF('TMP Paste'!$F410="","",N('TMP Paste'!$G410))</f>
        <v/>
      </c>
      <c r="AL410">
        <f>IF('TMP Paste'!$F410="","",IF('TMP Paste'!$M410="",$AL409,'TMP Paste'!$M410))</f>
        <v/>
      </c>
      <c r="AM410">
        <f>IF('TMP Paste'!$F410="","",IF('TMP Paste'!$N410="",$AM409,'TMP Paste'!$N410))</f>
        <v/>
      </c>
      <c r="AN410">
        <f>IF('TMP Paste'!$F410="","",IF('TMP Paste'!$O410="",$AN409,'TMP Paste'!$O410))</f>
        <v/>
      </c>
      <c r="AO410">
        <f>IF('TMP Paste'!$F410="","",IF('TMP Paste'!$P410="",$AO409,'TMP Paste'!$P410))</f>
        <v/>
      </c>
      <c r="AP410">
        <f>IF($AG410="","",LEN($R410))</f>
        <v/>
      </c>
      <c r="AQ410">
        <f>IF($AG410="","",TRIM(IF(COUNTIFS(Calc!$B$2:$B$1601,ROW()-1,Calc!$C$2:$C$1601,"&lt;1")&gt;0,"Ada PO tanpa Koli - cek TMP. ","")&amp;IF(LEN($R410)&gt;500,"R &gt; 500 karakter.","")))</f>
        <v/>
      </c>
    </row>
    <row r="411">
      <c r="A411">
        <f>IF($AG411="","",INDEX('TMP Paste'!$B$2:$B$1601,$AG411))</f>
        <v/>
      </c>
      <c r="B411">
        <f>IF($AG411="","",Config!$B$14)</f>
        <v/>
      </c>
      <c r="C411">
        <f>IF($AG411="","",Config!$B$15)</f>
        <v/>
      </c>
      <c r="D411">
        <f>IF($AG411="","",INDEX('TMP Paste'!$B$2:$B$1601,$AG411))</f>
        <v/>
      </c>
      <c r="E411">
        <f>IF($AG411="","",Config!$B$27)</f>
        <v/>
      </c>
      <c r="F411">
        <f>IF($AG411="","",Config!$B$9)</f>
        <v/>
      </c>
      <c r="G411">
        <f>IF($AG411="","",Config!$B$10)</f>
        <v/>
      </c>
      <c r="H411">
        <f>IF($AG411="","",Config!$B$11)</f>
        <v/>
      </c>
      <c r="I411">
        <f>IF($AG411="","",Config!$B$16)</f>
        <v/>
      </c>
      <c r="J411">
        <f>IF($AG411="","",INDEX('TMP Paste'!$A$2:$A$1601,$AG411))</f>
        <v/>
      </c>
      <c r="K411">
        <f>IF($AG411="","",INDEX('TMP Paste'!$L$2:$L$1601,$AG411))</f>
        <v/>
      </c>
      <c r="L411">
        <f>IF($AG411="","",INDEX('TMP Paste'!$I$2:$I$1601,$AG411))</f>
        <v/>
      </c>
      <c r="M411">
        <f>IF($AG411="","",Config!$B$16)</f>
        <v/>
      </c>
      <c r="N411">
        <f>IF($AG411="","","")</f>
        <v/>
      </c>
      <c r="O411">
        <f>IF($AG411="","",INDEX('TMP Paste'!$K$2:$K$1601,$AG411))</f>
        <v/>
      </c>
      <c r="P411">
        <f>IF($AG411="","","")</f>
        <v/>
      </c>
      <c r="Q411">
        <f>IF($AG411="","",INDEX('TMP Paste'!$J$2:$J$1601,$AG411))</f>
        <v/>
      </c>
      <c r="R411">
        <f>IF($AG411="","",Config!$B$24)</f>
        <v/>
      </c>
      <c r="S411">
        <f>IF($AG411="","",TEXT(Config!$B$4,"yyyy-mm-dd"))</f>
        <v/>
      </c>
      <c r="T411">
        <f>IF($AG411="","",Config!$B$17)</f>
        <v/>
      </c>
      <c r="U411">
        <f>IF($AG411="","",Config!$B$18)</f>
        <v/>
      </c>
      <c r="V411">
        <f>IF($AG411="","",Config!$B$19)</f>
        <v/>
      </c>
      <c r="W411">
        <f>IF($AG411="","",INDEX('TMP Paste'!$C$2:$C$1601,$AG411))</f>
        <v/>
      </c>
      <c r="X411">
        <f>IF($AG411="","",Config!$B$29)</f>
        <v/>
      </c>
      <c r="Y411">
        <f>IF($AH411="","",INDEX(Calc!$I$2:$I$1601,$AH411)&amp;" - "&amp;INDEX(Calc!$D$2:$D$1601,$AH411)&amp;" koli")</f>
        <v/>
      </c>
      <c r="Z411">
        <f>IF($AG411="","",Config!$B$21)</f>
        <v/>
      </c>
      <c r="AA411">
        <f>IF($AG411="","",Config!$B$22)</f>
        <v/>
      </c>
      <c r="AB411">
        <f>IF($AH411="","",INDEX(Calc!$D$2:$D$1601,$AH411))</f>
        <v/>
      </c>
      <c r="AC411">
        <f>IF($AH411="","",INDEX(Calc!$G$2:$G$1601,$AH411))</f>
        <v/>
      </c>
      <c r="AD411">
        <f>IF($AG411="","",Config!$B$23)</f>
        <v/>
      </c>
      <c r="AE411">
        <f>IF($AG411="","",Config!$B$28)</f>
        <v/>
      </c>
      <c r="AG411">
        <f>IFERROR(MATCH(ROW()-1,Calc!$J$2:$J$1601,0),"")</f>
        <v/>
      </c>
      <c r="AH411">
        <f>IFERROR(MATCH(ROW()-1,Calc!$K$2:$K$1601,0),"")</f>
        <v/>
      </c>
      <c r="AI411">
        <f>IF($AG411="","",SUMIF($AG$2:$AG411,$AG411,$AH$2:$AH411))</f>
        <v/>
      </c>
      <c r="AJ411">
        <f>IF('TMP Paste'!$F411="","",IF('TMP Paste'!$B411="",$AJ410,'TMP Paste'!$B411))</f>
        <v/>
      </c>
      <c r="AK411">
        <f>IF('TMP Paste'!$F411="","",N('TMP Paste'!$G411))</f>
        <v/>
      </c>
      <c r="AL411">
        <f>IF('TMP Paste'!$F411="","",IF('TMP Paste'!$M411="",$AL410,'TMP Paste'!$M411))</f>
        <v/>
      </c>
      <c r="AM411">
        <f>IF('TMP Paste'!$F411="","",IF('TMP Paste'!$N411="",$AM410,'TMP Paste'!$N411))</f>
        <v/>
      </c>
      <c r="AN411">
        <f>IF('TMP Paste'!$F411="","",IF('TMP Paste'!$O411="",$AN410,'TMP Paste'!$O411))</f>
        <v/>
      </c>
      <c r="AO411">
        <f>IF('TMP Paste'!$F411="","",IF('TMP Paste'!$P411="",$AO410,'TMP Paste'!$P411))</f>
        <v/>
      </c>
      <c r="AP411">
        <f>IF($AG411="","",LEN($R411))</f>
        <v/>
      </c>
      <c r="AQ411">
        <f>IF($AG411="","",TRIM(IF(COUNTIFS(Calc!$B$2:$B$1601,ROW()-1,Calc!$C$2:$C$1601,"&lt;1")&gt;0,"Ada PO tanpa Koli - cek TMP. ","")&amp;IF(LEN($R411)&gt;500,"R &gt; 500 karakter.","")))</f>
        <v/>
      </c>
    </row>
    <row r="412">
      <c r="A412">
        <f>IF($AG412="","",INDEX('TMP Paste'!$B$2:$B$1601,$AG412))</f>
        <v/>
      </c>
      <c r="B412">
        <f>IF($AG412="","",Config!$B$14)</f>
        <v/>
      </c>
      <c r="C412">
        <f>IF($AG412="","",Config!$B$15)</f>
        <v/>
      </c>
      <c r="D412">
        <f>IF($AG412="","",INDEX('TMP Paste'!$B$2:$B$1601,$AG412))</f>
        <v/>
      </c>
      <c r="E412">
        <f>IF($AG412="","",Config!$B$27)</f>
        <v/>
      </c>
      <c r="F412">
        <f>IF($AG412="","",Config!$B$9)</f>
        <v/>
      </c>
      <c r="G412">
        <f>IF($AG412="","",Config!$B$10)</f>
        <v/>
      </c>
      <c r="H412">
        <f>IF($AG412="","",Config!$B$11)</f>
        <v/>
      </c>
      <c r="I412">
        <f>IF($AG412="","",Config!$B$16)</f>
        <v/>
      </c>
      <c r="J412">
        <f>IF($AG412="","",INDEX('TMP Paste'!$A$2:$A$1601,$AG412))</f>
        <v/>
      </c>
      <c r="K412">
        <f>IF($AG412="","",INDEX('TMP Paste'!$L$2:$L$1601,$AG412))</f>
        <v/>
      </c>
      <c r="L412">
        <f>IF($AG412="","",INDEX('TMP Paste'!$I$2:$I$1601,$AG412))</f>
        <v/>
      </c>
      <c r="M412">
        <f>IF($AG412="","",Config!$B$16)</f>
        <v/>
      </c>
      <c r="N412">
        <f>IF($AG412="","","")</f>
        <v/>
      </c>
      <c r="O412">
        <f>IF($AG412="","",INDEX('TMP Paste'!$K$2:$K$1601,$AG412))</f>
        <v/>
      </c>
      <c r="P412">
        <f>IF($AG412="","","")</f>
        <v/>
      </c>
      <c r="Q412">
        <f>IF($AG412="","",INDEX('TMP Paste'!$J$2:$J$1601,$AG412))</f>
        <v/>
      </c>
      <c r="R412">
        <f>IF($AG412="","",Config!$B$24)</f>
        <v/>
      </c>
      <c r="S412">
        <f>IF($AG412="","",TEXT(Config!$B$4,"yyyy-mm-dd"))</f>
        <v/>
      </c>
      <c r="T412">
        <f>IF($AG412="","",Config!$B$17)</f>
        <v/>
      </c>
      <c r="U412">
        <f>IF($AG412="","",Config!$B$18)</f>
        <v/>
      </c>
      <c r="V412">
        <f>IF($AG412="","",Config!$B$19)</f>
        <v/>
      </c>
      <c r="W412">
        <f>IF($AG412="","",INDEX('TMP Paste'!$C$2:$C$1601,$AG412))</f>
        <v/>
      </c>
      <c r="X412">
        <f>IF($AG412="","",Config!$B$29)</f>
        <v/>
      </c>
      <c r="Y412">
        <f>IF($AH412="","",INDEX(Calc!$I$2:$I$1601,$AH412)&amp;" - "&amp;INDEX(Calc!$D$2:$D$1601,$AH412)&amp;" koli")</f>
        <v/>
      </c>
      <c r="Z412">
        <f>IF($AG412="","",Config!$B$21)</f>
        <v/>
      </c>
      <c r="AA412">
        <f>IF($AG412="","",Config!$B$22)</f>
        <v/>
      </c>
      <c r="AB412">
        <f>IF($AH412="","",INDEX(Calc!$D$2:$D$1601,$AH412))</f>
        <v/>
      </c>
      <c r="AC412">
        <f>IF($AH412="","",INDEX(Calc!$G$2:$G$1601,$AH412))</f>
        <v/>
      </c>
      <c r="AD412">
        <f>IF($AG412="","",Config!$B$23)</f>
        <v/>
      </c>
      <c r="AE412">
        <f>IF($AG412="","",Config!$B$28)</f>
        <v/>
      </c>
      <c r="AG412">
        <f>IFERROR(MATCH(ROW()-1,Calc!$J$2:$J$1601,0),"")</f>
        <v/>
      </c>
      <c r="AH412">
        <f>IFERROR(MATCH(ROW()-1,Calc!$K$2:$K$1601,0),"")</f>
        <v/>
      </c>
      <c r="AI412">
        <f>IF($AG412="","",SUMIF($AG$2:$AG412,$AG412,$AH$2:$AH412))</f>
        <v/>
      </c>
      <c r="AJ412">
        <f>IF('TMP Paste'!$F412="","",IF('TMP Paste'!$B412="",$AJ411,'TMP Paste'!$B412))</f>
        <v/>
      </c>
      <c r="AK412">
        <f>IF('TMP Paste'!$F412="","",N('TMP Paste'!$G412))</f>
        <v/>
      </c>
      <c r="AL412">
        <f>IF('TMP Paste'!$F412="","",IF('TMP Paste'!$M412="",$AL411,'TMP Paste'!$M412))</f>
        <v/>
      </c>
      <c r="AM412">
        <f>IF('TMP Paste'!$F412="","",IF('TMP Paste'!$N412="",$AM411,'TMP Paste'!$N412))</f>
        <v/>
      </c>
      <c r="AN412">
        <f>IF('TMP Paste'!$F412="","",IF('TMP Paste'!$O412="",$AN411,'TMP Paste'!$O412))</f>
        <v/>
      </c>
      <c r="AO412">
        <f>IF('TMP Paste'!$F412="","",IF('TMP Paste'!$P412="",$AO411,'TMP Paste'!$P412))</f>
        <v/>
      </c>
      <c r="AP412">
        <f>IF($AG412="","",LEN($R412))</f>
        <v/>
      </c>
      <c r="AQ412">
        <f>IF($AG412="","",TRIM(IF(COUNTIFS(Calc!$B$2:$B$1601,ROW()-1,Calc!$C$2:$C$1601,"&lt;1")&gt;0,"Ada PO tanpa Koli - cek TMP. ","")&amp;IF(LEN($R412)&gt;500,"R &gt; 500 karakter.","")))</f>
        <v/>
      </c>
    </row>
    <row r="413">
      <c r="A413">
        <f>IF($AG413="","",INDEX('TMP Paste'!$B$2:$B$1601,$AG413))</f>
        <v/>
      </c>
      <c r="B413">
        <f>IF($AG413="","",Config!$B$14)</f>
        <v/>
      </c>
      <c r="C413">
        <f>IF($AG413="","",Config!$B$15)</f>
        <v/>
      </c>
      <c r="D413">
        <f>IF($AG413="","",INDEX('TMP Paste'!$B$2:$B$1601,$AG413))</f>
        <v/>
      </c>
      <c r="E413">
        <f>IF($AG413="","",Config!$B$27)</f>
        <v/>
      </c>
      <c r="F413">
        <f>IF($AG413="","",Config!$B$9)</f>
        <v/>
      </c>
      <c r="G413">
        <f>IF($AG413="","",Config!$B$10)</f>
        <v/>
      </c>
      <c r="H413">
        <f>IF($AG413="","",Config!$B$11)</f>
        <v/>
      </c>
      <c r="I413">
        <f>IF($AG413="","",Config!$B$16)</f>
        <v/>
      </c>
      <c r="J413">
        <f>IF($AG413="","",INDEX('TMP Paste'!$A$2:$A$1601,$AG413))</f>
        <v/>
      </c>
      <c r="K413">
        <f>IF($AG413="","",INDEX('TMP Paste'!$L$2:$L$1601,$AG413))</f>
        <v/>
      </c>
      <c r="L413">
        <f>IF($AG413="","",INDEX('TMP Paste'!$I$2:$I$1601,$AG413))</f>
        <v/>
      </c>
      <c r="M413">
        <f>IF($AG413="","",Config!$B$16)</f>
        <v/>
      </c>
      <c r="N413">
        <f>IF($AG413="","","")</f>
        <v/>
      </c>
      <c r="O413">
        <f>IF($AG413="","",INDEX('TMP Paste'!$K$2:$K$1601,$AG413))</f>
        <v/>
      </c>
      <c r="P413">
        <f>IF($AG413="","","")</f>
        <v/>
      </c>
      <c r="Q413">
        <f>IF($AG413="","",INDEX('TMP Paste'!$J$2:$J$1601,$AG413))</f>
        <v/>
      </c>
      <c r="R413">
        <f>IF($AG413="","",Config!$B$24)</f>
        <v/>
      </c>
      <c r="S413">
        <f>IF($AG413="","",TEXT(Config!$B$4,"yyyy-mm-dd"))</f>
        <v/>
      </c>
      <c r="T413">
        <f>IF($AG413="","",Config!$B$17)</f>
        <v/>
      </c>
      <c r="U413">
        <f>IF($AG413="","",Config!$B$18)</f>
        <v/>
      </c>
      <c r="V413">
        <f>IF($AG413="","",Config!$B$19)</f>
        <v/>
      </c>
      <c r="W413">
        <f>IF($AG413="","",INDEX('TMP Paste'!$C$2:$C$1601,$AG413))</f>
        <v/>
      </c>
      <c r="X413">
        <f>IF($AG413="","",Config!$B$29)</f>
        <v/>
      </c>
      <c r="Y413">
        <f>IF($AH413="","",INDEX(Calc!$I$2:$I$1601,$AH413)&amp;" - "&amp;INDEX(Calc!$D$2:$D$1601,$AH413)&amp;" koli")</f>
        <v/>
      </c>
      <c r="Z413">
        <f>IF($AG413="","",Config!$B$21)</f>
        <v/>
      </c>
      <c r="AA413">
        <f>IF($AG413="","",Config!$B$22)</f>
        <v/>
      </c>
      <c r="AB413">
        <f>IF($AH413="","",INDEX(Calc!$D$2:$D$1601,$AH413))</f>
        <v/>
      </c>
      <c r="AC413">
        <f>IF($AH413="","",INDEX(Calc!$G$2:$G$1601,$AH413))</f>
        <v/>
      </c>
      <c r="AD413">
        <f>IF($AG413="","",Config!$B$23)</f>
        <v/>
      </c>
      <c r="AE413">
        <f>IF($AG413="","",Config!$B$28)</f>
        <v/>
      </c>
      <c r="AG413">
        <f>IFERROR(MATCH(ROW()-1,Calc!$J$2:$J$1601,0),"")</f>
        <v/>
      </c>
      <c r="AH413">
        <f>IFERROR(MATCH(ROW()-1,Calc!$K$2:$K$1601,0),"")</f>
        <v/>
      </c>
      <c r="AI413">
        <f>IF($AG413="","",SUMIF($AG$2:$AG413,$AG413,$AH$2:$AH413))</f>
        <v/>
      </c>
      <c r="AJ413">
        <f>IF('TMP Paste'!$F413="","",IF('TMP Paste'!$B413="",$AJ412,'TMP Paste'!$B413))</f>
        <v/>
      </c>
      <c r="AK413">
        <f>IF('TMP Paste'!$F413="","",N('TMP Paste'!$G413))</f>
        <v/>
      </c>
      <c r="AL413">
        <f>IF('TMP Paste'!$F413="","",IF('TMP Paste'!$M413="",$AL412,'TMP Paste'!$M413))</f>
        <v/>
      </c>
      <c r="AM413">
        <f>IF('TMP Paste'!$F413="","",IF('TMP Paste'!$N413="",$AM412,'TMP Paste'!$N413))</f>
        <v/>
      </c>
      <c r="AN413">
        <f>IF('TMP Paste'!$F413="","",IF('TMP Paste'!$O413="",$AN412,'TMP Paste'!$O413))</f>
        <v/>
      </c>
      <c r="AO413">
        <f>IF('TMP Paste'!$F413="","",IF('TMP Paste'!$P413="",$AO412,'TMP Paste'!$P413))</f>
        <v/>
      </c>
      <c r="AP413">
        <f>IF($AG413="","",LEN($R413))</f>
        <v/>
      </c>
      <c r="AQ413">
        <f>IF($AG413="","",TRIM(IF(COUNTIFS(Calc!$B$2:$B$1601,ROW()-1,Calc!$C$2:$C$1601,"&lt;1")&gt;0,"Ada PO tanpa Koli - cek TMP. ","")&amp;IF(LEN($R413)&gt;500,"R &gt; 500 karakter.","")))</f>
        <v/>
      </c>
    </row>
    <row r="414">
      <c r="A414">
        <f>IF($AG414="","",INDEX('TMP Paste'!$B$2:$B$1601,$AG414))</f>
        <v/>
      </c>
      <c r="B414">
        <f>IF($AG414="","",Config!$B$14)</f>
        <v/>
      </c>
      <c r="C414">
        <f>IF($AG414="","",Config!$B$15)</f>
        <v/>
      </c>
      <c r="D414">
        <f>IF($AG414="","",INDEX('TMP Paste'!$B$2:$B$1601,$AG414))</f>
        <v/>
      </c>
      <c r="E414">
        <f>IF($AG414="","",Config!$B$27)</f>
        <v/>
      </c>
      <c r="F414">
        <f>IF($AG414="","",Config!$B$9)</f>
        <v/>
      </c>
      <c r="G414">
        <f>IF($AG414="","",Config!$B$10)</f>
        <v/>
      </c>
      <c r="H414">
        <f>IF($AG414="","",Config!$B$11)</f>
        <v/>
      </c>
      <c r="I414">
        <f>IF($AG414="","",Config!$B$16)</f>
        <v/>
      </c>
      <c r="J414">
        <f>IF($AG414="","",INDEX('TMP Paste'!$A$2:$A$1601,$AG414))</f>
        <v/>
      </c>
      <c r="K414">
        <f>IF($AG414="","",INDEX('TMP Paste'!$L$2:$L$1601,$AG414))</f>
        <v/>
      </c>
      <c r="L414">
        <f>IF($AG414="","",INDEX('TMP Paste'!$I$2:$I$1601,$AG414))</f>
        <v/>
      </c>
      <c r="M414">
        <f>IF($AG414="","",Config!$B$16)</f>
        <v/>
      </c>
      <c r="N414">
        <f>IF($AG414="","","")</f>
        <v/>
      </c>
      <c r="O414">
        <f>IF($AG414="","",INDEX('TMP Paste'!$K$2:$K$1601,$AG414))</f>
        <v/>
      </c>
      <c r="P414">
        <f>IF($AG414="","","")</f>
        <v/>
      </c>
      <c r="Q414">
        <f>IF($AG414="","",INDEX('TMP Paste'!$J$2:$J$1601,$AG414))</f>
        <v/>
      </c>
      <c r="R414">
        <f>IF($AG414="","",Config!$B$24)</f>
        <v/>
      </c>
      <c r="S414">
        <f>IF($AG414="","",TEXT(Config!$B$4,"yyyy-mm-dd"))</f>
        <v/>
      </c>
      <c r="T414">
        <f>IF($AG414="","",Config!$B$17)</f>
        <v/>
      </c>
      <c r="U414">
        <f>IF($AG414="","",Config!$B$18)</f>
        <v/>
      </c>
      <c r="V414">
        <f>IF($AG414="","",Config!$B$19)</f>
        <v/>
      </c>
      <c r="W414">
        <f>IF($AG414="","",INDEX('TMP Paste'!$C$2:$C$1601,$AG414))</f>
        <v/>
      </c>
      <c r="X414">
        <f>IF($AG414="","",Config!$B$29)</f>
        <v/>
      </c>
      <c r="Y414">
        <f>IF($AH414="","",INDEX(Calc!$I$2:$I$1601,$AH414)&amp;" - "&amp;INDEX(Calc!$D$2:$D$1601,$AH414)&amp;" koli")</f>
        <v/>
      </c>
      <c r="Z414">
        <f>IF($AG414="","",Config!$B$21)</f>
        <v/>
      </c>
      <c r="AA414">
        <f>IF($AG414="","",Config!$B$22)</f>
        <v/>
      </c>
      <c r="AB414">
        <f>IF($AH414="","",INDEX(Calc!$D$2:$D$1601,$AH414))</f>
        <v/>
      </c>
      <c r="AC414">
        <f>IF($AH414="","",INDEX(Calc!$G$2:$G$1601,$AH414))</f>
        <v/>
      </c>
      <c r="AD414">
        <f>IF($AG414="","",Config!$B$23)</f>
        <v/>
      </c>
      <c r="AE414">
        <f>IF($AG414="","",Config!$B$28)</f>
        <v/>
      </c>
      <c r="AG414">
        <f>IFERROR(MATCH(ROW()-1,Calc!$J$2:$J$1601,0),"")</f>
        <v/>
      </c>
      <c r="AH414">
        <f>IFERROR(MATCH(ROW()-1,Calc!$K$2:$K$1601,0),"")</f>
        <v/>
      </c>
      <c r="AI414">
        <f>IF($AG414="","",SUMIF($AG$2:$AG414,$AG414,$AH$2:$AH414))</f>
        <v/>
      </c>
      <c r="AJ414">
        <f>IF('TMP Paste'!$F414="","",IF('TMP Paste'!$B414="",$AJ413,'TMP Paste'!$B414))</f>
        <v/>
      </c>
      <c r="AK414">
        <f>IF('TMP Paste'!$F414="","",N('TMP Paste'!$G414))</f>
        <v/>
      </c>
      <c r="AL414">
        <f>IF('TMP Paste'!$F414="","",IF('TMP Paste'!$M414="",$AL413,'TMP Paste'!$M414))</f>
        <v/>
      </c>
      <c r="AM414">
        <f>IF('TMP Paste'!$F414="","",IF('TMP Paste'!$N414="",$AM413,'TMP Paste'!$N414))</f>
        <v/>
      </c>
      <c r="AN414">
        <f>IF('TMP Paste'!$F414="","",IF('TMP Paste'!$O414="",$AN413,'TMP Paste'!$O414))</f>
        <v/>
      </c>
      <c r="AO414">
        <f>IF('TMP Paste'!$F414="","",IF('TMP Paste'!$P414="",$AO413,'TMP Paste'!$P414))</f>
        <v/>
      </c>
      <c r="AP414">
        <f>IF($AG414="","",LEN($R414))</f>
        <v/>
      </c>
      <c r="AQ414">
        <f>IF($AG414="","",TRIM(IF(COUNTIFS(Calc!$B$2:$B$1601,ROW()-1,Calc!$C$2:$C$1601,"&lt;1")&gt;0,"Ada PO tanpa Koli - cek TMP. ","")&amp;IF(LEN($R414)&gt;500,"R &gt; 500 karakter.","")))</f>
        <v/>
      </c>
    </row>
    <row r="415">
      <c r="A415">
        <f>IF($AG415="","",INDEX('TMP Paste'!$B$2:$B$1601,$AG415))</f>
        <v/>
      </c>
      <c r="B415">
        <f>IF($AG415="","",Config!$B$14)</f>
        <v/>
      </c>
      <c r="C415">
        <f>IF($AG415="","",Config!$B$15)</f>
        <v/>
      </c>
      <c r="D415">
        <f>IF($AG415="","",INDEX('TMP Paste'!$B$2:$B$1601,$AG415))</f>
        <v/>
      </c>
      <c r="E415">
        <f>IF($AG415="","",Config!$B$27)</f>
        <v/>
      </c>
      <c r="F415">
        <f>IF($AG415="","",Config!$B$9)</f>
        <v/>
      </c>
      <c r="G415">
        <f>IF($AG415="","",Config!$B$10)</f>
        <v/>
      </c>
      <c r="H415">
        <f>IF($AG415="","",Config!$B$11)</f>
        <v/>
      </c>
      <c r="I415">
        <f>IF($AG415="","",Config!$B$16)</f>
        <v/>
      </c>
      <c r="J415">
        <f>IF($AG415="","",INDEX('TMP Paste'!$A$2:$A$1601,$AG415))</f>
        <v/>
      </c>
      <c r="K415">
        <f>IF($AG415="","",INDEX('TMP Paste'!$L$2:$L$1601,$AG415))</f>
        <v/>
      </c>
      <c r="L415">
        <f>IF($AG415="","",INDEX('TMP Paste'!$I$2:$I$1601,$AG415))</f>
        <v/>
      </c>
      <c r="M415">
        <f>IF($AG415="","",Config!$B$16)</f>
        <v/>
      </c>
      <c r="N415">
        <f>IF($AG415="","","")</f>
        <v/>
      </c>
      <c r="O415">
        <f>IF($AG415="","",INDEX('TMP Paste'!$K$2:$K$1601,$AG415))</f>
        <v/>
      </c>
      <c r="P415">
        <f>IF($AG415="","","")</f>
        <v/>
      </c>
      <c r="Q415">
        <f>IF($AG415="","",INDEX('TMP Paste'!$J$2:$J$1601,$AG415))</f>
        <v/>
      </c>
      <c r="R415">
        <f>IF($AG415="","",Config!$B$24)</f>
        <v/>
      </c>
      <c r="S415">
        <f>IF($AG415="","",TEXT(Config!$B$4,"yyyy-mm-dd"))</f>
        <v/>
      </c>
      <c r="T415">
        <f>IF($AG415="","",Config!$B$17)</f>
        <v/>
      </c>
      <c r="U415">
        <f>IF($AG415="","",Config!$B$18)</f>
        <v/>
      </c>
      <c r="V415">
        <f>IF($AG415="","",Config!$B$19)</f>
        <v/>
      </c>
      <c r="W415">
        <f>IF($AG415="","",INDEX('TMP Paste'!$C$2:$C$1601,$AG415))</f>
        <v/>
      </c>
      <c r="X415">
        <f>IF($AG415="","",Config!$B$29)</f>
        <v/>
      </c>
      <c r="Y415">
        <f>IF($AH415="","",INDEX(Calc!$I$2:$I$1601,$AH415)&amp;" - "&amp;INDEX(Calc!$D$2:$D$1601,$AH415)&amp;" koli")</f>
        <v/>
      </c>
      <c r="Z415">
        <f>IF($AG415="","",Config!$B$21)</f>
        <v/>
      </c>
      <c r="AA415">
        <f>IF($AG415="","",Config!$B$22)</f>
        <v/>
      </c>
      <c r="AB415">
        <f>IF($AH415="","",INDEX(Calc!$D$2:$D$1601,$AH415))</f>
        <v/>
      </c>
      <c r="AC415">
        <f>IF($AH415="","",INDEX(Calc!$G$2:$G$1601,$AH415))</f>
        <v/>
      </c>
      <c r="AD415">
        <f>IF($AG415="","",Config!$B$23)</f>
        <v/>
      </c>
      <c r="AE415">
        <f>IF($AG415="","",Config!$B$28)</f>
        <v/>
      </c>
      <c r="AG415">
        <f>IFERROR(MATCH(ROW()-1,Calc!$J$2:$J$1601,0),"")</f>
        <v/>
      </c>
      <c r="AH415">
        <f>IFERROR(MATCH(ROW()-1,Calc!$K$2:$K$1601,0),"")</f>
        <v/>
      </c>
      <c r="AI415">
        <f>IF($AG415="","",SUMIF($AG$2:$AG415,$AG415,$AH$2:$AH415))</f>
        <v/>
      </c>
      <c r="AJ415">
        <f>IF('TMP Paste'!$F415="","",IF('TMP Paste'!$B415="",$AJ414,'TMP Paste'!$B415))</f>
        <v/>
      </c>
      <c r="AK415">
        <f>IF('TMP Paste'!$F415="","",N('TMP Paste'!$G415))</f>
        <v/>
      </c>
      <c r="AL415">
        <f>IF('TMP Paste'!$F415="","",IF('TMP Paste'!$M415="",$AL414,'TMP Paste'!$M415))</f>
        <v/>
      </c>
      <c r="AM415">
        <f>IF('TMP Paste'!$F415="","",IF('TMP Paste'!$N415="",$AM414,'TMP Paste'!$N415))</f>
        <v/>
      </c>
      <c r="AN415">
        <f>IF('TMP Paste'!$F415="","",IF('TMP Paste'!$O415="",$AN414,'TMP Paste'!$O415))</f>
        <v/>
      </c>
      <c r="AO415">
        <f>IF('TMP Paste'!$F415="","",IF('TMP Paste'!$P415="",$AO414,'TMP Paste'!$P415))</f>
        <v/>
      </c>
      <c r="AP415">
        <f>IF($AG415="","",LEN($R415))</f>
        <v/>
      </c>
      <c r="AQ415">
        <f>IF($AG415="","",TRIM(IF(COUNTIFS(Calc!$B$2:$B$1601,ROW()-1,Calc!$C$2:$C$1601,"&lt;1")&gt;0,"Ada PO tanpa Koli - cek TMP. ","")&amp;IF(LEN($R415)&gt;500,"R &gt; 500 karakter.","")))</f>
        <v/>
      </c>
    </row>
    <row r="416">
      <c r="A416">
        <f>IF($AG416="","",INDEX('TMP Paste'!$B$2:$B$1601,$AG416))</f>
        <v/>
      </c>
      <c r="B416">
        <f>IF($AG416="","",Config!$B$14)</f>
        <v/>
      </c>
      <c r="C416">
        <f>IF($AG416="","",Config!$B$15)</f>
        <v/>
      </c>
      <c r="D416">
        <f>IF($AG416="","",INDEX('TMP Paste'!$B$2:$B$1601,$AG416))</f>
        <v/>
      </c>
      <c r="E416">
        <f>IF($AG416="","",Config!$B$27)</f>
        <v/>
      </c>
      <c r="F416">
        <f>IF($AG416="","",Config!$B$9)</f>
        <v/>
      </c>
      <c r="G416">
        <f>IF($AG416="","",Config!$B$10)</f>
        <v/>
      </c>
      <c r="H416">
        <f>IF($AG416="","",Config!$B$11)</f>
        <v/>
      </c>
      <c r="I416">
        <f>IF($AG416="","",Config!$B$16)</f>
        <v/>
      </c>
      <c r="J416">
        <f>IF($AG416="","",INDEX('TMP Paste'!$A$2:$A$1601,$AG416))</f>
        <v/>
      </c>
      <c r="K416">
        <f>IF($AG416="","",INDEX('TMP Paste'!$L$2:$L$1601,$AG416))</f>
        <v/>
      </c>
      <c r="L416">
        <f>IF($AG416="","",INDEX('TMP Paste'!$I$2:$I$1601,$AG416))</f>
        <v/>
      </c>
      <c r="M416">
        <f>IF($AG416="","",Config!$B$16)</f>
        <v/>
      </c>
      <c r="N416">
        <f>IF($AG416="","","")</f>
        <v/>
      </c>
      <c r="O416">
        <f>IF($AG416="","",INDEX('TMP Paste'!$K$2:$K$1601,$AG416))</f>
        <v/>
      </c>
      <c r="P416">
        <f>IF($AG416="","","")</f>
        <v/>
      </c>
      <c r="Q416">
        <f>IF($AG416="","",INDEX('TMP Paste'!$J$2:$J$1601,$AG416))</f>
        <v/>
      </c>
      <c r="R416">
        <f>IF($AG416="","",Config!$B$24)</f>
        <v/>
      </c>
      <c r="S416">
        <f>IF($AG416="","",TEXT(Config!$B$4,"yyyy-mm-dd"))</f>
        <v/>
      </c>
      <c r="T416">
        <f>IF($AG416="","",Config!$B$17)</f>
        <v/>
      </c>
      <c r="U416">
        <f>IF($AG416="","",Config!$B$18)</f>
        <v/>
      </c>
      <c r="V416">
        <f>IF($AG416="","",Config!$B$19)</f>
        <v/>
      </c>
      <c r="W416">
        <f>IF($AG416="","",INDEX('TMP Paste'!$C$2:$C$1601,$AG416))</f>
        <v/>
      </c>
      <c r="X416">
        <f>IF($AG416="","",Config!$B$29)</f>
        <v/>
      </c>
      <c r="Y416">
        <f>IF($AH416="","",INDEX(Calc!$I$2:$I$1601,$AH416)&amp;" - "&amp;INDEX(Calc!$D$2:$D$1601,$AH416)&amp;" koli")</f>
        <v/>
      </c>
      <c r="Z416">
        <f>IF($AG416="","",Config!$B$21)</f>
        <v/>
      </c>
      <c r="AA416">
        <f>IF($AG416="","",Config!$B$22)</f>
        <v/>
      </c>
      <c r="AB416">
        <f>IF($AH416="","",INDEX(Calc!$D$2:$D$1601,$AH416))</f>
        <v/>
      </c>
      <c r="AC416">
        <f>IF($AH416="","",INDEX(Calc!$G$2:$G$1601,$AH416))</f>
        <v/>
      </c>
      <c r="AD416">
        <f>IF($AG416="","",Config!$B$23)</f>
        <v/>
      </c>
      <c r="AE416">
        <f>IF($AG416="","",Config!$B$28)</f>
        <v/>
      </c>
      <c r="AG416">
        <f>IFERROR(MATCH(ROW()-1,Calc!$J$2:$J$1601,0),"")</f>
        <v/>
      </c>
      <c r="AH416">
        <f>IFERROR(MATCH(ROW()-1,Calc!$K$2:$K$1601,0),"")</f>
        <v/>
      </c>
      <c r="AI416">
        <f>IF($AG416="","",SUMIF($AG$2:$AG416,$AG416,$AH$2:$AH416))</f>
        <v/>
      </c>
      <c r="AJ416">
        <f>IF('TMP Paste'!$F416="","",IF('TMP Paste'!$B416="",$AJ415,'TMP Paste'!$B416))</f>
        <v/>
      </c>
      <c r="AK416">
        <f>IF('TMP Paste'!$F416="","",N('TMP Paste'!$G416))</f>
        <v/>
      </c>
      <c r="AL416">
        <f>IF('TMP Paste'!$F416="","",IF('TMP Paste'!$M416="",$AL415,'TMP Paste'!$M416))</f>
        <v/>
      </c>
      <c r="AM416">
        <f>IF('TMP Paste'!$F416="","",IF('TMP Paste'!$N416="",$AM415,'TMP Paste'!$N416))</f>
        <v/>
      </c>
      <c r="AN416">
        <f>IF('TMP Paste'!$F416="","",IF('TMP Paste'!$O416="",$AN415,'TMP Paste'!$O416))</f>
        <v/>
      </c>
      <c r="AO416">
        <f>IF('TMP Paste'!$F416="","",IF('TMP Paste'!$P416="",$AO415,'TMP Paste'!$P416))</f>
        <v/>
      </c>
      <c r="AP416">
        <f>IF($AG416="","",LEN($R416))</f>
        <v/>
      </c>
      <c r="AQ416">
        <f>IF($AG416="","",TRIM(IF(COUNTIFS(Calc!$B$2:$B$1601,ROW()-1,Calc!$C$2:$C$1601,"&lt;1")&gt;0,"Ada PO tanpa Koli - cek TMP. ","")&amp;IF(LEN($R416)&gt;500,"R &gt; 500 karakter.","")))</f>
        <v/>
      </c>
    </row>
    <row r="417">
      <c r="A417">
        <f>IF($AG417="","",INDEX('TMP Paste'!$B$2:$B$1601,$AG417))</f>
        <v/>
      </c>
      <c r="B417">
        <f>IF($AG417="","",Config!$B$14)</f>
        <v/>
      </c>
      <c r="C417">
        <f>IF($AG417="","",Config!$B$15)</f>
        <v/>
      </c>
      <c r="D417">
        <f>IF($AG417="","",INDEX('TMP Paste'!$B$2:$B$1601,$AG417))</f>
        <v/>
      </c>
      <c r="E417">
        <f>IF($AG417="","",Config!$B$27)</f>
        <v/>
      </c>
      <c r="F417">
        <f>IF($AG417="","",Config!$B$9)</f>
        <v/>
      </c>
      <c r="G417">
        <f>IF($AG417="","",Config!$B$10)</f>
        <v/>
      </c>
      <c r="H417">
        <f>IF($AG417="","",Config!$B$11)</f>
        <v/>
      </c>
      <c r="I417">
        <f>IF($AG417="","",Config!$B$16)</f>
        <v/>
      </c>
      <c r="J417">
        <f>IF($AG417="","",INDEX('TMP Paste'!$A$2:$A$1601,$AG417))</f>
        <v/>
      </c>
      <c r="K417">
        <f>IF($AG417="","",INDEX('TMP Paste'!$L$2:$L$1601,$AG417))</f>
        <v/>
      </c>
      <c r="L417">
        <f>IF($AG417="","",INDEX('TMP Paste'!$I$2:$I$1601,$AG417))</f>
        <v/>
      </c>
      <c r="M417">
        <f>IF($AG417="","",Config!$B$16)</f>
        <v/>
      </c>
      <c r="N417">
        <f>IF($AG417="","","")</f>
        <v/>
      </c>
      <c r="O417">
        <f>IF($AG417="","",INDEX('TMP Paste'!$K$2:$K$1601,$AG417))</f>
        <v/>
      </c>
      <c r="P417">
        <f>IF($AG417="","","")</f>
        <v/>
      </c>
      <c r="Q417">
        <f>IF($AG417="","",INDEX('TMP Paste'!$J$2:$J$1601,$AG417))</f>
        <v/>
      </c>
      <c r="R417">
        <f>IF($AG417="","",Config!$B$24)</f>
        <v/>
      </c>
      <c r="S417">
        <f>IF($AG417="","",TEXT(Config!$B$4,"yyyy-mm-dd"))</f>
        <v/>
      </c>
      <c r="T417">
        <f>IF($AG417="","",Config!$B$17)</f>
        <v/>
      </c>
      <c r="U417">
        <f>IF($AG417="","",Config!$B$18)</f>
        <v/>
      </c>
      <c r="V417">
        <f>IF($AG417="","",Config!$B$19)</f>
        <v/>
      </c>
      <c r="W417">
        <f>IF($AG417="","",INDEX('TMP Paste'!$C$2:$C$1601,$AG417))</f>
        <v/>
      </c>
      <c r="X417">
        <f>IF($AG417="","",Config!$B$29)</f>
        <v/>
      </c>
      <c r="Y417">
        <f>IF($AH417="","",INDEX(Calc!$I$2:$I$1601,$AH417)&amp;" - "&amp;INDEX(Calc!$D$2:$D$1601,$AH417)&amp;" koli")</f>
        <v/>
      </c>
      <c r="Z417">
        <f>IF($AG417="","",Config!$B$21)</f>
        <v/>
      </c>
      <c r="AA417">
        <f>IF($AG417="","",Config!$B$22)</f>
        <v/>
      </c>
      <c r="AB417">
        <f>IF($AH417="","",INDEX(Calc!$D$2:$D$1601,$AH417))</f>
        <v/>
      </c>
      <c r="AC417">
        <f>IF($AH417="","",INDEX(Calc!$G$2:$G$1601,$AH417))</f>
        <v/>
      </c>
      <c r="AD417">
        <f>IF($AG417="","",Config!$B$23)</f>
        <v/>
      </c>
      <c r="AE417">
        <f>IF($AG417="","",Config!$B$28)</f>
        <v/>
      </c>
      <c r="AG417">
        <f>IFERROR(MATCH(ROW()-1,Calc!$J$2:$J$1601,0),"")</f>
        <v/>
      </c>
      <c r="AH417">
        <f>IFERROR(MATCH(ROW()-1,Calc!$K$2:$K$1601,0),"")</f>
        <v/>
      </c>
      <c r="AI417">
        <f>IF($AG417="","",SUMIF($AG$2:$AG417,$AG417,$AH$2:$AH417))</f>
        <v/>
      </c>
      <c r="AJ417">
        <f>IF('TMP Paste'!$F417="","",IF('TMP Paste'!$B417="",$AJ416,'TMP Paste'!$B417))</f>
        <v/>
      </c>
      <c r="AK417">
        <f>IF('TMP Paste'!$F417="","",N('TMP Paste'!$G417))</f>
        <v/>
      </c>
      <c r="AL417">
        <f>IF('TMP Paste'!$F417="","",IF('TMP Paste'!$M417="",$AL416,'TMP Paste'!$M417))</f>
        <v/>
      </c>
      <c r="AM417">
        <f>IF('TMP Paste'!$F417="","",IF('TMP Paste'!$N417="",$AM416,'TMP Paste'!$N417))</f>
        <v/>
      </c>
      <c r="AN417">
        <f>IF('TMP Paste'!$F417="","",IF('TMP Paste'!$O417="",$AN416,'TMP Paste'!$O417))</f>
        <v/>
      </c>
      <c r="AO417">
        <f>IF('TMP Paste'!$F417="","",IF('TMP Paste'!$P417="",$AO416,'TMP Paste'!$P417))</f>
        <v/>
      </c>
      <c r="AP417">
        <f>IF($AG417="","",LEN($R417))</f>
        <v/>
      </c>
      <c r="AQ417">
        <f>IF($AG417="","",TRIM(IF(COUNTIFS(Calc!$B$2:$B$1601,ROW()-1,Calc!$C$2:$C$1601,"&lt;1")&gt;0,"Ada PO tanpa Koli - cek TMP. ","")&amp;IF(LEN($R417)&gt;500,"R &gt; 500 karakter.","")))</f>
        <v/>
      </c>
    </row>
    <row r="418">
      <c r="A418">
        <f>IF($AG418="","",INDEX('TMP Paste'!$B$2:$B$1601,$AG418))</f>
        <v/>
      </c>
      <c r="B418">
        <f>IF($AG418="","",Config!$B$14)</f>
        <v/>
      </c>
      <c r="C418">
        <f>IF($AG418="","",Config!$B$15)</f>
        <v/>
      </c>
      <c r="D418">
        <f>IF($AG418="","",INDEX('TMP Paste'!$B$2:$B$1601,$AG418))</f>
        <v/>
      </c>
      <c r="E418">
        <f>IF($AG418="","",Config!$B$27)</f>
        <v/>
      </c>
      <c r="F418">
        <f>IF($AG418="","",Config!$B$9)</f>
        <v/>
      </c>
      <c r="G418">
        <f>IF($AG418="","",Config!$B$10)</f>
        <v/>
      </c>
      <c r="H418">
        <f>IF($AG418="","",Config!$B$11)</f>
        <v/>
      </c>
      <c r="I418">
        <f>IF($AG418="","",Config!$B$16)</f>
        <v/>
      </c>
      <c r="J418">
        <f>IF($AG418="","",INDEX('TMP Paste'!$A$2:$A$1601,$AG418))</f>
        <v/>
      </c>
      <c r="K418">
        <f>IF($AG418="","",INDEX('TMP Paste'!$L$2:$L$1601,$AG418))</f>
        <v/>
      </c>
      <c r="L418">
        <f>IF($AG418="","",INDEX('TMP Paste'!$I$2:$I$1601,$AG418))</f>
        <v/>
      </c>
      <c r="M418">
        <f>IF($AG418="","",Config!$B$16)</f>
        <v/>
      </c>
      <c r="N418">
        <f>IF($AG418="","","")</f>
        <v/>
      </c>
      <c r="O418">
        <f>IF($AG418="","",INDEX('TMP Paste'!$K$2:$K$1601,$AG418))</f>
        <v/>
      </c>
      <c r="P418">
        <f>IF($AG418="","","")</f>
        <v/>
      </c>
      <c r="Q418">
        <f>IF($AG418="","",INDEX('TMP Paste'!$J$2:$J$1601,$AG418))</f>
        <v/>
      </c>
      <c r="R418">
        <f>IF($AG418="","",Config!$B$24)</f>
        <v/>
      </c>
      <c r="S418">
        <f>IF($AG418="","",TEXT(Config!$B$4,"yyyy-mm-dd"))</f>
        <v/>
      </c>
      <c r="T418">
        <f>IF($AG418="","",Config!$B$17)</f>
        <v/>
      </c>
      <c r="U418">
        <f>IF($AG418="","",Config!$B$18)</f>
        <v/>
      </c>
      <c r="V418">
        <f>IF($AG418="","",Config!$B$19)</f>
        <v/>
      </c>
      <c r="W418">
        <f>IF($AG418="","",INDEX('TMP Paste'!$C$2:$C$1601,$AG418))</f>
        <v/>
      </c>
      <c r="X418">
        <f>IF($AG418="","",Config!$B$29)</f>
        <v/>
      </c>
      <c r="Y418">
        <f>IF($AH418="","",INDEX(Calc!$I$2:$I$1601,$AH418)&amp;" - "&amp;INDEX(Calc!$D$2:$D$1601,$AH418)&amp;" koli")</f>
        <v/>
      </c>
      <c r="Z418">
        <f>IF($AG418="","",Config!$B$21)</f>
        <v/>
      </c>
      <c r="AA418">
        <f>IF($AG418="","",Config!$B$22)</f>
        <v/>
      </c>
      <c r="AB418">
        <f>IF($AH418="","",INDEX(Calc!$D$2:$D$1601,$AH418))</f>
        <v/>
      </c>
      <c r="AC418">
        <f>IF($AH418="","",INDEX(Calc!$G$2:$G$1601,$AH418))</f>
        <v/>
      </c>
      <c r="AD418">
        <f>IF($AG418="","",Config!$B$23)</f>
        <v/>
      </c>
      <c r="AE418">
        <f>IF($AG418="","",Config!$B$28)</f>
        <v/>
      </c>
      <c r="AG418">
        <f>IFERROR(MATCH(ROW()-1,Calc!$J$2:$J$1601,0),"")</f>
        <v/>
      </c>
      <c r="AH418">
        <f>IFERROR(MATCH(ROW()-1,Calc!$K$2:$K$1601,0),"")</f>
        <v/>
      </c>
      <c r="AI418">
        <f>IF($AG418="","",SUMIF($AG$2:$AG418,$AG418,$AH$2:$AH418))</f>
        <v/>
      </c>
      <c r="AJ418">
        <f>IF('TMP Paste'!$F418="","",IF('TMP Paste'!$B418="",$AJ417,'TMP Paste'!$B418))</f>
        <v/>
      </c>
      <c r="AK418">
        <f>IF('TMP Paste'!$F418="","",N('TMP Paste'!$G418))</f>
        <v/>
      </c>
      <c r="AL418">
        <f>IF('TMP Paste'!$F418="","",IF('TMP Paste'!$M418="",$AL417,'TMP Paste'!$M418))</f>
        <v/>
      </c>
      <c r="AM418">
        <f>IF('TMP Paste'!$F418="","",IF('TMP Paste'!$N418="",$AM417,'TMP Paste'!$N418))</f>
        <v/>
      </c>
      <c r="AN418">
        <f>IF('TMP Paste'!$F418="","",IF('TMP Paste'!$O418="",$AN417,'TMP Paste'!$O418))</f>
        <v/>
      </c>
      <c r="AO418">
        <f>IF('TMP Paste'!$F418="","",IF('TMP Paste'!$P418="",$AO417,'TMP Paste'!$P418))</f>
        <v/>
      </c>
      <c r="AP418">
        <f>IF($AG418="","",LEN($R418))</f>
        <v/>
      </c>
      <c r="AQ418">
        <f>IF($AG418="","",TRIM(IF(COUNTIFS(Calc!$B$2:$B$1601,ROW()-1,Calc!$C$2:$C$1601,"&lt;1")&gt;0,"Ada PO tanpa Koli - cek TMP. ","")&amp;IF(LEN($R418)&gt;500,"R &gt; 500 karakter.","")))</f>
        <v/>
      </c>
    </row>
    <row r="419">
      <c r="A419">
        <f>IF($AG419="","",INDEX('TMP Paste'!$B$2:$B$1601,$AG419))</f>
        <v/>
      </c>
      <c r="B419">
        <f>IF($AG419="","",Config!$B$14)</f>
        <v/>
      </c>
      <c r="C419">
        <f>IF($AG419="","",Config!$B$15)</f>
        <v/>
      </c>
      <c r="D419">
        <f>IF($AG419="","",INDEX('TMP Paste'!$B$2:$B$1601,$AG419))</f>
        <v/>
      </c>
      <c r="E419">
        <f>IF($AG419="","",Config!$B$27)</f>
        <v/>
      </c>
      <c r="F419">
        <f>IF($AG419="","",Config!$B$9)</f>
        <v/>
      </c>
      <c r="G419">
        <f>IF($AG419="","",Config!$B$10)</f>
        <v/>
      </c>
      <c r="H419">
        <f>IF($AG419="","",Config!$B$11)</f>
        <v/>
      </c>
      <c r="I419">
        <f>IF($AG419="","",Config!$B$16)</f>
        <v/>
      </c>
      <c r="J419">
        <f>IF($AG419="","",INDEX('TMP Paste'!$A$2:$A$1601,$AG419))</f>
        <v/>
      </c>
      <c r="K419">
        <f>IF($AG419="","",INDEX('TMP Paste'!$L$2:$L$1601,$AG419))</f>
        <v/>
      </c>
      <c r="L419">
        <f>IF($AG419="","",INDEX('TMP Paste'!$I$2:$I$1601,$AG419))</f>
        <v/>
      </c>
      <c r="M419">
        <f>IF($AG419="","",Config!$B$16)</f>
        <v/>
      </c>
      <c r="N419">
        <f>IF($AG419="","","")</f>
        <v/>
      </c>
      <c r="O419">
        <f>IF($AG419="","",INDEX('TMP Paste'!$K$2:$K$1601,$AG419))</f>
        <v/>
      </c>
      <c r="P419">
        <f>IF($AG419="","","")</f>
        <v/>
      </c>
      <c r="Q419">
        <f>IF($AG419="","",INDEX('TMP Paste'!$J$2:$J$1601,$AG419))</f>
        <v/>
      </c>
      <c r="R419">
        <f>IF($AG419="","",Config!$B$24)</f>
        <v/>
      </c>
      <c r="S419">
        <f>IF($AG419="","",TEXT(Config!$B$4,"yyyy-mm-dd"))</f>
        <v/>
      </c>
      <c r="T419">
        <f>IF($AG419="","",Config!$B$17)</f>
        <v/>
      </c>
      <c r="U419">
        <f>IF($AG419="","",Config!$B$18)</f>
        <v/>
      </c>
      <c r="V419">
        <f>IF($AG419="","",Config!$B$19)</f>
        <v/>
      </c>
      <c r="W419">
        <f>IF($AG419="","",INDEX('TMP Paste'!$C$2:$C$1601,$AG419))</f>
        <v/>
      </c>
      <c r="X419">
        <f>IF($AG419="","",Config!$B$29)</f>
        <v/>
      </c>
      <c r="Y419">
        <f>IF($AH419="","",INDEX(Calc!$I$2:$I$1601,$AH419)&amp;" - "&amp;INDEX(Calc!$D$2:$D$1601,$AH419)&amp;" koli")</f>
        <v/>
      </c>
      <c r="Z419">
        <f>IF($AG419="","",Config!$B$21)</f>
        <v/>
      </c>
      <c r="AA419">
        <f>IF($AG419="","",Config!$B$22)</f>
        <v/>
      </c>
      <c r="AB419">
        <f>IF($AH419="","",INDEX(Calc!$D$2:$D$1601,$AH419))</f>
        <v/>
      </c>
      <c r="AC419">
        <f>IF($AH419="","",INDEX(Calc!$G$2:$G$1601,$AH419))</f>
        <v/>
      </c>
      <c r="AD419">
        <f>IF($AG419="","",Config!$B$23)</f>
        <v/>
      </c>
      <c r="AE419">
        <f>IF($AG419="","",Config!$B$28)</f>
        <v/>
      </c>
      <c r="AG419">
        <f>IFERROR(MATCH(ROW()-1,Calc!$J$2:$J$1601,0),"")</f>
        <v/>
      </c>
      <c r="AH419">
        <f>IFERROR(MATCH(ROW()-1,Calc!$K$2:$K$1601,0),"")</f>
        <v/>
      </c>
      <c r="AI419">
        <f>IF($AG419="","",SUMIF($AG$2:$AG419,$AG419,$AH$2:$AH419))</f>
        <v/>
      </c>
      <c r="AJ419">
        <f>IF('TMP Paste'!$F419="","",IF('TMP Paste'!$B419="",$AJ418,'TMP Paste'!$B419))</f>
        <v/>
      </c>
      <c r="AK419">
        <f>IF('TMP Paste'!$F419="","",N('TMP Paste'!$G419))</f>
        <v/>
      </c>
      <c r="AL419">
        <f>IF('TMP Paste'!$F419="","",IF('TMP Paste'!$M419="",$AL418,'TMP Paste'!$M419))</f>
        <v/>
      </c>
      <c r="AM419">
        <f>IF('TMP Paste'!$F419="","",IF('TMP Paste'!$N419="",$AM418,'TMP Paste'!$N419))</f>
        <v/>
      </c>
      <c r="AN419">
        <f>IF('TMP Paste'!$F419="","",IF('TMP Paste'!$O419="",$AN418,'TMP Paste'!$O419))</f>
        <v/>
      </c>
      <c r="AO419">
        <f>IF('TMP Paste'!$F419="","",IF('TMP Paste'!$P419="",$AO418,'TMP Paste'!$P419))</f>
        <v/>
      </c>
      <c r="AP419">
        <f>IF($AG419="","",LEN($R419))</f>
        <v/>
      </c>
      <c r="AQ419">
        <f>IF($AG419="","",TRIM(IF(COUNTIFS(Calc!$B$2:$B$1601,ROW()-1,Calc!$C$2:$C$1601,"&lt;1")&gt;0,"Ada PO tanpa Koli - cek TMP. ","")&amp;IF(LEN($R419)&gt;500,"R &gt; 500 karakter.","")))</f>
        <v/>
      </c>
    </row>
    <row r="420">
      <c r="A420">
        <f>IF($AG420="","",INDEX('TMP Paste'!$B$2:$B$1601,$AG420))</f>
        <v/>
      </c>
      <c r="B420">
        <f>IF($AG420="","",Config!$B$14)</f>
        <v/>
      </c>
      <c r="C420">
        <f>IF($AG420="","",Config!$B$15)</f>
        <v/>
      </c>
      <c r="D420">
        <f>IF($AG420="","",INDEX('TMP Paste'!$B$2:$B$1601,$AG420))</f>
        <v/>
      </c>
      <c r="E420">
        <f>IF($AG420="","",Config!$B$27)</f>
        <v/>
      </c>
      <c r="F420">
        <f>IF($AG420="","",Config!$B$9)</f>
        <v/>
      </c>
      <c r="G420">
        <f>IF($AG420="","",Config!$B$10)</f>
        <v/>
      </c>
      <c r="H420">
        <f>IF($AG420="","",Config!$B$11)</f>
        <v/>
      </c>
      <c r="I420">
        <f>IF($AG420="","",Config!$B$16)</f>
        <v/>
      </c>
      <c r="J420">
        <f>IF($AG420="","",INDEX('TMP Paste'!$A$2:$A$1601,$AG420))</f>
        <v/>
      </c>
      <c r="K420">
        <f>IF($AG420="","",INDEX('TMP Paste'!$L$2:$L$1601,$AG420))</f>
        <v/>
      </c>
      <c r="L420">
        <f>IF($AG420="","",INDEX('TMP Paste'!$I$2:$I$1601,$AG420))</f>
        <v/>
      </c>
      <c r="M420">
        <f>IF($AG420="","",Config!$B$16)</f>
        <v/>
      </c>
      <c r="N420">
        <f>IF($AG420="","","")</f>
        <v/>
      </c>
      <c r="O420">
        <f>IF($AG420="","",INDEX('TMP Paste'!$K$2:$K$1601,$AG420))</f>
        <v/>
      </c>
      <c r="P420">
        <f>IF($AG420="","","")</f>
        <v/>
      </c>
      <c r="Q420">
        <f>IF($AG420="","",INDEX('TMP Paste'!$J$2:$J$1601,$AG420))</f>
        <v/>
      </c>
      <c r="R420">
        <f>IF($AG420="","",Config!$B$24)</f>
        <v/>
      </c>
      <c r="S420">
        <f>IF($AG420="","",TEXT(Config!$B$4,"yyyy-mm-dd"))</f>
        <v/>
      </c>
      <c r="T420">
        <f>IF($AG420="","",Config!$B$17)</f>
        <v/>
      </c>
      <c r="U420">
        <f>IF($AG420="","",Config!$B$18)</f>
        <v/>
      </c>
      <c r="V420">
        <f>IF($AG420="","",Config!$B$19)</f>
        <v/>
      </c>
      <c r="W420">
        <f>IF($AG420="","",INDEX('TMP Paste'!$C$2:$C$1601,$AG420))</f>
        <v/>
      </c>
      <c r="X420">
        <f>IF($AG420="","",Config!$B$29)</f>
        <v/>
      </c>
      <c r="Y420">
        <f>IF($AH420="","",INDEX(Calc!$I$2:$I$1601,$AH420)&amp;" - "&amp;INDEX(Calc!$D$2:$D$1601,$AH420)&amp;" koli")</f>
        <v/>
      </c>
      <c r="Z420">
        <f>IF($AG420="","",Config!$B$21)</f>
        <v/>
      </c>
      <c r="AA420">
        <f>IF($AG420="","",Config!$B$22)</f>
        <v/>
      </c>
      <c r="AB420">
        <f>IF($AH420="","",INDEX(Calc!$D$2:$D$1601,$AH420))</f>
        <v/>
      </c>
      <c r="AC420">
        <f>IF($AH420="","",INDEX(Calc!$G$2:$G$1601,$AH420))</f>
        <v/>
      </c>
      <c r="AD420">
        <f>IF($AG420="","",Config!$B$23)</f>
        <v/>
      </c>
      <c r="AE420">
        <f>IF($AG420="","",Config!$B$28)</f>
        <v/>
      </c>
      <c r="AG420">
        <f>IFERROR(MATCH(ROW()-1,Calc!$J$2:$J$1601,0),"")</f>
        <v/>
      </c>
      <c r="AH420">
        <f>IFERROR(MATCH(ROW()-1,Calc!$K$2:$K$1601,0),"")</f>
        <v/>
      </c>
      <c r="AI420">
        <f>IF($AG420="","",SUMIF($AG$2:$AG420,$AG420,$AH$2:$AH420))</f>
        <v/>
      </c>
      <c r="AJ420">
        <f>IF('TMP Paste'!$F420="","",IF('TMP Paste'!$B420="",$AJ419,'TMP Paste'!$B420))</f>
        <v/>
      </c>
      <c r="AK420">
        <f>IF('TMP Paste'!$F420="","",N('TMP Paste'!$G420))</f>
        <v/>
      </c>
      <c r="AL420">
        <f>IF('TMP Paste'!$F420="","",IF('TMP Paste'!$M420="",$AL419,'TMP Paste'!$M420))</f>
        <v/>
      </c>
      <c r="AM420">
        <f>IF('TMP Paste'!$F420="","",IF('TMP Paste'!$N420="",$AM419,'TMP Paste'!$N420))</f>
        <v/>
      </c>
      <c r="AN420">
        <f>IF('TMP Paste'!$F420="","",IF('TMP Paste'!$O420="",$AN419,'TMP Paste'!$O420))</f>
        <v/>
      </c>
      <c r="AO420">
        <f>IF('TMP Paste'!$F420="","",IF('TMP Paste'!$P420="",$AO419,'TMP Paste'!$P420))</f>
        <v/>
      </c>
      <c r="AP420">
        <f>IF($AG420="","",LEN($R420))</f>
        <v/>
      </c>
      <c r="AQ420">
        <f>IF($AG420="","",TRIM(IF(COUNTIFS(Calc!$B$2:$B$1601,ROW()-1,Calc!$C$2:$C$1601,"&lt;1")&gt;0,"Ada PO tanpa Koli - cek TMP. ","")&amp;IF(LEN($R420)&gt;500,"R &gt; 500 karakter.","")))</f>
        <v/>
      </c>
    </row>
    <row r="421">
      <c r="A421">
        <f>IF($AG421="","",INDEX('TMP Paste'!$B$2:$B$1601,$AG421))</f>
        <v/>
      </c>
      <c r="B421">
        <f>IF($AG421="","",Config!$B$14)</f>
        <v/>
      </c>
      <c r="C421">
        <f>IF($AG421="","",Config!$B$15)</f>
        <v/>
      </c>
      <c r="D421">
        <f>IF($AG421="","",INDEX('TMP Paste'!$B$2:$B$1601,$AG421))</f>
        <v/>
      </c>
      <c r="E421">
        <f>IF($AG421="","",Config!$B$27)</f>
        <v/>
      </c>
      <c r="F421">
        <f>IF($AG421="","",Config!$B$9)</f>
        <v/>
      </c>
      <c r="G421">
        <f>IF($AG421="","",Config!$B$10)</f>
        <v/>
      </c>
      <c r="H421">
        <f>IF($AG421="","",Config!$B$11)</f>
        <v/>
      </c>
      <c r="I421">
        <f>IF($AG421="","",Config!$B$16)</f>
        <v/>
      </c>
      <c r="J421">
        <f>IF($AG421="","",INDEX('TMP Paste'!$A$2:$A$1601,$AG421))</f>
        <v/>
      </c>
      <c r="K421">
        <f>IF($AG421="","",INDEX('TMP Paste'!$L$2:$L$1601,$AG421))</f>
        <v/>
      </c>
      <c r="L421">
        <f>IF($AG421="","",INDEX('TMP Paste'!$I$2:$I$1601,$AG421))</f>
        <v/>
      </c>
      <c r="M421">
        <f>IF($AG421="","",Config!$B$16)</f>
        <v/>
      </c>
      <c r="N421">
        <f>IF($AG421="","","")</f>
        <v/>
      </c>
      <c r="O421">
        <f>IF($AG421="","",INDEX('TMP Paste'!$K$2:$K$1601,$AG421))</f>
        <v/>
      </c>
      <c r="P421">
        <f>IF($AG421="","","")</f>
        <v/>
      </c>
      <c r="Q421">
        <f>IF($AG421="","",INDEX('TMP Paste'!$J$2:$J$1601,$AG421))</f>
        <v/>
      </c>
      <c r="R421">
        <f>IF($AG421="","",Config!$B$24)</f>
        <v/>
      </c>
      <c r="S421">
        <f>IF($AG421="","",TEXT(Config!$B$4,"yyyy-mm-dd"))</f>
        <v/>
      </c>
      <c r="T421">
        <f>IF($AG421="","",Config!$B$17)</f>
        <v/>
      </c>
      <c r="U421">
        <f>IF($AG421="","",Config!$B$18)</f>
        <v/>
      </c>
      <c r="V421">
        <f>IF($AG421="","",Config!$B$19)</f>
        <v/>
      </c>
      <c r="W421">
        <f>IF($AG421="","",INDEX('TMP Paste'!$C$2:$C$1601,$AG421))</f>
        <v/>
      </c>
      <c r="X421">
        <f>IF($AG421="","",Config!$B$29)</f>
        <v/>
      </c>
      <c r="Y421">
        <f>IF($AH421="","",INDEX(Calc!$I$2:$I$1601,$AH421)&amp;" - "&amp;INDEX(Calc!$D$2:$D$1601,$AH421)&amp;" koli")</f>
        <v/>
      </c>
      <c r="Z421">
        <f>IF($AG421="","",Config!$B$21)</f>
        <v/>
      </c>
      <c r="AA421">
        <f>IF($AG421="","",Config!$B$22)</f>
        <v/>
      </c>
      <c r="AB421">
        <f>IF($AH421="","",INDEX(Calc!$D$2:$D$1601,$AH421))</f>
        <v/>
      </c>
      <c r="AC421">
        <f>IF($AH421="","",INDEX(Calc!$G$2:$G$1601,$AH421))</f>
        <v/>
      </c>
      <c r="AD421">
        <f>IF($AG421="","",Config!$B$23)</f>
        <v/>
      </c>
      <c r="AE421">
        <f>IF($AG421="","",Config!$B$28)</f>
        <v/>
      </c>
      <c r="AG421">
        <f>IFERROR(MATCH(ROW()-1,Calc!$J$2:$J$1601,0),"")</f>
        <v/>
      </c>
      <c r="AH421">
        <f>IFERROR(MATCH(ROW()-1,Calc!$K$2:$K$1601,0),"")</f>
        <v/>
      </c>
      <c r="AI421">
        <f>IF($AG421="","",SUMIF($AG$2:$AG421,$AG421,$AH$2:$AH421))</f>
        <v/>
      </c>
      <c r="AJ421">
        <f>IF('TMP Paste'!$F421="","",IF('TMP Paste'!$B421="",$AJ420,'TMP Paste'!$B421))</f>
        <v/>
      </c>
      <c r="AK421">
        <f>IF('TMP Paste'!$F421="","",N('TMP Paste'!$G421))</f>
        <v/>
      </c>
      <c r="AL421">
        <f>IF('TMP Paste'!$F421="","",IF('TMP Paste'!$M421="",$AL420,'TMP Paste'!$M421))</f>
        <v/>
      </c>
      <c r="AM421">
        <f>IF('TMP Paste'!$F421="","",IF('TMP Paste'!$N421="",$AM420,'TMP Paste'!$N421))</f>
        <v/>
      </c>
      <c r="AN421">
        <f>IF('TMP Paste'!$F421="","",IF('TMP Paste'!$O421="",$AN420,'TMP Paste'!$O421))</f>
        <v/>
      </c>
      <c r="AO421">
        <f>IF('TMP Paste'!$F421="","",IF('TMP Paste'!$P421="",$AO420,'TMP Paste'!$P421))</f>
        <v/>
      </c>
      <c r="AP421">
        <f>IF($AG421="","",LEN($R421))</f>
        <v/>
      </c>
      <c r="AQ421">
        <f>IF($AG421="","",TRIM(IF(COUNTIFS(Calc!$B$2:$B$1601,ROW()-1,Calc!$C$2:$C$1601,"&lt;1")&gt;0,"Ada PO tanpa Koli - cek TMP. ","")&amp;IF(LEN($R421)&gt;500,"R &gt; 500 karakter.","")))</f>
        <v/>
      </c>
    </row>
    <row r="422">
      <c r="A422">
        <f>IF($AG422="","",INDEX('TMP Paste'!$B$2:$B$1601,$AG422))</f>
        <v/>
      </c>
      <c r="B422">
        <f>IF($AG422="","",Config!$B$14)</f>
        <v/>
      </c>
      <c r="C422">
        <f>IF($AG422="","",Config!$B$15)</f>
        <v/>
      </c>
      <c r="D422">
        <f>IF($AG422="","",INDEX('TMP Paste'!$B$2:$B$1601,$AG422))</f>
        <v/>
      </c>
      <c r="E422">
        <f>IF($AG422="","",Config!$B$27)</f>
        <v/>
      </c>
      <c r="F422">
        <f>IF($AG422="","",Config!$B$9)</f>
        <v/>
      </c>
      <c r="G422">
        <f>IF($AG422="","",Config!$B$10)</f>
        <v/>
      </c>
      <c r="H422">
        <f>IF($AG422="","",Config!$B$11)</f>
        <v/>
      </c>
      <c r="I422">
        <f>IF($AG422="","",Config!$B$16)</f>
        <v/>
      </c>
      <c r="J422">
        <f>IF($AG422="","",INDEX('TMP Paste'!$A$2:$A$1601,$AG422))</f>
        <v/>
      </c>
      <c r="K422">
        <f>IF($AG422="","",INDEX('TMP Paste'!$L$2:$L$1601,$AG422))</f>
        <v/>
      </c>
      <c r="L422">
        <f>IF($AG422="","",INDEX('TMP Paste'!$I$2:$I$1601,$AG422))</f>
        <v/>
      </c>
      <c r="M422">
        <f>IF($AG422="","",Config!$B$16)</f>
        <v/>
      </c>
      <c r="N422">
        <f>IF($AG422="","","")</f>
        <v/>
      </c>
      <c r="O422">
        <f>IF($AG422="","",INDEX('TMP Paste'!$K$2:$K$1601,$AG422))</f>
        <v/>
      </c>
      <c r="P422">
        <f>IF($AG422="","","")</f>
        <v/>
      </c>
      <c r="Q422">
        <f>IF($AG422="","",INDEX('TMP Paste'!$J$2:$J$1601,$AG422))</f>
        <v/>
      </c>
      <c r="R422">
        <f>IF($AG422="","",Config!$B$24)</f>
        <v/>
      </c>
      <c r="S422">
        <f>IF($AG422="","",TEXT(Config!$B$4,"yyyy-mm-dd"))</f>
        <v/>
      </c>
      <c r="T422">
        <f>IF($AG422="","",Config!$B$17)</f>
        <v/>
      </c>
      <c r="U422">
        <f>IF($AG422="","",Config!$B$18)</f>
        <v/>
      </c>
      <c r="V422">
        <f>IF($AG422="","",Config!$B$19)</f>
        <v/>
      </c>
      <c r="W422">
        <f>IF($AG422="","",INDEX('TMP Paste'!$C$2:$C$1601,$AG422))</f>
        <v/>
      </c>
      <c r="X422">
        <f>IF($AG422="","",Config!$B$29)</f>
        <v/>
      </c>
      <c r="Y422">
        <f>IF($AH422="","",INDEX(Calc!$I$2:$I$1601,$AH422)&amp;" - "&amp;INDEX(Calc!$D$2:$D$1601,$AH422)&amp;" koli")</f>
        <v/>
      </c>
      <c r="Z422">
        <f>IF($AG422="","",Config!$B$21)</f>
        <v/>
      </c>
      <c r="AA422">
        <f>IF($AG422="","",Config!$B$22)</f>
        <v/>
      </c>
      <c r="AB422">
        <f>IF($AH422="","",INDEX(Calc!$D$2:$D$1601,$AH422))</f>
        <v/>
      </c>
      <c r="AC422">
        <f>IF($AH422="","",INDEX(Calc!$G$2:$G$1601,$AH422))</f>
        <v/>
      </c>
      <c r="AD422">
        <f>IF($AG422="","",Config!$B$23)</f>
        <v/>
      </c>
      <c r="AE422">
        <f>IF($AG422="","",Config!$B$28)</f>
        <v/>
      </c>
      <c r="AG422">
        <f>IFERROR(MATCH(ROW()-1,Calc!$J$2:$J$1601,0),"")</f>
        <v/>
      </c>
      <c r="AH422">
        <f>IFERROR(MATCH(ROW()-1,Calc!$K$2:$K$1601,0),"")</f>
        <v/>
      </c>
      <c r="AI422">
        <f>IF($AG422="","",SUMIF($AG$2:$AG422,$AG422,$AH$2:$AH422))</f>
        <v/>
      </c>
      <c r="AJ422">
        <f>IF('TMP Paste'!$F422="","",IF('TMP Paste'!$B422="",$AJ421,'TMP Paste'!$B422))</f>
        <v/>
      </c>
      <c r="AK422">
        <f>IF('TMP Paste'!$F422="","",N('TMP Paste'!$G422))</f>
        <v/>
      </c>
      <c r="AL422">
        <f>IF('TMP Paste'!$F422="","",IF('TMP Paste'!$M422="",$AL421,'TMP Paste'!$M422))</f>
        <v/>
      </c>
      <c r="AM422">
        <f>IF('TMP Paste'!$F422="","",IF('TMP Paste'!$N422="",$AM421,'TMP Paste'!$N422))</f>
        <v/>
      </c>
      <c r="AN422">
        <f>IF('TMP Paste'!$F422="","",IF('TMP Paste'!$O422="",$AN421,'TMP Paste'!$O422))</f>
        <v/>
      </c>
      <c r="AO422">
        <f>IF('TMP Paste'!$F422="","",IF('TMP Paste'!$P422="",$AO421,'TMP Paste'!$P422))</f>
        <v/>
      </c>
      <c r="AP422">
        <f>IF($AG422="","",LEN($R422))</f>
        <v/>
      </c>
      <c r="AQ422">
        <f>IF($AG422="","",TRIM(IF(COUNTIFS(Calc!$B$2:$B$1601,ROW()-1,Calc!$C$2:$C$1601,"&lt;1")&gt;0,"Ada PO tanpa Koli - cek TMP. ","")&amp;IF(LEN($R422)&gt;500,"R &gt; 500 karakter.","")))</f>
        <v/>
      </c>
    </row>
    <row r="423">
      <c r="A423">
        <f>IF($AG423="","",INDEX('TMP Paste'!$B$2:$B$1601,$AG423))</f>
        <v/>
      </c>
      <c r="B423">
        <f>IF($AG423="","",Config!$B$14)</f>
        <v/>
      </c>
      <c r="C423">
        <f>IF($AG423="","",Config!$B$15)</f>
        <v/>
      </c>
      <c r="D423">
        <f>IF($AG423="","",INDEX('TMP Paste'!$B$2:$B$1601,$AG423))</f>
        <v/>
      </c>
      <c r="E423">
        <f>IF($AG423="","",Config!$B$27)</f>
        <v/>
      </c>
      <c r="F423">
        <f>IF($AG423="","",Config!$B$9)</f>
        <v/>
      </c>
      <c r="G423">
        <f>IF($AG423="","",Config!$B$10)</f>
        <v/>
      </c>
      <c r="H423">
        <f>IF($AG423="","",Config!$B$11)</f>
        <v/>
      </c>
      <c r="I423">
        <f>IF($AG423="","",Config!$B$16)</f>
        <v/>
      </c>
      <c r="J423">
        <f>IF($AG423="","",INDEX('TMP Paste'!$A$2:$A$1601,$AG423))</f>
        <v/>
      </c>
      <c r="K423">
        <f>IF($AG423="","",INDEX('TMP Paste'!$L$2:$L$1601,$AG423))</f>
        <v/>
      </c>
      <c r="L423">
        <f>IF($AG423="","",INDEX('TMP Paste'!$I$2:$I$1601,$AG423))</f>
        <v/>
      </c>
      <c r="M423">
        <f>IF($AG423="","",Config!$B$16)</f>
        <v/>
      </c>
      <c r="N423">
        <f>IF($AG423="","","")</f>
        <v/>
      </c>
      <c r="O423">
        <f>IF($AG423="","",INDEX('TMP Paste'!$K$2:$K$1601,$AG423))</f>
        <v/>
      </c>
      <c r="P423">
        <f>IF($AG423="","","")</f>
        <v/>
      </c>
      <c r="Q423">
        <f>IF($AG423="","",INDEX('TMP Paste'!$J$2:$J$1601,$AG423))</f>
        <v/>
      </c>
      <c r="R423">
        <f>IF($AG423="","",Config!$B$24)</f>
        <v/>
      </c>
      <c r="S423">
        <f>IF($AG423="","",TEXT(Config!$B$4,"yyyy-mm-dd"))</f>
        <v/>
      </c>
      <c r="T423">
        <f>IF($AG423="","",Config!$B$17)</f>
        <v/>
      </c>
      <c r="U423">
        <f>IF($AG423="","",Config!$B$18)</f>
        <v/>
      </c>
      <c r="V423">
        <f>IF($AG423="","",Config!$B$19)</f>
        <v/>
      </c>
      <c r="W423">
        <f>IF($AG423="","",INDEX('TMP Paste'!$C$2:$C$1601,$AG423))</f>
        <v/>
      </c>
      <c r="X423">
        <f>IF($AG423="","",Config!$B$29)</f>
        <v/>
      </c>
      <c r="Y423">
        <f>IF($AH423="","",INDEX(Calc!$I$2:$I$1601,$AH423)&amp;" - "&amp;INDEX(Calc!$D$2:$D$1601,$AH423)&amp;" koli")</f>
        <v/>
      </c>
      <c r="Z423">
        <f>IF($AG423="","",Config!$B$21)</f>
        <v/>
      </c>
      <c r="AA423">
        <f>IF($AG423="","",Config!$B$22)</f>
        <v/>
      </c>
      <c r="AB423">
        <f>IF($AH423="","",INDEX(Calc!$D$2:$D$1601,$AH423))</f>
        <v/>
      </c>
      <c r="AC423">
        <f>IF($AH423="","",INDEX(Calc!$G$2:$G$1601,$AH423))</f>
        <v/>
      </c>
      <c r="AD423">
        <f>IF($AG423="","",Config!$B$23)</f>
        <v/>
      </c>
      <c r="AE423">
        <f>IF($AG423="","",Config!$B$28)</f>
        <v/>
      </c>
      <c r="AG423">
        <f>IFERROR(MATCH(ROW()-1,Calc!$J$2:$J$1601,0),"")</f>
        <v/>
      </c>
      <c r="AH423">
        <f>IFERROR(MATCH(ROW()-1,Calc!$K$2:$K$1601,0),"")</f>
        <v/>
      </c>
      <c r="AI423">
        <f>IF($AG423="","",SUMIF($AG$2:$AG423,$AG423,$AH$2:$AH423))</f>
        <v/>
      </c>
      <c r="AJ423">
        <f>IF('TMP Paste'!$F423="","",IF('TMP Paste'!$B423="",$AJ422,'TMP Paste'!$B423))</f>
        <v/>
      </c>
      <c r="AK423">
        <f>IF('TMP Paste'!$F423="","",N('TMP Paste'!$G423))</f>
        <v/>
      </c>
      <c r="AL423">
        <f>IF('TMP Paste'!$F423="","",IF('TMP Paste'!$M423="",$AL422,'TMP Paste'!$M423))</f>
        <v/>
      </c>
      <c r="AM423">
        <f>IF('TMP Paste'!$F423="","",IF('TMP Paste'!$N423="",$AM422,'TMP Paste'!$N423))</f>
        <v/>
      </c>
      <c r="AN423">
        <f>IF('TMP Paste'!$F423="","",IF('TMP Paste'!$O423="",$AN422,'TMP Paste'!$O423))</f>
        <v/>
      </c>
      <c r="AO423">
        <f>IF('TMP Paste'!$F423="","",IF('TMP Paste'!$P423="",$AO422,'TMP Paste'!$P423))</f>
        <v/>
      </c>
      <c r="AP423">
        <f>IF($AG423="","",LEN($R423))</f>
        <v/>
      </c>
      <c r="AQ423">
        <f>IF($AG423="","",TRIM(IF(COUNTIFS(Calc!$B$2:$B$1601,ROW()-1,Calc!$C$2:$C$1601,"&lt;1")&gt;0,"Ada PO tanpa Koli - cek TMP. ","")&amp;IF(LEN($R423)&gt;500,"R &gt; 500 karakter.","")))</f>
        <v/>
      </c>
    </row>
    <row r="424">
      <c r="A424">
        <f>IF($AG424="","",INDEX('TMP Paste'!$B$2:$B$1601,$AG424))</f>
        <v/>
      </c>
      <c r="B424">
        <f>IF($AG424="","",Config!$B$14)</f>
        <v/>
      </c>
      <c r="C424">
        <f>IF($AG424="","",Config!$B$15)</f>
        <v/>
      </c>
      <c r="D424">
        <f>IF($AG424="","",INDEX('TMP Paste'!$B$2:$B$1601,$AG424))</f>
        <v/>
      </c>
      <c r="E424">
        <f>IF($AG424="","",Config!$B$27)</f>
        <v/>
      </c>
      <c r="F424">
        <f>IF($AG424="","",Config!$B$9)</f>
        <v/>
      </c>
      <c r="G424">
        <f>IF($AG424="","",Config!$B$10)</f>
        <v/>
      </c>
      <c r="H424">
        <f>IF($AG424="","",Config!$B$11)</f>
        <v/>
      </c>
      <c r="I424">
        <f>IF($AG424="","",Config!$B$16)</f>
        <v/>
      </c>
      <c r="J424">
        <f>IF($AG424="","",INDEX('TMP Paste'!$A$2:$A$1601,$AG424))</f>
        <v/>
      </c>
      <c r="K424">
        <f>IF($AG424="","",INDEX('TMP Paste'!$L$2:$L$1601,$AG424))</f>
        <v/>
      </c>
      <c r="L424">
        <f>IF($AG424="","",INDEX('TMP Paste'!$I$2:$I$1601,$AG424))</f>
        <v/>
      </c>
      <c r="M424">
        <f>IF($AG424="","",Config!$B$16)</f>
        <v/>
      </c>
      <c r="N424">
        <f>IF($AG424="","","")</f>
        <v/>
      </c>
      <c r="O424">
        <f>IF($AG424="","",INDEX('TMP Paste'!$K$2:$K$1601,$AG424))</f>
        <v/>
      </c>
      <c r="P424">
        <f>IF($AG424="","","")</f>
        <v/>
      </c>
      <c r="Q424">
        <f>IF($AG424="","",INDEX('TMP Paste'!$J$2:$J$1601,$AG424))</f>
        <v/>
      </c>
      <c r="R424">
        <f>IF($AG424="","",Config!$B$24)</f>
        <v/>
      </c>
      <c r="S424">
        <f>IF($AG424="","",TEXT(Config!$B$4,"yyyy-mm-dd"))</f>
        <v/>
      </c>
      <c r="T424">
        <f>IF($AG424="","",Config!$B$17)</f>
        <v/>
      </c>
      <c r="U424">
        <f>IF($AG424="","",Config!$B$18)</f>
        <v/>
      </c>
      <c r="V424">
        <f>IF($AG424="","",Config!$B$19)</f>
        <v/>
      </c>
      <c r="W424">
        <f>IF($AG424="","",INDEX('TMP Paste'!$C$2:$C$1601,$AG424))</f>
        <v/>
      </c>
      <c r="X424">
        <f>IF($AG424="","",Config!$B$29)</f>
        <v/>
      </c>
      <c r="Y424">
        <f>IF($AH424="","",INDEX(Calc!$I$2:$I$1601,$AH424)&amp;" - "&amp;INDEX(Calc!$D$2:$D$1601,$AH424)&amp;" koli")</f>
        <v/>
      </c>
      <c r="Z424">
        <f>IF($AG424="","",Config!$B$21)</f>
        <v/>
      </c>
      <c r="AA424">
        <f>IF($AG424="","",Config!$B$22)</f>
        <v/>
      </c>
      <c r="AB424">
        <f>IF($AH424="","",INDEX(Calc!$D$2:$D$1601,$AH424))</f>
        <v/>
      </c>
      <c r="AC424">
        <f>IF($AH424="","",INDEX(Calc!$G$2:$G$1601,$AH424))</f>
        <v/>
      </c>
      <c r="AD424">
        <f>IF($AG424="","",Config!$B$23)</f>
        <v/>
      </c>
      <c r="AE424">
        <f>IF($AG424="","",Config!$B$28)</f>
        <v/>
      </c>
      <c r="AG424">
        <f>IFERROR(MATCH(ROW()-1,Calc!$J$2:$J$1601,0),"")</f>
        <v/>
      </c>
      <c r="AH424">
        <f>IFERROR(MATCH(ROW()-1,Calc!$K$2:$K$1601,0),"")</f>
        <v/>
      </c>
      <c r="AI424">
        <f>IF($AG424="","",SUMIF($AG$2:$AG424,$AG424,$AH$2:$AH424))</f>
        <v/>
      </c>
      <c r="AJ424">
        <f>IF('TMP Paste'!$F424="","",IF('TMP Paste'!$B424="",$AJ423,'TMP Paste'!$B424))</f>
        <v/>
      </c>
      <c r="AK424">
        <f>IF('TMP Paste'!$F424="","",N('TMP Paste'!$G424))</f>
        <v/>
      </c>
      <c r="AL424">
        <f>IF('TMP Paste'!$F424="","",IF('TMP Paste'!$M424="",$AL423,'TMP Paste'!$M424))</f>
        <v/>
      </c>
      <c r="AM424">
        <f>IF('TMP Paste'!$F424="","",IF('TMP Paste'!$N424="",$AM423,'TMP Paste'!$N424))</f>
        <v/>
      </c>
      <c r="AN424">
        <f>IF('TMP Paste'!$F424="","",IF('TMP Paste'!$O424="",$AN423,'TMP Paste'!$O424))</f>
        <v/>
      </c>
      <c r="AO424">
        <f>IF('TMP Paste'!$F424="","",IF('TMP Paste'!$P424="",$AO423,'TMP Paste'!$P424))</f>
        <v/>
      </c>
      <c r="AP424">
        <f>IF($AG424="","",LEN($R424))</f>
        <v/>
      </c>
      <c r="AQ424">
        <f>IF($AG424="","",TRIM(IF(COUNTIFS(Calc!$B$2:$B$1601,ROW()-1,Calc!$C$2:$C$1601,"&lt;1")&gt;0,"Ada PO tanpa Koli - cek TMP. ","")&amp;IF(LEN($R424)&gt;500,"R &gt; 500 karakter.","")))</f>
        <v/>
      </c>
    </row>
    <row r="425">
      <c r="A425">
        <f>IF($AG425="","",INDEX('TMP Paste'!$B$2:$B$1601,$AG425))</f>
        <v/>
      </c>
      <c r="B425">
        <f>IF($AG425="","",Config!$B$14)</f>
        <v/>
      </c>
      <c r="C425">
        <f>IF($AG425="","",Config!$B$15)</f>
        <v/>
      </c>
      <c r="D425">
        <f>IF($AG425="","",INDEX('TMP Paste'!$B$2:$B$1601,$AG425))</f>
        <v/>
      </c>
      <c r="E425">
        <f>IF($AG425="","",Config!$B$27)</f>
        <v/>
      </c>
      <c r="F425">
        <f>IF($AG425="","",Config!$B$9)</f>
        <v/>
      </c>
      <c r="G425">
        <f>IF($AG425="","",Config!$B$10)</f>
        <v/>
      </c>
      <c r="H425">
        <f>IF($AG425="","",Config!$B$11)</f>
        <v/>
      </c>
      <c r="I425">
        <f>IF($AG425="","",Config!$B$16)</f>
        <v/>
      </c>
      <c r="J425">
        <f>IF($AG425="","",INDEX('TMP Paste'!$A$2:$A$1601,$AG425))</f>
        <v/>
      </c>
      <c r="K425">
        <f>IF($AG425="","",INDEX('TMP Paste'!$L$2:$L$1601,$AG425))</f>
        <v/>
      </c>
      <c r="L425">
        <f>IF($AG425="","",INDEX('TMP Paste'!$I$2:$I$1601,$AG425))</f>
        <v/>
      </c>
      <c r="M425">
        <f>IF($AG425="","",Config!$B$16)</f>
        <v/>
      </c>
      <c r="N425">
        <f>IF($AG425="","","")</f>
        <v/>
      </c>
      <c r="O425">
        <f>IF($AG425="","",INDEX('TMP Paste'!$K$2:$K$1601,$AG425))</f>
        <v/>
      </c>
      <c r="P425">
        <f>IF($AG425="","","")</f>
        <v/>
      </c>
      <c r="Q425">
        <f>IF($AG425="","",INDEX('TMP Paste'!$J$2:$J$1601,$AG425))</f>
        <v/>
      </c>
      <c r="R425">
        <f>IF($AG425="","",Config!$B$24)</f>
        <v/>
      </c>
      <c r="S425">
        <f>IF($AG425="","",TEXT(Config!$B$4,"yyyy-mm-dd"))</f>
        <v/>
      </c>
      <c r="T425">
        <f>IF($AG425="","",Config!$B$17)</f>
        <v/>
      </c>
      <c r="U425">
        <f>IF($AG425="","",Config!$B$18)</f>
        <v/>
      </c>
      <c r="V425">
        <f>IF($AG425="","",Config!$B$19)</f>
        <v/>
      </c>
      <c r="W425">
        <f>IF($AG425="","",INDEX('TMP Paste'!$C$2:$C$1601,$AG425))</f>
        <v/>
      </c>
      <c r="X425">
        <f>IF($AG425="","",Config!$B$29)</f>
        <v/>
      </c>
      <c r="Y425">
        <f>IF($AH425="","",INDEX(Calc!$I$2:$I$1601,$AH425)&amp;" - "&amp;INDEX(Calc!$D$2:$D$1601,$AH425)&amp;" koli")</f>
        <v/>
      </c>
      <c r="Z425">
        <f>IF($AG425="","",Config!$B$21)</f>
        <v/>
      </c>
      <c r="AA425">
        <f>IF($AG425="","",Config!$B$22)</f>
        <v/>
      </c>
      <c r="AB425">
        <f>IF($AH425="","",INDEX(Calc!$D$2:$D$1601,$AH425))</f>
        <v/>
      </c>
      <c r="AC425">
        <f>IF($AH425="","",INDEX(Calc!$G$2:$G$1601,$AH425))</f>
        <v/>
      </c>
      <c r="AD425">
        <f>IF($AG425="","",Config!$B$23)</f>
        <v/>
      </c>
      <c r="AE425">
        <f>IF($AG425="","",Config!$B$28)</f>
        <v/>
      </c>
      <c r="AG425">
        <f>IFERROR(MATCH(ROW()-1,Calc!$J$2:$J$1601,0),"")</f>
        <v/>
      </c>
      <c r="AH425">
        <f>IFERROR(MATCH(ROW()-1,Calc!$K$2:$K$1601,0),"")</f>
        <v/>
      </c>
      <c r="AI425">
        <f>IF($AG425="","",SUMIF($AG$2:$AG425,$AG425,$AH$2:$AH425))</f>
        <v/>
      </c>
      <c r="AJ425">
        <f>IF('TMP Paste'!$F425="","",IF('TMP Paste'!$B425="",$AJ424,'TMP Paste'!$B425))</f>
        <v/>
      </c>
      <c r="AK425">
        <f>IF('TMP Paste'!$F425="","",N('TMP Paste'!$G425))</f>
        <v/>
      </c>
      <c r="AL425">
        <f>IF('TMP Paste'!$F425="","",IF('TMP Paste'!$M425="",$AL424,'TMP Paste'!$M425))</f>
        <v/>
      </c>
      <c r="AM425">
        <f>IF('TMP Paste'!$F425="","",IF('TMP Paste'!$N425="",$AM424,'TMP Paste'!$N425))</f>
        <v/>
      </c>
      <c r="AN425">
        <f>IF('TMP Paste'!$F425="","",IF('TMP Paste'!$O425="",$AN424,'TMP Paste'!$O425))</f>
        <v/>
      </c>
      <c r="AO425">
        <f>IF('TMP Paste'!$F425="","",IF('TMP Paste'!$P425="",$AO424,'TMP Paste'!$P425))</f>
        <v/>
      </c>
      <c r="AP425">
        <f>IF($AG425="","",LEN($R425))</f>
        <v/>
      </c>
      <c r="AQ425">
        <f>IF($AG425="","",TRIM(IF(COUNTIFS(Calc!$B$2:$B$1601,ROW()-1,Calc!$C$2:$C$1601,"&lt;1")&gt;0,"Ada PO tanpa Koli - cek TMP. ","")&amp;IF(LEN($R425)&gt;500,"R &gt; 500 karakter.","")))</f>
        <v/>
      </c>
    </row>
    <row r="426">
      <c r="A426">
        <f>IF($AG426="","",INDEX('TMP Paste'!$B$2:$B$1601,$AG426))</f>
        <v/>
      </c>
      <c r="B426">
        <f>IF($AG426="","",Config!$B$14)</f>
        <v/>
      </c>
      <c r="C426">
        <f>IF($AG426="","",Config!$B$15)</f>
        <v/>
      </c>
      <c r="D426">
        <f>IF($AG426="","",INDEX('TMP Paste'!$B$2:$B$1601,$AG426))</f>
        <v/>
      </c>
      <c r="E426">
        <f>IF($AG426="","",Config!$B$27)</f>
        <v/>
      </c>
      <c r="F426">
        <f>IF($AG426="","",Config!$B$9)</f>
        <v/>
      </c>
      <c r="G426">
        <f>IF($AG426="","",Config!$B$10)</f>
        <v/>
      </c>
      <c r="H426">
        <f>IF($AG426="","",Config!$B$11)</f>
        <v/>
      </c>
      <c r="I426">
        <f>IF($AG426="","",Config!$B$16)</f>
        <v/>
      </c>
      <c r="J426">
        <f>IF($AG426="","",INDEX('TMP Paste'!$A$2:$A$1601,$AG426))</f>
        <v/>
      </c>
      <c r="K426">
        <f>IF($AG426="","",INDEX('TMP Paste'!$L$2:$L$1601,$AG426))</f>
        <v/>
      </c>
      <c r="L426">
        <f>IF($AG426="","",INDEX('TMP Paste'!$I$2:$I$1601,$AG426))</f>
        <v/>
      </c>
      <c r="M426">
        <f>IF($AG426="","",Config!$B$16)</f>
        <v/>
      </c>
      <c r="N426">
        <f>IF($AG426="","","")</f>
        <v/>
      </c>
      <c r="O426">
        <f>IF($AG426="","",INDEX('TMP Paste'!$K$2:$K$1601,$AG426))</f>
        <v/>
      </c>
      <c r="P426">
        <f>IF($AG426="","","")</f>
        <v/>
      </c>
      <c r="Q426">
        <f>IF($AG426="","",INDEX('TMP Paste'!$J$2:$J$1601,$AG426))</f>
        <v/>
      </c>
      <c r="R426">
        <f>IF($AG426="","",Config!$B$24)</f>
        <v/>
      </c>
      <c r="S426">
        <f>IF($AG426="","",TEXT(Config!$B$4,"yyyy-mm-dd"))</f>
        <v/>
      </c>
      <c r="T426">
        <f>IF($AG426="","",Config!$B$17)</f>
        <v/>
      </c>
      <c r="U426">
        <f>IF($AG426="","",Config!$B$18)</f>
        <v/>
      </c>
      <c r="V426">
        <f>IF($AG426="","",Config!$B$19)</f>
        <v/>
      </c>
      <c r="W426">
        <f>IF($AG426="","",INDEX('TMP Paste'!$C$2:$C$1601,$AG426))</f>
        <v/>
      </c>
      <c r="X426">
        <f>IF($AG426="","",Config!$B$29)</f>
        <v/>
      </c>
      <c r="Y426">
        <f>IF($AH426="","",INDEX(Calc!$I$2:$I$1601,$AH426)&amp;" - "&amp;INDEX(Calc!$D$2:$D$1601,$AH426)&amp;" koli")</f>
        <v/>
      </c>
      <c r="Z426">
        <f>IF($AG426="","",Config!$B$21)</f>
        <v/>
      </c>
      <c r="AA426">
        <f>IF($AG426="","",Config!$B$22)</f>
        <v/>
      </c>
      <c r="AB426">
        <f>IF($AH426="","",INDEX(Calc!$D$2:$D$1601,$AH426))</f>
        <v/>
      </c>
      <c r="AC426">
        <f>IF($AH426="","",INDEX(Calc!$G$2:$G$1601,$AH426))</f>
        <v/>
      </c>
      <c r="AD426">
        <f>IF($AG426="","",Config!$B$23)</f>
        <v/>
      </c>
      <c r="AE426">
        <f>IF($AG426="","",Config!$B$28)</f>
        <v/>
      </c>
      <c r="AG426">
        <f>IFERROR(MATCH(ROW()-1,Calc!$J$2:$J$1601,0),"")</f>
        <v/>
      </c>
      <c r="AH426">
        <f>IFERROR(MATCH(ROW()-1,Calc!$K$2:$K$1601,0),"")</f>
        <v/>
      </c>
      <c r="AI426">
        <f>IF($AG426="","",SUMIF($AG$2:$AG426,$AG426,$AH$2:$AH426))</f>
        <v/>
      </c>
      <c r="AJ426">
        <f>IF('TMP Paste'!$F426="","",IF('TMP Paste'!$B426="",$AJ425,'TMP Paste'!$B426))</f>
        <v/>
      </c>
      <c r="AK426">
        <f>IF('TMP Paste'!$F426="","",N('TMP Paste'!$G426))</f>
        <v/>
      </c>
      <c r="AL426">
        <f>IF('TMP Paste'!$F426="","",IF('TMP Paste'!$M426="",$AL425,'TMP Paste'!$M426))</f>
        <v/>
      </c>
      <c r="AM426">
        <f>IF('TMP Paste'!$F426="","",IF('TMP Paste'!$N426="",$AM425,'TMP Paste'!$N426))</f>
        <v/>
      </c>
      <c r="AN426">
        <f>IF('TMP Paste'!$F426="","",IF('TMP Paste'!$O426="",$AN425,'TMP Paste'!$O426))</f>
        <v/>
      </c>
      <c r="AO426">
        <f>IF('TMP Paste'!$F426="","",IF('TMP Paste'!$P426="",$AO425,'TMP Paste'!$P426))</f>
        <v/>
      </c>
      <c r="AP426">
        <f>IF($AG426="","",LEN($R426))</f>
        <v/>
      </c>
      <c r="AQ426">
        <f>IF($AG426="","",TRIM(IF(COUNTIFS(Calc!$B$2:$B$1601,ROW()-1,Calc!$C$2:$C$1601,"&lt;1")&gt;0,"Ada PO tanpa Koli - cek TMP. ","")&amp;IF(LEN($R426)&gt;500,"R &gt; 500 karakter.","")))</f>
        <v/>
      </c>
    </row>
    <row r="427">
      <c r="A427">
        <f>IF($AG427="","",INDEX('TMP Paste'!$B$2:$B$1601,$AG427))</f>
        <v/>
      </c>
      <c r="B427">
        <f>IF($AG427="","",Config!$B$14)</f>
        <v/>
      </c>
      <c r="C427">
        <f>IF($AG427="","",Config!$B$15)</f>
        <v/>
      </c>
      <c r="D427">
        <f>IF($AG427="","",INDEX('TMP Paste'!$B$2:$B$1601,$AG427))</f>
        <v/>
      </c>
      <c r="E427">
        <f>IF($AG427="","",Config!$B$27)</f>
        <v/>
      </c>
      <c r="F427">
        <f>IF($AG427="","",Config!$B$9)</f>
        <v/>
      </c>
      <c r="G427">
        <f>IF($AG427="","",Config!$B$10)</f>
        <v/>
      </c>
      <c r="H427">
        <f>IF($AG427="","",Config!$B$11)</f>
        <v/>
      </c>
      <c r="I427">
        <f>IF($AG427="","",Config!$B$16)</f>
        <v/>
      </c>
      <c r="J427">
        <f>IF($AG427="","",INDEX('TMP Paste'!$A$2:$A$1601,$AG427))</f>
        <v/>
      </c>
      <c r="K427">
        <f>IF($AG427="","",INDEX('TMP Paste'!$L$2:$L$1601,$AG427))</f>
        <v/>
      </c>
      <c r="L427">
        <f>IF($AG427="","",INDEX('TMP Paste'!$I$2:$I$1601,$AG427))</f>
        <v/>
      </c>
      <c r="M427">
        <f>IF($AG427="","",Config!$B$16)</f>
        <v/>
      </c>
      <c r="N427">
        <f>IF($AG427="","","")</f>
        <v/>
      </c>
      <c r="O427">
        <f>IF($AG427="","",INDEX('TMP Paste'!$K$2:$K$1601,$AG427))</f>
        <v/>
      </c>
      <c r="P427">
        <f>IF($AG427="","","")</f>
        <v/>
      </c>
      <c r="Q427">
        <f>IF($AG427="","",INDEX('TMP Paste'!$J$2:$J$1601,$AG427))</f>
        <v/>
      </c>
      <c r="R427">
        <f>IF($AG427="","",Config!$B$24)</f>
        <v/>
      </c>
      <c r="S427">
        <f>IF($AG427="","",TEXT(Config!$B$4,"yyyy-mm-dd"))</f>
        <v/>
      </c>
      <c r="T427">
        <f>IF($AG427="","",Config!$B$17)</f>
        <v/>
      </c>
      <c r="U427">
        <f>IF($AG427="","",Config!$B$18)</f>
        <v/>
      </c>
      <c r="V427">
        <f>IF($AG427="","",Config!$B$19)</f>
        <v/>
      </c>
      <c r="W427">
        <f>IF($AG427="","",INDEX('TMP Paste'!$C$2:$C$1601,$AG427))</f>
        <v/>
      </c>
      <c r="X427">
        <f>IF($AG427="","",Config!$B$29)</f>
        <v/>
      </c>
      <c r="Y427">
        <f>IF($AH427="","",INDEX(Calc!$I$2:$I$1601,$AH427)&amp;" - "&amp;INDEX(Calc!$D$2:$D$1601,$AH427)&amp;" koli")</f>
        <v/>
      </c>
      <c r="Z427">
        <f>IF($AG427="","",Config!$B$21)</f>
        <v/>
      </c>
      <c r="AA427">
        <f>IF($AG427="","",Config!$B$22)</f>
        <v/>
      </c>
      <c r="AB427">
        <f>IF($AH427="","",INDEX(Calc!$D$2:$D$1601,$AH427))</f>
        <v/>
      </c>
      <c r="AC427">
        <f>IF($AH427="","",INDEX(Calc!$G$2:$G$1601,$AH427))</f>
        <v/>
      </c>
      <c r="AD427">
        <f>IF($AG427="","",Config!$B$23)</f>
        <v/>
      </c>
      <c r="AE427">
        <f>IF($AG427="","",Config!$B$28)</f>
        <v/>
      </c>
      <c r="AG427">
        <f>IFERROR(MATCH(ROW()-1,Calc!$J$2:$J$1601,0),"")</f>
        <v/>
      </c>
      <c r="AH427">
        <f>IFERROR(MATCH(ROW()-1,Calc!$K$2:$K$1601,0),"")</f>
        <v/>
      </c>
      <c r="AI427">
        <f>IF($AG427="","",SUMIF($AG$2:$AG427,$AG427,$AH$2:$AH427))</f>
        <v/>
      </c>
      <c r="AJ427">
        <f>IF('TMP Paste'!$F427="","",IF('TMP Paste'!$B427="",$AJ426,'TMP Paste'!$B427))</f>
        <v/>
      </c>
      <c r="AK427">
        <f>IF('TMP Paste'!$F427="","",N('TMP Paste'!$G427))</f>
        <v/>
      </c>
      <c r="AL427">
        <f>IF('TMP Paste'!$F427="","",IF('TMP Paste'!$M427="",$AL426,'TMP Paste'!$M427))</f>
        <v/>
      </c>
      <c r="AM427">
        <f>IF('TMP Paste'!$F427="","",IF('TMP Paste'!$N427="",$AM426,'TMP Paste'!$N427))</f>
        <v/>
      </c>
      <c r="AN427">
        <f>IF('TMP Paste'!$F427="","",IF('TMP Paste'!$O427="",$AN426,'TMP Paste'!$O427))</f>
        <v/>
      </c>
      <c r="AO427">
        <f>IF('TMP Paste'!$F427="","",IF('TMP Paste'!$P427="",$AO426,'TMP Paste'!$P427))</f>
        <v/>
      </c>
      <c r="AP427">
        <f>IF($AG427="","",LEN($R427))</f>
        <v/>
      </c>
      <c r="AQ427">
        <f>IF($AG427="","",TRIM(IF(COUNTIFS(Calc!$B$2:$B$1601,ROW()-1,Calc!$C$2:$C$1601,"&lt;1")&gt;0,"Ada PO tanpa Koli - cek TMP. ","")&amp;IF(LEN($R427)&gt;500,"R &gt; 500 karakter.","")))</f>
        <v/>
      </c>
    </row>
    <row r="428">
      <c r="A428">
        <f>IF($AG428="","",INDEX('TMP Paste'!$B$2:$B$1601,$AG428))</f>
        <v/>
      </c>
      <c r="B428">
        <f>IF($AG428="","",Config!$B$14)</f>
        <v/>
      </c>
      <c r="C428">
        <f>IF($AG428="","",Config!$B$15)</f>
        <v/>
      </c>
      <c r="D428">
        <f>IF($AG428="","",INDEX('TMP Paste'!$B$2:$B$1601,$AG428))</f>
        <v/>
      </c>
      <c r="E428">
        <f>IF($AG428="","",Config!$B$27)</f>
        <v/>
      </c>
      <c r="F428">
        <f>IF($AG428="","",Config!$B$9)</f>
        <v/>
      </c>
      <c r="G428">
        <f>IF($AG428="","",Config!$B$10)</f>
        <v/>
      </c>
      <c r="H428">
        <f>IF($AG428="","",Config!$B$11)</f>
        <v/>
      </c>
      <c r="I428">
        <f>IF($AG428="","",Config!$B$16)</f>
        <v/>
      </c>
      <c r="J428">
        <f>IF($AG428="","",INDEX('TMP Paste'!$A$2:$A$1601,$AG428))</f>
        <v/>
      </c>
      <c r="K428">
        <f>IF($AG428="","",INDEX('TMP Paste'!$L$2:$L$1601,$AG428))</f>
        <v/>
      </c>
      <c r="L428">
        <f>IF($AG428="","",INDEX('TMP Paste'!$I$2:$I$1601,$AG428))</f>
        <v/>
      </c>
      <c r="M428">
        <f>IF($AG428="","",Config!$B$16)</f>
        <v/>
      </c>
      <c r="N428">
        <f>IF($AG428="","","")</f>
        <v/>
      </c>
      <c r="O428">
        <f>IF($AG428="","",INDEX('TMP Paste'!$K$2:$K$1601,$AG428))</f>
        <v/>
      </c>
      <c r="P428">
        <f>IF($AG428="","","")</f>
        <v/>
      </c>
      <c r="Q428">
        <f>IF($AG428="","",INDEX('TMP Paste'!$J$2:$J$1601,$AG428))</f>
        <v/>
      </c>
      <c r="R428">
        <f>IF($AG428="","",Config!$B$24)</f>
        <v/>
      </c>
      <c r="S428">
        <f>IF($AG428="","",TEXT(Config!$B$4,"yyyy-mm-dd"))</f>
        <v/>
      </c>
      <c r="T428">
        <f>IF($AG428="","",Config!$B$17)</f>
        <v/>
      </c>
      <c r="U428">
        <f>IF($AG428="","",Config!$B$18)</f>
        <v/>
      </c>
      <c r="V428">
        <f>IF($AG428="","",Config!$B$19)</f>
        <v/>
      </c>
      <c r="W428">
        <f>IF($AG428="","",INDEX('TMP Paste'!$C$2:$C$1601,$AG428))</f>
        <v/>
      </c>
      <c r="X428">
        <f>IF($AG428="","",Config!$B$29)</f>
        <v/>
      </c>
      <c r="Y428">
        <f>IF($AH428="","",INDEX(Calc!$I$2:$I$1601,$AH428)&amp;" - "&amp;INDEX(Calc!$D$2:$D$1601,$AH428)&amp;" koli")</f>
        <v/>
      </c>
      <c r="Z428">
        <f>IF($AG428="","",Config!$B$21)</f>
        <v/>
      </c>
      <c r="AA428">
        <f>IF($AG428="","",Config!$B$22)</f>
        <v/>
      </c>
      <c r="AB428">
        <f>IF($AH428="","",INDEX(Calc!$D$2:$D$1601,$AH428))</f>
        <v/>
      </c>
      <c r="AC428">
        <f>IF($AH428="","",INDEX(Calc!$G$2:$G$1601,$AH428))</f>
        <v/>
      </c>
      <c r="AD428">
        <f>IF($AG428="","",Config!$B$23)</f>
        <v/>
      </c>
      <c r="AE428">
        <f>IF($AG428="","",Config!$B$28)</f>
        <v/>
      </c>
      <c r="AG428">
        <f>IFERROR(MATCH(ROW()-1,Calc!$J$2:$J$1601,0),"")</f>
        <v/>
      </c>
      <c r="AH428">
        <f>IFERROR(MATCH(ROW()-1,Calc!$K$2:$K$1601,0),"")</f>
        <v/>
      </c>
      <c r="AI428">
        <f>IF($AG428="","",SUMIF($AG$2:$AG428,$AG428,$AH$2:$AH428))</f>
        <v/>
      </c>
      <c r="AJ428">
        <f>IF('TMP Paste'!$F428="","",IF('TMP Paste'!$B428="",$AJ427,'TMP Paste'!$B428))</f>
        <v/>
      </c>
      <c r="AK428">
        <f>IF('TMP Paste'!$F428="","",N('TMP Paste'!$G428))</f>
        <v/>
      </c>
      <c r="AL428">
        <f>IF('TMP Paste'!$F428="","",IF('TMP Paste'!$M428="",$AL427,'TMP Paste'!$M428))</f>
        <v/>
      </c>
      <c r="AM428">
        <f>IF('TMP Paste'!$F428="","",IF('TMP Paste'!$N428="",$AM427,'TMP Paste'!$N428))</f>
        <v/>
      </c>
      <c r="AN428">
        <f>IF('TMP Paste'!$F428="","",IF('TMP Paste'!$O428="",$AN427,'TMP Paste'!$O428))</f>
        <v/>
      </c>
      <c r="AO428">
        <f>IF('TMP Paste'!$F428="","",IF('TMP Paste'!$P428="",$AO427,'TMP Paste'!$P428))</f>
        <v/>
      </c>
      <c r="AP428">
        <f>IF($AG428="","",LEN($R428))</f>
        <v/>
      </c>
      <c r="AQ428">
        <f>IF($AG428="","",TRIM(IF(COUNTIFS(Calc!$B$2:$B$1601,ROW()-1,Calc!$C$2:$C$1601,"&lt;1")&gt;0,"Ada PO tanpa Koli - cek TMP. ","")&amp;IF(LEN($R428)&gt;500,"R &gt; 500 karakter.","")))</f>
        <v/>
      </c>
    </row>
    <row r="429">
      <c r="A429">
        <f>IF($AG429="","",INDEX('TMP Paste'!$B$2:$B$1601,$AG429))</f>
        <v/>
      </c>
      <c r="B429">
        <f>IF($AG429="","",Config!$B$14)</f>
        <v/>
      </c>
      <c r="C429">
        <f>IF($AG429="","",Config!$B$15)</f>
        <v/>
      </c>
      <c r="D429">
        <f>IF($AG429="","",INDEX('TMP Paste'!$B$2:$B$1601,$AG429))</f>
        <v/>
      </c>
      <c r="E429">
        <f>IF($AG429="","",Config!$B$27)</f>
        <v/>
      </c>
      <c r="F429">
        <f>IF($AG429="","",Config!$B$9)</f>
        <v/>
      </c>
      <c r="G429">
        <f>IF($AG429="","",Config!$B$10)</f>
        <v/>
      </c>
      <c r="H429">
        <f>IF($AG429="","",Config!$B$11)</f>
        <v/>
      </c>
      <c r="I429">
        <f>IF($AG429="","",Config!$B$16)</f>
        <v/>
      </c>
      <c r="J429">
        <f>IF($AG429="","",INDEX('TMP Paste'!$A$2:$A$1601,$AG429))</f>
        <v/>
      </c>
      <c r="K429">
        <f>IF($AG429="","",INDEX('TMP Paste'!$L$2:$L$1601,$AG429))</f>
        <v/>
      </c>
      <c r="L429">
        <f>IF($AG429="","",INDEX('TMP Paste'!$I$2:$I$1601,$AG429))</f>
        <v/>
      </c>
      <c r="M429">
        <f>IF($AG429="","",Config!$B$16)</f>
        <v/>
      </c>
      <c r="N429">
        <f>IF($AG429="","","")</f>
        <v/>
      </c>
      <c r="O429">
        <f>IF($AG429="","",INDEX('TMP Paste'!$K$2:$K$1601,$AG429))</f>
        <v/>
      </c>
      <c r="P429">
        <f>IF($AG429="","","")</f>
        <v/>
      </c>
      <c r="Q429">
        <f>IF($AG429="","",INDEX('TMP Paste'!$J$2:$J$1601,$AG429))</f>
        <v/>
      </c>
      <c r="R429">
        <f>IF($AG429="","",Config!$B$24)</f>
        <v/>
      </c>
      <c r="S429">
        <f>IF($AG429="","",TEXT(Config!$B$4,"yyyy-mm-dd"))</f>
        <v/>
      </c>
      <c r="T429">
        <f>IF($AG429="","",Config!$B$17)</f>
        <v/>
      </c>
      <c r="U429">
        <f>IF($AG429="","",Config!$B$18)</f>
        <v/>
      </c>
      <c r="V429">
        <f>IF($AG429="","",Config!$B$19)</f>
        <v/>
      </c>
      <c r="W429">
        <f>IF($AG429="","",INDEX('TMP Paste'!$C$2:$C$1601,$AG429))</f>
        <v/>
      </c>
      <c r="X429">
        <f>IF($AG429="","",Config!$B$29)</f>
        <v/>
      </c>
      <c r="Y429">
        <f>IF($AH429="","",INDEX(Calc!$I$2:$I$1601,$AH429)&amp;" - "&amp;INDEX(Calc!$D$2:$D$1601,$AH429)&amp;" koli")</f>
        <v/>
      </c>
      <c r="Z429">
        <f>IF($AG429="","",Config!$B$21)</f>
        <v/>
      </c>
      <c r="AA429">
        <f>IF($AG429="","",Config!$B$22)</f>
        <v/>
      </c>
      <c r="AB429">
        <f>IF($AH429="","",INDEX(Calc!$D$2:$D$1601,$AH429))</f>
        <v/>
      </c>
      <c r="AC429">
        <f>IF($AH429="","",INDEX(Calc!$G$2:$G$1601,$AH429))</f>
        <v/>
      </c>
      <c r="AD429">
        <f>IF($AG429="","",Config!$B$23)</f>
        <v/>
      </c>
      <c r="AE429">
        <f>IF($AG429="","",Config!$B$28)</f>
        <v/>
      </c>
      <c r="AG429">
        <f>IFERROR(MATCH(ROW()-1,Calc!$J$2:$J$1601,0),"")</f>
        <v/>
      </c>
      <c r="AH429">
        <f>IFERROR(MATCH(ROW()-1,Calc!$K$2:$K$1601,0),"")</f>
        <v/>
      </c>
      <c r="AI429">
        <f>IF($AG429="","",SUMIF($AG$2:$AG429,$AG429,$AH$2:$AH429))</f>
        <v/>
      </c>
      <c r="AJ429">
        <f>IF('TMP Paste'!$F429="","",IF('TMP Paste'!$B429="",$AJ428,'TMP Paste'!$B429))</f>
        <v/>
      </c>
      <c r="AK429">
        <f>IF('TMP Paste'!$F429="","",N('TMP Paste'!$G429))</f>
        <v/>
      </c>
      <c r="AL429">
        <f>IF('TMP Paste'!$F429="","",IF('TMP Paste'!$M429="",$AL428,'TMP Paste'!$M429))</f>
        <v/>
      </c>
      <c r="AM429">
        <f>IF('TMP Paste'!$F429="","",IF('TMP Paste'!$N429="",$AM428,'TMP Paste'!$N429))</f>
        <v/>
      </c>
      <c r="AN429">
        <f>IF('TMP Paste'!$F429="","",IF('TMP Paste'!$O429="",$AN428,'TMP Paste'!$O429))</f>
        <v/>
      </c>
      <c r="AO429">
        <f>IF('TMP Paste'!$F429="","",IF('TMP Paste'!$P429="",$AO428,'TMP Paste'!$P429))</f>
        <v/>
      </c>
      <c r="AP429">
        <f>IF($AG429="","",LEN($R429))</f>
        <v/>
      </c>
      <c r="AQ429">
        <f>IF($AG429="","",TRIM(IF(COUNTIFS(Calc!$B$2:$B$1601,ROW()-1,Calc!$C$2:$C$1601,"&lt;1")&gt;0,"Ada PO tanpa Koli - cek TMP. ","")&amp;IF(LEN($R429)&gt;500,"R &gt; 500 karakter.","")))</f>
        <v/>
      </c>
    </row>
    <row r="430">
      <c r="A430">
        <f>IF($AG430="","",INDEX('TMP Paste'!$B$2:$B$1601,$AG430))</f>
        <v/>
      </c>
      <c r="B430">
        <f>IF($AG430="","",Config!$B$14)</f>
        <v/>
      </c>
      <c r="C430">
        <f>IF($AG430="","",Config!$B$15)</f>
        <v/>
      </c>
      <c r="D430">
        <f>IF($AG430="","",INDEX('TMP Paste'!$B$2:$B$1601,$AG430))</f>
        <v/>
      </c>
      <c r="E430">
        <f>IF($AG430="","",Config!$B$27)</f>
        <v/>
      </c>
      <c r="F430">
        <f>IF($AG430="","",Config!$B$9)</f>
        <v/>
      </c>
      <c r="G430">
        <f>IF($AG430="","",Config!$B$10)</f>
        <v/>
      </c>
      <c r="H430">
        <f>IF($AG430="","",Config!$B$11)</f>
        <v/>
      </c>
      <c r="I430">
        <f>IF($AG430="","",Config!$B$16)</f>
        <v/>
      </c>
      <c r="J430">
        <f>IF($AG430="","",INDEX('TMP Paste'!$A$2:$A$1601,$AG430))</f>
        <v/>
      </c>
      <c r="K430">
        <f>IF($AG430="","",INDEX('TMP Paste'!$L$2:$L$1601,$AG430))</f>
        <v/>
      </c>
      <c r="L430">
        <f>IF($AG430="","",INDEX('TMP Paste'!$I$2:$I$1601,$AG430))</f>
        <v/>
      </c>
      <c r="M430">
        <f>IF($AG430="","",Config!$B$16)</f>
        <v/>
      </c>
      <c r="N430">
        <f>IF($AG430="","","")</f>
        <v/>
      </c>
      <c r="O430">
        <f>IF($AG430="","",INDEX('TMP Paste'!$K$2:$K$1601,$AG430))</f>
        <v/>
      </c>
      <c r="P430">
        <f>IF($AG430="","","")</f>
        <v/>
      </c>
      <c r="Q430">
        <f>IF($AG430="","",INDEX('TMP Paste'!$J$2:$J$1601,$AG430))</f>
        <v/>
      </c>
      <c r="R430">
        <f>IF($AG430="","",Config!$B$24)</f>
        <v/>
      </c>
      <c r="S430">
        <f>IF($AG430="","",TEXT(Config!$B$4,"yyyy-mm-dd"))</f>
        <v/>
      </c>
      <c r="T430">
        <f>IF($AG430="","",Config!$B$17)</f>
        <v/>
      </c>
      <c r="U430">
        <f>IF($AG430="","",Config!$B$18)</f>
        <v/>
      </c>
      <c r="V430">
        <f>IF($AG430="","",Config!$B$19)</f>
        <v/>
      </c>
      <c r="W430">
        <f>IF($AG430="","",INDEX('TMP Paste'!$C$2:$C$1601,$AG430))</f>
        <v/>
      </c>
      <c r="X430">
        <f>IF($AG430="","",Config!$B$29)</f>
        <v/>
      </c>
      <c r="Y430">
        <f>IF($AH430="","",INDEX(Calc!$I$2:$I$1601,$AH430)&amp;" - "&amp;INDEX(Calc!$D$2:$D$1601,$AH430)&amp;" koli")</f>
        <v/>
      </c>
      <c r="Z430">
        <f>IF($AG430="","",Config!$B$21)</f>
        <v/>
      </c>
      <c r="AA430">
        <f>IF($AG430="","",Config!$B$22)</f>
        <v/>
      </c>
      <c r="AB430">
        <f>IF($AH430="","",INDEX(Calc!$D$2:$D$1601,$AH430))</f>
        <v/>
      </c>
      <c r="AC430">
        <f>IF($AH430="","",INDEX(Calc!$G$2:$G$1601,$AH430))</f>
        <v/>
      </c>
      <c r="AD430">
        <f>IF($AG430="","",Config!$B$23)</f>
        <v/>
      </c>
      <c r="AE430">
        <f>IF($AG430="","",Config!$B$28)</f>
        <v/>
      </c>
      <c r="AG430">
        <f>IFERROR(MATCH(ROW()-1,Calc!$J$2:$J$1601,0),"")</f>
        <v/>
      </c>
      <c r="AH430">
        <f>IFERROR(MATCH(ROW()-1,Calc!$K$2:$K$1601,0),"")</f>
        <v/>
      </c>
      <c r="AI430">
        <f>IF($AG430="","",SUMIF($AG$2:$AG430,$AG430,$AH$2:$AH430))</f>
        <v/>
      </c>
      <c r="AJ430">
        <f>IF('TMP Paste'!$F430="","",IF('TMP Paste'!$B430="",$AJ429,'TMP Paste'!$B430))</f>
        <v/>
      </c>
      <c r="AK430">
        <f>IF('TMP Paste'!$F430="","",N('TMP Paste'!$G430))</f>
        <v/>
      </c>
      <c r="AL430">
        <f>IF('TMP Paste'!$F430="","",IF('TMP Paste'!$M430="",$AL429,'TMP Paste'!$M430))</f>
        <v/>
      </c>
      <c r="AM430">
        <f>IF('TMP Paste'!$F430="","",IF('TMP Paste'!$N430="",$AM429,'TMP Paste'!$N430))</f>
        <v/>
      </c>
      <c r="AN430">
        <f>IF('TMP Paste'!$F430="","",IF('TMP Paste'!$O430="",$AN429,'TMP Paste'!$O430))</f>
        <v/>
      </c>
      <c r="AO430">
        <f>IF('TMP Paste'!$F430="","",IF('TMP Paste'!$P430="",$AO429,'TMP Paste'!$P430))</f>
        <v/>
      </c>
      <c r="AP430">
        <f>IF($AG430="","",LEN($R430))</f>
        <v/>
      </c>
      <c r="AQ430">
        <f>IF($AG430="","",TRIM(IF(COUNTIFS(Calc!$B$2:$B$1601,ROW()-1,Calc!$C$2:$C$1601,"&lt;1")&gt;0,"Ada PO tanpa Koli - cek TMP. ","")&amp;IF(LEN($R430)&gt;500,"R &gt; 500 karakter.","")))</f>
        <v/>
      </c>
    </row>
    <row r="431">
      <c r="A431">
        <f>IF($AG431="","",INDEX('TMP Paste'!$B$2:$B$1601,$AG431))</f>
        <v/>
      </c>
      <c r="B431">
        <f>IF($AG431="","",Config!$B$14)</f>
        <v/>
      </c>
      <c r="C431">
        <f>IF($AG431="","",Config!$B$15)</f>
        <v/>
      </c>
      <c r="D431">
        <f>IF($AG431="","",INDEX('TMP Paste'!$B$2:$B$1601,$AG431))</f>
        <v/>
      </c>
      <c r="E431">
        <f>IF($AG431="","",Config!$B$27)</f>
        <v/>
      </c>
      <c r="F431">
        <f>IF($AG431="","",Config!$B$9)</f>
        <v/>
      </c>
      <c r="G431">
        <f>IF($AG431="","",Config!$B$10)</f>
        <v/>
      </c>
      <c r="H431">
        <f>IF($AG431="","",Config!$B$11)</f>
        <v/>
      </c>
      <c r="I431">
        <f>IF($AG431="","",Config!$B$16)</f>
        <v/>
      </c>
      <c r="J431">
        <f>IF($AG431="","",INDEX('TMP Paste'!$A$2:$A$1601,$AG431))</f>
        <v/>
      </c>
      <c r="K431">
        <f>IF($AG431="","",INDEX('TMP Paste'!$L$2:$L$1601,$AG431))</f>
        <v/>
      </c>
      <c r="L431">
        <f>IF($AG431="","",INDEX('TMP Paste'!$I$2:$I$1601,$AG431))</f>
        <v/>
      </c>
      <c r="M431">
        <f>IF($AG431="","",Config!$B$16)</f>
        <v/>
      </c>
      <c r="N431">
        <f>IF($AG431="","","")</f>
        <v/>
      </c>
      <c r="O431">
        <f>IF($AG431="","",INDEX('TMP Paste'!$K$2:$K$1601,$AG431))</f>
        <v/>
      </c>
      <c r="P431">
        <f>IF($AG431="","","")</f>
        <v/>
      </c>
      <c r="Q431">
        <f>IF($AG431="","",INDEX('TMP Paste'!$J$2:$J$1601,$AG431))</f>
        <v/>
      </c>
      <c r="R431">
        <f>IF($AG431="","",Config!$B$24)</f>
        <v/>
      </c>
      <c r="S431">
        <f>IF($AG431="","",TEXT(Config!$B$4,"yyyy-mm-dd"))</f>
        <v/>
      </c>
      <c r="T431">
        <f>IF($AG431="","",Config!$B$17)</f>
        <v/>
      </c>
      <c r="U431">
        <f>IF($AG431="","",Config!$B$18)</f>
        <v/>
      </c>
      <c r="V431">
        <f>IF($AG431="","",Config!$B$19)</f>
        <v/>
      </c>
      <c r="W431">
        <f>IF($AG431="","",INDEX('TMP Paste'!$C$2:$C$1601,$AG431))</f>
        <v/>
      </c>
      <c r="X431">
        <f>IF($AG431="","",Config!$B$29)</f>
        <v/>
      </c>
      <c r="Y431">
        <f>IF($AH431="","",INDEX(Calc!$I$2:$I$1601,$AH431)&amp;" - "&amp;INDEX(Calc!$D$2:$D$1601,$AH431)&amp;" koli")</f>
        <v/>
      </c>
      <c r="Z431">
        <f>IF($AG431="","",Config!$B$21)</f>
        <v/>
      </c>
      <c r="AA431">
        <f>IF($AG431="","",Config!$B$22)</f>
        <v/>
      </c>
      <c r="AB431">
        <f>IF($AH431="","",INDEX(Calc!$D$2:$D$1601,$AH431))</f>
        <v/>
      </c>
      <c r="AC431">
        <f>IF($AH431="","",INDEX(Calc!$G$2:$G$1601,$AH431))</f>
        <v/>
      </c>
      <c r="AD431">
        <f>IF($AG431="","",Config!$B$23)</f>
        <v/>
      </c>
      <c r="AE431">
        <f>IF($AG431="","",Config!$B$28)</f>
        <v/>
      </c>
      <c r="AG431">
        <f>IFERROR(MATCH(ROW()-1,Calc!$J$2:$J$1601,0),"")</f>
        <v/>
      </c>
      <c r="AH431">
        <f>IFERROR(MATCH(ROW()-1,Calc!$K$2:$K$1601,0),"")</f>
        <v/>
      </c>
      <c r="AI431">
        <f>IF($AG431="","",SUMIF($AG$2:$AG431,$AG431,$AH$2:$AH431))</f>
        <v/>
      </c>
      <c r="AJ431">
        <f>IF('TMP Paste'!$F431="","",IF('TMP Paste'!$B431="",$AJ430,'TMP Paste'!$B431))</f>
        <v/>
      </c>
      <c r="AK431">
        <f>IF('TMP Paste'!$F431="","",N('TMP Paste'!$G431))</f>
        <v/>
      </c>
      <c r="AL431">
        <f>IF('TMP Paste'!$F431="","",IF('TMP Paste'!$M431="",$AL430,'TMP Paste'!$M431))</f>
        <v/>
      </c>
      <c r="AM431">
        <f>IF('TMP Paste'!$F431="","",IF('TMP Paste'!$N431="",$AM430,'TMP Paste'!$N431))</f>
        <v/>
      </c>
      <c r="AN431">
        <f>IF('TMP Paste'!$F431="","",IF('TMP Paste'!$O431="",$AN430,'TMP Paste'!$O431))</f>
        <v/>
      </c>
      <c r="AO431">
        <f>IF('TMP Paste'!$F431="","",IF('TMP Paste'!$P431="",$AO430,'TMP Paste'!$P431))</f>
        <v/>
      </c>
      <c r="AP431">
        <f>IF($AG431="","",LEN($R431))</f>
        <v/>
      </c>
      <c r="AQ431">
        <f>IF($AG431="","",TRIM(IF(COUNTIFS(Calc!$B$2:$B$1601,ROW()-1,Calc!$C$2:$C$1601,"&lt;1")&gt;0,"Ada PO tanpa Koli - cek TMP. ","")&amp;IF(LEN($R431)&gt;500,"R &gt; 500 karakter.","")))</f>
        <v/>
      </c>
    </row>
    <row r="432">
      <c r="A432">
        <f>IF($AG432="","",INDEX('TMP Paste'!$B$2:$B$1601,$AG432))</f>
        <v/>
      </c>
      <c r="B432">
        <f>IF($AG432="","",Config!$B$14)</f>
        <v/>
      </c>
      <c r="C432">
        <f>IF($AG432="","",Config!$B$15)</f>
        <v/>
      </c>
      <c r="D432">
        <f>IF($AG432="","",INDEX('TMP Paste'!$B$2:$B$1601,$AG432))</f>
        <v/>
      </c>
      <c r="E432">
        <f>IF($AG432="","",Config!$B$27)</f>
        <v/>
      </c>
      <c r="F432">
        <f>IF($AG432="","",Config!$B$9)</f>
        <v/>
      </c>
      <c r="G432">
        <f>IF($AG432="","",Config!$B$10)</f>
        <v/>
      </c>
      <c r="H432">
        <f>IF($AG432="","",Config!$B$11)</f>
        <v/>
      </c>
      <c r="I432">
        <f>IF($AG432="","",Config!$B$16)</f>
        <v/>
      </c>
      <c r="J432">
        <f>IF($AG432="","",INDEX('TMP Paste'!$A$2:$A$1601,$AG432))</f>
        <v/>
      </c>
      <c r="K432">
        <f>IF($AG432="","",INDEX('TMP Paste'!$L$2:$L$1601,$AG432))</f>
        <v/>
      </c>
      <c r="L432">
        <f>IF($AG432="","",INDEX('TMP Paste'!$I$2:$I$1601,$AG432))</f>
        <v/>
      </c>
      <c r="M432">
        <f>IF($AG432="","",Config!$B$16)</f>
        <v/>
      </c>
      <c r="N432">
        <f>IF($AG432="","","")</f>
        <v/>
      </c>
      <c r="O432">
        <f>IF($AG432="","",INDEX('TMP Paste'!$K$2:$K$1601,$AG432))</f>
        <v/>
      </c>
      <c r="P432">
        <f>IF($AG432="","","")</f>
        <v/>
      </c>
      <c r="Q432">
        <f>IF($AG432="","",INDEX('TMP Paste'!$J$2:$J$1601,$AG432))</f>
        <v/>
      </c>
      <c r="R432">
        <f>IF($AG432="","",Config!$B$24)</f>
        <v/>
      </c>
      <c r="S432">
        <f>IF($AG432="","",TEXT(Config!$B$4,"yyyy-mm-dd"))</f>
        <v/>
      </c>
      <c r="T432">
        <f>IF($AG432="","",Config!$B$17)</f>
        <v/>
      </c>
      <c r="U432">
        <f>IF($AG432="","",Config!$B$18)</f>
        <v/>
      </c>
      <c r="V432">
        <f>IF($AG432="","",Config!$B$19)</f>
        <v/>
      </c>
      <c r="W432">
        <f>IF($AG432="","",INDEX('TMP Paste'!$C$2:$C$1601,$AG432))</f>
        <v/>
      </c>
      <c r="X432">
        <f>IF($AG432="","",Config!$B$29)</f>
        <v/>
      </c>
      <c r="Y432">
        <f>IF($AH432="","",INDEX(Calc!$I$2:$I$1601,$AH432)&amp;" - "&amp;INDEX(Calc!$D$2:$D$1601,$AH432)&amp;" koli")</f>
        <v/>
      </c>
      <c r="Z432">
        <f>IF($AG432="","",Config!$B$21)</f>
        <v/>
      </c>
      <c r="AA432">
        <f>IF($AG432="","",Config!$B$22)</f>
        <v/>
      </c>
      <c r="AB432">
        <f>IF($AH432="","",INDEX(Calc!$D$2:$D$1601,$AH432))</f>
        <v/>
      </c>
      <c r="AC432">
        <f>IF($AH432="","",INDEX(Calc!$G$2:$G$1601,$AH432))</f>
        <v/>
      </c>
      <c r="AD432">
        <f>IF($AG432="","",Config!$B$23)</f>
        <v/>
      </c>
      <c r="AE432">
        <f>IF($AG432="","",Config!$B$28)</f>
        <v/>
      </c>
      <c r="AG432">
        <f>IFERROR(MATCH(ROW()-1,Calc!$J$2:$J$1601,0),"")</f>
        <v/>
      </c>
      <c r="AH432">
        <f>IFERROR(MATCH(ROW()-1,Calc!$K$2:$K$1601,0),"")</f>
        <v/>
      </c>
      <c r="AI432">
        <f>IF($AG432="","",SUMIF($AG$2:$AG432,$AG432,$AH$2:$AH432))</f>
        <v/>
      </c>
      <c r="AJ432">
        <f>IF('TMP Paste'!$F432="","",IF('TMP Paste'!$B432="",$AJ431,'TMP Paste'!$B432))</f>
        <v/>
      </c>
      <c r="AK432">
        <f>IF('TMP Paste'!$F432="","",N('TMP Paste'!$G432))</f>
        <v/>
      </c>
      <c r="AL432">
        <f>IF('TMP Paste'!$F432="","",IF('TMP Paste'!$M432="",$AL431,'TMP Paste'!$M432))</f>
        <v/>
      </c>
      <c r="AM432">
        <f>IF('TMP Paste'!$F432="","",IF('TMP Paste'!$N432="",$AM431,'TMP Paste'!$N432))</f>
        <v/>
      </c>
      <c r="AN432">
        <f>IF('TMP Paste'!$F432="","",IF('TMP Paste'!$O432="",$AN431,'TMP Paste'!$O432))</f>
        <v/>
      </c>
      <c r="AO432">
        <f>IF('TMP Paste'!$F432="","",IF('TMP Paste'!$P432="",$AO431,'TMP Paste'!$P432))</f>
        <v/>
      </c>
      <c r="AP432">
        <f>IF($AG432="","",LEN($R432))</f>
        <v/>
      </c>
      <c r="AQ432">
        <f>IF($AG432="","",TRIM(IF(COUNTIFS(Calc!$B$2:$B$1601,ROW()-1,Calc!$C$2:$C$1601,"&lt;1")&gt;0,"Ada PO tanpa Koli - cek TMP. ","")&amp;IF(LEN($R432)&gt;500,"R &gt; 500 karakter.","")))</f>
        <v/>
      </c>
    </row>
    <row r="433">
      <c r="A433">
        <f>IF($AG433="","",INDEX('TMP Paste'!$B$2:$B$1601,$AG433))</f>
        <v/>
      </c>
      <c r="B433">
        <f>IF($AG433="","",Config!$B$14)</f>
        <v/>
      </c>
      <c r="C433">
        <f>IF($AG433="","",Config!$B$15)</f>
        <v/>
      </c>
      <c r="D433">
        <f>IF($AG433="","",INDEX('TMP Paste'!$B$2:$B$1601,$AG433))</f>
        <v/>
      </c>
      <c r="E433">
        <f>IF($AG433="","",Config!$B$27)</f>
        <v/>
      </c>
      <c r="F433">
        <f>IF($AG433="","",Config!$B$9)</f>
        <v/>
      </c>
      <c r="G433">
        <f>IF($AG433="","",Config!$B$10)</f>
        <v/>
      </c>
      <c r="H433">
        <f>IF($AG433="","",Config!$B$11)</f>
        <v/>
      </c>
      <c r="I433">
        <f>IF($AG433="","",Config!$B$16)</f>
        <v/>
      </c>
      <c r="J433">
        <f>IF($AG433="","",INDEX('TMP Paste'!$A$2:$A$1601,$AG433))</f>
        <v/>
      </c>
      <c r="K433">
        <f>IF($AG433="","",INDEX('TMP Paste'!$L$2:$L$1601,$AG433))</f>
        <v/>
      </c>
      <c r="L433">
        <f>IF($AG433="","",INDEX('TMP Paste'!$I$2:$I$1601,$AG433))</f>
        <v/>
      </c>
      <c r="M433">
        <f>IF($AG433="","",Config!$B$16)</f>
        <v/>
      </c>
      <c r="N433">
        <f>IF($AG433="","","")</f>
        <v/>
      </c>
      <c r="O433">
        <f>IF($AG433="","",INDEX('TMP Paste'!$K$2:$K$1601,$AG433))</f>
        <v/>
      </c>
      <c r="P433">
        <f>IF($AG433="","","")</f>
        <v/>
      </c>
      <c r="Q433">
        <f>IF($AG433="","",INDEX('TMP Paste'!$J$2:$J$1601,$AG433))</f>
        <v/>
      </c>
      <c r="R433">
        <f>IF($AG433="","",Config!$B$24)</f>
        <v/>
      </c>
      <c r="S433">
        <f>IF($AG433="","",TEXT(Config!$B$4,"yyyy-mm-dd"))</f>
        <v/>
      </c>
      <c r="T433">
        <f>IF($AG433="","",Config!$B$17)</f>
        <v/>
      </c>
      <c r="U433">
        <f>IF($AG433="","",Config!$B$18)</f>
        <v/>
      </c>
      <c r="V433">
        <f>IF($AG433="","",Config!$B$19)</f>
        <v/>
      </c>
      <c r="W433">
        <f>IF($AG433="","",INDEX('TMP Paste'!$C$2:$C$1601,$AG433))</f>
        <v/>
      </c>
      <c r="X433">
        <f>IF($AG433="","",Config!$B$29)</f>
        <v/>
      </c>
      <c r="Y433">
        <f>IF($AH433="","",INDEX(Calc!$I$2:$I$1601,$AH433)&amp;" - "&amp;INDEX(Calc!$D$2:$D$1601,$AH433)&amp;" koli")</f>
        <v/>
      </c>
      <c r="Z433">
        <f>IF($AG433="","",Config!$B$21)</f>
        <v/>
      </c>
      <c r="AA433">
        <f>IF($AG433="","",Config!$B$22)</f>
        <v/>
      </c>
      <c r="AB433">
        <f>IF($AH433="","",INDEX(Calc!$D$2:$D$1601,$AH433))</f>
        <v/>
      </c>
      <c r="AC433">
        <f>IF($AH433="","",INDEX(Calc!$G$2:$G$1601,$AH433))</f>
        <v/>
      </c>
      <c r="AD433">
        <f>IF($AG433="","",Config!$B$23)</f>
        <v/>
      </c>
      <c r="AE433">
        <f>IF($AG433="","",Config!$B$28)</f>
        <v/>
      </c>
      <c r="AG433">
        <f>IFERROR(MATCH(ROW()-1,Calc!$J$2:$J$1601,0),"")</f>
        <v/>
      </c>
      <c r="AH433">
        <f>IFERROR(MATCH(ROW()-1,Calc!$K$2:$K$1601,0),"")</f>
        <v/>
      </c>
      <c r="AI433">
        <f>IF($AG433="","",SUMIF($AG$2:$AG433,$AG433,$AH$2:$AH433))</f>
        <v/>
      </c>
      <c r="AJ433">
        <f>IF('TMP Paste'!$F433="","",IF('TMP Paste'!$B433="",$AJ432,'TMP Paste'!$B433))</f>
        <v/>
      </c>
      <c r="AK433">
        <f>IF('TMP Paste'!$F433="","",N('TMP Paste'!$G433))</f>
        <v/>
      </c>
      <c r="AL433">
        <f>IF('TMP Paste'!$F433="","",IF('TMP Paste'!$M433="",$AL432,'TMP Paste'!$M433))</f>
        <v/>
      </c>
      <c r="AM433">
        <f>IF('TMP Paste'!$F433="","",IF('TMP Paste'!$N433="",$AM432,'TMP Paste'!$N433))</f>
        <v/>
      </c>
      <c r="AN433">
        <f>IF('TMP Paste'!$F433="","",IF('TMP Paste'!$O433="",$AN432,'TMP Paste'!$O433))</f>
        <v/>
      </c>
      <c r="AO433">
        <f>IF('TMP Paste'!$F433="","",IF('TMP Paste'!$P433="",$AO432,'TMP Paste'!$P433))</f>
        <v/>
      </c>
      <c r="AP433">
        <f>IF($AG433="","",LEN($R433))</f>
        <v/>
      </c>
      <c r="AQ433">
        <f>IF($AG433="","",TRIM(IF(COUNTIFS(Calc!$B$2:$B$1601,ROW()-1,Calc!$C$2:$C$1601,"&lt;1")&gt;0,"Ada PO tanpa Koli - cek TMP. ","")&amp;IF(LEN($R433)&gt;500,"R &gt; 500 karakter.","")))</f>
        <v/>
      </c>
    </row>
    <row r="434">
      <c r="A434">
        <f>IF($AG434="","",INDEX('TMP Paste'!$B$2:$B$1601,$AG434))</f>
        <v/>
      </c>
      <c r="B434">
        <f>IF($AG434="","",Config!$B$14)</f>
        <v/>
      </c>
      <c r="C434">
        <f>IF($AG434="","",Config!$B$15)</f>
        <v/>
      </c>
      <c r="D434">
        <f>IF($AG434="","",INDEX('TMP Paste'!$B$2:$B$1601,$AG434))</f>
        <v/>
      </c>
      <c r="E434">
        <f>IF($AG434="","",Config!$B$27)</f>
        <v/>
      </c>
      <c r="F434">
        <f>IF($AG434="","",Config!$B$9)</f>
        <v/>
      </c>
      <c r="G434">
        <f>IF($AG434="","",Config!$B$10)</f>
        <v/>
      </c>
      <c r="H434">
        <f>IF($AG434="","",Config!$B$11)</f>
        <v/>
      </c>
      <c r="I434">
        <f>IF($AG434="","",Config!$B$16)</f>
        <v/>
      </c>
      <c r="J434">
        <f>IF($AG434="","",INDEX('TMP Paste'!$A$2:$A$1601,$AG434))</f>
        <v/>
      </c>
      <c r="K434">
        <f>IF($AG434="","",INDEX('TMP Paste'!$L$2:$L$1601,$AG434))</f>
        <v/>
      </c>
      <c r="L434">
        <f>IF($AG434="","",INDEX('TMP Paste'!$I$2:$I$1601,$AG434))</f>
        <v/>
      </c>
      <c r="M434">
        <f>IF($AG434="","",Config!$B$16)</f>
        <v/>
      </c>
      <c r="N434">
        <f>IF($AG434="","","")</f>
        <v/>
      </c>
      <c r="O434">
        <f>IF($AG434="","",INDEX('TMP Paste'!$K$2:$K$1601,$AG434))</f>
        <v/>
      </c>
      <c r="P434">
        <f>IF($AG434="","","")</f>
        <v/>
      </c>
      <c r="Q434">
        <f>IF($AG434="","",INDEX('TMP Paste'!$J$2:$J$1601,$AG434))</f>
        <v/>
      </c>
      <c r="R434">
        <f>IF($AG434="","",Config!$B$24)</f>
        <v/>
      </c>
      <c r="S434">
        <f>IF($AG434="","",TEXT(Config!$B$4,"yyyy-mm-dd"))</f>
        <v/>
      </c>
      <c r="T434">
        <f>IF($AG434="","",Config!$B$17)</f>
        <v/>
      </c>
      <c r="U434">
        <f>IF($AG434="","",Config!$B$18)</f>
        <v/>
      </c>
      <c r="V434">
        <f>IF($AG434="","",Config!$B$19)</f>
        <v/>
      </c>
      <c r="W434">
        <f>IF($AG434="","",INDEX('TMP Paste'!$C$2:$C$1601,$AG434))</f>
        <v/>
      </c>
      <c r="X434">
        <f>IF($AG434="","",Config!$B$29)</f>
        <v/>
      </c>
      <c r="Y434">
        <f>IF($AH434="","",INDEX(Calc!$I$2:$I$1601,$AH434)&amp;" - "&amp;INDEX(Calc!$D$2:$D$1601,$AH434)&amp;" koli")</f>
        <v/>
      </c>
      <c r="Z434">
        <f>IF($AG434="","",Config!$B$21)</f>
        <v/>
      </c>
      <c r="AA434">
        <f>IF($AG434="","",Config!$B$22)</f>
        <v/>
      </c>
      <c r="AB434">
        <f>IF($AH434="","",INDEX(Calc!$D$2:$D$1601,$AH434))</f>
        <v/>
      </c>
      <c r="AC434">
        <f>IF($AH434="","",INDEX(Calc!$G$2:$G$1601,$AH434))</f>
        <v/>
      </c>
      <c r="AD434">
        <f>IF($AG434="","",Config!$B$23)</f>
        <v/>
      </c>
      <c r="AE434">
        <f>IF($AG434="","",Config!$B$28)</f>
        <v/>
      </c>
      <c r="AG434">
        <f>IFERROR(MATCH(ROW()-1,Calc!$J$2:$J$1601,0),"")</f>
        <v/>
      </c>
      <c r="AH434">
        <f>IFERROR(MATCH(ROW()-1,Calc!$K$2:$K$1601,0),"")</f>
        <v/>
      </c>
      <c r="AI434">
        <f>IF($AG434="","",SUMIF($AG$2:$AG434,$AG434,$AH$2:$AH434))</f>
        <v/>
      </c>
      <c r="AJ434">
        <f>IF('TMP Paste'!$F434="","",IF('TMP Paste'!$B434="",$AJ433,'TMP Paste'!$B434))</f>
        <v/>
      </c>
      <c r="AK434">
        <f>IF('TMP Paste'!$F434="","",N('TMP Paste'!$G434))</f>
        <v/>
      </c>
      <c r="AL434">
        <f>IF('TMP Paste'!$F434="","",IF('TMP Paste'!$M434="",$AL433,'TMP Paste'!$M434))</f>
        <v/>
      </c>
      <c r="AM434">
        <f>IF('TMP Paste'!$F434="","",IF('TMP Paste'!$N434="",$AM433,'TMP Paste'!$N434))</f>
        <v/>
      </c>
      <c r="AN434">
        <f>IF('TMP Paste'!$F434="","",IF('TMP Paste'!$O434="",$AN433,'TMP Paste'!$O434))</f>
        <v/>
      </c>
      <c r="AO434">
        <f>IF('TMP Paste'!$F434="","",IF('TMP Paste'!$P434="",$AO433,'TMP Paste'!$P434))</f>
        <v/>
      </c>
      <c r="AP434">
        <f>IF($AG434="","",LEN($R434))</f>
        <v/>
      </c>
      <c r="AQ434">
        <f>IF($AG434="","",TRIM(IF(COUNTIFS(Calc!$B$2:$B$1601,ROW()-1,Calc!$C$2:$C$1601,"&lt;1")&gt;0,"Ada PO tanpa Koli - cek TMP. ","")&amp;IF(LEN($R434)&gt;500,"R &gt; 500 karakter.","")))</f>
        <v/>
      </c>
    </row>
    <row r="435">
      <c r="A435">
        <f>IF($AG435="","",INDEX('TMP Paste'!$B$2:$B$1601,$AG435))</f>
        <v/>
      </c>
      <c r="B435">
        <f>IF($AG435="","",Config!$B$14)</f>
        <v/>
      </c>
      <c r="C435">
        <f>IF($AG435="","",Config!$B$15)</f>
        <v/>
      </c>
      <c r="D435">
        <f>IF($AG435="","",INDEX('TMP Paste'!$B$2:$B$1601,$AG435))</f>
        <v/>
      </c>
      <c r="E435">
        <f>IF($AG435="","",Config!$B$27)</f>
        <v/>
      </c>
      <c r="F435">
        <f>IF($AG435="","",Config!$B$9)</f>
        <v/>
      </c>
      <c r="G435">
        <f>IF($AG435="","",Config!$B$10)</f>
        <v/>
      </c>
      <c r="H435">
        <f>IF($AG435="","",Config!$B$11)</f>
        <v/>
      </c>
      <c r="I435">
        <f>IF($AG435="","",Config!$B$16)</f>
        <v/>
      </c>
      <c r="J435">
        <f>IF($AG435="","",INDEX('TMP Paste'!$A$2:$A$1601,$AG435))</f>
        <v/>
      </c>
      <c r="K435">
        <f>IF($AG435="","",INDEX('TMP Paste'!$L$2:$L$1601,$AG435))</f>
        <v/>
      </c>
      <c r="L435">
        <f>IF($AG435="","",INDEX('TMP Paste'!$I$2:$I$1601,$AG435))</f>
        <v/>
      </c>
      <c r="M435">
        <f>IF($AG435="","",Config!$B$16)</f>
        <v/>
      </c>
      <c r="N435">
        <f>IF($AG435="","","")</f>
        <v/>
      </c>
      <c r="O435">
        <f>IF($AG435="","",INDEX('TMP Paste'!$K$2:$K$1601,$AG435))</f>
        <v/>
      </c>
      <c r="P435">
        <f>IF($AG435="","","")</f>
        <v/>
      </c>
      <c r="Q435">
        <f>IF($AG435="","",INDEX('TMP Paste'!$J$2:$J$1601,$AG435))</f>
        <v/>
      </c>
      <c r="R435">
        <f>IF($AG435="","",Config!$B$24)</f>
        <v/>
      </c>
      <c r="S435">
        <f>IF($AG435="","",TEXT(Config!$B$4,"yyyy-mm-dd"))</f>
        <v/>
      </c>
      <c r="T435">
        <f>IF($AG435="","",Config!$B$17)</f>
        <v/>
      </c>
      <c r="U435">
        <f>IF($AG435="","",Config!$B$18)</f>
        <v/>
      </c>
      <c r="V435">
        <f>IF($AG435="","",Config!$B$19)</f>
        <v/>
      </c>
      <c r="W435">
        <f>IF($AG435="","",INDEX('TMP Paste'!$C$2:$C$1601,$AG435))</f>
        <v/>
      </c>
      <c r="X435">
        <f>IF($AG435="","",Config!$B$29)</f>
        <v/>
      </c>
      <c r="Y435">
        <f>IF($AH435="","",INDEX(Calc!$I$2:$I$1601,$AH435)&amp;" - "&amp;INDEX(Calc!$D$2:$D$1601,$AH435)&amp;" koli")</f>
        <v/>
      </c>
      <c r="Z435">
        <f>IF($AG435="","",Config!$B$21)</f>
        <v/>
      </c>
      <c r="AA435">
        <f>IF($AG435="","",Config!$B$22)</f>
        <v/>
      </c>
      <c r="AB435">
        <f>IF($AH435="","",INDEX(Calc!$D$2:$D$1601,$AH435))</f>
        <v/>
      </c>
      <c r="AC435">
        <f>IF($AH435="","",INDEX(Calc!$G$2:$G$1601,$AH435))</f>
        <v/>
      </c>
      <c r="AD435">
        <f>IF($AG435="","",Config!$B$23)</f>
        <v/>
      </c>
      <c r="AE435">
        <f>IF($AG435="","",Config!$B$28)</f>
        <v/>
      </c>
      <c r="AG435">
        <f>IFERROR(MATCH(ROW()-1,Calc!$J$2:$J$1601,0),"")</f>
        <v/>
      </c>
      <c r="AH435">
        <f>IFERROR(MATCH(ROW()-1,Calc!$K$2:$K$1601,0),"")</f>
        <v/>
      </c>
      <c r="AI435">
        <f>IF($AG435="","",SUMIF($AG$2:$AG435,$AG435,$AH$2:$AH435))</f>
        <v/>
      </c>
      <c r="AJ435">
        <f>IF('TMP Paste'!$F435="","",IF('TMP Paste'!$B435="",$AJ434,'TMP Paste'!$B435))</f>
        <v/>
      </c>
      <c r="AK435">
        <f>IF('TMP Paste'!$F435="","",N('TMP Paste'!$G435))</f>
        <v/>
      </c>
      <c r="AL435">
        <f>IF('TMP Paste'!$F435="","",IF('TMP Paste'!$M435="",$AL434,'TMP Paste'!$M435))</f>
        <v/>
      </c>
      <c r="AM435">
        <f>IF('TMP Paste'!$F435="","",IF('TMP Paste'!$N435="",$AM434,'TMP Paste'!$N435))</f>
        <v/>
      </c>
      <c r="AN435">
        <f>IF('TMP Paste'!$F435="","",IF('TMP Paste'!$O435="",$AN434,'TMP Paste'!$O435))</f>
        <v/>
      </c>
      <c r="AO435">
        <f>IF('TMP Paste'!$F435="","",IF('TMP Paste'!$P435="",$AO434,'TMP Paste'!$P435))</f>
        <v/>
      </c>
      <c r="AP435">
        <f>IF($AG435="","",LEN($R435))</f>
        <v/>
      </c>
      <c r="AQ435">
        <f>IF($AG435="","",TRIM(IF(COUNTIFS(Calc!$B$2:$B$1601,ROW()-1,Calc!$C$2:$C$1601,"&lt;1")&gt;0,"Ada PO tanpa Koli - cek TMP. ","")&amp;IF(LEN($R435)&gt;500,"R &gt; 500 karakter.","")))</f>
        <v/>
      </c>
    </row>
    <row r="436">
      <c r="A436">
        <f>IF($AG436="","",INDEX('TMP Paste'!$B$2:$B$1601,$AG436))</f>
        <v/>
      </c>
      <c r="B436">
        <f>IF($AG436="","",Config!$B$14)</f>
        <v/>
      </c>
      <c r="C436">
        <f>IF($AG436="","",Config!$B$15)</f>
        <v/>
      </c>
      <c r="D436">
        <f>IF($AG436="","",INDEX('TMP Paste'!$B$2:$B$1601,$AG436))</f>
        <v/>
      </c>
      <c r="E436">
        <f>IF($AG436="","",Config!$B$27)</f>
        <v/>
      </c>
      <c r="F436">
        <f>IF($AG436="","",Config!$B$9)</f>
        <v/>
      </c>
      <c r="G436">
        <f>IF($AG436="","",Config!$B$10)</f>
        <v/>
      </c>
      <c r="H436">
        <f>IF($AG436="","",Config!$B$11)</f>
        <v/>
      </c>
      <c r="I436">
        <f>IF($AG436="","",Config!$B$16)</f>
        <v/>
      </c>
      <c r="J436">
        <f>IF($AG436="","",INDEX('TMP Paste'!$A$2:$A$1601,$AG436))</f>
        <v/>
      </c>
      <c r="K436">
        <f>IF($AG436="","",INDEX('TMP Paste'!$L$2:$L$1601,$AG436))</f>
        <v/>
      </c>
      <c r="L436">
        <f>IF($AG436="","",INDEX('TMP Paste'!$I$2:$I$1601,$AG436))</f>
        <v/>
      </c>
      <c r="M436">
        <f>IF($AG436="","",Config!$B$16)</f>
        <v/>
      </c>
      <c r="N436">
        <f>IF($AG436="","","")</f>
        <v/>
      </c>
      <c r="O436">
        <f>IF($AG436="","",INDEX('TMP Paste'!$K$2:$K$1601,$AG436))</f>
        <v/>
      </c>
      <c r="P436">
        <f>IF($AG436="","","")</f>
        <v/>
      </c>
      <c r="Q436">
        <f>IF($AG436="","",INDEX('TMP Paste'!$J$2:$J$1601,$AG436))</f>
        <v/>
      </c>
      <c r="R436">
        <f>IF($AG436="","",Config!$B$24)</f>
        <v/>
      </c>
      <c r="S436">
        <f>IF($AG436="","",TEXT(Config!$B$4,"yyyy-mm-dd"))</f>
        <v/>
      </c>
      <c r="T436">
        <f>IF($AG436="","",Config!$B$17)</f>
        <v/>
      </c>
      <c r="U436">
        <f>IF($AG436="","",Config!$B$18)</f>
        <v/>
      </c>
      <c r="V436">
        <f>IF($AG436="","",Config!$B$19)</f>
        <v/>
      </c>
      <c r="W436">
        <f>IF($AG436="","",INDEX('TMP Paste'!$C$2:$C$1601,$AG436))</f>
        <v/>
      </c>
      <c r="X436">
        <f>IF($AG436="","",Config!$B$29)</f>
        <v/>
      </c>
      <c r="Y436">
        <f>IF($AH436="","",INDEX(Calc!$I$2:$I$1601,$AH436)&amp;" - "&amp;INDEX(Calc!$D$2:$D$1601,$AH436)&amp;" koli")</f>
        <v/>
      </c>
      <c r="Z436">
        <f>IF($AG436="","",Config!$B$21)</f>
        <v/>
      </c>
      <c r="AA436">
        <f>IF($AG436="","",Config!$B$22)</f>
        <v/>
      </c>
      <c r="AB436">
        <f>IF($AH436="","",INDEX(Calc!$D$2:$D$1601,$AH436))</f>
        <v/>
      </c>
      <c r="AC436">
        <f>IF($AH436="","",INDEX(Calc!$G$2:$G$1601,$AH436))</f>
        <v/>
      </c>
      <c r="AD436">
        <f>IF($AG436="","",Config!$B$23)</f>
        <v/>
      </c>
      <c r="AE436">
        <f>IF($AG436="","",Config!$B$28)</f>
        <v/>
      </c>
      <c r="AG436">
        <f>IFERROR(MATCH(ROW()-1,Calc!$J$2:$J$1601,0),"")</f>
        <v/>
      </c>
      <c r="AH436">
        <f>IFERROR(MATCH(ROW()-1,Calc!$K$2:$K$1601,0),"")</f>
        <v/>
      </c>
      <c r="AI436">
        <f>IF($AG436="","",SUMIF($AG$2:$AG436,$AG436,$AH$2:$AH436))</f>
        <v/>
      </c>
      <c r="AJ436">
        <f>IF('TMP Paste'!$F436="","",IF('TMP Paste'!$B436="",$AJ435,'TMP Paste'!$B436))</f>
        <v/>
      </c>
      <c r="AK436">
        <f>IF('TMP Paste'!$F436="","",N('TMP Paste'!$G436))</f>
        <v/>
      </c>
      <c r="AL436">
        <f>IF('TMP Paste'!$F436="","",IF('TMP Paste'!$M436="",$AL435,'TMP Paste'!$M436))</f>
        <v/>
      </c>
      <c r="AM436">
        <f>IF('TMP Paste'!$F436="","",IF('TMP Paste'!$N436="",$AM435,'TMP Paste'!$N436))</f>
        <v/>
      </c>
      <c r="AN436">
        <f>IF('TMP Paste'!$F436="","",IF('TMP Paste'!$O436="",$AN435,'TMP Paste'!$O436))</f>
        <v/>
      </c>
      <c r="AO436">
        <f>IF('TMP Paste'!$F436="","",IF('TMP Paste'!$P436="",$AO435,'TMP Paste'!$P436))</f>
        <v/>
      </c>
      <c r="AP436">
        <f>IF($AG436="","",LEN($R436))</f>
        <v/>
      </c>
      <c r="AQ436">
        <f>IF($AG436="","",TRIM(IF(COUNTIFS(Calc!$B$2:$B$1601,ROW()-1,Calc!$C$2:$C$1601,"&lt;1")&gt;0,"Ada PO tanpa Koli - cek TMP. ","")&amp;IF(LEN($R436)&gt;500,"R &gt; 500 karakter.","")))</f>
        <v/>
      </c>
    </row>
    <row r="437">
      <c r="A437">
        <f>IF($AG437="","",INDEX('TMP Paste'!$B$2:$B$1601,$AG437))</f>
        <v/>
      </c>
      <c r="B437">
        <f>IF($AG437="","",Config!$B$14)</f>
        <v/>
      </c>
      <c r="C437">
        <f>IF($AG437="","",Config!$B$15)</f>
        <v/>
      </c>
      <c r="D437">
        <f>IF($AG437="","",INDEX('TMP Paste'!$B$2:$B$1601,$AG437))</f>
        <v/>
      </c>
      <c r="E437">
        <f>IF($AG437="","",Config!$B$27)</f>
        <v/>
      </c>
      <c r="F437">
        <f>IF($AG437="","",Config!$B$9)</f>
        <v/>
      </c>
      <c r="G437">
        <f>IF($AG437="","",Config!$B$10)</f>
        <v/>
      </c>
      <c r="H437">
        <f>IF($AG437="","",Config!$B$11)</f>
        <v/>
      </c>
      <c r="I437">
        <f>IF($AG437="","",Config!$B$16)</f>
        <v/>
      </c>
      <c r="J437">
        <f>IF($AG437="","",INDEX('TMP Paste'!$A$2:$A$1601,$AG437))</f>
        <v/>
      </c>
      <c r="K437">
        <f>IF($AG437="","",INDEX('TMP Paste'!$L$2:$L$1601,$AG437))</f>
        <v/>
      </c>
      <c r="L437">
        <f>IF($AG437="","",INDEX('TMP Paste'!$I$2:$I$1601,$AG437))</f>
        <v/>
      </c>
      <c r="M437">
        <f>IF($AG437="","",Config!$B$16)</f>
        <v/>
      </c>
      <c r="N437">
        <f>IF($AG437="","","")</f>
        <v/>
      </c>
      <c r="O437">
        <f>IF($AG437="","",INDEX('TMP Paste'!$K$2:$K$1601,$AG437))</f>
        <v/>
      </c>
      <c r="P437">
        <f>IF($AG437="","","")</f>
        <v/>
      </c>
      <c r="Q437">
        <f>IF($AG437="","",INDEX('TMP Paste'!$J$2:$J$1601,$AG437))</f>
        <v/>
      </c>
      <c r="R437">
        <f>IF($AG437="","",Config!$B$24)</f>
        <v/>
      </c>
      <c r="S437">
        <f>IF($AG437="","",TEXT(Config!$B$4,"yyyy-mm-dd"))</f>
        <v/>
      </c>
      <c r="T437">
        <f>IF($AG437="","",Config!$B$17)</f>
        <v/>
      </c>
      <c r="U437">
        <f>IF($AG437="","",Config!$B$18)</f>
        <v/>
      </c>
      <c r="V437">
        <f>IF($AG437="","",Config!$B$19)</f>
        <v/>
      </c>
      <c r="W437">
        <f>IF($AG437="","",INDEX('TMP Paste'!$C$2:$C$1601,$AG437))</f>
        <v/>
      </c>
      <c r="X437">
        <f>IF($AG437="","",Config!$B$29)</f>
        <v/>
      </c>
      <c r="Y437">
        <f>IF($AH437="","",INDEX(Calc!$I$2:$I$1601,$AH437)&amp;" - "&amp;INDEX(Calc!$D$2:$D$1601,$AH437)&amp;" koli")</f>
        <v/>
      </c>
      <c r="Z437">
        <f>IF($AG437="","",Config!$B$21)</f>
        <v/>
      </c>
      <c r="AA437">
        <f>IF($AG437="","",Config!$B$22)</f>
        <v/>
      </c>
      <c r="AB437">
        <f>IF($AH437="","",INDEX(Calc!$D$2:$D$1601,$AH437))</f>
        <v/>
      </c>
      <c r="AC437">
        <f>IF($AH437="","",INDEX(Calc!$G$2:$G$1601,$AH437))</f>
        <v/>
      </c>
      <c r="AD437">
        <f>IF($AG437="","",Config!$B$23)</f>
        <v/>
      </c>
      <c r="AE437">
        <f>IF($AG437="","",Config!$B$28)</f>
        <v/>
      </c>
      <c r="AG437">
        <f>IFERROR(MATCH(ROW()-1,Calc!$J$2:$J$1601,0),"")</f>
        <v/>
      </c>
      <c r="AH437">
        <f>IFERROR(MATCH(ROW()-1,Calc!$K$2:$K$1601,0),"")</f>
        <v/>
      </c>
      <c r="AI437">
        <f>IF($AG437="","",SUMIF($AG$2:$AG437,$AG437,$AH$2:$AH437))</f>
        <v/>
      </c>
      <c r="AJ437">
        <f>IF('TMP Paste'!$F437="","",IF('TMP Paste'!$B437="",$AJ436,'TMP Paste'!$B437))</f>
        <v/>
      </c>
      <c r="AK437">
        <f>IF('TMP Paste'!$F437="","",N('TMP Paste'!$G437))</f>
        <v/>
      </c>
      <c r="AL437">
        <f>IF('TMP Paste'!$F437="","",IF('TMP Paste'!$M437="",$AL436,'TMP Paste'!$M437))</f>
        <v/>
      </c>
      <c r="AM437">
        <f>IF('TMP Paste'!$F437="","",IF('TMP Paste'!$N437="",$AM436,'TMP Paste'!$N437))</f>
        <v/>
      </c>
      <c r="AN437">
        <f>IF('TMP Paste'!$F437="","",IF('TMP Paste'!$O437="",$AN436,'TMP Paste'!$O437))</f>
        <v/>
      </c>
      <c r="AO437">
        <f>IF('TMP Paste'!$F437="","",IF('TMP Paste'!$P437="",$AO436,'TMP Paste'!$P437))</f>
        <v/>
      </c>
      <c r="AP437">
        <f>IF($AG437="","",LEN($R437))</f>
        <v/>
      </c>
      <c r="AQ437">
        <f>IF($AG437="","",TRIM(IF(COUNTIFS(Calc!$B$2:$B$1601,ROW()-1,Calc!$C$2:$C$1601,"&lt;1")&gt;0,"Ada PO tanpa Koli - cek TMP. ","")&amp;IF(LEN($R437)&gt;500,"R &gt; 500 karakter.","")))</f>
        <v/>
      </c>
    </row>
    <row r="438">
      <c r="A438">
        <f>IF($AG438="","",INDEX('TMP Paste'!$B$2:$B$1601,$AG438))</f>
        <v/>
      </c>
      <c r="B438">
        <f>IF($AG438="","",Config!$B$14)</f>
        <v/>
      </c>
      <c r="C438">
        <f>IF($AG438="","",Config!$B$15)</f>
        <v/>
      </c>
      <c r="D438">
        <f>IF($AG438="","",INDEX('TMP Paste'!$B$2:$B$1601,$AG438))</f>
        <v/>
      </c>
      <c r="E438">
        <f>IF($AG438="","",Config!$B$27)</f>
        <v/>
      </c>
      <c r="F438">
        <f>IF($AG438="","",Config!$B$9)</f>
        <v/>
      </c>
      <c r="G438">
        <f>IF($AG438="","",Config!$B$10)</f>
        <v/>
      </c>
      <c r="H438">
        <f>IF($AG438="","",Config!$B$11)</f>
        <v/>
      </c>
      <c r="I438">
        <f>IF($AG438="","",Config!$B$16)</f>
        <v/>
      </c>
      <c r="J438">
        <f>IF($AG438="","",INDEX('TMP Paste'!$A$2:$A$1601,$AG438))</f>
        <v/>
      </c>
      <c r="K438">
        <f>IF($AG438="","",INDEX('TMP Paste'!$L$2:$L$1601,$AG438))</f>
        <v/>
      </c>
      <c r="L438">
        <f>IF($AG438="","",INDEX('TMP Paste'!$I$2:$I$1601,$AG438))</f>
        <v/>
      </c>
      <c r="M438">
        <f>IF($AG438="","",Config!$B$16)</f>
        <v/>
      </c>
      <c r="N438">
        <f>IF($AG438="","","")</f>
        <v/>
      </c>
      <c r="O438">
        <f>IF($AG438="","",INDEX('TMP Paste'!$K$2:$K$1601,$AG438))</f>
        <v/>
      </c>
      <c r="P438">
        <f>IF($AG438="","","")</f>
        <v/>
      </c>
      <c r="Q438">
        <f>IF($AG438="","",INDEX('TMP Paste'!$J$2:$J$1601,$AG438))</f>
        <v/>
      </c>
      <c r="R438">
        <f>IF($AG438="","",Config!$B$24)</f>
        <v/>
      </c>
      <c r="S438">
        <f>IF($AG438="","",TEXT(Config!$B$4,"yyyy-mm-dd"))</f>
        <v/>
      </c>
      <c r="T438">
        <f>IF($AG438="","",Config!$B$17)</f>
        <v/>
      </c>
      <c r="U438">
        <f>IF($AG438="","",Config!$B$18)</f>
        <v/>
      </c>
      <c r="V438">
        <f>IF($AG438="","",Config!$B$19)</f>
        <v/>
      </c>
      <c r="W438">
        <f>IF($AG438="","",INDEX('TMP Paste'!$C$2:$C$1601,$AG438))</f>
        <v/>
      </c>
      <c r="X438">
        <f>IF($AG438="","",Config!$B$29)</f>
        <v/>
      </c>
      <c r="Y438">
        <f>IF($AH438="","",INDEX(Calc!$I$2:$I$1601,$AH438)&amp;" - "&amp;INDEX(Calc!$D$2:$D$1601,$AH438)&amp;" koli")</f>
        <v/>
      </c>
      <c r="Z438">
        <f>IF($AG438="","",Config!$B$21)</f>
        <v/>
      </c>
      <c r="AA438">
        <f>IF($AG438="","",Config!$B$22)</f>
        <v/>
      </c>
      <c r="AB438">
        <f>IF($AH438="","",INDEX(Calc!$D$2:$D$1601,$AH438))</f>
        <v/>
      </c>
      <c r="AC438">
        <f>IF($AH438="","",INDEX(Calc!$G$2:$G$1601,$AH438))</f>
        <v/>
      </c>
      <c r="AD438">
        <f>IF($AG438="","",Config!$B$23)</f>
        <v/>
      </c>
      <c r="AE438">
        <f>IF($AG438="","",Config!$B$28)</f>
        <v/>
      </c>
      <c r="AG438">
        <f>IFERROR(MATCH(ROW()-1,Calc!$J$2:$J$1601,0),"")</f>
        <v/>
      </c>
      <c r="AH438">
        <f>IFERROR(MATCH(ROW()-1,Calc!$K$2:$K$1601,0),"")</f>
        <v/>
      </c>
      <c r="AI438">
        <f>IF($AG438="","",SUMIF($AG$2:$AG438,$AG438,$AH$2:$AH438))</f>
        <v/>
      </c>
      <c r="AJ438">
        <f>IF('TMP Paste'!$F438="","",IF('TMP Paste'!$B438="",$AJ437,'TMP Paste'!$B438))</f>
        <v/>
      </c>
      <c r="AK438">
        <f>IF('TMP Paste'!$F438="","",N('TMP Paste'!$G438))</f>
        <v/>
      </c>
      <c r="AL438">
        <f>IF('TMP Paste'!$F438="","",IF('TMP Paste'!$M438="",$AL437,'TMP Paste'!$M438))</f>
        <v/>
      </c>
      <c r="AM438">
        <f>IF('TMP Paste'!$F438="","",IF('TMP Paste'!$N438="",$AM437,'TMP Paste'!$N438))</f>
        <v/>
      </c>
      <c r="AN438">
        <f>IF('TMP Paste'!$F438="","",IF('TMP Paste'!$O438="",$AN437,'TMP Paste'!$O438))</f>
        <v/>
      </c>
      <c r="AO438">
        <f>IF('TMP Paste'!$F438="","",IF('TMP Paste'!$P438="",$AO437,'TMP Paste'!$P438))</f>
        <v/>
      </c>
      <c r="AP438">
        <f>IF($AG438="","",LEN($R438))</f>
        <v/>
      </c>
      <c r="AQ438">
        <f>IF($AG438="","",TRIM(IF(COUNTIFS(Calc!$B$2:$B$1601,ROW()-1,Calc!$C$2:$C$1601,"&lt;1")&gt;0,"Ada PO tanpa Koli - cek TMP. ","")&amp;IF(LEN($R438)&gt;500,"R &gt; 500 karakter.","")))</f>
        <v/>
      </c>
    </row>
    <row r="439">
      <c r="A439">
        <f>IF($AG439="","",INDEX('TMP Paste'!$B$2:$B$1601,$AG439))</f>
        <v/>
      </c>
      <c r="B439">
        <f>IF($AG439="","",Config!$B$14)</f>
        <v/>
      </c>
      <c r="C439">
        <f>IF($AG439="","",Config!$B$15)</f>
        <v/>
      </c>
      <c r="D439">
        <f>IF($AG439="","",INDEX('TMP Paste'!$B$2:$B$1601,$AG439))</f>
        <v/>
      </c>
      <c r="E439">
        <f>IF($AG439="","",Config!$B$27)</f>
        <v/>
      </c>
      <c r="F439">
        <f>IF($AG439="","",Config!$B$9)</f>
        <v/>
      </c>
      <c r="G439">
        <f>IF($AG439="","",Config!$B$10)</f>
        <v/>
      </c>
      <c r="H439">
        <f>IF($AG439="","",Config!$B$11)</f>
        <v/>
      </c>
      <c r="I439">
        <f>IF($AG439="","",Config!$B$16)</f>
        <v/>
      </c>
      <c r="J439">
        <f>IF($AG439="","",INDEX('TMP Paste'!$A$2:$A$1601,$AG439))</f>
        <v/>
      </c>
      <c r="K439">
        <f>IF($AG439="","",INDEX('TMP Paste'!$L$2:$L$1601,$AG439))</f>
        <v/>
      </c>
      <c r="L439">
        <f>IF($AG439="","",INDEX('TMP Paste'!$I$2:$I$1601,$AG439))</f>
        <v/>
      </c>
      <c r="M439">
        <f>IF($AG439="","",Config!$B$16)</f>
        <v/>
      </c>
      <c r="N439">
        <f>IF($AG439="","","")</f>
        <v/>
      </c>
      <c r="O439">
        <f>IF($AG439="","",INDEX('TMP Paste'!$K$2:$K$1601,$AG439))</f>
        <v/>
      </c>
      <c r="P439">
        <f>IF($AG439="","","")</f>
        <v/>
      </c>
      <c r="Q439">
        <f>IF($AG439="","",INDEX('TMP Paste'!$J$2:$J$1601,$AG439))</f>
        <v/>
      </c>
      <c r="R439">
        <f>IF($AG439="","",Config!$B$24)</f>
        <v/>
      </c>
      <c r="S439">
        <f>IF($AG439="","",TEXT(Config!$B$4,"yyyy-mm-dd"))</f>
        <v/>
      </c>
      <c r="T439">
        <f>IF($AG439="","",Config!$B$17)</f>
        <v/>
      </c>
      <c r="U439">
        <f>IF($AG439="","",Config!$B$18)</f>
        <v/>
      </c>
      <c r="V439">
        <f>IF($AG439="","",Config!$B$19)</f>
        <v/>
      </c>
      <c r="W439">
        <f>IF($AG439="","",INDEX('TMP Paste'!$C$2:$C$1601,$AG439))</f>
        <v/>
      </c>
      <c r="X439">
        <f>IF($AG439="","",Config!$B$29)</f>
        <v/>
      </c>
      <c r="Y439">
        <f>IF($AH439="","",INDEX(Calc!$I$2:$I$1601,$AH439)&amp;" - "&amp;INDEX(Calc!$D$2:$D$1601,$AH439)&amp;" koli")</f>
        <v/>
      </c>
      <c r="Z439">
        <f>IF($AG439="","",Config!$B$21)</f>
        <v/>
      </c>
      <c r="AA439">
        <f>IF($AG439="","",Config!$B$22)</f>
        <v/>
      </c>
      <c r="AB439">
        <f>IF($AH439="","",INDEX(Calc!$D$2:$D$1601,$AH439))</f>
        <v/>
      </c>
      <c r="AC439">
        <f>IF($AH439="","",INDEX(Calc!$G$2:$G$1601,$AH439))</f>
        <v/>
      </c>
      <c r="AD439">
        <f>IF($AG439="","",Config!$B$23)</f>
        <v/>
      </c>
      <c r="AE439">
        <f>IF($AG439="","",Config!$B$28)</f>
        <v/>
      </c>
      <c r="AG439">
        <f>IFERROR(MATCH(ROW()-1,Calc!$J$2:$J$1601,0),"")</f>
        <v/>
      </c>
      <c r="AH439">
        <f>IFERROR(MATCH(ROW()-1,Calc!$K$2:$K$1601,0),"")</f>
        <v/>
      </c>
      <c r="AI439">
        <f>IF($AG439="","",SUMIF($AG$2:$AG439,$AG439,$AH$2:$AH439))</f>
        <v/>
      </c>
      <c r="AJ439">
        <f>IF('TMP Paste'!$F439="","",IF('TMP Paste'!$B439="",$AJ438,'TMP Paste'!$B439))</f>
        <v/>
      </c>
      <c r="AK439">
        <f>IF('TMP Paste'!$F439="","",N('TMP Paste'!$G439))</f>
        <v/>
      </c>
      <c r="AL439">
        <f>IF('TMP Paste'!$F439="","",IF('TMP Paste'!$M439="",$AL438,'TMP Paste'!$M439))</f>
        <v/>
      </c>
      <c r="AM439">
        <f>IF('TMP Paste'!$F439="","",IF('TMP Paste'!$N439="",$AM438,'TMP Paste'!$N439))</f>
        <v/>
      </c>
      <c r="AN439">
        <f>IF('TMP Paste'!$F439="","",IF('TMP Paste'!$O439="",$AN438,'TMP Paste'!$O439))</f>
        <v/>
      </c>
      <c r="AO439">
        <f>IF('TMP Paste'!$F439="","",IF('TMP Paste'!$P439="",$AO438,'TMP Paste'!$P439))</f>
        <v/>
      </c>
      <c r="AP439">
        <f>IF($AG439="","",LEN($R439))</f>
        <v/>
      </c>
      <c r="AQ439">
        <f>IF($AG439="","",TRIM(IF(COUNTIFS(Calc!$B$2:$B$1601,ROW()-1,Calc!$C$2:$C$1601,"&lt;1")&gt;0,"Ada PO tanpa Koli - cek TMP. ","")&amp;IF(LEN($R439)&gt;500,"R &gt; 500 karakter.","")))</f>
        <v/>
      </c>
    </row>
    <row r="440">
      <c r="A440">
        <f>IF($AG440="","",INDEX('TMP Paste'!$B$2:$B$1601,$AG440))</f>
        <v/>
      </c>
      <c r="B440">
        <f>IF($AG440="","",Config!$B$14)</f>
        <v/>
      </c>
      <c r="C440">
        <f>IF($AG440="","",Config!$B$15)</f>
        <v/>
      </c>
      <c r="D440">
        <f>IF($AG440="","",INDEX('TMP Paste'!$B$2:$B$1601,$AG440))</f>
        <v/>
      </c>
      <c r="E440">
        <f>IF($AG440="","",Config!$B$27)</f>
        <v/>
      </c>
      <c r="F440">
        <f>IF($AG440="","",Config!$B$9)</f>
        <v/>
      </c>
      <c r="G440">
        <f>IF($AG440="","",Config!$B$10)</f>
        <v/>
      </c>
      <c r="H440">
        <f>IF($AG440="","",Config!$B$11)</f>
        <v/>
      </c>
      <c r="I440">
        <f>IF($AG440="","",Config!$B$16)</f>
        <v/>
      </c>
      <c r="J440">
        <f>IF($AG440="","",INDEX('TMP Paste'!$A$2:$A$1601,$AG440))</f>
        <v/>
      </c>
      <c r="K440">
        <f>IF($AG440="","",INDEX('TMP Paste'!$L$2:$L$1601,$AG440))</f>
        <v/>
      </c>
      <c r="L440">
        <f>IF($AG440="","",INDEX('TMP Paste'!$I$2:$I$1601,$AG440))</f>
        <v/>
      </c>
      <c r="M440">
        <f>IF($AG440="","",Config!$B$16)</f>
        <v/>
      </c>
      <c r="N440">
        <f>IF($AG440="","","")</f>
        <v/>
      </c>
      <c r="O440">
        <f>IF($AG440="","",INDEX('TMP Paste'!$K$2:$K$1601,$AG440))</f>
        <v/>
      </c>
      <c r="P440">
        <f>IF($AG440="","","")</f>
        <v/>
      </c>
      <c r="Q440">
        <f>IF($AG440="","",INDEX('TMP Paste'!$J$2:$J$1601,$AG440))</f>
        <v/>
      </c>
      <c r="R440">
        <f>IF($AG440="","",Config!$B$24)</f>
        <v/>
      </c>
      <c r="S440">
        <f>IF($AG440="","",TEXT(Config!$B$4,"yyyy-mm-dd"))</f>
        <v/>
      </c>
      <c r="T440">
        <f>IF($AG440="","",Config!$B$17)</f>
        <v/>
      </c>
      <c r="U440">
        <f>IF($AG440="","",Config!$B$18)</f>
        <v/>
      </c>
      <c r="V440">
        <f>IF($AG440="","",Config!$B$19)</f>
        <v/>
      </c>
      <c r="W440">
        <f>IF($AG440="","",INDEX('TMP Paste'!$C$2:$C$1601,$AG440))</f>
        <v/>
      </c>
      <c r="X440">
        <f>IF($AG440="","",Config!$B$29)</f>
        <v/>
      </c>
      <c r="Y440">
        <f>IF($AH440="","",INDEX(Calc!$I$2:$I$1601,$AH440)&amp;" - "&amp;INDEX(Calc!$D$2:$D$1601,$AH440)&amp;" koli")</f>
        <v/>
      </c>
      <c r="Z440">
        <f>IF($AG440="","",Config!$B$21)</f>
        <v/>
      </c>
      <c r="AA440">
        <f>IF($AG440="","",Config!$B$22)</f>
        <v/>
      </c>
      <c r="AB440">
        <f>IF($AH440="","",INDEX(Calc!$D$2:$D$1601,$AH440))</f>
        <v/>
      </c>
      <c r="AC440">
        <f>IF($AH440="","",INDEX(Calc!$G$2:$G$1601,$AH440))</f>
        <v/>
      </c>
      <c r="AD440">
        <f>IF($AG440="","",Config!$B$23)</f>
        <v/>
      </c>
      <c r="AE440">
        <f>IF($AG440="","",Config!$B$28)</f>
        <v/>
      </c>
      <c r="AG440">
        <f>IFERROR(MATCH(ROW()-1,Calc!$J$2:$J$1601,0),"")</f>
        <v/>
      </c>
      <c r="AH440">
        <f>IFERROR(MATCH(ROW()-1,Calc!$K$2:$K$1601,0),"")</f>
        <v/>
      </c>
      <c r="AI440">
        <f>IF($AG440="","",SUMIF($AG$2:$AG440,$AG440,$AH$2:$AH440))</f>
        <v/>
      </c>
      <c r="AJ440">
        <f>IF('TMP Paste'!$F440="","",IF('TMP Paste'!$B440="",$AJ439,'TMP Paste'!$B440))</f>
        <v/>
      </c>
      <c r="AK440">
        <f>IF('TMP Paste'!$F440="","",N('TMP Paste'!$G440))</f>
        <v/>
      </c>
      <c r="AL440">
        <f>IF('TMP Paste'!$F440="","",IF('TMP Paste'!$M440="",$AL439,'TMP Paste'!$M440))</f>
        <v/>
      </c>
      <c r="AM440">
        <f>IF('TMP Paste'!$F440="","",IF('TMP Paste'!$N440="",$AM439,'TMP Paste'!$N440))</f>
        <v/>
      </c>
      <c r="AN440">
        <f>IF('TMP Paste'!$F440="","",IF('TMP Paste'!$O440="",$AN439,'TMP Paste'!$O440))</f>
        <v/>
      </c>
      <c r="AO440">
        <f>IF('TMP Paste'!$F440="","",IF('TMP Paste'!$P440="",$AO439,'TMP Paste'!$P440))</f>
        <v/>
      </c>
      <c r="AP440">
        <f>IF($AG440="","",LEN($R440))</f>
        <v/>
      </c>
      <c r="AQ440">
        <f>IF($AG440="","",TRIM(IF(COUNTIFS(Calc!$B$2:$B$1601,ROW()-1,Calc!$C$2:$C$1601,"&lt;1")&gt;0,"Ada PO tanpa Koli - cek TMP. ","")&amp;IF(LEN($R440)&gt;500,"R &gt; 500 karakter.","")))</f>
        <v/>
      </c>
    </row>
    <row r="441">
      <c r="A441">
        <f>IF($AG441="","",INDEX('TMP Paste'!$B$2:$B$1601,$AG441))</f>
        <v/>
      </c>
      <c r="B441">
        <f>IF($AG441="","",Config!$B$14)</f>
        <v/>
      </c>
      <c r="C441">
        <f>IF($AG441="","",Config!$B$15)</f>
        <v/>
      </c>
      <c r="D441">
        <f>IF($AG441="","",INDEX('TMP Paste'!$B$2:$B$1601,$AG441))</f>
        <v/>
      </c>
      <c r="E441">
        <f>IF($AG441="","",Config!$B$27)</f>
        <v/>
      </c>
      <c r="F441">
        <f>IF($AG441="","",Config!$B$9)</f>
        <v/>
      </c>
      <c r="G441">
        <f>IF($AG441="","",Config!$B$10)</f>
        <v/>
      </c>
      <c r="H441">
        <f>IF($AG441="","",Config!$B$11)</f>
        <v/>
      </c>
      <c r="I441">
        <f>IF($AG441="","",Config!$B$16)</f>
        <v/>
      </c>
      <c r="J441">
        <f>IF($AG441="","",INDEX('TMP Paste'!$A$2:$A$1601,$AG441))</f>
        <v/>
      </c>
      <c r="K441">
        <f>IF($AG441="","",INDEX('TMP Paste'!$L$2:$L$1601,$AG441))</f>
        <v/>
      </c>
      <c r="L441">
        <f>IF($AG441="","",INDEX('TMP Paste'!$I$2:$I$1601,$AG441))</f>
        <v/>
      </c>
      <c r="M441">
        <f>IF($AG441="","",Config!$B$16)</f>
        <v/>
      </c>
      <c r="N441">
        <f>IF($AG441="","","")</f>
        <v/>
      </c>
      <c r="O441">
        <f>IF($AG441="","",INDEX('TMP Paste'!$K$2:$K$1601,$AG441))</f>
        <v/>
      </c>
      <c r="P441">
        <f>IF($AG441="","","")</f>
        <v/>
      </c>
      <c r="Q441">
        <f>IF($AG441="","",INDEX('TMP Paste'!$J$2:$J$1601,$AG441))</f>
        <v/>
      </c>
      <c r="R441">
        <f>IF($AG441="","",Config!$B$24)</f>
        <v/>
      </c>
      <c r="S441">
        <f>IF($AG441="","",TEXT(Config!$B$4,"yyyy-mm-dd"))</f>
        <v/>
      </c>
      <c r="T441">
        <f>IF($AG441="","",Config!$B$17)</f>
        <v/>
      </c>
      <c r="U441">
        <f>IF($AG441="","",Config!$B$18)</f>
        <v/>
      </c>
      <c r="V441">
        <f>IF($AG441="","",Config!$B$19)</f>
        <v/>
      </c>
      <c r="W441">
        <f>IF($AG441="","",INDEX('TMP Paste'!$C$2:$C$1601,$AG441))</f>
        <v/>
      </c>
      <c r="X441">
        <f>IF($AG441="","",Config!$B$29)</f>
        <v/>
      </c>
      <c r="Y441">
        <f>IF($AH441="","",INDEX(Calc!$I$2:$I$1601,$AH441)&amp;" - "&amp;INDEX(Calc!$D$2:$D$1601,$AH441)&amp;" koli")</f>
        <v/>
      </c>
      <c r="Z441">
        <f>IF($AG441="","",Config!$B$21)</f>
        <v/>
      </c>
      <c r="AA441">
        <f>IF($AG441="","",Config!$B$22)</f>
        <v/>
      </c>
      <c r="AB441">
        <f>IF($AH441="","",INDEX(Calc!$D$2:$D$1601,$AH441))</f>
        <v/>
      </c>
      <c r="AC441">
        <f>IF($AH441="","",INDEX(Calc!$G$2:$G$1601,$AH441))</f>
        <v/>
      </c>
      <c r="AD441">
        <f>IF($AG441="","",Config!$B$23)</f>
        <v/>
      </c>
      <c r="AE441">
        <f>IF($AG441="","",Config!$B$28)</f>
        <v/>
      </c>
      <c r="AG441">
        <f>IFERROR(MATCH(ROW()-1,Calc!$J$2:$J$1601,0),"")</f>
        <v/>
      </c>
      <c r="AH441">
        <f>IFERROR(MATCH(ROW()-1,Calc!$K$2:$K$1601,0),"")</f>
        <v/>
      </c>
      <c r="AI441">
        <f>IF($AG441="","",SUMIF($AG$2:$AG441,$AG441,$AH$2:$AH441))</f>
        <v/>
      </c>
      <c r="AJ441">
        <f>IF('TMP Paste'!$F441="","",IF('TMP Paste'!$B441="",$AJ440,'TMP Paste'!$B441))</f>
        <v/>
      </c>
      <c r="AK441">
        <f>IF('TMP Paste'!$F441="","",N('TMP Paste'!$G441))</f>
        <v/>
      </c>
      <c r="AL441">
        <f>IF('TMP Paste'!$F441="","",IF('TMP Paste'!$M441="",$AL440,'TMP Paste'!$M441))</f>
        <v/>
      </c>
      <c r="AM441">
        <f>IF('TMP Paste'!$F441="","",IF('TMP Paste'!$N441="",$AM440,'TMP Paste'!$N441))</f>
        <v/>
      </c>
      <c r="AN441">
        <f>IF('TMP Paste'!$F441="","",IF('TMP Paste'!$O441="",$AN440,'TMP Paste'!$O441))</f>
        <v/>
      </c>
      <c r="AO441">
        <f>IF('TMP Paste'!$F441="","",IF('TMP Paste'!$P441="",$AO440,'TMP Paste'!$P441))</f>
        <v/>
      </c>
      <c r="AP441">
        <f>IF($AG441="","",LEN($R441))</f>
        <v/>
      </c>
      <c r="AQ441">
        <f>IF($AG441="","",TRIM(IF(COUNTIFS(Calc!$B$2:$B$1601,ROW()-1,Calc!$C$2:$C$1601,"&lt;1")&gt;0,"Ada PO tanpa Koli - cek TMP. ","")&amp;IF(LEN($R441)&gt;500,"R &gt; 500 karakter.","")))</f>
        <v/>
      </c>
    </row>
    <row r="442">
      <c r="A442">
        <f>IF($AG442="","",INDEX('TMP Paste'!$B$2:$B$1601,$AG442))</f>
        <v/>
      </c>
      <c r="B442">
        <f>IF($AG442="","",Config!$B$14)</f>
        <v/>
      </c>
      <c r="C442">
        <f>IF($AG442="","",Config!$B$15)</f>
        <v/>
      </c>
      <c r="D442">
        <f>IF($AG442="","",INDEX('TMP Paste'!$B$2:$B$1601,$AG442))</f>
        <v/>
      </c>
      <c r="E442">
        <f>IF($AG442="","",Config!$B$27)</f>
        <v/>
      </c>
      <c r="F442">
        <f>IF($AG442="","",Config!$B$9)</f>
        <v/>
      </c>
      <c r="G442">
        <f>IF($AG442="","",Config!$B$10)</f>
        <v/>
      </c>
      <c r="H442">
        <f>IF($AG442="","",Config!$B$11)</f>
        <v/>
      </c>
      <c r="I442">
        <f>IF($AG442="","",Config!$B$16)</f>
        <v/>
      </c>
      <c r="J442">
        <f>IF($AG442="","",INDEX('TMP Paste'!$A$2:$A$1601,$AG442))</f>
        <v/>
      </c>
      <c r="K442">
        <f>IF($AG442="","",INDEX('TMP Paste'!$L$2:$L$1601,$AG442))</f>
        <v/>
      </c>
      <c r="L442">
        <f>IF($AG442="","",INDEX('TMP Paste'!$I$2:$I$1601,$AG442))</f>
        <v/>
      </c>
      <c r="M442">
        <f>IF($AG442="","",Config!$B$16)</f>
        <v/>
      </c>
      <c r="N442">
        <f>IF($AG442="","","")</f>
        <v/>
      </c>
      <c r="O442">
        <f>IF($AG442="","",INDEX('TMP Paste'!$K$2:$K$1601,$AG442))</f>
        <v/>
      </c>
      <c r="P442">
        <f>IF($AG442="","","")</f>
        <v/>
      </c>
      <c r="Q442">
        <f>IF($AG442="","",INDEX('TMP Paste'!$J$2:$J$1601,$AG442))</f>
        <v/>
      </c>
      <c r="R442">
        <f>IF($AG442="","",Config!$B$24)</f>
        <v/>
      </c>
      <c r="S442">
        <f>IF($AG442="","",TEXT(Config!$B$4,"yyyy-mm-dd"))</f>
        <v/>
      </c>
      <c r="T442">
        <f>IF($AG442="","",Config!$B$17)</f>
        <v/>
      </c>
      <c r="U442">
        <f>IF($AG442="","",Config!$B$18)</f>
        <v/>
      </c>
      <c r="V442">
        <f>IF($AG442="","",Config!$B$19)</f>
        <v/>
      </c>
      <c r="W442">
        <f>IF($AG442="","",INDEX('TMP Paste'!$C$2:$C$1601,$AG442))</f>
        <v/>
      </c>
      <c r="X442">
        <f>IF($AG442="","",Config!$B$29)</f>
        <v/>
      </c>
      <c r="Y442">
        <f>IF($AH442="","",INDEX(Calc!$I$2:$I$1601,$AH442)&amp;" - "&amp;INDEX(Calc!$D$2:$D$1601,$AH442)&amp;" koli")</f>
        <v/>
      </c>
      <c r="Z442">
        <f>IF($AG442="","",Config!$B$21)</f>
        <v/>
      </c>
      <c r="AA442">
        <f>IF($AG442="","",Config!$B$22)</f>
        <v/>
      </c>
      <c r="AB442">
        <f>IF($AH442="","",INDEX(Calc!$D$2:$D$1601,$AH442))</f>
        <v/>
      </c>
      <c r="AC442">
        <f>IF($AH442="","",INDEX(Calc!$G$2:$G$1601,$AH442))</f>
        <v/>
      </c>
      <c r="AD442">
        <f>IF($AG442="","",Config!$B$23)</f>
        <v/>
      </c>
      <c r="AE442">
        <f>IF($AG442="","",Config!$B$28)</f>
        <v/>
      </c>
      <c r="AG442">
        <f>IFERROR(MATCH(ROW()-1,Calc!$J$2:$J$1601,0),"")</f>
        <v/>
      </c>
      <c r="AH442">
        <f>IFERROR(MATCH(ROW()-1,Calc!$K$2:$K$1601,0),"")</f>
        <v/>
      </c>
      <c r="AI442">
        <f>IF($AG442="","",SUMIF($AG$2:$AG442,$AG442,$AH$2:$AH442))</f>
        <v/>
      </c>
      <c r="AJ442">
        <f>IF('TMP Paste'!$F442="","",IF('TMP Paste'!$B442="",$AJ441,'TMP Paste'!$B442))</f>
        <v/>
      </c>
      <c r="AK442">
        <f>IF('TMP Paste'!$F442="","",N('TMP Paste'!$G442))</f>
        <v/>
      </c>
      <c r="AL442">
        <f>IF('TMP Paste'!$F442="","",IF('TMP Paste'!$M442="",$AL441,'TMP Paste'!$M442))</f>
        <v/>
      </c>
      <c r="AM442">
        <f>IF('TMP Paste'!$F442="","",IF('TMP Paste'!$N442="",$AM441,'TMP Paste'!$N442))</f>
        <v/>
      </c>
      <c r="AN442">
        <f>IF('TMP Paste'!$F442="","",IF('TMP Paste'!$O442="",$AN441,'TMP Paste'!$O442))</f>
        <v/>
      </c>
      <c r="AO442">
        <f>IF('TMP Paste'!$F442="","",IF('TMP Paste'!$P442="",$AO441,'TMP Paste'!$P442))</f>
        <v/>
      </c>
      <c r="AP442">
        <f>IF($AG442="","",LEN($R442))</f>
        <v/>
      </c>
      <c r="AQ442">
        <f>IF($AG442="","",TRIM(IF(COUNTIFS(Calc!$B$2:$B$1601,ROW()-1,Calc!$C$2:$C$1601,"&lt;1")&gt;0,"Ada PO tanpa Koli - cek TMP. ","")&amp;IF(LEN($R442)&gt;500,"R &gt; 500 karakter.","")))</f>
        <v/>
      </c>
    </row>
    <row r="443">
      <c r="A443">
        <f>IF($AG443="","",INDEX('TMP Paste'!$B$2:$B$1601,$AG443))</f>
        <v/>
      </c>
      <c r="B443">
        <f>IF($AG443="","",Config!$B$14)</f>
        <v/>
      </c>
      <c r="C443">
        <f>IF($AG443="","",Config!$B$15)</f>
        <v/>
      </c>
      <c r="D443">
        <f>IF($AG443="","",INDEX('TMP Paste'!$B$2:$B$1601,$AG443))</f>
        <v/>
      </c>
      <c r="E443">
        <f>IF($AG443="","",Config!$B$27)</f>
        <v/>
      </c>
      <c r="F443">
        <f>IF($AG443="","",Config!$B$9)</f>
        <v/>
      </c>
      <c r="G443">
        <f>IF($AG443="","",Config!$B$10)</f>
        <v/>
      </c>
      <c r="H443">
        <f>IF($AG443="","",Config!$B$11)</f>
        <v/>
      </c>
      <c r="I443">
        <f>IF($AG443="","",Config!$B$16)</f>
        <v/>
      </c>
      <c r="J443">
        <f>IF($AG443="","",INDEX('TMP Paste'!$A$2:$A$1601,$AG443))</f>
        <v/>
      </c>
      <c r="K443">
        <f>IF($AG443="","",INDEX('TMP Paste'!$L$2:$L$1601,$AG443))</f>
        <v/>
      </c>
      <c r="L443">
        <f>IF($AG443="","",INDEX('TMP Paste'!$I$2:$I$1601,$AG443))</f>
        <v/>
      </c>
      <c r="M443">
        <f>IF($AG443="","",Config!$B$16)</f>
        <v/>
      </c>
      <c r="N443">
        <f>IF($AG443="","","")</f>
        <v/>
      </c>
      <c r="O443">
        <f>IF($AG443="","",INDEX('TMP Paste'!$K$2:$K$1601,$AG443))</f>
        <v/>
      </c>
      <c r="P443">
        <f>IF($AG443="","","")</f>
        <v/>
      </c>
      <c r="Q443">
        <f>IF($AG443="","",INDEX('TMP Paste'!$J$2:$J$1601,$AG443))</f>
        <v/>
      </c>
      <c r="R443">
        <f>IF($AG443="","",Config!$B$24)</f>
        <v/>
      </c>
      <c r="S443">
        <f>IF($AG443="","",TEXT(Config!$B$4,"yyyy-mm-dd"))</f>
        <v/>
      </c>
      <c r="T443">
        <f>IF($AG443="","",Config!$B$17)</f>
        <v/>
      </c>
      <c r="U443">
        <f>IF($AG443="","",Config!$B$18)</f>
        <v/>
      </c>
      <c r="V443">
        <f>IF($AG443="","",Config!$B$19)</f>
        <v/>
      </c>
      <c r="W443">
        <f>IF($AG443="","",INDEX('TMP Paste'!$C$2:$C$1601,$AG443))</f>
        <v/>
      </c>
      <c r="X443">
        <f>IF($AG443="","",Config!$B$29)</f>
        <v/>
      </c>
      <c r="Y443">
        <f>IF($AH443="","",INDEX(Calc!$I$2:$I$1601,$AH443)&amp;" - "&amp;INDEX(Calc!$D$2:$D$1601,$AH443)&amp;" koli")</f>
        <v/>
      </c>
      <c r="Z443">
        <f>IF($AG443="","",Config!$B$21)</f>
        <v/>
      </c>
      <c r="AA443">
        <f>IF($AG443="","",Config!$B$22)</f>
        <v/>
      </c>
      <c r="AB443">
        <f>IF($AH443="","",INDEX(Calc!$D$2:$D$1601,$AH443))</f>
        <v/>
      </c>
      <c r="AC443">
        <f>IF($AH443="","",INDEX(Calc!$G$2:$G$1601,$AH443))</f>
        <v/>
      </c>
      <c r="AD443">
        <f>IF($AG443="","",Config!$B$23)</f>
        <v/>
      </c>
      <c r="AE443">
        <f>IF($AG443="","",Config!$B$28)</f>
        <v/>
      </c>
      <c r="AG443">
        <f>IFERROR(MATCH(ROW()-1,Calc!$J$2:$J$1601,0),"")</f>
        <v/>
      </c>
      <c r="AH443">
        <f>IFERROR(MATCH(ROW()-1,Calc!$K$2:$K$1601,0),"")</f>
        <v/>
      </c>
      <c r="AI443">
        <f>IF($AG443="","",SUMIF($AG$2:$AG443,$AG443,$AH$2:$AH443))</f>
        <v/>
      </c>
      <c r="AJ443">
        <f>IF('TMP Paste'!$F443="","",IF('TMP Paste'!$B443="",$AJ442,'TMP Paste'!$B443))</f>
        <v/>
      </c>
      <c r="AK443">
        <f>IF('TMP Paste'!$F443="","",N('TMP Paste'!$G443))</f>
        <v/>
      </c>
      <c r="AL443">
        <f>IF('TMP Paste'!$F443="","",IF('TMP Paste'!$M443="",$AL442,'TMP Paste'!$M443))</f>
        <v/>
      </c>
      <c r="AM443">
        <f>IF('TMP Paste'!$F443="","",IF('TMP Paste'!$N443="",$AM442,'TMP Paste'!$N443))</f>
        <v/>
      </c>
      <c r="AN443">
        <f>IF('TMP Paste'!$F443="","",IF('TMP Paste'!$O443="",$AN442,'TMP Paste'!$O443))</f>
        <v/>
      </c>
      <c r="AO443">
        <f>IF('TMP Paste'!$F443="","",IF('TMP Paste'!$P443="",$AO442,'TMP Paste'!$P443))</f>
        <v/>
      </c>
      <c r="AP443">
        <f>IF($AG443="","",LEN($R443))</f>
        <v/>
      </c>
      <c r="AQ443">
        <f>IF($AG443="","",TRIM(IF(COUNTIFS(Calc!$B$2:$B$1601,ROW()-1,Calc!$C$2:$C$1601,"&lt;1")&gt;0,"Ada PO tanpa Koli - cek TMP. ","")&amp;IF(LEN($R443)&gt;500,"R &gt; 500 karakter.","")))</f>
        <v/>
      </c>
    </row>
    <row r="444">
      <c r="A444">
        <f>IF($AG444="","",INDEX('TMP Paste'!$B$2:$B$1601,$AG444))</f>
        <v/>
      </c>
      <c r="B444">
        <f>IF($AG444="","",Config!$B$14)</f>
        <v/>
      </c>
      <c r="C444">
        <f>IF($AG444="","",Config!$B$15)</f>
        <v/>
      </c>
      <c r="D444">
        <f>IF($AG444="","",INDEX('TMP Paste'!$B$2:$B$1601,$AG444))</f>
        <v/>
      </c>
      <c r="E444">
        <f>IF($AG444="","",Config!$B$27)</f>
        <v/>
      </c>
      <c r="F444">
        <f>IF($AG444="","",Config!$B$9)</f>
        <v/>
      </c>
      <c r="G444">
        <f>IF($AG444="","",Config!$B$10)</f>
        <v/>
      </c>
      <c r="H444">
        <f>IF($AG444="","",Config!$B$11)</f>
        <v/>
      </c>
      <c r="I444">
        <f>IF($AG444="","",Config!$B$16)</f>
        <v/>
      </c>
      <c r="J444">
        <f>IF($AG444="","",INDEX('TMP Paste'!$A$2:$A$1601,$AG444))</f>
        <v/>
      </c>
      <c r="K444">
        <f>IF($AG444="","",INDEX('TMP Paste'!$L$2:$L$1601,$AG444))</f>
        <v/>
      </c>
      <c r="L444">
        <f>IF($AG444="","",INDEX('TMP Paste'!$I$2:$I$1601,$AG444))</f>
        <v/>
      </c>
      <c r="M444">
        <f>IF($AG444="","",Config!$B$16)</f>
        <v/>
      </c>
      <c r="N444">
        <f>IF($AG444="","","")</f>
        <v/>
      </c>
      <c r="O444">
        <f>IF($AG444="","",INDEX('TMP Paste'!$K$2:$K$1601,$AG444))</f>
        <v/>
      </c>
      <c r="P444">
        <f>IF($AG444="","","")</f>
        <v/>
      </c>
      <c r="Q444">
        <f>IF($AG444="","",INDEX('TMP Paste'!$J$2:$J$1601,$AG444))</f>
        <v/>
      </c>
      <c r="R444">
        <f>IF($AG444="","",Config!$B$24)</f>
        <v/>
      </c>
      <c r="S444">
        <f>IF($AG444="","",TEXT(Config!$B$4,"yyyy-mm-dd"))</f>
        <v/>
      </c>
      <c r="T444">
        <f>IF($AG444="","",Config!$B$17)</f>
        <v/>
      </c>
      <c r="U444">
        <f>IF($AG444="","",Config!$B$18)</f>
        <v/>
      </c>
      <c r="V444">
        <f>IF($AG444="","",Config!$B$19)</f>
        <v/>
      </c>
      <c r="W444">
        <f>IF($AG444="","",INDEX('TMP Paste'!$C$2:$C$1601,$AG444))</f>
        <v/>
      </c>
      <c r="X444">
        <f>IF($AG444="","",Config!$B$29)</f>
        <v/>
      </c>
      <c r="Y444">
        <f>IF($AH444="","",INDEX(Calc!$I$2:$I$1601,$AH444)&amp;" - "&amp;INDEX(Calc!$D$2:$D$1601,$AH444)&amp;" koli")</f>
        <v/>
      </c>
      <c r="Z444">
        <f>IF($AG444="","",Config!$B$21)</f>
        <v/>
      </c>
      <c r="AA444">
        <f>IF($AG444="","",Config!$B$22)</f>
        <v/>
      </c>
      <c r="AB444">
        <f>IF($AH444="","",INDEX(Calc!$D$2:$D$1601,$AH444))</f>
        <v/>
      </c>
      <c r="AC444">
        <f>IF($AH444="","",INDEX(Calc!$G$2:$G$1601,$AH444))</f>
        <v/>
      </c>
      <c r="AD444">
        <f>IF($AG444="","",Config!$B$23)</f>
        <v/>
      </c>
      <c r="AE444">
        <f>IF($AG444="","",Config!$B$28)</f>
        <v/>
      </c>
      <c r="AG444">
        <f>IFERROR(MATCH(ROW()-1,Calc!$J$2:$J$1601,0),"")</f>
        <v/>
      </c>
      <c r="AH444">
        <f>IFERROR(MATCH(ROW()-1,Calc!$K$2:$K$1601,0),"")</f>
        <v/>
      </c>
      <c r="AI444">
        <f>IF($AG444="","",SUMIF($AG$2:$AG444,$AG444,$AH$2:$AH444))</f>
        <v/>
      </c>
      <c r="AJ444">
        <f>IF('TMP Paste'!$F444="","",IF('TMP Paste'!$B444="",$AJ443,'TMP Paste'!$B444))</f>
        <v/>
      </c>
      <c r="AK444">
        <f>IF('TMP Paste'!$F444="","",N('TMP Paste'!$G444))</f>
        <v/>
      </c>
      <c r="AL444">
        <f>IF('TMP Paste'!$F444="","",IF('TMP Paste'!$M444="",$AL443,'TMP Paste'!$M444))</f>
        <v/>
      </c>
      <c r="AM444">
        <f>IF('TMP Paste'!$F444="","",IF('TMP Paste'!$N444="",$AM443,'TMP Paste'!$N444))</f>
        <v/>
      </c>
      <c r="AN444">
        <f>IF('TMP Paste'!$F444="","",IF('TMP Paste'!$O444="",$AN443,'TMP Paste'!$O444))</f>
        <v/>
      </c>
      <c r="AO444">
        <f>IF('TMP Paste'!$F444="","",IF('TMP Paste'!$P444="",$AO443,'TMP Paste'!$P444))</f>
        <v/>
      </c>
      <c r="AP444">
        <f>IF($AG444="","",LEN($R444))</f>
        <v/>
      </c>
      <c r="AQ444">
        <f>IF($AG444="","",TRIM(IF(COUNTIFS(Calc!$B$2:$B$1601,ROW()-1,Calc!$C$2:$C$1601,"&lt;1")&gt;0,"Ada PO tanpa Koli - cek TMP. ","")&amp;IF(LEN($R444)&gt;500,"R &gt; 500 karakter.","")))</f>
        <v/>
      </c>
    </row>
    <row r="445">
      <c r="A445">
        <f>IF($AG445="","",INDEX('TMP Paste'!$B$2:$B$1601,$AG445))</f>
        <v/>
      </c>
      <c r="B445">
        <f>IF($AG445="","",Config!$B$14)</f>
        <v/>
      </c>
      <c r="C445">
        <f>IF($AG445="","",Config!$B$15)</f>
        <v/>
      </c>
      <c r="D445">
        <f>IF($AG445="","",INDEX('TMP Paste'!$B$2:$B$1601,$AG445))</f>
        <v/>
      </c>
      <c r="E445">
        <f>IF($AG445="","",Config!$B$27)</f>
        <v/>
      </c>
      <c r="F445">
        <f>IF($AG445="","",Config!$B$9)</f>
        <v/>
      </c>
      <c r="G445">
        <f>IF($AG445="","",Config!$B$10)</f>
        <v/>
      </c>
      <c r="H445">
        <f>IF($AG445="","",Config!$B$11)</f>
        <v/>
      </c>
      <c r="I445">
        <f>IF($AG445="","",Config!$B$16)</f>
        <v/>
      </c>
      <c r="J445">
        <f>IF($AG445="","",INDEX('TMP Paste'!$A$2:$A$1601,$AG445))</f>
        <v/>
      </c>
      <c r="K445">
        <f>IF($AG445="","",INDEX('TMP Paste'!$L$2:$L$1601,$AG445))</f>
        <v/>
      </c>
      <c r="L445">
        <f>IF($AG445="","",INDEX('TMP Paste'!$I$2:$I$1601,$AG445))</f>
        <v/>
      </c>
      <c r="M445">
        <f>IF($AG445="","",Config!$B$16)</f>
        <v/>
      </c>
      <c r="N445">
        <f>IF($AG445="","","")</f>
        <v/>
      </c>
      <c r="O445">
        <f>IF($AG445="","",INDEX('TMP Paste'!$K$2:$K$1601,$AG445))</f>
        <v/>
      </c>
      <c r="P445">
        <f>IF($AG445="","","")</f>
        <v/>
      </c>
      <c r="Q445">
        <f>IF($AG445="","",INDEX('TMP Paste'!$J$2:$J$1601,$AG445))</f>
        <v/>
      </c>
      <c r="R445">
        <f>IF($AG445="","",Config!$B$24)</f>
        <v/>
      </c>
      <c r="S445">
        <f>IF($AG445="","",TEXT(Config!$B$4,"yyyy-mm-dd"))</f>
        <v/>
      </c>
      <c r="T445">
        <f>IF($AG445="","",Config!$B$17)</f>
        <v/>
      </c>
      <c r="U445">
        <f>IF($AG445="","",Config!$B$18)</f>
        <v/>
      </c>
      <c r="V445">
        <f>IF($AG445="","",Config!$B$19)</f>
        <v/>
      </c>
      <c r="W445">
        <f>IF($AG445="","",INDEX('TMP Paste'!$C$2:$C$1601,$AG445))</f>
        <v/>
      </c>
      <c r="X445">
        <f>IF($AG445="","",Config!$B$29)</f>
        <v/>
      </c>
      <c r="Y445">
        <f>IF($AH445="","",INDEX(Calc!$I$2:$I$1601,$AH445)&amp;" - "&amp;INDEX(Calc!$D$2:$D$1601,$AH445)&amp;" koli")</f>
        <v/>
      </c>
      <c r="Z445">
        <f>IF($AG445="","",Config!$B$21)</f>
        <v/>
      </c>
      <c r="AA445">
        <f>IF($AG445="","",Config!$B$22)</f>
        <v/>
      </c>
      <c r="AB445">
        <f>IF($AH445="","",INDEX(Calc!$D$2:$D$1601,$AH445))</f>
        <v/>
      </c>
      <c r="AC445">
        <f>IF($AH445="","",INDEX(Calc!$G$2:$G$1601,$AH445))</f>
        <v/>
      </c>
      <c r="AD445">
        <f>IF($AG445="","",Config!$B$23)</f>
        <v/>
      </c>
      <c r="AE445">
        <f>IF($AG445="","",Config!$B$28)</f>
        <v/>
      </c>
      <c r="AG445">
        <f>IFERROR(MATCH(ROW()-1,Calc!$J$2:$J$1601,0),"")</f>
        <v/>
      </c>
      <c r="AH445">
        <f>IFERROR(MATCH(ROW()-1,Calc!$K$2:$K$1601,0),"")</f>
        <v/>
      </c>
      <c r="AI445">
        <f>IF($AG445="","",SUMIF($AG$2:$AG445,$AG445,$AH$2:$AH445))</f>
        <v/>
      </c>
      <c r="AJ445">
        <f>IF('TMP Paste'!$F445="","",IF('TMP Paste'!$B445="",$AJ444,'TMP Paste'!$B445))</f>
        <v/>
      </c>
      <c r="AK445">
        <f>IF('TMP Paste'!$F445="","",N('TMP Paste'!$G445))</f>
        <v/>
      </c>
      <c r="AL445">
        <f>IF('TMP Paste'!$F445="","",IF('TMP Paste'!$M445="",$AL444,'TMP Paste'!$M445))</f>
        <v/>
      </c>
      <c r="AM445">
        <f>IF('TMP Paste'!$F445="","",IF('TMP Paste'!$N445="",$AM444,'TMP Paste'!$N445))</f>
        <v/>
      </c>
      <c r="AN445">
        <f>IF('TMP Paste'!$F445="","",IF('TMP Paste'!$O445="",$AN444,'TMP Paste'!$O445))</f>
        <v/>
      </c>
      <c r="AO445">
        <f>IF('TMP Paste'!$F445="","",IF('TMP Paste'!$P445="",$AO444,'TMP Paste'!$P445))</f>
        <v/>
      </c>
      <c r="AP445">
        <f>IF($AG445="","",LEN($R445))</f>
        <v/>
      </c>
      <c r="AQ445">
        <f>IF($AG445="","",TRIM(IF(COUNTIFS(Calc!$B$2:$B$1601,ROW()-1,Calc!$C$2:$C$1601,"&lt;1")&gt;0,"Ada PO tanpa Koli - cek TMP. ","")&amp;IF(LEN($R445)&gt;500,"R &gt; 500 karakter.","")))</f>
        <v/>
      </c>
    </row>
    <row r="446">
      <c r="A446">
        <f>IF($AG446="","",INDEX('TMP Paste'!$B$2:$B$1601,$AG446))</f>
        <v/>
      </c>
      <c r="B446">
        <f>IF($AG446="","",Config!$B$14)</f>
        <v/>
      </c>
      <c r="C446">
        <f>IF($AG446="","",Config!$B$15)</f>
        <v/>
      </c>
      <c r="D446">
        <f>IF($AG446="","",INDEX('TMP Paste'!$B$2:$B$1601,$AG446))</f>
        <v/>
      </c>
      <c r="E446">
        <f>IF($AG446="","",Config!$B$27)</f>
        <v/>
      </c>
      <c r="F446">
        <f>IF($AG446="","",Config!$B$9)</f>
        <v/>
      </c>
      <c r="G446">
        <f>IF($AG446="","",Config!$B$10)</f>
        <v/>
      </c>
      <c r="H446">
        <f>IF($AG446="","",Config!$B$11)</f>
        <v/>
      </c>
      <c r="I446">
        <f>IF($AG446="","",Config!$B$16)</f>
        <v/>
      </c>
      <c r="J446">
        <f>IF($AG446="","",INDEX('TMP Paste'!$A$2:$A$1601,$AG446))</f>
        <v/>
      </c>
      <c r="K446">
        <f>IF($AG446="","",INDEX('TMP Paste'!$L$2:$L$1601,$AG446))</f>
        <v/>
      </c>
      <c r="L446">
        <f>IF($AG446="","",INDEX('TMP Paste'!$I$2:$I$1601,$AG446))</f>
        <v/>
      </c>
      <c r="M446">
        <f>IF($AG446="","",Config!$B$16)</f>
        <v/>
      </c>
      <c r="N446">
        <f>IF($AG446="","","")</f>
        <v/>
      </c>
      <c r="O446">
        <f>IF($AG446="","",INDEX('TMP Paste'!$K$2:$K$1601,$AG446))</f>
        <v/>
      </c>
      <c r="P446">
        <f>IF($AG446="","","")</f>
        <v/>
      </c>
      <c r="Q446">
        <f>IF($AG446="","",INDEX('TMP Paste'!$J$2:$J$1601,$AG446))</f>
        <v/>
      </c>
      <c r="R446">
        <f>IF($AG446="","",Config!$B$24)</f>
        <v/>
      </c>
      <c r="S446">
        <f>IF($AG446="","",TEXT(Config!$B$4,"yyyy-mm-dd"))</f>
        <v/>
      </c>
      <c r="T446">
        <f>IF($AG446="","",Config!$B$17)</f>
        <v/>
      </c>
      <c r="U446">
        <f>IF($AG446="","",Config!$B$18)</f>
        <v/>
      </c>
      <c r="V446">
        <f>IF($AG446="","",Config!$B$19)</f>
        <v/>
      </c>
      <c r="W446">
        <f>IF($AG446="","",INDEX('TMP Paste'!$C$2:$C$1601,$AG446))</f>
        <v/>
      </c>
      <c r="X446">
        <f>IF($AG446="","",Config!$B$29)</f>
        <v/>
      </c>
      <c r="Y446">
        <f>IF($AH446="","",INDEX(Calc!$I$2:$I$1601,$AH446)&amp;" - "&amp;INDEX(Calc!$D$2:$D$1601,$AH446)&amp;" koli")</f>
        <v/>
      </c>
      <c r="Z446">
        <f>IF($AG446="","",Config!$B$21)</f>
        <v/>
      </c>
      <c r="AA446">
        <f>IF($AG446="","",Config!$B$22)</f>
        <v/>
      </c>
      <c r="AB446">
        <f>IF($AH446="","",INDEX(Calc!$D$2:$D$1601,$AH446))</f>
        <v/>
      </c>
      <c r="AC446">
        <f>IF($AH446="","",INDEX(Calc!$G$2:$G$1601,$AH446))</f>
        <v/>
      </c>
      <c r="AD446">
        <f>IF($AG446="","",Config!$B$23)</f>
        <v/>
      </c>
      <c r="AE446">
        <f>IF($AG446="","",Config!$B$28)</f>
        <v/>
      </c>
      <c r="AG446">
        <f>IFERROR(MATCH(ROW()-1,Calc!$J$2:$J$1601,0),"")</f>
        <v/>
      </c>
      <c r="AH446">
        <f>IFERROR(MATCH(ROW()-1,Calc!$K$2:$K$1601,0),"")</f>
        <v/>
      </c>
      <c r="AI446">
        <f>IF($AG446="","",SUMIF($AG$2:$AG446,$AG446,$AH$2:$AH446))</f>
        <v/>
      </c>
      <c r="AJ446">
        <f>IF('TMP Paste'!$F446="","",IF('TMP Paste'!$B446="",$AJ445,'TMP Paste'!$B446))</f>
        <v/>
      </c>
      <c r="AK446">
        <f>IF('TMP Paste'!$F446="","",N('TMP Paste'!$G446))</f>
        <v/>
      </c>
      <c r="AL446">
        <f>IF('TMP Paste'!$F446="","",IF('TMP Paste'!$M446="",$AL445,'TMP Paste'!$M446))</f>
        <v/>
      </c>
      <c r="AM446">
        <f>IF('TMP Paste'!$F446="","",IF('TMP Paste'!$N446="",$AM445,'TMP Paste'!$N446))</f>
        <v/>
      </c>
      <c r="AN446">
        <f>IF('TMP Paste'!$F446="","",IF('TMP Paste'!$O446="",$AN445,'TMP Paste'!$O446))</f>
        <v/>
      </c>
      <c r="AO446">
        <f>IF('TMP Paste'!$F446="","",IF('TMP Paste'!$P446="",$AO445,'TMP Paste'!$P446))</f>
        <v/>
      </c>
      <c r="AP446">
        <f>IF($AG446="","",LEN($R446))</f>
        <v/>
      </c>
      <c r="AQ446">
        <f>IF($AG446="","",TRIM(IF(COUNTIFS(Calc!$B$2:$B$1601,ROW()-1,Calc!$C$2:$C$1601,"&lt;1")&gt;0,"Ada PO tanpa Koli - cek TMP. ","")&amp;IF(LEN($R446)&gt;500,"R &gt; 500 karakter.","")))</f>
        <v/>
      </c>
    </row>
    <row r="447">
      <c r="A447">
        <f>IF($AG447="","",INDEX('TMP Paste'!$B$2:$B$1601,$AG447))</f>
        <v/>
      </c>
      <c r="B447">
        <f>IF($AG447="","",Config!$B$14)</f>
        <v/>
      </c>
      <c r="C447">
        <f>IF($AG447="","",Config!$B$15)</f>
        <v/>
      </c>
      <c r="D447">
        <f>IF($AG447="","",INDEX('TMP Paste'!$B$2:$B$1601,$AG447))</f>
        <v/>
      </c>
      <c r="E447">
        <f>IF($AG447="","",Config!$B$27)</f>
        <v/>
      </c>
      <c r="F447">
        <f>IF($AG447="","",Config!$B$9)</f>
        <v/>
      </c>
      <c r="G447">
        <f>IF($AG447="","",Config!$B$10)</f>
        <v/>
      </c>
      <c r="H447">
        <f>IF($AG447="","",Config!$B$11)</f>
        <v/>
      </c>
      <c r="I447">
        <f>IF($AG447="","",Config!$B$16)</f>
        <v/>
      </c>
      <c r="J447">
        <f>IF($AG447="","",INDEX('TMP Paste'!$A$2:$A$1601,$AG447))</f>
        <v/>
      </c>
      <c r="K447">
        <f>IF($AG447="","",INDEX('TMP Paste'!$L$2:$L$1601,$AG447))</f>
        <v/>
      </c>
      <c r="L447">
        <f>IF($AG447="","",INDEX('TMP Paste'!$I$2:$I$1601,$AG447))</f>
        <v/>
      </c>
      <c r="M447">
        <f>IF($AG447="","",Config!$B$16)</f>
        <v/>
      </c>
      <c r="N447">
        <f>IF($AG447="","","")</f>
        <v/>
      </c>
      <c r="O447">
        <f>IF($AG447="","",INDEX('TMP Paste'!$K$2:$K$1601,$AG447))</f>
        <v/>
      </c>
      <c r="P447">
        <f>IF($AG447="","","")</f>
        <v/>
      </c>
      <c r="Q447">
        <f>IF($AG447="","",INDEX('TMP Paste'!$J$2:$J$1601,$AG447))</f>
        <v/>
      </c>
      <c r="R447">
        <f>IF($AG447="","",Config!$B$24)</f>
        <v/>
      </c>
      <c r="S447">
        <f>IF($AG447="","",TEXT(Config!$B$4,"yyyy-mm-dd"))</f>
        <v/>
      </c>
      <c r="T447">
        <f>IF($AG447="","",Config!$B$17)</f>
        <v/>
      </c>
      <c r="U447">
        <f>IF($AG447="","",Config!$B$18)</f>
        <v/>
      </c>
      <c r="V447">
        <f>IF($AG447="","",Config!$B$19)</f>
        <v/>
      </c>
      <c r="W447">
        <f>IF($AG447="","",INDEX('TMP Paste'!$C$2:$C$1601,$AG447))</f>
        <v/>
      </c>
      <c r="X447">
        <f>IF($AG447="","",Config!$B$29)</f>
        <v/>
      </c>
      <c r="Y447">
        <f>IF($AH447="","",INDEX(Calc!$I$2:$I$1601,$AH447)&amp;" - "&amp;INDEX(Calc!$D$2:$D$1601,$AH447)&amp;" koli")</f>
        <v/>
      </c>
      <c r="Z447">
        <f>IF($AG447="","",Config!$B$21)</f>
        <v/>
      </c>
      <c r="AA447">
        <f>IF($AG447="","",Config!$B$22)</f>
        <v/>
      </c>
      <c r="AB447">
        <f>IF($AH447="","",INDEX(Calc!$D$2:$D$1601,$AH447))</f>
        <v/>
      </c>
      <c r="AC447">
        <f>IF($AH447="","",INDEX(Calc!$G$2:$G$1601,$AH447))</f>
        <v/>
      </c>
      <c r="AD447">
        <f>IF($AG447="","",Config!$B$23)</f>
        <v/>
      </c>
      <c r="AE447">
        <f>IF($AG447="","",Config!$B$28)</f>
        <v/>
      </c>
      <c r="AG447">
        <f>IFERROR(MATCH(ROW()-1,Calc!$J$2:$J$1601,0),"")</f>
        <v/>
      </c>
      <c r="AH447">
        <f>IFERROR(MATCH(ROW()-1,Calc!$K$2:$K$1601,0),"")</f>
        <v/>
      </c>
      <c r="AI447">
        <f>IF($AG447="","",SUMIF($AG$2:$AG447,$AG447,$AH$2:$AH447))</f>
        <v/>
      </c>
      <c r="AJ447">
        <f>IF('TMP Paste'!$F447="","",IF('TMP Paste'!$B447="",$AJ446,'TMP Paste'!$B447))</f>
        <v/>
      </c>
      <c r="AK447">
        <f>IF('TMP Paste'!$F447="","",N('TMP Paste'!$G447))</f>
        <v/>
      </c>
      <c r="AL447">
        <f>IF('TMP Paste'!$F447="","",IF('TMP Paste'!$M447="",$AL446,'TMP Paste'!$M447))</f>
        <v/>
      </c>
      <c r="AM447">
        <f>IF('TMP Paste'!$F447="","",IF('TMP Paste'!$N447="",$AM446,'TMP Paste'!$N447))</f>
        <v/>
      </c>
      <c r="AN447">
        <f>IF('TMP Paste'!$F447="","",IF('TMP Paste'!$O447="",$AN446,'TMP Paste'!$O447))</f>
        <v/>
      </c>
      <c r="AO447">
        <f>IF('TMP Paste'!$F447="","",IF('TMP Paste'!$P447="",$AO446,'TMP Paste'!$P447))</f>
        <v/>
      </c>
      <c r="AP447">
        <f>IF($AG447="","",LEN($R447))</f>
        <v/>
      </c>
      <c r="AQ447">
        <f>IF($AG447="","",TRIM(IF(COUNTIFS(Calc!$B$2:$B$1601,ROW()-1,Calc!$C$2:$C$1601,"&lt;1")&gt;0,"Ada PO tanpa Koli - cek TMP. ","")&amp;IF(LEN($R447)&gt;500,"R &gt; 500 karakter.","")))</f>
        <v/>
      </c>
    </row>
    <row r="448">
      <c r="A448">
        <f>IF($AG448="","",INDEX('TMP Paste'!$B$2:$B$1601,$AG448))</f>
        <v/>
      </c>
      <c r="B448">
        <f>IF($AG448="","",Config!$B$14)</f>
        <v/>
      </c>
      <c r="C448">
        <f>IF($AG448="","",Config!$B$15)</f>
        <v/>
      </c>
      <c r="D448">
        <f>IF($AG448="","",INDEX('TMP Paste'!$B$2:$B$1601,$AG448))</f>
        <v/>
      </c>
      <c r="E448">
        <f>IF($AG448="","",Config!$B$27)</f>
        <v/>
      </c>
      <c r="F448">
        <f>IF($AG448="","",Config!$B$9)</f>
        <v/>
      </c>
      <c r="G448">
        <f>IF($AG448="","",Config!$B$10)</f>
        <v/>
      </c>
      <c r="H448">
        <f>IF($AG448="","",Config!$B$11)</f>
        <v/>
      </c>
      <c r="I448">
        <f>IF($AG448="","",Config!$B$16)</f>
        <v/>
      </c>
      <c r="J448">
        <f>IF($AG448="","",INDEX('TMP Paste'!$A$2:$A$1601,$AG448))</f>
        <v/>
      </c>
      <c r="K448">
        <f>IF($AG448="","",INDEX('TMP Paste'!$L$2:$L$1601,$AG448))</f>
        <v/>
      </c>
      <c r="L448">
        <f>IF($AG448="","",INDEX('TMP Paste'!$I$2:$I$1601,$AG448))</f>
        <v/>
      </c>
      <c r="M448">
        <f>IF($AG448="","",Config!$B$16)</f>
        <v/>
      </c>
      <c r="N448">
        <f>IF($AG448="","","")</f>
        <v/>
      </c>
      <c r="O448">
        <f>IF($AG448="","",INDEX('TMP Paste'!$K$2:$K$1601,$AG448))</f>
        <v/>
      </c>
      <c r="P448">
        <f>IF($AG448="","","")</f>
        <v/>
      </c>
      <c r="Q448">
        <f>IF($AG448="","",INDEX('TMP Paste'!$J$2:$J$1601,$AG448))</f>
        <v/>
      </c>
      <c r="R448">
        <f>IF($AG448="","",Config!$B$24)</f>
        <v/>
      </c>
      <c r="S448">
        <f>IF($AG448="","",TEXT(Config!$B$4,"yyyy-mm-dd"))</f>
        <v/>
      </c>
      <c r="T448">
        <f>IF($AG448="","",Config!$B$17)</f>
        <v/>
      </c>
      <c r="U448">
        <f>IF($AG448="","",Config!$B$18)</f>
        <v/>
      </c>
      <c r="V448">
        <f>IF($AG448="","",Config!$B$19)</f>
        <v/>
      </c>
      <c r="W448">
        <f>IF($AG448="","",INDEX('TMP Paste'!$C$2:$C$1601,$AG448))</f>
        <v/>
      </c>
      <c r="X448">
        <f>IF($AG448="","",Config!$B$29)</f>
        <v/>
      </c>
      <c r="Y448">
        <f>IF($AH448="","",INDEX(Calc!$I$2:$I$1601,$AH448)&amp;" - "&amp;INDEX(Calc!$D$2:$D$1601,$AH448)&amp;" koli")</f>
        <v/>
      </c>
      <c r="Z448">
        <f>IF($AG448="","",Config!$B$21)</f>
        <v/>
      </c>
      <c r="AA448">
        <f>IF($AG448="","",Config!$B$22)</f>
        <v/>
      </c>
      <c r="AB448">
        <f>IF($AH448="","",INDEX(Calc!$D$2:$D$1601,$AH448))</f>
        <v/>
      </c>
      <c r="AC448">
        <f>IF($AH448="","",INDEX(Calc!$G$2:$G$1601,$AH448))</f>
        <v/>
      </c>
      <c r="AD448">
        <f>IF($AG448="","",Config!$B$23)</f>
        <v/>
      </c>
      <c r="AE448">
        <f>IF($AG448="","",Config!$B$28)</f>
        <v/>
      </c>
      <c r="AG448">
        <f>IFERROR(MATCH(ROW()-1,Calc!$J$2:$J$1601,0),"")</f>
        <v/>
      </c>
      <c r="AH448">
        <f>IFERROR(MATCH(ROW()-1,Calc!$K$2:$K$1601,0),"")</f>
        <v/>
      </c>
      <c r="AI448">
        <f>IF($AG448="","",SUMIF($AG$2:$AG448,$AG448,$AH$2:$AH448))</f>
        <v/>
      </c>
      <c r="AJ448">
        <f>IF('TMP Paste'!$F448="","",IF('TMP Paste'!$B448="",$AJ447,'TMP Paste'!$B448))</f>
        <v/>
      </c>
      <c r="AK448">
        <f>IF('TMP Paste'!$F448="","",N('TMP Paste'!$G448))</f>
        <v/>
      </c>
      <c r="AL448">
        <f>IF('TMP Paste'!$F448="","",IF('TMP Paste'!$M448="",$AL447,'TMP Paste'!$M448))</f>
        <v/>
      </c>
      <c r="AM448">
        <f>IF('TMP Paste'!$F448="","",IF('TMP Paste'!$N448="",$AM447,'TMP Paste'!$N448))</f>
        <v/>
      </c>
      <c r="AN448">
        <f>IF('TMP Paste'!$F448="","",IF('TMP Paste'!$O448="",$AN447,'TMP Paste'!$O448))</f>
        <v/>
      </c>
      <c r="AO448">
        <f>IF('TMP Paste'!$F448="","",IF('TMP Paste'!$P448="",$AO447,'TMP Paste'!$P448))</f>
        <v/>
      </c>
      <c r="AP448">
        <f>IF($AG448="","",LEN($R448))</f>
        <v/>
      </c>
      <c r="AQ448">
        <f>IF($AG448="","",TRIM(IF(COUNTIFS(Calc!$B$2:$B$1601,ROW()-1,Calc!$C$2:$C$1601,"&lt;1")&gt;0,"Ada PO tanpa Koli - cek TMP. ","")&amp;IF(LEN($R448)&gt;500,"R &gt; 500 karakter.","")))</f>
        <v/>
      </c>
    </row>
    <row r="449">
      <c r="A449">
        <f>IF($AG449="","",INDEX('TMP Paste'!$B$2:$B$1601,$AG449))</f>
        <v/>
      </c>
      <c r="B449">
        <f>IF($AG449="","",Config!$B$14)</f>
        <v/>
      </c>
      <c r="C449">
        <f>IF($AG449="","",Config!$B$15)</f>
        <v/>
      </c>
      <c r="D449">
        <f>IF($AG449="","",INDEX('TMP Paste'!$B$2:$B$1601,$AG449))</f>
        <v/>
      </c>
      <c r="E449">
        <f>IF($AG449="","",Config!$B$27)</f>
        <v/>
      </c>
      <c r="F449">
        <f>IF($AG449="","",Config!$B$9)</f>
        <v/>
      </c>
      <c r="G449">
        <f>IF($AG449="","",Config!$B$10)</f>
        <v/>
      </c>
      <c r="H449">
        <f>IF($AG449="","",Config!$B$11)</f>
        <v/>
      </c>
      <c r="I449">
        <f>IF($AG449="","",Config!$B$16)</f>
        <v/>
      </c>
      <c r="J449">
        <f>IF($AG449="","",INDEX('TMP Paste'!$A$2:$A$1601,$AG449))</f>
        <v/>
      </c>
      <c r="K449">
        <f>IF($AG449="","",INDEX('TMP Paste'!$L$2:$L$1601,$AG449))</f>
        <v/>
      </c>
      <c r="L449">
        <f>IF($AG449="","",INDEX('TMP Paste'!$I$2:$I$1601,$AG449))</f>
        <v/>
      </c>
      <c r="M449">
        <f>IF($AG449="","",Config!$B$16)</f>
        <v/>
      </c>
      <c r="N449">
        <f>IF($AG449="","","")</f>
        <v/>
      </c>
      <c r="O449">
        <f>IF($AG449="","",INDEX('TMP Paste'!$K$2:$K$1601,$AG449))</f>
        <v/>
      </c>
      <c r="P449">
        <f>IF($AG449="","","")</f>
        <v/>
      </c>
      <c r="Q449">
        <f>IF($AG449="","",INDEX('TMP Paste'!$J$2:$J$1601,$AG449))</f>
        <v/>
      </c>
      <c r="R449">
        <f>IF($AG449="","",Config!$B$24)</f>
        <v/>
      </c>
      <c r="S449">
        <f>IF($AG449="","",TEXT(Config!$B$4,"yyyy-mm-dd"))</f>
        <v/>
      </c>
      <c r="T449">
        <f>IF($AG449="","",Config!$B$17)</f>
        <v/>
      </c>
      <c r="U449">
        <f>IF($AG449="","",Config!$B$18)</f>
        <v/>
      </c>
      <c r="V449">
        <f>IF($AG449="","",Config!$B$19)</f>
        <v/>
      </c>
      <c r="W449">
        <f>IF($AG449="","",INDEX('TMP Paste'!$C$2:$C$1601,$AG449))</f>
        <v/>
      </c>
      <c r="X449">
        <f>IF($AG449="","",Config!$B$29)</f>
        <v/>
      </c>
      <c r="Y449">
        <f>IF($AH449="","",INDEX(Calc!$I$2:$I$1601,$AH449)&amp;" - "&amp;INDEX(Calc!$D$2:$D$1601,$AH449)&amp;" koli")</f>
        <v/>
      </c>
      <c r="Z449">
        <f>IF($AG449="","",Config!$B$21)</f>
        <v/>
      </c>
      <c r="AA449">
        <f>IF($AG449="","",Config!$B$22)</f>
        <v/>
      </c>
      <c r="AB449">
        <f>IF($AH449="","",INDEX(Calc!$D$2:$D$1601,$AH449))</f>
        <v/>
      </c>
      <c r="AC449">
        <f>IF($AH449="","",INDEX(Calc!$G$2:$G$1601,$AH449))</f>
        <v/>
      </c>
      <c r="AD449">
        <f>IF($AG449="","",Config!$B$23)</f>
        <v/>
      </c>
      <c r="AE449">
        <f>IF($AG449="","",Config!$B$28)</f>
        <v/>
      </c>
      <c r="AG449">
        <f>IFERROR(MATCH(ROW()-1,Calc!$J$2:$J$1601,0),"")</f>
        <v/>
      </c>
      <c r="AH449">
        <f>IFERROR(MATCH(ROW()-1,Calc!$K$2:$K$1601,0),"")</f>
        <v/>
      </c>
      <c r="AI449">
        <f>IF($AG449="","",SUMIF($AG$2:$AG449,$AG449,$AH$2:$AH449))</f>
        <v/>
      </c>
      <c r="AJ449">
        <f>IF('TMP Paste'!$F449="","",IF('TMP Paste'!$B449="",$AJ448,'TMP Paste'!$B449))</f>
        <v/>
      </c>
      <c r="AK449">
        <f>IF('TMP Paste'!$F449="","",N('TMP Paste'!$G449))</f>
        <v/>
      </c>
      <c r="AL449">
        <f>IF('TMP Paste'!$F449="","",IF('TMP Paste'!$M449="",$AL448,'TMP Paste'!$M449))</f>
        <v/>
      </c>
      <c r="AM449">
        <f>IF('TMP Paste'!$F449="","",IF('TMP Paste'!$N449="",$AM448,'TMP Paste'!$N449))</f>
        <v/>
      </c>
      <c r="AN449">
        <f>IF('TMP Paste'!$F449="","",IF('TMP Paste'!$O449="",$AN448,'TMP Paste'!$O449))</f>
        <v/>
      </c>
      <c r="AO449">
        <f>IF('TMP Paste'!$F449="","",IF('TMP Paste'!$P449="",$AO448,'TMP Paste'!$P449))</f>
        <v/>
      </c>
      <c r="AP449">
        <f>IF($AG449="","",LEN($R449))</f>
        <v/>
      </c>
      <c r="AQ449">
        <f>IF($AG449="","",TRIM(IF(COUNTIFS(Calc!$B$2:$B$1601,ROW()-1,Calc!$C$2:$C$1601,"&lt;1")&gt;0,"Ada PO tanpa Koli - cek TMP. ","")&amp;IF(LEN($R449)&gt;500,"R &gt; 500 karakter.","")))</f>
        <v/>
      </c>
    </row>
    <row r="450">
      <c r="A450">
        <f>IF($AG450="","",INDEX('TMP Paste'!$B$2:$B$1601,$AG450))</f>
        <v/>
      </c>
      <c r="B450">
        <f>IF($AG450="","",Config!$B$14)</f>
        <v/>
      </c>
      <c r="C450">
        <f>IF($AG450="","",Config!$B$15)</f>
        <v/>
      </c>
      <c r="D450">
        <f>IF($AG450="","",INDEX('TMP Paste'!$B$2:$B$1601,$AG450))</f>
        <v/>
      </c>
      <c r="E450">
        <f>IF($AG450="","",Config!$B$27)</f>
        <v/>
      </c>
      <c r="F450">
        <f>IF($AG450="","",Config!$B$9)</f>
        <v/>
      </c>
      <c r="G450">
        <f>IF($AG450="","",Config!$B$10)</f>
        <v/>
      </c>
      <c r="H450">
        <f>IF($AG450="","",Config!$B$11)</f>
        <v/>
      </c>
      <c r="I450">
        <f>IF($AG450="","",Config!$B$16)</f>
        <v/>
      </c>
      <c r="J450">
        <f>IF($AG450="","",INDEX('TMP Paste'!$A$2:$A$1601,$AG450))</f>
        <v/>
      </c>
      <c r="K450">
        <f>IF($AG450="","",INDEX('TMP Paste'!$L$2:$L$1601,$AG450))</f>
        <v/>
      </c>
      <c r="L450">
        <f>IF($AG450="","",INDEX('TMP Paste'!$I$2:$I$1601,$AG450))</f>
        <v/>
      </c>
      <c r="M450">
        <f>IF($AG450="","",Config!$B$16)</f>
        <v/>
      </c>
      <c r="N450">
        <f>IF($AG450="","","")</f>
        <v/>
      </c>
      <c r="O450">
        <f>IF($AG450="","",INDEX('TMP Paste'!$K$2:$K$1601,$AG450))</f>
        <v/>
      </c>
      <c r="P450">
        <f>IF($AG450="","","")</f>
        <v/>
      </c>
      <c r="Q450">
        <f>IF($AG450="","",INDEX('TMP Paste'!$J$2:$J$1601,$AG450))</f>
        <v/>
      </c>
      <c r="R450">
        <f>IF($AG450="","",Config!$B$24)</f>
        <v/>
      </c>
      <c r="S450">
        <f>IF($AG450="","",TEXT(Config!$B$4,"yyyy-mm-dd"))</f>
        <v/>
      </c>
      <c r="T450">
        <f>IF($AG450="","",Config!$B$17)</f>
        <v/>
      </c>
      <c r="U450">
        <f>IF($AG450="","",Config!$B$18)</f>
        <v/>
      </c>
      <c r="V450">
        <f>IF($AG450="","",Config!$B$19)</f>
        <v/>
      </c>
      <c r="W450">
        <f>IF($AG450="","",INDEX('TMP Paste'!$C$2:$C$1601,$AG450))</f>
        <v/>
      </c>
      <c r="X450">
        <f>IF($AG450="","",Config!$B$29)</f>
        <v/>
      </c>
      <c r="Y450">
        <f>IF($AH450="","",INDEX(Calc!$I$2:$I$1601,$AH450)&amp;" - "&amp;INDEX(Calc!$D$2:$D$1601,$AH450)&amp;" koli")</f>
        <v/>
      </c>
      <c r="Z450">
        <f>IF($AG450="","",Config!$B$21)</f>
        <v/>
      </c>
      <c r="AA450">
        <f>IF($AG450="","",Config!$B$22)</f>
        <v/>
      </c>
      <c r="AB450">
        <f>IF($AH450="","",INDEX(Calc!$D$2:$D$1601,$AH450))</f>
        <v/>
      </c>
      <c r="AC450">
        <f>IF($AH450="","",INDEX(Calc!$G$2:$G$1601,$AH450))</f>
        <v/>
      </c>
      <c r="AD450">
        <f>IF($AG450="","",Config!$B$23)</f>
        <v/>
      </c>
      <c r="AE450">
        <f>IF($AG450="","",Config!$B$28)</f>
        <v/>
      </c>
      <c r="AG450">
        <f>IFERROR(MATCH(ROW()-1,Calc!$J$2:$J$1601,0),"")</f>
        <v/>
      </c>
      <c r="AH450">
        <f>IFERROR(MATCH(ROW()-1,Calc!$K$2:$K$1601,0),"")</f>
        <v/>
      </c>
      <c r="AI450">
        <f>IF($AG450="","",SUMIF($AG$2:$AG450,$AG450,$AH$2:$AH450))</f>
        <v/>
      </c>
      <c r="AJ450">
        <f>IF('TMP Paste'!$F450="","",IF('TMP Paste'!$B450="",$AJ449,'TMP Paste'!$B450))</f>
        <v/>
      </c>
      <c r="AK450">
        <f>IF('TMP Paste'!$F450="","",N('TMP Paste'!$G450))</f>
        <v/>
      </c>
      <c r="AL450">
        <f>IF('TMP Paste'!$F450="","",IF('TMP Paste'!$M450="",$AL449,'TMP Paste'!$M450))</f>
        <v/>
      </c>
      <c r="AM450">
        <f>IF('TMP Paste'!$F450="","",IF('TMP Paste'!$N450="",$AM449,'TMP Paste'!$N450))</f>
        <v/>
      </c>
      <c r="AN450">
        <f>IF('TMP Paste'!$F450="","",IF('TMP Paste'!$O450="",$AN449,'TMP Paste'!$O450))</f>
        <v/>
      </c>
      <c r="AO450">
        <f>IF('TMP Paste'!$F450="","",IF('TMP Paste'!$P450="",$AO449,'TMP Paste'!$P450))</f>
        <v/>
      </c>
      <c r="AP450">
        <f>IF($AG450="","",LEN($R450))</f>
        <v/>
      </c>
      <c r="AQ450">
        <f>IF($AG450="","",TRIM(IF(COUNTIFS(Calc!$B$2:$B$1601,ROW()-1,Calc!$C$2:$C$1601,"&lt;1")&gt;0,"Ada PO tanpa Koli - cek TMP. ","")&amp;IF(LEN($R450)&gt;500,"R &gt; 500 karakter.","")))</f>
        <v/>
      </c>
    </row>
    <row r="451">
      <c r="A451">
        <f>IF($AG451="","",INDEX('TMP Paste'!$B$2:$B$1601,$AG451))</f>
        <v/>
      </c>
      <c r="B451">
        <f>IF($AG451="","",Config!$B$14)</f>
        <v/>
      </c>
      <c r="C451">
        <f>IF($AG451="","",Config!$B$15)</f>
        <v/>
      </c>
      <c r="D451">
        <f>IF($AG451="","",INDEX('TMP Paste'!$B$2:$B$1601,$AG451))</f>
        <v/>
      </c>
      <c r="E451">
        <f>IF($AG451="","",Config!$B$27)</f>
        <v/>
      </c>
      <c r="F451">
        <f>IF($AG451="","",Config!$B$9)</f>
        <v/>
      </c>
      <c r="G451">
        <f>IF($AG451="","",Config!$B$10)</f>
        <v/>
      </c>
      <c r="H451">
        <f>IF($AG451="","",Config!$B$11)</f>
        <v/>
      </c>
      <c r="I451">
        <f>IF($AG451="","",Config!$B$16)</f>
        <v/>
      </c>
      <c r="J451">
        <f>IF($AG451="","",INDEX('TMP Paste'!$A$2:$A$1601,$AG451))</f>
        <v/>
      </c>
      <c r="K451">
        <f>IF($AG451="","",INDEX('TMP Paste'!$L$2:$L$1601,$AG451))</f>
        <v/>
      </c>
      <c r="L451">
        <f>IF($AG451="","",INDEX('TMP Paste'!$I$2:$I$1601,$AG451))</f>
        <v/>
      </c>
      <c r="M451">
        <f>IF($AG451="","",Config!$B$16)</f>
        <v/>
      </c>
      <c r="N451">
        <f>IF($AG451="","","")</f>
        <v/>
      </c>
      <c r="O451">
        <f>IF($AG451="","",INDEX('TMP Paste'!$K$2:$K$1601,$AG451))</f>
        <v/>
      </c>
      <c r="P451">
        <f>IF($AG451="","","")</f>
        <v/>
      </c>
      <c r="Q451">
        <f>IF($AG451="","",INDEX('TMP Paste'!$J$2:$J$1601,$AG451))</f>
        <v/>
      </c>
      <c r="R451">
        <f>IF($AG451="","",Config!$B$24)</f>
        <v/>
      </c>
      <c r="S451">
        <f>IF($AG451="","",TEXT(Config!$B$4,"yyyy-mm-dd"))</f>
        <v/>
      </c>
      <c r="T451">
        <f>IF($AG451="","",Config!$B$17)</f>
        <v/>
      </c>
      <c r="U451">
        <f>IF($AG451="","",Config!$B$18)</f>
        <v/>
      </c>
      <c r="V451">
        <f>IF($AG451="","",Config!$B$19)</f>
        <v/>
      </c>
      <c r="W451">
        <f>IF($AG451="","",INDEX('TMP Paste'!$C$2:$C$1601,$AG451))</f>
        <v/>
      </c>
      <c r="X451">
        <f>IF($AG451="","",Config!$B$29)</f>
        <v/>
      </c>
      <c r="Y451">
        <f>IF($AH451="","",INDEX(Calc!$I$2:$I$1601,$AH451)&amp;" - "&amp;INDEX(Calc!$D$2:$D$1601,$AH451)&amp;" koli")</f>
        <v/>
      </c>
      <c r="Z451">
        <f>IF($AG451="","",Config!$B$21)</f>
        <v/>
      </c>
      <c r="AA451">
        <f>IF($AG451="","",Config!$B$22)</f>
        <v/>
      </c>
      <c r="AB451">
        <f>IF($AH451="","",INDEX(Calc!$D$2:$D$1601,$AH451))</f>
        <v/>
      </c>
      <c r="AC451">
        <f>IF($AH451="","",INDEX(Calc!$G$2:$G$1601,$AH451))</f>
        <v/>
      </c>
      <c r="AD451">
        <f>IF($AG451="","",Config!$B$23)</f>
        <v/>
      </c>
      <c r="AE451">
        <f>IF($AG451="","",Config!$B$28)</f>
        <v/>
      </c>
      <c r="AG451">
        <f>IFERROR(MATCH(ROW()-1,Calc!$J$2:$J$1601,0),"")</f>
        <v/>
      </c>
      <c r="AH451">
        <f>IFERROR(MATCH(ROW()-1,Calc!$K$2:$K$1601,0),"")</f>
        <v/>
      </c>
      <c r="AI451">
        <f>IF($AG451="","",SUMIF($AG$2:$AG451,$AG451,$AH$2:$AH451))</f>
        <v/>
      </c>
      <c r="AJ451">
        <f>IF('TMP Paste'!$F451="","",IF('TMP Paste'!$B451="",$AJ450,'TMP Paste'!$B451))</f>
        <v/>
      </c>
      <c r="AK451">
        <f>IF('TMP Paste'!$F451="","",N('TMP Paste'!$G451))</f>
        <v/>
      </c>
      <c r="AL451">
        <f>IF('TMP Paste'!$F451="","",IF('TMP Paste'!$M451="",$AL450,'TMP Paste'!$M451))</f>
        <v/>
      </c>
      <c r="AM451">
        <f>IF('TMP Paste'!$F451="","",IF('TMP Paste'!$N451="",$AM450,'TMP Paste'!$N451))</f>
        <v/>
      </c>
      <c r="AN451">
        <f>IF('TMP Paste'!$F451="","",IF('TMP Paste'!$O451="",$AN450,'TMP Paste'!$O451))</f>
        <v/>
      </c>
      <c r="AO451">
        <f>IF('TMP Paste'!$F451="","",IF('TMP Paste'!$P451="",$AO450,'TMP Paste'!$P451))</f>
        <v/>
      </c>
      <c r="AP451">
        <f>IF($AG451="","",LEN($R451))</f>
        <v/>
      </c>
      <c r="AQ451">
        <f>IF($AG451="","",TRIM(IF(COUNTIFS(Calc!$B$2:$B$1601,ROW()-1,Calc!$C$2:$C$1601,"&lt;1")&gt;0,"Ada PO tanpa Koli - cek TMP. ","")&amp;IF(LEN($R451)&gt;500,"R &gt; 500 karakter.","")))</f>
        <v/>
      </c>
    </row>
    <row r="452">
      <c r="A452">
        <f>IF($AG452="","",INDEX('TMP Paste'!$B$2:$B$1601,$AG452))</f>
        <v/>
      </c>
      <c r="B452">
        <f>IF($AG452="","",Config!$B$14)</f>
        <v/>
      </c>
      <c r="C452">
        <f>IF($AG452="","",Config!$B$15)</f>
        <v/>
      </c>
      <c r="D452">
        <f>IF($AG452="","",INDEX('TMP Paste'!$B$2:$B$1601,$AG452))</f>
        <v/>
      </c>
      <c r="E452">
        <f>IF($AG452="","",Config!$B$27)</f>
        <v/>
      </c>
      <c r="F452">
        <f>IF($AG452="","",Config!$B$9)</f>
        <v/>
      </c>
      <c r="G452">
        <f>IF($AG452="","",Config!$B$10)</f>
        <v/>
      </c>
      <c r="H452">
        <f>IF($AG452="","",Config!$B$11)</f>
        <v/>
      </c>
      <c r="I452">
        <f>IF($AG452="","",Config!$B$16)</f>
        <v/>
      </c>
      <c r="J452">
        <f>IF($AG452="","",INDEX('TMP Paste'!$A$2:$A$1601,$AG452))</f>
        <v/>
      </c>
      <c r="K452">
        <f>IF($AG452="","",INDEX('TMP Paste'!$L$2:$L$1601,$AG452))</f>
        <v/>
      </c>
      <c r="L452">
        <f>IF($AG452="","",INDEX('TMP Paste'!$I$2:$I$1601,$AG452))</f>
        <v/>
      </c>
      <c r="M452">
        <f>IF($AG452="","",Config!$B$16)</f>
        <v/>
      </c>
      <c r="N452">
        <f>IF($AG452="","","")</f>
        <v/>
      </c>
      <c r="O452">
        <f>IF($AG452="","",INDEX('TMP Paste'!$K$2:$K$1601,$AG452))</f>
        <v/>
      </c>
      <c r="P452">
        <f>IF($AG452="","","")</f>
        <v/>
      </c>
      <c r="Q452">
        <f>IF($AG452="","",INDEX('TMP Paste'!$J$2:$J$1601,$AG452))</f>
        <v/>
      </c>
      <c r="R452">
        <f>IF($AG452="","",Config!$B$24)</f>
        <v/>
      </c>
      <c r="S452">
        <f>IF($AG452="","",TEXT(Config!$B$4,"yyyy-mm-dd"))</f>
        <v/>
      </c>
      <c r="T452">
        <f>IF($AG452="","",Config!$B$17)</f>
        <v/>
      </c>
      <c r="U452">
        <f>IF($AG452="","",Config!$B$18)</f>
        <v/>
      </c>
      <c r="V452">
        <f>IF($AG452="","",Config!$B$19)</f>
        <v/>
      </c>
      <c r="W452">
        <f>IF($AG452="","",INDEX('TMP Paste'!$C$2:$C$1601,$AG452))</f>
        <v/>
      </c>
      <c r="X452">
        <f>IF($AG452="","",Config!$B$29)</f>
        <v/>
      </c>
      <c r="Y452">
        <f>IF($AH452="","",INDEX(Calc!$I$2:$I$1601,$AH452)&amp;" - "&amp;INDEX(Calc!$D$2:$D$1601,$AH452)&amp;" koli")</f>
        <v/>
      </c>
      <c r="Z452">
        <f>IF($AG452="","",Config!$B$21)</f>
        <v/>
      </c>
      <c r="AA452">
        <f>IF($AG452="","",Config!$B$22)</f>
        <v/>
      </c>
      <c r="AB452">
        <f>IF($AH452="","",INDEX(Calc!$D$2:$D$1601,$AH452))</f>
        <v/>
      </c>
      <c r="AC452">
        <f>IF($AH452="","",INDEX(Calc!$G$2:$G$1601,$AH452))</f>
        <v/>
      </c>
      <c r="AD452">
        <f>IF($AG452="","",Config!$B$23)</f>
        <v/>
      </c>
      <c r="AE452">
        <f>IF($AG452="","",Config!$B$28)</f>
        <v/>
      </c>
      <c r="AG452">
        <f>IFERROR(MATCH(ROW()-1,Calc!$J$2:$J$1601,0),"")</f>
        <v/>
      </c>
      <c r="AH452">
        <f>IFERROR(MATCH(ROW()-1,Calc!$K$2:$K$1601,0),"")</f>
        <v/>
      </c>
      <c r="AI452">
        <f>IF($AG452="","",SUMIF($AG$2:$AG452,$AG452,$AH$2:$AH452))</f>
        <v/>
      </c>
      <c r="AJ452">
        <f>IF('TMP Paste'!$F452="","",IF('TMP Paste'!$B452="",$AJ451,'TMP Paste'!$B452))</f>
        <v/>
      </c>
      <c r="AK452">
        <f>IF('TMP Paste'!$F452="","",N('TMP Paste'!$G452))</f>
        <v/>
      </c>
      <c r="AL452">
        <f>IF('TMP Paste'!$F452="","",IF('TMP Paste'!$M452="",$AL451,'TMP Paste'!$M452))</f>
        <v/>
      </c>
      <c r="AM452">
        <f>IF('TMP Paste'!$F452="","",IF('TMP Paste'!$N452="",$AM451,'TMP Paste'!$N452))</f>
        <v/>
      </c>
      <c r="AN452">
        <f>IF('TMP Paste'!$F452="","",IF('TMP Paste'!$O452="",$AN451,'TMP Paste'!$O452))</f>
        <v/>
      </c>
      <c r="AO452">
        <f>IF('TMP Paste'!$F452="","",IF('TMP Paste'!$P452="",$AO451,'TMP Paste'!$P452))</f>
        <v/>
      </c>
      <c r="AP452">
        <f>IF($AG452="","",LEN($R452))</f>
        <v/>
      </c>
      <c r="AQ452">
        <f>IF($AG452="","",TRIM(IF(COUNTIFS(Calc!$B$2:$B$1601,ROW()-1,Calc!$C$2:$C$1601,"&lt;1")&gt;0,"Ada PO tanpa Koli - cek TMP. ","")&amp;IF(LEN($R452)&gt;500,"R &gt; 500 karakter.","")))</f>
        <v/>
      </c>
    </row>
    <row r="453">
      <c r="A453">
        <f>IF($AG453="","",INDEX('TMP Paste'!$B$2:$B$1601,$AG453))</f>
        <v/>
      </c>
      <c r="B453">
        <f>IF($AG453="","",Config!$B$14)</f>
        <v/>
      </c>
      <c r="C453">
        <f>IF($AG453="","",Config!$B$15)</f>
        <v/>
      </c>
      <c r="D453">
        <f>IF($AG453="","",INDEX('TMP Paste'!$B$2:$B$1601,$AG453))</f>
        <v/>
      </c>
      <c r="E453">
        <f>IF($AG453="","",Config!$B$27)</f>
        <v/>
      </c>
      <c r="F453">
        <f>IF($AG453="","",Config!$B$9)</f>
        <v/>
      </c>
      <c r="G453">
        <f>IF($AG453="","",Config!$B$10)</f>
        <v/>
      </c>
      <c r="H453">
        <f>IF($AG453="","",Config!$B$11)</f>
        <v/>
      </c>
      <c r="I453">
        <f>IF($AG453="","",Config!$B$16)</f>
        <v/>
      </c>
      <c r="J453">
        <f>IF($AG453="","",INDEX('TMP Paste'!$A$2:$A$1601,$AG453))</f>
        <v/>
      </c>
      <c r="K453">
        <f>IF($AG453="","",INDEX('TMP Paste'!$L$2:$L$1601,$AG453))</f>
        <v/>
      </c>
      <c r="L453">
        <f>IF($AG453="","",INDEX('TMP Paste'!$I$2:$I$1601,$AG453))</f>
        <v/>
      </c>
      <c r="M453">
        <f>IF($AG453="","",Config!$B$16)</f>
        <v/>
      </c>
      <c r="N453">
        <f>IF($AG453="","","")</f>
        <v/>
      </c>
      <c r="O453">
        <f>IF($AG453="","",INDEX('TMP Paste'!$K$2:$K$1601,$AG453))</f>
        <v/>
      </c>
      <c r="P453">
        <f>IF($AG453="","","")</f>
        <v/>
      </c>
      <c r="Q453">
        <f>IF($AG453="","",INDEX('TMP Paste'!$J$2:$J$1601,$AG453))</f>
        <v/>
      </c>
      <c r="R453">
        <f>IF($AG453="","",Config!$B$24)</f>
        <v/>
      </c>
      <c r="S453">
        <f>IF($AG453="","",TEXT(Config!$B$4,"yyyy-mm-dd"))</f>
        <v/>
      </c>
      <c r="T453">
        <f>IF($AG453="","",Config!$B$17)</f>
        <v/>
      </c>
      <c r="U453">
        <f>IF($AG453="","",Config!$B$18)</f>
        <v/>
      </c>
      <c r="V453">
        <f>IF($AG453="","",Config!$B$19)</f>
        <v/>
      </c>
      <c r="W453">
        <f>IF($AG453="","",INDEX('TMP Paste'!$C$2:$C$1601,$AG453))</f>
        <v/>
      </c>
      <c r="X453">
        <f>IF($AG453="","",Config!$B$29)</f>
        <v/>
      </c>
      <c r="Y453">
        <f>IF($AH453="","",INDEX(Calc!$I$2:$I$1601,$AH453)&amp;" - "&amp;INDEX(Calc!$D$2:$D$1601,$AH453)&amp;" koli")</f>
        <v/>
      </c>
      <c r="Z453">
        <f>IF($AG453="","",Config!$B$21)</f>
        <v/>
      </c>
      <c r="AA453">
        <f>IF($AG453="","",Config!$B$22)</f>
        <v/>
      </c>
      <c r="AB453">
        <f>IF($AH453="","",INDEX(Calc!$D$2:$D$1601,$AH453))</f>
        <v/>
      </c>
      <c r="AC453">
        <f>IF($AH453="","",INDEX(Calc!$G$2:$G$1601,$AH453))</f>
        <v/>
      </c>
      <c r="AD453">
        <f>IF($AG453="","",Config!$B$23)</f>
        <v/>
      </c>
      <c r="AE453">
        <f>IF($AG453="","",Config!$B$28)</f>
        <v/>
      </c>
      <c r="AG453">
        <f>IFERROR(MATCH(ROW()-1,Calc!$J$2:$J$1601,0),"")</f>
        <v/>
      </c>
      <c r="AH453">
        <f>IFERROR(MATCH(ROW()-1,Calc!$K$2:$K$1601,0),"")</f>
        <v/>
      </c>
      <c r="AI453">
        <f>IF($AG453="","",SUMIF($AG$2:$AG453,$AG453,$AH$2:$AH453))</f>
        <v/>
      </c>
      <c r="AJ453">
        <f>IF('TMP Paste'!$F453="","",IF('TMP Paste'!$B453="",$AJ452,'TMP Paste'!$B453))</f>
        <v/>
      </c>
      <c r="AK453">
        <f>IF('TMP Paste'!$F453="","",N('TMP Paste'!$G453))</f>
        <v/>
      </c>
      <c r="AL453">
        <f>IF('TMP Paste'!$F453="","",IF('TMP Paste'!$M453="",$AL452,'TMP Paste'!$M453))</f>
        <v/>
      </c>
      <c r="AM453">
        <f>IF('TMP Paste'!$F453="","",IF('TMP Paste'!$N453="",$AM452,'TMP Paste'!$N453))</f>
        <v/>
      </c>
      <c r="AN453">
        <f>IF('TMP Paste'!$F453="","",IF('TMP Paste'!$O453="",$AN452,'TMP Paste'!$O453))</f>
        <v/>
      </c>
      <c r="AO453">
        <f>IF('TMP Paste'!$F453="","",IF('TMP Paste'!$P453="",$AO452,'TMP Paste'!$P453))</f>
        <v/>
      </c>
      <c r="AP453">
        <f>IF($AG453="","",LEN($R453))</f>
        <v/>
      </c>
      <c r="AQ453">
        <f>IF($AG453="","",TRIM(IF(COUNTIFS(Calc!$B$2:$B$1601,ROW()-1,Calc!$C$2:$C$1601,"&lt;1")&gt;0,"Ada PO tanpa Koli - cek TMP. ","")&amp;IF(LEN($R453)&gt;500,"R &gt; 500 karakter.","")))</f>
        <v/>
      </c>
    </row>
    <row r="454">
      <c r="A454">
        <f>IF($AG454="","",INDEX('TMP Paste'!$B$2:$B$1601,$AG454))</f>
        <v/>
      </c>
      <c r="B454">
        <f>IF($AG454="","",Config!$B$14)</f>
        <v/>
      </c>
      <c r="C454">
        <f>IF($AG454="","",Config!$B$15)</f>
        <v/>
      </c>
      <c r="D454">
        <f>IF($AG454="","",INDEX('TMP Paste'!$B$2:$B$1601,$AG454))</f>
        <v/>
      </c>
      <c r="E454">
        <f>IF($AG454="","",Config!$B$27)</f>
        <v/>
      </c>
      <c r="F454">
        <f>IF($AG454="","",Config!$B$9)</f>
        <v/>
      </c>
      <c r="G454">
        <f>IF($AG454="","",Config!$B$10)</f>
        <v/>
      </c>
      <c r="H454">
        <f>IF($AG454="","",Config!$B$11)</f>
        <v/>
      </c>
      <c r="I454">
        <f>IF($AG454="","",Config!$B$16)</f>
        <v/>
      </c>
      <c r="J454">
        <f>IF($AG454="","",INDEX('TMP Paste'!$A$2:$A$1601,$AG454))</f>
        <v/>
      </c>
      <c r="K454">
        <f>IF($AG454="","",INDEX('TMP Paste'!$L$2:$L$1601,$AG454))</f>
        <v/>
      </c>
      <c r="L454">
        <f>IF($AG454="","",INDEX('TMP Paste'!$I$2:$I$1601,$AG454))</f>
        <v/>
      </c>
      <c r="M454">
        <f>IF($AG454="","",Config!$B$16)</f>
        <v/>
      </c>
      <c r="N454">
        <f>IF($AG454="","","")</f>
        <v/>
      </c>
      <c r="O454">
        <f>IF($AG454="","",INDEX('TMP Paste'!$K$2:$K$1601,$AG454))</f>
        <v/>
      </c>
      <c r="P454">
        <f>IF($AG454="","","")</f>
        <v/>
      </c>
      <c r="Q454">
        <f>IF($AG454="","",INDEX('TMP Paste'!$J$2:$J$1601,$AG454))</f>
        <v/>
      </c>
      <c r="R454">
        <f>IF($AG454="","",Config!$B$24)</f>
        <v/>
      </c>
      <c r="S454">
        <f>IF($AG454="","",TEXT(Config!$B$4,"yyyy-mm-dd"))</f>
        <v/>
      </c>
      <c r="T454">
        <f>IF($AG454="","",Config!$B$17)</f>
        <v/>
      </c>
      <c r="U454">
        <f>IF($AG454="","",Config!$B$18)</f>
        <v/>
      </c>
      <c r="V454">
        <f>IF($AG454="","",Config!$B$19)</f>
        <v/>
      </c>
      <c r="W454">
        <f>IF($AG454="","",INDEX('TMP Paste'!$C$2:$C$1601,$AG454))</f>
        <v/>
      </c>
      <c r="X454">
        <f>IF($AG454="","",Config!$B$29)</f>
        <v/>
      </c>
      <c r="Y454">
        <f>IF($AH454="","",INDEX(Calc!$I$2:$I$1601,$AH454)&amp;" - "&amp;INDEX(Calc!$D$2:$D$1601,$AH454)&amp;" koli")</f>
        <v/>
      </c>
      <c r="Z454">
        <f>IF($AG454="","",Config!$B$21)</f>
        <v/>
      </c>
      <c r="AA454">
        <f>IF($AG454="","",Config!$B$22)</f>
        <v/>
      </c>
      <c r="AB454">
        <f>IF($AH454="","",INDEX(Calc!$D$2:$D$1601,$AH454))</f>
        <v/>
      </c>
      <c r="AC454">
        <f>IF($AH454="","",INDEX(Calc!$G$2:$G$1601,$AH454))</f>
        <v/>
      </c>
      <c r="AD454">
        <f>IF($AG454="","",Config!$B$23)</f>
        <v/>
      </c>
      <c r="AE454">
        <f>IF($AG454="","",Config!$B$28)</f>
        <v/>
      </c>
      <c r="AG454">
        <f>IFERROR(MATCH(ROW()-1,Calc!$J$2:$J$1601,0),"")</f>
        <v/>
      </c>
      <c r="AH454">
        <f>IFERROR(MATCH(ROW()-1,Calc!$K$2:$K$1601,0),"")</f>
        <v/>
      </c>
      <c r="AI454">
        <f>IF($AG454="","",SUMIF($AG$2:$AG454,$AG454,$AH$2:$AH454))</f>
        <v/>
      </c>
      <c r="AJ454">
        <f>IF('TMP Paste'!$F454="","",IF('TMP Paste'!$B454="",$AJ453,'TMP Paste'!$B454))</f>
        <v/>
      </c>
      <c r="AK454">
        <f>IF('TMP Paste'!$F454="","",N('TMP Paste'!$G454))</f>
        <v/>
      </c>
      <c r="AL454">
        <f>IF('TMP Paste'!$F454="","",IF('TMP Paste'!$M454="",$AL453,'TMP Paste'!$M454))</f>
        <v/>
      </c>
      <c r="AM454">
        <f>IF('TMP Paste'!$F454="","",IF('TMP Paste'!$N454="",$AM453,'TMP Paste'!$N454))</f>
        <v/>
      </c>
      <c r="AN454">
        <f>IF('TMP Paste'!$F454="","",IF('TMP Paste'!$O454="",$AN453,'TMP Paste'!$O454))</f>
        <v/>
      </c>
      <c r="AO454">
        <f>IF('TMP Paste'!$F454="","",IF('TMP Paste'!$P454="",$AO453,'TMP Paste'!$P454))</f>
        <v/>
      </c>
      <c r="AP454">
        <f>IF($AG454="","",LEN($R454))</f>
        <v/>
      </c>
      <c r="AQ454">
        <f>IF($AG454="","",TRIM(IF(COUNTIFS(Calc!$B$2:$B$1601,ROW()-1,Calc!$C$2:$C$1601,"&lt;1")&gt;0,"Ada PO tanpa Koli - cek TMP. ","")&amp;IF(LEN($R454)&gt;500,"R &gt; 500 karakter.","")))</f>
        <v/>
      </c>
    </row>
    <row r="455">
      <c r="A455">
        <f>IF($AG455="","",INDEX('TMP Paste'!$B$2:$B$1601,$AG455))</f>
        <v/>
      </c>
      <c r="B455">
        <f>IF($AG455="","",Config!$B$14)</f>
        <v/>
      </c>
      <c r="C455">
        <f>IF($AG455="","",Config!$B$15)</f>
        <v/>
      </c>
      <c r="D455">
        <f>IF($AG455="","",INDEX('TMP Paste'!$B$2:$B$1601,$AG455))</f>
        <v/>
      </c>
      <c r="E455">
        <f>IF($AG455="","",Config!$B$27)</f>
        <v/>
      </c>
      <c r="F455">
        <f>IF($AG455="","",Config!$B$9)</f>
        <v/>
      </c>
      <c r="G455">
        <f>IF($AG455="","",Config!$B$10)</f>
        <v/>
      </c>
      <c r="H455">
        <f>IF($AG455="","",Config!$B$11)</f>
        <v/>
      </c>
      <c r="I455">
        <f>IF($AG455="","",Config!$B$16)</f>
        <v/>
      </c>
      <c r="J455">
        <f>IF($AG455="","",INDEX('TMP Paste'!$A$2:$A$1601,$AG455))</f>
        <v/>
      </c>
      <c r="K455">
        <f>IF($AG455="","",INDEX('TMP Paste'!$L$2:$L$1601,$AG455))</f>
        <v/>
      </c>
      <c r="L455">
        <f>IF($AG455="","",INDEX('TMP Paste'!$I$2:$I$1601,$AG455))</f>
        <v/>
      </c>
      <c r="M455">
        <f>IF($AG455="","",Config!$B$16)</f>
        <v/>
      </c>
      <c r="N455">
        <f>IF($AG455="","","")</f>
        <v/>
      </c>
      <c r="O455">
        <f>IF($AG455="","",INDEX('TMP Paste'!$K$2:$K$1601,$AG455))</f>
        <v/>
      </c>
      <c r="P455">
        <f>IF($AG455="","","")</f>
        <v/>
      </c>
      <c r="Q455">
        <f>IF($AG455="","",INDEX('TMP Paste'!$J$2:$J$1601,$AG455))</f>
        <v/>
      </c>
      <c r="R455">
        <f>IF($AG455="","",Config!$B$24)</f>
        <v/>
      </c>
      <c r="S455">
        <f>IF($AG455="","",TEXT(Config!$B$4,"yyyy-mm-dd"))</f>
        <v/>
      </c>
      <c r="T455">
        <f>IF($AG455="","",Config!$B$17)</f>
        <v/>
      </c>
      <c r="U455">
        <f>IF($AG455="","",Config!$B$18)</f>
        <v/>
      </c>
      <c r="V455">
        <f>IF($AG455="","",Config!$B$19)</f>
        <v/>
      </c>
      <c r="W455">
        <f>IF($AG455="","",INDEX('TMP Paste'!$C$2:$C$1601,$AG455))</f>
        <v/>
      </c>
      <c r="X455">
        <f>IF($AG455="","",Config!$B$29)</f>
        <v/>
      </c>
      <c r="Y455">
        <f>IF($AH455="","",INDEX(Calc!$I$2:$I$1601,$AH455)&amp;" - "&amp;INDEX(Calc!$D$2:$D$1601,$AH455)&amp;" koli")</f>
        <v/>
      </c>
      <c r="Z455">
        <f>IF($AG455="","",Config!$B$21)</f>
        <v/>
      </c>
      <c r="AA455">
        <f>IF($AG455="","",Config!$B$22)</f>
        <v/>
      </c>
      <c r="AB455">
        <f>IF($AH455="","",INDEX(Calc!$D$2:$D$1601,$AH455))</f>
        <v/>
      </c>
      <c r="AC455">
        <f>IF($AH455="","",INDEX(Calc!$G$2:$G$1601,$AH455))</f>
        <v/>
      </c>
      <c r="AD455">
        <f>IF($AG455="","",Config!$B$23)</f>
        <v/>
      </c>
      <c r="AE455">
        <f>IF($AG455="","",Config!$B$28)</f>
        <v/>
      </c>
      <c r="AG455">
        <f>IFERROR(MATCH(ROW()-1,Calc!$J$2:$J$1601,0),"")</f>
        <v/>
      </c>
      <c r="AH455">
        <f>IFERROR(MATCH(ROW()-1,Calc!$K$2:$K$1601,0),"")</f>
        <v/>
      </c>
      <c r="AI455">
        <f>IF($AG455="","",SUMIF($AG$2:$AG455,$AG455,$AH$2:$AH455))</f>
        <v/>
      </c>
      <c r="AJ455">
        <f>IF('TMP Paste'!$F455="","",IF('TMP Paste'!$B455="",$AJ454,'TMP Paste'!$B455))</f>
        <v/>
      </c>
      <c r="AK455">
        <f>IF('TMP Paste'!$F455="","",N('TMP Paste'!$G455))</f>
        <v/>
      </c>
      <c r="AL455">
        <f>IF('TMP Paste'!$F455="","",IF('TMP Paste'!$M455="",$AL454,'TMP Paste'!$M455))</f>
        <v/>
      </c>
      <c r="AM455">
        <f>IF('TMP Paste'!$F455="","",IF('TMP Paste'!$N455="",$AM454,'TMP Paste'!$N455))</f>
        <v/>
      </c>
      <c r="AN455">
        <f>IF('TMP Paste'!$F455="","",IF('TMP Paste'!$O455="",$AN454,'TMP Paste'!$O455))</f>
        <v/>
      </c>
      <c r="AO455">
        <f>IF('TMP Paste'!$F455="","",IF('TMP Paste'!$P455="",$AO454,'TMP Paste'!$P455))</f>
        <v/>
      </c>
      <c r="AP455">
        <f>IF($AG455="","",LEN($R455))</f>
        <v/>
      </c>
      <c r="AQ455">
        <f>IF($AG455="","",TRIM(IF(COUNTIFS(Calc!$B$2:$B$1601,ROW()-1,Calc!$C$2:$C$1601,"&lt;1")&gt;0,"Ada PO tanpa Koli - cek TMP. ","")&amp;IF(LEN($R455)&gt;500,"R &gt; 500 karakter.","")))</f>
        <v/>
      </c>
    </row>
    <row r="456">
      <c r="A456">
        <f>IF($AG456="","",INDEX('TMP Paste'!$B$2:$B$1601,$AG456))</f>
        <v/>
      </c>
      <c r="B456">
        <f>IF($AG456="","",Config!$B$14)</f>
        <v/>
      </c>
      <c r="C456">
        <f>IF($AG456="","",Config!$B$15)</f>
        <v/>
      </c>
      <c r="D456">
        <f>IF($AG456="","",INDEX('TMP Paste'!$B$2:$B$1601,$AG456))</f>
        <v/>
      </c>
      <c r="E456">
        <f>IF($AG456="","",Config!$B$27)</f>
        <v/>
      </c>
      <c r="F456">
        <f>IF($AG456="","",Config!$B$9)</f>
        <v/>
      </c>
      <c r="G456">
        <f>IF($AG456="","",Config!$B$10)</f>
        <v/>
      </c>
      <c r="H456">
        <f>IF($AG456="","",Config!$B$11)</f>
        <v/>
      </c>
      <c r="I456">
        <f>IF($AG456="","",Config!$B$16)</f>
        <v/>
      </c>
      <c r="J456">
        <f>IF($AG456="","",INDEX('TMP Paste'!$A$2:$A$1601,$AG456))</f>
        <v/>
      </c>
      <c r="K456">
        <f>IF($AG456="","",INDEX('TMP Paste'!$L$2:$L$1601,$AG456))</f>
        <v/>
      </c>
      <c r="L456">
        <f>IF($AG456="","",INDEX('TMP Paste'!$I$2:$I$1601,$AG456))</f>
        <v/>
      </c>
      <c r="M456">
        <f>IF($AG456="","",Config!$B$16)</f>
        <v/>
      </c>
      <c r="N456">
        <f>IF($AG456="","","")</f>
        <v/>
      </c>
      <c r="O456">
        <f>IF($AG456="","",INDEX('TMP Paste'!$K$2:$K$1601,$AG456))</f>
        <v/>
      </c>
      <c r="P456">
        <f>IF($AG456="","","")</f>
        <v/>
      </c>
      <c r="Q456">
        <f>IF($AG456="","",INDEX('TMP Paste'!$J$2:$J$1601,$AG456))</f>
        <v/>
      </c>
      <c r="R456">
        <f>IF($AG456="","",Config!$B$24)</f>
        <v/>
      </c>
      <c r="S456">
        <f>IF($AG456="","",TEXT(Config!$B$4,"yyyy-mm-dd"))</f>
        <v/>
      </c>
      <c r="T456">
        <f>IF($AG456="","",Config!$B$17)</f>
        <v/>
      </c>
      <c r="U456">
        <f>IF($AG456="","",Config!$B$18)</f>
        <v/>
      </c>
      <c r="V456">
        <f>IF($AG456="","",Config!$B$19)</f>
        <v/>
      </c>
      <c r="W456">
        <f>IF($AG456="","",INDEX('TMP Paste'!$C$2:$C$1601,$AG456))</f>
        <v/>
      </c>
      <c r="X456">
        <f>IF($AG456="","",Config!$B$29)</f>
        <v/>
      </c>
      <c r="Y456">
        <f>IF($AH456="","",INDEX(Calc!$I$2:$I$1601,$AH456)&amp;" - "&amp;INDEX(Calc!$D$2:$D$1601,$AH456)&amp;" koli")</f>
        <v/>
      </c>
      <c r="Z456">
        <f>IF($AG456="","",Config!$B$21)</f>
        <v/>
      </c>
      <c r="AA456">
        <f>IF($AG456="","",Config!$B$22)</f>
        <v/>
      </c>
      <c r="AB456">
        <f>IF($AH456="","",INDEX(Calc!$D$2:$D$1601,$AH456))</f>
        <v/>
      </c>
      <c r="AC456">
        <f>IF($AH456="","",INDEX(Calc!$G$2:$G$1601,$AH456))</f>
        <v/>
      </c>
      <c r="AD456">
        <f>IF($AG456="","",Config!$B$23)</f>
        <v/>
      </c>
      <c r="AE456">
        <f>IF($AG456="","",Config!$B$28)</f>
        <v/>
      </c>
      <c r="AG456">
        <f>IFERROR(MATCH(ROW()-1,Calc!$J$2:$J$1601,0),"")</f>
        <v/>
      </c>
      <c r="AH456">
        <f>IFERROR(MATCH(ROW()-1,Calc!$K$2:$K$1601,0),"")</f>
        <v/>
      </c>
      <c r="AI456">
        <f>IF($AG456="","",SUMIF($AG$2:$AG456,$AG456,$AH$2:$AH456))</f>
        <v/>
      </c>
      <c r="AJ456">
        <f>IF('TMP Paste'!$F456="","",IF('TMP Paste'!$B456="",$AJ455,'TMP Paste'!$B456))</f>
        <v/>
      </c>
      <c r="AK456">
        <f>IF('TMP Paste'!$F456="","",N('TMP Paste'!$G456))</f>
        <v/>
      </c>
      <c r="AL456">
        <f>IF('TMP Paste'!$F456="","",IF('TMP Paste'!$M456="",$AL455,'TMP Paste'!$M456))</f>
        <v/>
      </c>
      <c r="AM456">
        <f>IF('TMP Paste'!$F456="","",IF('TMP Paste'!$N456="",$AM455,'TMP Paste'!$N456))</f>
        <v/>
      </c>
      <c r="AN456">
        <f>IF('TMP Paste'!$F456="","",IF('TMP Paste'!$O456="",$AN455,'TMP Paste'!$O456))</f>
        <v/>
      </c>
      <c r="AO456">
        <f>IF('TMP Paste'!$F456="","",IF('TMP Paste'!$P456="",$AO455,'TMP Paste'!$P456))</f>
        <v/>
      </c>
      <c r="AP456">
        <f>IF($AG456="","",LEN($R456))</f>
        <v/>
      </c>
      <c r="AQ456">
        <f>IF($AG456="","",TRIM(IF(COUNTIFS(Calc!$B$2:$B$1601,ROW()-1,Calc!$C$2:$C$1601,"&lt;1")&gt;0,"Ada PO tanpa Koli - cek TMP. ","")&amp;IF(LEN($R456)&gt;500,"R &gt; 500 karakter.","")))</f>
        <v/>
      </c>
    </row>
    <row r="457">
      <c r="A457">
        <f>IF($AG457="","",INDEX('TMP Paste'!$B$2:$B$1601,$AG457))</f>
        <v/>
      </c>
      <c r="B457">
        <f>IF($AG457="","",Config!$B$14)</f>
        <v/>
      </c>
      <c r="C457">
        <f>IF($AG457="","",Config!$B$15)</f>
        <v/>
      </c>
      <c r="D457">
        <f>IF($AG457="","",INDEX('TMP Paste'!$B$2:$B$1601,$AG457))</f>
        <v/>
      </c>
      <c r="E457">
        <f>IF($AG457="","",Config!$B$27)</f>
        <v/>
      </c>
      <c r="F457">
        <f>IF($AG457="","",Config!$B$9)</f>
        <v/>
      </c>
      <c r="G457">
        <f>IF($AG457="","",Config!$B$10)</f>
        <v/>
      </c>
      <c r="H457">
        <f>IF($AG457="","",Config!$B$11)</f>
        <v/>
      </c>
      <c r="I457">
        <f>IF($AG457="","",Config!$B$16)</f>
        <v/>
      </c>
      <c r="J457">
        <f>IF($AG457="","",INDEX('TMP Paste'!$A$2:$A$1601,$AG457))</f>
        <v/>
      </c>
      <c r="K457">
        <f>IF($AG457="","",INDEX('TMP Paste'!$L$2:$L$1601,$AG457))</f>
        <v/>
      </c>
      <c r="L457">
        <f>IF($AG457="","",INDEX('TMP Paste'!$I$2:$I$1601,$AG457))</f>
        <v/>
      </c>
      <c r="M457">
        <f>IF($AG457="","",Config!$B$16)</f>
        <v/>
      </c>
      <c r="N457">
        <f>IF($AG457="","","")</f>
        <v/>
      </c>
      <c r="O457">
        <f>IF($AG457="","",INDEX('TMP Paste'!$K$2:$K$1601,$AG457))</f>
        <v/>
      </c>
      <c r="P457">
        <f>IF($AG457="","","")</f>
        <v/>
      </c>
      <c r="Q457">
        <f>IF($AG457="","",INDEX('TMP Paste'!$J$2:$J$1601,$AG457))</f>
        <v/>
      </c>
      <c r="R457">
        <f>IF($AG457="","",Config!$B$24)</f>
        <v/>
      </c>
      <c r="S457">
        <f>IF($AG457="","",TEXT(Config!$B$4,"yyyy-mm-dd"))</f>
        <v/>
      </c>
      <c r="T457">
        <f>IF($AG457="","",Config!$B$17)</f>
        <v/>
      </c>
      <c r="U457">
        <f>IF($AG457="","",Config!$B$18)</f>
        <v/>
      </c>
      <c r="V457">
        <f>IF($AG457="","",Config!$B$19)</f>
        <v/>
      </c>
      <c r="W457">
        <f>IF($AG457="","",INDEX('TMP Paste'!$C$2:$C$1601,$AG457))</f>
        <v/>
      </c>
      <c r="X457">
        <f>IF($AG457="","",Config!$B$29)</f>
        <v/>
      </c>
      <c r="Y457">
        <f>IF($AH457="","",INDEX(Calc!$I$2:$I$1601,$AH457)&amp;" - "&amp;INDEX(Calc!$D$2:$D$1601,$AH457)&amp;" koli")</f>
        <v/>
      </c>
      <c r="Z457">
        <f>IF($AG457="","",Config!$B$21)</f>
        <v/>
      </c>
      <c r="AA457">
        <f>IF($AG457="","",Config!$B$22)</f>
        <v/>
      </c>
      <c r="AB457">
        <f>IF($AH457="","",INDEX(Calc!$D$2:$D$1601,$AH457))</f>
        <v/>
      </c>
      <c r="AC457">
        <f>IF($AH457="","",INDEX(Calc!$G$2:$G$1601,$AH457))</f>
        <v/>
      </c>
      <c r="AD457">
        <f>IF($AG457="","",Config!$B$23)</f>
        <v/>
      </c>
      <c r="AE457">
        <f>IF($AG457="","",Config!$B$28)</f>
        <v/>
      </c>
      <c r="AG457">
        <f>IFERROR(MATCH(ROW()-1,Calc!$J$2:$J$1601,0),"")</f>
        <v/>
      </c>
      <c r="AH457">
        <f>IFERROR(MATCH(ROW()-1,Calc!$K$2:$K$1601,0),"")</f>
        <v/>
      </c>
      <c r="AI457">
        <f>IF($AG457="","",SUMIF($AG$2:$AG457,$AG457,$AH$2:$AH457))</f>
        <v/>
      </c>
      <c r="AJ457">
        <f>IF('TMP Paste'!$F457="","",IF('TMP Paste'!$B457="",$AJ456,'TMP Paste'!$B457))</f>
        <v/>
      </c>
      <c r="AK457">
        <f>IF('TMP Paste'!$F457="","",N('TMP Paste'!$G457))</f>
        <v/>
      </c>
      <c r="AL457">
        <f>IF('TMP Paste'!$F457="","",IF('TMP Paste'!$M457="",$AL456,'TMP Paste'!$M457))</f>
        <v/>
      </c>
      <c r="AM457">
        <f>IF('TMP Paste'!$F457="","",IF('TMP Paste'!$N457="",$AM456,'TMP Paste'!$N457))</f>
        <v/>
      </c>
      <c r="AN457">
        <f>IF('TMP Paste'!$F457="","",IF('TMP Paste'!$O457="",$AN456,'TMP Paste'!$O457))</f>
        <v/>
      </c>
      <c r="AO457">
        <f>IF('TMP Paste'!$F457="","",IF('TMP Paste'!$P457="",$AO456,'TMP Paste'!$P457))</f>
        <v/>
      </c>
      <c r="AP457">
        <f>IF($AG457="","",LEN($R457))</f>
        <v/>
      </c>
      <c r="AQ457">
        <f>IF($AG457="","",TRIM(IF(COUNTIFS(Calc!$B$2:$B$1601,ROW()-1,Calc!$C$2:$C$1601,"&lt;1")&gt;0,"Ada PO tanpa Koli - cek TMP. ","")&amp;IF(LEN($R457)&gt;500,"R &gt; 500 karakter.","")))</f>
        <v/>
      </c>
    </row>
    <row r="458">
      <c r="A458">
        <f>IF($AG458="","",INDEX('TMP Paste'!$B$2:$B$1601,$AG458))</f>
        <v/>
      </c>
      <c r="B458">
        <f>IF($AG458="","",Config!$B$14)</f>
        <v/>
      </c>
      <c r="C458">
        <f>IF($AG458="","",Config!$B$15)</f>
        <v/>
      </c>
      <c r="D458">
        <f>IF($AG458="","",INDEX('TMP Paste'!$B$2:$B$1601,$AG458))</f>
        <v/>
      </c>
      <c r="E458">
        <f>IF($AG458="","",Config!$B$27)</f>
        <v/>
      </c>
      <c r="F458">
        <f>IF($AG458="","",Config!$B$9)</f>
        <v/>
      </c>
      <c r="G458">
        <f>IF($AG458="","",Config!$B$10)</f>
        <v/>
      </c>
      <c r="H458">
        <f>IF($AG458="","",Config!$B$11)</f>
        <v/>
      </c>
      <c r="I458">
        <f>IF($AG458="","",Config!$B$16)</f>
        <v/>
      </c>
      <c r="J458">
        <f>IF($AG458="","",INDEX('TMP Paste'!$A$2:$A$1601,$AG458))</f>
        <v/>
      </c>
      <c r="K458">
        <f>IF($AG458="","",INDEX('TMP Paste'!$L$2:$L$1601,$AG458))</f>
        <v/>
      </c>
      <c r="L458">
        <f>IF($AG458="","",INDEX('TMP Paste'!$I$2:$I$1601,$AG458))</f>
        <v/>
      </c>
      <c r="M458">
        <f>IF($AG458="","",Config!$B$16)</f>
        <v/>
      </c>
      <c r="N458">
        <f>IF($AG458="","","")</f>
        <v/>
      </c>
      <c r="O458">
        <f>IF($AG458="","",INDEX('TMP Paste'!$K$2:$K$1601,$AG458))</f>
        <v/>
      </c>
      <c r="P458">
        <f>IF($AG458="","","")</f>
        <v/>
      </c>
      <c r="Q458">
        <f>IF($AG458="","",INDEX('TMP Paste'!$J$2:$J$1601,$AG458))</f>
        <v/>
      </c>
      <c r="R458">
        <f>IF($AG458="","",Config!$B$24)</f>
        <v/>
      </c>
      <c r="S458">
        <f>IF($AG458="","",TEXT(Config!$B$4,"yyyy-mm-dd"))</f>
        <v/>
      </c>
      <c r="T458">
        <f>IF($AG458="","",Config!$B$17)</f>
        <v/>
      </c>
      <c r="U458">
        <f>IF($AG458="","",Config!$B$18)</f>
        <v/>
      </c>
      <c r="V458">
        <f>IF($AG458="","",Config!$B$19)</f>
        <v/>
      </c>
      <c r="W458">
        <f>IF($AG458="","",INDEX('TMP Paste'!$C$2:$C$1601,$AG458))</f>
        <v/>
      </c>
      <c r="X458">
        <f>IF($AG458="","",Config!$B$29)</f>
        <v/>
      </c>
      <c r="Y458">
        <f>IF($AH458="","",INDEX(Calc!$I$2:$I$1601,$AH458)&amp;" - "&amp;INDEX(Calc!$D$2:$D$1601,$AH458)&amp;" koli")</f>
        <v/>
      </c>
      <c r="Z458">
        <f>IF($AG458="","",Config!$B$21)</f>
        <v/>
      </c>
      <c r="AA458">
        <f>IF($AG458="","",Config!$B$22)</f>
        <v/>
      </c>
      <c r="AB458">
        <f>IF($AH458="","",INDEX(Calc!$D$2:$D$1601,$AH458))</f>
        <v/>
      </c>
      <c r="AC458">
        <f>IF($AH458="","",INDEX(Calc!$G$2:$G$1601,$AH458))</f>
        <v/>
      </c>
      <c r="AD458">
        <f>IF($AG458="","",Config!$B$23)</f>
        <v/>
      </c>
      <c r="AE458">
        <f>IF($AG458="","",Config!$B$28)</f>
        <v/>
      </c>
      <c r="AG458">
        <f>IFERROR(MATCH(ROW()-1,Calc!$J$2:$J$1601,0),"")</f>
        <v/>
      </c>
      <c r="AH458">
        <f>IFERROR(MATCH(ROW()-1,Calc!$K$2:$K$1601,0),"")</f>
        <v/>
      </c>
      <c r="AI458">
        <f>IF($AG458="","",SUMIF($AG$2:$AG458,$AG458,$AH$2:$AH458))</f>
        <v/>
      </c>
      <c r="AJ458">
        <f>IF('TMP Paste'!$F458="","",IF('TMP Paste'!$B458="",$AJ457,'TMP Paste'!$B458))</f>
        <v/>
      </c>
      <c r="AK458">
        <f>IF('TMP Paste'!$F458="","",N('TMP Paste'!$G458))</f>
        <v/>
      </c>
      <c r="AL458">
        <f>IF('TMP Paste'!$F458="","",IF('TMP Paste'!$M458="",$AL457,'TMP Paste'!$M458))</f>
        <v/>
      </c>
      <c r="AM458">
        <f>IF('TMP Paste'!$F458="","",IF('TMP Paste'!$N458="",$AM457,'TMP Paste'!$N458))</f>
        <v/>
      </c>
      <c r="AN458">
        <f>IF('TMP Paste'!$F458="","",IF('TMP Paste'!$O458="",$AN457,'TMP Paste'!$O458))</f>
        <v/>
      </c>
      <c r="AO458">
        <f>IF('TMP Paste'!$F458="","",IF('TMP Paste'!$P458="",$AO457,'TMP Paste'!$P458))</f>
        <v/>
      </c>
      <c r="AP458">
        <f>IF($AG458="","",LEN($R458))</f>
        <v/>
      </c>
      <c r="AQ458">
        <f>IF($AG458="","",TRIM(IF(COUNTIFS(Calc!$B$2:$B$1601,ROW()-1,Calc!$C$2:$C$1601,"&lt;1")&gt;0,"Ada PO tanpa Koli - cek TMP. ","")&amp;IF(LEN($R458)&gt;500,"R &gt; 500 karakter.","")))</f>
        <v/>
      </c>
    </row>
    <row r="459">
      <c r="A459">
        <f>IF($AG459="","",INDEX('TMP Paste'!$B$2:$B$1601,$AG459))</f>
        <v/>
      </c>
      <c r="B459">
        <f>IF($AG459="","",Config!$B$14)</f>
        <v/>
      </c>
      <c r="C459">
        <f>IF($AG459="","",Config!$B$15)</f>
        <v/>
      </c>
      <c r="D459">
        <f>IF($AG459="","",INDEX('TMP Paste'!$B$2:$B$1601,$AG459))</f>
        <v/>
      </c>
      <c r="E459">
        <f>IF($AG459="","",Config!$B$27)</f>
        <v/>
      </c>
      <c r="F459">
        <f>IF($AG459="","",Config!$B$9)</f>
        <v/>
      </c>
      <c r="G459">
        <f>IF($AG459="","",Config!$B$10)</f>
        <v/>
      </c>
      <c r="H459">
        <f>IF($AG459="","",Config!$B$11)</f>
        <v/>
      </c>
      <c r="I459">
        <f>IF($AG459="","",Config!$B$16)</f>
        <v/>
      </c>
      <c r="J459">
        <f>IF($AG459="","",INDEX('TMP Paste'!$A$2:$A$1601,$AG459))</f>
        <v/>
      </c>
      <c r="K459">
        <f>IF($AG459="","",INDEX('TMP Paste'!$L$2:$L$1601,$AG459))</f>
        <v/>
      </c>
      <c r="L459">
        <f>IF($AG459="","",INDEX('TMP Paste'!$I$2:$I$1601,$AG459))</f>
        <v/>
      </c>
      <c r="M459">
        <f>IF($AG459="","",Config!$B$16)</f>
        <v/>
      </c>
      <c r="N459">
        <f>IF($AG459="","","")</f>
        <v/>
      </c>
      <c r="O459">
        <f>IF($AG459="","",INDEX('TMP Paste'!$K$2:$K$1601,$AG459))</f>
        <v/>
      </c>
      <c r="P459">
        <f>IF($AG459="","","")</f>
        <v/>
      </c>
      <c r="Q459">
        <f>IF($AG459="","",INDEX('TMP Paste'!$J$2:$J$1601,$AG459))</f>
        <v/>
      </c>
      <c r="R459">
        <f>IF($AG459="","",Config!$B$24)</f>
        <v/>
      </c>
      <c r="S459">
        <f>IF($AG459="","",TEXT(Config!$B$4,"yyyy-mm-dd"))</f>
        <v/>
      </c>
      <c r="T459">
        <f>IF($AG459="","",Config!$B$17)</f>
        <v/>
      </c>
      <c r="U459">
        <f>IF($AG459="","",Config!$B$18)</f>
        <v/>
      </c>
      <c r="V459">
        <f>IF($AG459="","",Config!$B$19)</f>
        <v/>
      </c>
      <c r="W459">
        <f>IF($AG459="","",INDEX('TMP Paste'!$C$2:$C$1601,$AG459))</f>
        <v/>
      </c>
      <c r="X459">
        <f>IF($AG459="","",Config!$B$29)</f>
        <v/>
      </c>
      <c r="Y459">
        <f>IF($AH459="","",INDEX(Calc!$I$2:$I$1601,$AH459)&amp;" - "&amp;INDEX(Calc!$D$2:$D$1601,$AH459)&amp;" koli")</f>
        <v/>
      </c>
      <c r="Z459">
        <f>IF($AG459="","",Config!$B$21)</f>
        <v/>
      </c>
      <c r="AA459">
        <f>IF($AG459="","",Config!$B$22)</f>
        <v/>
      </c>
      <c r="AB459">
        <f>IF($AH459="","",INDEX(Calc!$D$2:$D$1601,$AH459))</f>
        <v/>
      </c>
      <c r="AC459">
        <f>IF($AH459="","",INDEX(Calc!$G$2:$G$1601,$AH459))</f>
        <v/>
      </c>
      <c r="AD459">
        <f>IF($AG459="","",Config!$B$23)</f>
        <v/>
      </c>
      <c r="AE459">
        <f>IF($AG459="","",Config!$B$28)</f>
        <v/>
      </c>
      <c r="AG459">
        <f>IFERROR(MATCH(ROW()-1,Calc!$J$2:$J$1601,0),"")</f>
        <v/>
      </c>
      <c r="AH459">
        <f>IFERROR(MATCH(ROW()-1,Calc!$K$2:$K$1601,0),"")</f>
        <v/>
      </c>
      <c r="AI459">
        <f>IF($AG459="","",SUMIF($AG$2:$AG459,$AG459,$AH$2:$AH459))</f>
        <v/>
      </c>
      <c r="AJ459">
        <f>IF('TMP Paste'!$F459="","",IF('TMP Paste'!$B459="",$AJ458,'TMP Paste'!$B459))</f>
        <v/>
      </c>
      <c r="AK459">
        <f>IF('TMP Paste'!$F459="","",N('TMP Paste'!$G459))</f>
        <v/>
      </c>
      <c r="AL459">
        <f>IF('TMP Paste'!$F459="","",IF('TMP Paste'!$M459="",$AL458,'TMP Paste'!$M459))</f>
        <v/>
      </c>
      <c r="AM459">
        <f>IF('TMP Paste'!$F459="","",IF('TMP Paste'!$N459="",$AM458,'TMP Paste'!$N459))</f>
        <v/>
      </c>
      <c r="AN459">
        <f>IF('TMP Paste'!$F459="","",IF('TMP Paste'!$O459="",$AN458,'TMP Paste'!$O459))</f>
        <v/>
      </c>
      <c r="AO459">
        <f>IF('TMP Paste'!$F459="","",IF('TMP Paste'!$P459="",$AO458,'TMP Paste'!$P459))</f>
        <v/>
      </c>
      <c r="AP459">
        <f>IF($AG459="","",LEN($R459))</f>
        <v/>
      </c>
      <c r="AQ459">
        <f>IF($AG459="","",TRIM(IF(COUNTIFS(Calc!$B$2:$B$1601,ROW()-1,Calc!$C$2:$C$1601,"&lt;1")&gt;0,"Ada PO tanpa Koli - cek TMP. ","")&amp;IF(LEN($R459)&gt;500,"R &gt; 500 karakter.","")))</f>
        <v/>
      </c>
    </row>
    <row r="460">
      <c r="A460">
        <f>IF($AG460="","",INDEX('TMP Paste'!$B$2:$B$1601,$AG460))</f>
        <v/>
      </c>
      <c r="B460">
        <f>IF($AG460="","",Config!$B$14)</f>
        <v/>
      </c>
      <c r="C460">
        <f>IF($AG460="","",Config!$B$15)</f>
        <v/>
      </c>
      <c r="D460">
        <f>IF($AG460="","",INDEX('TMP Paste'!$B$2:$B$1601,$AG460))</f>
        <v/>
      </c>
      <c r="E460">
        <f>IF($AG460="","",Config!$B$27)</f>
        <v/>
      </c>
      <c r="F460">
        <f>IF($AG460="","",Config!$B$9)</f>
        <v/>
      </c>
      <c r="G460">
        <f>IF($AG460="","",Config!$B$10)</f>
        <v/>
      </c>
      <c r="H460">
        <f>IF($AG460="","",Config!$B$11)</f>
        <v/>
      </c>
      <c r="I460">
        <f>IF($AG460="","",Config!$B$16)</f>
        <v/>
      </c>
      <c r="J460">
        <f>IF($AG460="","",INDEX('TMP Paste'!$A$2:$A$1601,$AG460))</f>
        <v/>
      </c>
      <c r="K460">
        <f>IF($AG460="","",INDEX('TMP Paste'!$L$2:$L$1601,$AG460))</f>
        <v/>
      </c>
      <c r="L460">
        <f>IF($AG460="","",INDEX('TMP Paste'!$I$2:$I$1601,$AG460))</f>
        <v/>
      </c>
      <c r="M460">
        <f>IF($AG460="","",Config!$B$16)</f>
        <v/>
      </c>
      <c r="N460">
        <f>IF($AG460="","","")</f>
        <v/>
      </c>
      <c r="O460">
        <f>IF($AG460="","",INDEX('TMP Paste'!$K$2:$K$1601,$AG460))</f>
        <v/>
      </c>
      <c r="P460">
        <f>IF($AG460="","","")</f>
        <v/>
      </c>
      <c r="Q460">
        <f>IF($AG460="","",INDEX('TMP Paste'!$J$2:$J$1601,$AG460))</f>
        <v/>
      </c>
      <c r="R460">
        <f>IF($AG460="","",Config!$B$24)</f>
        <v/>
      </c>
      <c r="S460">
        <f>IF($AG460="","",TEXT(Config!$B$4,"yyyy-mm-dd"))</f>
        <v/>
      </c>
      <c r="T460">
        <f>IF($AG460="","",Config!$B$17)</f>
        <v/>
      </c>
      <c r="U460">
        <f>IF($AG460="","",Config!$B$18)</f>
        <v/>
      </c>
      <c r="V460">
        <f>IF($AG460="","",Config!$B$19)</f>
        <v/>
      </c>
      <c r="W460">
        <f>IF($AG460="","",INDEX('TMP Paste'!$C$2:$C$1601,$AG460))</f>
        <v/>
      </c>
      <c r="X460">
        <f>IF($AG460="","",Config!$B$29)</f>
        <v/>
      </c>
      <c r="Y460">
        <f>IF($AH460="","",INDEX(Calc!$I$2:$I$1601,$AH460)&amp;" - "&amp;INDEX(Calc!$D$2:$D$1601,$AH460)&amp;" koli")</f>
        <v/>
      </c>
      <c r="Z460">
        <f>IF($AG460="","",Config!$B$21)</f>
        <v/>
      </c>
      <c r="AA460">
        <f>IF($AG460="","",Config!$B$22)</f>
        <v/>
      </c>
      <c r="AB460">
        <f>IF($AH460="","",INDEX(Calc!$D$2:$D$1601,$AH460))</f>
        <v/>
      </c>
      <c r="AC460">
        <f>IF($AH460="","",INDEX(Calc!$G$2:$G$1601,$AH460))</f>
        <v/>
      </c>
      <c r="AD460">
        <f>IF($AG460="","",Config!$B$23)</f>
        <v/>
      </c>
      <c r="AE460">
        <f>IF($AG460="","",Config!$B$28)</f>
        <v/>
      </c>
      <c r="AG460">
        <f>IFERROR(MATCH(ROW()-1,Calc!$J$2:$J$1601,0),"")</f>
        <v/>
      </c>
      <c r="AH460">
        <f>IFERROR(MATCH(ROW()-1,Calc!$K$2:$K$1601,0),"")</f>
        <v/>
      </c>
      <c r="AI460">
        <f>IF($AG460="","",SUMIF($AG$2:$AG460,$AG460,$AH$2:$AH460))</f>
        <v/>
      </c>
      <c r="AJ460">
        <f>IF('TMP Paste'!$F460="","",IF('TMP Paste'!$B460="",$AJ459,'TMP Paste'!$B460))</f>
        <v/>
      </c>
      <c r="AK460">
        <f>IF('TMP Paste'!$F460="","",N('TMP Paste'!$G460))</f>
        <v/>
      </c>
      <c r="AL460">
        <f>IF('TMP Paste'!$F460="","",IF('TMP Paste'!$M460="",$AL459,'TMP Paste'!$M460))</f>
        <v/>
      </c>
      <c r="AM460">
        <f>IF('TMP Paste'!$F460="","",IF('TMP Paste'!$N460="",$AM459,'TMP Paste'!$N460))</f>
        <v/>
      </c>
      <c r="AN460">
        <f>IF('TMP Paste'!$F460="","",IF('TMP Paste'!$O460="",$AN459,'TMP Paste'!$O460))</f>
        <v/>
      </c>
      <c r="AO460">
        <f>IF('TMP Paste'!$F460="","",IF('TMP Paste'!$P460="",$AO459,'TMP Paste'!$P460))</f>
        <v/>
      </c>
      <c r="AP460">
        <f>IF($AG460="","",LEN($R460))</f>
        <v/>
      </c>
      <c r="AQ460">
        <f>IF($AG460="","",TRIM(IF(COUNTIFS(Calc!$B$2:$B$1601,ROW()-1,Calc!$C$2:$C$1601,"&lt;1")&gt;0,"Ada PO tanpa Koli - cek TMP. ","")&amp;IF(LEN($R460)&gt;500,"R &gt; 500 karakter.","")))</f>
        <v/>
      </c>
    </row>
    <row r="461">
      <c r="A461">
        <f>IF($AG461="","",INDEX('TMP Paste'!$B$2:$B$1601,$AG461))</f>
        <v/>
      </c>
      <c r="B461">
        <f>IF($AG461="","",Config!$B$14)</f>
        <v/>
      </c>
      <c r="C461">
        <f>IF($AG461="","",Config!$B$15)</f>
        <v/>
      </c>
      <c r="D461">
        <f>IF($AG461="","",INDEX('TMP Paste'!$B$2:$B$1601,$AG461))</f>
        <v/>
      </c>
      <c r="E461">
        <f>IF($AG461="","",Config!$B$27)</f>
        <v/>
      </c>
      <c r="F461">
        <f>IF($AG461="","",Config!$B$9)</f>
        <v/>
      </c>
      <c r="G461">
        <f>IF($AG461="","",Config!$B$10)</f>
        <v/>
      </c>
      <c r="H461">
        <f>IF($AG461="","",Config!$B$11)</f>
        <v/>
      </c>
      <c r="I461">
        <f>IF($AG461="","",Config!$B$16)</f>
        <v/>
      </c>
      <c r="J461">
        <f>IF($AG461="","",INDEX('TMP Paste'!$A$2:$A$1601,$AG461))</f>
        <v/>
      </c>
      <c r="K461">
        <f>IF($AG461="","",INDEX('TMP Paste'!$L$2:$L$1601,$AG461))</f>
        <v/>
      </c>
      <c r="L461">
        <f>IF($AG461="","",INDEX('TMP Paste'!$I$2:$I$1601,$AG461))</f>
        <v/>
      </c>
      <c r="M461">
        <f>IF($AG461="","",Config!$B$16)</f>
        <v/>
      </c>
      <c r="N461">
        <f>IF($AG461="","","")</f>
        <v/>
      </c>
      <c r="O461">
        <f>IF($AG461="","",INDEX('TMP Paste'!$K$2:$K$1601,$AG461))</f>
        <v/>
      </c>
      <c r="P461">
        <f>IF($AG461="","","")</f>
        <v/>
      </c>
      <c r="Q461">
        <f>IF($AG461="","",INDEX('TMP Paste'!$J$2:$J$1601,$AG461))</f>
        <v/>
      </c>
      <c r="R461">
        <f>IF($AG461="","",Config!$B$24)</f>
        <v/>
      </c>
      <c r="S461">
        <f>IF($AG461="","",TEXT(Config!$B$4,"yyyy-mm-dd"))</f>
        <v/>
      </c>
      <c r="T461">
        <f>IF($AG461="","",Config!$B$17)</f>
        <v/>
      </c>
      <c r="U461">
        <f>IF($AG461="","",Config!$B$18)</f>
        <v/>
      </c>
      <c r="V461">
        <f>IF($AG461="","",Config!$B$19)</f>
        <v/>
      </c>
      <c r="W461">
        <f>IF($AG461="","",INDEX('TMP Paste'!$C$2:$C$1601,$AG461))</f>
        <v/>
      </c>
      <c r="X461">
        <f>IF($AG461="","",Config!$B$29)</f>
        <v/>
      </c>
      <c r="Y461">
        <f>IF($AH461="","",INDEX(Calc!$I$2:$I$1601,$AH461)&amp;" - "&amp;INDEX(Calc!$D$2:$D$1601,$AH461)&amp;" koli")</f>
        <v/>
      </c>
      <c r="Z461">
        <f>IF($AG461="","",Config!$B$21)</f>
        <v/>
      </c>
      <c r="AA461">
        <f>IF($AG461="","",Config!$B$22)</f>
        <v/>
      </c>
      <c r="AB461">
        <f>IF($AH461="","",INDEX(Calc!$D$2:$D$1601,$AH461))</f>
        <v/>
      </c>
      <c r="AC461">
        <f>IF($AH461="","",INDEX(Calc!$G$2:$G$1601,$AH461))</f>
        <v/>
      </c>
      <c r="AD461">
        <f>IF($AG461="","",Config!$B$23)</f>
        <v/>
      </c>
      <c r="AE461">
        <f>IF($AG461="","",Config!$B$28)</f>
        <v/>
      </c>
      <c r="AG461">
        <f>IFERROR(MATCH(ROW()-1,Calc!$J$2:$J$1601,0),"")</f>
        <v/>
      </c>
      <c r="AH461">
        <f>IFERROR(MATCH(ROW()-1,Calc!$K$2:$K$1601,0),"")</f>
        <v/>
      </c>
      <c r="AI461">
        <f>IF($AG461="","",SUMIF($AG$2:$AG461,$AG461,$AH$2:$AH461))</f>
        <v/>
      </c>
      <c r="AJ461">
        <f>IF('TMP Paste'!$F461="","",IF('TMP Paste'!$B461="",$AJ460,'TMP Paste'!$B461))</f>
        <v/>
      </c>
      <c r="AK461">
        <f>IF('TMP Paste'!$F461="","",N('TMP Paste'!$G461))</f>
        <v/>
      </c>
      <c r="AL461">
        <f>IF('TMP Paste'!$F461="","",IF('TMP Paste'!$M461="",$AL460,'TMP Paste'!$M461))</f>
        <v/>
      </c>
      <c r="AM461">
        <f>IF('TMP Paste'!$F461="","",IF('TMP Paste'!$N461="",$AM460,'TMP Paste'!$N461))</f>
        <v/>
      </c>
      <c r="AN461">
        <f>IF('TMP Paste'!$F461="","",IF('TMP Paste'!$O461="",$AN460,'TMP Paste'!$O461))</f>
        <v/>
      </c>
      <c r="AO461">
        <f>IF('TMP Paste'!$F461="","",IF('TMP Paste'!$P461="",$AO460,'TMP Paste'!$P461))</f>
        <v/>
      </c>
      <c r="AP461">
        <f>IF($AG461="","",LEN($R461))</f>
        <v/>
      </c>
      <c r="AQ461">
        <f>IF($AG461="","",TRIM(IF(COUNTIFS(Calc!$B$2:$B$1601,ROW()-1,Calc!$C$2:$C$1601,"&lt;1")&gt;0,"Ada PO tanpa Koli - cek TMP. ","")&amp;IF(LEN($R461)&gt;500,"R &gt; 500 karakter.","")))</f>
        <v/>
      </c>
    </row>
    <row r="462">
      <c r="A462">
        <f>IF($AG462="","",INDEX('TMP Paste'!$B$2:$B$1601,$AG462))</f>
        <v/>
      </c>
      <c r="B462">
        <f>IF($AG462="","",Config!$B$14)</f>
        <v/>
      </c>
      <c r="C462">
        <f>IF($AG462="","",Config!$B$15)</f>
        <v/>
      </c>
      <c r="D462">
        <f>IF($AG462="","",INDEX('TMP Paste'!$B$2:$B$1601,$AG462))</f>
        <v/>
      </c>
      <c r="E462">
        <f>IF($AG462="","",Config!$B$27)</f>
        <v/>
      </c>
      <c r="F462">
        <f>IF($AG462="","",Config!$B$9)</f>
        <v/>
      </c>
      <c r="G462">
        <f>IF($AG462="","",Config!$B$10)</f>
        <v/>
      </c>
      <c r="H462">
        <f>IF($AG462="","",Config!$B$11)</f>
        <v/>
      </c>
      <c r="I462">
        <f>IF($AG462="","",Config!$B$16)</f>
        <v/>
      </c>
      <c r="J462">
        <f>IF($AG462="","",INDEX('TMP Paste'!$A$2:$A$1601,$AG462))</f>
        <v/>
      </c>
      <c r="K462">
        <f>IF($AG462="","",INDEX('TMP Paste'!$L$2:$L$1601,$AG462))</f>
        <v/>
      </c>
      <c r="L462">
        <f>IF($AG462="","",INDEX('TMP Paste'!$I$2:$I$1601,$AG462))</f>
        <v/>
      </c>
      <c r="M462">
        <f>IF($AG462="","",Config!$B$16)</f>
        <v/>
      </c>
      <c r="N462">
        <f>IF($AG462="","","")</f>
        <v/>
      </c>
      <c r="O462">
        <f>IF($AG462="","",INDEX('TMP Paste'!$K$2:$K$1601,$AG462))</f>
        <v/>
      </c>
      <c r="P462">
        <f>IF($AG462="","","")</f>
        <v/>
      </c>
      <c r="Q462">
        <f>IF($AG462="","",INDEX('TMP Paste'!$J$2:$J$1601,$AG462))</f>
        <v/>
      </c>
      <c r="R462">
        <f>IF($AG462="","",Config!$B$24)</f>
        <v/>
      </c>
      <c r="S462">
        <f>IF($AG462="","",TEXT(Config!$B$4,"yyyy-mm-dd"))</f>
        <v/>
      </c>
      <c r="T462">
        <f>IF($AG462="","",Config!$B$17)</f>
        <v/>
      </c>
      <c r="U462">
        <f>IF($AG462="","",Config!$B$18)</f>
        <v/>
      </c>
      <c r="V462">
        <f>IF($AG462="","",Config!$B$19)</f>
        <v/>
      </c>
      <c r="W462">
        <f>IF($AG462="","",INDEX('TMP Paste'!$C$2:$C$1601,$AG462))</f>
        <v/>
      </c>
      <c r="X462">
        <f>IF($AG462="","",Config!$B$29)</f>
        <v/>
      </c>
      <c r="Y462">
        <f>IF($AH462="","",INDEX(Calc!$I$2:$I$1601,$AH462)&amp;" - "&amp;INDEX(Calc!$D$2:$D$1601,$AH462)&amp;" koli")</f>
        <v/>
      </c>
      <c r="Z462">
        <f>IF($AG462="","",Config!$B$21)</f>
        <v/>
      </c>
      <c r="AA462">
        <f>IF($AG462="","",Config!$B$22)</f>
        <v/>
      </c>
      <c r="AB462">
        <f>IF($AH462="","",INDEX(Calc!$D$2:$D$1601,$AH462))</f>
        <v/>
      </c>
      <c r="AC462">
        <f>IF($AH462="","",INDEX(Calc!$G$2:$G$1601,$AH462))</f>
        <v/>
      </c>
      <c r="AD462">
        <f>IF($AG462="","",Config!$B$23)</f>
        <v/>
      </c>
      <c r="AE462">
        <f>IF($AG462="","",Config!$B$28)</f>
        <v/>
      </c>
      <c r="AG462">
        <f>IFERROR(MATCH(ROW()-1,Calc!$J$2:$J$1601,0),"")</f>
        <v/>
      </c>
      <c r="AH462">
        <f>IFERROR(MATCH(ROW()-1,Calc!$K$2:$K$1601,0),"")</f>
        <v/>
      </c>
      <c r="AI462">
        <f>IF($AG462="","",SUMIF($AG$2:$AG462,$AG462,$AH$2:$AH462))</f>
        <v/>
      </c>
      <c r="AJ462">
        <f>IF('TMP Paste'!$F462="","",IF('TMP Paste'!$B462="",$AJ461,'TMP Paste'!$B462))</f>
        <v/>
      </c>
      <c r="AK462">
        <f>IF('TMP Paste'!$F462="","",N('TMP Paste'!$G462))</f>
        <v/>
      </c>
      <c r="AL462">
        <f>IF('TMP Paste'!$F462="","",IF('TMP Paste'!$M462="",$AL461,'TMP Paste'!$M462))</f>
        <v/>
      </c>
      <c r="AM462">
        <f>IF('TMP Paste'!$F462="","",IF('TMP Paste'!$N462="",$AM461,'TMP Paste'!$N462))</f>
        <v/>
      </c>
      <c r="AN462">
        <f>IF('TMP Paste'!$F462="","",IF('TMP Paste'!$O462="",$AN461,'TMP Paste'!$O462))</f>
        <v/>
      </c>
      <c r="AO462">
        <f>IF('TMP Paste'!$F462="","",IF('TMP Paste'!$P462="",$AO461,'TMP Paste'!$P462))</f>
        <v/>
      </c>
      <c r="AP462">
        <f>IF($AG462="","",LEN($R462))</f>
        <v/>
      </c>
      <c r="AQ462">
        <f>IF($AG462="","",TRIM(IF(COUNTIFS(Calc!$B$2:$B$1601,ROW()-1,Calc!$C$2:$C$1601,"&lt;1")&gt;0,"Ada PO tanpa Koli - cek TMP. ","")&amp;IF(LEN($R462)&gt;500,"R &gt; 500 karakter.","")))</f>
        <v/>
      </c>
    </row>
    <row r="463">
      <c r="A463">
        <f>IF($AG463="","",INDEX('TMP Paste'!$B$2:$B$1601,$AG463))</f>
        <v/>
      </c>
      <c r="B463">
        <f>IF($AG463="","",Config!$B$14)</f>
        <v/>
      </c>
      <c r="C463">
        <f>IF($AG463="","",Config!$B$15)</f>
        <v/>
      </c>
      <c r="D463">
        <f>IF($AG463="","",INDEX('TMP Paste'!$B$2:$B$1601,$AG463))</f>
        <v/>
      </c>
      <c r="E463">
        <f>IF($AG463="","",Config!$B$27)</f>
        <v/>
      </c>
      <c r="F463">
        <f>IF($AG463="","",Config!$B$9)</f>
        <v/>
      </c>
      <c r="G463">
        <f>IF($AG463="","",Config!$B$10)</f>
        <v/>
      </c>
      <c r="H463">
        <f>IF($AG463="","",Config!$B$11)</f>
        <v/>
      </c>
      <c r="I463">
        <f>IF($AG463="","",Config!$B$16)</f>
        <v/>
      </c>
      <c r="J463">
        <f>IF($AG463="","",INDEX('TMP Paste'!$A$2:$A$1601,$AG463))</f>
        <v/>
      </c>
      <c r="K463">
        <f>IF($AG463="","",INDEX('TMP Paste'!$L$2:$L$1601,$AG463))</f>
        <v/>
      </c>
      <c r="L463">
        <f>IF($AG463="","",INDEX('TMP Paste'!$I$2:$I$1601,$AG463))</f>
        <v/>
      </c>
      <c r="M463">
        <f>IF($AG463="","",Config!$B$16)</f>
        <v/>
      </c>
      <c r="N463">
        <f>IF($AG463="","","")</f>
        <v/>
      </c>
      <c r="O463">
        <f>IF($AG463="","",INDEX('TMP Paste'!$K$2:$K$1601,$AG463))</f>
        <v/>
      </c>
      <c r="P463">
        <f>IF($AG463="","","")</f>
        <v/>
      </c>
      <c r="Q463">
        <f>IF($AG463="","",INDEX('TMP Paste'!$J$2:$J$1601,$AG463))</f>
        <v/>
      </c>
      <c r="R463">
        <f>IF($AG463="","",Config!$B$24)</f>
        <v/>
      </c>
      <c r="S463">
        <f>IF($AG463="","",TEXT(Config!$B$4,"yyyy-mm-dd"))</f>
        <v/>
      </c>
      <c r="T463">
        <f>IF($AG463="","",Config!$B$17)</f>
        <v/>
      </c>
      <c r="U463">
        <f>IF($AG463="","",Config!$B$18)</f>
        <v/>
      </c>
      <c r="V463">
        <f>IF($AG463="","",Config!$B$19)</f>
        <v/>
      </c>
      <c r="W463">
        <f>IF($AG463="","",INDEX('TMP Paste'!$C$2:$C$1601,$AG463))</f>
        <v/>
      </c>
      <c r="X463">
        <f>IF($AG463="","",Config!$B$29)</f>
        <v/>
      </c>
      <c r="Y463">
        <f>IF($AH463="","",INDEX(Calc!$I$2:$I$1601,$AH463)&amp;" - "&amp;INDEX(Calc!$D$2:$D$1601,$AH463)&amp;" koli")</f>
        <v/>
      </c>
      <c r="Z463">
        <f>IF($AG463="","",Config!$B$21)</f>
        <v/>
      </c>
      <c r="AA463">
        <f>IF($AG463="","",Config!$B$22)</f>
        <v/>
      </c>
      <c r="AB463">
        <f>IF($AH463="","",INDEX(Calc!$D$2:$D$1601,$AH463))</f>
        <v/>
      </c>
      <c r="AC463">
        <f>IF($AH463="","",INDEX(Calc!$G$2:$G$1601,$AH463))</f>
        <v/>
      </c>
      <c r="AD463">
        <f>IF($AG463="","",Config!$B$23)</f>
        <v/>
      </c>
      <c r="AE463">
        <f>IF($AG463="","",Config!$B$28)</f>
        <v/>
      </c>
      <c r="AG463">
        <f>IFERROR(MATCH(ROW()-1,Calc!$J$2:$J$1601,0),"")</f>
        <v/>
      </c>
      <c r="AH463">
        <f>IFERROR(MATCH(ROW()-1,Calc!$K$2:$K$1601,0),"")</f>
        <v/>
      </c>
      <c r="AI463">
        <f>IF($AG463="","",SUMIF($AG$2:$AG463,$AG463,$AH$2:$AH463))</f>
        <v/>
      </c>
      <c r="AJ463">
        <f>IF('TMP Paste'!$F463="","",IF('TMP Paste'!$B463="",$AJ462,'TMP Paste'!$B463))</f>
        <v/>
      </c>
      <c r="AK463">
        <f>IF('TMP Paste'!$F463="","",N('TMP Paste'!$G463))</f>
        <v/>
      </c>
      <c r="AL463">
        <f>IF('TMP Paste'!$F463="","",IF('TMP Paste'!$M463="",$AL462,'TMP Paste'!$M463))</f>
        <v/>
      </c>
      <c r="AM463">
        <f>IF('TMP Paste'!$F463="","",IF('TMP Paste'!$N463="",$AM462,'TMP Paste'!$N463))</f>
        <v/>
      </c>
      <c r="AN463">
        <f>IF('TMP Paste'!$F463="","",IF('TMP Paste'!$O463="",$AN462,'TMP Paste'!$O463))</f>
        <v/>
      </c>
      <c r="AO463">
        <f>IF('TMP Paste'!$F463="","",IF('TMP Paste'!$P463="",$AO462,'TMP Paste'!$P463))</f>
        <v/>
      </c>
      <c r="AP463">
        <f>IF($AG463="","",LEN($R463))</f>
        <v/>
      </c>
      <c r="AQ463">
        <f>IF($AG463="","",TRIM(IF(COUNTIFS(Calc!$B$2:$B$1601,ROW()-1,Calc!$C$2:$C$1601,"&lt;1")&gt;0,"Ada PO tanpa Koli - cek TMP. ","")&amp;IF(LEN($R463)&gt;500,"R &gt; 500 karakter.","")))</f>
        <v/>
      </c>
    </row>
    <row r="464">
      <c r="A464">
        <f>IF($AG464="","",INDEX('TMP Paste'!$B$2:$B$1601,$AG464))</f>
        <v/>
      </c>
      <c r="B464">
        <f>IF($AG464="","",Config!$B$14)</f>
        <v/>
      </c>
      <c r="C464">
        <f>IF($AG464="","",Config!$B$15)</f>
        <v/>
      </c>
      <c r="D464">
        <f>IF($AG464="","",INDEX('TMP Paste'!$B$2:$B$1601,$AG464))</f>
        <v/>
      </c>
      <c r="E464">
        <f>IF($AG464="","",Config!$B$27)</f>
        <v/>
      </c>
      <c r="F464">
        <f>IF($AG464="","",Config!$B$9)</f>
        <v/>
      </c>
      <c r="G464">
        <f>IF($AG464="","",Config!$B$10)</f>
        <v/>
      </c>
      <c r="H464">
        <f>IF($AG464="","",Config!$B$11)</f>
        <v/>
      </c>
      <c r="I464">
        <f>IF($AG464="","",Config!$B$16)</f>
        <v/>
      </c>
      <c r="J464">
        <f>IF($AG464="","",INDEX('TMP Paste'!$A$2:$A$1601,$AG464))</f>
        <v/>
      </c>
      <c r="K464">
        <f>IF($AG464="","",INDEX('TMP Paste'!$L$2:$L$1601,$AG464))</f>
        <v/>
      </c>
      <c r="L464">
        <f>IF($AG464="","",INDEX('TMP Paste'!$I$2:$I$1601,$AG464))</f>
        <v/>
      </c>
      <c r="M464">
        <f>IF($AG464="","",Config!$B$16)</f>
        <v/>
      </c>
      <c r="N464">
        <f>IF($AG464="","","")</f>
        <v/>
      </c>
      <c r="O464">
        <f>IF($AG464="","",INDEX('TMP Paste'!$K$2:$K$1601,$AG464))</f>
        <v/>
      </c>
      <c r="P464">
        <f>IF($AG464="","","")</f>
        <v/>
      </c>
      <c r="Q464">
        <f>IF($AG464="","",INDEX('TMP Paste'!$J$2:$J$1601,$AG464))</f>
        <v/>
      </c>
      <c r="R464">
        <f>IF($AG464="","",Config!$B$24)</f>
        <v/>
      </c>
      <c r="S464">
        <f>IF($AG464="","",TEXT(Config!$B$4,"yyyy-mm-dd"))</f>
        <v/>
      </c>
      <c r="T464">
        <f>IF($AG464="","",Config!$B$17)</f>
        <v/>
      </c>
      <c r="U464">
        <f>IF($AG464="","",Config!$B$18)</f>
        <v/>
      </c>
      <c r="V464">
        <f>IF($AG464="","",Config!$B$19)</f>
        <v/>
      </c>
      <c r="W464">
        <f>IF($AG464="","",INDEX('TMP Paste'!$C$2:$C$1601,$AG464))</f>
        <v/>
      </c>
      <c r="X464">
        <f>IF($AG464="","",Config!$B$29)</f>
        <v/>
      </c>
      <c r="Y464">
        <f>IF($AH464="","",INDEX(Calc!$I$2:$I$1601,$AH464)&amp;" - "&amp;INDEX(Calc!$D$2:$D$1601,$AH464)&amp;" koli")</f>
        <v/>
      </c>
      <c r="Z464">
        <f>IF($AG464="","",Config!$B$21)</f>
        <v/>
      </c>
      <c r="AA464">
        <f>IF($AG464="","",Config!$B$22)</f>
        <v/>
      </c>
      <c r="AB464">
        <f>IF($AH464="","",INDEX(Calc!$D$2:$D$1601,$AH464))</f>
        <v/>
      </c>
      <c r="AC464">
        <f>IF($AH464="","",INDEX(Calc!$G$2:$G$1601,$AH464))</f>
        <v/>
      </c>
      <c r="AD464">
        <f>IF($AG464="","",Config!$B$23)</f>
        <v/>
      </c>
      <c r="AE464">
        <f>IF($AG464="","",Config!$B$28)</f>
        <v/>
      </c>
      <c r="AG464">
        <f>IFERROR(MATCH(ROW()-1,Calc!$J$2:$J$1601,0),"")</f>
        <v/>
      </c>
      <c r="AH464">
        <f>IFERROR(MATCH(ROW()-1,Calc!$K$2:$K$1601,0),"")</f>
        <v/>
      </c>
      <c r="AI464">
        <f>IF($AG464="","",SUMIF($AG$2:$AG464,$AG464,$AH$2:$AH464))</f>
        <v/>
      </c>
      <c r="AJ464">
        <f>IF('TMP Paste'!$F464="","",IF('TMP Paste'!$B464="",$AJ463,'TMP Paste'!$B464))</f>
        <v/>
      </c>
      <c r="AK464">
        <f>IF('TMP Paste'!$F464="","",N('TMP Paste'!$G464))</f>
        <v/>
      </c>
      <c r="AL464">
        <f>IF('TMP Paste'!$F464="","",IF('TMP Paste'!$M464="",$AL463,'TMP Paste'!$M464))</f>
        <v/>
      </c>
      <c r="AM464">
        <f>IF('TMP Paste'!$F464="","",IF('TMP Paste'!$N464="",$AM463,'TMP Paste'!$N464))</f>
        <v/>
      </c>
      <c r="AN464">
        <f>IF('TMP Paste'!$F464="","",IF('TMP Paste'!$O464="",$AN463,'TMP Paste'!$O464))</f>
        <v/>
      </c>
      <c r="AO464">
        <f>IF('TMP Paste'!$F464="","",IF('TMP Paste'!$P464="",$AO463,'TMP Paste'!$P464))</f>
        <v/>
      </c>
      <c r="AP464">
        <f>IF($AG464="","",LEN($R464))</f>
        <v/>
      </c>
      <c r="AQ464">
        <f>IF($AG464="","",TRIM(IF(COUNTIFS(Calc!$B$2:$B$1601,ROW()-1,Calc!$C$2:$C$1601,"&lt;1")&gt;0,"Ada PO tanpa Koli - cek TMP. ","")&amp;IF(LEN($R464)&gt;500,"R &gt; 500 karakter.","")))</f>
        <v/>
      </c>
    </row>
    <row r="465">
      <c r="A465">
        <f>IF($AG465="","",INDEX('TMP Paste'!$B$2:$B$1601,$AG465))</f>
        <v/>
      </c>
      <c r="B465">
        <f>IF($AG465="","",Config!$B$14)</f>
        <v/>
      </c>
      <c r="C465">
        <f>IF($AG465="","",Config!$B$15)</f>
        <v/>
      </c>
      <c r="D465">
        <f>IF($AG465="","",INDEX('TMP Paste'!$B$2:$B$1601,$AG465))</f>
        <v/>
      </c>
      <c r="E465">
        <f>IF($AG465="","",Config!$B$27)</f>
        <v/>
      </c>
      <c r="F465">
        <f>IF($AG465="","",Config!$B$9)</f>
        <v/>
      </c>
      <c r="G465">
        <f>IF($AG465="","",Config!$B$10)</f>
        <v/>
      </c>
      <c r="H465">
        <f>IF($AG465="","",Config!$B$11)</f>
        <v/>
      </c>
      <c r="I465">
        <f>IF($AG465="","",Config!$B$16)</f>
        <v/>
      </c>
      <c r="J465">
        <f>IF($AG465="","",INDEX('TMP Paste'!$A$2:$A$1601,$AG465))</f>
        <v/>
      </c>
      <c r="K465">
        <f>IF($AG465="","",INDEX('TMP Paste'!$L$2:$L$1601,$AG465))</f>
        <v/>
      </c>
      <c r="L465">
        <f>IF($AG465="","",INDEX('TMP Paste'!$I$2:$I$1601,$AG465))</f>
        <v/>
      </c>
      <c r="M465">
        <f>IF($AG465="","",Config!$B$16)</f>
        <v/>
      </c>
      <c r="N465">
        <f>IF($AG465="","","")</f>
        <v/>
      </c>
      <c r="O465">
        <f>IF($AG465="","",INDEX('TMP Paste'!$K$2:$K$1601,$AG465))</f>
        <v/>
      </c>
      <c r="P465">
        <f>IF($AG465="","","")</f>
        <v/>
      </c>
      <c r="Q465">
        <f>IF($AG465="","",INDEX('TMP Paste'!$J$2:$J$1601,$AG465))</f>
        <v/>
      </c>
      <c r="R465">
        <f>IF($AG465="","",Config!$B$24)</f>
        <v/>
      </c>
      <c r="S465">
        <f>IF($AG465="","",TEXT(Config!$B$4,"yyyy-mm-dd"))</f>
        <v/>
      </c>
      <c r="T465">
        <f>IF($AG465="","",Config!$B$17)</f>
        <v/>
      </c>
      <c r="U465">
        <f>IF($AG465="","",Config!$B$18)</f>
        <v/>
      </c>
      <c r="V465">
        <f>IF($AG465="","",Config!$B$19)</f>
        <v/>
      </c>
      <c r="W465">
        <f>IF($AG465="","",INDEX('TMP Paste'!$C$2:$C$1601,$AG465))</f>
        <v/>
      </c>
      <c r="X465">
        <f>IF($AG465="","",Config!$B$29)</f>
        <v/>
      </c>
      <c r="Y465">
        <f>IF($AH465="","",INDEX(Calc!$I$2:$I$1601,$AH465)&amp;" - "&amp;INDEX(Calc!$D$2:$D$1601,$AH465)&amp;" koli")</f>
        <v/>
      </c>
      <c r="Z465">
        <f>IF($AG465="","",Config!$B$21)</f>
        <v/>
      </c>
      <c r="AA465">
        <f>IF($AG465="","",Config!$B$22)</f>
        <v/>
      </c>
      <c r="AB465">
        <f>IF($AH465="","",INDEX(Calc!$D$2:$D$1601,$AH465))</f>
        <v/>
      </c>
      <c r="AC465">
        <f>IF($AH465="","",INDEX(Calc!$G$2:$G$1601,$AH465))</f>
        <v/>
      </c>
      <c r="AD465">
        <f>IF($AG465="","",Config!$B$23)</f>
        <v/>
      </c>
      <c r="AE465">
        <f>IF($AG465="","",Config!$B$28)</f>
        <v/>
      </c>
      <c r="AG465">
        <f>IFERROR(MATCH(ROW()-1,Calc!$J$2:$J$1601,0),"")</f>
        <v/>
      </c>
      <c r="AH465">
        <f>IFERROR(MATCH(ROW()-1,Calc!$K$2:$K$1601,0),"")</f>
        <v/>
      </c>
      <c r="AI465">
        <f>IF($AG465="","",SUMIF($AG$2:$AG465,$AG465,$AH$2:$AH465))</f>
        <v/>
      </c>
      <c r="AJ465">
        <f>IF('TMP Paste'!$F465="","",IF('TMP Paste'!$B465="",$AJ464,'TMP Paste'!$B465))</f>
        <v/>
      </c>
      <c r="AK465">
        <f>IF('TMP Paste'!$F465="","",N('TMP Paste'!$G465))</f>
        <v/>
      </c>
      <c r="AL465">
        <f>IF('TMP Paste'!$F465="","",IF('TMP Paste'!$M465="",$AL464,'TMP Paste'!$M465))</f>
        <v/>
      </c>
      <c r="AM465">
        <f>IF('TMP Paste'!$F465="","",IF('TMP Paste'!$N465="",$AM464,'TMP Paste'!$N465))</f>
        <v/>
      </c>
      <c r="AN465">
        <f>IF('TMP Paste'!$F465="","",IF('TMP Paste'!$O465="",$AN464,'TMP Paste'!$O465))</f>
        <v/>
      </c>
      <c r="AO465">
        <f>IF('TMP Paste'!$F465="","",IF('TMP Paste'!$P465="",$AO464,'TMP Paste'!$P465))</f>
        <v/>
      </c>
      <c r="AP465">
        <f>IF($AG465="","",LEN($R465))</f>
        <v/>
      </c>
      <c r="AQ465">
        <f>IF($AG465="","",TRIM(IF(COUNTIFS(Calc!$B$2:$B$1601,ROW()-1,Calc!$C$2:$C$1601,"&lt;1")&gt;0,"Ada PO tanpa Koli - cek TMP. ","")&amp;IF(LEN($R465)&gt;500,"R &gt; 500 karakter.","")))</f>
        <v/>
      </c>
    </row>
    <row r="466">
      <c r="A466">
        <f>IF($AG466="","",INDEX('TMP Paste'!$B$2:$B$1601,$AG466))</f>
        <v/>
      </c>
      <c r="B466">
        <f>IF($AG466="","",Config!$B$14)</f>
        <v/>
      </c>
      <c r="C466">
        <f>IF($AG466="","",Config!$B$15)</f>
        <v/>
      </c>
      <c r="D466">
        <f>IF($AG466="","",INDEX('TMP Paste'!$B$2:$B$1601,$AG466))</f>
        <v/>
      </c>
      <c r="E466">
        <f>IF($AG466="","",Config!$B$27)</f>
        <v/>
      </c>
      <c r="F466">
        <f>IF($AG466="","",Config!$B$9)</f>
        <v/>
      </c>
      <c r="G466">
        <f>IF($AG466="","",Config!$B$10)</f>
        <v/>
      </c>
      <c r="H466">
        <f>IF($AG466="","",Config!$B$11)</f>
        <v/>
      </c>
      <c r="I466">
        <f>IF($AG466="","",Config!$B$16)</f>
        <v/>
      </c>
      <c r="J466">
        <f>IF($AG466="","",INDEX('TMP Paste'!$A$2:$A$1601,$AG466))</f>
        <v/>
      </c>
      <c r="K466">
        <f>IF($AG466="","",INDEX('TMP Paste'!$L$2:$L$1601,$AG466))</f>
        <v/>
      </c>
      <c r="L466">
        <f>IF($AG466="","",INDEX('TMP Paste'!$I$2:$I$1601,$AG466))</f>
        <v/>
      </c>
      <c r="M466">
        <f>IF($AG466="","",Config!$B$16)</f>
        <v/>
      </c>
      <c r="N466">
        <f>IF($AG466="","","")</f>
        <v/>
      </c>
      <c r="O466">
        <f>IF($AG466="","",INDEX('TMP Paste'!$K$2:$K$1601,$AG466))</f>
        <v/>
      </c>
      <c r="P466">
        <f>IF($AG466="","","")</f>
        <v/>
      </c>
      <c r="Q466">
        <f>IF($AG466="","",INDEX('TMP Paste'!$J$2:$J$1601,$AG466))</f>
        <v/>
      </c>
      <c r="R466">
        <f>IF($AG466="","",Config!$B$24)</f>
        <v/>
      </c>
      <c r="S466">
        <f>IF($AG466="","",TEXT(Config!$B$4,"yyyy-mm-dd"))</f>
        <v/>
      </c>
      <c r="T466">
        <f>IF($AG466="","",Config!$B$17)</f>
        <v/>
      </c>
      <c r="U466">
        <f>IF($AG466="","",Config!$B$18)</f>
        <v/>
      </c>
      <c r="V466">
        <f>IF($AG466="","",Config!$B$19)</f>
        <v/>
      </c>
      <c r="W466">
        <f>IF($AG466="","",INDEX('TMP Paste'!$C$2:$C$1601,$AG466))</f>
        <v/>
      </c>
      <c r="X466">
        <f>IF($AG466="","",Config!$B$29)</f>
        <v/>
      </c>
      <c r="Y466">
        <f>IF($AH466="","",INDEX(Calc!$I$2:$I$1601,$AH466)&amp;" - "&amp;INDEX(Calc!$D$2:$D$1601,$AH466)&amp;" koli")</f>
        <v/>
      </c>
      <c r="Z466">
        <f>IF($AG466="","",Config!$B$21)</f>
        <v/>
      </c>
      <c r="AA466">
        <f>IF($AG466="","",Config!$B$22)</f>
        <v/>
      </c>
      <c r="AB466">
        <f>IF($AH466="","",INDEX(Calc!$D$2:$D$1601,$AH466))</f>
        <v/>
      </c>
      <c r="AC466">
        <f>IF($AH466="","",INDEX(Calc!$G$2:$G$1601,$AH466))</f>
        <v/>
      </c>
      <c r="AD466">
        <f>IF($AG466="","",Config!$B$23)</f>
        <v/>
      </c>
      <c r="AE466">
        <f>IF($AG466="","",Config!$B$28)</f>
        <v/>
      </c>
      <c r="AG466">
        <f>IFERROR(MATCH(ROW()-1,Calc!$J$2:$J$1601,0),"")</f>
        <v/>
      </c>
      <c r="AH466">
        <f>IFERROR(MATCH(ROW()-1,Calc!$K$2:$K$1601,0),"")</f>
        <v/>
      </c>
      <c r="AI466">
        <f>IF($AG466="","",SUMIF($AG$2:$AG466,$AG466,$AH$2:$AH466))</f>
        <v/>
      </c>
      <c r="AJ466">
        <f>IF('TMP Paste'!$F466="","",IF('TMP Paste'!$B466="",$AJ465,'TMP Paste'!$B466))</f>
        <v/>
      </c>
      <c r="AK466">
        <f>IF('TMP Paste'!$F466="","",N('TMP Paste'!$G466))</f>
        <v/>
      </c>
      <c r="AL466">
        <f>IF('TMP Paste'!$F466="","",IF('TMP Paste'!$M466="",$AL465,'TMP Paste'!$M466))</f>
        <v/>
      </c>
      <c r="AM466">
        <f>IF('TMP Paste'!$F466="","",IF('TMP Paste'!$N466="",$AM465,'TMP Paste'!$N466))</f>
        <v/>
      </c>
      <c r="AN466">
        <f>IF('TMP Paste'!$F466="","",IF('TMP Paste'!$O466="",$AN465,'TMP Paste'!$O466))</f>
        <v/>
      </c>
      <c r="AO466">
        <f>IF('TMP Paste'!$F466="","",IF('TMP Paste'!$P466="",$AO465,'TMP Paste'!$P466))</f>
        <v/>
      </c>
      <c r="AP466">
        <f>IF($AG466="","",LEN($R466))</f>
        <v/>
      </c>
      <c r="AQ466">
        <f>IF($AG466="","",TRIM(IF(COUNTIFS(Calc!$B$2:$B$1601,ROW()-1,Calc!$C$2:$C$1601,"&lt;1")&gt;0,"Ada PO tanpa Koli - cek TMP. ","")&amp;IF(LEN($R466)&gt;500,"R &gt; 500 karakter.","")))</f>
        <v/>
      </c>
    </row>
    <row r="467">
      <c r="A467">
        <f>IF($AG467="","",INDEX('TMP Paste'!$B$2:$B$1601,$AG467))</f>
        <v/>
      </c>
      <c r="B467">
        <f>IF($AG467="","",Config!$B$14)</f>
        <v/>
      </c>
      <c r="C467">
        <f>IF($AG467="","",Config!$B$15)</f>
        <v/>
      </c>
      <c r="D467">
        <f>IF($AG467="","",INDEX('TMP Paste'!$B$2:$B$1601,$AG467))</f>
        <v/>
      </c>
      <c r="E467">
        <f>IF($AG467="","",Config!$B$27)</f>
        <v/>
      </c>
      <c r="F467">
        <f>IF($AG467="","",Config!$B$9)</f>
        <v/>
      </c>
      <c r="G467">
        <f>IF($AG467="","",Config!$B$10)</f>
        <v/>
      </c>
      <c r="H467">
        <f>IF($AG467="","",Config!$B$11)</f>
        <v/>
      </c>
      <c r="I467">
        <f>IF($AG467="","",Config!$B$16)</f>
        <v/>
      </c>
      <c r="J467">
        <f>IF($AG467="","",INDEX('TMP Paste'!$A$2:$A$1601,$AG467))</f>
        <v/>
      </c>
      <c r="K467">
        <f>IF($AG467="","",INDEX('TMP Paste'!$L$2:$L$1601,$AG467))</f>
        <v/>
      </c>
      <c r="L467">
        <f>IF($AG467="","",INDEX('TMP Paste'!$I$2:$I$1601,$AG467))</f>
        <v/>
      </c>
      <c r="M467">
        <f>IF($AG467="","",Config!$B$16)</f>
        <v/>
      </c>
      <c r="N467">
        <f>IF($AG467="","","")</f>
        <v/>
      </c>
      <c r="O467">
        <f>IF($AG467="","",INDEX('TMP Paste'!$K$2:$K$1601,$AG467))</f>
        <v/>
      </c>
      <c r="P467">
        <f>IF($AG467="","","")</f>
        <v/>
      </c>
      <c r="Q467">
        <f>IF($AG467="","",INDEX('TMP Paste'!$J$2:$J$1601,$AG467))</f>
        <v/>
      </c>
      <c r="R467">
        <f>IF($AG467="","",Config!$B$24)</f>
        <v/>
      </c>
      <c r="S467">
        <f>IF($AG467="","",TEXT(Config!$B$4,"yyyy-mm-dd"))</f>
        <v/>
      </c>
      <c r="T467">
        <f>IF($AG467="","",Config!$B$17)</f>
        <v/>
      </c>
      <c r="U467">
        <f>IF($AG467="","",Config!$B$18)</f>
        <v/>
      </c>
      <c r="V467">
        <f>IF($AG467="","",Config!$B$19)</f>
        <v/>
      </c>
      <c r="W467">
        <f>IF($AG467="","",INDEX('TMP Paste'!$C$2:$C$1601,$AG467))</f>
        <v/>
      </c>
      <c r="X467">
        <f>IF($AG467="","",Config!$B$29)</f>
        <v/>
      </c>
      <c r="Y467">
        <f>IF($AH467="","",INDEX(Calc!$I$2:$I$1601,$AH467)&amp;" - "&amp;INDEX(Calc!$D$2:$D$1601,$AH467)&amp;" koli")</f>
        <v/>
      </c>
      <c r="Z467">
        <f>IF($AG467="","",Config!$B$21)</f>
        <v/>
      </c>
      <c r="AA467">
        <f>IF($AG467="","",Config!$B$22)</f>
        <v/>
      </c>
      <c r="AB467">
        <f>IF($AH467="","",INDEX(Calc!$D$2:$D$1601,$AH467))</f>
        <v/>
      </c>
      <c r="AC467">
        <f>IF($AH467="","",INDEX(Calc!$G$2:$G$1601,$AH467))</f>
        <v/>
      </c>
      <c r="AD467">
        <f>IF($AG467="","",Config!$B$23)</f>
        <v/>
      </c>
      <c r="AE467">
        <f>IF($AG467="","",Config!$B$28)</f>
        <v/>
      </c>
      <c r="AG467">
        <f>IFERROR(MATCH(ROW()-1,Calc!$J$2:$J$1601,0),"")</f>
        <v/>
      </c>
      <c r="AH467">
        <f>IFERROR(MATCH(ROW()-1,Calc!$K$2:$K$1601,0),"")</f>
        <v/>
      </c>
      <c r="AI467">
        <f>IF($AG467="","",SUMIF($AG$2:$AG467,$AG467,$AH$2:$AH467))</f>
        <v/>
      </c>
      <c r="AJ467">
        <f>IF('TMP Paste'!$F467="","",IF('TMP Paste'!$B467="",$AJ466,'TMP Paste'!$B467))</f>
        <v/>
      </c>
      <c r="AK467">
        <f>IF('TMP Paste'!$F467="","",N('TMP Paste'!$G467))</f>
        <v/>
      </c>
      <c r="AL467">
        <f>IF('TMP Paste'!$F467="","",IF('TMP Paste'!$M467="",$AL466,'TMP Paste'!$M467))</f>
        <v/>
      </c>
      <c r="AM467">
        <f>IF('TMP Paste'!$F467="","",IF('TMP Paste'!$N467="",$AM466,'TMP Paste'!$N467))</f>
        <v/>
      </c>
      <c r="AN467">
        <f>IF('TMP Paste'!$F467="","",IF('TMP Paste'!$O467="",$AN466,'TMP Paste'!$O467))</f>
        <v/>
      </c>
      <c r="AO467">
        <f>IF('TMP Paste'!$F467="","",IF('TMP Paste'!$P467="",$AO466,'TMP Paste'!$P467))</f>
        <v/>
      </c>
      <c r="AP467">
        <f>IF($AG467="","",LEN($R467))</f>
        <v/>
      </c>
      <c r="AQ467">
        <f>IF($AG467="","",TRIM(IF(COUNTIFS(Calc!$B$2:$B$1601,ROW()-1,Calc!$C$2:$C$1601,"&lt;1")&gt;0,"Ada PO tanpa Koli - cek TMP. ","")&amp;IF(LEN($R467)&gt;500,"R &gt; 500 karakter.","")))</f>
        <v/>
      </c>
    </row>
    <row r="468">
      <c r="A468">
        <f>IF($AG468="","",INDEX('TMP Paste'!$B$2:$B$1601,$AG468))</f>
        <v/>
      </c>
      <c r="B468">
        <f>IF($AG468="","",Config!$B$14)</f>
        <v/>
      </c>
      <c r="C468">
        <f>IF($AG468="","",Config!$B$15)</f>
        <v/>
      </c>
      <c r="D468">
        <f>IF($AG468="","",INDEX('TMP Paste'!$B$2:$B$1601,$AG468))</f>
        <v/>
      </c>
      <c r="E468">
        <f>IF($AG468="","",Config!$B$27)</f>
        <v/>
      </c>
      <c r="F468">
        <f>IF($AG468="","",Config!$B$9)</f>
        <v/>
      </c>
      <c r="G468">
        <f>IF($AG468="","",Config!$B$10)</f>
        <v/>
      </c>
      <c r="H468">
        <f>IF($AG468="","",Config!$B$11)</f>
        <v/>
      </c>
      <c r="I468">
        <f>IF($AG468="","",Config!$B$16)</f>
        <v/>
      </c>
      <c r="J468">
        <f>IF($AG468="","",INDEX('TMP Paste'!$A$2:$A$1601,$AG468))</f>
        <v/>
      </c>
      <c r="K468">
        <f>IF($AG468="","",INDEX('TMP Paste'!$L$2:$L$1601,$AG468))</f>
        <v/>
      </c>
      <c r="L468">
        <f>IF($AG468="","",INDEX('TMP Paste'!$I$2:$I$1601,$AG468))</f>
        <v/>
      </c>
      <c r="M468">
        <f>IF($AG468="","",Config!$B$16)</f>
        <v/>
      </c>
      <c r="N468">
        <f>IF($AG468="","","")</f>
        <v/>
      </c>
      <c r="O468">
        <f>IF($AG468="","",INDEX('TMP Paste'!$K$2:$K$1601,$AG468))</f>
        <v/>
      </c>
      <c r="P468">
        <f>IF($AG468="","","")</f>
        <v/>
      </c>
      <c r="Q468">
        <f>IF($AG468="","",INDEX('TMP Paste'!$J$2:$J$1601,$AG468))</f>
        <v/>
      </c>
      <c r="R468">
        <f>IF($AG468="","",Config!$B$24)</f>
        <v/>
      </c>
      <c r="S468">
        <f>IF($AG468="","",TEXT(Config!$B$4,"yyyy-mm-dd"))</f>
        <v/>
      </c>
      <c r="T468">
        <f>IF($AG468="","",Config!$B$17)</f>
        <v/>
      </c>
      <c r="U468">
        <f>IF($AG468="","",Config!$B$18)</f>
        <v/>
      </c>
      <c r="V468">
        <f>IF($AG468="","",Config!$B$19)</f>
        <v/>
      </c>
      <c r="W468">
        <f>IF($AG468="","",INDEX('TMP Paste'!$C$2:$C$1601,$AG468))</f>
        <v/>
      </c>
      <c r="X468">
        <f>IF($AG468="","",Config!$B$29)</f>
        <v/>
      </c>
      <c r="Y468">
        <f>IF($AH468="","",INDEX(Calc!$I$2:$I$1601,$AH468)&amp;" - "&amp;INDEX(Calc!$D$2:$D$1601,$AH468)&amp;" koli")</f>
        <v/>
      </c>
      <c r="Z468">
        <f>IF($AG468="","",Config!$B$21)</f>
        <v/>
      </c>
      <c r="AA468">
        <f>IF($AG468="","",Config!$B$22)</f>
        <v/>
      </c>
      <c r="AB468">
        <f>IF($AH468="","",INDEX(Calc!$D$2:$D$1601,$AH468))</f>
        <v/>
      </c>
      <c r="AC468">
        <f>IF($AH468="","",INDEX(Calc!$G$2:$G$1601,$AH468))</f>
        <v/>
      </c>
      <c r="AD468">
        <f>IF($AG468="","",Config!$B$23)</f>
        <v/>
      </c>
      <c r="AE468">
        <f>IF($AG468="","",Config!$B$28)</f>
        <v/>
      </c>
      <c r="AG468">
        <f>IFERROR(MATCH(ROW()-1,Calc!$J$2:$J$1601,0),"")</f>
        <v/>
      </c>
      <c r="AH468">
        <f>IFERROR(MATCH(ROW()-1,Calc!$K$2:$K$1601,0),"")</f>
        <v/>
      </c>
      <c r="AI468">
        <f>IF($AG468="","",SUMIF($AG$2:$AG468,$AG468,$AH$2:$AH468))</f>
        <v/>
      </c>
      <c r="AJ468">
        <f>IF('TMP Paste'!$F468="","",IF('TMP Paste'!$B468="",$AJ467,'TMP Paste'!$B468))</f>
        <v/>
      </c>
      <c r="AK468">
        <f>IF('TMP Paste'!$F468="","",N('TMP Paste'!$G468))</f>
        <v/>
      </c>
      <c r="AL468">
        <f>IF('TMP Paste'!$F468="","",IF('TMP Paste'!$M468="",$AL467,'TMP Paste'!$M468))</f>
        <v/>
      </c>
      <c r="AM468">
        <f>IF('TMP Paste'!$F468="","",IF('TMP Paste'!$N468="",$AM467,'TMP Paste'!$N468))</f>
        <v/>
      </c>
      <c r="AN468">
        <f>IF('TMP Paste'!$F468="","",IF('TMP Paste'!$O468="",$AN467,'TMP Paste'!$O468))</f>
        <v/>
      </c>
      <c r="AO468">
        <f>IF('TMP Paste'!$F468="","",IF('TMP Paste'!$P468="",$AO467,'TMP Paste'!$P468))</f>
        <v/>
      </c>
      <c r="AP468">
        <f>IF($AG468="","",LEN($R468))</f>
        <v/>
      </c>
      <c r="AQ468">
        <f>IF($AG468="","",TRIM(IF(COUNTIFS(Calc!$B$2:$B$1601,ROW()-1,Calc!$C$2:$C$1601,"&lt;1")&gt;0,"Ada PO tanpa Koli - cek TMP. ","")&amp;IF(LEN($R468)&gt;500,"R &gt; 500 karakter.","")))</f>
        <v/>
      </c>
    </row>
    <row r="469">
      <c r="A469">
        <f>IF($AG469="","",INDEX('TMP Paste'!$B$2:$B$1601,$AG469))</f>
        <v/>
      </c>
      <c r="B469">
        <f>IF($AG469="","",Config!$B$14)</f>
        <v/>
      </c>
      <c r="C469">
        <f>IF($AG469="","",Config!$B$15)</f>
        <v/>
      </c>
      <c r="D469">
        <f>IF($AG469="","",INDEX('TMP Paste'!$B$2:$B$1601,$AG469))</f>
        <v/>
      </c>
      <c r="E469">
        <f>IF($AG469="","",Config!$B$27)</f>
        <v/>
      </c>
      <c r="F469">
        <f>IF($AG469="","",Config!$B$9)</f>
        <v/>
      </c>
      <c r="G469">
        <f>IF($AG469="","",Config!$B$10)</f>
        <v/>
      </c>
      <c r="H469">
        <f>IF($AG469="","",Config!$B$11)</f>
        <v/>
      </c>
      <c r="I469">
        <f>IF($AG469="","",Config!$B$16)</f>
        <v/>
      </c>
      <c r="J469">
        <f>IF($AG469="","",INDEX('TMP Paste'!$A$2:$A$1601,$AG469))</f>
        <v/>
      </c>
      <c r="K469">
        <f>IF($AG469="","",INDEX('TMP Paste'!$L$2:$L$1601,$AG469))</f>
        <v/>
      </c>
      <c r="L469">
        <f>IF($AG469="","",INDEX('TMP Paste'!$I$2:$I$1601,$AG469))</f>
        <v/>
      </c>
      <c r="M469">
        <f>IF($AG469="","",Config!$B$16)</f>
        <v/>
      </c>
      <c r="N469">
        <f>IF($AG469="","","")</f>
        <v/>
      </c>
      <c r="O469">
        <f>IF($AG469="","",INDEX('TMP Paste'!$K$2:$K$1601,$AG469))</f>
        <v/>
      </c>
      <c r="P469">
        <f>IF($AG469="","","")</f>
        <v/>
      </c>
      <c r="Q469">
        <f>IF($AG469="","",INDEX('TMP Paste'!$J$2:$J$1601,$AG469))</f>
        <v/>
      </c>
      <c r="R469">
        <f>IF($AG469="","",Config!$B$24)</f>
        <v/>
      </c>
      <c r="S469">
        <f>IF($AG469="","",TEXT(Config!$B$4,"yyyy-mm-dd"))</f>
        <v/>
      </c>
      <c r="T469">
        <f>IF($AG469="","",Config!$B$17)</f>
        <v/>
      </c>
      <c r="U469">
        <f>IF($AG469="","",Config!$B$18)</f>
        <v/>
      </c>
      <c r="V469">
        <f>IF($AG469="","",Config!$B$19)</f>
        <v/>
      </c>
      <c r="W469">
        <f>IF($AG469="","",INDEX('TMP Paste'!$C$2:$C$1601,$AG469))</f>
        <v/>
      </c>
      <c r="X469">
        <f>IF($AG469="","",Config!$B$29)</f>
        <v/>
      </c>
      <c r="Y469">
        <f>IF($AH469="","",INDEX(Calc!$I$2:$I$1601,$AH469)&amp;" - "&amp;INDEX(Calc!$D$2:$D$1601,$AH469)&amp;" koli")</f>
        <v/>
      </c>
      <c r="Z469">
        <f>IF($AG469="","",Config!$B$21)</f>
        <v/>
      </c>
      <c r="AA469">
        <f>IF($AG469="","",Config!$B$22)</f>
        <v/>
      </c>
      <c r="AB469">
        <f>IF($AH469="","",INDEX(Calc!$D$2:$D$1601,$AH469))</f>
        <v/>
      </c>
      <c r="AC469">
        <f>IF($AH469="","",INDEX(Calc!$G$2:$G$1601,$AH469))</f>
        <v/>
      </c>
      <c r="AD469">
        <f>IF($AG469="","",Config!$B$23)</f>
        <v/>
      </c>
      <c r="AE469">
        <f>IF($AG469="","",Config!$B$28)</f>
        <v/>
      </c>
      <c r="AG469">
        <f>IFERROR(MATCH(ROW()-1,Calc!$J$2:$J$1601,0),"")</f>
        <v/>
      </c>
      <c r="AH469">
        <f>IFERROR(MATCH(ROW()-1,Calc!$K$2:$K$1601,0),"")</f>
        <v/>
      </c>
      <c r="AI469">
        <f>IF($AG469="","",SUMIF($AG$2:$AG469,$AG469,$AH$2:$AH469))</f>
        <v/>
      </c>
      <c r="AJ469">
        <f>IF('TMP Paste'!$F469="","",IF('TMP Paste'!$B469="",$AJ468,'TMP Paste'!$B469))</f>
        <v/>
      </c>
      <c r="AK469">
        <f>IF('TMP Paste'!$F469="","",N('TMP Paste'!$G469))</f>
        <v/>
      </c>
      <c r="AL469">
        <f>IF('TMP Paste'!$F469="","",IF('TMP Paste'!$M469="",$AL468,'TMP Paste'!$M469))</f>
        <v/>
      </c>
      <c r="AM469">
        <f>IF('TMP Paste'!$F469="","",IF('TMP Paste'!$N469="",$AM468,'TMP Paste'!$N469))</f>
        <v/>
      </c>
      <c r="AN469">
        <f>IF('TMP Paste'!$F469="","",IF('TMP Paste'!$O469="",$AN468,'TMP Paste'!$O469))</f>
        <v/>
      </c>
      <c r="AO469">
        <f>IF('TMP Paste'!$F469="","",IF('TMP Paste'!$P469="",$AO468,'TMP Paste'!$P469))</f>
        <v/>
      </c>
      <c r="AP469">
        <f>IF($AG469="","",LEN($R469))</f>
        <v/>
      </c>
      <c r="AQ469">
        <f>IF($AG469="","",TRIM(IF(COUNTIFS(Calc!$B$2:$B$1601,ROW()-1,Calc!$C$2:$C$1601,"&lt;1")&gt;0,"Ada PO tanpa Koli - cek TMP. ","")&amp;IF(LEN($R469)&gt;500,"R &gt; 500 karakter.","")))</f>
        <v/>
      </c>
    </row>
    <row r="470">
      <c r="A470">
        <f>IF($AG470="","",INDEX('TMP Paste'!$B$2:$B$1601,$AG470))</f>
        <v/>
      </c>
      <c r="B470">
        <f>IF($AG470="","",Config!$B$14)</f>
        <v/>
      </c>
      <c r="C470">
        <f>IF($AG470="","",Config!$B$15)</f>
        <v/>
      </c>
      <c r="D470">
        <f>IF($AG470="","",INDEX('TMP Paste'!$B$2:$B$1601,$AG470))</f>
        <v/>
      </c>
      <c r="E470">
        <f>IF($AG470="","",Config!$B$27)</f>
        <v/>
      </c>
      <c r="F470">
        <f>IF($AG470="","",Config!$B$9)</f>
        <v/>
      </c>
      <c r="G470">
        <f>IF($AG470="","",Config!$B$10)</f>
        <v/>
      </c>
      <c r="H470">
        <f>IF($AG470="","",Config!$B$11)</f>
        <v/>
      </c>
      <c r="I470">
        <f>IF($AG470="","",Config!$B$16)</f>
        <v/>
      </c>
      <c r="J470">
        <f>IF($AG470="","",INDEX('TMP Paste'!$A$2:$A$1601,$AG470))</f>
        <v/>
      </c>
      <c r="K470">
        <f>IF($AG470="","",INDEX('TMP Paste'!$L$2:$L$1601,$AG470))</f>
        <v/>
      </c>
      <c r="L470">
        <f>IF($AG470="","",INDEX('TMP Paste'!$I$2:$I$1601,$AG470))</f>
        <v/>
      </c>
      <c r="M470">
        <f>IF($AG470="","",Config!$B$16)</f>
        <v/>
      </c>
      <c r="N470">
        <f>IF($AG470="","","")</f>
        <v/>
      </c>
      <c r="O470">
        <f>IF($AG470="","",INDEX('TMP Paste'!$K$2:$K$1601,$AG470))</f>
        <v/>
      </c>
      <c r="P470">
        <f>IF($AG470="","","")</f>
        <v/>
      </c>
      <c r="Q470">
        <f>IF($AG470="","",INDEX('TMP Paste'!$J$2:$J$1601,$AG470))</f>
        <v/>
      </c>
      <c r="R470">
        <f>IF($AG470="","",Config!$B$24)</f>
        <v/>
      </c>
      <c r="S470">
        <f>IF($AG470="","",TEXT(Config!$B$4,"yyyy-mm-dd"))</f>
        <v/>
      </c>
      <c r="T470">
        <f>IF($AG470="","",Config!$B$17)</f>
        <v/>
      </c>
      <c r="U470">
        <f>IF($AG470="","",Config!$B$18)</f>
        <v/>
      </c>
      <c r="V470">
        <f>IF($AG470="","",Config!$B$19)</f>
        <v/>
      </c>
      <c r="W470">
        <f>IF($AG470="","",INDEX('TMP Paste'!$C$2:$C$1601,$AG470))</f>
        <v/>
      </c>
      <c r="X470">
        <f>IF($AG470="","",Config!$B$29)</f>
        <v/>
      </c>
      <c r="Y470">
        <f>IF($AH470="","",INDEX(Calc!$I$2:$I$1601,$AH470)&amp;" - "&amp;INDEX(Calc!$D$2:$D$1601,$AH470)&amp;" koli")</f>
        <v/>
      </c>
      <c r="Z470">
        <f>IF($AG470="","",Config!$B$21)</f>
        <v/>
      </c>
      <c r="AA470">
        <f>IF($AG470="","",Config!$B$22)</f>
        <v/>
      </c>
      <c r="AB470">
        <f>IF($AH470="","",INDEX(Calc!$D$2:$D$1601,$AH470))</f>
        <v/>
      </c>
      <c r="AC470">
        <f>IF($AH470="","",INDEX(Calc!$G$2:$G$1601,$AH470))</f>
        <v/>
      </c>
      <c r="AD470">
        <f>IF($AG470="","",Config!$B$23)</f>
        <v/>
      </c>
      <c r="AE470">
        <f>IF($AG470="","",Config!$B$28)</f>
        <v/>
      </c>
      <c r="AG470">
        <f>IFERROR(MATCH(ROW()-1,Calc!$J$2:$J$1601,0),"")</f>
        <v/>
      </c>
      <c r="AH470">
        <f>IFERROR(MATCH(ROW()-1,Calc!$K$2:$K$1601,0),"")</f>
        <v/>
      </c>
      <c r="AI470">
        <f>IF($AG470="","",SUMIF($AG$2:$AG470,$AG470,$AH$2:$AH470))</f>
        <v/>
      </c>
      <c r="AJ470">
        <f>IF('TMP Paste'!$F470="","",IF('TMP Paste'!$B470="",$AJ469,'TMP Paste'!$B470))</f>
        <v/>
      </c>
      <c r="AK470">
        <f>IF('TMP Paste'!$F470="","",N('TMP Paste'!$G470))</f>
        <v/>
      </c>
      <c r="AL470">
        <f>IF('TMP Paste'!$F470="","",IF('TMP Paste'!$M470="",$AL469,'TMP Paste'!$M470))</f>
        <v/>
      </c>
      <c r="AM470">
        <f>IF('TMP Paste'!$F470="","",IF('TMP Paste'!$N470="",$AM469,'TMP Paste'!$N470))</f>
        <v/>
      </c>
      <c r="AN470">
        <f>IF('TMP Paste'!$F470="","",IF('TMP Paste'!$O470="",$AN469,'TMP Paste'!$O470))</f>
        <v/>
      </c>
      <c r="AO470">
        <f>IF('TMP Paste'!$F470="","",IF('TMP Paste'!$P470="",$AO469,'TMP Paste'!$P470))</f>
        <v/>
      </c>
      <c r="AP470">
        <f>IF($AG470="","",LEN($R470))</f>
        <v/>
      </c>
      <c r="AQ470">
        <f>IF($AG470="","",TRIM(IF(COUNTIFS(Calc!$B$2:$B$1601,ROW()-1,Calc!$C$2:$C$1601,"&lt;1")&gt;0,"Ada PO tanpa Koli - cek TMP. ","")&amp;IF(LEN($R470)&gt;500,"R &gt; 500 karakter.","")))</f>
        <v/>
      </c>
    </row>
    <row r="471">
      <c r="A471">
        <f>IF($AG471="","",INDEX('TMP Paste'!$B$2:$B$1601,$AG471))</f>
        <v/>
      </c>
      <c r="B471">
        <f>IF($AG471="","",Config!$B$14)</f>
        <v/>
      </c>
      <c r="C471">
        <f>IF($AG471="","",Config!$B$15)</f>
        <v/>
      </c>
      <c r="D471">
        <f>IF($AG471="","",INDEX('TMP Paste'!$B$2:$B$1601,$AG471))</f>
        <v/>
      </c>
      <c r="E471">
        <f>IF($AG471="","",Config!$B$27)</f>
        <v/>
      </c>
      <c r="F471">
        <f>IF($AG471="","",Config!$B$9)</f>
        <v/>
      </c>
      <c r="G471">
        <f>IF($AG471="","",Config!$B$10)</f>
        <v/>
      </c>
      <c r="H471">
        <f>IF($AG471="","",Config!$B$11)</f>
        <v/>
      </c>
      <c r="I471">
        <f>IF($AG471="","",Config!$B$16)</f>
        <v/>
      </c>
      <c r="J471">
        <f>IF($AG471="","",INDEX('TMP Paste'!$A$2:$A$1601,$AG471))</f>
        <v/>
      </c>
      <c r="K471">
        <f>IF($AG471="","",INDEX('TMP Paste'!$L$2:$L$1601,$AG471))</f>
        <v/>
      </c>
      <c r="L471">
        <f>IF($AG471="","",INDEX('TMP Paste'!$I$2:$I$1601,$AG471))</f>
        <v/>
      </c>
      <c r="M471">
        <f>IF($AG471="","",Config!$B$16)</f>
        <v/>
      </c>
      <c r="N471">
        <f>IF($AG471="","","")</f>
        <v/>
      </c>
      <c r="O471">
        <f>IF($AG471="","",INDEX('TMP Paste'!$K$2:$K$1601,$AG471))</f>
        <v/>
      </c>
      <c r="P471">
        <f>IF($AG471="","","")</f>
        <v/>
      </c>
      <c r="Q471">
        <f>IF($AG471="","",INDEX('TMP Paste'!$J$2:$J$1601,$AG471))</f>
        <v/>
      </c>
      <c r="R471">
        <f>IF($AG471="","",Config!$B$24)</f>
        <v/>
      </c>
      <c r="S471">
        <f>IF($AG471="","",TEXT(Config!$B$4,"yyyy-mm-dd"))</f>
        <v/>
      </c>
      <c r="T471">
        <f>IF($AG471="","",Config!$B$17)</f>
        <v/>
      </c>
      <c r="U471">
        <f>IF($AG471="","",Config!$B$18)</f>
        <v/>
      </c>
      <c r="V471">
        <f>IF($AG471="","",Config!$B$19)</f>
        <v/>
      </c>
      <c r="W471">
        <f>IF($AG471="","",INDEX('TMP Paste'!$C$2:$C$1601,$AG471))</f>
        <v/>
      </c>
      <c r="X471">
        <f>IF($AG471="","",Config!$B$29)</f>
        <v/>
      </c>
      <c r="Y471">
        <f>IF($AH471="","",INDEX(Calc!$I$2:$I$1601,$AH471)&amp;" - "&amp;INDEX(Calc!$D$2:$D$1601,$AH471)&amp;" koli")</f>
        <v/>
      </c>
      <c r="Z471">
        <f>IF($AG471="","",Config!$B$21)</f>
        <v/>
      </c>
      <c r="AA471">
        <f>IF($AG471="","",Config!$B$22)</f>
        <v/>
      </c>
      <c r="AB471">
        <f>IF($AH471="","",INDEX(Calc!$D$2:$D$1601,$AH471))</f>
        <v/>
      </c>
      <c r="AC471">
        <f>IF($AH471="","",INDEX(Calc!$G$2:$G$1601,$AH471))</f>
        <v/>
      </c>
      <c r="AD471">
        <f>IF($AG471="","",Config!$B$23)</f>
        <v/>
      </c>
      <c r="AE471">
        <f>IF($AG471="","",Config!$B$28)</f>
        <v/>
      </c>
      <c r="AG471">
        <f>IFERROR(MATCH(ROW()-1,Calc!$J$2:$J$1601,0),"")</f>
        <v/>
      </c>
      <c r="AH471">
        <f>IFERROR(MATCH(ROW()-1,Calc!$K$2:$K$1601,0),"")</f>
        <v/>
      </c>
      <c r="AI471">
        <f>IF($AG471="","",SUMIF($AG$2:$AG471,$AG471,$AH$2:$AH471))</f>
        <v/>
      </c>
      <c r="AJ471">
        <f>IF('TMP Paste'!$F471="","",IF('TMP Paste'!$B471="",$AJ470,'TMP Paste'!$B471))</f>
        <v/>
      </c>
      <c r="AK471">
        <f>IF('TMP Paste'!$F471="","",N('TMP Paste'!$G471))</f>
        <v/>
      </c>
      <c r="AL471">
        <f>IF('TMP Paste'!$F471="","",IF('TMP Paste'!$M471="",$AL470,'TMP Paste'!$M471))</f>
        <v/>
      </c>
      <c r="AM471">
        <f>IF('TMP Paste'!$F471="","",IF('TMP Paste'!$N471="",$AM470,'TMP Paste'!$N471))</f>
        <v/>
      </c>
      <c r="AN471">
        <f>IF('TMP Paste'!$F471="","",IF('TMP Paste'!$O471="",$AN470,'TMP Paste'!$O471))</f>
        <v/>
      </c>
      <c r="AO471">
        <f>IF('TMP Paste'!$F471="","",IF('TMP Paste'!$P471="",$AO470,'TMP Paste'!$P471))</f>
        <v/>
      </c>
      <c r="AP471">
        <f>IF($AG471="","",LEN($R471))</f>
        <v/>
      </c>
      <c r="AQ471">
        <f>IF($AG471="","",TRIM(IF(COUNTIFS(Calc!$B$2:$B$1601,ROW()-1,Calc!$C$2:$C$1601,"&lt;1")&gt;0,"Ada PO tanpa Koli - cek TMP. ","")&amp;IF(LEN($R471)&gt;500,"R &gt; 500 karakter.","")))</f>
        <v/>
      </c>
    </row>
    <row r="472">
      <c r="A472">
        <f>IF($AG472="","",INDEX('TMP Paste'!$B$2:$B$1601,$AG472))</f>
        <v/>
      </c>
      <c r="B472">
        <f>IF($AG472="","",Config!$B$14)</f>
        <v/>
      </c>
      <c r="C472">
        <f>IF($AG472="","",Config!$B$15)</f>
        <v/>
      </c>
      <c r="D472">
        <f>IF($AG472="","",INDEX('TMP Paste'!$B$2:$B$1601,$AG472))</f>
        <v/>
      </c>
      <c r="E472">
        <f>IF($AG472="","",Config!$B$27)</f>
        <v/>
      </c>
      <c r="F472">
        <f>IF($AG472="","",Config!$B$9)</f>
        <v/>
      </c>
      <c r="G472">
        <f>IF($AG472="","",Config!$B$10)</f>
        <v/>
      </c>
      <c r="H472">
        <f>IF($AG472="","",Config!$B$11)</f>
        <v/>
      </c>
      <c r="I472">
        <f>IF($AG472="","",Config!$B$16)</f>
        <v/>
      </c>
      <c r="J472">
        <f>IF($AG472="","",INDEX('TMP Paste'!$A$2:$A$1601,$AG472))</f>
        <v/>
      </c>
      <c r="K472">
        <f>IF($AG472="","",INDEX('TMP Paste'!$L$2:$L$1601,$AG472))</f>
        <v/>
      </c>
      <c r="L472">
        <f>IF($AG472="","",INDEX('TMP Paste'!$I$2:$I$1601,$AG472))</f>
        <v/>
      </c>
      <c r="M472">
        <f>IF($AG472="","",Config!$B$16)</f>
        <v/>
      </c>
      <c r="N472">
        <f>IF($AG472="","","")</f>
        <v/>
      </c>
      <c r="O472">
        <f>IF($AG472="","",INDEX('TMP Paste'!$K$2:$K$1601,$AG472))</f>
        <v/>
      </c>
      <c r="P472">
        <f>IF($AG472="","","")</f>
        <v/>
      </c>
      <c r="Q472">
        <f>IF($AG472="","",INDEX('TMP Paste'!$J$2:$J$1601,$AG472))</f>
        <v/>
      </c>
      <c r="R472">
        <f>IF($AG472="","",Config!$B$24)</f>
        <v/>
      </c>
      <c r="S472">
        <f>IF($AG472="","",TEXT(Config!$B$4,"yyyy-mm-dd"))</f>
        <v/>
      </c>
      <c r="T472">
        <f>IF($AG472="","",Config!$B$17)</f>
        <v/>
      </c>
      <c r="U472">
        <f>IF($AG472="","",Config!$B$18)</f>
        <v/>
      </c>
      <c r="V472">
        <f>IF($AG472="","",Config!$B$19)</f>
        <v/>
      </c>
      <c r="W472">
        <f>IF($AG472="","",INDEX('TMP Paste'!$C$2:$C$1601,$AG472))</f>
        <v/>
      </c>
      <c r="X472">
        <f>IF($AG472="","",Config!$B$29)</f>
        <v/>
      </c>
      <c r="Y472">
        <f>IF($AH472="","",INDEX(Calc!$I$2:$I$1601,$AH472)&amp;" - "&amp;INDEX(Calc!$D$2:$D$1601,$AH472)&amp;" koli")</f>
        <v/>
      </c>
      <c r="Z472">
        <f>IF($AG472="","",Config!$B$21)</f>
        <v/>
      </c>
      <c r="AA472">
        <f>IF($AG472="","",Config!$B$22)</f>
        <v/>
      </c>
      <c r="AB472">
        <f>IF($AH472="","",INDEX(Calc!$D$2:$D$1601,$AH472))</f>
        <v/>
      </c>
      <c r="AC472">
        <f>IF($AH472="","",INDEX(Calc!$G$2:$G$1601,$AH472))</f>
        <v/>
      </c>
      <c r="AD472">
        <f>IF($AG472="","",Config!$B$23)</f>
        <v/>
      </c>
      <c r="AE472">
        <f>IF($AG472="","",Config!$B$28)</f>
        <v/>
      </c>
      <c r="AG472">
        <f>IFERROR(MATCH(ROW()-1,Calc!$J$2:$J$1601,0),"")</f>
        <v/>
      </c>
      <c r="AH472">
        <f>IFERROR(MATCH(ROW()-1,Calc!$K$2:$K$1601,0),"")</f>
        <v/>
      </c>
      <c r="AI472">
        <f>IF($AG472="","",SUMIF($AG$2:$AG472,$AG472,$AH$2:$AH472))</f>
        <v/>
      </c>
      <c r="AJ472">
        <f>IF('TMP Paste'!$F472="","",IF('TMP Paste'!$B472="",$AJ471,'TMP Paste'!$B472))</f>
        <v/>
      </c>
      <c r="AK472">
        <f>IF('TMP Paste'!$F472="","",N('TMP Paste'!$G472))</f>
        <v/>
      </c>
      <c r="AL472">
        <f>IF('TMP Paste'!$F472="","",IF('TMP Paste'!$M472="",$AL471,'TMP Paste'!$M472))</f>
        <v/>
      </c>
      <c r="AM472">
        <f>IF('TMP Paste'!$F472="","",IF('TMP Paste'!$N472="",$AM471,'TMP Paste'!$N472))</f>
        <v/>
      </c>
      <c r="AN472">
        <f>IF('TMP Paste'!$F472="","",IF('TMP Paste'!$O472="",$AN471,'TMP Paste'!$O472))</f>
        <v/>
      </c>
      <c r="AO472">
        <f>IF('TMP Paste'!$F472="","",IF('TMP Paste'!$P472="",$AO471,'TMP Paste'!$P472))</f>
        <v/>
      </c>
      <c r="AP472">
        <f>IF($AG472="","",LEN($R472))</f>
        <v/>
      </c>
      <c r="AQ472">
        <f>IF($AG472="","",TRIM(IF(COUNTIFS(Calc!$B$2:$B$1601,ROW()-1,Calc!$C$2:$C$1601,"&lt;1")&gt;0,"Ada PO tanpa Koli - cek TMP. ","")&amp;IF(LEN($R472)&gt;500,"R &gt; 500 karakter.","")))</f>
        <v/>
      </c>
    </row>
    <row r="473">
      <c r="A473">
        <f>IF($AG473="","",INDEX('TMP Paste'!$B$2:$B$1601,$AG473))</f>
        <v/>
      </c>
      <c r="B473">
        <f>IF($AG473="","",Config!$B$14)</f>
        <v/>
      </c>
      <c r="C473">
        <f>IF($AG473="","",Config!$B$15)</f>
        <v/>
      </c>
      <c r="D473">
        <f>IF($AG473="","",INDEX('TMP Paste'!$B$2:$B$1601,$AG473))</f>
        <v/>
      </c>
      <c r="E473">
        <f>IF($AG473="","",Config!$B$27)</f>
        <v/>
      </c>
      <c r="F473">
        <f>IF($AG473="","",Config!$B$9)</f>
        <v/>
      </c>
      <c r="G473">
        <f>IF($AG473="","",Config!$B$10)</f>
        <v/>
      </c>
      <c r="H473">
        <f>IF($AG473="","",Config!$B$11)</f>
        <v/>
      </c>
      <c r="I473">
        <f>IF($AG473="","",Config!$B$16)</f>
        <v/>
      </c>
      <c r="J473">
        <f>IF($AG473="","",INDEX('TMP Paste'!$A$2:$A$1601,$AG473))</f>
        <v/>
      </c>
      <c r="K473">
        <f>IF($AG473="","",INDEX('TMP Paste'!$L$2:$L$1601,$AG473))</f>
        <v/>
      </c>
      <c r="L473">
        <f>IF($AG473="","",INDEX('TMP Paste'!$I$2:$I$1601,$AG473))</f>
        <v/>
      </c>
      <c r="M473">
        <f>IF($AG473="","",Config!$B$16)</f>
        <v/>
      </c>
      <c r="N473">
        <f>IF($AG473="","","")</f>
        <v/>
      </c>
      <c r="O473">
        <f>IF($AG473="","",INDEX('TMP Paste'!$K$2:$K$1601,$AG473))</f>
        <v/>
      </c>
      <c r="P473">
        <f>IF($AG473="","","")</f>
        <v/>
      </c>
      <c r="Q473">
        <f>IF($AG473="","",INDEX('TMP Paste'!$J$2:$J$1601,$AG473))</f>
        <v/>
      </c>
      <c r="R473">
        <f>IF($AG473="","",Config!$B$24)</f>
        <v/>
      </c>
      <c r="S473">
        <f>IF($AG473="","",TEXT(Config!$B$4,"yyyy-mm-dd"))</f>
        <v/>
      </c>
      <c r="T473">
        <f>IF($AG473="","",Config!$B$17)</f>
        <v/>
      </c>
      <c r="U473">
        <f>IF($AG473="","",Config!$B$18)</f>
        <v/>
      </c>
      <c r="V473">
        <f>IF($AG473="","",Config!$B$19)</f>
        <v/>
      </c>
      <c r="W473">
        <f>IF($AG473="","",INDEX('TMP Paste'!$C$2:$C$1601,$AG473))</f>
        <v/>
      </c>
      <c r="X473">
        <f>IF($AG473="","",Config!$B$29)</f>
        <v/>
      </c>
      <c r="Y473">
        <f>IF($AH473="","",INDEX(Calc!$I$2:$I$1601,$AH473)&amp;" - "&amp;INDEX(Calc!$D$2:$D$1601,$AH473)&amp;" koli")</f>
        <v/>
      </c>
      <c r="Z473">
        <f>IF($AG473="","",Config!$B$21)</f>
        <v/>
      </c>
      <c r="AA473">
        <f>IF($AG473="","",Config!$B$22)</f>
        <v/>
      </c>
      <c r="AB473">
        <f>IF($AH473="","",INDEX(Calc!$D$2:$D$1601,$AH473))</f>
        <v/>
      </c>
      <c r="AC473">
        <f>IF($AH473="","",INDEX(Calc!$G$2:$G$1601,$AH473))</f>
        <v/>
      </c>
      <c r="AD473">
        <f>IF($AG473="","",Config!$B$23)</f>
        <v/>
      </c>
      <c r="AE473">
        <f>IF($AG473="","",Config!$B$28)</f>
        <v/>
      </c>
      <c r="AG473">
        <f>IFERROR(MATCH(ROW()-1,Calc!$J$2:$J$1601,0),"")</f>
        <v/>
      </c>
      <c r="AH473">
        <f>IFERROR(MATCH(ROW()-1,Calc!$K$2:$K$1601,0),"")</f>
        <v/>
      </c>
      <c r="AI473">
        <f>IF($AG473="","",SUMIF($AG$2:$AG473,$AG473,$AH$2:$AH473))</f>
        <v/>
      </c>
      <c r="AJ473">
        <f>IF('TMP Paste'!$F473="","",IF('TMP Paste'!$B473="",$AJ472,'TMP Paste'!$B473))</f>
        <v/>
      </c>
      <c r="AK473">
        <f>IF('TMP Paste'!$F473="","",N('TMP Paste'!$G473))</f>
        <v/>
      </c>
      <c r="AL473">
        <f>IF('TMP Paste'!$F473="","",IF('TMP Paste'!$M473="",$AL472,'TMP Paste'!$M473))</f>
        <v/>
      </c>
      <c r="AM473">
        <f>IF('TMP Paste'!$F473="","",IF('TMP Paste'!$N473="",$AM472,'TMP Paste'!$N473))</f>
        <v/>
      </c>
      <c r="AN473">
        <f>IF('TMP Paste'!$F473="","",IF('TMP Paste'!$O473="",$AN472,'TMP Paste'!$O473))</f>
        <v/>
      </c>
      <c r="AO473">
        <f>IF('TMP Paste'!$F473="","",IF('TMP Paste'!$P473="",$AO472,'TMP Paste'!$P473))</f>
        <v/>
      </c>
      <c r="AP473">
        <f>IF($AG473="","",LEN($R473))</f>
        <v/>
      </c>
      <c r="AQ473">
        <f>IF($AG473="","",TRIM(IF(COUNTIFS(Calc!$B$2:$B$1601,ROW()-1,Calc!$C$2:$C$1601,"&lt;1")&gt;0,"Ada PO tanpa Koli - cek TMP. ","")&amp;IF(LEN($R473)&gt;500,"R &gt; 500 karakter.","")))</f>
        <v/>
      </c>
    </row>
    <row r="474">
      <c r="A474">
        <f>IF($AG474="","",INDEX('TMP Paste'!$B$2:$B$1601,$AG474))</f>
        <v/>
      </c>
      <c r="B474">
        <f>IF($AG474="","",Config!$B$14)</f>
        <v/>
      </c>
      <c r="C474">
        <f>IF($AG474="","",Config!$B$15)</f>
        <v/>
      </c>
      <c r="D474">
        <f>IF($AG474="","",INDEX('TMP Paste'!$B$2:$B$1601,$AG474))</f>
        <v/>
      </c>
      <c r="E474">
        <f>IF($AG474="","",Config!$B$27)</f>
        <v/>
      </c>
      <c r="F474">
        <f>IF($AG474="","",Config!$B$9)</f>
        <v/>
      </c>
      <c r="G474">
        <f>IF($AG474="","",Config!$B$10)</f>
        <v/>
      </c>
      <c r="H474">
        <f>IF($AG474="","",Config!$B$11)</f>
        <v/>
      </c>
      <c r="I474">
        <f>IF($AG474="","",Config!$B$16)</f>
        <v/>
      </c>
      <c r="J474">
        <f>IF($AG474="","",INDEX('TMP Paste'!$A$2:$A$1601,$AG474))</f>
        <v/>
      </c>
      <c r="K474">
        <f>IF($AG474="","",INDEX('TMP Paste'!$L$2:$L$1601,$AG474))</f>
        <v/>
      </c>
      <c r="L474">
        <f>IF($AG474="","",INDEX('TMP Paste'!$I$2:$I$1601,$AG474))</f>
        <v/>
      </c>
      <c r="M474">
        <f>IF($AG474="","",Config!$B$16)</f>
        <v/>
      </c>
      <c r="N474">
        <f>IF($AG474="","","")</f>
        <v/>
      </c>
      <c r="O474">
        <f>IF($AG474="","",INDEX('TMP Paste'!$K$2:$K$1601,$AG474))</f>
        <v/>
      </c>
      <c r="P474">
        <f>IF($AG474="","","")</f>
        <v/>
      </c>
      <c r="Q474">
        <f>IF($AG474="","",INDEX('TMP Paste'!$J$2:$J$1601,$AG474))</f>
        <v/>
      </c>
      <c r="R474">
        <f>IF($AG474="","",Config!$B$24)</f>
        <v/>
      </c>
      <c r="S474">
        <f>IF($AG474="","",TEXT(Config!$B$4,"yyyy-mm-dd"))</f>
        <v/>
      </c>
      <c r="T474">
        <f>IF($AG474="","",Config!$B$17)</f>
        <v/>
      </c>
      <c r="U474">
        <f>IF($AG474="","",Config!$B$18)</f>
        <v/>
      </c>
      <c r="V474">
        <f>IF($AG474="","",Config!$B$19)</f>
        <v/>
      </c>
      <c r="W474">
        <f>IF($AG474="","",INDEX('TMP Paste'!$C$2:$C$1601,$AG474))</f>
        <v/>
      </c>
      <c r="X474">
        <f>IF($AG474="","",Config!$B$29)</f>
        <v/>
      </c>
      <c r="Y474">
        <f>IF($AH474="","",INDEX(Calc!$I$2:$I$1601,$AH474)&amp;" - "&amp;INDEX(Calc!$D$2:$D$1601,$AH474)&amp;" koli")</f>
        <v/>
      </c>
      <c r="Z474">
        <f>IF($AG474="","",Config!$B$21)</f>
        <v/>
      </c>
      <c r="AA474">
        <f>IF($AG474="","",Config!$B$22)</f>
        <v/>
      </c>
      <c r="AB474">
        <f>IF($AH474="","",INDEX(Calc!$D$2:$D$1601,$AH474))</f>
        <v/>
      </c>
      <c r="AC474">
        <f>IF($AH474="","",INDEX(Calc!$G$2:$G$1601,$AH474))</f>
        <v/>
      </c>
      <c r="AD474">
        <f>IF($AG474="","",Config!$B$23)</f>
        <v/>
      </c>
      <c r="AE474">
        <f>IF($AG474="","",Config!$B$28)</f>
        <v/>
      </c>
      <c r="AG474">
        <f>IFERROR(MATCH(ROW()-1,Calc!$J$2:$J$1601,0),"")</f>
        <v/>
      </c>
      <c r="AH474">
        <f>IFERROR(MATCH(ROW()-1,Calc!$K$2:$K$1601,0),"")</f>
        <v/>
      </c>
      <c r="AI474">
        <f>IF($AG474="","",SUMIF($AG$2:$AG474,$AG474,$AH$2:$AH474))</f>
        <v/>
      </c>
      <c r="AJ474">
        <f>IF('TMP Paste'!$F474="","",IF('TMP Paste'!$B474="",$AJ473,'TMP Paste'!$B474))</f>
        <v/>
      </c>
      <c r="AK474">
        <f>IF('TMP Paste'!$F474="","",N('TMP Paste'!$G474))</f>
        <v/>
      </c>
      <c r="AL474">
        <f>IF('TMP Paste'!$F474="","",IF('TMP Paste'!$M474="",$AL473,'TMP Paste'!$M474))</f>
        <v/>
      </c>
      <c r="AM474">
        <f>IF('TMP Paste'!$F474="","",IF('TMP Paste'!$N474="",$AM473,'TMP Paste'!$N474))</f>
        <v/>
      </c>
      <c r="AN474">
        <f>IF('TMP Paste'!$F474="","",IF('TMP Paste'!$O474="",$AN473,'TMP Paste'!$O474))</f>
        <v/>
      </c>
      <c r="AO474">
        <f>IF('TMP Paste'!$F474="","",IF('TMP Paste'!$P474="",$AO473,'TMP Paste'!$P474))</f>
        <v/>
      </c>
      <c r="AP474">
        <f>IF($AG474="","",LEN($R474))</f>
        <v/>
      </c>
      <c r="AQ474">
        <f>IF($AG474="","",TRIM(IF(COUNTIFS(Calc!$B$2:$B$1601,ROW()-1,Calc!$C$2:$C$1601,"&lt;1")&gt;0,"Ada PO tanpa Koli - cek TMP. ","")&amp;IF(LEN($R474)&gt;500,"R &gt; 500 karakter.","")))</f>
        <v/>
      </c>
    </row>
    <row r="475">
      <c r="A475">
        <f>IF($AG475="","",INDEX('TMP Paste'!$B$2:$B$1601,$AG475))</f>
        <v/>
      </c>
      <c r="B475">
        <f>IF($AG475="","",Config!$B$14)</f>
        <v/>
      </c>
      <c r="C475">
        <f>IF($AG475="","",Config!$B$15)</f>
        <v/>
      </c>
      <c r="D475">
        <f>IF($AG475="","",INDEX('TMP Paste'!$B$2:$B$1601,$AG475))</f>
        <v/>
      </c>
      <c r="E475">
        <f>IF($AG475="","",Config!$B$27)</f>
        <v/>
      </c>
      <c r="F475">
        <f>IF($AG475="","",Config!$B$9)</f>
        <v/>
      </c>
      <c r="G475">
        <f>IF($AG475="","",Config!$B$10)</f>
        <v/>
      </c>
      <c r="H475">
        <f>IF($AG475="","",Config!$B$11)</f>
        <v/>
      </c>
      <c r="I475">
        <f>IF($AG475="","",Config!$B$16)</f>
        <v/>
      </c>
      <c r="J475">
        <f>IF($AG475="","",INDEX('TMP Paste'!$A$2:$A$1601,$AG475))</f>
        <v/>
      </c>
      <c r="K475">
        <f>IF($AG475="","",INDEX('TMP Paste'!$L$2:$L$1601,$AG475))</f>
        <v/>
      </c>
      <c r="L475">
        <f>IF($AG475="","",INDEX('TMP Paste'!$I$2:$I$1601,$AG475))</f>
        <v/>
      </c>
      <c r="M475">
        <f>IF($AG475="","",Config!$B$16)</f>
        <v/>
      </c>
      <c r="N475">
        <f>IF($AG475="","","")</f>
        <v/>
      </c>
      <c r="O475">
        <f>IF($AG475="","",INDEX('TMP Paste'!$K$2:$K$1601,$AG475))</f>
        <v/>
      </c>
      <c r="P475">
        <f>IF($AG475="","","")</f>
        <v/>
      </c>
      <c r="Q475">
        <f>IF($AG475="","",INDEX('TMP Paste'!$J$2:$J$1601,$AG475))</f>
        <v/>
      </c>
      <c r="R475">
        <f>IF($AG475="","",Config!$B$24)</f>
        <v/>
      </c>
      <c r="S475">
        <f>IF($AG475="","",TEXT(Config!$B$4,"yyyy-mm-dd"))</f>
        <v/>
      </c>
      <c r="T475">
        <f>IF($AG475="","",Config!$B$17)</f>
        <v/>
      </c>
      <c r="U475">
        <f>IF($AG475="","",Config!$B$18)</f>
        <v/>
      </c>
      <c r="V475">
        <f>IF($AG475="","",Config!$B$19)</f>
        <v/>
      </c>
      <c r="W475">
        <f>IF($AG475="","",INDEX('TMP Paste'!$C$2:$C$1601,$AG475))</f>
        <v/>
      </c>
      <c r="X475">
        <f>IF($AG475="","",Config!$B$29)</f>
        <v/>
      </c>
      <c r="Y475">
        <f>IF($AH475="","",INDEX(Calc!$I$2:$I$1601,$AH475)&amp;" - "&amp;INDEX(Calc!$D$2:$D$1601,$AH475)&amp;" koli")</f>
        <v/>
      </c>
      <c r="Z475">
        <f>IF($AG475="","",Config!$B$21)</f>
        <v/>
      </c>
      <c r="AA475">
        <f>IF($AG475="","",Config!$B$22)</f>
        <v/>
      </c>
      <c r="AB475">
        <f>IF($AH475="","",INDEX(Calc!$D$2:$D$1601,$AH475))</f>
        <v/>
      </c>
      <c r="AC475">
        <f>IF($AH475="","",INDEX(Calc!$G$2:$G$1601,$AH475))</f>
        <v/>
      </c>
      <c r="AD475">
        <f>IF($AG475="","",Config!$B$23)</f>
        <v/>
      </c>
      <c r="AE475">
        <f>IF($AG475="","",Config!$B$28)</f>
        <v/>
      </c>
      <c r="AG475">
        <f>IFERROR(MATCH(ROW()-1,Calc!$J$2:$J$1601,0),"")</f>
        <v/>
      </c>
      <c r="AH475">
        <f>IFERROR(MATCH(ROW()-1,Calc!$K$2:$K$1601,0),"")</f>
        <v/>
      </c>
      <c r="AI475">
        <f>IF($AG475="","",SUMIF($AG$2:$AG475,$AG475,$AH$2:$AH475))</f>
        <v/>
      </c>
      <c r="AJ475">
        <f>IF('TMP Paste'!$F475="","",IF('TMP Paste'!$B475="",$AJ474,'TMP Paste'!$B475))</f>
        <v/>
      </c>
      <c r="AK475">
        <f>IF('TMP Paste'!$F475="","",N('TMP Paste'!$G475))</f>
        <v/>
      </c>
      <c r="AL475">
        <f>IF('TMP Paste'!$F475="","",IF('TMP Paste'!$M475="",$AL474,'TMP Paste'!$M475))</f>
        <v/>
      </c>
      <c r="AM475">
        <f>IF('TMP Paste'!$F475="","",IF('TMP Paste'!$N475="",$AM474,'TMP Paste'!$N475))</f>
        <v/>
      </c>
      <c r="AN475">
        <f>IF('TMP Paste'!$F475="","",IF('TMP Paste'!$O475="",$AN474,'TMP Paste'!$O475))</f>
        <v/>
      </c>
      <c r="AO475">
        <f>IF('TMP Paste'!$F475="","",IF('TMP Paste'!$P475="",$AO474,'TMP Paste'!$P475))</f>
        <v/>
      </c>
      <c r="AP475">
        <f>IF($AG475="","",LEN($R475))</f>
        <v/>
      </c>
      <c r="AQ475">
        <f>IF($AG475="","",TRIM(IF(COUNTIFS(Calc!$B$2:$B$1601,ROW()-1,Calc!$C$2:$C$1601,"&lt;1")&gt;0,"Ada PO tanpa Koli - cek TMP. ","")&amp;IF(LEN($R475)&gt;500,"R &gt; 500 karakter.","")))</f>
        <v/>
      </c>
    </row>
    <row r="476">
      <c r="A476">
        <f>IF($AG476="","",INDEX('TMP Paste'!$B$2:$B$1601,$AG476))</f>
        <v/>
      </c>
      <c r="B476">
        <f>IF($AG476="","",Config!$B$14)</f>
        <v/>
      </c>
      <c r="C476">
        <f>IF($AG476="","",Config!$B$15)</f>
        <v/>
      </c>
      <c r="D476">
        <f>IF($AG476="","",INDEX('TMP Paste'!$B$2:$B$1601,$AG476))</f>
        <v/>
      </c>
      <c r="E476">
        <f>IF($AG476="","",Config!$B$27)</f>
        <v/>
      </c>
      <c r="F476">
        <f>IF($AG476="","",Config!$B$9)</f>
        <v/>
      </c>
      <c r="G476">
        <f>IF($AG476="","",Config!$B$10)</f>
        <v/>
      </c>
      <c r="H476">
        <f>IF($AG476="","",Config!$B$11)</f>
        <v/>
      </c>
      <c r="I476">
        <f>IF($AG476="","",Config!$B$16)</f>
        <v/>
      </c>
      <c r="J476">
        <f>IF($AG476="","",INDEX('TMP Paste'!$A$2:$A$1601,$AG476))</f>
        <v/>
      </c>
      <c r="K476">
        <f>IF($AG476="","",INDEX('TMP Paste'!$L$2:$L$1601,$AG476))</f>
        <v/>
      </c>
      <c r="L476">
        <f>IF($AG476="","",INDEX('TMP Paste'!$I$2:$I$1601,$AG476))</f>
        <v/>
      </c>
      <c r="M476">
        <f>IF($AG476="","",Config!$B$16)</f>
        <v/>
      </c>
      <c r="N476">
        <f>IF($AG476="","","")</f>
        <v/>
      </c>
      <c r="O476">
        <f>IF($AG476="","",INDEX('TMP Paste'!$K$2:$K$1601,$AG476))</f>
        <v/>
      </c>
      <c r="P476">
        <f>IF($AG476="","","")</f>
        <v/>
      </c>
      <c r="Q476">
        <f>IF($AG476="","",INDEX('TMP Paste'!$J$2:$J$1601,$AG476))</f>
        <v/>
      </c>
      <c r="R476">
        <f>IF($AG476="","",Config!$B$24)</f>
        <v/>
      </c>
      <c r="S476">
        <f>IF($AG476="","",TEXT(Config!$B$4,"yyyy-mm-dd"))</f>
        <v/>
      </c>
      <c r="T476">
        <f>IF($AG476="","",Config!$B$17)</f>
        <v/>
      </c>
      <c r="U476">
        <f>IF($AG476="","",Config!$B$18)</f>
        <v/>
      </c>
      <c r="V476">
        <f>IF($AG476="","",Config!$B$19)</f>
        <v/>
      </c>
      <c r="W476">
        <f>IF($AG476="","",INDEX('TMP Paste'!$C$2:$C$1601,$AG476))</f>
        <v/>
      </c>
      <c r="X476">
        <f>IF($AG476="","",Config!$B$29)</f>
        <v/>
      </c>
      <c r="Y476">
        <f>IF($AH476="","",INDEX(Calc!$I$2:$I$1601,$AH476)&amp;" - "&amp;INDEX(Calc!$D$2:$D$1601,$AH476)&amp;" koli")</f>
        <v/>
      </c>
      <c r="Z476">
        <f>IF($AG476="","",Config!$B$21)</f>
        <v/>
      </c>
      <c r="AA476">
        <f>IF($AG476="","",Config!$B$22)</f>
        <v/>
      </c>
      <c r="AB476">
        <f>IF($AH476="","",INDEX(Calc!$D$2:$D$1601,$AH476))</f>
        <v/>
      </c>
      <c r="AC476">
        <f>IF($AH476="","",INDEX(Calc!$G$2:$G$1601,$AH476))</f>
        <v/>
      </c>
      <c r="AD476">
        <f>IF($AG476="","",Config!$B$23)</f>
        <v/>
      </c>
      <c r="AE476">
        <f>IF($AG476="","",Config!$B$28)</f>
        <v/>
      </c>
      <c r="AG476">
        <f>IFERROR(MATCH(ROW()-1,Calc!$J$2:$J$1601,0),"")</f>
        <v/>
      </c>
      <c r="AH476">
        <f>IFERROR(MATCH(ROW()-1,Calc!$K$2:$K$1601,0),"")</f>
        <v/>
      </c>
      <c r="AI476">
        <f>IF($AG476="","",SUMIF($AG$2:$AG476,$AG476,$AH$2:$AH476))</f>
        <v/>
      </c>
      <c r="AJ476">
        <f>IF('TMP Paste'!$F476="","",IF('TMP Paste'!$B476="",$AJ475,'TMP Paste'!$B476))</f>
        <v/>
      </c>
      <c r="AK476">
        <f>IF('TMP Paste'!$F476="","",N('TMP Paste'!$G476))</f>
        <v/>
      </c>
      <c r="AL476">
        <f>IF('TMP Paste'!$F476="","",IF('TMP Paste'!$M476="",$AL475,'TMP Paste'!$M476))</f>
        <v/>
      </c>
      <c r="AM476">
        <f>IF('TMP Paste'!$F476="","",IF('TMP Paste'!$N476="",$AM475,'TMP Paste'!$N476))</f>
        <v/>
      </c>
      <c r="AN476">
        <f>IF('TMP Paste'!$F476="","",IF('TMP Paste'!$O476="",$AN475,'TMP Paste'!$O476))</f>
        <v/>
      </c>
      <c r="AO476">
        <f>IF('TMP Paste'!$F476="","",IF('TMP Paste'!$P476="",$AO475,'TMP Paste'!$P476))</f>
        <v/>
      </c>
      <c r="AP476">
        <f>IF($AG476="","",LEN($R476))</f>
        <v/>
      </c>
      <c r="AQ476">
        <f>IF($AG476="","",TRIM(IF(COUNTIFS(Calc!$B$2:$B$1601,ROW()-1,Calc!$C$2:$C$1601,"&lt;1")&gt;0,"Ada PO tanpa Koli - cek TMP. ","")&amp;IF(LEN($R476)&gt;500,"R &gt; 500 karakter.","")))</f>
        <v/>
      </c>
    </row>
    <row r="477">
      <c r="A477">
        <f>IF($AG477="","",INDEX('TMP Paste'!$B$2:$B$1601,$AG477))</f>
        <v/>
      </c>
      <c r="B477">
        <f>IF($AG477="","",Config!$B$14)</f>
        <v/>
      </c>
      <c r="C477">
        <f>IF($AG477="","",Config!$B$15)</f>
        <v/>
      </c>
      <c r="D477">
        <f>IF($AG477="","",INDEX('TMP Paste'!$B$2:$B$1601,$AG477))</f>
        <v/>
      </c>
      <c r="E477">
        <f>IF($AG477="","",Config!$B$27)</f>
        <v/>
      </c>
      <c r="F477">
        <f>IF($AG477="","",Config!$B$9)</f>
        <v/>
      </c>
      <c r="G477">
        <f>IF($AG477="","",Config!$B$10)</f>
        <v/>
      </c>
      <c r="H477">
        <f>IF($AG477="","",Config!$B$11)</f>
        <v/>
      </c>
      <c r="I477">
        <f>IF($AG477="","",Config!$B$16)</f>
        <v/>
      </c>
      <c r="J477">
        <f>IF($AG477="","",INDEX('TMP Paste'!$A$2:$A$1601,$AG477))</f>
        <v/>
      </c>
      <c r="K477">
        <f>IF($AG477="","",INDEX('TMP Paste'!$L$2:$L$1601,$AG477))</f>
        <v/>
      </c>
      <c r="L477">
        <f>IF($AG477="","",INDEX('TMP Paste'!$I$2:$I$1601,$AG477))</f>
        <v/>
      </c>
      <c r="M477">
        <f>IF($AG477="","",Config!$B$16)</f>
        <v/>
      </c>
      <c r="N477">
        <f>IF($AG477="","","")</f>
        <v/>
      </c>
      <c r="O477">
        <f>IF($AG477="","",INDEX('TMP Paste'!$K$2:$K$1601,$AG477))</f>
        <v/>
      </c>
      <c r="P477">
        <f>IF($AG477="","","")</f>
        <v/>
      </c>
      <c r="Q477">
        <f>IF($AG477="","",INDEX('TMP Paste'!$J$2:$J$1601,$AG477))</f>
        <v/>
      </c>
      <c r="R477">
        <f>IF($AG477="","",Config!$B$24)</f>
        <v/>
      </c>
      <c r="S477">
        <f>IF($AG477="","",TEXT(Config!$B$4,"yyyy-mm-dd"))</f>
        <v/>
      </c>
      <c r="T477">
        <f>IF($AG477="","",Config!$B$17)</f>
        <v/>
      </c>
      <c r="U477">
        <f>IF($AG477="","",Config!$B$18)</f>
        <v/>
      </c>
      <c r="V477">
        <f>IF($AG477="","",Config!$B$19)</f>
        <v/>
      </c>
      <c r="W477">
        <f>IF($AG477="","",INDEX('TMP Paste'!$C$2:$C$1601,$AG477))</f>
        <v/>
      </c>
      <c r="X477">
        <f>IF($AG477="","",Config!$B$29)</f>
        <v/>
      </c>
      <c r="Y477">
        <f>IF($AH477="","",INDEX(Calc!$I$2:$I$1601,$AH477)&amp;" - "&amp;INDEX(Calc!$D$2:$D$1601,$AH477)&amp;" koli")</f>
        <v/>
      </c>
      <c r="Z477">
        <f>IF($AG477="","",Config!$B$21)</f>
        <v/>
      </c>
      <c r="AA477">
        <f>IF($AG477="","",Config!$B$22)</f>
        <v/>
      </c>
      <c r="AB477">
        <f>IF($AH477="","",INDEX(Calc!$D$2:$D$1601,$AH477))</f>
        <v/>
      </c>
      <c r="AC477">
        <f>IF($AH477="","",INDEX(Calc!$G$2:$G$1601,$AH477))</f>
        <v/>
      </c>
      <c r="AD477">
        <f>IF($AG477="","",Config!$B$23)</f>
        <v/>
      </c>
      <c r="AE477">
        <f>IF($AG477="","",Config!$B$28)</f>
        <v/>
      </c>
      <c r="AG477">
        <f>IFERROR(MATCH(ROW()-1,Calc!$J$2:$J$1601,0),"")</f>
        <v/>
      </c>
      <c r="AH477">
        <f>IFERROR(MATCH(ROW()-1,Calc!$K$2:$K$1601,0),"")</f>
        <v/>
      </c>
      <c r="AI477">
        <f>IF($AG477="","",SUMIF($AG$2:$AG477,$AG477,$AH$2:$AH477))</f>
        <v/>
      </c>
      <c r="AJ477">
        <f>IF('TMP Paste'!$F477="","",IF('TMP Paste'!$B477="",$AJ476,'TMP Paste'!$B477))</f>
        <v/>
      </c>
      <c r="AK477">
        <f>IF('TMP Paste'!$F477="","",N('TMP Paste'!$G477))</f>
        <v/>
      </c>
      <c r="AL477">
        <f>IF('TMP Paste'!$F477="","",IF('TMP Paste'!$M477="",$AL476,'TMP Paste'!$M477))</f>
        <v/>
      </c>
      <c r="AM477">
        <f>IF('TMP Paste'!$F477="","",IF('TMP Paste'!$N477="",$AM476,'TMP Paste'!$N477))</f>
        <v/>
      </c>
      <c r="AN477">
        <f>IF('TMP Paste'!$F477="","",IF('TMP Paste'!$O477="",$AN476,'TMP Paste'!$O477))</f>
        <v/>
      </c>
      <c r="AO477">
        <f>IF('TMP Paste'!$F477="","",IF('TMP Paste'!$P477="",$AO476,'TMP Paste'!$P477))</f>
        <v/>
      </c>
      <c r="AP477">
        <f>IF($AG477="","",LEN($R477))</f>
        <v/>
      </c>
      <c r="AQ477">
        <f>IF($AG477="","",TRIM(IF(COUNTIFS(Calc!$B$2:$B$1601,ROW()-1,Calc!$C$2:$C$1601,"&lt;1")&gt;0,"Ada PO tanpa Koli - cek TMP. ","")&amp;IF(LEN($R477)&gt;500,"R &gt; 500 karakter.","")))</f>
        <v/>
      </c>
    </row>
    <row r="478">
      <c r="A478">
        <f>IF($AG478="","",INDEX('TMP Paste'!$B$2:$B$1601,$AG478))</f>
        <v/>
      </c>
      <c r="B478">
        <f>IF($AG478="","",Config!$B$14)</f>
        <v/>
      </c>
      <c r="C478">
        <f>IF($AG478="","",Config!$B$15)</f>
        <v/>
      </c>
      <c r="D478">
        <f>IF($AG478="","",INDEX('TMP Paste'!$B$2:$B$1601,$AG478))</f>
        <v/>
      </c>
      <c r="E478">
        <f>IF($AG478="","",Config!$B$27)</f>
        <v/>
      </c>
      <c r="F478">
        <f>IF($AG478="","",Config!$B$9)</f>
        <v/>
      </c>
      <c r="G478">
        <f>IF($AG478="","",Config!$B$10)</f>
        <v/>
      </c>
      <c r="H478">
        <f>IF($AG478="","",Config!$B$11)</f>
        <v/>
      </c>
      <c r="I478">
        <f>IF($AG478="","",Config!$B$16)</f>
        <v/>
      </c>
      <c r="J478">
        <f>IF($AG478="","",INDEX('TMP Paste'!$A$2:$A$1601,$AG478))</f>
        <v/>
      </c>
      <c r="K478">
        <f>IF($AG478="","",INDEX('TMP Paste'!$L$2:$L$1601,$AG478))</f>
        <v/>
      </c>
      <c r="L478">
        <f>IF($AG478="","",INDEX('TMP Paste'!$I$2:$I$1601,$AG478))</f>
        <v/>
      </c>
      <c r="M478">
        <f>IF($AG478="","",Config!$B$16)</f>
        <v/>
      </c>
      <c r="N478">
        <f>IF($AG478="","","")</f>
        <v/>
      </c>
      <c r="O478">
        <f>IF($AG478="","",INDEX('TMP Paste'!$K$2:$K$1601,$AG478))</f>
        <v/>
      </c>
      <c r="P478">
        <f>IF($AG478="","","")</f>
        <v/>
      </c>
      <c r="Q478">
        <f>IF($AG478="","",INDEX('TMP Paste'!$J$2:$J$1601,$AG478))</f>
        <v/>
      </c>
      <c r="R478">
        <f>IF($AG478="","",Config!$B$24)</f>
        <v/>
      </c>
      <c r="S478">
        <f>IF($AG478="","",TEXT(Config!$B$4,"yyyy-mm-dd"))</f>
        <v/>
      </c>
      <c r="T478">
        <f>IF($AG478="","",Config!$B$17)</f>
        <v/>
      </c>
      <c r="U478">
        <f>IF($AG478="","",Config!$B$18)</f>
        <v/>
      </c>
      <c r="V478">
        <f>IF($AG478="","",Config!$B$19)</f>
        <v/>
      </c>
      <c r="W478">
        <f>IF($AG478="","",INDEX('TMP Paste'!$C$2:$C$1601,$AG478))</f>
        <v/>
      </c>
      <c r="X478">
        <f>IF($AG478="","",Config!$B$29)</f>
        <v/>
      </c>
      <c r="Y478">
        <f>IF($AH478="","",INDEX(Calc!$I$2:$I$1601,$AH478)&amp;" - "&amp;INDEX(Calc!$D$2:$D$1601,$AH478)&amp;" koli")</f>
        <v/>
      </c>
      <c r="Z478">
        <f>IF($AG478="","",Config!$B$21)</f>
        <v/>
      </c>
      <c r="AA478">
        <f>IF($AG478="","",Config!$B$22)</f>
        <v/>
      </c>
      <c r="AB478">
        <f>IF($AH478="","",INDEX(Calc!$D$2:$D$1601,$AH478))</f>
        <v/>
      </c>
      <c r="AC478">
        <f>IF($AH478="","",INDEX(Calc!$G$2:$G$1601,$AH478))</f>
        <v/>
      </c>
      <c r="AD478">
        <f>IF($AG478="","",Config!$B$23)</f>
        <v/>
      </c>
      <c r="AE478">
        <f>IF($AG478="","",Config!$B$28)</f>
        <v/>
      </c>
      <c r="AG478">
        <f>IFERROR(MATCH(ROW()-1,Calc!$J$2:$J$1601,0),"")</f>
        <v/>
      </c>
      <c r="AH478">
        <f>IFERROR(MATCH(ROW()-1,Calc!$K$2:$K$1601,0),"")</f>
        <v/>
      </c>
      <c r="AI478">
        <f>IF($AG478="","",SUMIF($AG$2:$AG478,$AG478,$AH$2:$AH478))</f>
        <v/>
      </c>
      <c r="AJ478">
        <f>IF('TMP Paste'!$F478="","",IF('TMP Paste'!$B478="",$AJ477,'TMP Paste'!$B478))</f>
        <v/>
      </c>
      <c r="AK478">
        <f>IF('TMP Paste'!$F478="","",N('TMP Paste'!$G478))</f>
        <v/>
      </c>
      <c r="AL478">
        <f>IF('TMP Paste'!$F478="","",IF('TMP Paste'!$M478="",$AL477,'TMP Paste'!$M478))</f>
        <v/>
      </c>
      <c r="AM478">
        <f>IF('TMP Paste'!$F478="","",IF('TMP Paste'!$N478="",$AM477,'TMP Paste'!$N478))</f>
        <v/>
      </c>
      <c r="AN478">
        <f>IF('TMP Paste'!$F478="","",IF('TMP Paste'!$O478="",$AN477,'TMP Paste'!$O478))</f>
        <v/>
      </c>
      <c r="AO478">
        <f>IF('TMP Paste'!$F478="","",IF('TMP Paste'!$P478="",$AO477,'TMP Paste'!$P478))</f>
        <v/>
      </c>
      <c r="AP478">
        <f>IF($AG478="","",LEN($R478))</f>
        <v/>
      </c>
      <c r="AQ478">
        <f>IF($AG478="","",TRIM(IF(COUNTIFS(Calc!$B$2:$B$1601,ROW()-1,Calc!$C$2:$C$1601,"&lt;1")&gt;0,"Ada PO tanpa Koli - cek TMP. ","")&amp;IF(LEN($R478)&gt;500,"R &gt; 500 karakter.","")))</f>
        <v/>
      </c>
    </row>
    <row r="479">
      <c r="A479">
        <f>IF($AG479="","",INDEX('TMP Paste'!$B$2:$B$1601,$AG479))</f>
        <v/>
      </c>
      <c r="B479">
        <f>IF($AG479="","",Config!$B$14)</f>
        <v/>
      </c>
      <c r="C479">
        <f>IF($AG479="","",Config!$B$15)</f>
        <v/>
      </c>
      <c r="D479">
        <f>IF($AG479="","",INDEX('TMP Paste'!$B$2:$B$1601,$AG479))</f>
        <v/>
      </c>
      <c r="E479">
        <f>IF($AG479="","",Config!$B$27)</f>
        <v/>
      </c>
      <c r="F479">
        <f>IF($AG479="","",Config!$B$9)</f>
        <v/>
      </c>
      <c r="G479">
        <f>IF($AG479="","",Config!$B$10)</f>
        <v/>
      </c>
      <c r="H479">
        <f>IF($AG479="","",Config!$B$11)</f>
        <v/>
      </c>
      <c r="I479">
        <f>IF($AG479="","",Config!$B$16)</f>
        <v/>
      </c>
      <c r="J479">
        <f>IF($AG479="","",INDEX('TMP Paste'!$A$2:$A$1601,$AG479))</f>
        <v/>
      </c>
      <c r="K479">
        <f>IF($AG479="","",INDEX('TMP Paste'!$L$2:$L$1601,$AG479))</f>
        <v/>
      </c>
      <c r="L479">
        <f>IF($AG479="","",INDEX('TMP Paste'!$I$2:$I$1601,$AG479))</f>
        <v/>
      </c>
      <c r="M479">
        <f>IF($AG479="","",Config!$B$16)</f>
        <v/>
      </c>
      <c r="N479">
        <f>IF($AG479="","","")</f>
        <v/>
      </c>
      <c r="O479">
        <f>IF($AG479="","",INDEX('TMP Paste'!$K$2:$K$1601,$AG479))</f>
        <v/>
      </c>
      <c r="P479">
        <f>IF($AG479="","","")</f>
        <v/>
      </c>
      <c r="Q479">
        <f>IF($AG479="","",INDEX('TMP Paste'!$J$2:$J$1601,$AG479))</f>
        <v/>
      </c>
      <c r="R479">
        <f>IF($AG479="","",Config!$B$24)</f>
        <v/>
      </c>
      <c r="S479">
        <f>IF($AG479="","",TEXT(Config!$B$4,"yyyy-mm-dd"))</f>
        <v/>
      </c>
      <c r="T479">
        <f>IF($AG479="","",Config!$B$17)</f>
        <v/>
      </c>
      <c r="U479">
        <f>IF($AG479="","",Config!$B$18)</f>
        <v/>
      </c>
      <c r="V479">
        <f>IF($AG479="","",Config!$B$19)</f>
        <v/>
      </c>
      <c r="W479">
        <f>IF($AG479="","",INDEX('TMP Paste'!$C$2:$C$1601,$AG479))</f>
        <v/>
      </c>
      <c r="X479">
        <f>IF($AG479="","",Config!$B$29)</f>
        <v/>
      </c>
      <c r="Y479">
        <f>IF($AH479="","",INDEX(Calc!$I$2:$I$1601,$AH479)&amp;" - "&amp;INDEX(Calc!$D$2:$D$1601,$AH479)&amp;" koli")</f>
        <v/>
      </c>
      <c r="Z479">
        <f>IF($AG479="","",Config!$B$21)</f>
        <v/>
      </c>
      <c r="AA479">
        <f>IF($AG479="","",Config!$B$22)</f>
        <v/>
      </c>
      <c r="AB479">
        <f>IF($AH479="","",INDEX(Calc!$D$2:$D$1601,$AH479))</f>
        <v/>
      </c>
      <c r="AC479">
        <f>IF($AH479="","",INDEX(Calc!$G$2:$G$1601,$AH479))</f>
        <v/>
      </c>
      <c r="AD479">
        <f>IF($AG479="","",Config!$B$23)</f>
        <v/>
      </c>
      <c r="AE479">
        <f>IF($AG479="","",Config!$B$28)</f>
        <v/>
      </c>
      <c r="AG479">
        <f>IFERROR(MATCH(ROW()-1,Calc!$J$2:$J$1601,0),"")</f>
        <v/>
      </c>
      <c r="AH479">
        <f>IFERROR(MATCH(ROW()-1,Calc!$K$2:$K$1601,0),"")</f>
        <v/>
      </c>
      <c r="AI479">
        <f>IF($AG479="","",SUMIF($AG$2:$AG479,$AG479,$AH$2:$AH479))</f>
        <v/>
      </c>
      <c r="AJ479">
        <f>IF('TMP Paste'!$F479="","",IF('TMP Paste'!$B479="",$AJ478,'TMP Paste'!$B479))</f>
        <v/>
      </c>
      <c r="AK479">
        <f>IF('TMP Paste'!$F479="","",N('TMP Paste'!$G479))</f>
        <v/>
      </c>
      <c r="AL479">
        <f>IF('TMP Paste'!$F479="","",IF('TMP Paste'!$M479="",$AL478,'TMP Paste'!$M479))</f>
        <v/>
      </c>
      <c r="AM479">
        <f>IF('TMP Paste'!$F479="","",IF('TMP Paste'!$N479="",$AM478,'TMP Paste'!$N479))</f>
        <v/>
      </c>
      <c r="AN479">
        <f>IF('TMP Paste'!$F479="","",IF('TMP Paste'!$O479="",$AN478,'TMP Paste'!$O479))</f>
        <v/>
      </c>
      <c r="AO479">
        <f>IF('TMP Paste'!$F479="","",IF('TMP Paste'!$P479="",$AO478,'TMP Paste'!$P479))</f>
        <v/>
      </c>
      <c r="AP479">
        <f>IF($AG479="","",LEN($R479))</f>
        <v/>
      </c>
      <c r="AQ479">
        <f>IF($AG479="","",TRIM(IF(COUNTIFS(Calc!$B$2:$B$1601,ROW()-1,Calc!$C$2:$C$1601,"&lt;1")&gt;0,"Ada PO tanpa Koli - cek TMP. ","")&amp;IF(LEN($R479)&gt;500,"R &gt; 500 karakter.","")))</f>
        <v/>
      </c>
    </row>
    <row r="480">
      <c r="A480">
        <f>IF($AG480="","",INDEX('TMP Paste'!$B$2:$B$1601,$AG480))</f>
        <v/>
      </c>
      <c r="B480">
        <f>IF($AG480="","",Config!$B$14)</f>
        <v/>
      </c>
      <c r="C480">
        <f>IF($AG480="","",Config!$B$15)</f>
        <v/>
      </c>
      <c r="D480">
        <f>IF($AG480="","",INDEX('TMP Paste'!$B$2:$B$1601,$AG480))</f>
        <v/>
      </c>
      <c r="E480">
        <f>IF($AG480="","",Config!$B$27)</f>
        <v/>
      </c>
      <c r="F480">
        <f>IF($AG480="","",Config!$B$9)</f>
        <v/>
      </c>
      <c r="G480">
        <f>IF($AG480="","",Config!$B$10)</f>
        <v/>
      </c>
      <c r="H480">
        <f>IF($AG480="","",Config!$B$11)</f>
        <v/>
      </c>
      <c r="I480">
        <f>IF($AG480="","",Config!$B$16)</f>
        <v/>
      </c>
      <c r="J480">
        <f>IF($AG480="","",INDEX('TMP Paste'!$A$2:$A$1601,$AG480))</f>
        <v/>
      </c>
      <c r="K480">
        <f>IF($AG480="","",INDEX('TMP Paste'!$L$2:$L$1601,$AG480))</f>
        <v/>
      </c>
      <c r="L480">
        <f>IF($AG480="","",INDEX('TMP Paste'!$I$2:$I$1601,$AG480))</f>
        <v/>
      </c>
      <c r="M480">
        <f>IF($AG480="","",Config!$B$16)</f>
        <v/>
      </c>
      <c r="N480">
        <f>IF($AG480="","","")</f>
        <v/>
      </c>
      <c r="O480">
        <f>IF($AG480="","",INDEX('TMP Paste'!$K$2:$K$1601,$AG480))</f>
        <v/>
      </c>
      <c r="P480">
        <f>IF($AG480="","","")</f>
        <v/>
      </c>
      <c r="Q480">
        <f>IF($AG480="","",INDEX('TMP Paste'!$J$2:$J$1601,$AG480))</f>
        <v/>
      </c>
      <c r="R480">
        <f>IF($AG480="","",Config!$B$24)</f>
        <v/>
      </c>
      <c r="S480">
        <f>IF($AG480="","",TEXT(Config!$B$4,"yyyy-mm-dd"))</f>
        <v/>
      </c>
      <c r="T480">
        <f>IF($AG480="","",Config!$B$17)</f>
        <v/>
      </c>
      <c r="U480">
        <f>IF($AG480="","",Config!$B$18)</f>
        <v/>
      </c>
      <c r="V480">
        <f>IF($AG480="","",Config!$B$19)</f>
        <v/>
      </c>
      <c r="W480">
        <f>IF($AG480="","",INDEX('TMP Paste'!$C$2:$C$1601,$AG480))</f>
        <v/>
      </c>
      <c r="X480">
        <f>IF($AG480="","",Config!$B$29)</f>
        <v/>
      </c>
      <c r="Y480">
        <f>IF($AH480="","",INDEX(Calc!$I$2:$I$1601,$AH480)&amp;" - "&amp;INDEX(Calc!$D$2:$D$1601,$AH480)&amp;" koli")</f>
        <v/>
      </c>
      <c r="Z480">
        <f>IF($AG480="","",Config!$B$21)</f>
        <v/>
      </c>
      <c r="AA480">
        <f>IF($AG480="","",Config!$B$22)</f>
        <v/>
      </c>
      <c r="AB480">
        <f>IF($AH480="","",INDEX(Calc!$D$2:$D$1601,$AH480))</f>
        <v/>
      </c>
      <c r="AC480">
        <f>IF($AH480="","",INDEX(Calc!$G$2:$G$1601,$AH480))</f>
        <v/>
      </c>
      <c r="AD480">
        <f>IF($AG480="","",Config!$B$23)</f>
        <v/>
      </c>
      <c r="AE480">
        <f>IF($AG480="","",Config!$B$28)</f>
        <v/>
      </c>
      <c r="AG480">
        <f>IFERROR(MATCH(ROW()-1,Calc!$J$2:$J$1601,0),"")</f>
        <v/>
      </c>
      <c r="AH480">
        <f>IFERROR(MATCH(ROW()-1,Calc!$K$2:$K$1601,0),"")</f>
        <v/>
      </c>
      <c r="AI480">
        <f>IF($AG480="","",SUMIF($AG$2:$AG480,$AG480,$AH$2:$AH480))</f>
        <v/>
      </c>
      <c r="AJ480">
        <f>IF('TMP Paste'!$F480="","",IF('TMP Paste'!$B480="",$AJ479,'TMP Paste'!$B480))</f>
        <v/>
      </c>
      <c r="AK480">
        <f>IF('TMP Paste'!$F480="","",N('TMP Paste'!$G480))</f>
        <v/>
      </c>
      <c r="AL480">
        <f>IF('TMP Paste'!$F480="","",IF('TMP Paste'!$M480="",$AL479,'TMP Paste'!$M480))</f>
        <v/>
      </c>
      <c r="AM480">
        <f>IF('TMP Paste'!$F480="","",IF('TMP Paste'!$N480="",$AM479,'TMP Paste'!$N480))</f>
        <v/>
      </c>
      <c r="AN480">
        <f>IF('TMP Paste'!$F480="","",IF('TMP Paste'!$O480="",$AN479,'TMP Paste'!$O480))</f>
        <v/>
      </c>
      <c r="AO480">
        <f>IF('TMP Paste'!$F480="","",IF('TMP Paste'!$P480="",$AO479,'TMP Paste'!$P480))</f>
        <v/>
      </c>
      <c r="AP480">
        <f>IF($AG480="","",LEN($R480))</f>
        <v/>
      </c>
      <c r="AQ480">
        <f>IF($AG480="","",TRIM(IF(COUNTIFS(Calc!$B$2:$B$1601,ROW()-1,Calc!$C$2:$C$1601,"&lt;1")&gt;0,"Ada PO tanpa Koli - cek TMP. ","")&amp;IF(LEN($R480)&gt;500,"R &gt; 500 karakter.","")))</f>
        <v/>
      </c>
    </row>
    <row r="481">
      <c r="A481">
        <f>IF($AG481="","",INDEX('TMP Paste'!$B$2:$B$1601,$AG481))</f>
        <v/>
      </c>
      <c r="B481">
        <f>IF($AG481="","",Config!$B$14)</f>
        <v/>
      </c>
      <c r="C481">
        <f>IF($AG481="","",Config!$B$15)</f>
        <v/>
      </c>
      <c r="D481">
        <f>IF($AG481="","",INDEX('TMP Paste'!$B$2:$B$1601,$AG481))</f>
        <v/>
      </c>
      <c r="E481">
        <f>IF($AG481="","",Config!$B$27)</f>
        <v/>
      </c>
      <c r="F481">
        <f>IF($AG481="","",Config!$B$9)</f>
        <v/>
      </c>
      <c r="G481">
        <f>IF($AG481="","",Config!$B$10)</f>
        <v/>
      </c>
      <c r="H481">
        <f>IF($AG481="","",Config!$B$11)</f>
        <v/>
      </c>
      <c r="I481">
        <f>IF($AG481="","",Config!$B$16)</f>
        <v/>
      </c>
      <c r="J481">
        <f>IF($AG481="","",INDEX('TMP Paste'!$A$2:$A$1601,$AG481))</f>
        <v/>
      </c>
      <c r="K481">
        <f>IF($AG481="","",INDEX('TMP Paste'!$L$2:$L$1601,$AG481))</f>
        <v/>
      </c>
      <c r="L481">
        <f>IF($AG481="","",INDEX('TMP Paste'!$I$2:$I$1601,$AG481))</f>
        <v/>
      </c>
      <c r="M481">
        <f>IF($AG481="","",Config!$B$16)</f>
        <v/>
      </c>
      <c r="N481">
        <f>IF($AG481="","","")</f>
        <v/>
      </c>
      <c r="O481">
        <f>IF($AG481="","",INDEX('TMP Paste'!$K$2:$K$1601,$AG481))</f>
        <v/>
      </c>
      <c r="P481">
        <f>IF($AG481="","","")</f>
        <v/>
      </c>
      <c r="Q481">
        <f>IF($AG481="","",INDEX('TMP Paste'!$J$2:$J$1601,$AG481))</f>
        <v/>
      </c>
      <c r="R481">
        <f>IF($AG481="","",Config!$B$24)</f>
        <v/>
      </c>
      <c r="S481">
        <f>IF($AG481="","",TEXT(Config!$B$4,"yyyy-mm-dd"))</f>
        <v/>
      </c>
      <c r="T481">
        <f>IF($AG481="","",Config!$B$17)</f>
        <v/>
      </c>
      <c r="U481">
        <f>IF($AG481="","",Config!$B$18)</f>
        <v/>
      </c>
      <c r="V481">
        <f>IF($AG481="","",Config!$B$19)</f>
        <v/>
      </c>
      <c r="W481">
        <f>IF($AG481="","",INDEX('TMP Paste'!$C$2:$C$1601,$AG481))</f>
        <v/>
      </c>
      <c r="X481">
        <f>IF($AG481="","",Config!$B$29)</f>
        <v/>
      </c>
      <c r="Y481">
        <f>IF($AH481="","",INDEX(Calc!$I$2:$I$1601,$AH481)&amp;" - "&amp;INDEX(Calc!$D$2:$D$1601,$AH481)&amp;" koli")</f>
        <v/>
      </c>
      <c r="Z481">
        <f>IF($AG481="","",Config!$B$21)</f>
        <v/>
      </c>
      <c r="AA481">
        <f>IF($AG481="","",Config!$B$22)</f>
        <v/>
      </c>
      <c r="AB481">
        <f>IF($AH481="","",INDEX(Calc!$D$2:$D$1601,$AH481))</f>
        <v/>
      </c>
      <c r="AC481">
        <f>IF($AH481="","",INDEX(Calc!$G$2:$G$1601,$AH481))</f>
        <v/>
      </c>
      <c r="AD481">
        <f>IF($AG481="","",Config!$B$23)</f>
        <v/>
      </c>
      <c r="AE481">
        <f>IF($AG481="","",Config!$B$28)</f>
        <v/>
      </c>
      <c r="AG481">
        <f>IFERROR(MATCH(ROW()-1,Calc!$J$2:$J$1601,0),"")</f>
        <v/>
      </c>
      <c r="AH481">
        <f>IFERROR(MATCH(ROW()-1,Calc!$K$2:$K$1601,0),"")</f>
        <v/>
      </c>
      <c r="AI481">
        <f>IF($AG481="","",SUMIF($AG$2:$AG481,$AG481,$AH$2:$AH481))</f>
        <v/>
      </c>
      <c r="AJ481">
        <f>IF('TMP Paste'!$F481="","",IF('TMP Paste'!$B481="",$AJ480,'TMP Paste'!$B481))</f>
        <v/>
      </c>
      <c r="AK481">
        <f>IF('TMP Paste'!$F481="","",N('TMP Paste'!$G481))</f>
        <v/>
      </c>
      <c r="AL481">
        <f>IF('TMP Paste'!$F481="","",IF('TMP Paste'!$M481="",$AL480,'TMP Paste'!$M481))</f>
        <v/>
      </c>
      <c r="AM481">
        <f>IF('TMP Paste'!$F481="","",IF('TMP Paste'!$N481="",$AM480,'TMP Paste'!$N481))</f>
        <v/>
      </c>
      <c r="AN481">
        <f>IF('TMP Paste'!$F481="","",IF('TMP Paste'!$O481="",$AN480,'TMP Paste'!$O481))</f>
        <v/>
      </c>
      <c r="AO481">
        <f>IF('TMP Paste'!$F481="","",IF('TMP Paste'!$P481="",$AO480,'TMP Paste'!$P481))</f>
        <v/>
      </c>
      <c r="AP481">
        <f>IF($AG481="","",LEN($R481))</f>
        <v/>
      </c>
      <c r="AQ481">
        <f>IF($AG481="","",TRIM(IF(COUNTIFS(Calc!$B$2:$B$1601,ROW()-1,Calc!$C$2:$C$1601,"&lt;1")&gt;0,"Ada PO tanpa Koli - cek TMP. ","")&amp;IF(LEN($R481)&gt;500,"R &gt; 500 karakter.","")))</f>
        <v/>
      </c>
    </row>
    <row r="482">
      <c r="A482">
        <f>IF($AG482="","",INDEX('TMP Paste'!$B$2:$B$1601,$AG482))</f>
        <v/>
      </c>
      <c r="B482">
        <f>IF($AG482="","",Config!$B$14)</f>
        <v/>
      </c>
      <c r="C482">
        <f>IF($AG482="","",Config!$B$15)</f>
        <v/>
      </c>
      <c r="D482">
        <f>IF($AG482="","",INDEX('TMP Paste'!$B$2:$B$1601,$AG482))</f>
        <v/>
      </c>
      <c r="E482">
        <f>IF($AG482="","",Config!$B$27)</f>
        <v/>
      </c>
      <c r="F482">
        <f>IF($AG482="","",Config!$B$9)</f>
        <v/>
      </c>
      <c r="G482">
        <f>IF($AG482="","",Config!$B$10)</f>
        <v/>
      </c>
      <c r="H482">
        <f>IF($AG482="","",Config!$B$11)</f>
        <v/>
      </c>
      <c r="I482">
        <f>IF($AG482="","",Config!$B$16)</f>
        <v/>
      </c>
      <c r="J482">
        <f>IF($AG482="","",INDEX('TMP Paste'!$A$2:$A$1601,$AG482))</f>
        <v/>
      </c>
      <c r="K482">
        <f>IF($AG482="","",INDEX('TMP Paste'!$L$2:$L$1601,$AG482))</f>
        <v/>
      </c>
      <c r="L482">
        <f>IF($AG482="","",INDEX('TMP Paste'!$I$2:$I$1601,$AG482))</f>
        <v/>
      </c>
      <c r="M482">
        <f>IF($AG482="","",Config!$B$16)</f>
        <v/>
      </c>
      <c r="N482">
        <f>IF($AG482="","","")</f>
        <v/>
      </c>
      <c r="O482">
        <f>IF($AG482="","",INDEX('TMP Paste'!$K$2:$K$1601,$AG482))</f>
        <v/>
      </c>
      <c r="P482">
        <f>IF($AG482="","","")</f>
        <v/>
      </c>
      <c r="Q482">
        <f>IF($AG482="","",INDEX('TMP Paste'!$J$2:$J$1601,$AG482))</f>
        <v/>
      </c>
      <c r="R482">
        <f>IF($AG482="","",Config!$B$24)</f>
        <v/>
      </c>
      <c r="S482">
        <f>IF($AG482="","",TEXT(Config!$B$4,"yyyy-mm-dd"))</f>
        <v/>
      </c>
      <c r="T482">
        <f>IF($AG482="","",Config!$B$17)</f>
        <v/>
      </c>
      <c r="U482">
        <f>IF($AG482="","",Config!$B$18)</f>
        <v/>
      </c>
      <c r="V482">
        <f>IF($AG482="","",Config!$B$19)</f>
        <v/>
      </c>
      <c r="W482">
        <f>IF($AG482="","",INDEX('TMP Paste'!$C$2:$C$1601,$AG482))</f>
        <v/>
      </c>
      <c r="X482">
        <f>IF($AG482="","",Config!$B$29)</f>
        <v/>
      </c>
      <c r="Y482">
        <f>IF($AH482="","",INDEX(Calc!$I$2:$I$1601,$AH482)&amp;" - "&amp;INDEX(Calc!$D$2:$D$1601,$AH482)&amp;" koli")</f>
        <v/>
      </c>
      <c r="Z482">
        <f>IF($AG482="","",Config!$B$21)</f>
        <v/>
      </c>
      <c r="AA482">
        <f>IF($AG482="","",Config!$B$22)</f>
        <v/>
      </c>
      <c r="AB482">
        <f>IF($AH482="","",INDEX(Calc!$D$2:$D$1601,$AH482))</f>
        <v/>
      </c>
      <c r="AC482">
        <f>IF($AH482="","",INDEX(Calc!$G$2:$G$1601,$AH482))</f>
        <v/>
      </c>
      <c r="AD482">
        <f>IF($AG482="","",Config!$B$23)</f>
        <v/>
      </c>
      <c r="AE482">
        <f>IF($AG482="","",Config!$B$28)</f>
        <v/>
      </c>
      <c r="AG482">
        <f>IFERROR(MATCH(ROW()-1,Calc!$J$2:$J$1601,0),"")</f>
        <v/>
      </c>
      <c r="AH482">
        <f>IFERROR(MATCH(ROW()-1,Calc!$K$2:$K$1601,0),"")</f>
        <v/>
      </c>
      <c r="AI482">
        <f>IF($AG482="","",SUMIF($AG$2:$AG482,$AG482,$AH$2:$AH482))</f>
        <v/>
      </c>
      <c r="AJ482">
        <f>IF('TMP Paste'!$F482="","",IF('TMP Paste'!$B482="",$AJ481,'TMP Paste'!$B482))</f>
        <v/>
      </c>
      <c r="AK482">
        <f>IF('TMP Paste'!$F482="","",N('TMP Paste'!$G482))</f>
        <v/>
      </c>
      <c r="AL482">
        <f>IF('TMP Paste'!$F482="","",IF('TMP Paste'!$M482="",$AL481,'TMP Paste'!$M482))</f>
        <v/>
      </c>
      <c r="AM482">
        <f>IF('TMP Paste'!$F482="","",IF('TMP Paste'!$N482="",$AM481,'TMP Paste'!$N482))</f>
        <v/>
      </c>
      <c r="AN482">
        <f>IF('TMP Paste'!$F482="","",IF('TMP Paste'!$O482="",$AN481,'TMP Paste'!$O482))</f>
        <v/>
      </c>
      <c r="AO482">
        <f>IF('TMP Paste'!$F482="","",IF('TMP Paste'!$P482="",$AO481,'TMP Paste'!$P482))</f>
        <v/>
      </c>
      <c r="AP482">
        <f>IF($AG482="","",LEN($R482))</f>
        <v/>
      </c>
      <c r="AQ482">
        <f>IF($AG482="","",TRIM(IF(COUNTIFS(Calc!$B$2:$B$1601,ROW()-1,Calc!$C$2:$C$1601,"&lt;1")&gt;0,"Ada PO tanpa Koli - cek TMP. ","")&amp;IF(LEN($R482)&gt;500,"R &gt; 500 karakter.","")))</f>
        <v/>
      </c>
    </row>
    <row r="483">
      <c r="A483">
        <f>IF($AG483="","",INDEX('TMP Paste'!$B$2:$B$1601,$AG483))</f>
        <v/>
      </c>
      <c r="B483">
        <f>IF($AG483="","",Config!$B$14)</f>
        <v/>
      </c>
      <c r="C483">
        <f>IF($AG483="","",Config!$B$15)</f>
        <v/>
      </c>
      <c r="D483">
        <f>IF($AG483="","",INDEX('TMP Paste'!$B$2:$B$1601,$AG483))</f>
        <v/>
      </c>
      <c r="E483">
        <f>IF($AG483="","",Config!$B$27)</f>
        <v/>
      </c>
      <c r="F483">
        <f>IF($AG483="","",Config!$B$9)</f>
        <v/>
      </c>
      <c r="G483">
        <f>IF($AG483="","",Config!$B$10)</f>
        <v/>
      </c>
      <c r="H483">
        <f>IF($AG483="","",Config!$B$11)</f>
        <v/>
      </c>
      <c r="I483">
        <f>IF($AG483="","",Config!$B$16)</f>
        <v/>
      </c>
      <c r="J483">
        <f>IF($AG483="","",INDEX('TMP Paste'!$A$2:$A$1601,$AG483))</f>
        <v/>
      </c>
      <c r="K483">
        <f>IF($AG483="","",INDEX('TMP Paste'!$L$2:$L$1601,$AG483))</f>
        <v/>
      </c>
      <c r="L483">
        <f>IF($AG483="","",INDEX('TMP Paste'!$I$2:$I$1601,$AG483))</f>
        <v/>
      </c>
      <c r="M483">
        <f>IF($AG483="","",Config!$B$16)</f>
        <v/>
      </c>
      <c r="N483">
        <f>IF($AG483="","","")</f>
        <v/>
      </c>
      <c r="O483">
        <f>IF($AG483="","",INDEX('TMP Paste'!$K$2:$K$1601,$AG483))</f>
        <v/>
      </c>
      <c r="P483">
        <f>IF($AG483="","","")</f>
        <v/>
      </c>
      <c r="Q483">
        <f>IF($AG483="","",INDEX('TMP Paste'!$J$2:$J$1601,$AG483))</f>
        <v/>
      </c>
      <c r="R483">
        <f>IF($AG483="","",Config!$B$24)</f>
        <v/>
      </c>
      <c r="S483">
        <f>IF($AG483="","",TEXT(Config!$B$4,"yyyy-mm-dd"))</f>
        <v/>
      </c>
      <c r="T483">
        <f>IF($AG483="","",Config!$B$17)</f>
        <v/>
      </c>
      <c r="U483">
        <f>IF($AG483="","",Config!$B$18)</f>
        <v/>
      </c>
      <c r="V483">
        <f>IF($AG483="","",Config!$B$19)</f>
        <v/>
      </c>
      <c r="W483">
        <f>IF($AG483="","",INDEX('TMP Paste'!$C$2:$C$1601,$AG483))</f>
        <v/>
      </c>
      <c r="X483">
        <f>IF($AG483="","",Config!$B$29)</f>
        <v/>
      </c>
      <c r="Y483">
        <f>IF($AH483="","",INDEX(Calc!$I$2:$I$1601,$AH483)&amp;" - "&amp;INDEX(Calc!$D$2:$D$1601,$AH483)&amp;" koli")</f>
        <v/>
      </c>
      <c r="Z483">
        <f>IF($AG483="","",Config!$B$21)</f>
        <v/>
      </c>
      <c r="AA483">
        <f>IF($AG483="","",Config!$B$22)</f>
        <v/>
      </c>
      <c r="AB483">
        <f>IF($AH483="","",INDEX(Calc!$D$2:$D$1601,$AH483))</f>
        <v/>
      </c>
      <c r="AC483">
        <f>IF($AH483="","",INDEX(Calc!$G$2:$G$1601,$AH483))</f>
        <v/>
      </c>
      <c r="AD483">
        <f>IF($AG483="","",Config!$B$23)</f>
        <v/>
      </c>
      <c r="AE483">
        <f>IF($AG483="","",Config!$B$28)</f>
        <v/>
      </c>
      <c r="AG483">
        <f>IFERROR(MATCH(ROW()-1,Calc!$J$2:$J$1601,0),"")</f>
        <v/>
      </c>
      <c r="AH483">
        <f>IFERROR(MATCH(ROW()-1,Calc!$K$2:$K$1601,0),"")</f>
        <v/>
      </c>
      <c r="AI483">
        <f>IF($AG483="","",SUMIF($AG$2:$AG483,$AG483,$AH$2:$AH483))</f>
        <v/>
      </c>
      <c r="AJ483">
        <f>IF('TMP Paste'!$F483="","",IF('TMP Paste'!$B483="",$AJ482,'TMP Paste'!$B483))</f>
        <v/>
      </c>
      <c r="AK483">
        <f>IF('TMP Paste'!$F483="","",N('TMP Paste'!$G483))</f>
        <v/>
      </c>
      <c r="AL483">
        <f>IF('TMP Paste'!$F483="","",IF('TMP Paste'!$M483="",$AL482,'TMP Paste'!$M483))</f>
        <v/>
      </c>
      <c r="AM483">
        <f>IF('TMP Paste'!$F483="","",IF('TMP Paste'!$N483="",$AM482,'TMP Paste'!$N483))</f>
        <v/>
      </c>
      <c r="AN483">
        <f>IF('TMP Paste'!$F483="","",IF('TMP Paste'!$O483="",$AN482,'TMP Paste'!$O483))</f>
        <v/>
      </c>
      <c r="AO483">
        <f>IF('TMP Paste'!$F483="","",IF('TMP Paste'!$P483="",$AO482,'TMP Paste'!$P483))</f>
        <v/>
      </c>
      <c r="AP483">
        <f>IF($AG483="","",LEN($R483))</f>
        <v/>
      </c>
      <c r="AQ483">
        <f>IF($AG483="","",TRIM(IF(COUNTIFS(Calc!$B$2:$B$1601,ROW()-1,Calc!$C$2:$C$1601,"&lt;1")&gt;0,"Ada PO tanpa Koli - cek TMP. ","")&amp;IF(LEN($R483)&gt;500,"R &gt; 500 karakter.","")))</f>
        <v/>
      </c>
    </row>
    <row r="484">
      <c r="A484">
        <f>IF($AG484="","",INDEX('TMP Paste'!$B$2:$B$1601,$AG484))</f>
        <v/>
      </c>
      <c r="B484">
        <f>IF($AG484="","",Config!$B$14)</f>
        <v/>
      </c>
      <c r="C484">
        <f>IF($AG484="","",Config!$B$15)</f>
        <v/>
      </c>
      <c r="D484">
        <f>IF($AG484="","",INDEX('TMP Paste'!$B$2:$B$1601,$AG484))</f>
        <v/>
      </c>
      <c r="E484">
        <f>IF($AG484="","",Config!$B$27)</f>
        <v/>
      </c>
      <c r="F484">
        <f>IF($AG484="","",Config!$B$9)</f>
        <v/>
      </c>
      <c r="G484">
        <f>IF($AG484="","",Config!$B$10)</f>
        <v/>
      </c>
      <c r="H484">
        <f>IF($AG484="","",Config!$B$11)</f>
        <v/>
      </c>
      <c r="I484">
        <f>IF($AG484="","",Config!$B$16)</f>
        <v/>
      </c>
      <c r="J484">
        <f>IF($AG484="","",INDEX('TMP Paste'!$A$2:$A$1601,$AG484))</f>
        <v/>
      </c>
      <c r="K484">
        <f>IF($AG484="","",INDEX('TMP Paste'!$L$2:$L$1601,$AG484))</f>
        <v/>
      </c>
      <c r="L484">
        <f>IF($AG484="","",INDEX('TMP Paste'!$I$2:$I$1601,$AG484))</f>
        <v/>
      </c>
      <c r="M484">
        <f>IF($AG484="","",Config!$B$16)</f>
        <v/>
      </c>
      <c r="N484">
        <f>IF($AG484="","","")</f>
        <v/>
      </c>
      <c r="O484">
        <f>IF($AG484="","",INDEX('TMP Paste'!$K$2:$K$1601,$AG484))</f>
        <v/>
      </c>
      <c r="P484">
        <f>IF($AG484="","","")</f>
        <v/>
      </c>
      <c r="Q484">
        <f>IF($AG484="","",INDEX('TMP Paste'!$J$2:$J$1601,$AG484))</f>
        <v/>
      </c>
      <c r="R484">
        <f>IF($AG484="","",Config!$B$24)</f>
        <v/>
      </c>
      <c r="S484">
        <f>IF($AG484="","",TEXT(Config!$B$4,"yyyy-mm-dd"))</f>
        <v/>
      </c>
      <c r="T484">
        <f>IF($AG484="","",Config!$B$17)</f>
        <v/>
      </c>
      <c r="U484">
        <f>IF($AG484="","",Config!$B$18)</f>
        <v/>
      </c>
      <c r="V484">
        <f>IF($AG484="","",Config!$B$19)</f>
        <v/>
      </c>
      <c r="W484">
        <f>IF($AG484="","",INDEX('TMP Paste'!$C$2:$C$1601,$AG484))</f>
        <v/>
      </c>
      <c r="X484">
        <f>IF($AG484="","",Config!$B$29)</f>
        <v/>
      </c>
      <c r="Y484">
        <f>IF($AH484="","",INDEX(Calc!$I$2:$I$1601,$AH484)&amp;" - "&amp;INDEX(Calc!$D$2:$D$1601,$AH484)&amp;" koli")</f>
        <v/>
      </c>
      <c r="Z484">
        <f>IF($AG484="","",Config!$B$21)</f>
        <v/>
      </c>
      <c r="AA484">
        <f>IF($AG484="","",Config!$B$22)</f>
        <v/>
      </c>
      <c r="AB484">
        <f>IF($AH484="","",INDEX(Calc!$D$2:$D$1601,$AH484))</f>
        <v/>
      </c>
      <c r="AC484">
        <f>IF($AH484="","",INDEX(Calc!$G$2:$G$1601,$AH484))</f>
        <v/>
      </c>
      <c r="AD484">
        <f>IF($AG484="","",Config!$B$23)</f>
        <v/>
      </c>
      <c r="AE484">
        <f>IF($AG484="","",Config!$B$28)</f>
        <v/>
      </c>
      <c r="AG484">
        <f>IFERROR(MATCH(ROW()-1,Calc!$J$2:$J$1601,0),"")</f>
        <v/>
      </c>
      <c r="AH484">
        <f>IFERROR(MATCH(ROW()-1,Calc!$K$2:$K$1601,0),"")</f>
        <v/>
      </c>
      <c r="AI484">
        <f>IF($AG484="","",SUMIF($AG$2:$AG484,$AG484,$AH$2:$AH484))</f>
        <v/>
      </c>
      <c r="AJ484">
        <f>IF('TMP Paste'!$F484="","",IF('TMP Paste'!$B484="",$AJ483,'TMP Paste'!$B484))</f>
        <v/>
      </c>
      <c r="AK484">
        <f>IF('TMP Paste'!$F484="","",N('TMP Paste'!$G484))</f>
        <v/>
      </c>
      <c r="AL484">
        <f>IF('TMP Paste'!$F484="","",IF('TMP Paste'!$M484="",$AL483,'TMP Paste'!$M484))</f>
        <v/>
      </c>
      <c r="AM484">
        <f>IF('TMP Paste'!$F484="","",IF('TMP Paste'!$N484="",$AM483,'TMP Paste'!$N484))</f>
        <v/>
      </c>
      <c r="AN484">
        <f>IF('TMP Paste'!$F484="","",IF('TMP Paste'!$O484="",$AN483,'TMP Paste'!$O484))</f>
        <v/>
      </c>
      <c r="AO484">
        <f>IF('TMP Paste'!$F484="","",IF('TMP Paste'!$P484="",$AO483,'TMP Paste'!$P484))</f>
        <v/>
      </c>
      <c r="AP484">
        <f>IF($AG484="","",LEN($R484))</f>
        <v/>
      </c>
      <c r="AQ484">
        <f>IF($AG484="","",TRIM(IF(COUNTIFS(Calc!$B$2:$B$1601,ROW()-1,Calc!$C$2:$C$1601,"&lt;1")&gt;0,"Ada PO tanpa Koli - cek TMP. ","")&amp;IF(LEN($R484)&gt;500,"R &gt; 500 karakter.","")))</f>
        <v/>
      </c>
    </row>
    <row r="485">
      <c r="A485">
        <f>IF($AG485="","",INDEX('TMP Paste'!$B$2:$B$1601,$AG485))</f>
        <v/>
      </c>
      <c r="B485">
        <f>IF($AG485="","",Config!$B$14)</f>
        <v/>
      </c>
      <c r="C485">
        <f>IF($AG485="","",Config!$B$15)</f>
        <v/>
      </c>
      <c r="D485">
        <f>IF($AG485="","",INDEX('TMP Paste'!$B$2:$B$1601,$AG485))</f>
        <v/>
      </c>
      <c r="E485">
        <f>IF($AG485="","",Config!$B$27)</f>
        <v/>
      </c>
      <c r="F485">
        <f>IF($AG485="","",Config!$B$9)</f>
        <v/>
      </c>
      <c r="G485">
        <f>IF($AG485="","",Config!$B$10)</f>
        <v/>
      </c>
      <c r="H485">
        <f>IF($AG485="","",Config!$B$11)</f>
        <v/>
      </c>
      <c r="I485">
        <f>IF($AG485="","",Config!$B$16)</f>
        <v/>
      </c>
      <c r="J485">
        <f>IF($AG485="","",INDEX('TMP Paste'!$A$2:$A$1601,$AG485))</f>
        <v/>
      </c>
      <c r="K485">
        <f>IF($AG485="","",INDEX('TMP Paste'!$L$2:$L$1601,$AG485))</f>
        <v/>
      </c>
      <c r="L485">
        <f>IF($AG485="","",INDEX('TMP Paste'!$I$2:$I$1601,$AG485))</f>
        <v/>
      </c>
      <c r="M485">
        <f>IF($AG485="","",Config!$B$16)</f>
        <v/>
      </c>
      <c r="N485">
        <f>IF($AG485="","","")</f>
        <v/>
      </c>
      <c r="O485">
        <f>IF($AG485="","",INDEX('TMP Paste'!$K$2:$K$1601,$AG485))</f>
        <v/>
      </c>
      <c r="P485">
        <f>IF($AG485="","","")</f>
        <v/>
      </c>
      <c r="Q485">
        <f>IF($AG485="","",INDEX('TMP Paste'!$J$2:$J$1601,$AG485))</f>
        <v/>
      </c>
      <c r="R485">
        <f>IF($AG485="","",Config!$B$24)</f>
        <v/>
      </c>
      <c r="S485">
        <f>IF($AG485="","",TEXT(Config!$B$4,"yyyy-mm-dd"))</f>
        <v/>
      </c>
      <c r="T485">
        <f>IF($AG485="","",Config!$B$17)</f>
        <v/>
      </c>
      <c r="U485">
        <f>IF($AG485="","",Config!$B$18)</f>
        <v/>
      </c>
      <c r="V485">
        <f>IF($AG485="","",Config!$B$19)</f>
        <v/>
      </c>
      <c r="W485">
        <f>IF($AG485="","",INDEX('TMP Paste'!$C$2:$C$1601,$AG485))</f>
        <v/>
      </c>
      <c r="X485">
        <f>IF($AG485="","",Config!$B$29)</f>
        <v/>
      </c>
      <c r="Y485">
        <f>IF($AH485="","",INDEX(Calc!$I$2:$I$1601,$AH485)&amp;" - "&amp;INDEX(Calc!$D$2:$D$1601,$AH485)&amp;" koli")</f>
        <v/>
      </c>
      <c r="Z485">
        <f>IF($AG485="","",Config!$B$21)</f>
        <v/>
      </c>
      <c r="AA485">
        <f>IF($AG485="","",Config!$B$22)</f>
        <v/>
      </c>
      <c r="AB485">
        <f>IF($AH485="","",INDEX(Calc!$D$2:$D$1601,$AH485))</f>
        <v/>
      </c>
      <c r="AC485">
        <f>IF($AH485="","",INDEX(Calc!$G$2:$G$1601,$AH485))</f>
        <v/>
      </c>
      <c r="AD485">
        <f>IF($AG485="","",Config!$B$23)</f>
        <v/>
      </c>
      <c r="AE485">
        <f>IF($AG485="","",Config!$B$28)</f>
        <v/>
      </c>
      <c r="AG485">
        <f>IFERROR(MATCH(ROW()-1,Calc!$J$2:$J$1601,0),"")</f>
        <v/>
      </c>
      <c r="AH485">
        <f>IFERROR(MATCH(ROW()-1,Calc!$K$2:$K$1601,0),"")</f>
        <v/>
      </c>
      <c r="AI485">
        <f>IF($AG485="","",SUMIF($AG$2:$AG485,$AG485,$AH$2:$AH485))</f>
        <v/>
      </c>
      <c r="AJ485">
        <f>IF('TMP Paste'!$F485="","",IF('TMP Paste'!$B485="",$AJ484,'TMP Paste'!$B485))</f>
        <v/>
      </c>
      <c r="AK485">
        <f>IF('TMP Paste'!$F485="","",N('TMP Paste'!$G485))</f>
        <v/>
      </c>
      <c r="AL485">
        <f>IF('TMP Paste'!$F485="","",IF('TMP Paste'!$M485="",$AL484,'TMP Paste'!$M485))</f>
        <v/>
      </c>
      <c r="AM485">
        <f>IF('TMP Paste'!$F485="","",IF('TMP Paste'!$N485="",$AM484,'TMP Paste'!$N485))</f>
        <v/>
      </c>
      <c r="AN485">
        <f>IF('TMP Paste'!$F485="","",IF('TMP Paste'!$O485="",$AN484,'TMP Paste'!$O485))</f>
        <v/>
      </c>
      <c r="AO485">
        <f>IF('TMP Paste'!$F485="","",IF('TMP Paste'!$P485="",$AO484,'TMP Paste'!$P485))</f>
        <v/>
      </c>
      <c r="AP485">
        <f>IF($AG485="","",LEN($R485))</f>
        <v/>
      </c>
      <c r="AQ485">
        <f>IF($AG485="","",TRIM(IF(COUNTIFS(Calc!$B$2:$B$1601,ROW()-1,Calc!$C$2:$C$1601,"&lt;1")&gt;0,"Ada PO tanpa Koli - cek TMP. ","")&amp;IF(LEN($R485)&gt;500,"R &gt; 500 karakter.","")))</f>
        <v/>
      </c>
    </row>
    <row r="486">
      <c r="A486">
        <f>IF($AG486="","",INDEX('TMP Paste'!$B$2:$B$1601,$AG486))</f>
        <v/>
      </c>
      <c r="B486">
        <f>IF($AG486="","",Config!$B$14)</f>
        <v/>
      </c>
      <c r="C486">
        <f>IF($AG486="","",Config!$B$15)</f>
        <v/>
      </c>
      <c r="D486">
        <f>IF($AG486="","",INDEX('TMP Paste'!$B$2:$B$1601,$AG486))</f>
        <v/>
      </c>
      <c r="E486">
        <f>IF($AG486="","",Config!$B$27)</f>
        <v/>
      </c>
      <c r="F486">
        <f>IF($AG486="","",Config!$B$9)</f>
        <v/>
      </c>
      <c r="G486">
        <f>IF($AG486="","",Config!$B$10)</f>
        <v/>
      </c>
      <c r="H486">
        <f>IF($AG486="","",Config!$B$11)</f>
        <v/>
      </c>
      <c r="I486">
        <f>IF($AG486="","",Config!$B$16)</f>
        <v/>
      </c>
      <c r="J486">
        <f>IF($AG486="","",INDEX('TMP Paste'!$A$2:$A$1601,$AG486))</f>
        <v/>
      </c>
      <c r="K486">
        <f>IF($AG486="","",INDEX('TMP Paste'!$L$2:$L$1601,$AG486))</f>
        <v/>
      </c>
      <c r="L486">
        <f>IF($AG486="","",INDEX('TMP Paste'!$I$2:$I$1601,$AG486))</f>
        <v/>
      </c>
      <c r="M486">
        <f>IF($AG486="","",Config!$B$16)</f>
        <v/>
      </c>
      <c r="N486">
        <f>IF($AG486="","","")</f>
        <v/>
      </c>
      <c r="O486">
        <f>IF($AG486="","",INDEX('TMP Paste'!$K$2:$K$1601,$AG486))</f>
        <v/>
      </c>
      <c r="P486">
        <f>IF($AG486="","","")</f>
        <v/>
      </c>
      <c r="Q486">
        <f>IF($AG486="","",INDEX('TMP Paste'!$J$2:$J$1601,$AG486))</f>
        <v/>
      </c>
      <c r="R486">
        <f>IF($AG486="","",Config!$B$24)</f>
        <v/>
      </c>
      <c r="S486">
        <f>IF($AG486="","",TEXT(Config!$B$4,"yyyy-mm-dd"))</f>
        <v/>
      </c>
      <c r="T486">
        <f>IF($AG486="","",Config!$B$17)</f>
        <v/>
      </c>
      <c r="U486">
        <f>IF($AG486="","",Config!$B$18)</f>
        <v/>
      </c>
      <c r="V486">
        <f>IF($AG486="","",Config!$B$19)</f>
        <v/>
      </c>
      <c r="W486">
        <f>IF($AG486="","",INDEX('TMP Paste'!$C$2:$C$1601,$AG486))</f>
        <v/>
      </c>
      <c r="X486">
        <f>IF($AG486="","",Config!$B$29)</f>
        <v/>
      </c>
      <c r="Y486">
        <f>IF($AH486="","",INDEX(Calc!$I$2:$I$1601,$AH486)&amp;" - "&amp;INDEX(Calc!$D$2:$D$1601,$AH486)&amp;" koli")</f>
        <v/>
      </c>
      <c r="Z486">
        <f>IF($AG486="","",Config!$B$21)</f>
        <v/>
      </c>
      <c r="AA486">
        <f>IF($AG486="","",Config!$B$22)</f>
        <v/>
      </c>
      <c r="AB486">
        <f>IF($AH486="","",INDEX(Calc!$D$2:$D$1601,$AH486))</f>
        <v/>
      </c>
      <c r="AC486">
        <f>IF($AH486="","",INDEX(Calc!$G$2:$G$1601,$AH486))</f>
        <v/>
      </c>
      <c r="AD486">
        <f>IF($AG486="","",Config!$B$23)</f>
        <v/>
      </c>
      <c r="AE486">
        <f>IF($AG486="","",Config!$B$28)</f>
        <v/>
      </c>
      <c r="AG486">
        <f>IFERROR(MATCH(ROW()-1,Calc!$J$2:$J$1601,0),"")</f>
        <v/>
      </c>
      <c r="AH486">
        <f>IFERROR(MATCH(ROW()-1,Calc!$K$2:$K$1601,0),"")</f>
        <v/>
      </c>
      <c r="AI486">
        <f>IF($AG486="","",SUMIF($AG$2:$AG486,$AG486,$AH$2:$AH486))</f>
        <v/>
      </c>
      <c r="AJ486">
        <f>IF('TMP Paste'!$F486="","",IF('TMP Paste'!$B486="",$AJ485,'TMP Paste'!$B486))</f>
        <v/>
      </c>
      <c r="AK486">
        <f>IF('TMP Paste'!$F486="","",N('TMP Paste'!$G486))</f>
        <v/>
      </c>
      <c r="AL486">
        <f>IF('TMP Paste'!$F486="","",IF('TMP Paste'!$M486="",$AL485,'TMP Paste'!$M486))</f>
        <v/>
      </c>
      <c r="AM486">
        <f>IF('TMP Paste'!$F486="","",IF('TMP Paste'!$N486="",$AM485,'TMP Paste'!$N486))</f>
        <v/>
      </c>
      <c r="AN486">
        <f>IF('TMP Paste'!$F486="","",IF('TMP Paste'!$O486="",$AN485,'TMP Paste'!$O486))</f>
        <v/>
      </c>
      <c r="AO486">
        <f>IF('TMP Paste'!$F486="","",IF('TMP Paste'!$P486="",$AO485,'TMP Paste'!$P486))</f>
        <v/>
      </c>
      <c r="AP486">
        <f>IF($AG486="","",LEN($R486))</f>
        <v/>
      </c>
      <c r="AQ486">
        <f>IF($AG486="","",TRIM(IF(COUNTIFS(Calc!$B$2:$B$1601,ROW()-1,Calc!$C$2:$C$1601,"&lt;1")&gt;0,"Ada PO tanpa Koli - cek TMP. ","")&amp;IF(LEN($R486)&gt;500,"R &gt; 500 karakter.","")))</f>
        <v/>
      </c>
    </row>
    <row r="487">
      <c r="A487">
        <f>IF($AG487="","",INDEX('TMP Paste'!$B$2:$B$1601,$AG487))</f>
        <v/>
      </c>
      <c r="B487">
        <f>IF($AG487="","",Config!$B$14)</f>
        <v/>
      </c>
      <c r="C487">
        <f>IF($AG487="","",Config!$B$15)</f>
        <v/>
      </c>
      <c r="D487">
        <f>IF($AG487="","",INDEX('TMP Paste'!$B$2:$B$1601,$AG487))</f>
        <v/>
      </c>
      <c r="E487">
        <f>IF($AG487="","",Config!$B$27)</f>
        <v/>
      </c>
      <c r="F487">
        <f>IF($AG487="","",Config!$B$9)</f>
        <v/>
      </c>
      <c r="G487">
        <f>IF($AG487="","",Config!$B$10)</f>
        <v/>
      </c>
      <c r="H487">
        <f>IF($AG487="","",Config!$B$11)</f>
        <v/>
      </c>
      <c r="I487">
        <f>IF($AG487="","",Config!$B$16)</f>
        <v/>
      </c>
      <c r="J487">
        <f>IF($AG487="","",INDEX('TMP Paste'!$A$2:$A$1601,$AG487))</f>
        <v/>
      </c>
      <c r="K487">
        <f>IF($AG487="","",INDEX('TMP Paste'!$L$2:$L$1601,$AG487))</f>
        <v/>
      </c>
      <c r="L487">
        <f>IF($AG487="","",INDEX('TMP Paste'!$I$2:$I$1601,$AG487))</f>
        <v/>
      </c>
      <c r="M487">
        <f>IF($AG487="","",Config!$B$16)</f>
        <v/>
      </c>
      <c r="N487">
        <f>IF($AG487="","","")</f>
        <v/>
      </c>
      <c r="O487">
        <f>IF($AG487="","",INDEX('TMP Paste'!$K$2:$K$1601,$AG487))</f>
        <v/>
      </c>
      <c r="P487">
        <f>IF($AG487="","","")</f>
        <v/>
      </c>
      <c r="Q487">
        <f>IF($AG487="","",INDEX('TMP Paste'!$J$2:$J$1601,$AG487))</f>
        <v/>
      </c>
      <c r="R487">
        <f>IF($AG487="","",Config!$B$24)</f>
        <v/>
      </c>
      <c r="S487">
        <f>IF($AG487="","",TEXT(Config!$B$4,"yyyy-mm-dd"))</f>
        <v/>
      </c>
      <c r="T487">
        <f>IF($AG487="","",Config!$B$17)</f>
        <v/>
      </c>
      <c r="U487">
        <f>IF($AG487="","",Config!$B$18)</f>
        <v/>
      </c>
      <c r="V487">
        <f>IF($AG487="","",Config!$B$19)</f>
        <v/>
      </c>
      <c r="W487">
        <f>IF($AG487="","",INDEX('TMP Paste'!$C$2:$C$1601,$AG487))</f>
        <v/>
      </c>
      <c r="X487">
        <f>IF($AG487="","",Config!$B$29)</f>
        <v/>
      </c>
      <c r="Y487">
        <f>IF($AH487="","",INDEX(Calc!$I$2:$I$1601,$AH487)&amp;" - "&amp;INDEX(Calc!$D$2:$D$1601,$AH487)&amp;" koli")</f>
        <v/>
      </c>
      <c r="Z487">
        <f>IF($AG487="","",Config!$B$21)</f>
        <v/>
      </c>
      <c r="AA487">
        <f>IF($AG487="","",Config!$B$22)</f>
        <v/>
      </c>
      <c r="AB487">
        <f>IF($AH487="","",INDEX(Calc!$D$2:$D$1601,$AH487))</f>
        <v/>
      </c>
      <c r="AC487">
        <f>IF($AH487="","",INDEX(Calc!$G$2:$G$1601,$AH487))</f>
        <v/>
      </c>
      <c r="AD487">
        <f>IF($AG487="","",Config!$B$23)</f>
        <v/>
      </c>
      <c r="AE487">
        <f>IF($AG487="","",Config!$B$28)</f>
        <v/>
      </c>
      <c r="AG487">
        <f>IFERROR(MATCH(ROW()-1,Calc!$J$2:$J$1601,0),"")</f>
        <v/>
      </c>
      <c r="AH487">
        <f>IFERROR(MATCH(ROW()-1,Calc!$K$2:$K$1601,0),"")</f>
        <v/>
      </c>
      <c r="AI487">
        <f>IF($AG487="","",SUMIF($AG$2:$AG487,$AG487,$AH$2:$AH487))</f>
        <v/>
      </c>
      <c r="AJ487">
        <f>IF('TMP Paste'!$F487="","",IF('TMP Paste'!$B487="",$AJ486,'TMP Paste'!$B487))</f>
        <v/>
      </c>
      <c r="AK487">
        <f>IF('TMP Paste'!$F487="","",N('TMP Paste'!$G487))</f>
        <v/>
      </c>
      <c r="AL487">
        <f>IF('TMP Paste'!$F487="","",IF('TMP Paste'!$M487="",$AL486,'TMP Paste'!$M487))</f>
        <v/>
      </c>
      <c r="AM487">
        <f>IF('TMP Paste'!$F487="","",IF('TMP Paste'!$N487="",$AM486,'TMP Paste'!$N487))</f>
        <v/>
      </c>
      <c r="AN487">
        <f>IF('TMP Paste'!$F487="","",IF('TMP Paste'!$O487="",$AN486,'TMP Paste'!$O487))</f>
        <v/>
      </c>
      <c r="AO487">
        <f>IF('TMP Paste'!$F487="","",IF('TMP Paste'!$P487="",$AO486,'TMP Paste'!$P487))</f>
        <v/>
      </c>
      <c r="AP487">
        <f>IF($AG487="","",LEN($R487))</f>
        <v/>
      </c>
      <c r="AQ487">
        <f>IF($AG487="","",TRIM(IF(COUNTIFS(Calc!$B$2:$B$1601,ROW()-1,Calc!$C$2:$C$1601,"&lt;1")&gt;0,"Ada PO tanpa Koli - cek TMP. ","")&amp;IF(LEN($R487)&gt;500,"R &gt; 500 karakter.","")))</f>
        <v/>
      </c>
    </row>
    <row r="488">
      <c r="A488">
        <f>IF($AG488="","",INDEX('TMP Paste'!$B$2:$B$1601,$AG488))</f>
        <v/>
      </c>
      <c r="B488">
        <f>IF($AG488="","",Config!$B$14)</f>
        <v/>
      </c>
      <c r="C488">
        <f>IF($AG488="","",Config!$B$15)</f>
        <v/>
      </c>
      <c r="D488">
        <f>IF($AG488="","",INDEX('TMP Paste'!$B$2:$B$1601,$AG488))</f>
        <v/>
      </c>
      <c r="E488">
        <f>IF($AG488="","",Config!$B$27)</f>
        <v/>
      </c>
      <c r="F488">
        <f>IF($AG488="","",Config!$B$9)</f>
        <v/>
      </c>
      <c r="G488">
        <f>IF($AG488="","",Config!$B$10)</f>
        <v/>
      </c>
      <c r="H488">
        <f>IF($AG488="","",Config!$B$11)</f>
        <v/>
      </c>
      <c r="I488">
        <f>IF($AG488="","",Config!$B$16)</f>
        <v/>
      </c>
      <c r="J488">
        <f>IF($AG488="","",INDEX('TMP Paste'!$A$2:$A$1601,$AG488))</f>
        <v/>
      </c>
      <c r="K488">
        <f>IF($AG488="","",INDEX('TMP Paste'!$L$2:$L$1601,$AG488))</f>
        <v/>
      </c>
      <c r="L488">
        <f>IF($AG488="","",INDEX('TMP Paste'!$I$2:$I$1601,$AG488))</f>
        <v/>
      </c>
      <c r="M488">
        <f>IF($AG488="","",Config!$B$16)</f>
        <v/>
      </c>
      <c r="N488">
        <f>IF($AG488="","","")</f>
        <v/>
      </c>
      <c r="O488">
        <f>IF($AG488="","",INDEX('TMP Paste'!$K$2:$K$1601,$AG488))</f>
        <v/>
      </c>
      <c r="P488">
        <f>IF($AG488="","","")</f>
        <v/>
      </c>
      <c r="Q488">
        <f>IF($AG488="","",INDEX('TMP Paste'!$J$2:$J$1601,$AG488))</f>
        <v/>
      </c>
      <c r="R488">
        <f>IF($AG488="","",Config!$B$24)</f>
        <v/>
      </c>
      <c r="S488">
        <f>IF($AG488="","",TEXT(Config!$B$4,"yyyy-mm-dd"))</f>
        <v/>
      </c>
      <c r="T488">
        <f>IF($AG488="","",Config!$B$17)</f>
        <v/>
      </c>
      <c r="U488">
        <f>IF($AG488="","",Config!$B$18)</f>
        <v/>
      </c>
      <c r="V488">
        <f>IF($AG488="","",Config!$B$19)</f>
        <v/>
      </c>
      <c r="W488">
        <f>IF($AG488="","",INDEX('TMP Paste'!$C$2:$C$1601,$AG488))</f>
        <v/>
      </c>
      <c r="X488">
        <f>IF($AG488="","",Config!$B$29)</f>
        <v/>
      </c>
      <c r="Y488">
        <f>IF($AH488="","",INDEX(Calc!$I$2:$I$1601,$AH488)&amp;" - "&amp;INDEX(Calc!$D$2:$D$1601,$AH488)&amp;" koli")</f>
        <v/>
      </c>
      <c r="Z488">
        <f>IF($AG488="","",Config!$B$21)</f>
        <v/>
      </c>
      <c r="AA488">
        <f>IF($AG488="","",Config!$B$22)</f>
        <v/>
      </c>
      <c r="AB488">
        <f>IF($AH488="","",INDEX(Calc!$D$2:$D$1601,$AH488))</f>
        <v/>
      </c>
      <c r="AC488">
        <f>IF($AH488="","",INDEX(Calc!$G$2:$G$1601,$AH488))</f>
        <v/>
      </c>
      <c r="AD488">
        <f>IF($AG488="","",Config!$B$23)</f>
        <v/>
      </c>
      <c r="AE488">
        <f>IF($AG488="","",Config!$B$28)</f>
        <v/>
      </c>
      <c r="AG488">
        <f>IFERROR(MATCH(ROW()-1,Calc!$J$2:$J$1601,0),"")</f>
        <v/>
      </c>
      <c r="AH488">
        <f>IFERROR(MATCH(ROW()-1,Calc!$K$2:$K$1601,0),"")</f>
        <v/>
      </c>
      <c r="AI488">
        <f>IF($AG488="","",SUMIF($AG$2:$AG488,$AG488,$AH$2:$AH488))</f>
        <v/>
      </c>
      <c r="AJ488">
        <f>IF('TMP Paste'!$F488="","",IF('TMP Paste'!$B488="",$AJ487,'TMP Paste'!$B488))</f>
        <v/>
      </c>
      <c r="AK488">
        <f>IF('TMP Paste'!$F488="","",N('TMP Paste'!$G488))</f>
        <v/>
      </c>
      <c r="AL488">
        <f>IF('TMP Paste'!$F488="","",IF('TMP Paste'!$M488="",$AL487,'TMP Paste'!$M488))</f>
        <v/>
      </c>
      <c r="AM488">
        <f>IF('TMP Paste'!$F488="","",IF('TMP Paste'!$N488="",$AM487,'TMP Paste'!$N488))</f>
        <v/>
      </c>
      <c r="AN488">
        <f>IF('TMP Paste'!$F488="","",IF('TMP Paste'!$O488="",$AN487,'TMP Paste'!$O488))</f>
        <v/>
      </c>
      <c r="AO488">
        <f>IF('TMP Paste'!$F488="","",IF('TMP Paste'!$P488="",$AO487,'TMP Paste'!$P488))</f>
        <v/>
      </c>
      <c r="AP488">
        <f>IF($AG488="","",LEN($R488))</f>
        <v/>
      </c>
      <c r="AQ488">
        <f>IF($AG488="","",TRIM(IF(COUNTIFS(Calc!$B$2:$B$1601,ROW()-1,Calc!$C$2:$C$1601,"&lt;1")&gt;0,"Ada PO tanpa Koli - cek TMP. ","")&amp;IF(LEN($R488)&gt;500,"R &gt; 500 karakter.","")))</f>
        <v/>
      </c>
    </row>
    <row r="489">
      <c r="A489">
        <f>IF($AG489="","",INDEX('TMP Paste'!$B$2:$B$1601,$AG489))</f>
        <v/>
      </c>
      <c r="B489">
        <f>IF($AG489="","",Config!$B$14)</f>
        <v/>
      </c>
      <c r="C489">
        <f>IF($AG489="","",Config!$B$15)</f>
        <v/>
      </c>
      <c r="D489">
        <f>IF($AG489="","",INDEX('TMP Paste'!$B$2:$B$1601,$AG489))</f>
        <v/>
      </c>
      <c r="E489">
        <f>IF($AG489="","",Config!$B$27)</f>
        <v/>
      </c>
      <c r="F489">
        <f>IF($AG489="","",Config!$B$9)</f>
        <v/>
      </c>
      <c r="G489">
        <f>IF($AG489="","",Config!$B$10)</f>
        <v/>
      </c>
      <c r="H489">
        <f>IF($AG489="","",Config!$B$11)</f>
        <v/>
      </c>
      <c r="I489">
        <f>IF($AG489="","",Config!$B$16)</f>
        <v/>
      </c>
      <c r="J489">
        <f>IF($AG489="","",INDEX('TMP Paste'!$A$2:$A$1601,$AG489))</f>
        <v/>
      </c>
      <c r="K489">
        <f>IF($AG489="","",INDEX('TMP Paste'!$L$2:$L$1601,$AG489))</f>
        <v/>
      </c>
      <c r="L489">
        <f>IF($AG489="","",INDEX('TMP Paste'!$I$2:$I$1601,$AG489))</f>
        <v/>
      </c>
      <c r="M489">
        <f>IF($AG489="","",Config!$B$16)</f>
        <v/>
      </c>
      <c r="N489">
        <f>IF($AG489="","","")</f>
        <v/>
      </c>
      <c r="O489">
        <f>IF($AG489="","",INDEX('TMP Paste'!$K$2:$K$1601,$AG489))</f>
        <v/>
      </c>
      <c r="P489">
        <f>IF($AG489="","","")</f>
        <v/>
      </c>
      <c r="Q489">
        <f>IF($AG489="","",INDEX('TMP Paste'!$J$2:$J$1601,$AG489))</f>
        <v/>
      </c>
      <c r="R489">
        <f>IF($AG489="","",Config!$B$24)</f>
        <v/>
      </c>
      <c r="S489">
        <f>IF($AG489="","",TEXT(Config!$B$4,"yyyy-mm-dd"))</f>
        <v/>
      </c>
      <c r="T489">
        <f>IF($AG489="","",Config!$B$17)</f>
        <v/>
      </c>
      <c r="U489">
        <f>IF($AG489="","",Config!$B$18)</f>
        <v/>
      </c>
      <c r="V489">
        <f>IF($AG489="","",Config!$B$19)</f>
        <v/>
      </c>
      <c r="W489">
        <f>IF($AG489="","",INDEX('TMP Paste'!$C$2:$C$1601,$AG489))</f>
        <v/>
      </c>
      <c r="X489">
        <f>IF($AG489="","",Config!$B$29)</f>
        <v/>
      </c>
      <c r="Y489">
        <f>IF($AH489="","",INDEX(Calc!$I$2:$I$1601,$AH489)&amp;" - "&amp;INDEX(Calc!$D$2:$D$1601,$AH489)&amp;" koli")</f>
        <v/>
      </c>
      <c r="Z489">
        <f>IF($AG489="","",Config!$B$21)</f>
        <v/>
      </c>
      <c r="AA489">
        <f>IF($AG489="","",Config!$B$22)</f>
        <v/>
      </c>
      <c r="AB489">
        <f>IF($AH489="","",INDEX(Calc!$D$2:$D$1601,$AH489))</f>
        <v/>
      </c>
      <c r="AC489">
        <f>IF($AH489="","",INDEX(Calc!$G$2:$G$1601,$AH489))</f>
        <v/>
      </c>
      <c r="AD489">
        <f>IF($AG489="","",Config!$B$23)</f>
        <v/>
      </c>
      <c r="AE489">
        <f>IF($AG489="","",Config!$B$28)</f>
        <v/>
      </c>
      <c r="AG489">
        <f>IFERROR(MATCH(ROW()-1,Calc!$J$2:$J$1601,0),"")</f>
        <v/>
      </c>
      <c r="AH489">
        <f>IFERROR(MATCH(ROW()-1,Calc!$K$2:$K$1601,0),"")</f>
        <v/>
      </c>
      <c r="AI489">
        <f>IF($AG489="","",SUMIF($AG$2:$AG489,$AG489,$AH$2:$AH489))</f>
        <v/>
      </c>
      <c r="AJ489">
        <f>IF('TMP Paste'!$F489="","",IF('TMP Paste'!$B489="",$AJ488,'TMP Paste'!$B489))</f>
        <v/>
      </c>
      <c r="AK489">
        <f>IF('TMP Paste'!$F489="","",N('TMP Paste'!$G489))</f>
        <v/>
      </c>
      <c r="AL489">
        <f>IF('TMP Paste'!$F489="","",IF('TMP Paste'!$M489="",$AL488,'TMP Paste'!$M489))</f>
        <v/>
      </c>
      <c r="AM489">
        <f>IF('TMP Paste'!$F489="","",IF('TMP Paste'!$N489="",$AM488,'TMP Paste'!$N489))</f>
        <v/>
      </c>
      <c r="AN489">
        <f>IF('TMP Paste'!$F489="","",IF('TMP Paste'!$O489="",$AN488,'TMP Paste'!$O489))</f>
        <v/>
      </c>
      <c r="AO489">
        <f>IF('TMP Paste'!$F489="","",IF('TMP Paste'!$P489="",$AO488,'TMP Paste'!$P489))</f>
        <v/>
      </c>
      <c r="AP489">
        <f>IF($AG489="","",LEN($R489))</f>
        <v/>
      </c>
      <c r="AQ489">
        <f>IF($AG489="","",TRIM(IF(COUNTIFS(Calc!$B$2:$B$1601,ROW()-1,Calc!$C$2:$C$1601,"&lt;1")&gt;0,"Ada PO tanpa Koli - cek TMP. ","")&amp;IF(LEN($R489)&gt;500,"R &gt; 500 karakter.","")))</f>
        <v/>
      </c>
    </row>
    <row r="490">
      <c r="A490">
        <f>IF($AG490="","",INDEX('TMP Paste'!$B$2:$B$1601,$AG490))</f>
        <v/>
      </c>
      <c r="B490">
        <f>IF($AG490="","",Config!$B$14)</f>
        <v/>
      </c>
      <c r="C490">
        <f>IF($AG490="","",Config!$B$15)</f>
        <v/>
      </c>
      <c r="D490">
        <f>IF($AG490="","",INDEX('TMP Paste'!$B$2:$B$1601,$AG490))</f>
        <v/>
      </c>
      <c r="E490">
        <f>IF($AG490="","",Config!$B$27)</f>
        <v/>
      </c>
      <c r="F490">
        <f>IF($AG490="","",Config!$B$9)</f>
        <v/>
      </c>
      <c r="G490">
        <f>IF($AG490="","",Config!$B$10)</f>
        <v/>
      </c>
      <c r="H490">
        <f>IF($AG490="","",Config!$B$11)</f>
        <v/>
      </c>
      <c r="I490">
        <f>IF($AG490="","",Config!$B$16)</f>
        <v/>
      </c>
      <c r="J490">
        <f>IF($AG490="","",INDEX('TMP Paste'!$A$2:$A$1601,$AG490))</f>
        <v/>
      </c>
      <c r="K490">
        <f>IF($AG490="","",INDEX('TMP Paste'!$L$2:$L$1601,$AG490))</f>
        <v/>
      </c>
      <c r="L490">
        <f>IF($AG490="","",INDEX('TMP Paste'!$I$2:$I$1601,$AG490))</f>
        <v/>
      </c>
      <c r="M490">
        <f>IF($AG490="","",Config!$B$16)</f>
        <v/>
      </c>
      <c r="N490">
        <f>IF($AG490="","","")</f>
        <v/>
      </c>
      <c r="O490">
        <f>IF($AG490="","",INDEX('TMP Paste'!$K$2:$K$1601,$AG490))</f>
        <v/>
      </c>
      <c r="P490">
        <f>IF($AG490="","","")</f>
        <v/>
      </c>
      <c r="Q490">
        <f>IF($AG490="","",INDEX('TMP Paste'!$J$2:$J$1601,$AG490))</f>
        <v/>
      </c>
      <c r="R490">
        <f>IF($AG490="","",Config!$B$24)</f>
        <v/>
      </c>
      <c r="S490">
        <f>IF($AG490="","",TEXT(Config!$B$4,"yyyy-mm-dd"))</f>
        <v/>
      </c>
      <c r="T490">
        <f>IF($AG490="","",Config!$B$17)</f>
        <v/>
      </c>
      <c r="U490">
        <f>IF($AG490="","",Config!$B$18)</f>
        <v/>
      </c>
      <c r="V490">
        <f>IF($AG490="","",Config!$B$19)</f>
        <v/>
      </c>
      <c r="W490">
        <f>IF($AG490="","",INDEX('TMP Paste'!$C$2:$C$1601,$AG490))</f>
        <v/>
      </c>
      <c r="X490">
        <f>IF($AG490="","",Config!$B$29)</f>
        <v/>
      </c>
      <c r="Y490">
        <f>IF($AH490="","",INDEX(Calc!$I$2:$I$1601,$AH490)&amp;" - "&amp;INDEX(Calc!$D$2:$D$1601,$AH490)&amp;" koli")</f>
        <v/>
      </c>
      <c r="Z490">
        <f>IF($AG490="","",Config!$B$21)</f>
        <v/>
      </c>
      <c r="AA490">
        <f>IF($AG490="","",Config!$B$22)</f>
        <v/>
      </c>
      <c r="AB490">
        <f>IF($AH490="","",INDEX(Calc!$D$2:$D$1601,$AH490))</f>
        <v/>
      </c>
      <c r="AC490">
        <f>IF($AH490="","",INDEX(Calc!$G$2:$G$1601,$AH490))</f>
        <v/>
      </c>
      <c r="AD490">
        <f>IF($AG490="","",Config!$B$23)</f>
        <v/>
      </c>
      <c r="AE490">
        <f>IF($AG490="","",Config!$B$28)</f>
        <v/>
      </c>
      <c r="AG490">
        <f>IFERROR(MATCH(ROW()-1,Calc!$J$2:$J$1601,0),"")</f>
        <v/>
      </c>
      <c r="AH490">
        <f>IFERROR(MATCH(ROW()-1,Calc!$K$2:$K$1601,0),"")</f>
        <v/>
      </c>
      <c r="AI490">
        <f>IF($AG490="","",SUMIF($AG$2:$AG490,$AG490,$AH$2:$AH490))</f>
        <v/>
      </c>
      <c r="AJ490">
        <f>IF('TMP Paste'!$F490="","",IF('TMP Paste'!$B490="",$AJ489,'TMP Paste'!$B490))</f>
        <v/>
      </c>
      <c r="AK490">
        <f>IF('TMP Paste'!$F490="","",N('TMP Paste'!$G490))</f>
        <v/>
      </c>
      <c r="AL490">
        <f>IF('TMP Paste'!$F490="","",IF('TMP Paste'!$M490="",$AL489,'TMP Paste'!$M490))</f>
        <v/>
      </c>
      <c r="AM490">
        <f>IF('TMP Paste'!$F490="","",IF('TMP Paste'!$N490="",$AM489,'TMP Paste'!$N490))</f>
        <v/>
      </c>
      <c r="AN490">
        <f>IF('TMP Paste'!$F490="","",IF('TMP Paste'!$O490="",$AN489,'TMP Paste'!$O490))</f>
        <v/>
      </c>
      <c r="AO490">
        <f>IF('TMP Paste'!$F490="","",IF('TMP Paste'!$P490="",$AO489,'TMP Paste'!$P490))</f>
        <v/>
      </c>
      <c r="AP490">
        <f>IF($AG490="","",LEN($R490))</f>
        <v/>
      </c>
      <c r="AQ490">
        <f>IF($AG490="","",TRIM(IF(COUNTIFS(Calc!$B$2:$B$1601,ROW()-1,Calc!$C$2:$C$1601,"&lt;1")&gt;0,"Ada PO tanpa Koli - cek TMP. ","")&amp;IF(LEN($R490)&gt;500,"R &gt; 500 karakter.","")))</f>
        <v/>
      </c>
    </row>
    <row r="491">
      <c r="A491">
        <f>IF($AG491="","",INDEX('TMP Paste'!$B$2:$B$1601,$AG491))</f>
        <v/>
      </c>
      <c r="B491">
        <f>IF($AG491="","",Config!$B$14)</f>
        <v/>
      </c>
      <c r="C491">
        <f>IF($AG491="","",Config!$B$15)</f>
        <v/>
      </c>
      <c r="D491">
        <f>IF($AG491="","",INDEX('TMP Paste'!$B$2:$B$1601,$AG491))</f>
        <v/>
      </c>
      <c r="E491">
        <f>IF($AG491="","",Config!$B$27)</f>
        <v/>
      </c>
      <c r="F491">
        <f>IF($AG491="","",Config!$B$9)</f>
        <v/>
      </c>
      <c r="G491">
        <f>IF($AG491="","",Config!$B$10)</f>
        <v/>
      </c>
      <c r="H491">
        <f>IF($AG491="","",Config!$B$11)</f>
        <v/>
      </c>
      <c r="I491">
        <f>IF($AG491="","",Config!$B$16)</f>
        <v/>
      </c>
      <c r="J491">
        <f>IF($AG491="","",INDEX('TMP Paste'!$A$2:$A$1601,$AG491))</f>
        <v/>
      </c>
      <c r="K491">
        <f>IF($AG491="","",INDEX('TMP Paste'!$L$2:$L$1601,$AG491))</f>
        <v/>
      </c>
      <c r="L491">
        <f>IF($AG491="","",INDEX('TMP Paste'!$I$2:$I$1601,$AG491))</f>
        <v/>
      </c>
      <c r="M491">
        <f>IF($AG491="","",Config!$B$16)</f>
        <v/>
      </c>
      <c r="N491">
        <f>IF($AG491="","","")</f>
        <v/>
      </c>
      <c r="O491">
        <f>IF($AG491="","",INDEX('TMP Paste'!$K$2:$K$1601,$AG491))</f>
        <v/>
      </c>
      <c r="P491">
        <f>IF($AG491="","","")</f>
        <v/>
      </c>
      <c r="Q491">
        <f>IF($AG491="","",INDEX('TMP Paste'!$J$2:$J$1601,$AG491))</f>
        <v/>
      </c>
      <c r="R491">
        <f>IF($AG491="","",Config!$B$24)</f>
        <v/>
      </c>
      <c r="S491">
        <f>IF($AG491="","",TEXT(Config!$B$4,"yyyy-mm-dd"))</f>
        <v/>
      </c>
      <c r="T491">
        <f>IF($AG491="","",Config!$B$17)</f>
        <v/>
      </c>
      <c r="U491">
        <f>IF($AG491="","",Config!$B$18)</f>
        <v/>
      </c>
      <c r="V491">
        <f>IF($AG491="","",Config!$B$19)</f>
        <v/>
      </c>
      <c r="W491">
        <f>IF($AG491="","",INDEX('TMP Paste'!$C$2:$C$1601,$AG491))</f>
        <v/>
      </c>
      <c r="X491">
        <f>IF($AG491="","",Config!$B$29)</f>
        <v/>
      </c>
      <c r="Y491">
        <f>IF($AH491="","",INDEX(Calc!$I$2:$I$1601,$AH491)&amp;" - "&amp;INDEX(Calc!$D$2:$D$1601,$AH491)&amp;" koli")</f>
        <v/>
      </c>
      <c r="Z491">
        <f>IF($AG491="","",Config!$B$21)</f>
        <v/>
      </c>
      <c r="AA491">
        <f>IF($AG491="","",Config!$B$22)</f>
        <v/>
      </c>
      <c r="AB491">
        <f>IF($AH491="","",INDEX(Calc!$D$2:$D$1601,$AH491))</f>
        <v/>
      </c>
      <c r="AC491">
        <f>IF($AH491="","",INDEX(Calc!$G$2:$G$1601,$AH491))</f>
        <v/>
      </c>
      <c r="AD491">
        <f>IF($AG491="","",Config!$B$23)</f>
        <v/>
      </c>
      <c r="AE491">
        <f>IF($AG491="","",Config!$B$28)</f>
        <v/>
      </c>
      <c r="AG491">
        <f>IFERROR(MATCH(ROW()-1,Calc!$J$2:$J$1601,0),"")</f>
        <v/>
      </c>
      <c r="AH491">
        <f>IFERROR(MATCH(ROW()-1,Calc!$K$2:$K$1601,0),"")</f>
        <v/>
      </c>
      <c r="AI491">
        <f>IF($AG491="","",SUMIF($AG$2:$AG491,$AG491,$AH$2:$AH491))</f>
        <v/>
      </c>
      <c r="AJ491">
        <f>IF('TMP Paste'!$F491="","",IF('TMP Paste'!$B491="",$AJ490,'TMP Paste'!$B491))</f>
        <v/>
      </c>
      <c r="AK491">
        <f>IF('TMP Paste'!$F491="","",N('TMP Paste'!$G491))</f>
        <v/>
      </c>
      <c r="AL491">
        <f>IF('TMP Paste'!$F491="","",IF('TMP Paste'!$M491="",$AL490,'TMP Paste'!$M491))</f>
        <v/>
      </c>
      <c r="AM491">
        <f>IF('TMP Paste'!$F491="","",IF('TMP Paste'!$N491="",$AM490,'TMP Paste'!$N491))</f>
        <v/>
      </c>
      <c r="AN491">
        <f>IF('TMP Paste'!$F491="","",IF('TMP Paste'!$O491="",$AN490,'TMP Paste'!$O491))</f>
        <v/>
      </c>
      <c r="AO491">
        <f>IF('TMP Paste'!$F491="","",IF('TMP Paste'!$P491="",$AO490,'TMP Paste'!$P491))</f>
        <v/>
      </c>
      <c r="AP491">
        <f>IF($AG491="","",LEN($R491))</f>
        <v/>
      </c>
      <c r="AQ491">
        <f>IF($AG491="","",TRIM(IF(COUNTIFS(Calc!$B$2:$B$1601,ROW()-1,Calc!$C$2:$C$1601,"&lt;1")&gt;0,"Ada PO tanpa Koli - cek TMP. ","")&amp;IF(LEN($R491)&gt;500,"R &gt; 500 karakter.","")))</f>
        <v/>
      </c>
    </row>
    <row r="492">
      <c r="A492">
        <f>IF($AG492="","",INDEX('TMP Paste'!$B$2:$B$1601,$AG492))</f>
        <v/>
      </c>
      <c r="B492">
        <f>IF($AG492="","",Config!$B$14)</f>
        <v/>
      </c>
      <c r="C492">
        <f>IF($AG492="","",Config!$B$15)</f>
        <v/>
      </c>
      <c r="D492">
        <f>IF($AG492="","",INDEX('TMP Paste'!$B$2:$B$1601,$AG492))</f>
        <v/>
      </c>
      <c r="E492">
        <f>IF($AG492="","",Config!$B$27)</f>
        <v/>
      </c>
      <c r="F492">
        <f>IF($AG492="","",Config!$B$9)</f>
        <v/>
      </c>
      <c r="G492">
        <f>IF($AG492="","",Config!$B$10)</f>
        <v/>
      </c>
      <c r="H492">
        <f>IF($AG492="","",Config!$B$11)</f>
        <v/>
      </c>
      <c r="I492">
        <f>IF($AG492="","",Config!$B$16)</f>
        <v/>
      </c>
      <c r="J492">
        <f>IF($AG492="","",INDEX('TMP Paste'!$A$2:$A$1601,$AG492))</f>
        <v/>
      </c>
      <c r="K492">
        <f>IF($AG492="","",INDEX('TMP Paste'!$L$2:$L$1601,$AG492))</f>
        <v/>
      </c>
      <c r="L492">
        <f>IF($AG492="","",INDEX('TMP Paste'!$I$2:$I$1601,$AG492))</f>
        <v/>
      </c>
      <c r="M492">
        <f>IF($AG492="","",Config!$B$16)</f>
        <v/>
      </c>
      <c r="N492">
        <f>IF($AG492="","","")</f>
        <v/>
      </c>
      <c r="O492">
        <f>IF($AG492="","",INDEX('TMP Paste'!$K$2:$K$1601,$AG492))</f>
        <v/>
      </c>
      <c r="P492">
        <f>IF($AG492="","","")</f>
        <v/>
      </c>
      <c r="Q492">
        <f>IF($AG492="","",INDEX('TMP Paste'!$J$2:$J$1601,$AG492))</f>
        <v/>
      </c>
      <c r="R492">
        <f>IF($AG492="","",Config!$B$24)</f>
        <v/>
      </c>
      <c r="S492">
        <f>IF($AG492="","",TEXT(Config!$B$4,"yyyy-mm-dd"))</f>
        <v/>
      </c>
      <c r="T492">
        <f>IF($AG492="","",Config!$B$17)</f>
        <v/>
      </c>
      <c r="U492">
        <f>IF($AG492="","",Config!$B$18)</f>
        <v/>
      </c>
      <c r="V492">
        <f>IF($AG492="","",Config!$B$19)</f>
        <v/>
      </c>
      <c r="W492">
        <f>IF($AG492="","",INDEX('TMP Paste'!$C$2:$C$1601,$AG492))</f>
        <v/>
      </c>
      <c r="X492">
        <f>IF($AG492="","",Config!$B$29)</f>
        <v/>
      </c>
      <c r="Y492">
        <f>IF($AH492="","",INDEX(Calc!$I$2:$I$1601,$AH492)&amp;" - "&amp;INDEX(Calc!$D$2:$D$1601,$AH492)&amp;" koli")</f>
        <v/>
      </c>
      <c r="Z492">
        <f>IF($AG492="","",Config!$B$21)</f>
        <v/>
      </c>
      <c r="AA492">
        <f>IF($AG492="","",Config!$B$22)</f>
        <v/>
      </c>
      <c r="AB492">
        <f>IF($AH492="","",INDEX(Calc!$D$2:$D$1601,$AH492))</f>
        <v/>
      </c>
      <c r="AC492">
        <f>IF($AH492="","",INDEX(Calc!$G$2:$G$1601,$AH492))</f>
        <v/>
      </c>
      <c r="AD492">
        <f>IF($AG492="","",Config!$B$23)</f>
        <v/>
      </c>
      <c r="AE492">
        <f>IF($AG492="","",Config!$B$28)</f>
        <v/>
      </c>
      <c r="AG492">
        <f>IFERROR(MATCH(ROW()-1,Calc!$J$2:$J$1601,0),"")</f>
        <v/>
      </c>
      <c r="AH492">
        <f>IFERROR(MATCH(ROW()-1,Calc!$K$2:$K$1601,0),"")</f>
        <v/>
      </c>
      <c r="AI492">
        <f>IF($AG492="","",SUMIF($AG$2:$AG492,$AG492,$AH$2:$AH492))</f>
        <v/>
      </c>
      <c r="AJ492">
        <f>IF('TMP Paste'!$F492="","",IF('TMP Paste'!$B492="",$AJ491,'TMP Paste'!$B492))</f>
        <v/>
      </c>
      <c r="AK492">
        <f>IF('TMP Paste'!$F492="","",N('TMP Paste'!$G492))</f>
        <v/>
      </c>
      <c r="AL492">
        <f>IF('TMP Paste'!$F492="","",IF('TMP Paste'!$M492="",$AL491,'TMP Paste'!$M492))</f>
        <v/>
      </c>
      <c r="AM492">
        <f>IF('TMP Paste'!$F492="","",IF('TMP Paste'!$N492="",$AM491,'TMP Paste'!$N492))</f>
        <v/>
      </c>
      <c r="AN492">
        <f>IF('TMP Paste'!$F492="","",IF('TMP Paste'!$O492="",$AN491,'TMP Paste'!$O492))</f>
        <v/>
      </c>
      <c r="AO492">
        <f>IF('TMP Paste'!$F492="","",IF('TMP Paste'!$P492="",$AO491,'TMP Paste'!$P492))</f>
        <v/>
      </c>
      <c r="AP492">
        <f>IF($AG492="","",LEN($R492))</f>
        <v/>
      </c>
      <c r="AQ492">
        <f>IF($AG492="","",TRIM(IF(COUNTIFS(Calc!$B$2:$B$1601,ROW()-1,Calc!$C$2:$C$1601,"&lt;1")&gt;0,"Ada PO tanpa Koli - cek TMP. ","")&amp;IF(LEN($R492)&gt;500,"R &gt; 500 karakter.","")))</f>
        <v/>
      </c>
    </row>
    <row r="493">
      <c r="A493">
        <f>IF($AG493="","",INDEX('TMP Paste'!$B$2:$B$1601,$AG493))</f>
        <v/>
      </c>
      <c r="B493">
        <f>IF($AG493="","",Config!$B$14)</f>
        <v/>
      </c>
      <c r="C493">
        <f>IF($AG493="","",Config!$B$15)</f>
        <v/>
      </c>
      <c r="D493">
        <f>IF($AG493="","",INDEX('TMP Paste'!$B$2:$B$1601,$AG493))</f>
        <v/>
      </c>
      <c r="E493">
        <f>IF($AG493="","",Config!$B$27)</f>
        <v/>
      </c>
      <c r="F493">
        <f>IF($AG493="","",Config!$B$9)</f>
        <v/>
      </c>
      <c r="G493">
        <f>IF($AG493="","",Config!$B$10)</f>
        <v/>
      </c>
      <c r="H493">
        <f>IF($AG493="","",Config!$B$11)</f>
        <v/>
      </c>
      <c r="I493">
        <f>IF($AG493="","",Config!$B$16)</f>
        <v/>
      </c>
      <c r="J493">
        <f>IF($AG493="","",INDEX('TMP Paste'!$A$2:$A$1601,$AG493))</f>
        <v/>
      </c>
      <c r="K493">
        <f>IF($AG493="","",INDEX('TMP Paste'!$L$2:$L$1601,$AG493))</f>
        <v/>
      </c>
      <c r="L493">
        <f>IF($AG493="","",INDEX('TMP Paste'!$I$2:$I$1601,$AG493))</f>
        <v/>
      </c>
      <c r="M493">
        <f>IF($AG493="","",Config!$B$16)</f>
        <v/>
      </c>
      <c r="N493">
        <f>IF($AG493="","","")</f>
        <v/>
      </c>
      <c r="O493">
        <f>IF($AG493="","",INDEX('TMP Paste'!$K$2:$K$1601,$AG493))</f>
        <v/>
      </c>
      <c r="P493">
        <f>IF($AG493="","","")</f>
        <v/>
      </c>
      <c r="Q493">
        <f>IF($AG493="","",INDEX('TMP Paste'!$J$2:$J$1601,$AG493))</f>
        <v/>
      </c>
      <c r="R493">
        <f>IF($AG493="","",Config!$B$24)</f>
        <v/>
      </c>
      <c r="S493">
        <f>IF($AG493="","",TEXT(Config!$B$4,"yyyy-mm-dd"))</f>
        <v/>
      </c>
      <c r="T493">
        <f>IF($AG493="","",Config!$B$17)</f>
        <v/>
      </c>
      <c r="U493">
        <f>IF($AG493="","",Config!$B$18)</f>
        <v/>
      </c>
      <c r="V493">
        <f>IF($AG493="","",Config!$B$19)</f>
        <v/>
      </c>
      <c r="W493">
        <f>IF($AG493="","",INDEX('TMP Paste'!$C$2:$C$1601,$AG493))</f>
        <v/>
      </c>
      <c r="X493">
        <f>IF($AG493="","",Config!$B$29)</f>
        <v/>
      </c>
      <c r="Y493">
        <f>IF($AH493="","",INDEX(Calc!$I$2:$I$1601,$AH493)&amp;" - "&amp;INDEX(Calc!$D$2:$D$1601,$AH493)&amp;" koli")</f>
        <v/>
      </c>
      <c r="Z493">
        <f>IF($AG493="","",Config!$B$21)</f>
        <v/>
      </c>
      <c r="AA493">
        <f>IF($AG493="","",Config!$B$22)</f>
        <v/>
      </c>
      <c r="AB493">
        <f>IF($AH493="","",INDEX(Calc!$D$2:$D$1601,$AH493))</f>
        <v/>
      </c>
      <c r="AC493">
        <f>IF($AH493="","",INDEX(Calc!$G$2:$G$1601,$AH493))</f>
        <v/>
      </c>
      <c r="AD493">
        <f>IF($AG493="","",Config!$B$23)</f>
        <v/>
      </c>
      <c r="AE493">
        <f>IF($AG493="","",Config!$B$28)</f>
        <v/>
      </c>
      <c r="AG493">
        <f>IFERROR(MATCH(ROW()-1,Calc!$J$2:$J$1601,0),"")</f>
        <v/>
      </c>
      <c r="AH493">
        <f>IFERROR(MATCH(ROW()-1,Calc!$K$2:$K$1601,0),"")</f>
        <v/>
      </c>
      <c r="AI493">
        <f>IF($AG493="","",SUMIF($AG$2:$AG493,$AG493,$AH$2:$AH493))</f>
        <v/>
      </c>
      <c r="AJ493">
        <f>IF('TMP Paste'!$F493="","",IF('TMP Paste'!$B493="",$AJ492,'TMP Paste'!$B493))</f>
        <v/>
      </c>
      <c r="AK493">
        <f>IF('TMP Paste'!$F493="","",N('TMP Paste'!$G493))</f>
        <v/>
      </c>
      <c r="AL493">
        <f>IF('TMP Paste'!$F493="","",IF('TMP Paste'!$M493="",$AL492,'TMP Paste'!$M493))</f>
        <v/>
      </c>
      <c r="AM493">
        <f>IF('TMP Paste'!$F493="","",IF('TMP Paste'!$N493="",$AM492,'TMP Paste'!$N493))</f>
        <v/>
      </c>
      <c r="AN493">
        <f>IF('TMP Paste'!$F493="","",IF('TMP Paste'!$O493="",$AN492,'TMP Paste'!$O493))</f>
        <v/>
      </c>
      <c r="AO493">
        <f>IF('TMP Paste'!$F493="","",IF('TMP Paste'!$P493="",$AO492,'TMP Paste'!$P493))</f>
        <v/>
      </c>
      <c r="AP493">
        <f>IF($AG493="","",LEN($R493))</f>
        <v/>
      </c>
      <c r="AQ493">
        <f>IF($AG493="","",TRIM(IF(COUNTIFS(Calc!$B$2:$B$1601,ROW()-1,Calc!$C$2:$C$1601,"&lt;1")&gt;0,"Ada PO tanpa Koli - cek TMP. ","")&amp;IF(LEN($R493)&gt;500,"R &gt; 500 karakter.","")))</f>
        <v/>
      </c>
    </row>
    <row r="494">
      <c r="A494">
        <f>IF($AG494="","",INDEX('TMP Paste'!$B$2:$B$1601,$AG494))</f>
        <v/>
      </c>
      <c r="B494">
        <f>IF($AG494="","",Config!$B$14)</f>
        <v/>
      </c>
      <c r="C494">
        <f>IF($AG494="","",Config!$B$15)</f>
        <v/>
      </c>
      <c r="D494">
        <f>IF($AG494="","",INDEX('TMP Paste'!$B$2:$B$1601,$AG494))</f>
        <v/>
      </c>
      <c r="E494">
        <f>IF($AG494="","",Config!$B$27)</f>
        <v/>
      </c>
      <c r="F494">
        <f>IF($AG494="","",Config!$B$9)</f>
        <v/>
      </c>
      <c r="G494">
        <f>IF($AG494="","",Config!$B$10)</f>
        <v/>
      </c>
      <c r="H494">
        <f>IF($AG494="","",Config!$B$11)</f>
        <v/>
      </c>
      <c r="I494">
        <f>IF($AG494="","",Config!$B$16)</f>
        <v/>
      </c>
      <c r="J494">
        <f>IF($AG494="","",INDEX('TMP Paste'!$A$2:$A$1601,$AG494))</f>
        <v/>
      </c>
      <c r="K494">
        <f>IF($AG494="","",INDEX('TMP Paste'!$L$2:$L$1601,$AG494))</f>
        <v/>
      </c>
      <c r="L494">
        <f>IF($AG494="","",INDEX('TMP Paste'!$I$2:$I$1601,$AG494))</f>
        <v/>
      </c>
      <c r="M494">
        <f>IF($AG494="","",Config!$B$16)</f>
        <v/>
      </c>
      <c r="N494">
        <f>IF($AG494="","","")</f>
        <v/>
      </c>
      <c r="O494">
        <f>IF($AG494="","",INDEX('TMP Paste'!$K$2:$K$1601,$AG494))</f>
        <v/>
      </c>
      <c r="P494">
        <f>IF($AG494="","","")</f>
        <v/>
      </c>
      <c r="Q494">
        <f>IF($AG494="","",INDEX('TMP Paste'!$J$2:$J$1601,$AG494))</f>
        <v/>
      </c>
      <c r="R494">
        <f>IF($AG494="","",Config!$B$24)</f>
        <v/>
      </c>
      <c r="S494">
        <f>IF($AG494="","",TEXT(Config!$B$4,"yyyy-mm-dd"))</f>
        <v/>
      </c>
      <c r="T494">
        <f>IF($AG494="","",Config!$B$17)</f>
        <v/>
      </c>
      <c r="U494">
        <f>IF($AG494="","",Config!$B$18)</f>
        <v/>
      </c>
      <c r="V494">
        <f>IF($AG494="","",Config!$B$19)</f>
        <v/>
      </c>
      <c r="W494">
        <f>IF($AG494="","",INDEX('TMP Paste'!$C$2:$C$1601,$AG494))</f>
        <v/>
      </c>
      <c r="X494">
        <f>IF($AG494="","",Config!$B$29)</f>
        <v/>
      </c>
      <c r="Y494">
        <f>IF($AH494="","",INDEX(Calc!$I$2:$I$1601,$AH494)&amp;" - "&amp;INDEX(Calc!$D$2:$D$1601,$AH494)&amp;" koli")</f>
        <v/>
      </c>
      <c r="Z494">
        <f>IF($AG494="","",Config!$B$21)</f>
        <v/>
      </c>
      <c r="AA494">
        <f>IF($AG494="","",Config!$B$22)</f>
        <v/>
      </c>
      <c r="AB494">
        <f>IF($AH494="","",INDEX(Calc!$D$2:$D$1601,$AH494))</f>
        <v/>
      </c>
      <c r="AC494">
        <f>IF($AH494="","",INDEX(Calc!$G$2:$G$1601,$AH494))</f>
        <v/>
      </c>
      <c r="AD494">
        <f>IF($AG494="","",Config!$B$23)</f>
        <v/>
      </c>
      <c r="AE494">
        <f>IF($AG494="","",Config!$B$28)</f>
        <v/>
      </c>
      <c r="AG494">
        <f>IFERROR(MATCH(ROW()-1,Calc!$J$2:$J$1601,0),"")</f>
        <v/>
      </c>
      <c r="AH494">
        <f>IFERROR(MATCH(ROW()-1,Calc!$K$2:$K$1601,0),"")</f>
        <v/>
      </c>
      <c r="AI494">
        <f>IF($AG494="","",SUMIF($AG$2:$AG494,$AG494,$AH$2:$AH494))</f>
        <v/>
      </c>
      <c r="AJ494">
        <f>IF('TMP Paste'!$F494="","",IF('TMP Paste'!$B494="",$AJ493,'TMP Paste'!$B494))</f>
        <v/>
      </c>
      <c r="AK494">
        <f>IF('TMP Paste'!$F494="","",N('TMP Paste'!$G494))</f>
        <v/>
      </c>
      <c r="AL494">
        <f>IF('TMP Paste'!$F494="","",IF('TMP Paste'!$M494="",$AL493,'TMP Paste'!$M494))</f>
        <v/>
      </c>
      <c r="AM494">
        <f>IF('TMP Paste'!$F494="","",IF('TMP Paste'!$N494="",$AM493,'TMP Paste'!$N494))</f>
        <v/>
      </c>
      <c r="AN494">
        <f>IF('TMP Paste'!$F494="","",IF('TMP Paste'!$O494="",$AN493,'TMP Paste'!$O494))</f>
        <v/>
      </c>
      <c r="AO494">
        <f>IF('TMP Paste'!$F494="","",IF('TMP Paste'!$P494="",$AO493,'TMP Paste'!$P494))</f>
        <v/>
      </c>
      <c r="AP494">
        <f>IF($AG494="","",LEN($R494))</f>
        <v/>
      </c>
      <c r="AQ494">
        <f>IF($AG494="","",TRIM(IF(COUNTIFS(Calc!$B$2:$B$1601,ROW()-1,Calc!$C$2:$C$1601,"&lt;1")&gt;0,"Ada PO tanpa Koli - cek TMP. ","")&amp;IF(LEN($R494)&gt;500,"R &gt; 500 karakter.","")))</f>
        <v/>
      </c>
    </row>
    <row r="495">
      <c r="A495">
        <f>IF($AG495="","",INDEX('TMP Paste'!$B$2:$B$1601,$AG495))</f>
        <v/>
      </c>
      <c r="B495">
        <f>IF($AG495="","",Config!$B$14)</f>
        <v/>
      </c>
      <c r="C495">
        <f>IF($AG495="","",Config!$B$15)</f>
        <v/>
      </c>
      <c r="D495">
        <f>IF($AG495="","",INDEX('TMP Paste'!$B$2:$B$1601,$AG495))</f>
        <v/>
      </c>
      <c r="E495">
        <f>IF($AG495="","",Config!$B$27)</f>
        <v/>
      </c>
      <c r="F495">
        <f>IF($AG495="","",Config!$B$9)</f>
        <v/>
      </c>
      <c r="G495">
        <f>IF($AG495="","",Config!$B$10)</f>
        <v/>
      </c>
      <c r="H495">
        <f>IF($AG495="","",Config!$B$11)</f>
        <v/>
      </c>
      <c r="I495">
        <f>IF($AG495="","",Config!$B$16)</f>
        <v/>
      </c>
      <c r="J495">
        <f>IF($AG495="","",INDEX('TMP Paste'!$A$2:$A$1601,$AG495))</f>
        <v/>
      </c>
      <c r="K495">
        <f>IF($AG495="","",INDEX('TMP Paste'!$L$2:$L$1601,$AG495))</f>
        <v/>
      </c>
      <c r="L495">
        <f>IF($AG495="","",INDEX('TMP Paste'!$I$2:$I$1601,$AG495))</f>
        <v/>
      </c>
      <c r="M495">
        <f>IF($AG495="","",Config!$B$16)</f>
        <v/>
      </c>
      <c r="N495">
        <f>IF($AG495="","","")</f>
        <v/>
      </c>
      <c r="O495">
        <f>IF($AG495="","",INDEX('TMP Paste'!$K$2:$K$1601,$AG495))</f>
        <v/>
      </c>
      <c r="P495">
        <f>IF($AG495="","","")</f>
        <v/>
      </c>
      <c r="Q495">
        <f>IF($AG495="","",INDEX('TMP Paste'!$J$2:$J$1601,$AG495))</f>
        <v/>
      </c>
      <c r="R495">
        <f>IF($AG495="","",Config!$B$24)</f>
        <v/>
      </c>
      <c r="S495">
        <f>IF($AG495="","",TEXT(Config!$B$4,"yyyy-mm-dd"))</f>
        <v/>
      </c>
      <c r="T495">
        <f>IF($AG495="","",Config!$B$17)</f>
        <v/>
      </c>
      <c r="U495">
        <f>IF($AG495="","",Config!$B$18)</f>
        <v/>
      </c>
      <c r="V495">
        <f>IF($AG495="","",Config!$B$19)</f>
        <v/>
      </c>
      <c r="W495">
        <f>IF($AG495="","",INDEX('TMP Paste'!$C$2:$C$1601,$AG495))</f>
        <v/>
      </c>
      <c r="X495">
        <f>IF($AG495="","",Config!$B$29)</f>
        <v/>
      </c>
      <c r="Y495">
        <f>IF($AH495="","",INDEX(Calc!$I$2:$I$1601,$AH495)&amp;" - "&amp;INDEX(Calc!$D$2:$D$1601,$AH495)&amp;" koli")</f>
        <v/>
      </c>
      <c r="Z495">
        <f>IF($AG495="","",Config!$B$21)</f>
        <v/>
      </c>
      <c r="AA495">
        <f>IF($AG495="","",Config!$B$22)</f>
        <v/>
      </c>
      <c r="AB495">
        <f>IF($AH495="","",INDEX(Calc!$D$2:$D$1601,$AH495))</f>
        <v/>
      </c>
      <c r="AC495">
        <f>IF($AH495="","",INDEX(Calc!$G$2:$G$1601,$AH495))</f>
        <v/>
      </c>
      <c r="AD495">
        <f>IF($AG495="","",Config!$B$23)</f>
        <v/>
      </c>
      <c r="AE495">
        <f>IF($AG495="","",Config!$B$28)</f>
        <v/>
      </c>
      <c r="AG495">
        <f>IFERROR(MATCH(ROW()-1,Calc!$J$2:$J$1601,0),"")</f>
        <v/>
      </c>
      <c r="AH495">
        <f>IFERROR(MATCH(ROW()-1,Calc!$K$2:$K$1601,0),"")</f>
        <v/>
      </c>
      <c r="AI495">
        <f>IF($AG495="","",SUMIF($AG$2:$AG495,$AG495,$AH$2:$AH495))</f>
        <v/>
      </c>
      <c r="AJ495">
        <f>IF('TMP Paste'!$F495="","",IF('TMP Paste'!$B495="",$AJ494,'TMP Paste'!$B495))</f>
        <v/>
      </c>
      <c r="AK495">
        <f>IF('TMP Paste'!$F495="","",N('TMP Paste'!$G495))</f>
        <v/>
      </c>
      <c r="AL495">
        <f>IF('TMP Paste'!$F495="","",IF('TMP Paste'!$M495="",$AL494,'TMP Paste'!$M495))</f>
        <v/>
      </c>
      <c r="AM495">
        <f>IF('TMP Paste'!$F495="","",IF('TMP Paste'!$N495="",$AM494,'TMP Paste'!$N495))</f>
        <v/>
      </c>
      <c r="AN495">
        <f>IF('TMP Paste'!$F495="","",IF('TMP Paste'!$O495="",$AN494,'TMP Paste'!$O495))</f>
        <v/>
      </c>
      <c r="AO495">
        <f>IF('TMP Paste'!$F495="","",IF('TMP Paste'!$P495="",$AO494,'TMP Paste'!$P495))</f>
        <v/>
      </c>
      <c r="AP495">
        <f>IF($AG495="","",LEN($R495))</f>
        <v/>
      </c>
      <c r="AQ495">
        <f>IF($AG495="","",TRIM(IF(COUNTIFS(Calc!$B$2:$B$1601,ROW()-1,Calc!$C$2:$C$1601,"&lt;1")&gt;0,"Ada PO tanpa Koli - cek TMP. ","")&amp;IF(LEN($R495)&gt;500,"R &gt; 500 karakter.","")))</f>
        <v/>
      </c>
    </row>
    <row r="496">
      <c r="A496">
        <f>IF($AG496="","",INDEX('TMP Paste'!$B$2:$B$1601,$AG496))</f>
        <v/>
      </c>
      <c r="B496">
        <f>IF($AG496="","",Config!$B$14)</f>
        <v/>
      </c>
      <c r="C496">
        <f>IF($AG496="","",Config!$B$15)</f>
        <v/>
      </c>
      <c r="D496">
        <f>IF($AG496="","",INDEX('TMP Paste'!$B$2:$B$1601,$AG496))</f>
        <v/>
      </c>
      <c r="E496">
        <f>IF($AG496="","",Config!$B$27)</f>
        <v/>
      </c>
      <c r="F496">
        <f>IF($AG496="","",Config!$B$9)</f>
        <v/>
      </c>
      <c r="G496">
        <f>IF($AG496="","",Config!$B$10)</f>
        <v/>
      </c>
      <c r="H496">
        <f>IF($AG496="","",Config!$B$11)</f>
        <v/>
      </c>
      <c r="I496">
        <f>IF($AG496="","",Config!$B$16)</f>
        <v/>
      </c>
      <c r="J496">
        <f>IF($AG496="","",INDEX('TMP Paste'!$A$2:$A$1601,$AG496))</f>
        <v/>
      </c>
      <c r="K496">
        <f>IF($AG496="","",INDEX('TMP Paste'!$L$2:$L$1601,$AG496))</f>
        <v/>
      </c>
      <c r="L496">
        <f>IF($AG496="","",INDEX('TMP Paste'!$I$2:$I$1601,$AG496))</f>
        <v/>
      </c>
      <c r="M496">
        <f>IF($AG496="","",Config!$B$16)</f>
        <v/>
      </c>
      <c r="N496">
        <f>IF($AG496="","","")</f>
        <v/>
      </c>
      <c r="O496">
        <f>IF($AG496="","",INDEX('TMP Paste'!$K$2:$K$1601,$AG496))</f>
        <v/>
      </c>
      <c r="P496">
        <f>IF($AG496="","","")</f>
        <v/>
      </c>
      <c r="Q496">
        <f>IF($AG496="","",INDEX('TMP Paste'!$J$2:$J$1601,$AG496))</f>
        <v/>
      </c>
      <c r="R496">
        <f>IF($AG496="","",Config!$B$24)</f>
        <v/>
      </c>
      <c r="S496">
        <f>IF($AG496="","",TEXT(Config!$B$4,"yyyy-mm-dd"))</f>
        <v/>
      </c>
      <c r="T496">
        <f>IF($AG496="","",Config!$B$17)</f>
        <v/>
      </c>
      <c r="U496">
        <f>IF($AG496="","",Config!$B$18)</f>
        <v/>
      </c>
      <c r="V496">
        <f>IF($AG496="","",Config!$B$19)</f>
        <v/>
      </c>
      <c r="W496">
        <f>IF($AG496="","",INDEX('TMP Paste'!$C$2:$C$1601,$AG496))</f>
        <v/>
      </c>
      <c r="X496">
        <f>IF($AG496="","",Config!$B$29)</f>
        <v/>
      </c>
      <c r="Y496">
        <f>IF($AH496="","",INDEX(Calc!$I$2:$I$1601,$AH496)&amp;" - "&amp;INDEX(Calc!$D$2:$D$1601,$AH496)&amp;" koli")</f>
        <v/>
      </c>
      <c r="Z496">
        <f>IF($AG496="","",Config!$B$21)</f>
        <v/>
      </c>
      <c r="AA496">
        <f>IF($AG496="","",Config!$B$22)</f>
        <v/>
      </c>
      <c r="AB496">
        <f>IF($AH496="","",INDEX(Calc!$D$2:$D$1601,$AH496))</f>
        <v/>
      </c>
      <c r="AC496">
        <f>IF($AH496="","",INDEX(Calc!$G$2:$G$1601,$AH496))</f>
        <v/>
      </c>
      <c r="AD496">
        <f>IF($AG496="","",Config!$B$23)</f>
        <v/>
      </c>
      <c r="AE496">
        <f>IF($AG496="","",Config!$B$28)</f>
        <v/>
      </c>
      <c r="AG496">
        <f>IFERROR(MATCH(ROW()-1,Calc!$J$2:$J$1601,0),"")</f>
        <v/>
      </c>
      <c r="AH496">
        <f>IFERROR(MATCH(ROW()-1,Calc!$K$2:$K$1601,0),"")</f>
        <v/>
      </c>
      <c r="AI496">
        <f>IF($AG496="","",SUMIF($AG$2:$AG496,$AG496,$AH$2:$AH496))</f>
        <v/>
      </c>
      <c r="AJ496">
        <f>IF('TMP Paste'!$F496="","",IF('TMP Paste'!$B496="",$AJ495,'TMP Paste'!$B496))</f>
        <v/>
      </c>
      <c r="AK496">
        <f>IF('TMP Paste'!$F496="","",N('TMP Paste'!$G496))</f>
        <v/>
      </c>
      <c r="AL496">
        <f>IF('TMP Paste'!$F496="","",IF('TMP Paste'!$M496="",$AL495,'TMP Paste'!$M496))</f>
        <v/>
      </c>
      <c r="AM496">
        <f>IF('TMP Paste'!$F496="","",IF('TMP Paste'!$N496="",$AM495,'TMP Paste'!$N496))</f>
        <v/>
      </c>
      <c r="AN496">
        <f>IF('TMP Paste'!$F496="","",IF('TMP Paste'!$O496="",$AN495,'TMP Paste'!$O496))</f>
        <v/>
      </c>
      <c r="AO496">
        <f>IF('TMP Paste'!$F496="","",IF('TMP Paste'!$P496="",$AO495,'TMP Paste'!$P496))</f>
        <v/>
      </c>
      <c r="AP496">
        <f>IF($AG496="","",LEN($R496))</f>
        <v/>
      </c>
      <c r="AQ496">
        <f>IF($AG496="","",TRIM(IF(COUNTIFS(Calc!$B$2:$B$1601,ROW()-1,Calc!$C$2:$C$1601,"&lt;1")&gt;0,"Ada PO tanpa Koli - cek TMP. ","")&amp;IF(LEN($R496)&gt;500,"R &gt; 500 karakter.","")))</f>
        <v/>
      </c>
    </row>
    <row r="497">
      <c r="A497">
        <f>IF($AG497="","",INDEX('TMP Paste'!$B$2:$B$1601,$AG497))</f>
        <v/>
      </c>
      <c r="B497">
        <f>IF($AG497="","",Config!$B$14)</f>
        <v/>
      </c>
      <c r="C497">
        <f>IF($AG497="","",Config!$B$15)</f>
        <v/>
      </c>
      <c r="D497">
        <f>IF($AG497="","",INDEX('TMP Paste'!$B$2:$B$1601,$AG497))</f>
        <v/>
      </c>
      <c r="E497">
        <f>IF($AG497="","",Config!$B$27)</f>
        <v/>
      </c>
      <c r="F497">
        <f>IF($AG497="","",Config!$B$9)</f>
        <v/>
      </c>
      <c r="G497">
        <f>IF($AG497="","",Config!$B$10)</f>
        <v/>
      </c>
      <c r="H497">
        <f>IF($AG497="","",Config!$B$11)</f>
        <v/>
      </c>
      <c r="I497">
        <f>IF($AG497="","",Config!$B$16)</f>
        <v/>
      </c>
      <c r="J497">
        <f>IF($AG497="","",INDEX('TMP Paste'!$A$2:$A$1601,$AG497))</f>
        <v/>
      </c>
      <c r="K497">
        <f>IF($AG497="","",INDEX('TMP Paste'!$L$2:$L$1601,$AG497))</f>
        <v/>
      </c>
      <c r="L497">
        <f>IF($AG497="","",INDEX('TMP Paste'!$I$2:$I$1601,$AG497))</f>
        <v/>
      </c>
      <c r="M497">
        <f>IF($AG497="","",Config!$B$16)</f>
        <v/>
      </c>
      <c r="N497">
        <f>IF($AG497="","","")</f>
        <v/>
      </c>
      <c r="O497">
        <f>IF($AG497="","",INDEX('TMP Paste'!$K$2:$K$1601,$AG497))</f>
        <v/>
      </c>
      <c r="P497">
        <f>IF($AG497="","","")</f>
        <v/>
      </c>
      <c r="Q497">
        <f>IF($AG497="","",INDEX('TMP Paste'!$J$2:$J$1601,$AG497))</f>
        <v/>
      </c>
      <c r="R497">
        <f>IF($AG497="","",Config!$B$24)</f>
        <v/>
      </c>
      <c r="S497">
        <f>IF($AG497="","",TEXT(Config!$B$4,"yyyy-mm-dd"))</f>
        <v/>
      </c>
      <c r="T497">
        <f>IF($AG497="","",Config!$B$17)</f>
        <v/>
      </c>
      <c r="U497">
        <f>IF($AG497="","",Config!$B$18)</f>
        <v/>
      </c>
      <c r="V497">
        <f>IF($AG497="","",Config!$B$19)</f>
        <v/>
      </c>
      <c r="W497">
        <f>IF($AG497="","",INDEX('TMP Paste'!$C$2:$C$1601,$AG497))</f>
        <v/>
      </c>
      <c r="X497">
        <f>IF($AG497="","",Config!$B$29)</f>
        <v/>
      </c>
      <c r="Y497">
        <f>IF($AH497="","",INDEX(Calc!$I$2:$I$1601,$AH497)&amp;" - "&amp;INDEX(Calc!$D$2:$D$1601,$AH497)&amp;" koli")</f>
        <v/>
      </c>
      <c r="Z497">
        <f>IF($AG497="","",Config!$B$21)</f>
        <v/>
      </c>
      <c r="AA497">
        <f>IF($AG497="","",Config!$B$22)</f>
        <v/>
      </c>
      <c r="AB497">
        <f>IF($AH497="","",INDEX(Calc!$D$2:$D$1601,$AH497))</f>
        <v/>
      </c>
      <c r="AC497">
        <f>IF($AH497="","",INDEX(Calc!$G$2:$G$1601,$AH497))</f>
        <v/>
      </c>
      <c r="AD497">
        <f>IF($AG497="","",Config!$B$23)</f>
        <v/>
      </c>
      <c r="AE497">
        <f>IF($AG497="","",Config!$B$28)</f>
        <v/>
      </c>
      <c r="AG497">
        <f>IFERROR(MATCH(ROW()-1,Calc!$J$2:$J$1601,0),"")</f>
        <v/>
      </c>
      <c r="AH497">
        <f>IFERROR(MATCH(ROW()-1,Calc!$K$2:$K$1601,0),"")</f>
        <v/>
      </c>
      <c r="AI497">
        <f>IF($AG497="","",SUMIF($AG$2:$AG497,$AG497,$AH$2:$AH497))</f>
        <v/>
      </c>
      <c r="AJ497">
        <f>IF('TMP Paste'!$F497="","",IF('TMP Paste'!$B497="",$AJ496,'TMP Paste'!$B497))</f>
        <v/>
      </c>
      <c r="AK497">
        <f>IF('TMP Paste'!$F497="","",N('TMP Paste'!$G497))</f>
        <v/>
      </c>
      <c r="AL497">
        <f>IF('TMP Paste'!$F497="","",IF('TMP Paste'!$M497="",$AL496,'TMP Paste'!$M497))</f>
        <v/>
      </c>
      <c r="AM497">
        <f>IF('TMP Paste'!$F497="","",IF('TMP Paste'!$N497="",$AM496,'TMP Paste'!$N497))</f>
        <v/>
      </c>
      <c r="AN497">
        <f>IF('TMP Paste'!$F497="","",IF('TMP Paste'!$O497="",$AN496,'TMP Paste'!$O497))</f>
        <v/>
      </c>
      <c r="AO497">
        <f>IF('TMP Paste'!$F497="","",IF('TMP Paste'!$P497="",$AO496,'TMP Paste'!$P497))</f>
        <v/>
      </c>
      <c r="AP497">
        <f>IF($AG497="","",LEN($R497))</f>
        <v/>
      </c>
      <c r="AQ497">
        <f>IF($AG497="","",TRIM(IF(COUNTIFS(Calc!$B$2:$B$1601,ROW()-1,Calc!$C$2:$C$1601,"&lt;1")&gt;0,"Ada PO tanpa Koli - cek TMP. ","")&amp;IF(LEN($R497)&gt;500,"R &gt; 500 karakter.","")))</f>
        <v/>
      </c>
    </row>
    <row r="498">
      <c r="A498">
        <f>IF($AG498="","",INDEX('TMP Paste'!$B$2:$B$1601,$AG498))</f>
        <v/>
      </c>
      <c r="B498">
        <f>IF($AG498="","",Config!$B$14)</f>
        <v/>
      </c>
      <c r="C498">
        <f>IF($AG498="","",Config!$B$15)</f>
        <v/>
      </c>
      <c r="D498">
        <f>IF($AG498="","",INDEX('TMP Paste'!$B$2:$B$1601,$AG498))</f>
        <v/>
      </c>
      <c r="E498">
        <f>IF($AG498="","",Config!$B$27)</f>
        <v/>
      </c>
      <c r="F498">
        <f>IF($AG498="","",Config!$B$9)</f>
        <v/>
      </c>
      <c r="G498">
        <f>IF($AG498="","",Config!$B$10)</f>
        <v/>
      </c>
      <c r="H498">
        <f>IF($AG498="","",Config!$B$11)</f>
        <v/>
      </c>
      <c r="I498">
        <f>IF($AG498="","",Config!$B$16)</f>
        <v/>
      </c>
      <c r="J498">
        <f>IF($AG498="","",INDEX('TMP Paste'!$A$2:$A$1601,$AG498))</f>
        <v/>
      </c>
      <c r="K498">
        <f>IF($AG498="","",INDEX('TMP Paste'!$L$2:$L$1601,$AG498))</f>
        <v/>
      </c>
      <c r="L498">
        <f>IF($AG498="","",INDEX('TMP Paste'!$I$2:$I$1601,$AG498))</f>
        <v/>
      </c>
      <c r="M498">
        <f>IF($AG498="","",Config!$B$16)</f>
        <v/>
      </c>
      <c r="N498">
        <f>IF($AG498="","","")</f>
        <v/>
      </c>
      <c r="O498">
        <f>IF($AG498="","",INDEX('TMP Paste'!$K$2:$K$1601,$AG498))</f>
        <v/>
      </c>
      <c r="P498">
        <f>IF($AG498="","","")</f>
        <v/>
      </c>
      <c r="Q498">
        <f>IF($AG498="","",INDEX('TMP Paste'!$J$2:$J$1601,$AG498))</f>
        <v/>
      </c>
      <c r="R498">
        <f>IF($AG498="","",Config!$B$24)</f>
        <v/>
      </c>
      <c r="S498">
        <f>IF($AG498="","",TEXT(Config!$B$4,"yyyy-mm-dd"))</f>
        <v/>
      </c>
      <c r="T498">
        <f>IF($AG498="","",Config!$B$17)</f>
        <v/>
      </c>
      <c r="U498">
        <f>IF($AG498="","",Config!$B$18)</f>
        <v/>
      </c>
      <c r="V498">
        <f>IF($AG498="","",Config!$B$19)</f>
        <v/>
      </c>
      <c r="W498">
        <f>IF($AG498="","",INDEX('TMP Paste'!$C$2:$C$1601,$AG498))</f>
        <v/>
      </c>
      <c r="X498">
        <f>IF($AG498="","",Config!$B$29)</f>
        <v/>
      </c>
      <c r="Y498">
        <f>IF($AH498="","",INDEX(Calc!$I$2:$I$1601,$AH498)&amp;" - "&amp;INDEX(Calc!$D$2:$D$1601,$AH498)&amp;" koli")</f>
        <v/>
      </c>
      <c r="Z498">
        <f>IF($AG498="","",Config!$B$21)</f>
        <v/>
      </c>
      <c r="AA498">
        <f>IF($AG498="","",Config!$B$22)</f>
        <v/>
      </c>
      <c r="AB498">
        <f>IF($AH498="","",INDEX(Calc!$D$2:$D$1601,$AH498))</f>
        <v/>
      </c>
      <c r="AC498">
        <f>IF($AH498="","",INDEX(Calc!$G$2:$G$1601,$AH498))</f>
        <v/>
      </c>
      <c r="AD498">
        <f>IF($AG498="","",Config!$B$23)</f>
        <v/>
      </c>
      <c r="AE498">
        <f>IF($AG498="","",Config!$B$28)</f>
        <v/>
      </c>
      <c r="AG498">
        <f>IFERROR(MATCH(ROW()-1,Calc!$J$2:$J$1601,0),"")</f>
        <v/>
      </c>
      <c r="AH498">
        <f>IFERROR(MATCH(ROW()-1,Calc!$K$2:$K$1601,0),"")</f>
        <v/>
      </c>
      <c r="AI498">
        <f>IF($AG498="","",SUMIF($AG$2:$AG498,$AG498,$AH$2:$AH498))</f>
        <v/>
      </c>
      <c r="AJ498">
        <f>IF('TMP Paste'!$F498="","",IF('TMP Paste'!$B498="",$AJ497,'TMP Paste'!$B498))</f>
        <v/>
      </c>
      <c r="AK498">
        <f>IF('TMP Paste'!$F498="","",N('TMP Paste'!$G498))</f>
        <v/>
      </c>
      <c r="AL498">
        <f>IF('TMP Paste'!$F498="","",IF('TMP Paste'!$M498="",$AL497,'TMP Paste'!$M498))</f>
        <v/>
      </c>
      <c r="AM498">
        <f>IF('TMP Paste'!$F498="","",IF('TMP Paste'!$N498="",$AM497,'TMP Paste'!$N498))</f>
        <v/>
      </c>
      <c r="AN498">
        <f>IF('TMP Paste'!$F498="","",IF('TMP Paste'!$O498="",$AN497,'TMP Paste'!$O498))</f>
        <v/>
      </c>
      <c r="AO498">
        <f>IF('TMP Paste'!$F498="","",IF('TMP Paste'!$P498="",$AO497,'TMP Paste'!$P498))</f>
        <v/>
      </c>
      <c r="AP498">
        <f>IF($AG498="","",LEN($R498))</f>
        <v/>
      </c>
      <c r="AQ498">
        <f>IF($AG498="","",TRIM(IF(COUNTIFS(Calc!$B$2:$B$1601,ROW()-1,Calc!$C$2:$C$1601,"&lt;1")&gt;0,"Ada PO tanpa Koli - cek TMP. ","")&amp;IF(LEN($R498)&gt;500,"R &gt; 500 karakter.","")))</f>
        <v/>
      </c>
    </row>
    <row r="499">
      <c r="A499">
        <f>IF($AG499="","",INDEX('TMP Paste'!$B$2:$B$1601,$AG499))</f>
        <v/>
      </c>
      <c r="B499">
        <f>IF($AG499="","",Config!$B$14)</f>
        <v/>
      </c>
      <c r="C499">
        <f>IF($AG499="","",Config!$B$15)</f>
        <v/>
      </c>
      <c r="D499">
        <f>IF($AG499="","",INDEX('TMP Paste'!$B$2:$B$1601,$AG499))</f>
        <v/>
      </c>
      <c r="E499">
        <f>IF($AG499="","",Config!$B$27)</f>
        <v/>
      </c>
      <c r="F499">
        <f>IF($AG499="","",Config!$B$9)</f>
        <v/>
      </c>
      <c r="G499">
        <f>IF($AG499="","",Config!$B$10)</f>
        <v/>
      </c>
      <c r="H499">
        <f>IF($AG499="","",Config!$B$11)</f>
        <v/>
      </c>
      <c r="I499">
        <f>IF($AG499="","",Config!$B$16)</f>
        <v/>
      </c>
      <c r="J499">
        <f>IF($AG499="","",INDEX('TMP Paste'!$A$2:$A$1601,$AG499))</f>
        <v/>
      </c>
      <c r="K499">
        <f>IF($AG499="","",INDEX('TMP Paste'!$L$2:$L$1601,$AG499))</f>
        <v/>
      </c>
      <c r="L499">
        <f>IF($AG499="","",INDEX('TMP Paste'!$I$2:$I$1601,$AG499))</f>
        <v/>
      </c>
      <c r="M499">
        <f>IF($AG499="","",Config!$B$16)</f>
        <v/>
      </c>
      <c r="N499">
        <f>IF($AG499="","","")</f>
        <v/>
      </c>
      <c r="O499">
        <f>IF($AG499="","",INDEX('TMP Paste'!$K$2:$K$1601,$AG499))</f>
        <v/>
      </c>
      <c r="P499">
        <f>IF($AG499="","","")</f>
        <v/>
      </c>
      <c r="Q499">
        <f>IF($AG499="","",INDEX('TMP Paste'!$J$2:$J$1601,$AG499))</f>
        <v/>
      </c>
      <c r="R499">
        <f>IF($AG499="","",Config!$B$24)</f>
        <v/>
      </c>
      <c r="S499">
        <f>IF($AG499="","",TEXT(Config!$B$4,"yyyy-mm-dd"))</f>
        <v/>
      </c>
      <c r="T499">
        <f>IF($AG499="","",Config!$B$17)</f>
        <v/>
      </c>
      <c r="U499">
        <f>IF($AG499="","",Config!$B$18)</f>
        <v/>
      </c>
      <c r="V499">
        <f>IF($AG499="","",Config!$B$19)</f>
        <v/>
      </c>
      <c r="W499">
        <f>IF($AG499="","",INDEX('TMP Paste'!$C$2:$C$1601,$AG499))</f>
        <v/>
      </c>
      <c r="X499">
        <f>IF($AG499="","",Config!$B$29)</f>
        <v/>
      </c>
      <c r="Y499">
        <f>IF($AH499="","",INDEX(Calc!$I$2:$I$1601,$AH499)&amp;" - "&amp;INDEX(Calc!$D$2:$D$1601,$AH499)&amp;" koli")</f>
        <v/>
      </c>
      <c r="Z499">
        <f>IF($AG499="","",Config!$B$21)</f>
        <v/>
      </c>
      <c r="AA499">
        <f>IF($AG499="","",Config!$B$22)</f>
        <v/>
      </c>
      <c r="AB499">
        <f>IF($AH499="","",INDEX(Calc!$D$2:$D$1601,$AH499))</f>
        <v/>
      </c>
      <c r="AC499">
        <f>IF($AH499="","",INDEX(Calc!$G$2:$G$1601,$AH499))</f>
        <v/>
      </c>
      <c r="AD499">
        <f>IF($AG499="","",Config!$B$23)</f>
        <v/>
      </c>
      <c r="AE499">
        <f>IF($AG499="","",Config!$B$28)</f>
        <v/>
      </c>
      <c r="AG499">
        <f>IFERROR(MATCH(ROW()-1,Calc!$J$2:$J$1601,0),"")</f>
        <v/>
      </c>
      <c r="AH499">
        <f>IFERROR(MATCH(ROW()-1,Calc!$K$2:$K$1601,0),"")</f>
        <v/>
      </c>
      <c r="AI499">
        <f>IF($AG499="","",SUMIF($AG$2:$AG499,$AG499,$AH$2:$AH499))</f>
        <v/>
      </c>
      <c r="AJ499">
        <f>IF('TMP Paste'!$F499="","",IF('TMP Paste'!$B499="",$AJ498,'TMP Paste'!$B499))</f>
        <v/>
      </c>
      <c r="AK499">
        <f>IF('TMP Paste'!$F499="","",N('TMP Paste'!$G499))</f>
        <v/>
      </c>
      <c r="AL499">
        <f>IF('TMP Paste'!$F499="","",IF('TMP Paste'!$M499="",$AL498,'TMP Paste'!$M499))</f>
        <v/>
      </c>
      <c r="AM499">
        <f>IF('TMP Paste'!$F499="","",IF('TMP Paste'!$N499="",$AM498,'TMP Paste'!$N499))</f>
        <v/>
      </c>
      <c r="AN499">
        <f>IF('TMP Paste'!$F499="","",IF('TMP Paste'!$O499="",$AN498,'TMP Paste'!$O499))</f>
        <v/>
      </c>
      <c r="AO499">
        <f>IF('TMP Paste'!$F499="","",IF('TMP Paste'!$P499="",$AO498,'TMP Paste'!$P499))</f>
        <v/>
      </c>
      <c r="AP499">
        <f>IF($AG499="","",LEN($R499))</f>
        <v/>
      </c>
      <c r="AQ499">
        <f>IF($AG499="","",TRIM(IF(COUNTIFS(Calc!$B$2:$B$1601,ROW()-1,Calc!$C$2:$C$1601,"&lt;1")&gt;0,"Ada PO tanpa Koli - cek TMP. ","")&amp;IF(LEN($R499)&gt;500,"R &gt; 500 karakter.","")))</f>
        <v/>
      </c>
    </row>
    <row r="500">
      <c r="A500">
        <f>IF($AG500="","",INDEX('TMP Paste'!$B$2:$B$1601,$AG500))</f>
        <v/>
      </c>
      <c r="B500">
        <f>IF($AG500="","",Config!$B$14)</f>
        <v/>
      </c>
      <c r="C500">
        <f>IF($AG500="","",Config!$B$15)</f>
        <v/>
      </c>
      <c r="D500">
        <f>IF($AG500="","",INDEX('TMP Paste'!$B$2:$B$1601,$AG500))</f>
        <v/>
      </c>
      <c r="E500">
        <f>IF($AG500="","",Config!$B$27)</f>
        <v/>
      </c>
      <c r="F500">
        <f>IF($AG500="","",Config!$B$9)</f>
        <v/>
      </c>
      <c r="G500">
        <f>IF($AG500="","",Config!$B$10)</f>
        <v/>
      </c>
      <c r="H500">
        <f>IF($AG500="","",Config!$B$11)</f>
        <v/>
      </c>
      <c r="I500">
        <f>IF($AG500="","",Config!$B$16)</f>
        <v/>
      </c>
      <c r="J500">
        <f>IF($AG500="","",INDEX('TMP Paste'!$A$2:$A$1601,$AG500))</f>
        <v/>
      </c>
      <c r="K500">
        <f>IF($AG500="","",INDEX('TMP Paste'!$L$2:$L$1601,$AG500))</f>
        <v/>
      </c>
      <c r="L500">
        <f>IF($AG500="","",INDEX('TMP Paste'!$I$2:$I$1601,$AG500))</f>
        <v/>
      </c>
      <c r="M500">
        <f>IF($AG500="","",Config!$B$16)</f>
        <v/>
      </c>
      <c r="N500">
        <f>IF($AG500="","","")</f>
        <v/>
      </c>
      <c r="O500">
        <f>IF($AG500="","",INDEX('TMP Paste'!$K$2:$K$1601,$AG500))</f>
        <v/>
      </c>
      <c r="P500">
        <f>IF($AG500="","","")</f>
        <v/>
      </c>
      <c r="Q500">
        <f>IF($AG500="","",INDEX('TMP Paste'!$J$2:$J$1601,$AG500))</f>
        <v/>
      </c>
      <c r="R500">
        <f>IF($AG500="","",Config!$B$24)</f>
        <v/>
      </c>
      <c r="S500">
        <f>IF($AG500="","",TEXT(Config!$B$4,"yyyy-mm-dd"))</f>
        <v/>
      </c>
      <c r="T500">
        <f>IF($AG500="","",Config!$B$17)</f>
        <v/>
      </c>
      <c r="U500">
        <f>IF($AG500="","",Config!$B$18)</f>
        <v/>
      </c>
      <c r="V500">
        <f>IF($AG500="","",Config!$B$19)</f>
        <v/>
      </c>
      <c r="W500">
        <f>IF($AG500="","",INDEX('TMP Paste'!$C$2:$C$1601,$AG500))</f>
        <v/>
      </c>
      <c r="X500">
        <f>IF($AG500="","",Config!$B$29)</f>
        <v/>
      </c>
      <c r="Y500">
        <f>IF($AH500="","",INDEX(Calc!$I$2:$I$1601,$AH500)&amp;" - "&amp;INDEX(Calc!$D$2:$D$1601,$AH500)&amp;" koli")</f>
        <v/>
      </c>
      <c r="Z500">
        <f>IF($AG500="","",Config!$B$21)</f>
        <v/>
      </c>
      <c r="AA500">
        <f>IF($AG500="","",Config!$B$22)</f>
        <v/>
      </c>
      <c r="AB500">
        <f>IF($AH500="","",INDEX(Calc!$D$2:$D$1601,$AH500))</f>
        <v/>
      </c>
      <c r="AC500">
        <f>IF($AH500="","",INDEX(Calc!$G$2:$G$1601,$AH500))</f>
        <v/>
      </c>
      <c r="AD500">
        <f>IF($AG500="","",Config!$B$23)</f>
        <v/>
      </c>
      <c r="AE500">
        <f>IF($AG500="","",Config!$B$28)</f>
        <v/>
      </c>
      <c r="AG500">
        <f>IFERROR(MATCH(ROW()-1,Calc!$J$2:$J$1601,0),"")</f>
        <v/>
      </c>
      <c r="AH500">
        <f>IFERROR(MATCH(ROW()-1,Calc!$K$2:$K$1601,0),"")</f>
        <v/>
      </c>
      <c r="AI500">
        <f>IF($AG500="","",SUMIF($AG$2:$AG500,$AG500,$AH$2:$AH500))</f>
        <v/>
      </c>
      <c r="AJ500">
        <f>IF('TMP Paste'!$F500="","",IF('TMP Paste'!$B500="",$AJ499,'TMP Paste'!$B500))</f>
        <v/>
      </c>
      <c r="AK500">
        <f>IF('TMP Paste'!$F500="","",N('TMP Paste'!$G500))</f>
        <v/>
      </c>
      <c r="AL500">
        <f>IF('TMP Paste'!$F500="","",IF('TMP Paste'!$M500="",$AL499,'TMP Paste'!$M500))</f>
        <v/>
      </c>
      <c r="AM500">
        <f>IF('TMP Paste'!$F500="","",IF('TMP Paste'!$N500="",$AM499,'TMP Paste'!$N500))</f>
        <v/>
      </c>
      <c r="AN500">
        <f>IF('TMP Paste'!$F500="","",IF('TMP Paste'!$O500="",$AN499,'TMP Paste'!$O500))</f>
        <v/>
      </c>
      <c r="AO500">
        <f>IF('TMP Paste'!$F500="","",IF('TMP Paste'!$P500="",$AO499,'TMP Paste'!$P500))</f>
        <v/>
      </c>
      <c r="AP500">
        <f>IF($AG500="","",LEN($R500))</f>
        <v/>
      </c>
      <c r="AQ500">
        <f>IF($AG500="","",TRIM(IF(COUNTIFS(Calc!$B$2:$B$1601,ROW()-1,Calc!$C$2:$C$1601,"&lt;1")&gt;0,"Ada PO tanpa Koli - cek TMP. ","")&amp;IF(LEN($R500)&gt;500,"R &gt; 500 karakter.","")))</f>
        <v/>
      </c>
    </row>
    <row r="501">
      <c r="A501">
        <f>IF($AG501="","",INDEX('TMP Paste'!$B$2:$B$1601,$AG501))</f>
        <v/>
      </c>
      <c r="B501">
        <f>IF($AG501="","",Config!$B$14)</f>
        <v/>
      </c>
      <c r="C501">
        <f>IF($AG501="","",Config!$B$15)</f>
        <v/>
      </c>
      <c r="D501">
        <f>IF($AG501="","",INDEX('TMP Paste'!$B$2:$B$1601,$AG501))</f>
        <v/>
      </c>
      <c r="E501">
        <f>IF($AG501="","",Config!$B$27)</f>
        <v/>
      </c>
      <c r="F501">
        <f>IF($AG501="","",Config!$B$9)</f>
        <v/>
      </c>
      <c r="G501">
        <f>IF($AG501="","",Config!$B$10)</f>
        <v/>
      </c>
      <c r="H501">
        <f>IF($AG501="","",Config!$B$11)</f>
        <v/>
      </c>
      <c r="I501">
        <f>IF($AG501="","",Config!$B$16)</f>
        <v/>
      </c>
      <c r="J501">
        <f>IF($AG501="","",INDEX('TMP Paste'!$A$2:$A$1601,$AG501))</f>
        <v/>
      </c>
      <c r="K501">
        <f>IF($AG501="","",INDEX('TMP Paste'!$L$2:$L$1601,$AG501))</f>
        <v/>
      </c>
      <c r="L501">
        <f>IF($AG501="","",INDEX('TMP Paste'!$I$2:$I$1601,$AG501))</f>
        <v/>
      </c>
      <c r="M501">
        <f>IF($AG501="","",Config!$B$16)</f>
        <v/>
      </c>
      <c r="N501">
        <f>IF($AG501="","","")</f>
        <v/>
      </c>
      <c r="O501">
        <f>IF($AG501="","",INDEX('TMP Paste'!$K$2:$K$1601,$AG501))</f>
        <v/>
      </c>
      <c r="P501">
        <f>IF($AG501="","","")</f>
        <v/>
      </c>
      <c r="Q501">
        <f>IF($AG501="","",INDEX('TMP Paste'!$J$2:$J$1601,$AG501))</f>
        <v/>
      </c>
      <c r="R501">
        <f>IF($AG501="","",Config!$B$24)</f>
        <v/>
      </c>
      <c r="S501">
        <f>IF($AG501="","",TEXT(Config!$B$4,"yyyy-mm-dd"))</f>
        <v/>
      </c>
      <c r="T501">
        <f>IF($AG501="","",Config!$B$17)</f>
        <v/>
      </c>
      <c r="U501">
        <f>IF($AG501="","",Config!$B$18)</f>
        <v/>
      </c>
      <c r="V501">
        <f>IF($AG501="","",Config!$B$19)</f>
        <v/>
      </c>
      <c r="W501">
        <f>IF($AG501="","",INDEX('TMP Paste'!$C$2:$C$1601,$AG501))</f>
        <v/>
      </c>
      <c r="X501">
        <f>IF($AG501="","",Config!$B$29)</f>
        <v/>
      </c>
      <c r="Y501">
        <f>IF($AH501="","",INDEX(Calc!$I$2:$I$1601,$AH501)&amp;" - "&amp;INDEX(Calc!$D$2:$D$1601,$AH501)&amp;" koli")</f>
        <v/>
      </c>
      <c r="Z501">
        <f>IF($AG501="","",Config!$B$21)</f>
        <v/>
      </c>
      <c r="AA501">
        <f>IF($AG501="","",Config!$B$22)</f>
        <v/>
      </c>
      <c r="AB501">
        <f>IF($AH501="","",INDEX(Calc!$D$2:$D$1601,$AH501))</f>
        <v/>
      </c>
      <c r="AC501">
        <f>IF($AH501="","",INDEX(Calc!$G$2:$G$1601,$AH501))</f>
        <v/>
      </c>
      <c r="AD501">
        <f>IF($AG501="","",Config!$B$23)</f>
        <v/>
      </c>
      <c r="AE501">
        <f>IF($AG501="","",Config!$B$28)</f>
        <v/>
      </c>
      <c r="AG501">
        <f>IFERROR(MATCH(ROW()-1,Calc!$J$2:$J$1601,0),"")</f>
        <v/>
      </c>
      <c r="AH501">
        <f>IFERROR(MATCH(ROW()-1,Calc!$K$2:$K$1601,0),"")</f>
        <v/>
      </c>
      <c r="AI501">
        <f>IF($AG501="","",SUMIF($AG$2:$AG501,$AG501,$AH$2:$AH501))</f>
        <v/>
      </c>
      <c r="AJ501">
        <f>IF('TMP Paste'!$F501="","",IF('TMP Paste'!$B501="",$AJ500,'TMP Paste'!$B501))</f>
        <v/>
      </c>
      <c r="AK501">
        <f>IF('TMP Paste'!$F501="","",N('TMP Paste'!$G501))</f>
        <v/>
      </c>
      <c r="AL501">
        <f>IF('TMP Paste'!$F501="","",IF('TMP Paste'!$M501="",$AL500,'TMP Paste'!$M501))</f>
        <v/>
      </c>
      <c r="AM501">
        <f>IF('TMP Paste'!$F501="","",IF('TMP Paste'!$N501="",$AM500,'TMP Paste'!$N501))</f>
        <v/>
      </c>
      <c r="AN501">
        <f>IF('TMP Paste'!$F501="","",IF('TMP Paste'!$O501="",$AN500,'TMP Paste'!$O501))</f>
        <v/>
      </c>
      <c r="AO501">
        <f>IF('TMP Paste'!$F501="","",IF('TMP Paste'!$P501="",$AO500,'TMP Paste'!$P501))</f>
        <v/>
      </c>
      <c r="AP501">
        <f>IF($AG501="","",LEN($R501))</f>
        <v/>
      </c>
      <c r="AQ501">
        <f>IF($AG501="","",TRIM(IF(COUNTIFS(Calc!$B$2:$B$1601,ROW()-1,Calc!$C$2:$C$1601,"&lt;1")&gt;0,"Ada PO tanpa Koli - cek TMP. ","")&amp;IF(LEN($R501)&gt;500,"R &gt; 500 karakter.","")))</f>
        <v/>
      </c>
    </row>
    <row r="502">
      <c r="A502">
        <f>IF($AG502="","",INDEX('TMP Paste'!$B$2:$B$1601,$AG502))</f>
        <v/>
      </c>
      <c r="B502">
        <f>IF($AG502="","",Config!$B$14)</f>
        <v/>
      </c>
      <c r="C502">
        <f>IF($AG502="","",Config!$B$15)</f>
        <v/>
      </c>
      <c r="D502">
        <f>IF($AG502="","",INDEX('TMP Paste'!$B$2:$B$1601,$AG502))</f>
        <v/>
      </c>
      <c r="E502">
        <f>IF($AG502="","",Config!$B$27)</f>
        <v/>
      </c>
      <c r="F502">
        <f>IF($AG502="","",Config!$B$9)</f>
        <v/>
      </c>
      <c r="G502">
        <f>IF($AG502="","",Config!$B$10)</f>
        <v/>
      </c>
      <c r="H502">
        <f>IF($AG502="","",Config!$B$11)</f>
        <v/>
      </c>
      <c r="I502">
        <f>IF($AG502="","",Config!$B$16)</f>
        <v/>
      </c>
      <c r="J502">
        <f>IF($AG502="","",INDEX('TMP Paste'!$A$2:$A$1601,$AG502))</f>
        <v/>
      </c>
      <c r="K502">
        <f>IF($AG502="","",INDEX('TMP Paste'!$L$2:$L$1601,$AG502))</f>
        <v/>
      </c>
      <c r="L502">
        <f>IF($AG502="","",INDEX('TMP Paste'!$I$2:$I$1601,$AG502))</f>
        <v/>
      </c>
      <c r="M502">
        <f>IF($AG502="","",Config!$B$16)</f>
        <v/>
      </c>
      <c r="N502">
        <f>IF($AG502="","","")</f>
        <v/>
      </c>
      <c r="O502">
        <f>IF($AG502="","",INDEX('TMP Paste'!$K$2:$K$1601,$AG502))</f>
        <v/>
      </c>
      <c r="P502">
        <f>IF($AG502="","","")</f>
        <v/>
      </c>
      <c r="Q502">
        <f>IF($AG502="","",INDEX('TMP Paste'!$J$2:$J$1601,$AG502))</f>
        <v/>
      </c>
      <c r="R502">
        <f>IF($AG502="","",Config!$B$24)</f>
        <v/>
      </c>
      <c r="S502">
        <f>IF($AG502="","",TEXT(Config!$B$4,"yyyy-mm-dd"))</f>
        <v/>
      </c>
      <c r="T502">
        <f>IF($AG502="","",Config!$B$17)</f>
        <v/>
      </c>
      <c r="U502">
        <f>IF($AG502="","",Config!$B$18)</f>
        <v/>
      </c>
      <c r="V502">
        <f>IF($AG502="","",Config!$B$19)</f>
        <v/>
      </c>
      <c r="W502">
        <f>IF($AG502="","",INDEX('TMP Paste'!$C$2:$C$1601,$AG502))</f>
        <v/>
      </c>
      <c r="X502">
        <f>IF($AG502="","",Config!$B$29)</f>
        <v/>
      </c>
      <c r="Y502">
        <f>IF($AH502="","",INDEX(Calc!$I$2:$I$1601,$AH502)&amp;" - "&amp;INDEX(Calc!$D$2:$D$1601,$AH502)&amp;" koli")</f>
        <v/>
      </c>
      <c r="Z502">
        <f>IF($AG502="","",Config!$B$21)</f>
        <v/>
      </c>
      <c r="AA502">
        <f>IF($AG502="","",Config!$B$22)</f>
        <v/>
      </c>
      <c r="AB502">
        <f>IF($AH502="","",INDEX(Calc!$D$2:$D$1601,$AH502))</f>
        <v/>
      </c>
      <c r="AC502">
        <f>IF($AH502="","",INDEX(Calc!$G$2:$G$1601,$AH502))</f>
        <v/>
      </c>
      <c r="AD502">
        <f>IF($AG502="","",Config!$B$23)</f>
        <v/>
      </c>
      <c r="AE502">
        <f>IF($AG502="","",Config!$B$28)</f>
        <v/>
      </c>
      <c r="AG502">
        <f>IFERROR(MATCH(ROW()-1,Calc!$J$2:$J$1601,0),"")</f>
        <v/>
      </c>
      <c r="AH502">
        <f>IFERROR(MATCH(ROW()-1,Calc!$K$2:$K$1601,0),"")</f>
        <v/>
      </c>
      <c r="AI502">
        <f>IF($AG502="","",SUMIF($AG$2:$AG502,$AG502,$AH$2:$AH502))</f>
        <v/>
      </c>
      <c r="AJ502">
        <f>IF('TMP Paste'!$F502="","",IF('TMP Paste'!$B502="",$AJ501,'TMP Paste'!$B502))</f>
        <v/>
      </c>
      <c r="AK502">
        <f>IF('TMP Paste'!$F502="","",N('TMP Paste'!$G502))</f>
        <v/>
      </c>
      <c r="AL502">
        <f>IF('TMP Paste'!$F502="","",IF('TMP Paste'!$M502="",$AL501,'TMP Paste'!$M502))</f>
        <v/>
      </c>
      <c r="AM502">
        <f>IF('TMP Paste'!$F502="","",IF('TMP Paste'!$N502="",$AM501,'TMP Paste'!$N502))</f>
        <v/>
      </c>
      <c r="AN502">
        <f>IF('TMP Paste'!$F502="","",IF('TMP Paste'!$O502="",$AN501,'TMP Paste'!$O502))</f>
        <v/>
      </c>
      <c r="AO502">
        <f>IF('TMP Paste'!$F502="","",IF('TMP Paste'!$P502="",$AO501,'TMP Paste'!$P502))</f>
        <v/>
      </c>
      <c r="AP502">
        <f>IF($AG502="","",LEN($R502))</f>
        <v/>
      </c>
      <c r="AQ502">
        <f>IF($AG502="","",TRIM(IF(COUNTIFS(Calc!$B$2:$B$1601,ROW()-1,Calc!$C$2:$C$1601,"&lt;1")&gt;0,"Ada PO tanpa Koli - cek TMP. ","")&amp;IF(LEN($R502)&gt;500,"R &gt; 500 karakter.","")))</f>
        <v/>
      </c>
    </row>
    <row r="503">
      <c r="A503">
        <f>IF($AG503="","",INDEX('TMP Paste'!$B$2:$B$1601,$AG503))</f>
        <v/>
      </c>
      <c r="B503">
        <f>IF($AG503="","",Config!$B$14)</f>
        <v/>
      </c>
      <c r="C503">
        <f>IF($AG503="","",Config!$B$15)</f>
        <v/>
      </c>
      <c r="D503">
        <f>IF($AG503="","",INDEX('TMP Paste'!$B$2:$B$1601,$AG503))</f>
        <v/>
      </c>
      <c r="E503">
        <f>IF($AG503="","",Config!$B$27)</f>
        <v/>
      </c>
      <c r="F503">
        <f>IF($AG503="","",Config!$B$9)</f>
        <v/>
      </c>
      <c r="G503">
        <f>IF($AG503="","",Config!$B$10)</f>
        <v/>
      </c>
      <c r="H503">
        <f>IF($AG503="","",Config!$B$11)</f>
        <v/>
      </c>
      <c r="I503">
        <f>IF($AG503="","",Config!$B$16)</f>
        <v/>
      </c>
      <c r="J503">
        <f>IF($AG503="","",INDEX('TMP Paste'!$A$2:$A$1601,$AG503))</f>
        <v/>
      </c>
      <c r="K503">
        <f>IF($AG503="","",INDEX('TMP Paste'!$L$2:$L$1601,$AG503))</f>
        <v/>
      </c>
      <c r="L503">
        <f>IF($AG503="","",INDEX('TMP Paste'!$I$2:$I$1601,$AG503))</f>
        <v/>
      </c>
      <c r="M503">
        <f>IF($AG503="","",Config!$B$16)</f>
        <v/>
      </c>
      <c r="N503">
        <f>IF($AG503="","","")</f>
        <v/>
      </c>
      <c r="O503">
        <f>IF($AG503="","",INDEX('TMP Paste'!$K$2:$K$1601,$AG503))</f>
        <v/>
      </c>
      <c r="P503">
        <f>IF($AG503="","","")</f>
        <v/>
      </c>
      <c r="Q503">
        <f>IF($AG503="","",INDEX('TMP Paste'!$J$2:$J$1601,$AG503))</f>
        <v/>
      </c>
      <c r="R503">
        <f>IF($AG503="","",Config!$B$24)</f>
        <v/>
      </c>
      <c r="S503">
        <f>IF($AG503="","",TEXT(Config!$B$4,"yyyy-mm-dd"))</f>
        <v/>
      </c>
      <c r="T503">
        <f>IF($AG503="","",Config!$B$17)</f>
        <v/>
      </c>
      <c r="U503">
        <f>IF($AG503="","",Config!$B$18)</f>
        <v/>
      </c>
      <c r="V503">
        <f>IF($AG503="","",Config!$B$19)</f>
        <v/>
      </c>
      <c r="W503">
        <f>IF($AG503="","",INDEX('TMP Paste'!$C$2:$C$1601,$AG503))</f>
        <v/>
      </c>
      <c r="X503">
        <f>IF($AG503="","",Config!$B$29)</f>
        <v/>
      </c>
      <c r="Y503">
        <f>IF($AH503="","",INDEX(Calc!$I$2:$I$1601,$AH503)&amp;" - "&amp;INDEX(Calc!$D$2:$D$1601,$AH503)&amp;" koli")</f>
        <v/>
      </c>
      <c r="Z503">
        <f>IF($AG503="","",Config!$B$21)</f>
        <v/>
      </c>
      <c r="AA503">
        <f>IF($AG503="","",Config!$B$22)</f>
        <v/>
      </c>
      <c r="AB503">
        <f>IF($AH503="","",INDEX(Calc!$D$2:$D$1601,$AH503))</f>
        <v/>
      </c>
      <c r="AC503">
        <f>IF($AH503="","",INDEX(Calc!$G$2:$G$1601,$AH503))</f>
        <v/>
      </c>
      <c r="AD503">
        <f>IF($AG503="","",Config!$B$23)</f>
        <v/>
      </c>
      <c r="AE503">
        <f>IF($AG503="","",Config!$B$28)</f>
        <v/>
      </c>
      <c r="AG503">
        <f>IFERROR(MATCH(ROW()-1,Calc!$J$2:$J$1601,0),"")</f>
        <v/>
      </c>
      <c r="AH503">
        <f>IFERROR(MATCH(ROW()-1,Calc!$K$2:$K$1601,0),"")</f>
        <v/>
      </c>
      <c r="AI503">
        <f>IF($AG503="","",SUMIF($AG$2:$AG503,$AG503,$AH$2:$AH503))</f>
        <v/>
      </c>
      <c r="AJ503">
        <f>IF('TMP Paste'!$F503="","",IF('TMP Paste'!$B503="",$AJ502,'TMP Paste'!$B503))</f>
        <v/>
      </c>
      <c r="AK503">
        <f>IF('TMP Paste'!$F503="","",N('TMP Paste'!$G503))</f>
        <v/>
      </c>
      <c r="AL503">
        <f>IF('TMP Paste'!$F503="","",IF('TMP Paste'!$M503="",$AL502,'TMP Paste'!$M503))</f>
        <v/>
      </c>
      <c r="AM503">
        <f>IF('TMP Paste'!$F503="","",IF('TMP Paste'!$N503="",$AM502,'TMP Paste'!$N503))</f>
        <v/>
      </c>
      <c r="AN503">
        <f>IF('TMP Paste'!$F503="","",IF('TMP Paste'!$O503="",$AN502,'TMP Paste'!$O503))</f>
        <v/>
      </c>
      <c r="AO503">
        <f>IF('TMP Paste'!$F503="","",IF('TMP Paste'!$P503="",$AO502,'TMP Paste'!$P503))</f>
        <v/>
      </c>
      <c r="AP503">
        <f>IF($AG503="","",LEN($R503))</f>
        <v/>
      </c>
      <c r="AQ503">
        <f>IF($AG503="","",TRIM(IF(COUNTIFS(Calc!$B$2:$B$1601,ROW()-1,Calc!$C$2:$C$1601,"&lt;1")&gt;0,"Ada PO tanpa Koli - cek TMP. ","")&amp;IF(LEN($R503)&gt;500,"R &gt; 500 karakter.","")))</f>
        <v/>
      </c>
    </row>
    <row r="504">
      <c r="A504">
        <f>IF($AG504="","",INDEX('TMP Paste'!$B$2:$B$1601,$AG504))</f>
        <v/>
      </c>
      <c r="B504">
        <f>IF($AG504="","",Config!$B$14)</f>
        <v/>
      </c>
      <c r="C504">
        <f>IF($AG504="","",Config!$B$15)</f>
        <v/>
      </c>
      <c r="D504">
        <f>IF($AG504="","",INDEX('TMP Paste'!$B$2:$B$1601,$AG504))</f>
        <v/>
      </c>
      <c r="E504">
        <f>IF($AG504="","",Config!$B$27)</f>
        <v/>
      </c>
      <c r="F504">
        <f>IF($AG504="","",Config!$B$9)</f>
        <v/>
      </c>
      <c r="G504">
        <f>IF($AG504="","",Config!$B$10)</f>
        <v/>
      </c>
      <c r="H504">
        <f>IF($AG504="","",Config!$B$11)</f>
        <v/>
      </c>
      <c r="I504">
        <f>IF($AG504="","",Config!$B$16)</f>
        <v/>
      </c>
      <c r="J504">
        <f>IF($AG504="","",INDEX('TMP Paste'!$A$2:$A$1601,$AG504))</f>
        <v/>
      </c>
      <c r="K504">
        <f>IF($AG504="","",INDEX('TMP Paste'!$L$2:$L$1601,$AG504))</f>
        <v/>
      </c>
      <c r="L504">
        <f>IF($AG504="","",INDEX('TMP Paste'!$I$2:$I$1601,$AG504))</f>
        <v/>
      </c>
      <c r="M504">
        <f>IF($AG504="","",Config!$B$16)</f>
        <v/>
      </c>
      <c r="N504">
        <f>IF($AG504="","","")</f>
        <v/>
      </c>
      <c r="O504">
        <f>IF($AG504="","",INDEX('TMP Paste'!$K$2:$K$1601,$AG504))</f>
        <v/>
      </c>
      <c r="P504">
        <f>IF($AG504="","","")</f>
        <v/>
      </c>
      <c r="Q504">
        <f>IF($AG504="","",INDEX('TMP Paste'!$J$2:$J$1601,$AG504))</f>
        <v/>
      </c>
      <c r="R504">
        <f>IF($AG504="","",Config!$B$24)</f>
        <v/>
      </c>
      <c r="S504">
        <f>IF($AG504="","",TEXT(Config!$B$4,"yyyy-mm-dd"))</f>
        <v/>
      </c>
      <c r="T504">
        <f>IF($AG504="","",Config!$B$17)</f>
        <v/>
      </c>
      <c r="U504">
        <f>IF($AG504="","",Config!$B$18)</f>
        <v/>
      </c>
      <c r="V504">
        <f>IF($AG504="","",Config!$B$19)</f>
        <v/>
      </c>
      <c r="W504">
        <f>IF($AG504="","",INDEX('TMP Paste'!$C$2:$C$1601,$AG504))</f>
        <v/>
      </c>
      <c r="X504">
        <f>IF($AG504="","",Config!$B$29)</f>
        <v/>
      </c>
      <c r="Y504">
        <f>IF($AH504="","",INDEX(Calc!$I$2:$I$1601,$AH504)&amp;" - "&amp;INDEX(Calc!$D$2:$D$1601,$AH504)&amp;" koli")</f>
        <v/>
      </c>
      <c r="Z504">
        <f>IF($AG504="","",Config!$B$21)</f>
        <v/>
      </c>
      <c r="AA504">
        <f>IF($AG504="","",Config!$B$22)</f>
        <v/>
      </c>
      <c r="AB504">
        <f>IF($AH504="","",INDEX(Calc!$D$2:$D$1601,$AH504))</f>
        <v/>
      </c>
      <c r="AC504">
        <f>IF($AH504="","",INDEX(Calc!$G$2:$G$1601,$AH504))</f>
        <v/>
      </c>
      <c r="AD504">
        <f>IF($AG504="","",Config!$B$23)</f>
        <v/>
      </c>
      <c r="AE504">
        <f>IF($AG504="","",Config!$B$28)</f>
        <v/>
      </c>
      <c r="AG504">
        <f>IFERROR(MATCH(ROW()-1,Calc!$J$2:$J$1601,0),"")</f>
        <v/>
      </c>
      <c r="AH504">
        <f>IFERROR(MATCH(ROW()-1,Calc!$K$2:$K$1601,0),"")</f>
        <v/>
      </c>
      <c r="AI504">
        <f>IF($AG504="","",SUMIF($AG$2:$AG504,$AG504,$AH$2:$AH504))</f>
        <v/>
      </c>
      <c r="AJ504">
        <f>IF('TMP Paste'!$F504="","",IF('TMP Paste'!$B504="",$AJ503,'TMP Paste'!$B504))</f>
        <v/>
      </c>
      <c r="AK504">
        <f>IF('TMP Paste'!$F504="","",N('TMP Paste'!$G504))</f>
        <v/>
      </c>
      <c r="AL504">
        <f>IF('TMP Paste'!$F504="","",IF('TMP Paste'!$M504="",$AL503,'TMP Paste'!$M504))</f>
        <v/>
      </c>
      <c r="AM504">
        <f>IF('TMP Paste'!$F504="","",IF('TMP Paste'!$N504="",$AM503,'TMP Paste'!$N504))</f>
        <v/>
      </c>
      <c r="AN504">
        <f>IF('TMP Paste'!$F504="","",IF('TMP Paste'!$O504="",$AN503,'TMP Paste'!$O504))</f>
        <v/>
      </c>
      <c r="AO504">
        <f>IF('TMP Paste'!$F504="","",IF('TMP Paste'!$P504="",$AO503,'TMP Paste'!$P504))</f>
        <v/>
      </c>
      <c r="AP504">
        <f>IF($AG504="","",LEN($R504))</f>
        <v/>
      </c>
      <c r="AQ504">
        <f>IF($AG504="","",TRIM(IF(COUNTIFS(Calc!$B$2:$B$1601,ROW()-1,Calc!$C$2:$C$1601,"&lt;1")&gt;0,"Ada PO tanpa Koli - cek TMP. ","")&amp;IF(LEN($R504)&gt;500,"R &gt; 500 karakter.","")))</f>
        <v/>
      </c>
    </row>
    <row r="505">
      <c r="A505">
        <f>IF($AG505="","",INDEX('TMP Paste'!$B$2:$B$1601,$AG505))</f>
        <v/>
      </c>
      <c r="B505">
        <f>IF($AG505="","",Config!$B$14)</f>
        <v/>
      </c>
      <c r="C505">
        <f>IF($AG505="","",Config!$B$15)</f>
        <v/>
      </c>
      <c r="D505">
        <f>IF($AG505="","",INDEX('TMP Paste'!$B$2:$B$1601,$AG505))</f>
        <v/>
      </c>
      <c r="E505">
        <f>IF($AG505="","",Config!$B$27)</f>
        <v/>
      </c>
      <c r="F505">
        <f>IF($AG505="","",Config!$B$9)</f>
        <v/>
      </c>
      <c r="G505">
        <f>IF($AG505="","",Config!$B$10)</f>
        <v/>
      </c>
      <c r="H505">
        <f>IF($AG505="","",Config!$B$11)</f>
        <v/>
      </c>
      <c r="I505">
        <f>IF($AG505="","",Config!$B$16)</f>
        <v/>
      </c>
      <c r="J505">
        <f>IF($AG505="","",INDEX('TMP Paste'!$A$2:$A$1601,$AG505))</f>
        <v/>
      </c>
      <c r="K505">
        <f>IF($AG505="","",INDEX('TMP Paste'!$L$2:$L$1601,$AG505))</f>
        <v/>
      </c>
      <c r="L505">
        <f>IF($AG505="","",INDEX('TMP Paste'!$I$2:$I$1601,$AG505))</f>
        <v/>
      </c>
      <c r="M505">
        <f>IF($AG505="","",Config!$B$16)</f>
        <v/>
      </c>
      <c r="N505">
        <f>IF($AG505="","","")</f>
        <v/>
      </c>
      <c r="O505">
        <f>IF($AG505="","",INDEX('TMP Paste'!$K$2:$K$1601,$AG505))</f>
        <v/>
      </c>
      <c r="P505">
        <f>IF($AG505="","","")</f>
        <v/>
      </c>
      <c r="Q505">
        <f>IF($AG505="","",INDEX('TMP Paste'!$J$2:$J$1601,$AG505))</f>
        <v/>
      </c>
      <c r="R505">
        <f>IF($AG505="","",Config!$B$24)</f>
        <v/>
      </c>
      <c r="S505">
        <f>IF($AG505="","",TEXT(Config!$B$4,"yyyy-mm-dd"))</f>
        <v/>
      </c>
      <c r="T505">
        <f>IF($AG505="","",Config!$B$17)</f>
        <v/>
      </c>
      <c r="U505">
        <f>IF($AG505="","",Config!$B$18)</f>
        <v/>
      </c>
      <c r="V505">
        <f>IF($AG505="","",Config!$B$19)</f>
        <v/>
      </c>
      <c r="W505">
        <f>IF($AG505="","",INDEX('TMP Paste'!$C$2:$C$1601,$AG505))</f>
        <v/>
      </c>
      <c r="X505">
        <f>IF($AG505="","",Config!$B$29)</f>
        <v/>
      </c>
      <c r="Y505">
        <f>IF($AH505="","",INDEX(Calc!$I$2:$I$1601,$AH505)&amp;" - "&amp;INDEX(Calc!$D$2:$D$1601,$AH505)&amp;" koli")</f>
        <v/>
      </c>
      <c r="Z505">
        <f>IF($AG505="","",Config!$B$21)</f>
        <v/>
      </c>
      <c r="AA505">
        <f>IF($AG505="","",Config!$B$22)</f>
        <v/>
      </c>
      <c r="AB505">
        <f>IF($AH505="","",INDEX(Calc!$D$2:$D$1601,$AH505))</f>
        <v/>
      </c>
      <c r="AC505">
        <f>IF($AH505="","",INDEX(Calc!$G$2:$G$1601,$AH505))</f>
        <v/>
      </c>
      <c r="AD505">
        <f>IF($AG505="","",Config!$B$23)</f>
        <v/>
      </c>
      <c r="AE505">
        <f>IF($AG505="","",Config!$B$28)</f>
        <v/>
      </c>
      <c r="AG505">
        <f>IFERROR(MATCH(ROW()-1,Calc!$J$2:$J$1601,0),"")</f>
        <v/>
      </c>
      <c r="AH505">
        <f>IFERROR(MATCH(ROW()-1,Calc!$K$2:$K$1601,0),"")</f>
        <v/>
      </c>
      <c r="AI505">
        <f>IF($AG505="","",SUMIF($AG$2:$AG505,$AG505,$AH$2:$AH505))</f>
        <v/>
      </c>
      <c r="AJ505">
        <f>IF('TMP Paste'!$F505="","",IF('TMP Paste'!$B505="",$AJ504,'TMP Paste'!$B505))</f>
        <v/>
      </c>
      <c r="AK505">
        <f>IF('TMP Paste'!$F505="","",N('TMP Paste'!$G505))</f>
        <v/>
      </c>
      <c r="AL505">
        <f>IF('TMP Paste'!$F505="","",IF('TMP Paste'!$M505="",$AL504,'TMP Paste'!$M505))</f>
        <v/>
      </c>
      <c r="AM505">
        <f>IF('TMP Paste'!$F505="","",IF('TMP Paste'!$N505="",$AM504,'TMP Paste'!$N505))</f>
        <v/>
      </c>
      <c r="AN505">
        <f>IF('TMP Paste'!$F505="","",IF('TMP Paste'!$O505="",$AN504,'TMP Paste'!$O505))</f>
        <v/>
      </c>
      <c r="AO505">
        <f>IF('TMP Paste'!$F505="","",IF('TMP Paste'!$P505="",$AO504,'TMP Paste'!$P505))</f>
        <v/>
      </c>
      <c r="AP505">
        <f>IF($AG505="","",LEN($R505))</f>
        <v/>
      </c>
      <c r="AQ505">
        <f>IF($AG505="","",TRIM(IF(COUNTIFS(Calc!$B$2:$B$1601,ROW()-1,Calc!$C$2:$C$1601,"&lt;1")&gt;0,"Ada PO tanpa Koli - cek TMP. ","")&amp;IF(LEN($R505)&gt;500,"R &gt; 500 karakter.","")))</f>
        <v/>
      </c>
    </row>
    <row r="506">
      <c r="A506">
        <f>IF($AG506="","",INDEX('TMP Paste'!$B$2:$B$1601,$AG506))</f>
        <v/>
      </c>
      <c r="B506">
        <f>IF($AG506="","",Config!$B$14)</f>
        <v/>
      </c>
      <c r="C506">
        <f>IF($AG506="","",Config!$B$15)</f>
        <v/>
      </c>
      <c r="D506">
        <f>IF($AG506="","",INDEX('TMP Paste'!$B$2:$B$1601,$AG506))</f>
        <v/>
      </c>
      <c r="E506">
        <f>IF($AG506="","",Config!$B$27)</f>
        <v/>
      </c>
      <c r="F506">
        <f>IF($AG506="","",Config!$B$9)</f>
        <v/>
      </c>
      <c r="G506">
        <f>IF($AG506="","",Config!$B$10)</f>
        <v/>
      </c>
      <c r="H506">
        <f>IF($AG506="","",Config!$B$11)</f>
        <v/>
      </c>
      <c r="I506">
        <f>IF($AG506="","",Config!$B$16)</f>
        <v/>
      </c>
      <c r="J506">
        <f>IF($AG506="","",INDEX('TMP Paste'!$A$2:$A$1601,$AG506))</f>
        <v/>
      </c>
      <c r="K506">
        <f>IF($AG506="","",INDEX('TMP Paste'!$L$2:$L$1601,$AG506))</f>
        <v/>
      </c>
      <c r="L506">
        <f>IF($AG506="","",INDEX('TMP Paste'!$I$2:$I$1601,$AG506))</f>
        <v/>
      </c>
      <c r="M506">
        <f>IF($AG506="","",Config!$B$16)</f>
        <v/>
      </c>
      <c r="N506">
        <f>IF($AG506="","","")</f>
        <v/>
      </c>
      <c r="O506">
        <f>IF($AG506="","",INDEX('TMP Paste'!$K$2:$K$1601,$AG506))</f>
        <v/>
      </c>
      <c r="P506">
        <f>IF($AG506="","","")</f>
        <v/>
      </c>
      <c r="Q506">
        <f>IF($AG506="","",INDEX('TMP Paste'!$J$2:$J$1601,$AG506))</f>
        <v/>
      </c>
      <c r="R506">
        <f>IF($AG506="","",Config!$B$24)</f>
        <v/>
      </c>
      <c r="S506">
        <f>IF($AG506="","",TEXT(Config!$B$4,"yyyy-mm-dd"))</f>
        <v/>
      </c>
      <c r="T506">
        <f>IF($AG506="","",Config!$B$17)</f>
        <v/>
      </c>
      <c r="U506">
        <f>IF($AG506="","",Config!$B$18)</f>
        <v/>
      </c>
      <c r="V506">
        <f>IF($AG506="","",Config!$B$19)</f>
        <v/>
      </c>
      <c r="W506">
        <f>IF($AG506="","",INDEX('TMP Paste'!$C$2:$C$1601,$AG506))</f>
        <v/>
      </c>
      <c r="X506">
        <f>IF($AG506="","",Config!$B$29)</f>
        <v/>
      </c>
      <c r="Y506">
        <f>IF($AH506="","",INDEX(Calc!$I$2:$I$1601,$AH506)&amp;" - "&amp;INDEX(Calc!$D$2:$D$1601,$AH506)&amp;" koli")</f>
        <v/>
      </c>
      <c r="Z506">
        <f>IF($AG506="","",Config!$B$21)</f>
        <v/>
      </c>
      <c r="AA506">
        <f>IF($AG506="","",Config!$B$22)</f>
        <v/>
      </c>
      <c r="AB506">
        <f>IF($AH506="","",INDEX(Calc!$D$2:$D$1601,$AH506))</f>
        <v/>
      </c>
      <c r="AC506">
        <f>IF($AH506="","",INDEX(Calc!$G$2:$G$1601,$AH506))</f>
        <v/>
      </c>
      <c r="AD506">
        <f>IF($AG506="","",Config!$B$23)</f>
        <v/>
      </c>
      <c r="AE506">
        <f>IF($AG506="","",Config!$B$28)</f>
        <v/>
      </c>
      <c r="AG506">
        <f>IFERROR(MATCH(ROW()-1,Calc!$J$2:$J$1601,0),"")</f>
        <v/>
      </c>
      <c r="AH506">
        <f>IFERROR(MATCH(ROW()-1,Calc!$K$2:$K$1601,0),"")</f>
        <v/>
      </c>
      <c r="AI506">
        <f>IF($AG506="","",SUMIF($AG$2:$AG506,$AG506,$AH$2:$AH506))</f>
        <v/>
      </c>
      <c r="AJ506">
        <f>IF('TMP Paste'!$F506="","",IF('TMP Paste'!$B506="",$AJ505,'TMP Paste'!$B506))</f>
        <v/>
      </c>
      <c r="AK506">
        <f>IF('TMP Paste'!$F506="","",N('TMP Paste'!$G506))</f>
        <v/>
      </c>
      <c r="AL506">
        <f>IF('TMP Paste'!$F506="","",IF('TMP Paste'!$M506="",$AL505,'TMP Paste'!$M506))</f>
        <v/>
      </c>
      <c r="AM506">
        <f>IF('TMP Paste'!$F506="","",IF('TMP Paste'!$N506="",$AM505,'TMP Paste'!$N506))</f>
        <v/>
      </c>
      <c r="AN506">
        <f>IF('TMP Paste'!$F506="","",IF('TMP Paste'!$O506="",$AN505,'TMP Paste'!$O506))</f>
        <v/>
      </c>
      <c r="AO506">
        <f>IF('TMP Paste'!$F506="","",IF('TMP Paste'!$P506="",$AO505,'TMP Paste'!$P506))</f>
        <v/>
      </c>
      <c r="AP506">
        <f>IF($AG506="","",LEN($R506))</f>
        <v/>
      </c>
      <c r="AQ506">
        <f>IF($AG506="","",TRIM(IF(COUNTIFS(Calc!$B$2:$B$1601,ROW()-1,Calc!$C$2:$C$1601,"&lt;1")&gt;0,"Ada PO tanpa Koli - cek TMP. ","")&amp;IF(LEN($R506)&gt;500,"R &gt; 500 karakter.","")))</f>
        <v/>
      </c>
    </row>
    <row r="507">
      <c r="A507">
        <f>IF($AG507="","",INDEX('TMP Paste'!$B$2:$B$1601,$AG507))</f>
        <v/>
      </c>
      <c r="B507">
        <f>IF($AG507="","",Config!$B$14)</f>
        <v/>
      </c>
      <c r="C507">
        <f>IF($AG507="","",Config!$B$15)</f>
        <v/>
      </c>
      <c r="D507">
        <f>IF($AG507="","",INDEX('TMP Paste'!$B$2:$B$1601,$AG507))</f>
        <v/>
      </c>
      <c r="E507">
        <f>IF($AG507="","",Config!$B$27)</f>
        <v/>
      </c>
      <c r="F507">
        <f>IF($AG507="","",Config!$B$9)</f>
        <v/>
      </c>
      <c r="G507">
        <f>IF($AG507="","",Config!$B$10)</f>
        <v/>
      </c>
      <c r="H507">
        <f>IF($AG507="","",Config!$B$11)</f>
        <v/>
      </c>
      <c r="I507">
        <f>IF($AG507="","",Config!$B$16)</f>
        <v/>
      </c>
      <c r="J507">
        <f>IF($AG507="","",INDEX('TMP Paste'!$A$2:$A$1601,$AG507))</f>
        <v/>
      </c>
      <c r="K507">
        <f>IF($AG507="","",INDEX('TMP Paste'!$L$2:$L$1601,$AG507))</f>
        <v/>
      </c>
      <c r="L507">
        <f>IF($AG507="","",INDEX('TMP Paste'!$I$2:$I$1601,$AG507))</f>
        <v/>
      </c>
      <c r="M507">
        <f>IF($AG507="","",Config!$B$16)</f>
        <v/>
      </c>
      <c r="N507">
        <f>IF($AG507="","","")</f>
        <v/>
      </c>
      <c r="O507">
        <f>IF($AG507="","",INDEX('TMP Paste'!$K$2:$K$1601,$AG507))</f>
        <v/>
      </c>
      <c r="P507">
        <f>IF($AG507="","","")</f>
        <v/>
      </c>
      <c r="Q507">
        <f>IF($AG507="","",INDEX('TMP Paste'!$J$2:$J$1601,$AG507))</f>
        <v/>
      </c>
      <c r="R507">
        <f>IF($AG507="","",Config!$B$24)</f>
        <v/>
      </c>
      <c r="S507">
        <f>IF($AG507="","",TEXT(Config!$B$4,"yyyy-mm-dd"))</f>
        <v/>
      </c>
      <c r="T507">
        <f>IF($AG507="","",Config!$B$17)</f>
        <v/>
      </c>
      <c r="U507">
        <f>IF($AG507="","",Config!$B$18)</f>
        <v/>
      </c>
      <c r="V507">
        <f>IF($AG507="","",Config!$B$19)</f>
        <v/>
      </c>
      <c r="W507">
        <f>IF($AG507="","",INDEX('TMP Paste'!$C$2:$C$1601,$AG507))</f>
        <v/>
      </c>
      <c r="X507">
        <f>IF($AG507="","",Config!$B$29)</f>
        <v/>
      </c>
      <c r="Y507">
        <f>IF($AH507="","",INDEX(Calc!$I$2:$I$1601,$AH507)&amp;" - "&amp;INDEX(Calc!$D$2:$D$1601,$AH507)&amp;" koli")</f>
        <v/>
      </c>
      <c r="Z507">
        <f>IF($AG507="","",Config!$B$21)</f>
        <v/>
      </c>
      <c r="AA507">
        <f>IF($AG507="","",Config!$B$22)</f>
        <v/>
      </c>
      <c r="AB507">
        <f>IF($AH507="","",INDEX(Calc!$D$2:$D$1601,$AH507))</f>
        <v/>
      </c>
      <c r="AC507">
        <f>IF($AH507="","",INDEX(Calc!$G$2:$G$1601,$AH507))</f>
        <v/>
      </c>
      <c r="AD507">
        <f>IF($AG507="","",Config!$B$23)</f>
        <v/>
      </c>
      <c r="AE507">
        <f>IF($AG507="","",Config!$B$28)</f>
        <v/>
      </c>
      <c r="AG507">
        <f>IFERROR(MATCH(ROW()-1,Calc!$J$2:$J$1601,0),"")</f>
        <v/>
      </c>
      <c r="AH507">
        <f>IFERROR(MATCH(ROW()-1,Calc!$K$2:$K$1601,0),"")</f>
        <v/>
      </c>
      <c r="AI507">
        <f>IF($AG507="","",SUMIF($AG$2:$AG507,$AG507,$AH$2:$AH507))</f>
        <v/>
      </c>
      <c r="AJ507">
        <f>IF('TMP Paste'!$F507="","",IF('TMP Paste'!$B507="",$AJ506,'TMP Paste'!$B507))</f>
        <v/>
      </c>
      <c r="AK507">
        <f>IF('TMP Paste'!$F507="","",N('TMP Paste'!$G507))</f>
        <v/>
      </c>
      <c r="AL507">
        <f>IF('TMP Paste'!$F507="","",IF('TMP Paste'!$M507="",$AL506,'TMP Paste'!$M507))</f>
        <v/>
      </c>
      <c r="AM507">
        <f>IF('TMP Paste'!$F507="","",IF('TMP Paste'!$N507="",$AM506,'TMP Paste'!$N507))</f>
        <v/>
      </c>
      <c r="AN507">
        <f>IF('TMP Paste'!$F507="","",IF('TMP Paste'!$O507="",$AN506,'TMP Paste'!$O507))</f>
        <v/>
      </c>
      <c r="AO507">
        <f>IF('TMP Paste'!$F507="","",IF('TMP Paste'!$P507="",$AO506,'TMP Paste'!$P507))</f>
        <v/>
      </c>
      <c r="AP507">
        <f>IF($AG507="","",LEN($R507))</f>
        <v/>
      </c>
      <c r="AQ507">
        <f>IF($AG507="","",TRIM(IF(COUNTIFS(Calc!$B$2:$B$1601,ROW()-1,Calc!$C$2:$C$1601,"&lt;1")&gt;0,"Ada PO tanpa Koli - cek TMP. ","")&amp;IF(LEN($R507)&gt;500,"R &gt; 500 karakter.","")))</f>
        <v/>
      </c>
    </row>
    <row r="508">
      <c r="A508">
        <f>IF($AG508="","",INDEX('TMP Paste'!$B$2:$B$1601,$AG508))</f>
        <v/>
      </c>
      <c r="B508">
        <f>IF($AG508="","",Config!$B$14)</f>
        <v/>
      </c>
      <c r="C508">
        <f>IF($AG508="","",Config!$B$15)</f>
        <v/>
      </c>
      <c r="D508">
        <f>IF($AG508="","",INDEX('TMP Paste'!$B$2:$B$1601,$AG508))</f>
        <v/>
      </c>
      <c r="E508">
        <f>IF($AG508="","",Config!$B$27)</f>
        <v/>
      </c>
      <c r="F508">
        <f>IF($AG508="","",Config!$B$9)</f>
        <v/>
      </c>
      <c r="G508">
        <f>IF($AG508="","",Config!$B$10)</f>
        <v/>
      </c>
      <c r="H508">
        <f>IF($AG508="","",Config!$B$11)</f>
        <v/>
      </c>
      <c r="I508">
        <f>IF($AG508="","",Config!$B$16)</f>
        <v/>
      </c>
      <c r="J508">
        <f>IF($AG508="","",INDEX('TMP Paste'!$A$2:$A$1601,$AG508))</f>
        <v/>
      </c>
      <c r="K508">
        <f>IF($AG508="","",INDEX('TMP Paste'!$L$2:$L$1601,$AG508))</f>
        <v/>
      </c>
      <c r="L508">
        <f>IF($AG508="","",INDEX('TMP Paste'!$I$2:$I$1601,$AG508))</f>
        <v/>
      </c>
      <c r="M508">
        <f>IF($AG508="","",Config!$B$16)</f>
        <v/>
      </c>
      <c r="N508">
        <f>IF($AG508="","","")</f>
        <v/>
      </c>
      <c r="O508">
        <f>IF($AG508="","",INDEX('TMP Paste'!$K$2:$K$1601,$AG508))</f>
        <v/>
      </c>
      <c r="P508">
        <f>IF($AG508="","","")</f>
        <v/>
      </c>
      <c r="Q508">
        <f>IF($AG508="","",INDEX('TMP Paste'!$J$2:$J$1601,$AG508))</f>
        <v/>
      </c>
      <c r="R508">
        <f>IF($AG508="","",Config!$B$24)</f>
        <v/>
      </c>
      <c r="S508">
        <f>IF($AG508="","",TEXT(Config!$B$4,"yyyy-mm-dd"))</f>
        <v/>
      </c>
      <c r="T508">
        <f>IF($AG508="","",Config!$B$17)</f>
        <v/>
      </c>
      <c r="U508">
        <f>IF($AG508="","",Config!$B$18)</f>
        <v/>
      </c>
      <c r="V508">
        <f>IF($AG508="","",Config!$B$19)</f>
        <v/>
      </c>
      <c r="W508">
        <f>IF($AG508="","",INDEX('TMP Paste'!$C$2:$C$1601,$AG508))</f>
        <v/>
      </c>
      <c r="X508">
        <f>IF($AG508="","",Config!$B$29)</f>
        <v/>
      </c>
      <c r="Y508">
        <f>IF($AH508="","",INDEX(Calc!$I$2:$I$1601,$AH508)&amp;" - "&amp;INDEX(Calc!$D$2:$D$1601,$AH508)&amp;" koli")</f>
        <v/>
      </c>
      <c r="Z508">
        <f>IF($AG508="","",Config!$B$21)</f>
        <v/>
      </c>
      <c r="AA508">
        <f>IF($AG508="","",Config!$B$22)</f>
        <v/>
      </c>
      <c r="AB508">
        <f>IF($AH508="","",INDEX(Calc!$D$2:$D$1601,$AH508))</f>
        <v/>
      </c>
      <c r="AC508">
        <f>IF($AH508="","",INDEX(Calc!$G$2:$G$1601,$AH508))</f>
        <v/>
      </c>
      <c r="AD508">
        <f>IF($AG508="","",Config!$B$23)</f>
        <v/>
      </c>
      <c r="AE508">
        <f>IF($AG508="","",Config!$B$28)</f>
        <v/>
      </c>
      <c r="AG508">
        <f>IFERROR(MATCH(ROW()-1,Calc!$J$2:$J$1601,0),"")</f>
        <v/>
      </c>
      <c r="AH508">
        <f>IFERROR(MATCH(ROW()-1,Calc!$K$2:$K$1601,0),"")</f>
        <v/>
      </c>
      <c r="AI508">
        <f>IF($AG508="","",SUMIF($AG$2:$AG508,$AG508,$AH$2:$AH508))</f>
        <v/>
      </c>
      <c r="AJ508">
        <f>IF('TMP Paste'!$F508="","",IF('TMP Paste'!$B508="",$AJ507,'TMP Paste'!$B508))</f>
        <v/>
      </c>
      <c r="AK508">
        <f>IF('TMP Paste'!$F508="","",N('TMP Paste'!$G508))</f>
        <v/>
      </c>
      <c r="AL508">
        <f>IF('TMP Paste'!$F508="","",IF('TMP Paste'!$M508="",$AL507,'TMP Paste'!$M508))</f>
        <v/>
      </c>
      <c r="AM508">
        <f>IF('TMP Paste'!$F508="","",IF('TMP Paste'!$N508="",$AM507,'TMP Paste'!$N508))</f>
        <v/>
      </c>
      <c r="AN508">
        <f>IF('TMP Paste'!$F508="","",IF('TMP Paste'!$O508="",$AN507,'TMP Paste'!$O508))</f>
        <v/>
      </c>
      <c r="AO508">
        <f>IF('TMP Paste'!$F508="","",IF('TMP Paste'!$P508="",$AO507,'TMP Paste'!$P508))</f>
        <v/>
      </c>
      <c r="AP508">
        <f>IF($AG508="","",LEN($R508))</f>
        <v/>
      </c>
      <c r="AQ508">
        <f>IF($AG508="","",TRIM(IF(COUNTIFS(Calc!$B$2:$B$1601,ROW()-1,Calc!$C$2:$C$1601,"&lt;1")&gt;0,"Ada PO tanpa Koli - cek TMP. ","")&amp;IF(LEN($R508)&gt;500,"R &gt; 500 karakter.","")))</f>
        <v/>
      </c>
    </row>
    <row r="509">
      <c r="A509">
        <f>IF($AG509="","",INDEX('TMP Paste'!$B$2:$B$1601,$AG509))</f>
        <v/>
      </c>
      <c r="B509">
        <f>IF($AG509="","",Config!$B$14)</f>
        <v/>
      </c>
      <c r="C509">
        <f>IF($AG509="","",Config!$B$15)</f>
        <v/>
      </c>
      <c r="D509">
        <f>IF($AG509="","",INDEX('TMP Paste'!$B$2:$B$1601,$AG509))</f>
        <v/>
      </c>
      <c r="E509">
        <f>IF($AG509="","",Config!$B$27)</f>
        <v/>
      </c>
      <c r="F509">
        <f>IF($AG509="","",Config!$B$9)</f>
        <v/>
      </c>
      <c r="G509">
        <f>IF($AG509="","",Config!$B$10)</f>
        <v/>
      </c>
      <c r="H509">
        <f>IF($AG509="","",Config!$B$11)</f>
        <v/>
      </c>
      <c r="I509">
        <f>IF($AG509="","",Config!$B$16)</f>
        <v/>
      </c>
      <c r="J509">
        <f>IF($AG509="","",INDEX('TMP Paste'!$A$2:$A$1601,$AG509))</f>
        <v/>
      </c>
      <c r="K509">
        <f>IF($AG509="","",INDEX('TMP Paste'!$L$2:$L$1601,$AG509))</f>
        <v/>
      </c>
      <c r="L509">
        <f>IF($AG509="","",INDEX('TMP Paste'!$I$2:$I$1601,$AG509))</f>
        <v/>
      </c>
      <c r="M509">
        <f>IF($AG509="","",Config!$B$16)</f>
        <v/>
      </c>
      <c r="N509">
        <f>IF($AG509="","","")</f>
        <v/>
      </c>
      <c r="O509">
        <f>IF($AG509="","",INDEX('TMP Paste'!$K$2:$K$1601,$AG509))</f>
        <v/>
      </c>
      <c r="P509">
        <f>IF($AG509="","","")</f>
        <v/>
      </c>
      <c r="Q509">
        <f>IF($AG509="","",INDEX('TMP Paste'!$J$2:$J$1601,$AG509))</f>
        <v/>
      </c>
      <c r="R509">
        <f>IF($AG509="","",Config!$B$24)</f>
        <v/>
      </c>
      <c r="S509">
        <f>IF($AG509="","",TEXT(Config!$B$4,"yyyy-mm-dd"))</f>
        <v/>
      </c>
      <c r="T509">
        <f>IF($AG509="","",Config!$B$17)</f>
        <v/>
      </c>
      <c r="U509">
        <f>IF($AG509="","",Config!$B$18)</f>
        <v/>
      </c>
      <c r="V509">
        <f>IF($AG509="","",Config!$B$19)</f>
        <v/>
      </c>
      <c r="W509">
        <f>IF($AG509="","",INDEX('TMP Paste'!$C$2:$C$1601,$AG509))</f>
        <v/>
      </c>
      <c r="X509">
        <f>IF($AG509="","",Config!$B$29)</f>
        <v/>
      </c>
      <c r="Y509">
        <f>IF($AH509="","",INDEX(Calc!$I$2:$I$1601,$AH509)&amp;" - "&amp;INDEX(Calc!$D$2:$D$1601,$AH509)&amp;" koli")</f>
        <v/>
      </c>
      <c r="Z509">
        <f>IF($AG509="","",Config!$B$21)</f>
        <v/>
      </c>
      <c r="AA509">
        <f>IF($AG509="","",Config!$B$22)</f>
        <v/>
      </c>
      <c r="AB509">
        <f>IF($AH509="","",INDEX(Calc!$D$2:$D$1601,$AH509))</f>
        <v/>
      </c>
      <c r="AC509">
        <f>IF($AH509="","",INDEX(Calc!$G$2:$G$1601,$AH509))</f>
        <v/>
      </c>
      <c r="AD509">
        <f>IF($AG509="","",Config!$B$23)</f>
        <v/>
      </c>
      <c r="AE509">
        <f>IF($AG509="","",Config!$B$28)</f>
        <v/>
      </c>
      <c r="AG509">
        <f>IFERROR(MATCH(ROW()-1,Calc!$J$2:$J$1601,0),"")</f>
        <v/>
      </c>
      <c r="AH509">
        <f>IFERROR(MATCH(ROW()-1,Calc!$K$2:$K$1601,0),"")</f>
        <v/>
      </c>
      <c r="AI509">
        <f>IF($AG509="","",SUMIF($AG$2:$AG509,$AG509,$AH$2:$AH509))</f>
        <v/>
      </c>
      <c r="AJ509">
        <f>IF('TMP Paste'!$F509="","",IF('TMP Paste'!$B509="",$AJ508,'TMP Paste'!$B509))</f>
        <v/>
      </c>
      <c r="AK509">
        <f>IF('TMP Paste'!$F509="","",N('TMP Paste'!$G509))</f>
        <v/>
      </c>
      <c r="AL509">
        <f>IF('TMP Paste'!$F509="","",IF('TMP Paste'!$M509="",$AL508,'TMP Paste'!$M509))</f>
        <v/>
      </c>
      <c r="AM509">
        <f>IF('TMP Paste'!$F509="","",IF('TMP Paste'!$N509="",$AM508,'TMP Paste'!$N509))</f>
        <v/>
      </c>
      <c r="AN509">
        <f>IF('TMP Paste'!$F509="","",IF('TMP Paste'!$O509="",$AN508,'TMP Paste'!$O509))</f>
        <v/>
      </c>
      <c r="AO509">
        <f>IF('TMP Paste'!$F509="","",IF('TMP Paste'!$P509="",$AO508,'TMP Paste'!$P509))</f>
        <v/>
      </c>
      <c r="AP509">
        <f>IF($AG509="","",LEN($R509))</f>
        <v/>
      </c>
      <c r="AQ509">
        <f>IF($AG509="","",TRIM(IF(COUNTIFS(Calc!$B$2:$B$1601,ROW()-1,Calc!$C$2:$C$1601,"&lt;1")&gt;0,"Ada PO tanpa Koli - cek TMP. ","")&amp;IF(LEN($R509)&gt;500,"R &gt; 500 karakter.","")))</f>
        <v/>
      </c>
    </row>
    <row r="510">
      <c r="A510">
        <f>IF($AG510="","",INDEX('TMP Paste'!$B$2:$B$1601,$AG510))</f>
        <v/>
      </c>
      <c r="B510">
        <f>IF($AG510="","",Config!$B$14)</f>
        <v/>
      </c>
      <c r="C510">
        <f>IF($AG510="","",Config!$B$15)</f>
        <v/>
      </c>
      <c r="D510">
        <f>IF($AG510="","",INDEX('TMP Paste'!$B$2:$B$1601,$AG510))</f>
        <v/>
      </c>
      <c r="E510">
        <f>IF($AG510="","",Config!$B$27)</f>
        <v/>
      </c>
      <c r="F510">
        <f>IF($AG510="","",Config!$B$9)</f>
        <v/>
      </c>
      <c r="G510">
        <f>IF($AG510="","",Config!$B$10)</f>
        <v/>
      </c>
      <c r="H510">
        <f>IF($AG510="","",Config!$B$11)</f>
        <v/>
      </c>
      <c r="I510">
        <f>IF($AG510="","",Config!$B$16)</f>
        <v/>
      </c>
      <c r="J510">
        <f>IF($AG510="","",INDEX('TMP Paste'!$A$2:$A$1601,$AG510))</f>
        <v/>
      </c>
      <c r="K510">
        <f>IF($AG510="","",INDEX('TMP Paste'!$L$2:$L$1601,$AG510))</f>
        <v/>
      </c>
      <c r="L510">
        <f>IF($AG510="","",INDEX('TMP Paste'!$I$2:$I$1601,$AG510))</f>
        <v/>
      </c>
      <c r="M510">
        <f>IF($AG510="","",Config!$B$16)</f>
        <v/>
      </c>
      <c r="N510">
        <f>IF($AG510="","","")</f>
        <v/>
      </c>
      <c r="O510">
        <f>IF($AG510="","",INDEX('TMP Paste'!$K$2:$K$1601,$AG510))</f>
        <v/>
      </c>
      <c r="P510">
        <f>IF($AG510="","","")</f>
        <v/>
      </c>
      <c r="Q510">
        <f>IF($AG510="","",INDEX('TMP Paste'!$J$2:$J$1601,$AG510))</f>
        <v/>
      </c>
      <c r="R510">
        <f>IF($AG510="","",Config!$B$24)</f>
        <v/>
      </c>
      <c r="S510">
        <f>IF($AG510="","",TEXT(Config!$B$4,"yyyy-mm-dd"))</f>
        <v/>
      </c>
      <c r="T510">
        <f>IF($AG510="","",Config!$B$17)</f>
        <v/>
      </c>
      <c r="U510">
        <f>IF($AG510="","",Config!$B$18)</f>
        <v/>
      </c>
      <c r="V510">
        <f>IF($AG510="","",Config!$B$19)</f>
        <v/>
      </c>
      <c r="W510">
        <f>IF($AG510="","",INDEX('TMP Paste'!$C$2:$C$1601,$AG510))</f>
        <v/>
      </c>
      <c r="X510">
        <f>IF($AG510="","",Config!$B$29)</f>
        <v/>
      </c>
      <c r="Y510">
        <f>IF($AH510="","",INDEX(Calc!$I$2:$I$1601,$AH510)&amp;" - "&amp;INDEX(Calc!$D$2:$D$1601,$AH510)&amp;" koli")</f>
        <v/>
      </c>
      <c r="Z510">
        <f>IF($AG510="","",Config!$B$21)</f>
        <v/>
      </c>
      <c r="AA510">
        <f>IF($AG510="","",Config!$B$22)</f>
        <v/>
      </c>
      <c r="AB510">
        <f>IF($AH510="","",INDEX(Calc!$D$2:$D$1601,$AH510))</f>
        <v/>
      </c>
      <c r="AC510">
        <f>IF($AH510="","",INDEX(Calc!$G$2:$G$1601,$AH510))</f>
        <v/>
      </c>
      <c r="AD510">
        <f>IF($AG510="","",Config!$B$23)</f>
        <v/>
      </c>
      <c r="AE510">
        <f>IF($AG510="","",Config!$B$28)</f>
        <v/>
      </c>
      <c r="AG510">
        <f>IFERROR(MATCH(ROW()-1,Calc!$J$2:$J$1601,0),"")</f>
        <v/>
      </c>
      <c r="AH510">
        <f>IFERROR(MATCH(ROW()-1,Calc!$K$2:$K$1601,0),"")</f>
        <v/>
      </c>
      <c r="AI510">
        <f>IF($AG510="","",SUMIF($AG$2:$AG510,$AG510,$AH$2:$AH510))</f>
        <v/>
      </c>
      <c r="AJ510">
        <f>IF('TMP Paste'!$F510="","",IF('TMP Paste'!$B510="",$AJ509,'TMP Paste'!$B510))</f>
        <v/>
      </c>
      <c r="AK510">
        <f>IF('TMP Paste'!$F510="","",N('TMP Paste'!$G510))</f>
        <v/>
      </c>
      <c r="AL510">
        <f>IF('TMP Paste'!$F510="","",IF('TMP Paste'!$M510="",$AL509,'TMP Paste'!$M510))</f>
        <v/>
      </c>
      <c r="AM510">
        <f>IF('TMP Paste'!$F510="","",IF('TMP Paste'!$N510="",$AM509,'TMP Paste'!$N510))</f>
        <v/>
      </c>
      <c r="AN510">
        <f>IF('TMP Paste'!$F510="","",IF('TMP Paste'!$O510="",$AN509,'TMP Paste'!$O510))</f>
        <v/>
      </c>
      <c r="AO510">
        <f>IF('TMP Paste'!$F510="","",IF('TMP Paste'!$P510="",$AO509,'TMP Paste'!$P510))</f>
        <v/>
      </c>
      <c r="AP510">
        <f>IF($AG510="","",LEN($R510))</f>
        <v/>
      </c>
      <c r="AQ510">
        <f>IF($AG510="","",TRIM(IF(COUNTIFS(Calc!$B$2:$B$1601,ROW()-1,Calc!$C$2:$C$1601,"&lt;1")&gt;0,"Ada PO tanpa Koli - cek TMP. ","")&amp;IF(LEN($R510)&gt;500,"R &gt; 500 karakter.","")))</f>
        <v/>
      </c>
    </row>
    <row r="511">
      <c r="A511">
        <f>IF($AG511="","",INDEX('TMP Paste'!$B$2:$B$1601,$AG511))</f>
        <v/>
      </c>
      <c r="B511">
        <f>IF($AG511="","",Config!$B$14)</f>
        <v/>
      </c>
      <c r="C511">
        <f>IF($AG511="","",Config!$B$15)</f>
        <v/>
      </c>
      <c r="D511">
        <f>IF($AG511="","",INDEX('TMP Paste'!$B$2:$B$1601,$AG511))</f>
        <v/>
      </c>
      <c r="E511">
        <f>IF($AG511="","",Config!$B$27)</f>
        <v/>
      </c>
      <c r="F511">
        <f>IF($AG511="","",Config!$B$9)</f>
        <v/>
      </c>
      <c r="G511">
        <f>IF($AG511="","",Config!$B$10)</f>
        <v/>
      </c>
      <c r="H511">
        <f>IF($AG511="","",Config!$B$11)</f>
        <v/>
      </c>
      <c r="I511">
        <f>IF($AG511="","",Config!$B$16)</f>
        <v/>
      </c>
      <c r="J511">
        <f>IF($AG511="","",INDEX('TMP Paste'!$A$2:$A$1601,$AG511))</f>
        <v/>
      </c>
      <c r="K511">
        <f>IF($AG511="","",INDEX('TMP Paste'!$L$2:$L$1601,$AG511))</f>
        <v/>
      </c>
      <c r="L511">
        <f>IF($AG511="","",INDEX('TMP Paste'!$I$2:$I$1601,$AG511))</f>
        <v/>
      </c>
      <c r="M511">
        <f>IF($AG511="","",Config!$B$16)</f>
        <v/>
      </c>
      <c r="N511">
        <f>IF($AG511="","","")</f>
        <v/>
      </c>
      <c r="O511">
        <f>IF($AG511="","",INDEX('TMP Paste'!$K$2:$K$1601,$AG511))</f>
        <v/>
      </c>
      <c r="P511">
        <f>IF($AG511="","","")</f>
        <v/>
      </c>
      <c r="Q511">
        <f>IF($AG511="","",INDEX('TMP Paste'!$J$2:$J$1601,$AG511))</f>
        <v/>
      </c>
      <c r="R511">
        <f>IF($AG511="","",Config!$B$24)</f>
        <v/>
      </c>
      <c r="S511">
        <f>IF($AG511="","",TEXT(Config!$B$4,"yyyy-mm-dd"))</f>
        <v/>
      </c>
      <c r="T511">
        <f>IF($AG511="","",Config!$B$17)</f>
        <v/>
      </c>
      <c r="U511">
        <f>IF($AG511="","",Config!$B$18)</f>
        <v/>
      </c>
      <c r="V511">
        <f>IF($AG511="","",Config!$B$19)</f>
        <v/>
      </c>
      <c r="W511">
        <f>IF($AG511="","",INDEX('TMP Paste'!$C$2:$C$1601,$AG511))</f>
        <v/>
      </c>
      <c r="X511">
        <f>IF($AG511="","",Config!$B$29)</f>
        <v/>
      </c>
      <c r="Y511">
        <f>IF($AH511="","",INDEX(Calc!$I$2:$I$1601,$AH511)&amp;" - "&amp;INDEX(Calc!$D$2:$D$1601,$AH511)&amp;" koli")</f>
        <v/>
      </c>
      <c r="Z511">
        <f>IF($AG511="","",Config!$B$21)</f>
        <v/>
      </c>
      <c r="AA511">
        <f>IF($AG511="","",Config!$B$22)</f>
        <v/>
      </c>
      <c r="AB511">
        <f>IF($AH511="","",INDEX(Calc!$D$2:$D$1601,$AH511))</f>
        <v/>
      </c>
      <c r="AC511">
        <f>IF($AH511="","",INDEX(Calc!$G$2:$G$1601,$AH511))</f>
        <v/>
      </c>
      <c r="AD511">
        <f>IF($AG511="","",Config!$B$23)</f>
        <v/>
      </c>
      <c r="AE511">
        <f>IF($AG511="","",Config!$B$28)</f>
        <v/>
      </c>
      <c r="AG511">
        <f>IFERROR(MATCH(ROW()-1,Calc!$J$2:$J$1601,0),"")</f>
        <v/>
      </c>
      <c r="AH511">
        <f>IFERROR(MATCH(ROW()-1,Calc!$K$2:$K$1601,0),"")</f>
        <v/>
      </c>
      <c r="AI511">
        <f>IF($AG511="","",SUMIF($AG$2:$AG511,$AG511,$AH$2:$AH511))</f>
        <v/>
      </c>
      <c r="AJ511">
        <f>IF('TMP Paste'!$F511="","",IF('TMP Paste'!$B511="",$AJ510,'TMP Paste'!$B511))</f>
        <v/>
      </c>
      <c r="AK511">
        <f>IF('TMP Paste'!$F511="","",N('TMP Paste'!$G511))</f>
        <v/>
      </c>
      <c r="AL511">
        <f>IF('TMP Paste'!$F511="","",IF('TMP Paste'!$M511="",$AL510,'TMP Paste'!$M511))</f>
        <v/>
      </c>
      <c r="AM511">
        <f>IF('TMP Paste'!$F511="","",IF('TMP Paste'!$N511="",$AM510,'TMP Paste'!$N511))</f>
        <v/>
      </c>
      <c r="AN511">
        <f>IF('TMP Paste'!$F511="","",IF('TMP Paste'!$O511="",$AN510,'TMP Paste'!$O511))</f>
        <v/>
      </c>
      <c r="AO511">
        <f>IF('TMP Paste'!$F511="","",IF('TMP Paste'!$P511="",$AO510,'TMP Paste'!$P511))</f>
        <v/>
      </c>
      <c r="AP511">
        <f>IF($AG511="","",LEN($R511))</f>
        <v/>
      </c>
      <c r="AQ511">
        <f>IF($AG511="","",TRIM(IF(COUNTIFS(Calc!$B$2:$B$1601,ROW()-1,Calc!$C$2:$C$1601,"&lt;1")&gt;0,"Ada PO tanpa Koli - cek TMP. ","")&amp;IF(LEN($R511)&gt;500,"R &gt; 500 karakter.","")))</f>
        <v/>
      </c>
    </row>
    <row r="512">
      <c r="A512">
        <f>IF($AG512="","",INDEX('TMP Paste'!$B$2:$B$1601,$AG512))</f>
        <v/>
      </c>
      <c r="B512">
        <f>IF($AG512="","",Config!$B$14)</f>
        <v/>
      </c>
      <c r="C512">
        <f>IF($AG512="","",Config!$B$15)</f>
        <v/>
      </c>
      <c r="D512">
        <f>IF($AG512="","",INDEX('TMP Paste'!$B$2:$B$1601,$AG512))</f>
        <v/>
      </c>
      <c r="E512">
        <f>IF($AG512="","",Config!$B$27)</f>
        <v/>
      </c>
      <c r="F512">
        <f>IF($AG512="","",Config!$B$9)</f>
        <v/>
      </c>
      <c r="G512">
        <f>IF($AG512="","",Config!$B$10)</f>
        <v/>
      </c>
      <c r="H512">
        <f>IF($AG512="","",Config!$B$11)</f>
        <v/>
      </c>
      <c r="I512">
        <f>IF($AG512="","",Config!$B$16)</f>
        <v/>
      </c>
      <c r="J512">
        <f>IF($AG512="","",INDEX('TMP Paste'!$A$2:$A$1601,$AG512))</f>
        <v/>
      </c>
      <c r="K512">
        <f>IF($AG512="","",INDEX('TMP Paste'!$L$2:$L$1601,$AG512))</f>
        <v/>
      </c>
      <c r="L512">
        <f>IF($AG512="","",INDEX('TMP Paste'!$I$2:$I$1601,$AG512))</f>
        <v/>
      </c>
      <c r="M512">
        <f>IF($AG512="","",Config!$B$16)</f>
        <v/>
      </c>
      <c r="N512">
        <f>IF($AG512="","","")</f>
        <v/>
      </c>
      <c r="O512">
        <f>IF($AG512="","",INDEX('TMP Paste'!$K$2:$K$1601,$AG512))</f>
        <v/>
      </c>
      <c r="P512">
        <f>IF($AG512="","","")</f>
        <v/>
      </c>
      <c r="Q512">
        <f>IF($AG512="","",INDEX('TMP Paste'!$J$2:$J$1601,$AG512))</f>
        <v/>
      </c>
      <c r="R512">
        <f>IF($AG512="","",Config!$B$24)</f>
        <v/>
      </c>
      <c r="S512">
        <f>IF($AG512="","",TEXT(Config!$B$4,"yyyy-mm-dd"))</f>
        <v/>
      </c>
      <c r="T512">
        <f>IF($AG512="","",Config!$B$17)</f>
        <v/>
      </c>
      <c r="U512">
        <f>IF($AG512="","",Config!$B$18)</f>
        <v/>
      </c>
      <c r="V512">
        <f>IF($AG512="","",Config!$B$19)</f>
        <v/>
      </c>
      <c r="W512">
        <f>IF($AG512="","",INDEX('TMP Paste'!$C$2:$C$1601,$AG512))</f>
        <v/>
      </c>
      <c r="X512">
        <f>IF($AG512="","",Config!$B$29)</f>
        <v/>
      </c>
      <c r="Y512">
        <f>IF($AH512="","",INDEX(Calc!$I$2:$I$1601,$AH512)&amp;" - "&amp;INDEX(Calc!$D$2:$D$1601,$AH512)&amp;" koli")</f>
        <v/>
      </c>
      <c r="Z512">
        <f>IF($AG512="","",Config!$B$21)</f>
        <v/>
      </c>
      <c r="AA512">
        <f>IF($AG512="","",Config!$B$22)</f>
        <v/>
      </c>
      <c r="AB512">
        <f>IF($AH512="","",INDEX(Calc!$D$2:$D$1601,$AH512))</f>
        <v/>
      </c>
      <c r="AC512">
        <f>IF($AH512="","",INDEX(Calc!$G$2:$G$1601,$AH512))</f>
        <v/>
      </c>
      <c r="AD512">
        <f>IF($AG512="","",Config!$B$23)</f>
        <v/>
      </c>
      <c r="AE512">
        <f>IF($AG512="","",Config!$B$28)</f>
        <v/>
      </c>
      <c r="AG512">
        <f>IFERROR(MATCH(ROW()-1,Calc!$J$2:$J$1601,0),"")</f>
        <v/>
      </c>
      <c r="AH512">
        <f>IFERROR(MATCH(ROW()-1,Calc!$K$2:$K$1601,0),"")</f>
        <v/>
      </c>
      <c r="AI512">
        <f>IF($AG512="","",SUMIF($AG$2:$AG512,$AG512,$AH$2:$AH512))</f>
        <v/>
      </c>
      <c r="AJ512">
        <f>IF('TMP Paste'!$F512="","",IF('TMP Paste'!$B512="",$AJ511,'TMP Paste'!$B512))</f>
        <v/>
      </c>
      <c r="AK512">
        <f>IF('TMP Paste'!$F512="","",N('TMP Paste'!$G512))</f>
        <v/>
      </c>
      <c r="AL512">
        <f>IF('TMP Paste'!$F512="","",IF('TMP Paste'!$M512="",$AL511,'TMP Paste'!$M512))</f>
        <v/>
      </c>
      <c r="AM512">
        <f>IF('TMP Paste'!$F512="","",IF('TMP Paste'!$N512="",$AM511,'TMP Paste'!$N512))</f>
        <v/>
      </c>
      <c r="AN512">
        <f>IF('TMP Paste'!$F512="","",IF('TMP Paste'!$O512="",$AN511,'TMP Paste'!$O512))</f>
        <v/>
      </c>
      <c r="AO512">
        <f>IF('TMP Paste'!$F512="","",IF('TMP Paste'!$P512="",$AO511,'TMP Paste'!$P512))</f>
        <v/>
      </c>
      <c r="AP512">
        <f>IF($AG512="","",LEN($R512))</f>
        <v/>
      </c>
      <c r="AQ512">
        <f>IF($AG512="","",TRIM(IF(COUNTIFS(Calc!$B$2:$B$1601,ROW()-1,Calc!$C$2:$C$1601,"&lt;1")&gt;0,"Ada PO tanpa Koli - cek TMP. ","")&amp;IF(LEN($R512)&gt;500,"R &gt; 500 karakter.","")))</f>
        <v/>
      </c>
    </row>
    <row r="513">
      <c r="A513">
        <f>IF($AG513="","",INDEX('TMP Paste'!$B$2:$B$1601,$AG513))</f>
        <v/>
      </c>
      <c r="B513">
        <f>IF($AG513="","",Config!$B$14)</f>
        <v/>
      </c>
      <c r="C513">
        <f>IF($AG513="","",Config!$B$15)</f>
        <v/>
      </c>
      <c r="D513">
        <f>IF($AG513="","",INDEX('TMP Paste'!$B$2:$B$1601,$AG513))</f>
        <v/>
      </c>
      <c r="E513">
        <f>IF($AG513="","",Config!$B$27)</f>
        <v/>
      </c>
      <c r="F513">
        <f>IF($AG513="","",Config!$B$9)</f>
        <v/>
      </c>
      <c r="G513">
        <f>IF($AG513="","",Config!$B$10)</f>
        <v/>
      </c>
      <c r="H513">
        <f>IF($AG513="","",Config!$B$11)</f>
        <v/>
      </c>
      <c r="I513">
        <f>IF($AG513="","",Config!$B$16)</f>
        <v/>
      </c>
      <c r="J513">
        <f>IF($AG513="","",INDEX('TMP Paste'!$A$2:$A$1601,$AG513))</f>
        <v/>
      </c>
      <c r="K513">
        <f>IF($AG513="","",INDEX('TMP Paste'!$L$2:$L$1601,$AG513))</f>
        <v/>
      </c>
      <c r="L513">
        <f>IF($AG513="","",INDEX('TMP Paste'!$I$2:$I$1601,$AG513))</f>
        <v/>
      </c>
      <c r="M513">
        <f>IF($AG513="","",Config!$B$16)</f>
        <v/>
      </c>
      <c r="N513">
        <f>IF($AG513="","","")</f>
        <v/>
      </c>
      <c r="O513">
        <f>IF($AG513="","",INDEX('TMP Paste'!$K$2:$K$1601,$AG513))</f>
        <v/>
      </c>
      <c r="P513">
        <f>IF($AG513="","","")</f>
        <v/>
      </c>
      <c r="Q513">
        <f>IF($AG513="","",INDEX('TMP Paste'!$J$2:$J$1601,$AG513))</f>
        <v/>
      </c>
      <c r="R513">
        <f>IF($AG513="","",Config!$B$24)</f>
        <v/>
      </c>
      <c r="S513">
        <f>IF($AG513="","",TEXT(Config!$B$4,"yyyy-mm-dd"))</f>
        <v/>
      </c>
      <c r="T513">
        <f>IF($AG513="","",Config!$B$17)</f>
        <v/>
      </c>
      <c r="U513">
        <f>IF($AG513="","",Config!$B$18)</f>
        <v/>
      </c>
      <c r="V513">
        <f>IF($AG513="","",Config!$B$19)</f>
        <v/>
      </c>
      <c r="W513">
        <f>IF($AG513="","",INDEX('TMP Paste'!$C$2:$C$1601,$AG513))</f>
        <v/>
      </c>
      <c r="X513">
        <f>IF($AG513="","",Config!$B$29)</f>
        <v/>
      </c>
      <c r="Y513">
        <f>IF($AH513="","",INDEX(Calc!$I$2:$I$1601,$AH513)&amp;" - "&amp;INDEX(Calc!$D$2:$D$1601,$AH513)&amp;" koli")</f>
        <v/>
      </c>
      <c r="Z513">
        <f>IF($AG513="","",Config!$B$21)</f>
        <v/>
      </c>
      <c r="AA513">
        <f>IF($AG513="","",Config!$B$22)</f>
        <v/>
      </c>
      <c r="AB513">
        <f>IF($AH513="","",INDEX(Calc!$D$2:$D$1601,$AH513))</f>
        <v/>
      </c>
      <c r="AC513">
        <f>IF($AH513="","",INDEX(Calc!$G$2:$G$1601,$AH513))</f>
        <v/>
      </c>
      <c r="AD513">
        <f>IF($AG513="","",Config!$B$23)</f>
        <v/>
      </c>
      <c r="AE513">
        <f>IF($AG513="","",Config!$B$28)</f>
        <v/>
      </c>
      <c r="AG513">
        <f>IFERROR(MATCH(ROW()-1,Calc!$J$2:$J$1601,0),"")</f>
        <v/>
      </c>
      <c r="AH513">
        <f>IFERROR(MATCH(ROW()-1,Calc!$K$2:$K$1601,0),"")</f>
        <v/>
      </c>
      <c r="AI513">
        <f>IF($AG513="","",SUMIF($AG$2:$AG513,$AG513,$AH$2:$AH513))</f>
        <v/>
      </c>
      <c r="AJ513">
        <f>IF('TMP Paste'!$F513="","",IF('TMP Paste'!$B513="",$AJ512,'TMP Paste'!$B513))</f>
        <v/>
      </c>
      <c r="AK513">
        <f>IF('TMP Paste'!$F513="","",N('TMP Paste'!$G513))</f>
        <v/>
      </c>
      <c r="AL513">
        <f>IF('TMP Paste'!$F513="","",IF('TMP Paste'!$M513="",$AL512,'TMP Paste'!$M513))</f>
        <v/>
      </c>
      <c r="AM513">
        <f>IF('TMP Paste'!$F513="","",IF('TMP Paste'!$N513="",$AM512,'TMP Paste'!$N513))</f>
        <v/>
      </c>
      <c r="AN513">
        <f>IF('TMP Paste'!$F513="","",IF('TMP Paste'!$O513="",$AN512,'TMP Paste'!$O513))</f>
        <v/>
      </c>
      <c r="AO513">
        <f>IF('TMP Paste'!$F513="","",IF('TMP Paste'!$P513="",$AO512,'TMP Paste'!$P513))</f>
        <v/>
      </c>
      <c r="AP513">
        <f>IF($AG513="","",LEN($R513))</f>
        <v/>
      </c>
      <c r="AQ513">
        <f>IF($AG513="","",TRIM(IF(COUNTIFS(Calc!$B$2:$B$1601,ROW()-1,Calc!$C$2:$C$1601,"&lt;1")&gt;0,"Ada PO tanpa Koli - cek TMP. ","")&amp;IF(LEN($R513)&gt;500,"R &gt; 500 karakter.","")))</f>
        <v/>
      </c>
    </row>
    <row r="514">
      <c r="A514">
        <f>IF($AG514="","",INDEX('TMP Paste'!$B$2:$B$1601,$AG514))</f>
        <v/>
      </c>
      <c r="B514">
        <f>IF($AG514="","",Config!$B$14)</f>
        <v/>
      </c>
      <c r="C514">
        <f>IF($AG514="","",Config!$B$15)</f>
        <v/>
      </c>
      <c r="D514">
        <f>IF($AG514="","",INDEX('TMP Paste'!$B$2:$B$1601,$AG514))</f>
        <v/>
      </c>
      <c r="E514">
        <f>IF($AG514="","",Config!$B$27)</f>
        <v/>
      </c>
      <c r="F514">
        <f>IF($AG514="","",Config!$B$9)</f>
        <v/>
      </c>
      <c r="G514">
        <f>IF($AG514="","",Config!$B$10)</f>
        <v/>
      </c>
      <c r="H514">
        <f>IF($AG514="","",Config!$B$11)</f>
        <v/>
      </c>
      <c r="I514">
        <f>IF($AG514="","",Config!$B$16)</f>
        <v/>
      </c>
      <c r="J514">
        <f>IF($AG514="","",INDEX('TMP Paste'!$A$2:$A$1601,$AG514))</f>
        <v/>
      </c>
      <c r="K514">
        <f>IF($AG514="","",INDEX('TMP Paste'!$L$2:$L$1601,$AG514))</f>
        <v/>
      </c>
      <c r="L514">
        <f>IF($AG514="","",INDEX('TMP Paste'!$I$2:$I$1601,$AG514))</f>
        <v/>
      </c>
      <c r="M514">
        <f>IF($AG514="","",Config!$B$16)</f>
        <v/>
      </c>
      <c r="N514">
        <f>IF($AG514="","","")</f>
        <v/>
      </c>
      <c r="O514">
        <f>IF($AG514="","",INDEX('TMP Paste'!$K$2:$K$1601,$AG514))</f>
        <v/>
      </c>
      <c r="P514">
        <f>IF($AG514="","","")</f>
        <v/>
      </c>
      <c r="Q514">
        <f>IF($AG514="","",INDEX('TMP Paste'!$J$2:$J$1601,$AG514))</f>
        <v/>
      </c>
      <c r="R514">
        <f>IF($AG514="","",Config!$B$24)</f>
        <v/>
      </c>
      <c r="S514">
        <f>IF($AG514="","",TEXT(Config!$B$4,"yyyy-mm-dd"))</f>
        <v/>
      </c>
      <c r="T514">
        <f>IF($AG514="","",Config!$B$17)</f>
        <v/>
      </c>
      <c r="U514">
        <f>IF($AG514="","",Config!$B$18)</f>
        <v/>
      </c>
      <c r="V514">
        <f>IF($AG514="","",Config!$B$19)</f>
        <v/>
      </c>
      <c r="W514">
        <f>IF($AG514="","",INDEX('TMP Paste'!$C$2:$C$1601,$AG514))</f>
        <v/>
      </c>
      <c r="X514">
        <f>IF($AG514="","",Config!$B$29)</f>
        <v/>
      </c>
      <c r="Y514">
        <f>IF($AH514="","",INDEX(Calc!$I$2:$I$1601,$AH514)&amp;" - "&amp;INDEX(Calc!$D$2:$D$1601,$AH514)&amp;" koli")</f>
        <v/>
      </c>
      <c r="Z514">
        <f>IF($AG514="","",Config!$B$21)</f>
        <v/>
      </c>
      <c r="AA514">
        <f>IF($AG514="","",Config!$B$22)</f>
        <v/>
      </c>
      <c r="AB514">
        <f>IF($AH514="","",INDEX(Calc!$D$2:$D$1601,$AH514))</f>
        <v/>
      </c>
      <c r="AC514">
        <f>IF($AH514="","",INDEX(Calc!$G$2:$G$1601,$AH514))</f>
        <v/>
      </c>
      <c r="AD514">
        <f>IF($AG514="","",Config!$B$23)</f>
        <v/>
      </c>
      <c r="AE514">
        <f>IF($AG514="","",Config!$B$28)</f>
        <v/>
      </c>
      <c r="AG514">
        <f>IFERROR(MATCH(ROW()-1,Calc!$J$2:$J$1601,0),"")</f>
        <v/>
      </c>
      <c r="AH514">
        <f>IFERROR(MATCH(ROW()-1,Calc!$K$2:$K$1601,0),"")</f>
        <v/>
      </c>
      <c r="AI514">
        <f>IF($AG514="","",SUMIF($AG$2:$AG514,$AG514,$AH$2:$AH514))</f>
        <v/>
      </c>
      <c r="AJ514">
        <f>IF('TMP Paste'!$F514="","",IF('TMP Paste'!$B514="",$AJ513,'TMP Paste'!$B514))</f>
        <v/>
      </c>
      <c r="AK514">
        <f>IF('TMP Paste'!$F514="","",N('TMP Paste'!$G514))</f>
        <v/>
      </c>
      <c r="AL514">
        <f>IF('TMP Paste'!$F514="","",IF('TMP Paste'!$M514="",$AL513,'TMP Paste'!$M514))</f>
        <v/>
      </c>
      <c r="AM514">
        <f>IF('TMP Paste'!$F514="","",IF('TMP Paste'!$N514="",$AM513,'TMP Paste'!$N514))</f>
        <v/>
      </c>
      <c r="AN514">
        <f>IF('TMP Paste'!$F514="","",IF('TMP Paste'!$O514="",$AN513,'TMP Paste'!$O514))</f>
        <v/>
      </c>
      <c r="AO514">
        <f>IF('TMP Paste'!$F514="","",IF('TMP Paste'!$P514="",$AO513,'TMP Paste'!$P514))</f>
        <v/>
      </c>
      <c r="AP514">
        <f>IF($AG514="","",LEN($R514))</f>
        <v/>
      </c>
      <c r="AQ514">
        <f>IF($AG514="","",TRIM(IF(COUNTIFS(Calc!$B$2:$B$1601,ROW()-1,Calc!$C$2:$C$1601,"&lt;1")&gt;0,"Ada PO tanpa Koli - cek TMP. ","")&amp;IF(LEN($R514)&gt;500,"R &gt; 500 karakter.","")))</f>
        <v/>
      </c>
    </row>
    <row r="515">
      <c r="A515">
        <f>IF($AG515="","",INDEX('TMP Paste'!$B$2:$B$1601,$AG515))</f>
        <v/>
      </c>
      <c r="B515">
        <f>IF($AG515="","",Config!$B$14)</f>
        <v/>
      </c>
      <c r="C515">
        <f>IF($AG515="","",Config!$B$15)</f>
        <v/>
      </c>
      <c r="D515">
        <f>IF($AG515="","",INDEX('TMP Paste'!$B$2:$B$1601,$AG515))</f>
        <v/>
      </c>
      <c r="E515">
        <f>IF($AG515="","",Config!$B$27)</f>
        <v/>
      </c>
      <c r="F515">
        <f>IF($AG515="","",Config!$B$9)</f>
        <v/>
      </c>
      <c r="G515">
        <f>IF($AG515="","",Config!$B$10)</f>
        <v/>
      </c>
      <c r="H515">
        <f>IF($AG515="","",Config!$B$11)</f>
        <v/>
      </c>
      <c r="I515">
        <f>IF($AG515="","",Config!$B$16)</f>
        <v/>
      </c>
      <c r="J515">
        <f>IF($AG515="","",INDEX('TMP Paste'!$A$2:$A$1601,$AG515))</f>
        <v/>
      </c>
      <c r="K515">
        <f>IF($AG515="","",INDEX('TMP Paste'!$L$2:$L$1601,$AG515))</f>
        <v/>
      </c>
      <c r="L515">
        <f>IF($AG515="","",INDEX('TMP Paste'!$I$2:$I$1601,$AG515))</f>
        <v/>
      </c>
      <c r="M515">
        <f>IF($AG515="","",Config!$B$16)</f>
        <v/>
      </c>
      <c r="N515">
        <f>IF($AG515="","","")</f>
        <v/>
      </c>
      <c r="O515">
        <f>IF($AG515="","",INDEX('TMP Paste'!$K$2:$K$1601,$AG515))</f>
        <v/>
      </c>
      <c r="P515">
        <f>IF($AG515="","","")</f>
        <v/>
      </c>
      <c r="Q515">
        <f>IF($AG515="","",INDEX('TMP Paste'!$J$2:$J$1601,$AG515))</f>
        <v/>
      </c>
      <c r="R515">
        <f>IF($AG515="","",Config!$B$24)</f>
        <v/>
      </c>
      <c r="S515">
        <f>IF($AG515="","",TEXT(Config!$B$4,"yyyy-mm-dd"))</f>
        <v/>
      </c>
      <c r="T515">
        <f>IF($AG515="","",Config!$B$17)</f>
        <v/>
      </c>
      <c r="U515">
        <f>IF($AG515="","",Config!$B$18)</f>
        <v/>
      </c>
      <c r="V515">
        <f>IF($AG515="","",Config!$B$19)</f>
        <v/>
      </c>
      <c r="W515">
        <f>IF($AG515="","",INDEX('TMP Paste'!$C$2:$C$1601,$AG515))</f>
        <v/>
      </c>
      <c r="X515">
        <f>IF($AG515="","",Config!$B$29)</f>
        <v/>
      </c>
      <c r="Y515">
        <f>IF($AH515="","",INDEX(Calc!$I$2:$I$1601,$AH515)&amp;" - "&amp;INDEX(Calc!$D$2:$D$1601,$AH515)&amp;" koli")</f>
        <v/>
      </c>
      <c r="Z515">
        <f>IF($AG515="","",Config!$B$21)</f>
        <v/>
      </c>
      <c r="AA515">
        <f>IF($AG515="","",Config!$B$22)</f>
        <v/>
      </c>
      <c r="AB515">
        <f>IF($AH515="","",INDEX(Calc!$D$2:$D$1601,$AH515))</f>
        <v/>
      </c>
      <c r="AC515">
        <f>IF($AH515="","",INDEX(Calc!$G$2:$G$1601,$AH515))</f>
        <v/>
      </c>
      <c r="AD515">
        <f>IF($AG515="","",Config!$B$23)</f>
        <v/>
      </c>
      <c r="AE515">
        <f>IF($AG515="","",Config!$B$28)</f>
        <v/>
      </c>
      <c r="AG515">
        <f>IFERROR(MATCH(ROW()-1,Calc!$J$2:$J$1601,0),"")</f>
        <v/>
      </c>
      <c r="AH515">
        <f>IFERROR(MATCH(ROW()-1,Calc!$K$2:$K$1601,0),"")</f>
        <v/>
      </c>
      <c r="AI515">
        <f>IF($AG515="","",SUMIF($AG$2:$AG515,$AG515,$AH$2:$AH515))</f>
        <v/>
      </c>
      <c r="AJ515">
        <f>IF('TMP Paste'!$F515="","",IF('TMP Paste'!$B515="",$AJ514,'TMP Paste'!$B515))</f>
        <v/>
      </c>
      <c r="AK515">
        <f>IF('TMP Paste'!$F515="","",N('TMP Paste'!$G515))</f>
        <v/>
      </c>
      <c r="AL515">
        <f>IF('TMP Paste'!$F515="","",IF('TMP Paste'!$M515="",$AL514,'TMP Paste'!$M515))</f>
        <v/>
      </c>
      <c r="AM515">
        <f>IF('TMP Paste'!$F515="","",IF('TMP Paste'!$N515="",$AM514,'TMP Paste'!$N515))</f>
        <v/>
      </c>
      <c r="AN515">
        <f>IF('TMP Paste'!$F515="","",IF('TMP Paste'!$O515="",$AN514,'TMP Paste'!$O515))</f>
        <v/>
      </c>
      <c r="AO515">
        <f>IF('TMP Paste'!$F515="","",IF('TMP Paste'!$P515="",$AO514,'TMP Paste'!$P515))</f>
        <v/>
      </c>
      <c r="AP515">
        <f>IF($AG515="","",LEN($R515))</f>
        <v/>
      </c>
      <c r="AQ515">
        <f>IF($AG515="","",TRIM(IF(COUNTIFS(Calc!$B$2:$B$1601,ROW()-1,Calc!$C$2:$C$1601,"&lt;1")&gt;0,"Ada PO tanpa Koli - cek TMP. ","")&amp;IF(LEN($R515)&gt;500,"R &gt; 500 karakter.","")))</f>
        <v/>
      </c>
    </row>
    <row r="516">
      <c r="A516">
        <f>IF($AG516="","",INDEX('TMP Paste'!$B$2:$B$1601,$AG516))</f>
        <v/>
      </c>
      <c r="B516">
        <f>IF($AG516="","",Config!$B$14)</f>
        <v/>
      </c>
      <c r="C516">
        <f>IF($AG516="","",Config!$B$15)</f>
        <v/>
      </c>
      <c r="D516">
        <f>IF($AG516="","",INDEX('TMP Paste'!$B$2:$B$1601,$AG516))</f>
        <v/>
      </c>
      <c r="E516">
        <f>IF($AG516="","",Config!$B$27)</f>
        <v/>
      </c>
      <c r="F516">
        <f>IF($AG516="","",Config!$B$9)</f>
        <v/>
      </c>
      <c r="G516">
        <f>IF($AG516="","",Config!$B$10)</f>
        <v/>
      </c>
      <c r="H516">
        <f>IF($AG516="","",Config!$B$11)</f>
        <v/>
      </c>
      <c r="I516">
        <f>IF($AG516="","",Config!$B$16)</f>
        <v/>
      </c>
      <c r="J516">
        <f>IF($AG516="","",INDEX('TMP Paste'!$A$2:$A$1601,$AG516))</f>
        <v/>
      </c>
      <c r="K516">
        <f>IF($AG516="","",INDEX('TMP Paste'!$L$2:$L$1601,$AG516))</f>
        <v/>
      </c>
      <c r="L516">
        <f>IF($AG516="","",INDEX('TMP Paste'!$I$2:$I$1601,$AG516))</f>
        <v/>
      </c>
      <c r="M516">
        <f>IF($AG516="","",Config!$B$16)</f>
        <v/>
      </c>
      <c r="N516">
        <f>IF($AG516="","","")</f>
        <v/>
      </c>
      <c r="O516">
        <f>IF($AG516="","",INDEX('TMP Paste'!$K$2:$K$1601,$AG516))</f>
        <v/>
      </c>
      <c r="P516">
        <f>IF($AG516="","","")</f>
        <v/>
      </c>
      <c r="Q516">
        <f>IF($AG516="","",INDEX('TMP Paste'!$J$2:$J$1601,$AG516))</f>
        <v/>
      </c>
      <c r="R516">
        <f>IF($AG516="","",Config!$B$24)</f>
        <v/>
      </c>
      <c r="S516">
        <f>IF($AG516="","",TEXT(Config!$B$4,"yyyy-mm-dd"))</f>
        <v/>
      </c>
      <c r="T516">
        <f>IF($AG516="","",Config!$B$17)</f>
        <v/>
      </c>
      <c r="U516">
        <f>IF($AG516="","",Config!$B$18)</f>
        <v/>
      </c>
      <c r="V516">
        <f>IF($AG516="","",Config!$B$19)</f>
        <v/>
      </c>
      <c r="W516">
        <f>IF($AG516="","",INDEX('TMP Paste'!$C$2:$C$1601,$AG516))</f>
        <v/>
      </c>
      <c r="X516">
        <f>IF($AG516="","",Config!$B$29)</f>
        <v/>
      </c>
      <c r="Y516">
        <f>IF($AH516="","",INDEX(Calc!$I$2:$I$1601,$AH516)&amp;" - "&amp;INDEX(Calc!$D$2:$D$1601,$AH516)&amp;" koli")</f>
        <v/>
      </c>
      <c r="Z516">
        <f>IF($AG516="","",Config!$B$21)</f>
        <v/>
      </c>
      <c r="AA516">
        <f>IF($AG516="","",Config!$B$22)</f>
        <v/>
      </c>
      <c r="AB516">
        <f>IF($AH516="","",INDEX(Calc!$D$2:$D$1601,$AH516))</f>
        <v/>
      </c>
      <c r="AC516">
        <f>IF($AH516="","",INDEX(Calc!$G$2:$G$1601,$AH516))</f>
        <v/>
      </c>
      <c r="AD516">
        <f>IF($AG516="","",Config!$B$23)</f>
        <v/>
      </c>
      <c r="AE516">
        <f>IF($AG516="","",Config!$B$28)</f>
        <v/>
      </c>
      <c r="AG516">
        <f>IFERROR(MATCH(ROW()-1,Calc!$J$2:$J$1601,0),"")</f>
        <v/>
      </c>
      <c r="AH516">
        <f>IFERROR(MATCH(ROW()-1,Calc!$K$2:$K$1601,0),"")</f>
        <v/>
      </c>
      <c r="AI516">
        <f>IF($AG516="","",SUMIF($AG$2:$AG516,$AG516,$AH$2:$AH516))</f>
        <v/>
      </c>
      <c r="AJ516">
        <f>IF('TMP Paste'!$F516="","",IF('TMP Paste'!$B516="",$AJ515,'TMP Paste'!$B516))</f>
        <v/>
      </c>
      <c r="AK516">
        <f>IF('TMP Paste'!$F516="","",N('TMP Paste'!$G516))</f>
        <v/>
      </c>
      <c r="AL516">
        <f>IF('TMP Paste'!$F516="","",IF('TMP Paste'!$M516="",$AL515,'TMP Paste'!$M516))</f>
        <v/>
      </c>
      <c r="AM516">
        <f>IF('TMP Paste'!$F516="","",IF('TMP Paste'!$N516="",$AM515,'TMP Paste'!$N516))</f>
        <v/>
      </c>
      <c r="AN516">
        <f>IF('TMP Paste'!$F516="","",IF('TMP Paste'!$O516="",$AN515,'TMP Paste'!$O516))</f>
        <v/>
      </c>
      <c r="AO516">
        <f>IF('TMP Paste'!$F516="","",IF('TMP Paste'!$P516="",$AO515,'TMP Paste'!$P516))</f>
        <v/>
      </c>
      <c r="AP516">
        <f>IF($AG516="","",LEN($R516))</f>
        <v/>
      </c>
      <c r="AQ516">
        <f>IF($AG516="","",TRIM(IF(COUNTIFS(Calc!$B$2:$B$1601,ROW()-1,Calc!$C$2:$C$1601,"&lt;1")&gt;0,"Ada PO tanpa Koli - cek TMP. ","")&amp;IF(LEN($R516)&gt;500,"R &gt; 500 karakter.","")))</f>
        <v/>
      </c>
    </row>
    <row r="517">
      <c r="A517">
        <f>IF($AG517="","",INDEX('TMP Paste'!$B$2:$B$1601,$AG517))</f>
        <v/>
      </c>
      <c r="B517">
        <f>IF($AG517="","",Config!$B$14)</f>
        <v/>
      </c>
      <c r="C517">
        <f>IF($AG517="","",Config!$B$15)</f>
        <v/>
      </c>
      <c r="D517">
        <f>IF($AG517="","",INDEX('TMP Paste'!$B$2:$B$1601,$AG517))</f>
        <v/>
      </c>
      <c r="E517">
        <f>IF($AG517="","",Config!$B$27)</f>
        <v/>
      </c>
      <c r="F517">
        <f>IF($AG517="","",Config!$B$9)</f>
        <v/>
      </c>
      <c r="G517">
        <f>IF($AG517="","",Config!$B$10)</f>
        <v/>
      </c>
      <c r="H517">
        <f>IF($AG517="","",Config!$B$11)</f>
        <v/>
      </c>
      <c r="I517">
        <f>IF($AG517="","",Config!$B$16)</f>
        <v/>
      </c>
      <c r="J517">
        <f>IF($AG517="","",INDEX('TMP Paste'!$A$2:$A$1601,$AG517))</f>
        <v/>
      </c>
      <c r="K517">
        <f>IF($AG517="","",INDEX('TMP Paste'!$L$2:$L$1601,$AG517))</f>
        <v/>
      </c>
      <c r="L517">
        <f>IF($AG517="","",INDEX('TMP Paste'!$I$2:$I$1601,$AG517))</f>
        <v/>
      </c>
      <c r="M517">
        <f>IF($AG517="","",Config!$B$16)</f>
        <v/>
      </c>
      <c r="N517">
        <f>IF($AG517="","","")</f>
        <v/>
      </c>
      <c r="O517">
        <f>IF($AG517="","",INDEX('TMP Paste'!$K$2:$K$1601,$AG517))</f>
        <v/>
      </c>
      <c r="P517">
        <f>IF($AG517="","","")</f>
        <v/>
      </c>
      <c r="Q517">
        <f>IF($AG517="","",INDEX('TMP Paste'!$J$2:$J$1601,$AG517))</f>
        <v/>
      </c>
      <c r="R517">
        <f>IF($AG517="","",Config!$B$24)</f>
        <v/>
      </c>
      <c r="S517">
        <f>IF($AG517="","",TEXT(Config!$B$4,"yyyy-mm-dd"))</f>
        <v/>
      </c>
      <c r="T517">
        <f>IF($AG517="","",Config!$B$17)</f>
        <v/>
      </c>
      <c r="U517">
        <f>IF($AG517="","",Config!$B$18)</f>
        <v/>
      </c>
      <c r="V517">
        <f>IF($AG517="","",Config!$B$19)</f>
        <v/>
      </c>
      <c r="W517">
        <f>IF($AG517="","",INDEX('TMP Paste'!$C$2:$C$1601,$AG517))</f>
        <v/>
      </c>
      <c r="X517">
        <f>IF($AG517="","",Config!$B$29)</f>
        <v/>
      </c>
      <c r="Y517">
        <f>IF($AH517="","",INDEX(Calc!$I$2:$I$1601,$AH517)&amp;" - "&amp;INDEX(Calc!$D$2:$D$1601,$AH517)&amp;" koli")</f>
        <v/>
      </c>
      <c r="Z517">
        <f>IF($AG517="","",Config!$B$21)</f>
        <v/>
      </c>
      <c r="AA517">
        <f>IF($AG517="","",Config!$B$22)</f>
        <v/>
      </c>
      <c r="AB517">
        <f>IF($AH517="","",INDEX(Calc!$D$2:$D$1601,$AH517))</f>
        <v/>
      </c>
      <c r="AC517">
        <f>IF($AH517="","",INDEX(Calc!$G$2:$G$1601,$AH517))</f>
        <v/>
      </c>
      <c r="AD517">
        <f>IF($AG517="","",Config!$B$23)</f>
        <v/>
      </c>
      <c r="AE517">
        <f>IF($AG517="","",Config!$B$28)</f>
        <v/>
      </c>
      <c r="AG517">
        <f>IFERROR(MATCH(ROW()-1,Calc!$J$2:$J$1601,0),"")</f>
        <v/>
      </c>
      <c r="AH517">
        <f>IFERROR(MATCH(ROW()-1,Calc!$K$2:$K$1601,0),"")</f>
        <v/>
      </c>
      <c r="AI517">
        <f>IF($AG517="","",SUMIF($AG$2:$AG517,$AG517,$AH$2:$AH517))</f>
        <v/>
      </c>
      <c r="AJ517">
        <f>IF('TMP Paste'!$F517="","",IF('TMP Paste'!$B517="",$AJ516,'TMP Paste'!$B517))</f>
        <v/>
      </c>
      <c r="AK517">
        <f>IF('TMP Paste'!$F517="","",N('TMP Paste'!$G517))</f>
        <v/>
      </c>
      <c r="AL517">
        <f>IF('TMP Paste'!$F517="","",IF('TMP Paste'!$M517="",$AL516,'TMP Paste'!$M517))</f>
        <v/>
      </c>
      <c r="AM517">
        <f>IF('TMP Paste'!$F517="","",IF('TMP Paste'!$N517="",$AM516,'TMP Paste'!$N517))</f>
        <v/>
      </c>
      <c r="AN517">
        <f>IF('TMP Paste'!$F517="","",IF('TMP Paste'!$O517="",$AN516,'TMP Paste'!$O517))</f>
        <v/>
      </c>
      <c r="AO517">
        <f>IF('TMP Paste'!$F517="","",IF('TMP Paste'!$P517="",$AO516,'TMP Paste'!$P517))</f>
        <v/>
      </c>
      <c r="AP517">
        <f>IF($AG517="","",LEN($R517))</f>
        <v/>
      </c>
      <c r="AQ517">
        <f>IF($AG517="","",TRIM(IF(COUNTIFS(Calc!$B$2:$B$1601,ROW()-1,Calc!$C$2:$C$1601,"&lt;1")&gt;0,"Ada PO tanpa Koli - cek TMP. ","")&amp;IF(LEN($R517)&gt;500,"R &gt; 500 karakter.","")))</f>
        <v/>
      </c>
    </row>
    <row r="518">
      <c r="A518">
        <f>IF($AG518="","",INDEX('TMP Paste'!$B$2:$B$1601,$AG518))</f>
        <v/>
      </c>
      <c r="B518">
        <f>IF($AG518="","",Config!$B$14)</f>
        <v/>
      </c>
      <c r="C518">
        <f>IF($AG518="","",Config!$B$15)</f>
        <v/>
      </c>
      <c r="D518">
        <f>IF($AG518="","",INDEX('TMP Paste'!$B$2:$B$1601,$AG518))</f>
        <v/>
      </c>
      <c r="E518">
        <f>IF($AG518="","",Config!$B$27)</f>
        <v/>
      </c>
      <c r="F518">
        <f>IF($AG518="","",Config!$B$9)</f>
        <v/>
      </c>
      <c r="G518">
        <f>IF($AG518="","",Config!$B$10)</f>
        <v/>
      </c>
      <c r="H518">
        <f>IF($AG518="","",Config!$B$11)</f>
        <v/>
      </c>
      <c r="I518">
        <f>IF($AG518="","",Config!$B$16)</f>
        <v/>
      </c>
      <c r="J518">
        <f>IF($AG518="","",INDEX('TMP Paste'!$A$2:$A$1601,$AG518))</f>
        <v/>
      </c>
      <c r="K518">
        <f>IF($AG518="","",INDEX('TMP Paste'!$L$2:$L$1601,$AG518))</f>
        <v/>
      </c>
      <c r="L518">
        <f>IF($AG518="","",INDEX('TMP Paste'!$I$2:$I$1601,$AG518))</f>
        <v/>
      </c>
      <c r="M518">
        <f>IF($AG518="","",Config!$B$16)</f>
        <v/>
      </c>
      <c r="N518">
        <f>IF($AG518="","","")</f>
        <v/>
      </c>
      <c r="O518">
        <f>IF($AG518="","",INDEX('TMP Paste'!$K$2:$K$1601,$AG518))</f>
        <v/>
      </c>
      <c r="P518">
        <f>IF($AG518="","","")</f>
        <v/>
      </c>
      <c r="Q518">
        <f>IF($AG518="","",INDEX('TMP Paste'!$J$2:$J$1601,$AG518))</f>
        <v/>
      </c>
      <c r="R518">
        <f>IF($AG518="","",Config!$B$24)</f>
        <v/>
      </c>
      <c r="S518">
        <f>IF($AG518="","",TEXT(Config!$B$4,"yyyy-mm-dd"))</f>
        <v/>
      </c>
      <c r="T518">
        <f>IF($AG518="","",Config!$B$17)</f>
        <v/>
      </c>
      <c r="U518">
        <f>IF($AG518="","",Config!$B$18)</f>
        <v/>
      </c>
      <c r="V518">
        <f>IF($AG518="","",Config!$B$19)</f>
        <v/>
      </c>
      <c r="W518">
        <f>IF($AG518="","",INDEX('TMP Paste'!$C$2:$C$1601,$AG518))</f>
        <v/>
      </c>
      <c r="X518">
        <f>IF($AG518="","",Config!$B$29)</f>
        <v/>
      </c>
      <c r="Y518">
        <f>IF($AH518="","",INDEX(Calc!$I$2:$I$1601,$AH518)&amp;" - "&amp;INDEX(Calc!$D$2:$D$1601,$AH518)&amp;" koli")</f>
        <v/>
      </c>
      <c r="Z518">
        <f>IF($AG518="","",Config!$B$21)</f>
        <v/>
      </c>
      <c r="AA518">
        <f>IF($AG518="","",Config!$B$22)</f>
        <v/>
      </c>
      <c r="AB518">
        <f>IF($AH518="","",INDEX(Calc!$D$2:$D$1601,$AH518))</f>
        <v/>
      </c>
      <c r="AC518">
        <f>IF($AH518="","",INDEX(Calc!$G$2:$G$1601,$AH518))</f>
        <v/>
      </c>
      <c r="AD518">
        <f>IF($AG518="","",Config!$B$23)</f>
        <v/>
      </c>
      <c r="AE518">
        <f>IF($AG518="","",Config!$B$28)</f>
        <v/>
      </c>
      <c r="AG518">
        <f>IFERROR(MATCH(ROW()-1,Calc!$J$2:$J$1601,0),"")</f>
        <v/>
      </c>
      <c r="AH518">
        <f>IFERROR(MATCH(ROW()-1,Calc!$K$2:$K$1601,0),"")</f>
        <v/>
      </c>
      <c r="AI518">
        <f>IF($AG518="","",SUMIF($AG$2:$AG518,$AG518,$AH$2:$AH518))</f>
        <v/>
      </c>
      <c r="AJ518">
        <f>IF('TMP Paste'!$F518="","",IF('TMP Paste'!$B518="",$AJ517,'TMP Paste'!$B518))</f>
        <v/>
      </c>
      <c r="AK518">
        <f>IF('TMP Paste'!$F518="","",N('TMP Paste'!$G518))</f>
        <v/>
      </c>
      <c r="AL518">
        <f>IF('TMP Paste'!$F518="","",IF('TMP Paste'!$M518="",$AL517,'TMP Paste'!$M518))</f>
        <v/>
      </c>
      <c r="AM518">
        <f>IF('TMP Paste'!$F518="","",IF('TMP Paste'!$N518="",$AM517,'TMP Paste'!$N518))</f>
        <v/>
      </c>
      <c r="AN518">
        <f>IF('TMP Paste'!$F518="","",IF('TMP Paste'!$O518="",$AN517,'TMP Paste'!$O518))</f>
        <v/>
      </c>
      <c r="AO518">
        <f>IF('TMP Paste'!$F518="","",IF('TMP Paste'!$P518="",$AO517,'TMP Paste'!$P518))</f>
        <v/>
      </c>
      <c r="AP518">
        <f>IF($AG518="","",LEN($R518))</f>
        <v/>
      </c>
      <c r="AQ518">
        <f>IF($AG518="","",TRIM(IF(COUNTIFS(Calc!$B$2:$B$1601,ROW()-1,Calc!$C$2:$C$1601,"&lt;1")&gt;0,"Ada PO tanpa Koli - cek TMP. ","")&amp;IF(LEN($R518)&gt;500,"R &gt; 500 karakter.","")))</f>
        <v/>
      </c>
    </row>
    <row r="519">
      <c r="A519">
        <f>IF($AG519="","",INDEX('TMP Paste'!$B$2:$B$1601,$AG519))</f>
        <v/>
      </c>
      <c r="B519">
        <f>IF($AG519="","",Config!$B$14)</f>
        <v/>
      </c>
      <c r="C519">
        <f>IF($AG519="","",Config!$B$15)</f>
        <v/>
      </c>
      <c r="D519">
        <f>IF($AG519="","",INDEX('TMP Paste'!$B$2:$B$1601,$AG519))</f>
        <v/>
      </c>
      <c r="E519">
        <f>IF($AG519="","",Config!$B$27)</f>
        <v/>
      </c>
      <c r="F519">
        <f>IF($AG519="","",Config!$B$9)</f>
        <v/>
      </c>
      <c r="G519">
        <f>IF($AG519="","",Config!$B$10)</f>
        <v/>
      </c>
      <c r="H519">
        <f>IF($AG519="","",Config!$B$11)</f>
        <v/>
      </c>
      <c r="I519">
        <f>IF($AG519="","",Config!$B$16)</f>
        <v/>
      </c>
      <c r="J519">
        <f>IF($AG519="","",INDEX('TMP Paste'!$A$2:$A$1601,$AG519))</f>
        <v/>
      </c>
      <c r="K519">
        <f>IF($AG519="","",INDEX('TMP Paste'!$L$2:$L$1601,$AG519))</f>
        <v/>
      </c>
      <c r="L519">
        <f>IF($AG519="","",INDEX('TMP Paste'!$I$2:$I$1601,$AG519))</f>
        <v/>
      </c>
      <c r="M519">
        <f>IF($AG519="","",Config!$B$16)</f>
        <v/>
      </c>
      <c r="N519">
        <f>IF($AG519="","","")</f>
        <v/>
      </c>
      <c r="O519">
        <f>IF($AG519="","",INDEX('TMP Paste'!$K$2:$K$1601,$AG519))</f>
        <v/>
      </c>
      <c r="P519">
        <f>IF($AG519="","","")</f>
        <v/>
      </c>
      <c r="Q519">
        <f>IF($AG519="","",INDEX('TMP Paste'!$J$2:$J$1601,$AG519))</f>
        <v/>
      </c>
      <c r="R519">
        <f>IF($AG519="","",Config!$B$24)</f>
        <v/>
      </c>
      <c r="S519">
        <f>IF($AG519="","",TEXT(Config!$B$4,"yyyy-mm-dd"))</f>
        <v/>
      </c>
      <c r="T519">
        <f>IF($AG519="","",Config!$B$17)</f>
        <v/>
      </c>
      <c r="U519">
        <f>IF($AG519="","",Config!$B$18)</f>
        <v/>
      </c>
      <c r="V519">
        <f>IF($AG519="","",Config!$B$19)</f>
        <v/>
      </c>
      <c r="W519">
        <f>IF($AG519="","",INDEX('TMP Paste'!$C$2:$C$1601,$AG519))</f>
        <v/>
      </c>
      <c r="X519">
        <f>IF($AG519="","",Config!$B$29)</f>
        <v/>
      </c>
      <c r="Y519">
        <f>IF($AH519="","",INDEX(Calc!$I$2:$I$1601,$AH519)&amp;" - "&amp;INDEX(Calc!$D$2:$D$1601,$AH519)&amp;" koli")</f>
        <v/>
      </c>
      <c r="Z519">
        <f>IF($AG519="","",Config!$B$21)</f>
        <v/>
      </c>
      <c r="AA519">
        <f>IF($AG519="","",Config!$B$22)</f>
        <v/>
      </c>
      <c r="AB519">
        <f>IF($AH519="","",INDEX(Calc!$D$2:$D$1601,$AH519))</f>
        <v/>
      </c>
      <c r="AC519">
        <f>IF($AH519="","",INDEX(Calc!$G$2:$G$1601,$AH519))</f>
        <v/>
      </c>
      <c r="AD519">
        <f>IF($AG519="","",Config!$B$23)</f>
        <v/>
      </c>
      <c r="AE519">
        <f>IF($AG519="","",Config!$B$28)</f>
        <v/>
      </c>
      <c r="AG519">
        <f>IFERROR(MATCH(ROW()-1,Calc!$J$2:$J$1601,0),"")</f>
        <v/>
      </c>
      <c r="AH519">
        <f>IFERROR(MATCH(ROW()-1,Calc!$K$2:$K$1601,0),"")</f>
        <v/>
      </c>
      <c r="AI519">
        <f>IF($AG519="","",SUMIF($AG$2:$AG519,$AG519,$AH$2:$AH519))</f>
        <v/>
      </c>
      <c r="AJ519">
        <f>IF('TMP Paste'!$F519="","",IF('TMP Paste'!$B519="",$AJ518,'TMP Paste'!$B519))</f>
        <v/>
      </c>
      <c r="AK519">
        <f>IF('TMP Paste'!$F519="","",N('TMP Paste'!$G519))</f>
        <v/>
      </c>
      <c r="AL519">
        <f>IF('TMP Paste'!$F519="","",IF('TMP Paste'!$M519="",$AL518,'TMP Paste'!$M519))</f>
        <v/>
      </c>
      <c r="AM519">
        <f>IF('TMP Paste'!$F519="","",IF('TMP Paste'!$N519="",$AM518,'TMP Paste'!$N519))</f>
        <v/>
      </c>
      <c r="AN519">
        <f>IF('TMP Paste'!$F519="","",IF('TMP Paste'!$O519="",$AN518,'TMP Paste'!$O519))</f>
        <v/>
      </c>
      <c r="AO519">
        <f>IF('TMP Paste'!$F519="","",IF('TMP Paste'!$P519="",$AO518,'TMP Paste'!$P519))</f>
        <v/>
      </c>
      <c r="AP519">
        <f>IF($AG519="","",LEN($R519))</f>
        <v/>
      </c>
      <c r="AQ519">
        <f>IF($AG519="","",TRIM(IF(COUNTIFS(Calc!$B$2:$B$1601,ROW()-1,Calc!$C$2:$C$1601,"&lt;1")&gt;0,"Ada PO tanpa Koli - cek TMP. ","")&amp;IF(LEN($R519)&gt;500,"R &gt; 500 karakter.","")))</f>
        <v/>
      </c>
    </row>
    <row r="520">
      <c r="A520">
        <f>IF($AG520="","",INDEX('TMP Paste'!$B$2:$B$1601,$AG520))</f>
        <v/>
      </c>
      <c r="B520">
        <f>IF($AG520="","",Config!$B$14)</f>
        <v/>
      </c>
      <c r="C520">
        <f>IF($AG520="","",Config!$B$15)</f>
        <v/>
      </c>
      <c r="D520">
        <f>IF($AG520="","",INDEX('TMP Paste'!$B$2:$B$1601,$AG520))</f>
        <v/>
      </c>
      <c r="E520">
        <f>IF($AG520="","",Config!$B$27)</f>
        <v/>
      </c>
      <c r="F520">
        <f>IF($AG520="","",Config!$B$9)</f>
        <v/>
      </c>
      <c r="G520">
        <f>IF($AG520="","",Config!$B$10)</f>
        <v/>
      </c>
      <c r="H520">
        <f>IF($AG520="","",Config!$B$11)</f>
        <v/>
      </c>
      <c r="I520">
        <f>IF($AG520="","",Config!$B$16)</f>
        <v/>
      </c>
      <c r="J520">
        <f>IF($AG520="","",INDEX('TMP Paste'!$A$2:$A$1601,$AG520))</f>
        <v/>
      </c>
      <c r="K520">
        <f>IF($AG520="","",INDEX('TMP Paste'!$L$2:$L$1601,$AG520))</f>
        <v/>
      </c>
      <c r="L520">
        <f>IF($AG520="","",INDEX('TMP Paste'!$I$2:$I$1601,$AG520))</f>
        <v/>
      </c>
      <c r="M520">
        <f>IF($AG520="","",Config!$B$16)</f>
        <v/>
      </c>
      <c r="N520">
        <f>IF($AG520="","","")</f>
        <v/>
      </c>
      <c r="O520">
        <f>IF($AG520="","",INDEX('TMP Paste'!$K$2:$K$1601,$AG520))</f>
        <v/>
      </c>
      <c r="P520">
        <f>IF($AG520="","","")</f>
        <v/>
      </c>
      <c r="Q520">
        <f>IF($AG520="","",INDEX('TMP Paste'!$J$2:$J$1601,$AG520))</f>
        <v/>
      </c>
      <c r="R520">
        <f>IF($AG520="","",Config!$B$24)</f>
        <v/>
      </c>
      <c r="S520">
        <f>IF($AG520="","",TEXT(Config!$B$4,"yyyy-mm-dd"))</f>
        <v/>
      </c>
      <c r="T520">
        <f>IF($AG520="","",Config!$B$17)</f>
        <v/>
      </c>
      <c r="U520">
        <f>IF($AG520="","",Config!$B$18)</f>
        <v/>
      </c>
      <c r="V520">
        <f>IF($AG520="","",Config!$B$19)</f>
        <v/>
      </c>
      <c r="W520">
        <f>IF($AG520="","",INDEX('TMP Paste'!$C$2:$C$1601,$AG520))</f>
        <v/>
      </c>
      <c r="X520">
        <f>IF($AG520="","",Config!$B$29)</f>
        <v/>
      </c>
      <c r="Y520">
        <f>IF($AH520="","",INDEX(Calc!$I$2:$I$1601,$AH520)&amp;" - "&amp;INDEX(Calc!$D$2:$D$1601,$AH520)&amp;" koli")</f>
        <v/>
      </c>
      <c r="Z520">
        <f>IF($AG520="","",Config!$B$21)</f>
        <v/>
      </c>
      <c r="AA520">
        <f>IF($AG520="","",Config!$B$22)</f>
        <v/>
      </c>
      <c r="AB520">
        <f>IF($AH520="","",INDEX(Calc!$D$2:$D$1601,$AH520))</f>
        <v/>
      </c>
      <c r="AC520">
        <f>IF($AH520="","",INDEX(Calc!$G$2:$G$1601,$AH520))</f>
        <v/>
      </c>
      <c r="AD520">
        <f>IF($AG520="","",Config!$B$23)</f>
        <v/>
      </c>
      <c r="AE520">
        <f>IF($AG520="","",Config!$B$28)</f>
        <v/>
      </c>
      <c r="AG520">
        <f>IFERROR(MATCH(ROW()-1,Calc!$J$2:$J$1601,0),"")</f>
        <v/>
      </c>
      <c r="AH520">
        <f>IFERROR(MATCH(ROW()-1,Calc!$K$2:$K$1601,0),"")</f>
        <v/>
      </c>
      <c r="AI520">
        <f>IF($AG520="","",SUMIF($AG$2:$AG520,$AG520,$AH$2:$AH520))</f>
        <v/>
      </c>
      <c r="AJ520">
        <f>IF('TMP Paste'!$F520="","",IF('TMP Paste'!$B520="",$AJ519,'TMP Paste'!$B520))</f>
        <v/>
      </c>
      <c r="AK520">
        <f>IF('TMP Paste'!$F520="","",N('TMP Paste'!$G520))</f>
        <v/>
      </c>
      <c r="AL520">
        <f>IF('TMP Paste'!$F520="","",IF('TMP Paste'!$M520="",$AL519,'TMP Paste'!$M520))</f>
        <v/>
      </c>
      <c r="AM520">
        <f>IF('TMP Paste'!$F520="","",IF('TMP Paste'!$N520="",$AM519,'TMP Paste'!$N520))</f>
        <v/>
      </c>
      <c r="AN520">
        <f>IF('TMP Paste'!$F520="","",IF('TMP Paste'!$O520="",$AN519,'TMP Paste'!$O520))</f>
        <v/>
      </c>
      <c r="AO520">
        <f>IF('TMP Paste'!$F520="","",IF('TMP Paste'!$P520="",$AO519,'TMP Paste'!$P520))</f>
        <v/>
      </c>
      <c r="AP520">
        <f>IF($AG520="","",LEN($R520))</f>
        <v/>
      </c>
      <c r="AQ520">
        <f>IF($AG520="","",TRIM(IF(COUNTIFS(Calc!$B$2:$B$1601,ROW()-1,Calc!$C$2:$C$1601,"&lt;1")&gt;0,"Ada PO tanpa Koli - cek TMP. ","")&amp;IF(LEN($R520)&gt;500,"R &gt; 500 karakter.","")))</f>
        <v/>
      </c>
    </row>
    <row r="521">
      <c r="A521">
        <f>IF($AG521="","",INDEX('TMP Paste'!$B$2:$B$1601,$AG521))</f>
        <v/>
      </c>
      <c r="B521">
        <f>IF($AG521="","",Config!$B$14)</f>
        <v/>
      </c>
      <c r="C521">
        <f>IF($AG521="","",Config!$B$15)</f>
        <v/>
      </c>
      <c r="D521">
        <f>IF($AG521="","",INDEX('TMP Paste'!$B$2:$B$1601,$AG521))</f>
        <v/>
      </c>
      <c r="E521">
        <f>IF($AG521="","",Config!$B$27)</f>
        <v/>
      </c>
      <c r="F521">
        <f>IF($AG521="","",Config!$B$9)</f>
        <v/>
      </c>
      <c r="G521">
        <f>IF($AG521="","",Config!$B$10)</f>
        <v/>
      </c>
      <c r="H521">
        <f>IF($AG521="","",Config!$B$11)</f>
        <v/>
      </c>
      <c r="I521">
        <f>IF($AG521="","",Config!$B$16)</f>
        <v/>
      </c>
      <c r="J521">
        <f>IF($AG521="","",INDEX('TMP Paste'!$A$2:$A$1601,$AG521))</f>
        <v/>
      </c>
      <c r="K521">
        <f>IF($AG521="","",INDEX('TMP Paste'!$L$2:$L$1601,$AG521))</f>
        <v/>
      </c>
      <c r="L521">
        <f>IF($AG521="","",INDEX('TMP Paste'!$I$2:$I$1601,$AG521))</f>
        <v/>
      </c>
      <c r="M521">
        <f>IF($AG521="","",Config!$B$16)</f>
        <v/>
      </c>
      <c r="N521">
        <f>IF($AG521="","","")</f>
        <v/>
      </c>
      <c r="O521">
        <f>IF($AG521="","",INDEX('TMP Paste'!$K$2:$K$1601,$AG521))</f>
        <v/>
      </c>
      <c r="P521">
        <f>IF($AG521="","","")</f>
        <v/>
      </c>
      <c r="Q521">
        <f>IF($AG521="","",INDEX('TMP Paste'!$J$2:$J$1601,$AG521))</f>
        <v/>
      </c>
      <c r="R521">
        <f>IF($AG521="","",Config!$B$24)</f>
        <v/>
      </c>
      <c r="S521">
        <f>IF($AG521="","",TEXT(Config!$B$4,"yyyy-mm-dd"))</f>
        <v/>
      </c>
      <c r="T521">
        <f>IF($AG521="","",Config!$B$17)</f>
        <v/>
      </c>
      <c r="U521">
        <f>IF($AG521="","",Config!$B$18)</f>
        <v/>
      </c>
      <c r="V521">
        <f>IF($AG521="","",Config!$B$19)</f>
        <v/>
      </c>
      <c r="W521">
        <f>IF($AG521="","",INDEX('TMP Paste'!$C$2:$C$1601,$AG521))</f>
        <v/>
      </c>
      <c r="X521">
        <f>IF($AG521="","",Config!$B$29)</f>
        <v/>
      </c>
      <c r="Y521">
        <f>IF($AH521="","",INDEX(Calc!$I$2:$I$1601,$AH521)&amp;" - "&amp;INDEX(Calc!$D$2:$D$1601,$AH521)&amp;" koli")</f>
        <v/>
      </c>
      <c r="Z521">
        <f>IF($AG521="","",Config!$B$21)</f>
        <v/>
      </c>
      <c r="AA521">
        <f>IF($AG521="","",Config!$B$22)</f>
        <v/>
      </c>
      <c r="AB521">
        <f>IF($AH521="","",INDEX(Calc!$D$2:$D$1601,$AH521))</f>
        <v/>
      </c>
      <c r="AC521">
        <f>IF($AH521="","",INDEX(Calc!$G$2:$G$1601,$AH521))</f>
        <v/>
      </c>
      <c r="AD521">
        <f>IF($AG521="","",Config!$B$23)</f>
        <v/>
      </c>
      <c r="AE521">
        <f>IF($AG521="","",Config!$B$28)</f>
        <v/>
      </c>
      <c r="AG521">
        <f>IFERROR(MATCH(ROW()-1,Calc!$J$2:$J$1601,0),"")</f>
        <v/>
      </c>
      <c r="AH521">
        <f>IFERROR(MATCH(ROW()-1,Calc!$K$2:$K$1601,0),"")</f>
        <v/>
      </c>
      <c r="AI521">
        <f>IF($AG521="","",SUMIF($AG$2:$AG521,$AG521,$AH$2:$AH521))</f>
        <v/>
      </c>
      <c r="AJ521">
        <f>IF('TMP Paste'!$F521="","",IF('TMP Paste'!$B521="",$AJ520,'TMP Paste'!$B521))</f>
        <v/>
      </c>
      <c r="AK521">
        <f>IF('TMP Paste'!$F521="","",N('TMP Paste'!$G521))</f>
        <v/>
      </c>
      <c r="AL521">
        <f>IF('TMP Paste'!$F521="","",IF('TMP Paste'!$M521="",$AL520,'TMP Paste'!$M521))</f>
        <v/>
      </c>
      <c r="AM521">
        <f>IF('TMP Paste'!$F521="","",IF('TMP Paste'!$N521="",$AM520,'TMP Paste'!$N521))</f>
        <v/>
      </c>
      <c r="AN521">
        <f>IF('TMP Paste'!$F521="","",IF('TMP Paste'!$O521="",$AN520,'TMP Paste'!$O521))</f>
        <v/>
      </c>
      <c r="AO521">
        <f>IF('TMP Paste'!$F521="","",IF('TMP Paste'!$P521="",$AO520,'TMP Paste'!$P521))</f>
        <v/>
      </c>
      <c r="AP521">
        <f>IF($AG521="","",LEN($R521))</f>
        <v/>
      </c>
      <c r="AQ521">
        <f>IF($AG521="","",TRIM(IF(COUNTIFS(Calc!$B$2:$B$1601,ROW()-1,Calc!$C$2:$C$1601,"&lt;1")&gt;0,"Ada PO tanpa Koli - cek TMP. ","")&amp;IF(LEN($R521)&gt;500,"R &gt; 500 karakter.","")))</f>
        <v/>
      </c>
    </row>
    <row r="522">
      <c r="A522">
        <f>IF($AG522="","",INDEX('TMP Paste'!$B$2:$B$1601,$AG522))</f>
        <v/>
      </c>
      <c r="B522">
        <f>IF($AG522="","",Config!$B$14)</f>
        <v/>
      </c>
      <c r="C522">
        <f>IF($AG522="","",Config!$B$15)</f>
        <v/>
      </c>
      <c r="D522">
        <f>IF($AG522="","",INDEX('TMP Paste'!$B$2:$B$1601,$AG522))</f>
        <v/>
      </c>
      <c r="E522">
        <f>IF($AG522="","",Config!$B$27)</f>
        <v/>
      </c>
      <c r="F522">
        <f>IF($AG522="","",Config!$B$9)</f>
        <v/>
      </c>
      <c r="G522">
        <f>IF($AG522="","",Config!$B$10)</f>
        <v/>
      </c>
      <c r="H522">
        <f>IF($AG522="","",Config!$B$11)</f>
        <v/>
      </c>
      <c r="I522">
        <f>IF($AG522="","",Config!$B$16)</f>
        <v/>
      </c>
      <c r="J522">
        <f>IF($AG522="","",INDEX('TMP Paste'!$A$2:$A$1601,$AG522))</f>
        <v/>
      </c>
      <c r="K522">
        <f>IF($AG522="","",INDEX('TMP Paste'!$L$2:$L$1601,$AG522))</f>
        <v/>
      </c>
      <c r="L522">
        <f>IF($AG522="","",INDEX('TMP Paste'!$I$2:$I$1601,$AG522))</f>
        <v/>
      </c>
      <c r="M522">
        <f>IF($AG522="","",Config!$B$16)</f>
        <v/>
      </c>
      <c r="N522">
        <f>IF($AG522="","","")</f>
        <v/>
      </c>
      <c r="O522">
        <f>IF($AG522="","",INDEX('TMP Paste'!$K$2:$K$1601,$AG522))</f>
        <v/>
      </c>
      <c r="P522">
        <f>IF($AG522="","","")</f>
        <v/>
      </c>
      <c r="Q522">
        <f>IF($AG522="","",INDEX('TMP Paste'!$J$2:$J$1601,$AG522))</f>
        <v/>
      </c>
      <c r="R522">
        <f>IF($AG522="","",Config!$B$24)</f>
        <v/>
      </c>
      <c r="S522">
        <f>IF($AG522="","",TEXT(Config!$B$4,"yyyy-mm-dd"))</f>
        <v/>
      </c>
      <c r="T522">
        <f>IF($AG522="","",Config!$B$17)</f>
        <v/>
      </c>
      <c r="U522">
        <f>IF($AG522="","",Config!$B$18)</f>
        <v/>
      </c>
      <c r="V522">
        <f>IF($AG522="","",Config!$B$19)</f>
        <v/>
      </c>
      <c r="W522">
        <f>IF($AG522="","",INDEX('TMP Paste'!$C$2:$C$1601,$AG522))</f>
        <v/>
      </c>
      <c r="X522">
        <f>IF($AG522="","",Config!$B$29)</f>
        <v/>
      </c>
      <c r="Y522">
        <f>IF($AH522="","",INDEX(Calc!$I$2:$I$1601,$AH522)&amp;" - "&amp;INDEX(Calc!$D$2:$D$1601,$AH522)&amp;" koli")</f>
        <v/>
      </c>
      <c r="Z522">
        <f>IF($AG522="","",Config!$B$21)</f>
        <v/>
      </c>
      <c r="AA522">
        <f>IF($AG522="","",Config!$B$22)</f>
        <v/>
      </c>
      <c r="AB522">
        <f>IF($AH522="","",INDEX(Calc!$D$2:$D$1601,$AH522))</f>
        <v/>
      </c>
      <c r="AC522">
        <f>IF($AH522="","",INDEX(Calc!$G$2:$G$1601,$AH522))</f>
        <v/>
      </c>
      <c r="AD522">
        <f>IF($AG522="","",Config!$B$23)</f>
        <v/>
      </c>
      <c r="AE522">
        <f>IF($AG522="","",Config!$B$28)</f>
        <v/>
      </c>
      <c r="AG522">
        <f>IFERROR(MATCH(ROW()-1,Calc!$J$2:$J$1601,0),"")</f>
        <v/>
      </c>
      <c r="AH522">
        <f>IFERROR(MATCH(ROW()-1,Calc!$K$2:$K$1601,0),"")</f>
        <v/>
      </c>
      <c r="AI522">
        <f>IF($AG522="","",SUMIF($AG$2:$AG522,$AG522,$AH$2:$AH522))</f>
        <v/>
      </c>
      <c r="AJ522">
        <f>IF('TMP Paste'!$F522="","",IF('TMP Paste'!$B522="",$AJ521,'TMP Paste'!$B522))</f>
        <v/>
      </c>
      <c r="AK522">
        <f>IF('TMP Paste'!$F522="","",N('TMP Paste'!$G522))</f>
        <v/>
      </c>
      <c r="AL522">
        <f>IF('TMP Paste'!$F522="","",IF('TMP Paste'!$M522="",$AL521,'TMP Paste'!$M522))</f>
        <v/>
      </c>
      <c r="AM522">
        <f>IF('TMP Paste'!$F522="","",IF('TMP Paste'!$N522="",$AM521,'TMP Paste'!$N522))</f>
        <v/>
      </c>
      <c r="AN522">
        <f>IF('TMP Paste'!$F522="","",IF('TMP Paste'!$O522="",$AN521,'TMP Paste'!$O522))</f>
        <v/>
      </c>
      <c r="AO522">
        <f>IF('TMP Paste'!$F522="","",IF('TMP Paste'!$P522="",$AO521,'TMP Paste'!$P522))</f>
        <v/>
      </c>
      <c r="AP522">
        <f>IF($AG522="","",LEN($R522))</f>
        <v/>
      </c>
      <c r="AQ522">
        <f>IF($AG522="","",TRIM(IF(COUNTIFS(Calc!$B$2:$B$1601,ROW()-1,Calc!$C$2:$C$1601,"&lt;1")&gt;0,"Ada PO tanpa Koli - cek TMP. ","")&amp;IF(LEN($R522)&gt;500,"R &gt; 500 karakter.","")))</f>
        <v/>
      </c>
    </row>
    <row r="523">
      <c r="A523">
        <f>IF($AG523="","",INDEX('TMP Paste'!$B$2:$B$1601,$AG523))</f>
        <v/>
      </c>
      <c r="B523">
        <f>IF($AG523="","",Config!$B$14)</f>
        <v/>
      </c>
      <c r="C523">
        <f>IF($AG523="","",Config!$B$15)</f>
        <v/>
      </c>
      <c r="D523">
        <f>IF($AG523="","",INDEX('TMP Paste'!$B$2:$B$1601,$AG523))</f>
        <v/>
      </c>
      <c r="E523">
        <f>IF($AG523="","",Config!$B$27)</f>
        <v/>
      </c>
      <c r="F523">
        <f>IF($AG523="","",Config!$B$9)</f>
        <v/>
      </c>
      <c r="G523">
        <f>IF($AG523="","",Config!$B$10)</f>
        <v/>
      </c>
      <c r="H523">
        <f>IF($AG523="","",Config!$B$11)</f>
        <v/>
      </c>
      <c r="I523">
        <f>IF($AG523="","",Config!$B$16)</f>
        <v/>
      </c>
      <c r="J523">
        <f>IF($AG523="","",INDEX('TMP Paste'!$A$2:$A$1601,$AG523))</f>
        <v/>
      </c>
      <c r="K523">
        <f>IF($AG523="","",INDEX('TMP Paste'!$L$2:$L$1601,$AG523))</f>
        <v/>
      </c>
      <c r="L523">
        <f>IF($AG523="","",INDEX('TMP Paste'!$I$2:$I$1601,$AG523))</f>
        <v/>
      </c>
      <c r="M523">
        <f>IF($AG523="","",Config!$B$16)</f>
        <v/>
      </c>
      <c r="N523">
        <f>IF($AG523="","","")</f>
        <v/>
      </c>
      <c r="O523">
        <f>IF($AG523="","",INDEX('TMP Paste'!$K$2:$K$1601,$AG523))</f>
        <v/>
      </c>
      <c r="P523">
        <f>IF($AG523="","","")</f>
        <v/>
      </c>
      <c r="Q523">
        <f>IF($AG523="","",INDEX('TMP Paste'!$J$2:$J$1601,$AG523))</f>
        <v/>
      </c>
      <c r="R523">
        <f>IF($AG523="","",Config!$B$24)</f>
        <v/>
      </c>
      <c r="S523">
        <f>IF($AG523="","",TEXT(Config!$B$4,"yyyy-mm-dd"))</f>
        <v/>
      </c>
      <c r="T523">
        <f>IF($AG523="","",Config!$B$17)</f>
        <v/>
      </c>
      <c r="U523">
        <f>IF($AG523="","",Config!$B$18)</f>
        <v/>
      </c>
      <c r="V523">
        <f>IF($AG523="","",Config!$B$19)</f>
        <v/>
      </c>
      <c r="W523">
        <f>IF($AG523="","",INDEX('TMP Paste'!$C$2:$C$1601,$AG523))</f>
        <v/>
      </c>
      <c r="X523">
        <f>IF($AG523="","",Config!$B$29)</f>
        <v/>
      </c>
      <c r="Y523">
        <f>IF($AH523="","",INDEX(Calc!$I$2:$I$1601,$AH523)&amp;" - "&amp;INDEX(Calc!$D$2:$D$1601,$AH523)&amp;" koli")</f>
        <v/>
      </c>
      <c r="Z523">
        <f>IF($AG523="","",Config!$B$21)</f>
        <v/>
      </c>
      <c r="AA523">
        <f>IF($AG523="","",Config!$B$22)</f>
        <v/>
      </c>
      <c r="AB523">
        <f>IF($AH523="","",INDEX(Calc!$D$2:$D$1601,$AH523))</f>
        <v/>
      </c>
      <c r="AC523">
        <f>IF($AH523="","",INDEX(Calc!$G$2:$G$1601,$AH523))</f>
        <v/>
      </c>
      <c r="AD523">
        <f>IF($AG523="","",Config!$B$23)</f>
        <v/>
      </c>
      <c r="AE523">
        <f>IF($AG523="","",Config!$B$28)</f>
        <v/>
      </c>
      <c r="AG523">
        <f>IFERROR(MATCH(ROW()-1,Calc!$J$2:$J$1601,0),"")</f>
        <v/>
      </c>
      <c r="AH523">
        <f>IFERROR(MATCH(ROW()-1,Calc!$K$2:$K$1601,0),"")</f>
        <v/>
      </c>
      <c r="AI523">
        <f>IF($AG523="","",SUMIF($AG$2:$AG523,$AG523,$AH$2:$AH523))</f>
        <v/>
      </c>
      <c r="AJ523">
        <f>IF('TMP Paste'!$F523="","",IF('TMP Paste'!$B523="",$AJ522,'TMP Paste'!$B523))</f>
        <v/>
      </c>
      <c r="AK523">
        <f>IF('TMP Paste'!$F523="","",N('TMP Paste'!$G523))</f>
        <v/>
      </c>
      <c r="AL523">
        <f>IF('TMP Paste'!$F523="","",IF('TMP Paste'!$M523="",$AL522,'TMP Paste'!$M523))</f>
        <v/>
      </c>
      <c r="AM523">
        <f>IF('TMP Paste'!$F523="","",IF('TMP Paste'!$N523="",$AM522,'TMP Paste'!$N523))</f>
        <v/>
      </c>
      <c r="AN523">
        <f>IF('TMP Paste'!$F523="","",IF('TMP Paste'!$O523="",$AN522,'TMP Paste'!$O523))</f>
        <v/>
      </c>
      <c r="AO523">
        <f>IF('TMP Paste'!$F523="","",IF('TMP Paste'!$P523="",$AO522,'TMP Paste'!$P523))</f>
        <v/>
      </c>
      <c r="AP523">
        <f>IF($AG523="","",LEN($R523))</f>
        <v/>
      </c>
      <c r="AQ523">
        <f>IF($AG523="","",TRIM(IF(COUNTIFS(Calc!$B$2:$B$1601,ROW()-1,Calc!$C$2:$C$1601,"&lt;1")&gt;0,"Ada PO tanpa Koli - cek TMP. ","")&amp;IF(LEN($R523)&gt;500,"R &gt; 500 karakter.","")))</f>
        <v/>
      </c>
    </row>
    <row r="524">
      <c r="A524">
        <f>IF($AG524="","",INDEX('TMP Paste'!$B$2:$B$1601,$AG524))</f>
        <v/>
      </c>
      <c r="B524">
        <f>IF($AG524="","",Config!$B$14)</f>
        <v/>
      </c>
      <c r="C524">
        <f>IF($AG524="","",Config!$B$15)</f>
        <v/>
      </c>
      <c r="D524">
        <f>IF($AG524="","",INDEX('TMP Paste'!$B$2:$B$1601,$AG524))</f>
        <v/>
      </c>
      <c r="E524">
        <f>IF($AG524="","",Config!$B$27)</f>
        <v/>
      </c>
      <c r="F524">
        <f>IF($AG524="","",Config!$B$9)</f>
        <v/>
      </c>
      <c r="G524">
        <f>IF($AG524="","",Config!$B$10)</f>
        <v/>
      </c>
      <c r="H524">
        <f>IF($AG524="","",Config!$B$11)</f>
        <v/>
      </c>
      <c r="I524">
        <f>IF($AG524="","",Config!$B$16)</f>
        <v/>
      </c>
      <c r="J524">
        <f>IF($AG524="","",INDEX('TMP Paste'!$A$2:$A$1601,$AG524))</f>
        <v/>
      </c>
      <c r="K524">
        <f>IF($AG524="","",INDEX('TMP Paste'!$L$2:$L$1601,$AG524))</f>
        <v/>
      </c>
      <c r="L524">
        <f>IF($AG524="","",INDEX('TMP Paste'!$I$2:$I$1601,$AG524))</f>
        <v/>
      </c>
      <c r="M524">
        <f>IF($AG524="","",Config!$B$16)</f>
        <v/>
      </c>
      <c r="N524">
        <f>IF($AG524="","","")</f>
        <v/>
      </c>
      <c r="O524">
        <f>IF($AG524="","",INDEX('TMP Paste'!$K$2:$K$1601,$AG524))</f>
        <v/>
      </c>
      <c r="P524">
        <f>IF($AG524="","","")</f>
        <v/>
      </c>
      <c r="Q524">
        <f>IF($AG524="","",INDEX('TMP Paste'!$J$2:$J$1601,$AG524))</f>
        <v/>
      </c>
      <c r="R524">
        <f>IF($AG524="","",Config!$B$24)</f>
        <v/>
      </c>
      <c r="S524">
        <f>IF($AG524="","",TEXT(Config!$B$4,"yyyy-mm-dd"))</f>
        <v/>
      </c>
      <c r="T524">
        <f>IF($AG524="","",Config!$B$17)</f>
        <v/>
      </c>
      <c r="U524">
        <f>IF($AG524="","",Config!$B$18)</f>
        <v/>
      </c>
      <c r="V524">
        <f>IF($AG524="","",Config!$B$19)</f>
        <v/>
      </c>
      <c r="W524">
        <f>IF($AG524="","",INDEX('TMP Paste'!$C$2:$C$1601,$AG524))</f>
        <v/>
      </c>
      <c r="X524">
        <f>IF($AG524="","",Config!$B$29)</f>
        <v/>
      </c>
      <c r="Y524">
        <f>IF($AH524="","",INDEX(Calc!$I$2:$I$1601,$AH524)&amp;" - "&amp;INDEX(Calc!$D$2:$D$1601,$AH524)&amp;" koli")</f>
        <v/>
      </c>
      <c r="Z524">
        <f>IF($AG524="","",Config!$B$21)</f>
        <v/>
      </c>
      <c r="AA524">
        <f>IF($AG524="","",Config!$B$22)</f>
        <v/>
      </c>
      <c r="AB524">
        <f>IF($AH524="","",INDEX(Calc!$D$2:$D$1601,$AH524))</f>
        <v/>
      </c>
      <c r="AC524">
        <f>IF($AH524="","",INDEX(Calc!$G$2:$G$1601,$AH524))</f>
        <v/>
      </c>
      <c r="AD524">
        <f>IF($AG524="","",Config!$B$23)</f>
        <v/>
      </c>
      <c r="AE524">
        <f>IF($AG524="","",Config!$B$28)</f>
        <v/>
      </c>
      <c r="AG524">
        <f>IFERROR(MATCH(ROW()-1,Calc!$J$2:$J$1601,0),"")</f>
        <v/>
      </c>
      <c r="AH524">
        <f>IFERROR(MATCH(ROW()-1,Calc!$K$2:$K$1601,0),"")</f>
        <v/>
      </c>
      <c r="AI524">
        <f>IF($AG524="","",SUMIF($AG$2:$AG524,$AG524,$AH$2:$AH524))</f>
        <v/>
      </c>
      <c r="AJ524">
        <f>IF('TMP Paste'!$F524="","",IF('TMP Paste'!$B524="",$AJ523,'TMP Paste'!$B524))</f>
        <v/>
      </c>
      <c r="AK524">
        <f>IF('TMP Paste'!$F524="","",N('TMP Paste'!$G524))</f>
        <v/>
      </c>
      <c r="AL524">
        <f>IF('TMP Paste'!$F524="","",IF('TMP Paste'!$M524="",$AL523,'TMP Paste'!$M524))</f>
        <v/>
      </c>
      <c r="AM524">
        <f>IF('TMP Paste'!$F524="","",IF('TMP Paste'!$N524="",$AM523,'TMP Paste'!$N524))</f>
        <v/>
      </c>
      <c r="AN524">
        <f>IF('TMP Paste'!$F524="","",IF('TMP Paste'!$O524="",$AN523,'TMP Paste'!$O524))</f>
        <v/>
      </c>
      <c r="AO524">
        <f>IF('TMP Paste'!$F524="","",IF('TMP Paste'!$P524="",$AO523,'TMP Paste'!$P524))</f>
        <v/>
      </c>
      <c r="AP524">
        <f>IF($AG524="","",LEN($R524))</f>
        <v/>
      </c>
      <c r="AQ524">
        <f>IF($AG524="","",TRIM(IF(COUNTIFS(Calc!$B$2:$B$1601,ROW()-1,Calc!$C$2:$C$1601,"&lt;1")&gt;0,"Ada PO tanpa Koli - cek TMP. ","")&amp;IF(LEN($R524)&gt;500,"R &gt; 500 karakter.","")))</f>
        <v/>
      </c>
    </row>
    <row r="525">
      <c r="A525">
        <f>IF($AG525="","",INDEX('TMP Paste'!$B$2:$B$1601,$AG525))</f>
        <v/>
      </c>
      <c r="B525">
        <f>IF($AG525="","",Config!$B$14)</f>
        <v/>
      </c>
      <c r="C525">
        <f>IF($AG525="","",Config!$B$15)</f>
        <v/>
      </c>
      <c r="D525">
        <f>IF($AG525="","",INDEX('TMP Paste'!$B$2:$B$1601,$AG525))</f>
        <v/>
      </c>
      <c r="E525">
        <f>IF($AG525="","",Config!$B$27)</f>
        <v/>
      </c>
      <c r="F525">
        <f>IF($AG525="","",Config!$B$9)</f>
        <v/>
      </c>
      <c r="G525">
        <f>IF($AG525="","",Config!$B$10)</f>
        <v/>
      </c>
      <c r="H525">
        <f>IF($AG525="","",Config!$B$11)</f>
        <v/>
      </c>
      <c r="I525">
        <f>IF($AG525="","",Config!$B$16)</f>
        <v/>
      </c>
      <c r="J525">
        <f>IF($AG525="","",INDEX('TMP Paste'!$A$2:$A$1601,$AG525))</f>
        <v/>
      </c>
      <c r="K525">
        <f>IF($AG525="","",INDEX('TMP Paste'!$L$2:$L$1601,$AG525))</f>
        <v/>
      </c>
      <c r="L525">
        <f>IF($AG525="","",INDEX('TMP Paste'!$I$2:$I$1601,$AG525))</f>
        <v/>
      </c>
      <c r="M525">
        <f>IF($AG525="","",Config!$B$16)</f>
        <v/>
      </c>
      <c r="N525">
        <f>IF($AG525="","","")</f>
        <v/>
      </c>
      <c r="O525">
        <f>IF($AG525="","",INDEX('TMP Paste'!$K$2:$K$1601,$AG525))</f>
        <v/>
      </c>
      <c r="P525">
        <f>IF($AG525="","","")</f>
        <v/>
      </c>
      <c r="Q525">
        <f>IF($AG525="","",INDEX('TMP Paste'!$J$2:$J$1601,$AG525))</f>
        <v/>
      </c>
      <c r="R525">
        <f>IF($AG525="","",Config!$B$24)</f>
        <v/>
      </c>
      <c r="S525">
        <f>IF($AG525="","",TEXT(Config!$B$4,"yyyy-mm-dd"))</f>
        <v/>
      </c>
      <c r="T525">
        <f>IF($AG525="","",Config!$B$17)</f>
        <v/>
      </c>
      <c r="U525">
        <f>IF($AG525="","",Config!$B$18)</f>
        <v/>
      </c>
      <c r="V525">
        <f>IF($AG525="","",Config!$B$19)</f>
        <v/>
      </c>
      <c r="W525">
        <f>IF($AG525="","",INDEX('TMP Paste'!$C$2:$C$1601,$AG525))</f>
        <v/>
      </c>
      <c r="X525">
        <f>IF($AG525="","",Config!$B$29)</f>
        <v/>
      </c>
      <c r="Y525">
        <f>IF($AH525="","",INDEX(Calc!$I$2:$I$1601,$AH525)&amp;" - "&amp;INDEX(Calc!$D$2:$D$1601,$AH525)&amp;" koli")</f>
        <v/>
      </c>
      <c r="Z525">
        <f>IF($AG525="","",Config!$B$21)</f>
        <v/>
      </c>
      <c r="AA525">
        <f>IF($AG525="","",Config!$B$22)</f>
        <v/>
      </c>
      <c r="AB525">
        <f>IF($AH525="","",INDEX(Calc!$D$2:$D$1601,$AH525))</f>
        <v/>
      </c>
      <c r="AC525">
        <f>IF($AH525="","",INDEX(Calc!$G$2:$G$1601,$AH525))</f>
        <v/>
      </c>
      <c r="AD525">
        <f>IF($AG525="","",Config!$B$23)</f>
        <v/>
      </c>
      <c r="AE525">
        <f>IF($AG525="","",Config!$B$28)</f>
        <v/>
      </c>
      <c r="AG525">
        <f>IFERROR(MATCH(ROW()-1,Calc!$J$2:$J$1601,0),"")</f>
        <v/>
      </c>
      <c r="AH525">
        <f>IFERROR(MATCH(ROW()-1,Calc!$K$2:$K$1601,0),"")</f>
        <v/>
      </c>
      <c r="AI525">
        <f>IF($AG525="","",SUMIF($AG$2:$AG525,$AG525,$AH$2:$AH525))</f>
        <v/>
      </c>
      <c r="AJ525">
        <f>IF('TMP Paste'!$F525="","",IF('TMP Paste'!$B525="",$AJ524,'TMP Paste'!$B525))</f>
        <v/>
      </c>
      <c r="AK525">
        <f>IF('TMP Paste'!$F525="","",N('TMP Paste'!$G525))</f>
        <v/>
      </c>
      <c r="AL525">
        <f>IF('TMP Paste'!$F525="","",IF('TMP Paste'!$M525="",$AL524,'TMP Paste'!$M525))</f>
        <v/>
      </c>
      <c r="AM525">
        <f>IF('TMP Paste'!$F525="","",IF('TMP Paste'!$N525="",$AM524,'TMP Paste'!$N525))</f>
        <v/>
      </c>
      <c r="AN525">
        <f>IF('TMP Paste'!$F525="","",IF('TMP Paste'!$O525="",$AN524,'TMP Paste'!$O525))</f>
        <v/>
      </c>
      <c r="AO525">
        <f>IF('TMP Paste'!$F525="","",IF('TMP Paste'!$P525="",$AO524,'TMP Paste'!$P525))</f>
        <v/>
      </c>
      <c r="AP525">
        <f>IF($AG525="","",LEN($R525))</f>
        <v/>
      </c>
      <c r="AQ525">
        <f>IF($AG525="","",TRIM(IF(COUNTIFS(Calc!$B$2:$B$1601,ROW()-1,Calc!$C$2:$C$1601,"&lt;1")&gt;0,"Ada PO tanpa Koli - cek TMP. ","")&amp;IF(LEN($R525)&gt;500,"R &gt; 500 karakter.","")))</f>
        <v/>
      </c>
    </row>
    <row r="526">
      <c r="A526">
        <f>IF($AG526="","",INDEX('TMP Paste'!$B$2:$B$1601,$AG526))</f>
        <v/>
      </c>
      <c r="B526">
        <f>IF($AG526="","",Config!$B$14)</f>
        <v/>
      </c>
      <c r="C526">
        <f>IF($AG526="","",Config!$B$15)</f>
        <v/>
      </c>
      <c r="D526">
        <f>IF($AG526="","",INDEX('TMP Paste'!$B$2:$B$1601,$AG526))</f>
        <v/>
      </c>
      <c r="E526">
        <f>IF($AG526="","",Config!$B$27)</f>
        <v/>
      </c>
      <c r="F526">
        <f>IF($AG526="","",Config!$B$9)</f>
        <v/>
      </c>
      <c r="G526">
        <f>IF($AG526="","",Config!$B$10)</f>
        <v/>
      </c>
      <c r="H526">
        <f>IF($AG526="","",Config!$B$11)</f>
        <v/>
      </c>
      <c r="I526">
        <f>IF($AG526="","",Config!$B$16)</f>
        <v/>
      </c>
      <c r="J526">
        <f>IF($AG526="","",INDEX('TMP Paste'!$A$2:$A$1601,$AG526))</f>
        <v/>
      </c>
      <c r="K526">
        <f>IF($AG526="","",INDEX('TMP Paste'!$L$2:$L$1601,$AG526))</f>
        <v/>
      </c>
      <c r="L526">
        <f>IF($AG526="","",INDEX('TMP Paste'!$I$2:$I$1601,$AG526))</f>
        <v/>
      </c>
      <c r="M526">
        <f>IF($AG526="","",Config!$B$16)</f>
        <v/>
      </c>
      <c r="N526">
        <f>IF($AG526="","","")</f>
        <v/>
      </c>
      <c r="O526">
        <f>IF($AG526="","",INDEX('TMP Paste'!$K$2:$K$1601,$AG526))</f>
        <v/>
      </c>
      <c r="P526">
        <f>IF($AG526="","","")</f>
        <v/>
      </c>
      <c r="Q526">
        <f>IF($AG526="","",INDEX('TMP Paste'!$J$2:$J$1601,$AG526))</f>
        <v/>
      </c>
      <c r="R526">
        <f>IF($AG526="","",Config!$B$24)</f>
        <v/>
      </c>
      <c r="S526">
        <f>IF($AG526="","",TEXT(Config!$B$4,"yyyy-mm-dd"))</f>
        <v/>
      </c>
      <c r="T526">
        <f>IF($AG526="","",Config!$B$17)</f>
        <v/>
      </c>
      <c r="U526">
        <f>IF($AG526="","",Config!$B$18)</f>
        <v/>
      </c>
      <c r="V526">
        <f>IF($AG526="","",Config!$B$19)</f>
        <v/>
      </c>
      <c r="W526">
        <f>IF($AG526="","",INDEX('TMP Paste'!$C$2:$C$1601,$AG526))</f>
        <v/>
      </c>
      <c r="X526">
        <f>IF($AG526="","",Config!$B$29)</f>
        <v/>
      </c>
      <c r="Y526">
        <f>IF($AH526="","",INDEX(Calc!$I$2:$I$1601,$AH526)&amp;" - "&amp;INDEX(Calc!$D$2:$D$1601,$AH526)&amp;" koli")</f>
        <v/>
      </c>
      <c r="Z526">
        <f>IF($AG526="","",Config!$B$21)</f>
        <v/>
      </c>
      <c r="AA526">
        <f>IF($AG526="","",Config!$B$22)</f>
        <v/>
      </c>
      <c r="AB526">
        <f>IF($AH526="","",INDEX(Calc!$D$2:$D$1601,$AH526))</f>
        <v/>
      </c>
      <c r="AC526">
        <f>IF($AH526="","",INDEX(Calc!$G$2:$G$1601,$AH526))</f>
        <v/>
      </c>
      <c r="AD526">
        <f>IF($AG526="","",Config!$B$23)</f>
        <v/>
      </c>
      <c r="AE526">
        <f>IF($AG526="","",Config!$B$28)</f>
        <v/>
      </c>
      <c r="AG526">
        <f>IFERROR(MATCH(ROW()-1,Calc!$J$2:$J$1601,0),"")</f>
        <v/>
      </c>
      <c r="AH526">
        <f>IFERROR(MATCH(ROW()-1,Calc!$K$2:$K$1601,0),"")</f>
        <v/>
      </c>
      <c r="AI526">
        <f>IF($AG526="","",SUMIF($AG$2:$AG526,$AG526,$AH$2:$AH526))</f>
        <v/>
      </c>
      <c r="AJ526">
        <f>IF('TMP Paste'!$F526="","",IF('TMP Paste'!$B526="",$AJ525,'TMP Paste'!$B526))</f>
        <v/>
      </c>
      <c r="AK526">
        <f>IF('TMP Paste'!$F526="","",N('TMP Paste'!$G526))</f>
        <v/>
      </c>
      <c r="AL526">
        <f>IF('TMP Paste'!$F526="","",IF('TMP Paste'!$M526="",$AL525,'TMP Paste'!$M526))</f>
        <v/>
      </c>
      <c r="AM526">
        <f>IF('TMP Paste'!$F526="","",IF('TMP Paste'!$N526="",$AM525,'TMP Paste'!$N526))</f>
        <v/>
      </c>
      <c r="AN526">
        <f>IF('TMP Paste'!$F526="","",IF('TMP Paste'!$O526="",$AN525,'TMP Paste'!$O526))</f>
        <v/>
      </c>
      <c r="AO526">
        <f>IF('TMP Paste'!$F526="","",IF('TMP Paste'!$P526="",$AO525,'TMP Paste'!$P526))</f>
        <v/>
      </c>
      <c r="AP526">
        <f>IF($AG526="","",LEN($R526))</f>
        <v/>
      </c>
      <c r="AQ526">
        <f>IF($AG526="","",TRIM(IF(COUNTIFS(Calc!$B$2:$B$1601,ROW()-1,Calc!$C$2:$C$1601,"&lt;1")&gt;0,"Ada PO tanpa Koli - cek TMP. ","")&amp;IF(LEN($R526)&gt;500,"R &gt; 500 karakter.","")))</f>
        <v/>
      </c>
    </row>
    <row r="527">
      <c r="A527">
        <f>IF($AG527="","",INDEX('TMP Paste'!$B$2:$B$1601,$AG527))</f>
        <v/>
      </c>
      <c r="B527">
        <f>IF($AG527="","",Config!$B$14)</f>
        <v/>
      </c>
      <c r="C527">
        <f>IF($AG527="","",Config!$B$15)</f>
        <v/>
      </c>
      <c r="D527">
        <f>IF($AG527="","",INDEX('TMP Paste'!$B$2:$B$1601,$AG527))</f>
        <v/>
      </c>
      <c r="E527">
        <f>IF($AG527="","",Config!$B$27)</f>
        <v/>
      </c>
      <c r="F527">
        <f>IF($AG527="","",Config!$B$9)</f>
        <v/>
      </c>
      <c r="G527">
        <f>IF($AG527="","",Config!$B$10)</f>
        <v/>
      </c>
      <c r="H527">
        <f>IF($AG527="","",Config!$B$11)</f>
        <v/>
      </c>
      <c r="I527">
        <f>IF($AG527="","",Config!$B$16)</f>
        <v/>
      </c>
      <c r="J527">
        <f>IF($AG527="","",INDEX('TMP Paste'!$A$2:$A$1601,$AG527))</f>
        <v/>
      </c>
      <c r="K527">
        <f>IF($AG527="","",INDEX('TMP Paste'!$L$2:$L$1601,$AG527))</f>
        <v/>
      </c>
      <c r="L527">
        <f>IF($AG527="","",INDEX('TMP Paste'!$I$2:$I$1601,$AG527))</f>
        <v/>
      </c>
      <c r="M527">
        <f>IF($AG527="","",Config!$B$16)</f>
        <v/>
      </c>
      <c r="N527">
        <f>IF($AG527="","","")</f>
        <v/>
      </c>
      <c r="O527">
        <f>IF($AG527="","",INDEX('TMP Paste'!$K$2:$K$1601,$AG527))</f>
        <v/>
      </c>
      <c r="P527">
        <f>IF($AG527="","","")</f>
        <v/>
      </c>
      <c r="Q527">
        <f>IF($AG527="","",INDEX('TMP Paste'!$J$2:$J$1601,$AG527))</f>
        <v/>
      </c>
      <c r="R527">
        <f>IF($AG527="","",Config!$B$24)</f>
        <v/>
      </c>
      <c r="S527">
        <f>IF($AG527="","",TEXT(Config!$B$4,"yyyy-mm-dd"))</f>
        <v/>
      </c>
      <c r="T527">
        <f>IF($AG527="","",Config!$B$17)</f>
        <v/>
      </c>
      <c r="U527">
        <f>IF($AG527="","",Config!$B$18)</f>
        <v/>
      </c>
      <c r="V527">
        <f>IF($AG527="","",Config!$B$19)</f>
        <v/>
      </c>
      <c r="W527">
        <f>IF($AG527="","",INDEX('TMP Paste'!$C$2:$C$1601,$AG527))</f>
        <v/>
      </c>
      <c r="X527">
        <f>IF($AG527="","",Config!$B$29)</f>
        <v/>
      </c>
      <c r="Y527">
        <f>IF($AH527="","",INDEX(Calc!$I$2:$I$1601,$AH527)&amp;" - "&amp;INDEX(Calc!$D$2:$D$1601,$AH527)&amp;" koli")</f>
        <v/>
      </c>
      <c r="Z527">
        <f>IF($AG527="","",Config!$B$21)</f>
        <v/>
      </c>
      <c r="AA527">
        <f>IF($AG527="","",Config!$B$22)</f>
        <v/>
      </c>
      <c r="AB527">
        <f>IF($AH527="","",INDEX(Calc!$D$2:$D$1601,$AH527))</f>
        <v/>
      </c>
      <c r="AC527">
        <f>IF($AH527="","",INDEX(Calc!$G$2:$G$1601,$AH527))</f>
        <v/>
      </c>
      <c r="AD527">
        <f>IF($AG527="","",Config!$B$23)</f>
        <v/>
      </c>
      <c r="AE527">
        <f>IF($AG527="","",Config!$B$28)</f>
        <v/>
      </c>
      <c r="AG527">
        <f>IFERROR(MATCH(ROW()-1,Calc!$J$2:$J$1601,0),"")</f>
        <v/>
      </c>
      <c r="AH527">
        <f>IFERROR(MATCH(ROW()-1,Calc!$K$2:$K$1601,0),"")</f>
        <v/>
      </c>
      <c r="AI527">
        <f>IF($AG527="","",SUMIF($AG$2:$AG527,$AG527,$AH$2:$AH527))</f>
        <v/>
      </c>
      <c r="AJ527">
        <f>IF('TMP Paste'!$F527="","",IF('TMP Paste'!$B527="",$AJ526,'TMP Paste'!$B527))</f>
        <v/>
      </c>
      <c r="AK527">
        <f>IF('TMP Paste'!$F527="","",N('TMP Paste'!$G527))</f>
        <v/>
      </c>
      <c r="AL527">
        <f>IF('TMP Paste'!$F527="","",IF('TMP Paste'!$M527="",$AL526,'TMP Paste'!$M527))</f>
        <v/>
      </c>
      <c r="AM527">
        <f>IF('TMP Paste'!$F527="","",IF('TMP Paste'!$N527="",$AM526,'TMP Paste'!$N527))</f>
        <v/>
      </c>
      <c r="AN527">
        <f>IF('TMP Paste'!$F527="","",IF('TMP Paste'!$O527="",$AN526,'TMP Paste'!$O527))</f>
        <v/>
      </c>
      <c r="AO527">
        <f>IF('TMP Paste'!$F527="","",IF('TMP Paste'!$P527="",$AO526,'TMP Paste'!$P527))</f>
        <v/>
      </c>
      <c r="AP527">
        <f>IF($AG527="","",LEN($R527))</f>
        <v/>
      </c>
      <c r="AQ527">
        <f>IF($AG527="","",TRIM(IF(COUNTIFS(Calc!$B$2:$B$1601,ROW()-1,Calc!$C$2:$C$1601,"&lt;1")&gt;0,"Ada PO tanpa Koli - cek TMP. ","")&amp;IF(LEN($R527)&gt;500,"R &gt; 500 karakter.","")))</f>
        <v/>
      </c>
    </row>
    <row r="528">
      <c r="A528">
        <f>IF($AG528="","",INDEX('TMP Paste'!$B$2:$B$1601,$AG528))</f>
        <v/>
      </c>
      <c r="B528">
        <f>IF($AG528="","",Config!$B$14)</f>
        <v/>
      </c>
      <c r="C528">
        <f>IF($AG528="","",Config!$B$15)</f>
        <v/>
      </c>
      <c r="D528">
        <f>IF($AG528="","",INDEX('TMP Paste'!$B$2:$B$1601,$AG528))</f>
        <v/>
      </c>
      <c r="E528">
        <f>IF($AG528="","",Config!$B$27)</f>
        <v/>
      </c>
      <c r="F528">
        <f>IF($AG528="","",Config!$B$9)</f>
        <v/>
      </c>
      <c r="G528">
        <f>IF($AG528="","",Config!$B$10)</f>
        <v/>
      </c>
      <c r="H528">
        <f>IF($AG528="","",Config!$B$11)</f>
        <v/>
      </c>
      <c r="I528">
        <f>IF($AG528="","",Config!$B$16)</f>
        <v/>
      </c>
      <c r="J528">
        <f>IF($AG528="","",INDEX('TMP Paste'!$A$2:$A$1601,$AG528))</f>
        <v/>
      </c>
      <c r="K528">
        <f>IF($AG528="","",INDEX('TMP Paste'!$L$2:$L$1601,$AG528))</f>
        <v/>
      </c>
      <c r="L528">
        <f>IF($AG528="","",INDEX('TMP Paste'!$I$2:$I$1601,$AG528))</f>
        <v/>
      </c>
      <c r="M528">
        <f>IF($AG528="","",Config!$B$16)</f>
        <v/>
      </c>
      <c r="N528">
        <f>IF($AG528="","","")</f>
        <v/>
      </c>
      <c r="O528">
        <f>IF($AG528="","",INDEX('TMP Paste'!$K$2:$K$1601,$AG528))</f>
        <v/>
      </c>
      <c r="P528">
        <f>IF($AG528="","","")</f>
        <v/>
      </c>
      <c r="Q528">
        <f>IF($AG528="","",INDEX('TMP Paste'!$J$2:$J$1601,$AG528))</f>
        <v/>
      </c>
      <c r="R528">
        <f>IF($AG528="","",Config!$B$24)</f>
        <v/>
      </c>
      <c r="S528">
        <f>IF($AG528="","",TEXT(Config!$B$4,"yyyy-mm-dd"))</f>
        <v/>
      </c>
      <c r="T528">
        <f>IF($AG528="","",Config!$B$17)</f>
        <v/>
      </c>
      <c r="U528">
        <f>IF($AG528="","",Config!$B$18)</f>
        <v/>
      </c>
      <c r="V528">
        <f>IF($AG528="","",Config!$B$19)</f>
        <v/>
      </c>
      <c r="W528">
        <f>IF($AG528="","",INDEX('TMP Paste'!$C$2:$C$1601,$AG528))</f>
        <v/>
      </c>
      <c r="X528">
        <f>IF($AG528="","",Config!$B$29)</f>
        <v/>
      </c>
      <c r="Y528">
        <f>IF($AH528="","",INDEX(Calc!$I$2:$I$1601,$AH528)&amp;" - "&amp;INDEX(Calc!$D$2:$D$1601,$AH528)&amp;" koli")</f>
        <v/>
      </c>
      <c r="Z528">
        <f>IF($AG528="","",Config!$B$21)</f>
        <v/>
      </c>
      <c r="AA528">
        <f>IF($AG528="","",Config!$B$22)</f>
        <v/>
      </c>
      <c r="AB528">
        <f>IF($AH528="","",INDEX(Calc!$D$2:$D$1601,$AH528))</f>
        <v/>
      </c>
      <c r="AC528">
        <f>IF($AH528="","",INDEX(Calc!$G$2:$G$1601,$AH528))</f>
        <v/>
      </c>
      <c r="AD528">
        <f>IF($AG528="","",Config!$B$23)</f>
        <v/>
      </c>
      <c r="AE528">
        <f>IF($AG528="","",Config!$B$28)</f>
        <v/>
      </c>
      <c r="AG528">
        <f>IFERROR(MATCH(ROW()-1,Calc!$J$2:$J$1601,0),"")</f>
        <v/>
      </c>
      <c r="AH528">
        <f>IFERROR(MATCH(ROW()-1,Calc!$K$2:$K$1601,0),"")</f>
        <v/>
      </c>
      <c r="AI528">
        <f>IF($AG528="","",SUMIF($AG$2:$AG528,$AG528,$AH$2:$AH528))</f>
        <v/>
      </c>
      <c r="AJ528">
        <f>IF('TMP Paste'!$F528="","",IF('TMP Paste'!$B528="",$AJ527,'TMP Paste'!$B528))</f>
        <v/>
      </c>
      <c r="AK528">
        <f>IF('TMP Paste'!$F528="","",N('TMP Paste'!$G528))</f>
        <v/>
      </c>
      <c r="AL528">
        <f>IF('TMP Paste'!$F528="","",IF('TMP Paste'!$M528="",$AL527,'TMP Paste'!$M528))</f>
        <v/>
      </c>
      <c r="AM528">
        <f>IF('TMP Paste'!$F528="","",IF('TMP Paste'!$N528="",$AM527,'TMP Paste'!$N528))</f>
        <v/>
      </c>
      <c r="AN528">
        <f>IF('TMP Paste'!$F528="","",IF('TMP Paste'!$O528="",$AN527,'TMP Paste'!$O528))</f>
        <v/>
      </c>
      <c r="AO528">
        <f>IF('TMP Paste'!$F528="","",IF('TMP Paste'!$P528="",$AO527,'TMP Paste'!$P528))</f>
        <v/>
      </c>
      <c r="AP528">
        <f>IF($AG528="","",LEN($R528))</f>
        <v/>
      </c>
      <c r="AQ528">
        <f>IF($AG528="","",TRIM(IF(COUNTIFS(Calc!$B$2:$B$1601,ROW()-1,Calc!$C$2:$C$1601,"&lt;1")&gt;0,"Ada PO tanpa Koli - cek TMP. ","")&amp;IF(LEN($R528)&gt;500,"R &gt; 500 karakter.","")))</f>
        <v/>
      </c>
    </row>
    <row r="529">
      <c r="A529">
        <f>IF($AG529="","",INDEX('TMP Paste'!$B$2:$B$1601,$AG529))</f>
        <v/>
      </c>
      <c r="B529">
        <f>IF($AG529="","",Config!$B$14)</f>
        <v/>
      </c>
      <c r="C529">
        <f>IF($AG529="","",Config!$B$15)</f>
        <v/>
      </c>
      <c r="D529">
        <f>IF($AG529="","",INDEX('TMP Paste'!$B$2:$B$1601,$AG529))</f>
        <v/>
      </c>
      <c r="E529">
        <f>IF($AG529="","",Config!$B$27)</f>
        <v/>
      </c>
      <c r="F529">
        <f>IF($AG529="","",Config!$B$9)</f>
        <v/>
      </c>
      <c r="G529">
        <f>IF($AG529="","",Config!$B$10)</f>
        <v/>
      </c>
      <c r="H529">
        <f>IF($AG529="","",Config!$B$11)</f>
        <v/>
      </c>
      <c r="I529">
        <f>IF($AG529="","",Config!$B$16)</f>
        <v/>
      </c>
      <c r="J529">
        <f>IF($AG529="","",INDEX('TMP Paste'!$A$2:$A$1601,$AG529))</f>
        <v/>
      </c>
      <c r="K529">
        <f>IF($AG529="","",INDEX('TMP Paste'!$L$2:$L$1601,$AG529))</f>
        <v/>
      </c>
      <c r="L529">
        <f>IF($AG529="","",INDEX('TMP Paste'!$I$2:$I$1601,$AG529))</f>
        <v/>
      </c>
      <c r="M529">
        <f>IF($AG529="","",Config!$B$16)</f>
        <v/>
      </c>
      <c r="N529">
        <f>IF($AG529="","","")</f>
        <v/>
      </c>
      <c r="O529">
        <f>IF($AG529="","",INDEX('TMP Paste'!$K$2:$K$1601,$AG529))</f>
        <v/>
      </c>
      <c r="P529">
        <f>IF($AG529="","","")</f>
        <v/>
      </c>
      <c r="Q529">
        <f>IF($AG529="","",INDEX('TMP Paste'!$J$2:$J$1601,$AG529))</f>
        <v/>
      </c>
      <c r="R529">
        <f>IF($AG529="","",Config!$B$24)</f>
        <v/>
      </c>
      <c r="S529">
        <f>IF($AG529="","",TEXT(Config!$B$4,"yyyy-mm-dd"))</f>
        <v/>
      </c>
      <c r="T529">
        <f>IF($AG529="","",Config!$B$17)</f>
        <v/>
      </c>
      <c r="U529">
        <f>IF($AG529="","",Config!$B$18)</f>
        <v/>
      </c>
      <c r="V529">
        <f>IF($AG529="","",Config!$B$19)</f>
        <v/>
      </c>
      <c r="W529">
        <f>IF($AG529="","",INDEX('TMP Paste'!$C$2:$C$1601,$AG529))</f>
        <v/>
      </c>
      <c r="X529">
        <f>IF($AG529="","",Config!$B$29)</f>
        <v/>
      </c>
      <c r="Y529">
        <f>IF($AH529="","",INDEX(Calc!$I$2:$I$1601,$AH529)&amp;" - "&amp;INDEX(Calc!$D$2:$D$1601,$AH529)&amp;" koli")</f>
        <v/>
      </c>
      <c r="Z529">
        <f>IF($AG529="","",Config!$B$21)</f>
        <v/>
      </c>
      <c r="AA529">
        <f>IF($AG529="","",Config!$B$22)</f>
        <v/>
      </c>
      <c r="AB529">
        <f>IF($AH529="","",INDEX(Calc!$D$2:$D$1601,$AH529))</f>
        <v/>
      </c>
      <c r="AC529">
        <f>IF($AH529="","",INDEX(Calc!$G$2:$G$1601,$AH529))</f>
        <v/>
      </c>
      <c r="AD529">
        <f>IF($AG529="","",Config!$B$23)</f>
        <v/>
      </c>
      <c r="AE529">
        <f>IF($AG529="","",Config!$B$28)</f>
        <v/>
      </c>
      <c r="AG529">
        <f>IFERROR(MATCH(ROW()-1,Calc!$J$2:$J$1601,0),"")</f>
        <v/>
      </c>
      <c r="AH529">
        <f>IFERROR(MATCH(ROW()-1,Calc!$K$2:$K$1601,0),"")</f>
        <v/>
      </c>
      <c r="AI529">
        <f>IF($AG529="","",SUMIF($AG$2:$AG529,$AG529,$AH$2:$AH529))</f>
        <v/>
      </c>
      <c r="AJ529">
        <f>IF('TMP Paste'!$F529="","",IF('TMP Paste'!$B529="",$AJ528,'TMP Paste'!$B529))</f>
        <v/>
      </c>
      <c r="AK529">
        <f>IF('TMP Paste'!$F529="","",N('TMP Paste'!$G529))</f>
        <v/>
      </c>
      <c r="AL529">
        <f>IF('TMP Paste'!$F529="","",IF('TMP Paste'!$M529="",$AL528,'TMP Paste'!$M529))</f>
        <v/>
      </c>
      <c r="AM529">
        <f>IF('TMP Paste'!$F529="","",IF('TMP Paste'!$N529="",$AM528,'TMP Paste'!$N529))</f>
        <v/>
      </c>
      <c r="AN529">
        <f>IF('TMP Paste'!$F529="","",IF('TMP Paste'!$O529="",$AN528,'TMP Paste'!$O529))</f>
        <v/>
      </c>
      <c r="AO529">
        <f>IF('TMP Paste'!$F529="","",IF('TMP Paste'!$P529="",$AO528,'TMP Paste'!$P529))</f>
        <v/>
      </c>
      <c r="AP529">
        <f>IF($AG529="","",LEN($R529))</f>
        <v/>
      </c>
      <c r="AQ529">
        <f>IF($AG529="","",TRIM(IF(COUNTIFS(Calc!$B$2:$B$1601,ROW()-1,Calc!$C$2:$C$1601,"&lt;1")&gt;0,"Ada PO tanpa Koli - cek TMP. ","")&amp;IF(LEN($R529)&gt;500,"R &gt; 500 karakter.","")))</f>
        <v/>
      </c>
    </row>
    <row r="530">
      <c r="A530">
        <f>IF($AG530="","",INDEX('TMP Paste'!$B$2:$B$1601,$AG530))</f>
        <v/>
      </c>
      <c r="B530">
        <f>IF($AG530="","",Config!$B$14)</f>
        <v/>
      </c>
      <c r="C530">
        <f>IF($AG530="","",Config!$B$15)</f>
        <v/>
      </c>
      <c r="D530">
        <f>IF($AG530="","",INDEX('TMP Paste'!$B$2:$B$1601,$AG530))</f>
        <v/>
      </c>
      <c r="E530">
        <f>IF($AG530="","",Config!$B$27)</f>
        <v/>
      </c>
      <c r="F530">
        <f>IF($AG530="","",Config!$B$9)</f>
        <v/>
      </c>
      <c r="G530">
        <f>IF($AG530="","",Config!$B$10)</f>
        <v/>
      </c>
      <c r="H530">
        <f>IF($AG530="","",Config!$B$11)</f>
        <v/>
      </c>
      <c r="I530">
        <f>IF($AG530="","",Config!$B$16)</f>
        <v/>
      </c>
      <c r="J530">
        <f>IF($AG530="","",INDEX('TMP Paste'!$A$2:$A$1601,$AG530))</f>
        <v/>
      </c>
      <c r="K530">
        <f>IF($AG530="","",INDEX('TMP Paste'!$L$2:$L$1601,$AG530))</f>
        <v/>
      </c>
      <c r="L530">
        <f>IF($AG530="","",INDEX('TMP Paste'!$I$2:$I$1601,$AG530))</f>
        <v/>
      </c>
      <c r="M530">
        <f>IF($AG530="","",Config!$B$16)</f>
        <v/>
      </c>
      <c r="N530">
        <f>IF($AG530="","","")</f>
        <v/>
      </c>
      <c r="O530">
        <f>IF($AG530="","",INDEX('TMP Paste'!$K$2:$K$1601,$AG530))</f>
        <v/>
      </c>
      <c r="P530">
        <f>IF($AG530="","","")</f>
        <v/>
      </c>
      <c r="Q530">
        <f>IF($AG530="","",INDEX('TMP Paste'!$J$2:$J$1601,$AG530))</f>
        <v/>
      </c>
      <c r="R530">
        <f>IF($AG530="","",Config!$B$24)</f>
        <v/>
      </c>
      <c r="S530">
        <f>IF($AG530="","",TEXT(Config!$B$4,"yyyy-mm-dd"))</f>
        <v/>
      </c>
      <c r="T530">
        <f>IF($AG530="","",Config!$B$17)</f>
        <v/>
      </c>
      <c r="U530">
        <f>IF($AG530="","",Config!$B$18)</f>
        <v/>
      </c>
      <c r="V530">
        <f>IF($AG530="","",Config!$B$19)</f>
        <v/>
      </c>
      <c r="W530">
        <f>IF($AG530="","",INDEX('TMP Paste'!$C$2:$C$1601,$AG530))</f>
        <v/>
      </c>
      <c r="X530">
        <f>IF($AG530="","",Config!$B$29)</f>
        <v/>
      </c>
      <c r="Y530">
        <f>IF($AH530="","",INDEX(Calc!$I$2:$I$1601,$AH530)&amp;" - "&amp;INDEX(Calc!$D$2:$D$1601,$AH530)&amp;" koli")</f>
        <v/>
      </c>
      <c r="Z530">
        <f>IF($AG530="","",Config!$B$21)</f>
        <v/>
      </c>
      <c r="AA530">
        <f>IF($AG530="","",Config!$B$22)</f>
        <v/>
      </c>
      <c r="AB530">
        <f>IF($AH530="","",INDEX(Calc!$D$2:$D$1601,$AH530))</f>
        <v/>
      </c>
      <c r="AC530">
        <f>IF($AH530="","",INDEX(Calc!$G$2:$G$1601,$AH530))</f>
        <v/>
      </c>
      <c r="AD530">
        <f>IF($AG530="","",Config!$B$23)</f>
        <v/>
      </c>
      <c r="AE530">
        <f>IF($AG530="","",Config!$B$28)</f>
        <v/>
      </c>
      <c r="AG530">
        <f>IFERROR(MATCH(ROW()-1,Calc!$J$2:$J$1601,0),"")</f>
        <v/>
      </c>
      <c r="AH530">
        <f>IFERROR(MATCH(ROW()-1,Calc!$K$2:$K$1601,0),"")</f>
        <v/>
      </c>
      <c r="AI530">
        <f>IF($AG530="","",SUMIF($AG$2:$AG530,$AG530,$AH$2:$AH530))</f>
        <v/>
      </c>
      <c r="AJ530">
        <f>IF('TMP Paste'!$F530="","",IF('TMP Paste'!$B530="",$AJ529,'TMP Paste'!$B530))</f>
        <v/>
      </c>
      <c r="AK530">
        <f>IF('TMP Paste'!$F530="","",N('TMP Paste'!$G530))</f>
        <v/>
      </c>
      <c r="AL530">
        <f>IF('TMP Paste'!$F530="","",IF('TMP Paste'!$M530="",$AL529,'TMP Paste'!$M530))</f>
        <v/>
      </c>
      <c r="AM530">
        <f>IF('TMP Paste'!$F530="","",IF('TMP Paste'!$N530="",$AM529,'TMP Paste'!$N530))</f>
        <v/>
      </c>
      <c r="AN530">
        <f>IF('TMP Paste'!$F530="","",IF('TMP Paste'!$O530="",$AN529,'TMP Paste'!$O530))</f>
        <v/>
      </c>
      <c r="AO530">
        <f>IF('TMP Paste'!$F530="","",IF('TMP Paste'!$P530="",$AO529,'TMP Paste'!$P530))</f>
        <v/>
      </c>
      <c r="AP530">
        <f>IF($AG530="","",LEN($R530))</f>
        <v/>
      </c>
      <c r="AQ530">
        <f>IF($AG530="","",TRIM(IF(COUNTIFS(Calc!$B$2:$B$1601,ROW()-1,Calc!$C$2:$C$1601,"&lt;1")&gt;0,"Ada PO tanpa Koli - cek TMP. ","")&amp;IF(LEN($R530)&gt;500,"R &gt; 500 karakter.","")))</f>
        <v/>
      </c>
    </row>
    <row r="531">
      <c r="A531">
        <f>IF($AG531="","",INDEX('TMP Paste'!$B$2:$B$1601,$AG531))</f>
        <v/>
      </c>
      <c r="B531">
        <f>IF($AG531="","",Config!$B$14)</f>
        <v/>
      </c>
      <c r="C531">
        <f>IF($AG531="","",Config!$B$15)</f>
        <v/>
      </c>
      <c r="D531">
        <f>IF($AG531="","",INDEX('TMP Paste'!$B$2:$B$1601,$AG531))</f>
        <v/>
      </c>
      <c r="E531">
        <f>IF($AG531="","",Config!$B$27)</f>
        <v/>
      </c>
      <c r="F531">
        <f>IF($AG531="","",Config!$B$9)</f>
        <v/>
      </c>
      <c r="G531">
        <f>IF($AG531="","",Config!$B$10)</f>
        <v/>
      </c>
      <c r="H531">
        <f>IF($AG531="","",Config!$B$11)</f>
        <v/>
      </c>
      <c r="I531">
        <f>IF($AG531="","",Config!$B$16)</f>
        <v/>
      </c>
      <c r="J531">
        <f>IF($AG531="","",INDEX('TMP Paste'!$A$2:$A$1601,$AG531))</f>
        <v/>
      </c>
      <c r="K531">
        <f>IF($AG531="","",INDEX('TMP Paste'!$L$2:$L$1601,$AG531))</f>
        <v/>
      </c>
      <c r="L531">
        <f>IF($AG531="","",INDEX('TMP Paste'!$I$2:$I$1601,$AG531))</f>
        <v/>
      </c>
      <c r="M531">
        <f>IF($AG531="","",Config!$B$16)</f>
        <v/>
      </c>
      <c r="N531">
        <f>IF($AG531="","","")</f>
        <v/>
      </c>
      <c r="O531">
        <f>IF($AG531="","",INDEX('TMP Paste'!$K$2:$K$1601,$AG531))</f>
        <v/>
      </c>
      <c r="P531">
        <f>IF($AG531="","","")</f>
        <v/>
      </c>
      <c r="Q531">
        <f>IF($AG531="","",INDEX('TMP Paste'!$J$2:$J$1601,$AG531))</f>
        <v/>
      </c>
      <c r="R531">
        <f>IF($AG531="","",Config!$B$24)</f>
        <v/>
      </c>
      <c r="S531">
        <f>IF($AG531="","",TEXT(Config!$B$4,"yyyy-mm-dd"))</f>
        <v/>
      </c>
      <c r="T531">
        <f>IF($AG531="","",Config!$B$17)</f>
        <v/>
      </c>
      <c r="U531">
        <f>IF($AG531="","",Config!$B$18)</f>
        <v/>
      </c>
      <c r="V531">
        <f>IF($AG531="","",Config!$B$19)</f>
        <v/>
      </c>
      <c r="W531">
        <f>IF($AG531="","",INDEX('TMP Paste'!$C$2:$C$1601,$AG531))</f>
        <v/>
      </c>
      <c r="X531">
        <f>IF($AG531="","",Config!$B$29)</f>
        <v/>
      </c>
      <c r="Y531">
        <f>IF($AH531="","",INDEX(Calc!$I$2:$I$1601,$AH531)&amp;" - "&amp;INDEX(Calc!$D$2:$D$1601,$AH531)&amp;" koli")</f>
        <v/>
      </c>
      <c r="Z531">
        <f>IF($AG531="","",Config!$B$21)</f>
        <v/>
      </c>
      <c r="AA531">
        <f>IF($AG531="","",Config!$B$22)</f>
        <v/>
      </c>
      <c r="AB531">
        <f>IF($AH531="","",INDEX(Calc!$D$2:$D$1601,$AH531))</f>
        <v/>
      </c>
      <c r="AC531">
        <f>IF($AH531="","",INDEX(Calc!$G$2:$G$1601,$AH531))</f>
        <v/>
      </c>
      <c r="AD531">
        <f>IF($AG531="","",Config!$B$23)</f>
        <v/>
      </c>
      <c r="AE531">
        <f>IF($AG531="","",Config!$B$28)</f>
        <v/>
      </c>
      <c r="AG531">
        <f>IFERROR(MATCH(ROW()-1,Calc!$J$2:$J$1601,0),"")</f>
        <v/>
      </c>
      <c r="AH531">
        <f>IFERROR(MATCH(ROW()-1,Calc!$K$2:$K$1601,0),"")</f>
        <v/>
      </c>
      <c r="AI531">
        <f>IF($AG531="","",SUMIF($AG$2:$AG531,$AG531,$AH$2:$AH531))</f>
        <v/>
      </c>
      <c r="AJ531">
        <f>IF('TMP Paste'!$F531="","",IF('TMP Paste'!$B531="",$AJ530,'TMP Paste'!$B531))</f>
        <v/>
      </c>
      <c r="AK531">
        <f>IF('TMP Paste'!$F531="","",N('TMP Paste'!$G531))</f>
        <v/>
      </c>
      <c r="AL531">
        <f>IF('TMP Paste'!$F531="","",IF('TMP Paste'!$M531="",$AL530,'TMP Paste'!$M531))</f>
        <v/>
      </c>
      <c r="AM531">
        <f>IF('TMP Paste'!$F531="","",IF('TMP Paste'!$N531="",$AM530,'TMP Paste'!$N531))</f>
        <v/>
      </c>
      <c r="AN531">
        <f>IF('TMP Paste'!$F531="","",IF('TMP Paste'!$O531="",$AN530,'TMP Paste'!$O531))</f>
        <v/>
      </c>
      <c r="AO531">
        <f>IF('TMP Paste'!$F531="","",IF('TMP Paste'!$P531="",$AO530,'TMP Paste'!$P531))</f>
        <v/>
      </c>
      <c r="AP531">
        <f>IF($AG531="","",LEN($R531))</f>
        <v/>
      </c>
      <c r="AQ531">
        <f>IF($AG531="","",TRIM(IF(COUNTIFS(Calc!$B$2:$B$1601,ROW()-1,Calc!$C$2:$C$1601,"&lt;1")&gt;0,"Ada PO tanpa Koli - cek TMP. ","")&amp;IF(LEN($R531)&gt;500,"R &gt; 500 karakter.","")))</f>
        <v/>
      </c>
    </row>
    <row r="532">
      <c r="A532">
        <f>IF($AG532="","",INDEX('TMP Paste'!$B$2:$B$1601,$AG532))</f>
        <v/>
      </c>
      <c r="B532">
        <f>IF($AG532="","",Config!$B$14)</f>
        <v/>
      </c>
      <c r="C532">
        <f>IF($AG532="","",Config!$B$15)</f>
        <v/>
      </c>
      <c r="D532">
        <f>IF($AG532="","",INDEX('TMP Paste'!$B$2:$B$1601,$AG532))</f>
        <v/>
      </c>
      <c r="E532">
        <f>IF($AG532="","",Config!$B$27)</f>
        <v/>
      </c>
      <c r="F532">
        <f>IF($AG532="","",Config!$B$9)</f>
        <v/>
      </c>
      <c r="G532">
        <f>IF($AG532="","",Config!$B$10)</f>
        <v/>
      </c>
      <c r="H532">
        <f>IF($AG532="","",Config!$B$11)</f>
        <v/>
      </c>
      <c r="I532">
        <f>IF($AG532="","",Config!$B$16)</f>
        <v/>
      </c>
      <c r="J532">
        <f>IF($AG532="","",INDEX('TMP Paste'!$A$2:$A$1601,$AG532))</f>
        <v/>
      </c>
      <c r="K532">
        <f>IF($AG532="","",INDEX('TMP Paste'!$L$2:$L$1601,$AG532))</f>
        <v/>
      </c>
      <c r="L532">
        <f>IF($AG532="","",INDEX('TMP Paste'!$I$2:$I$1601,$AG532))</f>
        <v/>
      </c>
      <c r="M532">
        <f>IF($AG532="","",Config!$B$16)</f>
        <v/>
      </c>
      <c r="N532">
        <f>IF($AG532="","","")</f>
        <v/>
      </c>
      <c r="O532">
        <f>IF($AG532="","",INDEX('TMP Paste'!$K$2:$K$1601,$AG532))</f>
        <v/>
      </c>
      <c r="P532">
        <f>IF($AG532="","","")</f>
        <v/>
      </c>
      <c r="Q532">
        <f>IF($AG532="","",INDEX('TMP Paste'!$J$2:$J$1601,$AG532))</f>
        <v/>
      </c>
      <c r="R532">
        <f>IF($AG532="","",Config!$B$24)</f>
        <v/>
      </c>
      <c r="S532">
        <f>IF($AG532="","",TEXT(Config!$B$4,"yyyy-mm-dd"))</f>
        <v/>
      </c>
      <c r="T532">
        <f>IF($AG532="","",Config!$B$17)</f>
        <v/>
      </c>
      <c r="U532">
        <f>IF($AG532="","",Config!$B$18)</f>
        <v/>
      </c>
      <c r="V532">
        <f>IF($AG532="","",Config!$B$19)</f>
        <v/>
      </c>
      <c r="W532">
        <f>IF($AG532="","",INDEX('TMP Paste'!$C$2:$C$1601,$AG532))</f>
        <v/>
      </c>
      <c r="X532">
        <f>IF($AG532="","",Config!$B$29)</f>
        <v/>
      </c>
      <c r="Y532">
        <f>IF($AH532="","",INDEX(Calc!$I$2:$I$1601,$AH532)&amp;" - "&amp;INDEX(Calc!$D$2:$D$1601,$AH532)&amp;" koli")</f>
        <v/>
      </c>
      <c r="Z532">
        <f>IF($AG532="","",Config!$B$21)</f>
        <v/>
      </c>
      <c r="AA532">
        <f>IF($AG532="","",Config!$B$22)</f>
        <v/>
      </c>
      <c r="AB532">
        <f>IF($AH532="","",INDEX(Calc!$D$2:$D$1601,$AH532))</f>
        <v/>
      </c>
      <c r="AC532">
        <f>IF($AH532="","",INDEX(Calc!$G$2:$G$1601,$AH532))</f>
        <v/>
      </c>
      <c r="AD532">
        <f>IF($AG532="","",Config!$B$23)</f>
        <v/>
      </c>
      <c r="AE532">
        <f>IF($AG532="","",Config!$B$28)</f>
        <v/>
      </c>
      <c r="AG532">
        <f>IFERROR(MATCH(ROW()-1,Calc!$J$2:$J$1601,0),"")</f>
        <v/>
      </c>
      <c r="AH532">
        <f>IFERROR(MATCH(ROW()-1,Calc!$K$2:$K$1601,0),"")</f>
        <v/>
      </c>
      <c r="AI532">
        <f>IF($AG532="","",SUMIF($AG$2:$AG532,$AG532,$AH$2:$AH532))</f>
        <v/>
      </c>
      <c r="AJ532">
        <f>IF('TMP Paste'!$F532="","",IF('TMP Paste'!$B532="",$AJ531,'TMP Paste'!$B532))</f>
        <v/>
      </c>
      <c r="AK532">
        <f>IF('TMP Paste'!$F532="","",N('TMP Paste'!$G532))</f>
        <v/>
      </c>
      <c r="AL532">
        <f>IF('TMP Paste'!$F532="","",IF('TMP Paste'!$M532="",$AL531,'TMP Paste'!$M532))</f>
        <v/>
      </c>
      <c r="AM532">
        <f>IF('TMP Paste'!$F532="","",IF('TMP Paste'!$N532="",$AM531,'TMP Paste'!$N532))</f>
        <v/>
      </c>
      <c r="AN532">
        <f>IF('TMP Paste'!$F532="","",IF('TMP Paste'!$O532="",$AN531,'TMP Paste'!$O532))</f>
        <v/>
      </c>
      <c r="AO532">
        <f>IF('TMP Paste'!$F532="","",IF('TMP Paste'!$P532="",$AO531,'TMP Paste'!$P532))</f>
        <v/>
      </c>
      <c r="AP532">
        <f>IF($AG532="","",LEN($R532))</f>
        <v/>
      </c>
      <c r="AQ532">
        <f>IF($AG532="","",TRIM(IF(COUNTIFS(Calc!$B$2:$B$1601,ROW()-1,Calc!$C$2:$C$1601,"&lt;1")&gt;0,"Ada PO tanpa Koli - cek TMP. ","")&amp;IF(LEN($R532)&gt;500,"R &gt; 500 karakter.","")))</f>
        <v/>
      </c>
    </row>
    <row r="533">
      <c r="A533">
        <f>IF($AG533="","",INDEX('TMP Paste'!$B$2:$B$1601,$AG533))</f>
        <v/>
      </c>
      <c r="B533">
        <f>IF($AG533="","",Config!$B$14)</f>
        <v/>
      </c>
      <c r="C533">
        <f>IF($AG533="","",Config!$B$15)</f>
        <v/>
      </c>
      <c r="D533">
        <f>IF($AG533="","",INDEX('TMP Paste'!$B$2:$B$1601,$AG533))</f>
        <v/>
      </c>
      <c r="E533">
        <f>IF($AG533="","",Config!$B$27)</f>
        <v/>
      </c>
      <c r="F533">
        <f>IF($AG533="","",Config!$B$9)</f>
        <v/>
      </c>
      <c r="G533">
        <f>IF($AG533="","",Config!$B$10)</f>
        <v/>
      </c>
      <c r="H533">
        <f>IF($AG533="","",Config!$B$11)</f>
        <v/>
      </c>
      <c r="I533">
        <f>IF($AG533="","",Config!$B$16)</f>
        <v/>
      </c>
      <c r="J533">
        <f>IF($AG533="","",INDEX('TMP Paste'!$A$2:$A$1601,$AG533))</f>
        <v/>
      </c>
      <c r="K533">
        <f>IF($AG533="","",INDEX('TMP Paste'!$L$2:$L$1601,$AG533))</f>
        <v/>
      </c>
      <c r="L533">
        <f>IF($AG533="","",INDEX('TMP Paste'!$I$2:$I$1601,$AG533))</f>
        <v/>
      </c>
      <c r="M533">
        <f>IF($AG533="","",Config!$B$16)</f>
        <v/>
      </c>
      <c r="N533">
        <f>IF($AG533="","","")</f>
        <v/>
      </c>
      <c r="O533">
        <f>IF($AG533="","",INDEX('TMP Paste'!$K$2:$K$1601,$AG533))</f>
        <v/>
      </c>
      <c r="P533">
        <f>IF($AG533="","","")</f>
        <v/>
      </c>
      <c r="Q533">
        <f>IF($AG533="","",INDEX('TMP Paste'!$J$2:$J$1601,$AG533))</f>
        <v/>
      </c>
      <c r="R533">
        <f>IF($AG533="","",Config!$B$24)</f>
        <v/>
      </c>
      <c r="S533">
        <f>IF($AG533="","",TEXT(Config!$B$4,"yyyy-mm-dd"))</f>
        <v/>
      </c>
      <c r="T533">
        <f>IF($AG533="","",Config!$B$17)</f>
        <v/>
      </c>
      <c r="U533">
        <f>IF($AG533="","",Config!$B$18)</f>
        <v/>
      </c>
      <c r="V533">
        <f>IF($AG533="","",Config!$B$19)</f>
        <v/>
      </c>
      <c r="W533">
        <f>IF($AG533="","",INDEX('TMP Paste'!$C$2:$C$1601,$AG533))</f>
        <v/>
      </c>
      <c r="X533">
        <f>IF($AG533="","",Config!$B$29)</f>
        <v/>
      </c>
      <c r="Y533">
        <f>IF($AH533="","",INDEX(Calc!$I$2:$I$1601,$AH533)&amp;" - "&amp;INDEX(Calc!$D$2:$D$1601,$AH533)&amp;" koli")</f>
        <v/>
      </c>
      <c r="Z533">
        <f>IF($AG533="","",Config!$B$21)</f>
        <v/>
      </c>
      <c r="AA533">
        <f>IF($AG533="","",Config!$B$22)</f>
        <v/>
      </c>
      <c r="AB533">
        <f>IF($AH533="","",INDEX(Calc!$D$2:$D$1601,$AH533))</f>
        <v/>
      </c>
      <c r="AC533">
        <f>IF($AH533="","",INDEX(Calc!$G$2:$G$1601,$AH533))</f>
        <v/>
      </c>
      <c r="AD533">
        <f>IF($AG533="","",Config!$B$23)</f>
        <v/>
      </c>
      <c r="AE533">
        <f>IF($AG533="","",Config!$B$28)</f>
        <v/>
      </c>
      <c r="AG533">
        <f>IFERROR(MATCH(ROW()-1,Calc!$J$2:$J$1601,0),"")</f>
        <v/>
      </c>
      <c r="AH533">
        <f>IFERROR(MATCH(ROW()-1,Calc!$K$2:$K$1601,0),"")</f>
        <v/>
      </c>
      <c r="AI533">
        <f>IF($AG533="","",SUMIF($AG$2:$AG533,$AG533,$AH$2:$AH533))</f>
        <v/>
      </c>
      <c r="AJ533">
        <f>IF('TMP Paste'!$F533="","",IF('TMP Paste'!$B533="",$AJ532,'TMP Paste'!$B533))</f>
        <v/>
      </c>
      <c r="AK533">
        <f>IF('TMP Paste'!$F533="","",N('TMP Paste'!$G533))</f>
        <v/>
      </c>
      <c r="AL533">
        <f>IF('TMP Paste'!$F533="","",IF('TMP Paste'!$M533="",$AL532,'TMP Paste'!$M533))</f>
        <v/>
      </c>
      <c r="AM533">
        <f>IF('TMP Paste'!$F533="","",IF('TMP Paste'!$N533="",$AM532,'TMP Paste'!$N533))</f>
        <v/>
      </c>
      <c r="AN533">
        <f>IF('TMP Paste'!$F533="","",IF('TMP Paste'!$O533="",$AN532,'TMP Paste'!$O533))</f>
        <v/>
      </c>
      <c r="AO533">
        <f>IF('TMP Paste'!$F533="","",IF('TMP Paste'!$P533="",$AO532,'TMP Paste'!$P533))</f>
        <v/>
      </c>
      <c r="AP533">
        <f>IF($AG533="","",LEN($R533))</f>
        <v/>
      </c>
      <c r="AQ533">
        <f>IF($AG533="","",TRIM(IF(COUNTIFS(Calc!$B$2:$B$1601,ROW()-1,Calc!$C$2:$C$1601,"&lt;1")&gt;0,"Ada PO tanpa Koli - cek TMP. ","")&amp;IF(LEN($R533)&gt;500,"R &gt; 500 karakter.","")))</f>
        <v/>
      </c>
    </row>
    <row r="534">
      <c r="A534">
        <f>IF($AG534="","",INDEX('TMP Paste'!$B$2:$B$1601,$AG534))</f>
        <v/>
      </c>
      <c r="B534">
        <f>IF($AG534="","",Config!$B$14)</f>
        <v/>
      </c>
      <c r="C534">
        <f>IF($AG534="","",Config!$B$15)</f>
        <v/>
      </c>
      <c r="D534">
        <f>IF($AG534="","",INDEX('TMP Paste'!$B$2:$B$1601,$AG534))</f>
        <v/>
      </c>
      <c r="E534">
        <f>IF($AG534="","",Config!$B$27)</f>
        <v/>
      </c>
      <c r="F534">
        <f>IF($AG534="","",Config!$B$9)</f>
        <v/>
      </c>
      <c r="G534">
        <f>IF($AG534="","",Config!$B$10)</f>
        <v/>
      </c>
      <c r="H534">
        <f>IF($AG534="","",Config!$B$11)</f>
        <v/>
      </c>
      <c r="I534">
        <f>IF($AG534="","",Config!$B$16)</f>
        <v/>
      </c>
      <c r="J534">
        <f>IF($AG534="","",INDEX('TMP Paste'!$A$2:$A$1601,$AG534))</f>
        <v/>
      </c>
      <c r="K534">
        <f>IF($AG534="","",INDEX('TMP Paste'!$L$2:$L$1601,$AG534))</f>
        <v/>
      </c>
      <c r="L534">
        <f>IF($AG534="","",INDEX('TMP Paste'!$I$2:$I$1601,$AG534))</f>
        <v/>
      </c>
      <c r="M534">
        <f>IF($AG534="","",Config!$B$16)</f>
        <v/>
      </c>
      <c r="N534">
        <f>IF($AG534="","","")</f>
        <v/>
      </c>
      <c r="O534">
        <f>IF($AG534="","",INDEX('TMP Paste'!$K$2:$K$1601,$AG534))</f>
        <v/>
      </c>
      <c r="P534">
        <f>IF($AG534="","","")</f>
        <v/>
      </c>
      <c r="Q534">
        <f>IF($AG534="","",INDEX('TMP Paste'!$J$2:$J$1601,$AG534))</f>
        <v/>
      </c>
      <c r="R534">
        <f>IF($AG534="","",Config!$B$24)</f>
        <v/>
      </c>
      <c r="S534">
        <f>IF($AG534="","",TEXT(Config!$B$4,"yyyy-mm-dd"))</f>
        <v/>
      </c>
      <c r="T534">
        <f>IF($AG534="","",Config!$B$17)</f>
        <v/>
      </c>
      <c r="U534">
        <f>IF($AG534="","",Config!$B$18)</f>
        <v/>
      </c>
      <c r="V534">
        <f>IF($AG534="","",Config!$B$19)</f>
        <v/>
      </c>
      <c r="W534">
        <f>IF($AG534="","",INDEX('TMP Paste'!$C$2:$C$1601,$AG534))</f>
        <v/>
      </c>
      <c r="X534">
        <f>IF($AG534="","",Config!$B$29)</f>
        <v/>
      </c>
      <c r="Y534">
        <f>IF($AH534="","",INDEX(Calc!$I$2:$I$1601,$AH534)&amp;" - "&amp;INDEX(Calc!$D$2:$D$1601,$AH534)&amp;" koli")</f>
        <v/>
      </c>
      <c r="Z534">
        <f>IF($AG534="","",Config!$B$21)</f>
        <v/>
      </c>
      <c r="AA534">
        <f>IF($AG534="","",Config!$B$22)</f>
        <v/>
      </c>
      <c r="AB534">
        <f>IF($AH534="","",INDEX(Calc!$D$2:$D$1601,$AH534))</f>
        <v/>
      </c>
      <c r="AC534">
        <f>IF($AH534="","",INDEX(Calc!$G$2:$G$1601,$AH534))</f>
        <v/>
      </c>
      <c r="AD534">
        <f>IF($AG534="","",Config!$B$23)</f>
        <v/>
      </c>
      <c r="AE534">
        <f>IF($AG534="","",Config!$B$28)</f>
        <v/>
      </c>
      <c r="AG534">
        <f>IFERROR(MATCH(ROW()-1,Calc!$J$2:$J$1601,0),"")</f>
        <v/>
      </c>
      <c r="AH534">
        <f>IFERROR(MATCH(ROW()-1,Calc!$K$2:$K$1601,0),"")</f>
        <v/>
      </c>
      <c r="AI534">
        <f>IF($AG534="","",SUMIF($AG$2:$AG534,$AG534,$AH$2:$AH534))</f>
        <v/>
      </c>
      <c r="AJ534">
        <f>IF('TMP Paste'!$F534="","",IF('TMP Paste'!$B534="",$AJ533,'TMP Paste'!$B534))</f>
        <v/>
      </c>
      <c r="AK534">
        <f>IF('TMP Paste'!$F534="","",N('TMP Paste'!$G534))</f>
        <v/>
      </c>
      <c r="AL534">
        <f>IF('TMP Paste'!$F534="","",IF('TMP Paste'!$M534="",$AL533,'TMP Paste'!$M534))</f>
        <v/>
      </c>
      <c r="AM534">
        <f>IF('TMP Paste'!$F534="","",IF('TMP Paste'!$N534="",$AM533,'TMP Paste'!$N534))</f>
        <v/>
      </c>
      <c r="AN534">
        <f>IF('TMP Paste'!$F534="","",IF('TMP Paste'!$O534="",$AN533,'TMP Paste'!$O534))</f>
        <v/>
      </c>
      <c r="AO534">
        <f>IF('TMP Paste'!$F534="","",IF('TMP Paste'!$P534="",$AO533,'TMP Paste'!$P534))</f>
        <v/>
      </c>
      <c r="AP534">
        <f>IF($AG534="","",LEN($R534))</f>
        <v/>
      </c>
      <c r="AQ534">
        <f>IF($AG534="","",TRIM(IF(COUNTIFS(Calc!$B$2:$B$1601,ROW()-1,Calc!$C$2:$C$1601,"&lt;1")&gt;0,"Ada PO tanpa Koli - cek TMP. ","")&amp;IF(LEN($R534)&gt;500,"R &gt; 500 karakter.","")))</f>
        <v/>
      </c>
    </row>
    <row r="535">
      <c r="A535">
        <f>IF($AG535="","",INDEX('TMP Paste'!$B$2:$B$1601,$AG535))</f>
        <v/>
      </c>
      <c r="B535">
        <f>IF($AG535="","",Config!$B$14)</f>
        <v/>
      </c>
      <c r="C535">
        <f>IF($AG535="","",Config!$B$15)</f>
        <v/>
      </c>
      <c r="D535">
        <f>IF($AG535="","",INDEX('TMP Paste'!$B$2:$B$1601,$AG535))</f>
        <v/>
      </c>
      <c r="E535">
        <f>IF($AG535="","",Config!$B$27)</f>
        <v/>
      </c>
      <c r="F535">
        <f>IF($AG535="","",Config!$B$9)</f>
        <v/>
      </c>
      <c r="G535">
        <f>IF($AG535="","",Config!$B$10)</f>
        <v/>
      </c>
      <c r="H535">
        <f>IF($AG535="","",Config!$B$11)</f>
        <v/>
      </c>
      <c r="I535">
        <f>IF($AG535="","",Config!$B$16)</f>
        <v/>
      </c>
      <c r="J535">
        <f>IF($AG535="","",INDEX('TMP Paste'!$A$2:$A$1601,$AG535))</f>
        <v/>
      </c>
      <c r="K535">
        <f>IF($AG535="","",INDEX('TMP Paste'!$L$2:$L$1601,$AG535))</f>
        <v/>
      </c>
      <c r="L535">
        <f>IF($AG535="","",INDEX('TMP Paste'!$I$2:$I$1601,$AG535))</f>
        <v/>
      </c>
      <c r="M535">
        <f>IF($AG535="","",Config!$B$16)</f>
        <v/>
      </c>
      <c r="N535">
        <f>IF($AG535="","","")</f>
        <v/>
      </c>
      <c r="O535">
        <f>IF($AG535="","",INDEX('TMP Paste'!$K$2:$K$1601,$AG535))</f>
        <v/>
      </c>
      <c r="P535">
        <f>IF($AG535="","","")</f>
        <v/>
      </c>
      <c r="Q535">
        <f>IF($AG535="","",INDEX('TMP Paste'!$J$2:$J$1601,$AG535))</f>
        <v/>
      </c>
      <c r="R535">
        <f>IF($AG535="","",Config!$B$24)</f>
        <v/>
      </c>
      <c r="S535">
        <f>IF($AG535="","",TEXT(Config!$B$4,"yyyy-mm-dd"))</f>
        <v/>
      </c>
      <c r="T535">
        <f>IF($AG535="","",Config!$B$17)</f>
        <v/>
      </c>
      <c r="U535">
        <f>IF($AG535="","",Config!$B$18)</f>
        <v/>
      </c>
      <c r="V535">
        <f>IF($AG535="","",Config!$B$19)</f>
        <v/>
      </c>
      <c r="W535">
        <f>IF($AG535="","",INDEX('TMP Paste'!$C$2:$C$1601,$AG535))</f>
        <v/>
      </c>
      <c r="X535">
        <f>IF($AG535="","",Config!$B$29)</f>
        <v/>
      </c>
      <c r="Y535">
        <f>IF($AH535="","",INDEX(Calc!$I$2:$I$1601,$AH535)&amp;" - "&amp;INDEX(Calc!$D$2:$D$1601,$AH535)&amp;" koli")</f>
        <v/>
      </c>
      <c r="Z535">
        <f>IF($AG535="","",Config!$B$21)</f>
        <v/>
      </c>
      <c r="AA535">
        <f>IF($AG535="","",Config!$B$22)</f>
        <v/>
      </c>
      <c r="AB535">
        <f>IF($AH535="","",INDEX(Calc!$D$2:$D$1601,$AH535))</f>
        <v/>
      </c>
      <c r="AC535">
        <f>IF($AH535="","",INDEX(Calc!$G$2:$G$1601,$AH535))</f>
        <v/>
      </c>
      <c r="AD535">
        <f>IF($AG535="","",Config!$B$23)</f>
        <v/>
      </c>
      <c r="AE535">
        <f>IF($AG535="","",Config!$B$28)</f>
        <v/>
      </c>
      <c r="AG535">
        <f>IFERROR(MATCH(ROW()-1,Calc!$J$2:$J$1601,0),"")</f>
        <v/>
      </c>
      <c r="AH535">
        <f>IFERROR(MATCH(ROW()-1,Calc!$K$2:$K$1601,0),"")</f>
        <v/>
      </c>
      <c r="AI535">
        <f>IF($AG535="","",SUMIF($AG$2:$AG535,$AG535,$AH$2:$AH535))</f>
        <v/>
      </c>
      <c r="AJ535">
        <f>IF('TMP Paste'!$F535="","",IF('TMP Paste'!$B535="",$AJ534,'TMP Paste'!$B535))</f>
        <v/>
      </c>
      <c r="AK535">
        <f>IF('TMP Paste'!$F535="","",N('TMP Paste'!$G535))</f>
        <v/>
      </c>
      <c r="AL535">
        <f>IF('TMP Paste'!$F535="","",IF('TMP Paste'!$M535="",$AL534,'TMP Paste'!$M535))</f>
        <v/>
      </c>
      <c r="AM535">
        <f>IF('TMP Paste'!$F535="","",IF('TMP Paste'!$N535="",$AM534,'TMP Paste'!$N535))</f>
        <v/>
      </c>
      <c r="AN535">
        <f>IF('TMP Paste'!$F535="","",IF('TMP Paste'!$O535="",$AN534,'TMP Paste'!$O535))</f>
        <v/>
      </c>
      <c r="AO535">
        <f>IF('TMP Paste'!$F535="","",IF('TMP Paste'!$P535="",$AO534,'TMP Paste'!$P535))</f>
        <v/>
      </c>
      <c r="AP535">
        <f>IF($AG535="","",LEN($R535))</f>
        <v/>
      </c>
      <c r="AQ535">
        <f>IF($AG535="","",TRIM(IF(COUNTIFS(Calc!$B$2:$B$1601,ROW()-1,Calc!$C$2:$C$1601,"&lt;1")&gt;0,"Ada PO tanpa Koli - cek TMP. ","")&amp;IF(LEN($R535)&gt;500,"R &gt; 500 karakter.","")))</f>
        <v/>
      </c>
    </row>
    <row r="536">
      <c r="A536">
        <f>IF($AG536="","",INDEX('TMP Paste'!$B$2:$B$1601,$AG536))</f>
        <v/>
      </c>
      <c r="B536">
        <f>IF($AG536="","",Config!$B$14)</f>
        <v/>
      </c>
      <c r="C536">
        <f>IF($AG536="","",Config!$B$15)</f>
        <v/>
      </c>
      <c r="D536">
        <f>IF($AG536="","",INDEX('TMP Paste'!$B$2:$B$1601,$AG536))</f>
        <v/>
      </c>
      <c r="E536">
        <f>IF($AG536="","",Config!$B$27)</f>
        <v/>
      </c>
      <c r="F536">
        <f>IF($AG536="","",Config!$B$9)</f>
        <v/>
      </c>
      <c r="G536">
        <f>IF($AG536="","",Config!$B$10)</f>
        <v/>
      </c>
      <c r="H536">
        <f>IF($AG536="","",Config!$B$11)</f>
        <v/>
      </c>
      <c r="I536">
        <f>IF($AG536="","",Config!$B$16)</f>
        <v/>
      </c>
      <c r="J536">
        <f>IF($AG536="","",INDEX('TMP Paste'!$A$2:$A$1601,$AG536))</f>
        <v/>
      </c>
      <c r="K536">
        <f>IF($AG536="","",INDEX('TMP Paste'!$L$2:$L$1601,$AG536))</f>
        <v/>
      </c>
      <c r="L536">
        <f>IF($AG536="","",INDEX('TMP Paste'!$I$2:$I$1601,$AG536))</f>
        <v/>
      </c>
      <c r="M536">
        <f>IF($AG536="","",Config!$B$16)</f>
        <v/>
      </c>
      <c r="N536">
        <f>IF($AG536="","","")</f>
        <v/>
      </c>
      <c r="O536">
        <f>IF($AG536="","",INDEX('TMP Paste'!$K$2:$K$1601,$AG536))</f>
        <v/>
      </c>
      <c r="P536">
        <f>IF($AG536="","","")</f>
        <v/>
      </c>
      <c r="Q536">
        <f>IF($AG536="","",INDEX('TMP Paste'!$J$2:$J$1601,$AG536))</f>
        <v/>
      </c>
      <c r="R536">
        <f>IF($AG536="","",Config!$B$24)</f>
        <v/>
      </c>
      <c r="S536">
        <f>IF($AG536="","",TEXT(Config!$B$4,"yyyy-mm-dd"))</f>
        <v/>
      </c>
      <c r="T536">
        <f>IF($AG536="","",Config!$B$17)</f>
        <v/>
      </c>
      <c r="U536">
        <f>IF($AG536="","",Config!$B$18)</f>
        <v/>
      </c>
      <c r="V536">
        <f>IF($AG536="","",Config!$B$19)</f>
        <v/>
      </c>
      <c r="W536">
        <f>IF($AG536="","",INDEX('TMP Paste'!$C$2:$C$1601,$AG536))</f>
        <v/>
      </c>
      <c r="X536">
        <f>IF($AG536="","",Config!$B$29)</f>
        <v/>
      </c>
      <c r="Y536">
        <f>IF($AH536="","",INDEX(Calc!$I$2:$I$1601,$AH536)&amp;" - "&amp;INDEX(Calc!$D$2:$D$1601,$AH536)&amp;" koli")</f>
        <v/>
      </c>
      <c r="Z536">
        <f>IF($AG536="","",Config!$B$21)</f>
        <v/>
      </c>
      <c r="AA536">
        <f>IF($AG536="","",Config!$B$22)</f>
        <v/>
      </c>
      <c r="AB536">
        <f>IF($AH536="","",INDEX(Calc!$D$2:$D$1601,$AH536))</f>
        <v/>
      </c>
      <c r="AC536">
        <f>IF($AH536="","",INDEX(Calc!$G$2:$G$1601,$AH536))</f>
        <v/>
      </c>
      <c r="AD536">
        <f>IF($AG536="","",Config!$B$23)</f>
        <v/>
      </c>
      <c r="AE536">
        <f>IF($AG536="","",Config!$B$28)</f>
        <v/>
      </c>
      <c r="AG536">
        <f>IFERROR(MATCH(ROW()-1,Calc!$J$2:$J$1601,0),"")</f>
        <v/>
      </c>
      <c r="AH536">
        <f>IFERROR(MATCH(ROW()-1,Calc!$K$2:$K$1601,0),"")</f>
        <v/>
      </c>
      <c r="AI536">
        <f>IF($AG536="","",SUMIF($AG$2:$AG536,$AG536,$AH$2:$AH536))</f>
        <v/>
      </c>
      <c r="AJ536">
        <f>IF('TMP Paste'!$F536="","",IF('TMP Paste'!$B536="",$AJ535,'TMP Paste'!$B536))</f>
        <v/>
      </c>
      <c r="AK536">
        <f>IF('TMP Paste'!$F536="","",N('TMP Paste'!$G536))</f>
        <v/>
      </c>
      <c r="AL536">
        <f>IF('TMP Paste'!$F536="","",IF('TMP Paste'!$M536="",$AL535,'TMP Paste'!$M536))</f>
        <v/>
      </c>
      <c r="AM536">
        <f>IF('TMP Paste'!$F536="","",IF('TMP Paste'!$N536="",$AM535,'TMP Paste'!$N536))</f>
        <v/>
      </c>
      <c r="AN536">
        <f>IF('TMP Paste'!$F536="","",IF('TMP Paste'!$O536="",$AN535,'TMP Paste'!$O536))</f>
        <v/>
      </c>
      <c r="AO536">
        <f>IF('TMP Paste'!$F536="","",IF('TMP Paste'!$P536="",$AO535,'TMP Paste'!$P536))</f>
        <v/>
      </c>
      <c r="AP536">
        <f>IF($AG536="","",LEN($R536))</f>
        <v/>
      </c>
      <c r="AQ536">
        <f>IF($AG536="","",TRIM(IF(COUNTIFS(Calc!$B$2:$B$1601,ROW()-1,Calc!$C$2:$C$1601,"&lt;1")&gt;0,"Ada PO tanpa Koli - cek TMP. ","")&amp;IF(LEN($R536)&gt;500,"R &gt; 500 karakter.","")))</f>
        <v/>
      </c>
    </row>
    <row r="537">
      <c r="A537">
        <f>IF($AG537="","",INDEX('TMP Paste'!$B$2:$B$1601,$AG537))</f>
        <v/>
      </c>
      <c r="B537">
        <f>IF($AG537="","",Config!$B$14)</f>
        <v/>
      </c>
      <c r="C537">
        <f>IF($AG537="","",Config!$B$15)</f>
        <v/>
      </c>
      <c r="D537">
        <f>IF($AG537="","",INDEX('TMP Paste'!$B$2:$B$1601,$AG537))</f>
        <v/>
      </c>
      <c r="E537">
        <f>IF($AG537="","",Config!$B$27)</f>
        <v/>
      </c>
      <c r="F537">
        <f>IF($AG537="","",Config!$B$9)</f>
        <v/>
      </c>
      <c r="G537">
        <f>IF($AG537="","",Config!$B$10)</f>
        <v/>
      </c>
      <c r="H537">
        <f>IF($AG537="","",Config!$B$11)</f>
        <v/>
      </c>
      <c r="I537">
        <f>IF($AG537="","",Config!$B$16)</f>
        <v/>
      </c>
      <c r="J537">
        <f>IF($AG537="","",INDEX('TMP Paste'!$A$2:$A$1601,$AG537))</f>
        <v/>
      </c>
      <c r="K537">
        <f>IF($AG537="","",INDEX('TMP Paste'!$L$2:$L$1601,$AG537))</f>
        <v/>
      </c>
      <c r="L537">
        <f>IF($AG537="","",INDEX('TMP Paste'!$I$2:$I$1601,$AG537))</f>
        <v/>
      </c>
      <c r="M537">
        <f>IF($AG537="","",Config!$B$16)</f>
        <v/>
      </c>
      <c r="N537">
        <f>IF($AG537="","","")</f>
        <v/>
      </c>
      <c r="O537">
        <f>IF($AG537="","",INDEX('TMP Paste'!$K$2:$K$1601,$AG537))</f>
        <v/>
      </c>
      <c r="P537">
        <f>IF($AG537="","","")</f>
        <v/>
      </c>
      <c r="Q537">
        <f>IF($AG537="","",INDEX('TMP Paste'!$J$2:$J$1601,$AG537))</f>
        <v/>
      </c>
      <c r="R537">
        <f>IF($AG537="","",Config!$B$24)</f>
        <v/>
      </c>
      <c r="S537">
        <f>IF($AG537="","",TEXT(Config!$B$4,"yyyy-mm-dd"))</f>
        <v/>
      </c>
      <c r="T537">
        <f>IF($AG537="","",Config!$B$17)</f>
        <v/>
      </c>
      <c r="U537">
        <f>IF($AG537="","",Config!$B$18)</f>
        <v/>
      </c>
      <c r="V537">
        <f>IF($AG537="","",Config!$B$19)</f>
        <v/>
      </c>
      <c r="W537">
        <f>IF($AG537="","",INDEX('TMP Paste'!$C$2:$C$1601,$AG537))</f>
        <v/>
      </c>
      <c r="X537">
        <f>IF($AG537="","",Config!$B$29)</f>
        <v/>
      </c>
      <c r="Y537">
        <f>IF($AH537="","",INDEX(Calc!$I$2:$I$1601,$AH537)&amp;" - "&amp;INDEX(Calc!$D$2:$D$1601,$AH537)&amp;" koli")</f>
        <v/>
      </c>
      <c r="Z537">
        <f>IF($AG537="","",Config!$B$21)</f>
        <v/>
      </c>
      <c r="AA537">
        <f>IF($AG537="","",Config!$B$22)</f>
        <v/>
      </c>
      <c r="AB537">
        <f>IF($AH537="","",INDEX(Calc!$D$2:$D$1601,$AH537))</f>
        <v/>
      </c>
      <c r="AC537">
        <f>IF($AH537="","",INDEX(Calc!$G$2:$G$1601,$AH537))</f>
        <v/>
      </c>
      <c r="AD537">
        <f>IF($AG537="","",Config!$B$23)</f>
        <v/>
      </c>
      <c r="AE537">
        <f>IF($AG537="","",Config!$B$28)</f>
        <v/>
      </c>
      <c r="AG537">
        <f>IFERROR(MATCH(ROW()-1,Calc!$J$2:$J$1601,0),"")</f>
        <v/>
      </c>
      <c r="AH537">
        <f>IFERROR(MATCH(ROW()-1,Calc!$K$2:$K$1601,0),"")</f>
        <v/>
      </c>
      <c r="AI537">
        <f>IF($AG537="","",SUMIF($AG$2:$AG537,$AG537,$AH$2:$AH537))</f>
        <v/>
      </c>
      <c r="AJ537">
        <f>IF('TMP Paste'!$F537="","",IF('TMP Paste'!$B537="",$AJ536,'TMP Paste'!$B537))</f>
        <v/>
      </c>
      <c r="AK537">
        <f>IF('TMP Paste'!$F537="","",N('TMP Paste'!$G537))</f>
        <v/>
      </c>
      <c r="AL537">
        <f>IF('TMP Paste'!$F537="","",IF('TMP Paste'!$M537="",$AL536,'TMP Paste'!$M537))</f>
        <v/>
      </c>
      <c r="AM537">
        <f>IF('TMP Paste'!$F537="","",IF('TMP Paste'!$N537="",$AM536,'TMP Paste'!$N537))</f>
        <v/>
      </c>
      <c r="AN537">
        <f>IF('TMP Paste'!$F537="","",IF('TMP Paste'!$O537="",$AN536,'TMP Paste'!$O537))</f>
        <v/>
      </c>
      <c r="AO537">
        <f>IF('TMP Paste'!$F537="","",IF('TMP Paste'!$P537="",$AO536,'TMP Paste'!$P537))</f>
        <v/>
      </c>
      <c r="AP537">
        <f>IF($AG537="","",LEN($R537))</f>
        <v/>
      </c>
      <c r="AQ537">
        <f>IF($AG537="","",TRIM(IF(COUNTIFS(Calc!$B$2:$B$1601,ROW()-1,Calc!$C$2:$C$1601,"&lt;1")&gt;0,"Ada PO tanpa Koli - cek TMP. ","")&amp;IF(LEN($R537)&gt;500,"R &gt; 500 karakter.","")))</f>
        <v/>
      </c>
    </row>
    <row r="538">
      <c r="A538">
        <f>IF($AG538="","",INDEX('TMP Paste'!$B$2:$B$1601,$AG538))</f>
        <v/>
      </c>
      <c r="B538">
        <f>IF($AG538="","",Config!$B$14)</f>
        <v/>
      </c>
      <c r="C538">
        <f>IF($AG538="","",Config!$B$15)</f>
        <v/>
      </c>
      <c r="D538">
        <f>IF($AG538="","",INDEX('TMP Paste'!$B$2:$B$1601,$AG538))</f>
        <v/>
      </c>
      <c r="E538">
        <f>IF($AG538="","",Config!$B$27)</f>
        <v/>
      </c>
      <c r="F538">
        <f>IF($AG538="","",Config!$B$9)</f>
        <v/>
      </c>
      <c r="G538">
        <f>IF($AG538="","",Config!$B$10)</f>
        <v/>
      </c>
      <c r="H538">
        <f>IF($AG538="","",Config!$B$11)</f>
        <v/>
      </c>
      <c r="I538">
        <f>IF($AG538="","",Config!$B$16)</f>
        <v/>
      </c>
      <c r="J538">
        <f>IF($AG538="","",INDEX('TMP Paste'!$A$2:$A$1601,$AG538))</f>
        <v/>
      </c>
      <c r="K538">
        <f>IF($AG538="","",INDEX('TMP Paste'!$L$2:$L$1601,$AG538))</f>
        <v/>
      </c>
      <c r="L538">
        <f>IF($AG538="","",INDEX('TMP Paste'!$I$2:$I$1601,$AG538))</f>
        <v/>
      </c>
      <c r="M538">
        <f>IF($AG538="","",Config!$B$16)</f>
        <v/>
      </c>
      <c r="N538">
        <f>IF($AG538="","","")</f>
        <v/>
      </c>
      <c r="O538">
        <f>IF($AG538="","",INDEX('TMP Paste'!$K$2:$K$1601,$AG538))</f>
        <v/>
      </c>
      <c r="P538">
        <f>IF($AG538="","","")</f>
        <v/>
      </c>
      <c r="Q538">
        <f>IF($AG538="","",INDEX('TMP Paste'!$J$2:$J$1601,$AG538))</f>
        <v/>
      </c>
      <c r="R538">
        <f>IF($AG538="","",Config!$B$24)</f>
        <v/>
      </c>
      <c r="S538">
        <f>IF($AG538="","",TEXT(Config!$B$4,"yyyy-mm-dd"))</f>
        <v/>
      </c>
      <c r="T538">
        <f>IF($AG538="","",Config!$B$17)</f>
        <v/>
      </c>
      <c r="U538">
        <f>IF($AG538="","",Config!$B$18)</f>
        <v/>
      </c>
      <c r="V538">
        <f>IF($AG538="","",Config!$B$19)</f>
        <v/>
      </c>
      <c r="W538">
        <f>IF($AG538="","",INDEX('TMP Paste'!$C$2:$C$1601,$AG538))</f>
        <v/>
      </c>
      <c r="X538">
        <f>IF($AG538="","",Config!$B$29)</f>
        <v/>
      </c>
      <c r="Y538">
        <f>IF($AH538="","",INDEX(Calc!$I$2:$I$1601,$AH538)&amp;" - "&amp;INDEX(Calc!$D$2:$D$1601,$AH538)&amp;" koli")</f>
        <v/>
      </c>
      <c r="Z538">
        <f>IF($AG538="","",Config!$B$21)</f>
        <v/>
      </c>
      <c r="AA538">
        <f>IF($AG538="","",Config!$B$22)</f>
        <v/>
      </c>
      <c r="AB538">
        <f>IF($AH538="","",INDEX(Calc!$D$2:$D$1601,$AH538))</f>
        <v/>
      </c>
      <c r="AC538">
        <f>IF($AH538="","",INDEX(Calc!$G$2:$G$1601,$AH538))</f>
        <v/>
      </c>
      <c r="AD538">
        <f>IF($AG538="","",Config!$B$23)</f>
        <v/>
      </c>
      <c r="AE538">
        <f>IF($AG538="","",Config!$B$28)</f>
        <v/>
      </c>
      <c r="AG538">
        <f>IFERROR(MATCH(ROW()-1,Calc!$J$2:$J$1601,0),"")</f>
        <v/>
      </c>
      <c r="AH538">
        <f>IFERROR(MATCH(ROW()-1,Calc!$K$2:$K$1601,0),"")</f>
        <v/>
      </c>
      <c r="AI538">
        <f>IF($AG538="","",SUMIF($AG$2:$AG538,$AG538,$AH$2:$AH538))</f>
        <v/>
      </c>
      <c r="AJ538">
        <f>IF('TMP Paste'!$F538="","",IF('TMP Paste'!$B538="",$AJ537,'TMP Paste'!$B538))</f>
        <v/>
      </c>
      <c r="AK538">
        <f>IF('TMP Paste'!$F538="","",N('TMP Paste'!$G538))</f>
        <v/>
      </c>
      <c r="AL538">
        <f>IF('TMP Paste'!$F538="","",IF('TMP Paste'!$M538="",$AL537,'TMP Paste'!$M538))</f>
        <v/>
      </c>
      <c r="AM538">
        <f>IF('TMP Paste'!$F538="","",IF('TMP Paste'!$N538="",$AM537,'TMP Paste'!$N538))</f>
        <v/>
      </c>
      <c r="AN538">
        <f>IF('TMP Paste'!$F538="","",IF('TMP Paste'!$O538="",$AN537,'TMP Paste'!$O538))</f>
        <v/>
      </c>
      <c r="AO538">
        <f>IF('TMP Paste'!$F538="","",IF('TMP Paste'!$P538="",$AO537,'TMP Paste'!$P538))</f>
        <v/>
      </c>
      <c r="AP538">
        <f>IF($AG538="","",LEN($R538))</f>
        <v/>
      </c>
      <c r="AQ538">
        <f>IF($AG538="","",TRIM(IF(COUNTIFS(Calc!$B$2:$B$1601,ROW()-1,Calc!$C$2:$C$1601,"&lt;1")&gt;0,"Ada PO tanpa Koli - cek TMP. ","")&amp;IF(LEN($R538)&gt;500,"R &gt; 500 karakter.","")))</f>
        <v/>
      </c>
    </row>
    <row r="539">
      <c r="A539">
        <f>IF($AG539="","",INDEX('TMP Paste'!$B$2:$B$1601,$AG539))</f>
        <v/>
      </c>
      <c r="B539">
        <f>IF($AG539="","",Config!$B$14)</f>
        <v/>
      </c>
      <c r="C539">
        <f>IF($AG539="","",Config!$B$15)</f>
        <v/>
      </c>
      <c r="D539">
        <f>IF($AG539="","",INDEX('TMP Paste'!$B$2:$B$1601,$AG539))</f>
        <v/>
      </c>
      <c r="E539">
        <f>IF($AG539="","",Config!$B$27)</f>
        <v/>
      </c>
      <c r="F539">
        <f>IF($AG539="","",Config!$B$9)</f>
        <v/>
      </c>
      <c r="G539">
        <f>IF($AG539="","",Config!$B$10)</f>
        <v/>
      </c>
      <c r="H539">
        <f>IF($AG539="","",Config!$B$11)</f>
        <v/>
      </c>
      <c r="I539">
        <f>IF($AG539="","",Config!$B$16)</f>
        <v/>
      </c>
      <c r="J539">
        <f>IF($AG539="","",INDEX('TMP Paste'!$A$2:$A$1601,$AG539))</f>
        <v/>
      </c>
      <c r="K539">
        <f>IF($AG539="","",INDEX('TMP Paste'!$L$2:$L$1601,$AG539))</f>
        <v/>
      </c>
      <c r="L539">
        <f>IF($AG539="","",INDEX('TMP Paste'!$I$2:$I$1601,$AG539))</f>
        <v/>
      </c>
      <c r="M539">
        <f>IF($AG539="","",Config!$B$16)</f>
        <v/>
      </c>
      <c r="N539">
        <f>IF($AG539="","","")</f>
        <v/>
      </c>
      <c r="O539">
        <f>IF($AG539="","",INDEX('TMP Paste'!$K$2:$K$1601,$AG539))</f>
        <v/>
      </c>
      <c r="P539">
        <f>IF($AG539="","","")</f>
        <v/>
      </c>
      <c r="Q539">
        <f>IF($AG539="","",INDEX('TMP Paste'!$J$2:$J$1601,$AG539))</f>
        <v/>
      </c>
      <c r="R539">
        <f>IF($AG539="","",Config!$B$24)</f>
        <v/>
      </c>
      <c r="S539">
        <f>IF($AG539="","",TEXT(Config!$B$4,"yyyy-mm-dd"))</f>
        <v/>
      </c>
      <c r="T539">
        <f>IF($AG539="","",Config!$B$17)</f>
        <v/>
      </c>
      <c r="U539">
        <f>IF($AG539="","",Config!$B$18)</f>
        <v/>
      </c>
      <c r="V539">
        <f>IF($AG539="","",Config!$B$19)</f>
        <v/>
      </c>
      <c r="W539">
        <f>IF($AG539="","",INDEX('TMP Paste'!$C$2:$C$1601,$AG539))</f>
        <v/>
      </c>
      <c r="X539">
        <f>IF($AG539="","",Config!$B$29)</f>
        <v/>
      </c>
      <c r="Y539">
        <f>IF($AH539="","",INDEX(Calc!$I$2:$I$1601,$AH539)&amp;" - "&amp;INDEX(Calc!$D$2:$D$1601,$AH539)&amp;" koli")</f>
        <v/>
      </c>
      <c r="Z539">
        <f>IF($AG539="","",Config!$B$21)</f>
        <v/>
      </c>
      <c r="AA539">
        <f>IF($AG539="","",Config!$B$22)</f>
        <v/>
      </c>
      <c r="AB539">
        <f>IF($AH539="","",INDEX(Calc!$D$2:$D$1601,$AH539))</f>
        <v/>
      </c>
      <c r="AC539">
        <f>IF($AH539="","",INDEX(Calc!$G$2:$G$1601,$AH539))</f>
        <v/>
      </c>
      <c r="AD539">
        <f>IF($AG539="","",Config!$B$23)</f>
        <v/>
      </c>
      <c r="AE539">
        <f>IF($AG539="","",Config!$B$28)</f>
        <v/>
      </c>
      <c r="AG539">
        <f>IFERROR(MATCH(ROW()-1,Calc!$J$2:$J$1601,0),"")</f>
        <v/>
      </c>
      <c r="AH539">
        <f>IFERROR(MATCH(ROW()-1,Calc!$K$2:$K$1601,0),"")</f>
        <v/>
      </c>
      <c r="AI539">
        <f>IF($AG539="","",SUMIF($AG$2:$AG539,$AG539,$AH$2:$AH539))</f>
        <v/>
      </c>
      <c r="AJ539">
        <f>IF('TMP Paste'!$F539="","",IF('TMP Paste'!$B539="",$AJ538,'TMP Paste'!$B539))</f>
        <v/>
      </c>
      <c r="AK539">
        <f>IF('TMP Paste'!$F539="","",N('TMP Paste'!$G539))</f>
        <v/>
      </c>
      <c r="AL539">
        <f>IF('TMP Paste'!$F539="","",IF('TMP Paste'!$M539="",$AL538,'TMP Paste'!$M539))</f>
        <v/>
      </c>
      <c r="AM539">
        <f>IF('TMP Paste'!$F539="","",IF('TMP Paste'!$N539="",$AM538,'TMP Paste'!$N539))</f>
        <v/>
      </c>
      <c r="AN539">
        <f>IF('TMP Paste'!$F539="","",IF('TMP Paste'!$O539="",$AN538,'TMP Paste'!$O539))</f>
        <v/>
      </c>
      <c r="AO539">
        <f>IF('TMP Paste'!$F539="","",IF('TMP Paste'!$P539="",$AO538,'TMP Paste'!$P539))</f>
        <v/>
      </c>
      <c r="AP539">
        <f>IF($AG539="","",LEN($R539))</f>
        <v/>
      </c>
      <c r="AQ539">
        <f>IF($AG539="","",TRIM(IF(COUNTIFS(Calc!$B$2:$B$1601,ROW()-1,Calc!$C$2:$C$1601,"&lt;1")&gt;0,"Ada PO tanpa Koli - cek TMP. ","")&amp;IF(LEN($R539)&gt;500,"R &gt; 500 karakter.","")))</f>
        <v/>
      </c>
    </row>
    <row r="540">
      <c r="A540">
        <f>IF($AG540="","",INDEX('TMP Paste'!$B$2:$B$1601,$AG540))</f>
        <v/>
      </c>
      <c r="B540">
        <f>IF($AG540="","",Config!$B$14)</f>
        <v/>
      </c>
      <c r="C540">
        <f>IF($AG540="","",Config!$B$15)</f>
        <v/>
      </c>
      <c r="D540">
        <f>IF($AG540="","",INDEX('TMP Paste'!$B$2:$B$1601,$AG540))</f>
        <v/>
      </c>
      <c r="E540">
        <f>IF($AG540="","",Config!$B$27)</f>
        <v/>
      </c>
      <c r="F540">
        <f>IF($AG540="","",Config!$B$9)</f>
        <v/>
      </c>
      <c r="G540">
        <f>IF($AG540="","",Config!$B$10)</f>
        <v/>
      </c>
      <c r="H540">
        <f>IF($AG540="","",Config!$B$11)</f>
        <v/>
      </c>
      <c r="I540">
        <f>IF($AG540="","",Config!$B$16)</f>
        <v/>
      </c>
      <c r="J540">
        <f>IF($AG540="","",INDEX('TMP Paste'!$A$2:$A$1601,$AG540))</f>
        <v/>
      </c>
      <c r="K540">
        <f>IF($AG540="","",INDEX('TMP Paste'!$L$2:$L$1601,$AG540))</f>
        <v/>
      </c>
      <c r="L540">
        <f>IF($AG540="","",INDEX('TMP Paste'!$I$2:$I$1601,$AG540))</f>
        <v/>
      </c>
      <c r="M540">
        <f>IF($AG540="","",Config!$B$16)</f>
        <v/>
      </c>
      <c r="N540">
        <f>IF($AG540="","","")</f>
        <v/>
      </c>
      <c r="O540">
        <f>IF($AG540="","",INDEX('TMP Paste'!$K$2:$K$1601,$AG540))</f>
        <v/>
      </c>
      <c r="P540">
        <f>IF($AG540="","","")</f>
        <v/>
      </c>
      <c r="Q540">
        <f>IF($AG540="","",INDEX('TMP Paste'!$J$2:$J$1601,$AG540))</f>
        <v/>
      </c>
      <c r="R540">
        <f>IF($AG540="","",Config!$B$24)</f>
        <v/>
      </c>
      <c r="S540">
        <f>IF($AG540="","",TEXT(Config!$B$4,"yyyy-mm-dd"))</f>
        <v/>
      </c>
      <c r="T540">
        <f>IF($AG540="","",Config!$B$17)</f>
        <v/>
      </c>
      <c r="U540">
        <f>IF($AG540="","",Config!$B$18)</f>
        <v/>
      </c>
      <c r="V540">
        <f>IF($AG540="","",Config!$B$19)</f>
        <v/>
      </c>
      <c r="W540">
        <f>IF($AG540="","",INDEX('TMP Paste'!$C$2:$C$1601,$AG540))</f>
        <v/>
      </c>
      <c r="X540">
        <f>IF($AG540="","",Config!$B$29)</f>
        <v/>
      </c>
      <c r="Y540">
        <f>IF($AH540="","",INDEX(Calc!$I$2:$I$1601,$AH540)&amp;" - "&amp;INDEX(Calc!$D$2:$D$1601,$AH540)&amp;" koli")</f>
        <v/>
      </c>
      <c r="Z540">
        <f>IF($AG540="","",Config!$B$21)</f>
        <v/>
      </c>
      <c r="AA540">
        <f>IF($AG540="","",Config!$B$22)</f>
        <v/>
      </c>
      <c r="AB540">
        <f>IF($AH540="","",INDEX(Calc!$D$2:$D$1601,$AH540))</f>
        <v/>
      </c>
      <c r="AC540">
        <f>IF($AH540="","",INDEX(Calc!$G$2:$G$1601,$AH540))</f>
        <v/>
      </c>
      <c r="AD540">
        <f>IF($AG540="","",Config!$B$23)</f>
        <v/>
      </c>
      <c r="AE540">
        <f>IF($AG540="","",Config!$B$28)</f>
        <v/>
      </c>
      <c r="AG540">
        <f>IFERROR(MATCH(ROW()-1,Calc!$J$2:$J$1601,0),"")</f>
        <v/>
      </c>
      <c r="AH540">
        <f>IFERROR(MATCH(ROW()-1,Calc!$K$2:$K$1601,0),"")</f>
        <v/>
      </c>
      <c r="AI540">
        <f>IF($AG540="","",SUMIF($AG$2:$AG540,$AG540,$AH$2:$AH540))</f>
        <v/>
      </c>
      <c r="AJ540">
        <f>IF('TMP Paste'!$F540="","",IF('TMP Paste'!$B540="",$AJ539,'TMP Paste'!$B540))</f>
        <v/>
      </c>
      <c r="AK540">
        <f>IF('TMP Paste'!$F540="","",N('TMP Paste'!$G540))</f>
        <v/>
      </c>
      <c r="AL540">
        <f>IF('TMP Paste'!$F540="","",IF('TMP Paste'!$M540="",$AL539,'TMP Paste'!$M540))</f>
        <v/>
      </c>
      <c r="AM540">
        <f>IF('TMP Paste'!$F540="","",IF('TMP Paste'!$N540="",$AM539,'TMP Paste'!$N540))</f>
        <v/>
      </c>
      <c r="AN540">
        <f>IF('TMP Paste'!$F540="","",IF('TMP Paste'!$O540="",$AN539,'TMP Paste'!$O540))</f>
        <v/>
      </c>
      <c r="AO540">
        <f>IF('TMP Paste'!$F540="","",IF('TMP Paste'!$P540="",$AO539,'TMP Paste'!$P540))</f>
        <v/>
      </c>
      <c r="AP540">
        <f>IF($AG540="","",LEN($R540))</f>
        <v/>
      </c>
      <c r="AQ540">
        <f>IF($AG540="","",TRIM(IF(COUNTIFS(Calc!$B$2:$B$1601,ROW()-1,Calc!$C$2:$C$1601,"&lt;1")&gt;0,"Ada PO tanpa Koli - cek TMP. ","")&amp;IF(LEN($R540)&gt;500,"R &gt; 500 karakter.","")))</f>
        <v/>
      </c>
    </row>
    <row r="541">
      <c r="A541">
        <f>IF($AG541="","",INDEX('TMP Paste'!$B$2:$B$1601,$AG541))</f>
        <v/>
      </c>
      <c r="B541">
        <f>IF($AG541="","",Config!$B$14)</f>
        <v/>
      </c>
      <c r="C541">
        <f>IF($AG541="","",Config!$B$15)</f>
        <v/>
      </c>
      <c r="D541">
        <f>IF($AG541="","",INDEX('TMP Paste'!$B$2:$B$1601,$AG541))</f>
        <v/>
      </c>
      <c r="E541">
        <f>IF($AG541="","",Config!$B$27)</f>
        <v/>
      </c>
      <c r="F541">
        <f>IF($AG541="","",Config!$B$9)</f>
        <v/>
      </c>
      <c r="G541">
        <f>IF($AG541="","",Config!$B$10)</f>
        <v/>
      </c>
      <c r="H541">
        <f>IF($AG541="","",Config!$B$11)</f>
        <v/>
      </c>
      <c r="I541">
        <f>IF($AG541="","",Config!$B$16)</f>
        <v/>
      </c>
      <c r="J541">
        <f>IF($AG541="","",INDEX('TMP Paste'!$A$2:$A$1601,$AG541))</f>
        <v/>
      </c>
      <c r="K541">
        <f>IF($AG541="","",INDEX('TMP Paste'!$L$2:$L$1601,$AG541))</f>
        <v/>
      </c>
      <c r="L541">
        <f>IF($AG541="","",INDEX('TMP Paste'!$I$2:$I$1601,$AG541))</f>
        <v/>
      </c>
      <c r="M541">
        <f>IF($AG541="","",Config!$B$16)</f>
        <v/>
      </c>
      <c r="N541">
        <f>IF($AG541="","","")</f>
        <v/>
      </c>
      <c r="O541">
        <f>IF($AG541="","",INDEX('TMP Paste'!$K$2:$K$1601,$AG541))</f>
        <v/>
      </c>
      <c r="P541">
        <f>IF($AG541="","","")</f>
        <v/>
      </c>
      <c r="Q541">
        <f>IF($AG541="","",INDEX('TMP Paste'!$J$2:$J$1601,$AG541))</f>
        <v/>
      </c>
      <c r="R541">
        <f>IF($AG541="","",Config!$B$24)</f>
        <v/>
      </c>
      <c r="S541">
        <f>IF($AG541="","",TEXT(Config!$B$4,"yyyy-mm-dd"))</f>
        <v/>
      </c>
      <c r="T541">
        <f>IF($AG541="","",Config!$B$17)</f>
        <v/>
      </c>
      <c r="U541">
        <f>IF($AG541="","",Config!$B$18)</f>
        <v/>
      </c>
      <c r="V541">
        <f>IF($AG541="","",Config!$B$19)</f>
        <v/>
      </c>
      <c r="W541">
        <f>IF($AG541="","",INDEX('TMP Paste'!$C$2:$C$1601,$AG541))</f>
        <v/>
      </c>
      <c r="X541">
        <f>IF($AG541="","",Config!$B$29)</f>
        <v/>
      </c>
      <c r="Y541">
        <f>IF($AH541="","",INDEX(Calc!$I$2:$I$1601,$AH541)&amp;" - "&amp;INDEX(Calc!$D$2:$D$1601,$AH541)&amp;" koli")</f>
        <v/>
      </c>
      <c r="Z541">
        <f>IF($AG541="","",Config!$B$21)</f>
        <v/>
      </c>
      <c r="AA541">
        <f>IF($AG541="","",Config!$B$22)</f>
        <v/>
      </c>
      <c r="AB541">
        <f>IF($AH541="","",INDEX(Calc!$D$2:$D$1601,$AH541))</f>
        <v/>
      </c>
      <c r="AC541">
        <f>IF($AH541="","",INDEX(Calc!$G$2:$G$1601,$AH541))</f>
        <v/>
      </c>
      <c r="AD541">
        <f>IF($AG541="","",Config!$B$23)</f>
        <v/>
      </c>
      <c r="AE541">
        <f>IF($AG541="","",Config!$B$28)</f>
        <v/>
      </c>
      <c r="AG541">
        <f>IFERROR(MATCH(ROW()-1,Calc!$J$2:$J$1601,0),"")</f>
        <v/>
      </c>
      <c r="AH541">
        <f>IFERROR(MATCH(ROW()-1,Calc!$K$2:$K$1601,0),"")</f>
        <v/>
      </c>
      <c r="AI541">
        <f>IF($AG541="","",SUMIF($AG$2:$AG541,$AG541,$AH$2:$AH541))</f>
        <v/>
      </c>
      <c r="AJ541">
        <f>IF('TMP Paste'!$F541="","",IF('TMP Paste'!$B541="",$AJ540,'TMP Paste'!$B541))</f>
        <v/>
      </c>
      <c r="AK541">
        <f>IF('TMP Paste'!$F541="","",N('TMP Paste'!$G541))</f>
        <v/>
      </c>
      <c r="AL541">
        <f>IF('TMP Paste'!$F541="","",IF('TMP Paste'!$M541="",$AL540,'TMP Paste'!$M541))</f>
        <v/>
      </c>
      <c r="AM541">
        <f>IF('TMP Paste'!$F541="","",IF('TMP Paste'!$N541="",$AM540,'TMP Paste'!$N541))</f>
        <v/>
      </c>
      <c r="AN541">
        <f>IF('TMP Paste'!$F541="","",IF('TMP Paste'!$O541="",$AN540,'TMP Paste'!$O541))</f>
        <v/>
      </c>
      <c r="AO541">
        <f>IF('TMP Paste'!$F541="","",IF('TMP Paste'!$P541="",$AO540,'TMP Paste'!$P541))</f>
        <v/>
      </c>
      <c r="AP541">
        <f>IF($AG541="","",LEN($R541))</f>
        <v/>
      </c>
      <c r="AQ541">
        <f>IF($AG541="","",TRIM(IF(COUNTIFS(Calc!$B$2:$B$1601,ROW()-1,Calc!$C$2:$C$1601,"&lt;1")&gt;0,"Ada PO tanpa Koli - cek TMP. ","")&amp;IF(LEN($R541)&gt;500,"R &gt; 500 karakter.","")))</f>
        <v/>
      </c>
    </row>
    <row r="542">
      <c r="A542">
        <f>IF($AG542="","",INDEX('TMP Paste'!$B$2:$B$1601,$AG542))</f>
        <v/>
      </c>
      <c r="B542">
        <f>IF($AG542="","",Config!$B$14)</f>
        <v/>
      </c>
      <c r="C542">
        <f>IF($AG542="","",Config!$B$15)</f>
        <v/>
      </c>
      <c r="D542">
        <f>IF($AG542="","",INDEX('TMP Paste'!$B$2:$B$1601,$AG542))</f>
        <v/>
      </c>
      <c r="E542">
        <f>IF($AG542="","",Config!$B$27)</f>
        <v/>
      </c>
      <c r="F542">
        <f>IF($AG542="","",Config!$B$9)</f>
        <v/>
      </c>
      <c r="G542">
        <f>IF($AG542="","",Config!$B$10)</f>
        <v/>
      </c>
      <c r="H542">
        <f>IF($AG542="","",Config!$B$11)</f>
        <v/>
      </c>
      <c r="I542">
        <f>IF($AG542="","",Config!$B$16)</f>
        <v/>
      </c>
      <c r="J542">
        <f>IF($AG542="","",INDEX('TMP Paste'!$A$2:$A$1601,$AG542))</f>
        <v/>
      </c>
      <c r="K542">
        <f>IF($AG542="","",INDEX('TMP Paste'!$L$2:$L$1601,$AG542))</f>
        <v/>
      </c>
      <c r="L542">
        <f>IF($AG542="","",INDEX('TMP Paste'!$I$2:$I$1601,$AG542))</f>
        <v/>
      </c>
      <c r="M542">
        <f>IF($AG542="","",Config!$B$16)</f>
        <v/>
      </c>
      <c r="N542">
        <f>IF($AG542="","","")</f>
        <v/>
      </c>
      <c r="O542">
        <f>IF($AG542="","",INDEX('TMP Paste'!$K$2:$K$1601,$AG542))</f>
        <v/>
      </c>
      <c r="P542">
        <f>IF($AG542="","","")</f>
        <v/>
      </c>
      <c r="Q542">
        <f>IF($AG542="","",INDEX('TMP Paste'!$J$2:$J$1601,$AG542))</f>
        <v/>
      </c>
      <c r="R542">
        <f>IF($AG542="","",Config!$B$24)</f>
        <v/>
      </c>
      <c r="S542">
        <f>IF($AG542="","",TEXT(Config!$B$4,"yyyy-mm-dd"))</f>
        <v/>
      </c>
      <c r="T542">
        <f>IF($AG542="","",Config!$B$17)</f>
        <v/>
      </c>
      <c r="U542">
        <f>IF($AG542="","",Config!$B$18)</f>
        <v/>
      </c>
      <c r="V542">
        <f>IF($AG542="","",Config!$B$19)</f>
        <v/>
      </c>
      <c r="W542">
        <f>IF($AG542="","",INDEX('TMP Paste'!$C$2:$C$1601,$AG542))</f>
        <v/>
      </c>
      <c r="X542">
        <f>IF($AG542="","",Config!$B$29)</f>
        <v/>
      </c>
      <c r="Y542">
        <f>IF($AH542="","",INDEX(Calc!$I$2:$I$1601,$AH542)&amp;" - "&amp;INDEX(Calc!$D$2:$D$1601,$AH542)&amp;" koli")</f>
        <v/>
      </c>
      <c r="Z542">
        <f>IF($AG542="","",Config!$B$21)</f>
        <v/>
      </c>
      <c r="AA542">
        <f>IF($AG542="","",Config!$B$22)</f>
        <v/>
      </c>
      <c r="AB542">
        <f>IF($AH542="","",INDEX(Calc!$D$2:$D$1601,$AH542))</f>
        <v/>
      </c>
      <c r="AC542">
        <f>IF($AH542="","",INDEX(Calc!$G$2:$G$1601,$AH542))</f>
        <v/>
      </c>
      <c r="AD542">
        <f>IF($AG542="","",Config!$B$23)</f>
        <v/>
      </c>
      <c r="AE542">
        <f>IF($AG542="","",Config!$B$28)</f>
        <v/>
      </c>
      <c r="AG542">
        <f>IFERROR(MATCH(ROW()-1,Calc!$J$2:$J$1601,0),"")</f>
        <v/>
      </c>
      <c r="AH542">
        <f>IFERROR(MATCH(ROW()-1,Calc!$K$2:$K$1601,0),"")</f>
        <v/>
      </c>
      <c r="AI542">
        <f>IF($AG542="","",SUMIF($AG$2:$AG542,$AG542,$AH$2:$AH542))</f>
        <v/>
      </c>
      <c r="AJ542">
        <f>IF('TMP Paste'!$F542="","",IF('TMP Paste'!$B542="",$AJ541,'TMP Paste'!$B542))</f>
        <v/>
      </c>
      <c r="AK542">
        <f>IF('TMP Paste'!$F542="","",N('TMP Paste'!$G542))</f>
        <v/>
      </c>
      <c r="AL542">
        <f>IF('TMP Paste'!$F542="","",IF('TMP Paste'!$M542="",$AL541,'TMP Paste'!$M542))</f>
        <v/>
      </c>
      <c r="AM542">
        <f>IF('TMP Paste'!$F542="","",IF('TMP Paste'!$N542="",$AM541,'TMP Paste'!$N542))</f>
        <v/>
      </c>
      <c r="AN542">
        <f>IF('TMP Paste'!$F542="","",IF('TMP Paste'!$O542="",$AN541,'TMP Paste'!$O542))</f>
        <v/>
      </c>
      <c r="AO542">
        <f>IF('TMP Paste'!$F542="","",IF('TMP Paste'!$P542="",$AO541,'TMP Paste'!$P542))</f>
        <v/>
      </c>
      <c r="AP542">
        <f>IF($AG542="","",LEN($R542))</f>
        <v/>
      </c>
      <c r="AQ542">
        <f>IF($AG542="","",TRIM(IF(COUNTIFS(Calc!$B$2:$B$1601,ROW()-1,Calc!$C$2:$C$1601,"&lt;1")&gt;0,"Ada PO tanpa Koli - cek TMP. ","")&amp;IF(LEN($R542)&gt;500,"R &gt; 500 karakter.","")))</f>
        <v/>
      </c>
    </row>
    <row r="543">
      <c r="A543">
        <f>IF($AG543="","",INDEX('TMP Paste'!$B$2:$B$1601,$AG543))</f>
        <v/>
      </c>
      <c r="B543">
        <f>IF($AG543="","",Config!$B$14)</f>
        <v/>
      </c>
      <c r="C543">
        <f>IF($AG543="","",Config!$B$15)</f>
        <v/>
      </c>
      <c r="D543">
        <f>IF($AG543="","",INDEX('TMP Paste'!$B$2:$B$1601,$AG543))</f>
        <v/>
      </c>
      <c r="E543">
        <f>IF($AG543="","",Config!$B$27)</f>
        <v/>
      </c>
      <c r="F543">
        <f>IF($AG543="","",Config!$B$9)</f>
        <v/>
      </c>
      <c r="G543">
        <f>IF($AG543="","",Config!$B$10)</f>
        <v/>
      </c>
      <c r="H543">
        <f>IF($AG543="","",Config!$B$11)</f>
        <v/>
      </c>
      <c r="I543">
        <f>IF($AG543="","",Config!$B$16)</f>
        <v/>
      </c>
      <c r="J543">
        <f>IF($AG543="","",INDEX('TMP Paste'!$A$2:$A$1601,$AG543))</f>
        <v/>
      </c>
      <c r="K543">
        <f>IF($AG543="","",INDEX('TMP Paste'!$L$2:$L$1601,$AG543))</f>
        <v/>
      </c>
      <c r="L543">
        <f>IF($AG543="","",INDEX('TMP Paste'!$I$2:$I$1601,$AG543))</f>
        <v/>
      </c>
      <c r="M543">
        <f>IF($AG543="","",Config!$B$16)</f>
        <v/>
      </c>
      <c r="N543">
        <f>IF($AG543="","","")</f>
        <v/>
      </c>
      <c r="O543">
        <f>IF($AG543="","",INDEX('TMP Paste'!$K$2:$K$1601,$AG543))</f>
        <v/>
      </c>
      <c r="P543">
        <f>IF($AG543="","","")</f>
        <v/>
      </c>
      <c r="Q543">
        <f>IF($AG543="","",INDEX('TMP Paste'!$J$2:$J$1601,$AG543))</f>
        <v/>
      </c>
      <c r="R543">
        <f>IF($AG543="","",Config!$B$24)</f>
        <v/>
      </c>
      <c r="S543">
        <f>IF($AG543="","",TEXT(Config!$B$4,"yyyy-mm-dd"))</f>
        <v/>
      </c>
      <c r="T543">
        <f>IF($AG543="","",Config!$B$17)</f>
        <v/>
      </c>
      <c r="U543">
        <f>IF($AG543="","",Config!$B$18)</f>
        <v/>
      </c>
      <c r="V543">
        <f>IF($AG543="","",Config!$B$19)</f>
        <v/>
      </c>
      <c r="W543">
        <f>IF($AG543="","",INDEX('TMP Paste'!$C$2:$C$1601,$AG543))</f>
        <v/>
      </c>
      <c r="X543">
        <f>IF($AG543="","",Config!$B$29)</f>
        <v/>
      </c>
      <c r="Y543">
        <f>IF($AH543="","",INDEX(Calc!$I$2:$I$1601,$AH543)&amp;" - "&amp;INDEX(Calc!$D$2:$D$1601,$AH543)&amp;" koli")</f>
        <v/>
      </c>
      <c r="Z543">
        <f>IF($AG543="","",Config!$B$21)</f>
        <v/>
      </c>
      <c r="AA543">
        <f>IF($AG543="","",Config!$B$22)</f>
        <v/>
      </c>
      <c r="AB543">
        <f>IF($AH543="","",INDEX(Calc!$D$2:$D$1601,$AH543))</f>
        <v/>
      </c>
      <c r="AC543">
        <f>IF($AH543="","",INDEX(Calc!$G$2:$G$1601,$AH543))</f>
        <v/>
      </c>
      <c r="AD543">
        <f>IF($AG543="","",Config!$B$23)</f>
        <v/>
      </c>
      <c r="AE543">
        <f>IF($AG543="","",Config!$B$28)</f>
        <v/>
      </c>
      <c r="AG543">
        <f>IFERROR(MATCH(ROW()-1,Calc!$J$2:$J$1601,0),"")</f>
        <v/>
      </c>
      <c r="AH543">
        <f>IFERROR(MATCH(ROW()-1,Calc!$K$2:$K$1601,0),"")</f>
        <v/>
      </c>
      <c r="AI543">
        <f>IF($AG543="","",SUMIF($AG$2:$AG543,$AG543,$AH$2:$AH543))</f>
        <v/>
      </c>
      <c r="AJ543">
        <f>IF('TMP Paste'!$F543="","",IF('TMP Paste'!$B543="",$AJ542,'TMP Paste'!$B543))</f>
        <v/>
      </c>
      <c r="AK543">
        <f>IF('TMP Paste'!$F543="","",N('TMP Paste'!$G543))</f>
        <v/>
      </c>
      <c r="AL543">
        <f>IF('TMP Paste'!$F543="","",IF('TMP Paste'!$M543="",$AL542,'TMP Paste'!$M543))</f>
        <v/>
      </c>
      <c r="AM543">
        <f>IF('TMP Paste'!$F543="","",IF('TMP Paste'!$N543="",$AM542,'TMP Paste'!$N543))</f>
        <v/>
      </c>
      <c r="AN543">
        <f>IF('TMP Paste'!$F543="","",IF('TMP Paste'!$O543="",$AN542,'TMP Paste'!$O543))</f>
        <v/>
      </c>
      <c r="AO543">
        <f>IF('TMP Paste'!$F543="","",IF('TMP Paste'!$P543="",$AO542,'TMP Paste'!$P543))</f>
        <v/>
      </c>
      <c r="AP543">
        <f>IF($AG543="","",LEN($R543))</f>
        <v/>
      </c>
      <c r="AQ543">
        <f>IF($AG543="","",TRIM(IF(COUNTIFS(Calc!$B$2:$B$1601,ROW()-1,Calc!$C$2:$C$1601,"&lt;1")&gt;0,"Ada PO tanpa Koli - cek TMP. ","")&amp;IF(LEN($R543)&gt;500,"R &gt; 500 karakter.","")))</f>
        <v/>
      </c>
    </row>
    <row r="544">
      <c r="A544">
        <f>IF($AG544="","",INDEX('TMP Paste'!$B$2:$B$1601,$AG544))</f>
        <v/>
      </c>
      <c r="B544">
        <f>IF($AG544="","",Config!$B$14)</f>
        <v/>
      </c>
      <c r="C544">
        <f>IF($AG544="","",Config!$B$15)</f>
        <v/>
      </c>
      <c r="D544">
        <f>IF($AG544="","",INDEX('TMP Paste'!$B$2:$B$1601,$AG544))</f>
        <v/>
      </c>
      <c r="E544">
        <f>IF($AG544="","",Config!$B$27)</f>
        <v/>
      </c>
      <c r="F544">
        <f>IF($AG544="","",Config!$B$9)</f>
        <v/>
      </c>
      <c r="G544">
        <f>IF($AG544="","",Config!$B$10)</f>
        <v/>
      </c>
      <c r="H544">
        <f>IF($AG544="","",Config!$B$11)</f>
        <v/>
      </c>
      <c r="I544">
        <f>IF($AG544="","",Config!$B$16)</f>
        <v/>
      </c>
      <c r="J544">
        <f>IF($AG544="","",INDEX('TMP Paste'!$A$2:$A$1601,$AG544))</f>
        <v/>
      </c>
      <c r="K544">
        <f>IF($AG544="","",INDEX('TMP Paste'!$L$2:$L$1601,$AG544))</f>
        <v/>
      </c>
      <c r="L544">
        <f>IF($AG544="","",INDEX('TMP Paste'!$I$2:$I$1601,$AG544))</f>
        <v/>
      </c>
      <c r="M544">
        <f>IF($AG544="","",Config!$B$16)</f>
        <v/>
      </c>
      <c r="N544">
        <f>IF($AG544="","","")</f>
        <v/>
      </c>
      <c r="O544">
        <f>IF($AG544="","",INDEX('TMP Paste'!$K$2:$K$1601,$AG544))</f>
        <v/>
      </c>
      <c r="P544">
        <f>IF($AG544="","","")</f>
        <v/>
      </c>
      <c r="Q544">
        <f>IF($AG544="","",INDEX('TMP Paste'!$J$2:$J$1601,$AG544))</f>
        <v/>
      </c>
      <c r="R544">
        <f>IF($AG544="","",Config!$B$24)</f>
        <v/>
      </c>
      <c r="S544">
        <f>IF($AG544="","",TEXT(Config!$B$4,"yyyy-mm-dd"))</f>
        <v/>
      </c>
      <c r="T544">
        <f>IF($AG544="","",Config!$B$17)</f>
        <v/>
      </c>
      <c r="U544">
        <f>IF($AG544="","",Config!$B$18)</f>
        <v/>
      </c>
      <c r="V544">
        <f>IF($AG544="","",Config!$B$19)</f>
        <v/>
      </c>
      <c r="W544">
        <f>IF($AG544="","",INDEX('TMP Paste'!$C$2:$C$1601,$AG544))</f>
        <v/>
      </c>
      <c r="X544">
        <f>IF($AG544="","",Config!$B$29)</f>
        <v/>
      </c>
      <c r="Y544">
        <f>IF($AH544="","",INDEX(Calc!$I$2:$I$1601,$AH544)&amp;" - "&amp;INDEX(Calc!$D$2:$D$1601,$AH544)&amp;" koli")</f>
        <v/>
      </c>
      <c r="Z544">
        <f>IF($AG544="","",Config!$B$21)</f>
        <v/>
      </c>
      <c r="AA544">
        <f>IF($AG544="","",Config!$B$22)</f>
        <v/>
      </c>
      <c r="AB544">
        <f>IF($AH544="","",INDEX(Calc!$D$2:$D$1601,$AH544))</f>
        <v/>
      </c>
      <c r="AC544">
        <f>IF($AH544="","",INDEX(Calc!$G$2:$G$1601,$AH544))</f>
        <v/>
      </c>
      <c r="AD544">
        <f>IF($AG544="","",Config!$B$23)</f>
        <v/>
      </c>
      <c r="AE544">
        <f>IF($AG544="","",Config!$B$28)</f>
        <v/>
      </c>
      <c r="AG544">
        <f>IFERROR(MATCH(ROW()-1,Calc!$J$2:$J$1601,0),"")</f>
        <v/>
      </c>
      <c r="AH544">
        <f>IFERROR(MATCH(ROW()-1,Calc!$K$2:$K$1601,0),"")</f>
        <v/>
      </c>
      <c r="AI544">
        <f>IF($AG544="","",SUMIF($AG$2:$AG544,$AG544,$AH$2:$AH544))</f>
        <v/>
      </c>
      <c r="AJ544">
        <f>IF('TMP Paste'!$F544="","",IF('TMP Paste'!$B544="",$AJ543,'TMP Paste'!$B544))</f>
        <v/>
      </c>
      <c r="AK544">
        <f>IF('TMP Paste'!$F544="","",N('TMP Paste'!$G544))</f>
        <v/>
      </c>
      <c r="AL544">
        <f>IF('TMP Paste'!$F544="","",IF('TMP Paste'!$M544="",$AL543,'TMP Paste'!$M544))</f>
        <v/>
      </c>
      <c r="AM544">
        <f>IF('TMP Paste'!$F544="","",IF('TMP Paste'!$N544="",$AM543,'TMP Paste'!$N544))</f>
        <v/>
      </c>
      <c r="AN544">
        <f>IF('TMP Paste'!$F544="","",IF('TMP Paste'!$O544="",$AN543,'TMP Paste'!$O544))</f>
        <v/>
      </c>
      <c r="AO544">
        <f>IF('TMP Paste'!$F544="","",IF('TMP Paste'!$P544="",$AO543,'TMP Paste'!$P544))</f>
        <v/>
      </c>
      <c r="AP544">
        <f>IF($AG544="","",LEN($R544))</f>
        <v/>
      </c>
      <c r="AQ544">
        <f>IF($AG544="","",TRIM(IF(COUNTIFS(Calc!$B$2:$B$1601,ROW()-1,Calc!$C$2:$C$1601,"&lt;1")&gt;0,"Ada PO tanpa Koli - cek TMP. ","")&amp;IF(LEN($R544)&gt;500,"R &gt; 500 karakter.","")))</f>
        <v/>
      </c>
    </row>
    <row r="545">
      <c r="A545">
        <f>IF($AG545="","",INDEX('TMP Paste'!$B$2:$B$1601,$AG545))</f>
        <v/>
      </c>
      <c r="B545">
        <f>IF($AG545="","",Config!$B$14)</f>
        <v/>
      </c>
      <c r="C545">
        <f>IF($AG545="","",Config!$B$15)</f>
        <v/>
      </c>
      <c r="D545">
        <f>IF($AG545="","",INDEX('TMP Paste'!$B$2:$B$1601,$AG545))</f>
        <v/>
      </c>
      <c r="E545">
        <f>IF($AG545="","",Config!$B$27)</f>
        <v/>
      </c>
      <c r="F545">
        <f>IF($AG545="","",Config!$B$9)</f>
        <v/>
      </c>
      <c r="G545">
        <f>IF($AG545="","",Config!$B$10)</f>
        <v/>
      </c>
      <c r="H545">
        <f>IF($AG545="","",Config!$B$11)</f>
        <v/>
      </c>
      <c r="I545">
        <f>IF($AG545="","",Config!$B$16)</f>
        <v/>
      </c>
      <c r="J545">
        <f>IF($AG545="","",INDEX('TMP Paste'!$A$2:$A$1601,$AG545))</f>
        <v/>
      </c>
      <c r="K545">
        <f>IF($AG545="","",INDEX('TMP Paste'!$L$2:$L$1601,$AG545))</f>
        <v/>
      </c>
      <c r="L545">
        <f>IF($AG545="","",INDEX('TMP Paste'!$I$2:$I$1601,$AG545))</f>
        <v/>
      </c>
      <c r="M545">
        <f>IF($AG545="","",Config!$B$16)</f>
        <v/>
      </c>
      <c r="N545">
        <f>IF($AG545="","","")</f>
        <v/>
      </c>
      <c r="O545">
        <f>IF($AG545="","",INDEX('TMP Paste'!$K$2:$K$1601,$AG545))</f>
        <v/>
      </c>
      <c r="P545">
        <f>IF($AG545="","","")</f>
        <v/>
      </c>
      <c r="Q545">
        <f>IF($AG545="","",INDEX('TMP Paste'!$J$2:$J$1601,$AG545))</f>
        <v/>
      </c>
      <c r="R545">
        <f>IF($AG545="","",Config!$B$24)</f>
        <v/>
      </c>
      <c r="S545">
        <f>IF($AG545="","",TEXT(Config!$B$4,"yyyy-mm-dd"))</f>
        <v/>
      </c>
      <c r="T545">
        <f>IF($AG545="","",Config!$B$17)</f>
        <v/>
      </c>
      <c r="U545">
        <f>IF($AG545="","",Config!$B$18)</f>
        <v/>
      </c>
      <c r="V545">
        <f>IF($AG545="","",Config!$B$19)</f>
        <v/>
      </c>
      <c r="W545">
        <f>IF($AG545="","",INDEX('TMP Paste'!$C$2:$C$1601,$AG545))</f>
        <v/>
      </c>
      <c r="X545">
        <f>IF($AG545="","",Config!$B$29)</f>
        <v/>
      </c>
      <c r="Y545">
        <f>IF($AH545="","",INDEX(Calc!$I$2:$I$1601,$AH545)&amp;" - "&amp;INDEX(Calc!$D$2:$D$1601,$AH545)&amp;" koli")</f>
        <v/>
      </c>
      <c r="Z545">
        <f>IF($AG545="","",Config!$B$21)</f>
        <v/>
      </c>
      <c r="AA545">
        <f>IF($AG545="","",Config!$B$22)</f>
        <v/>
      </c>
      <c r="AB545">
        <f>IF($AH545="","",INDEX(Calc!$D$2:$D$1601,$AH545))</f>
        <v/>
      </c>
      <c r="AC545">
        <f>IF($AH545="","",INDEX(Calc!$G$2:$G$1601,$AH545))</f>
        <v/>
      </c>
      <c r="AD545">
        <f>IF($AG545="","",Config!$B$23)</f>
        <v/>
      </c>
      <c r="AE545">
        <f>IF($AG545="","",Config!$B$28)</f>
        <v/>
      </c>
      <c r="AG545">
        <f>IFERROR(MATCH(ROW()-1,Calc!$J$2:$J$1601,0),"")</f>
        <v/>
      </c>
      <c r="AH545">
        <f>IFERROR(MATCH(ROW()-1,Calc!$K$2:$K$1601,0),"")</f>
        <v/>
      </c>
      <c r="AI545">
        <f>IF($AG545="","",SUMIF($AG$2:$AG545,$AG545,$AH$2:$AH545))</f>
        <v/>
      </c>
      <c r="AJ545">
        <f>IF('TMP Paste'!$F545="","",IF('TMP Paste'!$B545="",$AJ544,'TMP Paste'!$B545))</f>
        <v/>
      </c>
      <c r="AK545">
        <f>IF('TMP Paste'!$F545="","",N('TMP Paste'!$G545))</f>
        <v/>
      </c>
      <c r="AL545">
        <f>IF('TMP Paste'!$F545="","",IF('TMP Paste'!$M545="",$AL544,'TMP Paste'!$M545))</f>
        <v/>
      </c>
      <c r="AM545">
        <f>IF('TMP Paste'!$F545="","",IF('TMP Paste'!$N545="",$AM544,'TMP Paste'!$N545))</f>
        <v/>
      </c>
      <c r="AN545">
        <f>IF('TMP Paste'!$F545="","",IF('TMP Paste'!$O545="",$AN544,'TMP Paste'!$O545))</f>
        <v/>
      </c>
      <c r="AO545">
        <f>IF('TMP Paste'!$F545="","",IF('TMP Paste'!$P545="",$AO544,'TMP Paste'!$P545))</f>
        <v/>
      </c>
      <c r="AP545">
        <f>IF($AG545="","",LEN($R545))</f>
        <v/>
      </c>
      <c r="AQ545">
        <f>IF($AG545="","",TRIM(IF(COUNTIFS(Calc!$B$2:$B$1601,ROW()-1,Calc!$C$2:$C$1601,"&lt;1")&gt;0,"Ada PO tanpa Koli - cek TMP. ","")&amp;IF(LEN($R545)&gt;500,"R &gt; 500 karakter.","")))</f>
        <v/>
      </c>
    </row>
    <row r="546">
      <c r="A546">
        <f>IF($AG546="","",INDEX('TMP Paste'!$B$2:$B$1601,$AG546))</f>
        <v/>
      </c>
      <c r="B546">
        <f>IF($AG546="","",Config!$B$14)</f>
        <v/>
      </c>
      <c r="C546">
        <f>IF($AG546="","",Config!$B$15)</f>
        <v/>
      </c>
      <c r="D546">
        <f>IF($AG546="","",INDEX('TMP Paste'!$B$2:$B$1601,$AG546))</f>
        <v/>
      </c>
      <c r="E546">
        <f>IF($AG546="","",Config!$B$27)</f>
        <v/>
      </c>
      <c r="F546">
        <f>IF($AG546="","",Config!$B$9)</f>
        <v/>
      </c>
      <c r="G546">
        <f>IF($AG546="","",Config!$B$10)</f>
        <v/>
      </c>
      <c r="H546">
        <f>IF($AG546="","",Config!$B$11)</f>
        <v/>
      </c>
      <c r="I546">
        <f>IF($AG546="","",Config!$B$16)</f>
        <v/>
      </c>
      <c r="J546">
        <f>IF($AG546="","",INDEX('TMP Paste'!$A$2:$A$1601,$AG546))</f>
        <v/>
      </c>
      <c r="K546">
        <f>IF($AG546="","",INDEX('TMP Paste'!$L$2:$L$1601,$AG546))</f>
        <v/>
      </c>
      <c r="L546">
        <f>IF($AG546="","",INDEX('TMP Paste'!$I$2:$I$1601,$AG546))</f>
        <v/>
      </c>
      <c r="M546">
        <f>IF($AG546="","",Config!$B$16)</f>
        <v/>
      </c>
      <c r="N546">
        <f>IF($AG546="","","")</f>
        <v/>
      </c>
      <c r="O546">
        <f>IF($AG546="","",INDEX('TMP Paste'!$K$2:$K$1601,$AG546))</f>
        <v/>
      </c>
      <c r="P546">
        <f>IF($AG546="","","")</f>
        <v/>
      </c>
      <c r="Q546">
        <f>IF($AG546="","",INDEX('TMP Paste'!$J$2:$J$1601,$AG546))</f>
        <v/>
      </c>
      <c r="R546">
        <f>IF($AG546="","",Config!$B$24)</f>
        <v/>
      </c>
      <c r="S546">
        <f>IF($AG546="","",TEXT(Config!$B$4,"yyyy-mm-dd"))</f>
        <v/>
      </c>
      <c r="T546">
        <f>IF($AG546="","",Config!$B$17)</f>
        <v/>
      </c>
      <c r="U546">
        <f>IF($AG546="","",Config!$B$18)</f>
        <v/>
      </c>
      <c r="V546">
        <f>IF($AG546="","",Config!$B$19)</f>
        <v/>
      </c>
      <c r="W546">
        <f>IF($AG546="","",INDEX('TMP Paste'!$C$2:$C$1601,$AG546))</f>
        <v/>
      </c>
      <c r="X546">
        <f>IF($AG546="","",Config!$B$29)</f>
        <v/>
      </c>
      <c r="Y546">
        <f>IF($AH546="","",INDEX(Calc!$I$2:$I$1601,$AH546)&amp;" - "&amp;INDEX(Calc!$D$2:$D$1601,$AH546)&amp;" koli")</f>
        <v/>
      </c>
      <c r="Z546">
        <f>IF($AG546="","",Config!$B$21)</f>
        <v/>
      </c>
      <c r="AA546">
        <f>IF($AG546="","",Config!$B$22)</f>
        <v/>
      </c>
      <c r="AB546">
        <f>IF($AH546="","",INDEX(Calc!$D$2:$D$1601,$AH546))</f>
        <v/>
      </c>
      <c r="AC546">
        <f>IF($AH546="","",INDEX(Calc!$G$2:$G$1601,$AH546))</f>
        <v/>
      </c>
      <c r="AD546">
        <f>IF($AG546="","",Config!$B$23)</f>
        <v/>
      </c>
      <c r="AE546">
        <f>IF($AG546="","",Config!$B$28)</f>
        <v/>
      </c>
      <c r="AG546">
        <f>IFERROR(MATCH(ROW()-1,Calc!$J$2:$J$1601,0),"")</f>
        <v/>
      </c>
      <c r="AH546">
        <f>IFERROR(MATCH(ROW()-1,Calc!$K$2:$K$1601,0),"")</f>
        <v/>
      </c>
      <c r="AI546">
        <f>IF($AG546="","",SUMIF($AG$2:$AG546,$AG546,$AH$2:$AH546))</f>
        <v/>
      </c>
      <c r="AJ546">
        <f>IF('TMP Paste'!$F546="","",IF('TMP Paste'!$B546="",$AJ545,'TMP Paste'!$B546))</f>
        <v/>
      </c>
      <c r="AK546">
        <f>IF('TMP Paste'!$F546="","",N('TMP Paste'!$G546))</f>
        <v/>
      </c>
      <c r="AL546">
        <f>IF('TMP Paste'!$F546="","",IF('TMP Paste'!$M546="",$AL545,'TMP Paste'!$M546))</f>
        <v/>
      </c>
      <c r="AM546">
        <f>IF('TMP Paste'!$F546="","",IF('TMP Paste'!$N546="",$AM545,'TMP Paste'!$N546))</f>
        <v/>
      </c>
      <c r="AN546">
        <f>IF('TMP Paste'!$F546="","",IF('TMP Paste'!$O546="",$AN545,'TMP Paste'!$O546))</f>
        <v/>
      </c>
      <c r="AO546">
        <f>IF('TMP Paste'!$F546="","",IF('TMP Paste'!$P546="",$AO545,'TMP Paste'!$P546))</f>
        <v/>
      </c>
      <c r="AP546">
        <f>IF($AG546="","",LEN($R546))</f>
        <v/>
      </c>
      <c r="AQ546">
        <f>IF($AG546="","",TRIM(IF(COUNTIFS(Calc!$B$2:$B$1601,ROW()-1,Calc!$C$2:$C$1601,"&lt;1")&gt;0,"Ada PO tanpa Koli - cek TMP. ","")&amp;IF(LEN($R546)&gt;500,"R &gt; 500 karakter.","")))</f>
        <v/>
      </c>
    </row>
    <row r="547">
      <c r="A547">
        <f>IF($AG547="","",INDEX('TMP Paste'!$B$2:$B$1601,$AG547))</f>
        <v/>
      </c>
      <c r="B547">
        <f>IF($AG547="","",Config!$B$14)</f>
        <v/>
      </c>
      <c r="C547">
        <f>IF($AG547="","",Config!$B$15)</f>
        <v/>
      </c>
      <c r="D547">
        <f>IF($AG547="","",INDEX('TMP Paste'!$B$2:$B$1601,$AG547))</f>
        <v/>
      </c>
      <c r="E547">
        <f>IF($AG547="","",Config!$B$27)</f>
        <v/>
      </c>
      <c r="F547">
        <f>IF($AG547="","",Config!$B$9)</f>
        <v/>
      </c>
      <c r="G547">
        <f>IF($AG547="","",Config!$B$10)</f>
        <v/>
      </c>
      <c r="H547">
        <f>IF($AG547="","",Config!$B$11)</f>
        <v/>
      </c>
      <c r="I547">
        <f>IF($AG547="","",Config!$B$16)</f>
        <v/>
      </c>
      <c r="J547">
        <f>IF($AG547="","",INDEX('TMP Paste'!$A$2:$A$1601,$AG547))</f>
        <v/>
      </c>
      <c r="K547">
        <f>IF($AG547="","",INDEX('TMP Paste'!$L$2:$L$1601,$AG547))</f>
        <v/>
      </c>
      <c r="L547">
        <f>IF($AG547="","",INDEX('TMP Paste'!$I$2:$I$1601,$AG547))</f>
        <v/>
      </c>
      <c r="M547">
        <f>IF($AG547="","",Config!$B$16)</f>
        <v/>
      </c>
      <c r="N547">
        <f>IF($AG547="","","")</f>
        <v/>
      </c>
      <c r="O547">
        <f>IF($AG547="","",INDEX('TMP Paste'!$K$2:$K$1601,$AG547))</f>
        <v/>
      </c>
      <c r="P547">
        <f>IF($AG547="","","")</f>
        <v/>
      </c>
      <c r="Q547">
        <f>IF($AG547="","",INDEX('TMP Paste'!$J$2:$J$1601,$AG547))</f>
        <v/>
      </c>
      <c r="R547">
        <f>IF($AG547="","",Config!$B$24)</f>
        <v/>
      </c>
      <c r="S547">
        <f>IF($AG547="","",TEXT(Config!$B$4,"yyyy-mm-dd"))</f>
        <v/>
      </c>
      <c r="T547">
        <f>IF($AG547="","",Config!$B$17)</f>
        <v/>
      </c>
      <c r="U547">
        <f>IF($AG547="","",Config!$B$18)</f>
        <v/>
      </c>
      <c r="V547">
        <f>IF($AG547="","",Config!$B$19)</f>
        <v/>
      </c>
      <c r="W547">
        <f>IF($AG547="","",INDEX('TMP Paste'!$C$2:$C$1601,$AG547))</f>
        <v/>
      </c>
      <c r="X547">
        <f>IF($AG547="","",Config!$B$29)</f>
        <v/>
      </c>
      <c r="Y547">
        <f>IF($AH547="","",INDEX(Calc!$I$2:$I$1601,$AH547)&amp;" - "&amp;INDEX(Calc!$D$2:$D$1601,$AH547)&amp;" koli")</f>
        <v/>
      </c>
      <c r="Z547">
        <f>IF($AG547="","",Config!$B$21)</f>
        <v/>
      </c>
      <c r="AA547">
        <f>IF($AG547="","",Config!$B$22)</f>
        <v/>
      </c>
      <c r="AB547">
        <f>IF($AH547="","",INDEX(Calc!$D$2:$D$1601,$AH547))</f>
        <v/>
      </c>
      <c r="AC547">
        <f>IF($AH547="","",INDEX(Calc!$G$2:$G$1601,$AH547))</f>
        <v/>
      </c>
      <c r="AD547">
        <f>IF($AG547="","",Config!$B$23)</f>
        <v/>
      </c>
      <c r="AE547">
        <f>IF($AG547="","",Config!$B$28)</f>
        <v/>
      </c>
      <c r="AG547">
        <f>IFERROR(MATCH(ROW()-1,Calc!$J$2:$J$1601,0),"")</f>
        <v/>
      </c>
      <c r="AH547">
        <f>IFERROR(MATCH(ROW()-1,Calc!$K$2:$K$1601,0),"")</f>
        <v/>
      </c>
      <c r="AI547">
        <f>IF($AG547="","",SUMIF($AG$2:$AG547,$AG547,$AH$2:$AH547))</f>
        <v/>
      </c>
      <c r="AJ547">
        <f>IF('TMP Paste'!$F547="","",IF('TMP Paste'!$B547="",$AJ546,'TMP Paste'!$B547))</f>
        <v/>
      </c>
      <c r="AK547">
        <f>IF('TMP Paste'!$F547="","",N('TMP Paste'!$G547))</f>
        <v/>
      </c>
      <c r="AL547">
        <f>IF('TMP Paste'!$F547="","",IF('TMP Paste'!$M547="",$AL546,'TMP Paste'!$M547))</f>
        <v/>
      </c>
      <c r="AM547">
        <f>IF('TMP Paste'!$F547="","",IF('TMP Paste'!$N547="",$AM546,'TMP Paste'!$N547))</f>
        <v/>
      </c>
      <c r="AN547">
        <f>IF('TMP Paste'!$F547="","",IF('TMP Paste'!$O547="",$AN546,'TMP Paste'!$O547))</f>
        <v/>
      </c>
      <c r="AO547">
        <f>IF('TMP Paste'!$F547="","",IF('TMP Paste'!$P547="",$AO546,'TMP Paste'!$P547))</f>
        <v/>
      </c>
      <c r="AP547">
        <f>IF($AG547="","",LEN($R547))</f>
        <v/>
      </c>
      <c r="AQ547">
        <f>IF($AG547="","",TRIM(IF(COUNTIFS(Calc!$B$2:$B$1601,ROW()-1,Calc!$C$2:$C$1601,"&lt;1")&gt;0,"Ada PO tanpa Koli - cek TMP. ","")&amp;IF(LEN($R547)&gt;500,"R &gt; 500 karakter.","")))</f>
        <v/>
      </c>
    </row>
    <row r="548">
      <c r="A548">
        <f>IF($AG548="","",INDEX('TMP Paste'!$B$2:$B$1601,$AG548))</f>
        <v/>
      </c>
      <c r="B548">
        <f>IF($AG548="","",Config!$B$14)</f>
        <v/>
      </c>
      <c r="C548">
        <f>IF($AG548="","",Config!$B$15)</f>
        <v/>
      </c>
      <c r="D548">
        <f>IF($AG548="","",INDEX('TMP Paste'!$B$2:$B$1601,$AG548))</f>
        <v/>
      </c>
      <c r="E548">
        <f>IF($AG548="","",Config!$B$27)</f>
        <v/>
      </c>
      <c r="F548">
        <f>IF($AG548="","",Config!$B$9)</f>
        <v/>
      </c>
      <c r="G548">
        <f>IF($AG548="","",Config!$B$10)</f>
        <v/>
      </c>
      <c r="H548">
        <f>IF($AG548="","",Config!$B$11)</f>
        <v/>
      </c>
      <c r="I548">
        <f>IF($AG548="","",Config!$B$16)</f>
        <v/>
      </c>
      <c r="J548">
        <f>IF($AG548="","",INDEX('TMP Paste'!$A$2:$A$1601,$AG548))</f>
        <v/>
      </c>
      <c r="K548">
        <f>IF($AG548="","",INDEX('TMP Paste'!$L$2:$L$1601,$AG548))</f>
        <v/>
      </c>
      <c r="L548">
        <f>IF($AG548="","",INDEX('TMP Paste'!$I$2:$I$1601,$AG548))</f>
        <v/>
      </c>
      <c r="M548">
        <f>IF($AG548="","",Config!$B$16)</f>
        <v/>
      </c>
      <c r="N548">
        <f>IF($AG548="","","")</f>
        <v/>
      </c>
      <c r="O548">
        <f>IF($AG548="","",INDEX('TMP Paste'!$K$2:$K$1601,$AG548))</f>
        <v/>
      </c>
      <c r="P548">
        <f>IF($AG548="","","")</f>
        <v/>
      </c>
      <c r="Q548">
        <f>IF($AG548="","",INDEX('TMP Paste'!$J$2:$J$1601,$AG548))</f>
        <v/>
      </c>
      <c r="R548">
        <f>IF($AG548="","",Config!$B$24)</f>
        <v/>
      </c>
      <c r="S548">
        <f>IF($AG548="","",TEXT(Config!$B$4,"yyyy-mm-dd"))</f>
        <v/>
      </c>
      <c r="T548">
        <f>IF($AG548="","",Config!$B$17)</f>
        <v/>
      </c>
      <c r="U548">
        <f>IF($AG548="","",Config!$B$18)</f>
        <v/>
      </c>
      <c r="V548">
        <f>IF($AG548="","",Config!$B$19)</f>
        <v/>
      </c>
      <c r="W548">
        <f>IF($AG548="","",INDEX('TMP Paste'!$C$2:$C$1601,$AG548))</f>
        <v/>
      </c>
      <c r="X548">
        <f>IF($AG548="","",Config!$B$29)</f>
        <v/>
      </c>
      <c r="Y548">
        <f>IF($AH548="","",INDEX(Calc!$I$2:$I$1601,$AH548)&amp;" - "&amp;INDEX(Calc!$D$2:$D$1601,$AH548)&amp;" koli")</f>
        <v/>
      </c>
      <c r="Z548">
        <f>IF($AG548="","",Config!$B$21)</f>
        <v/>
      </c>
      <c r="AA548">
        <f>IF($AG548="","",Config!$B$22)</f>
        <v/>
      </c>
      <c r="AB548">
        <f>IF($AH548="","",INDEX(Calc!$D$2:$D$1601,$AH548))</f>
        <v/>
      </c>
      <c r="AC548">
        <f>IF($AH548="","",INDEX(Calc!$G$2:$G$1601,$AH548))</f>
        <v/>
      </c>
      <c r="AD548">
        <f>IF($AG548="","",Config!$B$23)</f>
        <v/>
      </c>
      <c r="AE548">
        <f>IF($AG548="","",Config!$B$28)</f>
        <v/>
      </c>
      <c r="AG548">
        <f>IFERROR(MATCH(ROW()-1,Calc!$J$2:$J$1601,0),"")</f>
        <v/>
      </c>
      <c r="AH548">
        <f>IFERROR(MATCH(ROW()-1,Calc!$K$2:$K$1601,0),"")</f>
        <v/>
      </c>
      <c r="AI548">
        <f>IF($AG548="","",SUMIF($AG$2:$AG548,$AG548,$AH$2:$AH548))</f>
        <v/>
      </c>
      <c r="AJ548">
        <f>IF('TMP Paste'!$F548="","",IF('TMP Paste'!$B548="",$AJ547,'TMP Paste'!$B548))</f>
        <v/>
      </c>
      <c r="AK548">
        <f>IF('TMP Paste'!$F548="","",N('TMP Paste'!$G548))</f>
        <v/>
      </c>
      <c r="AL548">
        <f>IF('TMP Paste'!$F548="","",IF('TMP Paste'!$M548="",$AL547,'TMP Paste'!$M548))</f>
        <v/>
      </c>
      <c r="AM548">
        <f>IF('TMP Paste'!$F548="","",IF('TMP Paste'!$N548="",$AM547,'TMP Paste'!$N548))</f>
        <v/>
      </c>
      <c r="AN548">
        <f>IF('TMP Paste'!$F548="","",IF('TMP Paste'!$O548="",$AN547,'TMP Paste'!$O548))</f>
        <v/>
      </c>
      <c r="AO548">
        <f>IF('TMP Paste'!$F548="","",IF('TMP Paste'!$P548="",$AO547,'TMP Paste'!$P548))</f>
        <v/>
      </c>
      <c r="AP548">
        <f>IF($AG548="","",LEN($R548))</f>
        <v/>
      </c>
      <c r="AQ548">
        <f>IF($AG548="","",TRIM(IF(COUNTIFS(Calc!$B$2:$B$1601,ROW()-1,Calc!$C$2:$C$1601,"&lt;1")&gt;0,"Ada PO tanpa Koli - cek TMP. ","")&amp;IF(LEN($R548)&gt;500,"R &gt; 500 karakter.","")))</f>
        <v/>
      </c>
    </row>
    <row r="549">
      <c r="A549">
        <f>IF($AG549="","",INDEX('TMP Paste'!$B$2:$B$1601,$AG549))</f>
        <v/>
      </c>
      <c r="B549">
        <f>IF($AG549="","",Config!$B$14)</f>
        <v/>
      </c>
      <c r="C549">
        <f>IF($AG549="","",Config!$B$15)</f>
        <v/>
      </c>
      <c r="D549">
        <f>IF($AG549="","",INDEX('TMP Paste'!$B$2:$B$1601,$AG549))</f>
        <v/>
      </c>
      <c r="E549">
        <f>IF($AG549="","",Config!$B$27)</f>
        <v/>
      </c>
      <c r="F549">
        <f>IF($AG549="","",Config!$B$9)</f>
        <v/>
      </c>
      <c r="G549">
        <f>IF($AG549="","",Config!$B$10)</f>
        <v/>
      </c>
      <c r="H549">
        <f>IF($AG549="","",Config!$B$11)</f>
        <v/>
      </c>
      <c r="I549">
        <f>IF($AG549="","",Config!$B$16)</f>
        <v/>
      </c>
      <c r="J549">
        <f>IF($AG549="","",INDEX('TMP Paste'!$A$2:$A$1601,$AG549))</f>
        <v/>
      </c>
      <c r="K549">
        <f>IF($AG549="","",INDEX('TMP Paste'!$L$2:$L$1601,$AG549))</f>
        <v/>
      </c>
      <c r="L549">
        <f>IF($AG549="","",INDEX('TMP Paste'!$I$2:$I$1601,$AG549))</f>
        <v/>
      </c>
      <c r="M549">
        <f>IF($AG549="","",Config!$B$16)</f>
        <v/>
      </c>
      <c r="N549">
        <f>IF($AG549="","","")</f>
        <v/>
      </c>
      <c r="O549">
        <f>IF($AG549="","",INDEX('TMP Paste'!$K$2:$K$1601,$AG549))</f>
        <v/>
      </c>
      <c r="P549">
        <f>IF($AG549="","","")</f>
        <v/>
      </c>
      <c r="Q549">
        <f>IF($AG549="","",INDEX('TMP Paste'!$J$2:$J$1601,$AG549))</f>
        <v/>
      </c>
      <c r="R549">
        <f>IF($AG549="","",Config!$B$24)</f>
        <v/>
      </c>
      <c r="S549">
        <f>IF($AG549="","",TEXT(Config!$B$4,"yyyy-mm-dd"))</f>
        <v/>
      </c>
      <c r="T549">
        <f>IF($AG549="","",Config!$B$17)</f>
        <v/>
      </c>
      <c r="U549">
        <f>IF($AG549="","",Config!$B$18)</f>
        <v/>
      </c>
      <c r="V549">
        <f>IF($AG549="","",Config!$B$19)</f>
        <v/>
      </c>
      <c r="W549">
        <f>IF($AG549="","",INDEX('TMP Paste'!$C$2:$C$1601,$AG549))</f>
        <v/>
      </c>
      <c r="X549">
        <f>IF($AG549="","",Config!$B$29)</f>
        <v/>
      </c>
      <c r="Y549">
        <f>IF($AH549="","",INDEX(Calc!$I$2:$I$1601,$AH549)&amp;" - "&amp;INDEX(Calc!$D$2:$D$1601,$AH549)&amp;" koli")</f>
        <v/>
      </c>
      <c r="Z549">
        <f>IF($AG549="","",Config!$B$21)</f>
        <v/>
      </c>
      <c r="AA549">
        <f>IF($AG549="","",Config!$B$22)</f>
        <v/>
      </c>
      <c r="AB549">
        <f>IF($AH549="","",INDEX(Calc!$D$2:$D$1601,$AH549))</f>
        <v/>
      </c>
      <c r="AC549">
        <f>IF($AH549="","",INDEX(Calc!$G$2:$G$1601,$AH549))</f>
        <v/>
      </c>
      <c r="AD549">
        <f>IF($AG549="","",Config!$B$23)</f>
        <v/>
      </c>
      <c r="AE549">
        <f>IF($AG549="","",Config!$B$28)</f>
        <v/>
      </c>
      <c r="AG549">
        <f>IFERROR(MATCH(ROW()-1,Calc!$J$2:$J$1601,0),"")</f>
        <v/>
      </c>
      <c r="AH549">
        <f>IFERROR(MATCH(ROW()-1,Calc!$K$2:$K$1601,0),"")</f>
        <v/>
      </c>
      <c r="AI549">
        <f>IF($AG549="","",SUMIF($AG$2:$AG549,$AG549,$AH$2:$AH549))</f>
        <v/>
      </c>
      <c r="AJ549">
        <f>IF('TMP Paste'!$F549="","",IF('TMP Paste'!$B549="",$AJ548,'TMP Paste'!$B549))</f>
        <v/>
      </c>
      <c r="AK549">
        <f>IF('TMP Paste'!$F549="","",N('TMP Paste'!$G549))</f>
        <v/>
      </c>
      <c r="AL549">
        <f>IF('TMP Paste'!$F549="","",IF('TMP Paste'!$M549="",$AL548,'TMP Paste'!$M549))</f>
        <v/>
      </c>
      <c r="AM549">
        <f>IF('TMP Paste'!$F549="","",IF('TMP Paste'!$N549="",$AM548,'TMP Paste'!$N549))</f>
        <v/>
      </c>
      <c r="AN549">
        <f>IF('TMP Paste'!$F549="","",IF('TMP Paste'!$O549="",$AN548,'TMP Paste'!$O549))</f>
        <v/>
      </c>
      <c r="AO549">
        <f>IF('TMP Paste'!$F549="","",IF('TMP Paste'!$P549="",$AO548,'TMP Paste'!$P549))</f>
        <v/>
      </c>
      <c r="AP549">
        <f>IF($AG549="","",LEN($R549))</f>
        <v/>
      </c>
      <c r="AQ549">
        <f>IF($AG549="","",TRIM(IF(COUNTIFS(Calc!$B$2:$B$1601,ROW()-1,Calc!$C$2:$C$1601,"&lt;1")&gt;0,"Ada PO tanpa Koli - cek TMP. ","")&amp;IF(LEN($R549)&gt;500,"R &gt; 500 karakter.","")))</f>
        <v/>
      </c>
    </row>
    <row r="550">
      <c r="A550">
        <f>IF($AG550="","",INDEX('TMP Paste'!$B$2:$B$1601,$AG550))</f>
        <v/>
      </c>
      <c r="B550">
        <f>IF($AG550="","",Config!$B$14)</f>
        <v/>
      </c>
      <c r="C550">
        <f>IF($AG550="","",Config!$B$15)</f>
        <v/>
      </c>
      <c r="D550">
        <f>IF($AG550="","",INDEX('TMP Paste'!$B$2:$B$1601,$AG550))</f>
        <v/>
      </c>
      <c r="E550">
        <f>IF($AG550="","",Config!$B$27)</f>
        <v/>
      </c>
      <c r="F550">
        <f>IF($AG550="","",Config!$B$9)</f>
        <v/>
      </c>
      <c r="G550">
        <f>IF($AG550="","",Config!$B$10)</f>
        <v/>
      </c>
      <c r="H550">
        <f>IF($AG550="","",Config!$B$11)</f>
        <v/>
      </c>
      <c r="I550">
        <f>IF($AG550="","",Config!$B$16)</f>
        <v/>
      </c>
      <c r="J550">
        <f>IF($AG550="","",INDEX('TMP Paste'!$A$2:$A$1601,$AG550))</f>
        <v/>
      </c>
      <c r="K550">
        <f>IF($AG550="","",INDEX('TMP Paste'!$L$2:$L$1601,$AG550))</f>
        <v/>
      </c>
      <c r="L550">
        <f>IF($AG550="","",INDEX('TMP Paste'!$I$2:$I$1601,$AG550))</f>
        <v/>
      </c>
      <c r="M550">
        <f>IF($AG550="","",Config!$B$16)</f>
        <v/>
      </c>
      <c r="N550">
        <f>IF($AG550="","","")</f>
        <v/>
      </c>
      <c r="O550">
        <f>IF($AG550="","",INDEX('TMP Paste'!$K$2:$K$1601,$AG550))</f>
        <v/>
      </c>
      <c r="P550">
        <f>IF($AG550="","","")</f>
        <v/>
      </c>
      <c r="Q550">
        <f>IF($AG550="","",INDEX('TMP Paste'!$J$2:$J$1601,$AG550))</f>
        <v/>
      </c>
      <c r="R550">
        <f>IF($AG550="","",Config!$B$24)</f>
        <v/>
      </c>
      <c r="S550">
        <f>IF($AG550="","",TEXT(Config!$B$4,"yyyy-mm-dd"))</f>
        <v/>
      </c>
      <c r="T550">
        <f>IF($AG550="","",Config!$B$17)</f>
        <v/>
      </c>
      <c r="U550">
        <f>IF($AG550="","",Config!$B$18)</f>
        <v/>
      </c>
      <c r="V550">
        <f>IF($AG550="","",Config!$B$19)</f>
        <v/>
      </c>
      <c r="W550">
        <f>IF($AG550="","",INDEX('TMP Paste'!$C$2:$C$1601,$AG550))</f>
        <v/>
      </c>
      <c r="X550">
        <f>IF($AG550="","",Config!$B$29)</f>
        <v/>
      </c>
      <c r="Y550">
        <f>IF($AH550="","",INDEX(Calc!$I$2:$I$1601,$AH550)&amp;" - "&amp;INDEX(Calc!$D$2:$D$1601,$AH550)&amp;" koli")</f>
        <v/>
      </c>
      <c r="Z550">
        <f>IF($AG550="","",Config!$B$21)</f>
        <v/>
      </c>
      <c r="AA550">
        <f>IF($AG550="","",Config!$B$22)</f>
        <v/>
      </c>
      <c r="AB550">
        <f>IF($AH550="","",INDEX(Calc!$D$2:$D$1601,$AH550))</f>
        <v/>
      </c>
      <c r="AC550">
        <f>IF($AH550="","",INDEX(Calc!$G$2:$G$1601,$AH550))</f>
        <v/>
      </c>
      <c r="AD550">
        <f>IF($AG550="","",Config!$B$23)</f>
        <v/>
      </c>
      <c r="AE550">
        <f>IF($AG550="","",Config!$B$28)</f>
        <v/>
      </c>
      <c r="AG550">
        <f>IFERROR(MATCH(ROW()-1,Calc!$J$2:$J$1601,0),"")</f>
        <v/>
      </c>
      <c r="AH550">
        <f>IFERROR(MATCH(ROW()-1,Calc!$K$2:$K$1601,0),"")</f>
        <v/>
      </c>
      <c r="AI550">
        <f>IF($AG550="","",SUMIF($AG$2:$AG550,$AG550,$AH$2:$AH550))</f>
        <v/>
      </c>
      <c r="AJ550">
        <f>IF('TMP Paste'!$F550="","",IF('TMP Paste'!$B550="",$AJ549,'TMP Paste'!$B550))</f>
        <v/>
      </c>
      <c r="AK550">
        <f>IF('TMP Paste'!$F550="","",N('TMP Paste'!$G550))</f>
        <v/>
      </c>
      <c r="AL550">
        <f>IF('TMP Paste'!$F550="","",IF('TMP Paste'!$M550="",$AL549,'TMP Paste'!$M550))</f>
        <v/>
      </c>
      <c r="AM550">
        <f>IF('TMP Paste'!$F550="","",IF('TMP Paste'!$N550="",$AM549,'TMP Paste'!$N550))</f>
        <v/>
      </c>
      <c r="AN550">
        <f>IF('TMP Paste'!$F550="","",IF('TMP Paste'!$O550="",$AN549,'TMP Paste'!$O550))</f>
        <v/>
      </c>
      <c r="AO550">
        <f>IF('TMP Paste'!$F550="","",IF('TMP Paste'!$P550="",$AO549,'TMP Paste'!$P550))</f>
        <v/>
      </c>
      <c r="AP550">
        <f>IF($AG550="","",LEN($R550))</f>
        <v/>
      </c>
      <c r="AQ550">
        <f>IF($AG550="","",TRIM(IF(COUNTIFS(Calc!$B$2:$B$1601,ROW()-1,Calc!$C$2:$C$1601,"&lt;1")&gt;0,"Ada PO tanpa Koli - cek TMP. ","")&amp;IF(LEN($R550)&gt;500,"R &gt; 500 karakter.","")))</f>
        <v/>
      </c>
    </row>
    <row r="551">
      <c r="A551">
        <f>IF($AG551="","",INDEX('TMP Paste'!$B$2:$B$1601,$AG551))</f>
        <v/>
      </c>
      <c r="B551">
        <f>IF($AG551="","",Config!$B$14)</f>
        <v/>
      </c>
      <c r="C551">
        <f>IF($AG551="","",Config!$B$15)</f>
        <v/>
      </c>
      <c r="D551">
        <f>IF($AG551="","",INDEX('TMP Paste'!$B$2:$B$1601,$AG551))</f>
        <v/>
      </c>
      <c r="E551">
        <f>IF($AG551="","",Config!$B$27)</f>
        <v/>
      </c>
      <c r="F551">
        <f>IF($AG551="","",Config!$B$9)</f>
        <v/>
      </c>
      <c r="G551">
        <f>IF($AG551="","",Config!$B$10)</f>
        <v/>
      </c>
      <c r="H551">
        <f>IF($AG551="","",Config!$B$11)</f>
        <v/>
      </c>
      <c r="I551">
        <f>IF($AG551="","",Config!$B$16)</f>
        <v/>
      </c>
      <c r="J551">
        <f>IF($AG551="","",INDEX('TMP Paste'!$A$2:$A$1601,$AG551))</f>
        <v/>
      </c>
      <c r="K551">
        <f>IF($AG551="","",INDEX('TMP Paste'!$L$2:$L$1601,$AG551))</f>
        <v/>
      </c>
      <c r="L551">
        <f>IF($AG551="","",INDEX('TMP Paste'!$I$2:$I$1601,$AG551))</f>
        <v/>
      </c>
      <c r="M551">
        <f>IF($AG551="","",Config!$B$16)</f>
        <v/>
      </c>
      <c r="N551">
        <f>IF($AG551="","","")</f>
        <v/>
      </c>
      <c r="O551">
        <f>IF($AG551="","",INDEX('TMP Paste'!$K$2:$K$1601,$AG551))</f>
        <v/>
      </c>
      <c r="P551">
        <f>IF($AG551="","","")</f>
        <v/>
      </c>
      <c r="Q551">
        <f>IF($AG551="","",INDEX('TMP Paste'!$J$2:$J$1601,$AG551))</f>
        <v/>
      </c>
      <c r="R551">
        <f>IF($AG551="","",Config!$B$24)</f>
        <v/>
      </c>
      <c r="S551">
        <f>IF($AG551="","",TEXT(Config!$B$4,"yyyy-mm-dd"))</f>
        <v/>
      </c>
      <c r="T551">
        <f>IF($AG551="","",Config!$B$17)</f>
        <v/>
      </c>
      <c r="U551">
        <f>IF($AG551="","",Config!$B$18)</f>
        <v/>
      </c>
      <c r="V551">
        <f>IF($AG551="","",Config!$B$19)</f>
        <v/>
      </c>
      <c r="W551">
        <f>IF($AG551="","",INDEX('TMP Paste'!$C$2:$C$1601,$AG551))</f>
        <v/>
      </c>
      <c r="X551">
        <f>IF($AG551="","",Config!$B$29)</f>
        <v/>
      </c>
      <c r="Y551">
        <f>IF($AH551="","",INDEX(Calc!$I$2:$I$1601,$AH551)&amp;" - "&amp;INDEX(Calc!$D$2:$D$1601,$AH551)&amp;" koli")</f>
        <v/>
      </c>
      <c r="Z551">
        <f>IF($AG551="","",Config!$B$21)</f>
        <v/>
      </c>
      <c r="AA551">
        <f>IF($AG551="","",Config!$B$22)</f>
        <v/>
      </c>
      <c r="AB551">
        <f>IF($AH551="","",INDEX(Calc!$D$2:$D$1601,$AH551))</f>
        <v/>
      </c>
      <c r="AC551">
        <f>IF($AH551="","",INDEX(Calc!$G$2:$G$1601,$AH551))</f>
        <v/>
      </c>
      <c r="AD551">
        <f>IF($AG551="","",Config!$B$23)</f>
        <v/>
      </c>
      <c r="AE551">
        <f>IF($AG551="","",Config!$B$28)</f>
        <v/>
      </c>
      <c r="AG551">
        <f>IFERROR(MATCH(ROW()-1,Calc!$J$2:$J$1601,0),"")</f>
        <v/>
      </c>
      <c r="AH551">
        <f>IFERROR(MATCH(ROW()-1,Calc!$K$2:$K$1601,0),"")</f>
        <v/>
      </c>
      <c r="AI551">
        <f>IF($AG551="","",SUMIF($AG$2:$AG551,$AG551,$AH$2:$AH551))</f>
        <v/>
      </c>
      <c r="AJ551">
        <f>IF('TMP Paste'!$F551="","",IF('TMP Paste'!$B551="",$AJ550,'TMP Paste'!$B551))</f>
        <v/>
      </c>
      <c r="AK551">
        <f>IF('TMP Paste'!$F551="","",N('TMP Paste'!$G551))</f>
        <v/>
      </c>
      <c r="AL551">
        <f>IF('TMP Paste'!$F551="","",IF('TMP Paste'!$M551="",$AL550,'TMP Paste'!$M551))</f>
        <v/>
      </c>
      <c r="AM551">
        <f>IF('TMP Paste'!$F551="","",IF('TMP Paste'!$N551="",$AM550,'TMP Paste'!$N551))</f>
        <v/>
      </c>
      <c r="AN551">
        <f>IF('TMP Paste'!$F551="","",IF('TMP Paste'!$O551="",$AN550,'TMP Paste'!$O551))</f>
        <v/>
      </c>
      <c r="AO551">
        <f>IF('TMP Paste'!$F551="","",IF('TMP Paste'!$P551="",$AO550,'TMP Paste'!$P551))</f>
        <v/>
      </c>
      <c r="AP551">
        <f>IF($AG551="","",LEN($R551))</f>
        <v/>
      </c>
      <c r="AQ551">
        <f>IF($AG551="","",TRIM(IF(COUNTIFS(Calc!$B$2:$B$1601,ROW()-1,Calc!$C$2:$C$1601,"&lt;1")&gt;0,"Ada PO tanpa Koli - cek TMP. ","")&amp;IF(LEN($R551)&gt;500,"R &gt; 500 karakter.","")))</f>
        <v/>
      </c>
    </row>
    <row r="552">
      <c r="A552">
        <f>IF($AG552="","",INDEX('TMP Paste'!$B$2:$B$1601,$AG552))</f>
        <v/>
      </c>
      <c r="B552">
        <f>IF($AG552="","",Config!$B$14)</f>
        <v/>
      </c>
      <c r="C552">
        <f>IF($AG552="","",Config!$B$15)</f>
        <v/>
      </c>
      <c r="D552">
        <f>IF($AG552="","",INDEX('TMP Paste'!$B$2:$B$1601,$AG552))</f>
        <v/>
      </c>
      <c r="E552">
        <f>IF($AG552="","",Config!$B$27)</f>
        <v/>
      </c>
      <c r="F552">
        <f>IF($AG552="","",Config!$B$9)</f>
        <v/>
      </c>
      <c r="G552">
        <f>IF($AG552="","",Config!$B$10)</f>
        <v/>
      </c>
      <c r="H552">
        <f>IF($AG552="","",Config!$B$11)</f>
        <v/>
      </c>
      <c r="I552">
        <f>IF($AG552="","",Config!$B$16)</f>
        <v/>
      </c>
      <c r="J552">
        <f>IF($AG552="","",INDEX('TMP Paste'!$A$2:$A$1601,$AG552))</f>
        <v/>
      </c>
      <c r="K552">
        <f>IF($AG552="","",INDEX('TMP Paste'!$L$2:$L$1601,$AG552))</f>
        <v/>
      </c>
      <c r="L552">
        <f>IF($AG552="","",INDEX('TMP Paste'!$I$2:$I$1601,$AG552))</f>
        <v/>
      </c>
      <c r="M552">
        <f>IF($AG552="","",Config!$B$16)</f>
        <v/>
      </c>
      <c r="N552">
        <f>IF($AG552="","","")</f>
        <v/>
      </c>
      <c r="O552">
        <f>IF($AG552="","",INDEX('TMP Paste'!$K$2:$K$1601,$AG552))</f>
        <v/>
      </c>
      <c r="P552">
        <f>IF($AG552="","","")</f>
        <v/>
      </c>
      <c r="Q552">
        <f>IF($AG552="","",INDEX('TMP Paste'!$J$2:$J$1601,$AG552))</f>
        <v/>
      </c>
      <c r="R552">
        <f>IF($AG552="","",Config!$B$24)</f>
        <v/>
      </c>
      <c r="S552">
        <f>IF($AG552="","",TEXT(Config!$B$4,"yyyy-mm-dd"))</f>
        <v/>
      </c>
      <c r="T552">
        <f>IF($AG552="","",Config!$B$17)</f>
        <v/>
      </c>
      <c r="U552">
        <f>IF($AG552="","",Config!$B$18)</f>
        <v/>
      </c>
      <c r="V552">
        <f>IF($AG552="","",Config!$B$19)</f>
        <v/>
      </c>
      <c r="W552">
        <f>IF($AG552="","",INDEX('TMP Paste'!$C$2:$C$1601,$AG552))</f>
        <v/>
      </c>
      <c r="X552">
        <f>IF($AG552="","",Config!$B$29)</f>
        <v/>
      </c>
      <c r="Y552">
        <f>IF($AH552="","",INDEX(Calc!$I$2:$I$1601,$AH552)&amp;" - "&amp;INDEX(Calc!$D$2:$D$1601,$AH552)&amp;" koli")</f>
        <v/>
      </c>
      <c r="Z552">
        <f>IF($AG552="","",Config!$B$21)</f>
        <v/>
      </c>
      <c r="AA552">
        <f>IF($AG552="","",Config!$B$22)</f>
        <v/>
      </c>
      <c r="AB552">
        <f>IF($AH552="","",INDEX(Calc!$D$2:$D$1601,$AH552))</f>
        <v/>
      </c>
      <c r="AC552">
        <f>IF($AH552="","",INDEX(Calc!$G$2:$G$1601,$AH552))</f>
        <v/>
      </c>
      <c r="AD552">
        <f>IF($AG552="","",Config!$B$23)</f>
        <v/>
      </c>
      <c r="AE552">
        <f>IF($AG552="","",Config!$B$28)</f>
        <v/>
      </c>
      <c r="AG552">
        <f>IFERROR(MATCH(ROW()-1,Calc!$J$2:$J$1601,0),"")</f>
        <v/>
      </c>
      <c r="AH552">
        <f>IFERROR(MATCH(ROW()-1,Calc!$K$2:$K$1601,0),"")</f>
        <v/>
      </c>
      <c r="AI552">
        <f>IF($AG552="","",SUMIF($AG$2:$AG552,$AG552,$AH$2:$AH552))</f>
        <v/>
      </c>
      <c r="AJ552">
        <f>IF('TMP Paste'!$F552="","",IF('TMP Paste'!$B552="",$AJ551,'TMP Paste'!$B552))</f>
        <v/>
      </c>
      <c r="AK552">
        <f>IF('TMP Paste'!$F552="","",N('TMP Paste'!$G552))</f>
        <v/>
      </c>
      <c r="AL552">
        <f>IF('TMP Paste'!$F552="","",IF('TMP Paste'!$M552="",$AL551,'TMP Paste'!$M552))</f>
        <v/>
      </c>
      <c r="AM552">
        <f>IF('TMP Paste'!$F552="","",IF('TMP Paste'!$N552="",$AM551,'TMP Paste'!$N552))</f>
        <v/>
      </c>
      <c r="AN552">
        <f>IF('TMP Paste'!$F552="","",IF('TMP Paste'!$O552="",$AN551,'TMP Paste'!$O552))</f>
        <v/>
      </c>
      <c r="AO552">
        <f>IF('TMP Paste'!$F552="","",IF('TMP Paste'!$P552="",$AO551,'TMP Paste'!$P552))</f>
        <v/>
      </c>
      <c r="AP552">
        <f>IF($AG552="","",LEN($R552))</f>
        <v/>
      </c>
      <c r="AQ552">
        <f>IF($AG552="","",TRIM(IF(COUNTIFS(Calc!$B$2:$B$1601,ROW()-1,Calc!$C$2:$C$1601,"&lt;1")&gt;0,"Ada PO tanpa Koli - cek TMP. ","")&amp;IF(LEN($R552)&gt;500,"R &gt; 500 karakter.","")))</f>
        <v/>
      </c>
    </row>
    <row r="553">
      <c r="A553">
        <f>IF($AG553="","",INDEX('TMP Paste'!$B$2:$B$1601,$AG553))</f>
        <v/>
      </c>
      <c r="B553">
        <f>IF($AG553="","",Config!$B$14)</f>
        <v/>
      </c>
      <c r="C553">
        <f>IF($AG553="","",Config!$B$15)</f>
        <v/>
      </c>
      <c r="D553">
        <f>IF($AG553="","",INDEX('TMP Paste'!$B$2:$B$1601,$AG553))</f>
        <v/>
      </c>
      <c r="E553">
        <f>IF($AG553="","",Config!$B$27)</f>
        <v/>
      </c>
      <c r="F553">
        <f>IF($AG553="","",Config!$B$9)</f>
        <v/>
      </c>
      <c r="G553">
        <f>IF($AG553="","",Config!$B$10)</f>
        <v/>
      </c>
      <c r="H553">
        <f>IF($AG553="","",Config!$B$11)</f>
        <v/>
      </c>
      <c r="I553">
        <f>IF($AG553="","",Config!$B$16)</f>
        <v/>
      </c>
      <c r="J553">
        <f>IF($AG553="","",INDEX('TMP Paste'!$A$2:$A$1601,$AG553))</f>
        <v/>
      </c>
      <c r="K553">
        <f>IF($AG553="","",INDEX('TMP Paste'!$L$2:$L$1601,$AG553))</f>
        <v/>
      </c>
      <c r="L553">
        <f>IF($AG553="","",INDEX('TMP Paste'!$I$2:$I$1601,$AG553))</f>
        <v/>
      </c>
      <c r="M553">
        <f>IF($AG553="","",Config!$B$16)</f>
        <v/>
      </c>
      <c r="N553">
        <f>IF($AG553="","","")</f>
        <v/>
      </c>
      <c r="O553">
        <f>IF($AG553="","",INDEX('TMP Paste'!$K$2:$K$1601,$AG553))</f>
        <v/>
      </c>
      <c r="P553">
        <f>IF($AG553="","","")</f>
        <v/>
      </c>
      <c r="Q553">
        <f>IF($AG553="","",INDEX('TMP Paste'!$J$2:$J$1601,$AG553))</f>
        <v/>
      </c>
      <c r="R553">
        <f>IF($AG553="","",Config!$B$24)</f>
        <v/>
      </c>
      <c r="S553">
        <f>IF($AG553="","",TEXT(Config!$B$4,"yyyy-mm-dd"))</f>
        <v/>
      </c>
      <c r="T553">
        <f>IF($AG553="","",Config!$B$17)</f>
        <v/>
      </c>
      <c r="U553">
        <f>IF($AG553="","",Config!$B$18)</f>
        <v/>
      </c>
      <c r="V553">
        <f>IF($AG553="","",Config!$B$19)</f>
        <v/>
      </c>
      <c r="W553">
        <f>IF($AG553="","",INDEX('TMP Paste'!$C$2:$C$1601,$AG553))</f>
        <v/>
      </c>
      <c r="X553">
        <f>IF($AG553="","",Config!$B$29)</f>
        <v/>
      </c>
      <c r="Y553">
        <f>IF($AH553="","",INDEX(Calc!$I$2:$I$1601,$AH553)&amp;" - "&amp;INDEX(Calc!$D$2:$D$1601,$AH553)&amp;" koli")</f>
        <v/>
      </c>
      <c r="Z553">
        <f>IF($AG553="","",Config!$B$21)</f>
        <v/>
      </c>
      <c r="AA553">
        <f>IF($AG553="","",Config!$B$22)</f>
        <v/>
      </c>
      <c r="AB553">
        <f>IF($AH553="","",INDEX(Calc!$D$2:$D$1601,$AH553))</f>
        <v/>
      </c>
      <c r="AC553">
        <f>IF($AH553="","",INDEX(Calc!$G$2:$G$1601,$AH553))</f>
        <v/>
      </c>
      <c r="AD553">
        <f>IF($AG553="","",Config!$B$23)</f>
        <v/>
      </c>
      <c r="AE553">
        <f>IF($AG553="","",Config!$B$28)</f>
        <v/>
      </c>
      <c r="AG553">
        <f>IFERROR(MATCH(ROW()-1,Calc!$J$2:$J$1601,0),"")</f>
        <v/>
      </c>
      <c r="AH553">
        <f>IFERROR(MATCH(ROW()-1,Calc!$K$2:$K$1601,0),"")</f>
        <v/>
      </c>
      <c r="AI553">
        <f>IF($AG553="","",SUMIF($AG$2:$AG553,$AG553,$AH$2:$AH553))</f>
        <v/>
      </c>
      <c r="AJ553">
        <f>IF('TMP Paste'!$F553="","",IF('TMP Paste'!$B553="",$AJ552,'TMP Paste'!$B553))</f>
        <v/>
      </c>
      <c r="AK553">
        <f>IF('TMP Paste'!$F553="","",N('TMP Paste'!$G553))</f>
        <v/>
      </c>
      <c r="AL553">
        <f>IF('TMP Paste'!$F553="","",IF('TMP Paste'!$M553="",$AL552,'TMP Paste'!$M553))</f>
        <v/>
      </c>
      <c r="AM553">
        <f>IF('TMP Paste'!$F553="","",IF('TMP Paste'!$N553="",$AM552,'TMP Paste'!$N553))</f>
        <v/>
      </c>
      <c r="AN553">
        <f>IF('TMP Paste'!$F553="","",IF('TMP Paste'!$O553="",$AN552,'TMP Paste'!$O553))</f>
        <v/>
      </c>
      <c r="AO553">
        <f>IF('TMP Paste'!$F553="","",IF('TMP Paste'!$P553="",$AO552,'TMP Paste'!$P553))</f>
        <v/>
      </c>
      <c r="AP553">
        <f>IF($AG553="","",LEN($R553))</f>
        <v/>
      </c>
      <c r="AQ553">
        <f>IF($AG553="","",TRIM(IF(COUNTIFS(Calc!$B$2:$B$1601,ROW()-1,Calc!$C$2:$C$1601,"&lt;1")&gt;0,"Ada PO tanpa Koli - cek TMP. ","")&amp;IF(LEN($R553)&gt;500,"R &gt; 500 karakter.","")))</f>
        <v/>
      </c>
    </row>
    <row r="554">
      <c r="A554">
        <f>IF($AG554="","",INDEX('TMP Paste'!$B$2:$B$1601,$AG554))</f>
        <v/>
      </c>
      <c r="B554">
        <f>IF($AG554="","",Config!$B$14)</f>
        <v/>
      </c>
      <c r="C554">
        <f>IF($AG554="","",Config!$B$15)</f>
        <v/>
      </c>
      <c r="D554">
        <f>IF($AG554="","",INDEX('TMP Paste'!$B$2:$B$1601,$AG554))</f>
        <v/>
      </c>
      <c r="E554">
        <f>IF($AG554="","",Config!$B$27)</f>
        <v/>
      </c>
      <c r="F554">
        <f>IF($AG554="","",Config!$B$9)</f>
        <v/>
      </c>
      <c r="G554">
        <f>IF($AG554="","",Config!$B$10)</f>
        <v/>
      </c>
      <c r="H554">
        <f>IF($AG554="","",Config!$B$11)</f>
        <v/>
      </c>
      <c r="I554">
        <f>IF($AG554="","",Config!$B$16)</f>
        <v/>
      </c>
      <c r="J554">
        <f>IF($AG554="","",INDEX('TMP Paste'!$A$2:$A$1601,$AG554))</f>
        <v/>
      </c>
      <c r="K554">
        <f>IF($AG554="","",INDEX('TMP Paste'!$L$2:$L$1601,$AG554))</f>
        <v/>
      </c>
      <c r="L554">
        <f>IF($AG554="","",INDEX('TMP Paste'!$I$2:$I$1601,$AG554))</f>
        <v/>
      </c>
      <c r="M554">
        <f>IF($AG554="","",Config!$B$16)</f>
        <v/>
      </c>
      <c r="N554">
        <f>IF($AG554="","","")</f>
        <v/>
      </c>
      <c r="O554">
        <f>IF($AG554="","",INDEX('TMP Paste'!$K$2:$K$1601,$AG554))</f>
        <v/>
      </c>
      <c r="P554">
        <f>IF($AG554="","","")</f>
        <v/>
      </c>
      <c r="Q554">
        <f>IF($AG554="","",INDEX('TMP Paste'!$J$2:$J$1601,$AG554))</f>
        <v/>
      </c>
      <c r="R554">
        <f>IF($AG554="","",Config!$B$24)</f>
        <v/>
      </c>
      <c r="S554">
        <f>IF($AG554="","",TEXT(Config!$B$4,"yyyy-mm-dd"))</f>
        <v/>
      </c>
      <c r="T554">
        <f>IF($AG554="","",Config!$B$17)</f>
        <v/>
      </c>
      <c r="U554">
        <f>IF($AG554="","",Config!$B$18)</f>
        <v/>
      </c>
      <c r="V554">
        <f>IF($AG554="","",Config!$B$19)</f>
        <v/>
      </c>
      <c r="W554">
        <f>IF($AG554="","",INDEX('TMP Paste'!$C$2:$C$1601,$AG554))</f>
        <v/>
      </c>
      <c r="X554">
        <f>IF($AG554="","",Config!$B$29)</f>
        <v/>
      </c>
      <c r="Y554">
        <f>IF($AH554="","",INDEX(Calc!$I$2:$I$1601,$AH554)&amp;" - "&amp;INDEX(Calc!$D$2:$D$1601,$AH554)&amp;" koli")</f>
        <v/>
      </c>
      <c r="Z554">
        <f>IF($AG554="","",Config!$B$21)</f>
        <v/>
      </c>
      <c r="AA554">
        <f>IF($AG554="","",Config!$B$22)</f>
        <v/>
      </c>
      <c r="AB554">
        <f>IF($AH554="","",INDEX(Calc!$D$2:$D$1601,$AH554))</f>
        <v/>
      </c>
      <c r="AC554">
        <f>IF($AH554="","",INDEX(Calc!$G$2:$G$1601,$AH554))</f>
        <v/>
      </c>
      <c r="AD554">
        <f>IF($AG554="","",Config!$B$23)</f>
        <v/>
      </c>
      <c r="AE554">
        <f>IF($AG554="","",Config!$B$28)</f>
        <v/>
      </c>
      <c r="AG554">
        <f>IFERROR(MATCH(ROW()-1,Calc!$J$2:$J$1601,0),"")</f>
        <v/>
      </c>
      <c r="AH554">
        <f>IFERROR(MATCH(ROW()-1,Calc!$K$2:$K$1601,0),"")</f>
        <v/>
      </c>
      <c r="AI554">
        <f>IF($AG554="","",SUMIF($AG$2:$AG554,$AG554,$AH$2:$AH554))</f>
        <v/>
      </c>
      <c r="AJ554">
        <f>IF('TMP Paste'!$F554="","",IF('TMP Paste'!$B554="",$AJ553,'TMP Paste'!$B554))</f>
        <v/>
      </c>
      <c r="AK554">
        <f>IF('TMP Paste'!$F554="","",N('TMP Paste'!$G554))</f>
        <v/>
      </c>
      <c r="AL554">
        <f>IF('TMP Paste'!$F554="","",IF('TMP Paste'!$M554="",$AL553,'TMP Paste'!$M554))</f>
        <v/>
      </c>
      <c r="AM554">
        <f>IF('TMP Paste'!$F554="","",IF('TMP Paste'!$N554="",$AM553,'TMP Paste'!$N554))</f>
        <v/>
      </c>
      <c r="AN554">
        <f>IF('TMP Paste'!$F554="","",IF('TMP Paste'!$O554="",$AN553,'TMP Paste'!$O554))</f>
        <v/>
      </c>
      <c r="AO554">
        <f>IF('TMP Paste'!$F554="","",IF('TMP Paste'!$P554="",$AO553,'TMP Paste'!$P554))</f>
        <v/>
      </c>
      <c r="AP554">
        <f>IF($AG554="","",LEN($R554))</f>
        <v/>
      </c>
      <c r="AQ554">
        <f>IF($AG554="","",TRIM(IF(COUNTIFS(Calc!$B$2:$B$1601,ROW()-1,Calc!$C$2:$C$1601,"&lt;1")&gt;0,"Ada PO tanpa Koli - cek TMP. ","")&amp;IF(LEN($R554)&gt;500,"R &gt; 500 karakter.","")))</f>
        <v/>
      </c>
    </row>
    <row r="555">
      <c r="A555">
        <f>IF($AG555="","",INDEX('TMP Paste'!$B$2:$B$1601,$AG555))</f>
        <v/>
      </c>
      <c r="B555">
        <f>IF($AG555="","",Config!$B$14)</f>
        <v/>
      </c>
      <c r="C555">
        <f>IF($AG555="","",Config!$B$15)</f>
        <v/>
      </c>
      <c r="D555">
        <f>IF($AG555="","",INDEX('TMP Paste'!$B$2:$B$1601,$AG555))</f>
        <v/>
      </c>
      <c r="E555">
        <f>IF($AG555="","",Config!$B$27)</f>
        <v/>
      </c>
      <c r="F555">
        <f>IF($AG555="","",Config!$B$9)</f>
        <v/>
      </c>
      <c r="G555">
        <f>IF($AG555="","",Config!$B$10)</f>
        <v/>
      </c>
      <c r="H555">
        <f>IF($AG555="","",Config!$B$11)</f>
        <v/>
      </c>
      <c r="I555">
        <f>IF($AG555="","",Config!$B$16)</f>
        <v/>
      </c>
      <c r="J555">
        <f>IF($AG555="","",INDEX('TMP Paste'!$A$2:$A$1601,$AG555))</f>
        <v/>
      </c>
      <c r="K555">
        <f>IF($AG555="","",INDEX('TMP Paste'!$L$2:$L$1601,$AG555))</f>
        <v/>
      </c>
      <c r="L555">
        <f>IF($AG555="","",INDEX('TMP Paste'!$I$2:$I$1601,$AG555))</f>
        <v/>
      </c>
      <c r="M555">
        <f>IF($AG555="","",Config!$B$16)</f>
        <v/>
      </c>
      <c r="N555">
        <f>IF($AG555="","","")</f>
        <v/>
      </c>
      <c r="O555">
        <f>IF($AG555="","",INDEX('TMP Paste'!$K$2:$K$1601,$AG555))</f>
        <v/>
      </c>
      <c r="P555">
        <f>IF($AG555="","","")</f>
        <v/>
      </c>
      <c r="Q555">
        <f>IF($AG555="","",INDEX('TMP Paste'!$J$2:$J$1601,$AG555))</f>
        <v/>
      </c>
      <c r="R555">
        <f>IF($AG555="","",Config!$B$24)</f>
        <v/>
      </c>
      <c r="S555">
        <f>IF($AG555="","",TEXT(Config!$B$4,"yyyy-mm-dd"))</f>
        <v/>
      </c>
      <c r="T555">
        <f>IF($AG555="","",Config!$B$17)</f>
        <v/>
      </c>
      <c r="U555">
        <f>IF($AG555="","",Config!$B$18)</f>
        <v/>
      </c>
      <c r="V555">
        <f>IF($AG555="","",Config!$B$19)</f>
        <v/>
      </c>
      <c r="W555">
        <f>IF($AG555="","",INDEX('TMP Paste'!$C$2:$C$1601,$AG555))</f>
        <v/>
      </c>
      <c r="X555">
        <f>IF($AG555="","",Config!$B$29)</f>
        <v/>
      </c>
      <c r="Y555">
        <f>IF($AH555="","",INDEX(Calc!$I$2:$I$1601,$AH555)&amp;" - "&amp;INDEX(Calc!$D$2:$D$1601,$AH555)&amp;" koli")</f>
        <v/>
      </c>
      <c r="Z555">
        <f>IF($AG555="","",Config!$B$21)</f>
        <v/>
      </c>
      <c r="AA555">
        <f>IF($AG555="","",Config!$B$22)</f>
        <v/>
      </c>
      <c r="AB555">
        <f>IF($AH555="","",INDEX(Calc!$D$2:$D$1601,$AH555))</f>
        <v/>
      </c>
      <c r="AC555">
        <f>IF($AH555="","",INDEX(Calc!$G$2:$G$1601,$AH555))</f>
        <v/>
      </c>
      <c r="AD555">
        <f>IF($AG555="","",Config!$B$23)</f>
        <v/>
      </c>
      <c r="AE555">
        <f>IF($AG555="","",Config!$B$28)</f>
        <v/>
      </c>
      <c r="AG555">
        <f>IFERROR(MATCH(ROW()-1,Calc!$J$2:$J$1601,0),"")</f>
        <v/>
      </c>
      <c r="AH555">
        <f>IFERROR(MATCH(ROW()-1,Calc!$K$2:$K$1601,0),"")</f>
        <v/>
      </c>
      <c r="AI555">
        <f>IF($AG555="","",SUMIF($AG$2:$AG555,$AG555,$AH$2:$AH555))</f>
        <v/>
      </c>
      <c r="AJ555">
        <f>IF('TMP Paste'!$F555="","",IF('TMP Paste'!$B555="",$AJ554,'TMP Paste'!$B555))</f>
        <v/>
      </c>
      <c r="AK555">
        <f>IF('TMP Paste'!$F555="","",N('TMP Paste'!$G555))</f>
        <v/>
      </c>
      <c r="AL555">
        <f>IF('TMP Paste'!$F555="","",IF('TMP Paste'!$M555="",$AL554,'TMP Paste'!$M555))</f>
        <v/>
      </c>
      <c r="AM555">
        <f>IF('TMP Paste'!$F555="","",IF('TMP Paste'!$N555="",$AM554,'TMP Paste'!$N555))</f>
        <v/>
      </c>
      <c r="AN555">
        <f>IF('TMP Paste'!$F555="","",IF('TMP Paste'!$O555="",$AN554,'TMP Paste'!$O555))</f>
        <v/>
      </c>
      <c r="AO555">
        <f>IF('TMP Paste'!$F555="","",IF('TMP Paste'!$P555="",$AO554,'TMP Paste'!$P555))</f>
        <v/>
      </c>
      <c r="AP555">
        <f>IF($AG555="","",LEN($R555))</f>
        <v/>
      </c>
      <c r="AQ555">
        <f>IF($AG555="","",TRIM(IF(COUNTIFS(Calc!$B$2:$B$1601,ROW()-1,Calc!$C$2:$C$1601,"&lt;1")&gt;0,"Ada PO tanpa Koli - cek TMP. ","")&amp;IF(LEN($R555)&gt;500,"R &gt; 500 karakter.","")))</f>
        <v/>
      </c>
    </row>
    <row r="556">
      <c r="A556">
        <f>IF($AG556="","",INDEX('TMP Paste'!$B$2:$B$1601,$AG556))</f>
        <v/>
      </c>
      <c r="B556">
        <f>IF($AG556="","",Config!$B$14)</f>
        <v/>
      </c>
      <c r="C556">
        <f>IF($AG556="","",Config!$B$15)</f>
        <v/>
      </c>
      <c r="D556">
        <f>IF($AG556="","",INDEX('TMP Paste'!$B$2:$B$1601,$AG556))</f>
        <v/>
      </c>
      <c r="E556">
        <f>IF($AG556="","",Config!$B$27)</f>
        <v/>
      </c>
      <c r="F556">
        <f>IF($AG556="","",Config!$B$9)</f>
        <v/>
      </c>
      <c r="G556">
        <f>IF($AG556="","",Config!$B$10)</f>
        <v/>
      </c>
      <c r="H556">
        <f>IF($AG556="","",Config!$B$11)</f>
        <v/>
      </c>
      <c r="I556">
        <f>IF($AG556="","",Config!$B$16)</f>
        <v/>
      </c>
      <c r="J556">
        <f>IF($AG556="","",INDEX('TMP Paste'!$A$2:$A$1601,$AG556))</f>
        <v/>
      </c>
      <c r="K556">
        <f>IF($AG556="","",INDEX('TMP Paste'!$L$2:$L$1601,$AG556))</f>
        <v/>
      </c>
      <c r="L556">
        <f>IF($AG556="","",INDEX('TMP Paste'!$I$2:$I$1601,$AG556))</f>
        <v/>
      </c>
      <c r="M556">
        <f>IF($AG556="","",Config!$B$16)</f>
        <v/>
      </c>
      <c r="N556">
        <f>IF($AG556="","","")</f>
        <v/>
      </c>
      <c r="O556">
        <f>IF($AG556="","",INDEX('TMP Paste'!$K$2:$K$1601,$AG556))</f>
        <v/>
      </c>
      <c r="P556">
        <f>IF($AG556="","","")</f>
        <v/>
      </c>
      <c r="Q556">
        <f>IF($AG556="","",INDEX('TMP Paste'!$J$2:$J$1601,$AG556))</f>
        <v/>
      </c>
      <c r="R556">
        <f>IF($AG556="","",Config!$B$24)</f>
        <v/>
      </c>
      <c r="S556">
        <f>IF($AG556="","",TEXT(Config!$B$4,"yyyy-mm-dd"))</f>
        <v/>
      </c>
      <c r="T556">
        <f>IF($AG556="","",Config!$B$17)</f>
        <v/>
      </c>
      <c r="U556">
        <f>IF($AG556="","",Config!$B$18)</f>
        <v/>
      </c>
      <c r="V556">
        <f>IF($AG556="","",Config!$B$19)</f>
        <v/>
      </c>
      <c r="W556">
        <f>IF($AG556="","",INDEX('TMP Paste'!$C$2:$C$1601,$AG556))</f>
        <v/>
      </c>
      <c r="X556">
        <f>IF($AG556="","",Config!$B$29)</f>
        <v/>
      </c>
      <c r="Y556">
        <f>IF($AH556="","",INDEX(Calc!$I$2:$I$1601,$AH556)&amp;" - "&amp;INDEX(Calc!$D$2:$D$1601,$AH556)&amp;" koli")</f>
        <v/>
      </c>
      <c r="Z556">
        <f>IF($AG556="","",Config!$B$21)</f>
        <v/>
      </c>
      <c r="AA556">
        <f>IF($AG556="","",Config!$B$22)</f>
        <v/>
      </c>
      <c r="AB556">
        <f>IF($AH556="","",INDEX(Calc!$D$2:$D$1601,$AH556))</f>
        <v/>
      </c>
      <c r="AC556">
        <f>IF($AH556="","",INDEX(Calc!$G$2:$G$1601,$AH556))</f>
        <v/>
      </c>
      <c r="AD556">
        <f>IF($AG556="","",Config!$B$23)</f>
        <v/>
      </c>
      <c r="AE556">
        <f>IF($AG556="","",Config!$B$28)</f>
        <v/>
      </c>
      <c r="AG556">
        <f>IFERROR(MATCH(ROW()-1,Calc!$J$2:$J$1601,0),"")</f>
        <v/>
      </c>
      <c r="AH556">
        <f>IFERROR(MATCH(ROW()-1,Calc!$K$2:$K$1601,0),"")</f>
        <v/>
      </c>
      <c r="AI556">
        <f>IF($AG556="","",SUMIF($AG$2:$AG556,$AG556,$AH$2:$AH556))</f>
        <v/>
      </c>
      <c r="AJ556">
        <f>IF('TMP Paste'!$F556="","",IF('TMP Paste'!$B556="",$AJ555,'TMP Paste'!$B556))</f>
        <v/>
      </c>
      <c r="AK556">
        <f>IF('TMP Paste'!$F556="","",N('TMP Paste'!$G556))</f>
        <v/>
      </c>
      <c r="AL556">
        <f>IF('TMP Paste'!$F556="","",IF('TMP Paste'!$M556="",$AL555,'TMP Paste'!$M556))</f>
        <v/>
      </c>
      <c r="AM556">
        <f>IF('TMP Paste'!$F556="","",IF('TMP Paste'!$N556="",$AM555,'TMP Paste'!$N556))</f>
        <v/>
      </c>
      <c r="AN556">
        <f>IF('TMP Paste'!$F556="","",IF('TMP Paste'!$O556="",$AN555,'TMP Paste'!$O556))</f>
        <v/>
      </c>
      <c r="AO556">
        <f>IF('TMP Paste'!$F556="","",IF('TMP Paste'!$P556="",$AO555,'TMP Paste'!$P556))</f>
        <v/>
      </c>
      <c r="AP556">
        <f>IF($AG556="","",LEN($R556))</f>
        <v/>
      </c>
      <c r="AQ556">
        <f>IF($AG556="","",TRIM(IF(COUNTIFS(Calc!$B$2:$B$1601,ROW()-1,Calc!$C$2:$C$1601,"&lt;1")&gt;0,"Ada PO tanpa Koli - cek TMP. ","")&amp;IF(LEN($R556)&gt;500,"R &gt; 500 karakter.","")))</f>
        <v/>
      </c>
    </row>
    <row r="557">
      <c r="A557">
        <f>IF($AG557="","",INDEX('TMP Paste'!$B$2:$B$1601,$AG557))</f>
        <v/>
      </c>
      <c r="B557">
        <f>IF($AG557="","",Config!$B$14)</f>
        <v/>
      </c>
      <c r="C557">
        <f>IF($AG557="","",Config!$B$15)</f>
        <v/>
      </c>
      <c r="D557">
        <f>IF($AG557="","",INDEX('TMP Paste'!$B$2:$B$1601,$AG557))</f>
        <v/>
      </c>
      <c r="E557">
        <f>IF($AG557="","",Config!$B$27)</f>
        <v/>
      </c>
      <c r="F557">
        <f>IF($AG557="","",Config!$B$9)</f>
        <v/>
      </c>
      <c r="G557">
        <f>IF($AG557="","",Config!$B$10)</f>
        <v/>
      </c>
      <c r="H557">
        <f>IF($AG557="","",Config!$B$11)</f>
        <v/>
      </c>
      <c r="I557">
        <f>IF($AG557="","",Config!$B$16)</f>
        <v/>
      </c>
      <c r="J557">
        <f>IF($AG557="","",INDEX('TMP Paste'!$A$2:$A$1601,$AG557))</f>
        <v/>
      </c>
      <c r="K557">
        <f>IF($AG557="","",INDEX('TMP Paste'!$L$2:$L$1601,$AG557))</f>
        <v/>
      </c>
      <c r="L557">
        <f>IF($AG557="","",INDEX('TMP Paste'!$I$2:$I$1601,$AG557))</f>
        <v/>
      </c>
      <c r="M557">
        <f>IF($AG557="","",Config!$B$16)</f>
        <v/>
      </c>
      <c r="N557">
        <f>IF($AG557="","","")</f>
        <v/>
      </c>
      <c r="O557">
        <f>IF($AG557="","",INDEX('TMP Paste'!$K$2:$K$1601,$AG557))</f>
        <v/>
      </c>
      <c r="P557">
        <f>IF($AG557="","","")</f>
        <v/>
      </c>
      <c r="Q557">
        <f>IF($AG557="","",INDEX('TMP Paste'!$J$2:$J$1601,$AG557))</f>
        <v/>
      </c>
      <c r="R557">
        <f>IF($AG557="","",Config!$B$24)</f>
        <v/>
      </c>
      <c r="S557">
        <f>IF($AG557="","",TEXT(Config!$B$4,"yyyy-mm-dd"))</f>
        <v/>
      </c>
      <c r="T557">
        <f>IF($AG557="","",Config!$B$17)</f>
        <v/>
      </c>
      <c r="U557">
        <f>IF($AG557="","",Config!$B$18)</f>
        <v/>
      </c>
      <c r="V557">
        <f>IF($AG557="","",Config!$B$19)</f>
        <v/>
      </c>
      <c r="W557">
        <f>IF($AG557="","",INDEX('TMP Paste'!$C$2:$C$1601,$AG557))</f>
        <v/>
      </c>
      <c r="X557">
        <f>IF($AG557="","",Config!$B$29)</f>
        <v/>
      </c>
      <c r="Y557">
        <f>IF($AH557="","",INDEX(Calc!$I$2:$I$1601,$AH557)&amp;" - "&amp;INDEX(Calc!$D$2:$D$1601,$AH557)&amp;" koli")</f>
        <v/>
      </c>
      <c r="Z557">
        <f>IF($AG557="","",Config!$B$21)</f>
        <v/>
      </c>
      <c r="AA557">
        <f>IF($AG557="","",Config!$B$22)</f>
        <v/>
      </c>
      <c r="AB557">
        <f>IF($AH557="","",INDEX(Calc!$D$2:$D$1601,$AH557))</f>
        <v/>
      </c>
      <c r="AC557">
        <f>IF($AH557="","",INDEX(Calc!$G$2:$G$1601,$AH557))</f>
        <v/>
      </c>
      <c r="AD557">
        <f>IF($AG557="","",Config!$B$23)</f>
        <v/>
      </c>
      <c r="AE557">
        <f>IF($AG557="","",Config!$B$28)</f>
        <v/>
      </c>
      <c r="AG557">
        <f>IFERROR(MATCH(ROW()-1,Calc!$J$2:$J$1601,0),"")</f>
        <v/>
      </c>
      <c r="AH557">
        <f>IFERROR(MATCH(ROW()-1,Calc!$K$2:$K$1601,0),"")</f>
        <v/>
      </c>
      <c r="AI557">
        <f>IF($AG557="","",SUMIF($AG$2:$AG557,$AG557,$AH$2:$AH557))</f>
        <v/>
      </c>
      <c r="AJ557">
        <f>IF('TMP Paste'!$F557="","",IF('TMP Paste'!$B557="",$AJ556,'TMP Paste'!$B557))</f>
        <v/>
      </c>
      <c r="AK557">
        <f>IF('TMP Paste'!$F557="","",N('TMP Paste'!$G557))</f>
        <v/>
      </c>
      <c r="AL557">
        <f>IF('TMP Paste'!$F557="","",IF('TMP Paste'!$M557="",$AL556,'TMP Paste'!$M557))</f>
        <v/>
      </c>
      <c r="AM557">
        <f>IF('TMP Paste'!$F557="","",IF('TMP Paste'!$N557="",$AM556,'TMP Paste'!$N557))</f>
        <v/>
      </c>
      <c r="AN557">
        <f>IF('TMP Paste'!$F557="","",IF('TMP Paste'!$O557="",$AN556,'TMP Paste'!$O557))</f>
        <v/>
      </c>
      <c r="AO557">
        <f>IF('TMP Paste'!$F557="","",IF('TMP Paste'!$P557="",$AO556,'TMP Paste'!$P557))</f>
        <v/>
      </c>
      <c r="AP557">
        <f>IF($AG557="","",LEN($R557))</f>
        <v/>
      </c>
      <c r="AQ557">
        <f>IF($AG557="","",TRIM(IF(COUNTIFS(Calc!$B$2:$B$1601,ROW()-1,Calc!$C$2:$C$1601,"&lt;1")&gt;0,"Ada PO tanpa Koli - cek TMP. ","")&amp;IF(LEN($R557)&gt;500,"R &gt; 500 karakter.","")))</f>
        <v/>
      </c>
    </row>
    <row r="558">
      <c r="A558">
        <f>IF($AG558="","",INDEX('TMP Paste'!$B$2:$B$1601,$AG558))</f>
        <v/>
      </c>
      <c r="B558">
        <f>IF($AG558="","",Config!$B$14)</f>
        <v/>
      </c>
      <c r="C558">
        <f>IF($AG558="","",Config!$B$15)</f>
        <v/>
      </c>
      <c r="D558">
        <f>IF($AG558="","",INDEX('TMP Paste'!$B$2:$B$1601,$AG558))</f>
        <v/>
      </c>
      <c r="E558">
        <f>IF($AG558="","",Config!$B$27)</f>
        <v/>
      </c>
      <c r="F558">
        <f>IF($AG558="","",Config!$B$9)</f>
        <v/>
      </c>
      <c r="G558">
        <f>IF($AG558="","",Config!$B$10)</f>
        <v/>
      </c>
      <c r="H558">
        <f>IF($AG558="","",Config!$B$11)</f>
        <v/>
      </c>
      <c r="I558">
        <f>IF($AG558="","",Config!$B$16)</f>
        <v/>
      </c>
      <c r="J558">
        <f>IF($AG558="","",INDEX('TMP Paste'!$A$2:$A$1601,$AG558))</f>
        <v/>
      </c>
      <c r="K558">
        <f>IF($AG558="","",INDEX('TMP Paste'!$L$2:$L$1601,$AG558))</f>
        <v/>
      </c>
      <c r="L558">
        <f>IF($AG558="","",INDEX('TMP Paste'!$I$2:$I$1601,$AG558))</f>
        <v/>
      </c>
      <c r="M558">
        <f>IF($AG558="","",Config!$B$16)</f>
        <v/>
      </c>
      <c r="N558">
        <f>IF($AG558="","","")</f>
        <v/>
      </c>
      <c r="O558">
        <f>IF($AG558="","",INDEX('TMP Paste'!$K$2:$K$1601,$AG558))</f>
        <v/>
      </c>
      <c r="P558">
        <f>IF($AG558="","","")</f>
        <v/>
      </c>
      <c r="Q558">
        <f>IF($AG558="","",INDEX('TMP Paste'!$J$2:$J$1601,$AG558))</f>
        <v/>
      </c>
      <c r="R558">
        <f>IF($AG558="","",Config!$B$24)</f>
        <v/>
      </c>
      <c r="S558">
        <f>IF($AG558="","",TEXT(Config!$B$4,"yyyy-mm-dd"))</f>
        <v/>
      </c>
      <c r="T558">
        <f>IF($AG558="","",Config!$B$17)</f>
        <v/>
      </c>
      <c r="U558">
        <f>IF($AG558="","",Config!$B$18)</f>
        <v/>
      </c>
      <c r="V558">
        <f>IF($AG558="","",Config!$B$19)</f>
        <v/>
      </c>
      <c r="W558">
        <f>IF($AG558="","",INDEX('TMP Paste'!$C$2:$C$1601,$AG558))</f>
        <v/>
      </c>
      <c r="X558">
        <f>IF($AG558="","",Config!$B$29)</f>
        <v/>
      </c>
      <c r="Y558">
        <f>IF($AH558="","",INDEX(Calc!$I$2:$I$1601,$AH558)&amp;" - "&amp;INDEX(Calc!$D$2:$D$1601,$AH558)&amp;" koli")</f>
        <v/>
      </c>
      <c r="Z558">
        <f>IF($AG558="","",Config!$B$21)</f>
        <v/>
      </c>
      <c r="AA558">
        <f>IF($AG558="","",Config!$B$22)</f>
        <v/>
      </c>
      <c r="AB558">
        <f>IF($AH558="","",INDEX(Calc!$D$2:$D$1601,$AH558))</f>
        <v/>
      </c>
      <c r="AC558">
        <f>IF($AH558="","",INDEX(Calc!$G$2:$G$1601,$AH558))</f>
        <v/>
      </c>
      <c r="AD558">
        <f>IF($AG558="","",Config!$B$23)</f>
        <v/>
      </c>
      <c r="AE558">
        <f>IF($AG558="","",Config!$B$28)</f>
        <v/>
      </c>
      <c r="AG558">
        <f>IFERROR(MATCH(ROW()-1,Calc!$J$2:$J$1601,0),"")</f>
        <v/>
      </c>
      <c r="AH558">
        <f>IFERROR(MATCH(ROW()-1,Calc!$K$2:$K$1601,0),"")</f>
        <v/>
      </c>
      <c r="AI558">
        <f>IF($AG558="","",SUMIF($AG$2:$AG558,$AG558,$AH$2:$AH558))</f>
        <v/>
      </c>
      <c r="AJ558">
        <f>IF('TMP Paste'!$F558="","",IF('TMP Paste'!$B558="",$AJ557,'TMP Paste'!$B558))</f>
        <v/>
      </c>
      <c r="AK558">
        <f>IF('TMP Paste'!$F558="","",N('TMP Paste'!$G558))</f>
        <v/>
      </c>
      <c r="AL558">
        <f>IF('TMP Paste'!$F558="","",IF('TMP Paste'!$M558="",$AL557,'TMP Paste'!$M558))</f>
        <v/>
      </c>
      <c r="AM558">
        <f>IF('TMP Paste'!$F558="","",IF('TMP Paste'!$N558="",$AM557,'TMP Paste'!$N558))</f>
        <v/>
      </c>
      <c r="AN558">
        <f>IF('TMP Paste'!$F558="","",IF('TMP Paste'!$O558="",$AN557,'TMP Paste'!$O558))</f>
        <v/>
      </c>
      <c r="AO558">
        <f>IF('TMP Paste'!$F558="","",IF('TMP Paste'!$P558="",$AO557,'TMP Paste'!$P558))</f>
        <v/>
      </c>
      <c r="AP558">
        <f>IF($AG558="","",LEN($R558))</f>
        <v/>
      </c>
      <c r="AQ558">
        <f>IF($AG558="","",TRIM(IF(COUNTIFS(Calc!$B$2:$B$1601,ROW()-1,Calc!$C$2:$C$1601,"&lt;1")&gt;0,"Ada PO tanpa Koli - cek TMP. ","")&amp;IF(LEN($R558)&gt;500,"R &gt; 500 karakter.","")))</f>
        <v/>
      </c>
    </row>
    <row r="559">
      <c r="A559">
        <f>IF($AG559="","",INDEX('TMP Paste'!$B$2:$B$1601,$AG559))</f>
        <v/>
      </c>
      <c r="B559">
        <f>IF($AG559="","",Config!$B$14)</f>
        <v/>
      </c>
      <c r="C559">
        <f>IF($AG559="","",Config!$B$15)</f>
        <v/>
      </c>
      <c r="D559">
        <f>IF($AG559="","",INDEX('TMP Paste'!$B$2:$B$1601,$AG559))</f>
        <v/>
      </c>
      <c r="E559">
        <f>IF($AG559="","",Config!$B$27)</f>
        <v/>
      </c>
      <c r="F559">
        <f>IF($AG559="","",Config!$B$9)</f>
        <v/>
      </c>
      <c r="G559">
        <f>IF($AG559="","",Config!$B$10)</f>
        <v/>
      </c>
      <c r="H559">
        <f>IF($AG559="","",Config!$B$11)</f>
        <v/>
      </c>
      <c r="I559">
        <f>IF($AG559="","",Config!$B$16)</f>
        <v/>
      </c>
      <c r="J559">
        <f>IF($AG559="","",INDEX('TMP Paste'!$A$2:$A$1601,$AG559))</f>
        <v/>
      </c>
      <c r="K559">
        <f>IF($AG559="","",INDEX('TMP Paste'!$L$2:$L$1601,$AG559))</f>
        <v/>
      </c>
      <c r="L559">
        <f>IF($AG559="","",INDEX('TMP Paste'!$I$2:$I$1601,$AG559))</f>
        <v/>
      </c>
      <c r="M559">
        <f>IF($AG559="","",Config!$B$16)</f>
        <v/>
      </c>
      <c r="N559">
        <f>IF($AG559="","","")</f>
        <v/>
      </c>
      <c r="O559">
        <f>IF($AG559="","",INDEX('TMP Paste'!$K$2:$K$1601,$AG559))</f>
        <v/>
      </c>
      <c r="P559">
        <f>IF($AG559="","","")</f>
        <v/>
      </c>
      <c r="Q559">
        <f>IF($AG559="","",INDEX('TMP Paste'!$J$2:$J$1601,$AG559))</f>
        <v/>
      </c>
      <c r="R559">
        <f>IF($AG559="","",Config!$B$24)</f>
        <v/>
      </c>
      <c r="S559">
        <f>IF($AG559="","",TEXT(Config!$B$4,"yyyy-mm-dd"))</f>
        <v/>
      </c>
      <c r="T559">
        <f>IF($AG559="","",Config!$B$17)</f>
        <v/>
      </c>
      <c r="U559">
        <f>IF($AG559="","",Config!$B$18)</f>
        <v/>
      </c>
      <c r="V559">
        <f>IF($AG559="","",Config!$B$19)</f>
        <v/>
      </c>
      <c r="W559">
        <f>IF($AG559="","",INDEX('TMP Paste'!$C$2:$C$1601,$AG559))</f>
        <v/>
      </c>
      <c r="X559">
        <f>IF($AG559="","",Config!$B$29)</f>
        <v/>
      </c>
      <c r="Y559">
        <f>IF($AH559="","",INDEX(Calc!$I$2:$I$1601,$AH559)&amp;" - "&amp;INDEX(Calc!$D$2:$D$1601,$AH559)&amp;" koli")</f>
        <v/>
      </c>
      <c r="Z559">
        <f>IF($AG559="","",Config!$B$21)</f>
        <v/>
      </c>
      <c r="AA559">
        <f>IF($AG559="","",Config!$B$22)</f>
        <v/>
      </c>
      <c r="AB559">
        <f>IF($AH559="","",INDEX(Calc!$D$2:$D$1601,$AH559))</f>
        <v/>
      </c>
      <c r="AC559">
        <f>IF($AH559="","",INDEX(Calc!$G$2:$G$1601,$AH559))</f>
        <v/>
      </c>
      <c r="AD559">
        <f>IF($AG559="","",Config!$B$23)</f>
        <v/>
      </c>
      <c r="AE559">
        <f>IF($AG559="","",Config!$B$28)</f>
        <v/>
      </c>
      <c r="AG559">
        <f>IFERROR(MATCH(ROW()-1,Calc!$J$2:$J$1601,0),"")</f>
        <v/>
      </c>
      <c r="AH559">
        <f>IFERROR(MATCH(ROW()-1,Calc!$K$2:$K$1601,0),"")</f>
        <v/>
      </c>
      <c r="AI559">
        <f>IF($AG559="","",SUMIF($AG$2:$AG559,$AG559,$AH$2:$AH559))</f>
        <v/>
      </c>
      <c r="AJ559">
        <f>IF('TMP Paste'!$F559="","",IF('TMP Paste'!$B559="",$AJ558,'TMP Paste'!$B559))</f>
        <v/>
      </c>
      <c r="AK559">
        <f>IF('TMP Paste'!$F559="","",N('TMP Paste'!$G559))</f>
        <v/>
      </c>
      <c r="AL559">
        <f>IF('TMP Paste'!$F559="","",IF('TMP Paste'!$M559="",$AL558,'TMP Paste'!$M559))</f>
        <v/>
      </c>
      <c r="AM559">
        <f>IF('TMP Paste'!$F559="","",IF('TMP Paste'!$N559="",$AM558,'TMP Paste'!$N559))</f>
        <v/>
      </c>
      <c r="AN559">
        <f>IF('TMP Paste'!$F559="","",IF('TMP Paste'!$O559="",$AN558,'TMP Paste'!$O559))</f>
        <v/>
      </c>
      <c r="AO559">
        <f>IF('TMP Paste'!$F559="","",IF('TMP Paste'!$P559="",$AO558,'TMP Paste'!$P559))</f>
        <v/>
      </c>
      <c r="AP559">
        <f>IF($AG559="","",LEN($R559))</f>
        <v/>
      </c>
      <c r="AQ559">
        <f>IF($AG559="","",TRIM(IF(COUNTIFS(Calc!$B$2:$B$1601,ROW()-1,Calc!$C$2:$C$1601,"&lt;1")&gt;0,"Ada PO tanpa Koli - cek TMP. ","")&amp;IF(LEN($R559)&gt;500,"R &gt; 500 karakter.","")))</f>
        <v/>
      </c>
    </row>
    <row r="560">
      <c r="A560">
        <f>IF($AG560="","",INDEX('TMP Paste'!$B$2:$B$1601,$AG560))</f>
        <v/>
      </c>
      <c r="B560">
        <f>IF($AG560="","",Config!$B$14)</f>
        <v/>
      </c>
      <c r="C560">
        <f>IF($AG560="","",Config!$B$15)</f>
        <v/>
      </c>
      <c r="D560">
        <f>IF($AG560="","",INDEX('TMP Paste'!$B$2:$B$1601,$AG560))</f>
        <v/>
      </c>
      <c r="E560">
        <f>IF($AG560="","",Config!$B$27)</f>
        <v/>
      </c>
      <c r="F560">
        <f>IF($AG560="","",Config!$B$9)</f>
        <v/>
      </c>
      <c r="G560">
        <f>IF($AG560="","",Config!$B$10)</f>
        <v/>
      </c>
      <c r="H560">
        <f>IF($AG560="","",Config!$B$11)</f>
        <v/>
      </c>
      <c r="I560">
        <f>IF($AG560="","",Config!$B$16)</f>
        <v/>
      </c>
      <c r="J560">
        <f>IF($AG560="","",INDEX('TMP Paste'!$A$2:$A$1601,$AG560))</f>
        <v/>
      </c>
      <c r="K560">
        <f>IF($AG560="","",INDEX('TMP Paste'!$L$2:$L$1601,$AG560))</f>
        <v/>
      </c>
      <c r="L560">
        <f>IF($AG560="","",INDEX('TMP Paste'!$I$2:$I$1601,$AG560))</f>
        <v/>
      </c>
      <c r="M560">
        <f>IF($AG560="","",Config!$B$16)</f>
        <v/>
      </c>
      <c r="N560">
        <f>IF($AG560="","","")</f>
        <v/>
      </c>
      <c r="O560">
        <f>IF($AG560="","",INDEX('TMP Paste'!$K$2:$K$1601,$AG560))</f>
        <v/>
      </c>
      <c r="P560">
        <f>IF($AG560="","","")</f>
        <v/>
      </c>
      <c r="Q560">
        <f>IF($AG560="","",INDEX('TMP Paste'!$J$2:$J$1601,$AG560))</f>
        <v/>
      </c>
      <c r="R560">
        <f>IF($AG560="","",Config!$B$24)</f>
        <v/>
      </c>
      <c r="S560">
        <f>IF($AG560="","",TEXT(Config!$B$4,"yyyy-mm-dd"))</f>
        <v/>
      </c>
      <c r="T560">
        <f>IF($AG560="","",Config!$B$17)</f>
        <v/>
      </c>
      <c r="U560">
        <f>IF($AG560="","",Config!$B$18)</f>
        <v/>
      </c>
      <c r="V560">
        <f>IF($AG560="","",Config!$B$19)</f>
        <v/>
      </c>
      <c r="W560">
        <f>IF($AG560="","",INDEX('TMP Paste'!$C$2:$C$1601,$AG560))</f>
        <v/>
      </c>
      <c r="X560">
        <f>IF($AG560="","",Config!$B$29)</f>
        <v/>
      </c>
      <c r="Y560">
        <f>IF($AH560="","",INDEX(Calc!$I$2:$I$1601,$AH560)&amp;" - "&amp;INDEX(Calc!$D$2:$D$1601,$AH560)&amp;" koli")</f>
        <v/>
      </c>
      <c r="Z560">
        <f>IF($AG560="","",Config!$B$21)</f>
        <v/>
      </c>
      <c r="AA560">
        <f>IF($AG560="","",Config!$B$22)</f>
        <v/>
      </c>
      <c r="AB560">
        <f>IF($AH560="","",INDEX(Calc!$D$2:$D$1601,$AH560))</f>
        <v/>
      </c>
      <c r="AC560">
        <f>IF($AH560="","",INDEX(Calc!$G$2:$G$1601,$AH560))</f>
        <v/>
      </c>
      <c r="AD560">
        <f>IF($AG560="","",Config!$B$23)</f>
        <v/>
      </c>
      <c r="AE560">
        <f>IF($AG560="","",Config!$B$28)</f>
        <v/>
      </c>
      <c r="AG560">
        <f>IFERROR(MATCH(ROW()-1,Calc!$J$2:$J$1601,0),"")</f>
        <v/>
      </c>
      <c r="AH560">
        <f>IFERROR(MATCH(ROW()-1,Calc!$K$2:$K$1601,0),"")</f>
        <v/>
      </c>
      <c r="AI560">
        <f>IF($AG560="","",SUMIF($AG$2:$AG560,$AG560,$AH$2:$AH560))</f>
        <v/>
      </c>
      <c r="AJ560">
        <f>IF('TMP Paste'!$F560="","",IF('TMP Paste'!$B560="",$AJ559,'TMP Paste'!$B560))</f>
        <v/>
      </c>
      <c r="AK560">
        <f>IF('TMP Paste'!$F560="","",N('TMP Paste'!$G560))</f>
        <v/>
      </c>
      <c r="AL560">
        <f>IF('TMP Paste'!$F560="","",IF('TMP Paste'!$M560="",$AL559,'TMP Paste'!$M560))</f>
        <v/>
      </c>
      <c r="AM560">
        <f>IF('TMP Paste'!$F560="","",IF('TMP Paste'!$N560="",$AM559,'TMP Paste'!$N560))</f>
        <v/>
      </c>
      <c r="AN560">
        <f>IF('TMP Paste'!$F560="","",IF('TMP Paste'!$O560="",$AN559,'TMP Paste'!$O560))</f>
        <v/>
      </c>
      <c r="AO560">
        <f>IF('TMP Paste'!$F560="","",IF('TMP Paste'!$P560="",$AO559,'TMP Paste'!$P560))</f>
        <v/>
      </c>
      <c r="AP560">
        <f>IF($AG560="","",LEN($R560))</f>
        <v/>
      </c>
      <c r="AQ560">
        <f>IF($AG560="","",TRIM(IF(COUNTIFS(Calc!$B$2:$B$1601,ROW()-1,Calc!$C$2:$C$1601,"&lt;1")&gt;0,"Ada PO tanpa Koli - cek TMP. ","")&amp;IF(LEN($R560)&gt;500,"R &gt; 500 karakter.","")))</f>
        <v/>
      </c>
    </row>
    <row r="561">
      <c r="A561">
        <f>IF($AG561="","",INDEX('TMP Paste'!$B$2:$B$1601,$AG561))</f>
        <v/>
      </c>
      <c r="B561">
        <f>IF($AG561="","",Config!$B$14)</f>
        <v/>
      </c>
      <c r="C561">
        <f>IF($AG561="","",Config!$B$15)</f>
        <v/>
      </c>
      <c r="D561">
        <f>IF($AG561="","",INDEX('TMP Paste'!$B$2:$B$1601,$AG561))</f>
        <v/>
      </c>
      <c r="E561">
        <f>IF($AG561="","",Config!$B$27)</f>
        <v/>
      </c>
      <c r="F561">
        <f>IF($AG561="","",Config!$B$9)</f>
        <v/>
      </c>
      <c r="G561">
        <f>IF($AG561="","",Config!$B$10)</f>
        <v/>
      </c>
      <c r="H561">
        <f>IF($AG561="","",Config!$B$11)</f>
        <v/>
      </c>
      <c r="I561">
        <f>IF($AG561="","",Config!$B$16)</f>
        <v/>
      </c>
      <c r="J561">
        <f>IF($AG561="","",INDEX('TMP Paste'!$A$2:$A$1601,$AG561))</f>
        <v/>
      </c>
      <c r="K561">
        <f>IF($AG561="","",INDEX('TMP Paste'!$L$2:$L$1601,$AG561))</f>
        <v/>
      </c>
      <c r="L561">
        <f>IF($AG561="","",INDEX('TMP Paste'!$I$2:$I$1601,$AG561))</f>
        <v/>
      </c>
      <c r="M561">
        <f>IF($AG561="","",Config!$B$16)</f>
        <v/>
      </c>
      <c r="N561">
        <f>IF($AG561="","","")</f>
        <v/>
      </c>
      <c r="O561">
        <f>IF($AG561="","",INDEX('TMP Paste'!$K$2:$K$1601,$AG561))</f>
        <v/>
      </c>
      <c r="P561">
        <f>IF($AG561="","","")</f>
        <v/>
      </c>
      <c r="Q561">
        <f>IF($AG561="","",INDEX('TMP Paste'!$J$2:$J$1601,$AG561))</f>
        <v/>
      </c>
      <c r="R561">
        <f>IF($AG561="","",Config!$B$24)</f>
        <v/>
      </c>
      <c r="S561">
        <f>IF($AG561="","",TEXT(Config!$B$4,"yyyy-mm-dd"))</f>
        <v/>
      </c>
      <c r="T561">
        <f>IF($AG561="","",Config!$B$17)</f>
        <v/>
      </c>
      <c r="U561">
        <f>IF($AG561="","",Config!$B$18)</f>
        <v/>
      </c>
      <c r="V561">
        <f>IF($AG561="","",Config!$B$19)</f>
        <v/>
      </c>
      <c r="W561">
        <f>IF($AG561="","",INDEX('TMP Paste'!$C$2:$C$1601,$AG561))</f>
        <v/>
      </c>
      <c r="X561">
        <f>IF($AG561="","",Config!$B$29)</f>
        <v/>
      </c>
      <c r="Y561">
        <f>IF($AH561="","",INDEX(Calc!$I$2:$I$1601,$AH561)&amp;" - "&amp;INDEX(Calc!$D$2:$D$1601,$AH561)&amp;" koli")</f>
        <v/>
      </c>
      <c r="Z561">
        <f>IF($AG561="","",Config!$B$21)</f>
        <v/>
      </c>
      <c r="AA561">
        <f>IF($AG561="","",Config!$B$22)</f>
        <v/>
      </c>
      <c r="AB561">
        <f>IF($AH561="","",INDEX(Calc!$D$2:$D$1601,$AH561))</f>
        <v/>
      </c>
      <c r="AC561">
        <f>IF($AH561="","",INDEX(Calc!$G$2:$G$1601,$AH561))</f>
        <v/>
      </c>
      <c r="AD561">
        <f>IF($AG561="","",Config!$B$23)</f>
        <v/>
      </c>
      <c r="AE561">
        <f>IF($AG561="","",Config!$B$28)</f>
        <v/>
      </c>
      <c r="AG561">
        <f>IFERROR(MATCH(ROW()-1,Calc!$J$2:$J$1601,0),"")</f>
        <v/>
      </c>
      <c r="AH561">
        <f>IFERROR(MATCH(ROW()-1,Calc!$K$2:$K$1601,0),"")</f>
        <v/>
      </c>
      <c r="AI561">
        <f>IF($AG561="","",SUMIF($AG$2:$AG561,$AG561,$AH$2:$AH561))</f>
        <v/>
      </c>
      <c r="AJ561">
        <f>IF('TMP Paste'!$F561="","",IF('TMP Paste'!$B561="",$AJ560,'TMP Paste'!$B561))</f>
        <v/>
      </c>
      <c r="AK561">
        <f>IF('TMP Paste'!$F561="","",N('TMP Paste'!$G561))</f>
        <v/>
      </c>
      <c r="AL561">
        <f>IF('TMP Paste'!$F561="","",IF('TMP Paste'!$M561="",$AL560,'TMP Paste'!$M561))</f>
        <v/>
      </c>
      <c r="AM561">
        <f>IF('TMP Paste'!$F561="","",IF('TMP Paste'!$N561="",$AM560,'TMP Paste'!$N561))</f>
        <v/>
      </c>
      <c r="AN561">
        <f>IF('TMP Paste'!$F561="","",IF('TMP Paste'!$O561="",$AN560,'TMP Paste'!$O561))</f>
        <v/>
      </c>
      <c r="AO561">
        <f>IF('TMP Paste'!$F561="","",IF('TMP Paste'!$P561="",$AO560,'TMP Paste'!$P561))</f>
        <v/>
      </c>
      <c r="AP561">
        <f>IF($AG561="","",LEN($R561))</f>
        <v/>
      </c>
      <c r="AQ561">
        <f>IF($AG561="","",TRIM(IF(COUNTIFS(Calc!$B$2:$B$1601,ROW()-1,Calc!$C$2:$C$1601,"&lt;1")&gt;0,"Ada PO tanpa Koli - cek TMP. ","")&amp;IF(LEN($R561)&gt;500,"R &gt; 500 karakter.","")))</f>
        <v/>
      </c>
    </row>
    <row r="562">
      <c r="A562">
        <f>IF($AG562="","",INDEX('TMP Paste'!$B$2:$B$1601,$AG562))</f>
        <v/>
      </c>
      <c r="B562">
        <f>IF($AG562="","",Config!$B$14)</f>
        <v/>
      </c>
      <c r="C562">
        <f>IF($AG562="","",Config!$B$15)</f>
        <v/>
      </c>
      <c r="D562">
        <f>IF($AG562="","",INDEX('TMP Paste'!$B$2:$B$1601,$AG562))</f>
        <v/>
      </c>
      <c r="E562">
        <f>IF($AG562="","",Config!$B$27)</f>
        <v/>
      </c>
      <c r="F562">
        <f>IF($AG562="","",Config!$B$9)</f>
        <v/>
      </c>
      <c r="G562">
        <f>IF($AG562="","",Config!$B$10)</f>
        <v/>
      </c>
      <c r="H562">
        <f>IF($AG562="","",Config!$B$11)</f>
        <v/>
      </c>
      <c r="I562">
        <f>IF($AG562="","",Config!$B$16)</f>
        <v/>
      </c>
      <c r="J562">
        <f>IF($AG562="","",INDEX('TMP Paste'!$A$2:$A$1601,$AG562))</f>
        <v/>
      </c>
      <c r="K562">
        <f>IF($AG562="","",INDEX('TMP Paste'!$L$2:$L$1601,$AG562))</f>
        <v/>
      </c>
      <c r="L562">
        <f>IF($AG562="","",INDEX('TMP Paste'!$I$2:$I$1601,$AG562))</f>
        <v/>
      </c>
      <c r="M562">
        <f>IF($AG562="","",Config!$B$16)</f>
        <v/>
      </c>
      <c r="N562">
        <f>IF($AG562="","","")</f>
        <v/>
      </c>
      <c r="O562">
        <f>IF($AG562="","",INDEX('TMP Paste'!$K$2:$K$1601,$AG562))</f>
        <v/>
      </c>
      <c r="P562">
        <f>IF($AG562="","","")</f>
        <v/>
      </c>
      <c r="Q562">
        <f>IF($AG562="","",INDEX('TMP Paste'!$J$2:$J$1601,$AG562))</f>
        <v/>
      </c>
      <c r="R562">
        <f>IF($AG562="","",Config!$B$24)</f>
        <v/>
      </c>
      <c r="S562">
        <f>IF($AG562="","",TEXT(Config!$B$4,"yyyy-mm-dd"))</f>
        <v/>
      </c>
      <c r="T562">
        <f>IF($AG562="","",Config!$B$17)</f>
        <v/>
      </c>
      <c r="U562">
        <f>IF($AG562="","",Config!$B$18)</f>
        <v/>
      </c>
      <c r="V562">
        <f>IF($AG562="","",Config!$B$19)</f>
        <v/>
      </c>
      <c r="W562">
        <f>IF($AG562="","",INDEX('TMP Paste'!$C$2:$C$1601,$AG562))</f>
        <v/>
      </c>
      <c r="X562">
        <f>IF($AG562="","",Config!$B$29)</f>
        <v/>
      </c>
      <c r="Y562">
        <f>IF($AH562="","",INDEX(Calc!$I$2:$I$1601,$AH562)&amp;" - "&amp;INDEX(Calc!$D$2:$D$1601,$AH562)&amp;" koli")</f>
        <v/>
      </c>
      <c r="Z562">
        <f>IF($AG562="","",Config!$B$21)</f>
        <v/>
      </c>
      <c r="AA562">
        <f>IF($AG562="","",Config!$B$22)</f>
        <v/>
      </c>
      <c r="AB562">
        <f>IF($AH562="","",INDEX(Calc!$D$2:$D$1601,$AH562))</f>
        <v/>
      </c>
      <c r="AC562">
        <f>IF($AH562="","",INDEX(Calc!$G$2:$G$1601,$AH562))</f>
        <v/>
      </c>
      <c r="AD562">
        <f>IF($AG562="","",Config!$B$23)</f>
        <v/>
      </c>
      <c r="AE562">
        <f>IF($AG562="","",Config!$B$28)</f>
        <v/>
      </c>
      <c r="AG562">
        <f>IFERROR(MATCH(ROW()-1,Calc!$J$2:$J$1601,0),"")</f>
        <v/>
      </c>
      <c r="AH562">
        <f>IFERROR(MATCH(ROW()-1,Calc!$K$2:$K$1601,0),"")</f>
        <v/>
      </c>
      <c r="AI562">
        <f>IF($AG562="","",SUMIF($AG$2:$AG562,$AG562,$AH$2:$AH562))</f>
        <v/>
      </c>
      <c r="AJ562">
        <f>IF('TMP Paste'!$F562="","",IF('TMP Paste'!$B562="",$AJ561,'TMP Paste'!$B562))</f>
        <v/>
      </c>
      <c r="AK562">
        <f>IF('TMP Paste'!$F562="","",N('TMP Paste'!$G562))</f>
        <v/>
      </c>
      <c r="AL562">
        <f>IF('TMP Paste'!$F562="","",IF('TMP Paste'!$M562="",$AL561,'TMP Paste'!$M562))</f>
        <v/>
      </c>
      <c r="AM562">
        <f>IF('TMP Paste'!$F562="","",IF('TMP Paste'!$N562="",$AM561,'TMP Paste'!$N562))</f>
        <v/>
      </c>
      <c r="AN562">
        <f>IF('TMP Paste'!$F562="","",IF('TMP Paste'!$O562="",$AN561,'TMP Paste'!$O562))</f>
        <v/>
      </c>
      <c r="AO562">
        <f>IF('TMP Paste'!$F562="","",IF('TMP Paste'!$P562="",$AO561,'TMP Paste'!$P562))</f>
        <v/>
      </c>
      <c r="AP562">
        <f>IF($AG562="","",LEN($R562))</f>
        <v/>
      </c>
      <c r="AQ562">
        <f>IF($AG562="","",TRIM(IF(COUNTIFS(Calc!$B$2:$B$1601,ROW()-1,Calc!$C$2:$C$1601,"&lt;1")&gt;0,"Ada PO tanpa Koli - cek TMP. ","")&amp;IF(LEN($R562)&gt;500,"R &gt; 500 karakter.","")))</f>
        <v/>
      </c>
    </row>
    <row r="563">
      <c r="A563">
        <f>IF($AG563="","",INDEX('TMP Paste'!$B$2:$B$1601,$AG563))</f>
        <v/>
      </c>
      <c r="B563">
        <f>IF($AG563="","",Config!$B$14)</f>
        <v/>
      </c>
      <c r="C563">
        <f>IF($AG563="","",Config!$B$15)</f>
        <v/>
      </c>
      <c r="D563">
        <f>IF($AG563="","",INDEX('TMP Paste'!$B$2:$B$1601,$AG563))</f>
        <v/>
      </c>
      <c r="E563">
        <f>IF($AG563="","",Config!$B$27)</f>
        <v/>
      </c>
      <c r="F563">
        <f>IF($AG563="","",Config!$B$9)</f>
        <v/>
      </c>
      <c r="G563">
        <f>IF($AG563="","",Config!$B$10)</f>
        <v/>
      </c>
      <c r="H563">
        <f>IF($AG563="","",Config!$B$11)</f>
        <v/>
      </c>
      <c r="I563">
        <f>IF($AG563="","",Config!$B$16)</f>
        <v/>
      </c>
      <c r="J563">
        <f>IF($AG563="","",INDEX('TMP Paste'!$A$2:$A$1601,$AG563))</f>
        <v/>
      </c>
      <c r="K563">
        <f>IF($AG563="","",INDEX('TMP Paste'!$L$2:$L$1601,$AG563))</f>
        <v/>
      </c>
      <c r="L563">
        <f>IF($AG563="","",INDEX('TMP Paste'!$I$2:$I$1601,$AG563))</f>
        <v/>
      </c>
      <c r="M563">
        <f>IF($AG563="","",Config!$B$16)</f>
        <v/>
      </c>
      <c r="N563">
        <f>IF($AG563="","","")</f>
        <v/>
      </c>
      <c r="O563">
        <f>IF($AG563="","",INDEX('TMP Paste'!$K$2:$K$1601,$AG563))</f>
        <v/>
      </c>
      <c r="P563">
        <f>IF($AG563="","","")</f>
        <v/>
      </c>
      <c r="Q563">
        <f>IF($AG563="","",INDEX('TMP Paste'!$J$2:$J$1601,$AG563))</f>
        <v/>
      </c>
      <c r="R563">
        <f>IF($AG563="","",Config!$B$24)</f>
        <v/>
      </c>
      <c r="S563">
        <f>IF($AG563="","",TEXT(Config!$B$4,"yyyy-mm-dd"))</f>
        <v/>
      </c>
      <c r="T563">
        <f>IF($AG563="","",Config!$B$17)</f>
        <v/>
      </c>
      <c r="U563">
        <f>IF($AG563="","",Config!$B$18)</f>
        <v/>
      </c>
      <c r="V563">
        <f>IF($AG563="","",Config!$B$19)</f>
        <v/>
      </c>
      <c r="W563">
        <f>IF($AG563="","",INDEX('TMP Paste'!$C$2:$C$1601,$AG563))</f>
        <v/>
      </c>
      <c r="X563">
        <f>IF($AG563="","",Config!$B$29)</f>
        <v/>
      </c>
      <c r="Y563">
        <f>IF($AH563="","",INDEX(Calc!$I$2:$I$1601,$AH563)&amp;" - "&amp;INDEX(Calc!$D$2:$D$1601,$AH563)&amp;" koli")</f>
        <v/>
      </c>
      <c r="Z563">
        <f>IF($AG563="","",Config!$B$21)</f>
        <v/>
      </c>
      <c r="AA563">
        <f>IF($AG563="","",Config!$B$22)</f>
        <v/>
      </c>
      <c r="AB563">
        <f>IF($AH563="","",INDEX(Calc!$D$2:$D$1601,$AH563))</f>
        <v/>
      </c>
      <c r="AC563">
        <f>IF($AH563="","",INDEX(Calc!$G$2:$G$1601,$AH563))</f>
        <v/>
      </c>
      <c r="AD563">
        <f>IF($AG563="","",Config!$B$23)</f>
        <v/>
      </c>
      <c r="AE563">
        <f>IF($AG563="","",Config!$B$28)</f>
        <v/>
      </c>
      <c r="AG563">
        <f>IFERROR(MATCH(ROW()-1,Calc!$J$2:$J$1601,0),"")</f>
        <v/>
      </c>
      <c r="AH563">
        <f>IFERROR(MATCH(ROW()-1,Calc!$K$2:$K$1601,0),"")</f>
        <v/>
      </c>
      <c r="AI563">
        <f>IF($AG563="","",SUMIF($AG$2:$AG563,$AG563,$AH$2:$AH563))</f>
        <v/>
      </c>
      <c r="AJ563">
        <f>IF('TMP Paste'!$F563="","",IF('TMP Paste'!$B563="",$AJ562,'TMP Paste'!$B563))</f>
        <v/>
      </c>
      <c r="AK563">
        <f>IF('TMP Paste'!$F563="","",N('TMP Paste'!$G563))</f>
        <v/>
      </c>
      <c r="AL563">
        <f>IF('TMP Paste'!$F563="","",IF('TMP Paste'!$M563="",$AL562,'TMP Paste'!$M563))</f>
        <v/>
      </c>
      <c r="AM563">
        <f>IF('TMP Paste'!$F563="","",IF('TMP Paste'!$N563="",$AM562,'TMP Paste'!$N563))</f>
        <v/>
      </c>
      <c r="AN563">
        <f>IF('TMP Paste'!$F563="","",IF('TMP Paste'!$O563="",$AN562,'TMP Paste'!$O563))</f>
        <v/>
      </c>
      <c r="AO563">
        <f>IF('TMP Paste'!$F563="","",IF('TMP Paste'!$P563="",$AO562,'TMP Paste'!$P563))</f>
        <v/>
      </c>
      <c r="AP563">
        <f>IF($AG563="","",LEN($R563))</f>
        <v/>
      </c>
      <c r="AQ563">
        <f>IF($AG563="","",TRIM(IF(COUNTIFS(Calc!$B$2:$B$1601,ROW()-1,Calc!$C$2:$C$1601,"&lt;1")&gt;0,"Ada PO tanpa Koli - cek TMP. ","")&amp;IF(LEN($R563)&gt;500,"R &gt; 500 karakter.","")))</f>
        <v/>
      </c>
    </row>
    <row r="564">
      <c r="A564">
        <f>IF($AG564="","",INDEX('TMP Paste'!$B$2:$B$1601,$AG564))</f>
        <v/>
      </c>
      <c r="B564">
        <f>IF($AG564="","",Config!$B$14)</f>
        <v/>
      </c>
      <c r="C564">
        <f>IF($AG564="","",Config!$B$15)</f>
        <v/>
      </c>
      <c r="D564">
        <f>IF($AG564="","",INDEX('TMP Paste'!$B$2:$B$1601,$AG564))</f>
        <v/>
      </c>
      <c r="E564">
        <f>IF($AG564="","",Config!$B$27)</f>
        <v/>
      </c>
      <c r="F564">
        <f>IF($AG564="","",Config!$B$9)</f>
        <v/>
      </c>
      <c r="G564">
        <f>IF($AG564="","",Config!$B$10)</f>
        <v/>
      </c>
      <c r="H564">
        <f>IF($AG564="","",Config!$B$11)</f>
        <v/>
      </c>
      <c r="I564">
        <f>IF($AG564="","",Config!$B$16)</f>
        <v/>
      </c>
      <c r="J564">
        <f>IF($AG564="","",INDEX('TMP Paste'!$A$2:$A$1601,$AG564))</f>
        <v/>
      </c>
      <c r="K564">
        <f>IF($AG564="","",INDEX('TMP Paste'!$L$2:$L$1601,$AG564))</f>
        <v/>
      </c>
      <c r="L564">
        <f>IF($AG564="","",INDEX('TMP Paste'!$I$2:$I$1601,$AG564))</f>
        <v/>
      </c>
      <c r="M564">
        <f>IF($AG564="","",Config!$B$16)</f>
        <v/>
      </c>
      <c r="N564">
        <f>IF($AG564="","","")</f>
        <v/>
      </c>
      <c r="O564">
        <f>IF($AG564="","",INDEX('TMP Paste'!$K$2:$K$1601,$AG564))</f>
        <v/>
      </c>
      <c r="P564">
        <f>IF($AG564="","","")</f>
        <v/>
      </c>
      <c r="Q564">
        <f>IF($AG564="","",INDEX('TMP Paste'!$J$2:$J$1601,$AG564))</f>
        <v/>
      </c>
      <c r="R564">
        <f>IF($AG564="","",Config!$B$24)</f>
        <v/>
      </c>
      <c r="S564">
        <f>IF($AG564="","",TEXT(Config!$B$4,"yyyy-mm-dd"))</f>
        <v/>
      </c>
      <c r="T564">
        <f>IF($AG564="","",Config!$B$17)</f>
        <v/>
      </c>
      <c r="U564">
        <f>IF($AG564="","",Config!$B$18)</f>
        <v/>
      </c>
      <c r="V564">
        <f>IF($AG564="","",Config!$B$19)</f>
        <v/>
      </c>
      <c r="W564">
        <f>IF($AG564="","",INDEX('TMP Paste'!$C$2:$C$1601,$AG564))</f>
        <v/>
      </c>
      <c r="X564">
        <f>IF($AG564="","",Config!$B$29)</f>
        <v/>
      </c>
      <c r="Y564">
        <f>IF($AH564="","",INDEX(Calc!$I$2:$I$1601,$AH564)&amp;" - "&amp;INDEX(Calc!$D$2:$D$1601,$AH564)&amp;" koli")</f>
        <v/>
      </c>
      <c r="Z564">
        <f>IF($AG564="","",Config!$B$21)</f>
        <v/>
      </c>
      <c r="AA564">
        <f>IF($AG564="","",Config!$B$22)</f>
        <v/>
      </c>
      <c r="AB564">
        <f>IF($AH564="","",INDEX(Calc!$D$2:$D$1601,$AH564))</f>
        <v/>
      </c>
      <c r="AC564">
        <f>IF($AH564="","",INDEX(Calc!$G$2:$G$1601,$AH564))</f>
        <v/>
      </c>
      <c r="AD564">
        <f>IF($AG564="","",Config!$B$23)</f>
        <v/>
      </c>
      <c r="AE564">
        <f>IF($AG564="","",Config!$B$28)</f>
        <v/>
      </c>
      <c r="AG564">
        <f>IFERROR(MATCH(ROW()-1,Calc!$J$2:$J$1601,0),"")</f>
        <v/>
      </c>
      <c r="AH564">
        <f>IFERROR(MATCH(ROW()-1,Calc!$K$2:$K$1601,0),"")</f>
        <v/>
      </c>
      <c r="AI564">
        <f>IF($AG564="","",SUMIF($AG$2:$AG564,$AG564,$AH$2:$AH564))</f>
        <v/>
      </c>
      <c r="AJ564">
        <f>IF('TMP Paste'!$F564="","",IF('TMP Paste'!$B564="",$AJ563,'TMP Paste'!$B564))</f>
        <v/>
      </c>
      <c r="AK564">
        <f>IF('TMP Paste'!$F564="","",N('TMP Paste'!$G564))</f>
        <v/>
      </c>
      <c r="AL564">
        <f>IF('TMP Paste'!$F564="","",IF('TMP Paste'!$M564="",$AL563,'TMP Paste'!$M564))</f>
        <v/>
      </c>
      <c r="AM564">
        <f>IF('TMP Paste'!$F564="","",IF('TMP Paste'!$N564="",$AM563,'TMP Paste'!$N564))</f>
        <v/>
      </c>
      <c r="AN564">
        <f>IF('TMP Paste'!$F564="","",IF('TMP Paste'!$O564="",$AN563,'TMP Paste'!$O564))</f>
        <v/>
      </c>
      <c r="AO564">
        <f>IF('TMP Paste'!$F564="","",IF('TMP Paste'!$P564="",$AO563,'TMP Paste'!$P564))</f>
        <v/>
      </c>
      <c r="AP564">
        <f>IF($AG564="","",LEN($R564))</f>
        <v/>
      </c>
      <c r="AQ564">
        <f>IF($AG564="","",TRIM(IF(COUNTIFS(Calc!$B$2:$B$1601,ROW()-1,Calc!$C$2:$C$1601,"&lt;1")&gt;0,"Ada PO tanpa Koli - cek TMP. ","")&amp;IF(LEN($R564)&gt;500,"R &gt; 500 karakter.","")))</f>
        <v/>
      </c>
    </row>
    <row r="565">
      <c r="A565">
        <f>IF($AG565="","",INDEX('TMP Paste'!$B$2:$B$1601,$AG565))</f>
        <v/>
      </c>
      <c r="B565">
        <f>IF($AG565="","",Config!$B$14)</f>
        <v/>
      </c>
      <c r="C565">
        <f>IF($AG565="","",Config!$B$15)</f>
        <v/>
      </c>
      <c r="D565">
        <f>IF($AG565="","",INDEX('TMP Paste'!$B$2:$B$1601,$AG565))</f>
        <v/>
      </c>
      <c r="E565">
        <f>IF($AG565="","",Config!$B$27)</f>
        <v/>
      </c>
      <c r="F565">
        <f>IF($AG565="","",Config!$B$9)</f>
        <v/>
      </c>
      <c r="G565">
        <f>IF($AG565="","",Config!$B$10)</f>
        <v/>
      </c>
      <c r="H565">
        <f>IF($AG565="","",Config!$B$11)</f>
        <v/>
      </c>
      <c r="I565">
        <f>IF($AG565="","",Config!$B$16)</f>
        <v/>
      </c>
      <c r="J565">
        <f>IF($AG565="","",INDEX('TMP Paste'!$A$2:$A$1601,$AG565))</f>
        <v/>
      </c>
      <c r="K565">
        <f>IF($AG565="","",INDEX('TMP Paste'!$L$2:$L$1601,$AG565))</f>
        <v/>
      </c>
      <c r="L565">
        <f>IF($AG565="","",INDEX('TMP Paste'!$I$2:$I$1601,$AG565))</f>
        <v/>
      </c>
      <c r="M565">
        <f>IF($AG565="","",Config!$B$16)</f>
        <v/>
      </c>
      <c r="N565">
        <f>IF($AG565="","","")</f>
        <v/>
      </c>
      <c r="O565">
        <f>IF($AG565="","",INDEX('TMP Paste'!$K$2:$K$1601,$AG565))</f>
        <v/>
      </c>
      <c r="P565">
        <f>IF($AG565="","","")</f>
        <v/>
      </c>
      <c r="Q565">
        <f>IF($AG565="","",INDEX('TMP Paste'!$J$2:$J$1601,$AG565))</f>
        <v/>
      </c>
      <c r="R565">
        <f>IF($AG565="","",Config!$B$24)</f>
        <v/>
      </c>
      <c r="S565">
        <f>IF($AG565="","",TEXT(Config!$B$4,"yyyy-mm-dd"))</f>
        <v/>
      </c>
      <c r="T565">
        <f>IF($AG565="","",Config!$B$17)</f>
        <v/>
      </c>
      <c r="U565">
        <f>IF($AG565="","",Config!$B$18)</f>
        <v/>
      </c>
      <c r="V565">
        <f>IF($AG565="","",Config!$B$19)</f>
        <v/>
      </c>
      <c r="W565">
        <f>IF($AG565="","",INDEX('TMP Paste'!$C$2:$C$1601,$AG565))</f>
        <v/>
      </c>
      <c r="X565">
        <f>IF($AG565="","",Config!$B$29)</f>
        <v/>
      </c>
      <c r="Y565">
        <f>IF($AH565="","",INDEX(Calc!$I$2:$I$1601,$AH565)&amp;" - "&amp;INDEX(Calc!$D$2:$D$1601,$AH565)&amp;" koli")</f>
        <v/>
      </c>
      <c r="Z565">
        <f>IF($AG565="","",Config!$B$21)</f>
        <v/>
      </c>
      <c r="AA565">
        <f>IF($AG565="","",Config!$B$22)</f>
        <v/>
      </c>
      <c r="AB565">
        <f>IF($AH565="","",INDEX(Calc!$D$2:$D$1601,$AH565))</f>
        <v/>
      </c>
      <c r="AC565">
        <f>IF($AH565="","",INDEX(Calc!$G$2:$G$1601,$AH565))</f>
        <v/>
      </c>
      <c r="AD565">
        <f>IF($AG565="","",Config!$B$23)</f>
        <v/>
      </c>
      <c r="AE565">
        <f>IF($AG565="","",Config!$B$28)</f>
        <v/>
      </c>
      <c r="AG565">
        <f>IFERROR(MATCH(ROW()-1,Calc!$J$2:$J$1601,0),"")</f>
        <v/>
      </c>
      <c r="AH565">
        <f>IFERROR(MATCH(ROW()-1,Calc!$K$2:$K$1601,0),"")</f>
        <v/>
      </c>
      <c r="AI565">
        <f>IF($AG565="","",SUMIF($AG$2:$AG565,$AG565,$AH$2:$AH565))</f>
        <v/>
      </c>
      <c r="AJ565">
        <f>IF('TMP Paste'!$F565="","",IF('TMP Paste'!$B565="",$AJ564,'TMP Paste'!$B565))</f>
        <v/>
      </c>
      <c r="AK565">
        <f>IF('TMP Paste'!$F565="","",N('TMP Paste'!$G565))</f>
        <v/>
      </c>
      <c r="AL565">
        <f>IF('TMP Paste'!$F565="","",IF('TMP Paste'!$M565="",$AL564,'TMP Paste'!$M565))</f>
        <v/>
      </c>
      <c r="AM565">
        <f>IF('TMP Paste'!$F565="","",IF('TMP Paste'!$N565="",$AM564,'TMP Paste'!$N565))</f>
        <v/>
      </c>
      <c r="AN565">
        <f>IF('TMP Paste'!$F565="","",IF('TMP Paste'!$O565="",$AN564,'TMP Paste'!$O565))</f>
        <v/>
      </c>
      <c r="AO565">
        <f>IF('TMP Paste'!$F565="","",IF('TMP Paste'!$P565="",$AO564,'TMP Paste'!$P565))</f>
        <v/>
      </c>
      <c r="AP565">
        <f>IF($AG565="","",LEN($R565))</f>
        <v/>
      </c>
      <c r="AQ565">
        <f>IF($AG565="","",TRIM(IF(COUNTIFS(Calc!$B$2:$B$1601,ROW()-1,Calc!$C$2:$C$1601,"&lt;1")&gt;0,"Ada PO tanpa Koli - cek TMP. ","")&amp;IF(LEN($R565)&gt;500,"R &gt; 500 karakter.","")))</f>
        <v/>
      </c>
    </row>
    <row r="566">
      <c r="A566">
        <f>IF($AG566="","",INDEX('TMP Paste'!$B$2:$B$1601,$AG566))</f>
        <v/>
      </c>
      <c r="B566">
        <f>IF($AG566="","",Config!$B$14)</f>
        <v/>
      </c>
      <c r="C566">
        <f>IF($AG566="","",Config!$B$15)</f>
        <v/>
      </c>
      <c r="D566">
        <f>IF($AG566="","",INDEX('TMP Paste'!$B$2:$B$1601,$AG566))</f>
        <v/>
      </c>
      <c r="E566">
        <f>IF($AG566="","",Config!$B$27)</f>
        <v/>
      </c>
      <c r="F566">
        <f>IF($AG566="","",Config!$B$9)</f>
        <v/>
      </c>
      <c r="G566">
        <f>IF($AG566="","",Config!$B$10)</f>
        <v/>
      </c>
      <c r="H566">
        <f>IF($AG566="","",Config!$B$11)</f>
        <v/>
      </c>
      <c r="I566">
        <f>IF($AG566="","",Config!$B$16)</f>
        <v/>
      </c>
      <c r="J566">
        <f>IF($AG566="","",INDEX('TMP Paste'!$A$2:$A$1601,$AG566))</f>
        <v/>
      </c>
      <c r="K566">
        <f>IF($AG566="","",INDEX('TMP Paste'!$L$2:$L$1601,$AG566))</f>
        <v/>
      </c>
      <c r="L566">
        <f>IF($AG566="","",INDEX('TMP Paste'!$I$2:$I$1601,$AG566))</f>
        <v/>
      </c>
      <c r="M566">
        <f>IF($AG566="","",Config!$B$16)</f>
        <v/>
      </c>
      <c r="N566">
        <f>IF($AG566="","","")</f>
        <v/>
      </c>
      <c r="O566">
        <f>IF($AG566="","",INDEX('TMP Paste'!$K$2:$K$1601,$AG566))</f>
        <v/>
      </c>
      <c r="P566">
        <f>IF($AG566="","","")</f>
        <v/>
      </c>
      <c r="Q566">
        <f>IF($AG566="","",INDEX('TMP Paste'!$J$2:$J$1601,$AG566))</f>
        <v/>
      </c>
      <c r="R566">
        <f>IF($AG566="","",Config!$B$24)</f>
        <v/>
      </c>
      <c r="S566">
        <f>IF($AG566="","",TEXT(Config!$B$4,"yyyy-mm-dd"))</f>
        <v/>
      </c>
      <c r="T566">
        <f>IF($AG566="","",Config!$B$17)</f>
        <v/>
      </c>
      <c r="U566">
        <f>IF($AG566="","",Config!$B$18)</f>
        <v/>
      </c>
      <c r="V566">
        <f>IF($AG566="","",Config!$B$19)</f>
        <v/>
      </c>
      <c r="W566">
        <f>IF($AG566="","",INDEX('TMP Paste'!$C$2:$C$1601,$AG566))</f>
        <v/>
      </c>
      <c r="X566">
        <f>IF($AG566="","",Config!$B$29)</f>
        <v/>
      </c>
      <c r="Y566">
        <f>IF($AH566="","",INDEX(Calc!$I$2:$I$1601,$AH566)&amp;" - "&amp;INDEX(Calc!$D$2:$D$1601,$AH566)&amp;" koli")</f>
        <v/>
      </c>
      <c r="Z566">
        <f>IF($AG566="","",Config!$B$21)</f>
        <v/>
      </c>
      <c r="AA566">
        <f>IF($AG566="","",Config!$B$22)</f>
        <v/>
      </c>
      <c r="AB566">
        <f>IF($AH566="","",INDEX(Calc!$D$2:$D$1601,$AH566))</f>
        <v/>
      </c>
      <c r="AC566">
        <f>IF($AH566="","",INDEX(Calc!$G$2:$G$1601,$AH566))</f>
        <v/>
      </c>
      <c r="AD566">
        <f>IF($AG566="","",Config!$B$23)</f>
        <v/>
      </c>
      <c r="AE566">
        <f>IF($AG566="","",Config!$B$28)</f>
        <v/>
      </c>
      <c r="AG566">
        <f>IFERROR(MATCH(ROW()-1,Calc!$J$2:$J$1601,0),"")</f>
        <v/>
      </c>
      <c r="AH566">
        <f>IFERROR(MATCH(ROW()-1,Calc!$K$2:$K$1601,0),"")</f>
        <v/>
      </c>
      <c r="AI566">
        <f>IF($AG566="","",SUMIF($AG$2:$AG566,$AG566,$AH$2:$AH566))</f>
        <v/>
      </c>
      <c r="AJ566">
        <f>IF('TMP Paste'!$F566="","",IF('TMP Paste'!$B566="",$AJ565,'TMP Paste'!$B566))</f>
        <v/>
      </c>
      <c r="AK566">
        <f>IF('TMP Paste'!$F566="","",N('TMP Paste'!$G566))</f>
        <v/>
      </c>
      <c r="AL566">
        <f>IF('TMP Paste'!$F566="","",IF('TMP Paste'!$M566="",$AL565,'TMP Paste'!$M566))</f>
        <v/>
      </c>
      <c r="AM566">
        <f>IF('TMP Paste'!$F566="","",IF('TMP Paste'!$N566="",$AM565,'TMP Paste'!$N566))</f>
        <v/>
      </c>
      <c r="AN566">
        <f>IF('TMP Paste'!$F566="","",IF('TMP Paste'!$O566="",$AN565,'TMP Paste'!$O566))</f>
        <v/>
      </c>
      <c r="AO566">
        <f>IF('TMP Paste'!$F566="","",IF('TMP Paste'!$P566="",$AO565,'TMP Paste'!$P566))</f>
        <v/>
      </c>
      <c r="AP566">
        <f>IF($AG566="","",LEN($R566))</f>
        <v/>
      </c>
      <c r="AQ566">
        <f>IF($AG566="","",TRIM(IF(COUNTIFS(Calc!$B$2:$B$1601,ROW()-1,Calc!$C$2:$C$1601,"&lt;1")&gt;0,"Ada PO tanpa Koli - cek TMP. ","")&amp;IF(LEN($R566)&gt;500,"R &gt; 500 karakter.","")))</f>
        <v/>
      </c>
    </row>
    <row r="567">
      <c r="A567">
        <f>IF($AG567="","",INDEX('TMP Paste'!$B$2:$B$1601,$AG567))</f>
        <v/>
      </c>
      <c r="B567">
        <f>IF($AG567="","",Config!$B$14)</f>
        <v/>
      </c>
      <c r="C567">
        <f>IF($AG567="","",Config!$B$15)</f>
        <v/>
      </c>
      <c r="D567">
        <f>IF($AG567="","",INDEX('TMP Paste'!$B$2:$B$1601,$AG567))</f>
        <v/>
      </c>
      <c r="E567">
        <f>IF($AG567="","",Config!$B$27)</f>
        <v/>
      </c>
      <c r="F567">
        <f>IF($AG567="","",Config!$B$9)</f>
        <v/>
      </c>
      <c r="G567">
        <f>IF($AG567="","",Config!$B$10)</f>
        <v/>
      </c>
      <c r="H567">
        <f>IF($AG567="","",Config!$B$11)</f>
        <v/>
      </c>
      <c r="I567">
        <f>IF($AG567="","",Config!$B$16)</f>
        <v/>
      </c>
      <c r="J567">
        <f>IF($AG567="","",INDEX('TMP Paste'!$A$2:$A$1601,$AG567))</f>
        <v/>
      </c>
      <c r="K567">
        <f>IF($AG567="","",INDEX('TMP Paste'!$L$2:$L$1601,$AG567))</f>
        <v/>
      </c>
      <c r="L567">
        <f>IF($AG567="","",INDEX('TMP Paste'!$I$2:$I$1601,$AG567))</f>
        <v/>
      </c>
      <c r="M567">
        <f>IF($AG567="","",Config!$B$16)</f>
        <v/>
      </c>
      <c r="N567">
        <f>IF($AG567="","","")</f>
        <v/>
      </c>
      <c r="O567">
        <f>IF($AG567="","",INDEX('TMP Paste'!$K$2:$K$1601,$AG567))</f>
        <v/>
      </c>
      <c r="P567">
        <f>IF($AG567="","","")</f>
        <v/>
      </c>
      <c r="Q567">
        <f>IF($AG567="","",INDEX('TMP Paste'!$J$2:$J$1601,$AG567))</f>
        <v/>
      </c>
      <c r="R567">
        <f>IF($AG567="","",Config!$B$24)</f>
        <v/>
      </c>
      <c r="S567">
        <f>IF($AG567="","",TEXT(Config!$B$4,"yyyy-mm-dd"))</f>
        <v/>
      </c>
      <c r="T567">
        <f>IF($AG567="","",Config!$B$17)</f>
        <v/>
      </c>
      <c r="U567">
        <f>IF($AG567="","",Config!$B$18)</f>
        <v/>
      </c>
      <c r="V567">
        <f>IF($AG567="","",Config!$B$19)</f>
        <v/>
      </c>
      <c r="W567">
        <f>IF($AG567="","",INDEX('TMP Paste'!$C$2:$C$1601,$AG567))</f>
        <v/>
      </c>
      <c r="X567">
        <f>IF($AG567="","",Config!$B$29)</f>
        <v/>
      </c>
      <c r="Y567">
        <f>IF($AH567="","",INDEX(Calc!$I$2:$I$1601,$AH567)&amp;" - "&amp;INDEX(Calc!$D$2:$D$1601,$AH567)&amp;" koli")</f>
        <v/>
      </c>
      <c r="Z567">
        <f>IF($AG567="","",Config!$B$21)</f>
        <v/>
      </c>
      <c r="AA567">
        <f>IF($AG567="","",Config!$B$22)</f>
        <v/>
      </c>
      <c r="AB567">
        <f>IF($AH567="","",INDEX(Calc!$D$2:$D$1601,$AH567))</f>
        <v/>
      </c>
      <c r="AC567">
        <f>IF($AH567="","",INDEX(Calc!$G$2:$G$1601,$AH567))</f>
        <v/>
      </c>
      <c r="AD567">
        <f>IF($AG567="","",Config!$B$23)</f>
        <v/>
      </c>
      <c r="AE567">
        <f>IF($AG567="","",Config!$B$28)</f>
        <v/>
      </c>
      <c r="AG567">
        <f>IFERROR(MATCH(ROW()-1,Calc!$J$2:$J$1601,0),"")</f>
        <v/>
      </c>
      <c r="AH567">
        <f>IFERROR(MATCH(ROW()-1,Calc!$K$2:$K$1601,0),"")</f>
        <v/>
      </c>
      <c r="AI567">
        <f>IF($AG567="","",SUMIF($AG$2:$AG567,$AG567,$AH$2:$AH567))</f>
        <v/>
      </c>
      <c r="AJ567">
        <f>IF('TMP Paste'!$F567="","",IF('TMP Paste'!$B567="",$AJ566,'TMP Paste'!$B567))</f>
        <v/>
      </c>
      <c r="AK567">
        <f>IF('TMP Paste'!$F567="","",N('TMP Paste'!$G567))</f>
        <v/>
      </c>
      <c r="AL567">
        <f>IF('TMP Paste'!$F567="","",IF('TMP Paste'!$M567="",$AL566,'TMP Paste'!$M567))</f>
        <v/>
      </c>
      <c r="AM567">
        <f>IF('TMP Paste'!$F567="","",IF('TMP Paste'!$N567="",$AM566,'TMP Paste'!$N567))</f>
        <v/>
      </c>
      <c r="AN567">
        <f>IF('TMP Paste'!$F567="","",IF('TMP Paste'!$O567="",$AN566,'TMP Paste'!$O567))</f>
        <v/>
      </c>
      <c r="AO567">
        <f>IF('TMP Paste'!$F567="","",IF('TMP Paste'!$P567="",$AO566,'TMP Paste'!$P567))</f>
        <v/>
      </c>
      <c r="AP567">
        <f>IF($AG567="","",LEN($R567))</f>
        <v/>
      </c>
      <c r="AQ567">
        <f>IF($AG567="","",TRIM(IF(COUNTIFS(Calc!$B$2:$B$1601,ROW()-1,Calc!$C$2:$C$1601,"&lt;1")&gt;0,"Ada PO tanpa Koli - cek TMP. ","")&amp;IF(LEN($R567)&gt;500,"R &gt; 500 karakter.","")))</f>
        <v/>
      </c>
    </row>
    <row r="568">
      <c r="A568">
        <f>IF($AG568="","",INDEX('TMP Paste'!$B$2:$B$1601,$AG568))</f>
        <v/>
      </c>
      <c r="B568">
        <f>IF($AG568="","",Config!$B$14)</f>
        <v/>
      </c>
      <c r="C568">
        <f>IF($AG568="","",Config!$B$15)</f>
        <v/>
      </c>
      <c r="D568">
        <f>IF($AG568="","",INDEX('TMP Paste'!$B$2:$B$1601,$AG568))</f>
        <v/>
      </c>
      <c r="E568">
        <f>IF($AG568="","",Config!$B$27)</f>
        <v/>
      </c>
      <c r="F568">
        <f>IF($AG568="","",Config!$B$9)</f>
        <v/>
      </c>
      <c r="G568">
        <f>IF($AG568="","",Config!$B$10)</f>
        <v/>
      </c>
      <c r="H568">
        <f>IF($AG568="","",Config!$B$11)</f>
        <v/>
      </c>
      <c r="I568">
        <f>IF($AG568="","",Config!$B$16)</f>
        <v/>
      </c>
      <c r="J568">
        <f>IF($AG568="","",INDEX('TMP Paste'!$A$2:$A$1601,$AG568))</f>
        <v/>
      </c>
      <c r="K568">
        <f>IF($AG568="","",INDEX('TMP Paste'!$L$2:$L$1601,$AG568))</f>
        <v/>
      </c>
      <c r="L568">
        <f>IF($AG568="","",INDEX('TMP Paste'!$I$2:$I$1601,$AG568))</f>
        <v/>
      </c>
      <c r="M568">
        <f>IF($AG568="","",Config!$B$16)</f>
        <v/>
      </c>
      <c r="N568">
        <f>IF($AG568="","","")</f>
        <v/>
      </c>
      <c r="O568">
        <f>IF($AG568="","",INDEX('TMP Paste'!$K$2:$K$1601,$AG568))</f>
        <v/>
      </c>
      <c r="P568">
        <f>IF($AG568="","","")</f>
        <v/>
      </c>
      <c r="Q568">
        <f>IF($AG568="","",INDEX('TMP Paste'!$J$2:$J$1601,$AG568))</f>
        <v/>
      </c>
      <c r="R568">
        <f>IF($AG568="","",Config!$B$24)</f>
        <v/>
      </c>
      <c r="S568">
        <f>IF($AG568="","",TEXT(Config!$B$4,"yyyy-mm-dd"))</f>
        <v/>
      </c>
      <c r="T568">
        <f>IF($AG568="","",Config!$B$17)</f>
        <v/>
      </c>
      <c r="U568">
        <f>IF($AG568="","",Config!$B$18)</f>
        <v/>
      </c>
      <c r="V568">
        <f>IF($AG568="","",Config!$B$19)</f>
        <v/>
      </c>
      <c r="W568">
        <f>IF($AG568="","",INDEX('TMP Paste'!$C$2:$C$1601,$AG568))</f>
        <v/>
      </c>
      <c r="X568">
        <f>IF($AG568="","",Config!$B$29)</f>
        <v/>
      </c>
      <c r="Y568">
        <f>IF($AH568="","",INDEX(Calc!$I$2:$I$1601,$AH568)&amp;" - "&amp;INDEX(Calc!$D$2:$D$1601,$AH568)&amp;" koli")</f>
        <v/>
      </c>
      <c r="Z568">
        <f>IF($AG568="","",Config!$B$21)</f>
        <v/>
      </c>
      <c r="AA568">
        <f>IF($AG568="","",Config!$B$22)</f>
        <v/>
      </c>
      <c r="AB568">
        <f>IF($AH568="","",INDEX(Calc!$D$2:$D$1601,$AH568))</f>
        <v/>
      </c>
      <c r="AC568">
        <f>IF($AH568="","",INDEX(Calc!$G$2:$G$1601,$AH568))</f>
        <v/>
      </c>
      <c r="AD568">
        <f>IF($AG568="","",Config!$B$23)</f>
        <v/>
      </c>
      <c r="AE568">
        <f>IF($AG568="","",Config!$B$28)</f>
        <v/>
      </c>
      <c r="AG568">
        <f>IFERROR(MATCH(ROW()-1,Calc!$J$2:$J$1601,0),"")</f>
        <v/>
      </c>
      <c r="AH568">
        <f>IFERROR(MATCH(ROW()-1,Calc!$K$2:$K$1601,0),"")</f>
        <v/>
      </c>
      <c r="AI568">
        <f>IF($AG568="","",SUMIF($AG$2:$AG568,$AG568,$AH$2:$AH568))</f>
        <v/>
      </c>
      <c r="AJ568">
        <f>IF('TMP Paste'!$F568="","",IF('TMP Paste'!$B568="",$AJ567,'TMP Paste'!$B568))</f>
        <v/>
      </c>
      <c r="AK568">
        <f>IF('TMP Paste'!$F568="","",N('TMP Paste'!$G568))</f>
        <v/>
      </c>
      <c r="AL568">
        <f>IF('TMP Paste'!$F568="","",IF('TMP Paste'!$M568="",$AL567,'TMP Paste'!$M568))</f>
        <v/>
      </c>
      <c r="AM568">
        <f>IF('TMP Paste'!$F568="","",IF('TMP Paste'!$N568="",$AM567,'TMP Paste'!$N568))</f>
        <v/>
      </c>
      <c r="AN568">
        <f>IF('TMP Paste'!$F568="","",IF('TMP Paste'!$O568="",$AN567,'TMP Paste'!$O568))</f>
        <v/>
      </c>
      <c r="AO568">
        <f>IF('TMP Paste'!$F568="","",IF('TMP Paste'!$P568="",$AO567,'TMP Paste'!$P568))</f>
        <v/>
      </c>
      <c r="AP568">
        <f>IF($AG568="","",LEN($R568))</f>
        <v/>
      </c>
      <c r="AQ568">
        <f>IF($AG568="","",TRIM(IF(COUNTIFS(Calc!$B$2:$B$1601,ROW()-1,Calc!$C$2:$C$1601,"&lt;1")&gt;0,"Ada PO tanpa Koli - cek TMP. ","")&amp;IF(LEN($R568)&gt;500,"R &gt; 500 karakter.","")))</f>
        <v/>
      </c>
    </row>
    <row r="569">
      <c r="A569">
        <f>IF($AG569="","",INDEX('TMP Paste'!$B$2:$B$1601,$AG569))</f>
        <v/>
      </c>
      <c r="B569">
        <f>IF($AG569="","",Config!$B$14)</f>
        <v/>
      </c>
      <c r="C569">
        <f>IF($AG569="","",Config!$B$15)</f>
        <v/>
      </c>
      <c r="D569">
        <f>IF($AG569="","",INDEX('TMP Paste'!$B$2:$B$1601,$AG569))</f>
        <v/>
      </c>
      <c r="E569">
        <f>IF($AG569="","",Config!$B$27)</f>
        <v/>
      </c>
      <c r="F569">
        <f>IF($AG569="","",Config!$B$9)</f>
        <v/>
      </c>
      <c r="G569">
        <f>IF($AG569="","",Config!$B$10)</f>
        <v/>
      </c>
      <c r="H569">
        <f>IF($AG569="","",Config!$B$11)</f>
        <v/>
      </c>
      <c r="I569">
        <f>IF($AG569="","",Config!$B$16)</f>
        <v/>
      </c>
      <c r="J569">
        <f>IF($AG569="","",INDEX('TMP Paste'!$A$2:$A$1601,$AG569))</f>
        <v/>
      </c>
      <c r="K569">
        <f>IF($AG569="","",INDEX('TMP Paste'!$L$2:$L$1601,$AG569))</f>
        <v/>
      </c>
      <c r="L569">
        <f>IF($AG569="","",INDEX('TMP Paste'!$I$2:$I$1601,$AG569))</f>
        <v/>
      </c>
      <c r="M569">
        <f>IF($AG569="","",Config!$B$16)</f>
        <v/>
      </c>
      <c r="N569">
        <f>IF($AG569="","","")</f>
        <v/>
      </c>
      <c r="O569">
        <f>IF($AG569="","",INDEX('TMP Paste'!$K$2:$K$1601,$AG569))</f>
        <v/>
      </c>
      <c r="P569">
        <f>IF($AG569="","","")</f>
        <v/>
      </c>
      <c r="Q569">
        <f>IF($AG569="","",INDEX('TMP Paste'!$J$2:$J$1601,$AG569))</f>
        <v/>
      </c>
      <c r="R569">
        <f>IF($AG569="","",Config!$B$24)</f>
        <v/>
      </c>
      <c r="S569">
        <f>IF($AG569="","",TEXT(Config!$B$4,"yyyy-mm-dd"))</f>
        <v/>
      </c>
      <c r="T569">
        <f>IF($AG569="","",Config!$B$17)</f>
        <v/>
      </c>
      <c r="U569">
        <f>IF($AG569="","",Config!$B$18)</f>
        <v/>
      </c>
      <c r="V569">
        <f>IF($AG569="","",Config!$B$19)</f>
        <v/>
      </c>
      <c r="W569">
        <f>IF($AG569="","",INDEX('TMP Paste'!$C$2:$C$1601,$AG569))</f>
        <v/>
      </c>
      <c r="X569">
        <f>IF($AG569="","",Config!$B$29)</f>
        <v/>
      </c>
      <c r="Y569">
        <f>IF($AH569="","",INDEX(Calc!$I$2:$I$1601,$AH569)&amp;" - "&amp;INDEX(Calc!$D$2:$D$1601,$AH569)&amp;" koli")</f>
        <v/>
      </c>
      <c r="Z569">
        <f>IF($AG569="","",Config!$B$21)</f>
        <v/>
      </c>
      <c r="AA569">
        <f>IF($AG569="","",Config!$B$22)</f>
        <v/>
      </c>
      <c r="AB569">
        <f>IF($AH569="","",INDEX(Calc!$D$2:$D$1601,$AH569))</f>
        <v/>
      </c>
      <c r="AC569">
        <f>IF($AH569="","",INDEX(Calc!$G$2:$G$1601,$AH569))</f>
        <v/>
      </c>
      <c r="AD569">
        <f>IF($AG569="","",Config!$B$23)</f>
        <v/>
      </c>
      <c r="AE569">
        <f>IF($AG569="","",Config!$B$28)</f>
        <v/>
      </c>
      <c r="AG569">
        <f>IFERROR(MATCH(ROW()-1,Calc!$J$2:$J$1601,0),"")</f>
        <v/>
      </c>
      <c r="AH569">
        <f>IFERROR(MATCH(ROW()-1,Calc!$K$2:$K$1601,0),"")</f>
        <v/>
      </c>
      <c r="AI569">
        <f>IF($AG569="","",SUMIF($AG$2:$AG569,$AG569,$AH$2:$AH569))</f>
        <v/>
      </c>
      <c r="AJ569">
        <f>IF('TMP Paste'!$F569="","",IF('TMP Paste'!$B569="",$AJ568,'TMP Paste'!$B569))</f>
        <v/>
      </c>
      <c r="AK569">
        <f>IF('TMP Paste'!$F569="","",N('TMP Paste'!$G569))</f>
        <v/>
      </c>
      <c r="AL569">
        <f>IF('TMP Paste'!$F569="","",IF('TMP Paste'!$M569="",$AL568,'TMP Paste'!$M569))</f>
        <v/>
      </c>
      <c r="AM569">
        <f>IF('TMP Paste'!$F569="","",IF('TMP Paste'!$N569="",$AM568,'TMP Paste'!$N569))</f>
        <v/>
      </c>
      <c r="AN569">
        <f>IF('TMP Paste'!$F569="","",IF('TMP Paste'!$O569="",$AN568,'TMP Paste'!$O569))</f>
        <v/>
      </c>
      <c r="AO569">
        <f>IF('TMP Paste'!$F569="","",IF('TMP Paste'!$P569="",$AO568,'TMP Paste'!$P569))</f>
        <v/>
      </c>
      <c r="AP569">
        <f>IF($AG569="","",LEN($R569))</f>
        <v/>
      </c>
      <c r="AQ569">
        <f>IF($AG569="","",TRIM(IF(COUNTIFS(Calc!$B$2:$B$1601,ROW()-1,Calc!$C$2:$C$1601,"&lt;1")&gt;0,"Ada PO tanpa Koli - cek TMP. ","")&amp;IF(LEN($R569)&gt;500,"R &gt; 500 karakter.","")))</f>
        <v/>
      </c>
    </row>
    <row r="570">
      <c r="A570">
        <f>IF($AG570="","",INDEX('TMP Paste'!$B$2:$B$1601,$AG570))</f>
        <v/>
      </c>
      <c r="B570">
        <f>IF($AG570="","",Config!$B$14)</f>
        <v/>
      </c>
      <c r="C570">
        <f>IF($AG570="","",Config!$B$15)</f>
        <v/>
      </c>
      <c r="D570">
        <f>IF($AG570="","",INDEX('TMP Paste'!$B$2:$B$1601,$AG570))</f>
        <v/>
      </c>
      <c r="E570">
        <f>IF($AG570="","",Config!$B$27)</f>
        <v/>
      </c>
      <c r="F570">
        <f>IF($AG570="","",Config!$B$9)</f>
        <v/>
      </c>
      <c r="G570">
        <f>IF($AG570="","",Config!$B$10)</f>
        <v/>
      </c>
      <c r="H570">
        <f>IF($AG570="","",Config!$B$11)</f>
        <v/>
      </c>
      <c r="I570">
        <f>IF($AG570="","",Config!$B$16)</f>
        <v/>
      </c>
      <c r="J570">
        <f>IF($AG570="","",INDEX('TMP Paste'!$A$2:$A$1601,$AG570))</f>
        <v/>
      </c>
      <c r="K570">
        <f>IF($AG570="","",INDEX('TMP Paste'!$L$2:$L$1601,$AG570))</f>
        <v/>
      </c>
      <c r="L570">
        <f>IF($AG570="","",INDEX('TMP Paste'!$I$2:$I$1601,$AG570))</f>
        <v/>
      </c>
      <c r="M570">
        <f>IF($AG570="","",Config!$B$16)</f>
        <v/>
      </c>
      <c r="N570">
        <f>IF($AG570="","","")</f>
        <v/>
      </c>
      <c r="O570">
        <f>IF($AG570="","",INDEX('TMP Paste'!$K$2:$K$1601,$AG570))</f>
        <v/>
      </c>
      <c r="P570">
        <f>IF($AG570="","","")</f>
        <v/>
      </c>
      <c r="Q570">
        <f>IF($AG570="","",INDEX('TMP Paste'!$J$2:$J$1601,$AG570))</f>
        <v/>
      </c>
      <c r="R570">
        <f>IF($AG570="","",Config!$B$24)</f>
        <v/>
      </c>
      <c r="S570">
        <f>IF($AG570="","",TEXT(Config!$B$4,"yyyy-mm-dd"))</f>
        <v/>
      </c>
      <c r="T570">
        <f>IF($AG570="","",Config!$B$17)</f>
        <v/>
      </c>
      <c r="U570">
        <f>IF($AG570="","",Config!$B$18)</f>
        <v/>
      </c>
      <c r="V570">
        <f>IF($AG570="","",Config!$B$19)</f>
        <v/>
      </c>
      <c r="W570">
        <f>IF($AG570="","",INDEX('TMP Paste'!$C$2:$C$1601,$AG570))</f>
        <v/>
      </c>
      <c r="X570">
        <f>IF($AG570="","",Config!$B$29)</f>
        <v/>
      </c>
      <c r="Y570">
        <f>IF($AH570="","",INDEX(Calc!$I$2:$I$1601,$AH570)&amp;" - "&amp;INDEX(Calc!$D$2:$D$1601,$AH570)&amp;" koli")</f>
        <v/>
      </c>
      <c r="Z570">
        <f>IF($AG570="","",Config!$B$21)</f>
        <v/>
      </c>
      <c r="AA570">
        <f>IF($AG570="","",Config!$B$22)</f>
        <v/>
      </c>
      <c r="AB570">
        <f>IF($AH570="","",INDEX(Calc!$D$2:$D$1601,$AH570))</f>
        <v/>
      </c>
      <c r="AC570">
        <f>IF($AH570="","",INDEX(Calc!$G$2:$G$1601,$AH570))</f>
        <v/>
      </c>
      <c r="AD570">
        <f>IF($AG570="","",Config!$B$23)</f>
        <v/>
      </c>
      <c r="AE570">
        <f>IF($AG570="","",Config!$B$28)</f>
        <v/>
      </c>
      <c r="AG570">
        <f>IFERROR(MATCH(ROW()-1,Calc!$J$2:$J$1601,0),"")</f>
        <v/>
      </c>
      <c r="AH570">
        <f>IFERROR(MATCH(ROW()-1,Calc!$K$2:$K$1601,0),"")</f>
        <v/>
      </c>
      <c r="AI570">
        <f>IF($AG570="","",SUMIF($AG$2:$AG570,$AG570,$AH$2:$AH570))</f>
        <v/>
      </c>
      <c r="AJ570">
        <f>IF('TMP Paste'!$F570="","",IF('TMP Paste'!$B570="",$AJ569,'TMP Paste'!$B570))</f>
        <v/>
      </c>
      <c r="AK570">
        <f>IF('TMP Paste'!$F570="","",N('TMP Paste'!$G570))</f>
        <v/>
      </c>
      <c r="AL570">
        <f>IF('TMP Paste'!$F570="","",IF('TMP Paste'!$M570="",$AL569,'TMP Paste'!$M570))</f>
        <v/>
      </c>
      <c r="AM570">
        <f>IF('TMP Paste'!$F570="","",IF('TMP Paste'!$N570="",$AM569,'TMP Paste'!$N570))</f>
        <v/>
      </c>
      <c r="AN570">
        <f>IF('TMP Paste'!$F570="","",IF('TMP Paste'!$O570="",$AN569,'TMP Paste'!$O570))</f>
        <v/>
      </c>
      <c r="AO570">
        <f>IF('TMP Paste'!$F570="","",IF('TMP Paste'!$P570="",$AO569,'TMP Paste'!$P570))</f>
        <v/>
      </c>
      <c r="AP570">
        <f>IF($AG570="","",LEN($R570))</f>
        <v/>
      </c>
      <c r="AQ570">
        <f>IF($AG570="","",TRIM(IF(COUNTIFS(Calc!$B$2:$B$1601,ROW()-1,Calc!$C$2:$C$1601,"&lt;1")&gt;0,"Ada PO tanpa Koli - cek TMP. ","")&amp;IF(LEN($R570)&gt;500,"R &gt; 500 karakter.","")))</f>
        <v/>
      </c>
    </row>
    <row r="571">
      <c r="A571">
        <f>IF($AG571="","",INDEX('TMP Paste'!$B$2:$B$1601,$AG571))</f>
        <v/>
      </c>
      <c r="B571">
        <f>IF($AG571="","",Config!$B$14)</f>
        <v/>
      </c>
      <c r="C571">
        <f>IF($AG571="","",Config!$B$15)</f>
        <v/>
      </c>
      <c r="D571">
        <f>IF($AG571="","",INDEX('TMP Paste'!$B$2:$B$1601,$AG571))</f>
        <v/>
      </c>
      <c r="E571">
        <f>IF($AG571="","",Config!$B$27)</f>
        <v/>
      </c>
      <c r="F571">
        <f>IF($AG571="","",Config!$B$9)</f>
        <v/>
      </c>
      <c r="G571">
        <f>IF($AG571="","",Config!$B$10)</f>
        <v/>
      </c>
      <c r="H571">
        <f>IF($AG571="","",Config!$B$11)</f>
        <v/>
      </c>
      <c r="I571">
        <f>IF($AG571="","",Config!$B$16)</f>
        <v/>
      </c>
      <c r="J571">
        <f>IF($AG571="","",INDEX('TMP Paste'!$A$2:$A$1601,$AG571))</f>
        <v/>
      </c>
      <c r="K571">
        <f>IF($AG571="","",INDEX('TMP Paste'!$L$2:$L$1601,$AG571))</f>
        <v/>
      </c>
      <c r="L571">
        <f>IF($AG571="","",INDEX('TMP Paste'!$I$2:$I$1601,$AG571))</f>
        <v/>
      </c>
      <c r="M571">
        <f>IF($AG571="","",Config!$B$16)</f>
        <v/>
      </c>
      <c r="N571">
        <f>IF($AG571="","","")</f>
        <v/>
      </c>
      <c r="O571">
        <f>IF($AG571="","",INDEX('TMP Paste'!$K$2:$K$1601,$AG571))</f>
        <v/>
      </c>
      <c r="P571">
        <f>IF($AG571="","","")</f>
        <v/>
      </c>
      <c r="Q571">
        <f>IF($AG571="","",INDEX('TMP Paste'!$J$2:$J$1601,$AG571))</f>
        <v/>
      </c>
      <c r="R571">
        <f>IF($AG571="","",Config!$B$24)</f>
        <v/>
      </c>
      <c r="S571">
        <f>IF($AG571="","",TEXT(Config!$B$4,"yyyy-mm-dd"))</f>
        <v/>
      </c>
      <c r="T571">
        <f>IF($AG571="","",Config!$B$17)</f>
        <v/>
      </c>
      <c r="U571">
        <f>IF($AG571="","",Config!$B$18)</f>
        <v/>
      </c>
      <c r="V571">
        <f>IF($AG571="","",Config!$B$19)</f>
        <v/>
      </c>
      <c r="W571">
        <f>IF($AG571="","",INDEX('TMP Paste'!$C$2:$C$1601,$AG571))</f>
        <v/>
      </c>
      <c r="X571">
        <f>IF($AG571="","",Config!$B$29)</f>
        <v/>
      </c>
      <c r="Y571">
        <f>IF($AH571="","",INDEX(Calc!$I$2:$I$1601,$AH571)&amp;" - "&amp;INDEX(Calc!$D$2:$D$1601,$AH571)&amp;" koli")</f>
        <v/>
      </c>
      <c r="Z571">
        <f>IF($AG571="","",Config!$B$21)</f>
        <v/>
      </c>
      <c r="AA571">
        <f>IF($AG571="","",Config!$B$22)</f>
        <v/>
      </c>
      <c r="AB571">
        <f>IF($AH571="","",INDEX(Calc!$D$2:$D$1601,$AH571))</f>
        <v/>
      </c>
      <c r="AC571">
        <f>IF($AH571="","",INDEX(Calc!$G$2:$G$1601,$AH571))</f>
        <v/>
      </c>
      <c r="AD571">
        <f>IF($AG571="","",Config!$B$23)</f>
        <v/>
      </c>
      <c r="AE571">
        <f>IF($AG571="","",Config!$B$28)</f>
        <v/>
      </c>
      <c r="AG571">
        <f>IFERROR(MATCH(ROW()-1,Calc!$J$2:$J$1601,0),"")</f>
        <v/>
      </c>
      <c r="AH571">
        <f>IFERROR(MATCH(ROW()-1,Calc!$K$2:$K$1601,0),"")</f>
        <v/>
      </c>
      <c r="AI571">
        <f>IF($AG571="","",SUMIF($AG$2:$AG571,$AG571,$AH$2:$AH571))</f>
        <v/>
      </c>
      <c r="AJ571">
        <f>IF('TMP Paste'!$F571="","",IF('TMP Paste'!$B571="",$AJ570,'TMP Paste'!$B571))</f>
        <v/>
      </c>
      <c r="AK571">
        <f>IF('TMP Paste'!$F571="","",N('TMP Paste'!$G571))</f>
        <v/>
      </c>
      <c r="AL571">
        <f>IF('TMP Paste'!$F571="","",IF('TMP Paste'!$M571="",$AL570,'TMP Paste'!$M571))</f>
        <v/>
      </c>
      <c r="AM571">
        <f>IF('TMP Paste'!$F571="","",IF('TMP Paste'!$N571="",$AM570,'TMP Paste'!$N571))</f>
        <v/>
      </c>
      <c r="AN571">
        <f>IF('TMP Paste'!$F571="","",IF('TMP Paste'!$O571="",$AN570,'TMP Paste'!$O571))</f>
        <v/>
      </c>
      <c r="AO571">
        <f>IF('TMP Paste'!$F571="","",IF('TMP Paste'!$P571="",$AO570,'TMP Paste'!$P571))</f>
        <v/>
      </c>
      <c r="AP571">
        <f>IF($AG571="","",LEN($R571))</f>
        <v/>
      </c>
      <c r="AQ571">
        <f>IF($AG571="","",TRIM(IF(COUNTIFS(Calc!$B$2:$B$1601,ROW()-1,Calc!$C$2:$C$1601,"&lt;1")&gt;0,"Ada PO tanpa Koli - cek TMP. ","")&amp;IF(LEN($R571)&gt;500,"R &gt; 500 karakter.","")))</f>
        <v/>
      </c>
    </row>
    <row r="572">
      <c r="A572">
        <f>IF($AG572="","",INDEX('TMP Paste'!$B$2:$B$1601,$AG572))</f>
        <v/>
      </c>
      <c r="B572">
        <f>IF($AG572="","",Config!$B$14)</f>
        <v/>
      </c>
      <c r="C572">
        <f>IF($AG572="","",Config!$B$15)</f>
        <v/>
      </c>
      <c r="D572">
        <f>IF($AG572="","",INDEX('TMP Paste'!$B$2:$B$1601,$AG572))</f>
        <v/>
      </c>
      <c r="E572">
        <f>IF($AG572="","",Config!$B$27)</f>
        <v/>
      </c>
      <c r="F572">
        <f>IF($AG572="","",Config!$B$9)</f>
        <v/>
      </c>
      <c r="G572">
        <f>IF($AG572="","",Config!$B$10)</f>
        <v/>
      </c>
      <c r="H572">
        <f>IF($AG572="","",Config!$B$11)</f>
        <v/>
      </c>
      <c r="I572">
        <f>IF($AG572="","",Config!$B$16)</f>
        <v/>
      </c>
      <c r="J572">
        <f>IF($AG572="","",INDEX('TMP Paste'!$A$2:$A$1601,$AG572))</f>
        <v/>
      </c>
      <c r="K572">
        <f>IF($AG572="","",INDEX('TMP Paste'!$L$2:$L$1601,$AG572))</f>
        <v/>
      </c>
      <c r="L572">
        <f>IF($AG572="","",INDEX('TMP Paste'!$I$2:$I$1601,$AG572))</f>
        <v/>
      </c>
      <c r="M572">
        <f>IF($AG572="","",Config!$B$16)</f>
        <v/>
      </c>
      <c r="N572">
        <f>IF($AG572="","","")</f>
        <v/>
      </c>
      <c r="O572">
        <f>IF($AG572="","",INDEX('TMP Paste'!$K$2:$K$1601,$AG572))</f>
        <v/>
      </c>
      <c r="P572">
        <f>IF($AG572="","","")</f>
        <v/>
      </c>
      <c r="Q572">
        <f>IF($AG572="","",INDEX('TMP Paste'!$J$2:$J$1601,$AG572))</f>
        <v/>
      </c>
      <c r="R572">
        <f>IF($AG572="","",Config!$B$24)</f>
        <v/>
      </c>
      <c r="S572">
        <f>IF($AG572="","",TEXT(Config!$B$4,"yyyy-mm-dd"))</f>
        <v/>
      </c>
      <c r="T572">
        <f>IF($AG572="","",Config!$B$17)</f>
        <v/>
      </c>
      <c r="U572">
        <f>IF($AG572="","",Config!$B$18)</f>
        <v/>
      </c>
      <c r="V572">
        <f>IF($AG572="","",Config!$B$19)</f>
        <v/>
      </c>
      <c r="W572">
        <f>IF($AG572="","",INDEX('TMP Paste'!$C$2:$C$1601,$AG572))</f>
        <v/>
      </c>
      <c r="X572">
        <f>IF($AG572="","",Config!$B$29)</f>
        <v/>
      </c>
      <c r="Y572">
        <f>IF($AH572="","",INDEX(Calc!$I$2:$I$1601,$AH572)&amp;" - "&amp;INDEX(Calc!$D$2:$D$1601,$AH572)&amp;" koli")</f>
        <v/>
      </c>
      <c r="Z572">
        <f>IF($AG572="","",Config!$B$21)</f>
        <v/>
      </c>
      <c r="AA572">
        <f>IF($AG572="","",Config!$B$22)</f>
        <v/>
      </c>
      <c r="AB572">
        <f>IF($AH572="","",INDEX(Calc!$D$2:$D$1601,$AH572))</f>
        <v/>
      </c>
      <c r="AC572">
        <f>IF($AH572="","",INDEX(Calc!$G$2:$G$1601,$AH572))</f>
        <v/>
      </c>
      <c r="AD572">
        <f>IF($AG572="","",Config!$B$23)</f>
        <v/>
      </c>
      <c r="AE572">
        <f>IF($AG572="","",Config!$B$28)</f>
        <v/>
      </c>
      <c r="AG572">
        <f>IFERROR(MATCH(ROW()-1,Calc!$J$2:$J$1601,0),"")</f>
        <v/>
      </c>
      <c r="AH572">
        <f>IFERROR(MATCH(ROW()-1,Calc!$K$2:$K$1601,0),"")</f>
        <v/>
      </c>
      <c r="AI572">
        <f>IF($AG572="","",SUMIF($AG$2:$AG572,$AG572,$AH$2:$AH572))</f>
        <v/>
      </c>
      <c r="AJ572">
        <f>IF('TMP Paste'!$F572="","",IF('TMP Paste'!$B572="",$AJ571,'TMP Paste'!$B572))</f>
        <v/>
      </c>
      <c r="AK572">
        <f>IF('TMP Paste'!$F572="","",N('TMP Paste'!$G572))</f>
        <v/>
      </c>
      <c r="AL572">
        <f>IF('TMP Paste'!$F572="","",IF('TMP Paste'!$M572="",$AL571,'TMP Paste'!$M572))</f>
        <v/>
      </c>
      <c r="AM572">
        <f>IF('TMP Paste'!$F572="","",IF('TMP Paste'!$N572="",$AM571,'TMP Paste'!$N572))</f>
        <v/>
      </c>
      <c r="AN572">
        <f>IF('TMP Paste'!$F572="","",IF('TMP Paste'!$O572="",$AN571,'TMP Paste'!$O572))</f>
        <v/>
      </c>
      <c r="AO572">
        <f>IF('TMP Paste'!$F572="","",IF('TMP Paste'!$P572="",$AO571,'TMP Paste'!$P572))</f>
        <v/>
      </c>
      <c r="AP572">
        <f>IF($AG572="","",LEN($R572))</f>
        <v/>
      </c>
      <c r="AQ572">
        <f>IF($AG572="","",TRIM(IF(COUNTIFS(Calc!$B$2:$B$1601,ROW()-1,Calc!$C$2:$C$1601,"&lt;1")&gt;0,"Ada PO tanpa Koli - cek TMP. ","")&amp;IF(LEN($R572)&gt;500,"R &gt; 500 karakter.","")))</f>
        <v/>
      </c>
    </row>
    <row r="573">
      <c r="A573">
        <f>IF($AG573="","",INDEX('TMP Paste'!$B$2:$B$1601,$AG573))</f>
        <v/>
      </c>
      <c r="B573">
        <f>IF($AG573="","",Config!$B$14)</f>
        <v/>
      </c>
      <c r="C573">
        <f>IF($AG573="","",Config!$B$15)</f>
        <v/>
      </c>
      <c r="D573">
        <f>IF($AG573="","",INDEX('TMP Paste'!$B$2:$B$1601,$AG573))</f>
        <v/>
      </c>
      <c r="E573">
        <f>IF($AG573="","",Config!$B$27)</f>
        <v/>
      </c>
      <c r="F573">
        <f>IF($AG573="","",Config!$B$9)</f>
        <v/>
      </c>
      <c r="G573">
        <f>IF($AG573="","",Config!$B$10)</f>
        <v/>
      </c>
      <c r="H573">
        <f>IF($AG573="","",Config!$B$11)</f>
        <v/>
      </c>
      <c r="I573">
        <f>IF($AG573="","",Config!$B$16)</f>
        <v/>
      </c>
      <c r="J573">
        <f>IF($AG573="","",INDEX('TMP Paste'!$A$2:$A$1601,$AG573))</f>
        <v/>
      </c>
      <c r="K573">
        <f>IF($AG573="","",INDEX('TMP Paste'!$L$2:$L$1601,$AG573))</f>
        <v/>
      </c>
      <c r="L573">
        <f>IF($AG573="","",INDEX('TMP Paste'!$I$2:$I$1601,$AG573))</f>
        <v/>
      </c>
      <c r="M573">
        <f>IF($AG573="","",Config!$B$16)</f>
        <v/>
      </c>
      <c r="N573">
        <f>IF($AG573="","","")</f>
        <v/>
      </c>
      <c r="O573">
        <f>IF($AG573="","",INDEX('TMP Paste'!$K$2:$K$1601,$AG573))</f>
        <v/>
      </c>
      <c r="P573">
        <f>IF($AG573="","","")</f>
        <v/>
      </c>
      <c r="Q573">
        <f>IF($AG573="","",INDEX('TMP Paste'!$J$2:$J$1601,$AG573))</f>
        <v/>
      </c>
      <c r="R573">
        <f>IF($AG573="","",Config!$B$24)</f>
        <v/>
      </c>
      <c r="S573">
        <f>IF($AG573="","",TEXT(Config!$B$4,"yyyy-mm-dd"))</f>
        <v/>
      </c>
      <c r="T573">
        <f>IF($AG573="","",Config!$B$17)</f>
        <v/>
      </c>
      <c r="U573">
        <f>IF($AG573="","",Config!$B$18)</f>
        <v/>
      </c>
      <c r="V573">
        <f>IF($AG573="","",Config!$B$19)</f>
        <v/>
      </c>
      <c r="W573">
        <f>IF($AG573="","",INDEX('TMP Paste'!$C$2:$C$1601,$AG573))</f>
        <v/>
      </c>
      <c r="X573">
        <f>IF($AG573="","",Config!$B$29)</f>
        <v/>
      </c>
      <c r="Y573">
        <f>IF($AH573="","",INDEX(Calc!$I$2:$I$1601,$AH573)&amp;" - "&amp;INDEX(Calc!$D$2:$D$1601,$AH573)&amp;" koli")</f>
        <v/>
      </c>
      <c r="Z573">
        <f>IF($AG573="","",Config!$B$21)</f>
        <v/>
      </c>
      <c r="AA573">
        <f>IF($AG573="","",Config!$B$22)</f>
        <v/>
      </c>
      <c r="AB573">
        <f>IF($AH573="","",INDEX(Calc!$D$2:$D$1601,$AH573))</f>
        <v/>
      </c>
      <c r="AC573">
        <f>IF($AH573="","",INDEX(Calc!$G$2:$G$1601,$AH573))</f>
        <v/>
      </c>
      <c r="AD573">
        <f>IF($AG573="","",Config!$B$23)</f>
        <v/>
      </c>
      <c r="AE573">
        <f>IF($AG573="","",Config!$B$28)</f>
        <v/>
      </c>
      <c r="AG573">
        <f>IFERROR(MATCH(ROW()-1,Calc!$J$2:$J$1601,0),"")</f>
        <v/>
      </c>
      <c r="AH573">
        <f>IFERROR(MATCH(ROW()-1,Calc!$K$2:$K$1601,0),"")</f>
        <v/>
      </c>
      <c r="AI573">
        <f>IF($AG573="","",SUMIF($AG$2:$AG573,$AG573,$AH$2:$AH573))</f>
        <v/>
      </c>
      <c r="AJ573">
        <f>IF('TMP Paste'!$F573="","",IF('TMP Paste'!$B573="",$AJ572,'TMP Paste'!$B573))</f>
        <v/>
      </c>
      <c r="AK573">
        <f>IF('TMP Paste'!$F573="","",N('TMP Paste'!$G573))</f>
        <v/>
      </c>
      <c r="AL573">
        <f>IF('TMP Paste'!$F573="","",IF('TMP Paste'!$M573="",$AL572,'TMP Paste'!$M573))</f>
        <v/>
      </c>
      <c r="AM573">
        <f>IF('TMP Paste'!$F573="","",IF('TMP Paste'!$N573="",$AM572,'TMP Paste'!$N573))</f>
        <v/>
      </c>
      <c r="AN573">
        <f>IF('TMP Paste'!$F573="","",IF('TMP Paste'!$O573="",$AN572,'TMP Paste'!$O573))</f>
        <v/>
      </c>
      <c r="AO573">
        <f>IF('TMP Paste'!$F573="","",IF('TMP Paste'!$P573="",$AO572,'TMP Paste'!$P573))</f>
        <v/>
      </c>
      <c r="AP573">
        <f>IF($AG573="","",LEN($R573))</f>
        <v/>
      </c>
      <c r="AQ573">
        <f>IF($AG573="","",TRIM(IF(COUNTIFS(Calc!$B$2:$B$1601,ROW()-1,Calc!$C$2:$C$1601,"&lt;1")&gt;0,"Ada PO tanpa Koli - cek TMP. ","")&amp;IF(LEN($R573)&gt;500,"R &gt; 500 karakter.","")))</f>
        <v/>
      </c>
    </row>
    <row r="574">
      <c r="A574">
        <f>IF($AG574="","",INDEX('TMP Paste'!$B$2:$B$1601,$AG574))</f>
        <v/>
      </c>
      <c r="B574">
        <f>IF($AG574="","",Config!$B$14)</f>
        <v/>
      </c>
      <c r="C574">
        <f>IF($AG574="","",Config!$B$15)</f>
        <v/>
      </c>
      <c r="D574">
        <f>IF($AG574="","",INDEX('TMP Paste'!$B$2:$B$1601,$AG574))</f>
        <v/>
      </c>
      <c r="E574">
        <f>IF($AG574="","",Config!$B$27)</f>
        <v/>
      </c>
      <c r="F574">
        <f>IF($AG574="","",Config!$B$9)</f>
        <v/>
      </c>
      <c r="G574">
        <f>IF($AG574="","",Config!$B$10)</f>
        <v/>
      </c>
      <c r="H574">
        <f>IF($AG574="","",Config!$B$11)</f>
        <v/>
      </c>
      <c r="I574">
        <f>IF($AG574="","",Config!$B$16)</f>
        <v/>
      </c>
      <c r="J574">
        <f>IF($AG574="","",INDEX('TMP Paste'!$A$2:$A$1601,$AG574))</f>
        <v/>
      </c>
      <c r="K574">
        <f>IF($AG574="","",INDEX('TMP Paste'!$L$2:$L$1601,$AG574))</f>
        <v/>
      </c>
      <c r="L574">
        <f>IF($AG574="","",INDEX('TMP Paste'!$I$2:$I$1601,$AG574))</f>
        <v/>
      </c>
      <c r="M574">
        <f>IF($AG574="","",Config!$B$16)</f>
        <v/>
      </c>
      <c r="N574">
        <f>IF($AG574="","","")</f>
        <v/>
      </c>
      <c r="O574">
        <f>IF($AG574="","",INDEX('TMP Paste'!$K$2:$K$1601,$AG574))</f>
        <v/>
      </c>
      <c r="P574">
        <f>IF($AG574="","","")</f>
        <v/>
      </c>
      <c r="Q574">
        <f>IF($AG574="","",INDEX('TMP Paste'!$J$2:$J$1601,$AG574))</f>
        <v/>
      </c>
      <c r="R574">
        <f>IF($AG574="","",Config!$B$24)</f>
        <v/>
      </c>
      <c r="S574">
        <f>IF($AG574="","",TEXT(Config!$B$4,"yyyy-mm-dd"))</f>
        <v/>
      </c>
      <c r="T574">
        <f>IF($AG574="","",Config!$B$17)</f>
        <v/>
      </c>
      <c r="U574">
        <f>IF($AG574="","",Config!$B$18)</f>
        <v/>
      </c>
      <c r="V574">
        <f>IF($AG574="","",Config!$B$19)</f>
        <v/>
      </c>
      <c r="W574">
        <f>IF($AG574="","",INDEX('TMP Paste'!$C$2:$C$1601,$AG574))</f>
        <v/>
      </c>
      <c r="X574">
        <f>IF($AG574="","",Config!$B$29)</f>
        <v/>
      </c>
      <c r="Y574">
        <f>IF($AH574="","",INDEX(Calc!$I$2:$I$1601,$AH574)&amp;" - "&amp;INDEX(Calc!$D$2:$D$1601,$AH574)&amp;" koli")</f>
        <v/>
      </c>
      <c r="Z574">
        <f>IF($AG574="","",Config!$B$21)</f>
        <v/>
      </c>
      <c r="AA574">
        <f>IF($AG574="","",Config!$B$22)</f>
        <v/>
      </c>
      <c r="AB574">
        <f>IF($AH574="","",INDEX(Calc!$D$2:$D$1601,$AH574))</f>
        <v/>
      </c>
      <c r="AC574">
        <f>IF($AH574="","",INDEX(Calc!$G$2:$G$1601,$AH574))</f>
        <v/>
      </c>
      <c r="AD574">
        <f>IF($AG574="","",Config!$B$23)</f>
        <v/>
      </c>
      <c r="AE574">
        <f>IF($AG574="","",Config!$B$28)</f>
        <v/>
      </c>
      <c r="AG574">
        <f>IFERROR(MATCH(ROW()-1,Calc!$J$2:$J$1601,0),"")</f>
        <v/>
      </c>
      <c r="AH574">
        <f>IFERROR(MATCH(ROW()-1,Calc!$K$2:$K$1601,0),"")</f>
        <v/>
      </c>
      <c r="AI574">
        <f>IF($AG574="","",SUMIF($AG$2:$AG574,$AG574,$AH$2:$AH574))</f>
        <v/>
      </c>
      <c r="AJ574">
        <f>IF('TMP Paste'!$F574="","",IF('TMP Paste'!$B574="",$AJ573,'TMP Paste'!$B574))</f>
        <v/>
      </c>
      <c r="AK574">
        <f>IF('TMP Paste'!$F574="","",N('TMP Paste'!$G574))</f>
        <v/>
      </c>
      <c r="AL574">
        <f>IF('TMP Paste'!$F574="","",IF('TMP Paste'!$M574="",$AL573,'TMP Paste'!$M574))</f>
        <v/>
      </c>
      <c r="AM574">
        <f>IF('TMP Paste'!$F574="","",IF('TMP Paste'!$N574="",$AM573,'TMP Paste'!$N574))</f>
        <v/>
      </c>
      <c r="AN574">
        <f>IF('TMP Paste'!$F574="","",IF('TMP Paste'!$O574="",$AN573,'TMP Paste'!$O574))</f>
        <v/>
      </c>
      <c r="AO574">
        <f>IF('TMP Paste'!$F574="","",IF('TMP Paste'!$P574="",$AO573,'TMP Paste'!$P574))</f>
        <v/>
      </c>
      <c r="AP574">
        <f>IF($AG574="","",LEN($R574))</f>
        <v/>
      </c>
      <c r="AQ574">
        <f>IF($AG574="","",TRIM(IF(COUNTIFS(Calc!$B$2:$B$1601,ROW()-1,Calc!$C$2:$C$1601,"&lt;1")&gt;0,"Ada PO tanpa Koli - cek TMP. ","")&amp;IF(LEN($R574)&gt;500,"R &gt; 500 karakter.","")))</f>
        <v/>
      </c>
    </row>
    <row r="575">
      <c r="A575">
        <f>IF($AG575="","",INDEX('TMP Paste'!$B$2:$B$1601,$AG575))</f>
        <v/>
      </c>
      <c r="B575">
        <f>IF($AG575="","",Config!$B$14)</f>
        <v/>
      </c>
      <c r="C575">
        <f>IF($AG575="","",Config!$B$15)</f>
        <v/>
      </c>
      <c r="D575">
        <f>IF($AG575="","",INDEX('TMP Paste'!$B$2:$B$1601,$AG575))</f>
        <v/>
      </c>
      <c r="E575">
        <f>IF($AG575="","",Config!$B$27)</f>
        <v/>
      </c>
      <c r="F575">
        <f>IF($AG575="","",Config!$B$9)</f>
        <v/>
      </c>
      <c r="G575">
        <f>IF($AG575="","",Config!$B$10)</f>
        <v/>
      </c>
      <c r="H575">
        <f>IF($AG575="","",Config!$B$11)</f>
        <v/>
      </c>
      <c r="I575">
        <f>IF($AG575="","",Config!$B$16)</f>
        <v/>
      </c>
      <c r="J575">
        <f>IF($AG575="","",INDEX('TMP Paste'!$A$2:$A$1601,$AG575))</f>
        <v/>
      </c>
      <c r="K575">
        <f>IF($AG575="","",INDEX('TMP Paste'!$L$2:$L$1601,$AG575))</f>
        <v/>
      </c>
      <c r="L575">
        <f>IF($AG575="","",INDEX('TMP Paste'!$I$2:$I$1601,$AG575))</f>
        <v/>
      </c>
      <c r="M575">
        <f>IF($AG575="","",Config!$B$16)</f>
        <v/>
      </c>
      <c r="N575">
        <f>IF($AG575="","","")</f>
        <v/>
      </c>
      <c r="O575">
        <f>IF($AG575="","",INDEX('TMP Paste'!$K$2:$K$1601,$AG575))</f>
        <v/>
      </c>
      <c r="P575">
        <f>IF($AG575="","","")</f>
        <v/>
      </c>
      <c r="Q575">
        <f>IF($AG575="","",INDEX('TMP Paste'!$J$2:$J$1601,$AG575))</f>
        <v/>
      </c>
      <c r="R575">
        <f>IF($AG575="","",Config!$B$24)</f>
        <v/>
      </c>
      <c r="S575">
        <f>IF($AG575="","",TEXT(Config!$B$4,"yyyy-mm-dd"))</f>
        <v/>
      </c>
      <c r="T575">
        <f>IF($AG575="","",Config!$B$17)</f>
        <v/>
      </c>
      <c r="U575">
        <f>IF($AG575="","",Config!$B$18)</f>
        <v/>
      </c>
      <c r="V575">
        <f>IF($AG575="","",Config!$B$19)</f>
        <v/>
      </c>
      <c r="W575">
        <f>IF($AG575="","",INDEX('TMP Paste'!$C$2:$C$1601,$AG575))</f>
        <v/>
      </c>
      <c r="X575">
        <f>IF($AG575="","",Config!$B$29)</f>
        <v/>
      </c>
      <c r="Y575">
        <f>IF($AH575="","",INDEX(Calc!$I$2:$I$1601,$AH575)&amp;" - "&amp;INDEX(Calc!$D$2:$D$1601,$AH575)&amp;" koli")</f>
        <v/>
      </c>
      <c r="Z575">
        <f>IF($AG575="","",Config!$B$21)</f>
        <v/>
      </c>
      <c r="AA575">
        <f>IF($AG575="","",Config!$B$22)</f>
        <v/>
      </c>
      <c r="AB575">
        <f>IF($AH575="","",INDEX(Calc!$D$2:$D$1601,$AH575))</f>
        <v/>
      </c>
      <c r="AC575">
        <f>IF($AH575="","",INDEX(Calc!$G$2:$G$1601,$AH575))</f>
        <v/>
      </c>
      <c r="AD575">
        <f>IF($AG575="","",Config!$B$23)</f>
        <v/>
      </c>
      <c r="AE575">
        <f>IF($AG575="","",Config!$B$28)</f>
        <v/>
      </c>
      <c r="AG575">
        <f>IFERROR(MATCH(ROW()-1,Calc!$J$2:$J$1601,0),"")</f>
        <v/>
      </c>
      <c r="AH575">
        <f>IFERROR(MATCH(ROW()-1,Calc!$K$2:$K$1601,0),"")</f>
        <v/>
      </c>
      <c r="AI575">
        <f>IF($AG575="","",SUMIF($AG$2:$AG575,$AG575,$AH$2:$AH575))</f>
        <v/>
      </c>
      <c r="AJ575">
        <f>IF('TMP Paste'!$F575="","",IF('TMP Paste'!$B575="",$AJ574,'TMP Paste'!$B575))</f>
        <v/>
      </c>
      <c r="AK575">
        <f>IF('TMP Paste'!$F575="","",N('TMP Paste'!$G575))</f>
        <v/>
      </c>
      <c r="AL575">
        <f>IF('TMP Paste'!$F575="","",IF('TMP Paste'!$M575="",$AL574,'TMP Paste'!$M575))</f>
        <v/>
      </c>
      <c r="AM575">
        <f>IF('TMP Paste'!$F575="","",IF('TMP Paste'!$N575="",$AM574,'TMP Paste'!$N575))</f>
        <v/>
      </c>
      <c r="AN575">
        <f>IF('TMP Paste'!$F575="","",IF('TMP Paste'!$O575="",$AN574,'TMP Paste'!$O575))</f>
        <v/>
      </c>
      <c r="AO575">
        <f>IF('TMP Paste'!$F575="","",IF('TMP Paste'!$P575="",$AO574,'TMP Paste'!$P575))</f>
        <v/>
      </c>
      <c r="AP575">
        <f>IF($AG575="","",LEN($R575))</f>
        <v/>
      </c>
      <c r="AQ575">
        <f>IF($AG575="","",TRIM(IF(COUNTIFS(Calc!$B$2:$B$1601,ROW()-1,Calc!$C$2:$C$1601,"&lt;1")&gt;0,"Ada PO tanpa Koli - cek TMP. ","")&amp;IF(LEN($R575)&gt;500,"R &gt; 500 karakter.","")))</f>
        <v/>
      </c>
    </row>
    <row r="576">
      <c r="A576">
        <f>IF($AG576="","",INDEX('TMP Paste'!$B$2:$B$1601,$AG576))</f>
        <v/>
      </c>
      <c r="B576">
        <f>IF($AG576="","",Config!$B$14)</f>
        <v/>
      </c>
      <c r="C576">
        <f>IF($AG576="","",Config!$B$15)</f>
        <v/>
      </c>
      <c r="D576">
        <f>IF($AG576="","",INDEX('TMP Paste'!$B$2:$B$1601,$AG576))</f>
        <v/>
      </c>
      <c r="E576">
        <f>IF($AG576="","",Config!$B$27)</f>
        <v/>
      </c>
      <c r="F576">
        <f>IF($AG576="","",Config!$B$9)</f>
        <v/>
      </c>
      <c r="G576">
        <f>IF($AG576="","",Config!$B$10)</f>
        <v/>
      </c>
      <c r="H576">
        <f>IF($AG576="","",Config!$B$11)</f>
        <v/>
      </c>
      <c r="I576">
        <f>IF($AG576="","",Config!$B$16)</f>
        <v/>
      </c>
      <c r="J576">
        <f>IF($AG576="","",INDEX('TMP Paste'!$A$2:$A$1601,$AG576))</f>
        <v/>
      </c>
      <c r="K576">
        <f>IF($AG576="","",INDEX('TMP Paste'!$L$2:$L$1601,$AG576))</f>
        <v/>
      </c>
      <c r="L576">
        <f>IF($AG576="","",INDEX('TMP Paste'!$I$2:$I$1601,$AG576))</f>
        <v/>
      </c>
      <c r="M576">
        <f>IF($AG576="","",Config!$B$16)</f>
        <v/>
      </c>
      <c r="N576">
        <f>IF($AG576="","","")</f>
        <v/>
      </c>
      <c r="O576">
        <f>IF($AG576="","",INDEX('TMP Paste'!$K$2:$K$1601,$AG576))</f>
        <v/>
      </c>
      <c r="P576">
        <f>IF($AG576="","","")</f>
        <v/>
      </c>
      <c r="Q576">
        <f>IF($AG576="","",INDEX('TMP Paste'!$J$2:$J$1601,$AG576))</f>
        <v/>
      </c>
      <c r="R576">
        <f>IF($AG576="","",Config!$B$24)</f>
        <v/>
      </c>
      <c r="S576">
        <f>IF($AG576="","",TEXT(Config!$B$4,"yyyy-mm-dd"))</f>
        <v/>
      </c>
      <c r="T576">
        <f>IF($AG576="","",Config!$B$17)</f>
        <v/>
      </c>
      <c r="U576">
        <f>IF($AG576="","",Config!$B$18)</f>
        <v/>
      </c>
      <c r="V576">
        <f>IF($AG576="","",Config!$B$19)</f>
        <v/>
      </c>
      <c r="W576">
        <f>IF($AG576="","",INDEX('TMP Paste'!$C$2:$C$1601,$AG576))</f>
        <v/>
      </c>
      <c r="X576">
        <f>IF($AG576="","",Config!$B$29)</f>
        <v/>
      </c>
      <c r="Y576">
        <f>IF($AH576="","",INDEX(Calc!$I$2:$I$1601,$AH576)&amp;" - "&amp;INDEX(Calc!$D$2:$D$1601,$AH576)&amp;" koli")</f>
        <v/>
      </c>
      <c r="Z576">
        <f>IF($AG576="","",Config!$B$21)</f>
        <v/>
      </c>
      <c r="AA576">
        <f>IF($AG576="","",Config!$B$22)</f>
        <v/>
      </c>
      <c r="AB576">
        <f>IF($AH576="","",INDEX(Calc!$D$2:$D$1601,$AH576))</f>
        <v/>
      </c>
      <c r="AC576">
        <f>IF($AH576="","",INDEX(Calc!$G$2:$G$1601,$AH576))</f>
        <v/>
      </c>
      <c r="AD576">
        <f>IF($AG576="","",Config!$B$23)</f>
        <v/>
      </c>
      <c r="AE576">
        <f>IF($AG576="","",Config!$B$28)</f>
        <v/>
      </c>
      <c r="AG576">
        <f>IFERROR(MATCH(ROW()-1,Calc!$J$2:$J$1601,0),"")</f>
        <v/>
      </c>
      <c r="AH576">
        <f>IFERROR(MATCH(ROW()-1,Calc!$K$2:$K$1601,0),"")</f>
        <v/>
      </c>
      <c r="AI576">
        <f>IF($AG576="","",SUMIF($AG$2:$AG576,$AG576,$AH$2:$AH576))</f>
        <v/>
      </c>
      <c r="AJ576">
        <f>IF('TMP Paste'!$F576="","",IF('TMP Paste'!$B576="",$AJ575,'TMP Paste'!$B576))</f>
        <v/>
      </c>
      <c r="AK576">
        <f>IF('TMP Paste'!$F576="","",N('TMP Paste'!$G576))</f>
        <v/>
      </c>
      <c r="AL576">
        <f>IF('TMP Paste'!$F576="","",IF('TMP Paste'!$M576="",$AL575,'TMP Paste'!$M576))</f>
        <v/>
      </c>
      <c r="AM576">
        <f>IF('TMP Paste'!$F576="","",IF('TMP Paste'!$N576="",$AM575,'TMP Paste'!$N576))</f>
        <v/>
      </c>
      <c r="AN576">
        <f>IF('TMP Paste'!$F576="","",IF('TMP Paste'!$O576="",$AN575,'TMP Paste'!$O576))</f>
        <v/>
      </c>
      <c r="AO576">
        <f>IF('TMP Paste'!$F576="","",IF('TMP Paste'!$P576="",$AO575,'TMP Paste'!$P576))</f>
        <v/>
      </c>
      <c r="AP576">
        <f>IF($AG576="","",LEN($R576))</f>
        <v/>
      </c>
      <c r="AQ576">
        <f>IF($AG576="","",TRIM(IF(COUNTIFS(Calc!$B$2:$B$1601,ROW()-1,Calc!$C$2:$C$1601,"&lt;1")&gt;0,"Ada PO tanpa Koli - cek TMP. ","")&amp;IF(LEN($R576)&gt;500,"R &gt; 500 karakter.","")))</f>
        <v/>
      </c>
    </row>
    <row r="577">
      <c r="A577">
        <f>IF($AG577="","",INDEX('TMP Paste'!$B$2:$B$1601,$AG577))</f>
        <v/>
      </c>
      <c r="B577">
        <f>IF($AG577="","",Config!$B$14)</f>
        <v/>
      </c>
      <c r="C577">
        <f>IF($AG577="","",Config!$B$15)</f>
        <v/>
      </c>
      <c r="D577">
        <f>IF($AG577="","",INDEX('TMP Paste'!$B$2:$B$1601,$AG577))</f>
        <v/>
      </c>
      <c r="E577">
        <f>IF($AG577="","",Config!$B$27)</f>
        <v/>
      </c>
      <c r="F577">
        <f>IF($AG577="","",Config!$B$9)</f>
        <v/>
      </c>
      <c r="G577">
        <f>IF($AG577="","",Config!$B$10)</f>
        <v/>
      </c>
      <c r="H577">
        <f>IF($AG577="","",Config!$B$11)</f>
        <v/>
      </c>
      <c r="I577">
        <f>IF($AG577="","",Config!$B$16)</f>
        <v/>
      </c>
      <c r="J577">
        <f>IF($AG577="","",INDEX('TMP Paste'!$A$2:$A$1601,$AG577))</f>
        <v/>
      </c>
      <c r="K577">
        <f>IF($AG577="","",INDEX('TMP Paste'!$L$2:$L$1601,$AG577))</f>
        <v/>
      </c>
      <c r="L577">
        <f>IF($AG577="","",INDEX('TMP Paste'!$I$2:$I$1601,$AG577))</f>
        <v/>
      </c>
      <c r="M577">
        <f>IF($AG577="","",Config!$B$16)</f>
        <v/>
      </c>
      <c r="N577">
        <f>IF($AG577="","","")</f>
        <v/>
      </c>
      <c r="O577">
        <f>IF($AG577="","",INDEX('TMP Paste'!$K$2:$K$1601,$AG577))</f>
        <v/>
      </c>
      <c r="P577">
        <f>IF($AG577="","","")</f>
        <v/>
      </c>
      <c r="Q577">
        <f>IF($AG577="","",INDEX('TMP Paste'!$J$2:$J$1601,$AG577))</f>
        <v/>
      </c>
      <c r="R577">
        <f>IF($AG577="","",Config!$B$24)</f>
        <v/>
      </c>
      <c r="S577">
        <f>IF($AG577="","",TEXT(Config!$B$4,"yyyy-mm-dd"))</f>
        <v/>
      </c>
      <c r="T577">
        <f>IF($AG577="","",Config!$B$17)</f>
        <v/>
      </c>
      <c r="U577">
        <f>IF($AG577="","",Config!$B$18)</f>
        <v/>
      </c>
      <c r="V577">
        <f>IF($AG577="","",Config!$B$19)</f>
        <v/>
      </c>
      <c r="W577">
        <f>IF($AG577="","",INDEX('TMP Paste'!$C$2:$C$1601,$AG577))</f>
        <v/>
      </c>
      <c r="X577">
        <f>IF($AG577="","",Config!$B$29)</f>
        <v/>
      </c>
      <c r="Y577">
        <f>IF($AH577="","",INDEX(Calc!$I$2:$I$1601,$AH577)&amp;" - "&amp;INDEX(Calc!$D$2:$D$1601,$AH577)&amp;" koli")</f>
        <v/>
      </c>
      <c r="Z577">
        <f>IF($AG577="","",Config!$B$21)</f>
        <v/>
      </c>
      <c r="AA577">
        <f>IF($AG577="","",Config!$B$22)</f>
        <v/>
      </c>
      <c r="AB577">
        <f>IF($AH577="","",INDEX(Calc!$D$2:$D$1601,$AH577))</f>
        <v/>
      </c>
      <c r="AC577">
        <f>IF($AH577="","",INDEX(Calc!$G$2:$G$1601,$AH577))</f>
        <v/>
      </c>
      <c r="AD577">
        <f>IF($AG577="","",Config!$B$23)</f>
        <v/>
      </c>
      <c r="AE577">
        <f>IF($AG577="","",Config!$B$28)</f>
        <v/>
      </c>
      <c r="AG577">
        <f>IFERROR(MATCH(ROW()-1,Calc!$J$2:$J$1601,0),"")</f>
        <v/>
      </c>
      <c r="AH577">
        <f>IFERROR(MATCH(ROW()-1,Calc!$K$2:$K$1601,0),"")</f>
        <v/>
      </c>
      <c r="AI577">
        <f>IF($AG577="","",SUMIF($AG$2:$AG577,$AG577,$AH$2:$AH577))</f>
        <v/>
      </c>
      <c r="AJ577">
        <f>IF('TMP Paste'!$F577="","",IF('TMP Paste'!$B577="",$AJ576,'TMP Paste'!$B577))</f>
        <v/>
      </c>
      <c r="AK577">
        <f>IF('TMP Paste'!$F577="","",N('TMP Paste'!$G577))</f>
        <v/>
      </c>
      <c r="AL577">
        <f>IF('TMP Paste'!$F577="","",IF('TMP Paste'!$M577="",$AL576,'TMP Paste'!$M577))</f>
        <v/>
      </c>
      <c r="AM577">
        <f>IF('TMP Paste'!$F577="","",IF('TMP Paste'!$N577="",$AM576,'TMP Paste'!$N577))</f>
        <v/>
      </c>
      <c r="AN577">
        <f>IF('TMP Paste'!$F577="","",IF('TMP Paste'!$O577="",$AN576,'TMP Paste'!$O577))</f>
        <v/>
      </c>
      <c r="AO577">
        <f>IF('TMP Paste'!$F577="","",IF('TMP Paste'!$P577="",$AO576,'TMP Paste'!$P577))</f>
        <v/>
      </c>
      <c r="AP577">
        <f>IF($AG577="","",LEN($R577))</f>
        <v/>
      </c>
      <c r="AQ577">
        <f>IF($AG577="","",TRIM(IF(COUNTIFS(Calc!$B$2:$B$1601,ROW()-1,Calc!$C$2:$C$1601,"&lt;1")&gt;0,"Ada PO tanpa Koli - cek TMP. ","")&amp;IF(LEN($R577)&gt;500,"R &gt; 500 karakter.","")))</f>
        <v/>
      </c>
    </row>
    <row r="578">
      <c r="A578">
        <f>IF($AG578="","",INDEX('TMP Paste'!$B$2:$B$1601,$AG578))</f>
        <v/>
      </c>
      <c r="B578">
        <f>IF($AG578="","",Config!$B$14)</f>
        <v/>
      </c>
      <c r="C578">
        <f>IF($AG578="","",Config!$B$15)</f>
        <v/>
      </c>
      <c r="D578">
        <f>IF($AG578="","",INDEX('TMP Paste'!$B$2:$B$1601,$AG578))</f>
        <v/>
      </c>
      <c r="E578">
        <f>IF($AG578="","",Config!$B$27)</f>
        <v/>
      </c>
      <c r="F578">
        <f>IF($AG578="","",Config!$B$9)</f>
        <v/>
      </c>
      <c r="G578">
        <f>IF($AG578="","",Config!$B$10)</f>
        <v/>
      </c>
      <c r="H578">
        <f>IF($AG578="","",Config!$B$11)</f>
        <v/>
      </c>
      <c r="I578">
        <f>IF($AG578="","",Config!$B$16)</f>
        <v/>
      </c>
      <c r="J578">
        <f>IF($AG578="","",INDEX('TMP Paste'!$A$2:$A$1601,$AG578))</f>
        <v/>
      </c>
      <c r="K578">
        <f>IF($AG578="","",INDEX('TMP Paste'!$L$2:$L$1601,$AG578))</f>
        <v/>
      </c>
      <c r="L578">
        <f>IF($AG578="","",INDEX('TMP Paste'!$I$2:$I$1601,$AG578))</f>
        <v/>
      </c>
      <c r="M578">
        <f>IF($AG578="","",Config!$B$16)</f>
        <v/>
      </c>
      <c r="N578">
        <f>IF($AG578="","","")</f>
        <v/>
      </c>
      <c r="O578">
        <f>IF($AG578="","",INDEX('TMP Paste'!$K$2:$K$1601,$AG578))</f>
        <v/>
      </c>
      <c r="P578">
        <f>IF($AG578="","","")</f>
        <v/>
      </c>
      <c r="Q578">
        <f>IF($AG578="","",INDEX('TMP Paste'!$J$2:$J$1601,$AG578))</f>
        <v/>
      </c>
      <c r="R578">
        <f>IF($AG578="","",Config!$B$24)</f>
        <v/>
      </c>
      <c r="S578">
        <f>IF($AG578="","",TEXT(Config!$B$4,"yyyy-mm-dd"))</f>
        <v/>
      </c>
      <c r="T578">
        <f>IF($AG578="","",Config!$B$17)</f>
        <v/>
      </c>
      <c r="U578">
        <f>IF($AG578="","",Config!$B$18)</f>
        <v/>
      </c>
      <c r="V578">
        <f>IF($AG578="","",Config!$B$19)</f>
        <v/>
      </c>
      <c r="W578">
        <f>IF($AG578="","",INDEX('TMP Paste'!$C$2:$C$1601,$AG578))</f>
        <v/>
      </c>
      <c r="X578">
        <f>IF($AG578="","",Config!$B$29)</f>
        <v/>
      </c>
      <c r="Y578">
        <f>IF($AH578="","",INDEX(Calc!$I$2:$I$1601,$AH578)&amp;" - "&amp;INDEX(Calc!$D$2:$D$1601,$AH578)&amp;" koli")</f>
        <v/>
      </c>
      <c r="Z578">
        <f>IF($AG578="","",Config!$B$21)</f>
        <v/>
      </c>
      <c r="AA578">
        <f>IF($AG578="","",Config!$B$22)</f>
        <v/>
      </c>
      <c r="AB578">
        <f>IF($AH578="","",INDEX(Calc!$D$2:$D$1601,$AH578))</f>
        <v/>
      </c>
      <c r="AC578">
        <f>IF($AH578="","",INDEX(Calc!$G$2:$G$1601,$AH578))</f>
        <v/>
      </c>
      <c r="AD578">
        <f>IF($AG578="","",Config!$B$23)</f>
        <v/>
      </c>
      <c r="AE578">
        <f>IF($AG578="","",Config!$B$28)</f>
        <v/>
      </c>
      <c r="AG578">
        <f>IFERROR(MATCH(ROW()-1,Calc!$J$2:$J$1601,0),"")</f>
        <v/>
      </c>
      <c r="AH578">
        <f>IFERROR(MATCH(ROW()-1,Calc!$K$2:$K$1601,0),"")</f>
        <v/>
      </c>
      <c r="AI578">
        <f>IF($AG578="","",SUMIF($AG$2:$AG578,$AG578,$AH$2:$AH578))</f>
        <v/>
      </c>
      <c r="AJ578">
        <f>IF('TMP Paste'!$F578="","",IF('TMP Paste'!$B578="",$AJ577,'TMP Paste'!$B578))</f>
        <v/>
      </c>
      <c r="AK578">
        <f>IF('TMP Paste'!$F578="","",N('TMP Paste'!$G578))</f>
        <v/>
      </c>
      <c r="AL578">
        <f>IF('TMP Paste'!$F578="","",IF('TMP Paste'!$M578="",$AL577,'TMP Paste'!$M578))</f>
        <v/>
      </c>
      <c r="AM578">
        <f>IF('TMP Paste'!$F578="","",IF('TMP Paste'!$N578="",$AM577,'TMP Paste'!$N578))</f>
        <v/>
      </c>
      <c r="AN578">
        <f>IF('TMP Paste'!$F578="","",IF('TMP Paste'!$O578="",$AN577,'TMP Paste'!$O578))</f>
        <v/>
      </c>
      <c r="AO578">
        <f>IF('TMP Paste'!$F578="","",IF('TMP Paste'!$P578="",$AO577,'TMP Paste'!$P578))</f>
        <v/>
      </c>
      <c r="AP578">
        <f>IF($AG578="","",LEN($R578))</f>
        <v/>
      </c>
      <c r="AQ578">
        <f>IF($AG578="","",TRIM(IF(COUNTIFS(Calc!$B$2:$B$1601,ROW()-1,Calc!$C$2:$C$1601,"&lt;1")&gt;0,"Ada PO tanpa Koli - cek TMP. ","")&amp;IF(LEN($R578)&gt;500,"R &gt; 500 karakter.","")))</f>
        <v/>
      </c>
    </row>
    <row r="579">
      <c r="A579">
        <f>IF($AG579="","",INDEX('TMP Paste'!$B$2:$B$1601,$AG579))</f>
        <v/>
      </c>
      <c r="B579">
        <f>IF($AG579="","",Config!$B$14)</f>
        <v/>
      </c>
      <c r="C579">
        <f>IF($AG579="","",Config!$B$15)</f>
        <v/>
      </c>
      <c r="D579">
        <f>IF($AG579="","",INDEX('TMP Paste'!$B$2:$B$1601,$AG579))</f>
        <v/>
      </c>
      <c r="E579">
        <f>IF($AG579="","",Config!$B$27)</f>
        <v/>
      </c>
      <c r="F579">
        <f>IF($AG579="","",Config!$B$9)</f>
        <v/>
      </c>
      <c r="G579">
        <f>IF($AG579="","",Config!$B$10)</f>
        <v/>
      </c>
      <c r="H579">
        <f>IF($AG579="","",Config!$B$11)</f>
        <v/>
      </c>
      <c r="I579">
        <f>IF($AG579="","",Config!$B$16)</f>
        <v/>
      </c>
      <c r="J579">
        <f>IF($AG579="","",INDEX('TMP Paste'!$A$2:$A$1601,$AG579))</f>
        <v/>
      </c>
      <c r="K579">
        <f>IF($AG579="","",INDEX('TMP Paste'!$L$2:$L$1601,$AG579))</f>
        <v/>
      </c>
      <c r="L579">
        <f>IF($AG579="","",INDEX('TMP Paste'!$I$2:$I$1601,$AG579))</f>
        <v/>
      </c>
      <c r="M579">
        <f>IF($AG579="","",Config!$B$16)</f>
        <v/>
      </c>
      <c r="N579">
        <f>IF($AG579="","","")</f>
        <v/>
      </c>
      <c r="O579">
        <f>IF($AG579="","",INDEX('TMP Paste'!$K$2:$K$1601,$AG579))</f>
        <v/>
      </c>
      <c r="P579">
        <f>IF($AG579="","","")</f>
        <v/>
      </c>
      <c r="Q579">
        <f>IF($AG579="","",INDEX('TMP Paste'!$J$2:$J$1601,$AG579))</f>
        <v/>
      </c>
      <c r="R579">
        <f>IF($AG579="","",Config!$B$24)</f>
        <v/>
      </c>
      <c r="S579">
        <f>IF($AG579="","",TEXT(Config!$B$4,"yyyy-mm-dd"))</f>
        <v/>
      </c>
      <c r="T579">
        <f>IF($AG579="","",Config!$B$17)</f>
        <v/>
      </c>
      <c r="U579">
        <f>IF($AG579="","",Config!$B$18)</f>
        <v/>
      </c>
      <c r="V579">
        <f>IF($AG579="","",Config!$B$19)</f>
        <v/>
      </c>
      <c r="W579">
        <f>IF($AG579="","",INDEX('TMP Paste'!$C$2:$C$1601,$AG579))</f>
        <v/>
      </c>
      <c r="X579">
        <f>IF($AG579="","",Config!$B$29)</f>
        <v/>
      </c>
      <c r="Y579">
        <f>IF($AH579="","",INDEX(Calc!$I$2:$I$1601,$AH579)&amp;" - "&amp;INDEX(Calc!$D$2:$D$1601,$AH579)&amp;" koli")</f>
        <v/>
      </c>
      <c r="Z579">
        <f>IF($AG579="","",Config!$B$21)</f>
        <v/>
      </c>
      <c r="AA579">
        <f>IF($AG579="","",Config!$B$22)</f>
        <v/>
      </c>
      <c r="AB579">
        <f>IF($AH579="","",INDEX(Calc!$D$2:$D$1601,$AH579))</f>
        <v/>
      </c>
      <c r="AC579">
        <f>IF($AH579="","",INDEX(Calc!$G$2:$G$1601,$AH579))</f>
        <v/>
      </c>
      <c r="AD579">
        <f>IF($AG579="","",Config!$B$23)</f>
        <v/>
      </c>
      <c r="AE579">
        <f>IF($AG579="","",Config!$B$28)</f>
        <v/>
      </c>
      <c r="AG579">
        <f>IFERROR(MATCH(ROW()-1,Calc!$J$2:$J$1601,0),"")</f>
        <v/>
      </c>
      <c r="AH579">
        <f>IFERROR(MATCH(ROW()-1,Calc!$K$2:$K$1601,0),"")</f>
        <v/>
      </c>
      <c r="AI579">
        <f>IF($AG579="","",SUMIF($AG$2:$AG579,$AG579,$AH$2:$AH579))</f>
        <v/>
      </c>
      <c r="AJ579">
        <f>IF('TMP Paste'!$F579="","",IF('TMP Paste'!$B579="",$AJ578,'TMP Paste'!$B579))</f>
        <v/>
      </c>
      <c r="AK579">
        <f>IF('TMP Paste'!$F579="","",N('TMP Paste'!$G579))</f>
        <v/>
      </c>
      <c r="AL579">
        <f>IF('TMP Paste'!$F579="","",IF('TMP Paste'!$M579="",$AL578,'TMP Paste'!$M579))</f>
        <v/>
      </c>
      <c r="AM579">
        <f>IF('TMP Paste'!$F579="","",IF('TMP Paste'!$N579="",$AM578,'TMP Paste'!$N579))</f>
        <v/>
      </c>
      <c r="AN579">
        <f>IF('TMP Paste'!$F579="","",IF('TMP Paste'!$O579="",$AN578,'TMP Paste'!$O579))</f>
        <v/>
      </c>
      <c r="AO579">
        <f>IF('TMP Paste'!$F579="","",IF('TMP Paste'!$P579="",$AO578,'TMP Paste'!$P579))</f>
        <v/>
      </c>
      <c r="AP579">
        <f>IF($AG579="","",LEN($R579))</f>
        <v/>
      </c>
      <c r="AQ579">
        <f>IF($AG579="","",TRIM(IF(COUNTIFS(Calc!$B$2:$B$1601,ROW()-1,Calc!$C$2:$C$1601,"&lt;1")&gt;0,"Ada PO tanpa Koli - cek TMP. ","")&amp;IF(LEN($R579)&gt;500,"R &gt; 500 karakter.","")))</f>
        <v/>
      </c>
    </row>
    <row r="580">
      <c r="A580">
        <f>IF($AG580="","",INDEX('TMP Paste'!$B$2:$B$1601,$AG580))</f>
        <v/>
      </c>
      <c r="B580">
        <f>IF($AG580="","",Config!$B$14)</f>
        <v/>
      </c>
      <c r="C580">
        <f>IF($AG580="","",Config!$B$15)</f>
        <v/>
      </c>
      <c r="D580">
        <f>IF($AG580="","",INDEX('TMP Paste'!$B$2:$B$1601,$AG580))</f>
        <v/>
      </c>
      <c r="E580">
        <f>IF($AG580="","",Config!$B$27)</f>
        <v/>
      </c>
      <c r="F580">
        <f>IF($AG580="","",Config!$B$9)</f>
        <v/>
      </c>
      <c r="G580">
        <f>IF($AG580="","",Config!$B$10)</f>
        <v/>
      </c>
      <c r="H580">
        <f>IF($AG580="","",Config!$B$11)</f>
        <v/>
      </c>
      <c r="I580">
        <f>IF($AG580="","",Config!$B$16)</f>
        <v/>
      </c>
      <c r="J580">
        <f>IF($AG580="","",INDEX('TMP Paste'!$A$2:$A$1601,$AG580))</f>
        <v/>
      </c>
      <c r="K580">
        <f>IF($AG580="","",INDEX('TMP Paste'!$L$2:$L$1601,$AG580))</f>
        <v/>
      </c>
      <c r="L580">
        <f>IF($AG580="","",INDEX('TMP Paste'!$I$2:$I$1601,$AG580))</f>
        <v/>
      </c>
      <c r="M580">
        <f>IF($AG580="","",Config!$B$16)</f>
        <v/>
      </c>
      <c r="N580">
        <f>IF($AG580="","","")</f>
        <v/>
      </c>
      <c r="O580">
        <f>IF($AG580="","",INDEX('TMP Paste'!$K$2:$K$1601,$AG580))</f>
        <v/>
      </c>
      <c r="P580">
        <f>IF($AG580="","","")</f>
        <v/>
      </c>
      <c r="Q580">
        <f>IF($AG580="","",INDEX('TMP Paste'!$J$2:$J$1601,$AG580))</f>
        <v/>
      </c>
      <c r="R580">
        <f>IF($AG580="","",Config!$B$24)</f>
        <v/>
      </c>
      <c r="S580">
        <f>IF($AG580="","",TEXT(Config!$B$4,"yyyy-mm-dd"))</f>
        <v/>
      </c>
      <c r="T580">
        <f>IF($AG580="","",Config!$B$17)</f>
        <v/>
      </c>
      <c r="U580">
        <f>IF($AG580="","",Config!$B$18)</f>
        <v/>
      </c>
      <c r="V580">
        <f>IF($AG580="","",Config!$B$19)</f>
        <v/>
      </c>
      <c r="W580">
        <f>IF($AG580="","",INDEX('TMP Paste'!$C$2:$C$1601,$AG580))</f>
        <v/>
      </c>
      <c r="X580">
        <f>IF($AG580="","",Config!$B$29)</f>
        <v/>
      </c>
      <c r="Y580">
        <f>IF($AH580="","",INDEX(Calc!$I$2:$I$1601,$AH580)&amp;" - "&amp;INDEX(Calc!$D$2:$D$1601,$AH580)&amp;" koli")</f>
        <v/>
      </c>
      <c r="Z580">
        <f>IF($AG580="","",Config!$B$21)</f>
        <v/>
      </c>
      <c r="AA580">
        <f>IF($AG580="","",Config!$B$22)</f>
        <v/>
      </c>
      <c r="AB580">
        <f>IF($AH580="","",INDEX(Calc!$D$2:$D$1601,$AH580))</f>
        <v/>
      </c>
      <c r="AC580">
        <f>IF($AH580="","",INDEX(Calc!$G$2:$G$1601,$AH580))</f>
        <v/>
      </c>
      <c r="AD580">
        <f>IF($AG580="","",Config!$B$23)</f>
        <v/>
      </c>
      <c r="AE580">
        <f>IF($AG580="","",Config!$B$28)</f>
        <v/>
      </c>
      <c r="AG580">
        <f>IFERROR(MATCH(ROW()-1,Calc!$J$2:$J$1601,0),"")</f>
        <v/>
      </c>
      <c r="AH580">
        <f>IFERROR(MATCH(ROW()-1,Calc!$K$2:$K$1601,0),"")</f>
        <v/>
      </c>
      <c r="AI580">
        <f>IF($AG580="","",SUMIF($AG$2:$AG580,$AG580,$AH$2:$AH580))</f>
        <v/>
      </c>
      <c r="AJ580">
        <f>IF('TMP Paste'!$F580="","",IF('TMP Paste'!$B580="",$AJ579,'TMP Paste'!$B580))</f>
        <v/>
      </c>
      <c r="AK580">
        <f>IF('TMP Paste'!$F580="","",N('TMP Paste'!$G580))</f>
        <v/>
      </c>
      <c r="AL580">
        <f>IF('TMP Paste'!$F580="","",IF('TMP Paste'!$M580="",$AL579,'TMP Paste'!$M580))</f>
        <v/>
      </c>
      <c r="AM580">
        <f>IF('TMP Paste'!$F580="","",IF('TMP Paste'!$N580="",$AM579,'TMP Paste'!$N580))</f>
        <v/>
      </c>
      <c r="AN580">
        <f>IF('TMP Paste'!$F580="","",IF('TMP Paste'!$O580="",$AN579,'TMP Paste'!$O580))</f>
        <v/>
      </c>
      <c r="AO580">
        <f>IF('TMP Paste'!$F580="","",IF('TMP Paste'!$P580="",$AO579,'TMP Paste'!$P580))</f>
        <v/>
      </c>
      <c r="AP580">
        <f>IF($AG580="","",LEN($R580))</f>
        <v/>
      </c>
      <c r="AQ580">
        <f>IF($AG580="","",TRIM(IF(COUNTIFS(Calc!$B$2:$B$1601,ROW()-1,Calc!$C$2:$C$1601,"&lt;1")&gt;0,"Ada PO tanpa Koli - cek TMP. ","")&amp;IF(LEN($R580)&gt;500,"R &gt; 500 karakter.","")))</f>
        <v/>
      </c>
    </row>
    <row r="581">
      <c r="A581">
        <f>IF($AG581="","",INDEX('TMP Paste'!$B$2:$B$1601,$AG581))</f>
        <v/>
      </c>
      <c r="B581">
        <f>IF($AG581="","",Config!$B$14)</f>
        <v/>
      </c>
      <c r="C581">
        <f>IF($AG581="","",Config!$B$15)</f>
        <v/>
      </c>
      <c r="D581">
        <f>IF($AG581="","",INDEX('TMP Paste'!$B$2:$B$1601,$AG581))</f>
        <v/>
      </c>
      <c r="E581">
        <f>IF($AG581="","",Config!$B$27)</f>
        <v/>
      </c>
      <c r="F581">
        <f>IF($AG581="","",Config!$B$9)</f>
        <v/>
      </c>
      <c r="G581">
        <f>IF($AG581="","",Config!$B$10)</f>
        <v/>
      </c>
      <c r="H581">
        <f>IF($AG581="","",Config!$B$11)</f>
        <v/>
      </c>
      <c r="I581">
        <f>IF($AG581="","",Config!$B$16)</f>
        <v/>
      </c>
      <c r="J581">
        <f>IF($AG581="","",INDEX('TMP Paste'!$A$2:$A$1601,$AG581))</f>
        <v/>
      </c>
      <c r="K581">
        <f>IF($AG581="","",INDEX('TMP Paste'!$L$2:$L$1601,$AG581))</f>
        <v/>
      </c>
      <c r="L581">
        <f>IF($AG581="","",INDEX('TMP Paste'!$I$2:$I$1601,$AG581))</f>
        <v/>
      </c>
      <c r="M581">
        <f>IF($AG581="","",Config!$B$16)</f>
        <v/>
      </c>
      <c r="N581">
        <f>IF($AG581="","","")</f>
        <v/>
      </c>
      <c r="O581">
        <f>IF($AG581="","",INDEX('TMP Paste'!$K$2:$K$1601,$AG581))</f>
        <v/>
      </c>
      <c r="P581">
        <f>IF($AG581="","","")</f>
        <v/>
      </c>
      <c r="Q581">
        <f>IF($AG581="","",INDEX('TMP Paste'!$J$2:$J$1601,$AG581))</f>
        <v/>
      </c>
      <c r="R581">
        <f>IF($AG581="","",Config!$B$24)</f>
        <v/>
      </c>
      <c r="S581">
        <f>IF($AG581="","",TEXT(Config!$B$4,"yyyy-mm-dd"))</f>
        <v/>
      </c>
      <c r="T581">
        <f>IF($AG581="","",Config!$B$17)</f>
        <v/>
      </c>
      <c r="U581">
        <f>IF($AG581="","",Config!$B$18)</f>
        <v/>
      </c>
      <c r="V581">
        <f>IF($AG581="","",Config!$B$19)</f>
        <v/>
      </c>
      <c r="W581">
        <f>IF($AG581="","",INDEX('TMP Paste'!$C$2:$C$1601,$AG581))</f>
        <v/>
      </c>
      <c r="X581">
        <f>IF($AG581="","",Config!$B$29)</f>
        <v/>
      </c>
      <c r="Y581">
        <f>IF($AH581="","",INDEX(Calc!$I$2:$I$1601,$AH581)&amp;" - "&amp;INDEX(Calc!$D$2:$D$1601,$AH581)&amp;" koli")</f>
        <v/>
      </c>
      <c r="Z581">
        <f>IF($AG581="","",Config!$B$21)</f>
        <v/>
      </c>
      <c r="AA581">
        <f>IF($AG581="","",Config!$B$22)</f>
        <v/>
      </c>
      <c r="AB581">
        <f>IF($AH581="","",INDEX(Calc!$D$2:$D$1601,$AH581))</f>
        <v/>
      </c>
      <c r="AC581">
        <f>IF($AH581="","",INDEX(Calc!$G$2:$G$1601,$AH581))</f>
        <v/>
      </c>
      <c r="AD581">
        <f>IF($AG581="","",Config!$B$23)</f>
        <v/>
      </c>
      <c r="AE581">
        <f>IF($AG581="","",Config!$B$28)</f>
        <v/>
      </c>
      <c r="AG581">
        <f>IFERROR(MATCH(ROW()-1,Calc!$J$2:$J$1601,0),"")</f>
        <v/>
      </c>
      <c r="AH581">
        <f>IFERROR(MATCH(ROW()-1,Calc!$K$2:$K$1601,0),"")</f>
        <v/>
      </c>
      <c r="AI581">
        <f>IF($AG581="","",SUMIF($AG$2:$AG581,$AG581,$AH$2:$AH581))</f>
        <v/>
      </c>
      <c r="AJ581">
        <f>IF('TMP Paste'!$F581="","",IF('TMP Paste'!$B581="",$AJ580,'TMP Paste'!$B581))</f>
        <v/>
      </c>
      <c r="AK581">
        <f>IF('TMP Paste'!$F581="","",N('TMP Paste'!$G581))</f>
        <v/>
      </c>
      <c r="AL581">
        <f>IF('TMP Paste'!$F581="","",IF('TMP Paste'!$M581="",$AL580,'TMP Paste'!$M581))</f>
        <v/>
      </c>
      <c r="AM581">
        <f>IF('TMP Paste'!$F581="","",IF('TMP Paste'!$N581="",$AM580,'TMP Paste'!$N581))</f>
        <v/>
      </c>
      <c r="AN581">
        <f>IF('TMP Paste'!$F581="","",IF('TMP Paste'!$O581="",$AN580,'TMP Paste'!$O581))</f>
        <v/>
      </c>
      <c r="AO581">
        <f>IF('TMP Paste'!$F581="","",IF('TMP Paste'!$P581="",$AO580,'TMP Paste'!$P581))</f>
        <v/>
      </c>
      <c r="AP581">
        <f>IF($AG581="","",LEN($R581))</f>
        <v/>
      </c>
      <c r="AQ581">
        <f>IF($AG581="","",TRIM(IF(COUNTIFS(Calc!$B$2:$B$1601,ROW()-1,Calc!$C$2:$C$1601,"&lt;1")&gt;0,"Ada PO tanpa Koli - cek TMP. ","")&amp;IF(LEN($R581)&gt;500,"R &gt; 500 karakter.","")))</f>
        <v/>
      </c>
    </row>
    <row r="582">
      <c r="A582">
        <f>IF($AG582="","",INDEX('TMP Paste'!$B$2:$B$1601,$AG582))</f>
        <v/>
      </c>
      <c r="B582">
        <f>IF($AG582="","",Config!$B$14)</f>
        <v/>
      </c>
      <c r="C582">
        <f>IF($AG582="","",Config!$B$15)</f>
        <v/>
      </c>
      <c r="D582">
        <f>IF($AG582="","",INDEX('TMP Paste'!$B$2:$B$1601,$AG582))</f>
        <v/>
      </c>
      <c r="E582">
        <f>IF($AG582="","",Config!$B$27)</f>
        <v/>
      </c>
      <c r="F582">
        <f>IF($AG582="","",Config!$B$9)</f>
        <v/>
      </c>
      <c r="G582">
        <f>IF($AG582="","",Config!$B$10)</f>
        <v/>
      </c>
      <c r="H582">
        <f>IF($AG582="","",Config!$B$11)</f>
        <v/>
      </c>
      <c r="I582">
        <f>IF($AG582="","",Config!$B$16)</f>
        <v/>
      </c>
      <c r="J582">
        <f>IF($AG582="","",INDEX('TMP Paste'!$A$2:$A$1601,$AG582))</f>
        <v/>
      </c>
      <c r="K582">
        <f>IF($AG582="","",INDEX('TMP Paste'!$L$2:$L$1601,$AG582))</f>
        <v/>
      </c>
      <c r="L582">
        <f>IF($AG582="","",INDEX('TMP Paste'!$I$2:$I$1601,$AG582))</f>
        <v/>
      </c>
      <c r="M582">
        <f>IF($AG582="","",Config!$B$16)</f>
        <v/>
      </c>
      <c r="N582">
        <f>IF($AG582="","","")</f>
        <v/>
      </c>
      <c r="O582">
        <f>IF($AG582="","",INDEX('TMP Paste'!$K$2:$K$1601,$AG582))</f>
        <v/>
      </c>
      <c r="P582">
        <f>IF($AG582="","","")</f>
        <v/>
      </c>
      <c r="Q582">
        <f>IF($AG582="","",INDEX('TMP Paste'!$J$2:$J$1601,$AG582))</f>
        <v/>
      </c>
      <c r="R582">
        <f>IF($AG582="","",Config!$B$24)</f>
        <v/>
      </c>
      <c r="S582">
        <f>IF($AG582="","",TEXT(Config!$B$4,"yyyy-mm-dd"))</f>
        <v/>
      </c>
      <c r="T582">
        <f>IF($AG582="","",Config!$B$17)</f>
        <v/>
      </c>
      <c r="U582">
        <f>IF($AG582="","",Config!$B$18)</f>
        <v/>
      </c>
      <c r="V582">
        <f>IF($AG582="","",Config!$B$19)</f>
        <v/>
      </c>
      <c r="W582">
        <f>IF($AG582="","",INDEX('TMP Paste'!$C$2:$C$1601,$AG582))</f>
        <v/>
      </c>
      <c r="X582">
        <f>IF($AG582="","",Config!$B$29)</f>
        <v/>
      </c>
      <c r="Y582">
        <f>IF($AH582="","",INDEX(Calc!$I$2:$I$1601,$AH582)&amp;" - "&amp;INDEX(Calc!$D$2:$D$1601,$AH582)&amp;" koli")</f>
        <v/>
      </c>
      <c r="Z582">
        <f>IF($AG582="","",Config!$B$21)</f>
        <v/>
      </c>
      <c r="AA582">
        <f>IF($AG582="","",Config!$B$22)</f>
        <v/>
      </c>
      <c r="AB582">
        <f>IF($AH582="","",INDEX(Calc!$D$2:$D$1601,$AH582))</f>
        <v/>
      </c>
      <c r="AC582">
        <f>IF($AH582="","",INDEX(Calc!$G$2:$G$1601,$AH582))</f>
        <v/>
      </c>
      <c r="AD582">
        <f>IF($AG582="","",Config!$B$23)</f>
        <v/>
      </c>
      <c r="AE582">
        <f>IF($AG582="","",Config!$B$28)</f>
        <v/>
      </c>
      <c r="AG582">
        <f>IFERROR(MATCH(ROW()-1,Calc!$J$2:$J$1601,0),"")</f>
        <v/>
      </c>
      <c r="AH582">
        <f>IFERROR(MATCH(ROW()-1,Calc!$K$2:$K$1601,0),"")</f>
        <v/>
      </c>
      <c r="AI582">
        <f>IF($AG582="","",SUMIF($AG$2:$AG582,$AG582,$AH$2:$AH582))</f>
        <v/>
      </c>
      <c r="AJ582">
        <f>IF('TMP Paste'!$F582="","",IF('TMP Paste'!$B582="",$AJ581,'TMP Paste'!$B582))</f>
        <v/>
      </c>
      <c r="AK582">
        <f>IF('TMP Paste'!$F582="","",N('TMP Paste'!$G582))</f>
        <v/>
      </c>
      <c r="AL582">
        <f>IF('TMP Paste'!$F582="","",IF('TMP Paste'!$M582="",$AL581,'TMP Paste'!$M582))</f>
        <v/>
      </c>
      <c r="AM582">
        <f>IF('TMP Paste'!$F582="","",IF('TMP Paste'!$N582="",$AM581,'TMP Paste'!$N582))</f>
        <v/>
      </c>
      <c r="AN582">
        <f>IF('TMP Paste'!$F582="","",IF('TMP Paste'!$O582="",$AN581,'TMP Paste'!$O582))</f>
        <v/>
      </c>
      <c r="AO582">
        <f>IF('TMP Paste'!$F582="","",IF('TMP Paste'!$P582="",$AO581,'TMP Paste'!$P582))</f>
        <v/>
      </c>
      <c r="AP582">
        <f>IF($AG582="","",LEN($R582))</f>
        <v/>
      </c>
      <c r="AQ582">
        <f>IF($AG582="","",TRIM(IF(COUNTIFS(Calc!$B$2:$B$1601,ROW()-1,Calc!$C$2:$C$1601,"&lt;1")&gt;0,"Ada PO tanpa Koli - cek TMP. ","")&amp;IF(LEN($R582)&gt;500,"R &gt; 500 karakter.","")))</f>
        <v/>
      </c>
    </row>
    <row r="583">
      <c r="A583">
        <f>IF($AG583="","",INDEX('TMP Paste'!$B$2:$B$1601,$AG583))</f>
        <v/>
      </c>
      <c r="B583">
        <f>IF($AG583="","",Config!$B$14)</f>
        <v/>
      </c>
      <c r="C583">
        <f>IF($AG583="","",Config!$B$15)</f>
        <v/>
      </c>
      <c r="D583">
        <f>IF($AG583="","",INDEX('TMP Paste'!$B$2:$B$1601,$AG583))</f>
        <v/>
      </c>
      <c r="E583">
        <f>IF($AG583="","",Config!$B$27)</f>
        <v/>
      </c>
      <c r="F583">
        <f>IF($AG583="","",Config!$B$9)</f>
        <v/>
      </c>
      <c r="G583">
        <f>IF($AG583="","",Config!$B$10)</f>
        <v/>
      </c>
      <c r="H583">
        <f>IF($AG583="","",Config!$B$11)</f>
        <v/>
      </c>
      <c r="I583">
        <f>IF($AG583="","",Config!$B$16)</f>
        <v/>
      </c>
      <c r="J583">
        <f>IF($AG583="","",INDEX('TMP Paste'!$A$2:$A$1601,$AG583))</f>
        <v/>
      </c>
      <c r="K583">
        <f>IF($AG583="","",INDEX('TMP Paste'!$L$2:$L$1601,$AG583))</f>
        <v/>
      </c>
      <c r="L583">
        <f>IF($AG583="","",INDEX('TMP Paste'!$I$2:$I$1601,$AG583))</f>
        <v/>
      </c>
      <c r="M583">
        <f>IF($AG583="","",Config!$B$16)</f>
        <v/>
      </c>
      <c r="N583">
        <f>IF($AG583="","","")</f>
        <v/>
      </c>
      <c r="O583">
        <f>IF($AG583="","",INDEX('TMP Paste'!$K$2:$K$1601,$AG583))</f>
        <v/>
      </c>
      <c r="P583">
        <f>IF($AG583="","","")</f>
        <v/>
      </c>
      <c r="Q583">
        <f>IF($AG583="","",INDEX('TMP Paste'!$J$2:$J$1601,$AG583))</f>
        <v/>
      </c>
      <c r="R583">
        <f>IF($AG583="","",Config!$B$24)</f>
        <v/>
      </c>
      <c r="S583">
        <f>IF($AG583="","",TEXT(Config!$B$4,"yyyy-mm-dd"))</f>
        <v/>
      </c>
      <c r="T583">
        <f>IF($AG583="","",Config!$B$17)</f>
        <v/>
      </c>
      <c r="U583">
        <f>IF($AG583="","",Config!$B$18)</f>
        <v/>
      </c>
      <c r="V583">
        <f>IF($AG583="","",Config!$B$19)</f>
        <v/>
      </c>
      <c r="W583">
        <f>IF($AG583="","",INDEX('TMP Paste'!$C$2:$C$1601,$AG583))</f>
        <v/>
      </c>
      <c r="X583">
        <f>IF($AG583="","",Config!$B$29)</f>
        <v/>
      </c>
      <c r="Y583">
        <f>IF($AH583="","",INDEX(Calc!$I$2:$I$1601,$AH583)&amp;" - "&amp;INDEX(Calc!$D$2:$D$1601,$AH583)&amp;" koli")</f>
        <v/>
      </c>
      <c r="Z583">
        <f>IF($AG583="","",Config!$B$21)</f>
        <v/>
      </c>
      <c r="AA583">
        <f>IF($AG583="","",Config!$B$22)</f>
        <v/>
      </c>
      <c r="AB583">
        <f>IF($AH583="","",INDEX(Calc!$D$2:$D$1601,$AH583))</f>
        <v/>
      </c>
      <c r="AC583">
        <f>IF($AH583="","",INDEX(Calc!$G$2:$G$1601,$AH583))</f>
        <v/>
      </c>
      <c r="AD583">
        <f>IF($AG583="","",Config!$B$23)</f>
        <v/>
      </c>
      <c r="AE583">
        <f>IF($AG583="","",Config!$B$28)</f>
        <v/>
      </c>
      <c r="AG583">
        <f>IFERROR(MATCH(ROW()-1,Calc!$J$2:$J$1601,0),"")</f>
        <v/>
      </c>
      <c r="AH583">
        <f>IFERROR(MATCH(ROW()-1,Calc!$K$2:$K$1601,0),"")</f>
        <v/>
      </c>
      <c r="AI583">
        <f>IF($AG583="","",SUMIF($AG$2:$AG583,$AG583,$AH$2:$AH583))</f>
        <v/>
      </c>
      <c r="AJ583">
        <f>IF('TMP Paste'!$F583="","",IF('TMP Paste'!$B583="",$AJ582,'TMP Paste'!$B583))</f>
        <v/>
      </c>
      <c r="AK583">
        <f>IF('TMP Paste'!$F583="","",N('TMP Paste'!$G583))</f>
        <v/>
      </c>
      <c r="AL583">
        <f>IF('TMP Paste'!$F583="","",IF('TMP Paste'!$M583="",$AL582,'TMP Paste'!$M583))</f>
        <v/>
      </c>
      <c r="AM583">
        <f>IF('TMP Paste'!$F583="","",IF('TMP Paste'!$N583="",$AM582,'TMP Paste'!$N583))</f>
        <v/>
      </c>
      <c r="AN583">
        <f>IF('TMP Paste'!$F583="","",IF('TMP Paste'!$O583="",$AN582,'TMP Paste'!$O583))</f>
        <v/>
      </c>
      <c r="AO583">
        <f>IF('TMP Paste'!$F583="","",IF('TMP Paste'!$P583="",$AO582,'TMP Paste'!$P583))</f>
        <v/>
      </c>
      <c r="AP583">
        <f>IF($AG583="","",LEN($R583))</f>
        <v/>
      </c>
      <c r="AQ583">
        <f>IF($AG583="","",TRIM(IF(COUNTIFS(Calc!$B$2:$B$1601,ROW()-1,Calc!$C$2:$C$1601,"&lt;1")&gt;0,"Ada PO tanpa Koli - cek TMP. ","")&amp;IF(LEN($R583)&gt;500,"R &gt; 500 karakter.","")))</f>
        <v/>
      </c>
    </row>
    <row r="584">
      <c r="A584">
        <f>IF($AG584="","",INDEX('TMP Paste'!$B$2:$B$1601,$AG584))</f>
        <v/>
      </c>
      <c r="B584">
        <f>IF($AG584="","",Config!$B$14)</f>
        <v/>
      </c>
      <c r="C584">
        <f>IF($AG584="","",Config!$B$15)</f>
        <v/>
      </c>
      <c r="D584">
        <f>IF($AG584="","",INDEX('TMP Paste'!$B$2:$B$1601,$AG584))</f>
        <v/>
      </c>
      <c r="E584">
        <f>IF($AG584="","",Config!$B$27)</f>
        <v/>
      </c>
      <c r="F584">
        <f>IF($AG584="","",Config!$B$9)</f>
        <v/>
      </c>
      <c r="G584">
        <f>IF($AG584="","",Config!$B$10)</f>
        <v/>
      </c>
      <c r="H584">
        <f>IF($AG584="","",Config!$B$11)</f>
        <v/>
      </c>
      <c r="I584">
        <f>IF($AG584="","",Config!$B$16)</f>
        <v/>
      </c>
      <c r="J584">
        <f>IF($AG584="","",INDEX('TMP Paste'!$A$2:$A$1601,$AG584))</f>
        <v/>
      </c>
      <c r="K584">
        <f>IF($AG584="","",INDEX('TMP Paste'!$L$2:$L$1601,$AG584))</f>
        <v/>
      </c>
      <c r="L584">
        <f>IF($AG584="","",INDEX('TMP Paste'!$I$2:$I$1601,$AG584))</f>
        <v/>
      </c>
      <c r="M584">
        <f>IF($AG584="","",Config!$B$16)</f>
        <v/>
      </c>
      <c r="N584">
        <f>IF($AG584="","","")</f>
        <v/>
      </c>
      <c r="O584">
        <f>IF($AG584="","",INDEX('TMP Paste'!$K$2:$K$1601,$AG584))</f>
        <v/>
      </c>
      <c r="P584">
        <f>IF($AG584="","","")</f>
        <v/>
      </c>
      <c r="Q584">
        <f>IF($AG584="","",INDEX('TMP Paste'!$J$2:$J$1601,$AG584))</f>
        <v/>
      </c>
      <c r="R584">
        <f>IF($AG584="","",Config!$B$24)</f>
        <v/>
      </c>
      <c r="S584">
        <f>IF($AG584="","",TEXT(Config!$B$4,"yyyy-mm-dd"))</f>
        <v/>
      </c>
      <c r="T584">
        <f>IF($AG584="","",Config!$B$17)</f>
        <v/>
      </c>
      <c r="U584">
        <f>IF($AG584="","",Config!$B$18)</f>
        <v/>
      </c>
      <c r="V584">
        <f>IF($AG584="","",Config!$B$19)</f>
        <v/>
      </c>
      <c r="W584">
        <f>IF($AG584="","",INDEX('TMP Paste'!$C$2:$C$1601,$AG584))</f>
        <v/>
      </c>
      <c r="X584">
        <f>IF($AG584="","",Config!$B$29)</f>
        <v/>
      </c>
      <c r="Y584">
        <f>IF($AH584="","",INDEX(Calc!$I$2:$I$1601,$AH584)&amp;" - "&amp;INDEX(Calc!$D$2:$D$1601,$AH584)&amp;" koli")</f>
        <v/>
      </c>
      <c r="Z584">
        <f>IF($AG584="","",Config!$B$21)</f>
        <v/>
      </c>
      <c r="AA584">
        <f>IF($AG584="","",Config!$B$22)</f>
        <v/>
      </c>
      <c r="AB584">
        <f>IF($AH584="","",INDEX(Calc!$D$2:$D$1601,$AH584))</f>
        <v/>
      </c>
      <c r="AC584">
        <f>IF($AH584="","",INDEX(Calc!$G$2:$G$1601,$AH584))</f>
        <v/>
      </c>
      <c r="AD584">
        <f>IF($AG584="","",Config!$B$23)</f>
        <v/>
      </c>
      <c r="AE584">
        <f>IF($AG584="","",Config!$B$28)</f>
        <v/>
      </c>
      <c r="AG584">
        <f>IFERROR(MATCH(ROW()-1,Calc!$J$2:$J$1601,0),"")</f>
        <v/>
      </c>
      <c r="AH584">
        <f>IFERROR(MATCH(ROW()-1,Calc!$K$2:$K$1601,0),"")</f>
        <v/>
      </c>
      <c r="AI584">
        <f>IF($AG584="","",SUMIF($AG$2:$AG584,$AG584,$AH$2:$AH584))</f>
        <v/>
      </c>
      <c r="AJ584">
        <f>IF('TMP Paste'!$F584="","",IF('TMP Paste'!$B584="",$AJ583,'TMP Paste'!$B584))</f>
        <v/>
      </c>
      <c r="AK584">
        <f>IF('TMP Paste'!$F584="","",N('TMP Paste'!$G584))</f>
        <v/>
      </c>
      <c r="AL584">
        <f>IF('TMP Paste'!$F584="","",IF('TMP Paste'!$M584="",$AL583,'TMP Paste'!$M584))</f>
        <v/>
      </c>
      <c r="AM584">
        <f>IF('TMP Paste'!$F584="","",IF('TMP Paste'!$N584="",$AM583,'TMP Paste'!$N584))</f>
        <v/>
      </c>
      <c r="AN584">
        <f>IF('TMP Paste'!$F584="","",IF('TMP Paste'!$O584="",$AN583,'TMP Paste'!$O584))</f>
        <v/>
      </c>
      <c r="AO584">
        <f>IF('TMP Paste'!$F584="","",IF('TMP Paste'!$P584="",$AO583,'TMP Paste'!$P584))</f>
        <v/>
      </c>
      <c r="AP584">
        <f>IF($AG584="","",LEN($R584))</f>
        <v/>
      </c>
      <c r="AQ584">
        <f>IF($AG584="","",TRIM(IF(COUNTIFS(Calc!$B$2:$B$1601,ROW()-1,Calc!$C$2:$C$1601,"&lt;1")&gt;0,"Ada PO tanpa Koli - cek TMP. ","")&amp;IF(LEN($R584)&gt;500,"R &gt; 500 karakter.","")))</f>
        <v/>
      </c>
    </row>
    <row r="585">
      <c r="A585">
        <f>IF($AG585="","",INDEX('TMP Paste'!$B$2:$B$1601,$AG585))</f>
        <v/>
      </c>
      <c r="B585">
        <f>IF($AG585="","",Config!$B$14)</f>
        <v/>
      </c>
      <c r="C585">
        <f>IF($AG585="","",Config!$B$15)</f>
        <v/>
      </c>
      <c r="D585">
        <f>IF($AG585="","",INDEX('TMP Paste'!$B$2:$B$1601,$AG585))</f>
        <v/>
      </c>
      <c r="E585">
        <f>IF($AG585="","",Config!$B$27)</f>
        <v/>
      </c>
      <c r="F585">
        <f>IF($AG585="","",Config!$B$9)</f>
        <v/>
      </c>
      <c r="G585">
        <f>IF($AG585="","",Config!$B$10)</f>
        <v/>
      </c>
      <c r="H585">
        <f>IF($AG585="","",Config!$B$11)</f>
        <v/>
      </c>
      <c r="I585">
        <f>IF($AG585="","",Config!$B$16)</f>
        <v/>
      </c>
      <c r="J585">
        <f>IF($AG585="","",INDEX('TMP Paste'!$A$2:$A$1601,$AG585))</f>
        <v/>
      </c>
      <c r="K585">
        <f>IF($AG585="","",INDEX('TMP Paste'!$L$2:$L$1601,$AG585))</f>
        <v/>
      </c>
      <c r="L585">
        <f>IF($AG585="","",INDEX('TMP Paste'!$I$2:$I$1601,$AG585))</f>
        <v/>
      </c>
      <c r="M585">
        <f>IF($AG585="","",Config!$B$16)</f>
        <v/>
      </c>
      <c r="N585">
        <f>IF($AG585="","","")</f>
        <v/>
      </c>
      <c r="O585">
        <f>IF($AG585="","",INDEX('TMP Paste'!$K$2:$K$1601,$AG585))</f>
        <v/>
      </c>
      <c r="P585">
        <f>IF($AG585="","","")</f>
        <v/>
      </c>
      <c r="Q585">
        <f>IF($AG585="","",INDEX('TMP Paste'!$J$2:$J$1601,$AG585))</f>
        <v/>
      </c>
      <c r="R585">
        <f>IF($AG585="","",Config!$B$24)</f>
        <v/>
      </c>
      <c r="S585">
        <f>IF($AG585="","",TEXT(Config!$B$4,"yyyy-mm-dd"))</f>
        <v/>
      </c>
      <c r="T585">
        <f>IF($AG585="","",Config!$B$17)</f>
        <v/>
      </c>
      <c r="U585">
        <f>IF($AG585="","",Config!$B$18)</f>
        <v/>
      </c>
      <c r="V585">
        <f>IF($AG585="","",Config!$B$19)</f>
        <v/>
      </c>
      <c r="W585">
        <f>IF($AG585="","",INDEX('TMP Paste'!$C$2:$C$1601,$AG585))</f>
        <v/>
      </c>
      <c r="X585">
        <f>IF($AG585="","",Config!$B$29)</f>
        <v/>
      </c>
      <c r="Y585">
        <f>IF($AH585="","",INDEX(Calc!$I$2:$I$1601,$AH585)&amp;" - "&amp;INDEX(Calc!$D$2:$D$1601,$AH585)&amp;" koli")</f>
        <v/>
      </c>
      <c r="Z585">
        <f>IF($AG585="","",Config!$B$21)</f>
        <v/>
      </c>
      <c r="AA585">
        <f>IF($AG585="","",Config!$B$22)</f>
        <v/>
      </c>
      <c r="AB585">
        <f>IF($AH585="","",INDEX(Calc!$D$2:$D$1601,$AH585))</f>
        <v/>
      </c>
      <c r="AC585">
        <f>IF($AH585="","",INDEX(Calc!$G$2:$G$1601,$AH585))</f>
        <v/>
      </c>
      <c r="AD585">
        <f>IF($AG585="","",Config!$B$23)</f>
        <v/>
      </c>
      <c r="AE585">
        <f>IF($AG585="","",Config!$B$28)</f>
        <v/>
      </c>
      <c r="AG585">
        <f>IFERROR(MATCH(ROW()-1,Calc!$J$2:$J$1601,0),"")</f>
        <v/>
      </c>
      <c r="AH585">
        <f>IFERROR(MATCH(ROW()-1,Calc!$K$2:$K$1601,0),"")</f>
        <v/>
      </c>
      <c r="AI585">
        <f>IF($AG585="","",SUMIF($AG$2:$AG585,$AG585,$AH$2:$AH585))</f>
        <v/>
      </c>
      <c r="AJ585">
        <f>IF('TMP Paste'!$F585="","",IF('TMP Paste'!$B585="",$AJ584,'TMP Paste'!$B585))</f>
        <v/>
      </c>
      <c r="AK585">
        <f>IF('TMP Paste'!$F585="","",N('TMP Paste'!$G585))</f>
        <v/>
      </c>
      <c r="AL585">
        <f>IF('TMP Paste'!$F585="","",IF('TMP Paste'!$M585="",$AL584,'TMP Paste'!$M585))</f>
        <v/>
      </c>
      <c r="AM585">
        <f>IF('TMP Paste'!$F585="","",IF('TMP Paste'!$N585="",$AM584,'TMP Paste'!$N585))</f>
        <v/>
      </c>
      <c r="AN585">
        <f>IF('TMP Paste'!$F585="","",IF('TMP Paste'!$O585="",$AN584,'TMP Paste'!$O585))</f>
        <v/>
      </c>
      <c r="AO585">
        <f>IF('TMP Paste'!$F585="","",IF('TMP Paste'!$P585="",$AO584,'TMP Paste'!$P585))</f>
        <v/>
      </c>
      <c r="AP585">
        <f>IF($AG585="","",LEN($R585))</f>
        <v/>
      </c>
      <c r="AQ585">
        <f>IF($AG585="","",TRIM(IF(COUNTIFS(Calc!$B$2:$B$1601,ROW()-1,Calc!$C$2:$C$1601,"&lt;1")&gt;0,"Ada PO tanpa Koli - cek TMP. ","")&amp;IF(LEN($R585)&gt;500,"R &gt; 500 karakter.","")))</f>
        <v/>
      </c>
    </row>
    <row r="586">
      <c r="A586">
        <f>IF($AG586="","",INDEX('TMP Paste'!$B$2:$B$1601,$AG586))</f>
        <v/>
      </c>
      <c r="B586">
        <f>IF($AG586="","",Config!$B$14)</f>
        <v/>
      </c>
      <c r="C586">
        <f>IF($AG586="","",Config!$B$15)</f>
        <v/>
      </c>
      <c r="D586">
        <f>IF($AG586="","",INDEX('TMP Paste'!$B$2:$B$1601,$AG586))</f>
        <v/>
      </c>
      <c r="E586">
        <f>IF($AG586="","",Config!$B$27)</f>
        <v/>
      </c>
      <c r="F586">
        <f>IF($AG586="","",Config!$B$9)</f>
        <v/>
      </c>
      <c r="G586">
        <f>IF($AG586="","",Config!$B$10)</f>
        <v/>
      </c>
      <c r="H586">
        <f>IF($AG586="","",Config!$B$11)</f>
        <v/>
      </c>
      <c r="I586">
        <f>IF($AG586="","",Config!$B$16)</f>
        <v/>
      </c>
      <c r="J586">
        <f>IF($AG586="","",INDEX('TMP Paste'!$A$2:$A$1601,$AG586))</f>
        <v/>
      </c>
      <c r="K586">
        <f>IF($AG586="","",INDEX('TMP Paste'!$L$2:$L$1601,$AG586))</f>
        <v/>
      </c>
      <c r="L586">
        <f>IF($AG586="","",INDEX('TMP Paste'!$I$2:$I$1601,$AG586))</f>
        <v/>
      </c>
      <c r="M586">
        <f>IF($AG586="","",Config!$B$16)</f>
        <v/>
      </c>
      <c r="N586">
        <f>IF($AG586="","","")</f>
        <v/>
      </c>
      <c r="O586">
        <f>IF($AG586="","",INDEX('TMP Paste'!$K$2:$K$1601,$AG586))</f>
        <v/>
      </c>
      <c r="P586">
        <f>IF($AG586="","","")</f>
        <v/>
      </c>
      <c r="Q586">
        <f>IF($AG586="","",INDEX('TMP Paste'!$J$2:$J$1601,$AG586))</f>
        <v/>
      </c>
      <c r="R586">
        <f>IF($AG586="","",Config!$B$24)</f>
        <v/>
      </c>
      <c r="S586">
        <f>IF($AG586="","",TEXT(Config!$B$4,"yyyy-mm-dd"))</f>
        <v/>
      </c>
      <c r="T586">
        <f>IF($AG586="","",Config!$B$17)</f>
        <v/>
      </c>
      <c r="U586">
        <f>IF($AG586="","",Config!$B$18)</f>
        <v/>
      </c>
      <c r="V586">
        <f>IF($AG586="","",Config!$B$19)</f>
        <v/>
      </c>
      <c r="W586">
        <f>IF($AG586="","",INDEX('TMP Paste'!$C$2:$C$1601,$AG586))</f>
        <v/>
      </c>
      <c r="X586">
        <f>IF($AG586="","",Config!$B$29)</f>
        <v/>
      </c>
      <c r="Y586">
        <f>IF($AH586="","",INDEX(Calc!$I$2:$I$1601,$AH586)&amp;" - "&amp;INDEX(Calc!$D$2:$D$1601,$AH586)&amp;" koli")</f>
        <v/>
      </c>
      <c r="Z586">
        <f>IF($AG586="","",Config!$B$21)</f>
        <v/>
      </c>
      <c r="AA586">
        <f>IF($AG586="","",Config!$B$22)</f>
        <v/>
      </c>
      <c r="AB586">
        <f>IF($AH586="","",INDEX(Calc!$D$2:$D$1601,$AH586))</f>
        <v/>
      </c>
      <c r="AC586">
        <f>IF($AH586="","",INDEX(Calc!$G$2:$G$1601,$AH586))</f>
        <v/>
      </c>
      <c r="AD586">
        <f>IF($AG586="","",Config!$B$23)</f>
        <v/>
      </c>
      <c r="AE586">
        <f>IF($AG586="","",Config!$B$28)</f>
        <v/>
      </c>
      <c r="AG586">
        <f>IFERROR(MATCH(ROW()-1,Calc!$J$2:$J$1601,0),"")</f>
        <v/>
      </c>
      <c r="AH586">
        <f>IFERROR(MATCH(ROW()-1,Calc!$K$2:$K$1601,0),"")</f>
        <v/>
      </c>
      <c r="AI586">
        <f>IF($AG586="","",SUMIF($AG$2:$AG586,$AG586,$AH$2:$AH586))</f>
        <v/>
      </c>
      <c r="AJ586">
        <f>IF('TMP Paste'!$F586="","",IF('TMP Paste'!$B586="",$AJ585,'TMP Paste'!$B586))</f>
        <v/>
      </c>
      <c r="AK586">
        <f>IF('TMP Paste'!$F586="","",N('TMP Paste'!$G586))</f>
        <v/>
      </c>
      <c r="AL586">
        <f>IF('TMP Paste'!$F586="","",IF('TMP Paste'!$M586="",$AL585,'TMP Paste'!$M586))</f>
        <v/>
      </c>
      <c r="AM586">
        <f>IF('TMP Paste'!$F586="","",IF('TMP Paste'!$N586="",$AM585,'TMP Paste'!$N586))</f>
        <v/>
      </c>
      <c r="AN586">
        <f>IF('TMP Paste'!$F586="","",IF('TMP Paste'!$O586="",$AN585,'TMP Paste'!$O586))</f>
        <v/>
      </c>
      <c r="AO586">
        <f>IF('TMP Paste'!$F586="","",IF('TMP Paste'!$P586="",$AO585,'TMP Paste'!$P586))</f>
        <v/>
      </c>
      <c r="AP586">
        <f>IF($AG586="","",LEN($R586))</f>
        <v/>
      </c>
      <c r="AQ586">
        <f>IF($AG586="","",TRIM(IF(COUNTIFS(Calc!$B$2:$B$1601,ROW()-1,Calc!$C$2:$C$1601,"&lt;1")&gt;0,"Ada PO tanpa Koli - cek TMP. ","")&amp;IF(LEN($R586)&gt;500,"R &gt; 500 karakter.","")))</f>
        <v/>
      </c>
    </row>
    <row r="587">
      <c r="A587">
        <f>IF($AG587="","",INDEX('TMP Paste'!$B$2:$B$1601,$AG587))</f>
        <v/>
      </c>
      <c r="B587">
        <f>IF($AG587="","",Config!$B$14)</f>
        <v/>
      </c>
      <c r="C587">
        <f>IF($AG587="","",Config!$B$15)</f>
        <v/>
      </c>
      <c r="D587">
        <f>IF($AG587="","",INDEX('TMP Paste'!$B$2:$B$1601,$AG587))</f>
        <v/>
      </c>
      <c r="E587">
        <f>IF($AG587="","",Config!$B$27)</f>
        <v/>
      </c>
      <c r="F587">
        <f>IF($AG587="","",Config!$B$9)</f>
        <v/>
      </c>
      <c r="G587">
        <f>IF($AG587="","",Config!$B$10)</f>
        <v/>
      </c>
      <c r="H587">
        <f>IF($AG587="","",Config!$B$11)</f>
        <v/>
      </c>
      <c r="I587">
        <f>IF($AG587="","",Config!$B$16)</f>
        <v/>
      </c>
      <c r="J587">
        <f>IF($AG587="","",INDEX('TMP Paste'!$A$2:$A$1601,$AG587))</f>
        <v/>
      </c>
      <c r="K587">
        <f>IF($AG587="","",INDEX('TMP Paste'!$L$2:$L$1601,$AG587))</f>
        <v/>
      </c>
      <c r="L587">
        <f>IF($AG587="","",INDEX('TMP Paste'!$I$2:$I$1601,$AG587))</f>
        <v/>
      </c>
      <c r="M587">
        <f>IF($AG587="","",Config!$B$16)</f>
        <v/>
      </c>
      <c r="N587">
        <f>IF($AG587="","","")</f>
        <v/>
      </c>
      <c r="O587">
        <f>IF($AG587="","",INDEX('TMP Paste'!$K$2:$K$1601,$AG587))</f>
        <v/>
      </c>
      <c r="P587">
        <f>IF($AG587="","","")</f>
        <v/>
      </c>
      <c r="Q587">
        <f>IF($AG587="","",INDEX('TMP Paste'!$J$2:$J$1601,$AG587))</f>
        <v/>
      </c>
      <c r="R587">
        <f>IF($AG587="","",Config!$B$24)</f>
        <v/>
      </c>
      <c r="S587">
        <f>IF($AG587="","",TEXT(Config!$B$4,"yyyy-mm-dd"))</f>
        <v/>
      </c>
      <c r="T587">
        <f>IF($AG587="","",Config!$B$17)</f>
        <v/>
      </c>
      <c r="U587">
        <f>IF($AG587="","",Config!$B$18)</f>
        <v/>
      </c>
      <c r="V587">
        <f>IF($AG587="","",Config!$B$19)</f>
        <v/>
      </c>
      <c r="W587">
        <f>IF($AG587="","",INDEX('TMP Paste'!$C$2:$C$1601,$AG587))</f>
        <v/>
      </c>
      <c r="X587">
        <f>IF($AG587="","",Config!$B$29)</f>
        <v/>
      </c>
      <c r="Y587">
        <f>IF($AH587="","",INDEX(Calc!$I$2:$I$1601,$AH587)&amp;" - "&amp;INDEX(Calc!$D$2:$D$1601,$AH587)&amp;" koli")</f>
        <v/>
      </c>
      <c r="Z587">
        <f>IF($AG587="","",Config!$B$21)</f>
        <v/>
      </c>
      <c r="AA587">
        <f>IF($AG587="","",Config!$B$22)</f>
        <v/>
      </c>
      <c r="AB587">
        <f>IF($AH587="","",INDEX(Calc!$D$2:$D$1601,$AH587))</f>
        <v/>
      </c>
      <c r="AC587">
        <f>IF($AH587="","",INDEX(Calc!$G$2:$G$1601,$AH587))</f>
        <v/>
      </c>
      <c r="AD587">
        <f>IF($AG587="","",Config!$B$23)</f>
        <v/>
      </c>
      <c r="AE587">
        <f>IF($AG587="","",Config!$B$28)</f>
        <v/>
      </c>
      <c r="AG587">
        <f>IFERROR(MATCH(ROW()-1,Calc!$J$2:$J$1601,0),"")</f>
        <v/>
      </c>
      <c r="AH587">
        <f>IFERROR(MATCH(ROW()-1,Calc!$K$2:$K$1601,0),"")</f>
        <v/>
      </c>
      <c r="AI587">
        <f>IF($AG587="","",SUMIF($AG$2:$AG587,$AG587,$AH$2:$AH587))</f>
        <v/>
      </c>
      <c r="AJ587">
        <f>IF('TMP Paste'!$F587="","",IF('TMP Paste'!$B587="",$AJ586,'TMP Paste'!$B587))</f>
        <v/>
      </c>
      <c r="AK587">
        <f>IF('TMP Paste'!$F587="","",N('TMP Paste'!$G587))</f>
        <v/>
      </c>
      <c r="AL587">
        <f>IF('TMP Paste'!$F587="","",IF('TMP Paste'!$M587="",$AL586,'TMP Paste'!$M587))</f>
        <v/>
      </c>
      <c r="AM587">
        <f>IF('TMP Paste'!$F587="","",IF('TMP Paste'!$N587="",$AM586,'TMP Paste'!$N587))</f>
        <v/>
      </c>
      <c r="AN587">
        <f>IF('TMP Paste'!$F587="","",IF('TMP Paste'!$O587="",$AN586,'TMP Paste'!$O587))</f>
        <v/>
      </c>
      <c r="AO587">
        <f>IF('TMP Paste'!$F587="","",IF('TMP Paste'!$P587="",$AO586,'TMP Paste'!$P587))</f>
        <v/>
      </c>
      <c r="AP587">
        <f>IF($AG587="","",LEN($R587))</f>
        <v/>
      </c>
      <c r="AQ587">
        <f>IF($AG587="","",TRIM(IF(COUNTIFS(Calc!$B$2:$B$1601,ROW()-1,Calc!$C$2:$C$1601,"&lt;1")&gt;0,"Ada PO tanpa Koli - cek TMP. ","")&amp;IF(LEN($R587)&gt;500,"R &gt; 500 karakter.","")))</f>
        <v/>
      </c>
    </row>
    <row r="588">
      <c r="A588">
        <f>IF($AG588="","",INDEX('TMP Paste'!$B$2:$B$1601,$AG588))</f>
        <v/>
      </c>
      <c r="B588">
        <f>IF($AG588="","",Config!$B$14)</f>
        <v/>
      </c>
      <c r="C588">
        <f>IF($AG588="","",Config!$B$15)</f>
        <v/>
      </c>
      <c r="D588">
        <f>IF($AG588="","",INDEX('TMP Paste'!$B$2:$B$1601,$AG588))</f>
        <v/>
      </c>
      <c r="E588">
        <f>IF($AG588="","",Config!$B$27)</f>
        <v/>
      </c>
      <c r="F588">
        <f>IF($AG588="","",Config!$B$9)</f>
        <v/>
      </c>
      <c r="G588">
        <f>IF($AG588="","",Config!$B$10)</f>
        <v/>
      </c>
      <c r="H588">
        <f>IF($AG588="","",Config!$B$11)</f>
        <v/>
      </c>
      <c r="I588">
        <f>IF($AG588="","",Config!$B$16)</f>
        <v/>
      </c>
      <c r="J588">
        <f>IF($AG588="","",INDEX('TMP Paste'!$A$2:$A$1601,$AG588))</f>
        <v/>
      </c>
      <c r="K588">
        <f>IF($AG588="","",INDEX('TMP Paste'!$L$2:$L$1601,$AG588))</f>
        <v/>
      </c>
      <c r="L588">
        <f>IF($AG588="","",INDEX('TMP Paste'!$I$2:$I$1601,$AG588))</f>
        <v/>
      </c>
      <c r="M588">
        <f>IF($AG588="","",Config!$B$16)</f>
        <v/>
      </c>
      <c r="N588">
        <f>IF($AG588="","","")</f>
        <v/>
      </c>
      <c r="O588">
        <f>IF($AG588="","",INDEX('TMP Paste'!$K$2:$K$1601,$AG588))</f>
        <v/>
      </c>
      <c r="P588">
        <f>IF($AG588="","","")</f>
        <v/>
      </c>
      <c r="Q588">
        <f>IF($AG588="","",INDEX('TMP Paste'!$J$2:$J$1601,$AG588))</f>
        <v/>
      </c>
      <c r="R588">
        <f>IF($AG588="","",Config!$B$24)</f>
        <v/>
      </c>
      <c r="S588">
        <f>IF($AG588="","",TEXT(Config!$B$4,"yyyy-mm-dd"))</f>
        <v/>
      </c>
      <c r="T588">
        <f>IF($AG588="","",Config!$B$17)</f>
        <v/>
      </c>
      <c r="U588">
        <f>IF($AG588="","",Config!$B$18)</f>
        <v/>
      </c>
      <c r="V588">
        <f>IF($AG588="","",Config!$B$19)</f>
        <v/>
      </c>
      <c r="W588">
        <f>IF($AG588="","",INDEX('TMP Paste'!$C$2:$C$1601,$AG588))</f>
        <v/>
      </c>
      <c r="X588">
        <f>IF($AG588="","",Config!$B$29)</f>
        <v/>
      </c>
      <c r="Y588">
        <f>IF($AH588="","",INDEX(Calc!$I$2:$I$1601,$AH588)&amp;" - "&amp;INDEX(Calc!$D$2:$D$1601,$AH588)&amp;" koli")</f>
        <v/>
      </c>
      <c r="Z588">
        <f>IF($AG588="","",Config!$B$21)</f>
        <v/>
      </c>
      <c r="AA588">
        <f>IF($AG588="","",Config!$B$22)</f>
        <v/>
      </c>
      <c r="AB588">
        <f>IF($AH588="","",INDEX(Calc!$D$2:$D$1601,$AH588))</f>
        <v/>
      </c>
      <c r="AC588">
        <f>IF($AH588="","",INDEX(Calc!$G$2:$G$1601,$AH588))</f>
        <v/>
      </c>
      <c r="AD588">
        <f>IF($AG588="","",Config!$B$23)</f>
        <v/>
      </c>
      <c r="AE588">
        <f>IF($AG588="","",Config!$B$28)</f>
        <v/>
      </c>
      <c r="AG588">
        <f>IFERROR(MATCH(ROW()-1,Calc!$J$2:$J$1601,0),"")</f>
        <v/>
      </c>
      <c r="AH588">
        <f>IFERROR(MATCH(ROW()-1,Calc!$K$2:$K$1601,0),"")</f>
        <v/>
      </c>
      <c r="AI588">
        <f>IF($AG588="","",SUMIF($AG$2:$AG588,$AG588,$AH$2:$AH588))</f>
        <v/>
      </c>
      <c r="AJ588">
        <f>IF('TMP Paste'!$F588="","",IF('TMP Paste'!$B588="",$AJ587,'TMP Paste'!$B588))</f>
        <v/>
      </c>
      <c r="AK588">
        <f>IF('TMP Paste'!$F588="","",N('TMP Paste'!$G588))</f>
        <v/>
      </c>
      <c r="AL588">
        <f>IF('TMP Paste'!$F588="","",IF('TMP Paste'!$M588="",$AL587,'TMP Paste'!$M588))</f>
        <v/>
      </c>
      <c r="AM588">
        <f>IF('TMP Paste'!$F588="","",IF('TMP Paste'!$N588="",$AM587,'TMP Paste'!$N588))</f>
        <v/>
      </c>
      <c r="AN588">
        <f>IF('TMP Paste'!$F588="","",IF('TMP Paste'!$O588="",$AN587,'TMP Paste'!$O588))</f>
        <v/>
      </c>
      <c r="AO588">
        <f>IF('TMP Paste'!$F588="","",IF('TMP Paste'!$P588="",$AO587,'TMP Paste'!$P588))</f>
        <v/>
      </c>
      <c r="AP588">
        <f>IF($AG588="","",LEN($R588))</f>
        <v/>
      </c>
      <c r="AQ588">
        <f>IF($AG588="","",TRIM(IF(COUNTIFS(Calc!$B$2:$B$1601,ROW()-1,Calc!$C$2:$C$1601,"&lt;1")&gt;0,"Ada PO tanpa Koli - cek TMP. ","")&amp;IF(LEN($R588)&gt;500,"R &gt; 500 karakter.","")))</f>
        <v/>
      </c>
    </row>
    <row r="589">
      <c r="A589">
        <f>IF($AG589="","",INDEX('TMP Paste'!$B$2:$B$1601,$AG589))</f>
        <v/>
      </c>
      <c r="B589">
        <f>IF($AG589="","",Config!$B$14)</f>
        <v/>
      </c>
      <c r="C589">
        <f>IF($AG589="","",Config!$B$15)</f>
        <v/>
      </c>
      <c r="D589">
        <f>IF($AG589="","",INDEX('TMP Paste'!$B$2:$B$1601,$AG589))</f>
        <v/>
      </c>
      <c r="E589">
        <f>IF($AG589="","",Config!$B$27)</f>
        <v/>
      </c>
      <c r="F589">
        <f>IF($AG589="","",Config!$B$9)</f>
        <v/>
      </c>
      <c r="G589">
        <f>IF($AG589="","",Config!$B$10)</f>
        <v/>
      </c>
      <c r="H589">
        <f>IF($AG589="","",Config!$B$11)</f>
        <v/>
      </c>
      <c r="I589">
        <f>IF($AG589="","",Config!$B$16)</f>
        <v/>
      </c>
      <c r="J589">
        <f>IF($AG589="","",INDEX('TMP Paste'!$A$2:$A$1601,$AG589))</f>
        <v/>
      </c>
      <c r="K589">
        <f>IF($AG589="","",INDEX('TMP Paste'!$L$2:$L$1601,$AG589))</f>
        <v/>
      </c>
      <c r="L589">
        <f>IF($AG589="","",INDEX('TMP Paste'!$I$2:$I$1601,$AG589))</f>
        <v/>
      </c>
      <c r="M589">
        <f>IF($AG589="","",Config!$B$16)</f>
        <v/>
      </c>
      <c r="N589">
        <f>IF($AG589="","","")</f>
        <v/>
      </c>
      <c r="O589">
        <f>IF($AG589="","",INDEX('TMP Paste'!$K$2:$K$1601,$AG589))</f>
        <v/>
      </c>
      <c r="P589">
        <f>IF($AG589="","","")</f>
        <v/>
      </c>
      <c r="Q589">
        <f>IF($AG589="","",INDEX('TMP Paste'!$J$2:$J$1601,$AG589))</f>
        <v/>
      </c>
      <c r="R589">
        <f>IF($AG589="","",Config!$B$24)</f>
        <v/>
      </c>
      <c r="S589">
        <f>IF($AG589="","",TEXT(Config!$B$4,"yyyy-mm-dd"))</f>
        <v/>
      </c>
      <c r="T589">
        <f>IF($AG589="","",Config!$B$17)</f>
        <v/>
      </c>
      <c r="U589">
        <f>IF($AG589="","",Config!$B$18)</f>
        <v/>
      </c>
      <c r="V589">
        <f>IF($AG589="","",Config!$B$19)</f>
        <v/>
      </c>
      <c r="W589">
        <f>IF($AG589="","",INDEX('TMP Paste'!$C$2:$C$1601,$AG589))</f>
        <v/>
      </c>
      <c r="X589">
        <f>IF($AG589="","",Config!$B$29)</f>
        <v/>
      </c>
      <c r="Y589">
        <f>IF($AH589="","",INDEX(Calc!$I$2:$I$1601,$AH589)&amp;" - "&amp;INDEX(Calc!$D$2:$D$1601,$AH589)&amp;" koli")</f>
        <v/>
      </c>
      <c r="Z589">
        <f>IF($AG589="","",Config!$B$21)</f>
        <v/>
      </c>
      <c r="AA589">
        <f>IF($AG589="","",Config!$B$22)</f>
        <v/>
      </c>
      <c r="AB589">
        <f>IF($AH589="","",INDEX(Calc!$D$2:$D$1601,$AH589))</f>
        <v/>
      </c>
      <c r="AC589">
        <f>IF($AH589="","",INDEX(Calc!$G$2:$G$1601,$AH589))</f>
        <v/>
      </c>
      <c r="AD589">
        <f>IF($AG589="","",Config!$B$23)</f>
        <v/>
      </c>
      <c r="AE589">
        <f>IF($AG589="","",Config!$B$28)</f>
        <v/>
      </c>
      <c r="AG589">
        <f>IFERROR(MATCH(ROW()-1,Calc!$J$2:$J$1601,0),"")</f>
        <v/>
      </c>
      <c r="AH589">
        <f>IFERROR(MATCH(ROW()-1,Calc!$K$2:$K$1601,0),"")</f>
        <v/>
      </c>
      <c r="AI589">
        <f>IF($AG589="","",SUMIF($AG$2:$AG589,$AG589,$AH$2:$AH589))</f>
        <v/>
      </c>
      <c r="AJ589">
        <f>IF('TMP Paste'!$F589="","",IF('TMP Paste'!$B589="",$AJ588,'TMP Paste'!$B589))</f>
        <v/>
      </c>
      <c r="AK589">
        <f>IF('TMP Paste'!$F589="","",N('TMP Paste'!$G589))</f>
        <v/>
      </c>
      <c r="AL589">
        <f>IF('TMP Paste'!$F589="","",IF('TMP Paste'!$M589="",$AL588,'TMP Paste'!$M589))</f>
        <v/>
      </c>
      <c r="AM589">
        <f>IF('TMP Paste'!$F589="","",IF('TMP Paste'!$N589="",$AM588,'TMP Paste'!$N589))</f>
        <v/>
      </c>
      <c r="AN589">
        <f>IF('TMP Paste'!$F589="","",IF('TMP Paste'!$O589="",$AN588,'TMP Paste'!$O589))</f>
        <v/>
      </c>
      <c r="AO589">
        <f>IF('TMP Paste'!$F589="","",IF('TMP Paste'!$P589="",$AO588,'TMP Paste'!$P589))</f>
        <v/>
      </c>
      <c r="AP589">
        <f>IF($AG589="","",LEN($R589))</f>
        <v/>
      </c>
      <c r="AQ589">
        <f>IF($AG589="","",TRIM(IF(COUNTIFS(Calc!$B$2:$B$1601,ROW()-1,Calc!$C$2:$C$1601,"&lt;1")&gt;0,"Ada PO tanpa Koli - cek TMP. ","")&amp;IF(LEN($R589)&gt;500,"R &gt; 500 karakter.","")))</f>
        <v/>
      </c>
    </row>
    <row r="590">
      <c r="A590">
        <f>IF($AG590="","",INDEX('TMP Paste'!$B$2:$B$1601,$AG590))</f>
        <v/>
      </c>
      <c r="B590">
        <f>IF($AG590="","",Config!$B$14)</f>
        <v/>
      </c>
      <c r="C590">
        <f>IF($AG590="","",Config!$B$15)</f>
        <v/>
      </c>
      <c r="D590">
        <f>IF($AG590="","",INDEX('TMP Paste'!$B$2:$B$1601,$AG590))</f>
        <v/>
      </c>
      <c r="E590">
        <f>IF($AG590="","",Config!$B$27)</f>
        <v/>
      </c>
      <c r="F590">
        <f>IF($AG590="","",Config!$B$9)</f>
        <v/>
      </c>
      <c r="G590">
        <f>IF($AG590="","",Config!$B$10)</f>
        <v/>
      </c>
      <c r="H590">
        <f>IF($AG590="","",Config!$B$11)</f>
        <v/>
      </c>
      <c r="I590">
        <f>IF($AG590="","",Config!$B$16)</f>
        <v/>
      </c>
      <c r="J590">
        <f>IF($AG590="","",INDEX('TMP Paste'!$A$2:$A$1601,$AG590))</f>
        <v/>
      </c>
      <c r="K590">
        <f>IF($AG590="","",INDEX('TMP Paste'!$L$2:$L$1601,$AG590))</f>
        <v/>
      </c>
      <c r="L590">
        <f>IF($AG590="","",INDEX('TMP Paste'!$I$2:$I$1601,$AG590))</f>
        <v/>
      </c>
      <c r="M590">
        <f>IF($AG590="","",Config!$B$16)</f>
        <v/>
      </c>
      <c r="N590">
        <f>IF($AG590="","","")</f>
        <v/>
      </c>
      <c r="O590">
        <f>IF($AG590="","",INDEX('TMP Paste'!$K$2:$K$1601,$AG590))</f>
        <v/>
      </c>
      <c r="P590">
        <f>IF($AG590="","","")</f>
        <v/>
      </c>
      <c r="Q590">
        <f>IF($AG590="","",INDEX('TMP Paste'!$J$2:$J$1601,$AG590))</f>
        <v/>
      </c>
      <c r="R590">
        <f>IF($AG590="","",Config!$B$24)</f>
        <v/>
      </c>
      <c r="S590">
        <f>IF($AG590="","",TEXT(Config!$B$4,"yyyy-mm-dd"))</f>
        <v/>
      </c>
      <c r="T590">
        <f>IF($AG590="","",Config!$B$17)</f>
        <v/>
      </c>
      <c r="U590">
        <f>IF($AG590="","",Config!$B$18)</f>
        <v/>
      </c>
      <c r="V590">
        <f>IF($AG590="","",Config!$B$19)</f>
        <v/>
      </c>
      <c r="W590">
        <f>IF($AG590="","",INDEX('TMP Paste'!$C$2:$C$1601,$AG590))</f>
        <v/>
      </c>
      <c r="X590">
        <f>IF($AG590="","",Config!$B$29)</f>
        <v/>
      </c>
      <c r="Y590">
        <f>IF($AH590="","",INDEX(Calc!$I$2:$I$1601,$AH590)&amp;" - "&amp;INDEX(Calc!$D$2:$D$1601,$AH590)&amp;" koli")</f>
        <v/>
      </c>
      <c r="Z590">
        <f>IF($AG590="","",Config!$B$21)</f>
        <v/>
      </c>
      <c r="AA590">
        <f>IF($AG590="","",Config!$B$22)</f>
        <v/>
      </c>
      <c r="AB590">
        <f>IF($AH590="","",INDEX(Calc!$D$2:$D$1601,$AH590))</f>
        <v/>
      </c>
      <c r="AC590">
        <f>IF($AH590="","",INDEX(Calc!$G$2:$G$1601,$AH590))</f>
        <v/>
      </c>
      <c r="AD590">
        <f>IF($AG590="","",Config!$B$23)</f>
        <v/>
      </c>
      <c r="AE590">
        <f>IF($AG590="","",Config!$B$28)</f>
        <v/>
      </c>
      <c r="AG590">
        <f>IFERROR(MATCH(ROW()-1,Calc!$J$2:$J$1601,0),"")</f>
        <v/>
      </c>
      <c r="AH590">
        <f>IFERROR(MATCH(ROW()-1,Calc!$K$2:$K$1601,0),"")</f>
        <v/>
      </c>
      <c r="AI590">
        <f>IF($AG590="","",SUMIF($AG$2:$AG590,$AG590,$AH$2:$AH590))</f>
        <v/>
      </c>
      <c r="AJ590">
        <f>IF('TMP Paste'!$F590="","",IF('TMP Paste'!$B590="",$AJ589,'TMP Paste'!$B590))</f>
        <v/>
      </c>
      <c r="AK590">
        <f>IF('TMP Paste'!$F590="","",N('TMP Paste'!$G590))</f>
        <v/>
      </c>
      <c r="AL590">
        <f>IF('TMP Paste'!$F590="","",IF('TMP Paste'!$M590="",$AL589,'TMP Paste'!$M590))</f>
        <v/>
      </c>
      <c r="AM590">
        <f>IF('TMP Paste'!$F590="","",IF('TMP Paste'!$N590="",$AM589,'TMP Paste'!$N590))</f>
        <v/>
      </c>
      <c r="AN590">
        <f>IF('TMP Paste'!$F590="","",IF('TMP Paste'!$O590="",$AN589,'TMP Paste'!$O590))</f>
        <v/>
      </c>
      <c r="AO590">
        <f>IF('TMP Paste'!$F590="","",IF('TMP Paste'!$P590="",$AO589,'TMP Paste'!$P590))</f>
        <v/>
      </c>
      <c r="AP590">
        <f>IF($AG590="","",LEN($R590))</f>
        <v/>
      </c>
      <c r="AQ590">
        <f>IF($AG590="","",TRIM(IF(COUNTIFS(Calc!$B$2:$B$1601,ROW()-1,Calc!$C$2:$C$1601,"&lt;1")&gt;0,"Ada PO tanpa Koli - cek TMP. ","")&amp;IF(LEN($R590)&gt;500,"R &gt; 500 karakter.","")))</f>
        <v/>
      </c>
    </row>
    <row r="591">
      <c r="A591">
        <f>IF($AG591="","",INDEX('TMP Paste'!$B$2:$B$1601,$AG591))</f>
        <v/>
      </c>
      <c r="B591">
        <f>IF($AG591="","",Config!$B$14)</f>
        <v/>
      </c>
      <c r="C591">
        <f>IF($AG591="","",Config!$B$15)</f>
        <v/>
      </c>
      <c r="D591">
        <f>IF($AG591="","",INDEX('TMP Paste'!$B$2:$B$1601,$AG591))</f>
        <v/>
      </c>
      <c r="E591">
        <f>IF($AG591="","",Config!$B$27)</f>
        <v/>
      </c>
      <c r="F591">
        <f>IF($AG591="","",Config!$B$9)</f>
        <v/>
      </c>
      <c r="G591">
        <f>IF($AG591="","",Config!$B$10)</f>
        <v/>
      </c>
      <c r="H591">
        <f>IF($AG591="","",Config!$B$11)</f>
        <v/>
      </c>
      <c r="I591">
        <f>IF($AG591="","",Config!$B$16)</f>
        <v/>
      </c>
      <c r="J591">
        <f>IF($AG591="","",INDEX('TMP Paste'!$A$2:$A$1601,$AG591))</f>
        <v/>
      </c>
      <c r="K591">
        <f>IF($AG591="","",INDEX('TMP Paste'!$L$2:$L$1601,$AG591))</f>
        <v/>
      </c>
      <c r="L591">
        <f>IF($AG591="","",INDEX('TMP Paste'!$I$2:$I$1601,$AG591))</f>
        <v/>
      </c>
      <c r="M591">
        <f>IF($AG591="","",Config!$B$16)</f>
        <v/>
      </c>
      <c r="N591">
        <f>IF($AG591="","","")</f>
        <v/>
      </c>
      <c r="O591">
        <f>IF($AG591="","",INDEX('TMP Paste'!$K$2:$K$1601,$AG591))</f>
        <v/>
      </c>
      <c r="P591">
        <f>IF($AG591="","","")</f>
        <v/>
      </c>
      <c r="Q591">
        <f>IF($AG591="","",INDEX('TMP Paste'!$J$2:$J$1601,$AG591))</f>
        <v/>
      </c>
      <c r="R591">
        <f>IF($AG591="","",Config!$B$24)</f>
        <v/>
      </c>
      <c r="S591">
        <f>IF($AG591="","",TEXT(Config!$B$4,"yyyy-mm-dd"))</f>
        <v/>
      </c>
      <c r="T591">
        <f>IF($AG591="","",Config!$B$17)</f>
        <v/>
      </c>
      <c r="U591">
        <f>IF($AG591="","",Config!$B$18)</f>
        <v/>
      </c>
      <c r="V591">
        <f>IF($AG591="","",Config!$B$19)</f>
        <v/>
      </c>
      <c r="W591">
        <f>IF($AG591="","",INDEX('TMP Paste'!$C$2:$C$1601,$AG591))</f>
        <v/>
      </c>
      <c r="X591">
        <f>IF($AG591="","",Config!$B$29)</f>
        <v/>
      </c>
      <c r="Y591">
        <f>IF($AH591="","",INDEX(Calc!$I$2:$I$1601,$AH591)&amp;" - "&amp;INDEX(Calc!$D$2:$D$1601,$AH591)&amp;" koli")</f>
        <v/>
      </c>
      <c r="Z591">
        <f>IF($AG591="","",Config!$B$21)</f>
        <v/>
      </c>
      <c r="AA591">
        <f>IF($AG591="","",Config!$B$22)</f>
        <v/>
      </c>
      <c r="AB591">
        <f>IF($AH591="","",INDEX(Calc!$D$2:$D$1601,$AH591))</f>
        <v/>
      </c>
      <c r="AC591">
        <f>IF($AH591="","",INDEX(Calc!$G$2:$G$1601,$AH591))</f>
        <v/>
      </c>
      <c r="AD591">
        <f>IF($AG591="","",Config!$B$23)</f>
        <v/>
      </c>
      <c r="AE591">
        <f>IF($AG591="","",Config!$B$28)</f>
        <v/>
      </c>
      <c r="AG591">
        <f>IFERROR(MATCH(ROW()-1,Calc!$J$2:$J$1601,0),"")</f>
        <v/>
      </c>
      <c r="AH591">
        <f>IFERROR(MATCH(ROW()-1,Calc!$K$2:$K$1601,0),"")</f>
        <v/>
      </c>
      <c r="AI591">
        <f>IF($AG591="","",SUMIF($AG$2:$AG591,$AG591,$AH$2:$AH591))</f>
        <v/>
      </c>
      <c r="AJ591">
        <f>IF('TMP Paste'!$F591="","",IF('TMP Paste'!$B591="",$AJ590,'TMP Paste'!$B591))</f>
        <v/>
      </c>
      <c r="AK591">
        <f>IF('TMP Paste'!$F591="","",N('TMP Paste'!$G591))</f>
        <v/>
      </c>
      <c r="AL591">
        <f>IF('TMP Paste'!$F591="","",IF('TMP Paste'!$M591="",$AL590,'TMP Paste'!$M591))</f>
        <v/>
      </c>
      <c r="AM591">
        <f>IF('TMP Paste'!$F591="","",IF('TMP Paste'!$N591="",$AM590,'TMP Paste'!$N591))</f>
        <v/>
      </c>
      <c r="AN591">
        <f>IF('TMP Paste'!$F591="","",IF('TMP Paste'!$O591="",$AN590,'TMP Paste'!$O591))</f>
        <v/>
      </c>
      <c r="AO591">
        <f>IF('TMP Paste'!$F591="","",IF('TMP Paste'!$P591="",$AO590,'TMP Paste'!$P591))</f>
        <v/>
      </c>
      <c r="AP591">
        <f>IF($AG591="","",LEN($R591))</f>
        <v/>
      </c>
      <c r="AQ591">
        <f>IF($AG591="","",TRIM(IF(COUNTIFS(Calc!$B$2:$B$1601,ROW()-1,Calc!$C$2:$C$1601,"&lt;1")&gt;0,"Ada PO tanpa Koli - cek TMP. ","")&amp;IF(LEN($R591)&gt;500,"R &gt; 500 karakter.","")))</f>
        <v/>
      </c>
    </row>
    <row r="592">
      <c r="A592">
        <f>IF($AG592="","",INDEX('TMP Paste'!$B$2:$B$1601,$AG592))</f>
        <v/>
      </c>
      <c r="B592">
        <f>IF($AG592="","",Config!$B$14)</f>
        <v/>
      </c>
      <c r="C592">
        <f>IF($AG592="","",Config!$B$15)</f>
        <v/>
      </c>
      <c r="D592">
        <f>IF($AG592="","",INDEX('TMP Paste'!$B$2:$B$1601,$AG592))</f>
        <v/>
      </c>
      <c r="E592">
        <f>IF($AG592="","",Config!$B$27)</f>
        <v/>
      </c>
      <c r="F592">
        <f>IF($AG592="","",Config!$B$9)</f>
        <v/>
      </c>
      <c r="G592">
        <f>IF($AG592="","",Config!$B$10)</f>
        <v/>
      </c>
      <c r="H592">
        <f>IF($AG592="","",Config!$B$11)</f>
        <v/>
      </c>
      <c r="I592">
        <f>IF($AG592="","",Config!$B$16)</f>
        <v/>
      </c>
      <c r="J592">
        <f>IF($AG592="","",INDEX('TMP Paste'!$A$2:$A$1601,$AG592))</f>
        <v/>
      </c>
      <c r="K592">
        <f>IF($AG592="","",INDEX('TMP Paste'!$L$2:$L$1601,$AG592))</f>
        <v/>
      </c>
      <c r="L592">
        <f>IF($AG592="","",INDEX('TMP Paste'!$I$2:$I$1601,$AG592))</f>
        <v/>
      </c>
      <c r="M592">
        <f>IF($AG592="","",Config!$B$16)</f>
        <v/>
      </c>
      <c r="N592">
        <f>IF($AG592="","","")</f>
        <v/>
      </c>
      <c r="O592">
        <f>IF($AG592="","",INDEX('TMP Paste'!$K$2:$K$1601,$AG592))</f>
        <v/>
      </c>
      <c r="P592">
        <f>IF($AG592="","","")</f>
        <v/>
      </c>
      <c r="Q592">
        <f>IF($AG592="","",INDEX('TMP Paste'!$J$2:$J$1601,$AG592))</f>
        <v/>
      </c>
      <c r="R592">
        <f>IF($AG592="","",Config!$B$24)</f>
        <v/>
      </c>
      <c r="S592">
        <f>IF($AG592="","",TEXT(Config!$B$4,"yyyy-mm-dd"))</f>
        <v/>
      </c>
      <c r="T592">
        <f>IF($AG592="","",Config!$B$17)</f>
        <v/>
      </c>
      <c r="U592">
        <f>IF($AG592="","",Config!$B$18)</f>
        <v/>
      </c>
      <c r="V592">
        <f>IF($AG592="","",Config!$B$19)</f>
        <v/>
      </c>
      <c r="W592">
        <f>IF($AG592="","",INDEX('TMP Paste'!$C$2:$C$1601,$AG592))</f>
        <v/>
      </c>
      <c r="X592">
        <f>IF($AG592="","",Config!$B$29)</f>
        <v/>
      </c>
      <c r="Y592">
        <f>IF($AH592="","",INDEX(Calc!$I$2:$I$1601,$AH592)&amp;" - "&amp;INDEX(Calc!$D$2:$D$1601,$AH592)&amp;" koli")</f>
        <v/>
      </c>
      <c r="Z592">
        <f>IF($AG592="","",Config!$B$21)</f>
        <v/>
      </c>
      <c r="AA592">
        <f>IF($AG592="","",Config!$B$22)</f>
        <v/>
      </c>
      <c r="AB592">
        <f>IF($AH592="","",INDEX(Calc!$D$2:$D$1601,$AH592))</f>
        <v/>
      </c>
      <c r="AC592">
        <f>IF($AH592="","",INDEX(Calc!$G$2:$G$1601,$AH592))</f>
        <v/>
      </c>
      <c r="AD592">
        <f>IF($AG592="","",Config!$B$23)</f>
        <v/>
      </c>
      <c r="AE592">
        <f>IF($AG592="","",Config!$B$28)</f>
        <v/>
      </c>
      <c r="AG592">
        <f>IFERROR(MATCH(ROW()-1,Calc!$J$2:$J$1601,0),"")</f>
        <v/>
      </c>
      <c r="AH592">
        <f>IFERROR(MATCH(ROW()-1,Calc!$K$2:$K$1601,0),"")</f>
        <v/>
      </c>
      <c r="AI592">
        <f>IF($AG592="","",SUMIF($AG$2:$AG592,$AG592,$AH$2:$AH592))</f>
        <v/>
      </c>
      <c r="AJ592">
        <f>IF('TMP Paste'!$F592="","",IF('TMP Paste'!$B592="",$AJ591,'TMP Paste'!$B592))</f>
        <v/>
      </c>
      <c r="AK592">
        <f>IF('TMP Paste'!$F592="","",N('TMP Paste'!$G592))</f>
        <v/>
      </c>
      <c r="AL592">
        <f>IF('TMP Paste'!$F592="","",IF('TMP Paste'!$M592="",$AL591,'TMP Paste'!$M592))</f>
        <v/>
      </c>
      <c r="AM592">
        <f>IF('TMP Paste'!$F592="","",IF('TMP Paste'!$N592="",$AM591,'TMP Paste'!$N592))</f>
        <v/>
      </c>
      <c r="AN592">
        <f>IF('TMP Paste'!$F592="","",IF('TMP Paste'!$O592="",$AN591,'TMP Paste'!$O592))</f>
        <v/>
      </c>
      <c r="AO592">
        <f>IF('TMP Paste'!$F592="","",IF('TMP Paste'!$P592="",$AO591,'TMP Paste'!$P592))</f>
        <v/>
      </c>
      <c r="AP592">
        <f>IF($AG592="","",LEN($R592))</f>
        <v/>
      </c>
      <c r="AQ592">
        <f>IF($AG592="","",TRIM(IF(COUNTIFS(Calc!$B$2:$B$1601,ROW()-1,Calc!$C$2:$C$1601,"&lt;1")&gt;0,"Ada PO tanpa Koli - cek TMP. ","")&amp;IF(LEN($R592)&gt;500,"R &gt; 500 karakter.","")))</f>
        <v/>
      </c>
    </row>
    <row r="593">
      <c r="A593">
        <f>IF($AG593="","",INDEX('TMP Paste'!$B$2:$B$1601,$AG593))</f>
        <v/>
      </c>
      <c r="B593">
        <f>IF($AG593="","",Config!$B$14)</f>
        <v/>
      </c>
      <c r="C593">
        <f>IF($AG593="","",Config!$B$15)</f>
        <v/>
      </c>
      <c r="D593">
        <f>IF($AG593="","",INDEX('TMP Paste'!$B$2:$B$1601,$AG593))</f>
        <v/>
      </c>
      <c r="E593">
        <f>IF($AG593="","",Config!$B$27)</f>
        <v/>
      </c>
      <c r="F593">
        <f>IF($AG593="","",Config!$B$9)</f>
        <v/>
      </c>
      <c r="G593">
        <f>IF($AG593="","",Config!$B$10)</f>
        <v/>
      </c>
      <c r="H593">
        <f>IF($AG593="","",Config!$B$11)</f>
        <v/>
      </c>
      <c r="I593">
        <f>IF($AG593="","",Config!$B$16)</f>
        <v/>
      </c>
      <c r="J593">
        <f>IF($AG593="","",INDEX('TMP Paste'!$A$2:$A$1601,$AG593))</f>
        <v/>
      </c>
      <c r="K593">
        <f>IF($AG593="","",INDEX('TMP Paste'!$L$2:$L$1601,$AG593))</f>
        <v/>
      </c>
      <c r="L593">
        <f>IF($AG593="","",INDEX('TMP Paste'!$I$2:$I$1601,$AG593))</f>
        <v/>
      </c>
      <c r="M593">
        <f>IF($AG593="","",Config!$B$16)</f>
        <v/>
      </c>
      <c r="N593">
        <f>IF($AG593="","","")</f>
        <v/>
      </c>
      <c r="O593">
        <f>IF($AG593="","",INDEX('TMP Paste'!$K$2:$K$1601,$AG593))</f>
        <v/>
      </c>
      <c r="P593">
        <f>IF($AG593="","","")</f>
        <v/>
      </c>
      <c r="Q593">
        <f>IF($AG593="","",INDEX('TMP Paste'!$J$2:$J$1601,$AG593))</f>
        <v/>
      </c>
      <c r="R593">
        <f>IF($AG593="","",Config!$B$24)</f>
        <v/>
      </c>
      <c r="S593">
        <f>IF($AG593="","",TEXT(Config!$B$4,"yyyy-mm-dd"))</f>
        <v/>
      </c>
      <c r="T593">
        <f>IF($AG593="","",Config!$B$17)</f>
        <v/>
      </c>
      <c r="U593">
        <f>IF($AG593="","",Config!$B$18)</f>
        <v/>
      </c>
      <c r="V593">
        <f>IF($AG593="","",Config!$B$19)</f>
        <v/>
      </c>
      <c r="W593">
        <f>IF($AG593="","",INDEX('TMP Paste'!$C$2:$C$1601,$AG593))</f>
        <v/>
      </c>
      <c r="X593">
        <f>IF($AG593="","",Config!$B$29)</f>
        <v/>
      </c>
      <c r="Y593">
        <f>IF($AH593="","",INDEX(Calc!$I$2:$I$1601,$AH593)&amp;" - "&amp;INDEX(Calc!$D$2:$D$1601,$AH593)&amp;" koli")</f>
        <v/>
      </c>
      <c r="Z593">
        <f>IF($AG593="","",Config!$B$21)</f>
        <v/>
      </c>
      <c r="AA593">
        <f>IF($AG593="","",Config!$B$22)</f>
        <v/>
      </c>
      <c r="AB593">
        <f>IF($AH593="","",INDEX(Calc!$D$2:$D$1601,$AH593))</f>
        <v/>
      </c>
      <c r="AC593">
        <f>IF($AH593="","",INDEX(Calc!$G$2:$G$1601,$AH593))</f>
        <v/>
      </c>
      <c r="AD593">
        <f>IF($AG593="","",Config!$B$23)</f>
        <v/>
      </c>
      <c r="AE593">
        <f>IF($AG593="","",Config!$B$28)</f>
        <v/>
      </c>
      <c r="AG593">
        <f>IFERROR(MATCH(ROW()-1,Calc!$J$2:$J$1601,0),"")</f>
        <v/>
      </c>
      <c r="AH593">
        <f>IFERROR(MATCH(ROW()-1,Calc!$K$2:$K$1601,0),"")</f>
        <v/>
      </c>
      <c r="AI593">
        <f>IF($AG593="","",SUMIF($AG$2:$AG593,$AG593,$AH$2:$AH593))</f>
        <v/>
      </c>
      <c r="AJ593">
        <f>IF('TMP Paste'!$F593="","",IF('TMP Paste'!$B593="",$AJ592,'TMP Paste'!$B593))</f>
        <v/>
      </c>
      <c r="AK593">
        <f>IF('TMP Paste'!$F593="","",N('TMP Paste'!$G593))</f>
        <v/>
      </c>
      <c r="AL593">
        <f>IF('TMP Paste'!$F593="","",IF('TMP Paste'!$M593="",$AL592,'TMP Paste'!$M593))</f>
        <v/>
      </c>
      <c r="AM593">
        <f>IF('TMP Paste'!$F593="","",IF('TMP Paste'!$N593="",$AM592,'TMP Paste'!$N593))</f>
        <v/>
      </c>
      <c r="AN593">
        <f>IF('TMP Paste'!$F593="","",IF('TMP Paste'!$O593="",$AN592,'TMP Paste'!$O593))</f>
        <v/>
      </c>
      <c r="AO593">
        <f>IF('TMP Paste'!$F593="","",IF('TMP Paste'!$P593="",$AO592,'TMP Paste'!$P593))</f>
        <v/>
      </c>
      <c r="AP593">
        <f>IF($AG593="","",LEN($R593))</f>
        <v/>
      </c>
      <c r="AQ593">
        <f>IF($AG593="","",TRIM(IF(COUNTIFS(Calc!$B$2:$B$1601,ROW()-1,Calc!$C$2:$C$1601,"&lt;1")&gt;0,"Ada PO tanpa Koli - cek TMP. ","")&amp;IF(LEN($R593)&gt;500,"R &gt; 500 karakter.","")))</f>
        <v/>
      </c>
    </row>
    <row r="594">
      <c r="A594">
        <f>IF($AG594="","",INDEX('TMP Paste'!$B$2:$B$1601,$AG594))</f>
        <v/>
      </c>
      <c r="B594">
        <f>IF($AG594="","",Config!$B$14)</f>
        <v/>
      </c>
      <c r="C594">
        <f>IF($AG594="","",Config!$B$15)</f>
        <v/>
      </c>
      <c r="D594">
        <f>IF($AG594="","",INDEX('TMP Paste'!$B$2:$B$1601,$AG594))</f>
        <v/>
      </c>
      <c r="E594">
        <f>IF($AG594="","",Config!$B$27)</f>
        <v/>
      </c>
      <c r="F594">
        <f>IF($AG594="","",Config!$B$9)</f>
        <v/>
      </c>
      <c r="G594">
        <f>IF($AG594="","",Config!$B$10)</f>
        <v/>
      </c>
      <c r="H594">
        <f>IF($AG594="","",Config!$B$11)</f>
        <v/>
      </c>
      <c r="I594">
        <f>IF($AG594="","",Config!$B$16)</f>
        <v/>
      </c>
      <c r="J594">
        <f>IF($AG594="","",INDEX('TMP Paste'!$A$2:$A$1601,$AG594))</f>
        <v/>
      </c>
      <c r="K594">
        <f>IF($AG594="","",INDEX('TMP Paste'!$L$2:$L$1601,$AG594))</f>
        <v/>
      </c>
      <c r="L594">
        <f>IF($AG594="","",INDEX('TMP Paste'!$I$2:$I$1601,$AG594))</f>
        <v/>
      </c>
      <c r="M594">
        <f>IF($AG594="","",Config!$B$16)</f>
        <v/>
      </c>
      <c r="N594">
        <f>IF($AG594="","","")</f>
        <v/>
      </c>
      <c r="O594">
        <f>IF($AG594="","",INDEX('TMP Paste'!$K$2:$K$1601,$AG594))</f>
        <v/>
      </c>
      <c r="P594">
        <f>IF($AG594="","","")</f>
        <v/>
      </c>
      <c r="Q594">
        <f>IF($AG594="","",INDEX('TMP Paste'!$J$2:$J$1601,$AG594))</f>
        <v/>
      </c>
      <c r="R594">
        <f>IF($AG594="","",Config!$B$24)</f>
        <v/>
      </c>
      <c r="S594">
        <f>IF($AG594="","",TEXT(Config!$B$4,"yyyy-mm-dd"))</f>
        <v/>
      </c>
      <c r="T594">
        <f>IF($AG594="","",Config!$B$17)</f>
        <v/>
      </c>
      <c r="U594">
        <f>IF($AG594="","",Config!$B$18)</f>
        <v/>
      </c>
      <c r="V594">
        <f>IF($AG594="","",Config!$B$19)</f>
        <v/>
      </c>
      <c r="W594">
        <f>IF($AG594="","",INDEX('TMP Paste'!$C$2:$C$1601,$AG594))</f>
        <v/>
      </c>
      <c r="X594">
        <f>IF($AG594="","",Config!$B$29)</f>
        <v/>
      </c>
      <c r="Y594">
        <f>IF($AH594="","",INDEX(Calc!$I$2:$I$1601,$AH594)&amp;" - "&amp;INDEX(Calc!$D$2:$D$1601,$AH594)&amp;" koli")</f>
        <v/>
      </c>
      <c r="Z594">
        <f>IF($AG594="","",Config!$B$21)</f>
        <v/>
      </c>
      <c r="AA594">
        <f>IF($AG594="","",Config!$B$22)</f>
        <v/>
      </c>
      <c r="AB594">
        <f>IF($AH594="","",INDEX(Calc!$D$2:$D$1601,$AH594))</f>
        <v/>
      </c>
      <c r="AC594">
        <f>IF($AH594="","",INDEX(Calc!$G$2:$G$1601,$AH594))</f>
        <v/>
      </c>
      <c r="AD594">
        <f>IF($AG594="","",Config!$B$23)</f>
        <v/>
      </c>
      <c r="AE594">
        <f>IF($AG594="","",Config!$B$28)</f>
        <v/>
      </c>
      <c r="AG594">
        <f>IFERROR(MATCH(ROW()-1,Calc!$J$2:$J$1601,0),"")</f>
        <v/>
      </c>
      <c r="AH594">
        <f>IFERROR(MATCH(ROW()-1,Calc!$K$2:$K$1601,0),"")</f>
        <v/>
      </c>
      <c r="AI594">
        <f>IF($AG594="","",SUMIF($AG$2:$AG594,$AG594,$AH$2:$AH594))</f>
        <v/>
      </c>
      <c r="AJ594">
        <f>IF('TMP Paste'!$F594="","",IF('TMP Paste'!$B594="",$AJ593,'TMP Paste'!$B594))</f>
        <v/>
      </c>
      <c r="AK594">
        <f>IF('TMP Paste'!$F594="","",N('TMP Paste'!$G594))</f>
        <v/>
      </c>
      <c r="AL594">
        <f>IF('TMP Paste'!$F594="","",IF('TMP Paste'!$M594="",$AL593,'TMP Paste'!$M594))</f>
        <v/>
      </c>
      <c r="AM594">
        <f>IF('TMP Paste'!$F594="","",IF('TMP Paste'!$N594="",$AM593,'TMP Paste'!$N594))</f>
        <v/>
      </c>
      <c r="AN594">
        <f>IF('TMP Paste'!$F594="","",IF('TMP Paste'!$O594="",$AN593,'TMP Paste'!$O594))</f>
        <v/>
      </c>
      <c r="AO594">
        <f>IF('TMP Paste'!$F594="","",IF('TMP Paste'!$P594="",$AO593,'TMP Paste'!$P594))</f>
        <v/>
      </c>
      <c r="AP594">
        <f>IF($AG594="","",LEN($R594))</f>
        <v/>
      </c>
      <c r="AQ594">
        <f>IF($AG594="","",TRIM(IF(COUNTIFS(Calc!$B$2:$B$1601,ROW()-1,Calc!$C$2:$C$1601,"&lt;1")&gt;0,"Ada PO tanpa Koli - cek TMP. ","")&amp;IF(LEN($R594)&gt;500,"R &gt; 500 karakter.","")))</f>
        <v/>
      </c>
    </row>
    <row r="595">
      <c r="A595">
        <f>IF($AG595="","",INDEX('TMP Paste'!$B$2:$B$1601,$AG595))</f>
        <v/>
      </c>
      <c r="B595">
        <f>IF($AG595="","",Config!$B$14)</f>
        <v/>
      </c>
      <c r="C595">
        <f>IF($AG595="","",Config!$B$15)</f>
        <v/>
      </c>
      <c r="D595">
        <f>IF($AG595="","",INDEX('TMP Paste'!$B$2:$B$1601,$AG595))</f>
        <v/>
      </c>
      <c r="E595">
        <f>IF($AG595="","",Config!$B$27)</f>
        <v/>
      </c>
      <c r="F595">
        <f>IF($AG595="","",Config!$B$9)</f>
        <v/>
      </c>
      <c r="G595">
        <f>IF($AG595="","",Config!$B$10)</f>
        <v/>
      </c>
      <c r="H595">
        <f>IF($AG595="","",Config!$B$11)</f>
        <v/>
      </c>
      <c r="I595">
        <f>IF($AG595="","",Config!$B$16)</f>
        <v/>
      </c>
      <c r="J595">
        <f>IF($AG595="","",INDEX('TMP Paste'!$A$2:$A$1601,$AG595))</f>
        <v/>
      </c>
      <c r="K595">
        <f>IF($AG595="","",INDEX('TMP Paste'!$L$2:$L$1601,$AG595))</f>
        <v/>
      </c>
      <c r="L595">
        <f>IF($AG595="","",INDEX('TMP Paste'!$I$2:$I$1601,$AG595))</f>
        <v/>
      </c>
      <c r="M595">
        <f>IF($AG595="","",Config!$B$16)</f>
        <v/>
      </c>
      <c r="N595">
        <f>IF($AG595="","","")</f>
        <v/>
      </c>
      <c r="O595">
        <f>IF($AG595="","",INDEX('TMP Paste'!$K$2:$K$1601,$AG595))</f>
        <v/>
      </c>
      <c r="P595">
        <f>IF($AG595="","","")</f>
        <v/>
      </c>
      <c r="Q595">
        <f>IF($AG595="","",INDEX('TMP Paste'!$J$2:$J$1601,$AG595))</f>
        <v/>
      </c>
      <c r="R595">
        <f>IF($AG595="","",Config!$B$24)</f>
        <v/>
      </c>
      <c r="S595">
        <f>IF($AG595="","",TEXT(Config!$B$4,"yyyy-mm-dd"))</f>
        <v/>
      </c>
      <c r="T595">
        <f>IF($AG595="","",Config!$B$17)</f>
        <v/>
      </c>
      <c r="U595">
        <f>IF($AG595="","",Config!$B$18)</f>
        <v/>
      </c>
      <c r="V595">
        <f>IF($AG595="","",Config!$B$19)</f>
        <v/>
      </c>
      <c r="W595">
        <f>IF($AG595="","",INDEX('TMP Paste'!$C$2:$C$1601,$AG595))</f>
        <v/>
      </c>
      <c r="X595">
        <f>IF($AG595="","",Config!$B$29)</f>
        <v/>
      </c>
      <c r="Y595">
        <f>IF($AH595="","",INDEX(Calc!$I$2:$I$1601,$AH595)&amp;" - "&amp;INDEX(Calc!$D$2:$D$1601,$AH595)&amp;" koli")</f>
        <v/>
      </c>
      <c r="Z595">
        <f>IF($AG595="","",Config!$B$21)</f>
        <v/>
      </c>
      <c r="AA595">
        <f>IF($AG595="","",Config!$B$22)</f>
        <v/>
      </c>
      <c r="AB595">
        <f>IF($AH595="","",INDEX(Calc!$D$2:$D$1601,$AH595))</f>
        <v/>
      </c>
      <c r="AC595">
        <f>IF($AH595="","",INDEX(Calc!$G$2:$G$1601,$AH595))</f>
        <v/>
      </c>
      <c r="AD595">
        <f>IF($AG595="","",Config!$B$23)</f>
        <v/>
      </c>
      <c r="AE595">
        <f>IF($AG595="","",Config!$B$28)</f>
        <v/>
      </c>
      <c r="AG595">
        <f>IFERROR(MATCH(ROW()-1,Calc!$J$2:$J$1601,0),"")</f>
        <v/>
      </c>
      <c r="AH595">
        <f>IFERROR(MATCH(ROW()-1,Calc!$K$2:$K$1601,0),"")</f>
        <v/>
      </c>
      <c r="AI595">
        <f>IF($AG595="","",SUMIF($AG$2:$AG595,$AG595,$AH$2:$AH595))</f>
        <v/>
      </c>
      <c r="AJ595">
        <f>IF('TMP Paste'!$F595="","",IF('TMP Paste'!$B595="",$AJ594,'TMP Paste'!$B595))</f>
        <v/>
      </c>
      <c r="AK595">
        <f>IF('TMP Paste'!$F595="","",N('TMP Paste'!$G595))</f>
        <v/>
      </c>
      <c r="AL595">
        <f>IF('TMP Paste'!$F595="","",IF('TMP Paste'!$M595="",$AL594,'TMP Paste'!$M595))</f>
        <v/>
      </c>
      <c r="AM595">
        <f>IF('TMP Paste'!$F595="","",IF('TMP Paste'!$N595="",$AM594,'TMP Paste'!$N595))</f>
        <v/>
      </c>
      <c r="AN595">
        <f>IF('TMP Paste'!$F595="","",IF('TMP Paste'!$O595="",$AN594,'TMP Paste'!$O595))</f>
        <v/>
      </c>
      <c r="AO595">
        <f>IF('TMP Paste'!$F595="","",IF('TMP Paste'!$P595="",$AO594,'TMP Paste'!$P595))</f>
        <v/>
      </c>
      <c r="AP595">
        <f>IF($AG595="","",LEN($R595))</f>
        <v/>
      </c>
      <c r="AQ595">
        <f>IF($AG595="","",TRIM(IF(COUNTIFS(Calc!$B$2:$B$1601,ROW()-1,Calc!$C$2:$C$1601,"&lt;1")&gt;0,"Ada PO tanpa Koli - cek TMP. ","")&amp;IF(LEN($R595)&gt;500,"R &gt; 500 karakter.","")))</f>
        <v/>
      </c>
    </row>
    <row r="596">
      <c r="A596">
        <f>IF($AG596="","",INDEX('TMP Paste'!$B$2:$B$1601,$AG596))</f>
        <v/>
      </c>
      <c r="B596">
        <f>IF($AG596="","",Config!$B$14)</f>
        <v/>
      </c>
      <c r="C596">
        <f>IF($AG596="","",Config!$B$15)</f>
        <v/>
      </c>
      <c r="D596">
        <f>IF($AG596="","",INDEX('TMP Paste'!$B$2:$B$1601,$AG596))</f>
        <v/>
      </c>
      <c r="E596">
        <f>IF($AG596="","",Config!$B$27)</f>
        <v/>
      </c>
      <c r="F596">
        <f>IF($AG596="","",Config!$B$9)</f>
        <v/>
      </c>
      <c r="G596">
        <f>IF($AG596="","",Config!$B$10)</f>
        <v/>
      </c>
      <c r="H596">
        <f>IF($AG596="","",Config!$B$11)</f>
        <v/>
      </c>
      <c r="I596">
        <f>IF($AG596="","",Config!$B$16)</f>
        <v/>
      </c>
      <c r="J596">
        <f>IF($AG596="","",INDEX('TMP Paste'!$A$2:$A$1601,$AG596))</f>
        <v/>
      </c>
      <c r="K596">
        <f>IF($AG596="","",INDEX('TMP Paste'!$L$2:$L$1601,$AG596))</f>
        <v/>
      </c>
      <c r="L596">
        <f>IF($AG596="","",INDEX('TMP Paste'!$I$2:$I$1601,$AG596))</f>
        <v/>
      </c>
      <c r="M596">
        <f>IF($AG596="","",Config!$B$16)</f>
        <v/>
      </c>
      <c r="N596">
        <f>IF($AG596="","","")</f>
        <v/>
      </c>
      <c r="O596">
        <f>IF($AG596="","",INDEX('TMP Paste'!$K$2:$K$1601,$AG596))</f>
        <v/>
      </c>
      <c r="P596">
        <f>IF($AG596="","","")</f>
        <v/>
      </c>
      <c r="Q596">
        <f>IF($AG596="","",INDEX('TMP Paste'!$J$2:$J$1601,$AG596))</f>
        <v/>
      </c>
      <c r="R596">
        <f>IF($AG596="","",Config!$B$24)</f>
        <v/>
      </c>
      <c r="S596">
        <f>IF($AG596="","",TEXT(Config!$B$4,"yyyy-mm-dd"))</f>
        <v/>
      </c>
      <c r="T596">
        <f>IF($AG596="","",Config!$B$17)</f>
        <v/>
      </c>
      <c r="U596">
        <f>IF($AG596="","",Config!$B$18)</f>
        <v/>
      </c>
      <c r="V596">
        <f>IF($AG596="","",Config!$B$19)</f>
        <v/>
      </c>
      <c r="W596">
        <f>IF($AG596="","",INDEX('TMP Paste'!$C$2:$C$1601,$AG596))</f>
        <v/>
      </c>
      <c r="X596">
        <f>IF($AG596="","",Config!$B$29)</f>
        <v/>
      </c>
      <c r="Y596">
        <f>IF($AH596="","",INDEX(Calc!$I$2:$I$1601,$AH596)&amp;" - "&amp;INDEX(Calc!$D$2:$D$1601,$AH596)&amp;" koli")</f>
        <v/>
      </c>
      <c r="Z596">
        <f>IF($AG596="","",Config!$B$21)</f>
        <v/>
      </c>
      <c r="AA596">
        <f>IF($AG596="","",Config!$B$22)</f>
        <v/>
      </c>
      <c r="AB596">
        <f>IF($AH596="","",INDEX(Calc!$D$2:$D$1601,$AH596))</f>
        <v/>
      </c>
      <c r="AC596">
        <f>IF($AH596="","",INDEX(Calc!$G$2:$G$1601,$AH596))</f>
        <v/>
      </c>
      <c r="AD596">
        <f>IF($AG596="","",Config!$B$23)</f>
        <v/>
      </c>
      <c r="AE596">
        <f>IF($AG596="","",Config!$B$28)</f>
        <v/>
      </c>
      <c r="AG596">
        <f>IFERROR(MATCH(ROW()-1,Calc!$J$2:$J$1601,0),"")</f>
        <v/>
      </c>
      <c r="AH596">
        <f>IFERROR(MATCH(ROW()-1,Calc!$K$2:$K$1601,0),"")</f>
        <v/>
      </c>
      <c r="AI596">
        <f>IF($AG596="","",SUMIF($AG$2:$AG596,$AG596,$AH$2:$AH596))</f>
        <v/>
      </c>
      <c r="AJ596">
        <f>IF('TMP Paste'!$F596="","",IF('TMP Paste'!$B596="",$AJ595,'TMP Paste'!$B596))</f>
        <v/>
      </c>
      <c r="AK596">
        <f>IF('TMP Paste'!$F596="","",N('TMP Paste'!$G596))</f>
        <v/>
      </c>
      <c r="AL596">
        <f>IF('TMP Paste'!$F596="","",IF('TMP Paste'!$M596="",$AL595,'TMP Paste'!$M596))</f>
        <v/>
      </c>
      <c r="AM596">
        <f>IF('TMP Paste'!$F596="","",IF('TMP Paste'!$N596="",$AM595,'TMP Paste'!$N596))</f>
        <v/>
      </c>
      <c r="AN596">
        <f>IF('TMP Paste'!$F596="","",IF('TMP Paste'!$O596="",$AN595,'TMP Paste'!$O596))</f>
        <v/>
      </c>
      <c r="AO596">
        <f>IF('TMP Paste'!$F596="","",IF('TMP Paste'!$P596="",$AO595,'TMP Paste'!$P596))</f>
        <v/>
      </c>
      <c r="AP596">
        <f>IF($AG596="","",LEN($R596))</f>
        <v/>
      </c>
      <c r="AQ596">
        <f>IF($AG596="","",TRIM(IF(COUNTIFS(Calc!$B$2:$B$1601,ROW()-1,Calc!$C$2:$C$1601,"&lt;1")&gt;0,"Ada PO tanpa Koli - cek TMP. ","")&amp;IF(LEN($R596)&gt;500,"R &gt; 500 karakter.","")))</f>
        <v/>
      </c>
    </row>
    <row r="597">
      <c r="A597">
        <f>IF($AG597="","",INDEX('TMP Paste'!$B$2:$B$1601,$AG597))</f>
        <v/>
      </c>
      <c r="B597">
        <f>IF($AG597="","",Config!$B$14)</f>
        <v/>
      </c>
      <c r="C597">
        <f>IF($AG597="","",Config!$B$15)</f>
        <v/>
      </c>
      <c r="D597">
        <f>IF($AG597="","",INDEX('TMP Paste'!$B$2:$B$1601,$AG597))</f>
        <v/>
      </c>
      <c r="E597">
        <f>IF($AG597="","",Config!$B$27)</f>
        <v/>
      </c>
      <c r="F597">
        <f>IF($AG597="","",Config!$B$9)</f>
        <v/>
      </c>
      <c r="G597">
        <f>IF($AG597="","",Config!$B$10)</f>
        <v/>
      </c>
      <c r="H597">
        <f>IF($AG597="","",Config!$B$11)</f>
        <v/>
      </c>
      <c r="I597">
        <f>IF($AG597="","",Config!$B$16)</f>
        <v/>
      </c>
      <c r="J597">
        <f>IF($AG597="","",INDEX('TMP Paste'!$A$2:$A$1601,$AG597))</f>
        <v/>
      </c>
      <c r="K597">
        <f>IF($AG597="","",INDEX('TMP Paste'!$L$2:$L$1601,$AG597))</f>
        <v/>
      </c>
      <c r="L597">
        <f>IF($AG597="","",INDEX('TMP Paste'!$I$2:$I$1601,$AG597))</f>
        <v/>
      </c>
      <c r="M597">
        <f>IF($AG597="","",Config!$B$16)</f>
        <v/>
      </c>
      <c r="N597">
        <f>IF($AG597="","","")</f>
        <v/>
      </c>
      <c r="O597">
        <f>IF($AG597="","",INDEX('TMP Paste'!$K$2:$K$1601,$AG597))</f>
        <v/>
      </c>
      <c r="P597">
        <f>IF($AG597="","","")</f>
        <v/>
      </c>
      <c r="Q597">
        <f>IF($AG597="","",INDEX('TMP Paste'!$J$2:$J$1601,$AG597))</f>
        <v/>
      </c>
      <c r="R597">
        <f>IF($AG597="","",Config!$B$24)</f>
        <v/>
      </c>
      <c r="S597">
        <f>IF($AG597="","",TEXT(Config!$B$4,"yyyy-mm-dd"))</f>
        <v/>
      </c>
      <c r="T597">
        <f>IF($AG597="","",Config!$B$17)</f>
        <v/>
      </c>
      <c r="U597">
        <f>IF($AG597="","",Config!$B$18)</f>
        <v/>
      </c>
      <c r="V597">
        <f>IF($AG597="","",Config!$B$19)</f>
        <v/>
      </c>
      <c r="W597">
        <f>IF($AG597="","",INDEX('TMP Paste'!$C$2:$C$1601,$AG597))</f>
        <v/>
      </c>
      <c r="X597">
        <f>IF($AG597="","",Config!$B$29)</f>
        <v/>
      </c>
      <c r="Y597">
        <f>IF($AH597="","",INDEX(Calc!$I$2:$I$1601,$AH597)&amp;" - "&amp;INDEX(Calc!$D$2:$D$1601,$AH597)&amp;" koli")</f>
        <v/>
      </c>
      <c r="Z597">
        <f>IF($AG597="","",Config!$B$21)</f>
        <v/>
      </c>
      <c r="AA597">
        <f>IF($AG597="","",Config!$B$22)</f>
        <v/>
      </c>
      <c r="AB597">
        <f>IF($AH597="","",INDEX(Calc!$D$2:$D$1601,$AH597))</f>
        <v/>
      </c>
      <c r="AC597">
        <f>IF($AH597="","",INDEX(Calc!$G$2:$G$1601,$AH597))</f>
        <v/>
      </c>
      <c r="AD597">
        <f>IF($AG597="","",Config!$B$23)</f>
        <v/>
      </c>
      <c r="AE597">
        <f>IF($AG597="","",Config!$B$28)</f>
        <v/>
      </c>
      <c r="AG597">
        <f>IFERROR(MATCH(ROW()-1,Calc!$J$2:$J$1601,0),"")</f>
        <v/>
      </c>
      <c r="AH597">
        <f>IFERROR(MATCH(ROW()-1,Calc!$K$2:$K$1601,0),"")</f>
        <v/>
      </c>
      <c r="AI597">
        <f>IF($AG597="","",SUMIF($AG$2:$AG597,$AG597,$AH$2:$AH597))</f>
        <v/>
      </c>
      <c r="AJ597">
        <f>IF('TMP Paste'!$F597="","",IF('TMP Paste'!$B597="",$AJ596,'TMP Paste'!$B597))</f>
        <v/>
      </c>
      <c r="AK597">
        <f>IF('TMP Paste'!$F597="","",N('TMP Paste'!$G597))</f>
        <v/>
      </c>
      <c r="AL597">
        <f>IF('TMP Paste'!$F597="","",IF('TMP Paste'!$M597="",$AL596,'TMP Paste'!$M597))</f>
        <v/>
      </c>
      <c r="AM597">
        <f>IF('TMP Paste'!$F597="","",IF('TMP Paste'!$N597="",$AM596,'TMP Paste'!$N597))</f>
        <v/>
      </c>
      <c r="AN597">
        <f>IF('TMP Paste'!$F597="","",IF('TMP Paste'!$O597="",$AN596,'TMP Paste'!$O597))</f>
        <v/>
      </c>
      <c r="AO597">
        <f>IF('TMP Paste'!$F597="","",IF('TMP Paste'!$P597="",$AO596,'TMP Paste'!$P597))</f>
        <v/>
      </c>
      <c r="AP597">
        <f>IF($AG597="","",LEN($R597))</f>
        <v/>
      </c>
      <c r="AQ597">
        <f>IF($AG597="","",TRIM(IF(COUNTIFS(Calc!$B$2:$B$1601,ROW()-1,Calc!$C$2:$C$1601,"&lt;1")&gt;0,"Ada PO tanpa Koli - cek TMP. ","")&amp;IF(LEN($R597)&gt;500,"R &gt; 500 karakter.","")))</f>
        <v/>
      </c>
    </row>
    <row r="598">
      <c r="A598">
        <f>IF($AG598="","",INDEX('TMP Paste'!$B$2:$B$1601,$AG598))</f>
        <v/>
      </c>
      <c r="B598">
        <f>IF($AG598="","",Config!$B$14)</f>
        <v/>
      </c>
      <c r="C598">
        <f>IF($AG598="","",Config!$B$15)</f>
        <v/>
      </c>
      <c r="D598">
        <f>IF($AG598="","",INDEX('TMP Paste'!$B$2:$B$1601,$AG598))</f>
        <v/>
      </c>
      <c r="E598">
        <f>IF($AG598="","",Config!$B$27)</f>
        <v/>
      </c>
      <c r="F598">
        <f>IF($AG598="","",Config!$B$9)</f>
        <v/>
      </c>
      <c r="G598">
        <f>IF($AG598="","",Config!$B$10)</f>
        <v/>
      </c>
      <c r="H598">
        <f>IF($AG598="","",Config!$B$11)</f>
        <v/>
      </c>
      <c r="I598">
        <f>IF($AG598="","",Config!$B$16)</f>
        <v/>
      </c>
      <c r="J598">
        <f>IF($AG598="","",INDEX('TMP Paste'!$A$2:$A$1601,$AG598))</f>
        <v/>
      </c>
      <c r="K598">
        <f>IF($AG598="","",INDEX('TMP Paste'!$L$2:$L$1601,$AG598))</f>
        <v/>
      </c>
      <c r="L598">
        <f>IF($AG598="","",INDEX('TMP Paste'!$I$2:$I$1601,$AG598))</f>
        <v/>
      </c>
      <c r="M598">
        <f>IF($AG598="","",Config!$B$16)</f>
        <v/>
      </c>
      <c r="N598">
        <f>IF($AG598="","","")</f>
        <v/>
      </c>
      <c r="O598">
        <f>IF($AG598="","",INDEX('TMP Paste'!$K$2:$K$1601,$AG598))</f>
        <v/>
      </c>
      <c r="P598">
        <f>IF($AG598="","","")</f>
        <v/>
      </c>
      <c r="Q598">
        <f>IF($AG598="","",INDEX('TMP Paste'!$J$2:$J$1601,$AG598))</f>
        <v/>
      </c>
      <c r="R598">
        <f>IF($AG598="","",Config!$B$24)</f>
        <v/>
      </c>
      <c r="S598">
        <f>IF($AG598="","",TEXT(Config!$B$4,"yyyy-mm-dd"))</f>
        <v/>
      </c>
      <c r="T598">
        <f>IF($AG598="","",Config!$B$17)</f>
        <v/>
      </c>
      <c r="U598">
        <f>IF($AG598="","",Config!$B$18)</f>
        <v/>
      </c>
      <c r="V598">
        <f>IF($AG598="","",Config!$B$19)</f>
        <v/>
      </c>
      <c r="W598">
        <f>IF($AG598="","",INDEX('TMP Paste'!$C$2:$C$1601,$AG598))</f>
        <v/>
      </c>
      <c r="X598">
        <f>IF($AG598="","",Config!$B$29)</f>
        <v/>
      </c>
      <c r="Y598">
        <f>IF($AH598="","",INDEX(Calc!$I$2:$I$1601,$AH598)&amp;" - "&amp;INDEX(Calc!$D$2:$D$1601,$AH598)&amp;" koli")</f>
        <v/>
      </c>
      <c r="Z598">
        <f>IF($AG598="","",Config!$B$21)</f>
        <v/>
      </c>
      <c r="AA598">
        <f>IF($AG598="","",Config!$B$22)</f>
        <v/>
      </c>
      <c r="AB598">
        <f>IF($AH598="","",INDEX(Calc!$D$2:$D$1601,$AH598))</f>
        <v/>
      </c>
      <c r="AC598">
        <f>IF($AH598="","",INDEX(Calc!$G$2:$G$1601,$AH598))</f>
        <v/>
      </c>
      <c r="AD598">
        <f>IF($AG598="","",Config!$B$23)</f>
        <v/>
      </c>
      <c r="AE598">
        <f>IF($AG598="","",Config!$B$28)</f>
        <v/>
      </c>
      <c r="AG598">
        <f>IFERROR(MATCH(ROW()-1,Calc!$J$2:$J$1601,0),"")</f>
        <v/>
      </c>
      <c r="AH598">
        <f>IFERROR(MATCH(ROW()-1,Calc!$K$2:$K$1601,0),"")</f>
        <v/>
      </c>
      <c r="AI598">
        <f>IF($AG598="","",SUMIF($AG$2:$AG598,$AG598,$AH$2:$AH598))</f>
        <v/>
      </c>
      <c r="AJ598">
        <f>IF('TMP Paste'!$F598="","",IF('TMP Paste'!$B598="",$AJ597,'TMP Paste'!$B598))</f>
        <v/>
      </c>
      <c r="AK598">
        <f>IF('TMP Paste'!$F598="","",N('TMP Paste'!$G598))</f>
        <v/>
      </c>
      <c r="AL598">
        <f>IF('TMP Paste'!$F598="","",IF('TMP Paste'!$M598="",$AL597,'TMP Paste'!$M598))</f>
        <v/>
      </c>
      <c r="AM598">
        <f>IF('TMP Paste'!$F598="","",IF('TMP Paste'!$N598="",$AM597,'TMP Paste'!$N598))</f>
        <v/>
      </c>
      <c r="AN598">
        <f>IF('TMP Paste'!$F598="","",IF('TMP Paste'!$O598="",$AN597,'TMP Paste'!$O598))</f>
        <v/>
      </c>
      <c r="AO598">
        <f>IF('TMP Paste'!$F598="","",IF('TMP Paste'!$P598="",$AO597,'TMP Paste'!$P598))</f>
        <v/>
      </c>
      <c r="AP598">
        <f>IF($AG598="","",LEN($R598))</f>
        <v/>
      </c>
      <c r="AQ598">
        <f>IF($AG598="","",TRIM(IF(COUNTIFS(Calc!$B$2:$B$1601,ROW()-1,Calc!$C$2:$C$1601,"&lt;1")&gt;0,"Ada PO tanpa Koli - cek TMP. ","")&amp;IF(LEN($R598)&gt;500,"R &gt; 500 karakter.","")))</f>
        <v/>
      </c>
    </row>
    <row r="599">
      <c r="A599">
        <f>IF($AG599="","",INDEX('TMP Paste'!$B$2:$B$1601,$AG599))</f>
        <v/>
      </c>
      <c r="B599">
        <f>IF($AG599="","",Config!$B$14)</f>
        <v/>
      </c>
      <c r="C599">
        <f>IF($AG599="","",Config!$B$15)</f>
        <v/>
      </c>
      <c r="D599">
        <f>IF($AG599="","",INDEX('TMP Paste'!$B$2:$B$1601,$AG599))</f>
        <v/>
      </c>
      <c r="E599">
        <f>IF($AG599="","",Config!$B$27)</f>
        <v/>
      </c>
      <c r="F599">
        <f>IF($AG599="","",Config!$B$9)</f>
        <v/>
      </c>
      <c r="G599">
        <f>IF($AG599="","",Config!$B$10)</f>
        <v/>
      </c>
      <c r="H599">
        <f>IF($AG599="","",Config!$B$11)</f>
        <v/>
      </c>
      <c r="I599">
        <f>IF($AG599="","",Config!$B$16)</f>
        <v/>
      </c>
      <c r="J599">
        <f>IF($AG599="","",INDEX('TMP Paste'!$A$2:$A$1601,$AG599))</f>
        <v/>
      </c>
      <c r="K599">
        <f>IF($AG599="","",INDEX('TMP Paste'!$L$2:$L$1601,$AG599))</f>
        <v/>
      </c>
      <c r="L599">
        <f>IF($AG599="","",INDEX('TMP Paste'!$I$2:$I$1601,$AG599))</f>
        <v/>
      </c>
      <c r="M599">
        <f>IF($AG599="","",Config!$B$16)</f>
        <v/>
      </c>
      <c r="N599">
        <f>IF($AG599="","","")</f>
        <v/>
      </c>
      <c r="O599">
        <f>IF($AG599="","",INDEX('TMP Paste'!$K$2:$K$1601,$AG599))</f>
        <v/>
      </c>
      <c r="P599">
        <f>IF($AG599="","","")</f>
        <v/>
      </c>
      <c r="Q599">
        <f>IF($AG599="","",INDEX('TMP Paste'!$J$2:$J$1601,$AG599))</f>
        <v/>
      </c>
      <c r="R599">
        <f>IF($AG599="","",Config!$B$24)</f>
        <v/>
      </c>
      <c r="S599">
        <f>IF($AG599="","",TEXT(Config!$B$4,"yyyy-mm-dd"))</f>
        <v/>
      </c>
      <c r="T599">
        <f>IF($AG599="","",Config!$B$17)</f>
        <v/>
      </c>
      <c r="U599">
        <f>IF($AG599="","",Config!$B$18)</f>
        <v/>
      </c>
      <c r="V599">
        <f>IF($AG599="","",Config!$B$19)</f>
        <v/>
      </c>
      <c r="W599">
        <f>IF($AG599="","",INDEX('TMP Paste'!$C$2:$C$1601,$AG599))</f>
        <v/>
      </c>
      <c r="X599">
        <f>IF($AG599="","",Config!$B$29)</f>
        <v/>
      </c>
      <c r="Y599">
        <f>IF($AH599="","",INDEX(Calc!$I$2:$I$1601,$AH599)&amp;" - "&amp;INDEX(Calc!$D$2:$D$1601,$AH599)&amp;" koli")</f>
        <v/>
      </c>
      <c r="Z599">
        <f>IF($AG599="","",Config!$B$21)</f>
        <v/>
      </c>
      <c r="AA599">
        <f>IF($AG599="","",Config!$B$22)</f>
        <v/>
      </c>
      <c r="AB599">
        <f>IF($AH599="","",INDEX(Calc!$D$2:$D$1601,$AH599))</f>
        <v/>
      </c>
      <c r="AC599">
        <f>IF($AH599="","",INDEX(Calc!$G$2:$G$1601,$AH599))</f>
        <v/>
      </c>
      <c r="AD599">
        <f>IF($AG599="","",Config!$B$23)</f>
        <v/>
      </c>
      <c r="AE599">
        <f>IF($AG599="","",Config!$B$28)</f>
        <v/>
      </c>
      <c r="AG599">
        <f>IFERROR(MATCH(ROW()-1,Calc!$J$2:$J$1601,0),"")</f>
        <v/>
      </c>
      <c r="AH599">
        <f>IFERROR(MATCH(ROW()-1,Calc!$K$2:$K$1601,0),"")</f>
        <v/>
      </c>
      <c r="AI599">
        <f>IF($AG599="","",SUMIF($AG$2:$AG599,$AG599,$AH$2:$AH599))</f>
        <v/>
      </c>
      <c r="AJ599">
        <f>IF('TMP Paste'!$F599="","",IF('TMP Paste'!$B599="",$AJ598,'TMP Paste'!$B599))</f>
        <v/>
      </c>
      <c r="AK599">
        <f>IF('TMP Paste'!$F599="","",N('TMP Paste'!$G599))</f>
        <v/>
      </c>
      <c r="AL599">
        <f>IF('TMP Paste'!$F599="","",IF('TMP Paste'!$M599="",$AL598,'TMP Paste'!$M599))</f>
        <v/>
      </c>
      <c r="AM599">
        <f>IF('TMP Paste'!$F599="","",IF('TMP Paste'!$N599="",$AM598,'TMP Paste'!$N599))</f>
        <v/>
      </c>
      <c r="AN599">
        <f>IF('TMP Paste'!$F599="","",IF('TMP Paste'!$O599="",$AN598,'TMP Paste'!$O599))</f>
        <v/>
      </c>
      <c r="AO599">
        <f>IF('TMP Paste'!$F599="","",IF('TMP Paste'!$P599="",$AO598,'TMP Paste'!$P599))</f>
        <v/>
      </c>
      <c r="AP599">
        <f>IF($AG599="","",LEN($R599))</f>
        <v/>
      </c>
      <c r="AQ599">
        <f>IF($AG599="","",TRIM(IF(COUNTIFS(Calc!$B$2:$B$1601,ROW()-1,Calc!$C$2:$C$1601,"&lt;1")&gt;0,"Ada PO tanpa Koli - cek TMP. ","")&amp;IF(LEN($R599)&gt;500,"R &gt; 500 karakter.","")))</f>
        <v/>
      </c>
    </row>
    <row r="600">
      <c r="A600">
        <f>IF($AG600="","",INDEX('TMP Paste'!$B$2:$B$1601,$AG600))</f>
        <v/>
      </c>
      <c r="B600">
        <f>IF($AG600="","",Config!$B$14)</f>
        <v/>
      </c>
      <c r="C600">
        <f>IF($AG600="","",Config!$B$15)</f>
        <v/>
      </c>
      <c r="D600">
        <f>IF($AG600="","",INDEX('TMP Paste'!$B$2:$B$1601,$AG600))</f>
        <v/>
      </c>
      <c r="E600">
        <f>IF($AG600="","",Config!$B$27)</f>
        <v/>
      </c>
      <c r="F600">
        <f>IF($AG600="","",Config!$B$9)</f>
        <v/>
      </c>
      <c r="G600">
        <f>IF($AG600="","",Config!$B$10)</f>
        <v/>
      </c>
      <c r="H600">
        <f>IF($AG600="","",Config!$B$11)</f>
        <v/>
      </c>
      <c r="I600">
        <f>IF($AG600="","",Config!$B$16)</f>
        <v/>
      </c>
      <c r="J600">
        <f>IF($AG600="","",INDEX('TMP Paste'!$A$2:$A$1601,$AG600))</f>
        <v/>
      </c>
      <c r="K600">
        <f>IF($AG600="","",INDEX('TMP Paste'!$L$2:$L$1601,$AG600))</f>
        <v/>
      </c>
      <c r="L600">
        <f>IF($AG600="","",INDEX('TMP Paste'!$I$2:$I$1601,$AG600))</f>
        <v/>
      </c>
      <c r="M600">
        <f>IF($AG600="","",Config!$B$16)</f>
        <v/>
      </c>
      <c r="N600">
        <f>IF($AG600="","","")</f>
        <v/>
      </c>
      <c r="O600">
        <f>IF($AG600="","",INDEX('TMP Paste'!$K$2:$K$1601,$AG600))</f>
        <v/>
      </c>
      <c r="P600">
        <f>IF($AG600="","","")</f>
        <v/>
      </c>
      <c r="Q600">
        <f>IF($AG600="","",INDEX('TMP Paste'!$J$2:$J$1601,$AG600))</f>
        <v/>
      </c>
      <c r="R600">
        <f>IF($AG600="","",Config!$B$24)</f>
        <v/>
      </c>
      <c r="S600">
        <f>IF($AG600="","",TEXT(Config!$B$4,"yyyy-mm-dd"))</f>
        <v/>
      </c>
      <c r="T600">
        <f>IF($AG600="","",Config!$B$17)</f>
        <v/>
      </c>
      <c r="U600">
        <f>IF($AG600="","",Config!$B$18)</f>
        <v/>
      </c>
      <c r="V600">
        <f>IF($AG600="","",Config!$B$19)</f>
        <v/>
      </c>
      <c r="W600">
        <f>IF($AG600="","",INDEX('TMP Paste'!$C$2:$C$1601,$AG600))</f>
        <v/>
      </c>
      <c r="X600">
        <f>IF($AG600="","",Config!$B$29)</f>
        <v/>
      </c>
      <c r="Y600">
        <f>IF($AH600="","",INDEX(Calc!$I$2:$I$1601,$AH600)&amp;" - "&amp;INDEX(Calc!$D$2:$D$1601,$AH600)&amp;" koli")</f>
        <v/>
      </c>
      <c r="Z600">
        <f>IF($AG600="","",Config!$B$21)</f>
        <v/>
      </c>
      <c r="AA600">
        <f>IF($AG600="","",Config!$B$22)</f>
        <v/>
      </c>
      <c r="AB600">
        <f>IF($AH600="","",INDEX(Calc!$D$2:$D$1601,$AH600))</f>
        <v/>
      </c>
      <c r="AC600">
        <f>IF($AH600="","",INDEX(Calc!$G$2:$G$1601,$AH600))</f>
        <v/>
      </c>
      <c r="AD600">
        <f>IF($AG600="","",Config!$B$23)</f>
        <v/>
      </c>
      <c r="AE600">
        <f>IF($AG600="","",Config!$B$28)</f>
        <v/>
      </c>
      <c r="AG600">
        <f>IFERROR(MATCH(ROW()-1,Calc!$J$2:$J$1601,0),"")</f>
        <v/>
      </c>
      <c r="AH600">
        <f>IFERROR(MATCH(ROW()-1,Calc!$K$2:$K$1601,0),"")</f>
        <v/>
      </c>
      <c r="AI600">
        <f>IF($AG600="","",SUMIF($AG$2:$AG600,$AG600,$AH$2:$AH600))</f>
        <v/>
      </c>
      <c r="AJ600">
        <f>IF('TMP Paste'!$F600="","",IF('TMP Paste'!$B600="",$AJ599,'TMP Paste'!$B600))</f>
        <v/>
      </c>
      <c r="AK600">
        <f>IF('TMP Paste'!$F600="","",N('TMP Paste'!$G600))</f>
        <v/>
      </c>
      <c r="AL600">
        <f>IF('TMP Paste'!$F600="","",IF('TMP Paste'!$M600="",$AL599,'TMP Paste'!$M600))</f>
        <v/>
      </c>
      <c r="AM600">
        <f>IF('TMP Paste'!$F600="","",IF('TMP Paste'!$N600="",$AM599,'TMP Paste'!$N600))</f>
        <v/>
      </c>
      <c r="AN600">
        <f>IF('TMP Paste'!$F600="","",IF('TMP Paste'!$O600="",$AN599,'TMP Paste'!$O600))</f>
        <v/>
      </c>
      <c r="AO600">
        <f>IF('TMP Paste'!$F600="","",IF('TMP Paste'!$P600="",$AO599,'TMP Paste'!$P600))</f>
        <v/>
      </c>
      <c r="AP600">
        <f>IF($AG600="","",LEN($R600))</f>
        <v/>
      </c>
      <c r="AQ600">
        <f>IF($AG600="","",TRIM(IF(COUNTIFS(Calc!$B$2:$B$1601,ROW()-1,Calc!$C$2:$C$1601,"&lt;1")&gt;0,"Ada PO tanpa Koli - cek TMP. ","")&amp;IF(LEN($R600)&gt;500,"R &gt; 500 karakter.","")))</f>
        <v/>
      </c>
    </row>
    <row r="601">
      <c r="A601">
        <f>IF($AG601="","",INDEX('TMP Paste'!$B$2:$B$1601,$AG601))</f>
        <v/>
      </c>
      <c r="B601">
        <f>IF($AG601="","",Config!$B$14)</f>
        <v/>
      </c>
      <c r="C601">
        <f>IF($AG601="","",Config!$B$15)</f>
        <v/>
      </c>
      <c r="D601">
        <f>IF($AG601="","",INDEX('TMP Paste'!$B$2:$B$1601,$AG601))</f>
        <v/>
      </c>
      <c r="E601">
        <f>IF($AG601="","",Config!$B$27)</f>
        <v/>
      </c>
      <c r="F601">
        <f>IF($AG601="","",Config!$B$9)</f>
        <v/>
      </c>
      <c r="G601">
        <f>IF($AG601="","",Config!$B$10)</f>
        <v/>
      </c>
      <c r="H601">
        <f>IF($AG601="","",Config!$B$11)</f>
        <v/>
      </c>
      <c r="I601">
        <f>IF($AG601="","",Config!$B$16)</f>
        <v/>
      </c>
      <c r="J601">
        <f>IF($AG601="","",INDEX('TMP Paste'!$A$2:$A$1601,$AG601))</f>
        <v/>
      </c>
      <c r="K601">
        <f>IF($AG601="","",INDEX('TMP Paste'!$L$2:$L$1601,$AG601))</f>
        <v/>
      </c>
      <c r="L601">
        <f>IF($AG601="","",INDEX('TMP Paste'!$I$2:$I$1601,$AG601))</f>
        <v/>
      </c>
      <c r="M601">
        <f>IF($AG601="","",Config!$B$16)</f>
        <v/>
      </c>
      <c r="N601">
        <f>IF($AG601="","","")</f>
        <v/>
      </c>
      <c r="O601">
        <f>IF($AG601="","",INDEX('TMP Paste'!$K$2:$K$1601,$AG601))</f>
        <v/>
      </c>
      <c r="P601">
        <f>IF($AG601="","","")</f>
        <v/>
      </c>
      <c r="Q601">
        <f>IF($AG601="","",INDEX('TMP Paste'!$J$2:$J$1601,$AG601))</f>
        <v/>
      </c>
      <c r="R601">
        <f>IF($AG601="","",Config!$B$24)</f>
        <v/>
      </c>
      <c r="S601">
        <f>IF($AG601="","",TEXT(Config!$B$4,"yyyy-mm-dd"))</f>
        <v/>
      </c>
      <c r="T601">
        <f>IF($AG601="","",Config!$B$17)</f>
        <v/>
      </c>
      <c r="U601">
        <f>IF($AG601="","",Config!$B$18)</f>
        <v/>
      </c>
      <c r="V601">
        <f>IF($AG601="","",Config!$B$19)</f>
        <v/>
      </c>
      <c r="W601">
        <f>IF($AG601="","",INDEX('TMP Paste'!$C$2:$C$1601,$AG601))</f>
        <v/>
      </c>
      <c r="X601">
        <f>IF($AG601="","",Config!$B$29)</f>
        <v/>
      </c>
      <c r="Y601">
        <f>IF($AH601="","",INDEX(Calc!$I$2:$I$1601,$AH601)&amp;" - "&amp;INDEX(Calc!$D$2:$D$1601,$AH601)&amp;" koli")</f>
        <v/>
      </c>
      <c r="Z601">
        <f>IF($AG601="","",Config!$B$21)</f>
        <v/>
      </c>
      <c r="AA601">
        <f>IF($AG601="","",Config!$B$22)</f>
        <v/>
      </c>
      <c r="AB601">
        <f>IF($AH601="","",INDEX(Calc!$D$2:$D$1601,$AH601))</f>
        <v/>
      </c>
      <c r="AC601">
        <f>IF($AH601="","",INDEX(Calc!$G$2:$G$1601,$AH601))</f>
        <v/>
      </c>
      <c r="AD601">
        <f>IF($AG601="","",Config!$B$23)</f>
        <v/>
      </c>
      <c r="AE601">
        <f>IF($AG601="","",Config!$B$28)</f>
        <v/>
      </c>
      <c r="AG601">
        <f>IFERROR(MATCH(ROW()-1,Calc!$J$2:$J$1601,0),"")</f>
        <v/>
      </c>
      <c r="AH601">
        <f>IFERROR(MATCH(ROW()-1,Calc!$K$2:$K$1601,0),"")</f>
        <v/>
      </c>
      <c r="AI601">
        <f>IF($AG601="","",SUMIF($AG$2:$AG601,$AG601,$AH$2:$AH601))</f>
        <v/>
      </c>
      <c r="AJ601">
        <f>IF('TMP Paste'!$F601="","",IF('TMP Paste'!$B601="",$AJ600,'TMP Paste'!$B601))</f>
        <v/>
      </c>
      <c r="AK601">
        <f>IF('TMP Paste'!$F601="","",N('TMP Paste'!$G601))</f>
        <v/>
      </c>
      <c r="AL601">
        <f>IF('TMP Paste'!$F601="","",IF('TMP Paste'!$M601="",$AL600,'TMP Paste'!$M601))</f>
        <v/>
      </c>
      <c r="AM601">
        <f>IF('TMP Paste'!$F601="","",IF('TMP Paste'!$N601="",$AM600,'TMP Paste'!$N601))</f>
        <v/>
      </c>
      <c r="AN601">
        <f>IF('TMP Paste'!$F601="","",IF('TMP Paste'!$O601="",$AN600,'TMP Paste'!$O601))</f>
        <v/>
      </c>
      <c r="AO601">
        <f>IF('TMP Paste'!$F601="","",IF('TMP Paste'!$P601="",$AO600,'TMP Paste'!$P601))</f>
        <v/>
      </c>
      <c r="AP601">
        <f>IF($AG601="","",LEN($R601))</f>
        <v/>
      </c>
      <c r="AQ601">
        <f>IF($AG601="","",TRIM(IF(COUNTIFS(Calc!$B$2:$B$1601,ROW()-1,Calc!$C$2:$C$1601,"&lt;1")&gt;0,"Ada PO tanpa Koli - cek TMP. ","")&amp;IF(LEN($R601)&gt;500,"R &gt; 500 karakter.","")))</f>
        <v/>
      </c>
    </row>
    <row r="602">
      <c r="A602">
        <f>IF($AG602="","",INDEX('TMP Paste'!$B$2:$B$1601,$AG602))</f>
        <v/>
      </c>
      <c r="B602">
        <f>IF($AG602="","",Config!$B$14)</f>
        <v/>
      </c>
      <c r="C602">
        <f>IF($AG602="","",Config!$B$15)</f>
        <v/>
      </c>
      <c r="D602">
        <f>IF($AG602="","",INDEX('TMP Paste'!$B$2:$B$1601,$AG602))</f>
        <v/>
      </c>
      <c r="E602">
        <f>IF($AG602="","",Config!$B$27)</f>
        <v/>
      </c>
      <c r="F602">
        <f>IF($AG602="","",Config!$B$9)</f>
        <v/>
      </c>
      <c r="G602">
        <f>IF($AG602="","",Config!$B$10)</f>
        <v/>
      </c>
      <c r="H602">
        <f>IF($AG602="","",Config!$B$11)</f>
        <v/>
      </c>
      <c r="I602">
        <f>IF($AG602="","",Config!$B$16)</f>
        <v/>
      </c>
      <c r="J602">
        <f>IF($AG602="","",INDEX('TMP Paste'!$A$2:$A$1601,$AG602))</f>
        <v/>
      </c>
      <c r="K602">
        <f>IF($AG602="","",INDEX('TMP Paste'!$L$2:$L$1601,$AG602))</f>
        <v/>
      </c>
      <c r="L602">
        <f>IF($AG602="","",INDEX('TMP Paste'!$I$2:$I$1601,$AG602))</f>
        <v/>
      </c>
      <c r="M602">
        <f>IF($AG602="","",Config!$B$16)</f>
        <v/>
      </c>
      <c r="N602">
        <f>IF($AG602="","","")</f>
        <v/>
      </c>
      <c r="O602">
        <f>IF($AG602="","",INDEX('TMP Paste'!$K$2:$K$1601,$AG602))</f>
        <v/>
      </c>
      <c r="P602">
        <f>IF($AG602="","","")</f>
        <v/>
      </c>
      <c r="Q602">
        <f>IF($AG602="","",INDEX('TMP Paste'!$J$2:$J$1601,$AG602))</f>
        <v/>
      </c>
      <c r="R602">
        <f>IF($AG602="","",Config!$B$24)</f>
        <v/>
      </c>
      <c r="S602">
        <f>IF($AG602="","",TEXT(Config!$B$4,"yyyy-mm-dd"))</f>
        <v/>
      </c>
      <c r="T602">
        <f>IF($AG602="","",Config!$B$17)</f>
        <v/>
      </c>
      <c r="U602">
        <f>IF($AG602="","",Config!$B$18)</f>
        <v/>
      </c>
      <c r="V602">
        <f>IF($AG602="","",Config!$B$19)</f>
        <v/>
      </c>
      <c r="W602">
        <f>IF($AG602="","",INDEX('TMP Paste'!$C$2:$C$1601,$AG602))</f>
        <v/>
      </c>
      <c r="X602">
        <f>IF($AG602="","",Config!$B$29)</f>
        <v/>
      </c>
      <c r="Y602">
        <f>IF($AH602="","",INDEX(Calc!$I$2:$I$1601,$AH602)&amp;" - "&amp;INDEX(Calc!$D$2:$D$1601,$AH602)&amp;" koli")</f>
        <v/>
      </c>
      <c r="Z602">
        <f>IF($AG602="","",Config!$B$21)</f>
        <v/>
      </c>
      <c r="AA602">
        <f>IF($AG602="","",Config!$B$22)</f>
        <v/>
      </c>
      <c r="AB602">
        <f>IF($AH602="","",INDEX(Calc!$D$2:$D$1601,$AH602))</f>
        <v/>
      </c>
      <c r="AC602">
        <f>IF($AH602="","",INDEX(Calc!$G$2:$G$1601,$AH602))</f>
        <v/>
      </c>
      <c r="AD602">
        <f>IF($AG602="","",Config!$B$23)</f>
        <v/>
      </c>
      <c r="AE602">
        <f>IF($AG602="","",Config!$B$28)</f>
        <v/>
      </c>
      <c r="AG602">
        <f>IFERROR(MATCH(ROW()-1,Calc!$J$2:$J$1601,0),"")</f>
        <v/>
      </c>
      <c r="AH602">
        <f>IFERROR(MATCH(ROW()-1,Calc!$K$2:$K$1601,0),"")</f>
        <v/>
      </c>
      <c r="AI602">
        <f>IF($AG602="","",SUMIF($AG$2:$AG602,$AG602,$AH$2:$AH602))</f>
        <v/>
      </c>
      <c r="AJ602">
        <f>IF('TMP Paste'!$F602="","",IF('TMP Paste'!$B602="",$AJ601,'TMP Paste'!$B602))</f>
        <v/>
      </c>
      <c r="AK602">
        <f>IF('TMP Paste'!$F602="","",N('TMP Paste'!$G602))</f>
        <v/>
      </c>
      <c r="AL602">
        <f>IF('TMP Paste'!$F602="","",IF('TMP Paste'!$M602="",$AL601,'TMP Paste'!$M602))</f>
        <v/>
      </c>
      <c r="AM602">
        <f>IF('TMP Paste'!$F602="","",IF('TMP Paste'!$N602="",$AM601,'TMP Paste'!$N602))</f>
        <v/>
      </c>
      <c r="AN602">
        <f>IF('TMP Paste'!$F602="","",IF('TMP Paste'!$O602="",$AN601,'TMP Paste'!$O602))</f>
        <v/>
      </c>
      <c r="AO602">
        <f>IF('TMP Paste'!$F602="","",IF('TMP Paste'!$P602="",$AO601,'TMP Paste'!$P602))</f>
        <v/>
      </c>
      <c r="AP602">
        <f>IF($AG602="","",LEN($R602))</f>
        <v/>
      </c>
      <c r="AQ602">
        <f>IF($AG602="","",TRIM(IF(COUNTIFS(Calc!$B$2:$B$1601,ROW()-1,Calc!$C$2:$C$1601,"&lt;1")&gt;0,"Ada PO tanpa Koli - cek TMP. ","")&amp;IF(LEN($R602)&gt;500,"R &gt; 500 karakter.","")))</f>
        <v/>
      </c>
    </row>
    <row r="603">
      <c r="A603">
        <f>IF($AG603="","",INDEX('TMP Paste'!$B$2:$B$1601,$AG603))</f>
        <v/>
      </c>
      <c r="B603">
        <f>IF($AG603="","",Config!$B$14)</f>
        <v/>
      </c>
      <c r="C603">
        <f>IF($AG603="","",Config!$B$15)</f>
        <v/>
      </c>
      <c r="D603">
        <f>IF($AG603="","",INDEX('TMP Paste'!$B$2:$B$1601,$AG603))</f>
        <v/>
      </c>
      <c r="E603">
        <f>IF($AG603="","",Config!$B$27)</f>
        <v/>
      </c>
      <c r="F603">
        <f>IF($AG603="","",Config!$B$9)</f>
        <v/>
      </c>
      <c r="G603">
        <f>IF($AG603="","",Config!$B$10)</f>
        <v/>
      </c>
      <c r="H603">
        <f>IF($AG603="","",Config!$B$11)</f>
        <v/>
      </c>
      <c r="I603">
        <f>IF($AG603="","",Config!$B$16)</f>
        <v/>
      </c>
      <c r="J603">
        <f>IF($AG603="","",INDEX('TMP Paste'!$A$2:$A$1601,$AG603))</f>
        <v/>
      </c>
      <c r="K603">
        <f>IF($AG603="","",INDEX('TMP Paste'!$L$2:$L$1601,$AG603))</f>
        <v/>
      </c>
      <c r="L603">
        <f>IF($AG603="","",INDEX('TMP Paste'!$I$2:$I$1601,$AG603))</f>
        <v/>
      </c>
      <c r="M603">
        <f>IF($AG603="","",Config!$B$16)</f>
        <v/>
      </c>
      <c r="N603">
        <f>IF($AG603="","","")</f>
        <v/>
      </c>
      <c r="O603">
        <f>IF($AG603="","",INDEX('TMP Paste'!$K$2:$K$1601,$AG603))</f>
        <v/>
      </c>
      <c r="P603">
        <f>IF($AG603="","","")</f>
        <v/>
      </c>
      <c r="Q603">
        <f>IF($AG603="","",INDEX('TMP Paste'!$J$2:$J$1601,$AG603))</f>
        <v/>
      </c>
      <c r="R603">
        <f>IF($AG603="","",Config!$B$24)</f>
        <v/>
      </c>
      <c r="S603">
        <f>IF($AG603="","",TEXT(Config!$B$4,"yyyy-mm-dd"))</f>
        <v/>
      </c>
      <c r="T603">
        <f>IF($AG603="","",Config!$B$17)</f>
        <v/>
      </c>
      <c r="U603">
        <f>IF($AG603="","",Config!$B$18)</f>
        <v/>
      </c>
      <c r="V603">
        <f>IF($AG603="","",Config!$B$19)</f>
        <v/>
      </c>
      <c r="W603">
        <f>IF($AG603="","",INDEX('TMP Paste'!$C$2:$C$1601,$AG603))</f>
        <v/>
      </c>
      <c r="X603">
        <f>IF($AG603="","",Config!$B$29)</f>
        <v/>
      </c>
      <c r="Y603">
        <f>IF($AH603="","",INDEX(Calc!$I$2:$I$1601,$AH603)&amp;" - "&amp;INDEX(Calc!$D$2:$D$1601,$AH603)&amp;" koli")</f>
        <v/>
      </c>
      <c r="Z603">
        <f>IF($AG603="","",Config!$B$21)</f>
        <v/>
      </c>
      <c r="AA603">
        <f>IF($AG603="","",Config!$B$22)</f>
        <v/>
      </c>
      <c r="AB603">
        <f>IF($AH603="","",INDEX(Calc!$D$2:$D$1601,$AH603))</f>
        <v/>
      </c>
      <c r="AC603">
        <f>IF($AH603="","",INDEX(Calc!$G$2:$G$1601,$AH603))</f>
        <v/>
      </c>
      <c r="AD603">
        <f>IF($AG603="","",Config!$B$23)</f>
        <v/>
      </c>
      <c r="AE603">
        <f>IF($AG603="","",Config!$B$28)</f>
        <v/>
      </c>
      <c r="AG603">
        <f>IFERROR(MATCH(ROW()-1,Calc!$J$2:$J$1601,0),"")</f>
        <v/>
      </c>
      <c r="AH603">
        <f>IFERROR(MATCH(ROW()-1,Calc!$K$2:$K$1601,0),"")</f>
        <v/>
      </c>
      <c r="AI603">
        <f>IF($AG603="","",SUMIF($AG$2:$AG603,$AG603,$AH$2:$AH603))</f>
        <v/>
      </c>
      <c r="AJ603">
        <f>IF('TMP Paste'!$F603="","",IF('TMP Paste'!$B603="",$AJ602,'TMP Paste'!$B603))</f>
        <v/>
      </c>
      <c r="AK603">
        <f>IF('TMP Paste'!$F603="","",N('TMP Paste'!$G603))</f>
        <v/>
      </c>
      <c r="AL603">
        <f>IF('TMP Paste'!$F603="","",IF('TMP Paste'!$M603="",$AL602,'TMP Paste'!$M603))</f>
        <v/>
      </c>
      <c r="AM603">
        <f>IF('TMP Paste'!$F603="","",IF('TMP Paste'!$N603="",$AM602,'TMP Paste'!$N603))</f>
        <v/>
      </c>
      <c r="AN603">
        <f>IF('TMP Paste'!$F603="","",IF('TMP Paste'!$O603="",$AN602,'TMP Paste'!$O603))</f>
        <v/>
      </c>
      <c r="AO603">
        <f>IF('TMP Paste'!$F603="","",IF('TMP Paste'!$P603="",$AO602,'TMP Paste'!$P603))</f>
        <v/>
      </c>
      <c r="AP603">
        <f>IF($AG603="","",LEN($R603))</f>
        <v/>
      </c>
      <c r="AQ603">
        <f>IF($AG603="","",TRIM(IF(COUNTIFS(Calc!$B$2:$B$1601,ROW()-1,Calc!$C$2:$C$1601,"&lt;1")&gt;0,"Ada PO tanpa Koli - cek TMP. ","")&amp;IF(LEN($R603)&gt;500,"R &gt; 500 karakter.","")))</f>
        <v/>
      </c>
    </row>
    <row r="604">
      <c r="A604">
        <f>IF($AG604="","",INDEX('TMP Paste'!$B$2:$B$1601,$AG604))</f>
        <v/>
      </c>
      <c r="B604">
        <f>IF($AG604="","",Config!$B$14)</f>
        <v/>
      </c>
      <c r="C604">
        <f>IF($AG604="","",Config!$B$15)</f>
        <v/>
      </c>
      <c r="D604">
        <f>IF($AG604="","",INDEX('TMP Paste'!$B$2:$B$1601,$AG604))</f>
        <v/>
      </c>
      <c r="E604">
        <f>IF($AG604="","",Config!$B$27)</f>
        <v/>
      </c>
      <c r="F604">
        <f>IF($AG604="","",Config!$B$9)</f>
        <v/>
      </c>
      <c r="G604">
        <f>IF($AG604="","",Config!$B$10)</f>
        <v/>
      </c>
      <c r="H604">
        <f>IF($AG604="","",Config!$B$11)</f>
        <v/>
      </c>
      <c r="I604">
        <f>IF($AG604="","",Config!$B$16)</f>
        <v/>
      </c>
      <c r="J604">
        <f>IF($AG604="","",INDEX('TMP Paste'!$A$2:$A$1601,$AG604))</f>
        <v/>
      </c>
      <c r="K604">
        <f>IF($AG604="","",INDEX('TMP Paste'!$L$2:$L$1601,$AG604))</f>
        <v/>
      </c>
      <c r="L604">
        <f>IF($AG604="","",INDEX('TMP Paste'!$I$2:$I$1601,$AG604))</f>
        <v/>
      </c>
      <c r="M604">
        <f>IF($AG604="","",Config!$B$16)</f>
        <v/>
      </c>
      <c r="N604">
        <f>IF($AG604="","","")</f>
        <v/>
      </c>
      <c r="O604">
        <f>IF($AG604="","",INDEX('TMP Paste'!$K$2:$K$1601,$AG604))</f>
        <v/>
      </c>
      <c r="P604">
        <f>IF($AG604="","","")</f>
        <v/>
      </c>
      <c r="Q604">
        <f>IF($AG604="","",INDEX('TMP Paste'!$J$2:$J$1601,$AG604))</f>
        <v/>
      </c>
      <c r="R604">
        <f>IF($AG604="","",Config!$B$24)</f>
        <v/>
      </c>
      <c r="S604">
        <f>IF($AG604="","",TEXT(Config!$B$4,"yyyy-mm-dd"))</f>
        <v/>
      </c>
      <c r="T604">
        <f>IF($AG604="","",Config!$B$17)</f>
        <v/>
      </c>
      <c r="U604">
        <f>IF($AG604="","",Config!$B$18)</f>
        <v/>
      </c>
      <c r="V604">
        <f>IF($AG604="","",Config!$B$19)</f>
        <v/>
      </c>
      <c r="W604">
        <f>IF($AG604="","",INDEX('TMP Paste'!$C$2:$C$1601,$AG604))</f>
        <v/>
      </c>
      <c r="X604">
        <f>IF($AG604="","",Config!$B$29)</f>
        <v/>
      </c>
      <c r="Y604">
        <f>IF($AH604="","",INDEX(Calc!$I$2:$I$1601,$AH604)&amp;" - "&amp;INDEX(Calc!$D$2:$D$1601,$AH604)&amp;" koli")</f>
        <v/>
      </c>
      <c r="Z604">
        <f>IF($AG604="","",Config!$B$21)</f>
        <v/>
      </c>
      <c r="AA604">
        <f>IF($AG604="","",Config!$B$22)</f>
        <v/>
      </c>
      <c r="AB604">
        <f>IF($AH604="","",INDEX(Calc!$D$2:$D$1601,$AH604))</f>
        <v/>
      </c>
      <c r="AC604">
        <f>IF($AH604="","",INDEX(Calc!$G$2:$G$1601,$AH604))</f>
        <v/>
      </c>
      <c r="AD604">
        <f>IF($AG604="","",Config!$B$23)</f>
        <v/>
      </c>
      <c r="AE604">
        <f>IF($AG604="","",Config!$B$28)</f>
        <v/>
      </c>
      <c r="AG604">
        <f>IFERROR(MATCH(ROW()-1,Calc!$J$2:$J$1601,0),"")</f>
        <v/>
      </c>
      <c r="AH604">
        <f>IFERROR(MATCH(ROW()-1,Calc!$K$2:$K$1601,0),"")</f>
        <v/>
      </c>
      <c r="AI604">
        <f>IF($AG604="","",SUMIF($AG$2:$AG604,$AG604,$AH$2:$AH604))</f>
        <v/>
      </c>
      <c r="AJ604">
        <f>IF('TMP Paste'!$F604="","",IF('TMP Paste'!$B604="",$AJ603,'TMP Paste'!$B604))</f>
        <v/>
      </c>
      <c r="AK604">
        <f>IF('TMP Paste'!$F604="","",N('TMP Paste'!$G604))</f>
        <v/>
      </c>
      <c r="AL604">
        <f>IF('TMP Paste'!$F604="","",IF('TMP Paste'!$M604="",$AL603,'TMP Paste'!$M604))</f>
        <v/>
      </c>
      <c r="AM604">
        <f>IF('TMP Paste'!$F604="","",IF('TMP Paste'!$N604="",$AM603,'TMP Paste'!$N604))</f>
        <v/>
      </c>
      <c r="AN604">
        <f>IF('TMP Paste'!$F604="","",IF('TMP Paste'!$O604="",$AN603,'TMP Paste'!$O604))</f>
        <v/>
      </c>
      <c r="AO604">
        <f>IF('TMP Paste'!$F604="","",IF('TMP Paste'!$P604="",$AO603,'TMP Paste'!$P604))</f>
        <v/>
      </c>
      <c r="AP604">
        <f>IF($AG604="","",LEN($R604))</f>
        <v/>
      </c>
      <c r="AQ604">
        <f>IF($AG604="","",TRIM(IF(COUNTIFS(Calc!$B$2:$B$1601,ROW()-1,Calc!$C$2:$C$1601,"&lt;1")&gt;0,"Ada PO tanpa Koli - cek TMP. ","")&amp;IF(LEN($R604)&gt;500,"R &gt; 500 karakter.","")))</f>
        <v/>
      </c>
    </row>
    <row r="605">
      <c r="A605">
        <f>IF($AG605="","",INDEX('TMP Paste'!$B$2:$B$1601,$AG605))</f>
        <v/>
      </c>
      <c r="B605">
        <f>IF($AG605="","",Config!$B$14)</f>
        <v/>
      </c>
      <c r="C605">
        <f>IF($AG605="","",Config!$B$15)</f>
        <v/>
      </c>
      <c r="D605">
        <f>IF($AG605="","",INDEX('TMP Paste'!$B$2:$B$1601,$AG605))</f>
        <v/>
      </c>
      <c r="E605">
        <f>IF($AG605="","",Config!$B$27)</f>
        <v/>
      </c>
      <c r="F605">
        <f>IF($AG605="","",Config!$B$9)</f>
        <v/>
      </c>
      <c r="G605">
        <f>IF($AG605="","",Config!$B$10)</f>
        <v/>
      </c>
      <c r="H605">
        <f>IF($AG605="","",Config!$B$11)</f>
        <v/>
      </c>
      <c r="I605">
        <f>IF($AG605="","",Config!$B$16)</f>
        <v/>
      </c>
      <c r="J605">
        <f>IF($AG605="","",INDEX('TMP Paste'!$A$2:$A$1601,$AG605))</f>
        <v/>
      </c>
      <c r="K605">
        <f>IF($AG605="","",INDEX('TMP Paste'!$L$2:$L$1601,$AG605))</f>
        <v/>
      </c>
      <c r="L605">
        <f>IF($AG605="","",INDEX('TMP Paste'!$I$2:$I$1601,$AG605))</f>
        <v/>
      </c>
      <c r="M605">
        <f>IF($AG605="","",Config!$B$16)</f>
        <v/>
      </c>
      <c r="N605">
        <f>IF($AG605="","","")</f>
        <v/>
      </c>
      <c r="O605">
        <f>IF($AG605="","",INDEX('TMP Paste'!$K$2:$K$1601,$AG605))</f>
        <v/>
      </c>
      <c r="P605">
        <f>IF($AG605="","","")</f>
        <v/>
      </c>
      <c r="Q605">
        <f>IF($AG605="","",INDEX('TMP Paste'!$J$2:$J$1601,$AG605))</f>
        <v/>
      </c>
      <c r="R605">
        <f>IF($AG605="","",Config!$B$24)</f>
        <v/>
      </c>
      <c r="S605">
        <f>IF($AG605="","",TEXT(Config!$B$4,"yyyy-mm-dd"))</f>
        <v/>
      </c>
      <c r="T605">
        <f>IF($AG605="","",Config!$B$17)</f>
        <v/>
      </c>
      <c r="U605">
        <f>IF($AG605="","",Config!$B$18)</f>
        <v/>
      </c>
      <c r="V605">
        <f>IF($AG605="","",Config!$B$19)</f>
        <v/>
      </c>
      <c r="W605">
        <f>IF($AG605="","",INDEX('TMP Paste'!$C$2:$C$1601,$AG605))</f>
        <v/>
      </c>
      <c r="X605">
        <f>IF($AG605="","",Config!$B$29)</f>
        <v/>
      </c>
      <c r="Y605">
        <f>IF($AH605="","",INDEX(Calc!$I$2:$I$1601,$AH605)&amp;" - "&amp;INDEX(Calc!$D$2:$D$1601,$AH605)&amp;" koli")</f>
        <v/>
      </c>
      <c r="Z605">
        <f>IF($AG605="","",Config!$B$21)</f>
        <v/>
      </c>
      <c r="AA605">
        <f>IF($AG605="","",Config!$B$22)</f>
        <v/>
      </c>
      <c r="AB605">
        <f>IF($AH605="","",INDEX(Calc!$D$2:$D$1601,$AH605))</f>
        <v/>
      </c>
      <c r="AC605">
        <f>IF($AH605="","",INDEX(Calc!$G$2:$G$1601,$AH605))</f>
        <v/>
      </c>
      <c r="AD605">
        <f>IF($AG605="","",Config!$B$23)</f>
        <v/>
      </c>
      <c r="AE605">
        <f>IF($AG605="","",Config!$B$28)</f>
        <v/>
      </c>
      <c r="AG605">
        <f>IFERROR(MATCH(ROW()-1,Calc!$J$2:$J$1601,0),"")</f>
        <v/>
      </c>
      <c r="AH605">
        <f>IFERROR(MATCH(ROW()-1,Calc!$K$2:$K$1601,0),"")</f>
        <v/>
      </c>
      <c r="AI605">
        <f>IF($AG605="","",SUMIF($AG$2:$AG605,$AG605,$AH$2:$AH605))</f>
        <v/>
      </c>
      <c r="AJ605">
        <f>IF('TMP Paste'!$F605="","",IF('TMP Paste'!$B605="",$AJ604,'TMP Paste'!$B605))</f>
        <v/>
      </c>
      <c r="AK605">
        <f>IF('TMP Paste'!$F605="","",N('TMP Paste'!$G605))</f>
        <v/>
      </c>
      <c r="AL605">
        <f>IF('TMP Paste'!$F605="","",IF('TMP Paste'!$M605="",$AL604,'TMP Paste'!$M605))</f>
        <v/>
      </c>
      <c r="AM605">
        <f>IF('TMP Paste'!$F605="","",IF('TMP Paste'!$N605="",$AM604,'TMP Paste'!$N605))</f>
        <v/>
      </c>
      <c r="AN605">
        <f>IF('TMP Paste'!$F605="","",IF('TMP Paste'!$O605="",$AN604,'TMP Paste'!$O605))</f>
        <v/>
      </c>
      <c r="AO605">
        <f>IF('TMP Paste'!$F605="","",IF('TMP Paste'!$P605="",$AO604,'TMP Paste'!$P605))</f>
        <v/>
      </c>
      <c r="AP605">
        <f>IF($AG605="","",LEN($R605))</f>
        <v/>
      </c>
      <c r="AQ605">
        <f>IF($AG605="","",TRIM(IF(COUNTIFS(Calc!$B$2:$B$1601,ROW()-1,Calc!$C$2:$C$1601,"&lt;1")&gt;0,"Ada PO tanpa Koli - cek TMP. ","")&amp;IF(LEN($R605)&gt;500,"R &gt; 500 karakter.","")))</f>
        <v/>
      </c>
    </row>
    <row r="606">
      <c r="A606">
        <f>IF($AG606="","",INDEX('TMP Paste'!$B$2:$B$1601,$AG606))</f>
        <v/>
      </c>
      <c r="B606">
        <f>IF($AG606="","",Config!$B$14)</f>
        <v/>
      </c>
      <c r="C606">
        <f>IF($AG606="","",Config!$B$15)</f>
        <v/>
      </c>
      <c r="D606">
        <f>IF($AG606="","",INDEX('TMP Paste'!$B$2:$B$1601,$AG606))</f>
        <v/>
      </c>
      <c r="E606">
        <f>IF($AG606="","",Config!$B$27)</f>
        <v/>
      </c>
      <c r="F606">
        <f>IF($AG606="","",Config!$B$9)</f>
        <v/>
      </c>
      <c r="G606">
        <f>IF($AG606="","",Config!$B$10)</f>
        <v/>
      </c>
      <c r="H606">
        <f>IF($AG606="","",Config!$B$11)</f>
        <v/>
      </c>
      <c r="I606">
        <f>IF($AG606="","",Config!$B$16)</f>
        <v/>
      </c>
      <c r="J606">
        <f>IF($AG606="","",INDEX('TMP Paste'!$A$2:$A$1601,$AG606))</f>
        <v/>
      </c>
      <c r="K606">
        <f>IF($AG606="","",INDEX('TMP Paste'!$L$2:$L$1601,$AG606))</f>
        <v/>
      </c>
      <c r="L606">
        <f>IF($AG606="","",INDEX('TMP Paste'!$I$2:$I$1601,$AG606))</f>
        <v/>
      </c>
      <c r="M606">
        <f>IF($AG606="","",Config!$B$16)</f>
        <v/>
      </c>
      <c r="N606">
        <f>IF($AG606="","","")</f>
        <v/>
      </c>
      <c r="O606">
        <f>IF($AG606="","",INDEX('TMP Paste'!$K$2:$K$1601,$AG606))</f>
        <v/>
      </c>
      <c r="P606">
        <f>IF($AG606="","","")</f>
        <v/>
      </c>
      <c r="Q606">
        <f>IF($AG606="","",INDEX('TMP Paste'!$J$2:$J$1601,$AG606))</f>
        <v/>
      </c>
      <c r="R606">
        <f>IF($AG606="","",Config!$B$24)</f>
        <v/>
      </c>
      <c r="S606">
        <f>IF($AG606="","",TEXT(Config!$B$4,"yyyy-mm-dd"))</f>
        <v/>
      </c>
      <c r="T606">
        <f>IF($AG606="","",Config!$B$17)</f>
        <v/>
      </c>
      <c r="U606">
        <f>IF($AG606="","",Config!$B$18)</f>
        <v/>
      </c>
      <c r="V606">
        <f>IF($AG606="","",Config!$B$19)</f>
        <v/>
      </c>
      <c r="W606">
        <f>IF($AG606="","",INDEX('TMP Paste'!$C$2:$C$1601,$AG606))</f>
        <v/>
      </c>
      <c r="X606">
        <f>IF($AG606="","",Config!$B$29)</f>
        <v/>
      </c>
      <c r="Y606">
        <f>IF($AH606="","",INDEX(Calc!$I$2:$I$1601,$AH606)&amp;" - "&amp;INDEX(Calc!$D$2:$D$1601,$AH606)&amp;" koli")</f>
        <v/>
      </c>
      <c r="Z606">
        <f>IF($AG606="","",Config!$B$21)</f>
        <v/>
      </c>
      <c r="AA606">
        <f>IF($AG606="","",Config!$B$22)</f>
        <v/>
      </c>
      <c r="AB606">
        <f>IF($AH606="","",INDEX(Calc!$D$2:$D$1601,$AH606))</f>
        <v/>
      </c>
      <c r="AC606">
        <f>IF($AH606="","",INDEX(Calc!$G$2:$G$1601,$AH606))</f>
        <v/>
      </c>
      <c r="AD606">
        <f>IF($AG606="","",Config!$B$23)</f>
        <v/>
      </c>
      <c r="AE606">
        <f>IF($AG606="","",Config!$B$28)</f>
        <v/>
      </c>
      <c r="AG606">
        <f>IFERROR(MATCH(ROW()-1,Calc!$J$2:$J$1601,0),"")</f>
        <v/>
      </c>
      <c r="AH606">
        <f>IFERROR(MATCH(ROW()-1,Calc!$K$2:$K$1601,0),"")</f>
        <v/>
      </c>
      <c r="AI606">
        <f>IF($AG606="","",SUMIF($AG$2:$AG606,$AG606,$AH$2:$AH606))</f>
        <v/>
      </c>
      <c r="AJ606">
        <f>IF('TMP Paste'!$F606="","",IF('TMP Paste'!$B606="",$AJ605,'TMP Paste'!$B606))</f>
        <v/>
      </c>
      <c r="AK606">
        <f>IF('TMP Paste'!$F606="","",N('TMP Paste'!$G606))</f>
        <v/>
      </c>
      <c r="AL606">
        <f>IF('TMP Paste'!$F606="","",IF('TMP Paste'!$M606="",$AL605,'TMP Paste'!$M606))</f>
        <v/>
      </c>
      <c r="AM606">
        <f>IF('TMP Paste'!$F606="","",IF('TMP Paste'!$N606="",$AM605,'TMP Paste'!$N606))</f>
        <v/>
      </c>
      <c r="AN606">
        <f>IF('TMP Paste'!$F606="","",IF('TMP Paste'!$O606="",$AN605,'TMP Paste'!$O606))</f>
        <v/>
      </c>
      <c r="AO606">
        <f>IF('TMP Paste'!$F606="","",IF('TMP Paste'!$P606="",$AO605,'TMP Paste'!$P606))</f>
        <v/>
      </c>
      <c r="AP606">
        <f>IF($AG606="","",LEN($R606))</f>
        <v/>
      </c>
      <c r="AQ606">
        <f>IF($AG606="","",TRIM(IF(COUNTIFS(Calc!$B$2:$B$1601,ROW()-1,Calc!$C$2:$C$1601,"&lt;1")&gt;0,"Ada PO tanpa Koli - cek TMP. ","")&amp;IF(LEN($R606)&gt;500,"R &gt; 500 karakter.","")))</f>
        <v/>
      </c>
    </row>
    <row r="607">
      <c r="A607">
        <f>IF($AG607="","",INDEX('TMP Paste'!$B$2:$B$1601,$AG607))</f>
        <v/>
      </c>
      <c r="B607">
        <f>IF($AG607="","",Config!$B$14)</f>
        <v/>
      </c>
      <c r="C607">
        <f>IF($AG607="","",Config!$B$15)</f>
        <v/>
      </c>
      <c r="D607">
        <f>IF($AG607="","",INDEX('TMP Paste'!$B$2:$B$1601,$AG607))</f>
        <v/>
      </c>
      <c r="E607">
        <f>IF($AG607="","",Config!$B$27)</f>
        <v/>
      </c>
      <c r="F607">
        <f>IF($AG607="","",Config!$B$9)</f>
        <v/>
      </c>
      <c r="G607">
        <f>IF($AG607="","",Config!$B$10)</f>
        <v/>
      </c>
      <c r="H607">
        <f>IF($AG607="","",Config!$B$11)</f>
        <v/>
      </c>
      <c r="I607">
        <f>IF($AG607="","",Config!$B$16)</f>
        <v/>
      </c>
      <c r="J607">
        <f>IF($AG607="","",INDEX('TMP Paste'!$A$2:$A$1601,$AG607))</f>
        <v/>
      </c>
      <c r="K607">
        <f>IF($AG607="","",INDEX('TMP Paste'!$L$2:$L$1601,$AG607))</f>
        <v/>
      </c>
      <c r="L607">
        <f>IF($AG607="","",INDEX('TMP Paste'!$I$2:$I$1601,$AG607))</f>
        <v/>
      </c>
      <c r="M607">
        <f>IF($AG607="","",Config!$B$16)</f>
        <v/>
      </c>
      <c r="N607">
        <f>IF($AG607="","","")</f>
        <v/>
      </c>
      <c r="O607">
        <f>IF($AG607="","",INDEX('TMP Paste'!$K$2:$K$1601,$AG607))</f>
        <v/>
      </c>
      <c r="P607">
        <f>IF($AG607="","","")</f>
        <v/>
      </c>
      <c r="Q607">
        <f>IF($AG607="","",INDEX('TMP Paste'!$J$2:$J$1601,$AG607))</f>
        <v/>
      </c>
      <c r="R607">
        <f>IF($AG607="","",Config!$B$24)</f>
        <v/>
      </c>
      <c r="S607">
        <f>IF($AG607="","",TEXT(Config!$B$4,"yyyy-mm-dd"))</f>
        <v/>
      </c>
      <c r="T607">
        <f>IF($AG607="","",Config!$B$17)</f>
        <v/>
      </c>
      <c r="U607">
        <f>IF($AG607="","",Config!$B$18)</f>
        <v/>
      </c>
      <c r="V607">
        <f>IF($AG607="","",Config!$B$19)</f>
        <v/>
      </c>
      <c r="W607">
        <f>IF($AG607="","",INDEX('TMP Paste'!$C$2:$C$1601,$AG607))</f>
        <v/>
      </c>
      <c r="X607">
        <f>IF($AG607="","",Config!$B$29)</f>
        <v/>
      </c>
      <c r="Y607">
        <f>IF($AH607="","",INDEX(Calc!$I$2:$I$1601,$AH607)&amp;" - "&amp;INDEX(Calc!$D$2:$D$1601,$AH607)&amp;" koli")</f>
        <v/>
      </c>
      <c r="Z607">
        <f>IF($AG607="","",Config!$B$21)</f>
        <v/>
      </c>
      <c r="AA607">
        <f>IF($AG607="","",Config!$B$22)</f>
        <v/>
      </c>
      <c r="AB607">
        <f>IF($AH607="","",INDEX(Calc!$D$2:$D$1601,$AH607))</f>
        <v/>
      </c>
      <c r="AC607">
        <f>IF($AH607="","",INDEX(Calc!$G$2:$G$1601,$AH607))</f>
        <v/>
      </c>
      <c r="AD607">
        <f>IF($AG607="","",Config!$B$23)</f>
        <v/>
      </c>
      <c r="AE607">
        <f>IF($AG607="","",Config!$B$28)</f>
        <v/>
      </c>
      <c r="AG607">
        <f>IFERROR(MATCH(ROW()-1,Calc!$J$2:$J$1601,0),"")</f>
        <v/>
      </c>
      <c r="AH607">
        <f>IFERROR(MATCH(ROW()-1,Calc!$K$2:$K$1601,0),"")</f>
        <v/>
      </c>
      <c r="AI607">
        <f>IF($AG607="","",SUMIF($AG$2:$AG607,$AG607,$AH$2:$AH607))</f>
        <v/>
      </c>
      <c r="AJ607">
        <f>IF('TMP Paste'!$F607="","",IF('TMP Paste'!$B607="",$AJ606,'TMP Paste'!$B607))</f>
        <v/>
      </c>
      <c r="AK607">
        <f>IF('TMP Paste'!$F607="","",N('TMP Paste'!$G607))</f>
        <v/>
      </c>
      <c r="AL607">
        <f>IF('TMP Paste'!$F607="","",IF('TMP Paste'!$M607="",$AL606,'TMP Paste'!$M607))</f>
        <v/>
      </c>
      <c r="AM607">
        <f>IF('TMP Paste'!$F607="","",IF('TMP Paste'!$N607="",$AM606,'TMP Paste'!$N607))</f>
        <v/>
      </c>
      <c r="AN607">
        <f>IF('TMP Paste'!$F607="","",IF('TMP Paste'!$O607="",$AN606,'TMP Paste'!$O607))</f>
        <v/>
      </c>
      <c r="AO607">
        <f>IF('TMP Paste'!$F607="","",IF('TMP Paste'!$P607="",$AO606,'TMP Paste'!$P607))</f>
        <v/>
      </c>
      <c r="AP607">
        <f>IF($AG607="","",LEN($R607))</f>
        <v/>
      </c>
      <c r="AQ607">
        <f>IF($AG607="","",TRIM(IF(COUNTIFS(Calc!$B$2:$B$1601,ROW()-1,Calc!$C$2:$C$1601,"&lt;1")&gt;0,"Ada PO tanpa Koli - cek TMP. ","")&amp;IF(LEN($R607)&gt;500,"R &gt; 500 karakter.","")))</f>
        <v/>
      </c>
    </row>
    <row r="608">
      <c r="A608">
        <f>IF($AG608="","",INDEX('TMP Paste'!$B$2:$B$1601,$AG608))</f>
        <v/>
      </c>
      <c r="B608">
        <f>IF($AG608="","",Config!$B$14)</f>
        <v/>
      </c>
      <c r="C608">
        <f>IF($AG608="","",Config!$B$15)</f>
        <v/>
      </c>
      <c r="D608">
        <f>IF($AG608="","",INDEX('TMP Paste'!$B$2:$B$1601,$AG608))</f>
        <v/>
      </c>
      <c r="E608">
        <f>IF($AG608="","",Config!$B$27)</f>
        <v/>
      </c>
      <c r="F608">
        <f>IF($AG608="","",Config!$B$9)</f>
        <v/>
      </c>
      <c r="G608">
        <f>IF($AG608="","",Config!$B$10)</f>
        <v/>
      </c>
      <c r="H608">
        <f>IF($AG608="","",Config!$B$11)</f>
        <v/>
      </c>
      <c r="I608">
        <f>IF($AG608="","",Config!$B$16)</f>
        <v/>
      </c>
      <c r="J608">
        <f>IF($AG608="","",INDEX('TMP Paste'!$A$2:$A$1601,$AG608))</f>
        <v/>
      </c>
      <c r="K608">
        <f>IF($AG608="","",INDEX('TMP Paste'!$L$2:$L$1601,$AG608))</f>
        <v/>
      </c>
      <c r="L608">
        <f>IF($AG608="","",INDEX('TMP Paste'!$I$2:$I$1601,$AG608))</f>
        <v/>
      </c>
      <c r="M608">
        <f>IF($AG608="","",Config!$B$16)</f>
        <v/>
      </c>
      <c r="N608">
        <f>IF($AG608="","","")</f>
        <v/>
      </c>
      <c r="O608">
        <f>IF($AG608="","",INDEX('TMP Paste'!$K$2:$K$1601,$AG608))</f>
        <v/>
      </c>
      <c r="P608">
        <f>IF($AG608="","","")</f>
        <v/>
      </c>
      <c r="Q608">
        <f>IF($AG608="","",INDEX('TMP Paste'!$J$2:$J$1601,$AG608))</f>
        <v/>
      </c>
      <c r="R608">
        <f>IF($AG608="","",Config!$B$24)</f>
        <v/>
      </c>
      <c r="S608">
        <f>IF($AG608="","",TEXT(Config!$B$4,"yyyy-mm-dd"))</f>
        <v/>
      </c>
      <c r="T608">
        <f>IF($AG608="","",Config!$B$17)</f>
        <v/>
      </c>
      <c r="U608">
        <f>IF($AG608="","",Config!$B$18)</f>
        <v/>
      </c>
      <c r="V608">
        <f>IF($AG608="","",Config!$B$19)</f>
        <v/>
      </c>
      <c r="W608">
        <f>IF($AG608="","",INDEX('TMP Paste'!$C$2:$C$1601,$AG608))</f>
        <v/>
      </c>
      <c r="X608">
        <f>IF($AG608="","",Config!$B$29)</f>
        <v/>
      </c>
      <c r="Y608">
        <f>IF($AH608="","",INDEX(Calc!$I$2:$I$1601,$AH608)&amp;" - "&amp;INDEX(Calc!$D$2:$D$1601,$AH608)&amp;" koli")</f>
        <v/>
      </c>
      <c r="Z608">
        <f>IF($AG608="","",Config!$B$21)</f>
        <v/>
      </c>
      <c r="AA608">
        <f>IF($AG608="","",Config!$B$22)</f>
        <v/>
      </c>
      <c r="AB608">
        <f>IF($AH608="","",INDEX(Calc!$D$2:$D$1601,$AH608))</f>
        <v/>
      </c>
      <c r="AC608">
        <f>IF($AH608="","",INDEX(Calc!$G$2:$G$1601,$AH608))</f>
        <v/>
      </c>
      <c r="AD608">
        <f>IF($AG608="","",Config!$B$23)</f>
        <v/>
      </c>
      <c r="AE608">
        <f>IF($AG608="","",Config!$B$28)</f>
        <v/>
      </c>
      <c r="AG608">
        <f>IFERROR(MATCH(ROW()-1,Calc!$J$2:$J$1601,0),"")</f>
        <v/>
      </c>
      <c r="AH608">
        <f>IFERROR(MATCH(ROW()-1,Calc!$K$2:$K$1601,0),"")</f>
        <v/>
      </c>
      <c r="AI608">
        <f>IF($AG608="","",SUMIF($AG$2:$AG608,$AG608,$AH$2:$AH608))</f>
        <v/>
      </c>
      <c r="AJ608">
        <f>IF('TMP Paste'!$F608="","",IF('TMP Paste'!$B608="",$AJ607,'TMP Paste'!$B608))</f>
        <v/>
      </c>
      <c r="AK608">
        <f>IF('TMP Paste'!$F608="","",N('TMP Paste'!$G608))</f>
        <v/>
      </c>
      <c r="AL608">
        <f>IF('TMP Paste'!$F608="","",IF('TMP Paste'!$M608="",$AL607,'TMP Paste'!$M608))</f>
        <v/>
      </c>
      <c r="AM608">
        <f>IF('TMP Paste'!$F608="","",IF('TMP Paste'!$N608="",$AM607,'TMP Paste'!$N608))</f>
        <v/>
      </c>
      <c r="AN608">
        <f>IF('TMP Paste'!$F608="","",IF('TMP Paste'!$O608="",$AN607,'TMP Paste'!$O608))</f>
        <v/>
      </c>
      <c r="AO608">
        <f>IF('TMP Paste'!$F608="","",IF('TMP Paste'!$P608="",$AO607,'TMP Paste'!$P608))</f>
        <v/>
      </c>
      <c r="AP608">
        <f>IF($AG608="","",LEN($R608))</f>
        <v/>
      </c>
      <c r="AQ608">
        <f>IF($AG608="","",TRIM(IF(COUNTIFS(Calc!$B$2:$B$1601,ROW()-1,Calc!$C$2:$C$1601,"&lt;1")&gt;0,"Ada PO tanpa Koli - cek TMP. ","")&amp;IF(LEN($R608)&gt;500,"R &gt; 500 karakter.","")))</f>
        <v/>
      </c>
    </row>
    <row r="609">
      <c r="A609">
        <f>IF($AG609="","",INDEX('TMP Paste'!$B$2:$B$1601,$AG609))</f>
        <v/>
      </c>
      <c r="B609">
        <f>IF($AG609="","",Config!$B$14)</f>
        <v/>
      </c>
      <c r="C609">
        <f>IF($AG609="","",Config!$B$15)</f>
        <v/>
      </c>
      <c r="D609">
        <f>IF($AG609="","",INDEX('TMP Paste'!$B$2:$B$1601,$AG609))</f>
        <v/>
      </c>
      <c r="E609">
        <f>IF($AG609="","",Config!$B$27)</f>
        <v/>
      </c>
      <c r="F609">
        <f>IF($AG609="","",Config!$B$9)</f>
        <v/>
      </c>
      <c r="G609">
        <f>IF($AG609="","",Config!$B$10)</f>
        <v/>
      </c>
      <c r="H609">
        <f>IF($AG609="","",Config!$B$11)</f>
        <v/>
      </c>
      <c r="I609">
        <f>IF($AG609="","",Config!$B$16)</f>
        <v/>
      </c>
      <c r="J609">
        <f>IF($AG609="","",INDEX('TMP Paste'!$A$2:$A$1601,$AG609))</f>
        <v/>
      </c>
      <c r="K609">
        <f>IF($AG609="","",INDEX('TMP Paste'!$L$2:$L$1601,$AG609))</f>
        <v/>
      </c>
      <c r="L609">
        <f>IF($AG609="","",INDEX('TMP Paste'!$I$2:$I$1601,$AG609))</f>
        <v/>
      </c>
      <c r="M609">
        <f>IF($AG609="","",Config!$B$16)</f>
        <v/>
      </c>
      <c r="N609">
        <f>IF($AG609="","","")</f>
        <v/>
      </c>
      <c r="O609">
        <f>IF($AG609="","",INDEX('TMP Paste'!$K$2:$K$1601,$AG609))</f>
        <v/>
      </c>
      <c r="P609">
        <f>IF($AG609="","","")</f>
        <v/>
      </c>
      <c r="Q609">
        <f>IF($AG609="","",INDEX('TMP Paste'!$J$2:$J$1601,$AG609))</f>
        <v/>
      </c>
      <c r="R609">
        <f>IF($AG609="","",Config!$B$24)</f>
        <v/>
      </c>
      <c r="S609">
        <f>IF($AG609="","",TEXT(Config!$B$4,"yyyy-mm-dd"))</f>
        <v/>
      </c>
      <c r="T609">
        <f>IF($AG609="","",Config!$B$17)</f>
        <v/>
      </c>
      <c r="U609">
        <f>IF($AG609="","",Config!$B$18)</f>
        <v/>
      </c>
      <c r="V609">
        <f>IF($AG609="","",Config!$B$19)</f>
        <v/>
      </c>
      <c r="W609">
        <f>IF($AG609="","",INDEX('TMP Paste'!$C$2:$C$1601,$AG609))</f>
        <v/>
      </c>
      <c r="X609">
        <f>IF($AG609="","",Config!$B$29)</f>
        <v/>
      </c>
      <c r="Y609">
        <f>IF($AH609="","",INDEX(Calc!$I$2:$I$1601,$AH609)&amp;" - "&amp;INDEX(Calc!$D$2:$D$1601,$AH609)&amp;" koli")</f>
        <v/>
      </c>
      <c r="Z609">
        <f>IF($AG609="","",Config!$B$21)</f>
        <v/>
      </c>
      <c r="AA609">
        <f>IF($AG609="","",Config!$B$22)</f>
        <v/>
      </c>
      <c r="AB609">
        <f>IF($AH609="","",INDEX(Calc!$D$2:$D$1601,$AH609))</f>
        <v/>
      </c>
      <c r="AC609">
        <f>IF($AH609="","",INDEX(Calc!$G$2:$G$1601,$AH609))</f>
        <v/>
      </c>
      <c r="AD609">
        <f>IF($AG609="","",Config!$B$23)</f>
        <v/>
      </c>
      <c r="AE609">
        <f>IF($AG609="","",Config!$B$28)</f>
        <v/>
      </c>
      <c r="AG609">
        <f>IFERROR(MATCH(ROW()-1,Calc!$J$2:$J$1601,0),"")</f>
        <v/>
      </c>
      <c r="AH609">
        <f>IFERROR(MATCH(ROW()-1,Calc!$K$2:$K$1601,0),"")</f>
        <v/>
      </c>
      <c r="AI609">
        <f>IF($AG609="","",SUMIF($AG$2:$AG609,$AG609,$AH$2:$AH609))</f>
        <v/>
      </c>
      <c r="AJ609">
        <f>IF('TMP Paste'!$F609="","",IF('TMP Paste'!$B609="",$AJ608,'TMP Paste'!$B609))</f>
        <v/>
      </c>
      <c r="AK609">
        <f>IF('TMP Paste'!$F609="","",N('TMP Paste'!$G609))</f>
        <v/>
      </c>
      <c r="AL609">
        <f>IF('TMP Paste'!$F609="","",IF('TMP Paste'!$M609="",$AL608,'TMP Paste'!$M609))</f>
        <v/>
      </c>
      <c r="AM609">
        <f>IF('TMP Paste'!$F609="","",IF('TMP Paste'!$N609="",$AM608,'TMP Paste'!$N609))</f>
        <v/>
      </c>
      <c r="AN609">
        <f>IF('TMP Paste'!$F609="","",IF('TMP Paste'!$O609="",$AN608,'TMP Paste'!$O609))</f>
        <v/>
      </c>
      <c r="AO609">
        <f>IF('TMP Paste'!$F609="","",IF('TMP Paste'!$P609="",$AO608,'TMP Paste'!$P609))</f>
        <v/>
      </c>
      <c r="AP609">
        <f>IF($AG609="","",LEN($R609))</f>
        <v/>
      </c>
      <c r="AQ609">
        <f>IF($AG609="","",TRIM(IF(COUNTIFS(Calc!$B$2:$B$1601,ROW()-1,Calc!$C$2:$C$1601,"&lt;1")&gt;0,"Ada PO tanpa Koli - cek TMP. ","")&amp;IF(LEN($R609)&gt;500,"R &gt; 500 karakter.","")))</f>
        <v/>
      </c>
    </row>
    <row r="610">
      <c r="A610">
        <f>IF($AG610="","",INDEX('TMP Paste'!$B$2:$B$1601,$AG610))</f>
        <v/>
      </c>
      <c r="B610">
        <f>IF($AG610="","",Config!$B$14)</f>
        <v/>
      </c>
      <c r="C610">
        <f>IF($AG610="","",Config!$B$15)</f>
        <v/>
      </c>
      <c r="D610">
        <f>IF($AG610="","",INDEX('TMP Paste'!$B$2:$B$1601,$AG610))</f>
        <v/>
      </c>
      <c r="E610">
        <f>IF($AG610="","",Config!$B$27)</f>
        <v/>
      </c>
      <c r="F610">
        <f>IF($AG610="","",Config!$B$9)</f>
        <v/>
      </c>
      <c r="G610">
        <f>IF($AG610="","",Config!$B$10)</f>
        <v/>
      </c>
      <c r="H610">
        <f>IF($AG610="","",Config!$B$11)</f>
        <v/>
      </c>
      <c r="I610">
        <f>IF($AG610="","",Config!$B$16)</f>
        <v/>
      </c>
      <c r="J610">
        <f>IF($AG610="","",INDEX('TMP Paste'!$A$2:$A$1601,$AG610))</f>
        <v/>
      </c>
      <c r="K610">
        <f>IF($AG610="","",INDEX('TMP Paste'!$L$2:$L$1601,$AG610))</f>
        <v/>
      </c>
      <c r="L610">
        <f>IF($AG610="","",INDEX('TMP Paste'!$I$2:$I$1601,$AG610))</f>
        <v/>
      </c>
      <c r="M610">
        <f>IF($AG610="","",Config!$B$16)</f>
        <v/>
      </c>
      <c r="N610">
        <f>IF($AG610="","","")</f>
        <v/>
      </c>
      <c r="O610">
        <f>IF($AG610="","",INDEX('TMP Paste'!$K$2:$K$1601,$AG610))</f>
        <v/>
      </c>
      <c r="P610">
        <f>IF($AG610="","","")</f>
        <v/>
      </c>
      <c r="Q610">
        <f>IF($AG610="","",INDEX('TMP Paste'!$J$2:$J$1601,$AG610))</f>
        <v/>
      </c>
      <c r="R610">
        <f>IF($AG610="","",Config!$B$24)</f>
        <v/>
      </c>
      <c r="S610">
        <f>IF($AG610="","",TEXT(Config!$B$4,"yyyy-mm-dd"))</f>
        <v/>
      </c>
      <c r="T610">
        <f>IF($AG610="","",Config!$B$17)</f>
        <v/>
      </c>
      <c r="U610">
        <f>IF($AG610="","",Config!$B$18)</f>
        <v/>
      </c>
      <c r="V610">
        <f>IF($AG610="","",Config!$B$19)</f>
        <v/>
      </c>
      <c r="W610">
        <f>IF($AG610="","",INDEX('TMP Paste'!$C$2:$C$1601,$AG610))</f>
        <v/>
      </c>
      <c r="X610">
        <f>IF($AG610="","",Config!$B$29)</f>
        <v/>
      </c>
      <c r="Y610">
        <f>IF($AH610="","",INDEX(Calc!$I$2:$I$1601,$AH610)&amp;" - "&amp;INDEX(Calc!$D$2:$D$1601,$AH610)&amp;" koli")</f>
        <v/>
      </c>
      <c r="Z610">
        <f>IF($AG610="","",Config!$B$21)</f>
        <v/>
      </c>
      <c r="AA610">
        <f>IF($AG610="","",Config!$B$22)</f>
        <v/>
      </c>
      <c r="AB610">
        <f>IF($AH610="","",INDEX(Calc!$D$2:$D$1601,$AH610))</f>
        <v/>
      </c>
      <c r="AC610">
        <f>IF($AH610="","",INDEX(Calc!$G$2:$G$1601,$AH610))</f>
        <v/>
      </c>
      <c r="AD610">
        <f>IF($AG610="","",Config!$B$23)</f>
        <v/>
      </c>
      <c r="AE610">
        <f>IF($AG610="","",Config!$B$28)</f>
        <v/>
      </c>
      <c r="AG610">
        <f>IFERROR(MATCH(ROW()-1,Calc!$J$2:$J$1601,0),"")</f>
        <v/>
      </c>
      <c r="AH610">
        <f>IFERROR(MATCH(ROW()-1,Calc!$K$2:$K$1601,0),"")</f>
        <v/>
      </c>
      <c r="AI610">
        <f>IF($AG610="","",SUMIF($AG$2:$AG610,$AG610,$AH$2:$AH610))</f>
        <v/>
      </c>
      <c r="AJ610">
        <f>IF('TMP Paste'!$F610="","",IF('TMP Paste'!$B610="",$AJ609,'TMP Paste'!$B610))</f>
        <v/>
      </c>
      <c r="AK610">
        <f>IF('TMP Paste'!$F610="","",N('TMP Paste'!$G610))</f>
        <v/>
      </c>
      <c r="AL610">
        <f>IF('TMP Paste'!$F610="","",IF('TMP Paste'!$M610="",$AL609,'TMP Paste'!$M610))</f>
        <v/>
      </c>
      <c r="AM610">
        <f>IF('TMP Paste'!$F610="","",IF('TMP Paste'!$N610="",$AM609,'TMP Paste'!$N610))</f>
        <v/>
      </c>
      <c r="AN610">
        <f>IF('TMP Paste'!$F610="","",IF('TMP Paste'!$O610="",$AN609,'TMP Paste'!$O610))</f>
        <v/>
      </c>
      <c r="AO610">
        <f>IF('TMP Paste'!$F610="","",IF('TMP Paste'!$P610="",$AO609,'TMP Paste'!$P610))</f>
        <v/>
      </c>
      <c r="AP610">
        <f>IF($AG610="","",LEN($R610))</f>
        <v/>
      </c>
      <c r="AQ610">
        <f>IF($AG610="","",TRIM(IF(COUNTIFS(Calc!$B$2:$B$1601,ROW()-1,Calc!$C$2:$C$1601,"&lt;1")&gt;0,"Ada PO tanpa Koli - cek TMP. ","")&amp;IF(LEN($R610)&gt;500,"R &gt; 500 karakter.","")))</f>
        <v/>
      </c>
    </row>
    <row r="611">
      <c r="A611">
        <f>IF($AG611="","",INDEX('TMP Paste'!$B$2:$B$1601,$AG611))</f>
        <v/>
      </c>
      <c r="B611">
        <f>IF($AG611="","",Config!$B$14)</f>
        <v/>
      </c>
      <c r="C611">
        <f>IF($AG611="","",Config!$B$15)</f>
        <v/>
      </c>
      <c r="D611">
        <f>IF($AG611="","",INDEX('TMP Paste'!$B$2:$B$1601,$AG611))</f>
        <v/>
      </c>
      <c r="E611">
        <f>IF($AG611="","",Config!$B$27)</f>
        <v/>
      </c>
      <c r="F611">
        <f>IF($AG611="","",Config!$B$9)</f>
        <v/>
      </c>
      <c r="G611">
        <f>IF($AG611="","",Config!$B$10)</f>
        <v/>
      </c>
      <c r="H611">
        <f>IF($AG611="","",Config!$B$11)</f>
        <v/>
      </c>
      <c r="I611">
        <f>IF($AG611="","",Config!$B$16)</f>
        <v/>
      </c>
      <c r="J611">
        <f>IF($AG611="","",INDEX('TMP Paste'!$A$2:$A$1601,$AG611))</f>
        <v/>
      </c>
      <c r="K611">
        <f>IF($AG611="","",INDEX('TMP Paste'!$L$2:$L$1601,$AG611))</f>
        <v/>
      </c>
      <c r="L611">
        <f>IF($AG611="","",INDEX('TMP Paste'!$I$2:$I$1601,$AG611))</f>
        <v/>
      </c>
      <c r="M611">
        <f>IF($AG611="","",Config!$B$16)</f>
        <v/>
      </c>
      <c r="N611">
        <f>IF($AG611="","","")</f>
        <v/>
      </c>
      <c r="O611">
        <f>IF($AG611="","",INDEX('TMP Paste'!$K$2:$K$1601,$AG611))</f>
        <v/>
      </c>
      <c r="P611">
        <f>IF($AG611="","","")</f>
        <v/>
      </c>
      <c r="Q611">
        <f>IF($AG611="","",INDEX('TMP Paste'!$J$2:$J$1601,$AG611))</f>
        <v/>
      </c>
      <c r="R611">
        <f>IF($AG611="","",Config!$B$24)</f>
        <v/>
      </c>
      <c r="S611">
        <f>IF($AG611="","",TEXT(Config!$B$4,"yyyy-mm-dd"))</f>
        <v/>
      </c>
      <c r="T611">
        <f>IF($AG611="","",Config!$B$17)</f>
        <v/>
      </c>
      <c r="U611">
        <f>IF($AG611="","",Config!$B$18)</f>
        <v/>
      </c>
      <c r="V611">
        <f>IF($AG611="","",Config!$B$19)</f>
        <v/>
      </c>
      <c r="W611">
        <f>IF($AG611="","",INDEX('TMP Paste'!$C$2:$C$1601,$AG611))</f>
        <v/>
      </c>
      <c r="X611">
        <f>IF($AG611="","",Config!$B$29)</f>
        <v/>
      </c>
      <c r="Y611">
        <f>IF($AH611="","",INDEX(Calc!$I$2:$I$1601,$AH611)&amp;" - "&amp;INDEX(Calc!$D$2:$D$1601,$AH611)&amp;" koli")</f>
        <v/>
      </c>
      <c r="Z611">
        <f>IF($AG611="","",Config!$B$21)</f>
        <v/>
      </c>
      <c r="AA611">
        <f>IF($AG611="","",Config!$B$22)</f>
        <v/>
      </c>
      <c r="AB611">
        <f>IF($AH611="","",INDEX(Calc!$D$2:$D$1601,$AH611))</f>
        <v/>
      </c>
      <c r="AC611">
        <f>IF($AH611="","",INDEX(Calc!$G$2:$G$1601,$AH611))</f>
        <v/>
      </c>
      <c r="AD611">
        <f>IF($AG611="","",Config!$B$23)</f>
        <v/>
      </c>
      <c r="AE611">
        <f>IF($AG611="","",Config!$B$28)</f>
        <v/>
      </c>
      <c r="AG611">
        <f>IFERROR(MATCH(ROW()-1,Calc!$J$2:$J$1601,0),"")</f>
        <v/>
      </c>
      <c r="AH611">
        <f>IFERROR(MATCH(ROW()-1,Calc!$K$2:$K$1601,0),"")</f>
        <v/>
      </c>
      <c r="AI611">
        <f>IF($AG611="","",SUMIF($AG$2:$AG611,$AG611,$AH$2:$AH611))</f>
        <v/>
      </c>
      <c r="AJ611">
        <f>IF('TMP Paste'!$F611="","",IF('TMP Paste'!$B611="",$AJ610,'TMP Paste'!$B611))</f>
        <v/>
      </c>
      <c r="AK611">
        <f>IF('TMP Paste'!$F611="","",N('TMP Paste'!$G611))</f>
        <v/>
      </c>
      <c r="AL611">
        <f>IF('TMP Paste'!$F611="","",IF('TMP Paste'!$M611="",$AL610,'TMP Paste'!$M611))</f>
        <v/>
      </c>
      <c r="AM611">
        <f>IF('TMP Paste'!$F611="","",IF('TMP Paste'!$N611="",$AM610,'TMP Paste'!$N611))</f>
        <v/>
      </c>
      <c r="AN611">
        <f>IF('TMP Paste'!$F611="","",IF('TMP Paste'!$O611="",$AN610,'TMP Paste'!$O611))</f>
        <v/>
      </c>
      <c r="AO611">
        <f>IF('TMP Paste'!$F611="","",IF('TMP Paste'!$P611="",$AO610,'TMP Paste'!$P611))</f>
        <v/>
      </c>
      <c r="AP611">
        <f>IF($AG611="","",LEN($R611))</f>
        <v/>
      </c>
      <c r="AQ611">
        <f>IF($AG611="","",TRIM(IF(COUNTIFS(Calc!$B$2:$B$1601,ROW()-1,Calc!$C$2:$C$1601,"&lt;1")&gt;0,"Ada PO tanpa Koli - cek TMP. ","")&amp;IF(LEN($R611)&gt;500,"R &gt; 500 karakter.","")))</f>
        <v/>
      </c>
    </row>
    <row r="612">
      <c r="A612">
        <f>IF($AG612="","",INDEX('TMP Paste'!$B$2:$B$1601,$AG612))</f>
        <v/>
      </c>
      <c r="B612">
        <f>IF($AG612="","",Config!$B$14)</f>
        <v/>
      </c>
      <c r="C612">
        <f>IF($AG612="","",Config!$B$15)</f>
        <v/>
      </c>
      <c r="D612">
        <f>IF($AG612="","",INDEX('TMP Paste'!$B$2:$B$1601,$AG612))</f>
        <v/>
      </c>
      <c r="E612">
        <f>IF($AG612="","",Config!$B$27)</f>
        <v/>
      </c>
      <c r="F612">
        <f>IF($AG612="","",Config!$B$9)</f>
        <v/>
      </c>
      <c r="G612">
        <f>IF($AG612="","",Config!$B$10)</f>
        <v/>
      </c>
      <c r="H612">
        <f>IF($AG612="","",Config!$B$11)</f>
        <v/>
      </c>
      <c r="I612">
        <f>IF($AG612="","",Config!$B$16)</f>
        <v/>
      </c>
      <c r="J612">
        <f>IF($AG612="","",INDEX('TMP Paste'!$A$2:$A$1601,$AG612))</f>
        <v/>
      </c>
      <c r="K612">
        <f>IF($AG612="","",INDEX('TMP Paste'!$L$2:$L$1601,$AG612))</f>
        <v/>
      </c>
      <c r="L612">
        <f>IF($AG612="","",INDEX('TMP Paste'!$I$2:$I$1601,$AG612))</f>
        <v/>
      </c>
      <c r="M612">
        <f>IF($AG612="","",Config!$B$16)</f>
        <v/>
      </c>
      <c r="N612">
        <f>IF($AG612="","","")</f>
        <v/>
      </c>
      <c r="O612">
        <f>IF($AG612="","",INDEX('TMP Paste'!$K$2:$K$1601,$AG612))</f>
        <v/>
      </c>
      <c r="P612">
        <f>IF($AG612="","","")</f>
        <v/>
      </c>
      <c r="Q612">
        <f>IF($AG612="","",INDEX('TMP Paste'!$J$2:$J$1601,$AG612))</f>
        <v/>
      </c>
      <c r="R612">
        <f>IF($AG612="","",Config!$B$24)</f>
        <v/>
      </c>
      <c r="S612">
        <f>IF($AG612="","",TEXT(Config!$B$4,"yyyy-mm-dd"))</f>
        <v/>
      </c>
      <c r="T612">
        <f>IF($AG612="","",Config!$B$17)</f>
        <v/>
      </c>
      <c r="U612">
        <f>IF($AG612="","",Config!$B$18)</f>
        <v/>
      </c>
      <c r="V612">
        <f>IF($AG612="","",Config!$B$19)</f>
        <v/>
      </c>
      <c r="W612">
        <f>IF($AG612="","",INDEX('TMP Paste'!$C$2:$C$1601,$AG612))</f>
        <v/>
      </c>
      <c r="X612">
        <f>IF($AG612="","",Config!$B$29)</f>
        <v/>
      </c>
      <c r="Y612">
        <f>IF($AH612="","",INDEX(Calc!$I$2:$I$1601,$AH612)&amp;" - "&amp;INDEX(Calc!$D$2:$D$1601,$AH612)&amp;" koli")</f>
        <v/>
      </c>
      <c r="Z612">
        <f>IF($AG612="","",Config!$B$21)</f>
        <v/>
      </c>
      <c r="AA612">
        <f>IF($AG612="","",Config!$B$22)</f>
        <v/>
      </c>
      <c r="AB612">
        <f>IF($AH612="","",INDEX(Calc!$D$2:$D$1601,$AH612))</f>
        <v/>
      </c>
      <c r="AC612">
        <f>IF($AH612="","",INDEX(Calc!$G$2:$G$1601,$AH612))</f>
        <v/>
      </c>
      <c r="AD612">
        <f>IF($AG612="","",Config!$B$23)</f>
        <v/>
      </c>
      <c r="AE612">
        <f>IF($AG612="","",Config!$B$28)</f>
        <v/>
      </c>
      <c r="AG612">
        <f>IFERROR(MATCH(ROW()-1,Calc!$J$2:$J$1601,0),"")</f>
        <v/>
      </c>
      <c r="AH612">
        <f>IFERROR(MATCH(ROW()-1,Calc!$K$2:$K$1601,0),"")</f>
        <v/>
      </c>
      <c r="AI612">
        <f>IF($AG612="","",SUMIF($AG$2:$AG612,$AG612,$AH$2:$AH612))</f>
        <v/>
      </c>
      <c r="AJ612">
        <f>IF('TMP Paste'!$F612="","",IF('TMP Paste'!$B612="",$AJ611,'TMP Paste'!$B612))</f>
        <v/>
      </c>
      <c r="AK612">
        <f>IF('TMP Paste'!$F612="","",N('TMP Paste'!$G612))</f>
        <v/>
      </c>
      <c r="AL612">
        <f>IF('TMP Paste'!$F612="","",IF('TMP Paste'!$M612="",$AL611,'TMP Paste'!$M612))</f>
        <v/>
      </c>
      <c r="AM612">
        <f>IF('TMP Paste'!$F612="","",IF('TMP Paste'!$N612="",$AM611,'TMP Paste'!$N612))</f>
        <v/>
      </c>
      <c r="AN612">
        <f>IF('TMP Paste'!$F612="","",IF('TMP Paste'!$O612="",$AN611,'TMP Paste'!$O612))</f>
        <v/>
      </c>
      <c r="AO612">
        <f>IF('TMP Paste'!$F612="","",IF('TMP Paste'!$P612="",$AO611,'TMP Paste'!$P612))</f>
        <v/>
      </c>
      <c r="AP612">
        <f>IF($AG612="","",LEN($R612))</f>
        <v/>
      </c>
      <c r="AQ612">
        <f>IF($AG612="","",TRIM(IF(COUNTIFS(Calc!$B$2:$B$1601,ROW()-1,Calc!$C$2:$C$1601,"&lt;1")&gt;0,"Ada PO tanpa Koli - cek TMP. ","")&amp;IF(LEN($R612)&gt;500,"R &gt; 500 karakter.","")))</f>
        <v/>
      </c>
    </row>
    <row r="613">
      <c r="A613">
        <f>IF($AG613="","",INDEX('TMP Paste'!$B$2:$B$1601,$AG613))</f>
        <v/>
      </c>
      <c r="B613">
        <f>IF($AG613="","",Config!$B$14)</f>
        <v/>
      </c>
      <c r="C613">
        <f>IF($AG613="","",Config!$B$15)</f>
        <v/>
      </c>
      <c r="D613">
        <f>IF($AG613="","",INDEX('TMP Paste'!$B$2:$B$1601,$AG613))</f>
        <v/>
      </c>
      <c r="E613">
        <f>IF($AG613="","",Config!$B$27)</f>
        <v/>
      </c>
      <c r="F613">
        <f>IF($AG613="","",Config!$B$9)</f>
        <v/>
      </c>
      <c r="G613">
        <f>IF($AG613="","",Config!$B$10)</f>
        <v/>
      </c>
      <c r="H613">
        <f>IF($AG613="","",Config!$B$11)</f>
        <v/>
      </c>
      <c r="I613">
        <f>IF($AG613="","",Config!$B$16)</f>
        <v/>
      </c>
      <c r="J613">
        <f>IF($AG613="","",INDEX('TMP Paste'!$A$2:$A$1601,$AG613))</f>
        <v/>
      </c>
      <c r="K613">
        <f>IF($AG613="","",INDEX('TMP Paste'!$L$2:$L$1601,$AG613))</f>
        <v/>
      </c>
      <c r="L613">
        <f>IF($AG613="","",INDEX('TMP Paste'!$I$2:$I$1601,$AG613))</f>
        <v/>
      </c>
      <c r="M613">
        <f>IF($AG613="","",Config!$B$16)</f>
        <v/>
      </c>
      <c r="N613">
        <f>IF($AG613="","","")</f>
        <v/>
      </c>
      <c r="O613">
        <f>IF($AG613="","",INDEX('TMP Paste'!$K$2:$K$1601,$AG613))</f>
        <v/>
      </c>
      <c r="P613">
        <f>IF($AG613="","","")</f>
        <v/>
      </c>
      <c r="Q613">
        <f>IF($AG613="","",INDEX('TMP Paste'!$J$2:$J$1601,$AG613))</f>
        <v/>
      </c>
      <c r="R613">
        <f>IF($AG613="","",Config!$B$24)</f>
        <v/>
      </c>
      <c r="S613">
        <f>IF($AG613="","",TEXT(Config!$B$4,"yyyy-mm-dd"))</f>
        <v/>
      </c>
      <c r="T613">
        <f>IF($AG613="","",Config!$B$17)</f>
        <v/>
      </c>
      <c r="U613">
        <f>IF($AG613="","",Config!$B$18)</f>
        <v/>
      </c>
      <c r="V613">
        <f>IF($AG613="","",Config!$B$19)</f>
        <v/>
      </c>
      <c r="W613">
        <f>IF($AG613="","",INDEX('TMP Paste'!$C$2:$C$1601,$AG613))</f>
        <v/>
      </c>
      <c r="X613">
        <f>IF($AG613="","",Config!$B$29)</f>
        <v/>
      </c>
      <c r="Y613">
        <f>IF($AH613="","",INDEX(Calc!$I$2:$I$1601,$AH613)&amp;" - "&amp;INDEX(Calc!$D$2:$D$1601,$AH613)&amp;" koli")</f>
        <v/>
      </c>
      <c r="Z613">
        <f>IF($AG613="","",Config!$B$21)</f>
        <v/>
      </c>
      <c r="AA613">
        <f>IF($AG613="","",Config!$B$22)</f>
        <v/>
      </c>
      <c r="AB613">
        <f>IF($AH613="","",INDEX(Calc!$D$2:$D$1601,$AH613))</f>
        <v/>
      </c>
      <c r="AC613">
        <f>IF($AH613="","",INDEX(Calc!$G$2:$G$1601,$AH613))</f>
        <v/>
      </c>
      <c r="AD613">
        <f>IF($AG613="","",Config!$B$23)</f>
        <v/>
      </c>
      <c r="AE613">
        <f>IF($AG613="","",Config!$B$28)</f>
        <v/>
      </c>
      <c r="AG613">
        <f>IFERROR(MATCH(ROW()-1,Calc!$J$2:$J$1601,0),"")</f>
        <v/>
      </c>
      <c r="AH613">
        <f>IFERROR(MATCH(ROW()-1,Calc!$K$2:$K$1601,0),"")</f>
        <v/>
      </c>
      <c r="AI613">
        <f>IF($AG613="","",SUMIF($AG$2:$AG613,$AG613,$AH$2:$AH613))</f>
        <v/>
      </c>
      <c r="AJ613">
        <f>IF('TMP Paste'!$F613="","",IF('TMP Paste'!$B613="",$AJ612,'TMP Paste'!$B613))</f>
        <v/>
      </c>
      <c r="AK613">
        <f>IF('TMP Paste'!$F613="","",N('TMP Paste'!$G613))</f>
        <v/>
      </c>
      <c r="AL613">
        <f>IF('TMP Paste'!$F613="","",IF('TMP Paste'!$M613="",$AL612,'TMP Paste'!$M613))</f>
        <v/>
      </c>
      <c r="AM613">
        <f>IF('TMP Paste'!$F613="","",IF('TMP Paste'!$N613="",$AM612,'TMP Paste'!$N613))</f>
        <v/>
      </c>
      <c r="AN613">
        <f>IF('TMP Paste'!$F613="","",IF('TMP Paste'!$O613="",$AN612,'TMP Paste'!$O613))</f>
        <v/>
      </c>
      <c r="AO613">
        <f>IF('TMP Paste'!$F613="","",IF('TMP Paste'!$P613="",$AO612,'TMP Paste'!$P613))</f>
        <v/>
      </c>
      <c r="AP613">
        <f>IF($AG613="","",LEN($R613))</f>
        <v/>
      </c>
      <c r="AQ613">
        <f>IF($AG613="","",TRIM(IF(COUNTIFS(Calc!$B$2:$B$1601,ROW()-1,Calc!$C$2:$C$1601,"&lt;1")&gt;0,"Ada PO tanpa Koli - cek TMP. ","")&amp;IF(LEN($R613)&gt;500,"R &gt; 500 karakter.","")))</f>
        <v/>
      </c>
    </row>
    <row r="614">
      <c r="A614">
        <f>IF($AG614="","",INDEX('TMP Paste'!$B$2:$B$1601,$AG614))</f>
        <v/>
      </c>
      <c r="B614">
        <f>IF($AG614="","",Config!$B$14)</f>
        <v/>
      </c>
      <c r="C614">
        <f>IF($AG614="","",Config!$B$15)</f>
        <v/>
      </c>
      <c r="D614">
        <f>IF($AG614="","",INDEX('TMP Paste'!$B$2:$B$1601,$AG614))</f>
        <v/>
      </c>
      <c r="E614">
        <f>IF($AG614="","",Config!$B$27)</f>
        <v/>
      </c>
      <c r="F614">
        <f>IF($AG614="","",Config!$B$9)</f>
        <v/>
      </c>
      <c r="G614">
        <f>IF($AG614="","",Config!$B$10)</f>
        <v/>
      </c>
      <c r="H614">
        <f>IF($AG614="","",Config!$B$11)</f>
        <v/>
      </c>
      <c r="I614">
        <f>IF($AG614="","",Config!$B$16)</f>
        <v/>
      </c>
      <c r="J614">
        <f>IF($AG614="","",INDEX('TMP Paste'!$A$2:$A$1601,$AG614))</f>
        <v/>
      </c>
      <c r="K614">
        <f>IF($AG614="","",INDEX('TMP Paste'!$L$2:$L$1601,$AG614))</f>
        <v/>
      </c>
      <c r="L614">
        <f>IF($AG614="","",INDEX('TMP Paste'!$I$2:$I$1601,$AG614))</f>
        <v/>
      </c>
      <c r="M614">
        <f>IF($AG614="","",Config!$B$16)</f>
        <v/>
      </c>
      <c r="N614">
        <f>IF($AG614="","","")</f>
        <v/>
      </c>
      <c r="O614">
        <f>IF($AG614="","",INDEX('TMP Paste'!$K$2:$K$1601,$AG614))</f>
        <v/>
      </c>
      <c r="P614">
        <f>IF($AG614="","","")</f>
        <v/>
      </c>
      <c r="Q614">
        <f>IF($AG614="","",INDEX('TMP Paste'!$J$2:$J$1601,$AG614))</f>
        <v/>
      </c>
      <c r="R614">
        <f>IF($AG614="","",Config!$B$24)</f>
        <v/>
      </c>
      <c r="S614">
        <f>IF($AG614="","",TEXT(Config!$B$4,"yyyy-mm-dd"))</f>
        <v/>
      </c>
      <c r="T614">
        <f>IF($AG614="","",Config!$B$17)</f>
        <v/>
      </c>
      <c r="U614">
        <f>IF($AG614="","",Config!$B$18)</f>
        <v/>
      </c>
      <c r="V614">
        <f>IF($AG614="","",Config!$B$19)</f>
        <v/>
      </c>
      <c r="W614">
        <f>IF($AG614="","",INDEX('TMP Paste'!$C$2:$C$1601,$AG614))</f>
        <v/>
      </c>
      <c r="X614">
        <f>IF($AG614="","",Config!$B$29)</f>
        <v/>
      </c>
      <c r="Y614">
        <f>IF($AH614="","",INDEX(Calc!$I$2:$I$1601,$AH614)&amp;" - "&amp;INDEX(Calc!$D$2:$D$1601,$AH614)&amp;" koli")</f>
        <v/>
      </c>
      <c r="Z614">
        <f>IF($AG614="","",Config!$B$21)</f>
        <v/>
      </c>
      <c r="AA614">
        <f>IF($AG614="","",Config!$B$22)</f>
        <v/>
      </c>
      <c r="AB614">
        <f>IF($AH614="","",INDEX(Calc!$D$2:$D$1601,$AH614))</f>
        <v/>
      </c>
      <c r="AC614">
        <f>IF($AH614="","",INDEX(Calc!$G$2:$G$1601,$AH614))</f>
        <v/>
      </c>
      <c r="AD614">
        <f>IF($AG614="","",Config!$B$23)</f>
        <v/>
      </c>
      <c r="AE614">
        <f>IF($AG614="","",Config!$B$28)</f>
        <v/>
      </c>
      <c r="AG614">
        <f>IFERROR(MATCH(ROW()-1,Calc!$J$2:$J$1601,0),"")</f>
        <v/>
      </c>
      <c r="AH614">
        <f>IFERROR(MATCH(ROW()-1,Calc!$K$2:$K$1601,0),"")</f>
        <v/>
      </c>
      <c r="AI614">
        <f>IF($AG614="","",SUMIF($AG$2:$AG614,$AG614,$AH$2:$AH614))</f>
        <v/>
      </c>
      <c r="AJ614">
        <f>IF('TMP Paste'!$F614="","",IF('TMP Paste'!$B614="",$AJ613,'TMP Paste'!$B614))</f>
        <v/>
      </c>
      <c r="AK614">
        <f>IF('TMP Paste'!$F614="","",N('TMP Paste'!$G614))</f>
        <v/>
      </c>
      <c r="AL614">
        <f>IF('TMP Paste'!$F614="","",IF('TMP Paste'!$M614="",$AL613,'TMP Paste'!$M614))</f>
        <v/>
      </c>
      <c r="AM614">
        <f>IF('TMP Paste'!$F614="","",IF('TMP Paste'!$N614="",$AM613,'TMP Paste'!$N614))</f>
        <v/>
      </c>
      <c r="AN614">
        <f>IF('TMP Paste'!$F614="","",IF('TMP Paste'!$O614="",$AN613,'TMP Paste'!$O614))</f>
        <v/>
      </c>
      <c r="AO614">
        <f>IF('TMP Paste'!$F614="","",IF('TMP Paste'!$P614="",$AO613,'TMP Paste'!$P614))</f>
        <v/>
      </c>
      <c r="AP614">
        <f>IF($AG614="","",LEN($R614))</f>
        <v/>
      </c>
      <c r="AQ614">
        <f>IF($AG614="","",TRIM(IF(COUNTIFS(Calc!$B$2:$B$1601,ROW()-1,Calc!$C$2:$C$1601,"&lt;1")&gt;0,"Ada PO tanpa Koli - cek TMP. ","")&amp;IF(LEN($R614)&gt;500,"R &gt; 500 karakter.","")))</f>
        <v/>
      </c>
    </row>
    <row r="615">
      <c r="A615">
        <f>IF($AG615="","",INDEX('TMP Paste'!$B$2:$B$1601,$AG615))</f>
        <v/>
      </c>
      <c r="B615">
        <f>IF($AG615="","",Config!$B$14)</f>
        <v/>
      </c>
      <c r="C615">
        <f>IF($AG615="","",Config!$B$15)</f>
        <v/>
      </c>
      <c r="D615">
        <f>IF($AG615="","",INDEX('TMP Paste'!$B$2:$B$1601,$AG615))</f>
        <v/>
      </c>
      <c r="E615">
        <f>IF($AG615="","",Config!$B$27)</f>
        <v/>
      </c>
      <c r="F615">
        <f>IF($AG615="","",Config!$B$9)</f>
        <v/>
      </c>
      <c r="G615">
        <f>IF($AG615="","",Config!$B$10)</f>
        <v/>
      </c>
      <c r="H615">
        <f>IF($AG615="","",Config!$B$11)</f>
        <v/>
      </c>
      <c r="I615">
        <f>IF($AG615="","",Config!$B$16)</f>
        <v/>
      </c>
      <c r="J615">
        <f>IF($AG615="","",INDEX('TMP Paste'!$A$2:$A$1601,$AG615))</f>
        <v/>
      </c>
      <c r="K615">
        <f>IF($AG615="","",INDEX('TMP Paste'!$L$2:$L$1601,$AG615))</f>
        <v/>
      </c>
      <c r="L615">
        <f>IF($AG615="","",INDEX('TMP Paste'!$I$2:$I$1601,$AG615))</f>
        <v/>
      </c>
      <c r="M615">
        <f>IF($AG615="","",Config!$B$16)</f>
        <v/>
      </c>
      <c r="N615">
        <f>IF($AG615="","","")</f>
        <v/>
      </c>
      <c r="O615">
        <f>IF($AG615="","",INDEX('TMP Paste'!$K$2:$K$1601,$AG615))</f>
        <v/>
      </c>
      <c r="P615">
        <f>IF($AG615="","","")</f>
        <v/>
      </c>
      <c r="Q615">
        <f>IF($AG615="","",INDEX('TMP Paste'!$J$2:$J$1601,$AG615))</f>
        <v/>
      </c>
      <c r="R615">
        <f>IF($AG615="","",Config!$B$24)</f>
        <v/>
      </c>
      <c r="S615">
        <f>IF($AG615="","",TEXT(Config!$B$4,"yyyy-mm-dd"))</f>
        <v/>
      </c>
      <c r="T615">
        <f>IF($AG615="","",Config!$B$17)</f>
        <v/>
      </c>
      <c r="U615">
        <f>IF($AG615="","",Config!$B$18)</f>
        <v/>
      </c>
      <c r="V615">
        <f>IF($AG615="","",Config!$B$19)</f>
        <v/>
      </c>
      <c r="W615">
        <f>IF($AG615="","",INDEX('TMP Paste'!$C$2:$C$1601,$AG615))</f>
        <v/>
      </c>
      <c r="X615">
        <f>IF($AG615="","",Config!$B$29)</f>
        <v/>
      </c>
      <c r="Y615">
        <f>IF($AH615="","",INDEX(Calc!$I$2:$I$1601,$AH615)&amp;" - "&amp;INDEX(Calc!$D$2:$D$1601,$AH615)&amp;" koli")</f>
        <v/>
      </c>
      <c r="Z615">
        <f>IF($AG615="","",Config!$B$21)</f>
        <v/>
      </c>
      <c r="AA615">
        <f>IF($AG615="","",Config!$B$22)</f>
        <v/>
      </c>
      <c r="AB615">
        <f>IF($AH615="","",INDEX(Calc!$D$2:$D$1601,$AH615))</f>
        <v/>
      </c>
      <c r="AC615">
        <f>IF($AH615="","",INDEX(Calc!$G$2:$G$1601,$AH615))</f>
        <v/>
      </c>
      <c r="AD615">
        <f>IF($AG615="","",Config!$B$23)</f>
        <v/>
      </c>
      <c r="AE615">
        <f>IF($AG615="","",Config!$B$28)</f>
        <v/>
      </c>
      <c r="AG615">
        <f>IFERROR(MATCH(ROW()-1,Calc!$J$2:$J$1601,0),"")</f>
        <v/>
      </c>
      <c r="AH615">
        <f>IFERROR(MATCH(ROW()-1,Calc!$K$2:$K$1601,0),"")</f>
        <v/>
      </c>
      <c r="AI615">
        <f>IF($AG615="","",SUMIF($AG$2:$AG615,$AG615,$AH$2:$AH615))</f>
        <v/>
      </c>
      <c r="AJ615">
        <f>IF('TMP Paste'!$F615="","",IF('TMP Paste'!$B615="",$AJ614,'TMP Paste'!$B615))</f>
        <v/>
      </c>
      <c r="AK615">
        <f>IF('TMP Paste'!$F615="","",N('TMP Paste'!$G615))</f>
        <v/>
      </c>
      <c r="AL615">
        <f>IF('TMP Paste'!$F615="","",IF('TMP Paste'!$M615="",$AL614,'TMP Paste'!$M615))</f>
        <v/>
      </c>
      <c r="AM615">
        <f>IF('TMP Paste'!$F615="","",IF('TMP Paste'!$N615="",$AM614,'TMP Paste'!$N615))</f>
        <v/>
      </c>
      <c r="AN615">
        <f>IF('TMP Paste'!$F615="","",IF('TMP Paste'!$O615="",$AN614,'TMP Paste'!$O615))</f>
        <v/>
      </c>
      <c r="AO615">
        <f>IF('TMP Paste'!$F615="","",IF('TMP Paste'!$P615="",$AO614,'TMP Paste'!$P615))</f>
        <v/>
      </c>
      <c r="AP615">
        <f>IF($AG615="","",LEN($R615))</f>
        <v/>
      </c>
      <c r="AQ615">
        <f>IF($AG615="","",TRIM(IF(COUNTIFS(Calc!$B$2:$B$1601,ROW()-1,Calc!$C$2:$C$1601,"&lt;1")&gt;0,"Ada PO tanpa Koli - cek TMP. ","")&amp;IF(LEN($R615)&gt;500,"R &gt; 500 karakter.","")))</f>
        <v/>
      </c>
    </row>
    <row r="616">
      <c r="A616">
        <f>IF($AG616="","",INDEX('TMP Paste'!$B$2:$B$1601,$AG616))</f>
        <v/>
      </c>
      <c r="B616">
        <f>IF($AG616="","",Config!$B$14)</f>
        <v/>
      </c>
      <c r="C616">
        <f>IF($AG616="","",Config!$B$15)</f>
        <v/>
      </c>
      <c r="D616">
        <f>IF($AG616="","",INDEX('TMP Paste'!$B$2:$B$1601,$AG616))</f>
        <v/>
      </c>
      <c r="E616">
        <f>IF($AG616="","",Config!$B$27)</f>
        <v/>
      </c>
      <c r="F616">
        <f>IF($AG616="","",Config!$B$9)</f>
        <v/>
      </c>
      <c r="G616">
        <f>IF($AG616="","",Config!$B$10)</f>
        <v/>
      </c>
      <c r="H616">
        <f>IF($AG616="","",Config!$B$11)</f>
        <v/>
      </c>
      <c r="I616">
        <f>IF($AG616="","",Config!$B$16)</f>
        <v/>
      </c>
      <c r="J616">
        <f>IF($AG616="","",INDEX('TMP Paste'!$A$2:$A$1601,$AG616))</f>
        <v/>
      </c>
      <c r="K616">
        <f>IF($AG616="","",INDEX('TMP Paste'!$L$2:$L$1601,$AG616))</f>
        <v/>
      </c>
      <c r="L616">
        <f>IF($AG616="","",INDEX('TMP Paste'!$I$2:$I$1601,$AG616))</f>
        <v/>
      </c>
      <c r="M616">
        <f>IF($AG616="","",Config!$B$16)</f>
        <v/>
      </c>
      <c r="N616">
        <f>IF($AG616="","","")</f>
        <v/>
      </c>
      <c r="O616">
        <f>IF($AG616="","",INDEX('TMP Paste'!$K$2:$K$1601,$AG616))</f>
        <v/>
      </c>
      <c r="P616">
        <f>IF($AG616="","","")</f>
        <v/>
      </c>
      <c r="Q616">
        <f>IF($AG616="","",INDEX('TMP Paste'!$J$2:$J$1601,$AG616))</f>
        <v/>
      </c>
      <c r="R616">
        <f>IF($AG616="","",Config!$B$24)</f>
        <v/>
      </c>
      <c r="S616">
        <f>IF($AG616="","",TEXT(Config!$B$4,"yyyy-mm-dd"))</f>
        <v/>
      </c>
      <c r="T616">
        <f>IF($AG616="","",Config!$B$17)</f>
        <v/>
      </c>
      <c r="U616">
        <f>IF($AG616="","",Config!$B$18)</f>
        <v/>
      </c>
      <c r="V616">
        <f>IF($AG616="","",Config!$B$19)</f>
        <v/>
      </c>
      <c r="W616">
        <f>IF($AG616="","",INDEX('TMP Paste'!$C$2:$C$1601,$AG616))</f>
        <v/>
      </c>
      <c r="X616">
        <f>IF($AG616="","",Config!$B$29)</f>
        <v/>
      </c>
      <c r="Y616">
        <f>IF($AH616="","",INDEX(Calc!$I$2:$I$1601,$AH616)&amp;" - "&amp;INDEX(Calc!$D$2:$D$1601,$AH616)&amp;" koli")</f>
        <v/>
      </c>
      <c r="Z616">
        <f>IF($AG616="","",Config!$B$21)</f>
        <v/>
      </c>
      <c r="AA616">
        <f>IF($AG616="","",Config!$B$22)</f>
        <v/>
      </c>
      <c r="AB616">
        <f>IF($AH616="","",INDEX(Calc!$D$2:$D$1601,$AH616))</f>
        <v/>
      </c>
      <c r="AC616">
        <f>IF($AH616="","",INDEX(Calc!$G$2:$G$1601,$AH616))</f>
        <v/>
      </c>
      <c r="AD616">
        <f>IF($AG616="","",Config!$B$23)</f>
        <v/>
      </c>
      <c r="AE616">
        <f>IF($AG616="","",Config!$B$28)</f>
        <v/>
      </c>
      <c r="AG616">
        <f>IFERROR(MATCH(ROW()-1,Calc!$J$2:$J$1601,0),"")</f>
        <v/>
      </c>
      <c r="AH616">
        <f>IFERROR(MATCH(ROW()-1,Calc!$K$2:$K$1601,0),"")</f>
        <v/>
      </c>
      <c r="AI616">
        <f>IF($AG616="","",SUMIF($AG$2:$AG616,$AG616,$AH$2:$AH616))</f>
        <v/>
      </c>
      <c r="AJ616">
        <f>IF('TMP Paste'!$F616="","",IF('TMP Paste'!$B616="",$AJ615,'TMP Paste'!$B616))</f>
        <v/>
      </c>
      <c r="AK616">
        <f>IF('TMP Paste'!$F616="","",N('TMP Paste'!$G616))</f>
        <v/>
      </c>
      <c r="AL616">
        <f>IF('TMP Paste'!$F616="","",IF('TMP Paste'!$M616="",$AL615,'TMP Paste'!$M616))</f>
        <v/>
      </c>
      <c r="AM616">
        <f>IF('TMP Paste'!$F616="","",IF('TMP Paste'!$N616="",$AM615,'TMP Paste'!$N616))</f>
        <v/>
      </c>
      <c r="AN616">
        <f>IF('TMP Paste'!$F616="","",IF('TMP Paste'!$O616="",$AN615,'TMP Paste'!$O616))</f>
        <v/>
      </c>
      <c r="AO616">
        <f>IF('TMP Paste'!$F616="","",IF('TMP Paste'!$P616="",$AO615,'TMP Paste'!$P616))</f>
        <v/>
      </c>
      <c r="AP616">
        <f>IF($AG616="","",LEN($R616))</f>
        <v/>
      </c>
      <c r="AQ616">
        <f>IF($AG616="","",TRIM(IF(COUNTIFS(Calc!$B$2:$B$1601,ROW()-1,Calc!$C$2:$C$1601,"&lt;1")&gt;0,"Ada PO tanpa Koli - cek TMP. ","")&amp;IF(LEN($R616)&gt;500,"R &gt; 500 karakter.","")))</f>
        <v/>
      </c>
    </row>
    <row r="617">
      <c r="A617">
        <f>IF($AG617="","",INDEX('TMP Paste'!$B$2:$B$1601,$AG617))</f>
        <v/>
      </c>
      <c r="B617">
        <f>IF($AG617="","",Config!$B$14)</f>
        <v/>
      </c>
      <c r="C617">
        <f>IF($AG617="","",Config!$B$15)</f>
        <v/>
      </c>
      <c r="D617">
        <f>IF($AG617="","",INDEX('TMP Paste'!$B$2:$B$1601,$AG617))</f>
        <v/>
      </c>
      <c r="E617">
        <f>IF($AG617="","",Config!$B$27)</f>
        <v/>
      </c>
      <c r="F617">
        <f>IF($AG617="","",Config!$B$9)</f>
        <v/>
      </c>
      <c r="G617">
        <f>IF($AG617="","",Config!$B$10)</f>
        <v/>
      </c>
      <c r="H617">
        <f>IF($AG617="","",Config!$B$11)</f>
        <v/>
      </c>
      <c r="I617">
        <f>IF($AG617="","",Config!$B$16)</f>
        <v/>
      </c>
      <c r="J617">
        <f>IF($AG617="","",INDEX('TMP Paste'!$A$2:$A$1601,$AG617))</f>
        <v/>
      </c>
      <c r="K617">
        <f>IF($AG617="","",INDEX('TMP Paste'!$L$2:$L$1601,$AG617))</f>
        <v/>
      </c>
      <c r="L617">
        <f>IF($AG617="","",INDEX('TMP Paste'!$I$2:$I$1601,$AG617))</f>
        <v/>
      </c>
      <c r="M617">
        <f>IF($AG617="","",Config!$B$16)</f>
        <v/>
      </c>
      <c r="N617">
        <f>IF($AG617="","","")</f>
        <v/>
      </c>
      <c r="O617">
        <f>IF($AG617="","",INDEX('TMP Paste'!$K$2:$K$1601,$AG617))</f>
        <v/>
      </c>
      <c r="P617">
        <f>IF($AG617="","","")</f>
        <v/>
      </c>
      <c r="Q617">
        <f>IF($AG617="","",INDEX('TMP Paste'!$J$2:$J$1601,$AG617))</f>
        <v/>
      </c>
      <c r="R617">
        <f>IF($AG617="","",Config!$B$24)</f>
        <v/>
      </c>
      <c r="S617">
        <f>IF($AG617="","",TEXT(Config!$B$4,"yyyy-mm-dd"))</f>
        <v/>
      </c>
      <c r="T617">
        <f>IF($AG617="","",Config!$B$17)</f>
        <v/>
      </c>
      <c r="U617">
        <f>IF($AG617="","",Config!$B$18)</f>
        <v/>
      </c>
      <c r="V617">
        <f>IF($AG617="","",Config!$B$19)</f>
        <v/>
      </c>
      <c r="W617">
        <f>IF($AG617="","",INDEX('TMP Paste'!$C$2:$C$1601,$AG617))</f>
        <v/>
      </c>
      <c r="X617">
        <f>IF($AG617="","",Config!$B$29)</f>
        <v/>
      </c>
      <c r="Y617">
        <f>IF($AH617="","",INDEX(Calc!$I$2:$I$1601,$AH617)&amp;" - "&amp;INDEX(Calc!$D$2:$D$1601,$AH617)&amp;" koli")</f>
        <v/>
      </c>
      <c r="Z617">
        <f>IF($AG617="","",Config!$B$21)</f>
        <v/>
      </c>
      <c r="AA617">
        <f>IF($AG617="","",Config!$B$22)</f>
        <v/>
      </c>
      <c r="AB617">
        <f>IF($AH617="","",INDEX(Calc!$D$2:$D$1601,$AH617))</f>
        <v/>
      </c>
      <c r="AC617">
        <f>IF($AH617="","",INDEX(Calc!$G$2:$G$1601,$AH617))</f>
        <v/>
      </c>
      <c r="AD617">
        <f>IF($AG617="","",Config!$B$23)</f>
        <v/>
      </c>
      <c r="AE617">
        <f>IF($AG617="","",Config!$B$28)</f>
        <v/>
      </c>
      <c r="AG617">
        <f>IFERROR(MATCH(ROW()-1,Calc!$J$2:$J$1601,0),"")</f>
        <v/>
      </c>
      <c r="AH617">
        <f>IFERROR(MATCH(ROW()-1,Calc!$K$2:$K$1601,0),"")</f>
        <v/>
      </c>
      <c r="AI617">
        <f>IF($AG617="","",SUMIF($AG$2:$AG617,$AG617,$AH$2:$AH617))</f>
        <v/>
      </c>
      <c r="AJ617">
        <f>IF('TMP Paste'!$F617="","",IF('TMP Paste'!$B617="",$AJ616,'TMP Paste'!$B617))</f>
        <v/>
      </c>
      <c r="AK617">
        <f>IF('TMP Paste'!$F617="","",N('TMP Paste'!$G617))</f>
        <v/>
      </c>
      <c r="AL617">
        <f>IF('TMP Paste'!$F617="","",IF('TMP Paste'!$M617="",$AL616,'TMP Paste'!$M617))</f>
        <v/>
      </c>
      <c r="AM617">
        <f>IF('TMP Paste'!$F617="","",IF('TMP Paste'!$N617="",$AM616,'TMP Paste'!$N617))</f>
        <v/>
      </c>
      <c r="AN617">
        <f>IF('TMP Paste'!$F617="","",IF('TMP Paste'!$O617="",$AN616,'TMP Paste'!$O617))</f>
        <v/>
      </c>
      <c r="AO617">
        <f>IF('TMP Paste'!$F617="","",IF('TMP Paste'!$P617="",$AO616,'TMP Paste'!$P617))</f>
        <v/>
      </c>
      <c r="AP617">
        <f>IF($AG617="","",LEN($R617))</f>
        <v/>
      </c>
      <c r="AQ617">
        <f>IF($AG617="","",TRIM(IF(COUNTIFS(Calc!$B$2:$B$1601,ROW()-1,Calc!$C$2:$C$1601,"&lt;1")&gt;0,"Ada PO tanpa Koli - cek TMP. ","")&amp;IF(LEN($R617)&gt;500,"R &gt; 500 karakter.","")))</f>
        <v/>
      </c>
    </row>
    <row r="618">
      <c r="A618">
        <f>IF($AG618="","",INDEX('TMP Paste'!$B$2:$B$1601,$AG618))</f>
        <v/>
      </c>
      <c r="B618">
        <f>IF($AG618="","",Config!$B$14)</f>
        <v/>
      </c>
      <c r="C618">
        <f>IF($AG618="","",Config!$B$15)</f>
        <v/>
      </c>
      <c r="D618">
        <f>IF($AG618="","",INDEX('TMP Paste'!$B$2:$B$1601,$AG618))</f>
        <v/>
      </c>
      <c r="E618">
        <f>IF($AG618="","",Config!$B$27)</f>
        <v/>
      </c>
      <c r="F618">
        <f>IF($AG618="","",Config!$B$9)</f>
        <v/>
      </c>
      <c r="G618">
        <f>IF($AG618="","",Config!$B$10)</f>
        <v/>
      </c>
      <c r="H618">
        <f>IF($AG618="","",Config!$B$11)</f>
        <v/>
      </c>
      <c r="I618">
        <f>IF($AG618="","",Config!$B$16)</f>
        <v/>
      </c>
      <c r="J618">
        <f>IF($AG618="","",INDEX('TMP Paste'!$A$2:$A$1601,$AG618))</f>
        <v/>
      </c>
      <c r="K618">
        <f>IF($AG618="","",INDEX('TMP Paste'!$L$2:$L$1601,$AG618))</f>
        <v/>
      </c>
      <c r="L618">
        <f>IF($AG618="","",INDEX('TMP Paste'!$I$2:$I$1601,$AG618))</f>
        <v/>
      </c>
      <c r="M618">
        <f>IF($AG618="","",Config!$B$16)</f>
        <v/>
      </c>
      <c r="N618">
        <f>IF($AG618="","","")</f>
        <v/>
      </c>
      <c r="O618">
        <f>IF($AG618="","",INDEX('TMP Paste'!$K$2:$K$1601,$AG618))</f>
        <v/>
      </c>
      <c r="P618">
        <f>IF($AG618="","","")</f>
        <v/>
      </c>
      <c r="Q618">
        <f>IF($AG618="","",INDEX('TMP Paste'!$J$2:$J$1601,$AG618))</f>
        <v/>
      </c>
      <c r="R618">
        <f>IF($AG618="","",Config!$B$24)</f>
        <v/>
      </c>
      <c r="S618">
        <f>IF($AG618="","",TEXT(Config!$B$4,"yyyy-mm-dd"))</f>
        <v/>
      </c>
      <c r="T618">
        <f>IF($AG618="","",Config!$B$17)</f>
        <v/>
      </c>
      <c r="U618">
        <f>IF($AG618="","",Config!$B$18)</f>
        <v/>
      </c>
      <c r="V618">
        <f>IF($AG618="","",Config!$B$19)</f>
        <v/>
      </c>
      <c r="W618">
        <f>IF($AG618="","",INDEX('TMP Paste'!$C$2:$C$1601,$AG618))</f>
        <v/>
      </c>
      <c r="X618">
        <f>IF($AG618="","",Config!$B$29)</f>
        <v/>
      </c>
      <c r="Y618">
        <f>IF($AH618="","",INDEX(Calc!$I$2:$I$1601,$AH618)&amp;" - "&amp;INDEX(Calc!$D$2:$D$1601,$AH618)&amp;" koli")</f>
        <v/>
      </c>
      <c r="Z618">
        <f>IF($AG618="","",Config!$B$21)</f>
        <v/>
      </c>
      <c r="AA618">
        <f>IF($AG618="","",Config!$B$22)</f>
        <v/>
      </c>
      <c r="AB618">
        <f>IF($AH618="","",INDEX(Calc!$D$2:$D$1601,$AH618))</f>
        <v/>
      </c>
      <c r="AC618">
        <f>IF($AH618="","",INDEX(Calc!$G$2:$G$1601,$AH618))</f>
        <v/>
      </c>
      <c r="AD618">
        <f>IF($AG618="","",Config!$B$23)</f>
        <v/>
      </c>
      <c r="AE618">
        <f>IF($AG618="","",Config!$B$28)</f>
        <v/>
      </c>
      <c r="AG618">
        <f>IFERROR(MATCH(ROW()-1,Calc!$J$2:$J$1601,0),"")</f>
        <v/>
      </c>
      <c r="AH618">
        <f>IFERROR(MATCH(ROW()-1,Calc!$K$2:$K$1601,0),"")</f>
        <v/>
      </c>
      <c r="AI618">
        <f>IF($AG618="","",SUMIF($AG$2:$AG618,$AG618,$AH$2:$AH618))</f>
        <v/>
      </c>
      <c r="AJ618">
        <f>IF('TMP Paste'!$F618="","",IF('TMP Paste'!$B618="",$AJ617,'TMP Paste'!$B618))</f>
        <v/>
      </c>
      <c r="AK618">
        <f>IF('TMP Paste'!$F618="","",N('TMP Paste'!$G618))</f>
        <v/>
      </c>
      <c r="AL618">
        <f>IF('TMP Paste'!$F618="","",IF('TMP Paste'!$M618="",$AL617,'TMP Paste'!$M618))</f>
        <v/>
      </c>
      <c r="AM618">
        <f>IF('TMP Paste'!$F618="","",IF('TMP Paste'!$N618="",$AM617,'TMP Paste'!$N618))</f>
        <v/>
      </c>
      <c r="AN618">
        <f>IF('TMP Paste'!$F618="","",IF('TMP Paste'!$O618="",$AN617,'TMP Paste'!$O618))</f>
        <v/>
      </c>
      <c r="AO618">
        <f>IF('TMP Paste'!$F618="","",IF('TMP Paste'!$P618="",$AO617,'TMP Paste'!$P618))</f>
        <v/>
      </c>
      <c r="AP618">
        <f>IF($AG618="","",LEN($R618))</f>
        <v/>
      </c>
      <c r="AQ618">
        <f>IF($AG618="","",TRIM(IF(COUNTIFS(Calc!$B$2:$B$1601,ROW()-1,Calc!$C$2:$C$1601,"&lt;1")&gt;0,"Ada PO tanpa Koli - cek TMP. ","")&amp;IF(LEN($R618)&gt;500,"R &gt; 500 karakter.","")))</f>
        <v/>
      </c>
    </row>
    <row r="619">
      <c r="A619">
        <f>IF($AG619="","",INDEX('TMP Paste'!$B$2:$B$1601,$AG619))</f>
        <v/>
      </c>
      <c r="B619">
        <f>IF($AG619="","",Config!$B$14)</f>
        <v/>
      </c>
      <c r="C619">
        <f>IF($AG619="","",Config!$B$15)</f>
        <v/>
      </c>
      <c r="D619">
        <f>IF($AG619="","",INDEX('TMP Paste'!$B$2:$B$1601,$AG619))</f>
        <v/>
      </c>
      <c r="E619">
        <f>IF($AG619="","",Config!$B$27)</f>
        <v/>
      </c>
      <c r="F619">
        <f>IF($AG619="","",Config!$B$9)</f>
        <v/>
      </c>
      <c r="G619">
        <f>IF($AG619="","",Config!$B$10)</f>
        <v/>
      </c>
      <c r="H619">
        <f>IF($AG619="","",Config!$B$11)</f>
        <v/>
      </c>
      <c r="I619">
        <f>IF($AG619="","",Config!$B$16)</f>
        <v/>
      </c>
      <c r="J619">
        <f>IF($AG619="","",INDEX('TMP Paste'!$A$2:$A$1601,$AG619))</f>
        <v/>
      </c>
      <c r="K619">
        <f>IF($AG619="","",INDEX('TMP Paste'!$L$2:$L$1601,$AG619))</f>
        <v/>
      </c>
      <c r="L619">
        <f>IF($AG619="","",INDEX('TMP Paste'!$I$2:$I$1601,$AG619))</f>
        <v/>
      </c>
      <c r="M619">
        <f>IF($AG619="","",Config!$B$16)</f>
        <v/>
      </c>
      <c r="N619">
        <f>IF($AG619="","","")</f>
        <v/>
      </c>
      <c r="O619">
        <f>IF($AG619="","",INDEX('TMP Paste'!$K$2:$K$1601,$AG619))</f>
        <v/>
      </c>
      <c r="P619">
        <f>IF($AG619="","","")</f>
        <v/>
      </c>
      <c r="Q619">
        <f>IF($AG619="","",INDEX('TMP Paste'!$J$2:$J$1601,$AG619))</f>
        <v/>
      </c>
      <c r="R619">
        <f>IF($AG619="","",Config!$B$24)</f>
        <v/>
      </c>
      <c r="S619">
        <f>IF($AG619="","",TEXT(Config!$B$4,"yyyy-mm-dd"))</f>
        <v/>
      </c>
      <c r="T619">
        <f>IF($AG619="","",Config!$B$17)</f>
        <v/>
      </c>
      <c r="U619">
        <f>IF($AG619="","",Config!$B$18)</f>
        <v/>
      </c>
      <c r="V619">
        <f>IF($AG619="","",Config!$B$19)</f>
        <v/>
      </c>
      <c r="W619">
        <f>IF($AG619="","",INDEX('TMP Paste'!$C$2:$C$1601,$AG619))</f>
        <v/>
      </c>
      <c r="X619">
        <f>IF($AG619="","",Config!$B$29)</f>
        <v/>
      </c>
      <c r="Y619">
        <f>IF($AH619="","",INDEX(Calc!$I$2:$I$1601,$AH619)&amp;" - "&amp;INDEX(Calc!$D$2:$D$1601,$AH619)&amp;" koli")</f>
        <v/>
      </c>
      <c r="Z619">
        <f>IF($AG619="","",Config!$B$21)</f>
        <v/>
      </c>
      <c r="AA619">
        <f>IF($AG619="","",Config!$B$22)</f>
        <v/>
      </c>
      <c r="AB619">
        <f>IF($AH619="","",INDEX(Calc!$D$2:$D$1601,$AH619))</f>
        <v/>
      </c>
      <c r="AC619">
        <f>IF($AH619="","",INDEX(Calc!$G$2:$G$1601,$AH619))</f>
        <v/>
      </c>
      <c r="AD619">
        <f>IF($AG619="","",Config!$B$23)</f>
        <v/>
      </c>
      <c r="AE619">
        <f>IF($AG619="","",Config!$B$28)</f>
        <v/>
      </c>
      <c r="AG619">
        <f>IFERROR(MATCH(ROW()-1,Calc!$J$2:$J$1601,0),"")</f>
        <v/>
      </c>
      <c r="AH619">
        <f>IFERROR(MATCH(ROW()-1,Calc!$K$2:$K$1601,0),"")</f>
        <v/>
      </c>
      <c r="AI619">
        <f>IF($AG619="","",SUMIF($AG$2:$AG619,$AG619,$AH$2:$AH619))</f>
        <v/>
      </c>
      <c r="AJ619">
        <f>IF('TMP Paste'!$F619="","",IF('TMP Paste'!$B619="",$AJ618,'TMP Paste'!$B619))</f>
        <v/>
      </c>
      <c r="AK619">
        <f>IF('TMP Paste'!$F619="","",N('TMP Paste'!$G619))</f>
        <v/>
      </c>
      <c r="AL619">
        <f>IF('TMP Paste'!$F619="","",IF('TMP Paste'!$M619="",$AL618,'TMP Paste'!$M619))</f>
        <v/>
      </c>
      <c r="AM619">
        <f>IF('TMP Paste'!$F619="","",IF('TMP Paste'!$N619="",$AM618,'TMP Paste'!$N619))</f>
        <v/>
      </c>
      <c r="AN619">
        <f>IF('TMP Paste'!$F619="","",IF('TMP Paste'!$O619="",$AN618,'TMP Paste'!$O619))</f>
        <v/>
      </c>
      <c r="AO619">
        <f>IF('TMP Paste'!$F619="","",IF('TMP Paste'!$P619="",$AO618,'TMP Paste'!$P619))</f>
        <v/>
      </c>
      <c r="AP619">
        <f>IF($AG619="","",LEN($R619))</f>
        <v/>
      </c>
      <c r="AQ619">
        <f>IF($AG619="","",TRIM(IF(COUNTIFS(Calc!$B$2:$B$1601,ROW()-1,Calc!$C$2:$C$1601,"&lt;1")&gt;0,"Ada PO tanpa Koli - cek TMP. ","")&amp;IF(LEN($R619)&gt;500,"R &gt; 500 karakter.","")))</f>
        <v/>
      </c>
    </row>
    <row r="620">
      <c r="A620">
        <f>IF($AG620="","",INDEX('TMP Paste'!$B$2:$B$1601,$AG620))</f>
        <v/>
      </c>
      <c r="B620">
        <f>IF($AG620="","",Config!$B$14)</f>
        <v/>
      </c>
      <c r="C620">
        <f>IF($AG620="","",Config!$B$15)</f>
        <v/>
      </c>
      <c r="D620">
        <f>IF($AG620="","",INDEX('TMP Paste'!$B$2:$B$1601,$AG620))</f>
        <v/>
      </c>
      <c r="E620">
        <f>IF($AG620="","",Config!$B$27)</f>
        <v/>
      </c>
      <c r="F620">
        <f>IF($AG620="","",Config!$B$9)</f>
        <v/>
      </c>
      <c r="G620">
        <f>IF($AG620="","",Config!$B$10)</f>
        <v/>
      </c>
      <c r="H620">
        <f>IF($AG620="","",Config!$B$11)</f>
        <v/>
      </c>
      <c r="I620">
        <f>IF($AG620="","",Config!$B$16)</f>
        <v/>
      </c>
      <c r="J620">
        <f>IF($AG620="","",INDEX('TMP Paste'!$A$2:$A$1601,$AG620))</f>
        <v/>
      </c>
      <c r="K620">
        <f>IF($AG620="","",INDEX('TMP Paste'!$L$2:$L$1601,$AG620))</f>
        <v/>
      </c>
      <c r="L620">
        <f>IF($AG620="","",INDEX('TMP Paste'!$I$2:$I$1601,$AG620))</f>
        <v/>
      </c>
      <c r="M620">
        <f>IF($AG620="","",Config!$B$16)</f>
        <v/>
      </c>
      <c r="N620">
        <f>IF($AG620="","","")</f>
        <v/>
      </c>
      <c r="O620">
        <f>IF($AG620="","",INDEX('TMP Paste'!$K$2:$K$1601,$AG620))</f>
        <v/>
      </c>
      <c r="P620">
        <f>IF($AG620="","","")</f>
        <v/>
      </c>
      <c r="Q620">
        <f>IF($AG620="","",INDEX('TMP Paste'!$J$2:$J$1601,$AG620))</f>
        <v/>
      </c>
      <c r="R620">
        <f>IF($AG620="","",Config!$B$24)</f>
        <v/>
      </c>
      <c r="S620">
        <f>IF($AG620="","",TEXT(Config!$B$4,"yyyy-mm-dd"))</f>
        <v/>
      </c>
      <c r="T620">
        <f>IF($AG620="","",Config!$B$17)</f>
        <v/>
      </c>
      <c r="U620">
        <f>IF($AG620="","",Config!$B$18)</f>
        <v/>
      </c>
      <c r="V620">
        <f>IF($AG620="","",Config!$B$19)</f>
        <v/>
      </c>
      <c r="W620">
        <f>IF($AG620="","",INDEX('TMP Paste'!$C$2:$C$1601,$AG620))</f>
        <v/>
      </c>
      <c r="X620">
        <f>IF($AG620="","",Config!$B$29)</f>
        <v/>
      </c>
      <c r="Y620">
        <f>IF($AH620="","",INDEX(Calc!$I$2:$I$1601,$AH620)&amp;" - "&amp;INDEX(Calc!$D$2:$D$1601,$AH620)&amp;" koli")</f>
        <v/>
      </c>
      <c r="Z620">
        <f>IF($AG620="","",Config!$B$21)</f>
        <v/>
      </c>
      <c r="AA620">
        <f>IF($AG620="","",Config!$B$22)</f>
        <v/>
      </c>
      <c r="AB620">
        <f>IF($AH620="","",INDEX(Calc!$D$2:$D$1601,$AH620))</f>
        <v/>
      </c>
      <c r="AC620">
        <f>IF($AH620="","",INDEX(Calc!$G$2:$G$1601,$AH620))</f>
        <v/>
      </c>
      <c r="AD620">
        <f>IF($AG620="","",Config!$B$23)</f>
        <v/>
      </c>
      <c r="AE620">
        <f>IF($AG620="","",Config!$B$28)</f>
        <v/>
      </c>
      <c r="AG620">
        <f>IFERROR(MATCH(ROW()-1,Calc!$J$2:$J$1601,0),"")</f>
        <v/>
      </c>
      <c r="AH620">
        <f>IFERROR(MATCH(ROW()-1,Calc!$K$2:$K$1601,0),"")</f>
        <v/>
      </c>
      <c r="AI620">
        <f>IF($AG620="","",SUMIF($AG$2:$AG620,$AG620,$AH$2:$AH620))</f>
        <v/>
      </c>
      <c r="AJ620">
        <f>IF('TMP Paste'!$F620="","",IF('TMP Paste'!$B620="",$AJ619,'TMP Paste'!$B620))</f>
        <v/>
      </c>
      <c r="AK620">
        <f>IF('TMP Paste'!$F620="","",N('TMP Paste'!$G620))</f>
        <v/>
      </c>
      <c r="AL620">
        <f>IF('TMP Paste'!$F620="","",IF('TMP Paste'!$M620="",$AL619,'TMP Paste'!$M620))</f>
        <v/>
      </c>
      <c r="AM620">
        <f>IF('TMP Paste'!$F620="","",IF('TMP Paste'!$N620="",$AM619,'TMP Paste'!$N620))</f>
        <v/>
      </c>
      <c r="AN620">
        <f>IF('TMP Paste'!$F620="","",IF('TMP Paste'!$O620="",$AN619,'TMP Paste'!$O620))</f>
        <v/>
      </c>
      <c r="AO620">
        <f>IF('TMP Paste'!$F620="","",IF('TMP Paste'!$P620="",$AO619,'TMP Paste'!$P620))</f>
        <v/>
      </c>
      <c r="AP620">
        <f>IF($AG620="","",LEN($R620))</f>
        <v/>
      </c>
      <c r="AQ620">
        <f>IF($AG620="","",TRIM(IF(COUNTIFS(Calc!$B$2:$B$1601,ROW()-1,Calc!$C$2:$C$1601,"&lt;1")&gt;0,"Ada PO tanpa Koli - cek TMP. ","")&amp;IF(LEN($R620)&gt;500,"R &gt; 500 karakter.","")))</f>
        <v/>
      </c>
    </row>
    <row r="621">
      <c r="A621">
        <f>IF($AG621="","",INDEX('TMP Paste'!$B$2:$B$1601,$AG621))</f>
        <v/>
      </c>
      <c r="B621">
        <f>IF($AG621="","",Config!$B$14)</f>
        <v/>
      </c>
      <c r="C621">
        <f>IF($AG621="","",Config!$B$15)</f>
        <v/>
      </c>
      <c r="D621">
        <f>IF($AG621="","",INDEX('TMP Paste'!$B$2:$B$1601,$AG621))</f>
        <v/>
      </c>
      <c r="E621">
        <f>IF($AG621="","",Config!$B$27)</f>
        <v/>
      </c>
      <c r="F621">
        <f>IF($AG621="","",Config!$B$9)</f>
        <v/>
      </c>
      <c r="G621">
        <f>IF($AG621="","",Config!$B$10)</f>
        <v/>
      </c>
      <c r="H621">
        <f>IF($AG621="","",Config!$B$11)</f>
        <v/>
      </c>
      <c r="I621">
        <f>IF($AG621="","",Config!$B$16)</f>
        <v/>
      </c>
      <c r="J621">
        <f>IF($AG621="","",INDEX('TMP Paste'!$A$2:$A$1601,$AG621))</f>
        <v/>
      </c>
      <c r="K621">
        <f>IF($AG621="","",INDEX('TMP Paste'!$L$2:$L$1601,$AG621))</f>
        <v/>
      </c>
      <c r="L621">
        <f>IF($AG621="","",INDEX('TMP Paste'!$I$2:$I$1601,$AG621))</f>
        <v/>
      </c>
      <c r="M621">
        <f>IF($AG621="","",Config!$B$16)</f>
        <v/>
      </c>
      <c r="N621">
        <f>IF($AG621="","","")</f>
        <v/>
      </c>
      <c r="O621">
        <f>IF($AG621="","",INDEX('TMP Paste'!$K$2:$K$1601,$AG621))</f>
        <v/>
      </c>
      <c r="P621">
        <f>IF($AG621="","","")</f>
        <v/>
      </c>
      <c r="Q621">
        <f>IF($AG621="","",INDEX('TMP Paste'!$J$2:$J$1601,$AG621))</f>
        <v/>
      </c>
      <c r="R621">
        <f>IF($AG621="","",Config!$B$24)</f>
        <v/>
      </c>
      <c r="S621">
        <f>IF($AG621="","",TEXT(Config!$B$4,"yyyy-mm-dd"))</f>
        <v/>
      </c>
      <c r="T621">
        <f>IF($AG621="","",Config!$B$17)</f>
        <v/>
      </c>
      <c r="U621">
        <f>IF($AG621="","",Config!$B$18)</f>
        <v/>
      </c>
      <c r="V621">
        <f>IF($AG621="","",Config!$B$19)</f>
        <v/>
      </c>
      <c r="W621">
        <f>IF($AG621="","",INDEX('TMP Paste'!$C$2:$C$1601,$AG621))</f>
        <v/>
      </c>
      <c r="X621">
        <f>IF($AG621="","",Config!$B$29)</f>
        <v/>
      </c>
      <c r="Y621">
        <f>IF($AH621="","",INDEX(Calc!$I$2:$I$1601,$AH621)&amp;" - "&amp;INDEX(Calc!$D$2:$D$1601,$AH621)&amp;" koli")</f>
        <v/>
      </c>
      <c r="Z621">
        <f>IF($AG621="","",Config!$B$21)</f>
        <v/>
      </c>
      <c r="AA621">
        <f>IF($AG621="","",Config!$B$22)</f>
        <v/>
      </c>
      <c r="AB621">
        <f>IF($AH621="","",INDEX(Calc!$D$2:$D$1601,$AH621))</f>
        <v/>
      </c>
      <c r="AC621">
        <f>IF($AH621="","",INDEX(Calc!$G$2:$G$1601,$AH621))</f>
        <v/>
      </c>
      <c r="AD621">
        <f>IF($AG621="","",Config!$B$23)</f>
        <v/>
      </c>
      <c r="AE621">
        <f>IF($AG621="","",Config!$B$28)</f>
        <v/>
      </c>
      <c r="AG621">
        <f>IFERROR(MATCH(ROW()-1,Calc!$J$2:$J$1601,0),"")</f>
        <v/>
      </c>
      <c r="AH621">
        <f>IFERROR(MATCH(ROW()-1,Calc!$K$2:$K$1601,0),"")</f>
        <v/>
      </c>
      <c r="AI621">
        <f>IF($AG621="","",SUMIF($AG$2:$AG621,$AG621,$AH$2:$AH621))</f>
        <v/>
      </c>
      <c r="AJ621">
        <f>IF('TMP Paste'!$F621="","",IF('TMP Paste'!$B621="",$AJ620,'TMP Paste'!$B621))</f>
        <v/>
      </c>
      <c r="AK621">
        <f>IF('TMP Paste'!$F621="","",N('TMP Paste'!$G621))</f>
        <v/>
      </c>
      <c r="AL621">
        <f>IF('TMP Paste'!$F621="","",IF('TMP Paste'!$M621="",$AL620,'TMP Paste'!$M621))</f>
        <v/>
      </c>
      <c r="AM621">
        <f>IF('TMP Paste'!$F621="","",IF('TMP Paste'!$N621="",$AM620,'TMP Paste'!$N621))</f>
        <v/>
      </c>
      <c r="AN621">
        <f>IF('TMP Paste'!$F621="","",IF('TMP Paste'!$O621="",$AN620,'TMP Paste'!$O621))</f>
        <v/>
      </c>
      <c r="AO621">
        <f>IF('TMP Paste'!$F621="","",IF('TMP Paste'!$P621="",$AO620,'TMP Paste'!$P621))</f>
        <v/>
      </c>
      <c r="AP621">
        <f>IF($AG621="","",LEN($R621))</f>
        <v/>
      </c>
      <c r="AQ621">
        <f>IF($AG621="","",TRIM(IF(COUNTIFS(Calc!$B$2:$B$1601,ROW()-1,Calc!$C$2:$C$1601,"&lt;1")&gt;0,"Ada PO tanpa Koli - cek TMP. ","")&amp;IF(LEN($R621)&gt;500,"R &gt; 500 karakter.","")))</f>
        <v/>
      </c>
    </row>
    <row r="622">
      <c r="A622">
        <f>IF($AG622="","",INDEX('TMP Paste'!$B$2:$B$1601,$AG622))</f>
        <v/>
      </c>
      <c r="B622">
        <f>IF($AG622="","",Config!$B$14)</f>
        <v/>
      </c>
      <c r="C622">
        <f>IF($AG622="","",Config!$B$15)</f>
        <v/>
      </c>
      <c r="D622">
        <f>IF($AG622="","",INDEX('TMP Paste'!$B$2:$B$1601,$AG622))</f>
        <v/>
      </c>
      <c r="E622">
        <f>IF($AG622="","",Config!$B$27)</f>
        <v/>
      </c>
      <c r="F622">
        <f>IF($AG622="","",Config!$B$9)</f>
        <v/>
      </c>
      <c r="G622">
        <f>IF($AG622="","",Config!$B$10)</f>
        <v/>
      </c>
      <c r="H622">
        <f>IF($AG622="","",Config!$B$11)</f>
        <v/>
      </c>
      <c r="I622">
        <f>IF($AG622="","",Config!$B$16)</f>
        <v/>
      </c>
      <c r="J622">
        <f>IF($AG622="","",INDEX('TMP Paste'!$A$2:$A$1601,$AG622))</f>
        <v/>
      </c>
      <c r="K622">
        <f>IF($AG622="","",INDEX('TMP Paste'!$L$2:$L$1601,$AG622))</f>
        <v/>
      </c>
      <c r="L622">
        <f>IF($AG622="","",INDEX('TMP Paste'!$I$2:$I$1601,$AG622))</f>
        <v/>
      </c>
      <c r="M622">
        <f>IF($AG622="","",Config!$B$16)</f>
        <v/>
      </c>
      <c r="N622">
        <f>IF($AG622="","","")</f>
        <v/>
      </c>
      <c r="O622">
        <f>IF($AG622="","",INDEX('TMP Paste'!$K$2:$K$1601,$AG622))</f>
        <v/>
      </c>
      <c r="P622">
        <f>IF($AG622="","","")</f>
        <v/>
      </c>
      <c r="Q622">
        <f>IF($AG622="","",INDEX('TMP Paste'!$J$2:$J$1601,$AG622))</f>
        <v/>
      </c>
      <c r="R622">
        <f>IF($AG622="","",Config!$B$24)</f>
        <v/>
      </c>
      <c r="S622">
        <f>IF($AG622="","",TEXT(Config!$B$4,"yyyy-mm-dd"))</f>
        <v/>
      </c>
      <c r="T622">
        <f>IF($AG622="","",Config!$B$17)</f>
        <v/>
      </c>
      <c r="U622">
        <f>IF($AG622="","",Config!$B$18)</f>
        <v/>
      </c>
      <c r="V622">
        <f>IF($AG622="","",Config!$B$19)</f>
        <v/>
      </c>
      <c r="W622">
        <f>IF($AG622="","",INDEX('TMP Paste'!$C$2:$C$1601,$AG622))</f>
        <v/>
      </c>
      <c r="X622">
        <f>IF($AG622="","",Config!$B$29)</f>
        <v/>
      </c>
      <c r="Y622">
        <f>IF($AH622="","",INDEX(Calc!$I$2:$I$1601,$AH622)&amp;" - "&amp;INDEX(Calc!$D$2:$D$1601,$AH622)&amp;" koli")</f>
        <v/>
      </c>
      <c r="Z622">
        <f>IF($AG622="","",Config!$B$21)</f>
        <v/>
      </c>
      <c r="AA622">
        <f>IF($AG622="","",Config!$B$22)</f>
        <v/>
      </c>
      <c r="AB622">
        <f>IF($AH622="","",INDEX(Calc!$D$2:$D$1601,$AH622))</f>
        <v/>
      </c>
      <c r="AC622">
        <f>IF($AH622="","",INDEX(Calc!$G$2:$G$1601,$AH622))</f>
        <v/>
      </c>
      <c r="AD622">
        <f>IF($AG622="","",Config!$B$23)</f>
        <v/>
      </c>
      <c r="AE622">
        <f>IF($AG622="","",Config!$B$28)</f>
        <v/>
      </c>
      <c r="AG622">
        <f>IFERROR(MATCH(ROW()-1,Calc!$J$2:$J$1601,0),"")</f>
        <v/>
      </c>
      <c r="AH622">
        <f>IFERROR(MATCH(ROW()-1,Calc!$K$2:$K$1601,0),"")</f>
        <v/>
      </c>
      <c r="AI622">
        <f>IF($AG622="","",SUMIF($AG$2:$AG622,$AG622,$AH$2:$AH622))</f>
        <v/>
      </c>
      <c r="AJ622">
        <f>IF('TMP Paste'!$F622="","",IF('TMP Paste'!$B622="",$AJ621,'TMP Paste'!$B622))</f>
        <v/>
      </c>
      <c r="AK622">
        <f>IF('TMP Paste'!$F622="","",N('TMP Paste'!$G622))</f>
        <v/>
      </c>
      <c r="AL622">
        <f>IF('TMP Paste'!$F622="","",IF('TMP Paste'!$M622="",$AL621,'TMP Paste'!$M622))</f>
        <v/>
      </c>
      <c r="AM622">
        <f>IF('TMP Paste'!$F622="","",IF('TMP Paste'!$N622="",$AM621,'TMP Paste'!$N622))</f>
        <v/>
      </c>
      <c r="AN622">
        <f>IF('TMP Paste'!$F622="","",IF('TMP Paste'!$O622="",$AN621,'TMP Paste'!$O622))</f>
        <v/>
      </c>
      <c r="AO622">
        <f>IF('TMP Paste'!$F622="","",IF('TMP Paste'!$P622="",$AO621,'TMP Paste'!$P622))</f>
        <v/>
      </c>
      <c r="AP622">
        <f>IF($AG622="","",LEN($R622))</f>
        <v/>
      </c>
      <c r="AQ622">
        <f>IF($AG622="","",TRIM(IF(COUNTIFS(Calc!$B$2:$B$1601,ROW()-1,Calc!$C$2:$C$1601,"&lt;1")&gt;0,"Ada PO tanpa Koli - cek TMP. ","")&amp;IF(LEN($R622)&gt;500,"R &gt; 500 karakter.","")))</f>
        <v/>
      </c>
    </row>
    <row r="623">
      <c r="A623">
        <f>IF($AG623="","",INDEX('TMP Paste'!$B$2:$B$1601,$AG623))</f>
        <v/>
      </c>
      <c r="B623">
        <f>IF($AG623="","",Config!$B$14)</f>
        <v/>
      </c>
      <c r="C623">
        <f>IF($AG623="","",Config!$B$15)</f>
        <v/>
      </c>
      <c r="D623">
        <f>IF($AG623="","",INDEX('TMP Paste'!$B$2:$B$1601,$AG623))</f>
        <v/>
      </c>
      <c r="E623">
        <f>IF($AG623="","",Config!$B$27)</f>
        <v/>
      </c>
      <c r="F623">
        <f>IF($AG623="","",Config!$B$9)</f>
        <v/>
      </c>
      <c r="G623">
        <f>IF($AG623="","",Config!$B$10)</f>
        <v/>
      </c>
      <c r="H623">
        <f>IF($AG623="","",Config!$B$11)</f>
        <v/>
      </c>
      <c r="I623">
        <f>IF($AG623="","",Config!$B$16)</f>
        <v/>
      </c>
      <c r="J623">
        <f>IF($AG623="","",INDEX('TMP Paste'!$A$2:$A$1601,$AG623))</f>
        <v/>
      </c>
      <c r="K623">
        <f>IF($AG623="","",INDEX('TMP Paste'!$L$2:$L$1601,$AG623))</f>
        <v/>
      </c>
      <c r="L623">
        <f>IF($AG623="","",INDEX('TMP Paste'!$I$2:$I$1601,$AG623))</f>
        <v/>
      </c>
      <c r="M623">
        <f>IF($AG623="","",Config!$B$16)</f>
        <v/>
      </c>
      <c r="N623">
        <f>IF($AG623="","","")</f>
        <v/>
      </c>
      <c r="O623">
        <f>IF($AG623="","",INDEX('TMP Paste'!$K$2:$K$1601,$AG623))</f>
        <v/>
      </c>
      <c r="P623">
        <f>IF($AG623="","","")</f>
        <v/>
      </c>
      <c r="Q623">
        <f>IF($AG623="","",INDEX('TMP Paste'!$J$2:$J$1601,$AG623))</f>
        <v/>
      </c>
      <c r="R623">
        <f>IF($AG623="","",Config!$B$24)</f>
        <v/>
      </c>
      <c r="S623">
        <f>IF($AG623="","",TEXT(Config!$B$4,"yyyy-mm-dd"))</f>
        <v/>
      </c>
      <c r="T623">
        <f>IF($AG623="","",Config!$B$17)</f>
        <v/>
      </c>
      <c r="U623">
        <f>IF($AG623="","",Config!$B$18)</f>
        <v/>
      </c>
      <c r="V623">
        <f>IF($AG623="","",Config!$B$19)</f>
        <v/>
      </c>
      <c r="W623">
        <f>IF($AG623="","",INDEX('TMP Paste'!$C$2:$C$1601,$AG623))</f>
        <v/>
      </c>
      <c r="X623">
        <f>IF($AG623="","",Config!$B$29)</f>
        <v/>
      </c>
      <c r="Y623">
        <f>IF($AH623="","",INDEX(Calc!$I$2:$I$1601,$AH623)&amp;" - "&amp;INDEX(Calc!$D$2:$D$1601,$AH623)&amp;" koli")</f>
        <v/>
      </c>
      <c r="Z623">
        <f>IF($AG623="","",Config!$B$21)</f>
        <v/>
      </c>
      <c r="AA623">
        <f>IF($AG623="","",Config!$B$22)</f>
        <v/>
      </c>
      <c r="AB623">
        <f>IF($AH623="","",INDEX(Calc!$D$2:$D$1601,$AH623))</f>
        <v/>
      </c>
      <c r="AC623">
        <f>IF($AH623="","",INDEX(Calc!$G$2:$G$1601,$AH623))</f>
        <v/>
      </c>
      <c r="AD623">
        <f>IF($AG623="","",Config!$B$23)</f>
        <v/>
      </c>
      <c r="AE623">
        <f>IF($AG623="","",Config!$B$28)</f>
        <v/>
      </c>
      <c r="AG623">
        <f>IFERROR(MATCH(ROW()-1,Calc!$J$2:$J$1601,0),"")</f>
        <v/>
      </c>
      <c r="AH623">
        <f>IFERROR(MATCH(ROW()-1,Calc!$K$2:$K$1601,0),"")</f>
        <v/>
      </c>
      <c r="AI623">
        <f>IF($AG623="","",SUMIF($AG$2:$AG623,$AG623,$AH$2:$AH623))</f>
        <v/>
      </c>
      <c r="AJ623">
        <f>IF('TMP Paste'!$F623="","",IF('TMP Paste'!$B623="",$AJ622,'TMP Paste'!$B623))</f>
        <v/>
      </c>
      <c r="AK623">
        <f>IF('TMP Paste'!$F623="","",N('TMP Paste'!$G623))</f>
        <v/>
      </c>
      <c r="AL623">
        <f>IF('TMP Paste'!$F623="","",IF('TMP Paste'!$M623="",$AL622,'TMP Paste'!$M623))</f>
        <v/>
      </c>
      <c r="AM623">
        <f>IF('TMP Paste'!$F623="","",IF('TMP Paste'!$N623="",$AM622,'TMP Paste'!$N623))</f>
        <v/>
      </c>
      <c r="AN623">
        <f>IF('TMP Paste'!$F623="","",IF('TMP Paste'!$O623="",$AN622,'TMP Paste'!$O623))</f>
        <v/>
      </c>
      <c r="AO623">
        <f>IF('TMP Paste'!$F623="","",IF('TMP Paste'!$P623="",$AO622,'TMP Paste'!$P623))</f>
        <v/>
      </c>
      <c r="AP623">
        <f>IF($AG623="","",LEN($R623))</f>
        <v/>
      </c>
      <c r="AQ623">
        <f>IF($AG623="","",TRIM(IF(COUNTIFS(Calc!$B$2:$B$1601,ROW()-1,Calc!$C$2:$C$1601,"&lt;1")&gt;0,"Ada PO tanpa Koli - cek TMP. ","")&amp;IF(LEN($R623)&gt;500,"R &gt; 500 karakter.","")))</f>
        <v/>
      </c>
    </row>
    <row r="624">
      <c r="A624">
        <f>IF($AG624="","",INDEX('TMP Paste'!$B$2:$B$1601,$AG624))</f>
        <v/>
      </c>
      <c r="B624">
        <f>IF($AG624="","",Config!$B$14)</f>
        <v/>
      </c>
      <c r="C624">
        <f>IF($AG624="","",Config!$B$15)</f>
        <v/>
      </c>
      <c r="D624">
        <f>IF($AG624="","",INDEX('TMP Paste'!$B$2:$B$1601,$AG624))</f>
        <v/>
      </c>
      <c r="E624">
        <f>IF($AG624="","",Config!$B$27)</f>
        <v/>
      </c>
      <c r="F624">
        <f>IF($AG624="","",Config!$B$9)</f>
        <v/>
      </c>
      <c r="G624">
        <f>IF($AG624="","",Config!$B$10)</f>
        <v/>
      </c>
      <c r="H624">
        <f>IF($AG624="","",Config!$B$11)</f>
        <v/>
      </c>
      <c r="I624">
        <f>IF($AG624="","",Config!$B$16)</f>
        <v/>
      </c>
      <c r="J624">
        <f>IF($AG624="","",INDEX('TMP Paste'!$A$2:$A$1601,$AG624))</f>
        <v/>
      </c>
      <c r="K624">
        <f>IF($AG624="","",INDEX('TMP Paste'!$L$2:$L$1601,$AG624))</f>
        <v/>
      </c>
      <c r="L624">
        <f>IF($AG624="","",INDEX('TMP Paste'!$I$2:$I$1601,$AG624))</f>
        <v/>
      </c>
      <c r="M624">
        <f>IF($AG624="","",Config!$B$16)</f>
        <v/>
      </c>
      <c r="N624">
        <f>IF($AG624="","","")</f>
        <v/>
      </c>
      <c r="O624">
        <f>IF($AG624="","",INDEX('TMP Paste'!$K$2:$K$1601,$AG624))</f>
        <v/>
      </c>
      <c r="P624">
        <f>IF($AG624="","","")</f>
        <v/>
      </c>
      <c r="Q624">
        <f>IF($AG624="","",INDEX('TMP Paste'!$J$2:$J$1601,$AG624))</f>
        <v/>
      </c>
      <c r="R624">
        <f>IF($AG624="","",Config!$B$24)</f>
        <v/>
      </c>
      <c r="S624">
        <f>IF($AG624="","",TEXT(Config!$B$4,"yyyy-mm-dd"))</f>
        <v/>
      </c>
      <c r="T624">
        <f>IF($AG624="","",Config!$B$17)</f>
        <v/>
      </c>
      <c r="U624">
        <f>IF($AG624="","",Config!$B$18)</f>
        <v/>
      </c>
      <c r="V624">
        <f>IF($AG624="","",Config!$B$19)</f>
        <v/>
      </c>
      <c r="W624">
        <f>IF($AG624="","",INDEX('TMP Paste'!$C$2:$C$1601,$AG624))</f>
        <v/>
      </c>
      <c r="X624">
        <f>IF($AG624="","",Config!$B$29)</f>
        <v/>
      </c>
      <c r="Y624">
        <f>IF($AH624="","",INDEX(Calc!$I$2:$I$1601,$AH624)&amp;" - "&amp;INDEX(Calc!$D$2:$D$1601,$AH624)&amp;" koli")</f>
        <v/>
      </c>
      <c r="Z624">
        <f>IF($AG624="","",Config!$B$21)</f>
        <v/>
      </c>
      <c r="AA624">
        <f>IF($AG624="","",Config!$B$22)</f>
        <v/>
      </c>
      <c r="AB624">
        <f>IF($AH624="","",INDEX(Calc!$D$2:$D$1601,$AH624))</f>
        <v/>
      </c>
      <c r="AC624">
        <f>IF($AH624="","",INDEX(Calc!$G$2:$G$1601,$AH624))</f>
        <v/>
      </c>
      <c r="AD624">
        <f>IF($AG624="","",Config!$B$23)</f>
        <v/>
      </c>
      <c r="AE624">
        <f>IF($AG624="","",Config!$B$28)</f>
        <v/>
      </c>
      <c r="AG624">
        <f>IFERROR(MATCH(ROW()-1,Calc!$J$2:$J$1601,0),"")</f>
        <v/>
      </c>
      <c r="AH624">
        <f>IFERROR(MATCH(ROW()-1,Calc!$K$2:$K$1601,0),"")</f>
        <v/>
      </c>
      <c r="AI624">
        <f>IF($AG624="","",SUMIF($AG$2:$AG624,$AG624,$AH$2:$AH624))</f>
        <v/>
      </c>
      <c r="AJ624">
        <f>IF('TMP Paste'!$F624="","",IF('TMP Paste'!$B624="",$AJ623,'TMP Paste'!$B624))</f>
        <v/>
      </c>
      <c r="AK624">
        <f>IF('TMP Paste'!$F624="","",N('TMP Paste'!$G624))</f>
        <v/>
      </c>
      <c r="AL624">
        <f>IF('TMP Paste'!$F624="","",IF('TMP Paste'!$M624="",$AL623,'TMP Paste'!$M624))</f>
        <v/>
      </c>
      <c r="AM624">
        <f>IF('TMP Paste'!$F624="","",IF('TMP Paste'!$N624="",$AM623,'TMP Paste'!$N624))</f>
        <v/>
      </c>
      <c r="AN624">
        <f>IF('TMP Paste'!$F624="","",IF('TMP Paste'!$O624="",$AN623,'TMP Paste'!$O624))</f>
        <v/>
      </c>
      <c r="AO624">
        <f>IF('TMP Paste'!$F624="","",IF('TMP Paste'!$P624="",$AO623,'TMP Paste'!$P624))</f>
        <v/>
      </c>
      <c r="AP624">
        <f>IF($AG624="","",LEN($R624))</f>
        <v/>
      </c>
      <c r="AQ624">
        <f>IF($AG624="","",TRIM(IF(COUNTIFS(Calc!$B$2:$B$1601,ROW()-1,Calc!$C$2:$C$1601,"&lt;1")&gt;0,"Ada PO tanpa Koli - cek TMP. ","")&amp;IF(LEN($R624)&gt;500,"R &gt; 500 karakter.","")))</f>
        <v/>
      </c>
    </row>
    <row r="625">
      <c r="A625">
        <f>IF($AG625="","",INDEX('TMP Paste'!$B$2:$B$1601,$AG625))</f>
        <v/>
      </c>
      <c r="B625">
        <f>IF($AG625="","",Config!$B$14)</f>
        <v/>
      </c>
      <c r="C625">
        <f>IF($AG625="","",Config!$B$15)</f>
        <v/>
      </c>
      <c r="D625">
        <f>IF($AG625="","",INDEX('TMP Paste'!$B$2:$B$1601,$AG625))</f>
        <v/>
      </c>
      <c r="E625">
        <f>IF($AG625="","",Config!$B$27)</f>
        <v/>
      </c>
      <c r="F625">
        <f>IF($AG625="","",Config!$B$9)</f>
        <v/>
      </c>
      <c r="G625">
        <f>IF($AG625="","",Config!$B$10)</f>
        <v/>
      </c>
      <c r="H625">
        <f>IF($AG625="","",Config!$B$11)</f>
        <v/>
      </c>
      <c r="I625">
        <f>IF($AG625="","",Config!$B$16)</f>
        <v/>
      </c>
      <c r="J625">
        <f>IF($AG625="","",INDEX('TMP Paste'!$A$2:$A$1601,$AG625))</f>
        <v/>
      </c>
      <c r="K625">
        <f>IF($AG625="","",INDEX('TMP Paste'!$L$2:$L$1601,$AG625))</f>
        <v/>
      </c>
      <c r="L625">
        <f>IF($AG625="","",INDEX('TMP Paste'!$I$2:$I$1601,$AG625))</f>
        <v/>
      </c>
      <c r="M625">
        <f>IF($AG625="","",Config!$B$16)</f>
        <v/>
      </c>
      <c r="N625">
        <f>IF($AG625="","","")</f>
        <v/>
      </c>
      <c r="O625">
        <f>IF($AG625="","",INDEX('TMP Paste'!$K$2:$K$1601,$AG625))</f>
        <v/>
      </c>
      <c r="P625">
        <f>IF($AG625="","","")</f>
        <v/>
      </c>
      <c r="Q625">
        <f>IF($AG625="","",INDEX('TMP Paste'!$J$2:$J$1601,$AG625))</f>
        <v/>
      </c>
      <c r="R625">
        <f>IF($AG625="","",Config!$B$24)</f>
        <v/>
      </c>
      <c r="S625">
        <f>IF($AG625="","",TEXT(Config!$B$4,"yyyy-mm-dd"))</f>
        <v/>
      </c>
      <c r="T625">
        <f>IF($AG625="","",Config!$B$17)</f>
        <v/>
      </c>
      <c r="U625">
        <f>IF($AG625="","",Config!$B$18)</f>
        <v/>
      </c>
      <c r="V625">
        <f>IF($AG625="","",Config!$B$19)</f>
        <v/>
      </c>
      <c r="W625">
        <f>IF($AG625="","",INDEX('TMP Paste'!$C$2:$C$1601,$AG625))</f>
        <v/>
      </c>
      <c r="X625">
        <f>IF($AG625="","",Config!$B$29)</f>
        <v/>
      </c>
      <c r="Y625">
        <f>IF($AH625="","",INDEX(Calc!$I$2:$I$1601,$AH625)&amp;" - "&amp;INDEX(Calc!$D$2:$D$1601,$AH625)&amp;" koli")</f>
        <v/>
      </c>
      <c r="Z625">
        <f>IF($AG625="","",Config!$B$21)</f>
        <v/>
      </c>
      <c r="AA625">
        <f>IF($AG625="","",Config!$B$22)</f>
        <v/>
      </c>
      <c r="AB625">
        <f>IF($AH625="","",INDEX(Calc!$D$2:$D$1601,$AH625))</f>
        <v/>
      </c>
      <c r="AC625">
        <f>IF($AH625="","",INDEX(Calc!$G$2:$G$1601,$AH625))</f>
        <v/>
      </c>
      <c r="AD625">
        <f>IF($AG625="","",Config!$B$23)</f>
        <v/>
      </c>
      <c r="AE625">
        <f>IF($AG625="","",Config!$B$28)</f>
        <v/>
      </c>
      <c r="AG625">
        <f>IFERROR(MATCH(ROW()-1,Calc!$J$2:$J$1601,0),"")</f>
        <v/>
      </c>
      <c r="AH625">
        <f>IFERROR(MATCH(ROW()-1,Calc!$K$2:$K$1601,0),"")</f>
        <v/>
      </c>
      <c r="AI625">
        <f>IF($AG625="","",SUMIF($AG$2:$AG625,$AG625,$AH$2:$AH625))</f>
        <v/>
      </c>
      <c r="AJ625">
        <f>IF('TMP Paste'!$F625="","",IF('TMP Paste'!$B625="",$AJ624,'TMP Paste'!$B625))</f>
        <v/>
      </c>
      <c r="AK625">
        <f>IF('TMP Paste'!$F625="","",N('TMP Paste'!$G625))</f>
        <v/>
      </c>
      <c r="AL625">
        <f>IF('TMP Paste'!$F625="","",IF('TMP Paste'!$M625="",$AL624,'TMP Paste'!$M625))</f>
        <v/>
      </c>
      <c r="AM625">
        <f>IF('TMP Paste'!$F625="","",IF('TMP Paste'!$N625="",$AM624,'TMP Paste'!$N625))</f>
        <v/>
      </c>
      <c r="AN625">
        <f>IF('TMP Paste'!$F625="","",IF('TMP Paste'!$O625="",$AN624,'TMP Paste'!$O625))</f>
        <v/>
      </c>
      <c r="AO625">
        <f>IF('TMP Paste'!$F625="","",IF('TMP Paste'!$P625="",$AO624,'TMP Paste'!$P625))</f>
        <v/>
      </c>
      <c r="AP625">
        <f>IF($AG625="","",LEN($R625))</f>
        <v/>
      </c>
      <c r="AQ625">
        <f>IF($AG625="","",TRIM(IF(COUNTIFS(Calc!$B$2:$B$1601,ROW()-1,Calc!$C$2:$C$1601,"&lt;1")&gt;0,"Ada PO tanpa Koli - cek TMP. ","")&amp;IF(LEN($R625)&gt;500,"R &gt; 500 karakter.","")))</f>
        <v/>
      </c>
    </row>
    <row r="626">
      <c r="A626">
        <f>IF($AG626="","",INDEX('TMP Paste'!$B$2:$B$1601,$AG626))</f>
        <v/>
      </c>
      <c r="B626">
        <f>IF($AG626="","",Config!$B$14)</f>
        <v/>
      </c>
      <c r="C626">
        <f>IF($AG626="","",Config!$B$15)</f>
        <v/>
      </c>
      <c r="D626">
        <f>IF($AG626="","",INDEX('TMP Paste'!$B$2:$B$1601,$AG626))</f>
        <v/>
      </c>
      <c r="E626">
        <f>IF($AG626="","",Config!$B$27)</f>
        <v/>
      </c>
      <c r="F626">
        <f>IF($AG626="","",Config!$B$9)</f>
        <v/>
      </c>
      <c r="G626">
        <f>IF($AG626="","",Config!$B$10)</f>
        <v/>
      </c>
      <c r="H626">
        <f>IF($AG626="","",Config!$B$11)</f>
        <v/>
      </c>
      <c r="I626">
        <f>IF($AG626="","",Config!$B$16)</f>
        <v/>
      </c>
      <c r="J626">
        <f>IF($AG626="","",INDEX('TMP Paste'!$A$2:$A$1601,$AG626))</f>
        <v/>
      </c>
      <c r="K626">
        <f>IF($AG626="","",INDEX('TMP Paste'!$L$2:$L$1601,$AG626))</f>
        <v/>
      </c>
      <c r="L626">
        <f>IF($AG626="","",INDEX('TMP Paste'!$I$2:$I$1601,$AG626))</f>
        <v/>
      </c>
      <c r="M626">
        <f>IF($AG626="","",Config!$B$16)</f>
        <v/>
      </c>
      <c r="N626">
        <f>IF($AG626="","","")</f>
        <v/>
      </c>
      <c r="O626">
        <f>IF($AG626="","",INDEX('TMP Paste'!$K$2:$K$1601,$AG626))</f>
        <v/>
      </c>
      <c r="P626">
        <f>IF($AG626="","","")</f>
        <v/>
      </c>
      <c r="Q626">
        <f>IF($AG626="","",INDEX('TMP Paste'!$J$2:$J$1601,$AG626))</f>
        <v/>
      </c>
      <c r="R626">
        <f>IF($AG626="","",Config!$B$24)</f>
        <v/>
      </c>
      <c r="S626">
        <f>IF($AG626="","",TEXT(Config!$B$4,"yyyy-mm-dd"))</f>
        <v/>
      </c>
      <c r="T626">
        <f>IF($AG626="","",Config!$B$17)</f>
        <v/>
      </c>
      <c r="U626">
        <f>IF($AG626="","",Config!$B$18)</f>
        <v/>
      </c>
      <c r="V626">
        <f>IF($AG626="","",Config!$B$19)</f>
        <v/>
      </c>
      <c r="W626">
        <f>IF($AG626="","",INDEX('TMP Paste'!$C$2:$C$1601,$AG626))</f>
        <v/>
      </c>
      <c r="X626">
        <f>IF($AG626="","",Config!$B$29)</f>
        <v/>
      </c>
      <c r="Y626">
        <f>IF($AH626="","",INDEX(Calc!$I$2:$I$1601,$AH626)&amp;" - "&amp;INDEX(Calc!$D$2:$D$1601,$AH626)&amp;" koli")</f>
        <v/>
      </c>
      <c r="Z626">
        <f>IF($AG626="","",Config!$B$21)</f>
        <v/>
      </c>
      <c r="AA626">
        <f>IF($AG626="","",Config!$B$22)</f>
        <v/>
      </c>
      <c r="AB626">
        <f>IF($AH626="","",INDEX(Calc!$D$2:$D$1601,$AH626))</f>
        <v/>
      </c>
      <c r="AC626">
        <f>IF($AH626="","",INDEX(Calc!$G$2:$G$1601,$AH626))</f>
        <v/>
      </c>
      <c r="AD626">
        <f>IF($AG626="","",Config!$B$23)</f>
        <v/>
      </c>
      <c r="AE626">
        <f>IF($AG626="","",Config!$B$28)</f>
        <v/>
      </c>
      <c r="AG626">
        <f>IFERROR(MATCH(ROW()-1,Calc!$J$2:$J$1601,0),"")</f>
        <v/>
      </c>
      <c r="AH626">
        <f>IFERROR(MATCH(ROW()-1,Calc!$K$2:$K$1601,0),"")</f>
        <v/>
      </c>
      <c r="AI626">
        <f>IF($AG626="","",SUMIF($AG$2:$AG626,$AG626,$AH$2:$AH626))</f>
        <v/>
      </c>
      <c r="AJ626">
        <f>IF('TMP Paste'!$F626="","",IF('TMP Paste'!$B626="",$AJ625,'TMP Paste'!$B626))</f>
        <v/>
      </c>
      <c r="AK626">
        <f>IF('TMP Paste'!$F626="","",N('TMP Paste'!$G626))</f>
        <v/>
      </c>
      <c r="AL626">
        <f>IF('TMP Paste'!$F626="","",IF('TMP Paste'!$M626="",$AL625,'TMP Paste'!$M626))</f>
        <v/>
      </c>
      <c r="AM626">
        <f>IF('TMP Paste'!$F626="","",IF('TMP Paste'!$N626="",$AM625,'TMP Paste'!$N626))</f>
        <v/>
      </c>
      <c r="AN626">
        <f>IF('TMP Paste'!$F626="","",IF('TMP Paste'!$O626="",$AN625,'TMP Paste'!$O626))</f>
        <v/>
      </c>
      <c r="AO626">
        <f>IF('TMP Paste'!$F626="","",IF('TMP Paste'!$P626="",$AO625,'TMP Paste'!$P626))</f>
        <v/>
      </c>
      <c r="AP626">
        <f>IF($AG626="","",LEN($R626))</f>
        <v/>
      </c>
      <c r="AQ626">
        <f>IF($AG626="","",TRIM(IF(COUNTIFS(Calc!$B$2:$B$1601,ROW()-1,Calc!$C$2:$C$1601,"&lt;1")&gt;0,"Ada PO tanpa Koli - cek TMP. ","")&amp;IF(LEN($R626)&gt;500,"R &gt; 500 karakter.","")))</f>
        <v/>
      </c>
    </row>
    <row r="627">
      <c r="A627">
        <f>IF($AG627="","",INDEX('TMP Paste'!$B$2:$B$1601,$AG627))</f>
        <v/>
      </c>
      <c r="B627">
        <f>IF($AG627="","",Config!$B$14)</f>
        <v/>
      </c>
      <c r="C627">
        <f>IF($AG627="","",Config!$B$15)</f>
        <v/>
      </c>
      <c r="D627">
        <f>IF($AG627="","",INDEX('TMP Paste'!$B$2:$B$1601,$AG627))</f>
        <v/>
      </c>
      <c r="E627">
        <f>IF($AG627="","",Config!$B$27)</f>
        <v/>
      </c>
      <c r="F627">
        <f>IF($AG627="","",Config!$B$9)</f>
        <v/>
      </c>
      <c r="G627">
        <f>IF($AG627="","",Config!$B$10)</f>
        <v/>
      </c>
      <c r="H627">
        <f>IF($AG627="","",Config!$B$11)</f>
        <v/>
      </c>
      <c r="I627">
        <f>IF($AG627="","",Config!$B$16)</f>
        <v/>
      </c>
      <c r="J627">
        <f>IF($AG627="","",INDEX('TMP Paste'!$A$2:$A$1601,$AG627))</f>
        <v/>
      </c>
      <c r="K627">
        <f>IF($AG627="","",INDEX('TMP Paste'!$L$2:$L$1601,$AG627))</f>
        <v/>
      </c>
      <c r="L627">
        <f>IF($AG627="","",INDEX('TMP Paste'!$I$2:$I$1601,$AG627))</f>
        <v/>
      </c>
      <c r="M627">
        <f>IF($AG627="","",Config!$B$16)</f>
        <v/>
      </c>
      <c r="N627">
        <f>IF($AG627="","","")</f>
        <v/>
      </c>
      <c r="O627">
        <f>IF($AG627="","",INDEX('TMP Paste'!$K$2:$K$1601,$AG627))</f>
        <v/>
      </c>
      <c r="P627">
        <f>IF($AG627="","","")</f>
        <v/>
      </c>
      <c r="Q627">
        <f>IF($AG627="","",INDEX('TMP Paste'!$J$2:$J$1601,$AG627))</f>
        <v/>
      </c>
      <c r="R627">
        <f>IF($AG627="","",Config!$B$24)</f>
        <v/>
      </c>
      <c r="S627">
        <f>IF($AG627="","",TEXT(Config!$B$4,"yyyy-mm-dd"))</f>
        <v/>
      </c>
      <c r="T627">
        <f>IF($AG627="","",Config!$B$17)</f>
        <v/>
      </c>
      <c r="U627">
        <f>IF($AG627="","",Config!$B$18)</f>
        <v/>
      </c>
      <c r="V627">
        <f>IF($AG627="","",Config!$B$19)</f>
        <v/>
      </c>
      <c r="W627">
        <f>IF($AG627="","",INDEX('TMP Paste'!$C$2:$C$1601,$AG627))</f>
        <v/>
      </c>
      <c r="X627">
        <f>IF($AG627="","",Config!$B$29)</f>
        <v/>
      </c>
      <c r="Y627">
        <f>IF($AH627="","",INDEX(Calc!$I$2:$I$1601,$AH627)&amp;" - "&amp;INDEX(Calc!$D$2:$D$1601,$AH627)&amp;" koli")</f>
        <v/>
      </c>
      <c r="Z627">
        <f>IF($AG627="","",Config!$B$21)</f>
        <v/>
      </c>
      <c r="AA627">
        <f>IF($AG627="","",Config!$B$22)</f>
        <v/>
      </c>
      <c r="AB627">
        <f>IF($AH627="","",INDEX(Calc!$D$2:$D$1601,$AH627))</f>
        <v/>
      </c>
      <c r="AC627">
        <f>IF($AH627="","",INDEX(Calc!$G$2:$G$1601,$AH627))</f>
        <v/>
      </c>
      <c r="AD627">
        <f>IF($AG627="","",Config!$B$23)</f>
        <v/>
      </c>
      <c r="AE627">
        <f>IF($AG627="","",Config!$B$28)</f>
        <v/>
      </c>
      <c r="AG627">
        <f>IFERROR(MATCH(ROW()-1,Calc!$J$2:$J$1601,0),"")</f>
        <v/>
      </c>
      <c r="AH627">
        <f>IFERROR(MATCH(ROW()-1,Calc!$K$2:$K$1601,0),"")</f>
        <v/>
      </c>
      <c r="AI627">
        <f>IF($AG627="","",SUMIF($AG$2:$AG627,$AG627,$AH$2:$AH627))</f>
        <v/>
      </c>
      <c r="AJ627">
        <f>IF('TMP Paste'!$F627="","",IF('TMP Paste'!$B627="",$AJ626,'TMP Paste'!$B627))</f>
        <v/>
      </c>
      <c r="AK627">
        <f>IF('TMP Paste'!$F627="","",N('TMP Paste'!$G627))</f>
        <v/>
      </c>
      <c r="AL627">
        <f>IF('TMP Paste'!$F627="","",IF('TMP Paste'!$M627="",$AL626,'TMP Paste'!$M627))</f>
        <v/>
      </c>
      <c r="AM627">
        <f>IF('TMP Paste'!$F627="","",IF('TMP Paste'!$N627="",$AM626,'TMP Paste'!$N627))</f>
        <v/>
      </c>
      <c r="AN627">
        <f>IF('TMP Paste'!$F627="","",IF('TMP Paste'!$O627="",$AN626,'TMP Paste'!$O627))</f>
        <v/>
      </c>
      <c r="AO627">
        <f>IF('TMP Paste'!$F627="","",IF('TMP Paste'!$P627="",$AO626,'TMP Paste'!$P627))</f>
        <v/>
      </c>
      <c r="AP627">
        <f>IF($AG627="","",LEN($R627))</f>
        <v/>
      </c>
      <c r="AQ627">
        <f>IF($AG627="","",TRIM(IF(COUNTIFS(Calc!$B$2:$B$1601,ROW()-1,Calc!$C$2:$C$1601,"&lt;1")&gt;0,"Ada PO tanpa Koli - cek TMP. ","")&amp;IF(LEN($R627)&gt;500,"R &gt; 500 karakter.","")))</f>
        <v/>
      </c>
    </row>
    <row r="628">
      <c r="A628">
        <f>IF($AG628="","",INDEX('TMP Paste'!$B$2:$B$1601,$AG628))</f>
        <v/>
      </c>
      <c r="B628">
        <f>IF($AG628="","",Config!$B$14)</f>
        <v/>
      </c>
      <c r="C628">
        <f>IF($AG628="","",Config!$B$15)</f>
        <v/>
      </c>
      <c r="D628">
        <f>IF($AG628="","",INDEX('TMP Paste'!$B$2:$B$1601,$AG628))</f>
        <v/>
      </c>
      <c r="E628">
        <f>IF($AG628="","",Config!$B$27)</f>
        <v/>
      </c>
      <c r="F628">
        <f>IF($AG628="","",Config!$B$9)</f>
        <v/>
      </c>
      <c r="G628">
        <f>IF($AG628="","",Config!$B$10)</f>
        <v/>
      </c>
      <c r="H628">
        <f>IF($AG628="","",Config!$B$11)</f>
        <v/>
      </c>
      <c r="I628">
        <f>IF($AG628="","",Config!$B$16)</f>
        <v/>
      </c>
      <c r="J628">
        <f>IF($AG628="","",INDEX('TMP Paste'!$A$2:$A$1601,$AG628))</f>
        <v/>
      </c>
      <c r="K628">
        <f>IF($AG628="","",INDEX('TMP Paste'!$L$2:$L$1601,$AG628))</f>
        <v/>
      </c>
      <c r="L628">
        <f>IF($AG628="","",INDEX('TMP Paste'!$I$2:$I$1601,$AG628))</f>
        <v/>
      </c>
      <c r="M628">
        <f>IF($AG628="","",Config!$B$16)</f>
        <v/>
      </c>
      <c r="N628">
        <f>IF($AG628="","","")</f>
        <v/>
      </c>
      <c r="O628">
        <f>IF($AG628="","",INDEX('TMP Paste'!$K$2:$K$1601,$AG628))</f>
        <v/>
      </c>
      <c r="P628">
        <f>IF($AG628="","","")</f>
        <v/>
      </c>
      <c r="Q628">
        <f>IF($AG628="","",INDEX('TMP Paste'!$J$2:$J$1601,$AG628))</f>
        <v/>
      </c>
      <c r="R628">
        <f>IF($AG628="","",Config!$B$24)</f>
        <v/>
      </c>
      <c r="S628">
        <f>IF($AG628="","",TEXT(Config!$B$4,"yyyy-mm-dd"))</f>
        <v/>
      </c>
      <c r="T628">
        <f>IF($AG628="","",Config!$B$17)</f>
        <v/>
      </c>
      <c r="U628">
        <f>IF($AG628="","",Config!$B$18)</f>
        <v/>
      </c>
      <c r="V628">
        <f>IF($AG628="","",Config!$B$19)</f>
        <v/>
      </c>
      <c r="W628">
        <f>IF($AG628="","",INDEX('TMP Paste'!$C$2:$C$1601,$AG628))</f>
        <v/>
      </c>
      <c r="X628">
        <f>IF($AG628="","",Config!$B$29)</f>
        <v/>
      </c>
      <c r="Y628">
        <f>IF($AH628="","",INDEX(Calc!$I$2:$I$1601,$AH628)&amp;" - "&amp;INDEX(Calc!$D$2:$D$1601,$AH628)&amp;" koli")</f>
        <v/>
      </c>
      <c r="Z628">
        <f>IF($AG628="","",Config!$B$21)</f>
        <v/>
      </c>
      <c r="AA628">
        <f>IF($AG628="","",Config!$B$22)</f>
        <v/>
      </c>
      <c r="AB628">
        <f>IF($AH628="","",INDEX(Calc!$D$2:$D$1601,$AH628))</f>
        <v/>
      </c>
      <c r="AC628">
        <f>IF($AH628="","",INDEX(Calc!$G$2:$G$1601,$AH628))</f>
        <v/>
      </c>
      <c r="AD628">
        <f>IF($AG628="","",Config!$B$23)</f>
        <v/>
      </c>
      <c r="AE628">
        <f>IF($AG628="","",Config!$B$28)</f>
        <v/>
      </c>
      <c r="AG628">
        <f>IFERROR(MATCH(ROW()-1,Calc!$J$2:$J$1601,0),"")</f>
        <v/>
      </c>
      <c r="AH628">
        <f>IFERROR(MATCH(ROW()-1,Calc!$K$2:$K$1601,0),"")</f>
        <v/>
      </c>
      <c r="AI628">
        <f>IF($AG628="","",SUMIF($AG$2:$AG628,$AG628,$AH$2:$AH628))</f>
        <v/>
      </c>
      <c r="AJ628">
        <f>IF('TMP Paste'!$F628="","",IF('TMP Paste'!$B628="",$AJ627,'TMP Paste'!$B628))</f>
        <v/>
      </c>
      <c r="AK628">
        <f>IF('TMP Paste'!$F628="","",N('TMP Paste'!$G628))</f>
        <v/>
      </c>
      <c r="AL628">
        <f>IF('TMP Paste'!$F628="","",IF('TMP Paste'!$M628="",$AL627,'TMP Paste'!$M628))</f>
        <v/>
      </c>
      <c r="AM628">
        <f>IF('TMP Paste'!$F628="","",IF('TMP Paste'!$N628="",$AM627,'TMP Paste'!$N628))</f>
        <v/>
      </c>
      <c r="AN628">
        <f>IF('TMP Paste'!$F628="","",IF('TMP Paste'!$O628="",$AN627,'TMP Paste'!$O628))</f>
        <v/>
      </c>
      <c r="AO628">
        <f>IF('TMP Paste'!$F628="","",IF('TMP Paste'!$P628="",$AO627,'TMP Paste'!$P628))</f>
        <v/>
      </c>
      <c r="AP628">
        <f>IF($AG628="","",LEN($R628))</f>
        <v/>
      </c>
      <c r="AQ628">
        <f>IF($AG628="","",TRIM(IF(COUNTIFS(Calc!$B$2:$B$1601,ROW()-1,Calc!$C$2:$C$1601,"&lt;1")&gt;0,"Ada PO tanpa Koli - cek TMP. ","")&amp;IF(LEN($R628)&gt;500,"R &gt; 500 karakter.","")))</f>
        <v/>
      </c>
    </row>
    <row r="629">
      <c r="A629">
        <f>IF($AG629="","",INDEX('TMP Paste'!$B$2:$B$1601,$AG629))</f>
        <v/>
      </c>
      <c r="B629">
        <f>IF($AG629="","",Config!$B$14)</f>
        <v/>
      </c>
      <c r="C629">
        <f>IF($AG629="","",Config!$B$15)</f>
        <v/>
      </c>
      <c r="D629">
        <f>IF($AG629="","",INDEX('TMP Paste'!$B$2:$B$1601,$AG629))</f>
        <v/>
      </c>
      <c r="E629">
        <f>IF($AG629="","",Config!$B$27)</f>
        <v/>
      </c>
      <c r="F629">
        <f>IF($AG629="","",Config!$B$9)</f>
        <v/>
      </c>
      <c r="G629">
        <f>IF($AG629="","",Config!$B$10)</f>
        <v/>
      </c>
      <c r="H629">
        <f>IF($AG629="","",Config!$B$11)</f>
        <v/>
      </c>
      <c r="I629">
        <f>IF($AG629="","",Config!$B$16)</f>
        <v/>
      </c>
      <c r="J629">
        <f>IF($AG629="","",INDEX('TMP Paste'!$A$2:$A$1601,$AG629))</f>
        <v/>
      </c>
      <c r="K629">
        <f>IF($AG629="","",INDEX('TMP Paste'!$L$2:$L$1601,$AG629))</f>
        <v/>
      </c>
      <c r="L629">
        <f>IF($AG629="","",INDEX('TMP Paste'!$I$2:$I$1601,$AG629))</f>
        <v/>
      </c>
      <c r="M629">
        <f>IF($AG629="","",Config!$B$16)</f>
        <v/>
      </c>
      <c r="N629">
        <f>IF($AG629="","","")</f>
        <v/>
      </c>
      <c r="O629">
        <f>IF($AG629="","",INDEX('TMP Paste'!$K$2:$K$1601,$AG629))</f>
        <v/>
      </c>
      <c r="P629">
        <f>IF($AG629="","","")</f>
        <v/>
      </c>
      <c r="Q629">
        <f>IF($AG629="","",INDEX('TMP Paste'!$J$2:$J$1601,$AG629))</f>
        <v/>
      </c>
      <c r="R629">
        <f>IF($AG629="","",Config!$B$24)</f>
        <v/>
      </c>
      <c r="S629">
        <f>IF($AG629="","",TEXT(Config!$B$4,"yyyy-mm-dd"))</f>
        <v/>
      </c>
      <c r="T629">
        <f>IF($AG629="","",Config!$B$17)</f>
        <v/>
      </c>
      <c r="U629">
        <f>IF($AG629="","",Config!$B$18)</f>
        <v/>
      </c>
      <c r="V629">
        <f>IF($AG629="","",Config!$B$19)</f>
        <v/>
      </c>
      <c r="W629">
        <f>IF($AG629="","",INDEX('TMP Paste'!$C$2:$C$1601,$AG629))</f>
        <v/>
      </c>
      <c r="X629">
        <f>IF($AG629="","",Config!$B$29)</f>
        <v/>
      </c>
      <c r="Y629">
        <f>IF($AH629="","",INDEX(Calc!$I$2:$I$1601,$AH629)&amp;" - "&amp;INDEX(Calc!$D$2:$D$1601,$AH629)&amp;" koli")</f>
        <v/>
      </c>
      <c r="Z629">
        <f>IF($AG629="","",Config!$B$21)</f>
        <v/>
      </c>
      <c r="AA629">
        <f>IF($AG629="","",Config!$B$22)</f>
        <v/>
      </c>
      <c r="AB629">
        <f>IF($AH629="","",INDEX(Calc!$D$2:$D$1601,$AH629))</f>
        <v/>
      </c>
      <c r="AC629">
        <f>IF($AH629="","",INDEX(Calc!$G$2:$G$1601,$AH629))</f>
        <v/>
      </c>
      <c r="AD629">
        <f>IF($AG629="","",Config!$B$23)</f>
        <v/>
      </c>
      <c r="AE629">
        <f>IF($AG629="","",Config!$B$28)</f>
        <v/>
      </c>
      <c r="AG629">
        <f>IFERROR(MATCH(ROW()-1,Calc!$J$2:$J$1601,0),"")</f>
        <v/>
      </c>
      <c r="AH629">
        <f>IFERROR(MATCH(ROW()-1,Calc!$K$2:$K$1601,0),"")</f>
        <v/>
      </c>
      <c r="AI629">
        <f>IF($AG629="","",SUMIF($AG$2:$AG629,$AG629,$AH$2:$AH629))</f>
        <v/>
      </c>
      <c r="AJ629">
        <f>IF('TMP Paste'!$F629="","",IF('TMP Paste'!$B629="",$AJ628,'TMP Paste'!$B629))</f>
        <v/>
      </c>
      <c r="AK629">
        <f>IF('TMP Paste'!$F629="","",N('TMP Paste'!$G629))</f>
        <v/>
      </c>
      <c r="AL629">
        <f>IF('TMP Paste'!$F629="","",IF('TMP Paste'!$M629="",$AL628,'TMP Paste'!$M629))</f>
        <v/>
      </c>
      <c r="AM629">
        <f>IF('TMP Paste'!$F629="","",IF('TMP Paste'!$N629="",$AM628,'TMP Paste'!$N629))</f>
        <v/>
      </c>
      <c r="AN629">
        <f>IF('TMP Paste'!$F629="","",IF('TMP Paste'!$O629="",$AN628,'TMP Paste'!$O629))</f>
        <v/>
      </c>
      <c r="AO629">
        <f>IF('TMP Paste'!$F629="","",IF('TMP Paste'!$P629="",$AO628,'TMP Paste'!$P629))</f>
        <v/>
      </c>
      <c r="AP629">
        <f>IF($AG629="","",LEN($R629))</f>
        <v/>
      </c>
      <c r="AQ629">
        <f>IF($AG629="","",TRIM(IF(COUNTIFS(Calc!$B$2:$B$1601,ROW()-1,Calc!$C$2:$C$1601,"&lt;1")&gt;0,"Ada PO tanpa Koli - cek TMP. ","")&amp;IF(LEN($R629)&gt;500,"R &gt; 500 karakter.","")))</f>
        <v/>
      </c>
    </row>
    <row r="630">
      <c r="A630">
        <f>IF($AG630="","",INDEX('TMP Paste'!$B$2:$B$1601,$AG630))</f>
        <v/>
      </c>
      <c r="B630">
        <f>IF($AG630="","",Config!$B$14)</f>
        <v/>
      </c>
      <c r="C630">
        <f>IF($AG630="","",Config!$B$15)</f>
        <v/>
      </c>
      <c r="D630">
        <f>IF($AG630="","",INDEX('TMP Paste'!$B$2:$B$1601,$AG630))</f>
        <v/>
      </c>
      <c r="E630">
        <f>IF($AG630="","",Config!$B$27)</f>
        <v/>
      </c>
      <c r="F630">
        <f>IF($AG630="","",Config!$B$9)</f>
        <v/>
      </c>
      <c r="G630">
        <f>IF($AG630="","",Config!$B$10)</f>
        <v/>
      </c>
      <c r="H630">
        <f>IF($AG630="","",Config!$B$11)</f>
        <v/>
      </c>
      <c r="I630">
        <f>IF($AG630="","",Config!$B$16)</f>
        <v/>
      </c>
      <c r="J630">
        <f>IF($AG630="","",INDEX('TMP Paste'!$A$2:$A$1601,$AG630))</f>
        <v/>
      </c>
      <c r="K630">
        <f>IF($AG630="","",INDEX('TMP Paste'!$L$2:$L$1601,$AG630))</f>
        <v/>
      </c>
      <c r="L630">
        <f>IF($AG630="","",INDEX('TMP Paste'!$I$2:$I$1601,$AG630))</f>
        <v/>
      </c>
      <c r="M630">
        <f>IF($AG630="","",Config!$B$16)</f>
        <v/>
      </c>
      <c r="N630">
        <f>IF($AG630="","","")</f>
        <v/>
      </c>
      <c r="O630">
        <f>IF($AG630="","",INDEX('TMP Paste'!$K$2:$K$1601,$AG630))</f>
        <v/>
      </c>
      <c r="P630">
        <f>IF($AG630="","","")</f>
        <v/>
      </c>
      <c r="Q630">
        <f>IF($AG630="","",INDEX('TMP Paste'!$J$2:$J$1601,$AG630))</f>
        <v/>
      </c>
      <c r="R630">
        <f>IF($AG630="","",Config!$B$24)</f>
        <v/>
      </c>
      <c r="S630">
        <f>IF($AG630="","",TEXT(Config!$B$4,"yyyy-mm-dd"))</f>
        <v/>
      </c>
      <c r="T630">
        <f>IF($AG630="","",Config!$B$17)</f>
        <v/>
      </c>
      <c r="U630">
        <f>IF($AG630="","",Config!$B$18)</f>
        <v/>
      </c>
      <c r="V630">
        <f>IF($AG630="","",Config!$B$19)</f>
        <v/>
      </c>
      <c r="W630">
        <f>IF($AG630="","",INDEX('TMP Paste'!$C$2:$C$1601,$AG630))</f>
        <v/>
      </c>
      <c r="X630">
        <f>IF($AG630="","",Config!$B$29)</f>
        <v/>
      </c>
      <c r="Y630">
        <f>IF($AH630="","",INDEX(Calc!$I$2:$I$1601,$AH630)&amp;" - "&amp;INDEX(Calc!$D$2:$D$1601,$AH630)&amp;" koli")</f>
        <v/>
      </c>
      <c r="Z630">
        <f>IF($AG630="","",Config!$B$21)</f>
        <v/>
      </c>
      <c r="AA630">
        <f>IF($AG630="","",Config!$B$22)</f>
        <v/>
      </c>
      <c r="AB630">
        <f>IF($AH630="","",INDEX(Calc!$D$2:$D$1601,$AH630))</f>
        <v/>
      </c>
      <c r="AC630">
        <f>IF($AH630="","",INDEX(Calc!$G$2:$G$1601,$AH630))</f>
        <v/>
      </c>
      <c r="AD630">
        <f>IF($AG630="","",Config!$B$23)</f>
        <v/>
      </c>
      <c r="AE630">
        <f>IF($AG630="","",Config!$B$28)</f>
        <v/>
      </c>
      <c r="AG630">
        <f>IFERROR(MATCH(ROW()-1,Calc!$J$2:$J$1601,0),"")</f>
        <v/>
      </c>
      <c r="AH630">
        <f>IFERROR(MATCH(ROW()-1,Calc!$K$2:$K$1601,0),"")</f>
        <v/>
      </c>
      <c r="AI630">
        <f>IF($AG630="","",SUMIF($AG$2:$AG630,$AG630,$AH$2:$AH630))</f>
        <v/>
      </c>
      <c r="AJ630">
        <f>IF('TMP Paste'!$F630="","",IF('TMP Paste'!$B630="",$AJ629,'TMP Paste'!$B630))</f>
        <v/>
      </c>
      <c r="AK630">
        <f>IF('TMP Paste'!$F630="","",N('TMP Paste'!$G630))</f>
        <v/>
      </c>
      <c r="AL630">
        <f>IF('TMP Paste'!$F630="","",IF('TMP Paste'!$M630="",$AL629,'TMP Paste'!$M630))</f>
        <v/>
      </c>
      <c r="AM630">
        <f>IF('TMP Paste'!$F630="","",IF('TMP Paste'!$N630="",$AM629,'TMP Paste'!$N630))</f>
        <v/>
      </c>
      <c r="AN630">
        <f>IF('TMP Paste'!$F630="","",IF('TMP Paste'!$O630="",$AN629,'TMP Paste'!$O630))</f>
        <v/>
      </c>
      <c r="AO630">
        <f>IF('TMP Paste'!$F630="","",IF('TMP Paste'!$P630="",$AO629,'TMP Paste'!$P630))</f>
        <v/>
      </c>
      <c r="AP630">
        <f>IF($AG630="","",LEN($R630))</f>
        <v/>
      </c>
      <c r="AQ630">
        <f>IF($AG630="","",TRIM(IF(COUNTIFS(Calc!$B$2:$B$1601,ROW()-1,Calc!$C$2:$C$1601,"&lt;1")&gt;0,"Ada PO tanpa Koli - cek TMP. ","")&amp;IF(LEN($R630)&gt;500,"R &gt; 500 karakter.","")))</f>
        <v/>
      </c>
    </row>
    <row r="631">
      <c r="A631">
        <f>IF($AG631="","",INDEX('TMP Paste'!$B$2:$B$1601,$AG631))</f>
        <v/>
      </c>
      <c r="B631">
        <f>IF($AG631="","",Config!$B$14)</f>
        <v/>
      </c>
      <c r="C631">
        <f>IF($AG631="","",Config!$B$15)</f>
        <v/>
      </c>
      <c r="D631">
        <f>IF($AG631="","",INDEX('TMP Paste'!$B$2:$B$1601,$AG631))</f>
        <v/>
      </c>
      <c r="E631">
        <f>IF($AG631="","",Config!$B$27)</f>
        <v/>
      </c>
      <c r="F631">
        <f>IF($AG631="","",Config!$B$9)</f>
        <v/>
      </c>
      <c r="G631">
        <f>IF($AG631="","",Config!$B$10)</f>
        <v/>
      </c>
      <c r="H631">
        <f>IF($AG631="","",Config!$B$11)</f>
        <v/>
      </c>
      <c r="I631">
        <f>IF($AG631="","",Config!$B$16)</f>
        <v/>
      </c>
      <c r="J631">
        <f>IF($AG631="","",INDEX('TMP Paste'!$A$2:$A$1601,$AG631))</f>
        <v/>
      </c>
      <c r="K631">
        <f>IF($AG631="","",INDEX('TMP Paste'!$L$2:$L$1601,$AG631))</f>
        <v/>
      </c>
      <c r="L631">
        <f>IF($AG631="","",INDEX('TMP Paste'!$I$2:$I$1601,$AG631))</f>
        <v/>
      </c>
      <c r="M631">
        <f>IF($AG631="","",Config!$B$16)</f>
        <v/>
      </c>
      <c r="N631">
        <f>IF($AG631="","","")</f>
        <v/>
      </c>
      <c r="O631">
        <f>IF($AG631="","",INDEX('TMP Paste'!$K$2:$K$1601,$AG631))</f>
        <v/>
      </c>
      <c r="P631">
        <f>IF($AG631="","","")</f>
        <v/>
      </c>
      <c r="Q631">
        <f>IF($AG631="","",INDEX('TMP Paste'!$J$2:$J$1601,$AG631))</f>
        <v/>
      </c>
      <c r="R631">
        <f>IF($AG631="","",Config!$B$24)</f>
        <v/>
      </c>
      <c r="S631">
        <f>IF($AG631="","",TEXT(Config!$B$4,"yyyy-mm-dd"))</f>
        <v/>
      </c>
      <c r="T631">
        <f>IF($AG631="","",Config!$B$17)</f>
        <v/>
      </c>
      <c r="U631">
        <f>IF($AG631="","",Config!$B$18)</f>
        <v/>
      </c>
      <c r="V631">
        <f>IF($AG631="","",Config!$B$19)</f>
        <v/>
      </c>
      <c r="W631">
        <f>IF($AG631="","",INDEX('TMP Paste'!$C$2:$C$1601,$AG631))</f>
        <v/>
      </c>
      <c r="X631">
        <f>IF($AG631="","",Config!$B$29)</f>
        <v/>
      </c>
      <c r="Y631">
        <f>IF($AH631="","",INDEX(Calc!$I$2:$I$1601,$AH631)&amp;" - "&amp;INDEX(Calc!$D$2:$D$1601,$AH631)&amp;" koli")</f>
        <v/>
      </c>
      <c r="Z631">
        <f>IF($AG631="","",Config!$B$21)</f>
        <v/>
      </c>
      <c r="AA631">
        <f>IF($AG631="","",Config!$B$22)</f>
        <v/>
      </c>
      <c r="AB631">
        <f>IF($AH631="","",INDEX(Calc!$D$2:$D$1601,$AH631))</f>
        <v/>
      </c>
      <c r="AC631">
        <f>IF($AH631="","",INDEX(Calc!$G$2:$G$1601,$AH631))</f>
        <v/>
      </c>
      <c r="AD631">
        <f>IF($AG631="","",Config!$B$23)</f>
        <v/>
      </c>
      <c r="AE631">
        <f>IF($AG631="","",Config!$B$28)</f>
        <v/>
      </c>
      <c r="AG631">
        <f>IFERROR(MATCH(ROW()-1,Calc!$J$2:$J$1601,0),"")</f>
        <v/>
      </c>
      <c r="AH631">
        <f>IFERROR(MATCH(ROW()-1,Calc!$K$2:$K$1601,0),"")</f>
        <v/>
      </c>
      <c r="AI631">
        <f>IF($AG631="","",SUMIF($AG$2:$AG631,$AG631,$AH$2:$AH631))</f>
        <v/>
      </c>
      <c r="AJ631">
        <f>IF('TMP Paste'!$F631="","",IF('TMP Paste'!$B631="",$AJ630,'TMP Paste'!$B631))</f>
        <v/>
      </c>
      <c r="AK631">
        <f>IF('TMP Paste'!$F631="","",N('TMP Paste'!$G631))</f>
        <v/>
      </c>
      <c r="AL631">
        <f>IF('TMP Paste'!$F631="","",IF('TMP Paste'!$M631="",$AL630,'TMP Paste'!$M631))</f>
        <v/>
      </c>
      <c r="AM631">
        <f>IF('TMP Paste'!$F631="","",IF('TMP Paste'!$N631="",$AM630,'TMP Paste'!$N631))</f>
        <v/>
      </c>
      <c r="AN631">
        <f>IF('TMP Paste'!$F631="","",IF('TMP Paste'!$O631="",$AN630,'TMP Paste'!$O631))</f>
        <v/>
      </c>
      <c r="AO631">
        <f>IF('TMP Paste'!$F631="","",IF('TMP Paste'!$P631="",$AO630,'TMP Paste'!$P631))</f>
        <v/>
      </c>
      <c r="AP631">
        <f>IF($AG631="","",LEN($R631))</f>
        <v/>
      </c>
      <c r="AQ631">
        <f>IF($AG631="","",TRIM(IF(COUNTIFS(Calc!$B$2:$B$1601,ROW()-1,Calc!$C$2:$C$1601,"&lt;1")&gt;0,"Ada PO tanpa Koli - cek TMP. ","")&amp;IF(LEN($R631)&gt;500,"R &gt; 500 karakter.","")))</f>
        <v/>
      </c>
    </row>
    <row r="632">
      <c r="A632">
        <f>IF($AG632="","",INDEX('TMP Paste'!$B$2:$B$1601,$AG632))</f>
        <v/>
      </c>
      <c r="B632">
        <f>IF($AG632="","",Config!$B$14)</f>
        <v/>
      </c>
      <c r="C632">
        <f>IF($AG632="","",Config!$B$15)</f>
        <v/>
      </c>
      <c r="D632">
        <f>IF($AG632="","",INDEX('TMP Paste'!$B$2:$B$1601,$AG632))</f>
        <v/>
      </c>
      <c r="E632">
        <f>IF($AG632="","",Config!$B$27)</f>
        <v/>
      </c>
      <c r="F632">
        <f>IF($AG632="","",Config!$B$9)</f>
        <v/>
      </c>
      <c r="G632">
        <f>IF($AG632="","",Config!$B$10)</f>
        <v/>
      </c>
      <c r="H632">
        <f>IF($AG632="","",Config!$B$11)</f>
        <v/>
      </c>
      <c r="I632">
        <f>IF($AG632="","",Config!$B$16)</f>
        <v/>
      </c>
      <c r="J632">
        <f>IF($AG632="","",INDEX('TMP Paste'!$A$2:$A$1601,$AG632))</f>
        <v/>
      </c>
      <c r="K632">
        <f>IF($AG632="","",INDEX('TMP Paste'!$L$2:$L$1601,$AG632))</f>
        <v/>
      </c>
      <c r="L632">
        <f>IF($AG632="","",INDEX('TMP Paste'!$I$2:$I$1601,$AG632))</f>
        <v/>
      </c>
      <c r="M632">
        <f>IF($AG632="","",Config!$B$16)</f>
        <v/>
      </c>
      <c r="N632">
        <f>IF($AG632="","","")</f>
        <v/>
      </c>
      <c r="O632">
        <f>IF($AG632="","",INDEX('TMP Paste'!$K$2:$K$1601,$AG632))</f>
        <v/>
      </c>
      <c r="P632">
        <f>IF($AG632="","","")</f>
        <v/>
      </c>
      <c r="Q632">
        <f>IF($AG632="","",INDEX('TMP Paste'!$J$2:$J$1601,$AG632))</f>
        <v/>
      </c>
      <c r="R632">
        <f>IF($AG632="","",Config!$B$24)</f>
        <v/>
      </c>
      <c r="S632">
        <f>IF($AG632="","",TEXT(Config!$B$4,"yyyy-mm-dd"))</f>
        <v/>
      </c>
      <c r="T632">
        <f>IF($AG632="","",Config!$B$17)</f>
        <v/>
      </c>
      <c r="U632">
        <f>IF($AG632="","",Config!$B$18)</f>
        <v/>
      </c>
      <c r="V632">
        <f>IF($AG632="","",Config!$B$19)</f>
        <v/>
      </c>
      <c r="W632">
        <f>IF($AG632="","",INDEX('TMP Paste'!$C$2:$C$1601,$AG632))</f>
        <v/>
      </c>
      <c r="X632">
        <f>IF($AG632="","",Config!$B$29)</f>
        <v/>
      </c>
      <c r="Y632">
        <f>IF($AH632="","",INDEX(Calc!$I$2:$I$1601,$AH632)&amp;" - "&amp;INDEX(Calc!$D$2:$D$1601,$AH632)&amp;" koli")</f>
        <v/>
      </c>
      <c r="Z632">
        <f>IF($AG632="","",Config!$B$21)</f>
        <v/>
      </c>
      <c r="AA632">
        <f>IF($AG632="","",Config!$B$22)</f>
        <v/>
      </c>
      <c r="AB632">
        <f>IF($AH632="","",INDEX(Calc!$D$2:$D$1601,$AH632))</f>
        <v/>
      </c>
      <c r="AC632">
        <f>IF($AH632="","",INDEX(Calc!$G$2:$G$1601,$AH632))</f>
        <v/>
      </c>
      <c r="AD632">
        <f>IF($AG632="","",Config!$B$23)</f>
        <v/>
      </c>
      <c r="AE632">
        <f>IF($AG632="","",Config!$B$28)</f>
        <v/>
      </c>
      <c r="AG632">
        <f>IFERROR(MATCH(ROW()-1,Calc!$J$2:$J$1601,0),"")</f>
        <v/>
      </c>
      <c r="AH632">
        <f>IFERROR(MATCH(ROW()-1,Calc!$K$2:$K$1601,0),"")</f>
        <v/>
      </c>
      <c r="AI632">
        <f>IF($AG632="","",SUMIF($AG$2:$AG632,$AG632,$AH$2:$AH632))</f>
        <v/>
      </c>
      <c r="AJ632">
        <f>IF('TMP Paste'!$F632="","",IF('TMP Paste'!$B632="",$AJ631,'TMP Paste'!$B632))</f>
        <v/>
      </c>
      <c r="AK632">
        <f>IF('TMP Paste'!$F632="","",N('TMP Paste'!$G632))</f>
        <v/>
      </c>
      <c r="AL632">
        <f>IF('TMP Paste'!$F632="","",IF('TMP Paste'!$M632="",$AL631,'TMP Paste'!$M632))</f>
        <v/>
      </c>
      <c r="AM632">
        <f>IF('TMP Paste'!$F632="","",IF('TMP Paste'!$N632="",$AM631,'TMP Paste'!$N632))</f>
        <v/>
      </c>
      <c r="AN632">
        <f>IF('TMP Paste'!$F632="","",IF('TMP Paste'!$O632="",$AN631,'TMP Paste'!$O632))</f>
        <v/>
      </c>
      <c r="AO632">
        <f>IF('TMP Paste'!$F632="","",IF('TMP Paste'!$P632="",$AO631,'TMP Paste'!$P632))</f>
        <v/>
      </c>
      <c r="AP632">
        <f>IF($AG632="","",LEN($R632))</f>
        <v/>
      </c>
      <c r="AQ632">
        <f>IF($AG632="","",TRIM(IF(COUNTIFS(Calc!$B$2:$B$1601,ROW()-1,Calc!$C$2:$C$1601,"&lt;1")&gt;0,"Ada PO tanpa Koli - cek TMP. ","")&amp;IF(LEN($R632)&gt;500,"R &gt; 500 karakter.","")))</f>
        <v/>
      </c>
    </row>
    <row r="633">
      <c r="A633">
        <f>IF($AG633="","",INDEX('TMP Paste'!$B$2:$B$1601,$AG633))</f>
        <v/>
      </c>
      <c r="B633">
        <f>IF($AG633="","",Config!$B$14)</f>
        <v/>
      </c>
      <c r="C633">
        <f>IF($AG633="","",Config!$B$15)</f>
        <v/>
      </c>
      <c r="D633">
        <f>IF($AG633="","",INDEX('TMP Paste'!$B$2:$B$1601,$AG633))</f>
        <v/>
      </c>
      <c r="E633">
        <f>IF($AG633="","",Config!$B$27)</f>
        <v/>
      </c>
      <c r="F633">
        <f>IF($AG633="","",Config!$B$9)</f>
        <v/>
      </c>
      <c r="G633">
        <f>IF($AG633="","",Config!$B$10)</f>
        <v/>
      </c>
      <c r="H633">
        <f>IF($AG633="","",Config!$B$11)</f>
        <v/>
      </c>
      <c r="I633">
        <f>IF($AG633="","",Config!$B$16)</f>
        <v/>
      </c>
      <c r="J633">
        <f>IF($AG633="","",INDEX('TMP Paste'!$A$2:$A$1601,$AG633))</f>
        <v/>
      </c>
      <c r="K633">
        <f>IF($AG633="","",INDEX('TMP Paste'!$L$2:$L$1601,$AG633))</f>
        <v/>
      </c>
      <c r="L633">
        <f>IF($AG633="","",INDEX('TMP Paste'!$I$2:$I$1601,$AG633))</f>
        <v/>
      </c>
      <c r="M633">
        <f>IF($AG633="","",Config!$B$16)</f>
        <v/>
      </c>
      <c r="N633">
        <f>IF($AG633="","","")</f>
        <v/>
      </c>
      <c r="O633">
        <f>IF($AG633="","",INDEX('TMP Paste'!$K$2:$K$1601,$AG633))</f>
        <v/>
      </c>
      <c r="P633">
        <f>IF($AG633="","","")</f>
        <v/>
      </c>
      <c r="Q633">
        <f>IF($AG633="","",INDEX('TMP Paste'!$J$2:$J$1601,$AG633))</f>
        <v/>
      </c>
      <c r="R633">
        <f>IF($AG633="","",Config!$B$24)</f>
        <v/>
      </c>
      <c r="S633">
        <f>IF($AG633="","",TEXT(Config!$B$4,"yyyy-mm-dd"))</f>
        <v/>
      </c>
      <c r="T633">
        <f>IF($AG633="","",Config!$B$17)</f>
        <v/>
      </c>
      <c r="U633">
        <f>IF($AG633="","",Config!$B$18)</f>
        <v/>
      </c>
      <c r="V633">
        <f>IF($AG633="","",Config!$B$19)</f>
        <v/>
      </c>
      <c r="W633">
        <f>IF($AG633="","",INDEX('TMP Paste'!$C$2:$C$1601,$AG633))</f>
        <v/>
      </c>
      <c r="X633">
        <f>IF($AG633="","",Config!$B$29)</f>
        <v/>
      </c>
      <c r="Y633">
        <f>IF($AH633="","",INDEX(Calc!$I$2:$I$1601,$AH633)&amp;" - "&amp;INDEX(Calc!$D$2:$D$1601,$AH633)&amp;" koli")</f>
        <v/>
      </c>
      <c r="Z633">
        <f>IF($AG633="","",Config!$B$21)</f>
        <v/>
      </c>
      <c r="AA633">
        <f>IF($AG633="","",Config!$B$22)</f>
        <v/>
      </c>
      <c r="AB633">
        <f>IF($AH633="","",INDEX(Calc!$D$2:$D$1601,$AH633))</f>
        <v/>
      </c>
      <c r="AC633">
        <f>IF($AH633="","",INDEX(Calc!$G$2:$G$1601,$AH633))</f>
        <v/>
      </c>
      <c r="AD633">
        <f>IF($AG633="","",Config!$B$23)</f>
        <v/>
      </c>
      <c r="AE633">
        <f>IF($AG633="","",Config!$B$28)</f>
        <v/>
      </c>
      <c r="AG633">
        <f>IFERROR(MATCH(ROW()-1,Calc!$J$2:$J$1601,0),"")</f>
        <v/>
      </c>
      <c r="AH633">
        <f>IFERROR(MATCH(ROW()-1,Calc!$K$2:$K$1601,0),"")</f>
        <v/>
      </c>
      <c r="AI633">
        <f>IF($AG633="","",SUMIF($AG$2:$AG633,$AG633,$AH$2:$AH633))</f>
        <v/>
      </c>
      <c r="AJ633">
        <f>IF('TMP Paste'!$F633="","",IF('TMP Paste'!$B633="",$AJ632,'TMP Paste'!$B633))</f>
        <v/>
      </c>
      <c r="AK633">
        <f>IF('TMP Paste'!$F633="","",N('TMP Paste'!$G633))</f>
        <v/>
      </c>
      <c r="AL633">
        <f>IF('TMP Paste'!$F633="","",IF('TMP Paste'!$M633="",$AL632,'TMP Paste'!$M633))</f>
        <v/>
      </c>
      <c r="AM633">
        <f>IF('TMP Paste'!$F633="","",IF('TMP Paste'!$N633="",$AM632,'TMP Paste'!$N633))</f>
        <v/>
      </c>
      <c r="AN633">
        <f>IF('TMP Paste'!$F633="","",IF('TMP Paste'!$O633="",$AN632,'TMP Paste'!$O633))</f>
        <v/>
      </c>
      <c r="AO633">
        <f>IF('TMP Paste'!$F633="","",IF('TMP Paste'!$P633="",$AO632,'TMP Paste'!$P633))</f>
        <v/>
      </c>
      <c r="AP633">
        <f>IF($AG633="","",LEN($R633))</f>
        <v/>
      </c>
      <c r="AQ633">
        <f>IF($AG633="","",TRIM(IF(COUNTIFS(Calc!$B$2:$B$1601,ROW()-1,Calc!$C$2:$C$1601,"&lt;1")&gt;0,"Ada PO tanpa Koli - cek TMP. ","")&amp;IF(LEN($R633)&gt;500,"R &gt; 500 karakter.","")))</f>
        <v/>
      </c>
    </row>
    <row r="634">
      <c r="A634">
        <f>IF($AG634="","",INDEX('TMP Paste'!$B$2:$B$1601,$AG634))</f>
        <v/>
      </c>
      <c r="B634">
        <f>IF($AG634="","",Config!$B$14)</f>
        <v/>
      </c>
      <c r="C634">
        <f>IF($AG634="","",Config!$B$15)</f>
        <v/>
      </c>
      <c r="D634">
        <f>IF($AG634="","",INDEX('TMP Paste'!$B$2:$B$1601,$AG634))</f>
        <v/>
      </c>
      <c r="E634">
        <f>IF($AG634="","",Config!$B$27)</f>
        <v/>
      </c>
      <c r="F634">
        <f>IF($AG634="","",Config!$B$9)</f>
        <v/>
      </c>
      <c r="G634">
        <f>IF($AG634="","",Config!$B$10)</f>
        <v/>
      </c>
      <c r="H634">
        <f>IF($AG634="","",Config!$B$11)</f>
        <v/>
      </c>
      <c r="I634">
        <f>IF($AG634="","",Config!$B$16)</f>
        <v/>
      </c>
      <c r="J634">
        <f>IF($AG634="","",INDEX('TMP Paste'!$A$2:$A$1601,$AG634))</f>
        <v/>
      </c>
      <c r="K634">
        <f>IF($AG634="","",INDEX('TMP Paste'!$L$2:$L$1601,$AG634))</f>
        <v/>
      </c>
      <c r="L634">
        <f>IF($AG634="","",INDEX('TMP Paste'!$I$2:$I$1601,$AG634))</f>
        <v/>
      </c>
      <c r="M634">
        <f>IF($AG634="","",Config!$B$16)</f>
        <v/>
      </c>
      <c r="N634">
        <f>IF($AG634="","","")</f>
        <v/>
      </c>
      <c r="O634">
        <f>IF($AG634="","",INDEX('TMP Paste'!$K$2:$K$1601,$AG634))</f>
        <v/>
      </c>
      <c r="P634">
        <f>IF($AG634="","","")</f>
        <v/>
      </c>
      <c r="Q634">
        <f>IF($AG634="","",INDEX('TMP Paste'!$J$2:$J$1601,$AG634))</f>
        <v/>
      </c>
      <c r="R634">
        <f>IF($AG634="","",Config!$B$24)</f>
        <v/>
      </c>
      <c r="S634">
        <f>IF($AG634="","",TEXT(Config!$B$4,"yyyy-mm-dd"))</f>
        <v/>
      </c>
      <c r="T634">
        <f>IF($AG634="","",Config!$B$17)</f>
        <v/>
      </c>
      <c r="U634">
        <f>IF($AG634="","",Config!$B$18)</f>
        <v/>
      </c>
      <c r="V634">
        <f>IF($AG634="","",Config!$B$19)</f>
        <v/>
      </c>
      <c r="W634">
        <f>IF($AG634="","",INDEX('TMP Paste'!$C$2:$C$1601,$AG634))</f>
        <v/>
      </c>
      <c r="X634">
        <f>IF($AG634="","",Config!$B$29)</f>
        <v/>
      </c>
      <c r="Y634">
        <f>IF($AH634="","",INDEX(Calc!$I$2:$I$1601,$AH634)&amp;" - "&amp;INDEX(Calc!$D$2:$D$1601,$AH634)&amp;" koli")</f>
        <v/>
      </c>
      <c r="Z634">
        <f>IF($AG634="","",Config!$B$21)</f>
        <v/>
      </c>
      <c r="AA634">
        <f>IF($AG634="","",Config!$B$22)</f>
        <v/>
      </c>
      <c r="AB634">
        <f>IF($AH634="","",INDEX(Calc!$D$2:$D$1601,$AH634))</f>
        <v/>
      </c>
      <c r="AC634">
        <f>IF($AH634="","",INDEX(Calc!$G$2:$G$1601,$AH634))</f>
        <v/>
      </c>
      <c r="AD634">
        <f>IF($AG634="","",Config!$B$23)</f>
        <v/>
      </c>
      <c r="AE634">
        <f>IF($AG634="","",Config!$B$28)</f>
        <v/>
      </c>
      <c r="AG634">
        <f>IFERROR(MATCH(ROW()-1,Calc!$J$2:$J$1601,0),"")</f>
        <v/>
      </c>
      <c r="AH634">
        <f>IFERROR(MATCH(ROW()-1,Calc!$K$2:$K$1601,0),"")</f>
        <v/>
      </c>
      <c r="AI634">
        <f>IF($AG634="","",SUMIF($AG$2:$AG634,$AG634,$AH$2:$AH634))</f>
        <v/>
      </c>
      <c r="AJ634">
        <f>IF('TMP Paste'!$F634="","",IF('TMP Paste'!$B634="",$AJ633,'TMP Paste'!$B634))</f>
        <v/>
      </c>
      <c r="AK634">
        <f>IF('TMP Paste'!$F634="","",N('TMP Paste'!$G634))</f>
        <v/>
      </c>
      <c r="AL634">
        <f>IF('TMP Paste'!$F634="","",IF('TMP Paste'!$M634="",$AL633,'TMP Paste'!$M634))</f>
        <v/>
      </c>
      <c r="AM634">
        <f>IF('TMP Paste'!$F634="","",IF('TMP Paste'!$N634="",$AM633,'TMP Paste'!$N634))</f>
        <v/>
      </c>
      <c r="AN634">
        <f>IF('TMP Paste'!$F634="","",IF('TMP Paste'!$O634="",$AN633,'TMP Paste'!$O634))</f>
        <v/>
      </c>
      <c r="AO634">
        <f>IF('TMP Paste'!$F634="","",IF('TMP Paste'!$P634="",$AO633,'TMP Paste'!$P634))</f>
        <v/>
      </c>
      <c r="AP634">
        <f>IF($AG634="","",LEN($R634))</f>
        <v/>
      </c>
      <c r="AQ634">
        <f>IF($AG634="","",TRIM(IF(COUNTIFS(Calc!$B$2:$B$1601,ROW()-1,Calc!$C$2:$C$1601,"&lt;1")&gt;0,"Ada PO tanpa Koli - cek TMP. ","")&amp;IF(LEN($R634)&gt;500,"R &gt; 500 karakter.","")))</f>
        <v/>
      </c>
    </row>
    <row r="635">
      <c r="A635">
        <f>IF($AG635="","",INDEX('TMP Paste'!$B$2:$B$1601,$AG635))</f>
        <v/>
      </c>
      <c r="B635">
        <f>IF($AG635="","",Config!$B$14)</f>
        <v/>
      </c>
      <c r="C635">
        <f>IF($AG635="","",Config!$B$15)</f>
        <v/>
      </c>
      <c r="D635">
        <f>IF($AG635="","",INDEX('TMP Paste'!$B$2:$B$1601,$AG635))</f>
        <v/>
      </c>
      <c r="E635">
        <f>IF($AG635="","",Config!$B$27)</f>
        <v/>
      </c>
      <c r="F635">
        <f>IF($AG635="","",Config!$B$9)</f>
        <v/>
      </c>
      <c r="G635">
        <f>IF($AG635="","",Config!$B$10)</f>
        <v/>
      </c>
      <c r="H635">
        <f>IF($AG635="","",Config!$B$11)</f>
        <v/>
      </c>
      <c r="I635">
        <f>IF($AG635="","",Config!$B$16)</f>
        <v/>
      </c>
      <c r="J635">
        <f>IF($AG635="","",INDEX('TMP Paste'!$A$2:$A$1601,$AG635))</f>
        <v/>
      </c>
      <c r="K635">
        <f>IF($AG635="","",INDEX('TMP Paste'!$L$2:$L$1601,$AG635))</f>
        <v/>
      </c>
      <c r="L635">
        <f>IF($AG635="","",INDEX('TMP Paste'!$I$2:$I$1601,$AG635))</f>
        <v/>
      </c>
      <c r="M635">
        <f>IF($AG635="","",Config!$B$16)</f>
        <v/>
      </c>
      <c r="N635">
        <f>IF($AG635="","","")</f>
        <v/>
      </c>
      <c r="O635">
        <f>IF($AG635="","",INDEX('TMP Paste'!$K$2:$K$1601,$AG635))</f>
        <v/>
      </c>
      <c r="P635">
        <f>IF($AG635="","","")</f>
        <v/>
      </c>
      <c r="Q635">
        <f>IF($AG635="","",INDEX('TMP Paste'!$J$2:$J$1601,$AG635))</f>
        <v/>
      </c>
      <c r="R635">
        <f>IF($AG635="","",Config!$B$24)</f>
        <v/>
      </c>
      <c r="S635">
        <f>IF($AG635="","",TEXT(Config!$B$4,"yyyy-mm-dd"))</f>
        <v/>
      </c>
      <c r="T635">
        <f>IF($AG635="","",Config!$B$17)</f>
        <v/>
      </c>
      <c r="U635">
        <f>IF($AG635="","",Config!$B$18)</f>
        <v/>
      </c>
      <c r="V635">
        <f>IF($AG635="","",Config!$B$19)</f>
        <v/>
      </c>
      <c r="W635">
        <f>IF($AG635="","",INDEX('TMP Paste'!$C$2:$C$1601,$AG635))</f>
        <v/>
      </c>
      <c r="X635">
        <f>IF($AG635="","",Config!$B$29)</f>
        <v/>
      </c>
      <c r="Y635">
        <f>IF($AH635="","",INDEX(Calc!$I$2:$I$1601,$AH635)&amp;" - "&amp;INDEX(Calc!$D$2:$D$1601,$AH635)&amp;" koli")</f>
        <v/>
      </c>
      <c r="Z635">
        <f>IF($AG635="","",Config!$B$21)</f>
        <v/>
      </c>
      <c r="AA635">
        <f>IF($AG635="","",Config!$B$22)</f>
        <v/>
      </c>
      <c r="AB635">
        <f>IF($AH635="","",INDEX(Calc!$D$2:$D$1601,$AH635))</f>
        <v/>
      </c>
      <c r="AC635">
        <f>IF($AH635="","",INDEX(Calc!$G$2:$G$1601,$AH635))</f>
        <v/>
      </c>
      <c r="AD635">
        <f>IF($AG635="","",Config!$B$23)</f>
        <v/>
      </c>
      <c r="AE635">
        <f>IF($AG635="","",Config!$B$28)</f>
        <v/>
      </c>
      <c r="AG635">
        <f>IFERROR(MATCH(ROW()-1,Calc!$J$2:$J$1601,0),"")</f>
        <v/>
      </c>
      <c r="AH635">
        <f>IFERROR(MATCH(ROW()-1,Calc!$K$2:$K$1601,0),"")</f>
        <v/>
      </c>
      <c r="AI635">
        <f>IF($AG635="","",SUMIF($AG$2:$AG635,$AG635,$AH$2:$AH635))</f>
        <v/>
      </c>
      <c r="AJ635">
        <f>IF('TMP Paste'!$F635="","",IF('TMP Paste'!$B635="",$AJ634,'TMP Paste'!$B635))</f>
        <v/>
      </c>
      <c r="AK635">
        <f>IF('TMP Paste'!$F635="","",N('TMP Paste'!$G635))</f>
        <v/>
      </c>
      <c r="AL635">
        <f>IF('TMP Paste'!$F635="","",IF('TMP Paste'!$M635="",$AL634,'TMP Paste'!$M635))</f>
        <v/>
      </c>
      <c r="AM635">
        <f>IF('TMP Paste'!$F635="","",IF('TMP Paste'!$N635="",$AM634,'TMP Paste'!$N635))</f>
        <v/>
      </c>
      <c r="AN635">
        <f>IF('TMP Paste'!$F635="","",IF('TMP Paste'!$O635="",$AN634,'TMP Paste'!$O635))</f>
        <v/>
      </c>
      <c r="AO635">
        <f>IF('TMP Paste'!$F635="","",IF('TMP Paste'!$P635="",$AO634,'TMP Paste'!$P635))</f>
        <v/>
      </c>
      <c r="AP635">
        <f>IF($AG635="","",LEN($R635))</f>
        <v/>
      </c>
      <c r="AQ635">
        <f>IF($AG635="","",TRIM(IF(COUNTIFS(Calc!$B$2:$B$1601,ROW()-1,Calc!$C$2:$C$1601,"&lt;1")&gt;0,"Ada PO tanpa Koli - cek TMP. ","")&amp;IF(LEN($R635)&gt;500,"R &gt; 500 karakter.","")))</f>
        <v/>
      </c>
    </row>
    <row r="636">
      <c r="A636">
        <f>IF($AG636="","",INDEX('TMP Paste'!$B$2:$B$1601,$AG636))</f>
        <v/>
      </c>
      <c r="B636">
        <f>IF($AG636="","",Config!$B$14)</f>
        <v/>
      </c>
      <c r="C636">
        <f>IF($AG636="","",Config!$B$15)</f>
        <v/>
      </c>
      <c r="D636">
        <f>IF($AG636="","",INDEX('TMP Paste'!$B$2:$B$1601,$AG636))</f>
        <v/>
      </c>
      <c r="E636">
        <f>IF($AG636="","",Config!$B$27)</f>
        <v/>
      </c>
      <c r="F636">
        <f>IF($AG636="","",Config!$B$9)</f>
        <v/>
      </c>
      <c r="G636">
        <f>IF($AG636="","",Config!$B$10)</f>
        <v/>
      </c>
      <c r="H636">
        <f>IF($AG636="","",Config!$B$11)</f>
        <v/>
      </c>
      <c r="I636">
        <f>IF($AG636="","",Config!$B$16)</f>
        <v/>
      </c>
      <c r="J636">
        <f>IF($AG636="","",INDEX('TMP Paste'!$A$2:$A$1601,$AG636))</f>
        <v/>
      </c>
      <c r="K636">
        <f>IF($AG636="","",INDEX('TMP Paste'!$L$2:$L$1601,$AG636))</f>
        <v/>
      </c>
      <c r="L636">
        <f>IF($AG636="","",INDEX('TMP Paste'!$I$2:$I$1601,$AG636))</f>
        <v/>
      </c>
      <c r="M636">
        <f>IF($AG636="","",Config!$B$16)</f>
        <v/>
      </c>
      <c r="N636">
        <f>IF($AG636="","","")</f>
        <v/>
      </c>
      <c r="O636">
        <f>IF($AG636="","",INDEX('TMP Paste'!$K$2:$K$1601,$AG636))</f>
        <v/>
      </c>
      <c r="P636">
        <f>IF($AG636="","","")</f>
        <v/>
      </c>
      <c r="Q636">
        <f>IF($AG636="","",INDEX('TMP Paste'!$J$2:$J$1601,$AG636))</f>
        <v/>
      </c>
      <c r="R636">
        <f>IF($AG636="","",Config!$B$24)</f>
        <v/>
      </c>
      <c r="S636">
        <f>IF($AG636="","",TEXT(Config!$B$4,"yyyy-mm-dd"))</f>
        <v/>
      </c>
      <c r="T636">
        <f>IF($AG636="","",Config!$B$17)</f>
        <v/>
      </c>
      <c r="U636">
        <f>IF($AG636="","",Config!$B$18)</f>
        <v/>
      </c>
      <c r="V636">
        <f>IF($AG636="","",Config!$B$19)</f>
        <v/>
      </c>
      <c r="W636">
        <f>IF($AG636="","",INDEX('TMP Paste'!$C$2:$C$1601,$AG636))</f>
        <v/>
      </c>
      <c r="X636">
        <f>IF($AG636="","",Config!$B$29)</f>
        <v/>
      </c>
      <c r="Y636">
        <f>IF($AH636="","",INDEX(Calc!$I$2:$I$1601,$AH636)&amp;" - "&amp;INDEX(Calc!$D$2:$D$1601,$AH636)&amp;" koli")</f>
        <v/>
      </c>
      <c r="Z636">
        <f>IF($AG636="","",Config!$B$21)</f>
        <v/>
      </c>
      <c r="AA636">
        <f>IF($AG636="","",Config!$B$22)</f>
        <v/>
      </c>
      <c r="AB636">
        <f>IF($AH636="","",INDEX(Calc!$D$2:$D$1601,$AH636))</f>
        <v/>
      </c>
      <c r="AC636">
        <f>IF($AH636="","",INDEX(Calc!$G$2:$G$1601,$AH636))</f>
        <v/>
      </c>
      <c r="AD636">
        <f>IF($AG636="","",Config!$B$23)</f>
        <v/>
      </c>
      <c r="AE636">
        <f>IF($AG636="","",Config!$B$28)</f>
        <v/>
      </c>
      <c r="AG636">
        <f>IFERROR(MATCH(ROW()-1,Calc!$J$2:$J$1601,0),"")</f>
        <v/>
      </c>
      <c r="AH636">
        <f>IFERROR(MATCH(ROW()-1,Calc!$K$2:$K$1601,0),"")</f>
        <v/>
      </c>
      <c r="AI636">
        <f>IF($AG636="","",SUMIF($AG$2:$AG636,$AG636,$AH$2:$AH636))</f>
        <v/>
      </c>
      <c r="AJ636">
        <f>IF('TMP Paste'!$F636="","",IF('TMP Paste'!$B636="",$AJ635,'TMP Paste'!$B636))</f>
        <v/>
      </c>
      <c r="AK636">
        <f>IF('TMP Paste'!$F636="","",N('TMP Paste'!$G636))</f>
        <v/>
      </c>
      <c r="AL636">
        <f>IF('TMP Paste'!$F636="","",IF('TMP Paste'!$M636="",$AL635,'TMP Paste'!$M636))</f>
        <v/>
      </c>
      <c r="AM636">
        <f>IF('TMP Paste'!$F636="","",IF('TMP Paste'!$N636="",$AM635,'TMP Paste'!$N636))</f>
        <v/>
      </c>
      <c r="AN636">
        <f>IF('TMP Paste'!$F636="","",IF('TMP Paste'!$O636="",$AN635,'TMP Paste'!$O636))</f>
        <v/>
      </c>
      <c r="AO636">
        <f>IF('TMP Paste'!$F636="","",IF('TMP Paste'!$P636="",$AO635,'TMP Paste'!$P636))</f>
        <v/>
      </c>
      <c r="AP636">
        <f>IF($AG636="","",LEN($R636))</f>
        <v/>
      </c>
      <c r="AQ636">
        <f>IF($AG636="","",TRIM(IF(COUNTIFS(Calc!$B$2:$B$1601,ROW()-1,Calc!$C$2:$C$1601,"&lt;1")&gt;0,"Ada PO tanpa Koli - cek TMP. ","")&amp;IF(LEN($R636)&gt;500,"R &gt; 500 karakter.","")))</f>
        <v/>
      </c>
    </row>
    <row r="637">
      <c r="A637">
        <f>IF($AG637="","",INDEX('TMP Paste'!$B$2:$B$1601,$AG637))</f>
        <v/>
      </c>
      <c r="B637">
        <f>IF($AG637="","",Config!$B$14)</f>
        <v/>
      </c>
      <c r="C637">
        <f>IF($AG637="","",Config!$B$15)</f>
        <v/>
      </c>
      <c r="D637">
        <f>IF($AG637="","",INDEX('TMP Paste'!$B$2:$B$1601,$AG637))</f>
        <v/>
      </c>
      <c r="E637">
        <f>IF($AG637="","",Config!$B$27)</f>
        <v/>
      </c>
      <c r="F637">
        <f>IF($AG637="","",Config!$B$9)</f>
        <v/>
      </c>
      <c r="G637">
        <f>IF($AG637="","",Config!$B$10)</f>
        <v/>
      </c>
      <c r="H637">
        <f>IF($AG637="","",Config!$B$11)</f>
        <v/>
      </c>
      <c r="I637">
        <f>IF($AG637="","",Config!$B$16)</f>
        <v/>
      </c>
      <c r="J637">
        <f>IF($AG637="","",INDEX('TMP Paste'!$A$2:$A$1601,$AG637))</f>
        <v/>
      </c>
      <c r="K637">
        <f>IF($AG637="","",INDEX('TMP Paste'!$L$2:$L$1601,$AG637))</f>
        <v/>
      </c>
      <c r="L637">
        <f>IF($AG637="","",INDEX('TMP Paste'!$I$2:$I$1601,$AG637))</f>
        <v/>
      </c>
      <c r="M637">
        <f>IF($AG637="","",Config!$B$16)</f>
        <v/>
      </c>
      <c r="N637">
        <f>IF($AG637="","","")</f>
        <v/>
      </c>
      <c r="O637">
        <f>IF($AG637="","",INDEX('TMP Paste'!$K$2:$K$1601,$AG637))</f>
        <v/>
      </c>
      <c r="P637">
        <f>IF($AG637="","","")</f>
        <v/>
      </c>
      <c r="Q637">
        <f>IF($AG637="","",INDEX('TMP Paste'!$J$2:$J$1601,$AG637))</f>
        <v/>
      </c>
      <c r="R637">
        <f>IF($AG637="","",Config!$B$24)</f>
        <v/>
      </c>
      <c r="S637">
        <f>IF($AG637="","",TEXT(Config!$B$4,"yyyy-mm-dd"))</f>
        <v/>
      </c>
      <c r="T637">
        <f>IF($AG637="","",Config!$B$17)</f>
        <v/>
      </c>
      <c r="U637">
        <f>IF($AG637="","",Config!$B$18)</f>
        <v/>
      </c>
      <c r="V637">
        <f>IF($AG637="","",Config!$B$19)</f>
        <v/>
      </c>
      <c r="W637">
        <f>IF($AG637="","",INDEX('TMP Paste'!$C$2:$C$1601,$AG637))</f>
        <v/>
      </c>
      <c r="X637">
        <f>IF($AG637="","",Config!$B$29)</f>
        <v/>
      </c>
      <c r="Y637">
        <f>IF($AH637="","",INDEX(Calc!$I$2:$I$1601,$AH637)&amp;" - "&amp;INDEX(Calc!$D$2:$D$1601,$AH637)&amp;" koli")</f>
        <v/>
      </c>
      <c r="Z637">
        <f>IF($AG637="","",Config!$B$21)</f>
        <v/>
      </c>
      <c r="AA637">
        <f>IF($AG637="","",Config!$B$22)</f>
        <v/>
      </c>
      <c r="AB637">
        <f>IF($AH637="","",INDEX(Calc!$D$2:$D$1601,$AH637))</f>
        <v/>
      </c>
      <c r="AC637">
        <f>IF($AH637="","",INDEX(Calc!$G$2:$G$1601,$AH637))</f>
        <v/>
      </c>
      <c r="AD637">
        <f>IF($AG637="","",Config!$B$23)</f>
        <v/>
      </c>
      <c r="AE637">
        <f>IF($AG637="","",Config!$B$28)</f>
        <v/>
      </c>
      <c r="AG637">
        <f>IFERROR(MATCH(ROW()-1,Calc!$J$2:$J$1601,0),"")</f>
        <v/>
      </c>
      <c r="AH637">
        <f>IFERROR(MATCH(ROW()-1,Calc!$K$2:$K$1601,0),"")</f>
        <v/>
      </c>
      <c r="AI637">
        <f>IF($AG637="","",SUMIF($AG$2:$AG637,$AG637,$AH$2:$AH637))</f>
        <v/>
      </c>
      <c r="AJ637">
        <f>IF('TMP Paste'!$F637="","",IF('TMP Paste'!$B637="",$AJ636,'TMP Paste'!$B637))</f>
        <v/>
      </c>
      <c r="AK637">
        <f>IF('TMP Paste'!$F637="","",N('TMP Paste'!$G637))</f>
        <v/>
      </c>
      <c r="AL637">
        <f>IF('TMP Paste'!$F637="","",IF('TMP Paste'!$M637="",$AL636,'TMP Paste'!$M637))</f>
        <v/>
      </c>
      <c r="AM637">
        <f>IF('TMP Paste'!$F637="","",IF('TMP Paste'!$N637="",$AM636,'TMP Paste'!$N637))</f>
        <v/>
      </c>
      <c r="AN637">
        <f>IF('TMP Paste'!$F637="","",IF('TMP Paste'!$O637="",$AN636,'TMP Paste'!$O637))</f>
        <v/>
      </c>
      <c r="AO637">
        <f>IF('TMP Paste'!$F637="","",IF('TMP Paste'!$P637="",$AO636,'TMP Paste'!$P637))</f>
        <v/>
      </c>
      <c r="AP637">
        <f>IF($AG637="","",LEN($R637))</f>
        <v/>
      </c>
      <c r="AQ637">
        <f>IF($AG637="","",TRIM(IF(COUNTIFS(Calc!$B$2:$B$1601,ROW()-1,Calc!$C$2:$C$1601,"&lt;1")&gt;0,"Ada PO tanpa Koli - cek TMP. ","")&amp;IF(LEN($R637)&gt;500,"R &gt; 500 karakter.","")))</f>
        <v/>
      </c>
    </row>
    <row r="638">
      <c r="A638">
        <f>IF($AG638="","",INDEX('TMP Paste'!$B$2:$B$1601,$AG638))</f>
        <v/>
      </c>
      <c r="B638">
        <f>IF($AG638="","",Config!$B$14)</f>
        <v/>
      </c>
      <c r="C638">
        <f>IF($AG638="","",Config!$B$15)</f>
        <v/>
      </c>
      <c r="D638">
        <f>IF($AG638="","",INDEX('TMP Paste'!$B$2:$B$1601,$AG638))</f>
        <v/>
      </c>
      <c r="E638">
        <f>IF($AG638="","",Config!$B$27)</f>
        <v/>
      </c>
      <c r="F638">
        <f>IF($AG638="","",Config!$B$9)</f>
        <v/>
      </c>
      <c r="G638">
        <f>IF($AG638="","",Config!$B$10)</f>
        <v/>
      </c>
      <c r="H638">
        <f>IF($AG638="","",Config!$B$11)</f>
        <v/>
      </c>
      <c r="I638">
        <f>IF($AG638="","",Config!$B$16)</f>
        <v/>
      </c>
      <c r="J638">
        <f>IF($AG638="","",INDEX('TMP Paste'!$A$2:$A$1601,$AG638))</f>
        <v/>
      </c>
      <c r="K638">
        <f>IF($AG638="","",INDEX('TMP Paste'!$L$2:$L$1601,$AG638))</f>
        <v/>
      </c>
      <c r="L638">
        <f>IF($AG638="","",INDEX('TMP Paste'!$I$2:$I$1601,$AG638))</f>
        <v/>
      </c>
      <c r="M638">
        <f>IF($AG638="","",Config!$B$16)</f>
        <v/>
      </c>
      <c r="N638">
        <f>IF($AG638="","","")</f>
        <v/>
      </c>
      <c r="O638">
        <f>IF($AG638="","",INDEX('TMP Paste'!$K$2:$K$1601,$AG638))</f>
        <v/>
      </c>
      <c r="P638">
        <f>IF($AG638="","","")</f>
        <v/>
      </c>
      <c r="Q638">
        <f>IF($AG638="","",INDEX('TMP Paste'!$J$2:$J$1601,$AG638))</f>
        <v/>
      </c>
      <c r="R638">
        <f>IF($AG638="","",Config!$B$24)</f>
        <v/>
      </c>
      <c r="S638">
        <f>IF($AG638="","",TEXT(Config!$B$4,"yyyy-mm-dd"))</f>
        <v/>
      </c>
      <c r="T638">
        <f>IF($AG638="","",Config!$B$17)</f>
        <v/>
      </c>
      <c r="U638">
        <f>IF($AG638="","",Config!$B$18)</f>
        <v/>
      </c>
      <c r="V638">
        <f>IF($AG638="","",Config!$B$19)</f>
        <v/>
      </c>
      <c r="W638">
        <f>IF($AG638="","",INDEX('TMP Paste'!$C$2:$C$1601,$AG638))</f>
        <v/>
      </c>
      <c r="X638">
        <f>IF($AG638="","",Config!$B$29)</f>
        <v/>
      </c>
      <c r="Y638">
        <f>IF($AH638="","",INDEX(Calc!$I$2:$I$1601,$AH638)&amp;" - "&amp;INDEX(Calc!$D$2:$D$1601,$AH638)&amp;" koli")</f>
        <v/>
      </c>
      <c r="Z638">
        <f>IF($AG638="","",Config!$B$21)</f>
        <v/>
      </c>
      <c r="AA638">
        <f>IF($AG638="","",Config!$B$22)</f>
        <v/>
      </c>
      <c r="AB638">
        <f>IF($AH638="","",INDEX(Calc!$D$2:$D$1601,$AH638))</f>
        <v/>
      </c>
      <c r="AC638">
        <f>IF($AH638="","",INDEX(Calc!$G$2:$G$1601,$AH638))</f>
        <v/>
      </c>
      <c r="AD638">
        <f>IF($AG638="","",Config!$B$23)</f>
        <v/>
      </c>
      <c r="AE638">
        <f>IF($AG638="","",Config!$B$28)</f>
        <v/>
      </c>
      <c r="AG638">
        <f>IFERROR(MATCH(ROW()-1,Calc!$J$2:$J$1601,0),"")</f>
        <v/>
      </c>
      <c r="AH638">
        <f>IFERROR(MATCH(ROW()-1,Calc!$K$2:$K$1601,0),"")</f>
        <v/>
      </c>
      <c r="AI638">
        <f>IF($AG638="","",SUMIF($AG$2:$AG638,$AG638,$AH$2:$AH638))</f>
        <v/>
      </c>
      <c r="AJ638">
        <f>IF('TMP Paste'!$F638="","",IF('TMP Paste'!$B638="",$AJ637,'TMP Paste'!$B638))</f>
        <v/>
      </c>
      <c r="AK638">
        <f>IF('TMP Paste'!$F638="","",N('TMP Paste'!$G638))</f>
        <v/>
      </c>
      <c r="AL638">
        <f>IF('TMP Paste'!$F638="","",IF('TMP Paste'!$M638="",$AL637,'TMP Paste'!$M638))</f>
        <v/>
      </c>
      <c r="AM638">
        <f>IF('TMP Paste'!$F638="","",IF('TMP Paste'!$N638="",$AM637,'TMP Paste'!$N638))</f>
        <v/>
      </c>
      <c r="AN638">
        <f>IF('TMP Paste'!$F638="","",IF('TMP Paste'!$O638="",$AN637,'TMP Paste'!$O638))</f>
        <v/>
      </c>
      <c r="AO638">
        <f>IF('TMP Paste'!$F638="","",IF('TMP Paste'!$P638="",$AO637,'TMP Paste'!$P638))</f>
        <v/>
      </c>
      <c r="AP638">
        <f>IF($AG638="","",LEN($R638))</f>
        <v/>
      </c>
      <c r="AQ638">
        <f>IF($AG638="","",TRIM(IF(COUNTIFS(Calc!$B$2:$B$1601,ROW()-1,Calc!$C$2:$C$1601,"&lt;1")&gt;0,"Ada PO tanpa Koli - cek TMP. ","")&amp;IF(LEN($R638)&gt;500,"R &gt; 500 karakter.","")))</f>
        <v/>
      </c>
    </row>
    <row r="639">
      <c r="A639">
        <f>IF($AG639="","",INDEX('TMP Paste'!$B$2:$B$1601,$AG639))</f>
        <v/>
      </c>
      <c r="B639">
        <f>IF($AG639="","",Config!$B$14)</f>
        <v/>
      </c>
      <c r="C639">
        <f>IF($AG639="","",Config!$B$15)</f>
        <v/>
      </c>
      <c r="D639">
        <f>IF($AG639="","",INDEX('TMP Paste'!$B$2:$B$1601,$AG639))</f>
        <v/>
      </c>
      <c r="E639">
        <f>IF($AG639="","",Config!$B$27)</f>
        <v/>
      </c>
      <c r="F639">
        <f>IF($AG639="","",Config!$B$9)</f>
        <v/>
      </c>
      <c r="G639">
        <f>IF($AG639="","",Config!$B$10)</f>
        <v/>
      </c>
      <c r="H639">
        <f>IF($AG639="","",Config!$B$11)</f>
        <v/>
      </c>
      <c r="I639">
        <f>IF($AG639="","",Config!$B$16)</f>
        <v/>
      </c>
      <c r="J639">
        <f>IF($AG639="","",INDEX('TMP Paste'!$A$2:$A$1601,$AG639))</f>
        <v/>
      </c>
      <c r="K639">
        <f>IF($AG639="","",INDEX('TMP Paste'!$L$2:$L$1601,$AG639))</f>
        <v/>
      </c>
      <c r="L639">
        <f>IF($AG639="","",INDEX('TMP Paste'!$I$2:$I$1601,$AG639))</f>
        <v/>
      </c>
      <c r="M639">
        <f>IF($AG639="","",Config!$B$16)</f>
        <v/>
      </c>
      <c r="N639">
        <f>IF($AG639="","","")</f>
        <v/>
      </c>
      <c r="O639">
        <f>IF($AG639="","",INDEX('TMP Paste'!$K$2:$K$1601,$AG639))</f>
        <v/>
      </c>
      <c r="P639">
        <f>IF($AG639="","","")</f>
        <v/>
      </c>
      <c r="Q639">
        <f>IF($AG639="","",INDEX('TMP Paste'!$J$2:$J$1601,$AG639))</f>
        <v/>
      </c>
      <c r="R639">
        <f>IF($AG639="","",Config!$B$24)</f>
        <v/>
      </c>
      <c r="S639">
        <f>IF($AG639="","",TEXT(Config!$B$4,"yyyy-mm-dd"))</f>
        <v/>
      </c>
      <c r="T639">
        <f>IF($AG639="","",Config!$B$17)</f>
        <v/>
      </c>
      <c r="U639">
        <f>IF($AG639="","",Config!$B$18)</f>
        <v/>
      </c>
      <c r="V639">
        <f>IF($AG639="","",Config!$B$19)</f>
        <v/>
      </c>
      <c r="W639">
        <f>IF($AG639="","",INDEX('TMP Paste'!$C$2:$C$1601,$AG639))</f>
        <v/>
      </c>
      <c r="X639">
        <f>IF($AG639="","",Config!$B$29)</f>
        <v/>
      </c>
      <c r="Y639">
        <f>IF($AH639="","",INDEX(Calc!$I$2:$I$1601,$AH639)&amp;" - "&amp;INDEX(Calc!$D$2:$D$1601,$AH639)&amp;" koli")</f>
        <v/>
      </c>
      <c r="Z639">
        <f>IF($AG639="","",Config!$B$21)</f>
        <v/>
      </c>
      <c r="AA639">
        <f>IF($AG639="","",Config!$B$22)</f>
        <v/>
      </c>
      <c r="AB639">
        <f>IF($AH639="","",INDEX(Calc!$D$2:$D$1601,$AH639))</f>
        <v/>
      </c>
      <c r="AC639">
        <f>IF($AH639="","",INDEX(Calc!$G$2:$G$1601,$AH639))</f>
        <v/>
      </c>
      <c r="AD639">
        <f>IF($AG639="","",Config!$B$23)</f>
        <v/>
      </c>
      <c r="AE639">
        <f>IF($AG639="","",Config!$B$28)</f>
        <v/>
      </c>
      <c r="AG639">
        <f>IFERROR(MATCH(ROW()-1,Calc!$J$2:$J$1601,0),"")</f>
        <v/>
      </c>
      <c r="AH639">
        <f>IFERROR(MATCH(ROW()-1,Calc!$K$2:$K$1601,0),"")</f>
        <v/>
      </c>
      <c r="AI639">
        <f>IF($AG639="","",SUMIF($AG$2:$AG639,$AG639,$AH$2:$AH639))</f>
        <v/>
      </c>
      <c r="AJ639">
        <f>IF('TMP Paste'!$F639="","",IF('TMP Paste'!$B639="",$AJ638,'TMP Paste'!$B639))</f>
        <v/>
      </c>
      <c r="AK639">
        <f>IF('TMP Paste'!$F639="","",N('TMP Paste'!$G639))</f>
        <v/>
      </c>
      <c r="AL639">
        <f>IF('TMP Paste'!$F639="","",IF('TMP Paste'!$M639="",$AL638,'TMP Paste'!$M639))</f>
        <v/>
      </c>
      <c r="AM639">
        <f>IF('TMP Paste'!$F639="","",IF('TMP Paste'!$N639="",$AM638,'TMP Paste'!$N639))</f>
        <v/>
      </c>
      <c r="AN639">
        <f>IF('TMP Paste'!$F639="","",IF('TMP Paste'!$O639="",$AN638,'TMP Paste'!$O639))</f>
        <v/>
      </c>
      <c r="AO639">
        <f>IF('TMP Paste'!$F639="","",IF('TMP Paste'!$P639="",$AO638,'TMP Paste'!$P639))</f>
        <v/>
      </c>
      <c r="AP639">
        <f>IF($AG639="","",LEN($R639))</f>
        <v/>
      </c>
      <c r="AQ639">
        <f>IF($AG639="","",TRIM(IF(COUNTIFS(Calc!$B$2:$B$1601,ROW()-1,Calc!$C$2:$C$1601,"&lt;1")&gt;0,"Ada PO tanpa Koli - cek TMP. ","")&amp;IF(LEN($R639)&gt;500,"R &gt; 500 karakter.","")))</f>
        <v/>
      </c>
    </row>
    <row r="640">
      <c r="A640">
        <f>IF($AG640="","",INDEX('TMP Paste'!$B$2:$B$1601,$AG640))</f>
        <v/>
      </c>
      <c r="B640">
        <f>IF($AG640="","",Config!$B$14)</f>
        <v/>
      </c>
      <c r="C640">
        <f>IF($AG640="","",Config!$B$15)</f>
        <v/>
      </c>
      <c r="D640">
        <f>IF($AG640="","",INDEX('TMP Paste'!$B$2:$B$1601,$AG640))</f>
        <v/>
      </c>
      <c r="E640">
        <f>IF($AG640="","",Config!$B$27)</f>
        <v/>
      </c>
      <c r="F640">
        <f>IF($AG640="","",Config!$B$9)</f>
        <v/>
      </c>
      <c r="G640">
        <f>IF($AG640="","",Config!$B$10)</f>
        <v/>
      </c>
      <c r="H640">
        <f>IF($AG640="","",Config!$B$11)</f>
        <v/>
      </c>
      <c r="I640">
        <f>IF($AG640="","",Config!$B$16)</f>
        <v/>
      </c>
      <c r="J640">
        <f>IF($AG640="","",INDEX('TMP Paste'!$A$2:$A$1601,$AG640))</f>
        <v/>
      </c>
      <c r="K640">
        <f>IF($AG640="","",INDEX('TMP Paste'!$L$2:$L$1601,$AG640))</f>
        <v/>
      </c>
      <c r="L640">
        <f>IF($AG640="","",INDEX('TMP Paste'!$I$2:$I$1601,$AG640))</f>
        <v/>
      </c>
      <c r="M640">
        <f>IF($AG640="","",Config!$B$16)</f>
        <v/>
      </c>
      <c r="N640">
        <f>IF($AG640="","","")</f>
        <v/>
      </c>
      <c r="O640">
        <f>IF($AG640="","",INDEX('TMP Paste'!$K$2:$K$1601,$AG640))</f>
        <v/>
      </c>
      <c r="P640">
        <f>IF($AG640="","","")</f>
        <v/>
      </c>
      <c r="Q640">
        <f>IF($AG640="","",INDEX('TMP Paste'!$J$2:$J$1601,$AG640))</f>
        <v/>
      </c>
      <c r="R640">
        <f>IF($AG640="","",Config!$B$24)</f>
        <v/>
      </c>
      <c r="S640">
        <f>IF($AG640="","",TEXT(Config!$B$4,"yyyy-mm-dd"))</f>
        <v/>
      </c>
      <c r="T640">
        <f>IF($AG640="","",Config!$B$17)</f>
        <v/>
      </c>
      <c r="U640">
        <f>IF($AG640="","",Config!$B$18)</f>
        <v/>
      </c>
      <c r="V640">
        <f>IF($AG640="","",Config!$B$19)</f>
        <v/>
      </c>
      <c r="W640">
        <f>IF($AG640="","",INDEX('TMP Paste'!$C$2:$C$1601,$AG640))</f>
        <v/>
      </c>
      <c r="X640">
        <f>IF($AG640="","",Config!$B$29)</f>
        <v/>
      </c>
      <c r="Y640">
        <f>IF($AH640="","",INDEX(Calc!$I$2:$I$1601,$AH640)&amp;" - "&amp;INDEX(Calc!$D$2:$D$1601,$AH640)&amp;" koli")</f>
        <v/>
      </c>
      <c r="Z640">
        <f>IF($AG640="","",Config!$B$21)</f>
        <v/>
      </c>
      <c r="AA640">
        <f>IF($AG640="","",Config!$B$22)</f>
        <v/>
      </c>
      <c r="AB640">
        <f>IF($AH640="","",INDEX(Calc!$D$2:$D$1601,$AH640))</f>
        <v/>
      </c>
      <c r="AC640">
        <f>IF($AH640="","",INDEX(Calc!$G$2:$G$1601,$AH640))</f>
        <v/>
      </c>
      <c r="AD640">
        <f>IF($AG640="","",Config!$B$23)</f>
        <v/>
      </c>
      <c r="AE640">
        <f>IF($AG640="","",Config!$B$28)</f>
        <v/>
      </c>
      <c r="AG640">
        <f>IFERROR(MATCH(ROW()-1,Calc!$J$2:$J$1601,0),"")</f>
        <v/>
      </c>
      <c r="AH640">
        <f>IFERROR(MATCH(ROW()-1,Calc!$K$2:$K$1601,0),"")</f>
        <v/>
      </c>
      <c r="AI640">
        <f>IF($AG640="","",SUMIF($AG$2:$AG640,$AG640,$AH$2:$AH640))</f>
        <v/>
      </c>
      <c r="AJ640">
        <f>IF('TMP Paste'!$F640="","",IF('TMP Paste'!$B640="",$AJ639,'TMP Paste'!$B640))</f>
        <v/>
      </c>
      <c r="AK640">
        <f>IF('TMP Paste'!$F640="","",N('TMP Paste'!$G640))</f>
        <v/>
      </c>
      <c r="AL640">
        <f>IF('TMP Paste'!$F640="","",IF('TMP Paste'!$M640="",$AL639,'TMP Paste'!$M640))</f>
        <v/>
      </c>
      <c r="AM640">
        <f>IF('TMP Paste'!$F640="","",IF('TMP Paste'!$N640="",$AM639,'TMP Paste'!$N640))</f>
        <v/>
      </c>
      <c r="AN640">
        <f>IF('TMP Paste'!$F640="","",IF('TMP Paste'!$O640="",$AN639,'TMP Paste'!$O640))</f>
        <v/>
      </c>
      <c r="AO640">
        <f>IF('TMP Paste'!$F640="","",IF('TMP Paste'!$P640="",$AO639,'TMP Paste'!$P640))</f>
        <v/>
      </c>
      <c r="AP640">
        <f>IF($AG640="","",LEN($R640))</f>
        <v/>
      </c>
      <c r="AQ640">
        <f>IF($AG640="","",TRIM(IF(COUNTIFS(Calc!$B$2:$B$1601,ROW()-1,Calc!$C$2:$C$1601,"&lt;1")&gt;0,"Ada PO tanpa Koli - cek TMP. ","")&amp;IF(LEN($R640)&gt;500,"R &gt; 500 karakter.","")))</f>
        <v/>
      </c>
    </row>
    <row r="641">
      <c r="A641">
        <f>IF($AG641="","",INDEX('TMP Paste'!$B$2:$B$1601,$AG641))</f>
        <v/>
      </c>
      <c r="B641">
        <f>IF($AG641="","",Config!$B$14)</f>
        <v/>
      </c>
      <c r="C641">
        <f>IF($AG641="","",Config!$B$15)</f>
        <v/>
      </c>
      <c r="D641">
        <f>IF($AG641="","",INDEX('TMP Paste'!$B$2:$B$1601,$AG641))</f>
        <v/>
      </c>
      <c r="E641">
        <f>IF($AG641="","",Config!$B$27)</f>
        <v/>
      </c>
      <c r="F641">
        <f>IF($AG641="","",Config!$B$9)</f>
        <v/>
      </c>
      <c r="G641">
        <f>IF($AG641="","",Config!$B$10)</f>
        <v/>
      </c>
      <c r="H641">
        <f>IF($AG641="","",Config!$B$11)</f>
        <v/>
      </c>
      <c r="I641">
        <f>IF($AG641="","",Config!$B$16)</f>
        <v/>
      </c>
      <c r="J641">
        <f>IF($AG641="","",INDEX('TMP Paste'!$A$2:$A$1601,$AG641))</f>
        <v/>
      </c>
      <c r="K641">
        <f>IF($AG641="","",INDEX('TMP Paste'!$L$2:$L$1601,$AG641))</f>
        <v/>
      </c>
      <c r="L641">
        <f>IF($AG641="","",INDEX('TMP Paste'!$I$2:$I$1601,$AG641))</f>
        <v/>
      </c>
      <c r="M641">
        <f>IF($AG641="","",Config!$B$16)</f>
        <v/>
      </c>
      <c r="N641">
        <f>IF($AG641="","","")</f>
        <v/>
      </c>
      <c r="O641">
        <f>IF($AG641="","",INDEX('TMP Paste'!$K$2:$K$1601,$AG641))</f>
        <v/>
      </c>
      <c r="P641">
        <f>IF($AG641="","","")</f>
        <v/>
      </c>
      <c r="Q641">
        <f>IF($AG641="","",INDEX('TMP Paste'!$J$2:$J$1601,$AG641))</f>
        <v/>
      </c>
      <c r="R641">
        <f>IF($AG641="","",Config!$B$24)</f>
        <v/>
      </c>
      <c r="S641">
        <f>IF($AG641="","",TEXT(Config!$B$4,"yyyy-mm-dd"))</f>
        <v/>
      </c>
      <c r="T641">
        <f>IF($AG641="","",Config!$B$17)</f>
        <v/>
      </c>
      <c r="U641">
        <f>IF($AG641="","",Config!$B$18)</f>
        <v/>
      </c>
      <c r="V641">
        <f>IF($AG641="","",Config!$B$19)</f>
        <v/>
      </c>
      <c r="W641">
        <f>IF($AG641="","",INDEX('TMP Paste'!$C$2:$C$1601,$AG641))</f>
        <v/>
      </c>
      <c r="X641">
        <f>IF($AG641="","",Config!$B$29)</f>
        <v/>
      </c>
      <c r="Y641">
        <f>IF($AH641="","",INDEX(Calc!$I$2:$I$1601,$AH641)&amp;" - "&amp;INDEX(Calc!$D$2:$D$1601,$AH641)&amp;" koli")</f>
        <v/>
      </c>
      <c r="Z641">
        <f>IF($AG641="","",Config!$B$21)</f>
        <v/>
      </c>
      <c r="AA641">
        <f>IF($AG641="","",Config!$B$22)</f>
        <v/>
      </c>
      <c r="AB641">
        <f>IF($AH641="","",INDEX(Calc!$D$2:$D$1601,$AH641))</f>
        <v/>
      </c>
      <c r="AC641">
        <f>IF($AH641="","",INDEX(Calc!$G$2:$G$1601,$AH641))</f>
        <v/>
      </c>
      <c r="AD641">
        <f>IF($AG641="","",Config!$B$23)</f>
        <v/>
      </c>
      <c r="AE641">
        <f>IF($AG641="","",Config!$B$28)</f>
        <v/>
      </c>
      <c r="AG641">
        <f>IFERROR(MATCH(ROW()-1,Calc!$J$2:$J$1601,0),"")</f>
        <v/>
      </c>
      <c r="AH641">
        <f>IFERROR(MATCH(ROW()-1,Calc!$K$2:$K$1601,0),"")</f>
        <v/>
      </c>
      <c r="AI641">
        <f>IF($AG641="","",SUMIF($AG$2:$AG641,$AG641,$AH$2:$AH641))</f>
        <v/>
      </c>
      <c r="AJ641">
        <f>IF('TMP Paste'!$F641="","",IF('TMP Paste'!$B641="",$AJ640,'TMP Paste'!$B641))</f>
        <v/>
      </c>
      <c r="AK641">
        <f>IF('TMP Paste'!$F641="","",N('TMP Paste'!$G641))</f>
        <v/>
      </c>
      <c r="AL641">
        <f>IF('TMP Paste'!$F641="","",IF('TMP Paste'!$M641="",$AL640,'TMP Paste'!$M641))</f>
        <v/>
      </c>
      <c r="AM641">
        <f>IF('TMP Paste'!$F641="","",IF('TMP Paste'!$N641="",$AM640,'TMP Paste'!$N641))</f>
        <v/>
      </c>
      <c r="AN641">
        <f>IF('TMP Paste'!$F641="","",IF('TMP Paste'!$O641="",$AN640,'TMP Paste'!$O641))</f>
        <v/>
      </c>
      <c r="AO641">
        <f>IF('TMP Paste'!$F641="","",IF('TMP Paste'!$P641="",$AO640,'TMP Paste'!$P641))</f>
        <v/>
      </c>
      <c r="AP641">
        <f>IF($AG641="","",LEN($R641))</f>
        <v/>
      </c>
      <c r="AQ641">
        <f>IF($AG641="","",TRIM(IF(COUNTIFS(Calc!$B$2:$B$1601,ROW()-1,Calc!$C$2:$C$1601,"&lt;1")&gt;0,"Ada PO tanpa Koli - cek TMP. ","")&amp;IF(LEN($R641)&gt;500,"R &gt; 500 karakter.","")))</f>
        <v/>
      </c>
    </row>
    <row r="642">
      <c r="A642">
        <f>IF($AG642="","",INDEX('TMP Paste'!$B$2:$B$1601,$AG642))</f>
        <v/>
      </c>
      <c r="B642">
        <f>IF($AG642="","",Config!$B$14)</f>
        <v/>
      </c>
      <c r="C642">
        <f>IF($AG642="","",Config!$B$15)</f>
        <v/>
      </c>
      <c r="D642">
        <f>IF($AG642="","",INDEX('TMP Paste'!$B$2:$B$1601,$AG642))</f>
        <v/>
      </c>
      <c r="E642">
        <f>IF($AG642="","",Config!$B$27)</f>
        <v/>
      </c>
      <c r="F642">
        <f>IF($AG642="","",Config!$B$9)</f>
        <v/>
      </c>
      <c r="G642">
        <f>IF($AG642="","",Config!$B$10)</f>
        <v/>
      </c>
      <c r="H642">
        <f>IF($AG642="","",Config!$B$11)</f>
        <v/>
      </c>
      <c r="I642">
        <f>IF($AG642="","",Config!$B$16)</f>
        <v/>
      </c>
      <c r="J642">
        <f>IF($AG642="","",INDEX('TMP Paste'!$A$2:$A$1601,$AG642))</f>
        <v/>
      </c>
      <c r="K642">
        <f>IF($AG642="","",INDEX('TMP Paste'!$L$2:$L$1601,$AG642))</f>
        <v/>
      </c>
      <c r="L642">
        <f>IF($AG642="","",INDEX('TMP Paste'!$I$2:$I$1601,$AG642))</f>
        <v/>
      </c>
      <c r="M642">
        <f>IF($AG642="","",Config!$B$16)</f>
        <v/>
      </c>
      <c r="N642">
        <f>IF($AG642="","","")</f>
        <v/>
      </c>
      <c r="O642">
        <f>IF($AG642="","",INDEX('TMP Paste'!$K$2:$K$1601,$AG642))</f>
        <v/>
      </c>
      <c r="P642">
        <f>IF($AG642="","","")</f>
        <v/>
      </c>
      <c r="Q642">
        <f>IF($AG642="","",INDEX('TMP Paste'!$J$2:$J$1601,$AG642))</f>
        <v/>
      </c>
      <c r="R642">
        <f>IF($AG642="","",Config!$B$24)</f>
        <v/>
      </c>
      <c r="S642">
        <f>IF($AG642="","",TEXT(Config!$B$4,"yyyy-mm-dd"))</f>
        <v/>
      </c>
      <c r="T642">
        <f>IF($AG642="","",Config!$B$17)</f>
        <v/>
      </c>
      <c r="U642">
        <f>IF($AG642="","",Config!$B$18)</f>
        <v/>
      </c>
      <c r="V642">
        <f>IF($AG642="","",Config!$B$19)</f>
        <v/>
      </c>
      <c r="W642">
        <f>IF($AG642="","",INDEX('TMP Paste'!$C$2:$C$1601,$AG642))</f>
        <v/>
      </c>
      <c r="X642">
        <f>IF($AG642="","",Config!$B$29)</f>
        <v/>
      </c>
      <c r="Y642">
        <f>IF($AH642="","",INDEX(Calc!$I$2:$I$1601,$AH642)&amp;" - "&amp;INDEX(Calc!$D$2:$D$1601,$AH642)&amp;" koli")</f>
        <v/>
      </c>
      <c r="Z642">
        <f>IF($AG642="","",Config!$B$21)</f>
        <v/>
      </c>
      <c r="AA642">
        <f>IF($AG642="","",Config!$B$22)</f>
        <v/>
      </c>
      <c r="AB642">
        <f>IF($AH642="","",INDEX(Calc!$D$2:$D$1601,$AH642))</f>
        <v/>
      </c>
      <c r="AC642">
        <f>IF($AH642="","",INDEX(Calc!$G$2:$G$1601,$AH642))</f>
        <v/>
      </c>
      <c r="AD642">
        <f>IF($AG642="","",Config!$B$23)</f>
        <v/>
      </c>
      <c r="AE642">
        <f>IF($AG642="","",Config!$B$28)</f>
        <v/>
      </c>
      <c r="AG642">
        <f>IFERROR(MATCH(ROW()-1,Calc!$J$2:$J$1601,0),"")</f>
        <v/>
      </c>
      <c r="AH642">
        <f>IFERROR(MATCH(ROW()-1,Calc!$K$2:$K$1601,0),"")</f>
        <v/>
      </c>
      <c r="AI642">
        <f>IF($AG642="","",SUMIF($AG$2:$AG642,$AG642,$AH$2:$AH642))</f>
        <v/>
      </c>
      <c r="AJ642">
        <f>IF('TMP Paste'!$F642="","",IF('TMP Paste'!$B642="",$AJ641,'TMP Paste'!$B642))</f>
        <v/>
      </c>
      <c r="AK642">
        <f>IF('TMP Paste'!$F642="","",N('TMP Paste'!$G642))</f>
        <v/>
      </c>
      <c r="AL642">
        <f>IF('TMP Paste'!$F642="","",IF('TMP Paste'!$M642="",$AL641,'TMP Paste'!$M642))</f>
        <v/>
      </c>
      <c r="AM642">
        <f>IF('TMP Paste'!$F642="","",IF('TMP Paste'!$N642="",$AM641,'TMP Paste'!$N642))</f>
        <v/>
      </c>
      <c r="AN642">
        <f>IF('TMP Paste'!$F642="","",IF('TMP Paste'!$O642="",$AN641,'TMP Paste'!$O642))</f>
        <v/>
      </c>
      <c r="AO642">
        <f>IF('TMP Paste'!$F642="","",IF('TMP Paste'!$P642="",$AO641,'TMP Paste'!$P642))</f>
        <v/>
      </c>
      <c r="AP642">
        <f>IF($AG642="","",LEN($R642))</f>
        <v/>
      </c>
      <c r="AQ642">
        <f>IF($AG642="","",TRIM(IF(COUNTIFS(Calc!$B$2:$B$1601,ROW()-1,Calc!$C$2:$C$1601,"&lt;1")&gt;0,"Ada PO tanpa Koli - cek TMP. ","")&amp;IF(LEN($R642)&gt;500,"R &gt; 500 karakter.","")))</f>
        <v/>
      </c>
    </row>
    <row r="643">
      <c r="A643">
        <f>IF($AG643="","",INDEX('TMP Paste'!$B$2:$B$1601,$AG643))</f>
        <v/>
      </c>
      <c r="B643">
        <f>IF($AG643="","",Config!$B$14)</f>
        <v/>
      </c>
      <c r="C643">
        <f>IF($AG643="","",Config!$B$15)</f>
        <v/>
      </c>
      <c r="D643">
        <f>IF($AG643="","",INDEX('TMP Paste'!$B$2:$B$1601,$AG643))</f>
        <v/>
      </c>
      <c r="E643">
        <f>IF($AG643="","",Config!$B$27)</f>
        <v/>
      </c>
      <c r="F643">
        <f>IF($AG643="","",Config!$B$9)</f>
        <v/>
      </c>
      <c r="G643">
        <f>IF($AG643="","",Config!$B$10)</f>
        <v/>
      </c>
      <c r="H643">
        <f>IF($AG643="","",Config!$B$11)</f>
        <v/>
      </c>
      <c r="I643">
        <f>IF($AG643="","",Config!$B$16)</f>
        <v/>
      </c>
      <c r="J643">
        <f>IF($AG643="","",INDEX('TMP Paste'!$A$2:$A$1601,$AG643))</f>
        <v/>
      </c>
      <c r="K643">
        <f>IF($AG643="","",INDEX('TMP Paste'!$L$2:$L$1601,$AG643))</f>
        <v/>
      </c>
      <c r="L643">
        <f>IF($AG643="","",INDEX('TMP Paste'!$I$2:$I$1601,$AG643))</f>
        <v/>
      </c>
      <c r="M643">
        <f>IF($AG643="","",Config!$B$16)</f>
        <v/>
      </c>
      <c r="N643">
        <f>IF($AG643="","","")</f>
        <v/>
      </c>
      <c r="O643">
        <f>IF($AG643="","",INDEX('TMP Paste'!$K$2:$K$1601,$AG643))</f>
        <v/>
      </c>
      <c r="P643">
        <f>IF($AG643="","","")</f>
        <v/>
      </c>
      <c r="Q643">
        <f>IF($AG643="","",INDEX('TMP Paste'!$J$2:$J$1601,$AG643))</f>
        <v/>
      </c>
      <c r="R643">
        <f>IF($AG643="","",Config!$B$24)</f>
        <v/>
      </c>
      <c r="S643">
        <f>IF($AG643="","",TEXT(Config!$B$4,"yyyy-mm-dd"))</f>
        <v/>
      </c>
      <c r="T643">
        <f>IF($AG643="","",Config!$B$17)</f>
        <v/>
      </c>
      <c r="U643">
        <f>IF($AG643="","",Config!$B$18)</f>
        <v/>
      </c>
      <c r="V643">
        <f>IF($AG643="","",Config!$B$19)</f>
        <v/>
      </c>
      <c r="W643">
        <f>IF($AG643="","",INDEX('TMP Paste'!$C$2:$C$1601,$AG643))</f>
        <v/>
      </c>
      <c r="X643">
        <f>IF($AG643="","",Config!$B$29)</f>
        <v/>
      </c>
      <c r="Y643">
        <f>IF($AH643="","",INDEX(Calc!$I$2:$I$1601,$AH643)&amp;" - "&amp;INDEX(Calc!$D$2:$D$1601,$AH643)&amp;" koli")</f>
        <v/>
      </c>
      <c r="Z643">
        <f>IF($AG643="","",Config!$B$21)</f>
        <v/>
      </c>
      <c r="AA643">
        <f>IF($AG643="","",Config!$B$22)</f>
        <v/>
      </c>
      <c r="AB643">
        <f>IF($AH643="","",INDEX(Calc!$D$2:$D$1601,$AH643))</f>
        <v/>
      </c>
      <c r="AC643">
        <f>IF($AH643="","",INDEX(Calc!$G$2:$G$1601,$AH643))</f>
        <v/>
      </c>
      <c r="AD643">
        <f>IF($AG643="","",Config!$B$23)</f>
        <v/>
      </c>
      <c r="AE643">
        <f>IF($AG643="","",Config!$B$28)</f>
        <v/>
      </c>
      <c r="AG643">
        <f>IFERROR(MATCH(ROW()-1,Calc!$J$2:$J$1601,0),"")</f>
        <v/>
      </c>
      <c r="AH643">
        <f>IFERROR(MATCH(ROW()-1,Calc!$K$2:$K$1601,0),"")</f>
        <v/>
      </c>
      <c r="AI643">
        <f>IF($AG643="","",SUMIF($AG$2:$AG643,$AG643,$AH$2:$AH643))</f>
        <v/>
      </c>
      <c r="AJ643">
        <f>IF('TMP Paste'!$F643="","",IF('TMP Paste'!$B643="",$AJ642,'TMP Paste'!$B643))</f>
        <v/>
      </c>
      <c r="AK643">
        <f>IF('TMP Paste'!$F643="","",N('TMP Paste'!$G643))</f>
        <v/>
      </c>
      <c r="AL643">
        <f>IF('TMP Paste'!$F643="","",IF('TMP Paste'!$M643="",$AL642,'TMP Paste'!$M643))</f>
        <v/>
      </c>
      <c r="AM643">
        <f>IF('TMP Paste'!$F643="","",IF('TMP Paste'!$N643="",$AM642,'TMP Paste'!$N643))</f>
        <v/>
      </c>
      <c r="AN643">
        <f>IF('TMP Paste'!$F643="","",IF('TMP Paste'!$O643="",$AN642,'TMP Paste'!$O643))</f>
        <v/>
      </c>
      <c r="AO643">
        <f>IF('TMP Paste'!$F643="","",IF('TMP Paste'!$P643="",$AO642,'TMP Paste'!$P643))</f>
        <v/>
      </c>
      <c r="AP643">
        <f>IF($AG643="","",LEN($R643))</f>
        <v/>
      </c>
      <c r="AQ643">
        <f>IF($AG643="","",TRIM(IF(COUNTIFS(Calc!$B$2:$B$1601,ROW()-1,Calc!$C$2:$C$1601,"&lt;1")&gt;0,"Ada PO tanpa Koli - cek TMP. ","")&amp;IF(LEN($R643)&gt;500,"R &gt; 500 karakter.","")))</f>
        <v/>
      </c>
    </row>
    <row r="644">
      <c r="A644">
        <f>IF($AG644="","",INDEX('TMP Paste'!$B$2:$B$1601,$AG644))</f>
        <v/>
      </c>
      <c r="B644">
        <f>IF($AG644="","",Config!$B$14)</f>
        <v/>
      </c>
      <c r="C644">
        <f>IF($AG644="","",Config!$B$15)</f>
        <v/>
      </c>
      <c r="D644">
        <f>IF($AG644="","",INDEX('TMP Paste'!$B$2:$B$1601,$AG644))</f>
        <v/>
      </c>
      <c r="E644">
        <f>IF($AG644="","",Config!$B$27)</f>
        <v/>
      </c>
      <c r="F644">
        <f>IF($AG644="","",Config!$B$9)</f>
        <v/>
      </c>
      <c r="G644">
        <f>IF($AG644="","",Config!$B$10)</f>
        <v/>
      </c>
      <c r="H644">
        <f>IF($AG644="","",Config!$B$11)</f>
        <v/>
      </c>
      <c r="I644">
        <f>IF($AG644="","",Config!$B$16)</f>
        <v/>
      </c>
      <c r="J644">
        <f>IF($AG644="","",INDEX('TMP Paste'!$A$2:$A$1601,$AG644))</f>
        <v/>
      </c>
      <c r="K644">
        <f>IF($AG644="","",INDEX('TMP Paste'!$L$2:$L$1601,$AG644))</f>
        <v/>
      </c>
      <c r="L644">
        <f>IF($AG644="","",INDEX('TMP Paste'!$I$2:$I$1601,$AG644))</f>
        <v/>
      </c>
      <c r="M644">
        <f>IF($AG644="","",Config!$B$16)</f>
        <v/>
      </c>
      <c r="N644">
        <f>IF($AG644="","","")</f>
        <v/>
      </c>
      <c r="O644">
        <f>IF($AG644="","",INDEX('TMP Paste'!$K$2:$K$1601,$AG644))</f>
        <v/>
      </c>
      <c r="P644">
        <f>IF($AG644="","","")</f>
        <v/>
      </c>
      <c r="Q644">
        <f>IF($AG644="","",INDEX('TMP Paste'!$J$2:$J$1601,$AG644))</f>
        <v/>
      </c>
      <c r="R644">
        <f>IF($AG644="","",Config!$B$24)</f>
        <v/>
      </c>
      <c r="S644">
        <f>IF($AG644="","",TEXT(Config!$B$4,"yyyy-mm-dd"))</f>
        <v/>
      </c>
      <c r="T644">
        <f>IF($AG644="","",Config!$B$17)</f>
        <v/>
      </c>
      <c r="U644">
        <f>IF($AG644="","",Config!$B$18)</f>
        <v/>
      </c>
      <c r="V644">
        <f>IF($AG644="","",Config!$B$19)</f>
        <v/>
      </c>
      <c r="W644">
        <f>IF($AG644="","",INDEX('TMP Paste'!$C$2:$C$1601,$AG644))</f>
        <v/>
      </c>
      <c r="X644">
        <f>IF($AG644="","",Config!$B$29)</f>
        <v/>
      </c>
      <c r="Y644">
        <f>IF($AH644="","",INDEX(Calc!$I$2:$I$1601,$AH644)&amp;" - "&amp;INDEX(Calc!$D$2:$D$1601,$AH644)&amp;" koli")</f>
        <v/>
      </c>
      <c r="Z644">
        <f>IF($AG644="","",Config!$B$21)</f>
        <v/>
      </c>
      <c r="AA644">
        <f>IF($AG644="","",Config!$B$22)</f>
        <v/>
      </c>
      <c r="AB644">
        <f>IF($AH644="","",INDEX(Calc!$D$2:$D$1601,$AH644))</f>
        <v/>
      </c>
      <c r="AC644">
        <f>IF($AH644="","",INDEX(Calc!$G$2:$G$1601,$AH644))</f>
        <v/>
      </c>
      <c r="AD644">
        <f>IF($AG644="","",Config!$B$23)</f>
        <v/>
      </c>
      <c r="AE644">
        <f>IF($AG644="","",Config!$B$28)</f>
        <v/>
      </c>
      <c r="AG644">
        <f>IFERROR(MATCH(ROW()-1,Calc!$J$2:$J$1601,0),"")</f>
        <v/>
      </c>
      <c r="AH644">
        <f>IFERROR(MATCH(ROW()-1,Calc!$K$2:$K$1601,0),"")</f>
        <v/>
      </c>
      <c r="AI644">
        <f>IF($AG644="","",SUMIF($AG$2:$AG644,$AG644,$AH$2:$AH644))</f>
        <v/>
      </c>
      <c r="AJ644">
        <f>IF('TMP Paste'!$F644="","",IF('TMP Paste'!$B644="",$AJ643,'TMP Paste'!$B644))</f>
        <v/>
      </c>
      <c r="AK644">
        <f>IF('TMP Paste'!$F644="","",N('TMP Paste'!$G644))</f>
        <v/>
      </c>
      <c r="AL644">
        <f>IF('TMP Paste'!$F644="","",IF('TMP Paste'!$M644="",$AL643,'TMP Paste'!$M644))</f>
        <v/>
      </c>
      <c r="AM644">
        <f>IF('TMP Paste'!$F644="","",IF('TMP Paste'!$N644="",$AM643,'TMP Paste'!$N644))</f>
        <v/>
      </c>
      <c r="AN644">
        <f>IF('TMP Paste'!$F644="","",IF('TMP Paste'!$O644="",$AN643,'TMP Paste'!$O644))</f>
        <v/>
      </c>
      <c r="AO644">
        <f>IF('TMP Paste'!$F644="","",IF('TMP Paste'!$P644="",$AO643,'TMP Paste'!$P644))</f>
        <v/>
      </c>
      <c r="AP644">
        <f>IF($AG644="","",LEN($R644))</f>
        <v/>
      </c>
      <c r="AQ644">
        <f>IF($AG644="","",TRIM(IF(COUNTIFS(Calc!$B$2:$B$1601,ROW()-1,Calc!$C$2:$C$1601,"&lt;1")&gt;0,"Ada PO tanpa Koli - cek TMP. ","")&amp;IF(LEN($R644)&gt;500,"R &gt; 500 karakter.","")))</f>
        <v/>
      </c>
    </row>
    <row r="645">
      <c r="A645">
        <f>IF($AG645="","",INDEX('TMP Paste'!$B$2:$B$1601,$AG645))</f>
        <v/>
      </c>
      <c r="B645">
        <f>IF($AG645="","",Config!$B$14)</f>
        <v/>
      </c>
      <c r="C645">
        <f>IF($AG645="","",Config!$B$15)</f>
        <v/>
      </c>
      <c r="D645">
        <f>IF($AG645="","",INDEX('TMP Paste'!$B$2:$B$1601,$AG645))</f>
        <v/>
      </c>
      <c r="E645">
        <f>IF($AG645="","",Config!$B$27)</f>
        <v/>
      </c>
      <c r="F645">
        <f>IF($AG645="","",Config!$B$9)</f>
        <v/>
      </c>
      <c r="G645">
        <f>IF($AG645="","",Config!$B$10)</f>
        <v/>
      </c>
      <c r="H645">
        <f>IF($AG645="","",Config!$B$11)</f>
        <v/>
      </c>
      <c r="I645">
        <f>IF($AG645="","",Config!$B$16)</f>
        <v/>
      </c>
      <c r="J645">
        <f>IF($AG645="","",INDEX('TMP Paste'!$A$2:$A$1601,$AG645))</f>
        <v/>
      </c>
      <c r="K645">
        <f>IF($AG645="","",INDEX('TMP Paste'!$L$2:$L$1601,$AG645))</f>
        <v/>
      </c>
      <c r="L645">
        <f>IF($AG645="","",INDEX('TMP Paste'!$I$2:$I$1601,$AG645))</f>
        <v/>
      </c>
      <c r="M645">
        <f>IF($AG645="","",Config!$B$16)</f>
        <v/>
      </c>
      <c r="N645">
        <f>IF($AG645="","","")</f>
        <v/>
      </c>
      <c r="O645">
        <f>IF($AG645="","",INDEX('TMP Paste'!$K$2:$K$1601,$AG645))</f>
        <v/>
      </c>
      <c r="P645">
        <f>IF($AG645="","","")</f>
        <v/>
      </c>
      <c r="Q645">
        <f>IF($AG645="","",INDEX('TMP Paste'!$J$2:$J$1601,$AG645))</f>
        <v/>
      </c>
      <c r="R645">
        <f>IF($AG645="","",Config!$B$24)</f>
        <v/>
      </c>
      <c r="S645">
        <f>IF($AG645="","",TEXT(Config!$B$4,"yyyy-mm-dd"))</f>
        <v/>
      </c>
      <c r="T645">
        <f>IF($AG645="","",Config!$B$17)</f>
        <v/>
      </c>
      <c r="U645">
        <f>IF($AG645="","",Config!$B$18)</f>
        <v/>
      </c>
      <c r="V645">
        <f>IF($AG645="","",Config!$B$19)</f>
        <v/>
      </c>
      <c r="W645">
        <f>IF($AG645="","",INDEX('TMP Paste'!$C$2:$C$1601,$AG645))</f>
        <v/>
      </c>
      <c r="X645">
        <f>IF($AG645="","",Config!$B$29)</f>
        <v/>
      </c>
      <c r="Y645">
        <f>IF($AH645="","",INDEX(Calc!$I$2:$I$1601,$AH645)&amp;" - "&amp;INDEX(Calc!$D$2:$D$1601,$AH645)&amp;" koli")</f>
        <v/>
      </c>
      <c r="Z645">
        <f>IF($AG645="","",Config!$B$21)</f>
        <v/>
      </c>
      <c r="AA645">
        <f>IF($AG645="","",Config!$B$22)</f>
        <v/>
      </c>
      <c r="AB645">
        <f>IF($AH645="","",INDEX(Calc!$D$2:$D$1601,$AH645))</f>
        <v/>
      </c>
      <c r="AC645">
        <f>IF($AH645="","",INDEX(Calc!$G$2:$G$1601,$AH645))</f>
        <v/>
      </c>
      <c r="AD645">
        <f>IF($AG645="","",Config!$B$23)</f>
        <v/>
      </c>
      <c r="AE645">
        <f>IF($AG645="","",Config!$B$28)</f>
        <v/>
      </c>
      <c r="AG645">
        <f>IFERROR(MATCH(ROW()-1,Calc!$J$2:$J$1601,0),"")</f>
        <v/>
      </c>
      <c r="AH645">
        <f>IFERROR(MATCH(ROW()-1,Calc!$K$2:$K$1601,0),"")</f>
        <v/>
      </c>
      <c r="AI645">
        <f>IF($AG645="","",SUMIF($AG$2:$AG645,$AG645,$AH$2:$AH645))</f>
        <v/>
      </c>
      <c r="AJ645">
        <f>IF('TMP Paste'!$F645="","",IF('TMP Paste'!$B645="",$AJ644,'TMP Paste'!$B645))</f>
        <v/>
      </c>
      <c r="AK645">
        <f>IF('TMP Paste'!$F645="","",N('TMP Paste'!$G645))</f>
        <v/>
      </c>
      <c r="AL645">
        <f>IF('TMP Paste'!$F645="","",IF('TMP Paste'!$M645="",$AL644,'TMP Paste'!$M645))</f>
        <v/>
      </c>
      <c r="AM645">
        <f>IF('TMP Paste'!$F645="","",IF('TMP Paste'!$N645="",$AM644,'TMP Paste'!$N645))</f>
        <v/>
      </c>
      <c r="AN645">
        <f>IF('TMP Paste'!$F645="","",IF('TMP Paste'!$O645="",$AN644,'TMP Paste'!$O645))</f>
        <v/>
      </c>
      <c r="AO645">
        <f>IF('TMP Paste'!$F645="","",IF('TMP Paste'!$P645="",$AO644,'TMP Paste'!$P645))</f>
        <v/>
      </c>
      <c r="AP645">
        <f>IF($AG645="","",LEN($R645))</f>
        <v/>
      </c>
      <c r="AQ645">
        <f>IF($AG645="","",TRIM(IF(COUNTIFS(Calc!$B$2:$B$1601,ROW()-1,Calc!$C$2:$C$1601,"&lt;1")&gt;0,"Ada PO tanpa Koli - cek TMP. ","")&amp;IF(LEN($R645)&gt;500,"R &gt; 500 karakter.","")))</f>
        <v/>
      </c>
    </row>
    <row r="646">
      <c r="A646">
        <f>IF($AG646="","",INDEX('TMP Paste'!$B$2:$B$1601,$AG646))</f>
        <v/>
      </c>
      <c r="B646">
        <f>IF($AG646="","",Config!$B$14)</f>
        <v/>
      </c>
      <c r="C646">
        <f>IF($AG646="","",Config!$B$15)</f>
        <v/>
      </c>
      <c r="D646">
        <f>IF($AG646="","",INDEX('TMP Paste'!$B$2:$B$1601,$AG646))</f>
        <v/>
      </c>
      <c r="E646">
        <f>IF($AG646="","",Config!$B$27)</f>
        <v/>
      </c>
      <c r="F646">
        <f>IF($AG646="","",Config!$B$9)</f>
        <v/>
      </c>
      <c r="G646">
        <f>IF($AG646="","",Config!$B$10)</f>
        <v/>
      </c>
      <c r="H646">
        <f>IF($AG646="","",Config!$B$11)</f>
        <v/>
      </c>
      <c r="I646">
        <f>IF($AG646="","",Config!$B$16)</f>
        <v/>
      </c>
      <c r="J646">
        <f>IF($AG646="","",INDEX('TMP Paste'!$A$2:$A$1601,$AG646))</f>
        <v/>
      </c>
      <c r="K646">
        <f>IF($AG646="","",INDEX('TMP Paste'!$L$2:$L$1601,$AG646))</f>
        <v/>
      </c>
      <c r="L646">
        <f>IF($AG646="","",INDEX('TMP Paste'!$I$2:$I$1601,$AG646))</f>
        <v/>
      </c>
      <c r="M646">
        <f>IF($AG646="","",Config!$B$16)</f>
        <v/>
      </c>
      <c r="N646">
        <f>IF($AG646="","","")</f>
        <v/>
      </c>
      <c r="O646">
        <f>IF($AG646="","",INDEX('TMP Paste'!$K$2:$K$1601,$AG646))</f>
        <v/>
      </c>
      <c r="P646">
        <f>IF($AG646="","","")</f>
        <v/>
      </c>
      <c r="Q646">
        <f>IF($AG646="","",INDEX('TMP Paste'!$J$2:$J$1601,$AG646))</f>
        <v/>
      </c>
      <c r="R646">
        <f>IF($AG646="","",Config!$B$24)</f>
        <v/>
      </c>
      <c r="S646">
        <f>IF($AG646="","",TEXT(Config!$B$4,"yyyy-mm-dd"))</f>
        <v/>
      </c>
      <c r="T646">
        <f>IF($AG646="","",Config!$B$17)</f>
        <v/>
      </c>
      <c r="U646">
        <f>IF($AG646="","",Config!$B$18)</f>
        <v/>
      </c>
      <c r="V646">
        <f>IF($AG646="","",Config!$B$19)</f>
        <v/>
      </c>
      <c r="W646">
        <f>IF($AG646="","",INDEX('TMP Paste'!$C$2:$C$1601,$AG646))</f>
        <v/>
      </c>
      <c r="X646">
        <f>IF($AG646="","",Config!$B$29)</f>
        <v/>
      </c>
      <c r="Y646">
        <f>IF($AH646="","",INDEX(Calc!$I$2:$I$1601,$AH646)&amp;" - "&amp;INDEX(Calc!$D$2:$D$1601,$AH646)&amp;" koli")</f>
        <v/>
      </c>
      <c r="Z646">
        <f>IF($AG646="","",Config!$B$21)</f>
        <v/>
      </c>
      <c r="AA646">
        <f>IF($AG646="","",Config!$B$22)</f>
        <v/>
      </c>
      <c r="AB646">
        <f>IF($AH646="","",INDEX(Calc!$D$2:$D$1601,$AH646))</f>
        <v/>
      </c>
      <c r="AC646">
        <f>IF($AH646="","",INDEX(Calc!$G$2:$G$1601,$AH646))</f>
        <v/>
      </c>
      <c r="AD646">
        <f>IF($AG646="","",Config!$B$23)</f>
        <v/>
      </c>
      <c r="AE646">
        <f>IF($AG646="","",Config!$B$28)</f>
        <v/>
      </c>
      <c r="AG646">
        <f>IFERROR(MATCH(ROW()-1,Calc!$J$2:$J$1601,0),"")</f>
        <v/>
      </c>
      <c r="AH646">
        <f>IFERROR(MATCH(ROW()-1,Calc!$K$2:$K$1601,0),"")</f>
        <v/>
      </c>
      <c r="AI646">
        <f>IF($AG646="","",SUMIF($AG$2:$AG646,$AG646,$AH$2:$AH646))</f>
        <v/>
      </c>
      <c r="AJ646">
        <f>IF('TMP Paste'!$F646="","",IF('TMP Paste'!$B646="",$AJ645,'TMP Paste'!$B646))</f>
        <v/>
      </c>
      <c r="AK646">
        <f>IF('TMP Paste'!$F646="","",N('TMP Paste'!$G646))</f>
        <v/>
      </c>
      <c r="AL646">
        <f>IF('TMP Paste'!$F646="","",IF('TMP Paste'!$M646="",$AL645,'TMP Paste'!$M646))</f>
        <v/>
      </c>
      <c r="AM646">
        <f>IF('TMP Paste'!$F646="","",IF('TMP Paste'!$N646="",$AM645,'TMP Paste'!$N646))</f>
        <v/>
      </c>
      <c r="AN646">
        <f>IF('TMP Paste'!$F646="","",IF('TMP Paste'!$O646="",$AN645,'TMP Paste'!$O646))</f>
        <v/>
      </c>
      <c r="AO646">
        <f>IF('TMP Paste'!$F646="","",IF('TMP Paste'!$P646="",$AO645,'TMP Paste'!$P646))</f>
        <v/>
      </c>
      <c r="AP646">
        <f>IF($AG646="","",LEN($R646))</f>
        <v/>
      </c>
      <c r="AQ646">
        <f>IF($AG646="","",TRIM(IF(COUNTIFS(Calc!$B$2:$B$1601,ROW()-1,Calc!$C$2:$C$1601,"&lt;1")&gt;0,"Ada PO tanpa Koli - cek TMP. ","")&amp;IF(LEN($R646)&gt;500,"R &gt; 500 karakter.","")))</f>
        <v/>
      </c>
    </row>
    <row r="647">
      <c r="A647">
        <f>IF($AG647="","",INDEX('TMP Paste'!$B$2:$B$1601,$AG647))</f>
        <v/>
      </c>
      <c r="B647">
        <f>IF($AG647="","",Config!$B$14)</f>
        <v/>
      </c>
      <c r="C647">
        <f>IF($AG647="","",Config!$B$15)</f>
        <v/>
      </c>
      <c r="D647">
        <f>IF($AG647="","",INDEX('TMP Paste'!$B$2:$B$1601,$AG647))</f>
        <v/>
      </c>
      <c r="E647">
        <f>IF($AG647="","",Config!$B$27)</f>
        <v/>
      </c>
      <c r="F647">
        <f>IF($AG647="","",Config!$B$9)</f>
        <v/>
      </c>
      <c r="G647">
        <f>IF($AG647="","",Config!$B$10)</f>
        <v/>
      </c>
      <c r="H647">
        <f>IF($AG647="","",Config!$B$11)</f>
        <v/>
      </c>
      <c r="I647">
        <f>IF($AG647="","",Config!$B$16)</f>
        <v/>
      </c>
      <c r="J647">
        <f>IF($AG647="","",INDEX('TMP Paste'!$A$2:$A$1601,$AG647))</f>
        <v/>
      </c>
      <c r="K647">
        <f>IF($AG647="","",INDEX('TMP Paste'!$L$2:$L$1601,$AG647))</f>
        <v/>
      </c>
      <c r="L647">
        <f>IF($AG647="","",INDEX('TMP Paste'!$I$2:$I$1601,$AG647))</f>
        <v/>
      </c>
      <c r="M647">
        <f>IF($AG647="","",Config!$B$16)</f>
        <v/>
      </c>
      <c r="N647">
        <f>IF($AG647="","","")</f>
        <v/>
      </c>
      <c r="O647">
        <f>IF($AG647="","",INDEX('TMP Paste'!$K$2:$K$1601,$AG647))</f>
        <v/>
      </c>
      <c r="P647">
        <f>IF($AG647="","","")</f>
        <v/>
      </c>
      <c r="Q647">
        <f>IF($AG647="","",INDEX('TMP Paste'!$J$2:$J$1601,$AG647))</f>
        <v/>
      </c>
      <c r="R647">
        <f>IF($AG647="","",Config!$B$24)</f>
        <v/>
      </c>
      <c r="S647">
        <f>IF($AG647="","",TEXT(Config!$B$4,"yyyy-mm-dd"))</f>
        <v/>
      </c>
      <c r="T647">
        <f>IF($AG647="","",Config!$B$17)</f>
        <v/>
      </c>
      <c r="U647">
        <f>IF($AG647="","",Config!$B$18)</f>
        <v/>
      </c>
      <c r="V647">
        <f>IF($AG647="","",Config!$B$19)</f>
        <v/>
      </c>
      <c r="W647">
        <f>IF($AG647="","",INDEX('TMP Paste'!$C$2:$C$1601,$AG647))</f>
        <v/>
      </c>
      <c r="X647">
        <f>IF($AG647="","",Config!$B$29)</f>
        <v/>
      </c>
      <c r="Y647">
        <f>IF($AH647="","",INDEX(Calc!$I$2:$I$1601,$AH647)&amp;" - "&amp;INDEX(Calc!$D$2:$D$1601,$AH647)&amp;" koli")</f>
        <v/>
      </c>
      <c r="Z647">
        <f>IF($AG647="","",Config!$B$21)</f>
        <v/>
      </c>
      <c r="AA647">
        <f>IF($AG647="","",Config!$B$22)</f>
        <v/>
      </c>
      <c r="AB647">
        <f>IF($AH647="","",INDEX(Calc!$D$2:$D$1601,$AH647))</f>
        <v/>
      </c>
      <c r="AC647">
        <f>IF($AH647="","",INDEX(Calc!$G$2:$G$1601,$AH647))</f>
        <v/>
      </c>
      <c r="AD647">
        <f>IF($AG647="","",Config!$B$23)</f>
        <v/>
      </c>
      <c r="AE647">
        <f>IF($AG647="","",Config!$B$28)</f>
        <v/>
      </c>
      <c r="AG647">
        <f>IFERROR(MATCH(ROW()-1,Calc!$J$2:$J$1601,0),"")</f>
        <v/>
      </c>
      <c r="AH647">
        <f>IFERROR(MATCH(ROW()-1,Calc!$K$2:$K$1601,0),"")</f>
        <v/>
      </c>
      <c r="AI647">
        <f>IF($AG647="","",SUMIF($AG$2:$AG647,$AG647,$AH$2:$AH647))</f>
        <v/>
      </c>
      <c r="AJ647">
        <f>IF('TMP Paste'!$F647="","",IF('TMP Paste'!$B647="",$AJ646,'TMP Paste'!$B647))</f>
        <v/>
      </c>
      <c r="AK647">
        <f>IF('TMP Paste'!$F647="","",N('TMP Paste'!$G647))</f>
        <v/>
      </c>
      <c r="AL647">
        <f>IF('TMP Paste'!$F647="","",IF('TMP Paste'!$M647="",$AL646,'TMP Paste'!$M647))</f>
        <v/>
      </c>
      <c r="AM647">
        <f>IF('TMP Paste'!$F647="","",IF('TMP Paste'!$N647="",$AM646,'TMP Paste'!$N647))</f>
        <v/>
      </c>
      <c r="AN647">
        <f>IF('TMP Paste'!$F647="","",IF('TMP Paste'!$O647="",$AN646,'TMP Paste'!$O647))</f>
        <v/>
      </c>
      <c r="AO647">
        <f>IF('TMP Paste'!$F647="","",IF('TMP Paste'!$P647="",$AO646,'TMP Paste'!$P647))</f>
        <v/>
      </c>
      <c r="AP647">
        <f>IF($AG647="","",LEN($R647))</f>
        <v/>
      </c>
      <c r="AQ647">
        <f>IF($AG647="","",TRIM(IF(COUNTIFS(Calc!$B$2:$B$1601,ROW()-1,Calc!$C$2:$C$1601,"&lt;1")&gt;0,"Ada PO tanpa Koli - cek TMP. ","")&amp;IF(LEN($R647)&gt;500,"R &gt; 500 karakter.","")))</f>
        <v/>
      </c>
    </row>
    <row r="648">
      <c r="A648">
        <f>IF($AG648="","",INDEX('TMP Paste'!$B$2:$B$1601,$AG648))</f>
        <v/>
      </c>
      <c r="B648">
        <f>IF($AG648="","",Config!$B$14)</f>
        <v/>
      </c>
      <c r="C648">
        <f>IF($AG648="","",Config!$B$15)</f>
        <v/>
      </c>
      <c r="D648">
        <f>IF($AG648="","",INDEX('TMP Paste'!$B$2:$B$1601,$AG648))</f>
        <v/>
      </c>
      <c r="E648">
        <f>IF($AG648="","",Config!$B$27)</f>
        <v/>
      </c>
      <c r="F648">
        <f>IF($AG648="","",Config!$B$9)</f>
        <v/>
      </c>
      <c r="G648">
        <f>IF($AG648="","",Config!$B$10)</f>
        <v/>
      </c>
      <c r="H648">
        <f>IF($AG648="","",Config!$B$11)</f>
        <v/>
      </c>
      <c r="I648">
        <f>IF($AG648="","",Config!$B$16)</f>
        <v/>
      </c>
      <c r="J648">
        <f>IF($AG648="","",INDEX('TMP Paste'!$A$2:$A$1601,$AG648))</f>
        <v/>
      </c>
      <c r="K648">
        <f>IF($AG648="","",INDEX('TMP Paste'!$L$2:$L$1601,$AG648))</f>
        <v/>
      </c>
      <c r="L648">
        <f>IF($AG648="","",INDEX('TMP Paste'!$I$2:$I$1601,$AG648))</f>
        <v/>
      </c>
      <c r="M648">
        <f>IF($AG648="","",Config!$B$16)</f>
        <v/>
      </c>
      <c r="N648">
        <f>IF($AG648="","","")</f>
        <v/>
      </c>
      <c r="O648">
        <f>IF($AG648="","",INDEX('TMP Paste'!$K$2:$K$1601,$AG648))</f>
        <v/>
      </c>
      <c r="P648">
        <f>IF($AG648="","","")</f>
        <v/>
      </c>
      <c r="Q648">
        <f>IF($AG648="","",INDEX('TMP Paste'!$J$2:$J$1601,$AG648))</f>
        <v/>
      </c>
      <c r="R648">
        <f>IF($AG648="","",Config!$B$24)</f>
        <v/>
      </c>
      <c r="S648">
        <f>IF($AG648="","",TEXT(Config!$B$4,"yyyy-mm-dd"))</f>
        <v/>
      </c>
      <c r="T648">
        <f>IF($AG648="","",Config!$B$17)</f>
        <v/>
      </c>
      <c r="U648">
        <f>IF($AG648="","",Config!$B$18)</f>
        <v/>
      </c>
      <c r="V648">
        <f>IF($AG648="","",Config!$B$19)</f>
        <v/>
      </c>
      <c r="W648">
        <f>IF($AG648="","",INDEX('TMP Paste'!$C$2:$C$1601,$AG648))</f>
        <v/>
      </c>
      <c r="X648">
        <f>IF($AG648="","",Config!$B$29)</f>
        <v/>
      </c>
      <c r="Y648">
        <f>IF($AH648="","",INDEX(Calc!$I$2:$I$1601,$AH648)&amp;" - "&amp;INDEX(Calc!$D$2:$D$1601,$AH648)&amp;" koli")</f>
        <v/>
      </c>
      <c r="Z648">
        <f>IF($AG648="","",Config!$B$21)</f>
        <v/>
      </c>
      <c r="AA648">
        <f>IF($AG648="","",Config!$B$22)</f>
        <v/>
      </c>
      <c r="AB648">
        <f>IF($AH648="","",INDEX(Calc!$D$2:$D$1601,$AH648))</f>
        <v/>
      </c>
      <c r="AC648">
        <f>IF($AH648="","",INDEX(Calc!$G$2:$G$1601,$AH648))</f>
        <v/>
      </c>
      <c r="AD648">
        <f>IF($AG648="","",Config!$B$23)</f>
        <v/>
      </c>
      <c r="AE648">
        <f>IF($AG648="","",Config!$B$28)</f>
        <v/>
      </c>
      <c r="AG648">
        <f>IFERROR(MATCH(ROW()-1,Calc!$J$2:$J$1601,0),"")</f>
        <v/>
      </c>
      <c r="AH648">
        <f>IFERROR(MATCH(ROW()-1,Calc!$K$2:$K$1601,0),"")</f>
        <v/>
      </c>
      <c r="AI648">
        <f>IF($AG648="","",SUMIF($AG$2:$AG648,$AG648,$AH$2:$AH648))</f>
        <v/>
      </c>
      <c r="AJ648">
        <f>IF('TMP Paste'!$F648="","",IF('TMP Paste'!$B648="",$AJ647,'TMP Paste'!$B648))</f>
        <v/>
      </c>
      <c r="AK648">
        <f>IF('TMP Paste'!$F648="","",N('TMP Paste'!$G648))</f>
        <v/>
      </c>
      <c r="AL648">
        <f>IF('TMP Paste'!$F648="","",IF('TMP Paste'!$M648="",$AL647,'TMP Paste'!$M648))</f>
        <v/>
      </c>
      <c r="AM648">
        <f>IF('TMP Paste'!$F648="","",IF('TMP Paste'!$N648="",$AM647,'TMP Paste'!$N648))</f>
        <v/>
      </c>
      <c r="AN648">
        <f>IF('TMP Paste'!$F648="","",IF('TMP Paste'!$O648="",$AN647,'TMP Paste'!$O648))</f>
        <v/>
      </c>
      <c r="AO648">
        <f>IF('TMP Paste'!$F648="","",IF('TMP Paste'!$P648="",$AO647,'TMP Paste'!$P648))</f>
        <v/>
      </c>
      <c r="AP648">
        <f>IF($AG648="","",LEN($R648))</f>
        <v/>
      </c>
      <c r="AQ648">
        <f>IF($AG648="","",TRIM(IF(COUNTIFS(Calc!$B$2:$B$1601,ROW()-1,Calc!$C$2:$C$1601,"&lt;1")&gt;0,"Ada PO tanpa Koli - cek TMP. ","")&amp;IF(LEN($R648)&gt;500,"R &gt; 500 karakter.","")))</f>
        <v/>
      </c>
    </row>
    <row r="649">
      <c r="A649">
        <f>IF($AG649="","",INDEX('TMP Paste'!$B$2:$B$1601,$AG649))</f>
        <v/>
      </c>
      <c r="B649">
        <f>IF($AG649="","",Config!$B$14)</f>
        <v/>
      </c>
      <c r="C649">
        <f>IF($AG649="","",Config!$B$15)</f>
        <v/>
      </c>
      <c r="D649">
        <f>IF($AG649="","",INDEX('TMP Paste'!$B$2:$B$1601,$AG649))</f>
        <v/>
      </c>
      <c r="E649">
        <f>IF($AG649="","",Config!$B$27)</f>
        <v/>
      </c>
      <c r="F649">
        <f>IF($AG649="","",Config!$B$9)</f>
        <v/>
      </c>
      <c r="G649">
        <f>IF($AG649="","",Config!$B$10)</f>
        <v/>
      </c>
      <c r="H649">
        <f>IF($AG649="","",Config!$B$11)</f>
        <v/>
      </c>
      <c r="I649">
        <f>IF($AG649="","",Config!$B$16)</f>
        <v/>
      </c>
      <c r="J649">
        <f>IF($AG649="","",INDEX('TMP Paste'!$A$2:$A$1601,$AG649))</f>
        <v/>
      </c>
      <c r="K649">
        <f>IF($AG649="","",INDEX('TMP Paste'!$L$2:$L$1601,$AG649))</f>
        <v/>
      </c>
      <c r="L649">
        <f>IF($AG649="","",INDEX('TMP Paste'!$I$2:$I$1601,$AG649))</f>
        <v/>
      </c>
      <c r="M649">
        <f>IF($AG649="","",Config!$B$16)</f>
        <v/>
      </c>
      <c r="N649">
        <f>IF($AG649="","","")</f>
        <v/>
      </c>
      <c r="O649">
        <f>IF($AG649="","",INDEX('TMP Paste'!$K$2:$K$1601,$AG649))</f>
        <v/>
      </c>
      <c r="P649">
        <f>IF($AG649="","","")</f>
        <v/>
      </c>
      <c r="Q649">
        <f>IF($AG649="","",INDEX('TMP Paste'!$J$2:$J$1601,$AG649))</f>
        <v/>
      </c>
      <c r="R649">
        <f>IF($AG649="","",Config!$B$24)</f>
        <v/>
      </c>
      <c r="S649">
        <f>IF($AG649="","",TEXT(Config!$B$4,"yyyy-mm-dd"))</f>
        <v/>
      </c>
      <c r="T649">
        <f>IF($AG649="","",Config!$B$17)</f>
        <v/>
      </c>
      <c r="U649">
        <f>IF($AG649="","",Config!$B$18)</f>
        <v/>
      </c>
      <c r="V649">
        <f>IF($AG649="","",Config!$B$19)</f>
        <v/>
      </c>
      <c r="W649">
        <f>IF($AG649="","",INDEX('TMP Paste'!$C$2:$C$1601,$AG649))</f>
        <v/>
      </c>
      <c r="X649">
        <f>IF($AG649="","",Config!$B$29)</f>
        <v/>
      </c>
      <c r="Y649">
        <f>IF($AH649="","",INDEX(Calc!$I$2:$I$1601,$AH649)&amp;" - "&amp;INDEX(Calc!$D$2:$D$1601,$AH649)&amp;" koli")</f>
        <v/>
      </c>
      <c r="Z649">
        <f>IF($AG649="","",Config!$B$21)</f>
        <v/>
      </c>
      <c r="AA649">
        <f>IF($AG649="","",Config!$B$22)</f>
        <v/>
      </c>
      <c r="AB649">
        <f>IF($AH649="","",INDEX(Calc!$D$2:$D$1601,$AH649))</f>
        <v/>
      </c>
      <c r="AC649">
        <f>IF($AH649="","",INDEX(Calc!$G$2:$G$1601,$AH649))</f>
        <v/>
      </c>
      <c r="AD649">
        <f>IF($AG649="","",Config!$B$23)</f>
        <v/>
      </c>
      <c r="AE649">
        <f>IF($AG649="","",Config!$B$28)</f>
        <v/>
      </c>
      <c r="AG649">
        <f>IFERROR(MATCH(ROW()-1,Calc!$J$2:$J$1601,0),"")</f>
        <v/>
      </c>
      <c r="AH649">
        <f>IFERROR(MATCH(ROW()-1,Calc!$K$2:$K$1601,0),"")</f>
        <v/>
      </c>
      <c r="AI649">
        <f>IF($AG649="","",SUMIF($AG$2:$AG649,$AG649,$AH$2:$AH649))</f>
        <v/>
      </c>
      <c r="AJ649">
        <f>IF('TMP Paste'!$F649="","",IF('TMP Paste'!$B649="",$AJ648,'TMP Paste'!$B649))</f>
        <v/>
      </c>
      <c r="AK649">
        <f>IF('TMP Paste'!$F649="","",N('TMP Paste'!$G649))</f>
        <v/>
      </c>
      <c r="AL649">
        <f>IF('TMP Paste'!$F649="","",IF('TMP Paste'!$M649="",$AL648,'TMP Paste'!$M649))</f>
        <v/>
      </c>
      <c r="AM649">
        <f>IF('TMP Paste'!$F649="","",IF('TMP Paste'!$N649="",$AM648,'TMP Paste'!$N649))</f>
        <v/>
      </c>
      <c r="AN649">
        <f>IF('TMP Paste'!$F649="","",IF('TMP Paste'!$O649="",$AN648,'TMP Paste'!$O649))</f>
        <v/>
      </c>
      <c r="AO649">
        <f>IF('TMP Paste'!$F649="","",IF('TMP Paste'!$P649="",$AO648,'TMP Paste'!$P649))</f>
        <v/>
      </c>
      <c r="AP649">
        <f>IF($AG649="","",LEN($R649))</f>
        <v/>
      </c>
      <c r="AQ649">
        <f>IF($AG649="","",TRIM(IF(COUNTIFS(Calc!$B$2:$B$1601,ROW()-1,Calc!$C$2:$C$1601,"&lt;1")&gt;0,"Ada PO tanpa Koli - cek TMP. ","")&amp;IF(LEN($R649)&gt;500,"R &gt; 500 karakter.","")))</f>
        <v/>
      </c>
    </row>
    <row r="650">
      <c r="A650">
        <f>IF($AG650="","",INDEX('TMP Paste'!$B$2:$B$1601,$AG650))</f>
        <v/>
      </c>
      <c r="B650">
        <f>IF($AG650="","",Config!$B$14)</f>
        <v/>
      </c>
      <c r="C650">
        <f>IF($AG650="","",Config!$B$15)</f>
        <v/>
      </c>
      <c r="D650">
        <f>IF($AG650="","",INDEX('TMP Paste'!$B$2:$B$1601,$AG650))</f>
        <v/>
      </c>
      <c r="E650">
        <f>IF($AG650="","",Config!$B$27)</f>
        <v/>
      </c>
      <c r="F650">
        <f>IF($AG650="","",Config!$B$9)</f>
        <v/>
      </c>
      <c r="G650">
        <f>IF($AG650="","",Config!$B$10)</f>
        <v/>
      </c>
      <c r="H650">
        <f>IF($AG650="","",Config!$B$11)</f>
        <v/>
      </c>
      <c r="I650">
        <f>IF($AG650="","",Config!$B$16)</f>
        <v/>
      </c>
      <c r="J650">
        <f>IF($AG650="","",INDEX('TMP Paste'!$A$2:$A$1601,$AG650))</f>
        <v/>
      </c>
      <c r="K650">
        <f>IF($AG650="","",INDEX('TMP Paste'!$L$2:$L$1601,$AG650))</f>
        <v/>
      </c>
      <c r="L650">
        <f>IF($AG650="","",INDEX('TMP Paste'!$I$2:$I$1601,$AG650))</f>
        <v/>
      </c>
      <c r="M650">
        <f>IF($AG650="","",Config!$B$16)</f>
        <v/>
      </c>
      <c r="N650">
        <f>IF($AG650="","","")</f>
        <v/>
      </c>
      <c r="O650">
        <f>IF($AG650="","",INDEX('TMP Paste'!$K$2:$K$1601,$AG650))</f>
        <v/>
      </c>
      <c r="P650">
        <f>IF($AG650="","","")</f>
        <v/>
      </c>
      <c r="Q650">
        <f>IF($AG650="","",INDEX('TMP Paste'!$J$2:$J$1601,$AG650))</f>
        <v/>
      </c>
      <c r="R650">
        <f>IF($AG650="","",Config!$B$24)</f>
        <v/>
      </c>
      <c r="S650">
        <f>IF($AG650="","",TEXT(Config!$B$4,"yyyy-mm-dd"))</f>
        <v/>
      </c>
      <c r="T650">
        <f>IF($AG650="","",Config!$B$17)</f>
        <v/>
      </c>
      <c r="U650">
        <f>IF($AG650="","",Config!$B$18)</f>
        <v/>
      </c>
      <c r="V650">
        <f>IF($AG650="","",Config!$B$19)</f>
        <v/>
      </c>
      <c r="W650">
        <f>IF($AG650="","",INDEX('TMP Paste'!$C$2:$C$1601,$AG650))</f>
        <v/>
      </c>
      <c r="X650">
        <f>IF($AG650="","",Config!$B$29)</f>
        <v/>
      </c>
      <c r="Y650">
        <f>IF($AH650="","",INDEX(Calc!$I$2:$I$1601,$AH650)&amp;" - "&amp;INDEX(Calc!$D$2:$D$1601,$AH650)&amp;" koli")</f>
        <v/>
      </c>
      <c r="Z650">
        <f>IF($AG650="","",Config!$B$21)</f>
        <v/>
      </c>
      <c r="AA650">
        <f>IF($AG650="","",Config!$B$22)</f>
        <v/>
      </c>
      <c r="AB650">
        <f>IF($AH650="","",INDEX(Calc!$D$2:$D$1601,$AH650))</f>
        <v/>
      </c>
      <c r="AC650">
        <f>IF($AH650="","",INDEX(Calc!$G$2:$G$1601,$AH650))</f>
        <v/>
      </c>
      <c r="AD650">
        <f>IF($AG650="","",Config!$B$23)</f>
        <v/>
      </c>
      <c r="AE650">
        <f>IF($AG650="","",Config!$B$28)</f>
        <v/>
      </c>
      <c r="AG650">
        <f>IFERROR(MATCH(ROW()-1,Calc!$J$2:$J$1601,0),"")</f>
        <v/>
      </c>
      <c r="AH650">
        <f>IFERROR(MATCH(ROW()-1,Calc!$K$2:$K$1601,0),"")</f>
        <v/>
      </c>
      <c r="AI650">
        <f>IF($AG650="","",SUMIF($AG$2:$AG650,$AG650,$AH$2:$AH650))</f>
        <v/>
      </c>
      <c r="AJ650">
        <f>IF('TMP Paste'!$F650="","",IF('TMP Paste'!$B650="",$AJ649,'TMP Paste'!$B650))</f>
        <v/>
      </c>
      <c r="AK650">
        <f>IF('TMP Paste'!$F650="","",N('TMP Paste'!$G650))</f>
        <v/>
      </c>
      <c r="AL650">
        <f>IF('TMP Paste'!$F650="","",IF('TMP Paste'!$M650="",$AL649,'TMP Paste'!$M650))</f>
        <v/>
      </c>
      <c r="AM650">
        <f>IF('TMP Paste'!$F650="","",IF('TMP Paste'!$N650="",$AM649,'TMP Paste'!$N650))</f>
        <v/>
      </c>
      <c r="AN650">
        <f>IF('TMP Paste'!$F650="","",IF('TMP Paste'!$O650="",$AN649,'TMP Paste'!$O650))</f>
        <v/>
      </c>
      <c r="AO650">
        <f>IF('TMP Paste'!$F650="","",IF('TMP Paste'!$P650="",$AO649,'TMP Paste'!$P650))</f>
        <v/>
      </c>
      <c r="AP650">
        <f>IF($AG650="","",LEN($R650))</f>
        <v/>
      </c>
      <c r="AQ650">
        <f>IF($AG650="","",TRIM(IF(COUNTIFS(Calc!$B$2:$B$1601,ROW()-1,Calc!$C$2:$C$1601,"&lt;1")&gt;0,"Ada PO tanpa Koli - cek TMP. ","")&amp;IF(LEN($R650)&gt;500,"R &gt; 500 karakter.","")))</f>
        <v/>
      </c>
    </row>
    <row r="651">
      <c r="A651">
        <f>IF($AG651="","",INDEX('TMP Paste'!$B$2:$B$1601,$AG651))</f>
        <v/>
      </c>
      <c r="B651">
        <f>IF($AG651="","",Config!$B$14)</f>
        <v/>
      </c>
      <c r="C651">
        <f>IF($AG651="","",Config!$B$15)</f>
        <v/>
      </c>
      <c r="D651">
        <f>IF($AG651="","",INDEX('TMP Paste'!$B$2:$B$1601,$AG651))</f>
        <v/>
      </c>
      <c r="E651">
        <f>IF($AG651="","",Config!$B$27)</f>
        <v/>
      </c>
      <c r="F651">
        <f>IF($AG651="","",Config!$B$9)</f>
        <v/>
      </c>
      <c r="G651">
        <f>IF($AG651="","",Config!$B$10)</f>
        <v/>
      </c>
      <c r="H651">
        <f>IF($AG651="","",Config!$B$11)</f>
        <v/>
      </c>
      <c r="I651">
        <f>IF($AG651="","",Config!$B$16)</f>
        <v/>
      </c>
      <c r="J651">
        <f>IF($AG651="","",INDEX('TMP Paste'!$A$2:$A$1601,$AG651))</f>
        <v/>
      </c>
      <c r="K651">
        <f>IF($AG651="","",INDEX('TMP Paste'!$L$2:$L$1601,$AG651))</f>
        <v/>
      </c>
      <c r="L651">
        <f>IF($AG651="","",INDEX('TMP Paste'!$I$2:$I$1601,$AG651))</f>
        <v/>
      </c>
      <c r="M651">
        <f>IF($AG651="","",Config!$B$16)</f>
        <v/>
      </c>
      <c r="N651">
        <f>IF($AG651="","","")</f>
        <v/>
      </c>
      <c r="O651">
        <f>IF($AG651="","",INDEX('TMP Paste'!$K$2:$K$1601,$AG651))</f>
        <v/>
      </c>
      <c r="P651">
        <f>IF($AG651="","","")</f>
        <v/>
      </c>
      <c r="Q651">
        <f>IF($AG651="","",INDEX('TMP Paste'!$J$2:$J$1601,$AG651))</f>
        <v/>
      </c>
      <c r="R651">
        <f>IF($AG651="","",Config!$B$24)</f>
        <v/>
      </c>
      <c r="S651">
        <f>IF($AG651="","",TEXT(Config!$B$4,"yyyy-mm-dd"))</f>
        <v/>
      </c>
      <c r="T651">
        <f>IF($AG651="","",Config!$B$17)</f>
        <v/>
      </c>
      <c r="U651">
        <f>IF($AG651="","",Config!$B$18)</f>
        <v/>
      </c>
      <c r="V651">
        <f>IF($AG651="","",Config!$B$19)</f>
        <v/>
      </c>
      <c r="W651">
        <f>IF($AG651="","",INDEX('TMP Paste'!$C$2:$C$1601,$AG651))</f>
        <v/>
      </c>
      <c r="X651">
        <f>IF($AG651="","",Config!$B$29)</f>
        <v/>
      </c>
      <c r="Y651">
        <f>IF($AH651="","",INDEX(Calc!$I$2:$I$1601,$AH651)&amp;" - "&amp;INDEX(Calc!$D$2:$D$1601,$AH651)&amp;" koli")</f>
        <v/>
      </c>
      <c r="Z651">
        <f>IF($AG651="","",Config!$B$21)</f>
        <v/>
      </c>
      <c r="AA651">
        <f>IF($AG651="","",Config!$B$22)</f>
        <v/>
      </c>
      <c r="AB651">
        <f>IF($AH651="","",INDEX(Calc!$D$2:$D$1601,$AH651))</f>
        <v/>
      </c>
      <c r="AC651">
        <f>IF($AH651="","",INDEX(Calc!$G$2:$G$1601,$AH651))</f>
        <v/>
      </c>
      <c r="AD651">
        <f>IF($AG651="","",Config!$B$23)</f>
        <v/>
      </c>
      <c r="AE651">
        <f>IF($AG651="","",Config!$B$28)</f>
        <v/>
      </c>
      <c r="AG651">
        <f>IFERROR(MATCH(ROW()-1,Calc!$J$2:$J$1601,0),"")</f>
        <v/>
      </c>
      <c r="AH651">
        <f>IFERROR(MATCH(ROW()-1,Calc!$K$2:$K$1601,0),"")</f>
        <v/>
      </c>
      <c r="AI651">
        <f>IF($AG651="","",SUMIF($AG$2:$AG651,$AG651,$AH$2:$AH651))</f>
        <v/>
      </c>
      <c r="AJ651">
        <f>IF('TMP Paste'!$F651="","",IF('TMP Paste'!$B651="",$AJ650,'TMP Paste'!$B651))</f>
        <v/>
      </c>
      <c r="AK651">
        <f>IF('TMP Paste'!$F651="","",N('TMP Paste'!$G651))</f>
        <v/>
      </c>
      <c r="AL651">
        <f>IF('TMP Paste'!$F651="","",IF('TMP Paste'!$M651="",$AL650,'TMP Paste'!$M651))</f>
        <v/>
      </c>
      <c r="AM651">
        <f>IF('TMP Paste'!$F651="","",IF('TMP Paste'!$N651="",$AM650,'TMP Paste'!$N651))</f>
        <v/>
      </c>
      <c r="AN651">
        <f>IF('TMP Paste'!$F651="","",IF('TMP Paste'!$O651="",$AN650,'TMP Paste'!$O651))</f>
        <v/>
      </c>
      <c r="AO651">
        <f>IF('TMP Paste'!$F651="","",IF('TMP Paste'!$P651="",$AO650,'TMP Paste'!$P651))</f>
        <v/>
      </c>
      <c r="AP651">
        <f>IF($AG651="","",LEN($R651))</f>
        <v/>
      </c>
      <c r="AQ651">
        <f>IF($AG651="","",TRIM(IF(COUNTIFS(Calc!$B$2:$B$1601,ROW()-1,Calc!$C$2:$C$1601,"&lt;1")&gt;0,"Ada PO tanpa Koli - cek TMP. ","")&amp;IF(LEN($R651)&gt;500,"R &gt; 500 karakter.","")))</f>
        <v/>
      </c>
    </row>
    <row r="652">
      <c r="A652">
        <f>IF($AG652="","",INDEX('TMP Paste'!$B$2:$B$1601,$AG652))</f>
        <v/>
      </c>
      <c r="B652">
        <f>IF($AG652="","",Config!$B$14)</f>
        <v/>
      </c>
      <c r="C652">
        <f>IF($AG652="","",Config!$B$15)</f>
        <v/>
      </c>
      <c r="D652">
        <f>IF($AG652="","",INDEX('TMP Paste'!$B$2:$B$1601,$AG652))</f>
        <v/>
      </c>
      <c r="E652">
        <f>IF($AG652="","",Config!$B$27)</f>
        <v/>
      </c>
      <c r="F652">
        <f>IF($AG652="","",Config!$B$9)</f>
        <v/>
      </c>
      <c r="G652">
        <f>IF($AG652="","",Config!$B$10)</f>
        <v/>
      </c>
      <c r="H652">
        <f>IF($AG652="","",Config!$B$11)</f>
        <v/>
      </c>
      <c r="I652">
        <f>IF($AG652="","",Config!$B$16)</f>
        <v/>
      </c>
      <c r="J652">
        <f>IF($AG652="","",INDEX('TMP Paste'!$A$2:$A$1601,$AG652))</f>
        <v/>
      </c>
      <c r="K652">
        <f>IF($AG652="","",INDEX('TMP Paste'!$L$2:$L$1601,$AG652))</f>
        <v/>
      </c>
      <c r="L652">
        <f>IF($AG652="","",INDEX('TMP Paste'!$I$2:$I$1601,$AG652))</f>
        <v/>
      </c>
      <c r="M652">
        <f>IF($AG652="","",Config!$B$16)</f>
        <v/>
      </c>
      <c r="N652">
        <f>IF($AG652="","","")</f>
        <v/>
      </c>
      <c r="O652">
        <f>IF($AG652="","",INDEX('TMP Paste'!$K$2:$K$1601,$AG652))</f>
        <v/>
      </c>
      <c r="P652">
        <f>IF($AG652="","","")</f>
        <v/>
      </c>
      <c r="Q652">
        <f>IF($AG652="","",INDEX('TMP Paste'!$J$2:$J$1601,$AG652))</f>
        <v/>
      </c>
      <c r="R652">
        <f>IF($AG652="","",Config!$B$24)</f>
        <v/>
      </c>
      <c r="S652">
        <f>IF($AG652="","",TEXT(Config!$B$4,"yyyy-mm-dd"))</f>
        <v/>
      </c>
      <c r="T652">
        <f>IF($AG652="","",Config!$B$17)</f>
        <v/>
      </c>
      <c r="U652">
        <f>IF($AG652="","",Config!$B$18)</f>
        <v/>
      </c>
      <c r="V652">
        <f>IF($AG652="","",Config!$B$19)</f>
        <v/>
      </c>
      <c r="W652">
        <f>IF($AG652="","",INDEX('TMP Paste'!$C$2:$C$1601,$AG652))</f>
        <v/>
      </c>
      <c r="X652">
        <f>IF($AG652="","",Config!$B$29)</f>
        <v/>
      </c>
      <c r="Y652">
        <f>IF($AH652="","",INDEX(Calc!$I$2:$I$1601,$AH652)&amp;" - "&amp;INDEX(Calc!$D$2:$D$1601,$AH652)&amp;" koli")</f>
        <v/>
      </c>
      <c r="Z652">
        <f>IF($AG652="","",Config!$B$21)</f>
        <v/>
      </c>
      <c r="AA652">
        <f>IF($AG652="","",Config!$B$22)</f>
        <v/>
      </c>
      <c r="AB652">
        <f>IF($AH652="","",INDEX(Calc!$D$2:$D$1601,$AH652))</f>
        <v/>
      </c>
      <c r="AC652">
        <f>IF($AH652="","",INDEX(Calc!$G$2:$G$1601,$AH652))</f>
        <v/>
      </c>
      <c r="AD652">
        <f>IF($AG652="","",Config!$B$23)</f>
        <v/>
      </c>
      <c r="AE652">
        <f>IF($AG652="","",Config!$B$28)</f>
        <v/>
      </c>
      <c r="AG652">
        <f>IFERROR(MATCH(ROW()-1,Calc!$J$2:$J$1601,0),"")</f>
        <v/>
      </c>
      <c r="AH652">
        <f>IFERROR(MATCH(ROW()-1,Calc!$K$2:$K$1601,0),"")</f>
        <v/>
      </c>
      <c r="AI652">
        <f>IF($AG652="","",SUMIF($AG$2:$AG652,$AG652,$AH$2:$AH652))</f>
        <v/>
      </c>
      <c r="AJ652">
        <f>IF('TMP Paste'!$F652="","",IF('TMP Paste'!$B652="",$AJ651,'TMP Paste'!$B652))</f>
        <v/>
      </c>
      <c r="AK652">
        <f>IF('TMP Paste'!$F652="","",N('TMP Paste'!$G652))</f>
        <v/>
      </c>
      <c r="AL652">
        <f>IF('TMP Paste'!$F652="","",IF('TMP Paste'!$M652="",$AL651,'TMP Paste'!$M652))</f>
        <v/>
      </c>
      <c r="AM652">
        <f>IF('TMP Paste'!$F652="","",IF('TMP Paste'!$N652="",$AM651,'TMP Paste'!$N652))</f>
        <v/>
      </c>
      <c r="AN652">
        <f>IF('TMP Paste'!$F652="","",IF('TMP Paste'!$O652="",$AN651,'TMP Paste'!$O652))</f>
        <v/>
      </c>
      <c r="AO652">
        <f>IF('TMP Paste'!$F652="","",IF('TMP Paste'!$P652="",$AO651,'TMP Paste'!$P652))</f>
        <v/>
      </c>
      <c r="AP652">
        <f>IF($AG652="","",LEN($R652))</f>
        <v/>
      </c>
      <c r="AQ652">
        <f>IF($AG652="","",TRIM(IF(COUNTIFS(Calc!$B$2:$B$1601,ROW()-1,Calc!$C$2:$C$1601,"&lt;1")&gt;0,"Ada PO tanpa Koli - cek TMP. ","")&amp;IF(LEN($R652)&gt;500,"R &gt; 500 karakter.","")))</f>
        <v/>
      </c>
    </row>
    <row r="653">
      <c r="A653">
        <f>IF($AG653="","",INDEX('TMP Paste'!$B$2:$B$1601,$AG653))</f>
        <v/>
      </c>
      <c r="B653">
        <f>IF($AG653="","",Config!$B$14)</f>
        <v/>
      </c>
      <c r="C653">
        <f>IF($AG653="","",Config!$B$15)</f>
        <v/>
      </c>
      <c r="D653">
        <f>IF($AG653="","",INDEX('TMP Paste'!$B$2:$B$1601,$AG653))</f>
        <v/>
      </c>
      <c r="E653">
        <f>IF($AG653="","",Config!$B$27)</f>
        <v/>
      </c>
      <c r="F653">
        <f>IF($AG653="","",Config!$B$9)</f>
        <v/>
      </c>
      <c r="G653">
        <f>IF($AG653="","",Config!$B$10)</f>
        <v/>
      </c>
      <c r="H653">
        <f>IF($AG653="","",Config!$B$11)</f>
        <v/>
      </c>
      <c r="I653">
        <f>IF($AG653="","",Config!$B$16)</f>
        <v/>
      </c>
      <c r="J653">
        <f>IF($AG653="","",INDEX('TMP Paste'!$A$2:$A$1601,$AG653))</f>
        <v/>
      </c>
      <c r="K653">
        <f>IF($AG653="","",INDEX('TMP Paste'!$L$2:$L$1601,$AG653))</f>
        <v/>
      </c>
      <c r="L653">
        <f>IF($AG653="","",INDEX('TMP Paste'!$I$2:$I$1601,$AG653))</f>
        <v/>
      </c>
      <c r="M653">
        <f>IF($AG653="","",Config!$B$16)</f>
        <v/>
      </c>
      <c r="N653">
        <f>IF($AG653="","","")</f>
        <v/>
      </c>
      <c r="O653">
        <f>IF($AG653="","",INDEX('TMP Paste'!$K$2:$K$1601,$AG653))</f>
        <v/>
      </c>
      <c r="P653">
        <f>IF($AG653="","","")</f>
        <v/>
      </c>
      <c r="Q653">
        <f>IF($AG653="","",INDEX('TMP Paste'!$J$2:$J$1601,$AG653))</f>
        <v/>
      </c>
      <c r="R653">
        <f>IF($AG653="","",Config!$B$24)</f>
        <v/>
      </c>
      <c r="S653">
        <f>IF($AG653="","",TEXT(Config!$B$4,"yyyy-mm-dd"))</f>
        <v/>
      </c>
      <c r="T653">
        <f>IF($AG653="","",Config!$B$17)</f>
        <v/>
      </c>
      <c r="U653">
        <f>IF($AG653="","",Config!$B$18)</f>
        <v/>
      </c>
      <c r="V653">
        <f>IF($AG653="","",Config!$B$19)</f>
        <v/>
      </c>
      <c r="W653">
        <f>IF($AG653="","",INDEX('TMP Paste'!$C$2:$C$1601,$AG653))</f>
        <v/>
      </c>
      <c r="X653">
        <f>IF($AG653="","",Config!$B$29)</f>
        <v/>
      </c>
      <c r="Y653">
        <f>IF($AH653="","",INDEX(Calc!$I$2:$I$1601,$AH653)&amp;" - "&amp;INDEX(Calc!$D$2:$D$1601,$AH653)&amp;" koli")</f>
        <v/>
      </c>
      <c r="Z653">
        <f>IF($AG653="","",Config!$B$21)</f>
        <v/>
      </c>
      <c r="AA653">
        <f>IF($AG653="","",Config!$B$22)</f>
        <v/>
      </c>
      <c r="AB653">
        <f>IF($AH653="","",INDEX(Calc!$D$2:$D$1601,$AH653))</f>
        <v/>
      </c>
      <c r="AC653">
        <f>IF($AH653="","",INDEX(Calc!$G$2:$G$1601,$AH653))</f>
        <v/>
      </c>
      <c r="AD653">
        <f>IF($AG653="","",Config!$B$23)</f>
        <v/>
      </c>
      <c r="AE653">
        <f>IF($AG653="","",Config!$B$28)</f>
        <v/>
      </c>
      <c r="AG653">
        <f>IFERROR(MATCH(ROW()-1,Calc!$J$2:$J$1601,0),"")</f>
        <v/>
      </c>
      <c r="AH653">
        <f>IFERROR(MATCH(ROW()-1,Calc!$K$2:$K$1601,0),"")</f>
        <v/>
      </c>
      <c r="AI653">
        <f>IF($AG653="","",SUMIF($AG$2:$AG653,$AG653,$AH$2:$AH653))</f>
        <v/>
      </c>
      <c r="AJ653">
        <f>IF('TMP Paste'!$F653="","",IF('TMP Paste'!$B653="",$AJ652,'TMP Paste'!$B653))</f>
        <v/>
      </c>
      <c r="AK653">
        <f>IF('TMP Paste'!$F653="","",N('TMP Paste'!$G653))</f>
        <v/>
      </c>
      <c r="AL653">
        <f>IF('TMP Paste'!$F653="","",IF('TMP Paste'!$M653="",$AL652,'TMP Paste'!$M653))</f>
        <v/>
      </c>
      <c r="AM653">
        <f>IF('TMP Paste'!$F653="","",IF('TMP Paste'!$N653="",$AM652,'TMP Paste'!$N653))</f>
        <v/>
      </c>
      <c r="AN653">
        <f>IF('TMP Paste'!$F653="","",IF('TMP Paste'!$O653="",$AN652,'TMP Paste'!$O653))</f>
        <v/>
      </c>
      <c r="AO653">
        <f>IF('TMP Paste'!$F653="","",IF('TMP Paste'!$P653="",$AO652,'TMP Paste'!$P653))</f>
        <v/>
      </c>
      <c r="AP653">
        <f>IF($AG653="","",LEN($R653))</f>
        <v/>
      </c>
      <c r="AQ653">
        <f>IF($AG653="","",TRIM(IF(COUNTIFS(Calc!$B$2:$B$1601,ROW()-1,Calc!$C$2:$C$1601,"&lt;1")&gt;0,"Ada PO tanpa Koli - cek TMP. ","")&amp;IF(LEN($R653)&gt;500,"R &gt; 500 karakter.","")))</f>
        <v/>
      </c>
    </row>
    <row r="654">
      <c r="A654">
        <f>IF($AG654="","",INDEX('TMP Paste'!$B$2:$B$1601,$AG654))</f>
        <v/>
      </c>
      <c r="B654">
        <f>IF($AG654="","",Config!$B$14)</f>
        <v/>
      </c>
      <c r="C654">
        <f>IF($AG654="","",Config!$B$15)</f>
        <v/>
      </c>
      <c r="D654">
        <f>IF($AG654="","",INDEX('TMP Paste'!$B$2:$B$1601,$AG654))</f>
        <v/>
      </c>
      <c r="E654">
        <f>IF($AG654="","",Config!$B$27)</f>
        <v/>
      </c>
      <c r="F654">
        <f>IF($AG654="","",Config!$B$9)</f>
        <v/>
      </c>
      <c r="G654">
        <f>IF($AG654="","",Config!$B$10)</f>
        <v/>
      </c>
      <c r="H654">
        <f>IF($AG654="","",Config!$B$11)</f>
        <v/>
      </c>
      <c r="I654">
        <f>IF($AG654="","",Config!$B$16)</f>
        <v/>
      </c>
      <c r="J654">
        <f>IF($AG654="","",INDEX('TMP Paste'!$A$2:$A$1601,$AG654))</f>
        <v/>
      </c>
      <c r="K654">
        <f>IF($AG654="","",INDEX('TMP Paste'!$L$2:$L$1601,$AG654))</f>
        <v/>
      </c>
      <c r="L654">
        <f>IF($AG654="","",INDEX('TMP Paste'!$I$2:$I$1601,$AG654))</f>
        <v/>
      </c>
      <c r="M654">
        <f>IF($AG654="","",Config!$B$16)</f>
        <v/>
      </c>
      <c r="N654">
        <f>IF($AG654="","","")</f>
        <v/>
      </c>
      <c r="O654">
        <f>IF($AG654="","",INDEX('TMP Paste'!$K$2:$K$1601,$AG654))</f>
        <v/>
      </c>
      <c r="P654">
        <f>IF($AG654="","","")</f>
        <v/>
      </c>
      <c r="Q654">
        <f>IF($AG654="","",INDEX('TMP Paste'!$J$2:$J$1601,$AG654))</f>
        <v/>
      </c>
      <c r="R654">
        <f>IF($AG654="","",Config!$B$24)</f>
        <v/>
      </c>
      <c r="S654">
        <f>IF($AG654="","",TEXT(Config!$B$4,"yyyy-mm-dd"))</f>
        <v/>
      </c>
      <c r="T654">
        <f>IF($AG654="","",Config!$B$17)</f>
        <v/>
      </c>
      <c r="U654">
        <f>IF($AG654="","",Config!$B$18)</f>
        <v/>
      </c>
      <c r="V654">
        <f>IF($AG654="","",Config!$B$19)</f>
        <v/>
      </c>
      <c r="W654">
        <f>IF($AG654="","",INDEX('TMP Paste'!$C$2:$C$1601,$AG654))</f>
        <v/>
      </c>
      <c r="X654">
        <f>IF($AG654="","",Config!$B$29)</f>
        <v/>
      </c>
      <c r="Y654">
        <f>IF($AH654="","",INDEX(Calc!$I$2:$I$1601,$AH654)&amp;" - "&amp;INDEX(Calc!$D$2:$D$1601,$AH654)&amp;" koli")</f>
        <v/>
      </c>
      <c r="Z654">
        <f>IF($AG654="","",Config!$B$21)</f>
        <v/>
      </c>
      <c r="AA654">
        <f>IF($AG654="","",Config!$B$22)</f>
        <v/>
      </c>
      <c r="AB654">
        <f>IF($AH654="","",INDEX(Calc!$D$2:$D$1601,$AH654))</f>
        <v/>
      </c>
      <c r="AC654">
        <f>IF($AH654="","",INDEX(Calc!$G$2:$G$1601,$AH654))</f>
        <v/>
      </c>
      <c r="AD654">
        <f>IF($AG654="","",Config!$B$23)</f>
        <v/>
      </c>
      <c r="AE654">
        <f>IF($AG654="","",Config!$B$28)</f>
        <v/>
      </c>
      <c r="AG654">
        <f>IFERROR(MATCH(ROW()-1,Calc!$J$2:$J$1601,0),"")</f>
        <v/>
      </c>
      <c r="AH654">
        <f>IFERROR(MATCH(ROW()-1,Calc!$K$2:$K$1601,0),"")</f>
        <v/>
      </c>
      <c r="AI654">
        <f>IF($AG654="","",SUMIF($AG$2:$AG654,$AG654,$AH$2:$AH654))</f>
        <v/>
      </c>
      <c r="AJ654">
        <f>IF('TMP Paste'!$F654="","",IF('TMP Paste'!$B654="",$AJ653,'TMP Paste'!$B654))</f>
        <v/>
      </c>
      <c r="AK654">
        <f>IF('TMP Paste'!$F654="","",N('TMP Paste'!$G654))</f>
        <v/>
      </c>
      <c r="AL654">
        <f>IF('TMP Paste'!$F654="","",IF('TMP Paste'!$M654="",$AL653,'TMP Paste'!$M654))</f>
        <v/>
      </c>
      <c r="AM654">
        <f>IF('TMP Paste'!$F654="","",IF('TMP Paste'!$N654="",$AM653,'TMP Paste'!$N654))</f>
        <v/>
      </c>
      <c r="AN654">
        <f>IF('TMP Paste'!$F654="","",IF('TMP Paste'!$O654="",$AN653,'TMP Paste'!$O654))</f>
        <v/>
      </c>
      <c r="AO654">
        <f>IF('TMP Paste'!$F654="","",IF('TMP Paste'!$P654="",$AO653,'TMP Paste'!$P654))</f>
        <v/>
      </c>
      <c r="AP654">
        <f>IF($AG654="","",LEN($R654))</f>
        <v/>
      </c>
      <c r="AQ654">
        <f>IF($AG654="","",TRIM(IF(COUNTIFS(Calc!$B$2:$B$1601,ROW()-1,Calc!$C$2:$C$1601,"&lt;1")&gt;0,"Ada PO tanpa Koli - cek TMP. ","")&amp;IF(LEN($R654)&gt;500,"R &gt; 500 karakter.","")))</f>
        <v/>
      </c>
    </row>
    <row r="655">
      <c r="A655">
        <f>IF($AG655="","",INDEX('TMP Paste'!$B$2:$B$1601,$AG655))</f>
        <v/>
      </c>
      <c r="B655">
        <f>IF($AG655="","",Config!$B$14)</f>
        <v/>
      </c>
      <c r="C655">
        <f>IF($AG655="","",Config!$B$15)</f>
        <v/>
      </c>
      <c r="D655">
        <f>IF($AG655="","",INDEX('TMP Paste'!$B$2:$B$1601,$AG655))</f>
        <v/>
      </c>
      <c r="E655">
        <f>IF($AG655="","",Config!$B$27)</f>
        <v/>
      </c>
      <c r="F655">
        <f>IF($AG655="","",Config!$B$9)</f>
        <v/>
      </c>
      <c r="G655">
        <f>IF($AG655="","",Config!$B$10)</f>
        <v/>
      </c>
      <c r="H655">
        <f>IF($AG655="","",Config!$B$11)</f>
        <v/>
      </c>
      <c r="I655">
        <f>IF($AG655="","",Config!$B$16)</f>
        <v/>
      </c>
      <c r="J655">
        <f>IF($AG655="","",INDEX('TMP Paste'!$A$2:$A$1601,$AG655))</f>
        <v/>
      </c>
      <c r="K655">
        <f>IF($AG655="","",INDEX('TMP Paste'!$L$2:$L$1601,$AG655))</f>
        <v/>
      </c>
      <c r="L655">
        <f>IF($AG655="","",INDEX('TMP Paste'!$I$2:$I$1601,$AG655))</f>
        <v/>
      </c>
      <c r="M655">
        <f>IF($AG655="","",Config!$B$16)</f>
        <v/>
      </c>
      <c r="N655">
        <f>IF($AG655="","","")</f>
        <v/>
      </c>
      <c r="O655">
        <f>IF($AG655="","",INDEX('TMP Paste'!$K$2:$K$1601,$AG655))</f>
        <v/>
      </c>
      <c r="P655">
        <f>IF($AG655="","","")</f>
        <v/>
      </c>
      <c r="Q655">
        <f>IF($AG655="","",INDEX('TMP Paste'!$J$2:$J$1601,$AG655))</f>
        <v/>
      </c>
      <c r="R655">
        <f>IF($AG655="","",Config!$B$24)</f>
        <v/>
      </c>
      <c r="S655">
        <f>IF($AG655="","",TEXT(Config!$B$4,"yyyy-mm-dd"))</f>
        <v/>
      </c>
      <c r="T655">
        <f>IF($AG655="","",Config!$B$17)</f>
        <v/>
      </c>
      <c r="U655">
        <f>IF($AG655="","",Config!$B$18)</f>
        <v/>
      </c>
      <c r="V655">
        <f>IF($AG655="","",Config!$B$19)</f>
        <v/>
      </c>
      <c r="W655">
        <f>IF($AG655="","",INDEX('TMP Paste'!$C$2:$C$1601,$AG655))</f>
        <v/>
      </c>
      <c r="X655">
        <f>IF($AG655="","",Config!$B$29)</f>
        <v/>
      </c>
      <c r="Y655">
        <f>IF($AH655="","",INDEX(Calc!$I$2:$I$1601,$AH655)&amp;" - "&amp;INDEX(Calc!$D$2:$D$1601,$AH655)&amp;" koli")</f>
        <v/>
      </c>
      <c r="Z655">
        <f>IF($AG655="","",Config!$B$21)</f>
        <v/>
      </c>
      <c r="AA655">
        <f>IF($AG655="","",Config!$B$22)</f>
        <v/>
      </c>
      <c r="AB655">
        <f>IF($AH655="","",INDEX(Calc!$D$2:$D$1601,$AH655))</f>
        <v/>
      </c>
      <c r="AC655">
        <f>IF($AH655="","",INDEX(Calc!$G$2:$G$1601,$AH655))</f>
        <v/>
      </c>
      <c r="AD655">
        <f>IF($AG655="","",Config!$B$23)</f>
        <v/>
      </c>
      <c r="AE655">
        <f>IF($AG655="","",Config!$B$28)</f>
        <v/>
      </c>
      <c r="AG655">
        <f>IFERROR(MATCH(ROW()-1,Calc!$J$2:$J$1601,0),"")</f>
        <v/>
      </c>
      <c r="AH655">
        <f>IFERROR(MATCH(ROW()-1,Calc!$K$2:$K$1601,0),"")</f>
        <v/>
      </c>
      <c r="AI655">
        <f>IF($AG655="","",SUMIF($AG$2:$AG655,$AG655,$AH$2:$AH655))</f>
        <v/>
      </c>
      <c r="AJ655">
        <f>IF('TMP Paste'!$F655="","",IF('TMP Paste'!$B655="",$AJ654,'TMP Paste'!$B655))</f>
        <v/>
      </c>
      <c r="AK655">
        <f>IF('TMP Paste'!$F655="","",N('TMP Paste'!$G655))</f>
        <v/>
      </c>
      <c r="AL655">
        <f>IF('TMP Paste'!$F655="","",IF('TMP Paste'!$M655="",$AL654,'TMP Paste'!$M655))</f>
        <v/>
      </c>
      <c r="AM655">
        <f>IF('TMP Paste'!$F655="","",IF('TMP Paste'!$N655="",$AM654,'TMP Paste'!$N655))</f>
        <v/>
      </c>
      <c r="AN655">
        <f>IF('TMP Paste'!$F655="","",IF('TMP Paste'!$O655="",$AN654,'TMP Paste'!$O655))</f>
        <v/>
      </c>
      <c r="AO655">
        <f>IF('TMP Paste'!$F655="","",IF('TMP Paste'!$P655="",$AO654,'TMP Paste'!$P655))</f>
        <v/>
      </c>
      <c r="AP655">
        <f>IF($AG655="","",LEN($R655))</f>
        <v/>
      </c>
      <c r="AQ655">
        <f>IF($AG655="","",TRIM(IF(COUNTIFS(Calc!$B$2:$B$1601,ROW()-1,Calc!$C$2:$C$1601,"&lt;1")&gt;0,"Ada PO tanpa Koli - cek TMP. ","")&amp;IF(LEN($R655)&gt;500,"R &gt; 500 karakter.","")))</f>
        <v/>
      </c>
    </row>
    <row r="656">
      <c r="A656">
        <f>IF($AG656="","",INDEX('TMP Paste'!$B$2:$B$1601,$AG656))</f>
        <v/>
      </c>
      <c r="B656">
        <f>IF($AG656="","",Config!$B$14)</f>
        <v/>
      </c>
      <c r="C656">
        <f>IF($AG656="","",Config!$B$15)</f>
        <v/>
      </c>
      <c r="D656">
        <f>IF($AG656="","",INDEX('TMP Paste'!$B$2:$B$1601,$AG656))</f>
        <v/>
      </c>
      <c r="E656">
        <f>IF($AG656="","",Config!$B$27)</f>
        <v/>
      </c>
      <c r="F656">
        <f>IF($AG656="","",Config!$B$9)</f>
        <v/>
      </c>
      <c r="G656">
        <f>IF($AG656="","",Config!$B$10)</f>
        <v/>
      </c>
      <c r="H656">
        <f>IF($AG656="","",Config!$B$11)</f>
        <v/>
      </c>
      <c r="I656">
        <f>IF($AG656="","",Config!$B$16)</f>
        <v/>
      </c>
      <c r="J656">
        <f>IF($AG656="","",INDEX('TMP Paste'!$A$2:$A$1601,$AG656))</f>
        <v/>
      </c>
      <c r="K656">
        <f>IF($AG656="","",INDEX('TMP Paste'!$L$2:$L$1601,$AG656))</f>
        <v/>
      </c>
      <c r="L656">
        <f>IF($AG656="","",INDEX('TMP Paste'!$I$2:$I$1601,$AG656))</f>
        <v/>
      </c>
      <c r="M656">
        <f>IF($AG656="","",Config!$B$16)</f>
        <v/>
      </c>
      <c r="N656">
        <f>IF($AG656="","","")</f>
        <v/>
      </c>
      <c r="O656">
        <f>IF($AG656="","",INDEX('TMP Paste'!$K$2:$K$1601,$AG656))</f>
        <v/>
      </c>
      <c r="P656">
        <f>IF($AG656="","","")</f>
        <v/>
      </c>
      <c r="Q656">
        <f>IF($AG656="","",INDEX('TMP Paste'!$J$2:$J$1601,$AG656))</f>
        <v/>
      </c>
      <c r="R656">
        <f>IF($AG656="","",Config!$B$24)</f>
        <v/>
      </c>
      <c r="S656">
        <f>IF($AG656="","",TEXT(Config!$B$4,"yyyy-mm-dd"))</f>
        <v/>
      </c>
      <c r="T656">
        <f>IF($AG656="","",Config!$B$17)</f>
        <v/>
      </c>
      <c r="U656">
        <f>IF($AG656="","",Config!$B$18)</f>
        <v/>
      </c>
      <c r="V656">
        <f>IF($AG656="","",Config!$B$19)</f>
        <v/>
      </c>
      <c r="W656">
        <f>IF($AG656="","",INDEX('TMP Paste'!$C$2:$C$1601,$AG656))</f>
        <v/>
      </c>
      <c r="X656">
        <f>IF($AG656="","",Config!$B$29)</f>
        <v/>
      </c>
      <c r="Y656">
        <f>IF($AH656="","",INDEX(Calc!$I$2:$I$1601,$AH656)&amp;" - "&amp;INDEX(Calc!$D$2:$D$1601,$AH656)&amp;" koli")</f>
        <v/>
      </c>
      <c r="Z656">
        <f>IF($AG656="","",Config!$B$21)</f>
        <v/>
      </c>
      <c r="AA656">
        <f>IF($AG656="","",Config!$B$22)</f>
        <v/>
      </c>
      <c r="AB656">
        <f>IF($AH656="","",INDEX(Calc!$D$2:$D$1601,$AH656))</f>
        <v/>
      </c>
      <c r="AC656">
        <f>IF($AH656="","",INDEX(Calc!$G$2:$G$1601,$AH656))</f>
        <v/>
      </c>
      <c r="AD656">
        <f>IF($AG656="","",Config!$B$23)</f>
        <v/>
      </c>
      <c r="AE656">
        <f>IF($AG656="","",Config!$B$28)</f>
        <v/>
      </c>
      <c r="AG656">
        <f>IFERROR(MATCH(ROW()-1,Calc!$J$2:$J$1601,0),"")</f>
        <v/>
      </c>
      <c r="AH656">
        <f>IFERROR(MATCH(ROW()-1,Calc!$K$2:$K$1601,0),"")</f>
        <v/>
      </c>
      <c r="AI656">
        <f>IF($AG656="","",SUMIF($AG$2:$AG656,$AG656,$AH$2:$AH656))</f>
        <v/>
      </c>
      <c r="AJ656">
        <f>IF('TMP Paste'!$F656="","",IF('TMP Paste'!$B656="",$AJ655,'TMP Paste'!$B656))</f>
        <v/>
      </c>
      <c r="AK656">
        <f>IF('TMP Paste'!$F656="","",N('TMP Paste'!$G656))</f>
        <v/>
      </c>
      <c r="AL656">
        <f>IF('TMP Paste'!$F656="","",IF('TMP Paste'!$M656="",$AL655,'TMP Paste'!$M656))</f>
        <v/>
      </c>
      <c r="AM656">
        <f>IF('TMP Paste'!$F656="","",IF('TMP Paste'!$N656="",$AM655,'TMP Paste'!$N656))</f>
        <v/>
      </c>
      <c r="AN656">
        <f>IF('TMP Paste'!$F656="","",IF('TMP Paste'!$O656="",$AN655,'TMP Paste'!$O656))</f>
        <v/>
      </c>
      <c r="AO656">
        <f>IF('TMP Paste'!$F656="","",IF('TMP Paste'!$P656="",$AO655,'TMP Paste'!$P656))</f>
        <v/>
      </c>
      <c r="AP656">
        <f>IF($AG656="","",LEN($R656))</f>
        <v/>
      </c>
      <c r="AQ656">
        <f>IF($AG656="","",TRIM(IF(COUNTIFS(Calc!$B$2:$B$1601,ROW()-1,Calc!$C$2:$C$1601,"&lt;1")&gt;0,"Ada PO tanpa Koli - cek TMP. ","")&amp;IF(LEN($R656)&gt;500,"R &gt; 500 karakter.","")))</f>
        <v/>
      </c>
    </row>
    <row r="657">
      <c r="A657">
        <f>IF($AG657="","",INDEX('TMP Paste'!$B$2:$B$1601,$AG657))</f>
        <v/>
      </c>
      <c r="B657">
        <f>IF($AG657="","",Config!$B$14)</f>
        <v/>
      </c>
      <c r="C657">
        <f>IF($AG657="","",Config!$B$15)</f>
        <v/>
      </c>
      <c r="D657">
        <f>IF($AG657="","",INDEX('TMP Paste'!$B$2:$B$1601,$AG657))</f>
        <v/>
      </c>
      <c r="E657">
        <f>IF($AG657="","",Config!$B$27)</f>
        <v/>
      </c>
      <c r="F657">
        <f>IF($AG657="","",Config!$B$9)</f>
        <v/>
      </c>
      <c r="G657">
        <f>IF($AG657="","",Config!$B$10)</f>
        <v/>
      </c>
      <c r="H657">
        <f>IF($AG657="","",Config!$B$11)</f>
        <v/>
      </c>
      <c r="I657">
        <f>IF($AG657="","",Config!$B$16)</f>
        <v/>
      </c>
      <c r="J657">
        <f>IF($AG657="","",INDEX('TMP Paste'!$A$2:$A$1601,$AG657))</f>
        <v/>
      </c>
      <c r="K657">
        <f>IF($AG657="","",INDEX('TMP Paste'!$L$2:$L$1601,$AG657))</f>
        <v/>
      </c>
      <c r="L657">
        <f>IF($AG657="","",INDEX('TMP Paste'!$I$2:$I$1601,$AG657))</f>
        <v/>
      </c>
      <c r="M657">
        <f>IF($AG657="","",Config!$B$16)</f>
        <v/>
      </c>
      <c r="N657">
        <f>IF($AG657="","","")</f>
        <v/>
      </c>
      <c r="O657">
        <f>IF($AG657="","",INDEX('TMP Paste'!$K$2:$K$1601,$AG657))</f>
        <v/>
      </c>
      <c r="P657">
        <f>IF($AG657="","","")</f>
        <v/>
      </c>
      <c r="Q657">
        <f>IF($AG657="","",INDEX('TMP Paste'!$J$2:$J$1601,$AG657))</f>
        <v/>
      </c>
      <c r="R657">
        <f>IF($AG657="","",Config!$B$24)</f>
        <v/>
      </c>
      <c r="S657">
        <f>IF($AG657="","",TEXT(Config!$B$4,"yyyy-mm-dd"))</f>
        <v/>
      </c>
      <c r="T657">
        <f>IF($AG657="","",Config!$B$17)</f>
        <v/>
      </c>
      <c r="U657">
        <f>IF($AG657="","",Config!$B$18)</f>
        <v/>
      </c>
      <c r="V657">
        <f>IF($AG657="","",Config!$B$19)</f>
        <v/>
      </c>
      <c r="W657">
        <f>IF($AG657="","",INDEX('TMP Paste'!$C$2:$C$1601,$AG657))</f>
        <v/>
      </c>
      <c r="X657">
        <f>IF($AG657="","",Config!$B$29)</f>
        <v/>
      </c>
      <c r="Y657">
        <f>IF($AH657="","",INDEX(Calc!$I$2:$I$1601,$AH657)&amp;" - "&amp;INDEX(Calc!$D$2:$D$1601,$AH657)&amp;" koli")</f>
        <v/>
      </c>
      <c r="Z657">
        <f>IF($AG657="","",Config!$B$21)</f>
        <v/>
      </c>
      <c r="AA657">
        <f>IF($AG657="","",Config!$B$22)</f>
        <v/>
      </c>
      <c r="AB657">
        <f>IF($AH657="","",INDEX(Calc!$D$2:$D$1601,$AH657))</f>
        <v/>
      </c>
      <c r="AC657">
        <f>IF($AH657="","",INDEX(Calc!$G$2:$G$1601,$AH657))</f>
        <v/>
      </c>
      <c r="AD657">
        <f>IF($AG657="","",Config!$B$23)</f>
        <v/>
      </c>
      <c r="AE657">
        <f>IF($AG657="","",Config!$B$28)</f>
        <v/>
      </c>
      <c r="AG657">
        <f>IFERROR(MATCH(ROW()-1,Calc!$J$2:$J$1601,0),"")</f>
        <v/>
      </c>
      <c r="AH657">
        <f>IFERROR(MATCH(ROW()-1,Calc!$K$2:$K$1601,0),"")</f>
        <v/>
      </c>
      <c r="AI657">
        <f>IF($AG657="","",SUMIF($AG$2:$AG657,$AG657,$AH$2:$AH657))</f>
        <v/>
      </c>
      <c r="AJ657">
        <f>IF('TMP Paste'!$F657="","",IF('TMP Paste'!$B657="",$AJ656,'TMP Paste'!$B657))</f>
        <v/>
      </c>
      <c r="AK657">
        <f>IF('TMP Paste'!$F657="","",N('TMP Paste'!$G657))</f>
        <v/>
      </c>
      <c r="AL657">
        <f>IF('TMP Paste'!$F657="","",IF('TMP Paste'!$M657="",$AL656,'TMP Paste'!$M657))</f>
        <v/>
      </c>
      <c r="AM657">
        <f>IF('TMP Paste'!$F657="","",IF('TMP Paste'!$N657="",$AM656,'TMP Paste'!$N657))</f>
        <v/>
      </c>
      <c r="AN657">
        <f>IF('TMP Paste'!$F657="","",IF('TMP Paste'!$O657="",$AN656,'TMP Paste'!$O657))</f>
        <v/>
      </c>
      <c r="AO657">
        <f>IF('TMP Paste'!$F657="","",IF('TMP Paste'!$P657="",$AO656,'TMP Paste'!$P657))</f>
        <v/>
      </c>
      <c r="AP657">
        <f>IF($AG657="","",LEN($R657))</f>
        <v/>
      </c>
      <c r="AQ657">
        <f>IF($AG657="","",TRIM(IF(COUNTIFS(Calc!$B$2:$B$1601,ROW()-1,Calc!$C$2:$C$1601,"&lt;1")&gt;0,"Ada PO tanpa Koli - cek TMP. ","")&amp;IF(LEN($R657)&gt;500,"R &gt; 500 karakter.","")))</f>
        <v/>
      </c>
    </row>
    <row r="658">
      <c r="A658">
        <f>IF($AG658="","",INDEX('TMP Paste'!$B$2:$B$1601,$AG658))</f>
        <v/>
      </c>
      <c r="B658">
        <f>IF($AG658="","",Config!$B$14)</f>
        <v/>
      </c>
      <c r="C658">
        <f>IF($AG658="","",Config!$B$15)</f>
        <v/>
      </c>
      <c r="D658">
        <f>IF($AG658="","",INDEX('TMP Paste'!$B$2:$B$1601,$AG658))</f>
        <v/>
      </c>
      <c r="E658">
        <f>IF($AG658="","",Config!$B$27)</f>
        <v/>
      </c>
      <c r="F658">
        <f>IF($AG658="","",Config!$B$9)</f>
        <v/>
      </c>
      <c r="G658">
        <f>IF($AG658="","",Config!$B$10)</f>
        <v/>
      </c>
      <c r="H658">
        <f>IF($AG658="","",Config!$B$11)</f>
        <v/>
      </c>
      <c r="I658">
        <f>IF($AG658="","",Config!$B$16)</f>
        <v/>
      </c>
      <c r="J658">
        <f>IF($AG658="","",INDEX('TMP Paste'!$A$2:$A$1601,$AG658))</f>
        <v/>
      </c>
      <c r="K658">
        <f>IF($AG658="","",INDEX('TMP Paste'!$L$2:$L$1601,$AG658))</f>
        <v/>
      </c>
      <c r="L658">
        <f>IF($AG658="","",INDEX('TMP Paste'!$I$2:$I$1601,$AG658))</f>
        <v/>
      </c>
      <c r="M658">
        <f>IF($AG658="","",Config!$B$16)</f>
        <v/>
      </c>
      <c r="N658">
        <f>IF($AG658="","","")</f>
        <v/>
      </c>
      <c r="O658">
        <f>IF($AG658="","",INDEX('TMP Paste'!$K$2:$K$1601,$AG658))</f>
        <v/>
      </c>
      <c r="P658">
        <f>IF($AG658="","","")</f>
        <v/>
      </c>
      <c r="Q658">
        <f>IF($AG658="","",INDEX('TMP Paste'!$J$2:$J$1601,$AG658))</f>
        <v/>
      </c>
      <c r="R658">
        <f>IF($AG658="","",Config!$B$24)</f>
        <v/>
      </c>
      <c r="S658">
        <f>IF($AG658="","",TEXT(Config!$B$4,"yyyy-mm-dd"))</f>
        <v/>
      </c>
      <c r="T658">
        <f>IF($AG658="","",Config!$B$17)</f>
        <v/>
      </c>
      <c r="U658">
        <f>IF($AG658="","",Config!$B$18)</f>
        <v/>
      </c>
      <c r="V658">
        <f>IF($AG658="","",Config!$B$19)</f>
        <v/>
      </c>
      <c r="W658">
        <f>IF($AG658="","",INDEX('TMP Paste'!$C$2:$C$1601,$AG658))</f>
        <v/>
      </c>
      <c r="X658">
        <f>IF($AG658="","",Config!$B$29)</f>
        <v/>
      </c>
      <c r="Y658">
        <f>IF($AH658="","",INDEX(Calc!$I$2:$I$1601,$AH658)&amp;" - "&amp;INDEX(Calc!$D$2:$D$1601,$AH658)&amp;" koli")</f>
        <v/>
      </c>
      <c r="Z658">
        <f>IF($AG658="","",Config!$B$21)</f>
        <v/>
      </c>
      <c r="AA658">
        <f>IF($AG658="","",Config!$B$22)</f>
        <v/>
      </c>
      <c r="AB658">
        <f>IF($AH658="","",INDEX(Calc!$D$2:$D$1601,$AH658))</f>
        <v/>
      </c>
      <c r="AC658">
        <f>IF($AH658="","",INDEX(Calc!$G$2:$G$1601,$AH658))</f>
        <v/>
      </c>
      <c r="AD658">
        <f>IF($AG658="","",Config!$B$23)</f>
        <v/>
      </c>
      <c r="AE658">
        <f>IF($AG658="","",Config!$B$28)</f>
        <v/>
      </c>
      <c r="AG658">
        <f>IFERROR(MATCH(ROW()-1,Calc!$J$2:$J$1601,0),"")</f>
        <v/>
      </c>
      <c r="AH658">
        <f>IFERROR(MATCH(ROW()-1,Calc!$K$2:$K$1601,0),"")</f>
        <v/>
      </c>
      <c r="AI658">
        <f>IF($AG658="","",SUMIF($AG$2:$AG658,$AG658,$AH$2:$AH658))</f>
        <v/>
      </c>
      <c r="AJ658">
        <f>IF('TMP Paste'!$F658="","",IF('TMP Paste'!$B658="",$AJ657,'TMP Paste'!$B658))</f>
        <v/>
      </c>
      <c r="AK658">
        <f>IF('TMP Paste'!$F658="","",N('TMP Paste'!$G658))</f>
        <v/>
      </c>
      <c r="AL658">
        <f>IF('TMP Paste'!$F658="","",IF('TMP Paste'!$M658="",$AL657,'TMP Paste'!$M658))</f>
        <v/>
      </c>
      <c r="AM658">
        <f>IF('TMP Paste'!$F658="","",IF('TMP Paste'!$N658="",$AM657,'TMP Paste'!$N658))</f>
        <v/>
      </c>
      <c r="AN658">
        <f>IF('TMP Paste'!$F658="","",IF('TMP Paste'!$O658="",$AN657,'TMP Paste'!$O658))</f>
        <v/>
      </c>
      <c r="AO658">
        <f>IF('TMP Paste'!$F658="","",IF('TMP Paste'!$P658="",$AO657,'TMP Paste'!$P658))</f>
        <v/>
      </c>
      <c r="AP658">
        <f>IF($AG658="","",LEN($R658))</f>
        <v/>
      </c>
      <c r="AQ658">
        <f>IF($AG658="","",TRIM(IF(COUNTIFS(Calc!$B$2:$B$1601,ROW()-1,Calc!$C$2:$C$1601,"&lt;1")&gt;0,"Ada PO tanpa Koli - cek TMP. ","")&amp;IF(LEN($R658)&gt;500,"R &gt; 500 karakter.","")))</f>
        <v/>
      </c>
    </row>
    <row r="659">
      <c r="A659">
        <f>IF($AG659="","",INDEX('TMP Paste'!$B$2:$B$1601,$AG659))</f>
        <v/>
      </c>
      <c r="B659">
        <f>IF($AG659="","",Config!$B$14)</f>
        <v/>
      </c>
      <c r="C659">
        <f>IF($AG659="","",Config!$B$15)</f>
        <v/>
      </c>
      <c r="D659">
        <f>IF($AG659="","",INDEX('TMP Paste'!$B$2:$B$1601,$AG659))</f>
        <v/>
      </c>
      <c r="E659">
        <f>IF($AG659="","",Config!$B$27)</f>
        <v/>
      </c>
      <c r="F659">
        <f>IF($AG659="","",Config!$B$9)</f>
        <v/>
      </c>
      <c r="G659">
        <f>IF($AG659="","",Config!$B$10)</f>
        <v/>
      </c>
      <c r="H659">
        <f>IF($AG659="","",Config!$B$11)</f>
        <v/>
      </c>
      <c r="I659">
        <f>IF($AG659="","",Config!$B$16)</f>
        <v/>
      </c>
      <c r="J659">
        <f>IF($AG659="","",INDEX('TMP Paste'!$A$2:$A$1601,$AG659))</f>
        <v/>
      </c>
      <c r="K659">
        <f>IF($AG659="","",INDEX('TMP Paste'!$L$2:$L$1601,$AG659))</f>
        <v/>
      </c>
      <c r="L659">
        <f>IF($AG659="","",INDEX('TMP Paste'!$I$2:$I$1601,$AG659))</f>
        <v/>
      </c>
      <c r="M659">
        <f>IF($AG659="","",Config!$B$16)</f>
        <v/>
      </c>
      <c r="N659">
        <f>IF($AG659="","","")</f>
        <v/>
      </c>
      <c r="O659">
        <f>IF($AG659="","",INDEX('TMP Paste'!$K$2:$K$1601,$AG659))</f>
        <v/>
      </c>
      <c r="P659">
        <f>IF($AG659="","","")</f>
        <v/>
      </c>
      <c r="Q659">
        <f>IF($AG659="","",INDEX('TMP Paste'!$J$2:$J$1601,$AG659))</f>
        <v/>
      </c>
      <c r="R659">
        <f>IF($AG659="","",Config!$B$24)</f>
        <v/>
      </c>
      <c r="S659">
        <f>IF($AG659="","",TEXT(Config!$B$4,"yyyy-mm-dd"))</f>
        <v/>
      </c>
      <c r="T659">
        <f>IF($AG659="","",Config!$B$17)</f>
        <v/>
      </c>
      <c r="U659">
        <f>IF($AG659="","",Config!$B$18)</f>
        <v/>
      </c>
      <c r="V659">
        <f>IF($AG659="","",Config!$B$19)</f>
        <v/>
      </c>
      <c r="W659">
        <f>IF($AG659="","",INDEX('TMP Paste'!$C$2:$C$1601,$AG659))</f>
        <v/>
      </c>
      <c r="X659">
        <f>IF($AG659="","",Config!$B$29)</f>
        <v/>
      </c>
      <c r="Y659">
        <f>IF($AH659="","",INDEX(Calc!$I$2:$I$1601,$AH659)&amp;" - "&amp;INDEX(Calc!$D$2:$D$1601,$AH659)&amp;" koli")</f>
        <v/>
      </c>
      <c r="Z659">
        <f>IF($AG659="","",Config!$B$21)</f>
        <v/>
      </c>
      <c r="AA659">
        <f>IF($AG659="","",Config!$B$22)</f>
        <v/>
      </c>
      <c r="AB659">
        <f>IF($AH659="","",INDEX(Calc!$D$2:$D$1601,$AH659))</f>
        <v/>
      </c>
      <c r="AC659">
        <f>IF($AH659="","",INDEX(Calc!$G$2:$G$1601,$AH659))</f>
        <v/>
      </c>
      <c r="AD659">
        <f>IF($AG659="","",Config!$B$23)</f>
        <v/>
      </c>
      <c r="AE659">
        <f>IF($AG659="","",Config!$B$28)</f>
        <v/>
      </c>
      <c r="AG659">
        <f>IFERROR(MATCH(ROW()-1,Calc!$J$2:$J$1601,0),"")</f>
        <v/>
      </c>
      <c r="AH659">
        <f>IFERROR(MATCH(ROW()-1,Calc!$K$2:$K$1601,0),"")</f>
        <v/>
      </c>
      <c r="AI659">
        <f>IF($AG659="","",SUMIF($AG$2:$AG659,$AG659,$AH$2:$AH659))</f>
        <v/>
      </c>
      <c r="AJ659">
        <f>IF('TMP Paste'!$F659="","",IF('TMP Paste'!$B659="",$AJ658,'TMP Paste'!$B659))</f>
        <v/>
      </c>
      <c r="AK659">
        <f>IF('TMP Paste'!$F659="","",N('TMP Paste'!$G659))</f>
        <v/>
      </c>
      <c r="AL659">
        <f>IF('TMP Paste'!$F659="","",IF('TMP Paste'!$M659="",$AL658,'TMP Paste'!$M659))</f>
        <v/>
      </c>
      <c r="AM659">
        <f>IF('TMP Paste'!$F659="","",IF('TMP Paste'!$N659="",$AM658,'TMP Paste'!$N659))</f>
        <v/>
      </c>
      <c r="AN659">
        <f>IF('TMP Paste'!$F659="","",IF('TMP Paste'!$O659="",$AN658,'TMP Paste'!$O659))</f>
        <v/>
      </c>
      <c r="AO659">
        <f>IF('TMP Paste'!$F659="","",IF('TMP Paste'!$P659="",$AO658,'TMP Paste'!$P659))</f>
        <v/>
      </c>
      <c r="AP659">
        <f>IF($AG659="","",LEN($R659))</f>
        <v/>
      </c>
      <c r="AQ659">
        <f>IF($AG659="","",TRIM(IF(COUNTIFS(Calc!$B$2:$B$1601,ROW()-1,Calc!$C$2:$C$1601,"&lt;1")&gt;0,"Ada PO tanpa Koli - cek TMP. ","")&amp;IF(LEN($R659)&gt;500,"R &gt; 500 karakter.","")))</f>
        <v/>
      </c>
    </row>
    <row r="660">
      <c r="A660">
        <f>IF($AG660="","",INDEX('TMP Paste'!$B$2:$B$1601,$AG660))</f>
        <v/>
      </c>
      <c r="B660">
        <f>IF($AG660="","",Config!$B$14)</f>
        <v/>
      </c>
      <c r="C660">
        <f>IF($AG660="","",Config!$B$15)</f>
        <v/>
      </c>
      <c r="D660">
        <f>IF($AG660="","",INDEX('TMP Paste'!$B$2:$B$1601,$AG660))</f>
        <v/>
      </c>
      <c r="E660">
        <f>IF($AG660="","",Config!$B$27)</f>
        <v/>
      </c>
      <c r="F660">
        <f>IF($AG660="","",Config!$B$9)</f>
        <v/>
      </c>
      <c r="G660">
        <f>IF($AG660="","",Config!$B$10)</f>
        <v/>
      </c>
      <c r="H660">
        <f>IF($AG660="","",Config!$B$11)</f>
        <v/>
      </c>
      <c r="I660">
        <f>IF($AG660="","",Config!$B$16)</f>
        <v/>
      </c>
      <c r="J660">
        <f>IF($AG660="","",INDEX('TMP Paste'!$A$2:$A$1601,$AG660))</f>
        <v/>
      </c>
      <c r="K660">
        <f>IF($AG660="","",INDEX('TMP Paste'!$L$2:$L$1601,$AG660))</f>
        <v/>
      </c>
      <c r="L660">
        <f>IF($AG660="","",INDEX('TMP Paste'!$I$2:$I$1601,$AG660))</f>
        <v/>
      </c>
      <c r="M660">
        <f>IF($AG660="","",Config!$B$16)</f>
        <v/>
      </c>
      <c r="N660">
        <f>IF($AG660="","","")</f>
        <v/>
      </c>
      <c r="O660">
        <f>IF($AG660="","",INDEX('TMP Paste'!$K$2:$K$1601,$AG660))</f>
        <v/>
      </c>
      <c r="P660">
        <f>IF($AG660="","","")</f>
        <v/>
      </c>
      <c r="Q660">
        <f>IF($AG660="","",INDEX('TMP Paste'!$J$2:$J$1601,$AG660))</f>
        <v/>
      </c>
      <c r="R660">
        <f>IF($AG660="","",Config!$B$24)</f>
        <v/>
      </c>
      <c r="S660">
        <f>IF($AG660="","",TEXT(Config!$B$4,"yyyy-mm-dd"))</f>
        <v/>
      </c>
      <c r="T660">
        <f>IF($AG660="","",Config!$B$17)</f>
        <v/>
      </c>
      <c r="U660">
        <f>IF($AG660="","",Config!$B$18)</f>
        <v/>
      </c>
      <c r="V660">
        <f>IF($AG660="","",Config!$B$19)</f>
        <v/>
      </c>
      <c r="W660">
        <f>IF($AG660="","",INDEX('TMP Paste'!$C$2:$C$1601,$AG660))</f>
        <v/>
      </c>
      <c r="X660">
        <f>IF($AG660="","",Config!$B$29)</f>
        <v/>
      </c>
      <c r="Y660">
        <f>IF($AH660="","",INDEX(Calc!$I$2:$I$1601,$AH660)&amp;" - "&amp;INDEX(Calc!$D$2:$D$1601,$AH660)&amp;" koli")</f>
        <v/>
      </c>
      <c r="Z660">
        <f>IF($AG660="","",Config!$B$21)</f>
        <v/>
      </c>
      <c r="AA660">
        <f>IF($AG660="","",Config!$B$22)</f>
        <v/>
      </c>
      <c r="AB660">
        <f>IF($AH660="","",INDEX(Calc!$D$2:$D$1601,$AH660))</f>
        <v/>
      </c>
      <c r="AC660">
        <f>IF($AH660="","",INDEX(Calc!$G$2:$G$1601,$AH660))</f>
        <v/>
      </c>
      <c r="AD660">
        <f>IF($AG660="","",Config!$B$23)</f>
        <v/>
      </c>
      <c r="AE660">
        <f>IF($AG660="","",Config!$B$28)</f>
        <v/>
      </c>
      <c r="AG660">
        <f>IFERROR(MATCH(ROW()-1,Calc!$J$2:$J$1601,0),"")</f>
        <v/>
      </c>
      <c r="AH660">
        <f>IFERROR(MATCH(ROW()-1,Calc!$K$2:$K$1601,0),"")</f>
        <v/>
      </c>
      <c r="AI660">
        <f>IF($AG660="","",SUMIF($AG$2:$AG660,$AG660,$AH$2:$AH660))</f>
        <v/>
      </c>
      <c r="AJ660">
        <f>IF('TMP Paste'!$F660="","",IF('TMP Paste'!$B660="",$AJ659,'TMP Paste'!$B660))</f>
        <v/>
      </c>
      <c r="AK660">
        <f>IF('TMP Paste'!$F660="","",N('TMP Paste'!$G660))</f>
        <v/>
      </c>
      <c r="AL660">
        <f>IF('TMP Paste'!$F660="","",IF('TMP Paste'!$M660="",$AL659,'TMP Paste'!$M660))</f>
        <v/>
      </c>
      <c r="AM660">
        <f>IF('TMP Paste'!$F660="","",IF('TMP Paste'!$N660="",$AM659,'TMP Paste'!$N660))</f>
        <v/>
      </c>
      <c r="AN660">
        <f>IF('TMP Paste'!$F660="","",IF('TMP Paste'!$O660="",$AN659,'TMP Paste'!$O660))</f>
        <v/>
      </c>
      <c r="AO660">
        <f>IF('TMP Paste'!$F660="","",IF('TMP Paste'!$P660="",$AO659,'TMP Paste'!$P660))</f>
        <v/>
      </c>
      <c r="AP660">
        <f>IF($AG660="","",LEN($R660))</f>
        <v/>
      </c>
      <c r="AQ660">
        <f>IF($AG660="","",TRIM(IF(COUNTIFS(Calc!$B$2:$B$1601,ROW()-1,Calc!$C$2:$C$1601,"&lt;1")&gt;0,"Ada PO tanpa Koli - cek TMP. ","")&amp;IF(LEN($R660)&gt;500,"R &gt; 500 karakter.","")))</f>
        <v/>
      </c>
    </row>
    <row r="661">
      <c r="A661">
        <f>IF($AG661="","",INDEX('TMP Paste'!$B$2:$B$1601,$AG661))</f>
        <v/>
      </c>
      <c r="B661">
        <f>IF($AG661="","",Config!$B$14)</f>
        <v/>
      </c>
      <c r="C661">
        <f>IF($AG661="","",Config!$B$15)</f>
        <v/>
      </c>
      <c r="D661">
        <f>IF($AG661="","",INDEX('TMP Paste'!$B$2:$B$1601,$AG661))</f>
        <v/>
      </c>
      <c r="E661">
        <f>IF($AG661="","",Config!$B$27)</f>
        <v/>
      </c>
      <c r="F661">
        <f>IF($AG661="","",Config!$B$9)</f>
        <v/>
      </c>
      <c r="G661">
        <f>IF($AG661="","",Config!$B$10)</f>
        <v/>
      </c>
      <c r="H661">
        <f>IF($AG661="","",Config!$B$11)</f>
        <v/>
      </c>
      <c r="I661">
        <f>IF($AG661="","",Config!$B$16)</f>
        <v/>
      </c>
      <c r="J661">
        <f>IF($AG661="","",INDEX('TMP Paste'!$A$2:$A$1601,$AG661))</f>
        <v/>
      </c>
      <c r="K661">
        <f>IF($AG661="","",INDEX('TMP Paste'!$L$2:$L$1601,$AG661))</f>
        <v/>
      </c>
      <c r="L661">
        <f>IF($AG661="","",INDEX('TMP Paste'!$I$2:$I$1601,$AG661))</f>
        <v/>
      </c>
      <c r="M661">
        <f>IF($AG661="","",Config!$B$16)</f>
        <v/>
      </c>
      <c r="N661">
        <f>IF($AG661="","","")</f>
        <v/>
      </c>
      <c r="O661">
        <f>IF($AG661="","",INDEX('TMP Paste'!$K$2:$K$1601,$AG661))</f>
        <v/>
      </c>
      <c r="P661">
        <f>IF($AG661="","","")</f>
        <v/>
      </c>
      <c r="Q661">
        <f>IF($AG661="","",INDEX('TMP Paste'!$J$2:$J$1601,$AG661))</f>
        <v/>
      </c>
      <c r="R661">
        <f>IF($AG661="","",Config!$B$24)</f>
        <v/>
      </c>
      <c r="S661">
        <f>IF($AG661="","",TEXT(Config!$B$4,"yyyy-mm-dd"))</f>
        <v/>
      </c>
      <c r="T661">
        <f>IF($AG661="","",Config!$B$17)</f>
        <v/>
      </c>
      <c r="U661">
        <f>IF($AG661="","",Config!$B$18)</f>
        <v/>
      </c>
      <c r="V661">
        <f>IF($AG661="","",Config!$B$19)</f>
        <v/>
      </c>
      <c r="W661">
        <f>IF($AG661="","",INDEX('TMP Paste'!$C$2:$C$1601,$AG661))</f>
        <v/>
      </c>
      <c r="X661">
        <f>IF($AG661="","",Config!$B$29)</f>
        <v/>
      </c>
      <c r="Y661">
        <f>IF($AH661="","",INDEX(Calc!$I$2:$I$1601,$AH661)&amp;" - "&amp;INDEX(Calc!$D$2:$D$1601,$AH661)&amp;" koli")</f>
        <v/>
      </c>
      <c r="Z661">
        <f>IF($AG661="","",Config!$B$21)</f>
        <v/>
      </c>
      <c r="AA661">
        <f>IF($AG661="","",Config!$B$22)</f>
        <v/>
      </c>
      <c r="AB661">
        <f>IF($AH661="","",INDEX(Calc!$D$2:$D$1601,$AH661))</f>
        <v/>
      </c>
      <c r="AC661">
        <f>IF($AH661="","",INDEX(Calc!$G$2:$G$1601,$AH661))</f>
        <v/>
      </c>
      <c r="AD661">
        <f>IF($AG661="","",Config!$B$23)</f>
        <v/>
      </c>
      <c r="AE661">
        <f>IF($AG661="","",Config!$B$28)</f>
        <v/>
      </c>
      <c r="AG661">
        <f>IFERROR(MATCH(ROW()-1,Calc!$J$2:$J$1601,0),"")</f>
        <v/>
      </c>
      <c r="AH661">
        <f>IFERROR(MATCH(ROW()-1,Calc!$K$2:$K$1601,0),"")</f>
        <v/>
      </c>
      <c r="AI661">
        <f>IF($AG661="","",SUMIF($AG$2:$AG661,$AG661,$AH$2:$AH661))</f>
        <v/>
      </c>
      <c r="AJ661">
        <f>IF('TMP Paste'!$F661="","",IF('TMP Paste'!$B661="",$AJ660,'TMP Paste'!$B661))</f>
        <v/>
      </c>
      <c r="AK661">
        <f>IF('TMP Paste'!$F661="","",N('TMP Paste'!$G661))</f>
        <v/>
      </c>
      <c r="AL661">
        <f>IF('TMP Paste'!$F661="","",IF('TMP Paste'!$M661="",$AL660,'TMP Paste'!$M661))</f>
        <v/>
      </c>
      <c r="AM661">
        <f>IF('TMP Paste'!$F661="","",IF('TMP Paste'!$N661="",$AM660,'TMP Paste'!$N661))</f>
        <v/>
      </c>
      <c r="AN661">
        <f>IF('TMP Paste'!$F661="","",IF('TMP Paste'!$O661="",$AN660,'TMP Paste'!$O661))</f>
        <v/>
      </c>
      <c r="AO661">
        <f>IF('TMP Paste'!$F661="","",IF('TMP Paste'!$P661="",$AO660,'TMP Paste'!$P661))</f>
        <v/>
      </c>
      <c r="AP661">
        <f>IF($AG661="","",LEN($R661))</f>
        <v/>
      </c>
      <c r="AQ661">
        <f>IF($AG661="","",TRIM(IF(COUNTIFS(Calc!$B$2:$B$1601,ROW()-1,Calc!$C$2:$C$1601,"&lt;1")&gt;0,"Ada PO tanpa Koli - cek TMP. ","")&amp;IF(LEN($R661)&gt;500,"R &gt; 500 karakter.","")))</f>
        <v/>
      </c>
    </row>
    <row r="662">
      <c r="A662">
        <f>IF($AG662="","",INDEX('TMP Paste'!$B$2:$B$1601,$AG662))</f>
        <v/>
      </c>
      <c r="B662">
        <f>IF($AG662="","",Config!$B$14)</f>
        <v/>
      </c>
      <c r="C662">
        <f>IF($AG662="","",Config!$B$15)</f>
        <v/>
      </c>
      <c r="D662">
        <f>IF($AG662="","",INDEX('TMP Paste'!$B$2:$B$1601,$AG662))</f>
        <v/>
      </c>
      <c r="E662">
        <f>IF($AG662="","",Config!$B$27)</f>
        <v/>
      </c>
      <c r="F662">
        <f>IF($AG662="","",Config!$B$9)</f>
        <v/>
      </c>
      <c r="G662">
        <f>IF($AG662="","",Config!$B$10)</f>
        <v/>
      </c>
      <c r="H662">
        <f>IF($AG662="","",Config!$B$11)</f>
        <v/>
      </c>
      <c r="I662">
        <f>IF($AG662="","",Config!$B$16)</f>
        <v/>
      </c>
      <c r="J662">
        <f>IF($AG662="","",INDEX('TMP Paste'!$A$2:$A$1601,$AG662))</f>
        <v/>
      </c>
      <c r="K662">
        <f>IF($AG662="","",INDEX('TMP Paste'!$L$2:$L$1601,$AG662))</f>
        <v/>
      </c>
      <c r="L662">
        <f>IF($AG662="","",INDEX('TMP Paste'!$I$2:$I$1601,$AG662))</f>
        <v/>
      </c>
      <c r="M662">
        <f>IF($AG662="","",Config!$B$16)</f>
        <v/>
      </c>
      <c r="N662">
        <f>IF($AG662="","","")</f>
        <v/>
      </c>
      <c r="O662">
        <f>IF($AG662="","",INDEX('TMP Paste'!$K$2:$K$1601,$AG662))</f>
        <v/>
      </c>
      <c r="P662">
        <f>IF($AG662="","","")</f>
        <v/>
      </c>
      <c r="Q662">
        <f>IF($AG662="","",INDEX('TMP Paste'!$J$2:$J$1601,$AG662))</f>
        <v/>
      </c>
      <c r="R662">
        <f>IF($AG662="","",Config!$B$24)</f>
        <v/>
      </c>
      <c r="S662">
        <f>IF($AG662="","",TEXT(Config!$B$4,"yyyy-mm-dd"))</f>
        <v/>
      </c>
      <c r="T662">
        <f>IF($AG662="","",Config!$B$17)</f>
        <v/>
      </c>
      <c r="U662">
        <f>IF($AG662="","",Config!$B$18)</f>
        <v/>
      </c>
      <c r="V662">
        <f>IF($AG662="","",Config!$B$19)</f>
        <v/>
      </c>
      <c r="W662">
        <f>IF($AG662="","",INDEX('TMP Paste'!$C$2:$C$1601,$AG662))</f>
        <v/>
      </c>
      <c r="X662">
        <f>IF($AG662="","",Config!$B$29)</f>
        <v/>
      </c>
      <c r="Y662">
        <f>IF($AH662="","",INDEX(Calc!$I$2:$I$1601,$AH662)&amp;" - "&amp;INDEX(Calc!$D$2:$D$1601,$AH662)&amp;" koli")</f>
        <v/>
      </c>
      <c r="Z662">
        <f>IF($AG662="","",Config!$B$21)</f>
        <v/>
      </c>
      <c r="AA662">
        <f>IF($AG662="","",Config!$B$22)</f>
        <v/>
      </c>
      <c r="AB662">
        <f>IF($AH662="","",INDEX(Calc!$D$2:$D$1601,$AH662))</f>
        <v/>
      </c>
      <c r="AC662">
        <f>IF($AH662="","",INDEX(Calc!$G$2:$G$1601,$AH662))</f>
        <v/>
      </c>
      <c r="AD662">
        <f>IF($AG662="","",Config!$B$23)</f>
        <v/>
      </c>
      <c r="AE662">
        <f>IF($AG662="","",Config!$B$28)</f>
        <v/>
      </c>
      <c r="AG662">
        <f>IFERROR(MATCH(ROW()-1,Calc!$J$2:$J$1601,0),"")</f>
        <v/>
      </c>
      <c r="AH662">
        <f>IFERROR(MATCH(ROW()-1,Calc!$K$2:$K$1601,0),"")</f>
        <v/>
      </c>
      <c r="AI662">
        <f>IF($AG662="","",SUMIF($AG$2:$AG662,$AG662,$AH$2:$AH662))</f>
        <v/>
      </c>
      <c r="AJ662">
        <f>IF('TMP Paste'!$F662="","",IF('TMP Paste'!$B662="",$AJ661,'TMP Paste'!$B662))</f>
        <v/>
      </c>
      <c r="AK662">
        <f>IF('TMP Paste'!$F662="","",N('TMP Paste'!$G662))</f>
        <v/>
      </c>
      <c r="AL662">
        <f>IF('TMP Paste'!$F662="","",IF('TMP Paste'!$M662="",$AL661,'TMP Paste'!$M662))</f>
        <v/>
      </c>
      <c r="AM662">
        <f>IF('TMP Paste'!$F662="","",IF('TMP Paste'!$N662="",$AM661,'TMP Paste'!$N662))</f>
        <v/>
      </c>
      <c r="AN662">
        <f>IF('TMP Paste'!$F662="","",IF('TMP Paste'!$O662="",$AN661,'TMP Paste'!$O662))</f>
        <v/>
      </c>
      <c r="AO662">
        <f>IF('TMP Paste'!$F662="","",IF('TMP Paste'!$P662="",$AO661,'TMP Paste'!$P662))</f>
        <v/>
      </c>
      <c r="AP662">
        <f>IF($AG662="","",LEN($R662))</f>
        <v/>
      </c>
      <c r="AQ662">
        <f>IF($AG662="","",TRIM(IF(COUNTIFS(Calc!$B$2:$B$1601,ROW()-1,Calc!$C$2:$C$1601,"&lt;1")&gt;0,"Ada PO tanpa Koli - cek TMP. ","")&amp;IF(LEN($R662)&gt;500,"R &gt; 500 karakter.","")))</f>
        <v/>
      </c>
    </row>
    <row r="663">
      <c r="A663">
        <f>IF($AG663="","",INDEX('TMP Paste'!$B$2:$B$1601,$AG663))</f>
        <v/>
      </c>
      <c r="B663">
        <f>IF($AG663="","",Config!$B$14)</f>
        <v/>
      </c>
      <c r="C663">
        <f>IF($AG663="","",Config!$B$15)</f>
        <v/>
      </c>
      <c r="D663">
        <f>IF($AG663="","",INDEX('TMP Paste'!$B$2:$B$1601,$AG663))</f>
        <v/>
      </c>
      <c r="E663">
        <f>IF($AG663="","",Config!$B$27)</f>
        <v/>
      </c>
      <c r="F663">
        <f>IF($AG663="","",Config!$B$9)</f>
        <v/>
      </c>
      <c r="G663">
        <f>IF($AG663="","",Config!$B$10)</f>
        <v/>
      </c>
      <c r="H663">
        <f>IF($AG663="","",Config!$B$11)</f>
        <v/>
      </c>
      <c r="I663">
        <f>IF($AG663="","",Config!$B$16)</f>
        <v/>
      </c>
      <c r="J663">
        <f>IF($AG663="","",INDEX('TMP Paste'!$A$2:$A$1601,$AG663))</f>
        <v/>
      </c>
      <c r="K663">
        <f>IF($AG663="","",INDEX('TMP Paste'!$L$2:$L$1601,$AG663))</f>
        <v/>
      </c>
      <c r="L663">
        <f>IF($AG663="","",INDEX('TMP Paste'!$I$2:$I$1601,$AG663))</f>
        <v/>
      </c>
      <c r="M663">
        <f>IF($AG663="","",Config!$B$16)</f>
        <v/>
      </c>
      <c r="N663">
        <f>IF($AG663="","","")</f>
        <v/>
      </c>
      <c r="O663">
        <f>IF($AG663="","",INDEX('TMP Paste'!$K$2:$K$1601,$AG663))</f>
        <v/>
      </c>
      <c r="P663">
        <f>IF($AG663="","","")</f>
        <v/>
      </c>
      <c r="Q663">
        <f>IF($AG663="","",INDEX('TMP Paste'!$J$2:$J$1601,$AG663))</f>
        <v/>
      </c>
      <c r="R663">
        <f>IF($AG663="","",Config!$B$24)</f>
        <v/>
      </c>
      <c r="S663">
        <f>IF($AG663="","",TEXT(Config!$B$4,"yyyy-mm-dd"))</f>
        <v/>
      </c>
      <c r="T663">
        <f>IF($AG663="","",Config!$B$17)</f>
        <v/>
      </c>
      <c r="U663">
        <f>IF($AG663="","",Config!$B$18)</f>
        <v/>
      </c>
      <c r="V663">
        <f>IF($AG663="","",Config!$B$19)</f>
        <v/>
      </c>
      <c r="W663">
        <f>IF($AG663="","",INDEX('TMP Paste'!$C$2:$C$1601,$AG663))</f>
        <v/>
      </c>
      <c r="X663">
        <f>IF($AG663="","",Config!$B$29)</f>
        <v/>
      </c>
      <c r="Y663">
        <f>IF($AH663="","",INDEX(Calc!$I$2:$I$1601,$AH663)&amp;" - "&amp;INDEX(Calc!$D$2:$D$1601,$AH663)&amp;" koli")</f>
        <v/>
      </c>
      <c r="Z663">
        <f>IF($AG663="","",Config!$B$21)</f>
        <v/>
      </c>
      <c r="AA663">
        <f>IF($AG663="","",Config!$B$22)</f>
        <v/>
      </c>
      <c r="AB663">
        <f>IF($AH663="","",INDEX(Calc!$D$2:$D$1601,$AH663))</f>
        <v/>
      </c>
      <c r="AC663">
        <f>IF($AH663="","",INDEX(Calc!$G$2:$G$1601,$AH663))</f>
        <v/>
      </c>
      <c r="AD663">
        <f>IF($AG663="","",Config!$B$23)</f>
        <v/>
      </c>
      <c r="AE663">
        <f>IF($AG663="","",Config!$B$28)</f>
        <v/>
      </c>
      <c r="AG663">
        <f>IFERROR(MATCH(ROW()-1,Calc!$J$2:$J$1601,0),"")</f>
        <v/>
      </c>
      <c r="AH663">
        <f>IFERROR(MATCH(ROW()-1,Calc!$K$2:$K$1601,0),"")</f>
        <v/>
      </c>
      <c r="AI663">
        <f>IF($AG663="","",SUMIF($AG$2:$AG663,$AG663,$AH$2:$AH663))</f>
        <v/>
      </c>
      <c r="AJ663">
        <f>IF('TMP Paste'!$F663="","",IF('TMP Paste'!$B663="",$AJ662,'TMP Paste'!$B663))</f>
        <v/>
      </c>
      <c r="AK663">
        <f>IF('TMP Paste'!$F663="","",N('TMP Paste'!$G663))</f>
        <v/>
      </c>
      <c r="AL663">
        <f>IF('TMP Paste'!$F663="","",IF('TMP Paste'!$M663="",$AL662,'TMP Paste'!$M663))</f>
        <v/>
      </c>
      <c r="AM663">
        <f>IF('TMP Paste'!$F663="","",IF('TMP Paste'!$N663="",$AM662,'TMP Paste'!$N663))</f>
        <v/>
      </c>
      <c r="AN663">
        <f>IF('TMP Paste'!$F663="","",IF('TMP Paste'!$O663="",$AN662,'TMP Paste'!$O663))</f>
        <v/>
      </c>
      <c r="AO663">
        <f>IF('TMP Paste'!$F663="","",IF('TMP Paste'!$P663="",$AO662,'TMP Paste'!$P663))</f>
        <v/>
      </c>
      <c r="AP663">
        <f>IF($AG663="","",LEN($R663))</f>
        <v/>
      </c>
      <c r="AQ663">
        <f>IF($AG663="","",TRIM(IF(COUNTIFS(Calc!$B$2:$B$1601,ROW()-1,Calc!$C$2:$C$1601,"&lt;1")&gt;0,"Ada PO tanpa Koli - cek TMP. ","")&amp;IF(LEN($R663)&gt;500,"R &gt; 500 karakter.","")))</f>
        <v/>
      </c>
    </row>
    <row r="664">
      <c r="A664">
        <f>IF($AG664="","",INDEX('TMP Paste'!$B$2:$B$1601,$AG664))</f>
        <v/>
      </c>
      <c r="B664">
        <f>IF($AG664="","",Config!$B$14)</f>
        <v/>
      </c>
      <c r="C664">
        <f>IF($AG664="","",Config!$B$15)</f>
        <v/>
      </c>
      <c r="D664">
        <f>IF($AG664="","",INDEX('TMP Paste'!$B$2:$B$1601,$AG664))</f>
        <v/>
      </c>
      <c r="E664">
        <f>IF($AG664="","",Config!$B$27)</f>
        <v/>
      </c>
      <c r="F664">
        <f>IF($AG664="","",Config!$B$9)</f>
        <v/>
      </c>
      <c r="G664">
        <f>IF($AG664="","",Config!$B$10)</f>
        <v/>
      </c>
      <c r="H664">
        <f>IF($AG664="","",Config!$B$11)</f>
        <v/>
      </c>
      <c r="I664">
        <f>IF($AG664="","",Config!$B$16)</f>
        <v/>
      </c>
      <c r="J664">
        <f>IF($AG664="","",INDEX('TMP Paste'!$A$2:$A$1601,$AG664))</f>
        <v/>
      </c>
      <c r="K664">
        <f>IF($AG664="","",INDEX('TMP Paste'!$L$2:$L$1601,$AG664))</f>
        <v/>
      </c>
      <c r="L664">
        <f>IF($AG664="","",INDEX('TMP Paste'!$I$2:$I$1601,$AG664))</f>
        <v/>
      </c>
      <c r="M664">
        <f>IF($AG664="","",Config!$B$16)</f>
        <v/>
      </c>
      <c r="N664">
        <f>IF($AG664="","","")</f>
        <v/>
      </c>
      <c r="O664">
        <f>IF($AG664="","",INDEX('TMP Paste'!$K$2:$K$1601,$AG664))</f>
        <v/>
      </c>
      <c r="P664">
        <f>IF($AG664="","","")</f>
        <v/>
      </c>
      <c r="Q664">
        <f>IF($AG664="","",INDEX('TMP Paste'!$J$2:$J$1601,$AG664))</f>
        <v/>
      </c>
      <c r="R664">
        <f>IF($AG664="","",Config!$B$24)</f>
        <v/>
      </c>
      <c r="S664">
        <f>IF($AG664="","",TEXT(Config!$B$4,"yyyy-mm-dd"))</f>
        <v/>
      </c>
      <c r="T664">
        <f>IF($AG664="","",Config!$B$17)</f>
        <v/>
      </c>
      <c r="U664">
        <f>IF($AG664="","",Config!$B$18)</f>
        <v/>
      </c>
      <c r="V664">
        <f>IF($AG664="","",Config!$B$19)</f>
        <v/>
      </c>
      <c r="W664">
        <f>IF($AG664="","",INDEX('TMP Paste'!$C$2:$C$1601,$AG664))</f>
        <v/>
      </c>
      <c r="X664">
        <f>IF($AG664="","",Config!$B$29)</f>
        <v/>
      </c>
      <c r="Y664">
        <f>IF($AH664="","",INDEX(Calc!$I$2:$I$1601,$AH664)&amp;" - "&amp;INDEX(Calc!$D$2:$D$1601,$AH664)&amp;" koli")</f>
        <v/>
      </c>
      <c r="Z664">
        <f>IF($AG664="","",Config!$B$21)</f>
        <v/>
      </c>
      <c r="AA664">
        <f>IF($AG664="","",Config!$B$22)</f>
        <v/>
      </c>
      <c r="AB664">
        <f>IF($AH664="","",INDEX(Calc!$D$2:$D$1601,$AH664))</f>
        <v/>
      </c>
      <c r="AC664">
        <f>IF($AH664="","",INDEX(Calc!$G$2:$G$1601,$AH664))</f>
        <v/>
      </c>
      <c r="AD664">
        <f>IF($AG664="","",Config!$B$23)</f>
        <v/>
      </c>
      <c r="AE664">
        <f>IF($AG664="","",Config!$B$28)</f>
        <v/>
      </c>
      <c r="AG664">
        <f>IFERROR(MATCH(ROW()-1,Calc!$J$2:$J$1601,0),"")</f>
        <v/>
      </c>
      <c r="AH664">
        <f>IFERROR(MATCH(ROW()-1,Calc!$K$2:$K$1601,0),"")</f>
        <v/>
      </c>
      <c r="AI664">
        <f>IF($AG664="","",SUMIF($AG$2:$AG664,$AG664,$AH$2:$AH664))</f>
        <v/>
      </c>
      <c r="AJ664">
        <f>IF('TMP Paste'!$F664="","",IF('TMP Paste'!$B664="",$AJ663,'TMP Paste'!$B664))</f>
        <v/>
      </c>
      <c r="AK664">
        <f>IF('TMP Paste'!$F664="","",N('TMP Paste'!$G664))</f>
        <v/>
      </c>
      <c r="AL664">
        <f>IF('TMP Paste'!$F664="","",IF('TMP Paste'!$M664="",$AL663,'TMP Paste'!$M664))</f>
        <v/>
      </c>
      <c r="AM664">
        <f>IF('TMP Paste'!$F664="","",IF('TMP Paste'!$N664="",$AM663,'TMP Paste'!$N664))</f>
        <v/>
      </c>
      <c r="AN664">
        <f>IF('TMP Paste'!$F664="","",IF('TMP Paste'!$O664="",$AN663,'TMP Paste'!$O664))</f>
        <v/>
      </c>
      <c r="AO664">
        <f>IF('TMP Paste'!$F664="","",IF('TMP Paste'!$P664="",$AO663,'TMP Paste'!$P664))</f>
        <v/>
      </c>
      <c r="AP664">
        <f>IF($AG664="","",LEN($R664))</f>
        <v/>
      </c>
      <c r="AQ664">
        <f>IF($AG664="","",TRIM(IF(COUNTIFS(Calc!$B$2:$B$1601,ROW()-1,Calc!$C$2:$C$1601,"&lt;1")&gt;0,"Ada PO tanpa Koli - cek TMP. ","")&amp;IF(LEN($R664)&gt;500,"R &gt; 500 karakter.","")))</f>
        <v/>
      </c>
    </row>
    <row r="665">
      <c r="A665">
        <f>IF($AG665="","",INDEX('TMP Paste'!$B$2:$B$1601,$AG665))</f>
        <v/>
      </c>
      <c r="B665">
        <f>IF($AG665="","",Config!$B$14)</f>
        <v/>
      </c>
      <c r="C665">
        <f>IF($AG665="","",Config!$B$15)</f>
        <v/>
      </c>
      <c r="D665">
        <f>IF($AG665="","",INDEX('TMP Paste'!$B$2:$B$1601,$AG665))</f>
        <v/>
      </c>
      <c r="E665">
        <f>IF($AG665="","",Config!$B$27)</f>
        <v/>
      </c>
      <c r="F665">
        <f>IF($AG665="","",Config!$B$9)</f>
        <v/>
      </c>
      <c r="G665">
        <f>IF($AG665="","",Config!$B$10)</f>
        <v/>
      </c>
      <c r="H665">
        <f>IF($AG665="","",Config!$B$11)</f>
        <v/>
      </c>
      <c r="I665">
        <f>IF($AG665="","",Config!$B$16)</f>
        <v/>
      </c>
      <c r="J665">
        <f>IF($AG665="","",INDEX('TMP Paste'!$A$2:$A$1601,$AG665))</f>
        <v/>
      </c>
      <c r="K665">
        <f>IF($AG665="","",INDEX('TMP Paste'!$L$2:$L$1601,$AG665))</f>
        <v/>
      </c>
      <c r="L665">
        <f>IF($AG665="","",INDEX('TMP Paste'!$I$2:$I$1601,$AG665))</f>
        <v/>
      </c>
      <c r="M665">
        <f>IF($AG665="","",Config!$B$16)</f>
        <v/>
      </c>
      <c r="N665">
        <f>IF($AG665="","","")</f>
        <v/>
      </c>
      <c r="O665">
        <f>IF($AG665="","",INDEX('TMP Paste'!$K$2:$K$1601,$AG665))</f>
        <v/>
      </c>
      <c r="P665">
        <f>IF($AG665="","","")</f>
        <v/>
      </c>
      <c r="Q665">
        <f>IF($AG665="","",INDEX('TMP Paste'!$J$2:$J$1601,$AG665))</f>
        <v/>
      </c>
      <c r="R665">
        <f>IF($AG665="","",Config!$B$24)</f>
        <v/>
      </c>
      <c r="S665">
        <f>IF($AG665="","",TEXT(Config!$B$4,"yyyy-mm-dd"))</f>
        <v/>
      </c>
      <c r="T665">
        <f>IF($AG665="","",Config!$B$17)</f>
        <v/>
      </c>
      <c r="U665">
        <f>IF($AG665="","",Config!$B$18)</f>
        <v/>
      </c>
      <c r="V665">
        <f>IF($AG665="","",Config!$B$19)</f>
        <v/>
      </c>
      <c r="W665">
        <f>IF($AG665="","",INDEX('TMP Paste'!$C$2:$C$1601,$AG665))</f>
        <v/>
      </c>
      <c r="X665">
        <f>IF($AG665="","",Config!$B$29)</f>
        <v/>
      </c>
      <c r="Y665">
        <f>IF($AH665="","",INDEX(Calc!$I$2:$I$1601,$AH665)&amp;" - "&amp;INDEX(Calc!$D$2:$D$1601,$AH665)&amp;" koli")</f>
        <v/>
      </c>
      <c r="Z665">
        <f>IF($AG665="","",Config!$B$21)</f>
        <v/>
      </c>
      <c r="AA665">
        <f>IF($AG665="","",Config!$B$22)</f>
        <v/>
      </c>
      <c r="AB665">
        <f>IF($AH665="","",INDEX(Calc!$D$2:$D$1601,$AH665))</f>
        <v/>
      </c>
      <c r="AC665">
        <f>IF($AH665="","",INDEX(Calc!$G$2:$G$1601,$AH665))</f>
        <v/>
      </c>
      <c r="AD665">
        <f>IF($AG665="","",Config!$B$23)</f>
        <v/>
      </c>
      <c r="AE665">
        <f>IF($AG665="","",Config!$B$28)</f>
        <v/>
      </c>
      <c r="AG665">
        <f>IFERROR(MATCH(ROW()-1,Calc!$J$2:$J$1601,0),"")</f>
        <v/>
      </c>
      <c r="AH665">
        <f>IFERROR(MATCH(ROW()-1,Calc!$K$2:$K$1601,0),"")</f>
        <v/>
      </c>
      <c r="AI665">
        <f>IF($AG665="","",SUMIF($AG$2:$AG665,$AG665,$AH$2:$AH665))</f>
        <v/>
      </c>
      <c r="AJ665">
        <f>IF('TMP Paste'!$F665="","",IF('TMP Paste'!$B665="",$AJ664,'TMP Paste'!$B665))</f>
        <v/>
      </c>
      <c r="AK665">
        <f>IF('TMP Paste'!$F665="","",N('TMP Paste'!$G665))</f>
        <v/>
      </c>
      <c r="AL665">
        <f>IF('TMP Paste'!$F665="","",IF('TMP Paste'!$M665="",$AL664,'TMP Paste'!$M665))</f>
        <v/>
      </c>
      <c r="AM665">
        <f>IF('TMP Paste'!$F665="","",IF('TMP Paste'!$N665="",$AM664,'TMP Paste'!$N665))</f>
        <v/>
      </c>
      <c r="AN665">
        <f>IF('TMP Paste'!$F665="","",IF('TMP Paste'!$O665="",$AN664,'TMP Paste'!$O665))</f>
        <v/>
      </c>
      <c r="AO665">
        <f>IF('TMP Paste'!$F665="","",IF('TMP Paste'!$P665="",$AO664,'TMP Paste'!$P665))</f>
        <v/>
      </c>
      <c r="AP665">
        <f>IF($AG665="","",LEN($R665))</f>
        <v/>
      </c>
      <c r="AQ665">
        <f>IF($AG665="","",TRIM(IF(COUNTIFS(Calc!$B$2:$B$1601,ROW()-1,Calc!$C$2:$C$1601,"&lt;1")&gt;0,"Ada PO tanpa Koli - cek TMP. ","")&amp;IF(LEN($R665)&gt;500,"R &gt; 500 karakter.","")))</f>
        <v/>
      </c>
    </row>
    <row r="666">
      <c r="A666">
        <f>IF($AG666="","",INDEX('TMP Paste'!$B$2:$B$1601,$AG666))</f>
        <v/>
      </c>
      <c r="B666">
        <f>IF($AG666="","",Config!$B$14)</f>
        <v/>
      </c>
      <c r="C666">
        <f>IF($AG666="","",Config!$B$15)</f>
        <v/>
      </c>
      <c r="D666">
        <f>IF($AG666="","",INDEX('TMP Paste'!$B$2:$B$1601,$AG666))</f>
        <v/>
      </c>
      <c r="E666">
        <f>IF($AG666="","",Config!$B$27)</f>
        <v/>
      </c>
      <c r="F666">
        <f>IF($AG666="","",Config!$B$9)</f>
        <v/>
      </c>
      <c r="G666">
        <f>IF($AG666="","",Config!$B$10)</f>
        <v/>
      </c>
      <c r="H666">
        <f>IF($AG666="","",Config!$B$11)</f>
        <v/>
      </c>
      <c r="I666">
        <f>IF($AG666="","",Config!$B$16)</f>
        <v/>
      </c>
      <c r="J666">
        <f>IF($AG666="","",INDEX('TMP Paste'!$A$2:$A$1601,$AG666))</f>
        <v/>
      </c>
      <c r="K666">
        <f>IF($AG666="","",INDEX('TMP Paste'!$L$2:$L$1601,$AG666))</f>
        <v/>
      </c>
      <c r="L666">
        <f>IF($AG666="","",INDEX('TMP Paste'!$I$2:$I$1601,$AG666))</f>
        <v/>
      </c>
      <c r="M666">
        <f>IF($AG666="","",Config!$B$16)</f>
        <v/>
      </c>
      <c r="N666">
        <f>IF($AG666="","","")</f>
        <v/>
      </c>
      <c r="O666">
        <f>IF($AG666="","",INDEX('TMP Paste'!$K$2:$K$1601,$AG666))</f>
        <v/>
      </c>
      <c r="P666">
        <f>IF($AG666="","","")</f>
        <v/>
      </c>
      <c r="Q666">
        <f>IF($AG666="","",INDEX('TMP Paste'!$J$2:$J$1601,$AG666))</f>
        <v/>
      </c>
      <c r="R666">
        <f>IF($AG666="","",Config!$B$24)</f>
        <v/>
      </c>
      <c r="S666">
        <f>IF($AG666="","",TEXT(Config!$B$4,"yyyy-mm-dd"))</f>
        <v/>
      </c>
      <c r="T666">
        <f>IF($AG666="","",Config!$B$17)</f>
        <v/>
      </c>
      <c r="U666">
        <f>IF($AG666="","",Config!$B$18)</f>
        <v/>
      </c>
      <c r="V666">
        <f>IF($AG666="","",Config!$B$19)</f>
        <v/>
      </c>
      <c r="W666">
        <f>IF($AG666="","",INDEX('TMP Paste'!$C$2:$C$1601,$AG666))</f>
        <v/>
      </c>
      <c r="X666">
        <f>IF($AG666="","",Config!$B$29)</f>
        <v/>
      </c>
      <c r="Y666">
        <f>IF($AH666="","",INDEX(Calc!$I$2:$I$1601,$AH666)&amp;" - "&amp;INDEX(Calc!$D$2:$D$1601,$AH666)&amp;" koli")</f>
        <v/>
      </c>
      <c r="Z666">
        <f>IF($AG666="","",Config!$B$21)</f>
        <v/>
      </c>
      <c r="AA666">
        <f>IF($AG666="","",Config!$B$22)</f>
        <v/>
      </c>
      <c r="AB666">
        <f>IF($AH666="","",INDEX(Calc!$D$2:$D$1601,$AH666))</f>
        <v/>
      </c>
      <c r="AC666">
        <f>IF($AH666="","",INDEX(Calc!$G$2:$G$1601,$AH666))</f>
        <v/>
      </c>
      <c r="AD666">
        <f>IF($AG666="","",Config!$B$23)</f>
        <v/>
      </c>
      <c r="AE666">
        <f>IF($AG666="","",Config!$B$28)</f>
        <v/>
      </c>
      <c r="AG666">
        <f>IFERROR(MATCH(ROW()-1,Calc!$J$2:$J$1601,0),"")</f>
        <v/>
      </c>
      <c r="AH666">
        <f>IFERROR(MATCH(ROW()-1,Calc!$K$2:$K$1601,0),"")</f>
        <v/>
      </c>
      <c r="AI666">
        <f>IF($AG666="","",SUMIF($AG$2:$AG666,$AG666,$AH$2:$AH666))</f>
        <v/>
      </c>
      <c r="AJ666">
        <f>IF('TMP Paste'!$F666="","",IF('TMP Paste'!$B666="",$AJ665,'TMP Paste'!$B666))</f>
        <v/>
      </c>
      <c r="AK666">
        <f>IF('TMP Paste'!$F666="","",N('TMP Paste'!$G666))</f>
        <v/>
      </c>
      <c r="AL666">
        <f>IF('TMP Paste'!$F666="","",IF('TMP Paste'!$M666="",$AL665,'TMP Paste'!$M666))</f>
        <v/>
      </c>
      <c r="AM666">
        <f>IF('TMP Paste'!$F666="","",IF('TMP Paste'!$N666="",$AM665,'TMP Paste'!$N666))</f>
        <v/>
      </c>
      <c r="AN666">
        <f>IF('TMP Paste'!$F666="","",IF('TMP Paste'!$O666="",$AN665,'TMP Paste'!$O666))</f>
        <v/>
      </c>
      <c r="AO666">
        <f>IF('TMP Paste'!$F666="","",IF('TMP Paste'!$P666="",$AO665,'TMP Paste'!$P666))</f>
        <v/>
      </c>
      <c r="AP666">
        <f>IF($AG666="","",LEN($R666))</f>
        <v/>
      </c>
      <c r="AQ666">
        <f>IF($AG666="","",TRIM(IF(COUNTIFS(Calc!$B$2:$B$1601,ROW()-1,Calc!$C$2:$C$1601,"&lt;1")&gt;0,"Ada PO tanpa Koli - cek TMP. ","")&amp;IF(LEN($R666)&gt;500,"R &gt; 500 karakter.","")))</f>
        <v/>
      </c>
    </row>
    <row r="667">
      <c r="A667">
        <f>IF($AG667="","",INDEX('TMP Paste'!$B$2:$B$1601,$AG667))</f>
        <v/>
      </c>
      <c r="B667">
        <f>IF($AG667="","",Config!$B$14)</f>
        <v/>
      </c>
      <c r="C667">
        <f>IF($AG667="","",Config!$B$15)</f>
        <v/>
      </c>
      <c r="D667">
        <f>IF($AG667="","",INDEX('TMP Paste'!$B$2:$B$1601,$AG667))</f>
        <v/>
      </c>
      <c r="E667">
        <f>IF($AG667="","",Config!$B$27)</f>
        <v/>
      </c>
      <c r="F667">
        <f>IF($AG667="","",Config!$B$9)</f>
        <v/>
      </c>
      <c r="G667">
        <f>IF($AG667="","",Config!$B$10)</f>
        <v/>
      </c>
      <c r="H667">
        <f>IF($AG667="","",Config!$B$11)</f>
        <v/>
      </c>
      <c r="I667">
        <f>IF($AG667="","",Config!$B$16)</f>
        <v/>
      </c>
      <c r="J667">
        <f>IF($AG667="","",INDEX('TMP Paste'!$A$2:$A$1601,$AG667))</f>
        <v/>
      </c>
      <c r="K667">
        <f>IF($AG667="","",INDEX('TMP Paste'!$L$2:$L$1601,$AG667))</f>
        <v/>
      </c>
      <c r="L667">
        <f>IF($AG667="","",INDEX('TMP Paste'!$I$2:$I$1601,$AG667))</f>
        <v/>
      </c>
      <c r="M667">
        <f>IF($AG667="","",Config!$B$16)</f>
        <v/>
      </c>
      <c r="N667">
        <f>IF($AG667="","","")</f>
        <v/>
      </c>
      <c r="O667">
        <f>IF($AG667="","",INDEX('TMP Paste'!$K$2:$K$1601,$AG667))</f>
        <v/>
      </c>
      <c r="P667">
        <f>IF($AG667="","","")</f>
        <v/>
      </c>
      <c r="Q667">
        <f>IF($AG667="","",INDEX('TMP Paste'!$J$2:$J$1601,$AG667))</f>
        <v/>
      </c>
      <c r="R667">
        <f>IF($AG667="","",Config!$B$24)</f>
        <v/>
      </c>
      <c r="S667">
        <f>IF($AG667="","",TEXT(Config!$B$4,"yyyy-mm-dd"))</f>
        <v/>
      </c>
      <c r="T667">
        <f>IF($AG667="","",Config!$B$17)</f>
        <v/>
      </c>
      <c r="U667">
        <f>IF($AG667="","",Config!$B$18)</f>
        <v/>
      </c>
      <c r="V667">
        <f>IF($AG667="","",Config!$B$19)</f>
        <v/>
      </c>
      <c r="W667">
        <f>IF($AG667="","",INDEX('TMP Paste'!$C$2:$C$1601,$AG667))</f>
        <v/>
      </c>
      <c r="X667">
        <f>IF($AG667="","",Config!$B$29)</f>
        <v/>
      </c>
      <c r="Y667">
        <f>IF($AH667="","",INDEX(Calc!$I$2:$I$1601,$AH667)&amp;" - "&amp;INDEX(Calc!$D$2:$D$1601,$AH667)&amp;" koli")</f>
        <v/>
      </c>
      <c r="Z667">
        <f>IF($AG667="","",Config!$B$21)</f>
        <v/>
      </c>
      <c r="AA667">
        <f>IF($AG667="","",Config!$B$22)</f>
        <v/>
      </c>
      <c r="AB667">
        <f>IF($AH667="","",INDEX(Calc!$D$2:$D$1601,$AH667))</f>
        <v/>
      </c>
      <c r="AC667">
        <f>IF($AH667="","",INDEX(Calc!$G$2:$G$1601,$AH667))</f>
        <v/>
      </c>
      <c r="AD667">
        <f>IF($AG667="","",Config!$B$23)</f>
        <v/>
      </c>
      <c r="AE667">
        <f>IF($AG667="","",Config!$B$28)</f>
        <v/>
      </c>
      <c r="AG667">
        <f>IFERROR(MATCH(ROW()-1,Calc!$J$2:$J$1601,0),"")</f>
        <v/>
      </c>
      <c r="AH667">
        <f>IFERROR(MATCH(ROW()-1,Calc!$K$2:$K$1601,0),"")</f>
        <v/>
      </c>
      <c r="AI667">
        <f>IF($AG667="","",SUMIF($AG$2:$AG667,$AG667,$AH$2:$AH667))</f>
        <v/>
      </c>
      <c r="AJ667">
        <f>IF('TMP Paste'!$F667="","",IF('TMP Paste'!$B667="",$AJ666,'TMP Paste'!$B667))</f>
        <v/>
      </c>
      <c r="AK667">
        <f>IF('TMP Paste'!$F667="","",N('TMP Paste'!$G667))</f>
        <v/>
      </c>
      <c r="AL667">
        <f>IF('TMP Paste'!$F667="","",IF('TMP Paste'!$M667="",$AL666,'TMP Paste'!$M667))</f>
        <v/>
      </c>
      <c r="AM667">
        <f>IF('TMP Paste'!$F667="","",IF('TMP Paste'!$N667="",$AM666,'TMP Paste'!$N667))</f>
        <v/>
      </c>
      <c r="AN667">
        <f>IF('TMP Paste'!$F667="","",IF('TMP Paste'!$O667="",$AN666,'TMP Paste'!$O667))</f>
        <v/>
      </c>
      <c r="AO667">
        <f>IF('TMP Paste'!$F667="","",IF('TMP Paste'!$P667="",$AO666,'TMP Paste'!$P667))</f>
        <v/>
      </c>
      <c r="AP667">
        <f>IF($AG667="","",LEN($R667))</f>
        <v/>
      </c>
      <c r="AQ667">
        <f>IF($AG667="","",TRIM(IF(COUNTIFS(Calc!$B$2:$B$1601,ROW()-1,Calc!$C$2:$C$1601,"&lt;1")&gt;0,"Ada PO tanpa Koli - cek TMP. ","")&amp;IF(LEN($R667)&gt;500,"R &gt; 500 karakter.","")))</f>
        <v/>
      </c>
    </row>
    <row r="668">
      <c r="A668">
        <f>IF($AG668="","",INDEX('TMP Paste'!$B$2:$B$1601,$AG668))</f>
        <v/>
      </c>
      <c r="B668">
        <f>IF($AG668="","",Config!$B$14)</f>
        <v/>
      </c>
      <c r="C668">
        <f>IF($AG668="","",Config!$B$15)</f>
        <v/>
      </c>
      <c r="D668">
        <f>IF($AG668="","",INDEX('TMP Paste'!$B$2:$B$1601,$AG668))</f>
        <v/>
      </c>
      <c r="E668">
        <f>IF($AG668="","",Config!$B$27)</f>
        <v/>
      </c>
      <c r="F668">
        <f>IF($AG668="","",Config!$B$9)</f>
        <v/>
      </c>
      <c r="G668">
        <f>IF($AG668="","",Config!$B$10)</f>
        <v/>
      </c>
      <c r="H668">
        <f>IF($AG668="","",Config!$B$11)</f>
        <v/>
      </c>
      <c r="I668">
        <f>IF($AG668="","",Config!$B$16)</f>
        <v/>
      </c>
      <c r="J668">
        <f>IF($AG668="","",INDEX('TMP Paste'!$A$2:$A$1601,$AG668))</f>
        <v/>
      </c>
      <c r="K668">
        <f>IF($AG668="","",INDEX('TMP Paste'!$L$2:$L$1601,$AG668))</f>
        <v/>
      </c>
      <c r="L668">
        <f>IF($AG668="","",INDEX('TMP Paste'!$I$2:$I$1601,$AG668))</f>
        <v/>
      </c>
      <c r="M668">
        <f>IF($AG668="","",Config!$B$16)</f>
        <v/>
      </c>
      <c r="N668">
        <f>IF($AG668="","","")</f>
        <v/>
      </c>
      <c r="O668">
        <f>IF($AG668="","",INDEX('TMP Paste'!$K$2:$K$1601,$AG668))</f>
        <v/>
      </c>
      <c r="P668">
        <f>IF($AG668="","","")</f>
        <v/>
      </c>
      <c r="Q668">
        <f>IF($AG668="","",INDEX('TMP Paste'!$J$2:$J$1601,$AG668))</f>
        <v/>
      </c>
      <c r="R668">
        <f>IF($AG668="","",Config!$B$24)</f>
        <v/>
      </c>
      <c r="S668">
        <f>IF($AG668="","",TEXT(Config!$B$4,"yyyy-mm-dd"))</f>
        <v/>
      </c>
      <c r="T668">
        <f>IF($AG668="","",Config!$B$17)</f>
        <v/>
      </c>
      <c r="U668">
        <f>IF($AG668="","",Config!$B$18)</f>
        <v/>
      </c>
      <c r="V668">
        <f>IF($AG668="","",Config!$B$19)</f>
        <v/>
      </c>
      <c r="W668">
        <f>IF($AG668="","",INDEX('TMP Paste'!$C$2:$C$1601,$AG668))</f>
        <v/>
      </c>
      <c r="X668">
        <f>IF($AG668="","",Config!$B$29)</f>
        <v/>
      </c>
      <c r="Y668">
        <f>IF($AH668="","",INDEX(Calc!$I$2:$I$1601,$AH668)&amp;" - "&amp;INDEX(Calc!$D$2:$D$1601,$AH668)&amp;" koli")</f>
        <v/>
      </c>
      <c r="Z668">
        <f>IF($AG668="","",Config!$B$21)</f>
        <v/>
      </c>
      <c r="AA668">
        <f>IF($AG668="","",Config!$B$22)</f>
        <v/>
      </c>
      <c r="AB668">
        <f>IF($AH668="","",INDEX(Calc!$D$2:$D$1601,$AH668))</f>
        <v/>
      </c>
      <c r="AC668">
        <f>IF($AH668="","",INDEX(Calc!$G$2:$G$1601,$AH668))</f>
        <v/>
      </c>
      <c r="AD668">
        <f>IF($AG668="","",Config!$B$23)</f>
        <v/>
      </c>
      <c r="AE668">
        <f>IF($AG668="","",Config!$B$28)</f>
        <v/>
      </c>
      <c r="AG668">
        <f>IFERROR(MATCH(ROW()-1,Calc!$J$2:$J$1601,0),"")</f>
        <v/>
      </c>
      <c r="AH668">
        <f>IFERROR(MATCH(ROW()-1,Calc!$K$2:$K$1601,0),"")</f>
        <v/>
      </c>
      <c r="AI668">
        <f>IF($AG668="","",SUMIF($AG$2:$AG668,$AG668,$AH$2:$AH668))</f>
        <v/>
      </c>
      <c r="AJ668">
        <f>IF('TMP Paste'!$F668="","",IF('TMP Paste'!$B668="",$AJ667,'TMP Paste'!$B668))</f>
        <v/>
      </c>
      <c r="AK668">
        <f>IF('TMP Paste'!$F668="","",N('TMP Paste'!$G668))</f>
        <v/>
      </c>
      <c r="AL668">
        <f>IF('TMP Paste'!$F668="","",IF('TMP Paste'!$M668="",$AL667,'TMP Paste'!$M668))</f>
        <v/>
      </c>
      <c r="AM668">
        <f>IF('TMP Paste'!$F668="","",IF('TMP Paste'!$N668="",$AM667,'TMP Paste'!$N668))</f>
        <v/>
      </c>
      <c r="AN668">
        <f>IF('TMP Paste'!$F668="","",IF('TMP Paste'!$O668="",$AN667,'TMP Paste'!$O668))</f>
        <v/>
      </c>
      <c r="AO668">
        <f>IF('TMP Paste'!$F668="","",IF('TMP Paste'!$P668="",$AO667,'TMP Paste'!$P668))</f>
        <v/>
      </c>
      <c r="AP668">
        <f>IF($AG668="","",LEN($R668))</f>
        <v/>
      </c>
      <c r="AQ668">
        <f>IF($AG668="","",TRIM(IF(COUNTIFS(Calc!$B$2:$B$1601,ROW()-1,Calc!$C$2:$C$1601,"&lt;1")&gt;0,"Ada PO tanpa Koli - cek TMP. ","")&amp;IF(LEN($R668)&gt;500,"R &gt; 500 karakter.","")))</f>
        <v/>
      </c>
    </row>
    <row r="669">
      <c r="A669">
        <f>IF($AG669="","",INDEX('TMP Paste'!$B$2:$B$1601,$AG669))</f>
        <v/>
      </c>
      <c r="B669">
        <f>IF($AG669="","",Config!$B$14)</f>
        <v/>
      </c>
      <c r="C669">
        <f>IF($AG669="","",Config!$B$15)</f>
        <v/>
      </c>
      <c r="D669">
        <f>IF($AG669="","",INDEX('TMP Paste'!$B$2:$B$1601,$AG669))</f>
        <v/>
      </c>
      <c r="E669">
        <f>IF($AG669="","",Config!$B$27)</f>
        <v/>
      </c>
      <c r="F669">
        <f>IF($AG669="","",Config!$B$9)</f>
        <v/>
      </c>
      <c r="G669">
        <f>IF($AG669="","",Config!$B$10)</f>
        <v/>
      </c>
      <c r="H669">
        <f>IF($AG669="","",Config!$B$11)</f>
        <v/>
      </c>
      <c r="I669">
        <f>IF($AG669="","",Config!$B$16)</f>
        <v/>
      </c>
      <c r="J669">
        <f>IF($AG669="","",INDEX('TMP Paste'!$A$2:$A$1601,$AG669))</f>
        <v/>
      </c>
      <c r="K669">
        <f>IF($AG669="","",INDEX('TMP Paste'!$L$2:$L$1601,$AG669))</f>
        <v/>
      </c>
      <c r="L669">
        <f>IF($AG669="","",INDEX('TMP Paste'!$I$2:$I$1601,$AG669))</f>
        <v/>
      </c>
      <c r="M669">
        <f>IF($AG669="","",Config!$B$16)</f>
        <v/>
      </c>
      <c r="N669">
        <f>IF($AG669="","","")</f>
        <v/>
      </c>
      <c r="O669">
        <f>IF($AG669="","",INDEX('TMP Paste'!$K$2:$K$1601,$AG669))</f>
        <v/>
      </c>
      <c r="P669">
        <f>IF($AG669="","","")</f>
        <v/>
      </c>
      <c r="Q669">
        <f>IF($AG669="","",INDEX('TMP Paste'!$J$2:$J$1601,$AG669))</f>
        <v/>
      </c>
      <c r="R669">
        <f>IF($AG669="","",Config!$B$24)</f>
        <v/>
      </c>
      <c r="S669">
        <f>IF($AG669="","",TEXT(Config!$B$4,"yyyy-mm-dd"))</f>
        <v/>
      </c>
      <c r="T669">
        <f>IF($AG669="","",Config!$B$17)</f>
        <v/>
      </c>
      <c r="U669">
        <f>IF($AG669="","",Config!$B$18)</f>
        <v/>
      </c>
      <c r="V669">
        <f>IF($AG669="","",Config!$B$19)</f>
        <v/>
      </c>
      <c r="W669">
        <f>IF($AG669="","",INDEX('TMP Paste'!$C$2:$C$1601,$AG669))</f>
        <v/>
      </c>
      <c r="X669">
        <f>IF($AG669="","",Config!$B$29)</f>
        <v/>
      </c>
      <c r="Y669">
        <f>IF($AH669="","",INDEX(Calc!$I$2:$I$1601,$AH669)&amp;" - "&amp;INDEX(Calc!$D$2:$D$1601,$AH669)&amp;" koli")</f>
        <v/>
      </c>
      <c r="Z669">
        <f>IF($AG669="","",Config!$B$21)</f>
        <v/>
      </c>
      <c r="AA669">
        <f>IF($AG669="","",Config!$B$22)</f>
        <v/>
      </c>
      <c r="AB669">
        <f>IF($AH669="","",INDEX(Calc!$D$2:$D$1601,$AH669))</f>
        <v/>
      </c>
      <c r="AC669">
        <f>IF($AH669="","",INDEX(Calc!$G$2:$G$1601,$AH669))</f>
        <v/>
      </c>
      <c r="AD669">
        <f>IF($AG669="","",Config!$B$23)</f>
        <v/>
      </c>
      <c r="AE669">
        <f>IF($AG669="","",Config!$B$28)</f>
        <v/>
      </c>
      <c r="AG669">
        <f>IFERROR(MATCH(ROW()-1,Calc!$J$2:$J$1601,0),"")</f>
        <v/>
      </c>
      <c r="AH669">
        <f>IFERROR(MATCH(ROW()-1,Calc!$K$2:$K$1601,0),"")</f>
        <v/>
      </c>
      <c r="AI669">
        <f>IF($AG669="","",SUMIF($AG$2:$AG669,$AG669,$AH$2:$AH669))</f>
        <v/>
      </c>
      <c r="AJ669">
        <f>IF('TMP Paste'!$F669="","",IF('TMP Paste'!$B669="",$AJ668,'TMP Paste'!$B669))</f>
        <v/>
      </c>
      <c r="AK669">
        <f>IF('TMP Paste'!$F669="","",N('TMP Paste'!$G669))</f>
        <v/>
      </c>
      <c r="AL669">
        <f>IF('TMP Paste'!$F669="","",IF('TMP Paste'!$M669="",$AL668,'TMP Paste'!$M669))</f>
        <v/>
      </c>
      <c r="AM669">
        <f>IF('TMP Paste'!$F669="","",IF('TMP Paste'!$N669="",$AM668,'TMP Paste'!$N669))</f>
        <v/>
      </c>
      <c r="AN669">
        <f>IF('TMP Paste'!$F669="","",IF('TMP Paste'!$O669="",$AN668,'TMP Paste'!$O669))</f>
        <v/>
      </c>
      <c r="AO669">
        <f>IF('TMP Paste'!$F669="","",IF('TMP Paste'!$P669="",$AO668,'TMP Paste'!$P669))</f>
        <v/>
      </c>
      <c r="AP669">
        <f>IF($AG669="","",LEN($R669))</f>
        <v/>
      </c>
      <c r="AQ669">
        <f>IF($AG669="","",TRIM(IF(COUNTIFS(Calc!$B$2:$B$1601,ROW()-1,Calc!$C$2:$C$1601,"&lt;1")&gt;0,"Ada PO tanpa Koli - cek TMP. ","")&amp;IF(LEN($R669)&gt;500,"R &gt; 500 karakter.","")))</f>
        <v/>
      </c>
    </row>
    <row r="670">
      <c r="A670">
        <f>IF($AG670="","",INDEX('TMP Paste'!$B$2:$B$1601,$AG670))</f>
        <v/>
      </c>
      <c r="B670">
        <f>IF($AG670="","",Config!$B$14)</f>
        <v/>
      </c>
      <c r="C670">
        <f>IF($AG670="","",Config!$B$15)</f>
        <v/>
      </c>
      <c r="D670">
        <f>IF($AG670="","",INDEX('TMP Paste'!$B$2:$B$1601,$AG670))</f>
        <v/>
      </c>
      <c r="E670">
        <f>IF($AG670="","",Config!$B$27)</f>
        <v/>
      </c>
      <c r="F670">
        <f>IF($AG670="","",Config!$B$9)</f>
        <v/>
      </c>
      <c r="G670">
        <f>IF($AG670="","",Config!$B$10)</f>
        <v/>
      </c>
      <c r="H670">
        <f>IF($AG670="","",Config!$B$11)</f>
        <v/>
      </c>
      <c r="I670">
        <f>IF($AG670="","",Config!$B$16)</f>
        <v/>
      </c>
      <c r="J670">
        <f>IF($AG670="","",INDEX('TMP Paste'!$A$2:$A$1601,$AG670))</f>
        <v/>
      </c>
      <c r="K670">
        <f>IF($AG670="","",INDEX('TMP Paste'!$L$2:$L$1601,$AG670))</f>
        <v/>
      </c>
      <c r="L670">
        <f>IF($AG670="","",INDEX('TMP Paste'!$I$2:$I$1601,$AG670))</f>
        <v/>
      </c>
      <c r="M670">
        <f>IF($AG670="","",Config!$B$16)</f>
        <v/>
      </c>
      <c r="N670">
        <f>IF($AG670="","","")</f>
        <v/>
      </c>
      <c r="O670">
        <f>IF($AG670="","",INDEX('TMP Paste'!$K$2:$K$1601,$AG670))</f>
        <v/>
      </c>
      <c r="P670">
        <f>IF($AG670="","","")</f>
        <v/>
      </c>
      <c r="Q670">
        <f>IF($AG670="","",INDEX('TMP Paste'!$J$2:$J$1601,$AG670))</f>
        <v/>
      </c>
      <c r="R670">
        <f>IF($AG670="","",Config!$B$24)</f>
        <v/>
      </c>
      <c r="S670">
        <f>IF($AG670="","",TEXT(Config!$B$4,"yyyy-mm-dd"))</f>
        <v/>
      </c>
      <c r="T670">
        <f>IF($AG670="","",Config!$B$17)</f>
        <v/>
      </c>
      <c r="U670">
        <f>IF($AG670="","",Config!$B$18)</f>
        <v/>
      </c>
      <c r="V670">
        <f>IF($AG670="","",Config!$B$19)</f>
        <v/>
      </c>
      <c r="W670">
        <f>IF($AG670="","",INDEX('TMP Paste'!$C$2:$C$1601,$AG670))</f>
        <v/>
      </c>
      <c r="X670">
        <f>IF($AG670="","",Config!$B$29)</f>
        <v/>
      </c>
      <c r="Y670">
        <f>IF($AH670="","",INDEX(Calc!$I$2:$I$1601,$AH670)&amp;" - "&amp;INDEX(Calc!$D$2:$D$1601,$AH670)&amp;" koli")</f>
        <v/>
      </c>
      <c r="Z670">
        <f>IF($AG670="","",Config!$B$21)</f>
        <v/>
      </c>
      <c r="AA670">
        <f>IF($AG670="","",Config!$B$22)</f>
        <v/>
      </c>
      <c r="AB670">
        <f>IF($AH670="","",INDEX(Calc!$D$2:$D$1601,$AH670))</f>
        <v/>
      </c>
      <c r="AC670">
        <f>IF($AH670="","",INDEX(Calc!$G$2:$G$1601,$AH670))</f>
        <v/>
      </c>
      <c r="AD670">
        <f>IF($AG670="","",Config!$B$23)</f>
        <v/>
      </c>
      <c r="AE670">
        <f>IF($AG670="","",Config!$B$28)</f>
        <v/>
      </c>
      <c r="AG670">
        <f>IFERROR(MATCH(ROW()-1,Calc!$J$2:$J$1601,0),"")</f>
        <v/>
      </c>
      <c r="AH670">
        <f>IFERROR(MATCH(ROW()-1,Calc!$K$2:$K$1601,0),"")</f>
        <v/>
      </c>
      <c r="AI670">
        <f>IF($AG670="","",SUMIF($AG$2:$AG670,$AG670,$AH$2:$AH670))</f>
        <v/>
      </c>
      <c r="AJ670">
        <f>IF('TMP Paste'!$F670="","",IF('TMP Paste'!$B670="",$AJ669,'TMP Paste'!$B670))</f>
        <v/>
      </c>
      <c r="AK670">
        <f>IF('TMP Paste'!$F670="","",N('TMP Paste'!$G670))</f>
        <v/>
      </c>
      <c r="AL670">
        <f>IF('TMP Paste'!$F670="","",IF('TMP Paste'!$M670="",$AL669,'TMP Paste'!$M670))</f>
        <v/>
      </c>
      <c r="AM670">
        <f>IF('TMP Paste'!$F670="","",IF('TMP Paste'!$N670="",$AM669,'TMP Paste'!$N670))</f>
        <v/>
      </c>
      <c r="AN670">
        <f>IF('TMP Paste'!$F670="","",IF('TMP Paste'!$O670="",$AN669,'TMP Paste'!$O670))</f>
        <v/>
      </c>
      <c r="AO670">
        <f>IF('TMP Paste'!$F670="","",IF('TMP Paste'!$P670="",$AO669,'TMP Paste'!$P670))</f>
        <v/>
      </c>
      <c r="AP670">
        <f>IF($AG670="","",LEN($R670))</f>
        <v/>
      </c>
      <c r="AQ670">
        <f>IF($AG670="","",TRIM(IF(COUNTIFS(Calc!$B$2:$B$1601,ROW()-1,Calc!$C$2:$C$1601,"&lt;1")&gt;0,"Ada PO tanpa Koli - cek TMP. ","")&amp;IF(LEN($R670)&gt;500,"R &gt; 500 karakter.","")))</f>
        <v/>
      </c>
    </row>
    <row r="671">
      <c r="A671">
        <f>IF($AG671="","",INDEX('TMP Paste'!$B$2:$B$1601,$AG671))</f>
        <v/>
      </c>
      <c r="B671">
        <f>IF($AG671="","",Config!$B$14)</f>
        <v/>
      </c>
      <c r="C671">
        <f>IF($AG671="","",Config!$B$15)</f>
        <v/>
      </c>
      <c r="D671">
        <f>IF($AG671="","",INDEX('TMP Paste'!$B$2:$B$1601,$AG671))</f>
        <v/>
      </c>
      <c r="E671">
        <f>IF($AG671="","",Config!$B$27)</f>
        <v/>
      </c>
      <c r="F671">
        <f>IF($AG671="","",Config!$B$9)</f>
        <v/>
      </c>
      <c r="G671">
        <f>IF($AG671="","",Config!$B$10)</f>
        <v/>
      </c>
      <c r="H671">
        <f>IF($AG671="","",Config!$B$11)</f>
        <v/>
      </c>
      <c r="I671">
        <f>IF($AG671="","",Config!$B$16)</f>
        <v/>
      </c>
      <c r="J671">
        <f>IF($AG671="","",INDEX('TMP Paste'!$A$2:$A$1601,$AG671))</f>
        <v/>
      </c>
      <c r="K671">
        <f>IF($AG671="","",INDEX('TMP Paste'!$L$2:$L$1601,$AG671))</f>
        <v/>
      </c>
      <c r="L671">
        <f>IF($AG671="","",INDEX('TMP Paste'!$I$2:$I$1601,$AG671))</f>
        <v/>
      </c>
      <c r="M671">
        <f>IF($AG671="","",Config!$B$16)</f>
        <v/>
      </c>
      <c r="N671">
        <f>IF($AG671="","","")</f>
        <v/>
      </c>
      <c r="O671">
        <f>IF($AG671="","",INDEX('TMP Paste'!$K$2:$K$1601,$AG671))</f>
        <v/>
      </c>
      <c r="P671">
        <f>IF($AG671="","","")</f>
        <v/>
      </c>
      <c r="Q671">
        <f>IF($AG671="","",INDEX('TMP Paste'!$J$2:$J$1601,$AG671))</f>
        <v/>
      </c>
      <c r="R671">
        <f>IF($AG671="","",Config!$B$24)</f>
        <v/>
      </c>
      <c r="S671">
        <f>IF($AG671="","",TEXT(Config!$B$4,"yyyy-mm-dd"))</f>
        <v/>
      </c>
      <c r="T671">
        <f>IF($AG671="","",Config!$B$17)</f>
        <v/>
      </c>
      <c r="U671">
        <f>IF($AG671="","",Config!$B$18)</f>
        <v/>
      </c>
      <c r="V671">
        <f>IF($AG671="","",Config!$B$19)</f>
        <v/>
      </c>
      <c r="W671">
        <f>IF($AG671="","",INDEX('TMP Paste'!$C$2:$C$1601,$AG671))</f>
        <v/>
      </c>
      <c r="X671">
        <f>IF($AG671="","",Config!$B$29)</f>
        <v/>
      </c>
      <c r="Y671">
        <f>IF($AH671="","",INDEX(Calc!$I$2:$I$1601,$AH671)&amp;" - "&amp;INDEX(Calc!$D$2:$D$1601,$AH671)&amp;" koli")</f>
        <v/>
      </c>
      <c r="Z671">
        <f>IF($AG671="","",Config!$B$21)</f>
        <v/>
      </c>
      <c r="AA671">
        <f>IF($AG671="","",Config!$B$22)</f>
        <v/>
      </c>
      <c r="AB671">
        <f>IF($AH671="","",INDEX(Calc!$D$2:$D$1601,$AH671))</f>
        <v/>
      </c>
      <c r="AC671">
        <f>IF($AH671="","",INDEX(Calc!$G$2:$G$1601,$AH671))</f>
        <v/>
      </c>
      <c r="AD671">
        <f>IF($AG671="","",Config!$B$23)</f>
        <v/>
      </c>
      <c r="AE671">
        <f>IF($AG671="","",Config!$B$28)</f>
        <v/>
      </c>
      <c r="AG671">
        <f>IFERROR(MATCH(ROW()-1,Calc!$J$2:$J$1601,0),"")</f>
        <v/>
      </c>
      <c r="AH671">
        <f>IFERROR(MATCH(ROW()-1,Calc!$K$2:$K$1601,0),"")</f>
        <v/>
      </c>
      <c r="AI671">
        <f>IF($AG671="","",SUMIF($AG$2:$AG671,$AG671,$AH$2:$AH671))</f>
        <v/>
      </c>
      <c r="AJ671">
        <f>IF('TMP Paste'!$F671="","",IF('TMP Paste'!$B671="",$AJ670,'TMP Paste'!$B671))</f>
        <v/>
      </c>
      <c r="AK671">
        <f>IF('TMP Paste'!$F671="","",N('TMP Paste'!$G671))</f>
        <v/>
      </c>
      <c r="AL671">
        <f>IF('TMP Paste'!$F671="","",IF('TMP Paste'!$M671="",$AL670,'TMP Paste'!$M671))</f>
        <v/>
      </c>
      <c r="AM671">
        <f>IF('TMP Paste'!$F671="","",IF('TMP Paste'!$N671="",$AM670,'TMP Paste'!$N671))</f>
        <v/>
      </c>
      <c r="AN671">
        <f>IF('TMP Paste'!$F671="","",IF('TMP Paste'!$O671="",$AN670,'TMP Paste'!$O671))</f>
        <v/>
      </c>
      <c r="AO671">
        <f>IF('TMP Paste'!$F671="","",IF('TMP Paste'!$P671="",$AO670,'TMP Paste'!$P671))</f>
        <v/>
      </c>
      <c r="AP671">
        <f>IF($AG671="","",LEN($R671))</f>
        <v/>
      </c>
      <c r="AQ671">
        <f>IF($AG671="","",TRIM(IF(COUNTIFS(Calc!$B$2:$B$1601,ROW()-1,Calc!$C$2:$C$1601,"&lt;1")&gt;0,"Ada PO tanpa Koli - cek TMP. ","")&amp;IF(LEN($R671)&gt;500,"R &gt; 500 karakter.","")))</f>
        <v/>
      </c>
    </row>
    <row r="672">
      <c r="A672">
        <f>IF($AG672="","",INDEX('TMP Paste'!$B$2:$B$1601,$AG672))</f>
        <v/>
      </c>
      <c r="B672">
        <f>IF($AG672="","",Config!$B$14)</f>
        <v/>
      </c>
      <c r="C672">
        <f>IF($AG672="","",Config!$B$15)</f>
        <v/>
      </c>
      <c r="D672">
        <f>IF($AG672="","",INDEX('TMP Paste'!$B$2:$B$1601,$AG672))</f>
        <v/>
      </c>
      <c r="E672">
        <f>IF($AG672="","",Config!$B$27)</f>
        <v/>
      </c>
      <c r="F672">
        <f>IF($AG672="","",Config!$B$9)</f>
        <v/>
      </c>
      <c r="G672">
        <f>IF($AG672="","",Config!$B$10)</f>
        <v/>
      </c>
      <c r="H672">
        <f>IF($AG672="","",Config!$B$11)</f>
        <v/>
      </c>
      <c r="I672">
        <f>IF($AG672="","",Config!$B$16)</f>
        <v/>
      </c>
      <c r="J672">
        <f>IF($AG672="","",INDEX('TMP Paste'!$A$2:$A$1601,$AG672))</f>
        <v/>
      </c>
      <c r="K672">
        <f>IF($AG672="","",INDEX('TMP Paste'!$L$2:$L$1601,$AG672))</f>
        <v/>
      </c>
      <c r="L672">
        <f>IF($AG672="","",INDEX('TMP Paste'!$I$2:$I$1601,$AG672))</f>
        <v/>
      </c>
      <c r="M672">
        <f>IF($AG672="","",Config!$B$16)</f>
        <v/>
      </c>
      <c r="N672">
        <f>IF($AG672="","","")</f>
        <v/>
      </c>
      <c r="O672">
        <f>IF($AG672="","",INDEX('TMP Paste'!$K$2:$K$1601,$AG672))</f>
        <v/>
      </c>
      <c r="P672">
        <f>IF($AG672="","","")</f>
        <v/>
      </c>
      <c r="Q672">
        <f>IF($AG672="","",INDEX('TMP Paste'!$J$2:$J$1601,$AG672))</f>
        <v/>
      </c>
      <c r="R672">
        <f>IF($AG672="","",Config!$B$24)</f>
        <v/>
      </c>
      <c r="S672">
        <f>IF($AG672="","",TEXT(Config!$B$4,"yyyy-mm-dd"))</f>
        <v/>
      </c>
      <c r="T672">
        <f>IF($AG672="","",Config!$B$17)</f>
        <v/>
      </c>
      <c r="U672">
        <f>IF($AG672="","",Config!$B$18)</f>
        <v/>
      </c>
      <c r="V672">
        <f>IF($AG672="","",Config!$B$19)</f>
        <v/>
      </c>
      <c r="W672">
        <f>IF($AG672="","",INDEX('TMP Paste'!$C$2:$C$1601,$AG672))</f>
        <v/>
      </c>
      <c r="X672">
        <f>IF($AG672="","",Config!$B$29)</f>
        <v/>
      </c>
      <c r="Y672">
        <f>IF($AH672="","",INDEX(Calc!$I$2:$I$1601,$AH672)&amp;" - "&amp;INDEX(Calc!$D$2:$D$1601,$AH672)&amp;" koli")</f>
        <v/>
      </c>
      <c r="Z672">
        <f>IF($AG672="","",Config!$B$21)</f>
        <v/>
      </c>
      <c r="AA672">
        <f>IF($AG672="","",Config!$B$22)</f>
        <v/>
      </c>
      <c r="AB672">
        <f>IF($AH672="","",INDEX(Calc!$D$2:$D$1601,$AH672))</f>
        <v/>
      </c>
      <c r="AC672">
        <f>IF($AH672="","",INDEX(Calc!$G$2:$G$1601,$AH672))</f>
        <v/>
      </c>
      <c r="AD672">
        <f>IF($AG672="","",Config!$B$23)</f>
        <v/>
      </c>
      <c r="AE672">
        <f>IF($AG672="","",Config!$B$28)</f>
        <v/>
      </c>
      <c r="AG672">
        <f>IFERROR(MATCH(ROW()-1,Calc!$J$2:$J$1601,0),"")</f>
        <v/>
      </c>
      <c r="AH672">
        <f>IFERROR(MATCH(ROW()-1,Calc!$K$2:$K$1601,0),"")</f>
        <v/>
      </c>
      <c r="AI672">
        <f>IF($AG672="","",SUMIF($AG$2:$AG672,$AG672,$AH$2:$AH672))</f>
        <v/>
      </c>
      <c r="AJ672">
        <f>IF('TMP Paste'!$F672="","",IF('TMP Paste'!$B672="",$AJ671,'TMP Paste'!$B672))</f>
        <v/>
      </c>
      <c r="AK672">
        <f>IF('TMP Paste'!$F672="","",N('TMP Paste'!$G672))</f>
        <v/>
      </c>
      <c r="AL672">
        <f>IF('TMP Paste'!$F672="","",IF('TMP Paste'!$M672="",$AL671,'TMP Paste'!$M672))</f>
        <v/>
      </c>
      <c r="AM672">
        <f>IF('TMP Paste'!$F672="","",IF('TMP Paste'!$N672="",$AM671,'TMP Paste'!$N672))</f>
        <v/>
      </c>
      <c r="AN672">
        <f>IF('TMP Paste'!$F672="","",IF('TMP Paste'!$O672="",$AN671,'TMP Paste'!$O672))</f>
        <v/>
      </c>
      <c r="AO672">
        <f>IF('TMP Paste'!$F672="","",IF('TMP Paste'!$P672="",$AO671,'TMP Paste'!$P672))</f>
        <v/>
      </c>
      <c r="AP672">
        <f>IF($AG672="","",LEN($R672))</f>
        <v/>
      </c>
      <c r="AQ672">
        <f>IF($AG672="","",TRIM(IF(COUNTIFS(Calc!$B$2:$B$1601,ROW()-1,Calc!$C$2:$C$1601,"&lt;1")&gt;0,"Ada PO tanpa Koli - cek TMP. ","")&amp;IF(LEN($R672)&gt;500,"R &gt; 500 karakter.","")))</f>
        <v/>
      </c>
    </row>
    <row r="673">
      <c r="A673">
        <f>IF($AG673="","",INDEX('TMP Paste'!$B$2:$B$1601,$AG673))</f>
        <v/>
      </c>
      <c r="B673">
        <f>IF($AG673="","",Config!$B$14)</f>
        <v/>
      </c>
      <c r="C673">
        <f>IF($AG673="","",Config!$B$15)</f>
        <v/>
      </c>
      <c r="D673">
        <f>IF($AG673="","",INDEX('TMP Paste'!$B$2:$B$1601,$AG673))</f>
        <v/>
      </c>
      <c r="E673">
        <f>IF($AG673="","",Config!$B$27)</f>
        <v/>
      </c>
      <c r="F673">
        <f>IF($AG673="","",Config!$B$9)</f>
        <v/>
      </c>
      <c r="G673">
        <f>IF($AG673="","",Config!$B$10)</f>
        <v/>
      </c>
      <c r="H673">
        <f>IF($AG673="","",Config!$B$11)</f>
        <v/>
      </c>
      <c r="I673">
        <f>IF($AG673="","",Config!$B$16)</f>
        <v/>
      </c>
      <c r="J673">
        <f>IF($AG673="","",INDEX('TMP Paste'!$A$2:$A$1601,$AG673))</f>
        <v/>
      </c>
      <c r="K673">
        <f>IF($AG673="","",INDEX('TMP Paste'!$L$2:$L$1601,$AG673))</f>
        <v/>
      </c>
      <c r="L673">
        <f>IF($AG673="","",INDEX('TMP Paste'!$I$2:$I$1601,$AG673))</f>
        <v/>
      </c>
      <c r="M673">
        <f>IF($AG673="","",Config!$B$16)</f>
        <v/>
      </c>
      <c r="N673">
        <f>IF($AG673="","","")</f>
        <v/>
      </c>
      <c r="O673">
        <f>IF($AG673="","",INDEX('TMP Paste'!$K$2:$K$1601,$AG673))</f>
        <v/>
      </c>
      <c r="P673">
        <f>IF($AG673="","","")</f>
        <v/>
      </c>
      <c r="Q673">
        <f>IF($AG673="","",INDEX('TMP Paste'!$J$2:$J$1601,$AG673))</f>
        <v/>
      </c>
      <c r="R673">
        <f>IF($AG673="","",Config!$B$24)</f>
        <v/>
      </c>
      <c r="S673">
        <f>IF($AG673="","",TEXT(Config!$B$4,"yyyy-mm-dd"))</f>
        <v/>
      </c>
      <c r="T673">
        <f>IF($AG673="","",Config!$B$17)</f>
        <v/>
      </c>
      <c r="U673">
        <f>IF($AG673="","",Config!$B$18)</f>
        <v/>
      </c>
      <c r="V673">
        <f>IF($AG673="","",Config!$B$19)</f>
        <v/>
      </c>
      <c r="W673">
        <f>IF($AG673="","",INDEX('TMP Paste'!$C$2:$C$1601,$AG673))</f>
        <v/>
      </c>
      <c r="X673">
        <f>IF($AG673="","",Config!$B$29)</f>
        <v/>
      </c>
      <c r="Y673">
        <f>IF($AH673="","",INDEX(Calc!$I$2:$I$1601,$AH673)&amp;" - "&amp;INDEX(Calc!$D$2:$D$1601,$AH673)&amp;" koli")</f>
        <v/>
      </c>
      <c r="Z673">
        <f>IF($AG673="","",Config!$B$21)</f>
        <v/>
      </c>
      <c r="AA673">
        <f>IF($AG673="","",Config!$B$22)</f>
        <v/>
      </c>
      <c r="AB673">
        <f>IF($AH673="","",INDEX(Calc!$D$2:$D$1601,$AH673))</f>
        <v/>
      </c>
      <c r="AC673">
        <f>IF($AH673="","",INDEX(Calc!$G$2:$G$1601,$AH673))</f>
        <v/>
      </c>
      <c r="AD673">
        <f>IF($AG673="","",Config!$B$23)</f>
        <v/>
      </c>
      <c r="AE673">
        <f>IF($AG673="","",Config!$B$28)</f>
        <v/>
      </c>
      <c r="AG673">
        <f>IFERROR(MATCH(ROW()-1,Calc!$J$2:$J$1601,0),"")</f>
        <v/>
      </c>
      <c r="AH673">
        <f>IFERROR(MATCH(ROW()-1,Calc!$K$2:$K$1601,0),"")</f>
        <v/>
      </c>
      <c r="AI673">
        <f>IF($AG673="","",SUMIF($AG$2:$AG673,$AG673,$AH$2:$AH673))</f>
        <v/>
      </c>
      <c r="AJ673">
        <f>IF('TMP Paste'!$F673="","",IF('TMP Paste'!$B673="",$AJ672,'TMP Paste'!$B673))</f>
        <v/>
      </c>
      <c r="AK673">
        <f>IF('TMP Paste'!$F673="","",N('TMP Paste'!$G673))</f>
        <v/>
      </c>
      <c r="AL673">
        <f>IF('TMP Paste'!$F673="","",IF('TMP Paste'!$M673="",$AL672,'TMP Paste'!$M673))</f>
        <v/>
      </c>
      <c r="AM673">
        <f>IF('TMP Paste'!$F673="","",IF('TMP Paste'!$N673="",$AM672,'TMP Paste'!$N673))</f>
        <v/>
      </c>
      <c r="AN673">
        <f>IF('TMP Paste'!$F673="","",IF('TMP Paste'!$O673="",$AN672,'TMP Paste'!$O673))</f>
        <v/>
      </c>
      <c r="AO673">
        <f>IF('TMP Paste'!$F673="","",IF('TMP Paste'!$P673="",$AO672,'TMP Paste'!$P673))</f>
        <v/>
      </c>
      <c r="AP673">
        <f>IF($AG673="","",LEN($R673))</f>
        <v/>
      </c>
      <c r="AQ673">
        <f>IF($AG673="","",TRIM(IF(COUNTIFS(Calc!$B$2:$B$1601,ROW()-1,Calc!$C$2:$C$1601,"&lt;1")&gt;0,"Ada PO tanpa Koli - cek TMP. ","")&amp;IF(LEN($R673)&gt;500,"R &gt; 500 karakter.","")))</f>
        <v/>
      </c>
    </row>
    <row r="674">
      <c r="A674">
        <f>IF($AG674="","",INDEX('TMP Paste'!$B$2:$B$1601,$AG674))</f>
        <v/>
      </c>
      <c r="B674">
        <f>IF($AG674="","",Config!$B$14)</f>
        <v/>
      </c>
      <c r="C674">
        <f>IF($AG674="","",Config!$B$15)</f>
        <v/>
      </c>
      <c r="D674">
        <f>IF($AG674="","",INDEX('TMP Paste'!$B$2:$B$1601,$AG674))</f>
        <v/>
      </c>
      <c r="E674">
        <f>IF($AG674="","",Config!$B$27)</f>
        <v/>
      </c>
      <c r="F674">
        <f>IF($AG674="","",Config!$B$9)</f>
        <v/>
      </c>
      <c r="G674">
        <f>IF($AG674="","",Config!$B$10)</f>
        <v/>
      </c>
      <c r="H674">
        <f>IF($AG674="","",Config!$B$11)</f>
        <v/>
      </c>
      <c r="I674">
        <f>IF($AG674="","",Config!$B$16)</f>
        <v/>
      </c>
      <c r="J674">
        <f>IF($AG674="","",INDEX('TMP Paste'!$A$2:$A$1601,$AG674))</f>
        <v/>
      </c>
      <c r="K674">
        <f>IF($AG674="","",INDEX('TMP Paste'!$L$2:$L$1601,$AG674))</f>
        <v/>
      </c>
      <c r="L674">
        <f>IF($AG674="","",INDEX('TMP Paste'!$I$2:$I$1601,$AG674))</f>
        <v/>
      </c>
      <c r="M674">
        <f>IF($AG674="","",Config!$B$16)</f>
        <v/>
      </c>
      <c r="N674">
        <f>IF($AG674="","","")</f>
        <v/>
      </c>
      <c r="O674">
        <f>IF($AG674="","",INDEX('TMP Paste'!$K$2:$K$1601,$AG674))</f>
        <v/>
      </c>
      <c r="P674">
        <f>IF($AG674="","","")</f>
        <v/>
      </c>
      <c r="Q674">
        <f>IF($AG674="","",INDEX('TMP Paste'!$J$2:$J$1601,$AG674))</f>
        <v/>
      </c>
      <c r="R674">
        <f>IF($AG674="","",Config!$B$24)</f>
        <v/>
      </c>
      <c r="S674">
        <f>IF($AG674="","",TEXT(Config!$B$4,"yyyy-mm-dd"))</f>
        <v/>
      </c>
      <c r="T674">
        <f>IF($AG674="","",Config!$B$17)</f>
        <v/>
      </c>
      <c r="U674">
        <f>IF($AG674="","",Config!$B$18)</f>
        <v/>
      </c>
      <c r="V674">
        <f>IF($AG674="","",Config!$B$19)</f>
        <v/>
      </c>
      <c r="W674">
        <f>IF($AG674="","",INDEX('TMP Paste'!$C$2:$C$1601,$AG674))</f>
        <v/>
      </c>
      <c r="X674">
        <f>IF($AG674="","",Config!$B$29)</f>
        <v/>
      </c>
      <c r="Y674">
        <f>IF($AH674="","",INDEX(Calc!$I$2:$I$1601,$AH674)&amp;" - "&amp;INDEX(Calc!$D$2:$D$1601,$AH674)&amp;" koli")</f>
        <v/>
      </c>
      <c r="Z674">
        <f>IF($AG674="","",Config!$B$21)</f>
        <v/>
      </c>
      <c r="AA674">
        <f>IF($AG674="","",Config!$B$22)</f>
        <v/>
      </c>
      <c r="AB674">
        <f>IF($AH674="","",INDEX(Calc!$D$2:$D$1601,$AH674))</f>
        <v/>
      </c>
      <c r="AC674">
        <f>IF($AH674="","",INDEX(Calc!$G$2:$G$1601,$AH674))</f>
        <v/>
      </c>
      <c r="AD674">
        <f>IF($AG674="","",Config!$B$23)</f>
        <v/>
      </c>
      <c r="AE674">
        <f>IF($AG674="","",Config!$B$28)</f>
        <v/>
      </c>
      <c r="AG674">
        <f>IFERROR(MATCH(ROW()-1,Calc!$J$2:$J$1601,0),"")</f>
        <v/>
      </c>
      <c r="AH674">
        <f>IFERROR(MATCH(ROW()-1,Calc!$K$2:$K$1601,0),"")</f>
        <v/>
      </c>
      <c r="AI674">
        <f>IF($AG674="","",SUMIF($AG$2:$AG674,$AG674,$AH$2:$AH674))</f>
        <v/>
      </c>
      <c r="AJ674">
        <f>IF('TMP Paste'!$F674="","",IF('TMP Paste'!$B674="",$AJ673,'TMP Paste'!$B674))</f>
        <v/>
      </c>
      <c r="AK674">
        <f>IF('TMP Paste'!$F674="","",N('TMP Paste'!$G674))</f>
        <v/>
      </c>
      <c r="AL674">
        <f>IF('TMP Paste'!$F674="","",IF('TMP Paste'!$M674="",$AL673,'TMP Paste'!$M674))</f>
        <v/>
      </c>
      <c r="AM674">
        <f>IF('TMP Paste'!$F674="","",IF('TMP Paste'!$N674="",$AM673,'TMP Paste'!$N674))</f>
        <v/>
      </c>
      <c r="AN674">
        <f>IF('TMP Paste'!$F674="","",IF('TMP Paste'!$O674="",$AN673,'TMP Paste'!$O674))</f>
        <v/>
      </c>
      <c r="AO674">
        <f>IF('TMP Paste'!$F674="","",IF('TMP Paste'!$P674="",$AO673,'TMP Paste'!$P674))</f>
        <v/>
      </c>
      <c r="AP674">
        <f>IF($AG674="","",LEN($R674))</f>
        <v/>
      </c>
      <c r="AQ674">
        <f>IF($AG674="","",TRIM(IF(COUNTIFS(Calc!$B$2:$B$1601,ROW()-1,Calc!$C$2:$C$1601,"&lt;1")&gt;0,"Ada PO tanpa Koli - cek TMP. ","")&amp;IF(LEN($R674)&gt;500,"R &gt; 500 karakter.","")))</f>
        <v/>
      </c>
    </row>
    <row r="675">
      <c r="A675">
        <f>IF($AG675="","",INDEX('TMP Paste'!$B$2:$B$1601,$AG675))</f>
        <v/>
      </c>
      <c r="B675">
        <f>IF($AG675="","",Config!$B$14)</f>
        <v/>
      </c>
      <c r="C675">
        <f>IF($AG675="","",Config!$B$15)</f>
        <v/>
      </c>
      <c r="D675">
        <f>IF($AG675="","",INDEX('TMP Paste'!$B$2:$B$1601,$AG675))</f>
        <v/>
      </c>
      <c r="E675">
        <f>IF($AG675="","",Config!$B$27)</f>
        <v/>
      </c>
      <c r="F675">
        <f>IF($AG675="","",Config!$B$9)</f>
        <v/>
      </c>
      <c r="G675">
        <f>IF($AG675="","",Config!$B$10)</f>
        <v/>
      </c>
      <c r="H675">
        <f>IF($AG675="","",Config!$B$11)</f>
        <v/>
      </c>
      <c r="I675">
        <f>IF($AG675="","",Config!$B$16)</f>
        <v/>
      </c>
      <c r="J675">
        <f>IF($AG675="","",INDEX('TMP Paste'!$A$2:$A$1601,$AG675))</f>
        <v/>
      </c>
      <c r="K675">
        <f>IF($AG675="","",INDEX('TMP Paste'!$L$2:$L$1601,$AG675))</f>
        <v/>
      </c>
      <c r="L675">
        <f>IF($AG675="","",INDEX('TMP Paste'!$I$2:$I$1601,$AG675))</f>
        <v/>
      </c>
      <c r="M675">
        <f>IF($AG675="","",Config!$B$16)</f>
        <v/>
      </c>
      <c r="N675">
        <f>IF($AG675="","","")</f>
        <v/>
      </c>
      <c r="O675">
        <f>IF($AG675="","",INDEX('TMP Paste'!$K$2:$K$1601,$AG675))</f>
        <v/>
      </c>
      <c r="P675">
        <f>IF($AG675="","","")</f>
        <v/>
      </c>
      <c r="Q675">
        <f>IF($AG675="","",INDEX('TMP Paste'!$J$2:$J$1601,$AG675))</f>
        <v/>
      </c>
      <c r="R675">
        <f>IF($AG675="","",Config!$B$24)</f>
        <v/>
      </c>
      <c r="S675">
        <f>IF($AG675="","",TEXT(Config!$B$4,"yyyy-mm-dd"))</f>
        <v/>
      </c>
      <c r="T675">
        <f>IF($AG675="","",Config!$B$17)</f>
        <v/>
      </c>
      <c r="U675">
        <f>IF($AG675="","",Config!$B$18)</f>
        <v/>
      </c>
      <c r="V675">
        <f>IF($AG675="","",Config!$B$19)</f>
        <v/>
      </c>
      <c r="W675">
        <f>IF($AG675="","",INDEX('TMP Paste'!$C$2:$C$1601,$AG675))</f>
        <v/>
      </c>
      <c r="X675">
        <f>IF($AG675="","",Config!$B$29)</f>
        <v/>
      </c>
      <c r="Y675">
        <f>IF($AH675="","",INDEX(Calc!$I$2:$I$1601,$AH675)&amp;" - "&amp;INDEX(Calc!$D$2:$D$1601,$AH675)&amp;" koli")</f>
        <v/>
      </c>
      <c r="Z675">
        <f>IF($AG675="","",Config!$B$21)</f>
        <v/>
      </c>
      <c r="AA675">
        <f>IF($AG675="","",Config!$B$22)</f>
        <v/>
      </c>
      <c r="AB675">
        <f>IF($AH675="","",INDEX(Calc!$D$2:$D$1601,$AH675))</f>
        <v/>
      </c>
      <c r="AC675">
        <f>IF($AH675="","",INDEX(Calc!$G$2:$G$1601,$AH675))</f>
        <v/>
      </c>
      <c r="AD675">
        <f>IF($AG675="","",Config!$B$23)</f>
        <v/>
      </c>
      <c r="AE675">
        <f>IF($AG675="","",Config!$B$28)</f>
        <v/>
      </c>
      <c r="AG675">
        <f>IFERROR(MATCH(ROW()-1,Calc!$J$2:$J$1601,0),"")</f>
        <v/>
      </c>
      <c r="AH675">
        <f>IFERROR(MATCH(ROW()-1,Calc!$K$2:$K$1601,0),"")</f>
        <v/>
      </c>
      <c r="AI675">
        <f>IF($AG675="","",SUMIF($AG$2:$AG675,$AG675,$AH$2:$AH675))</f>
        <v/>
      </c>
      <c r="AJ675">
        <f>IF('TMP Paste'!$F675="","",IF('TMP Paste'!$B675="",$AJ674,'TMP Paste'!$B675))</f>
        <v/>
      </c>
      <c r="AK675">
        <f>IF('TMP Paste'!$F675="","",N('TMP Paste'!$G675))</f>
        <v/>
      </c>
      <c r="AL675">
        <f>IF('TMP Paste'!$F675="","",IF('TMP Paste'!$M675="",$AL674,'TMP Paste'!$M675))</f>
        <v/>
      </c>
      <c r="AM675">
        <f>IF('TMP Paste'!$F675="","",IF('TMP Paste'!$N675="",$AM674,'TMP Paste'!$N675))</f>
        <v/>
      </c>
      <c r="AN675">
        <f>IF('TMP Paste'!$F675="","",IF('TMP Paste'!$O675="",$AN674,'TMP Paste'!$O675))</f>
        <v/>
      </c>
      <c r="AO675">
        <f>IF('TMP Paste'!$F675="","",IF('TMP Paste'!$P675="",$AO674,'TMP Paste'!$P675))</f>
        <v/>
      </c>
      <c r="AP675">
        <f>IF($AG675="","",LEN($R675))</f>
        <v/>
      </c>
      <c r="AQ675">
        <f>IF($AG675="","",TRIM(IF(COUNTIFS(Calc!$B$2:$B$1601,ROW()-1,Calc!$C$2:$C$1601,"&lt;1")&gt;0,"Ada PO tanpa Koli - cek TMP. ","")&amp;IF(LEN($R675)&gt;500,"R &gt; 500 karakter.","")))</f>
        <v/>
      </c>
    </row>
    <row r="676">
      <c r="A676">
        <f>IF($AG676="","",INDEX('TMP Paste'!$B$2:$B$1601,$AG676))</f>
        <v/>
      </c>
      <c r="B676">
        <f>IF($AG676="","",Config!$B$14)</f>
        <v/>
      </c>
      <c r="C676">
        <f>IF($AG676="","",Config!$B$15)</f>
        <v/>
      </c>
      <c r="D676">
        <f>IF($AG676="","",INDEX('TMP Paste'!$B$2:$B$1601,$AG676))</f>
        <v/>
      </c>
      <c r="E676">
        <f>IF($AG676="","",Config!$B$27)</f>
        <v/>
      </c>
      <c r="F676">
        <f>IF($AG676="","",Config!$B$9)</f>
        <v/>
      </c>
      <c r="G676">
        <f>IF($AG676="","",Config!$B$10)</f>
        <v/>
      </c>
      <c r="H676">
        <f>IF($AG676="","",Config!$B$11)</f>
        <v/>
      </c>
      <c r="I676">
        <f>IF($AG676="","",Config!$B$16)</f>
        <v/>
      </c>
      <c r="J676">
        <f>IF($AG676="","",INDEX('TMP Paste'!$A$2:$A$1601,$AG676))</f>
        <v/>
      </c>
      <c r="K676">
        <f>IF($AG676="","",INDEX('TMP Paste'!$L$2:$L$1601,$AG676))</f>
        <v/>
      </c>
      <c r="L676">
        <f>IF($AG676="","",INDEX('TMP Paste'!$I$2:$I$1601,$AG676))</f>
        <v/>
      </c>
      <c r="M676">
        <f>IF($AG676="","",Config!$B$16)</f>
        <v/>
      </c>
      <c r="N676">
        <f>IF($AG676="","","")</f>
        <v/>
      </c>
      <c r="O676">
        <f>IF($AG676="","",INDEX('TMP Paste'!$K$2:$K$1601,$AG676))</f>
        <v/>
      </c>
      <c r="P676">
        <f>IF($AG676="","","")</f>
        <v/>
      </c>
      <c r="Q676">
        <f>IF($AG676="","",INDEX('TMP Paste'!$J$2:$J$1601,$AG676))</f>
        <v/>
      </c>
      <c r="R676">
        <f>IF($AG676="","",Config!$B$24)</f>
        <v/>
      </c>
      <c r="S676">
        <f>IF($AG676="","",TEXT(Config!$B$4,"yyyy-mm-dd"))</f>
        <v/>
      </c>
      <c r="T676">
        <f>IF($AG676="","",Config!$B$17)</f>
        <v/>
      </c>
      <c r="U676">
        <f>IF($AG676="","",Config!$B$18)</f>
        <v/>
      </c>
      <c r="V676">
        <f>IF($AG676="","",Config!$B$19)</f>
        <v/>
      </c>
      <c r="W676">
        <f>IF($AG676="","",INDEX('TMP Paste'!$C$2:$C$1601,$AG676))</f>
        <v/>
      </c>
      <c r="X676">
        <f>IF($AG676="","",Config!$B$29)</f>
        <v/>
      </c>
      <c r="Y676">
        <f>IF($AH676="","",INDEX(Calc!$I$2:$I$1601,$AH676)&amp;" - "&amp;INDEX(Calc!$D$2:$D$1601,$AH676)&amp;" koli")</f>
        <v/>
      </c>
      <c r="Z676">
        <f>IF($AG676="","",Config!$B$21)</f>
        <v/>
      </c>
      <c r="AA676">
        <f>IF($AG676="","",Config!$B$22)</f>
        <v/>
      </c>
      <c r="AB676">
        <f>IF($AH676="","",INDEX(Calc!$D$2:$D$1601,$AH676))</f>
        <v/>
      </c>
      <c r="AC676">
        <f>IF($AH676="","",INDEX(Calc!$G$2:$G$1601,$AH676))</f>
        <v/>
      </c>
      <c r="AD676">
        <f>IF($AG676="","",Config!$B$23)</f>
        <v/>
      </c>
      <c r="AE676">
        <f>IF($AG676="","",Config!$B$28)</f>
        <v/>
      </c>
      <c r="AG676">
        <f>IFERROR(MATCH(ROW()-1,Calc!$J$2:$J$1601,0),"")</f>
        <v/>
      </c>
      <c r="AH676">
        <f>IFERROR(MATCH(ROW()-1,Calc!$K$2:$K$1601,0),"")</f>
        <v/>
      </c>
      <c r="AI676">
        <f>IF($AG676="","",SUMIF($AG$2:$AG676,$AG676,$AH$2:$AH676))</f>
        <v/>
      </c>
      <c r="AJ676">
        <f>IF('TMP Paste'!$F676="","",IF('TMP Paste'!$B676="",$AJ675,'TMP Paste'!$B676))</f>
        <v/>
      </c>
      <c r="AK676">
        <f>IF('TMP Paste'!$F676="","",N('TMP Paste'!$G676))</f>
        <v/>
      </c>
      <c r="AL676">
        <f>IF('TMP Paste'!$F676="","",IF('TMP Paste'!$M676="",$AL675,'TMP Paste'!$M676))</f>
        <v/>
      </c>
      <c r="AM676">
        <f>IF('TMP Paste'!$F676="","",IF('TMP Paste'!$N676="",$AM675,'TMP Paste'!$N676))</f>
        <v/>
      </c>
      <c r="AN676">
        <f>IF('TMP Paste'!$F676="","",IF('TMP Paste'!$O676="",$AN675,'TMP Paste'!$O676))</f>
        <v/>
      </c>
      <c r="AO676">
        <f>IF('TMP Paste'!$F676="","",IF('TMP Paste'!$P676="",$AO675,'TMP Paste'!$P676))</f>
        <v/>
      </c>
      <c r="AP676">
        <f>IF($AG676="","",LEN($R676))</f>
        <v/>
      </c>
      <c r="AQ676">
        <f>IF($AG676="","",TRIM(IF(COUNTIFS(Calc!$B$2:$B$1601,ROW()-1,Calc!$C$2:$C$1601,"&lt;1")&gt;0,"Ada PO tanpa Koli - cek TMP. ","")&amp;IF(LEN($R676)&gt;500,"R &gt; 500 karakter.","")))</f>
        <v/>
      </c>
    </row>
    <row r="677">
      <c r="A677">
        <f>IF($AG677="","",INDEX('TMP Paste'!$B$2:$B$1601,$AG677))</f>
        <v/>
      </c>
      <c r="B677">
        <f>IF($AG677="","",Config!$B$14)</f>
        <v/>
      </c>
      <c r="C677">
        <f>IF($AG677="","",Config!$B$15)</f>
        <v/>
      </c>
      <c r="D677">
        <f>IF($AG677="","",INDEX('TMP Paste'!$B$2:$B$1601,$AG677))</f>
        <v/>
      </c>
      <c r="E677">
        <f>IF($AG677="","",Config!$B$27)</f>
        <v/>
      </c>
      <c r="F677">
        <f>IF($AG677="","",Config!$B$9)</f>
        <v/>
      </c>
      <c r="G677">
        <f>IF($AG677="","",Config!$B$10)</f>
        <v/>
      </c>
      <c r="H677">
        <f>IF($AG677="","",Config!$B$11)</f>
        <v/>
      </c>
      <c r="I677">
        <f>IF($AG677="","",Config!$B$16)</f>
        <v/>
      </c>
      <c r="J677">
        <f>IF($AG677="","",INDEX('TMP Paste'!$A$2:$A$1601,$AG677))</f>
        <v/>
      </c>
      <c r="K677">
        <f>IF($AG677="","",INDEX('TMP Paste'!$L$2:$L$1601,$AG677))</f>
        <v/>
      </c>
      <c r="L677">
        <f>IF($AG677="","",INDEX('TMP Paste'!$I$2:$I$1601,$AG677))</f>
        <v/>
      </c>
      <c r="M677">
        <f>IF($AG677="","",Config!$B$16)</f>
        <v/>
      </c>
      <c r="N677">
        <f>IF($AG677="","","")</f>
        <v/>
      </c>
      <c r="O677">
        <f>IF($AG677="","",INDEX('TMP Paste'!$K$2:$K$1601,$AG677))</f>
        <v/>
      </c>
      <c r="P677">
        <f>IF($AG677="","","")</f>
        <v/>
      </c>
      <c r="Q677">
        <f>IF($AG677="","",INDEX('TMP Paste'!$J$2:$J$1601,$AG677))</f>
        <v/>
      </c>
      <c r="R677">
        <f>IF($AG677="","",Config!$B$24)</f>
        <v/>
      </c>
      <c r="S677">
        <f>IF($AG677="","",TEXT(Config!$B$4,"yyyy-mm-dd"))</f>
        <v/>
      </c>
      <c r="T677">
        <f>IF($AG677="","",Config!$B$17)</f>
        <v/>
      </c>
      <c r="U677">
        <f>IF($AG677="","",Config!$B$18)</f>
        <v/>
      </c>
      <c r="V677">
        <f>IF($AG677="","",Config!$B$19)</f>
        <v/>
      </c>
      <c r="W677">
        <f>IF($AG677="","",INDEX('TMP Paste'!$C$2:$C$1601,$AG677))</f>
        <v/>
      </c>
      <c r="X677">
        <f>IF($AG677="","",Config!$B$29)</f>
        <v/>
      </c>
      <c r="Y677">
        <f>IF($AH677="","",INDEX(Calc!$I$2:$I$1601,$AH677)&amp;" - "&amp;INDEX(Calc!$D$2:$D$1601,$AH677)&amp;" koli")</f>
        <v/>
      </c>
      <c r="Z677">
        <f>IF($AG677="","",Config!$B$21)</f>
        <v/>
      </c>
      <c r="AA677">
        <f>IF($AG677="","",Config!$B$22)</f>
        <v/>
      </c>
      <c r="AB677">
        <f>IF($AH677="","",INDEX(Calc!$D$2:$D$1601,$AH677))</f>
        <v/>
      </c>
      <c r="AC677">
        <f>IF($AH677="","",INDEX(Calc!$G$2:$G$1601,$AH677))</f>
        <v/>
      </c>
      <c r="AD677">
        <f>IF($AG677="","",Config!$B$23)</f>
        <v/>
      </c>
      <c r="AE677">
        <f>IF($AG677="","",Config!$B$28)</f>
        <v/>
      </c>
      <c r="AG677">
        <f>IFERROR(MATCH(ROW()-1,Calc!$J$2:$J$1601,0),"")</f>
        <v/>
      </c>
      <c r="AH677">
        <f>IFERROR(MATCH(ROW()-1,Calc!$K$2:$K$1601,0),"")</f>
        <v/>
      </c>
      <c r="AI677">
        <f>IF($AG677="","",SUMIF($AG$2:$AG677,$AG677,$AH$2:$AH677))</f>
        <v/>
      </c>
      <c r="AJ677">
        <f>IF('TMP Paste'!$F677="","",IF('TMP Paste'!$B677="",$AJ676,'TMP Paste'!$B677))</f>
        <v/>
      </c>
      <c r="AK677">
        <f>IF('TMP Paste'!$F677="","",N('TMP Paste'!$G677))</f>
        <v/>
      </c>
      <c r="AL677">
        <f>IF('TMP Paste'!$F677="","",IF('TMP Paste'!$M677="",$AL676,'TMP Paste'!$M677))</f>
        <v/>
      </c>
      <c r="AM677">
        <f>IF('TMP Paste'!$F677="","",IF('TMP Paste'!$N677="",$AM676,'TMP Paste'!$N677))</f>
        <v/>
      </c>
      <c r="AN677">
        <f>IF('TMP Paste'!$F677="","",IF('TMP Paste'!$O677="",$AN676,'TMP Paste'!$O677))</f>
        <v/>
      </c>
      <c r="AO677">
        <f>IF('TMP Paste'!$F677="","",IF('TMP Paste'!$P677="",$AO676,'TMP Paste'!$P677))</f>
        <v/>
      </c>
      <c r="AP677">
        <f>IF($AG677="","",LEN($R677))</f>
        <v/>
      </c>
      <c r="AQ677">
        <f>IF($AG677="","",TRIM(IF(COUNTIFS(Calc!$B$2:$B$1601,ROW()-1,Calc!$C$2:$C$1601,"&lt;1")&gt;0,"Ada PO tanpa Koli - cek TMP. ","")&amp;IF(LEN($R677)&gt;500,"R &gt; 500 karakter.","")))</f>
        <v/>
      </c>
    </row>
    <row r="678">
      <c r="A678">
        <f>IF($AG678="","",INDEX('TMP Paste'!$B$2:$B$1601,$AG678))</f>
        <v/>
      </c>
      <c r="B678">
        <f>IF($AG678="","",Config!$B$14)</f>
        <v/>
      </c>
      <c r="C678">
        <f>IF($AG678="","",Config!$B$15)</f>
        <v/>
      </c>
      <c r="D678">
        <f>IF($AG678="","",INDEX('TMP Paste'!$B$2:$B$1601,$AG678))</f>
        <v/>
      </c>
      <c r="E678">
        <f>IF($AG678="","",Config!$B$27)</f>
        <v/>
      </c>
      <c r="F678">
        <f>IF($AG678="","",Config!$B$9)</f>
        <v/>
      </c>
      <c r="G678">
        <f>IF($AG678="","",Config!$B$10)</f>
        <v/>
      </c>
      <c r="H678">
        <f>IF($AG678="","",Config!$B$11)</f>
        <v/>
      </c>
      <c r="I678">
        <f>IF($AG678="","",Config!$B$16)</f>
        <v/>
      </c>
      <c r="J678">
        <f>IF($AG678="","",INDEX('TMP Paste'!$A$2:$A$1601,$AG678))</f>
        <v/>
      </c>
      <c r="K678">
        <f>IF($AG678="","",INDEX('TMP Paste'!$L$2:$L$1601,$AG678))</f>
        <v/>
      </c>
      <c r="L678">
        <f>IF($AG678="","",INDEX('TMP Paste'!$I$2:$I$1601,$AG678))</f>
        <v/>
      </c>
      <c r="M678">
        <f>IF($AG678="","",Config!$B$16)</f>
        <v/>
      </c>
      <c r="N678">
        <f>IF($AG678="","","")</f>
        <v/>
      </c>
      <c r="O678">
        <f>IF($AG678="","",INDEX('TMP Paste'!$K$2:$K$1601,$AG678))</f>
        <v/>
      </c>
      <c r="P678">
        <f>IF($AG678="","","")</f>
        <v/>
      </c>
      <c r="Q678">
        <f>IF($AG678="","",INDEX('TMP Paste'!$J$2:$J$1601,$AG678))</f>
        <v/>
      </c>
      <c r="R678">
        <f>IF($AG678="","",Config!$B$24)</f>
        <v/>
      </c>
      <c r="S678">
        <f>IF($AG678="","",TEXT(Config!$B$4,"yyyy-mm-dd"))</f>
        <v/>
      </c>
      <c r="T678">
        <f>IF($AG678="","",Config!$B$17)</f>
        <v/>
      </c>
      <c r="U678">
        <f>IF($AG678="","",Config!$B$18)</f>
        <v/>
      </c>
      <c r="V678">
        <f>IF($AG678="","",Config!$B$19)</f>
        <v/>
      </c>
      <c r="W678">
        <f>IF($AG678="","",INDEX('TMP Paste'!$C$2:$C$1601,$AG678))</f>
        <v/>
      </c>
      <c r="X678">
        <f>IF($AG678="","",Config!$B$29)</f>
        <v/>
      </c>
      <c r="Y678">
        <f>IF($AH678="","",INDEX(Calc!$I$2:$I$1601,$AH678)&amp;" - "&amp;INDEX(Calc!$D$2:$D$1601,$AH678)&amp;" koli")</f>
        <v/>
      </c>
      <c r="Z678">
        <f>IF($AG678="","",Config!$B$21)</f>
        <v/>
      </c>
      <c r="AA678">
        <f>IF($AG678="","",Config!$B$22)</f>
        <v/>
      </c>
      <c r="AB678">
        <f>IF($AH678="","",INDEX(Calc!$D$2:$D$1601,$AH678))</f>
        <v/>
      </c>
      <c r="AC678">
        <f>IF($AH678="","",INDEX(Calc!$G$2:$G$1601,$AH678))</f>
        <v/>
      </c>
      <c r="AD678">
        <f>IF($AG678="","",Config!$B$23)</f>
        <v/>
      </c>
      <c r="AE678">
        <f>IF($AG678="","",Config!$B$28)</f>
        <v/>
      </c>
      <c r="AG678">
        <f>IFERROR(MATCH(ROW()-1,Calc!$J$2:$J$1601,0),"")</f>
        <v/>
      </c>
      <c r="AH678">
        <f>IFERROR(MATCH(ROW()-1,Calc!$K$2:$K$1601,0),"")</f>
        <v/>
      </c>
      <c r="AI678">
        <f>IF($AG678="","",SUMIF($AG$2:$AG678,$AG678,$AH$2:$AH678))</f>
        <v/>
      </c>
      <c r="AJ678">
        <f>IF('TMP Paste'!$F678="","",IF('TMP Paste'!$B678="",$AJ677,'TMP Paste'!$B678))</f>
        <v/>
      </c>
      <c r="AK678">
        <f>IF('TMP Paste'!$F678="","",N('TMP Paste'!$G678))</f>
        <v/>
      </c>
      <c r="AL678">
        <f>IF('TMP Paste'!$F678="","",IF('TMP Paste'!$M678="",$AL677,'TMP Paste'!$M678))</f>
        <v/>
      </c>
      <c r="AM678">
        <f>IF('TMP Paste'!$F678="","",IF('TMP Paste'!$N678="",$AM677,'TMP Paste'!$N678))</f>
        <v/>
      </c>
      <c r="AN678">
        <f>IF('TMP Paste'!$F678="","",IF('TMP Paste'!$O678="",$AN677,'TMP Paste'!$O678))</f>
        <v/>
      </c>
      <c r="AO678">
        <f>IF('TMP Paste'!$F678="","",IF('TMP Paste'!$P678="",$AO677,'TMP Paste'!$P678))</f>
        <v/>
      </c>
      <c r="AP678">
        <f>IF($AG678="","",LEN($R678))</f>
        <v/>
      </c>
      <c r="AQ678">
        <f>IF($AG678="","",TRIM(IF(COUNTIFS(Calc!$B$2:$B$1601,ROW()-1,Calc!$C$2:$C$1601,"&lt;1")&gt;0,"Ada PO tanpa Koli - cek TMP. ","")&amp;IF(LEN($R678)&gt;500,"R &gt; 500 karakter.","")))</f>
        <v/>
      </c>
    </row>
    <row r="679">
      <c r="A679">
        <f>IF($AG679="","",INDEX('TMP Paste'!$B$2:$B$1601,$AG679))</f>
        <v/>
      </c>
      <c r="B679">
        <f>IF($AG679="","",Config!$B$14)</f>
        <v/>
      </c>
      <c r="C679">
        <f>IF($AG679="","",Config!$B$15)</f>
        <v/>
      </c>
      <c r="D679">
        <f>IF($AG679="","",INDEX('TMP Paste'!$B$2:$B$1601,$AG679))</f>
        <v/>
      </c>
      <c r="E679">
        <f>IF($AG679="","",Config!$B$27)</f>
        <v/>
      </c>
      <c r="F679">
        <f>IF($AG679="","",Config!$B$9)</f>
        <v/>
      </c>
      <c r="G679">
        <f>IF($AG679="","",Config!$B$10)</f>
        <v/>
      </c>
      <c r="H679">
        <f>IF($AG679="","",Config!$B$11)</f>
        <v/>
      </c>
      <c r="I679">
        <f>IF($AG679="","",Config!$B$16)</f>
        <v/>
      </c>
      <c r="J679">
        <f>IF($AG679="","",INDEX('TMP Paste'!$A$2:$A$1601,$AG679))</f>
        <v/>
      </c>
      <c r="K679">
        <f>IF($AG679="","",INDEX('TMP Paste'!$L$2:$L$1601,$AG679))</f>
        <v/>
      </c>
      <c r="L679">
        <f>IF($AG679="","",INDEX('TMP Paste'!$I$2:$I$1601,$AG679))</f>
        <v/>
      </c>
      <c r="M679">
        <f>IF($AG679="","",Config!$B$16)</f>
        <v/>
      </c>
      <c r="N679">
        <f>IF($AG679="","","")</f>
        <v/>
      </c>
      <c r="O679">
        <f>IF($AG679="","",INDEX('TMP Paste'!$K$2:$K$1601,$AG679))</f>
        <v/>
      </c>
      <c r="P679">
        <f>IF($AG679="","","")</f>
        <v/>
      </c>
      <c r="Q679">
        <f>IF($AG679="","",INDEX('TMP Paste'!$J$2:$J$1601,$AG679))</f>
        <v/>
      </c>
      <c r="R679">
        <f>IF($AG679="","",Config!$B$24)</f>
        <v/>
      </c>
      <c r="S679">
        <f>IF($AG679="","",TEXT(Config!$B$4,"yyyy-mm-dd"))</f>
        <v/>
      </c>
      <c r="T679">
        <f>IF($AG679="","",Config!$B$17)</f>
        <v/>
      </c>
      <c r="U679">
        <f>IF($AG679="","",Config!$B$18)</f>
        <v/>
      </c>
      <c r="V679">
        <f>IF($AG679="","",Config!$B$19)</f>
        <v/>
      </c>
      <c r="W679">
        <f>IF($AG679="","",INDEX('TMP Paste'!$C$2:$C$1601,$AG679))</f>
        <v/>
      </c>
      <c r="X679">
        <f>IF($AG679="","",Config!$B$29)</f>
        <v/>
      </c>
      <c r="Y679">
        <f>IF($AH679="","",INDEX(Calc!$I$2:$I$1601,$AH679)&amp;" - "&amp;INDEX(Calc!$D$2:$D$1601,$AH679)&amp;" koli")</f>
        <v/>
      </c>
      <c r="Z679">
        <f>IF($AG679="","",Config!$B$21)</f>
        <v/>
      </c>
      <c r="AA679">
        <f>IF($AG679="","",Config!$B$22)</f>
        <v/>
      </c>
      <c r="AB679">
        <f>IF($AH679="","",INDEX(Calc!$D$2:$D$1601,$AH679))</f>
        <v/>
      </c>
      <c r="AC679">
        <f>IF($AH679="","",INDEX(Calc!$G$2:$G$1601,$AH679))</f>
        <v/>
      </c>
      <c r="AD679">
        <f>IF($AG679="","",Config!$B$23)</f>
        <v/>
      </c>
      <c r="AE679">
        <f>IF($AG679="","",Config!$B$28)</f>
        <v/>
      </c>
      <c r="AG679">
        <f>IFERROR(MATCH(ROW()-1,Calc!$J$2:$J$1601,0),"")</f>
        <v/>
      </c>
      <c r="AH679">
        <f>IFERROR(MATCH(ROW()-1,Calc!$K$2:$K$1601,0),"")</f>
        <v/>
      </c>
      <c r="AI679">
        <f>IF($AG679="","",SUMIF($AG$2:$AG679,$AG679,$AH$2:$AH679))</f>
        <v/>
      </c>
      <c r="AJ679">
        <f>IF('TMP Paste'!$F679="","",IF('TMP Paste'!$B679="",$AJ678,'TMP Paste'!$B679))</f>
        <v/>
      </c>
      <c r="AK679">
        <f>IF('TMP Paste'!$F679="","",N('TMP Paste'!$G679))</f>
        <v/>
      </c>
      <c r="AL679">
        <f>IF('TMP Paste'!$F679="","",IF('TMP Paste'!$M679="",$AL678,'TMP Paste'!$M679))</f>
        <v/>
      </c>
      <c r="AM679">
        <f>IF('TMP Paste'!$F679="","",IF('TMP Paste'!$N679="",$AM678,'TMP Paste'!$N679))</f>
        <v/>
      </c>
      <c r="AN679">
        <f>IF('TMP Paste'!$F679="","",IF('TMP Paste'!$O679="",$AN678,'TMP Paste'!$O679))</f>
        <v/>
      </c>
      <c r="AO679">
        <f>IF('TMP Paste'!$F679="","",IF('TMP Paste'!$P679="",$AO678,'TMP Paste'!$P679))</f>
        <v/>
      </c>
      <c r="AP679">
        <f>IF($AG679="","",LEN($R679))</f>
        <v/>
      </c>
      <c r="AQ679">
        <f>IF($AG679="","",TRIM(IF(COUNTIFS(Calc!$B$2:$B$1601,ROW()-1,Calc!$C$2:$C$1601,"&lt;1")&gt;0,"Ada PO tanpa Koli - cek TMP. ","")&amp;IF(LEN($R679)&gt;500,"R &gt; 500 karakter.","")))</f>
        <v/>
      </c>
    </row>
    <row r="680">
      <c r="A680">
        <f>IF($AG680="","",INDEX('TMP Paste'!$B$2:$B$1601,$AG680))</f>
        <v/>
      </c>
      <c r="B680">
        <f>IF($AG680="","",Config!$B$14)</f>
        <v/>
      </c>
      <c r="C680">
        <f>IF($AG680="","",Config!$B$15)</f>
        <v/>
      </c>
      <c r="D680">
        <f>IF($AG680="","",INDEX('TMP Paste'!$B$2:$B$1601,$AG680))</f>
        <v/>
      </c>
      <c r="E680">
        <f>IF($AG680="","",Config!$B$27)</f>
        <v/>
      </c>
      <c r="F680">
        <f>IF($AG680="","",Config!$B$9)</f>
        <v/>
      </c>
      <c r="G680">
        <f>IF($AG680="","",Config!$B$10)</f>
        <v/>
      </c>
      <c r="H680">
        <f>IF($AG680="","",Config!$B$11)</f>
        <v/>
      </c>
      <c r="I680">
        <f>IF($AG680="","",Config!$B$16)</f>
        <v/>
      </c>
      <c r="J680">
        <f>IF($AG680="","",INDEX('TMP Paste'!$A$2:$A$1601,$AG680))</f>
        <v/>
      </c>
      <c r="K680">
        <f>IF($AG680="","",INDEX('TMP Paste'!$L$2:$L$1601,$AG680))</f>
        <v/>
      </c>
      <c r="L680">
        <f>IF($AG680="","",INDEX('TMP Paste'!$I$2:$I$1601,$AG680))</f>
        <v/>
      </c>
      <c r="M680">
        <f>IF($AG680="","",Config!$B$16)</f>
        <v/>
      </c>
      <c r="N680">
        <f>IF($AG680="","","")</f>
        <v/>
      </c>
      <c r="O680">
        <f>IF($AG680="","",INDEX('TMP Paste'!$K$2:$K$1601,$AG680))</f>
        <v/>
      </c>
      <c r="P680">
        <f>IF($AG680="","","")</f>
        <v/>
      </c>
      <c r="Q680">
        <f>IF($AG680="","",INDEX('TMP Paste'!$J$2:$J$1601,$AG680))</f>
        <v/>
      </c>
      <c r="R680">
        <f>IF($AG680="","",Config!$B$24)</f>
        <v/>
      </c>
      <c r="S680">
        <f>IF($AG680="","",TEXT(Config!$B$4,"yyyy-mm-dd"))</f>
        <v/>
      </c>
      <c r="T680">
        <f>IF($AG680="","",Config!$B$17)</f>
        <v/>
      </c>
      <c r="U680">
        <f>IF($AG680="","",Config!$B$18)</f>
        <v/>
      </c>
      <c r="V680">
        <f>IF($AG680="","",Config!$B$19)</f>
        <v/>
      </c>
      <c r="W680">
        <f>IF($AG680="","",INDEX('TMP Paste'!$C$2:$C$1601,$AG680))</f>
        <v/>
      </c>
      <c r="X680">
        <f>IF($AG680="","",Config!$B$29)</f>
        <v/>
      </c>
      <c r="Y680">
        <f>IF($AH680="","",INDEX(Calc!$I$2:$I$1601,$AH680)&amp;" - "&amp;INDEX(Calc!$D$2:$D$1601,$AH680)&amp;" koli")</f>
        <v/>
      </c>
      <c r="Z680">
        <f>IF($AG680="","",Config!$B$21)</f>
        <v/>
      </c>
      <c r="AA680">
        <f>IF($AG680="","",Config!$B$22)</f>
        <v/>
      </c>
      <c r="AB680">
        <f>IF($AH680="","",INDEX(Calc!$D$2:$D$1601,$AH680))</f>
        <v/>
      </c>
      <c r="AC680">
        <f>IF($AH680="","",INDEX(Calc!$G$2:$G$1601,$AH680))</f>
        <v/>
      </c>
      <c r="AD680">
        <f>IF($AG680="","",Config!$B$23)</f>
        <v/>
      </c>
      <c r="AE680">
        <f>IF($AG680="","",Config!$B$28)</f>
        <v/>
      </c>
      <c r="AG680">
        <f>IFERROR(MATCH(ROW()-1,Calc!$J$2:$J$1601,0),"")</f>
        <v/>
      </c>
      <c r="AH680">
        <f>IFERROR(MATCH(ROW()-1,Calc!$K$2:$K$1601,0),"")</f>
        <v/>
      </c>
      <c r="AI680">
        <f>IF($AG680="","",SUMIF($AG$2:$AG680,$AG680,$AH$2:$AH680))</f>
        <v/>
      </c>
      <c r="AJ680">
        <f>IF('TMP Paste'!$F680="","",IF('TMP Paste'!$B680="",$AJ679,'TMP Paste'!$B680))</f>
        <v/>
      </c>
      <c r="AK680">
        <f>IF('TMP Paste'!$F680="","",N('TMP Paste'!$G680))</f>
        <v/>
      </c>
      <c r="AL680">
        <f>IF('TMP Paste'!$F680="","",IF('TMP Paste'!$M680="",$AL679,'TMP Paste'!$M680))</f>
        <v/>
      </c>
      <c r="AM680">
        <f>IF('TMP Paste'!$F680="","",IF('TMP Paste'!$N680="",$AM679,'TMP Paste'!$N680))</f>
        <v/>
      </c>
      <c r="AN680">
        <f>IF('TMP Paste'!$F680="","",IF('TMP Paste'!$O680="",$AN679,'TMP Paste'!$O680))</f>
        <v/>
      </c>
      <c r="AO680">
        <f>IF('TMP Paste'!$F680="","",IF('TMP Paste'!$P680="",$AO679,'TMP Paste'!$P680))</f>
        <v/>
      </c>
      <c r="AP680">
        <f>IF($AG680="","",LEN($R680))</f>
        <v/>
      </c>
      <c r="AQ680">
        <f>IF($AG680="","",TRIM(IF(COUNTIFS(Calc!$B$2:$B$1601,ROW()-1,Calc!$C$2:$C$1601,"&lt;1")&gt;0,"Ada PO tanpa Koli - cek TMP. ","")&amp;IF(LEN($R680)&gt;500,"R &gt; 500 karakter.","")))</f>
        <v/>
      </c>
    </row>
    <row r="681">
      <c r="A681">
        <f>IF($AG681="","",INDEX('TMP Paste'!$B$2:$B$1601,$AG681))</f>
        <v/>
      </c>
      <c r="B681">
        <f>IF($AG681="","",Config!$B$14)</f>
        <v/>
      </c>
      <c r="C681">
        <f>IF($AG681="","",Config!$B$15)</f>
        <v/>
      </c>
      <c r="D681">
        <f>IF($AG681="","",INDEX('TMP Paste'!$B$2:$B$1601,$AG681))</f>
        <v/>
      </c>
      <c r="E681">
        <f>IF($AG681="","",Config!$B$27)</f>
        <v/>
      </c>
      <c r="F681">
        <f>IF($AG681="","",Config!$B$9)</f>
        <v/>
      </c>
      <c r="G681">
        <f>IF($AG681="","",Config!$B$10)</f>
        <v/>
      </c>
      <c r="H681">
        <f>IF($AG681="","",Config!$B$11)</f>
        <v/>
      </c>
      <c r="I681">
        <f>IF($AG681="","",Config!$B$16)</f>
        <v/>
      </c>
      <c r="J681">
        <f>IF($AG681="","",INDEX('TMP Paste'!$A$2:$A$1601,$AG681))</f>
        <v/>
      </c>
      <c r="K681">
        <f>IF($AG681="","",INDEX('TMP Paste'!$L$2:$L$1601,$AG681))</f>
        <v/>
      </c>
      <c r="L681">
        <f>IF($AG681="","",INDEX('TMP Paste'!$I$2:$I$1601,$AG681))</f>
        <v/>
      </c>
      <c r="M681">
        <f>IF($AG681="","",Config!$B$16)</f>
        <v/>
      </c>
      <c r="N681">
        <f>IF($AG681="","","")</f>
        <v/>
      </c>
      <c r="O681">
        <f>IF($AG681="","",INDEX('TMP Paste'!$K$2:$K$1601,$AG681))</f>
        <v/>
      </c>
      <c r="P681">
        <f>IF($AG681="","","")</f>
        <v/>
      </c>
      <c r="Q681">
        <f>IF($AG681="","",INDEX('TMP Paste'!$J$2:$J$1601,$AG681))</f>
        <v/>
      </c>
      <c r="R681">
        <f>IF($AG681="","",Config!$B$24)</f>
        <v/>
      </c>
      <c r="S681">
        <f>IF($AG681="","",TEXT(Config!$B$4,"yyyy-mm-dd"))</f>
        <v/>
      </c>
      <c r="T681">
        <f>IF($AG681="","",Config!$B$17)</f>
        <v/>
      </c>
      <c r="U681">
        <f>IF($AG681="","",Config!$B$18)</f>
        <v/>
      </c>
      <c r="V681">
        <f>IF($AG681="","",Config!$B$19)</f>
        <v/>
      </c>
      <c r="W681">
        <f>IF($AG681="","",INDEX('TMP Paste'!$C$2:$C$1601,$AG681))</f>
        <v/>
      </c>
      <c r="X681">
        <f>IF($AG681="","",Config!$B$29)</f>
        <v/>
      </c>
      <c r="Y681">
        <f>IF($AH681="","",INDEX(Calc!$I$2:$I$1601,$AH681)&amp;" - "&amp;INDEX(Calc!$D$2:$D$1601,$AH681)&amp;" koli")</f>
        <v/>
      </c>
      <c r="Z681">
        <f>IF($AG681="","",Config!$B$21)</f>
        <v/>
      </c>
      <c r="AA681">
        <f>IF($AG681="","",Config!$B$22)</f>
        <v/>
      </c>
      <c r="AB681">
        <f>IF($AH681="","",INDEX(Calc!$D$2:$D$1601,$AH681))</f>
        <v/>
      </c>
      <c r="AC681">
        <f>IF($AH681="","",INDEX(Calc!$G$2:$G$1601,$AH681))</f>
        <v/>
      </c>
      <c r="AD681">
        <f>IF($AG681="","",Config!$B$23)</f>
        <v/>
      </c>
      <c r="AE681">
        <f>IF($AG681="","",Config!$B$28)</f>
        <v/>
      </c>
      <c r="AG681">
        <f>IFERROR(MATCH(ROW()-1,Calc!$J$2:$J$1601,0),"")</f>
        <v/>
      </c>
      <c r="AH681">
        <f>IFERROR(MATCH(ROW()-1,Calc!$K$2:$K$1601,0),"")</f>
        <v/>
      </c>
      <c r="AI681">
        <f>IF($AG681="","",SUMIF($AG$2:$AG681,$AG681,$AH$2:$AH681))</f>
        <v/>
      </c>
      <c r="AJ681">
        <f>IF('TMP Paste'!$F681="","",IF('TMP Paste'!$B681="",$AJ680,'TMP Paste'!$B681))</f>
        <v/>
      </c>
      <c r="AK681">
        <f>IF('TMP Paste'!$F681="","",N('TMP Paste'!$G681))</f>
        <v/>
      </c>
      <c r="AL681">
        <f>IF('TMP Paste'!$F681="","",IF('TMP Paste'!$M681="",$AL680,'TMP Paste'!$M681))</f>
        <v/>
      </c>
      <c r="AM681">
        <f>IF('TMP Paste'!$F681="","",IF('TMP Paste'!$N681="",$AM680,'TMP Paste'!$N681))</f>
        <v/>
      </c>
      <c r="AN681">
        <f>IF('TMP Paste'!$F681="","",IF('TMP Paste'!$O681="",$AN680,'TMP Paste'!$O681))</f>
        <v/>
      </c>
      <c r="AO681">
        <f>IF('TMP Paste'!$F681="","",IF('TMP Paste'!$P681="",$AO680,'TMP Paste'!$P681))</f>
        <v/>
      </c>
      <c r="AP681">
        <f>IF($AG681="","",LEN($R681))</f>
        <v/>
      </c>
      <c r="AQ681">
        <f>IF($AG681="","",TRIM(IF(COUNTIFS(Calc!$B$2:$B$1601,ROW()-1,Calc!$C$2:$C$1601,"&lt;1")&gt;0,"Ada PO tanpa Koli - cek TMP. ","")&amp;IF(LEN($R681)&gt;500,"R &gt; 500 karakter.","")))</f>
        <v/>
      </c>
    </row>
    <row r="682">
      <c r="A682">
        <f>IF($AG682="","",INDEX('TMP Paste'!$B$2:$B$1601,$AG682))</f>
        <v/>
      </c>
      <c r="B682">
        <f>IF($AG682="","",Config!$B$14)</f>
        <v/>
      </c>
      <c r="C682">
        <f>IF($AG682="","",Config!$B$15)</f>
        <v/>
      </c>
      <c r="D682">
        <f>IF($AG682="","",INDEX('TMP Paste'!$B$2:$B$1601,$AG682))</f>
        <v/>
      </c>
      <c r="E682">
        <f>IF($AG682="","",Config!$B$27)</f>
        <v/>
      </c>
      <c r="F682">
        <f>IF($AG682="","",Config!$B$9)</f>
        <v/>
      </c>
      <c r="G682">
        <f>IF($AG682="","",Config!$B$10)</f>
        <v/>
      </c>
      <c r="H682">
        <f>IF($AG682="","",Config!$B$11)</f>
        <v/>
      </c>
      <c r="I682">
        <f>IF($AG682="","",Config!$B$16)</f>
        <v/>
      </c>
      <c r="J682">
        <f>IF($AG682="","",INDEX('TMP Paste'!$A$2:$A$1601,$AG682))</f>
        <v/>
      </c>
      <c r="K682">
        <f>IF($AG682="","",INDEX('TMP Paste'!$L$2:$L$1601,$AG682))</f>
        <v/>
      </c>
      <c r="L682">
        <f>IF($AG682="","",INDEX('TMP Paste'!$I$2:$I$1601,$AG682))</f>
        <v/>
      </c>
      <c r="M682">
        <f>IF($AG682="","",Config!$B$16)</f>
        <v/>
      </c>
      <c r="N682">
        <f>IF($AG682="","","")</f>
        <v/>
      </c>
      <c r="O682">
        <f>IF($AG682="","",INDEX('TMP Paste'!$K$2:$K$1601,$AG682))</f>
        <v/>
      </c>
      <c r="P682">
        <f>IF($AG682="","","")</f>
        <v/>
      </c>
      <c r="Q682">
        <f>IF($AG682="","",INDEX('TMP Paste'!$J$2:$J$1601,$AG682))</f>
        <v/>
      </c>
      <c r="R682">
        <f>IF($AG682="","",Config!$B$24)</f>
        <v/>
      </c>
      <c r="S682">
        <f>IF($AG682="","",TEXT(Config!$B$4,"yyyy-mm-dd"))</f>
        <v/>
      </c>
      <c r="T682">
        <f>IF($AG682="","",Config!$B$17)</f>
        <v/>
      </c>
      <c r="U682">
        <f>IF($AG682="","",Config!$B$18)</f>
        <v/>
      </c>
      <c r="V682">
        <f>IF($AG682="","",Config!$B$19)</f>
        <v/>
      </c>
      <c r="W682">
        <f>IF($AG682="","",INDEX('TMP Paste'!$C$2:$C$1601,$AG682))</f>
        <v/>
      </c>
      <c r="X682">
        <f>IF($AG682="","",Config!$B$29)</f>
        <v/>
      </c>
      <c r="Y682">
        <f>IF($AH682="","",INDEX(Calc!$I$2:$I$1601,$AH682)&amp;" - "&amp;INDEX(Calc!$D$2:$D$1601,$AH682)&amp;" koli")</f>
        <v/>
      </c>
      <c r="Z682">
        <f>IF($AG682="","",Config!$B$21)</f>
        <v/>
      </c>
      <c r="AA682">
        <f>IF($AG682="","",Config!$B$22)</f>
        <v/>
      </c>
      <c r="AB682">
        <f>IF($AH682="","",INDEX(Calc!$D$2:$D$1601,$AH682))</f>
        <v/>
      </c>
      <c r="AC682">
        <f>IF($AH682="","",INDEX(Calc!$G$2:$G$1601,$AH682))</f>
        <v/>
      </c>
      <c r="AD682">
        <f>IF($AG682="","",Config!$B$23)</f>
        <v/>
      </c>
      <c r="AE682">
        <f>IF($AG682="","",Config!$B$28)</f>
        <v/>
      </c>
      <c r="AG682">
        <f>IFERROR(MATCH(ROW()-1,Calc!$J$2:$J$1601,0),"")</f>
        <v/>
      </c>
      <c r="AH682">
        <f>IFERROR(MATCH(ROW()-1,Calc!$K$2:$K$1601,0),"")</f>
        <v/>
      </c>
      <c r="AI682">
        <f>IF($AG682="","",SUMIF($AG$2:$AG682,$AG682,$AH$2:$AH682))</f>
        <v/>
      </c>
      <c r="AJ682">
        <f>IF('TMP Paste'!$F682="","",IF('TMP Paste'!$B682="",$AJ681,'TMP Paste'!$B682))</f>
        <v/>
      </c>
      <c r="AK682">
        <f>IF('TMP Paste'!$F682="","",N('TMP Paste'!$G682))</f>
        <v/>
      </c>
      <c r="AL682">
        <f>IF('TMP Paste'!$F682="","",IF('TMP Paste'!$M682="",$AL681,'TMP Paste'!$M682))</f>
        <v/>
      </c>
      <c r="AM682">
        <f>IF('TMP Paste'!$F682="","",IF('TMP Paste'!$N682="",$AM681,'TMP Paste'!$N682))</f>
        <v/>
      </c>
      <c r="AN682">
        <f>IF('TMP Paste'!$F682="","",IF('TMP Paste'!$O682="",$AN681,'TMP Paste'!$O682))</f>
        <v/>
      </c>
      <c r="AO682">
        <f>IF('TMP Paste'!$F682="","",IF('TMP Paste'!$P682="",$AO681,'TMP Paste'!$P682))</f>
        <v/>
      </c>
      <c r="AP682">
        <f>IF($AG682="","",LEN($R682))</f>
        <v/>
      </c>
      <c r="AQ682">
        <f>IF($AG682="","",TRIM(IF(COUNTIFS(Calc!$B$2:$B$1601,ROW()-1,Calc!$C$2:$C$1601,"&lt;1")&gt;0,"Ada PO tanpa Koli - cek TMP. ","")&amp;IF(LEN($R682)&gt;500,"R &gt; 500 karakter.","")))</f>
        <v/>
      </c>
    </row>
    <row r="683">
      <c r="A683">
        <f>IF($AG683="","",INDEX('TMP Paste'!$B$2:$B$1601,$AG683))</f>
        <v/>
      </c>
      <c r="B683">
        <f>IF($AG683="","",Config!$B$14)</f>
        <v/>
      </c>
      <c r="C683">
        <f>IF($AG683="","",Config!$B$15)</f>
        <v/>
      </c>
      <c r="D683">
        <f>IF($AG683="","",INDEX('TMP Paste'!$B$2:$B$1601,$AG683))</f>
        <v/>
      </c>
      <c r="E683">
        <f>IF($AG683="","",Config!$B$27)</f>
        <v/>
      </c>
      <c r="F683">
        <f>IF($AG683="","",Config!$B$9)</f>
        <v/>
      </c>
      <c r="G683">
        <f>IF($AG683="","",Config!$B$10)</f>
        <v/>
      </c>
      <c r="H683">
        <f>IF($AG683="","",Config!$B$11)</f>
        <v/>
      </c>
      <c r="I683">
        <f>IF($AG683="","",Config!$B$16)</f>
        <v/>
      </c>
      <c r="J683">
        <f>IF($AG683="","",INDEX('TMP Paste'!$A$2:$A$1601,$AG683))</f>
        <v/>
      </c>
      <c r="K683">
        <f>IF($AG683="","",INDEX('TMP Paste'!$L$2:$L$1601,$AG683))</f>
        <v/>
      </c>
      <c r="L683">
        <f>IF($AG683="","",INDEX('TMP Paste'!$I$2:$I$1601,$AG683))</f>
        <v/>
      </c>
      <c r="M683">
        <f>IF($AG683="","",Config!$B$16)</f>
        <v/>
      </c>
      <c r="N683">
        <f>IF($AG683="","","")</f>
        <v/>
      </c>
      <c r="O683">
        <f>IF($AG683="","",INDEX('TMP Paste'!$K$2:$K$1601,$AG683))</f>
        <v/>
      </c>
      <c r="P683">
        <f>IF($AG683="","","")</f>
        <v/>
      </c>
      <c r="Q683">
        <f>IF($AG683="","",INDEX('TMP Paste'!$J$2:$J$1601,$AG683))</f>
        <v/>
      </c>
      <c r="R683">
        <f>IF($AG683="","",Config!$B$24)</f>
        <v/>
      </c>
      <c r="S683">
        <f>IF($AG683="","",TEXT(Config!$B$4,"yyyy-mm-dd"))</f>
        <v/>
      </c>
      <c r="T683">
        <f>IF($AG683="","",Config!$B$17)</f>
        <v/>
      </c>
      <c r="U683">
        <f>IF($AG683="","",Config!$B$18)</f>
        <v/>
      </c>
      <c r="V683">
        <f>IF($AG683="","",Config!$B$19)</f>
        <v/>
      </c>
      <c r="W683">
        <f>IF($AG683="","",INDEX('TMP Paste'!$C$2:$C$1601,$AG683))</f>
        <v/>
      </c>
      <c r="X683">
        <f>IF($AG683="","",Config!$B$29)</f>
        <v/>
      </c>
      <c r="Y683">
        <f>IF($AH683="","",INDEX(Calc!$I$2:$I$1601,$AH683)&amp;" - "&amp;INDEX(Calc!$D$2:$D$1601,$AH683)&amp;" koli")</f>
        <v/>
      </c>
      <c r="Z683">
        <f>IF($AG683="","",Config!$B$21)</f>
        <v/>
      </c>
      <c r="AA683">
        <f>IF($AG683="","",Config!$B$22)</f>
        <v/>
      </c>
      <c r="AB683">
        <f>IF($AH683="","",INDEX(Calc!$D$2:$D$1601,$AH683))</f>
        <v/>
      </c>
      <c r="AC683">
        <f>IF($AH683="","",INDEX(Calc!$G$2:$G$1601,$AH683))</f>
        <v/>
      </c>
      <c r="AD683">
        <f>IF($AG683="","",Config!$B$23)</f>
        <v/>
      </c>
      <c r="AE683">
        <f>IF($AG683="","",Config!$B$28)</f>
        <v/>
      </c>
      <c r="AG683">
        <f>IFERROR(MATCH(ROW()-1,Calc!$J$2:$J$1601,0),"")</f>
        <v/>
      </c>
      <c r="AH683">
        <f>IFERROR(MATCH(ROW()-1,Calc!$K$2:$K$1601,0),"")</f>
        <v/>
      </c>
      <c r="AI683">
        <f>IF($AG683="","",SUMIF($AG$2:$AG683,$AG683,$AH$2:$AH683))</f>
        <v/>
      </c>
      <c r="AJ683">
        <f>IF('TMP Paste'!$F683="","",IF('TMP Paste'!$B683="",$AJ682,'TMP Paste'!$B683))</f>
        <v/>
      </c>
      <c r="AK683">
        <f>IF('TMP Paste'!$F683="","",N('TMP Paste'!$G683))</f>
        <v/>
      </c>
      <c r="AL683">
        <f>IF('TMP Paste'!$F683="","",IF('TMP Paste'!$M683="",$AL682,'TMP Paste'!$M683))</f>
        <v/>
      </c>
      <c r="AM683">
        <f>IF('TMP Paste'!$F683="","",IF('TMP Paste'!$N683="",$AM682,'TMP Paste'!$N683))</f>
        <v/>
      </c>
      <c r="AN683">
        <f>IF('TMP Paste'!$F683="","",IF('TMP Paste'!$O683="",$AN682,'TMP Paste'!$O683))</f>
        <v/>
      </c>
      <c r="AO683">
        <f>IF('TMP Paste'!$F683="","",IF('TMP Paste'!$P683="",$AO682,'TMP Paste'!$P683))</f>
        <v/>
      </c>
      <c r="AP683">
        <f>IF($AG683="","",LEN($R683))</f>
        <v/>
      </c>
      <c r="AQ683">
        <f>IF($AG683="","",TRIM(IF(COUNTIFS(Calc!$B$2:$B$1601,ROW()-1,Calc!$C$2:$C$1601,"&lt;1")&gt;0,"Ada PO tanpa Koli - cek TMP. ","")&amp;IF(LEN($R683)&gt;500,"R &gt; 500 karakter.","")))</f>
        <v/>
      </c>
    </row>
    <row r="684">
      <c r="A684">
        <f>IF($AG684="","",INDEX('TMP Paste'!$B$2:$B$1601,$AG684))</f>
        <v/>
      </c>
      <c r="B684">
        <f>IF($AG684="","",Config!$B$14)</f>
        <v/>
      </c>
      <c r="C684">
        <f>IF($AG684="","",Config!$B$15)</f>
        <v/>
      </c>
      <c r="D684">
        <f>IF($AG684="","",INDEX('TMP Paste'!$B$2:$B$1601,$AG684))</f>
        <v/>
      </c>
      <c r="E684">
        <f>IF($AG684="","",Config!$B$27)</f>
        <v/>
      </c>
      <c r="F684">
        <f>IF($AG684="","",Config!$B$9)</f>
        <v/>
      </c>
      <c r="G684">
        <f>IF($AG684="","",Config!$B$10)</f>
        <v/>
      </c>
      <c r="H684">
        <f>IF($AG684="","",Config!$B$11)</f>
        <v/>
      </c>
      <c r="I684">
        <f>IF($AG684="","",Config!$B$16)</f>
        <v/>
      </c>
      <c r="J684">
        <f>IF($AG684="","",INDEX('TMP Paste'!$A$2:$A$1601,$AG684))</f>
        <v/>
      </c>
      <c r="K684">
        <f>IF($AG684="","",INDEX('TMP Paste'!$L$2:$L$1601,$AG684))</f>
        <v/>
      </c>
      <c r="L684">
        <f>IF($AG684="","",INDEX('TMP Paste'!$I$2:$I$1601,$AG684))</f>
        <v/>
      </c>
      <c r="M684">
        <f>IF($AG684="","",Config!$B$16)</f>
        <v/>
      </c>
      <c r="N684">
        <f>IF($AG684="","","")</f>
        <v/>
      </c>
      <c r="O684">
        <f>IF($AG684="","",INDEX('TMP Paste'!$K$2:$K$1601,$AG684))</f>
        <v/>
      </c>
      <c r="P684">
        <f>IF($AG684="","","")</f>
        <v/>
      </c>
      <c r="Q684">
        <f>IF($AG684="","",INDEX('TMP Paste'!$J$2:$J$1601,$AG684))</f>
        <v/>
      </c>
      <c r="R684">
        <f>IF($AG684="","",Config!$B$24)</f>
        <v/>
      </c>
      <c r="S684">
        <f>IF($AG684="","",TEXT(Config!$B$4,"yyyy-mm-dd"))</f>
        <v/>
      </c>
      <c r="T684">
        <f>IF($AG684="","",Config!$B$17)</f>
        <v/>
      </c>
      <c r="U684">
        <f>IF($AG684="","",Config!$B$18)</f>
        <v/>
      </c>
      <c r="V684">
        <f>IF($AG684="","",Config!$B$19)</f>
        <v/>
      </c>
      <c r="W684">
        <f>IF($AG684="","",INDEX('TMP Paste'!$C$2:$C$1601,$AG684))</f>
        <v/>
      </c>
      <c r="X684">
        <f>IF($AG684="","",Config!$B$29)</f>
        <v/>
      </c>
      <c r="Y684">
        <f>IF($AH684="","",INDEX(Calc!$I$2:$I$1601,$AH684)&amp;" - "&amp;INDEX(Calc!$D$2:$D$1601,$AH684)&amp;" koli")</f>
        <v/>
      </c>
      <c r="Z684">
        <f>IF($AG684="","",Config!$B$21)</f>
        <v/>
      </c>
      <c r="AA684">
        <f>IF($AG684="","",Config!$B$22)</f>
        <v/>
      </c>
      <c r="AB684">
        <f>IF($AH684="","",INDEX(Calc!$D$2:$D$1601,$AH684))</f>
        <v/>
      </c>
      <c r="AC684">
        <f>IF($AH684="","",INDEX(Calc!$G$2:$G$1601,$AH684))</f>
        <v/>
      </c>
      <c r="AD684">
        <f>IF($AG684="","",Config!$B$23)</f>
        <v/>
      </c>
      <c r="AE684">
        <f>IF($AG684="","",Config!$B$28)</f>
        <v/>
      </c>
      <c r="AG684">
        <f>IFERROR(MATCH(ROW()-1,Calc!$J$2:$J$1601,0),"")</f>
        <v/>
      </c>
      <c r="AH684">
        <f>IFERROR(MATCH(ROW()-1,Calc!$K$2:$K$1601,0),"")</f>
        <v/>
      </c>
      <c r="AI684">
        <f>IF($AG684="","",SUMIF($AG$2:$AG684,$AG684,$AH$2:$AH684))</f>
        <v/>
      </c>
      <c r="AJ684">
        <f>IF('TMP Paste'!$F684="","",IF('TMP Paste'!$B684="",$AJ683,'TMP Paste'!$B684))</f>
        <v/>
      </c>
      <c r="AK684">
        <f>IF('TMP Paste'!$F684="","",N('TMP Paste'!$G684))</f>
        <v/>
      </c>
      <c r="AL684">
        <f>IF('TMP Paste'!$F684="","",IF('TMP Paste'!$M684="",$AL683,'TMP Paste'!$M684))</f>
        <v/>
      </c>
      <c r="AM684">
        <f>IF('TMP Paste'!$F684="","",IF('TMP Paste'!$N684="",$AM683,'TMP Paste'!$N684))</f>
        <v/>
      </c>
      <c r="AN684">
        <f>IF('TMP Paste'!$F684="","",IF('TMP Paste'!$O684="",$AN683,'TMP Paste'!$O684))</f>
        <v/>
      </c>
      <c r="AO684">
        <f>IF('TMP Paste'!$F684="","",IF('TMP Paste'!$P684="",$AO683,'TMP Paste'!$P684))</f>
        <v/>
      </c>
      <c r="AP684">
        <f>IF($AG684="","",LEN($R684))</f>
        <v/>
      </c>
      <c r="AQ684">
        <f>IF($AG684="","",TRIM(IF(COUNTIFS(Calc!$B$2:$B$1601,ROW()-1,Calc!$C$2:$C$1601,"&lt;1")&gt;0,"Ada PO tanpa Koli - cek TMP. ","")&amp;IF(LEN($R684)&gt;500,"R &gt; 500 karakter.","")))</f>
        <v/>
      </c>
    </row>
    <row r="685">
      <c r="A685">
        <f>IF($AG685="","",INDEX('TMP Paste'!$B$2:$B$1601,$AG685))</f>
        <v/>
      </c>
      <c r="B685">
        <f>IF($AG685="","",Config!$B$14)</f>
        <v/>
      </c>
      <c r="C685">
        <f>IF($AG685="","",Config!$B$15)</f>
        <v/>
      </c>
      <c r="D685">
        <f>IF($AG685="","",INDEX('TMP Paste'!$B$2:$B$1601,$AG685))</f>
        <v/>
      </c>
      <c r="E685">
        <f>IF($AG685="","",Config!$B$27)</f>
        <v/>
      </c>
      <c r="F685">
        <f>IF($AG685="","",Config!$B$9)</f>
        <v/>
      </c>
      <c r="G685">
        <f>IF($AG685="","",Config!$B$10)</f>
        <v/>
      </c>
      <c r="H685">
        <f>IF($AG685="","",Config!$B$11)</f>
        <v/>
      </c>
      <c r="I685">
        <f>IF($AG685="","",Config!$B$16)</f>
        <v/>
      </c>
      <c r="J685">
        <f>IF($AG685="","",INDEX('TMP Paste'!$A$2:$A$1601,$AG685))</f>
        <v/>
      </c>
      <c r="K685">
        <f>IF($AG685="","",INDEX('TMP Paste'!$L$2:$L$1601,$AG685))</f>
        <v/>
      </c>
      <c r="L685">
        <f>IF($AG685="","",INDEX('TMP Paste'!$I$2:$I$1601,$AG685))</f>
        <v/>
      </c>
      <c r="M685">
        <f>IF($AG685="","",Config!$B$16)</f>
        <v/>
      </c>
      <c r="N685">
        <f>IF($AG685="","","")</f>
        <v/>
      </c>
      <c r="O685">
        <f>IF($AG685="","",INDEX('TMP Paste'!$K$2:$K$1601,$AG685))</f>
        <v/>
      </c>
      <c r="P685">
        <f>IF($AG685="","","")</f>
        <v/>
      </c>
      <c r="Q685">
        <f>IF($AG685="","",INDEX('TMP Paste'!$J$2:$J$1601,$AG685))</f>
        <v/>
      </c>
      <c r="R685">
        <f>IF($AG685="","",Config!$B$24)</f>
        <v/>
      </c>
      <c r="S685">
        <f>IF($AG685="","",TEXT(Config!$B$4,"yyyy-mm-dd"))</f>
        <v/>
      </c>
      <c r="T685">
        <f>IF($AG685="","",Config!$B$17)</f>
        <v/>
      </c>
      <c r="U685">
        <f>IF($AG685="","",Config!$B$18)</f>
        <v/>
      </c>
      <c r="V685">
        <f>IF($AG685="","",Config!$B$19)</f>
        <v/>
      </c>
      <c r="W685">
        <f>IF($AG685="","",INDEX('TMP Paste'!$C$2:$C$1601,$AG685))</f>
        <v/>
      </c>
      <c r="X685">
        <f>IF($AG685="","",Config!$B$29)</f>
        <v/>
      </c>
      <c r="Y685">
        <f>IF($AH685="","",INDEX(Calc!$I$2:$I$1601,$AH685)&amp;" - "&amp;INDEX(Calc!$D$2:$D$1601,$AH685)&amp;" koli")</f>
        <v/>
      </c>
      <c r="Z685">
        <f>IF($AG685="","",Config!$B$21)</f>
        <v/>
      </c>
      <c r="AA685">
        <f>IF($AG685="","",Config!$B$22)</f>
        <v/>
      </c>
      <c r="AB685">
        <f>IF($AH685="","",INDEX(Calc!$D$2:$D$1601,$AH685))</f>
        <v/>
      </c>
      <c r="AC685">
        <f>IF($AH685="","",INDEX(Calc!$G$2:$G$1601,$AH685))</f>
        <v/>
      </c>
      <c r="AD685">
        <f>IF($AG685="","",Config!$B$23)</f>
        <v/>
      </c>
      <c r="AE685">
        <f>IF($AG685="","",Config!$B$28)</f>
        <v/>
      </c>
      <c r="AG685">
        <f>IFERROR(MATCH(ROW()-1,Calc!$J$2:$J$1601,0),"")</f>
        <v/>
      </c>
      <c r="AH685">
        <f>IFERROR(MATCH(ROW()-1,Calc!$K$2:$K$1601,0),"")</f>
        <v/>
      </c>
      <c r="AI685">
        <f>IF($AG685="","",SUMIF($AG$2:$AG685,$AG685,$AH$2:$AH685))</f>
        <v/>
      </c>
      <c r="AJ685">
        <f>IF('TMP Paste'!$F685="","",IF('TMP Paste'!$B685="",$AJ684,'TMP Paste'!$B685))</f>
        <v/>
      </c>
      <c r="AK685">
        <f>IF('TMP Paste'!$F685="","",N('TMP Paste'!$G685))</f>
        <v/>
      </c>
      <c r="AL685">
        <f>IF('TMP Paste'!$F685="","",IF('TMP Paste'!$M685="",$AL684,'TMP Paste'!$M685))</f>
        <v/>
      </c>
      <c r="AM685">
        <f>IF('TMP Paste'!$F685="","",IF('TMP Paste'!$N685="",$AM684,'TMP Paste'!$N685))</f>
        <v/>
      </c>
      <c r="AN685">
        <f>IF('TMP Paste'!$F685="","",IF('TMP Paste'!$O685="",$AN684,'TMP Paste'!$O685))</f>
        <v/>
      </c>
      <c r="AO685">
        <f>IF('TMP Paste'!$F685="","",IF('TMP Paste'!$P685="",$AO684,'TMP Paste'!$P685))</f>
        <v/>
      </c>
      <c r="AP685">
        <f>IF($AG685="","",LEN($R685))</f>
        <v/>
      </c>
      <c r="AQ685">
        <f>IF($AG685="","",TRIM(IF(COUNTIFS(Calc!$B$2:$B$1601,ROW()-1,Calc!$C$2:$C$1601,"&lt;1")&gt;0,"Ada PO tanpa Koli - cek TMP. ","")&amp;IF(LEN($R685)&gt;500,"R &gt; 500 karakter.","")))</f>
        <v/>
      </c>
    </row>
    <row r="686">
      <c r="A686">
        <f>IF($AG686="","",INDEX('TMP Paste'!$B$2:$B$1601,$AG686))</f>
        <v/>
      </c>
      <c r="B686">
        <f>IF($AG686="","",Config!$B$14)</f>
        <v/>
      </c>
      <c r="C686">
        <f>IF($AG686="","",Config!$B$15)</f>
        <v/>
      </c>
      <c r="D686">
        <f>IF($AG686="","",INDEX('TMP Paste'!$B$2:$B$1601,$AG686))</f>
        <v/>
      </c>
      <c r="E686">
        <f>IF($AG686="","",Config!$B$27)</f>
        <v/>
      </c>
      <c r="F686">
        <f>IF($AG686="","",Config!$B$9)</f>
        <v/>
      </c>
      <c r="G686">
        <f>IF($AG686="","",Config!$B$10)</f>
        <v/>
      </c>
      <c r="H686">
        <f>IF($AG686="","",Config!$B$11)</f>
        <v/>
      </c>
      <c r="I686">
        <f>IF($AG686="","",Config!$B$16)</f>
        <v/>
      </c>
      <c r="J686">
        <f>IF($AG686="","",INDEX('TMP Paste'!$A$2:$A$1601,$AG686))</f>
        <v/>
      </c>
      <c r="K686">
        <f>IF($AG686="","",INDEX('TMP Paste'!$L$2:$L$1601,$AG686))</f>
        <v/>
      </c>
      <c r="L686">
        <f>IF($AG686="","",INDEX('TMP Paste'!$I$2:$I$1601,$AG686))</f>
        <v/>
      </c>
      <c r="M686">
        <f>IF($AG686="","",Config!$B$16)</f>
        <v/>
      </c>
      <c r="N686">
        <f>IF($AG686="","","")</f>
        <v/>
      </c>
      <c r="O686">
        <f>IF($AG686="","",INDEX('TMP Paste'!$K$2:$K$1601,$AG686))</f>
        <v/>
      </c>
      <c r="P686">
        <f>IF($AG686="","","")</f>
        <v/>
      </c>
      <c r="Q686">
        <f>IF($AG686="","",INDEX('TMP Paste'!$J$2:$J$1601,$AG686))</f>
        <v/>
      </c>
      <c r="R686">
        <f>IF($AG686="","",Config!$B$24)</f>
        <v/>
      </c>
      <c r="S686">
        <f>IF($AG686="","",TEXT(Config!$B$4,"yyyy-mm-dd"))</f>
        <v/>
      </c>
      <c r="T686">
        <f>IF($AG686="","",Config!$B$17)</f>
        <v/>
      </c>
      <c r="U686">
        <f>IF($AG686="","",Config!$B$18)</f>
        <v/>
      </c>
      <c r="V686">
        <f>IF($AG686="","",Config!$B$19)</f>
        <v/>
      </c>
      <c r="W686">
        <f>IF($AG686="","",INDEX('TMP Paste'!$C$2:$C$1601,$AG686))</f>
        <v/>
      </c>
      <c r="X686">
        <f>IF($AG686="","",Config!$B$29)</f>
        <v/>
      </c>
      <c r="Y686">
        <f>IF($AH686="","",INDEX(Calc!$I$2:$I$1601,$AH686)&amp;" - "&amp;INDEX(Calc!$D$2:$D$1601,$AH686)&amp;" koli")</f>
        <v/>
      </c>
      <c r="Z686">
        <f>IF($AG686="","",Config!$B$21)</f>
        <v/>
      </c>
      <c r="AA686">
        <f>IF($AG686="","",Config!$B$22)</f>
        <v/>
      </c>
      <c r="AB686">
        <f>IF($AH686="","",INDEX(Calc!$D$2:$D$1601,$AH686))</f>
        <v/>
      </c>
      <c r="AC686">
        <f>IF($AH686="","",INDEX(Calc!$G$2:$G$1601,$AH686))</f>
        <v/>
      </c>
      <c r="AD686">
        <f>IF($AG686="","",Config!$B$23)</f>
        <v/>
      </c>
      <c r="AE686">
        <f>IF($AG686="","",Config!$B$28)</f>
        <v/>
      </c>
      <c r="AG686">
        <f>IFERROR(MATCH(ROW()-1,Calc!$J$2:$J$1601,0),"")</f>
        <v/>
      </c>
      <c r="AH686">
        <f>IFERROR(MATCH(ROW()-1,Calc!$K$2:$K$1601,0),"")</f>
        <v/>
      </c>
      <c r="AI686">
        <f>IF($AG686="","",SUMIF($AG$2:$AG686,$AG686,$AH$2:$AH686))</f>
        <v/>
      </c>
      <c r="AJ686">
        <f>IF('TMP Paste'!$F686="","",IF('TMP Paste'!$B686="",$AJ685,'TMP Paste'!$B686))</f>
        <v/>
      </c>
      <c r="AK686">
        <f>IF('TMP Paste'!$F686="","",N('TMP Paste'!$G686))</f>
        <v/>
      </c>
      <c r="AL686">
        <f>IF('TMP Paste'!$F686="","",IF('TMP Paste'!$M686="",$AL685,'TMP Paste'!$M686))</f>
        <v/>
      </c>
      <c r="AM686">
        <f>IF('TMP Paste'!$F686="","",IF('TMP Paste'!$N686="",$AM685,'TMP Paste'!$N686))</f>
        <v/>
      </c>
      <c r="AN686">
        <f>IF('TMP Paste'!$F686="","",IF('TMP Paste'!$O686="",$AN685,'TMP Paste'!$O686))</f>
        <v/>
      </c>
      <c r="AO686">
        <f>IF('TMP Paste'!$F686="","",IF('TMP Paste'!$P686="",$AO685,'TMP Paste'!$P686))</f>
        <v/>
      </c>
      <c r="AP686">
        <f>IF($AG686="","",LEN($R686))</f>
        <v/>
      </c>
      <c r="AQ686">
        <f>IF($AG686="","",TRIM(IF(COUNTIFS(Calc!$B$2:$B$1601,ROW()-1,Calc!$C$2:$C$1601,"&lt;1")&gt;0,"Ada PO tanpa Koli - cek TMP. ","")&amp;IF(LEN($R686)&gt;500,"R &gt; 500 karakter.","")))</f>
        <v/>
      </c>
    </row>
    <row r="687">
      <c r="A687">
        <f>IF($AG687="","",INDEX('TMP Paste'!$B$2:$B$1601,$AG687))</f>
        <v/>
      </c>
      <c r="B687">
        <f>IF($AG687="","",Config!$B$14)</f>
        <v/>
      </c>
      <c r="C687">
        <f>IF($AG687="","",Config!$B$15)</f>
        <v/>
      </c>
      <c r="D687">
        <f>IF($AG687="","",INDEX('TMP Paste'!$B$2:$B$1601,$AG687))</f>
        <v/>
      </c>
      <c r="E687">
        <f>IF($AG687="","",Config!$B$27)</f>
        <v/>
      </c>
      <c r="F687">
        <f>IF($AG687="","",Config!$B$9)</f>
        <v/>
      </c>
      <c r="G687">
        <f>IF($AG687="","",Config!$B$10)</f>
        <v/>
      </c>
      <c r="H687">
        <f>IF($AG687="","",Config!$B$11)</f>
        <v/>
      </c>
      <c r="I687">
        <f>IF($AG687="","",Config!$B$16)</f>
        <v/>
      </c>
      <c r="J687">
        <f>IF($AG687="","",INDEX('TMP Paste'!$A$2:$A$1601,$AG687))</f>
        <v/>
      </c>
      <c r="K687">
        <f>IF($AG687="","",INDEX('TMP Paste'!$L$2:$L$1601,$AG687))</f>
        <v/>
      </c>
      <c r="L687">
        <f>IF($AG687="","",INDEX('TMP Paste'!$I$2:$I$1601,$AG687))</f>
        <v/>
      </c>
      <c r="M687">
        <f>IF($AG687="","",Config!$B$16)</f>
        <v/>
      </c>
      <c r="N687">
        <f>IF($AG687="","","")</f>
        <v/>
      </c>
      <c r="O687">
        <f>IF($AG687="","",INDEX('TMP Paste'!$K$2:$K$1601,$AG687))</f>
        <v/>
      </c>
      <c r="P687">
        <f>IF($AG687="","","")</f>
        <v/>
      </c>
      <c r="Q687">
        <f>IF($AG687="","",INDEX('TMP Paste'!$J$2:$J$1601,$AG687))</f>
        <v/>
      </c>
      <c r="R687">
        <f>IF($AG687="","",Config!$B$24)</f>
        <v/>
      </c>
      <c r="S687">
        <f>IF($AG687="","",TEXT(Config!$B$4,"yyyy-mm-dd"))</f>
        <v/>
      </c>
      <c r="T687">
        <f>IF($AG687="","",Config!$B$17)</f>
        <v/>
      </c>
      <c r="U687">
        <f>IF($AG687="","",Config!$B$18)</f>
        <v/>
      </c>
      <c r="V687">
        <f>IF($AG687="","",Config!$B$19)</f>
        <v/>
      </c>
      <c r="W687">
        <f>IF($AG687="","",INDEX('TMP Paste'!$C$2:$C$1601,$AG687))</f>
        <v/>
      </c>
      <c r="X687">
        <f>IF($AG687="","",Config!$B$29)</f>
        <v/>
      </c>
      <c r="Y687">
        <f>IF($AH687="","",INDEX(Calc!$I$2:$I$1601,$AH687)&amp;" - "&amp;INDEX(Calc!$D$2:$D$1601,$AH687)&amp;" koli")</f>
        <v/>
      </c>
      <c r="Z687">
        <f>IF($AG687="","",Config!$B$21)</f>
        <v/>
      </c>
      <c r="AA687">
        <f>IF($AG687="","",Config!$B$22)</f>
        <v/>
      </c>
      <c r="AB687">
        <f>IF($AH687="","",INDEX(Calc!$D$2:$D$1601,$AH687))</f>
        <v/>
      </c>
      <c r="AC687">
        <f>IF($AH687="","",INDEX(Calc!$G$2:$G$1601,$AH687))</f>
        <v/>
      </c>
      <c r="AD687">
        <f>IF($AG687="","",Config!$B$23)</f>
        <v/>
      </c>
      <c r="AE687">
        <f>IF($AG687="","",Config!$B$28)</f>
        <v/>
      </c>
      <c r="AG687">
        <f>IFERROR(MATCH(ROW()-1,Calc!$J$2:$J$1601,0),"")</f>
        <v/>
      </c>
      <c r="AH687">
        <f>IFERROR(MATCH(ROW()-1,Calc!$K$2:$K$1601,0),"")</f>
        <v/>
      </c>
      <c r="AI687">
        <f>IF($AG687="","",SUMIF($AG$2:$AG687,$AG687,$AH$2:$AH687))</f>
        <v/>
      </c>
      <c r="AJ687">
        <f>IF('TMP Paste'!$F687="","",IF('TMP Paste'!$B687="",$AJ686,'TMP Paste'!$B687))</f>
        <v/>
      </c>
      <c r="AK687">
        <f>IF('TMP Paste'!$F687="","",N('TMP Paste'!$G687))</f>
        <v/>
      </c>
      <c r="AL687">
        <f>IF('TMP Paste'!$F687="","",IF('TMP Paste'!$M687="",$AL686,'TMP Paste'!$M687))</f>
        <v/>
      </c>
      <c r="AM687">
        <f>IF('TMP Paste'!$F687="","",IF('TMP Paste'!$N687="",$AM686,'TMP Paste'!$N687))</f>
        <v/>
      </c>
      <c r="AN687">
        <f>IF('TMP Paste'!$F687="","",IF('TMP Paste'!$O687="",$AN686,'TMP Paste'!$O687))</f>
        <v/>
      </c>
      <c r="AO687">
        <f>IF('TMP Paste'!$F687="","",IF('TMP Paste'!$P687="",$AO686,'TMP Paste'!$P687))</f>
        <v/>
      </c>
      <c r="AP687">
        <f>IF($AG687="","",LEN($R687))</f>
        <v/>
      </c>
      <c r="AQ687">
        <f>IF($AG687="","",TRIM(IF(COUNTIFS(Calc!$B$2:$B$1601,ROW()-1,Calc!$C$2:$C$1601,"&lt;1")&gt;0,"Ada PO tanpa Koli - cek TMP. ","")&amp;IF(LEN($R687)&gt;500,"R &gt; 500 karakter.","")))</f>
        <v/>
      </c>
    </row>
    <row r="688">
      <c r="A688">
        <f>IF($AG688="","",INDEX('TMP Paste'!$B$2:$B$1601,$AG688))</f>
        <v/>
      </c>
      <c r="B688">
        <f>IF($AG688="","",Config!$B$14)</f>
        <v/>
      </c>
      <c r="C688">
        <f>IF($AG688="","",Config!$B$15)</f>
        <v/>
      </c>
      <c r="D688">
        <f>IF($AG688="","",INDEX('TMP Paste'!$B$2:$B$1601,$AG688))</f>
        <v/>
      </c>
      <c r="E688">
        <f>IF($AG688="","",Config!$B$27)</f>
        <v/>
      </c>
      <c r="F688">
        <f>IF($AG688="","",Config!$B$9)</f>
        <v/>
      </c>
      <c r="G688">
        <f>IF($AG688="","",Config!$B$10)</f>
        <v/>
      </c>
      <c r="H688">
        <f>IF($AG688="","",Config!$B$11)</f>
        <v/>
      </c>
      <c r="I688">
        <f>IF($AG688="","",Config!$B$16)</f>
        <v/>
      </c>
      <c r="J688">
        <f>IF($AG688="","",INDEX('TMP Paste'!$A$2:$A$1601,$AG688))</f>
        <v/>
      </c>
      <c r="K688">
        <f>IF($AG688="","",INDEX('TMP Paste'!$L$2:$L$1601,$AG688))</f>
        <v/>
      </c>
      <c r="L688">
        <f>IF($AG688="","",INDEX('TMP Paste'!$I$2:$I$1601,$AG688))</f>
        <v/>
      </c>
      <c r="M688">
        <f>IF($AG688="","",Config!$B$16)</f>
        <v/>
      </c>
      <c r="N688">
        <f>IF($AG688="","","")</f>
        <v/>
      </c>
      <c r="O688">
        <f>IF($AG688="","",INDEX('TMP Paste'!$K$2:$K$1601,$AG688))</f>
        <v/>
      </c>
      <c r="P688">
        <f>IF($AG688="","","")</f>
        <v/>
      </c>
      <c r="Q688">
        <f>IF($AG688="","",INDEX('TMP Paste'!$J$2:$J$1601,$AG688))</f>
        <v/>
      </c>
      <c r="R688">
        <f>IF($AG688="","",Config!$B$24)</f>
        <v/>
      </c>
      <c r="S688">
        <f>IF($AG688="","",TEXT(Config!$B$4,"yyyy-mm-dd"))</f>
        <v/>
      </c>
      <c r="T688">
        <f>IF($AG688="","",Config!$B$17)</f>
        <v/>
      </c>
      <c r="U688">
        <f>IF($AG688="","",Config!$B$18)</f>
        <v/>
      </c>
      <c r="V688">
        <f>IF($AG688="","",Config!$B$19)</f>
        <v/>
      </c>
      <c r="W688">
        <f>IF($AG688="","",INDEX('TMP Paste'!$C$2:$C$1601,$AG688))</f>
        <v/>
      </c>
      <c r="X688">
        <f>IF($AG688="","",Config!$B$29)</f>
        <v/>
      </c>
      <c r="Y688">
        <f>IF($AH688="","",INDEX(Calc!$I$2:$I$1601,$AH688)&amp;" - "&amp;INDEX(Calc!$D$2:$D$1601,$AH688)&amp;" koli")</f>
        <v/>
      </c>
      <c r="Z688">
        <f>IF($AG688="","",Config!$B$21)</f>
        <v/>
      </c>
      <c r="AA688">
        <f>IF($AG688="","",Config!$B$22)</f>
        <v/>
      </c>
      <c r="AB688">
        <f>IF($AH688="","",INDEX(Calc!$D$2:$D$1601,$AH688))</f>
        <v/>
      </c>
      <c r="AC688">
        <f>IF($AH688="","",INDEX(Calc!$G$2:$G$1601,$AH688))</f>
        <v/>
      </c>
      <c r="AD688">
        <f>IF($AG688="","",Config!$B$23)</f>
        <v/>
      </c>
      <c r="AE688">
        <f>IF($AG688="","",Config!$B$28)</f>
        <v/>
      </c>
      <c r="AG688">
        <f>IFERROR(MATCH(ROW()-1,Calc!$J$2:$J$1601,0),"")</f>
        <v/>
      </c>
      <c r="AH688">
        <f>IFERROR(MATCH(ROW()-1,Calc!$K$2:$K$1601,0),"")</f>
        <v/>
      </c>
      <c r="AI688">
        <f>IF($AG688="","",SUMIF($AG$2:$AG688,$AG688,$AH$2:$AH688))</f>
        <v/>
      </c>
      <c r="AJ688">
        <f>IF('TMP Paste'!$F688="","",IF('TMP Paste'!$B688="",$AJ687,'TMP Paste'!$B688))</f>
        <v/>
      </c>
      <c r="AK688">
        <f>IF('TMP Paste'!$F688="","",N('TMP Paste'!$G688))</f>
        <v/>
      </c>
      <c r="AL688">
        <f>IF('TMP Paste'!$F688="","",IF('TMP Paste'!$M688="",$AL687,'TMP Paste'!$M688))</f>
        <v/>
      </c>
      <c r="AM688">
        <f>IF('TMP Paste'!$F688="","",IF('TMP Paste'!$N688="",$AM687,'TMP Paste'!$N688))</f>
        <v/>
      </c>
      <c r="AN688">
        <f>IF('TMP Paste'!$F688="","",IF('TMP Paste'!$O688="",$AN687,'TMP Paste'!$O688))</f>
        <v/>
      </c>
      <c r="AO688">
        <f>IF('TMP Paste'!$F688="","",IF('TMP Paste'!$P688="",$AO687,'TMP Paste'!$P688))</f>
        <v/>
      </c>
      <c r="AP688">
        <f>IF($AG688="","",LEN($R688))</f>
        <v/>
      </c>
      <c r="AQ688">
        <f>IF($AG688="","",TRIM(IF(COUNTIFS(Calc!$B$2:$B$1601,ROW()-1,Calc!$C$2:$C$1601,"&lt;1")&gt;0,"Ada PO tanpa Koli - cek TMP. ","")&amp;IF(LEN($R688)&gt;500,"R &gt; 500 karakter.","")))</f>
        <v/>
      </c>
    </row>
    <row r="689">
      <c r="A689">
        <f>IF($AG689="","",INDEX('TMP Paste'!$B$2:$B$1601,$AG689))</f>
        <v/>
      </c>
      <c r="B689">
        <f>IF($AG689="","",Config!$B$14)</f>
        <v/>
      </c>
      <c r="C689">
        <f>IF($AG689="","",Config!$B$15)</f>
        <v/>
      </c>
      <c r="D689">
        <f>IF($AG689="","",INDEX('TMP Paste'!$B$2:$B$1601,$AG689))</f>
        <v/>
      </c>
      <c r="E689">
        <f>IF($AG689="","",Config!$B$27)</f>
        <v/>
      </c>
      <c r="F689">
        <f>IF($AG689="","",Config!$B$9)</f>
        <v/>
      </c>
      <c r="G689">
        <f>IF($AG689="","",Config!$B$10)</f>
        <v/>
      </c>
      <c r="H689">
        <f>IF($AG689="","",Config!$B$11)</f>
        <v/>
      </c>
      <c r="I689">
        <f>IF($AG689="","",Config!$B$16)</f>
        <v/>
      </c>
      <c r="J689">
        <f>IF($AG689="","",INDEX('TMP Paste'!$A$2:$A$1601,$AG689))</f>
        <v/>
      </c>
      <c r="K689">
        <f>IF($AG689="","",INDEX('TMP Paste'!$L$2:$L$1601,$AG689))</f>
        <v/>
      </c>
      <c r="L689">
        <f>IF($AG689="","",INDEX('TMP Paste'!$I$2:$I$1601,$AG689))</f>
        <v/>
      </c>
      <c r="M689">
        <f>IF($AG689="","",Config!$B$16)</f>
        <v/>
      </c>
      <c r="N689">
        <f>IF($AG689="","","")</f>
        <v/>
      </c>
      <c r="O689">
        <f>IF($AG689="","",INDEX('TMP Paste'!$K$2:$K$1601,$AG689))</f>
        <v/>
      </c>
      <c r="P689">
        <f>IF($AG689="","","")</f>
        <v/>
      </c>
      <c r="Q689">
        <f>IF($AG689="","",INDEX('TMP Paste'!$J$2:$J$1601,$AG689))</f>
        <v/>
      </c>
      <c r="R689">
        <f>IF($AG689="","",Config!$B$24)</f>
        <v/>
      </c>
      <c r="S689">
        <f>IF($AG689="","",TEXT(Config!$B$4,"yyyy-mm-dd"))</f>
        <v/>
      </c>
      <c r="T689">
        <f>IF($AG689="","",Config!$B$17)</f>
        <v/>
      </c>
      <c r="U689">
        <f>IF($AG689="","",Config!$B$18)</f>
        <v/>
      </c>
      <c r="V689">
        <f>IF($AG689="","",Config!$B$19)</f>
        <v/>
      </c>
      <c r="W689">
        <f>IF($AG689="","",INDEX('TMP Paste'!$C$2:$C$1601,$AG689))</f>
        <v/>
      </c>
      <c r="X689">
        <f>IF($AG689="","",Config!$B$29)</f>
        <v/>
      </c>
      <c r="Y689">
        <f>IF($AH689="","",INDEX(Calc!$I$2:$I$1601,$AH689)&amp;" - "&amp;INDEX(Calc!$D$2:$D$1601,$AH689)&amp;" koli")</f>
        <v/>
      </c>
      <c r="Z689">
        <f>IF($AG689="","",Config!$B$21)</f>
        <v/>
      </c>
      <c r="AA689">
        <f>IF($AG689="","",Config!$B$22)</f>
        <v/>
      </c>
      <c r="AB689">
        <f>IF($AH689="","",INDEX(Calc!$D$2:$D$1601,$AH689))</f>
        <v/>
      </c>
      <c r="AC689">
        <f>IF($AH689="","",INDEX(Calc!$G$2:$G$1601,$AH689))</f>
        <v/>
      </c>
      <c r="AD689">
        <f>IF($AG689="","",Config!$B$23)</f>
        <v/>
      </c>
      <c r="AE689">
        <f>IF($AG689="","",Config!$B$28)</f>
        <v/>
      </c>
      <c r="AG689">
        <f>IFERROR(MATCH(ROW()-1,Calc!$J$2:$J$1601,0),"")</f>
        <v/>
      </c>
      <c r="AH689">
        <f>IFERROR(MATCH(ROW()-1,Calc!$K$2:$K$1601,0),"")</f>
        <v/>
      </c>
      <c r="AI689">
        <f>IF($AG689="","",SUMIF($AG$2:$AG689,$AG689,$AH$2:$AH689))</f>
        <v/>
      </c>
      <c r="AJ689">
        <f>IF('TMP Paste'!$F689="","",IF('TMP Paste'!$B689="",$AJ688,'TMP Paste'!$B689))</f>
        <v/>
      </c>
      <c r="AK689">
        <f>IF('TMP Paste'!$F689="","",N('TMP Paste'!$G689))</f>
        <v/>
      </c>
      <c r="AL689">
        <f>IF('TMP Paste'!$F689="","",IF('TMP Paste'!$M689="",$AL688,'TMP Paste'!$M689))</f>
        <v/>
      </c>
      <c r="AM689">
        <f>IF('TMP Paste'!$F689="","",IF('TMP Paste'!$N689="",$AM688,'TMP Paste'!$N689))</f>
        <v/>
      </c>
      <c r="AN689">
        <f>IF('TMP Paste'!$F689="","",IF('TMP Paste'!$O689="",$AN688,'TMP Paste'!$O689))</f>
        <v/>
      </c>
      <c r="AO689">
        <f>IF('TMP Paste'!$F689="","",IF('TMP Paste'!$P689="",$AO688,'TMP Paste'!$P689))</f>
        <v/>
      </c>
      <c r="AP689">
        <f>IF($AG689="","",LEN($R689))</f>
        <v/>
      </c>
      <c r="AQ689">
        <f>IF($AG689="","",TRIM(IF(COUNTIFS(Calc!$B$2:$B$1601,ROW()-1,Calc!$C$2:$C$1601,"&lt;1")&gt;0,"Ada PO tanpa Koli - cek TMP. ","")&amp;IF(LEN($R689)&gt;500,"R &gt; 500 karakter.","")))</f>
        <v/>
      </c>
    </row>
    <row r="690">
      <c r="A690">
        <f>IF($AG690="","",INDEX('TMP Paste'!$B$2:$B$1601,$AG690))</f>
        <v/>
      </c>
      <c r="B690">
        <f>IF($AG690="","",Config!$B$14)</f>
        <v/>
      </c>
      <c r="C690">
        <f>IF($AG690="","",Config!$B$15)</f>
        <v/>
      </c>
      <c r="D690">
        <f>IF($AG690="","",INDEX('TMP Paste'!$B$2:$B$1601,$AG690))</f>
        <v/>
      </c>
      <c r="E690">
        <f>IF($AG690="","",Config!$B$27)</f>
        <v/>
      </c>
      <c r="F690">
        <f>IF($AG690="","",Config!$B$9)</f>
        <v/>
      </c>
      <c r="G690">
        <f>IF($AG690="","",Config!$B$10)</f>
        <v/>
      </c>
      <c r="H690">
        <f>IF($AG690="","",Config!$B$11)</f>
        <v/>
      </c>
      <c r="I690">
        <f>IF($AG690="","",Config!$B$16)</f>
        <v/>
      </c>
      <c r="J690">
        <f>IF($AG690="","",INDEX('TMP Paste'!$A$2:$A$1601,$AG690))</f>
        <v/>
      </c>
      <c r="K690">
        <f>IF($AG690="","",INDEX('TMP Paste'!$L$2:$L$1601,$AG690))</f>
        <v/>
      </c>
      <c r="L690">
        <f>IF($AG690="","",INDEX('TMP Paste'!$I$2:$I$1601,$AG690))</f>
        <v/>
      </c>
      <c r="M690">
        <f>IF($AG690="","",Config!$B$16)</f>
        <v/>
      </c>
      <c r="N690">
        <f>IF($AG690="","","")</f>
        <v/>
      </c>
      <c r="O690">
        <f>IF($AG690="","",INDEX('TMP Paste'!$K$2:$K$1601,$AG690))</f>
        <v/>
      </c>
      <c r="P690">
        <f>IF($AG690="","","")</f>
        <v/>
      </c>
      <c r="Q690">
        <f>IF($AG690="","",INDEX('TMP Paste'!$J$2:$J$1601,$AG690))</f>
        <v/>
      </c>
      <c r="R690">
        <f>IF($AG690="","",Config!$B$24)</f>
        <v/>
      </c>
      <c r="S690">
        <f>IF($AG690="","",TEXT(Config!$B$4,"yyyy-mm-dd"))</f>
        <v/>
      </c>
      <c r="T690">
        <f>IF($AG690="","",Config!$B$17)</f>
        <v/>
      </c>
      <c r="U690">
        <f>IF($AG690="","",Config!$B$18)</f>
        <v/>
      </c>
      <c r="V690">
        <f>IF($AG690="","",Config!$B$19)</f>
        <v/>
      </c>
      <c r="W690">
        <f>IF($AG690="","",INDEX('TMP Paste'!$C$2:$C$1601,$AG690))</f>
        <v/>
      </c>
      <c r="X690">
        <f>IF($AG690="","",Config!$B$29)</f>
        <v/>
      </c>
      <c r="Y690">
        <f>IF($AH690="","",INDEX(Calc!$I$2:$I$1601,$AH690)&amp;" - "&amp;INDEX(Calc!$D$2:$D$1601,$AH690)&amp;" koli")</f>
        <v/>
      </c>
      <c r="Z690">
        <f>IF($AG690="","",Config!$B$21)</f>
        <v/>
      </c>
      <c r="AA690">
        <f>IF($AG690="","",Config!$B$22)</f>
        <v/>
      </c>
      <c r="AB690">
        <f>IF($AH690="","",INDEX(Calc!$D$2:$D$1601,$AH690))</f>
        <v/>
      </c>
      <c r="AC690">
        <f>IF($AH690="","",INDEX(Calc!$G$2:$G$1601,$AH690))</f>
        <v/>
      </c>
      <c r="AD690">
        <f>IF($AG690="","",Config!$B$23)</f>
        <v/>
      </c>
      <c r="AE690">
        <f>IF($AG690="","",Config!$B$28)</f>
        <v/>
      </c>
      <c r="AG690">
        <f>IFERROR(MATCH(ROW()-1,Calc!$J$2:$J$1601,0),"")</f>
        <v/>
      </c>
      <c r="AH690">
        <f>IFERROR(MATCH(ROW()-1,Calc!$K$2:$K$1601,0),"")</f>
        <v/>
      </c>
      <c r="AI690">
        <f>IF($AG690="","",SUMIF($AG$2:$AG690,$AG690,$AH$2:$AH690))</f>
        <v/>
      </c>
      <c r="AJ690">
        <f>IF('TMP Paste'!$F690="","",IF('TMP Paste'!$B690="",$AJ689,'TMP Paste'!$B690))</f>
        <v/>
      </c>
      <c r="AK690">
        <f>IF('TMP Paste'!$F690="","",N('TMP Paste'!$G690))</f>
        <v/>
      </c>
      <c r="AL690">
        <f>IF('TMP Paste'!$F690="","",IF('TMP Paste'!$M690="",$AL689,'TMP Paste'!$M690))</f>
        <v/>
      </c>
      <c r="AM690">
        <f>IF('TMP Paste'!$F690="","",IF('TMP Paste'!$N690="",$AM689,'TMP Paste'!$N690))</f>
        <v/>
      </c>
      <c r="AN690">
        <f>IF('TMP Paste'!$F690="","",IF('TMP Paste'!$O690="",$AN689,'TMP Paste'!$O690))</f>
        <v/>
      </c>
      <c r="AO690">
        <f>IF('TMP Paste'!$F690="","",IF('TMP Paste'!$P690="",$AO689,'TMP Paste'!$P690))</f>
        <v/>
      </c>
      <c r="AP690">
        <f>IF($AG690="","",LEN($R690))</f>
        <v/>
      </c>
      <c r="AQ690">
        <f>IF($AG690="","",TRIM(IF(COUNTIFS(Calc!$B$2:$B$1601,ROW()-1,Calc!$C$2:$C$1601,"&lt;1")&gt;0,"Ada PO tanpa Koli - cek TMP. ","")&amp;IF(LEN($R690)&gt;500,"R &gt; 500 karakter.","")))</f>
        <v/>
      </c>
    </row>
    <row r="691">
      <c r="A691">
        <f>IF($AG691="","",INDEX('TMP Paste'!$B$2:$B$1601,$AG691))</f>
        <v/>
      </c>
      <c r="B691">
        <f>IF($AG691="","",Config!$B$14)</f>
        <v/>
      </c>
      <c r="C691">
        <f>IF($AG691="","",Config!$B$15)</f>
        <v/>
      </c>
      <c r="D691">
        <f>IF($AG691="","",INDEX('TMP Paste'!$B$2:$B$1601,$AG691))</f>
        <v/>
      </c>
      <c r="E691">
        <f>IF($AG691="","",Config!$B$27)</f>
        <v/>
      </c>
      <c r="F691">
        <f>IF($AG691="","",Config!$B$9)</f>
        <v/>
      </c>
      <c r="G691">
        <f>IF($AG691="","",Config!$B$10)</f>
        <v/>
      </c>
      <c r="H691">
        <f>IF($AG691="","",Config!$B$11)</f>
        <v/>
      </c>
      <c r="I691">
        <f>IF($AG691="","",Config!$B$16)</f>
        <v/>
      </c>
      <c r="J691">
        <f>IF($AG691="","",INDEX('TMP Paste'!$A$2:$A$1601,$AG691))</f>
        <v/>
      </c>
      <c r="K691">
        <f>IF($AG691="","",INDEX('TMP Paste'!$L$2:$L$1601,$AG691))</f>
        <v/>
      </c>
      <c r="L691">
        <f>IF($AG691="","",INDEX('TMP Paste'!$I$2:$I$1601,$AG691))</f>
        <v/>
      </c>
      <c r="M691">
        <f>IF($AG691="","",Config!$B$16)</f>
        <v/>
      </c>
      <c r="N691">
        <f>IF($AG691="","","")</f>
        <v/>
      </c>
      <c r="O691">
        <f>IF($AG691="","",INDEX('TMP Paste'!$K$2:$K$1601,$AG691))</f>
        <v/>
      </c>
      <c r="P691">
        <f>IF($AG691="","","")</f>
        <v/>
      </c>
      <c r="Q691">
        <f>IF($AG691="","",INDEX('TMP Paste'!$J$2:$J$1601,$AG691))</f>
        <v/>
      </c>
      <c r="R691">
        <f>IF($AG691="","",Config!$B$24)</f>
        <v/>
      </c>
      <c r="S691">
        <f>IF($AG691="","",TEXT(Config!$B$4,"yyyy-mm-dd"))</f>
        <v/>
      </c>
      <c r="T691">
        <f>IF($AG691="","",Config!$B$17)</f>
        <v/>
      </c>
      <c r="U691">
        <f>IF($AG691="","",Config!$B$18)</f>
        <v/>
      </c>
      <c r="V691">
        <f>IF($AG691="","",Config!$B$19)</f>
        <v/>
      </c>
      <c r="W691">
        <f>IF($AG691="","",INDEX('TMP Paste'!$C$2:$C$1601,$AG691))</f>
        <v/>
      </c>
      <c r="X691">
        <f>IF($AG691="","",Config!$B$29)</f>
        <v/>
      </c>
      <c r="Y691">
        <f>IF($AH691="","",INDEX(Calc!$I$2:$I$1601,$AH691)&amp;" - "&amp;INDEX(Calc!$D$2:$D$1601,$AH691)&amp;" koli")</f>
        <v/>
      </c>
      <c r="Z691">
        <f>IF($AG691="","",Config!$B$21)</f>
        <v/>
      </c>
      <c r="AA691">
        <f>IF($AG691="","",Config!$B$22)</f>
        <v/>
      </c>
      <c r="AB691">
        <f>IF($AH691="","",INDEX(Calc!$D$2:$D$1601,$AH691))</f>
        <v/>
      </c>
      <c r="AC691">
        <f>IF($AH691="","",INDEX(Calc!$G$2:$G$1601,$AH691))</f>
        <v/>
      </c>
      <c r="AD691">
        <f>IF($AG691="","",Config!$B$23)</f>
        <v/>
      </c>
      <c r="AE691">
        <f>IF($AG691="","",Config!$B$28)</f>
        <v/>
      </c>
      <c r="AG691">
        <f>IFERROR(MATCH(ROW()-1,Calc!$J$2:$J$1601,0),"")</f>
        <v/>
      </c>
      <c r="AH691">
        <f>IFERROR(MATCH(ROW()-1,Calc!$K$2:$K$1601,0),"")</f>
        <v/>
      </c>
      <c r="AI691">
        <f>IF($AG691="","",SUMIF($AG$2:$AG691,$AG691,$AH$2:$AH691))</f>
        <v/>
      </c>
      <c r="AJ691">
        <f>IF('TMP Paste'!$F691="","",IF('TMP Paste'!$B691="",$AJ690,'TMP Paste'!$B691))</f>
        <v/>
      </c>
      <c r="AK691">
        <f>IF('TMP Paste'!$F691="","",N('TMP Paste'!$G691))</f>
        <v/>
      </c>
      <c r="AL691">
        <f>IF('TMP Paste'!$F691="","",IF('TMP Paste'!$M691="",$AL690,'TMP Paste'!$M691))</f>
        <v/>
      </c>
      <c r="AM691">
        <f>IF('TMP Paste'!$F691="","",IF('TMP Paste'!$N691="",$AM690,'TMP Paste'!$N691))</f>
        <v/>
      </c>
      <c r="AN691">
        <f>IF('TMP Paste'!$F691="","",IF('TMP Paste'!$O691="",$AN690,'TMP Paste'!$O691))</f>
        <v/>
      </c>
      <c r="AO691">
        <f>IF('TMP Paste'!$F691="","",IF('TMP Paste'!$P691="",$AO690,'TMP Paste'!$P691))</f>
        <v/>
      </c>
      <c r="AP691">
        <f>IF($AG691="","",LEN($R691))</f>
        <v/>
      </c>
      <c r="AQ691">
        <f>IF($AG691="","",TRIM(IF(COUNTIFS(Calc!$B$2:$B$1601,ROW()-1,Calc!$C$2:$C$1601,"&lt;1")&gt;0,"Ada PO tanpa Koli - cek TMP. ","")&amp;IF(LEN($R691)&gt;500,"R &gt; 500 karakter.","")))</f>
        <v/>
      </c>
    </row>
    <row r="692">
      <c r="A692">
        <f>IF($AG692="","",INDEX('TMP Paste'!$B$2:$B$1601,$AG692))</f>
        <v/>
      </c>
      <c r="B692">
        <f>IF($AG692="","",Config!$B$14)</f>
        <v/>
      </c>
      <c r="C692">
        <f>IF($AG692="","",Config!$B$15)</f>
        <v/>
      </c>
      <c r="D692">
        <f>IF($AG692="","",INDEX('TMP Paste'!$B$2:$B$1601,$AG692))</f>
        <v/>
      </c>
      <c r="E692">
        <f>IF($AG692="","",Config!$B$27)</f>
        <v/>
      </c>
      <c r="F692">
        <f>IF($AG692="","",Config!$B$9)</f>
        <v/>
      </c>
      <c r="G692">
        <f>IF($AG692="","",Config!$B$10)</f>
        <v/>
      </c>
      <c r="H692">
        <f>IF($AG692="","",Config!$B$11)</f>
        <v/>
      </c>
      <c r="I692">
        <f>IF($AG692="","",Config!$B$16)</f>
        <v/>
      </c>
      <c r="J692">
        <f>IF($AG692="","",INDEX('TMP Paste'!$A$2:$A$1601,$AG692))</f>
        <v/>
      </c>
      <c r="K692">
        <f>IF($AG692="","",INDEX('TMP Paste'!$L$2:$L$1601,$AG692))</f>
        <v/>
      </c>
      <c r="L692">
        <f>IF($AG692="","",INDEX('TMP Paste'!$I$2:$I$1601,$AG692))</f>
        <v/>
      </c>
      <c r="M692">
        <f>IF($AG692="","",Config!$B$16)</f>
        <v/>
      </c>
      <c r="N692">
        <f>IF($AG692="","","")</f>
        <v/>
      </c>
      <c r="O692">
        <f>IF($AG692="","",INDEX('TMP Paste'!$K$2:$K$1601,$AG692))</f>
        <v/>
      </c>
      <c r="P692">
        <f>IF($AG692="","","")</f>
        <v/>
      </c>
      <c r="Q692">
        <f>IF($AG692="","",INDEX('TMP Paste'!$J$2:$J$1601,$AG692))</f>
        <v/>
      </c>
      <c r="R692">
        <f>IF($AG692="","",Config!$B$24)</f>
        <v/>
      </c>
      <c r="S692">
        <f>IF($AG692="","",TEXT(Config!$B$4,"yyyy-mm-dd"))</f>
        <v/>
      </c>
      <c r="T692">
        <f>IF($AG692="","",Config!$B$17)</f>
        <v/>
      </c>
      <c r="U692">
        <f>IF($AG692="","",Config!$B$18)</f>
        <v/>
      </c>
      <c r="V692">
        <f>IF($AG692="","",Config!$B$19)</f>
        <v/>
      </c>
      <c r="W692">
        <f>IF($AG692="","",INDEX('TMP Paste'!$C$2:$C$1601,$AG692))</f>
        <v/>
      </c>
      <c r="X692">
        <f>IF($AG692="","",Config!$B$29)</f>
        <v/>
      </c>
      <c r="Y692">
        <f>IF($AH692="","",INDEX(Calc!$I$2:$I$1601,$AH692)&amp;" - "&amp;INDEX(Calc!$D$2:$D$1601,$AH692)&amp;" koli")</f>
        <v/>
      </c>
      <c r="Z692">
        <f>IF($AG692="","",Config!$B$21)</f>
        <v/>
      </c>
      <c r="AA692">
        <f>IF($AG692="","",Config!$B$22)</f>
        <v/>
      </c>
      <c r="AB692">
        <f>IF($AH692="","",INDEX(Calc!$D$2:$D$1601,$AH692))</f>
        <v/>
      </c>
      <c r="AC692">
        <f>IF($AH692="","",INDEX(Calc!$G$2:$G$1601,$AH692))</f>
        <v/>
      </c>
      <c r="AD692">
        <f>IF($AG692="","",Config!$B$23)</f>
        <v/>
      </c>
      <c r="AE692">
        <f>IF($AG692="","",Config!$B$28)</f>
        <v/>
      </c>
      <c r="AG692">
        <f>IFERROR(MATCH(ROW()-1,Calc!$J$2:$J$1601,0),"")</f>
        <v/>
      </c>
      <c r="AH692">
        <f>IFERROR(MATCH(ROW()-1,Calc!$K$2:$K$1601,0),"")</f>
        <v/>
      </c>
      <c r="AI692">
        <f>IF($AG692="","",SUMIF($AG$2:$AG692,$AG692,$AH$2:$AH692))</f>
        <v/>
      </c>
      <c r="AJ692">
        <f>IF('TMP Paste'!$F692="","",IF('TMP Paste'!$B692="",$AJ691,'TMP Paste'!$B692))</f>
        <v/>
      </c>
      <c r="AK692">
        <f>IF('TMP Paste'!$F692="","",N('TMP Paste'!$G692))</f>
        <v/>
      </c>
      <c r="AL692">
        <f>IF('TMP Paste'!$F692="","",IF('TMP Paste'!$M692="",$AL691,'TMP Paste'!$M692))</f>
        <v/>
      </c>
      <c r="AM692">
        <f>IF('TMP Paste'!$F692="","",IF('TMP Paste'!$N692="",$AM691,'TMP Paste'!$N692))</f>
        <v/>
      </c>
      <c r="AN692">
        <f>IF('TMP Paste'!$F692="","",IF('TMP Paste'!$O692="",$AN691,'TMP Paste'!$O692))</f>
        <v/>
      </c>
      <c r="AO692">
        <f>IF('TMP Paste'!$F692="","",IF('TMP Paste'!$P692="",$AO691,'TMP Paste'!$P692))</f>
        <v/>
      </c>
      <c r="AP692">
        <f>IF($AG692="","",LEN($R692))</f>
        <v/>
      </c>
      <c r="AQ692">
        <f>IF($AG692="","",TRIM(IF(COUNTIFS(Calc!$B$2:$B$1601,ROW()-1,Calc!$C$2:$C$1601,"&lt;1")&gt;0,"Ada PO tanpa Koli - cek TMP. ","")&amp;IF(LEN($R692)&gt;500,"R &gt; 500 karakter.","")))</f>
        <v/>
      </c>
    </row>
    <row r="693">
      <c r="A693">
        <f>IF($AG693="","",INDEX('TMP Paste'!$B$2:$B$1601,$AG693))</f>
        <v/>
      </c>
      <c r="B693">
        <f>IF($AG693="","",Config!$B$14)</f>
        <v/>
      </c>
      <c r="C693">
        <f>IF($AG693="","",Config!$B$15)</f>
        <v/>
      </c>
      <c r="D693">
        <f>IF($AG693="","",INDEX('TMP Paste'!$B$2:$B$1601,$AG693))</f>
        <v/>
      </c>
      <c r="E693">
        <f>IF($AG693="","",Config!$B$27)</f>
        <v/>
      </c>
      <c r="F693">
        <f>IF($AG693="","",Config!$B$9)</f>
        <v/>
      </c>
      <c r="G693">
        <f>IF($AG693="","",Config!$B$10)</f>
        <v/>
      </c>
      <c r="H693">
        <f>IF($AG693="","",Config!$B$11)</f>
        <v/>
      </c>
      <c r="I693">
        <f>IF($AG693="","",Config!$B$16)</f>
        <v/>
      </c>
      <c r="J693">
        <f>IF($AG693="","",INDEX('TMP Paste'!$A$2:$A$1601,$AG693))</f>
        <v/>
      </c>
      <c r="K693">
        <f>IF($AG693="","",INDEX('TMP Paste'!$L$2:$L$1601,$AG693))</f>
        <v/>
      </c>
      <c r="L693">
        <f>IF($AG693="","",INDEX('TMP Paste'!$I$2:$I$1601,$AG693))</f>
        <v/>
      </c>
      <c r="M693">
        <f>IF($AG693="","",Config!$B$16)</f>
        <v/>
      </c>
      <c r="N693">
        <f>IF($AG693="","","")</f>
        <v/>
      </c>
      <c r="O693">
        <f>IF($AG693="","",INDEX('TMP Paste'!$K$2:$K$1601,$AG693))</f>
        <v/>
      </c>
      <c r="P693">
        <f>IF($AG693="","","")</f>
        <v/>
      </c>
      <c r="Q693">
        <f>IF($AG693="","",INDEX('TMP Paste'!$J$2:$J$1601,$AG693))</f>
        <v/>
      </c>
      <c r="R693">
        <f>IF($AG693="","",Config!$B$24)</f>
        <v/>
      </c>
      <c r="S693">
        <f>IF($AG693="","",TEXT(Config!$B$4,"yyyy-mm-dd"))</f>
        <v/>
      </c>
      <c r="T693">
        <f>IF($AG693="","",Config!$B$17)</f>
        <v/>
      </c>
      <c r="U693">
        <f>IF($AG693="","",Config!$B$18)</f>
        <v/>
      </c>
      <c r="V693">
        <f>IF($AG693="","",Config!$B$19)</f>
        <v/>
      </c>
      <c r="W693">
        <f>IF($AG693="","",INDEX('TMP Paste'!$C$2:$C$1601,$AG693))</f>
        <v/>
      </c>
      <c r="X693">
        <f>IF($AG693="","",Config!$B$29)</f>
        <v/>
      </c>
      <c r="Y693">
        <f>IF($AH693="","",INDEX(Calc!$I$2:$I$1601,$AH693)&amp;" - "&amp;INDEX(Calc!$D$2:$D$1601,$AH693)&amp;" koli")</f>
        <v/>
      </c>
      <c r="Z693">
        <f>IF($AG693="","",Config!$B$21)</f>
        <v/>
      </c>
      <c r="AA693">
        <f>IF($AG693="","",Config!$B$22)</f>
        <v/>
      </c>
      <c r="AB693">
        <f>IF($AH693="","",INDEX(Calc!$D$2:$D$1601,$AH693))</f>
        <v/>
      </c>
      <c r="AC693">
        <f>IF($AH693="","",INDEX(Calc!$G$2:$G$1601,$AH693))</f>
        <v/>
      </c>
      <c r="AD693">
        <f>IF($AG693="","",Config!$B$23)</f>
        <v/>
      </c>
      <c r="AE693">
        <f>IF($AG693="","",Config!$B$28)</f>
        <v/>
      </c>
      <c r="AG693">
        <f>IFERROR(MATCH(ROW()-1,Calc!$J$2:$J$1601,0),"")</f>
        <v/>
      </c>
      <c r="AH693">
        <f>IFERROR(MATCH(ROW()-1,Calc!$K$2:$K$1601,0),"")</f>
        <v/>
      </c>
      <c r="AI693">
        <f>IF($AG693="","",SUMIF($AG$2:$AG693,$AG693,$AH$2:$AH693))</f>
        <v/>
      </c>
      <c r="AJ693">
        <f>IF('TMP Paste'!$F693="","",IF('TMP Paste'!$B693="",$AJ692,'TMP Paste'!$B693))</f>
        <v/>
      </c>
      <c r="AK693">
        <f>IF('TMP Paste'!$F693="","",N('TMP Paste'!$G693))</f>
        <v/>
      </c>
      <c r="AL693">
        <f>IF('TMP Paste'!$F693="","",IF('TMP Paste'!$M693="",$AL692,'TMP Paste'!$M693))</f>
        <v/>
      </c>
      <c r="AM693">
        <f>IF('TMP Paste'!$F693="","",IF('TMP Paste'!$N693="",$AM692,'TMP Paste'!$N693))</f>
        <v/>
      </c>
      <c r="AN693">
        <f>IF('TMP Paste'!$F693="","",IF('TMP Paste'!$O693="",$AN692,'TMP Paste'!$O693))</f>
        <v/>
      </c>
      <c r="AO693">
        <f>IF('TMP Paste'!$F693="","",IF('TMP Paste'!$P693="",$AO692,'TMP Paste'!$P693))</f>
        <v/>
      </c>
      <c r="AP693">
        <f>IF($AG693="","",LEN($R693))</f>
        <v/>
      </c>
      <c r="AQ693">
        <f>IF($AG693="","",TRIM(IF(COUNTIFS(Calc!$B$2:$B$1601,ROW()-1,Calc!$C$2:$C$1601,"&lt;1")&gt;0,"Ada PO tanpa Koli - cek TMP. ","")&amp;IF(LEN($R693)&gt;500,"R &gt; 500 karakter.","")))</f>
        <v/>
      </c>
    </row>
    <row r="694">
      <c r="A694">
        <f>IF($AG694="","",INDEX('TMP Paste'!$B$2:$B$1601,$AG694))</f>
        <v/>
      </c>
      <c r="B694">
        <f>IF($AG694="","",Config!$B$14)</f>
        <v/>
      </c>
      <c r="C694">
        <f>IF($AG694="","",Config!$B$15)</f>
        <v/>
      </c>
      <c r="D694">
        <f>IF($AG694="","",INDEX('TMP Paste'!$B$2:$B$1601,$AG694))</f>
        <v/>
      </c>
      <c r="E694">
        <f>IF($AG694="","",Config!$B$27)</f>
        <v/>
      </c>
      <c r="F694">
        <f>IF($AG694="","",Config!$B$9)</f>
        <v/>
      </c>
      <c r="G694">
        <f>IF($AG694="","",Config!$B$10)</f>
        <v/>
      </c>
      <c r="H694">
        <f>IF($AG694="","",Config!$B$11)</f>
        <v/>
      </c>
      <c r="I694">
        <f>IF($AG694="","",Config!$B$16)</f>
        <v/>
      </c>
      <c r="J694">
        <f>IF($AG694="","",INDEX('TMP Paste'!$A$2:$A$1601,$AG694))</f>
        <v/>
      </c>
      <c r="K694">
        <f>IF($AG694="","",INDEX('TMP Paste'!$L$2:$L$1601,$AG694))</f>
        <v/>
      </c>
      <c r="L694">
        <f>IF($AG694="","",INDEX('TMP Paste'!$I$2:$I$1601,$AG694))</f>
        <v/>
      </c>
      <c r="M694">
        <f>IF($AG694="","",Config!$B$16)</f>
        <v/>
      </c>
      <c r="N694">
        <f>IF($AG694="","","")</f>
        <v/>
      </c>
      <c r="O694">
        <f>IF($AG694="","",INDEX('TMP Paste'!$K$2:$K$1601,$AG694))</f>
        <v/>
      </c>
      <c r="P694">
        <f>IF($AG694="","","")</f>
        <v/>
      </c>
      <c r="Q694">
        <f>IF($AG694="","",INDEX('TMP Paste'!$J$2:$J$1601,$AG694))</f>
        <v/>
      </c>
      <c r="R694">
        <f>IF($AG694="","",Config!$B$24)</f>
        <v/>
      </c>
      <c r="S694">
        <f>IF($AG694="","",TEXT(Config!$B$4,"yyyy-mm-dd"))</f>
        <v/>
      </c>
      <c r="T694">
        <f>IF($AG694="","",Config!$B$17)</f>
        <v/>
      </c>
      <c r="U694">
        <f>IF($AG694="","",Config!$B$18)</f>
        <v/>
      </c>
      <c r="V694">
        <f>IF($AG694="","",Config!$B$19)</f>
        <v/>
      </c>
      <c r="W694">
        <f>IF($AG694="","",INDEX('TMP Paste'!$C$2:$C$1601,$AG694))</f>
        <v/>
      </c>
      <c r="X694">
        <f>IF($AG694="","",Config!$B$29)</f>
        <v/>
      </c>
      <c r="Y694">
        <f>IF($AH694="","",INDEX(Calc!$I$2:$I$1601,$AH694)&amp;" - "&amp;INDEX(Calc!$D$2:$D$1601,$AH694)&amp;" koli")</f>
        <v/>
      </c>
      <c r="Z694">
        <f>IF($AG694="","",Config!$B$21)</f>
        <v/>
      </c>
      <c r="AA694">
        <f>IF($AG694="","",Config!$B$22)</f>
        <v/>
      </c>
      <c r="AB694">
        <f>IF($AH694="","",INDEX(Calc!$D$2:$D$1601,$AH694))</f>
        <v/>
      </c>
      <c r="AC694">
        <f>IF($AH694="","",INDEX(Calc!$G$2:$G$1601,$AH694))</f>
        <v/>
      </c>
      <c r="AD694">
        <f>IF($AG694="","",Config!$B$23)</f>
        <v/>
      </c>
      <c r="AE694">
        <f>IF($AG694="","",Config!$B$28)</f>
        <v/>
      </c>
      <c r="AG694">
        <f>IFERROR(MATCH(ROW()-1,Calc!$J$2:$J$1601,0),"")</f>
        <v/>
      </c>
      <c r="AH694">
        <f>IFERROR(MATCH(ROW()-1,Calc!$K$2:$K$1601,0),"")</f>
        <v/>
      </c>
      <c r="AI694">
        <f>IF($AG694="","",SUMIF($AG$2:$AG694,$AG694,$AH$2:$AH694))</f>
        <v/>
      </c>
      <c r="AJ694">
        <f>IF('TMP Paste'!$F694="","",IF('TMP Paste'!$B694="",$AJ693,'TMP Paste'!$B694))</f>
        <v/>
      </c>
      <c r="AK694">
        <f>IF('TMP Paste'!$F694="","",N('TMP Paste'!$G694))</f>
        <v/>
      </c>
      <c r="AL694">
        <f>IF('TMP Paste'!$F694="","",IF('TMP Paste'!$M694="",$AL693,'TMP Paste'!$M694))</f>
        <v/>
      </c>
      <c r="AM694">
        <f>IF('TMP Paste'!$F694="","",IF('TMP Paste'!$N694="",$AM693,'TMP Paste'!$N694))</f>
        <v/>
      </c>
      <c r="AN694">
        <f>IF('TMP Paste'!$F694="","",IF('TMP Paste'!$O694="",$AN693,'TMP Paste'!$O694))</f>
        <v/>
      </c>
      <c r="AO694">
        <f>IF('TMP Paste'!$F694="","",IF('TMP Paste'!$P694="",$AO693,'TMP Paste'!$P694))</f>
        <v/>
      </c>
      <c r="AP694">
        <f>IF($AG694="","",LEN($R694))</f>
        <v/>
      </c>
      <c r="AQ694">
        <f>IF($AG694="","",TRIM(IF(COUNTIFS(Calc!$B$2:$B$1601,ROW()-1,Calc!$C$2:$C$1601,"&lt;1")&gt;0,"Ada PO tanpa Koli - cek TMP. ","")&amp;IF(LEN($R694)&gt;500,"R &gt; 500 karakter.","")))</f>
        <v/>
      </c>
    </row>
    <row r="695">
      <c r="A695">
        <f>IF($AG695="","",INDEX('TMP Paste'!$B$2:$B$1601,$AG695))</f>
        <v/>
      </c>
      <c r="B695">
        <f>IF($AG695="","",Config!$B$14)</f>
        <v/>
      </c>
      <c r="C695">
        <f>IF($AG695="","",Config!$B$15)</f>
        <v/>
      </c>
      <c r="D695">
        <f>IF($AG695="","",INDEX('TMP Paste'!$B$2:$B$1601,$AG695))</f>
        <v/>
      </c>
      <c r="E695">
        <f>IF($AG695="","",Config!$B$27)</f>
        <v/>
      </c>
      <c r="F695">
        <f>IF($AG695="","",Config!$B$9)</f>
        <v/>
      </c>
      <c r="G695">
        <f>IF($AG695="","",Config!$B$10)</f>
        <v/>
      </c>
      <c r="H695">
        <f>IF($AG695="","",Config!$B$11)</f>
        <v/>
      </c>
      <c r="I695">
        <f>IF($AG695="","",Config!$B$16)</f>
        <v/>
      </c>
      <c r="J695">
        <f>IF($AG695="","",INDEX('TMP Paste'!$A$2:$A$1601,$AG695))</f>
        <v/>
      </c>
      <c r="K695">
        <f>IF($AG695="","",INDEX('TMP Paste'!$L$2:$L$1601,$AG695))</f>
        <v/>
      </c>
      <c r="L695">
        <f>IF($AG695="","",INDEX('TMP Paste'!$I$2:$I$1601,$AG695))</f>
        <v/>
      </c>
      <c r="M695">
        <f>IF($AG695="","",Config!$B$16)</f>
        <v/>
      </c>
      <c r="N695">
        <f>IF($AG695="","","")</f>
        <v/>
      </c>
      <c r="O695">
        <f>IF($AG695="","",INDEX('TMP Paste'!$K$2:$K$1601,$AG695))</f>
        <v/>
      </c>
      <c r="P695">
        <f>IF($AG695="","","")</f>
        <v/>
      </c>
      <c r="Q695">
        <f>IF($AG695="","",INDEX('TMP Paste'!$J$2:$J$1601,$AG695))</f>
        <v/>
      </c>
      <c r="R695">
        <f>IF($AG695="","",Config!$B$24)</f>
        <v/>
      </c>
      <c r="S695">
        <f>IF($AG695="","",TEXT(Config!$B$4,"yyyy-mm-dd"))</f>
        <v/>
      </c>
      <c r="T695">
        <f>IF($AG695="","",Config!$B$17)</f>
        <v/>
      </c>
      <c r="U695">
        <f>IF($AG695="","",Config!$B$18)</f>
        <v/>
      </c>
      <c r="V695">
        <f>IF($AG695="","",Config!$B$19)</f>
        <v/>
      </c>
      <c r="W695">
        <f>IF($AG695="","",INDEX('TMP Paste'!$C$2:$C$1601,$AG695))</f>
        <v/>
      </c>
      <c r="X695">
        <f>IF($AG695="","",Config!$B$29)</f>
        <v/>
      </c>
      <c r="Y695">
        <f>IF($AH695="","",INDEX(Calc!$I$2:$I$1601,$AH695)&amp;" - "&amp;INDEX(Calc!$D$2:$D$1601,$AH695)&amp;" koli")</f>
        <v/>
      </c>
      <c r="Z695">
        <f>IF($AG695="","",Config!$B$21)</f>
        <v/>
      </c>
      <c r="AA695">
        <f>IF($AG695="","",Config!$B$22)</f>
        <v/>
      </c>
      <c r="AB695">
        <f>IF($AH695="","",INDEX(Calc!$D$2:$D$1601,$AH695))</f>
        <v/>
      </c>
      <c r="AC695">
        <f>IF($AH695="","",INDEX(Calc!$G$2:$G$1601,$AH695))</f>
        <v/>
      </c>
      <c r="AD695">
        <f>IF($AG695="","",Config!$B$23)</f>
        <v/>
      </c>
      <c r="AE695">
        <f>IF($AG695="","",Config!$B$28)</f>
        <v/>
      </c>
      <c r="AG695">
        <f>IFERROR(MATCH(ROW()-1,Calc!$J$2:$J$1601,0),"")</f>
        <v/>
      </c>
      <c r="AH695">
        <f>IFERROR(MATCH(ROW()-1,Calc!$K$2:$K$1601,0),"")</f>
        <v/>
      </c>
      <c r="AI695">
        <f>IF($AG695="","",SUMIF($AG$2:$AG695,$AG695,$AH$2:$AH695))</f>
        <v/>
      </c>
      <c r="AJ695">
        <f>IF('TMP Paste'!$F695="","",IF('TMP Paste'!$B695="",$AJ694,'TMP Paste'!$B695))</f>
        <v/>
      </c>
      <c r="AK695">
        <f>IF('TMP Paste'!$F695="","",N('TMP Paste'!$G695))</f>
        <v/>
      </c>
      <c r="AL695">
        <f>IF('TMP Paste'!$F695="","",IF('TMP Paste'!$M695="",$AL694,'TMP Paste'!$M695))</f>
        <v/>
      </c>
      <c r="AM695">
        <f>IF('TMP Paste'!$F695="","",IF('TMP Paste'!$N695="",$AM694,'TMP Paste'!$N695))</f>
        <v/>
      </c>
      <c r="AN695">
        <f>IF('TMP Paste'!$F695="","",IF('TMP Paste'!$O695="",$AN694,'TMP Paste'!$O695))</f>
        <v/>
      </c>
      <c r="AO695">
        <f>IF('TMP Paste'!$F695="","",IF('TMP Paste'!$P695="",$AO694,'TMP Paste'!$P695))</f>
        <v/>
      </c>
      <c r="AP695">
        <f>IF($AG695="","",LEN($R695))</f>
        <v/>
      </c>
      <c r="AQ695">
        <f>IF($AG695="","",TRIM(IF(COUNTIFS(Calc!$B$2:$B$1601,ROW()-1,Calc!$C$2:$C$1601,"&lt;1")&gt;0,"Ada PO tanpa Koli - cek TMP. ","")&amp;IF(LEN($R695)&gt;500,"R &gt; 500 karakter.","")))</f>
        <v/>
      </c>
    </row>
    <row r="696">
      <c r="A696">
        <f>IF($AG696="","",INDEX('TMP Paste'!$B$2:$B$1601,$AG696))</f>
        <v/>
      </c>
      <c r="B696">
        <f>IF($AG696="","",Config!$B$14)</f>
        <v/>
      </c>
      <c r="C696">
        <f>IF($AG696="","",Config!$B$15)</f>
        <v/>
      </c>
      <c r="D696">
        <f>IF($AG696="","",INDEX('TMP Paste'!$B$2:$B$1601,$AG696))</f>
        <v/>
      </c>
      <c r="E696">
        <f>IF($AG696="","",Config!$B$27)</f>
        <v/>
      </c>
      <c r="F696">
        <f>IF($AG696="","",Config!$B$9)</f>
        <v/>
      </c>
      <c r="G696">
        <f>IF($AG696="","",Config!$B$10)</f>
        <v/>
      </c>
      <c r="H696">
        <f>IF($AG696="","",Config!$B$11)</f>
        <v/>
      </c>
      <c r="I696">
        <f>IF($AG696="","",Config!$B$16)</f>
        <v/>
      </c>
      <c r="J696">
        <f>IF($AG696="","",INDEX('TMP Paste'!$A$2:$A$1601,$AG696))</f>
        <v/>
      </c>
      <c r="K696">
        <f>IF($AG696="","",INDEX('TMP Paste'!$L$2:$L$1601,$AG696))</f>
        <v/>
      </c>
      <c r="L696">
        <f>IF($AG696="","",INDEX('TMP Paste'!$I$2:$I$1601,$AG696))</f>
        <v/>
      </c>
      <c r="M696">
        <f>IF($AG696="","",Config!$B$16)</f>
        <v/>
      </c>
      <c r="N696">
        <f>IF($AG696="","","")</f>
        <v/>
      </c>
      <c r="O696">
        <f>IF($AG696="","",INDEX('TMP Paste'!$K$2:$K$1601,$AG696))</f>
        <v/>
      </c>
      <c r="P696">
        <f>IF($AG696="","","")</f>
        <v/>
      </c>
      <c r="Q696">
        <f>IF($AG696="","",INDEX('TMP Paste'!$J$2:$J$1601,$AG696))</f>
        <v/>
      </c>
      <c r="R696">
        <f>IF($AG696="","",Config!$B$24)</f>
        <v/>
      </c>
      <c r="S696">
        <f>IF($AG696="","",TEXT(Config!$B$4,"yyyy-mm-dd"))</f>
        <v/>
      </c>
      <c r="T696">
        <f>IF($AG696="","",Config!$B$17)</f>
        <v/>
      </c>
      <c r="U696">
        <f>IF($AG696="","",Config!$B$18)</f>
        <v/>
      </c>
      <c r="V696">
        <f>IF($AG696="","",Config!$B$19)</f>
        <v/>
      </c>
      <c r="W696">
        <f>IF($AG696="","",INDEX('TMP Paste'!$C$2:$C$1601,$AG696))</f>
        <v/>
      </c>
      <c r="X696">
        <f>IF($AG696="","",Config!$B$29)</f>
        <v/>
      </c>
      <c r="Y696">
        <f>IF($AH696="","",INDEX(Calc!$I$2:$I$1601,$AH696)&amp;" - "&amp;INDEX(Calc!$D$2:$D$1601,$AH696)&amp;" koli")</f>
        <v/>
      </c>
      <c r="Z696">
        <f>IF($AG696="","",Config!$B$21)</f>
        <v/>
      </c>
      <c r="AA696">
        <f>IF($AG696="","",Config!$B$22)</f>
        <v/>
      </c>
      <c r="AB696">
        <f>IF($AH696="","",INDEX(Calc!$D$2:$D$1601,$AH696))</f>
        <v/>
      </c>
      <c r="AC696">
        <f>IF($AH696="","",INDEX(Calc!$G$2:$G$1601,$AH696))</f>
        <v/>
      </c>
      <c r="AD696">
        <f>IF($AG696="","",Config!$B$23)</f>
        <v/>
      </c>
      <c r="AE696">
        <f>IF($AG696="","",Config!$B$28)</f>
        <v/>
      </c>
      <c r="AG696">
        <f>IFERROR(MATCH(ROW()-1,Calc!$J$2:$J$1601,0),"")</f>
        <v/>
      </c>
      <c r="AH696">
        <f>IFERROR(MATCH(ROW()-1,Calc!$K$2:$K$1601,0),"")</f>
        <v/>
      </c>
      <c r="AI696">
        <f>IF($AG696="","",SUMIF($AG$2:$AG696,$AG696,$AH$2:$AH696))</f>
        <v/>
      </c>
      <c r="AJ696">
        <f>IF('TMP Paste'!$F696="","",IF('TMP Paste'!$B696="",$AJ695,'TMP Paste'!$B696))</f>
        <v/>
      </c>
      <c r="AK696">
        <f>IF('TMP Paste'!$F696="","",N('TMP Paste'!$G696))</f>
        <v/>
      </c>
      <c r="AL696">
        <f>IF('TMP Paste'!$F696="","",IF('TMP Paste'!$M696="",$AL695,'TMP Paste'!$M696))</f>
        <v/>
      </c>
      <c r="AM696">
        <f>IF('TMP Paste'!$F696="","",IF('TMP Paste'!$N696="",$AM695,'TMP Paste'!$N696))</f>
        <v/>
      </c>
      <c r="AN696">
        <f>IF('TMP Paste'!$F696="","",IF('TMP Paste'!$O696="",$AN695,'TMP Paste'!$O696))</f>
        <v/>
      </c>
      <c r="AO696">
        <f>IF('TMP Paste'!$F696="","",IF('TMP Paste'!$P696="",$AO695,'TMP Paste'!$P696))</f>
        <v/>
      </c>
      <c r="AP696">
        <f>IF($AG696="","",LEN($R696))</f>
        <v/>
      </c>
      <c r="AQ696">
        <f>IF($AG696="","",TRIM(IF(COUNTIFS(Calc!$B$2:$B$1601,ROW()-1,Calc!$C$2:$C$1601,"&lt;1")&gt;0,"Ada PO tanpa Koli - cek TMP. ","")&amp;IF(LEN($R696)&gt;500,"R &gt; 500 karakter.","")))</f>
        <v/>
      </c>
    </row>
    <row r="697">
      <c r="A697">
        <f>IF($AG697="","",INDEX('TMP Paste'!$B$2:$B$1601,$AG697))</f>
        <v/>
      </c>
      <c r="B697">
        <f>IF($AG697="","",Config!$B$14)</f>
        <v/>
      </c>
      <c r="C697">
        <f>IF($AG697="","",Config!$B$15)</f>
        <v/>
      </c>
      <c r="D697">
        <f>IF($AG697="","",INDEX('TMP Paste'!$B$2:$B$1601,$AG697))</f>
        <v/>
      </c>
      <c r="E697">
        <f>IF($AG697="","",Config!$B$27)</f>
        <v/>
      </c>
      <c r="F697">
        <f>IF($AG697="","",Config!$B$9)</f>
        <v/>
      </c>
      <c r="G697">
        <f>IF($AG697="","",Config!$B$10)</f>
        <v/>
      </c>
      <c r="H697">
        <f>IF($AG697="","",Config!$B$11)</f>
        <v/>
      </c>
      <c r="I697">
        <f>IF($AG697="","",Config!$B$16)</f>
        <v/>
      </c>
      <c r="J697">
        <f>IF($AG697="","",INDEX('TMP Paste'!$A$2:$A$1601,$AG697))</f>
        <v/>
      </c>
      <c r="K697">
        <f>IF($AG697="","",INDEX('TMP Paste'!$L$2:$L$1601,$AG697))</f>
        <v/>
      </c>
      <c r="L697">
        <f>IF($AG697="","",INDEX('TMP Paste'!$I$2:$I$1601,$AG697))</f>
        <v/>
      </c>
      <c r="M697">
        <f>IF($AG697="","",Config!$B$16)</f>
        <v/>
      </c>
      <c r="N697">
        <f>IF($AG697="","","")</f>
        <v/>
      </c>
      <c r="O697">
        <f>IF($AG697="","",INDEX('TMP Paste'!$K$2:$K$1601,$AG697))</f>
        <v/>
      </c>
      <c r="P697">
        <f>IF($AG697="","","")</f>
        <v/>
      </c>
      <c r="Q697">
        <f>IF($AG697="","",INDEX('TMP Paste'!$J$2:$J$1601,$AG697))</f>
        <v/>
      </c>
      <c r="R697">
        <f>IF($AG697="","",Config!$B$24)</f>
        <v/>
      </c>
      <c r="S697">
        <f>IF($AG697="","",TEXT(Config!$B$4,"yyyy-mm-dd"))</f>
        <v/>
      </c>
      <c r="T697">
        <f>IF($AG697="","",Config!$B$17)</f>
        <v/>
      </c>
      <c r="U697">
        <f>IF($AG697="","",Config!$B$18)</f>
        <v/>
      </c>
      <c r="V697">
        <f>IF($AG697="","",Config!$B$19)</f>
        <v/>
      </c>
      <c r="W697">
        <f>IF($AG697="","",INDEX('TMP Paste'!$C$2:$C$1601,$AG697))</f>
        <v/>
      </c>
      <c r="X697">
        <f>IF($AG697="","",Config!$B$29)</f>
        <v/>
      </c>
      <c r="Y697">
        <f>IF($AH697="","",INDEX(Calc!$I$2:$I$1601,$AH697)&amp;" - "&amp;INDEX(Calc!$D$2:$D$1601,$AH697)&amp;" koli")</f>
        <v/>
      </c>
      <c r="Z697">
        <f>IF($AG697="","",Config!$B$21)</f>
        <v/>
      </c>
      <c r="AA697">
        <f>IF($AG697="","",Config!$B$22)</f>
        <v/>
      </c>
      <c r="AB697">
        <f>IF($AH697="","",INDEX(Calc!$D$2:$D$1601,$AH697))</f>
        <v/>
      </c>
      <c r="AC697">
        <f>IF($AH697="","",INDEX(Calc!$G$2:$G$1601,$AH697))</f>
        <v/>
      </c>
      <c r="AD697">
        <f>IF($AG697="","",Config!$B$23)</f>
        <v/>
      </c>
      <c r="AE697">
        <f>IF($AG697="","",Config!$B$28)</f>
        <v/>
      </c>
      <c r="AG697">
        <f>IFERROR(MATCH(ROW()-1,Calc!$J$2:$J$1601,0),"")</f>
        <v/>
      </c>
      <c r="AH697">
        <f>IFERROR(MATCH(ROW()-1,Calc!$K$2:$K$1601,0),"")</f>
        <v/>
      </c>
      <c r="AI697">
        <f>IF($AG697="","",SUMIF($AG$2:$AG697,$AG697,$AH$2:$AH697))</f>
        <v/>
      </c>
      <c r="AJ697">
        <f>IF('TMP Paste'!$F697="","",IF('TMP Paste'!$B697="",$AJ696,'TMP Paste'!$B697))</f>
        <v/>
      </c>
      <c r="AK697">
        <f>IF('TMP Paste'!$F697="","",N('TMP Paste'!$G697))</f>
        <v/>
      </c>
      <c r="AL697">
        <f>IF('TMP Paste'!$F697="","",IF('TMP Paste'!$M697="",$AL696,'TMP Paste'!$M697))</f>
        <v/>
      </c>
      <c r="AM697">
        <f>IF('TMP Paste'!$F697="","",IF('TMP Paste'!$N697="",$AM696,'TMP Paste'!$N697))</f>
        <v/>
      </c>
      <c r="AN697">
        <f>IF('TMP Paste'!$F697="","",IF('TMP Paste'!$O697="",$AN696,'TMP Paste'!$O697))</f>
        <v/>
      </c>
      <c r="AO697">
        <f>IF('TMP Paste'!$F697="","",IF('TMP Paste'!$P697="",$AO696,'TMP Paste'!$P697))</f>
        <v/>
      </c>
      <c r="AP697">
        <f>IF($AG697="","",LEN($R697))</f>
        <v/>
      </c>
      <c r="AQ697">
        <f>IF($AG697="","",TRIM(IF(COUNTIFS(Calc!$B$2:$B$1601,ROW()-1,Calc!$C$2:$C$1601,"&lt;1")&gt;0,"Ada PO tanpa Koli - cek TMP. ","")&amp;IF(LEN($R697)&gt;500,"R &gt; 500 karakter.","")))</f>
        <v/>
      </c>
    </row>
    <row r="698">
      <c r="A698">
        <f>IF($AG698="","",INDEX('TMP Paste'!$B$2:$B$1601,$AG698))</f>
        <v/>
      </c>
      <c r="B698">
        <f>IF($AG698="","",Config!$B$14)</f>
        <v/>
      </c>
      <c r="C698">
        <f>IF($AG698="","",Config!$B$15)</f>
        <v/>
      </c>
      <c r="D698">
        <f>IF($AG698="","",INDEX('TMP Paste'!$B$2:$B$1601,$AG698))</f>
        <v/>
      </c>
      <c r="E698">
        <f>IF($AG698="","",Config!$B$27)</f>
        <v/>
      </c>
      <c r="F698">
        <f>IF($AG698="","",Config!$B$9)</f>
        <v/>
      </c>
      <c r="G698">
        <f>IF($AG698="","",Config!$B$10)</f>
        <v/>
      </c>
      <c r="H698">
        <f>IF($AG698="","",Config!$B$11)</f>
        <v/>
      </c>
      <c r="I698">
        <f>IF($AG698="","",Config!$B$16)</f>
        <v/>
      </c>
      <c r="J698">
        <f>IF($AG698="","",INDEX('TMP Paste'!$A$2:$A$1601,$AG698))</f>
        <v/>
      </c>
      <c r="K698">
        <f>IF($AG698="","",INDEX('TMP Paste'!$L$2:$L$1601,$AG698))</f>
        <v/>
      </c>
      <c r="L698">
        <f>IF($AG698="","",INDEX('TMP Paste'!$I$2:$I$1601,$AG698))</f>
        <v/>
      </c>
      <c r="M698">
        <f>IF($AG698="","",Config!$B$16)</f>
        <v/>
      </c>
      <c r="N698">
        <f>IF($AG698="","","")</f>
        <v/>
      </c>
      <c r="O698">
        <f>IF($AG698="","",INDEX('TMP Paste'!$K$2:$K$1601,$AG698))</f>
        <v/>
      </c>
      <c r="P698">
        <f>IF($AG698="","","")</f>
        <v/>
      </c>
      <c r="Q698">
        <f>IF($AG698="","",INDEX('TMP Paste'!$J$2:$J$1601,$AG698))</f>
        <v/>
      </c>
      <c r="R698">
        <f>IF($AG698="","",Config!$B$24)</f>
        <v/>
      </c>
      <c r="S698">
        <f>IF($AG698="","",TEXT(Config!$B$4,"yyyy-mm-dd"))</f>
        <v/>
      </c>
      <c r="T698">
        <f>IF($AG698="","",Config!$B$17)</f>
        <v/>
      </c>
      <c r="U698">
        <f>IF($AG698="","",Config!$B$18)</f>
        <v/>
      </c>
      <c r="V698">
        <f>IF($AG698="","",Config!$B$19)</f>
        <v/>
      </c>
      <c r="W698">
        <f>IF($AG698="","",INDEX('TMP Paste'!$C$2:$C$1601,$AG698))</f>
        <v/>
      </c>
      <c r="X698">
        <f>IF($AG698="","",Config!$B$29)</f>
        <v/>
      </c>
      <c r="Y698">
        <f>IF($AH698="","",INDEX(Calc!$I$2:$I$1601,$AH698)&amp;" - "&amp;INDEX(Calc!$D$2:$D$1601,$AH698)&amp;" koli")</f>
        <v/>
      </c>
      <c r="Z698">
        <f>IF($AG698="","",Config!$B$21)</f>
        <v/>
      </c>
      <c r="AA698">
        <f>IF($AG698="","",Config!$B$22)</f>
        <v/>
      </c>
      <c r="AB698">
        <f>IF($AH698="","",INDEX(Calc!$D$2:$D$1601,$AH698))</f>
        <v/>
      </c>
      <c r="AC698">
        <f>IF($AH698="","",INDEX(Calc!$G$2:$G$1601,$AH698))</f>
        <v/>
      </c>
      <c r="AD698">
        <f>IF($AG698="","",Config!$B$23)</f>
        <v/>
      </c>
      <c r="AE698">
        <f>IF($AG698="","",Config!$B$28)</f>
        <v/>
      </c>
      <c r="AG698">
        <f>IFERROR(MATCH(ROW()-1,Calc!$J$2:$J$1601,0),"")</f>
        <v/>
      </c>
      <c r="AH698">
        <f>IFERROR(MATCH(ROW()-1,Calc!$K$2:$K$1601,0),"")</f>
        <v/>
      </c>
      <c r="AI698">
        <f>IF($AG698="","",SUMIF($AG$2:$AG698,$AG698,$AH$2:$AH698))</f>
        <v/>
      </c>
      <c r="AJ698">
        <f>IF('TMP Paste'!$F698="","",IF('TMP Paste'!$B698="",$AJ697,'TMP Paste'!$B698))</f>
        <v/>
      </c>
      <c r="AK698">
        <f>IF('TMP Paste'!$F698="","",N('TMP Paste'!$G698))</f>
        <v/>
      </c>
      <c r="AL698">
        <f>IF('TMP Paste'!$F698="","",IF('TMP Paste'!$M698="",$AL697,'TMP Paste'!$M698))</f>
        <v/>
      </c>
      <c r="AM698">
        <f>IF('TMP Paste'!$F698="","",IF('TMP Paste'!$N698="",$AM697,'TMP Paste'!$N698))</f>
        <v/>
      </c>
      <c r="AN698">
        <f>IF('TMP Paste'!$F698="","",IF('TMP Paste'!$O698="",$AN697,'TMP Paste'!$O698))</f>
        <v/>
      </c>
      <c r="AO698">
        <f>IF('TMP Paste'!$F698="","",IF('TMP Paste'!$P698="",$AO697,'TMP Paste'!$P698))</f>
        <v/>
      </c>
      <c r="AP698">
        <f>IF($AG698="","",LEN($R698))</f>
        <v/>
      </c>
      <c r="AQ698">
        <f>IF($AG698="","",TRIM(IF(COUNTIFS(Calc!$B$2:$B$1601,ROW()-1,Calc!$C$2:$C$1601,"&lt;1")&gt;0,"Ada PO tanpa Koli - cek TMP. ","")&amp;IF(LEN($R698)&gt;500,"R &gt; 500 karakter.","")))</f>
        <v/>
      </c>
    </row>
    <row r="699">
      <c r="A699">
        <f>IF($AG699="","",INDEX('TMP Paste'!$B$2:$B$1601,$AG699))</f>
        <v/>
      </c>
      <c r="B699">
        <f>IF($AG699="","",Config!$B$14)</f>
        <v/>
      </c>
      <c r="C699">
        <f>IF($AG699="","",Config!$B$15)</f>
        <v/>
      </c>
      <c r="D699">
        <f>IF($AG699="","",INDEX('TMP Paste'!$B$2:$B$1601,$AG699))</f>
        <v/>
      </c>
      <c r="E699">
        <f>IF($AG699="","",Config!$B$27)</f>
        <v/>
      </c>
      <c r="F699">
        <f>IF($AG699="","",Config!$B$9)</f>
        <v/>
      </c>
      <c r="G699">
        <f>IF($AG699="","",Config!$B$10)</f>
        <v/>
      </c>
      <c r="H699">
        <f>IF($AG699="","",Config!$B$11)</f>
        <v/>
      </c>
      <c r="I699">
        <f>IF($AG699="","",Config!$B$16)</f>
        <v/>
      </c>
      <c r="J699">
        <f>IF($AG699="","",INDEX('TMP Paste'!$A$2:$A$1601,$AG699))</f>
        <v/>
      </c>
      <c r="K699">
        <f>IF($AG699="","",INDEX('TMP Paste'!$L$2:$L$1601,$AG699))</f>
        <v/>
      </c>
      <c r="L699">
        <f>IF($AG699="","",INDEX('TMP Paste'!$I$2:$I$1601,$AG699))</f>
        <v/>
      </c>
      <c r="M699">
        <f>IF($AG699="","",Config!$B$16)</f>
        <v/>
      </c>
      <c r="N699">
        <f>IF($AG699="","","")</f>
        <v/>
      </c>
      <c r="O699">
        <f>IF($AG699="","",INDEX('TMP Paste'!$K$2:$K$1601,$AG699))</f>
        <v/>
      </c>
      <c r="P699">
        <f>IF($AG699="","","")</f>
        <v/>
      </c>
      <c r="Q699">
        <f>IF($AG699="","",INDEX('TMP Paste'!$J$2:$J$1601,$AG699))</f>
        <v/>
      </c>
      <c r="R699">
        <f>IF($AG699="","",Config!$B$24)</f>
        <v/>
      </c>
      <c r="S699">
        <f>IF($AG699="","",TEXT(Config!$B$4,"yyyy-mm-dd"))</f>
        <v/>
      </c>
      <c r="T699">
        <f>IF($AG699="","",Config!$B$17)</f>
        <v/>
      </c>
      <c r="U699">
        <f>IF($AG699="","",Config!$B$18)</f>
        <v/>
      </c>
      <c r="V699">
        <f>IF($AG699="","",Config!$B$19)</f>
        <v/>
      </c>
      <c r="W699">
        <f>IF($AG699="","",INDEX('TMP Paste'!$C$2:$C$1601,$AG699))</f>
        <v/>
      </c>
      <c r="X699">
        <f>IF($AG699="","",Config!$B$29)</f>
        <v/>
      </c>
      <c r="Y699">
        <f>IF($AH699="","",INDEX(Calc!$I$2:$I$1601,$AH699)&amp;" - "&amp;INDEX(Calc!$D$2:$D$1601,$AH699)&amp;" koli")</f>
        <v/>
      </c>
      <c r="Z699">
        <f>IF($AG699="","",Config!$B$21)</f>
        <v/>
      </c>
      <c r="AA699">
        <f>IF($AG699="","",Config!$B$22)</f>
        <v/>
      </c>
      <c r="AB699">
        <f>IF($AH699="","",INDEX(Calc!$D$2:$D$1601,$AH699))</f>
        <v/>
      </c>
      <c r="AC699">
        <f>IF($AH699="","",INDEX(Calc!$G$2:$G$1601,$AH699))</f>
        <v/>
      </c>
      <c r="AD699">
        <f>IF($AG699="","",Config!$B$23)</f>
        <v/>
      </c>
      <c r="AE699">
        <f>IF($AG699="","",Config!$B$28)</f>
        <v/>
      </c>
      <c r="AG699">
        <f>IFERROR(MATCH(ROW()-1,Calc!$J$2:$J$1601,0),"")</f>
        <v/>
      </c>
      <c r="AH699">
        <f>IFERROR(MATCH(ROW()-1,Calc!$K$2:$K$1601,0),"")</f>
        <v/>
      </c>
      <c r="AI699">
        <f>IF($AG699="","",SUMIF($AG$2:$AG699,$AG699,$AH$2:$AH699))</f>
        <v/>
      </c>
      <c r="AJ699">
        <f>IF('TMP Paste'!$F699="","",IF('TMP Paste'!$B699="",$AJ698,'TMP Paste'!$B699))</f>
        <v/>
      </c>
      <c r="AK699">
        <f>IF('TMP Paste'!$F699="","",N('TMP Paste'!$G699))</f>
        <v/>
      </c>
      <c r="AL699">
        <f>IF('TMP Paste'!$F699="","",IF('TMP Paste'!$M699="",$AL698,'TMP Paste'!$M699))</f>
        <v/>
      </c>
      <c r="AM699">
        <f>IF('TMP Paste'!$F699="","",IF('TMP Paste'!$N699="",$AM698,'TMP Paste'!$N699))</f>
        <v/>
      </c>
      <c r="AN699">
        <f>IF('TMP Paste'!$F699="","",IF('TMP Paste'!$O699="",$AN698,'TMP Paste'!$O699))</f>
        <v/>
      </c>
      <c r="AO699">
        <f>IF('TMP Paste'!$F699="","",IF('TMP Paste'!$P699="",$AO698,'TMP Paste'!$P699))</f>
        <v/>
      </c>
      <c r="AP699">
        <f>IF($AG699="","",LEN($R699))</f>
        <v/>
      </c>
      <c r="AQ699">
        <f>IF($AG699="","",TRIM(IF(COUNTIFS(Calc!$B$2:$B$1601,ROW()-1,Calc!$C$2:$C$1601,"&lt;1")&gt;0,"Ada PO tanpa Koli - cek TMP. ","")&amp;IF(LEN($R699)&gt;500,"R &gt; 500 karakter.","")))</f>
        <v/>
      </c>
    </row>
    <row r="700">
      <c r="A700">
        <f>IF($AG700="","",INDEX('TMP Paste'!$B$2:$B$1601,$AG700))</f>
        <v/>
      </c>
      <c r="B700">
        <f>IF($AG700="","",Config!$B$14)</f>
        <v/>
      </c>
      <c r="C700">
        <f>IF($AG700="","",Config!$B$15)</f>
        <v/>
      </c>
      <c r="D700">
        <f>IF($AG700="","",INDEX('TMP Paste'!$B$2:$B$1601,$AG700))</f>
        <v/>
      </c>
      <c r="E700">
        <f>IF($AG700="","",Config!$B$27)</f>
        <v/>
      </c>
      <c r="F700">
        <f>IF($AG700="","",Config!$B$9)</f>
        <v/>
      </c>
      <c r="G700">
        <f>IF($AG700="","",Config!$B$10)</f>
        <v/>
      </c>
      <c r="H700">
        <f>IF($AG700="","",Config!$B$11)</f>
        <v/>
      </c>
      <c r="I700">
        <f>IF($AG700="","",Config!$B$16)</f>
        <v/>
      </c>
      <c r="J700">
        <f>IF($AG700="","",INDEX('TMP Paste'!$A$2:$A$1601,$AG700))</f>
        <v/>
      </c>
      <c r="K700">
        <f>IF($AG700="","",INDEX('TMP Paste'!$L$2:$L$1601,$AG700))</f>
        <v/>
      </c>
      <c r="L700">
        <f>IF($AG700="","",INDEX('TMP Paste'!$I$2:$I$1601,$AG700))</f>
        <v/>
      </c>
      <c r="M700">
        <f>IF($AG700="","",Config!$B$16)</f>
        <v/>
      </c>
      <c r="N700">
        <f>IF($AG700="","","")</f>
        <v/>
      </c>
      <c r="O700">
        <f>IF($AG700="","",INDEX('TMP Paste'!$K$2:$K$1601,$AG700))</f>
        <v/>
      </c>
      <c r="P700">
        <f>IF($AG700="","","")</f>
        <v/>
      </c>
      <c r="Q700">
        <f>IF($AG700="","",INDEX('TMP Paste'!$J$2:$J$1601,$AG700))</f>
        <v/>
      </c>
      <c r="R700">
        <f>IF($AG700="","",Config!$B$24)</f>
        <v/>
      </c>
      <c r="S700">
        <f>IF($AG700="","",TEXT(Config!$B$4,"yyyy-mm-dd"))</f>
        <v/>
      </c>
      <c r="T700">
        <f>IF($AG700="","",Config!$B$17)</f>
        <v/>
      </c>
      <c r="U700">
        <f>IF($AG700="","",Config!$B$18)</f>
        <v/>
      </c>
      <c r="V700">
        <f>IF($AG700="","",Config!$B$19)</f>
        <v/>
      </c>
      <c r="W700">
        <f>IF($AG700="","",INDEX('TMP Paste'!$C$2:$C$1601,$AG700))</f>
        <v/>
      </c>
      <c r="X700">
        <f>IF($AG700="","",Config!$B$29)</f>
        <v/>
      </c>
      <c r="Y700">
        <f>IF($AH700="","",INDEX(Calc!$I$2:$I$1601,$AH700)&amp;" - "&amp;INDEX(Calc!$D$2:$D$1601,$AH700)&amp;" koli")</f>
        <v/>
      </c>
      <c r="Z700">
        <f>IF($AG700="","",Config!$B$21)</f>
        <v/>
      </c>
      <c r="AA700">
        <f>IF($AG700="","",Config!$B$22)</f>
        <v/>
      </c>
      <c r="AB700">
        <f>IF($AH700="","",INDEX(Calc!$D$2:$D$1601,$AH700))</f>
        <v/>
      </c>
      <c r="AC700">
        <f>IF($AH700="","",INDEX(Calc!$G$2:$G$1601,$AH700))</f>
        <v/>
      </c>
      <c r="AD700">
        <f>IF($AG700="","",Config!$B$23)</f>
        <v/>
      </c>
      <c r="AE700">
        <f>IF($AG700="","",Config!$B$28)</f>
        <v/>
      </c>
      <c r="AG700">
        <f>IFERROR(MATCH(ROW()-1,Calc!$J$2:$J$1601,0),"")</f>
        <v/>
      </c>
      <c r="AH700">
        <f>IFERROR(MATCH(ROW()-1,Calc!$K$2:$K$1601,0),"")</f>
        <v/>
      </c>
      <c r="AI700">
        <f>IF($AG700="","",SUMIF($AG$2:$AG700,$AG700,$AH$2:$AH700))</f>
        <v/>
      </c>
      <c r="AJ700">
        <f>IF('TMP Paste'!$F700="","",IF('TMP Paste'!$B700="",$AJ699,'TMP Paste'!$B700))</f>
        <v/>
      </c>
      <c r="AK700">
        <f>IF('TMP Paste'!$F700="","",N('TMP Paste'!$G700))</f>
        <v/>
      </c>
      <c r="AL700">
        <f>IF('TMP Paste'!$F700="","",IF('TMP Paste'!$M700="",$AL699,'TMP Paste'!$M700))</f>
        <v/>
      </c>
      <c r="AM700">
        <f>IF('TMP Paste'!$F700="","",IF('TMP Paste'!$N700="",$AM699,'TMP Paste'!$N700))</f>
        <v/>
      </c>
      <c r="AN700">
        <f>IF('TMP Paste'!$F700="","",IF('TMP Paste'!$O700="",$AN699,'TMP Paste'!$O700))</f>
        <v/>
      </c>
      <c r="AO700">
        <f>IF('TMP Paste'!$F700="","",IF('TMP Paste'!$P700="",$AO699,'TMP Paste'!$P700))</f>
        <v/>
      </c>
      <c r="AP700">
        <f>IF($AG700="","",LEN($R700))</f>
        <v/>
      </c>
      <c r="AQ700">
        <f>IF($AG700="","",TRIM(IF(COUNTIFS(Calc!$B$2:$B$1601,ROW()-1,Calc!$C$2:$C$1601,"&lt;1")&gt;0,"Ada PO tanpa Koli - cek TMP. ","")&amp;IF(LEN($R700)&gt;500,"R &gt; 500 karakter.","")))</f>
        <v/>
      </c>
    </row>
    <row r="701">
      <c r="A701">
        <f>IF($AG701="","",INDEX('TMP Paste'!$B$2:$B$1601,$AG701))</f>
        <v/>
      </c>
      <c r="B701">
        <f>IF($AG701="","",Config!$B$14)</f>
        <v/>
      </c>
      <c r="C701">
        <f>IF($AG701="","",Config!$B$15)</f>
        <v/>
      </c>
      <c r="D701">
        <f>IF($AG701="","",INDEX('TMP Paste'!$B$2:$B$1601,$AG701))</f>
        <v/>
      </c>
      <c r="E701">
        <f>IF($AG701="","",Config!$B$27)</f>
        <v/>
      </c>
      <c r="F701">
        <f>IF($AG701="","",Config!$B$9)</f>
        <v/>
      </c>
      <c r="G701">
        <f>IF($AG701="","",Config!$B$10)</f>
        <v/>
      </c>
      <c r="H701">
        <f>IF($AG701="","",Config!$B$11)</f>
        <v/>
      </c>
      <c r="I701">
        <f>IF($AG701="","",Config!$B$16)</f>
        <v/>
      </c>
      <c r="J701">
        <f>IF($AG701="","",INDEX('TMP Paste'!$A$2:$A$1601,$AG701))</f>
        <v/>
      </c>
      <c r="K701">
        <f>IF($AG701="","",INDEX('TMP Paste'!$L$2:$L$1601,$AG701))</f>
        <v/>
      </c>
      <c r="L701">
        <f>IF($AG701="","",INDEX('TMP Paste'!$I$2:$I$1601,$AG701))</f>
        <v/>
      </c>
      <c r="M701">
        <f>IF($AG701="","",Config!$B$16)</f>
        <v/>
      </c>
      <c r="N701">
        <f>IF($AG701="","","")</f>
        <v/>
      </c>
      <c r="O701">
        <f>IF($AG701="","",INDEX('TMP Paste'!$K$2:$K$1601,$AG701))</f>
        <v/>
      </c>
      <c r="P701">
        <f>IF($AG701="","","")</f>
        <v/>
      </c>
      <c r="Q701">
        <f>IF($AG701="","",INDEX('TMP Paste'!$J$2:$J$1601,$AG701))</f>
        <v/>
      </c>
      <c r="R701">
        <f>IF($AG701="","",Config!$B$24)</f>
        <v/>
      </c>
      <c r="S701">
        <f>IF($AG701="","",TEXT(Config!$B$4,"yyyy-mm-dd"))</f>
        <v/>
      </c>
      <c r="T701">
        <f>IF($AG701="","",Config!$B$17)</f>
        <v/>
      </c>
      <c r="U701">
        <f>IF($AG701="","",Config!$B$18)</f>
        <v/>
      </c>
      <c r="V701">
        <f>IF($AG701="","",Config!$B$19)</f>
        <v/>
      </c>
      <c r="W701">
        <f>IF($AG701="","",INDEX('TMP Paste'!$C$2:$C$1601,$AG701))</f>
        <v/>
      </c>
      <c r="X701">
        <f>IF($AG701="","",Config!$B$29)</f>
        <v/>
      </c>
      <c r="Y701">
        <f>IF($AH701="","",INDEX(Calc!$I$2:$I$1601,$AH701)&amp;" - "&amp;INDEX(Calc!$D$2:$D$1601,$AH701)&amp;" koli")</f>
        <v/>
      </c>
      <c r="Z701">
        <f>IF($AG701="","",Config!$B$21)</f>
        <v/>
      </c>
      <c r="AA701">
        <f>IF($AG701="","",Config!$B$22)</f>
        <v/>
      </c>
      <c r="AB701">
        <f>IF($AH701="","",INDEX(Calc!$D$2:$D$1601,$AH701))</f>
        <v/>
      </c>
      <c r="AC701">
        <f>IF($AH701="","",INDEX(Calc!$G$2:$G$1601,$AH701))</f>
        <v/>
      </c>
      <c r="AD701">
        <f>IF($AG701="","",Config!$B$23)</f>
        <v/>
      </c>
      <c r="AE701">
        <f>IF($AG701="","",Config!$B$28)</f>
        <v/>
      </c>
      <c r="AG701">
        <f>IFERROR(MATCH(ROW()-1,Calc!$J$2:$J$1601,0),"")</f>
        <v/>
      </c>
      <c r="AH701">
        <f>IFERROR(MATCH(ROW()-1,Calc!$K$2:$K$1601,0),"")</f>
        <v/>
      </c>
      <c r="AI701">
        <f>IF($AG701="","",SUMIF($AG$2:$AG701,$AG701,$AH$2:$AH701))</f>
        <v/>
      </c>
      <c r="AJ701">
        <f>IF('TMP Paste'!$F701="","",IF('TMP Paste'!$B701="",$AJ700,'TMP Paste'!$B701))</f>
        <v/>
      </c>
      <c r="AK701">
        <f>IF('TMP Paste'!$F701="","",N('TMP Paste'!$G701))</f>
        <v/>
      </c>
      <c r="AL701">
        <f>IF('TMP Paste'!$F701="","",IF('TMP Paste'!$M701="",$AL700,'TMP Paste'!$M701))</f>
        <v/>
      </c>
      <c r="AM701">
        <f>IF('TMP Paste'!$F701="","",IF('TMP Paste'!$N701="",$AM700,'TMP Paste'!$N701))</f>
        <v/>
      </c>
      <c r="AN701">
        <f>IF('TMP Paste'!$F701="","",IF('TMP Paste'!$O701="",$AN700,'TMP Paste'!$O701))</f>
        <v/>
      </c>
      <c r="AO701">
        <f>IF('TMP Paste'!$F701="","",IF('TMP Paste'!$P701="",$AO700,'TMP Paste'!$P701))</f>
        <v/>
      </c>
      <c r="AP701">
        <f>IF($AG701="","",LEN($R701))</f>
        <v/>
      </c>
      <c r="AQ701">
        <f>IF($AG701="","",TRIM(IF(COUNTIFS(Calc!$B$2:$B$1601,ROW()-1,Calc!$C$2:$C$1601,"&lt;1")&gt;0,"Ada PO tanpa Koli - cek TMP. ","")&amp;IF(LEN($R701)&gt;500,"R &gt; 500 karakter.","")))</f>
        <v/>
      </c>
    </row>
    <row r="702">
      <c r="A702">
        <f>IF($AG702="","",INDEX('TMP Paste'!$B$2:$B$1601,$AG702))</f>
        <v/>
      </c>
      <c r="B702">
        <f>IF($AG702="","",Config!$B$14)</f>
        <v/>
      </c>
      <c r="C702">
        <f>IF($AG702="","",Config!$B$15)</f>
        <v/>
      </c>
      <c r="D702">
        <f>IF($AG702="","",INDEX('TMP Paste'!$B$2:$B$1601,$AG702))</f>
        <v/>
      </c>
      <c r="E702">
        <f>IF($AG702="","",Config!$B$27)</f>
        <v/>
      </c>
      <c r="F702">
        <f>IF($AG702="","",Config!$B$9)</f>
        <v/>
      </c>
      <c r="G702">
        <f>IF($AG702="","",Config!$B$10)</f>
        <v/>
      </c>
      <c r="H702">
        <f>IF($AG702="","",Config!$B$11)</f>
        <v/>
      </c>
      <c r="I702">
        <f>IF($AG702="","",Config!$B$16)</f>
        <v/>
      </c>
      <c r="J702">
        <f>IF($AG702="","",INDEX('TMP Paste'!$A$2:$A$1601,$AG702))</f>
        <v/>
      </c>
      <c r="K702">
        <f>IF($AG702="","",INDEX('TMP Paste'!$L$2:$L$1601,$AG702))</f>
        <v/>
      </c>
      <c r="L702">
        <f>IF($AG702="","",INDEX('TMP Paste'!$I$2:$I$1601,$AG702))</f>
        <v/>
      </c>
      <c r="M702">
        <f>IF($AG702="","",Config!$B$16)</f>
        <v/>
      </c>
      <c r="N702">
        <f>IF($AG702="","","")</f>
        <v/>
      </c>
      <c r="O702">
        <f>IF($AG702="","",INDEX('TMP Paste'!$K$2:$K$1601,$AG702))</f>
        <v/>
      </c>
      <c r="P702">
        <f>IF($AG702="","","")</f>
        <v/>
      </c>
      <c r="Q702">
        <f>IF($AG702="","",INDEX('TMP Paste'!$J$2:$J$1601,$AG702))</f>
        <v/>
      </c>
      <c r="R702">
        <f>IF($AG702="","",Config!$B$24)</f>
        <v/>
      </c>
      <c r="S702">
        <f>IF($AG702="","",TEXT(Config!$B$4,"yyyy-mm-dd"))</f>
        <v/>
      </c>
      <c r="T702">
        <f>IF($AG702="","",Config!$B$17)</f>
        <v/>
      </c>
      <c r="U702">
        <f>IF($AG702="","",Config!$B$18)</f>
        <v/>
      </c>
      <c r="V702">
        <f>IF($AG702="","",Config!$B$19)</f>
        <v/>
      </c>
      <c r="W702">
        <f>IF($AG702="","",INDEX('TMP Paste'!$C$2:$C$1601,$AG702))</f>
        <v/>
      </c>
      <c r="X702">
        <f>IF($AG702="","",Config!$B$29)</f>
        <v/>
      </c>
      <c r="Y702">
        <f>IF($AH702="","",INDEX(Calc!$I$2:$I$1601,$AH702)&amp;" - "&amp;INDEX(Calc!$D$2:$D$1601,$AH702)&amp;" koli")</f>
        <v/>
      </c>
      <c r="Z702">
        <f>IF($AG702="","",Config!$B$21)</f>
        <v/>
      </c>
      <c r="AA702">
        <f>IF($AG702="","",Config!$B$22)</f>
        <v/>
      </c>
      <c r="AB702">
        <f>IF($AH702="","",INDEX(Calc!$D$2:$D$1601,$AH702))</f>
        <v/>
      </c>
      <c r="AC702">
        <f>IF($AH702="","",INDEX(Calc!$G$2:$G$1601,$AH702))</f>
        <v/>
      </c>
      <c r="AD702">
        <f>IF($AG702="","",Config!$B$23)</f>
        <v/>
      </c>
      <c r="AE702">
        <f>IF($AG702="","",Config!$B$28)</f>
        <v/>
      </c>
      <c r="AG702">
        <f>IFERROR(MATCH(ROW()-1,Calc!$J$2:$J$1601,0),"")</f>
        <v/>
      </c>
      <c r="AH702">
        <f>IFERROR(MATCH(ROW()-1,Calc!$K$2:$K$1601,0),"")</f>
        <v/>
      </c>
      <c r="AI702">
        <f>IF($AG702="","",SUMIF($AG$2:$AG702,$AG702,$AH$2:$AH702))</f>
        <v/>
      </c>
      <c r="AJ702">
        <f>IF('TMP Paste'!$F702="","",IF('TMP Paste'!$B702="",$AJ701,'TMP Paste'!$B702))</f>
        <v/>
      </c>
      <c r="AK702">
        <f>IF('TMP Paste'!$F702="","",N('TMP Paste'!$G702))</f>
        <v/>
      </c>
      <c r="AL702">
        <f>IF('TMP Paste'!$F702="","",IF('TMP Paste'!$M702="",$AL701,'TMP Paste'!$M702))</f>
        <v/>
      </c>
      <c r="AM702">
        <f>IF('TMP Paste'!$F702="","",IF('TMP Paste'!$N702="",$AM701,'TMP Paste'!$N702))</f>
        <v/>
      </c>
      <c r="AN702">
        <f>IF('TMP Paste'!$F702="","",IF('TMP Paste'!$O702="",$AN701,'TMP Paste'!$O702))</f>
        <v/>
      </c>
      <c r="AO702">
        <f>IF('TMP Paste'!$F702="","",IF('TMP Paste'!$P702="",$AO701,'TMP Paste'!$P702))</f>
        <v/>
      </c>
      <c r="AP702">
        <f>IF($AG702="","",LEN($R702))</f>
        <v/>
      </c>
      <c r="AQ702">
        <f>IF($AG702="","",TRIM(IF(COUNTIFS(Calc!$B$2:$B$1601,ROW()-1,Calc!$C$2:$C$1601,"&lt;1")&gt;0,"Ada PO tanpa Koli - cek TMP. ","")&amp;IF(LEN($R702)&gt;500,"R &gt; 500 karakter.","")))</f>
        <v/>
      </c>
    </row>
    <row r="703">
      <c r="A703">
        <f>IF($AG703="","",INDEX('TMP Paste'!$B$2:$B$1601,$AG703))</f>
        <v/>
      </c>
      <c r="B703">
        <f>IF($AG703="","",Config!$B$14)</f>
        <v/>
      </c>
      <c r="C703">
        <f>IF($AG703="","",Config!$B$15)</f>
        <v/>
      </c>
      <c r="D703">
        <f>IF($AG703="","",INDEX('TMP Paste'!$B$2:$B$1601,$AG703))</f>
        <v/>
      </c>
      <c r="E703">
        <f>IF($AG703="","",Config!$B$27)</f>
        <v/>
      </c>
      <c r="F703">
        <f>IF($AG703="","",Config!$B$9)</f>
        <v/>
      </c>
      <c r="G703">
        <f>IF($AG703="","",Config!$B$10)</f>
        <v/>
      </c>
      <c r="H703">
        <f>IF($AG703="","",Config!$B$11)</f>
        <v/>
      </c>
      <c r="I703">
        <f>IF($AG703="","",Config!$B$16)</f>
        <v/>
      </c>
      <c r="J703">
        <f>IF($AG703="","",INDEX('TMP Paste'!$A$2:$A$1601,$AG703))</f>
        <v/>
      </c>
      <c r="K703">
        <f>IF($AG703="","",INDEX('TMP Paste'!$L$2:$L$1601,$AG703))</f>
        <v/>
      </c>
      <c r="L703">
        <f>IF($AG703="","",INDEX('TMP Paste'!$I$2:$I$1601,$AG703))</f>
        <v/>
      </c>
      <c r="M703">
        <f>IF($AG703="","",Config!$B$16)</f>
        <v/>
      </c>
      <c r="N703">
        <f>IF($AG703="","","")</f>
        <v/>
      </c>
      <c r="O703">
        <f>IF($AG703="","",INDEX('TMP Paste'!$K$2:$K$1601,$AG703))</f>
        <v/>
      </c>
      <c r="P703">
        <f>IF($AG703="","","")</f>
        <v/>
      </c>
      <c r="Q703">
        <f>IF($AG703="","",INDEX('TMP Paste'!$J$2:$J$1601,$AG703))</f>
        <v/>
      </c>
      <c r="R703">
        <f>IF($AG703="","",Config!$B$24)</f>
        <v/>
      </c>
      <c r="S703">
        <f>IF($AG703="","",TEXT(Config!$B$4,"yyyy-mm-dd"))</f>
        <v/>
      </c>
      <c r="T703">
        <f>IF($AG703="","",Config!$B$17)</f>
        <v/>
      </c>
      <c r="U703">
        <f>IF($AG703="","",Config!$B$18)</f>
        <v/>
      </c>
      <c r="V703">
        <f>IF($AG703="","",Config!$B$19)</f>
        <v/>
      </c>
      <c r="W703">
        <f>IF($AG703="","",INDEX('TMP Paste'!$C$2:$C$1601,$AG703))</f>
        <v/>
      </c>
      <c r="X703">
        <f>IF($AG703="","",Config!$B$29)</f>
        <v/>
      </c>
      <c r="Y703">
        <f>IF($AH703="","",INDEX(Calc!$I$2:$I$1601,$AH703)&amp;" - "&amp;INDEX(Calc!$D$2:$D$1601,$AH703)&amp;" koli")</f>
        <v/>
      </c>
      <c r="Z703">
        <f>IF($AG703="","",Config!$B$21)</f>
        <v/>
      </c>
      <c r="AA703">
        <f>IF($AG703="","",Config!$B$22)</f>
        <v/>
      </c>
      <c r="AB703">
        <f>IF($AH703="","",INDEX(Calc!$D$2:$D$1601,$AH703))</f>
        <v/>
      </c>
      <c r="AC703">
        <f>IF($AH703="","",INDEX(Calc!$G$2:$G$1601,$AH703))</f>
        <v/>
      </c>
      <c r="AD703">
        <f>IF($AG703="","",Config!$B$23)</f>
        <v/>
      </c>
      <c r="AE703">
        <f>IF($AG703="","",Config!$B$28)</f>
        <v/>
      </c>
      <c r="AG703">
        <f>IFERROR(MATCH(ROW()-1,Calc!$J$2:$J$1601,0),"")</f>
        <v/>
      </c>
      <c r="AH703">
        <f>IFERROR(MATCH(ROW()-1,Calc!$K$2:$K$1601,0),"")</f>
        <v/>
      </c>
      <c r="AI703">
        <f>IF($AG703="","",SUMIF($AG$2:$AG703,$AG703,$AH$2:$AH703))</f>
        <v/>
      </c>
      <c r="AJ703">
        <f>IF('TMP Paste'!$F703="","",IF('TMP Paste'!$B703="",$AJ702,'TMP Paste'!$B703))</f>
        <v/>
      </c>
      <c r="AK703">
        <f>IF('TMP Paste'!$F703="","",N('TMP Paste'!$G703))</f>
        <v/>
      </c>
      <c r="AL703">
        <f>IF('TMP Paste'!$F703="","",IF('TMP Paste'!$M703="",$AL702,'TMP Paste'!$M703))</f>
        <v/>
      </c>
      <c r="AM703">
        <f>IF('TMP Paste'!$F703="","",IF('TMP Paste'!$N703="",$AM702,'TMP Paste'!$N703))</f>
        <v/>
      </c>
      <c r="AN703">
        <f>IF('TMP Paste'!$F703="","",IF('TMP Paste'!$O703="",$AN702,'TMP Paste'!$O703))</f>
        <v/>
      </c>
      <c r="AO703">
        <f>IF('TMP Paste'!$F703="","",IF('TMP Paste'!$P703="",$AO702,'TMP Paste'!$P703))</f>
        <v/>
      </c>
      <c r="AP703">
        <f>IF($AG703="","",LEN($R703))</f>
        <v/>
      </c>
      <c r="AQ703">
        <f>IF($AG703="","",TRIM(IF(COUNTIFS(Calc!$B$2:$B$1601,ROW()-1,Calc!$C$2:$C$1601,"&lt;1")&gt;0,"Ada PO tanpa Koli - cek TMP. ","")&amp;IF(LEN($R703)&gt;500,"R &gt; 500 karakter.","")))</f>
        <v/>
      </c>
    </row>
    <row r="704">
      <c r="A704">
        <f>IF($AG704="","",INDEX('TMP Paste'!$B$2:$B$1601,$AG704))</f>
        <v/>
      </c>
      <c r="B704">
        <f>IF($AG704="","",Config!$B$14)</f>
        <v/>
      </c>
      <c r="C704">
        <f>IF($AG704="","",Config!$B$15)</f>
        <v/>
      </c>
      <c r="D704">
        <f>IF($AG704="","",INDEX('TMP Paste'!$B$2:$B$1601,$AG704))</f>
        <v/>
      </c>
      <c r="E704">
        <f>IF($AG704="","",Config!$B$27)</f>
        <v/>
      </c>
      <c r="F704">
        <f>IF($AG704="","",Config!$B$9)</f>
        <v/>
      </c>
      <c r="G704">
        <f>IF($AG704="","",Config!$B$10)</f>
        <v/>
      </c>
      <c r="H704">
        <f>IF($AG704="","",Config!$B$11)</f>
        <v/>
      </c>
      <c r="I704">
        <f>IF($AG704="","",Config!$B$16)</f>
        <v/>
      </c>
      <c r="J704">
        <f>IF($AG704="","",INDEX('TMP Paste'!$A$2:$A$1601,$AG704))</f>
        <v/>
      </c>
      <c r="K704">
        <f>IF($AG704="","",INDEX('TMP Paste'!$L$2:$L$1601,$AG704))</f>
        <v/>
      </c>
      <c r="L704">
        <f>IF($AG704="","",INDEX('TMP Paste'!$I$2:$I$1601,$AG704))</f>
        <v/>
      </c>
      <c r="M704">
        <f>IF($AG704="","",Config!$B$16)</f>
        <v/>
      </c>
      <c r="N704">
        <f>IF($AG704="","","")</f>
        <v/>
      </c>
      <c r="O704">
        <f>IF($AG704="","",INDEX('TMP Paste'!$K$2:$K$1601,$AG704))</f>
        <v/>
      </c>
      <c r="P704">
        <f>IF($AG704="","","")</f>
        <v/>
      </c>
      <c r="Q704">
        <f>IF($AG704="","",INDEX('TMP Paste'!$J$2:$J$1601,$AG704))</f>
        <v/>
      </c>
      <c r="R704">
        <f>IF($AG704="","",Config!$B$24)</f>
        <v/>
      </c>
      <c r="S704">
        <f>IF($AG704="","",TEXT(Config!$B$4,"yyyy-mm-dd"))</f>
        <v/>
      </c>
      <c r="T704">
        <f>IF($AG704="","",Config!$B$17)</f>
        <v/>
      </c>
      <c r="U704">
        <f>IF($AG704="","",Config!$B$18)</f>
        <v/>
      </c>
      <c r="V704">
        <f>IF($AG704="","",Config!$B$19)</f>
        <v/>
      </c>
      <c r="W704">
        <f>IF($AG704="","",INDEX('TMP Paste'!$C$2:$C$1601,$AG704))</f>
        <v/>
      </c>
      <c r="X704">
        <f>IF($AG704="","",Config!$B$29)</f>
        <v/>
      </c>
      <c r="Y704">
        <f>IF($AH704="","",INDEX(Calc!$I$2:$I$1601,$AH704)&amp;" - "&amp;INDEX(Calc!$D$2:$D$1601,$AH704)&amp;" koli")</f>
        <v/>
      </c>
      <c r="Z704">
        <f>IF($AG704="","",Config!$B$21)</f>
        <v/>
      </c>
      <c r="AA704">
        <f>IF($AG704="","",Config!$B$22)</f>
        <v/>
      </c>
      <c r="AB704">
        <f>IF($AH704="","",INDEX(Calc!$D$2:$D$1601,$AH704))</f>
        <v/>
      </c>
      <c r="AC704">
        <f>IF($AH704="","",INDEX(Calc!$G$2:$G$1601,$AH704))</f>
        <v/>
      </c>
      <c r="AD704">
        <f>IF($AG704="","",Config!$B$23)</f>
        <v/>
      </c>
      <c r="AE704">
        <f>IF($AG704="","",Config!$B$28)</f>
        <v/>
      </c>
      <c r="AG704">
        <f>IFERROR(MATCH(ROW()-1,Calc!$J$2:$J$1601,0),"")</f>
        <v/>
      </c>
      <c r="AH704">
        <f>IFERROR(MATCH(ROW()-1,Calc!$K$2:$K$1601,0),"")</f>
        <v/>
      </c>
      <c r="AI704">
        <f>IF($AG704="","",SUMIF($AG$2:$AG704,$AG704,$AH$2:$AH704))</f>
        <v/>
      </c>
      <c r="AJ704">
        <f>IF('TMP Paste'!$F704="","",IF('TMP Paste'!$B704="",$AJ703,'TMP Paste'!$B704))</f>
        <v/>
      </c>
      <c r="AK704">
        <f>IF('TMP Paste'!$F704="","",N('TMP Paste'!$G704))</f>
        <v/>
      </c>
      <c r="AL704">
        <f>IF('TMP Paste'!$F704="","",IF('TMP Paste'!$M704="",$AL703,'TMP Paste'!$M704))</f>
        <v/>
      </c>
      <c r="AM704">
        <f>IF('TMP Paste'!$F704="","",IF('TMP Paste'!$N704="",$AM703,'TMP Paste'!$N704))</f>
        <v/>
      </c>
      <c r="AN704">
        <f>IF('TMP Paste'!$F704="","",IF('TMP Paste'!$O704="",$AN703,'TMP Paste'!$O704))</f>
        <v/>
      </c>
      <c r="AO704">
        <f>IF('TMP Paste'!$F704="","",IF('TMP Paste'!$P704="",$AO703,'TMP Paste'!$P704))</f>
        <v/>
      </c>
      <c r="AP704">
        <f>IF($AG704="","",LEN($R704))</f>
        <v/>
      </c>
      <c r="AQ704">
        <f>IF($AG704="","",TRIM(IF(COUNTIFS(Calc!$B$2:$B$1601,ROW()-1,Calc!$C$2:$C$1601,"&lt;1")&gt;0,"Ada PO tanpa Koli - cek TMP. ","")&amp;IF(LEN($R704)&gt;500,"R &gt; 500 karakter.","")))</f>
        <v/>
      </c>
    </row>
    <row r="705">
      <c r="A705">
        <f>IF($AG705="","",INDEX('TMP Paste'!$B$2:$B$1601,$AG705))</f>
        <v/>
      </c>
      <c r="B705">
        <f>IF($AG705="","",Config!$B$14)</f>
        <v/>
      </c>
      <c r="C705">
        <f>IF($AG705="","",Config!$B$15)</f>
        <v/>
      </c>
      <c r="D705">
        <f>IF($AG705="","",INDEX('TMP Paste'!$B$2:$B$1601,$AG705))</f>
        <v/>
      </c>
      <c r="E705">
        <f>IF($AG705="","",Config!$B$27)</f>
        <v/>
      </c>
      <c r="F705">
        <f>IF($AG705="","",Config!$B$9)</f>
        <v/>
      </c>
      <c r="G705">
        <f>IF($AG705="","",Config!$B$10)</f>
        <v/>
      </c>
      <c r="H705">
        <f>IF($AG705="","",Config!$B$11)</f>
        <v/>
      </c>
      <c r="I705">
        <f>IF($AG705="","",Config!$B$16)</f>
        <v/>
      </c>
      <c r="J705">
        <f>IF($AG705="","",INDEX('TMP Paste'!$A$2:$A$1601,$AG705))</f>
        <v/>
      </c>
      <c r="K705">
        <f>IF($AG705="","",INDEX('TMP Paste'!$L$2:$L$1601,$AG705))</f>
        <v/>
      </c>
      <c r="L705">
        <f>IF($AG705="","",INDEX('TMP Paste'!$I$2:$I$1601,$AG705))</f>
        <v/>
      </c>
      <c r="M705">
        <f>IF($AG705="","",Config!$B$16)</f>
        <v/>
      </c>
      <c r="N705">
        <f>IF($AG705="","","")</f>
        <v/>
      </c>
      <c r="O705">
        <f>IF($AG705="","",INDEX('TMP Paste'!$K$2:$K$1601,$AG705))</f>
        <v/>
      </c>
      <c r="P705">
        <f>IF($AG705="","","")</f>
        <v/>
      </c>
      <c r="Q705">
        <f>IF($AG705="","",INDEX('TMP Paste'!$J$2:$J$1601,$AG705))</f>
        <v/>
      </c>
      <c r="R705">
        <f>IF($AG705="","",Config!$B$24)</f>
        <v/>
      </c>
      <c r="S705">
        <f>IF($AG705="","",TEXT(Config!$B$4,"yyyy-mm-dd"))</f>
        <v/>
      </c>
      <c r="T705">
        <f>IF($AG705="","",Config!$B$17)</f>
        <v/>
      </c>
      <c r="U705">
        <f>IF($AG705="","",Config!$B$18)</f>
        <v/>
      </c>
      <c r="V705">
        <f>IF($AG705="","",Config!$B$19)</f>
        <v/>
      </c>
      <c r="W705">
        <f>IF($AG705="","",INDEX('TMP Paste'!$C$2:$C$1601,$AG705))</f>
        <v/>
      </c>
      <c r="X705">
        <f>IF($AG705="","",Config!$B$29)</f>
        <v/>
      </c>
      <c r="Y705">
        <f>IF($AH705="","",INDEX(Calc!$I$2:$I$1601,$AH705)&amp;" - "&amp;INDEX(Calc!$D$2:$D$1601,$AH705)&amp;" koli")</f>
        <v/>
      </c>
      <c r="Z705">
        <f>IF($AG705="","",Config!$B$21)</f>
        <v/>
      </c>
      <c r="AA705">
        <f>IF($AG705="","",Config!$B$22)</f>
        <v/>
      </c>
      <c r="AB705">
        <f>IF($AH705="","",INDEX(Calc!$D$2:$D$1601,$AH705))</f>
        <v/>
      </c>
      <c r="AC705">
        <f>IF($AH705="","",INDEX(Calc!$G$2:$G$1601,$AH705))</f>
        <v/>
      </c>
      <c r="AD705">
        <f>IF($AG705="","",Config!$B$23)</f>
        <v/>
      </c>
      <c r="AE705">
        <f>IF($AG705="","",Config!$B$28)</f>
        <v/>
      </c>
      <c r="AG705">
        <f>IFERROR(MATCH(ROW()-1,Calc!$J$2:$J$1601,0),"")</f>
        <v/>
      </c>
      <c r="AH705">
        <f>IFERROR(MATCH(ROW()-1,Calc!$K$2:$K$1601,0),"")</f>
        <v/>
      </c>
      <c r="AI705">
        <f>IF($AG705="","",SUMIF($AG$2:$AG705,$AG705,$AH$2:$AH705))</f>
        <v/>
      </c>
      <c r="AJ705">
        <f>IF('TMP Paste'!$F705="","",IF('TMP Paste'!$B705="",$AJ704,'TMP Paste'!$B705))</f>
        <v/>
      </c>
      <c r="AK705">
        <f>IF('TMP Paste'!$F705="","",N('TMP Paste'!$G705))</f>
        <v/>
      </c>
      <c r="AL705">
        <f>IF('TMP Paste'!$F705="","",IF('TMP Paste'!$M705="",$AL704,'TMP Paste'!$M705))</f>
        <v/>
      </c>
      <c r="AM705">
        <f>IF('TMP Paste'!$F705="","",IF('TMP Paste'!$N705="",$AM704,'TMP Paste'!$N705))</f>
        <v/>
      </c>
      <c r="AN705">
        <f>IF('TMP Paste'!$F705="","",IF('TMP Paste'!$O705="",$AN704,'TMP Paste'!$O705))</f>
        <v/>
      </c>
      <c r="AO705">
        <f>IF('TMP Paste'!$F705="","",IF('TMP Paste'!$P705="",$AO704,'TMP Paste'!$P705))</f>
        <v/>
      </c>
      <c r="AP705">
        <f>IF($AG705="","",LEN($R705))</f>
        <v/>
      </c>
      <c r="AQ705">
        <f>IF($AG705="","",TRIM(IF(COUNTIFS(Calc!$B$2:$B$1601,ROW()-1,Calc!$C$2:$C$1601,"&lt;1")&gt;0,"Ada PO tanpa Koli - cek TMP. ","")&amp;IF(LEN($R705)&gt;500,"R &gt; 500 karakter.","")))</f>
        <v/>
      </c>
    </row>
    <row r="706">
      <c r="A706">
        <f>IF($AG706="","",INDEX('TMP Paste'!$B$2:$B$1601,$AG706))</f>
        <v/>
      </c>
      <c r="B706">
        <f>IF($AG706="","",Config!$B$14)</f>
        <v/>
      </c>
      <c r="C706">
        <f>IF($AG706="","",Config!$B$15)</f>
        <v/>
      </c>
      <c r="D706">
        <f>IF($AG706="","",INDEX('TMP Paste'!$B$2:$B$1601,$AG706))</f>
        <v/>
      </c>
      <c r="E706">
        <f>IF($AG706="","",Config!$B$27)</f>
        <v/>
      </c>
      <c r="F706">
        <f>IF($AG706="","",Config!$B$9)</f>
        <v/>
      </c>
      <c r="G706">
        <f>IF($AG706="","",Config!$B$10)</f>
        <v/>
      </c>
      <c r="H706">
        <f>IF($AG706="","",Config!$B$11)</f>
        <v/>
      </c>
      <c r="I706">
        <f>IF($AG706="","",Config!$B$16)</f>
        <v/>
      </c>
      <c r="J706">
        <f>IF($AG706="","",INDEX('TMP Paste'!$A$2:$A$1601,$AG706))</f>
        <v/>
      </c>
      <c r="K706">
        <f>IF($AG706="","",INDEX('TMP Paste'!$L$2:$L$1601,$AG706))</f>
        <v/>
      </c>
      <c r="L706">
        <f>IF($AG706="","",INDEX('TMP Paste'!$I$2:$I$1601,$AG706))</f>
        <v/>
      </c>
      <c r="M706">
        <f>IF($AG706="","",Config!$B$16)</f>
        <v/>
      </c>
      <c r="N706">
        <f>IF($AG706="","","")</f>
        <v/>
      </c>
      <c r="O706">
        <f>IF($AG706="","",INDEX('TMP Paste'!$K$2:$K$1601,$AG706))</f>
        <v/>
      </c>
      <c r="P706">
        <f>IF($AG706="","","")</f>
        <v/>
      </c>
      <c r="Q706">
        <f>IF($AG706="","",INDEX('TMP Paste'!$J$2:$J$1601,$AG706))</f>
        <v/>
      </c>
      <c r="R706">
        <f>IF($AG706="","",Config!$B$24)</f>
        <v/>
      </c>
      <c r="S706">
        <f>IF($AG706="","",TEXT(Config!$B$4,"yyyy-mm-dd"))</f>
        <v/>
      </c>
      <c r="T706">
        <f>IF($AG706="","",Config!$B$17)</f>
        <v/>
      </c>
      <c r="U706">
        <f>IF($AG706="","",Config!$B$18)</f>
        <v/>
      </c>
      <c r="V706">
        <f>IF($AG706="","",Config!$B$19)</f>
        <v/>
      </c>
      <c r="W706">
        <f>IF($AG706="","",INDEX('TMP Paste'!$C$2:$C$1601,$AG706))</f>
        <v/>
      </c>
      <c r="X706">
        <f>IF($AG706="","",Config!$B$29)</f>
        <v/>
      </c>
      <c r="Y706">
        <f>IF($AH706="","",INDEX(Calc!$I$2:$I$1601,$AH706)&amp;" - "&amp;INDEX(Calc!$D$2:$D$1601,$AH706)&amp;" koli")</f>
        <v/>
      </c>
      <c r="Z706">
        <f>IF($AG706="","",Config!$B$21)</f>
        <v/>
      </c>
      <c r="AA706">
        <f>IF($AG706="","",Config!$B$22)</f>
        <v/>
      </c>
      <c r="AB706">
        <f>IF($AH706="","",INDEX(Calc!$D$2:$D$1601,$AH706))</f>
        <v/>
      </c>
      <c r="AC706">
        <f>IF($AH706="","",INDEX(Calc!$G$2:$G$1601,$AH706))</f>
        <v/>
      </c>
      <c r="AD706">
        <f>IF($AG706="","",Config!$B$23)</f>
        <v/>
      </c>
      <c r="AE706">
        <f>IF($AG706="","",Config!$B$28)</f>
        <v/>
      </c>
      <c r="AG706">
        <f>IFERROR(MATCH(ROW()-1,Calc!$J$2:$J$1601,0),"")</f>
        <v/>
      </c>
      <c r="AH706">
        <f>IFERROR(MATCH(ROW()-1,Calc!$K$2:$K$1601,0),"")</f>
        <v/>
      </c>
      <c r="AI706">
        <f>IF($AG706="","",SUMIF($AG$2:$AG706,$AG706,$AH$2:$AH706))</f>
        <v/>
      </c>
      <c r="AJ706">
        <f>IF('TMP Paste'!$F706="","",IF('TMP Paste'!$B706="",$AJ705,'TMP Paste'!$B706))</f>
        <v/>
      </c>
      <c r="AK706">
        <f>IF('TMP Paste'!$F706="","",N('TMP Paste'!$G706))</f>
        <v/>
      </c>
      <c r="AL706">
        <f>IF('TMP Paste'!$F706="","",IF('TMP Paste'!$M706="",$AL705,'TMP Paste'!$M706))</f>
        <v/>
      </c>
      <c r="AM706">
        <f>IF('TMP Paste'!$F706="","",IF('TMP Paste'!$N706="",$AM705,'TMP Paste'!$N706))</f>
        <v/>
      </c>
      <c r="AN706">
        <f>IF('TMP Paste'!$F706="","",IF('TMP Paste'!$O706="",$AN705,'TMP Paste'!$O706))</f>
        <v/>
      </c>
      <c r="AO706">
        <f>IF('TMP Paste'!$F706="","",IF('TMP Paste'!$P706="",$AO705,'TMP Paste'!$P706))</f>
        <v/>
      </c>
      <c r="AP706">
        <f>IF($AG706="","",LEN($R706))</f>
        <v/>
      </c>
      <c r="AQ706">
        <f>IF($AG706="","",TRIM(IF(COUNTIFS(Calc!$B$2:$B$1601,ROW()-1,Calc!$C$2:$C$1601,"&lt;1")&gt;0,"Ada PO tanpa Koli - cek TMP. ","")&amp;IF(LEN($R706)&gt;500,"R &gt; 500 karakter.","")))</f>
        <v/>
      </c>
    </row>
    <row r="707">
      <c r="A707">
        <f>IF($AG707="","",INDEX('TMP Paste'!$B$2:$B$1601,$AG707))</f>
        <v/>
      </c>
      <c r="B707">
        <f>IF($AG707="","",Config!$B$14)</f>
        <v/>
      </c>
      <c r="C707">
        <f>IF($AG707="","",Config!$B$15)</f>
        <v/>
      </c>
      <c r="D707">
        <f>IF($AG707="","",INDEX('TMP Paste'!$B$2:$B$1601,$AG707))</f>
        <v/>
      </c>
      <c r="E707">
        <f>IF($AG707="","",Config!$B$27)</f>
        <v/>
      </c>
      <c r="F707">
        <f>IF($AG707="","",Config!$B$9)</f>
        <v/>
      </c>
      <c r="G707">
        <f>IF($AG707="","",Config!$B$10)</f>
        <v/>
      </c>
      <c r="H707">
        <f>IF($AG707="","",Config!$B$11)</f>
        <v/>
      </c>
      <c r="I707">
        <f>IF($AG707="","",Config!$B$16)</f>
        <v/>
      </c>
      <c r="J707">
        <f>IF($AG707="","",INDEX('TMP Paste'!$A$2:$A$1601,$AG707))</f>
        <v/>
      </c>
      <c r="K707">
        <f>IF($AG707="","",INDEX('TMP Paste'!$L$2:$L$1601,$AG707))</f>
        <v/>
      </c>
      <c r="L707">
        <f>IF($AG707="","",INDEX('TMP Paste'!$I$2:$I$1601,$AG707))</f>
        <v/>
      </c>
      <c r="M707">
        <f>IF($AG707="","",Config!$B$16)</f>
        <v/>
      </c>
      <c r="N707">
        <f>IF($AG707="","","")</f>
        <v/>
      </c>
      <c r="O707">
        <f>IF($AG707="","",INDEX('TMP Paste'!$K$2:$K$1601,$AG707))</f>
        <v/>
      </c>
      <c r="P707">
        <f>IF($AG707="","","")</f>
        <v/>
      </c>
      <c r="Q707">
        <f>IF($AG707="","",INDEX('TMP Paste'!$J$2:$J$1601,$AG707))</f>
        <v/>
      </c>
      <c r="R707">
        <f>IF($AG707="","",Config!$B$24)</f>
        <v/>
      </c>
      <c r="S707">
        <f>IF($AG707="","",TEXT(Config!$B$4,"yyyy-mm-dd"))</f>
        <v/>
      </c>
      <c r="T707">
        <f>IF($AG707="","",Config!$B$17)</f>
        <v/>
      </c>
      <c r="U707">
        <f>IF($AG707="","",Config!$B$18)</f>
        <v/>
      </c>
      <c r="V707">
        <f>IF($AG707="","",Config!$B$19)</f>
        <v/>
      </c>
      <c r="W707">
        <f>IF($AG707="","",INDEX('TMP Paste'!$C$2:$C$1601,$AG707))</f>
        <v/>
      </c>
      <c r="X707">
        <f>IF($AG707="","",Config!$B$29)</f>
        <v/>
      </c>
      <c r="Y707">
        <f>IF($AH707="","",INDEX(Calc!$I$2:$I$1601,$AH707)&amp;" - "&amp;INDEX(Calc!$D$2:$D$1601,$AH707)&amp;" koli")</f>
        <v/>
      </c>
      <c r="Z707">
        <f>IF($AG707="","",Config!$B$21)</f>
        <v/>
      </c>
      <c r="AA707">
        <f>IF($AG707="","",Config!$B$22)</f>
        <v/>
      </c>
      <c r="AB707">
        <f>IF($AH707="","",INDEX(Calc!$D$2:$D$1601,$AH707))</f>
        <v/>
      </c>
      <c r="AC707">
        <f>IF($AH707="","",INDEX(Calc!$G$2:$G$1601,$AH707))</f>
        <v/>
      </c>
      <c r="AD707">
        <f>IF($AG707="","",Config!$B$23)</f>
        <v/>
      </c>
      <c r="AE707">
        <f>IF($AG707="","",Config!$B$28)</f>
        <v/>
      </c>
      <c r="AG707">
        <f>IFERROR(MATCH(ROW()-1,Calc!$J$2:$J$1601,0),"")</f>
        <v/>
      </c>
      <c r="AH707">
        <f>IFERROR(MATCH(ROW()-1,Calc!$K$2:$K$1601,0),"")</f>
        <v/>
      </c>
      <c r="AI707">
        <f>IF($AG707="","",SUMIF($AG$2:$AG707,$AG707,$AH$2:$AH707))</f>
        <v/>
      </c>
      <c r="AJ707">
        <f>IF('TMP Paste'!$F707="","",IF('TMP Paste'!$B707="",$AJ706,'TMP Paste'!$B707))</f>
        <v/>
      </c>
      <c r="AK707">
        <f>IF('TMP Paste'!$F707="","",N('TMP Paste'!$G707))</f>
        <v/>
      </c>
      <c r="AL707">
        <f>IF('TMP Paste'!$F707="","",IF('TMP Paste'!$M707="",$AL706,'TMP Paste'!$M707))</f>
        <v/>
      </c>
      <c r="AM707">
        <f>IF('TMP Paste'!$F707="","",IF('TMP Paste'!$N707="",$AM706,'TMP Paste'!$N707))</f>
        <v/>
      </c>
      <c r="AN707">
        <f>IF('TMP Paste'!$F707="","",IF('TMP Paste'!$O707="",$AN706,'TMP Paste'!$O707))</f>
        <v/>
      </c>
      <c r="AO707">
        <f>IF('TMP Paste'!$F707="","",IF('TMP Paste'!$P707="",$AO706,'TMP Paste'!$P707))</f>
        <v/>
      </c>
      <c r="AP707">
        <f>IF($AG707="","",LEN($R707))</f>
        <v/>
      </c>
      <c r="AQ707">
        <f>IF($AG707="","",TRIM(IF(COUNTIFS(Calc!$B$2:$B$1601,ROW()-1,Calc!$C$2:$C$1601,"&lt;1")&gt;0,"Ada PO tanpa Koli - cek TMP. ","")&amp;IF(LEN($R707)&gt;500,"R &gt; 500 karakter.","")))</f>
        <v/>
      </c>
    </row>
    <row r="708">
      <c r="A708">
        <f>IF($AG708="","",INDEX('TMP Paste'!$B$2:$B$1601,$AG708))</f>
        <v/>
      </c>
      <c r="B708">
        <f>IF($AG708="","",Config!$B$14)</f>
        <v/>
      </c>
      <c r="C708">
        <f>IF($AG708="","",Config!$B$15)</f>
        <v/>
      </c>
      <c r="D708">
        <f>IF($AG708="","",INDEX('TMP Paste'!$B$2:$B$1601,$AG708))</f>
        <v/>
      </c>
      <c r="E708">
        <f>IF($AG708="","",Config!$B$27)</f>
        <v/>
      </c>
      <c r="F708">
        <f>IF($AG708="","",Config!$B$9)</f>
        <v/>
      </c>
      <c r="G708">
        <f>IF($AG708="","",Config!$B$10)</f>
        <v/>
      </c>
      <c r="H708">
        <f>IF($AG708="","",Config!$B$11)</f>
        <v/>
      </c>
      <c r="I708">
        <f>IF($AG708="","",Config!$B$16)</f>
        <v/>
      </c>
      <c r="J708">
        <f>IF($AG708="","",INDEX('TMP Paste'!$A$2:$A$1601,$AG708))</f>
        <v/>
      </c>
      <c r="K708">
        <f>IF($AG708="","",INDEX('TMP Paste'!$L$2:$L$1601,$AG708))</f>
        <v/>
      </c>
      <c r="L708">
        <f>IF($AG708="","",INDEX('TMP Paste'!$I$2:$I$1601,$AG708))</f>
        <v/>
      </c>
      <c r="M708">
        <f>IF($AG708="","",Config!$B$16)</f>
        <v/>
      </c>
      <c r="N708">
        <f>IF($AG708="","","")</f>
        <v/>
      </c>
      <c r="O708">
        <f>IF($AG708="","",INDEX('TMP Paste'!$K$2:$K$1601,$AG708))</f>
        <v/>
      </c>
      <c r="P708">
        <f>IF($AG708="","","")</f>
        <v/>
      </c>
      <c r="Q708">
        <f>IF($AG708="","",INDEX('TMP Paste'!$J$2:$J$1601,$AG708))</f>
        <v/>
      </c>
      <c r="R708">
        <f>IF($AG708="","",Config!$B$24)</f>
        <v/>
      </c>
      <c r="S708">
        <f>IF($AG708="","",TEXT(Config!$B$4,"yyyy-mm-dd"))</f>
        <v/>
      </c>
      <c r="T708">
        <f>IF($AG708="","",Config!$B$17)</f>
        <v/>
      </c>
      <c r="U708">
        <f>IF($AG708="","",Config!$B$18)</f>
        <v/>
      </c>
      <c r="V708">
        <f>IF($AG708="","",Config!$B$19)</f>
        <v/>
      </c>
      <c r="W708">
        <f>IF($AG708="","",INDEX('TMP Paste'!$C$2:$C$1601,$AG708))</f>
        <v/>
      </c>
      <c r="X708">
        <f>IF($AG708="","",Config!$B$29)</f>
        <v/>
      </c>
      <c r="Y708">
        <f>IF($AH708="","",INDEX(Calc!$I$2:$I$1601,$AH708)&amp;" - "&amp;INDEX(Calc!$D$2:$D$1601,$AH708)&amp;" koli")</f>
        <v/>
      </c>
      <c r="Z708">
        <f>IF($AG708="","",Config!$B$21)</f>
        <v/>
      </c>
      <c r="AA708">
        <f>IF($AG708="","",Config!$B$22)</f>
        <v/>
      </c>
      <c r="AB708">
        <f>IF($AH708="","",INDEX(Calc!$D$2:$D$1601,$AH708))</f>
        <v/>
      </c>
      <c r="AC708">
        <f>IF($AH708="","",INDEX(Calc!$G$2:$G$1601,$AH708))</f>
        <v/>
      </c>
      <c r="AD708">
        <f>IF($AG708="","",Config!$B$23)</f>
        <v/>
      </c>
      <c r="AE708">
        <f>IF($AG708="","",Config!$B$28)</f>
        <v/>
      </c>
      <c r="AG708">
        <f>IFERROR(MATCH(ROW()-1,Calc!$J$2:$J$1601,0),"")</f>
        <v/>
      </c>
      <c r="AH708">
        <f>IFERROR(MATCH(ROW()-1,Calc!$K$2:$K$1601,0),"")</f>
        <v/>
      </c>
      <c r="AI708">
        <f>IF($AG708="","",SUMIF($AG$2:$AG708,$AG708,$AH$2:$AH708))</f>
        <v/>
      </c>
      <c r="AJ708">
        <f>IF('TMP Paste'!$F708="","",IF('TMP Paste'!$B708="",$AJ707,'TMP Paste'!$B708))</f>
        <v/>
      </c>
      <c r="AK708">
        <f>IF('TMP Paste'!$F708="","",N('TMP Paste'!$G708))</f>
        <v/>
      </c>
      <c r="AL708">
        <f>IF('TMP Paste'!$F708="","",IF('TMP Paste'!$M708="",$AL707,'TMP Paste'!$M708))</f>
        <v/>
      </c>
      <c r="AM708">
        <f>IF('TMP Paste'!$F708="","",IF('TMP Paste'!$N708="",$AM707,'TMP Paste'!$N708))</f>
        <v/>
      </c>
      <c r="AN708">
        <f>IF('TMP Paste'!$F708="","",IF('TMP Paste'!$O708="",$AN707,'TMP Paste'!$O708))</f>
        <v/>
      </c>
      <c r="AO708">
        <f>IF('TMP Paste'!$F708="","",IF('TMP Paste'!$P708="",$AO707,'TMP Paste'!$P708))</f>
        <v/>
      </c>
      <c r="AP708">
        <f>IF($AG708="","",LEN($R708))</f>
        <v/>
      </c>
      <c r="AQ708">
        <f>IF($AG708="","",TRIM(IF(COUNTIFS(Calc!$B$2:$B$1601,ROW()-1,Calc!$C$2:$C$1601,"&lt;1")&gt;0,"Ada PO tanpa Koli - cek TMP. ","")&amp;IF(LEN($R708)&gt;500,"R &gt; 500 karakter.","")))</f>
        <v/>
      </c>
    </row>
    <row r="709">
      <c r="A709">
        <f>IF($AG709="","",INDEX('TMP Paste'!$B$2:$B$1601,$AG709))</f>
        <v/>
      </c>
      <c r="B709">
        <f>IF($AG709="","",Config!$B$14)</f>
        <v/>
      </c>
      <c r="C709">
        <f>IF($AG709="","",Config!$B$15)</f>
        <v/>
      </c>
      <c r="D709">
        <f>IF($AG709="","",INDEX('TMP Paste'!$B$2:$B$1601,$AG709))</f>
        <v/>
      </c>
      <c r="E709">
        <f>IF($AG709="","",Config!$B$27)</f>
        <v/>
      </c>
      <c r="F709">
        <f>IF($AG709="","",Config!$B$9)</f>
        <v/>
      </c>
      <c r="G709">
        <f>IF($AG709="","",Config!$B$10)</f>
        <v/>
      </c>
      <c r="H709">
        <f>IF($AG709="","",Config!$B$11)</f>
        <v/>
      </c>
      <c r="I709">
        <f>IF($AG709="","",Config!$B$16)</f>
        <v/>
      </c>
      <c r="J709">
        <f>IF($AG709="","",INDEX('TMP Paste'!$A$2:$A$1601,$AG709))</f>
        <v/>
      </c>
      <c r="K709">
        <f>IF($AG709="","",INDEX('TMP Paste'!$L$2:$L$1601,$AG709))</f>
        <v/>
      </c>
      <c r="L709">
        <f>IF($AG709="","",INDEX('TMP Paste'!$I$2:$I$1601,$AG709))</f>
        <v/>
      </c>
      <c r="M709">
        <f>IF($AG709="","",Config!$B$16)</f>
        <v/>
      </c>
      <c r="N709">
        <f>IF($AG709="","","")</f>
        <v/>
      </c>
      <c r="O709">
        <f>IF($AG709="","",INDEX('TMP Paste'!$K$2:$K$1601,$AG709))</f>
        <v/>
      </c>
      <c r="P709">
        <f>IF($AG709="","","")</f>
        <v/>
      </c>
      <c r="Q709">
        <f>IF($AG709="","",INDEX('TMP Paste'!$J$2:$J$1601,$AG709))</f>
        <v/>
      </c>
      <c r="R709">
        <f>IF($AG709="","",Config!$B$24)</f>
        <v/>
      </c>
      <c r="S709">
        <f>IF($AG709="","",TEXT(Config!$B$4,"yyyy-mm-dd"))</f>
        <v/>
      </c>
      <c r="T709">
        <f>IF($AG709="","",Config!$B$17)</f>
        <v/>
      </c>
      <c r="U709">
        <f>IF($AG709="","",Config!$B$18)</f>
        <v/>
      </c>
      <c r="V709">
        <f>IF($AG709="","",Config!$B$19)</f>
        <v/>
      </c>
      <c r="W709">
        <f>IF($AG709="","",INDEX('TMP Paste'!$C$2:$C$1601,$AG709))</f>
        <v/>
      </c>
      <c r="X709">
        <f>IF($AG709="","",Config!$B$29)</f>
        <v/>
      </c>
      <c r="Y709">
        <f>IF($AH709="","",INDEX(Calc!$I$2:$I$1601,$AH709)&amp;" - "&amp;INDEX(Calc!$D$2:$D$1601,$AH709)&amp;" koli")</f>
        <v/>
      </c>
      <c r="Z709">
        <f>IF($AG709="","",Config!$B$21)</f>
        <v/>
      </c>
      <c r="AA709">
        <f>IF($AG709="","",Config!$B$22)</f>
        <v/>
      </c>
      <c r="AB709">
        <f>IF($AH709="","",INDEX(Calc!$D$2:$D$1601,$AH709))</f>
        <v/>
      </c>
      <c r="AC709">
        <f>IF($AH709="","",INDEX(Calc!$G$2:$G$1601,$AH709))</f>
        <v/>
      </c>
      <c r="AD709">
        <f>IF($AG709="","",Config!$B$23)</f>
        <v/>
      </c>
      <c r="AE709">
        <f>IF($AG709="","",Config!$B$28)</f>
        <v/>
      </c>
      <c r="AG709">
        <f>IFERROR(MATCH(ROW()-1,Calc!$J$2:$J$1601,0),"")</f>
        <v/>
      </c>
      <c r="AH709">
        <f>IFERROR(MATCH(ROW()-1,Calc!$K$2:$K$1601,0),"")</f>
        <v/>
      </c>
      <c r="AI709">
        <f>IF($AG709="","",SUMIF($AG$2:$AG709,$AG709,$AH$2:$AH709))</f>
        <v/>
      </c>
      <c r="AJ709">
        <f>IF('TMP Paste'!$F709="","",IF('TMP Paste'!$B709="",$AJ708,'TMP Paste'!$B709))</f>
        <v/>
      </c>
      <c r="AK709">
        <f>IF('TMP Paste'!$F709="","",N('TMP Paste'!$G709))</f>
        <v/>
      </c>
      <c r="AL709">
        <f>IF('TMP Paste'!$F709="","",IF('TMP Paste'!$M709="",$AL708,'TMP Paste'!$M709))</f>
        <v/>
      </c>
      <c r="AM709">
        <f>IF('TMP Paste'!$F709="","",IF('TMP Paste'!$N709="",$AM708,'TMP Paste'!$N709))</f>
        <v/>
      </c>
      <c r="AN709">
        <f>IF('TMP Paste'!$F709="","",IF('TMP Paste'!$O709="",$AN708,'TMP Paste'!$O709))</f>
        <v/>
      </c>
      <c r="AO709">
        <f>IF('TMP Paste'!$F709="","",IF('TMP Paste'!$P709="",$AO708,'TMP Paste'!$P709))</f>
        <v/>
      </c>
      <c r="AP709">
        <f>IF($AG709="","",LEN($R709))</f>
        <v/>
      </c>
      <c r="AQ709">
        <f>IF($AG709="","",TRIM(IF(COUNTIFS(Calc!$B$2:$B$1601,ROW()-1,Calc!$C$2:$C$1601,"&lt;1")&gt;0,"Ada PO tanpa Koli - cek TMP. ","")&amp;IF(LEN($R709)&gt;500,"R &gt; 500 karakter.","")))</f>
        <v/>
      </c>
    </row>
    <row r="710">
      <c r="A710">
        <f>IF($AG710="","",INDEX('TMP Paste'!$B$2:$B$1601,$AG710))</f>
        <v/>
      </c>
      <c r="B710">
        <f>IF($AG710="","",Config!$B$14)</f>
        <v/>
      </c>
      <c r="C710">
        <f>IF($AG710="","",Config!$B$15)</f>
        <v/>
      </c>
      <c r="D710">
        <f>IF($AG710="","",INDEX('TMP Paste'!$B$2:$B$1601,$AG710))</f>
        <v/>
      </c>
      <c r="E710">
        <f>IF($AG710="","",Config!$B$27)</f>
        <v/>
      </c>
      <c r="F710">
        <f>IF($AG710="","",Config!$B$9)</f>
        <v/>
      </c>
      <c r="G710">
        <f>IF($AG710="","",Config!$B$10)</f>
        <v/>
      </c>
      <c r="H710">
        <f>IF($AG710="","",Config!$B$11)</f>
        <v/>
      </c>
      <c r="I710">
        <f>IF($AG710="","",Config!$B$16)</f>
        <v/>
      </c>
      <c r="J710">
        <f>IF($AG710="","",INDEX('TMP Paste'!$A$2:$A$1601,$AG710))</f>
        <v/>
      </c>
      <c r="K710">
        <f>IF($AG710="","",INDEX('TMP Paste'!$L$2:$L$1601,$AG710))</f>
        <v/>
      </c>
      <c r="L710">
        <f>IF($AG710="","",INDEX('TMP Paste'!$I$2:$I$1601,$AG710))</f>
        <v/>
      </c>
      <c r="M710">
        <f>IF($AG710="","",Config!$B$16)</f>
        <v/>
      </c>
      <c r="N710">
        <f>IF($AG710="","","")</f>
        <v/>
      </c>
      <c r="O710">
        <f>IF($AG710="","",INDEX('TMP Paste'!$K$2:$K$1601,$AG710))</f>
        <v/>
      </c>
      <c r="P710">
        <f>IF($AG710="","","")</f>
        <v/>
      </c>
      <c r="Q710">
        <f>IF($AG710="","",INDEX('TMP Paste'!$J$2:$J$1601,$AG710))</f>
        <v/>
      </c>
      <c r="R710">
        <f>IF($AG710="","",Config!$B$24)</f>
        <v/>
      </c>
      <c r="S710">
        <f>IF($AG710="","",TEXT(Config!$B$4,"yyyy-mm-dd"))</f>
        <v/>
      </c>
      <c r="T710">
        <f>IF($AG710="","",Config!$B$17)</f>
        <v/>
      </c>
      <c r="U710">
        <f>IF($AG710="","",Config!$B$18)</f>
        <v/>
      </c>
      <c r="V710">
        <f>IF($AG710="","",Config!$B$19)</f>
        <v/>
      </c>
      <c r="W710">
        <f>IF($AG710="","",INDEX('TMP Paste'!$C$2:$C$1601,$AG710))</f>
        <v/>
      </c>
      <c r="X710">
        <f>IF($AG710="","",Config!$B$29)</f>
        <v/>
      </c>
      <c r="Y710">
        <f>IF($AH710="","",INDEX(Calc!$I$2:$I$1601,$AH710)&amp;" - "&amp;INDEX(Calc!$D$2:$D$1601,$AH710)&amp;" koli")</f>
        <v/>
      </c>
      <c r="Z710">
        <f>IF($AG710="","",Config!$B$21)</f>
        <v/>
      </c>
      <c r="AA710">
        <f>IF($AG710="","",Config!$B$22)</f>
        <v/>
      </c>
      <c r="AB710">
        <f>IF($AH710="","",INDEX(Calc!$D$2:$D$1601,$AH710))</f>
        <v/>
      </c>
      <c r="AC710">
        <f>IF($AH710="","",INDEX(Calc!$G$2:$G$1601,$AH710))</f>
        <v/>
      </c>
      <c r="AD710">
        <f>IF($AG710="","",Config!$B$23)</f>
        <v/>
      </c>
      <c r="AE710">
        <f>IF($AG710="","",Config!$B$28)</f>
        <v/>
      </c>
      <c r="AG710">
        <f>IFERROR(MATCH(ROW()-1,Calc!$J$2:$J$1601,0),"")</f>
        <v/>
      </c>
      <c r="AH710">
        <f>IFERROR(MATCH(ROW()-1,Calc!$K$2:$K$1601,0),"")</f>
        <v/>
      </c>
      <c r="AI710">
        <f>IF($AG710="","",SUMIF($AG$2:$AG710,$AG710,$AH$2:$AH710))</f>
        <v/>
      </c>
      <c r="AJ710">
        <f>IF('TMP Paste'!$F710="","",IF('TMP Paste'!$B710="",$AJ709,'TMP Paste'!$B710))</f>
        <v/>
      </c>
      <c r="AK710">
        <f>IF('TMP Paste'!$F710="","",N('TMP Paste'!$G710))</f>
        <v/>
      </c>
      <c r="AL710">
        <f>IF('TMP Paste'!$F710="","",IF('TMP Paste'!$M710="",$AL709,'TMP Paste'!$M710))</f>
        <v/>
      </c>
      <c r="AM710">
        <f>IF('TMP Paste'!$F710="","",IF('TMP Paste'!$N710="",$AM709,'TMP Paste'!$N710))</f>
        <v/>
      </c>
      <c r="AN710">
        <f>IF('TMP Paste'!$F710="","",IF('TMP Paste'!$O710="",$AN709,'TMP Paste'!$O710))</f>
        <v/>
      </c>
      <c r="AO710">
        <f>IF('TMP Paste'!$F710="","",IF('TMP Paste'!$P710="",$AO709,'TMP Paste'!$P710))</f>
        <v/>
      </c>
      <c r="AP710">
        <f>IF($AG710="","",LEN($R710))</f>
        <v/>
      </c>
      <c r="AQ710">
        <f>IF($AG710="","",TRIM(IF(COUNTIFS(Calc!$B$2:$B$1601,ROW()-1,Calc!$C$2:$C$1601,"&lt;1")&gt;0,"Ada PO tanpa Koli - cek TMP. ","")&amp;IF(LEN($R710)&gt;500,"R &gt; 500 karakter.","")))</f>
        <v/>
      </c>
    </row>
    <row r="711">
      <c r="A711">
        <f>IF($AG711="","",INDEX('TMP Paste'!$B$2:$B$1601,$AG711))</f>
        <v/>
      </c>
      <c r="B711">
        <f>IF($AG711="","",Config!$B$14)</f>
        <v/>
      </c>
      <c r="C711">
        <f>IF($AG711="","",Config!$B$15)</f>
        <v/>
      </c>
      <c r="D711">
        <f>IF($AG711="","",INDEX('TMP Paste'!$B$2:$B$1601,$AG711))</f>
        <v/>
      </c>
      <c r="E711">
        <f>IF($AG711="","",Config!$B$27)</f>
        <v/>
      </c>
      <c r="F711">
        <f>IF($AG711="","",Config!$B$9)</f>
        <v/>
      </c>
      <c r="G711">
        <f>IF($AG711="","",Config!$B$10)</f>
        <v/>
      </c>
      <c r="H711">
        <f>IF($AG711="","",Config!$B$11)</f>
        <v/>
      </c>
      <c r="I711">
        <f>IF($AG711="","",Config!$B$16)</f>
        <v/>
      </c>
      <c r="J711">
        <f>IF($AG711="","",INDEX('TMP Paste'!$A$2:$A$1601,$AG711))</f>
        <v/>
      </c>
      <c r="K711">
        <f>IF($AG711="","",INDEX('TMP Paste'!$L$2:$L$1601,$AG711))</f>
        <v/>
      </c>
      <c r="L711">
        <f>IF($AG711="","",INDEX('TMP Paste'!$I$2:$I$1601,$AG711))</f>
        <v/>
      </c>
      <c r="M711">
        <f>IF($AG711="","",Config!$B$16)</f>
        <v/>
      </c>
      <c r="N711">
        <f>IF($AG711="","","")</f>
        <v/>
      </c>
      <c r="O711">
        <f>IF($AG711="","",INDEX('TMP Paste'!$K$2:$K$1601,$AG711))</f>
        <v/>
      </c>
      <c r="P711">
        <f>IF($AG711="","","")</f>
        <v/>
      </c>
      <c r="Q711">
        <f>IF($AG711="","",INDEX('TMP Paste'!$J$2:$J$1601,$AG711))</f>
        <v/>
      </c>
      <c r="R711">
        <f>IF($AG711="","",Config!$B$24)</f>
        <v/>
      </c>
      <c r="S711">
        <f>IF($AG711="","",TEXT(Config!$B$4,"yyyy-mm-dd"))</f>
        <v/>
      </c>
      <c r="T711">
        <f>IF($AG711="","",Config!$B$17)</f>
        <v/>
      </c>
      <c r="U711">
        <f>IF($AG711="","",Config!$B$18)</f>
        <v/>
      </c>
      <c r="V711">
        <f>IF($AG711="","",Config!$B$19)</f>
        <v/>
      </c>
      <c r="W711">
        <f>IF($AG711="","",INDEX('TMP Paste'!$C$2:$C$1601,$AG711))</f>
        <v/>
      </c>
      <c r="X711">
        <f>IF($AG711="","",Config!$B$29)</f>
        <v/>
      </c>
      <c r="Y711">
        <f>IF($AH711="","",INDEX(Calc!$I$2:$I$1601,$AH711)&amp;" - "&amp;INDEX(Calc!$D$2:$D$1601,$AH711)&amp;" koli")</f>
        <v/>
      </c>
      <c r="Z711">
        <f>IF($AG711="","",Config!$B$21)</f>
        <v/>
      </c>
      <c r="AA711">
        <f>IF($AG711="","",Config!$B$22)</f>
        <v/>
      </c>
      <c r="AB711">
        <f>IF($AH711="","",INDEX(Calc!$D$2:$D$1601,$AH711))</f>
        <v/>
      </c>
      <c r="AC711">
        <f>IF($AH711="","",INDEX(Calc!$G$2:$G$1601,$AH711))</f>
        <v/>
      </c>
      <c r="AD711">
        <f>IF($AG711="","",Config!$B$23)</f>
        <v/>
      </c>
      <c r="AE711">
        <f>IF($AG711="","",Config!$B$28)</f>
        <v/>
      </c>
      <c r="AG711">
        <f>IFERROR(MATCH(ROW()-1,Calc!$J$2:$J$1601,0),"")</f>
        <v/>
      </c>
      <c r="AH711">
        <f>IFERROR(MATCH(ROW()-1,Calc!$K$2:$K$1601,0),"")</f>
        <v/>
      </c>
      <c r="AI711">
        <f>IF($AG711="","",SUMIF($AG$2:$AG711,$AG711,$AH$2:$AH711))</f>
        <v/>
      </c>
      <c r="AJ711">
        <f>IF('TMP Paste'!$F711="","",IF('TMP Paste'!$B711="",$AJ710,'TMP Paste'!$B711))</f>
        <v/>
      </c>
      <c r="AK711">
        <f>IF('TMP Paste'!$F711="","",N('TMP Paste'!$G711))</f>
        <v/>
      </c>
      <c r="AL711">
        <f>IF('TMP Paste'!$F711="","",IF('TMP Paste'!$M711="",$AL710,'TMP Paste'!$M711))</f>
        <v/>
      </c>
      <c r="AM711">
        <f>IF('TMP Paste'!$F711="","",IF('TMP Paste'!$N711="",$AM710,'TMP Paste'!$N711))</f>
        <v/>
      </c>
      <c r="AN711">
        <f>IF('TMP Paste'!$F711="","",IF('TMP Paste'!$O711="",$AN710,'TMP Paste'!$O711))</f>
        <v/>
      </c>
      <c r="AO711">
        <f>IF('TMP Paste'!$F711="","",IF('TMP Paste'!$P711="",$AO710,'TMP Paste'!$P711))</f>
        <v/>
      </c>
      <c r="AP711">
        <f>IF($AG711="","",LEN($R711))</f>
        <v/>
      </c>
      <c r="AQ711">
        <f>IF($AG711="","",TRIM(IF(COUNTIFS(Calc!$B$2:$B$1601,ROW()-1,Calc!$C$2:$C$1601,"&lt;1")&gt;0,"Ada PO tanpa Koli - cek TMP. ","")&amp;IF(LEN($R711)&gt;500,"R &gt; 500 karakter.","")))</f>
        <v/>
      </c>
    </row>
    <row r="712">
      <c r="A712">
        <f>IF($AG712="","",INDEX('TMP Paste'!$B$2:$B$1601,$AG712))</f>
        <v/>
      </c>
      <c r="B712">
        <f>IF($AG712="","",Config!$B$14)</f>
        <v/>
      </c>
      <c r="C712">
        <f>IF($AG712="","",Config!$B$15)</f>
        <v/>
      </c>
      <c r="D712">
        <f>IF($AG712="","",INDEX('TMP Paste'!$B$2:$B$1601,$AG712))</f>
        <v/>
      </c>
      <c r="E712">
        <f>IF($AG712="","",Config!$B$27)</f>
        <v/>
      </c>
      <c r="F712">
        <f>IF($AG712="","",Config!$B$9)</f>
        <v/>
      </c>
      <c r="G712">
        <f>IF($AG712="","",Config!$B$10)</f>
        <v/>
      </c>
      <c r="H712">
        <f>IF($AG712="","",Config!$B$11)</f>
        <v/>
      </c>
      <c r="I712">
        <f>IF($AG712="","",Config!$B$16)</f>
        <v/>
      </c>
      <c r="J712">
        <f>IF($AG712="","",INDEX('TMP Paste'!$A$2:$A$1601,$AG712))</f>
        <v/>
      </c>
      <c r="K712">
        <f>IF($AG712="","",INDEX('TMP Paste'!$L$2:$L$1601,$AG712))</f>
        <v/>
      </c>
      <c r="L712">
        <f>IF($AG712="","",INDEX('TMP Paste'!$I$2:$I$1601,$AG712))</f>
        <v/>
      </c>
      <c r="M712">
        <f>IF($AG712="","",Config!$B$16)</f>
        <v/>
      </c>
      <c r="N712">
        <f>IF($AG712="","","")</f>
        <v/>
      </c>
      <c r="O712">
        <f>IF($AG712="","",INDEX('TMP Paste'!$K$2:$K$1601,$AG712))</f>
        <v/>
      </c>
      <c r="P712">
        <f>IF($AG712="","","")</f>
        <v/>
      </c>
      <c r="Q712">
        <f>IF($AG712="","",INDEX('TMP Paste'!$J$2:$J$1601,$AG712))</f>
        <v/>
      </c>
      <c r="R712">
        <f>IF($AG712="","",Config!$B$24)</f>
        <v/>
      </c>
      <c r="S712">
        <f>IF($AG712="","",TEXT(Config!$B$4,"yyyy-mm-dd"))</f>
        <v/>
      </c>
      <c r="T712">
        <f>IF($AG712="","",Config!$B$17)</f>
        <v/>
      </c>
      <c r="U712">
        <f>IF($AG712="","",Config!$B$18)</f>
        <v/>
      </c>
      <c r="V712">
        <f>IF($AG712="","",Config!$B$19)</f>
        <v/>
      </c>
      <c r="W712">
        <f>IF($AG712="","",INDEX('TMP Paste'!$C$2:$C$1601,$AG712))</f>
        <v/>
      </c>
      <c r="X712">
        <f>IF($AG712="","",Config!$B$29)</f>
        <v/>
      </c>
      <c r="Y712">
        <f>IF($AH712="","",INDEX(Calc!$I$2:$I$1601,$AH712)&amp;" - "&amp;INDEX(Calc!$D$2:$D$1601,$AH712)&amp;" koli")</f>
        <v/>
      </c>
      <c r="Z712">
        <f>IF($AG712="","",Config!$B$21)</f>
        <v/>
      </c>
      <c r="AA712">
        <f>IF($AG712="","",Config!$B$22)</f>
        <v/>
      </c>
      <c r="AB712">
        <f>IF($AH712="","",INDEX(Calc!$D$2:$D$1601,$AH712))</f>
        <v/>
      </c>
      <c r="AC712">
        <f>IF($AH712="","",INDEX(Calc!$G$2:$G$1601,$AH712))</f>
        <v/>
      </c>
      <c r="AD712">
        <f>IF($AG712="","",Config!$B$23)</f>
        <v/>
      </c>
      <c r="AE712">
        <f>IF($AG712="","",Config!$B$28)</f>
        <v/>
      </c>
      <c r="AG712">
        <f>IFERROR(MATCH(ROW()-1,Calc!$J$2:$J$1601,0),"")</f>
        <v/>
      </c>
      <c r="AH712">
        <f>IFERROR(MATCH(ROW()-1,Calc!$K$2:$K$1601,0),"")</f>
        <v/>
      </c>
      <c r="AI712">
        <f>IF($AG712="","",SUMIF($AG$2:$AG712,$AG712,$AH$2:$AH712))</f>
        <v/>
      </c>
      <c r="AJ712">
        <f>IF('TMP Paste'!$F712="","",IF('TMP Paste'!$B712="",$AJ711,'TMP Paste'!$B712))</f>
        <v/>
      </c>
      <c r="AK712">
        <f>IF('TMP Paste'!$F712="","",N('TMP Paste'!$G712))</f>
        <v/>
      </c>
      <c r="AL712">
        <f>IF('TMP Paste'!$F712="","",IF('TMP Paste'!$M712="",$AL711,'TMP Paste'!$M712))</f>
        <v/>
      </c>
      <c r="AM712">
        <f>IF('TMP Paste'!$F712="","",IF('TMP Paste'!$N712="",$AM711,'TMP Paste'!$N712))</f>
        <v/>
      </c>
      <c r="AN712">
        <f>IF('TMP Paste'!$F712="","",IF('TMP Paste'!$O712="",$AN711,'TMP Paste'!$O712))</f>
        <v/>
      </c>
      <c r="AO712">
        <f>IF('TMP Paste'!$F712="","",IF('TMP Paste'!$P712="",$AO711,'TMP Paste'!$P712))</f>
        <v/>
      </c>
      <c r="AP712">
        <f>IF($AG712="","",LEN($R712))</f>
        <v/>
      </c>
      <c r="AQ712">
        <f>IF($AG712="","",TRIM(IF(COUNTIFS(Calc!$B$2:$B$1601,ROW()-1,Calc!$C$2:$C$1601,"&lt;1")&gt;0,"Ada PO tanpa Koli - cek TMP. ","")&amp;IF(LEN($R712)&gt;500,"R &gt; 500 karakter.","")))</f>
        <v/>
      </c>
    </row>
    <row r="713">
      <c r="A713">
        <f>IF($AG713="","",INDEX('TMP Paste'!$B$2:$B$1601,$AG713))</f>
        <v/>
      </c>
      <c r="B713">
        <f>IF($AG713="","",Config!$B$14)</f>
        <v/>
      </c>
      <c r="C713">
        <f>IF($AG713="","",Config!$B$15)</f>
        <v/>
      </c>
      <c r="D713">
        <f>IF($AG713="","",INDEX('TMP Paste'!$B$2:$B$1601,$AG713))</f>
        <v/>
      </c>
      <c r="E713">
        <f>IF($AG713="","",Config!$B$27)</f>
        <v/>
      </c>
      <c r="F713">
        <f>IF($AG713="","",Config!$B$9)</f>
        <v/>
      </c>
      <c r="G713">
        <f>IF($AG713="","",Config!$B$10)</f>
        <v/>
      </c>
      <c r="H713">
        <f>IF($AG713="","",Config!$B$11)</f>
        <v/>
      </c>
      <c r="I713">
        <f>IF($AG713="","",Config!$B$16)</f>
        <v/>
      </c>
      <c r="J713">
        <f>IF($AG713="","",INDEX('TMP Paste'!$A$2:$A$1601,$AG713))</f>
        <v/>
      </c>
      <c r="K713">
        <f>IF($AG713="","",INDEX('TMP Paste'!$L$2:$L$1601,$AG713))</f>
        <v/>
      </c>
      <c r="L713">
        <f>IF($AG713="","",INDEX('TMP Paste'!$I$2:$I$1601,$AG713))</f>
        <v/>
      </c>
      <c r="M713">
        <f>IF($AG713="","",Config!$B$16)</f>
        <v/>
      </c>
      <c r="N713">
        <f>IF($AG713="","","")</f>
        <v/>
      </c>
      <c r="O713">
        <f>IF($AG713="","",INDEX('TMP Paste'!$K$2:$K$1601,$AG713))</f>
        <v/>
      </c>
      <c r="P713">
        <f>IF($AG713="","","")</f>
        <v/>
      </c>
      <c r="Q713">
        <f>IF($AG713="","",INDEX('TMP Paste'!$J$2:$J$1601,$AG713))</f>
        <v/>
      </c>
      <c r="R713">
        <f>IF($AG713="","",Config!$B$24)</f>
        <v/>
      </c>
      <c r="S713">
        <f>IF($AG713="","",TEXT(Config!$B$4,"yyyy-mm-dd"))</f>
        <v/>
      </c>
      <c r="T713">
        <f>IF($AG713="","",Config!$B$17)</f>
        <v/>
      </c>
      <c r="U713">
        <f>IF($AG713="","",Config!$B$18)</f>
        <v/>
      </c>
      <c r="V713">
        <f>IF($AG713="","",Config!$B$19)</f>
        <v/>
      </c>
      <c r="W713">
        <f>IF($AG713="","",INDEX('TMP Paste'!$C$2:$C$1601,$AG713))</f>
        <v/>
      </c>
      <c r="X713">
        <f>IF($AG713="","",Config!$B$29)</f>
        <v/>
      </c>
      <c r="Y713">
        <f>IF($AH713="","",INDEX(Calc!$I$2:$I$1601,$AH713)&amp;" - "&amp;INDEX(Calc!$D$2:$D$1601,$AH713)&amp;" koli")</f>
        <v/>
      </c>
      <c r="Z713">
        <f>IF($AG713="","",Config!$B$21)</f>
        <v/>
      </c>
      <c r="AA713">
        <f>IF($AG713="","",Config!$B$22)</f>
        <v/>
      </c>
      <c r="AB713">
        <f>IF($AH713="","",INDEX(Calc!$D$2:$D$1601,$AH713))</f>
        <v/>
      </c>
      <c r="AC713">
        <f>IF($AH713="","",INDEX(Calc!$G$2:$G$1601,$AH713))</f>
        <v/>
      </c>
      <c r="AD713">
        <f>IF($AG713="","",Config!$B$23)</f>
        <v/>
      </c>
      <c r="AE713">
        <f>IF($AG713="","",Config!$B$28)</f>
        <v/>
      </c>
      <c r="AG713">
        <f>IFERROR(MATCH(ROW()-1,Calc!$J$2:$J$1601,0),"")</f>
        <v/>
      </c>
      <c r="AH713">
        <f>IFERROR(MATCH(ROW()-1,Calc!$K$2:$K$1601,0),"")</f>
        <v/>
      </c>
      <c r="AI713">
        <f>IF($AG713="","",SUMIF($AG$2:$AG713,$AG713,$AH$2:$AH713))</f>
        <v/>
      </c>
      <c r="AJ713">
        <f>IF('TMP Paste'!$F713="","",IF('TMP Paste'!$B713="",$AJ712,'TMP Paste'!$B713))</f>
        <v/>
      </c>
      <c r="AK713">
        <f>IF('TMP Paste'!$F713="","",N('TMP Paste'!$G713))</f>
        <v/>
      </c>
      <c r="AL713">
        <f>IF('TMP Paste'!$F713="","",IF('TMP Paste'!$M713="",$AL712,'TMP Paste'!$M713))</f>
        <v/>
      </c>
      <c r="AM713">
        <f>IF('TMP Paste'!$F713="","",IF('TMP Paste'!$N713="",$AM712,'TMP Paste'!$N713))</f>
        <v/>
      </c>
      <c r="AN713">
        <f>IF('TMP Paste'!$F713="","",IF('TMP Paste'!$O713="",$AN712,'TMP Paste'!$O713))</f>
        <v/>
      </c>
      <c r="AO713">
        <f>IF('TMP Paste'!$F713="","",IF('TMP Paste'!$P713="",$AO712,'TMP Paste'!$P713))</f>
        <v/>
      </c>
      <c r="AP713">
        <f>IF($AG713="","",LEN($R713))</f>
        <v/>
      </c>
      <c r="AQ713">
        <f>IF($AG713="","",TRIM(IF(COUNTIFS(Calc!$B$2:$B$1601,ROW()-1,Calc!$C$2:$C$1601,"&lt;1")&gt;0,"Ada PO tanpa Koli - cek TMP. ","")&amp;IF(LEN($R713)&gt;500,"R &gt; 500 karakter.","")))</f>
        <v/>
      </c>
    </row>
    <row r="714">
      <c r="A714">
        <f>IF($AG714="","",INDEX('TMP Paste'!$B$2:$B$1601,$AG714))</f>
        <v/>
      </c>
      <c r="B714">
        <f>IF($AG714="","",Config!$B$14)</f>
        <v/>
      </c>
      <c r="C714">
        <f>IF($AG714="","",Config!$B$15)</f>
        <v/>
      </c>
      <c r="D714">
        <f>IF($AG714="","",INDEX('TMP Paste'!$B$2:$B$1601,$AG714))</f>
        <v/>
      </c>
      <c r="E714">
        <f>IF($AG714="","",Config!$B$27)</f>
        <v/>
      </c>
      <c r="F714">
        <f>IF($AG714="","",Config!$B$9)</f>
        <v/>
      </c>
      <c r="G714">
        <f>IF($AG714="","",Config!$B$10)</f>
        <v/>
      </c>
      <c r="H714">
        <f>IF($AG714="","",Config!$B$11)</f>
        <v/>
      </c>
      <c r="I714">
        <f>IF($AG714="","",Config!$B$16)</f>
        <v/>
      </c>
      <c r="J714">
        <f>IF($AG714="","",INDEX('TMP Paste'!$A$2:$A$1601,$AG714))</f>
        <v/>
      </c>
      <c r="K714">
        <f>IF($AG714="","",INDEX('TMP Paste'!$L$2:$L$1601,$AG714))</f>
        <v/>
      </c>
      <c r="L714">
        <f>IF($AG714="","",INDEX('TMP Paste'!$I$2:$I$1601,$AG714))</f>
        <v/>
      </c>
      <c r="M714">
        <f>IF($AG714="","",Config!$B$16)</f>
        <v/>
      </c>
      <c r="N714">
        <f>IF($AG714="","","")</f>
        <v/>
      </c>
      <c r="O714">
        <f>IF($AG714="","",INDEX('TMP Paste'!$K$2:$K$1601,$AG714))</f>
        <v/>
      </c>
      <c r="P714">
        <f>IF($AG714="","","")</f>
        <v/>
      </c>
      <c r="Q714">
        <f>IF($AG714="","",INDEX('TMP Paste'!$J$2:$J$1601,$AG714))</f>
        <v/>
      </c>
      <c r="R714">
        <f>IF($AG714="","",Config!$B$24)</f>
        <v/>
      </c>
      <c r="S714">
        <f>IF($AG714="","",TEXT(Config!$B$4,"yyyy-mm-dd"))</f>
        <v/>
      </c>
      <c r="T714">
        <f>IF($AG714="","",Config!$B$17)</f>
        <v/>
      </c>
      <c r="U714">
        <f>IF($AG714="","",Config!$B$18)</f>
        <v/>
      </c>
      <c r="V714">
        <f>IF($AG714="","",Config!$B$19)</f>
        <v/>
      </c>
      <c r="W714">
        <f>IF($AG714="","",INDEX('TMP Paste'!$C$2:$C$1601,$AG714))</f>
        <v/>
      </c>
      <c r="X714">
        <f>IF($AG714="","",Config!$B$29)</f>
        <v/>
      </c>
      <c r="Y714">
        <f>IF($AH714="","",INDEX(Calc!$I$2:$I$1601,$AH714)&amp;" - "&amp;INDEX(Calc!$D$2:$D$1601,$AH714)&amp;" koli")</f>
        <v/>
      </c>
      <c r="Z714">
        <f>IF($AG714="","",Config!$B$21)</f>
        <v/>
      </c>
      <c r="AA714">
        <f>IF($AG714="","",Config!$B$22)</f>
        <v/>
      </c>
      <c r="AB714">
        <f>IF($AH714="","",INDEX(Calc!$D$2:$D$1601,$AH714))</f>
        <v/>
      </c>
      <c r="AC714">
        <f>IF($AH714="","",INDEX(Calc!$G$2:$G$1601,$AH714))</f>
        <v/>
      </c>
      <c r="AD714">
        <f>IF($AG714="","",Config!$B$23)</f>
        <v/>
      </c>
      <c r="AE714">
        <f>IF($AG714="","",Config!$B$28)</f>
        <v/>
      </c>
      <c r="AG714">
        <f>IFERROR(MATCH(ROW()-1,Calc!$J$2:$J$1601,0),"")</f>
        <v/>
      </c>
      <c r="AH714">
        <f>IFERROR(MATCH(ROW()-1,Calc!$K$2:$K$1601,0),"")</f>
        <v/>
      </c>
      <c r="AI714">
        <f>IF($AG714="","",SUMIF($AG$2:$AG714,$AG714,$AH$2:$AH714))</f>
        <v/>
      </c>
      <c r="AJ714">
        <f>IF('TMP Paste'!$F714="","",IF('TMP Paste'!$B714="",$AJ713,'TMP Paste'!$B714))</f>
        <v/>
      </c>
      <c r="AK714">
        <f>IF('TMP Paste'!$F714="","",N('TMP Paste'!$G714))</f>
        <v/>
      </c>
      <c r="AL714">
        <f>IF('TMP Paste'!$F714="","",IF('TMP Paste'!$M714="",$AL713,'TMP Paste'!$M714))</f>
        <v/>
      </c>
      <c r="AM714">
        <f>IF('TMP Paste'!$F714="","",IF('TMP Paste'!$N714="",$AM713,'TMP Paste'!$N714))</f>
        <v/>
      </c>
      <c r="AN714">
        <f>IF('TMP Paste'!$F714="","",IF('TMP Paste'!$O714="",$AN713,'TMP Paste'!$O714))</f>
        <v/>
      </c>
      <c r="AO714">
        <f>IF('TMP Paste'!$F714="","",IF('TMP Paste'!$P714="",$AO713,'TMP Paste'!$P714))</f>
        <v/>
      </c>
      <c r="AP714">
        <f>IF($AG714="","",LEN($R714))</f>
        <v/>
      </c>
      <c r="AQ714">
        <f>IF($AG714="","",TRIM(IF(COUNTIFS(Calc!$B$2:$B$1601,ROW()-1,Calc!$C$2:$C$1601,"&lt;1")&gt;0,"Ada PO tanpa Koli - cek TMP. ","")&amp;IF(LEN($R714)&gt;500,"R &gt; 500 karakter.","")))</f>
        <v/>
      </c>
    </row>
    <row r="715">
      <c r="A715">
        <f>IF($AG715="","",INDEX('TMP Paste'!$B$2:$B$1601,$AG715))</f>
        <v/>
      </c>
      <c r="B715">
        <f>IF($AG715="","",Config!$B$14)</f>
        <v/>
      </c>
      <c r="C715">
        <f>IF($AG715="","",Config!$B$15)</f>
        <v/>
      </c>
      <c r="D715">
        <f>IF($AG715="","",INDEX('TMP Paste'!$B$2:$B$1601,$AG715))</f>
        <v/>
      </c>
      <c r="E715">
        <f>IF($AG715="","",Config!$B$27)</f>
        <v/>
      </c>
      <c r="F715">
        <f>IF($AG715="","",Config!$B$9)</f>
        <v/>
      </c>
      <c r="G715">
        <f>IF($AG715="","",Config!$B$10)</f>
        <v/>
      </c>
      <c r="H715">
        <f>IF($AG715="","",Config!$B$11)</f>
        <v/>
      </c>
      <c r="I715">
        <f>IF($AG715="","",Config!$B$16)</f>
        <v/>
      </c>
      <c r="J715">
        <f>IF($AG715="","",INDEX('TMP Paste'!$A$2:$A$1601,$AG715))</f>
        <v/>
      </c>
      <c r="K715">
        <f>IF($AG715="","",INDEX('TMP Paste'!$L$2:$L$1601,$AG715))</f>
        <v/>
      </c>
      <c r="L715">
        <f>IF($AG715="","",INDEX('TMP Paste'!$I$2:$I$1601,$AG715))</f>
        <v/>
      </c>
      <c r="M715">
        <f>IF($AG715="","",Config!$B$16)</f>
        <v/>
      </c>
      <c r="N715">
        <f>IF($AG715="","","")</f>
        <v/>
      </c>
      <c r="O715">
        <f>IF($AG715="","",INDEX('TMP Paste'!$K$2:$K$1601,$AG715))</f>
        <v/>
      </c>
      <c r="P715">
        <f>IF($AG715="","","")</f>
        <v/>
      </c>
      <c r="Q715">
        <f>IF($AG715="","",INDEX('TMP Paste'!$J$2:$J$1601,$AG715))</f>
        <v/>
      </c>
      <c r="R715">
        <f>IF($AG715="","",Config!$B$24)</f>
        <v/>
      </c>
      <c r="S715">
        <f>IF($AG715="","",TEXT(Config!$B$4,"yyyy-mm-dd"))</f>
        <v/>
      </c>
      <c r="T715">
        <f>IF($AG715="","",Config!$B$17)</f>
        <v/>
      </c>
      <c r="U715">
        <f>IF($AG715="","",Config!$B$18)</f>
        <v/>
      </c>
      <c r="V715">
        <f>IF($AG715="","",Config!$B$19)</f>
        <v/>
      </c>
      <c r="W715">
        <f>IF($AG715="","",INDEX('TMP Paste'!$C$2:$C$1601,$AG715))</f>
        <v/>
      </c>
      <c r="X715">
        <f>IF($AG715="","",Config!$B$29)</f>
        <v/>
      </c>
      <c r="Y715">
        <f>IF($AH715="","",INDEX(Calc!$I$2:$I$1601,$AH715)&amp;" - "&amp;INDEX(Calc!$D$2:$D$1601,$AH715)&amp;" koli")</f>
        <v/>
      </c>
      <c r="Z715">
        <f>IF($AG715="","",Config!$B$21)</f>
        <v/>
      </c>
      <c r="AA715">
        <f>IF($AG715="","",Config!$B$22)</f>
        <v/>
      </c>
      <c r="AB715">
        <f>IF($AH715="","",INDEX(Calc!$D$2:$D$1601,$AH715))</f>
        <v/>
      </c>
      <c r="AC715">
        <f>IF($AH715="","",INDEX(Calc!$G$2:$G$1601,$AH715))</f>
        <v/>
      </c>
      <c r="AD715">
        <f>IF($AG715="","",Config!$B$23)</f>
        <v/>
      </c>
      <c r="AE715">
        <f>IF($AG715="","",Config!$B$28)</f>
        <v/>
      </c>
      <c r="AG715">
        <f>IFERROR(MATCH(ROW()-1,Calc!$J$2:$J$1601,0),"")</f>
        <v/>
      </c>
      <c r="AH715">
        <f>IFERROR(MATCH(ROW()-1,Calc!$K$2:$K$1601,0),"")</f>
        <v/>
      </c>
      <c r="AI715">
        <f>IF($AG715="","",SUMIF($AG$2:$AG715,$AG715,$AH$2:$AH715))</f>
        <v/>
      </c>
      <c r="AJ715">
        <f>IF('TMP Paste'!$F715="","",IF('TMP Paste'!$B715="",$AJ714,'TMP Paste'!$B715))</f>
        <v/>
      </c>
      <c r="AK715">
        <f>IF('TMP Paste'!$F715="","",N('TMP Paste'!$G715))</f>
        <v/>
      </c>
      <c r="AL715">
        <f>IF('TMP Paste'!$F715="","",IF('TMP Paste'!$M715="",$AL714,'TMP Paste'!$M715))</f>
        <v/>
      </c>
      <c r="AM715">
        <f>IF('TMP Paste'!$F715="","",IF('TMP Paste'!$N715="",$AM714,'TMP Paste'!$N715))</f>
        <v/>
      </c>
      <c r="AN715">
        <f>IF('TMP Paste'!$F715="","",IF('TMP Paste'!$O715="",$AN714,'TMP Paste'!$O715))</f>
        <v/>
      </c>
      <c r="AO715">
        <f>IF('TMP Paste'!$F715="","",IF('TMP Paste'!$P715="",$AO714,'TMP Paste'!$P715))</f>
        <v/>
      </c>
      <c r="AP715">
        <f>IF($AG715="","",LEN($R715))</f>
        <v/>
      </c>
      <c r="AQ715">
        <f>IF($AG715="","",TRIM(IF(COUNTIFS(Calc!$B$2:$B$1601,ROW()-1,Calc!$C$2:$C$1601,"&lt;1")&gt;0,"Ada PO tanpa Koli - cek TMP. ","")&amp;IF(LEN($R715)&gt;500,"R &gt; 500 karakter.","")))</f>
        <v/>
      </c>
    </row>
    <row r="716">
      <c r="A716">
        <f>IF($AG716="","",INDEX('TMP Paste'!$B$2:$B$1601,$AG716))</f>
        <v/>
      </c>
      <c r="B716">
        <f>IF($AG716="","",Config!$B$14)</f>
        <v/>
      </c>
      <c r="C716">
        <f>IF($AG716="","",Config!$B$15)</f>
        <v/>
      </c>
      <c r="D716">
        <f>IF($AG716="","",INDEX('TMP Paste'!$B$2:$B$1601,$AG716))</f>
        <v/>
      </c>
      <c r="E716">
        <f>IF($AG716="","",Config!$B$27)</f>
        <v/>
      </c>
      <c r="F716">
        <f>IF($AG716="","",Config!$B$9)</f>
        <v/>
      </c>
      <c r="G716">
        <f>IF($AG716="","",Config!$B$10)</f>
        <v/>
      </c>
      <c r="H716">
        <f>IF($AG716="","",Config!$B$11)</f>
        <v/>
      </c>
      <c r="I716">
        <f>IF($AG716="","",Config!$B$16)</f>
        <v/>
      </c>
      <c r="J716">
        <f>IF($AG716="","",INDEX('TMP Paste'!$A$2:$A$1601,$AG716))</f>
        <v/>
      </c>
      <c r="K716">
        <f>IF($AG716="","",INDEX('TMP Paste'!$L$2:$L$1601,$AG716))</f>
        <v/>
      </c>
      <c r="L716">
        <f>IF($AG716="","",INDEX('TMP Paste'!$I$2:$I$1601,$AG716))</f>
        <v/>
      </c>
      <c r="M716">
        <f>IF($AG716="","",Config!$B$16)</f>
        <v/>
      </c>
      <c r="N716">
        <f>IF($AG716="","","")</f>
        <v/>
      </c>
      <c r="O716">
        <f>IF($AG716="","",INDEX('TMP Paste'!$K$2:$K$1601,$AG716))</f>
        <v/>
      </c>
      <c r="P716">
        <f>IF($AG716="","","")</f>
        <v/>
      </c>
      <c r="Q716">
        <f>IF($AG716="","",INDEX('TMP Paste'!$J$2:$J$1601,$AG716))</f>
        <v/>
      </c>
      <c r="R716">
        <f>IF($AG716="","",Config!$B$24)</f>
        <v/>
      </c>
      <c r="S716">
        <f>IF($AG716="","",TEXT(Config!$B$4,"yyyy-mm-dd"))</f>
        <v/>
      </c>
      <c r="T716">
        <f>IF($AG716="","",Config!$B$17)</f>
        <v/>
      </c>
      <c r="U716">
        <f>IF($AG716="","",Config!$B$18)</f>
        <v/>
      </c>
      <c r="V716">
        <f>IF($AG716="","",Config!$B$19)</f>
        <v/>
      </c>
      <c r="W716">
        <f>IF($AG716="","",INDEX('TMP Paste'!$C$2:$C$1601,$AG716))</f>
        <v/>
      </c>
      <c r="X716">
        <f>IF($AG716="","",Config!$B$29)</f>
        <v/>
      </c>
      <c r="Y716">
        <f>IF($AH716="","",INDEX(Calc!$I$2:$I$1601,$AH716)&amp;" - "&amp;INDEX(Calc!$D$2:$D$1601,$AH716)&amp;" koli")</f>
        <v/>
      </c>
      <c r="Z716">
        <f>IF($AG716="","",Config!$B$21)</f>
        <v/>
      </c>
      <c r="AA716">
        <f>IF($AG716="","",Config!$B$22)</f>
        <v/>
      </c>
      <c r="AB716">
        <f>IF($AH716="","",INDEX(Calc!$D$2:$D$1601,$AH716))</f>
        <v/>
      </c>
      <c r="AC716">
        <f>IF($AH716="","",INDEX(Calc!$G$2:$G$1601,$AH716))</f>
        <v/>
      </c>
      <c r="AD716">
        <f>IF($AG716="","",Config!$B$23)</f>
        <v/>
      </c>
      <c r="AE716">
        <f>IF($AG716="","",Config!$B$28)</f>
        <v/>
      </c>
      <c r="AG716">
        <f>IFERROR(MATCH(ROW()-1,Calc!$J$2:$J$1601,0),"")</f>
        <v/>
      </c>
      <c r="AH716">
        <f>IFERROR(MATCH(ROW()-1,Calc!$K$2:$K$1601,0),"")</f>
        <v/>
      </c>
      <c r="AI716">
        <f>IF($AG716="","",SUMIF($AG$2:$AG716,$AG716,$AH$2:$AH716))</f>
        <v/>
      </c>
      <c r="AJ716">
        <f>IF('TMP Paste'!$F716="","",IF('TMP Paste'!$B716="",$AJ715,'TMP Paste'!$B716))</f>
        <v/>
      </c>
      <c r="AK716">
        <f>IF('TMP Paste'!$F716="","",N('TMP Paste'!$G716))</f>
        <v/>
      </c>
      <c r="AL716">
        <f>IF('TMP Paste'!$F716="","",IF('TMP Paste'!$M716="",$AL715,'TMP Paste'!$M716))</f>
        <v/>
      </c>
      <c r="AM716">
        <f>IF('TMP Paste'!$F716="","",IF('TMP Paste'!$N716="",$AM715,'TMP Paste'!$N716))</f>
        <v/>
      </c>
      <c r="AN716">
        <f>IF('TMP Paste'!$F716="","",IF('TMP Paste'!$O716="",$AN715,'TMP Paste'!$O716))</f>
        <v/>
      </c>
      <c r="AO716">
        <f>IF('TMP Paste'!$F716="","",IF('TMP Paste'!$P716="",$AO715,'TMP Paste'!$P716))</f>
        <v/>
      </c>
      <c r="AP716">
        <f>IF($AG716="","",LEN($R716))</f>
        <v/>
      </c>
      <c r="AQ716">
        <f>IF($AG716="","",TRIM(IF(COUNTIFS(Calc!$B$2:$B$1601,ROW()-1,Calc!$C$2:$C$1601,"&lt;1")&gt;0,"Ada PO tanpa Koli - cek TMP. ","")&amp;IF(LEN($R716)&gt;500,"R &gt; 500 karakter.","")))</f>
        <v/>
      </c>
    </row>
    <row r="717">
      <c r="A717">
        <f>IF($AG717="","",INDEX('TMP Paste'!$B$2:$B$1601,$AG717))</f>
        <v/>
      </c>
      <c r="B717">
        <f>IF($AG717="","",Config!$B$14)</f>
        <v/>
      </c>
      <c r="C717">
        <f>IF($AG717="","",Config!$B$15)</f>
        <v/>
      </c>
      <c r="D717">
        <f>IF($AG717="","",INDEX('TMP Paste'!$B$2:$B$1601,$AG717))</f>
        <v/>
      </c>
      <c r="E717">
        <f>IF($AG717="","",Config!$B$27)</f>
        <v/>
      </c>
      <c r="F717">
        <f>IF($AG717="","",Config!$B$9)</f>
        <v/>
      </c>
      <c r="G717">
        <f>IF($AG717="","",Config!$B$10)</f>
        <v/>
      </c>
      <c r="H717">
        <f>IF($AG717="","",Config!$B$11)</f>
        <v/>
      </c>
      <c r="I717">
        <f>IF($AG717="","",Config!$B$16)</f>
        <v/>
      </c>
      <c r="J717">
        <f>IF($AG717="","",INDEX('TMP Paste'!$A$2:$A$1601,$AG717))</f>
        <v/>
      </c>
      <c r="K717">
        <f>IF($AG717="","",INDEX('TMP Paste'!$L$2:$L$1601,$AG717))</f>
        <v/>
      </c>
      <c r="L717">
        <f>IF($AG717="","",INDEX('TMP Paste'!$I$2:$I$1601,$AG717))</f>
        <v/>
      </c>
      <c r="M717">
        <f>IF($AG717="","",Config!$B$16)</f>
        <v/>
      </c>
      <c r="N717">
        <f>IF($AG717="","","")</f>
        <v/>
      </c>
      <c r="O717">
        <f>IF($AG717="","",INDEX('TMP Paste'!$K$2:$K$1601,$AG717))</f>
        <v/>
      </c>
      <c r="P717">
        <f>IF($AG717="","","")</f>
        <v/>
      </c>
      <c r="Q717">
        <f>IF($AG717="","",INDEX('TMP Paste'!$J$2:$J$1601,$AG717))</f>
        <v/>
      </c>
      <c r="R717">
        <f>IF($AG717="","",Config!$B$24)</f>
        <v/>
      </c>
      <c r="S717">
        <f>IF($AG717="","",TEXT(Config!$B$4,"yyyy-mm-dd"))</f>
        <v/>
      </c>
      <c r="T717">
        <f>IF($AG717="","",Config!$B$17)</f>
        <v/>
      </c>
      <c r="U717">
        <f>IF($AG717="","",Config!$B$18)</f>
        <v/>
      </c>
      <c r="V717">
        <f>IF($AG717="","",Config!$B$19)</f>
        <v/>
      </c>
      <c r="W717">
        <f>IF($AG717="","",INDEX('TMP Paste'!$C$2:$C$1601,$AG717))</f>
        <v/>
      </c>
      <c r="X717">
        <f>IF($AG717="","",Config!$B$29)</f>
        <v/>
      </c>
      <c r="Y717">
        <f>IF($AH717="","",INDEX(Calc!$I$2:$I$1601,$AH717)&amp;" - "&amp;INDEX(Calc!$D$2:$D$1601,$AH717)&amp;" koli")</f>
        <v/>
      </c>
      <c r="Z717">
        <f>IF($AG717="","",Config!$B$21)</f>
        <v/>
      </c>
      <c r="AA717">
        <f>IF($AG717="","",Config!$B$22)</f>
        <v/>
      </c>
      <c r="AB717">
        <f>IF($AH717="","",INDEX(Calc!$D$2:$D$1601,$AH717))</f>
        <v/>
      </c>
      <c r="AC717">
        <f>IF($AH717="","",INDEX(Calc!$G$2:$G$1601,$AH717))</f>
        <v/>
      </c>
      <c r="AD717">
        <f>IF($AG717="","",Config!$B$23)</f>
        <v/>
      </c>
      <c r="AE717">
        <f>IF($AG717="","",Config!$B$28)</f>
        <v/>
      </c>
      <c r="AG717">
        <f>IFERROR(MATCH(ROW()-1,Calc!$J$2:$J$1601,0),"")</f>
        <v/>
      </c>
      <c r="AH717">
        <f>IFERROR(MATCH(ROW()-1,Calc!$K$2:$K$1601,0),"")</f>
        <v/>
      </c>
      <c r="AI717">
        <f>IF($AG717="","",SUMIF($AG$2:$AG717,$AG717,$AH$2:$AH717))</f>
        <v/>
      </c>
      <c r="AJ717">
        <f>IF('TMP Paste'!$F717="","",IF('TMP Paste'!$B717="",$AJ716,'TMP Paste'!$B717))</f>
        <v/>
      </c>
      <c r="AK717">
        <f>IF('TMP Paste'!$F717="","",N('TMP Paste'!$G717))</f>
        <v/>
      </c>
      <c r="AL717">
        <f>IF('TMP Paste'!$F717="","",IF('TMP Paste'!$M717="",$AL716,'TMP Paste'!$M717))</f>
        <v/>
      </c>
      <c r="AM717">
        <f>IF('TMP Paste'!$F717="","",IF('TMP Paste'!$N717="",$AM716,'TMP Paste'!$N717))</f>
        <v/>
      </c>
      <c r="AN717">
        <f>IF('TMP Paste'!$F717="","",IF('TMP Paste'!$O717="",$AN716,'TMP Paste'!$O717))</f>
        <v/>
      </c>
      <c r="AO717">
        <f>IF('TMP Paste'!$F717="","",IF('TMP Paste'!$P717="",$AO716,'TMP Paste'!$P717))</f>
        <v/>
      </c>
      <c r="AP717">
        <f>IF($AG717="","",LEN($R717))</f>
        <v/>
      </c>
      <c r="AQ717">
        <f>IF($AG717="","",TRIM(IF(COUNTIFS(Calc!$B$2:$B$1601,ROW()-1,Calc!$C$2:$C$1601,"&lt;1")&gt;0,"Ada PO tanpa Koli - cek TMP. ","")&amp;IF(LEN($R717)&gt;500,"R &gt; 500 karakter.","")))</f>
        <v/>
      </c>
    </row>
    <row r="718">
      <c r="A718">
        <f>IF($AG718="","",INDEX('TMP Paste'!$B$2:$B$1601,$AG718))</f>
        <v/>
      </c>
      <c r="B718">
        <f>IF($AG718="","",Config!$B$14)</f>
        <v/>
      </c>
      <c r="C718">
        <f>IF($AG718="","",Config!$B$15)</f>
        <v/>
      </c>
      <c r="D718">
        <f>IF($AG718="","",INDEX('TMP Paste'!$B$2:$B$1601,$AG718))</f>
        <v/>
      </c>
      <c r="E718">
        <f>IF($AG718="","",Config!$B$27)</f>
        <v/>
      </c>
      <c r="F718">
        <f>IF($AG718="","",Config!$B$9)</f>
        <v/>
      </c>
      <c r="G718">
        <f>IF($AG718="","",Config!$B$10)</f>
        <v/>
      </c>
      <c r="H718">
        <f>IF($AG718="","",Config!$B$11)</f>
        <v/>
      </c>
      <c r="I718">
        <f>IF($AG718="","",Config!$B$16)</f>
        <v/>
      </c>
      <c r="J718">
        <f>IF($AG718="","",INDEX('TMP Paste'!$A$2:$A$1601,$AG718))</f>
        <v/>
      </c>
      <c r="K718">
        <f>IF($AG718="","",INDEX('TMP Paste'!$L$2:$L$1601,$AG718))</f>
        <v/>
      </c>
      <c r="L718">
        <f>IF($AG718="","",INDEX('TMP Paste'!$I$2:$I$1601,$AG718))</f>
        <v/>
      </c>
      <c r="M718">
        <f>IF($AG718="","",Config!$B$16)</f>
        <v/>
      </c>
      <c r="N718">
        <f>IF($AG718="","","")</f>
        <v/>
      </c>
      <c r="O718">
        <f>IF($AG718="","",INDEX('TMP Paste'!$K$2:$K$1601,$AG718))</f>
        <v/>
      </c>
      <c r="P718">
        <f>IF($AG718="","","")</f>
        <v/>
      </c>
      <c r="Q718">
        <f>IF($AG718="","",INDEX('TMP Paste'!$J$2:$J$1601,$AG718))</f>
        <v/>
      </c>
      <c r="R718">
        <f>IF($AG718="","",Config!$B$24)</f>
        <v/>
      </c>
      <c r="S718">
        <f>IF($AG718="","",TEXT(Config!$B$4,"yyyy-mm-dd"))</f>
        <v/>
      </c>
      <c r="T718">
        <f>IF($AG718="","",Config!$B$17)</f>
        <v/>
      </c>
      <c r="U718">
        <f>IF($AG718="","",Config!$B$18)</f>
        <v/>
      </c>
      <c r="V718">
        <f>IF($AG718="","",Config!$B$19)</f>
        <v/>
      </c>
      <c r="W718">
        <f>IF($AG718="","",INDEX('TMP Paste'!$C$2:$C$1601,$AG718))</f>
        <v/>
      </c>
      <c r="X718">
        <f>IF($AG718="","",Config!$B$29)</f>
        <v/>
      </c>
      <c r="Y718">
        <f>IF($AH718="","",INDEX(Calc!$I$2:$I$1601,$AH718)&amp;" - "&amp;INDEX(Calc!$D$2:$D$1601,$AH718)&amp;" koli")</f>
        <v/>
      </c>
      <c r="Z718">
        <f>IF($AG718="","",Config!$B$21)</f>
        <v/>
      </c>
      <c r="AA718">
        <f>IF($AG718="","",Config!$B$22)</f>
        <v/>
      </c>
      <c r="AB718">
        <f>IF($AH718="","",INDEX(Calc!$D$2:$D$1601,$AH718))</f>
        <v/>
      </c>
      <c r="AC718">
        <f>IF($AH718="","",INDEX(Calc!$G$2:$G$1601,$AH718))</f>
        <v/>
      </c>
      <c r="AD718">
        <f>IF($AG718="","",Config!$B$23)</f>
        <v/>
      </c>
      <c r="AE718">
        <f>IF($AG718="","",Config!$B$28)</f>
        <v/>
      </c>
      <c r="AG718">
        <f>IFERROR(MATCH(ROW()-1,Calc!$J$2:$J$1601,0),"")</f>
        <v/>
      </c>
      <c r="AH718">
        <f>IFERROR(MATCH(ROW()-1,Calc!$K$2:$K$1601,0),"")</f>
        <v/>
      </c>
      <c r="AI718">
        <f>IF($AG718="","",SUMIF($AG$2:$AG718,$AG718,$AH$2:$AH718))</f>
        <v/>
      </c>
      <c r="AJ718">
        <f>IF('TMP Paste'!$F718="","",IF('TMP Paste'!$B718="",$AJ717,'TMP Paste'!$B718))</f>
        <v/>
      </c>
      <c r="AK718">
        <f>IF('TMP Paste'!$F718="","",N('TMP Paste'!$G718))</f>
        <v/>
      </c>
      <c r="AL718">
        <f>IF('TMP Paste'!$F718="","",IF('TMP Paste'!$M718="",$AL717,'TMP Paste'!$M718))</f>
        <v/>
      </c>
      <c r="AM718">
        <f>IF('TMP Paste'!$F718="","",IF('TMP Paste'!$N718="",$AM717,'TMP Paste'!$N718))</f>
        <v/>
      </c>
      <c r="AN718">
        <f>IF('TMP Paste'!$F718="","",IF('TMP Paste'!$O718="",$AN717,'TMP Paste'!$O718))</f>
        <v/>
      </c>
      <c r="AO718">
        <f>IF('TMP Paste'!$F718="","",IF('TMP Paste'!$P718="",$AO717,'TMP Paste'!$P718))</f>
        <v/>
      </c>
      <c r="AP718">
        <f>IF($AG718="","",LEN($R718))</f>
        <v/>
      </c>
      <c r="AQ718">
        <f>IF($AG718="","",TRIM(IF(COUNTIFS(Calc!$B$2:$B$1601,ROW()-1,Calc!$C$2:$C$1601,"&lt;1")&gt;0,"Ada PO tanpa Koli - cek TMP. ","")&amp;IF(LEN($R718)&gt;500,"R &gt; 500 karakter.","")))</f>
        <v/>
      </c>
    </row>
    <row r="719">
      <c r="A719">
        <f>IF($AG719="","",INDEX('TMP Paste'!$B$2:$B$1601,$AG719))</f>
        <v/>
      </c>
      <c r="B719">
        <f>IF($AG719="","",Config!$B$14)</f>
        <v/>
      </c>
      <c r="C719">
        <f>IF($AG719="","",Config!$B$15)</f>
        <v/>
      </c>
      <c r="D719">
        <f>IF($AG719="","",INDEX('TMP Paste'!$B$2:$B$1601,$AG719))</f>
        <v/>
      </c>
      <c r="E719">
        <f>IF($AG719="","",Config!$B$27)</f>
        <v/>
      </c>
      <c r="F719">
        <f>IF($AG719="","",Config!$B$9)</f>
        <v/>
      </c>
      <c r="G719">
        <f>IF($AG719="","",Config!$B$10)</f>
        <v/>
      </c>
      <c r="H719">
        <f>IF($AG719="","",Config!$B$11)</f>
        <v/>
      </c>
      <c r="I719">
        <f>IF($AG719="","",Config!$B$16)</f>
        <v/>
      </c>
      <c r="J719">
        <f>IF($AG719="","",INDEX('TMP Paste'!$A$2:$A$1601,$AG719))</f>
        <v/>
      </c>
      <c r="K719">
        <f>IF($AG719="","",INDEX('TMP Paste'!$L$2:$L$1601,$AG719))</f>
        <v/>
      </c>
      <c r="L719">
        <f>IF($AG719="","",INDEX('TMP Paste'!$I$2:$I$1601,$AG719))</f>
        <v/>
      </c>
      <c r="M719">
        <f>IF($AG719="","",Config!$B$16)</f>
        <v/>
      </c>
      <c r="N719">
        <f>IF($AG719="","","")</f>
        <v/>
      </c>
      <c r="O719">
        <f>IF($AG719="","",INDEX('TMP Paste'!$K$2:$K$1601,$AG719))</f>
        <v/>
      </c>
      <c r="P719">
        <f>IF($AG719="","","")</f>
        <v/>
      </c>
      <c r="Q719">
        <f>IF($AG719="","",INDEX('TMP Paste'!$J$2:$J$1601,$AG719))</f>
        <v/>
      </c>
      <c r="R719">
        <f>IF($AG719="","",Config!$B$24)</f>
        <v/>
      </c>
      <c r="S719">
        <f>IF($AG719="","",TEXT(Config!$B$4,"yyyy-mm-dd"))</f>
        <v/>
      </c>
      <c r="T719">
        <f>IF($AG719="","",Config!$B$17)</f>
        <v/>
      </c>
      <c r="U719">
        <f>IF($AG719="","",Config!$B$18)</f>
        <v/>
      </c>
      <c r="V719">
        <f>IF($AG719="","",Config!$B$19)</f>
        <v/>
      </c>
      <c r="W719">
        <f>IF($AG719="","",INDEX('TMP Paste'!$C$2:$C$1601,$AG719))</f>
        <v/>
      </c>
      <c r="X719">
        <f>IF($AG719="","",Config!$B$29)</f>
        <v/>
      </c>
      <c r="Y719">
        <f>IF($AH719="","",INDEX(Calc!$I$2:$I$1601,$AH719)&amp;" - "&amp;INDEX(Calc!$D$2:$D$1601,$AH719)&amp;" koli")</f>
        <v/>
      </c>
      <c r="Z719">
        <f>IF($AG719="","",Config!$B$21)</f>
        <v/>
      </c>
      <c r="AA719">
        <f>IF($AG719="","",Config!$B$22)</f>
        <v/>
      </c>
      <c r="AB719">
        <f>IF($AH719="","",INDEX(Calc!$D$2:$D$1601,$AH719))</f>
        <v/>
      </c>
      <c r="AC719">
        <f>IF($AH719="","",INDEX(Calc!$G$2:$G$1601,$AH719))</f>
        <v/>
      </c>
      <c r="AD719">
        <f>IF($AG719="","",Config!$B$23)</f>
        <v/>
      </c>
      <c r="AE719">
        <f>IF($AG719="","",Config!$B$28)</f>
        <v/>
      </c>
      <c r="AG719">
        <f>IFERROR(MATCH(ROW()-1,Calc!$J$2:$J$1601,0),"")</f>
        <v/>
      </c>
      <c r="AH719">
        <f>IFERROR(MATCH(ROW()-1,Calc!$K$2:$K$1601,0),"")</f>
        <v/>
      </c>
      <c r="AI719">
        <f>IF($AG719="","",SUMIF($AG$2:$AG719,$AG719,$AH$2:$AH719))</f>
        <v/>
      </c>
      <c r="AJ719">
        <f>IF('TMP Paste'!$F719="","",IF('TMP Paste'!$B719="",$AJ718,'TMP Paste'!$B719))</f>
        <v/>
      </c>
      <c r="AK719">
        <f>IF('TMP Paste'!$F719="","",N('TMP Paste'!$G719))</f>
        <v/>
      </c>
      <c r="AL719">
        <f>IF('TMP Paste'!$F719="","",IF('TMP Paste'!$M719="",$AL718,'TMP Paste'!$M719))</f>
        <v/>
      </c>
      <c r="AM719">
        <f>IF('TMP Paste'!$F719="","",IF('TMP Paste'!$N719="",$AM718,'TMP Paste'!$N719))</f>
        <v/>
      </c>
      <c r="AN719">
        <f>IF('TMP Paste'!$F719="","",IF('TMP Paste'!$O719="",$AN718,'TMP Paste'!$O719))</f>
        <v/>
      </c>
      <c r="AO719">
        <f>IF('TMP Paste'!$F719="","",IF('TMP Paste'!$P719="",$AO718,'TMP Paste'!$P719))</f>
        <v/>
      </c>
      <c r="AP719">
        <f>IF($AG719="","",LEN($R719))</f>
        <v/>
      </c>
      <c r="AQ719">
        <f>IF($AG719="","",TRIM(IF(COUNTIFS(Calc!$B$2:$B$1601,ROW()-1,Calc!$C$2:$C$1601,"&lt;1")&gt;0,"Ada PO tanpa Koli - cek TMP. ","")&amp;IF(LEN($R719)&gt;500,"R &gt; 500 karakter.","")))</f>
        <v/>
      </c>
    </row>
    <row r="720">
      <c r="A720">
        <f>IF($AG720="","",INDEX('TMP Paste'!$B$2:$B$1601,$AG720))</f>
        <v/>
      </c>
      <c r="B720">
        <f>IF($AG720="","",Config!$B$14)</f>
        <v/>
      </c>
      <c r="C720">
        <f>IF($AG720="","",Config!$B$15)</f>
        <v/>
      </c>
      <c r="D720">
        <f>IF($AG720="","",INDEX('TMP Paste'!$B$2:$B$1601,$AG720))</f>
        <v/>
      </c>
      <c r="E720">
        <f>IF($AG720="","",Config!$B$27)</f>
        <v/>
      </c>
      <c r="F720">
        <f>IF($AG720="","",Config!$B$9)</f>
        <v/>
      </c>
      <c r="G720">
        <f>IF($AG720="","",Config!$B$10)</f>
        <v/>
      </c>
      <c r="H720">
        <f>IF($AG720="","",Config!$B$11)</f>
        <v/>
      </c>
      <c r="I720">
        <f>IF($AG720="","",Config!$B$16)</f>
        <v/>
      </c>
      <c r="J720">
        <f>IF($AG720="","",INDEX('TMP Paste'!$A$2:$A$1601,$AG720))</f>
        <v/>
      </c>
      <c r="K720">
        <f>IF($AG720="","",INDEX('TMP Paste'!$L$2:$L$1601,$AG720))</f>
        <v/>
      </c>
      <c r="L720">
        <f>IF($AG720="","",INDEX('TMP Paste'!$I$2:$I$1601,$AG720))</f>
        <v/>
      </c>
      <c r="M720">
        <f>IF($AG720="","",Config!$B$16)</f>
        <v/>
      </c>
      <c r="N720">
        <f>IF($AG720="","","")</f>
        <v/>
      </c>
      <c r="O720">
        <f>IF($AG720="","",INDEX('TMP Paste'!$K$2:$K$1601,$AG720))</f>
        <v/>
      </c>
      <c r="P720">
        <f>IF($AG720="","","")</f>
        <v/>
      </c>
      <c r="Q720">
        <f>IF($AG720="","",INDEX('TMP Paste'!$J$2:$J$1601,$AG720))</f>
        <v/>
      </c>
      <c r="R720">
        <f>IF($AG720="","",Config!$B$24)</f>
        <v/>
      </c>
      <c r="S720">
        <f>IF($AG720="","",TEXT(Config!$B$4,"yyyy-mm-dd"))</f>
        <v/>
      </c>
      <c r="T720">
        <f>IF($AG720="","",Config!$B$17)</f>
        <v/>
      </c>
      <c r="U720">
        <f>IF($AG720="","",Config!$B$18)</f>
        <v/>
      </c>
      <c r="V720">
        <f>IF($AG720="","",Config!$B$19)</f>
        <v/>
      </c>
      <c r="W720">
        <f>IF($AG720="","",INDEX('TMP Paste'!$C$2:$C$1601,$AG720))</f>
        <v/>
      </c>
      <c r="X720">
        <f>IF($AG720="","",Config!$B$29)</f>
        <v/>
      </c>
      <c r="Y720">
        <f>IF($AH720="","",INDEX(Calc!$I$2:$I$1601,$AH720)&amp;" - "&amp;INDEX(Calc!$D$2:$D$1601,$AH720)&amp;" koli")</f>
        <v/>
      </c>
      <c r="Z720">
        <f>IF($AG720="","",Config!$B$21)</f>
        <v/>
      </c>
      <c r="AA720">
        <f>IF($AG720="","",Config!$B$22)</f>
        <v/>
      </c>
      <c r="AB720">
        <f>IF($AH720="","",INDEX(Calc!$D$2:$D$1601,$AH720))</f>
        <v/>
      </c>
      <c r="AC720">
        <f>IF($AH720="","",INDEX(Calc!$G$2:$G$1601,$AH720))</f>
        <v/>
      </c>
      <c r="AD720">
        <f>IF($AG720="","",Config!$B$23)</f>
        <v/>
      </c>
      <c r="AE720">
        <f>IF($AG720="","",Config!$B$28)</f>
        <v/>
      </c>
      <c r="AG720">
        <f>IFERROR(MATCH(ROW()-1,Calc!$J$2:$J$1601,0),"")</f>
        <v/>
      </c>
      <c r="AH720">
        <f>IFERROR(MATCH(ROW()-1,Calc!$K$2:$K$1601,0),"")</f>
        <v/>
      </c>
      <c r="AI720">
        <f>IF($AG720="","",SUMIF($AG$2:$AG720,$AG720,$AH$2:$AH720))</f>
        <v/>
      </c>
      <c r="AJ720">
        <f>IF('TMP Paste'!$F720="","",IF('TMP Paste'!$B720="",$AJ719,'TMP Paste'!$B720))</f>
        <v/>
      </c>
      <c r="AK720">
        <f>IF('TMP Paste'!$F720="","",N('TMP Paste'!$G720))</f>
        <v/>
      </c>
      <c r="AL720">
        <f>IF('TMP Paste'!$F720="","",IF('TMP Paste'!$M720="",$AL719,'TMP Paste'!$M720))</f>
        <v/>
      </c>
      <c r="AM720">
        <f>IF('TMP Paste'!$F720="","",IF('TMP Paste'!$N720="",$AM719,'TMP Paste'!$N720))</f>
        <v/>
      </c>
      <c r="AN720">
        <f>IF('TMP Paste'!$F720="","",IF('TMP Paste'!$O720="",$AN719,'TMP Paste'!$O720))</f>
        <v/>
      </c>
      <c r="AO720">
        <f>IF('TMP Paste'!$F720="","",IF('TMP Paste'!$P720="",$AO719,'TMP Paste'!$P720))</f>
        <v/>
      </c>
      <c r="AP720">
        <f>IF($AG720="","",LEN($R720))</f>
        <v/>
      </c>
      <c r="AQ720">
        <f>IF($AG720="","",TRIM(IF(COUNTIFS(Calc!$B$2:$B$1601,ROW()-1,Calc!$C$2:$C$1601,"&lt;1")&gt;0,"Ada PO tanpa Koli - cek TMP. ","")&amp;IF(LEN($R720)&gt;500,"R &gt; 500 karakter.","")))</f>
        <v/>
      </c>
    </row>
    <row r="721">
      <c r="A721">
        <f>IF($AG721="","",INDEX('TMP Paste'!$B$2:$B$1601,$AG721))</f>
        <v/>
      </c>
      <c r="B721">
        <f>IF($AG721="","",Config!$B$14)</f>
        <v/>
      </c>
      <c r="C721">
        <f>IF($AG721="","",Config!$B$15)</f>
        <v/>
      </c>
      <c r="D721">
        <f>IF($AG721="","",INDEX('TMP Paste'!$B$2:$B$1601,$AG721))</f>
        <v/>
      </c>
      <c r="E721">
        <f>IF($AG721="","",Config!$B$27)</f>
        <v/>
      </c>
      <c r="F721">
        <f>IF($AG721="","",Config!$B$9)</f>
        <v/>
      </c>
      <c r="G721">
        <f>IF($AG721="","",Config!$B$10)</f>
        <v/>
      </c>
      <c r="H721">
        <f>IF($AG721="","",Config!$B$11)</f>
        <v/>
      </c>
      <c r="I721">
        <f>IF($AG721="","",Config!$B$16)</f>
        <v/>
      </c>
      <c r="J721">
        <f>IF($AG721="","",INDEX('TMP Paste'!$A$2:$A$1601,$AG721))</f>
        <v/>
      </c>
      <c r="K721">
        <f>IF($AG721="","",INDEX('TMP Paste'!$L$2:$L$1601,$AG721))</f>
        <v/>
      </c>
      <c r="L721">
        <f>IF($AG721="","",INDEX('TMP Paste'!$I$2:$I$1601,$AG721))</f>
        <v/>
      </c>
      <c r="M721">
        <f>IF($AG721="","",Config!$B$16)</f>
        <v/>
      </c>
      <c r="N721">
        <f>IF($AG721="","","")</f>
        <v/>
      </c>
      <c r="O721">
        <f>IF($AG721="","",INDEX('TMP Paste'!$K$2:$K$1601,$AG721))</f>
        <v/>
      </c>
      <c r="P721">
        <f>IF($AG721="","","")</f>
        <v/>
      </c>
      <c r="Q721">
        <f>IF($AG721="","",INDEX('TMP Paste'!$J$2:$J$1601,$AG721))</f>
        <v/>
      </c>
      <c r="R721">
        <f>IF($AG721="","",Config!$B$24)</f>
        <v/>
      </c>
      <c r="S721">
        <f>IF($AG721="","",TEXT(Config!$B$4,"yyyy-mm-dd"))</f>
        <v/>
      </c>
      <c r="T721">
        <f>IF($AG721="","",Config!$B$17)</f>
        <v/>
      </c>
      <c r="U721">
        <f>IF($AG721="","",Config!$B$18)</f>
        <v/>
      </c>
      <c r="V721">
        <f>IF($AG721="","",Config!$B$19)</f>
        <v/>
      </c>
      <c r="W721">
        <f>IF($AG721="","",INDEX('TMP Paste'!$C$2:$C$1601,$AG721))</f>
        <v/>
      </c>
      <c r="X721">
        <f>IF($AG721="","",Config!$B$29)</f>
        <v/>
      </c>
      <c r="Y721">
        <f>IF($AH721="","",INDEX(Calc!$I$2:$I$1601,$AH721)&amp;" - "&amp;INDEX(Calc!$D$2:$D$1601,$AH721)&amp;" koli")</f>
        <v/>
      </c>
      <c r="Z721">
        <f>IF($AG721="","",Config!$B$21)</f>
        <v/>
      </c>
      <c r="AA721">
        <f>IF($AG721="","",Config!$B$22)</f>
        <v/>
      </c>
      <c r="AB721">
        <f>IF($AH721="","",INDEX(Calc!$D$2:$D$1601,$AH721))</f>
        <v/>
      </c>
      <c r="AC721">
        <f>IF($AH721="","",INDEX(Calc!$G$2:$G$1601,$AH721))</f>
        <v/>
      </c>
      <c r="AD721">
        <f>IF($AG721="","",Config!$B$23)</f>
        <v/>
      </c>
      <c r="AE721">
        <f>IF($AG721="","",Config!$B$28)</f>
        <v/>
      </c>
      <c r="AG721">
        <f>IFERROR(MATCH(ROW()-1,Calc!$J$2:$J$1601,0),"")</f>
        <v/>
      </c>
      <c r="AH721">
        <f>IFERROR(MATCH(ROW()-1,Calc!$K$2:$K$1601,0),"")</f>
        <v/>
      </c>
      <c r="AI721">
        <f>IF($AG721="","",SUMIF($AG$2:$AG721,$AG721,$AH$2:$AH721))</f>
        <v/>
      </c>
      <c r="AJ721">
        <f>IF('TMP Paste'!$F721="","",IF('TMP Paste'!$B721="",$AJ720,'TMP Paste'!$B721))</f>
        <v/>
      </c>
      <c r="AK721">
        <f>IF('TMP Paste'!$F721="","",N('TMP Paste'!$G721))</f>
        <v/>
      </c>
      <c r="AL721">
        <f>IF('TMP Paste'!$F721="","",IF('TMP Paste'!$M721="",$AL720,'TMP Paste'!$M721))</f>
        <v/>
      </c>
      <c r="AM721">
        <f>IF('TMP Paste'!$F721="","",IF('TMP Paste'!$N721="",$AM720,'TMP Paste'!$N721))</f>
        <v/>
      </c>
      <c r="AN721">
        <f>IF('TMP Paste'!$F721="","",IF('TMP Paste'!$O721="",$AN720,'TMP Paste'!$O721))</f>
        <v/>
      </c>
      <c r="AO721">
        <f>IF('TMP Paste'!$F721="","",IF('TMP Paste'!$P721="",$AO720,'TMP Paste'!$P721))</f>
        <v/>
      </c>
      <c r="AP721">
        <f>IF($AG721="","",LEN($R721))</f>
        <v/>
      </c>
      <c r="AQ721">
        <f>IF($AG721="","",TRIM(IF(COUNTIFS(Calc!$B$2:$B$1601,ROW()-1,Calc!$C$2:$C$1601,"&lt;1")&gt;0,"Ada PO tanpa Koli - cek TMP. ","")&amp;IF(LEN($R721)&gt;500,"R &gt; 500 karakter.","")))</f>
        <v/>
      </c>
    </row>
    <row r="722">
      <c r="A722">
        <f>IF($AG722="","",INDEX('TMP Paste'!$B$2:$B$1601,$AG722))</f>
        <v/>
      </c>
      <c r="B722">
        <f>IF($AG722="","",Config!$B$14)</f>
        <v/>
      </c>
      <c r="C722">
        <f>IF($AG722="","",Config!$B$15)</f>
        <v/>
      </c>
      <c r="D722">
        <f>IF($AG722="","",INDEX('TMP Paste'!$B$2:$B$1601,$AG722))</f>
        <v/>
      </c>
      <c r="E722">
        <f>IF($AG722="","",Config!$B$27)</f>
        <v/>
      </c>
      <c r="F722">
        <f>IF($AG722="","",Config!$B$9)</f>
        <v/>
      </c>
      <c r="G722">
        <f>IF($AG722="","",Config!$B$10)</f>
        <v/>
      </c>
      <c r="H722">
        <f>IF($AG722="","",Config!$B$11)</f>
        <v/>
      </c>
      <c r="I722">
        <f>IF($AG722="","",Config!$B$16)</f>
        <v/>
      </c>
      <c r="J722">
        <f>IF($AG722="","",INDEX('TMP Paste'!$A$2:$A$1601,$AG722))</f>
        <v/>
      </c>
      <c r="K722">
        <f>IF($AG722="","",INDEX('TMP Paste'!$L$2:$L$1601,$AG722))</f>
        <v/>
      </c>
      <c r="L722">
        <f>IF($AG722="","",INDEX('TMP Paste'!$I$2:$I$1601,$AG722))</f>
        <v/>
      </c>
      <c r="M722">
        <f>IF($AG722="","",Config!$B$16)</f>
        <v/>
      </c>
      <c r="N722">
        <f>IF($AG722="","","")</f>
        <v/>
      </c>
      <c r="O722">
        <f>IF($AG722="","",INDEX('TMP Paste'!$K$2:$K$1601,$AG722))</f>
        <v/>
      </c>
      <c r="P722">
        <f>IF($AG722="","","")</f>
        <v/>
      </c>
      <c r="Q722">
        <f>IF($AG722="","",INDEX('TMP Paste'!$J$2:$J$1601,$AG722))</f>
        <v/>
      </c>
      <c r="R722">
        <f>IF($AG722="","",Config!$B$24)</f>
        <v/>
      </c>
      <c r="S722">
        <f>IF($AG722="","",TEXT(Config!$B$4,"yyyy-mm-dd"))</f>
        <v/>
      </c>
      <c r="T722">
        <f>IF($AG722="","",Config!$B$17)</f>
        <v/>
      </c>
      <c r="U722">
        <f>IF($AG722="","",Config!$B$18)</f>
        <v/>
      </c>
      <c r="V722">
        <f>IF($AG722="","",Config!$B$19)</f>
        <v/>
      </c>
      <c r="W722">
        <f>IF($AG722="","",INDEX('TMP Paste'!$C$2:$C$1601,$AG722))</f>
        <v/>
      </c>
      <c r="X722">
        <f>IF($AG722="","",Config!$B$29)</f>
        <v/>
      </c>
      <c r="Y722">
        <f>IF($AH722="","",INDEX(Calc!$I$2:$I$1601,$AH722)&amp;" - "&amp;INDEX(Calc!$D$2:$D$1601,$AH722)&amp;" koli")</f>
        <v/>
      </c>
      <c r="Z722">
        <f>IF($AG722="","",Config!$B$21)</f>
        <v/>
      </c>
      <c r="AA722">
        <f>IF($AG722="","",Config!$B$22)</f>
        <v/>
      </c>
      <c r="AB722">
        <f>IF($AH722="","",INDEX(Calc!$D$2:$D$1601,$AH722))</f>
        <v/>
      </c>
      <c r="AC722">
        <f>IF($AH722="","",INDEX(Calc!$G$2:$G$1601,$AH722))</f>
        <v/>
      </c>
      <c r="AD722">
        <f>IF($AG722="","",Config!$B$23)</f>
        <v/>
      </c>
      <c r="AE722">
        <f>IF($AG722="","",Config!$B$28)</f>
        <v/>
      </c>
      <c r="AG722">
        <f>IFERROR(MATCH(ROW()-1,Calc!$J$2:$J$1601,0),"")</f>
        <v/>
      </c>
      <c r="AH722">
        <f>IFERROR(MATCH(ROW()-1,Calc!$K$2:$K$1601,0),"")</f>
        <v/>
      </c>
      <c r="AI722">
        <f>IF($AG722="","",SUMIF($AG$2:$AG722,$AG722,$AH$2:$AH722))</f>
        <v/>
      </c>
      <c r="AJ722">
        <f>IF('TMP Paste'!$F722="","",IF('TMP Paste'!$B722="",$AJ721,'TMP Paste'!$B722))</f>
        <v/>
      </c>
      <c r="AK722">
        <f>IF('TMP Paste'!$F722="","",N('TMP Paste'!$G722))</f>
        <v/>
      </c>
      <c r="AL722">
        <f>IF('TMP Paste'!$F722="","",IF('TMP Paste'!$M722="",$AL721,'TMP Paste'!$M722))</f>
        <v/>
      </c>
      <c r="AM722">
        <f>IF('TMP Paste'!$F722="","",IF('TMP Paste'!$N722="",$AM721,'TMP Paste'!$N722))</f>
        <v/>
      </c>
      <c r="AN722">
        <f>IF('TMP Paste'!$F722="","",IF('TMP Paste'!$O722="",$AN721,'TMP Paste'!$O722))</f>
        <v/>
      </c>
      <c r="AO722">
        <f>IF('TMP Paste'!$F722="","",IF('TMP Paste'!$P722="",$AO721,'TMP Paste'!$P722))</f>
        <v/>
      </c>
      <c r="AP722">
        <f>IF($AG722="","",LEN($R722))</f>
        <v/>
      </c>
      <c r="AQ722">
        <f>IF($AG722="","",TRIM(IF(COUNTIFS(Calc!$B$2:$B$1601,ROW()-1,Calc!$C$2:$C$1601,"&lt;1")&gt;0,"Ada PO tanpa Koli - cek TMP. ","")&amp;IF(LEN($R722)&gt;500,"R &gt; 500 karakter.","")))</f>
        <v/>
      </c>
    </row>
    <row r="723">
      <c r="A723">
        <f>IF($AG723="","",INDEX('TMP Paste'!$B$2:$B$1601,$AG723))</f>
        <v/>
      </c>
      <c r="B723">
        <f>IF($AG723="","",Config!$B$14)</f>
        <v/>
      </c>
      <c r="C723">
        <f>IF($AG723="","",Config!$B$15)</f>
        <v/>
      </c>
      <c r="D723">
        <f>IF($AG723="","",INDEX('TMP Paste'!$B$2:$B$1601,$AG723))</f>
        <v/>
      </c>
      <c r="E723">
        <f>IF($AG723="","",Config!$B$27)</f>
        <v/>
      </c>
      <c r="F723">
        <f>IF($AG723="","",Config!$B$9)</f>
        <v/>
      </c>
      <c r="G723">
        <f>IF($AG723="","",Config!$B$10)</f>
        <v/>
      </c>
      <c r="H723">
        <f>IF($AG723="","",Config!$B$11)</f>
        <v/>
      </c>
      <c r="I723">
        <f>IF($AG723="","",Config!$B$16)</f>
        <v/>
      </c>
      <c r="J723">
        <f>IF($AG723="","",INDEX('TMP Paste'!$A$2:$A$1601,$AG723))</f>
        <v/>
      </c>
      <c r="K723">
        <f>IF($AG723="","",INDEX('TMP Paste'!$L$2:$L$1601,$AG723))</f>
        <v/>
      </c>
      <c r="L723">
        <f>IF($AG723="","",INDEX('TMP Paste'!$I$2:$I$1601,$AG723))</f>
        <v/>
      </c>
      <c r="M723">
        <f>IF($AG723="","",Config!$B$16)</f>
        <v/>
      </c>
      <c r="N723">
        <f>IF($AG723="","","")</f>
        <v/>
      </c>
      <c r="O723">
        <f>IF($AG723="","",INDEX('TMP Paste'!$K$2:$K$1601,$AG723))</f>
        <v/>
      </c>
      <c r="P723">
        <f>IF($AG723="","","")</f>
        <v/>
      </c>
      <c r="Q723">
        <f>IF($AG723="","",INDEX('TMP Paste'!$J$2:$J$1601,$AG723))</f>
        <v/>
      </c>
      <c r="R723">
        <f>IF($AG723="","",Config!$B$24)</f>
        <v/>
      </c>
      <c r="S723">
        <f>IF($AG723="","",TEXT(Config!$B$4,"yyyy-mm-dd"))</f>
        <v/>
      </c>
      <c r="T723">
        <f>IF($AG723="","",Config!$B$17)</f>
        <v/>
      </c>
      <c r="U723">
        <f>IF($AG723="","",Config!$B$18)</f>
        <v/>
      </c>
      <c r="V723">
        <f>IF($AG723="","",Config!$B$19)</f>
        <v/>
      </c>
      <c r="W723">
        <f>IF($AG723="","",INDEX('TMP Paste'!$C$2:$C$1601,$AG723))</f>
        <v/>
      </c>
      <c r="X723">
        <f>IF($AG723="","",Config!$B$29)</f>
        <v/>
      </c>
      <c r="Y723">
        <f>IF($AH723="","",INDEX(Calc!$I$2:$I$1601,$AH723)&amp;" - "&amp;INDEX(Calc!$D$2:$D$1601,$AH723)&amp;" koli")</f>
        <v/>
      </c>
      <c r="Z723">
        <f>IF($AG723="","",Config!$B$21)</f>
        <v/>
      </c>
      <c r="AA723">
        <f>IF($AG723="","",Config!$B$22)</f>
        <v/>
      </c>
      <c r="AB723">
        <f>IF($AH723="","",INDEX(Calc!$D$2:$D$1601,$AH723))</f>
        <v/>
      </c>
      <c r="AC723">
        <f>IF($AH723="","",INDEX(Calc!$G$2:$G$1601,$AH723))</f>
        <v/>
      </c>
      <c r="AD723">
        <f>IF($AG723="","",Config!$B$23)</f>
        <v/>
      </c>
      <c r="AE723">
        <f>IF($AG723="","",Config!$B$28)</f>
        <v/>
      </c>
      <c r="AG723">
        <f>IFERROR(MATCH(ROW()-1,Calc!$J$2:$J$1601,0),"")</f>
        <v/>
      </c>
      <c r="AH723">
        <f>IFERROR(MATCH(ROW()-1,Calc!$K$2:$K$1601,0),"")</f>
        <v/>
      </c>
      <c r="AI723">
        <f>IF($AG723="","",SUMIF($AG$2:$AG723,$AG723,$AH$2:$AH723))</f>
        <v/>
      </c>
      <c r="AJ723">
        <f>IF('TMP Paste'!$F723="","",IF('TMP Paste'!$B723="",$AJ722,'TMP Paste'!$B723))</f>
        <v/>
      </c>
      <c r="AK723">
        <f>IF('TMP Paste'!$F723="","",N('TMP Paste'!$G723))</f>
        <v/>
      </c>
      <c r="AL723">
        <f>IF('TMP Paste'!$F723="","",IF('TMP Paste'!$M723="",$AL722,'TMP Paste'!$M723))</f>
        <v/>
      </c>
      <c r="AM723">
        <f>IF('TMP Paste'!$F723="","",IF('TMP Paste'!$N723="",$AM722,'TMP Paste'!$N723))</f>
        <v/>
      </c>
      <c r="AN723">
        <f>IF('TMP Paste'!$F723="","",IF('TMP Paste'!$O723="",$AN722,'TMP Paste'!$O723))</f>
        <v/>
      </c>
      <c r="AO723">
        <f>IF('TMP Paste'!$F723="","",IF('TMP Paste'!$P723="",$AO722,'TMP Paste'!$P723))</f>
        <v/>
      </c>
      <c r="AP723">
        <f>IF($AG723="","",LEN($R723))</f>
        <v/>
      </c>
      <c r="AQ723">
        <f>IF($AG723="","",TRIM(IF(COUNTIFS(Calc!$B$2:$B$1601,ROW()-1,Calc!$C$2:$C$1601,"&lt;1")&gt;0,"Ada PO tanpa Koli - cek TMP. ","")&amp;IF(LEN($R723)&gt;500,"R &gt; 500 karakter.","")))</f>
        <v/>
      </c>
    </row>
    <row r="724">
      <c r="A724">
        <f>IF($AG724="","",INDEX('TMP Paste'!$B$2:$B$1601,$AG724))</f>
        <v/>
      </c>
      <c r="B724">
        <f>IF($AG724="","",Config!$B$14)</f>
        <v/>
      </c>
      <c r="C724">
        <f>IF($AG724="","",Config!$B$15)</f>
        <v/>
      </c>
      <c r="D724">
        <f>IF($AG724="","",INDEX('TMP Paste'!$B$2:$B$1601,$AG724))</f>
        <v/>
      </c>
      <c r="E724">
        <f>IF($AG724="","",Config!$B$27)</f>
        <v/>
      </c>
      <c r="F724">
        <f>IF($AG724="","",Config!$B$9)</f>
        <v/>
      </c>
      <c r="G724">
        <f>IF($AG724="","",Config!$B$10)</f>
        <v/>
      </c>
      <c r="H724">
        <f>IF($AG724="","",Config!$B$11)</f>
        <v/>
      </c>
      <c r="I724">
        <f>IF($AG724="","",Config!$B$16)</f>
        <v/>
      </c>
      <c r="J724">
        <f>IF($AG724="","",INDEX('TMP Paste'!$A$2:$A$1601,$AG724))</f>
        <v/>
      </c>
      <c r="K724">
        <f>IF($AG724="","",INDEX('TMP Paste'!$L$2:$L$1601,$AG724))</f>
        <v/>
      </c>
      <c r="L724">
        <f>IF($AG724="","",INDEX('TMP Paste'!$I$2:$I$1601,$AG724))</f>
        <v/>
      </c>
      <c r="M724">
        <f>IF($AG724="","",Config!$B$16)</f>
        <v/>
      </c>
      <c r="N724">
        <f>IF($AG724="","","")</f>
        <v/>
      </c>
      <c r="O724">
        <f>IF($AG724="","",INDEX('TMP Paste'!$K$2:$K$1601,$AG724))</f>
        <v/>
      </c>
      <c r="P724">
        <f>IF($AG724="","","")</f>
        <v/>
      </c>
      <c r="Q724">
        <f>IF($AG724="","",INDEX('TMP Paste'!$J$2:$J$1601,$AG724))</f>
        <v/>
      </c>
      <c r="R724">
        <f>IF($AG724="","",Config!$B$24)</f>
        <v/>
      </c>
      <c r="S724">
        <f>IF($AG724="","",TEXT(Config!$B$4,"yyyy-mm-dd"))</f>
        <v/>
      </c>
      <c r="T724">
        <f>IF($AG724="","",Config!$B$17)</f>
        <v/>
      </c>
      <c r="U724">
        <f>IF($AG724="","",Config!$B$18)</f>
        <v/>
      </c>
      <c r="V724">
        <f>IF($AG724="","",Config!$B$19)</f>
        <v/>
      </c>
      <c r="W724">
        <f>IF($AG724="","",INDEX('TMP Paste'!$C$2:$C$1601,$AG724))</f>
        <v/>
      </c>
      <c r="X724">
        <f>IF($AG724="","",Config!$B$29)</f>
        <v/>
      </c>
      <c r="Y724">
        <f>IF($AH724="","",INDEX(Calc!$I$2:$I$1601,$AH724)&amp;" - "&amp;INDEX(Calc!$D$2:$D$1601,$AH724)&amp;" koli")</f>
        <v/>
      </c>
      <c r="Z724">
        <f>IF($AG724="","",Config!$B$21)</f>
        <v/>
      </c>
      <c r="AA724">
        <f>IF($AG724="","",Config!$B$22)</f>
        <v/>
      </c>
      <c r="AB724">
        <f>IF($AH724="","",INDEX(Calc!$D$2:$D$1601,$AH724))</f>
        <v/>
      </c>
      <c r="AC724">
        <f>IF($AH724="","",INDEX(Calc!$G$2:$G$1601,$AH724))</f>
        <v/>
      </c>
      <c r="AD724">
        <f>IF($AG724="","",Config!$B$23)</f>
        <v/>
      </c>
      <c r="AE724">
        <f>IF($AG724="","",Config!$B$28)</f>
        <v/>
      </c>
      <c r="AG724">
        <f>IFERROR(MATCH(ROW()-1,Calc!$J$2:$J$1601,0),"")</f>
        <v/>
      </c>
      <c r="AH724">
        <f>IFERROR(MATCH(ROW()-1,Calc!$K$2:$K$1601,0),"")</f>
        <v/>
      </c>
      <c r="AI724">
        <f>IF($AG724="","",SUMIF($AG$2:$AG724,$AG724,$AH$2:$AH724))</f>
        <v/>
      </c>
      <c r="AJ724">
        <f>IF('TMP Paste'!$F724="","",IF('TMP Paste'!$B724="",$AJ723,'TMP Paste'!$B724))</f>
        <v/>
      </c>
      <c r="AK724">
        <f>IF('TMP Paste'!$F724="","",N('TMP Paste'!$G724))</f>
        <v/>
      </c>
      <c r="AL724">
        <f>IF('TMP Paste'!$F724="","",IF('TMP Paste'!$M724="",$AL723,'TMP Paste'!$M724))</f>
        <v/>
      </c>
      <c r="AM724">
        <f>IF('TMP Paste'!$F724="","",IF('TMP Paste'!$N724="",$AM723,'TMP Paste'!$N724))</f>
        <v/>
      </c>
      <c r="AN724">
        <f>IF('TMP Paste'!$F724="","",IF('TMP Paste'!$O724="",$AN723,'TMP Paste'!$O724))</f>
        <v/>
      </c>
      <c r="AO724">
        <f>IF('TMP Paste'!$F724="","",IF('TMP Paste'!$P724="",$AO723,'TMP Paste'!$P724))</f>
        <v/>
      </c>
      <c r="AP724">
        <f>IF($AG724="","",LEN($R724))</f>
        <v/>
      </c>
      <c r="AQ724">
        <f>IF($AG724="","",TRIM(IF(COUNTIFS(Calc!$B$2:$B$1601,ROW()-1,Calc!$C$2:$C$1601,"&lt;1")&gt;0,"Ada PO tanpa Koli - cek TMP. ","")&amp;IF(LEN($R724)&gt;500,"R &gt; 500 karakter.","")))</f>
        <v/>
      </c>
    </row>
    <row r="725">
      <c r="A725">
        <f>IF($AG725="","",INDEX('TMP Paste'!$B$2:$B$1601,$AG725))</f>
        <v/>
      </c>
      <c r="B725">
        <f>IF($AG725="","",Config!$B$14)</f>
        <v/>
      </c>
      <c r="C725">
        <f>IF($AG725="","",Config!$B$15)</f>
        <v/>
      </c>
      <c r="D725">
        <f>IF($AG725="","",INDEX('TMP Paste'!$B$2:$B$1601,$AG725))</f>
        <v/>
      </c>
      <c r="E725">
        <f>IF($AG725="","",Config!$B$27)</f>
        <v/>
      </c>
      <c r="F725">
        <f>IF($AG725="","",Config!$B$9)</f>
        <v/>
      </c>
      <c r="G725">
        <f>IF($AG725="","",Config!$B$10)</f>
        <v/>
      </c>
      <c r="H725">
        <f>IF($AG725="","",Config!$B$11)</f>
        <v/>
      </c>
      <c r="I725">
        <f>IF($AG725="","",Config!$B$16)</f>
        <v/>
      </c>
      <c r="J725">
        <f>IF($AG725="","",INDEX('TMP Paste'!$A$2:$A$1601,$AG725))</f>
        <v/>
      </c>
      <c r="K725">
        <f>IF($AG725="","",INDEX('TMP Paste'!$L$2:$L$1601,$AG725))</f>
        <v/>
      </c>
      <c r="L725">
        <f>IF($AG725="","",INDEX('TMP Paste'!$I$2:$I$1601,$AG725))</f>
        <v/>
      </c>
      <c r="M725">
        <f>IF($AG725="","",Config!$B$16)</f>
        <v/>
      </c>
      <c r="N725">
        <f>IF($AG725="","","")</f>
        <v/>
      </c>
      <c r="O725">
        <f>IF($AG725="","",INDEX('TMP Paste'!$K$2:$K$1601,$AG725))</f>
        <v/>
      </c>
      <c r="P725">
        <f>IF($AG725="","","")</f>
        <v/>
      </c>
      <c r="Q725">
        <f>IF($AG725="","",INDEX('TMP Paste'!$J$2:$J$1601,$AG725))</f>
        <v/>
      </c>
      <c r="R725">
        <f>IF($AG725="","",Config!$B$24)</f>
        <v/>
      </c>
      <c r="S725">
        <f>IF($AG725="","",TEXT(Config!$B$4,"yyyy-mm-dd"))</f>
        <v/>
      </c>
      <c r="T725">
        <f>IF($AG725="","",Config!$B$17)</f>
        <v/>
      </c>
      <c r="U725">
        <f>IF($AG725="","",Config!$B$18)</f>
        <v/>
      </c>
      <c r="V725">
        <f>IF($AG725="","",Config!$B$19)</f>
        <v/>
      </c>
      <c r="W725">
        <f>IF($AG725="","",INDEX('TMP Paste'!$C$2:$C$1601,$AG725))</f>
        <v/>
      </c>
      <c r="X725">
        <f>IF($AG725="","",Config!$B$29)</f>
        <v/>
      </c>
      <c r="Y725">
        <f>IF($AH725="","",INDEX(Calc!$I$2:$I$1601,$AH725)&amp;" - "&amp;INDEX(Calc!$D$2:$D$1601,$AH725)&amp;" koli")</f>
        <v/>
      </c>
      <c r="Z725">
        <f>IF($AG725="","",Config!$B$21)</f>
        <v/>
      </c>
      <c r="AA725">
        <f>IF($AG725="","",Config!$B$22)</f>
        <v/>
      </c>
      <c r="AB725">
        <f>IF($AH725="","",INDEX(Calc!$D$2:$D$1601,$AH725))</f>
        <v/>
      </c>
      <c r="AC725">
        <f>IF($AH725="","",INDEX(Calc!$G$2:$G$1601,$AH725))</f>
        <v/>
      </c>
      <c r="AD725">
        <f>IF($AG725="","",Config!$B$23)</f>
        <v/>
      </c>
      <c r="AE725">
        <f>IF($AG725="","",Config!$B$28)</f>
        <v/>
      </c>
      <c r="AG725">
        <f>IFERROR(MATCH(ROW()-1,Calc!$J$2:$J$1601,0),"")</f>
        <v/>
      </c>
      <c r="AH725">
        <f>IFERROR(MATCH(ROW()-1,Calc!$K$2:$K$1601,0),"")</f>
        <v/>
      </c>
      <c r="AI725">
        <f>IF($AG725="","",SUMIF($AG$2:$AG725,$AG725,$AH$2:$AH725))</f>
        <v/>
      </c>
      <c r="AJ725">
        <f>IF('TMP Paste'!$F725="","",IF('TMP Paste'!$B725="",$AJ724,'TMP Paste'!$B725))</f>
        <v/>
      </c>
      <c r="AK725">
        <f>IF('TMP Paste'!$F725="","",N('TMP Paste'!$G725))</f>
        <v/>
      </c>
      <c r="AL725">
        <f>IF('TMP Paste'!$F725="","",IF('TMP Paste'!$M725="",$AL724,'TMP Paste'!$M725))</f>
        <v/>
      </c>
      <c r="AM725">
        <f>IF('TMP Paste'!$F725="","",IF('TMP Paste'!$N725="",$AM724,'TMP Paste'!$N725))</f>
        <v/>
      </c>
      <c r="AN725">
        <f>IF('TMP Paste'!$F725="","",IF('TMP Paste'!$O725="",$AN724,'TMP Paste'!$O725))</f>
        <v/>
      </c>
      <c r="AO725">
        <f>IF('TMP Paste'!$F725="","",IF('TMP Paste'!$P725="",$AO724,'TMP Paste'!$P725))</f>
        <v/>
      </c>
      <c r="AP725">
        <f>IF($AG725="","",LEN($R725))</f>
        <v/>
      </c>
      <c r="AQ725">
        <f>IF($AG725="","",TRIM(IF(COUNTIFS(Calc!$B$2:$B$1601,ROW()-1,Calc!$C$2:$C$1601,"&lt;1")&gt;0,"Ada PO tanpa Koli - cek TMP. ","")&amp;IF(LEN($R725)&gt;500,"R &gt; 500 karakter.","")))</f>
        <v/>
      </c>
    </row>
    <row r="726">
      <c r="A726">
        <f>IF($AG726="","",INDEX('TMP Paste'!$B$2:$B$1601,$AG726))</f>
        <v/>
      </c>
      <c r="B726">
        <f>IF($AG726="","",Config!$B$14)</f>
        <v/>
      </c>
      <c r="C726">
        <f>IF($AG726="","",Config!$B$15)</f>
        <v/>
      </c>
      <c r="D726">
        <f>IF($AG726="","",INDEX('TMP Paste'!$B$2:$B$1601,$AG726))</f>
        <v/>
      </c>
      <c r="E726">
        <f>IF($AG726="","",Config!$B$27)</f>
        <v/>
      </c>
      <c r="F726">
        <f>IF($AG726="","",Config!$B$9)</f>
        <v/>
      </c>
      <c r="G726">
        <f>IF($AG726="","",Config!$B$10)</f>
        <v/>
      </c>
      <c r="H726">
        <f>IF($AG726="","",Config!$B$11)</f>
        <v/>
      </c>
      <c r="I726">
        <f>IF($AG726="","",Config!$B$16)</f>
        <v/>
      </c>
      <c r="J726">
        <f>IF($AG726="","",INDEX('TMP Paste'!$A$2:$A$1601,$AG726))</f>
        <v/>
      </c>
      <c r="K726">
        <f>IF($AG726="","",INDEX('TMP Paste'!$L$2:$L$1601,$AG726))</f>
        <v/>
      </c>
      <c r="L726">
        <f>IF($AG726="","",INDEX('TMP Paste'!$I$2:$I$1601,$AG726))</f>
        <v/>
      </c>
      <c r="M726">
        <f>IF($AG726="","",Config!$B$16)</f>
        <v/>
      </c>
      <c r="N726">
        <f>IF($AG726="","","")</f>
        <v/>
      </c>
      <c r="O726">
        <f>IF($AG726="","",INDEX('TMP Paste'!$K$2:$K$1601,$AG726))</f>
        <v/>
      </c>
      <c r="P726">
        <f>IF($AG726="","","")</f>
        <v/>
      </c>
      <c r="Q726">
        <f>IF($AG726="","",INDEX('TMP Paste'!$J$2:$J$1601,$AG726))</f>
        <v/>
      </c>
      <c r="R726">
        <f>IF($AG726="","",Config!$B$24)</f>
        <v/>
      </c>
      <c r="S726">
        <f>IF($AG726="","",TEXT(Config!$B$4,"yyyy-mm-dd"))</f>
        <v/>
      </c>
      <c r="T726">
        <f>IF($AG726="","",Config!$B$17)</f>
        <v/>
      </c>
      <c r="U726">
        <f>IF($AG726="","",Config!$B$18)</f>
        <v/>
      </c>
      <c r="V726">
        <f>IF($AG726="","",Config!$B$19)</f>
        <v/>
      </c>
      <c r="W726">
        <f>IF($AG726="","",INDEX('TMP Paste'!$C$2:$C$1601,$AG726))</f>
        <v/>
      </c>
      <c r="X726">
        <f>IF($AG726="","",Config!$B$29)</f>
        <v/>
      </c>
      <c r="Y726">
        <f>IF($AH726="","",INDEX(Calc!$I$2:$I$1601,$AH726)&amp;" - "&amp;INDEX(Calc!$D$2:$D$1601,$AH726)&amp;" koli")</f>
        <v/>
      </c>
      <c r="Z726">
        <f>IF($AG726="","",Config!$B$21)</f>
        <v/>
      </c>
      <c r="AA726">
        <f>IF($AG726="","",Config!$B$22)</f>
        <v/>
      </c>
      <c r="AB726">
        <f>IF($AH726="","",INDEX(Calc!$D$2:$D$1601,$AH726))</f>
        <v/>
      </c>
      <c r="AC726">
        <f>IF($AH726="","",INDEX(Calc!$G$2:$G$1601,$AH726))</f>
        <v/>
      </c>
      <c r="AD726">
        <f>IF($AG726="","",Config!$B$23)</f>
        <v/>
      </c>
      <c r="AE726">
        <f>IF($AG726="","",Config!$B$28)</f>
        <v/>
      </c>
      <c r="AG726">
        <f>IFERROR(MATCH(ROW()-1,Calc!$J$2:$J$1601,0),"")</f>
        <v/>
      </c>
      <c r="AH726">
        <f>IFERROR(MATCH(ROW()-1,Calc!$K$2:$K$1601,0),"")</f>
        <v/>
      </c>
      <c r="AI726">
        <f>IF($AG726="","",SUMIF($AG$2:$AG726,$AG726,$AH$2:$AH726))</f>
        <v/>
      </c>
      <c r="AJ726">
        <f>IF('TMP Paste'!$F726="","",IF('TMP Paste'!$B726="",$AJ725,'TMP Paste'!$B726))</f>
        <v/>
      </c>
      <c r="AK726">
        <f>IF('TMP Paste'!$F726="","",N('TMP Paste'!$G726))</f>
        <v/>
      </c>
      <c r="AL726">
        <f>IF('TMP Paste'!$F726="","",IF('TMP Paste'!$M726="",$AL725,'TMP Paste'!$M726))</f>
        <v/>
      </c>
      <c r="AM726">
        <f>IF('TMP Paste'!$F726="","",IF('TMP Paste'!$N726="",$AM725,'TMP Paste'!$N726))</f>
        <v/>
      </c>
      <c r="AN726">
        <f>IF('TMP Paste'!$F726="","",IF('TMP Paste'!$O726="",$AN725,'TMP Paste'!$O726))</f>
        <v/>
      </c>
      <c r="AO726">
        <f>IF('TMP Paste'!$F726="","",IF('TMP Paste'!$P726="",$AO725,'TMP Paste'!$P726))</f>
        <v/>
      </c>
      <c r="AP726">
        <f>IF($AG726="","",LEN($R726))</f>
        <v/>
      </c>
      <c r="AQ726">
        <f>IF($AG726="","",TRIM(IF(COUNTIFS(Calc!$B$2:$B$1601,ROW()-1,Calc!$C$2:$C$1601,"&lt;1")&gt;0,"Ada PO tanpa Koli - cek TMP. ","")&amp;IF(LEN($R726)&gt;500,"R &gt; 500 karakter.","")))</f>
        <v/>
      </c>
    </row>
    <row r="727">
      <c r="A727">
        <f>IF($AG727="","",INDEX('TMP Paste'!$B$2:$B$1601,$AG727))</f>
        <v/>
      </c>
      <c r="B727">
        <f>IF($AG727="","",Config!$B$14)</f>
        <v/>
      </c>
      <c r="C727">
        <f>IF($AG727="","",Config!$B$15)</f>
        <v/>
      </c>
      <c r="D727">
        <f>IF($AG727="","",INDEX('TMP Paste'!$B$2:$B$1601,$AG727))</f>
        <v/>
      </c>
      <c r="E727">
        <f>IF($AG727="","",Config!$B$27)</f>
        <v/>
      </c>
      <c r="F727">
        <f>IF($AG727="","",Config!$B$9)</f>
        <v/>
      </c>
      <c r="G727">
        <f>IF($AG727="","",Config!$B$10)</f>
        <v/>
      </c>
      <c r="H727">
        <f>IF($AG727="","",Config!$B$11)</f>
        <v/>
      </c>
      <c r="I727">
        <f>IF($AG727="","",Config!$B$16)</f>
        <v/>
      </c>
      <c r="J727">
        <f>IF($AG727="","",INDEX('TMP Paste'!$A$2:$A$1601,$AG727))</f>
        <v/>
      </c>
      <c r="K727">
        <f>IF($AG727="","",INDEX('TMP Paste'!$L$2:$L$1601,$AG727))</f>
        <v/>
      </c>
      <c r="L727">
        <f>IF($AG727="","",INDEX('TMP Paste'!$I$2:$I$1601,$AG727))</f>
        <v/>
      </c>
      <c r="M727">
        <f>IF($AG727="","",Config!$B$16)</f>
        <v/>
      </c>
      <c r="N727">
        <f>IF($AG727="","","")</f>
        <v/>
      </c>
      <c r="O727">
        <f>IF($AG727="","",INDEX('TMP Paste'!$K$2:$K$1601,$AG727))</f>
        <v/>
      </c>
      <c r="P727">
        <f>IF($AG727="","","")</f>
        <v/>
      </c>
      <c r="Q727">
        <f>IF($AG727="","",INDEX('TMP Paste'!$J$2:$J$1601,$AG727))</f>
        <v/>
      </c>
      <c r="R727">
        <f>IF($AG727="","",Config!$B$24)</f>
        <v/>
      </c>
      <c r="S727">
        <f>IF($AG727="","",TEXT(Config!$B$4,"yyyy-mm-dd"))</f>
        <v/>
      </c>
      <c r="T727">
        <f>IF($AG727="","",Config!$B$17)</f>
        <v/>
      </c>
      <c r="U727">
        <f>IF($AG727="","",Config!$B$18)</f>
        <v/>
      </c>
      <c r="V727">
        <f>IF($AG727="","",Config!$B$19)</f>
        <v/>
      </c>
      <c r="W727">
        <f>IF($AG727="","",INDEX('TMP Paste'!$C$2:$C$1601,$AG727))</f>
        <v/>
      </c>
      <c r="X727">
        <f>IF($AG727="","",Config!$B$29)</f>
        <v/>
      </c>
      <c r="Y727">
        <f>IF($AH727="","",INDEX(Calc!$I$2:$I$1601,$AH727)&amp;" - "&amp;INDEX(Calc!$D$2:$D$1601,$AH727)&amp;" koli")</f>
        <v/>
      </c>
      <c r="Z727">
        <f>IF($AG727="","",Config!$B$21)</f>
        <v/>
      </c>
      <c r="AA727">
        <f>IF($AG727="","",Config!$B$22)</f>
        <v/>
      </c>
      <c r="AB727">
        <f>IF($AH727="","",INDEX(Calc!$D$2:$D$1601,$AH727))</f>
        <v/>
      </c>
      <c r="AC727">
        <f>IF($AH727="","",INDEX(Calc!$G$2:$G$1601,$AH727))</f>
        <v/>
      </c>
      <c r="AD727">
        <f>IF($AG727="","",Config!$B$23)</f>
        <v/>
      </c>
      <c r="AE727">
        <f>IF($AG727="","",Config!$B$28)</f>
        <v/>
      </c>
      <c r="AG727">
        <f>IFERROR(MATCH(ROW()-1,Calc!$J$2:$J$1601,0),"")</f>
        <v/>
      </c>
      <c r="AH727">
        <f>IFERROR(MATCH(ROW()-1,Calc!$K$2:$K$1601,0),"")</f>
        <v/>
      </c>
      <c r="AI727">
        <f>IF($AG727="","",SUMIF($AG$2:$AG727,$AG727,$AH$2:$AH727))</f>
        <v/>
      </c>
      <c r="AJ727">
        <f>IF('TMP Paste'!$F727="","",IF('TMP Paste'!$B727="",$AJ726,'TMP Paste'!$B727))</f>
        <v/>
      </c>
      <c r="AK727">
        <f>IF('TMP Paste'!$F727="","",N('TMP Paste'!$G727))</f>
        <v/>
      </c>
      <c r="AL727">
        <f>IF('TMP Paste'!$F727="","",IF('TMP Paste'!$M727="",$AL726,'TMP Paste'!$M727))</f>
        <v/>
      </c>
      <c r="AM727">
        <f>IF('TMP Paste'!$F727="","",IF('TMP Paste'!$N727="",$AM726,'TMP Paste'!$N727))</f>
        <v/>
      </c>
      <c r="AN727">
        <f>IF('TMP Paste'!$F727="","",IF('TMP Paste'!$O727="",$AN726,'TMP Paste'!$O727))</f>
        <v/>
      </c>
      <c r="AO727">
        <f>IF('TMP Paste'!$F727="","",IF('TMP Paste'!$P727="",$AO726,'TMP Paste'!$P727))</f>
        <v/>
      </c>
      <c r="AP727">
        <f>IF($AG727="","",LEN($R727))</f>
        <v/>
      </c>
      <c r="AQ727">
        <f>IF($AG727="","",TRIM(IF(COUNTIFS(Calc!$B$2:$B$1601,ROW()-1,Calc!$C$2:$C$1601,"&lt;1")&gt;0,"Ada PO tanpa Koli - cek TMP. ","")&amp;IF(LEN($R727)&gt;500,"R &gt; 500 karakter.","")))</f>
        <v/>
      </c>
    </row>
    <row r="728">
      <c r="A728">
        <f>IF($AG728="","",INDEX('TMP Paste'!$B$2:$B$1601,$AG728))</f>
        <v/>
      </c>
      <c r="B728">
        <f>IF($AG728="","",Config!$B$14)</f>
        <v/>
      </c>
      <c r="C728">
        <f>IF($AG728="","",Config!$B$15)</f>
        <v/>
      </c>
      <c r="D728">
        <f>IF($AG728="","",INDEX('TMP Paste'!$B$2:$B$1601,$AG728))</f>
        <v/>
      </c>
      <c r="E728">
        <f>IF($AG728="","",Config!$B$27)</f>
        <v/>
      </c>
      <c r="F728">
        <f>IF($AG728="","",Config!$B$9)</f>
        <v/>
      </c>
      <c r="G728">
        <f>IF($AG728="","",Config!$B$10)</f>
        <v/>
      </c>
      <c r="H728">
        <f>IF($AG728="","",Config!$B$11)</f>
        <v/>
      </c>
      <c r="I728">
        <f>IF($AG728="","",Config!$B$16)</f>
        <v/>
      </c>
      <c r="J728">
        <f>IF($AG728="","",INDEX('TMP Paste'!$A$2:$A$1601,$AG728))</f>
        <v/>
      </c>
      <c r="K728">
        <f>IF($AG728="","",INDEX('TMP Paste'!$L$2:$L$1601,$AG728))</f>
        <v/>
      </c>
      <c r="L728">
        <f>IF($AG728="","",INDEX('TMP Paste'!$I$2:$I$1601,$AG728))</f>
        <v/>
      </c>
      <c r="M728">
        <f>IF($AG728="","",Config!$B$16)</f>
        <v/>
      </c>
      <c r="N728">
        <f>IF($AG728="","","")</f>
        <v/>
      </c>
      <c r="O728">
        <f>IF($AG728="","",INDEX('TMP Paste'!$K$2:$K$1601,$AG728))</f>
        <v/>
      </c>
      <c r="P728">
        <f>IF($AG728="","","")</f>
        <v/>
      </c>
      <c r="Q728">
        <f>IF($AG728="","",INDEX('TMP Paste'!$J$2:$J$1601,$AG728))</f>
        <v/>
      </c>
      <c r="R728">
        <f>IF($AG728="","",Config!$B$24)</f>
        <v/>
      </c>
      <c r="S728">
        <f>IF($AG728="","",TEXT(Config!$B$4,"yyyy-mm-dd"))</f>
        <v/>
      </c>
      <c r="T728">
        <f>IF($AG728="","",Config!$B$17)</f>
        <v/>
      </c>
      <c r="U728">
        <f>IF($AG728="","",Config!$B$18)</f>
        <v/>
      </c>
      <c r="V728">
        <f>IF($AG728="","",Config!$B$19)</f>
        <v/>
      </c>
      <c r="W728">
        <f>IF($AG728="","",INDEX('TMP Paste'!$C$2:$C$1601,$AG728))</f>
        <v/>
      </c>
      <c r="X728">
        <f>IF($AG728="","",Config!$B$29)</f>
        <v/>
      </c>
      <c r="Y728">
        <f>IF($AH728="","",INDEX(Calc!$I$2:$I$1601,$AH728)&amp;" - "&amp;INDEX(Calc!$D$2:$D$1601,$AH728)&amp;" koli")</f>
        <v/>
      </c>
      <c r="Z728">
        <f>IF($AG728="","",Config!$B$21)</f>
        <v/>
      </c>
      <c r="AA728">
        <f>IF($AG728="","",Config!$B$22)</f>
        <v/>
      </c>
      <c r="AB728">
        <f>IF($AH728="","",INDEX(Calc!$D$2:$D$1601,$AH728))</f>
        <v/>
      </c>
      <c r="AC728">
        <f>IF($AH728="","",INDEX(Calc!$G$2:$G$1601,$AH728))</f>
        <v/>
      </c>
      <c r="AD728">
        <f>IF($AG728="","",Config!$B$23)</f>
        <v/>
      </c>
      <c r="AE728">
        <f>IF($AG728="","",Config!$B$28)</f>
        <v/>
      </c>
      <c r="AG728">
        <f>IFERROR(MATCH(ROW()-1,Calc!$J$2:$J$1601,0),"")</f>
        <v/>
      </c>
      <c r="AH728">
        <f>IFERROR(MATCH(ROW()-1,Calc!$K$2:$K$1601,0),"")</f>
        <v/>
      </c>
      <c r="AI728">
        <f>IF($AG728="","",SUMIF($AG$2:$AG728,$AG728,$AH$2:$AH728))</f>
        <v/>
      </c>
      <c r="AJ728">
        <f>IF('TMP Paste'!$F728="","",IF('TMP Paste'!$B728="",$AJ727,'TMP Paste'!$B728))</f>
        <v/>
      </c>
      <c r="AK728">
        <f>IF('TMP Paste'!$F728="","",N('TMP Paste'!$G728))</f>
        <v/>
      </c>
      <c r="AL728">
        <f>IF('TMP Paste'!$F728="","",IF('TMP Paste'!$M728="",$AL727,'TMP Paste'!$M728))</f>
        <v/>
      </c>
      <c r="AM728">
        <f>IF('TMP Paste'!$F728="","",IF('TMP Paste'!$N728="",$AM727,'TMP Paste'!$N728))</f>
        <v/>
      </c>
      <c r="AN728">
        <f>IF('TMP Paste'!$F728="","",IF('TMP Paste'!$O728="",$AN727,'TMP Paste'!$O728))</f>
        <v/>
      </c>
      <c r="AO728">
        <f>IF('TMP Paste'!$F728="","",IF('TMP Paste'!$P728="",$AO727,'TMP Paste'!$P728))</f>
        <v/>
      </c>
      <c r="AP728">
        <f>IF($AG728="","",LEN($R728))</f>
        <v/>
      </c>
      <c r="AQ728">
        <f>IF($AG728="","",TRIM(IF(COUNTIFS(Calc!$B$2:$B$1601,ROW()-1,Calc!$C$2:$C$1601,"&lt;1")&gt;0,"Ada PO tanpa Koli - cek TMP. ","")&amp;IF(LEN($R728)&gt;500,"R &gt; 500 karakter.","")))</f>
        <v/>
      </c>
    </row>
    <row r="729">
      <c r="A729">
        <f>IF($AG729="","",INDEX('TMP Paste'!$B$2:$B$1601,$AG729))</f>
        <v/>
      </c>
      <c r="B729">
        <f>IF($AG729="","",Config!$B$14)</f>
        <v/>
      </c>
      <c r="C729">
        <f>IF($AG729="","",Config!$B$15)</f>
        <v/>
      </c>
      <c r="D729">
        <f>IF($AG729="","",INDEX('TMP Paste'!$B$2:$B$1601,$AG729))</f>
        <v/>
      </c>
      <c r="E729">
        <f>IF($AG729="","",Config!$B$27)</f>
        <v/>
      </c>
      <c r="F729">
        <f>IF($AG729="","",Config!$B$9)</f>
        <v/>
      </c>
      <c r="G729">
        <f>IF($AG729="","",Config!$B$10)</f>
        <v/>
      </c>
      <c r="H729">
        <f>IF($AG729="","",Config!$B$11)</f>
        <v/>
      </c>
      <c r="I729">
        <f>IF($AG729="","",Config!$B$16)</f>
        <v/>
      </c>
      <c r="J729">
        <f>IF($AG729="","",INDEX('TMP Paste'!$A$2:$A$1601,$AG729))</f>
        <v/>
      </c>
      <c r="K729">
        <f>IF($AG729="","",INDEX('TMP Paste'!$L$2:$L$1601,$AG729))</f>
        <v/>
      </c>
      <c r="L729">
        <f>IF($AG729="","",INDEX('TMP Paste'!$I$2:$I$1601,$AG729))</f>
        <v/>
      </c>
      <c r="M729">
        <f>IF($AG729="","",Config!$B$16)</f>
        <v/>
      </c>
      <c r="N729">
        <f>IF($AG729="","","")</f>
        <v/>
      </c>
      <c r="O729">
        <f>IF($AG729="","",INDEX('TMP Paste'!$K$2:$K$1601,$AG729))</f>
        <v/>
      </c>
      <c r="P729">
        <f>IF($AG729="","","")</f>
        <v/>
      </c>
      <c r="Q729">
        <f>IF($AG729="","",INDEX('TMP Paste'!$J$2:$J$1601,$AG729))</f>
        <v/>
      </c>
      <c r="R729">
        <f>IF($AG729="","",Config!$B$24)</f>
        <v/>
      </c>
      <c r="S729">
        <f>IF($AG729="","",TEXT(Config!$B$4,"yyyy-mm-dd"))</f>
        <v/>
      </c>
      <c r="T729">
        <f>IF($AG729="","",Config!$B$17)</f>
        <v/>
      </c>
      <c r="U729">
        <f>IF($AG729="","",Config!$B$18)</f>
        <v/>
      </c>
      <c r="V729">
        <f>IF($AG729="","",Config!$B$19)</f>
        <v/>
      </c>
      <c r="W729">
        <f>IF($AG729="","",INDEX('TMP Paste'!$C$2:$C$1601,$AG729))</f>
        <v/>
      </c>
      <c r="X729">
        <f>IF($AG729="","",Config!$B$29)</f>
        <v/>
      </c>
      <c r="Y729">
        <f>IF($AH729="","",INDEX(Calc!$I$2:$I$1601,$AH729)&amp;" - "&amp;INDEX(Calc!$D$2:$D$1601,$AH729)&amp;" koli")</f>
        <v/>
      </c>
      <c r="Z729">
        <f>IF($AG729="","",Config!$B$21)</f>
        <v/>
      </c>
      <c r="AA729">
        <f>IF($AG729="","",Config!$B$22)</f>
        <v/>
      </c>
      <c r="AB729">
        <f>IF($AH729="","",INDEX(Calc!$D$2:$D$1601,$AH729))</f>
        <v/>
      </c>
      <c r="AC729">
        <f>IF($AH729="","",INDEX(Calc!$G$2:$G$1601,$AH729))</f>
        <v/>
      </c>
      <c r="AD729">
        <f>IF($AG729="","",Config!$B$23)</f>
        <v/>
      </c>
      <c r="AE729">
        <f>IF($AG729="","",Config!$B$28)</f>
        <v/>
      </c>
      <c r="AG729">
        <f>IFERROR(MATCH(ROW()-1,Calc!$J$2:$J$1601,0),"")</f>
        <v/>
      </c>
      <c r="AH729">
        <f>IFERROR(MATCH(ROW()-1,Calc!$K$2:$K$1601,0),"")</f>
        <v/>
      </c>
      <c r="AI729">
        <f>IF($AG729="","",SUMIF($AG$2:$AG729,$AG729,$AH$2:$AH729))</f>
        <v/>
      </c>
      <c r="AJ729">
        <f>IF('TMP Paste'!$F729="","",IF('TMP Paste'!$B729="",$AJ728,'TMP Paste'!$B729))</f>
        <v/>
      </c>
      <c r="AK729">
        <f>IF('TMP Paste'!$F729="","",N('TMP Paste'!$G729))</f>
        <v/>
      </c>
      <c r="AL729">
        <f>IF('TMP Paste'!$F729="","",IF('TMP Paste'!$M729="",$AL728,'TMP Paste'!$M729))</f>
        <v/>
      </c>
      <c r="AM729">
        <f>IF('TMP Paste'!$F729="","",IF('TMP Paste'!$N729="",$AM728,'TMP Paste'!$N729))</f>
        <v/>
      </c>
      <c r="AN729">
        <f>IF('TMP Paste'!$F729="","",IF('TMP Paste'!$O729="",$AN728,'TMP Paste'!$O729))</f>
        <v/>
      </c>
      <c r="AO729">
        <f>IF('TMP Paste'!$F729="","",IF('TMP Paste'!$P729="",$AO728,'TMP Paste'!$P729))</f>
        <v/>
      </c>
      <c r="AP729">
        <f>IF($AG729="","",LEN($R729))</f>
        <v/>
      </c>
      <c r="AQ729">
        <f>IF($AG729="","",TRIM(IF(COUNTIFS(Calc!$B$2:$B$1601,ROW()-1,Calc!$C$2:$C$1601,"&lt;1")&gt;0,"Ada PO tanpa Koli - cek TMP. ","")&amp;IF(LEN($R729)&gt;500,"R &gt; 500 karakter.","")))</f>
        <v/>
      </c>
    </row>
    <row r="730">
      <c r="A730">
        <f>IF($AG730="","",INDEX('TMP Paste'!$B$2:$B$1601,$AG730))</f>
        <v/>
      </c>
      <c r="B730">
        <f>IF($AG730="","",Config!$B$14)</f>
        <v/>
      </c>
      <c r="C730">
        <f>IF($AG730="","",Config!$B$15)</f>
        <v/>
      </c>
      <c r="D730">
        <f>IF($AG730="","",INDEX('TMP Paste'!$B$2:$B$1601,$AG730))</f>
        <v/>
      </c>
      <c r="E730">
        <f>IF($AG730="","",Config!$B$27)</f>
        <v/>
      </c>
      <c r="F730">
        <f>IF($AG730="","",Config!$B$9)</f>
        <v/>
      </c>
      <c r="G730">
        <f>IF($AG730="","",Config!$B$10)</f>
        <v/>
      </c>
      <c r="H730">
        <f>IF($AG730="","",Config!$B$11)</f>
        <v/>
      </c>
      <c r="I730">
        <f>IF($AG730="","",Config!$B$16)</f>
        <v/>
      </c>
      <c r="J730">
        <f>IF($AG730="","",INDEX('TMP Paste'!$A$2:$A$1601,$AG730))</f>
        <v/>
      </c>
      <c r="K730">
        <f>IF($AG730="","",INDEX('TMP Paste'!$L$2:$L$1601,$AG730))</f>
        <v/>
      </c>
      <c r="L730">
        <f>IF($AG730="","",INDEX('TMP Paste'!$I$2:$I$1601,$AG730))</f>
        <v/>
      </c>
      <c r="M730">
        <f>IF($AG730="","",Config!$B$16)</f>
        <v/>
      </c>
      <c r="N730">
        <f>IF($AG730="","","")</f>
        <v/>
      </c>
      <c r="O730">
        <f>IF($AG730="","",INDEX('TMP Paste'!$K$2:$K$1601,$AG730))</f>
        <v/>
      </c>
      <c r="P730">
        <f>IF($AG730="","","")</f>
        <v/>
      </c>
      <c r="Q730">
        <f>IF($AG730="","",INDEX('TMP Paste'!$J$2:$J$1601,$AG730))</f>
        <v/>
      </c>
      <c r="R730">
        <f>IF($AG730="","",Config!$B$24)</f>
        <v/>
      </c>
      <c r="S730">
        <f>IF($AG730="","",TEXT(Config!$B$4,"yyyy-mm-dd"))</f>
        <v/>
      </c>
      <c r="T730">
        <f>IF($AG730="","",Config!$B$17)</f>
        <v/>
      </c>
      <c r="U730">
        <f>IF($AG730="","",Config!$B$18)</f>
        <v/>
      </c>
      <c r="V730">
        <f>IF($AG730="","",Config!$B$19)</f>
        <v/>
      </c>
      <c r="W730">
        <f>IF($AG730="","",INDEX('TMP Paste'!$C$2:$C$1601,$AG730))</f>
        <v/>
      </c>
      <c r="X730">
        <f>IF($AG730="","",Config!$B$29)</f>
        <v/>
      </c>
      <c r="Y730">
        <f>IF($AH730="","",INDEX(Calc!$I$2:$I$1601,$AH730)&amp;" - "&amp;INDEX(Calc!$D$2:$D$1601,$AH730)&amp;" koli")</f>
        <v/>
      </c>
      <c r="Z730">
        <f>IF($AG730="","",Config!$B$21)</f>
        <v/>
      </c>
      <c r="AA730">
        <f>IF($AG730="","",Config!$B$22)</f>
        <v/>
      </c>
      <c r="AB730">
        <f>IF($AH730="","",INDEX(Calc!$D$2:$D$1601,$AH730))</f>
        <v/>
      </c>
      <c r="AC730">
        <f>IF($AH730="","",INDEX(Calc!$G$2:$G$1601,$AH730))</f>
        <v/>
      </c>
      <c r="AD730">
        <f>IF($AG730="","",Config!$B$23)</f>
        <v/>
      </c>
      <c r="AE730">
        <f>IF($AG730="","",Config!$B$28)</f>
        <v/>
      </c>
      <c r="AG730">
        <f>IFERROR(MATCH(ROW()-1,Calc!$J$2:$J$1601,0),"")</f>
        <v/>
      </c>
      <c r="AH730">
        <f>IFERROR(MATCH(ROW()-1,Calc!$K$2:$K$1601,0),"")</f>
        <v/>
      </c>
      <c r="AI730">
        <f>IF($AG730="","",SUMIF($AG$2:$AG730,$AG730,$AH$2:$AH730))</f>
        <v/>
      </c>
      <c r="AJ730">
        <f>IF('TMP Paste'!$F730="","",IF('TMP Paste'!$B730="",$AJ729,'TMP Paste'!$B730))</f>
        <v/>
      </c>
      <c r="AK730">
        <f>IF('TMP Paste'!$F730="","",N('TMP Paste'!$G730))</f>
        <v/>
      </c>
      <c r="AL730">
        <f>IF('TMP Paste'!$F730="","",IF('TMP Paste'!$M730="",$AL729,'TMP Paste'!$M730))</f>
        <v/>
      </c>
      <c r="AM730">
        <f>IF('TMP Paste'!$F730="","",IF('TMP Paste'!$N730="",$AM729,'TMP Paste'!$N730))</f>
        <v/>
      </c>
      <c r="AN730">
        <f>IF('TMP Paste'!$F730="","",IF('TMP Paste'!$O730="",$AN729,'TMP Paste'!$O730))</f>
        <v/>
      </c>
      <c r="AO730">
        <f>IF('TMP Paste'!$F730="","",IF('TMP Paste'!$P730="",$AO729,'TMP Paste'!$P730))</f>
        <v/>
      </c>
      <c r="AP730">
        <f>IF($AG730="","",LEN($R730))</f>
        <v/>
      </c>
      <c r="AQ730">
        <f>IF($AG730="","",TRIM(IF(COUNTIFS(Calc!$B$2:$B$1601,ROW()-1,Calc!$C$2:$C$1601,"&lt;1")&gt;0,"Ada PO tanpa Koli - cek TMP. ","")&amp;IF(LEN($R730)&gt;500,"R &gt; 500 karakter.","")))</f>
        <v/>
      </c>
    </row>
    <row r="731">
      <c r="A731">
        <f>IF($AG731="","",INDEX('TMP Paste'!$B$2:$B$1601,$AG731))</f>
        <v/>
      </c>
      <c r="B731">
        <f>IF($AG731="","",Config!$B$14)</f>
        <v/>
      </c>
      <c r="C731">
        <f>IF($AG731="","",Config!$B$15)</f>
        <v/>
      </c>
      <c r="D731">
        <f>IF($AG731="","",INDEX('TMP Paste'!$B$2:$B$1601,$AG731))</f>
        <v/>
      </c>
      <c r="E731">
        <f>IF($AG731="","",Config!$B$27)</f>
        <v/>
      </c>
      <c r="F731">
        <f>IF($AG731="","",Config!$B$9)</f>
        <v/>
      </c>
      <c r="G731">
        <f>IF($AG731="","",Config!$B$10)</f>
        <v/>
      </c>
      <c r="H731">
        <f>IF($AG731="","",Config!$B$11)</f>
        <v/>
      </c>
      <c r="I731">
        <f>IF($AG731="","",Config!$B$16)</f>
        <v/>
      </c>
      <c r="J731">
        <f>IF($AG731="","",INDEX('TMP Paste'!$A$2:$A$1601,$AG731))</f>
        <v/>
      </c>
      <c r="K731">
        <f>IF($AG731="","",INDEX('TMP Paste'!$L$2:$L$1601,$AG731))</f>
        <v/>
      </c>
      <c r="L731">
        <f>IF($AG731="","",INDEX('TMP Paste'!$I$2:$I$1601,$AG731))</f>
        <v/>
      </c>
      <c r="M731">
        <f>IF($AG731="","",Config!$B$16)</f>
        <v/>
      </c>
      <c r="N731">
        <f>IF($AG731="","","")</f>
        <v/>
      </c>
      <c r="O731">
        <f>IF($AG731="","",INDEX('TMP Paste'!$K$2:$K$1601,$AG731))</f>
        <v/>
      </c>
      <c r="P731">
        <f>IF($AG731="","","")</f>
        <v/>
      </c>
      <c r="Q731">
        <f>IF($AG731="","",INDEX('TMP Paste'!$J$2:$J$1601,$AG731))</f>
        <v/>
      </c>
      <c r="R731">
        <f>IF($AG731="","",Config!$B$24)</f>
        <v/>
      </c>
      <c r="S731">
        <f>IF($AG731="","",TEXT(Config!$B$4,"yyyy-mm-dd"))</f>
        <v/>
      </c>
      <c r="T731">
        <f>IF($AG731="","",Config!$B$17)</f>
        <v/>
      </c>
      <c r="U731">
        <f>IF($AG731="","",Config!$B$18)</f>
        <v/>
      </c>
      <c r="V731">
        <f>IF($AG731="","",Config!$B$19)</f>
        <v/>
      </c>
      <c r="W731">
        <f>IF($AG731="","",INDEX('TMP Paste'!$C$2:$C$1601,$AG731))</f>
        <v/>
      </c>
      <c r="X731">
        <f>IF($AG731="","",Config!$B$29)</f>
        <v/>
      </c>
      <c r="Y731">
        <f>IF($AH731="","",INDEX(Calc!$I$2:$I$1601,$AH731)&amp;" - "&amp;INDEX(Calc!$D$2:$D$1601,$AH731)&amp;" koli")</f>
        <v/>
      </c>
      <c r="Z731">
        <f>IF($AG731="","",Config!$B$21)</f>
        <v/>
      </c>
      <c r="AA731">
        <f>IF($AG731="","",Config!$B$22)</f>
        <v/>
      </c>
      <c r="AB731">
        <f>IF($AH731="","",INDEX(Calc!$D$2:$D$1601,$AH731))</f>
        <v/>
      </c>
      <c r="AC731">
        <f>IF($AH731="","",INDEX(Calc!$G$2:$G$1601,$AH731))</f>
        <v/>
      </c>
      <c r="AD731">
        <f>IF($AG731="","",Config!$B$23)</f>
        <v/>
      </c>
      <c r="AE731">
        <f>IF($AG731="","",Config!$B$28)</f>
        <v/>
      </c>
      <c r="AG731">
        <f>IFERROR(MATCH(ROW()-1,Calc!$J$2:$J$1601,0),"")</f>
        <v/>
      </c>
      <c r="AH731">
        <f>IFERROR(MATCH(ROW()-1,Calc!$K$2:$K$1601,0),"")</f>
        <v/>
      </c>
      <c r="AI731">
        <f>IF($AG731="","",SUMIF($AG$2:$AG731,$AG731,$AH$2:$AH731))</f>
        <v/>
      </c>
      <c r="AJ731">
        <f>IF('TMP Paste'!$F731="","",IF('TMP Paste'!$B731="",$AJ730,'TMP Paste'!$B731))</f>
        <v/>
      </c>
      <c r="AK731">
        <f>IF('TMP Paste'!$F731="","",N('TMP Paste'!$G731))</f>
        <v/>
      </c>
      <c r="AL731">
        <f>IF('TMP Paste'!$F731="","",IF('TMP Paste'!$M731="",$AL730,'TMP Paste'!$M731))</f>
        <v/>
      </c>
      <c r="AM731">
        <f>IF('TMP Paste'!$F731="","",IF('TMP Paste'!$N731="",$AM730,'TMP Paste'!$N731))</f>
        <v/>
      </c>
      <c r="AN731">
        <f>IF('TMP Paste'!$F731="","",IF('TMP Paste'!$O731="",$AN730,'TMP Paste'!$O731))</f>
        <v/>
      </c>
      <c r="AO731">
        <f>IF('TMP Paste'!$F731="","",IF('TMP Paste'!$P731="",$AO730,'TMP Paste'!$P731))</f>
        <v/>
      </c>
      <c r="AP731">
        <f>IF($AG731="","",LEN($R731))</f>
        <v/>
      </c>
      <c r="AQ731">
        <f>IF($AG731="","",TRIM(IF(COUNTIFS(Calc!$B$2:$B$1601,ROW()-1,Calc!$C$2:$C$1601,"&lt;1")&gt;0,"Ada PO tanpa Koli - cek TMP. ","")&amp;IF(LEN($R731)&gt;500,"R &gt; 500 karakter.","")))</f>
        <v/>
      </c>
    </row>
    <row r="732">
      <c r="A732">
        <f>IF($AG732="","",INDEX('TMP Paste'!$B$2:$B$1601,$AG732))</f>
        <v/>
      </c>
      <c r="B732">
        <f>IF($AG732="","",Config!$B$14)</f>
        <v/>
      </c>
      <c r="C732">
        <f>IF($AG732="","",Config!$B$15)</f>
        <v/>
      </c>
      <c r="D732">
        <f>IF($AG732="","",INDEX('TMP Paste'!$B$2:$B$1601,$AG732))</f>
        <v/>
      </c>
      <c r="E732">
        <f>IF($AG732="","",Config!$B$27)</f>
        <v/>
      </c>
      <c r="F732">
        <f>IF($AG732="","",Config!$B$9)</f>
        <v/>
      </c>
      <c r="G732">
        <f>IF($AG732="","",Config!$B$10)</f>
        <v/>
      </c>
      <c r="H732">
        <f>IF($AG732="","",Config!$B$11)</f>
        <v/>
      </c>
      <c r="I732">
        <f>IF($AG732="","",Config!$B$16)</f>
        <v/>
      </c>
      <c r="J732">
        <f>IF($AG732="","",INDEX('TMP Paste'!$A$2:$A$1601,$AG732))</f>
        <v/>
      </c>
      <c r="K732">
        <f>IF($AG732="","",INDEX('TMP Paste'!$L$2:$L$1601,$AG732))</f>
        <v/>
      </c>
      <c r="L732">
        <f>IF($AG732="","",INDEX('TMP Paste'!$I$2:$I$1601,$AG732))</f>
        <v/>
      </c>
      <c r="M732">
        <f>IF($AG732="","",Config!$B$16)</f>
        <v/>
      </c>
      <c r="N732">
        <f>IF($AG732="","","")</f>
        <v/>
      </c>
      <c r="O732">
        <f>IF($AG732="","",INDEX('TMP Paste'!$K$2:$K$1601,$AG732))</f>
        <v/>
      </c>
      <c r="P732">
        <f>IF($AG732="","","")</f>
        <v/>
      </c>
      <c r="Q732">
        <f>IF($AG732="","",INDEX('TMP Paste'!$J$2:$J$1601,$AG732))</f>
        <v/>
      </c>
      <c r="R732">
        <f>IF($AG732="","",Config!$B$24)</f>
        <v/>
      </c>
      <c r="S732">
        <f>IF($AG732="","",TEXT(Config!$B$4,"yyyy-mm-dd"))</f>
        <v/>
      </c>
      <c r="T732">
        <f>IF($AG732="","",Config!$B$17)</f>
        <v/>
      </c>
      <c r="U732">
        <f>IF($AG732="","",Config!$B$18)</f>
        <v/>
      </c>
      <c r="V732">
        <f>IF($AG732="","",Config!$B$19)</f>
        <v/>
      </c>
      <c r="W732">
        <f>IF($AG732="","",INDEX('TMP Paste'!$C$2:$C$1601,$AG732))</f>
        <v/>
      </c>
      <c r="X732">
        <f>IF($AG732="","",Config!$B$29)</f>
        <v/>
      </c>
      <c r="Y732">
        <f>IF($AH732="","",INDEX(Calc!$I$2:$I$1601,$AH732)&amp;" - "&amp;INDEX(Calc!$D$2:$D$1601,$AH732)&amp;" koli")</f>
        <v/>
      </c>
      <c r="Z732">
        <f>IF($AG732="","",Config!$B$21)</f>
        <v/>
      </c>
      <c r="AA732">
        <f>IF($AG732="","",Config!$B$22)</f>
        <v/>
      </c>
      <c r="AB732">
        <f>IF($AH732="","",INDEX(Calc!$D$2:$D$1601,$AH732))</f>
        <v/>
      </c>
      <c r="AC732">
        <f>IF($AH732="","",INDEX(Calc!$G$2:$G$1601,$AH732))</f>
        <v/>
      </c>
      <c r="AD732">
        <f>IF($AG732="","",Config!$B$23)</f>
        <v/>
      </c>
      <c r="AE732">
        <f>IF($AG732="","",Config!$B$28)</f>
        <v/>
      </c>
      <c r="AG732">
        <f>IFERROR(MATCH(ROW()-1,Calc!$J$2:$J$1601,0),"")</f>
        <v/>
      </c>
      <c r="AH732">
        <f>IFERROR(MATCH(ROW()-1,Calc!$K$2:$K$1601,0),"")</f>
        <v/>
      </c>
      <c r="AI732">
        <f>IF($AG732="","",SUMIF($AG$2:$AG732,$AG732,$AH$2:$AH732))</f>
        <v/>
      </c>
      <c r="AJ732">
        <f>IF('TMP Paste'!$F732="","",IF('TMP Paste'!$B732="",$AJ731,'TMP Paste'!$B732))</f>
        <v/>
      </c>
      <c r="AK732">
        <f>IF('TMP Paste'!$F732="","",N('TMP Paste'!$G732))</f>
        <v/>
      </c>
      <c r="AL732">
        <f>IF('TMP Paste'!$F732="","",IF('TMP Paste'!$M732="",$AL731,'TMP Paste'!$M732))</f>
        <v/>
      </c>
      <c r="AM732">
        <f>IF('TMP Paste'!$F732="","",IF('TMP Paste'!$N732="",$AM731,'TMP Paste'!$N732))</f>
        <v/>
      </c>
      <c r="AN732">
        <f>IF('TMP Paste'!$F732="","",IF('TMP Paste'!$O732="",$AN731,'TMP Paste'!$O732))</f>
        <v/>
      </c>
      <c r="AO732">
        <f>IF('TMP Paste'!$F732="","",IF('TMP Paste'!$P732="",$AO731,'TMP Paste'!$P732))</f>
        <v/>
      </c>
      <c r="AP732">
        <f>IF($AG732="","",LEN($R732))</f>
        <v/>
      </c>
      <c r="AQ732">
        <f>IF($AG732="","",TRIM(IF(COUNTIFS(Calc!$B$2:$B$1601,ROW()-1,Calc!$C$2:$C$1601,"&lt;1")&gt;0,"Ada PO tanpa Koli - cek TMP. ","")&amp;IF(LEN($R732)&gt;500,"R &gt; 500 karakter.","")))</f>
        <v/>
      </c>
    </row>
    <row r="733">
      <c r="A733">
        <f>IF($AG733="","",INDEX('TMP Paste'!$B$2:$B$1601,$AG733))</f>
        <v/>
      </c>
      <c r="B733">
        <f>IF($AG733="","",Config!$B$14)</f>
        <v/>
      </c>
      <c r="C733">
        <f>IF($AG733="","",Config!$B$15)</f>
        <v/>
      </c>
      <c r="D733">
        <f>IF($AG733="","",INDEX('TMP Paste'!$B$2:$B$1601,$AG733))</f>
        <v/>
      </c>
      <c r="E733">
        <f>IF($AG733="","",Config!$B$27)</f>
        <v/>
      </c>
      <c r="F733">
        <f>IF($AG733="","",Config!$B$9)</f>
        <v/>
      </c>
      <c r="G733">
        <f>IF($AG733="","",Config!$B$10)</f>
        <v/>
      </c>
      <c r="H733">
        <f>IF($AG733="","",Config!$B$11)</f>
        <v/>
      </c>
      <c r="I733">
        <f>IF($AG733="","",Config!$B$16)</f>
        <v/>
      </c>
      <c r="J733">
        <f>IF($AG733="","",INDEX('TMP Paste'!$A$2:$A$1601,$AG733))</f>
        <v/>
      </c>
      <c r="K733">
        <f>IF($AG733="","",INDEX('TMP Paste'!$L$2:$L$1601,$AG733))</f>
        <v/>
      </c>
      <c r="L733">
        <f>IF($AG733="","",INDEX('TMP Paste'!$I$2:$I$1601,$AG733))</f>
        <v/>
      </c>
      <c r="M733">
        <f>IF($AG733="","",Config!$B$16)</f>
        <v/>
      </c>
      <c r="N733">
        <f>IF($AG733="","","")</f>
        <v/>
      </c>
      <c r="O733">
        <f>IF($AG733="","",INDEX('TMP Paste'!$K$2:$K$1601,$AG733))</f>
        <v/>
      </c>
      <c r="P733">
        <f>IF($AG733="","","")</f>
        <v/>
      </c>
      <c r="Q733">
        <f>IF($AG733="","",INDEX('TMP Paste'!$J$2:$J$1601,$AG733))</f>
        <v/>
      </c>
      <c r="R733">
        <f>IF($AG733="","",Config!$B$24)</f>
        <v/>
      </c>
      <c r="S733">
        <f>IF($AG733="","",TEXT(Config!$B$4,"yyyy-mm-dd"))</f>
        <v/>
      </c>
      <c r="T733">
        <f>IF($AG733="","",Config!$B$17)</f>
        <v/>
      </c>
      <c r="U733">
        <f>IF($AG733="","",Config!$B$18)</f>
        <v/>
      </c>
      <c r="V733">
        <f>IF($AG733="","",Config!$B$19)</f>
        <v/>
      </c>
      <c r="W733">
        <f>IF($AG733="","",INDEX('TMP Paste'!$C$2:$C$1601,$AG733))</f>
        <v/>
      </c>
      <c r="X733">
        <f>IF($AG733="","",Config!$B$29)</f>
        <v/>
      </c>
      <c r="Y733">
        <f>IF($AH733="","",INDEX(Calc!$I$2:$I$1601,$AH733)&amp;" - "&amp;INDEX(Calc!$D$2:$D$1601,$AH733)&amp;" koli")</f>
        <v/>
      </c>
      <c r="Z733">
        <f>IF($AG733="","",Config!$B$21)</f>
        <v/>
      </c>
      <c r="AA733">
        <f>IF($AG733="","",Config!$B$22)</f>
        <v/>
      </c>
      <c r="AB733">
        <f>IF($AH733="","",INDEX(Calc!$D$2:$D$1601,$AH733))</f>
        <v/>
      </c>
      <c r="AC733">
        <f>IF($AH733="","",INDEX(Calc!$G$2:$G$1601,$AH733))</f>
        <v/>
      </c>
      <c r="AD733">
        <f>IF($AG733="","",Config!$B$23)</f>
        <v/>
      </c>
      <c r="AE733">
        <f>IF($AG733="","",Config!$B$28)</f>
        <v/>
      </c>
      <c r="AG733">
        <f>IFERROR(MATCH(ROW()-1,Calc!$J$2:$J$1601,0),"")</f>
        <v/>
      </c>
      <c r="AH733">
        <f>IFERROR(MATCH(ROW()-1,Calc!$K$2:$K$1601,0),"")</f>
        <v/>
      </c>
      <c r="AI733">
        <f>IF($AG733="","",SUMIF($AG$2:$AG733,$AG733,$AH$2:$AH733))</f>
        <v/>
      </c>
      <c r="AJ733">
        <f>IF('TMP Paste'!$F733="","",IF('TMP Paste'!$B733="",$AJ732,'TMP Paste'!$B733))</f>
        <v/>
      </c>
      <c r="AK733">
        <f>IF('TMP Paste'!$F733="","",N('TMP Paste'!$G733))</f>
        <v/>
      </c>
      <c r="AL733">
        <f>IF('TMP Paste'!$F733="","",IF('TMP Paste'!$M733="",$AL732,'TMP Paste'!$M733))</f>
        <v/>
      </c>
      <c r="AM733">
        <f>IF('TMP Paste'!$F733="","",IF('TMP Paste'!$N733="",$AM732,'TMP Paste'!$N733))</f>
        <v/>
      </c>
      <c r="AN733">
        <f>IF('TMP Paste'!$F733="","",IF('TMP Paste'!$O733="",$AN732,'TMP Paste'!$O733))</f>
        <v/>
      </c>
      <c r="AO733">
        <f>IF('TMP Paste'!$F733="","",IF('TMP Paste'!$P733="",$AO732,'TMP Paste'!$P733))</f>
        <v/>
      </c>
      <c r="AP733">
        <f>IF($AG733="","",LEN($R733))</f>
        <v/>
      </c>
      <c r="AQ733">
        <f>IF($AG733="","",TRIM(IF(COUNTIFS(Calc!$B$2:$B$1601,ROW()-1,Calc!$C$2:$C$1601,"&lt;1")&gt;0,"Ada PO tanpa Koli - cek TMP. ","")&amp;IF(LEN($R733)&gt;500,"R &gt; 500 karakter.","")))</f>
        <v/>
      </c>
    </row>
    <row r="734">
      <c r="A734">
        <f>IF($AG734="","",INDEX('TMP Paste'!$B$2:$B$1601,$AG734))</f>
        <v/>
      </c>
      <c r="B734">
        <f>IF($AG734="","",Config!$B$14)</f>
        <v/>
      </c>
      <c r="C734">
        <f>IF($AG734="","",Config!$B$15)</f>
        <v/>
      </c>
      <c r="D734">
        <f>IF($AG734="","",INDEX('TMP Paste'!$B$2:$B$1601,$AG734))</f>
        <v/>
      </c>
      <c r="E734">
        <f>IF($AG734="","",Config!$B$27)</f>
        <v/>
      </c>
      <c r="F734">
        <f>IF($AG734="","",Config!$B$9)</f>
        <v/>
      </c>
      <c r="G734">
        <f>IF($AG734="","",Config!$B$10)</f>
        <v/>
      </c>
      <c r="H734">
        <f>IF($AG734="","",Config!$B$11)</f>
        <v/>
      </c>
      <c r="I734">
        <f>IF($AG734="","",Config!$B$16)</f>
        <v/>
      </c>
      <c r="J734">
        <f>IF($AG734="","",INDEX('TMP Paste'!$A$2:$A$1601,$AG734))</f>
        <v/>
      </c>
      <c r="K734">
        <f>IF($AG734="","",INDEX('TMP Paste'!$L$2:$L$1601,$AG734))</f>
        <v/>
      </c>
      <c r="L734">
        <f>IF($AG734="","",INDEX('TMP Paste'!$I$2:$I$1601,$AG734))</f>
        <v/>
      </c>
      <c r="M734">
        <f>IF($AG734="","",Config!$B$16)</f>
        <v/>
      </c>
      <c r="N734">
        <f>IF($AG734="","","")</f>
        <v/>
      </c>
      <c r="O734">
        <f>IF($AG734="","",INDEX('TMP Paste'!$K$2:$K$1601,$AG734))</f>
        <v/>
      </c>
      <c r="P734">
        <f>IF($AG734="","","")</f>
        <v/>
      </c>
      <c r="Q734">
        <f>IF($AG734="","",INDEX('TMP Paste'!$J$2:$J$1601,$AG734))</f>
        <v/>
      </c>
      <c r="R734">
        <f>IF($AG734="","",Config!$B$24)</f>
        <v/>
      </c>
      <c r="S734">
        <f>IF($AG734="","",TEXT(Config!$B$4,"yyyy-mm-dd"))</f>
        <v/>
      </c>
      <c r="T734">
        <f>IF($AG734="","",Config!$B$17)</f>
        <v/>
      </c>
      <c r="U734">
        <f>IF($AG734="","",Config!$B$18)</f>
        <v/>
      </c>
      <c r="V734">
        <f>IF($AG734="","",Config!$B$19)</f>
        <v/>
      </c>
      <c r="W734">
        <f>IF($AG734="","",INDEX('TMP Paste'!$C$2:$C$1601,$AG734))</f>
        <v/>
      </c>
      <c r="X734">
        <f>IF($AG734="","",Config!$B$29)</f>
        <v/>
      </c>
      <c r="Y734">
        <f>IF($AH734="","",INDEX(Calc!$I$2:$I$1601,$AH734)&amp;" - "&amp;INDEX(Calc!$D$2:$D$1601,$AH734)&amp;" koli")</f>
        <v/>
      </c>
      <c r="Z734">
        <f>IF($AG734="","",Config!$B$21)</f>
        <v/>
      </c>
      <c r="AA734">
        <f>IF($AG734="","",Config!$B$22)</f>
        <v/>
      </c>
      <c r="AB734">
        <f>IF($AH734="","",INDEX(Calc!$D$2:$D$1601,$AH734))</f>
        <v/>
      </c>
      <c r="AC734">
        <f>IF($AH734="","",INDEX(Calc!$G$2:$G$1601,$AH734))</f>
        <v/>
      </c>
      <c r="AD734">
        <f>IF($AG734="","",Config!$B$23)</f>
        <v/>
      </c>
      <c r="AE734">
        <f>IF($AG734="","",Config!$B$28)</f>
        <v/>
      </c>
      <c r="AG734">
        <f>IFERROR(MATCH(ROW()-1,Calc!$J$2:$J$1601,0),"")</f>
        <v/>
      </c>
      <c r="AH734">
        <f>IFERROR(MATCH(ROW()-1,Calc!$K$2:$K$1601,0),"")</f>
        <v/>
      </c>
      <c r="AI734">
        <f>IF($AG734="","",SUMIF($AG$2:$AG734,$AG734,$AH$2:$AH734))</f>
        <v/>
      </c>
      <c r="AJ734">
        <f>IF('TMP Paste'!$F734="","",IF('TMP Paste'!$B734="",$AJ733,'TMP Paste'!$B734))</f>
        <v/>
      </c>
      <c r="AK734">
        <f>IF('TMP Paste'!$F734="","",N('TMP Paste'!$G734))</f>
        <v/>
      </c>
      <c r="AL734">
        <f>IF('TMP Paste'!$F734="","",IF('TMP Paste'!$M734="",$AL733,'TMP Paste'!$M734))</f>
        <v/>
      </c>
      <c r="AM734">
        <f>IF('TMP Paste'!$F734="","",IF('TMP Paste'!$N734="",$AM733,'TMP Paste'!$N734))</f>
        <v/>
      </c>
      <c r="AN734">
        <f>IF('TMP Paste'!$F734="","",IF('TMP Paste'!$O734="",$AN733,'TMP Paste'!$O734))</f>
        <v/>
      </c>
      <c r="AO734">
        <f>IF('TMP Paste'!$F734="","",IF('TMP Paste'!$P734="",$AO733,'TMP Paste'!$P734))</f>
        <v/>
      </c>
      <c r="AP734">
        <f>IF($AG734="","",LEN($R734))</f>
        <v/>
      </c>
      <c r="AQ734">
        <f>IF($AG734="","",TRIM(IF(COUNTIFS(Calc!$B$2:$B$1601,ROW()-1,Calc!$C$2:$C$1601,"&lt;1")&gt;0,"Ada PO tanpa Koli - cek TMP. ","")&amp;IF(LEN($R734)&gt;500,"R &gt; 500 karakter.","")))</f>
        <v/>
      </c>
    </row>
    <row r="735">
      <c r="A735">
        <f>IF($AG735="","",INDEX('TMP Paste'!$B$2:$B$1601,$AG735))</f>
        <v/>
      </c>
      <c r="B735">
        <f>IF($AG735="","",Config!$B$14)</f>
        <v/>
      </c>
      <c r="C735">
        <f>IF($AG735="","",Config!$B$15)</f>
        <v/>
      </c>
      <c r="D735">
        <f>IF($AG735="","",INDEX('TMP Paste'!$B$2:$B$1601,$AG735))</f>
        <v/>
      </c>
      <c r="E735">
        <f>IF($AG735="","",Config!$B$27)</f>
        <v/>
      </c>
      <c r="F735">
        <f>IF($AG735="","",Config!$B$9)</f>
        <v/>
      </c>
      <c r="G735">
        <f>IF($AG735="","",Config!$B$10)</f>
        <v/>
      </c>
      <c r="H735">
        <f>IF($AG735="","",Config!$B$11)</f>
        <v/>
      </c>
      <c r="I735">
        <f>IF($AG735="","",Config!$B$16)</f>
        <v/>
      </c>
      <c r="J735">
        <f>IF($AG735="","",INDEX('TMP Paste'!$A$2:$A$1601,$AG735))</f>
        <v/>
      </c>
      <c r="K735">
        <f>IF($AG735="","",INDEX('TMP Paste'!$L$2:$L$1601,$AG735))</f>
        <v/>
      </c>
      <c r="L735">
        <f>IF($AG735="","",INDEX('TMP Paste'!$I$2:$I$1601,$AG735))</f>
        <v/>
      </c>
      <c r="M735">
        <f>IF($AG735="","",Config!$B$16)</f>
        <v/>
      </c>
      <c r="N735">
        <f>IF($AG735="","","")</f>
        <v/>
      </c>
      <c r="O735">
        <f>IF($AG735="","",INDEX('TMP Paste'!$K$2:$K$1601,$AG735))</f>
        <v/>
      </c>
      <c r="P735">
        <f>IF($AG735="","","")</f>
        <v/>
      </c>
      <c r="Q735">
        <f>IF($AG735="","",INDEX('TMP Paste'!$J$2:$J$1601,$AG735))</f>
        <v/>
      </c>
      <c r="R735">
        <f>IF($AG735="","",Config!$B$24)</f>
        <v/>
      </c>
      <c r="S735">
        <f>IF($AG735="","",TEXT(Config!$B$4,"yyyy-mm-dd"))</f>
        <v/>
      </c>
      <c r="T735">
        <f>IF($AG735="","",Config!$B$17)</f>
        <v/>
      </c>
      <c r="U735">
        <f>IF($AG735="","",Config!$B$18)</f>
        <v/>
      </c>
      <c r="V735">
        <f>IF($AG735="","",Config!$B$19)</f>
        <v/>
      </c>
      <c r="W735">
        <f>IF($AG735="","",INDEX('TMP Paste'!$C$2:$C$1601,$AG735))</f>
        <v/>
      </c>
      <c r="X735">
        <f>IF($AG735="","",Config!$B$29)</f>
        <v/>
      </c>
      <c r="Y735">
        <f>IF($AH735="","",INDEX(Calc!$I$2:$I$1601,$AH735)&amp;" - "&amp;INDEX(Calc!$D$2:$D$1601,$AH735)&amp;" koli")</f>
        <v/>
      </c>
      <c r="Z735">
        <f>IF($AG735="","",Config!$B$21)</f>
        <v/>
      </c>
      <c r="AA735">
        <f>IF($AG735="","",Config!$B$22)</f>
        <v/>
      </c>
      <c r="AB735">
        <f>IF($AH735="","",INDEX(Calc!$D$2:$D$1601,$AH735))</f>
        <v/>
      </c>
      <c r="AC735">
        <f>IF($AH735="","",INDEX(Calc!$G$2:$G$1601,$AH735))</f>
        <v/>
      </c>
      <c r="AD735">
        <f>IF($AG735="","",Config!$B$23)</f>
        <v/>
      </c>
      <c r="AE735">
        <f>IF($AG735="","",Config!$B$28)</f>
        <v/>
      </c>
      <c r="AG735">
        <f>IFERROR(MATCH(ROW()-1,Calc!$J$2:$J$1601,0),"")</f>
        <v/>
      </c>
      <c r="AH735">
        <f>IFERROR(MATCH(ROW()-1,Calc!$K$2:$K$1601,0),"")</f>
        <v/>
      </c>
      <c r="AI735">
        <f>IF($AG735="","",SUMIF($AG$2:$AG735,$AG735,$AH$2:$AH735))</f>
        <v/>
      </c>
      <c r="AJ735">
        <f>IF('TMP Paste'!$F735="","",IF('TMP Paste'!$B735="",$AJ734,'TMP Paste'!$B735))</f>
        <v/>
      </c>
      <c r="AK735">
        <f>IF('TMP Paste'!$F735="","",N('TMP Paste'!$G735))</f>
        <v/>
      </c>
      <c r="AL735">
        <f>IF('TMP Paste'!$F735="","",IF('TMP Paste'!$M735="",$AL734,'TMP Paste'!$M735))</f>
        <v/>
      </c>
      <c r="AM735">
        <f>IF('TMP Paste'!$F735="","",IF('TMP Paste'!$N735="",$AM734,'TMP Paste'!$N735))</f>
        <v/>
      </c>
      <c r="AN735">
        <f>IF('TMP Paste'!$F735="","",IF('TMP Paste'!$O735="",$AN734,'TMP Paste'!$O735))</f>
        <v/>
      </c>
      <c r="AO735">
        <f>IF('TMP Paste'!$F735="","",IF('TMP Paste'!$P735="",$AO734,'TMP Paste'!$P735))</f>
        <v/>
      </c>
      <c r="AP735">
        <f>IF($AG735="","",LEN($R735))</f>
        <v/>
      </c>
      <c r="AQ735">
        <f>IF($AG735="","",TRIM(IF(COUNTIFS(Calc!$B$2:$B$1601,ROW()-1,Calc!$C$2:$C$1601,"&lt;1")&gt;0,"Ada PO tanpa Koli - cek TMP. ","")&amp;IF(LEN($R735)&gt;500,"R &gt; 500 karakter.","")))</f>
        <v/>
      </c>
    </row>
    <row r="736">
      <c r="A736">
        <f>IF($AG736="","",INDEX('TMP Paste'!$B$2:$B$1601,$AG736))</f>
        <v/>
      </c>
      <c r="B736">
        <f>IF($AG736="","",Config!$B$14)</f>
        <v/>
      </c>
      <c r="C736">
        <f>IF($AG736="","",Config!$B$15)</f>
        <v/>
      </c>
      <c r="D736">
        <f>IF($AG736="","",INDEX('TMP Paste'!$B$2:$B$1601,$AG736))</f>
        <v/>
      </c>
      <c r="E736">
        <f>IF($AG736="","",Config!$B$27)</f>
        <v/>
      </c>
      <c r="F736">
        <f>IF($AG736="","",Config!$B$9)</f>
        <v/>
      </c>
      <c r="G736">
        <f>IF($AG736="","",Config!$B$10)</f>
        <v/>
      </c>
      <c r="H736">
        <f>IF($AG736="","",Config!$B$11)</f>
        <v/>
      </c>
      <c r="I736">
        <f>IF($AG736="","",Config!$B$16)</f>
        <v/>
      </c>
      <c r="J736">
        <f>IF($AG736="","",INDEX('TMP Paste'!$A$2:$A$1601,$AG736))</f>
        <v/>
      </c>
      <c r="K736">
        <f>IF($AG736="","",INDEX('TMP Paste'!$L$2:$L$1601,$AG736))</f>
        <v/>
      </c>
      <c r="L736">
        <f>IF($AG736="","",INDEX('TMP Paste'!$I$2:$I$1601,$AG736))</f>
        <v/>
      </c>
      <c r="M736">
        <f>IF($AG736="","",Config!$B$16)</f>
        <v/>
      </c>
      <c r="N736">
        <f>IF($AG736="","","")</f>
        <v/>
      </c>
      <c r="O736">
        <f>IF($AG736="","",INDEX('TMP Paste'!$K$2:$K$1601,$AG736))</f>
        <v/>
      </c>
      <c r="P736">
        <f>IF($AG736="","","")</f>
        <v/>
      </c>
      <c r="Q736">
        <f>IF($AG736="","",INDEX('TMP Paste'!$J$2:$J$1601,$AG736))</f>
        <v/>
      </c>
      <c r="R736">
        <f>IF($AG736="","",Config!$B$24)</f>
        <v/>
      </c>
      <c r="S736">
        <f>IF($AG736="","",TEXT(Config!$B$4,"yyyy-mm-dd"))</f>
        <v/>
      </c>
      <c r="T736">
        <f>IF($AG736="","",Config!$B$17)</f>
        <v/>
      </c>
      <c r="U736">
        <f>IF($AG736="","",Config!$B$18)</f>
        <v/>
      </c>
      <c r="V736">
        <f>IF($AG736="","",Config!$B$19)</f>
        <v/>
      </c>
      <c r="W736">
        <f>IF($AG736="","",INDEX('TMP Paste'!$C$2:$C$1601,$AG736))</f>
        <v/>
      </c>
      <c r="X736">
        <f>IF($AG736="","",Config!$B$29)</f>
        <v/>
      </c>
      <c r="Y736">
        <f>IF($AH736="","",INDEX(Calc!$I$2:$I$1601,$AH736)&amp;" - "&amp;INDEX(Calc!$D$2:$D$1601,$AH736)&amp;" koli")</f>
        <v/>
      </c>
      <c r="Z736">
        <f>IF($AG736="","",Config!$B$21)</f>
        <v/>
      </c>
      <c r="AA736">
        <f>IF($AG736="","",Config!$B$22)</f>
        <v/>
      </c>
      <c r="AB736">
        <f>IF($AH736="","",INDEX(Calc!$D$2:$D$1601,$AH736))</f>
        <v/>
      </c>
      <c r="AC736">
        <f>IF($AH736="","",INDEX(Calc!$G$2:$G$1601,$AH736))</f>
        <v/>
      </c>
      <c r="AD736">
        <f>IF($AG736="","",Config!$B$23)</f>
        <v/>
      </c>
      <c r="AE736">
        <f>IF($AG736="","",Config!$B$28)</f>
        <v/>
      </c>
      <c r="AG736">
        <f>IFERROR(MATCH(ROW()-1,Calc!$J$2:$J$1601,0),"")</f>
        <v/>
      </c>
      <c r="AH736">
        <f>IFERROR(MATCH(ROW()-1,Calc!$K$2:$K$1601,0),"")</f>
        <v/>
      </c>
      <c r="AI736">
        <f>IF($AG736="","",SUMIF($AG$2:$AG736,$AG736,$AH$2:$AH736))</f>
        <v/>
      </c>
      <c r="AJ736">
        <f>IF('TMP Paste'!$F736="","",IF('TMP Paste'!$B736="",$AJ735,'TMP Paste'!$B736))</f>
        <v/>
      </c>
      <c r="AK736">
        <f>IF('TMP Paste'!$F736="","",N('TMP Paste'!$G736))</f>
        <v/>
      </c>
      <c r="AL736">
        <f>IF('TMP Paste'!$F736="","",IF('TMP Paste'!$M736="",$AL735,'TMP Paste'!$M736))</f>
        <v/>
      </c>
      <c r="AM736">
        <f>IF('TMP Paste'!$F736="","",IF('TMP Paste'!$N736="",$AM735,'TMP Paste'!$N736))</f>
        <v/>
      </c>
      <c r="AN736">
        <f>IF('TMP Paste'!$F736="","",IF('TMP Paste'!$O736="",$AN735,'TMP Paste'!$O736))</f>
        <v/>
      </c>
      <c r="AO736">
        <f>IF('TMP Paste'!$F736="","",IF('TMP Paste'!$P736="",$AO735,'TMP Paste'!$P736))</f>
        <v/>
      </c>
      <c r="AP736">
        <f>IF($AG736="","",LEN($R736))</f>
        <v/>
      </c>
      <c r="AQ736">
        <f>IF($AG736="","",TRIM(IF(COUNTIFS(Calc!$B$2:$B$1601,ROW()-1,Calc!$C$2:$C$1601,"&lt;1")&gt;0,"Ada PO tanpa Koli - cek TMP. ","")&amp;IF(LEN($R736)&gt;500,"R &gt; 500 karakter.","")))</f>
        <v/>
      </c>
    </row>
    <row r="737">
      <c r="A737">
        <f>IF($AG737="","",INDEX('TMP Paste'!$B$2:$B$1601,$AG737))</f>
        <v/>
      </c>
      <c r="B737">
        <f>IF($AG737="","",Config!$B$14)</f>
        <v/>
      </c>
      <c r="C737">
        <f>IF($AG737="","",Config!$B$15)</f>
        <v/>
      </c>
      <c r="D737">
        <f>IF($AG737="","",INDEX('TMP Paste'!$B$2:$B$1601,$AG737))</f>
        <v/>
      </c>
      <c r="E737">
        <f>IF($AG737="","",Config!$B$27)</f>
        <v/>
      </c>
      <c r="F737">
        <f>IF($AG737="","",Config!$B$9)</f>
        <v/>
      </c>
      <c r="G737">
        <f>IF($AG737="","",Config!$B$10)</f>
        <v/>
      </c>
      <c r="H737">
        <f>IF($AG737="","",Config!$B$11)</f>
        <v/>
      </c>
      <c r="I737">
        <f>IF($AG737="","",Config!$B$16)</f>
        <v/>
      </c>
      <c r="J737">
        <f>IF($AG737="","",INDEX('TMP Paste'!$A$2:$A$1601,$AG737))</f>
        <v/>
      </c>
      <c r="K737">
        <f>IF($AG737="","",INDEX('TMP Paste'!$L$2:$L$1601,$AG737))</f>
        <v/>
      </c>
      <c r="L737">
        <f>IF($AG737="","",INDEX('TMP Paste'!$I$2:$I$1601,$AG737))</f>
        <v/>
      </c>
      <c r="M737">
        <f>IF($AG737="","",Config!$B$16)</f>
        <v/>
      </c>
      <c r="N737">
        <f>IF($AG737="","","")</f>
        <v/>
      </c>
      <c r="O737">
        <f>IF($AG737="","",INDEX('TMP Paste'!$K$2:$K$1601,$AG737))</f>
        <v/>
      </c>
      <c r="P737">
        <f>IF($AG737="","","")</f>
        <v/>
      </c>
      <c r="Q737">
        <f>IF($AG737="","",INDEX('TMP Paste'!$J$2:$J$1601,$AG737))</f>
        <v/>
      </c>
      <c r="R737">
        <f>IF($AG737="","",Config!$B$24)</f>
        <v/>
      </c>
      <c r="S737">
        <f>IF($AG737="","",TEXT(Config!$B$4,"yyyy-mm-dd"))</f>
        <v/>
      </c>
      <c r="T737">
        <f>IF($AG737="","",Config!$B$17)</f>
        <v/>
      </c>
      <c r="U737">
        <f>IF($AG737="","",Config!$B$18)</f>
        <v/>
      </c>
      <c r="V737">
        <f>IF($AG737="","",Config!$B$19)</f>
        <v/>
      </c>
      <c r="W737">
        <f>IF($AG737="","",INDEX('TMP Paste'!$C$2:$C$1601,$AG737))</f>
        <v/>
      </c>
      <c r="X737">
        <f>IF($AG737="","",Config!$B$29)</f>
        <v/>
      </c>
      <c r="Y737">
        <f>IF($AH737="","",INDEX(Calc!$I$2:$I$1601,$AH737)&amp;" - "&amp;INDEX(Calc!$D$2:$D$1601,$AH737)&amp;" koli")</f>
        <v/>
      </c>
      <c r="Z737">
        <f>IF($AG737="","",Config!$B$21)</f>
        <v/>
      </c>
      <c r="AA737">
        <f>IF($AG737="","",Config!$B$22)</f>
        <v/>
      </c>
      <c r="AB737">
        <f>IF($AH737="","",INDEX(Calc!$D$2:$D$1601,$AH737))</f>
        <v/>
      </c>
      <c r="AC737">
        <f>IF($AH737="","",INDEX(Calc!$G$2:$G$1601,$AH737))</f>
        <v/>
      </c>
      <c r="AD737">
        <f>IF($AG737="","",Config!$B$23)</f>
        <v/>
      </c>
      <c r="AE737">
        <f>IF($AG737="","",Config!$B$28)</f>
        <v/>
      </c>
      <c r="AG737">
        <f>IFERROR(MATCH(ROW()-1,Calc!$J$2:$J$1601,0),"")</f>
        <v/>
      </c>
      <c r="AH737">
        <f>IFERROR(MATCH(ROW()-1,Calc!$K$2:$K$1601,0),"")</f>
        <v/>
      </c>
      <c r="AI737">
        <f>IF($AG737="","",SUMIF($AG$2:$AG737,$AG737,$AH$2:$AH737))</f>
        <v/>
      </c>
      <c r="AJ737">
        <f>IF('TMP Paste'!$F737="","",IF('TMP Paste'!$B737="",$AJ736,'TMP Paste'!$B737))</f>
        <v/>
      </c>
      <c r="AK737">
        <f>IF('TMP Paste'!$F737="","",N('TMP Paste'!$G737))</f>
        <v/>
      </c>
      <c r="AL737">
        <f>IF('TMP Paste'!$F737="","",IF('TMP Paste'!$M737="",$AL736,'TMP Paste'!$M737))</f>
        <v/>
      </c>
      <c r="AM737">
        <f>IF('TMP Paste'!$F737="","",IF('TMP Paste'!$N737="",$AM736,'TMP Paste'!$N737))</f>
        <v/>
      </c>
      <c r="AN737">
        <f>IF('TMP Paste'!$F737="","",IF('TMP Paste'!$O737="",$AN736,'TMP Paste'!$O737))</f>
        <v/>
      </c>
      <c r="AO737">
        <f>IF('TMP Paste'!$F737="","",IF('TMP Paste'!$P737="",$AO736,'TMP Paste'!$P737))</f>
        <v/>
      </c>
      <c r="AP737">
        <f>IF($AG737="","",LEN($R737))</f>
        <v/>
      </c>
      <c r="AQ737">
        <f>IF($AG737="","",TRIM(IF(COUNTIFS(Calc!$B$2:$B$1601,ROW()-1,Calc!$C$2:$C$1601,"&lt;1")&gt;0,"Ada PO tanpa Koli - cek TMP. ","")&amp;IF(LEN($R737)&gt;500,"R &gt; 500 karakter.","")))</f>
        <v/>
      </c>
    </row>
    <row r="738">
      <c r="A738">
        <f>IF($AG738="","",INDEX('TMP Paste'!$B$2:$B$1601,$AG738))</f>
        <v/>
      </c>
      <c r="B738">
        <f>IF($AG738="","",Config!$B$14)</f>
        <v/>
      </c>
      <c r="C738">
        <f>IF($AG738="","",Config!$B$15)</f>
        <v/>
      </c>
      <c r="D738">
        <f>IF($AG738="","",INDEX('TMP Paste'!$B$2:$B$1601,$AG738))</f>
        <v/>
      </c>
      <c r="E738">
        <f>IF($AG738="","",Config!$B$27)</f>
        <v/>
      </c>
      <c r="F738">
        <f>IF($AG738="","",Config!$B$9)</f>
        <v/>
      </c>
      <c r="G738">
        <f>IF($AG738="","",Config!$B$10)</f>
        <v/>
      </c>
      <c r="H738">
        <f>IF($AG738="","",Config!$B$11)</f>
        <v/>
      </c>
      <c r="I738">
        <f>IF($AG738="","",Config!$B$16)</f>
        <v/>
      </c>
      <c r="J738">
        <f>IF($AG738="","",INDEX('TMP Paste'!$A$2:$A$1601,$AG738))</f>
        <v/>
      </c>
      <c r="K738">
        <f>IF($AG738="","",INDEX('TMP Paste'!$L$2:$L$1601,$AG738))</f>
        <v/>
      </c>
      <c r="L738">
        <f>IF($AG738="","",INDEX('TMP Paste'!$I$2:$I$1601,$AG738))</f>
        <v/>
      </c>
      <c r="M738">
        <f>IF($AG738="","",Config!$B$16)</f>
        <v/>
      </c>
      <c r="N738">
        <f>IF($AG738="","","")</f>
        <v/>
      </c>
      <c r="O738">
        <f>IF($AG738="","",INDEX('TMP Paste'!$K$2:$K$1601,$AG738))</f>
        <v/>
      </c>
      <c r="P738">
        <f>IF($AG738="","","")</f>
        <v/>
      </c>
      <c r="Q738">
        <f>IF($AG738="","",INDEX('TMP Paste'!$J$2:$J$1601,$AG738))</f>
        <v/>
      </c>
      <c r="R738">
        <f>IF($AG738="","",Config!$B$24)</f>
        <v/>
      </c>
      <c r="S738">
        <f>IF($AG738="","",TEXT(Config!$B$4,"yyyy-mm-dd"))</f>
        <v/>
      </c>
      <c r="T738">
        <f>IF($AG738="","",Config!$B$17)</f>
        <v/>
      </c>
      <c r="U738">
        <f>IF($AG738="","",Config!$B$18)</f>
        <v/>
      </c>
      <c r="V738">
        <f>IF($AG738="","",Config!$B$19)</f>
        <v/>
      </c>
      <c r="W738">
        <f>IF($AG738="","",INDEX('TMP Paste'!$C$2:$C$1601,$AG738))</f>
        <v/>
      </c>
      <c r="X738">
        <f>IF($AG738="","",Config!$B$29)</f>
        <v/>
      </c>
      <c r="Y738">
        <f>IF($AH738="","",INDEX(Calc!$I$2:$I$1601,$AH738)&amp;" - "&amp;INDEX(Calc!$D$2:$D$1601,$AH738)&amp;" koli")</f>
        <v/>
      </c>
      <c r="Z738">
        <f>IF($AG738="","",Config!$B$21)</f>
        <v/>
      </c>
      <c r="AA738">
        <f>IF($AG738="","",Config!$B$22)</f>
        <v/>
      </c>
      <c r="AB738">
        <f>IF($AH738="","",INDEX(Calc!$D$2:$D$1601,$AH738))</f>
        <v/>
      </c>
      <c r="AC738">
        <f>IF($AH738="","",INDEX(Calc!$G$2:$G$1601,$AH738))</f>
        <v/>
      </c>
      <c r="AD738">
        <f>IF($AG738="","",Config!$B$23)</f>
        <v/>
      </c>
      <c r="AE738">
        <f>IF($AG738="","",Config!$B$28)</f>
        <v/>
      </c>
      <c r="AG738">
        <f>IFERROR(MATCH(ROW()-1,Calc!$J$2:$J$1601,0),"")</f>
        <v/>
      </c>
      <c r="AH738">
        <f>IFERROR(MATCH(ROW()-1,Calc!$K$2:$K$1601,0),"")</f>
        <v/>
      </c>
      <c r="AI738">
        <f>IF($AG738="","",SUMIF($AG$2:$AG738,$AG738,$AH$2:$AH738))</f>
        <v/>
      </c>
      <c r="AJ738">
        <f>IF('TMP Paste'!$F738="","",IF('TMP Paste'!$B738="",$AJ737,'TMP Paste'!$B738))</f>
        <v/>
      </c>
      <c r="AK738">
        <f>IF('TMP Paste'!$F738="","",N('TMP Paste'!$G738))</f>
        <v/>
      </c>
      <c r="AL738">
        <f>IF('TMP Paste'!$F738="","",IF('TMP Paste'!$M738="",$AL737,'TMP Paste'!$M738))</f>
        <v/>
      </c>
      <c r="AM738">
        <f>IF('TMP Paste'!$F738="","",IF('TMP Paste'!$N738="",$AM737,'TMP Paste'!$N738))</f>
        <v/>
      </c>
      <c r="AN738">
        <f>IF('TMP Paste'!$F738="","",IF('TMP Paste'!$O738="",$AN737,'TMP Paste'!$O738))</f>
        <v/>
      </c>
      <c r="AO738">
        <f>IF('TMP Paste'!$F738="","",IF('TMP Paste'!$P738="",$AO737,'TMP Paste'!$P738))</f>
        <v/>
      </c>
      <c r="AP738">
        <f>IF($AG738="","",LEN($R738))</f>
        <v/>
      </c>
      <c r="AQ738">
        <f>IF($AG738="","",TRIM(IF(COUNTIFS(Calc!$B$2:$B$1601,ROW()-1,Calc!$C$2:$C$1601,"&lt;1")&gt;0,"Ada PO tanpa Koli - cek TMP. ","")&amp;IF(LEN($R738)&gt;500,"R &gt; 500 karakter.","")))</f>
        <v/>
      </c>
    </row>
    <row r="739">
      <c r="A739">
        <f>IF($AG739="","",INDEX('TMP Paste'!$B$2:$B$1601,$AG739))</f>
        <v/>
      </c>
      <c r="B739">
        <f>IF($AG739="","",Config!$B$14)</f>
        <v/>
      </c>
      <c r="C739">
        <f>IF($AG739="","",Config!$B$15)</f>
        <v/>
      </c>
      <c r="D739">
        <f>IF($AG739="","",INDEX('TMP Paste'!$B$2:$B$1601,$AG739))</f>
        <v/>
      </c>
      <c r="E739">
        <f>IF($AG739="","",Config!$B$27)</f>
        <v/>
      </c>
      <c r="F739">
        <f>IF($AG739="","",Config!$B$9)</f>
        <v/>
      </c>
      <c r="G739">
        <f>IF($AG739="","",Config!$B$10)</f>
        <v/>
      </c>
      <c r="H739">
        <f>IF($AG739="","",Config!$B$11)</f>
        <v/>
      </c>
      <c r="I739">
        <f>IF($AG739="","",Config!$B$16)</f>
        <v/>
      </c>
      <c r="J739">
        <f>IF($AG739="","",INDEX('TMP Paste'!$A$2:$A$1601,$AG739))</f>
        <v/>
      </c>
      <c r="K739">
        <f>IF($AG739="","",INDEX('TMP Paste'!$L$2:$L$1601,$AG739))</f>
        <v/>
      </c>
      <c r="L739">
        <f>IF($AG739="","",INDEX('TMP Paste'!$I$2:$I$1601,$AG739))</f>
        <v/>
      </c>
      <c r="M739">
        <f>IF($AG739="","",Config!$B$16)</f>
        <v/>
      </c>
      <c r="N739">
        <f>IF($AG739="","","")</f>
        <v/>
      </c>
      <c r="O739">
        <f>IF($AG739="","",INDEX('TMP Paste'!$K$2:$K$1601,$AG739))</f>
        <v/>
      </c>
      <c r="P739">
        <f>IF($AG739="","","")</f>
        <v/>
      </c>
      <c r="Q739">
        <f>IF($AG739="","",INDEX('TMP Paste'!$J$2:$J$1601,$AG739))</f>
        <v/>
      </c>
      <c r="R739">
        <f>IF($AG739="","",Config!$B$24)</f>
        <v/>
      </c>
      <c r="S739">
        <f>IF($AG739="","",TEXT(Config!$B$4,"yyyy-mm-dd"))</f>
        <v/>
      </c>
      <c r="T739">
        <f>IF($AG739="","",Config!$B$17)</f>
        <v/>
      </c>
      <c r="U739">
        <f>IF($AG739="","",Config!$B$18)</f>
        <v/>
      </c>
      <c r="V739">
        <f>IF($AG739="","",Config!$B$19)</f>
        <v/>
      </c>
      <c r="W739">
        <f>IF($AG739="","",INDEX('TMP Paste'!$C$2:$C$1601,$AG739))</f>
        <v/>
      </c>
      <c r="X739">
        <f>IF($AG739="","",Config!$B$29)</f>
        <v/>
      </c>
      <c r="Y739">
        <f>IF($AH739="","",INDEX(Calc!$I$2:$I$1601,$AH739)&amp;" - "&amp;INDEX(Calc!$D$2:$D$1601,$AH739)&amp;" koli")</f>
        <v/>
      </c>
      <c r="Z739">
        <f>IF($AG739="","",Config!$B$21)</f>
        <v/>
      </c>
      <c r="AA739">
        <f>IF($AG739="","",Config!$B$22)</f>
        <v/>
      </c>
      <c r="AB739">
        <f>IF($AH739="","",INDEX(Calc!$D$2:$D$1601,$AH739))</f>
        <v/>
      </c>
      <c r="AC739">
        <f>IF($AH739="","",INDEX(Calc!$G$2:$G$1601,$AH739))</f>
        <v/>
      </c>
      <c r="AD739">
        <f>IF($AG739="","",Config!$B$23)</f>
        <v/>
      </c>
      <c r="AE739">
        <f>IF($AG739="","",Config!$B$28)</f>
        <v/>
      </c>
      <c r="AG739">
        <f>IFERROR(MATCH(ROW()-1,Calc!$J$2:$J$1601,0),"")</f>
        <v/>
      </c>
      <c r="AH739">
        <f>IFERROR(MATCH(ROW()-1,Calc!$K$2:$K$1601,0),"")</f>
        <v/>
      </c>
      <c r="AI739">
        <f>IF($AG739="","",SUMIF($AG$2:$AG739,$AG739,$AH$2:$AH739))</f>
        <v/>
      </c>
      <c r="AJ739">
        <f>IF('TMP Paste'!$F739="","",IF('TMP Paste'!$B739="",$AJ738,'TMP Paste'!$B739))</f>
        <v/>
      </c>
      <c r="AK739">
        <f>IF('TMP Paste'!$F739="","",N('TMP Paste'!$G739))</f>
        <v/>
      </c>
      <c r="AL739">
        <f>IF('TMP Paste'!$F739="","",IF('TMP Paste'!$M739="",$AL738,'TMP Paste'!$M739))</f>
        <v/>
      </c>
      <c r="AM739">
        <f>IF('TMP Paste'!$F739="","",IF('TMP Paste'!$N739="",$AM738,'TMP Paste'!$N739))</f>
        <v/>
      </c>
      <c r="AN739">
        <f>IF('TMP Paste'!$F739="","",IF('TMP Paste'!$O739="",$AN738,'TMP Paste'!$O739))</f>
        <v/>
      </c>
      <c r="AO739">
        <f>IF('TMP Paste'!$F739="","",IF('TMP Paste'!$P739="",$AO738,'TMP Paste'!$P739))</f>
        <v/>
      </c>
      <c r="AP739">
        <f>IF($AG739="","",LEN($R739))</f>
        <v/>
      </c>
      <c r="AQ739">
        <f>IF($AG739="","",TRIM(IF(COUNTIFS(Calc!$B$2:$B$1601,ROW()-1,Calc!$C$2:$C$1601,"&lt;1")&gt;0,"Ada PO tanpa Koli - cek TMP. ","")&amp;IF(LEN($R739)&gt;500,"R &gt; 500 karakter.","")))</f>
        <v/>
      </c>
    </row>
    <row r="740">
      <c r="A740">
        <f>IF($AG740="","",INDEX('TMP Paste'!$B$2:$B$1601,$AG740))</f>
        <v/>
      </c>
      <c r="B740">
        <f>IF($AG740="","",Config!$B$14)</f>
        <v/>
      </c>
      <c r="C740">
        <f>IF($AG740="","",Config!$B$15)</f>
        <v/>
      </c>
      <c r="D740">
        <f>IF($AG740="","",INDEX('TMP Paste'!$B$2:$B$1601,$AG740))</f>
        <v/>
      </c>
      <c r="E740">
        <f>IF($AG740="","",Config!$B$27)</f>
        <v/>
      </c>
      <c r="F740">
        <f>IF($AG740="","",Config!$B$9)</f>
        <v/>
      </c>
      <c r="G740">
        <f>IF($AG740="","",Config!$B$10)</f>
        <v/>
      </c>
      <c r="H740">
        <f>IF($AG740="","",Config!$B$11)</f>
        <v/>
      </c>
      <c r="I740">
        <f>IF($AG740="","",Config!$B$16)</f>
        <v/>
      </c>
      <c r="J740">
        <f>IF($AG740="","",INDEX('TMP Paste'!$A$2:$A$1601,$AG740))</f>
        <v/>
      </c>
      <c r="K740">
        <f>IF($AG740="","",INDEX('TMP Paste'!$L$2:$L$1601,$AG740))</f>
        <v/>
      </c>
      <c r="L740">
        <f>IF($AG740="","",INDEX('TMP Paste'!$I$2:$I$1601,$AG740))</f>
        <v/>
      </c>
      <c r="M740">
        <f>IF($AG740="","",Config!$B$16)</f>
        <v/>
      </c>
      <c r="N740">
        <f>IF($AG740="","","")</f>
        <v/>
      </c>
      <c r="O740">
        <f>IF($AG740="","",INDEX('TMP Paste'!$K$2:$K$1601,$AG740))</f>
        <v/>
      </c>
      <c r="P740">
        <f>IF($AG740="","","")</f>
        <v/>
      </c>
      <c r="Q740">
        <f>IF($AG740="","",INDEX('TMP Paste'!$J$2:$J$1601,$AG740))</f>
        <v/>
      </c>
      <c r="R740">
        <f>IF($AG740="","",Config!$B$24)</f>
        <v/>
      </c>
      <c r="S740">
        <f>IF($AG740="","",TEXT(Config!$B$4,"yyyy-mm-dd"))</f>
        <v/>
      </c>
      <c r="T740">
        <f>IF($AG740="","",Config!$B$17)</f>
        <v/>
      </c>
      <c r="U740">
        <f>IF($AG740="","",Config!$B$18)</f>
        <v/>
      </c>
      <c r="V740">
        <f>IF($AG740="","",Config!$B$19)</f>
        <v/>
      </c>
      <c r="W740">
        <f>IF($AG740="","",INDEX('TMP Paste'!$C$2:$C$1601,$AG740))</f>
        <v/>
      </c>
      <c r="X740">
        <f>IF($AG740="","",Config!$B$29)</f>
        <v/>
      </c>
      <c r="Y740">
        <f>IF($AH740="","",INDEX(Calc!$I$2:$I$1601,$AH740)&amp;" - "&amp;INDEX(Calc!$D$2:$D$1601,$AH740)&amp;" koli")</f>
        <v/>
      </c>
      <c r="Z740">
        <f>IF($AG740="","",Config!$B$21)</f>
        <v/>
      </c>
      <c r="AA740">
        <f>IF($AG740="","",Config!$B$22)</f>
        <v/>
      </c>
      <c r="AB740">
        <f>IF($AH740="","",INDEX(Calc!$D$2:$D$1601,$AH740))</f>
        <v/>
      </c>
      <c r="AC740">
        <f>IF($AH740="","",INDEX(Calc!$G$2:$G$1601,$AH740))</f>
        <v/>
      </c>
      <c r="AD740">
        <f>IF($AG740="","",Config!$B$23)</f>
        <v/>
      </c>
      <c r="AE740">
        <f>IF($AG740="","",Config!$B$28)</f>
        <v/>
      </c>
      <c r="AG740">
        <f>IFERROR(MATCH(ROW()-1,Calc!$J$2:$J$1601,0),"")</f>
        <v/>
      </c>
      <c r="AH740">
        <f>IFERROR(MATCH(ROW()-1,Calc!$K$2:$K$1601,0),"")</f>
        <v/>
      </c>
      <c r="AI740">
        <f>IF($AG740="","",SUMIF($AG$2:$AG740,$AG740,$AH$2:$AH740))</f>
        <v/>
      </c>
      <c r="AJ740">
        <f>IF('TMP Paste'!$F740="","",IF('TMP Paste'!$B740="",$AJ739,'TMP Paste'!$B740))</f>
        <v/>
      </c>
      <c r="AK740">
        <f>IF('TMP Paste'!$F740="","",N('TMP Paste'!$G740))</f>
        <v/>
      </c>
      <c r="AL740">
        <f>IF('TMP Paste'!$F740="","",IF('TMP Paste'!$M740="",$AL739,'TMP Paste'!$M740))</f>
        <v/>
      </c>
      <c r="AM740">
        <f>IF('TMP Paste'!$F740="","",IF('TMP Paste'!$N740="",$AM739,'TMP Paste'!$N740))</f>
        <v/>
      </c>
      <c r="AN740">
        <f>IF('TMP Paste'!$F740="","",IF('TMP Paste'!$O740="",$AN739,'TMP Paste'!$O740))</f>
        <v/>
      </c>
      <c r="AO740">
        <f>IF('TMP Paste'!$F740="","",IF('TMP Paste'!$P740="",$AO739,'TMP Paste'!$P740))</f>
        <v/>
      </c>
      <c r="AP740">
        <f>IF($AG740="","",LEN($R740))</f>
        <v/>
      </c>
      <c r="AQ740">
        <f>IF($AG740="","",TRIM(IF(COUNTIFS(Calc!$B$2:$B$1601,ROW()-1,Calc!$C$2:$C$1601,"&lt;1")&gt;0,"Ada PO tanpa Koli - cek TMP. ","")&amp;IF(LEN($R740)&gt;500,"R &gt; 500 karakter.","")))</f>
        <v/>
      </c>
    </row>
    <row r="741">
      <c r="A741">
        <f>IF($AG741="","",INDEX('TMP Paste'!$B$2:$B$1601,$AG741))</f>
        <v/>
      </c>
      <c r="B741">
        <f>IF($AG741="","",Config!$B$14)</f>
        <v/>
      </c>
      <c r="C741">
        <f>IF($AG741="","",Config!$B$15)</f>
        <v/>
      </c>
      <c r="D741">
        <f>IF($AG741="","",INDEX('TMP Paste'!$B$2:$B$1601,$AG741))</f>
        <v/>
      </c>
      <c r="E741">
        <f>IF($AG741="","",Config!$B$27)</f>
        <v/>
      </c>
      <c r="F741">
        <f>IF($AG741="","",Config!$B$9)</f>
        <v/>
      </c>
      <c r="G741">
        <f>IF($AG741="","",Config!$B$10)</f>
        <v/>
      </c>
      <c r="H741">
        <f>IF($AG741="","",Config!$B$11)</f>
        <v/>
      </c>
      <c r="I741">
        <f>IF($AG741="","",Config!$B$16)</f>
        <v/>
      </c>
      <c r="J741">
        <f>IF($AG741="","",INDEX('TMP Paste'!$A$2:$A$1601,$AG741))</f>
        <v/>
      </c>
      <c r="K741">
        <f>IF($AG741="","",INDEX('TMP Paste'!$L$2:$L$1601,$AG741))</f>
        <v/>
      </c>
      <c r="L741">
        <f>IF($AG741="","",INDEX('TMP Paste'!$I$2:$I$1601,$AG741))</f>
        <v/>
      </c>
      <c r="M741">
        <f>IF($AG741="","",Config!$B$16)</f>
        <v/>
      </c>
      <c r="N741">
        <f>IF($AG741="","","")</f>
        <v/>
      </c>
      <c r="O741">
        <f>IF($AG741="","",INDEX('TMP Paste'!$K$2:$K$1601,$AG741))</f>
        <v/>
      </c>
      <c r="P741">
        <f>IF($AG741="","","")</f>
        <v/>
      </c>
      <c r="Q741">
        <f>IF($AG741="","",INDEX('TMP Paste'!$J$2:$J$1601,$AG741))</f>
        <v/>
      </c>
      <c r="R741">
        <f>IF($AG741="","",Config!$B$24)</f>
        <v/>
      </c>
      <c r="S741">
        <f>IF($AG741="","",TEXT(Config!$B$4,"yyyy-mm-dd"))</f>
        <v/>
      </c>
      <c r="T741">
        <f>IF($AG741="","",Config!$B$17)</f>
        <v/>
      </c>
      <c r="U741">
        <f>IF($AG741="","",Config!$B$18)</f>
        <v/>
      </c>
      <c r="V741">
        <f>IF($AG741="","",Config!$B$19)</f>
        <v/>
      </c>
      <c r="W741">
        <f>IF($AG741="","",INDEX('TMP Paste'!$C$2:$C$1601,$AG741))</f>
        <v/>
      </c>
      <c r="X741">
        <f>IF($AG741="","",Config!$B$29)</f>
        <v/>
      </c>
      <c r="Y741">
        <f>IF($AH741="","",INDEX(Calc!$I$2:$I$1601,$AH741)&amp;" - "&amp;INDEX(Calc!$D$2:$D$1601,$AH741)&amp;" koli")</f>
        <v/>
      </c>
      <c r="Z741">
        <f>IF($AG741="","",Config!$B$21)</f>
        <v/>
      </c>
      <c r="AA741">
        <f>IF($AG741="","",Config!$B$22)</f>
        <v/>
      </c>
      <c r="AB741">
        <f>IF($AH741="","",INDEX(Calc!$D$2:$D$1601,$AH741))</f>
        <v/>
      </c>
      <c r="AC741">
        <f>IF($AH741="","",INDEX(Calc!$G$2:$G$1601,$AH741))</f>
        <v/>
      </c>
      <c r="AD741">
        <f>IF($AG741="","",Config!$B$23)</f>
        <v/>
      </c>
      <c r="AE741">
        <f>IF($AG741="","",Config!$B$28)</f>
        <v/>
      </c>
      <c r="AG741">
        <f>IFERROR(MATCH(ROW()-1,Calc!$J$2:$J$1601,0),"")</f>
        <v/>
      </c>
      <c r="AH741">
        <f>IFERROR(MATCH(ROW()-1,Calc!$K$2:$K$1601,0),"")</f>
        <v/>
      </c>
      <c r="AI741">
        <f>IF($AG741="","",SUMIF($AG$2:$AG741,$AG741,$AH$2:$AH741))</f>
        <v/>
      </c>
      <c r="AJ741">
        <f>IF('TMP Paste'!$F741="","",IF('TMP Paste'!$B741="",$AJ740,'TMP Paste'!$B741))</f>
        <v/>
      </c>
      <c r="AK741">
        <f>IF('TMP Paste'!$F741="","",N('TMP Paste'!$G741))</f>
        <v/>
      </c>
      <c r="AL741">
        <f>IF('TMP Paste'!$F741="","",IF('TMP Paste'!$M741="",$AL740,'TMP Paste'!$M741))</f>
        <v/>
      </c>
      <c r="AM741">
        <f>IF('TMP Paste'!$F741="","",IF('TMP Paste'!$N741="",$AM740,'TMP Paste'!$N741))</f>
        <v/>
      </c>
      <c r="AN741">
        <f>IF('TMP Paste'!$F741="","",IF('TMP Paste'!$O741="",$AN740,'TMP Paste'!$O741))</f>
        <v/>
      </c>
      <c r="AO741">
        <f>IF('TMP Paste'!$F741="","",IF('TMP Paste'!$P741="",$AO740,'TMP Paste'!$P741))</f>
        <v/>
      </c>
      <c r="AP741">
        <f>IF($AG741="","",LEN($R741))</f>
        <v/>
      </c>
      <c r="AQ741">
        <f>IF($AG741="","",TRIM(IF(COUNTIFS(Calc!$B$2:$B$1601,ROW()-1,Calc!$C$2:$C$1601,"&lt;1")&gt;0,"Ada PO tanpa Koli - cek TMP. ","")&amp;IF(LEN($R741)&gt;500,"R &gt; 500 karakter.","")))</f>
        <v/>
      </c>
    </row>
    <row r="742">
      <c r="A742">
        <f>IF($AG742="","",INDEX('TMP Paste'!$B$2:$B$1601,$AG742))</f>
        <v/>
      </c>
      <c r="B742">
        <f>IF($AG742="","",Config!$B$14)</f>
        <v/>
      </c>
      <c r="C742">
        <f>IF($AG742="","",Config!$B$15)</f>
        <v/>
      </c>
      <c r="D742">
        <f>IF($AG742="","",INDEX('TMP Paste'!$B$2:$B$1601,$AG742))</f>
        <v/>
      </c>
      <c r="E742">
        <f>IF($AG742="","",Config!$B$27)</f>
        <v/>
      </c>
      <c r="F742">
        <f>IF($AG742="","",Config!$B$9)</f>
        <v/>
      </c>
      <c r="G742">
        <f>IF($AG742="","",Config!$B$10)</f>
        <v/>
      </c>
      <c r="H742">
        <f>IF($AG742="","",Config!$B$11)</f>
        <v/>
      </c>
      <c r="I742">
        <f>IF($AG742="","",Config!$B$16)</f>
        <v/>
      </c>
      <c r="J742">
        <f>IF($AG742="","",INDEX('TMP Paste'!$A$2:$A$1601,$AG742))</f>
        <v/>
      </c>
      <c r="K742">
        <f>IF($AG742="","",INDEX('TMP Paste'!$L$2:$L$1601,$AG742))</f>
        <v/>
      </c>
      <c r="L742">
        <f>IF($AG742="","",INDEX('TMP Paste'!$I$2:$I$1601,$AG742))</f>
        <v/>
      </c>
      <c r="M742">
        <f>IF($AG742="","",Config!$B$16)</f>
        <v/>
      </c>
      <c r="N742">
        <f>IF($AG742="","","")</f>
        <v/>
      </c>
      <c r="O742">
        <f>IF($AG742="","",INDEX('TMP Paste'!$K$2:$K$1601,$AG742))</f>
        <v/>
      </c>
      <c r="P742">
        <f>IF($AG742="","","")</f>
        <v/>
      </c>
      <c r="Q742">
        <f>IF($AG742="","",INDEX('TMP Paste'!$J$2:$J$1601,$AG742))</f>
        <v/>
      </c>
      <c r="R742">
        <f>IF($AG742="","",Config!$B$24)</f>
        <v/>
      </c>
      <c r="S742">
        <f>IF($AG742="","",TEXT(Config!$B$4,"yyyy-mm-dd"))</f>
        <v/>
      </c>
      <c r="T742">
        <f>IF($AG742="","",Config!$B$17)</f>
        <v/>
      </c>
      <c r="U742">
        <f>IF($AG742="","",Config!$B$18)</f>
        <v/>
      </c>
      <c r="V742">
        <f>IF($AG742="","",Config!$B$19)</f>
        <v/>
      </c>
      <c r="W742">
        <f>IF($AG742="","",INDEX('TMP Paste'!$C$2:$C$1601,$AG742))</f>
        <v/>
      </c>
      <c r="X742">
        <f>IF($AG742="","",Config!$B$29)</f>
        <v/>
      </c>
      <c r="Y742">
        <f>IF($AH742="","",INDEX(Calc!$I$2:$I$1601,$AH742)&amp;" - "&amp;INDEX(Calc!$D$2:$D$1601,$AH742)&amp;" koli")</f>
        <v/>
      </c>
      <c r="Z742">
        <f>IF($AG742="","",Config!$B$21)</f>
        <v/>
      </c>
      <c r="AA742">
        <f>IF($AG742="","",Config!$B$22)</f>
        <v/>
      </c>
      <c r="AB742">
        <f>IF($AH742="","",INDEX(Calc!$D$2:$D$1601,$AH742))</f>
        <v/>
      </c>
      <c r="AC742">
        <f>IF($AH742="","",INDEX(Calc!$G$2:$G$1601,$AH742))</f>
        <v/>
      </c>
      <c r="AD742">
        <f>IF($AG742="","",Config!$B$23)</f>
        <v/>
      </c>
      <c r="AE742">
        <f>IF($AG742="","",Config!$B$28)</f>
        <v/>
      </c>
      <c r="AG742">
        <f>IFERROR(MATCH(ROW()-1,Calc!$J$2:$J$1601,0),"")</f>
        <v/>
      </c>
      <c r="AH742">
        <f>IFERROR(MATCH(ROW()-1,Calc!$K$2:$K$1601,0),"")</f>
        <v/>
      </c>
      <c r="AI742">
        <f>IF($AG742="","",SUMIF($AG$2:$AG742,$AG742,$AH$2:$AH742))</f>
        <v/>
      </c>
      <c r="AJ742">
        <f>IF('TMP Paste'!$F742="","",IF('TMP Paste'!$B742="",$AJ741,'TMP Paste'!$B742))</f>
        <v/>
      </c>
      <c r="AK742">
        <f>IF('TMP Paste'!$F742="","",N('TMP Paste'!$G742))</f>
        <v/>
      </c>
      <c r="AL742">
        <f>IF('TMP Paste'!$F742="","",IF('TMP Paste'!$M742="",$AL741,'TMP Paste'!$M742))</f>
        <v/>
      </c>
      <c r="AM742">
        <f>IF('TMP Paste'!$F742="","",IF('TMP Paste'!$N742="",$AM741,'TMP Paste'!$N742))</f>
        <v/>
      </c>
      <c r="AN742">
        <f>IF('TMP Paste'!$F742="","",IF('TMP Paste'!$O742="",$AN741,'TMP Paste'!$O742))</f>
        <v/>
      </c>
      <c r="AO742">
        <f>IF('TMP Paste'!$F742="","",IF('TMP Paste'!$P742="",$AO741,'TMP Paste'!$P742))</f>
        <v/>
      </c>
      <c r="AP742">
        <f>IF($AG742="","",LEN($R742))</f>
        <v/>
      </c>
      <c r="AQ742">
        <f>IF($AG742="","",TRIM(IF(COUNTIFS(Calc!$B$2:$B$1601,ROW()-1,Calc!$C$2:$C$1601,"&lt;1")&gt;0,"Ada PO tanpa Koli - cek TMP. ","")&amp;IF(LEN($R742)&gt;500,"R &gt; 500 karakter.","")))</f>
        <v/>
      </c>
    </row>
    <row r="743">
      <c r="A743">
        <f>IF($AG743="","",INDEX('TMP Paste'!$B$2:$B$1601,$AG743))</f>
        <v/>
      </c>
      <c r="B743">
        <f>IF($AG743="","",Config!$B$14)</f>
        <v/>
      </c>
      <c r="C743">
        <f>IF($AG743="","",Config!$B$15)</f>
        <v/>
      </c>
      <c r="D743">
        <f>IF($AG743="","",INDEX('TMP Paste'!$B$2:$B$1601,$AG743))</f>
        <v/>
      </c>
      <c r="E743">
        <f>IF($AG743="","",Config!$B$27)</f>
        <v/>
      </c>
      <c r="F743">
        <f>IF($AG743="","",Config!$B$9)</f>
        <v/>
      </c>
      <c r="G743">
        <f>IF($AG743="","",Config!$B$10)</f>
        <v/>
      </c>
      <c r="H743">
        <f>IF($AG743="","",Config!$B$11)</f>
        <v/>
      </c>
      <c r="I743">
        <f>IF($AG743="","",Config!$B$16)</f>
        <v/>
      </c>
      <c r="J743">
        <f>IF($AG743="","",INDEX('TMP Paste'!$A$2:$A$1601,$AG743))</f>
        <v/>
      </c>
      <c r="K743">
        <f>IF($AG743="","",INDEX('TMP Paste'!$L$2:$L$1601,$AG743))</f>
        <v/>
      </c>
      <c r="L743">
        <f>IF($AG743="","",INDEX('TMP Paste'!$I$2:$I$1601,$AG743))</f>
        <v/>
      </c>
      <c r="M743">
        <f>IF($AG743="","",Config!$B$16)</f>
        <v/>
      </c>
      <c r="N743">
        <f>IF($AG743="","","")</f>
        <v/>
      </c>
      <c r="O743">
        <f>IF($AG743="","",INDEX('TMP Paste'!$K$2:$K$1601,$AG743))</f>
        <v/>
      </c>
      <c r="P743">
        <f>IF($AG743="","","")</f>
        <v/>
      </c>
      <c r="Q743">
        <f>IF($AG743="","",INDEX('TMP Paste'!$J$2:$J$1601,$AG743))</f>
        <v/>
      </c>
      <c r="R743">
        <f>IF($AG743="","",Config!$B$24)</f>
        <v/>
      </c>
      <c r="S743">
        <f>IF($AG743="","",TEXT(Config!$B$4,"yyyy-mm-dd"))</f>
        <v/>
      </c>
      <c r="T743">
        <f>IF($AG743="","",Config!$B$17)</f>
        <v/>
      </c>
      <c r="U743">
        <f>IF($AG743="","",Config!$B$18)</f>
        <v/>
      </c>
      <c r="V743">
        <f>IF($AG743="","",Config!$B$19)</f>
        <v/>
      </c>
      <c r="W743">
        <f>IF($AG743="","",INDEX('TMP Paste'!$C$2:$C$1601,$AG743))</f>
        <v/>
      </c>
      <c r="X743">
        <f>IF($AG743="","",Config!$B$29)</f>
        <v/>
      </c>
      <c r="Y743">
        <f>IF($AH743="","",INDEX(Calc!$I$2:$I$1601,$AH743)&amp;" - "&amp;INDEX(Calc!$D$2:$D$1601,$AH743)&amp;" koli")</f>
        <v/>
      </c>
      <c r="Z743">
        <f>IF($AG743="","",Config!$B$21)</f>
        <v/>
      </c>
      <c r="AA743">
        <f>IF($AG743="","",Config!$B$22)</f>
        <v/>
      </c>
      <c r="AB743">
        <f>IF($AH743="","",INDEX(Calc!$D$2:$D$1601,$AH743))</f>
        <v/>
      </c>
      <c r="AC743">
        <f>IF($AH743="","",INDEX(Calc!$G$2:$G$1601,$AH743))</f>
        <v/>
      </c>
      <c r="AD743">
        <f>IF($AG743="","",Config!$B$23)</f>
        <v/>
      </c>
      <c r="AE743">
        <f>IF($AG743="","",Config!$B$28)</f>
        <v/>
      </c>
      <c r="AG743">
        <f>IFERROR(MATCH(ROW()-1,Calc!$J$2:$J$1601,0),"")</f>
        <v/>
      </c>
      <c r="AH743">
        <f>IFERROR(MATCH(ROW()-1,Calc!$K$2:$K$1601,0),"")</f>
        <v/>
      </c>
      <c r="AI743">
        <f>IF($AG743="","",SUMIF($AG$2:$AG743,$AG743,$AH$2:$AH743))</f>
        <v/>
      </c>
      <c r="AJ743">
        <f>IF('TMP Paste'!$F743="","",IF('TMP Paste'!$B743="",$AJ742,'TMP Paste'!$B743))</f>
        <v/>
      </c>
      <c r="AK743">
        <f>IF('TMP Paste'!$F743="","",N('TMP Paste'!$G743))</f>
        <v/>
      </c>
      <c r="AL743">
        <f>IF('TMP Paste'!$F743="","",IF('TMP Paste'!$M743="",$AL742,'TMP Paste'!$M743))</f>
        <v/>
      </c>
      <c r="AM743">
        <f>IF('TMP Paste'!$F743="","",IF('TMP Paste'!$N743="",$AM742,'TMP Paste'!$N743))</f>
        <v/>
      </c>
      <c r="AN743">
        <f>IF('TMP Paste'!$F743="","",IF('TMP Paste'!$O743="",$AN742,'TMP Paste'!$O743))</f>
        <v/>
      </c>
      <c r="AO743">
        <f>IF('TMP Paste'!$F743="","",IF('TMP Paste'!$P743="",$AO742,'TMP Paste'!$P743))</f>
        <v/>
      </c>
      <c r="AP743">
        <f>IF($AG743="","",LEN($R743))</f>
        <v/>
      </c>
      <c r="AQ743">
        <f>IF($AG743="","",TRIM(IF(COUNTIFS(Calc!$B$2:$B$1601,ROW()-1,Calc!$C$2:$C$1601,"&lt;1")&gt;0,"Ada PO tanpa Koli - cek TMP. ","")&amp;IF(LEN($R743)&gt;500,"R &gt; 500 karakter.","")))</f>
        <v/>
      </c>
    </row>
    <row r="744">
      <c r="A744">
        <f>IF($AG744="","",INDEX('TMP Paste'!$B$2:$B$1601,$AG744))</f>
        <v/>
      </c>
      <c r="B744">
        <f>IF($AG744="","",Config!$B$14)</f>
        <v/>
      </c>
      <c r="C744">
        <f>IF($AG744="","",Config!$B$15)</f>
        <v/>
      </c>
      <c r="D744">
        <f>IF($AG744="","",INDEX('TMP Paste'!$B$2:$B$1601,$AG744))</f>
        <v/>
      </c>
      <c r="E744">
        <f>IF($AG744="","",Config!$B$27)</f>
        <v/>
      </c>
      <c r="F744">
        <f>IF($AG744="","",Config!$B$9)</f>
        <v/>
      </c>
      <c r="G744">
        <f>IF($AG744="","",Config!$B$10)</f>
        <v/>
      </c>
      <c r="H744">
        <f>IF($AG744="","",Config!$B$11)</f>
        <v/>
      </c>
      <c r="I744">
        <f>IF($AG744="","",Config!$B$16)</f>
        <v/>
      </c>
      <c r="J744">
        <f>IF($AG744="","",INDEX('TMP Paste'!$A$2:$A$1601,$AG744))</f>
        <v/>
      </c>
      <c r="K744">
        <f>IF($AG744="","",INDEX('TMP Paste'!$L$2:$L$1601,$AG744))</f>
        <v/>
      </c>
      <c r="L744">
        <f>IF($AG744="","",INDEX('TMP Paste'!$I$2:$I$1601,$AG744))</f>
        <v/>
      </c>
      <c r="M744">
        <f>IF($AG744="","",Config!$B$16)</f>
        <v/>
      </c>
      <c r="N744">
        <f>IF($AG744="","","")</f>
        <v/>
      </c>
      <c r="O744">
        <f>IF($AG744="","",INDEX('TMP Paste'!$K$2:$K$1601,$AG744))</f>
        <v/>
      </c>
      <c r="P744">
        <f>IF($AG744="","","")</f>
        <v/>
      </c>
      <c r="Q744">
        <f>IF($AG744="","",INDEX('TMP Paste'!$J$2:$J$1601,$AG744))</f>
        <v/>
      </c>
      <c r="R744">
        <f>IF($AG744="","",Config!$B$24)</f>
        <v/>
      </c>
      <c r="S744">
        <f>IF($AG744="","",TEXT(Config!$B$4,"yyyy-mm-dd"))</f>
        <v/>
      </c>
      <c r="T744">
        <f>IF($AG744="","",Config!$B$17)</f>
        <v/>
      </c>
      <c r="U744">
        <f>IF($AG744="","",Config!$B$18)</f>
        <v/>
      </c>
      <c r="V744">
        <f>IF($AG744="","",Config!$B$19)</f>
        <v/>
      </c>
      <c r="W744">
        <f>IF($AG744="","",INDEX('TMP Paste'!$C$2:$C$1601,$AG744))</f>
        <v/>
      </c>
      <c r="X744">
        <f>IF($AG744="","",Config!$B$29)</f>
        <v/>
      </c>
      <c r="Y744">
        <f>IF($AH744="","",INDEX(Calc!$I$2:$I$1601,$AH744)&amp;" - "&amp;INDEX(Calc!$D$2:$D$1601,$AH744)&amp;" koli")</f>
        <v/>
      </c>
      <c r="Z744">
        <f>IF($AG744="","",Config!$B$21)</f>
        <v/>
      </c>
      <c r="AA744">
        <f>IF($AG744="","",Config!$B$22)</f>
        <v/>
      </c>
      <c r="AB744">
        <f>IF($AH744="","",INDEX(Calc!$D$2:$D$1601,$AH744))</f>
        <v/>
      </c>
      <c r="AC744">
        <f>IF($AH744="","",INDEX(Calc!$G$2:$G$1601,$AH744))</f>
        <v/>
      </c>
      <c r="AD744">
        <f>IF($AG744="","",Config!$B$23)</f>
        <v/>
      </c>
      <c r="AE744">
        <f>IF($AG744="","",Config!$B$28)</f>
        <v/>
      </c>
      <c r="AG744">
        <f>IFERROR(MATCH(ROW()-1,Calc!$J$2:$J$1601,0),"")</f>
        <v/>
      </c>
      <c r="AH744">
        <f>IFERROR(MATCH(ROW()-1,Calc!$K$2:$K$1601,0),"")</f>
        <v/>
      </c>
      <c r="AI744">
        <f>IF($AG744="","",SUMIF($AG$2:$AG744,$AG744,$AH$2:$AH744))</f>
        <v/>
      </c>
      <c r="AJ744">
        <f>IF('TMP Paste'!$F744="","",IF('TMP Paste'!$B744="",$AJ743,'TMP Paste'!$B744))</f>
        <v/>
      </c>
      <c r="AK744">
        <f>IF('TMP Paste'!$F744="","",N('TMP Paste'!$G744))</f>
        <v/>
      </c>
      <c r="AL744">
        <f>IF('TMP Paste'!$F744="","",IF('TMP Paste'!$M744="",$AL743,'TMP Paste'!$M744))</f>
        <v/>
      </c>
      <c r="AM744">
        <f>IF('TMP Paste'!$F744="","",IF('TMP Paste'!$N744="",$AM743,'TMP Paste'!$N744))</f>
        <v/>
      </c>
      <c r="AN744">
        <f>IF('TMP Paste'!$F744="","",IF('TMP Paste'!$O744="",$AN743,'TMP Paste'!$O744))</f>
        <v/>
      </c>
      <c r="AO744">
        <f>IF('TMP Paste'!$F744="","",IF('TMP Paste'!$P744="",$AO743,'TMP Paste'!$P744))</f>
        <v/>
      </c>
      <c r="AP744">
        <f>IF($AG744="","",LEN($R744))</f>
        <v/>
      </c>
      <c r="AQ744">
        <f>IF($AG744="","",TRIM(IF(COUNTIFS(Calc!$B$2:$B$1601,ROW()-1,Calc!$C$2:$C$1601,"&lt;1")&gt;0,"Ada PO tanpa Koli - cek TMP. ","")&amp;IF(LEN($R744)&gt;500,"R &gt; 500 karakter.","")))</f>
        <v/>
      </c>
    </row>
    <row r="745">
      <c r="A745">
        <f>IF($AG745="","",INDEX('TMP Paste'!$B$2:$B$1601,$AG745))</f>
        <v/>
      </c>
      <c r="B745">
        <f>IF($AG745="","",Config!$B$14)</f>
        <v/>
      </c>
      <c r="C745">
        <f>IF($AG745="","",Config!$B$15)</f>
        <v/>
      </c>
      <c r="D745">
        <f>IF($AG745="","",INDEX('TMP Paste'!$B$2:$B$1601,$AG745))</f>
        <v/>
      </c>
      <c r="E745">
        <f>IF($AG745="","",Config!$B$27)</f>
        <v/>
      </c>
      <c r="F745">
        <f>IF($AG745="","",Config!$B$9)</f>
        <v/>
      </c>
      <c r="G745">
        <f>IF($AG745="","",Config!$B$10)</f>
        <v/>
      </c>
      <c r="H745">
        <f>IF($AG745="","",Config!$B$11)</f>
        <v/>
      </c>
      <c r="I745">
        <f>IF($AG745="","",Config!$B$16)</f>
        <v/>
      </c>
      <c r="J745">
        <f>IF($AG745="","",INDEX('TMP Paste'!$A$2:$A$1601,$AG745))</f>
        <v/>
      </c>
      <c r="K745">
        <f>IF($AG745="","",INDEX('TMP Paste'!$L$2:$L$1601,$AG745))</f>
        <v/>
      </c>
      <c r="L745">
        <f>IF($AG745="","",INDEX('TMP Paste'!$I$2:$I$1601,$AG745))</f>
        <v/>
      </c>
      <c r="M745">
        <f>IF($AG745="","",Config!$B$16)</f>
        <v/>
      </c>
      <c r="N745">
        <f>IF($AG745="","","")</f>
        <v/>
      </c>
      <c r="O745">
        <f>IF($AG745="","",INDEX('TMP Paste'!$K$2:$K$1601,$AG745))</f>
        <v/>
      </c>
      <c r="P745">
        <f>IF($AG745="","","")</f>
        <v/>
      </c>
      <c r="Q745">
        <f>IF($AG745="","",INDEX('TMP Paste'!$J$2:$J$1601,$AG745))</f>
        <v/>
      </c>
      <c r="R745">
        <f>IF($AG745="","",Config!$B$24)</f>
        <v/>
      </c>
      <c r="S745">
        <f>IF($AG745="","",TEXT(Config!$B$4,"yyyy-mm-dd"))</f>
        <v/>
      </c>
      <c r="T745">
        <f>IF($AG745="","",Config!$B$17)</f>
        <v/>
      </c>
      <c r="U745">
        <f>IF($AG745="","",Config!$B$18)</f>
        <v/>
      </c>
      <c r="V745">
        <f>IF($AG745="","",Config!$B$19)</f>
        <v/>
      </c>
      <c r="W745">
        <f>IF($AG745="","",INDEX('TMP Paste'!$C$2:$C$1601,$AG745))</f>
        <v/>
      </c>
      <c r="X745">
        <f>IF($AG745="","",Config!$B$29)</f>
        <v/>
      </c>
      <c r="Y745">
        <f>IF($AH745="","",INDEX(Calc!$I$2:$I$1601,$AH745)&amp;" - "&amp;INDEX(Calc!$D$2:$D$1601,$AH745)&amp;" koli")</f>
        <v/>
      </c>
      <c r="Z745">
        <f>IF($AG745="","",Config!$B$21)</f>
        <v/>
      </c>
      <c r="AA745">
        <f>IF($AG745="","",Config!$B$22)</f>
        <v/>
      </c>
      <c r="AB745">
        <f>IF($AH745="","",INDEX(Calc!$D$2:$D$1601,$AH745))</f>
        <v/>
      </c>
      <c r="AC745">
        <f>IF($AH745="","",INDEX(Calc!$G$2:$G$1601,$AH745))</f>
        <v/>
      </c>
      <c r="AD745">
        <f>IF($AG745="","",Config!$B$23)</f>
        <v/>
      </c>
      <c r="AE745">
        <f>IF($AG745="","",Config!$B$28)</f>
        <v/>
      </c>
      <c r="AG745">
        <f>IFERROR(MATCH(ROW()-1,Calc!$J$2:$J$1601,0),"")</f>
        <v/>
      </c>
      <c r="AH745">
        <f>IFERROR(MATCH(ROW()-1,Calc!$K$2:$K$1601,0),"")</f>
        <v/>
      </c>
      <c r="AI745">
        <f>IF($AG745="","",SUMIF($AG$2:$AG745,$AG745,$AH$2:$AH745))</f>
        <v/>
      </c>
      <c r="AJ745">
        <f>IF('TMP Paste'!$F745="","",IF('TMP Paste'!$B745="",$AJ744,'TMP Paste'!$B745))</f>
        <v/>
      </c>
      <c r="AK745">
        <f>IF('TMP Paste'!$F745="","",N('TMP Paste'!$G745))</f>
        <v/>
      </c>
      <c r="AL745">
        <f>IF('TMP Paste'!$F745="","",IF('TMP Paste'!$M745="",$AL744,'TMP Paste'!$M745))</f>
        <v/>
      </c>
      <c r="AM745">
        <f>IF('TMP Paste'!$F745="","",IF('TMP Paste'!$N745="",$AM744,'TMP Paste'!$N745))</f>
        <v/>
      </c>
      <c r="AN745">
        <f>IF('TMP Paste'!$F745="","",IF('TMP Paste'!$O745="",$AN744,'TMP Paste'!$O745))</f>
        <v/>
      </c>
      <c r="AO745">
        <f>IF('TMP Paste'!$F745="","",IF('TMP Paste'!$P745="",$AO744,'TMP Paste'!$P745))</f>
        <v/>
      </c>
      <c r="AP745">
        <f>IF($AG745="","",LEN($R745))</f>
        <v/>
      </c>
      <c r="AQ745">
        <f>IF($AG745="","",TRIM(IF(COUNTIFS(Calc!$B$2:$B$1601,ROW()-1,Calc!$C$2:$C$1601,"&lt;1")&gt;0,"Ada PO tanpa Koli - cek TMP. ","")&amp;IF(LEN($R745)&gt;500,"R &gt; 500 karakter.","")))</f>
        <v/>
      </c>
    </row>
    <row r="746">
      <c r="A746">
        <f>IF($AG746="","",INDEX('TMP Paste'!$B$2:$B$1601,$AG746))</f>
        <v/>
      </c>
      <c r="B746">
        <f>IF($AG746="","",Config!$B$14)</f>
        <v/>
      </c>
      <c r="C746">
        <f>IF($AG746="","",Config!$B$15)</f>
        <v/>
      </c>
      <c r="D746">
        <f>IF($AG746="","",INDEX('TMP Paste'!$B$2:$B$1601,$AG746))</f>
        <v/>
      </c>
      <c r="E746">
        <f>IF($AG746="","",Config!$B$27)</f>
        <v/>
      </c>
      <c r="F746">
        <f>IF($AG746="","",Config!$B$9)</f>
        <v/>
      </c>
      <c r="G746">
        <f>IF($AG746="","",Config!$B$10)</f>
        <v/>
      </c>
      <c r="H746">
        <f>IF($AG746="","",Config!$B$11)</f>
        <v/>
      </c>
      <c r="I746">
        <f>IF($AG746="","",Config!$B$16)</f>
        <v/>
      </c>
      <c r="J746">
        <f>IF($AG746="","",INDEX('TMP Paste'!$A$2:$A$1601,$AG746))</f>
        <v/>
      </c>
      <c r="K746">
        <f>IF($AG746="","",INDEX('TMP Paste'!$L$2:$L$1601,$AG746))</f>
        <v/>
      </c>
      <c r="L746">
        <f>IF($AG746="","",INDEX('TMP Paste'!$I$2:$I$1601,$AG746))</f>
        <v/>
      </c>
      <c r="M746">
        <f>IF($AG746="","",Config!$B$16)</f>
        <v/>
      </c>
      <c r="N746">
        <f>IF($AG746="","","")</f>
        <v/>
      </c>
      <c r="O746">
        <f>IF($AG746="","",INDEX('TMP Paste'!$K$2:$K$1601,$AG746))</f>
        <v/>
      </c>
      <c r="P746">
        <f>IF($AG746="","","")</f>
        <v/>
      </c>
      <c r="Q746">
        <f>IF($AG746="","",INDEX('TMP Paste'!$J$2:$J$1601,$AG746))</f>
        <v/>
      </c>
      <c r="R746">
        <f>IF($AG746="","",Config!$B$24)</f>
        <v/>
      </c>
      <c r="S746">
        <f>IF($AG746="","",TEXT(Config!$B$4,"yyyy-mm-dd"))</f>
        <v/>
      </c>
      <c r="T746">
        <f>IF($AG746="","",Config!$B$17)</f>
        <v/>
      </c>
      <c r="U746">
        <f>IF($AG746="","",Config!$B$18)</f>
        <v/>
      </c>
      <c r="V746">
        <f>IF($AG746="","",Config!$B$19)</f>
        <v/>
      </c>
      <c r="W746">
        <f>IF($AG746="","",INDEX('TMP Paste'!$C$2:$C$1601,$AG746))</f>
        <v/>
      </c>
      <c r="X746">
        <f>IF($AG746="","",Config!$B$29)</f>
        <v/>
      </c>
      <c r="Y746">
        <f>IF($AH746="","",INDEX(Calc!$I$2:$I$1601,$AH746)&amp;" - "&amp;INDEX(Calc!$D$2:$D$1601,$AH746)&amp;" koli")</f>
        <v/>
      </c>
      <c r="Z746">
        <f>IF($AG746="","",Config!$B$21)</f>
        <v/>
      </c>
      <c r="AA746">
        <f>IF($AG746="","",Config!$B$22)</f>
        <v/>
      </c>
      <c r="AB746">
        <f>IF($AH746="","",INDEX(Calc!$D$2:$D$1601,$AH746))</f>
        <v/>
      </c>
      <c r="AC746">
        <f>IF($AH746="","",INDEX(Calc!$G$2:$G$1601,$AH746))</f>
        <v/>
      </c>
      <c r="AD746">
        <f>IF($AG746="","",Config!$B$23)</f>
        <v/>
      </c>
      <c r="AE746">
        <f>IF($AG746="","",Config!$B$28)</f>
        <v/>
      </c>
      <c r="AG746">
        <f>IFERROR(MATCH(ROW()-1,Calc!$J$2:$J$1601,0),"")</f>
        <v/>
      </c>
      <c r="AH746">
        <f>IFERROR(MATCH(ROW()-1,Calc!$K$2:$K$1601,0),"")</f>
        <v/>
      </c>
      <c r="AI746">
        <f>IF($AG746="","",SUMIF($AG$2:$AG746,$AG746,$AH$2:$AH746))</f>
        <v/>
      </c>
      <c r="AJ746">
        <f>IF('TMP Paste'!$F746="","",IF('TMP Paste'!$B746="",$AJ745,'TMP Paste'!$B746))</f>
        <v/>
      </c>
      <c r="AK746">
        <f>IF('TMP Paste'!$F746="","",N('TMP Paste'!$G746))</f>
        <v/>
      </c>
      <c r="AL746">
        <f>IF('TMP Paste'!$F746="","",IF('TMP Paste'!$M746="",$AL745,'TMP Paste'!$M746))</f>
        <v/>
      </c>
      <c r="AM746">
        <f>IF('TMP Paste'!$F746="","",IF('TMP Paste'!$N746="",$AM745,'TMP Paste'!$N746))</f>
        <v/>
      </c>
      <c r="AN746">
        <f>IF('TMP Paste'!$F746="","",IF('TMP Paste'!$O746="",$AN745,'TMP Paste'!$O746))</f>
        <v/>
      </c>
      <c r="AO746">
        <f>IF('TMP Paste'!$F746="","",IF('TMP Paste'!$P746="",$AO745,'TMP Paste'!$P746))</f>
        <v/>
      </c>
      <c r="AP746">
        <f>IF($AG746="","",LEN($R746))</f>
        <v/>
      </c>
      <c r="AQ746">
        <f>IF($AG746="","",TRIM(IF(COUNTIFS(Calc!$B$2:$B$1601,ROW()-1,Calc!$C$2:$C$1601,"&lt;1")&gt;0,"Ada PO tanpa Koli - cek TMP. ","")&amp;IF(LEN($R746)&gt;500,"R &gt; 500 karakter.","")))</f>
        <v/>
      </c>
    </row>
    <row r="747">
      <c r="A747">
        <f>IF($AG747="","",INDEX('TMP Paste'!$B$2:$B$1601,$AG747))</f>
        <v/>
      </c>
      <c r="B747">
        <f>IF($AG747="","",Config!$B$14)</f>
        <v/>
      </c>
      <c r="C747">
        <f>IF($AG747="","",Config!$B$15)</f>
        <v/>
      </c>
      <c r="D747">
        <f>IF($AG747="","",INDEX('TMP Paste'!$B$2:$B$1601,$AG747))</f>
        <v/>
      </c>
      <c r="E747">
        <f>IF($AG747="","",Config!$B$27)</f>
        <v/>
      </c>
      <c r="F747">
        <f>IF($AG747="","",Config!$B$9)</f>
        <v/>
      </c>
      <c r="G747">
        <f>IF($AG747="","",Config!$B$10)</f>
        <v/>
      </c>
      <c r="H747">
        <f>IF($AG747="","",Config!$B$11)</f>
        <v/>
      </c>
      <c r="I747">
        <f>IF($AG747="","",Config!$B$16)</f>
        <v/>
      </c>
      <c r="J747">
        <f>IF($AG747="","",INDEX('TMP Paste'!$A$2:$A$1601,$AG747))</f>
        <v/>
      </c>
      <c r="K747">
        <f>IF($AG747="","",INDEX('TMP Paste'!$L$2:$L$1601,$AG747))</f>
        <v/>
      </c>
      <c r="L747">
        <f>IF($AG747="","",INDEX('TMP Paste'!$I$2:$I$1601,$AG747))</f>
        <v/>
      </c>
      <c r="M747">
        <f>IF($AG747="","",Config!$B$16)</f>
        <v/>
      </c>
      <c r="N747">
        <f>IF($AG747="","","")</f>
        <v/>
      </c>
      <c r="O747">
        <f>IF($AG747="","",INDEX('TMP Paste'!$K$2:$K$1601,$AG747))</f>
        <v/>
      </c>
      <c r="P747">
        <f>IF($AG747="","","")</f>
        <v/>
      </c>
      <c r="Q747">
        <f>IF($AG747="","",INDEX('TMP Paste'!$J$2:$J$1601,$AG747))</f>
        <v/>
      </c>
      <c r="R747">
        <f>IF($AG747="","",Config!$B$24)</f>
        <v/>
      </c>
      <c r="S747">
        <f>IF($AG747="","",TEXT(Config!$B$4,"yyyy-mm-dd"))</f>
        <v/>
      </c>
      <c r="T747">
        <f>IF($AG747="","",Config!$B$17)</f>
        <v/>
      </c>
      <c r="U747">
        <f>IF($AG747="","",Config!$B$18)</f>
        <v/>
      </c>
      <c r="V747">
        <f>IF($AG747="","",Config!$B$19)</f>
        <v/>
      </c>
      <c r="W747">
        <f>IF($AG747="","",INDEX('TMP Paste'!$C$2:$C$1601,$AG747))</f>
        <v/>
      </c>
      <c r="X747">
        <f>IF($AG747="","",Config!$B$29)</f>
        <v/>
      </c>
      <c r="Y747">
        <f>IF($AH747="","",INDEX(Calc!$I$2:$I$1601,$AH747)&amp;" - "&amp;INDEX(Calc!$D$2:$D$1601,$AH747)&amp;" koli")</f>
        <v/>
      </c>
      <c r="Z747">
        <f>IF($AG747="","",Config!$B$21)</f>
        <v/>
      </c>
      <c r="AA747">
        <f>IF($AG747="","",Config!$B$22)</f>
        <v/>
      </c>
      <c r="AB747">
        <f>IF($AH747="","",INDEX(Calc!$D$2:$D$1601,$AH747))</f>
        <v/>
      </c>
      <c r="AC747">
        <f>IF($AH747="","",INDEX(Calc!$G$2:$G$1601,$AH747))</f>
        <v/>
      </c>
      <c r="AD747">
        <f>IF($AG747="","",Config!$B$23)</f>
        <v/>
      </c>
      <c r="AE747">
        <f>IF($AG747="","",Config!$B$28)</f>
        <v/>
      </c>
      <c r="AG747">
        <f>IFERROR(MATCH(ROW()-1,Calc!$J$2:$J$1601,0),"")</f>
        <v/>
      </c>
      <c r="AH747">
        <f>IFERROR(MATCH(ROW()-1,Calc!$K$2:$K$1601,0),"")</f>
        <v/>
      </c>
      <c r="AI747">
        <f>IF($AG747="","",SUMIF($AG$2:$AG747,$AG747,$AH$2:$AH747))</f>
        <v/>
      </c>
      <c r="AJ747">
        <f>IF('TMP Paste'!$F747="","",IF('TMP Paste'!$B747="",$AJ746,'TMP Paste'!$B747))</f>
        <v/>
      </c>
      <c r="AK747">
        <f>IF('TMP Paste'!$F747="","",N('TMP Paste'!$G747))</f>
        <v/>
      </c>
      <c r="AL747">
        <f>IF('TMP Paste'!$F747="","",IF('TMP Paste'!$M747="",$AL746,'TMP Paste'!$M747))</f>
        <v/>
      </c>
      <c r="AM747">
        <f>IF('TMP Paste'!$F747="","",IF('TMP Paste'!$N747="",$AM746,'TMP Paste'!$N747))</f>
        <v/>
      </c>
      <c r="AN747">
        <f>IF('TMP Paste'!$F747="","",IF('TMP Paste'!$O747="",$AN746,'TMP Paste'!$O747))</f>
        <v/>
      </c>
      <c r="AO747">
        <f>IF('TMP Paste'!$F747="","",IF('TMP Paste'!$P747="",$AO746,'TMP Paste'!$P747))</f>
        <v/>
      </c>
      <c r="AP747">
        <f>IF($AG747="","",LEN($R747))</f>
        <v/>
      </c>
      <c r="AQ747">
        <f>IF($AG747="","",TRIM(IF(COUNTIFS(Calc!$B$2:$B$1601,ROW()-1,Calc!$C$2:$C$1601,"&lt;1")&gt;0,"Ada PO tanpa Koli - cek TMP. ","")&amp;IF(LEN($R747)&gt;500,"R &gt; 500 karakter.","")))</f>
        <v/>
      </c>
    </row>
    <row r="748">
      <c r="A748">
        <f>IF($AG748="","",INDEX('TMP Paste'!$B$2:$B$1601,$AG748))</f>
        <v/>
      </c>
      <c r="B748">
        <f>IF($AG748="","",Config!$B$14)</f>
        <v/>
      </c>
      <c r="C748">
        <f>IF($AG748="","",Config!$B$15)</f>
        <v/>
      </c>
      <c r="D748">
        <f>IF($AG748="","",INDEX('TMP Paste'!$B$2:$B$1601,$AG748))</f>
        <v/>
      </c>
      <c r="E748">
        <f>IF($AG748="","",Config!$B$27)</f>
        <v/>
      </c>
      <c r="F748">
        <f>IF($AG748="","",Config!$B$9)</f>
        <v/>
      </c>
      <c r="G748">
        <f>IF($AG748="","",Config!$B$10)</f>
        <v/>
      </c>
      <c r="H748">
        <f>IF($AG748="","",Config!$B$11)</f>
        <v/>
      </c>
      <c r="I748">
        <f>IF($AG748="","",Config!$B$16)</f>
        <v/>
      </c>
      <c r="J748">
        <f>IF($AG748="","",INDEX('TMP Paste'!$A$2:$A$1601,$AG748))</f>
        <v/>
      </c>
      <c r="K748">
        <f>IF($AG748="","",INDEX('TMP Paste'!$L$2:$L$1601,$AG748))</f>
        <v/>
      </c>
      <c r="L748">
        <f>IF($AG748="","",INDEX('TMP Paste'!$I$2:$I$1601,$AG748))</f>
        <v/>
      </c>
      <c r="M748">
        <f>IF($AG748="","",Config!$B$16)</f>
        <v/>
      </c>
      <c r="N748">
        <f>IF($AG748="","","")</f>
        <v/>
      </c>
      <c r="O748">
        <f>IF($AG748="","",INDEX('TMP Paste'!$K$2:$K$1601,$AG748))</f>
        <v/>
      </c>
      <c r="P748">
        <f>IF($AG748="","","")</f>
        <v/>
      </c>
      <c r="Q748">
        <f>IF($AG748="","",INDEX('TMP Paste'!$J$2:$J$1601,$AG748))</f>
        <v/>
      </c>
      <c r="R748">
        <f>IF($AG748="","",Config!$B$24)</f>
        <v/>
      </c>
      <c r="S748">
        <f>IF($AG748="","",TEXT(Config!$B$4,"yyyy-mm-dd"))</f>
        <v/>
      </c>
      <c r="T748">
        <f>IF($AG748="","",Config!$B$17)</f>
        <v/>
      </c>
      <c r="U748">
        <f>IF($AG748="","",Config!$B$18)</f>
        <v/>
      </c>
      <c r="V748">
        <f>IF($AG748="","",Config!$B$19)</f>
        <v/>
      </c>
      <c r="W748">
        <f>IF($AG748="","",INDEX('TMP Paste'!$C$2:$C$1601,$AG748))</f>
        <v/>
      </c>
      <c r="X748">
        <f>IF($AG748="","",Config!$B$29)</f>
        <v/>
      </c>
      <c r="Y748">
        <f>IF($AH748="","",INDEX(Calc!$I$2:$I$1601,$AH748)&amp;" - "&amp;INDEX(Calc!$D$2:$D$1601,$AH748)&amp;" koli")</f>
        <v/>
      </c>
      <c r="Z748">
        <f>IF($AG748="","",Config!$B$21)</f>
        <v/>
      </c>
      <c r="AA748">
        <f>IF($AG748="","",Config!$B$22)</f>
        <v/>
      </c>
      <c r="AB748">
        <f>IF($AH748="","",INDEX(Calc!$D$2:$D$1601,$AH748))</f>
        <v/>
      </c>
      <c r="AC748">
        <f>IF($AH748="","",INDEX(Calc!$G$2:$G$1601,$AH748))</f>
        <v/>
      </c>
      <c r="AD748">
        <f>IF($AG748="","",Config!$B$23)</f>
        <v/>
      </c>
      <c r="AE748">
        <f>IF($AG748="","",Config!$B$28)</f>
        <v/>
      </c>
      <c r="AG748">
        <f>IFERROR(MATCH(ROW()-1,Calc!$J$2:$J$1601,0),"")</f>
        <v/>
      </c>
      <c r="AH748">
        <f>IFERROR(MATCH(ROW()-1,Calc!$K$2:$K$1601,0),"")</f>
        <v/>
      </c>
      <c r="AI748">
        <f>IF($AG748="","",SUMIF($AG$2:$AG748,$AG748,$AH$2:$AH748))</f>
        <v/>
      </c>
      <c r="AJ748">
        <f>IF('TMP Paste'!$F748="","",IF('TMP Paste'!$B748="",$AJ747,'TMP Paste'!$B748))</f>
        <v/>
      </c>
      <c r="AK748">
        <f>IF('TMP Paste'!$F748="","",N('TMP Paste'!$G748))</f>
        <v/>
      </c>
      <c r="AL748">
        <f>IF('TMP Paste'!$F748="","",IF('TMP Paste'!$M748="",$AL747,'TMP Paste'!$M748))</f>
        <v/>
      </c>
      <c r="AM748">
        <f>IF('TMP Paste'!$F748="","",IF('TMP Paste'!$N748="",$AM747,'TMP Paste'!$N748))</f>
        <v/>
      </c>
      <c r="AN748">
        <f>IF('TMP Paste'!$F748="","",IF('TMP Paste'!$O748="",$AN747,'TMP Paste'!$O748))</f>
        <v/>
      </c>
      <c r="AO748">
        <f>IF('TMP Paste'!$F748="","",IF('TMP Paste'!$P748="",$AO747,'TMP Paste'!$P748))</f>
        <v/>
      </c>
      <c r="AP748">
        <f>IF($AG748="","",LEN($R748))</f>
        <v/>
      </c>
      <c r="AQ748">
        <f>IF($AG748="","",TRIM(IF(COUNTIFS(Calc!$B$2:$B$1601,ROW()-1,Calc!$C$2:$C$1601,"&lt;1")&gt;0,"Ada PO tanpa Koli - cek TMP. ","")&amp;IF(LEN($R748)&gt;500,"R &gt; 500 karakter.","")))</f>
        <v/>
      </c>
    </row>
    <row r="749">
      <c r="A749">
        <f>IF($AG749="","",INDEX('TMP Paste'!$B$2:$B$1601,$AG749))</f>
        <v/>
      </c>
      <c r="B749">
        <f>IF($AG749="","",Config!$B$14)</f>
        <v/>
      </c>
      <c r="C749">
        <f>IF($AG749="","",Config!$B$15)</f>
        <v/>
      </c>
      <c r="D749">
        <f>IF($AG749="","",INDEX('TMP Paste'!$B$2:$B$1601,$AG749))</f>
        <v/>
      </c>
      <c r="E749">
        <f>IF($AG749="","",Config!$B$27)</f>
        <v/>
      </c>
      <c r="F749">
        <f>IF($AG749="","",Config!$B$9)</f>
        <v/>
      </c>
      <c r="G749">
        <f>IF($AG749="","",Config!$B$10)</f>
        <v/>
      </c>
      <c r="H749">
        <f>IF($AG749="","",Config!$B$11)</f>
        <v/>
      </c>
      <c r="I749">
        <f>IF($AG749="","",Config!$B$16)</f>
        <v/>
      </c>
      <c r="J749">
        <f>IF($AG749="","",INDEX('TMP Paste'!$A$2:$A$1601,$AG749))</f>
        <v/>
      </c>
      <c r="K749">
        <f>IF($AG749="","",INDEX('TMP Paste'!$L$2:$L$1601,$AG749))</f>
        <v/>
      </c>
      <c r="L749">
        <f>IF($AG749="","",INDEX('TMP Paste'!$I$2:$I$1601,$AG749))</f>
        <v/>
      </c>
      <c r="M749">
        <f>IF($AG749="","",Config!$B$16)</f>
        <v/>
      </c>
      <c r="N749">
        <f>IF($AG749="","","")</f>
        <v/>
      </c>
      <c r="O749">
        <f>IF($AG749="","",INDEX('TMP Paste'!$K$2:$K$1601,$AG749))</f>
        <v/>
      </c>
      <c r="P749">
        <f>IF($AG749="","","")</f>
        <v/>
      </c>
      <c r="Q749">
        <f>IF($AG749="","",INDEX('TMP Paste'!$J$2:$J$1601,$AG749))</f>
        <v/>
      </c>
      <c r="R749">
        <f>IF($AG749="","",Config!$B$24)</f>
        <v/>
      </c>
      <c r="S749">
        <f>IF($AG749="","",TEXT(Config!$B$4,"yyyy-mm-dd"))</f>
        <v/>
      </c>
      <c r="T749">
        <f>IF($AG749="","",Config!$B$17)</f>
        <v/>
      </c>
      <c r="U749">
        <f>IF($AG749="","",Config!$B$18)</f>
        <v/>
      </c>
      <c r="V749">
        <f>IF($AG749="","",Config!$B$19)</f>
        <v/>
      </c>
      <c r="W749">
        <f>IF($AG749="","",INDEX('TMP Paste'!$C$2:$C$1601,$AG749))</f>
        <v/>
      </c>
      <c r="X749">
        <f>IF($AG749="","",Config!$B$29)</f>
        <v/>
      </c>
      <c r="Y749">
        <f>IF($AH749="","",INDEX(Calc!$I$2:$I$1601,$AH749)&amp;" - "&amp;INDEX(Calc!$D$2:$D$1601,$AH749)&amp;" koli")</f>
        <v/>
      </c>
      <c r="Z749">
        <f>IF($AG749="","",Config!$B$21)</f>
        <v/>
      </c>
      <c r="AA749">
        <f>IF($AG749="","",Config!$B$22)</f>
        <v/>
      </c>
      <c r="AB749">
        <f>IF($AH749="","",INDEX(Calc!$D$2:$D$1601,$AH749))</f>
        <v/>
      </c>
      <c r="AC749">
        <f>IF($AH749="","",INDEX(Calc!$G$2:$G$1601,$AH749))</f>
        <v/>
      </c>
      <c r="AD749">
        <f>IF($AG749="","",Config!$B$23)</f>
        <v/>
      </c>
      <c r="AE749">
        <f>IF($AG749="","",Config!$B$28)</f>
        <v/>
      </c>
      <c r="AG749">
        <f>IFERROR(MATCH(ROW()-1,Calc!$J$2:$J$1601,0),"")</f>
        <v/>
      </c>
      <c r="AH749">
        <f>IFERROR(MATCH(ROW()-1,Calc!$K$2:$K$1601,0),"")</f>
        <v/>
      </c>
      <c r="AI749">
        <f>IF($AG749="","",SUMIF($AG$2:$AG749,$AG749,$AH$2:$AH749))</f>
        <v/>
      </c>
      <c r="AJ749">
        <f>IF('TMP Paste'!$F749="","",IF('TMP Paste'!$B749="",$AJ748,'TMP Paste'!$B749))</f>
        <v/>
      </c>
      <c r="AK749">
        <f>IF('TMP Paste'!$F749="","",N('TMP Paste'!$G749))</f>
        <v/>
      </c>
      <c r="AL749">
        <f>IF('TMP Paste'!$F749="","",IF('TMP Paste'!$M749="",$AL748,'TMP Paste'!$M749))</f>
        <v/>
      </c>
      <c r="AM749">
        <f>IF('TMP Paste'!$F749="","",IF('TMP Paste'!$N749="",$AM748,'TMP Paste'!$N749))</f>
        <v/>
      </c>
      <c r="AN749">
        <f>IF('TMP Paste'!$F749="","",IF('TMP Paste'!$O749="",$AN748,'TMP Paste'!$O749))</f>
        <v/>
      </c>
      <c r="AO749">
        <f>IF('TMP Paste'!$F749="","",IF('TMP Paste'!$P749="",$AO748,'TMP Paste'!$P749))</f>
        <v/>
      </c>
      <c r="AP749">
        <f>IF($AG749="","",LEN($R749))</f>
        <v/>
      </c>
      <c r="AQ749">
        <f>IF($AG749="","",TRIM(IF(COUNTIFS(Calc!$B$2:$B$1601,ROW()-1,Calc!$C$2:$C$1601,"&lt;1")&gt;0,"Ada PO tanpa Koli - cek TMP. ","")&amp;IF(LEN($R749)&gt;500,"R &gt; 500 karakter.","")))</f>
        <v/>
      </c>
    </row>
    <row r="750">
      <c r="A750">
        <f>IF($AG750="","",INDEX('TMP Paste'!$B$2:$B$1601,$AG750))</f>
        <v/>
      </c>
      <c r="B750">
        <f>IF($AG750="","",Config!$B$14)</f>
        <v/>
      </c>
      <c r="C750">
        <f>IF($AG750="","",Config!$B$15)</f>
        <v/>
      </c>
      <c r="D750">
        <f>IF($AG750="","",INDEX('TMP Paste'!$B$2:$B$1601,$AG750))</f>
        <v/>
      </c>
      <c r="E750">
        <f>IF($AG750="","",Config!$B$27)</f>
        <v/>
      </c>
      <c r="F750">
        <f>IF($AG750="","",Config!$B$9)</f>
        <v/>
      </c>
      <c r="G750">
        <f>IF($AG750="","",Config!$B$10)</f>
        <v/>
      </c>
      <c r="H750">
        <f>IF($AG750="","",Config!$B$11)</f>
        <v/>
      </c>
      <c r="I750">
        <f>IF($AG750="","",Config!$B$16)</f>
        <v/>
      </c>
      <c r="J750">
        <f>IF($AG750="","",INDEX('TMP Paste'!$A$2:$A$1601,$AG750))</f>
        <v/>
      </c>
      <c r="K750">
        <f>IF($AG750="","",INDEX('TMP Paste'!$L$2:$L$1601,$AG750))</f>
        <v/>
      </c>
      <c r="L750">
        <f>IF($AG750="","",INDEX('TMP Paste'!$I$2:$I$1601,$AG750))</f>
        <v/>
      </c>
      <c r="M750">
        <f>IF($AG750="","",Config!$B$16)</f>
        <v/>
      </c>
      <c r="N750">
        <f>IF($AG750="","","")</f>
        <v/>
      </c>
      <c r="O750">
        <f>IF($AG750="","",INDEX('TMP Paste'!$K$2:$K$1601,$AG750))</f>
        <v/>
      </c>
      <c r="P750">
        <f>IF($AG750="","","")</f>
        <v/>
      </c>
      <c r="Q750">
        <f>IF($AG750="","",INDEX('TMP Paste'!$J$2:$J$1601,$AG750))</f>
        <v/>
      </c>
      <c r="R750">
        <f>IF($AG750="","",Config!$B$24)</f>
        <v/>
      </c>
      <c r="S750">
        <f>IF($AG750="","",TEXT(Config!$B$4,"yyyy-mm-dd"))</f>
        <v/>
      </c>
      <c r="T750">
        <f>IF($AG750="","",Config!$B$17)</f>
        <v/>
      </c>
      <c r="U750">
        <f>IF($AG750="","",Config!$B$18)</f>
        <v/>
      </c>
      <c r="V750">
        <f>IF($AG750="","",Config!$B$19)</f>
        <v/>
      </c>
      <c r="W750">
        <f>IF($AG750="","",INDEX('TMP Paste'!$C$2:$C$1601,$AG750))</f>
        <v/>
      </c>
      <c r="X750">
        <f>IF($AG750="","",Config!$B$29)</f>
        <v/>
      </c>
      <c r="Y750">
        <f>IF($AH750="","",INDEX(Calc!$I$2:$I$1601,$AH750)&amp;" - "&amp;INDEX(Calc!$D$2:$D$1601,$AH750)&amp;" koli")</f>
        <v/>
      </c>
      <c r="Z750">
        <f>IF($AG750="","",Config!$B$21)</f>
        <v/>
      </c>
      <c r="AA750">
        <f>IF($AG750="","",Config!$B$22)</f>
        <v/>
      </c>
      <c r="AB750">
        <f>IF($AH750="","",INDEX(Calc!$D$2:$D$1601,$AH750))</f>
        <v/>
      </c>
      <c r="AC750">
        <f>IF($AH750="","",INDEX(Calc!$G$2:$G$1601,$AH750))</f>
        <v/>
      </c>
      <c r="AD750">
        <f>IF($AG750="","",Config!$B$23)</f>
        <v/>
      </c>
      <c r="AE750">
        <f>IF($AG750="","",Config!$B$28)</f>
        <v/>
      </c>
      <c r="AG750">
        <f>IFERROR(MATCH(ROW()-1,Calc!$J$2:$J$1601,0),"")</f>
        <v/>
      </c>
      <c r="AH750">
        <f>IFERROR(MATCH(ROW()-1,Calc!$K$2:$K$1601,0),"")</f>
        <v/>
      </c>
      <c r="AI750">
        <f>IF($AG750="","",SUMIF($AG$2:$AG750,$AG750,$AH$2:$AH750))</f>
        <v/>
      </c>
      <c r="AJ750">
        <f>IF('TMP Paste'!$F750="","",IF('TMP Paste'!$B750="",$AJ749,'TMP Paste'!$B750))</f>
        <v/>
      </c>
      <c r="AK750">
        <f>IF('TMP Paste'!$F750="","",N('TMP Paste'!$G750))</f>
        <v/>
      </c>
      <c r="AL750">
        <f>IF('TMP Paste'!$F750="","",IF('TMP Paste'!$M750="",$AL749,'TMP Paste'!$M750))</f>
        <v/>
      </c>
      <c r="AM750">
        <f>IF('TMP Paste'!$F750="","",IF('TMP Paste'!$N750="",$AM749,'TMP Paste'!$N750))</f>
        <v/>
      </c>
      <c r="AN750">
        <f>IF('TMP Paste'!$F750="","",IF('TMP Paste'!$O750="",$AN749,'TMP Paste'!$O750))</f>
        <v/>
      </c>
      <c r="AO750">
        <f>IF('TMP Paste'!$F750="","",IF('TMP Paste'!$P750="",$AO749,'TMP Paste'!$P750))</f>
        <v/>
      </c>
      <c r="AP750">
        <f>IF($AG750="","",LEN($R750))</f>
        <v/>
      </c>
      <c r="AQ750">
        <f>IF($AG750="","",TRIM(IF(COUNTIFS(Calc!$B$2:$B$1601,ROW()-1,Calc!$C$2:$C$1601,"&lt;1")&gt;0,"Ada PO tanpa Koli - cek TMP. ","")&amp;IF(LEN($R750)&gt;500,"R &gt; 500 karakter.","")))</f>
        <v/>
      </c>
    </row>
    <row r="751">
      <c r="A751">
        <f>IF($AG751="","",INDEX('TMP Paste'!$B$2:$B$1601,$AG751))</f>
        <v/>
      </c>
      <c r="B751">
        <f>IF($AG751="","",Config!$B$14)</f>
        <v/>
      </c>
      <c r="C751">
        <f>IF($AG751="","",Config!$B$15)</f>
        <v/>
      </c>
      <c r="D751">
        <f>IF($AG751="","",INDEX('TMP Paste'!$B$2:$B$1601,$AG751))</f>
        <v/>
      </c>
      <c r="E751">
        <f>IF($AG751="","",Config!$B$27)</f>
        <v/>
      </c>
      <c r="F751">
        <f>IF($AG751="","",Config!$B$9)</f>
        <v/>
      </c>
      <c r="G751">
        <f>IF($AG751="","",Config!$B$10)</f>
        <v/>
      </c>
      <c r="H751">
        <f>IF($AG751="","",Config!$B$11)</f>
        <v/>
      </c>
      <c r="I751">
        <f>IF($AG751="","",Config!$B$16)</f>
        <v/>
      </c>
      <c r="J751">
        <f>IF($AG751="","",INDEX('TMP Paste'!$A$2:$A$1601,$AG751))</f>
        <v/>
      </c>
      <c r="K751">
        <f>IF($AG751="","",INDEX('TMP Paste'!$L$2:$L$1601,$AG751))</f>
        <v/>
      </c>
      <c r="L751">
        <f>IF($AG751="","",INDEX('TMP Paste'!$I$2:$I$1601,$AG751))</f>
        <v/>
      </c>
      <c r="M751">
        <f>IF($AG751="","",Config!$B$16)</f>
        <v/>
      </c>
      <c r="N751">
        <f>IF($AG751="","","")</f>
        <v/>
      </c>
      <c r="O751">
        <f>IF($AG751="","",INDEX('TMP Paste'!$K$2:$K$1601,$AG751))</f>
        <v/>
      </c>
      <c r="P751">
        <f>IF($AG751="","","")</f>
        <v/>
      </c>
      <c r="Q751">
        <f>IF($AG751="","",INDEX('TMP Paste'!$J$2:$J$1601,$AG751))</f>
        <v/>
      </c>
      <c r="R751">
        <f>IF($AG751="","",Config!$B$24)</f>
        <v/>
      </c>
      <c r="S751">
        <f>IF($AG751="","",TEXT(Config!$B$4,"yyyy-mm-dd"))</f>
        <v/>
      </c>
      <c r="T751">
        <f>IF($AG751="","",Config!$B$17)</f>
        <v/>
      </c>
      <c r="U751">
        <f>IF($AG751="","",Config!$B$18)</f>
        <v/>
      </c>
      <c r="V751">
        <f>IF($AG751="","",Config!$B$19)</f>
        <v/>
      </c>
      <c r="W751">
        <f>IF($AG751="","",INDEX('TMP Paste'!$C$2:$C$1601,$AG751))</f>
        <v/>
      </c>
      <c r="X751">
        <f>IF($AG751="","",Config!$B$29)</f>
        <v/>
      </c>
      <c r="Y751">
        <f>IF($AH751="","",INDEX(Calc!$I$2:$I$1601,$AH751)&amp;" - "&amp;INDEX(Calc!$D$2:$D$1601,$AH751)&amp;" koli")</f>
        <v/>
      </c>
      <c r="Z751">
        <f>IF($AG751="","",Config!$B$21)</f>
        <v/>
      </c>
      <c r="AA751">
        <f>IF($AG751="","",Config!$B$22)</f>
        <v/>
      </c>
      <c r="AB751">
        <f>IF($AH751="","",INDEX(Calc!$D$2:$D$1601,$AH751))</f>
        <v/>
      </c>
      <c r="AC751">
        <f>IF($AH751="","",INDEX(Calc!$G$2:$G$1601,$AH751))</f>
        <v/>
      </c>
      <c r="AD751">
        <f>IF($AG751="","",Config!$B$23)</f>
        <v/>
      </c>
      <c r="AE751">
        <f>IF($AG751="","",Config!$B$28)</f>
        <v/>
      </c>
      <c r="AG751">
        <f>IFERROR(MATCH(ROW()-1,Calc!$J$2:$J$1601,0),"")</f>
        <v/>
      </c>
      <c r="AH751">
        <f>IFERROR(MATCH(ROW()-1,Calc!$K$2:$K$1601,0),"")</f>
        <v/>
      </c>
      <c r="AI751">
        <f>IF($AG751="","",SUMIF($AG$2:$AG751,$AG751,$AH$2:$AH751))</f>
        <v/>
      </c>
      <c r="AJ751">
        <f>IF('TMP Paste'!$F751="","",IF('TMP Paste'!$B751="",$AJ750,'TMP Paste'!$B751))</f>
        <v/>
      </c>
      <c r="AK751">
        <f>IF('TMP Paste'!$F751="","",N('TMP Paste'!$G751))</f>
        <v/>
      </c>
      <c r="AL751">
        <f>IF('TMP Paste'!$F751="","",IF('TMP Paste'!$M751="",$AL750,'TMP Paste'!$M751))</f>
        <v/>
      </c>
      <c r="AM751">
        <f>IF('TMP Paste'!$F751="","",IF('TMP Paste'!$N751="",$AM750,'TMP Paste'!$N751))</f>
        <v/>
      </c>
      <c r="AN751">
        <f>IF('TMP Paste'!$F751="","",IF('TMP Paste'!$O751="",$AN750,'TMP Paste'!$O751))</f>
        <v/>
      </c>
      <c r="AO751">
        <f>IF('TMP Paste'!$F751="","",IF('TMP Paste'!$P751="",$AO750,'TMP Paste'!$P751))</f>
        <v/>
      </c>
      <c r="AP751">
        <f>IF($AG751="","",LEN($R751))</f>
        <v/>
      </c>
      <c r="AQ751">
        <f>IF($AG751="","",TRIM(IF(COUNTIFS(Calc!$B$2:$B$1601,ROW()-1,Calc!$C$2:$C$1601,"&lt;1")&gt;0,"Ada PO tanpa Koli - cek TMP. ","")&amp;IF(LEN($R751)&gt;500,"R &gt; 500 karakter.","")))</f>
        <v/>
      </c>
    </row>
    <row r="752">
      <c r="A752">
        <f>IF($AG752="","",INDEX('TMP Paste'!$B$2:$B$1601,$AG752))</f>
        <v/>
      </c>
      <c r="B752">
        <f>IF($AG752="","",Config!$B$14)</f>
        <v/>
      </c>
      <c r="C752">
        <f>IF($AG752="","",Config!$B$15)</f>
        <v/>
      </c>
      <c r="D752">
        <f>IF($AG752="","",INDEX('TMP Paste'!$B$2:$B$1601,$AG752))</f>
        <v/>
      </c>
      <c r="E752">
        <f>IF($AG752="","",Config!$B$27)</f>
        <v/>
      </c>
      <c r="F752">
        <f>IF($AG752="","",Config!$B$9)</f>
        <v/>
      </c>
      <c r="G752">
        <f>IF($AG752="","",Config!$B$10)</f>
        <v/>
      </c>
      <c r="H752">
        <f>IF($AG752="","",Config!$B$11)</f>
        <v/>
      </c>
      <c r="I752">
        <f>IF($AG752="","",Config!$B$16)</f>
        <v/>
      </c>
      <c r="J752">
        <f>IF($AG752="","",INDEX('TMP Paste'!$A$2:$A$1601,$AG752))</f>
        <v/>
      </c>
      <c r="K752">
        <f>IF($AG752="","",INDEX('TMP Paste'!$L$2:$L$1601,$AG752))</f>
        <v/>
      </c>
      <c r="L752">
        <f>IF($AG752="","",INDEX('TMP Paste'!$I$2:$I$1601,$AG752))</f>
        <v/>
      </c>
      <c r="M752">
        <f>IF($AG752="","",Config!$B$16)</f>
        <v/>
      </c>
      <c r="N752">
        <f>IF($AG752="","","")</f>
        <v/>
      </c>
      <c r="O752">
        <f>IF($AG752="","",INDEX('TMP Paste'!$K$2:$K$1601,$AG752))</f>
        <v/>
      </c>
      <c r="P752">
        <f>IF($AG752="","","")</f>
        <v/>
      </c>
      <c r="Q752">
        <f>IF($AG752="","",INDEX('TMP Paste'!$J$2:$J$1601,$AG752))</f>
        <v/>
      </c>
      <c r="R752">
        <f>IF($AG752="","",Config!$B$24)</f>
        <v/>
      </c>
      <c r="S752">
        <f>IF($AG752="","",TEXT(Config!$B$4,"yyyy-mm-dd"))</f>
        <v/>
      </c>
      <c r="T752">
        <f>IF($AG752="","",Config!$B$17)</f>
        <v/>
      </c>
      <c r="U752">
        <f>IF($AG752="","",Config!$B$18)</f>
        <v/>
      </c>
      <c r="V752">
        <f>IF($AG752="","",Config!$B$19)</f>
        <v/>
      </c>
      <c r="W752">
        <f>IF($AG752="","",INDEX('TMP Paste'!$C$2:$C$1601,$AG752))</f>
        <v/>
      </c>
      <c r="X752">
        <f>IF($AG752="","",Config!$B$29)</f>
        <v/>
      </c>
      <c r="Y752">
        <f>IF($AH752="","",INDEX(Calc!$I$2:$I$1601,$AH752)&amp;" - "&amp;INDEX(Calc!$D$2:$D$1601,$AH752)&amp;" koli")</f>
        <v/>
      </c>
      <c r="Z752">
        <f>IF($AG752="","",Config!$B$21)</f>
        <v/>
      </c>
      <c r="AA752">
        <f>IF($AG752="","",Config!$B$22)</f>
        <v/>
      </c>
      <c r="AB752">
        <f>IF($AH752="","",INDEX(Calc!$D$2:$D$1601,$AH752))</f>
        <v/>
      </c>
      <c r="AC752">
        <f>IF($AH752="","",INDEX(Calc!$G$2:$G$1601,$AH752))</f>
        <v/>
      </c>
      <c r="AD752">
        <f>IF($AG752="","",Config!$B$23)</f>
        <v/>
      </c>
      <c r="AE752">
        <f>IF($AG752="","",Config!$B$28)</f>
        <v/>
      </c>
      <c r="AG752">
        <f>IFERROR(MATCH(ROW()-1,Calc!$J$2:$J$1601,0),"")</f>
        <v/>
      </c>
      <c r="AH752">
        <f>IFERROR(MATCH(ROW()-1,Calc!$K$2:$K$1601,0),"")</f>
        <v/>
      </c>
      <c r="AI752">
        <f>IF($AG752="","",SUMIF($AG$2:$AG752,$AG752,$AH$2:$AH752))</f>
        <v/>
      </c>
      <c r="AJ752">
        <f>IF('TMP Paste'!$F752="","",IF('TMP Paste'!$B752="",$AJ751,'TMP Paste'!$B752))</f>
        <v/>
      </c>
      <c r="AK752">
        <f>IF('TMP Paste'!$F752="","",N('TMP Paste'!$G752))</f>
        <v/>
      </c>
      <c r="AL752">
        <f>IF('TMP Paste'!$F752="","",IF('TMP Paste'!$M752="",$AL751,'TMP Paste'!$M752))</f>
        <v/>
      </c>
      <c r="AM752">
        <f>IF('TMP Paste'!$F752="","",IF('TMP Paste'!$N752="",$AM751,'TMP Paste'!$N752))</f>
        <v/>
      </c>
      <c r="AN752">
        <f>IF('TMP Paste'!$F752="","",IF('TMP Paste'!$O752="",$AN751,'TMP Paste'!$O752))</f>
        <v/>
      </c>
      <c r="AO752">
        <f>IF('TMP Paste'!$F752="","",IF('TMP Paste'!$P752="",$AO751,'TMP Paste'!$P752))</f>
        <v/>
      </c>
      <c r="AP752">
        <f>IF($AG752="","",LEN($R752))</f>
        <v/>
      </c>
      <c r="AQ752">
        <f>IF($AG752="","",TRIM(IF(COUNTIFS(Calc!$B$2:$B$1601,ROW()-1,Calc!$C$2:$C$1601,"&lt;1")&gt;0,"Ada PO tanpa Koli - cek TMP. ","")&amp;IF(LEN($R752)&gt;500,"R &gt; 500 karakter.","")))</f>
        <v/>
      </c>
    </row>
    <row r="753">
      <c r="A753">
        <f>IF($AG753="","",INDEX('TMP Paste'!$B$2:$B$1601,$AG753))</f>
        <v/>
      </c>
      <c r="B753">
        <f>IF($AG753="","",Config!$B$14)</f>
        <v/>
      </c>
      <c r="C753">
        <f>IF($AG753="","",Config!$B$15)</f>
        <v/>
      </c>
      <c r="D753">
        <f>IF($AG753="","",INDEX('TMP Paste'!$B$2:$B$1601,$AG753))</f>
        <v/>
      </c>
      <c r="E753">
        <f>IF($AG753="","",Config!$B$27)</f>
        <v/>
      </c>
      <c r="F753">
        <f>IF($AG753="","",Config!$B$9)</f>
        <v/>
      </c>
      <c r="G753">
        <f>IF($AG753="","",Config!$B$10)</f>
        <v/>
      </c>
      <c r="H753">
        <f>IF($AG753="","",Config!$B$11)</f>
        <v/>
      </c>
      <c r="I753">
        <f>IF($AG753="","",Config!$B$16)</f>
        <v/>
      </c>
      <c r="J753">
        <f>IF($AG753="","",INDEX('TMP Paste'!$A$2:$A$1601,$AG753))</f>
        <v/>
      </c>
      <c r="K753">
        <f>IF($AG753="","",INDEX('TMP Paste'!$L$2:$L$1601,$AG753))</f>
        <v/>
      </c>
      <c r="L753">
        <f>IF($AG753="","",INDEX('TMP Paste'!$I$2:$I$1601,$AG753))</f>
        <v/>
      </c>
      <c r="M753">
        <f>IF($AG753="","",Config!$B$16)</f>
        <v/>
      </c>
      <c r="N753">
        <f>IF($AG753="","","")</f>
        <v/>
      </c>
      <c r="O753">
        <f>IF($AG753="","",INDEX('TMP Paste'!$K$2:$K$1601,$AG753))</f>
        <v/>
      </c>
      <c r="P753">
        <f>IF($AG753="","","")</f>
        <v/>
      </c>
      <c r="Q753">
        <f>IF($AG753="","",INDEX('TMP Paste'!$J$2:$J$1601,$AG753))</f>
        <v/>
      </c>
      <c r="R753">
        <f>IF($AG753="","",Config!$B$24)</f>
        <v/>
      </c>
      <c r="S753">
        <f>IF($AG753="","",TEXT(Config!$B$4,"yyyy-mm-dd"))</f>
        <v/>
      </c>
      <c r="T753">
        <f>IF($AG753="","",Config!$B$17)</f>
        <v/>
      </c>
      <c r="U753">
        <f>IF($AG753="","",Config!$B$18)</f>
        <v/>
      </c>
      <c r="V753">
        <f>IF($AG753="","",Config!$B$19)</f>
        <v/>
      </c>
      <c r="W753">
        <f>IF($AG753="","",INDEX('TMP Paste'!$C$2:$C$1601,$AG753))</f>
        <v/>
      </c>
      <c r="X753">
        <f>IF($AG753="","",Config!$B$29)</f>
        <v/>
      </c>
      <c r="Y753">
        <f>IF($AH753="","",INDEX(Calc!$I$2:$I$1601,$AH753)&amp;" - "&amp;INDEX(Calc!$D$2:$D$1601,$AH753)&amp;" koli")</f>
        <v/>
      </c>
      <c r="Z753">
        <f>IF($AG753="","",Config!$B$21)</f>
        <v/>
      </c>
      <c r="AA753">
        <f>IF($AG753="","",Config!$B$22)</f>
        <v/>
      </c>
      <c r="AB753">
        <f>IF($AH753="","",INDEX(Calc!$D$2:$D$1601,$AH753))</f>
        <v/>
      </c>
      <c r="AC753">
        <f>IF($AH753="","",INDEX(Calc!$G$2:$G$1601,$AH753))</f>
        <v/>
      </c>
      <c r="AD753">
        <f>IF($AG753="","",Config!$B$23)</f>
        <v/>
      </c>
      <c r="AE753">
        <f>IF($AG753="","",Config!$B$28)</f>
        <v/>
      </c>
      <c r="AG753">
        <f>IFERROR(MATCH(ROW()-1,Calc!$J$2:$J$1601,0),"")</f>
        <v/>
      </c>
      <c r="AH753">
        <f>IFERROR(MATCH(ROW()-1,Calc!$K$2:$K$1601,0),"")</f>
        <v/>
      </c>
      <c r="AI753">
        <f>IF($AG753="","",SUMIF($AG$2:$AG753,$AG753,$AH$2:$AH753))</f>
        <v/>
      </c>
      <c r="AJ753">
        <f>IF('TMP Paste'!$F753="","",IF('TMP Paste'!$B753="",$AJ752,'TMP Paste'!$B753))</f>
        <v/>
      </c>
      <c r="AK753">
        <f>IF('TMP Paste'!$F753="","",N('TMP Paste'!$G753))</f>
        <v/>
      </c>
      <c r="AL753">
        <f>IF('TMP Paste'!$F753="","",IF('TMP Paste'!$M753="",$AL752,'TMP Paste'!$M753))</f>
        <v/>
      </c>
      <c r="AM753">
        <f>IF('TMP Paste'!$F753="","",IF('TMP Paste'!$N753="",$AM752,'TMP Paste'!$N753))</f>
        <v/>
      </c>
      <c r="AN753">
        <f>IF('TMP Paste'!$F753="","",IF('TMP Paste'!$O753="",$AN752,'TMP Paste'!$O753))</f>
        <v/>
      </c>
      <c r="AO753">
        <f>IF('TMP Paste'!$F753="","",IF('TMP Paste'!$P753="",$AO752,'TMP Paste'!$P753))</f>
        <v/>
      </c>
      <c r="AP753">
        <f>IF($AG753="","",LEN($R753))</f>
        <v/>
      </c>
      <c r="AQ753">
        <f>IF($AG753="","",TRIM(IF(COUNTIFS(Calc!$B$2:$B$1601,ROW()-1,Calc!$C$2:$C$1601,"&lt;1")&gt;0,"Ada PO tanpa Koli - cek TMP. ","")&amp;IF(LEN($R753)&gt;500,"R &gt; 500 karakter.","")))</f>
        <v/>
      </c>
    </row>
    <row r="754">
      <c r="A754">
        <f>IF($AG754="","",INDEX('TMP Paste'!$B$2:$B$1601,$AG754))</f>
        <v/>
      </c>
      <c r="B754">
        <f>IF($AG754="","",Config!$B$14)</f>
        <v/>
      </c>
      <c r="C754">
        <f>IF($AG754="","",Config!$B$15)</f>
        <v/>
      </c>
      <c r="D754">
        <f>IF($AG754="","",INDEX('TMP Paste'!$B$2:$B$1601,$AG754))</f>
        <v/>
      </c>
      <c r="E754">
        <f>IF($AG754="","",Config!$B$27)</f>
        <v/>
      </c>
      <c r="F754">
        <f>IF($AG754="","",Config!$B$9)</f>
        <v/>
      </c>
      <c r="G754">
        <f>IF($AG754="","",Config!$B$10)</f>
        <v/>
      </c>
      <c r="H754">
        <f>IF($AG754="","",Config!$B$11)</f>
        <v/>
      </c>
      <c r="I754">
        <f>IF($AG754="","",Config!$B$16)</f>
        <v/>
      </c>
      <c r="J754">
        <f>IF($AG754="","",INDEX('TMP Paste'!$A$2:$A$1601,$AG754))</f>
        <v/>
      </c>
      <c r="K754">
        <f>IF($AG754="","",INDEX('TMP Paste'!$L$2:$L$1601,$AG754))</f>
        <v/>
      </c>
      <c r="L754">
        <f>IF($AG754="","",INDEX('TMP Paste'!$I$2:$I$1601,$AG754))</f>
        <v/>
      </c>
      <c r="M754">
        <f>IF($AG754="","",Config!$B$16)</f>
        <v/>
      </c>
      <c r="N754">
        <f>IF($AG754="","","")</f>
        <v/>
      </c>
      <c r="O754">
        <f>IF($AG754="","",INDEX('TMP Paste'!$K$2:$K$1601,$AG754))</f>
        <v/>
      </c>
      <c r="P754">
        <f>IF($AG754="","","")</f>
        <v/>
      </c>
      <c r="Q754">
        <f>IF($AG754="","",INDEX('TMP Paste'!$J$2:$J$1601,$AG754))</f>
        <v/>
      </c>
      <c r="R754">
        <f>IF($AG754="","",Config!$B$24)</f>
        <v/>
      </c>
      <c r="S754">
        <f>IF($AG754="","",TEXT(Config!$B$4,"yyyy-mm-dd"))</f>
        <v/>
      </c>
      <c r="T754">
        <f>IF($AG754="","",Config!$B$17)</f>
        <v/>
      </c>
      <c r="U754">
        <f>IF($AG754="","",Config!$B$18)</f>
        <v/>
      </c>
      <c r="V754">
        <f>IF($AG754="","",Config!$B$19)</f>
        <v/>
      </c>
      <c r="W754">
        <f>IF($AG754="","",INDEX('TMP Paste'!$C$2:$C$1601,$AG754))</f>
        <v/>
      </c>
      <c r="X754">
        <f>IF($AG754="","",Config!$B$29)</f>
        <v/>
      </c>
      <c r="Y754">
        <f>IF($AH754="","",INDEX(Calc!$I$2:$I$1601,$AH754)&amp;" - "&amp;INDEX(Calc!$D$2:$D$1601,$AH754)&amp;" koli")</f>
        <v/>
      </c>
      <c r="Z754">
        <f>IF($AG754="","",Config!$B$21)</f>
        <v/>
      </c>
      <c r="AA754">
        <f>IF($AG754="","",Config!$B$22)</f>
        <v/>
      </c>
      <c r="AB754">
        <f>IF($AH754="","",INDEX(Calc!$D$2:$D$1601,$AH754))</f>
        <v/>
      </c>
      <c r="AC754">
        <f>IF($AH754="","",INDEX(Calc!$G$2:$G$1601,$AH754))</f>
        <v/>
      </c>
      <c r="AD754">
        <f>IF($AG754="","",Config!$B$23)</f>
        <v/>
      </c>
      <c r="AE754">
        <f>IF($AG754="","",Config!$B$28)</f>
        <v/>
      </c>
      <c r="AG754">
        <f>IFERROR(MATCH(ROW()-1,Calc!$J$2:$J$1601,0),"")</f>
        <v/>
      </c>
      <c r="AH754">
        <f>IFERROR(MATCH(ROW()-1,Calc!$K$2:$K$1601,0),"")</f>
        <v/>
      </c>
      <c r="AI754">
        <f>IF($AG754="","",SUMIF($AG$2:$AG754,$AG754,$AH$2:$AH754))</f>
        <v/>
      </c>
      <c r="AJ754">
        <f>IF('TMP Paste'!$F754="","",IF('TMP Paste'!$B754="",$AJ753,'TMP Paste'!$B754))</f>
        <v/>
      </c>
      <c r="AK754">
        <f>IF('TMP Paste'!$F754="","",N('TMP Paste'!$G754))</f>
        <v/>
      </c>
      <c r="AL754">
        <f>IF('TMP Paste'!$F754="","",IF('TMP Paste'!$M754="",$AL753,'TMP Paste'!$M754))</f>
        <v/>
      </c>
      <c r="AM754">
        <f>IF('TMP Paste'!$F754="","",IF('TMP Paste'!$N754="",$AM753,'TMP Paste'!$N754))</f>
        <v/>
      </c>
      <c r="AN754">
        <f>IF('TMP Paste'!$F754="","",IF('TMP Paste'!$O754="",$AN753,'TMP Paste'!$O754))</f>
        <v/>
      </c>
      <c r="AO754">
        <f>IF('TMP Paste'!$F754="","",IF('TMP Paste'!$P754="",$AO753,'TMP Paste'!$P754))</f>
        <v/>
      </c>
      <c r="AP754">
        <f>IF($AG754="","",LEN($R754))</f>
        <v/>
      </c>
      <c r="AQ754">
        <f>IF($AG754="","",TRIM(IF(COUNTIFS(Calc!$B$2:$B$1601,ROW()-1,Calc!$C$2:$C$1601,"&lt;1")&gt;0,"Ada PO tanpa Koli - cek TMP. ","")&amp;IF(LEN($R754)&gt;500,"R &gt; 500 karakter.","")))</f>
        <v/>
      </c>
    </row>
    <row r="755">
      <c r="A755">
        <f>IF($AG755="","",INDEX('TMP Paste'!$B$2:$B$1601,$AG755))</f>
        <v/>
      </c>
      <c r="B755">
        <f>IF($AG755="","",Config!$B$14)</f>
        <v/>
      </c>
      <c r="C755">
        <f>IF($AG755="","",Config!$B$15)</f>
        <v/>
      </c>
      <c r="D755">
        <f>IF($AG755="","",INDEX('TMP Paste'!$B$2:$B$1601,$AG755))</f>
        <v/>
      </c>
      <c r="E755">
        <f>IF($AG755="","",Config!$B$27)</f>
        <v/>
      </c>
      <c r="F755">
        <f>IF($AG755="","",Config!$B$9)</f>
        <v/>
      </c>
      <c r="G755">
        <f>IF($AG755="","",Config!$B$10)</f>
        <v/>
      </c>
      <c r="H755">
        <f>IF($AG755="","",Config!$B$11)</f>
        <v/>
      </c>
      <c r="I755">
        <f>IF($AG755="","",Config!$B$16)</f>
        <v/>
      </c>
      <c r="J755">
        <f>IF($AG755="","",INDEX('TMP Paste'!$A$2:$A$1601,$AG755))</f>
        <v/>
      </c>
      <c r="K755">
        <f>IF($AG755="","",INDEX('TMP Paste'!$L$2:$L$1601,$AG755))</f>
        <v/>
      </c>
      <c r="L755">
        <f>IF($AG755="","",INDEX('TMP Paste'!$I$2:$I$1601,$AG755))</f>
        <v/>
      </c>
      <c r="M755">
        <f>IF($AG755="","",Config!$B$16)</f>
        <v/>
      </c>
      <c r="N755">
        <f>IF($AG755="","","")</f>
        <v/>
      </c>
      <c r="O755">
        <f>IF($AG755="","",INDEX('TMP Paste'!$K$2:$K$1601,$AG755))</f>
        <v/>
      </c>
      <c r="P755">
        <f>IF($AG755="","","")</f>
        <v/>
      </c>
      <c r="Q755">
        <f>IF($AG755="","",INDEX('TMP Paste'!$J$2:$J$1601,$AG755))</f>
        <v/>
      </c>
      <c r="R755">
        <f>IF($AG755="","",Config!$B$24)</f>
        <v/>
      </c>
      <c r="S755">
        <f>IF($AG755="","",TEXT(Config!$B$4,"yyyy-mm-dd"))</f>
        <v/>
      </c>
      <c r="T755">
        <f>IF($AG755="","",Config!$B$17)</f>
        <v/>
      </c>
      <c r="U755">
        <f>IF($AG755="","",Config!$B$18)</f>
        <v/>
      </c>
      <c r="V755">
        <f>IF($AG755="","",Config!$B$19)</f>
        <v/>
      </c>
      <c r="W755">
        <f>IF($AG755="","",INDEX('TMP Paste'!$C$2:$C$1601,$AG755))</f>
        <v/>
      </c>
      <c r="X755">
        <f>IF($AG755="","",Config!$B$29)</f>
        <v/>
      </c>
      <c r="Y755">
        <f>IF($AH755="","",INDEX(Calc!$I$2:$I$1601,$AH755)&amp;" - "&amp;INDEX(Calc!$D$2:$D$1601,$AH755)&amp;" koli")</f>
        <v/>
      </c>
      <c r="Z755">
        <f>IF($AG755="","",Config!$B$21)</f>
        <v/>
      </c>
      <c r="AA755">
        <f>IF($AG755="","",Config!$B$22)</f>
        <v/>
      </c>
      <c r="AB755">
        <f>IF($AH755="","",INDEX(Calc!$D$2:$D$1601,$AH755))</f>
        <v/>
      </c>
      <c r="AC755">
        <f>IF($AH755="","",INDEX(Calc!$G$2:$G$1601,$AH755))</f>
        <v/>
      </c>
      <c r="AD755">
        <f>IF($AG755="","",Config!$B$23)</f>
        <v/>
      </c>
      <c r="AE755">
        <f>IF($AG755="","",Config!$B$28)</f>
        <v/>
      </c>
      <c r="AG755">
        <f>IFERROR(MATCH(ROW()-1,Calc!$J$2:$J$1601,0),"")</f>
        <v/>
      </c>
      <c r="AH755">
        <f>IFERROR(MATCH(ROW()-1,Calc!$K$2:$K$1601,0),"")</f>
        <v/>
      </c>
      <c r="AI755">
        <f>IF($AG755="","",SUMIF($AG$2:$AG755,$AG755,$AH$2:$AH755))</f>
        <v/>
      </c>
      <c r="AJ755">
        <f>IF('TMP Paste'!$F755="","",IF('TMP Paste'!$B755="",$AJ754,'TMP Paste'!$B755))</f>
        <v/>
      </c>
      <c r="AK755">
        <f>IF('TMP Paste'!$F755="","",N('TMP Paste'!$G755))</f>
        <v/>
      </c>
      <c r="AL755">
        <f>IF('TMP Paste'!$F755="","",IF('TMP Paste'!$M755="",$AL754,'TMP Paste'!$M755))</f>
        <v/>
      </c>
      <c r="AM755">
        <f>IF('TMP Paste'!$F755="","",IF('TMP Paste'!$N755="",$AM754,'TMP Paste'!$N755))</f>
        <v/>
      </c>
      <c r="AN755">
        <f>IF('TMP Paste'!$F755="","",IF('TMP Paste'!$O755="",$AN754,'TMP Paste'!$O755))</f>
        <v/>
      </c>
      <c r="AO755">
        <f>IF('TMP Paste'!$F755="","",IF('TMP Paste'!$P755="",$AO754,'TMP Paste'!$P755))</f>
        <v/>
      </c>
      <c r="AP755">
        <f>IF($AG755="","",LEN($R755))</f>
        <v/>
      </c>
      <c r="AQ755">
        <f>IF($AG755="","",TRIM(IF(COUNTIFS(Calc!$B$2:$B$1601,ROW()-1,Calc!$C$2:$C$1601,"&lt;1")&gt;0,"Ada PO tanpa Koli - cek TMP. ","")&amp;IF(LEN($R755)&gt;500,"R &gt; 500 karakter.","")))</f>
        <v/>
      </c>
    </row>
    <row r="756">
      <c r="A756">
        <f>IF($AG756="","",INDEX('TMP Paste'!$B$2:$B$1601,$AG756))</f>
        <v/>
      </c>
      <c r="B756">
        <f>IF($AG756="","",Config!$B$14)</f>
        <v/>
      </c>
      <c r="C756">
        <f>IF($AG756="","",Config!$B$15)</f>
        <v/>
      </c>
      <c r="D756">
        <f>IF($AG756="","",INDEX('TMP Paste'!$B$2:$B$1601,$AG756))</f>
        <v/>
      </c>
      <c r="E756">
        <f>IF($AG756="","",Config!$B$27)</f>
        <v/>
      </c>
      <c r="F756">
        <f>IF($AG756="","",Config!$B$9)</f>
        <v/>
      </c>
      <c r="G756">
        <f>IF($AG756="","",Config!$B$10)</f>
        <v/>
      </c>
      <c r="H756">
        <f>IF($AG756="","",Config!$B$11)</f>
        <v/>
      </c>
      <c r="I756">
        <f>IF($AG756="","",Config!$B$16)</f>
        <v/>
      </c>
      <c r="J756">
        <f>IF($AG756="","",INDEX('TMP Paste'!$A$2:$A$1601,$AG756))</f>
        <v/>
      </c>
      <c r="K756">
        <f>IF($AG756="","",INDEX('TMP Paste'!$L$2:$L$1601,$AG756))</f>
        <v/>
      </c>
      <c r="L756">
        <f>IF($AG756="","",INDEX('TMP Paste'!$I$2:$I$1601,$AG756))</f>
        <v/>
      </c>
      <c r="M756">
        <f>IF($AG756="","",Config!$B$16)</f>
        <v/>
      </c>
      <c r="N756">
        <f>IF($AG756="","","")</f>
        <v/>
      </c>
      <c r="O756">
        <f>IF($AG756="","",INDEX('TMP Paste'!$K$2:$K$1601,$AG756))</f>
        <v/>
      </c>
      <c r="P756">
        <f>IF($AG756="","","")</f>
        <v/>
      </c>
      <c r="Q756">
        <f>IF($AG756="","",INDEX('TMP Paste'!$J$2:$J$1601,$AG756))</f>
        <v/>
      </c>
      <c r="R756">
        <f>IF($AG756="","",Config!$B$24)</f>
        <v/>
      </c>
      <c r="S756">
        <f>IF($AG756="","",TEXT(Config!$B$4,"yyyy-mm-dd"))</f>
        <v/>
      </c>
      <c r="T756">
        <f>IF($AG756="","",Config!$B$17)</f>
        <v/>
      </c>
      <c r="U756">
        <f>IF($AG756="","",Config!$B$18)</f>
        <v/>
      </c>
      <c r="V756">
        <f>IF($AG756="","",Config!$B$19)</f>
        <v/>
      </c>
      <c r="W756">
        <f>IF($AG756="","",INDEX('TMP Paste'!$C$2:$C$1601,$AG756))</f>
        <v/>
      </c>
      <c r="X756">
        <f>IF($AG756="","",Config!$B$29)</f>
        <v/>
      </c>
      <c r="Y756">
        <f>IF($AH756="","",INDEX(Calc!$I$2:$I$1601,$AH756)&amp;" - "&amp;INDEX(Calc!$D$2:$D$1601,$AH756)&amp;" koli")</f>
        <v/>
      </c>
      <c r="Z756">
        <f>IF($AG756="","",Config!$B$21)</f>
        <v/>
      </c>
      <c r="AA756">
        <f>IF($AG756="","",Config!$B$22)</f>
        <v/>
      </c>
      <c r="AB756">
        <f>IF($AH756="","",INDEX(Calc!$D$2:$D$1601,$AH756))</f>
        <v/>
      </c>
      <c r="AC756">
        <f>IF($AH756="","",INDEX(Calc!$G$2:$G$1601,$AH756))</f>
        <v/>
      </c>
      <c r="AD756">
        <f>IF($AG756="","",Config!$B$23)</f>
        <v/>
      </c>
      <c r="AE756">
        <f>IF($AG756="","",Config!$B$28)</f>
        <v/>
      </c>
      <c r="AG756">
        <f>IFERROR(MATCH(ROW()-1,Calc!$J$2:$J$1601,0),"")</f>
        <v/>
      </c>
      <c r="AH756">
        <f>IFERROR(MATCH(ROW()-1,Calc!$K$2:$K$1601,0),"")</f>
        <v/>
      </c>
      <c r="AI756">
        <f>IF($AG756="","",SUMIF($AG$2:$AG756,$AG756,$AH$2:$AH756))</f>
        <v/>
      </c>
      <c r="AJ756">
        <f>IF('TMP Paste'!$F756="","",IF('TMP Paste'!$B756="",$AJ755,'TMP Paste'!$B756))</f>
        <v/>
      </c>
      <c r="AK756">
        <f>IF('TMP Paste'!$F756="","",N('TMP Paste'!$G756))</f>
        <v/>
      </c>
      <c r="AL756">
        <f>IF('TMP Paste'!$F756="","",IF('TMP Paste'!$M756="",$AL755,'TMP Paste'!$M756))</f>
        <v/>
      </c>
      <c r="AM756">
        <f>IF('TMP Paste'!$F756="","",IF('TMP Paste'!$N756="",$AM755,'TMP Paste'!$N756))</f>
        <v/>
      </c>
      <c r="AN756">
        <f>IF('TMP Paste'!$F756="","",IF('TMP Paste'!$O756="",$AN755,'TMP Paste'!$O756))</f>
        <v/>
      </c>
      <c r="AO756">
        <f>IF('TMP Paste'!$F756="","",IF('TMP Paste'!$P756="",$AO755,'TMP Paste'!$P756))</f>
        <v/>
      </c>
      <c r="AP756">
        <f>IF($AG756="","",LEN($R756))</f>
        <v/>
      </c>
      <c r="AQ756">
        <f>IF($AG756="","",TRIM(IF(COUNTIFS(Calc!$B$2:$B$1601,ROW()-1,Calc!$C$2:$C$1601,"&lt;1")&gt;0,"Ada PO tanpa Koli - cek TMP. ","")&amp;IF(LEN($R756)&gt;500,"R &gt; 500 karakter.","")))</f>
        <v/>
      </c>
    </row>
    <row r="757">
      <c r="A757">
        <f>IF($AG757="","",INDEX('TMP Paste'!$B$2:$B$1601,$AG757))</f>
        <v/>
      </c>
      <c r="B757">
        <f>IF($AG757="","",Config!$B$14)</f>
        <v/>
      </c>
      <c r="C757">
        <f>IF($AG757="","",Config!$B$15)</f>
        <v/>
      </c>
      <c r="D757">
        <f>IF($AG757="","",INDEX('TMP Paste'!$B$2:$B$1601,$AG757))</f>
        <v/>
      </c>
      <c r="E757">
        <f>IF($AG757="","",Config!$B$27)</f>
        <v/>
      </c>
      <c r="F757">
        <f>IF($AG757="","",Config!$B$9)</f>
        <v/>
      </c>
      <c r="G757">
        <f>IF($AG757="","",Config!$B$10)</f>
        <v/>
      </c>
      <c r="H757">
        <f>IF($AG757="","",Config!$B$11)</f>
        <v/>
      </c>
      <c r="I757">
        <f>IF($AG757="","",Config!$B$16)</f>
        <v/>
      </c>
      <c r="J757">
        <f>IF($AG757="","",INDEX('TMP Paste'!$A$2:$A$1601,$AG757))</f>
        <v/>
      </c>
      <c r="K757">
        <f>IF($AG757="","",INDEX('TMP Paste'!$L$2:$L$1601,$AG757))</f>
        <v/>
      </c>
      <c r="L757">
        <f>IF($AG757="","",INDEX('TMP Paste'!$I$2:$I$1601,$AG757))</f>
        <v/>
      </c>
      <c r="M757">
        <f>IF($AG757="","",Config!$B$16)</f>
        <v/>
      </c>
      <c r="N757">
        <f>IF($AG757="","","")</f>
        <v/>
      </c>
      <c r="O757">
        <f>IF($AG757="","",INDEX('TMP Paste'!$K$2:$K$1601,$AG757))</f>
        <v/>
      </c>
      <c r="P757">
        <f>IF($AG757="","","")</f>
        <v/>
      </c>
      <c r="Q757">
        <f>IF($AG757="","",INDEX('TMP Paste'!$J$2:$J$1601,$AG757))</f>
        <v/>
      </c>
      <c r="R757">
        <f>IF($AG757="","",Config!$B$24)</f>
        <v/>
      </c>
      <c r="S757">
        <f>IF($AG757="","",TEXT(Config!$B$4,"yyyy-mm-dd"))</f>
        <v/>
      </c>
      <c r="T757">
        <f>IF($AG757="","",Config!$B$17)</f>
        <v/>
      </c>
      <c r="U757">
        <f>IF($AG757="","",Config!$B$18)</f>
        <v/>
      </c>
      <c r="V757">
        <f>IF($AG757="","",Config!$B$19)</f>
        <v/>
      </c>
      <c r="W757">
        <f>IF($AG757="","",INDEX('TMP Paste'!$C$2:$C$1601,$AG757))</f>
        <v/>
      </c>
      <c r="X757">
        <f>IF($AG757="","",Config!$B$29)</f>
        <v/>
      </c>
      <c r="Y757">
        <f>IF($AH757="","",INDEX(Calc!$I$2:$I$1601,$AH757)&amp;" - "&amp;INDEX(Calc!$D$2:$D$1601,$AH757)&amp;" koli")</f>
        <v/>
      </c>
      <c r="Z757">
        <f>IF($AG757="","",Config!$B$21)</f>
        <v/>
      </c>
      <c r="AA757">
        <f>IF($AG757="","",Config!$B$22)</f>
        <v/>
      </c>
      <c r="AB757">
        <f>IF($AH757="","",INDEX(Calc!$D$2:$D$1601,$AH757))</f>
        <v/>
      </c>
      <c r="AC757">
        <f>IF($AH757="","",INDEX(Calc!$G$2:$G$1601,$AH757))</f>
        <v/>
      </c>
      <c r="AD757">
        <f>IF($AG757="","",Config!$B$23)</f>
        <v/>
      </c>
      <c r="AE757">
        <f>IF($AG757="","",Config!$B$28)</f>
        <v/>
      </c>
      <c r="AG757">
        <f>IFERROR(MATCH(ROW()-1,Calc!$J$2:$J$1601,0),"")</f>
        <v/>
      </c>
      <c r="AH757">
        <f>IFERROR(MATCH(ROW()-1,Calc!$K$2:$K$1601,0),"")</f>
        <v/>
      </c>
      <c r="AI757">
        <f>IF($AG757="","",SUMIF($AG$2:$AG757,$AG757,$AH$2:$AH757))</f>
        <v/>
      </c>
      <c r="AJ757">
        <f>IF('TMP Paste'!$F757="","",IF('TMP Paste'!$B757="",$AJ756,'TMP Paste'!$B757))</f>
        <v/>
      </c>
      <c r="AK757">
        <f>IF('TMP Paste'!$F757="","",N('TMP Paste'!$G757))</f>
        <v/>
      </c>
      <c r="AL757">
        <f>IF('TMP Paste'!$F757="","",IF('TMP Paste'!$M757="",$AL756,'TMP Paste'!$M757))</f>
        <v/>
      </c>
      <c r="AM757">
        <f>IF('TMP Paste'!$F757="","",IF('TMP Paste'!$N757="",$AM756,'TMP Paste'!$N757))</f>
        <v/>
      </c>
      <c r="AN757">
        <f>IF('TMP Paste'!$F757="","",IF('TMP Paste'!$O757="",$AN756,'TMP Paste'!$O757))</f>
        <v/>
      </c>
      <c r="AO757">
        <f>IF('TMP Paste'!$F757="","",IF('TMP Paste'!$P757="",$AO756,'TMP Paste'!$P757))</f>
        <v/>
      </c>
      <c r="AP757">
        <f>IF($AG757="","",LEN($R757))</f>
        <v/>
      </c>
      <c r="AQ757">
        <f>IF($AG757="","",TRIM(IF(COUNTIFS(Calc!$B$2:$B$1601,ROW()-1,Calc!$C$2:$C$1601,"&lt;1")&gt;0,"Ada PO tanpa Koli - cek TMP. ","")&amp;IF(LEN($R757)&gt;500,"R &gt; 500 karakter.","")))</f>
        <v/>
      </c>
    </row>
    <row r="758">
      <c r="A758">
        <f>IF($AG758="","",INDEX('TMP Paste'!$B$2:$B$1601,$AG758))</f>
        <v/>
      </c>
      <c r="B758">
        <f>IF($AG758="","",Config!$B$14)</f>
        <v/>
      </c>
      <c r="C758">
        <f>IF($AG758="","",Config!$B$15)</f>
        <v/>
      </c>
      <c r="D758">
        <f>IF($AG758="","",INDEX('TMP Paste'!$B$2:$B$1601,$AG758))</f>
        <v/>
      </c>
      <c r="E758">
        <f>IF($AG758="","",Config!$B$27)</f>
        <v/>
      </c>
      <c r="F758">
        <f>IF($AG758="","",Config!$B$9)</f>
        <v/>
      </c>
      <c r="G758">
        <f>IF($AG758="","",Config!$B$10)</f>
        <v/>
      </c>
      <c r="H758">
        <f>IF($AG758="","",Config!$B$11)</f>
        <v/>
      </c>
      <c r="I758">
        <f>IF($AG758="","",Config!$B$16)</f>
        <v/>
      </c>
      <c r="J758">
        <f>IF($AG758="","",INDEX('TMP Paste'!$A$2:$A$1601,$AG758))</f>
        <v/>
      </c>
      <c r="K758">
        <f>IF($AG758="","",INDEX('TMP Paste'!$L$2:$L$1601,$AG758))</f>
        <v/>
      </c>
      <c r="L758">
        <f>IF($AG758="","",INDEX('TMP Paste'!$I$2:$I$1601,$AG758))</f>
        <v/>
      </c>
      <c r="M758">
        <f>IF($AG758="","",Config!$B$16)</f>
        <v/>
      </c>
      <c r="N758">
        <f>IF($AG758="","","")</f>
        <v/>
      </c>
      <c r="O758">
        <f>IF($AG758="","",INDEX('TMP Paste'!$K$2:$K$1601,$AG758))</f>
        <v/>
      </c>
      <c r="P758">
        <f>IF($AG758="","","")</f>
        <v/>
      </c>
      <c r="Q758">
        <f>IF($AG758="","",INDEX('TMP Paste'!$J$2:$J$1601,$AG758))</f>
        <v/>
      </c>
      <c r="R758">
        <f>IF($AG758="","",Config!$B$24)</f>
        <v/>
      </c>
      <c r="S758">
        <f>IF($AG758="","",TEXT(Config!$B$4,"yyyy-mm-dd"))</f>
        <v/>
      </c>
      <c r="T758">
        <f>IF($AG758="","",Config!$B$17)</f>
        <v/>
      </c>
      <c r="U758">
        <f>IF($AG758="","",Config!$B$18)</f>
        <v/>
      </c>
      <c r="V758">
        <f>IF($AG758="","",Config!$B$19)</f>
        <v/>
      </c>
      <c r="W758">
        <f>IF($AG758="","",INDEX('TMP Paste'!$C$2:$C$1601,$AG758))</f>
        <v/>
      </c>
      <c r="X758">
        <f>IF($AG758="","",Config!$B$29)</f>
        <v/>
      </c>
      <c r="Y758">
        <f>IF($AH758="","",INDEX(Calc!$I$2:$I$1601,$AH758)&amp;" - "&amp;INDEX(Calc!$D$2:$D$1601,$AH758)&amp;" koli")</f>
        <v/>
      </c>
      <c r="Z758">
        <f>IF($AG758="","",Config!$B$21)</f>
        <v/>
      </c>
      <c r="AA758">
        <f>IF($AG758="","",Config!$B$22)</f>
        <v/>
      </c>
      <c r="AB758">
        <f>IF($AH758="","",INDEX(Calc!$D$2:$D$1601,$AH758))</f>
        <v/>
      </c>
      <c r="AC758">
        <f>IF($AH758="","",INDEX(Calc!$G$2:$G$1601,$AH758))</f>
        <v/>
      </c>
      <c r="AD758">
        <f>IF($AG758="","",Config!$B$23)</f>
        <v/>
      </c>
      <c r="AE758">
        <f>IF($AG758="","",Config!$B$28)</f>
        <v/>
      </c>
      <c r="AG758">
        <f>IFERROR(MATCH(ROW()-1,Calc!$J$2:$J$1601,0),"")</f>
        <v/>
      </c>
      <c r="AH758">
        <f>IFERROR(MATCH(ROW()-1,Calc!$K$2:$K$1601,0),"")</f>
        <v/>
      </c>
      <c r="AI758">
        <f>IF($AG758="","",SUMIF($AG$2:$AG758,$AG758,$AH$2:$AH758))</f>
        <v/>
      </c>
      <c r="AJ758">
        <f>IF('TMP Paste'!$F758="","",IF('TMP Paste'!$B758="",$AJ757,'TMP Paste'!$B758))</f>
        <v/>
      </c>
      <c r="AK758">
        <f>IF('TMP Paste'!$F758="","",N('TMP Paste'!$G758))</f>
        <v/>
      </c>
      <c r="AL758">
        <f>IF('TMP Paste'!$F758="","",IF('TMP Paste'!$M758="",$AL757,'TMP Paste'!$M758))</f>
        <v/>
      </c>
      <c r="AM758">
        <f>IF('TMP Paste'!$F758="","",IF('TMP Paste'!$N758="",$AM757,'TMP Paste'!$N758))</f>
        <v/>
      </c>
      <c r="AN758">
        <f>IF('TMP Paste'!$F758="","",IF('TMP Paste'!$O758="",$AN757,'TMP Paste'!$O758))</f>
        <v/>
      </c>
      <c r="AO758">
        <f>IF('TMP Paste'!$F758="","",IF('TMP Paste'!$P758="",$AO757,'TMP Paste'!$P758))</f>
        <v/>
      </c>
      <c r="AP758">
        <f>IF($AG758="","",LEN($R758))</f>
        <v/>
      </c>
      <c r="AQ758">
        <f>IF($AG758="","",TRIM(IF(COUNTIFS(Calc!$B$2:$B$1601,ROW()-1,Calc!$C$2:$C$1601,"&lt;1")&gt;0,"Ada PO tanpa Koli - cek TMP. ","")&amp;IF(LEN($R758)&gt;500,"R &gt; 500 karakter.","")))</f>
        <v/>
      </c>
    </row>
    <row r="759">
      <c r="A759">
        <f>IF($AG759="","",INDEX('TMP Paste'!$B$2:$B$1601,$AG759))</f>
        <v/>
      </c>
      <c r="B759">
        <f>IF($AG759="","",Config!$B$14)</f>
        <v/>
      </c>
      <c r="C759">
        <f>IF($AG759="","",Config!$B$15)</f>
        <v/>
      </c>
      <c r="D759">
        <f>IF($AG759="","",INDEX('TMP Paste'!$B$2:$B$1601,$AG759))</f>
        <v/>
      </c>
      <c r="E759">
        <f>IF($AG759="","",Config!$B$27)</f>
        <v/>
      </c>
      <c r="F759">
        <f>IF($AG759="","",Config!$B$9)</f>
        <v/>
      </c>
      <c r="G759">
        <f>IF($AG759="","",Config!$B$10)</f>
        <v/>
      </c>
      <c r="H759">
        <f>IF($AG759="","",Config!$B$11)</f>
        <v/>
      </c>
      <c r="I759">
        <f>IF($AG759="","",Config!$B$16)</f>
        <v/>
      </c>
      <c r="J759">
        <f>IF($AG759="","",INDEX('TMP Paste'!$A$2:$A$1601,$AG759))</f>
        <v/>
      </c>
      <c r="K759">
        <f>IF($AG759="","",INDEX('TMP Paste'!$L$2:$L$1601,$AG759))</f>
        <v/>
      </c>
      <c r="L759">
        <f>IF($AG759="","",INDEX('TMP Paste'!$I$2:$I$1601,$AG759))</f>
        <v/>
      </c>
      <c r="M759">
        <f>IF($AG759="","",Config!$B$16)</f>
        <v/>
      </c>
      <c r="N759">
        <f>IF($AG759="","","")</f>
        <v/>
      </c>
      <c r="O759">
        <f>IF($AG759="","",INDEX('TMP Paste'!$K$2:$K$1601,$AG759))</f>
        <v/>
      </c>
      <c r="P759">
        <f>IF($AG759="","","")</f>
        <v/>
      </c>
      <c r="Q759">
        <f>IF($AG759="","",INDEX('TMP Paste'!$J$2:$J$1601,$AG759))</f>
        <v/>
      </c>
      <c r="R759">
        <f>IF($AG759="","",Config!$B$24)</f>
        <v/>
      </c>
      <c r="S759">
        <f>IF($AG759="","",TEXT(Config!$B$4,"yyyy-mm-dd"))</f>
        <v/>
      </c>
      <c r="T759">
        <f>IF($AG759="","",Config!$B$17)</f>
        <v/>
      </c>
      <c r="U759">
        <f>IF($AG759="","",Config!$B$18)</f>
        <v/>
      </c>
      <c r="V759">
        <f>IF($AG759="","",Config!$B$19)</f>
        <v/>
      </c>
      <c r="W759">
        <f>IF($AG759="","",INDEX('TMP Paste'!$C$2:$C$1601,$AG759))</f>
        <v/>
      </c>
      <c r="X759">
        <f>IF($AG759="","",Config!$B$29)</f>
        <v/>
      </c>
      <c r="Y759">
        <f>IF($AH759="","",INDEX(Calc!$I$2:$I$1601,$AH759)&amp;" - "&amp;INDEX(Calc!$D$2:$D$1601,$AH759)&amp;" koli")</f>
        <v/>
      </c>
      <c r="Z759">
        <f>IF($AG759="","",Config!$B$21)</f>
        <v/>
      </c>
      <c r="AA759">
        <f>IF($AG759="","",Config!$B$22)</f>
        <v/>
      </c>
      <c r="AB759">
        <f>IF($AH759="","",INDEX(Calc!$D$2:$D$1601,$AH759))</f>
        <v/>
      </c>
      <c r="AC759">
        <f>IF($AH759="","",INDEX(Calc!$G$2:$G$1601,$AH759))</f>
        <v/>
      </c>
      <c r="AD759">
        <f>IF($AG759="","",Config!$B$23)</f>
        <v/>
      </c>
      <c r="AE759">
        <f>IF($AG759="","",Config!$B$28)</f>
        <v/>
      </c>
      <c r="AG759">
        <f>IFERROR(MATCH(ROW()-1,Calc!$J$2:$J$1601,0),"")</f>
        <v/>
      </c>
      <c r="AH759">
        <f>IFERROR(MATCH(ROW()-1,Calc!$K$2:$K$1601,0),"")</f>
        <v/>
      </c>
      <c r="AI759">
        <f>IF($AG759="","",SUMIF($AG$2:$AG759,$AG759,$AH$2:$AH759))</f>
        <v/>
      </c>
      <c r="AJ759">
        <f>IF('TMP Paste'!$F759="","",IF('TMP Paste'!$B759="",$AJ758,'TMP Paste'!$B759))</f>
        <v/>
      </c>
      <c r="AK759">
        <f>IF('TMP Paste'!$F759="","",N('TMP Paste'!$G759))</f>
        <v/>
      </c>
      <c r="AL759">
        <f>IF('TMP Paste'!$F759="","",IF('TMP Paste'!$M759="",$AL758,'TMP Paste'!$M759))</f>
        <v/>
      </c>
      <c r="AM759">
        <f>IF('TMP Paste'!$F759="","",IF('TMP Paste'!$N759="",$AM758,'TMP Paste'!$N759))</f>
        <v/>
      </c>
      <c r="AN759">
        <f>IF('TMP Paste'!$F759="","",IF('TMP Paste'!$O759="",$AN758,'TMP Paste'!$O759))</f>
        <v/>
      </c>
      <c r="AO759">
        <f>IF('TMP Paste'!$F759="","",IF('TMP Paste'!$P759="",$AO758,'TMP Paste'!$P759))</f>
        <v/>
      </c>
      <c r="AP759">
        <f>IF($AG759="","",LEN($R759))</f>
        <v/>
      </c>
      <c r="AQ759">
        <f>IF($AG759="","",TRIM(IF(COUNTIFS(Calc!$B$2:$B$1601,ROW()-1,Calc!$C$2:$C$1601,"&lt;1")&gt;0,"Ada PO tanpa Koli - cek TMP. ","")&amp;IF(LEN($R759)&gt;500,"R &gt; 500 karakter.","")))</f>
        <v/>
      </c>
    </row>
    <row r="760">
      <c r="A760">
        <f>IF($AG760="","",INDEX('TMP Paste'!$B$2:$B$1601,$AG760))</f>
        <v/>
      </c>
      <c r="B760">
        <f>IF($AG760="","",Config!$B$14)</f>
        <v/>
      </c>
      <c r="C760">
        <f>IF($AG760="","",Config!$B$15)</f>
        <v/>
      </c>
      <c r="D760">
        <f>IF($AG760="","",INDEX('TMP Paste'!$B$2:$B$1601,$AG760))</f>
        <v/>
      </c>
      <c r="E760">
        <f>IF($AG760="","",Config!$B$27)</f>
        <v/>
      </c>
      <c r="F760">
        <f>IF($AG760="","",Config!$B$9)</f>
        <v/>
      </c>
      <c r="G760">
        <f>IF($AG760="","",Config!$B$10)</f>
        <v/>
      </c>
      <c r="H760">
        <f>IF($AG760="","",Config!$B$11)</f>
        <v/>
      </c>
      <c r="I760">
        <f>IF($AG760="","",Config!$B$16)</f>
        <v/>
      </c>
      <c r="J760">
        <f>IF($AG760="","",INDEX('TMP Paste'!$A$2:$A$1601,$AG760))</f>
        <v/>
      </c>
      <c r="K760">
        <f>IF($AG760="","",INDEX('TMP Paste'!$L$2:$L$1601,$AG760))</f>
        <v/>
      </c>
      <c r="L760">
        <f>IF($AG760="","",INDEX('TMP Paste'!$I$2:$I$1601,$AG760))</f>
        <v/>
      </c>
      <c r="M760">
        <f>IF($AG760="","",Config!$B$16)</f>
        <v/>
      </c>
      <c r="N760">
        <f>IF($AG760="","","")</f>
        <v/>
      </c>
      <c r="O760">
        <f>IF($AG760="","",INDEX('TMP Paste'!$K$2:$K$1601,$AG760))</f>
        <v/>
      </c>
      <c r="P760">
        <f>IF($AG760="","","")</f>
        <v/>
      </c>
      <c r="Q760">
        <f>IF($AG760="","",INDEX('TMP Paste'!$J$2:$J$1601,$AG760))</f>
        <v/>
      </c>
      <c r="R760">
        <f>IF($AG760="","",Config!$B$24)</f>
        <v/>
      </c>
      <c r="S760">
        <f>IF($AG760="","",TEXT(Config!$B$4,"yyyy-mm-dd"))</f>
        <v/>
      </c>
      <c r="T760">
        <f>IF($AG760="","",Config!$B$17)</f>
        <v/>
      </c>
      <c r="U760">
        <f>IF($AG760="","",Config!$B$18)</f>
        <v/>
      </c>
      <c r="V760">
        <f>IF($AG760="","",Config!$B$19)</f>
        <v/>
      </c>
      <c r="W760">
        <f>IF($AG760="","",INDEX('TMP Paste'!$C$2:$C$1601,$AG760))</f>
        <v/>
      </c>
      <c r="X760">
        <f>IF($AG760="","",Config!$B$29)</f>
        <v/>
      </c>
      <c r="Y760">
        <f>IF($AH760="","",INDEX(Calc!$I$2:$I$1601,$AH760)&amp;" - "&amp;INDEX(Calc!$D$2:$D$1601,$AH760)&amp;" koli")</f>
        <v/>
      </c>
      <c r="Z760">
        <f>IF($AG760="","",Config!$B$21)</f>
        <v/>
      </c>
      <c r="AA760">
        <f>IF($AG760="","",Config!$B$22)</f>
        <v/>
      </c>
      <c r="AB760">
        <f>IF($AH760="","",INDEX(Calc!$D$2:$D$1601,$AH760))</f>
        <v/>
      </c>
      <c r="AC760">
        <f>IF($AH760="","",INDEX(Calc!$G$2:$G$1601,$AH760))</f>
        <v/>
      </c>
      <c r="AD760">
        <f>IF($AG760="","",Config!$B$23)</f>
        <v/>
      </c>
      <c r="AE760">
        <f>IF($AG760="","",Config!$B$28)</f>
        <v/>
      </c>
      <c r="AG760">
        <f>IFERROR(MATCH(ROW()-1,Calc!$J$2:$J$1601,0),"")</f>
        <v/>
      </c>
      <c r="AH760">
        <f>IFERROR(MATCH(ROW()-1,Calc!$K$2:$K$1601,0),"")</f>
        <v/>
      </c>
      <c r="AI760">
        <f>IF($AG760="","",SUMIF($AG$2:$AG760,$AG760,$AH$2:$AH760))</f>
        <v/>
      </c>
      <c r="AJ760">
        <f>IF('TMP Paste'!$F760="","",IF('TMP Paste'!$B760="",$AJ759,'TMP Paste'!$B760))</f>
        <v/>
      </c>
      <c r="AK760">
        <f>IF('TMP Paste'!$F760="","",N('TMP Paste'!$G760))</f>
        <v/>
      </c>
      <c r="AL760">
        <f>IF('TMP Paste'!$F760="","",IF('TMP Paste'!$M760="",$AL759,'TMP Paste'!$M760))</f>
        <v/>
      </c>
      <c r="AM760">
        <f>IF('TMP Paste'!$F760="","",IF('TMP Paste'!$N760="",$AM759,'TMP Paste'!$N760))</f>
        <v/>
      </c>
      <c r="AN760">
        <f>IF('TMP Paste'!$F760="","",IF('TMP Paste'!$O760="",$AN759,'TMP Paste'!$O760))</f>
        <v/>
      </c>
      <c r="AO760">
        <f>IF('TMP Paste'!$F760="","",IF('TMP Paste'!$P760="",$AO759,'TMP Paste'!$P760))</f>
        <v/>
      </c>
      <c r="AP760">
        <f>IF($AG760="","",LEN($R760))</f>
        <v/>
      </c>
      <c r="AQ760">
        <f>IF($AG760="","",TRIM(IF(COUNTIFS(Calc!$B$2:$B$1601,ROW()-1,Calc!$C$2:$C$1601,"&lt;1")&gt;0,"Ada PO tanpa Koli - cek TMP. ","")&amp;IF(LEN($R760)&gt;500,"R &gt; 500 karakter.","")))</f>
        <v/>
      </c>
    </row>
    <row r="761">
      <c r="A761">
        <f>IF($AG761="","",INDEX('TMP Paste'!$B$2:$B$1601,$AG761))</f>
        <v/>
      </c>
      <c r="B761">
        <f>IF($AG761="","",Config!$B$14)</f>
        <v/>
      </c>
      <c r="C761">
        <f>IF($AG761="","",Config!$B$15)</f>
        <v/>
      </c>
      <c r="D761">
        <f>IF($AG761="","",INDEX('TMP Paste'!$B$2:$B$1601,$AG761))</f>
        <v/>
      </c>
      <c r="E761">
        <f>IF($AG761="","",Config!$B$27)</f>
        <v/>
      </c>
      <c r="F761">
        <f>IF($AG761="","",Config!$B$9)</f>
        <v/>
      </c>
      <c r="G761">
        <f>IF($AG761="","",Config!$B$10)</f>
        <v/>
      </c>
      <c r="H761">
        <f>IF($AG761="","",Config!$B$11)</f>
        <v/>
      </c>
      <c r="I761">
        <f>IF($AG761="","",Config!$B$16)</f>
        <v/>
      </c>
      <c r="J761">
        <f>IF($AG761="","",INDEX('TMP Paste'!$A$2:$A$1601,$AG761))</f>
        <v/>
      </c>
      <c r="K761">
        <f>IF($AG761="","",INDEX('TMP Paste'!$L$2:$L$1601,$AG761))</f>
        <v/>
      </c>
      <c r="L761">
        <f>IF($AG761="","",INDEX('TMP Paste'!$I$2:$I$1601,$AG761))</f>
        <v/>
      </c>
      <c r="M761">
        <f>IF($AG761="","",Config!$B$16)</f>
        <v/>
      </c>
      <c r="N761">
        <f>IF($AG761="","","")</f>
        <v/>
      </c>
      <c r="O761">
        <f>IF($AG761="","",INDEX('TMP Paste'!$K$2:$K$1601,$AG761))</f>
        <v/>
      </c>
      <c r="P761">
        <f>IF($AG761="","","")</f>
        <v/>
      </c>
      <c r="Q761">
        <f>IF($AG761="","",INDEX('TMP Paste'!$J$2:$J$1601,$AG761))</f>
        <v/>
      </c>
      <c r="R761">
        <f>IF($AG761="","",Config!$B$24)</f>
        <v/>
      </c>
      <c r="S761">
        <f>IF($AG761="","",TEXT(Config!$B$4,"yyyy-mm-dd"))</f>
        <v/>
      </c>
      <c r="T761">
        <f>IF($AG761="","",Config!$B$17)</f>
        <v/>
      </c>
      <c r="U761">
        <f>IF($AG761="","",Config!$B$18)</f>
        <v/>
      </c>
      <c r="V761">
        <f>IF($AG761="","",Config!$B$19)</f>
        <v/>
      </c>
      <c r="W761">
        <f>IF($AG761="","",INDEX('TMP Paste'!$C$2:$C$1601,$AG761))</f>
        <v/>
      </c>
      <c r="X761">
        <f>IF($AG761="","",Config!$B$29)</f>
        <v/>
      </c>
      <c r="Y761">
        <f>IF($AH761="","",INDEX(Calc!$I$2:$I$1601,$AH761)&amp;" - "&amp;INDEX(Calc!$D$2:$D$1601,$AH761)&amp;" koli")</f>
        <v/>
      </c>
      <c r="Z761">
        <f>IF($AG761="","",Config!$B$21)</f>
        <v/>
      </c>
      <c r="AA761">
        <f>IF($AG761="","",Config!$B$22)</f>
        <v/>
      </c>
      <c r="AB761">
        <f>IF($AH761="","",INDEX(Calc!$D$2:$D$1601,$AH761))</f>
        <v/>
      </c>
      <c r="AC761">
        <f>IF($AH761="","",INDEX(Calc!$G$2:$G$1601,$AH761))</f>
        <v/>
      </c>
      <c r="AD761">
        <f>IF($AG761="","",Config!$B$23)</f>
        <v/>
      </c>
      <c r="AE761">
        <f>IF($AG761="","",Config!$B$28)</f>
        <v/>
      </c>
      <c r="AG761">
        <f>IFERROR(MATCH(ROW()-1,Calc!$J$2:$J$1601,0),"")</f>
        <v/>
      </c>
      <c r="AH761">
        <f>IFERROR(MATCH(ROW()-1,Calc!$K$2:$K$1601,0),"")</f>
        <v/>
      </c>
      <c r="AI761">
        <f>IF($AG761="","",SUMIF($AG$2:$AG761,$AG761,$AH$2:$AH761))</f>
        <v/>
      </c>
      <c r="AJ761">
        <f>IF('TMP Paste'!$F761="","",IF('TMP Paste'!$B761="",$AJ760,'TMP Paste'!$B761))</f>
        <v/>
      </c>
      <c r="AK761">
        <f>IF('TMP Paste'!$F761="","",N('TMP Paste'!$G761))</f>
        <v/>
      </c>
      <c r="AL761">
        <f>IF('TMP Paste'!$F761="","",IF('TMP Paste'!$M761="",$AL760,'TMP Paste'!$M761))</f>
        <v/>
      </c>
      <c r="AM761">
        <f>IF('TMP Paste'!$F761="","",IF('TMP Paste'!$N761="",$AM760,'TMP Paste'!$N761))</f>
        <v/>
      </c>
      <c r="AN761">
        <f>IF('TMP Paste'!$F761="","",IF('TMP Paste'!$O761="",$AN760,'TMP Paste'!$O761))</f>
        <v/>
      </c>
      <c r="AO761">
        <f>IF('TMP Paste'!$F761="","",IF('TMP Paste'!$P761="",$AO760,'TMP Paste'!$P761))</f>
        <v/>
      </c>
      <c r="AP761">
        <f>IF($AG761="","",LEN($R761))</f>
        <v/>
      </c>
      <c r="AQ761">
        <f>IF($AG761="","",TRIM(IF(COUNTIFS(Calc!$B$2:$B$1601,ROW()-1,Calc!$C$2:$C$1601,"&lt;1")&gt;0,"Ada PO tanpa Koli - cek TMP. ","")&amp;IF(LEN($R761)&gt;500,"R &gt; 500 karakter.","")))</f>
        <v/>
      </c>
    </row>
    <row r="762">
      <c r="A762">
        <f>IF($AG762="","",INDEX('TMP Paste'!$B$2:$B$1601,$AG762))</f>
        <v/>
      </c>
      <c r="B762">
        <f>IF($AG762="","",Config!$B$14)</f>
        <v/>
      </c>
      <c r="C762">
        <f>IF($AG762="","",Config!$B$15)</f>
        <v/>
      </c>
      <c r="D762">
        <f>IF($AG762="","",INDEX('TMP Paste'!$B$2:$B$1601,$AG762))</f>
        <v/>
      </c>
      <c r="E762">
        <f>IF($AG762="","",Config!$B$27)</f>
        <v/>
      </c>
      <c r="F762">
        <f>IF($AG762="","",Config!$B$9)</f>
        <v/>
      </c>
      <c r="G762">
        <f>IF($AG762="","",Config!$B$10)</f>
        <v/>
      </c>
      <c r="H762">
        <f>IF($AG762="","",Config!$B$11)</f>
        <v/>
      </c>
      <c r="I762">
        <f>IF($AG762="","",Config!$B$16)</f>
        <v/>
      </c>
      <c r="J762">
        <f>IF($AG762="","",INDEX('TMP Paste'!$A$2:$A$1601,$AG762))</f>
        <v/>
      </c>
      <c r="K762">
        <f>IF($AG762="","",INDEX('TMP Paste'!$L$2:$L$1601,$AG762))</f>
        <v/>
      </c>
      <c r="L762">
        <f>IF($AG762="","",INDEX('TMP Paste'!$I$2:$I$1601,$AG762))</f>
        <v/>
      </c>
      <c r="M762">
        <f>IF($AG762="","",Config!$B$16)</f>
        <v/>
      </c>
      <c r="N762">
        <f>IF($AG762="","","")</f>
        <v/>
      </c>
      <c r="O762">
        <f>IF($AG762="","",INDEX('TMP Paste'!$K$2:$K$1601,$AG762))</f>
        <v/>
      </c>
      <c r="P762">
        <f>IF($AG762="","","")</f>
        <v/>
      </c>
      <c r="Q762">
        <f>IF($AG762="","",INDEX('TMP Paste'!$J$2:$J$1601,$AG762))</f>
        <v/>
      </c>
      <c r="R762">
        <f>IF($AG762="","",Config!$B$24)</f>
        <v/>
      </c>
      <c r="S762">
        <f>IF($AG762="","",TEXT(Config!$B$4,"yyyy-mm-dd"))</f>
        <v/>
      </c>
      <c r="T762">
        <f>IF($AG762="","",Config!$B$17)</f>
        <v/>
      </c>
      <c r="U762">
        <f>IF($AG762="","",Config!$B$18)</f>
        <v/>
      </c>
      <c r="V762">
        <f>IF($AG762="","",Config!$B$19)</f>
        <v/>
      </c>
      <c r="W762">
        <f>IF($AG762="","",INDEX('TMP Paste'!$C$2:$C$1601,$AG762))</f>
        <v/>
      </c>
      <c r="X762">
        <f>IF($AG762="","",Config!$B$29)</f>
        <v/>
      </c>
      <c r="Y762">
        <f>IF($AH762="","",INDEX(Calc!$I$2:$I$1601,$AH762)&amp;" - "&amp;INDEX(Calc!$D$2:$D$1601,$AH762)&amp;" koli")</f>
        <v/>
      </c>
      <c r="Z762">
        <f>IF($AG762="","",Config!$B$21)</f>
        <v/>
      </c>
      <c r="AA762">
        <f>IF($AG762="","",Config!$B$22)</f>
        <v/>
      </c>
      <c r="AB762">
        <f>IF($AH762="","",INDEX(Calc!$D$2:$D$1601,$AH762))</f>
        <v/>
      </c>
      <c r="AC762">
        <f>IF($AH762="","",INDEX(Calc!$G$2:$G$1601,$AH762))</f>
        <v/>
      </c>
      <c r="AD762">
        <f>IF($AG762="","",Config!$B$23)</f>
        <v/>
      </c>
      <c r="AE762">
        <f>IF($AG762="","",Config!$B$28)</f>
        <v/>
      </c>
      <c r="AG762">
        <f>IFERROR(MATCH(ROW()-1,Calc!$J$2:$J$1601,0),"")</f>
        <v/>
      </c>
      <c r="AH762">
        <f>IFERROR(MATCH(ROW()-1,Calc!$K$2:$K$1601,0),"")</f>
        <v/>
      </c>
      <c r="AI762">
        <f>IF($AG762="","",SUMIF($AG$2:$AG762,$AG762,$AH$2:$AH762))</f>
        <v/>
      </c>
      <c r="AJ762">
        <f>IF('TMP Paste'!$F762="","",IF('TMP Paste'!$B762="",$AJ761,'TMP Paste'!$B762))</f>
        <v/>
      </c>
      <c r="AK762">
        <f>IF('TMP Paste'!$F762="","",N('TMP Paste'!$G762))</f>
        <v/>
      </c>
      <c r="AL762">
        <f>IF('TMP Paste'!$F762="","",IF('TMP Paste'!$M762="",$AL761,'TMP Paste'!$M762))</f>
        <v/>
      </c>
      <c r="AM762">
        <f>IF('TMP Paste'!$F762="","",IF('TMP Paste'!$N762="",$AM761,'TMP Paste'!$N762))</f>
        <v/>
      </c>
      <c r="AN762">
        <f>IF('TMP Paste'!$F762="","",IF('TMP Paste'!$O762="",$AN761,'TMP Paste'!$O762))</f>
        <v/>
      </c>
      <c r="AO762">
        <f>IF('TMP Paste'!$F762="","",IF('TMP Paste'!$P762="",$AO761,'TMP Paste'!$P762))</f>
        <v/>
      </c>
      <c r="AP762">
        <f>IF($AG762="","",LEN($R762))</f>
        <v/>
      </c>
      <c r="AQ762">
        <f>IF($AG762="","",TRIM(IF(COUNTIFS(Calc!$B$2:$B$1601,ROW()-1,Calc!$C$2:$C$1601,"&lt;1")&gt;0,"Ada PO tanpa Koli - cek TMP. ","")&amp;IF(LEN($R762)&gt;500,"R &gt; 500 karakter.","")))</f>
        <v/>
      </c>
    </row>
    <row r="763">
      <c r="A763">
        <f>IF($AG763="","",INDEX('TMP Paste'!$B$2:$B$1601,$AG763))</f>
        <v/>
      </c>
      <c r="B763">
        <f>IF($AG763="","",Config!$B$14)</f>
        <v/>
      </c>
      <c r="C763">
        <f>IF($AG763="","",Config!$B$15)</f>
        <v/>
      </c>
      <c r="D763">
        <f>IF($AG763="","",INDEX('TMP Paste'!$B$2:$B$1601,$AG763))</f>
        <v/>
      </c>
      <c r="E763">
        <f>IF($AG763="","",Config!$B$27)</f>
        <v/>
      </c>
      <c r="F763">
        <f>IF($AG763="","",Config!$B$9)</f>
        <v/>
      </c>
      <c r="G763">
        <f>IF($AG763="","",Config!$B$10)</f>
        <v/>
      </c>
      <c r="H763">
        <f>IF($AG763="","",Config!$B$11)</f>
        <v/>
      </c>
      <c r="I763">
        <f>IF($AG763="","",Config!$B$16)</f>
        <v/>
      </c>
      <c r="J763">
        <f>IF($AG763="","",INDEX('TMP Paste'!$A$2:$A$1601,$AG763))</f>
        <v/>
      </c>
      <c r="K763">
        <f>IF($AG763="","",INDEX('TMP Paste'!$L$2:$L$1601,$AG763))</f>
        <v/>
      </c>
      <c r="L763">
        <f>IF($AG763="","",INDEX('TMP Paste'!$I$2:$I$1601,$AG763))</f>
        <v/>
      </c>
      <c r="M763">
        <f>IF($AG763="","",Config!$B$16)</f>
        <v/>
      </c>
      <c r="N763">
        <f>IF($AG763="","","")</f>
        <v/>
      </c>
      <c r="O763">
        <f>IF($AG763="","",INDEX('TMP Paste'!$K$2:$K$1601,$AG763))</f>
        <v/>
      </c>
      <c r="P763">
        <f>IF($AG763="","","")</f>
        <v/>
      </c>
      <c r="Q763">
        <f>IF($AG763="","",INDEX('TMP Paste'!$J$2:$J$1601,$AG763))</f>
        <v/>
      </c>
      <c r="R763">
        <f>IF($AG763="","",Config!$B$24)</f>
        <v/>
      </c>
      <c r="S763">
        <f>IF($AG763="","",TEXT(Config!$B$4,"yyyy-mm-dd"))</f>
        <v/>
      </c>
      <c r="T763">
        <f>IF($AG763="","",Config!$B$17)</f>
        <v/>
      </c>
      <c r="U763">
        <f>IF($AG763="","",Config!$B$18)</f>
        <v/>
      </c>
      <c r="V763">
        <f>IF($AG763="","",Config!$B$19)</f>
        <v/>
      </c>
      <c r="W763">
        <f>IF($AG763="","",INDEX('TMP Paste'!$C$2:$C$1601,$AG763))</f>
        <v/>
      </c>
      <c r="X763">
        <f>IF($AG763="","",Config!$B$29)</f>
        <v/>
      </c>
      <c r="Y763">
        <f>IF($AH763="","",INDEX(Calc!$I$2:$I$1601,$AH763)&amp;" - "&amp;INDEX(Calc!$D$2:$D$1601,$AH763)&amp;" koli")</f>
        <v/>
      </c>
      <c r="Z763">
        <f>IF($AG763="","",Config!$B$21)</f>
        <v/>
      </c>
      <c r="AA763">
        <f>IF($AG763="","",Config!$B$22)</f>
        <v/>
      </c>
      <c r="AB763">
        <f>IF($AH763="","",INDEX(Calc!$D$2:$D$1601,$AH763))</f>
        <v/>
      </c>
      <c r="AC763">
        <f>IF($AH763="","",INDEX(Calc!$G$2:$G$1601,$AH763))</f>
        <v/>
      </c>
      <c r="AD763">
        <f>IF($AG763="","",Config!$B$23)</f>
        <v/>
      </c>
      <c r="AE763">
        <f>IF($AG763="","",Config!$B$28)</f>
        <v/>
      </c>
      <c r="AG763">
        <f>IFERROR(MATCH(ROW()-1,Calc!$J$2:$J$1601,0),"")</f>
        <v/>
      </c>
      <c r="AH763">
        <f>IFERROR(MATCH(ROW()-1,Calc!$K$2:$K$1601,0),"")</f>
        <v/>
      </c>
      <c r="AI763">
        <f>IF($AG763="","",SUMIF($AG$2:$AG763,$AG763,$AH$2:$AH763))</f>
        <v/>
      </c>
      <c r="AJ763">
        <f>IF('TMP Paste'!$F763="","",IF('TMP Paste'!$B763="",$AJ762,'TMP Paste'!$B763))</f>
        <v/>
      </c>
      <c r="AK763">
        <f>IF('TMP Paste'!$F763="","",N('TMP Paste'!$G763))</f>
        <v/>
      </c>
      <c r="AL763">
        <f>IF('TMP Paste'!$F763="","",IF('TMP Paste'!$M763="",$AL762,'TMP Paste'!$M763))</f>
        <v/>
      </c>
      <c r="AM763">
        <f>IF('TMP Paste'!$F763="","",IF('TMP Paste'!$N763="",$AM762,'TMP Paste'!$N763))</f>
        <v/>
      </c>
      <c r="AN763">
        <f>IF('TMP Paste'!$F763="","",IF('TMP Paste'!$O763="",$AN762,'TMP Paste'!$O763))</f>
        <v/>
      </c>
      <c r="AO763">
        <f>IF('TMP Paste'!$F763="","",IF('TMP Paste'!$P763="",$AO762,'TMP Paste'!$P763))</f>
        <v/>
      </c>
      <c r="AP763">
        <f>IF($AG763="","",LEN($R763))</f>
        <v/>
      </c>
      <c r="AQ763">
        <f>IF($AG763="","",TRIM(IF(COUNTIFS(Calc!$B$2:$B$1601,ROW()-1,Calc!$C$2:$C$1601,"&lt;1")&gt;0,"Ada PO tanpa Koli - cek TMP. ","")&amp;IF(LEN($R763)&gt;500,"R &gt; 500 karakter.","")))</f>
        <v/>
      </c>
    </row>
    <row r="764">
      <c r="A764">
        <f>IF($AG764="","",INDEX('TMP Paste'!$B$2:$B$1601,$AG764))</f>
        <v/>
      </c>
      <c r="B764">
        <f>IF($AG764="","",Config!$B$14)</f>
        <v/>
      </c>
      <c r="C764">
        <f>IF($AG764="","",Config!$B$15)</f>
        <v/>
      </c>
      <c r="D764">
        <f>IF($AG764="","",INDEX('TMP Paste'!$B$2:$B$1601,$AG764))</f>
        <v/>
      </c>
      <c r="E764">
        <f>IF($AG764="","",Config!$B$27)</f>
        <v/>
      </c>
      <c r="F764">
        <f>IF($AG764="","",Config!$B$9)</f>
        <v/>
      </c>
      <c r="G764">
        <f>IF($AG764="","",Config!$B$10)</f>
        <v/>
      </c>
      <c r="H764">
        <f>IF($AG764="","",Config!$B$11)</f>
        <v/>
      </c>
      <c r="I764">
        <f>IF($AG764="","",Config!$B$16)</f>
        <v/>
      </c>
      <c r="J764">
        <f>IF($AG764="","",INDEX('TMP Paste'!$A$2:$A$1601,$AG764))</f>
        <v/>
      </c>
      <c r="K764">
        <f>IF($AG764="","",INDEX('TMP Paste'!$L$2:$L$1601,$AG764))</f>
        <v/>
      </c>
      <c r="L764">
        <f>IF($AG764="","",INDEX('TMP Paste'!$I$2:$I$1601,$AG764))</f>
        <v/>
      </c>
      <c r="M764">
        <f>IF($AG764="","",Config!$B$16)</f>
        <v/>
      </c>
      <c r="N764">
        <f>IF($AG764="","","")</f>
        <v/>
      </c>
      <c r="O764">
        <f>IF($AG764="","",INDEX('TMP Paste'!$K$2:$K$1601,$AG764))</f>
        <v/>
      </c>
      <c r="P764">
        <f>IF($AG764="","","")</f>
        <v/>
      </c>
      <c r="Q764">
        <f>IF($AG764="","",INDEX('TMP Paste'!$J$2:$J$1601,$AG764))</f>
        <v/>
      </c>
      <c r="R764">
        <f>IF($AG764="","",Config!$B$24)</f>
        <v/>
      </c>
      <c r="S764">
        <f>IF($AG764="","",TEXT(Config!$B$4,"yyyy-mm-dd"))</f>
        <v/>
      </c>
      <c r="T764">
        <f>IF($AG764="","",Config!$B$17)</f>
        <v/>
      </c>
      <c r="U764">
        <f>IF($AG764="","",Config!$B$18)</f>
        <v/>
      </c>
      <c r="V764">
        <f>IF($AG764="","",Config!$B$19)</f>
        <v/>
      </c>
      <c r="W764">
        <f>IF($AG764="","",INDEX('TMP Paste'!$C$2:$C$1601,$AG764))</f>
        <v/>
      </c>
      <c r="X764">
        <f>IF($AG764="","",Config!$B$29)</f>
        <v/>
      </c>
      <c r="Y764">
        <f>IF($AH764="","",INDEX(Calc!$I$2:$I$1601,$AH764)&amp;" - "&amp;INDEX(Calc!$D$2:$D$1601,$AH764)&amp;" koli")</f>
        <v/>
      </c>
      <c r="Z764">
        <f>IF($AG764="","",Config!$B$21)</f>
        <v/>
      </c>
      <c r="AA764">
        <f>IF($AG764="","",Config!$B$22)</f>
        <v/>
      </c>
      <c r="AB764">
        <f>IF($AH764="","",INDEX(Calc!$D$2:$D$1601,$AH764))</f>
        <v/>
      </c>
      <c r="AC764">
        <f>IF($AH764="","",INDEX(Calc!$G$2:$G$1601,$AH764))</f>
        <v/>
      </c>
      <c r="AD764">
        <f>IF($AG764="","",Config!$B$23)</f>
        <v/>
      </c>
      <c r="AE764">
        <f>IF($AG764="","",Config!$B$28)</f>
        <v/>
      </c>
      <c r="AG764">
        <f>IFERROR(MATCH(ROW()-1,Calc!$J$2:$J$1601,0),"")</f>
        <v/>
      </c>
      <c r="AH764">
        <f>IFERROR(MATCH(ROW()-1,Calc!$K$2:$K$1601,0),"")</f>
        <v/>
      </c>
      <c r="AI764">
        <f>IF($AG764="","",SUMIF($AG$2:$AG764,$AG764,$AH$2:$AH764))</f>
        <v/>
      </c>
      <c r="AJ764">
        <f>IF('TMP Paste'!$F764="","",IF('TMP Paste'!$B764="",$AJ763,'TMP Paste'!$B764))</f>
        <v/>
      </c>
      <c r="AK764">
        <f>IF('TMP Paste'!$F764="","",N('TMP Paste'!$G764))</f>
        <v/>
      </c>
      <c r="AL764">
        <f>IF('TMP Paste'!$F764="","",IF('TMP Paste'!$M764="",$AL763,'TMP Paste'!$M764))</f>
        <v/>
      </c>
      <c r="AM764">
        <f>IF('TMP Paste'!$F764="","",IF('TMP Paste'!$N764="",$AM763,'TMP Paste'!$N764))</f>
        <v/>
      </c>
      <c r="AN764">
        <f>IF('TMP Paste'!$F764="","",IF('TMP Paste'!$O764="",$AN763,'TMP Paste'!$O764))</f>
        <v/>
      </c>
      <c r="AO764">
        <f>IF('TMP Paste'!$F764="","",IF('TMP Paste'!$P764="",$AO763,'TMP Paste'!$P764))</f>
        <v/>
      </c>
      <c r="AP764">
        <f>IF($AG764="","",LEN($R764))</f>
        <v/>
      </c>
      <c r="AQ764">
        <f>IF($AG764="","",TRIM(IF(COUNTIFS(Calc!$B$2:$B$1601,ROW()-1,Calc!$C$2:$C$1601,"&lt;1")&gt;0,"Ada PO tanpa Koli - cek TMP. ","")&amp;IF(LEN($R764)&gt;500,"R &gt; 500 karakter.","")))</f>
        <v/>
      </c>
    </row>
    <row r="765">
      <c r="A765">
        <f>IF($AG765="","",INDEX('TMP Paste'!$B$2:$B$1601,$AG765))</f>
        <v/>
      </c>
      <c r="B765">
        <f>IF($AG765="","",Config!$B$14)</f>
        <v/>
      </c>
      <c r="C765">
        <f>IF($AG765="","",Config!$B$15)</f>
        <v/>
      </c>
      <c r="D765">
        <f>IF($AG765="","",INDEX('TMP Paste'!$B$2:$B$1601,$AG765))</f>
        <v/>
      </c>
      <c r="E765">
        <f>IF($AG765="","",Config!$B$27)</f>
        <v/>
      </c>
      <c r="F765">
        <f>IF($AG765="","",Config!$B$9)</f>
        <v/>
      </c>
      <c r="G765">
        <f>IF($AG765="","",Config!$B$10)</f>
        <v/>
      </c>
      <c r="H765">
        <f>IF($AG765="","",Config!$B$11)</f>
        <v/>
      </c>
      <c r="I765">
        <f>IF($AG765="","",Config!$B$16)</f>
        <v/>
      </c>
      <c r="J765">
        <f>IF($AG765="","",INDEX('TMP Paste'!$A$2:$A$1601,$AG765))</f>
        <v/>
      </c>
      <c r="K765">
        <f>IF($AG765="","",INDEX('TMP Paste'!$L$2:$L$1601,$AG765))</f>
        <v/>
      </c>
      <c r="L765">
        <f>IF($AG765="","",INDEX('TMP Paste'!$I$2:$I$1601,$AG765))</f>
        <v/>
      </c>
      <c r="M765">
        <f>IF($AG765="","",Config!$B$16)</f>
        <v/>
      </c>
      <c r="N765">
        <f>IF($AG765="","","")</f>
        <v/>
      </c>
      <c r="O765">
        <f>IF($AG765="","",INDEX('TMP Paste'!$K$2:$K$1601,$AG765))</f>
        <v/>
      </c>
      <c r="P765">
        <f>IF($AG765="","","")</f>
        <v/>
      </c>
      <c r="Q765">
        <f>IF($AG765="","",INDEX('TMP Paste'!$J$2:$J$1601,$AG765))</f>
        <v/>
      </c>
      <c r="R765">
        <f>IF($AG765="","",Config!$B$24)</f>
        <v/>
      </c>
      <c r="S765">
        <f>IF($AG765="","",TEXT(Config!$B$4,"yyyy-mm-dd"))</f>
        <v/>
      </c>
      <c r="T765">
        <f>IF($AG765="","",Config!$B$17)</f>
        <v/>
      </c>
      <c r="U765">
        <f>IF($AG765="","",Config!$B$18)</f>
        <v/>
      </c>
      <c r="V765">
        <f>IF($AG765="","",Config!$B$19)</f>
        <v/>
      </c>
      <c r="W765">
        <f>IF($AG765="","",INDEX('TMP Paste'!$C$2:$C$1601,$AG765))</f>
        <v/>
      </c>
      <c r="X765">
        <f>IF($AG765="","",Config!$B$29)</f>
        <v/>
      </c>
      <c r="Y765">
        <f>IF($AH765="","",INDEX(Calc!$I$2:$I$1601,$AH765)&amp;" - "&amp;INDEX(Calc!$D$2:$D$1601,$AH765)&amp;" koli")</f>
        <v/>
      </c>
      <c r="Z765">
        <f>IF($AG765="","",Config!$B$21)</f>
        <v/>
      </c>
      <c r="AA765">
        <f>IF($AG765="","",Config!$B$22)</f>
        <v/>
      </c>
      <c r="AB765">
        <f>IF($AH765="","",INDEX(Calc!$D$2:$D$1601,$AH765))</f>
        <v/>
      </c>
      <c r="AC765">
        <f>IF($AH765="","",INDEX(Calc!$G$2:$G$1601,$AH765))</f>
        <v/>
      </c>
      <c r="AD765">
        <f>IF($AG765="","",Config!$B$23)</f>
        <v/>
      </c>
      <c r="AE765">
        <f>IF($AG765="","",Config!$B$28)</f>
        <v/>
      </c>
      <c r="AG765">
        <f>IFERROR(MATCH(ROW()-1,Calc!$J$2:$J$1601,0),"")</f>
        <v/>
      </c>
      <c r="AH765">
        <f>IFERROR(MATCH(ROW()-1,Calc!$K$2:$K$1601,0),"")</f>
        <v/>
      </c>
      <c r="AI765">
        <f>IF($AG765="","",SUMIF($AG$2:$AG765,$AG765,$AH$2:$AH765))</f>
        <v/>
      </c>
      <c r="AJ765">
        <f>IF('TMP Paste'!$F765="","",IF('TMP Paste'!$B765="",$AJ764,'TMP Paste'!$B765))</f>
        <v/>
      </c>
      <c r="AK765">
        <f>IF('TMP Paste'!$F765="","",N('TMP Paste'!$G765))</f>
        <v/>
      </c>
      <c r="AL765">
        <f>IF('TMP Paste'!$F765="","",IF('TMP Paste'!$M765="",$AL764,'TMP Paste'!$M765))</f>
        <v/>
      </c>
      <c r="AM765">
        <f>IF('TMP Paste'!$F765="","",IF('TMP Paste'!$N765="",$AM764,'TMP Paste'!$N765))</f>
        <v/>
      </c>
      <c r="AN765">
        <f>IF('TMP Paste'!$F765="","",IF('TMP Paste'!$O765="",$AN764,'TMP Paste'!$O765))</f>
        <v/>
      </c>
      <c r="AO765">
        <f>IF('TMP Paste'!$F765="","",IF('TMP Paste'!$P765="",$AO764,'TMP Paste'!$P765))</f>
        <v/>
      </c>
      <c r="AP765">
        <f>IF($AG765="","",LEN($R765))</f>
        <v/>
      </c>
      <c r="AQ765">
        <f>IF($AG765="","",TRIM(IF(COUNTIFS(Calc!$B$2:$B$1601,ROW()-1,Calc!$C$2:$C$1601,"&lt;1")&gt;0,"Ada PO tanpa Koli - cek TMP. ","")&amp;IF(LEN($R765)&gt;500,"R &gt; 500 karakter.","")))</f>
        <v/>
      </c>
    </row>
    <row r="766">
      <c r="A766">
        <f>IF($AG766="","",INDEX('TMP Paste'!$B$2:$B$1601,$AG766))</f>
        <v/>
      </c>
      <c r="B766">
        <f>IF($AG766="","",Config!$B$14)</f>
        <v/>
      </c>
      <c r="C766">
        <f>IF($AG766="","",Config!$B$15)</f>
        <v/>
      </c>
      <c r="D766">
        <f>IF($AG766="","",INDEX('TMP Paste'!$B$2:$B$1601,$AG766))</f>
        <v/>
      </c>
      <c r="E766">
        <f>IF($AG766="","",Config!$B$27)</f>
        <v/>
      </c>
      <c r="F766">
        <f>IF($AG766="","",Config!$B$9)</f>
        <v/>
      </c>
      <c r="G766">
        <f>IF($AG766="","",Config!$B$10)</f>
        <v/>
      </c>
      <c r="H766">
        <f>IF($AG766="","",Config!$B$11)</f>
        <v/>
      </c>
      <c r="I766">
        <f>IF($AG766="","",Config!$B$16)</f>
        <v/>
      </c>
      <c r="J766">
        <f>IF($AG766="","",INDEX('TMP Paste'!$A$2:$A$1601,$AG766))</f>
        <v/>
      </c>
      <c r="K766">
        <f>IF($AG766="","",INDEX('TMP Paste'!$L$2:$L$1601,$AG766))</f>
        <v/>
      </c>
      <c r="L766">
        <f>IF($AG766="","",INDEX('TMP Paste'!$I$2:$I$1601,$AG766))</f>
        <v/>
      </c>
      <c r="M766">
        <f>IF($AG766="","",Config!$B$16)</f>
        <v/>
      </c>
      <c r="N766">
        <f>IF($AG766="","","")</f>
        <v/>
      </c>
      <c r="O766">
        <f>IF($AG766="","",INDEX('TMP Paste'!$K$2:$K$1601,$AG766))</f>
        <v/>
      </c>
      <c r="P766">
        <f>IF($AG766="","","")</f>
        <v/>
      </c>
      <c r="Q766">
        <f>IF($AG766="","",INDEX('TMP Paste'!$J$2:$J$1601,$AG766))</f>
        <v/>
      </c>
      <c r="R766">
        <f>IF($AG766="","",Config!$B$24)</f>
        <v/>
      </c>
      <c r="S766">
        <f>IF($AG766="","",TEXT(Config!$B$4,"yyyy-mm-dd"))</f>
        <v/>
      </c>
      <c r="T766">
        <f>IF($AG766="","",Config!$B$17)</f>
        <v/>
      </c>
      <c r="U766">
        <f>IF($AG766="","",Config!$B$18)</f>
        <v/>
      </c>
      <c r="V766">
        <f>IF($AG766="","",Config!$B$19)</f>
        <v/>
      </c>
      <c r="W766">
        <f>IF($AG766="","",INDEX('TMP Paste'!$C$2:$C$1601,$AG766))</f>
        <v/>
      </c>
      <c r="X766">
        <f>IF($AG766="","",Config!$B$29)</f>
        <v/>
      </c>
      <c r="Y766">
        <f>IF($AH766="","",INDEX(Calc!$I$2:$I$1601,$AH766)&amp;" - "&amp;INDEX(Calc!$D$2:$D$1601,$AH766)&amp;" koli")</f>
        <v/>
      </c>
      <c r="Z766">
        <f>IF($AG766="","",Config!$B$21)</f>
        <v/>
      </c>
      <c r="AA766">
        <f>IF($AG766="","",Config!$B$22)</f>
        <v/>
      </c>
      <c r="AB766">
        <f>IF($AH766="","",INDEX(Calc!$D$2:$D$1601,$AH766))</f>
        <v/>
      </c>
      <c r="AC766">
        <f>IF($AH766="","",INDEX(Calc!$G$2:$G$1601,$AH766))</f>
        <v/>
      </c>
      <c r="AD766">
        <f>IF($AG766="","",Config!$B$23)</f>
        <v/>
      </c>
      <c r="AE766">
        <f>IF($AG766="","",Config!$B$28)</f>
        <v/>
      </c>
      <c r="AG766">
        <f>IFERROR(MATCH(ROW()-1,Calc!$J$2:$J$1601,0),"")</f>
        <v/>
      </c>
      <c r="AH766">
        <f>IFERROR(MATCH(ROW()-1,Calc!$K$2:$K$1601,0),"")</f>
        <v/>
      </c>
      <c r="AI766">
        <f>IF($AG766="","",SUMIF($AG$2:$AG766,$AG766,$AH$2:$AH766))</f>
        <v/>
      </c>
      <c r="AJ766">
        <f>IF('TMP Paste'!$F766="","",IF('TMP Paste'!$B766="",$AJ765,'TMP Paste'!$B766))</f>
        <v/>
      </c>
      <c r="AK766">
        <f>IF('TMP Paste'!$F766="","",N('TMP Paste'!$G766))</f>
        <v/>
      </c>
      <c r="AL766">
        <f>IF('TMP Paste'!$F766="","",IF('TMP Paste'!$M766="",$AL765,'TMP Paste'!$M766))</f>
        <v/>
      </c>
      <c r="AM766">
        <f>IF('TMP Paste'!$F766="","",IF('TMP Paste'!$N766="",$AM765,'TMP Paste'!$N766))</f>
        <v/>
      </c>
      <c r="AN766">
        <f>IF('TMP Paste'!$F766="","",IF('TMP Paste'!$O766="",$AN765,'TMP Paste'!$O766))</f>
        <v/>
      </c>
      <c r="AO766">
        <f>IF('TMP Paste'!$F766="","",IF('TMP Paste'!$P766="",$AO765,'TMP Paste'!$P766))</f>
        <v/>
      </c>
      <c r="AP766">
        <f>IF($AG766="","",LEN($R766))</f>
        <v/>
      </c>
      <c r="AQ766">
        <f>IF($AG766="","",TRIM(IF(COUNTIFS(Calc!$B$2:$B$1601,ROW()-1,Calc!$C$2:$C$1601,"&lt;1")&gt;0,"Ada PO tanpa Koli - cek TMP. ","")&amp;IF(LEN($R766)&gt;500,"R &gt; 500 karakter.","")))</f>
        <v/>
      </c>
    </row>
    <row r="767">
      <c r="A767">
        <f>IF($AG767="","",INDEX('TMP Paste'!$B$2:$B$1601,$AG767))</f>
        <v/>
      </c>
      <c r="B767">
        <f>IF($AG767="","",Config!$B$14)</f>
        <v/>
      </c>
      <c r="C767">
        <f>IF($AG767="","",Config!$B$15)</f>
        <v/>
      </c>
      <c r="D767">
        <f>IF($AG767="","",INDEX('TMP Paste'!$B$2:$B$1601,$AG767))</f>
        <v/>
      </c>
      <c r="E767">
        <f>IF($AG767="","",Config!$B$27)</f>
        <v/>
      </c>
      <c r="F767">
        <f>IF($AG767="","",Config!$B$9)</f>
        <v/>
      </c>
      <c r="G767">
        <f>IF($AG767="","",Config!$B$10)</f>
        <v/>
      </c>
      <c r="H767">
        <f>IF($AG767="","",Config!$B$11)</f>
        <v/>
      </c>
      <c r="I767">
        <f>IF($AG767="","",Config!$B$16)</f>
        <v/>
      </c>
      <c r="J767">
        <f>IF($AG767="","",INDEX('TMP Paste'!$A$2:$A$1601,$AG767))</f>
        <v/>
      </c>
      <c r="K767">
        <f>IF($AG767="","",INDEX('TMP Paste'!$L$2:$L$1601,$AG767))</f>
        <v/>
      </c>
      <c r="L767">
        <f>IF($AG767="","",INDEX('TMP Paste'!$I$2:$I$1601,$AG767))</f>
        <v/>
      </c>
      <c r="M767">
        <f>IF($AG767="","",Config!$B$16)</f>
        <v/>
      </c>
      <c r="N767">
        <f>IF($AG767="","","")</f>
        <v/>
      </c>
      <c r="O767">
        <f>IF($AG767="","",INDEX('TMP Paste'!$K$2:$K$1601,$AG767))</f>
        <v/>
      </c>
      <c r="P767">
        <f>IF($AG767="","","")</f>
        <v/>
      </c>
      <c r="Q767">
        <f>IF($AG767="","",INDEX('TMP Paste'!$J$2:$J$1601,$AG767))</f>
        <v/>
      </c>
      <c r="R767">
        <f>IF($AG767="","",Config!$B$24)</f>
        <v/>
      </c>
      <c r="S767">
        <f>IF($AG767="","",TEXT(Config!$B$4,"yyyy-mm-dd"))</f>
        <v/>
      </c>
      <c r="T767">
        <f>IF($AG767="","",Config!$B$17)</f>
        <v/>
      </c>
      <c r="U767">
        <f>IF($AG767="","",Config!$B$18)</f>
        <v/>
      </c>
      <c r="V767">
        <f>IF($AG767="","",Config!$B$19)</f>
        <v/>
      </c>
      <c r="W767">
        <f>IF($AG767="","",INDEX('TMP Paste'!$C$2:$C$1601,$AG767))</f>
        <v/>
      </c>
      <c r="X767">
        <f>IF($AG767="","",Config!$B$29)</f>
        <v/>
      </c>
      <c r="Y767">
        <f>IF($AH767="","",INDEX(Calc!$I$2:$I$1601,$AH767)&amp;" - "&amp;INDEX(Calc!$D$2:$D$1601,$AH767)&amp;" koli")</f>
        <v/>
      </c>
      <c r="Z767">
        <f>IF($AG767="","",Config!$B$21)</f>
        <v/>
      </c>
      <c r="AA767">
        <f>IF($AG767="","",Config!$B$22)</f>
        <v/>
      </c>
      <c r="AB767">
        <f>IF($AH767="","",INDEX(Calc!$D$2:$D$1601,$AH767))</f>
        <v/>
      </c>
      <c r="AC767">
        <f>IF($AH767="","",INDEX(Calc!$G$2:$G$1601,$AH767))</f>
        <v/>
      </c>
      <c r="AD767">
        <f>IF($AG767="","",Config!$B$23)</f>
        <v/>
      </c>
      <c r="AE767">
        <f>IF($AG767="","",Config!$B$28)</f>
        <v/>
      </c>
      <c r="AG767">
        <f>IFERROR(MATCH(ROW()-1,Calc!$J$2:$J$1601,0),"")</f>
        <v/>
      </c>
      <c r="AH767">
        <f>IFERROR(MATCH(ROW()-1,Calc!$K$2:$K$1601,0),"")</f>
        <v/>
      </c>
      <c r="AI767">
        <f>IF($AG767="","",SUMIF($AG$2:$AG767,$AG767,$AH$2:$AH767))</f>
        <v/>
      </c>
      <c r="AJ767">
        <f>IF('TMP Paste'!$F767="","",IF('TMP Paste'!$B767="",$AJ766,'TMP Paste'!$B767))</f>
        <v/>
      </c>
      <c r="AK767">
        <f>IF('TMP Paste'!$F767="","",N('TMP Paste'!$G767))</f>
        <v/>
      </c>
      <c r="AL767">
        <f>IF('TMP Paste'!$F767="","",IF('TMP Paste'!$M767="",$AL766,'TMP Paste'!$M767))</f>
        <v/>
      </c>
      <c r="AM767">
        <f>IF('TMP Paste'!$F767="","",IF('TMP Paste'!$N767="",$AM766,'TMP Paste'!$N767))</f>
        <v/>
      </c>
      <c r="AN767">
        <f>IF('TMP Paste'!$F767="","",IF('TMP Paste'!$O767="",$AN766,'TMP Paste'!$O767))</f>
        <v/>
      </c>
      <c r="AO767">
        <f>IF('TMP Paste'!$F767="","",IF('TMP Paste'!$P767="",$AO766,'TMP Paste'!$P767))</f>
        <v/>
      </c>
      <c r="AP767">
        <f>IF($AG767="","",LEN($R767))</f>
        <v/>
      </c>
      <c r="AQ767">
        <f>IF($AG767="","",TRIM(IF(COUNTIFS(Calc!$B$2:$B$1601,ROW()-1,Calc!$C$2:$C$1601,"&lt;1")&gt;0,"Ada PO tanpa Koli - cek TMP. ","")&amp;IF(LEN($R767)&gt;500,"R &gt; 500 karakter.","")))</f>
        <v/>
      </c>
    </row>
    <row r="768">
      <c r="A768">
        <f>IF($AG768="","",INDEX('TMP Paste'!$B$2:$B$1601,$AG768))</f>
        <v/>
      </c>
      <c r="B768">
        <f>IF($AG768="","",Config!$B$14)</f>
        <v/>
      </c>
      <c r="C768">
        <f>IF($AG768="","",Config!$B$15)</f>
        <v/>
      </c>
      <c r="D768">
        <f>IF($AG768="","",INDEX('TMP Paste'!$B$2:$B$1601,$AG768))</f>
        <v/>
      </c>
      <c r="E768">
        <f>IF($AG768="","",Config!$B$27)</f>
        <v/>
      </c>
      <c r="F768">
        <f>IF($AG768="","",Config!$B$9)</f>
        <v/>
      </c>
      <c r="G768">
        <f>IF($AG768="","",Config!$B$10)</f>
        <v/>
      </c>
      <c r="H768">
        <f>IF($AG768="","",Config!$B$11)</f>
        <v/>
      </c>
      <c r="I768">
        <f>IF($AG768="","",Config!$B$16)</f>
        <v/>
      </c>
      <c r="J768">
        <f>IF($AG768="","",INDEX('TMP Paste'!$A$2:$A$1601,$AG768))</f>
        <v/>
      </c>
      <c r="K768">
        <f>IF($AG768="","",INDEX('TMP Paste'!$L$2:$L$1601,$AG768))</f>
        <v/>
      </c>
      <c r="L768">
        <f>IF($AG768="","",INDEX('TMP Paste'!$I$2:$I$1601,$AG768))</f>
        <v/>
      </c>
      <c r="M768">
        <f>IF($AG768="","",Config!$B$16)</f>
        <v/>
      </c>
      <c r="N768">
        <f>IF($AG768="","","")</f>
        <v/>
      </c>
      <c r="O768">
        <f>IF($AG768="","",INDEX('TMP Paste'!$K$2:$K$1601,$AG768))</f>
        <v/>
      </c>
      <c r="P768">
        <f>IF($AG768="","","")</f>
        <v/>
      </c>
      <c r="Q768">
        <f>IF($AG768="","",INDEX('TMP Paste'!$J$2:$J$1601,$AG768))</f>
        <v/>
      </c>
      <c r="R768">
        <f>IF($AG768="","",Config!$B$24)</f>
        <v/>
      </c>
      <c r="S768">
        <f>IF($AG768="","",TEXT(Config!$B$4,"yyyy-mm-dd"))</f>
        <v/>
      </c>
      <c r="T768">
        <f>IF($AG768="","",Config!$B$17)</f>
        <v/>
      </c>
      <c r="U768">
        <f>IF($AG768="","",Config!$B$18)</f>
        <v/>
      </c>
      <c r="V768">
        <f>IF($AG768="","",Config!$B$19)</f>
        <v/>
      </c>
      <c r="W768">
        <f>IF($AG768="","",INDEX('TMP Paste'!$C$2:$C$1601,$AG768))</f>
        <v/>
      </c>
      <c r="X768">
        <f>IF($AG768="","",Config!$B$29)</f>
        <v/>
      </c>
      <c r="Y768">
        <f>IF($AH768="","",INDEX(Calc!$I$2:$I$1601,$AH768)&amp;" - "&amp;INDEX(Calc!$D$2:$D$1601,$AH768)&amp;" koli")</f>
        <v/>
      </c>
      <c r="Z768">
        <f>IF($AG768="","",Config!$B$21)</f>
        <v/>
      </c>
      <c r="AA768">
        <f>IF($AG768="","",Config!$B$22)</f>
        <v/>
      </c>
      <c r="AB768">
        <f>IF($AH768="","",INDEX(Calc!$D$2:$D$1601,$AH768))</f>
        <v/>
      </c>
      <c r="AC768">
        <f>IF($AH768="","",INDEX(Calc!$G$2:$G$1601,$AH768))</f>
        <v/>
      </c>
      <c r="AD768">
        <f>IF($AG768="","",Config!$B$23)</f>
        <v/>
      </c>
      <c r="AE768">
        <f>IF($AG768="","",Config!$B$28)</f>
        <v/>
      </c>
      <c r="AG768">
        <f>IFERROR(MATCH(ROW()-1,Calc!$J$2:$J$1601,0),"")</f>
        <v/>
      </c>
      <c r="AH768">
        <f>IFERROR(MATCH(ROW()-1,Calc!$K$2:$K$1601,0),"")</f>
        <v/>
      </c>
      <c r="AI768">
        <f>IF($AG768="","",SUMIF($AG$2:$AG768,$AG768,$AH$2:$AH768))</f>
        <v/>
      </c>
      <c r="AJ768">
        <f>IF('TMP Paste'!$F768="","",IF('TMP Paste'!$B768="",$AJ767,'TMP Paste'!$B768))</f>
        <v/>
      </c>
      <c r="AK768">
        <f>IF('TMP Paste'!$F768="","",N('TMP Paste'!$G768))</f>
        <v/>
      </c>
      <c r="AL768">
        <f>IF('TMP Paste'!$F768="","",IF('TMP Paste'!$M768="",$AL767,'TMP Paste'!$M768))</f>
        <v/>
      </c>
      <c r="AM768">
        <f>IF('TMP Paste'!$F768="","",IF('TMP Paste'!$N768="",$AM767,'TMP Paste'!$N768))</f>
        <v/>
      </c>
      <c r="AN768">
        <f>IF('TMP Paste'!$F768="","",IF('TMP Paste'!$O768="",$AN767,'TMP Paste'!$O768))</f>
        <v/>
      </c>
      <c r="AO768">
        <f>IF('TMP Paste'!$F768="","",IF('TMP Paste'!$P768="",$AO767,'TMP Paste'!$P768))</f>
        <v/>
      </c>
      <c r="AP768">
        <f>IF($AG768="","",LEN($R768))</f>
        <v/>
      </c>
      <c r="AQ768">
        <f>IF($AG768="","",TRIM(IF(COUNTIFS(Calc!$B$2:$B$1601,ROW()-1,Calc!$C$2:$C$1601,"&lt;1")&gt;0,"Ada PO tanpa Koli - cek TMP. ","")&amp;IF(LEN($R768)&gt;500,"R &gt; 500 karakter.","")))</f>
        <v/>
      </c>
    </row>
    <row r="769">
      <c r="A769">
        <f>IF($AG769="","",INDEX('TMP Paste'!$B$2:$B$1601,$AG769))</f>
        <v/>
      </c>
      <c r="B769">
        <f>IF($AG769="","",Config!$B$14)</f>
        <v/>
      </c>
      <c r="C769">
        <f>IF($AG769="","",Config!$B$15)</f>
        <v/>
      </c>
      <c r="D769">
        <f>IF($AG769="","",INDEX('TMP Paste'!$B$2:$B$1601,$AG769))</f>
        <v/>
      </c>
      <c r="E769">
        <f>IF($AG769="","",Config!$B$27)</f>
        <v/>
      </c>
      <c r="F769">
        <f>IF($AG769="","",Config!$B$9)</f>
        <v/>
      </c>
      <c r="G769">
        <f>IF($AG769="","",Config!$B$10)</f>
        <v/>
      </c>
      <c r="H769">
        <f>IF($AG769="","",Config!$B$11)</f>
        <v/>
      </c>
      <c r="I769">
        <f>IF($AG769="","",Config!$B$16)</f>
        <v/>
      </c>
      <c r="J769">
        <f>IF($AG769="","",INDEX('TMP Paste'!$A$2:$A$1601,$AG769))</f>
        <v/>
      </c>
      <c r="K769">
        <f>IF($AG769="","",INDEX('TMP Paste'!$L$2:$L$1601,$AG769))</f>
        <v/>
      </c>
      <c r="L769">
        <f>IF($AG769="","",INDEX('TMP Paste'!$I$2:$I$1601,$AG769))</f>
        <v/>
      </c>
      <c r="M769">
        <f>IF($AG769="","",Config!$B$16)</f>
        <v/>
      </c>
      <c r="N769">
        <f>IF($AG769="","","")</f>
        <v/>
      </c>
      <c r="O769">
        <f>IF($AG769="","",INDEX('TMP Paste'!$K$2:$K$1601,$AG769))</f>
        <v/>
      </c>
      <c r="P769">
        <f>IF($AG769="","","")</f>
        <v/>
      </c>
      <c r="Q769">
        <f>IF($AG769="","",INDEX('TMP Paste'!$J$2:$J$1601,$AG769))</f>
        <v/>
      </c>
      <c r="R769">
        <f>IF($AG769="","",Config!$B$24)</f>
        <v/>
      </c>
      <c r="S769">
        <f>IF($AG769="","",TEXT(Config!$B$4,"yyyy-mm-dd"))</f>
        <v/>
      </c>
      <c r="T769">
        <f>IF($AG769="","",Config!$B$17)</f>
        <v/>
      </c>
      <c r="U769">
        <f>IF($AG769="","",Config!$B$18)</f>
        <v/>
      </c>
      <c r="V769">
        <f>IF($AG769="","",Config!$B$19)</f>
        <v/>
      </c>
      <c r="W769">
        <f>IF($AG769="","",INDEX('TMP Paste'!$C$2:$C$1601,$AG769))</f>
        <v/>
      </c>
      <c r="X769">
        <f>IF($AG769="","",Config!$B$29)</f>
        <v/>
      </c>
      <c r="Y769">
        <f>IF($AH769="","",INDEX(Calc!$I$2:$I$1601,$AH769)&amp;" - "&amp;INDEX(Calc!$D$2:$D$1601,$AH769)&amp;" koli")</f>
        <v/>
      </c>
      <c r="Z769">
        <f>IF($AG769="","",Config!$B$21)</f>
        <v/>
      </c>
      <c r="AA769">
        <f>IF($AG769="","",Config!$B$22)</f>
        <v/>
      </c>
      <c r="AB769">
        <f>IF($AH769="","",INDEX(Calc!$D$2:$D$1601,$AH769))</f>
        <v/>
      </c>
      <c r="AC769">
        <f>IF($AH769="","",INDEX(Calc!$G$2:$G$1601,$AH769))</f>
        <v/>
      </c>
      <c r="AD769">
        <f>IF($AG769="","",Config!$B$23)</f>
        <v/>
      </c>
      <c r="AE769">
        <f>IF($AG769="","",Config!$B$28)</f>
        <v/>
      </c>
      <c r="AG769">
        <f>IFERROR(MATCH(ROW()-1,Calc!$J$2:$J$1601,0),"")</f>
        <v/>
      </c>
      <c r="AH769">
        <f>IFERROR(MATCH(ROW()-1,Calc!$K$2:$K$1601,0),"")</f>
        <v/>
      </c>
      <c r="AI769">
        <f>IF($AG769="","",SUMIF($AG$2:$AG769,$AG769,$AH$2:$AH769))</f>
        <v/>
      </c>
      <c r="AJ769">
        <f>IF('TMP Paste'!$F769="","",IF('TMP Paste'!$B769="",$AJ768,'TMP Paste'!$B769))</f>
        <v/>
      </c>
      <c r="AK769">
        <f>IF('TMP Paste'!$F769="","",N('TMP Paste'!$G769))</f>
        <v/>
      </c>
      <c r="AL769">
        <f>IF('TMP Paste'!$F769="","",IF('TMP Paste'!$M769="",$AL768,'TMP Paste'!$M769))</f>
        <v/>
      </c>
      <c r="AM769">
        <f>IF('TMP Paste'!$F769="","",IF('TMP Paste'!$N769="",$AM768,'TMP Paste'!$N769))</f>
        <v/>
      </c>
      <c r="AN769">
        <f>IF('TMP Paste'!$F769="","",IF('TMP Paste'!$O769="",$AN768,'TMP Paste'!$O769))</f>
        <v/>
      </c>
      <c r="AO769">
        <f>IF('TMP Paste'!$F769="","",IF('TMP Paste'!$P769="",$AO768,'TMP Paste'!$P769))</f>
        <v/>
      </c>
      <c r="AP769">
        <f>IF($AG769="","",LEN($R769))</f>
        <v/>
      </c>
      <c r="AQ769">
        <f>IF($AG769="","",TRIM(IF(COUNTIFS(Calc!$B$2:$B$1601,ROW()-1,Calc!$C$2:$C$1601,"&lt;1")&gt;0,"Ada PO tanpa Koli - cek TMP. ","")&amp;IF(LEN($R769)&gt;500,"R &gt; 500 karakter.","")))</f>
        <v/>
      </c>
    </row>
    <row r="770">
      <c r="A770">
        <f>IF($AG770="","",INDEX('TMP Paste'!$B$2:$B$1601,$AG770))</f>
        <v/>
      </c>
      <c r="B770">
        <f>IF($AG770="","",Config!$B$14)</f>
        <v/>
      </c>
      <c r="C770">
        <f>IF($AG770="","",Config!$B$15)</f>
        <v/>
      </c>
      <c r="D770">
        <f>IF($AG770="","",INDEX('TMP Paste'!$B$2:$B$1601,$AG770))</f>
        <v/>
      </c>
      <c r="E770">
        <f>IF($AG770="","",Config!$B$27)</f>
        <v/>
      </c>
      <c r="F770">
        <f>IF($AG770="","",Config!$B$9)</f>
        <v/>
      </c>
      <c r="G770">
        <f>IF($AG770="","",Config!$B$10)</f>
        <v/>
      </c>
      <c r="H770">
        <f>IF($AG770="","",Config!$B$11)</f>
        <v/>
      </c>
      <c r="I770">
        <f>IF($AG770="","",Config!$B$16)</f>
        <v/>
      </c>
      <c r="J770">
        <f>IF($AG770="","",INDEX('TMP Paste'!$A$2:$A$1601,$AG770))</f>
        <v/>
      </c>
      <c r="K770">
        <f>IF($AG770="","",INDEX('TMP Paste'!$L$2:$L$1601,$AG770))</f>
        <v/>
      </c>
      <c r="L770">
        <f>IF($AG770="","",INDEX('TMP Paste'!$I$2:$I$1601,$AG770))</f>
        <v/>
      </c>
      <c r="M770">
        <f>IF($AG770="","",Config!$B$16)</f>
        <v/>
      </c>
      <c r="N770">
        <f>IF($AG770="","","")</f>
        <v/>
      </c>
      <c r="O770">
        <f>IF($AG770="","",INDEX('TMP Paste'!$K$2:$K$1601,$AG770))</f>
        <v/>
      </c>
      <c r="P770">
        <f>IF($AG770="","","")</f>
        <v/>
      </c>
      <c r="Q770">
        <f>IF($AG770="","",INDEX('TMP Paste'!$J$2:$J$1601,$AG770))</f>
        <v/>
      </c>
      <c r="R770">
        <f>IF($AG770="","",Config!$B$24)</f>
        <v/>
      </c>
      <c r="S770">
        <f>IF($AG770="","",TEXT(Config!$B$4,"yyyy-mm-dd"))</f>
        <v/>
      </c>
      <c r="T770">
        <f>IF($AG770="","",Config!$B$17)</f>
        <v/>
      </c>
      <c r="U770">
        <f>IF($AG770="","",Config!$B$18)</f>
        <v/>
      </c>
      <c r="V770">
        <f>IF($AG770="","",Config!$B$19)</f>
        <v/>
      </c>
      <c r="W770">
        <f>IF($AG770="","",INDEX('TMP Paste'!$C$2:$C$1601,$AG770))</f>
        <v/>
      </c>
      <c r="X770">
        <f>IF($AG770="","",Config!$B$29)</f>
        <v/>
      </c>
      <c r="Y770">
        <f>IF($AH770="","",INDEX(Calc!$I$2:$I$1601,$AH770)&amp;" - "&amp;INDEX(Calc!$D$2:$D$1601,$AH770)&amp;" koli")</f>
        <v/>
      </c>
      <c r="Z770">
        <f>IF($AG770="","",Config!$B$21)</f>
        <v/>
      </c>
      <c r="AA770">
        <f>IF($AG770="","",Config!$B$22)</f>
        <v/>
      </c>
      <c r="AB770">
        <f>IF($AH770="","",INDEX(Calc!$D$2:$D$1601,$AH770))</f>
        <v/>
      </c>
      <c r="AC770">
        <f>IF($AH770="","",INDEX(Calc!$G$2:$G$1601,$AH770))</f>
        <v/>
      </c>
      <c r="AD770">
        <f>IF($AG770="","",Config!$B$23)</f>
        <v/>
      </c>
      <c r="AE770">
        <f>IF($AG770="","",Config!$B$28)</f>
        <v/>
      </c>
      <c r="AG770">
        <f>IFERROR(MATCH(ROW()-1,Calc!$J$2:$J$1601,0),"")</f>
        <v/>
      </c>
      <c r="AH770">
        <f>IFERROR(MATCH(ROW()-1,Calc!$K$2:$K$1601,0),"")</f>
        <v/>
      </c>
      <c r="AI770">
        <f>IF($AG770="","",SUMIF($AG$2:$AG770,$AG770,$AH$2:$AH770))</f>
        <v/>
      </c>
      <c r="AJ770">
        <f>IF('TMP Paste'!$F770="","",IF('TMP Paste'!$B770="",$AJ769,'TMP Paste'!$B770))</f>
        <v/>
      </c>
      <c r="AK770">
        <f>IF('TMP Paste'!$F770="","",N('TMP Paste'!$G770))</f>
        <v/>
      </c>
      <c r="AL770">
        <f>IF('TMP Paste'!$F770="","",IF('TMP Paste'!$M770="",$AL769,'TMP Paste'!$M770))</f>
        <v/>
      </c>
      <c r="AM770">
        <f>IF('TMP Paste'!$F770="","",IF('TMP Paste'!$N770="",$AM769,'TMP Paste'!$N770))</f>
        <v/>
      </c>
      <c r="AN770">
        <f>IF('TMP Paste'!$F770="","",IF('TMP Paste'!$O770="",$AN769,'TMP Paste'!$O770))</f>
        <v/>
      </c>
      <c r="AO770">
        <f>IF('TMP Paste'!$F770="","",IF('TMP Paste'!$P770="",$AO769,'TMP Paste'!$P770))</f>
        <v/>
      </c>
      <c r="AP770">
        <f>IF($AG770="","",LEN($R770))</f>
        <v/>
      </c>
      <c r="AQ770">
        <f>IF($AG770="","",TRIM(IF(COUNTIFS(Calc!$B$2:$B$1601,ROW()-1,Calc!$C$2:$C$1601,"&lt;1")&gt;0,"Ada PO tanpa Koli - cek TMP. ","")&amp;IF(LEN($R770)&gt;500,"R &gt; 500 karakter.","")))</f>
        <v/>
      </c>
    </row>
    <row r="771">
      <c r="A771">
        <f>IF($AG771="","",INDEX('TMP Paste'!$B$2:$B$1601,$AG771))</f>
        <v/>
      </c>
      <c r="B771">
        <f>IF($AG771="","",Config!$B$14)</f>
        <v/>
      </c>
      <c r="C771">
        <f>IF($AG771="","",Config!$B$15)</f>
        <v/>
      </c>
      <c r="D771">
        <f>IF($AG771="","",INDEX('TMP Paste'!$B$2:$B$1601,$AG771))</f>
        <v/>
      </c>
      <c r="E771">
        <f>IF($AG771="","",Config!$B$27)</f>
        <v/>
      </c>
      <c r="F771">
        <f>IF($AG771="","",Config!$B$9)</f>
        <v/>
      </c>
      <c r="G771">
        <f>IF($AG771="","",Config!$B$10)</f>
        <v/>
      </c>
      <c r="H771">
        <f>IF($AG771="","",Config!$B$11)</f>
        <v/>
      </c>
      <c r="I771">
        <f>IF($AG771="","",Config!$B$16)</f>
        <v/>
      </c>
      <c r="J771">
        <f>IF($AG771="","",INDEX('TMP Paste'!$A$2:$A$1601,$AG771))</f>
        <v/>
      </c>
      <c r="K771">
        <f>IF($AG771="","",INDEX('TMP Paste'!$L$2:$L$1601,$AG771))</f>
        <v/>
      </c>
      <c r="L771">
        <f>IF($AG771="","",INDEX('TMP Paste'!$I$2:$I$1601,$AG771))</f>
        <v/>
      </c>
      <c r="M771">
        <f>IF($AG771="","",Config!$B$16)</f>
        <v/>
      </c>
      <c r="N771">
        <f>IF($AG771="","","")</f>
        <v/>
      </c>
      <c r="O771">
        <f>IF($AG771="","",INDEX('TMP Paste'!$K$2:$K$1601,$AG771))</f>
        <v/>
      </c>
      <c r="P771">
        <f>IF($AG771="","","")</f>
        <v/>
      </c>
      <c r="Q771">
        <f>IF($AG771="","",INDEX('TMP Paste'!$J$2:$J$1601,$AG771))</f>
        <v/>
      </c>
      <c r="R771">
        <f>IF($AG771="","",Config!$B$24)</f>
        <v/>
      </c>
      <c r="S771">
        <f>IF($AG771="","",TEXT(Config!$B$4,"yyyy-mm-dd"))</f>
        <v/>
      </c>
      <c r="T771">
        <f>IF($AG771="","",Config!$B$17)</f>
        <v/>
      </c>
      <c r="U771">
        <f>IF($AG771="","",Config!$B$18)</f>
        <v/>
      </c>
      <c r="V771">
        <f>IF($AG771="","",Config!$B$19)</f>
        <v/>
      </c>
      <c r="W771">
        <f>IF($AG771="","",INDEX('TMP Paste'!$C$2:$C$1601,$AG771))</f>
        <v/>
      </c>
      <c r="X771">
        <f>IF($AG771="","",Config!$B$29)</f>
        <v/>
      </c>
      <c r="Y771">
        <f>IF($AH771="","",INDEX(Calc!$I$2:$I$1601,$AH771)&amp;" - "&amp;INDEX(Calc!$D$2:$D$1601,$AH771)&amp;" koli")</f>
        <v/>
      </c>
      <c r="Z771">
        <f>IF($AG771="","",Config!$B$21)</f>
        <v/>
      </c>
      <c r="AA771">
        <f>IF($AG771="","",Config!$B$22)</f>
        <v/>
      </c>
      <c r="AB771">
        <f>IF($AH771="","",INDEX(Calc!$D$2:$D$1601,$AH771))</f>
        <v/>
      </c>
      <c r="AC771">
        <f>IF($AH771="","",INDEX(Calc!$G$2:$G$1601,$AH771))</f>
        <v/>
      </c>
      <c r="AD771">
        <f>IF($AG771="","",Config!$B$23)</f>
        <v/>
      </c>
      <c r="AE771">
        <f>IF($AG771="","",Config!$B$28)</f>
        <v/>
      </c>
      <c r="AG771">
        <f>IFERROR(MATCH(ROW()-1,Calc!$J$2:$J$1601,0),"")</f>
        <v/>
      </c>
      <c r="AH771">
        <f>IFERROR(MATCH(ROW()-1,Calc!$K$2:$K$1601,0),"")</f>
        <v/>
      </c>
      <c r="AI771">
        <f>IF($AG771="","",SUMIF($AG$2:$AG771,$AG771,$AH$2:$AH771))</f>
        <v/>
      </c>
      <c r="AJ771">
        <f>IF('TMP Paste'!$F771="","",IF('TMP Paste'!$B771="",$AJ770,'TMP Paste'!$B771))</f>
        <v/>
      </c>
      <c r="AK771">
        <f>IF('TMP Paste'!$F771="","",N('TMP Paste'!$G771))</f>
        <v/>
      </c>
      <c r="AL771">
        <f>IF('TMP Paste'!$F771="","",IF('TMP Paste'!$M771="",$AL770,'TMP Paste'!$M771))</f>
        <v/>
      </c>
      <c r="AM771">
        <f>IF('TMP Paste'!$F771="","",IF('TMP Paste'!$N771="",$AM770,'TMP Paste'!$N771))</f>
        <v/>
      </c>
      <c r="AN771">
        <f>IF('TMP Paste'!$F771="","",IF('TMP Paste'!$O771="",$AN770,'TMP Paste'!$O771))</f>
        <v/>
      </c>
      <c r="AO771">
        <f>IF('TMP Paste'!$F771="","",IF('TMP Paste'!$P771="",$AO770,'TMP Paste'!$P771))</f>
        <v/>
      </c>
      <c r="AP771">
        <f>IF($AG771="","",LEN($R771))</f>
        <v/>
      </c>
      <c r="AQ771">
        <f>IF($AG771="","",TRIM(IF(COUNTIFS(Calc!$B$2:$B$1601,ROW()-1,Calc!$C$2:$C$1601,"&lt;1")&gt;0,"Ada PO tanpa Koli - cek TMP. ","")&amp;IF(LEN($R771)&gt;500,"R &gt; 500 karakter.","")))</f>
        <v/>
      </c>
    </row>
    <row r="772">
      <c r="A772">
        <f>IF($AG772="","",INDEX('TMP Paste'!$B$2:$B$1601,$AG772))</f>
        <v/>
      </c>
      <c r="B772">
        <f>IF($AG772="","",Config!$B$14)</f>
        <v/>
      </c>
      <c r="C772">
        <f>IF($AG772="","",Config!$B$15)</f>
        <v/>
      </c>
      <c r="D772">
        <f>IF($AG772="","",INDEX('TMP Paste'!$B$2:$B$1601,$AG772))</f>
        <v/>
      </c>
      <c r="E772">
        <f>IF($AG772="","",Config!$B$27)</f>
        <v/>
      </c>
      <c r="F772">
        <f>IF($AG772="","",Config!$B$9)</f>
        <v/>
      </c>
      <c r="G772">
        <f>IF($AG772="","",Config!$B$10)</f>
        <v/>
      </c>
      <c r="H772">
        <f>IF($AG772="","",Config!$B$11)</f>
        <v/>
      </c>
      <c r="I772">
        <f>IF($AG772="","",Config!$B$16)</f>
        <v/>
      </c>
      <c r="J772">
        <f>IF($AG772="","",INDEX('TMP Paste'!$A$2:$A$1601,$AG772))</f>
        <v/>
      </c>
      <c r="K772">
        <f>IF($AG772="","",INDEX('TMP Paste'!$L$2:$L$1601,$AG772))</f>
        <v/>
      </c>
      <c r="L772">
        <f>IF($AG772="","",INDEX('TMP Paste'!$I$2:$I$1601,$AG772))</f>
        <v/>
      </c>
      <c r="M772">
        <f>IF($AG772="","",Config!$B$16)</f>
        <v/>
      </c>
      <c r="N772">
        <f>IF($AG772="","","")</f>
        <v/>
      </c>
      <c r="O772">
        <f>IF($AG772="","",INDEX('TMP Paste'!$K$2:$K$1601,$AG772))</f>
        <v/>
      </c>
      <c r="P772">
        <f>IF($AG772="","","")</f>
        <v/>
      </c>
      <c r="Q772">
        <f>IF($AG772="","",INDEX('TMP Paste'!$J$2:$J$1601,$AG772))</f>
        <v/>
      </c>
      <c r="R772">
        <f>IF($AG772="","",Config!$B$24)</f>
        <v/>
      </c>
      <c r="S772">
        <f>IF($AG772="","",TEXT(Config!$B$4,"yyyy-mm-dd"))</f>
        <v/>
      </c>
      <c r="T772">
        <f>IF($AG772="","",Config!$B$17)</f>
        <v/>
      </c>
      <c r="U772">
        <f>IF($AG772="","",Config!$B$18)</f>
        <v/>
      </c>
      <c r="V772">
        <f>IF($AG772="","",Config!$B$19)</f>
        <v/>
      </c>
      <c r="W772">
        <f>IF($AG772="","",INDEX('TMP Paste'!$C$2:$C$1601,$AG772))</f>
        <v/>
      </c>
      <c r="X772">
        <f>IF($AG772="","",Config!$B$29)</f>
        <v/>
      </c>
      <c r="Y772">
        <f>IF($AH772="","",INDEX(Calc!$I$2:$I$1601,$AH772)&amp;" - "&amp;INDEX(Calc!$D$2:$D$1601,$AH772)&amp;" koli")</f>
        <v/>
      </c>
      <c r="Z772">
        <f>IF($AG772="","",Config!$B$21)</f>
        <v/>
      </c>
      <c r="AA772">
        <f>IF($AG772="","",Config!$B$22)</f>
        <v/>
      </c>
      <c r="AB772">
        <f>IF($AH772="","",INDEX(Calc!$D$2:$D$1601,$AH772))</f>
        <v/>
      </c>
      <c r="AC772">
        <f>IF($AH772="","",INDEX(Calc!$G$2:$G$1601,$AH772))</f>
        <v/>
      </c>
      <c r="AD772">
        <f>IF($AG772="","",Config!$B$23)</f>
        <v/>
      </c>
      <c r="AE772">
        <f>IF($AG772="","",Config!$B$28)</f>
        <v/>
      </c>
      <c r="AG772">
        <f>IFERROR(MATCH(ROW()-1,Calc!$J$2:$J$1601,0),"")</f>
        <v/>
      </c>
      <c r="AH772">
        <f>IFERROR(MATCH(ROW()-1,Calc!$K$2:$K$1601,0),"")</f>
        <v/>
      </c>
      <c r="AI772">
        <f>IF($AG772="","",SUMIF($AG$2:$AG772,$AG772,$AH$2:$AH772))</f>
        <v/>
      </c>
      <c r="AJ772">
        <f>IF('TMP Paste'!$F772="","",IF('TMP Paste'!$B772="",$AJ771,'TMP Paste'!$B772))</f>
        <v/>
      </c>
      <c r="AK772">
        <f>IF('TMP Paste'!$F772="","",N('TMP Paste'!$G772))</f>
        <v/>
      </c>
      <c r="AL772">
        <f>IF('TMP Paste'!$F772="","",IF('TMP Paste'!$M772="",$AL771,'TMP Paste'!$M772))</f>
        <v/>
      </c>
      <c r="AM772">
        <f>IF('TMP Paste'!$F772="","",IF('TMP Paste'!$N772="",$AM771,'TMP Paste'!$N772))</f>
        <v/>
      </c>
      <c r="AN772">
        <f>IF('TMP Paste'!$F772="","",IF('TMP Paste'!$O772="",$AN771,'TMP Paste'!$O772))</f>
        <v/>
      </c>
      <c r="AO772">
        <f>IF('TMP Paste'!$F772="","",IF('TMP Paste'!$P772="",$AO771,'TMP Paste'!$P772))</f>
        <v/>
      </c>
      <c r="AP772">
        <f>IF($AG772="","",LEN($R772))</f>
        <v/>
      </c>
      <c r="AQ772">
        <f>IF($AG772="","",TRIM(IF(COUNTIFS(Calc!$B$2:$B$1601,ROW()-1,Calc!$C$2:$C$1601,"&lt;1")&gt;0,"Ada PO tanpa Koli - cek TMP. ","")&amp;IF(LEN($R772)&gt;500,"R &gt; 500 karakter.","")))</f>
        <v/>
      </c>
    </row>
    <row r="773">
      <c r="A773">
        <f>IF($AG773="","",INDEX('TMP Paste'!$B$2:$B$1601,$AG773))</f>
        <v/>
      </c>
      <c r="B773">
        <f>IF($AG773="","",Config!$B$14)</f>
        <v/>
      </c>
      <c r="C773">
        <f>IF($AG773="","",Config!$B$15)</f>
        <v/>
      </c>
      <c r="D773">
        <f>IF($AG773="","",INDEX('TMP Paste'!$B$2:$B$1601,$AG773))</f>
        <v/>
      </c>
      <c r="E773">
        <f>IF($AG773="","",Config!$B$27)</f>
        <v/>
      </c>
      <c r="F773">
        <f>IF($AG773="","",Config!$B$9)</f>
        <v/>
      </c>
      <c r="G773">
        <f>IF($AG773="","",Config!$B$10)</f>
        <v/>
      </c>
      <c r="H773">
        <f>IF($AG773="","",Config!$B$11)</f>
        <v/>
      </c>
      <c r="I773">
        <f>IF($AG773="","",Config!$B$16)</f>
        <v/>
      </c>
      <c r="J773">
        <f>IF($AG773="","",INDEX('TMP Paste'!$A$2:$A$1601,$AG773))</f>
        <v/>
      </c>
      <c r="K773">
        <f>IF($AG773="","",INDEX('TMP Paste'!$L$2:$L$1601,$AG773))</f>
        <v/>
      </c>
      <c r="L773">
        <f>IF($AG773="","",INDEX('TMP Paste'!$I$2:$I$1601,$AG773))</f>
        <v/>
      </c>
      <c r="M773">
        <f>IF($AG773="","",Config!$B$16)</f>
        <v/>
      </c>
      <c r="N773">
        <f>IF($AG773="","","")</f>
        <v/>
      </c>
      <c r="O773">
        <f>IF($AG773="","",INDEX('TMP Paste'!$K$2:$K$1601,$AG773))</f>
        <v/>
      </c>
      <c r="P773">
        <f>IF($AG773="","","")</f>
        <v/>
      </c>
      <c r="Q773">
        <f>IF($AG773="","",INDEX('TMP Paste'!$J$2:$J$1601,$AG773))</f>
        <v/>
      </c>
      <c r="R773">
        <f>IF($AG773="","",Config!$B$24)</f>
        <v/>
      </c>
      <c r="S773">
        <f>IF($AG773="","",TEXT(Config!$B$4,"yyyy-mm-dd"))</f>
        <v/>
      </c>
      <c r="T773">
        <f>IF($AG773="","",Config!$B$17)</f>
        <v/>
      </c>
      <c r="U773">
        <f>IF($AG773="","",Config!$B$18)</f>
        <v/>
      </c>
      <c r="V773">
        <f>IF($AG773="","",Config!$B$19)</f>
        <v/>
      </c>
      <c r="W773">
        <f>IF($AG773="","",INDEX('TMP Paste'!$C$2:$C$1601,$AG773))</f>
        <v/>
      </c>
      <c r="X773">
        <f>IF($AG773="","",Config!$B$29)</f>
        <v/>
      </c>
      <c r="Y773">
        <f>IF($AH773="","",INDEX(Calc!$I$2:$I$1601,$AH773)&amp;" - "&amp;INDEX(Calc!$D$2:$D$1601,$AH773)&amp;" koli")</f>
        <v/>
      </c>
      <c r="Z773">
        <f>IF($AG773="","",Config!$B$21)</f>
        <v/>
      </c>
      <c r="AA773">
        <f>IF($AG773="","",Config!$B$22)</f>
        <v/>
      </c>
      <c r="AB773">
        <f>IF($AH773="","",INDEX(Calc!$D$2:$D$1601,$AH773))</f>
        <v/>
      </c>
      <c r="AC773">
        <f>IF($AH773="","",INDEX(Calc!$G$2:$G$1601,$AH773))</f>
        <v/>
      </c>
      <c r="AD773">
        <f>IF($AG773="","",Config!$B$23)</f>
        <v/>
      </c>
      <c r="AE773">
        <f>IF($AG773="","",Config!$B$28)</f>
        <v/>
      </c>
      <c r="AG773">
        <f>IFERROR(MATCH(ROW()-1,Calc!$J$2:$J$1601,0),"")</f>
        <v/>
      </c>
      <c r="AH773">
        <f>IFERROR(MATCH(ROW()-1,Calc!$K$2:$K$1601,0),"")</f>
        <v/>
      </c>
      <c r="AI773">
        <f>IF($AG773="","",SUMIF($AG$2:$AG773,$AG773,$AH$2:$AH773))</f>
        <v/>
      </c>
      <c r="AJ773">
        <f>IF('TMP Paste'!$F773="","",IF('TMP Paste'!$B773="",$AJ772,'TMP Paste'!$B773))</f>
        <v/>
      </c>
      <c r="AK773">
        <f>IF('TMP Paste'!$F773="","",N('TMP Paste'!$G773))</f>
        <v/>
      </c>
      <c r="AL773">
        <f>IF('TMP Paste'!$F773="","",IF('TMP Paste'!$M773="",$AL772,'TMP Paste'!$M773))</f>
        <v/>
      </c>
      <c r="AM773">
        <f>IF('TMP Paste'!$F773="","",IF('TMP Paste'!$N773="",$AM772,'TMP Paste'!$N773))</f>
        <v/>
      </c>
      <c r="AN773">
        <f>IF('TMP Paste'!$F773="","",IF('TMP Paste'!$O773="",$AN772,'TMP Paste'!$O773))</f>
        <v/>
      </c>
      <c r="AO773">
        <f>IF('TMP Paste'!$F773="","",IF('TMP Paste'!$P773="",$AO772,'TMP Paste'!$P773))</f>
        <v/>
      </c>
      <c r="AP773">
        <f>IF($AG773="","",LEN($R773))</f>
        <v/>
      </c>
      <c r="AQ773">
        <f>IF($AG773="","",TRIM(IF(COUNTIFS(Calc!$B$2:$B$1601,ROW()-1,Calc!$C$2:$C$1601,"&lt;1")&gt;0,"Ada PO tanpa Koli - cek TMP. ","")&amp;IF(LEN($R773)&gt;500,"R &gt; 500 karakter.","")))</f>
        <v/>
      </c>
    </row>
    <row r="774">
      <c r="A774">
        <f>IF($AG774="","",INDEX('TMP Paste'!$B$2:$B$1601,$AG774))</f>
        <v/>
      </c>
      <c r="B774">
        <f>IF($AG774="","",Config!$B$14)</f>
        <v/>
      </c>
      <c r="C774">
        <f>IF($AG774="","",Config!$B$15)</f>
        <v/>
      </c>
      <c r="D774">
        <f>IF($AG774="","",INDEX('TMP Paste'!$B$2:$B$1601,$AG774))</f>
        <v/>
      </c>
      <c r="E774">
        <f>IF($AG774="","",Config!$B$27)</f>
        <v/>
      </c>
      <c r="F774">
        <f>IF($AG774="","",Config!$B$9)</f>
        <v/>
      </c>
      <c r="G774">
        <f>IF($AG774="","",Config!$B$10)</f>
        <v/>
      </c>
      <c r="H774">
        <f>IF($AG774="","",Config!$B$11)</f>
        <v/>
      </c>
      <c r="I774">
        <f>IF($AG774="","",Config!$B$16)</f>
        <v/>
      </c>
      <c r="J774">
        <f>IF($AG774="","",INDEX('TMP Paste'!$A$2:$A$1601,$AG774))</f>
        <v/>
      </c>
      <c r="K774">
        <f>IF($AG774="","",INDEX('TMP Paste'!$L$2:$L$1601,$AG774))</f>
        <v/>
      </c>
      <c r="L774">
        <f>IF($AG774="","",INDEX('TMP Paste'!$I$2:$I$1601,$AG774))</f>
        <v/>
      </c>
      <c r="M774">
        <f>IF($AG774="","",Config!$B$16)</f>
        <v/>
      </c>
      <c r="N774">
        <f>IF($AG774="","","")</f>
        <v/>
      </c>
      <c r="O774">
        <f>IF($AG774="","",INDEX('TMP Paste'!$K$2:$K$1601,$AG774))</f>
        <v/>
      </c>
      <c r="P774">
        <f>IF($AG774="","","")</f>
        <v/>
      </c>
      <c r="Q774">
        <f>IF($AG774="","",INDEX('TMP Paste'!$J$2:$J$1601,$AG774))</f>
        <v/>
      </c>
      <c r="R774">
        <f>IF($AG774="","",Config!$B$24)</f>
        <v/>
      </c>
      <c r="S774">
        <f>IF($AG774="","",TEXT(Config!$B$4,"yyyy-mm-dd"))</f>
        <v/>
      </c>
      <c r="T774">
        <f>IF($AG774="","",Config!$B$17)</f>
        <v/>
      </c>
      <c r="U774">
        <f>IF($AG774="","",Config!$B$18)</f>
        <v/>
      </c>
      <c r="V774">
        <f>IF($AG774="","",Config!$B$19)</f>
        <v/>
      </c>
      <c r="W774">
        <f>IF($AG774="","",INDEX('TMP Paste'!$C$2:$C$1601,$AG774))</f>
        <v/>
      </c>
      <c r="X774">
        <f>IF($AG774="","",Config!$B$29)</f>
        <v/>
      </c>
      <c r="Y774">
        <f>IF($AH774="","",INDEX(Calc!$I$2:$I$1601,$AH774)&amp;" - "&amp;INDEX(Calc!$D$2:$D$1601,$AH774)&amp;" koli")</f>
        <v/>
      </c>
      <c r="Z774">
        <f>IF($AG774="","",Config!$B$21)</f>
        <v/>
      </c>
      <c r="AA774">
        <f>IF($AG774="","",Config!$B$22)</f>
        <v/>
      </c>
      <c r="AB774">
        <f>IF($AH774="","",INDEX(Calc!$D$2:$D$1601,$AH774))</f>
        <v/>
      </c>
      <c r="AC774">
        <f>IF($AH774="","",INDEX(Calc!$G$2:$G$1601,$AH774))</f>
        <v/>
      </c>
      <c r="AD774">
        <f>IF($AG774="","",Config!$B$23)</f>
        <v/>
      </c>
      <c r="AE774">
        <f>IF($AG774="","",Config!$B$28)</f>
        <v/>
      </c>
      <c r="AG774">
        <f>IFERROR(MATCH(ROW()-1,Calc!$J$2:$J$1601,0),"")</f>
        <v/>
      </c>
      <c r="AH774">
        <f>IFERROR(MATCH(ROW()-1,Calc!$K$2:$K$1601,0),"")</f>
        <v/>
      </c>
      <c r="AI774">
        <f>IF($AG774="","",SUMIF($AG$2:$AG774,$AG774,$AH$2:$AH774))</f>
        <v/>
      </c>
      <c r="AJ774">
        <f>IF('TMP Paste'!$F774="","",IF('TMP Paste'!$B774="",$AJ773,'TMP Paste'!$B774))</f>
        <v/>
      </c>
      <c r="AK774">
        <f>IF('TMP Paste'!$F774="","",N('TMP Paste'!$G774))</f>
        <v/>
      </c>
      <c r="AL774">
        <f>IF('TMP Paste'!$F774="","",IF('TMP Paste'!$M774="",$AL773,'TMP Paste'!$M774))</f>
        <v/>
      </c>
      <c r="AM774">
        <f>IF('TMP Paste'!$F774="","",IF('TMP Paste'!$N774="",$AM773,'TMP Paste'!$N774))</f>
        <v/>
      </c>
      <c r="AN774">
        <f>IF('TMP Paste'!$F774="","",IF('TMP Paste'!$O774="",$AN773,'TMP Paste'!$O774))</f>
        <v/>
      </c>
      <c r="AO774">
        <f>IF('TMP Paste'!$F774="","",IF('TMP Paste'!$P774="",$AO773,'TMP Paste'!$P774))</f>
        <v/>
      </c>
      <c r="AP774">
        <f>IF($AG774="","",LEN($R774))</f>
        <v/>
      </c>
      <c r="AQ774">
        <f>IF($AG774="","",TRIM(IF(COUNTIFS(Calc!$B$2:$B$1601,ROW()-1,Calc!$C$2:$C$1601,"&lt;1")&gt;0,"Ada PO tanpa Koli - cek TMP. ","")&amp;IF(LEN($R774)&gt;500,"R &gt; 500 karakter.","")))</f>
        <v/>
      </c>
    </row>
    <row r="775">
      <c r="A775">
        <f>IF($AG775="","",INDEX('TMP Paste'!$B$2:$B$1601,$AG775))</f>
        <v/>
      </c>
      <c r="B775">
        <f>IF($AG775="","",Config!$B$14)</f>
        <v/>
      </c>
      <c r="C775">
        <f>IF($AG775="","",Config!$B$15)</f>
        <v/>
      </c>
      <c r="D775">
        <f>IF($AG775="","",INDEX('TMP Paste'!$B$2:$B$1601,$AG775))</f>
        <v/>
      </c>
      <c r="E775">
        <f>IF($AG775="","",Config!$B$27)</f>
        <v/>
      </c>
      <c r="F775">
        <f>IF($AG775="","",Config!$B$9)</f>
        <v/>
      </c>
      <c r="G775">
        <f>IF($AG775="","",Config!$B$10)</f>
        <v/>
      </c>
      <c r="H775">
        <f>IF($AG775="","",Config!$B$11)</f>
        <v/>
      </c>
      <c r="I775">
        <f>IF($AG775="","",Config!$B$16)</f>
        <v/>
      </c>
      <c r="J775">
        <f>IF($AG775="","",INDEX('TMP Paste'!$A$2:$A$1601,$AG775))</f>
        <v/>
      </c>
      <c r="K775">
        <f>IF($AG775="","",INDEX('TMP Paste'!$L$2:$L$1601,$AG775))</f>
        <v/>
      </c>
      <c r="L775">
        <f>IF($AG775="","",INDEX('TMP Paste'!$I$2:$I$1601,$AG775))</f>
        <v/>
      </c>
      <c r="M775">
        <f>IF($AG775="","",Config!$B$16)</f>
        <v/>
      </c>
      <c r="N775">
        <f>IF($AG775="","","")</f>
        <v/>
      </c>
      <c r="O775">
        <f>IF($AG775="","",INDEX('TMP Paste'!$K$2:$K$1601,$AG775))</f>
        <v/>
      </c>
      <c r="P775">
        <f>IF($AG775="","","")</f>
        <v/>
      </c>
      <c r="Q775">
        <f>IF($AG775="","",INDEX('TMP Paste'!$J$2:$J$1601,$AG775))</f>
        <v/>
      </c>
      <c r="R775">
        <f>IF($AG775="","",Config!$B$24)</f>
        <v/>
      </c>
      <c r="S775">
        <f>IF($AG775="","",TEXT(Config!$B$4,"yyyy-mm-dd"))</f>
        <v/>
      </c>
      <c r="T775">
        <f>IF($AG775="","",Config!$B$17)</f>
        <v/>
      </c>
      <c r="U775">
        <f>IF($AG775="","",Config!$B$18)</f>
        <v/>
      </c>
      <c r="V775">
        <f>IF($AG775="","",Config!$B$19)</f>
        <v/>
      </c>
      <c r="W775">
        <f>IF($AG775="","",INDEX('TMP Paste'!$C$2:$C$1601,$AG775))</f>
        <v/>
      </c>
      <c r="X775">
        <f>IF($AG775="","",Config!$B$29)</f>
        <v/>
      </c>
      <c r="Y775">
        <f>IF($AH775="","",INDEX(Calc!$I$2:$I$1601,$AH775)&amp;" - "&amp;INDEX(Calc!$D$2:$D$1601,$AH775)&amp;" koli")</f>
        <v/>
      </c>
      <c r="Z775">
        <f>IF($AG775="","",Config!$B$21)</f>
        <v/>
      </c>
      <c r="AA775">
        <f>IF($AG775="","",Config!$B$22)</f>
        <v/>
      </c>
      <c r="AB775">
        <f>IF($AH775="","",INDEX(Calc!$D$2:$D$1601,$AH775))</f>
        <v/>
      </c>
      <c r="AC775">
        <f>IF($AH775="","",INDEX(Calc!$G$2:$G$1601,$AH775))</f>
        <v/>
      </c>
      <c r="AD775">
        <f>IF($AG775="","",Config!$B$23)</f>
        <v/>
      </c>
      <c r="AE775">
        <f>IF($AG775="","",Config!$B$28)</f>
        <v/>
      </c>
      <c r="AG775">
        <f>IFERROR(MATCH(ROW()-1,Calc!$J$2:$J$1601,0),"")</f>
        <v/>
      </c>
      <c r="AH775">
        <f>IFERROR(MATCH(ROW()-1,Calc!$K$2:$K$1601,0),"")</f>
        <v/>
      </c>
      <c r="AI775">
        <f>IF($AG775="","",SUMIF($AG$2:$AG775,$AG775,$AH$2:$AH775))</f>
        <v/>
      </c>
      <c r="AJ775">
        <f>IF('TMP Paste'!$F775="","",IF('TMP Paste'!$B775="",$AJ774,'TMP Paste'!$B775))</f>
        <v/>
      </c>
      <c r="AK775">
        <f>IF('TMP Paste'!$F775="","",N('TMP Paste'!$G775))</f>
        <v/>
      </c>
      <c r="AL775">
        <f>IF('TMP Paste'!$F775="","",IF('TMP Paste'!$M775="",$AL774,'TMP Paste'!$M775))</f>
        <v/>
      </c>
      <c r="AM775">
        <f>IF('TMP Paste'!$F775="","",IF('TMP Paste'!$N775="",$AM774,'TMP Paste'!$N775))</f>
        <v/>
      </c>
      <c r="AN775">
        <f>IF('TMP Paste'!$F775="","",IF('TMP Paste'!$O775="",$AN774,'TMP Paste'!$O775))</f>
        <v/>
      </c>
      <c r="AO775">
        <f>IF('TMP Paste'!$F775="","",IF('TMP Paste'!$P775="",$AO774,'TMP Paste'!$P775))</f>
        <v/>
      </c>
      <c r="AP775">
        <f>IF($AG775="","",LEN($R775))</f>
        <v/>
      </c>
      <c r="AQ775">
        <f>IF($AG775="","",TRIM(IF(COUNTIFS(Calc!$B$2:$B$1601,ROW()-1,Calc!$C$2:$C$1601,"&lt;1")&gt;0,"Ada PO tanpa Koli - cek TMP. ","")&amp;IF(LEN($R775)&gt;500,"R &gt; 500 karakter.","")))</f>
        <v/>
      </c>
    </row>
    <row r="776">
      <c r="A776">
        <f>IF($AG776="","",INDEX('TMP Paste'!$B$2:$B$1601,$AG776))</f>
        <v/>
      </c>
      <c r="B776">
        <f>IF($AG776="","",Config!$B$14)</f>
        <v/>
      </c>
      <c r="C776">
        <f>IF($AG776="","",Config!$B$15)</f>
        <v/>
      </c>
      <c r="D776">
        <f>IF($AG776="","",INDEX('TMP Paste'!$B$2:$B$1601,$AG776))</f>
        <v/>
      </c>
      <c r="E776">
        <f>IF($AG776="","",Config!$B$27)</f>
        <v/>
      </c>
      <c r="F776">
        <f>IF($AG776="","",Config!$B$9)</f>
        <v/>
      </c>
      <c r="G776">
        <f>IF($AG776="","",Config!$B$10)</f>
        <v/>
      </c>
      <c r="H776">
        <f>IF($AG776="","",Config!$B$11)</f>
        <v/>
      </c>
      <c r="I776">
        <f>IF($AG776="","",Config!$B$16)</f>
        <v/>
      </c>
      <c r="J776">
        <f>IF($AG776="","",INDEX('TMP Paste'!$A$2:$A$1601,$AG776))</f>
        <v/>
      </c>
      <c r="K776">
        <f>IF($AG776="","",INDEX('TMP Paste'!$L$2:$L$1601,$AG776))</f>
        <v/>
      </c>
      <c r="L776">
        <f>IF($AG776="","",INDEX('TMP Paste'!$I$2:$I$1601,$AG776))</f>
        <v/>
      </c>
      <c r="M776">
        <f>IF($AG776="","",Config!$B$16)</f>
        <v/>
      </c>
      <c r="N776">
        <f>IF($AG776="","","")</f>
        <v/>
      </c>
      <c r="O776">
        <f>IF($AG776="","",INDEX('TMP Paste'!$K$2:$K$1601,$AG776))</f>
        <v/>
      </c>
      <c r="P776">
        <f>IF($AG776="","","")</f>
        <v/>
      </c>
      <c r="Q776">
        <f>IF($AG776="","",INDEX('TMP Paste'!$J$2:$J$1601,$AG776))</f>
        <v/>
      </c>
      <c r="R776">
        <f>IF($AG776="","",Config!$B$24)</f>
        <v/>
      </c>
      <c r="S776">
        <f>IF($AG776="","",TEXT(Config!$B$4,"yyyy-mm-dd"))</f>
        <v/>
      </c>
      <c r="T776">
        <f>IF($AG776="","",Config!$B$17)</f>
        <v/>
      </c>
      <c r="U776">
        <f>IF($AG776="","",Config!$B$18)</f>
        <v/>
      </c>
      <c r="V776">
        <f>IF($AG776="","",Config!$B$19)</f>
        <v/>
      </c>
      <c r="W776">
        <f>IF($AG776="","",INDEX('TMP Paste'!$C$2:$C$1601,$AG776))</f>
        <v/>
      </c>
      <c r="X776">
        <f>IF($AG776="","",Config!$B$29)</f>
        <v/>
      </c>
      <c r="Y776">
        <f>IF($AH776="","",INDEX(Calc!$I$2:$I$1601,$AH776)&amp;" - "&amp;INDEX(Calc!$D$2:$D$1601,$AH776)&amp;" koli")</f>
        <v/>
      </c>
      <c r="Z776">
        <f>IF($AG776="","",Config!$B$21)</f>
        <v/>
      </c>
      <c r="AA776">
        <f>IF($AG776="","",Config!$B$22)</f>
        <v/>
      </c>
      <c r="AB776">
        <f>IF($AH776="","",INDEX(Calc!$D$2:$D$1601,$AH776))</f>
        <v/>
      </c>
      <c r="AC776">
        <f>IF($AH776="","",INDEX(Calc!$G$2:$G$1601,$AH776))</f>
        <v/>
      </c>
      <c r="AD776">
        <f>IF($AG776="","",Config!$B$23)</f>
        <v/>
      </c>
      <c r="AE776">
        <f>IF($AG776="","",Config!$B$28)</f>
        <v/>
      </c>
      <c r="AG776">
        <f>IFERROR(MATCH(ROW()-1,Calc!$J$2:$J$1601,0),"")</f>
        <v/>
      </c>
      <c r="AH776">
        <f>IFERROR(MATCH(ROW()-1,Calc!$K$2:$K$1601,0),"")</f>
        <v/>
      </c>
      <c r="AI776">
        <f>IF($AG776="","",SUMIF($AG$2:$AG776,$AG776,$AH$2:$AH776))</f>
        <v/>
      </c>
      <c r="AJ776">
        <f>IF('TMP Paste'!$F776="","",IF('TMP Paste'!$B776="",$AJ775,'TMP Paste'!$B776))</f>
        <v/>
      </c>
      <c r="AK776">
        <f>IF('TMP Paste'!$F776="","",N('TMP Paste'!$G776))</f>
        <v/>
      </c>
      <c r="AL776">
        <f>IF('TMP Paste'!$F776="","",IF('TMP Paste'!$M776="",$AL775,'TMP Paste'!$M776))</f>
        <v/>
      </c>
      <c r="AM776">
        <f>IF('TMP Paste'!$F776="","",IF('TMP Paste'!$N776="",$AM775,'TMP Paste'!$N776))</f>
        <v/>
      </c>
      <c r="AN776">
        <f>IF('TMP Paste'!$F776="","",IF('TMP Paste'!$O776="",$AN775,'TMP Paste'!$O776))</f>
        <v/>
      </c>
      <c r="AO776">
        <f>IF('TMP Paste'!$F776="","",IF('TMP Paste'!$P776="",$AO775,'TMP Paste'!$P776))</f>
        <v/>
      </c>
      <c r="AP776">
        <f>IF($AG776="","",LEN($R776))</f>
        <v/>
      </c>
      <c r="AQ776">
        <f>IF($AG776="","",TRIM(IF(COUNTIFS(Calc!$B$2:$B$1601,ROW()-1,Calc!$C$2:$C$1601,"&lt;1")&gt;0,"Ada PO tanpa Koli - cek TMP. ","")&amp;IF(LEN($R776)&gt;500,"R &gt; 500 karakter.","")))</f>
        <v/>
      </c>
    </row>
    <row r="777">
      <c r="A777">
        <f>IF($AG777="","",INDEX('TMP Paste'!$B$2:$B$1601,$AG777))</f>
        <v/>
      </c>
      <c r="B777">
        <f>IF($AG777="","",Config!$B$14)</f>
        <v/>
      </c>
      <c r="C777">
        <f>IF($AG777="","",Config!$B$15)</f>
        <v/>
      </c>
      <c r="D777">
        <f>IF($AG777="","",INDEX('TMP Paste'!$B$2:$B$1601,$AG777))</f>
        <v/>
      </c>
      <c r="E777">
        <f>IF($AG777="","",Config!$B$27)</f>
        <v/>
      </c>
      <c r="F777">
        <f>IF($AG777="","",Config!$B$9)</f>
        <v/>
      </c>
      <c r="G777">
        <f>IF($AG777="","",Config!$B$10)</f>
        <v/>
      </c>
      <c r="H777">
        <f>IF($AG777="","",Config!$B$11)</f>
        <v/>
      </c>
      <c r="I777">
        <f>IF($AG777="","",Config!$B$16)</f>
        <v/>
      </c>
      <c r="J777">
        <f>IF($AG777="","",INDEX('TMP Paste'!$A$2:$A$1601,$AG777))</f>
        <v/>
      </c>
      <c r="K777">
        <f>IF($AG777="","",INDEX('TMP Paste'!$L$2:$L$1601,$AG777))</f>
        <v/>
      </c>
      <c r="L777">
        <f>IF($AG777="","",INDEX('TMP Paste'!$I$2:$I$1601,$AG777))</f>
        <v/>
      </c>
      <c r="M777">
        <f>IF($AG777="","",Config!$B$16)</f>
        <v/>
      </c>
      <c r="N777">
        <f>IF($AG777="","","")</f>
        <v/>
      </c>
      <c r="O777">
        <f>IF($AG777="","",INDEX('TMP Paste'!$K$2:$K$1601,$AG777))</f>
        <v/>
      </c>
      <c r="P777">
        <f>IF($AG777="","","")</f>
        <v/>
      </c>
      <c r="Q777">
        <f>IF($AG777="","",INDEX('TMP Paste'!$J$2:$J$1601,$AG777))</f>
        <v/>
      </c>
      <c r="R777">
        <f>IF($AG777="","",Config!$B$24)</f>
        <v/>
      </c>
      <c r="S777">
        <f>IF($AG777="","",TEXT(Config!$B$4,"yyyy-mm-dd"))</f>
        <v/>
      </c>
      <c r="T777">
        <f>IF($AG777="","",Config!$B$17)</f>
        <v/>
      </c>
      <c r="U777">
        <f>IF($AG777="","",Config!$B$18)</f>
        <v/>
      </c>
      <c r="V777">
        <f>IF($AG777="","",Config!$B$19)</f>
        <v/>
      </c>
      <c r="W777">
        <f>IF($AG777="","",INDEX('TMP Paste'!$C$2:$C$1601,$AG777))</f>
        <v/>
      </c>
      <c r="X777">
        <f>IF($AG777="","",Config!$B$29)</f>
        <v/>
      </c>
      <c r="Y777">
        <f>IF($AH777="","",INDEX(Calc!$I$2:$I$1601,$AH777)&amp;" - "&amp;INDEX(Calc!$D$2:$D$1601,$AH777)&amp;" koli")</f>
        <v/>
      </c>
      <c r="Z777">
        <f>IF($AG777="","",Config!$B$21)</f>
        <v/>
      </c>
      <c r="AA777">
        <f>IF($AG777="","",Config!$B$22)</f>
        <v/>
      </c>
      <c r="AB777">
        <f>IF($AH777="","",INDEX(Calc!$D$2:$D$1601,$AH777))</f>
        <v/>
      </c>
      <c r="AC777">
        <f>IF($AH777="","",INDEX(Calc!$G$2:$G$1601,$AH777))</f>
        <v/>
      </c>
      <c r="AD777">
        <f>IF($AG777="","",Config!$B$23)</f>
        <v/>
      </c>
      <c r="AE777">
        <f>IF($AG777="","",Config!$B$28)</f>
        <v/>
      </c>
      <c r="AG777">
        <f>IFERROR(MATCH(ROW()-1,Calc!$J$2:$J$1601,0),"")</f>
        <v/>
      </c>
      <c r="AH777">
        <f>IFERROR(MATCH(ROW()-1,Calc!$K$2:$K$1601,0),"")</f>
        <v/>
      </c>
      <c r="AI777">
        <f>IF($AG777="","",SUMIF($AG$2:$AG777,$AG777,$AH$2:$AH777))</f>
        <v/>
      </c>
      <c r="AJ777">
        <f>IF('TMP Paste'!$F777="","",IF('TMP Paste'!$B777="",$AJ776,'TMP Paste'!$B777))</f>
        <v/>
      </c>
      <c r="AK777">
        <f>IF('TMP Paste'!$F777="","",N('TMP Paste'!$G777))</f>
        <v/>
      </c>
      <c r="AL777">
        <f>IF('TMP Paste'!$F777="","",IF('TMP Paste'!$M777="",$AL776,'TMP Paste'!$M777))</f>
        <v/>
      </c>
      <c r="AM777">
        <f>IF('TMP Paste'!$F777="","",IF('TMP Paste'!$N777="",$AM776,'TMP Paste'!$N777))</f>
        <v/>
      </c>
      <c r="AN777">
        <f>IF('TMP Paste'!$F777="","",IF('TMP Paste'!$O777="",$AN776,'TMP Paste'!$O777))</f>
        <v/>
      </c>
      <c r="AO777">
        <f>IF('TMP Paste'!$F777="","",IF('TMP Paste'!$P777="",$AO776,'TMP Paste'!$P777))</f>
        <v/>
      </c>
      <c r="AP777">
        <f>IF($AG777="","",LEN($R777))</f>
        <v/>
      </c>
      <c r="AQ777">
        <f>IF($AG777="","",TRIM(IF(COUNTIFS(Calc!$B$2:$B$1601,ROW()-1,Calc!$C$2:$C$1601,"&lt;1")&gt;0,"Ada PO tanpa Koli - cek TMP. ","")&amp;IF(LEN($R777)&gt;500,"R &gt; 500 karakter.","")))</f>
        <v/>
      </c>
    </row>
    <row r="778">
      <c r="A778">
        <f>IF($AG778="","",INDEX('TMP Paste'!$B$2:$B$1601,$AG778))</f>
        <v/>
      </c>
      <c r="B778">
        <f>IF($AG778="","",Config!$B$14)</f>
        <v/>
      </c>
      <c r="C778">
        <f>IF($AG778="","",Config!$B$15)</f>
        <v/>
      </c>
      <c r="D778">
        <f>IF($AG778="","",INDEX('TMP Paste'!$B$2:$B$1601,$AG778))</f>
        <v/>
      </c>
      <c r="E778">
        <f>IF($AG778="","",Config!$B$27)</f>
        <v/>
      </c>
      <c r="F778">
        <f>IF($AG778="","",Config!$B$9)</f>
        <v/>
      </c>
      <c r="G778">
        <f>IF($AG778="","",Config!$B$10)</f>
        <v/>
      </c>
      <c r="H778">
        <f>IF($AG778="","",Config!$B$11)</f>
        <v/>
      </c>
      <c r="I778">
        <f>IF($AG778="","",Config!$B$16)</f>
        <v/>
      </c>
      <c r="J778">
        <f>IF($AG778="","",INDEX('TMP Paste'!$A$2:$A$1601,$AG778))</f>
        <v/>
      </c>
      <c r="K778">
        <f>IF($AG778="","",INDEX('TMP Paste'!$L$2:$L$1601,$AG778))</f>
        <v/>
      </c>
      <c r="L778">
        <f>IF($AG778="","",INDEX('TMP Paste'!$I$2:$I$1601,$AG778))</f>
        <v/>
      </c>
      <c r="M778">
        <f>IF($AG778="","",Config!$B$16)</f>
        <v/>
      </c>
      <c r="N778">
        <f>IF($AG778="","","")</f>
        <v/>
      </c>
      <c r="O778">
        <f>IF($AG778="","",INDEX('TMP Paste'!$K$2:$K$1601,$AG778))</f>
        <v/>
      </c>
      <c r="P778">
        <f>IF($AG778="","","")</f>
        <v/>
      </c>
      <c r="Q778">
        <f>IF($AG778="","",INDEX('TMP Paste'!$J$2:$J$1601,$AG778))</f>
        <v/>
      </c>
      <c r="R778">
        <f>IF($AG778="","",Config!$B$24)</f>
        <v/>
      </c>
      <c r="S778">
        <f>IF($AG778="","",TEXT(Config!$B$4,"yyyy-mm-dd"))</f>
        <v/>
      </c>
      <c r="T778">
        <f>IF($AG778="","",Config!$B$17)</f>
        <v/>
      </c>
      <c r="U778">
        <f>IF($AG778="","",Config!$B$18)</f>
        <v/>
      </c>
      <c r="V778">
        <f>IF($AG778="","",Config!$B$19)</f>
        <v/>
      </c>
      <c r="W778">
        <f>IF($AG778="","",INDEX('TMP Paste'!$C$2:$C$1601,$AG778))</f>
        <v/>
      </c>
      <c r="X778">
        <f>IF($AG778="","",Config!$B$29)</f>
        <v/>
      </c>
      <c r="Y778">
        <f>IF($AH778="","",INDEX(Calc!$I$2:$I$1601,$AH778)&amp;" - "&amp;INDEX(Calc!$D$2:$D$1601,$AH778)&amp;" koli")</f>
        <v/>
      </c>
      <c r="Z778">
        <f>IF($AG778="","",Config!$B$21)</f>
        <v/>
      </c>
      <c r="AA778">
        <f>IF($AG778="","",Config!$B$22)</f>
        <v/>
      </c>
      <c r="AB778">
        <f>IF($AH778="","",INDEX(Calc!$D$2:$D$1601,$AH778))</f>
        <v/>
      </c>
      <c r="AC778">
        <f>IF($AH778="","",INDEX(Calc!$G$2:$G$1601,$AH778))</f>
        <v/>
      </c>
      <c r="AD778">
        <f>IF($AG778="","",Config!$B$23)</f>
        <v/>
      </c>
      <c r="AE778">
        <f>IF($AG778="","",Config!$B$28)</f>
        <v/>
      </c>
      <c r="AG778">
        <f>IFERROR(MATCH(ROW()-1,Calc!$J$2:$J$1601,0),"")</f>
        <v/>
      </c>
      <c r="AH778">
        <f>IFERROR(MATCH(ROW()-1,Calc!$K$2:$K$1601,0),"")</f>
        <v/>
      </c>
      <c r="AI778">
        <f>IF($AG778="","",SUMIF($AG$2:$AG778,$AG778,$AH$2:$AH778))</f>
        <v/>
      </c>
      <c r="AJ778">
        <f>IF('TMP Paste'!$F778="","",IF('TMP Paste'!$B778="",$AJ777,'TMP Paste'!$B778))</f>
        <v/>
      </c>
      <c r="AK778">
        <f>IF('TMP Paste'!$F778="","",N('TMP Paste'!$G778))</f>
        <v/>
      </c>
      <c r="AL778">
        <f>IF('TMP Paste'!$F778="","",IF('TMP Paste'!$M778="",$AL777,'TMP Paste'!$M778))</f>
        <v/>
      </c>
      <c r="AM778">
        <f>IF('TMP Paste'!$F778="","",IF('TMP Paste'!$N778="",$AM777,'TMP Paste'!$N778))</f>
        <v/>
      </c>
      <c r="AN778">
        <f>IF('TMP Paste'!$F778="","",IF('TMP Paste'!$O778="",$AN777,'TMP Paste'!$O778))</f>
        <v/>
      </c>
      <c r="AO778">
        <f>IF('TMP Paste'!$F778="","",IF('TMP Paste'!$P778="",$AO777,'TMP Paste'!$P778))</f>
        <v/>
      </c>
      <c r="AP778">
        <f>IF($AG778="","",LEN($R778))</f>
        <v/>
      </c>
      <c r="AQ778">
        <f>IF($AG778="","",TRIM(IF(COUNTIFS(Calc!$B$2:$B$1601,ROW()-1,Calc!$C$2:$C$1601,"&lt;1")&gt;0,"Ada PO tanpa Koli - cek TMP. ","")&amp;IF(LEN($R778)&gt;500,"R &gt; 500 karakter.","")))</f>
        <v/>
      </c>
    </row>
    <row r="779">
      <c r="A779">
        <f>IF($AG779="","",INDEX('TMP Paste'!$B$2:$B$1601,$AG779))</f>
        <v/>
      </c>
      <c r="B779">
        <f>IF($AG779="","",Config!$B$14)</f>
        <v/>
      </c>
      <c r="C779">
        <f>IF($AG779="","",Config!$B$15)</f>
        <v/>
      </c>
      <c r="D779">
        <f>IF($AG779="","",INDEX('TMP Paste'!$B$2:$B$1601,$AG779))</f>
        <v/>
      </c>
      <c r="E779">
        <f>IF($AG779="","",Config!$B$27)</f>
        <v/>
      </c>
      <c r="F779">
        <f>IF($AG779="","",Config!$B$9)</f>
        <v/>
      </c>
      <c r="G779">
        <f>IF($AG779="","",Config!$B$10)</f>
        <v/>
      </c>
      <c r="H779">
        <f>IF($AG779="","",Config!$B$11)</f>
        <v/>
      </c>
      <c r="I779">
        <f>IF($AG779="","",Config!$B$16)</f>
        <v/>
      </c>
      <c r="J779">
        <f>IF($AG779="","",INDEX('TMP Paste'!$A$2:$A$1601,$AG779))</f>
        <v/>
      </c>
      <c r="K779">
        <f>IF($AG779="","",INDEX('TMP Paste'!$L$2:$L$1601,$AG779))</f>
        <v/>
      </c>
      <c r="L779">
        <f>IF($AG779="","",INDEX('TMP Paste'!$I$2:$I$1601,$AG779))</f>
        <v/>
      </c>
      <c r="M779">
        <f>IF($AG779="","",Config!$B$16)</f>
        <v/>
      </c>
      <c r="N779">
        <f>IF($AG779="","","")</f>
        <v/>
      </c>
      <c r="O779">
        <f>IF($AG779="","",INDEX('TMP Paste'!$K$2:$K$1601,$AG779))</f>
        <v/>
      </c>
      <c r="P779">
        <f>IF($AG779="","","")</f>
        <v/>
      </c>
      <c r="Q779">
        <f>IF($AG779="","",INDEX('TMP Paste'!$J$2:$J$1601,$AG779))</f>
        <v/>
      </c>
      <c r="R779">
        <f>IF($AG779="","",Config!$B$24)</f>
        <v/>
      </c>
      <c r="S779">
        <f>IF($AG779="","",TEXT(Config!$B$4,"yyyy-mm-dd"))</f>
        <v/>
      </c>
      <c r="T779">
        <f>IF($AG779="","",Config!$B$17)</f>
        <v/>
      </c>
      <c r="U779">
        <f>IF($AG779="","",Config!$B$18)</f>
        <v/>
      </c>
      <c r="V779">
        <f>IF($AG779="","",Config!$B$19)</f>
        <v/>
      </c>
      <c r="W779">
        <f>IF($AG779="","",INDEX('TMP Paste'!$C$2:$C$1601,$AG779))</f>
        <v/>
      </c>
      <c r="X779">
        <f>IF($AG779="","",Config!$B$29)</f>
        <v/>
      </c>
      <c r="Y779">
        <f>IF($AH779="","",INDEX(Calc!$I$2:$I$1601,$AH779)&amp;" - "&amp;INDEX(Calc!$D$2:$D$1601,$AH779)&amp;" koli")</f>
        <v/>
      </c>
      <c r="Z779">
        <f>IF($AG779="","",Config!$B$21)</f>
        <v/>
      </c>
      <c r="AA779">
        <f>IF($AG779="","",Config!$B$22)</f>
        <v/>
      </c>
      <c r="AB779">
        <f>IF($AH779="","",INDEX(Calc!$D$2:$D$1601,$AH779))</f>
        <v/>
      </c>
      <c r="AC779">
        <f>IF($AH779="","",INDEX(Calc!$G$2:$G$1601,$AH779))</f>
        <v/>
      </c>
      <c r="AD779">
        <f>IF($AG779="","",Config!$B$23)</f>
        <v/>
      </c>
      <c r="AE779">
        <f>IF($AG779="","",Config!$B$28)</f>
        <v/>
      </c>
      <c r="AG779">
        <f>IFERROR(MATCH(ROW()-1,Calc!$J$2:$J$1601,0),"")</f>
        <v/>
      </c>
      <c r="AH779">
        <f>IFERROR(MATCH(ROW()-1,Calc!$K$2:$K$1601,0),"")</f>
        <v/>
      </c>
      <c r="AI779">
        <f>IF($AG779="","",SUMIF($AG$2:$AG779,$AG779,$AH$2:$AH779))</f>
        <v/>
      </c>
      <c r="AJ779">
        <f>IF('TMP Paste'!$F779="","",IF('TMP Paste'!$B779="",$AJ778,'TMP Paste'!$B779))</f>
        <v/>
      </c>
      <c r="AK779">
        <f>IF('TMP Paste'!$F779="","",N('TMP Paste'!$G779))</f>
        <v/>
      </c>
      <c r="AL779">
        <f>IF('TMP Paste'!$F779="","",IF('TMP Paste'!$M779="",$AL778,'TMP Paste'!$M779))</f>
        <v/>
      </c>
      <c r="AM779">
        <f>IF('TMP Paste'!$F779="","",IF('TMP Paste'!$N779="",$AM778,'TMP Paste'!$N779))</f>
        <v/>
      </c>
      <c r="AN779">
        <f>IF('TMP Paste'!$F779="","",IF('TMP Paste'!$O779="",$AN778,'TMP Paste'!$O779))</f>
        <v/>
      </c>
      <c r="AO779">
        <f>IF('TMP Paste'!$F779="","",IF('TMP Paste'!$P779="",$AO778,'TMP Paste'!$P779))</f>
        <v/>
      </c>
      <c r="AP779">
        <f>IF($AG779="","",LEN($R779))</f>
        <v/>
      </c>
      <c r="AQ779">
        <f>IF($AG779="","",TRIM(IF(COUNTIFS(Calc!$B$2:$B$1601,ROW()-1,Calc!$C$2:$C$1601,"&lt;1")&gt;0,"Ada PO tanpa Koli - cek TMP. ","")&amp;IF(LEN($R779)&gt;500,"R &gt; 500 karakter.","")))</f>
        <v/>
      </c>
    </row>
    <row r="780">
      <c r="A780">
        <f>IF($AG780="","",INDEX('TMP Paste'!$B$2:$B$1601,$AG780))</f>
        <v/>
      </c>
      <c r="B780">
        <f>IF($AG780="","",Config!$B$14)</f>
        <v/>
      </c>
      <c r="C780">
        <f>IF($AG780="","",Config!$B$15)</f>
        <v/>
      </c>
      <c r="D780">
        <f>IF($AG780="","",INDEX('TMP Paste'!$B$2:$B$1601,$AG780))</f>
        <v/>
      </c>
      <c r="E780">
        <f>IF($AG780="","",Config!$B$27)</f>
        <v/>
      </c>
      <c r="F780">
        <f>IF($AG780="","",Config!$B$9)</f>
        <v/>
      </c>
      <c r="G780">
        <f>IF($AG780="","",Config!$B$10)</f>
        <v/>
      </c>
      <c r="H780">
        <f>IF($AG780="","",Config!$B$11)</f>
        <v/>
      </c>
      <c r="I780">
        <f>IF($AG780="","",Config!$B$16)</f>
        <v/>
      </c>
      <c r="J780">
        <f>IF($AG780="","",INDEX('TMP Paste'!$A$2:$A$1601,$AG780))</f>
        <v/>
      </c>
      <c r="K780">
        <f>IF($AG780="","",INDEX('TMP Paste'!$L$2:$L$1601,$AG780))</f>
        <v/>
      </c>
      <c r="L780">
        <f>IF($AG780="","",INDEX('TMP Paste'!$I$2:$I$1601,$AG780))</f>
        <v/>
      </c>
      <c r="M780">
        <f>IF($AG780="","",Config!$B$16)</f>
        <v/>
      </c>
      <c r="N780">
        <f>IF($AG780="","","")</f>
        <v/>
      </c>
      <c r="O780">
        <f>IF($AG780="","",INDEX('TMP Paste'!$K$2:$K$1601,$AG780))</f>
        <v/>
      </c>
      <c r="P780">
        <f>IF($AG780="","","")</f>
        <v/>
      </c>
      <c r="Q780">
        <f>IF($AG780="","",INDEX('TMP Paste'!$J$2:$J$1601,$AG780))</f>
        <v/>
      </c>
      <c r="R780">
        <f>IF($AG780="","",Config!$B$24)</f>
        <v/>
      </c>
      <c r="S780">
        <f>IF($AG780="","",TEXT(Config!$B$4,"yyyy-mm-dd"))</f>
        <v/>
      </c>
      <c r="T780">
        <f>IF($AG780="","",Config!$B$17)</f>
        <v/>
      </c>
      <c r="U780">
        <f>IF($AG780="","",Config!$B$18)</f>
        <v/>
      </c>
      <c r="V780">
        <f>IF($AG780="","",Config!$B$19)</f>
        <v/>
      </c>
      <c r="W780">
        <f>IF($AG780="","",INDEX('TMP Paste'!$C$2:$C$1601,$AG780))</f>
        <v/>
      </c>
      <c r="X780">
        <f>IF($AG780="","",Config!$B$29)</f>
        <v/>
      </c>
      <c r="Y780">
        <f>IF($AH780="","",INDEX(Calc!$I$2:$I$1601,$AH780)&amp;" - "&amp;INDEX(Calc!$D$2:$D$1601,$AH780)&amp;" koli")</f>
        <v/>
      </c>
      <c r="Z780">
        <f>IF($AG780="","",Config!$B$21)</f>
        <v/>
      </c>
      <c r="AA780">
        <f>IF($AG780="","",Config!$B$22)</f>
        <v/>
      </c>
      <c r="AB780">
        <f>IF($AH780="","",INDEX(Calc!$D$2:$D$1601,$AH780))</f>
        <v/>
      </c>
      <c r="AC780">
        <f>IF($AH780="","",INDEX(Calc!$G$2:$G$1601,$AH780))</f>
        <v/>
      </c>
      <c r="AD780">
        <f>IF($AG780="","",Config!$B$23)</f>
        <v/>
      </c>
      <c r="AE780">
        <f>IF($AG780="","",Config!$B$28)</f>
        <v/>
      </c>
      <c r="AG780">
        <f>IFERROR(MATCH(ROW()-1,Calc!$J$2:$J$1601,0),"")</f>
        <v/>
      </c>
      <c r="AH780">
        <f>IFERROR(MATCH(ROW()-1,Calc!$K$2:$K$1601,0),"")</f>
        <v/>
      </c>
      <c r="AI780">
        <f>IF($AG780="","",SUMIF($AG$2:$AG780,$AG780,$AH$2:$AH780))</f>
        <v/>
      </c>
      <c r="AJ780">
        <f>IF('TMP Paste'!$F780="","",IF('TMP Paste'!$B780="",$AJ779,'TMP Paste'!$B780))</f>
        <v/>
      </c>
      <c r="AK780">
        <f>IF('TMP Paste'!$F780="","",N('TMP Paste'!$G780))</f>
        <v/>
      </c>
      <c r="AL780">
        <f>IF('TMP Paste'!$F780="","",IF('TMP Paste'!$M780="",$AL779,'TMP Paste'!$M780))</f>
        <v/>
      </c>
      <c r="AM780">
        <f>IF('TMP Paste'!$F780="","",IF('TMP Paste'!$N780="",$AM779,'TMP Paste'!$N780))</f>
        <v/>
      </c>
      <c r="AN780">
        <f>IF('TMP Paste'!$F780="","",IF('TMP Paste'!$O780="",$AN779,'TMP Paste'!$O780))</f>
        <v/>
      </c>
      <c r="AO780">
        <f>IF('TMP Paste'!$F780="","",IF('TMP Paste'!$P780="",$AO779,'TMP Paste'!$P780))</f>
        <v/>
      </c>
      <c r="AP780">
        <f>IF($AG780="","",LEN($R780))</f>
        <v/>
      </c>
      <c r="AQ780">
        <f>IF($AG780="","",TRIM(IF(COUNTIFS(Calc!$B$2:$B$1601,ROW()-1,Calc!$C$2:$C$1601,"&lt;1")&gt;0,"Ada PO tanpa Koli - cek TMP. ","")&amp;IF(LEN($R780)&gt;500,"R &gt; 500 karakter.","")))</f>
        <v/>
      </c>
    </row>
    <row r="781">
      <c r="A781">
        <f>IF($AG781="","",INDEX('TMP Paste'!$B$2:$B$1601,$AG781))</f>
        <v/>
      </c>
      <c r="B781">
        <f>IF($AG781="","",Config!$B$14)</f>
        <v/>
      </c>
      <c r="C781">
        <f>IF($AG781="","",Config!$B$15)</f>
        <v/>
      </c>
      <c r="D781">
        <f>IF($AG781="","",INDEX('TMP Paste'!$B$2:$B$1601,$AG781))</f>
        <v/>
      </c>
      <c r="E781">
        <f>IF($AG781="","",Config!$B$27)</f>
        <v/>
      </c>
      <c r="F781">
        <f>IF($AG781="","",Config!$B$9)</f>
        <v/>
      </c>
      <c r="G781">
        <f>IF($AG781="","",Config!$B$10)</f>
        <v/>
      </c>
      <c r="H781">
        <f>IF($AG781="","",Config!$B$11)</f>
        <v/>
      </c>
      <c r="I781">
        <f>IF($AG781="","",Config!$B$16)</f>
        <v/>
      </c>
      <c r="J781">
        <f>IF($AG781="","",INDEX('TMP Paste'!$A$2:$A$1601,$AG781))</f>
        <v/>
      </c>
      <c r="K781">
        <f>IF($AG781="","",INDEX('TMP Paste'!$L$2:$L$1601,$AG781))</f>
        <v/>
      </c>
      <c r="L781">
        <f>IF($AG781="","",INDEX('TMP Paste'!$I$2:$I$1601,$AG781))</f>
        <v/>
      </c>
      <c r="M781">
        <f>IF($AG781="","",Config!$B$16)</f>
        <v/>
      </c>
      <c r="N781">
        <f>IF($AG781="","","")</f>
        <v/>
      </c>
      <c r="O781">
        <f>IF($AG781="","",INDEX('TMP Paste'!$K$2:$K$1601,$AG781))</f>
        <v/>
      </c>
      <c r="P781">
        <f>IF($AG781="","","")</f>
        <v/>
      </c>
      <c r="Q781">
        <f>IF($AG781="","",INDEX('TMP Paste'!$J$2:$J$1601,$AG781))</f>
        <v/>
      </c>
      <c r="R781">
        <f>IF($AG781="","",Config!$B$24)</f>
        <v/>
      </c>
      <c r="S781">
        <f>IF($AG781="","",TEXT(Config!$B$4,"yyyy-mm-dd"))</f>
        <v/>
      </c>
      <c r="T781">
        <f>IF($AG781="","",Config!$B$17)</f>
        <v/>
      </c>
      <c r="U781">
        <f>IF($AG781="","",Config!$B$18)</f>
        <v/>
      </c>
      <c r="V781">
        <f>IF($AG781="","",Config!$B$19)</f>
        <v/>
      </c>
      <c r="W781">
        <f>IF($AG781="","",INDEX('TMP Paste'!$C$2:$C$1601,$AG781))</f>
        <v/>
      </c>
      <c r="X781">
        <f>IF($AG781="","",Config!$B$29)</f>
        <v/>
      </c>
      <c r="Y781">
        <f>IF($AH781="","",INDEX(Calc!$I$2:$I$1601,$AH781)&amp;" - "&amp;INDEX(Calc!$D$2:$D$1601,$AH781)&amp;" koli")</f>
        <v/>
      </c>
      <c r="Z781">
        <f>IF($AG781="","",Config!$B$21)</f>
        <v/>
      </c>
      <c r="AA781">
        <f>IF($AG781="","",Config!$B$22)</f>
        <v/>
      </c>
      <c r="AB781">
        <f>IF($AH781="","",INDEX(Calc!$D$2:$D$1601,$AH781))</f>
        <v/>
      </c>
      <c r="AC781">
        <f>IF($AH781="","",INDEX(Calc!$G$2:$G$1601,$AH781))</f>
        <v/>
      </c>
      <c r="AD781">
        <f>IF($AG781="","",Config!$B$23)</f>
        <v/>
      </c>
      <c r="AE781">
        <f>IF($AG781="","",Config!$B$28)</f>
        <v/>
      </c>
      <c r="AG781">
        <f>IFERROR(MATCH(ROW()-1,Calc!$J$2:$J$1601,0),"")</f>
        <v/>
      </c>
      <c r="AH781">
        <f>IFERROR(MATCH(ROW()-1,Calc!$K$2:$K$1601,0),"")</f>
        <v/>
      </c>
      <c r="AI781">
        <f>IF($AG781="","",SUMIF($AG$2:$AG781,$AG781,$AH$2:$AH781))</f>
        <v/>
      </c>
      <c r="AJ781">
        <f>IF('TMP Paste'!$F781="","",IF('TMP Paste'!$B781="",$AJ780,'TMP Paste'!$B781))</f>
        <v/>
      </c>
      <c r="AK781">
        <f>IF('TMP Paste'!$F781="","",N('TMP Paste'!$G781))</f>
        <v/>
      </c>
      <c r="AL781">
        <f>IF('TMP Paste'!$F781="","",IF('TMP Paste'!$M781="",$AL780,'TMP Paste'!$M781))</f>
        <v/>
      </c>
      <c r="AM781">
        <f>IF('TMP Paste'!$F781="","",IF('TMP Paste'!$N781="",$AM780,'TMP Paste'!$N781))</f>
        <v/>
      </c>
      <c r="AN781">
        <f>IF('TMP Paste'!$F781="","",IF('TMP Paste'!$O781="",$AN780,'TMP Paste'!$O781))</f>
        <v/>
      </c>
      <c r="AO781">
        <f>IF('TMP Paste'!$F781="","",IF('TMP Paste'!$P781="",$AO780,'TMP Paste'!$P781))</f>
        <v/>
      </c>
      <c r="AP781">
        <f>IF($AG781="","",LEN($R781))</f>
        <v/>
      </c>
      <c r="AQ781">
        <f>IF($AG781="","",TRIM(IF(COUNTIFS(Calc!$B$2:$B$1601,ROW()-1,Calc!$C$2:$C$1601,"&lt;1")&gt;0,"Ada PO tanpa Koli - cek TMP. ","")&amp;IF(LEN($R781)&gt;500,"R &gt; 500 karakter.","")))</f>
        <v/>
      </c>
    </row>
    <row r="782">
      <c r="A782">
        <f>IF($AG782="","",INDEX('TMP Paste'!$B$2:$B$1601,$AG782))</f>
        <v/>
      </c>
      <c r="B782">
        <f>IF($AG782="","",Config!$B$14)</f>
        <v/>
      </c>
      <c r="C782">
        <f>IF($AG782="","",Config!$B$15)</f>
        <v/>
      </c>
      <c r="D782">
        <f>IF($AG782="","",INDEX('TMP Paste'!$B$2:$B$1601,$AG782))</f>
        <v/>
      </c>
      <c r="E782">
        <f>IF($AG782="","",Config!$B$27)</f>
        <v/>
      </c>
      <c r="F782">
        <f>IF($AG782="","",Config!$B$9)</f>
        <v/>
      </c>
      <c r="G782">
        <f>IF($AG782="","",Config!$B$10)</f>
        <v/>
      </c>
      <c r="H782">
        <f>IF($AG782="","",Config!$B$11)</f>
        <v/>
      </c>
      <c r="I782">
        <f>IF($AG782="","",Config!$B$16)</f>
        <v/>
      </c>
      <c r="J782">
        <f>IF($AG782="","",INDEX('TMP Paste'!$A$2:$A$1601,$AG782))</f>
        <v/>
      </c>
      <c r="K782">
        <f>IF($AG782="","",INDEX('TMP Paste'!$L$2:$L$1601,$AG782))</f>
        <v/>
      </c>
      <c r="L782">
        <f>IF($AG782="","",INDEX('TMP Paste'!$I$2:$I$1601,$AG782))</f>
        <v/>
      </c>
      <c r="M782">
        <f>IF($AG782="","",Config!$B$16)</f>
        <v/>
      </c>
      <c r="N782">
        <f>IF($AG782="","","")</f>
        <v/>
      </c>
      <c r="O782">
        <f>IF($AG782="","",INDEX('TMP Paste'!$K$2:$K$1601,$AG782))</f>
        <v/>
      </c>
      <c r="P782">
        <f>IF($AG782="","","")</f>
        <v/>
      </c>
      <c r="Q782">
        <f>IF($AG782="","",INDEX('TMP Paste'!$J$2:$J$1601,$AG782))</f>
        <v/>
      </c>
      <c r="R782">
        <f>IF($AG782="","",Config!$B$24)</f>
        <v/>
      </c>
      <c r="S782">
        <f>IF($AG782="","",TEXT(Config!$B$4,"yyyy-mm-dd"))</f>
        <v/>
      </c>
      <c r="T782">
        <f>IF($AG782="","",Config!$B$17)</f>
        <v/>
      </c>
      <c r="U782">
        <f>IF($AG782="","",Config!$B$18)</f>
        <v/>
      </c>
      <c r="V782">
        <f>IF($AG782="","",Config!$B$19)</f>
        <v/>
      </c>
      <c r="W782">
        <f>IF($AG782="","",INDEX('TMP Paste'!$C$2:$C$1601,$AG782))</f>
        <v/>
      </c>
      <c r="X782">
        <f>IF($AG782="","",Config!$B$29)</f>
        <v/>
      </c>
      <c r="Y782">
        <f>IF($AH782="","",INDEX(Calc!$I$2:$I$1601,$AH782)&amp;" - "&amp;INDEX(Calc!$D$2:$D$1601,$AH782)&amp;" koli")</f>
        <v/>
      </c>
      <c r="Z782">
        <f>IF($AG782="","",Config!$B$21)</f>
        <v/>
      </c>
      <c r="AA782">
        <f>IF($AG782="","",Config!$B$22)</f>
        <v/>
      </c>
      <c r="AB782">
        <f>IF($AH782="","",INDEX(Calc!$D$2:$D$1601,$AH782))</f>
        <v/>
      </c>
      <c r="AC782">
        <f>IF($AH782="","",INDEX(Calc!$G$2:$G$1601,$AH782))</f>
        <v/>
      </c>
      <c r="AD782">
        <f>IF($AG782="","",Config!$B$23)</f>
        <v/>
      </c>
      <c r="AE782">
        <f>IF($AG782="","",Config!$B$28)</f>
        <v/>
      </c>
      <c r="AG782">
        <f>IFERROR(MATCH(ROW()-1,Calc!$J$2:$J$1601,0),"")</f>
        <v/>
      </c>
      <c r="AH782">
        <f>IFERROR(MATCH(ROW()-1,Calc!$K$2:$K$1601,0),"")</f>
        <v/>
      </c>
      <c r="AI782">
        <f>IF($AG782="","",SUMIF($AG$2:$AG782,$AG782,$AH$2:$AH782))</f>
        <v/>
      </c>
      <c r="AJ782">
        <f>IF('TMP Paste'!$F782="","",IF('TMP Paste'!$B782="",$AJ781,'TMP Paste'!$B782))</f>
        <v/>
      </c>
      <c r="AK782">
        <f>IF('TMP Paste'!$F782="","",N('TMP Paste'!$G782))</f>
        <v/>
      </c>
      <c r="AL782">
        <f>IF('TMP Paste'!$F782="","",IF('TMP Paste'!$M782="",$AL781,'TMP Paste'!$M782))</f>
        <v/>
      </c>
      <c r="AM782">
        <f>IF('TMP Paste'!$F782="","",IF('TMP Paste'!$N782="",$AM781,'TMP Paste'!$N782))</f>
        <v/>
      </c>
      <c r="AN782">
        <f>IF('TMP Paste'!$F782="","",IF('TMP Paste'!$O782="",$AN781,'TMP Paste'!$O782))</f>
        <v/>
      </c>
      <c r="AO782">
        <f>IF('TMP Paste'!$F782="","",IF('TMP Paste'!$P782="",$AO781,'TMP Paste'!$P782))</f>
        <v/>
      </c>
      <c r="AP782">
        <f>IF($AG782="","",LEN($R782))</f>
        <v/>
      </c>
      <c r="AQ782">
        <f>IF($AG782="","",TRIM(IF(COUNTIFS(Calc!$B$2:$B$1601,ROW()-1,Calc!$C$2:$C$1601,"&lt;1")&gt;0,"Ada PO tanpa Koli - cek TMP. ","")&amp;IF(LEN($R782)&gt;500,"R &gt; 500 karakter.","")))</f>
        <v/>
      </c>
    </row>
    <row r="783">
      <c r="A783">
        <f>IF($AG783="","",INDEX('TMP Paste'!$B$2:$B$1601,$AG783))</f>
        <v/>
      </c>
      <c r="B783">
        <f>IF($AG783="","",Config!$B$14)</f>
        <v/>
      </c>
      <c r="C783">
        <f>IF($AG783="","",Config!$B$15)</f>
        <v/>
      </c>
      <c r="D783">
        <f>IF($AG783="","",INDEX('TMP Paste'!$B$2:$B$1601,$AG783))</f>
        <v/>
      </c>
      <c r="E783">
        <f>IF($AG783="","",Config!$B$27)</f>
        <v/>
      </c>
      <c r="F783">
        <f>IF($AG783="","",Config!$B$9)</f>
        <v/>
      </c>
      <c r="G783">
        <f>IF($AG783="","",Config!$B$10)</f>
        <v/>
      </c>
      <c r="H783">
        <f>IF($AG783="","",Config!$B$11)</f>
        <v/>
      </c>
      <c r="I783">
        <f>IF($AG783="","",Config!$B$16)</f>
        <v/>
      </c>
      <c r="J783">
        <f>IF($AG783="","",INDEX('TMP Paste'!$A$2:$A$1601,$AG783))</f>
        <v/>
      </c>
      <c r="K783">
        <f>IF($AG783="","",INDEX('TMP Paste'!$L$2:$L$1601,$AG783))</f>
        <v/>
      </c>
      <c r="L783">
        <f>IF($AG783="","",INDEX('TMP Paste'!$I$2:$I$1601,$AG783))</f>
        <v/>
      </c>
      <c r="M783">
        <f>IF($AG783="","",Config!$B$16)</f>
        <v/>
      </c>
      <c r="N783">
        <f>IF($AG783="","","")</f>
        <v/>
      </c>
      <c r="O783">
        <f>IF($AG783="","",INDEX('TMP Paste'!$K$2:$K$1601,$AG783))</f>
        <v/>
      </c>
      <c r="P783">
        <f>IF($AG783="","","")</f>
        <v/>
      </c>
      <c r="Q783">
        <f>IF($AG783="","",INDEX('TMP Paste'!$J$2:$J$1601,$AG783))</f>
        <v/>
      </c>
      <c r="R783">
        <f>IF($AG783="","",Config!$B$24)</f>
        <v/>
      </c>
      <c r="S783">
        <f>IF($AG783="","",TEXT(Config!$B$4,"yyyy-mm-dd"))</f>
        <v/>
      </c>
      <c r="T783">
        <f>IF($AG783="","",Config!$B$17)</f>
        <v/>
      </c>
      <c r="U783">
        <f>IF($AG783="","",Config!$B$18)</f>
        <v/>
      </c>
      <c r="V783">
        <f>IF($AG783="","",Config!$B$19)</f>
        <v/>
      </c>
      <c r="W783">
        <f>IF($AG783="","",INDEX('TMP Paste'!$C$2:$C$1601,$AG783))</f>
        <v/>
      </c>
      <c r="X783">
        <f>IF($AG783="","",Config!$B$29)</f>
        <v/>
      </c>
      <c r="Y783">
        <f>IF($AH783="","",INDEX(Calc!$I$2:$I$1601,$AH783)&amp;" - "&amp;INDEX(Calc!$D$2:$D$1601,$AH783)&amp;" koli")</f>
        <v/>
      </c>
      <c r="Z783">
        <f>IF($AG783="","",Config!$B$21)</f>
        <v/>
      </c>
      <c r="AA783">
        <f>IF($AG783="","",Config!$B$22)</f>
        <v/>
      </c>
      <c r="AB783">
        <f>IF($AH783="","",INDEX(Calc!$D$2:$D$1601,$AH783))</f>
        <v/>
      </c>
      <c r="AC783">
        <f>IF($AH783="","",INDEX(Calc!$G$2:$G$1601,$AH783))</f>
        <v/>
      </c>
      <c r="AD783">
        <f>IF($AG783="","",Config!$B$23)</f>
        <v/>
      </c>
      <c r="AE783">
        <f>IF($AG783="","",Config!$B$28)</f>
        <v/>
      </c>
      <c r="AG783">
        <f>IFERROR(MATCH(ROW()-1,Calc!$J$2:$J$1601,0),"")</f>
        <v/>
      </c>
      <c r="AH783">
        <f>IFERROR(MATCH(ROW()-1,Calc!$K$2:$K$1601,0),"")</f>
        <v/>
      </c>
      <c r="AI783">
        <f>IF($AG783="","",SUMIF($AG$2:$AG783,$AG783,$AH$2:$AH783))</f>
        <v/>
      </c>
      <c r="AJ783">
        <f>IF('TMP Paste'!$F783="","",IF('TMP Paste'!$B783="",$AJ782,'TMP Paste'!$B783))</f>
        <v/>
      </c>
      <c r="AK783">
        <f>IF('TMP Paste'!$F783="","",N('TMP Paste'!$G783))</f>
        <v/>
      </c>
      <c r="AL783">
        <f>IF('TMP Paste'!$F783="","",IF('TMP Paste'!$M783="",$AL782,'TMP Paste'!$M783))</f>
        <v/>
      </c>
      <c r="AM783">
        <f>IF('TMP Paste'!$F783="","",IF('TMP Paste'!$N783="",$AM782,'TMP Paste'!$N783))</f>
        <v/>
      </c>
      <c r="AN783">
        <f>IF('TMP Paste'!$F783="","",IF('TMP Paste'!$O783="",$AN782,'TMP Paste'!$O783))</f>
        <v/>
      </c>
      <c r="AO783">
        <f>IF('TMP Paste'!$F783="","",IF('TMP Paste'!$P783="",$AO782,'TMP Paste'!$P783))</f>
        <v/>
      </c>
      <c r="AP783">
        <f>IF($AG783="","",LEN($R783))</f>
        <v/>
      </c>
      <c r="AQ783">
        <f>IF($AG783="","",TRIM(IF(COUNTIFS(Calc!$B$2:$B$1601,ROW()-1,Calc!$C$2:$C$1601,"&lt;1")&gt;0,"Ada PO tanpa Koli - cek TMP. ","")&amp;IF(LEN($R783)&gt;500,"R &gt; 500 karakter.","")))</f>
        <v/>
      </c>
    </row>
    <row r="784">
      <c r="A784">
        <f>IF($AG784="","",INDEX('TMP Paste'!$B$2:$B$1601,$AG784))</f>
        <v/>
      </c>
      <c r="B784">
        <f>IF($AG784="","",Config!$B$14)</f>
        <v/>
      </c>
      <c r="C784">
        <f>IF($AG784="","",Config!$B$15)</f>
        <v/>
      </c>
      <c r="D784">
        <f>IF($AG784="","",INDEX('TMP Paste'!$B$2:$B$1601,$AG784))</f>
        <v/>
      </c>
      <c r="E784">
        <f>IF($AG784="","",Config!$B$27)</f>
        <v/>
      </c>
      <c r="F784">
        <f>IF($AG784="","",Config!$B$9)</f>
        <v/>
      </c>
      <c r="G784">
        <f>IF($AG784="","",Config!$B$10)</f>
        <v/>
      </c>
      <c r="H784">
        <f>IF($AG784="","",Config!$B$11)</f>
        <v/>
      </c>
      <c r="I784">
        <f>IF($AG784="","",Config!$B$16)</f>
        <v/>
      </c>
      <c r="J784">
        <f>IF($AG784="","",INDEX('TMP Paste'!$A$2:$A$1601,$AG784))</f>
        <v/>
      </c>
      <c r="K784">
        <f>IF($AG784="","",INDEX('TMP Paste'!$L$2:$L$1601,$AG784))</f>
        <v/>
      </c>
      <c r="L784">
        <f>IF($AG784="","",INDEX('TMP Paste'!$I$2:$I$1601,$AG784))</f>
        <v/>
      </c>
      <c r="M784">
        <f>IF($AG784="","",Config!$B$16)</f>
        <v/>
      </c>
      <c r="N784">
        <f>IF($AG784="","","")</f>
        <v/>
      </c>
      <c r="O784">
        <f>IF($AG784="","",INDEX('TMP Paste'!$K$2:$K$1601,$AG784))</f>
        <v/>
      </c>
      <c r="P784">
        <f>IF($AG784="","","")</f>
        <v/>
      </c>
      <c r="Q784">
        <f>IF($AG784="","",INDEX('TMP Paste'!$J$2:$J$1601,$AG784))</f>
        <v/>
      </c>
      <c r="R784">
        <f>IF($AG784="","",Config!$B$24)</f>
        <v/>
      </c>
      <c r="S784">
        <f>IF($AG784="","",TEXT(Config!$B$4,"yyyy-mm-dd"))</f>
        <v/>
      </c>
      <c r="T784">
        <f>IF($AG784="","",Config!$B$17)</f>
        <v/>
      </c>
      <c r="U784">
        <f>IF($AG784="","",Config!$B$18)</f>
        <v/>
      </c>
      <c r="V784">
        <f>IF($AG784="","",Config!$B$19)</f>
        <v/>
      </c>
      <c r="W784">
        <f>IF($AG784="","",INDEX('TMP Paste'!$C$2:$C$1601,$AG784))</f>
        <v/>
      </c>
      <c r="X784">
        <f>IF($AG784="","",Config!$B$29)</f>
        <v/>
      </c>
      <c r="Y784">
        <f>IF($AH784="","",INDEX(Calc!$I$2:$I$1601,$AH784)&amp;" - "&amp;INDEX(Calc!$D$2:$D$1601,$AH784)&amp;" koli")</f>
        <v/>
      </c>
      <c r="Z784">
        <f>IF($AG784="","",Config!$B$21)</f>
        <v/>
      </c>
      <c r="AA784">
        <f>IF($AG784="","",Config!$B$22)</f>
        <v/>
      </c>
      <c r="AB784">
        <f>IF($AH784="","",INDEX(Calc!$D$2:$D$1601,$AH784))</f>
        <v/>
      </c>
      <c r="AC784">
        <f>IF($AH784="","",INDEX(Calc!$G$2:$G$1601,$AH784))</f>
        <v/>
      </c>
      <c r="AD784">
        <f>IF($AG784="","",Config!$B$23)</f>
        <v/>
      </c>
      <c r="AE784">
        <f>IF($AG784="","",Config!$B$28)</f>
        <v/>
      </c>
      <c r="AG784">
        <f>IFERROR(MATCH(ROW()-1,Calc!$J$2:$J$1601,0),"")</f>
        <v/>
      </c>
      <c r="AH784">
        <f>IFERROR(MATCH(ROW()-1,Calc!$K$2:$K$1601,0),"")</f>
        <v/>
      </c>
      <c r="AI784">
        <f>IF($AG784="","",SUMIF($AG$2:$AG784,$AG784,$AH$2:$AH784))</f>
        <v/>
      </c>
      <c r="AJ784">
        <f>IF('TMP Paste'!$F784="","",IF('TMP Paste'!$B784="",$AJ783,'TMP Paste'!$B784))</f>
        <v/>
      </c>
      <c r="AK784">
        <f>IF('TMP Paste'!$F784="","",N('TMP Paste'!$G784))</f>
        <v/>
      </c>
      <c r="AL784">
        <f>IF('TMP Paste'!$F784="","",IF('TMP Paste'!$M784="",$AL783,'TMP Paste'!$M784))</f>
        <v/>
      </c>
      <c r="AM784">
        <f>IF('TMP Paste'!$F784="","",IF('TMP Paste'!$N784="",$AM783,'TMP Paste'!$N784))</f>
        <v/>
      </c>
      <c r="AN784">
        <f>IF('TMP Paste'!$F784="","",IF('TMP Paste'!$O784="",$AN783,'TMP Paste'!$O784))</f>
        <v/>
      </c>
      <c r="AO784">
        <f>IF('TMP Paste'!$F784="","",IF('TMP Paste'!$P784="",$AO783,'TMP Paste'!$P784))</f>
        <v/>
      </c>
      <c r="AP784">
        <f>IF($AG784="","",LEN($R784))</f>
        <v/>
      </c>
      <c r="AQ784">
        <f>IF($AG784="","",TRIM(IF(COUNTIFS(Calc!$B$2:$B$1601,ROW()-1,Calc!$C$2:$C$1601,"&lt;1")&gt;0,"Ada PO tanpa Koli - cek TMP. ","")&amp;IF(LEN($R784)&gt;500,"R &gt; 500 karakter.","")))</f>
        <v/>
      </c>
    </row>
    <row r="785">
      <c r="A785">
        <f>IF($AG785="","",INDEX('TMP Paste'!$B$2:$B$1601,$AG785))</f>
        <v/>
      </c>
      <c r="B785">
        <f>IF($AG785="","",Config!$B$14)</f>
        <v/>
      </c>
      <c r="C785">
        <f>IF($AG785="","",Config!$B$15)</f>
        <v/>
      </c>
      <c r="D785">
        <f>IF($AG785="","",INDEX('TMP Paste'!$B$2:$B$1601,$AG785))</f>
        <v/>
      </c>
      <c r="E785">
        <f>IF($AG785="","",Config!$B$27)</f>
        <v/>
      </c>
      <c r="F785">
        <f>IF($AG785="","",Config!$B$9)</f>
        <v/>
      </c>
      <c r="G785">
        <f>IF($AG785="","",Config!$B$10)</f>
        <v/>
      </c>
      <c r="H785">
        <f>IF($AG785="","",Config!$B$11)</f>
        <v/>
      </c>
      <c r="I785">
        <f>IF($AG785="","",Config!$B$16)</f>
        <v/>
      </c>
      <c r="J785">
        <f>IF($AG785="","",INDEX('TMP Paste'!$A$2:$A$1601,$AG785))</f>
        <v/>
      </c>
      <c r="K785">
        <f>IF($AG785="","",INDEX('TMP Paste'!$L$2:$L$1601,$AG785))</f>
        <v/>
      </c>
      <c r="L785">
        <f>IF($AG785="","",INDEX('TMP Paste'!$I$2:$I$1601,$AG785))</f>
        <v/>
      </c>
      <c r="M785">
        <f>IF($AG785="","",Config!$B$16)</f>
        <v/>
      </c>
      <c r="N785">
        <f>IF($AG785="","","")</f>
        <v/>
      </c>
      <c r="O785">
        <f>IF($AG785="","",INDEX('TMP Paste'!$K$2:$K$1601,$AG785))</f>
        <v/>
      </c>
      <c r="P785">
        <f>IF($AG785="","","")</f>
        <v/>
      </c>
      <c r="Q785">
        <f>IF($AG785="","",INDEX('TMP Paste'!$J$2:$J$1601,$AG785))</f>
        <v/>
      </c>
      <c r="R785">
        <f>IF($AG785="","",Config!$B$24)</f>
        <v/>
      </c>
      <c r="S785">
        <f>IF($AG785="","",TEXT(Config!$B$4,"yyyy-mm-dd"))</f>
        <v/>
      </c>
      <c r="T785">
        <f>IF($AG785="","",Config!$B$17)</f>
        <v/>
      </c>
      <c r="U785">
        <f>IF($AG785="","",Config!$B$18)</f>
        <v/>
      </c>
      <c r="V785">
        <f>IF($AG785="","",Config!$B$19)</f>
        <v/>
      </c>
      <c r="W785">
        <f>IF($AG785="","",INDEX('TMP Paste'!$C$2:$C$1601,$AG785))</f>
        <v/>
      </c>
      <c r="X785">
        <f>IF($AG785="","",Config!$B$29)</f>
        <v/>
      </c>
      <c r="Y785">
        <f>IF($AH785="","",INDEX(Calc!$I$2:$I$1601,$AH785)&amp;" - "&amp;INDEX(Calc!$D$2:$D$1601,$AH785)&amp;" koli")</f>
        <v/>
      </c>
      <c r="Z785">
        <f>IF($AG785="","",Config!$B$21)</f>
        <v/>
      </c>
      <c r="AA785">
        <f>IF($AG785="","",Config!$B$22)</f>
        <v/>
      </c>
      <c r="AB785">
        <f>IF($AH785="","",INDEX(Calc!$D$2:$D$1601,$AH785))</f>
        <v/>
      </c>
      <c r="AC785">
        <f>IF($AH785="","",INDEX(Calc!$G$2:$G$1601,$AH785))</f>
        <v/>
      </c>
      <c r="AD785">
        <f>IF($AG785="","",Config!$B$23)</f>
        <v/>
      </c>
      <c r="AE785">
        <f>IF($AG785="","",Config!$B$28)</f>
        <v/>
      </c>
      <c r="AG785">
        <f>IFERROR(MATCH(ROW()-1,Calc!$J$2:$J$1601,0),"")</f>
        <v/>
      </c>
      <c r="AH785">
        <f>IFERROR(MATCH(ROW()-1,Calc!$K$2:$K$1601,0),"")</f>
        <v/>
      </c>
      <c r="AI785">
        <f>IF($AG785="","",SUMIF($AG$2:$AG785,$AG785,$AH$2:$AH785))</f>
        <v/>
      </c>
      <c r="AJ785">
        <f>IF('TMP Paste'!$F785="","",IF('TMP Paste'!$B785="",$AJ784,'TMP Paste'!$B785))</f>
        <v/>
      </c>
      <c r="AK785">
        <f>IF('TMP Paste'!$F785="","",N('TMP Paste'!$G785))</f>
        <v/>
      </c>
      <c r="AL785">
        <f>IF('TMP Paste'!$F785="","",IF('TMP Paste'!$M785="",$AL784,'TMP Paste'!$M785))</f>
        <v/>
      </c>
      <c r="AM785">
        <f>IF('TMP Paste'!$F785="","",IF('TMP Paste'!$N785="",$AM784,'TMP Paste'!$N785))</f>
        <v/>
      </c>
      <c r="AN785">
        <f>IF('TMP Paste'!$F785="","",IF('TMP Paste'!$O785="",$AN784,'TMP Paste'!$O785))</f>
        <v/>
      </c>
      <c r="AO785">
        <f>IF('TMP Paste'!$F785="","",IF('TMP Paste'!$P785="",$AO784,'TMP Paste'!$P785))</f>
        <v/>
      </c>
      <c r="AP785">
        <f>IF($AG785="","",LEN($R785))</f>
        <v/>
      </c>
      <c r="AQ785">
        <f>IF($AG785="","",TRIM(IF(COUNTIFS(Calc!$B$2:$B$1601,ROW()-1,Calc!$C$2:$C$1601,"&lt;1")&gt;0,"Ada PO tanpa Koli - cek TMP. ","")&amp;IF(LEN($R785)&gt;500,"R &gt; 500 karakter.","")))</f>
        <v/>
      </c>
    </row>
    <row r="786">
      <c r="A786">
        <f>IF($AG786="","",INDEX('TMP Paste'!$B$2:$B$1601,$AG786))</f>
        <v/>
      </c>
      <c r="B786">
        <f>IF($AG786="","",Config!$B$14)</f>
        <v/>
      </c>
      <c r="C786">
        <f>IF($AG786="","",Config!$B$15)</f>
        <v/>
      </c>
      <c r="D786">
        <f>IF($AG786="","",INDEX('TMP Paste'!$B$2:$B$1601,$AG786))</f>
        <v/>
      </c>
      <c r="E786">
        <f>IF($AG786="","",Config!$B$27)</f>
        <v/>
      </c>
      <c r="F786">
        <f>IF($AG786="","",Config!$B$9)</f>
        <v/>
      </c>
      <c r="G786">
        <f>IF($AG786="","",Config!$B$10)</f>
        <v/>
      </c>
      <c r="H786">
        <f>IF($AG786="","",Config!$B$11)</f>
        <v/>
      </c>
      <c r="I786">
        <f>IF($AG786="","",Config!$B$16)</f>
        <v/>
      </c>
      <c r="J786">
        <f>IF($AG786="","",INDEX('TMP Paste'!$A$2:$A$1601,$AG786))</f>
        <v/>
      </c>
      <c r="K786">
        <f>IF($AG786="","",INDEX('TMP Paste'!$L$2:$L$1601,$AG786))</f>
        <v/>
      </c>
      <c r="L786">
        <f>IF($AG786="","",INDEX('TMP Paste'!$I$2:$I$1601,$AG786))</f>
        <v/>
      </c>
      <c r="M786">
        <f>IF($AG786="","",Config!$B$16)</f>
        <v/>
      </c>
      <c r="N786">
        <f>IF($AG786="","","")</f>
        <v/>
      </c>
      <c r="O786">
        <f>IF($AG786="","",INDEX('TMP Paste'!$K$2:$K$1601,$AG786))</f>
        <v/>
      </c>
      <c r="P786">
        <f>IF($AG786="","","")</f>
        <v/>
      </c>
      <c r="Q786">
        <f>IF($AG786="","",INDEX('TMP Paste'!$J$2:$J$1601,$AG786))</f>
        <v/>
      </c>
      <c r="R786">
        <f>IF($AG786="","",Config!$B$24)</f>
        <v/>
      </c>
      <c r="S786">
        <f>IF($AG786="","",TEXT(Config!$B$4,"yyyy-mm-dd"))</f>
        <v/>
      </c>
      <c r="T786">
        <f>IF($AG786="","",Config!$B$17)</f>
        <v/>
      </c>
      <c r="U786">
        <f>IF($AG786="","",Config!$B$18)</f>
        <v/>
      </c>
      <c r="V786">
        <f>IF($AG786="","",Config!$B$19)</f>
        <v/>
      </c>
      <c r="W786">
        <f>IF($AG786="","",INDEX('TMP Paste'!$C$2:$C$1601,$AG786))</f>
        <v/>
      </c>
      <c r="X786">
        <f>IF($AG786="","",Config!$B$29)</f>
        <v/>
      </c>
      <c r="Y786">
        <f>IF($AH786="","",INDEX(Calc!$I$2:$I$1601,$AH786)&amp;" - "&amp;INDEX(Calc!$D$2:$D$1601,$AH786)&amp;" koli")</f>
        <v/>
      </c>
      <c r="Z786">
        <f>IF($AG786="","",Config!$B$21)</f>
        <v/>
      </c>
      <c r="AA786">
        <f>IF($AG786="","",Config!$B$22)</f>
        <v/>
      </c>
      <c r="AB786">
        <f>IF($AH786="","",INDEX(Calc!$D$2:$D$1601,$AH786))</f>
        <v/>
      </c>
      <c r="AC786">
        <f>IF($AH786="","",INDEX(Calc!$G$2:$G$1601,$AH786))</f>
        <v/>
      </c>
      <c r="AD786">
        <f>IF($AG786="","",Config!$B$23)</f>
        <v/>
      </c>
      <c r="AE786">
        <f>IF($AG786="","",Config!$B$28)</f>
        <v/>
      </c>
      <c r="AG786">
        <f>IFERROR(MATCH(ROW()-1,Calc!$J$2:$J$1601,0),"")</f>
        <v/>
      </c>
      <c r="AH786">
        <f>IFERROR(MATCH(ROW()-1,Calc!$K$2:$K$1601,0),"")</f>
        <v/>
      </c>
      <c r="AI786">
        <f>IF($AG786="","",SUMIF($AG$2:$AG786,$AG786,$AH$2:$AH786))</f>
        <v/>
      </c>
      <c r="AJ786">
        <f>IF('TMP Paste'!$F786="","",IF('TMP Paste'!$B786="",$AJ785,'TMP Paste'!$B786))</f>
        <v/>
      </c>
      <c r="AK786">
        <f>IF('TMP Paste'!$F786="","",N('TMP Paste'!$G786))</f>
        <v/>
      </c>
      <c r="AL786">
        <f>IF('TMP Paste'!$F786="","",IF('TMP Paste'!$M786="",$AL785,'TMP Paste'!$M786))</f>
        <v/>
      </c>
      <c r="AM786">
        <f>IF('TMP Paste'!$F786="","",IF('TMP Paste'!$N786="",$AM785,'TMP Paste'!$N786))</f>
        <v/>
      </c>
      <c r="AN786">
        <f>IF('TMP Paste'!$F786="","",IF('TMP Paste'!$O786="",$AN785,'TMP Paste'!$O786))</f>
        <v/>
      </c>
      <c r="AO786">
        <f>IF('TMP Paste'!$F786="","",IF('TMP Paste'!$P786="",$AO785,'TMP Paste'!$P786))</f>
        <v/>
      </c>
      <c r="AP786">
        <f>IF($AG786="","",LEN($R786))</f>
        <v/>
      </c>
      <c r="AQ786">
        <f>IF($AG786="","",TRIM(IF(COUNTIFS(Calc!$B$2:$B$1601,ROW()-1,Calc!$C$2:$C$1601,"&lt;1")&gt;0,"Ada PO tanpa Koli - cek TMP. ","")&amp;IF(LEN($R786)&gt;500,"R &gt; 500 karakter.","")))</f>
        <v/>
      </c>
    </row>
    <row r="787">
      <c r="A787">
        <f>IF($AG787="","",INDEX('TMP Paste'!$B$2:$B$1601,$AG787))</f>
        <v/>
      </c>
      <c r="B787">
        <f>IF($AG787="","",Config!$B$14)</f>
        <v/>
      </c>
      <c r="C787">
        <f>IF($AG787="","",Config!$B$15)</f>
        <v/>
      </c>
      <c r="D787">
        <f>IF($AG787="","",INDEX('TMP Paste'!$B$2:$B$1601,$AG787))</f>
        <v/>
      </c>
      <c r="E787">
        <f>IF($AG787="","",Config!$B$27)</f>
        <v/>
      </c>
      <c r="F787">
        <f>IF($AG787="","",Config!$B$9)</f>
        <v/>
      </c>
      <c r="G787">
        <f>IF($AG787="","",Config!$B$10)</f>
        <v/>
      </c>
      <c r="H787">
        <f>IF($AG787="","",Config!$B$11)</f>
        <v/>
      </c>
      <c r="I787">
        <f>IF($AG787="","",Config!$B$16)</f>
        <v/>
      </c>
      <c r="J787">
        <f>IF($AG787="","",INDEX('TMP Paste'!$A$2:$A$1601,$AG787))</f>
        <v/>
      </c>
      <c r="K787">
        <f>IF($AG787="","",INDEX('TMP Paste'!$L$2:$L$1601,$AG787))</f>
        <v/>
      </c>
      <c r="L787">
        <f>IF($AG787="","",INDEX('TMP Paste'!$I$2:$I$1601,$AG787))</f>
        <v/>
      </c>
      <c r="M787">
        <f>IF($AG787="","",Config!$B$16)</f>
        <v/>
      </c>
      <c r="N787">
        <f>IF($AG787="","","")</f>
        <v/>
      </c>
      <c r="O787">
        <f>IF($AG787="","",INDEX('TMP Paste'!$K$2:$K$1601,$AG787))</f>
        <v/>
      </c>
      <c r="P787">
        <f>IF($AG787="","","")</f>
        <v/>
      </c>
      <c r="Q787">
        <f>IF($AG787="","",INDEX('TMP Paste'!$J$2:$J$1601,$AG787))</f>
        <v/>
      </c>
      <c r="R787">
        <f>IF($AG787="","",Config!$B$24)</f>
        <v/>
      </c>
      <c r="S787">
        <f>IF($AG787="","",TEXT(Config!$B$4,"yyyy-mm-dd"))</f>
        <v/>
      </c>
      <c r="T787">
        <f>IF($AG787="","",Config!$B$17)</f>
        <v/>
      </c>
      <c r="U787">
        <f>IF($AG787="","",Config!$B$18)</f>
        <v/>
      </c>
      <c r="V787">
        <f>IF($AG787="","",Config!$B$19)</f>
        <v/>
      </c>
      <c r="W787">
        <f>IF($AG787="","",INDEX('TMP Paste'!$C$2:$C$1601,$AG787))</f>
        <v/>
      </c>
      <c r="X787">
        <f>IF($AG787="","",Config!$B$29)</f>
        <v/>
      </c>
      <c r="Y787">
        <f>IF($AH787="","",INDEX(Calc!$I$2:$I$1601,$AH787)&amp;" - "&amp;INDEX(Calc!$D$2:$D$1601,$AH787)&amp;" koli")</f>
        <v/>
      </c>
      <c r="Z787">
        <f>IF($AG787="","",Config!$B$21)</f>
        <v/>
      </c>
      <c r="AA787">
        <f>IF($AG787="","",Config!$B$22)</f>
        <v/>
      </c>
      <c r="AB787">
        <f>IF($AH787="","",INDEX(Calc!$D$2:$D$1601,$AH787))</f>
        <v/>
      </c>
      <c r="AC787">
        <f>IF($AH787="","",INDEX(Calc!$G$2:$G$1601,$AH787))</f>
        <v/>
      </c>
      <c r="AD787">
        <f>IF($AG787="","",Config!$B$23)</f>
        <v/>
      </c>
      <c r="AE787">
        <f>IF($AG787="","",Config!$B$28)</f>
        <v/>
      </c>
      <c r="AG787">
        <f>IFERROR(MATCH(ROW()-1,Calc!$J$2:$J$1601,0),"")</f>
        <v/>
      </c>
      <c r="AH787">
        <f>IFERROR(MATCH(ROW()-1,Calc!$K$2:$K$1601,0),"")</f>
        <v/>
      </c>
      <c r="AI787">
        <f>IF($AG787="","",SUMIF($AG$2:$AG787,$AG787,$AH$2:$AH787))</f>
        <v/>
      </c>
      <c r="AJ787">
        <f>IF('TMP Paste'!$F787="","",IF('TMP Paste'!$B787="",$AJ786,'TMP Paste'!$B787))</f>
        <v/>
      </c>
      <c r="AK787">
        <f>IF('TMP Paste'!$F787="","",N('TMP Paste'!$G787))</f>
        <v/>
      </c>
      <c r="AL787">
        <f>IF('TMP Paste'!$F787="","",IF('TMP Paste'!$M787="",$AL786,'TMP Paste'!$M787))</f>
        <v/>
      </c>
      <c r="AM787">
        <f>IF('TMP Paste'!$F787="","",IF('TMP Paste'!$N787="",$AM786,'TMP Paste'!$N787))</f>
        <v/>
      </c>
      <c r="AN787">
        <f>IF('TMP Paste'!$F787="","",IF('TMP Paste'!$O787="",$AN786,'TMP Paste'!$O787))</f>
        <v/>
      </c>
      <c r="AO787">
        <f>IF('TMP Paste'!$F787="","",IF('TMP Paste'!$P787="",$AO786,'TMP Paste'!$P787))</f>
        <v/>
      </c>
      <c r="AP787">
        <f>IF($AG787="","",LEN($R787))</f>
        <v/>
      </c>
      <c r="AQ787">
        <f>IF($AG787="","",TRIM(IF(COUNTIFS(Calc!$B$2:$B$1601,ROW()-1,Calc!$C$2:$C$1601,"&lt;1")&gt;0,"Ada PO tanpa Koli - cek TMP. ","")&amp;IF(LEN($R787)&gt;500,"R &gt; 500 karakter.","")))</f>
        <v/>
      </c>
    </row>
    <row r="788">
      <c r="A788">
        <f>IF($AG788="","",INDEX('TMP Paste'!$B$2:$B$1601,$AG788))</f>
        <v/>
      </c>
      <c r="B788">
        <f>IF($AG788="","",Config!$B$14)</f>
        <v/>
      </c>
      <c r="C788">
        <f>IF($AG788="","",Config!$B$15)</f>
        <v/>
      </c>
      <c r="D788">
        <f>IF($AG788="","",INDEX('TMP Paste'!$B$2:$B$1601,$AG788))</f>
        <v/>
      </c>
      <c r="E788">
        <f>IF($AG788="","",Config!$B$27)</f>
        <v/>
      </c>
      <c r="F788">
        <f>IF($AG788="","",Config!$B$9)</f>
        <v/>
      </c>
      <c r="G788">
        <f>IF($AG788="","",Config!$B$10)</f>
        <v/>
      </c>
      <c r="H788">
        <f>IF($AG788="","",Config!$B$11)</f>
        <v/>
      </c>
      <c r="I788">
        <f>IF($AG788="","",Config!$B$16)</f>
        <v/>
      </c>
      <c r="J788">
        <f>IF($AG788="","",INDEX('TMP Paste'!$A$2:$A$1601,$AG788))</f>
        <v/>
      </c>
      <c r="K788">
        <f>IF($AG788="","",INDEX('TMP Paste'!$L$2:$L$1601,$AG788))</f>
        <v/>
      </c>
      <c r="L788">
        <f>IF($AG788="","",INDEX('TMP Paste'!$I$2:$I$1601,$AG788))</f>
        <v/>
      </c>
      <c r="M788">
        <f>IF($AG788="","",Config!$B$16)</f>
        <v/>
      </c>
      <c r="N788">
        <f>IF($AG788="","","")</f>
        <v/>
      </c>
      <c r="O788">
        <f>IF($AG788="","",INDEX('TMP Paste'!$K$2:$K$1601,$AG788))</f>
        <v/>
      </c>
      <c r="P788">
        <f>IF($AG788="","","")</f>
        <v/>
      </c>
      <c r="Q788">
        <f>IF($AG788="","",INDEX('TMP Paste'!$J$2:$J$1601,$AG788))</f>
        <v/>
      </c>
      <c r="R788">
        <f>IF($AG788="","",Config!$B$24)</f>
        <v/>
      </c>
      <c r="S788">
        <f>IF($AG788="","",TEXT(Config!$B$4,"yyyy-mm-dd"))</f>
        <v/>
      </c>
      <c r="T788">
        <f>IF($AG788="","",Config!$B$17)</f>
        <v/>
      </c>
      <c r="U788">
        <f>IF($AG788="","",Config!$B$18)</f>
        <v/>
      </c>
      <c r="V788">
        <f>IF($AG788="","",Config!$B$19)</f>
        <v/>
      </c>
      <c r="W788">
        <f>IF($AG788="","",INDEX('TMP Paste'!$C$2:$C$1601,$AG788))</f>
        <v/>
      </c>
      <c r="X788">
        <f>IF($AG788="","",Config!$B$29)</f>
        <v/>
      </c>
      <c r="Y788">
        <f>IF($AH788="","",INDEX(Calc!$I$2:$I$1601,$AH788)&amp;" - "&amp;INDEX(Calc!$D$2:$D$1601,$AH788)&amp;" koli")</f>
        <v/>
      </c>
      <c r="Z788">
        <f>IF($AG788="","",Config!$B$21)</f>
        <v/>
      </c>
      <c r="AA788">
        <f>IF($AG788="","",Config!$B$22)</f>
        <v/>
      </c>
      <c r="AB788">
        <f>IF($AH788="","",INDEX(Calc!$D$2:$D$1601,$AH788))</f>
        <v/>
      </c>
      <c r="AC788">
        <f>IF($AH788="","",INDEX(Calc!$G$2:$G$1601,$AH788))</f>
        <v/>
      </c>
      <c r="AD788">
        <f>IF($AG788="","",Config!$B$23)</f>
        <v/>
      </c>
      <c r="AE788">
        <f>IF($AG788="","",Config!$B$28)</f>
        <v/>
      </c>
      <c r="AG788">
        <f>IFERROR(MATCH(ROW()-1,Calc!$J$2:$J$1601,0),"")</f>
        <v/>
      </c>
      <c r="AH788">
        <f>IFERROR(MATCH(ROW()-1,Calc!$K$2:$K$1601,0),"")</f>
        <v/>
      </c>
      <c r="AI788">
        <f>IF($AG788="","",SUMIF($AG$2:$AG788,$AG788,$AH$2:$AH788))</f>
        <v/>
      </c>
      <c r="AJ788">
        <f>IF('TMP Paste'!$F788="","",IF('TMP Paste'!$B788="",$AJ787,'TMP Paste'!$B788))</f>
        <v/>
      </c>
      <c r="AK788">
        <f>IF('TMP Paste'!$F788="","",N('TMP Paste'!$G788))</f>
        <v/>
      </c>
      <c r="AL788">
        <f>IF('TMP Paste'!$F788="","",IF('TMP Paste'!$M788="",$AL787,'TMP Paste'!$M788))</f>
        <v/>
      </c>
      <c r="AM788">
        <f>IF('TMP Paste'!$F788="","",IF('TMP Paste'!$N788="",$AM787,'TMP Paste'!$N788))</f>
        <v/>
      </c>
      <c r="AN788">
        <f>IF('TMP Paste'!$F788="","",IF('TMP Paste'!$O788="",$AN787,'TMP Paste'!$O788))</f>
        <v/>
      </c>
      <c r="AO788">
        <f>IF('TMP Paste'!$F788="","",IF('TMP Paste'!$P788="",$AO787,'TMP Paste'!$P788))</f>
        <v/>
      </c>
      <c r="AP788">
        <f>IF($AG788="","",LEN($R788))</f>
        <v/>
      </c>
      <c r="AQ788">
        <f>IF($AG788="","",TRIM(IF(COUNTIFS(Calc!$B$2:$B$1601,ROW()-1,Calc!$C$2:$C$1601,"&lt;1")&gt;0,"Ada PO tanpa Koli - cek TMP. ","")&amp;IF(LEN($R788)&gt;500,"R &gt; 500 karakter.","")))</f>
        <v/>
      </c>
    </row>
    <row r="789">
      <c r="A789">
        <f>IF($AG789="","",INDEX('TMP Paste'!$B$2:$B$1601,$AG789))</f>
        <v/>
      </c>
      <c r="B789">
        <f>IF($AG789="","",Config!$B$14)</f>
        <v/>
      </c>
      <c r="C789">
        <f>IF($AG789="","",Config!$B$15)</f>
        <v/>
      </c>
      <c r="D789">
        <f>IF($AG789="","",INDEX('TMP Paste'!$B$2:$B$1601,$AG789))</f>
        <v/>
      </c>
      <c r="E789">
        <f>IF($AG789="","",Config!$B$27)</f>
        <v/>
      </c>
      <c r="F789">
        <f>IF($AG789="","",Config!$B$9)</f>
        <v/>
      </c>
      <c r="G789">
        <f>IF($AG789="","",Config!$B$10)</f>
        <v/>
      </c>
      <c r="H789">
        <f>IF($AG789="","",Config!$B$11)</f>
        <v/>
      </c>
      <c r="I789">
        <f>IF($AG789="","",Config!$B$16)</f>
        <v/>
      </c>
      <c r="J789">
        <f>IF($AG789="","",INDEX('TMP Paste'!$A$2:$A$1601,$AG789))</f>
        <v/>
      </c>
      <c r="K789">
        <f>IF($AG789="","",INDEX('TMP Paste'!$L$2:$L$1601,$AG789))</f>
        <v/>
      </c>
      <c r="L789">
        <f>IF($AG789="","",INDEX('TMP Paste'!$I$2:$I$1601,$AG789))</f>
        <v/>
      </c>
      <c r="M789">
        <f>IF($AG789="","",Config!$B$16)</f>
        <v/>
      </c>
      <c r="N789">
        <f>IF($AG789="","","")</f>
        <v/>
      </c>
      <c r="O789">
        <f>IF($AG789="","",INDEX('TMP Paste'!$K$2:$K$1601,$AG789))</f>
        <v/>
      </c>
      <c r="P789">
        <f>IF($AG789="","","")</f>
        <v/>
      </c>
      <c r="Q789">
        <f>IF($AG789="","",INDEX('TMP Paste'!$J$2:$J$1601,$AG789))</f>
        <v/>
      </c>
      <c r="R789">
        <f>IF($AG789="","",Config!$B$24)</f>
        <v/>
      </c>
      <c r="S789">
        <f>IF($AG789="","",TEXT(Config!$B$4,"yyyy-mm-dd"))</f>
        <v/>
      </c>
      <c r="T789">
        <f>IF($AG789="","",Config!$B$17)</f>
        <v/>
      </c>
      <c r="U789">
        <f>IF($AG789="","",Config!$B$18)</f>
        <v/>
      </c>
      <c r="V789">
        <f>IF($AG789="","",Config!$B$19)</f>
        <v/>
      </c>
      <c r="W789">
        <f>IF($AG789="","",INDEX('TMP Paste'!$C$2:$C$1601,$AG789))</f>
        <v/>
      </c>
      <c r="X789">
        <f>IF($AG789="","",Config!$B$29)</f>
        <v/>
      </c>
      <c r="Y789">
        <f>IF($AH789="","",INDEX(Calc!$I$2:$I$1601,$AH789)&amp;" - "&amp;INDEX(Calc!$D$2:$D$1601,$AH789)&amp;" koli")</f>
        <v/>
      </c>
      <c r="Z789">
        <f>IF($AG789="","",Config!$B$21)</f>
        <v/>
      </c>
      <c r="AA789">
        <f>IF($AG789="","",Config!$B$22)</f>
        <v/>
      </c>
      <c r="AB789">
        <f>IF($AH789="","",INDEX(Calc!$D$2:$D$1601,$AH789))</f>
        <v/>
      </c>
      <c r="AC789">
        <f>IF($AH789="","",INDEX(Calc!$G$2:$G$1601,$AH789))</f>
        <v/>
      </c>
      <c r="AD789">
        <f>IF($AG789="","",Config!$B$23)</f>
        <v/>
      </c>
      <c r="AE789">
        <f>IF($AG789="","",Config!$B$28)</f>
        <v/>
      </c>
      <c r="AG789">
        <f>IFERROR(MATCH(ROW()-1,Calc!$J$2:$J$1601,0),"")</f>
        <v/>
      </c>
      <c r="AH789">
        <f>IFERROR(MATCH(ROW()-1,Calc!$K$2:$K$1601,0),"")</f>
        <v/>
      </c>
      <c r="AI789">
        <f>IF($AG789="","",SUMIF($AG$2:$AG789,$AG789,$AH$2:$AH789))</f>
        <v/>
      </c>
      <c r="AJ789">
        <f>IF('TMP Paste'!$F789="","",IF('TMP Paste'!$B789="",$AJ788,'TMP Paste'!$B789))</f>
        <v/>
      </c>
      <c r="AK789">
        <f>IF('TMP Paste'!$F789="","",N('TMP Paste'!$G789))</f>
        <v/>
      </c>
      <c r="AL789">
        <f>IF('TMP Paste'!$F789="","",IF('TMP Paste'!$M789="",$AL788,'TMP Paste'!$M789))</f>
        <v/>
      </c>
      <c r="AM789">
        <f>IF('TMP Paste'!$F789="","",IF('TMP Paste'!$N789="",$AM788,'TMP Paste'!$N789))</f>
        <v/>
      </c>
      <c r="AN789">
        <f>IF('TMP Paste'!$F789="","",IF('TMP Paste'!$O789="",$AN788,'TMP Paste'!$O789))</f>
        <v/>
      </c>
      <c r="AO789">
        <f>IF('TMP Paste'!$F789="","",IF('TMP Paste'!$P789="",$AO788,'TMP Paste'!$P789))</f>
        <v/>
      </c>
      <c r="AP789">
        <f>IF($AG789="","",LEN($R789))</f>
        <v/>
      </c>
      <c r="AQ789">
        <f>IF($AG789="","",TRIM(IF(COUNTIFS(Calc!$B$2:$B$1601,ROW()-1,Calc!$C$2:$C$1601,"&lt;1")&gt;0,"Ada PO tanpa Koli - cek TMP. ","")&amp;IF(LEN($R789)&gt;500,"R &gt; 500 karakter.","")))</f>
        <v/>
      </c>
    </row>
    <row r="790">
      <c r="A790">
        <f>IF($AG790="","",INDEX('TMP Paste'!$B$2:$B$1601,$AG790))</f>
        <v/>
      </c>
      <c r="B790">
        <f>IF($AG790="","",Config!$B$14)</f>
        <v/>
      </c>
      <c r="C790">
        <f>IF($AG790="","",Config!$B$15)</f>
        <v/>
      </c>
      <c r="D790">
        <f>IF($AG790="","",INDEX('TMP Paste'!$B$2:$B$1601,$AG790))</f>
        <v/>
      </c>
      <c r="E790">
        <f>IF($AG790="","",Config!$B$27)</f>
        <v/>
      </c>
      <c r="F790">
        <f>IF($AG790="","",Config!$B$9)</f>
        <v/>
      </c>
      <c r="G790">
        <f>IF($AG790="","",Config!$B$10)</f>
        <v/>
      </c>
      <c r="H790">
        <f>IF($AG790="","",Config!$B$11)</f>
        <v/>
      </c>
      <c r="I790">
        <f>IF($AG790="","",Config!$B$16)</f>
        <v/>
      </c>
      <c r="J790">
        <f>IF($AG790="","",INDEX('TMP Paste'!$A$2:$A$1601,$AG790))</f>
        <v/>
      </c>
      <c r="K790">
        <f>IF($AG790="","",INDEX('TMP Paste'!$L$2:$L$1601,$AG790))</f>
        <v/>
      </c>
      <c r="L790">
        <f>IF($AG790="","",INDEX('TMP Paste'!$I$2:$I$1601,$AG790))</f>
        <v/>
      </c>
      <c r="M790">
        <f>IF($AG790="","",Config!$B$16)</f>
        <v/>
      </c>
      <c r="N790">
        <f>IF($AG790="","","")</f>
        <v/>
      </c>
      <c r="O790">
        <f>IF($AG790="","",INDEX('TMP Paste'!$K$2:$K$1601,$AG790))</f>
        <v/>
      </c>
      <c r="P790">
        <f>IF($AG790="","","")</f>
        <v/>
      </c>
      <c r="Q790">
        <f>IF($AG790="","",INDEX('TMP Paste'!$J$2:$J$1601,$AG790))</f>
        <v/>
      </c>
      <c r="R790">
        <f>IF($AG790="","",Config!$B$24)</f>
        <v/>
      </c>
      <c r="S790">
        <f>IF($AG790="","",TEXT(Config!$B$4,"yyyy-mm-dd"))</f>
        <v/>
      </c>
      <c r="T790">
        <f>IF($AG790="","",Config!$B$17)</f>
        <v/>
      </c>
      <c r="U790">
        <f>IF($AG790="","",Config!$B$18)</f>
        <v/>
      </c>
      <c r="V790">
        <f>IF($AG790="","",Config!$B$19)</f>
        <v/>
      </c>
      <c r="W790">
        <f>IF($AG790="","",INDEX('TMP Paste'!$C$2:$C$1601,$AG790))</f>
        <v/>
      </c>
      <c r="X790">
        <f>IF($AG790="","",Config!$B$29)</f>
        <v/>
      </c>
      <c r="Y790">
        <f>IF($AH790="","",INDEX(Calc!$I$2:$I$1601,$AH790)&amp;" - "&amp;INDEX(Calc!$D$2:$D$1601,$AH790)&amp;" koli")</f>
        <v/>
      </c>
      <c r="Z790">
        <f>IF($AG790="","",Config!$B$21)</f>
        <v/>
      </c>
      <c r="AA790">
        <f>IF($AG790="","",Config!$B$22)</f>
        <v/>
      </c>
      <c r="AB790">
        <f>IF($AH790="","",INDEX(Calc!$D$2:$D$1601,$AH790))</f>
        <v/>
      </c>
      <c r="AC790">
        <f>IF($AH790="","",INDEX(Calc!$G$2:$G$1601,$AH790))</f>
        <v/>
      </c>
      <c r="AD790">
        <f>IF($AG790="","",Config!$B$23)</f>
        <v/>
      </c>
      <c r="AE790">
        <f>IF($AG790="","",Config!$B$28)</f>
        <v/>
      </c>
      <c r="AG790">
        <f>IFERROR(MATCH(ROW()-1,Calc!$J$2:$J$1601,0),"")</f>
        <v/>
      </c>
      <c r="AH790">
        <f>IFERROR(MATCH(ROW()-1,Calc!$K$2:$K$1601,0),"")</f>
        <v/>
      </c>
      <c r="AI790">
        <f>IF($AG790="","",SUMIF($AG$2:$AG790,$AG790,$AH$2:$AH790))</f>
        <v/>
      </c>
      <c r="AJ790">
        <f>IF('TMP Paste'!$F790="","",IF('TMP Paste'!$B790="",$AJ789,'TMP Paste'!$B790))</f>
        <v/>
      </c>
      <c r="AK790">
        <f>IF('TMP Paste'!$F790="","",N('TMP Paste'!$G790))</f>
        <v/>
      </c>
      <c r="AL790">
        <f>IF('TMP Paste'!$F790="","",IF('TMP Paste'!$M790="",$AL789,'TMP Paste'!$M790))</f>
        <v/>
      </c>
      <c r="AM790">
        <f>IF('TMP Paste'!$F790="","",IF('TMP Paste'!$N790="",$AM789,'TMP Paste'!$N790))</f>
        <v/>
      </c>
      <c r="AN790">
        <f>IF('TMP Paste'!$F790="","",IF('TMP Paste'!$O790="",$AN789,'TMP Paste'!$O790))</f>
        <v/>
      </c>
      <c r="AO790">
        <f>IF('TMP Paste'!$F790="","",IF('TMP Paste'!$P790="",$AO789,'TMP Paste'!$P790))</f>
        <v/>
      </c>
      <c r="AP790">
        <f>IF($AG790="","",LEN($R790))</f>
        <v/>
      </c>
      <c r="AQ790">
        <f>IF($AG790="","",TRIM(IF(COUNTIFS(Calc!$B$2:$B$1601,ROW()-1,Calc!$C$2:$C$1601,"&lt;1")&gt;0,"Ada PO tanpa Koli - cek TMP. ","")&amp;IF(LEN($R790)&gt;500,"R &gt; 500 karakter.","")))</f>
        <v/>
      </c>
    </row>
    <row r="791">
      <c r="A791">
        <f>IF($AG791="","",INDEX('TMP Paste'!$B$2:$B$1601,$AG791))</f>
        <v/>
      </c>
      <c r="B791">
        <f>IF($AG791="","",Config!$B$14)</f>
        <v/>
      </c>
      <c r="C791">
        <f>IF($AG791="","",Config!$B$15)</f>
        <v/>
      </c>
      <c r="D791">
        <f>IF($AG791="","",INDEX('TMP Paste'!$B$2:$B$1601,$AG791))</f>
        <v/>
      </c>
      <c r="E791">
        <f>IF($AG791="","",Config!$B$27)</f>
        <v/>
      </c>
      <c r="F791">
        <f>IF($AG791="","",Config!$B$9)</f>
        <v/>
      </c>
      <c r="G791">
        <f>IF($AG791="","",Config!$B$10)</f>
        <v/>
      </c>
      <c r="H791">
        <f>IF($AG791="","",Config!$B$11)</f>
        <v/>
      </c>
      <c r="I791">
        <f>IF($AG791="","",Config!$B$16)</f>
        <v/>
      </c>
      <c r="J791">
        <f>IF($AG791="","",INDEX('TMP Paste'!$A$2:$A$1601,$AG791))</f>
        <v/>
      </c>
      <c r="K791">
        <f>IF($AG791="","",INDEX('TMP Paste'!$L$2:$L$1601,$AG791))</f>
        <v/>
      </c>
      <c r="L791">
        <f>IF($AG791="","",INDEX('TMP Paste'!$I$2:$I$1601,$AG791))</f>
        <v/>
      </c>
      <c r="M791">
        <f>IF($AG791="","",Config!$B$16)</f>
        <v/>
      </c>
      <c r="N791">
        <f>IF($AG791="","","")</f>
        <v/>
      </c>
      <c r="O791">
        <f>IF($AG791="","",INDEX('TMP Paste'!$K$2:$K$1601,$AG791))</f>
        <v/>
      </c>
      <c r="P791">
        <f>IF($AG791="","","")</f>
        <v/>
      </c>
      <c r="Q791">
        <f>IF($AG791="","",INDEX('TMP Paste'!$J$2:$J$1601,$AG791))</f>
        <v/>
      </c>
      <c r="R791">
        <f>IF($AG791="","",Config!$B$24)</f>
        <v/>
      </c>
      <c r="S791">
        <f>IF($AG791="","",TEXT(Config!$B$4,"yyyy-mm-dd"))</f>
        <v/>
      </c>
      <c r="T791">
        <f>IF($AG791="","",Config!$B$17)</f>
        <v/>
      </c>
      <c r="U791">
        <f>IF($AG791="","",Config!$B$18)</f>
        <v/>
      </c>
      <c r="V791">
        <f>IF($AG791="","",Config!$B$19)</f>
        <v/>
      </c>
      <c r="W791">
        <f>IF($AG791="","",INDEX('TMP Paste'!$C$2:$C$1601,$AG791))</f>
        <v/>
      </c>
      <c r="X791">
        <f>IF($AG791="","",Config!$B$29)</f>
        <v/>
      </c>
      <c r="Y791">
        <f>IF($AH791="","",INDEX(Calc!$I$2:$I$1601,$AH791)&amp;" - "&amp;INDEX(Calc!$D$2:$D$1601,$AH791)&amp;" koli")</f>
        <v/>
      </c>
      <c r="Z791">
        <f>IF($AG791="","",Config!$B$21)</f>
        <v/>
      </c>
      <c r="AA791">
        <f>IF($AG791="","",Config!$B$22)</f>
        <v/>
      </c>
      <c r="AB791">
        <f>IF($AH791="","",INDEX(Calc!$D$2:$D$1601,$AH791))</f>
        <v/>
      </c>
      <c r="AC791">
        <f>IF($AH791="","",INDEX(Calc!$G$2:$G$1601,$AH791))</f>
        <v/>
      </c>
      <c r="AD791">
        <f>IF($AG791="","",Config!$B$23)</f>
        <v/>
      </c>
      <c r="AE791">
        <f>IF($AG791="","",Config!$B$28)</f>
        <v/>
      </c>
      <c r="AG791">
        <f>IFERROR(MATCH(ROW()-1,Calc!$J$2:$J$1601,0),"")</f>
        <v/>
      </c>
      <c r="AH791">
        <f>IFERROR(MATCH(ROW()-1,Calc!$K$2:$K$1601,0),"")</f>
        <v/>
      </c>
      <c r="AI791">
        <f>IF($AG791="","",SUMIF($AG$2:$AG791,$AG791,$AH$2:$AH791))</f>
        <v/>
      </c>
      <c r="AJ791">
        <f>IF('TMP Paste'!$F791="","",IF('TMP Paste'!$B791="",$AJ790,'TMP Paste'!$B791))</f>
        <v/>
      </c>
      <c r="AK791">
        <f>IF('TMP Paste'!$F791="","",N('TMP Paste'!$G791))</f>
        <v/>
      </c>
      <c r="AL791">
        <f>IF('TMP Paste'!$F791="","",IF('TMP Paste'!$M791="",$AL790,'TMP Paste'!$M791))</f>
        <v/>
      </c>
      <c r="AM791">
        <f>IF('TMP Paste'!$F791="","",IF('TMP Paste'!$N791="",$AM790,'TMP Paste'!$N791))</f>
        <v/>
      </c>
      <c r="AN791">
        <f>IF('TMP Paste'!$F791="","",IF('TMP Paste'!$O791="",$AN790,'TMP Paste'!$O791))</f>
        <v/>
      </c>
      <c r="AO791">
        <f>IF('TMP Paste'!$F791="","",IF('TMP Paste'!$P791="",$AO790,'TMP Paste'!$P791))</f>
        <v/>
      </c>
      <c r="AP791">
        <f>IF($AG791="","",LEN($R791))</f>
        <v/>
      </c>
      <c r="AQ791">
        <f>IF($AG791="","",TRIM(IF(COUNTIFS(Calc!$B$2:$B$1601,ROW()-1,Calc!$C$2:$C$1601,"&lt;1")&gt;0,"Ada PO tanpa Koli - cek TMP. ","")&amp;IF(LEN($R791)&gt;500,"R &gt; 500 karakter.","")))</f>
        <v/>
      </c>
    </row>
    <row r="792">
      <c r="A792">
        <f>IF($AG792="","",INDEX('TMP Paste'!$B$2:$B$1601,$AG792))</f>
        <v/>
      </c>
      <c r="B792">
        <f>IF($AG792="","",Config!$B$14)</f>
        <v/>
      </c>
      <c r="C792">
        <f>IF($AG792="","",Config!$B$15)</f>
        <v/>
      </c>
      <c r="D792">
        <f>IF($AG792="","",INDEX('TMP Paste'!$B$2:$B$1601,$AG792))</f>
        <v/>
      </c>
      <c r="E792">
        <f>IF($AG792="","",Config!$B$27)</f>
        <v/>
      </c>
      <c r="F792">
        <f>IF($AG792="","",Config!$B$9)</f>
        <v/>
      </c>
      <c r="G792">
        <f>IF($AG792="","",Config!$B$10)</f>
        <v/>
      </c>
      <c r="H792">
        <f>IF($AG792="","",Config!$B$11)</f>
        <v/>
      </c>
      <c r="I792">
        <f>IF($AG792="","",Config!$B$16)</f>
        <v/>
      </c>
      <c r="J792">
        <f>IF($AG792="","",INDEX('TMP Paste'!$A$2:$A$1601,$AG792))</f>
        <v/>
      </c>
      <c r="K792">
        <f>IF($AG792="","",INDEX('TMP Paste'!$L$2:$L$1601,$AG792))</f>
        <v/>
      </c>
      <c r="L792">
        <f>IF($AG792="","",INDEX('TMP Paste'!$I$2:$I$1601,$AG792))</f>
        <v/>
      </c>
      <c r="M792">
        <f>IF($AG792="","",Config!$B$16)</f>
        <v/>
      </c>
      <c r="N792">
        <f>IF($AG792="","","")</f>
        <v/>
      </c>
      <c r="O792">
        <f>IF($AG792="","",INDEX('TMP Paste'!$K$2:$K$1601,$AG792))</f>
        <v/>
      </c>
      <c r="P792">
        <f>IF($AG792="","","")</f>
        <v/>
      </c>
      <c r="Q792">
        <f>IF($AG792="","",INDEX('TMP Paste'!$J$2:$J$1601,$AG792))</f>
        <v/>
      </c>
      <c r="R792">
        <f>IF($AG792="","",Config!$B$24)</f>
        <v/>
      </c>
      <c r="S792">
        <f>IF($AG792="","",TEXT(Config!$B$4,"yyyy-mm-dd"))</f>
        <v/>
      </c>
      <c r="T792">
        <f>IF($AG792="","",Config!$B$17)</f>
        <v/>
      </c>
      <c r="U792">
        <f>IF($AG792="","",Config!$B$18)</f>
        <v/>
      </c>
      <c r="V792">
        <f>IF($AG792="","",Config!$B$19)</f>
        <v/>
      </c>
      <c r="W792">
        <f>IF($AG792="","",INDEX('TMP Paste'!$C$2:$C$1601,$AG792))</f>
        <v/>
      </c>
      <c r="X792">
        <f>IF($AG792="","",Config!$B$29)</f>
        <v/>
      </c>
      <c r="Y792">
        <f>IF($AH792="","",INDEX(Calc!$I$2:$I$1601,$AH792)&amp;" - "&amp;INDEX(Calc!$D$2:$D$1601,$AH792)&amp;" koli")</f>
        <v/>
      </c>
      <c r="Z792">
        <f>IF($AG792="","",Config!$B$21)</f>
        <v/>
      </c>
      <c r="AA792">
        <f>IF($AG792="","",Config!$B$22)</f>
        <v/>
      </c>
      <c r="AB792">
        <f>IF($AH792="","",INDEX(Calc!$D$2:$D$1601,$AH792))</f>
        <v/>
      </c>
      <c r="AC792">
        <f>IF($AH792="","",INDEX(Calc!$G$2:$G$1601,$AH792))</f>
        <v/>
      </c>
      <c r="AD792">
        <f>IF($AG792="","",Config!$B$23)</f>
        <v/>
      </c>
      <c r="AE792">
        <f>IF($AG792="","",Config!$B$28)</f>
        <v/>
      </c>
      <c r="AG792">
        <f>IFERROR(MATCH(ROW()-1,Calc!$J$2:$J$1601,0),"")</f>
        <v/>
      </c>
      <c r="AH792">
        <f>IFERROR(MATCH(ROW()-1,Calc!$K$2:$K$1601,0),"")</f>
        <v/>
      </c>
      <c r="AI792">
        <f>IF($AG792="","",SUMIF($AG$2:$AG792,$AG792,$AH$2:$AH792))</f>
        <v/>
      </c>
      <c r="AJ792">
        <f>IF('TMP Paste'!$F792="","",IF('TMP Paste'!$B792="",$AJ791,'TMP Paste'!$B792))</f>
        <v/>
      </c>
      <c r="AK792">
        <f>IF('TMP Paste'!$F792="","",N('TMP Paste'!$G792))</f>
        <v/>
      </c>
      <c r="AL792">
        <f>IF('TMP Paste'!$F792="","",IF('TMP Paste'!$M792="",$AL791,'TMP Paste'!$M792))</f>
        <v/>
      </c>
      <c r="AM792">
        <f>IF('TMP Paste'!$F792="","",IF('TMP Paste'!$N792="",$AM791,'TMP Paste'!$N792))</f>
        <v/>
      </c>
      <c r="AN792">
        <f>IF('TMP Paste'!$F792="","",IF('TMP Paste'!$O792="",$AN791,'TMP Paste'!$O792))</f>
        <v/>
      </c>
      <c r="AO792">
        <f>IF('TMP Paste'!$F792="","",IF('TMP Paste'!$P792="",$AO791,'TMP Paste'!$P792))</f>
        <v/>
      </c>
      <c r="AP792">
        <f>IF($AG792="","",LEN($R792))</f>
        <v/>
      </c>
      <c r="AQ792">
        <f>IF($AG792="","",TRIM(IF(COUNTIFS(Calc!$B$2:$B$1601,ROW()-1,Calc!$C$2:$C$1601,"&lt;1")&gt;0,"Ada PO tanpa Koli - cek TMP. ","")&amp;IF(LEN($R792)&gt;500,"R &gt; 500 karakter.","")))</f>
        <v/>
      </c>
    </row>
    <row r="793">
      <c r="A793">
        <f>IF($AG793="","",INDEX('TMP Paste'!$B$2:$B$1601,$AG793))</f>
        <v/>
      </c>
      <c r="B793">
        <f>IF($AG793="","",Config!$B$14)</f>
        <v/>
      </c>
      <c r="C793">
        <f>IF($AG793="","",Config!$B$15)</f>
        <v/>
      </c>
      <c r="D793">
        <f>IF($AG793="","",INDEX('TMP Paste'!$B$2:$B$1601,$AG793))</f>
        <v/>
      </c>
      <c r="E793">
        <f>IF($AG793="","",Config!$B$27)</f>
        <v/>
      </c>
      <c r="F793">
        <f>IF($AG793="","",Config!$B$9)</f>
        <v/>
      </c>
      <c r="G793">
        <f>IF($AG793="","",Config!$B$10)</f>
        <v/>
      </c>
      <c r="H793">
        <f>IF($AG793="","",Config!$B$11)</f>
        <v/>
      </c>
      <c r="I793">
        <f>IF($AG793="","",Config!$B$16)</f>
        <v/>
      </c>
      <c r="J793">
        <f>IF($AG793="","",INDEX('TMP Paste'!$A$2:$A$1601,$AG793))</f>
        <v/>
      </c>
      <c r="K793">
        <f>IF($AG793="","",INDEX('TMP Paste'!$L$2:$L$1601,$AG793))</f>
        <v/>
      </c>
      <c r="L793">
        <f>IF($AG793="","",INDEX('TMP Paste'!$I$2:$I$1601,$AG793))</f>
        <v/>
      </c>
      <c r="M793">
        <f>IF($AG793="","",Config!$B$16)</f>
        <v/>
      </c>
      <c r="N793">
        <f>IF($AG793="","","")</f>
        <v/>
      </c>
      <c r="O793">
        <f>IF($AG793="","",INDEX('TMP Paste'!$K$2:$K$1601,$AG793))</f>
        <v/>
      </c>
      <c r="P793">
        <f>IF($AG793="","","")</f>
        <v/>
      </c>
      <c r="Q793">
        <f>IF($AG793="","",INDEX('TMP Paste'!$J$2:$J$1601,$AG793))</f>
        <v/>
      </c>
      <c r="R793">
        <f>IF($AG793="","",Config!$B$24)</f>
        <v/>
      </c>
      <c r="S793">
        <f>IF($AG793="","",TEXT(Config!$B$4,"yyyy-mm-dd"))</f>
        <v/>
      </c>
      <c r="T793">
        <f>IF($AG793="","",Config!$B$17)</f>
        <v/>
      </c>
      <c r="U793">
        <f>IF($AG793="","",Config!$B$18)</f>
        <v/>
      </c>
      <c r="V793">
        <f>IF($AG793="","",Config!$B$19)</f>
        <v/>
      </c>
      <c r="W793">
        <f>IF($AG793="","",INDEX('TMP Paste'!$C$2:$C$1601,$AG793))</f>
        <v/>
      </c>
      <c r="X793">
        <f>IF($AG793="","",Config!$B$29)</f>
        <v/>
      </c>
      <c r="Y793">
        <f>IF($AH793="","",INDEX(Calc!$I$2:$I$1601,$AH793)&amp;" - "&amp;INDEX(Calc!$D$2:$D$1601,$AH793)&amp;" koli")</f>
        <v/>
      </c>
      <c r="Z793">
        <f>IF($AG793="","",Config!$B$21)</f>
        <v/>
      </c>
      <c r="AA793">
        <f>IF($AG793="","",Config!$B$22)</f>
        <v/>
      </c>
      <c r="AB793">
        <f>IF($AH793="","",INDEX(Calc!$D$2:$D$1601,$AH793))</f>
        <v/>
      </c>
      <c r="AC793">
        <f>IF($AH793="","",INDEX(Calc!$G$2:$G$1601,$AH793))</f>
        <v/>
      </c>
      <c r="AD793">
        <f>IF($AG793="","",Config!$B$23)</f>
        <v/>
      </c>
      <c r="AE793">
        <f>IF($AG793="","",Config!$B$28)</f>
        <v/>
      </c>
      <c r="AG793">
        <f>IFERROR(MATCH(ROW()-1,Calc!$J$2:$J$1601,0),"")</f>
        <v/>
      </c>
      <c r="AH793">
        <f>IFERROR(MATCH(ROW()-1,Calc!$K$2:$K$1601,0),"")</f>
        <v/>
      </c>
      <c r="AI793">
        <f>IF($AG793="","",SUMIF($AG$2:$AG793,$AG793,$AH$2:$AH793))</f>
        <v/>
      </c>
      <c r="AJ793">
        <f>IF('TMP Paste'!$F793="","",IF('TMP Paste'!$B793="",$AJ792,'TMP Paste'!$B793))</f>
        <v/>
      </c>
      <c r="AK793">
        <f>IF('TMP Paste'!$F793="","",N('TMP Paste'!$G793))</f>
        <v/>
      </c>
      <c r="AL793">
        <f>IF('TMP Paste'!$F793="","",IF('TMP Paste'!$M793="",$AL792,'TMP Paste'!$M793))</f>
        <v/>
      </c>
      <c r="AM793">
        <f>IF('TMP Paste'!$F793="","",IF('TMP Paste'!$N793="",$AM792,'TMP Paste'!$N793))</f>
        <v/>
      </c>
      <c r="AN793">
        <f>IF('TMP Paste'!$F793="","",IF('TMP Paste'!$O793="",$AN792,'TMP Paste'!$O793))</f>
        <v/>
      </c>
      <c r="AO793">
        <f>IF('TMP Paste'!$F793="","",IF('TMP Paste'!$P793="",$AO792,'TMP Paste'!$P793))</f>
        <v/>
      </c>
      <c r="AP793">
        <f>IF($AG793="","",LEN($R793))</f>
        <v/>
      </c>
      <c r="AQ793">
        <f>IF($AG793="","",TRIM(IF(COUNTIFS(Calc!$B$2:$B$1601,ROW()-1,Calc!$C$2:$C$1601,"&lt;1")&gt;0,"Ada PO tanpa Koli - cek TMP. ","")&amp;IF(LEN($R793)&gt;500,"R &gt; 500 karakter.","")))</f>
        <v/>
      </c>
    </row>
    <row r="794">
      <c r="A794">
        <f>IF($AG794="","",INDEX('TMP Paste'!$B$2:$B$1601,$AG794))</f>
        <v/>
      </c>
      <c r="B794">
        <f>IF($AG794="","",Config!$B$14)</f>
        <v/>
      </c>
      <c r="C794">
        <f>IF($AG794="","",Config!$B$15)</f>
        <v/>
      </c>
      <c r="D794">
        <f>IF($AG794="","",INDEX('TMP Paste'!$B$2:$B$1601,$AG794))</f>
        <v/>
      </c>
      <c r="E794">
        <f>IF($AG794="","",Config!$B$27)</f>
        <v/>
      </c>
      <c r="F794">
        <f>IF($AG794="","",Config!$B$9)</f>
        <v/>
      </c>
      <c r="G794">
        <f>IF($AG794="","",Config!$B$10)</f>
        <v/>
      </c>
      <c r="H794">
        <f>IF($AG794="","",Config!$B$11)</f>
        <v/>
      </c>
      <c r="I794">
        <f>IF($AG794="","",Config!$B$16)</f>
        <v/>
      </c>
      <c r="J794">
        <f>IF($AG794="","",INDEX('TMP Paste'!$A$2:$A$1601,$AG794))</f>
        <v/>
      </c>
      <c r="K794">
        <f>IF($AG794="","",INDEX('TMP Paste'!$L$2:$L$1601,$AG794))</f>
        <v/>
      </c>
      <c r="L794">
        <f>IF($AG794="","",INDEX('TMP Paste'!$I$2:$I$1601,$AG794))</f>
        <v/>
      </c>
      <c r="M794">
        <f>IF($AG794="","",Config!$B$16)</f>
        <v/>
      </c>
      <c r="N794">
        <f>IF($AG794="","","")</f>
        <v/>
      </c>
      <c r="O794">
        <f>IF($AG794="","",INDEX('TMP Paste'!$K$2:$K$1601,$AG794))</f>
        <v/>
      </c>
      <c r="P794">
        <f>IF($AG794="","","")</f>
        <v/>
      </c>
      <c r="Q794">
        <f>IF($AG794="","",INDEX('TMP Paste'!$J$2:$J$1601,$AG794))</f>
        <v/>
      </c>
      <c r="R794">
        <f>IF($AG794="","",Config!$B$24)</f>
        <v/>
      </c>
      <c r="S794">
        <f>IF($AG794="","",TEXT(Config!$B$4,"yyyy-mm-dd"))</f>
        <v/>
      </c>
      <c r="T794">
        <f>IF($AG794="","",Config!$B$17)</f>
        <v/>
      </c>
      <c r="U794">
        <f>IF($AG794="","",Config!$B$18)</f>
        <v/>
      </c>
      <c r="V794">
        <f>IF($AG794="","",Config!$B$19)</f>
        <v/>
      </c>
      <c r="W794">
        <f>IF($AG794="","",INDEX('TMP Paste'!$C$2:$C$1601,$AG794))</f>
        <v/>
      </c>
      <c r="X794">
        <f>IF($AG794="","",Config!$B$29)</f>
        <v/>
      </c>
      <c r="Y794">
        <f>IF($AH794="","",INDEX(Calc!$I$2:$I$1601,$AH794)&amp;" - "&amp;INDEX(Calc!$D$2:$D$1601,$AH794)&amp;" koli")</f>
        <v/>
      </c>
      <c r="Z794">
        <f>IF($AG794="","",Config!$B$21)</f>
        <v/>
      </c>
      <c r="AA794">
        <f>IF($AG794="","",Config!$B$22)</f>
        <v/>
      </c>
      <c r="AB794">
        <f>IF($AH794="","",INDEX(Calc!$D$2:$D$1601,$AH794))</f>
        <v/>
      </c>
      <c r="AC794">
        <f>IF($AH794="","",INDEX(Calc!$G$2:$G$1601,$AH794))</f>
        <v/>
      </c>
      <c r="AD794">
        <f>IF($AG794="","",Config!$B$23)</f>
        <v/>
      </c>
      <c r="AE794">
        <f>IF($AG794="","",Config!$B$28)</f>
        <v/>
      </c>
      <c r="AG794">
        <f>IFERROR(MATCH(ROW()-1,Calc!$J$2:$J$1601,0),"")</f>
        <v/>
      </c>
      <c r="AH794">
        <f>IFERROR(MATCH(ROW()-1,Calc!$K$2:$K$1601,0),"")</f>
        <v/>
      </c>
      <c r="AI794">
        <f>IF($AG794="","",SUMIF($AG$2:$AG794,$AG794,$AH$2:$AH794))</f>
        <v/>
      </c>
      <c r="AJ794">
        <f>IF('TMP Paste'!$F794="","",IF('TMP Paste'!$B794="",$AJ793,'TMP Paste'!$B794))</f>
        <v/>
      </c>
      <c r="AK794">
        <f>IF('TMP Paste'!$F794="","",N('TMP Paste'!$G794))</f>
        <v/>
      </c>
      <c r="AL794">
        <f>IF('TMP Paste'!$F794="","",IF('TMP Paste'!$M794="",$AL793,'TMP Paste'!$M794))</f>
        <v/>
      </c>
      <c r="AM794">
        <f>IF('TMP Paste'!$F794="","",IF('TMP Paste'!$N794="",$AM793,'TMP Paste'!$N794))</f>
        <v/>
      </c>
      <c r="AN794">
        <f>IF('TMP Paste'!$F794="","",IF('TMP Paste'!$O794="",$AN793,'TMP Paste'!$O794))</f>
        <v/>
      </c>
      <c r="AO794">
        <f>IF('TMP Paste'!$F794="","",IF('TMP Paste'!$P794="",$AO793,'TMP Paste'!$P794))</f>
        <v/>
      </c>
      <c r="AP794">
        <f>IF($AG794="","",LEN($R794))</f>
        <v/>
      </c>
      <c r="AQ794">
        <f>IF($AG794="","",TRIM(IF(COUNTIFS(Calc!$B$2:$B$1601,ROW()-1,Calc!$C$2:$C$1601,"&lt;1")&gt;0,"Ada PO tanpa Koli - cek TMP. ","")&amp;IF(LEN($R794)&gt;500,"R &gt; 500 karakter.","")))</f>
        <v/>
      </c>
    </row>
    <row r="795">
      <c r="A795">
        <f>IF($AG795="","",INDEX('TMP Paste'!$B$2:$B$1601,$AG795))</f>
        <v/>
      </c>
      <c r="B795">
        <f>IF($AG795="","",Config!$B$14)</f>
        <v/>
      </c>
      <c r="C795">
        <f>IF($AG795="","",Config!$B$15)</f>
        <v/>
      </c>
      <c r="D795">
        <f>IF($AG795="","",INDEX('TMP Paste'!$B$2:$B$1601,$AG795))</f>
        <v/>
      </c>
      <c r="E795">
        <f>IF($AG795="","",Config!$B$27)</f>
        <v/>
      </c>
      <c r="F795">
        <f>IF($AG795="","",Config!$B$9)</f>
        <v/>
      </c>
      <c r="G795">
        <f>IF($AG795="","",Config!$B$10)</f>
        <v/>
      </c>
      <c r="H795">
        <f>IF($AG795="","",Config!$B$11)</f>
        <v/>
      </c>
      <c r="I795">
        <f>IF($AG795="","",Config!$B$16)</f>
        <v/>
      </c>
      <c r="J795">
        <f>IF($AG795="","",INDEX('TMP Paste'!$A$2:$A$1601,$AG795))</f>
        <v/>
      </c>
      <c r="K795">
        <f>IF($AG795="","",INDEX('TMP Paste'!$L$2:$L$1601,$AG795))</f>
        <v/>
      </c>
      <c r="L795">
        <f>IF($AG795="","",INDEX('TMP Paste'!$I$2:$I$1601,$AG795))</f>
        <v/>
      </c>
      <c r="M795">
        <f>IF($AG795="","",Config!$B$16)</f>
        <v/>
      </c>
      <c r="N795">
        <f>IF($AG795="","","")</f>
        <v/>
      </c>
      <c r="O795">
        <f>IF($AG795="","",INDEX('TMP Paste'!$K$2:$K$1601,$AG795))</f>
        <v/>
      </c>
      <c r="P795">
        <f>IF($AG795="","","")</f>
        <v/>
      </c>
      <c r="Q795">
        <f>IF($AG795="","",INDEX('TMP Paste'!$J$2:$J$1601,$AG795))</f>
        <v/>
      </c>
      <c r="R795">
        <f>IF($AG795="","",Config!$B$24)</f>
        <v/>
      </c>
      <c r="S795">
        <f>IF($AG795="","",TEXT(Config!$B$4,"yyyy-mm-dd"))</f>
        <v/>
      </c>
      <c r="T795">
        <f>IF($AG795="","",Config!$B$17)</f>
        <v/>
      </c>
      <c r="U795">
        <f>IF($AG795="","",Config!$B$18)</f>
        <v/>
      </c>
      <c r="V795">
        <f>IF($AG795="","",Config!$B$19)</f>
        <v/>
      </c>
      <c r="W795">
        <f>IF($AG795="","",INDEX('TMP Paste'!$C$2:$C$1601,$AG795))</f>
        <v/>
      </c>
      <c r="X795">
        <f>IF($AG795="","",Config!$B$29)</f>
        <v/>
      </c>
      <c r="Y795">
        <f>IF($AH795="","",INDEX(Calc!$I$2:$I$1601,$AH795)&amp;" - "&amp;INDEX(Calc!$D$2:$D$1601,$AH795)&amp;" koli")</f>
        <v/>
      </c>
      <c r="Z795">
        <f>IF($AG795="","",Config!$B$21)</f>
        <v/>
      </c>
      <c r="AA795">
        <f>IF($AG795="","",Config!$B$22)</f>
        <v/>
      </c>
      <c r="AB795">
        <f>IF($AH795="","",INDEX(Calc!$D$2:$D$1601,$AH795))</f>
        <v/>
      </c>
      <c r="AC795">
        <f>IF($AH795="","",INDEX(Calc!$G$2:$G$1601,$AH795))</f>
        <v/>
      </c>
      <c r="AD795">
        <f>IF($AG795="","",Config!$B$23)</f>
        <v/>
      </c>
      <c r="AE795">
        <f>IF($AG795="","",Config!$B$28)</f>
        <v/>
      </c>
      <c r="AG795">
        <f>IFERROR(MATCH(ROW()-1,Calc!$J$2:$J$1601,0),"")</f>
        <v/>
      </c>
      <c r="AH795">
        <f>IFERROR(MATCH(ROW()-1,Calc!$K$2:$K$1601,0),"")</f>
        <v/>
      </c>
      <c r="AI795">
        <f>IF($AG795="","",SUMIF($AG$2:$AG795,$AG795,$AH$2:$AH795))</f>
        <v/>
      </c>
      <c r="AJ795">
        <f>IF('TMP Paste'!$F795="","",IF('TMP Paste'!$B795="",$AJ794,'TMP Paste'!$B795))</f>
        <v/>
      </c>
      <c r="AK795">
        <f>IF('TMP Paste'!$F795="","",N('TMP Paste'!$G795))</f>
        <v/>
      </c>
      <c r="AL795">
        <f>IF('TMP Paste'!$F795="","",IF('TMP Paste'!$M795="",$AL794,'TMP Paste'!$M795))</f>
        <v/>
      </c>
      <c r="AM795">
        <f>IF('TMP Paste'!$F795="","",IF('TMP Paste'!$N795="",$AM794,'TMP Paste'!$N795))</f>
        <v/>
      </c>
      <c r="AN795">
        <f>IF('TMP Paste'!$F795="","",IF('TMP Paste'!$O795="",$AN794,'TMP Paste'!$O795))</f>
        <v/>
      </c>
      <c r="AO795">
        <f>IF('TMP Paste'!$F795="","",IF('TMP Paste'!$P795="",$AO794,'TMP Paste'!$P795))</f>
        <v/>
      </c>
      <c r="AP795">
        <f>IF($AG795="","",LEN($R795))</f>
        <v/>
      </c>
      <c r="AQ795">
        <f>IF($AG795="","",TRIM(IF(COUNTIFS(Calc!$B$2:$B$1601,ROW()-1,Calc!$C$2:$C$1601,"&lt;1")&gt;0,"Ada PO tanpa Koli - cek TMP. ","")&amp;IF(LEN($R795)&gt;500,"R &gt; 500 karakter.","")))</f>
        <v/>
      </c>
    </row>
    <row r="796">
      <c r="A796">
        <f>IF($AG796="","",INDEX('TMP Paste'!$B$2:$B$1601,$AG796))</f>
        <v/>
      </c>
      <c r="B796">
        <f>IF($AG796="","",Config!$B$14)</f>
        <v/>
      </c>
      <c r="C796">
        <f>IF($AG796="","",Config!$B$15)</f>
        <v/>
      </c>
      <c r="D796">
        <f>IF($AG796="","",INDEX('TMP Paste'!$B$2:$B$1601,$AG796))</f>
        <v/>
      </c>
      <c r="E796">
        <f>IF($AG796="","",Config!$B$27)</f>
        <v/>
      </c>
      <c r="F796">
        <f>IF($AG796="","",Config!$B$9)</f>
        <v/>
      </c>
      <c r="G796">
        <f>IF($AG796="","",Config!$B$10)</f>
        <v/>
      </c>
      <c r="H796">
        <f>IF($AG796="","",Config!$B$11)</f>
        <v/>
      </c>
      <c r="I796">
        <f>IF($AG796="","",Config!$B$16)</f>
        <v/>
      </c>
      <c r="J796">
        <f>IF($AG796="","",INDEX('TMP Paste'!$A$2:$A$1601,$AG796))</f>
        <v/>
      </c>
      <c r="K796">
        <f>IF($AG796="","",INDEX('TMP Paste'!$L$2:$L$1601,$AG796))</f>
        <v/>
      </c>
      <c r="L796">
        <f>IF($AG796="","",INDEX('TMP Paste'!$I$2:$I$1601,$AG796))</f>
        <v/>
      </c>
      <c r="M796">
        <f>IF($AG796="","",Config!$B$16)</f>
        <v/>
      </c>
      <c r="N796">
        <f>IF($AG796="","","")</f>
        <v/>
      </c>
      <c r="O796">
        <f>IF($AG796="","",INDEX('TMP Paste'!$K$2:$K$1601,$AG796))</f>
        <v/>
      </c>
      <c r="P796">
        <f>IF($AG796="","","")</f>
        <v/>
      </c>
      <c r="Q796">
        <f>IF($AG796="","",INDEX('TMP Paste'!$J$2:$J$1601,$AG796))</f>
        <v/>
      </c>
      <c r="R796">
        <f>IF($AG796="","",Config!$B$24)</f>
        <v/>
      </c>
      <c r="S796">
        <f>IF($AG796="","",TEXT(Config!$B$4,"yyyy-mm-dd"))</f>
        <v/>
      </c>
      <c r="T796">
        <f>IF($AG796="","",Config!$B$17)</f>
        <v/>
      </c>
      <c r="U796">
        <f>IF($AG796="","",Config!$B$18)</f>
        <v/>
      </c>
      <c r="V796">
        <f>IF($AG796="","",Config!$B$19)</f>
        <v/>
      </c>
      <c r="W796">
        <f>IF($AG796="","",INDEX('TMP Paste'!$C$2:$C$1601,$AG796))</f>
        <v/>
      </c>
      <c r="X796">
        <f>IF($AG796="","",Config!$B$29)</f>
        <v/>
      </c>
      <c r="Y796">
        <f>IF($AH796="","",INDEX(Calc!$I$2:$I$1601,$AH796)&amp;" - "&amp;INDEX(Calc!$D$2:$D$1601,$AH796)&amp;" koli")</f>
        <v/>
      </c>
      <c r="Z796">
        <f>IF($AG796="","",Config!$B$21)</f>
        <v/>
      </c>
      <c r="AA796">
        <f>IF($AG796="","",Config!$B$22)</f>
        <v/>
      </c>
      <c r="AB796">
        <f>IF($AH796="","",INDEX(Calc!$D$2:$D$1601,$AH796))</f>
        <v/>
      </c>
      <c r="AC796">
        <f>IF($AH796="","",INDEX(Calc!$G$2:$G$1601,$AH796))</f>
        <v/>
      </c>
      <c r="AD796">
        <f>IF($AG796="","",Config!$B$23)</f>
        <v/>
      </c>
      <c r="AE796">
        <f>IF($AG796="","",Config!$B$28)</f>
        <v/>
      </c>
      <c r="AG796">
        <f>IFERROR(MATCH(ROW()-1,Calc!$J$2:$J$1601,0),"")</f>
        <v/>
      </c>
      <c r="AH796">
        <f>IFERROR(MATCH(ROW()-1,Calc!$K$2:$K$1601,0),"")</f>
        <v/>
      </c>
      <c r="AI796">
        <f>IF($AG796="","",SUMIF($AG$2:$AG796,$AG796,$AH$2:$AH796))</f>
        <v/>
      </c>
      <c r="AJ796">
        <f>IF('TMP Paste'!$F796="","",IF('TMP Paste'!$B796="",$AJ795,'TMP Paste'!$B796))</f>
        <v/>
      </c>
      <c r="AK796">
        <f>IF('TMP Paste'!$F796="","",N('TMP Paste'!$G796))</f>
        <v/>
      </c>
      <c r="AL796">
        <f>IF('TMP Paste'!$F796="","",IF('TMP Paste'!$M796="",$AL795,'TMP Paste'!$M796))</f>
        <v/>
      </c>
      <c r="AM796">
        <f>IF('TMP Paste'!$F796="","",IF('TMP Paste'!$N796="",$AM795,'TMP Paste'!$N796))</f>
        <v/>
      </c>
      <c r="AN796">
        <f>IF('TMP Paste'!$F796="","",IF('TMP Paste'!$O796="",$AN795,'TMP Paste'!$O796))</f>
        <v/>
      </c>
      <c r="AO796">
        <f>IF('TMP Paste'!$F796="","",IF('TMP Paste'!$P796="",$AO795,'TMP Paste'!$P796))</f>
        <v/>
      </c>
      <c r="AP796">
        <f>IF($AG796="","",LEN($R796))</f>
        <v/>
      </c>
      <c r="AQ796">
        <f>IF($AG796="","",TRIM(IF(COUNTIFS(Calc!$B$2:$B$1601,ROW()-1,Calc!$C$2:$C$1601,"&lt;1")&gt;0,"Ada PO tanpa Koli - cek TMP. ","")&amp;IF(LEN($R796)&gt;500,"R &gt; 500 karakter.","")))</f>
        <v/>
      </c>
    </row>
    <row r="797">
      <c r="A797">
        <f>IF($AG797="","",INDEX('TMP Paste'!$B$2:$B$1601,$AG797))</f>
        <v/>
      </c>
      <c r="B797">
        <f>IF($AG797="","",Config!$B$14)</f>
        <v/>
      </c>
      <c r="C797">
        <f>IF($AG797="","",Config!$B$15)</f>
        <v/>
      </c>
      <c r="D797">
        <f>IF($AG797="","",INDEX('TMP Paste'!$B$2:$B$1601,$AG797))</f>
        <v/>
      </c>
      <c r="E797">
        <f>IF($AG797="","",Config!$B$27)</f>
        <v/>
      </c>
      <c r="F797">
        <f>IF($AG797="","",Config!$B$9)</f>
        <v/>
      </c>
      <c r="G797">
        <f>IF($AG797="","",Config!$B$10)</f>
        <v/>
      </c>
      <c r="H797">
        <f>IF($AG797="","",Config!$B$11)</f>
        <v/>
      </c>
      <c r="I797">
        <f>IF($AG797="","",Config!$B$16)</f>
        <v/>
      </c>
      <c r="J797">
        <f>IF($AG797="","",INDEX('TMP Paste'!$A$2:$A$1601,$AG797))</f>
        <v/>
      </c>
      <c r="K797">
        <f>IF($AG797="","",INDEX('TMP Paste'!$L$2:$L$1601,$AG797))</f>
        <v/>
      </c>
      <c r="L797">
        <f>IF($AG797="","",INDEX('TMP Paste'!$I$2:$I$1601,$AG797))</f>
        <v/>
      </c>
      <c r="M797">
        <f>IF($AG797="","",Config!$B$16)</f>
        <v/>
      </c>
      <c r="N797">
        <f>IF($AG797="","","")</f>
        <v/>
      </c>
      <c r="O797">
        <f>IF($AG797="","",INDEX('TMP Paste'!$K$2:$K$1601,$AG797))</f>
        <v/>
      </c>
      <c r="P797">
        <f>IF($AG797="","","")</f>
        <v/>
      </c>
      <c r="Q797">
        <f>IF($AG797="","",INDEX('TMP Paste'!$J$2:$J$1601,$AG797))</f>
        <v/>
      </c>
      <c r="R797">
        <f>IF($AG797="","",Config!$B$24)</f>
        <v/>
      </c>
      <c r="S797">
        <f>IF($AG797="","",TEXT(Config!$B$4,"yyyy-mm-dd"))</f>
        <v/>
      </c>
      <c r="T797">
        <f>IF($AG797="","",Config!$B$17)</f>
        <v/>
      </c>
      <c r="U797">
        <f>IF($AG797="","",Config!$B$18)</f>
        <v/>
      </c>
      <c r="V797">
        <f>IF($AG797="","",Config!$B$19)</f>
        <v/>
      </c>
      <c r="W797">
        <f>IF($AG797="","",INDEX('TMP Paste'!$C$2:$C$1601,$AG797))</f>
        <v/>
      </c>
      <c r="X797">
        <f>IF($AG797="","",Config!$B$29)</f>
        <v/>
      </c>
      <c r="Y797">
        <f>IF($AH797="","",INDEX(Calc!$I$2:$I$1601,$AH797)&amp;" - "&amp;INDEX(Calc!$D$2:$D$1601,$AH797)&amp;" koli")</f>
        <v/>
      </c>
      <c r="Z797">
        <f>IF($AG797="","",Config!$B$21)</f>
        <v/>
      </c>
      <c r="AA797">
        <f>IF($AG797="","",Config!$B$22)</f>
        <v/>
      </c>
      <c r="AB797">
        <f>IF($AH797="","",INDEX(Calc!$D$2:$D$1601,$AH797))</f>
        <v/>
      </c>
      <c r="AC797">
        <f>IF($AH797="","",INDEX(Calc!$G$2:$G$1601,$AH797))</f>
        <v/>
      </c>
      <c r="AD797">
        <f>IF($AG797="","",Config!$B$23)</f>
        <v/>
      </c>
      <c r="AE797">
        <f>IF($AG797="","",Config!$B$28)</f>
        <v/>
      </c>
      <c r="AG797">
        <f>IFERROR(MATCH(ROW()-1,Calc!$J$2:$J$1601,0),"")</f>
        <v/>
      </c>
      <c r="AH797">
        <f>IFERROR(MATCH(ROW()-1,Calc!$K$2:$K$1601,0),"")</f>
        <v/>
      </c>
      <c r="AI797">
        <f>IF($AG797="","",SUMIF($AG$2:$AG797,$AG797,$AH$2:$AH797))</f>
        <v/>
      </c>
      <c r="AJ797">
        <f>IF('TMP Paste'!$F797="","",IF('TMP Paste'!$B797="",$AJ796,'TMP Paste'!$B797))</f>
        <v/>
      </c>
      <c r="AK797">
        <f>IF('TMP Paste'!$F797="","",N('TMP Paste'!$G797))</f>
        <v/>
      </c>
      <c r="AL797">
        <f>IF('TMP Paste'!$F797="","",IF('TMP Paste'!$M797="",$AL796,'TMP Paste'!$M797))</f>
        <v/>
      </c>
      <c r="AM797">
        <f>IF('TMP Paste'!$F797="","",IF('TMP Paste'!$N797="",$AM796,'TMP Paste'!$N797))</f>
        <v/>
      </c>
      <c r="AN797">
        <f>IF('TMP Paste'!$F797="","",IF('TMP Paste'!$O797="",$AN796,'TMP Paste'!$O797))</f>
        <v/>
      </c>
      <c r="AO797">
        <f>IF('TMP Paste'!$F797="","",IF('TMP Paste'!$P797="",$AO796,'TMP Paste'!$P797))</f>
        <v/>
      </c>
      <c r="AP797">
        <f>IF($AG797="","",LEN($R797))</f>
        <v/>
      </c>
      <c r="AQ797">
        <f>IF($AG797="","",TRIM(IF(COUNTIFS(Calc!$B$2:$B$1601,ROW()-1,Calc!$C$2:$C$1601,"&lt;1")&gt;0,"Ada PO tanpa Koli - cek TMP. ","")&amp;IF(LEN($R797)&gt;500,"R &gt; 500 karakter.","")))</f>
        <v/>
      </c>
    </row>
    <row r="798">
      <c r="A798">
        <f>IF($AG798="","",INDEX('TMP Paste'!$B$2:$B$1601,$AG798))</f>
        <v/>
      </c>
      <c r="B798">
        <f>IF($AG798="","",Config!$B$14)</f>
        <v/>
      </c>
      <c r="C798">
        <f>IF($AG798="","",Config!$B$15)</f>
        <v/>
      </c>
      <c r="D798">
        <f>IF($AG798="","",INDEX('TMP Paste'!$B$2:$B$1601,$AG798))</f>
        <v/>
      </c>
      <c r="E798">
        <f>IF($AG798="","",Config!$B$27)</f>
        <v/>
      </c>
      <c r="F798">
        <f>IF($AG798="","",Config!$B$9)</f>
        <v/>
      </c>
      <c r="G798">
        <f>IF($AG798="","",Config!$B$10)</f>
        <v/>
      </c>
      <c r="H798">
        <f>IF($AG798="","",Config!$B$11)</f>
        <v/>
      </c>
      <c r="I798">
        <f>IF($AG798="","",Config!$B$16)</f>
        <v/>
      </c>
      <c r="J798">
        <f>IF($AG798="","",INDEX('TMP Paste'!$A$2:$A$1601,$AG798))</f>
        <v/>
      </c>
      <c r="K798">
        <f>IF($AG798="","",INDEX('TMP Paste'!$L$2:$L$1601,$AG798))</f>
        <v/>
      </c>
      <c r="L798">
        <f>IF($AG798="","",INDEX('TMP Paste'!$I$2:$I$1601,$AG798))</f>
        <v/>
      </c>
      <c r="M798">
        <f>IF($AG798="","",Config!$B$16)</f>
        <v/>
      </c>
      <c r="N798">
        <f>IF($AG798="","","")</f>
        <v/>
      </c>
      <c r="O798">
        <f>IF($AG798="","",INDEX('TMP Paste'!$K$2:$K$1601,$AG798))</f>
        <v/>
      </c>
      <c r="P798">
        <f>IF($AG798="","","")</f>
        <v/>
      </c>
      <c r="Q798">
        <f>IF($AG798="","",INDEX('TMP Paste'!$J$2:$J$1601,$AG798))</f>
        <v/>
      </c>
      <c r="R798">
        <f>IF($AG798="","",Config!$B$24)</f>
        <v/>
      </c>
      <c r="S798">
        <f>IF($AG798="","",TEXT(Config!$B$4,"yyyy-mm-dd"))</f>
        <v/>
      </c>
      <c r="T798">
        <f>IF($AG798="","",Config!$B$17)</f>
        <v/>
      </c>
      <c r="U798">
        <f>IF($AG798="","",Config!$B$18)</f>
        <v/>
      </c>
      <c r="V798">
        <f>IF($AG798="","",Config!$B$19)</f>
        <v/>
      </c>
      <c r="W798">
        <f>IF($AG798="","",INDEX('TMP Paste'!$C$2:$C$1601,$AG798))</f>
        <v/>
      </c>
      <c r="X798">
        <f>IF($AG798="","",Config!$B$29)</f>
        <v/>
      </c>
      <c r="Y798">
        <f>IF($AH798="","",INDEX(Calc!$I$2:$I$1601,$AH798)&amp;" - "&amp;INDEX(Calc!$D$2:$D$1601,$AH798)&amp;" koli")</f>
        <v/>
      </c>
      <c r="Z798">
        <f>IF($AG798="","",Config!$B$21)</f>
        <v/>
      </c>
      <c r="AA798">
        <f>IF($AG798="","",Config!$B$22)</f>
        <v/>
      </c>
      <c r="AB798">
        <f>IF($AH798="","",INDEX(Calc!$D$2:$D$1601,$AH798))</f>
        <v/>
      </c>
      <c r="AC798">
        <f>IF($AH798="","",INDEX(Calc!$G$2:$G$1601,$AH798))</f>
        <v/>
      </c>
      <c r="AD798">
        <f>IF($AG798="","",Config!$B$23)</f>
        <v/>
      </c>
      <c r="AE798">
        <f>IF($AG798="","",Config!$B$28)</f>
        <v/>
      </c>
      <c r="AG798">
        <f>IFERROR(MATCH(ROW()-1,Calc!$J$2:$J$1601,0),"")</f>
        <v/>
      </c>
      <c r="AH798">
        <f>IFERROR(MATCH(ROW()-1,Calc!$K$2:$K$1601,0),"")</f>
        <v/>
      </c>
      <c r="AI798">
        <f>IF($AG798="","",SUMIF($AG$2:$AG798,$AG798,$AH$2:$AH798))</f>
        <v/>
      </c>
      <c r="AJ798">
        <f>IF('TMP Paste'!$F798="","",IF('TMP Paste'!$B798="",$AJ797,'TMP Paste'!$B798))</f>
        <v/>
      </c>
      <c r="AK798">
        <f>IF('TMP Paste'!$F798="","",N('TMP Paste'!$G798))</f>
        <v/>
      </c>
      <c r="AL798">
        <f>IF('TMP Paste'!$F798="","",IF('TMP Paste'!$M798="",$AL797,'TMP Paste'!$M798))</f>
        <v/>
      </c>
      <c r="AM798">
        <f>IF('TMP Paste'!$F798="","",IF('TMP Paste'!$N798="",$AM797,'TMP Paste'!$N798))</f>
        <v/>
      </c>
      <c r="AN798">
        <f>IF('TMP Paste'!$F798="","",IF('TMP Paste'!$O798="",$AN797,'TMP Paste'!$O798))</f>
        <v/>
      </c>
      <c r="AO798">
        <f>IF('TMP Paste'!$F798="","",IF('TMP Paste'!$P798="",$AO797,'TMP Paste'!$P798))</f>
        <v/>
      </c>
      <c r="AP798">
        <f>IF($AG798="","",LEN($R798))</f>
        <v/>
      </c>
      <c r="AQ798">
        <f>IF($AG798="","",TRIM(IF(COUNTIFS(Calc!$B$2:$B$1601,ROW()-1,Calc!$C$2:$C$1601,"&lt;1")&gt;0,"Ada PO tanpa Koli - cek TMP. ","")&amp;IF(LEN($R798)&gt;500,"R &gt; 500 karakter.","")))</f>
        <v/>
      </c>
    </row>
    <row r="799">
      <c r="A799">
        <f>IF($AG799="","",INDEX('TMP Paste'!$B$2:$B$1601,$AG799))</f>
        <v/>
      </c>
      <c r="B799">
        <f>IF($AG799="","",Config!$B$14)</f>
        <v/>
      </c>
      <c r="C799">
        <f>IF($AG799="","",Config!$B$15)</f>
        <v/>
      </c>
      <c r="D799">
        <f>IF($AG799="","",INDEX('TMP Paste'!$B$2:$B$1601,$AG799))</f>
        <v/>
      </c>
      <c r="E799">
        <f>IF($AG799="","",Config!$B$27)</f>
        <v/>
      </c>
      <c r="F799">
        <f>IF($AG799="","",Config!$B$9)</f>
        <v/>
      </c>
      <c r="G799">
        <f>IF($AG799="","",Config!$B$10)</f>
        <v/>
      </c>
      <c r="H799">
        <f>IF($AG799="","",Config!$B$11)</f>
        <v/>
      </c>
      <c r="I799">
        <f>IF($AG799="","",Config!$B$16)</f>
        <v/>
      </c>
      <c r="J799">
        <f>IF($AG799="","",INDEX('TMP Paste'!$A$2:$A$1601,$AG799))</f>
        <v/>
      </c>
      <c r="K799">
        <f>IF($AG799="","",INDEX('TMP Paste'!$L$2:$L$1601,$AG799))</f>
        <v/>
      </c>
      <c r="L799">
        <f>IF($AG799="","",INDEX('TMP Paste'!$I$2:$I$1601,$AG799))</f>
        <v/>
      </c>
      <c r="M799">
        <f>IF($AG799="","",Config!$B$16)</f>
        <v/>
      </c>
      <c r="N799">
        <f>IF($AG799="","","")</f>
        <v/>
      </c>
      <c r="O799">
        <f>IF($AG799="","",INDEX('TMP Paste'!$K$2:$K$1601,$AG799))</f>
        <v/>
      </c>
      <c r="P799">
        <f>IF($AG799="","","")</f>
        <v/>
      </c>
      <c r="Q799">
        <f>IF($AG799="","",INDEX('TMP Paste'!$J$2:$J$1601,$AG799))</f>
        <v/>
      </c>
      <c r="R799">
        <f>IF($AG799="","",Config!$B$24)</f>
        <v/>
      </c>
      <c r="S799">
        <f>IF($AG799="","",TEXT(Config!$B$4,"yyyy-mm-dd"))</f>
        <v/>
      </c>
      <c r="T799">
        <f>IF($AG799="","",Config!$B$17)</f>
        <v/>
      </c>
      <c r="U799">
        <f>IF($AG799="","",Config!$B$18)</f>
        <v/>
      </c>
      <c r="V799">
        <f>IF($AG799="","",Config!$B$19)</f>
        <v/>
      </c>
      <c r="W799">
        <f>IF($AG799="","",INDEX('TMP Paste'!$C$2:$C$1601,$AG799))</f>
        <v/>
      </c>
      <c r="X799">
        <f>IF($AG799="","",Config!$B$29)</f>
        <v/>
      </c>
      <c r="Y799">
        <f>IF($AH799="","",INDEX(Calc!$I$2:$I$1601,$AH799)&amp;" - "&amp;INDEX(Calc!$D$2:$D$1601,$AH799)&amp;" koli")</f>
        <v/>
      </c>
      <c r="Z799">
        <f>IF($AG799="","",Config!$B$21)</f>
        <v/>
      </c>
      <c r="AA799">
        <f>IF($AG799="","",Config!$B$22)</f>
        <v/>
      </c>
      <c r="AB799">
        <f>IF($AH799="","",INDEX(Calc!$D$2:$D$1601,$AH799))</f>
        <v/>
      </c>
      <c r="AC799">
        <f>IF($AH799="","",INDEX(Calc!$G$2:$G$1601,$AH799))</f>
        <v/>
      </c>
      <c r="AD799">
        <f>IF($AG799="","",Config!$B$23)</f>
        <v/>
      </c>
      <c r="AE799">
        <f>IF($AG799="","",Config!$B$28)</f>
        <v/>
      </c>
      <c r="AG799">
        <f>IFERROR(MATCH(ROW()-1,Calc!$J$2:$J$1601,0),"")</f>
        <v/>
      </c>
      <c r="AH799">
        <f>IFERROR(MATCH(ROW()-1,Calc!$K$2:$K$1601,0),"")</f>
        <v/>
      </c>
      <c r="AI799">
        <f>IF($AG799="","",SUMIF($AG$2:$AG799,$AG799,$AH$2:$AH799))</f>
        <v/>
      </c>
      <c r="AJ799">
        <f>IF('TMP Paste'!$F799="","",IF('TMP Paste'!$B799="",$AJ798,'TMP Paste'!$B799))</f>
        <v/>
      </c>
      <c r="AK799">
        <f>IF('TMP Paste'!$F799="","",N('TMP Paste'!$G799))</f>
        <v/>
      </c>
      <c r="AL799">
        <f>IF('TMP Paste'!$F799="","",IF('TMP Paste'!$M799="",$AL798,'TMP Paste'!$M799))</f>
        <v/>
      </c>
      <c r="AM799">
        <f>IF('TMP Paste'!$F799="","",IF('TMP Paste'!$N799="",$AM798,'TMP Paste'!$N799))</f>
        <v/>
      </c>
      <c r="AN799">
        <f>IF('TMP Paste'!$F799="","",IF('TMP Paste'!$O799="",$AN798,'TMP Paste'!$O799))</f>
        <v/>
      </c>
      <c r="AO799">
        <f>IF('TMP Paste'!$F799="","",IF('TMP Paste'!$P799="",$AO798,'TMP Paste'!$P799))</f>
        <v/>
      </c>
      <c r="AP799">
        <f>IF($AG799="","",LEN($R799))</f>
        <v/>
      </c>
      <c r="AQ799">
        <f>IF($AG799="","",TRIM(IF(COUNTIFS(Calc!$B$2:$B$1601,ROW()-1,Calc!$C$2:$C$1601,"&lt;1")&gt;0,"Ada PO tanpa Koli - cek TMP. ","")&amp;IF(LEN($R799)&gt;500,"R &gt; 500 karakter.","")))</f>
        <v/>
      </c>
    </row>
    <row r="800">
      <c r="A800">
        <f>IF($AG800="","",INDEX('TMP Paste'!$B$2:$B$1601,$AG800))</f>
        <v/>
      </c>
      <c r="B800">
        <f>IF($AG800="","",Config!$B$14)</f>
        <v/>
      </c>
      <c r="C800">
        <f>IF($AG800="","",Config!$B$15)</f>
        <v/>
      </c>
      <c r="D800">
        <f>IF($AG800="","",INDEX('TMP Paste'!$B$2:$B$1601,$AG800))</f>
        <v/>
      </c>
      <c r="E800">
        <f>IF($AG800="","",Config!$B$27)</f>
        <v/>
      </c>
      <c r="F800">
        <f>IF($AG800="","",Config!$B$9)</f>
        <v/>
      </c>
      <c r="G800">
        <f>IF($AG800="","",Config!$B$10)</f>
        <v/>
      </c>
      <c r="H800">
        <f>IF($AG800="","",Config!$B$11)</f>
        <v/>
      </c>
      <c r="I800">
        <f>IF($AG800="","",Config!$B$16)</f>
        <v/>
      </c>
      <c r="J800">
        <f>IF($AG800="","",INDEX('TMP Paste'!$A$2:$A$1601,$AG800))</f>
        <v/>
      </c>
      <c r="K800">
        <f>IF($AG800="","",INDEX('TMP Paste'!$L$2:$L$1601,$AG800))</f>
        <v/>
      </c>
      <c r="L800">
        <f>IF($AG800="","",INDEX('TMP Paste'!$I$2:$I$1601,$AG800))</f>
        <v/>
      </c>
      <c r="M800">
        <f>IF($AG800="","",Config!$B$16)</f>
        <v/>
      </c>
      <c r="N800">
        <f>IF($AG800="","","")</f>
        <v/>
      </c>
      <c r="O800">
        <f>IF($AG800="","",INDEX('TMP Paste'!$K$2:$K$1601,$AG800))</f>
        <v/>
      </c>
      <c r="P800">
        <f>IF($AG800="","","")</f>
        <v/>
      </c>
      <c r="Q800">
        <f>IF($AG800="","",INDEX('TMP Paste'!$J$2:$J$1601,$AG800))</f>
        <v/>
      </c>
      <c r="R800">
        <f>IF($AG800="","",Config!$B$24)</f>
        <v/>
      </c>
      <c r="S800">
        <f>IF($AG800="","",TEXT(Config!$B$4,"yyyy-mm-dd"))</f>
        <v/>
      </c>
      <c r="T800">
        <f>IF($AG800="","",Config!$B$17)</f>
        <v/>
      </c>
      <c r="U800">
        <f>IF($AG800="","",Config!$B$18)</f>
        <v/>
      </c>
      <c r="V800">
        <f>IF($AG800="","",Config!$B$19)</f>
        <v/>
      </c>
      <c r="W800">
        <f>IF($AG800="","",INDEX('TMP Paste'!$C$2:$C$1601,$AG800))</f>
        <v/>
      </c>
      <c r="X800">
        <f>IF($AG800="","",Config!$B$29)</f>
        <v/>
      </c>
      <c r="Y800">
        <f>IF($AH800="","",INDEX(Calc!$I$2:$I$1601,$AH800)&amp;" - "&amp;INDEX(Calc!$D$2:$D$1601,$AH800)&amp;" koli")</f>
        <v/>
      </c>
      <c r="Z800">
        <f>IF($AG800="","",Config!$B$21)</f>
        <v/>
      </c>
      <c r="AA800">
        <f>IF($AG800="","",Config!$B$22)</f>
        <v/>
      </c>
      <c r="AB800">
        <f>IF($AH800="","",INDEX(Calc!$D$2:$D$1601,$AH800))</f>
        <v/>
      </c>
      <c r="AC800">
        <f>IF($AH800="","",INDEX(Calc!$G$2:$G$1601,$AH800))</f>
        <v/>
      </c>
      <c r="AD800">
        <f>IF($AG800="","",Config!$B$23)</f>
        <v/>
      </c>
      <c r="AE800">
        <f>IF($AG800="","",Config!$B$28)</f>
        <v/>
      </c>
      <c r="AG800">
        <f>IFERROR(MATCH(ROW()-1,Calc!$J$2:$J$1601,0),"")</f>
        <v/>
      </c>
      <c r="AH800">
        <f>IFERROR(MATCH(ROW()-1,Calc!$K$2:$K$1601,0),"")</f>
        <v/>
      </c>
      <c r="AI800">
        <f>IF($AG800="","",SUMIF($AG$2:$AG800,$AG800,$AH$2:$AH800))</f>
        <v/>
      </c>
      <c r="AJ800">
        <f>IF('TMP Paste'!$F800="","",IF('TMP Paste'!$B800="",$AJ799,'TMP Paste'!$B800))</f>
        <v/>
      </c>
      <c r="AK800">
        <f>IF('TMP Paste'!$F800="","",N('TMP Paste'!$G800))</f>
        <v/>
      </c>
      <c r="AL800">
        <f>IF('TMP Paste'!$F800="","",IF('TMP Paste'!$M800="",$AL799,'TMP Paste'!$M800))</f>
        <v/>
      </c>
      <c r="AM800">
        <f>IF('TMP Paste'!$F800="","",IF('TMP Paste'!$N800="",$AM799,'TMP Paste'!$N800))</f>
        <v/>
      </c>
      <c r="AN800">
        <f>IF('TMP Paste'!$F800="","",IF('TMP Paste'!$O800="",$AN799,'TMP Paste'!$O800))</f>
        <v/>
      </c>
      <c r="AO800">
        <f>IF('TMP Paste'!$F800="","",IF('TMP Paste'!$P800="",$AO799,'TMP Paste'!$P800))</f>
        <v/>
      </c>
      <c r="AP800">
        <f>IF($AG800="","",LEN($R800))</f>
        <v/>
      </c>
      <c r="AQ800">
        <f>IF($AG800="","",TRIM(IF(COUNTIFS(Calc!$B$2:$B$1601,ROW()-1,Calc!$C$2:$C$1601,"&lt;1")&gt;0,"Ada PO tanpa Koli - cek TMP. ","")&amp;IF(LEN($R800)&gt;500,"R &gt; 500 karakter.","")))</f>
        <v/>
      </c>
    </row>
    <row r="801">
      <c r="A801">
        <f>IF($AG801="","",INDEX('TMP Paste'!$B$2:$B$1601,$AG801))</f>
        <v/>
      </c>
      <c r="B801">
        <f>IF($AG801="","",Config!$B$14)</f>
        <v/>
      </c>
      <c r="C801">
        <f>IF($AG801="","",Config!$B$15)</f>
        <v/>
      </c>
      <c r="D801">
        <f>IF($AG801="","",INDEX('TMP Paste'!$B$2:$B$1601,$AG801))</f>
        <v/>
      </c>
      <c r="E801">
        <f>IF($AG801="","",Config!$B$27)</f>
        <v/>
      </c>
      <c r="F801">
        <f>IF($AG801="","",Config!$B$9)</f>
        <v/>
      </c>
      <c r="G801">
        <f>IF($AG801="","",Config!$B$10)</f>
        <v/>
      </c>
      <c r="H801">
        <f>IF($AG801="","",Config!$B$11)</f>
        <v/>
      </c>
      <c r="I801">
        <f>IF($AG801="","",Config!$B$16)</f>
        <v/>
      </c>
      <c r="J801">
        <f>IF($AG801="","",INDEX('TMP Paste'!$A$2:$A$1601,$AG801))</f>
        <v/>
      </c>
      <c r="K801">
        <f>IF($AG801="","",INDEX('TMP Paste'!$L$2:$L$1601,$AG801))</f>
        <v/>
      </c>
      <c r="L801">
        <f>IF($AG801="","",INDEX('TMP Paste'!$I$2:$I$1601,$AG801))</f>
        <v/>
      </c>
      <c r="M801">
        <f>IF($AG801="","",Config!$B$16)</f>
        <v/>
      </c>
      <c r="N801">
        <f>IF($AG801="","","")</f>
        <v/>
      </c>
      <c r="O801">
        <f>IF($AG801="","",INDEX('TMP Paste'!$K$2:$K$1601,$AG801))</f>
        <v/>
      </c>
      <c r="P801">
        <f>IF($AG801="","","")</f>
        <v/>
      </c>
      <c r="Q801">
        <f>IF($AG801="","",INDEX('TMP Paste'!$J$2:$J$1601,$AG801))</f>
        <v/>
      </c>
      <c r="R801">
        <f>IF($AG801="","",Config!$B$24)</f>
        <v/>
      </c>
      <c r="S801">
        <f>IF($AG801="","",TEXT(Config!$B$4,"yyyy-mm-dd"))</f>
        <v/>
      </c>
      <c r="T801">
        <f>IF($AG801="","",Config!$B$17)</f>
        <v/>
      </c>
      <c r="U801">
        <f>IF($AG801="","",Config!$B$18)</f>
        <v/>
      </c>
      <c r="V801">
        <f>IF($AG801="","",Config!$B$19)</f>
        <v/>
      </c>
      <c r="W801">
        <f>IF($AG801="","",INDEX('TMP Paste'!$C$2:$C$1601,$AG801))</f>
        <v/>
      </c>
      <c r="X801">
        <f>IF($AG801="","",Config!$B$29)</f>
        <v/>
      </c>
      <c r="Y801">
        <f>IF($AH801="","",INDEX(Calc!$I$2:$I$1601,$AH801)&amp;" - "&amp;INDEX(Calc!$D$2:$D$1601,$AH801)&amp;" koli")</f>
        <v/>
      </c>
      <c r="Z801">
        <f>IF($AG801="","",Config!$B$21)</f>
        <v/>
      </c>
      <c r="AA801">
        <f>IF($AG801="","",Config!$B$22)</f>
        <v/>
      </c>
      <c r="AB801">
        <f>IF($AH801="","",INDEX(Calc!$D$2:$D$1601,$AH801))</f>
        <v/>
      </c>
      <c r="AC801">
        <f>IF($AH801="","",INDEX(Calc!$G$2:$G$1601,$AH801))</f>
        <v/>
      </c>
      <c r="AD801">
        <f>IF($AG801="","",Config!$B$23)</f>
        <v/>
      </c>
      <c r="AE801">
        <f>IF($AG801="","",Config!$B$28)</f>
        <v/>
      </c>
      <c r="AG801">
        <f>IFERROR(MATCH(ROW()-1,Calc!$J$2:$J$1601,0),"")</f>
        <v/>
      </c>
      <c r="AH801">
        <f>IFERROR(MATCH(ROW()-1,Calc!$K$2:$K$1601,0),"")</f>
        <v/>
      </c>
      <c r="AI801">
        <f>IF($AG801="","",SUMIF($AG$2:$AG801,$AG801,$AH$2:$AH801))</f>
        <v/>
      </c>
      <c r="AJ801">
        <f>IF('TMP Paste'!$F801="","",IF('TMP Paste'!$B801="",$AJ800,'TMP Paste'!$B801))</f>
        <v/>
      </c>
      <c r="AK801">
        <f>IF('TMP Paste'!$F801="","",N('TMP Paste'!$G801))</f>
        <v/>
      </c>
      <c r="AL801">
        <f>IF('TMP Paste'!$F801="","",IF('TMP Paste'!$M801="",$AL800,'TMP Paste'!$M801))</f>
        <v/>
      </c>
      <c r="AM801">
        <f>IF('TMP Paste'!$F801="","",IF('TMP Paste'!$N801="",$AM800,'TMP Paste'!$N801))</f>
        <v/>
      </c>
      <c r="AN801">
        <f>IF('TMP Paste'!$F801="","",IF('TMP Paste'!$O801="",$AN800,'TMP Paste'!$O801))</f>
        <v/>
      </c>
      <c r="AO801">
        <f>IF('TMP Paste'!$F801="","",IF('TMP Paste'!$P801="",$AO800,'TMP Paste'!$P801))</f>
        <v/>
      </c>
      <c r="AP801">
        <f>IF($AG801="","",LEN($R801))</f>
        <v/>
      </c>
      <c r="AQ801">
        <f>IF($AG801="","",TRIM(IF(COUNTIFS(Calc!$B$2:$B$1601,ROW()-1,Calc!$C$2:$C$1601,"&lt;1")&gt;0,"Ada PO tanpa Koli - cek TMP. ","")&amp;IF(LEN($R801)&gt;500,"R &gt; 500 karakter.","")))</f>
        <v/>
      </c>
    </row>
    <row r="802">
      <c r="A802">
        <f>IF($AG802="","",INDEX('TMP Paste'!$B$2:$B$1601,$AG802))</f>
        <v/>
      </c>
      <c r="B802">
        <f>IF($AG802="","",Config!$B$14)</f>
        <v/>
      </c>
      <c r="C802">
        <f>IF($AG802="","",Config!$B$15)</f>
        <v/>
      </c>
      <c r="D802">
        <f>IF($AG802="","",INDEX('TMP Paste'!$B$2:$B$1601,$AG802))</f>
        <v/>
      </c>
      <c r="E802">
        <f>IF($AG802="","",Config!$B$27)</f>
        <v/>
      </c>
      <c r="F802">
        <f>IF($AG802="","",Config!$B$9)</f>
        <v/>
      </c>
      <c r="G802">
        <f>IF($AG802="","",Config!$B$10)</f>
        <v/>
      </c>
      <c r="H802">
        <f>IF($AG802="","",Config!$B$11)</f>
        <v/>
      </c>
      <c r="I802">
        <f>IF($AG802="","",Config!$B$16)</f>
        <v/>
      </c>
      <c r="J802">
        <f>IF($AG802="","",INDEX('TMP Paste'!$A$2:$A$1601,$AG802))</f>
        <v/>
      </c>
      <c r="K802">
        <f>IF($AG802="","",INDEX('TMP Paste'!$L$2:$L$1601,$AG802))</f>
        <v/>
      </c>
      <c r="L802">
        <f>IF($AG802="","",INDEX('TMP Paste'!$I$2:$I$1601,$AG802))</f>
        <v/>
      </c>
      <c r="M802">
        <f>IF($AG802="","",Config!$B$16)</f>
        <v/>
      </c>
      <c r="N802">
        <f>IF($AG802="","","")</f>
        <v/>
      </c>
      <c r="O802">
        <f>IF($AG802="","",INDEX('TMP Paste'!$K$2:$K$1601,$AG802))</f>
        <v/>
      </c>
      <c r="P802">
        <f>IF($AG802="","","")</f>
        <v/>
      </c>
      <c r="Q802">
        <f>IF($AG802="","",INDEX('TMP Paste'!$J$2:$J$1601,$AG802))</f>
        <v/>
      </c>
      <c r="R802">
        <f>IF($AG802="","",Config!$B$24)</f>
        <v/>
      </c>
      <c r="S802">
        <f>IF($AG802="","",TEXT(Config!$B$4,"yyyy-mm-dd"))</f>
        <v/>
      </c>
      <c r="T802">
        <f>IF($AG802="","",Config!$B$17)</f>
        <v/>
      </c>
      <c r="U802">
        <f>IF($AG802="","",Config!$B$18)</f>
        <v/>
      </c>
      <c r="V802">
        <f>IF($AG802="","",Config!$B$19)</f>
        <v/>
      </c>
      <c r="W802">
        <f>IF($AG802="","",INDEX('TMP Paste'!$C$2:$C$1601,$AG802))</f>
        <v/>
      </c>
      <c r="X802">
        <f>IF($AG802="","",Config!$B$29)</f>
        <v/>
      </c>
      <c r="Y802">
        <f>IF($AH802="","",INDEX(Calc!$I$2:$I$1601,$AH802)&amp;" - "&amp;INDEX(Calc!$D$2:$D$1601,$AH802)&amp;" koli")</f>
        <v/>
      </c>
      <c r="Z802">
        <f>IF($AG802="","",Config!$B$21)</f>
        <v/>
      </c>
      <c r="AA802">
        <f>IF($AG802="","",Config!$B$22)</f>
        <v/>
      </c>
      <c r="AB802">
        <f>IF($AH802="","",INDEX(Calc!$D$2:$D$1601,$AH802))</f>
        <v/>
      </c>
      <c r="AC802">
        <f>IF($AH802="","",INDEX(Calc!$G$2:$G$1601,$AH802))</f>
        <v/>
      </c>
      <c r="AD802">
        <f>IF($AG802="","",Config!$B$23)</f>
        <v/>
      </c>
      <c r="AE802">
        <f>IF($AG802="","",Config!$B$28)</f>
        <v/>
      </c>
      <c r="AG802">
        <f>IFERROR(MATCH(ROW()-1,Calc!$J$2:$J$1601,0),"")</f>
        <v/>
      </c>
      <c r="AH802">
        <f>IFERROR(MATCH(ROW()-1,Calc!$K$2:$K$1601,0),"")</f>
        <v/>
      </c>
      <c r="AI802">
        <f>IF($AG802="","",SUMIF($AG$2:$AG802,$AG802,$AH$2:$AH802))</f>
        <v/>
      </c>
      <c r="AJ802">
        <f>IF('TMP Paste'!$F802="","",IF('TMP Paste'!$B802="",$AJ801,'TMP Paste'!$B802))</f>
        <v/>
      </c>
      <c r="AK802">
        <f>IF('TMP Paste'!$F802="","",N('TMP Paste'!$G802))</f>
        <v/>
      </c>
      <c r="AL802">
        <f>IF('TMP Paste'!$F802="","",IF('TMP Paste'!$M802="",$AL801,'TMP Paste'!$M802))</f>
        <v/>
      </c>
      <c r="AM802">
        <f>IF('TMP Paste'!$F802="","",IF('TMP Paste'!$N802="",$AM801,'TMP Paste'!$N802))</f>
        <v/>
      </c>
      <c r="AN802">
        <f>IF('TMP Paste'!$F802="","",IF('TMP Paste'!$O802="",$AN801,'TMP Paste'!$O802))</f>
        <v/>
      </c>
      <c r="AO802">
        <f>IF('TMP Paste'!$F802="","",IF('TMP Paste'!$P802="",$AO801,'TMP Paste'!$P802))</f>
        <v/>
      </c>
      <c r="AP802">
        <f>IF($AG802="","",LEN($R802))</f>
        <v/>
      </c>
      <c r="AQ802">
        <f>IF($AG802="","",TRIM(IF(COUNTIFS(Calc!$B$2:$B$1601,ROW()-1,Calc!$C$2:$C$1601,"&lt;1")&gt;0,"Ada PO tanpa Koli - cek TMP. ","")&amp;IF(LEN($R802)&gt;500,"R &gt; 500 karakter.","")))</f>
        <v/>
      </c>
    </row>
    <row r="803">
      <c r="A803">
        <f>IF($AG803="","",INDEX('TMP Paste'!$B$2:$B$1601,$AG803))</f>
        <v/>
      </c>
      <c r="B803">
        <f>IF($AG803="","",Config!$B$14)</f>
        <v/>
      </c>
      <c r="C803">
        <f>IF($AG803="","",Config!$B$15)</f>
        <v/>
      </c>
      <c r="D803">
        <f>IF($AG803="","",INDEX('TMP Paste'!$B$2:$B$1601,$AG803))</f>
        <v/>
      </c>
      <c r="E803">
        <f>IF($AG803="","",Config!$B$27)</f>
        <v/>
      </c>
      <c r="F803">
        <f>IF($AG803="","",Config!$B$9)</f>
        <v/>
      </c>
      <c r="G803">
        <f>IF($AG803="","",Config!$B$10)</f>
        <v/>
      </c>
      <c r="H803">
        <f>IF($AG803="","",Config!$B$11)</f>
        <v/>
      </c>
      <c r="I803">
        <f>IF($AG803="","",Config!$B$16)</f>
        <v/>
      </c>
      <c r="J803">
        <f>IF($AG803="","",INDEX('TMP Paste'!$A$2:$A$1601,$AG803))</f>
        <v/>
      </c>
      <c r="K803">
        <f>IF($AG803="","",INDEX('TMP Paste'!$L$2:$L$1601,$AG803))</f>
        <v/>
      </c>
      <c r="L803">
        <f>IF($AG803="","",INDEX('TMP Paste'!$I$2:$I$1601,$AG803))</f>
        <v/>
      </c>
      <c r="M803">
        <f>IF($AG803="","",Config!$B$16)</f>
        <v/>
      </c>
      <c r="N803">
        <f>IF($AG803="","","")</f>
        <v/>
      </c>
      <c r="O803">
        <f>IF($AG803="","",INDEX('TMP Paste'!$K$2:$K$1601,$AG803))</f>
        <v/>
      </c>
      <c r="P803">
        <f>IF($AG803="","","")</f>
        <v/>
      </c>
      <c r="Q803">
        <f>IF($AG803="","",INDEX('TMP Paste'!$J$2:$J$1601,$AG803))</f>
        <v/>
      </c>
      <c r="R803">
        <f>IF($AG803="","",Config!$B$24)</f>
        <v/>
      </c>
      <c r="S803">
        <f>IF($AG803="","",TEXT(Config!$B$4,"yyyy-mm-dd"))</f>
        <v/>
      </c>
      <c r="T803">
        <f>IF($AG803="","",Config!$B$17)</f>
        <v/>
      </c>
      <c r="U803">
        <f>IF($AG803="","",Config!$B$18)</f>
        <v/>
      </c>
      <c r="V803">
        <f>IF($AG803="","",Config!$B$19)</f>
        <v/>
      </c>
      <c r="W803">
        <f>IF($AG803="","",INDEX('TMP Paste'!$C$2:$C$1601,$AG803))</f>
        <v/>
      </c>
      <c r="X803">
        <f>IF($AG803="","",Config!$B$29)</f>
        <v/>
      </c>
      <c r="Y803">
        <f>IF($AH803="","",INDEX(Calc!$I$2:$I$1601,$AH803)&amp;" - "&amp;INDEX(Calc!$D$2:$D$1601,$AH803)&amp;" koli")</f>
        <v/>
      </c>
      <c r="Z803">
        <f>IF($AG803="","",Config!$B$21)</f>
        <v/>
      </c>
      <c r="AA803">
        <f>IF($AG803="","",Config!$B$22)</f>
        <v/>
      </c>
      <c r="AB803">
        <f>IF($AH803="","",INDEX(Calc!$D$2:$D$1601,$AH803))</f>
        <v/>
      </c>
      <c r="AC803">
        <f>IF($AH803="","",INDEX(Calc!$G$2:$G$1601,$AH803))</f>
        <v/>
      </c>
      <c r="AD803">
        <f>IF($AG803="","",Config!$B$23)</f>
        <v/>
      </c>
      <c r="AE803">
        <f>IF($AG803="","",Config!$B$28)</f>
        <v/>
      </c>
      <c r="AG803">
        <f>IFERROR(MATCH(ROW()-1,Calc!$J$2:$J$1601,0),"")</f>
        <v/>
      </c>
      <c r="AH803">
        <f>IFERROR(MATCH(ROW()-1,Calc!$K$2:$K$1601,0),"")</f>
        <v/>
      </c>
      <c r="AI803">
        <f>IF($AG803="","",SUMIF($AG$2:$AG803,$AG803,$AH$2:$AH803))</f>
        <v/>
      </c>
      <c r="AJ803">
        <f>IF('TMP Paste'!$F803="","",IF('TMP Paste'!$B803="",$AJ802,'TMP Paste'!$B803))</f>
        <v/>
      </c>
      <c r="AK803">
        <f>IF('TMP Paste'!$F803="","",N('TMP Paste'!$G803))</f>
        <v/>
      </c>
      <c r="AL803">
        <f>IF('TMP Paste'!$F803="","",IF('TMP Paste'!$M803="",$AL802,'TMP Paste'!$M803))</f>
        <v/>
      </c>
      <c r="AM803">
        <f>IF('TMP Paste'!$F803="","",IF('TMP Paste'!$N803="",$AM802,'TMP Paste'!$N803))</f>
        <v/>
      </c>
      <c r="AN803">
        <f>IF('TMP Paste'!$F803="","",IF('TMP Paste'!$O803="",$AN802,'TMP Paste'!$O803))</f>
        <v/>
      </c>
      <c r="AO803">
        <f>IF('TMP Paste'!$F803="","",IF('TMP Paste'!$P803="",$AO802,'TMP Paste'!$P803))</f>
        <v/>
      </c>
      <c r="AP803">
        <f>IF($AG803="","",LEN($R803))</f>
        <v/>
      </c>
      <c r="AQ803">
        <f>IF($AG803="","",TRIM(IF(COUNTIFS(Calc!$B$2:$B$1601,ROW()-1,Calc!$C$2:$C$1601,"&lt;1")&gt;0,"Ada PO tanpa Koli - cek TMP. ","")&amp;IF(LEN($R803)&gt;500,"R &gt; 500 karakter.","")))</f>
        <v/>
      </c>
    </row>
    <row r="804">
      <c r="A804">
        <f>IF($AG804="","",INDEX('TMP Paste'!$B$2:$B$1601,$AG804))</f>
        <v/>
      </c>
      <c r="B804">
        <f>IF($AG804="","",Config!$B$14)</f>
        <v/>
      </c>
      <c r="C804">
        <f>IF($AG804="","",Config!$B$15)</f>
        <v/>
      </c>
      <c r="D804">
        <f>IF($AG804="","",INDEX('TMP Paste'!$B$2:$B$1601,$AG804))</f>
        <v/>
      </c>
      <c r="E804">
        <f>IF($AG804="","",Config!$B$27)</f>
        <v/>
      </c>
      <c r="F804">
        <f>IF($AG804="","",Config!$B$9)</f>
        <v/>
      </c>
      <c r="G804">
        <f>IF($AG804="","",Config!$B$10)</f>
        <v/>
      </c>
      <c r="H804">
        <f>IF($AG804="","",Config!$B$11)</f>
        <v/>
      </c>
      <c r="I804">
        <f>IF($AG804="","",Config!$B$16)</f>
        <v/>
      </c>
      <c r="J804">
        <f>IF($AG804="","",INDEX('TMP Paste'!$A$2:$A$1601,$AG804))</f>
        <v/>
      </c>
      <c r="K804">
        <f>IF($AG804="","",INDEX('TMP Paste'!$L$2:$L$1601,$AG804))</f>
        <v/>
      </c>
      <c r="L804">
        <f>IF($AG804="","",INDEX('TMP Paste'!$I$2:$I$1601,$AG804))</f>
        <v/>
      </c>
      <c r="M804">
        <f>IF($AG804="","",Config!$B$16)</f>
        <v/>
      </c>
      <c r="N804">
        <f>IF($AG804="","","")</f>
        <v/>
      </c>
      <c r="O804">
        <f>IF($AG804="","",INDEX('TMP Paste'!$K$2:$K$1601,$AG804))</f>
        <v/>
      </c>
      <c r="P804">
        <f>IF($AG804="","","")</f>
        <v/>
      </c>
      <c r="Q804">
        <f>IF($AG804="","",INDEX('TMP Paste'!$J$2:$J$1601,$AG804))</f>
        <v/>
      </c>
      <c r="R804">
        <f>IF($AG804="","",Config!$B$24)</f>
        <v/>
      </c>
      <c r="S804">
        <f>IF($AG804="","",TEXT(Config!$B$4,"yyyy-mm-dd"))</f>
        <v/>
      </c>
      <c r="T804">
        <f>IF($AG804="","",Config!$B$17)</f>
        <v/>
      </c>
      <c r="U804">
        <f>IF($AG804="","",Config!$B$18)</f>
        <v/>
      </c>
      <c r="V804">
        <f>IF($AG804="","",Config!$B$19)</f>
        <v/>
      </c>
      <c r="W804">
        <f>IF($AG804="","",INDEX('TMP Paste'!$C$2:$C$1601,$AG804))</f>
        <v/>
      </c>
      <c r="X804">
        <f>IF($AG804="","",Config!$B$29)</f>
        <v/>
      </c>
      <c r="Y804">
        <f>IF($AH804="","",INDEX(Calc!$I$2:$I$1601,$AH804)&amp;" - "&amp;INDEX(Calc!$D$2:$D$1601,$AH804)&amp;" koli")</f>
        <v/>
      </c>
      <c r="Z804">
        <f>IF($AG804="","",Config!$B$21)</f>
        <v/>
      </c>
      <c r="AA804">
        <f>IF($AG804="","",Config!$B$22)</f>
        <v/>
      </c>
      <c r="AB804">
        <f>IF($AH804="","",INDEX(Calc!$D$2:$D$1601,$AH804))</f>
        <v/>
      </c>
      <c r="AC804">
        <f>IF($AH804="","",INDEX(Calc!$G$2:$G$1601,$AH804))</f>
        <v/>
      </c>
      <c r="AD804">
        <f>IF($AG804="","",Config!$B$23)</f>
        <v/>
      </c>
      <c r="AE804">
        <f>IF($AG804="","",Config!$B$28)</f>
        <v/>
      </c>
      <c r="AG804">
        <f>IFERROR(MATCH(ROW()-1,Calc!$J$2:$J$1601,0),"")</f>
        <v/>
      </c>
      <c r="AH804">
        <f>IFERROR(MATCH(ROW()-1,Calc!$K$2:$K$1601,0),"")</f>
        <v/>
      </c>
      <c r="AI804">
        <f>IF($AG804="","",SUMIF($AG$2:$AG804,$AG804,$AH$2:$AH804))</f>
        <v/>
      </c>
      <c r="AJ804">
        <f>IF('TMP Paste'!$F804="","",IF('TMP Paste'!$B804="",$AJ803,'TMP Paste'!$B804))</f>
        <v/>
      </c>
      <c r="AK804">
        <f>IF('TMP Paste'!$F804="","",N('TMP Paste'!$G804))</f>
        <v/>
      </c>
      <c r="AL804">
        <f>IF('TMP Paste'!$F804="","",IF('TMP Paste'!$M804="",$AL803,'TMP Paste'!$M804))</f>
        <v/>
      </c>
      <c r="AM804">
        <f>IF('TMP Paste'!$F804="","",IF('TMP Paste'!$N804="",$AM803,'TMP Paste'!$N804))</f>
        <v/>
      </c>
      <c r="AN804">
        <f>IF('TMP Paste'!$F804="","",IF('TMP Paste'!$O804="",$AN803,'TMP Paste'!$O804))</f>
        <v/>
      </c>
      <c r="AO804">
        <f>IF('TMP Paste'!$F804="","",IF('TMP Paste'!$P804="",$AO803,'TMP Paste'!$P804))</f>
        <v/>
      </c>
      <c r="AP804">
        <f>IF($AG804="","",LEN($R804))</f>
        <v/>
      </c>
      <c r="AQ804">
        <f>IF($AG804="","",TRIM(IF(COUNTIFS(Calc!$B$2:$B$1601,ROW()-1,Calc!$C$2:$C$1601,"&lt;1")&gt;0,"Ada PO tanpa Koli - cek TMP. ","")&amp;IF(LEN($R804)&gt;500,"R &gt; 500 karakter.","")))</f>
        <v/>
      </c>
    </row>
    <row r="805">
      <c r="A805">
        <f>IF($AG805="","",INDEX('TMP Paste'!$B$2:$B$1601,$AG805))</f>
        <v/>
      </c>
      <c r="B805">
        <f>IF($AG805="","",Config!$B$14)</f>
        <v/>
      </c>
      <c r="C805">
        <f>IF($AG805="","",Config!$B$15)</f>
        <v/>
      </c>
      <c r="D805">
        <f>IF($AG805="","",INDEX('TMP Paste'!$B$2:$B$1601,$AG805))</f>
        <v/>
      </c>
      <c r="E805">
        <f>IF($AG805="","",Config!$B$27)</f>
        <v/>
      </c>
      <c r="F805">
        <f>IF($AG805="","",Config!$B$9)</f>
        <v/>
      </c>
      <c r="G805">
        <f>IF($AG805="","",Config!$B$10)</f>
        <v/>
      </c>
      <c r="H805">
        <f>IF($AG805="","",Config!$B$11)</f>
        <v/>
      </c>
      <c r="I805">
        <f>IF($AG805="","",Config!$B$16)</f>
        <v/>
      </c>
      <c r="J805">
        <f>IF($AG805="","",INDEX('TMP Paste'!$A$2:$A$1601,$AG805))</f>
        <v/>
      </c>
      <c r="K805">
        <f>IF($AG805="","",INDEX('TMP Paste'!$L$2:$L$1601,$AG805))</f>
        <v/>
      </c>
      <c r="L805">
        <f>IF($AG805="","",INDEX('TMP Paste'!$I$2:$I$1601,$AG805))</f>
        <v/>
      </c>
      <c r="M805">
        <f>IF($AG805="","",Config!$B$16)</f>
        <v/>
      </c>
      <c r="N805">
        <f>IF($AG805="","","")</f>
        <v/>
      </c>
      <c r="O805">
        <f>IF($AG805="","",INDEX('TMP Paste'!$K$2:$K$1601,$AG805))</f>
        <v/>
      </c>
      <c r="P805">
        <f>IF($AG805="","","")</f>
        <v/>
      </c>
      <c r="Q805">
        <f>IF($AG805="","",INDEX('TMP Paste'!$J$2:$J$1601,$AG805))</f>
        <v/>
      </c>
      <c r="R805">
        <f>IF($AG805="","",Config!$B$24)</f>
        <v/>
      </c>
      <c r="S805">
        <f>IF($AG805="","",TEXT(Config!$B$4,"yyyy-mm-dd"))</f>
        <v/>
      </c>
      <c r="T805">
        <f>IF($AG805="","",Config!$B$17)</f>
        <v/>
      </c>
      <c r="U805">
        <f>IF($AG805="","",Config!$B$18)</f>
        <v/>
      </c>
      <c r="V805">
        <f>IF($AG805="","",Config!$B$19)</f>
        <v/>
      </c>
      <c r="W805">
        <f>IF($AG805="","",INDEX('TMP Paste'!$C$2:$C$1601,$AG805))</f>
        <v/>
      </c>
      <c r="X805">
        <f>IF($AG805="","",Config!$B$29)</f>
        <v/>
      </c>
      <c r="Y805">
        <f>IF($AH805="","",INDEX(Calc!$I$2:$I$1601,$AH805)&amp;" - "&amp;INDEX(Calc!$D$2:$D$1601,$AH805)&amp;" koli")</f>
        <v/>
      </c>
      <c r="Z805">
        <f>IF($AG805="","",Config!$B$21)</f>
        <v/>
      </c>
      <c r="AA805">
        <f>IF($AG805="","",Config!$B$22)</f>
        <v/>
      </c>
      <c r="AB805">
        <f>IF($AH805="","",INDEX(Calc!$D$2:$D$1601,$AH805))</f>
        <v/>
      </c>
      <c r="AC805">
        <f>IF($AH805="","",INDEX(Calc!$G$2:$G$1601,$AH805))</f>
        <v/>
      </c>
      <c r="AD805">
        <f>IF($AG805="","",Config!$B$23)</f>
        <v/>
      </c>
      <c r="AE805">
        <f>IF($AG805="","",Config!$B$28)</f>
        <v/>
      </c>
      <c r="AG805">
        <f>IFERROR(MATCH(ROW()-1,Calc!$J$2:$J$1601,0),"")</f>
        <v/>
      </c>
      <c r="AH805">
        <f>IFERROR(MATCH(ROW()-1,Calc!$K$2:$K$1601,0),"")</f>
        <v/>
      </c>
      <c r="AI805">
        <f>IF($AG805="","",SUMIF($AG$2:$AG805,$AG805,$AH$2:$AH805))</f>
        <v/>
      </c>
      <c r="AJ805">
        <f>IF('TMP Paste'!$F805="","",IF('TMP Paste'!$B805="",$AJ804,'TMP Paste'!$B805))</f>
        <v/>
      </c>
      <c r="AK805">
        <f>IF('TMP Paste'!$F805="","",N('TMP Paste'!$G805))</f>
        <v/>
      </c>
      <c r="AL805">
        <f>IF('TMP Paste'!$F805="","",IF('TMP Paste'!$M805="",$AL804,'TMP Paste'!$M805))</f>
        <v/>
      </c>
      <c r="AM805">
        <f>IF('TMP Paste'!$F805="","",IF('TMP Paste'!$N805="",$AM804,'TMP Paste'!$N805))</f>
        <v/>
      </c>
      <c r="AN805">
        <f>IF('TMP Paste'!$F805="","",IF('TMP Paste'!$O805="",$AN804,'TMP Paste'!$O805))</f>
        <v/>
      </c>
      <c r="AO805">
        <f>IF('TMP Paste'!$F805="","",IF('TMP Paste'!$P805="",$AO804,'TMP Paste'!$P805))</f>
        <v/>
      </c>
      <c r="AP805">
        <f>IF($AG805="","",LEN($R805))</f>
        <v/>
      </c>
      <c r="AQ805">
        <f>IF($AG805="","",TRIM(IF(COUNTIFS(Calc!$B$2:$B$1601,ROW()-1,Calc!$C$2:$C$1601,"&lt;1")&gt;0,"Ada PO tanpa Koli - cek TMP. ","")&amp;IF(LEN($R805)&gt;500,"R &gt; 500 karakter.","")))</f>
        <v/>
      </c>
    </row>
    <row r="806">
      <c r="A806">
        <f>IF($AG806="","",INDEX('TMP Paste'!$B$2:$B$1601,$AG806))</f>
        <v/>
      </c>
      <c r="B806">
        <f>IF($AG806="","",Config!$B$14)</f>
        <v/>
      </c>
      <c r="C806">
        <f>IF($AG806="","",Config!$B$15)</f>
        <v/>
      </c>
      <c r="D806">
        <f>IF($AG806="","",INDEX('TMP Paste'!$B$2:$B$1601,$AG806))</f>
        <v/>
      </c>
      <c r="E806">
        <f>IF($AG806="","",Config!$B$27)</f>
        <v/>
      </c>
      <c r="F806">
        <f>IF($AG806="","",Config!$B$9)</f>
        <v/>
      </c>
      <c r="G806">
        <f>IF($AG806="","",Config!$B$10)</f>
        <v/>
      </c>
      <c r="H806">
        <f>IF($AG806="","",Config!$B$11)</f>
        <v/>
      </c>
      <c r="I806">
        <f>IF($AG806="","",Config!$B$16)</f>
        <v/>
      </c>
      <c r="J806">
        <f>IF($AG806="","",INDEX('TMP Paste'!$A$2:$A$1601,$AG806))</f>
        <v/>
      </c>
      <c r="K806">
        <f>IF($AG806="","",INDEX('TMP Paste'!$L$2:$L$1601,$AG806))</f>
        <v/>
      </c>
      <c r="L806">
        <f>IF($AG806="","",INDEX('TMP Paste'!$I$2:$I$1601,$AG806))</f>
        <v/>
      </c>
      <c r="M806">
        <f>IF($AG806="","",Config!$B$16)</f>
        <v/>
      </c>
      <c r="N806">
        <f>IF($AG806="","","")</f>
        <v/>
      </c>
      <c r="O806">
        <f>IF($AG806="","",INDEX('TMP Paste'!$K$2:$K$1601,$AG806))</f>
        <v/>
      </c>
      <c r="P806">
        <f>IF($AG806="","","")</f>
        <v/>
      </c>
      <c r="Q806">
        <f>IF($AG806="","",INDEX('TMP Paste'!$J$2:$J$1601,$AG806))</f>
        <v/>
      </c>
      <c r="R806">
        <f>IF($AG806="","",Config!$B$24)</f>
        <v/>
      </c>
      <c r="S806">
        <f>IF($AG806="","",TEXT(Config!$B$4,"yyyy-mm-dd"))</f>
        <v/>
      </c>
      <c r="T806">
        <f>IF($AG806="","",Config!$B$17)</f>
        <v/>
      </c>
      <c r="U806">
        <f>IF($AG806="","",Config!$B$18)</f>
        <v/>
      </c>
      <c r="V806">
        <f>IF($AG806="","",Config!$B$19)</f>
        <v/>
      </c>
      <c r="W806">
        <f>IF($AG806="","",INDEX('TMP Paste'!$C$2:$C$1601,$AG806))</f>
        <v/>
      </c>
      <c r="X806">
        <f>IF($AG806="","",Config!$B$29)</f>
        <v/>
      </c>
      <c r="Y806">
        <f>IF($AH806="","",INDEX(Calc!$I$2:$I$1601,$AH806)&amp;" - "&amp;INDEX(Calc!$D$2:$D$1601,$AH806)&amp;" koli")</f>
        <v/>
      </c>
      <c r="Z806">
        <f>IF($AG806="","",Config!$B$21)</f>
        <v/>
      </c>
      <c r="AA806">
        <f>IF($AG806="","",Config!$B$22)</f>
        <v/>
      </c>
      <c r="AB806">
        <f>IF($AH806="","",INDEX(Calc!$D$2:$D$1601,$AH806))</f>
        <v/>
      </c>
      <c r="AC806">
        <f>IF($AH806="","",INDEX(Calc!$G$2:$G$1601,$AH806))</f>
        <v/>
      </c>
      <c r="AD806">
        <f>IF($AG806="","",Config!$B$23)</f>
        <v/>
      </c>
      <c r="AE806">
        <f>IF($AG806="","",Config!$B$28)</f>
        <v/>
      </c>
      <c r="AG806">
        <f>IFERROR(MATCH(ROW()-1,Calc!$J$2:$J$1601,0),"")</f>
        <v/>
      </c>
      <c r="AH806">
        <f>IFERROR(MATCH(ROW()-1,Calc!$K$2:$K$1601,0),"")</f>
        <v/>
      </c>
      <c r="AI806">
        <f>IF($AG806="","",SUMIF($AG$2:$AG806,$AG806,$AH$2:$AH806))</f>
        <v/>
      </c>
      <c r="AJ806">
        <f>IF('TMP Paste'!$F806="","",IF('TMP Paste'!$B806="",$AJ805,'TMP Paste'!$B806))</f>
        <v/>
      </c>
      <c r="AK806">
        <f>IF('TMP Paste'!$F806="","",N('TMP Paste'!$G806))</f>
        <v/>
      </c>
      <c r="AL806">
        <f>IF('TMP Paste'!$F806="","",IF('TMP Paste'!$M806="",$AL805,'TMP Paste'!$M806))</f>
        <v/>
      </c>
      <c r="AM806">
        <f>IF('TMP Paste'!$F806="","",IF('TMP Paste'!$N806="",$AM805,'TMP Paste'!$N806))</f>
        <v/>
      </c>
      <c r="AN806">
        <f>IF('TMP Paste'!$F806="","",IF('TMP Paste'!$O806="",$AN805,'TMP Paste'!$O806))</f>
        <v/>
      </c>
      <c r="AO806">
        <f>IF('TMP Paste'!$F806="","",IF('TMP Paste'!$P806="",$AO805,'TMP Paste'!$P806))</f>
        <v/>
      </c>
      <c r="AP806">
        <f>IF($AG806="","",LEN($R806))</f>
        <v/>
      </c>
      <c r="AQ806">
        <f>IF($AG806="","",TRIM(IF(COUNTIFS(Calc!$B$2:$B$1601,ROW()-1,Calc!$C$2:$C$1601,"&lt;1")&gt;0,"Ada PO tanpa Koli - cek TMP. ","")&amp;IF(LEN($R806)&gt;500,"R &gt; 500 karakter.","")))</f>
        <v/>
      </c>
    </row>
    <row r="807">
      <c r="A807">
        <f>IF($AG807="","",INDEX('TMP Paste'!$B$2:$B$1601,$AG807))</f>
        <v/>
      </c>
      <c r="B807">
        <f>IF($AG807="","",Config!$B$14)</f>
        <v/>
      </c>
      <c r="C807">
        <f>IF($AG807="","",Config!$B$15)</f>
        <v/>
      </c>
      <c r="D807">
        <f>IF($AG807="","",INDEX('TMP Paste'!$B$2:$B$1601,$AG807))</f>
        <v/>
      </c>
      <c r="E807">
        <f>IF($AG807="","",Config!$B$27)</f>
        <v/>
      </c>
      <c r="F807">
        <f>IF($AG807="","",Config!$B$9)</f>
        <v/>
      </c>
      <c r="G807">
        <f>IF($AG807="","",Config!$B$10)</f>
        <v/>
      </c>
      <c r="H807">
        <f>IF($AG807="","",Config!$B$11)</f>
        <v/>
      </c>
      <c r="I807">
        <f>IF($AG807="","",Config!$B$16)</f>
        <v/>
      </c>
      <c r="J807">
        <f>IF($AG807="","",INDEX('TMP Paste'!$A$2:$A$1601,$AG807))</f>
        <v/>
      </c>
      <c r="K807">
        <f>IF($AG807="","",INDEX('TMP Paste'!$L$2:$L$1601,$AG807))</f>
        <v/>
      </c>
      <c r="L807">
        <f>IF($AG807="","",INDEX('TMP Paste'!$I$2:$I$1601,$AG807))</f>
        <v/>
      </c>
      <c r="M807">
        <f>IF($AG807="","",Config!$B$16)</f>
        <v/>
      </c>
      <c r="N807">
        <f>IF($AG807="","","")</f>
        <v/>
      </c>
      <c r="O807">
        <f>IF($AG807="","",INDEX('TMP Paste'!$K$2:$K$1601,$AG807))</f>
        <v/>
      </c>
      <c r="P807">
        <f>IF($AG807="","","")</f>
        <v/>
      </c>
      <c r="Q807">
        <f>IF($AG807="","",INDEX('TMP Paste'!$J$2:$J$1601,$AG807))</f>
        <v/>
      </c>
      <c r="R807">
        <f>IF($AG807="","",Config!$B$24)</f>
        <v/>
      </c>
      <c r="S807">
        <f>IF($AG807="","",TEXT(Config!$B$4,"yyyy-mm-dd"))</f>
        <v/>
      </c>
      <c r="T807">
        <f>IF($AG807="","",Config!$B$17)</f>
        <v/>
      </c>
      <c r="U807">
        <f>IF($AG807="","",Config!$B$18)</f>
        <v/>
      </c>
      <c r="V807">
        <f>IF($AG807="","",Config!$B$19)</f>
        <v/>
      </c>
      <c r="W807">
        <f>IF($AG807="","",INDEX('TMP Paste'!$C$2:$C$1601,$AG807))</f>
        <v/>
      </c>
      <c r="X807">
        <f>IF($AG807="","",Config!$B$29)</f>
        <v/>
      </c>
      <c r="Y807">
        <f>IF($AH807="","",INDEX(Calc!$I$2:$I$1601,$AH807)&amp;" - "&amp;INDEX(Calc!$D$2:$D$1601,$AH807)&amp;" koli")</f>
        <v/>
      </c>
      <c r="Z807">
        <f>IF($AG807="","",Config!$B$21)</f>
        <v/>
      </c>
      <c r="AA807">
        <f>IF($AG807="","",Config!$B$22)</f>
        <v/>
      </c>
      <c r="AB807">
        <f>IF($AH807="","",INDEX(Calc!$D$2:$D$1601,$AH807))</f>
        <v/>
      </c>
      <c r="AC807">
        <f>IF($AH807="","",INDEX(Calc!$G$2:$G$1601,$AH807))</f>
        <v/>
      </c>
      <c r="AD807">
        <f>IF($AG807="","",Config!$B$23)</f>
        <v/>
      </c>
      <c r="AE807">
        <f>IF($AG807="","",Config!$B$28)</f>
        <v/>
      </c>
      <c r="AG807">
        <f>IFERROR(MATCH(ROW()-1,Calc!$J$2:$J$1601,0),"")</f>
        <v/>
      </c>
      <c r="AH807">
        <f>IFERROR(MATCH(ROW()-1,Calc!$K$2:$K$1601,0),"")</f>
        <v/>
      </c>
      <c r="AI807">
        <f>IF($AG807="","",SUMIF($AG$2:$AG807,$AG807,$AH$2:$AH807))</f>
        <v/>
      </c>
      <c r="AJ807">
        <f>IF('TMP Paste'!$F807="","",IF('TMP Paste'!$B807="",$AJ806,'TMP Paste'!$B807))</f>
        <v/>
      </c>
      <c r="AK807">
        <f>IF('TMP Paste'!$F807="","",N('TMP Paste'!$G807))</f>
        <v/>
      </c>
      <c r="AL807">
        <f>IF('TMP Paste'!$F807="","",IF('TMP Paste'!$M807="",$AL806,'TMP Paste'!$M807))</f>
        <v/>
      </c>
      <c r="AM807">
        <f>IF('TMP Paste'!$F807="","",IF('TMP Paste'!$N807="",$AM806,'TMP Paste'!$N807))</f>
        <v/>
      </c>
      <c r="AN807">
        <f>IF('TMP Paste'!$F807="","",IF('TMP Paste'!$O807="",$AN806,'TMP Paste'!$O807))</f>
        <v/>
      </c>
      <c r="AO807">
        <f>IF('TMP Paste'!$F807="","",IF('TMP Paste'!$P807="",$AO806,'TMP Paste'!$P807))</f>
        <v/>
      </c>
      <c r="AP807">
        <f>IF($AG807="","",LEN($R807))</f>
        <v/>
      </c>
      <c r="AQ807">
        <f>IF($AG807="","",TRIM(IF(COUNTIFS(Calc!$B$2:$B$1601,ROW()-1,Calc!$C$2:$C$1601,"&lt;1")&gt;0,"Ada PO tanpa Koli - cek TMP. ","")&amp;IF(LEN($R807)&gt;500,"R &gt; 500 karakter.","")))</f>
        <v/>
      </c>
    </row>
    <row r="808">
      <c r="A808">
        <f>IF($AG808="","",INDEX('TMP Paste'!$B$2:$B$1601,$AG808))</f>
        <v/>
      </c>
      <c r="B808">
        <f>IF($AG808="","",Config!$B$14)</f>
        <v/>
      </c>
      <c r="C808">
        <f>IF($AG808="","",Config!$B$15)</f>
        <v/>
      </c>
      <c r="D808">
        <f>IF($AG808="","",INDEX('TMP Paste'!$B$2:$B$1601,$AG808))</f>
        <v/>
      </c>
      <c r="E808">
        <f>IF($AG808="","",Config!$B$27)</f>
        <v/>
      </c>
      <c r="F808">
        <f>IF($AG808="","",Config!$B$9)</f>
        <v/>
      </c>
      <c r="G808">
        <f>IF($AG808="","",Config!$B$10)</f>
        <v/>
      </c>
      <c r="H808">
        <f>IF($AG808="","",Config!$B$11)</f>
        <v/>
      </c>
      <c r="I808">
        <f>IF($AG808="","",Config!$B$16)</f>
        <v/>
      </c>
      <c r="J808">
        <f>IF($AG808="","",INDEX('TMP Paste'!$A$2:$A$1601,$AG808))</f>
        <v/>
      </c>
      <c r="K808">
        <f>IF($AG808="","",INDEX('TMP Paste'!$L$2:$L$1601,$AG808))</f>
        <v/>
      </c>
      <c r="L808">
        <f>IF($AG808="","",INDEX('TMP Paste'!$I$2:$I$1601,$AG808))</f>
        <v/>
      </c>
      <c r="M808">
        <f>IF($AG808="","",Config!$B$16)</f>
        <v/>
      </c>
      <c r="N808">
        <f>IF($AG808="","","")</f>
        <v/>
      </c>
      <c r="O808">
        <f>IF($AG808="","",INDEX('TMP Paste'!$K$2:$K$1601,$AG808))</f>
        <v/>
      </c>
      <c r="P808">
        <f>IF($AG808="","","")</f>
        <v/>
      </c>
      <c r="Q808">
        <f>IF($AG808="","",INDEX('TMP Paste'!$J$2:$J$1601,$AG808))</f>
        <v/>
      </c>
      <c r="R808">
        <f>IF($AG808="","",Config!$B$24)</f>
        <v/>
      </c>
      <c r="S808">
        <f>IF($AG808="","",TEXT(Config!$B$4,"yyyy-mm-dd"))</f>
        <v/>
      </c>
      <c r="T808">
        <f>IF($AG808="","",Config!$B$17)</f>
        <v/>
      </c>
      <c r="U808">
        <f>IF($AG808="","",Config!$B$18)</f>
        <v/>
      </c>
      <c r="V808">
        <f>IF($AG808="","",Config!$B$19)</f>
        <v/>
      </c>
      <c r="W808">
        <f>IF($AG808="","",INDEX('TMP Paste'!$C$2:$C$1601,$AG808))</f>
        <v/>
      </c>
      <c r="X808">
        <f>IF($AG808="","",Config!$B$29)</f>
        <v/>
      </c>
      <c r="Y808">
        <f>IF($AH808="","",INDEX(Calc!$I$2:$I$1601,$AH808)&amp;" - "&amp;INDEX(Calc!$D$2:$D$1601,$AH808)&amp;" koli")</f>
        <v/>
      </c>
      <c r="Z808">
        <f>IF($AG808="","",Config!$B$21)</f>
        <v/>
      </c>
      <c r="AA808">
        <f>IF($AG808="","",Config!$B$22)</f>
        <v/>
      </c>
      <c r="AB808">
        <f>IF($AH808="","",INDEX(Calc!$D$2:$D$1601,$AH808))</f>
        <v/>
      </c>
      <c r="AC808">
        <f>IF($AH808="","",INDEX(Calc!$G$2:$G$1601,$AH808))</f>
        <v/>
      </c>
      <c r="AD808">
        <f>IF($AG808="","",Config!$B$23)</f>
        <v/>
      </c>
      <c r="AE808">
        <f>IF($AG808="","",Config!$B$28)</f>
        <v/>
      </c>
      <c r="AG808">
        <f>IFERROR(MATCH(ROW()-1,Calc!$J$2:$J$1601,0),"")</f>
        <v/>
      </c>
      <c r="AH808">
        <f>IFERROR(MATCH(ROW()-1,Calc!$K$2:$K$1601,0),"")</f>
        <v/>
      </c>
      <c r="AI808">
        <f>IF($AG808="","",SUMIF($AG$2:$AG808,$AG808,$AH$2:$AH808))</f>
        <v/>
      </c>
      <c r="AJ808">
        <f>IF('TMP Paste'!$F808="","",IF('TMP Paste'!$B808="",$AJ807,'TMP Paste'!$B808))</f>
        <v/>
      </c>
      <c r="AK808">
        <f>IF('TMP Paste'!$F808="","",N('TMP Paste'!$G808))</f>
        <v/>
      </c>
      <c r="AL808">
        <f>IF('TMP Paste'!$F808="","",IF('TMP Paste'!$M808="",$AL807,'TMP Paste'!$M808))</f>
        <v/>
      </c>
      <c r="AM808">
        <f>IF('TMP Paste'!$F808="","",IF('TMP Paste'!$N808="",$AM807,'TMP Paste'!$N808))</f>
        <v/>
      </c>
      <c r="AN808">
        <f>IF('TMP Paste'!$F808="","",IF('TMP Paste'!$O808="",$AN807,'TMP Paste'!$O808))</f>
        <v/>
      </c>
      <c r="AO808">
        <f>IF('TMP Paste'!$F808="","",IF('TMP Paste'!$P808="",$AO807,'TMP Paste'!$P808))</f>
        <v/>
      </c>
      <c r="AP808">
        <f>IF($AG808="","",LEN($R808))</f>
        <v/>
      </c>
      <c r="AQ808">
        <f>IF($AG808="","",TRIM(IF(COUNTIFS(Calc!$B$2:$B$1601,ROW()-1,Calc!$C$2:$C$1601,"&lt;1")&gt;0,"Ada PO tanpa Koli - cek TMP. ","")&amp;IF(LEN($R808)&gt;500,"R &gt; 500 karakter.","")))</f>
        <v/>
      </c>
    </row>
    <row r="809">
      <c r="A809">
        <f>IF($AG809="","",INDEX('TMP Paste'!$B$2:$B$1601,$AG809))</f>
        <v/>
      </c>
      <c r="B809">
        <f>IF($AG809="","",Config!$B$14)</f>
        <v/>
      </c>
      <c r="C809">
        <f>IF($AG809="","",Config!$B$15)</f>
        <v/>
      </c>
      <c r="D809">
        <f>IF($AG809="","",INDEX('TMP Paste'!$B$2:$B$1601,$AG809))</f>
        <v/>
      </c>
      <c r="E809">
        <f>IF($AG809="","",Config!$B$27)</f>
        <v/>
      </c>
      <c r="F809">
        <f>IF($AG809="","",Config!$B$9)</f>
        <v/>
      </c>
      <c r="G809">
        <f>IF($AG809="","",Config!$B$10)</f>
        <v/>
      </c>
      <c r="H809">
        <f>IF($AG809="","",Config!$B$11)</f>
        <v/>
      </c>
      <c r="I809">
        <f>IF($AG809="","",Config!$B$16)</f>
        <v/>
      </c>
      <c r="J809">
        <f>IF($AG809="","",INDEX('TMP Paste'!$A$2:$A$1601,$AG809))</f>
        <v/>
      </c>
      <c r="K809">
        <f>IF($AG809="","",INDEX('TMP Paste'!$L$2:$L$1601,$AG809))</f>
        <v/>
      </c>
      <c r="L809">
        <f>IF($AG809="","",INDEX('TMP Paste'!$I$2:$I$1601,$AG809))</f>
        <v/>
      </c>
      <c r="M809">
        <f>IF($AG809="","",Config!$B$16)</f>
        <v/>
      </c>
      <c r="N809">
        <f>IF($AG809="","","")</f>
        <v/>
      </c>
      <c r="O809">
        <f>IF($AG809="","",INDEX('TMP Paste'!$K$2:$K$1601,$AG809))</f>
        <v/>
      </c>
      <c r="P809">
        <f>IF($AG809="","","")</f>
        <v/>
      </c>
      <c r="Q809">
        <f>IF($AG809="","",INDEX('TMP Paste'!$J$2:$J$1601,$AG809))</f>
        <v/>
      </c>
      <c r="R809">
        <f>IF($AG809="","",Config!$B$24)</f>
        <v/>
      </c>
      <c r="S809">
        <f>IF($AG809="","",TEXT(Config!$B$4,"yyyy-mm-dd"))</f>
        <v/>
      </c>
      <c r="T809">
        <f>IF($AG809="","",Config!$B$17)</f>
        <v/>
      </c>
      <c r="U809">
        <f>IF($AG809="","",Config!$B$18)</f>
        <v/>
      </c>
      <c r="V809">
        <f>IF($AG809="","",Config!$B$19)</f>
        <v/>
      </c>
      <c r="W809">
        <f>IF($AG809="","",INDEX('TMP Paste'!$C$2:$C$1601,$AG809))</f>
        <v/>
      </c>
      <c r="X809">
        <f>IF($AG809="","",Config!$B$29)</f>
        <v/>
      </c>
      <c r="Y809">
        <f>IF($AH809="","",INDEX(Calc!$I$2:$I$1601,$AH809)&amp;" - "&amp;INDEX(Calc!$D$2:$D$1601,$AH809)&amp;" koli")</f>
        <v/>
      </c>
      <c r="Z809">
        <f>IF($AG809="","",Config!$B$21)</f>
        <v/>
      </c>
      <c r="AA809">
        <f>IF($AG809="","",Config!$B$22)</f>
        <v/>
      </c>
      <c r="AB809">
        <f>IF($AH809="","",INDEX(Calc!$D$2:$D$1601,$AH809))</f>
        <v/>
      </c>
      <c r="AC809">
        <f>IF($AH809="","",INDEX(Calc!$G$2:$G$1601,$AH809))</f>
        <v/>
      </c>
      <c r="AD809">
        <f>IF($AG809="","",Config!$B$23)</f>
        <v/>
      </c>
      <c r="AE809">
        <f>IF($AG809="","",Config!$B$28)</f>
        <v/>
      </c>
      <c r="AG809">
        <f>IFERROR(MATCH(ROW()-1,Calc!$J$2:$J$1601,0),"")</f>
        <v/>
      </c>
      <c r="AH809">
        <f>IFERROR(MATCH(ROW()-1,Calc!$K$2:$K$1601,0),"")</f>
        <v/>
      </c>
      <c r="AI809">
        <f>IF($AG809="","",SUMIF($AG$2:$AG809,$AG809,$AH$2:$AH809))</f>
        <v/>
      </c>
      <c r="AJ809">
        <f>IF('TMP Paste'!$F809="","",IF('TMP Paste'!$B809="",$AJ808,'TMP Paste'!$B809))</f>
        <v/>
      </c>
      <c r="AK809">
        <f>IF('TMP Paste'!$F809="","",N('TMP Paste'!$G809))</f>
        <v/>
      </c>
      <c r="AL809">
        <f>IF('TMP Paste'!$F809="","",IF('TMP Paste'!$M809="",$AL808,'TMP Paste'!$M809))</f>
        <v/>
      </c>
      <c r="AM809">
        <f>IF('TMP Paste'!$F809="","",IF('TMP Paste'!$N809="",$AM808,'TMP Paste'!$N809))</f>
        <v/>
      </c>
      <c r="AN809">
        <f>IF('TMP Paste'!$F809="","",IF('TMP Paste'!$O809="",$AN808,'TMP Paste'!$O809))</f>
        <v/>
      </c>
      <c r="AO809">
        <f>IF('TMP Paste'!$F809="","",IF('TMP Paste'!$P809="",$AO808,'TMP Paste'!$P809))</f>
        <v/>
      </c>
      <c r="AP809">
        <f>IF($AG809="","",LEN($R809))</f>
        <v/>
      </c>
      <c r="AQ809">
        <f>IF($AG809="","",TRIM(IF(COUNTIFS(Calc!$B$2:$B$1601,ROW()-1,Calc!$C$2:$C$1601,"&lt;1")&gt;0,"Ada PO tanpa Koli - cek TMP. ","")&amp;IF(LEN($R809)&gt;500,"R &gt; 500 karakter.","")))</f>
        <v/>
      </c>
    </row>
    <row r="810">
      <c r="A810">
        <f>IF($AG810="","",INDEX('TMP Paste'!$B$2:$B$1601,$AG810))</f>
        <v/>
      </c>
      <c r="B810">
        <f>IF($AG810="","",Config!$B$14)</f>
        <v/>
      </c>
      <c r="C810">
        <f>IF($AG810="","",Config!$B$15)</f>
        <v/>
      </c>
      <c r="D810">
        <f>IF($AG810="","",INDEX('TMP Paste'!$B$2:$B$1601,$AG810))</f>
        <v/>
      </c>
      <c r="E810">
        <f>IF($AG810="","",Config!$B$27)</f>
        <v/>
      </c>
      <c r="F810">
        <f>IF($AG810="","",Config!$B$9)</f>
        <v/>
      </c>
      <c r="G810">
        <f>IF($AG810="","",Config!$B$10)</f>
        <v/>
      </c>
      <c r="H810">
        <f>IF($AG810="","",Config!$B$11)</f>
        <v/>
      </c>
      <c r="I810">
        <f>IF($AG810="","",Config!$B$16)</f>
        <v/>
      </c>
      <c r="J810">
        <f>IF($AG810="","",INDEX('TMP Paste'!$A$2:$A$1601,$AG810))</f>
        <v/>
      </c>
      <c r="K810">
        <f>IF($AG810="","",INDEX('TMP Paste'!$L$2:$L$1601,$AG810))</f>
        <v/>
      </c>
      <c r="L810">
        <f>IF($AG810="","",INDEX('TMP Paste'!$I$2:$I$1601,$AG810))</f>
        <v/>
      </c>
      <c r="M810">
        <f>IF($AG810="","",Config!$B$16)</f>
        <v/>
      </c>
      <c r="N810">
        <f>IF($AG810="","","")</f>
        <v/>
      </c>
      <c r="O810">
        <f>IF($AG810="","",INDEX('TMP Paste'!$K$2:$K$1601,$AG810))</f>
        <v/>
      </c>
      <c r="P810">
        <f>IF($AG810="","","")</f>
        <v/>
      </c>
      <c r="Q810">
        <f>IF($AG810="","",INDEX('TMP Paste'!$J$2:$J$1601,$AG810))</f>
        <v/>
      </c>
      <c r="R810">
        <f>IF($AG810="","",Config!$B$24)</f>
        <v/>
      </c>
      <c r="S810">
        <f>IF($AG810="","",TEXT(Config!$B$4,"yyyy-mm-dd"))</f>
        <v/>
      </c>
      <c r="T810">
        <f>IF($AG810="","",Config!$B$17)</f>
        <v/>
      </c>
      <c r="U810">
        <f>IF($AG810="","",Config!$B$18)</f>
        <v/>
      </c>
      <c r="V810">
        <f>IF($AG810="","",Config!$B$19)</f>
        <v/>
      </c>
      <c r="W810">
        <f>IF($AG810="","",INDEX('TMP Paste'!$C$2:$C$1601,$AG810))</f>
        <v/>
      </c>
      <c r="X810">
        <f>IF($AG810="","",Config!$B$29)</f>
        <v/>
      </c>
      <c r="Y810">
        <f>IF($AH810="","",INDEX(Calc!$I$2:$I$1601,$AH810)&amp;" - "&amp;INDEX(Calc!$D$2:$D$1601,$AH810)&amp;" koli")</f>
        <v/>
      </c>
      <c r="Z810">
        <f>IF($AG810="","",Config!$B$21)</f>
        <v/>
      </c>
      <c r="AA810">
        <f>IF($AG810="","",Config!$B$22)</f>
        <v/>
      </c>
      <c r="AB810">
        <f>IF($AH810="","",INDEX(Calc!$D$2:$D$1601,$AH810))</f>
        <v/>
      </c>
      <c r="AC810">
        <f>IF($AH810="","",INDEX(Calc!$G$2:$G$1601,$AH810))</f>
        <v/>
      </c>
      <c r="AD810">
        <f>IF($AG810="","",Config!$B$23)</f>
        <v/>
      </c>
      <c r="AE810">
        <f>IF($AG810="","",Config!$B$28)</f>
        <v/>
      </c>
      <c r="AG810">
        <f>IFERROR(MATCH(ROW()-1,Calc!$J$2:$J$1601,0),"")</f>
        <v/>
      </c>
      <c r="AH810">
        <f>IFERROR(MATCH(ROW()-1,Calc!$K$2:$K$1601,0),"")</f>
        <v/>
      </c>
      <c r="AI810">
        <f>IF($AG810="","",SUMIF($AG$2:$AG810,$AG810,$AH$2:$AH810))</f>
        <v/>
      </c>
      <c r="AJ810">
        <f>IF('TMP Paste'!$F810="","",IF('TMP Paste'!$B810="",$AJ809,'TMP Paste'!$B810))</f>
        <v/>
      </c>
      <c r="AK810">
        <f>IF('TMP Paste'!$F810="","",N('TMP Paste'!$G810))</f>
        <v/>
      </c>
      <c r="AL810">
        <f>IF('TMP Paste'!$F810="","",IF('TMP Paste'!$M810="",$AL809,'TMP Paste'!$M810))</f>
        <v/>
      </c>
      <c r="AM810">
        <f>IF('TMP Paste'!$F810="","",IF('TMP Paste'!$N810="",$AM809,'TMP Paste'!$N810))</f>
        <v/>
      </c>
      <c r="AN810">
        <f>IF('TMP Paste'!$F810="","",IF('TMP Paste'!$O810="",$AN809,'TMP Paste'!$O810))</f>
        <v/>
      </c>
      <c r="AO810">
        <f>IF('TMP Paste'!$F810="","",IF('TMP Paste'!$P810="",$AO809,'TMP Paste'!$P810))</f>
        <v/>
      </c>
      <c r="AP810">
        <f>IF($AG810="","",LEN($R810))</f>
        <v/>
      </c>
      <c r="AQ810">
        <f>IF($AG810="","",TRIM(IF(COUNTIFS(Calc!$B$2:$B$1601,ROW()-1,Calc!$C$2:$C$1601,"&lt;1")&gt;0,"Ada PO tanpa Koli - cek TMP. ","")&amp;IF(LEN($R810)&gt;500,"R &gt; 500 karakter.","")))</f>
        <v/>
      </c>
    </row>
    <row r="811">
      <c r="A811">
        <f>IF($AG811="","",INDEX('TMP Paste'!$B$2:$B$1601,$AG811))</f>
        <v/>
      </c>
      <c r="B811">
        <f>IF($AG811="","",Config!$B$14)</f>
        <v/>
      </c>
      <c r="C811">
        <f>IF($AG811="","",Config!$B$15)</f>
        <v/>
      </c>
      <c r="D811">
        <f>IF($AG811="","",INDEX('TMP Paste'!$B$2:$B$1601,$AG811))</f>
        <v/>
      </c>
      <c r="E811">
        <f>IF($AG811="","",Config!$B$27)</f>
        <v/>
      </c>
      <c r="F811">
        <f>IF($AG811="","",Config!$B$9)</f>
        <v/>
      </c>
      <c r="G811">
        <f>IF($AG811="","",Config!$B$10)</f>
        <v/>
      </c>
      <c r="H811">
        <f>IF($AG811="","",Config!$B$11)</f>
        <v/>
      </c>
      <c r="I811">
        <f>IF($AG811="","",Config!$B$16)</f>
        <v/>
      </c>
      <c r="J811">
        <f>IF($AG811="","",INDEX('TMP Paste'!$A$2:$A$1601,$AG811))</f>
        <v/>
      </c>
      <c r="K811">
        <f>IF($AG811="","",INDEX('TMP Paste'!$L$2:$L$1601,$AG811))</f>
        <v/>
      </c>
      <c r="L811">
        <f>IF($AG811="","",INDEX('TMP Paste'!$I$2:$I$1601,$AG811))</f>
        <v/>
      </c>
      <c r="M811">
        <f>IF($AG811="","",Config!$B$16)</f>
        <v/>
      </c>
      <c r="N811">
        <f>IF($AG811="","","")</f>
        <v/>
      </c>
      <c r="O811">
        <f>IF($AG811="","",INDEX('TMP Paste'!$K$2:$K$1601,$AG811))</f>
        <v/>
      </c>
      <c r="P811">
        <f>IF($AG811="","","")</f>
        <v/>
      </c>
      <c r="Q811">
        <f>IF($AG811="","",INDEX('TMP Paste'!$J$2:$J$1601,$AG811))</f>
        <v/>
      </c>
      <c r="R811">
        <f>IF($AG811="","",Config!$B$24)</f>
        <v/>
      </c>
      <c r="S811">
        <f>IF($AG811="","",TEXT(Config!$B$4,"yyyy-mm-dd"))</f>
        <v/>
      </c>
      <c r="T811">
        <f>IF($AG811="","",Config!$B$17)</f>
        <v/>
      </c>
      <c r="U811">
        <f>IF($AG811="","",Config!$B$18)</f>
        <v/>
      </c>
      <c r="V811">
        <f>IF($AG811="","",Config!$B$19)</f>
        <v/>
      </c>
      <c r="W811">
        <f>IF($AG811="","",INDEX('TMP Paste'!$C$2:$C$1601,$AG811))</f>
        <v/>
      </c>
      <c r="X811">
        <f>IF($AG811="","",Config!$B$29)</f>
        <v/>
      </c>
      <c r="Y811">
        <f>IF($AH811="","",INDEX(Calc!$I$2:$I$1601,$AH811)&amp;" - "&amp;INDEX(Calc!$D$2:$D$1601,$AH811)&amp;" koli")</f>
        <v/>
      </c>
      <c r="Z811">
        <f>IF($AG811="","",Config!$B$21)</f>
        <v/>
      </c>
      <c r="AA811">
        <f>IF($AG811="","",Config!$B$22)</f>
        <v/>
      </c>
      <c r="AB811">
        <f>IF($AH811="","",INDEX(Calc!$D$2:$D$1601,$AH811))</f>
        <v/>
      </c>
      <c r="AC811">
        <f>IF($AH811="","",INDEX(Calc!$G$2:$G$1601,$AH811))</f>
        <v/>
      </c>
      <c r="AD811">
        <f>IF($AG811="","",Config!$B$23)</f>
        <v/>
      </c>
      <c r="AE811">
        <f>IF($AG811="","",Config!$B$28)</f>
        <v/>
      </c>
      <c r="AG811">
        <f>IFERROR(MATCH(ROW()-1,Calc!$J$2:$J$1601,0),"")</f>
        <v/>
      </c>
      <c r="AH811">
        <f>IFERROR(MATCH(ROW()-1,Calc!$K$2:$K$1601,0),"")</f>
        <v/>
      </c>
      <c r="AI811">
        <f>IF($AG811="","",SUMIF($AG$2:$AG811,$AG811,$AH$2:$AH811))</f>
        <v/>
      </c>
      <c r="AJ811">
        <f>IF('TMP Paste'!$F811="","",IF('TMP Paste'!$B811="",$AJ810,'TMP Paste'!$B811))</f>
        <v/>
      </c>
      <c r="AK811">
        <f>IF('TMP Paste'!$F811="","",N('TMP Paste'!$G811))</f>
        <v/>
      </c>
      <c r="AL811">
        <f>IF('TMP Paste'!$F811="","",IF('TMP Paste'!$M811="",$AL810,'TMP Paste'!$M811))</f>
        <v/>
      </c>
      <c r="AM811">
        <f>IF('TMP Paste'!$F811="","",IF('TMP Paste'!$N811="",$AM810,'TMP Paste'!$N811))</f>
        <v/>
      </c>
      <c r="AN811">
        <f>IF('TMP Paste'!$F811="","",IF('TMP Paste'!$O811="",$AN810,'TMP Paste'!$O811))</f>
        <v/>
      </c>
      <c r="AO811">
        <f>IF('TMP Paste'!$F811="","",IF('TMP Paste'!$P811="",$AO810,'TMP Paste'!$P811))</f>
        <v/>
      </c>
      <c r="AP811">
        <f>IF($AG811="","",LEN($R811))</f>
        <v/>
      </c>
      <c r="AQ811">
        <f>IF($AG811="","",TRIM(IF(COUNTIFS(Calc!$B$2:$B$1601,ROW()-1,Calc!$C$2:$C$1601,"&lt;1")&gt;0,"Ada PO tanpa Koli - cek TMP. ","")&amp;IF(LEN($R811)&gt;500,"R &gt; 500 karakter.","")))</f>
        <v/>
      </c>
    </row>
    <row r="812">
      <c r="A812">
        <f>IF($AG812="","",INDEX('TMP Paste'!$B$2:$B$1601,$AG812))</f>
        <v/>
      </c>
      <c r="B812">
        <f>IF($AG812="","",Config!$B$14)</f>
        <v/>
      </c>
      <c r="C812">
        <f>IF($AG812="","",Config!$B$15)</f>
        <v/>
      </c>
      <c r="D812">
        <f>IF($AG812="","",INDEX('TMP Paste'!$B$2:$B$1601,$AG812))</f>
        <v/>
      </c>
      <c r="E812">
        <f>IF($AG812="","",Config!$B$27)</f>
        <v/>
      </c>
      <c r="F812">
        <f>IF($AG812="","",Config!$B$9)</f>
        <v/>
      </c>
      <c r="G812">
        <f>IF($AG812="","",Config!$B$10)</f>
        <v/>
      </c>
      <c r="H812">
        <f>IF($AG812="","",Config!$B$11)</f>
        <v/>
      </c>
      <c r="I812">
        <f>IF($AG812="","",Config!$B$16)</f>
        <v/>
      </c>
      <c r="J812">
        <f>IF($AG812="","",INDEX('TMP Paste'!$A$2:$A$1601,$AG812))</f>
        <v/>
      </c>
      <c r="K812">
        <f>IF($AG812="","",INDEX('TMP Paste'!$L$2:$L$1601,$AG812))</f>
        <v/>
      </c>
      <c r="L812">
        <f>IF($AG812="","",INDEX('TMP Paste'!$I$2:$I$1601,$AG812))</f>
        <v/>
      </c>
      <c r="M812">
        <f>IF($AG812="","",Config!$B$16)</f>
        <v/>
      </c>
      <c r="N812">
        <f>IF($AG812="","","")</f>
        <v/>
      </c>
      <c r="O812">
        <f>IF($AG812="","",INDEX('TMP Paste'!$K$2:$K$1601,$AG812))</f>
        <v/>
      </c>
      <c r="P812">
        <f>IF($AG812="","","")</f>
        <v/>
      </c>
      <c r="Q812">
        <f>IF($AG812="","",INDEX('TMP Paste'!$J$2:$J$1601,$AG812))</f>
        <v/>
      </c>
      <c r="R812">
        <f>IF($AG812="","",Config!$B$24)</f>
        <v/>
      </c>
      <c r="S812">
        <f>IF($AG812="","",TEXT(Config!$B$4,"yyyy-mm-dd"))</f>
        <v/>
      </c>
      <c r="T812">
        <f>IF($AG812="","",Config!$B$17)</f>
        <v/>
      </c>
      <c r="U812">
        <f>IF($AG812="","",Config!$B$18)</f>
        <v/>
      </c>
      <c r="V812">
        <f>IF($AG812="","",Config!$B$19)</f>
        <v/>
      </c>
      <c r="W812">
        <f>IF($AG812="","",INDEX('TMP Paste'!$C$2:$C$1601,$AG812))</f>
        <v/>
      </c>
      <c r="X812">
        <f>IF($AG812="","",Config!$B$29)</f>
        <v/>
      </c>
      <c r="Y812">
        <f>IF($AH812="","",INDEX(Calc!$I$2:$I$1601,$AH812)&amp;" - "&amp;INDEX(Calc!$D$2:$D$1601,$AH812)&amp;" koli")</f>
        <v/>
      </c>
      <c r="Z812">
        <f>IF($AG812="","",Config!$B$21)</f>
        <v/>
      </c>
      <c r="AA812">
        <f>IF($AG812="","",Config!$B$22)</f>
        <v/>
      </c>
      <c r="AB812">
        <f>IF($AH812="","",INDEX(Calc!$D$2:$D$1601,$AH812))</f>
        <v/>
      </c>
      <c r="AC812">
        <f>IF($AH812="","",INDEX(Calc!$G$2:$G$1601,$AH812))</f>
        <v/>
      </c>
      <c r="AD812">
        <f>IF($AG812="","",Config!$B$23)</f>
        <v/>
      </c>
      <c r="AE812">
        <f>IF($AG812="","",Config!$B$28)</f>
        <v/>
      </c>
      <c r="AG812">
        <f>IFERROR(MATCH(ROW()-1,Calc!$J$2:$J$1601,0),"")</f>
        <v/>
      </c>
      <c r="AH812">
        <f>IFERROR(MATCH(ROW()-1,Calc!$K$2:$K$1601,0),"")</f>
        <v/>
      </c>
      <c r="AI812">
        <f>IF($AG812="","",SUMIF($AG$2:$AG812,$AG812,$AH$2:$AH812))</f>
        <v/>
      </c>
      <c r="AJ812">
        <f>IF('TMP Paste'!$F812="","",IF('TMP Paste'!$B812="",$AJ811,'TMP Paste'!$B812))</f>
        <v/>
      </c>
      <c r="AK812">
        <f>IF('TMP Paste'!$F812="","",N('TMP Paste'!$G812))</f>
        <v/>
      </c>
      <c r="AL812">
        <f>IF('TMP Paste'!$F812="","",IF('TMP Paste'!$M812="",$AL811,'TMP Paste'!$M812))</f>
        <v/>
      </c>
      <c r="AM812">
        <f>IF('TMP Paste'!$F812="","",IF('TMP Paste'!$N812="",$AM811,'TMP Paste'!$N812))</f>
        <v/>
      </c>
      <c r="AN812">
        <f>IF('TMP Paste'!$F812="","",IF('TMP Paste'!$O812="",$AN811,'TMP Paste'!$O812))</f>
        <v/>
      </c>
      <c r="AO812">
        <f>IF('TMP Paste'!$F812="","",IF('TMP Paste'!$P812="",$AO811,'TMP Paste'!$P812))</f>
        <v/>
      </c>
      <c r="AP812">
        <f>IF($AG812="","",LEN($R812))</f>
        <v/>
      </c>
      <c r="AQ812">
        <f>IF($AG812="","",TRIM(IF(COUNTIFS(Calc!$B$2:$B$1601,ROW()-1,Calc!$C$2:$C$1601,"&lt;1")&gt;0,"Ada PO tanpa Koli - cek TMP. ","")&amp;IF(LEN($R812)&gt;500,"R &gt; 500 karakter.","")))</f>
        <v/>
      </c>
    </row>
    <row r="813">
      <c r="A813">
        <f>IF($AG813="","",INDEX('TMP Paste'!$B$2:$B$1601,$AG813))</f>
        <v/>
      </c>
      <c r="B813">
        <f>IF($AG813="","",Config!$B$14)</f>
        <v/>
      </c>
      <c r="C813">
        <f>IF($AG813="","",Config!$B$15)</f>
        <v/>
      </c>
      <c r="D813">
        <f>IF($AG813="","",INDEX('TMP Paste'!$B$2:$B$1601,$AG813))</f>
        <v/>
      </c>
      <c r="E813">
        <f>IF($AG813="","",Config!$B$27)</f>
        <v/>
      </c>
      <c r="F813">
        <f>IF($AG813="","",Config!$B$9)</f>
        <v/>
      </c>
      <c r="G813">
        <f>IF($AG813="","",Config!$B$10)</f>
        <v/>
      </c>
      <c r="H813">
        <f>IF($AG813="","",Config!$B$11)</f>
        <v/>
      </c>
      <c r="I813">
        <f>IF($AG813="","",Config!$B$16)</f>
        <v/>
      </c>
      <c r="J813">
        <f>IF($AG813="","",INDEX('TMP Paste'!$A$2:$A$1601,$AG813))</f>
        <v/>
      </c>
      <c r="K813">
        <f>IF($AG813="","",INDEX('TMP Paste'!$L$2:$L$1601,$AG813))</f>
        <v/>
      </c>
      <c r="L813">
        <f>IF($AG813="","",INDEX('TMP Paste'!$I$2:$I$1601,$AG813))</f>
        <v/>
      </c>
      <c r="M813">
        <f>IF($AG813="","",Config!$B$16)</f>
        <v/>
      </c>
      <c r="N813">
        <f>IF($AG813="","","")</f>
        <v/>
      </c>
      <c r="O813">
        <f>IF($AG813="","",INDEX('TMP Paste'!$K$2:$K$1601,$AG813))</f>
        <v/>
      </c>
      <c r="P813">
        <f>IF($AG813="","","")</f>
        <v/>
      </c>
      <c r="Q813">
        <f>IF($AG813="","",INDEX('TMP Paste'!$J$2:$J$1601,$AG813))</f>
        <v/>
      </c>
      <c r="R813">
        <f>IF($AG813="","",Config!$B$24)</f>
        <v/>
      </c>
      <c r="S813">
        <f>IF($AG813="","",TEXT(Config!$B$4,"yyyy-mm-dd"))</f>
        <v/>
      </c>
      <c r="T813">
        <f>IF($AG813="","",Config!$B$17)</f>
        <v/>
      </c>
      <c r="U813">
        <f>IF($AG813="","",Config!$B$18)</f>
        <v/>
      </c>
      <c r="V813">
        <f>IF($AG813="","",Config!$B$19)</f>
        <v/>
      </c>
      <c r="W813">
        <f>IF($AG813="","",INDEX('TMP Paste'!$C$2:$C$1601,$AG813))</f>
        <v/>
      </c>
      <c r="X813">
        <f>IF($AG813="","",Config!$B$29)</f>
        <v/>
      </c>
      <c r="Y813">
        <f>IF($AH813="","",INDEX(Calc!$I$2:$I$1601,$AH813)&amp;" - "&amp;INDEX(Calc!$D$2:$D$1601,$AH813)&amp;" koli")</f>
        <v/>
      </c>
      <c r="Z813">
        <f>IF($AG813="","",Config!$B$21)</f>
        <v/>
      </c>
      <c r="AA813">
        <f>IF($AG813="","",Config!$B$22)</f>
        <v/>
      </c>
      <c r="AB813">
        <f>IF($AH813="","",INDEX(Calc!$D$2:$D$1601,$AH813))</f>
        <v/>
      </c>
      <c r="AC813">
        <f>IF($AH813="","",INDEX(Calc!$G$2:$G$1601,$AH813))</f>
        <v/>
      </c>
      <c r="AD813">
        <f>IF($AG813="","",Config!$B$23)</f>
        <v/>
      </c>
      <c r="AE813">
        <f>IF($AG813="","",Config!$B$28)</f>
        <v/>
      </c>
      <c r="AG813">
        <f>IFERROR(MATCH(ROW()-1,Calc!$J$2:$J$1601,0),"")</f>
        <v/>
      </c>
      <c r="AH813">
        <f>IFERROR(MATCH(ROW()-1,Calc!$K$2:$K$1601,0),"")</f>
        <v/>
      </c>
      <c r="AI813">
        <f>IF($AG813="","",SUMIF($AG$2:$AG813,$AG813,$AH$2:$AH813))</f>
        <v/>
      </c>
      <c r="AJ813">
        <f>IF('TMP Paste'!$F813="","",IF('TMP Paste'!$B813="",$AJ812,'TMP Paste'!$B813))</f>
        <v/>
      </c>
      <c r="AK813">
        <f>IF('TMP Paste'!$F813="","",N('TMP Paste'!$G813))</f>
        <v/>
      </c>
      <c r="AL813">
        <f>IF('TMP Paste'!$F813="","",IF('TMP Paste'!$M813="",$AL812,'TMP Paste'!$M813))</f>
        <v/>
      </c>
      <c r="AM813">
        <f>IF('TMP Paste'!$F813="","",IF('TMP Paste'!$N813="",$AM812,'TMP Paste'!$N813))</f>
        <v/>
      </c>
      <c r="AN813">
        <f>IF('TMP Paste'!$F813="","",IF('TMP Paste'!$O813="",$AN812,'TMP Paste'!$O813))</f>
        <v/>
      </c>
      <c r="AO813">
        <f>IF('TMP Paste'!$F813="","",IF('TMP Paste'!$P813="",$AO812,'TMP Paste'!$P813))</f>
        <v/>
      </c>
      <c r="AP813">
        <f>IF($AG813="","",LEN($R813))</f>
        <v/>
      </c>
      <c r="AQ813">
        <f>IF($AG813="","",TRIM(IF(COUNTIFS(Calc!$B$2:$B$1601,ROW()-1,Calc!$C$2:$C$1601,"&lt;1")&gt;0,"Ada PO tanpa Koli - cek TMP. ","")&amp;IF(LEN($R813)&gt;500,"R &gt; 500 karakter.","")))</f>
        <v/>
      </c>
    </row>
    <row r="814">
      <c r="A814">
        <f>IF($AG814="","",INDEX('TMP Paste'!$B$2:$B$1601,$AG814))</f>
        <v/>
      </c>
      <c r="B814">
        <f>IF($AG814="","",Config!$B$14)</f>
        <v/>
      </c>
      <c r="C814">
        <f>IF($AG814="","",Config!$B$15)</f>
        <v/>
      </c>
      <c r="D814">
        <f>IF($AG814="","",INDEX('TMP Paste'!$B$2:$B$1601,$AG814))</f>
        <v/>
      </c>
      <c r="E814">
        <f>IF($AG814="","",Config!$B$27)</f>
        <v/>
      </c>
      <c r="F814">
        <f>IF($AG814="","",Config!$B$9)</f>
        <v/>
      </c>
      <c r="G814">
        <f>IF($AG814="","",Config!$B$10)</f>
        <v/>
      </c>
      <c r="H814">
        <f>IF($AG814="","",Config!$B$11)</f>
        <v/>
      </c>
      <c r="I814">
        <f>IF($AG814="","",Config!$B$16)</f>
        <v/>
      </c>
      <c r="J814">
        <f>IF($AG814="","",INDEX('TMP Paste'!$A$2:$A$1601,$AG814))</f>
        <v/>
      </c>
      <c r="K814">
        <f>IF($AG814="","",INDEX('TMP Paste'!$L$2:$L$1601,$AG814))</f>
        <v/>
      </c>
      <c r="L814">
        <f>IF($AG814="","",INDEX('TMP Paste'!$I$2:$I$1601,$AG814))</f>
        <v/>
      </c>
      <c r="M814">
        <f>IF($AG814="","",Config!$B$16)</f>
        <v/>
      </c>
      <c r="N814">
        <f>IF($AG814="","","")</f>
        <v/>
      </c>
      <c r="O814">
        <f>IF($AG814="","",INDEX('TMP Paste'!$K$2:$K$1601,$AG814))</f>
        <v/>
      </c>
      <c r="P814">
        <f>IF($AG814="","","")</f>
        <v/>
      </c>
      <c r="Q814">
        <f>IF($AG814="","",INDEX('TMP Paste'!$J$2:$J$1601,$AG814))</f>
        <v/>
      </c>
      <c r="R814">
        <f>IF($AG814="","",Config!$B$24)</f>
        <v/>
      </c>
      <c r="S814">
        <f>IF($AG814="","",TEXT(Config!$B$4,"yyyy-mm-dd"))</f>
        <v/>
      </c>
      <c r="T814">
        <f>IF($AG814="","",Config!$B$17)</f>
        <v/>
      </c>
      <c r="U814">
        <f>IF($AG814="","",Config!$B$18)</f>
        <v/>
      </c>
      <c r="V814">
        <f>IF($AG814="","",Config!$B$19)</f>
        <v/>
      </c>
      <c r="W814">
        <f>IF($AG814="","",INDEX('TMP Paste'!$C$2:$C$1601,$AG814))</f>
        <v/>
      </c>
      <c r="X814">
        <f>IF($AG814="","",Config!$B$29)</f>
        <v/>
      </c>
      <c r="Y814">
        <f>IF($AH814="","",INDEX(Calc!$I$2:$I$1601,$AH814)&amp;" - "&amp;INDEX(Calc!$D$2:$D$1601,$AH814)&amp;" koli")</f>
        <v/>
      </c>
      <c r="Z814">
        <f>IF($AG814="","",Config!$B$21)</f>
        <v/>
      </c>
      <c r="AA814">
        <f>IF($AG814="","",Config!$B$22)</f>
        <v/>
      </c>
      <c r="AB814">
        <f>IF($AH814="","",INDEX(Calc!$D$2:$D$1601,$AH814))</f>
        <v/>
      </c>
      <c r="AC814">
        <f>IF($AH814="","",INDEX(Calc!$G$2:$G$1601,$AH814))</f>
        <v/>
      </c>
      <c r="AD814">
        <f>IF($AG814="","",Config!$B$23)</f>
        <v/>
      </c>
      <c r="AE814">
        <f>IF($AG814="","",Config!$B$28)</f>
        <v/>
      </c>
      <c r="AG814">
        <f>IFERROR(MATCH(ROW()-1,Calc!$J$2:$J$1601,0),"")</f>
        <v/>
      </c>
      <c r="AH814">
        <f>IFERROR(MATCH(ROW()-1,Calc!$K$2:$K$1601,0),"")</f>
        <v/>
      </c>
      <c r="AI814">
        <f>IF($AG814="","",SUMIF($AG$2:$AG814,$AG814,$AH$2:$AH814))</f>
        <v/>
      </c>
      <c r="AJ814">
        <f>IF('TMP Paste'!$F814="","",IF('TMP Paste'!$B814="",$AJ813,'TMP Paste'!$B814))</f>
        <v/>
      </c>
      <c r="AK814">
        <f>IF('TMP Paste'!$F814="","",N('TMP Paste'!$G814))</f>
        <v/>
      </c>
      <c r="AL814">
        <f>IF('TMP Paste'!$F814="","",IF('TMP Paste'!$M814="",$AL813,'TMP Paste'!$M814))</f>
        <v/>
      </c>
      <c r="AM814">
        <f>IF('TMP Paste'!$F814="","",IF('TMP Paste'!$N814="",$AM813,'TMP Paste'!$N814))</f>
        <v/>
      </c>
      <c r="AN814">
        <f>IF('TMP Paste'!$F814="","",IF('TMP Paste'!$O814="",$AN813,'TMP Paste'!$O814))</f>
        <v/>
      </c>
      <c r="AO814">
        <f>IF('TMP Paste'!$F814="","",IF('TMP Paste'!$P814="",$AO813,'TMP Paste'!$P814))</f>
        <v/>
      </c>
      <c r="AP814">
        <f>IF($AG814="","",LEN($R814))</f>
        <v/>
      </c>
      <c r="AQ814">
        <f>IF($AG814="","",TRIM(IF(COUNTIFS(Calc!$B$2:$B$1601,ROW()-1,Calc!$C$2:$C$1601,"&lt;1")&gt;0,"Ada PO tanpa Koli - cek TMP. ","")&amp;IF(LEN($R814)&gt;500,"R &gt; 500 karakter.","")))</f>
        <v/>
      </c>
    </row>
    <row r="815">
      <c r="A815">
        <f>IF($AG815="","",INDEX('TMP Paste'!$B$2:$B$1601,$AG815))</f>
        <v/>
      </c>
      <c r="B815">
        <f>IF($AG815="","",Config!$B$14)</f>
        <v/>
      </c>
      <c r="C815">
        <f>IF($AG815="","",Config!$B$15)</f>
        <v/>
      </c>
      <c r="D815">
        <f>IF($AG815="","",INDEX('TMP Paste'!$B$2:$B$1601,$AG815))</f>
        <v/>
      </c>
      <c r="E815">
        <f>IF($AG815="","",Config!$B$27)</f>
        <v/>
      </c>
      <c r="F815">
        <f>IF($AG815="","",Config!$B$9)</f>
        <v/>
      </c>
      <c r="G815">
        <f>IF($AG815="","",Config!$B$10)</f>
        <v/>
      </c>
      <c r="H815">
        <f>IF($AG815="","",Config!$B$11)</f>
        <v/>
      </c>
      <c r="I815">
        <f>IF($AG815="","",Config!$B$16)</f>
        <v/>
      </c>
      <c r="J815">
        <f>IF($AG815="","",INDEX('TMP Paste'!$A$2:$A$1601,$AG815))</f>
        <v/>
      </c>
      <c r="K815">
        <f>IF($AG815="","",INDEX('TMP Paste'!$L$2:$L$1601,$AG815))</f>
        <v/>
      </c>
      <c r="L815">
        <f>IF($AG815="","",INDEX('TMP Paste'!$I$2:$I$1601,$AG815))</f>
        <v/>
      </c>
      <c r="M815">
        <f>IF($AG815="","",Config!$B$16)</f>
        <v/>
      </c>
      <c r="N815">
        <f>IF($AG815="","","")</f>
        <v/>
      </c>
      <c r="O815">
        <f>IF($AG815="","",INDEX('TMP Paste'!$K$2:$K$1601,$AG815))</f>
        <v/>
      </c>
      <c r="P815">
        <f>IF($AG815="","","")</f>
        <v/>
      </c>
      <c r="Q815">
        <f>IF($AG815="","",INDEX('TMP Paste'!$J$2:$J$1601,$AG815))</f>
        <v/>
      </c>
      <c r="R815">
        <f>IF($AG815="","",Config!$B$24)</f>
        <v/>
      </c>
      <c r="S815">
        <f>IF($AG815="","",TEXT(Config!$B$4,"yyyy-mm-dd"))</f>
        <v/>
      </c>
      <c r="T815">
        <f>IF($AG815="","",Config!$B$17)</f>
        <v/>
      </c>
      <c r="U815">
        <f>IF($AG815="","",Config!$B$18)</f>
        <v/>
      </c>
      <c r="V815">
        <f>IF($AG815="","",Config!$B$19)</f>
        <v/>
      </c>
      <c r="W815">
        <f>IF($AG815="","",INDEX('TMP Paste'!$C$2:$C$1601,$AG815))</f>
        <v/>
      </c>
      <c r="X815">
        <f>IF($AG815="","",Config!$B$29)</f>
        <v/>
      </c>
      <c r="Y815">
        <f>IF($AH815="","",INDEX(Calc!$I$2:$I$1601,$AH815)&amp;" - "&amp;INDEX(Calc!$D$2:$D$1601,$AH815)&amp;" koli")</f>
        <v/>
      </c>
      <c r="Z815">
        <f>IF($AG815="","",Config!$B$21)</f>
        <v/>
      </c>
      <c r="AA815">
        <f>IF($AG815="","",Config!$B$22)</f>
        <v/>
      </c>
      <c r="AB815">
        <f>IF($AH815="","",INDEX(Calc!$D$2:$D$1601,$AH815))</f>
        <v/>
      </c>
      <c r="AC815">
        <f>IF($AH815="","",INDEX(Calc!$G$2:$G$1601,$AH815))</f>
        <v/>
      </c>
      <c r="AD815">
        <f>IF($AG815="","",Config!$B$23)</f>
        <v/>
      </c>
      <c r="AE815">
        <f>IF($AG815="","",Config!$B$28)</f>
        <v/>
      </c>
      <c r="AG815">
        <f>IFERROR(MATCH(ROW()-1,Calc!$J$2:$J$1601,0),"")</f>
        <v/>
      </c>
      <c r="AH815">
        <f>IFERROR(MATCH(ROW()-1,Calc!$K$2:$K$1601,0),"")</f>
        <v/>
      </c>
      <c r="AI815">
        <f>IF($AG815="","",SUMIF($AG$2:$AG815,$AG815,$AH$2:$AH815))</f>
        <v/>
      </c>
      <c r="AJ815">
        <f>IF('TMP Paste'!$F815="","",IF('TMP Paste'!$B815="",$AJ814,'TMP Paste'!$B815))</f>
        <v/>
      </c>
      <c r="AK815">
        <f>IF('TMP Paste'!$F815="","",N('TMP Paste'!$G815))</f>
        <v/>
      </c>
      <c r="AL815">
        <f>IF('TMP Paste'!$F815="","",IF('TMP Paste'!$M815="",$AL814,'TMP Paste'!$M815))</f>
        <v/>
      </c>
      <c r="AM815">
        <f>IF('TMP Paste'!$F815="","",IF('TMP Paste'!$N815="",$AM814,'TMP Paste'!$N815))</f>
        <v/>
      </c>
      <c r="AN815">
        <f>IF('TMP Paste'!$F815="","",IF('TMP Paste'!$O815="",$AN814,'TMP Paste'!$O815))</f>
        <v/>
      </c>
      <c r="AO815">
        <f>IF('TMP Paste'!$F815="","",IF('TMP Paste'!$P815="",$AO814,'TMP Paste'!$P815))</f>
        <v/>
      </c>
      <c r="AP815">
        <f>IF($AG815="","",LEN($R815))</f>
        <v/>
      </c>
      <c r="AQ815">
        <f>IF($AG815="","",TRIM(IF(COUNTIFS(Calc!$B$2:$B$1601,ROW()-1,Calc!$C$2:$C$1601,"&lt;1")&gt;0,"Ada PO tanpa Koli - cek TMP. ","")&amp;IF(LEN($R815)&gt;500,"R &gt; 500 karakter.","")))</f>
        <v/>
      </c>
    </row>
    <row r="816">
      <c r="A816">
        <f>IF($AG816="","",INDEX('TMP Paste'!$B$2:$B$1601,$AG816))</f>
        <v/>
      </c>
      <c r="B816">
        <f>IF($AG816="","",Config!$B$14)</f>
        <v/>
      </c>
      <c r="C816">
        <f>IF($AG816="","",Config!$B$15)</f>
        <v/>
      </c>
      <c r="D816">
        <f>IF($AG816="","",INDEX('TMP Paste'!$B$2:$B$1601,$AG816))</f>
        <v/>
      </c>
      <c r="E816">
        <f>IF($AG816="","",Config!$B$27)</f>
        <v/>
      </c>
      <c r="F816">
        <f>IF($AG816="","",Config!$B$9)</f>
        <v/>
      </c>
      <c r="G816">
        <f>IF($AG816="","",Config!$B$10)</f>
        <v/>
      </c>
      <c r="H816">
        <f>IF($AG816="","",Config!$B$11)</f>
        <v/>
      </c>
      <c r="I816">
        <f>IF($AG816="","",Config!$B$16)</f>
        <v/>
      </c>
      <c r="J816">
        <f>IF($AG816="","",INDEX('TMP Paste'!$A$2:$A$1601,$AG816))</f>
        <v/>
      </c>
      <c r="K816">
        <f>IF($AG816="","",INDEX('TMP Paste'!$L$2:$L$1601,$AG816))</f>
        <v/>
      </c>
      <c r="L816">
        <f>IF($AG816="","",INDEX('TMP Paste'!$I$2:$I$1601,$AG816))</f>
        <v/>
      </c>
      <c r="M816">
        <f>IF($AG816="","",Config!$B$16)</f>
        <v/>
      </c>
      <c r="N816">
        <f>IF($AG816="","","")</f>
        <v/>
      </c>
      <c r="O816">
        <f>IF($AG816="","",INDEX('TMP Paste'!$K$2:$K$1601,$AG816))</f>
        <v/>
      </c>
      <c r="P816">
        <f>IF($AG816="","","")</f>
        <v/>
      </c>
      <c r="Q816">
        <f>IF($AG816="","",INDEX('TMP Paste'!$J$2:$J$1601,$AG816))</f>
        <v/>
      </c>
      <c r="R816">
        <f>IF($AG816="","",Config!$B$24)</f>
        <v/>
      </c>
      <c r="S816">
        <f>IF($AG816="","",TEXT(Config!$B$4,"yyyy-mm-dd"))</f>
        <v/>
      </c>
      <c r="T816">
        <f>IF($AG816="","",Config!$B$17)</f>
        <v/>
      </c>
      <c r="U816">
        <f>IF($AG816="","",Config!$B$18)</f>
        <v/>
      </c>
      <c r="V816">
        <f>IF($AG816="","",Config!$B$19)</f>
        <v/>
      </c>
      <c r="W816">
        <f>IF($AG816="","",INDEX('TMP Paste'!$C$2:$C$1601,$AG816))</f>
        <v/>
      </c>
      <c r="X816">
        <f>IF($AG816="","",Config!$B$29)</f>
        <v/>
      </c>
      <c r="Y816">
        <f>IF($AH816="","",INDEX(Calc!$I$2:$I$1601,$AH816)&amp;" - "&amp;INDEX(Calc!$D$2:$D$1601,$AH816)&amp;" koli")</f>
        <v/>
      </c>
      <c r="Z816">
        <f>IF($AG816="","",Config!$B$21)</f>
        <v/>
      </c>
      <c r="AA816">
        <f>IF($AG816="","",Config!$B$22)</f>
        <v/>
      </c>
      <c r="AB816">
        <f>IF($AH816="","",INDEX(Calc!$D$2:$D$1601,$AH816))</f>
        <v/>
      </c>
      <c r="AC816">
        <f>IF($AH816="","",INDEX(Calc!$G$2:$G$1601,$AH816))</f>
        <v/>
      </c>
      <c r="AD816">
        <f>IF($AG816="","",Config!$B$23)</f>
        <v/>
      </c>
      <c r="AE816">
        <f>IF($AG816="","",Config!$B$28)</f>
        <v/>
      </c>
      <c r="AG816">
        <f>IFERROR(MATCH(ROW()-1,Calc!$J$2:$J$1601,0),"")</f>
        <v/>
      </c>
      <c r="AH816">
        <f>IFERROR(MATCH(ROW()-1,Calc!$K$2:$K$1601,0),"")</f>
        <v/>
      </c>
      <c r="AI816">
        <f>IF($AG816="","",SUMIF($AG$2:$AG816,$AG816,$AH$2:$AH816))</f>
        <v/>
      </c>
      <c r="AJ816">
        <f>IF('TMP Paste'!$F816="","",IF('TMP Paste'!$B816="",$AJ815,'TMP Paste'!$B816))</f>
        <v/>
      </c>
      <c r="AK816">
        <f>IF('TMP Paste'!$F816="","",N('TMP Paste'!$G816))</f>
        <v/>
      </c>
      <c r="AL816">
        <f>IF('TMP Paste'!$F816="","",IF('TMP Paste'!$M816="",$AL815,'TMP Paste'!$M816))</f>
        <v/>
      </c>
      <c r="AM816">
        <f>IF('TMP Paste'!$F816="","",IF('TMP Paste'!$N816="",$AM815,'TMP Paste'!$N816))</f>
        <v/>
      </c>
      <c r="AN816">
        <f>IF('TMP Paste'!$F816="","",IF('TMP Paste'!$O816="",$AN815,'TMP Paste'!$O816))</f>
        <v/>
      </c>
      <c r="AO816">
        <f>IF('TMP Paste'!$F816="","",IF('TMP Paste'!$P816="",$AO815,'TMP Paste'!$P816))</f>
        <v/>
      </c>
      <c r="AP816">
        <f>IF($AG816="","",LEN($R816))</f>
        <v/>
      </c>
      <c r="AQ816">
        <f>IF($AG816="","",TRIM(IF(COUNTIFS(Calc!$B$2:$B$1601,ROW()-1,Calc!$C$2:$C$1601,"&lt;1")&gt;0,"Ada PO tanpa Koli - cek TMP. ","")&amp;IF(LEN($R816)&gt;500,"R &gt; 500 karakter.","")))</f>
        <v/>
      </c>
    </row>
    <row r="817">
      <c r="A817">
        <f>IF($AG817="","",INDEX('TMP Paste'!$B$2:$B$1601,$AG817))</f>
        <v/>
      </c>
      <c r="B817">
        <f>IF($AG817="","",Config!$B$14)</f>
        <v/>
      </c>
      <c r="C817">
        <f>IF($AG817="","",Config!$B$15)</f>
        <v/>
      </c>
      <c r="D817">
        <f>IF($AG817="","",INDEX('TMP Paste'!$B$2:$B$1601,$AG817))</f>
        <v/>
      </c>
      <c r="E817">
        <f>IF($AG817="","",Config!$B$27)</f>
        <v/>
      </c>
      <c r="F817">
        <f>IF($AG817="","",Config!$B$9)</f>
        <v/>
      </c>
      <c r="G817">
        <f>IF($AG817="","",Config!$B$10)</f>
        <v/>
      </c>
      <c r="H817">
        <f>IF($AG817="","",Config!$B$11)</f>
        <v/>
      </c>
      <c r="I817">
        <f>IF($AG817="","",Config!$B$16)</f>
        <v/>
      </c>
      <c r="J817">
        <f>IF($AG817="","",INDEX('TMP Paste'!$A$2:$A$1601,$AG817))</f>
        <v/>
      </c>
      <c r="K817">
        <f>IF($AG817="","",INDEX('TMP Paste'!$L$2:$L$1601,$AG817))</f>
        <v/>
      </c>
      <c r="L817">
        <f>IF($AG817="","",INDEX('TMP Paste'!$I$2:$I$1601,$AG817))</f>
        <v/>
      </c>
      <c r="M817">
        <f>IF($AG817="","",Config!$B$16)</f>
        <v/>
      </c>
      <c r="N817">
        <f>IF($AG817="","","")</f>
        <v/>
      </c>
      <c r="O817">
        <f>IF($AG817="","",INDEX('TMP Paste'!$K$2:$K$1601,$AG817))</f>
        <v/>
      </c>
      <c r="P817">
        <f>IF($AG817="","","")</f>
        <v/>
      </c>
      <c r="Q817">
        <f>IF($AG817="","",INDEX('TMP Paste'!$J$2:$J$1601,$AG817))</f>
        <v/>
      </c>
      <c r="R817">
        <f>IF($AG817="","",Config!$B$24)</f>
        <v/>
      </c>
      <c r="S817">
        <f>IF($AG817="","",TEXT(Config!$B$4,"yyyy-mm-dd"))</f>
        <v/>
      </c>
      <c r="T817">
        <f>IF($AG817="","",Config!$B$17)</f>
        <v/>
      </c>
      <c r="U817">
        <f>IF($AG817="","",Config!$B$18)</f>
        <v/>
      </c>
      <c r="V817">
        <f>IF($AG817="","",Config!$B$19)</f>
        <v/>
      </c>
      <c r="W817">
        <f>IF($AG817="","",INDEX('TMP Paste'!$C$2:$C$1601,$AG817))</f>
        <v/>
      </c>
      <c r="X817">
        <f>IF($AG817="","",Config!$B$29)</f>
        <v/>
      </c>
      <c r="Y817">
        <f>IF($AH817="","",INDEX(Calc!$I$2:$I$1601,$AH817)&amp;" - "&amp;INDEX(Calc!$D$2:$D$1601,$AH817)&amp;" koli")</f>
        <v/>
      </c>
      <c r="Z817">
        <f>IF($AG817="","",Config!$B$21)</f>
        <v/>
      </c>
      <c r="AA817">
        <f>IF($AG817="","",Config!$B$22)</f>
        <v/>
      </c>
      <c r="AB817">
        <f>IF($AH817="","",INDEX(Calc!$D$2:$D$1601,$AH817))</f>
        <v/>
      </c>
      <c r="AC817">
        <f>IF($AH817="","",INDEX(Calc!$G$2:$G$1601,$AH817))</f>
        <v/>
      </c>
      <c r="AD817">
        <f>IF($AG817="","",Config!$B$23)</f>
        <v/>
      </c>
      <c r="AE817">
        <f>IF($AG817="","",Config!$B$28)</f>
        <v/>
      </c>
      <c r="AG817">
        <f>IFERROR(MATCH(ROW()-1,Calc!$J$2:$J$1601,0),"")</f>
        <v/>
      </c>
      <c r="AH817">
        <f>IFERROR(MATCH(ROW()-1,Calc!$K$2:$K$1601,0),"")</f>
        <v/>
      </c>
      <c r="AI817">
        <f>IF($AG817="","",SUMIF($AG$2:$AG817,$AG817,$AH$2:$AH817))</f>
        <v/>
      </c>
      <c r="AJ817">
        <f>IF('TMP Paste'!$F817="","",IF('TMP Paste'!$B817="",$AJ816,'TMP Paste'!$B817))</f>
        <v/>
      </c>
      <c r="AK817">
        <f>IF('TMP Paste'!$F817="","",N('TMP Paste'!$G817))</f>
        <v/>
      </c>
      <c r="AL817">
        <f>IF('TMP Paste'!$F817="","",IF('TMP Paste'!$M817="",$AL816,'TMP Paste'!$M817))</f>
        <v/>
      </c>
      <c r="AM817">
        <f>IF('TMP Paste'!$F817="","",IF('TMP Paste'!$N817="",$AM816,'TMP Paste'!$N817))</f>
        <v/>
      </c>
      <c r="AN817">
        <f>IF('TMP Paste'!$F817="","",IF('TMP Paste'!$O817="",$AN816,'TMP Paste'!$O817))</f>
        <v/>
      </c>
      <c r="AO817">
        <f>IF('TMP Paste'!$F817="","",IF('TMP Paste'!$P817="",$AO816,'TMP Paste'!$P817))</f>
        <v/>
      </c>
      <c r="AP817">
        <f>IF($AG817="","",LEN($R817))</f>
        <v/>
      </c>
      <c r="AQ817">
        <f>IF($AG817="","",TRIM(IF(COUNTIFS(Calc!$B$2:$B$1601,ROW()-1,Calc!$C$2:$C$1601,"&lt;1")&gt;0,"Ada PO tanpa Koli - cek TMP. ","")&amp;IF(LEN($R817)&gt;500,"R &gt; 500 karakter.","")))</f>
        <v/>
      </c>
    </row>
    <row r="818">
      <c r="A818">
        <f>IF($AG818="","",INDEX('TMP Paste'!$B$2:$B$1601,$AG818))</f>
        <v/>
      </c>
      <c r="B818">
        <f>IF($AG818="","",Config!$B$14)</f>
        <v/>
      </c>
      <c r="C818">
        <f>IF($AG818="","",Config!$B$15)</f>
        <v/>
      </c>
      <c r="D818">
        <f>IF($AG818="","",INDEX('TMP Paste'!$B$2:$B$1601,$AG818))</f>
        <v/>
      </c>
      <c r="E818">
        <f>IF($AG818="","",Config!$B$27)</f>
        <v/>
      </c>
      <c r="F818">
        <f>IF($AG818="","",Config!$B$9)</f>
        <v/>
      </c>
      <c r="G818">
        <f>IF($AG818="","",Config!$B$10)</f>
        <v/>
      </c>
      <c r="H818">
        <f>IF($AG818="","",Config!$B$11)</f>
        <v/>
      </c>
      <c r="I818">
        <f>IF($AG818="","",Config!$B$16)</f>
        <v/>
      </c>
      <c r="J818">
        <f>IF($AG818="","",INDEX('TMP Paste'!$A$2:$A$1601,$AG818))</f>
        <v/>
      </c>
      <c r="K818">
        <f>IF($AG818="","",INDEX('TMP Paste'!$L$2:$L$1601,$AG818))</f>
        <v/>
      </c>
      <c r="L818">
        <f>IF($AG818="","",INDEX('TMP Paste'!$I$2:$I$1601,$AG818))</f>
        <v/>
      </c>
      <c r="M818">
        <f>IF($AG818="","",Config!$B$16)</f>
        <v/>
      </c>
      <c r="N818">
        <f>IF($AG818="","","")</f>
        <v/>
      </c>
      <c r="O818">
        <f>IF($AG818="","",INDEX('TMP Paste'!$K$2:$K$1601,$AG818))</f>
        <v/>
      </c>
      <c r="P818">
        <f>IF($AG818="","","")</f>
        <v/>
      </c>
      <c r="Q818">
        <f>IF($AG818="","",INDEX('TMP Paste'!$J$2:$J$1601,$AG818))</f>
        <v/>
      </c>
      <c r="R818">
        <f>IF($AG818="","",Config!$B$24)</f>
        <v/>
      </c>
      <c r="S818">
        <f>IF($AG818="","",TEXT(Config!$B$4,"yyyy-mm-dd"))</f>
        <v/>
      </c>
      <c r="T818">
        <f>IF($AG818="","",Config!$B$17)</f>
        <v/>
      </c>
      <c r="U818">
        <f>IF($AG818="","",Config!$B$18)</f>
        <v/>
      </c>
      <c r="V818">
        <f>IF($AG818="","",Config!$B$19)</f>
        <v/>
      </c>
      <c r="W818">
        <f>IF($AG818="","",INDEX('TMP Paste'!$C$2:$C$1601,$AG818))</f>
        <v/>
      </c>
      <c r="X818">
        <f>IF($AG818="","",Config!$B$29)</f>
        <v/>
      </c>
      <c r="Y818">
        <f>IF($AH818="","",INDEX(Calc!$I$2:$I$1601,$AH818)&amp;" - "&amp;INDEX(Calc!$D$2:$D$1601,$AH818)&amp;" koli")</f>
        <v/>
      </c>
      <c r="Z818">
        <f>IF($AG818="","",Config!$B$21)</f>
        <v/>
      </c>
      <c r="AA818">
        <f>IF($AG818="","",Config!$B$22)</f>
        <v/>
      </c>
      <c r="AB818">
        <f>IF($AH818="","",INDEX(Calc!$D$2:$D$1601,$AH818))</f>
        <v/>
      </c>
      <c r="AC818">
        <f>IF($AH818="","",INDEX(Calc!$G$2:$G$1601,$AH818))</f>
        <v/>
      </c>
      <c r="AD818">
        <f>IF($AG818="","",Config!$B$23)</f>
        <v/>
      </c>
      <c r="AE818">
        <f>IF($AG818="","",Config!$B$28)</f>
        <v/>
      </c>
      <c r="AG818">
        <f>IFERROR(MATCH(ROW()-1,Calc!$J$2:$J$1601,0),"")</f>
        <v/>
      </c>
      <c r="AH818">
        <f>IFERROR(MATCH(ROW()-1,Calc!$K$2:$K$1601,0),"")</f>
        <v/>
      </c>
      <c r="AI818">
        <f>IF($AG818="","",SUMIF($AG$2:$AG818,$AG818,$AH$2:$AH818))</f>
        <v/>
      </c>
      <c r="AJ818">
        <f>IF('TMP Paste'!$F818="","",IF('TMP Paste'!$B818="",$AJ817,'TMP Paste'!$B818))</f>
        <v/>
      </c>
      <c r="AK818">
        <f>IF('TMP Paste'!$F818="","",N('TMP Paste'!$G818))</f>
        <v/>
      </c>
      <c r="AL818">
        <f>IF('TMP Paste'!$F818="","",IF('TMP Paste'!$M818="",$AL817,'TMP Paste'!$M818))</f>
        <v/>
      </c>
      <c r="AM818">
        <f>IF('TMP Paste'!$F818="","",IF('TMP Paste'!$N818="",$AM817,'TMP Paste'!$N818))</f>
        <v/>
      </c>
      <c r="AN818">
        <f>IF('TMP Paste'!$F818="","",IF('TMP Paste'!$O818="",$AN817,'TMP Paste'!$O818))</f>
        <v/>
      </c>
      <c r="AO818">
        <f>IF('TMP Paste'!$F818="","",IF('TMP Paste'!$P818="",$AO817,'TMP Paste'!$P818))</f>
        <v/>
      </c>
      <c r="AP818">
        <f>IF($AG818="","",LEN($R818))</f>
        <v/>
      </c>
      <c r="AQ818">
        <f>IF($AG818="","",TRIM(IF(COUNTIFS(Calc!$B$2:$B$1601,ROW()-1,Calc!$C$2:$C$1601,"&lt;1")&gt;0,"Ada PO tanpa Koli - cek TMP. ","")&amp;IF(LEN($R818)&gt;500,"R &gt; 500 karakter.","")))</f>
        <v/>
      </c>
    </row>
    <row r="819">
      <c r="A819">
        <f>IF($AG819="","",INDEX('TMP Paste'!$B$2:$B$1601,$AG819))</f>
        <v/>
      </c>
      <c r="B819">
        <f>IF($AG819="","",Config!$B$14)</f>
        <v/>
      </c>
      <c r="C819">
        <f>IF($AG819="","",Config!$B$15)</f>
        <v/>
      </c>
      <c r="D819">
        <f>IF($AG819="","",INDEX('TMP Paste'!$B$2:$B$1601,$AG819))</f>
        <v/>
      </c>
      <c r="E819">
        <f>IF($AG819="","",Config!$B$27)</f>
        <v/>
      </c>
      <c r="F819">
        <f>IF($AG819="","",Config!$B$9)</f>
        <v/>
      </c>
      <c r="G819">
        <f>IF($AG819="","",Config!$B$10)</f>
        <v/>
      </c>
      <c r="H819">
        <f>IF($AG819="","",Config!$B$11)</f>
        <v/>
      </c>
      <c r="I819">
        <f>IF($AG819="","",Config!$B$16)</f>
        <v/>
      </c>
      <c r="J819">
        <f>IF($AG819="","",INDEX('TMP Paste'!$A$2:$A$1601,$AG819))</f>
        <v/>
      </c>
      <c r="K819">
        <f>IF($AG819="","",INDEX('TMP Paste'!$L$2:$L$1601,$AG819))</f>
        <v/>
      </c>
      <c r="L819">
        <f>IF($AG819="","",INDEX('TMP Paste'!$I$2:$I$1601,$AG819))</f>
        <v/>
      </c>
      <c r="M819">
        <f>IF($AG819="","",Config!$B$16)</f>
        <v/>
      </c>
      <c r="N819">
        <f>IF($AG819="","","")</f>
        <v/>
      </c>
      <c r="O819">
        <f>IF($AG819="","",INDEX('TMP Paste'!$K$2:$K$1601,$AG819))</f>
        <v/>
      </c>
      <c r="P819">
        <f>IF($AG819="","","")</f>
        <v/>
      </c>
      <c r="Q819">
        <f>IF($AG819="","",INDEX('TMP Paste'!$J$2:$J$1601,$AG819))</f>
        <v/>
      </c>
      <c r="R819">
        <f>IF($AG819="","",Config!$B$24)</f>
        <v/>
      </c>
      <c r="S819">
        <f>IF($AG819="","",TEXT(Config!$B$4,"yyyy-mm-dd"))</f>
        <v/>
      </c>
      <c r="T819">
        <f>IF($AG819="","",Config!$B$17)</f>
        <v/>
      </c>
      <c r="U819">
        <f>IF($AG819="","",Config!$B$18)</f>
        <v/>
      </c>
      <c r="V819">
        <f>IF($AG819="","",Config!$B$19)</f>
        <v/>
      </c>
      <c r="W819">
        <f>IF($AG819="","",INDEX('TMP Paste'!$C$2:$C$1601,$AG819))</f>
        <v/>
      </c>
      <c r="X819">
        <f>IF($AG819="","",Config!$B$29)</f>
        <v/>
      </c>
      <c r="Y819">
        <f>IF($AH819="","",INDEX(Calc!$I$2:$I$1601,$AH819)&amp;" - "&amp;INDEX(Calc!$D$2:$D$1601,$AH819)&amp;" koli")</f>
        <v/>
      </c>
      <c r="Z819">
        <f>IF($AG819="","",Config!$B$21)</f>
        <v/>
      </c>
      <c r="AA819">
        <f>IF($AG819="","",Config!$B$22)</f>
        <v/>
      </c>
      <c r="AB819">
        <f>IF($AH819="","",INDEX(Calc!$D$2:$D$1601,$AH819))</f>
        <v/>
      </c>
      <c r="AC819">
        <f>IF($AH819="","",INDEX(Calc!$G$2:$G$1601,$AH819))</f>
        <v/>
      </c>
      <c r="AD819">
        <f>IF($AG819="","",Config!$B$23)</f>
        <v/>
      </c>
      <c r="AE819">
        <f>IF($AG819="","",Config!$B$28)</f>
        <v/>
      </c>
      <c r="AG819">
        <f>IFERROR(MATCH(ROW()-1,Calc!$J$2:$J$1601,0),"")</f>
        <v/>
      </c>
      <c r="AH819">
        <f>IFERROR(MATCH(ROW()-1,Calc!$K$2:$K$1601,0),"")</f>
        <v/>
      </c>
      <c r="AI819">
        <f>IF($AG819="","",SUMIF($AG$2:$AG819,$AG819,$AH$2:$AH819))</f>
        <v/>
      </c>
      <c r="AJ819">
        <f>IF('TMP Paste'!$F819="","",IF('TMP Paste'!$B819="",$AJ818,'TMP Paste'!$B819))</f>
        <v/>
      </c>
      <c r="AK819">
        <f>IF('TMP Paste'!$F819="","",N('TMP Paste'!$G819))</f>
        <v/>
      </c>
      <c r="AL819">
        <f>IF('TMP Paste'!$F819="","",IF('TMP Paste'!$M819="",$AL818,'TMP Paste'!$M819))</f>
        <v/>
      </c>
      <c r="AM819">
        <f>IF('TMP Paste'!$F819="","",IF('TMP Paste'!$N819="",$AM818,'TMP Paste'!$N819))</f>
        <v/>
      </c>
      <c r="AN819">
        <f>IF('TMP Paste'!$F819="","",IF('TMP Paste'!$O819="",$AN818,'TMP Paste'!$O819))</f>
        <v/>
      </c>
      <c r="AO819">
        <f>IF('TMP Paste'!$F819="","",IF('TMP Paste'!$P819="",$AO818,'TMP Paste'!$P819))</f>
        <v/>
      </c>
      <c r="AP819">
        <f>IF($AG819="","",LEN($R819))</f>
        <v/>
      </c>
      <c r="AQ819">
        <f>IF($AG819="","",TRIM(IF(COUNTIFS(Calc!$B$2:$B$1601,ROW()-1,Calc!$C$2:$C$1601,"&lt;1")&gt;0,"Ada PO tanpa Koli - cek TMP. ","")&amp;IF(LEN($R819)&gt;500,"R &gt; 500 karakter.","")))</f>
        <v/>
      </c>
    </row>
    <row r="820">
      <c r="A820">
        <f>IF($AG820="","",INDEX('TMP Paste'!$B$2:$B$1601,$AG820))</f>
        <v/>
      </c>
      <c r="B820">
        <f>IF($AG820="","",Config!$B$14)</f>
        <v/>
      </c>
      <c r="C820">
        <f>IF($AG820="","",Config!$B$15)</f>
        <v/>
      </c>
      <c r="D820">
        <f>IF($AG820="","",INDEX('TMP Paste'!$B$2:$B$1601,$AG820))</f>
        <v/>
      </c>
      <c r="E820">
        <f>IF($AG820="","",Config!$B$27)</f>
        <v/>
      </c>
      <c r="F820">
        <f>IF($AG820="","",Config!$B$9)</f>
        <v/>
      </c>
      <c r="G820">
        <f>IF($AG820="","",Config!$B$10)</f>
        <v/>
      </c>
      <c r="H820">
        <f>IF($AG820="","",Config!$B$11)</f>
        <v/>
      </c>
      <c r="I820">
        <f>IF($AG820="","",Config!$B$16)</f>
        <v/>
      </c>
      <c r="J820">
        <f>IF($AG820="","",INDEX('TMP Paste'!$A$2:$A$1601,$AG820))</f>
        <v/>
      </c>
      <c r="K820">
        <f>IF($AG820="","",INDEX('TMP Paste'!$L$2:$L$1601,$AG820))</f>
        <v/>
      </c>
      <c r="L820">
        <f>IF($AG820="","",INDEX('TMP Paste'!$I$2:$I$1601,$AG820))</f>
        <v/>
      </c>
      <c r="M820">
        <f>IF($AG820="","",Config!$B$16)</f>
        <v/>
      </c>
      <c r="N820">
        <f>IF($AG820="","","")</f>
        <v/>
      </c>
      <c r="O820">
        <f>IF($AG820="","",INDEX('TMP Paste'!$K$2:$K$1601,$AG820))</f>
        <v/>
      </c>
      <c r="P820">
        <f>IF($AG820="","","")</f>
        <v/>
      </c>
      <c r="Q820">
        <f>IF($AG820="","",INDEX('TMP Paste'!$J$2:$J$1601,$AG820))</f>
        <v/>
      </c>
      <c r="R820">
        <f>IF($AG820="","",Config!$B$24)</f>
        <v/>
      </c>
      <c r="S820">
        <f>IF($AG820="","",TEXT(Config!$B$4,"yyyy-mm-dd"))</f>
        <v/>
      </c>
      <c r="T820">
        <f>IF($AG820="","",Config!$B$17)</f>
        <v/>
      </c>
      <c r="U820">
        <f>IF($AG820="","",Config!$B$18)</f>
        <v/>
      </c>
      <c r="V820">
        <f>IF($AG820="","",Config!$B$19)</f>
        <v/>
      </c>
      <c r="W820">
        <f>IF($AG820="","",INDEX('TMP Paste'!$C$2:$C$1601,$AG820))</f>
        <v/>
      </c>
      <c r="X820">
        <f>IF($AG820="","",Config!$B$29)</f>
        <v/>
      </c>
      <c r="Y820">
        <f>IF($AH820="","",INDEX(Calc!$I$2:$I$1601,$AH820)&amp;" - "&amp;INDEX(Calc!$D$2:$D$1601,$AH820)&amp;" koli")</f>
        <v/>
      </c>
      <c r="Z820">
        <f>IF($AG820="","",Config!$B$21)</f>
        <v/>
      </c>
      <c r="AA820">
        <f>IF($AG820="","",Config!$B$22)</f>
        <v/>
      </c>
      <c r="AB820">
        <f>IF($AH820="","",INDEX(Calc!$D$2:$D$1601,$AH820))</f>
        <v/>
      </c>
      <c r="AC820">
        <f>IF($AH820="","",INDEX(Calc!$G$2:$G$1601,$AH820))</f>
        <v/>
      </c>
      <c r="AD820">
        <f>IF($AG820="","",Config!$B$23)</f>
        <v/>
      </c>
      <c r="AE820">
        <f>IF($AG820="","",Config!$B$28)</f>
        <v/>
      </c>
      <c r="AG820">
        <f>IFERROR(MATCH(ROW()-1,Calc!$J$2:$J$1601,0),"")</f>
        <v/>
      </c>
      <c r="AH820">
        <f>IFERROR(MATCH(ROW()-1,Calc!$K$2:$K$1601,0),"")</f>
        <v/>
      </c>
      <c r="AI820">
        <f>IF($AG820="","",SUMIF($AG$2:$AG820,$AG820,$AH$2:$AH820))</f>
        <v/>
      </c>
      <c r="AJ820">
        <f>IF('TMP Paste'!$F820="","",IF('TMP Paste'!$B820="",$AJ819,'TMP Paste'!$B820))</f>
        <v/>
      </c>
      <c r="AK820">
        <f>IF('TMP Paste'!$F820="","",N('TMP Paste'!$G820))</f>
        <v/>
      </c>
      <c r="AL820">
        <f>IF('TMP Paste'!$F820="","",IF('TMP Paste'!$M820="",$AL819,'TMP Paste'!$M820))</f>
        <v/>
      </c>
      <c r="AM820">
        <f>IF('TMP Paste'!$F820="","",IF('TMP Paste'!$N820="",$AM819,'TMP Paste'!$N820))</f>
        <v/>
      </c>
      <c r="AN820">
        <f>IF('TMP Paste'!$F820="","",IF('TMP Paste'!$O820="",$AN819,'TMP Paste'!$O820))</f>
        <v/>
      </c>
      <c r="AO820">
        <f>IF('TMP Paste'!$F820="","",IF('TMP Paste'!$P820="",$AO819,'TMP Paste'!$P820))</f>
        <v/>
      </c>
      <c r="AP820">
        <f>IF($AG820="","",LEN($R820))</f>
        <v/>
      </c>
      <c r="AQ820">
        <f>IF($AG820="","",TRIM(IF(COUNTIFS(Calc!$B$2:$B$1601,ROW()-1,Calc!$C$2:$C$1601,"&lt;1")&gt;0,"Ada PO tanpa Koli - cek TMP. ","")&amp;IF(LEN($R820)&gt;500,"R &gt; 500 karakter.","")))</f>
        <v/>
      </c>
    </row>
    <row r="821">
      <c r="A821">
        <f>IF($AG821="","",INDEX('TMP Paste'!$B$2:$B$1601,$AG821))</f>
        <v/>
      </c>
      <c r="B821">
        <f>IF($AG821="","",Config!$B$14)</f>
        <v/>
      </c>
      <c r="C821">
        <f>IF($AG821="","",Config!$B$15)</f>
        <v/>
      </c>
      <c r="D821">
        <f>IF($AG821="","",INDEX('TMP Paste'!$B$2:$B$1601,$AG821))</f>
        <v/>
      </c>
      <c r="E821">
        <f>IF($AG821="","",Config!$B$27)</f>
        <v/>
      </c>
      <c r="F821">
        <f>IF($AG821="","",Config!$B$9)</f>
        <v/>
      </c>
      <c r="G821">
        <f>IF($AG821="","",Config!$B$10)</f>
        <v/>
      </c>
      <c r="H821">
        <f>IF($AG821="","",Config!$B$11)</f>
        <v/>
      </c>
      <c r="I821">
        <f>IF($AG821="","",Config!$B$16)</f>
        <v/>
      </c>
      <c r="J821">
        <f>IF($AG821="","",INDEX('TMP Paste'!$A$2:$A$1601,$AG821))</f>
        <v/>
      </c>
      <c r="K821">
        <f>IF($AG821="","",INDEX('TMP Paste'!$L$2:$L$1601,$AG821))</f>
        <v/>
      </c>
      <c r="L821">
        <f>IF($AG821="","",INDEX('TMP Paste'!$I$2:$I$1601,$AG821))</f>
        <v/>
      </c>
      <c r="M821">
        <f>IF($AG821="","",Config!$B$16)</f>
        <v/>
      </c>
      <c r="N821">
        <f>IF($AG821="","","")</f>
        <v/>
      </c>
      <c r="O821">
        <f>IF($AG821="","",INDEX('TMP Paste'!$K$2:$K$1601,$AG821))</f>
        <v/>
      </c>
      <c r="P821">
        <f>IF($AG821="","","")</f>
        <v/>
      </c>
      <c r="Q821">
        <f>IF($AG821="","",INDEX('TMP Paste'!$J$2:$J$1601,$AG821))</f>
        <v/>
      </c>
      <c r="R821">
        <f>IF($AG821="","",Config!$B$24)</f>
        <v/>
      </c>
      <c r="S821">
        <f>IF($AG821="","",TEXT(Config!$B$4,"yyyy-mm-dd"))</f>
        <v/>
      </c>
      <c r="T821">
        <f>IF($AG821="","",Config!$B$17)</f>
        <v/>
      </c>
      <c r="U821">
        <f>IF($AG821="","",Config!$B$18)</f>
        <v/>
      </c>
      <c r="V821">
        <f>IF($AG821="","",Config!$B$19)</f>
        <v/>
      </c>
      <c r="W821">
        <f>IF($AG821="","",INDEX('TMP Paste'!$C$2:$C$1601,$AG821))</f>
        <v/>
      </c>
      <c r="X821">
        <f>IF($AG821="","",Config!$B$29)</f>
        <v/>
      </c>
      <c r="Y821">
        <f>IF($AH821="","",INDEX(Calc!$I$2:$I$1601,$AH821)&amp;" - "&amp;INDEX(Calc!$D$2:$D$1601,$AH821)&amp;" koli")</f>
        <v/>
      </c>
      <c r="Z821">
        <f>IF($AG821="","",Config!$B$21)</f>
        <v/>
      </c>
      <c r="AA821">
        <f>IF($AG821="","",Config!$B$22)</f>
        <v/>
      </c>
      <c r="AB821">
        <f>IF($AH821="","",INDEX(Calc!$D$2:$D$1601,$AH821))</f>
        <v/>
      </c>
      <c r="AC821">
        <f>IF($AH821="","",INDEX(Calc!$G$2:$G$1601,$AH821))</f>
        <v/>
      </c>
      <c r="AD821">
        <f>IF($AG821="","",Config!$B$23)</f>
        <v/>
      </c>
      <c r="AE821">
        <f>IF($AG821="","",Config!$B$28)</f>
        <v/>
      </c>
      <c r="AG821">
        <f>IFERROR(MATCH(ROW()-1,Calc!$J$2:$J$1601,0),"")</f>
        <v/>
      </c>
      <c r="AH821">
        <f>IFERROR(MATCH(ROW()-1,Calc!$K$2:$K$1601,0),"")</f>
        <v/>
      </c>
      <c r="AI821">
        <f>IF($AG821="","",SUMIF($AG$2:$AG821,$AG821,$AH$2:$AH821))</f>
        <v/>
      </c>
      <c r="AJ821">
        <f>IF('TMP Paste'!$F821="","",IF('TMP Paste'!$B821="",$AJ820,'TMP Paste'!$B821))</f>
        <v/>
      </c>
      <c r="AK821">
        <f>IF('TMP Paste'!$F821="","",N('TMP Paste'!$G821))</f>
        <v/>
      </c>
      <c r="AL821">
        <f>IF('TMP Paste'!$F821="","",IF('TMP Paste'!$M821="",$AL820,'TMP Paste'!$M821))</f>
        <v/>
      </c>
      <c r="AM821">
        <f>IF('TMP Paste'!$F821="","",IF('TMP Paste'!$N821="",$AM820,'TMP Paste'!$N821))</f>
        <v/>
      </c>
      <c r="AN821">
        <f>IF('TMP Paste'!$F821="","",IF('TMP Paste'!$O821="",$AN820,'TMP Paste'!$O821))</f>
        <v/>
      </c>
      <c r="AO821">
        <f>IF('TMP Paste'!$F821="","",IF('TMP Paste'!$P821="",$AO820,'TMP Paste'!$P821))</f>
        <v/>
      </c>
      <c r="AP821">
        <f>IF($AG821="","",LEN($R821))</f>
        <v/>
      </c>
      <c r="AQ821">
        <f>IF($AG821="","",TRIM(IF(COUNTIFS(Calc!$B$2:$B$1601,ROW()-1,Calc!$C$2:$C$1601,"&lt;1")&gt;0,"Ada PO tanpa Koli - cek TMP. ","")&amp;IF(LEN($R821)&gt;500,"R &gt; 500 karakter.","")))</f>
        <v/>
      </c>
    </row>
    <row r="822">
      <c r="A822">
        <f>IF($AG822="","",INDEX('TMP Paste'!$B$2:$B$1601,$AG822))</f>
        <v/>
      </c>
      <c r="B822">
        <f>IF($AG822="","",Config!$B$14)</f>
        <v/>
      </c>
      <c r="C822">
        <f>IF($AG822="","",Config!$B$15)</f>
        <v/>
      </c>
      <c r="D822">
        <f>IF($AG822="","",INDEX('TMP Paste'!$B$2:$B$1601,$AG822))</f>
        <v/>
      </c>
      <c r="E822">
        <f>IF($AG822="","",Config!$B$27)</f>
        <v/>
      </c>
      <c r="F822">
        <f>IF($AG822="","",Config!$B$9)</f>
        <v/>
      </c>
      <c r="G822">
        <f>IF($AG822="","",Config!$B$10)</f>
        <v/>
      </c>
      <c r="H822">
        <f>IF($AG822="","",Config!$B$11)</f>
        <v/>
      </c>
      <c r="I822">
        <f>IF($AG822="","",Config!$B$16)</f>
        <v/>
      </c>
      <c r="J822">
        <f>IF($AG822="","",INDEX('TMP Paste'!$A$2:$A$1601,$AG822))</f>
        <v/>
      </c>
      <c r="K822">
        <f>IF($AG822="","",INDEX('TMP Paste'!$L$2:$L$1601,$AG822))</f>
        <v/>
      </c>
      <c r="L822">
        <f>IF($AG822="","",INDEX('TMP Paste'!$I$2:$I$1601,$AG822))</f>
        <v/>
      </c>
      <c r="M822">
        <f>IF($AG822="","",Config!$B$16)</f>
        <v/>
      </c>
      <c r="N822">
        <f>IF($AG822="","","")</f>
        <v/>
      </c>
      <c r="O822">
        <f>IF($AG822="","",INDEX('TMP Paste'!$K$2:$K$1601,$AG822))</f>
        <v/>
      </c>
      <c r="P822">
        <f>IF($AG822="","","")</f>
        <v/>
      </c>
      <c r="Q822">
        <f>IF($AG822="","",INDEX('TMP Paste'!$J$2:$J$1601,$AG822))</f>
        <v/>
      </c>
      <c r="R822">
        <f>IF($AG822="","",Config!$B$24)</f>
        <v/>
      </c>
      <c r="S822">
        <f>IF($AG822="","",TEXT(Config!$B$4,"yyyy-mm-dd"))</f>
        <v/>
      </c>
      <c r="T822">
        <f>IF($AG822="","",Config!$B$17)</f>
        <v/>
      </c>
      <c r="U822">
        <f>IF($AG822="","",Config!$B$18)</f>
        <v/>
      </c>
      <c r="V822">
        <f>IF($AG822="","",Config!$B$19)</f>
        <v/>
      </c>
      <c r="W822">
        <f>IF($AG822="","",INDEX('TMP Paste'!$C$2:$C$1601,$AG822))</f>
        <v/>
      </c>
      <c r="X822">
        <f>IF($AG822="","",Config!$B$29)</f>
        <v/>
      </c>
      <c r="Y822">
        <f>IF($AH822="","",INDEX(Calc!$I$2:$I$1601,$AH822)&amp;" - "&amp;INDEX(Calc!$D$2:$D$1601,$AH822)&amp;" koli")</f>
        <v/>
      </c>
      <c r="Z822">
        <f>IF($AG822="","",Config!$B$21)</f>
        <v/>
      </c>
      <c r="AA822">
        <f>IF($AG822="","",Config!$B$22)</f>
        <v/>
      </c>
      <c r="AB822">
        <f>IF($AH822="","",INDEX(Calc!$D$2:$D$1601,$AH822))</f>
        <v/>
      </c>
      <c r="AC822">
        <f>IF($AH822="","",INDEX(Calc!$G$2:$G$1601,$AH822))</f>
        <v/>
      </c>
      <c r="AD822">
        <f>IF($AG822="","",Config!$B$23)</f>
        <v/>
      </c>
      <c r="AE822">
        <f>IF($AG822="","",Config!$B$28)</f>
        <v/>
      </c>
      <c r="AG822">
        <f>IFERROR(MATCH(ROW()-1,Calc!$J$2:$J$1601,0),"")</f>
        <v/>
      </c>
      <c r="AH822">
        <f>IFERROR(MATCH(ROW()-1,Calc!$K$2:$K$1601,0),"")</f>
        <v/>
      </c>
      <c r="AI822">
        <f>IF($AG822="","",SUMIF($AG$2:$AG822,$AG822,$AH$2:$AH822))</f>
        <v/>
      </c>
      <c r="AJ822">
        <f>IF('TMP Paste'!$F822="","",IF('TMP Paste'!$B822="",$AJ821,'TMP Paste'!$B822))</f>
        <v/>
      </c>
      <c r="AK822">
        <f>IF('TMP Paste'!$F822="","",N('TMP Paste'!$G822))</f>
        <v/>
      </c>
      <c r="AL822">
        <f>IF('TMP Paste'!$F822="","",IF('TMP Paste'!$M822="",$AL821,'TMP Paste'!$M822))</f>
        <v/>
      </c>
      <c r="AM822">
        <f>IF('TMP Paste'!$F822="","",IF('TMP Paste'!$N822="",$AM821,'TMP Paste'!$N822))</f>
        <v/>
      </c>
      <c r="AN822">
        <f>IF('TMP Paste'!$F822="","",IF('TMP Paste'!$O822="",$AN821,'TMP Paste'!$O822))</f>
        <v/>
      </c>
      <c r="AO822">
        <f>IF('TMP Paste'!$F822="","",IF('TMP Paste'!$P822="",$AO821,'TMP Paste'!$P822))</f>
        <v/>
      </c>
      <c r="AP822">
        <f>IF($AG822="","",LEN($R822))</f>
        <v/>
      </c>
      <c r="AQ822">
        <f>IF($AG822="","",TRIM(IF(COUNTIFS(Calc!$B$2:$B$1601,ROW()-1,Calc!$C$2:$C$1601,"&lt;1")&gt;0,"Ada PO tanpa Koli - cek TMP. ","")&amp;IF(LEN($R822)&gt;500,"R &gt; 500 karakter.","")))</f>
        <v/>
      </c>
    </row>
    <row r="823">
      <c r="A823">
        <f>IF($AG823="","",INDEX('TMP Paste'!$B$2:$B$1601,$AG823))</f>
        <v/>
      </c>
      <c r="B823">
        <f>IF($AG823="","",Config!$B$14)</f>
        <v/>
      </c>
      <c r="C823">
        <f>IF($AG823="","",Config!$B$15)</f>
        <v/>
      </c>
      <c r="D823">
        <f>IF($AG823="","",INDEX('TMP Paste'!$B$2:$B$1601,$AG823))</f>
        <v/>
      </c>
      <c r="E823">
        <f>IF($AG823="","",Config!$B$27)</f>
        <v/>
      </c>
      <c r="F823">
        <f>IF($AG823="","",Config!$B$9)</f>
        <v/>
      </c>
      <c r="G823">
        <f>IF($AG823="","",Config!$B$10)</f>
        <v/>
      </c>
      <c r="H823">
        <f>IF($AG823="","",Config!$B$11)</f>
        <v/>
      </c>
      <c r="I823">
        <f>IF($AG823="","",Config!$B$16)</f>
        <v/>
      </c>
      <c r="J823">
        <f>IF($AG823="","",INDEX('TMP Paste'!$A$2:$A$1601,$AG823))</f>
        <v/>
      </c>
      <c r="K823">
        <f>IF($AG823="","",INDEX('TMP Paste'!$L$2:$L$1601,$AG823))</f>
        <v/>
      </c>
      <c r="L823">
        <f>IF($AG823="","",INDEX('TMP Paste'!$I$2:$I$1601,$AG823))</f>
        <v/>
      </c>
      <c r="M823">
        <f>IF($AG823="","",Config!$B$16)</f>
        <v/>
      </c>
      <c r="N823">
        <f>IF($AG823="","","")</f>
        <v/>
      </c>
      <c r="O823">
        <f>IF($AG823="","",INDEX('TMP Paste'!$K$2:$K$1601,$AG823))</f>
        <v/>
      </c>
      <c r="P823">
        <f>IF($AG823="","","")</f>
        <v/>
      </c>
      <c r="Q823">
        <f>IF($AG823="","",INDEX('TMP Paste'!$J$2:$J$1601,$AG823))</f>
        <v/>
      </c>
      <c r="R823">
        <f>IF($AG823="","",Config!$B$24)</f>
        <v/>
      </c>
      <c r="S823">
        <f>IF($AG823="","",TEXT(Config!$B$4,"yyyy-mm-dd"))</f>
        <v/>
      </c>
      <c r="T823">
        <f>IF($AG823="","",Config!$B$17)</f>
        <v/>
      </c>
      <c r="U823">
        <f>IF($AG823="","",Config!$B$18)</f>
        <v/>
      </c>
      <c r="V823">
        <f>IF($AG823="","",Config!$B$19)</f>
        <v/>
      </c>
      <c r="W823">
        <f>IF($AG823="","",INDEX('TMP Paste'!$C$2:$C$1601,$AG823))</f>
        <v/>
      </c>
      <c r="X823">
        <f>IF($AG823="","",Config!$B$29)</f>
        <v/>
      </c>
      <c r="Y823">
        <f>IF($AH823="","",INDEX(Calc!$I$2:$I$1601,$AH823)&amp;" - "&amp;INDEX(Calc!$D$2:$D$1601,$AH823)&amp;" koli")</f>
        <v/>
      </c>
      <c r="Z823">
        <f>IF($AG823="","",Config!$B$21)</f>
        <v/>
      </c>
      <c r="AA823">
        <f>IF($AG823="","",Config!$B$22)</f>
        <v/>
      </c>
      <c r="AB823">
        <f>IF($AH823="","",INDEX(Calc!$D$2:$D$1601,$AH823))</f>
        <v/>
      </c>
      <c r="AC823">
        <f>IF($AH823="","",INDEX(Calc!$G$2:$G$1601,$AH823))</f>
        <v/>
      </c>
      <c r="AD823">
        <f>IF($AG823="","",Config!$B$23)</f>
        <v/>
      </c>
      <c r="AE823">
        <f>IF($AG823="","",Config!$B$28)</f>
        <v/>
      </c>
      <c r="AG823">
        <f>IFERROR(MATCH(ROW()-1,Calc!$J$2:$J$1601,0),"")</f>
        <v/>
      </c>
      <c r="AH823">
        <f>IFERROR(MATCH(ROW()-1,Calc!$K$2:$K$1601,0),"")</f>
        <v/>
      </c>
      <c r="AI823">
        <f>IF($AG823="","",SUMIF($AG$2:$AG823,$AG823,$AH$2:$AH823))</f>
        <v/>
      </c>
      <c r="AJ823">
        <f>IF('TMP Paste'!$F823="","",IF('TMP Paste'!$B823="",$AJ822,'TMP Paste'!$B823))</f>
        <v/>
      </c>
      <c r="AK823">
        <f>IF('TMP Paste'!$F823="","",N('TMP Paste'!$G823))</f>
        <v/>
      </c>
      <c r="AL823">
        <f>IF('TMP Paste'!$F823="","",IF('TMP Paste'!$M823="",$AL822,'TMP Paste'!$M823))</f>
        <v/>
      </c>
      <c r="AM823">
        <f>IF('TMP Paste'!$F823="","",IF('TMP Paste'!$N823="",$AM822,'TMP Paste'!$N823))</f>
        <v/>
      </c>
      <c r="AN823">
        <f>IF('TMP Paste'!$F823="","",IF('TMP Paste'!$O823="",$AN822,'TMP Paste'!$O823))</f>
        <v/>
      </c>
      <c r="AO823">
        <f>IF('TMP Paste'!$F823="","",IF('TMP Paste'!$P823="",$AO822,'TMP Paste'!$P823))</f>
        <v/>
      </c>
      <c r="AP823">
        <f>IF($AG823="","",LEN($R823))</f>
        <v/>
      </c>
      <c r="AQ823">
        <f>IF($AG823="","",TRIM(IF(COUNTIFS(Calc!$B$2:$B$1601,ROW()-1,Calc!$C$2:$C$1601,"&lt;1")&gt;0,"Ada PO tanpa Koli - cek TMP. ","")&amp;IF(LEN($R823)&gt;500,"R &gt; 500 karakter.","")))</f>
        <v/>
      </c>
    </row>
    <row r="824">
      <c r="A824">
        <f>IF($AG824="","",INDEX('TMP Paste'!$B$2:$B$1601,$AG824))</f>
        <v/>
      </c>
      <c r="B824">
        <f>IF($AG824="","",Config!$B$14)</f>
        <v/>
      </c>
      <c r="C824">
        <f>IF($AG824="","",Config!$B$15)</f>
        <v/>
      </c>
      <c r="D824">
        <f>IF($AG824="","",INDEX('TMP Paste'!$B$2:$B$1601,$AG824))</f>
        <v/>
      </c>
      <c r="E824">
        <f>IF($AG824="","",Config!$B$27)</f>
        <v/>
      </c>
      <c r="F824">
        <f>IF($AG824="","",Config!$B$9)</f>
        <v/>
      </c>
      <c r="G824">
        <f>IF($AG824="","",Config!$B$10)</f>
        <v/>
      </c>
      <c r="H824">
        <f>IF($AG824="","",Config!$B$11)</f>
        <v/>
      </c>
      <c r="I824">
        <f>IF($AG824="","",Config!$B$16)</f>
        <v/>
      </c>
      <c r="J824">
        <f>IF($AG824="","",INDEX('TMP Paste'!$A$2:$A$1601,$AG824))</f>
        <v/>
      </c>
      <c r="K824">
        <f>IF($AG824="","",INDEX('TMP Paste'!$L$2:$L$1601,$AG824))</f>
        <v/>
      </c>
      <c r="L824">
        <f>IF($AG824="","",INDEX('TMP Paste'!$I$2:$I$1601,$AG824))</f>
        <v/>
      </c>
      <c r="M824">
        <f>IF($AG824="","",Config!$B$16)</f>
        <v/>
      </c>
      <c r="N824">
        <f>IF($AG824="","","")</f>
        <v/>
      </c>
      <c r="O824">
        <f>IF($AG824="","",INDEX('TMP Paste'!$K$2:$K$1601,$AG824))</f>
        <v/>
      </c>
      <c r="P824">
        <f>IF($AG824="","","")</f>
        <v/>
      </c>
      <c r="Q824">
        <f>IF($AG824="","",INDEX('TMP Paste'!$J$2:$J$1601,$AG824))</f>
        <v/>
      </c>
      <c r="R824">
        <f>IF($AG824="","",Config!$B$24)</f>
        <v/>
      </c>
      <c r="S824">
        <f>IF($AG824="","",TEXT(Config!$B$4,"yyyy-mm-dd"))</f>
        <v/>
      </c>
      <c r="T824">
        <f>IF($AG824="","",Config!$B$17)</f>
        <v/>
      </c>
      <c r="U824">
        <f>IF($AG824="","",Config!$B$18)</f>
        <v/>
      </c>
      <c r="V824">
        <f>IF($AG824="","",Config!$B$19)</f>
        <v/>
      </c>
      <c r="W824">
        <f>IF($AG824="","",INDEX('TMP Paste'!$C$2:$C$1601,$AG824))</f>
        <v/>
      </c>
      <c r="X824">
        <f>IF($AG824="","",Config!$B$29)</f>
        <v/>
      </c>
      <c r="Y824">
        <f>IF($AH824="","",INDEX(Calc!$I$2:$I$1601,$AH824)&amp;" - "&amp;INDEX(Calc!$D$2:$D$1601,$AH824)&amp;" koli")</f>
        <v/>
      </c>
      <c r="Z824">
        <f>IF($AG824="","",Config!$B$21)</f>
        <v/>
      </c>
      <c r="AA824">
        <f>IF($AG824="","",Config!$B$22)</f>
        <v/>
      </c>
      <c r="AB824">
        <f>IF($AH824="","",INDEX(Calc!$D$2:$D$1601,$AH824))</f>
        <v/>
      </c>
      <c r="AC824">
        <f>IF($AH824="","",INDEX(Calc!$G$2:$G$1601,$AH824))</f>
        <v/>
      </c>
      <c r="AD824">
        <f>IF($AG824="","",Config!$B$23)</f>
        <v/>
      </c>
      <c r="AE824">
        <f>IF($AG824="","",Config!$B$28)</f>
        <v/>
      </c>
      <c r="AG824">
        <f>IFERROR(MATCH(ROW()-1,Calc!$J$2:$J$1601,0),"")</f>
        <v/>
      </c>
      <c r="AH824">
        <f>IFERROR(MATCH(ROW()-1,Calc!$K$2:$K$1601,0),"")</f>
        <v/>
      </c>
      <c r="AI824">
        <f>IF($AG824="","",SUMIF($AG$2:$AG824,$AG824,$AH$2:$AH824))</f>
        <v/>
      </c>
      <c r="AJ824">
        <f>IF('TMP Paste'!$F824="","",IF('TMP Paste'!$B824="",$AJ823,'TMP Paste'!$B824))</f>
        <v/>
      </c>
      <c r="AK824">
        <f>IF('TMP Paste'!$F824="","",N('TMP Paste'!$G824))</f>
        <v/>
      </c>
      <c r="AL824">
        <f>IF('TMP Paste'!$F824="","",IF('TMP Paste'!$M824="",$AL823,'TMP Paste'!$M824))</f>
        <v/>
      </c>
      <c r="AM824">
        <f>IF('TMP Paste'!$F824="","",IF('TMP Paste'!$N824="",$AM823,'TMP Paste'!$N824))</f>
        <v/>
      </c>
      <c r="AN824">
        <f>IF('TMP Paste'!$F824="","",IF('TMP Paste'!$O824="",$AN823,'TMP Paste'!$O824))</f>
        <v/>
      </c>
      <c r="AO824">
        <f>IF('TMP Paste'!$F824="","",IF('TMP Paste'!$P824="",$AO823,'TMP Paste'!$P824))</f>
        <v/>
      </c>
      <c r="AP824">
        <f>IF($AG824="","",LEN($R824))</f>
        <v/>
      </c>
      <c r="AQ824">
        <f>IF($AG824="","",TRIM(IF(COUNTIFS(Calc!$B$2:$B$1601,ROW()-1,Calc!$C$2:$C$1601,"&lt;1")&gt;0,"Ada PO tanpa Koli - cek TMP. ","")&amp;IF(LEN($R824)&gt;500,"R &gt; 500 karakter.","")))</f>
        <v/>
      </c>
    </row>
    <row r="825">
      <c r="A825">
        <f>IF($AG825="","",INDEX('TMP Paste'!$B$2:$B$1601,$AG825))</f>
        <v/>
      </c>
      <c r="B825">
        <f>IF($AG825="","",Config!$B$14)</f>
        <v/>
      </c>
      <c r="C825">
        <f>IF($AG825="","",Config!$B$15)</f>
        <v/>
      </c>
      <c r="D825">
        <f>IF($AG825="","",INDEX('TMP Paste'!$B$2:$B$1601,$AG825))</f>
        <v/>
      </c>
      <c r="E825">
        <f>IF($AG825="","",Config!$B$27)</f>
        <v/>
      </c>
      <c r="F825">
        <f>IF($AG825="","",Config!$B$9)</f>
        <v/>
      </c>
      <c r="G825">
        <f>IF($AG825="","",Config!$B$10)</f>
        <v/>
      </c>
      <c r="H825">
        <f>IF($AG825="","",Config!$B$11)</f>
        <v/>
      </c>
      <c r="I825">
        <f>IF($AG825="","",Config!$B$16)</f>
        <v/>
      </c>
      <c r="J825">
        <f>IF($AG825="","",INDEX('TMP Paste'!$A$2:$A$1601,$AG825))</f>
        <v/>
      </c>
      <c r="K825">
        <f>IF($AG825="","",INDEX('TMP Paste'!$L$2:$L$1601,$AG825))</f>
        <v/>
      </c>
      <c r="L825">
        <f>IF($AG825="","",INDEX('TMP Paste'!$I$2:$I$1601,$AG825))</f>
        <v/>
      </c>
      <c r="M825">
        <f>IF($AG825="","",Config!$B$16)</f>
        <v/>
      </c>
      <c r="N825">
        <f>IF($AG825="","","")</f>
        <v/>
      </c>
      <c r="O825">
        <f>IF($AG825="","",INDEX('TMP Paste'!$K$2:$K$1601,$AG825))</f>
        <v/>
      </c>
      <c r="P825">
        <f>IF($AG825="","","")</f>
        <v/>
      </c>
      <c r="Q825">
        <f>IF($AG825="","",INDEX('TMP Paste'!$J$2:$J$1601,$AG825))</f>
        <v/>
      </c>
      <c r="R825">
        <f>IF($AG825="","",Config!$B$24)</f>
        <v/>
      </c>
      <c r="S825">
        <f>IF($AG825="","",TEXT(Config!$B$4,"yyyy-mm-dd"))</f>
        <v/>
      </c>
      <c r="T825">
        <f>IF($AG825="","",Config!$B$17)</f>
        <v/>
      </c>
      <c r="U825">
        <f>IF($AG825="","",Config!$B$18)</f>
        <v/>
      </c>
      <c r="V825">
        <f>IF($AG825="","",Config!$B$19)</f>
        <v/>
      </c>
      <c r="W825">
        <f>IF($AG825="","",INDEX('TMP Paste'!$C$2:$C$1601,$AG825))</f>
        <v/>
      </c>
      <c r="X825">
        <f>IF($AG825="","",Config!$B$29)</f>
        <v/>
      </c>
      <c r="Y825">
        <f>IF($AH825="","",INDEX(Calc!$I$2:$I$1601,$AH825)&amp;" - "&amp;INDEX(Calc!$D$2:$D$1601,$AH825)&amp;" koli")</f>
        <v/>
      </c>
      <c r="Z825">
        <f>IF($AG825="","",Config!$B$21)</f>
        <v/>
      </c>
      <c r="AA825">
        <f>IF($AG825="","",Config!$B$22)</f>
        <v/>
      </c>
      <c r="AB825">
        <f>IF($AH825="","",INDEX(Calc!$D$2:$D$1601,$AH825))</f>
        <v/>
      </c>
      <c r="AC825">
        <f>IF($AH825="","",INDEX(Calc!$G$2:$G$1601,$AH825))</f>
        <v/>
      </c>
      <c r="AD825">
        <f>IF($AG825="","",Config!$B$23)</f>
        <v/>
      </c>
      <c r="AE825">
        <f>IF($AG825="","",Config!$B$28)</f>
        <v/>
      </c>
      <c r="AG825">
        <f>IFERROR(MATCH(ROW()-1,Calc!$J$2:$J$1601,0),"")</f>
        <v/>
      </c>
      <c r="AH825">
        <f>IFERROR(MATCH(ROW()-1,Calc!$K$2:$K$1601,0),"")</f>
        <v/>
      </c>
      <c r="AI825">
        <f>IF($AG825="","",SUMIF($AG$2:$AG825,$AG825,$AH$2:$AH825))</f>
        <v/>
      </c>
      <c r="AJ825">
        <f>IF('TMP Paste'!$F825="","",IF('TMP Paste'!$B825="",$AJ824,'TMP Paste'!$B825))</f>
        <v/>
      </c>
      <c r="AK825">
        <f>IF('TMP Paste'!$F825="","",N('TMP Paste'!$G825))</f>
        <v/>
      </c>
      <c r="AL825">
        <f>IF('TMP Paste'!$F825="","",IF('TMP Paste'!$M825="",$AL824,'TMP Paste'!$M825))</f>
        <v/>
      </c>
      <c r="AM825">
        <f>IF('TMP Paste'!$F825="","",IF('TMP Paste'!$N825="",$AM824,'TMP Paste'!$N825))</f>
        <v/>
      </c>
      <c r="AN825">
        <f>IF('TMP Paste'!$F825="","",IF('TMP Paste'!$O825="",$AN824,'TMP Paste'!$O825))</f>
        <v/>
      </c>
      <c r="AO825">
        <f>IF('TMP Paste'!$F825="","",IF('TMP Paste'!$P825="",$AO824,'TMP Paste'!$P825))</f>
        <v/>
      </c>
      <c r="AP825">
        <f>IF($AG825="","",LEN($R825))</f>
        <v/>
      </c>
      <c r="AQ825">
        <f>IF($AG825="","",TRIM(IF(COUNTIFS(Calc!$B$2:$B$1601,ROW()-1,Calc!$C$2:$C$1601,"&lt;1")&gt;0,"Ada PO tanpa Koli - cek TMP. ","")&amp;IF(LEN($R825)&gt;500,"R &gt; 500 karakter.","")))</f>
        <v/>
      </c>
    </row>
    <row r="826">
      <c r="A826">
        <f>IF($AG826="","",INDEX('TMP Paste'!$B$2:$B$1601,$AG826))</f>
        <v/>
      </c>
      <c r="B826">
        <f>IF($AG826="","",Config!$B$14)</f>
        <v/>
      </c>
      <c r="C826">
        <f>IF($AG826="","",Config!$B$15)</f>
        <v/>
      </c>
      <c r="D826">
        <f>IF($AG826="","",INDEX('TMP Paste'!$B$2:$B$1601,$AG826))</f>
        <v/>
      </c>
      <c r="E826">
        <f>IF($AG826="","",Config!$B$27)</f>
        <v/>
      </c>
      <c r="F826">
        <f>IF($AG826="","",Config!$B$9)</f>
        <v/>
      </c>
      <c r="G826">
        <f>IF($AG826="","",Config!$B$10)</f>
        <v/>
      </c>
      <c r="H826">
        <f>IF($AG826="","",Config!$B$11)</f>
        <v/>
      </c>
      <c r="I826">
        <f>IF($AG826="","",Config!$B$16)</f>
        <v/>
      </c>
      <c r="J826">
        <f>IF($AG826="","",INDEX('TMP Paste'!$A$2:$A$1601,$AG826))</f>
        <v/>
      </c>
      <c r="K826">
        <f>IF($AG826="","",INDEX('TMP Paste'!$L$2:$L$1601,$AG826))</f>
        <v/>
      </c>
      <c r="L826">
        <f>IF($AG826="","",INDEX('TMP Paste'!$I$2:$I$1601,$AG826))</f>
        <v/>
      </c>
      <c r="M826">
        <f>IF($AG826="","",Config!$B$16)</f>
        <v/>
      </c>
      <c r="N826">
        <f>IF($AG826="","","")</f>
        <v/>
      </c>
      <c r="O826">
        <f>IF($AG826="","",INDEX('TMP Paste'!$K$2:$K$1601,$AG826))</f>
        <v/>
      </c>
      <c r="P826">
        <f>IF($AG826="","","")</f>
        <v/>
      </c>
      <c r="Q826">
        <f>IF($AG826="","",INDEX('TMP Paste'!$J$2:$J$1601,$AG826))</f>
        <v/>
      </c>
      <c r="R826">
        <f>IF($AG826="","",Config!$B$24)</f>
        <v/>
      </c>
      <c r="S826">
        <f>IF($AG826="","",TEXT(Config!$B$4,"yyyy-mm-dd"))</f>
        <v/>
      </c>
      <c r="T826">
        <f>IF($AG826="","",Config!$B$17)</f>
        <v/>
      </c>
      <c r="U826">
        <f>IF($AG826="","",Config!$B$18)</f>
        <v/>
      </c>
      <c r="V826">
        <f>IF($AG826="","",Config!$B$19)</f>
        <v/>
      </c>
      <c r="W826">
        <f>IF($AG826="","",INDEX('TMP Paste'!$C$2:$C$1601,$AG826))</f>
        <v/>
      </c>
      <c r="X826">
        <f>IF($AG826="","",Config!$B$29)</f>
        <v/>
      </c>
      <c r="Y826">
        <f>IF($AH826="","",INDEX(Calc!$I$2:$I$1601,$AH826)&amp;" - "&amp;INDEX(Calc!$D$2:$D$1601,$AH826)&amp;" koli")</f>
        <v/>
      </c>
      <c r="Z826">
        <f>IF($AG826="","",Config!$B$21)</f>
        <v/>
      </c>
      <c r="AA826">
        <f>IF($AG826="","",Config!$B$22)</f>
        <v/>
      </c>
      <c r="AB826">
        <f>IF($AH826="","",INDEX(Calc!$D$2:$D$1601,$AH826))</f>
        <v/>
      </c>
      <c r="AC826">
        <f>IF($AH826="","",INDEX(Calc!$G$2:$G$1601,$AH826))</f>
        <v/>
      </c>
      <c r="AD826">
        <f>IF($AG826="","",Config!$B$23)</f>
        <v/>
      </c>
      <c r="AE826">
        <f>IF($AG826="","",Config!$B$28)</f>
        <v/>
      </c>
      <c r="AG826">
        <f>IFERROR(MATCH(ROW()-1,Calc!$J$2:$J$1601,0),"")</f>
        <v/>
      </c>
      <c r="AH826">
        <f>IFERROR(MATCH(ROW()-1,Calc!$K$2:$K$1601,0),"")</f>
        <v/>
      </c>
      <c r="AI826">
        <f>IF($AG826="","",SUMIF($AG$2:$AG826,$AG826,$AH$2:$AH826))</f>
        <v/>
      </c>
      <c r="AJ826">
        <f>IF('TMP Paste'!$F826="","",IF('TMP Paste'!$B826="",$AJ825,'TMP Paste'!$B826))</f>
        <v/>
      </c>
      <c r="AK826">
        <f>IF('TMP Paste'!$F826="","",N('TMP Paste'!$G826))</f>
        <v/>
      </c>
      <c r="AL826">
        <f>IF('TMP Paste'!$F826="","",IF('TMP Paste'!$M826="",$AL825,'TMP Paste'!$M826))</f>
        <v/>
      </c>
      <c r="AM826">
        <f>IF('TMP Paste'!$F826="","",IF('TMP Paste'!$N826="",$AM825,'TMP Paste'!$N826))</f>
        <v/>
      </c>
      <c r="AN826">
        <f>IF('TMP Paste'!$F826="","",IF('TMP Paste'!$O826="",$AN825,'TMP Paste'!$O826))</f>
        <v/>
      </c>
      <c r="AO826">
        <f>IF('TMP Paste'!$F826="","",IF('TMP Paste'!$P826="",$AO825,'TMP Paste'!$P826))</f>
        <v/>
      </c>
      <c r="AP826">
        <f>IF($AG826="","",LEN($R826))</f>
        <v/>
      </c>
      <c r="AQ826">
        <f>IF($AG826="","",TRIM(IF(COUNTIFS(Calc!$B$2:$B$1601,ROW()-1,Calc!$C$2:$C$1601,"&lt;1")&gt;0,"Ada PO tanpa Koli - cek TMP. ","")&amp;IF(LEN($R826)&gt;500,"R &gt; 500 karakter.","")))</f>
        <v/>
      </c>
    </row>
    <row r="827">
      <c r="A827">
        <f>IF($AG827="","",INDEX('TMP Paste'!$B$2:$B$1601,$AG827))</f>
        <v/>
      </c>
      <c r="B827">
        <f>IF($AG827="","",Config!$B$14)</f>
        <v/>
      </c>
      <c r="C827">
        <f>IF($AG827="","",Config!$B$15)</f>
        <v/>
      </c>
      <c r="D827">
        <f>IF($AG827="","",INDEX('TMP Paste'!$B$2:$B$1601,$AG827))</f>
        <v/>
      </c>
      <c r="E827">
        <f>IF($AG827="","",Config!$B$27)</f>
        <v/>
      </c>
      <c r="F827">
        <f>IF($AG827="","",Config!$B$9)</f>
        <v/>
      </c>
      <c r="G827">
        <f>IF($AG827="","",Config!$B$10)</f>
        <v/>
      </c>
      <c r="H827">
        <f>IF($AG827="","",Config!$B$11)</f>
        <v/>
      </c>
      <c r="I827">
        <f>IF($AG827="","",Config!$B$16)</f>
        <v/>
      </c>
      <c r="J827">
        <f>IF($AG827="","",INDEX('TMP Paste'!$A$2:$A$1601,$AG827))</f>
        <v/>
      </c>
      <c r="K827">
        <f>IF($AG827="","",INDEX('TMP Paste'!$L$2:$L$1601,$AG827))</f>
        <v/>
      </c>
      <c r="L827">
        <f>IF($AG827="","",INDEX('TMP Paste'!$I$2:$I$1601,$AG827))</f>
        <v/>
      </c>
      <c r="M827">
        <f>IF($AG827="","",Config!$B$16)</f>
        <v/>
      </c>
      <c r="N827">
        <f>IF($AG827="","","")</f>
        <v/>
      </c>
      <c r="O827">
        <f>IF($AG827="","",INDEX('TMP Paste'!$K$2:$K$1601,$AG827))</f>
        <v/>
      </c>
      <c r="P827">
        <f>IF($AG827="","","")</f>
        <v/>
      </c>
      <c r="Q827">
        <f>IF($AG827="","",INDEX('TMP Paste'!$J$2:$J$1601,$AG827))</f>
        <v/>
      </c>
      <c r="R827">
        <f>IF($AG827="","",Config!$B$24)</f>
        <v/>
      </c>
      <c r="S827">
        <f>IF($AG827="","",TEXT(Config!$B$4,"yyyy-mm-dd"))</f>
        <v/>
      </c>
      <c r="T827">
        <f>IF($AG827="","",Config!$B$17)</f>
        <v/>
      </c>
      <c r="U827">
        <f>IF($AG827="","",Config!$B$18)</f>
        <v/>
      </c>
      <c r="V827">
        <f>IF($AG827="","",Config!$B$19)</f>
        <v/>
      </c>
      <c r="W827">
        <f>IF($AG827="","",INDEX('TMP Paste'!$C$2:$C$1601,$AG827))</f>
        <v/>
      </c>
      <c r="X827">
        <f>IF($AG827="","",Config!$B$29)</f>
        <v/>
      </c>
      <c r="Y827">
        <f>IF($AH827="","",INDEX(Calc!$I$2:$I$1601,$AH827)&amp;" - "&amp;INDEX(Calc!$D$2:$D$1601,$AH827)&amp;" koli")</f>
        <v/>
      </c>
      <c r="Z827">
        <f>IF($AG827="","",Config!$B$21)</f>
        <v/>
      </c>
      <c r="AA827">
        <f>IF($AG827="","",Config!$B$22)</f>
        <v/>
      </c>
      <c r="AB827">
        <f>IF($AH827="","",INDEX(Calc!$D$2:$D$1601,$AH827))</f>
        <v/>
      </c>
      <c r="AC827">
        <f>IF($AH827="","",INDEX(Calc!$G$2:$G$1601,$AH827))</f>
        <v/>
      </c>
      <c r="AD827">
        <f>IF($AG827="","",Config!$B$23)</f>
        <v/>
      </c>
      <c r="AE827">
        <f>IF($AG827="","",Config!$B$28)</f>
        <v/>
      </c>
      <c r="AG827">
        <f>IFERROR(MATCH(ROW()-1,Calc!$J$2:$J$1601,0),"")</f>
        <v/>
      </c>
      <c r="AH827">
        <f>IFERROR(MATCH(ROW()-1,Calc!$K$2:$K$1601,0),"")</f>
        <v/>
      </c>
      <c r="AI827">
        <f>IF($AG827="","",SUMIF($AG$2:$AG827,$AG827,$AH$2:$AH827))</f>
        <v/>
      </c>
      <c r="AJ827">
        <f>IF('TMP Paste'!$F827="","",IF('TMP Paste'!$B827="",$AJ826,'TMP Paste'!$B827))</f>
        <v/>
      </c>
      <c r="AK827">
        <f>IF('TMP Paste'!$F827="","",N('TMP Paste'!$G827))</f>
        <v/>
      </c>
      <c r="AL827">
        <f>IF('TMP Paste'!$F827="","",IF('TMP Paste'!$M827="",$AL826,'TMP Paste'!$M827))</f>
        <v/>
      </c>
      <c r="AM827">
        <f>IF('TMP Paste'!$F827="","",IF('TMP Paste'!$N827="",$AM826,'TMP Paste'!$N827))</f>
        <v/>
      </c>
      <c r="AN827">
        <f>IF('TMP Paste'!$F827="","",IF('TMP Paste'!$O827="",$AN826,'TMP Paste'!$O827))</f>
        <v/>
      </c>
      <c r="AO827">
        <f>IF('TMP Paste'!$F827="","",IF('TMP Paste'!$P827="",$AO826,'TMP Paste'!$P827))</f>
        <v/>
      </c>
      <c r="AP827">
        <f>IF($AG827="","",LEN($R827))</f>
        <v/>
      </c>
      <c r="AQ827">
        <f>IF($AG827="","",TRIM(IF(COUNTIFS(Calc!$B$2:$B$1601,ROW()-1,Calc!$C$2:$C$1601,"&lt;1")&gt;0,"Ada PO tanpa Koli - cek TMP. ","")&amp;IF(LEN($R827)&gt;500,"R &gt; 500 karakter.","")))</f>
        <v/>
      </c>
    </row>
    <row r="828">
      <c r="A828">
        <f>IF($AG828="","",INDEX('TMP Paste'!$B$2:$B$1601,$AG828))</f>
        <v/>
      </c>
      <c r="B828">
        <f>IF($AG828="","",Config!$B$14)</f>
        <v/>
      </c>
      <c r="C828">
        <f>IF($AG828="","",Config!$B$15)</f>
        <v/>
      </c>
      <c r="D828">
        <f>IF($AG828="","",INDEX('TMP Paste'!$B$2:$B$1601,$AG828))</f>
        <v/>
      </c>
      <c r="E828">
        <f>IF($AG828="","",Config!$B$27)</f>
        <v/>
      </c>
      <c r="F828">
        <f>IF($AG828="","",Config!$B$9)</f>
        <v/>
      </c>
      <c r="G828">
        <f>IF($AG828="","",Config!$B$10)</f>
        <v/>
      </c>
      <c r="H828">
        <f>IF($AG828="","",Config!$B$11)</f>
        <v/>
      </c>
      <c r="I828">
        <f>IF($AG828="","",Config!$B$16)</f>
        <v/>
      </c>
      <c r="J828">
        <f>IF($AG828="","",INDEX('TMP Paste'!$A$2:$A$1601,$AG828))</f>
        <v/>
      </c>
      <c r="K828">
        <f>IF($AG828="","",INDEX('TMP Paste'!$L$2:$L$1601,$AG828))</f>
        <v/>
      </c>
      <c r="L828">
        <f>IF($AG828="","",INDEX('TMP Paste'!$I$2:$I$1601,$AG828))</f>
        <v/>
      </c>
      <c r="M828">
        <f>IF($AG828="","",Config!$B$16)</f>
        <v/>
      </c>
      <c r="N828">
        <f>IF($AG828="","","")</f>
        <v/>
      </c>
      <c r="O828">
        <f>IF($AG828="","",INDEX('TMP Paste'!$K$2:$K$1601,$AG828))</f>
        <v/>
      </c>
      <c r="P828">
        <f>IF($AG828="","","")</f>
        <v/>
      </c>
      <c r="Q828">
        <f>IF($AG828="","",INDEX('TMP Paste'!$J$2:$J$1601,$AG828))</f>
        <v/>
      </c>
      <c r="R828">
        <f>IF($AG828="","",Config!$B$24)</f>
        <v/>
      </c>
      <c r="S828">
        <f>IF($AG828="","",TEXT(Config!$B$4,"yyyy-mm-dd"))</f>
        <v/>
      </c>
      <c r="T828">
        <f>IF($AG828="","",Config!$B$17)</f>
        <v/>
      </c>
      <c r="U828">
        <f>IF($AG828="","",Config!$B$18)</f>
        <v/>
      </c>
      <c r="V828">
        <f>IF($AG828="","",Config!$B$19)</f>
        <v/>
      </c>
      <c r="W828">
        <f>IF($AG828="","",INDEX('TMP Paste'!$C$2:$C$1601,$AG828))</f>
        <v/>
      </c>
      <c r="X828">
        <f>IF($AG828="","",Config!$B$29)</f>
        <v/>
      </c>
      <c r="Y828">
        <f>IF($AH828="","",INDEX(Calc!$I$2:$I$1601,$AH828)&amp;" - "&amp;INDEX(Calc!$D$2:$D$1601,$AH828)&amp;" koli")</f>
        <v/>
      </c>
      <c r="Z828">
        <f>IF($AG828="","",Config!$B$21)</f>
        <v/>
      </c>
      <c r="AA828">
        <f>IF($AG828="","",Config!$B$22)</f>
        <v/>
      </c>
      <c r="AB828">
        <f>IF($AH828="","",INDEX(Calc!$D$2:$D$1601,$AH828))</f>
        <v/>
      </c>
      <c r="AC828">
        <f>IF($AH828="","",INDEX(Calc!$G$2:$G$1601,$AH828))</f>
        <v/>
      </c>
      <c r="AD828">
        <f>IF($AG828="","",Config!$B$23)</f>
        <v/>
      </c>
      <c r="AE828">
        <f>IF($AG828="","",Config!$B$28)</f>
        <v/>
      </c>
      <c r="AG828">
        <f>IFERROR(MATCH(ROW()-1,Calc!$J$2:$J$1601,0),"")</f>
        <v/>
      </c>
      <c r="AH828">
        <f>IFERROR(MATCH(ROW()-1,Calc!$K$2:$K$1601,0),"")</f>
        <v/>
      </c>
      <c r="AI828">
        <f>IF($AG828="","",SUMIF($AG$2:$AG828,$AG828,$AH$2:$AH828))</f>
        <v/>
      </c>
      <c r="AJ828">
        <f>IF('TMP Paste'!$F828="","",IF('TMP Paste'!$B828="",$AJ827,'TMP Paste'!$B828))</f>
        <v/>
      </c>
      <c r="AK828">
        <f>IF('TMP Paste'!$F828="","",N('TMP Paste'!$G828))</f>
        <v/>
      </c>
      <c r="AL828">
        <f>IF('TMP Paste'!$F828="","",IF('TMP Paste'!$M828="",$AL827,'TMP Paste'!$M828))</f>
        <v/>
      </c>
      <c r="AM828">
        <f>IF('TMP Paste'!$F828="","",IF('TMP Paste'!$N828="",$AM827,'TMP Paste'!$N828))</f>
        <v/>
      </c>
      <c r="AN828">
        <f>IF('TMP Paste'!$F828="","",IF('TMP Paste'!$O828="",$AN827,'TMP Paste'!$O828))</f>
        <v/>
      </c>
      <c r="AO828">
        <f>IF('TMP Paste'!$F828="","",IF('TMP Paste'!$P828="",$AO827,'TMP Paste'!$P828))</f>
        <v/>
      </c>
      <c r="AP828">
        <f>IF($AG828="","",LEN($R828))</f>
        <v/>
      </c>
      <c r="AQ828">
        <f>IF($AG828="","",TRIM(IF(COUNTIFS(Calc!$B$2:$B$1601,ROW()-1,Calc!$C$2:$C$1601,"&lt;1")&gt;0,"Ada PO tanpa Koli - cek TMP. ","")&amp;IF(LEN($R828)&gt;500,"R &gt; 500 karakter.","")))</f>
        <v/>
      </c>
    </row>
    <row r="829">
      <c r="A829">
        <f>IF($AG829="","",INDEX('TMP Paste'!$B$2:$B$1601,$AG829))</f>
        <v/>
      </c>
      <c r="B829">
        <f>IF($AG829="","",Config!$B$14)</f>
        <v/>
      </c>
      <c r="C829">
        <f>IF($AG829="","",Config!$B$15)</f>
        <v/>
      </c>
      <c r="D829">
        <f>IF($AG829="","",INDEX('TMP Paste'!$B$2:$B$1601,$AG829))</f>
        <v/>
      </c>
      <c r="E829">
        <f>IF($AG829="","",Config!$B$27)</f>
        <v/>
      </c>
      <c r="F829">
        <f>IF($AG829="","",Config!$B$9)</f>
        <v/>
      </c>
      <c r="G829">
        <f>IF($AG829="","",Config!$B$10)</f>
        <v/>
      </c>
      <c r="H829">
        <f>IF($AG829="","",Config!$B$11)</f>
        <v/>
      </c>
      <c r="I829">
        <f>IF($AG829="","",Config!$B$16)</f>
        <v/>
      </c>
      <c r="J829">
        <f>IF($AG829="","",INDEX('TMP Paste'!$A$2:$A$1601,$AG829))</f>
        <v/>
      </c>
      <c r="K829">
        <f>IF($AG829="","",INDEX('TMP Paste'!$L$2:$L$1601,$AG829))</f>
        <v/>
      </c>
      <c r="L829">
        <f>IF($AG829="","",INDEX('TMP Paste'!$I$2:$I$1601,$AG829))</f>
        <v/>
      </c>
      <c r="M829">
        <f>IF($AG829="","",Config!$B$16)</f>
        <v/>
      </c>
      <c r="N829">
        <f>IF($AG829="","","")</f>
        <v/>
      </c>
      <c r="O829">
        <f>IF($AG829="","",INDEX('TMP Paste'!$K$2:$K$1601,$AG829))</f>
        <v/>
      </c>
      <c r="P829">
        <f>IF($AG829="","","")</f>
        <v/>
      </c>
      <c r="Q829">
        <f>IF($AG829="","",INDEX('TMP Paste'!$J$2:$J$1601,$AG829))</f>
        <v/>
      </c>
      <c r="R829">
        <f>IF($AG829="","",Config!$B$24)</f>
        <v/>
      </c>
      <c r="S829">
        <f>IF($AG829="","",TEXT(Config!$B$4,"yyyy-mm-dd"))</f>
        <v/>
      </c>
      <c r="T829">
        <f>IF($AG829="","",Config!$B$17)</f>
        <v/>
      </c>
      <c r="U829">
        <f>IF($AG829="","",Config!$B$18)</f>
        <v/>
      </c>
      <c r="V829">
        <f>IF($AG829="","",Config!$B$19)</f>
        <v/>
      </c>
      <c r="W829">
        <f>IF($AG829="","",INDEX('TMP Paste'!$C$2:$C$1601,$AG829))</f>
        <v/>
      </c>
      <c r="X829">
        <f>IF($AG829="","",Config!$B$29)</f>
        <v/>
      </c>
      <c r="Y829">
        <f>IF($AH829="","",INDEX(Calc!$I$2:$I$1601,$AH829)&amp;" - "&amp;INDEX(Calc!$D$2:$D$1601,$AH829)&amp;" koli")</f>
        <v/>
      </c>
      <c r="Z829">
        <f>IF($AG829="","",Config!$B$21)</f>
        <v/>
      </c>
      <c r="AA829">
        <f>IF($AG829="","",Config!$B$22)</f>
        <v/>
      </c>
      <c r="AB829">
        <f>IF($AH829="","",INDEX(Calc!$D$2:$D$1601,$AH829))</f>
        <v/>
      </c>
      <c r="AC829">
        <f>IF($AH829="","",INDEX(Calc!$G$2:$G$1601,$AH829))</f>
        <v/>
      </c>
      <c r="AD829">
        <f>IF($AG829="","",Config!$B$23)</f>
        <v/>
      </c>
      <c r="AE829">
        <f>IF($AG829="","",Config!$B$28)</f>
        <v/>
      </c>
      <c r="AG829">
        <f>IFERROR(MATCH(ROW()-1,Calc!$J$2:$J$1601,0),"")</f>
        <v/>
      </c>
      <c r="AH829">
        <f>IFERROR(MATCH(ROW()-1,Calc!$K$2:$K$1601,0),"")</f>
        <v/>
      </c>
      <c r="AI829">
        <f>IF($AG829="","",SUMIF($AG$2:$AG829,$AG829,$AH$2:$AH829))</f>
        <v/>
      </c>
      <c r="AJ829">
        <f>IF('TMP Paste'!$F829="","",IF('TMP Paste'!$B829="",$AJ828,'TMP Paste'!$B829))</f>
        <v/>
      </c>
      <c r="AK829">
        <f>IF('TMP Paste'!$F829="","",N('TMP Paste'!$G829))</f>
        <v/>
      </c>
      <c r="AL829">
        <f>IF('TMP Paste'!$F829="","",IF('TMP Paste'!$M829="",$AL828,'TMP Paste'!$M829))</f>
        <v/>
      </c>
      <c r="AM829">
        <f>IF('TMP Paste'!$F829="","",IF('TMP Paste'!$N829="",$AM828,'TMP Paste'!$N829))</f>
        <v/>
      </c>
      <c r="AN829">
        <f>IF('TMP Paste'!$F829="","",IF('TMP Paste'!$O829="",$AN828,'TMP Paste'!$O829))</f>
        <v/>
      </c>
      <c r="AO829">
        <f>IF('TMP Paste'!$F829="","",IF('TMP Paste'!$P829="",$AO828,'TMP Paste'!$P829))</f>
        <v/>
      </c>
      <c r="AP829">
        <f>IF($AG829="","",LEN($R829))</f>
        <v/>
      </c>
      <c r="AQ829">
        <f>IF($AG829="","",TRIM(IF(COUNTIFS(Calc!$B$2:$B$1601,ROW()-1,Calc!$C$2:$C$1601,"&lt;1")&gt;0,"Ada PO tanpa Koli - cek TMP. ","")&amp;IF(LEN($R829)&gt;500,"R &gt; 500 karakter.","")))</f>
        <v/>
      </c>
    </row>
    <row r="830">
      <c r="A830">
        <f>IF($AG830="","",INDEX('TMP Paste'!$B$2:$B$1601,$AG830))</f>
        <v/>
      </c>
      <c r="B830">
        <f>IF($AG830="","",Config!$B$14)</f>
        <v/>
      </c>
      <c r="C830">
        <f>IF($AG830="","",Config!$B$15)</f>
        <v/>
      </c>
      <c r="D830">
        <f>IF($AG830="","",INDEX('TMP Paste'!$B$2:$B$1601,$AG830))</f>
        <v/>
      </c>
      <c r="E830">
        <f>IF($AG830="","",Config!$B$27)</f>
        <v/>
      </c>
      <c r="F830">
        <f>IF($AG830="","",Config!$B$9)</f>
        <v/>
      </c>
      <c r="G830">
        <f>IF($AG830="","",Config!$B$10)</f>
        <v/>
      </c>
      <c r="H830">
        <f>IF($AG830="","",Config!$B$11)</f>
        <v/>
      </c>
      <c r="I830">
        <f>IF($AG830="","",Config!$B$16)</f>
        <v/>
      </c>
      <c r="J830">
        <f>IF($AG830="","",INDEX('TMP Paste'!$A$2:$A$1601,$AG830))</f>
        <v/>
      </c>
      <c r="K830">
        <f>IF($AG830="","",INDEX('TMP Paste'!$L$2:$L$1601,$AG830))</f>
        <v/>
      </c>
      <c r="L830">
        <f>IF($AG830="","",INDEX('TMP Paste'!$I$2:$I$1601,$AG830))</f>
        <v/>
      </c>
      <c r="M830">
        <f>IF($AG830="","",Config!$B$16)</f>
        <v/>
      </c>
      <c r="N830">
        <f>IF($AG830="","","")</f>
        <v/>
      </c>
      <c r="O830">
        <f>IF($AG830="","",INDEX('TMP Paste'!$K$2:$K$1601,$AG830))</f>
        <v/>
      </c>
      <c r="P830">
        <f>IF($AG830="","","")</f>
        <v/>
      </c>
      <c r="Q830">
        <f>IF($AG830="","",INDEX('TMP Paste'!$J$2:$J$1601,$AG830))</f>
        <v/>
      </c>
      <c r="R830">
        <f>IF($AG830="","",Config!$B$24)</f>
        <v/>
      </c>
      <c r="S830">
        <f>IF($AG830="","",TEXT(Config!$B$4,"yyyy-mm-dd"))</f>
        <v/>
      </c>
      <c r="T830">
        <f>IF($AG830="","",Config!$B$17)</f>
        <v/>
      </c>
      <c r="U830">
        <f>IF($AG830="","",Config!$B$18)</f>
        <v/>
      </c>
      <c r="V830">
        <f>IF($AG830="","",Config!$B$19)</f>
        <v/>
      </c>
      <c r="W830">
        <f>IF($AG830="","",INDEX('TMP Paste'!$C$2:$C$1601,$AG830))</f>
        <v/>
      </c>
      <c r="X830">
        <f>IF($AG830="","",Config!$B$29)</f>
        <v/>
      </c>
      <c r="Y830">
        <f>IF($AH830="","",INDEX(Calc!$I$2:$I$1601,$AH830)&amp;" - "&amp;INDEX(Calc!$D$2:$D$1601,$AH830)&amp;" koli")</f>
        <v/>
      </c>
      <c r="Z830">
        <f>IF($AG830="","",Config!$B$21)</f>
        <v/>
      </c>
      <c r="AA830">
        <f>IF($AG830="","",Config!$B$22)</f>
        <v/>
      </c>
      <c r="AB830">
        <f>IF($AH830="","",INDEX(Calc!$D$2:$D$1601,$AH830))</f>
        <v/>
      </c>
      <c r="AC830">
        <f>IF($AH830="","",INDEX(Calc!$G$2:$G$1601,$AH830))</f>
        <v/>
      </c>
      <c r="AD830">
        <f>IF($AG830="","",Config!$B$23)</f>
        <v/>
      </c>
      <c r="AE830">
        <f>IF($AG830="","",Config!$B$28)</f>
        <v/>
      </c>
      <c r="AG830">
        <f>IFERROR(MATCH(ROW()-1,Calc!$J$2:$J$1601,0),"")</f>
        <v/>
      </c>
      <c r="AH830">
        <f>IFERROR(MATCH(ROW()-1,Calc!$K$2:$K$1601,0),"")</f>
        <v/>
      </c>
      <c r="AI830">
        <f>IF($AG830="","",SUMIF($AG$2:$AG830,$AG830,$AH$2:$AH830))</f>
        <v/>
      </c>
      <c r="AJ830">
        <f>IF('TMP Paste'!$F830="","",IF('TMP Paste'!$B830="",$AJ829,'TMP Paste'!$B830))</f>
        <v/>
      </c>
      <c r="AK830">
        <f>IF('TMP Paste'!$F830="","",N('TMP Paste'!$G830))</f>
        <v/>
      </c>
      <c r="AL830">
        <f>IF('TMP Paste'!$F830="","",IF('TMP Paste'!$M830="",$AL829,'TMP Paste'!$M830))</f>
        <v/>
      </c>
      <c r="AM830">
        <f>IF('TMP Paste'!$F830="","",IF('TMP Paste'!$N830="",$AM829,'TMP Paste'!$N830))</f>
        <v/>
      </c>
      <c r="AN830">
        <f>IF('TMP Paste'!$F830="","",IF('TMP Paste'!$O830="",$AN829,'TMP Paste'!$O830))</f>
        <v/>
      </c>
      <c r="AO830">
        <f>IF('TMP Paste'!$F830="","",IF('TMP Paste'!$P830="",$AO829,'TMP Paste'!$P830))</f>
        <v/>
      </c>
      <c r="AP830">
        <f>IF($AG830="","",LEN($R830))</f>
        <v/>
      </c>
      <c r="AQ830">
        <f>IF($AG830="","",TRIM(IF(COUNTIFS(Calc!$B$2:$B$1601,ROW()-1,Calc!$C$2:$C$1601,"&lt;1")&gt;0,"Ada PO tanpa Koli - cek TMP. ","")&amp;IF(LEN($R830)&gt;500,"R &gt; 500 karakter.","")))</f>
        <v/>
      </c>
    </row>
    <row r="831">
      <c r="A831">
        <f>IF($AG831="","",INDEX('TMP Paste'!$B$2:$B$1601,$AG831))</f>
        <v/>
      </c>
      <c r="B831">
        <f>IF($AG831="","",Config!$B$14)</f>
        <v/>
      </c>
      <c r="C831">
        <f>IF($AG831="","",Config!$B$15)</f>
        <v/>
      </c>
      <c r="D831">
        <f>IF($AG831="","",INDEX('TMP Paste'!$B$2:$B$1601,$AG831))</f>
        <v/>
      </c>
      <c r="E831">
        <f>IF($AG831="","",Config!$B$27)</f>
        <v/>
      </c>
      <c r="F831">
        <f>IF($AG831="","",Config!$B$9)</f>
        <v/>
      </c>
      <c r="G831">
        <f>IF($AG831="","",Config!$B$10)</f>
        <v/>
      </c>
      <c r="H831">
        <f>IF($AG831="","",Config!$B$11)</f>
        <v/>
      </c>
      <c r="I831">
        <f>IF($AG831="","",Config!$B$16)</f>
        <v/>
      </c>
      <c r="J831">
        <f>IF($AG831="","",INDEX('TMP Paste'!$A$2:$A$1601,$AG831))</f>
        <v/>
      </c>
      <c r="K831">
        <f>IF($AG831="","",INDEX('TMP Paste'!$L$2:$L$1601,$AG831))</f>
        <v/>
      </c>
      <c r="L831">
        <f>IF($AG831="","",INDEX('TMP Paste'!$I$2:$I$1601,$AG831))</f>
        <v/>
      </c>
      <c r="M831">
        <f>IF($AG831="","",Config!$B$16)</f>
        <v/>
      </c>
      <c r="N831">
        <f>IF($AG831="","","")</f>
        <v/>
      </c>
      <c r="O831">
        <f>IF($AG831="","",INDEX('TMP Paste'!$K$2:$K$1601,$AG831))</f>
        <v/>
      </c>
      <c r="P831">
        <f>IF($AG831="","","")</f>
        <v/>
      </c>
      <c r="Q831">
        <f>IF($AG831="","",INDEX('TMP Paste'!$J$2:$J$1601,$AG831))</f>
        <v/>
      </c>
      <c r="R831">
        <f>IF($AG831="","",Config!$B$24)</f>
        <v/>
      </c>
      <c r="S831">
        <f>IF($AG831="","",TEXT(Config!$B$4,"yyyy-mm-dd"))</f>
        <v/>
      </c>
      <c r="T831">
        <f>IF($AG831="","",Config!$B$17)</f>
        <v/>
      </c>
      <c r="U831">
        <f>IF($AG831="","",Config!$B$18)</f>
        <v/>
      </c>
      <c r="V831">
        <f>IF($AG831="","",Config!$B$19)</f>
        <v/>
      </c>
      <c r="W831">
        <f>IF($AG831="","",INDEX('TMP Paste'!$C$2:$C$1601,$AG831))</f>
        <v/>
      </c>
      <c r="X831">
        <f>IF($AG831="","",Config!$B$29)</f>
        <v/>
      </c>
      <c r="Y831">
        <f>IF($AH831="","",INDEX(Calc!$I$2:$I$1601,$AH831)&amp;" - "&amp;INDEX(Calc!$D$2:$D$1601,$AH831)&amp;" koli")</f>
        <v/>
      </c>
      <c r="Z831">
        <f>IF($AG831="","",Config!$B$21)</f>
        <v/>
      </c>
      <c r="AA831">
        <f>IF($AG831="","",Config!$B$22)</f>
        <v/>
      </c>
      <c r="AB831">
        <f>IF($AH831="","",INDEX(Calc!$D$2:$D$1601,$AH831))</f>
        <v/>
      </c>
      <c r="AC831">
        <f>IF($AH831="","",INDEX(Calc!$G$2:$G$1601,$AH831))</f>
        <v/>
      </c>
      <c r="AD831">
        <f>IF($AG831="","",Config!$B$23)</f>
        <v/>
      </c>
      <c r="AE831">
        <f>IF($AG831="","",Config!$B$28)</f>
        <v/>
      </c>
      <c r="AG831">
        <f>IFERROR(MATCH(ROW()-1,Calc!$J$2:$J$1601,0),"")</f>
        <v/>
      </c>
      <c r="AH831">
        <f>IFERROR(MATCH(ROW()-1,Calc!$K$2:$K$1601,0),"")</f>
        <v/>
      </c>
      <c r="AI831">
        <f>IF($AG831="","",SUMIF($AG$2:$AG831,$AG831,$AH$2:$AH831))</f>
        <v/>
      </c>
      <c r="AJ831">
        <f>IF('TMP Paste'!$F831="","",IF('TMP Paste'!$B831="",$AJ830,'TMP Paste'!$B831))</f>
        <v/>
      </c>
      <c r="AK831">
        <f>IF('TMP Paste'!$F831="","",N('TMP Paste'!$G831))</f>
        <v/>
      </c>
      <c r="AL831">
        <f>IF('TMP Paste'!$F831="","",IF('TMP Paste'!$M831="",$AL830,'TMP Paste'!$M831))</f>
        <v/>
      </c>
      <c r="AM831">
        <f>IF('TMP Paste'!$F831="","",IF('TMP Paste'!$N831="",$AM830,'TMP Paste'!$N831))</f>
        <v/>
      </c>
      <c r="AN831">
        <f>IF('TMP Paste'!$F831="","",IF('TMP Paste'!$O831="",$AN830,'TMP Paste'!$O831))</f>
        <v/>
      </c>
      <c r="AO831">
        <f>IF('TMP Paste'!$F831="","",IF('TMP Paste'!$P831="",$AO830,'TMP Paste'!$P831))</f>
        <v/>
      </c>
      <c r="AP831">
        <f>IF($AG831="","",LEN($R831))</f>
        <v/>
      </c>
      <c r="AQ831">
        <f>IF($AG831="","",TRIM(IF(COUNTIFS(Calc!$B$2:$B$1601,ROW()-1,Calc!$C$2:$C$1601,"&lt;1")&gt;0,"Ada PO tanpa Koli - cek TMP. ","")&amp;IF(LEN($R831)&gt;500,"R &gt; 500 karakter.","")))</f>
        <v/>
      </c>
    </row>
    <row r="832">
      <c r="A832">
        <f>IF($AG832="","",INDEX('TMP Paste'!$B$2:$B$1601,$AG832))</f>
        <v/>
      </c>
      <c r="B832">
        <f>IF($AG832="","",Config!$B$14)</f>
        <v/>
      </c>
      <c r="C832">
        <f>IF($AG832="","",Config!$B$15)</f>
        <v/>
      </c>
      <c r="D832">
        <f>IF($AG832="","",INDEX('TMP Paste'!$B$2:$B$1601,$AG832))</f>
        <v/>
      </c>
      <c r="E832">
        <f>IF($AG832="","",Config!$B$27)</f>
        <v/>
      </c>
      <c r="F832">
        <f>IF($AG832="","",Config!$B$9)</f>
        <v/>
      </c>
      <c r="G832">
        <f>IF($AG832="","",Config!$B$10)</f>
        <v/>
      </c>
      <c r="H832">
        <f>IF($AG832="","",Config!$B$11)</f>
        <v/>
      </c>
      <c r="I832">
        <f>IF($AG832="","",Config!$B$16)</f>
        <v/>
      </c>
      <c r="J832">
        <f>IF($AG832="","",INDEX('TMP Paste'!$A$2:$A$1601,$AG832))</f>
        <v/>
      </c>
      <c r="K832">
        <f>IF($AG832="","",INDEX('TMP Paste'!$L$2:$L$1601,$AG832))</f>
        <v/>
      </c>
      <c r="L832">
        <f>IF($AG832="","",INDEX('TMP Paste'!$I$2:$I$1601,$AG832))</f>
        <v/>
      </c>
      <c r="M832">
        <f>IF($AG832="","",Config!$B$16)</f>
        <v/>
      </c>
      <c r="N832">
        <f>IF($AG832="","","")</f>
        <v/>
      </c>
      <c r="O832">
        <f>IF($AG832="","",INDEX('TMP Paste'!$K$2:$K$1601,$AG832))</f>
        <v/>
      </c>
      <c r="P832">
        <f>IF($AG832="","","")</f>
        <v/>
      </c>
      <c r="Q832">
        <f>IF($AG832="","",INDEX('TMP Paste'!$J$2:$J$1601,$AG832))</f>
        <v/>
      </c>
      <c r="R832">
        <f>IF($AG832="","",Config!$B$24)</f>
        <v/>
      </c>
      <c r="S832">
        <f>IF($AG832="","",TEXT(Config!$B$4,"yyyy-mm-dd"))</f>
        <v/>
      </c>
      <c r="T832">
        <f>IF($AG832="","",Config!$B$17)</f>
        <v/>
      </c>
      <c r="U832">
        <f>IF($AG832="","",Config!$B$18)</f>
        <v/>
      </c>
      <c r="V832">
        <f>IF($AG832="","",Config!$B$19)</f>
        <v/>
      </c>
      <c r="W832">
        <f>IF($AG832="","",INDEX('TMP Paste'!$C$2:$C$1601,$AG832))</f>
        <v/>
      </c>
      <c r="X832">
        <f>IF($AG832="","",Config!$B$29)</f>
        <v/>
      </c>
      <c r="Y832">
        <f>IF($AH832="","",INDEX(Calc!$I$2:$I$1601,$AH832)&amp;" - "&amp;INDEX(Calc!$D$2:$D$1601,$AH832)&amp;" koli")</f>
        <v/>
      </c>
      <c r="Z832">
        <f>IF($AG832="","",Config!$B$21)</f>
        <v/>
      </c>
      <c r="AA832">
        <f>IF($AG832="","",Config!$B$22)</f>
        <v/>
      </c>
      <c r="AB832">
        <f>IF($AH832="","",INDEX(Calc!$D$2:$D$1601,$AH832))</f>
        <v/>
      </c>
      <c r="AC832">
        <f>IF($AH832="","",INDEX(Calc!$G$2:$G$1601,$AH832))</f>
        <v/>
      </c>
      <c r="AD832">
        <f>IF($AG832="","",Config!$B$23)</f>
        <v/>
      </c>
      <c r="AE832">
        <f>IF($AG832="","",Config!$B$28)</f>
        <v/>
      </c>
      <c r="AG832">
        <f>IFERROR(MATCH(ROW()-1,Calc!$J$2:$J$1601,0),"")</f>
        <v/>
      </c>
      <c r="AH832">
        <f>IFERROR(MATCH(ROW()-1,Calc!$K$2:$K$1601,0),"")</f>
        <v/>
      </c>
      <c r="AI832">
        <f>IF($AG832="","",SUMIF($AG$2:$AG832,$AG832,$AH$2:$AH832))</f>
        <v/>
      </c>
      <c r="AJ832">
        <f>IF('TMP Paste'!$F832="","",IF('TMP Paste'!$B832="",$AJ831,'TMP Paste'!$B832))</f>
        <v/>
      </c>
      <c r="AK832">
        <f>IF('TMP Paste'!$F832="","",N('TMP Paste'!$G832))</f>
        <v/>
      </c>
      <c r="AL832">
        <f>IF('TMP Paste'!$F832="","",IF('TMP Paste'!$M832="",$AL831,'TMP Paste'!$M832))</f>
        <v/>
      </c>
      <c r="AM832">
        <f>IF('TMP Paste'!$F832="","",IF('TMP Paste'!$N832="",$AM831,'TMP Paste'!$N832))</f>
        <v/>
      </c>
      <c r="AN832">
        <f>IF('TMP Paste'!$F832="","",IF('TMP Paste'!$O832="",$AN831,'TMP Paste'!$O832))</f>
        <v/>
      </c>
      <c r="AO832">
        <f>IF('TMP Paste'!$F832="","",IF('TMP Paste'!$P832="",$AO831,'TMP Paste'!$P832))</f>
        <v/>
      </c>
      <c r="AP832">
        <f>IF($AG832="","",LEN($R832))</f>
        <v/>
      </c>
      <c r="AQ832">
        <f>IF($AG832="","",TRIM(IF(COUNTIFS(Calc!$B$2:$B$1601,ROW()-1,Calc!$C$2:$C$1601,"&lt;1")&gt;0,"Ada PO tanpa Koli - cek TMP. ","")&amp;IF(LEN($R832)&gt;500,"R &gt; 500 karakter.","")))</f>
        <v/>
      </c>
    </row>
    <row r="833">
      <c r="A833">
        <f>IF($AG833="","",INDEX('TMP Paste'!$B$2:$B$1601,$AG833))</f>
        <v/>
      </c>
      <c r="B833">
        <f>IF($AG833="","",Config!$B$14)</f>
        <v/>
      </c>
      <c r="C833">
        <f>IF($AG833="","",Config!$B$15)</f>
        <v/>
      </c>
      <c r="D833">
        <f>IF($AG833="","",INDEX('TMP Paste'!$B$2:$B$1601,$AG833))</f>
        <v/>
      </c>
      <c r="E833">
        <f>IF($AG833="","",Config!$B$27)</f>
        <v/>
      </c>
      <c r="F833">
        <f>IF($AG833="","",Config!$B$9)</f>
        <v/>
      </c>
      <c r="G833">
        <f>IF($AG833="","",Config!$B$10)</f>
        <v/>
      </c>
      <c r="H833">
        <f>IF($AG833="","",Config!$B$11)</f>
        <v/>
      </c>
      <c r="I833">
        <f>IF($AG833="","",Config!$B$16)</f>
        <v/>
      </c>
      <c r="J833">
        <f>IF($AG833="","",INDEX('TMP Paste'!$A$2:$A$1601,$AG833))</f>
        <v/>
      </c>
      <c r="K833">
        <f>IF($AG833="","",INDEX('TMP Paste'!$L$2:$L$1601,$AG833))</f>
        <v/>
      </c>
      <c r="L833">
        <f>IF($AG833="","",INDEX('TMP Paste'!$I$2:$I$1601,$AG833))</f>
        <v/>
      </c>
      <c r="M833">
        <f>IF($AG833="","",Config!$B$16)</f>
        <v/>
      </c>
      <c r="N833">
        <f>IF($AG833="","","")</f>
        <v/>
      </c>
      <c r="O833">
        <f>IF($AG833="","",INDEX('TMP Paste'!$K$2:$K$1601,$AG833))</f>
        <v/>
      </c>
      <c r="P833">
        <f>IF($AG833="","","")</f>
        <v/>
      </c>
      <c r="Q833">
        <f>IF($AG833="","",INDEX('TMP Paste'!$J$2:$J$1601,$AG833))</f>
        <v/>
      </c>
      <c r="R833">
        <f>IF($AG833="","",Config!$B$24)</f>
        <v/>
      </c>
      <c r="S833">
        <f>IF($AG833="","",TEXT(Config!$B$4,"yyyy-mm-dd"))</f>
        <v/>
      </c>
      <c r="T833">
        <f>IF($AG833="","",Config!$B$17)</f>
        <v/>
      </c>
      <c r="U833">
        <f>IF($AG833="","",Config!$B$18)</f>
        <v/>
      </c>
      <c r="V833">
        <f>IF($AG833="","",Config!$B$19)</f>
        <v/>
      </c>
      <c r="W833">
        <f>IF($AG833="","",INDEX('TMP Paste'!$C$2:$C$1601,$AG833))</f>
        <v/>
      </c>
      <c r="X833">
        <f>IF($AG833="","",Config!$B$29)</f>
        <v/>
      </c>
      <c r="Y833">
        <f>IF($AH833="","",INDEX(Calc!$I$2:$I$1601,$AH833)&amp;" - "&amp;INDEX(Calc!$D$2:$D$1601,$AH833)&amp;" koli")</f>
        <v/>
      </c>
      <c r="Z833">
        <f>IF($AG833="","",Config!$B$21)</f>
        <v/>
      </c>
      <c r="AA833">
        <f>IF($AG833="","",Config!$B$22)</f>
        <v/>
      </c>
      <c r="AB833">
        <f>IF($AH833="","",INDEX(Calc!$D$2:$D$1601,$AH833))</f>
        <v/>
      </c>
      <c r="AC833">
        <f>IF($AH833="","",INDEX(Calc!$G$2:$G$1601,$AH833))</f>
        <v/>
      </c>
      <c r="AD833">
        <f>IF($AG833="","",Config!$B$23)</f>
        <v/>
      </c>
      <c r="AE833">
        <f>IF($AG833="","",Config!$B$28)</f>
        <v/>
      </c>
      <c r="AG833">
        <f>IFERROR(MATCH(ROW()-1,Calc!$J$2:$J$1601,0),"")</f>
        <v/>
      </c>
      <c r="AH833">
        <f>IFERROR(MATCH(ROW()-1,Calc!$K$2:$K$1601,0),"")</f>
        <v/>
      </c>
      <c r="AI833">
        <f>IF($AG833="","",SUMIF($AG$2:$AG833,$AG833,$AH$2:$AH833))</f>
        <v/>
      </c>
      <c r="AJ833">
        <f>IF('TMP Paste'!$F833="","",IF('TMP Paste'!$B833="",$AJ832,'TMP Paste'!$B833))</f>
        <v/>
      </c>
      <c r="AK833">
        <f>IF('TMP Paste'!$F833="","",N('TMP Paste'!$G833))</f>
        <v/>
      </c>
      <c r="AL833">
        <f>IF('TMP Paste'!$F833="","",IF('TMP Paste'!$M833="",$AL832,'TMP Paste'!$M833))</f>
        <v/>
      </c>
      <c r="AM833">
        <f>IF('TMP Paste'!$F833="","",IF('TMP Paste'!$N833="",$AM832,'TMP Paste'!$N833))</f>
        <v/>
      </c>
      <c r="AN833">
        <f>IF('TMP Paste'!$F833="","",IF('TMP Paste'!$O833="",$AN832,'TMP Paste'!$O833))</f>
        <v/>
      </c>
      <c r="AO833">
        <f>IF('TMP Paste'!$F833="","",IF('TMP Paste'!$P833="",$AO832,'TMP Paste'!$P833))</f>
        <v/>
      </c>
      <c r="AP833">
        <f>IF($AG833="","",LEN($R833))</f>
        <v/>
      </c>
      <c r="AQ833">
        <f>IF($AG833="","",TRIM(IF(COUNTIFS(Calc!$B$2:$B$1601,ROW()-1,Calc!$C$2:$C$1601,"&lt;1")&gt;0,"Ada PO tanpa Koli - cek TMP. ","")&amp;IF(LEN($R833)&gt;500,"R &gt; 500 karakter.","")))</f>
        <v/>
      </c>
    </row>
    <row r="834">
      <c r="A834">
        <f>IF($AG834="","",INDEX('TMP Paste'!$B$2:$B$1601,$AG834))</f>
        <v/>
      </c>
      <c r="B834">
        <f>IF($AG834="","",Config!$B$14)</f>
        <v/>
      </c>
      <c r="C834">
        <f>IF($AG834="","",Config!$B$15)</f>
        <v/>
      </c>
      <c r="D834">
        <f>IF($AG834="","",INDEX('TMP Paste'!$B$2:$B$1601,$AG834))</f>
        <v/>
      </c>
      <c r="E834">
        <f>IF($AG834="","",Config!$B$27)</f>
        <v/>
      </c>
      <c r="F834">
        <f>IF($AG834="","",Config!$B$9)</f>
        <v/>
      </c>
      <c r="G834">
        <f>IF($AG834="","",Config!$B$10)</f>
        <v/>
      </c>
      <c r="H834">
        <f>IF($AG834="","",Config!$B$11)</f>
        <v/>
      </c>
      <c r="I834">
        <f>IF($AG834="","",Config!$B$16)</f>
        <v/>
      </c>
      <c r="J834">
        <f>IF($AG834="","",INDEX('TMP Paste'!$A$2:$A$1601,$AG834))</f>
        <v/>
      </c>
      <c r="K834">
        <f>IF($AG834="","",INDEX('TMP Paste'!$L$2:$L$1601,$AG834))</f>
        <v/>
      </c>
      <c r="L834">
        <f>IF($AG834="","",INDEX('TMP Paste'!$I$2:$I$1601,$AG834))</f>
        <v/>
      </c>
      <c r="M834">
        <f>IF($AG834="","",Config!$B$16)</f>
        <v/>
      </c>
      <c r="N834">
        <f>IF($AG834="","","")</f>
        <v/>
      </c>
      <c r="O834">
        <f>IF($AG834="","",INDEX('TMP Paste'!$K$2:$K$1601,$AG834))</f>
        <v/>
      </c>
      <c r="P834">
        <f>IF($AG834="","","")</f>
        <v/>
      </c>
      <c r="Q834">
        <f>IF($AG834="","",INDEX('TMP Paste'!$J$2:$J$1601,$AG834))</f>
        <v/>
      </c>
      <c r="R834">
        <f>IF($AG834="","",Config!$B$24)</f>
        <v/>
      </c>
      <c r="S834">
        <f>IF($AG834="","",TEXT(Config!$B$4,"yyyy-mm-dd"))</f>
        <v/>
      </c>
      <c r="T834">
        <f>IF($AG834="","",Config!$B$17)</f>
        <v/>
      </c>
      <c r="U834">
        <f>IF($AG834="","",Config!$B$18)</f>
        <v/>
      </c>
      <c r="V834">
        <f>IF($AG834="","",Config!$B$19)</f>
        <v/>
      </c>
      <c r="W834">
        <f>IF($AG834="","",INDEX('TMP Paste'!$C$2:$C$1601,$AG834))</f>
        <v/>
      </c>
      <c r="X834">
        <f>IF($AG834="","",Config!$B$29)</f>
        <v/>
      </c>
      <c r="Y834">
        <f>IF($AH834="","",INDEX(Calc!$I$2:$I$1601,$AH834)&amp;" - "&amp;INDEX(Calc!$D$2:$D$1601,$AH834)&amp;" koli")</f>
        <v/>
      </c>
      <c r="Z834">
        <f>IF($AG834="","",Config!$B$21)</f>
        <v/>
      </c>
      <c r="AA834">
        <f>IF($AG834="","",Config!$B$22)</f>
        <v/>
      </c>
      <c r="AB834">
        <f>IF($AH834="","",INDEX(Calc!$D$2:$D$1601,$AH834))</f>
        <v/>
      </c>
      <c r="AC834">
        <f>IF($AH834="","",INDEX(Calc!$G$2:$G$1601,$AH834))</f>
        <v/>
      </c>
      <c r="AD834">
        <f>IF($AG834="","",Config!$B$23)</f>
        <v/>
      </c>
      <c r="AE834">
        <f>IF($AG834="","",Config!$B$28)</f>
        <v/>
      </c>
      <c r="AG834">
        <f>IFERROR(MATCH(ROW()-1,Calc!$J$2:$J$1601,0),"")</f>
        <v/>
      </c>
      <c r="AH834">
        <f>IFERROR(MATCH(ROW()-1,Calc!$K$2:$K$1601,0),"")</f>
        <v/>
      </c>
      <c r="AI834">
        <f>IF($AG834="","",SUMIF($AG$2:$AG834,$AG834,$AH$2:$AH834))</f>
        <v/>
      </c>
      <c r="AJ834">
        <f>IF('TMP Paste'!$F834="","",IF('TMP Paste'!$B834="",$AJ833,'TMP Paste'!$B834))</f>
        <v/>
      </c>
      <c r="AK834">
        <f>IF('TMP Paste'!$F834="","",N('TMP Paste'!$G834))</f>
        <v/>
      </c>
      <c r="AL834">
        <f>IF('TMP Paste'!$F834="","",IF('TMP Paste'!$M834="",$AL833,'TMP Paste'!$M834))</f>
        <v/>
      </c>
      <c r="AM834">
        <f>IF('TMP Paste'!$F834="","",IF('TMP Paste'!$N834="",$AM833,'TMP Paste'!$N834))</f>
        <v/>
      </c>
      <c r="AN834">
        <f>IF('TMP Paste'!$F834="","",IF('TMP Paste'!$O834="",$AN833,'TMP Paste'!$O834))</f>
        <v/>
      </c>
      <c r="AO834">
        <f>IF('TMP Paste'!$F834="","",IF('TMP Paste'!$P834="",$AO833,'TMP Paste'!$P834))</f>
        <v/>
      </c>
      <c r="AP834">
        <f>IF($AG834="","",LEN($R834))</f>
        <v/>
      </c>
      <c r="AQ834">
        <f>IF($AG834="","",TRIM(IF(COUNTIFS(Calc!$B$2:$B$1601,ROW()-1,Calc!$C$2:$C$1601,"&lt;1")&gt;0,"Ada PO tanpa Koli - cek TMP. ","")&amp;IF(LEN($R834)&gt;500,"R &gt; 500 karakter.","")))</f>
        <v/>
      </c>
    </row>
    <row r="835">
      <c r="A835">
        <f>IF($AG835="","",INDEX('TMP Paste'!$B$2:$B$1601,$AG835))</f>
        <v/>
      </c>
      <c r="B835">
        <f>IF($AG835="","",Config!$B$14)</f>
        <v/>
      </c>
      <c r="C835">
        <f>IF($AG835="","",Config!$B$15)</f>
        <v/>
      </c>
      <c r="D835">
        <f>IF($AG835="","",INDEX('TMP Paste'!$B$2:$B$1601,$AG835))</f>
        <v/>
      </c>
      <c r="E835">
        <f>IF($AG835="","",Config!$B$27)</f>
        <v/>
      </c>
      <c r="F835">
        <f>IF($AG835="","",Config!$B$9)</f>
        <v/>
      </c>
      <c r="G835">
        <f>IF($AG835="","",Config!$B$10)</f>
        <v/>
      </c>
      <c r="H835">
        <f>IF($AG835="","",Config!$B$11)</f>
        <v/>
      </c>
      <c r="I835">
        <f>IF($AG835="","",Config!$B$16)</f>
        <v/>
      </c>
      <c r="J835">
        <f>IF($AG835="","",INDEX('TMP Paste'!$A$2:$A$1601,$AG835))</f>
        <v/>
      </c>
      <c r="K835">
        <f>IF($AG835="","",INDEX('TMP Paste'!$L$2:$L$1601,$AG835))</f>
        <v/>
      </c>
      <c r="L835">
        <f>IF($AG835="","",INDEX('TMP Paste'!$I$2:$I$1601,$AG835))</f>
        <v/>
      </c>
      <c r="M835">
        <f>IF($AG835="","",Config!$B$16)</f>
        <v/>
      </c>
      <c r="N835">
        <f>IF($AG835="","","")</f>
        <v/>
      </c>
      <c r="O835">
        <f>IF($AG835="","",INDEX('TMP Paste'!$K$2:$K$1601,$AG835))</f>
        <v/>
      </c>
      <c r="P835">
        <f>IF($AG835="","","")</f>
        <v/>
      </c>
      <c r="Q835">
        <f>IF($AG835="","",INDEX('TMP Paste'!$J$2:$J$1601,$AG835))</f>
        <v/>
      </c>
      <c r="R835">
        <f>IF($AG835="","",Config!$B$24)</f>
        <v/>
      </c>
      <c r="S835">
        <f>IF($AG835="","",TEXT(Config!$B$4,"yyyy-mm-dd"))</f>
        <v/>
      </c>
      <c r="T835">
        <f>IF($AG835="","",Config!$B$17)</f>
        <v/>
      </c>
      <c r="U835">
        <f>IF($AG835="","",Config!$B$18)</f>
        <v/>
      </c>
      <c r="V835">
        <f>IF($AG835="","",Config!$B$19)</f>
        <v/>
      </c>
      <c r="W835">
        <f>IF($AG835="","",INDEX('TMP Paste'!$C$2:$C$1601,$AG835))</f>
        <v/>
      </c>
      <c r="X835">
        <f>IF($AG835="","",Config!$B$29)</f>
        <v/>
      </c>
      <c r="Y835">
        <f>IF($AH835="","",INDEX(Calc!$I$2:$I$1601,$AH835)&amp;" - "&amp;INDEX(Calc!$D$2:$D$1601,$AH835)&amp;" koli")</f>
        <v/>
      </c>
      <c r="Z835">
        <f>IF($AG835="","",Config!$B$21)</f>
        <v/>
      </c>
      <c r="AA835">
        <f>IF($AG835="","",Config!$B$22)</f>
        <v/>
      </c>
      <c r="AB835">
        <f>IF($AH835="","",INDEX(Calc!$D$2:$D$1601,$AH835))</f>
        <v/>
      </c>
      <c r="AC835">
        <f>IF($AH835="","",INDEX(Calc!$G$2:$G$1601,$AH835))</f>
        <v/>
      </c>
      <c r="AD835">
        <f>IF($AG835="","",Config!$B$23)</f>
        <v/>
      </c>
      <c r="AE835">
        <f>IF($AG835="","",Config!$B$28)</f>
        <v/>
      </c>
      <c r="AG835">
        <f>IFERROR(MATCH(ROW()-1,Calc!$J$2:$J$1601,0),"")</f>
        <v/>
      </c>
      <c r="AH835">
        <f>IFERROR(MATCH(ROW()-1,Calc!$K$2:$K$1601,0),"")</f>
        <v/>
      </c>
      <c r="AI835">
        <f>IF($AG835="","",SUMIF($AG$2:$AG835,$AG835,$AH$2:$AH835))</f>
        <v/>
      </c>
      <c r="AJ835">
        <f>IF('TMP Paste'!$F835="","",IF('TMP Paste'!$B835="",$AJ834,'TMP Paste'!$B835))</f>
        <v/>
      </c>
      <c r="AK835">
        <f>IF('TMP Paste'!$F835="","",N('TMP Paste'!$G835))</f>
        <v/>
      </c>
      <c r="AL835">
        <f>IF('TMP Paste'!$F835="","",IF('TMP Paste'!$M835="",$AL834,'TMP Paste'!$M835))</f>
        <v/>
      </c>
      <c r="AM835">
        <f>IF('TMP Paste'!$F835="","",IF('TMP Paste'!$N835="",$AM834,'TMP Paste'!$N835))</f>
        <v/>
      </c>
      <c r="AN835">
        <f>IF('TMP Paste'!$F835="","",IF('TMP Paste'!$O835="",$AN834,'TMP Paste'!$O835))</f>
        <v/>
      </c>
      <c r="AO835">
        <f>IF('TMP Paste'!$F835="","",IF('TMP Paste'!$P835="",$AO834,'TMP Paste'!$P835))</f>
        <v/>
      </c>
      <c r="AP835">
        <f>IF($AG835="","",LEN($R835))</f>
        <v/>
      </c>
      <c r="AQ835">
        <f>IF($AG835="","",TRIM(IF(COUNTIFS(Calc!$B$2:$B$1601,ROW()-1,Calc!$C$2:$C$1601,"&lt;1")&gt;0,"Ada PO tanpa Koli - cek TMP. ","")&amp;IF(LEN($R835)&gt;500,"R &gt; 500 karakter.","")))</f>
        <v/>
      </c>
    </row>
    <row r="836">
      <c r="A836">
        <f>IF($AG836="","",INDEX('TMP Paste'!$B$2:$B$1601,$AG836))</f>
        <v/>
      </c>
      <c r="B836">
        <f>IF($AG836="","",Config!$B$14)</f>
        <v/>
      </c>
      <c r="C836">
        <f>IF($AG836="","",Config!$B$15)</f>
        <v/>
      </c>
      <c r="D836">
        <f>IF($AG836="","",INDEX('TMP Paste'!$B$2:$B$1601,$AG836))</f>
        <v/>
      </c>
      <c r="E836">
        <f>IF($AG836="","",Config!$B$27)</f>
        <v/>
      </c>
      <c r="F836">
        <f>IF($AG836="","",Config!$B$9)</f>
        <v/>
      </c>
      <c r="G836">
        <f>IF($AG836="","",Config!$B$10)</f>
        <v/>
      </c>
      <c r="H836">
        <f>IF($AG836="","",Config!$B$11)</f>
        <v/>
      </c>
      <c r="I836">
        <f>IF($AG836="","",Config!$B$16)</f>
        <v/>
      </c>
      <c r="J836">
        <f>IF($AG836="","",INDEX('TMP Paste'!$A$2:$A$1601,$AG836))</f>
        <v/>
      </c>
      <c r="K836">
        <f>IF($AG836="","",INDEX('TMP Paste'!$L$2:$L$1601,$AG836))</f>
        <v/>
      </c>
      <c r="L836">
        <f>IF($AG836="","",INDEX('TMP Paste'!$I$2:$I$1601,$AG836))</f>
        <v/>
      </c>
      <c r="M836">
        <f>IF($AG836="","",Config!$B$16)</f>
        <v/>
      </c>
      <c r="N836">
        <f>IF($AG836="","","")</f>
        <v/>
      </c>
      <c r="O836">
        <f>IF($AG836="","",INDEX('TMP Paste'!$K$2:$K$1601,$AG836))</f>
        <v/>
      </c>
      <c r="P836">
        <f>IF($AG836="","","")</f>
        <v/>
      </c>
      <c r="Q836">
        <f>IF($AG836="","",INDEX('TMP Paste'!$J$2:$J$1601,$AG836))</f>
        <v/>
      </c>
      <c r="R836">
        <f>IF($AG836="","",Config!$B$24)</f>
        <v/>
      </c>
      <c r="S836">
        <f>IF($AG836="","",TEXT(Config!$B$4,"yyyy-mm-dd"))</f>
        <v/>
      </c>
      <c r="T836">
        <f>IF($AG836="","",Config!$B$17)</f>
        <v/>
      </c>
      <c r="U836">
        <f>IF($AG836="","",Config!$B$18)</f>
        <v/>
      </c>
      <c r="V836">
        <f>IF($AG836="","",Config!$B$19)</f>
        <v/>
      </c>
      <c r="W836">
        <f>IF($AG836="","",INDEX('TMP Paste'!$C$2:$C$1601,$AG836))</f>
        <v/>
      </c>
      <c r="X836">
        <f>IF($AG836="","",Config!$B$29)</f>
        <v/>
      </c>
      <c r="Y836">
        <f>IF($AH836="","",INDEX(Calc!$I$2:$I$1601,$AH836)&amp;" - "&amp;INDEX(Calc!$D$2:$D$1601,$AH836)&amp;" koli")</f>
        <v/>
      </c>
      <c r="Z836">
        <f>IF($AG836="","",Config!$B$21)</f>
        <v/>
      </c>
      <c r="AA836">
        <f>IF($AG836="","",Config!$B$22)</f>
        <v/>
      </c>
      <c r="AB836">
        <f>IF($AH836="","",INDEX(Calc!$D$2:$D$1601,$AH836))</f>
        <v/>
      </c>
      <c r="AC836">
        <f>IF($AH836="","",INDEX(Calc!$G$2:$G$1601,$AH836))</f>
        <v/>
      </c>
      <c r="AD836">
        <f>IF($AG836="","",Config!$B$23)</f>
        <v/>
      </c>
      <c r="AE836">
        <f>IF($AG836="","",Config!$B$28)</f>
        <v/>
      </c>
      <c r="AG836">
        <f>IFERROR(MATCH(ROW()-1,Calc!$J$2:$J$1601,0),"")</f>
        <v/>
      </c>
      <c r="AH836">
        <f>IFERROR(MATCH(ROW()-1,Calc!$K$2:$K$1601,0),"")</f>
        <v/>
      </c>
      <c r="AI836">
        <f>IF($AG836="","",SUMIF($AG$2:$AG836,$AG836,$AH$2:$AH836))</f>
        <v/>
      </c>
      <c r="AJ836">
        <f>IF('TMP Paste'!$F836="","",IF('TMP Paste'!$B836="",$AJ835,'TMP Paste'!$B836))</f>
        <v/>
      </c>
      <c r="AK836">
        <f>IF('TMP Paste'!$F836="","",N('TMP Paste'!$G836))</f>
        <v/>
      </c>
      <c r="AL836">
        <f>IF('TMP Paste'!$F836="","",IF('TMP Paste'!$M836="",$AL835,'TMP Paste'!$M836))</f>
        <v/>
      </c>
      <c r="AM836">
        <f>IF('TMP Paste'!$F836="","",IF('TMP Paste'!$N836="",$AM835,'TMP Paste'!$N836))</f>
        <v/>
      </c>
      <c r="AN836">
        <f>IF('TMP Paste'!$F836="","",IF('TMP Paste'!$O836="",$AN835,'TMP Paste'!$O836))</f>
        <v/>
      </c>
      <c r="AO836">
        <f>IF('TMP Paste'!$F836="","",IF('TMP Paste'!$P836="",$AO835,'TMP Paste'!$P836))</f>
        <v/>
      </c>
      <c r="AP836">
        <f>IF($AG836="","",LEN($R836))</f>
        <v/>
      </c>
      <c r="AQ836">
        <f>IF($AG836="","",TRIM(IF(COUNTIFS(Calc!$B$2:$B$1601,ROW()-1,Calc!$C$2:$C$1601,"&lt;1")&gt;0,"Ada PO tanpa Koli - cek TMP. ","")&amp;IF(LEN($R836)&gt;500,"R &gt; 500 karakter.","")))</f>
        <v/>
      </c>
    </row>
    <row r="837">
      <c r="A837">
        <f>IF($AG837="","",INDEX('TMP Paste'!$B$2:$B$1601,$AG837))</f>
        <v/>
      </c>
      <c r="B837">
        <f>IF($AG837="","",Config!$B$14)</f>
        <v/>
      </c>
      <c r="C837">
        <f>IF($AG837="","",Config!$B$15)</f>
        <v/>
      </c>
      <c r="D837">
        <f>IF($AG837="","",INDEX('TMP Paste'!$B$2:$B$1601,$AG837))</f>
        <v/>
      </c>
      <c r="E837">
        <f>IF($AG837="","",Config!$B$27)</f>
        <v/>
      </c>
      <c r="F837">
        <f>IF($AG837="","",Config!$B$9)</f>
        <v/>
      </c>
      <c r="G837">
        <f>IF($AG837="","",Config!$B$10)</f>
        <v/>
      </c>
      <c r="H837">
        <f>IF($AG837="","",Config!$B$11)</f>
        <v/>
      </c>
      <c r="I837">
        <f>IF($AG837="","",Config!$B$16)</f>
        <v/>
      </c>
      <c r="J837">
        <f>IF($AG837="","",INDEX('TMP Paste'!$A$2:$A$1601,$AG837))</f>
        <v/>
      </c>
      <c r="K837">
        <f>IF($AG837="","",INDEX('TMP Paste'!$L$2:$L$1601,$AG837))</f>
        <v/>
      </c>
      <c r="L837">
        <f>IF($AG837="","",INDEX('TMP Paste'!$I$2:$I$1601,$AG837))</f>
        <v/>
      </c>
      <c r="M837">
        <f>IF($AG837="","",Config!$B$16)</f>
        <v/>
      </c>
      <c r="N837">
        <f>IF($AG837="","","")</f>
        <v/>
      </c>
      <c r="O837">
        <f>IF($AG837="","",INDEX('TMP Paste'!$K$2:$K$1601,$AG837))</f>
        <v/>
      </c>
      <c r="P837">
        <f>IF($AG837="","","")</f>
        <v/>
      </c>
      <c r="Q837">
        <f>IF($AG837="","",INDEX('TMP Paste'!$J$2:$J$1601,$AG837))</f>
        <v/>
      </c>
      <c r="R837">
        <f>IF($AG837="","",Config!$B$24)</f>
        <v/>
      </c>
      <c r="S837">
        <f>IF($AG837="","",TEXT(Config!$B$4,"yyyy-mm-dd"))</f>
        <v/>
      </c>
      <c r="T837">
        <f>IF($AG837="","",Config!$B$17)</f>
        <v/>
      </c>
      <c r="U837">
        <f>IF($AG837="","",Config!$B$18)</f>
        <v/>
      </c>
      <c r="V837">
        <f>IF($AG837="","",Config!$B$19)</f>
        <v/>
      </c>
      <c r="W837">
        <f>IF($AG837="","",INDEX('TMP Paste'!$C$2:$C$1601,$AG837))</f>
        <v/>
      </c>
      <c r="X837">
        <f>IF($AG837="","",Config!$B$29)</f>
        <v/>
      </c>
      <c r="Y837">
        <f>IF($AH837="","",INDEX(Calc!$I$2:$I$1601,$AH837)&amp;" - "&amp;INDEX(Calc!$D$2:$D$1601,$AH837)&amp;" koli")</f>
        <v/>
      </c>
      <c r="Z837">
        <f>IF($AG837="","",Config!$B$21)</f>
        <v/>
      </c>
      <c r="AA837">
        <f>IF($AG837="","",Config!$B$22)</f>
        <v/>
      </c>
      <c r="AB837">
        <f>IF($AH837="","",INDEX(Calc!$D$2:$D$1601,$AH837))</f>
        <v/>
      </c>
      <c r="AC837">
        <f>IF($AH837="","",INDEX(Calc!$G$2:$G$1601,$AH837))</f>
        <v/>
      </c>
      <c r="AD837">
        <f>IF($AG837="","",Config!$B$23)</f>
        <v/>
      </c>
      <c r="AE837">
        <f>IF($AG837="","",Config!$B$28)</f>
        <v/>
      </c>
      <c r="AG837">
        <f>IFERROR(MATCH(ROW()-1,Calc!$J$2:$J$1601,0),"")</f>
        <v/>
      </c>
      <c r="AH837">
        <f>IFERROR(MATCH(ROW()-1,Calc!$K$2:$K$1601,0),"")</f>
        <v/>
      </c>
      <c r="AI837">
        <f>IF($AG837="","",SUMIF($AG$2:$AG837,$AG837,$AH$2:$AH837))</f>
        <v/>
      </c>
      <c r="AJ837">
        <f>IF('TMP Paste'!$F837="","",IF('TMP Paste'!$B837="",$AJ836,'TMP Paste'!$B837))</f>
        <v/>
      </c>
      <c r="AK837">
        <f>IF('TMP Paste'!$F837="","",N('TMP Paste'!$G837))</f>
        <v/>
      </c>
      <c r="AL837">
        <f>IF('TMP Paste'!$F837="","",IF('TMP Paste'!$M837="",$AL836,'TMP Paste'!$M837))</f>
        <v/>
      </c>
      <c r="AM837">
        <f>IF('TMP Paste'!$F837="","",IF('TMP Paste'!$N837="",$AM836,'TMP Paste'!$N837))</f>
        <v/>
      </c>
      <c r="AN837">
        <f>IF('TMP Paste'!$F837="","",IF('TMP Paste'!$O837="",$AN836,'TMP Paste'!$O837))</f>
        <v/>
      </c>
      <c r="AO837">
        <f>IF('TMP Paste'!$F837="","",IF('TMP Paste'!$P837="",$AO836,'TMP Paste'!$P837))</f>
        <v/>
      </c>
      <c r="AP837">
        <f>IF($AG837="","",LEN($R837))</f>
        <v/>
      </c>
      <c r="AQ837">
        <f>IF($AG837="","",TRIM(IF(COUNTIFS(Calc!$B$2:$B$1601,ROW()-1,Calc!$C$2:$C$1601,"&lt;1")&gt;0,"Ada PO tanpa Koli - cek TMP. ","")&amp;IF(LEN($R837)&gt;500,"R &gt; 500 karakter.","")))</f>
        <v/>
      </c>
    </row>
    <row r="838">
      <c r="A838">
        <f>IF($AG838="","",INDEX('TMP Paste'!$B$2:$B$1601,$AG838))</f>
        <v/>
      </c>
      <c r="B838">
        <f>IF($AG838="","",Config!$B$14)</f>
        <v/>
      </c>
      <c r="C838">
        <f>IF($AG838="","",Config!$B$15)</f>
        <v/>
      </c>
      <c r="D838">
        <f>IF($AG838="","",INDEX('TMP Paste'!$B$2:$B$1601,$AG838))</f>
        <v/>
      </c>
      <c r="E838">
        <f>IF($AG838="","",Config!$B$27)</f>
        <v/>
      </c>
      <c r="F838">
        <f>IF($AG838="","",Config!$B$9)</f>
        <v/>
      </c>
      <c r="G838">
        <f>IF($AG838="","",Config!$B$10)</f>
        <v/>
      </c>
      <c r="H838">
        <f>IF($AG838="","",Config!$B$11)</f>
        <v/>
      </c>
      <c r="I838">
        <f>IF($AG838="","",Config!$B$16)</f>
        <v/>
      </c>
      <c r="J838">
        <f>IF($AG838="","",INDEX('TMP Paste'!$A$2:$A$1601,$AG838))</f>
        <v/>
      </c>
      <c r="K838">
        <f>IF($AG838="","",INDEX('TMP Paste'!$L$2:$L$1601,$AG838))</f>
        <v/>
      </c>
      <c r="L838">
        <f>IF($AG838="","",INDEX('TMP Paste'!$I$2:$I$1601,$AG838))</f>
        <v/>
      </c>
      <c r="M838">
        <f>IF($AG838="","",Config!$B$16)</f>
        <v/>
      </c>
      <c r="N838">
        <f>IF($AG838="","","")</f>
        <v/>
      </c>
      <c r="O838">
        <f>IF($AG838="","",INDEX('TMP Paste'!$K$2:$K$1601,$AG838))</f>
        <v/>
      </c>
      <c r="P838">
        <f>IF($AG838="","","")</f>
        <v/>
      </c>
      <c r="Q838">
        <f>IF($AG838="","",INDEX('TMP Paste'!$J$2:$J$1601,$AG838))</f>
        <v/>
      </c>
      <c r="R838">
        <f>IF($AG838="","",Config!$B$24)</f>
        <v/>
      </c>
      <c r="S838">
        <f>IF($AG838="","",TEXT(Config!$B$4,"yyyy-mm-dd"))</f>
        <v/>
      </c>
      <c r="T838">
        <f>IF($AG838="","",Config!$B$17)</f>
        <v/>
      </c>
      <c r="U838">
        <f>IF($AG838="","",Config!$B$18)</f>
        <v/>
      </c>
      <c r="V838">
        <f>IF($AG838="","",Config!$B$19)</f>
        <v/>
      </c>
      <c r="W838">
        <f>IF($AG838="","",INDEX('TMP Paste'!$C$2:$C$1601,$AG838))</f>
        <v/>
      </c>
      <c r="X838">
        <f>IF($AG838="","",Config!$B$29)</f>
        <v/>
      </c>
      <c r="Y838">
        <f>IF($AH838="","",INDEX(Calc!$I$2:$I$1601,$AH838)&amp;" - "&amp;INDEX(Calc!$D$2:$D$1601,$AH838)&amp;" koli")</f>
        <v/>
      </c>
      <c r="Z838">
        <f>IF($AG838="","",Config!$B$21)</f>
        <v/>
      </c>
      <c r="AA838">
        <f>IF($AG838="","",Config!$B$22)</f>
        <v/>
      </c>
      <c r="AB838">
        <f>IF($AH838="","",INDEX(Calc!$D$2:$D$1601,$AH838))</f>
        <v/>
      </c>
      <c r="AC838">
        <f>IF($AH838="","",INDEX(Calc!$G$2:$G$1601,$AH838))</f>
        <v/>
      </c>
      <c r="AD838">
        <f>IF($AG838="","",Config!$B$23)</f>
        <v/>
      </c>
      <c r="AE838">
        <f>IF($AG838="","",Config!$B$28)</f>
        <v/>
      </c>
      <c r="AG838">
        <f>IFERROR(MATCH(ROW()-1,Calc!$J$2:$J$1601,0),"")</f>
        <v/>
      </c>
      <c r="AH838">
        <f>IFERROR(MATCH(ROW()-1,Calc!$K$2:$K$1601,0),"")</f>
        <v/>
      </c>
      <c r="AI838">
        <f>IF($AG838="","",SUMIF($AG$2:$AG838,$AG838,$AH$2:$AH838))</f>
        <v/>
      </c>
      <c r="AJ838">
        <f>IF('TMP Paste'!$F838="","",IF('TMP Paste'!$B838="",$AJ837,'TMP Paste'!$B838))</f>
        <v/>
      </c>
      <c r="AK838">
        <f>IF('TMP Paste'!$F838="","",N('TMP Paste'!$G838))</f>
        <v/>
      </c>
      <c r="AL838">
        <f>IF('TMP Paste'!$F838="","",IF('TMP Paste'!$M838="",$AL837,'TMP Paste'!$M838))</f>
        <v/>
      </c>
      <c r="AM838">
        <f>IF('TMP Paste'!$F838="","",IF('TMP Paste'!$N838="",$AM837,'TMP Paste'!$N838))</f>
        <v/>
      </c>
      <c r="AN838">
        <f>IF('TMP Paste'!$F838="","",IF('TMP Paste'!$O838="",$AN837,'TMP Paste'!$O838))</f>
        <v/>
      </c>
      <c r="AO838">
        <f>IF('TMP Paste'!$F838="","",IF('TMP Paste'!$P838="",$AO837,'TMP Paste'!$P838))</f>
        <v/>
      </c>
      <c r="AP838">
        <f>IF($AG838="","",LEN($R838))</f>
        <v/>
      </c>
      <c r="AQ838">
        <f>IF($AG838="","",TRIM(IF(COUNTIFS(Calc!$B$2:$B$1601,ROW()-1,Calc!$C$2:$C$1601,"&lt;1")&gt;0,"Ada PO tanpa Koli - cek TMP. ","")&amp;IF(LEN($R838)&gt;500,"R &gt; 500 karakter.","")))</f>
        <v/>
      </c>
    </row>
    <row r="839">
      <c r="A839">
        <f>IF($AG839="","",INDEX('TMP Paste'!$B$2:$B$1601,$AG839))</f>
        <v/>
      </c>
      <c r="B839">
        <f>IF($AG839="","",Config!$B$14)</f>
        <v/>
      </c>
      <c r="C839">
        <f>IF($AG839="","",Config!$B$15)</f>
        <v/>
      </c>
      <c r="D839">
        <f>IF($AG839="","",INDEX('TMP Paste'!$B$2:$B$1601,$AG839))</f>
        <v/>
      </c>
      <c r="E839">
        <f>IF($AG839="","",Config!$B$27)</f>
        <v/>
      </c>
      <c r="F839">
        <f>IF($AG839="","",Config!$B$9)</f>
        <v/>
      </c>
      <c r="G839">
        <f>IF($AG839="","",Config!$B$10)</f>
        <v/>
      </c>
      <c r="H839">
        <f>IF($AG839="","",Config!$B$11)</f>
        <v/>
      </c>
      <c r="I839">
        <f>IF($AG839="","",Config!$B$16)</f>
        <v/>
      </c>
      <c r="J839">
        <f>IF($AG839="","",INDEX('TMP Paste'!$A$2:$A$1601,$AG839))</f>
        <v/>
      </c>
      <c r="K839">
        <f>IF($AG839="","",INDEX('TMP Paste'!$L$2:$L$1601,$AG839))</f>
        <v/>
      </c>
      <c r="L839">
        <f>IF($AG839="","",INDEX('TMP Paste'!$I$2:$I$1601,$AG839))</f>
        <v/>
      </c>
      <c r="M839">
        <f>IF($AG839="","",Config!$B$16)</f>
        <v/>
      </c>
      <c r="N839">
        <f>IF($AG839="","","")</f>
        <v/>
      </c>
      <c r="O839">
        <f>IF($AG839="","",INDEX('TMP Paste'!$K$2:$K$1601,$AG839))</f>
        <v/>
      </c>
      <c r="P839">
        <f>IF($AG839="","","")</f>
        <v/>
      </c>
      <c r="Q839">
        <f>IF($AG839="","",INDEX('TMP Paste'!$J$2:$J$1601,$AG839))</f>
        <v/>
      </c>
      <c r="R839">
        <f>IF($AG839="","",Config!$B$24)</f>
        <v/>
      </c>
      <c r="S839">
        <f>IF($AG839="","",TEXT(Config!$B$4,"yyyy-mm-dd"))</f>
        <v/>
      </c>
      <c r="T839">
        <f>IF($AG839="","",Config!$B$17)</f>
        <v/>
      </c>
      <c r="U839">
        <f>IF($AG839="","",Config!$B$18)</f>
        <v/>
      </c>
      <c r="V839">
        <f>IF($AG839="","",Config!$B$19)</f>
        <v/>
      </c>
      <c r="W839">
        <f>IF($AG839="","",INDEX('TMP Paste'!$C$2:$C$1601,$AG839))</f>
        <v/>
      </c>
      <c r="X839">
        <f>IF($AG839="","",Config!$B$29)</f>
        <v/>
      </c>
      <c r="Y839">
        <f>IF($AH839="","",INDEX(Calc!$I$2:$I$1601,$AH839)&amp;" - "&amp;INDEX(Calc!$D$2:$D$1601,$AH839)&amp;" koli")</f>
        <v/>
      </c>
      <c r="Z839">
        <f>IF($AG839="","",Config!$B$21)</f>
        <v/>
      </c>
      <c r="AA839">
        <f>IF($AG839="","",Config!$B$22)</f>
        <v/>
      </c>
      <c r="AB839">
        <f>IF($AH839="","",INDEX(Calc!$D$2:$D$1601,$AH839))</f>
        <v/>
      </c>
      <c r="AC839">
        <f>IF($AH839="","",INDEX(Calc!$G$2:$G$1601,$AH839))</f>
        <v/>
      </c>
      <c r="AD839">
        <f>IF($AG839="","",Config!$B$23)</f>
        <v/>
      </c>
      <c r="AE839">
        <f>IF($AG839="","",Config!$B$28)</f>
        <v/>
      </c>
      <c r="AG839">
        <f>IFERROR(MATCH(ROW()-1,Calc!$J$2:$J$1601,0),"")</f>
        <v/>
      </c>
      <c r="AH839">
        <f>IFERROR(MATCH(ROW()-1,Calc!$K$2:$K$1601,0),"")</f>
        <v/>
      </c>
      <c r="AI839">
        <f>IF($AG839="","",SUMIF($AG$2:$AG839,$AG839,$AH$2:$AH839))</f>
        <v/>
      </c>
      <c r="AJ839">
        <f>IF('TMP Paste'!$F839="","",IF('TMP Paste'!$B839="",$AJ838,'TMP Paste'!$B839))</f>
        <v/>
      </c>
      <c r="AK839">
        <f>IF('TMP Paste'!$F839="","",N('TMP Paste'!$G839))</f>
        <v/>
      </c>
      <c r="AL839">
        <f>IF('TMP Paste'!$F839="","",IF('TMP Paste'!$M839="",$AL838,'TMP Paste'!$M839))</f>
        <v/>
      </c>
      <c r="AM839">
        <f>IF('TMP Paste'!$F839="","",IF('TMP Paste'!$N839="",$AM838,'TMP Paste'!$N839))</f>
        <v/>
      </c>
      <c r="AN839">
        <f>IF('TMP Paste'!$F839="","",IF('TMP Paste'!$O839="",$AN838,'TMP Paste'!$O839))</f>
        <v/>
      </c>
      <c r="AO839">
        <f>IF('TMP Paste'!$F839="","",IF('TMP Paste'!$P839="",$AO838,'TMP Paste'!$P839))</f>
        <v/>
      </c>
      <c r="AP839">
        <f>IF($AG839="","",LEN($R839))</f>
        <v/>
      </c>
      <c r="AQ839">
        <f>IF($AG839="","",TRIM(IF(COUNTIFS(Calc!$B$2:$B$1601,ROW()-1,Calc!$C$2:$C$1601,"&lt;1")&gt;0,"Ada PO tanpa Koli - cek TMP. ","")&amp;IF(LEN($R839)&gt;500,"R &gt; 500 karakter.","")))</f>
        <v/>
      </c>
    </row>
    <row r="840">
      <c r="A840">
        <f>IF($AG840="","",INDEX('TMP Paste'!$B$2:$B$1601,$AG840))</f>
        <v/>
      </c>
      <c r="B840">
        <f>IF($AG840="","",Config!$B$14)</f>
        <v/>
      </c>
      <c r="C840">
        <f>IF($AG840="","",Config!$B$15)</f>
        <v/>
      </c>
      <c r="D840">
        <f>IF($AG840="","",INDEX('TMP Paste'!$B$2:$B$1601,$AG840))</f>
        <v/>
      </c>
      <c r="E840">
        <f>IF($AG840="","",Config!$B$27)</f>
        <v/>
      </c>
      <c r="F840">
        <f>IF($AG840="","",Config!$B$9)</f>
        <v/>
      </c>
      <c r="G840">
        <f>IF($AG840="","",Config!$B$10)</f>
        <v/>
      </c>
      <c r="H840">
        <f>IF($AG840="","",Config!$B$11)</f>
        <v/>
      </c>
      <c r="I840">
        <f>IF($AG840="","",Config!$B$16)</f>
        <v/>
      </c>
      <c r="J840">
        <f>IF($AG840="","",INDEX('TMP Paste'!$A$2:$A$1601,$AG840))</f>
        <v/>
      </c>
      <c r="K840">
        <f>IF($AG840="","",INDEX('TMP Paste'!$L$2:$L$1601,$AG840))</f>
        <v/>
      </c>
      <c r="L840">
        <f>IF($AG840="","",INDEX('TMP Paste'!$I$2:$I$1601,$AG840))</f>
        <v/>
      </c>
      <c r="M840">
        <f>IF($AG840="","",Config!$B$16)</f>
        <v/>
      </c>
      <c r="N840">
        <f>IF($AG840="","","")</f>
        <v/>
      </c>
      <c r="O840">
        <f>IF($AG840="","",INDEX('TMP Paste'!$K$2:$K$1601,$AG840))</f>
        <v/>
      </c>
      <c r="P840">
        <f>IF($AG840="","","")</f>
        <v/>
      </c>
      <c r="Q840">
        <f>IF($AG840="","",INDEX('TMP Paste'!$J$2:$J$1601,$AG840))</f>
        <v/>
      </c>
      <c r="R840">
        <f>IF($AG840="","",Config!$B$24)</f>
        <v/>
      </c>
      <c r="S840">
        <f>IF($AG840="","",TEXT(Config!$B$4,"yyyy-mm-dd"))</f>
        <v/>
      </c>
      <c r="T840">
        <f>IF($AG840="","",Config!$B$17)</f>
        <v/>
      </c>
      <c r="U840">
        <f>IF($AG840="","",Config!$B$18)</f>
        <v/>
      </c>
      <c r="V840">
        <f>IF($AG840="","",Config!$B$19)</f>
        <v/>
      </c>
      <c r="W840">
        <f>IF($AG840="","",INDEX('TMP Paste'!$C$2:$C$1601,$AG840))</f>
        <v/>
      </c>
      <c r="X840">
        <f>IF($AG840="","",Config!$B$29)</f>
        <v/>
      </c>
      <c r="Y840">
        <f>IF($AH840="","",INDEX(Calc!$I$2:$I$1601,$AH840)&amp;" - "&amp;INDEX(Calc!$D$2:$D$1601,$AH840)&amp;" koli")</f>
        <v/>
      </c>
      <c r="Z840">
        <f>IF($AG840="","",Config!$B$21)</f>
        <v/>
      </c>
      <c r="AA840">
        <f>IF($AG840="","",Config!$B$22)</f>
        <v/>
      </c>
      <c r="AB840">
        <f>IF($AH840="","",INDEX(Calc!$D$2:$D$1601,$AH840))</f>
        <v/>
      </c>
      <c r="AC840">
        <f>IF($AH840="","",INDEX(Calc!$G$2:$G$1601,$AH840))</f>
        <v/>
      </c>
      <c r="AD840">
        <f>IF($AG840="","",Config!$B$23)</f>
        <v/>
      </c>
      <c r="AE840">
        <f>IF($AG840="","",Config!$B$28)</f>
        <v/>
      </c>
      <c r="AG840">
        <f>IFERROR(MATCH(ROW()-1,Calc!$J$2:$J$1601,0),"")</f>
        <v/>
      </c>
      <c r="AH840">
        <f>IFERROR(MATCH(ROW()-1,Calc!$K$2:$K$1601,0),"")</f>
        <v/>
      </c>
      <c r="AI840">
        <f>IF($AG840="","",SUMIF($AG$2:$AG840,$AG840,$AH$2:$AH840))</f>
        <v/>
      </c>
      <c r="AJ840">
        <f>IF('TMP Paste'!$F840="","",IF('TMP Paste'!$B840="",$AJ839,'TMP Paste'!$B840))</f>
        <v/>
      </c>
      <c r="AK840">
        <f>IF('TMP Paste'!$F840="","",N('TMP Paste'!$G840))</f>
        <v/>
      </c>
      <c r="AL840">
        <f>IF('TMP Paste'!$F840="","",IF('TMP Paste'!$M840="",$AL839,'TMP Paste'!$M840))</f>
        <v/>
      </c>
      <c r="AM840">
        <f>IF('TMP Paste'!$F840="","",IF('TMP Paste'!$N840="",$AM839,'TMP Paste'!$N840))</f>
        <v/>
      </c>
      <c r="AN840">
        <f>IF('TMP Paste'!$F840="","",IF('TMP Paste'!$O840="",$AN839,'TMP Paste'!$O840))</f>
        <v/>
      </c>
      <c r="AO840">
        <f>IF('TMP Paste'!$F840="","",IF('TMP Paste'!$P840="",$AO839,'TMP Paste'!$P840))</f>
        <v/>
      </c>
      <c r="AP840">
        <f>IF($AG840="","",LEN($R840))</f>
        <v/>
      </c>
      <c r="AQ840">
        <f>IF($AG840="","",TRIM(IF(COUNTIFS(Calc!$B$2:$B$1601,ROW()-1,Calc!$C$2:$C$1601,"&lt;1")&gt;0,"Ada PO tanpa Koli - cek TMP. ","")&amp;IF(LEN($R840)&gt;500,"R &gt; 500 karakter.","")))</f>
        <v/>
      </c>
    </row>
    <row r="841">
      <c r="A841">
        <f>IF($AG841="","",INDEX('TMP Paste'!$B$2:$B$1601,$AG841))</f>
        <v/>
      </c>
      <c r="B841">
        <f>IF($AG841="","",Config!$B$14)</f>
        <v/>
      </c>
      <c r="C841">
        <f>IF($AG841="","",Config!$B$15)</f>
        <v/>
      </c>
      <c r="D841">
        <f>IF($AG841="","",INDEX('TMP Paste'!$B$2:$B$1601,$AG841))</f>
        <v/>
      </c>
      <c r="E841">
        <f>IF($AG841="","",Config!$B$27)</f>
        <v/>
      </c>
      <c r="F841">
        <f>IF($AG841="","",Config!$B$9)</f>
        <v/>
      </c>
      <c r="G841">
        <f>IF($AG841="","",Config!$B$10)</f>
        <v/>
      </c>
      <c r="H841">
        <f>IF($AG841="","",Config!$B$11)</f>
        <v/>
      </c>
      <c r="I841">
        <f>IF($AG841="","",Config!$B$16)</f>
        <v/>
      </c>
      <c r="J841">
        <f>IF($AG841="","",INDEX('TMP Paste'!$A$2:$A$1601,$AG841))</f>
        <v/>
      </c>
      <c r="K841">
        <f>IF($AG841="","",INDEX('TMP Paste'!$L$2:$L$1601,$AG841))</f>
        <v/>
      </c>
      <c r="L841">
        <f>IF($AG841="","",INDEX('TMP Paste'!$I$2:$I$1601,$AG841))</f>
        <v/>
      </c>
      <c r="M841">
        <f>IF($AG841="","",Config!$B$16)</f>
        <v/>
      </c>
      <c r="N841">
        <f>IF($AG841="","","")</f>
        <v/>
      </c>
      <c r="O841">
        <f>IF($AG841="","",INDEX('TMP Paste'!$K$2:$K$1601,$AG841))</f>
        <v/>
      </c>
      <c r="P841">
        <f>IF($AG841="","","")</f>
        <v/>
      </c>
      <c r="Q841">
        <f>IF($AG841="","",INDEX('TMP Paste'!$J$2:$J$1601,$AG841))</f>
        <v/>
      </c>
      <c r="R841">
        <f>IF($AG841="","",Config!$B$24)</f>
        <v/>
      </c>
      <c r="S841">
        <f>IF($AG841="","",TEXT(Config!$B$4,"yyyy-mm-dd"))</f>
        <v/>
      </c>
      <c r="T841">
        <f>IF($AG841="","",Config!$B$17)</f>
        <v/>
      </c>
      <c r="U841">
        <f>IF($AG841="","",Config!$B$18)</f>
        <v/>
      </c>
      <c r="V841">
        <f>IF($AG841="","",Config!$B$19)</f>
        <v/>
      </c>
      <c r="W841">
        <f>IF($AG841="","",INDEX('TMP Paste'!$C$2:$C$1601,$AG841))</f>
        <v/>
      </c>
      <c r="X841">
        <f>IF($AG841="","",Config!$B$29)</f>
        <v/>
      </c>
      <c r="Y841">
        <f>IF($AH841="","",INDEX(Calc!$I$2:$I$1601,$AH841)&amp;" - "&amp;INDEX(Calc!$D$2:$D$1601,$AH841)&amp;" koli")</f>
        <v/>
      </c>
      <c r="Z841">
        <f>IF($AG841="","",Config!$B$21)</f>
        <v/>
      </c>
      <c r="AA841">
        <f>IF($AG841="","",Config!$B$22)</f>
        <v/>
      </c>
      <c r="AB841">
        <f>IF($AH841="","",INDEX(Calc!$D$2:$D$1601,$AH841))</f>
        <v/>
      </c>
      <c r="AC841">
        <f>IF($AH841="","",INDEX(Calc!$G$2:$G$1601,$AH841))</f>
        <v/>
      </c>
      <c r="AD841">
        <f>IF($AG841="","",Config!$B$23)</f>
        <v/>
      </c>
      <c r="AE841">
        <f>IF($AG841="","",Config!$B$28)</f>
        <v/>
      </c>
      <c r="AG841">
        <f>IFERROR(MATCH(ROW()-1,Calc!$J$2:$J$1601,0),"")</f>
        <v/>
      </c>
      <c r="AH841">
        <f>IFERROR(MATCH(ROW()-1,Calc!$K$2:$K$1601,0),"")</f>
        <v/>
      </c>
      <c r="AI841">
        <f>IF($AG841="","",SUMIF($AG$2:$AG841,$AG841,$AH$2:$AH841))</f>
        <v/>
      </c>
      <c r="AJ841">
        <f>IF('TMP Paste'!$F841="","",IF('TMP Paste'!$B841="",$AJ840,'TMP Paste'!$B841))</f>
        <v/>
      </c>
      <c r="AK841">
        <f>IF('TMP Paste'!$F841="","",N('TMP Paste'!$G841))</f>
        <v/>
      </c>
      <c r="AL841">
        <f>IF('TMP Paste'!$F841="","",IF('TMP Paste'!$M841="",$AL840,'TMP Paste'!$M841))</f>
        <v/>
      </c>
      <c r="AM841">
        <f>IF('TMP Paste'!$F841="","",IF('TMP Paste'!$N841="",$AM840,'TMP Paste'!$N841))</f>
        <v/>
      </c>
      <c r="AN841">
        <f>IF('TMP Paste'!$F841="","",IF('TMP Paste'!$O841="",$AN840,'TMP Paste'!$O841))</f>
        <v/>
      </c>
      <c r="AO841">
        <f>IF('TMP Paste'!$F841="","",IF('TMP Paste'!$P841="",$AO840,'TMP Paste'!$P841))</f>
        <v/>
      </c>
      <c r="AP841">
        <f>IF($AG841="","",LEN($R841))</f>
        <v/>
      </c>
      <c r="AQ841">
        <f>IF($AG841="","",TRIM(IF(COUNTIFS(Calc!$B$2:$B$1601,ROW()-1,Calc!$C$2:$C$1601,"&lt;1")&gt;0,"Ada PO tanpa Koli - cek TMP. ","")&amp;IF(LEN($R841)&gt;500,"R &gt; 500 karakter.","")))</f>
        <v/>
      </c>
    </row>
    <row r="842">
      <c r="A842">
        <f>IF($AG842="","",INDEX('TMP Paste'!$B$2:$B$1601,$AG842))</f>
        <v/>
      </c>
      <c r="B842">
        <f>IF($AG842="","",Config!$B$14)</f>
        <v/>
      </c>
      <c r="C842">
        <f>IF($AG842="","",Config!$B$15)</f>
        <v/>
      </c>
      <c r="D842">
        <f>IF($AG842="","",INDEX('TMP Paste'!$B$2:$B$1601,$AG842))</f>
        <v/>
      </c>
      <c r="E842">
        <f>IF($AG842="","",Config!$B$27)</f>
        <v/>
      </c>
      <c r="F842">
        <f>IF($AG842="","",Config!$B$9)</f>
        <v/>
      </c>
      <c r="G842">
        <f>IF($AG842="","",Config!$B$10)</f>
        <v/>
      </c>
      <c r="H842">
        <f>IF($AG842="","",Config!$B$11)</f>
        <v/>
      </c>
      <c r="I842">
        <f>IF($AG842="","",Config!$B$16)</f>
        <v/>
      </c>
      <c r="J842">
        <f>IF($AG842="","",INDEX('TMP Paste'!$A$2:$A$1601,$AG842))</f>
        <v/>
      </c>
      <c r="K842">
        <f>IF($AG842="","",INDEX('TMP Paste'!$L$2:$L$1601,$AG842))</f>
        <v/>
      </c>
      <c r="L842">
        <f>IF($AG842="","",INDEX('TMP Paste'!$I$2:$I$1601,$AG842))</f>
        <v/>
      </c>
      <c r="M842">
        <f>IF($AG842="","",Config!$B$16)</f>
        <v/>
      </c>
      <c r="N842">
        <f>IF($AG842="","","")</f>
        <v/>
      </c>
      <c r="O842">
        <f>IF($AG842="","",INDEX('TMP Paste'!$K$2:$K$1601,$AG842))</f>
        <v/>
      </c>
      <c r="P842">
        <f>IF($AG842="","","")</f>
        <v/>
      </c>
      <c r="Q842">
        <f>IF($AG842="","",INDEX('TMP Paste'!$J$2:$J$1601,$AG842))</f>
        <v/>
      </c>
      <c r="R842">
        <f>IF($AG842="","",Config!$B$24)</f>
        <v/>
      </c>
      <c r="S842">
        <f>IF($AG842="","",TEXT(Config!$B$4,"yyyy-mm-dd"))</f>
        <v/>
      </c>
      <c r="T842">
        <f>IF($AG842="","",Config!$B$17)</f>
        <v/>
      </c>
      <c r="U842">
        <f>IF($AG842="","",Config!$B$18)</f>
        <v/>
      </c>
      <c r="V842">
        <f>IF($AG842="","",Config!$B$19)</f>
        <v/>
      </c>
      <c r="W842">
        <f>IF($AG842="","",INDEX('TMP Paste'!$C$2:$C$1601,$AG842))</f>
        <v/>
      </c>
      <c r="X842">
        <f>IF($AG842="","",Config!$B$29)</f>
        <v/>
      </c>
      <c r="Y842">
        <f>IF($AH842="","",INDEX(Calc!$I$2:$I$1601,$AH842)&amp;" - "&amp;INDEX(Calc!$D$2:$D$1601,$AH842)&amp;" koli")</f>
        <v/>
      </c>
      <c r="Z842">
        <f>IF($AG842="","",Config!$B$21)</f>
        <v/>
      </c>
      <c r="AA842">
        <f>IF($AG842="","",Config!$B$22)</f>
        <v/>
      </c>
      <c r="AB842">
        <f>IF($AH842="","",INDEX(Calc!$D$2:$D$1601,$AH842))</f>
        <v/>
      </c>
      <c r="AC842">
        <f>IF($AH842="","",INDEX(Calc!$G$2:$G$1601,$AH842))</f>
        <v/>
      </c>
      <c r="AD842">
        <f>IF($AG842="","",Config!$B$23)</f>
        <v/>
      </c>
      <c r="AE842">
        <f>IF($AG842="","",Config!$B$28)</f>
        <v/>
      </c>
      <c r="AG842">
        <f>IFERROR(MATCH(ROW()-1,Calc!$J$2:$J$1601,0),"")</f>
        <v/>
      </c>
      <c r="AH842">
        <f>IFERROR(MATCH(ROW()-1,Calc!$K$2:$K$1601,0),"")</f>
        <v/>
      </c>
      <c r="AI842">
        <f>IF($AG842="","",SUMIF($AG$2:$AG842,$AG842,$AH$2:$AH842))</f>
        <v/>
      </c>
      <c r="AJ842">
        <f>IF('TMP Paste'!$F842="","",IF('TMP Paste'!$B842="",$AJ841,'TMP Paste'!$B842))</f>
        <v/>
      </c>
      <c r="AK842">
        <f>IF('TMP Paste'!$F842="","",N('TMP Paste'!$G842))</f>
        <v/>
      </c>
      <c r="AL842">
        <f>IF('TMP Paste'!$F842="","",IF('TMP Paste'!$M842="",$AL841,'TMP Paste'!$M842))</f>
        <v/>
      </c>
      <c r="AM842">
        <f>IF('TMP Paste'!$F842="","",IF('TMP Paste'!$N842="",$AM841,'TMP Paste'!$N842))</f>
        <v/>
      </c>
      <c r="AN842">
        <f>IF('TMP Paste'!$F842="","",IF('TMP Paste'!$O842="",$AN841,'TMP Paste'!$O842))</f>
        <v/>
      </c>
      <c r="AO842">
        <f>IF('TMP Paste'!$F842="","",IF('TMP Paste'!$P842="",$AO841,'TMP Paste'!$P842))</f>
        <v/>
      </c>
      <c r="AP842">
        <f>IF($AG842="","",LEN($R842))</f>
        <v/>
      </c>
      <c r="AQ842">
        <f>IF($AG842="","",TRIM(IF(COUNTIFS(Calc!$B$2:$B$1601,ROW()-1,Calc!$C$2:$C$1601,"&lt;1")&gt;0,"Ada PO tanpa Koli - cek TMP. ","")&amp;IF(LEN($R842)&gt;500,"R &gt; 500 karakter.","")))</f>
        <v/>
      </c>
    </row>
    <row r="843">
      <c r="A843">
        <f>IF($AG843="","",INDEX('TMP Paste'!$B$2:$B$1601,$AG843))</f>
        <v/>
      </c>
      <c r="B843">
        <f>IF($AG843="","",Config!$B$14)</f>
        <v/>
      </c>
      <c r="C843">
        <f>IF($AG843="","",Config!$B$15)</f>
        <v/>
      </c>
      <c r="D843">
        <f>IF($AG843="","",INDEX('TMP Paste'!$B$2:$B$1601,$AG843))</f>
        <v/>
      </c>
      <c r="E843">
        <f>IF($AG843="","",Config!$B$27)</f>
        <v/>
      </c>
      <c r="F843">
        <f>IF($AG843="","",Config!$B$9)</f>
        <v/>
      </c>
      <c r="G843">
        <f>IF($AG843="","",Config!$B$10)</f>
        <v/>
      </c>
      <c r="H843">
        <f>IF($AG843="","",Config!$B$11)</f>
        <v/>
      </c>
      <c r="I843">
        <f>IF($AG843="","",Config!$B$16)</f>
        <v/>
      </c>
      <c r="J843">
        <f>IF($AG843="","",INDEX('TMP Paste'!$A$2:$A$1601,$AG843))</f>
        <v/>
      </c>
      <c r="K843">
        <f>IF($AG843="","",INDEX('TMP Paste'!$L$2:$L$1601,$AG843))</f>
        <v/>
      </c>
      <c r="L843">
        <f>IF($AG843="","",INDEX('TMP Paste'!$I$2:$I$1601,$AG843))</f>
        <v/>
      </c>
      <c r="M843">
        <f>IF($AG843="","",Config!$B$16)</f>
        <v/>
      </c>
      <c r="N843">
        <f>IF($AG843="","","")</f>
        <v/>
      </c>
      <c r="O843">
        <f>IF($AG843="","",INDEX('TMP Paste'!$K$2:$K$1601,$AG843))</f>
        <v/>
      </c>
      <c r="P843">
        <f>IF($AG843="","","")</f>
        <v/>
      </c>
      <c r="Q843">
        <f>IF($AG843="","",INDEX('TMP Paste'!$J$2:$J$1601,$AG843))</f>
        <v/>
      </c>
      <c r="R843">
        <f>IF($AG843="","",Config!$B$24)</f>
        <v/>
      </c>
      <c r="S843">
        <f>IF($AG843="","",TEXT(Config!$B$4,"yyyy-mm-dd"))</f>
        <v/>
      </c>
      <c r="T843">
        <f>IF($AG843="","",Config!$B$17)</f>
        <v/>
      </c>
      <c r="U843">
        <f>IF($AG843="","",Config!$B$18)</f>
        <v/>
      </c>
      <c r="V843">
        <f>IF($AG843="","",Config!$B$19)</f>
        <v/>
      </c>
      <c r="W843">
        <f>IF($AG843="","",INDEX('TMP Paste'!$C$2:$C$1601,$AG843))</f>
        <v/>
      </c>
      <c r="X843">
        <f>IF($AG843="","",Config!$B$29)</f>
        <v/>
      </c>
      <c r="Y843">
        <f>IF($AH843="","",INDEX(Calc!$I$2:$I$1601,$AH843)&amp;" - "&amp;INDEX(Calc!$D$2:$D$1601,$AH843)&amp;" koli")</f>
        <v/>
      </c>
      <c r="Z843">
        <f>IF($AG843="","",Config!$B$21)</f>
        <v/>
      </c>
      <c r="AA843">
        <f>IF($AG843="","",Config!$B$22)</f>
        <v/>
      </c>
      <c r="AB843">
        <f>IF($AH843="","",INDEX(Calc!$D$2:$D$1601,$AH843))</f>
        <v/>
      </c>
      <c r="AC843">
        <f>IF($AH843="","",INDEX(Calc!$G$2:$G$1601,$AH843))</f>
        <v/>
      </c>
      <c r="AD843">
        <f>IF($AG843="","",Config!$B$23)</f>
        <v/>
      </c>
      <c r="AE843">
        <f>IF($AG843="","",Config!$B$28)</f>
        <v/>
      </c>
      <c r="AG843">
        <f>IFERROR(MATCH(ROW()-1,Calc!$J$2:$J$1601,0),"")</f>
        <v/>
      </c>
      <c r="AH843">
        <f>IFERROR(MATCH(ROW()-1,Calc!$K$2:$K$1601,0),"")</f>
        <v/>
      </c>
      <c r="AI843">
        <f>IF($AG843="","",SUMIF($AG$2:$AG843,$AG843,$AH$2:$AH843))</f>
        <v/>
      </c>
      <c r="AJ843">
        <f>IF('TMP Paste'!$F843="","",IF('TMP Paste'!$B843="",$AJ842,'TMP Paste'!$B843))</f>
        <v/>
      </c>
      <c r="AK843">
        <f>IF('TMP Paste'!$F843="","",N('TMP Paste'!$G843))</f>
        <v/>
      </c>
      <c r="AL843">
        <f>IF('TMP Paste'!$F843="","",IF('TMP Paste'!$M843="",$AL842,'TMP Paste'!$M843))</f>
        <v/>
      </c>
      <c r="AM843">
        <f>IF('TMP Paste'!$F843="","",IF('TMP Paste'!$N843="",$AM842,'TMP Paste'!$N843))</f>
        <v/>
      </c>
      <c r="AN843">
        <f>IF('TMP Paste'!$F843="","",IF('TMP Paste'!$O843="",$AN842,'TMP Paste'!$O843))</f>
        <v/>
      </c>
      <c r="AO843">
        <f>IF('TMP Paste'!$F843="","",IF('TMP Paste'!$P843="",$AO842,'TMP Paste'!$P843))</f>
        <v/>
      </c>
      <c r="AP843">
        <f>IF($AG843="","",LEN($R843))</f>
        <v/>
      </c>
      <c r="AQ843">
        <f>IF($AG843="","",TRIM(IF(COUNTIFS(Calc!$B$2:$B$1601,ROW()-1,Calc!$C$2:$C$1601,"&lt;1")&gt;0,"Ada PO tanpa Koli - cek TMP. ","")&amp;IF(LEN($R843)&gt;500,"R &gt; 500 karakter.","")))</f>
        <v/>
      </c>
    </row>
    <row r="844">
      <c r="A844">
        <f>IF($AG844="","",INDEX('TMP Paste'!$B$2:$B$1601,$AG844))</f>
        <v/>
      </c>
      <c r="B844">
        <f>IF($AG844="","",Config!$B$14)</f>
        <v/>
      </c>
      <c r="C844">
        <f>IF($AG844="","",Config!$B$15)</f>
        <v/>
      </c>
      <c r="D844">
        <f>IF($AG844="","",INDEX('TMP Paste'!$B$2:$B$1601,$AG844))</f>
        <v/>
      </c>
      <c r="E844">
        <f>IF($AG844="","",Config!$B$27)</f>
        <v/>
      </c>
      <c r="F844">
        <f>IF($AG844="","",Config!$B$9)</f>
        <v/>
      </c>
      <c r="G844">
        <f>IF($AG844="","",Config!$B$10)</f>
        <v/>
      </c>
      <c r="H844">
        <f>IF($AG844="","",Config!$B$11)</f>
        <v/>
      </c>
      <c r="I844">
        <f>IF($AG844="","",Config!$B$16)</f>
        <v/>
      </c>
      <c r="J844">
        <f>IF($AG844="","",INDEX('TMP Paste'!$A$2:$A$1601,$AG844))</f>
        <v/>
      </c>
      <c r="K844">
        <f>IF($AG844="","",INDEX('TMP Paste'!$L$2:$L$1601,$AG844))</f>
        <v/>
      </c>
      <c r="L844">
        <f>IF($AG844="","",INDEX('TMP Paste'!$I$2:$I$1601,$AG844))</f>
        <v/>
      </c>
      <c r="M844">
        <f>IF($AG844="","",Config!$B$16)</f>
        <v/>
      </c>
      <c r="N844">
        <f>IF($AG844="","","")</f>
        <v/>
      </c>
      <c r="O844">
        <f>IF($AG844="","",INDEX('TMP Paste'!$K$2:$K$1601,$AG844))</f>
        <v/>
      </c>
      <c r="P844">
        <f>IF($AG844="","","")</f>
        <v/>
      </c>
      <c r="Q844">
        <f>IF($AG844="","",INDEX('TMP Paste'!$J$2:$J$1601,$AG844))</f>
        <v/>
      </c>
      <c r="R844">
        <f>IF($AG844="","",Config!$B$24)</f>
        <v/>
      </c>
      <c r="S844">
        <f>IF($AG844="","",TEXT(Config!$B$4,"yyyy-mm-dd"))</f>
        <v/>
      </c>
      <c r="T844">
        <f>IF($AG844="","",Config!$B$17)</f>
        <v/>
      </c>
      <c r="U844">
        <f>IF($AG844="","",Config!$B$18)</f>
        <v/>
      </c>
      <c r="V844">
        <f>IF($AG844="","",Config!$B$19)</f>
        <v/>
      </c>
      <c r="W844">
        <f>IF($AG844="","",INDEX('TMP Paste'!$C$2:$C$1601,$AG844))</f>
        <v/>
      </c>
      <c r="X844">
        <f>IF($AG844="","",Config!$B$29)</f>
        <v/>
      </c>
      <c r="Y844">
        <f>IF($AH844="","",INDEX(Calc!$I$2:$I$1601,$AH844)&amp;" - "&amp;INDEX(Calc!$D$2:$D$1601,$AH844)&amp;" koli")</f>
        <v/>
      </c>
      <c r="Z844">
        <f>IF($AG844="","",Config!$B$21)</f>
        <v/>
      </c>
      <c r="AA844">
        <f>IF($AG844="","",Config!$B$22)</f>
        <v/>
      </c>
      <c r="AB844">
        <f>IF($AH844="","",INDEX(Calc!$D$2:$D$1601,$AH844))</f>
        <v/>
      </c>
      <c r="AC844">
        <f>IF($AH844="","",INDEX(Calc!$G$2:$G$1601,$AH844))</f>
        <v/>
      </c>
      <c r="AD844">
        <f>IF($AG844="","",Config!$B$23)</f>
        <v/>
      </c>
      <c r="AE844">
        <f>IF($AG844="","",Config!$B$28)</f>
        <v/>
      </c>
      <c r="AG844">
        <f>IFERROR(MATCH(ROW()-1,Calc!$J$2:$J$1601,0),"")</f>
        <v/>
      </c>
      <c r="AH844">
        <f>IFERROR(MATCH(ROW()-1,Calc!$K$2:$K$1601,0),"")</f>
        <v/>
      </c>
      <c r="AI844">
        <f>IF($AG844="","",SUMIF($AG$2:$AG844,$AG844,$AH$2:$AH844))</f>
        <v/>
      </c>
      <c r="AJ844">
        <f>IF('TMP Paste'!$F844="","",IF('TMP Paste'!$B844="",$AJ843,'TMP Paste'!$B844))</f>
        <v/>
      </c>
      <c r="AK844">
        <f>IF('TMP Paste'!$F844="","",N('TMP Paste'!$G844))</f>
        <v/>
      </c>
      <c r="AL844">
        <f>IF('TMP Paste'!$F844="","",IF('TMP Paste'!$M844="",$AL843,'TMP Paste'!$M844))</f>
        <v/>
      </c>
      <c r="AM844">
        <f>IF('TMP Paste'!$F844="","",IF('TMP Paste'!$N844="",$AM843,'TMP Paste'!$N844))</f>
        <v/>
      </c>
      <c r="AN844">
        <f>IF('TMP Paste'!$F844="","",IF('TMP Paste'!$O844="",$AN843,'TMP Paste'!$O844))</f>
        <v/>
      </c>
      <c r="AO844">
        <f>IF('TMP Paste'!$F844="","",IF('TMP Paste'!$P844="",$AO843,'TMP Paste'!$P844))</f>
        <v/>
      </c>
      <c r="AP844">
        <f>IF($AG844="","",LEN($R844))</f>
        <v/>
      </c>
      <c r="AQ844">
        <f>IF($AG844="","",TRIM(IF(COUNTIFS(Calc!$B$2:$B$1601,ROW()-1,Calc!$C$2:$C$1601,"&lt;1")&gt;0,"Ada PO tanpa Koli - cek TMP. ","")&amp;IF(LEN($R844)&gt;500,"R &gt; 500 karakter.","")))</f>
        <v/>
      </c>
    </row>
    <row r="845">
      <c r="A845">
        <f>IF($AG845="","",INDEX('TMP Paste'!$B$2:$B$1601,$AG845))</f>
        <v/>
      </c>
      <c r="B845">
        <f>IF($AG845="","",Config!$B$14)</f>
        <v/>
      </c>
      <c r="C845">
        <f>IF($AG845="","",Config!$B$15)</f>
        <v/>
      </c>
      <c r="D845">
        <f>IF($AG845="","",INDEX('TMP Paste'!$B$2:$B$1601,$AG845))</f>
        <v/>
      </c>
      <c r="E845">
        <f>IF($AG845="","",Config!$B$27)</f>
        <v/>
      </c>
      <c r="F845">
        <f>IF($AG845="","",Config!$B$9)</f>
        <v/>
      </c>
      <c r="G845">
        <f>IF($AG845="","",Config!$B$10)</f>
        <v/>
      </c>
      <c r="H845">
        <f>IF($AG845="","",Config!$B$11)</f>
        <v/>
      </c>
      <c r="I845">
        <f>IF($AG845="","",Config!$B$16)</f>
        <v/>
      </c>
      <c r="J845">
        <f>IF($AG845="","",INDEX('TMP Paste'!$A$2:$A$1601,$AG845))</f>
        <v/>
      </c>
      <c r="K845">
        <f>IF($AG845="","",INDEX('TMP Paste'!$L$2:$L$1601,$AG845))</f>
        <v/>
      </c>
      <c r="L845">
        <f>IF($AG845="","",INDEX('TMP Paste'!$I$2:$I$1601,$AG845))</f>
        <v/>
      </c>
      <c r="M845">
        <f>IF($AG845="","",Config!$B$16)</f>
        <v/>
      </c>
      <c r="N845">
        <f>IF($AG845="","","")</f>
        <v/>
      </c>
      <c r="O845">
        <f>IF($AG845="","",INDEX('TMP Paste'!$K$2:$K$1601,$AG845))</f>
        <v/>
      </c>
      <c r="P845">
        <f>IF($AG845="","","")</f>
        <v/>
      </c>
      <c r="Q845">
        <f>IF($AG845="","",INDEX('TMP Paste'!$J$2:$J$1601,$AG845))</f>
        <v/>
      </c>
      <c r="R845">
        <f>IF($AG845="","",Config!$B$24)</f>
        <v/>
      </c>
      <c r="S845">
        <f>IF($AG845="","",TEXT(Config!$B$4,"yyyy-mm-dd"))</f>
        <v/>
      </c>
      <c r="T845">
        <f>IF($AG845="","",Config!$B$17)</f>
        <v/>
      </c>
      <c r="U845">
        <f>IF($AG845="","",Config!$B$18)</f>
        <v/>
      </c>
      <c r="V845">
        <f>IF($AG845="","",Config!$B$19)</f>
        <v/>
      </c>
      <c r="W845">
        <f>IF($AG845="","",INDEX('TMP Paste'!$C$2:$C$1601,$AG845))</f>
        <v/>
      </c>
      <c r="X845">
        <f>IF($AG845="","",Config!$B$29)</f>
        <v/>
      </c>
      <c r="Y845">
        <f>IF($AH845="","",INDEX(Calc!$I$2:$I$1601,$AH845)&amp;" - "&amp;INDEX(Calc!$D$2:$D$1601,$AH845)&amp;" koli")</f>
        <v/>
      </c>
      <c r="Z845">
        <f>IF($AG845="","",Config!$B$21)</f>
        <v/>
      </c>
      <c r="AA845">
        <f>IF($AG845="","",Config!$B$22)</f>
        <v/>
      </c>
      <c r="AB845">
        <f>IF($AH845="","",INDEX(Calc!$D$2:$D$1601,$AH845))</f>
        <v/>
      </c>
      <c r="AC845">
        <f>IF($AH845="","",INDEX(Calc!$G$2:$G$1601,$AH845))</f>
        <v/>
      </c>
      <c r="AD845">
        <f>IF($AG845="","",Config!$B$23)</f>
        <v/>
      </c>
      <c r="AE845">
        <f>IF($AG845="","",Config!$B$28)</f>
        <v/>
      </c>
      <c r="AG845">
        <f>IFERROR(MATCH(ROW()-1,Calc!$J$2:$J$1601,0),"")</f>
        <v/>
      </c>
      <c r="AH845">
        <f>IFERROR(MATCH(ROW()-1,Calc!$K$2:$K$1601,0),"")</f>
        <v/>
      </c>
      <c r="AI845">
        <f>IF($AG845="","",SUMIF($AG$2:$AG845,$AG845,$AH$2:$AH845))</f>
        <v/>
      </c>
      <c r="AJ845">
        <f>IF('TMP Paste'!$F845="","",IF('TMP Paste'!$B845="",$AJ844,'TMP Paste'!$B845))</f>
        <v/>
      </c>
      <c r="AK845">
        <f>IF('TMP Paste'!$F845="","",N('TMP Paste'!$G845))</f>
        <v/>
      </c>
      <c r="AL845">
        <f>IF('TMP Paste'!$F845="","",IF('TMP Paste'!$M845="",$AL844,'TMP Paste'!$M845))</f>
        <v/>
      </c>
      <c r="AM845">
        <f>IF('TMP Paste'!$F845="","",IF('TMP Paste'!$N845="",$AM844,'TMP Paste'!$N845))</f>
        <v/>
      </c>
      <c r="AN845">
        <f>IF('TMP Paste'!$F845="","",IF('TMP Paste'!$O845="",$AN844,'TMP Paste'!$O845))</f>
        <v/>
      </c>
      <c r="AO845">
        <f>IF('TMP Paste'!$F845="","",IF('TMP Paste'!$P845="",$AO844,'TMP Paste'!$P845))</f>
        <v/>
      </c>
      <c r="AP845">
        <f>IF($AG845="","",LEN($R845))</f>
        <v/>
      </c>
      <c r="AQ845">
        <f>IF($AG845="","",TRIM(IF(COUNTIFS(Calc!$B$2:$B$1601,ROW()-1,Calc!$C$2:$C$1601,"&lt;1")&gt;0,"Ada PO tanpa Koli - cek TMP. ","")&amp;IF(LEN($R845)&gt;500,"R &gt; 500 karakter.","")))</f>
        <v/>
      </c>
    </row>
    <row r="846">
      <c r="A846">
        <f>IF($AG846="","",INDEX('TMP Paste'!$B$2:$B$1601,$AG846))</f>
        <v/>
      </c>
      <c r="B846">
        <f>IF($AG846="","",Config!$B$14)</f>
        <v/>
      </c>
      <c r="C846">
        <f>IF($AG846="","",Config!$B$15)</f>
        <v/>
      </c>
      <c r="D846">
        <f>IF($AG846="","",INDEX('TMP Paste'!$B$2:$B$1601,$AG846))</f>
        <v/>
      </c>
      <c r="E846">
        <f>IF($AG846="","",Config!$B$27)</f>
        <v/>
      </c>
      <c r="F846">
        <f>IF($AG846="","",Config!$B$9)</f>
        <v/>
      </c>
      <c r="G846">
        <f>IF($AG846="","",Config!$B$10)</f>
        <v/>
      </c>
      <c r="H846">
        <f>IF($AG846="","",Config!$B$11)</f>
        <v/>
      </c>
      <c r="I846">
        <f>IF($AG846="","",Config!$B$16)</f>
        <v/>
      </c>
      <c r="J846">
        <f>IF($AG846="","",INDEX('TMP Paste'!$A$2:$A$1601,$AG846))</f>
        <v/>
      </c>
      <c r="K846">
        <f>IF($AG846="","",INDEX('TMP Paste'!$L$2:$L$1601,$AG846))</f>
        <v/>
      </c>
      <c r="L846">
        <f>IF($AG846="","",INDEX('TMP Paste'!$I$2:$I$1601,$AG846))</f>
        <v/>
      </c>
      <c r="M846">
        <f>IF($AG846="","",Config!$B$16)</f>
        <v/>
      </c>
      <c r="N846">
        <f>IF($AG846="","","")</f>
        <v/>
      </c>
      <c r="O846">
        <f>IF($AG846="","",INDEX('TMP Paste'!$K$2:$K$1601,$AG846))</f>
        <v/>
      </c>
      <c r="P846">
        <f>IF($AG846="","","")</f>
        <v/>
      </c>
      <c r="Q846">
        <f>IF($AG846="","",INDEX('TMP Paste'!$J$2:$J$1601,$AG846))</f>
        <v/>
      </c>
      <c r="R846">
        <f>IF($AG846="","",Config!$B$24)</f>
        <v/>
      </c>
      <c r="S846">
        <f>IF($AG846="","",TEXT(Config!$B$4,"yyyy-mm-dd"))</f>
        <v/>
      </c>
      <c r="T846">
        <f>IF($AG846="","",Config!$B$17)</f>
        <v/>
      </c>
      <c r="U846">
        <f>IF($AG846="","",Config!$B$18)</f>
        <v/>
      </c>
      <c r="V846">
        <f>IF($AG846="","",Config!$B$19)</f>
        <v/>
      </c>
      <c r="W846">
        <f>IF($AG846="","",INDEX('TMP Paste'!$C$2:$C$1601,$AG846))</f>
        <v/>
      </c>
      <c r="X846">
        <f>IF($AG846="","",Config!$B$29)</f>
        <v/>
      </c>
      <c r="Y846">
        <f>IF($AH846="","",INDEX(Calc!$I$2:$I$1601,$AH846)&amp;" - "&amp;INDEX(Calc!$D$2:$D$1601,$AH846)&amp;" koli")</f>
        <v/>
      </c>
      <c r="Z846">
        <f>IF($AG846="","",Config!$B$21)</f>
        <v/>
      </c>
      <c r="AA846">
        <f>IF($AG846="","",Config!$B$22)</f>
        <v/>
      </c>
      <c r="AB846">
        <f>IF($AH846="","",INDEX(Calc!$D$2:$D$1601,$AH846))</f>
        <v/>
      </c>
      <c r="AC846">
        <f>IF($AH846="","",INDEX(Calc!$G$2:$G$1601,$AH846))</f>
        <v/>
      </c>
      <c r="AD846">
        <f>IF($AG846="","",Config!$B$23)</f>
        <v/>
      </c>
      <c r="AE846">
        <f>IF($AG846="","",Config!$B$28)</f>
        <v/>
      </c>
      <c r="AG846">
        <f>IFERROR(MATCH(ROW()-1,Calc!$J$2:$J$1601,0),"")</f>
        <v/>
      </c>
      <c r="AH846">
        <f>IFERROR(MATCH(ROW()-1,Calc!$K$2:$K$1601,0),"")</f>
        <v/>
      </c>
      <c r="AI846">
        <f>IF($AG846="","",SUMIF($AG$2:$AG846,$AG846,$AH$2:$AH846))</f>
        <v/>
      </c>
      <c r="AJ846">
        <f>IF('TMP Paste'!$F846="","",IF('TMP Paste'!$B846="",$AJ845,'TMP Paste'!$B846))</f>
        <v/>
      </c>
      <c r="AK846">
        <f>IF('TMP Paste'!$F846="","",N('TMP Paste'!$G846))</f>
        <v/>
      </c>
      <c r="AL846">
        <f>IF('TMP Paste'!$F846="","",IF('TMP Paste'!$M846="",$AL845,'TMP Paste'!$M846))</f>
        <v/>
      </c>
      <c r="AM846">
        <f>IF('TMP Paste'!$F846="","",IF('TMP Paste'!$N846="",$AM845,'TMP Paste'!$N846))</f>
        <v/>
      </c>
      <c r="AN846">
        <f>IF('TMP Paste'!$F846="","",IF('TMP Paste'!$O846="",$AN845,'TMP Paste'!$O846))</f>
        <v/>
      </c>
      <c r="AO846">
        <f>IF('TMP Paste'!$F846="","",IF('TMP Paste'!$P846="",$AO845,'TMP Paste'!$P846))</f>
        <v/>
      </c>
      <c r="AP846">
        <f>IF($AG846="","",LEN($R846))</f>
        <v/>
      </c>
      <c r="AQ846">
        <f>IF($AG846="","",TRIM(IF(COUNTIFS(Calc!$B$2:$B$1601,ROW()-1,Calc!$C$2:$C$1601,"&lt;1")&gt;0,"Ada PO tanpa Koli - cek TMP. ","")&amp;IF(LEN($R846)&gt;500,"R &gt; 500 karakter.","")))</f>
        <v/>
      </c>
    </row>
    <row r="847">
      <c r="A847">
        <f>IF($AG847="","",INDEX('TMP Paste'!$B$2:$B$1601,$AG847))</f>
        <v/>
      </c>
      <c r="B847">
        <f>IF($AG847="","",Config!$B$14)</f>
        <v/>
      </c>
      <c r="C847">
        <f>IF($AG847="","",Config!$B$15)</f>
        <v/>
      </c>
      <c r="D847">
        <f>IF($AG847="","",INDEX('TMP Paste'!$B$2:$B$1601,$AG847))</f>
        <v/>
      </c>
      <c r="E847">
        <f>IF($AG847="","",Config!$B$27)</f>
        <v/>
      </c>
      <c r="F847">
        <f>IF($AG847="","",Config!$B$9)</f>
        <v/>
      </c>
      <c r="G847">
        <f>IF($AG847="","",Config!$B$10)</f>
        <v/>
      </c>
      <c r="H847">
        <f>IF($AG847="","",Config!$B$11)</f>
        <v/>
      </c>
      <c r="I847">
        <f>IF($AG847="","",Config!$B$16)</f>
        <v/>
      </c>
      <c r="J847">
        <f>IF($AG847="","",INDEX('TMP Paste'!$A$2:$A$1601,$AG847))</f>
        <v/>
      </c>
      <c r="K847">
        <f>IF($AG847="","",INDEX('TMP Paste'!$L$2:$L$1601,$AG847))</f>
        <v/>
      </c>
      <c r="L847">
        <f>IF($AG847="","",INDEX('TMP Paste'!$I$2:$I$1601,$AG847))</f>
        <v/>
      </c>
      <c r="M847">
        <f>IF($AG847="","",Config!$B$16)</f>
        <v/>
      </c>
      <c r="N847">
        <f>IF($AG847="","","")</f>
        <v/>
      </c>
      <c r="O847">
        <f>IF($AG847="","",INDEX('TMP Paste'!$K$2:$K$1601,$AG847))</f>
        <v/>
      </c>
      <c r="P847">
        <f>IF($AG847="","","")</f>
        <v/>
      </c>
      <c r="Q847">
        <f>IF($AG847="","",INDEX('TMP Paste'!$J$2:$J$1601,$AG847))</f>
        <v/>
      </c>
      <c r="R847">
        <f>IF($AG847="","",Config!$B$24)</f>
        <v/>
      </c>
      <c r="S847">
        <f>IF($AG847="","",TEXT(Config!$B$4,"yyyy-mm-dd"))</f>
        <v/>
      </c>
      <c r="T847">
        <f>IF($AG847="","",Config!$B$17)</f>
        <v/>
      </c>
      <c r="U847">
        <f>IF($AG847="","",Config!$B$18)</f>
        <v/>
      </c>
      <c r="V847">
        <f>IF($AG847="","",Config!$B$19)</f>
        <v/>
      </c>
      <c r="W847">
        <f>IF($AG847="","",INDEX('TMP Paste'!$C$2:$C$1601,$AG847))</f>
        <v/>
      </c>
      <c r="X847">
        <f>IF($AG847="","",Config!$B$29)</f>
        <v/>
      </c>
      <c r="Y847">
        <f>IF($AH847="","",INDEX(Calc!$I$2:$I$1601,$AH847)&amp;" - "&amp;INDEX(Calc!$D$2:$D$1601,$AH847)&amp;" koli")</f>
        <v/>
      </c>
      <c r="Z847">
        <f>IF($AG847="","",Config!$B$21)</f>
        <v/>
      </c>
      <c r="AA847">
        <f>IF($AG847="","",Config!$B$22)</f>
        <v/>
      </c>
      <c r="AB847">
        <f>IF($AH847="","",INDEX(Calc!$D$2:$D$1601,$AH847))</f>
        <v/>
      </c>
      <c r="AC847">
        <f>IF($AH847="","",INDEX(Calc!$G$2:$G$1601,$AH847))</f>
        <v/>
      </c>
      <c r="AD847">
        <f>IF($AG847="","",Config!$B$23)</f>
        <v/>
      </c>
      <c r="AE847">
        <f>IF($AG847="","",Config!$B$28)</f>
        <v/>
      </c>
      <c r="AG847">
        <f>IFERROR(MATCH(ROW()-1,Calc!$J$2:$J$1601,0),"")</f>
        <v/>
      </c>
      <c r="AH847">
        <f>IFERROR(MATCH(ROW()-1,Calc!$K$2:$K$1601,0),"")</f>
        <v/>
      </c>
      <c r="AI847">
        <f>IF($AG847="","",SUMIF($AG$2:$AG847,$AG847,$AH$2:$AH847))</f>
        <v/>
      </c>
      <c r="AJ847">
        <f>IF('TMP Paste'!$F847="","",IF('TMP Paste'!$B847="",$AJ846,'TMP Paste'!$B847))</f>
        <v/>
      </c>
      <c r="AK847">
        <f>IF('TMP Paste'!$F847="","",N('TMP Paste'!$G847))</f>
        <v/>
      </c>
      <c r="AL847">
        <f>IF('TMP Paste'!$F847="","",IF('TMP Paste'!$M847="",$AL846,'TMP Paste'!$M847))</f>
        <v/>
      </c>
      <c r="AM847">
        <f>IF('TMP Paste'!$F847="","",IF('TMP Paste'!$N847="",$AM846,'TMP Paste'!$N847))</f>
        <v/>
      </c>
      <c r="AN847">
        <f>IF('TMP Paste'!$F847="","",IF('TMP Paste'!$O847="",$AN846,'TMP Paste'!$O847))</f>
        <v/>
      </c>
      <c r="AO847">
        <f>IF('TMP Paste'!$F847="","",IF('TMP Paste'!$P847="",$AO846,'TMP Paste'!$P847))</f>
        <v/>
      </c>
      <c r="AP847">
        <f>IF($AG847="","",LEN($R847))</f>
        <v/>
      </c>
      <c r="AQ847">
        <f>IF($AG847="","",TRIM(IF(COUNTIFS(Calc!$B$2:$B$1601,ROW()-1,Calc!$C$2:$C$1601,"&lt;1")&gt;0,"Ada PO tanpa Koli - cek TMP. ","")&amp;IF(LEN($R847)&gt;500,"R &gt; 500 karakter.","")))</f>
        <v/>
      </c>
    </row>
    <row r="848">
      <c r="A848">
        <f>IF($AG848="","",INDEX('TMP Paste'!$B$2:$B$1601,$AG848))</f>
        <v/>
      </c>
      <c r="B848">
        <f>IF($AG848="","",Config!$B$14)</f>
        <v/>
      </c>
      <c r="C848">
        <f>IF($AG848="","",Config!$B$15)</f>
        <v/>
      </c>
      <c r="D848">
        <f>IF($AG848="","",INDEX('TMP Paste'!$B$2:$B$1601,$AG848))</f>
        <v/>
      </c>
      <c r="E848">
        <f>IF($AG848="","",Config!$B$27)</f>
        <v/>
      </c>
      <c r="F848">
        <f>IF($AG848="","",Config!$B$9)</f>
        <v/>
      </c>
      <c r="G848">
        <f>IF($AG848="","",Config!$B$10)</f>
        <v/>
      </c>
      <c r="H848">
        <f>IF($AG848="","",Config!$B$11)</f>
        <v/>
      </c>
      <c r="I848">
        <f>IF($AG848="","",Config!$B$16)</f>
        <v/>
      </c>
      <c r="J848">
        <f>IF($AG848="","",INDEX('TMP Paste'!$A$2:$A$1601,$AG848))</f>
        <v/>
      </c>
      <c r="K848">
        <f>IF($AG848="","",INDEX('TMP Paste'!$L$2:$L$1601,$AG848))</f>
        <v/>
      </c>
      <c r="L848">
        <f>IF($AG848="","",INDEX('TMP Paste'!$I$2:$I$1601,$AG848))</f>
        <v/>
      </c>
      <c r="M848">
        <f>IF($AG848="","",Config!$B$16)</f>
        <v/>
      </c>
      <c r="N848">
        <f>IF($AG848="","","")</f>
        <v/>
      </c>
      <c r="O848">
        <f>IF($AG848="","",INDEX('TMP Paste'!$K$2:$K$1601,$AG848))</f>
        <v/>
      </c>
      <c r="P848">
        <f>IF($AG848="","","")</f>
        <v/>
      </c>
      <c r="Q848">
        <f>IF($AG848="","",INDEX('TMP Paste'!$J$2:$J$1601,$AG848))</f>
        <v/>
      </c>
      <c r="R848">
        <f>IF($AG848="","",Config!$B$24)</f>
        <v/>
      </c>
      <c r="S848">
        <f>IF($AG848="","",TEXT(Config!$B$4,"yyyy-mm-dd"))</f>
        <v/>
      </c>
      <c r="T848">
        <f>IF($AG848="","",Config!$B$17)</f>
        <v/>
      </c>
      <c r="U848">
        <f>IF($AG848="","",Config!$B$18)</f>
        <v/>
      </c>
      <c r="V848">
        <f>IF($AG848="","",Config!$B$19)</f>
        <v/>
      </c>
      <c r="W848">
        <f>IF($AG848="","",INDEX('TMP Paste'!$C$2:$C$1601,$AG848))</f>
        <v/>
      </c>
      <c r="X848">
        <f>IF($AG848="","",Config!$B$29)</f>
        <v/>
      </c>
      <c r="Y848">
        <f>IF($AH848="","",INDEX(Calc!$I$2:$I$1601,$AH848)&amp;" - "&amp;INDEX(Calc!$D$2:$D$1601,$AH848)&amp;" koli")</f>
        <v/>
      </c>
      <c r="Z848">
        <f>IF($AG848="","",Config!$B$21)</f>
        <v/>
      </c>
      <c r="AA848">
        <f>IF($AG848="","",Config!$B$22)</f>
        <v/>
      </c>
      <c r="AB848">
        <f>IF($AH848="","",INDEX(Calc!$D$2:$D$1601,$AH848))</f>
        <v/>
      </c>
      <c r="AC848">
        <f>IF($AH848="","",INDEX(Calc!$G$2:$G$1601,$AH848))</f>
        <v/>
      </c>
      <c r="AD848">
        <f>IF($AG848="","",Config!$B$23)</f>
        <v/>
      </c>
      <c r="AE848">
        <f>IF($AG848="","",Config!$B$28)</f>
        <v/>
      </c>
      <c r="AG848">
        <f>IFERROR(MATCH(ROW()-1,Calc!$J$2:$J$1601,0),"")</f>
        <v/>
      </c>
      <c r="AH848">
        <f>IFERROR(MATCH(ROW()-1,Calc!$K$2:$K$1601,0),"")</f>
        <v/>
      </c>
      <c r="AI848">
        <f>IF($AG848="","",SUMIF($AG$2:$AG848,$AG848,$AH$2:$AH848))</f>
        <v/>
      </c>
      <c r="AJ848">
        <f>IF('TMP Paste'!$F848="","",IF('TMP Paste'!$B848="",$AJ847,'TMP Paste'!$B848))</f>
        <v/>
      </c>
      <c r="AK848">
        <f>IF('TMP Paste'!$F848="","",N('TMP Paste'!$G848))</f>
        <v/>
      </c>
      <c r="AL848">
        <f>IF('TMP Paste'!$F848="","",IF('TMP Paste'!$M848="",$AL847,'TMP Paste'!$M848))</f>
        <v/>
      </c>
      <c r="AM848">
        <f>IF('TMP Paste'!$F848="","",IF('TMP Paste'!$N848="",$AM847,'TMP Paste'!$N848))</f>
        <v/>
      </c>
      <c r="AN848">
        <f>IF('TMP Paste'!$F848="","",IF('TMP Paste'!$O848="",$AN847,'TMP Paste'!$O848))</f>
        <v/>
      </c>
      <c r="AO848">
        <f>IF('TMP Paste'!$F848="","",IF('TMP Paste'!$P848="",$AO847,'TMP Paste'!$P848))</f>
        <v/>
      </c>
      <c r="AP848">
        <f>IF($AG848="","",LEN($R848))</f>
        <v/>
      </c>
      <c r="AQ848">
        <f>IF($AG848="","",TRIM(IF(COUNTIFS(Calc!$B$2:$B$1601,ROW()-1,Calc!$C$2:$C$1601,"&lt;1")&gt;0,"Ada PO tanpa Koli - cek TMP. ","")&amp;IF(LEN($R848)&gt;500,"R &gt; 500 karakter.","")))</f>
        <v/>
      </c>
    </row>
    <row r="849">
      <c r="A849">
        <f>IF($AG849="","",INDEX('TMP Paste'!$B$2:$B$1601,$AG849))</f>
        <v/>
      </c>
      <c r="B849">
        <f>IF($AG849="","",Config!$B$14)</f>
        <v/>
      </c>
      <c r="C849">
        <f>IF($AG849="","",Config!$B$15)</f>
        <v/>
      </c>
      <c r="D849">
        <f>IF($AG849="","",INDEX('TMP Paste'!$B$2:$B$1601,$AG849))</f>
        <v/>
      </c>
      <c r="E849">
        <f>IF($AG849="","",Config!$B$27)</f>
        <v/>
      </c>
      <c r="F849">
        <f>IF($AG849="","",Config!$B$9)</f>
        <v/>
      </c>
      <c r="G849">
        <f>IF($AG849="","",Config!$B$10)</f>
        <v/>
      </c>
      <c r="H849">
        <f>IF($AG849="","",Config!$B$11)</f>
        <v/>
      </c>
      <c r="I849">
        <f>IF($AG849="","",Config!$B$16)</f>
        <v/>
      </c>
      <c r="J849">
        <f>IF($AG849="","",INDEX('TMP Paste'!$A$2:$A$1601,$AG849))</f>
        <v/>
      </c>
      <c r="K849">
        <f>IF($AG849="","",INDEX('TMP Paste'!$L$2:$L$1601,$AG849))</f>
        <v/>
      </c>
      <c r="L849">
        <f>IF($AG849="","",INDEX('TMP Paste'!$I$2:$I$1601,$AG849))</f>
        <v/>
      </c>
      <c r="M849">
        <f>IF($AG849="","",Config!$B$16)</f>
        <v/>
      </c>
      <c r="N849">
        <f>IF($AG849="","","")</f>
        <v/>
      </c>
      <c r="O849">
        <f>IF($AG849="","",INDEX('TMP Paste'!$K$2:$K$1601,$AG849))</f>
        <v/>
      </c>
      <c r="P849">
        <f>IF($AG849="","","")</f>
        <v/>
      </c>
      <c r="Q849">
        <f>IF($AG849="","",INDEX('TMP Paste'!$J$2:$J$1601,$AG849))</f>
        <v/>
      </c>
      <c r="R849">
        <f>IF($AG849="","",Config!$B$24)</f>
        <v/>
      </c>
      <c r="S849">
        <f>IF($AG849="","",TEXT(Config!$B$4,"yyyy-mm-dd"))</f>
        <v/>
      </c>
      <c r="T849">
        <f>IF($AG849="","",Config!$B$17)</f>
        <v/>
      </c>
      <c r="U849">
        <f>IF($AG849="","",Config!$B$18)</f>
        <v/>
      </c>
      <c r="V849">
        <f>IF($AG849="","",Config!$B$19)</f>
        <v/>
      </c>
      <c r="W849">
        <f>IF($AG849="","",INDEX('TMP Paste'!$C$2:$C$1601,$AG849))</f>
        <v/>
      </c>
      <c r="X849">
        <f>IF($AG849="","",Config!$B$29)</f>
        <v/>
      </c>
      <c r="Y849">
        <f>IF($AH849="","",INDEX(Calc!$I$2:$I$1601,$AH849)&amp;" - "&amp;INDEX(Calc!$D$2:$D$1601,$AH849)&amp;" koli")</f>
        <v/>
      </c>
      <c r="Z849">
        <f>IF($AG849="","",Config!$B$21)</f>
        <v/>
      </c>
      <c r="AA849">
        <f>IF($AG849="","",Config!$B$22)</f>
        <v/>
      </c>
      <c r="AB849">
        <f>IF($AH849="","",INDEX(Calc!$D$2:$D$1601,$AH849))</f>
        <v/>
      </c>
      <c r="AC849">
        <f>IF($AH849="","",INDEX(Calc!$G$2:$G$1601,$AH849))</f>
        <v/>
      </c>
      <c r="AD849">
        <f>IF($AG849="","",Config!$B$23)</f>
        <v/>
      </c>
      <c r="AE849">
        <f>IF($AG849="","",Config!$B$28)</f>
        <v/>
      </c>
      <c r="AG849">
        <f>IFERROR(MATCH(ROW()-1,Calc!$J$2:$J$1601,0),"")</f>
        <v/>
      </c>
      <c r="AH849">
        <f>IFERROR(MATCH(ROW()-1,Calc!$K$2:$K$1601,0),"")</f>
        <v/>
      </c>
      <c r="AI849">
        <f>IF($AG849="","",SUMIF($AG$2:$AG849,$AG849,$AH$2:$AH849))</f>
        <v/>
      </c>
      <c r="AJ849">
        <f>IF('TMP Paste'!$F849="","",IF('TMP Paste'!$B849="",$AJ848,'TMP Paste'!$B849))</f>
        <v/>
      </c>
      <c r="AK849">
        <f>IF('TMP Paste'!$F849="","",N('TMP Paste'!$G849))</f>
        <v/>
      </c>
      <c r="AL849">
        <f>IF('TMP Paste'!$F849="","",IF('TMP Paste'!$M849="",$AL848,'TMP Paste'!$M849))</f>
        <v/>
      </c>
      <c r="AM849">
        <f>IF('TMP Paste'!$F849="","",IF('TMP Paste'!$N849="",$AM848,'TMP Paste'!$N849))</f>
        <v/>
      </c>
      <c r="AN849">
        <f>IF('TMP Paste'!$F849="","",IF('TMP Paste'!$O849="",$AN848,'TMP Paste'!$O849))</f>
        <v/>
      </c>
      <c r="AO849">
        <f>IF('TMP Paste'!$F849="","",IF('TMP Paste'!$P849="",$AO848,'TMP Paste'!$P849))</f>
        <v/>
      </c>
      <c r="AP849">
        <f>IF($AG849="","",LEN($R849))</f>
        <v/>
      </c>
      <c r="AQ849">
        <f>IF($AG849="","",TRIM(IF(COUNTIFS(Calc!$B$2:$B$1601,ROW()-1,Calc!$C$2:$C$1601,"&lt;1")&gt;0,"Ada PO tanpa Koli - cek TMP. ","")&amp;IF(LEN($R849)&gt;500,"R &gt; 500 karakter.","")))</f>
        <v/>
      </c>
    </row>
    <row r="850">
      <c r="A850">
        <f>IF($AG850="","",INDEX('TMP Paste'!$B$2:$B$1601,$AG850))</f>
        <v/>
      </c>
      <c r="B850">
        <f>IF($AG850="","",Config!$B$14)</f>
        <v/>
      </c>
      <c r="C850">
        <f>IF($AG850="","",Config!$B$15)</f>
        <v/>
      </c>
      <c r="D850">
        <f>IF($AG850="","",INDEX('TMP Paste'!$B$2:$B$1601,$AG850))</f>
        <v/>
      </c>
      <c r="E850">
        <f>IF($AG850="","",Config!$B$27)</f>
        <v/>
      </c>
      <c r="F850">
        <f>IF($AG850="","",Config!$B$9)</f>
        <v/>
      </c>
      <c r="G850">
        <f>IF($AG850="","",Config!$B$10)</f>
        <v/>
      </c>
      <c r="H850">
        <f>IF($AG850="","",Config!$B$11)</f>
        <v/>
      </c>
      <c r="I850">
        <f>IF($AG850="","",Config!$B$16)</f>
        <v/>
      </c>
      <c r="J850">
        <f>IF($AG850="","",INDEX('TMP Paste'!$A$2:$A$1601,$AG850))</f>
        <v/>
      </c>
      <c r="K850">
        <f>IF($AG850="","",INDEX('TMP Paste'!$L$2:$L$1601,$AG850))</f>
        <v/>
      </c>
      <c r="L850">
        <f>IF($AG850="","",INDEX('TMP Paste'!$I$2:$I$1601,$AG850))</f>
        <v/>
      </c>
      <c r="M850">
        <f>IF($AG850="","",Config!$B$16)</f>
        <v/>
      </c>
      <c r="N850">
        <f>IF($AG850="","","")</f>
        <v/>
      </c>
      <c r="O850">
        <f>IF($AG850="","",INDEX('TMP Paste'!$K$2:$K$1601,$AG850))</f>
        <v/>
      </c>
      <c r="P850">
        <f>IF($AG850="","","")</f>
        <v/>
      </c>
      <c r="Q850">
        <f>IF($AG850="","",INDEX('TMP Paste'!$J$2:$J$1601,$AG850))</f>
        <v/>
      </c>
      <c r="R850">
        <f>IF($AG850="","",Config!$B$24)</f>
        <v/>
      </c>
      <c r="S850">
        <f>IF($AG850="","",TEXT(Config!$B$4,"yyyy-mm-dd"))</f>
        <v/>
      </c>
      <c r="T850">
        <f>IF($AG850="","",Config!$B$17)</f>
        <v/>
      </c>
      <c r="U850">
        <f>IF($AG850="","",Config!$B$18)</f>
        <v/>
      </c>
      <c r="V850">
        <f>IF($AG850="","",Config!$B$19)</f>
        <v/>
      </c>
      <c r="W850">
        <f>IF($AG850="","",INDEX('TMP Paste'!$C$2:$C$1601,$AG850))</f>
        <v/>
      </c>
      <c r="X850">
        <f>IF($AG850="","",Config!$B$29)</f>
        <v/>
      </c>
      <c r="Y850">
        <f>IF($AH850="","",INDEX(Calc!$I$2:$I$1601,$AH850)&amp;" - "&amp;INDEX(Calc!$D$2:$D$1601,$AH850)&amp;" koli")</f>
        <v/>
      </c>
      <c r="Z850">
        <f>IF($AG850="","",Config!$B$21)</f>
        <v/>
      </c>
      <c r="AA850">
        <f>IF($AG850="","",Config!$B$22)</f>
        <v/>
      </c>
      <c r="AB850">
        <f>IF($AH850="","",INDEX(Calc!$D$2:$D$1601,$AH850))</f>
        <v/>
      </c>
      <c r="AC850">
        <f>IF($AH850="","",INDEX(Calc!$G$2:$G$1601,$AH850))</f>
        <v/>
      </c>
      <c r="AD850">
        <f>IF($AG850="","",Config!$B$23)</f>
        <v/>
      </c>
      <c r="AE850">
        <f>IF($AG850="","",Config!$B$28)</f>
        <v/>
      </c>
      <c r="AG850">
        <f>IFERROR(MATCH(ROW()-1,Calc!$J$2:$J$1601,0),"")</f>
        <v/>
      </c>
      <c r="AH850">
        <f>IFERROR(MATCH(ROW()-1,Calc!$K$2:$K$1601,0),"")</f>
        <v/>
      </c>
      <c r="AI850">
        <f>IF($AG850="","",SUMIF($AG$2:$AG850,$AG850,$AH$2:$AH850))</f>
        <v/>
      </c>
      <c r="AJ850">
        <f>IF('TMP Paste'!$F850="","",IF('TMP Paste'!$B850="",$AJ849,'TMP Paste'!$B850))</f>
        <v/>
      </c>
      <c r="AK850">
        <f>IF('TMP Paste'!$F850="","",N('TMP Paste'!$G850))</f>
        <v/>
      </c>
      <c r="AL850">
        <f>IF('TMP Paste'!$F850="","",IF('TMP Paste'!$M850="",$AL849,'TMP Paste'!$M850))</f>
        <v/>
      </c>
      <c r="AM850">
        <f>IF('TMP Paste'!$F850="","",IF('TMP Paste'!$N850="",$AM849,'TMP Paste'!$N850))</f>
        <v/>
      </c>
      <c r="AN850">
        <f>IF('TMP Paste'!$F850="","",IF('TMP Paste'!$O850="",$AN849,'TMP Paste'!$O850))</f>
        <v/>
      </c>
      <c r="AO850">
        <f>IF('TMP Paste'!$F850="","",IF('TMP Paste'!$P850="",$AO849,'TMP Paste'!$P850))</f>
        <v/>
      </c>
      <c r="AP850">
        <f>IF($AG850="","",LEN($R850))</f>
        <v/>
      </c>
      <c r="AQ850">
        <f>IF($AG850="","",TRIM(IF(COUNTIFS(Calc!$B$2:$B$1601,ROW()-1,Calc!$C$2:$C$1601,"&lt;1")&gt;0,"Ada PO tanpa Koli - cek TMP. ","")&amp;IF(LEN($R850)&gt;500,"R &gt; 500 karakter.","")))</f>
        <v/>
      </c>
    </row>
    <row r="851">
      <c r="A851">
        <f>IF($AG851="","",INDEX('TMP Paste'!$B$2:$B$1601,$AG851))</f>
        <v/>
      </c>
      <c r="B851">
        <f>IF($AG851="","",Config!$B$14)</f>
        <v/>
      </c>
      <c r="C851">
        <f>IF($AG851="","",Config!$B$15)</f>
        <v/>
      </c>
      <c r="D851">
        <f>IF($AG851="","",INDEX('TMP Paste'!$B$2:$B$1601,$AG851))</f>
        <v/>
      </c>
      <c r="E851">
        <f>IF($AG851="","",Config!$B$27)</f>
        <v/>
      </c>
      <c r="F851">
        <f>IF($AG851="","",Config!$B$9)</f>
        <v/>
      </c>
      <c r="G851">
        <f>IF($AG851="","",Config!$B$10)</f>
        <v/>
      </c>
      <c r="H851">
        <f>IF($AG851="","",Config!$B$11)</f>
        <v/>
      </c>
      <c r="I851">
        <f>IF($AG851="","",Config!$B$16)</f>
        <v/>
      </c>
      <c r="J851">
        <f>IF($AG851="","",INDEX('TMP Paste'!$A$2:$A$1601,$AG851))</f>
        <v/>
      </c>
      <c r="K851">
        <f>IF($AG851="","",INDEX('TMP Paste'!$L$2:$L$1601,$AG851))</f>
        <v/>
      </c>
      <c r="L851">
        <f>IF($AG851="","",INDEX('TMP Paste'!$I$2:$I$1601,$AG851))</f>
        <v/>
      </c>
      <c r="M851">
        <f>IF($AG851="","",Config!$B$16)</f>
        <v/>
      </c>
      <c r="N851">
        <f>IF($AG851="","","")</f>
        <v/>
      </c>
      <c r="O851">
        <f>IF($AG851="","",INDEX('TMP Paste'!$K$2:$K$1601,$AG851))</f>
        <v/>
      </c>
      <c r="P851">
        <f>IF($AG851="","","")</f>
        <v/>
      </c>
      <c r="Q851">
        <f>IF($AG851="","",INDEX('TMP Paste'!$J$2:$J$1601,$AG851))</f>
        <v/>
      </c>
      <c r="R851">
        <f>IF($AG851="","",Config!$B$24)</f>
        <v/>
      </c>
      <c r="S851">
        <f>IF($AG851="","",TEXT(Config!$B$4,"yyyy-mm-dd"))</f>
        <v/>
      </c>
      <c r="T851">
        <f>IF($AG851="","",Config!$B$17)</f>
        <v/>
      </c>
      <c r="U851">
        <f>IF($AG851="","",Config!$B$18)</f>
        <v/>
      </c>
      <c r="V851">
        <f>IF($AG851="","",Config!$B$19)</f>
        <v/>
      </c>
      <c r="W851">
        <f>IF($AG851="","",INDEX('TMP Paste'!$C$2:$C$1601,$AG851))</f>
        <v/>
      </c>
      <c r="X851">
        <f>IF($AG851="","",Config!$B$29)</f>
        <v/>
      </c>
      <c r="Y851">
        <f>IF($AH851="","",INDEX(Calc!$I$2:$I$1601,$AH851)&amp;" - "&amp;INDEX(Calc!$D$2:$D$1601,$AH851)&amp;" koli")</f>
        <v/>
      </c>
      <c r="Z851">
        <f>IF($AG851="","",Config!$B$21)</f>
        <v/>
      </c>
      <c r="AA851">
        <f>IF($AG851="","",Config!$B$22)</f>
        <v/>
      </c>
      <c r="AB851">
        <f>IF($AH851="","",INDEX(Calc!$D$2:$D$1601,$AH851))</f>
        <v/>
      </c>
      <c r="AC851">
        <f>IF($AH851="","",INDEX(Calc!$G$2:$G$1601,$AH851))</f>
        <v/>
      </c>
      <c r="AD851">
        <f>IF($AG851="","",Config!$B$23)</f>
        <v/>
      </c>
      <c r="AE851">
        <f>IF($AG851="","",Config!$B$28)</f>
        <v/>
      </c>
      <c r="AG851">
        <f>IFERROR(MATCH(ROW()-1,Calc!$J$2:$J$1601,0),"")</f>
        <v/>
      </c>
      <c r="AH851">
        <f>IFERROR(MATCH(ROW()-1,Calc!$K$2:$K$1601,0),"")</f>
        <v/>
      </c>
      <c r="AI851">
        <f>IF($AG851="","",SUMIF($AG$2:$AG851,$AG851,$AH$2:$AH851))</f>
        <v/>
      </c>
      <c r="AJ851">
        <f>IF('TMP Paste'!$F851="","",IF('TMP Paste'!$B851="",$AJ850,'TMP Paste'!$B851))</f>
        <v/>
      </c>
      <c r="AK851">
        <f>IF('TMP Paste'!$F851="","",N('TMP Paste'!$G851))</f>
        <v/>
      </c>
      <c r="AL851">
        <f>IF('TMP Paste'!$F851="","",IF('TMP Paste'!$M851="",$AL850,'TMP Paste'!$M851))</f>
        <v/>
      </c>
      <c r="AM851">
        <f>IF('TMP Paste'!$F851="","",IF('TMP Paste'!$N851="",$AM850,'TMP Paste'!$N851))</f>
        <v/>
      </c>
      <c r="AN851">
        <f>IF('TMP Paste'!$F851="","",IF('TMP Paste'!$O851="",$AN850,'TMP Paste'!$O851))</f>
        <v/>
      </c>
      <c r="AO851">
        <f>IF('TMP Paste'!$F851="","",IF('TMP Paste'!$P851="",$AO850,'TMP Paste'!$P851))</f>
        <v/>
      </c>
      <c r="AP851">
        <f>IF($AG851="","",LEN($R851))</f>
        <v/>
      </c>
      <c r="AQ851">
        <f>IF($AG851="","",TRIM(IF(COUNTIFS(Calc!$B$2:$B$1601,ROW()-1,Calc!$C$2:$C$1601,"&lt;1")&gt;0,"Ada PO tanpa Koli - cek TMP. ","")&amp;IF(LEN($R851)&gt;500,"R &gt; 500 karakter.","")))</f>
        <v/>
      </c>
    </row>
    <row r="852">
      <c r="A852">
        <f>IF($AG852="","",INDEX('TMP Paste'!$B$2:$B$1601,$AG852))</f>
        <v/>
      </c>
      <c r="B852">
        <f>IF($AG852="","",Config!$B$14)</f>
        <v/>
      </c>
      <c r="C852">
        <f>IF($AG852="","",Config!$B$15)</f>
        <v/>
      </c>
      <c r="D852">
        <f>IF($AG852="","",INDEX('TMP Paste'!$B$2:$B$1601,$AG852))</f>
        <v/>
      </c>
      <c r="E852">
        <f>IF($AG852="","",Config!$B$27)</f>
        <v/>
      </c>
      <c r="F852">
        <f>IF($AG852="","",Config!$B$9)</f>
        <v/>
      </c>
      <c r="G852">
        <f>IF($AG852="","",Config!$B$10)</f>
        <v/>
      </c>
      <c r="H852">
        <f>IF($AG852="","",Config!$B$11)</f>
        <v/>
      </c>
      <c r="I852">
        <f>IF($AG852="","",Config!$B$16)</f>
        <v/>
      </c>
      <c r="J852">
        <f>IF($AG852="","",INDEX('TMP Paste'!$A$2:$A$1601,$AG852))</f>
        <v/>
      </c>
      <c r="K852">
        <f>IF($AG852="","",INDEX('TMP Paste'!$L$2:$L$1601,$AG852))</f>
        <v/>
      </c>
      <c r="L852">
        <f>IF($AG852="","",INDEX('TMP Paste'!$I$2:$I$1601,$AG852))</f>
        <v/>
      </c>
      <c r="M852">
        <f>IF($AG852="","",Config!$B$16)</f>
        <v/>
      </c>
      <c r="N852">
        <f>IF($AG852="","","")</f>
        <v/>
      </c>
      <c r="O852">
        <f>IF($AG852="","",INDEX('TMP Paste'!$K$2:$K$1601,$AG852))</f>
        <v/>
      </c>
      <c r="P852">
        <f>IF($AG852="","","")</f>
        <v/>
      </c>
      <c r="Q852">
        <f>IF($AG852="","",INDEX('TMP Paste'!$J$2:$J$1601,$AG852))</f>
        <v/>
      </c>
      <c r="R852">
        <f>IF($AG852="","",Config!$B$24)</f>
        <v/>
      </c>
      <c r="S852">
        <f>IF($AG852="","",TEXT(Config!$B$4,"yyyy-mm-dd"))</f>
        <v/>
      </c>
      <c r="T852">
        <f>IF($AG852="","",Config!$B$17)</f>
        <v/>
      </c>
      <c r="U852">
        <f>IF($AG852="","",Config!$B$18)</f>
        <v/>
      </c>
      <c r="V852">
        <f>IF($AG852="","",Config!$B$19)</f>
        <v/>
      </c>
      <c r="W852">
        <f>IF($AG852="","",INDEX('TMP Paste'!$C$2:$C$1601,$AG852))</f>
        <v/>
      </c>
      <c r="X852">
        <f>IF($AG852="","",Config!$B$29)</f>
        <v/>
      </c>
      <c r="Y852">
        <f>IF($AH852="","",INDEX(Calc!$I$2:$I$1601,$AH852)&amp;" - "&amp;INDEX(Calc!$D$2:$D$1601,$AH852)&amp;" koli")</f>
        <v/>
      </c>
      <c r="Z852">
        <f>IF($AG852="","",Config!$B$21)</f>
        <v/>
      </c>
      <c r="AA852">
        <f>IF($AG852="","",Config!$B$22)</f>
        <v/>
      </c>
      <c r="AB852">
        <f>IF($AH852="","",INDEX(Calc!$D$2:$D$1601,$AH852))</f>
        <v/>
      </c>
      <c r="AC852">
        <f>IF($AH852="","",INDEX(Calc!$G$2:$G$1601,$AH852))</f>
        <v/>
      </c>
      <c r="AD852">
        <f>IF($AG852="","",Config!$B$23)</f>
        <v/>
      </c>
      <c r="AE852">
        <f>IF($AG852="","",Config!$B$28)</f>
        <v/>
      </c>
      <c r="AG852">
        <f>IFERROR(MATCH(ROW()-1,Calc!$J$2:$J$1601,0),"")</f>
        <v/>
      </c>
      <c r="AH852">
        <f>IFERROR(MATCH(ROW()-1,Calc!$K$2:$K$1601,0),"")</f>
        <v/>
      </c>
      <c r="AI852">
        <f>IF($AG852="","",SUMIF($AG$2:$AG852,$AG852,$AH$2:$AH852))</f>
        <v/>
      </c>
      <c r="AJ852">
        <f>IF('TMP Paste'!$F852="","",IF('TMP Paste'!$B852="",$AJ851,'TMP Paste'!$B852))</f>
        <v/>
      </c>
      <c r="AK852">
        <f>IF('TMP Paste'!$F852="","",N('TMP Paste'!$G852))</f>
        <v/>
      </c>
      <c r="AL852">
        <f>IF('TMP Paste'!$F852="","",IF('TMP Paste'!$M852="",$AL851,'TMP Paste'!$M852))</f>
        <v/>
      </c>
      <c r="AM852">
        <f>IF('TMP Paste'!$F852="","",IF('TMP Paste'!$N852="",$AM851,'TMP Paste'!$N852))</f>
        <v/>
      </c>
      <c r="AN852">
        <f>IF('TMP Paste'!$F852="","",IF('TMP Paste'!$O852="",$AN851,'TMP Paste'!$O852))</f>
        <v/>
      </c>
      <c r="AO852">
        <f>IF('TMP Paste'!$F852="","",IF('TMP Paste'!$P852="",$AO851,'TMP Paste'!$P852))</f>
        <v/>
      </c>
      <c r="AP852">
        <f>IF($AG852="","",LEN($R852))</f>
        <v/>
      </c>
      <c r="AQ852">
        <f>IF($AG852="","",TRIM(IF(COUNTIFS(Calc!$B$2:$B$1601,ROW()-1,Calc!$C$2:$C$1601,"&lt;1")&gt;0,"Ada PO tanpa Koli - cek TMP. ","")&amp;IF(LEN($R852)&gt;500,"R &gt; 500 karakter.","")))</f>
        <v/>
      </c>
    </row>
    <row r="853">
      <c r="A853">
        <f>IF($AG853="","",INDEX('TMP Paste'!$B$2:$B$1601,$AG853))</f>
        <v/>
      </c>
      <c r="B853">
        <f>IF($AG853="","",Config!$B$14)</f>
        <v/>
      </c>
      <c r="C853">
        <f>IF($AG853="","",Config!$B$15)</f>
        <v/>
      </c>
      <c r="D853">
        <f>IF($AG853="","",INDEX('TMP Paste'!$B$2:$B$1601,$AG853))</f>
        <v/>
      </c>
      <c r="E853">
        <f>IF($AG853="","",Config!$B$27)</f>
        <v/>
      </c>
      <c r="F853">
        <f>IF($AG853="","",Config!$B$9)</f>
        <v/>
      </c>
      <c r="G853">
        <f>IF($AG853="","",Config!$B$10)</f>
        <v/>
      </c>
      <c r="H853">
        <f>IF($AG853="","",Config!$B$11)</f>
        <v/>
      </c>
      <c r="I853">
        <f>IF($AG853="","",Config!$B$16)</f>
        <v/>
      </c>
      <c r="J853">
        <f>IF($AG853="","",INDEX('TMP Paste'!$A$2:$A$1601,$AG853))</f>
        <v/>
      </c>
      <c r="K853">
        <f>IF($AG853="","",INDEX('TMP Paste'!$L$2:$L$1601,$AG853))</f>
        <v/>
      </c>
      <c r="L853">
        <f>IF($AG853="","",INDEX('TMP Paste'!$I$2:$I$1601,$AG853))</f>
        <v/>
      </c>
      <c r="M853">
        <f>IF($AG853="","",Config!$B$16)</f>
        <v/>
      </c>
      <c r="N853">
        <f>IF($AG853="","","")</f>
        <v/>
      </c>
      <c r="O853">
        <f>IF($AG853="","",INDEX('TMP Paste'!$K$2:$K$1601,$AG853))</f>
        <v/>
      </c>
      <c r="P853">
        <f>IF($AG853="","","")</f>
        <v/>
      </c>
      <c r="Q853">
        <f>IF($AG853="","",INDEX('TMP Paste'!$J$2:$J$1601,$AG853))</f>
        <v/>
      </c>
      <c r="R853">
        <f>IF($AG853="","",Config!$B$24)</f>
        <v/>
      </c>
      <c r="S853">
        <f>IF($AG853="","",TEXT(Config!$B$4,"yyyy-mm-dd"))</f>
        <v/>
      </c>
      <c r="T853">
        <f>IF($AG853="","",Config!$B$17)</f>
        <v/>
      </c>
      <c r="U853">
        <f>IF($AG853="","",Config!$B$18)</f>
        <v/>
      </c>
      <c r="V853">
        <f>IF($AG853="","",Config!$B$19)</f>
        <v/>
      </c>
      <c r="W853">
        <f>IF($AG853="","",INDEX('TMP Paste'!$C$2:$C$1601,$AG853))</f>
        <v/>
      </c>
      <c r="X853">
        <f>IF($AG853="","",Config!$B$29)</f>
        <v/>
      </c>
      <c r="Y853">
        <f>IF($AH853="","",INDEX(Calc!$I$2:$I$1601,$AH853)&amp;" - "&amp;INDEX(Calc!$D$2:$D$1601,$AH853)&amp;" koli")</f>
        <v/>
      </c>
      <c r="Z853">
        <f>IF($AG853="","",Config!$B$21)</f>
        <v/>
      </c>
      <c r="AA853">
        <f>IF($AG853="","",Config!$B$22)</f>
        <v/>
      </c>
      <c r="AB853">
        <f>IF($AH853="","",INDEX(Calc!$D$2:$D$1601,$AH853))</f>
        <v/>
      </c>
      <c r="AC853">
        <f>IF($AH853="","",INDEX(Calc!$G$2:$G$1601,$AH853))</f>
        <v/>
      </c>
      <c r="AD853">
        <f>IF($AG853="","",Config!$B$23)</f>
        <v/>
      </c>
      <c r="AE853">
        <f>IF($AG853="","",Config!$B$28)</f>
        <v/>
      </c>
      <c r="AG853">
        <f>IFERROR(MATCH(ROW()-1,Calc!$J$2:$J$1601,0),"")</f>
        <v/>
      </c>
      <c r="AH853">
        <f>IFERROR(MATCH(ROW()-1,Calc!$K$2:$K$1601,0),"")</f>
        <v/>
      </c>
      <c r="AI853">
        <f>IF($AG853="","",SUMIF($AG$2:$AG853,$AG853,$AH$2:$AH853))</f>
        <v/>
      </c>
      <c r="AJ853">
        <f>IF('TMP Paste'!$F853="","",IF('TMP Paste'!$B853="",$AJ852,'TMP Paste'!$B853))</f>
        <v/>
      </c>
      <c r="AK853">
        <f>IF('TMP Paste'!$F853="","",N('TMP Paste'!$G853))</f>
        <v/>
      </c>
      <c r="AL853">
        <f>IF('TMP Paste'!$F853="","",IF('TMP Paste'!$M853="",$AL852,'TMP Paste'!$M853))</f>
        <v/>
      </c>
      <c r="AM853">
        <f>IF('TMP Paste'!$F853="","",IF('TMP Paste'!$N853="",$AM852,'TMP Paste'!$N853))</f>
        <v/>
      </c>
      <c r="AN853">
        <f>IF('TMP Paste'!$F853="","",IF('TMP Paste'!$O853="",$AN852,'TMP Paste'!$O853))</f>
        <v/>
      </c>
      <c r="AO853">
        <f>IF('TMP Paste'!$F853="","",IF('TMP Paste'!$P853="",$AO852,'TMP Paste'!$P853))</f>
        <v/>
      </c>
      <c r="AP853">
        <f>IF($AG853="","",LEN($R853))</f>
        <v/>
      </c>
      <c r="AQ853">
        <f>IF($AG853="","",TRIM(IF(COUNTIFS(Calc!$B$2:$B$1601,ROW()-1,Calc!$C$2:$C$1601,"&lt;1")&gt;0,"Ada PO tanpa Koli - cek TMP. ","")&amp;IF(LEN($R853)&gt;500,"R &gt; 500 karakter.","")))</f>
        <v/>
      </c>
    </row>
    <row r="854">
      <c r="A854">
        <f>IF($AG854="","",INDEX('TMP Paste'!$B$2:$B$1601,$AG854))</f>
        <v/>
      </c>
      <c r="B854">
        <f>IF($AG854="","",Config!$B$14)</f>
        <v/>
      </c>
      <c r="C854">
        <f>IF($AG854="","",Config!$B$15)</f>
        <v/>
      </c>
      <c r="D854">
        <f>IF($AG854="","",INDEX('TMP Paste'!$B$2:$B$1601,$AG854))</f>
        <v/>
      </c>
      <c r="E854">
        <f>IF($AG854="","",Config!$B$27)</f>
        <v/>
      </c>
      <c r="F854">
        <f>IF($AG854="","",Config!$B$9)</f>
        <v/>
      </c>
      <c r="G854">
        <f>IF($AG854="","",Config!$B$10)</f>
        <v/>
      </c>
      <c r="H854">
        <f>IF($AG854="","",Config!$B$11)</f>
        <v/>
      </c>
      <c r="I854">
        <f>IF($AG854="","",Config!$B$16)</f>
        <v/>
      </c>
      <c r="J854">
        <f>IF($AG854="","",INDEX('TMP Paste'!$A$2:$A$1601,$AG854))</f>
        <v/>
      </c>
      <c r="K854">
        <f>IF($AG854="","",INDEX('TMP Paste'!$L$2:$L$1601,$AG854))</f>
        <v/>
      </c>
      <c r="L854">
        <f>IF($AG854="","",INDEX('TMP Paste'!$I$2:$I$1601,$AG854))</f>
        <v/>
      </c>
      <c r="M854">
        <f>IF($AG854="","",Config!$B$16)</f>
        <v/>
      </c>
      <c r="N854">
        <f>IF($AG854="","","")</f>
        <v/>
      </c>
      <c r="O854">
        <f>IF($AG854="","",INDEX('TMP Paste'!$K$2:$K$1601,$AG854))</f>
        <v/>
      </c>
      <c r="P854">
        <f>IF($AG854="","","")</f>
        <v/>
      </c>
      <c r="Q854">
        <f>IF($AG854="","",INDEX('TMP Paste'!$J$2:$J$1601,$AG854))</f>
        <v/>
      </c>
      <c r="R854">
        <f>IF($AG854="","",Config!$B$24)</f>
        <v/>
      </c>
      <c r="S854">
        <f>IF($AG854="","",TEXT(Config!$B$4,"yyyy-mm-dd"))</f>
        <v/>
      </c>
      <c r="T854">
        <f>IF($AG854="","",Config!$B$17)</f>
        <v/>
      </c>
      <c r="U854">
        <f>IF($AG854="","",Config!$B$18)</f>
        <v/>
      </c>
      <c r="V854">
        <f>IF($AG854="","",Config!$B$19)</f>
        <v/>
      </c>
      <c r="W854">
        <f>IF($AG854="","",INDEX('TMP Paste'!$C$2:$C$1601,$AG854))</f>
        <v/>
      </c>
      <c r="X854">
        <f>IF($AG854="","",Config!$B$29)</f>
        <v/>
      </c>
      <c r="Y854">
        <f>IF($AH854="","",INDEX(Calc!$I$2:$I$1601,$AH854)&amp;" - "&amp;INDEX(Calc!$D$2:$D$1601,$AH854)&amp;" koli")</f>
        <v/>
      </c>
      <c r="Z854">
        <f>IF($AG854="","",Config!$B$21)</f>
        <v/>
      </c>
      <c r="AA854">
        <f>IF($AG854="","",Config!$B$22)</f>
        <v/>
      </c>
      <c r="AB854">
        <f>IF($AH854="","",INDEX(Calc!$D$2:$D$1601,$AH854))</f>
        <v/>
      </c>
      <c r="AC854">
        <f>IF($AH854="","",INDEX(Calc!$G$2:$G$1601,$AH854))</f>
        <v/>
      </c>
      <c r="AD854">
        <f>IF($AG854="","",Config!$B$23)</f>
        <v/>
      </c>
      <c r="AE854">
        <f>IF($AG854="","",Config!$B$28)</f>
        <v/>
      </c>
      <c r="AG854">
        <f>IFERROR(MATCH(ROW()-1,Calc!$J$2:$J$1601,0),"")</f>
        <v/>
      </c>
      <c r="AH854">
        <f>IFERROR(MATCH(ROW()-1,Calc!$K$2:$K$1601,0),"")</f>
        <v/>
      </c>
      <c r="AI854">
        <f>IF($AG854="","",SUMIF($AG$2:$AG854,$AG854,$AH$2:$AH854))</f>
        <v/>
      </c>
      <c r="AJ854">
        <f>IF('TMP Paste'!$F854="","",IF('TMP Paste'!$B854="",$AJ853,'TMP Paste'!$B854))</f>
        <v/>
      </c>
      <c r="AK854">
        <f>IF('TMP Paste'!$F854="","",N('TMP Paste'!$G854))</f>
        <v/>
      </c>
      <c r="AL854">
        <f>IF('TMP Paste'!$F854="","",IF('TMP Paste'!$M854="",$AL853,'TMP Paste'!$M854))</f>
        <v/>
      </c>
      <c r="AM854">
        <f>IF('TMP Paste'!$F854="","",IF('TMP Paste'!$N854="",$AM853,'TMP Paste'!$N854))</f>
        <v/>
      </c>
      <c r="AN854">
        <f>IF('TMP Paste'!$F854="","",IF('TMP Paste'!$O854="",$AN853,'TMP Paste'!$O854))</f>
        <v/>
      </c>
      <c r="AO854">
        <f>IF('TMP Paste'!$F854="","",IF('TMP Paste'!$P854="",$AO853,'TMP Paste'!$P854))</f>
        <v/>
      </c>
      <c r="AP854">
        <f>IF($AG854="","",LEN($R854))</f>
        <v/>
      </c>
      <c r="AQ854">
        <f>IF($AG854="","",TRIM(IF(COUNTIFS(Calc!$B$2:$B$1601,ROW()-1,Calc!$C$2:$C$1601,"&lt;1")&gt;0,"Ada PO tanpa Koli - cek TMP. ","")&amp;IF(LEN($R854)&gt;500,"R &gt; 500 karakter.","")))</f>
        <v/>
      </c>
    </row>
    <row r="855">
      <c r="A855">
        <f>IF($AG855="","",INDEX('TMP Paste'!$B$2:$B$1601,$AG855))</f>
        <v/>
      </c>
      <c r="B855">
        <f>IF($AG855="","",Config!$B$14)</f>
        <v/>
      </c>
      <c r="C855">
        <f>IF($AG855="","",Config!$B$15)</f>
        <v/>
      </c>
      <c r="D855">
        <f>IF($AG855="","",INDEX('TMP Paste'!$B$2:$B$1601,$AG855))</f>
        <v/>
      </c>
      <c r="E855">
        <f>IF($AG855="","",Config!$B$27)</f>
        <v/>
      </c>
      <c r="F855">
        <f>IF($AG855="","",Config!$B$9)</f>
        <v/>
      </c>
      <c r="G855">
        <f>IF($AG855="","",Config!$B$10)</f>
        <v/>
      </c>
      <c r="H855">
        <f>IF($AG855="","",Config!$B$11)</f>
        <v/>
      </c>
      <c r="I855">
        <f>IF($AG855="","",Config!$B$16)</f>
        <v/>
      </c>
      <c r="J855">
        <f>IF($AG855="","",INDEX('TMP Paste'!$A$2:$A$1601,$AG855))</f>
        <v/>
      </c>
      <c r="K855">
        <f>IF($AG855="","",INDEX('TMP Paste'!$L$2:$L$1601,$AG855))</f>
        <v/>
      </c>
      <c r="L855">
        <f>IF($AG855="","",INDEX('TMP Paste'!$I$2:$I$1601,$AG855))</f>
        <v/>
      </c>
      <c r="M855">
        <f>IF($AG855="","",Config!$B$16)</f>
        <v/>
      </c>
      <c r="N855">
        <f>IF($AG855="","","")</f>
        <v/>
      </c>
      <c r="O855">
        <f>IF($AG855="","",INDEX('TMP Paste'!$K$2:$K$1601,$AG855))</f>
        <v/>
      </c>
      <c r="P855">
        <f>IF($AG855="","","")</f>
        <v/>
      </c>
      <c r="Q855">
        <f>IF($AG855="","",INDEX('TMP Paste'!$J$2:$J$1601,$AG855))</f>
        <v/>
      </c>
      <c r="R855">
        <f>IF($AG855="","",Config!$B$24)</f>
        <v/>
      </c>
      <c r="S855">
        <f>IF($AG855="","",TEXT(Config!$B$4,"yyyy-mm-dd"))</f>
        <v/>
      </c>
      <c r="T855">
        <f>IF($AG855="","",Config!$B$17)</f>
        <v/>
      </c>
      <c r="U855">
        <f>IF($AG855="","",Config!$B$18)</f>
        <v/>
      </c>
      <c r="V855">
        <f>IF($AG855="","",Config!$B$19)</f>
        <v/>
      </c>
      <c r="W855">
        <f>IF($AG855="","",INDEX('TMP Paste'!$C$2:$C$1601,$AG855))</f>
        <v/>
      </c>
      <c r="X855">
        <f>IF($AG855="","",Config!$B$29)</f>
        <v/>
      </c>
      <c r="Y855">
        <f>IF($AH855="","",INDEX(Calc!$I$2:$I$1601,$AH855)&amp;" - "&amp;INDEX(Calc!$D$2:$D$1601,$AH855)&amp;" koli")</f>
        <v/>
      </c>
      <c r="Z855">
        <f>IF($AG855="","",Config!$B$21)</f>
        <v/>
      </c>
      <c r="AA855">
        <f>IF($AG855="","",Config!$B$22)</f>
        <v/>
      </c>
      <c r="AB855">
        <f>IF($AH855="","",INDEX(Calc!$D$2:$D$1601,$AH855))</f>
        <v/>
      </c>
      <c r="AC855">
        <f>IF($AH855="","",INDEX(Calc!$G$2:$G$1601,$AH855))</f>
        <v/>
      </c>
      <c r="AD855">
        <f>IF($AG855="","",Config!$B$23)</f>
        <v/>
      </c>
      <c r="AE855">
        <f>IF($AG855="","",Config!$B$28)</f>
        <v/>
      </c>
      <c r="AG855">
        <f>IFERROR(MATCH(ROW()-1,Calc!$J$2:$J$1601,0),"")</f>
        <v/>
      </c>
      <c r="AH855">
        <f>IFERROR(MATCH(ROW()-1,Calc!$K$2:$K$1601,0),"")</f>
        <v/>
      </c>
      <c r="AI855">
        <f>IF($AG855="","",SUMIF($AG$2:$AG855,$AG855,$AH$2:$AH855))</f>
        <v/>
      </c>
      <c r="AJ855">
        <f>IF('TMP Paste'!$F855="","",IF('TMP Paste'!$B855="",$AJ854,'TMP Paste'!$B855))</f>
        <v/>
      </c>
      <c r="AK855">
        <f>IF('TMP Paste'!$F855="","",N('TMP Paste'!$G855))</f>
        <v/>
      </c>
      <c r="AL855">
        <f>IF('TMP Paste'!$F855="","",IF('TMP Paste'!$M855="",$AL854,'TMP Paste'!$M855))</f>
        <v/>
      </c>
      <c r="AM855">
        <f>IF('TMP Paste'!$F855="","",IF('TMP Paste'!$N855="",$AM854,'TMP Paste'!$N855))</f>
        <v/>
      </c>
      <c r="AN855">
        <f>IF('TMP Paste'!$F855="","",IF('TMP Paste'!$O855="",$AN854,'TMP Paste'!$O855))</f>
        <v/>
      </c>
      <c r="AO855">
        <f>IF('TMP Paste'!$F855="","",IF('TMP Paste'!$P855="",$AO854,'TMP Paste'!$P855))</f>
        <v/>
      </c>
      <c r="AP855">
        <f>IF($AG855="","",LEN($R855))</f>
        <v/>
      </c>
      <c r="AQ855">
        <f>IF($AG855="","",TRIM(IF(COUNTIFS(Calc!$B$2:$B$1601,ROW()-1,Calc!$C$2:$C$1601,"&lt;1")&gt;0,"Ada PO tanpa Koli - cek TMP. ","")&amp;IF(LEN($R855)&gt;500,"R &gt; 500 karakter.","")))</f>
        <v/>
      </c>
    </row>
    <row r="856">
      <c r="A856">
        <f>IF($AG856="","",INDEX('TMP Paste'!$B$2:$B$1601,$AG856))</f>
        <v/>
      </c>
      <c r="B856">
        <f>IF($AG856="","",Config!$B$14)</f>
        <v/>
      </c>
      <c r="C856">
        <f>IF($AG856="","",Config!$B$15)</f>
        <v/>
      </c>
      <c r="D856">
        <f>IF($AG856="","",INDEX('TMP Paste'!$B$2:$B$1601,$AG856))</f>
        <v/>
      </c>
      <c r="E856">
        <f>IF($AG856="","",Config!$B$27)</f>
        <v/>
      </c>
      <c r="F856">
        <f>IF($AG856="","",Config!$B$9)</f>
        <v/>
      </c>
      <c r="G856">
        <f>IF($AG856="","",Config!$B$10)</f>
        <v/>
      </c>
      <c r="H856">
        <f>IF($AG856="","",Config!$B$11)</f>
        <v/>
      </c>
      <c r="I856">
        <f>IF($AG856="","",Config!$B$16)</f>
        <v/>
      </c>
      <c r="J856">
        <f>IF($AG856="","",INDEX('TMP Paste'!$A$2:$A$1601,$AG856))</f>
        <v/>
      </c>
      <c r="K856">
        <f>IF($AG856="","",INDEX('TMP Paste'!$L$2:$L$1601,$AG856))</f>
        <v/>
      </c>
      <c r="L856">
        <f>IF($AG856="","",INDEX('TMP Paste'!$I$2:$I$1601,$AG856))</f>
        <v/>
      </c>
      <c r="M856">
        <f>IF($AG856="","",Config!$B$16)</f>
        <v/>
      </c>
      <c r="N856">
        <f>IF($AG856="","","")</f>
        <v/>
      </c>
      <c r="O856">
        <f>IF($AG856="","",INDEX('TMP Paste'!$K$2:$K$1601,$AG856))</f>
        <v/>
      </c>
      <c r="P856">
        <f>IF($AG856="","","")</f>
        <v/>
      </c>
      <c r="Q856">
        <f>IF($AG856="","",INDEX('TMP Paste'!$J$2:$J$1601,$AG856))</f>
        <v/>
      </c>
      <c r="R856">
        <f>IF($AG856="","",Config!$B$24)</f>
        <v/>
      </c>
      <c r="S856">
        <f>IF($AG856="","",TEXT(Config!$B$4,"yyyy-mm-dd"))</f>
        <v/>
      </c>
      <c r="T856">
        <f>IF($AG856="","",Config!$B$17)</f>
        <v/>
      </c>
      <c r="U856">
        <f>IF($AG856="","",Config!$B$18)</f>
        <v/>
      </c>
      <c r="V856">
        <f>IF($AG856="","",Config!$B$19)</f>
        <v/>
      </c>
      <c r="W856">
        <f>IF($AG856="","",INDEX('TMP Paste'!$C$2:$C$1601,$AG856))</f>
        <v/>
      </c>
      <c r="X856">
        <f>IF($AG856="","",Config!$B$29)</f>
        <v/>
      </c>
      <c r="Y856">
        <f>IF($AH856="","",INDEX(Calc!$I$2:$I$1601,$AH856)&amp;" - "&amp;INDEX(Calc!$D$2:$D$1601,$AH856)&amp;" koli")</f>
        <v/>
      </c>
      <c r="Z856">
        <f>IF($AG856="","",Config!$B$21)</f>
        <v/>
      </c>
      <c r="AA856">
        <f>IF($AG856="","",Config!$B$22)</f>
        <v/>
      </c>
      <c r="AB856">
        <f>IF($AH856="","",INDEX(Calc!$D$2:$D$1601,$AH856))</f>
        <v/>
      </c>
      <c r="AC856">
        <f>IF($AH856="","",INDEX(Calc!$G$2:$G$1601,$AH856))</f>
        <v/>
      </c>
      <c r="AD856">
        <f>IF($AG856="","",Config!$B$23)</f>
        <v/>
      </c>
      <c r="AE856">
        <f>IF($AG856="","",Config!$B$28)</f>
        <v/>
      </c>
      <c r="AG856">
        <f>IFERROR(MATCH(ROW()-1,Calc!$J$2:$J$1601,0),"")</f>
        <v/>
      </c>
      <c r="AH856">
        <f>IFERROR(MATCH(ROW()-1,Calc!$K$2:$K$1601,0),"")</f>
        <v/>
      </c>
      <c r="AI856">
        <f>IF($AG856="","",SUMIF($AG$2:$AG856,$AG856,$AH$2:$AH856))</f>
        <v/>
      </c>
      <c r="AJ856">
        <f>IF('TMP Paste'!$F856="","",IF('TMP Paste'!$B856="",$AJ855,'TMP Paste'!$B856))</f>
        <v/>
      </c>
      <c r="AK856">
        <f>IF('TMP Paste'!$F856="","",N('TMP Paste'!$G856))</f>
        <v/>
      </c>
      <c r="AL856">
        <f>IF('TMP Paste'!$F856="","",IF('TMP Paste'!$M856="",$AL855,'TMP Paste'!$M856))</f>
        <v/>
      </c>
      <c r="AM856">
        <f>IF('TMP Paste'!$F856="","",IF('TMP Paste'!$N856="",$AM855,'TMP Paste'!$N856))</f>
        <v/>
      </c>
      <c r="AN856">
        <f>IF('TMP Paste'!$F856="","",IF('TMP Paste'!$O856="",$AN855,'TMP Paste'!$O856))</f>
        <v/>
      </c>
      <c r="AO856">
        <f>IF('TMP Paste'!$F856="","",IF('TMP Paste'!$P856="",$AO855,'TMP Paste'!$P856))</f>
        <v/>
      </c>
      <c r="AP856">
        <f>IF($AG856="","",LEN($R856))</f>
        <v/>
      </c>
      <c r="AQ856">
        <f>IF($AG856="","",TRIM(IF(COUNTIFS(Calc!$B$2:$B$1601,ROW()-1,Calc!$C$2:$C$1601,"&lt;1")&gt;0,"Ada PO tanpa Koli - cek TMP. ","")&amp;IF(LEN($R856)&gt;500,"R &gt; 500 karakter.","")))</f>
        <v/>
      </c>
    </row>
    <row r="857">
      <c r="A857">
        <f>IF($AG857="","",INDEX('TMP Paste'!$B$2:$B$1601,$AG857))</f>
        <v/>
      </c>
      <c r="B857">
        <f>IF($AG857="","",Config!$B$14)</f>
        <v/>
      </c>
      <c r="C857">
        <f>IF($AG857="","",Config!$B$15)</f>
        <v/>
      </c>
      <c r="D857">
        <f>IF($AG857="","",INDEX('TMP Paste'!$B$2:$B$1601,$AG857))</f>
        <v/>
      </c>
      <c r="E857">
        <f>IF($AG857="","",Config!$B$27)</f>
        <v/>
      </c>
      <c r="F857">
        <f>IF($AG857="","",Config!$B$9)</f>
        <v/>
      </c>
      <c r="G857">
        <f>IF($AG857="","",Config!$B$10)</f>
        <v/>
      </c>
      <c r="H857">
        <f>IF($AG857="","",Config!$B$11)</f>
        <v/>
      </c>
      <c r="I857">
        <f>IF($AG857="","",Config!$B$16)</f>
        <v/>
      </c>
      <c r="J857">
        <f>IF($AG857="","",INDEX('TMP Paste'!$A$2:$A$1601,$AG857))</f>
        <v/>
      </c>
      <c r="K857">
        <f>IF($AG857="","",INDEX('TMP Paste'!$L$2:$L$1601,$AG857))</f>
        <v/>
      </c>
      <c r="L857">
        <f>IF($AG857="","",INDEX('TMP Paste'!$I$2:$I$1601,$AG857))</f>
        <v/>
      </c>
      <c r="M857">
        <f>IF($AG857="","",Config!$B$16)</f>
        <v/>
      </c>
      <c r="N857">
        <f>IF($AG857="","","")</f>
        <v/>
      </c>
      <c r="O857">
        <f>IF($AG857="","",INDEX('TMP Paste'!$K$2:$K$1601,$AG857))</f>
        <v/>
      </c>
      <c r="P857">
        <f>IF($AG857="","","")</f>
        <v/>
      </c>
      <c r="Q857">
        <f>IF($AG857="","",INDEX('TMP Paste'!$J$2:$J$1601,$AG857))</f>
        <v/>
      </c>
      <c r="R857">
        <f>IF($AG857="","",Config!$B$24)</f>
        <v/>
      </c>
      <c r="S857">
        <f>IF($AG857="","",TEXT(Config!$B$4,"yyyy-mm-dd"))</f>
        <v/>
      </c>
      <c r="T857">
        <f>IF($AG857="","",Config!$B$17)</f>
        <v/>
      </c>
      <c r="U857">
        <f>IF($AG857="","",Config!$B$18)</f>
        <v/>
      </c>
      <c r="V857">
        <f>IF($AG857="","",Config!$B$19)</f>
        <v/>
      </c>
      <c r="W857">
        <f>IF($AG857="","",INDEX('TMP Paste'!$C$2:$C$1601,$AG857))</f>
        <v/>
      </c>
      <c r="X857">
        <f>IF($AG857="","",Config!$B$29)</f>
        <v/>
      </c>
      <c r="Y857">
        <f>IF($AH857="","",INDEX(Calc!$I$2:$I$1601,$AH857)&amp;" - "&amp;INDEX(Calc!$D$2:$D$1601,$AH857)&amp;" koli")</f>
        <v/>
      </c>
      <c r="Z857">
        <f>IF($AG857="","",Config!$B$21)</f>
        <v/>
      </c>
      <c r="AA857">
        <f>IF($AG857="","",Config!$B$22)</f>
        <v/>
      </c>
      <c r="AB857">
        <f>IF($AH857="","",INDEX(Calc!$D$2:$D$1601,$AH857))</f>
        <v/>
      </c>
      <c r="AC857">
        <f>IF($AH857="","",INDEX(Calc!$G$2:$G$1601,$AH857))</f>
        <v/>
      </c>
      <c r="AD857">
        <f>IF($AG857="","",Config!$B$23)</f>
        <v/>
      </c>
      <c r="AE857">
        <f>IF($AG857="","",Config!$B$28)</f>
        <v/>
      </c>
      <c r="AG857">
        <f>IFERROR(MATCH(ROW()-1,Calc!$J$2:$J$1601,0),"")</f>
        <v/>
      </c>
      <c r="AH857">
        <f>IFERROR(MATCH(ROW()-1,Calc!$K$2:$K$1601,0),"")</f>
        <v/>
      </c>
      <c r="AI857">
        <f>IF($AG857="","",SUMIF($AG$2:$AG857,$AG857,$AH$2:$AH857))</f>
        <v/>
      </c>
      <c r="AJ857">
        <f>IF('TMP Paste'!$F857="","",IF('TMP Paste'!$B857="",$AJ856,'TMP Paste'!$B857))</f>
        <v/>
      </c>
      <c r="AK857">
        <f>IF('TMP Paste'!$F857="","",N('TMP Paste'!$G857))</f>
        <v/>
      </c>
      <c r="AL857">
        <f>IF('TMP Paste'!$F857="","",IF('TMP Paste'!$M857="",$AL856,'TMP Paste'!$M857))</f>
        <v/>
      </c>
      <c r="AM857">
        <f>IF('TMP Paste'!$F857="","",IF('TMP Paste'!$N857="",$AM856,'TMP Paste'!$N857))</f>
        <v/>
      </c>
      <c r="AN857">
        <f>IF('TMP Paste'!$F857="","",IF('TMP Paste'!$O857="",$AN856,'TMP Paste'!$O857))</f>
        <v/>
      </c>
      <c r="AO857">
        <f>IF('TMP Paste'!$F857="","",IF('TMP Paste'!$P857="",$AO856,'TMP Paste'!$P857))</f>
        <v/>
      </c>
      <c r="AP857">
        <f>IF($AG857="","",LEN($R857))</f>
        <v/>
      </c>
      <c r="AQ857">
        <f>IF($AG857="","",TRIM(IF(COUNTIFS(Calc!$B$2:$B$1601,ROW()-1,Calc!$C$2:$C$1601,"&lt;1")&gt;0,"Ada PO tanpa Koli - cek TMP. ","")&amp;IF(LEN($R857)&gt;500,"R &gt; 500 karakter.","")))</f>
        <v/>
      </c>
    </row>
    <row r="858">
      <c r="A858">
        <f>IF($AG858="","",INDEX('TMP Paste'!$B$2:$B$1601,$AG858))</f>
        <v/>
      </c>
      <c r="B858">
        <f>IF($AG858="","",Config!$B$14)</f>
        <v/>
      </c>
      <c r="C858">
        <f>IF($AG858="","",Config!$B$15)</f>
        <v/>
      </c>
      <c r="D858">
        <f>IF($AG858="","",INDEX('TMP Paste'!$B$2:$B$1601,$AG858))</f>
        <v/>
      </c>
      <c r="E858">
        <f>IF($AG858="","",Config!$B$27)</f>
        <v/>
      </c>
      <c r="F858">
        <f>IF($AG858="","",Config!$B$9)</f>
        <v/>
      </c>
      <c r="G858">
        <f>IF($AG858="","",Config!$B$10)</f>
        <v/>
      </c>
      <c r="H858">
        <f>IF($AG858="","",Config!$B$11)</f>
        <v/>
      </c>
      <c r="I858">
        <f>IF($AG858="","",Config!$B$16)</f>
        <v/>
      </c>
      <c r="J858">
        <f>IF($AG858="","",INDEX('TMP Paste'!$A$2:$A$1601,$AG858))</f>
        <v/>
      </c>
      <c r="K858">
        <f>IF($AG858="","",INDEX('TMP Paste'!$L$2:$L$1601,$AG858))</f>
        <v/>
      </c>
      <c r="L858">
        <f>IF($AG858="","",INDEX('TMP Paste'!$I$2:$I$1601,$AG858))</f>
        <v/>
      </c>
      <c r="M858">
        <f>IF($AG858="","",Config!$B$16)</f>
        <v/>
      </c>
      <c r="N858">
        <f>IF($AG858="","","")</f>
        <v/>
      </c>
      <c r="O858">
        <f>IF($AG858="","",INDEX('TMP Paste'!$K$2:$K$1601,$AG858))</f>
        <v/>
      </c>
      <c r="P858">
        <f>IF($AG858="","","")</f>
        <v/>
      </c>
      <c r="Q858">
        <f>IF($AG858="","",INDEX('TMP Paste'!$J$2:$J$1601,$AG858))</f>
        <v/>
      </c>
      <c r="R858">
        <f>IF($AG858="","",Config!$B$24)</f>
        <v/>
      </c>
      <c r="S858">
        <f>IF($AG858="","",TEXT(Config!$B$4,"yyyy-mm-dd"))</f>
        <v/>
      </c>
      <c r="T858">
        <f>IF($AG858="","",Config!$B$17)</f>
        <v/>
      </c>
      <c r="U858">
        <f>IF($AG858="","",Config!$B$18)</f>
        <v/>
      </c>
      <c r="V858">
        <f>IF($AG858="","",Config!$B$19)</f>
        <v/>
      </c>
      <c r="W858">
        <f>IF($AG858="","",INDEX('TMP Paste'!$C$2:$C$1601,$AG858))</f>
        <v/>
      </c>
      <c r="X858">
        <f>IF($AG858="","",Config!$B$29)</f>
        <v/>
      </c>
      <c r="Y858">
        <f>IF($AH858="","",INDEX(Calc!$I$2:$I$1601,$AH858)&amp;" - "&amp;INDEX(Calc!$D$2:$D$1601,$AH858)&amp;" koli")</f>
        <v/>
      </c>
      <c r="Z858">
        <f>IF($AG858="","",Config!$B$21)</f>
        <v/>
      </c>
      <c r="AA858">
        <f>IF($AG858="","",Config!$B$22)</f>
        <v/>
      </c>
      <c r="AB858">
        <f>IF($AH858="","",INDEX(Calc!$D$2:$D$1601,$AH858))</f>
        <v/>
      </c>
      <c r="AC858">
        <f>IF($AH858="","",INDEX(Calc!$G$2:$G$1601,$AH858))</f>
        <v/>
      </c>
      <c r="AD858">
        <f>IF($AG858="","",Config!$B$23)</f>
        <v/>
      </c>
      <c r="AE858">
        <f>IF($AG858="","",Config!$B$28)</f>
        <v/>
      </c>
      <c r="AG858">
        <f>IFERROR(MATCH(ROW()-1,Calc!$J$2:$J$1601,0),"")</f>
        <v/>
      </c>
      <c r="AH858">
        <f>IFERROR(MATCH(ROW()-1,Calc!$K$2:$K$1601,0),"")</f>
        <v/>
      </c>
      <c r="AI858">
        <f>IF($AG858="","",SUMIF($AG$2:$AG858,$AG858,$AH$2:$AH858))</f>
        <v/>
      </c>
      <c r="AJ858">
        <f>IF('TMP Paste'!$F858="","",IF('TMP Paste'!$B858="",$AJ857,'TMP Paste'!$B858))</f>
        <v/>
      </c>
      <c r="AK858">
        <f>IF('TMP Paste'!$F858="","",N('TMP Paste'!$G858))</f>
        <v/>
      </c>
      <c r="AL858">
        <f>IF('TMP Paste'!$F858="","",IF('TMP Paste'!$M858="",$AL857,'TMP Paste'!$M858))</f>
        <v/>
      </c>
      <c r="AM858">
        <f>IF('TMP Paste'!$F858="","",IF('TMP Paste'!$N858="",$AM857,'TMP Paste'!$N858))</f>
        <v/>
      </c>
      <c r="AN858">
        <f>IF('TMP Paste'!$F858="","",IF('TMP Paste'!$O858="",$AN857,'TMP Paste'!$O858))</f>
        <v/>
      </c>
      <c r="AO858">
        <f>IF('TMP Paste'!$F858="","",IF('TMP Paste'!$P858="",$AO857,'TMP Paste'!$P858))</f>
        <v/>
      </c>
      <c r="AP858">
        <f>IF($AG858="","",LEN($R858))</f>
        <v/>
      </c>
      <c r="AQ858">
        <f>IF($AG858="","",TRIM(IF(COUNTIFS(Calc!$B$2:$B$1601,ROW()-1,Calc!$C$2:$C$1601,"&lt;1")&gt;0,"Ada PO tanpa Koli - cek TMP. ","")&amp;IF(LEN($R858)&gt;500,"R &gt; 500 karakter.","")))</f>
        <v/>
      </c>
    </row>
    <row r="859">
      <c r="A859">
        <f>IF($AG859="","",INDEX('TMP Paste'!$B$2:$B$1601,$AG859))</f>
        <v/>
      </c>
      <c r="B859">
        <f>IF($AG859="","",Config!$B$14)</f>
        <v/>
      </c>
      <c r="C859">
        <f>IF($AG859="","",Config!$B$15)</f>
        <v/>
      </c>
      <c r="D859">
        <f>IF($AG859="","",INDEX('TMP Paste'!$B$2:$B$1601,$AG859))</f>
        <v/>
      </c>
      <c r="E859">
        <f>IF($AG859="","",Config!$B$27)</f>
        <v/>
      </c>
      <c r="F859">
        <f>IF($AG859="","",Config!$B$9)</f>
        <v/>
      </c>
      <c r="G859">
        <f>IF($AG859="","",Config!$B$10)</f>
        <v/>
      </c>
      <c r="H859">
        <f>IF($AG859="","",Config!$B$11)</f>
        <v/>
      </c>
      <c r="I859">
        <f>IF($AG859="","",Config!$B$16)</f>
        <v/>
      </c>
      <c r="J859">
        <f>IF($AG859="","",INDEX('TMP Paste'!$A$2:$A$1601,$AG859))</f>
        <v/>
      </c>
      <c r="K859">
        <f>IF($AG859="","",INDEX('TMP Paste'!$L$2:$L$1601,$AG859))</f>
        <v/>
      </c>
      <c r="L859">
        <f>IF($AG859="","",INDEX('TMP Paste'!$I$2:$I$1601,$AG859))</f>
        <v/>
      </c>
      <c r="M859">
        <f>IF($AG859="","",Config!$B$16)</f>
        <v/>
      </c>
      <c r="N859">
        <f>IF($AG859="","","")</f>
        <v/>
      </c>
      <c r="O859">
        <f>IF($AG859="","",INDEX('TMP Paste'!$K$2:$K$1601,$AG859))</f>
        <v/>
      </c>
      <c r="P859">
        <f>IF($AG859="","","")</f>
        <v/>
      </c>
      <c r="Q859">
        <f>IF($AG859="","",INDEX('TMP Paste'!$J$2:$J$1601,$AG859))</f>
        <v/>
      </c>
      <c r="R859">
        <f>IF($AG859="","",Config!$B$24)</f>
        <v/>
      </c>
      <c r="S859">
        <f>IF($AG859="","",TEXT(Config!$B$4,"yyyy-mm-dd"))</f>
        <v/>
      </c>
      <c r="T859">
        <f>IF($AG859="","",Config!$B$17)</f>
        <v/>
      </c>
      <c r="U859">
        <f>IF($AG859="","",Config!$B$18)</f>
        <v/>
      </c>
      <c r="V859">
        <f>IF($AG859="","",Config!$B$19)</f>
        <v/>
      </c>
      <c r="W859">
        <f>IF($AG859="","",INDEX('TMP Paste'!$C$2:$C$1601,$AG859))</f>
        <v/>
      </c>
      <c r="X859">
        <f>IF($AG859="","",Config!$B$29)</f>
        <v/>
      </c>
      <c r="Y859">
        <f>IF($AH859="","",INDEX(Calc!$I$2:$I$1601,$AH859)&amp;" - "&amp;INDEX(Calc!$D$2:$D$1601,$AH859)&amp;" koli")</f>
        <v/>
      </c>
      <c r="Z859">
        <f>IF($AG859="","",Config!$B$21)</f>
        <v/>
      </c>
      <c r="AA859">
        <f>IF($AG859="","",Config!$B$22)</f>
        <v/>
      </c>
      <c r="AB859">
        <f>IF($AH859="","",INDEX(Calc!$D$2:$D$1601,$AH859))</f>
        <v/>
      </c>
      <c r="AC859">
        <f>IF($AH859="","",INDEX(Calc!$G$2:$G$1601,$AH859))</f>
        <v/>
      </c>
      <c r="AD859">
        <f>IF($AG859="","",Config!$B$23)</f>
        <v/>
      </c>
      <c r="AE859">
        <f>IF($AG859="","",Config!$B$28)</f>
        <v/>
      </c>
      <c r="AG859">
        <f>IFERROR(MATCH(ROW()-1,Calc!$J$2:$J$1601,0),"")</f>
        <v/>
      </c>
      <c r="AH859">
        <f>IFERROR(MATCH(ROW()-1,Calc!$K$2:$K$1601,0),"")</f>
        <v/>
      </c>
      <c r="AI859">
        <f>IF($AG859="","",SUMIF($AG$2:$AG859,$AG859,$AH$2:$AH859))</f>
        <v/>
      </c>
      <c r="AJ859">
        <f>IF('TMP Paste'!$F859="","",IF('TMP Paste'!$B859="",$AJ858,'TMP Paste'!$B859))</f>
        <v/>
      </c>
      <c r="AK859">
        <f>IF('TMP Paste'!$F859="","",N('TMP Paste'!$G859))</f>
        <v/>
      </c>
      <c r="AL859">
        <f>IF('TMP Paste'!$F859="","",IF('TMP Paste'!$M859="",$AL858,'TMP Paste'!$M859))</f>
        <v/>
      </c>
      <c r="AM859">
        <f>IF('TMP Paste'!$F859="","",IF('TMP Paste'!$N859="",$AM858,'TMP Paste'!$N859))</f>
        <v/>
      </c>
      <c r="AN859">
        <f>IF('TMP Paste'!$F859="","",IF('TMP Paste'!$O859="",$AN858,'TMP Paste'!$O859))</f>
        <v/>
      </c>
      <c r="AO859">
        <f>IF('TMP Paste'!$F859="","",IF('TMP Paste'!$P859="",$AO858,'TMP Paste'!$P859))</f>
        <v/>
      </c>
      <c r="AP859">
        <f>IF($AG859="","",LEN($R859))</f>
        <v/>
      </c>
      <c r="AQ859">
        <f>IF($AG859="","",TRIM(IF(COUNTIFS(Calc!$B$2:$B$1601,ROW()-1,Calc!$C$2:$C$1601,"&lt;1")&gt;0,"Ada PO tanpa Koli - cek TMP. ","")&amp;IF(LEN($R859)&gt;500,"R &gt; 500 karakter.","")))</f>
        <v/>
      </c>
    </row>
    <row r="860">
      <c r="A860">
        <f>IF($AG860="","",INDEX('TMP Paste'!$B$2:$B$1601,$AG860))</f>
        <v/>
      </c>
      <c r="B860">
        <f>IF($AG860="","",Config!$B$14)</f>
        <v/>
      </c>
      <c r="C860">
        <f>IF($AG860="","",Config!$B$15)</f>
        <v/>
      </c>
      <c r="D860">
        <f>IF($AG860="","",INDEX('TMP Paste'!$B$2:$B$1601,$AG860))</f>
        <v/>
      </c>
      <c r="E860">
        <f>IF($AG860="","",Config!$B$27)</f>
        <v/>
      </c>
      <c r="F860">
        <f>IF($AG860="","",Config!$B$9)</f>
        <v/>
      </c>
      <c r="G860">
        <f>IF($AG860="","",Config!$B$10)</f>
        <v/>
      </c>
      <c r="H860">
        <f>IF($AG860="","",Config!$B$11)</f>
        <v/>
      </c>
      <c r="I860">
        <f>IF($AG860="","",Config!$B$16)</f>
        <v/>
      </c>
      <c r="J860">
        <f>IF($AG860="","",INDEX('TMP Paste'!$A$2:$A$1601,$AG860))</f>
        <v/>
      </c>
      <c r="K860">
        <f>IF($AG860="","",INDEX('TMP Paste'!$L$2:$L$1601,$AG860))</f>
        <v/>
      </c>
      <c r="L860">
        <f>IF($AG860="","",INDEX('TMP Paste'!$I$2:$I$1601,$AG860))</f>
        <v/>
      </c>
      <c r="M860">
        <f>IF($AG860="","",Config!$B$16)</f>
        <v/>
      </c>
      <c r="N860">
        <f>IF($AG860="","","")</f>
        <v/>
      </c>
      <c r="O860">
        <f>IF($AG860="","",INDEX('TMP Paste'!$K$2:$K$1601,$AG860))</f>
        <v/>
      </c>
      <c r="P860">
        <f>IF($AG860="","","")</f>
        <v/>
      </c>
      <c r="Q860">
        <f>IF($AG860="","",INDEX('TMP Paste'!$J$2:$J$1601,$AG860))</f>
        <v/>
      </c>
      <c r="R860">
        <f>IF($AG860="","",Config!$B$24)</f>
        <v/>
      </c>
      <c r="S860">
        <f>IF($AG860="","",TEXT(Config!$B$4,"yyyy-mm-dd"))</f>
        <v/>
      </c>
      <c r="T860">
        <f>IF($AG860="","",Config!$B$17)</f>
        <v/>
      </c>
      <c r="U860">
        <f>IF($AG860="","",Config!$B$18)</f>
        <v/>
      </c>
      <c r="V860">
        <f>IF($AG860="","",Config!$B$19)</f>
        <v/>
      </c>
      <c r="W860">
        <f>IF($AG860="","",INDEX('TMP Paste'!$C$2:$C$1601,$AG860))</f>
        <v/>
      </c>
      <c r="X860">
        <f>IF($AG860="","",Config!$B$29)</f>
        <v/>
      </c>
      <c r="Y860">
        <f>IF($AH860="","",INDEX(Calc!$I$2:$I$1601,$AH860)&amp;" - "&amp;INDEX(Calc!$D$2:$D$1601,$AH860)&amp;" koli")</f>
        <v/>
      </c>
      <c r="Z860">
        <f>IF($AG860="","",Config!$B$21)</f>
        <v/>
      </c>
      <c r="AA860">
        <f>IF($AG860="","",Config!$B$22)</f>
        <v/>
      </c>
      <c r="AB860">
        <f>IF($AH860="","",INDEX(Calc!$D$2:$D$1601,$AH860))</f>
        <v/>
      </c>
      <c r="AC860">
        <f>IF($AH860="","",INDEX(Calc!$G$2:$G$1601,$AH860))</f>
        <v/>
      </c>
      <c r="AD860">
        <f>IF($AG860="","",Config!$B$23)</f>
        <v/>
      </c>
      <c r="AE860">
        <f>IF($AG860="","",Config!$B$28)</f>
        <v/>
      </c>
      <c r="AG860">
        <f>IFERROR(MATCH(ROW()-1,Calc!$J$2:$J$1601,0),"")</f>
        <v/>
      </c>
      <c r="AH860">
        <f>IFERROR(MATCH(ROW()-1,Calc!$K$2:$K$1601,0),"")</f>
        <v/>
      </c>
      <c r="AI860">
        <f>IF($AG860="","",SUMIF($AG$2:$AG860,$AG860,$AH$2:$AH860))</f>
        <v/>
      </c>
      <c r="AJ860">
        <f>IF('TMP Paste'!$F860="","",IF('TMP Paste'!$B860="",$AJ859,'TMP Paste'!$B860))</f>
        <v/>
      </c>
      <c r="AK860">
        <f>IF('TMP Paste'!$F860="","",N('TMP Paste'!$G860))</f>
        <v/>
      </c>
      <c r="AL860">
        <f>IF('TMP Paste'!$F860="","",IF('TMP Paste'!$M860="",$AL859,'TMP Paste'!$M860))</f>
        <v/>
      </c>
      <c r="AM860">
        <f>IF('TMP Paste'!$F860="","",IF('TMP Paste'!$N860="",$AM859,'TMP Paste'!$N860))</f>
        <v/>
      </c>
      <c r="AN860">
        <f>IF('TMP Paste'!$F860="","",IF('TMP Paste'!$O860="",$AN859,'TMP Paste'!$O860))</f>
        <v/>
      </c>
      <c r="AO860">
        <f>IF('TMP Paste'!$F860="","",IF('TMP Paste'!$P860="",$AO859,'TMP Paste'!$P860))</f>
        <v/>
      </c>
      <c r="AP860">
        <f>IF($AG860="","",LEN($R860))</f>
        <v/>
      </c>
      <c r="AQ860">
        <f>IF($AG860="","",TRIM(IF(COUNTIFS(Calc!$B$2:$B$1601,ROW()-1,Calc!$C$2:$C$1601,"&lt;1")&gt;0,"Ada PO tanpa Koli - cek TMP. ","")&amp;IF(LEN($R860)&gt;500,"R &gt; 500 karakter.","")))</f>
        <v/>
      </c>
    </row>
    <row r="861">
      <c r="A861">
        <f>IF($AG861="","",INDEX('TMP Paste'!$B$2:$B$1601,$AG861))</f>
        <v/>
      </c>
      <c r="B861">
        <f>IF($AG861="","",Config!$B$14)</f>
        <v/>
      </c>
      <c r="C861">
        <f>IF($AG861="","",Config!$B$15)</f>
        <v/>
      </c>
      <c r="D861">
        <f>IF($AG861="","",INDEX('TMP Paste'!$B$2:$B$1601,$AG861))</f>
        <v/>
      </c>
      <c r="E861">
        <f>IF($AG861="","",Config!$B$27)</f>
        <v/>
      </c>
      <c r="F861">
        <f>IF($AG861="","",Config!$B$9)</f>
        <v/>
      </c>
      <c r="G861">
        <f>IF($AG861="","",Config!$B$10)</f>
        <v/>
      </c>
      <c r="H861">
        <f>IF($AG861="","",Config!$B$11)</f>
        <v/>
      </c>
      <c r="I861">
        <f>IF($AG861="","",Config!$B$16)</f>
        <v/>
      </c>
      <c r="J861">
        <f>IF($AG861="","",INDEX('TMP Paste'!$A$2:$A$1601,$AG861))</f>
        <v/>
      </c>
      <c r="K861">
        <f>IF($AG861="","",INDEX('TMP Paste'!$L$2:$L$1601,$AG861))</f>
        <v/>
      </c>
      <c r="L861">
        <f>IF($AG861="","",INDEX('TMP Paste'!$I$2:$I$1601,$AG861))</f>
        <v/>
      </c>
      <c r="M861">
        <f>IF($AG861="","",Config!$B$16)</f>
        <v/>
      </c>
      <c r="N861">
        <f>IF($AG861="","","")</f>
        <v/>
      </c>
      <c r="O861">
        <f>IF($AG861="","",INDEX('TMP Paste'!$K$2:$K$1601,$AG861))</f>
        <v/>
      </c>
      <c r="P861">
        <f>IF($AG861="","","")</f>
        <v/>
      </c>
      <c r="Q861">
        <f>IF($AG861="","",INDEX('TMP Paste'!$J$2:$J$1601,$AG861))</f>
        <v/>
      </c>
      <c r="R861">
        <f>IF($AG861="","",Config!$B$24)</f>
        <v/>
      </c>
      <c r="S861">
        <f>IF($AG861="","",TEXT(Config!$B$4,"yyyy-mm-dd"))</f>
        <v/>
      </c>
      <c r="T861">
        <f>IF($AG861="","",Config!$B$17)</f>
        <v/>
      </c>
      <c r="U861">
        <f>IF($AG861="","",Config!$B$18)</f>
        <v/>
      </c>
      <c r="V861">
        <f>IF($AG861="","",Config!$B$19)</f>
        <v/>
      </c>
      <c r="W861">
        <f>IF($AG861="","",INDEX('TMP Paste'!$C$2:$C$1601,$AG861))</f>
        <v/>
      </c>
      <c r="X861">
        <f>IF($AG861="","",Config!$B$29)</f>
        <v/>
      </c>
      <c r="Y861">
        <f>IF($AH861="","",INDEX(Calc!$I$2:$I$1601,$AH861)&amp;" - "&amp;INDEX(Calc!$D$2:$D$1601,$AH861)&amp;" koli")</f>
        <v/>
      </c>
      <c r="Z861">
        <f>IF($AG861="","",Config!$B$21)</f>
        <v/>
      </c>
      <c r="AA861">
        <f>IF($AG861="","",Config!$B$22)</f>
        <v/>
      </c>
      <c r="AB861">
        <f>IF($AH861="","",INDEX(Calc!$D$2:$D$1601,$AH861))</f>
        <v/>
      </c>
      <c r="AC861">
        <f>IF($AH861="","",INDEX(Calc!$G$2:$G$1601,$AH861))</f>
        <v/>
      </c>
      <c r="AD861">
        <f>IF($AG861="","",Config!$B$23)</f>
        <v/>
      </c>
      <c r="AE861">
        <f>IF($AG861="","",Config!$B$28)</f>
        <v/>
      </c>
      <c r="AG861">
        <f>IFERROR(MATCH(ROW()-1,Calc!$J$2:$J$1601,0),"")</f>
        <v/>
      </c>
      <c r="AH861">
        <f>IFERROR(MATCH(ROW()-1,Calc!$K$2:$K$1601,0),"")</f>
        <v/>
      </c>
      <c r="AI861">
        <f>IF($AG861="","",SUMIF($AG$2:$AG861,$AG861,$AH$2:$AH861))</f>
        <v/>
      </c>
      <c r="AJ861">
        <f>IF('TMP Paste'!$F861="","",IF('TMP Paste'!$B861="",$AJ860,'TMP Paste'!$B861))</f>
        <v/>
      </c>
      <c r="AK861">
        <f>IF('TMP Paste'!$F861="","",N('TMP Paste'!$G861))</f>
        <v/>
      </c>
      <c r="AL861">
        <f>IF('TMP Paste'!$F861="","",IF('TMP Paste'!$M861="",$AL860,'TMP Paste'!$M861))</f>
        <v/>
      </c>
      <c r="AM861">
        <f>IF('TMP Paste'!$F861="","",IF('TMP Paste'!$N861="",$AM860,'TMP Paste'!$N861))</f>
        <v/>
      </c>
      <c r="AN861">
        <f>IF('TMP Paste'!$F861="","",IF('TMP Paste'!$O861="",$AN860,'TMP Paste'!$O861))</f>
        <v/>
      </c>
      <c r="AO861">
        <f>IF('TMP Paste'!$F861="","",IF('TMP Paste'!$P861="",$AO860,'TMP Paste'!$P861))</f>
        <v/>
      </c>
      <c r="AP861">
        <f>IF($AG861="","",LEN($R861))</f>
        <v/>
      </c>
      <c r="AQ861">
        <f>IF($AG861="","",TRIM(IF(COUNTIFS(Calc!$B$2:$B$1601,ROW()-1,Calc!$C$2:$C$1601,"&lt;1")&gt;0,"Ada PO tanpa Koli - cek TMP. ","")&amp;IF(LEN($R861)&gt;500,"R &gt; 500 karakter.","")))</f>
        <v/>
      </c>
    </row>
    <row r="862">
      <c r="A862">
        <f>IF($AG862="","",INDEX('TMP Paste'!$B$2:$B$1601,$AG862))</f>
        <v/>
      </c>
      <c r="B862">
        <f>IF($AG862="","",Config!$B$14)</f>
        <v/>
      </c>
      <c r="C862">
        <f>IF($AG862="","",Config!$B$15)</f>
        <v/>
      </c>
      <c r="D862">
        <f>IF($AG862="","",INDEX('TMP Paste'!$B$2:$B$1601,$AG862))</f>
        <v/>
      </c>
      <c r="E862">
        <f>IF($AG862="","",Config!$B$27)</f>
        <v/>
      </c>
      <c r="F862">
        <f>IF($AG862="","",Config!$B$9)</f>
        <v/>
      </c>
      <c r="G862">
        <f>IF($AG862="","",Config!$B$10)</f>
        <v/>
      </c>
      <c r="H862">
        <f>IF($AG862="","",Config!$B$11)</f>
        <v/>
      </c>
      <c r="I862">
        <f>IF($AG862="","",Config!$B$16)</f>
        <v/>
      </c>
      <c r="J862">
        <f>IF($AG862="","",INDEX('TMP Paste'!$A$2:$A$1601,$AG862))</f>
        <v/>
      </c>
      <c r="K862">
        <f>IF($AG862="","",INDEX('TMP Paste'!$L$2:$L$1601,$AG862))</f>
        <v/>
      </c>
      <c r="L862">
        <f>IF($AG862="","",INDEX('TMP Paste'!$I$2:$I$1601,$AG862))</f>
        <v/>
      </c>
      <c r="M862">
        <f>IF($AG862="","",Config!$B$16)</f>
        <v/>
      </c>
      <c r="N862">
        <f>IF($AG862="","","")</f>
        <v/>
      </c>
      <c r="O862">
        <f>IF($AG862="","",INDEX('TMP Paste'!$K$2:$K$1601,$AG862))</f>
        <v/>
      </c>
      <c r="P862">
        <f>IF($AG862="","","")</f>
        <v/>
      </c>
      <c r="Q862">
        <f>IF($AG862="","",INDEX('TMP Paste'!$J$2:$J$1601,$AG862))</f>
        <v/>
      </c>
      <c r="R862">
        <f>IF($AG862="","",Config!$B$24)</f>
        <v/>
      </c>
      <c r="S862">
        <f>IF($AG862="","",TEXT(Config!$B$4,"yyyy-mm-dd"))</f>
        <v/>
      </c>
      <c r="T862">
        <f>IF($AG862="","",Config!$B$17)</f>
        <v/>
      </c>
      <c r="U862">
        <f>IF($AG862="","",Config!$B$18)</f>
        <v/>
      </c>
      <c r="V862">
        <f>IF($AG862="","",Config!$B$19)</f>
        <v/>
      </c>
      <c r="W862">
        <f>IF($AG862="","",INDEX('TMP Paste'!$C$2:$C$1601,$AG862))</f>
        <v/>
      </c>
      <c r="X862">
        <f>IF($AG862="","",Config!$B$29)</f>
        <v/>
      </c>
      <c r="Y862">
        <f>IF($AH862="","",INDEX(Calc!$I$2:$I$1601,$AH862)&amp;" - "&amp;INDEX(Calc!$D$2:$D$1601,$AH862)&amp;" koli")</f>
        <v/>
      </c>
      <c r="Z862">
        <f>IF($AG862="","",Config!$B$21)</f>
        <v/>
      </c>
      <c r="AA862">
        <f>IF($AG862="","",Config!$B$22)</f>
        <v/>
      </c>
      <c r="AB862">
        <f>IF($AH862="","",INDEX(Calc!$D$2:$D$1601,$AH862))</f>
        <v/>
      </c>
      <c r="AC862">
        <f>IF($AH862="","",INDEX(Calc!$G$2:$G$1601,$AH862))</f>
        <v/>
      </c>
      <c r="AD862">
        <f>IF($AG862="","",Config!$B$23)</f>
        <v/>
      </c>
      <c r="AE862">
        <f>IF($AG862="","",Config!$B$28)</f>
        <v/>
      </c>
      <c r="AG862">
        <f>IFERROR(MATCH(ROW()-1,Calc!$J$2:$J$1601,0),"")</f>
        <v/>
      </c>
      <c r="AH862">
        <f>IFERROR(MATCH(ROW()-1,Calc!$K$2:$K$1601,0),"")</f>
        <v/>
      </c>
      <c r="AI862">
        <f>IF($AG862="","",SUMIF($AG$2:$AG862,$AG862,$AH$2:$AH862))</f>
        <v/>
      </c>
      <c r="AJ862">
        <f>IF('TMP Paste'!$F862="","",IF('TMP Paste'!$B862="",$AJ861,'TMP Paste'!$B862))</f>
        <v/>
      </c>
      <c r="AK862">
        <f>IF('TMP Paste'!$F862="","",N('TMP Paste'!$G862))</f>
        <v/>
      </c>
      <c r="AL862">
        <f>IF('TMP Paste'!$F862="","",IF('TMP Paste'!$M862="",$AL861,'TMP Paste'!$M862))</f>
        <v/>
      </c>
      <c r="AM862">
        <f>IF('TMP Paste'!$F862="","",IF('TMP Paste'!$N862="",$AM861,'TMP Paste'!$N862))</f>
        <v/>
      </c>
      <c r="AN862">
        <f>IF('TMP Paste'!$F862="","",IF('TMP Paste'!$O862="",$AN861,'TMP Paste'!$O862))</f>
        <v/>
      </c>
      <c r="AO862">
        <f>IF('TMP Paste'!$F862="","",IF('TMP Paste'!$P862="",$AO861,'TMP Paste'!$P862))</f>
        <v/>
      </c>
      <c r="AP862">
        <f>IF($AG862="","",LEN($R862))</f>
        <v/>
      </c>
      <c r="AQ862">
        <f>IF($AG862="","",TRIM(IF(COUNTIFS(Calc!$B$2:$B$1601,ROW()-1,Calc!$C$2:$C$1601,"&lt;1")&gt;0,"Ada PO tanpa Koli - cek TMP. ","")&amp;IF(LEN($R862)&gt;500,"R &gt; 500 karakter.","")))</f>
        <v/>
      </c>
    </row>
    <row r="863">
      <c r="A863">
        <f>IF($AG863="","",INDEX('TMP Paste'!$B$2:$B$1601,$AG863))</f>
        <v/>
      </c>
      <c r="B863">
        <f>IF($AG863="","",Config!$B$14)</f>
        <v/>
      </c>
      <c r="C863">
        <f>IF($AG863="","",Config!$B$15)</f>
        <v/>
      </c>
      <c r="D863">
        <f>IF($AG863="","",INDEX('TMP Paste'!$B$2:$B$1601,$AG863))</f>
        <v/>
      </c>
      <c r="E863">
        <f>IF($AG863="","",Config!$B$27)</f>
        <v/>
      </c>
      <c r="F863">
        <f>IF($AG863="","",Config!$B$9)</f>
        <v/>
      </c>
      <c r="G863">
        <f>IF($AG863="","",Config!$B$10)</f>
        <v/>
      </c>
      <c r="H863">
        <f>IF($AG863="","",Config!$B$11)</f>
        <v/>
      </c>
      <c r="I863">
        <f>IF($AG863="","",Config!$B$16)</f>
        <v/>
      </c>
      <c r="J863">
        <f>IF($AG863="","",INDEX('TMP Paste'!$A$2:$A$1601,$AG863))</f>
        <v/>
      </c>
      <c r="K863">
        <f>IF($AG863="","",INDEX('TMP Paste'!$L$2:$L$1601,$AG863))</f>
        <v/>
      </c>
      <c r="L863">
        <f>IF($AG863="","",INDEX('TMP Paste'!$I$2:$I$1601,$AG863))</f>
        <v/>
      </c>
      <c r="M863">
        <f>IF($AG863="","",Config!$B$16)</f>
        <v/>
      </c>
      <c r="N863">
        <f>IF($AG863="","","")</f>
        <v/>
      </c>
      <c r="O863">
        <f>IF($AG863="","",INDEX('TMP Paste'!$K$2:$K$1601,$AG863))</f>
        <v/>
      </c>
      <c r="P863">
        <f>IF($AG863="","","")</f>
        <v/>
      </c>
      <c r="Q863">
        <f>IF($AG863="","",INDEX('TMP Paste'!$J$2:$J$1601,$AG863))</f>
        <v/>
      </c>
      <c r="R863">
        <f>IF($AG863="","",Config!$B$24)</f>
        <v/>
      </c>
      <c r="S863">
        <f>IF($AG863="","",TEXT(Config!$B$4,"yyyy-mm-dd"))</f>
        <v/>
      </c>
      <c r="T863">
        <f>IF($AG863="","",Config!$B$17)</f>
        <v/>
      </c>
      <c r="U863">
        <f>IF($AG863="","",Config!$B$18)</f>
        <v/>
      </c>
      <c r="V863">
        <f>IF($AG863="","",Config!$B$19)</f>
        <v/>
      </c>
      <c r="W863">
        <f>IF($AG863="","",INDEX('TMP Paste'!$C$2:$C$1601,$AG863))</f>
        <v/>
      </c>
      <c r="X863">
        <f>IF($AG863="","",Config!$B$29)</f>
        <v/>
      </c>
      <c r="Y863">
        <f>IF($AH863="","",INDEX(Calc!$I$2:$I$1601,$AH863)&amp;" - "&amp;INDEX(Calc!$D$2:$D$1601,$AH863)&amp;" koli")</f>
        <v/>
      </c>
      <c r="Z863">
        <f>IF($AG863="","",Config!$B$21)</f>
        <v/>
      </c>
      <c r="AA863">
        <f>IF($AG863="","",Config!$B$22)</f>
        <v/>
      </c>
      <c r="AB863">
        <f>IF($AH863="","",INDEX(Calc!$D$2:$D$1601,$AH863))</f>
        <v/>
      </c>
      <c r="AC863">
        <f>IF($AH863="","",INDEX(Calc!$G$2:$G$1601,$AH863))</f>
        <v/>
      </c>
      <c r="AD863">
        <f>IF($AG863="","",Config!$B$23)</f>
        <v/>
      </c>
      <c r="AE863">
        <f>IF($AG863="","",Config!$B$28)</f>
        <v/>
      </c>
      <c r="AG863">
        <f>IFERROR(MATCH(ROW()-1,Calc!$J$2:$J$1601,0),"")</f>
        <v/>
      </c>
      <c r="AH863">
        <f>IFERROR(MATCH(ROW()-1,Calc!$K$2:$K$1601,0),"")</f>
        <v/>
      </c>
      <c r="AI863">
        <f>IF($AG863="","",SUMIF($AG$2:$AG863,$AG863,$AH$2:$AH863))</f>
        <v/>
      </c>
      <c r="AJ863">
        <f>IF('TMP Paste'!$F863="","",IF('TMP Paste'!$B863="",$AJ862,'TMP Paste'!$B863))</f>
        <v/>
      </c>
      <c r="AK863">
        <f>IF('TMP Paste'!$F863="","",N('TMP Paste'!$G863))</f>
        <v/>
      </c>
      <c r="AL863">
        <f>IF('TMP Paste'!$F863="","",IF('TMP Paste'!$M863="",$AL862,'TMP Paste'!$M863))</f>
        <v/>
      </c>
      <c r="AM863">
        <f>IF('TMP Paste'!$F863="","",IF('TMP Paste'!$N863="",$AM862,'TMP Paste'!$N863))</f>
        <v/>
      </c>
      <c r="AN863">
        <f>IF('TMP Paste'!$F863="","",IF('TMP Paste'!$O863="",$AN862,'TMP Paste'!$O863))</f>
        <v/>
      </c>
      <c r="AO863">
        <f>IF('TMP Paste'!$F863="","",IF('TMP Paste'!$P863="",$AO862,'TMP Paste'!$P863))</f>
        <v/>
      </c>
      <c r="AP863">
        <f>IF($AG863="","",LEN($R863))</f>
        <v/>
      </c>
      <c r="AQ863">
        <f>IF($AG863="","",TRIM(IF(COUNTIFS(Calc!$B$2:$B$1601,ROW()-1,Calc!$C$2:$C$1601,"&lt;1")&gt;0,"Ada PO tanpa Koli - cek TMP. ","")&amp;IF(LEN($R863)&gt;500,"R &gt; 500 karakter.","")))</f>
        <v/>
      </c>
    </row>
    <row r="864">
      <c r="A864">
        <f>IF($AG864="","",INDEX('TMP Paste'!$B$2:$B$1601,$AG864))</f>
        <v/>
      </c>
      <c r="B864">
        <f>IF($AG864="","",Config!$B$14)</f>
        <v/>
      </c>
      <c r="C864">
        <f>IF($AG864="","",Config!$B$15)</f>
        <v/>
      </c>
      <c r="D864">
        <f>IF($AG864="","",INDEX('TMP Paste'!$B$2:$B$1601,$AG864))</f>
        <v/>
      </c>
      <c r="E864">
        <f>IF($AG864="","",Config!$B$27)</f>
        <v/>
      </c>
      <c r="F864">
        <f>IF($AG864="","",Config!$B$9)</f>
        <v/>
      </c>
      <c r="G864">
        <f>IF($AG864="","",Config!$B$10)</f>
        <v/>
      </c>
      <c r="H864">
        <f>IF($AG864="","",Config!$B$11)</f>
        <v/>
      </c>
      <c r="I864">
        <f>IF($AG864="","",Config!$B$16)</f>
        <v/>
      </c>
      <c r="J864">
        <f>IF($AG864="","",INDEX('TMP Paste'!$A$2:$A$1601,$AG864))</f>
        <v/>
      </c>
      <c r="K864">
        <f>IF($AG864="","",INDEX('TMP Paste'!$L$2:$L$1601,$AG864))</f>
        <v/>
      </c>
      <c r="L864">
        <f>IF($AG864="","",INDEX('TMP Paste'!$I$2:$I$1601,$AG864))</f>
        <v/>
      </c>
      <c r="M864">
        <f>IF($AG864="","",Config!$B$16)</f>
        <v/>
      </c>
      <c r="N864">
        <f>IF($AG864="","","")</f>
        <v/>
      </c>
      <c r="O864">
        <f>IF($AG864="","",INDEX('TMP Paste'!$K$2:$K$1601,$AG864))</f>
        <v/>
      </c>
      <c r="P864">
        <f>IF($AG864="","","")</f>
        <v/>
      </c>
      <c r="Q864">
        <f>IF($AG864="","",INDEX('TMP Paste'!$J$2:$J$1601,$AG864))</f>
        <v/>
      </c>
      <c r="R864">
        <f>IF($AG864="","",Config!$B$24)</f>
        <v/>
      </c>
      <c r="S864">
        <f>IF($AG864="","",TEXT(Config!$B$4,"yyyy-mm-dd"))</f>
        <v/>
      </c>
      <c r="T864">
        <f>IF($AG864="","",Config!$B$17)</f>
        <v/>
      </c>
      <c r="U864">
        <f>IF($AG864="","",Config!$B$18)</f>
        <v/>
      </c>
      <c r="V864">
        <f>IF($AG864="","",Config!$B$19)</f>
        <v/>
      </c>
      <c r="W864">
        <f>IF($AG864="","",INDEX('TMP Paste'!$C$2:$C$1601,$AG864))</f>
        <v/>
      </c>
      <c r="X864">
        <f>IF($AG864="","",Config!$B$29)</f>
        <v/>
      </c>
      <c r="Y864">
        <f>IF($AH864="","",INDEX(Calc!$I$2:$I$1601,$AH864)&amp;" - "&amp;INDEX(Calc!$D$2:$D$1601,$AH864)&amp;" koli")</f>
        <v/>
      </c>
      <c r="Z864">
        <f>IF($AG864="","",Config!$B$21)</f>
        <v/>
      </c>
      <c r="AA864">
        <f>IF($AG864="","",Config!$B$22)</f>
        <v/>
      </c>
      <c r="AB864">
        <f>IF($AH864="","",INDEX(Calc!$D$2:$D$1601,$AH864))</f>
        <v/>
      </c>
      <c r="AC864">
        <f>IF($AH864="","",INDEX(Calc!$G$2:$G$1601,$AH864))</f>
        <v/>
      </c>
      <c r="AD864">
        <f>IF($AG864="","",Config!$B$23)</f>
        <v/>
      </c>
      <c r="AE864">
        <f>IF($AG864="","",Config!$B$28)</f>
        <v/>
      </c>
      <c r="AG864">
        <f>IFERROR(MATCH(ROW()-1,Calc!$J$2:$J$1601,0),"")</f>
        <v/>
      </c>
      <c r="AH864">
        <f>IFERROR(MATCH(ROW()-1,Calc!$K$2:$K$1601,0),"")</f>
        <v/>
      </c>
      <c r="AI864">
        <f>IF($AG864="","",SUMIF($AG$2:$AG864,$AG864,$AH$2:$AH864))</f>
        <v/>
      </c>
      <c r="AJ864">
        <f>IF('TMP Paste'!$F864="","",IF('TMP Paste'!$B864="",$AJ863,'TMP Paste'!$B864))</f>
        <v/>
      </c>
      <c r="AK864">
        <f>IF('TMP Paste'!$F864="","",N('TMP Paste'!$G864))</f>
        <v/>
      </c>
      <c r="AL864">
        <f>IF('TMP Paste'!$F864="","",IF('TMP Paste'!$M864="",$AL863,'TMP Paste'!$M864))</f>
        <v/>
      </c>
      <c r="AM864">
        <f>IF('TMP Paste'!$F864="","",IF('TMP Paste'!$N864="",$AM863,'TMP Paste'!$N864))</f>
        <v/>
      </c>
      <c r="AN864">
        <f>IF('TMP Paste'!$F864="","",IF('TMP Paste'!$O864="",$AN863,'TMP Paste'!$O864))</f>
        <v/>
      </c>
      <c r="AO864">
        <f>IF('TMP Paste'!$F864="","",IF('TMP Paste'!$P864="",$AO863,'TMP Paste'!$P864))</f>
        <v/>
      </c>
      <c r="AP864">
        <f>IF($AG864="","",LEN($R864))</f>
        <v/>
      </c>
      <c r="AQ864">
        <f>IF($AG864="","",TRIM(IF(COUNTIFS(Calc!$B$2:$B$1601,ROW()-1,Calc!$C$2:$C$1601,"&lt;1")&gt;0,"Ada PO tanpa Koli - cek TMP. ","")&amp;IF(LEN($R864)&gt;500,"R &gt; 500 karakter.","")))</f>
        <v/>
      </c>
    </row>
    <row r="865">
      <c r="A865">
        <f>IF($AG865="","",INDEX('TMP Paste'!$B$2:$B$1601,$AG865))</f>
        <v/>
      </c>
      <c r="B865">
        <f>IF($AG865="","",Config!$B$14)</f>
        <v/>
      </c>
      <c r="C865">
        <f>IF($AG865="","",Config!$B$15)</f>
        <v/>
      </c>
      <c r="D865">
        <f>IF($AG865="","",INDEX('TMP Paste'!$B$2:$B$1601,$AG865))</f>
        <v/>
      </c>
      <c r="E865">
        <f>IF($AG865="","",Config!$B$27)</f>
        <v/>
      </c>
      <c r="F865">
        <f>IF($AG865="","",Config!$B$9)</f>
        <v/>
      </c>
      <c r="G865">
        <f>IF($AG865="","",Config!$B$10)</f>
        <v/>
      </c>
      <c r="H865">
        <f>IF($AG865="","",Config!$B$11)</f>
        <v/>
      </c>
      <c r="I865">
        <f>IF($AG865="","",Config!$B$16)</f>
        <v/>
      </c>
      <c r="J865">
        <f>IF($AG865="","",INDEX('TMP Paste'!$A$2:$A$1601,$AG865))</f>
        <v/>
      </c>
      <c r="K865">
        <f>IF($AG865="","",INDEX('TMP Paste'!$L$2:$L$1601,$AG865))</f>
        <v/>
      </c>
      <c r="L865">
        <f>IF($AG865="","",INDEX('TMP Paste'!$I$2:$I$1601,$AG865))</f>
        <v/>
      </c>
      <c r="M865">
        <f>IF($AG865="","",Config!$B$16)</f>
        <v/>
      </c>
      <c r="N865">
        <f>IF($AG865="","","")</f>
        <v/>
      </c>
      <c r="O865">
        <f>IF($AG865="","",INDEX('TMP Paste'!$K$2:$K$1601,$AG865))</f>
        <v/>
      </c>
      <c r="P865">
        <f>IF($AG865="","","")</f>
        <v/>
      </c>
      <c r="Q865">
        <f>IF($AG865="","",INDEX('TMP Paste'!$J$2:$J$1601,$AG865))</f>
        <v/>
      </c>
      <c r="R865">
        <f>IF($AG865="","",Config!$B$24)</f>
        <v/>
      </c>
      <c r="S865">
        <f>IF($AG865="","",TEXT(Config!$B$4,"yyyy-mm-dd"))</f>
        <v/>
      </c>
      <c r="T865">
        <f>IF($AG865="","",Config!$B$17)</f>
        <v/>
      </c>
      <c r="U865">
        <f>IF($AG865="","",Config!$B$18)</f>
        <v/>
      </c>
      <c r="V865">
        <f>IF($AG865="","",Config!$B$19)</f>
        <v/>
      </c>
      <c r="W865">
        <f>IF($AG865="","",INDEX('TMP Paste'!$C$2:$C$1601,$AG865))</f>
        <v/>
      </c>
      <c r="X865">
        <f>IF($AG865="","",Config!$B$29)</f>
        <v/>
      </c>
      <c r="Y865">
        <f>IF($AH865="","",INDEX(Calc!$I$2:$I$1601,$AH865)&amp;" - "&amp;INDEX(Calc!$D$2:$D$1601,$AH865)&amp;" koli")</f>
        <v/>
      </c>
      <c r="Z865">
        <f>IF($AG865="","",Config!$B$21)</f>
        <v/>
      </c>
      <c r="AA865">
        <f>IF($AG865="","",Config!$B$22)</f>
        <v/>
      </c>
      <c r="AB865">
        <f>IF($AH865="","",INDEX(Calc!$D$2:$D$1601,$AH865))</f>
        <v/>
      </c>
      <c r="AC865">
        <f>IF($AH865="","",INDEX(Calc!$G$2:$G$1601,$AH865))</f>
        <v/>
      </c>
      <c r="AD865">
        <f>IF($AG865="","",Config!$B$23)</f>
        <v/>
      </c>
      <c r="AE865">
        <f>IF($AG865="","",Config!$B$28)</f>
        <v/>
      </c>
      <c r="AG865">
        <f>IFERROR(MATCH(ROW()-1,Calc!$J$2:$J$1601,0),"")</f>
        <v/>
      </c>
      <c r="AH865">
        <f>IFERROR(MATCH(ROW()-1,Calc!$K$2:$K$1601,0),"")</f>
        <v/>
      </c>
      <c r="AI865">
        <f>IF($AG865="","",SUMIF($AG$2:$AG865,$AG865,$AH$2:$AH865))</f>
        <v/>
      </c>
      <c r="AJ865">
        <f>IF('TMP Paste'!$F865="","",IF('TMP Paste'!$B865="",$AJ864,'TMP Paste'!$B865))</f>
        <v/>
      </c>
      <c r="AK865">
        <f>IF('TMP Paste'!$F865="","",N('TMP Paste'!$G865))</f>
        <v/>
      </c>
      <c r="AL865">
        <f>IF('TMP Paste'!$F865="","",IF('TMP Paste'!$M865="",$AL864,'TMP Paste'!$M865))</f>
        <v/>
      </c>
      <c r="AM865">
        <f>IF('TMP Paste'!$F865="","",IF('TMP Paste'!$N865="",$AM864,'TMP Paste'!$N865))</f>
        <v/>
      </c>
      <c r="AN865">
        <f>IF('TMP Paste'!$F865="","",IF('TMP Paste'!$O865="",$AN864,'TMP Paste'!$O865))</f>
        <v/>
      </c>
      <c r="AO865">
        <f>IF('TMP Paste'!$F865="","",IF('TMP Paste'!$P865="",$AO864,'TMP Paste'!$P865))</f>
        <v/>
      </c>
      <c r="AP865">
        <f>IF($AG865="","",LEN($R865))</f>
        <v/>
      </c>
      <c r="AQ865">
        <f>IF($AG865="","",TRIM(IF(COUNTIFS(Calc!$B$2:$B$1601,ROW()-1,Calc!$C$2:$C$1601,"&lt;1")&gt;0,"Ada PO tanpa Koli - cek TMP. ","")&amp;IF(LEN($R865)&gt;500,"R &gt; 500 karakter.","")))</f>
        <v/>
      </c>
    </row>
    <row r="866">
      <c r="A866">
        <f>IF($AG866="","",INDEX('TMP Paste'!$B$2:$B$1601,$AG866))</f>
        <v/>
      </c>
      <c r="B866">
        <f>IF($AG866="","",Config!$B$14)</f>
        <v/>
      </c>
      <c r="C866">
        <f>IF($AG866="","",Config!$B$15)</f>
        <v/>
      </c>
      <c r="D866">
        <f>IF($AG866="","",INDEX('TMP Paste'!$B$2:$B$1601,$AG866))</f>
        <v/>
      </c>
      <c r="E866">
        <f>IF($AG866="","",Config!$B$27)</f>
        <v/>
      </c>
      <c r="F866">
        <f>IF($AG866="","",Config!$B$9)</f>
        <v/>
      </c>
      <c r="G866">
        <f>IF($AG866="","",Config!$B$10)</f>
        <v/>
      </c>
      <c r="H866">
        <f>IF($AG866="","",Config!$B$11)</f>
        <v/>
      </c>
      <c r="I866">
        <f>IF($AG866="","",Config!$B$16)</f>
        <v/>
      </c>
      <c r="J866">
        <f>IF($AG866="","",INDEX('TMP Paste'!$A$2:$A$1601,$AG866))</f>
        <v/>
      </c>
      <c r="K866">
        <f>IF($AG866="","",INDEX('TMP Paste'!$L$2:$L$1601,$AG866))</f>
        <v/>
      </c>
      <c r="L866">
        <f>IF($AG866="","",INDEX('TMP Paste'!$I$2:$I$1601,$AG866))</f>
        <v/>
      </c>
      <c r="M866">
        <f>IF($AG866="","",Config!$B$16)</f>
        <v/>
      </c>
      <c r="N866">
        <f>IF($AG866="","","")</f>
        <v/>
      </c>
      <c r="O866">
        <f>IF($AG866="","",INDEX('TMP Paste'!$K$2:$K$1601,$AG866))</f>
        <v/>
      </c>
      <c r="P866">
        <f>IF($AG866="","","")</f>
        <v/>
      </c>
      <c r="Q866">
        <f>IF($AG866="","",INDEX('TMP Paste'!$J$2:$J$1601,$AG866))</f>
        <v/>
      </c>
      <c r="R866">
        <f>IF($AG866="","",Config!$B$24)</f>
        <v/>
      </c>
      <c r="S866">
        <f>IF($AG866="","",TEXT(Config!$B$4,"yyyy-mm-dd"))</f>
        <v/>
      </c>
      <c r="T866">
        <f>IF($AG866="","",Config!$B$17)</f>
        <v/>
      </c>
      <c r="U866">
        <f>IF($AG866="","",Config!$B$18)</f>
        <v/>
      </c>
      <c r="V866">
        <f>IF($AG866="","",Config!$B$19)</f>
        <v/>
      </c>
      <c r="W866">
        <f>IF($AG866="","",INDEX('TMP Paste'!$C$2:$C$1601,$AG866))</f>
        <v/>
      </c>
      <c r="X866">
        <f>IF($AG866="","",Config!$B$29)</f>
        <v/>
      </c>
      <c r="Y866">
        <f>IF($AH866="","",INDEX(Calc!$I$2:$I$1601,$AH866)&amp;" - "&amp;INDEX(Calc!$D$2:$D$1601,$AH866)&amp;" koli")</f>
        <v/>
      </c>
      <c r="Z866">
        <f>IF($AG866="","",Config!$B$21)</f>
        <v/>
      </c>
      <c r="AA866">
        <f>IF($AG866="","",Config!$B$22)</f>
        <v/>
      </c>
      <c r="AB866">
        <f>IF($AH866="","",INDEX(Calc!$D$2:$D$1601,$AH866))</f>
        <v/>
      </c>
      <c r="AC866">
        <f>IF($AH866="","",INDEX(Calc!$G$2:$G$1601,$AH866))</f>
        <v/>
      </c>
      <c r="AD866">
        <f>IF($AG866="","",Config!$B$23)</f>
        <v/>
      </c>
      <c r="AE866">
        <f>IF($AG866="","",Config!$B$28)</f>
        <v/>
      </c>
      <c r="AG866">
        <f>IFERROR(MATCH(ROW()-1,Calc!$J$2:$J$1601,0),"")</f>
        <v/>
      </c>
      <c r="AH866">
        <f>IFERROR(MATCH(ROW()-1,Calc!$K$2:$K$1601,0),"")</f>
        <v/>
      </c>
      <c r="AI866">
        <f>IF($AG866="","",SUMIF($AG$2:$AG866,$AG866,$AH$2:$AH866))</f>
        <v/>
      </c>
      <c r="AJ866">
        <f>IF('TMP Paste'!$F866="","",IF('TMP Paste'!$B866="",$AJ865,'TMP Paste'!$B866))</f>
        <v/>
      </c>
      <c r="AK866">
        <f>IF('TMP Paste'!$F866="","",N('TMP Paste'!$G866))</f>
        <v/>
      </c>
      <c r="AL866">
        <f>IF('TMP Paste'!$F866="","",IF('TMP Paste'!$M866="",$AL865,'TMP Paste'!$M866))</f>
        <v/>
      </c>
      <c r="AM866">
        <f>IF('TMP Paste'!$F866="","",IF('TMP Paste'!$N866="",$AM865,'TMP Paste'!$N866))</f>
        <v/>
      </c>
      <c r="AN866">
        <f>IF('TMP Paste'!$F866="","",IF('TMP Paste'!$O866="",$AN865,'TMP Paste'!$O866))</f>
        <v/>
      </c>
      <c r="AO866">
        <f>IF('TMP Paste'!$F866="","",IF('TMP Paste'!$P866="",$AO865,'TMP Paste'!$P866))</f>
        <v/>
      </c>
      <c r="AP866">
        <f>IF($AG866="","",LEN($R866))</f>
        <v/>
      </c>
      <c r="AQ866">
        <f>IF($AG866="","",TRIM(IF(COUNTIFS(Calc!$B$2:$B$1601,ROW()-1,Calc!$C$2:$C$1601,"&lt;1")&gt;0,"Ada PO tanpa Koli - cek TMP. ","")&amp;IF(LEN($R866)&gt;500,"R &gt; 500 karakter.","")))</f>
        <v/>
      </c>
    </row>
    <row r="867">
      <c r="A867">
        <f>IF($AG867="","",INDEX('TMP Paste'!$B$2:$B$1601,$AG867))</f>
        <v/>
      </c>
      <c r="B867">
        <f>IF($AG867="","",Config!$B$14)</f>
        <v/>
      </c>
      <c r="C867">
        <f>IF($AG867="","",Config!$B$15)</f>
        <v/>
      </c>
      <c r="D867">
        <f>IF($AG867="","",INDEX('TMP Paste'!$B$2:$B$1601,$AG867))</f>
        <v/>
      </c>
      <c r="E867">
        <f>IF($AG867="","",Config!$B$27)</f>
        <v/>
      </c>
      <c r="F867">
        <f>IF($AG867="","",Config!$B$9)</f>
        <v/>
      </c>
      <c r="G867">
        <f>IF($AG867="","",Config!$B$10)</f>
        <v/>
      </c>
      <c r="H867">
        <f>IF($AG867="","",Config!$B$11)</f>
        <v/>
      </c>
      <c r="I867">
        <f>IF($AG867="","",Config!$B$16)</f>
        <v/>
      </c>
      <c r="J867">
        <f>IF($AG867="","",INDEX('TMP Paste'!$A$2:$A$1601,$AG867))</f>
        <v/>
      </c>
      <c r="K867">
        <f>IF($AG867="","",INDEX('TMP Paste'!$L$2:$L$1601,$AG867))</f>
        <v/>
      </c>
      <c r="L867">
        <f>IF($AG867="","",INDEX('TMP Paste'!$I$2:$I$1601,$AG867))</f>
        <v/>
      </c>
      <c r="M867">
        <f>IF($AG867="","",Config!$B$16)</f>
        <v/>
      </c>
      <c r="N867">
        <f>IF($AG867="","","")</f>
        <v/>
      </c>
      <c r="O867">
        <f>IF($AG867="","",INDEX('TMP Paste'!$K$2:$K$1601,$AG867))</f>
        <v/>
      </c>
      <c r="P867">
        <f>IF($AG867="","","")</f>
        <v/>
      </c>
      <c r="Q867">
        <f>IF($AG867="","",INDEX('TMP Paste'!$J$2:$J$1601,$AG867))</f>
        <v/>
      </c>
      <c r="R867">
        <f>IF($AG867="","",Config!$B$24)</f>
        <v/>
      </c>
      <c r="S867">
        <f>IF($AG867="","",TEXT(Config!$B$4,"yyyy-mm-dd"))</f>
        <v/>
      </c>
      <c r="T867">
        <f>IF($AG867="","",Config!$B$17)</f>
        <v/>
      </c>
      <c r="U867">
        <f>IF($AG867="","",Config!$B$18)</f>
        <v/>
      </c>
      <c r="V867">
        <f>IF($AG867="","",Config!$B$19)</f>
        <v/>
      </c>
      <c r="W867">
        <f>IF($AG867="","",INDEX('TMP Paste'!$C$2:$C$1601,$AG867))</f>
        <v/>
      </c>
      <c r="X867">
        <f>IF($AG867="","",Config!$B$29)</f>
        <v/>
      </c>
      <c r="Y867">
        <f>IF($AH867="","",INDEX(Calc!$I$2:$I$1601,$AH867)&amp;" - "&amp;INDEX(Calc!$D$2:$D$1601,$AH867)&amp;" koli")</f>
        <v/>
      </c>
      <c r="Z867">
        <f>IF($AG867="","",Config!$B$21)</f>
        <v/>
      </c>
      <c r="AA867">
        <f>IF($AG867="","",Config!$B$22)</f>
        <v/>
      </c>
      <c r="AB867">
        <f>IF($AH867="","",INDEX(Calc!$D$2:$D$1601,$AH867))</f>
        <v/>
      </c>
      <c r="AC867">
        <f>IF($AH867="","",INDEX(Calc!$G$2:$G$1601,$AH867))</f>
        <v/>
      </c>
      <c r="AD867">
        <f>IF($AG867="","",Config!$B$23)</f>
        <v/>
      </c>
      <c r="AE867">
        <f>IF($AG867="","",Config!$B$28)</f>
        <v/>
      </c>
      <c r="AG867">
        <f>IFERROR(MATCH(ROW()-1,Calc!$J$2:$J$1601,0),"")</f>
        <v/>
      </c>
      <c r="AH867">
        <f>IFERROR(MATCH(ROW()-1,Calc!$K$2:$K$1601,0),"")</f>
        <v/>
      </c>
      <c r="AI867">
        <f>IF($AG867="","",SUMIF($AG$2:$AG867,$AG867,$AH$2:$AH867))</f>
        <v/>
      </c>
      <c r="AJ867">
        <f>IF('TMP Paste'!$F867="","",IF('TMP Paste'!$B867="",$AJ866,'TMP Paste'!$B867))</f>
        <v/>
      </c>
      <c r="AK867">
        <f>IF('TMP Paste'!$F867="","",N('TMP Paste'!$G867))</f>
        <v/>
      </c>
      <c r="AL867">
        <f>IF('TMP Paste'!$F867="","",IF('TMP Paste'!$M867="",$AL866,'TMP Paste'!$M867))</f>
        <v/>
      </c>
      <c r="AM867">
        <f>IF('TMP Paste'!$F867="","",IF('TMP Paste'!$N867="",$AM866,'TMP Paste'!$N867))</f>
        <v/>
      </c>
      <c r="AN867">
        <f>IF('TMP Paste'!$F867="","",IF('TMP Paste'!$O867="",$AN866,'TMP Paste'!$O867))</f>
        <v/>
      </c>
      <c r="AO867">
        <f>IF('TMP Paste'!$F867="","",IF('TMP Paste'!$P867="",$AO866,'TMP Paste'!$P867))</f>
        <v/>
      </c>
      <c r="AP867">
        <f>IF($AG867="","",LEN($R867))</f>
        <v/>
      </c>
      <c r="AQ867">
        <f>IF($AG867="","",TRIM(IF(COUNTIFS(Calc!$B$2:$B$1601,ROW()-1,Calc!$C$2:$C$1601,"&lt;1")&gt;0,"Ada PO tanpa Koli - cek TMP. ","")&amp;IF(LEN($R867)&gt;500,"R &gt; 500 karakter.","")))</f>
        <v/>
      </c>
    </row>
    <row r="868">
      <c r="A868">
        <f>IF($AG868="","",INDEX('TMP Paste'!$B$2:$B$1601,$AG868))</f>
        <v/>
      </c>
      <c r="B868">
        <f>IF($AG868="","",Config!$B$14)</f>
        <v/>
      </c>
      <c r="C868">
        <f>IF($AG868="","",Config!$B$15)</f>
        <v/>
      </c>
      <c r="D868">
        <f>IF($AG868="","",INDEX('TMP Paste'!$B$2:$B$1601,$AG868))</f>
        <v/>
      </c>
      <c r="E868">
        <f>IF($AG868="","",Config!$B$27)</f>
        <v/>
      </c>
      <c r="F868">
        <f>IF($AG868="","",Config!$B$9)</f>
        <v/>
      </c>
      <c r="G868">
        <f>IF($AG868="","",Config!$B$10)</f>
        <v/>
      </c>
      <c r="H868">
        <f>IF($AG868="","",Config!$B$11)</f>
        <v/>
      </c>
      <c r="I868">
        <f>IF($AG868="","",Config!$B$16)</f>
        <v/>
      </c>
      <c r="J868">
        <f>IF($AG868="","",INDEX('TMP Paste'!$A$2:$A$1601,$AG868))</f>
        <v/>
      </c>
      <c r="K868">
        <f>IF($AG868="","",INDEX('TMP Paste'!$L$2:$L$1601,$AG868))</f>
        <v/>
      </c>
      <c r="L868">
        <f>IF($AG868="","",INDEX('TMP Paste'!$I$2:$I$1601,$AG868))</f>
        <v/>
      </c>
      <c r="M868">
        <f>IF($AG868="","",Config!$B$16)</f>
        <v/>
      </c>
      <c r="N868">
        <f>IF($AG868="","","")</f>
        <v/>
      </c>
      <c r="O868">
        <f>IF($AG868="","",INDEX('TMP Paste'!$K$2:$K$1601,$AG868))</f>
        <v/>
      </c>
      <c r="P868">
        <f>IF($AG868="","","")</f>
        <v/>
      </c>
      <c r="Q868">
        <f>IF($AG868="","",INDEX('TMP Paste'!$J$2:$J$1601,$AG868))</f>
        <v/>
      </c>
      <c r="R868">
        <f>IF($AG868="","",Config!$B$24)</f>
        <v/>
      </c>
      <c r="S868">
        <f>IF($AG868="","",TEXT(Config!$B$4,"yyyy-mm-dd"))</f>
        <v/>
      </c>
      <c r="T868">
        <f>IF($AG868="","",Config!$B$17)</f>
        <v/>
      </c>
      <c r="U868">
        <f>IF($AG868="","",Config!$B$18)</f>
        <v/>
      </c>
      <c r="V868">
        <f>IF($AG868="","",Config!$B$19)</f>
        <v/>
      </c>
      <c r="W868">
        <f>IF($AG868="","",INDEX('TMP Paste'!$C$2:$C$1601,$AG868))</f>
        <v/>
      </c>
      <c r="X868">
        <f>IF($AG868="","",Config!$B$29)</f>
        <v/>
      </c>
      <c r="Y868">
        <f>IF($AH868="","",INDEX(Calc!$I$2:$I$1601,$AH868)&amp;" - "&amp;INDEX(Calc!$D$2:$D$1601,$AH868)&amp;" koli")</f>
        <v/>
      </c>
      <c r="Z868">
        <f>IF($AG868="","",Config!$B$21)</f>
        <v/>
      </c>
      <c r="AA868">
        <f>IF($AG868="","",Config!$B$22)</f>
        <v/>
      </c>
      <c r="AB868">
        <f>IF($AH868="","",INDEX(Calc!$D$2:$D$1601,$AH868))</f>
        <v/>
      </c>
      <c r="AC868">
        <f>IF($AH868="","",INDEX(Calc!$G$2:$G$1601,$AH868))</f>
        <v/>
      </c>
      <c r="AD868">
        <f>IF($AG868="","",Config!$B$23)</f>
        <v/>
      </c>
      <c r="AE868">
        <f>IF($AG868="","",Config!$B$28)</f>
        <v/>
      </c>
      <c r="AG868">
        <f>IFERROR(MATCH(ROW()-1,Calc!$J$2:$J$1601,0),"")</f>
        <v/>
      </c>
      <c r="AH868">
        <f>IFERROR(MATCH(ROW()-1,Calc!$K$2:$K$1601,0),"")</f>
        <v/>
      </c>
      <c r="AI868">
        <f>IF($AG868="","",SUMIF($AG$2:$AG868,$AG868,$AH$2:$AH868))</f>
        <v/>
      </c>
      <c r="AJ868">
        <f>IF('TMP Paste'!$F868="","",IF('TMP Paste'!$B868="",$AJ867,'TMP Paste'!$B868))</f>
        <v/>
      </c>
      <c r="AK868">
        <f>IF('TMP Paste'!$F868="","",N('TMP Paste'!$G868))</f>
        <v/>
      </c>
      <c r="AL868">
        <f>IF('TMP Paste'!$F868="","",IF('TMP Paste'!$M868="",$AL867,'TMP Paste'!$M868))</f>
        <v/>
      </c>
      <c r="AM868">
        <f>IF('TMP Paste'!$F868="","",IF('TMP Paste'!$N868="",$AM867,'TMP Paste'!$N868))</f>
        <v/>
      </c>
      <c r="AN868">
        <f>IF('TMP Paste'!$F868="","",IF('TMP Paste'!$O868="",$AN867,'TMP Paste'!$O868))</f>
        <v/>
      </c>
      <c r="AO868">
        <f>IF('TMP Paste'!$F868="","",IF('TMP Paste'!$P868="",$AO867,'TMP Paste'!$P868))</f>
        <v/>
      </c>
      <c r="AP868">
        <f>IF($AG868="","",LEN($R868))</f>
        <v/>
      </c>
      <c r="AQ868">
        <f>IF($AG868="","",TRIM(IF(COUNTIFS(Calc!$B$2:$B$1601,ROW()-1,Calc!$C$2:$C$1601,"&lt;1")&gt;0,"Ada PO tanpa Koli - cek TMP. ","")&amp;IF(LEN($R868)&gt;500,"R &gt; 500 karakter.","")))</f>
        <v/>
      </c>
    </row>
    <row r="869">
      <c r="A869">
        <f>IF($AG869="","",INDEX('TMP Paste'!$B$2:$B$1601,$AG869))</f>
        <v/>
      </c>
      <c r="B869">
        <f>IF($AG869="","",Config!$B$14)</f>
        <v/>
      </c>
      <c r="C869">
        <f>IF($AG869="","",Config!$B$15)</f>
        <v/>
      </c>
      <c r="D869">
        <f>IF($AG869="","",INDEX('TMP Paste'!$B$2:$B$1601,$AG869))</f>
        <v/>
      </c>
      <c r="E869">
        <f>IF($AG869="","",Config!$B$27)</f>
        <v/>
      </c>
      <c r="F869">
        <f>IF($AG869="","",Config!$B$9)</f>
        <v/>
      </c>
      <c r="G869">
        <f>IF($AG869="","",Config!$B$10)</f>
        <v/>
      </c>
      <c r="H869">
        <f>IF($AG869="","",Config!$B$11)</f>
        <v/>
      </c>
      <c r="I869">
        <f>IF($AG869="","",Config!$B$16)</f>
        <v/>
      </c>
      <c r="J869">
        <f>IF($AG869="","",INDEX('TMP Paste'!$A$2:$A$1601,$AG869))</f>
        <v/>
      </c>
      <c r="K869">
        <f>IF($AG869="","",INDEX('TMP Paste'!$L$2:$L$1601,$AG869))</f>
        <v/>
      </c>
      <c r="L869">
        <f>IF($AG869="","",INDEX('TMP Paste'!$I$2:$I$1601,$AG869))</f>
        <v/>
      </c>
      <c r="M869">
        <f>IF($AG869="","",Config!$B$16)</f>
        <v/>
      </c>
      <c r="N869">
        <f>IF($AG869="","","")</f>
        <v/>
      </c>
      <c r="O869">
        <f>IF($AG869="","",INDEX('TMP Paste'!$K$2:$K$1601,$AG869))</f>
        <v/>
      </c>
      <c r="P869">
        <f>IF($AG869="","","")</f>
        <v/>
      </c>
      <c r="Q869">
        <f>IF($AG869="","",INDEX('TMP Paste'!$J$2:$J$1601,$AG869))</f>
        <v/>
      </c>
      <c r="R869">
        <f>IF($AG869="","",Config!$B$24)</f>
        <v/>
      </c>
      <c r="S869">
        <f>IF($AG869="","",TEXT(Config!$B$4,"yyyy-mm-dd"))</f>
        <v/>
      </c>
      <c r="T869">
        <f>IF($AG869="","",Config!$B$17)</f>
        <v/>
      </c>
      <c r="U869">
        <f>IF($AG869="","",Config!$B$18)</f>
        <v/>
      </c>
      <c r="V869">
        <f>IF($AG869="","",Config!$B$19)</f>
        <v/>
      </c>
      <c r="W869">
        <f>IF($AG869="","",INDEX('TMP Paste'!$C$2:$C$1601,$AG869))</f>
        <v/>
      </c>
      <c r="X869">
        <f>IF($AG869="","",Config!$B$29)</f>
        <v/>
      </c>
      <c r="Y869">
        <f>IF($AH869="","",INDEX(Calc!$I$2:$I$1601,$AH869)&amp;" - "&amp;INDEX(Calc!$D$2:$D$1601,$AH869)&amp;" koli")</f>
        <v/>
      </c>
      <c r="Z869">
        <f>IF($AG869="","",Config!$B$21)</f>
        <v/>
      </c>
      <c r="AA869">
        <f>IF($AG869="","",Config!$B$22)</f>
        <v/>
      </c>
      <c r="AB869">
        <f>IF($AH869="","",INDEX(Calc!$D$2:$D$1601,$AH869))</f>
        <v/>
      </c>
      <c r="AC869">
        <f>IF($AH869="","",INDEX(Calc!$G$2:$G$1601,$AH869))</f>
        <v/>
      </c>
      <c r="AD869">
        <f>IF($AG869="","",Config!$B$23)</f>
        <v/>
      </c>
      <c r="AE869">
        <f>IF($AG869="","",Config!$B$28)</f>
        <v/>
      </c>
      <c r="AG869">
        <f>IFERROR(MATCH(ROW()-1,Calc!$J$2:$J$1601,0),"")</f>
        <v/>
      </c>
      <c r="AH869">
        <f>IFERROR(MATCH(ROW()-1,Calc!$K$2:$K$1601,0),"")</f>
        <v/>
      </c>
      <c r="AI869">
        <f>IF($AG869="","",SUMIF($AG$2:$AG869,$AG869,$AH$2:$AH869))</f>
        <v/>
      </c>
      <c r="AJ869">
        <f>IF('TMP Paste'!$F869="","",IF('TMP Paste'!$B869="",$AJ868,'TMP Paste'!$B869))</f>
        <v/>
      </c>
      <c r="AK869">
        <f>IF('TMP Paste'!$F869="","",N('TMP Paste'!$G869))</f>
        <v/>
      </c>
      <c r="AL869">
        <f>IF('TMP Paste'!$F869="","",IF('TMP Paste'!$M869="",$AL868,'TMP Paste'!$M869))</f>
        <v/>
      </c>
      <c r="AM869">
        <f>IF('TMP Paste'!$F869="","",IF('TMP Paste'!$N869="",$AM868,'TMP Paste'!$N869))</f>
        <v/>
      </c>
      <c r="AN869">
        <f>IF('TMP Paste'!$F869="","",IF('TMP Paste'!$O869="",$AN868,'TMP Paste'!$O869))</f>
        <v/>
      </c>
      <c r="AO869">
        <f>IF('TMP Paste'!$F869="","",IF('TMP Paste'!$P869="",$AO868,'TMP Paste'!$P869))</f>
        <v/>
      </c>
      <c r="AP869">
        <f>IF($AG869="","",LEN($R869))</f>
        <v/>
      </c>
      <c r="AQ869">
        <f>IF($AG869="","",TRIM(IF(COUNTIFS(Calc!$B$2:$B$1601,ROW()-1,Calc!$C$2:$C$1601,"&lt;1")&gt;0,"Ada PO tanpa Koli - cek TMP. ","")&amp;IF(LEN($R869)&gt;500,"R &gt; 500 karakter.","")))</f>
        <v/>
      </c>
    </row>
    <row r="870">
      <c r="A870">
        <f>IF($AG870="","",INDEX('TMP Paste'!$B$2:$B$1601,$AG870))</f>
        <v/>
      </c>
      <c r="B870">
        <f>IF($AG870="","",Config!$B$14)</f>
        <v/>
      </c>
      <c r="C870">
        <f>IF($AG870="","",Config!$B$15)</f>
        <v/>
      </c>
      <c r="D870">
        <f>IF($AG870="","",INDEX('TMP Paste'!$B$2:$B$1601,$AG870))</f>
        <v/>
      </c>
      <c r="E870">
        <f>IF($AG870="","",Config!$B$27)</f>
        <v/>
      </c>
      <c r="F870">
        <f>IF($AG870="","",Config!$B$9)</f>
        <v/>
      </c>
      <c r="G870">
        <f>IF($AG870="","",Config!$B$10)</f>
        <v/>
      </c>
      <c r="H870">
        <f>IF($AG870="","",Config!$B$11)</f>
        <v/>
      </c>
      <c r="I870">
        <f>IF($AG870="","",Config!$B$16)</f>
        <v/>
      </c>
      <c r="J870">
        <f>IF($AG870="","",INDEX('TMP Paste'!$A$2:$A$1601,$AG870))</f>
        <v/>
      </c>
      <c r="K870">
        <f>IF($AG870="","",INDEX('TMP Paste'!$L$2:$L$1601,$AG870))</f>
        <v/>
      </c>
      <c r="L870">
        <f>IF($AG870="","",INDEX('TMP Paste'!$I$2:$I$1601,$AG870))</f>
        <v/>
      </c>
      <c r="M870">
        <f>IF($AG870="","",Config!$B$16)</f>
        <v/>
      </c>
      <c r="N870">
        <f>IF($AG870="","","")</f>
        <v/>
      </c>
      <c r="O870">
        <f>IF($AG870="","",INDEX('TMP Paste'!$K$2:$K$1601,$AG870))</f>
        <v/>
      </c>
      <c r="P870">
        <f>IF($AG870="","","")</f>
        <v/>
      </c>
      <c r="Q870">
        <f>IF($AG870="","",INDEX('TMP Paste'!$J$2:$J$1601,$AG870))</f>
        <v/>
      </c>
      <c r="R870">
        <f>IF($AG870="","",Config!$B$24)</f>
        <v/>
      </c>
      <c r="S870">
        <f>IF($AG870="","",TEXT(Config!$B$4,"yyyy-mm-dd"))</f>
        <v/>
      </c>
      <c r="T870">
        <f>IF($AG870="","",Config!$B$17)</f>
        <v/>
      </c>
      <c r="U870">
        <f>IF($AG870="","",Config!$B$18)</f>
        <v/>
      </c>
      <c r="V870">
        <f>IF($AG870="","",Config!$B$19)</f>
        <v/>
      </c>
      <c r="W870">
        <f>IF($AG870="","",INDEX('TMP Paste'!$C$2:$C$1601,$AG870))</f>
        <v/>
      </c>
      <c r="X870">
        <f>IF($AG870="","",Config!$B$29)</f>
        <v/>
      </c>
      <c r="Y870">
        <f>IF($AH870="","",INDEX(Calc!$I$2:$I$1601,$AH870)&amp;" - "&amp;INDEX(Calc!$D$2:$D$1601,$AH870)&amp;" koli")</f>
        <v/>
      </c>
      <c r="Z870">
        <f>IF($AG870="","",Config!$B$21)</f>
        <v/>
      </c>
      <c r="AA870">
        <f>IF($AG870="","",Config!$B$22)</f>
        <v/>
      </c>
      <c r="AB870">
        <f>IF($AH870="","",INDEX(Calc!$D$2:$D$1601,$AH870))</f>
        <v/>
      </c>
      <c r="AC870">
        <f>IF($AH870="","",INDEX(Calc!$G$2:$G$1601,$AH870))</f>
        <v/>
      </c>
      <c r="AD870">
        <f>IF($AG870="","",Config!$B$23)</f>
        <v/>
      </c>
      <c r="AE870">
        <f>IF($AG870="","",Config!$B$28)</f>
        <v/>
      </c>
      <c r="AG870">
        <f>IFERROR(MATCH(ROW()-1,Calc!$J$2:$J$1601,0),"")</f>
        <v/>
      </c>
      <c r="AH870">
        <f>IFERROR(MATCH(ROW()-1,Calc!$K$2:$K$1601,0),"")</f>
        <v/>
      </c>
      <c r="AI870">
        <f>IF($AG870="","",SUMIF($AG$2:$AG870,$AG870,$AH$2:$AH870))</f>
        <v/>
      </c>
      <c r="AJ870">
        <f>IF('TMP Paste'!$F870="","",IF('TMP Paste'!$B870="",$AJ869,'TMP Paste'!$B870))</f>
        <v/>
      </c>
      <c r="AK870">
        <f>IF('TMP Paste'!$F870="","",N('TMP Paste'!$G870))</f>
        <v/>
      </c>
      <c r="AL870">
        <f>IF('TMP Paste'!$F870="","",IF('TMP Paste'!$M870="",$AL869,'TMP Paste'!$M870))</f>
        <v/>
      </c>
      <c r="AM870">
        <f>IF('TMP Paste'!$F870="","",IF('TMP Paste'!$N870="",$AM869,'TMP Paste'!$N870))</f>
        <v/>
      </c>
      <c r="AN870">
        <f>IF('TMP Paste'!$F870="","",IF('TMP Paste'!$O870="",$AN869,'TMP Paste'!$O870))</f>
        <v/>
      </c>
      <c r="AO870">
        <f>IF('TMP Paste'!$F870="","",IF('TMP Paste'!$P870="",$AO869,'TMP Paste'!$P870))</f>
        <v/>
      </c>
      <c r="AP870">
        <f>IF($AG870="","",LEN($R870))</f>
        <v/>
      </c>
      <c r="AQ870">
        <f>IF($AG870="","",TRIM(IF(COUNTIFS(Calc!$B$2:$B$1601,ROW()-1,Calc!$C$2:$C$1601,"&lt;1")&gt;0,"Ada PO tanpa Koli - cek TMP. ","")&amp;IF(LEN($R870)&gt;500,"R &gt; 500 karakter.","")))</f>
        <v/>
      </c>
    </row>
    <row r="871">
      <c r="A871">
        <f>IF($AG871="","",INDEX('TMP Paste'!$B$2:$B$1601,$AG871))</f>
        <v/>
      </c>
      <c r="B871">
        <f>IF($AG871="","",Config!$B$14)</f>
        <v/>
      </c>
      <c r="C871">
        <f>IF($AG871="","",Config!$B$15)</f>
        <v/>
      </c>
      <c r="D871">
        <f>IF($AG871="","",INDEX('TMP Paste'!$B$2:$B$1601,$AG871))</f>
        <v/>
      </c>
      <c r="E871">
        <f>IF($AG871="","",Config!$B$27)</f>
        <v/>
      </c>
      <c r="F871">
        <f>IF($AG871="","",Config!$B$9)</f>
        <v/>
      </c>
      <c r="G871">
        <f>IF($AG871="","",Config!$B$10)</f>
        <v/>
      </c>
      <c r="H871">
        <f>IF($AG871="","",Config!$B$11)</f>
        <v/>
      </c>
      <c r="I871">
        <f>IF($AG871="","",Config!$B$16)</f>
        <v/>
      </c>
      <c r="J871">
        <f>IF($AG871="","",INDEX('TMP Paste'!$A$2:$A$1601,$AG871))</f>
        <v/>
      </c>
      <c r="K871">
        <f>IF($AG871="","",INDEX('TMP Paste'!$L$2:$L$1601,$AG871))</f>
        <v/>
      </c>
      <c r="L871">
        <f>IF($AG871="","",INDEX('TMP Paste'!$I$2:$I$1601,$AG871))</f>
        <v/>
      </c>
      <c r="M871">
        <f>IF($AG871="","",Config!$B$16)</f>
        <v/>
      </c>
      <c r="N871">
        <f>IF($AG871="","","")</f>
        <v/>
      </c>
      <c r="O871">
        <f>IF($AG871="","",INDEX('TMP Paste'!$K$2:$K$1601,$AG871))</f>
        <v/>
      </c>
      <c r="P871">
        <f>IF($AG871="","","")</f>
        <v/>
      </c>
      <c r="Q871">
        <f>IF($AG871="","",INDEX('TMP Paste'!$J$2:$J$1601,$AG871))</f>
        <v/>
      </c>
      <c r="R871">
        <f>IF($AG871="","",Config!$B$24)</f>
        <v/>
      </c>
      <c r="S871">
        <f>IF($AG871="","",TEXT(Config!$B$4,"yyyy-mm-dd"))</f>
        <v/>
      </c>
      <c r="T871">
        <f>IF($AG871="","",Config!$B$17)</f>
        <v/>
      </c>
      <c r="U871">
        <f>IF($AG871="","",Config!$B$18)</f>
        <v/>
      </c>
      <c r="V871">
        <f>IF($AG871="","",Config!$B$19)</f>
        <v/>
      </c>
      <c r="W871">
        <f>IF($AG871="","",INDEX('TMP Paste'!$C$2:$C$1601,$AG871))</f>
        <v/>
      </c>
      <c r="X871">
        <f>IF($AG871="","",Config!$B$29)</f>
        <v/>
      </c>
      <c r="Y871">
        <f>IF($AH871="","",INDEX(Calc!$I$2:$I$1601,$AH871)&amp;" - "&amp;INDEX(Calc!$D$2:$D$1601,$AH871)&amp;" koli")</f>
        <v/>
      </c>
      <c r="Z871">
        <f>IF($AG871="","",Config!$B$21)</f>
        <v/>
      </c>
      <c r="AA871">
        <f>IF($AG871="","",Config!$B$22)</f>
        <v/>
      </c>
      <c r="AB871">
        <f>IF($AH871="","",INDEX(Calc!$D$2:$D$1601,$AH871))</f>
        <v/>
      </c>
      <c r="AC871">
        <f>IF($AH871="","",INDEX(Calc!$G$2:$G$1601,$AH871))</f>
        <v/>
      </c>
      <c r="AD871">
        <f>IF($AG871="","",Config!$B$23)</f>
        <v/>
      </c>
      <c r="AE871">
        <f>IF($AG871="","",Config!$B$28)</f>
        <v/>
      </c>
      <c r="AG871">
        <f>IFERROR(MATCH(ROW()-1,Calc!$J$2:$J$1601,0),"")</f>
        <v/>
      </c>
      <c r="AH871">
        <f>IFERROR(MATCH(ROW()-1,Calc!$K$2:$K$1601,0),"")</f>
        <v/>
      </c>
      <c r="AI871">
        <f>IF($AG871="","",SUMIF($AG$2:$AG871,$AG871,$AH$2:$AH871))</f>
        <v/>
      </c>
      <c r="AJ871">
        <f>IF('TMP Paste'!$F871="","",IF('TMP Paste'!$B871="",$AJ870,'TMP Paste'!$B871))</f>
        <v/>
      </c>
      <c r="AK871">
        <f>IF('TMP Paste'!$F871="","",N('TMP Paste'!$G871))</f>
        <v/>
      </c>
      <c r="AL871">
        <f>IF('TMP Paste'!$F871="","",IF('TMP Paste'!$M871="",$AL870,'TMP Paste'!$M871))</f>
        <v/>
      </c>
      <c r="AM871">
        <f>IF('TMP Paste'!$F871="","",IF('TMP Paste'!$N871="",$AM870,'TMP Paste'!$N871))</f>
        <v/>
      </c>
      <c r="AN871">
        <f>IF('TMP Paste'!$F871="","",IF('TMP Paste'!$O871="",$AN870,'TMP Paste'!$O871))</f>
        <v/>
      </c>
      <c r="AO871">
        <f>IF('TMP Paste'!$F871="","",IF('TMP Paste'!$P871="",$AO870,'TMP Paste'!$P871))</f>
        <v/>
      </c>
      <c r="AP871">
        <f>IF($AG871="","",LEN($R871))</f>
        <v/>
      </c>
      <c r="AQ871">
        <f>IF($AG871="","",TRIM(IF(COUNTIFS(Calc!$B$2:$B$1601,ROW()-1,Calc!$C$2:$C$1601,"&lt;1")&gt;0,"Ada PO tanpa Koli - cek TMP. ","")&amp;IF(LEN($R871)&gt;500,"R &gt; 500 karakter.","")))</f>
        <v/>
      </c>
    </row>
    <row r="872">
      <c r="A872">
        <f>IF($AG872="","",INDEX('TMP Paste'!$B$2:$B$1601,$AG872))</f>
        <v/>
      </c>
      <c r="B872">
        <f>IF($AG872="","",Config!$B$14)</f>
        <v/>
      </c>
      <c r="C872">
        <f>IF($AG872="","",Config!$B$15)</f>
        <v/>
      </c>
      <c r="D872">
        <f>IF($AG872="","",INDEX('TMP Paste'!$B$2:$B$1601,$AG872))</f>
        <v/>
      </c>
      <c r="E872">
        <f>IF($AG872="","",Config!$B$27)</f>
        <v/>
      </c>
      <c r="F872">
        <f>IF($AG872="","",Config!$B$9)</f>
        <v/>
      </c>
      <c r="G872">
        <f>IF($AG872="","",Config!$B$10)</f>
        <v/>
      </c>
      <c r="H872">
        <f>IF($AG872="","",Config!$B$11)</f>
        <v/>
      </c>
      <c r="I872">
        <f>IF($AG872="","",Config!$B$16)</f>
        <v/>
      </c>
      <c r="J872">
        <f>IF($AG872="","",INDEX('TMP Paste'!$A$2:$A$1601,$AG872))</f>
        <v/>
      </c>
      <c r="K872">
        <f>IF($AG872="","",INDEX('TMP Paste'!$L$2:$L$1601,$AG872))</f>
        <v/>
      </c>
      <c r="L872">
        <f>IF($AG872="","",INDEX('TMP Paste'!$I$2:$I$1601,$AG872))</f>
        <v/>
      </c>
      <c r="M872">
        <f>IF($AG872="","",Config!$B$16)</f>
        <v/>
      </c>
      <c r="N872">
        <f>IF($AG872="","","")</f>
        <v/>
      </c>
      <c r="O872">
        <f>IF($AG872="","",INDEX('TMP Paste'!$K$2:$K$1601,$AG872))</f>
        <v/>
      </c>
      <c r="P872">
        <f>IF($AG872="","","")</f>
        <v/>
      </c>
      <c r="Q872">
        <f>IF($AG872="","",INDEX('TMP Paste'!$J$2:$J$1601,$AG872))</f>
        <v/>
      </c>
      <c r="R872">
        <f>IF($AG872="","",Config!$B$24)</f>
        <v/>
      </c>
      <c r="S872">
        <f>IF($AG872="","",TEXT(Config!$B$4,"yyyy-mm-dd"))</f>
        <v/>
      </c>
      <c r="T872">
        <f>IF($AG872="","",Config!$B$17)</f>
        <v/>
      </c>
      <c r="U872">
        <f>IF($AG872="","",Config!$B$18)</f>
        <v/>
      </c>
      <c r="V872">
        <f>IF($AG872="","",Config!$B$19)</f>
        <v/>
      </c>
      <c r="W872">
        <f>IF($AG872="","",INDEX('TMP Paste'!$C$2:$C$1601,$AG872))</f>
        <v/>
      </c>
      <c r="X872">
        <f>IF($AG872="","",Config!$B$29)</f>
        <v/>
      </c>
      <c r="Y872">
        <f>IF($AH872="","",INDEX(Calc!$I$2:$I$1601,$AH872)&amp;" - "&amp;INDEX(Calc!$D$2:$D$1601,$AH872)&amp;" koli")</f>
        <v/>
      </c>
      <c r="Z872">
        <f>IF($AG872="","",Config!$B$21)</f>
        <v/>
      </c>
      <c r="AA872">
        <f>IF($AG872="","",Config!$B$22)</f>
        <v/>
      </c>
      <c r="AB872">
        <f>IF($AH872="","",INDEX(Calc!$D$2:$D$1601,$AH872))</f>
        <v/>
      </c>
      <c r="AC872">
        <f>IF($AH872="","",INDEX(Calc!$G$2:$G$1601,$AH872))</f>
        <v/>
      </c>
      <c r="AD872">
        <f>IF($AG872="","",Config!$B$23)</f>
        <v/>
      </c>
      <c r="AE872">
        <f>IF($AG872="","",Config!$B$28)</f>
        <v/>
      </c>
      <c r="AG872">
        <f>IFERROR(MATCH(ROW()-1,Calc!$J$2:$J$1601,0),"")</f>
        <v/>
      </c>
      <c r="AH872">
        <f>IFERROR(MATCH(ROW()-1,Calc!$K$2:$K$1601,0),"")</f>
        <v/>
      </c>
      <c r="AI872">
        <f>IF($AG872="","",SUMIF($AG$2:$AG872,$AG872,$AH$2:$AH872))</f>
        <v/>
      </c>
      <c r="AJ872">
        <f>IF('TMP Paste'!$F872="","",IF('TMP Paste'!$B872="",$AJ871,'TMP Paste'!$B872))</f>
        <v/>
      </c>
      <c r="AK872">
        <f>IF('TMP Paste'!$F872="","",N('TMP Paste'!$G872))</f>
        <v/>
      </c>
      <c r="AL872">
        <f>IF('TMP Paste'!$F872="","",IF('TMP Paste'!$M872="",$AL871,'TMP Paste'!$M872))</f>
        <v/>
      </c>
      <c r="AM872">
        <f>IF('TMP Paste'!$F872="","",IF('TMP Paste'!$N872="",$AM871,'TMP Paste'!$N872))</f>
        <v/>
      </c>
      <c r="AN872">
        <f>IF('TMP Paste'!$F872="","",IF('TMP Paste'!$O872="",$AN871,'TMP Paste'!$O872))</f>
        <v/>
      </c>
      <c r="AO872">
        <f>IF('TMP Paste'!$F872="","",IF('TMP Paste'!$P872="",$AO871,'TMP Paste'!$P872))</f>
        <v/>
      </c>
      <c r="AP872">
        <f>IF($AG872="","",LEN($R872))</f>
        <v/>
      </c>
      <c r="AQ872">
        <f>IF($AG872="","",TRIM(IF(COUNTIFS(Calc!$B$2:$B$1601,ROW()-1,Calc!$C$2:$C$1601,"&lt;1")&gt;0,"Ada PO tanpa Koli - cek TMP. ","")&amp;IF(LEN($R872)&gt;500,"R &gt; 500 karakter.","")))</f>
        <v/>
      </c>
    </row>
    <row r="873">
      <c r="A873">
        <f>IF($AG873="","",INDEX('TMP Paste'!$B$2:$B$1601,$AG873))</f>
        <v/>
      </c>
      <c r="B873">
        <f>IF($AG873="","",Config!$B$14)</f>
        <v/>
      </c>
      <c r="C873">
        <f>IF($AG873="","",Config!$B$15)</f>
        <v/>
      </c>
      <c r="D873">
        <f>IF($AG873="","",INDEX('TMP Paste'!$B$2:$B$1601,$AG873))</f>
        <v/>
      </c>
      <c r="E873">
        <f>IF($AG873="","",Config!$B$27)</f>
        <v/>
      </c>
      <c r="F873">
        <f>IF($AG873="","",Config!$B$9)</f>
        <v/>
      </c>
      <c r="G873">
        <f>IF($AG873="","",Config!$B$10)</f>
        <v/>
      </c>
      <c r="H873">
        <f>IF($AG873="","",Config!$B$11)</f>
        <v/>
      </c>
      <c r="I873">
        <f>IF($AG873="","",Config!$B$16)</f>
        <v/>
      </c>
      <c r="J873">
        <f>IF($AG873="","",INDEX('TMP Paste'!$A$2:$A$1601,$AG873))</f>
        <v/>
      </c>
      <c r="K873">
        <f>IF($AG873="","",INDEX('TMP Paste'!$L$2:$L$1601,$AG873))</f>
        <v/>
      </c>
      <c r="L873">
        <f>IF($AG873="","",INDEX('TMP Paste'!$I$2:$I$1601,$AG873))</f>
        <v/>
      </c>
      <c r="M873">
        <f>IF($AG873="","",Config!$B$16)</f>
        <v/>
      </c>
      <c r="N873">
        <f>IF($AG873="","","")</f>
        <v/>
      </c>
      <c r="O873">
        <f>IF($AG873="","",INDEX('TMP Paste'!$K$2:$K$1601,$AG873))</f>
        <v/>
      </c>
      <c r="P873">
        <f>IF($AG873="","","")</f>
        <v/>
      </c>
      <c r="Q873">
        <f>IF($AG873="","",INDEX('TMP Paste'!$J$2:$J$1601,$AG873))</f>
        <v/>
      </c>
      <c r="R873">
        <f>IF($AG873="","",Config!$B$24)</f>
        <v/>
      </c>
      <c r="S873">
        <f>IF($AG873="","",TEXT(Config!$B$4,"yyyy-mm-dd"))</f>
        <v/>
      </c>
      <c r="T873">
        <f>IF($AG873="","",Config!$B$17)</f>
        <v/>
      </c>
      <c r="U873">
        <f>IF($AG873="","",Config!$B$18)</f>
        <v/>
      </c>
      <c r="V873">
        <f>IF($AG873="","",Config!$B$19)</f>
        <v/>
      </c>
      <c r="W873">
        <f>IF($AG873="","",INDEX('TMP Paste'!$C$2:$C$1601,$AG873))</f>
        <v/>
      </c>
      <c r="X873">
        <f>IF($AG873="","",Config!$B$29)</f>
        <v/>
      </c>
      <c r="Y873">
        <f>IF($AH873="","",INDEX(Calc!$I$2:$I$1601,$AH873)&amp;" - "&amp;INDEX(Calc!$D$2:$D$1601,$AH873)&amp;" koli")</f>
        <v/>
      </c>
      <c r="Z873">
        <f>IF($AG873="","",Config!$B$21)</f>
        <v/>
      </c>
      <c r="AA873">
        <f>IF($AG873="","",Config!$B$22)</f>
        <v/>
      </c>
      <c r="AB873">
        <f>IF($AH873="","",INDEX(Calc!$D$2:$D$1601,$AH873))</f>
        <v/>
      </c>
      <c r="AC873">
        <f>IF($AH873="","",INDEX(Calc!$G$2:$G$1601,$AH873))</f>
        <v/>
      </c>
      <c r="AD873">
        <f>IF($AG873="","",Config!$B$23)</f>
        <v/>
      </c>
      <c r="AE873">
        <f>IF($AG873="","",Config!$B$28)</f>
        <v/>
      </c>
      <c r="AG873">
        <f>IFERROR(MATCH(ROW()-1,Calc!$J$2:$J$1601,0),"")</f>
        <v/>
      </c>
      <c r="AH873">
        <f>IFERROR(MATCH(ROW()-1,Calc!$K$2:$K$1601,0),"")</f>
        <v/>
      </c>
      <c r="AI873">
        <f>IF($AG873="","",SUMIF($AG$2:$AG873,$AG873,$AH$2:$AH873))</f>
        <v/>
      </c>
      <c r="AJ873">
        <f>IF('TMP Paste'!$F873="","",IF('TMP Paste'!$B873="",$AJ872,'TMP Paste'!$B873))</f>
        <v/>
      </c>
      <c r="AK873">
        <f>IF('TMP Paste'!$F873="","",N('TMP Paste'!$G873))</f>
        <v/>
      </c>
      <c r="AL873">
        <f>IF('TMP Paste'!$F873="","",IF('TMP Paste'!$M873="",$AL872,'TMP Paste'!$M873))</f>
        <v/>
      </c>
      <c r="AM873">
        <f>IF('TMP Paste'!$F873="","",IF('TMP Paste'!$N873="",$AM872,'TMP Paste'!$N873))</f>
        <v/>
      </c>
      <c r="AN873">
        <f>IF('TMP Paste'!$F873="","",IF('TMP Paste'!$O873="",$AN872,'TMP Paste'!$O873))</f>
        <v/>
      </c>
      <c r="AO873">
        <f>IF('TMP Paste'!$F873="","",IF('TMP Paste'!$P873="",$AO872,'TMP Paste'!$P873))</f>
        <v/>
      </c>
      <c r="AP873">
        <f>IF($AG873="","",LEN($R873))</f>
        <v/>
      </c>
      <c r="AQ873">
        <f>IF($AG873="","",TRIM(IF(COUNTIFS(Calc!$B$2:$B$1601,ROW()-1,Calc!$C$2:$C$1601,"&lt;1")&gt;0,"Ada PO tanpa Koli - cek TMP. ","")&amp;IF(LEN($R873)&gt;500,"R &gt; 500 karakter.","")))</f>
        <v/>
      </c>
    </row>
    <row r="874">
      <c r="A874">
        <f>IF($AG874="","",INDEX('TMP Paste'!$B$2:$B$1601,$AG874))</f>
        <v/>
      </c>
      <c r="B874">
        <f>IF($AG874="","",Config!$B$14)</f>
        <v/>
      </c>
      <c r="C874">
        <f>IF($AG874="","",Config!$B$15)</f>
        <v/>
      </c>
      <c r="D874">
        <f>IF($AG874="","",INDEX('TMP Paste'!$B$2:$B$1601,$AG874))</f>
        <v/>
      </c>
      <c r="E874">
        <f>IF($AG874="","",Config!$B$27)</f>
        <v/>
      </c>
      <c r="F874">
        <f>IF($AG874="","",Config!$B$9)</f>
        <v/>
      </c>
      <c r="G874">
        <f>IF($AG874="","",Config!$B$10)</f>
        <v/>
      </c>
      <c r="H874">
        <f>IF($AG874="","",Config!$B$11)</f>
        <v/>
      </c>
      <c r="I874">
        <f>IF($AG874="","",Config!$B$16)</f>
        <v/>
      </c>
      <c r="J874">
        <f>IF($AG874="","",INDEX('TMP Paste'!$A$2:$A$1601,$AG874))</f>
        <v/>
      </c>
      <c r="K874">
        <f>IF($AG874="","",INDEX('TMP Paste'!$L$2:$L$1601,$AG874))</f>
        <v/>
      </c>
      <c r="L874">
        <f>IF($AG874="","",INDEX('TMP Paste'!$I$2:$I$1601,$AG874))</f>
        <v/>
      </c>
      <c r="M874">
        <f>IF($AG874="","",Config!$B$16)</f>
        <v/>
      </c>
      <c r="N874">
        <f>IF($AG874="","","")</f>
        <v/>
      </c>
      <c r="O874">
        <f>IF($AG874="","",INDEX('TMP Paste'!$K$2:$K$1601,$AG874))</f>
        <v/>
      </c>
      <c r="P874">
        <f>IF($AG874="","","")</f>
        <v/>
      </c>
      <c r="Q874">
        <f>IF($AG874="","",INDEX('TMP Paste'!$J$2:$J$1601,$AG874))</f>
        <v/>
      </c>
      <c r="R874">
        <f>IF($AG874="","",Config!$B$24)</f>
        <v/>
      </c>
      <c r="S874">
        <f>IF($AG874="","",TEXT(Config!$B$4,"yyyy-mm-dd"))</f>
        <v/>
      </c>
      <c r="T874">
        <f>IF($AG874="","",Config!$B$17)</f>
        <v/>
      </c>
      <c r="U874">
        <f>IF($AG874="","",Config!$B$18)</f>
        <v/>
      </c>
      <c r="V874">
        <f>IF($AG874="","",Config!$B$19)</f>
        <v/>
      </c>
      <c r="W874">
        <f>IF($AG874="","",INDEX('TMP Paste'!$C$2:$C$1601,$AG874))</f>
        <v/>
      </c>
      <c r="X874">
        <f>IF($AG874="","",Config!$B$29)</f>
        <v/>
      </c>
      <c r="Y874">
        <f>IF($AH874="","",INDEX(Calc!$I$2:$I$1601,$AH874)&amp;" - "&amp;INDEX(Calc!$D$2:$D$1601,$AH874)&amp;" koli")</f>
        <v/>
      </c>
      <c r="Z874">
        <f>IF($AG874="","",Config!$B$21)</f>
        <v/>
      </c>
      <c r="AA874">
        <f>IF($AG874="","",Config!$B$22)</f>
        <v/>
      </c>
      <c r="AB874">
        <f>IF($AH874="","",INDEX(Calc!$D$2:$D$1601,$AH874))</f>
        <v/>
      </c>
      <c r="AC874">
        <f>IF($AH874="","",INDEX(Calc!$G$2:$G$1601,$AH874))</f>
        <v/>
      </c>
      <c r="AD874">
        <f>IF($AG874="","",Config!$B$23)</f>
        <v/>
      </c>
      <c r="AE874">
        <f>IF($AG874="","",Config!$B$28)</f>
        <v/>
      </c>
      <c r="AG874">
        <f>IFERROR(MATCH(ROW()-1,Calc!$J$2:$J$1601,0),"")</f>
        <v/>
      </c>
      <c r="AH874">
        <f>IFERROR(MATCH(ROW()-1,Calc!$K$2:$K$1601,0),"")</f>
        <v/>
      </c>
      <c r="AI874">
        <f>IF($AG874="","",SUMIF($AG$2:$AG874,$AG874,$AH$2:$AH874))</f>
        <v/>
      </c>
      <c r="AJ874">
        <f>IF('TMP Paste'!$F874="","",IF('TMP Paste'!$B874="",$AJ873,'TMP Paste'!$B874))</f>
        <v/>
      </c>
      <c r="AK874">
        <f>IF('TMP Paste'!$F874="","",N('TMP Paste'!$G874))</f>
        <v/>
      </c>
      <c r="AL874">
        <f>IF('TMP Paste'!$F874="","",IF('TMP Paste'!$M874="",$AL873,'TMP Paste'!$M874))</f>
        <v/>
      </c>
      <c r="AM874">
        <f>IF('TMP Paste'!$F874="","",IF('TMP Paste'!$N874="",$AM873,'TMP Paste'!$N874))</f>
        <v/>
      </c>
      <c r="AN874">
        <f>IF('TMP Paste'!$F874="","",IF('TMP Paste'!$O874="",$AN873,'TMP Paste'!$O874))</f>
        <v/>
      </c>
      <c r="AO874">
        <f>IF('TMP Paste'!$F874="","",IF('TMP Paste'!$P874="",$AO873,'TMP Paste'!$P874))</f>
        <v/>
      </c>
      <c r="AP874">
        <f>IF($AG874="","",LEN($R874))</f>
        <v/>
      </c>
      <c r="AQ874">
        <f>IF($AG874="","",TRIM(IF(COUNTIFS(Calc!$B$2:$B$1601,ROW()-1,Calc!$C$2:$C$1601,"&lt;1")&gt;0,"Ada PO tanpa Koli - cek TMP. ","")&amp;IF(LEN($R874)&gt;500,"R &gt; 500 karakter.","")))</f>
        <v/>
      </c>
    </row>
    <row r="875">
      <c r="A875">
        <f>IF($AG875="","",INDEX('TMP Paste'!$B$2:$B$1601,$AG875))</f>
        <v/>
      </c>
      <c r="B875">
        <f>IF($AG875="","",Config!$B$14)</f>
        <v/>
      </c>
      <c r="C875">
        <f>IF($AG875="","",Config!$B$15)</f>
        <v/>
      </c>
      <c r="D875">
        <f>IF($AG875="","",INDEX('TMP Paste'!$B$2:$B$1601,$AG875))</f>
        <v/>
      </c>
      <c r="E875">
        <f>IF($AG875="","",Config!$B$27)</f>
        <v/>
      </c>
      <c r="F875">
        <f>IF($AG875="","",Config!$B$9)</f>
        <v/>
      </c>
      <c r="G875">
        <f>IF($AG875="","",Config!$B$10)</f>
        <v/>
      </c>
      <c r="H875">
        <f>IF($AG875="","",Config!$B$11)</f>
        <v/>
      </c>
      <c r="I875">
        <f>IF($AG875="","",Config!$B$16)</f>
        <v/>
      </c>
      <c r="J875">
        <f>IF($AG875="","",INDEX('TMP Paste'!$A$2:$A$1601,$AG875))</f>
        <v/>
      </c>
      <c r="K875">
        <f>IF($AG875="","",INDEX('TMP Paste'!$L$2:$L$1601,$AG875))</f>
        <v/>
      </c>
      <c r="L875">
        <f>IF($AG875="","",INDEX('TMP Paste'!$I$2:$I$1601,$AG875))</f>
        <v/>
      </c>
      <c r="M875">
        <f>IF($AG875="","",Config!$B$16)</f>
        <v/>
      </c>
      <c r="N875">
        <f>IF($AG875="","","")</f>
        <v/>
      </c>
      <c r="O875">
        <f>IF($AG875="","",INDEX('TMP Paste'!$K$2:$K$1601,$AG875))</f>
        <v/>
      </c>
      <c r="P875">
        <f>IF($AG875="","","")</f>
        <v/>
      </c>
      <c r="Q875">
        <f>IF($AG875="","",INDEX('TMP Paste'!$J$2:$J$1601,$AG875))</f>
        <v/>
      </c>
      <c r="R875">
        <f>IF($AG875="","",Config!$B$24)</f>
        <v/>
      </c>
      <c r="S875">
        <f>IF($AG875="","",TEXT(Config!$B$4,"yyyy-mm-dd"))</f>
        <v/>
      </c>
      <c r="T875">
        <f>IF($AG875="","",Config!$B$17)</f>
        <v/>
      </c>
      <c r="U875">
        <f>IF($AG875="","",Config!$B$18)</f>
        <v/>
      </c>
      <c r="V875">
        <f>IF($AG875="","",Config!$B$19)</f>
        <v/>
      </c>
      <c r="W875">
        <f>IF($AG875="","",INDEX('TMP Paste'!$C$2:$C$1601,$AG875))</f>
        <v/>
      </c>
      <c r="X875">
        <f>IF($AG875="","",Config!$B$29)</f>
        <v/>
      </c>
      <c r="Y875">
        <f>IF($AH875="","",INDEX(Calc!$I$2:$I$1601,$AH875)&amp;" - "&amp;INDEX(Calc!$D$2:$D$1601,$AH875)&amp;" koli")</f>
        <v/>
      </c>
      <c r="Z875">
        <f>IF($AG875="","",Config!$B$21)</f>
        <v/>
      </c>
      <c r="AA875">
        <f>IF($AG875="","",Config!$B$22)</f>
        <v/>
      </c>
      <c r="AB875">
        <f>IF($AH875="","",INDEX(Calc!$D$2:$D$1601,$AH875))</f>
        <v/>
      </c>
      <c r="AC875">
        <f>IF($AH875="","",INDEX(Calc!$G$2:$G$1601,$AH875))</f>
        <v/>
      </c>
      <c r="AD875">
        <f>IF($AG875="","",Config!$B$23)</f>
        <v/>
      </c>
      <c r="AE875">
        <f>IF($AG875="","",Config!$B$28)</f>
        <v/>
      </c>
      <c r="AG875">
        <f>IFERROR(MATCH(ROW()-1,Calc!$J$2:$J$1601,0),"")</f>
        <v/>
      </c>
      <c r="AH875">
        <f>IFERROR(MATCH(ROW()-1,Calc!$K$2:$K$1601,0),"")</f>
        <v/>
      </c>
      <c r="AI875">
        <f>IF($AG875="","",SUMIF($AG$2:$AG875,$AG875,$AH$2:$AH875))</f>
        <v/>
      </c>
      <c r="AJ875">
        <f>IF('TMP Paste'!$F875="","",IF('TMP Paste'!$B875="",$AJ874,'TMP Paste'!$B875))</f>
        <v/>
      </c>
      <c r="AK875">
        <f>IF('TMP Paste'!$F875="","",N('TMP Paste'!$G875))</f>
        <v/>
      </c>
      <c r="AL875">
        <f>IF('TMP Paste'!$F875="","",IF('TMP Paste'!$M875="",$AL874,'TMP Paste'!$M875))</f>
        <v/>
      </c>
      <c r="AM875">
        <f>IF('TMP Paste'!$F875="","",IF('TMP Paste'!$N875="",$AM874,'TMP Paste'!$N875))</f>
        <v/>
      </c>
      <c r="AN875">
        <f>IF('TMP Paste'!$F875="","",IF('TMP Paste'!$O875="",$AN874,'TMP Paste'!$O875))</f>
        <v/>
      </c>
      <c r="AO875">
        <f>IF('TMP Paste'!$F875="","",IF('TMP Paste'!$P875="",$AO874,'TMP Paste'!$P875))</f>
        <v/>
      </c>
      <c r="AP875">
        <f>IF($AG875="","",LEN($R875))</f>
        <v/>
      </c>
      <c r="AQ875">
        <f>IF($AG875="","",TRIM(IF(COUNTIFS(Calc!$B$2:$B$1601,ROW()-1,Calc!$C$2:$C$1601,"&lt;1")&gt;0,"Ada PO tanpa Koli - cek TMP. ","")&amp;IF(LEN($R875)&gt;500,"R &gt; 500 karakter.","")))</f>
        <v/>
      </c>
    </row>
    <row r="876">
      <c r="A876">
        <f>IF($AG876="","",INDEX('TMP Paste'!$B$2:$B$1601,$AG876))</f>
        <v/>
      </c>
      <c r="B876">
        <f>IF($AG876="","",Config!$B$14)</f>
        <v/>
      </c>
      <c r="C876">
        <f>IF($AG876="","",Config!$B$15)</f>
        <v/>
      </c>
      <c r="D876">
        <f>IF($AG876="","",INDEX('TMP Paste'!$B$2:$B$1601,$AG876))</f>
        <v/>
      </c>
      <c r="E876">
        <f>IF($AG876="","",Config!$B$27)</f>
        <v/>
      </c>
      <c r="F876">
        <f>IF($AG876="","",Config!$B$9)</f>
        <v/>
      </c>
      <c r="G876">
        <f>IF($AG876="","",Config!$B$10)</f>
        <v/>
      </c>
      <c r="H876">
        <f>IF($AG876="","",Config!$B$11)</f>
        <v/>
      </c>
      <c r="I876">
        <f>IF($AG876="","",Config!$B$16)</f>
        <v/>
      </c>
      <c r="J876">
        <f>IF($AG876="","",INDEX('TMP Paste'!$A$2:$A$1601,$AG876))</f>
        <v/>
      </c>
      <c r="K876">
        <f>IF($AG876="","",INDEX('TMP Paste'!$L$2:$L$1601,$AG876))</f>
        <v/>
      </c>
      <c r="L876">
        <f>IF($AG876="","",INDEX('TMP Paste'!$I$2:$I$1601,$AG876))</f>
        <v/>
      </c>
      <c r="M876">
        <f>IF($AG876="","",Config!$B$16)</f>
        <v/>
      </c>
      <c r="N876">
        <f>IF($AG876="","","")</f>
        <v/>
      </c>
      <c r="O876">
        <f>IF($AG876="","",INDEX('TMP Paste'!$K$2:$K$1601,$AG876))</f>
        <v/>
      </c>
      <c r="P876">
        <f>IF($AG876="","","")</f>
        <v/>
      </c>
      <c r="Q876">
        <f>IF($AG876="","",INDEX('TMP Paste'!$J$2:$J$1601,$AG876))</f>
        <v/>
      </c>
      <c r="R876">
        <f>IF($AG876="","",Config!$B$24)</f>
        <v/>
      </c>
      <c r="S876">
        <f>IF($AG876="","",TEXT(Config!$B$4,"yyyy-mm-dd"))</f>
        <v/>
      </c>
      <c r="T876">
        <f>IF($AG876="","",Config!$B$17)</f>
        <v/>
      </c>
      <c r="U876">
        <f>IF($AG876="","",Config!$B$18)</f>
        <v/>
      </c>
      <c r="V876">
        <f>IF($AG876="","",Config!$B$19)</f>
        <v/>
      </c>
      <c r="W876">
        <f>IF($AG876="","",INDEX('TMP Paste'!$C$2:$C$1601,$AG876))</f>
        <v/>
      </c>
      <c r="X876">
        <f>IF($AG876="","",Config!$B$29)</f>
        <v/>
      </c>
      <c r="Y876">
        <f>IF($AH876="","",INDEX(Calc!$I$2:$I$1601,$AH876)&amp;" - "&amp;INDEX(Calc!$D$2:$D$1601,$AH876)&amp;" koli")</f>
        <v/>
      </c>
      <c r="Z876">
        <f>IF($AG876="","",Config!$B$21)</f>
        <v/>
      </c>
      <c r="AA876">
        <f>IF($AG876="","",Config!$B$22)</f>
        <v/>
      </c>
      <c r="AB876">
        <f>IF($AH876="","",INDEX(Calc!$D$2:$D$1601,$AH876))</f>
        <v/>
      </c>
      <c r="AC876">
        <f>IF($AH876="","",INDEX(Calc!$G$2:$G$1601,$AH876))</f>
        <v/>
      </c>
      <c r="AD876">
        <f>IF($AG876="","",Config!$B$23)</f>
        <v/>
      </c>
      <c r="AE876">
        <f>IF($AG876="","",Config!$B$28)</f>
        <v/>
      </c>
      <c r="AG876">
        <f>IFERROR(MATCH(ROW()-1,Calc!$J$2:$J$1601,0),"")</f>
        <v/>
      </c>
      <c r="AH876">
        <f>IFERROR(MATCH(ROW()-1,Calc!$K$2:$K$1601,0),"")</f>
        <v/>
      </c>
      <c r="AI876">
        <f>IF($AG876="","",SUMIF($AG$2:$AG876,$AG876,$AH$2:$AH876))</f>
        <v/>
      </c>
      <c r="AJ876">
        <f>IF('TMP Paste'!$F876="","",IF('TMP Paste'!$B876="",$AJ875,'TMP Paste'!$B876))</f>
        <v/>
      </c>
      <c r="AK876">
        <f>IF('TMP Paste'!$F876="","",N('TMP Paste'!$G876))</f>
        <v/>
      </c>
      <c r="AL876">
        <f>IF('TMP Paste'!$F876="","",IF('TMP Paste'!$M876="",$AL875,'TMP Paste'!$M876))</f>
        <v/>
      </c>
      <c r="AM876">
        <f>IF('TMP Paste'!$F876="","",IF('TMP Paste'!$N876="",$AM875,'TMP Paste'!$N876))</f>
        <v/>
      </c>
      <c r="AN876">
        <f>IF('TMP Paste'!$F876="","",IF('TMP Paste'!$O876="",$AN875,'TMP Paste'!$O876))</f>
        <v/>
      </c>
      <c r="AO876">
        <f>IF('TMP Paste'!$F876="","",IF('TMP Paste'!$P876="",$AO875,'TMP Paste'!$P876))</f>
        <v/>
      </c>
      <c r="AP876">
        <f>IF($AG876="","",LEN($R876))</f>
        <v/>
      </c>
      <c r="AQ876">
        <f>IF($AG876="","",TRIM(IF(COUNTIFS(Calc!$B$2:$B$1601,ROW()-1,Calc!$C$2:$C$1601,"&lt;1")&gt;0,"Ada PO tanpa Koli - cek TMP. ","")&amp;IF(LEN($R876)&gt;500,"R &gt; 500 karakter.","")))</f>
        <v/>
      </c>
    </row>
    <row r="877">
      <c r="A877">
        <f>IF($AG877="","",INDEX('TMP Paste'!$B$2:$B$1601,$AG877))</f>
        <v/>
      </c>
      <c r="B877">
        <f>IF($AG877="","",Config!$B$14)</f>
        <v/>
      </c>
      <c r="C877">
        <f>IF($AG877="","",Config!$B$15)</f>
        <v/>
      </c>
      <c r="D877">
        <f>IF($AG877="","",INDEX('TMP Paste'!$B$2:$B$1601,$AG877))</f>
        <v/>
      </c>
      <c r="E877">
        <f>IF($AG877="","",Config!$B$27)</f>
        <v/>
      </c>
      <c r="F877">
        <f>IF($AG877="","",Config!$B$9)</f>
        <v/>
      </c>
      <c r="G877">
        <f>IF($AG877="","",Config!$B$10)</f>
        <v/>
      </c>
      <c r="H877">
        <f>IF($AG877="","",Config!$B$11)</f>
        <v/>
      </c>
      <c r="I877">
        <f>IF($AG877="","",Config!$B$16)</f>
        <v/>
      </c>
      <c r="J877">
        <f>IF($AG877="","",INDEX('TMP Paste'!$A$2:$A$1601,$AG877))</f>
        <v/>
      </c>
      <c r="K877">
        <f>IF($AG877="","",INDEX('TMP Paste'!$L$2:$L$1601,$AG877))</f>
        <v/>
      </c>
      <c r="L877">
        <f>IF($AG877="","",INDEX('TMP Paste'!$I$2:$I$1601,$AG877))</f>
        <v/>
      </c>
      <c r="M877">
        <f>IF($AG877="","",Config!$B$16)</f>
        <v/>
      </c>
      <c r="N877">
        <f>IF($AG877="","","")</f>
        <v/>
      </c>
      <c r="O877">
        <f>IF($AG877="","",INDEX('TMP Paste'!$K$2:$K$1601,$AG877))</f>
        <v/>
      </c>
      <c r="P877">
        <f>IF($AG877="","","")</f>
        <v/>
      </c>
      <c r="Q877">
        <f>IF($AG877="","",INDEX('TMP Paste'!$J$2:$J$1601,$AG877))</f>
        <v/>
      </c>
      <c r="R877">
        <f>IF($AG877="","",Config!$B$24)</f>
        <v/>
      </c>
      <c r="S877">
        <f>IF($AG877="","",TEXT(Config!$B$4,"yyyy-mm-dd"))</f>
        <v/>
      </c>
      <c r="T877">
        <f>IF($AG877="","",Config!$B$17)</f>
        <v/>
      </c>
      <c r="U877">
        <f>IF($AG877="","",Config!$B$18)</f>
        <v/>
      </c>
      <c r="V877">
        <f>IF($AG877="","",Config!$B$19)</f>
        <v/>
      </c>
      <c r="W877">
        <f>IF($AG877="","",INDEX('TMP Paste'!$C$2:$C$1601,$AG877))</f>
        <v/>
      </c>
      <c r="X877">
        <f>IF($AG877="","",Config!$B$29)</f>
        <v/>
      </c>
      <c r="Y877">
        <f>IF($AH877="","",INDEX(Calc!$I$2:$I$1601,$AH877)&amp;" - "&amp;INDEX(Calc!$D$2:$D$1601,$AH877)&amp;" koli")</f>
        <v/>
      </c>
      <c r="Z877">
        <f>IF($AG877="","",Config!$B$21)</f>
        <v/>
      </c>
      <c r="AA877">
        <f>IF($AG877="","",Config!$B$22)</f>
        <v/>
      </c>
      <c r="AB877">
        <f>IF($AH877="","",INDEX(Calc!$D$2:$D$1601,$AH877))</f>
        <v/>
      </c>
      <c r="AC877">
        <f>IF($AH877="","",INDEX(Calc!$G$2:$G$1601,$AH877))</f>
        <v/>
      </c>
      <c r="AD877">
        <f>IF($AG877="","",Config!$B$23)</f>
        <v/>
      </c>
      <c r="AE877">
        <f>IF($AG877="","",Config!$B$28)</f>
        <v/>
      </c>
      <c r="AG877">
        <f>IFERROR(MATCH(ROW()-1,Calc!$J$2:$J$1601,0),"")</f>
        <v/>
      </c>
      <c r="AH877">
        <f>IFERROR(MATCH(ROW()-1,Calc!$K$2:$K$1601,0),"")</f>
        <v/>
      </c>
      <c r="AI877">
        <f>IF($AG877="","",SUMIF($AG$2:$AG877,$AG877,$AH$2:$AH877))</f>
        <v/>
      </c>
      <c r="AJ877">
        <f>IF('TMP Paste'!$F877="","",IF('TMP Paste'!$B877="",$AJ876,'TMP Paste'!$B877))</f>
        <v/>
      </c>
      <c r="AK877">
        <f>IF('TMP Paste'!$F877="","",N('TMP Paste'!$G877))</f>
        <v/>
      </c>
      <c r="AL877">
        <f>IF('TMP Paste'!$F877="","",IF('TMP Paste'!$M877="",$AL876,'TMP Paste'!$M877))</f>
        <v/>
      </c>
      <c r="AM877">
        <f>IF('TMP Paste'!$F877="","",IF('TMP Paste'!$N877="",$AM876,'TMP Paste'!$N877))</f>
        <v/>
      </c>
      <c r="AN877">
        <f>IF('TMP Paste'!$F877="","",IF('TMP Paste'!$O877="",$AN876,'TMP Paste'!$O877))</f>
        <v/>
      </c>
      <c r="AO877">
        <f>IF('TMP Paste'!$F877="","",IF('TMP Paste'!$P877="",$AO876,'TMP Paste'!$P877))</f>
        <v/>
      </c>
      <c r="AP877">
        <f>IF($AG877="","",LEN($R877))</f>
        <v/>
      </c>
      <c r="AQ877">
        <f>IF($AG877="","",TRIM(IF(COUNTIFS(Calc!$B$2:$B$1601,ROW()-1,Calc!$C$2:$C$1601,"&lt;1")&gt;0,"Ada PO tanpa Koli - cek TMP. ","")&amp;IF(LEN($R877)&gt;500,"R &gt; 500 karakter.","")))</f>
        <v/>
      </c>
    </row>
    <row r="878">
      <c r="A878">
        <f>IF($AG878="","",INDEX('TMP Paste'!$B$2:$B$1601,$AG878))</f>
        <v/>
      </c>
      <c r="B878">
        <f>IF($AG878="","",Config!$B$14)</f>
        <v/>
      </c>
      <c r="C878">
        <f>IF($AG878="","",Config!$B$15)</f>
        <v/>
      </c>
      <c r="D878">
        <f>IF($AG878="","",INDEX('TMP Paste'!$B$2:$B$1601,$AG878))</f>
        <v/>
      </c>
      <c r="E878">
        <f>IF($AG878="","",Config!$B$27)</f>
        <v/>
      </c>
      <c r="F878">
        <f>IF($AG878="","",Config!$B$9)</f>
        <v/>
      </c>
      <c r="G878">
        <f>IF($AG878="","",Config!$B$10)</f>
        <v/>
      </c>
      <c r="H878">
        <f>IF($AG878="","",Config!$B$11)</f>
        <v/>
      </c>
      <c r="I878">
        <f>IF($AG878="","",Config!$B$16)</f>
        <v/>
      </c>
      <c r="J878">
        <f>IF($AG878="","",INDEX('TMP Paste'!$A$2:$A$1601,$AG878))</f>
        <v/>
      </c>
      <c r="K878">
        <f>IF($AG878="","",INDEX('TMP Paste'!$L$2:$L$1601,$AG878))</f>
        <v/>
      </c>
      <c r="L878">
        <f>IF($AG878="","",INDEX('TMP Paste'!$I$2:$I$1601,$AG878))</f>
        <v/>
      </c>
      <c r="M878">
        <f>IF($AG878="","",Config!$B$16)</f>
        <v/>
      </c>
      <c r="N878">
        <f>IF($AG878="","","")</f>
        <v/>
      </c>
      <c r="O878">
        <f>IF($AG878="","",INDEX('TMP Paste'!$K$2:$K$1601,$AG878))</f>
        <v/>
      </c>
      <c r="P878">
        <f>IF($AG878="","","")</f>
        <v/>
      </c>
      <c r="Q878">
        <f>IF($AG878="","",INDEX('TMP Paste'!$J$2:$J$1601,$AG878))</f>
        <v/>
      </c>
      <c r="R878">
        <f>IF($AG878="","",Config!$B$24)</f>
        <v/>
      </c>
      <c r="S878">
        <f>IF($AG878="","",TEXT(Config!$B$4,"yyyy-mm-dd"))</f>
        <v/>
      </c>
      <c r="T878">
        <f>IF($AG878="","",Config!$B$17)</f>
        <v/>
      </c>
      <c r="U878">
        <f>IF($AG878="","",Config!$B$18)</f>
        <v/>
      </c>
      <c r="V878">
        <f>IF($AG878="","",Config!$B$19)</f>
        <v/>
      </c>
      <c r="W878">
        <f>IF($AG878="","",INDEX('TMP Paste'!$C$2:$C$1601,$AG878))</f>
        <v/>
      </c>
      <c r="X878">
        <f>IF($AG878="","",Config!$B$29)</f>
        <v/>
      </c>
      <c r="Y878">
        <f>IF($AH878="","",INDEX(Calc!$I$2:$I$1601,$AH878)&amp;" - "&amp;INDEX(Calc!$D$2:$D$1601,$AH878)&amp;" koli")</f>
        <v/>
      </c>
      <c r="Z878">
        <f>IF($AG878="","",Config!$B$21)</f>
        <v/>
      </c>
      <c r="AA878">
        <f>IF($AG878="","",Config!$B$22)</f>
        <v/>
      </c>
      <c r="AB878">
        <f>IF($AH878="","",INDEX(Calc!$D$2:$D$1601,$AH878))</f>
        <v/>
      </c>
      <c r="AC878">
        <f>IF($AH878="","",INDEX(Calc!$G$2:$G$1601,$AH878))</f>
        <v/>
      </c>
      <c r="AD878">
        <f>IF($AG878="","",Config!$B$23)</f>
        <v/>
      </c>
      <c r="AE878">
        <f>IF($AG878="","",Config!$B$28)</f>
        <v/>
      </c>
      <c r="AG878">
        <f>IFERROR(MATCH(ROW()-1,Calc!$J$2:$J$1601,0),"")</f>
        <v/>
      </c>
      <c r="AH878">
        <f>IFERROR(MATCH(ROW()-1,Calc!$K$2:$K$1601,0),"")</f>
        <v/>
      </c>
      <c r="AI878">
        <f>IF($AG878="","",SUMIF($AG$2:$AG878,$AG878,$AH$2:$AH878))</f>
        <v/>
      </c>
      <c r="AJ878">
        <f>IF('TMP Paste'!$F878="","",IF('TMP Paste'!$B878="",$AJ877,'TMP Paste'!$B878))</f>
        <v/>
      </c>
      <c r="AK878">
        <f>IF('TMP Paste'!$F878="","",N('TMP Paste'!$G878))</f>
        <v/>
      </c>
      <c r="AL878">
        <f>IF('TMP Paste'!$F878="","",IF('TMP Paste'!$M878="",$AL877,'TMP Paste'!$M878))</f>
        <v/>
      </c>
      <c r="AM878">
        <f>IF('TMP Paste'!$F878="","",IF('TMP Paste'!$N878="",$AM877,'TMP Paste'!$N878))</f>
        <v/>
      </c>
      <c r="AN878">
        <f>IF('TMP Paste'!$F878="","",IF('TMP Paste'!$O878="",$AN877,'TMP Paste'!$O878))</f>
        <v/>
      </c>
      <c r="AO878">
        <f>IF('TMP Paste'!$F878="","",IF('TMP Paste'!$P878="",$AO877,'TMP Paste'!$P878))</f>
        <v/>
      </c>
      <c r="AP878">
        <f>IF($AG878="","",LEN($R878))</f>
        <v/>
      </c>
      <c r="AQ878">
        <f>IF($AG878="","",TRIM(IF(COUNTIFS(Calc!$B$2:$B$1601,ROW()-1,Calc!$C$2:$C$1601,"&lt;1")&gt;0,"Ada PO tanpa Koli - cek TMP. ","")&amp;IF(LEN($R878)&gt;500,"R &gt; 500 karakter.","")))</f>
        <v/>
      </c>
    </row>
    <row r="879">
      <c r="A879">
        <f>IF($AG879="","",INDEX('TMP Paste'!$B$2:$B$1601,$AG879))</f>
        <v/>
      </c>
      <c r="B879">
        <f>IF($AG879="","",Config!$B$14)</f>
        <v/>
      </c>
      <c r="C879">
        <f>IF($AG879="","",Config!$B$15)</f>
        <v/>
      </c>
      <c r="D879">
        <f>IF($AG879="","",INDEX('TMP Paste'!$B$2:$B$1601,$AG879))</f>
        <v/>
      </c>
      <c r="E879">
        <f>IF($AG879="","",Config!$B$27)</f>
        <v/>
      </c>
      <c r="F879">
        <f>IF($AG879="","",Config!$B$9)</f>
        <v/>
      </c>
      <c r="G879">
        <f>IF($AG879="","",Config!$B$10)</f>
        <v/>
      </c>
      <c r="H879">
        <f>IF($AG879="","",Config!$B$11)</f>
        <v/>
      </c>
      <c r="I879">
        <f>IF($AG879="","",Config!$B$16)</f>
        <v/>
      </c>
      <c r="J879">
        <f>IF($AG879="","",INDEX('TMP Paste'!$A$2:$A$1601,$AG879))</f>
        <v/>
      </c>
      <c r="K879">
        <f>IF($AG879="","",INDEX('TMP Paste'!$L$2:$L$1601,$AG879))</f>
        <v/>
      </c>
      <c r="L879">
        <f>IF($AG879="","",INDEX('TMP Paste'!$I$2:$I$1601,$AG879))</f>
        <v/>
      </c>
      <c r="M879">
        <f>IF($AG879="","",Config!$B$16)</f>
        <v/>
      </c>
      <c r="N879">
        <f>IF($AG879="","","")</f>
        <v/>
      </c>
      <c r="O879">
        <f>IF($AG879="","",INDEX('TMP Paste'!$K$2:$K$1601,$AG879))</f>
        <v/>
      </c>
      <c r="P879">
        <f>IF($AG879="","","")</f>
        <v/>
      </c>
      <c r="Q879">
        <f>IF($AG879="","",INDEX('TMP Paste'!$J$2:$J$1601,$AG879))</f>
        <v/>
      </c>
      <c r="R879">
        <f>IF($AG879="","",Config!$B$24)</f>
        <v/>
      </c>
      <c r="S879">
        <f>IF($AG879="","",TEXT(Config!$B$4,"yyyy-mm-dd"))</f>
        <v/>
      </c>
      <c r="T879">
        <f>IF($AG879="","",Config!$B$17)</f>
        <v/>
      </c>
      <c r="U879">
        <f>IF($AG879="","",Config!$B$18)</f>
        <v/>
      </c>
      <c r="V879">
        <f>IF($AG879="","",Config!$B$19)</f>
        <v/>
      </c>
      <c r="W879">
        <f>IF($AG879="","",INDEX('TMP Paste'!$C$2:$C$1601,$AG879))</f>
        <v/>
      </c>
      <c r="X879">
        <f>IF($AG879="","",Config!$B$29)</f>
        <v/>
      </c>
      <c r="Y879">
        <f>IF($AH879="","",INDEX(Calc!$I$2:$I$1601,$AH879)&amp;" - "&amp;INDEX(Calc!$D$2:$D$1601,$AH879)&amp;" koli")</f>
        <v/>
      </c>
      <c r="Z879">
        <f>IF($AG879="","",Config!$B$21)</f>
        <v/>
      </c>
      <c r="AA879">
        <f>IF($AG879="","",Config!$B$22)</f>
        <v/>
      </c>
      <c r="AB879">
        <f>IF($AH879="","",INDEX(Calc!$D$2:$D$1601,$AH879))</f>
        <v/>
      </c>
      <c r="AC879">
        <f>IF($AH879="","",INDEX(Calc!$G$2:$G$1601,$AH879))</f>
        <v/>
      </c>
      <c r="AD879">
        <f>IF($AG879="","",Config!$B$23)</f>
        <v/>
      </c>
      <c r="AE879">
        <f>IF($AG879="","",Config!$B$28)</f>
        <v/>
      </c>
      <c r="AG879">
        <f>IFERROR(MATCH(ROW()-1,Calc!$J$2:$J$1601,0),"")</f>
        <v/>
      </c>
      <c r="AH879">
        <f>IFERROR(MATCH(ROW()-1,Calc!$K$2:$K$1601,0),"")</f>
        <v/>
      </c>
      <c r="AI879">
        <f>IF($AG879="","",SUMIF($AG$2:$AG879,$AG879,$AH$2:$AH879))</f>
        <v/>
      </c>
      <c r="AJ879">
        <f>IF('TMP Paste'!$F879="","",IF('TMP Paste'!$B879="",$AJ878,'TMP Paste'!$B879))</f>
        <v/>
      </c>
      <c r="AK879">
        <f>IF('TMP Paste'!$F879="","",N('TMP Paste'!$G879))</f>
        <v/>
      </c>
      <c r="AL879">
        <f>IF('TMP Paste'!$F879="","",IF('TMP Paste'!$M879="",$AL878,'TMP Paste'!$M879))</f>
        <v/>
      </c>
      <c r="AM879">
        <f>IF('TMP Paste'!$F879="","",IF('TMP Paste'!$N879="",$AM878,'TMP Paste'!$N879))</f>
        <v/>
      </c>
      <c r="AN879">
        <f>IF('TMP Paste'!$F879="","",IF('TMP Paste'!$O879="",$AN878,'TMP Paste'!$O879))</f>
        <v/>
      </c>
      <c r="AO879">
        <f>IF('TMP Paste'!$F879="","",IF('TMP Paste'!$P879="",$AO878,'TMP Paste'!$P879))</f>
        <v/>
      </c>
      <c r="AP879">
        <f>IF($AG879="","",LEN($R879))</f>
        <v/>
      </c>
      <c r="AQ879">
        <f>IF($AG879="","",TRIM(IF(COUNTIFS(Calc!$B$2:$B$1601,ROW()-1,Calc!$C$2:$C$1601,"&lt;1")&gt;0,"Ada PO tanpa Koli - cek TMP. ","")&amp;IF(LEN($R879)&gt;500,"R &gt; 500 karakter.","")))</f>
        <v/>
      </c>
    </row>
    <row r="880">
      <c r="A880">
        <f>IF($AG880="","",INDEX('TMP Paste'!$B$2:$B$1601,$AG880))</f>
        <v/>
      </c>
      <c r="B880">
        <f>IF($AG880="","",Config!$B$14)</f>
        <v/>
      </c>
      <c r="C880">
        <f>IF($AG880="","",Config!$B$15)</f>
        <v/>
      </c>
      <c r="D880">
        <f>IF($AG880="","",INDEX('TMP Paste'!$B$2:$B$1601,$AG880))</f>
        <v/>
      </c>
      <c r="E880">
        <f>IF($AG880="","",Config!$B$27)</f>
        <v/>
      </c>
      <c r="F880">
        <f>IF($AG880="","",Config!$B$9)</f>
        <v/>
      </c>
      <c r="G880">
        <f>IF($AG880="","",Config!$B$10)</f>
        <v/>
      </c>
      <c r="H880">
        <f>IF($AG880="","",Config!$B$11)</f>
        <v/>
      </c>
      <c r="I880">
        <f>IF($AG880="","",Config!$B$16)</f>
        <v/>
      </c>
      <c r="J880">
        <f>IF($AG880="","",INDEX('TMP Paste'!$A$2:$A$1601,$AG880))</f>
        <v/>
      </c>
      <c r="K880">
        <f>IF($AG880="","",INDEX('TMP Paste'!$L$2:$L$1601,$AG880))</f>
        <v/>
      </c>
      <c r="L880">
        <f>IF($AG880="","",INDEX('TMP Paste'!$I$2:$I$1601,$AG880))</f>
        <v/>
      </c>
      <c r="M880">
        <f>IF($AG880="","",Config!$B$16)</f>
        <v/>
      </c>
      <c r="N880">
        <f>IF($AG880="","","")</f>
        <v/>
      </c>
      <c r="O880">
        <f>IF($AG880="","",INDEX('TMP Paste'!$K$2:$K$1601,$AG880))</f>
        <v/>
      </c>
      <c r="P880">
        <f>IF($AG880="","","")</f>
        <v/>
      </c>
      <c r="Q880">
        <f>IF($AG880="","",INDEX('TMP Paste'!$J$2:$J$1601,$AG880))</f>
        <v/>
      </c>
      <c r="R880">
        <f>IF($AG880="","",Config!$B$24)</f>
        <v/>
      </c>
      <c r="S880">
        <f>IF($AG880="","",TEXT(Config!$B$4,"yyyy-mm-dd"))</f>
        <v/>
      </c>
      <c r="T880">
        <f>IF($AG880="","",Config!$B$17)</f>
        <v/>
      </c>
      <c r="U880">
        <f>IF($AG880="","",Config!$B$18)</f>
        <v/>
      </c>
      <c r="V880">
        <f>IF($AG880="","",Config!$B$19)</f>
        <v/>
      </c>
      <c r="W880">
        <f>IF($AG880="","",INDEX('TMP Paste'!$C$2:$C$1601,$AG880))</f>
        <v/>
      </c>
      <c r="X880">
        <f>IF($AG880="","",Config!$B$29)</f>
        <v/>
      </c>
      <c r="Y880">
        <f>IF($AH880="","",INDEX(Calc!$I$2:$I$1601,$AH880)&amp;" - "&amp;INDEX(Calc!$D$2:$D$1601,$AH880)&amp;" koli")</f>
        <v/>
      </c>
      <c r="Z880">
        <f>IF($AG880="","",Config!$B$21)</f>
        <v/>
      </c>
      <c r="AA880">
        <f>IF($AG880="","",Config!$B$22)</f>
        <v/>
      </c>
      <c r="AB880">
        <f>IF($AH880="","",INDEX(Calc!$D$2:$D$1601,$AH880))</f>
        <v/>
      </c>
      <c r="AC880">
        <f>IF($AH880="","",INDEX(Calc!$G$2:$G$1601,$AH880))</f>
        <v/>
      </c>
      <c r="AD880">
        <f>IF($AG880="","",Config!$B$23)</f>
        <v/>
      </c>
      <c r="AE880">
        <f>IF($AG880="","",Config!$B$28)</f>
        <v/>
      </c>
      <c r="AG880">
        <f>IFERROR(MATCH(ROW()-1,Calc!$J$2:$J$1601,0),"")</f>
        <v/>
      </c>
      <c r="AH880">
        <f>IFERROR(MATCH(ROW()-1,Calc!$K$2:$K$1601,0),"")</f>
        <v/>
      </c>
      <c r="AI880">
        <f>IF($AG880="","",SUMIF($AG$2:$AG880,$AG880,$AH$2:$AH880))</f>
        <v/>
      </c>
      <c r="AJ880">
        <f>IF('TMP Paste'!$F880="","",IF('TMP Paste'!$B880="",$AJ879,'TMP Paste'!$B880))</f>
        <v/>
      </c>
      <c r="AK880">
        <f>IF('TMP Paste'!$F880="","",N('TMP Paste'!$G880))</f>
        <v/>
      </c>
      <c r="AL880">
        <f>IF('TMP Paste'!$F880="","",IF('TMP Paste'!$M880="",$AL879,'TMP Paste'!$M880))</f>
        <v/>
      </c>
      <c r="AM880">
        <f>IF('TMP Paste'!$F880="","",IF('TMP Paste'!$N880="",$AM879,'TMP Paste'!$N880))</f>
        <v/>
      </c>
      <c r="AN880">
        <f>IF('TMP Paste'!$F880="","",IF('TMP Paste'!$O880="",$AN879,'TMP Paste'!$O880))</f>
        <v/>
      </c>
      <c r="AO880">
        <f>IF('TMP Paste'!$F880="","",IF('TMP Paste'!$P880="",$AO879,'TMP Paste'!$P880))</f>
        <v/>
      </c>
      <c r="AP880">
        <f>IF($AG880="","",LEN($R880))</f>
        <v/>
      </c>
      <c r="AQ880">
        <f>IF($AG880="","",TRIM(IF(COUNTIFS(Calc!$B$2:$B$1601,ROW()-1,Calc!$C$2:$C$1601,"&lt;1")&gt;0,"Ada PO tanpa Koli - cek TMP. ","")&amp;IF(LEN($R880)&gt;500,"R &gt; 500 karakter.","")))</f>
        <v/>
      </c>
    </row>
    <row r="881">
      <c r="A881">
        <f>IF($AG881="","",INDEX('TMP Paste'!$B$2:$B$1601,$AG881))</f>
        <v/>
      </c>
      <c r="B881">
        <f>IF($AG881="","",Config!$B$14)</f>
        <v/>
      </c>
      <c r="C881">
        <f>IF($AG881="","",Config!$B$15)</f>
        <v/>
      </c>
      <c r="D881">
        <f>IF($AG881="","",INDEX('TMP Paste'!$B$2:$B$1601,$AG881))</f>
        <v/>
      </c>
      <c r="E881">
        <f>IF($AG881="","",Config!$B$27)</f>
        <v/>
      </c>
      <c r="F881">
        <f>IF($AG881="","",Config!$B$9)</f>
        <v/>
      </c>
      <c r="G881">
        <f>IF($AG881="","",Config!$B$10)</f>
        <v/>
      </c>
      <c r="H881">
        <f>IF($AG881="","",Config!$B$11)</f>
        <v/>
      </c>
      <c r="I881">
        <f>IF($AG881="","",Config!$B$16)</f>
        <v/>
      </c>
      <c r="J881">
        <f>IF($AG881="","",INDEX('TMP Paste'!$A$2:$A$1601,$AG881))</f>
        <v/>
      </c>
      <c r="K881">
        <f>IF($AG881="","",INDEX('TMP Paste'!$L$2:$L$1601,$AG881))</f>
        <v/>
      </c>
      <c r="L881">
        <f>IF($AG881="","",INDEX('TMP Paste'!$I$2:$I$1601,$AG881))</f>
        <v/>
      </c>
      <c r="M881">
        <f>IF($AG881="","",Config!$B$16)</f>
        <v/>
      </c>
      <c r="N881">
        <f>IF($AG881="","","")</f>
        <v/>
      </c>
      <c r="O881">
        <f>IF($AG881="","",INDEX('TMP Paste'!$K$2:$K$1601,$AG881))</f>
        <v/>
      </c>
      <c r="P881">
        <f>IF($AG881="","","")</f>
        <v/>
      </c>
      <c r="Q881">
        <f>IF($AG881="","",INDEX('TMP Paste'!$J$2:$J$1601,$AG881))</f>
        <v/>
      </c>
      <c r="R881">
        <f>IF($AG881="","",Config!$B$24)</f>
        <v/>
      </c>
      <c r="S881">
        <f>IF($AG881="","",TEXT(Config!$B$4,"yyyy-mm-dd"))</f>
        <v/>
      </c>
      <c r="T881">
        <f>IF($AG881="","",Config!$B$17)</f>
        <v/>
      </c>
      <c r="U881">
        <f>IF($AG881="","",Config!$B$18)</f>
        <v/>
      </c>
      <c r="V881">
        <f>IF($AG881="","",Config!$B$19)</f>
        <v/>
      </c>
      <c r="W881">
        <f>IF($AG881="","",INDEX('TMP Paste'!$C$2:$C$1601,$AG881))</f>
        <v/>
      </c>
      <c r="X881">
        <f>IF($AG881="","",Config!$B$29)</f>
        <v/>
      </c>
      <c r="Y881">
        <f>IF($AH881="","",INDEX(Calc!$I$2:$I$1601,$AH881)&amp;" - "&amp;INDEX(Calc!$D$2:$D$1601,$AH881)&amp;" koli")</f>
        <v/>
      </c>
      <c r="Z881">
        <f>IF($AG881="","",Config!$B$21)</f>
        <v/>
      </c>
      <c r="AA881">
        <f>IF($AG881="","",Config!$B$22)</f>
        <v/>
      </c>
      <c r="AB881">
        <f>IF($AH881="","",INDEX(Calc!$D$2:$D$1601,$AH881))</f>
        <v/>
      </c>
      <c r="AC881">
        <f>IF($AH881="","",INDEX(Calc!$G$2:$G$1601,$AH881))</f>
        <v/>
      </c>
      <c r="AD881">
        <f>IF($AG881="","",Config!$B$23)</f>
        <v/>
      </c>
      <c r="AE881">
        <f>IF($AG881="","",Config!$B$28)</f>
        <v/>
      </c>
      <c r="AG881">
        <f>IFERROR(MATCH(ROW()-1,Calc!$J$2:$J$1601,0),"")</f>
        <v/>
      </c>
      <c r="AH881">
        <f>IFERROR(MATCH(ROW()-1,Calc!$K$2:$K$1601,0),"")</f>
        <v/>
      </c>
      <c r="AI881">
        <f>IF($AG881="","",SUMIF($AG$2:$AG881,$AG881,$AH$2:$AH881))</f>
        <v/>
      </c>
      <c r="AJ881">
        <f>IF('TMP Paste'!$F881="","",IF('TMP Paste'!$B881="",$AJ880,'TMP Paste'!$B881))</f>
        <v/>
      </c>
      <c r="AK881">
        <f>IF('TMP Paste'!$F881="","",N('TMP Paste'!$G881))</f>
        <v/>
      </c>
      <c r="AL881">
        <f>IF('TMP Paste'!$F881="","",IF('TMP Paste'!$M881="",$AL880,'TMP Paste'!$M881))</f>
        <v/>
      </c>
      <c r="AM881">
        <f>IF('TMP Paste'!$F881="","",IF('TMP Paste'!$N881="",$AM880,'TMP Paste'!$N881))</f>
        <v/>
      </c>
      <c r="AN881">
        <f>IF('TMP Paste'!$F881="","",IF('TMP Paste'!$O881="",$AN880,'TMP Paste'!$O881))</f>
        <v/>
      </c>
      <c r="AO881">
        <f>IF('TMP Paste'!$F881="","",IF('TMP Paste'!$P881="",$AO880,'TMP Paste'!$P881))</f>
        <v/>
      </c>
      <c r="AP881">
        <f>IF($AG881="","",LEN($R881))</f>
        <v/>
      </c>
      <c r="AQ881">
        <f>IF($AG881="","",TRIM(IF(COUNTIFS(Calc!$B$2:$B$1601,ROW()-1,Calc!$C$2:$C$1601,"&lt;1")&gt;0,"Ada PO tanpa Koli - cek TMP. ","")&amp;IF(LEN($R881)&gt;500,"R &gt; 500 karakter.","")))</f>
        <v/>
      </c>
    </row>
    <row r="882">
      <c r="A882">
        <f>IF($AG882="","",INDEX('TMP Paste'!$B$2:$B$1601,$AG882))</f>
        <v/>
      </c>
      <c r="B882">
        <f>IF($AG882="","",Config!$B$14)</f>
        <v/>
      </c>
      <c r="C882">
        <f>IF($AG882="","",Config!$B$15)</f>
        <v/>
      </c>
      <c r="D882">
        <f>IF($AG882="","",INDEX('TMP Paste'!$B$2:$B$1601,$AG882))</f>
        <v/>
      </c>
      <c r="E882">
        <f>IF($AG882="","",Config!$B$27)</f>
        <v/>
      </c>
      <c r="F882">
        <f>IF($AG882="","",Config!$B$9)</f>
        <v/>
      </c>
      <c r="G882">
        <f>IF($AG882="","",Config!$B$10)</f>
        <v/>
      </c>
      <c r="H882">
        <f>IF($AG882="","",Config!$B$11)</f>
        <v/>
      </c>
      <c r="I882">
        <f>IF($AG882="","",Config!$B$16)</f>
        <v/>
      </c>
      <c r="J882">
        <f>IF($AG882="","",INDEX('TMP Paste'!$A$2:$A$1601,$AG882))</f>
        <v/>
      </c>
      <c r="K882">
        <f>IF($AG882="","",INDEX('TMP Paste'!$L$2:$L$1601,$AG882))</f>
        <v/>
      </c>
      <c r="L882">
        <f>IF($AG882="","",INDEX('TMP Paste'!$I$2:$I$1601,$AG882))</f>
        <v/>
      </c>
      <c r="M882">
        <f>IF($AG882="","",Config!$B$16)</f>
        <v/>
      </c>
      <c r="N882">
        <f>IF($AG882="","","")</f>
        <v/>
      </c>
      <c r="O882">
        <f>IF($AG882="","",INDEX('TMP Paste'!$K$2:$K$1601,$AG882))</f>
        <v/>
      </c>
      <c r="P882">
        <f>IF($AG882="","","")</f>
        <v/>
      </c>
      <c r="Q882">
        <f>IF($AG882="","",INDEX('TMP Paste'!$J$2:$J$1601,$AG882))</f>
        <v/>
      </c>
      <c r="R882">
        <f>IF($AG882="","",Config!$B$24)</f>
        <v/>
      </c>
      <c r="S882">
        <f>IF($AG882="","",TEXT(Config!$B$4,"yyyy-mm-dd"))</f>
        <v/>
      </c>
      <c r="T882">
        <f>IF($AG882="","",Config!$B$17)</f>
        <v/>
      </c>
      <c r="U882">
        <f>IF($AG882="","",Config!$B$18)</f>
        <v/>
      </c>
      <c r="V882">
        <f>IF($AG882="","",Config!$B$19)</f>
        <v/>
      </c>
      <c r="W882">
        <f>IF($AG882="","",INDEX('TMP Paste'!$C$2:$C$1601,$AG882))</f>
        <v/>
      </c>
      <c r="X882">
        <f>IF($AG882="","",Config!$B$29)</f>
        <v/>
      </c>
      <c r="Y882">
        <f>IF($AH882="","",INDEX(Calc!$I$2:$I$1601,$AH882)&amp;" - "&amp;INDEX(Calc!$D$2:$D$1601,$AH882)&amp;" koli")</f>
        <v/>
      </c>
      <c r="Z882">
        <f>IF($AG882="","",Config!$B$21)</f>
        <v/>
      </c>
      <c r="AA882">
        <f>IF($AG882="","",Config!$B$22)</f>
        <v/>
      </c>
      <c r="AB882">
        <f>IF($AH882="","",INDEX(Calc!$D$2:$D$1601,$AH882))</f>
        <v/>
      </c>
      <c r="AC882">
        <f>IF($AH882="","",INDEX(Calc!$G$2:$G$1601,$AH882))</f>
        <v/>
      </c>
      <c r="AD882">
        <f>IF($AG882="","",Config!$B$23)</f>
        <v/>
      </c>
      <c r="AE882">
        <f>IF($AG882="","",Config!$B$28)</f>
        <v/>
      </c>
      <c r="AG882">
        <f>IFERROR(MATCH(ROW()-1,Calc!$J$2:$J$1601,0),"")</f>
        <v/>
      </c>
      <c r="AH882">
        <f>IFERROR(MATCH(ROW()-1,Calc!$K$2:$K$1601,0),"")</f>
        <v/>
      </c>
      <c r="AI882">
        <f>IF($AG882="","",SUMIF($AG$2:$AG882,$AG882,$AH$2:$AH882))</f>
        <v/>
      </c>
      <c r="AJ882">
        <f>IF('TMP Paste'!$F882="","",IF('TMP Paste'!$B882="",$AJ881,'TMP Paste'!$B882))</f>
        <v/>
      </c>
      <c r="AK882">
        <f>IF('TMP Paste'!$F882="","",N('TMP Paste'!$G882))</f>
        <v/>
      </c>
      <c r="AL882">
        <f>IF('TMP Paste'!$F882="","",IF('TMP Paste'!$M882="",$AL881,'TMP Paste'!$M882))</f>
        <v/>
      </c>
      <c r="AM882">
        <f>IF('TMP Paste'!$F882="","",IF('TMP Paste'!$N882="",$AM881,'TMP Paste'!$N882))</f>
        <v/>
      </c>
      <c r="AN882">
        <f>IF('TMP Paste'!$F882="","",IF('TMP Paste'!$O882="",$AN881,'TMP Paste'!$O882))</f>
        <v/>
      </c>
      <c r="AO882">
        <f>IF('TMP Paste'!$F882="","",IF('TMP Paste'!$P882="",$AO881,'TMP Paste'!$P882))</f>
        <v/>
      </c>
      <c r="AP882">
        <f>IF($AG882="","",LEN($R882))</f>
        <v/>
      </c>
      <c r="AQ882">
        <f>IF($AG882="","",TRIM(IF(COUNTIFS(Calc!$B$2:$B$1601,ROW()-1,Calc!$C$2:$C$1601,"&lt;1")&gt;0,"Ada PO tanpa Koli - cek TMP. ","")&amp;IF(LEN($R882)&gt;500,"R &gt; 500 karakter.","")))</f>
        <v/>
      </c>
    </row>
    <row r="883">
      <c r="A883">
        <f>IF($AG883="","",INDEX('TMP Paste'!$B$2:$B$1601,$AG883))</f>
        <v/>
      </c>
      <c r="B883">
        <f>IF($AG883="","",Config!$B$14)</f>
        <v/>
      </c>
      <c r="C883">
        <f>IF($AG883="","",Config!$B$15)</f>
        <v/>
      </c>
      <c r="D883">
        <f>IF($AG883="","",INDEX('TMP Paste'!$B$2:$B$1601,$AG883))</f>
        <v/>
      </c>
      <c r="E883">
        <f>IF($AG883="","",Config!$B$27)</f>
        <v/>
      </c>
      <c r="F883">
        <f>IF($AG883="","",Config!$B$9)</f>
        <v/>
      </c>
      <c r="G883">
        <f>IF($AG883="","",Config!$B$10)</f>
        <v/>
      </c>
      <c r="H883">
        <f>IF($AG883="","",Config!$B$11)</f>
        <v/>
      </c>
      <c r="I883">
        <f>IF($AG883="","",Config!$B$16)</f>
        <v/>
      </c>
      <c r="J883">
        <f>IF($AG883="","",INDEX('TMP Paste'!$A$2:$A$1601,$AG883))</f>
        <v/>
      </c>
      <c r="K883">
        <f>IF($AG883="","",INDEX('TMP Paste'!$L$2:$L$1601,$AG883))</f>
        <v/>
      </c>
      <c r="L883">
        <f>IF($AG883="","",INDEX('TMP Paste'!$I$2:$I$1601,$AG883))</f>
        <v/>
      </c>
      <c r="M883">
        <f>IF($AG883="","",Config!$B$16)</f>
        <v/>
      </c>
      <c r="N883">
        <f>IF($AG883="","","")</f>
        <v/>
      </c>
      <c r="O883">
        <f>IF($AG883="","",INDEX('TMP Paste'!$K$2:$K$1601,$AG883))</f>
        <v/>
      </c>
      <c r="P883">
        <f>IF($AG883="","","")</f>
        <v/>
      </c>
      <c r="Q883">
        <f>IF($AG883="","",INDEX('TMP Paste'!$J$2:$J$1601,$AG883))</f>
        <v/>
      </c>
      <c r="R883">
        <f>IF($AG883="","",Config!$B$24)</f>
        <v/>
      </c>
      <c r="S883">
        <f>IF($AG883="","",TEXT(Config!$B$4,"yyyy-mm-dd"))</f>
        <v/>
      </c>
      <c r="T883">
        <f>IF($AG883="","",Config!$B$17)</f>
        <v/>
      </c>
      <c r="U883">
        <f>IF($AG883="","",Config!$B$18)</f>
        <v/>
      </c>
      <c r="V883">
        <f>IF($AG883="","",Config!$B$19)</f>
        <v/>
      </c>
      <c r="W883">
        <f>IF($AG883="","",INDEX('TMP Paste'!$C$2:$C$1601,$AG883))</f>
        <v/>
      </c>
      <c r="X883">
        <f>IF($AG883="","",Config!$B$29)</f>
        <v/>
      </c>
      <c r="Y883">
        <f>IF($AH883="","",INDEX(Calc!$I$2:$I$1601,$AH883)&amp;" - "&amp;INDEX(Calc!$D$2:$D$1601,$AH883)&amp;" koli")</f>
        <v/>
      </c>
      <c r="Z883">
        <f>IF($AG883="","",Config!$B$21)</f>
        <v/>
      </c>
      <c r="AA883">
        <f>IF($AG883="","",Config!$B$22)</f>
        <v/>
      </c>
      <c r="AB883">
        <f>IF($AH883="","",INDEX(Calc!$D$2:$D$1601,$AH883))</f>
        <v/>
      </c>
      <c r="AC883">
        <f>IF($AH883="","",INDEX(Calc!$G$2:$G$1601,$AH883))</f>
        <v/>
      </c>
      <c r="AD883">
        <f>IF($AG883="","",Config!$B$23)</f>
        <v/>
      </c>
      <c r="AE883">
        <f>IF($AG883="","",Config!$B$28)</f>
        <v/>
      </c>
      <c r="AG883">
        <f>IFERROR(MATCH(ROW()-1,Calc!$J$2:$J$1601,0),"")</f>
        <v/>
      </c>
      <c r="AH883">
        <f>IFERROR(MATCH(ROW()-1,Calc!$K$2:$K$1601,0),"")</f>
        <v/>
      </c>
      <c r="AI883">
        <f>IF($AG883="","",SUMIF($AG$2:$AG883,$AG883,$AH$2:$AH883))</f>
        <v/>
      </c>
      <c r="AJ883">
        <f>IF('TMP Paste'!$F883="","",IF('TMP Paste'!$B883="",$AJ882,'TMP Paste'!$B883))</f>
        <v/>
      </c>
      <c r="AK883">
        <f>IF('TMP Paste'!$F883="","",N('TMP Paste'!$G883))</f>
        <v/>
      </c>
      <c r="AL883">
        <f>IF('TMP Paste'!$F883="","",IF('TMP Paste'!$M883="",$AL882,'TMP Paste'!$M883))</f>
        <v/>
      </c>
      <c r="AM883">
        <f>IF('TMP Paste'!$F883="","",IF('TMP Paste'!$N883="",$AM882,'TMP Paste'!$N883))</f>
        <v/>
      </c>
      <c r="AN883">
        <f>IF('TMP Paste'!$F883="","",IF('TMP Paste'!$O883="",$AN882,'TMP Paste'!$O883))</f>
        <v/>
      </c>
      <c r="AO883">
        <f>IF('TMP Paste'!$F883="","",IF('TMP Paste'!$P883="",$AO882,'TMP Paste'!$P883))</f>
        <v/>
      </c>
      <c r="AP883">
        <f>IF($AG883="","",LEN($R883))</f>
        <v/>
      </c>
      <c r="AQ883">
        <f>IF($AG883="","",TRIM(IF(COUNTIFS(Calc!$B$2:$B$1601,ROW()-1,Calc!$C$2:$C$1601,"&lt;1")&gt;0,"Ada PO tanpa Koli - cek TMP. ","")&amp;IF(LEN($R883)&gt;500,"R &gt; 500 karakter.","")))</f>
        <v/>
      </c>
    </row>
    <row r="884">
      <c r="A884">
        <f>IF($AG884="","",INDEX('TMP Paste'!$B$2:$B$1601,$AG884))</f>
        <v/>
      </c>
      <c r="B884">
        <f>IF($AG884="","",Config!$B$14)</f>
        <v/>
      </c>
      <c r="C884">
        <f>IF($AG884="","",Config!$B$15)</f>
        <v/>
      </c>
      <c r="D884">
        <f>IF($AG884="","",INDEX('TMP Paste'!$B$2:$B$1601,$AG884))</f>
        <v/>
      </c>
      <c r="E884">
        <f>IF($AG884="","",Config!$B$27)</f>
        <v/>
      </c>
      <c r="F884">
        <f>IF($AG884="","",Config!$B$9)</f>
        <v/>
      </c>
      <c r="G884">
        <f>IF($AG884="","",Config!$B$10)</f>
        <v/>
      </c>
      <c r="H884">
        <f>IF($AG884="","",Config!$B$11)</f>
        <v/>
      </c>
      <c r="I884">
        <f>IF($AG884="","",Config!$B$16)</f>
        <v/>
      </c>
      <c r="J884">
        <f>IF($AG884="","",INDEX('TMP Paste'!$A$2:$A$1601,$AG884))</f>
        <v/>
      </c>
      <c r="K884">
        <f>IF($AG884="","",INDEX('TMP Paste'!$L$2:$L$1601,$AG884))</f>
        <v/>
      </c>
      <c r="L884">
        <f>IF($AG884="","",INDEX('TMP Paste'!$I$2:$I$1601,$AG884))</f>
        <v/>
      </c>
      <c r="M884">
        <f>IF($AG884="","",Config!$B$16)</f>
        <v/>
      </c>
      <c r="N884">
        <f>IF($AG884="","","")</f>
        <v/>
      </c>
      <c r="O884">
        <f>IF($AG884="","",INDEX('TMP Paste'!$K$2:$K$1601,$AG884))</f>
        <v/>
      </c>
      <c r="P884">
        <f>IF($AG884="","","")</f>
        <v/>
      </c>
      <c r="Q884">
        <f>IF($AG884="","",INDEX('TMP Paste'!$J$2:$J$1601,$AG884))</f>
        <v/>
      </c>
      <c r="R884">
        <f>IF($AG884="","",Config!$B$24)</f>
        <v/>
      </c>
      <c r="S884">
        <f>IF($AG884="","",TEXT(Config!$B$4,"yyyy-mm-dd"))</f>
        <v/>
      </c>
      <c r="T884">
        <f>IF($AG884="","",Config!$B$17)</f>
        <v/>
      </c>
      <c r="U884">
        <f>IF($AG884="","",Config!$B$18)</f>
        <v/>
      </c>
      <c r="V884">
        <f>IF($AG884="","",Config!$B$19)</f>
        <v/>
      </c>
      <c r="W884">
        <f>IF($AG884="","",INDEX('TMP Paste'!$C$2:$C$1601,$AG884))</f>
        <v/>
      </c>
      <c r="X884">
        <f>IF($AG884="","",Config!$B$29)</f>
        <v/>
      </c>
      <c r="Y884">
        <f>IF($AH884="","",INDEX(Calc!$I$2:$I$1601,$AH884)&amp;" - "&amp;INDEX(Calc!$D$2:$D$1601,$AH884)&amp;" koli")</f>
        <v/>
      </c>
      <c r="Z884">
        <f>IF($AG884="","",Config!$B$21)</f>
        <v/>
      </c>
      <c r="AA884">
        <f>IF($AG884="","",Config!$B$22)</f>
        <v/>
      </c>
      <c r="AB884">
        <f>IF($AH884="","",INDEX(Calc!$D$2:$D$1601,$AH884))</f>
        <v/>
      </c>
      <c r="AC884">
        <f>IF($AH884="","",INDEX(Calc!$G$2:$G$1601,$AH884))</f>
        <v/>
      </c>
      <c r="AD884">
        <f>IF($AG884="","",Config!$B$23)</f>
        <v/>
      </c>
      <c r="AE884">
        <f>IF($AG884="","",Config!$B$28)</f>
        <v/>
      </c>
      <c r="AG884">
        <f>IFERROR(MATCH(ROW()-1,Calc!$J$2:$J$1601,0),"")</f>
        <v/>
      </c>
      <c r="AH884">
        <f>IFERROR(MATCH(ROW()-1,Calc!$K$2:$K$1601,0),"")</f>
        <v/>
      </c>
      <c r="AI884">
        <f>IF($AG884="","",SUMIF($AG$2:$AG884,$AG884,$AH$2:$AH884))</f>
        <v/>
      </c>
      <c r="AJ884">
        <f>IF('TMP Paste'!$F884="","",IF('TMP Paste'!$B884="",$AJ883,'TMP Paste'!$B884))</f>
        <v/>
      </c>
      <c r="AK884">
        <f>IF('TMP Paste'!$F884="","",N('TMP Paste'!$G884))</f>
        <v/>
      </c>
      <c r="AL884">
        <f>IF('TMP Paste'!$F884="","",IF('TMP Paste'!$M884="",$AL883,'TMP Paste'!$M884))</f>
        <v/>
      </c>
      <c r="AM884">
        <f>IF('TMP Paste'!$F884="","",IF('TMP Paste'!$N884="",$AM883,'TMP Paste'!$N884))</f>
        <v/>
      </c>
      <c r="AN884">
        <f>IF('TMP Paste'!$F884="","",IF('TMP Paste'!$O884="",$AN883,'TMP Paste'!$O884))</f>
        <v/>
      </c>
      <c r="AO884">
        <f>IF('TMP Paste'!$F884="","",IF('TMP Paste'!$P884="",$AO883,'TMP Paste'!$P884))</f>
        <v/>
      </c>
      <c r="AP884">
        <f>IF($AG884="","",LEN($R884))</f>
        <v/>
      </c>
      <c r="AQ884">
        <f>IF($AG884="","",TRIM(IF(COUNTIFS(Calc!$B$2:$B$1601,ROW()-1,Calc!$C$2:$C$1601,"&lt;1")&gt;0,"Ada PO tanpa Koli - cek TMP. ","")&amp;IF(LEN($R884)&gt;500,"R &gt; 500 karakter.","")))</f>
        <v/>
      </c>
    </row>
    <row r="885">
      <c r="A885">
        <f>IF($AG885="","",INDEX('TMP Paste'!$B$2:$B$1601,$AG885))</f>
        <v/>
      </c>
      <c r="B885">
        <f>IF($AG885="","",Config!$B$14)</f>
        <v/>
      </c>
      <c r="C885">
        <f>IF($AG885="","",Config!$B$15)</f>
        <v/>
      </c>
      <c r="D885">
        <f>IF($AG885="","",INDEX('TMP Paste'!$B$2:$B$1601,$AG885))</f>
        <v/>
      </c>
      <c r="E885">
        <f>IF($AG885="","",Config!$B$27)</f>
        <v/>
      </c>
      <c r="F885">
        <f>IF($AG885="","",Config!$B$9)</f>
        <v/>
      </c>
      <c r="G885">
        <f>IF($AG885="","",Config!$B$10)</f>
        <v/>
      </c>
      <c r="H885">
        <f>IF($AG885="","",Config!$B$11)</f>
        <v/>
      </c>
      <c r="I885">
        <f>IF($AG885="","",Config!$B$16)</f>
        <v/>
      </c>
      <c r="J885">
        <f>IF($AG885="","",INDEX('TMP Paste'!$A$2:$A$1601,$AG885))</f>
        <v/>
      </c>
      <c r="K885">
        <f>IF($AG885="","",INDEX('TMP Paste'!$L$2:$L$1601,$AG885))</f>
        <v/>
      </c>
      <c r="L885">
        <f>IF($AG885="","",INDEX('TMP Paste'!$I$2:$I$1601,$AG885))</f>
        <v/>
      </c>
      <c r="M885">
        <f>IF($AG885="","",Config!$B$16)</f>
        <v/>
      </c>
      <c r="N885">
        <f>IF($AG885="","","")</f>
        <v/>
      </c>
      <c r="O885">
        <f>IF($AG885="","",INDEX('TMP Paste'!$K$2:$K$1601,$AG885))</f>
        <v/>
      </c>
      <c r="P885">
        <f>IF($AG885="","","")</f>
        <v/>
      </c>
      <c r="Q885">
        <f>IF($AG885="","",INDEX('TMP Paste'!$J$2:$J$1601,$AG885))</f>
        <v/>
      </c>
      <c r="R885">
        <f>IF($AG885="","",Config!$B$24)</f>
        <v/>
      </c>
      <c r="S885">
        <f>IF($AG885="","",TEXT(Config!$B$4,"yyyy-mm-dd"))</f>
        <v/>
      </c>
      <c r="T885">
        <f>IF($AG885="","",Config!$B$17)</f>
        <v/>
      </c>
      <c r="U885">
        <f>IF($AG885="","",Config!$B$18)</f>
        <v/>
      </c>
      <c r="V885">
        <f>IF($AG885="","",Config!$B$19)</f>
        <v/>
      </c>
      <c r="W885">
        <f>IF($AG885="","",INDEX('TMP Paste'!$C$2:$C$1601,$AG885))</f>
        <v/>
      </c>
      <c r="X885">
        <f>IF($AG885="","",Config!$B$29)</f>
        <v/>
      </c>
      <c r="Y885">
        <f>IF($AH885="","",INDEX(Calc!$I$2:$I$1601,$AH885)&amp;" - "&amp;INDEX(Calc!$D$2:$D$1601,$AH885)&amp;" koli")</f>
        <v/>
      </c>
      <c r="Z885">
        <f>IF($AG885="","",Config!$B$21)</f>
        <v/>
      </c>
      <c r="AA885">
        <f>IF($AG885="","",Config!$B$22)</f>
        <v/>
      </c>
      <c r="AB885">
        <f>IF($AH885="","",INDEX(Calc!$D$2:$D$1601,$AH885))</f>
        <v/>
      </c>
      <c r="AC885">
        <f>IF($AH885="","",INDEX(Calc!$G$2:$G$1601,$AH885))</f>
        <v/>
      </c>
      <c r="AD885">
        <f>IF($AG885="","",Config!$B$23)</f>
        <v/>
      </c>
      <c r="AE885">
        <f>IF($AG885="","",Config!$B$28)</f>
        <v/>
      </c>
      <c r="AG885">
        <f>IFERROR(MATCH(ROW()-1,Calc!$J$2:$J$1601,0),"")</f>
        <v/>
      </c>
      <c r="AH885">
        <f>IFERROR(MATCH(ROW()-1,Calc!$K$2:$K$1601,0),"")</f>
        <v/>
      </c>
      <c r="AI885">
        <f>IF($AG885="","",SUMIF($AG$2:$AG885,$AG885,$AH$2:$AH885))</f>
        <v/>
      </c>
      <c r="AJ885">
        <f>IF('TMP Paste'!$F885="","",IF('TMP Paste'!$B885="",$AJ884,'TMP Paste'!$B885))</f>
        <v/>
      </c>
      <c r="AK885">
        <f>IF('TMP Paste'!$F885="","",N('TMP Paste'!$G885))</f>
        <v/>
      </c>
      <c r="AL885">
        <f>IF('TMP Paste'!$F885="","",IF('TMP Paste'!$M885="",$AL884,'TMP Paste'!$M885))</f>
        <v/>
      </c>
      <c r="AM885">
        <f>IF('TMP Paste'!$F885="","",IF('TMP Paste'!$N885="",$AM884,'TMP Paste'!$N885))</f>
        <v/>
      </c>
      <c r="AN885">
        <f>IF('TMP Paste'!$F885="","",IF('TMP Paste'!$O885="",$AN884,'TMP Paste'!$O885))</f>
        <v/>
      </c>
      <c r="AO885">
        <f>IF('TMP Paste'!$F885="","",IF('TMP Paste'!$P885="",$AO884,'TMP Paste'!$P885))</f>
        <v/>
      </c>
      <c r="AP885">
        <f>IF($AG885="","",LEN($R885))</f>
        <v/>
      </c>
      <c r="AQ885">
        <f>IF($AG885="","",TRIM(IF(COUNTIFS(Calc!$B$2:$B$1601,ROW()-1,Calc!$C$2:$C$1601,"&lt;1")&gt;0,"Ada PO tanpa Koli - cek TMP. ","")&amp;IF(LEN($R885)&gt;500,"R &gt; 500 karakter.","")))</f>
        <v/>
      </c>
    </row>
    <row r="886">
      <c r="A886">
        <f>IF($AG886="","",INDEX('TMP Paste'!$B$2:$B$1601,$AG886))</f>
        <v/>
      </c>
      <c r="B886">
        <f>IF($AG886="","",Config!$B$14)</f>
        <v/>
      </c>
      <c r="C886">
        <f>IF($AG886="","",Config!$B$15)</f>
        <v/>
      </c>
      <c r="D886">
        <f>IF($AG886="","",INDEX('TMP Paste'!$B$2:$B$1601,$AG886))</f>
        <v/>
      </c>
      <c r="E886">
        <f>IF($AG886="","",Config!$B$27)</f>
        <v/>
      </c>
      <c r="F886">
        <f>IF($AG886="","",Config!$B$9)</f>
        <v/>
      </c>
      <c r="G886">
        <f>IF($AG886="","",Config!$B$10)</f>
        <v/>
      </c>
      <c r="H886">
        <f>IF($AG886="","",Config!$B$11)</f>
        <v/>
      </c>
      <c r="I886">
        <f>IF($AG886="","",Config!$B$16)</f>
        <v/>
      </c>
      <c r="J886">
        <f>IF($AG886="","",INDEX('TMP Paste'!$A$2:$A$1601,$AG886))</f>
        <v/>
      </c>
      <c r="K886">
        <f>IF($AG886="","",INDEX('TMP Paste'!$L$2:$L$1601,$AG886))</f>
        <v/>
      </c>
      <c r="L886">
        <f>IF($AG886="","",INDEX('TMP Paste'!$I$2:$I$1601,$AG886))</f>
        <v/>
      </c>
      <c r="M886">
        <f>IF($AG886="","",Config!$B$16)</f>
        <v/>
      </c>
      <c r="N886">
        <f>IF($AG886="","","")</f>
        <v/>
      </c>
      <c r="O886">
        <f>IF($AG886="","",INDEX('TMP Paste'!$K$2:$K$1601,$AG886))</f>
        <v/>
      </c>
      <c r="P886">
        <f>IF($AG886="","","")</f>
        <v/>
      </c>
      <c r="Q886">
        <f>IF($AG886="","",INDEX('TMP Paste'!$J$2:$J$1601,$AG886))</f>
        <v/>
      </c>
      <c r="R886">
        <f>IF($AG886="","",Config!$B$24)</f>
        <v/>
      </c>
      <c r="S886">
        <f>IF($AG886="","",TEXT(Config!$B$4,"yyyy-mm-dd"))</f>
        <v/>
      </c>
      <c r="T886">
        <f>IF($AG886="","",Config!$B$17)</f>
        <v/>
      </c>
      <c r="U886">
        <f>IF($AG886="","",Config!$B$18)</f>
        <v/>
      </c>
      <c r="V886">
        <f>IF($AG886="","",Config!$B$19)</f>
        <v/>
      </c>
      <c r="W886">
        <f>IF($AG886="","",INDEX('TMP Paste'!$C$2:$C$1601,$AG886))</f>
        <v/>
      </c>
      <c r="X886">
        <f>IF($AG886="","",Config!$B$29)</f>
        <v/>
      </c>
      <c r="Y886">
        <f>IF($AH886="","",INDEX(Calc!$I$2:$I$1601,$AH886)&amp;" - "&amp;INDEX(Calc!$D$2:$D$1601,$AH886)&amp;" koli")</f>
        <v/>
      </c>
      <c r="Z886">
        <f>IF($AG886="","",Config!$B$21)</f>
        <v/>
      </c>
      <c r="AA886">
        <f>IF($AG886="","",Config!$B$22)</f>
        <v/>
      </c>
      <c r="AB886">
        <f>IF($AH886="","",INDEX(Calc!$D$2:$D$1601,$AH886))</f>
        <v/>
      </c>
      <c r="AC886">
        <f>IF($AH886="","",INDEX(Calc!$G$2:$G$1601,$AH886))</f>
        <v/>
      </c>
      <c r="AD886">
        <f>IF($AG886="","",Config!$B$23)</f>
        <v/>
      </c>
      <c r="AE886">
        <f>IF($AG886="","",Config!$B$28)</f>
        <v/>
      </c>
      <c r="AG886">
        <f>IFERROR(MATCH(ROW()-1,Calc!$J$2:$J$1601,0),"")</f>
        <v/>
      </c>
      <c r="AH886">
        <f>IFERROR(MATCH(ROW()-1,Calc!$K$2:$K$1601,0),"")</f>
        <v/>
      </c>
      <c r="AI886">
        <f>IF($AG886="","",SUMIF($AG$2:$AG886,$AG886,$AH$2:$AH886))</f>
        <v/>
      </c>
      <c r="AJ886">
        <f>IF('TMP Paste'!$F886="","",IF('TMP Paste'!$B886="",$AJ885,'TMP Paste'!$B886))</f>
        <v/>
      </c>
      <c r="AK886">
        <f>IF('TMP Paste'!$F886="","",N('TMP Paste'!$G886))</f>
        <v/>
      </c>
      <c r="AL886">
        <f>IF('TMP Paste'!$F886="","",IF('TMP Paste'!$M886="",$AL885,'TMP Paste'!$M886))</f>
        <v/>
      </c>
      <c r="AM886">
        <f>IF('TMP Paste'!$F886="","",IF('TMP Paste'!$N886="",$AM885,'TMP Paste'!$N886))</f>
        <v/>
      </c>
      <c r="AN886">
        <f>IF('TMP Paste'!$F886="","",IF('TMP Paste'!$O886="",$AN885,'TMP Paste'!$O886))</f>
        <v/>
      </c>
      <c r="AO886">
        <f>IF('TMP Paste'!$F886="","",IF('TMP Paste'!$P886="",$AO885,'TMP Paste'!$P886))</f>
        <v/>
      </c>
      <c r="AP886">
        <f>IF($AG886="","",LEN($R886))</f>
        <v/>
      </c>
      <c r="AQ886">
        <f>IF($AG886="","",TRIM(IF(COUNTIFS(Calc!$B$2:$B$1601,ROW()-1,Calc!$C$2:$C$1601,"&lt;1")&gt;0,"Ada PO tanpa Koli - cek TMP. ","")&amp;IF(LEN($R886)&gt;500,"R &gt; 500 karakter.","")))</f>
        <v/>
      </c>
    </row>
    <row r="887">
      <c r="A887">
        <f>IF($AG887="","",INDEX('TMP Paste'!$B$2:$B$1601,$AG887))</f>
        <v/>
      </c>
      <c r="B887">
        <f>IF($AG887="","",Config!$B$14)</f>
        <v/>
      </c>
      <c r="C887">
        <f>IF($AG887="","",Config!$B$15)</f>
        <v/>
      </c>
      <c r="D887">
        <f>IF($AG887="","",INDEX('TMP Paste'!$B$2:$B$1601,$AG887))</f>
        <v/>
      </c>
      <c r="E887">
        <f>IF($AG887="","",Config!$B$27)</f>
        <v/>
      </c>
      <c r="F887">
        <f>IF($AG887="","",Config!$B$9)</f>
        <v/>
      </c>
      <c r="G887">
        <f>IF($AG887="","",Config!$B$10)</f>
        <v/>
      </c>
      <c r="H887">
        <f>IF($AG887="","",Config!$B$11)</f>
        <v/>
      </c>
      <c r="I887">
        <f>IF($AG887="","",Config!$B$16)</f>
        <v/>
      </c>
      <c r="J887">
        <f>IF($AG887="","",INDEX('TMP Paste'!$A$2:$A$1601,$AG887))</f>
        <v/>
      </c>
      <c r="K887">
        <f>IF($AG887="","",INDEX('TMP Paste'!$L$2:$L$1601,$AG887))</f>
        <v/>
      </c>
      <c r="L887">
        <f>IF($AG887="","",INDEX('TMP Paste'!$I$2:$I$1601,$AG887))</f>
        <v/>
      </c>
      <c r="M887">
        <f>IF($AG887="","",Config!$B$16)</f>
        <v/>
      </c>
      <c r="N887">
        <f>IF($AG887="","","")</f>
        <v/>
      </c>
      <c r="O887">
        <f>IF($AG887="","",INDEX('TMP Paste'!$K$2:$K$1601,$AG887))</f>
        <v/>
      </c>
      <c r="P887">
        <f>IF($AG887="","","")</f>
        <v/>
      </c>
      <c r="Q887">
        <f>IF($AG887="","",INDEX('TMP Paste'!$J$2:$J$1601,$AG887))</f>
        <v/>
      </c>
      <c r="R887">
        <f>IF($AG887="","",Config!$B$24)</f>
        <v/>
      </c>
      <c r="S887">
        <f>IF($AG887="","",TEXT(Config!$B$4,"yyyy-mm-dd"))</f>
        <v/>
      </c>
      <c r="T887">
        <f>IF($AG887="","",Config!$B$17)</f>
        <v/>
      </c>
      <c r="U887">
        <f>IF($AG887="","",Config!$B$18)</f>
        <v/>
      </c>
      <c r="V887">
        <f>IF($AG887="","",Config!$B$19)</f>
        <v/>
      </c>
      <c r="W887">
        <f>IF($AG887="","",INDEX('TMP Paste'!$C$2:$C$1601,$AG887))</f>
        <v/>
      </c>
      <c r="X887">
        <f>IF($AG887="","",Config!$B$29)</f>
        <v/>
      </c>
      <c r="Y887">
        <f>IF($AH887="","",INDEX(Calc!$I$2:$I$1601,$AH887)&amp;" - "&amp;INDEX(Calc!$D$2:$D$1601,$AH887)&amp;" koli")</f>
        <v/>
      </c>
      <c r="Z887">
        <f>IF($AG887="","",Config!$B$21)</f>
        <v/>
      </c>
      <c r="AA887">
        <f>IF($AG887="","",Config!$B$22)</f>
        <v/>
      </c>
      <c r="AB887">
        <f>IF($AH887="","",INDEX(Calc!$D$2:$D$1601,$AH887))</f>
        <v/>
      </c>
      <c r="AC887">
        <f>IF($AH887="","",INDEX(Calc!$G$2:$G$1601,$AH887))</f>
        <v/>
      </c>
      <c r="AD887">
        <f>IF($AG887="","",Config!$B$23)</f>
        <v/>
      </c>
      <c r="AE887">
        <f>IF($AG887="","",Config!$B$28)</f>
        <v/>
      </c>
      <c r="AG887">
        <f>IFERROR(MATCH(ROW()-1,Calc!$J$2:$J$1601,0),"")</f>
        <v/>
      </c>
      <c r="AH887">
        <f>IFERROR(MATCH(ROW()-1,Calc!$K$2:$K$1601,0),"")</f>
        <v/>
      </c>
      <c r="AI887">
        <f>IF($AG887="","",SUMIF($AG$2:$AG887,$AG887,$AH$2:$AH887))</f>
        <v/>
      </c>
      <c r="AJ887">
        <f>IF('TMP Paste'!$F887="","",IF('TMP Paste'!$B887="",$AJ886,'TMP Paste'!$B887))</f>
        <v/>
      </c>
      <c r="AK887">
        <f>IF('TMP Paste'!$F887="","",N('TMP Paste'!$G887))</f>
        <v/>
      </c>
      <c r="AL887">
        <f>IF('TMP Paste'!$F887="","",IF('TMP Paste'!$M887="",$AL886,'TMP Paste'!$M887))</f>
        <v/>
      </c>
      <c r="AM887">
        <f>IF('TMP Paste'!$F887="","",IF('TMP Paste'!$N887="",$AM886,'TMP Paste'!$N887))</f>
        <v/>
      </c>
      <c r="AN887">
        <f>IF('TMP Paste'!$F887="","",IF('TMP Paste'!$O887="",$AN886,'TMP Paste'!$O887))</f>
        <v/>
      </c>
      <c r="AO887">
        <f>IF('TMP Paste'!$F887="","",IF('TMP Paste'!$P887="",$AO886,'TMP Paste'!$P887))</f>
        <v/>
      </c>
      <c r="AP887">
        <f>IF($AG887="","",LEN($R887))</f>
        <v/>
      </c>
      <c r="AQ887">
        <f>IF($AG887="","",TRIM(IF(COUNTIFS(Calc!$B$2:$B$1601,ROW()-1,Calc!$C$2:$C$1601,"&lt;1")&gt;0,"Ada PO tanpa Koli - cek TMP. ","")&amp;IF(LEN($R887)&gt;500,"R &gt; 500 karakter.","")))</f>
        <v/>
      </c>
    </row>
    <row r="888">
      <c r="A888">
        <f>IF($AG888="","",INDEX('TMP Paste'!$B$2:$B$1601,$AG888))</f>
        <v/>
      </c>
      <c r="B888">
        <f>IF($AG888="","",Config!$B$14)</f>
        <v/>
      </c>
      <c r="C888">
        <f>IF($AG888="","",Config!$B$15)</f>
        <v/>
      </c>
      <c r="D888">
        <f>IF($AG888="","",INDEX('TMP Paste'!$B$2:$B$1601,$AG888))</f>
        <v/>
      </c>
      <c r="E888">
        <f>IF($AG888="","",Config!$B$27)</f>
        <v/>
      </c>
      <c r="F888">
        <f>IF($AG888="","",Config!$B$9)</f>
        <v/>
      </c>
      <c r="G888">
        <f>IF($AG888="","",Config!$B$10)</f>
        <v/>
      </c>
      <c r="H888">
        <f>IF($AG888="","",Config!$B$11)</f>
        <v/>
      </c>
      <c r="I888">
        <f>IF($AG888="","",Config!$B$16)</f>
        <v/>
      </c>
      <c r="J888">
        <f>IF($AG888="","",INDEX('TMP Paste'!$A$2:$A$1601,$AG888))</f>
        <v/>
      </c>
      <c r="K888">
        <f>IF($AG888="","",INDEX('TMP Paste'!$L$2:$L$1601,$AG888))</f>
        <v/>
      </c>
      <c r="L888">
        <f>IF($AG888="","",INDEX('TMP Paste'!$I$2:$I$1601,$AG888))</f>
        <v/>
      </c>
      <c r="M888">
        <f>IF($AG888="","",Config!$B$16)</f>
        <v/>
      </c>
      <c r="N888">
        <f>IF($AG888="","","")</f>
        <v/>
      </c>
      <c r="O888">
        <f>IF($AG888="","",INDEX('TMP Paste'!$K$2:$K$1601,$AG888))</f>
        <v/>
      </c>
      <c r="P888">
        <f>IF($AG888="","","")</f>
        <v/>
      </c>
      <c r="Q888">
        <f>IF($AG888="","",INDEX('TMP Paste'!$J$2:$J$1601,$AG888))</f>
        <v/>
      </c>
      <c r="R888">
        <f>IF($AG888="","",Config!$B$24)</f>
        <v/>
      </c>
      <c r="S888">
        <f>IF($AG888="","",TEXT(Config!$B$4,"yyyy-mm-dd"))</f>
        <v/>
      </c>
      <c r="T888">
        <f>IF($AG888="","",Config!$B$17)</f>
        <v/>
      </c>
      <c r="U888">
        <f>IF($AG888="","",Config!$B$18)</f>
        <v/>
      </c>
      <c r="V888">
        <f>IF($AG888="","",Config!$B$19)</f>
        <v/>
      </c>
      <c r="W888">
        <f>IF($AG888="","",INDEX('TMP Paste'!$C$2:$C$1601,$AG888))</f>
        <v/>
      </c>
      <c r="X888">
        <f>IF($AG888="","",Config!$B$29)</f>
        <v/>
      </c>
      <c r="Y888">
        <f>IF($AH888="","",INDEX(Calc!$I$2:$I$1601,$AH888)&amp;" - "&amp;INDEX(Calc!$D$2:$D$1601,$AH888)&amp;" koli")</f>
        <v/>
      </c>
      <c r="Z888">
        <f>IF($AG888="","",Config!$B$21)</f>
        <v/>
      </c>
      <c r="AA888">
        <f>IF($AG888="","",Config!$B$22)</f>
        <v/>
      </c>
      <c r="AB888">
        <f>IF($AH888="","",INDEX(Calc!$D$2:$D$1601,$AH888))</f>
        <v/>
      </c>
      <c r="AC888">
        <f>IF($AH888="","",INDEX(Calc!$G$2:$G$1601,$AH888))</f>
        <v/>
      </c>
      <c r="AD888">
        <f>IF($AG888="","",Config!$B$23)</f>
        <v/>
      </c>
      <c r="AE888">
        <f>IF($AG888="","",Config!$B$28)</f>
        <v/>
      </c>
      <c r="AG888">
        <f>IFERROR(MATCH(ROW()-1,Calc!$J$2:$J$1601,0),"")</f>
        <v/>
      </c>
      <c r="AH888">
        <f>IFERROR(MATCH(ROW()-1,Calc!$K$2:$K$1601,0),"")</f>
        <v/>
      </c>
      <c r="AI888">
        <f>IF($AG888="","",SUMIF($AG$2:$AG888,$AG888,$AH$2:$AH888))</f>
        <v/>
      </c>
      <c r="AJ888">
        <f>IF('TMP Paste'!$F888="","",IF('TMP Paste'!$B888="",$AJ887,'TMP Paste'!$B888))</f>
        <v/>
      </c>
      <c r="AK888">
        <f>IF('TMP Paste'!$F888="","",N('TMP Paste'!$G888))</f>
        <v/>
      </c>
      <c r="AL888">
        <f>IF('TMP Paste'!$F888="","",IF('TMP Paste'!$M888="",$AL887,'TMP Paste'!$M888))</f>
        <v/>
      </c>
      <c r="AM888">
        <f>IF('TMP Paste'!$F888="","",IF('TMP Paste'!$N888="",$AM887,'TMP Paste'!$N888))</f>
        <v/>
      </c>
      <c r="AN888">
        <f>IF('TMP Paste'!$F888="","",IF('TMP Paste'!$O888="",$AN887,'TMP Paste'!$O888))</f>
        <v/>
      </c>
      <c r="AO888">
        <f>IF('TMP Paste'!$F888="","",IF('TMP Paste'!$P888="",$AO887,'TMP Paste'!$P888))</f>
        <v/>
      </c>
      <c r="AP888">
        <f>IF($AG888="","",LEN($R888))</f>
        <v/>
      </c>
      <c r="AQ888">
        <f>IF($AG888="","",TRIM(IF(COUNTIFS(Calc!$B$2:$B$1601,ROW()-1,Calc!$C$2:$C$1601,"&lt;1")&gt;0,"Ada PO tanpa Koli - cek TMP. ","")&amp;IF(LEN($R888)&gt;500,"R &gt; 500 karakter.","")))</f>
        <v/>
      </c>
    </row>
    <row r="889">
      <c r="A889">
        <f>IF($AG889="","",INDEX('TMP Paste'!$B$2:$B$1601,$AG889))</f>
        <v/>
      </c>
      <c r="B889">
        <f>IF($AG889="","",Config!$B$14)</f>
        <v/>
      </c>
      <c r="C889">
        <f>IF($AG889="","",Config!$B$15)</f>
        <v/>
      </c>
      <c r="D889">
        <f>IF($AG889="","",INDEX('TMP Paste'!$B$2:$B$1601,$AG889))</f>
        <v/>
      </c>
      <c r="E889">
        <f>IF($AG889="","",Config!$B$27)</f>
        <v/>
      </c>
      <c r="F889">
        <f>IF($AG889="","",Config!$B$9)</f>
        <v/>
      </c>
      <c r="G889">
        <f>IF($AG889="","",Config!$B$10)</f>
        <v/>
      </c>
      <c r="H889">
        <f>IF($AG889="","",Config!$B$11)</f>
        <v/>
      </c>
      <c r="I889">
        <f>IF($AG889="","",Config!$B$16)</f>
        <v/>
      </c>
      <c r="J889">
        <f>IF($AG889="","",INDEX('TMP Paste'!$A$2:$A$1601,$AG889))</f>
        <v/>
      </c>
      <c r="K889">
        <f>IF($AG889="","",INDEX('TMP Paste'!$L$2:$L$1601,$AG889))</f>
        <v/>
      </c>
      <c r="L889">
        <f>IF($AG889="","",INDEX('TMP Paste'!$I$2:$I$1601,$AG889))</f>
        <v/>
      </c>
      <c r="M889">
        <f>IF($AG889="","",Config!$B$16)</f>
        <v/>
      </c>
      <c r="N889">
        <f>IF($AG889="","","")</f>
        <v/>
      </c>
      <c r="O889">
        <f>IF($AG889="","",INDEX('TMP Paste'!$K$2:$K$1601,$AG889))</f>
        <v/>
      </c>
      <c r="P889">
        <f>IF($AG889="","","")</f>
        <v/>
      </c>
      <c r="Q889">
        <f>IF($AG889="","",INDEX('TMP Paste'!$J$2:$J$1601,$AG889))</f>
        <v/>
      </c>
      <c r="R889">
        <f>IF($AG889="","",Config!$B$24)</f>
        <v/>
      </c>
      <c r="S889">
        <f>IF($AG889="","",TEXT(Config!$B$4,"yyyy-mm-dd"))</f>
        <v/>
      </c>
      <c r="T889">
        <f>IF($AG889="","",Config!$B$17)</f>
        <v/>
      </c>
      <c r="U889">
        <f>IF($AG889="","",Config!$B$18)</f>
        <v/>
      </c>
      <c r="V889">
        <f>IF($AG889="","",Config!$B$19)</f>
        <v/>
      </c>
      <c r="W889">
        <f>IF($AG889="","",INDEX('TMP Paste'!$C$2:$C$1601,$AG889))</f>
        <v/>
      </c>
      <c r="X889">
        <f>IF($AG889="","",Config!$B$29)</f>
        <v/>
      </c>
      <c r="Y889">
        <f>IF($AH889="","",INDEX(Calc!$I$2:$I$1601,$AH889)&amp;" - "&amp;INDEX(Calc!$D$2:$D$1601,$AH889)&amp;" koli")</f>
        <v/>
      </c>
      <c r="Z889">
        <f>IF($AG889="","",Config!$B$21)</f>
        <v/>
      </c>
      <c r="AA889">
        <f>IF($AG889="","",Config!$B$22)</f>
        <v/>
      </c>
      <c r="AB889">
        <f>IF($AH889="","",INDEX(Calc!$D$2:$D$1601,$AH889))</f>
        <v/>
      </c>
      <c r="AC889">
        <f>IF($AH889="","",INDEX(Calc!$G$2:$G$1601,$AH889))</f>
        <v/>
      </c>
      <c r="AD889">
        <f>IF($AG889="","",Config!$B$23)</f>
        <v/>
      </c>
      <c r="AE889">
        <f>IF($AG889="","",Config!$B$28)</f>
        <v/>
      </c>
      <c r="AG889">
        <f>IFERROR(MATCH(ROW()-1,Calc!$J$2:$J$1601,0),"")</f>
        <v/>
      </c>
      <c r="AH889">
        <f>IFERROR(MATCH(ROW()-1,Calc!$K$2:$K$1601,0),"")</f>
        <v/>
      </c>
      <c r="AI889">
        <f>IF($AG889="","",SUMIF($AG$2:$AG889,$AG889,$AH$2:$AH889))</f>
        <v/>
      </c>
      <c r="AJ889">
        <f>IF('TMP Paste'!$F889="","",IF('TMP Paste'!$B889="",$AJ888,'TMP Paste'!$B889))</f>
        <v/>
      </c>
      <c r="AK889">
        <f>IF('TMP Paste'!$F889="","",N('TMP Paste'!$G889))</f>
        <v/>
      </c>
      <c r="AL889">
        <f>IF('TMP Paste'!$F889="","",IF('TMP Paste'!$M889="",$AL888,'TMP Paste'!$M889))</f>
        <v/>
      </c>
      <c r="AM889">
        <f>IF('TMP Paste'!$F889="","",IF('TMP Paste'!$N889="",$AM888,'TMP Paste'!$N889))</f>
        <v/>
      </c>
      <c r="AN889">
        <f>IF('TMP Paste'!$F889="","",IF('TMP Paste'!$O889="",$AN888,'TMP Paste'!$O889))</f>
        <v/>
      </c>
      <c r="AO889">
        <f>IF('TMP Paste'!$F889="","",IF('TMP Paste'!$P889="",$AO888,'TMP Paste'!$P889))</f>
        <v/>
      </c>
      <c r="AP889">
        <f>IF($AG889="","",LEN($R889))</f>
        <v/>
      </c>
      <c r="AQ889">
        <f>IF($AG889="","",TRIM(IF(COUNTIFS(Calc!$B$2:$B$1601,ROW()-1,Calc!$C$2:$C$1601,"&lt;1")&gt;0,"Ada PO tanpa Koli - cek TMP. ","")&amp;IF(LEN($R889)&gt;500,"R &gt; 500 karakter.","")))</f>
        <v/>
      </c>
    </row>
    <row r="890">
      <c r="A890">
        <f>IF($AG890="","",INDEX('TMP Paste'!$B$2:$B$1601,$AG890))</f>
        <v/>
      </c>
      <c r="B890">
        <f>IF($AG890="","",Config!$B$14)</f>
        <v/>
      </c>
      <c r="C890">
        <f>IF($AG890="","",Config!$B$15)</f>
        <v/>
      </c>
      <c r="D890">
        <f>IF($AG890="","",INDEX('TMP Paste'!$B$2:$B$1601,$AG890))</f>
        <v/>
      </c>
      <c r="E890">
        <f>IF($AG890="","",Config!$B$27)</f>
        <v/>
      </c>
      <c r="F890">
        <f>IF($AG890="","",Config!$B$9)</f>
        <v/>
      </c>
      <c r="G890">
        <f>IF($AG890="","",Config!$B$10)</f>
        <v/>
      </c>
      <c r="H890">
        <f>IF($AG890="","",Config!$B$11)</f>
        <v/>
      </c>
      <c r="I890">
        <f>IF($AG890="","",Config!$B$16)</f>
        <v/>
      </c>
      <c r="J890">
        <f>IF($AG890="","",INDEX('TMP Paste'!$A$2:$A$1601,$AG890))</f>
        <v/>
      </c>
      <c r="K890">
        <f>IF($AG890="","",INDEX('TMP Paste'!$L$2:$L$1601,$AG890))</f>
        <v/>
      </c>
      <c r="L890">
        <f>IF($AG890="","",INDEX('TMP Paste'!$I$2:$I$1601,$AG890))</f>
        <v/>
      </c>
      <c r="M890">
        <f>IF($AG890="","",Config!$B$16)</f>
        <v/>
      </c>
      <c r="N890">
        <f>IF($AG890="","","")</f>
        <v/>
      </c>
      <c r="O890">
        <f>IF($AG890="","",INDEX('TMP Paste'!$K$2:$K$1601,$AG890))</f>
        <v/>
      </c>
      <c r="P890">
        <f>IF($AG890="","","")</f>
        <v/>
      </c>
      <c r="Q890">
        <f>IF($AG890="","",INDEX('TMP Paste'!$J$2:$J$1601,$AG890))</f>
        <v/>
      </c>
      <c r="R890">
        <f>IF($AG890="","",Config!$B$24)</f>
        <v/>
      </c>
      <c r="S890">
        <f>IF($AG890="","",TEXT(Config!$B$4,"yyyy-mm-dd"))</f>
        <v/>
      </c>
      <c r="T890">
        <f>IF($AG890="","",Config!$B$17)</f>
        <v/>
      </c>
      <c r="U890">
        <f>IF($AG890="","",Config!$B$18)</f>
        <v/>
      </c>
      <c r="V890">
        <f>IF($AG890="","",Config!$B$19)</f>
        <v/>
      </c>
      <c r="W890">
        <f>IF($AG890="","",INDEX('TMP Paste'!$C$2:$C$1601,$AG890))</f>
        <v/>
      </c>
      <c r="X890">
        <f>IF($AG890="","",Config!$B$29)</f>
        <v/>
      </c>
      <c r="Y890">
        <f>IF($AH890="","",INDEX(Calc!$I$2:$I$1601,$AH890)&amp;" - "&amp;INDEX(Calc!$D$2:$D$1601,$AH890)&amp;" koli")</f>
        <v/>
      </c>
      <c r="Z890">
        <f>IF($AG890="","",Config!$B$21)</f>
        <v/>
      </c>
      <c r="AA890">
        <f>IF($AG890="","",Config!$B$22)</f>
        <v/>
      </c>
      <c r="AB890">
        <f>IF($AH890="","",INDEX(Calc!$D$2:$D$1601,$AH890))</f>
        <v/>
      </c>
      <c r="AC890">
        <f>IF($AH890="","",INDEX(Calc!$G$2:$G$1601,$AH890))</f>
        <v/>
      </c>
      <c r="AD890">
        <f>IF($AG890="","",Config!$B$23)</f>
        <v/>
      </c>
      <c r="AE890">
        <f>IF($AG890="","",Config!$B$28)</f>
        <v/>
      </c>
      <c r="AG890">
        <f>IFERROR(MATCH(ROW()-1,Calc!$J$2:$J$1601,0),"")</f>
        <v/>
      </c>
      <c r="AH890">
        <f>IFERROR(MATCH(ROW()-1,Calc!$K$2:$K$1601,0),"")</f>
        <v/>
      </c>
      <c r="AI890">
        <f>IF($AG890="","",SUMIF($AG$2:$AG890,$AG890,$AH$2:$AH890))</f>
        <v/>
      </c>
      <c r="AJ890">
        <f>IF('TMP Paste'!$F890="","",IF('TMP Paste'!$B890="",$AJ889,'TMP Paste'!$B890))</f>
        <v/>
      </c>
      <c r="AK890">
        <f>IF('TMP Paste'!$F890="","",N('TMP Paste'!$G890))</f>
        <v/>
      </c>
      <c r="AL890">
        <f>IF('TMP Paste'!$F890="","",IF('TMP Paste'!$M890="",$AL889,'TMP Paste'!$M890))</f>
        <v/>
      </c>
      <c r="AM890">
        <f>IF('TMP Paste'!$F890="","",IF('TMP Paste'!$N890="",$AM889,'TMP Paste'!$N890))</f>
        <v/>
      </c>
      <c r="AN890">
        <f>IF('TMP Paste'!$F890="","",IF('TMP Paste'!$O890="",$AN889,'TMP Paste'!$O890))</f>
        <v/>
      </c>
      <c r="AO890">
        <f>IF('TMP Paste'!$F890="","",IF('TMP Paste'!$P890="",$AO889,'TMP Paste'!$P890))</f>
        <v/>
      </c>
      <c r="AP890">
        <f>IF($AG890="","",LEN($R890))</f>
        <v/>
      </c>
      <c r="AQ890">
        <f>IF($AG890="","",TRIM(IF(COUNTIFS(Calc!$B$2:$B$1601,ROW()-1,Calc!$C$2:$C$1601,"&lt;1")&gt;0,"Ada PO tanpa Koli - cek TMP. ","")&amp;IF(LEN($R890)&gt;500,"R &gt; 500 karakter.","")))</f>
        <v/>
      </c>
    </row>
    <row r="891">
      <c r="A891">
        <f>IF($AG891="","",INDEX('TMP Paste'!$B$2:$B$1601,$AG891))</f>
        <v/>
      </c>
      <c r="B891">
        <f>IF($AG891="","",Config!$B$14)</f>
        <v/>
      </c>
      <c r="C891">
        <f>IF($AG891="","",Config!$B$15)</f>
        <v/>
      </c>
      <c r="D891">
        <f>IF($AG891="","",INDEX('TMP Paste'!$B$2:$B$1601,$AG891))</f>
        <v/>
      </c>
      <c r="E891">
        <f>IF($AG891="","",Config!$B$27)</f>
        <v/>
      </c>
      <c r="F891">
        <f>IF($AG891="","",Config!$B$9)</f>
        <v/>
      </c>
      <c r="G891">
        <f>IF($AG891="","",Config!$B$10)</f>
        <v/>
      </c>
      <c r="H891">
        <f>IF($AG891="","",Config!$B$11)</f>
        <v/>
      </c>
      <c r="I891">
        <f>IF($AG891="","",Config!$B$16)</f>
        <v/>
      </c>
      <c r="J891">
        <f>IF($AG891="","",INDEX('TMP Paste'!$A$2:$A$1601,$AG891))</f>
        <v/>
      </c>
      <c r="K891">
        <f>IF($AG891="","",INDEX('TMP Paste'!$L$2:$L$1601,$AG891))</f>
        <v/>
      </c>
      <c r="L891">
        <f>IF($AG891="","",INDEX('TMP Paste'!$I$2:$I$1601,$AG891))</f>
        <v/>
      </c>
      <c r="M891">
        <f>IF($AG891="","",Config!$B$16)</f>
        <v/>
      </c>
      <c r="N891">
        <f>IF($AG891="","","")</f>
        <v/>
      </c>
      <c r="O891">
        <f>IF($AG891="","",INDEX('TMP Paste'!$K$2:$K$1601,$AG891))</f>
        <v/>
      </c>
      <c r="P891">
        <f>IF($AG891="","","")</f>
        <v/>
      </c>
      <c r="Q891">
        <f>IF($AG891="","",INDEX('TMP Paste'!$J$2:$J$1601,$AG891))</f>
        <v/>
      </c>
      <c r="R891">
        <f>IF($AG891="","",Config!$B$24)</f>
        <v/>
      </c>
      <c r="S891">
        <f>IF($AG891="","",TEXT(Config!$B$4,"yyyy-mm-dd"))</f>
        <v/>
      </c>
      <c r="T891">
        <f>IF($AG891="","",Config!$B$17)</f>
        <v/>
      </c>
      <c r="U891">
        <f>IF($AG891="","",Config!$B$18)</f>
        <v/>
      </c>
      <c r="V891">
        <f>IF($AG891="","",Config!$B$19)</f>
        <v/>
      </c>
      <c r="W891">
        <f>IF($AG891="","",INDEX('TMP Paste'!$C$2:$C$1601,$AG891))</f>
        <v/>
      </c>
      <c r="X891">
        <f>IF($AG891="","",Config!$B$29)</f>
        <v/>
      </c>
      <c r="Y891">
        <f>IF($AH891="","",INDEX(Calc!$I$2:$I$1601,$AH891)&amp;" - "&amp;INDEX(Calc!$D$2:$D$1601,$AH891)&amp;" koli")</f>
        <v/>
      </c>
      <c r="Z891">
        <f>IF($AG891="","",Config!$B$21)</f>
        <v/>
      </c>
      <c r="AA891">
        <f>IF($AG891="","",Config!$B$22)</f>
        <v/>
      </c>
      <c r="AB891">
        <f>IF($AH891="","",INDEX(Calc!$D$2:$D$1601,$AH891))</f>
        <v/>
      </c>
      <c r="AC891">
        <f>IF($AH891="","",INDEX(Calc!$G$2:$G$1601,$AH891))</f>
        <v/>
      </c>
      <c r="AD891">
        <f>IF($AG891="","",Config!$B$23)</f>
        <v/>
      </c>
      <c r="AE891">
        <f>IF($AG891="","",Config!$B$28)</f>
        <v/>
      </c>
      <c r="AG891">
        <f>IFERROR(MATCH(ROW()-1,Calc!$J$2:$J$1601,0),"")</f>
        <v/>
      </c>
      <c r="AH891">
        <f>IFERROR(MATCH(ROW()-1,Calc!$K$2:$K$1601,0),"")</f>
        <v/>
      </c>
      <c r="AI891">
        <f>IF($AG891="","",SUMIF($AG$2:$AG891,$AG891,$AH$2:$AH891))</f>
        <v/>
      </c>
      <c r="AJ891">
        <f>IF('TMP Paste'!$F891="","",IF('TMP Paste'!$B891="",$AJ890,'TMP Paste'!$B891))</f>
        <v/>
      </c>
      <c r="AK891">
        <f>IF('TMP Paste'!$F891="","",N('TMP Paste'!$G891))</f>
        <v/>
      </c>
      <c r="AL891">
        <f>IF('TMP Paste'!$F891="","",IF('TMP Paste'!$M891="",$AL890,'TMP Paste'!$M891))</f>
        <v/>
      </c>
      <c r="AM891">
        <f>IF('TMP Paste'!$F891="","",IF('TMP Paste'!$N891="",$AM890,'TMP Paste'!$N891))</f>
        <v/>
      </c>
      <c r="AN891">
        <f>IF('TMP Paste'!$F891="","",IF('TMP Paste'!$O891="",$AN890,'TMP Paste'!$O891))</f>
        <v/>
      </c>
      <c r="AO891">
        <f>IF('TMP Paste'!$F891="","",IF('TMP Paste'!$P891="",$AO890,'TMP Paste'!$P891))</f>
        <v/>
      </c>
      <c r="AP891">
        <f>IF($AG891="","",LEN($R891))</f>
        <v/>
      </c>
      <c r="AQ891">
        <f>IF($AG891="","",TRIM(IF(COUNTIFS(Calc!$B$2:$B$1601,ROW()-1,Calc!$C$2:$C$1601,"&lt;1")&gt;0,"Ada PO tanpa Koli - cek TMP. ","")&amp;IF(LEN($R891)&gt;500,"R &gt; 500 karakter.","")))</f>
        <v/>
      </c>
    </row>
    <row r="892">
      <c r="A892">
        <f>IF($AG892="","",INDEX('TMP Paste'!$B$2:$B$1601,$AG892))</f>
        <v/>
      </c>
      <c r="B892">
        <f>IF($AG892="","",Config!$B$14)</f>
        <v/>
      </c>
      <c r="C892">
        <f>IF($AG892="","",Config!$B$15)</f>
        <v/>
      </c>
      <c r="D892">
        <f>IF($AG892="","",INDEX('TMP Paste'!$B$2:$B$1601,$AG892))</f>
        <v/>
      </c>
      <c r="E892">
        <f>IF($AG892="","",Config!$B$27)</f>
        <v/>
      </c>
      <c r="F892">
        <f>IF($AG892="","",Config!$B$9)</f>
        <v/>
      </c>
      <c r="G892">
        <f>IF($AG892="","",Config!$B$10)</f>
        <v/>
      </c>
      <c r="H892">
        <f>IF($AG892="","",Config!$B$11)</f>
        <v/>
      </c>
      <c r="I892">
        <f>IF($AG892="","",Config!$B$16)</f>
        <v/>
      </c>
      <c r="J892">
        <f>IF($AG892="","",INDEX('TMP Paste'!$A$2:$A$1601,$AG892))</f>
        <v/>
      </c>
      <c r="K892">
        <f>IF($AG892="","",INDEX('TMP Paste'!$L$2:$L$1601,$AG892))</f>
        <v/>
      </c>
      <c r="L892">
        <f>IF($AG892="","",INDEX('TMP Paste'!$I$2:$I$1601,$AG892))</f>
        <v/>
      </c>
      <c r="M892">
        <f>IF($AG892="","",Config!$B$16)</f>
        <v/>
      </c>
      <c r="N892">
        <f>IF($AG892="","","")</f>
        <v/>
      </c>
      <c r="O892">
        <f>IF($AG892="","",INDEX('TMP Paste'!$K$2:$K$1601,$AG892))</f>
        <v/>
      </c>
      <c r="P892">
        <f>IF($AG892="","","")</f>
        <v/>
      </c>
      <c r="Q892">
        <f>IF($AG892="","",INDEX('TMP Paste'!$J$2:$J$1601,$AG892))</f>
        <v/>
      </c>
      <c r="R892">
        <f>IF($AG892="","",Config!$B$24)</f>
        <v/>
      </c>
      <c r="S892">
        <f>IF($AG892="","",TEXT(Config!$B$4,"yyyy-mm-dd"))</f>
        <v/>
      </c>
      <c r="T892">
        <f>IF($AG892="","",Config!$B$17)</f>
        <v/>
      </c>
      <c r="U892">
        <f>IF($AG892="","",Config!$B$18)</f>
        <v/>
      </c>
      <c r="V892">
        <f>IF($AG892="","",Config!$B$19)</f>
        <v/>
      </c>
      <c r="W892">
        <f>IF($AG892="","",INDEX('TMP Paste'!$C$2:$C$1601,$AG892))</f>
        <v/>
      </c>
      <c r="X892">
        <f>IF($AG892="","",Config!$B$29)</f>
        <v/>
      </c>
      <c r="Y892">
        <f>IF($AH892="","",INDEX(Calc!$I$2:$I$1601,$AH892)&amp;" - "&amp;INDEX(Calc!$D$2:$D$1601,$AH892)&amp;" koli")</f>
        <v/>
      </c>
      <c r="Z892">
        <f>IF($AG892="","",Config!$B$21)</f>
        <v/>
      </c>
      <c r="AA892">
        <f>IF($AG892="","",Config!$B$22)</f>
        <v/>
      </c>
      <c r="AB892">
        <f>IF($AH892="","",INDEX(Calc!$D$2:$D$1601,$AH892))</f>
        <v/>
      </c>
      <c r="AC892">
        <f>IF($AH892="","",INDEX(Calc!$G$2:$G$1601,$AH892))</f>
        <v/>
      </c>
      <c r="AD892">
        <f>IF($AG892="","",Config!$B$23)</f>
        <v/>
      </c>
      <c r="AE892">
        <f>IF($AG892="","",Config!$B$28)</f>
        <v/>
      </c>
      <c r="AG892">
        <f>IFERROR(MATCH(ROW()-1,Calc!$J$2:$J$1601,0),"")</f>
        <v/>
      </c>
      <c r="AH892">
        <f>IFERROR(MATCH(ROW()-1,Calc!$K$2:$K$1601,0),"")</f>
        <v/>
      </c>
      <c r="AI892">
        <f>IF($AG892="","",SUMIF($AG$2:$AG892,$AG892,$AH$2:$AH892))</f>
        <v/>
      </c>
      <c r="AJ892">
        <f>IF('TMP Paste'!$F892="","",IF('TMP Paste'!$B892="",$AJ891,'TMP Paste'!$B892))</f>
        <v/>
      </c>
      <c r="AK892">
        <f>IF('TMP Paste'!$F892="","",N('TMP Paste'!$G892))</f>
        <v/>
      </c>
      <c r="AL892">
        <f>IF('TMP Paste'!$F892="","",IF('TMP Paste'!$M892="",$AL891,'TMP Paste'!$M892))</f>
        <v/>
      </c>
      <c r="AM892">
        <f>IF('TMP Paste'!$F892="","",IF('TMP Paste'!$N892="",$AM891,'TMP Paste'!$N892))</f>
        <v/>
      </c>
      <c r="AN892">
        <f>IF('TMP Paste'!$F892="","",IF('TMP Paste'!$O892="",$AN891,'TMP Paste'!$O892))</f>
        <v/>
      </c>
      <c r="AO892">
        <f>IF('TMP Paste'!$F892="","",IF('TMP Paste'!$P892="",$AO891,'TMP Paste'!$P892))</f>
        <v/>
      </c>
      <c r="AP892">
        <f>IF($AG892="","",LEN($R892))</f>
        <v/>
      </c>
      <c r="AQ892">
        <f>IF($AG892="","",TRIM(IF(COUNTIFS(Calc!$B$2:$B$1601,ROW()-1,Calc!$C$2:$C$1601,"&lt;1")&gt;0,"Ada PO tanpa Koli - cek TMP. ","")&amp;IF(LEN($R892)&gt;500,"R &gt; 500 karakter.","")))</f>
        <v/>
      </c>
    </row>
    <row r="893">
      <c r="A893">
        <f>IF($AG893="","",INDEX('TMP Paste'!$B$2:$B$1601,$AG893))</f>
        <v/>
      </c>
      <c r="B893">
        <f>IF($AG893="","",Config!$B$14)</f>
        <v/>
      </c>
      <c r="C893">
        <f>IF($AG893="","",Config!$B$15)</f>
        <v/>
      </c>
      <c r="D893">
        <f>IF($AG893="","",INDEX('TMP Paste'!$B$2:$B$1601,$AG893))</f>
        <v/>
      </c>
      <c r="E893">
        <f>IF($AG893="","",Config!$B$27)</f>
        <v/>
      </c>
      <c r="F893">
        <f>IF($AG893="","",Config!$B$9)</f>
        <v/>
      </c>
      <c r="G893">
        <f>IF($AG893="","",Config!$B$10)</f>
        <v/>
      </c>
      <c r="H893">
        <f>IF($AG893="","",Config!$B$11)</f>
        <v/>
      </c>
      <c r="I893">
        <f>IF($AG893="","",Config!$B$16)</f>
        <v/>
      </c>
      <c r="J893">
        <f>IF($AG893="","",INDEX('TMP Paste'!$A$2:$A$1601,$AG893))</f>
        <v/>
      </c>
      <c r="K893">
        <f>IF($AG893="","",INDEX('TMP Paste'!$L$2:$L$1601,$AG893))</f>
        <v/>
      </c>
      <c r="L893">
        <f>IF($AG893="","",INDEX('TMP Paste'!$I$2:$I$1601,$AG893))</f>
        <v/>
      </c>
      <c r="M893">
        <f>IF($AG893="","",Config!$B$16)</f>
        <v/>
      </c>
      <c r="N893">
        <f>IF($AG893="","","")</f>
        <v/>
      </c>
      <c r="O893">
        <f>IF($AG893="","",INDEX('TMP Paste'!$K$2:$K$1601,$AG893))</f>
        <v/>
      </c>
      <c r="P893">
        <f>IF($AG893="","","")</f>
        <v/>
      </c>
      <c r="Q893">
        <f>IF($AG893="","",INDEX('TMP Paste'!$J$2:$J$1601,$AG893))</f>
        <v/>
      </c>
      <c r="R893">
        <f>IF($AG893="","",Config!$B$24)</f>
        <v/>
      </c>
      <c r="S893">
        <f>IF($AG893="","",TEXT(Config!$B$4,"yyyy-mm-dd"))</f>
        <v/>
      </c>
      <c r="T893">
        <f>IF($AG893="","",Config!$B$17)</f>
        <v/>
      </c>
      <c r="U893">
        <f>IF($AG893="","",Config!$B$18)</f>
        <v/>
      </c>
      <c r="V893">
        <f>IF($AG893="","",Config!$B$19)</f>
        <v/>
      </c>
      <c r="W893">
        <f>IF($AG893="","",INDEX('TMP Paste'!$C$2:$C$1601,$AG893))</f>
        <v/>
      </c>
      <c r="X893">
        <f>IF($AG893="","",Config!$B$29)</f>
        <v/>
      </c>
      <c r="Y893">
        <f>IF($AH893="","",INDEX(Calc!$I$2:$I$1601,$AH893)&amp;" - "&amp;INDEX(Calc!$D$2:$D$1601,$AH893)&amp;" koli")</f>
        <v/>
      </c>
      <c r="Z893">
        <f>IF($AG893="","",Config!$B$21)</f>
        <v/>
      </c>
      <c r="AA893">
        <f>IF($AG893="","",Config!$B$22)</f>
        <v/>
      </c>
      <c r="AB893">
        <f>IF($AH893="","",INDEX(Calc!$D$2:$D$1601,$AH893))</f>
        <v/>
      </c>
      <c r="AC893">
        <f>IF($AH893="","",INDEX(Calc!$G$2:$G$1601,$AH893))</f>
        <v/>
      </c>
      <c r="AD893">
        <f>IF($AG893="","",Config!$B$23)</f>
        <v/>
      </c>
      <c r="AE893">
        <f>IF($AG893="","",Config!$B$28)</f>
        <v/>
      </c>
      <c r="AG893">
        <f>IFERROR(MATCH(ROW()-1,Calc!$J$2:$J$1601,0),"")</f>
        <v/>
      </c>
      <c r="AH893">
        <f>IFERROR(MATCH(ROW()-1,Calc!$K$2:$K$1601,0),"")</f>
        <v/>
      </c>
      <c r="AI893">
        <f>IF($AG893="","",SUMIF($AG$2:$AG893,$AG893,$AH$2:$AH893))</f>
        <v/>
      </c>
      <c r="AJ893">
        <f>IF('TMP Paste'!$F893="","",IF('TMP Paste'!$B893="",$AJ892,'TMP Paste'!$B893))</f>
        <v/>
      </c>
      <c r="AK893">
        <f>IF('TMP Paste'!$F893="","",N('TMP Paste'!$G893))</f>
        <v/>
      </c>
      <c r="AL893">
        <f>IF('TMP Paste'!$F893="","",IF('TMP Paste'!$M893="",$AL892,'TMP Paste'!$M893))</f>
        <v/>
      </c>
      <c r="AM893">
        <f>IF('TMP Paste'!$F893="","",IF('TMP Paste'!$N893="",$AM892,'TMP Paste'!$N893))</f>
        <v/>
      </c>
      <c r="AN893">
        <f>IF('TMP Paste'!$F893="","",IF('TMP Paste'!$O893="",$AN892,'TMP Paste'!$O893))</f>
        <v/>
      </c>
      <c r="AO893">
        <f>IF('TMP Paste'!$F893="","",IF('TMP Paste'!$P893="",$AO892,'TMP Paste'!$P893))</f>
        <v/>
      </c>
      <c r="AP893">
        <f>IF($AG893="","",LEN($R893))</f>
        <v/>
      </c>
      <c r="AQ893">
        <f>IF($AG893="","",TRIM(IF(COUNTIFS(Calc!$B$2:$B$1601,ROW()-1,Calc!$C$2:$C$1601,"&lt;1")&gt;0,"Ada PO tanpa Koli - cek TMP. ","")&amp;IF(LEN($R893)&gt;500,"R &gt; 500 karakter.","")))</f>
        <v/>
      </c>
    </row>
    <row r="894">
      <c r="A894">
        <f>IF($AG894="","",INDEX('TMP Paste'!$B$2:$B$1601,$AG894))</f>
        <v/>
      </c>
      <c r="B894">
        <f>IF($AG894="","",Config!$B$14)</f>
        <v/>
      </c>
      <c r="C894">
        <f>IF($AG894="","",Config!$B$15)</f>
        <v/>
      </c>
      <c r="D894">
        <f>IF($AG894="","",INDEX('TMP Paste'!$B$2:$B$1601,$AG894))</f>
        <v/>
      </c>
      <c r="E894">
        <f>IF($AG894="","",Config!$B$27)</f>
        <v/>
      </c>
      <c r="F894">
        <f>IF($AG894="","",Config!$B$9)</f>
        <v/>
      </c>
      <c r="G894">
        <f>IF($AG894="","",Config!$B$10)</f>
        <v/>
      </c>
      <c r="H894">
        <f>IF($AG894="","",Config!$B$11)</f>
        <v/>
      </c>
      <c r="I894">
        <f>IF($AG894="","",Config!$B$16)</f>
        <v/>
      </c>
      <c r="J894">
        <f>IF($AG894="","",INDEX('TMP Paste'!$A$2:$A$1601,$AG894))</f>
        <v/>
      </c>
      <c r="K894">
        <f>IF($AG894="","",INDEX('TMP Paste'!$L$2:$L$1601,$AG894))</f>
        <v/>
      </c>
      <c r="L894">
        <f>IF($AG894="","",INDEX('TMP Paste'!$I$2:$I$1601,$AG894))</f>
        <v/>
      </c>
      <c r="M894">
        <f>IF($AG894="","",Config!$B$16)</f>
        <v/>
      </c>
      <c r="N894">
        <f>IF($AG894="","","")</f>
        <v/>
      </c>
      <c r="O894">
        <f>IF($AG894="","",INDEX('TMP Paste'!$K$2:$K$1601,$AG894))</f>
        <v/>
      </c>
      <c r="P894">
        <f>IF($AG894="","","")</f>
        <v/>
      </c>
      <c r="Q894">
        <f>IF($AG894="","",INDEX('TMP Paste'!$J$2:$J$1601,$AG894))</f>
        <v/>
      </c>
      <c r="R894">
        <f>IF($AG894="","",Config!$B$24)</f>
        <v/>
      </c>
      <c r="S894">
        <f>IF($AG894="","",TEXT(Config!$B$4,"yyyy-mm-dd"))</f>
        <v/>
      </c>
      <c r="T894">
        <f>IF($AG894="","",Config!$B$17)</f>
        <v/>
      </c>
      <c r="U894">
        <f>IF($AG894="","",Config!$B$18)</f>
        <v/>
      </c>
      <c r="V894">
        <f>IF($AG894="","",Config!$B$19)</f>
        <v/>
      </c>
      <c r="W894">
        <f>IF($AG894="","",INDEX('TMP Paste'!$C$2:$C$1601,$AG894))</f>
        <v/>
      </c>
      <c r="X894">
        <f>IF($AG894="","",Config!$B$29)</f>
        <v/>
      </c>
      <c r="Y894">
        <f>IF($AH894="","",INDEX(Calc!$I$2:$I$1601,$AH894)&amp;" - "&amp;INDEX(Calc!$D$2:$D$1601,$AH894)&amp;" koli")</f>
        <v/>
      </c>
      <c r="Z894">
        <f>IF($AG894="","",Config!$B$21)</f>
        <v/>
      </c>
      <c r="AA894">
        <f>IF($AG894="","",Config!$B$22)</f>
        <v/>
      </c>
      <c r="AB894">
        <f>IF($AH894="","",INDEX(Calc!$D$2:$D$1601,$AH894))</f>
        <v/>
      </c>
      <c r="AC894">
        <f>IF($AH894="","",INDEX(Calc!$G$2:$G$1601,$AH894))</f>
        <v/>
      </c>
      <c r="AD894">
        <f>IF($AG894="","",Config!$B$23)</f>
        <v/>
      </c>
      <c r="AE894">
        <f>IF($AG894="","",Config!$B$28)</f>
        <v/>
      </c>
      <c r="AG894">
        <f>IFERROR(MATCH(ROW()-1,Calc!$J$2:$J$1601,0),"")</f>
        <v/>
      </c>
      <c r="AH894">
        <f>IFERROR(MATCH(ROW()-1,Calc!$K$2:$K$1601,0),"")</f>
        <v/>
      </c>
      <c r="AI894">
        <f>IF($AG894="","",SUMIF($AG$2:$AG894,$AG894,$AH$2:$AH894))</f>
        <v/>
      </c>
      <c r="AJ894">
        <f>IF('TMP Paste'!$F894="","",IF('TMP Paste'!$B894="",$AJ893,'TMP Paste'!$B894))</f>
        <v/>
      </c>
      <c r="AK894">
        <f>IF('TMP Paste'!$F894="","",N('TMP Paste'!$G894))</f>
        <v/>
      </c>
      <c r="AL894">
        <f>IF('TMP Paste'!$F894="","",IF('TMP Paste'!$M894="",$AL893,'TMP Paste'!$M894))</f>
        <v/>
      </c>
      <c r="AM894">
        <f>IF('TMP Paste'!$F894="","",IF('TMP Paste'!$N894="",$AM893,'TMP Paste'!$N894))</f>
        <v/>
      </c>
      <c r="AN894">
        <f>IF('TMP Paste'!$F894="","",IF('TMP Paste'!$O894="",$AN893,'TMP Paste'!$O894))</f>
        <v/>
      </c>
      <c r="AO894">
        <f>IF('TMP Paste'!$F894="","",IF('TMP Paste'!$P894="",$AO893,'TMP Paste'!$P894))</f>
        <v/>
      </c>
      <c r="AP894">
        <f>IF($AG894="","",LEN($R894))</f>
        <v/>
      </c>
      <c r="AQ894">
        <f>IF($AG894="","",TRIM(IF(COUNTIFS(Calc!$B$2:$B$1601,ROW()-1,Calc!$C$2:$C$1601,"&lt;1")&gt;0,"Ada PO tanpa Koli - cek TMP. ","")&amp;IF(LEN($R894)&gt;500,"R &gt; 500 karakter.","")))</f>
        <v/>
      </c>
    </row>
    <row r="895">
      <c r="A895">
        <f>IF($AG895="","",INDEX('TMP Paste'!$B$2:$B$1601,$AG895))</f>
        <v/>
      </c>
      <c r="B895">
        <f>IF($AG895="","",Config!$B$14)</f>
        <v/>
      </c>
      <c r="C895">
        <f>IF($AG895="","",Config!$B$15)</f>
        <v/>
      </c>
      <c r="D895">
        <f>IF($AG895="","",INDEX('TMP Paste'!$B$2:$B$1601,$AG895))</f>
        <v/>
      </c>
      <c r="E895">
        <f>IF($AG895="","",Config!$B$27)</f>
        <v/>
      </c>
      <c r="F895">
        <f>IF($AG895="","",Config!$B$9)</f>
        <v/>
      </c>
      <c r="G895">
        <f>IF($AG895="","",Config!$B$10)</f>
        <v/>
      </c>
      <c r="H895">
        <f>IF($AG895="","",Config!$B$11)</f>
        <v/>
      </c>
      <c r="I895">
        <f>IF($AG895="","",Config!$B$16)</f>
        <v/>
      </c>
      <c r="J895">
        <f>IF($AG895="","",INDEX('TMP Paste'!$A$2:$A$1601,$AG895))</f>
        <v/>
      </c>
      <c r="K895">
        <f>IF($AG895="","",INDEX('TMP Paste'!$L$2:$L$1601,$AG895))</f>
        <v/>
      </c>
      <c r="L895">
        <f>IF($AG895="","",INDEX('TMP Paste'!$I$2:$I$1601,$AG895))</f>
        <v/>
      </c>
      <c r="M895">
        <f>IF($AG895="","",Config!$B$16)</f>
        <v/>
      </c>
      <c r="N895">
        <f>IF($AG895="","","")</f>
        <v/>
      </c>
      <c r="O895">
        <f>IF($AG895="","",INDEX('TMP Paste'!$K$2:$K$1601,$AG895))</f>
        <v/>
      </c>
      <c r="P895">
        <f>IF($AG895="","","")</f>
        <v/>
      </c>
      <c r="Q895">
        <f>IF($AG895="","",INDEX('TMP Paste'!$J$2:$J$1601,$AG895))</f>
        <v/>
      </c>
      <c r="R895">
        <f>IF($AG895="","",Config!$B$24)</f>
        <v/>
      </c>
      <c r="S895">
        <f>IF($AG895="","",TEXT(Config!$B$4,"yyyy-mm-dd"))</f>
        <v/>
      </c>
      <c r="T895">
        <f>IF($AG895="","",Config!$B$17)</f>
        <v/>
      </c>
      <c r="U895">
        <f>IF($AG895="","",Config!$B$18)</f>
        <v/>
      </c>
      <c r="V895">
        <f>IF($AG895="","",Config!$B$19)</f>
        <v/>
      </c>
      <c r="W895">
        <f>IF($AG895="","",INDEX('TMP Paste'!$C$2:$C$1601,$AG895))</f>
        <v/>
      </c>
      <c r="X895">
        <f>IF($AG895="","",Config!$B$29)</f>
        <v/>
      </c>
      <c r="Y895">
        <f>IF($AH895="","",INDEX(Calc!$I$2:$I$1601,$AH895)&amp;" - "&amp;INDEX(Calc!$D$2:$D$1601,$AH895)&amp;" koli")</f>
        <v/>
      </c>
      <c r="Z895">
        <f>IF($AG895="","",Config!$B$21)</f>
        <v/>
      </c>
      <c r="AA895">
        <f>IF($AG895="","",Config!$B$22)</f>
        <v/>
      </c>
      <c r="AB895">
        <f>IF($AH895="","",INDEX(Calc!$D$2:$D$1601,$AH895))</f>
        <v/>
      </c>
      <c r="AC895">
        <f>IF($AH895="","",INDEX(Calc!$G$2:$G$1601,$AH895))</f>
        <v/>
      </c>
      <c r="AD895">
        <f>IF($AG895="","",Config!$B$23)</f>
        <v/>
      </c>
      <c r="AE895">
        <f>IF($AG895="","",Config!$B$28)</f>
        <v/>
      </c>
      <c r="AG895">
        <f>IFERROR(MATCH(ROW()-1,Calc!$J$2:$J$1601,0),"")</f>
        <v/>
      </c>
      <c r="AH895">
        <f>IFERROR(MATCH(ROW()-1,Calc!$K$2:$K$1601,0),"")</f>
        <v/>
      </c>
      <c r="AI895">
        <f>IF($AG895="","",SUMIF($AG$2:$AG895,$AG895,$AH$2:$AH895))</f>
        <v/>
      </c>
      <c r="AJ895">
        <f>IF('TMP Paste'!$F895="","",IF('TMP Paste'!$B895="",$AJ894,'TMP Paste'!$B895))</f>
        <v/>
      </c>
      <c r="AK895">
        <f>IF('TMP Paste'!$F895="","",N('TMP Paste'!$G895))</f>
        <v/>
      </c>
      <c r="AL895">
        <f>IF('TMP Paste'!$F895="","",IF('TMP Paste'!$M895="",$AL894,'TMP Paste'!$M895))</f>
        <v/>
      </c>
      <c r="AM895">
        <f>IF('TMP Paste'!$F895="","",IF('TMP Paste'!$N895="",$AM894,'TMP Paste'!$N895))</f>
        <v/>
      </c>
      <c r="AN895">
        <f>IF('TMP Paste'!$F895="","",IF('TMP Paste'!$O895="",$AN894,'TMP Paste'!$O895))</f>
        <v/>
      </c>
      <c r="AO895">
        <f>IF('TMP Paste'!$F895="","",IF('TMP Paste'!$P895="",$AO894,'TMP Paste'!$P895))</f>
        <v/>
      </c>
      <c r="AP895">
        <f>IF($AG895="","",LEN($R895))</f>
        <v/>
      </c>
      <c r="AQ895">
        <f>IF($AG895="","",TRIM(IF(COUNTIFS(Calc!$B$2:$B$1601,ROW()-1,Calc!$C$2:$C$1601,"&lt;1")&gt;0,"Ada PO tanpa Koli - cek TMP. ","")&amp;IF(LEN($R895)&gt;500,"R &gt; 500 karakter.","")))</f>
        <v/>
      </c>
    </row>
    <row r="896">
      <c r="A896">
        <f>IF($AG896="","",INDEX('TMP Paste'!$B$2:$B$1601,$AG896))</f>
        <v/>
      </c>
      <c r="B896">
        <f>IF($AG896="","",Config!$B$14)</f>
        <v/>
      </c>
      <c r="C896">
        <f>IF($AG896="","",Config!$B$15)</f>
        <v/>
      </c>
      <c r="D896">
        <f>IF($AG896="","",INDEX('TMP Paste'!$B$2:$B$1601,$AG896))</f>
        <v/>
      </c>
      <c r="E896">
        <f>IF($AG896="","",Config!$B$27)</f>
        <v/>
      </c>
      <c r="F896">
        <f>IF($AG896="","",Config!$B$9)</f>
        <v/>
      </c>
      <c r="G896">
        <f>IF($AG896="","",Config!$B$10)</f>
        <v/>
      </c>
      <c r="H896">
        <f>IF($AG896="","",Config!$B$11)</f>
        <v/>
      </c>
      <c r="I896">
        <f>IF($AG896="","",Config!$B$16)</f>
        <v/>
      </c>
      <c r="J896">
        <f>IF($AG896="","",INDEX('TMP Paste'!$A$2:$A$1601,$AG896))</f>
        <v/>
      </c>
      <c r="K896">
        <f>IF($AG896="","",INDEX('TMP Paste'!$L$2:$L$1601,$AG896))</f>
        <v/>
      </c>
      <c r="L896">
        <f>IF($AG896="","",INDEX('TMP Paste'!$I$2:$I$1601,$AG896))</f>
        <v/>
      </c>
      <c r="M896">
        <f>IF($AG896="","",Config!$B$16)</f>
        <v/>
      </c>
      <c r="N896">
        <f>IF($AG896="","","")</f>
        <v/>
      </c>
      <c r="O896">
        <f>IF($AG896="","",INDEX('TMP Paste'!$K$2:$K$1601,$AG896))</f>
        <v/>
      </c>
      <c r="P896">
        <f>IF($AG896="","","")</f>
        <v/>
      </c>
      <c r="Q896">
        <f>IF($AG896="","",INDEX('TMP Paste'!$J$2:$J$1601,$AG896))</f>
        <v/>
      </c>
      <c r="R896">
        <f>IF($AG896="","",Config!$B$24)</f>
        <v/>
      </c>
      <c r="S896">
        <f>IF($AG896="","",TEXT(Config!$B$4,"yyyy-mm-dd"))</f>
        <v/>
      </c>
      <c r="T896">
        <f>IF($AG896="","",Config!$B$17)</f>
        <v/>
      </c>
      <c r="U896">
        <f>IF($AG896="","",Config!$B$18)</f>
        <v/>
      </c>
      <c r="V896">
        <f>IF($AG896="","",Config!$B$19)</f>
        <v/>
      </c>
      <c r="W896">
        <f>IF($AG896="","",INDEX('TMP Paste'!$C$2:$C$1601,$AG896))</f>
        <v/>
      </c>
      <c r="X896">
        <f>IF($AG896="","",Config!$B$29)</f>
        <v/>
      </c>
      <c r="Y896">
        <f>IF($AH896="","",INDEX(Calc!$I$2:$I$1601,$AH896)&amp;" - "&amp;INDEX(Calc!$D$2:$D$1601,$AH896)&amp;" koli")</f>
        <v/>
      </c>
      <c r="Z896">
        <f>IF($AG896="","",Config!$B$21)</f>
        <v/>
      </c>
      <c r="AA896">
        <f>IF($AG896="","",Config!$B$22)</f>
        <v/>
      </c>
      <c r="AB896">
        <f>IF($AH896="","",INDEX(Calc!$D$2:$D$1601,$AH896))</f>
        <v/>
      </c>
      <c r="AC896">
        <f>IF($AH896="","",INDEX(Calc!$G$2:$G$1601,$AH896))</f>
        <v/>
      </c>
      <c r="AD896">
        <f>IF($AG896="","",Config!$B$23)</f>
        <v/>
      </c>
      <c r="AE896">
        <f>IF($AG896="","",Config!$B$28)</f>
        <v/>
      </c>
      <c r="AG896">
        <f>IFERROR(MATCH(ROW()-1,Calc!$J$2:$J$1601,0),"")</f>
        <v/>
      </c>
      <c r="AH896">
        <f>IFERROR(MATCH(ROW()-1,Calc!$K$2:$K$1601,0),"")</f>
        <v/>
      </c>
      <c r="AI896">
        <f>IF($AG896="","",SUMIF($AG$2:$AG896,$AG896,$AH$2:$AH896))</f>
        <v/>
      </c>
      <c r="AJ896">
        <f>IF('TMP Paste'!$F896="","",IF('TMP Paste'!$B896="",$AJ895,'TMP Paste'!$B896))</f>
        <v/>
      </c>
      <c r="AK896">
        <f>IF('TMP Paste'!$F896="","",N('TMP Paste'!$G896))</f>
        <v/>
      </c>
      <c r="AL896">
        <f>IF('TMP Paste'!$F896="","",IF('TMP Paste'!$M896="",$AL895,'TMP Paste'!$M896))</f>
        <v/>
      </c>
      <c r="AM896">
        <f>IF('TMP Paste'!$F896="","",IF('TMP Paste'!$N896="",$AM895,'TMP Paste'!$N896))</f>
        <v/>
      </c>
      <c r="AN896">
        <f>IF('TMP Paste'!$F896="","",IF('TMP Paste'!$O896="",$AN895,'TMP Paste'!$O896))</f>
        <v/>
      </c>
      <c r="AO896">
        <f>IF('TMP Paste'!$F896="","",IF('TMP Paste'!$P896="",$AO895,'TMP Paste'!$P896))</f>
        <v/>
      </c>
      <c r="AP896">
        <f>IF($AG896="","",LEN($R896))</f>
        <v/>
      </c>
      <c r="AQ896">
        <f>IF($AG896="","",TRIM(IF(COUNTIFS(Calc!$B$2:$B$1601,ROW()-1,Calc!$C$2:$C$1601,"&lt;1")&gt;0,"Ada PO tanpa Koli - cek TMP. ","")&amp;IF(LEN($R896)&gt;500,"R &gt; 500 karakter.","")))</f>
        <v/>
      </c>
    </row>
    <row r="897">
      <c r="A897">
        <f>IF($AG897="","",INDEX('TMP Paste'!$B$2:$B$1601,$AG897))</f>
        <v/>
      </c>
      <c r="B897">
        <f>IF($AG897="","",Config!$B$14)</f>
        <v/>
      </c>
      <c r="C897">
        <f>IF($AG897="","",Config!$B$15)</f>
        <v/>
      </c>
      <c r="D897">
        <f>IF($AG897="","",INDEX('TMP Paste'!$B$2:$B$1601,$AG897))</f>
        <v/>
      </c>
      <c r="E897">
        <f>IF($AG897="","",Config!$B$27)</f>
        <v/>
      </c>
      <c r="F897">
        <f>IF($AG897="","",Config!$B$9)</f>
        <v/>
      </c>
      <c r="G897">
        <f>IF($AG897="","",Config!$B$10)</f>
        <v/>
      </c>
      <c r="H897">
        <f>IF($AG897="","",Config!$B$11)</f>
        <v/>
      </c>
      <c r="I897">
        <f>IF($AG897="","",Config!$B$16)</f>
        <v/>
      </c>
      <c r="J897">
        <f>IF($AG897="","",INDEX('TMP Paste'!$A$2:$A$1601,$AG897))</f>
        <v/>
      </c>
      <c r="K897">
        <f>IF($AG897="","",INDEX('TMP Paste'!$L$2:$L$1601,$AG897))</f>
        <v/>
      </c>
      <c r="L897">
        <f>IF($AG897="","",INDEX('TMP Paste'!$I$2:$I$1601,$AG897))</f>
        <v/>
      </c>
      <c r="M897">
        <f>IF($AG897="","",Config!$B$16)</f>
        <v/>
      </c>
      <c r="N897">
        <f>IF($AG897="","","")</f>
        <v/>
      </c>
      <c r="O897">
        <f>IF($AG897="","",INDEX('TMP Paste'!$K$2:$K$1601,$AG897))</f>
        <v/>
      </c>
      <c r="P897">
        <f>IF($AG897="","","")</f>
        <v/>
      </c>
      <c r="Q897">
        <f>IF($AG897="","",INDEX('TMP Paste'!$J$2:$J$1601,$AG897))</f>
        <v/>
      </c>
      <c r="R897">
        <f>IF($AG897="","",Config!$B$24)</f>
        <v/>
      </c>
      <c r="S897">
        <f>IF($AG897="","",TEXT(Config!$B$4,"yyyy-mm-dd"))</f>
        <v/>
      </c>
      <c r="T897">
        <f>IF($AG897="","",Config!$B$17)</f>
        <v/>
      </c>
      <c r="U897">
        <f>IF($AG897="","",Config!$B$18)</f>
        <v/>
      </c>
      <c r="V897">
        <f>IF($AG897="","",Config!$B$19)</f>
        <v/>
      </c>
      <c r="W897">
        <f>IF($AG897="","",INDEX('TMP Paste'!$C$2:$C$1601,$AG897))</f>
        <v/>
      </c>
      <c r="X897">
        <f>IF($AG897="","",Config!$B$29)</f>
        <v/>
      </c>
      <c r="Y897">
        <f>IF($AH897="","",INDEX(Calc!$I$2:$I$1601,$AH897)&amp;" - "&amp;INDEX(Calc!$D$2:$D$1601,$AH897)&amp;" koli")</f>
        <v/>
      </c>
      <c r="Z897">
        <f>IF($AG897="","",Config!$B$21)</f>
        <v/>
      </c>
      <c r="AA897">
        <f>IF($AG897="","",Config!$B$22)</f>
        <v/>
      </c>
      <c r="AB897">
        <f>IF($AH897="","",INDEX(Calc!$D$2:$D$1601,$AH897))</f>
        <v/>
      </c>
      <c r="AC897">
        <f>IF($AH897="","",INDEX(Calc!$G$2:$G$1601,$AH897))</f>
        <v/>
      </c>
      <c r="AD897">
        <f>IF($AG897="","",Config!$B$23)</f>
        <v/>
      </c>
      <c r="AE897">
        <f>IF($AG897="","",Config!$B$28)</f>
        <v/>
      </c>
      <c r="AG897">
        <f>IFERROR(MATCH(ROW()-1,Calc!$J$2:$J$1601,0),"")</f>
        <v/>
      </c>
      <c r="AH897">
        <f>IFERROR(MATCH(ROW()-1,Calc!$K$2:$K$1601,0),"")</f>
        <v/>
      </c>
      <c r="AI897">
        <f>IF($AG897="","",SUMIF($AG$2:$AG897,$AG897,$AH$2:$AH897))</f>
        <v/>
      </c>
      <c r="AJ897">
        <f>IF('TMP Paste'!$F897="","",IF('TMP Paste'!$B897="",$AJ896,'TMP Paste'!$B897))</f>
        <v/>
      </c>
      <c r="AK897">
        <f>IF('TMP Paste'!$F897="","",N('TMP Paste'!$G897))</f>
        <v/>
      </c>
      <c r="AL897">
        <f>IF('TMP Paste'!$F897="","",IF('TMP Paste'!$M897="",$AL896,'TMP Paste'!$M897))</f>
        <v/>
      </c>
      <c r="AM897">
        <f>IF('TMP Paste'!$F897="","",IF('TMP Paste'!$N897="",$AM896,'TMP Paste'!$N897))</f>
        <v/>
      </c>
      <c r="AN897">
        <f>IF('TMP Paste'!$F897="","",IF('TMP Paste'!$O897="",$AN896,'TMP Paste'!$O897))</f>
        <v/>
      </c>
      <c r="AO897">
        <f>IF('TMP Paste'!$F897="","",IF('TMP Paste'!$P897="",$AO896,'TMP Paste'!$P897))</f>
        <v/>
      </c>
      <c r="AP897">
        <f>IF($AG897="","",LEN($R897))</f>
        <v/>
      </c>
      <c r="AQ897">
        <f>IF($AG897="","",TRIM(IF(COUNTIFS(Calc!$B$2:$B$1601,ROW()-1,Calc!$C$2:$C$1601,"&lt;1")&gt;0,"Ada PO tanpa Koli - cek TMP. ","")&amp;IF(LEN($R897)&gt;500,"R &gt; 500 karakter.","")))</f>
        <v/>
      </c>
    </row>
    <row r="898">
      <c r="A898">
        <f>IF($AG898="","",INDEX('TMP Paste'!$B$2:$B$1601,$AG898))</f>
        <v/>
      </c>
      <c r="B898">
        <f>IF($AG898="","",Config!$B$14)</f>
        <v/>
      </c>
      <c r="C898">
        <f>IF($AG898="","",Config!$B$15)</f>
        <v/>
      </c>
      <c r="D898">
        <f>IF($AG898="","",INDEX('TMP Paste'!$B$2:$B$1601,$AG898))</f>
        <v/>
      </c>
      <c r="E898">
        <f>IF($AG898="","",Config!$B$27)</f>
        <v/>
      </c>
      <c r="F898">
        <f>IF($AG898="","",Config!$B$9)</f>
        <v/>
      </c>
      <c r="G898">
        <f>IF($AG898="","",Config!$B$10)</f>
        <v/>
      </c>
      <c r="H898">
        <f>IF($AG898="","",Config!$B$11)</f>
        <v/>
      </c>
      <c r="I898">
        <f>IF($AG898="","",Config!$B$16)</f>
        <v/>
      </c>
      <c r="J898">
        <f>IF($AG898="","",INDEX('TMP Paste'!$A$2:$A$1601,$AG898))</f>
        <v/>
      </c>
      <c r="K898">
        <f>IF($AG898="","",INDEX('TMP Paste'!$L$2:$L$1601,$AG898))</f>
        <v/>
      </c>
      <c r="L898">
        <f>IF($AG898="","",INDEX('TMP Paste'!$I$2:$I$1601,$AG898))</f>
        <v/>
      </c>
      <c r="M898">
        <f>IF($AG898="","",Config!$B$16)</f>
        <v/>
      </c>
      <c r="N898">
        <f>IF($AG898="","","")</f>
        <v/>
      </c>
      <c r="O898">
        <f>IF($AG898="","",INDEX('TMP Paste'!$K$2:$K$1601,$AG898))</f>
        <v/>
      </c>
      <c r="P898">
        <f>IF($AG898="","","")</f>
        <v/>
      </c>
      <c r="Q898">
        <f>IF($AG898="","",INDEX('TMP Paste'!$J$2:$J$1601,$AG898))</f>
        <v/>
      </c>
      <c r="R898">
        <f>IF($AG898="","",Config!$B$24)</f>
        <v/>
      </c>
      <c r="S898">
        <f>IF($AG898="","",TEXT(Config!$B$4,"yyyy-mm-dd"))</f>
        <v/>
      </c>
      <c r="T898">
        <f>IF($AG898="","",Config!$B$17)</f>
        <v/>
      </c>
      <c r="U898">
        <f>IF($AG898="","",Config!$B$18)</f>
        <v/>
      </c>
      <c r="V898">
        <f>IF($AG898="","",Config!$B$19)</f>
        <v/>
      </c>
      <c r="W898">
        <f>IF($AG898="","",INDEX('TMP Paste'!$C$2:$C$1601,$AG898))</f>
        <v/>
      </c>
      <c r="X898">
        <f>IF($AG898="","",Config!$B$29)</f>
        <v/>
      </c>
      <c r="Y898">
        <f>IF($AH898="","",INDEX(Calc!$I$2:$I$1601,$AH898)&amp;" - "&amp;INDEX(Calc!$D$2:$D$1601,$AH898)&amp;" koli")</f>
        <v/>
      </c>
      <c r="Z898">
        <f>IF($AG898="","",Config!$B$21)</f>
        <v/>
      </c>
      <c r="AA898">
        <f>IF($AG898="","",Config!$B$22)</f>
        <v/>
      </c>
      <c r="AB898">
        <f>IF($AH898="","",INDEX(Calc!$D$2:$D$1601,$AH898))</f>
        <v/>
      </c>
      <c r="AC898">
        <f>IF($AH898="","",INDEX(Calc!$G$2:$G$1601,$AH898))</f>
        <v/>
      </c>
      <c r="AD898">
        <f>IF($AG898="","",Config!$B$23)</f>
        <v/>
      </c>
      <c r="AE898">
        <f>IF($AG898="","",Config!$B$28)</f>
        <v/>
      </c>
      <c r="AG898">
        <f>IFERROR(MATCH(ROW()-1,Calc!$J$2:$J$1601,0),"")</f>
        <v/>
      </c>
      <c r="AH898">
        <f>IFERROR(MATCH(ROW()-1,Calc!$K$2:$K$1601,0),"")</f>
        <v/>
      </c>
      <c r="AI898">
        <f>IF($AG898="","",SUMIF($AG$2:$AG898,$AG898,$AH$2:$AH898))</f>
        <v/>
      </c>
      <c r="AJ898">
        <f>IF('TMP Paste'!$F898="","",IF('TMP Paste'!$B898="",$AJ897,'TMP Paste'!$B898))</f>
        <v/>
      </c>
      <c r="AK898">
        <f>IF('TMP Paste'!$F898="","",N('TMP Paste'!$G898))</f>
        <v/>
      </c>
      <c r="AL898">
        <f>IF('TMP Paste'!$F898="","",IF('TMP Paste'!$M898="",$AL897,'TMP Paste'!$M898))</f>
        <v/>
      </c>
      <c r="AM898">
        <f>IF('TMP Paste'!$F898="","",IF('TMP Paste'!$N898="",$AM897,'TMP Paste'!$N898))</f>
        <v/>
      </c>
      <c r="AN898">
        <f>IF('TMP Paste'!$F898="","",IF('TMP Paste'!$O898="",$AN897,'TMP Paste'!$O898))</f>
        <v/>
      </c>
      <c r="AO898">
        <f>IF('TMP Paste'!$F898="","",IF('TMP Paste'!$P898="",$AO897,'TMP Paste'!$P898))</f>
        <v/>
      </c>
      <c r="AP898">
        <f>IF($AG898="","",LEN($R898))</f>
        <v/>
      </c>
      <c r="AQ898">
        <f>IF($AG898="","",TRIM(IF(COUNTIFS(Calc!$B$2:$B$1601,ROW()-1,Calc!$C$2:$C$1601,"&lt;1")&gt;0,"Ada PO tanpa Koli - cek TMP. ","")&amp;IF(LEN($R898)&gt;500,"R &gt; 500 karakter.","")))</f>
        <v/>
      </c>
    </row>
    <row r="899">
      <c r="A899">
        <f>IF($AG899="","",INDEX('TMP Paste'!$B$2:$B$1601,$AG899))</f>
        <v/>
      </c>
      <c r="B899">
        <f>IF($AG899="","",Config!$B$14)</f>
        <v/>
      </c>
      <c r="C899">
        <f>IF($AG899="","",Config!$B$15)</f>
        <v/>
      </c>
      <c r="D899">
        <f>IF($AG899="","",INDEX('TMP Paste'!$B$2:$B$1601,$AG899))</f>
        <v/>
      </c>
      <c r="E899">
        <f>IF($AG899="","",Config!$B$27)</f>
        <v/>
      </c>
      <c r="F899">
        <f>IF($AG899="","",Config!$B$9)</f>
        <v/>
      </c>
      <c r="G899">
        <f>IF($AG899="","",Config!$B$10)</f>
        <v/>
      </c>
      <c r="H899">
        <f>IF($AG899="","",Config!$B$11)</f>
        <v/>
      </c>
      <c r="I899">
        <f>IF($AG899="","",Config!$B$16)</f>
        <v/>
      </c>
      <c r="J899">
        <f>IF($AG899="","",INDEX('TMP Paste'!$A$2:$A$1601,$AG899))</f>
        <v/>
      </c>
      <c r="K899">
        <f>IF($AG899="","",INDEX('TMP Paste'!$L$2:$L$1601,$AG899))</f>
        <v/>
      </c>
      <c r="L899">
        <f>IF($AG899="","",INDEX('TMP Paste'!$I$2:$I$1601,$AG899))</f>
        <v/>
      </c>
      <c r="M899">
        <f>IF($AG899="","",Config!$B$16)</f>
        <v/>
      </c>
      <c r="N899">
        <f>IF($AG899="","","")</f>
        <v/>
      </c>
      <c r="O899">
        <f>IF($AG899="","",INDEX('TMP Paste'!$K$2:$K$1601,$AG899))</f>
        <v/>
      </c>
      <c r="P899">
        <f>IF($AG899="","","")</f>
        <v/>
      </c>
      <c r="Q899">
        <f>IF($AG899="","",INDEX('TMP Paste'!$J$2:$J$1601,$AG899))</f>
        <v/>
      </c>
      <c r="R899">
        <f>IF($AG899="","",Config!$B$24)</f>
        <v/>
      </c>
      <c r="S899">
        <f>IF($AG899="","",TEXT(Config!$B$4,"yyyy-mm-dd"))</f>
        <v/>
      </c>
      <c r="T899">
        <f>IF($AG899="","",Config!$B$17)</f>
        <v/>
      </c>
      <c r="U899">
        <f>IF($AG899="","",Config!$B$18)</f>
        <v/>
      </c>
      <c r="V899">
        <f>IF($AG899="","",Config!$B$19)</f>
        <v/>
      </c>
      <c r="W899">
        <f>IF($AG899="","",INDEX('TMP Paste'!$C$2:$C$1601,$AG899))</f>
        <v/>
      </c>
      <c r="X899">
        <f>IF($AG899="","",Config!$B$29)</f>
        <v/>
      </c>
      <c r="Y899">
        <f>IF($AH899="","",INDEX(Calc!$I$2:$I$1601,$AH899)&amp;" - "&amp;INDEX(Calc!$D$2:$D$1601,$AH899)&amp;" koli")</f>
        <v/>
      </c>
      <c r="Z899">
        <f>IF($AG899="","",Config!$B$21)</f>
        <v/>
      </c>
      <c r="AA899">
        <f>IF($AG899="","",Config!$B$22)</f>
        <v/>
      </c>
      <c r="AB899">
        <f>IF($AH899="","",INDEX(Calc!$D$2:$D$1601,$AH899))</f>
        <v/>
      </c>
      <c r="AC899">
        <f>IF($AH899="","",INDEX(Calc!$G$2:$G$1601,$AH899))</f>
        <v/>
      </c>
      <c r="AD899">
        <f>IF($AG899="","",Config!$B$23)</f>
        <v/>
      </c>
      <c r="AE899">
        <f>IF($AG899="","",Config!$B$28)</f>
        <v/>
      </c>
      <c r="AG899">
        <f>IFERROR(MATCH(ROW()-1,Calc!$J$2:$J$1601,0),"")</f>
        <v/>
      </c>
      <c r="AH899">
        <f>IFERROR(MATCH(ROW()-1,Calc!$K$2:$K$1601,0),"")</f>
        <v/>
      </c>
      <c r="AI899">
        <f>IF($AG899="","",SUMIF($AG$2:$AG899,$AG899,$AH$2:$AH899))</f>
        <v/>
      </c>
      <c r="AJ899">
        <f>IF('TMP Paste'!$F899="","",IF('TMP Paste'!$B899="",$AJ898,'TMP Paste'!$B899))</f>
        <v/>
      </c>
      <c r="AK899">
        <f>IF('TMP Paste'!$F899="","",N('TMP Paste'!$G899))</f>
        <v/>
      </c>
      <c r="AL899">
        <f>IF('TMP Paste'!$F899="","",IF('TMP Paste'!$M899="",$AL898,'TMP Paste'!$M899))</f>
        <v/>
      </c>
      <c r="AM899">
        <f>IF('TMP Paste'!$F899="","",IF('TMP Paste'!$N899="",$AM898,'TMP Paste'!$N899))</f>
        <v/>
      </c>
      <c r="AN899">
        <f>IF('TMP Paste'!$F899="","",IF('TMP Paste'!$O899="",$AN898,'TMP Paste'!$O899))</f>
        <v/>
      </c>
      <c r="AO899">
        <f>IF('TMP Paste'!$F899="","",IF('TMP Paste'!$P899="",$AO898,'TMP Paste'!$P899))</f>
        <v/>
      </c>
      <c r="AP899">
        <f>IF($AG899="","",LEN($R899))</f>
        <v/>
      </c>
      <c r="AQ899">
        <f>IF($AG899="","",TRIM(IF(COUNTIFS(Calc!$B$2:$B$1601,ROW()-1,Calc!$C$2:$C$1601,"&lt;1")&gt;0,"Ada PO tanpa Koli - cek TMP. ","")&amp;IF(LEN($R899)&gt;500,"R &gt; 500 karakter.","")))</f>
        <v/>
      </c>
    </row>
    <row r="900">
      <c r="A900">
        <f>IF($AG900="","",INDEX('TMP Paste'!$B$2:$B$1601,$AG900))</f>
        <v/>
      </c>
      <c r="B900">
        <f>IF($AG900="","",Config!$B$14)</f>
        <v/>
      </c>
      <c r="C900">
        <f>IF($AG900="","",Config!$B$15)</f>
        <v/>
      </c>
      <c r="D900">
        <f>IF($AG900="","",INDEX('TMP Paste'!$B$2:$B$1601,$AG900))</f>
        <v/>
      </c>
      <c r="E900">
        <f>IF($AG900="","",Config!$B$27)</f>
        <v/>
      </c>
      <c r="F900">
        <f>IF($AG900="","",Config!$B$9)</f>
        <v/>
      </c>
      <c r="G900">
        <f>IF($AG900="","",Config!$B$10)</f>
        <v/>
      </c>
      <c r="H900">
        <f>IF($AG900="","",Config!$B$11)</f>
        <v/>
      </c>
      <c r="I900">
        <f>IF($AG900="","",Config!$B$16)</f>
        <v/>
      </c>
      <c r="J900">
        <f>IF($AG900="","",INDEX('TMP Paste'!$A$2:$A$1601,$AG900))</f>
        <v/>
      </c>
      <c r="K900">
        <f>IF($AG900="","",INDEX('TMP Paste'!$L$2:$L$1601,$AG900))</f>
        <v/>
      </c>
      <c r="L900">
        <f>IF($AG900="","",INDEX('TMP Paste'!$I$2:$I$1601,$AG900))</f>
        <v/>
      </c>
      <c r="M900">
        <f>IF($AG900="","",Config!$B$16)</f>
        <v/>
      </c>
      <c r="N900">
        <f>IF($AG900="","","")</f>
        <v/>
      </c>
      <c r="O900">
        <f>IF($AG900="","",INDEX('TMP Paste'!$K$2:$K$1601,$AG900))</f>
        <v/>
      </c>
      <c r="P900">
        <f>IF($AG900="","","")</f>
        <v/>
      </c>
      <c r="Q900">
        <f>IF($AG900="","",INDEX('TMP Paste'!$J$2:$J$1601,$AG900))</f>
        <v/>
      </c>
      <c r="R900">
        <f>IF($AG900="","",Config!$B$24)</f>
        <v/>
      </c>
      <c r="S900">
        <f>IF($AG900="","",TEXT(Config!$B$4,"yyyy-mm-dd"))</f>
        <v/>
      </c>
      <c r="T900">
        <f>IF($AG900="","",Config!$B$17)</f>
        <v/>
      </c>
      <c r="U900">
        <f>IF($AG900="","",Config!$B$18)</f>
        <v/>
      </c>
      <c r="V900">
        <f>IF($AG900="","",Config!$B$19)</f>
        <v/>
      </c>
      <c r="W900">
        <f>IF($AG900="","",INDEX('TMP Paste'!$C$2:$C$1601,$AG900))</f>
        <v/>
      </c>
      <c r="X900">
        <f>IF($AG900="","",Config!$B$29)</f>
        <v/>
      </c>
      <c r="Y900">
        <f>IF($AH900="","",INDEX(Calc!$I$2:$I$1601,$AH900)&amp;" - "&amp;INDEX(Calc!$D$2:$D$1601,$AH900)&amp;" koli")</f>
        <v/>
      </c>
      <c r="Z900">
        <f>IF($AG900="","",Config!$B$21)</f>
        <v/>
      </c>
      <c r="AA900">
        <f>IF($AG900="","",Config!$B$22)</f>
        <v/>
      </c>
      <c r="AB900">
        <f>IF($AH900="","",INDEX(Calc!$D$2:$D$1601,$AH900))</f>
        <v/>
      </c>
      <c r="AC900">
        <f>IF($AH900="","",INDEX(Calc!$G$2:$G$1601,$AH900))</f>
        <v/>
      </c>
      <c r="AD900">
        <f>IF($AG900="","",Config!$B$23)</f>
        <v/>
      </c>
      <c r="AE900">
        <f>IF($AG900="","",Config!$B$28)</f>
        <v/>
      </c>
      <c r="AG900">
        <f>IFERROR(MATCH(ROW()-1,Calc!$J$2:$J$1601,0),"")</f>
        <v/>
      </c>
      <c r="AH900">
        <f>IFERROR(MATCH(ROW()-1,Calc!$K$2:$K$1601,0),"")</f>
        <v/>
      </c>
      <c r="AI900">
        <f>IF($AG900="","",SUMIF($AG$2:$AG900,$AG900,$AH$2:$AH900))</f>
        <v/>
      </c>
      <c r="AJ900">
        <f>IF('TMP Paste'!$F900="","",IF('TMP Paste'!$B900="",$AJ899,'TMP Paste'!$B900))</f>
        <v/>
      </c>
      <c r="AK900">
        <f>IF('TMP Paste'!$F900="","",N('TMP Paste'!$G900))</f>
        <v/>
      </c>
      <c r="AL900">
        <f>IF('TMP Paste'!$F900="","",IF('TMP Paste'!$M900="",$AL899,'TMP Paste'!$M900))</f>
        <v/>
      </c>
      <c r="AM900">
        <f>IF('TMP Paste'!$F900="","",IF('TMP Paste'!$N900="",$AM899,'TMP Paste'!$N900))</f>
        <v/>
      </c>
      <c r="AN900">
        <f>IF('TMP Paste'!$F900="","",IF('TMP Paste'!$O900="",$AN899,'TMP Paste'!$O900))</f>
        <v/>
      </c>
      <c r="AO900">
        <f>IF('TMP Paste'!$F900="","",IF('TMP Paste'!$P900="",$AO899,'TMP Paste'!$P900))</f>
        <v/>
      </c>
      <c r="AP900">
        <f>IF($AG900="","",LEN($R900))</f>
        <v/>
      </c>
      <c r="AQ900">
        <f>IF($AG900="","",TRIM(IF(COUNTIFS(Calc!$B$2:$B$1601,ROW()-1,Calc!$C$2:$C$1601,"&lt;1")&gt;0,"Ada PO tanpa Koli - cek TMP. ","")&amp;IF(LEN($R900)&gt;500,"R &gt; 500 karakter.","")))</f>
        <v/>
      </c>
    </row>
    <row r="901">
      <c r="A901">
        <f>IF($AG901="","",INDEX('TMP Paste'!$B$2:$B$1601,$AG901))</f>
        <v/>
      </c>
      <c r="B901">
        <f>IF($AG901="","",Config!$B$14)</f>
        <v/>
      </c>
      <c r="C901">
        <f>IF($AG901="","",Config!$B$15)</f>
        <v/>
      </c>
      <c r="D901">
        <f>IF($AG901="","",INDEX('TMP Paste'!$B$2:$B$1601,$AG901))</f>
        <v/>
      </c>
      <c r="E901">
        <f>IF($AG901="","",Config!$B$27)</f>
        <v/>
      </c>
      <c r="F901">
        <f>IF($AG901="","",Config!$B$9)</f>
        <v/>
      </c>
      <c r="G901">
        <f>IF($AG901="","",Config!$B$10)</f>
        <v/>
      </c>
      <c r="H901">
        <f>IF($AG901="","",Config!$B$11)</f>
        <v/>
      </c>
      <c r="I901">
        <f>IF($AG901="","",Config!$B$16)</f>
        <v/>
      </c>
      <c r="J901">
        <f>IF($AG901="","",INDEX('TMP Paste'!$A$2:$A$1601,$AG901))</f>
        <v/>
      </c>
      <c r="K901">
        <f>IF($AG901="","",INDEX('TMP Paste'!$L$2:$L$1601,$AG901))</f>
        <v/>
      </c>
      <c r="L901">
        <f>IF($AG901="","",INDEX('TMP Paste'!$I$2:$I$1601,$AG901))</f>
        <v/>
      </c>
      <c r="M901">
        <f>IF($AG901="","",Config!$B$16)</f>
        <v/>
      </c>
      <c r="N901">
        <f>IF($AG901="","","")</f>
        <v/>
      </c>
      <c r="O901">
        <f>IF($AG901="","",INDEX('TMP Paste'!$K$2:$K$1601,$AG901))</f>
        <v/>
      </c>
      <c r="P901">
        <f>IF($AG901="","","")</f>
        <v/>
      </c>
      <c r="Q901">
        <f>IF($AG901="","",INDEX('TMP Paste'!$J$2:$J$1601,$AG901))</f>
        <v/>
      </c>
      <c r="R901">
        <f>IF($AG901="","",Config!$B$24)</f>
        <v/>
      </c>
      <c r="S901">
        <f>IF($AG901="","",TEXT(Config!$B$4,"yyyy-mm-dd"))</f>
        <v/>
      </c>
      <c r="T901">
        <f>IF($AG901="","",Config!$B$17)</f>
        <v/>
      </c>
      <c r="U901">
        <f>IF($AG901="","",Config!$B$18)</f>
        <v/>
      </c>
      <c r="V901">
        <f>IF($AG901="","",Config!$B$19)</f>
        <v/>
      </c>
      <c r="W901">
        <f>IF($AG901="","",INDEX('TMP Paste'!$C$2:$C$1601,$AG901))</f>
        <v/>
      </c>
      <c r="X901">
        <f>IF($AG901="","",Config!$B$29)</f>
        <v/>
      </c>
      <c r="Y901">
        <f>IF($AH901="","",INDEX(Calc!$I$2:$I$1601,$AH901)&amp;" - "&amp;INDEX(Calc!$D$2:$D$1601,$AH901)&amp;" koli")</f>
        <v/>
      </c>
      <c r="Z901">
        <f>IF($AG901="","",Config!$B$21)</f>
        <v/>
      </c>
      <c r="AA901">
        <f>IF($AG901="","",Config!$B$22)</f>
        <v/>
      </c>
      <c r="AB901">
        <f>IF($AH901="","",INDEX(Calc!$D$2:$D$1601,$AH901))</f>
        <v/>
      </c>
      <c r="AC901">
        <f>IF($AH901="","",INDEX(Calc!$G$2:$G$1601,$AH901))</f>
        <v/>
      </c>
      <c r="AD901">
        <f>IF($AG901="","",Config!$B$23)</f>
        <v/>
      </c>
      <c r="AE901">
        <f>IF($AG901="","",Config!$B$28)</f>
        <v/>
      </c>
      <c r="AG901">
        <f>IFERROR(MATCH(ROW()-1,Calc!$J$2:$J$1601,0),"")</f>
        <v/>
      </c>
      <c r="AH901">
        <f>IFERROR(MATCH(ROW()-1,Calc!$K$2:$K$1601,0),"")</f>
        <v/>
      </c>
      <c r="AI901">
        <f>IF($AG901="","",SUMIF($AG$2:$AG901,$AG901,$AH$2:$AH901))</f>
        <v/>
      </c>
      <c r="AJ901">
        <f>IF('TMP Paste'!$F901="","",IF('TMP Paste'!$B901="",$AJ900,'TMP Paste'!$B901))</f>
        <v/>
      </c>
      <c r="AK901">
        <f>IF('TMP Paste'!$F901="","",N('TMP Paste'!$G901))</f>
        <v/>
      </c>
      <c r="AL901">
        <f>IF('TMP Paste'!$F901="","",IF('TMP Paste'!$M901="",$AL900,'TMP Paste'!$M901))</f>
        <v/>
      </c>
      <c r="AM901">
        <f>IF('TMP Paste'!$F901="","",IF('TMP Paste'!$N901="",$AM900,'TMP Paste'!$N901))</f>
        <v/>
      </c>
      <c r="AN901">
        <f>IF('TMP Paste'!$F901="","",IF('TMP Paste'!$O901="",$AN900,'TMP Paste'!$O901))</f>
        <v/>
      </c>
      <c r="AO901">
        <f>IF('TMP Paste'!$F901="","",IF('TMP Paste'!$P901="",$AO900,'TMP Paste'!$P901))</f>
        <v/>
      </c>
      <c r="AP901">
        <f>IF($AG901="","",LEN($R901))</f>
        <v/>
      </c>
      <c r="AQ901">
        <f>IF($AG901="","",TRIM(IF(COUNTIFS(Calc!$B$2:$B$1601,ROW()-1,Calc!$C$2:$C$1601,"&lt;1")&gt;0,"Ada PO tanpa Koli - cek TMP. ","")&amp;IF(LEN($R901)&gt;500,"R &gt; 500 karakter.","")))</f>
        <v/>
      </c>
    </row>
    <row r="902">
      <c r="A902">
        <f>IF($AG902="","",INDEX('TMP Paste'!$B$2:$B$1601,$AG902))</f>
        <v/>
      </c>
      <c r="B902">
        <f>IF($AG902="","",Config!$B$14)</f>
        <v/>
      </c>
      <c r="C902">
        <f>IF($AG902="","",Config!$B$15)</f>
        <v/>
      </c>
      <c r="D902">
        <f>IF($AG902="","",INDEX('TMP Paste'!$B$2:$B$1601,$AG902))</f>
        <v/>
      </c>
      <c r="E902">
        <f>IF($AG902="","",Config!$B$27)</f>
        <v/>
      </c>
      <c r="F902">
        <f>IF($AG902="","",Config!$B$9)</f>
        <v/>
      </c>
      <c r="G902">
        <f>IF($AG902="","",Config!$B$10)</f>
        <v/>
      </c>
      <c r="H902">
        <f>IF($AG902="","",Config!$B$11)</f>
        <v/>
      </c>
      <c r="I902">
        <f>IF($AG902="","",Config!$B$16)</f>
        <v/>
      </c>
      <c r="J902">
        <f>IF($AG902="","",INDEX('TMP Paste'!$A$2:$A$1601,$AG902))</f>
        <v/>
      </c>
      <c r="K902">
        <f>IF($AG902="","",INDEX('TMP Paste'!$L$2:$L$1601,$AG902))</f>
        <v/>
      </c>
      <c r="L902">
        <f>IF($AG902="","",INDEX('TMP Paste'!$I$2:$I$1601,$AG902))</f>
        <v/>
      </c>
      <c r="M902">
        <f>IF($AG902="","",Config!$B$16)</f>
        <v/>
      </c>
      <c r="N902">
        <f>IF($AG902="","","")</f>
        <v/>
      </c>
      <c r="O902">
        <f>IF($AG902="","",INDEX('TMP Paste'!$K$2:$K$1601,$AG902))</f>
        <v/>
      </c>
      <c r="P902">
        <f>IF($AG902="","","")</f>
        <v/>
      </c>
      <c r="Q902">
        <f>IF($AG902="","",INDEX('TMP Paste'!$J$2:$J$1601,$AG902))</f>
        <v/>
      </c>
      <c r="R902">
        <f>IF($AG902="","",Config!$B$24)</f>
        <v/>
      </c>
      <c r="S902">
        <f>IF($AG902="","",TEXT(Config!$B$4,"yyyy-mm-dd"))</f>
        <v/>
      </c>
      <c r="T902">
        <f>IF($AG902="","",Config!$B$17)</f>
        <v/>
      </c>
      <c r="U902">
        <f>IF($AG902="","",Config!$B$18)</f>
        <v/>
      </c>
      <c r="V902">
        <f>IF($AG902="","",Config!$B$19)</f>
        <v/>
      </c>
      <c r="W902">
        <f>IF($AG902="","",INDEX('TMP Paste'!$C$2:$C$1601,$AG902))</f>
        <v/>
      </c>
      <c r="X902">
        <f>IF($AG902="","",Config!$B$29)</f>
        <v/>
      </c>
      <c r="Y902">
        <f>IF($AH902="","",INDEX(Calc!$I$2:$I$1601,$AH902)&amp;" - "&amp;INDEX(Calc!$D$2:$D$1601,$AH902)&amp;" koli")</f>
        <v/>
      </c>
      <c r="Z902">
        <f>IF($AG902="","",Config!$B$21)</f>
        <v/>
      </c>
      <c r="AA902">
        <f>IF($AG902="","",Config!$B$22)</f>
        <v/>
      </c>
      <c r="AB902">
        <f>IF($AH902="","",INDEX(Calc!$D$2:$D$1601,$AH902))</f>
        <v/>
      </c>
      <c r="AC902">
        <f>IF($AH902="","",INDEX(Calc!$G$2:$G$1601,$AH902))</f>
        <v/>
      </c>
      <c r="AD902">
        <f>IF($AG902="","",Config!$B$23)</f>
        <v/>
      </c>
      <c r="AE902">
        <f>IF($AG902="","",Config!$B$28)</f>
        <v/>
      </c>
      <c r="AG902">
        <f>IFERROR(MATCH(ROW()-1,Calc!$J$2:$J$1601,0),"")</f>
        <v/>
      </c>
      <c r="AH902">
        <f>IFERROR(MATCH(ROW()-1,Calc!$K$2:$K$1601,0),"")</f>
        <v/>
      </c>
      <c r="AI902">
        <f>IF($AG902="","",SUMIF($AG$2:$AG902,$AG902,$AH$2:$AH902))</f>
        <v/>
      </c>
      <c r="AJ902">
        <f>IF('TMP Paste'!$F902="","",IF('TMP Paste'!$B902="",$AJ901,'TMP Paste'!$B902))</f>
        <v/>
      </c>
      <c r="AK902">
        <f>IF('TMP Paste'!$F902="","",N('TMP Paste'!$G902))</f>
        <v/>
      </c>
      <c r="AL902">
        <f>IF('TMP Paste'!$F902="","",IF('TMP Paste'!$M902="",$AL901,'TMP Paste'!$M902))</f>
        <v/>
      </c>
      <c r="AM902">
        <f>IF('TMP Paste'!$F902="","",IF('TMP Paste'!$N902="",$AM901,'TMP Paste'!$N902))</f>
        <v/>
      </c>
      <c r="AN902">
        <f>IF('TMP Paste'!$F902="","",IF('TMP Paste'!$O902="",$AN901,'TMP Paste'!$O902))</f>
        <v/>
      </c>
      <c r="AO902">
        <f>IF('TMP Paste'!$F902="","",IF('TMP Paste'!$P902="",$AO901,'TMP Paste'!$P902))</f>
        <v/>
      </c>
      <c r="AP902">
        <f>IF($AG902="","",LEN($R902))</f>
        <v/>
      </c>
      <c r="AQ902">
        <f>IF($AG902="","",TRIM(IF(COUNTIFS(Calc!$B$2:$B$1601,ROW()-1,Calc!$C$2:$C$1601,"&lt;1")&gt;0,"Ada PO tanpa Koli - cek TMP. ","")&amp;IF(LEN($R902)&gt;500,"R &gt; 500 karakter.","")))</f>
        <v/>
      </c>
    </row>
    <row r="903">
      <c r="A903">
        <f>IF($AG903="","",INDEX('TMP Paste'!$B$2:$B$1601,$AG903))</f>
        <v/>
      </c>
      <c r="B903">
        <f>IF($AG903="","",Config!$B$14)</f>
        <v/>
      </c>
      <c r="C903">
        <f>IF($AG903="","",Config!$B$15)</f>
        <v/>
      </c>
      <c r="D903">
        <f>IF($AG903="","",INDEX('TMP Paste'!$B$2:$B$1601,$AG903))</f>
        <v/>
      </c>
      <c r="E903">
        <f>IF($AG903="","",Config!$B$27)</f>
        <v/>
      </c>
      <c r="F903">
        <f>IF($AG903="","",Config!$B$9)</f>
        <v/>
      </c>
      <c r="G903">
        <f>IF($AG903="","",Config!$B$10)</f>
        <v/>
      </c>
      <c r="H903">
        <f>IF($AG903="","",Config!$B$11)</f>
        <v/>
      </c>
      <c r="I903">
        <f>IF($AG903="","",Config!$B$16)</f>
        <v/>
      </c>
      <c r="J903">
        <f>IF($AG903="","",INDEX('TMP Paste'!$A$2:$A$1601,$AG903))</f>
        <v/>
      </c>
      <c r="K903">
        <f>IF($AG903="","",INDEX('TMP Paste'!$L$2:$L$1601,$AG903))</f>
        <v/>
      </c>
      <c r="L903">
        <f>IF($AG903="","",INDEX('TMP Paste'!$I$2:$I$1601,$AG903))</f>
        <v/>
      </c>
      <c r="M903">
        <f>IF($AG903="","",Config!$B$16)</f>
        <v/>
      </c>
      <c r="N903">
        <f>IF($AG903="","","")</f>
        <v/>
      </c>
      <c r="O903">
        <f>IF($AG903="","",INDEX('TMP Paste'!$K$2:$K$1601,$AG903))</f>
        <v/>
      </c>
      <c r="P903">
        <f>IF($AG903="","","")</f>
        <v/>
      </c>
      <c r="Q903">
        <f>IF($AG903="","",INDEX('TMP Paste'!$J$2:$J$1601,$AG903))</f>
        <v/>
      </c>
      <c r="R903">
        <f>IF($AG903="","",Config!$B$24)</f>
        <v/>
      </c>
      <c r="S903">
        <f>IF($AG903="","",TEXT(Config!$B$4,"yyyy-mm-dd"))</f>
        <v/>
      </c>
      <c r="T903">
        <f>IF($AG903="","",Config!$B$17)</f>
        <v/>
      </c>
      <c r="U903">
        <f>IF($AG903="","",Config!$B$18)</f>
        <v/>
      </c>
      <c r="V903">
        <f>IF($AG903="","",Config!$B$19)</f>
        <v/>
      </c>
      <c r="W903">
        <f>IF($AG903="","",INDEX('TMP Paste'!$C$2:$C$1601,$AG903))</f>
        <v/>
      </c>
      <c r="X903">
        <f>IF($AG903="","",Config!$B$29)</f>
        <v/>
      </c>
      <c r="Y903">
        <f>IF($AH903="","",INDEX(Calc!$I$2:$I$1601,$AH903)&amp;" - "&amp;INDEX(Calc!$D$2:$D$1601,$AH903)&amp;" koli")</f>
        <v/>
      </c>
      <c r="Z903">
        <f>IF($AG903="","",Config!$B$21)</f>
        <v/>
      </c>
      <c r="AA903">
        <f>IF($AG903="","",Config!$B$22)</f>
        <v/>
      </c>
      <c r="AB903">
        <f>IF($AH903="","",INDEX(Calc!$D$2:$D$1601,$AH903))</f>
        <v/>
      </c>
      <c r="AC903">
        <f>IF($AH903="","",INDEX(Calc!$G$2:$G$1601,$AH903))</f>
        <v/>
      </c>
      <c r="AD903">
        <f>IF($AG903="","",Config!$B$23)</f>
        <v/>
      </c>
      <c r="AE903">
        <f>IF($AG903="","",Config!$B$28)</f>
        <v/>
      </c>
      <c r="AG903">
        <f>IFERROR(MATCH(ROW()-1,Calc!$J$2:$J$1601,0),"")</f>
        <v/>
      </c>
      <c r="AH903">
        <f>IFERROR(MATCH(ROW()-1,Calc!$K$2:$K$1601,0),"")</f>
        <v/>
      </c>
      <c r="AI903">
        <f>IF($AG903="","",SUMIF($AG$2:$AG903,$AG903,$AH$2:$AH903))</f>
        <v/>
      </c>
      <c r="AJ903">
        <f>IF('TMP Paste'!$F903="","",IF('TMP Paste'!$B903="",$AJ902,'TMP Paste'!$B903))</f>
        <v/>
      </c>
      <c r="AK903">
        <f>IF('TMP Paste'!$F903="","",N('TMP Paste'!$G903))</f>
        <v/>
      </c>
      <c r="AL903">
        <f>IF('TMP Paste'!$F903="","",IF('TMP Paste'!$M903="",$AL902,'TMP Paste'!$M903))</f>
        <v/>
      </c>
      <c r="AM903">
        <f>IF('TMP Paste'!$F903="","",IF('TMP Paste'!$N903="",$AM902,'TMP Paste'!$N903))</f>
        <v/>
      </c>
      <c r="AN903">
        <f>IF('TMP Paste'!$F903="","",IF('TMP Paste'!$O903="",$AN902,'TMP Paste'!$O903))</f>
        <v/>
      </c>
      <c r="AO903">
        <f>IF('TMP Paste'!$F903="","",IF('TMP Paste'!$P903="",$AO902,'TMP Paste'!$P903))</f>
        <v/>
      </c>
      <c r="AP903">
        <f>IF($AG903="","",LEN($R903))</f>
        <v/>
      </c>
      <c r="AQ903">
        <f>IF($AG903="","",TRIM(IF(COUNTIFS(Calc!$B$2:$B$1601,ROW()-1,Calc!$C$2:$C$1601,"&lt;1")&gt;0,"Ada PO tanpa Koli - cek TMP. ","")&amp;IF(LEN($R903)&gt;500,"R &gt; 500 karakter.","")))</f>
        <v/>
      </c>
    </row>
    <row r="904">
      <c r="A904">
        <f>IF($AG904="","",INDEX('TMP Paste'!$B$2:$B$1601,$AG904))</f>
        <v/>
      </c>
      <c r="B904">
        <f>IF($AG904="","",Config!$B$14)</f>
        <v/>
      </c>
      <c r="C904">
        <f>IF($AG904="","",Config!$B$15)</f>
        <v/>
      </c>
      <c r="D904">
        <f>IF($AG904="","",INDEX('TMP Paste'!$B$2:$B$1601,$AG904))</f>
        <v/>
      </c>
      <c r="E904">
        <f>IF($AG904="","",Config!$B$27)</f>
        <v/>
      </c>
      <c r="F904">
        <f>IF($AG904="","",Config!$B$9)</f>
        <v/>
      </c>
      <c r="G904">
        <f>IF($AG904="","",Config!$B$10)</f>
        <v/>
      </c>
      <c r="H904">
        <f>IF($AG904="","",Config!$B$11)</f>
        <v/>
      </c>
      <c r="I904">
        <f>IF($AG904="","",Config!$B$16)</f>
        <v/>
      </c>
      <c r="J904">
        <f>IF($AG904="","",INDEX('TMP Paste'!$A$2:$A$1601,$AG904))</f>
        <v/>
      </c>
      <c r="K904">
        <f>IF($AG904="","",INDEX('TMP Paste'!$L$2:$L$1601,$AG904))</f>
        <v/>
      </c>
      <c r="L904">
        <f>IF($AG904="","",INDEX('TMP Paste'!$I$2:$I$1601,$AG904))</f>
        <v/>
      </c>
      <c r="M904">
        <f>IF($AG904="","",Config!$B$16)</f>
        <v/>
      </c>
      <c r="N904">
        <f>IF($AG904="","","")</f>
        <v/>
      </c>
      <c r="O904">
        <f>IF($AG904="","",INDEX('TMP Paste'!$K$2:$K$1601,$AG904))</f>
        <v/>
      </c>
      <c r="P904">
        <f>IF($AG904="","","")</f>
        <v/>
      </c>
      <c r="Q904">
        <f>IF($AG904="","",INDEX('TMP Paste'!$J$2:$J$1601,$AG904))</f>
        <v/>
      </c>
      <c r="R904">
        <f>IF($AG904="","",Config!$B$24)</f>
        <v/>
      </c>
      <c r="S904">
        <f>IF($AG904="","",TEXT(Config!$B$4,"yyyy-mm-dd"))</f>
        <v/>
      </c>
      <c r="T904">
        <f>IF($AG904="","",Config!$B$17)</f>
        <v/>
      </c>
      <c r="U904">
        <f>IF($AG904="","",Config!$B$18)</f>
        <v/>
      </c>
      <c r="V904">
        <f>IF($AG904="","",Config!$B$19)</f>
        <v/>
      </c>
      <c r="W904">
        <f>IF($AG904="","",INDEX('TMP Paste'!$C$2:$C$1601,$AG904))</f>
        <v/>
      </c>
      <c r="X904">
        <f>IF($AG904="","",Config!$B$29)</f>
        <v/>
      </c>
      <c r="Y904">
        <f>IF($AH904="","",INDEX(Calc!$I$2:$I$1601,$AH904)&amp;" - "&amp;INDEX(Calc!$D$2:$D$1601,$AH904)&amp;" koli")</f>
        <v/>
      </c>
      <c r="Z904">
        <f>IF($AG904="","",Config!$B$21)</f>
        <v/>
      </c>
      <c r="AA904">
        <f>IF($AG904="","",Config!$B$22)</f>
        <v/>
      </c>
      <c r="AB904">
        <f>IF($AH904="","",INDEX(Calc!$D$2:$D$1601,$AH904))</f>
        <v/>
      </c>
      <c r="AC904">
        <f>IF($AH904="","",INDEX(Calc!$G$2:$G$1601,$AH904))</f>
        <v/>
      </c>
      <c r="AD904">
        <f>IF($AG904="","",Config!$B$23)</f>
        <v/>
      </c>
      <c r="AE904">
        <f>IF($AG904="","",Config!$B$28)</f>
        <v/>
      </c>
      <c r="AG904">
        <f>IFERROR(MATCH(ROW()-1,Calc!$J$2:$J$1601,0),"")</f>
        <v/>
      </c>
      <c r="AH904">
        <f>IFERROR(MATCH(ROW()-1,Calc!$K$2:$K$1601,0),"")</f>
        <v/>
      </c>
      <c r="AI904">
        <f>IF($AG904="","",SUMIF($AG$2:$AG904,$AG904,$AH$2:$AH904))</f>
        <v/>
      </c>
      <c r="AJ904">
        <f>IF('TMP Paste'!$F904="","",IF('TMP Paste'!$B904="",$AJ903,'TMP Paste'!$B904))</f>
        <v/>
      </c>
      <c r="AK904">
        <f>IF('TMP Paste'!$F904="","",N('TMP Paste'!$G904))</f>
        <v/>
      </c>
      <c r="AL904">
        <f>IF('TMP Paste'!$F904="","",IF('TMP Paste'!$M904="",$AL903,'TMP Paste'!$M904))</f>
        <v/>
      </c>
      <c r="AM904">
        <f>IF('TMP Paste'!$F904="","",IF('TMP Paste'!$N904="",$AM903,'TMP Paste'!$N904))</f>
        <v/>
      </c>
      <c r="AN904">
        <f>IF('TMP Paste'!$F904="","",IF('TMP Paste'!$O904="",$AN903,'TMP Paste'!$O904))</f>
        <v/>
      </c>
      <c r="AO904">
        <f>IF('TMP Paste'!$F904="","",IF('TMP Paste'!$P904="",$AO903,'TMP Paste'!$P904))</f>
        <v/>
      </c>
      <c r="AP904">
        <f>IF($AG904="","",LEN($R904))</f>
        <v/>
      </c>
      <c r="AQ904">
        <f>IF($AG904="","",TRIM(IF(COUNTIFS(Calc!$B$2:$B$1601,ROW()-1,Calc!$C$2:$C$1601,"&lt;1")&gt;0,"Ada PO tanpa Koli - cek TMP. ","")&amp;IF(LEN($R904)&gt;500,"R &gt; 500 karakter.","")))</f>
        <v/>
      </c>
    </row>
    <row r="905">
      <c r="A905">
        <f>IF($AG905="","",INDEX('TMP Paste'!$B$2:$B$1601,$AG905))</f>
        <v/>
      </c>
      <c r="B905">
        <f>IF($AG905="","",Config!$B$14)</f>
        <v/>
      </c>
      <c r="C905">
        <f>IF($AG905="","",Config!$B$15)</f>
        <v/>
      </c>
      <c r="D905">
        <f>IF($AG905="","",INDEX('TMP Paste'!$B$2:$B$1601,$AG905))</f>
        <v/>
      </c>
      <c r="E905">
        <f>IF($AG905="","",Config!$B$27)</f>
        <v/>
      </c>
      <c r="F905">
        <f>IF($AG905="","",Config!$B$9)</f>
        <v/>
      </c>
      <c r="G905">
        <f>IF($AG905="","",Config!$B$10)</f>
        <v/>
      </c>
      <c r="H905">
        <f>IF($AG905="","",Config!$B$11)</f>
        <v/>
      </c>
      <c r="I905">
        <f>IF($AG905="","",Config!$B$16)</f>
        <v/>
      </c>
      <c r="J905">
        <f>IF($AG905="","",INDEX('TMP Paste'!$A$2:$A$1601,$AG905))</f>
        <v/>
      </c>
      <c r="K905">
        <f>IF($AG905="","",INDEX('TMP Paste'!$L$2:$L$1601,$AG905))</f>
        <v/>
      </c>
      <c r="L905">
        <f>IF($AG905="","",INDEX('TMP Paste'!$I$2:$I$1601,$AG905))</f>
        <v/>
      </c>
      <c r="M905">
        <f>IF($AG905="","",Config!$B$16)</f>
        <v/>
      </c>
      <c r="N905">
        <f>IF($AG905="","","")</f>
        <v/>
      </c>
      <c r="O905">
        <f>IF($AG905="","",INDEX('TMP Paste'!$K$2:$K$1601,$AG905))</f>
        <v/>
      </c>
      <c r="P905">
        <f>IF($AG905="","","")</f>
        <v/>
      </c>
      <c r="Q905">
        <f>IF($AG905="","",INDEX('TMP Paste'!$J$2:$J$1601,$AG905))</f>
        <v/>
      </c>
      <c r="R905">
        <f>IF($AG905="","",Config!$B$24)</f>
        <v/>
      </c>
      <c r="S905">
        <f>IF($AG905="","",TEXT(Config!$B$4,"yyyy-mm-dd"))</f>
        <v/>
      </c>
      <c r="T905">
        <f>IF($AG905="","",Config!$B$17)</f>
        <v/>
      </c>
      <c r="U905">
        <f>IF($AG905="","",Config!$B$18)</f>
        <v/>
      </c>
      <c r="V905">
        <f>IF($AG905="","",Config!$B$19)</f>
        <v/>
      </c>
      <c r="W905">
        <f>IF($AG905="","",INDEX('TMP Paste'!$C$2:$C$1601,$AG905))</f>
        <v/>
      </c>
      <c r="X905">
        <f>IF($AG905="","",Config!$B$29)</f>
        <v/>
      </c>
      <c r="Y905">
        <f>IF($AH905="","",INDEX(Calc!$I$2:$I$1601,$AH905)&amp;" - "&amp;INDEX(Calc!$D$2:$D$1601,$AH905)&amp;" koli")</f>
        <v/>
      </c>
      <c r="Z905">
        <f>IF($AG905="","",Config!$B$21)</f>
        <v/>
      </c>
      <c r="AA905">
        <f>IF($AG905="","",Config!$B$22)</f>
        <v/>
      </c>
      <c r="AB905">
        <f>IF($AH905="","",INDEX(Calc!$D$2:$D$1601,$AH905))</f>
        <v/>
      </c>
      <c r="AC905">
        <f>IF($AH905="","",INDEX(Calc!$G$2:$G$1601,$AH905))</f>
        <v/>
      </c>
      <c r="AD905">
        <f>IF($AG905="","",Config!$B$23)</f>
        <v/>
      </c>
      <c r="AE905">
        <f>IF($AG905="","",Config!$B$28)</f>
        <v/>
      </c>
      <c r="AG905">
        <f>IFERROR(MATCH(ROW()-1,Calc!$J$2:$J$1601,0),"")</f>
        <v/>
      </c>
      <c r="AH905">
        <f>IFERROR(MATCH(ROW()-1,Calc!$K$2:$K$1601,0),"")</f>
        <v/>
      </c>
      <c r="AI905">
        <f>IF($AG905="","",SUMIF($AG$2:$AG905,$AG905,$AH$2:$AH905))</f>
        <v/>
      </c>
      <c r="AJ905">
        <f>IF('TMP Paste'!$F905="","",IF('TMP Paste'!$B905="",$AJ904,'TMP Paste'!$B905))</f>
        <v/>
      </c>
      <c r="AK905">
        <f>IF('TMP Paste'!$F905="","",N('TMP Paste'!$G905))</f>
        <v/>
      </c>
      <c r="AL905">
        <f>IF('TMP Paste'!$F905="","",IF('TMP Paste'!$M905="",$AL904,'TMP Paste'!$M905))</f>
        <v/>
      </c>
      <c r="AM905">
        <f>IF('TMP Paste'!$F905="","",IF('TMP Paste'!$N905="",$AM904,'TMP Paste'!$N905))</f>
        <v/>
      </c>
      <c r="AN905">
        <f>IF('TMP Paste'!$F905="","",IF('TMP Paste'!$O905="",$AN904,'TMP Paste'!$O905))</f>
        <v/>
      </c>
      <c r="AO905">
        <f>IF('TMP Paste'!$F905="","",IF('TMP Paste'!$P905="",$AO904,'TMP Paste'!$P905))</f>
        <v/>
      </c>
      <c r="AP905">
        <f>IF($AG905="","",LEN($R905))</f>
        <v/>
      </c>
      <c r="AQ905">
        <f>IF($AG905="","",TRIM(IF(COUNTIFS(Calc!$B$2:$B$1601,ROW()-1,Calc!$C$2:$C$1601,"&lt;1")&gt;0,"Ada PO tanpa Koli - cek TMP. ","")&amp;IF(LEN($R905)&gt;500,"R &gt; 500 karakter.","")))</f>
        <v/>
      </c>
    </row>
    <row r="906">
      <c r="A906">
        <f>IF($AG906="","",INDEX('TMP Paste'!$B$2:$B$1601,$AG906))</f>
        <v/>
      </c>
      <c r="B906">
        <f>IF($AG906="","",Config!$B$14)</f>
        <v/>
      </c>
      <c r="C906">
        <f>IF($AG906="","",Config!$B$15)</f>
        <v/>
      </c>
      <c r="D906">
        <f>IF($AG906="","",INDEX('TMP Paste'!$B$2:$B$1601,$AG906))</f>
        <v/>
      </c>
      <c r="E906">
        <f>IF($AG906="","",Config!$B$27)</f>
        <v/>
      </c>
      <c r="F906">
        <f>IF($AG906="","",Config!$B$9)</f>
        <v/>
      </c>
      <c r="G906">
        <f>IF($AG906="","",Config!$B$10)</f>
        <v/>
      </c>
      <c r="H906">
        <f>IF($AG906="","",Config!$B$11)</f>
        <v/>
      </c>
      <c r="I906">
        <f>IF($AG906="","",Config!$B$16)</f>
        <v/>
      </c>
      <c r="J906">
        <f>IF($AG906="","",INDEX('TMP Paste'!$A$2:$A$1601,$AG906))</f>
        <v/>
      </c>
      <c r="K906">
        <f>IF($AG906="","",INDEX('TMP Paste'!$L$2:$L$1601,$AG906))</f>
        <v/>
      </c>
      <c r="L906">
        <f>IF($AG906="","",INDEX('TMP Paste'!$I$2:$I$1601,$AG906))</f>
        <v/>
      </c>
      <c r="M906">
        <f>IF($AG906="","",Config!$B$16)</f>
        <v/>
      </c>
      <c r="N906">
        <f>IF($AG906="","","")</f>
        <v/>
      </c>
      <c r="O906">
        <f>IF($AG906="","",INDEX('TMP Paste'!$K$2:$K$1601,$AG906))</f>
        <v/>
      </c>
      <c r="P906">
        <f>IF($AG906="","","")</f>
        <v/>
      </c>
      <c r="Q906">
        <f>IF($AG906="","",INDEX('TMP Paste'!$J$2:$J$1601,$AG906))</f>
        <v/>
      </c>
      <c r="R906">
        <f>IF($AG906="","",Config!$B$24)</f>
        <v/>
      </c>
      <c r="S906">
        <f>IF($AG906="","",TEXT(Config!$B$4,"yyyy-mm-dd"))</f>
        <v/>
      </c>
      <c r="T906">
        <f>IF($AG906="","",Config!$B$17)</f>
        <v/>
      </c>
      <c r="U906">
        <f>IF($AG906="","",Config!$B$18)</f>
        <v/>
      </c>
      <c r="V906">
        <f>IF($AG906="","",Config!$B$19)</f>
        <v/>
      </c>
      <c r="W906">
        <f>IF($AG906="","",INDEX('TMP Paste'!$C$2:$C$1601,$AG906))</f>
        <v/>
      </c>
      <c r="X906">
        <f>IF($AG906="","",Config!$B$29)</f>
        <v/>
      </c>
      <c r="Y906">
        <f>IF($AH906="","",INDEX(Calc!$I$2:$I$1601,$AH906)&amp;" - "&amp;INDEX(Calc!$D$2:$D$1601,$AH906)&amp;" koli")</f>
        <v/>
      </c>
      <c r="Z906">
        <f>IF($AG906="","",Config!$B$21)</f>
        <v/>
      </c>
      <c r="AA906">
        <f>IF($AG906="","",Config!$B$22)</f>
        <v/>
      </c>
      <c r="AB906">
        <f>IF($AH906="","",INDEX(Calc!$D$2:$D$1601,$AH906))</f>
        <v/>
      </c>
      <c r="AC906">
        <f>IF($AH906="","",INDEX(Calc!$G$2:$G$1601,$AH906))</f>
        <v/>
      </c>
      <c r="AD906">
        <f>IF($AG906="","",Config!$B$23)</f>
        <v/>
      </c>
      <c r="AE906">
        <f>IF($AG906="","",Config!$B$28)</f>
        <v/>
      </c>
      <c r="AG906">
        <f>IFERROR(MATCH(ROW()-1,Calc!$J$2:$J$1601,0),"")</f>
        <v/>
      </c>
      <c r="AH906">
        <f>IFERROR(MATCH(ROW()-1,Calc!$K$2:$K$1601,0),"")</f>
        <v/>
      </c>
      <c r="AI906">
        <f>IF($AG906="","",SUMIF($AG$2:$AG906,$AG906,$AH$2:$AH906))</f>
        <v/>
      </c>
      <c r="AJ906">
        <f>IF('TMP Paste'!$F906="","",IF('TMP Paste'!$B906="",$AJ905,'TMP Paste'!$B906))</f>
        <v/>
      </c>
      <c r="AK906">
        <f>IF('TMP Paste'!$F906="","",N('TMP Paste'!$G906))</f>
        <v/>
      </c>
      <c r="AL906">
        <f>IF('TMP Paste'!$F906="","",IF('TMP Paste'!$M906="",$AL905,'TMP Paste'!$M906))</f>
        <v/>
      </c>
      <c r="AM906">
        <f>IF('TMP Paste'!$F906="","",IF('TMP Paste'!$N906="",$AM905,'TMP Paste'!$N906))</f>
        <v/>
      </c>
      <c r="AN906">
        <f>IF('TMP Paste'!$F906="","",IF('TMP Paste'!$O906="",$AN905,'TMP Paste'!$O906))</f>
        <v/>
      </c>
      <c r="AO906">
        <f>IF('TMP Paste'!$F906="","",IF('TMP Paste'!$P906="",$AO905,'TMP Paste'!$P906))</f>
        <v/>
      </c>
      <c r="AP906">
        <f>IF($AG906="","",LEN($R906))</f>
        <v/>
      </c>
      <c r="AQ906">
        <f>IF($AG906="","",TRIM(IF(COUNTIFS(Calc!$B$2:$B$1601,ROW()-1,Calc!$C$2:$C$1601,"&lt;1")&gt;0,"Ada PO tanpa Koli - cek TMP. ","")&amp;IF(LEN($R906)&gt;500,"R &gt; 500 karakter.","")))</f>
        <v/>
      </c>
    </row>
    <row r="907">
      <c r="A907">
        <f>IF($AG907="","",INDEX('TMP Paste'!$B$2:$B$1601,$AG907))</f>
        <v/>
      </c>
      <c r="B907">
        <f>IF($AG907="","",Config!$B$14)</f>
        <v/>
      </c>
      <c r="C907">
        <f>IF($AG907="","",Config!$B$15)</f>
        <v/>
      </c>
      <c r="D907">
        <f>IF($AG907="","",INDEX('TMP Paste'!$B$2:$B$1601,$AG907))</f>
        <v/>
      </c>
      <c r="E907">
        <f>IF($AG907="","",Config!$B$27)</f>
        <v/>
      </c>
      <c r="F907">
        <f>IF($AG907="","",Config!$B$9)</f>
        <v/>
      </c>
      <c r="G907">
        <f>IF($AG907="","",Config!$B$10)</f>
        <v/>
      </c>
      <c r="H907">
        <f>IF($AG907="","",Config!$B$11)</f>
        <v/>
      </c>
      <c r="I907">
        <f>IF($AG907="","",Config!$B$16)</f>
        <v/>
      </c>
      <c r="J907">
        <f>IF($AG907="","",INDEX('TMP Paste'!$A$2:$A$1601,$AG907))</f>
        <v/>
      </c>
      <c r="K907">
        <f>IF($AG907="","",INDEX('TMP Paste'!$L$2:$L$1601,$AG907))</f>
        <v/>
      </c>
      <c r="L907">
        <f>IF($AG907="","",INDEX('TMP Paste'!$I$2:$I$1601,$AG907))</f>
        <v/>
      </c>
      <c r="M907">
        <f>IF($AG907="","",Config!$B$16)</f>
        <v/>
      </c>
      <c r="N907">
        <f>IF($AG907="","","")</f>
        <v/>
      </c>
      <c r="O907">
        <f>IF($AG907="","",INDEX('TMP Paste'!$K$2:$K$1601,$AG907))</f>
        <v/>
      </c>
      <c r="P907">
        <f>IF($AG907="","","")</f>
        <v/>
      </c>
      <c r="Q907">
        <f>IF($AG907="","",INDEX('TMP Paste'!$J$2:$J$1601,$AG907))</f>
        <v/>
      </c>
      <c r="R907">
        <f>IF($AG907="","",Config!$B$24)</f>
        <v/>
      </c>
      <c r="S907">
        <f>IF($AG907="","",TEXT(Config!$B$4,"yyyy-mm-dd"))</f>
        <v/>
      </c>
      <c r="T907">
        <f>IF($AG907="","",Config!$B$17)</f>
        <v/>
      </c>
      <c r="U907">
        <f>IF($AG907="","",Config!$B$18)</f>
        <v/>
      </c>
      <c r="V907">
        <f>IF($AG907="","",Config!$B$19)</f>
        <v/>
      </c>
      <c r="W907">
        <f>IF($AG907="","",INDEX('TMP Paste'!$C$2:$C$1601,$AG907))</f>
        <v/>
      </c>
      <c r="X907">
        <f>IF($AG907="","",Config!$B$29)</f>
        <v/>
      </c>
      <c r="Y907">
        <f>IF($AH907="","",INDEX(Calc!$I$2:$I$1601,$AH907)&amp;" - "&amp;INDEX(Calc!$D$2:$D$1601,$AH907)&amp;" koli")</f>
        <v/>
      </c>
      <c r="Z907">
        <f>IF($AG907="","",Config!$B$21)</f>
        <v/>
      </c>
      <c r="AA907">
        <f>IF($AG907="","",Config!$B$22)</f>
        <v/>
      </c>
      <c r="AB907">
        <f>IF($AH907="","",INDEX(Calc!$D$2:$D$1601,$AH907))</f>
        <v/>
      </c>
      <c r="AC907">
        <f>IF($AH907="","",INDEX(Calc!$G$2:$G$1601,$AH907))</f>
        <v/>
      </c>
      <c r="AD907">
        <f>IF($AG907="","",Config!$B$23)</f>
        <v/>
      </c>
      <c r="AE907">
        <f>IF($AG907="","",Config!$B$28)</f>
        <v/>
      </c>
      <c r="AG907">
        <f>IFERROR(MATCH(ROW()-1,Calc!$J$2:$J$1601,0),"")</f>
        <v/>
      </c>
      <c r="AH907">
        <f>IFERROR(MATCH(ROW()-1,Calc!$K$2:$K$1601,0),"")</f>
        <v/>
      </c>
      <c r="AI907">
        <f>IF($AG907="","",SUMIF($AG$2:$AG907,$AG907,$AH$2:$AH907))</f>
        <v/>
      </c>
      <c r="AJ907">
        <f>IF('TMP Paste'!$F907="","",IF('TMP Paste'!$B907="",$AJ906,'TMP Paste'!$B907))</f>
        <v/>
      </c>
      <c r="AK907">
        <f>IF('TMP Paste'!$F907="","",N('TMP Paste'!$G907))</f>
        <v/>
      </c>
      <c r="AL907">
        <f>IF('TMP Paste'!$F907="","",IF('TMP Paste'!$M907="",$AL906,'TMP Paste'!$M907))</f>
        <v/>
      </c>
      <c r="AM907">
        <f>IF('TMP Paste'!$F907="","",IF('TMP Paste'!$N907="",$AM906,'TMP Paste'!$N907))</f>
        <v/>
      </c>
      <c r="AN907">
        <f>IF('TMP Paste'!$F907="","",IF('TMP Paste'!$O907="",$AN906,'TMP Paste'!$O907))</f>
        <v/>
      </c>
      <c r="AO907">
        <f>IF('TMP Paste'!$F907="","",IF('TMP Paste'!$P907="",$AO906,'TMP Paste'!$P907))</f>
        <v/>
      </c>
      <c r="AP907">
        <f>IF($AG907="","",LEN($R907))</f>
        <v/>
      </c>
      <c r="AQ907">
        <f>IF($AG907="","",TRIM(IF(COUNTIFS(Calc!$B$2:$B$1601,ROW()-1,Calc!$C$2:$C$1601,"&lt;1")&gt;0,"Ada PO tanpa Koli - cek TMP. ","")&amp;IF(LEN($R907)&gt;500,"R &gt; 500 karakter.","")))</f>
        <v/>
      </c>
    </row>
    <row r="908">
      <c r="A908">
        <f>IF($AG908="","",INDEX('TMP Paste'!$B$2:$B$1601,$AG908))</f>
        <v/>
      </c>
      <c r="B908">
        <f>IF($AG908="","",Config!$B$14)</f>
        <v/>
      </c>
      <c r="C908">
        <f>IF($AG908="","",Config!$B$15)</f>
        <v/>
      </c>
      <c r="D908">
        <f>IF($AG908="","",INDEX('TMP Paste'!$B$2:$B$1601,$AG908))</f>
        <v/>
      </c>
      <c r="E908">
        <f>IF($AG908="","",Config!$B$27)</f>
        <v/>
      </c>
      <c r="F908">
        <f>IF($AG908="","",Config!$B$9)</f>
        <v/>
      </c>
      <c r="G908">
        <f>IF($AG908="","",Config!$B$10)</f>
        <v/>
      </c>
      <c r="H908">
        <f>IF($AG908="","",Config!$B$11)</f>
        <v/>
      </c>
      <c r="I908">
        <f>IF($AG908="","",Config!$B$16)</f>
        <v/>
      </c>
      <c r="J908">
        <f>IF($AG908="","",INDEX('TMP Paste'!$A$2:$A$1601,$AG908))</f>
        <v/>
      </c>
      <c r="K908">
        <f>IF($AG908="","",INDEX('TMP Paste'!$L$2:$L$1601,$AG908))</f>
        <v/>
      </c>
      <c r="L908">
        <f>IF($AG908="","",INDEX('TMP Paste'!$I$2:$I$1601,$AG908))</f>
        <v/>
      </c>
      <c r="M908">
        <f>IF($AG908="","",Config!$B$16)</f>
        <v/>
      </c>
      <c r="N908">
        <f>IF($AG908="","","")</f>
        <v/>
      </c>
      <c r="O908">
        <f>IF($AG908="","",INDEX('TMP Paste'!$K$2:$K$1601,$AG908))</f>
        <v/>
      </c>
      <c r="P908">
        <f>IF($AG908="","","")</f>
        <v/>
      </c>
      <c r="Q908">
        <f>IF($AG908="","",INDEX('TMP Paste'!$J$2:$J$1601,$AG908))</f>
        <v/>
      </c>
      <c r="R908">
        <f>IF($AG908="","",Config!$B$24)</f>
        <v/>
      </c>
      <c r="S908">
        <f>IF($AG908="","",TEXT(Config!$B$4,"yyyy-mm-dd"))</f>
        <v/>
      </c>
      <c r="T908">
        <f>IF($AG908="","",Config!$B$17)</f>
        <v/>
      </c>
      <c r="U908">
        <f>IF($AG908="","",Config!$B$18)</f>
        <v/>
      </c>
      <c r="V908">
        <f>IF($AG908="","",Config!$B$19)</f>
        <v/>
      </c>
      <c r="W908">
        <f>IF($AG908="","",INDEX('TMP Paste'!$C$2:$C$1601,$AG908))</f>
        <v/>
      </c>
      <c r="X908">
        <f>IF($AG908="","",Config!$B$29)</f>
        <v/>
      </c>
      <c r="Y908">
        <f>IF($AH908="","",INDEX(Calc!$I$2:$I$1601,$AH908)&amp;" - "&amp;INDEX(Calc!$D$2:$D$1601,$AH908)&amp;" koli")</f>
        <v/>
      </c>
      <c r="Z908">
        <f>IF($AG908="","",Config!$B$21)</f>
        <v/>
      </c>
      <c r="AA908">
        <f>IF($AG908="","",Config!$B$22)</f>
        <v/>
      </c>
      <c r="AB908">
        <f>IF($AH908="","",INDEX(Calc!$D$2:$D$1601,$AH908))</f>
        <v/>
      </c>
      <c r="AC908">
        <f>IF($AH908="","",INDEX(Calc!$G$2:$G$1601,$AH908))</f>
        <v/>
      </c>
      <c r="AD908">
        <f>IF($AG908="","",Config!$B$23)</f>
        <v/>
      </c>
      <c r="AE908">
        <f>IF($AG908="","",Config!$B$28)</f>
        <v/>
      </c>
      <c r="AG908">
        <f>IFERROR(MATCH(ROW()-1,Calc!$J$2:$J$1601,0),"")</f>
        <v/>
      </c>
      <c r="AH908">
        <f>IFERROR(MATCH(ROW()-1,Calc!$K$2:$K$1601,0),"")</f>
        <v/>
      </c>
      <c r="AI908">
        <f>IF($AG908="","",SUMIF($AG$2:$AG908,$AG908,$AH$2:$AH908))</f>
        <v/>
      </c>
      <c r="AJ908">
        <f>IF('TMP Paste'!$F908="","",IF('TMP Paste'!$B908="",$AJ907,'TMP Paste'!$B908))</f>
        <v/>
      </c>
      <c r="AK908">
        <f>IF('TMP Paste'!$F908="","",N('TMP Paste'!$G908))</f>
        <v/>
      </c>
      <c r="AL908">
        <f>IF('TMP Paste'!$F908="","",IF('TMP Paste'!$M908="",$AL907,'TMP Paste'!$M908))</f>
        <v/>
      </c>
      <c r="AM908">
        <f>IF('TMP Paste'!$F908="","",IF('TMP Paste'!$N908="",$AM907,'TMP Paste'!$N908))</f>
        <v/>
      </c>
      <c r="AN908">
        <f>IF('TMP Paste'!$F908="","",IF('TMP Paste'!$O908="",$AN907,'TMP Paste'!$O908))</f>
        <v/>
      </c>
      <c r="AO908">
        <f>IF('TMP Paste'!$F908="","",IF('TMP Paste'!$P908="",$AO907,'TMP Paste'!$P908))</f>
        <v/>
      </c>
      <c r="AP908">
        <f>IF($AG908="","",LEN($R908))</f>
        <v/>
      </c>
      <c r="AQ908">
        <f>IF($AG908="","",TRIM(IF(COUNTIFS(Calc!$B$2:$B$1601,ROW()-1,Calc!$C$2:$C$1601,"&lt;1")&gt;0,"Ada PO tanpa Koli - cek TMP. ","")&amp;IF(LEN($R908)&gt;500,"R &gt; 500 karakter.","")))</f>
        <v/>
      </c>
    </row>
    <row r="909">
      <c r="A909">
        <f>IF($AG909="","",INDEX('TMP Paste'!$B$2:$B$1601,$AG909))</f>
        <v/>
      </c>
      <c r="B909">
        <f>IF($AG909="","",Config!$B$14)</f>
        <v/>
      </c>
      <c r="C909">
        <f>IF($AG909="","",Config!$B$15)</f>
        <v/>
      </c>
      <c r="D909">
        <f>IF($AG909="","",INDEX('TMP Paste'!$B$2:$B$1601,$AG909))</f>
        <v/>
      </c>
      <c r="E909">
        <f>IF($AG909="","",Config!$B$27)</f>
        <v/>
      </c>
      <c r="F909">
        <f>IF($AG909="","",Config!$B$9)</f>
        <v/>
      </c>
      <c r="G909">
        <f>IF($AG909="","",Config!$B$10)</f>
        <v/>
      </c>
      <c r="H909">
        <f>IF($AG909="","",Config!$B$11)</f>
        <v/>
      </c>
      <c r="I909">
        <f>IF($AG909="","",Config!$B$16)</f>
        <v/>
      </c>
      <c r="J909">
        <f>IF($AG909="","",INDEX('TMP Paste'!$A$2:$A$1601,$AG909))</f>
        <v/>
      </c>
      <c r="K909">
        <f>IF($AG909="","",INDEX('TMP Paste'!$L$2:$L$1601,$AG909))</f>
        <v/>
      </c>
      <c r="L909">
        <f>IF($AG909="","",INDEX('TMP Paste'!$I$2:$I$1601,$AG909))</f>
        <v/>
      </c>
      <c r="M909">
        <f>IF($AG909="","",Config!$B$16)</f>
        <v/>
      </c>
      <c r="N909">
        <f>IF($AG909="","","")</f>
        <v/>
      </c>
      <c r="O909">
        <f>IF($AG909="","",INDEX('TMP Paste'!$K$2:$K$1601,$AG909))</f>
        <v/>
      </c>
      <c r="P909">
        <f>IF($AG909="","","")</f>
        <v/>
      </c>
      <c r="Q909">
        <f>IF($AG909="","",INDEX('TMP Paste'!$J$2:$J$1601,$AG909))</f>
        <v/>
      </c>
      <c r="R909">
        <f>IF($AG909="","",Config!$B$24)</f>
        <v/>
      </c>
      <c r="S909">
        <f>IF($AG909="","",TEXT(Config!$B$4,"yyyy-mm-dd"))</f>
        <v/>
      </c>
      <c r="T909">
        <f>IF($AG909="","",Config!$B$17)</f>
        <v/>
      </c>
      <c r="U909">
        <f>IF($AG909="","",Config!$B$18)</f>
        <v/>
      </c>
      <c r="V909">
        <f>IF($AG909="","",Config!$B$19)</f>
        <v/>
      </c>
      <c r="W909">
        <f>IF($AG909="","",INDEX('TMP Paste'!$C$2:$C$1601,$AG909))</f>
        <v/>
      </c>
      <c r="X909">
        <f>IF($AG909="","",Config!$B$29)</f>
        <v/>
      </c>
      <c r="Y909">
        <f>IF($AH909="","",INDEX(Calc!$I$2:$I$1601,$AH909)&amp;" - "&amp;INDEX(Calc!$D$2:$D$1601,$AH909)&amp;" koli")</f>
        <v/>
      </c>
      <c r="Z909">
        <f>IF($AG909="","",Config!$B$21)</f>
        <v/>
      </c>
      <c r="AA909">
        <f>IF($AG909="","",Config!$B$22)</f>
        <v/>
      </c>
      <c r="AB909">
        <f>IF($AH909="","",INDEX(Calc!$D$2:$D$1601,$AH909))</f>
        <v/>
      </c>
      <c r="AC909">
        <f>IF($AH909="","",INDEX(Calc!$G$2:$G$1601,$AH909))</f>
        <v/>
      </c>
      <c r="AD909">
        <f>IF($AG909="","",Config!$B$23)</f>
        <v/>
      </c>
      <c r="AE909">
        <f>IF($AG909="","",Config!$B$28)</f>
        <v/>
      </c>
      <c r="AG909">
        <f>IFERROR(MATCH(ROW()-1,Calc!$J$2:$J$1601,0),"")</f>
        <v/>
      </c>
      <c r="AH909">
        <f>IFERROR(MATCH(ROW()-1,Calc!$K$2:$K$1601,0),"")</f>
        <v/>
      </c>
      <c r="AI909">
        <f>IF($AG909="","",SUMIF($AG$2:$AG909,$AG909,$AH$2:$AH909))</f>
        <v/>
      </c>
      <c r="AJ909">
        <f>IF('TMP Paste'!$F909="","",IF('TMP Paste'!$B909="",$AJ908,'TMP Paste'!$B909))</f>
        <v/>
      </c>
      <c r="AK909">
        <f>IF('TMP Paste'!$F909="","",N('TMP Paste'!$G909))</f>
        <v/>
      </c>
      <c r="AL909">
        <f>IF('TMP Paste'!$F909="","",IF('TMP Paste'!$M909="",$AL908,'TMP Paste'!$M909))</f>
        <v/>
      </c>
      <c r="AM909">
        <f>IF('TMP Paste'!$F909="","",IF('TMP Paste'!$N909="",$AM908,'TMP Paste'!$N909))</f>
        <v/>
      </c>
      <c r="AN909">
        <f>IF('TMP Paste'!$F909="","",IF('TMP Paste'!$O909="",$AN908,'TMP Paste'!$O909))</f>
        <v/>
      </c>
      <c r="AO909">
        <f>IF('TMP Paste'!$F909="","",IF('TMP Paste'!$P909="",$AO908,'TMP Paste'!$P909))</f>
        <v/>
      </c>
      <c r="AP909">
        <f>IF($AG909="","",LEN($R909))</f>
        <v/>
      </c>
      <c r="AQ909">
        <f>IF($AG909="","",TRIM(IF(COUNTIFS(Calc!$B$2:$B$1601,ROW()-1,Calc!$C$2:$C$1601,"&lt;1")&gt;0,"Ada PO tanpa Koli - cek TMP. ","")&amp;IF(LEN($R909)&gt;500,"R &gt; 500 karakter.","")))</f>
        <v/>
      </c>
    </row>
    <row r="910">
      <c r="A910">
        <f>IF($AG910="","",INDEX('TMP Paste'!$B$2:$B$1601,$AG910))</f>
        <v/>
      </c>
      <c r="B910">
        <f>IF($AG910="","",Config!$B$14)</f>
        <v/>
      </c>
      <c r="C910">
        <f>IF($AG910="","",Config!$B$15)</f>
        <v/>
      </c>
      <c r="D910">
        <f>IF($AG910="","",INDEX('TMP Paste'!$B$2:$B$1601,$AG910))</f>
        <v/>
      </c>
      <c r="E910">
        <f>IF($AG910="","",Config!$B$27)</f>
        <v/>
      </c>
      <c r="F910">
        <f>IF($AG910="","",Config!$B$9)</f>
        <v/>
      </c>
      <c r="G910">
        <f>IF($AG910="","",Config!$B$10)</f>
        <v/>
      </c>
      <c r="H910">
        <f>IF($AG910="","",Config!$B$11)</f>
        <v/>
      </c>
      <c r="I910">
        <f>IF($AG910="","",Config!$B$16)</f>
        <v/>
      </c>
      <c r="J910">
        <f>IF($AG910="","",INDEX('TMP Paste'!$A$2:$A$1601,$AG910))</f>
        <v/>
      </c>
      <c r="K910">
        <f>IF($AG910="","",INDEX('TMP Paste'!$L$2:$L$1601,$AG910))</f>
        <v/>
      </c>
      <c r="L910">
        <f>IF($AG910="","",INDEX('TMP Paste'!$I$2:$I$1601,$AG910))</f>
        <v/>
      </c>
      <c r="M910">
        <f>IF($AG910="","",Config!$B$16)</f>
        <v/>
      </c>
      <c r="N910">
        <f>IF($AG910="","","")</f>
        <v/>
      </c>
      <c r="O910">
        <f>IF($AG910="","",INDEX('TMP Paste'!$K$2:$K$1601,$AG910))</f>
        <v/>
      </c>
      <c r="P910">
        <f>IF($AG910="","","")</f>
        <v/>
      </c>
      <c r="Q910">
        <f>IF($AG910="","",INDEX('TMP Paste'!$J$2:$J$1601,$AG910))</f>
        <v/>
      </c>
      <c r="R910">
        <f>IF($AG910="","",Config!$B$24)</f>
        <v/>
      </c>
      <c r="S910">
        <f>IF($AG910="","",TEXT(Config!$B$4,"yyyy-mm-dd"))</f>
        <v/>
      </c>
      <c r="T910">
        <f>IF($AG910="","",Config!$B$17)</f>
        <v/>
      </c>
      <c r="U910">
        <f>IF($AG910="","",Config!$B$18)</f>
        <v/>
      </c>
      <c r="V910">
        <f>IF($AG910="","",Config!$B$19)</f>
        <v/>
      </c>
      <c r="W910">
        <f>IF($AG910="","",INDEX('TMP Paste'!$C$2:$C$1601,$AG910))</f>
        <v/>
      </c>
      <c r="X910">
        <f>IF($AG910="","",Config!$B$29)</f>
        <v/>
      </c>
      <c r="Y910">
        <f>IF($AH910="","",INDEX(Calc!$I$2:$I$1601,$AH910)&amp;" - "&amp;INDEX(Calc!$D$2:$D$1601,$AH910)&amp;" koli")</f>
        <v/>
      </c>
      <c r="Z910">
        <f>IF($AG910="","",Config!$B$21)</f>
        <v/>
      </c>
      <c r="AA910">
        <f>IF($AG910="","",Config!$B$22)</f>
        <v/>
      </c>
      <c r="AB910">
        <f>IF($AH910="","",INDEX(Calc!$D$2:$D$1601,$AH910))</f>
        <v/>
      </c>
      <c r="AC910">
        <f>IF($AH910="","",INDEX(Calc!$G$2:$G$1601,$AH910))</f>
        <v/>
      </c>
      <c r="AD910">
        <f>IF($AG910="","",Config!$B$23)</f>
        <v/>
      </c>
      <c r="AE910">
        <f>IF($AG910="","",Config!$B$28)</f>
        <v/>
      </c>
      <c r="AG910">
        <f>IFERROR(MATCH(ROW()-1,Calc!$J$2:$J$1601,0),"")</f>
        <v/>
      </c>
      <c r="AH910">
        <f>IFERROR(MATCH(ROW()-1,Calc!$K$2:$K$1601,0),"")</f>
        <v/>
      </c>
      <c r="AI910">
        <f>IF($AG910="","",SUMIF($AG$2:$AG910,$AG910,$AH$2:$AH910))</f>
        <v/>
      </c>
      <c r="AJ910">
        <f>IF('TMP Paste'!$F910="","",IF('TMP Paste'!$B910="",$AJ909,'TMP Paste'!$B910))</f>
        <v/>
      </c>
      <c r="AK910">
        <f>IF('TMP Paste'!$F910="","",N('TMP Paste'!$G910))</f>
        <v/>
      </c>
      <c r="AL910">
        <f>IF('TMP Paste'!$F910="","",IF('TMP Paste'!$M910="",$AL909,'TMP Paste'!$M910))</f>
        <v/>
      </c>
      <c r="AM910">
        <f>IF('TMP Paste'!$F910="","",IF('TMP Paste'!$N910="",$AM909,'TMP Paste'!$N910))</f>
        <v/>
      </c>
      <c r="AN910">
        <f>IF('TMP Paste'!$F910="","",IF('TMP Paste'!$O910="",$AN909,'TMP Paste'!$O910))</f>
        <v/>
      </c>
      <c r="AO910">
        <f>IF('TMP Paste'!$F910="","",IF('TMP Paste'!$P910="",$AO909,'TMP Paste'!$P910))</f>
        <v/>
      </c>
      <c r="AP910">
        <f>IF($AG910="","",LEN($R910))</f>
        <v/>
      </c>
      <c r="AQ910">
        <f>IF($AG910="","",TRIM(IF(COUNTIFS(Calc!$B$2:$B$1601,ROW()-1,Calc!$C$2:$C$1601,"&lt;1")&gt;0,"Ada PO tanpa Koli - cek TMP. ","")&amp;IF(LEN($R910)&gt;500,"R &gt; 500 karakter.","")))</f>
        <v/>
      </c>
    </row>
    <row r="911">
      <c r="A911">
        <f>IF($AG911="","",INDEX('TMP Paste'!$B$2:$B$1601,$AG911))</f>
        <v/>
      </c>
      <c r="B911">
        <f>IF($AG911="","",Config!$B$14)</f>
        <v/>
      </c>
      <c r="C911">
        <f>IF($AG911="","",Config!$B$15)</f>
        <v/>
      </c>
      <c r="D911">
        <f>IF($AG911="","",INDEX('TMP Paste'!$B$2:$B$1601,$AG911))</f>
        <v/>
      </c>
      <c r="E911">
        <f>IF($AG911="","",Config!$B$27)</f>
        <v/>
      </c>
      <c r="F911">
        <f>IF($AG911="","",Config!$B$9)</f>
        <v/>
      </c>
      <c r="G911">
        <f>IF($AG911="","",Config!$B$10)</f>
        <v/>
      </c>
      <c r="H911">
        <f>IF($AG911="","",Config!$B$11)</f>
        <v/>
      </c>
      <c r="I911">
        <f>IF($AG911="","",Config!$B$16)</f>
        <v/>
      </c>
      <c r="J911">
        <f>IF($AG911="","",INDEX('TMP Paste'!$A$2:$A$1601,$AG911))</f>
        <v/>
      </c>
      <c r="K911">
        <f>IF($AG911="","",INDEX('TMP Paste'!$L$2:$L$1601,$AG911))</f>
        <v/>
      </c>
      <c r="L911">
        <f>IF($AG911="","",INDEX('TMP Paste'!$I$2:$I$1601,$AG911))</f>
        <v/>
      </c>
      <c r="M911">
        <f>IF($AG911="","",Config!$B$16)</f>
        <v/>
      </c>
      <c r="N911">
        <f>IF($AG911="","","")</f>
        <v/>
      </c>
      <c r="O911">
        <f>IF($AG911="","",INDEX('TMP Paste'!$K$2:$K$1601,$AG911))</f>
        <v/>
      </c>
      <c r="P911">
        <f>IF($AG911="","","")</f>
        <v/>
      </c>
      <c r="Q911">
        <f>IF($AG911="","",INDEX('TMP Paste'!$J$2:$J$1601,$AG911))</f>
        <v/>
      </c>
      <c r="R911">
        <f>IF($AG911="","",Config!$B$24)</f>
        <v/>
      </c>
      <c r="S911">
        <f>IF($AG911="","",TEXT(Config!$B$4,"yyyy-mm-dd"))</f>
        <v/>
      </c>
      <c r="T911">
        <f>IF($AG911="","",Config!$B$17)</f>
        <v/>
      </c>
      <c r="U911">
        <f>IF($AG911="","",Config!$B$18)</f>
        <v/>
      </c>
      <c r="V911">
        <f>IF($AG911="","",Config!$B$19)</f>
        <v/>
      </c>
      <c r="W911">
        <f>IF($AG911="","",INDEX('TMP Paste'!$C$2:$C$1601,$AG911))</f>
        <v/>
      </c>
      <c r="X911">
        <f>IF($AG911="","",Config!$B$29)</f>
        <v/>
      </c>
      <c r="Y911">
        <f>IF($AH911="","",INDEX(Calc!$I$2:$I$1601,$AH911)&amp;" - "&amp;INDEX(Calc!$D$2:$D$1601,$AH911)&amp;" koli")</f>
        <v/>
      </c>
      <c r="Z911">
        <f>IF($AG911="","",Config!$B$21)</f>
        <v/>
      </c>
      <c r="AA911">
        <f>IF($AG911="","",Config!$B$22)</f>
        <v/>
      </c>
      <c r="AB911">
        <f>IF($AH911="","",INDEX(Calc!$D$2:$D$1601,$AH911))</f>
        <v/>
      </c>
      <c r="AC911">
        <f>IF($AH911="","",INDEX(Calc!$G$2:$G$1601,$AH911))</f>
        <v/>
      </c>
      <c r="AD911">
        <f>IF($AG911="","",Config!$B$23)</f>
        <v/>
      </c>
      <c r="AE911">
        <f>IF($AG911="","",Config!$B$28)</f>
        <v/>
      </c>
      <c r="AG911">
        <f>IFERROR(MATCH(ROW()-1,Calc!$J$2:$J$1601,0),"")</f>
        <v/>
      </c>
      <c r="AH911">
        <f>IFERROR(MATCH(ROW()-1,Calc!$K$2:$K$1601,0),"")</f>
        <v/>
      </c>
      <c r="AI911">
        <f>IF($AG911="","",SUMIF($AG$2:$AG911,$AG911,$AH$2:$AH911))</f>
        <v/>
      </c>
      <c r="AJ911">
        <f>IF('TMP Paste'!$F911="","",IF('TMP Paste'!$B911="",$AJ910,'TMP Paste'!$B911))</f>
        <v/>
      </c>
      <c r="AK911">
        <f>IF('TMP Paste'!$F911="","",N('TMP Paste'!$G911))</f>
        <v/>
      </c>
      <c r="AL911">
        <f>IF('TMP Paste'!$F911="","",IF('TMP Paste'!$M911="",$AL910,'TMP Paste'!$M911))</f>
        <v/>
      </c>
      <c r="AM911">
        <f>IF('TMP Paste'!$F911="","",IF('TMP Paste'!$N911="",$AM910,'TMP Paste'!$N911))</f>
        <v/>
      </c>
      <c r="AN911">
        <f>IF('TMP Paste'!$F911="","",IF('TMP Paste'!$O911="",$AN910,'TMP Paste'!$O911))</f>
        <v/>
      </c>
      <c r="AO911">
        <f>IF('TMP Paste'!$F911="","",IF('TMP Paste'!$P911="",$AO910,'TMP Paste'!$P911))</f>
        <v/>
      </c>
      <c r="AP911">
        <f>IF($AG911="","",LEN($R911))</f>
        <v/>
      </c>
      <c r="AQ911">
        <f>IF($AG911="","",TRIM(IF(COUNTIFS(Calc!$B$2:$B$1601,ROW()-1,Calc!$C$2:$C$1601,"&lt;1")&gt;0,"Ada PO tanpa Koli - cek TMP. ","")&amp;IF(LEN($R911)&gt;500,"R &gt; 500 karakter.","")))</f>
        <v/>
      </c>
    </row>
    <row r="912">
      <c r="A912">
        <f>IF($AG912="","",INDEX('TMP Paste'!$B$2:$B$1601,$AG912))</f>
        <v/>
      </c>
      <c r="B912">
        <f>IF($AG912="","",Config!$B$14)</f>
        <v/>
      </c>
      <c r="C912">
        <f>IF($AG912="","",Config!$B$15)</f>
        <v/>
      </c>
      <c r="D912">
        <f>IF($AG912="","",INDEX('TMP Paste'!$B$2:$B$1601,$AG912))</f>
        <v/>
      </c>
      <c r="E912">
        <f>IF($AG912="","",Config!$B$27)</f>
        <v/>
      </c>
      <c r="F912">
        <f>IF($AG912="","",Config!$B$9)</f>
        <v/>
      </c>
      <c r="G912">
        <f>IF($AG912="","",Config!$B$10)</f>
        <v/>
      </c>
      <c r="H912">
        <f>IF($AG912="","",Config!$B$11)</f>
        <v/>
      </c>
      <c r="I912">
        <f>IF($AG912="","",Config!$B$16)</f>
        <v/>
      </c>
      <c r="J912">
        <f>IF($AG912="","",INDEX('TMP Paste'!$A$2:$A$1601,$AG912))</f>
        <v/>
      </c>
      <c r="K912">
        <f>IF($AG912="","",INDEX('TMP Paste'!$L$2:$L$1601,$AG912))</f>
        <v/>
      </c>
      <c r="L912">
        <f>IF($AG912="","",INDEX('TMP Paste'!$I$2:$I$1601,$AG912))</f>
        <v/>
      </c>
      <c r="M912">
        <f>IF($AG912="","",Config!$B$16)</f>
        <v/>
      </c>
      <c r="N912">
        <f>IF($AG912="","","")</f>
        <v/>
      </c>
      <c r="O912">
        <f>IF($AG912="","",INDEX('TMP Paste'!$K$2:$K$1601,$AG912))</f>
        <v/>
      </c>
      <c r="P912">
        <f>IF($AG912="","","")</f>
        <v/>
      </c>
      <c r="Q912">
        <f>IF($AG912="","",INDEX('TMP Paste'!$J$2:$J$1601,$AG912))</f>
        <v/>
      </c>
      <c r="R912">
        <f>IF($AG912="","",Config!$B$24)</f>
        <v/>
      </c>
      <c r="S912">
        <f>IF($AG912="","",TEXT(Config!$B$4,"yyyy-mm-dd"))</f>
        <v/>
      </c>
      <c r="T912">
        <f>IF($AG912="","",Config!$B$17)</f>
        <v/>
      </c>
      <c r="U912">
        <f>IF($AG912="","",Config!$B$18)</f>
        <v/>
      </c>
      <c r="V912">
        <f>IF($AG912="","",Config!$B$19)</f>
        <v/>
      </c>
      <c r="W912">
        <f>IF($AG912="","",INDEX('TMP Paste'!$C$2:$C$1601,$AG912))</f>
        <v/>
      </c>
      <c r="X912">
        <f>IF($AG912="","",Config!$B$29)</f>
        <v/>
      </c>
      <c r="Y912">
        <f>IF($AH912="","",INDEX(Calc!$I$2:$I$1601,$AH912)&amp;" - "&amp;INDEX(Calc!$D$2:$D$1601,$AH912)&amp;" koli")</f>
        <v/>
      </c>
      <c r="Z912">
        <f>IF($AG912="","",Config!$B$21)</f>
        <v/>
      </c>
      <c r="AA912">
        <f>IF($AG912="","",Config!$B$22)</f>
        <v/>
      </c>
      <c r="AB912">
        <f>IF($AH912="","",INDEX(Calc!$D$2:$D$1601,$AH912))</f>
        <v/>
      </c>
      <c r="AC912">
        <f>IF($AH912="","",INDEX(Calc!$G$2:$G$1601,$AH912))</f>
        <v/>
      </c>
      <c r="AD912">
        <f>IF($AG912="","",Config!$B$23)</f>
        <v/>
      </c>
      <c r="AE912">
        <f>IF($AG912="","",Config!$B$28)</f>
        <v/>
      </c>
      <c r="AG912">
        <f>IFERROR(MATCH(ROW()-1,Calc!$J$2:$J$1601,0),"")</f>
        <v/>
      </c>
      <c r="AH912">
        <f>IFERROR(MATCH(ROW()-1,Calc!$K$2:$K$1601,0),"")</f>
        <v/>
      </c>
      <c r="AI912">
        <f>IF($AG912="","",SUMIF($AG$2:$AG912,$AG912,$AH$2:$AH912))</f>
        <v/>
      </c>
      <c r="AJ912">
        <f>IF('TMP Paste'!$F912="","",IF('TMP Paste'!$B912="",$AJ911,'TMP Paste'!$B912))</f>
        <v/>
      </c>
      <c r="AK912">
        <f>IF('TMP Paste'!$F912="","",N('TMP Paste'!$G912))</f>
        <v/>
      </c>
      <c r="AL912">
        <f>IF('TMP Paste'!$F912="","",IF('TMP Paste'!$M912="",$AL911,'TMP Paste'!$M912))</f>
        <v/>
      </c>
      <c r="AM912">
        <f>IF('TMP Paste'!$F912="","",IF('TMP Paste'!$N912="",$AM911,'TMP Paste'!$N912))</f>
        <v/>
      </c>
      <c r="AN912">
        <f>IF('TMP Paste'!$F912="","",IF('TMP Paste'!$O912="",$AN911,'TMP Paste'!$O912))</f>
        <v/>
      </c>
      <c r="AO912">
        <f>IF('TMP Paste'!$F912="","",IF('TMP Paste'!$P912="",$AO911,'TMP Paste'!$P912))</f>
        <v/>
      </c>
      <c r="AP912">
        <f>IF($AG912="","",LEN($R912))</f>
        <v/>
      </c>
      <c r="AQ912">
        <f>IF($AG912="","",TRIM(IF(COUNTIFS(Calc!$B$2:$B$1601,ROW()-1,Calc!$C$2:$C$1601,"&lt;1")&gt;0,"Ada PO tanpa Koli - cek TMP. ","")&amp;IF(LEN($R912)&gt;500,"R &gt; 500 karakter.","")))</f>
        <v/>
      </c>
    </row>
    <row r="913">
      <c r="A913">
        <f>IF($AG913="","",INDEX('TMP Paste'!$B$2:$B$1601,$AG913))</f>
        <v/>
      </c>
      <c r="B913">
        <f>IF($AG913="","",Config!$B$14)</f>
        <v/>
      </c>
      <c r="C913">
        <f>IF($AG913="","",Config!$B$15)</f>
        <v/>
      </c>
      <c r="D913">
        <f>IF($AG913="","",INDEX('TMP Paste'!$B$2:$B$1601,$AG913))</f>
        <v/>
      </c>
      <c r="E913">
        <f>IF($AG913="","",Config!$B$27)</f>
        <v/>
      </c>
      <c r="F913">
        <f>IF($AG913="","",Config!$B$9)</f>
        <v/>
      </c>
      <c r="G913">
        <f>IF($AG913="","",Config!$B$10)</f>
        <v/>
      </c>
      <c r="H913">
        <f>IF($AG913="","",Config!$B$11)</f>
        <v/>
      </c>
      <c r="I913">
        <f>IF($AG913="","",Config!$B$16)</f>
        <v/>
      </c>
      <c r="J913">
        <f>IF($AG913="","",INDEX('TMP Paste'!$A$2:$A$1601,$AG913))</f>
        <v/>
      </c>
      <c r="K913">
        <f>IF($AG913="","",INDEX('TMP Paste'!$L$2:$L$1601,$AG913))</f>
        <v/>
      </c>
      <c r="L913">
        <f>IF($AG913="","",INDEX('TMP Paste'!$I$2:$I$1601,$AG913))</f>
        <v/>
      </c>
      <c r="M913">
        <f>IF($AG913="","",Config!$B$16)</f>
        <v/>
      </c>
      <c r="N913">
        <f>IF($AG913="","","")</f>
        <v/>
      </c>
      <c r="O913">
        <f>IF($AG913="","",INDEX('TMP Paste'!$K$2:$K$1601,$AG913))</f>
        <v/>
      </c>
      <c r="P913">
        <f>IF($AG913="","","")</f>
        <v/>
      </c>
      <c r="Q913">
        <f>IF($AG913="","",INDEX('TMP Paste'!$J$2:$J$1601,$AG913))</f>
        <v/>
      </c>
      <c r="R913">
        <f>IF($AG913="","",Config!$B$24)</f>
        <v/>
      </c>
      <c r="S913">
        <f>IF($AG913="","",TEXT(Config!$B$4,"yyyy-mm-dd"))</f>
        <v/>
      </c>
      <c r="T913">
        <f>IF($AG913="","",Config!$B$17)</f>
        <v/>
      </c>
      <c r="U913">
        <f>IF($AG913="","",Config!$B$18)</f>
        <v/>
      </c>
      <c r="V913">
        <f>IF($AG913="","",Config!$B$19)</f>
        <v/>
      </c>
      <c r="W913">
        <f>IF($AG913="","",INDEX('TMP Paste'!$C$2:$C$1601,$AG913))</f>
        <v/>
      </c>
      <c r="X913">
        <f>IF($AG913="","",Config!$B$29)</f>
        <v/>
      </c>
      <c r="Y913">
        <f>IF($AH913="","",INDEX(Calc!$I$2:$I$1601,$AH913)&amp;" - "&amp;INDEX(Calc!$D$2:$D$1601,$AH913)&amp;" koli")</f>
        <v/>
      </c>
      <c r="Z913">
        <f>IF($AG913="","",Config!$B$21)</f>
        <v/>
      </c>
      <c r="AA913">
        <f>IF($AG913="","",Config!$B$22)</f>
        <v/>
      </c>
      <c r="AB913">
        <f>IF($AH913="","",INDEX(Calc!$D$2:$D$1601,$AH913))</f>
        <v/>
      </c>
      <c r="AC913">
        <f>IF($AH913="","",INDEX(Calc!$G$2:$G$1601,$AH913))</f>
        <v/>
      </c>
      <c r="AD913">
        <f>IF($AG913="","",Config!$B$23)</f>
        <v/>
      </c>
      <c r="AE913">
        <f>IF($AG913="","",Config!$B$28)</f>
        <v/>
      </c>
      <c r="AG913">
        <f>IFERROR(MATCH(ROW()-1,Calc!$J$2:$J$1601,0),"")</f>
        <v/>
      </c>
      <c r="AH913">
        <f>IFERROR(MATCH(ROW()-1,Calc!$K$2:$K$1601,0),"")</f>
        <v/>
      </c>
      <c r="AI913">
        <f>IF($AG913="","",SUMIF($AG$2:$AG913,$AG913,$AH$2:$AH913))</f>
        <v/>
      </c>
      <c r="AJ913">
        <f>IF('TMP Paste'!$F913="","",IF('TMP Paste'!$B913="",$AJ912,'TMP Paste'!$B913))</f>
        <v/>
      </c>
      <c r="AK913">
        <f>IF('TMP Paste'!$F913="","",N('TMP Paste'!$G913))</f>
        <v/>
      </c>
      <c r="AL913">
        <f>IF('TMP Paste'!$F913="","",IF('TMP Paste'!$M913="",$AL912,'TMP Paste'!$M913))</f>
        <v/>
      </c>
      <c r="AM913">
        <f>IF('TMP Paste'!$F913="","",IF('TMP Paste'!$N913="",$AM912,'TMP Paste'!$N913))</f>
        <v/>
      </c>
      <c r="AN913">
        <f>IF('TMP Paste'!$F913="","",IF('TMP Paste'!$O913="",$AN912,'TMP Paste'!$O913))</f>
        <v/>
      </c>
      <c r="AO913">
        <f>IF('TMP Paste'!$F913="","",IF('TMP Paste'!$P913="",$AO912,'TMP Paste'!$P913))</f>
        <v/>
      </c>
      <c r="AP913">
        <f>IF($AG913="","",LEN($R913))</f>
        <v/>
      </c>
      <c r="AQ913">
        <f>IF($AG913="","",TRIM(IF(COUNTIFS(Calc!$B$2:$B$1601,ROW()-1,Calc!$C$2:$C$1601,"&lt;1")&gt;0,"Ada PO tanpa Koli - cek TMP. ","")&amp;IF(LEN($R913)&gt;500,"R &gt; 500 karakter.","")))</f>
        <v/>
      </c>
    </row>
    <row r="914">
      <c r="A914">
        <f>IF($AG914="","",INDEX('TMP Paste'!$B$2:$B$1601,$AG914))</f>
        <v/>
      </c>
      <c r="B914">
        <f>IF($AG914="","",Config!$B$14)</f>
        <v/>
      </c>
      <c r="C914">
        <f>IF($AG914="","",Config!$B$15)</f>
        <v/>
      </c>
      <c r="D914">
        <f>IF($AG914="","",INDEX('TMP Paste'!$B$2:$B$1601,$AG914))</f>
        <v/>
      </c>
      <c r="E914">
        <f>IF($AG914="","",Config!$B$27)</f>
        <v/>
      </c>
      <c r="F914">
        <f>IF($AG914="","",Config!$B$9)</f>
        <v/>
      </c>
      <c r="G914">
        <f>IF($AG914="","",Config!$B$10)</f>
        <v/>
      </c>
      <c r="H914">
        <f>IF($AG914="","",Config!$B$11)</f>
        <v/>
      </c>
      <c r="I914">
        <f>IF($AG914="","",Config!$B$16)</f>
        <v/>
      </c>
      <c r="J914">
        <f>IF($AG914="","",INDEX('TMP Paste'!$A$2:$A$1601,$AG914))</f>
        <v/>
      </c>
      <c r="K914">
        <f>IF($AG914="","",INDEX('TMP Paste'!$L$2:$L$1601,$AG914))</f>
        <v/>
      </c>
      <c r="L914">
        <f>IF($AG914="","",INDEX('TMP Paste'!$I$2:$I$1601,$AG914))</f>
        <v/>
      </c>
      <c r="M914">
        <f>IF($AG914="","",Config!$B$16)</f>
        <v/>
      </c>
      <c r="N914">
        <f>IF($AG914="","","")</f>
        <v/>
      </c>
      <c r="O914">
        <f>IF($AG914="","",INDEX('TMP Paste'!$K$2:$K$1601,$AG914))</f>
        <v/>
      </c>
      <c r="P914">
        <f>IF($AG914="","","")</f>
        <v/>
      </c>
      <c r="Q914">
        <f>IF($AG914="","",INDEX('TMP Paste'!$J$2:$J$1601,$AG914))</f>
        <v/>
      </c>
      <c r="R914">
        <f>IF($AG914="","",Config!$B$24)</f>
        <v/>
      </c>
      <c r="S914">
        <f>IF($AG914="","",TEXT(Config!$B$4,"yyyy-mm-dd"))</f>
        <v/>
      </c>
      <c r="T914">
        <f>IF($AG914="","",Config!$B$17)</f>
        <v/>
      </c>
      <c r="U914">
        <f>IF($AG914="","",Config!$B$18)</f>
        <v/>
      </c>
      <c r="V914">
        <f>IF($AG914="","",Config!$B$19)</f>
        <v/>
      </c>
      <c r="W914">
        <f>IF($AG914="","",INDEX('TMP Paste'!$C$2:$C$1601,$AG914))</f>
        <v/>
      </c>
      <c r="X914">
        <f>IF($AG914="","",Config!$B$29)</f>
        <v/>
      </c>
      <c r="Y914">
        <f>IF($AH914="","",INDEX(Calc!$I$2:$I$1601,$AH914)&amp;" - "&amp;INDEX(Calc!$D$2:$D$1601,$AH914)&amp;" koli")</f>
        <v/>
      </c>
      <c r="Z914">
        <f>IF($AG914="","",Config!$B$21)</f>
        <v/>
      </c>
      <c r="AA914">
        <f>IF($AG914="","",Config!$B$22)</f>
        <v/>
      </c>
      <c r="AB914">
        <f>IF($AH914="","",INDEX(Calc!$D$2:$D$1601,$AH914))</f>
        <v/>
      </c>
      <c r="AC914">
        <f>IF($AH914="","",INDEX(Calc!$G$2:$G$1601,$AH914))</f>
        <v/>
      </c>
      <c r="AD914">
        <f>IF($AG914="","",Config!$B$23)</f>
        <v/>
      </c>
      <c r="AE914">
        <f>IF($AG914="","",Config!$B$28)</f>
        <v/>
      </c>
      <c r="AG914">
        <f>IFERROR(MATCH(ROW()-1,Calc!$J$2:$J$1601,0),"")</f>
        <v/>
      </c>
      <c r="AH914">
        <f>IFERROR(MATCH(ROW()-1,Calc!$K$2:$K$1601,0),"")</f>
        <v/>
      </c>
      <c r="AI914">
        <f>IF($AG914="","",SUMIF($AG$2:$AG914,$AG914,$AH$2:$AH914))</f>
        <v/>
      </c>
      <c r="AJ914">
        <f>IF('TMP Paste'!$F914="","",IF('TMP Paste'!$B914="",$AJ913,'TMP Paste'!$B914))</f>
        <v/>
      </c>
      <c r="AK914">
        <f>IF('TMP Paste'!$F914="","",N('TMP Paste'!$G914))</f>
        <v/>
      </c>
      <c r="AL914">
        <f>IF('TMP Paste'!$F914="","",IF('TMP Paste'!$M914="",$AL913,'TMP Paste'!$M914))</f>
        <v/>
      </c>
      <c r="AM914">
        <f>IF('TMP Paste'!$F914="","",IF('TMP Paste'!$N914="",$AM913,'TMP Paste'!$N914))</f>
        <v/>
      </c>
      <c r="AN914">
        <f>IF('TMP Paste'!$F914="","",IF('TMP Paste'!$O914="",$AN913,'TMP Paste'!$O914))</f>
        <v/>
      </c>
      <c r="AO914">
        <f>IF('TMP Paste'!$F914="","",IF('TMP Paste'!$P914="",$AO913,'TMP Paste'!$P914))</f>
        <v/>
      </c>
      <c r="AP914">
        <f>IF($AG914="","",LEN($R914))</f>
        <v/>
      </c>
      <c r="AQ914">
        <f>IF($AG914="","",TRIM(IF(COUNTIFS(Calc!$B$2:$B$1601,ROW()-1,Calc!$C$2:$C$1601,"&lt;1")&gt;0,"Ada PO tanpa Koli - cek TMP. ","")&amp;IF(LEN($R914)&gt;500,"R &gt; 500 karakter.","")))</f>
        <v/>
      </c>
    </row>
    <row r="915">
      <c r="A915">
        <f>IF($AG915="","",INDEX('TMP Paste'!$B$2:$B$1601,$AG915))</f>
        <v/>
      </c>
      <c r="B915">
        <f>IF($AG915="","",Config!$B$14)</f>
        <v/>
      </c>
      <c r="C915">
        <f>IF($AG915="","",Config!$B$15)</f>
        <v/>
      </c>
      <c r="D915">
        <f>IF($AG915="","",INDEX('TMP Paste'!$B$2:$B$1601,$AG915))</f>
        <v/>
      </c>
      <c r="E915">
        <f>IF($AG915="","",Config!$B$27)</f>
        <v/>
      </c>
      <c r="F915">
        <f>IF($AG915="","",Config!$B$9)</f>
        <v/>
      </c>
      <c r="G915">
        <f>IF($AG915="","",Config!$B$10)</f>
        <v/>
      </c>
      <c r="H915">
        <f>IF($AG915="","",Config!$B$11)</f>
        <v/>
      </c>
      <c r="I915">
        <f>IF($AG915="","",Config!$B$16)</f>
        <v/>
      </c>
      <c r="J915">
        <f>IF($AG915="","",INDEX('TMP Paste'!$A$2:$A$1601,$AG915))</f>
        <v/>
      </c>
      <c r="K915">
        <f>IF($AG915="","",INDEX('TMP Paste'!$L$2:$L$1601,$AG915))</f>
        <v/>
      </c>
      <c r="L915">
        <f>IF($AG915="","",INDEX('TMP Paste'!$I$2:$I$1601,$AG915))</f>
        <v/>
      </c>
      <c r="M915">
        <f>IF($AG915="","",Config!$B$16)</f>
        <v/>
      </c>
      <c r="N915">
        <f>IF($AG915="","","")</f>
        <v/>
      </c>
      <c r="O915">
        <f>IF($AG915="","",INDEX('TMP Paste'!$K$2:$K$1601,$AG915))</f>
        <v/>
      </c>
      <c r="P915">
        <f>IF($AG915="","","")</f>
        <v/>
      </c>
      <c r="Q915">
        <f>IF($AG915="","",INDEX('TMP Paste'!$J$2:$J$1601,$AG915))</f>
        <v/>
      </c>
      <c r="R915">
        <f>IF($AG915="","",Config!$B$24)</f>
        <v/>
      </c>
      <c r="S915">
        <f>IF($AG915="","",TEXT(Config!$B$4,"yyyy-mm-dd"))</f>
        <v/>
      </c>
      <c r="T915">
        <f>IF($AG915="","",Config!$B$17)</f>
        <v/>
      </c>
      <c r="U915">
        <f>IF($AG915="","",Config!$B$18)</f>
        <v/>
      </c>
      <c r="V915">
        <f>IF($AG915="","",Config!$B$19)</f>
        <v/>
      </c>
      <c r="W915">
        <f>IF($AG915="","",INDEX('TMP Paste'!$C$2:$C$1601,$AG915))</f>
        <v/>
      </c>
      <c r="X915">
        <f>IF($AG915="","",Config!$B$29)</f>
        <v/>
      </c>
      <c r="Y915">
        <f>IF($AH915="","",INDEX(Calc!$I$2:$I$1601,$AH915)&amp;" - "&amp;INDEX(Calc!$D$2:$D$1601,$AH915)&amp;" koli")</f>
        <v/>
      </c>
      <c r="Z915">
        <f>IF($AG915="","",Config!$B$21)</f>
        <v/>
      </c>
      <c r="AA915">
        <f>IF($AG915="","",Config!$B$22)</f>
        <v/>
      </c>
      <c r="AB915">
        <f>IF($AH915="","",INDEX(Calc!$D$2:$D$1601,$AH915))</f>
        <v/>
      </c>
      <c r="AC915">
        <f>IF($AH915="","",INDEX(Calc!$G$2:$G$1601,$AH915))</f>
        <v/>
      </c>
      <c r="AD915">
        <f>IF($AG915="","",Config!$B$23)</f>
        <v/>
      </c>
      <c r="AE915">
        <f>IF($AG915="","",Config!$B$28)</f>
        <v/>
      </c>
      <c r="AG915">
        <f>IFERROR(MATCH(ROW()-1,Calc!$J$2:$J$1601,0),"")</f>
        <v/>
      </c>
      <c r="AH915">
        <f>IFERROR(MATCH(ROW()-1,Calc!$K$2:$K$1601,0),"")</f>
        <v/>
      </c>
      <c r="AI915">
        <f>IF($AG915="","",SUMIF($AG$2:$AG915,$AG915,$AH$2:$AH915))</f>
        <v/>
      </c>
      <c r="AJ915">
        <f>IF('TMP Paste'!$F915="","",IF('TMP Paste'!$B915="",$AJ914,'TMP Paste'!$B915))</f>
        <v/>
      </c>
      <c r="AK915">
        <f>IF('TMP Paste'!$F915="","",N('TMP Paste'!$G915))</f>
        <v/>
      </c>
      <c r="AL915">
        <f>IF('TMP Paste'!$F915="","",IF('TMP Paste'!$M915="",$AL914,'TMP Paste'!$M915))</f>
        <v/>
      </c>
      <c r="AM915">
        <f>IF('TMP Paste'!$F915="","",IF('TMP Paste'!$N915="",$AM914,'TMP Paste'!$N915))</f>
        <v/>
      </c>
      <c r="AN915">
        <f>IF('TMP Paste'!$F915="","",IF('TMP Paste'!$O915="",$AN914,'TMP Paste'!$O915))</f>
        <v/>
      </c>
      <c r="AO915">
        <f>IF('TMP Paste'!$F915="","",IF('TMP Paste'!$P915="",$AO914,'TMP Paste'!$P915))</f>
        <v/>
      </c>
      <c r="AP915">
        <f>IF($AG915="","",LEN($R915))</f>
        <v/>
      </c>
      <c r="AQ915">
        <f>IF($AG915="","",TRIM(IF(COUNTIFS(Calc!$B$2:$B$1601,ROW()-1,Calc!$C$2:$C$1601,"&lt;1")&gt;0,"Ada PO tanpa Koli - cek TMP. ","")&amp;IF(LEN($R915)&gt;500,"R &gt; 500 karakter.","")))</f>
        <v/>
      </c>
    </row>
    <row r="916">
      <c r="A916">
        <f>IF($AG916="","",INDEX('TMP Paste'!$B$2:$B$1601,$AG916))</f>
        <v/>
      </c>
      <c r="B916">
        <f>IF($AG916="","",Config!$B$14)</f>
        <v/>
      </c>
      <c r="C916">
        <f>IF($AG916="","",Config!$B$15)</f>
        <v/>
      </c>
      <c r="D916">
        <f>IF($AG916="","",INDEX('TMP Paste'!$B$2:$B$1601,$AG916))</f>
        <v/>
      </c>
      <c r="E916">
        <f>IF($AG916="","",Config!$B$27)</f>
        <v/>
      </c>
      <c r="F916">
        <f>IF($AG916="","",Config!$B$9)</f>
        <v/>
      </c>
      <c r="G916">
        <f>IF($AG916="","",Config!$B$10)</f>
        <v/>
      </c>
      <c r="H916">
        <f>IF($AG916="","",Config!$B$11)</f>
        <v/>
      </c>
      <c r="I916">
        <f>IF($AG916="","",Config!$B$16)</f>
        <v/>
      </c>
      <c r="J916">
        <f>IF($AG916="","",INDEX('TMP Paste'!$A$2:$A$1601,$AG916))</f>
        <v/>
      </c>
      <c r="K916">
        <f>IF($AG916="","",INDEX('TMP Paste'!$L$2:$L$1601,$AG916))</f>
        <v/>
      </c>
      <c r="L916">
        <f>IF($AG916="","",INDEX('TMP Paste'!$I$2:$I$1601,$AG916))</f>
        <v/>
      </c>
      <c r="M916">
        <f>IF($AG916="","",Config!$B$16)</f>
        <v/>
      </c>
      <c r="N916">
        <f>IF($AG916="","","")</f>
        <v/>
      </c>
      <c r="O916">
        <f>IF($AG916="","",INDEX('TMP Paste'!$K$2:$K$1601,$AG916))</f>
        <v/>
      </c>
      <c r="P916">
        <f>IF($AG916="","","")</f>
        <v/>
      </c>
      <c r="Q916">
        <f>IF($AG916="","",INDEX('TMP Paste'!$J$2:$J$1601,$AG916))</f>
        <v/>
      </c>
      <c r="R916">
        <f>IF($AG916="","",Config!$B$24)</f>
        <v/>
      </c>
      <c r="S916">
        <f>IF($AG916="","",TEXT(Config!$B$4,"yyyy-mm-dd"))</f>
        <v/>
      </c>
      <c r="T916">
        <f>IF($AG916="","",Config!$B$17)</f>
        <v/>
      </c>
      <c r="U916">
        <f>IF($AG916="","",Config!$B$18)</f>
        <v/>
      </c>
      <c r="V916">
        <f>IF($AG916="","",Config!$B$19)</f>
        <v/>
      </c>
      <c r="W916">
        <f>IF($AG916="","",INDEX('TMP Paste'!$C$2:$C$1601,$AG916))</f>
        <v/>
      </c>
      <c r="X916">
        <f>IF($AG916="","",Config!$B$29)</f>
        <v/>
      </c>
      <c r="Y916">
        <f>IF($AH916="","",INDEX(Calc!$I$2:$I$1601,$AH916)&amp;" - "&amp;INDEX(Calc!$D$2:$D$1601,$AH916)&amp;" koli")</f>
        <v/>
      </c>
      <c r="Z916">
        <f>IF($AG916="","",Config!$B$21)</f>
        <v/>
      </c>
      <c r="AA916">
        <f>IF($AG916="","",Config!$B$22)</f>
        <v/>
      </c>
      <c r="AB916">
        <f>IF($AH916="","",INDEX(Calc!$D$2:$D$1601,$AH916))</f>
        <v/>
      </c>
      <c r="AC916">
        <f>IF($AH916="","",INDEX(Calc!$G$2:$G$1601,$AH916))</f>
        <v/>
      </c>
      <c r="AD916">
        <f>IF($AG916="","",Config!$B$23)</f>
        <v/>
      </c>
      <c r="AE916">
        <f>IF($AG916="","",Config!$B$28)</f>
        <v/>
      </c>
      <c r="AG916">
        <f>IFERROR(MATCH(ROW()-1,Calc!$J$2:$J$1601,0),"")</f>
        <v/>
      </c>
      <c r="AH916">
        <f>IFERROR(MATCH(ROW()-1,Calc!$K$2:$K$1601,0),"")</f>
        <v/>
      </c>
      <c r="AI916">
        <f>IF($AG916="","",SUMIF($AG$2:$AG916,$AG916,$AH$2:$AH916))</f>
        <v/>
      </c>
      <c r="AJ916">
        <f>IF('TMP Paste'!$F916="","",IF('TMP Paste'!$B916="",$AJ915,'TMP Paste'!$B916))</f>
        <v/>
      </c>
      <c r="AK916">
        <f>IF('TMP Paste'!$F916="","",N('TMP Paste'!$G916))</f>
        <v/>
      </c>
      <c r="AL916">
        <f>IF('TMP Paste'!$F916="","",IF('TMP Paste'!$M916="",$AL915,'TMP Paste'!$M916))</f>
        <v/>
      </c>
      <c r="AM916">
        <f>IF('TMP Paste'!$F916="","",IF('TMP Paste'!$N916="",$AM915,'TMP Paste'!$N916))</f>
        <v/>
      </c>
      <c r="AN916">
        <f>IF('TMP Paste'!$F916="","",IF('TMP Paste'!$O916="",$AN915,'TMP Paste'!$O916))</f>
        <v/>
      </c>
      <c r="AO916">
        <f>IF('TMP Paste'!$F916="","",IF('TMP Paste'!$P916="",$AO915,'TMP Paste'!$P916))</f>
        <v/>
      </c>
      <c r="AP916">
        <f>IF($AG916="","",LEN($R916))</f>
        <v/>
      </c>
      <c r="AQ916">
        <f>IF($AG916="","",TRIM(IF(COUNTIFS(Calc!$B$2:$B$1601,ROW()-1,Calc!$C$2:$C$1601,"&lt;1")&gt;0,"Ada PO tanpa Koli - cek TMP. ","")&amp;IF(LEN($R916)&gt;500,"R &gt; 500 karakter.","")))</f>
        <v/>
      </c>
    </row>
    <row r="917">
      <c r="A917">
        <f>IF($AG917="","",INDEX('TMP Paste'!$B$2:$B$1601,$AG917))</f>
        <v/>
      </c>
      <c r="B917">
        <f>IF($AG917="","",Config!$B$14)</f>
        <v/>
      </c>
      <c r="C917">
        <f>IF($AG917="","",Config!$B$15)</f>
        <v/>
      </c>
      <c r="D917">
        <f>IF($AG917="","",INDEX('TMP Paste'!$B$2:$B$1601,$AG917))</f>
        <v/>
      </c>
      <c r="E917">
        <f>IF($AG917="","",Config!$B$27)</f>
        <v/>
      </c>
      <c r="F917">
        <f>IF($AG917="","",Config!$B$9)</f>
        <v/>
      </c>
      <c r="G917">
        <f>IF($AG917="","",Config!$B$10)</f>
        <v/>
      </c>
      <c r="H917">
        <f>IF($AG917="","",Config!$B$11)</f>
        <v/>
      </c>
      <c r="I917">
        <f>IF($AG917="","",Config!$B$16)</f>
        <v/>
      </c>
      <c r="J917">
        <f>IF($AG917="","",INDEX('TMP Paste'!$A$2:$A$1601,$AG917))</f>
        <v/>
      </c>
      <c r="K917">
        <f>IF($AG917="","",INDEX('TMP Paste'!$L$2:$L$1601,$AG917))</f>
        <v/>
      </c>
      <c r="L917">
        <f>IF($AG917="","",INDEX('TMP Paste'!$I$2:$I$1601,$AG917))</f>
        <v/>
      </c>
      <c r="M917">
        <f>IF($AG917="","",Config!$B$16)</f>
        <v/>
      </c>
      <c r="N917">
        <f>IF($AG917="","","")</f>
        <v/>
      </c>
      <c r="O917">
        <f>IF($AG917="","",INDEX('TMP Paste'!$K$2:$K$1601,$AG917))</f>
        <v/>
      </c>
      <c r="P917">
        <f>IF($AG917="","","")</f>
        <v/>
      </c>
      <c r="Q917">
        <f>IF($AG917="","",INDEX('TMP Paste'!$J$2:$J$1601,$AG917))</f>
        <v/>
      </c>
      <c r="R917">
        <f>IF($AG917="","",Config!$B$24)</f>
        <v/>
      </c>
      <c r="S917">
        <f>IF($AG917="","",TEXT(Config!$B$4,"yyyy-mm-dd"))</f>
        <v/>
      </c>
      <c r="T917">
        <f>IF($AG917="","",Config!$B$17)</f>
        <v/>
      </c>
      <c r="U917">
        <f>IF($AG917="","",Config!$B$18)</f>
        <v/>
      </c>
      <c r="V917">
        <f>IF($AG917="","",Config!$B$19)</f>
        <v/>
      </c>
      <c r="W917">
        <f>IF($AG917="","",INDEX('TMP Paste'!$C$2:$C$1601,$AG917))</f>
        <v/>
      </c>
      <c r="X917">
        <f>IF($AG917="","",Config!$B$29)</f>
        <v/>
      </c>
      <c r="Y917">
        <f>IF($AH917="","",INDEX(Calc!$I$2:$I$1601,$AH917)&amp;" - "&amp;INDEX(Calc!$D$2:$D$1601,$AH917)&amp;" koli")</f>
        <v/>
      </c>
      <c r="Z917">
        <f>IF($AG917="","",Config!$B$21)</f>
        <v/>
      </c>
      <c r="AA917">
        <f>IF($AG917="","",Config!$B$22)</f>
        <v/>
      </c>
      <c r="AB917">
        <f>IF($AH917="","",INDEX(Calc!$D$2:$D$1601,$AH917))</f>
        <v/>
      </c>
      <c r="AC917">
        <f>IF($AH917="","",INDEX(Calc!$G$2:$G$1601,$AH917))</f>
        <v/>
      </c>
      <c r="AD917">
        <f>IF($AG917="","",Config!$B$23)</f>
        <v/>
      </c>
      <c r="AE917">
        <f>IF($AG917="","",Config!$B$28)</f>
        <v/>
      </c>
      <c r="AG917">
        <f>IFERROR(MATCH(ROW()-1,Calc!$J$2:$J$1601,0),"")</f>
        <v/>
      </c>
      <c r="AH917">
        <f>IFERROR(MATCH(ROW()-1,Calc!$K$2:$K$1601,0),"")</f>
        <v/>
      </c>
      <c r="AI917">
        <f>IF($AG917="","",SUMIF($AG$2:$AG917,$AG917,$AH$2:$AH917))</f>
        <v/>
      </c>
      <c r="AJ917">
        <f>IF('TMP Paste'!$F917="","",IF('TMP Paste'!$B917="",$AJ916,'TMP Paste'!$B917))</f>
        <v/>
      </c>
      <c r="AK917">
        <f>IF('TMP Paste'!$F917="","",N('TMP Paste'!$G917))</f>
        <v/>
      </c>
      <c r="AL917">
        <f>IF('TMP Paste'!$F917="","",IF('TMP Paste'!$M917="",$AL916,'TMP Paste'!$M917))</f>
        <v/>
      </c>
      <c r="AM917">
        <f>IF('TMP Paste'!$F917="","",IF('TMP Paste'!$N917="",$AM916,'TMP Paste'!$N917))</f>
        <v/>
      </c>
      <c r="AN917">
        <f>IF('TMP Paste'!$F917="","",IF('TMP Paste'!$O917="",$AN916,'TMP Paste'!$O917))</f>
        <v/>
      </c>
      <c r="AO917">
        <f>IF('TMP Paste'!$F917="","",IF('TMP Paste'!$P917="",$AO916,'TMP Paste'!$P917))</f>
        <v/>
      </c>
      <c r="AP917">
        <f>IF($AG917="","",LEN($R917))</f>
        <v/>
      </c>
      <c r="AQ917">
        <f>IF($AG917="","",TRIM(IF(COUNTIFS(Calc!$B$2:$B$1601,ROW()-1,Calc!$C$2:$C$1601,"&lt;1")&gt;0,"Ada PO tanpa Koli - cek TMP. ","")&amp;IF(LEN($R917)&gt;500,"R &gt; 500 karakter.","")))</f>
        <v/>
      </c>
    </row>
    <row r="918">
      <c r="A918">
        <f>IF($AG918="","",INDEX('TMP Paste'!$B$2:$B$1601,$AG918))</f>
        <v/>
      </c>
      <c r="B918">
        <f>IF($AG918="","",Config!$B$14)</f>
        <v/>
      </c>
      <c r="C918">
        <f>IF($AG918="","",Config!$B$15)</f>
        <v/>
      </c>
      <c r="D918">
        <f>IF($AG918="","",INDEX('TMP Paste'!$B$2:$B$1601,$AG918))</f>
        <v/>
      </c>
      <c r="E918">
        <f>IF($AG918="","",Config!$B$27)</f>
        <v/>
      </c>
      <c r="F918">
        <f>IF($AG918="","",Config!$B$9)</f>
        <v/>
      </c>
      <c r="G918">
        <f>IF($AG918="","",Config!$B$10)</f>
        <v/>
      </c>
      <c r="H918">
        <f>IF($AG918="","",Config!$B$11)</f>
        <v/>
      </c>
      <c r="I918">
        <f>IF($AG918="","",Config!$B$16)</f>
        <v/>
      </c>
      <c r="J918">
        <f>IF($AG918="","",INDEX('TMP Paste'!$A$2:$A$1601,$AG918))</f>
        <v/>
      </c>
      <c r="K918">
        <f>IF($AG918="","",INDEX('TMP Paste'!$L$2:$L$1601,$AG918))</f>
        <v/>
      </c>
      <c r="L918">
        <f>IF($AG918="","",INDEX('TMP Paste'!$I$2:$I$1601,$AG918))</f>
        <v/>
      </c>
      <c r="M918">
        <f>IF($AG918="","",Config!$B$16)</f>
        <v/>
      </c>
      <c r="N918">
        <f>IF($AG918="","","")</f>
        <v/>
      </c>
      <c r="O918">
        <f>IF($AG918="","",INDEX('TMP Paste'!$K$2:$K$1601,$AG918))</f>
        <v/>
      </c>
      <c r="P918">
        <f>IF($AG918="","","")</f>
        <v/>
      </c>
      <c r="Q918">
        <f>IF($AG918="","",INDEX('TMP Paste'!$J$2:$J$1601,$AG918))</f>
        <v/>
      </c>
      <c r="R918">
        <f>IF($AG918="","",Config!$B$24)</f>
        <v/>
      </c>
      <c r="S918">
        <f>IF($AG918="","",TEXT(Config!$B$4,"yyyy-mm-dd"))</f>
        <v/>
      </c>
      <c r="T918">
        <f>IF($AG918="","",Config!$B$17)</f>
        <v/>
      </c>
      <c r="U918">
        <f>IF($AG918="","",Config!$B$18)</f>
        <v/>
      </c>
      <c r="V918">
        <f>IF($AG918="","",Config!$B$19)</f>
        <v/>
      </c>
      <c r="W918">
        <f>IF($AG918="","",INDEX('TMP Paste'!$C$2:$C$1601,$AG918))</f>
        <v/>
      </c>
      <c r="X918">
        <f>IF($AG918="","",Config!$B$29)</f>
        <v/>
      </c>
      <c r="Y918">
        <f>IF($AH918="","",INDEX(Calc!$I$2:$I$1601,$AH918)&amp;" - "&amp;INDEX(Calc!$D$2:$D$1601,$AH918)&amp;" koli")</f>
        <v/>
      </c>
      <c r="Z918">
        <f>IF($AG918="","",Config!$B$21)</f>
        <v/>
      </c>
      <c r="AA918">
        <f>IF($AG918="","",Config!$B$22)</f>
        <v/>
      </c>
      <c r="AB918">
        <f>IF($AH918="","",INDEX(Calc!$D$2:$D$1601,$AH918))</f>
        <v/>
      </c>
      <c r="AC918">
        <f>IF($AH918="","",INDEX(Calc!$G$2:$G$1601,$AH918))</f>
        <v/>
      </c>
      <c r="AD918">
        <f>IF($AG918="","",Config!$B$23)</f>
        <v/>
      </c>
      <c r="AE918">
        <f>IF($AG918="","",Config!$B$28)</f>
        <v/>
      </c>
      <c r="AG918">
        <f>IFERROR(MATCH(ROW()-1,Calc!$J$2:$J$1601,0),"")</f>
        <v/>
      </c>
      <c r="AH918">
        <f>IFERROR(MATCH(ROW()-1,Calc!$K$2:$K$1601,0),"")</f>
        <v/>
      </c>
      <c r="AI918">
        <f>IF($AG918="","",SUMIF($AG$2:$AG918,$AG918,$AH$2:$AH918))</f>
        <v/>
      </c>
      <c r="AJ918">
        <f>IF('TMP Paste'!$F918="","",IF('TMP Paste'!$B918="",$AJ917,'TMP Paste'!$B918))</f>
        <v/>
      </c>
      <c r="AK918">
        <f>IF('TMP Paste'!$F918="","",N('TMP Paste'!$G918))</f>
        <v/>
      </c>
      <c r="AL918">
        <f>IF('TMP Paste'!$F918="","",IF('TMP Paste'!$M918="",$AL917,'TMP Paste'!$M918))</f>
        <v/>
      </c>
      <c r="AM918">
        <f>IF('TMP Paste'!$F918="","",IF('TMP Paste'!$N918="",$AM917,'TMP Paste'!$N918))</f>
        <v/>
      </c>
      <c r="AN918">
        <f>IF('TMP Paste'!$F918="","",IF('TMP Paste'!$O918="",$AN917,'TMP Paste'!$O918))</f>
        <v/>
      </c>
      <c r="AO918">
        <f>IF('TMP Paste'!$F918="","",IF('TMP Paste'!$P918="",$AO917,'TMP Paste'!$P918))</f>
        <v/>
      </c>
      <c r="AP918">
        <f>IF($AG918="","",LEN($R918))</f>
        <v/>
      </c>
      <c r="AQ918">
        <f>IF($AG918="","",TRIM(IF(COUNTIFS(Calc!$B$2:$B$1601,ROW()-1,Calc!$C$2:$C$1601,"&lt;1")&gt;0,"Ada PO tanpa Koli - cek TMP. ","")&amp;IF(LEN($R918)&gt;500,"R &gt; 500 karakter.","")))</f>
        <v/>
      </c>
    </row>
    <row r="919">
      <c r="A919">
        <f>IF($AG919="","",INDEX('TMP Paste'!$B$2:$B$1601,$AG919))</f>
        <v/>
      </c>
      <c r="B919">
        <f>IF($AG919="","",Config!$B$14)</f>
        <v/>
      </c>
      <c r="C919">
        <f>IF($AG919="","",Config!$B$15)</f>
        <v/>
      </c>
      <c r="D919">
        <f>IF($AG919="","",INDEX('TMP Paste'!$B$2:$B$1601,$AG919))</f>
        <v/>
      </c>
      <c r="E919">
        <f>IF($AG919="","",Config!$B$27)</f>
        <v/>
      </c>
      <c r="F919">
        <f>IF($AG919="","",Config!$B$9)</f>
        <v/>
      </c>
      <c r="G919">
        <f>IF($AG919="","",Config!$B$10)</f>
        <v/>
      </c>
      <c r="H919">
        <f>IF($AG919="","",Config!$B$11)</f>
        <v/>
      </c>
      <c r="I919">
        <f>IF($AG919="","",Config!$B$16)</f>
        <v/>
      </c>
      <c r="J919">
        <f>IF($AG919="","",INDEX('TMP Paste'!$A$2:$A$1601,$AG919))</f>
        <v/>
      </c>
      <c r="K919">
        <f>IF($AG919="","",INDEX('TMP Paste'!$L$2:$L$1601,$AG919))</f>
        <v/>
      </c>
      <c r="L919">
        <f>IF($AG919="","",INDEX('TMP Paste'!$I$2:$I$1601,$AG919))</f>
        <v/>
      </c>
      <c r="M919">
        <f>IF($AG919="","",Config!$B$16)</f>
        <v/>
      </c>
      <c r="N919">
        <f>IF($AG919="","","")</f>
        <v/>
      </c>
      <c r="O919">
        <f>IF($AG919="","",INDEX('TMP Paste'!$K$2:$K$1601,$AG919))</f>
        <v/>
      </c>
      <c r="P919">
        <f>IF($AG919="","","")</f>
        <v/>
      </c>
      <c r="Q919">
        <f>IF($AG919="","",INDEX('TMP Paste'!$J$2:$J$1601,$AG919))</f>
        <v/>
      </c>
      <c r="R919">
        <f>IF($AG919="","",Config!$B$24)</f>
        <v/>
      </c>
      <c r="S919">
        <f>IF($AG919="","",TEXT(Config!$B$4,"yyyy-mm-dd"))</f>
        <v/>
      </c>
      <c r="T919">
        <f>IF($AG919="","",Config!$B$17)</f>
        <v/>
      </c>
      <c r="U919">
        <f>IF($AG919="","",Config!$B$18)</f>
        <v/>
      </c>
      <c r="V919">
        <f>IF($AG919="","",Config!$B$19)</f>
        <v/>
      </c>
      <c r="W919">
        <f>IF($AG919="","",INDEX('TMP Paste'!$C$2:$C$1601,$AG919))</f>
        <v/>
      </c>
      <c r="X919">
        <f>IF($AG919="","",Config!$B$29)</f>
        <v/>
      </c>
      <c r="Y919">
        <f>IF($AH919="","",INDEX(Calc!$I$2:$I$1601,$AH919)&amp;" - "&amp;INDEX(Calc!$D$2:$D$1601,$AH919)&amp;" koli")</f>
        <v/>
      </c>
      <c r="Z919">
        <f>IF($AG919="","",Config!$B$21)</f>
        <v/>
      </c>
      <c r="AA919">
        <f>IF($AG919="","",Config!$B$22)</f>
        <v/>
      </c>
      <c r="AB919">
        <f>IF($AH919="","",INDEX(Calc!$D$2:$D$1601,$AH919))</f>
        <v/>
      </c>
      <c r="AC919">
        <f>IF($AH919="","",INDEX(Calc!$G$2:$G$1601,$AH919))</f>
        <v/>
      </c>
      <c r="AD919">
        <f>IF($AG919="","",Config!$B$23)</f>
        <v/>
      </c>
      <c r="AE919">
        <f>IF($AG919="","",Config!$B$28)</f>
        <v/>
      </c>
      <c r="AG919">
        <f>IFERROR(MATCH(ROW()-1,Calc!$J$2:$J$1601,0),"")</f>
        <v/>
      </c>
      <c r="AH919">
        <f>IFERROR(MATCH(ROW()-1,Calc!$K$2:$K$1601,0),"")</f>
        <v/>
      </c>
      <c r="AI919">
        <f>IF($AG919="","",SUMIF($AG$2:$AG919,$AG919,$AH$2:$AH919))</f>
        <v/>
      </c>
      <c r="AJ919">
        <f>IF('TMP Paste'!$F919="","",IF('TMP Paste'!$B919="",$AJ918,'TMP Paste'!$B919))</f>
        <v/>
      </c>
      <c r="AK919">
        <f>IF('TMP Paste'!$F919="","",N('TMP Paste'!$G919))</f>
        <v/>
      </c>
      <c r="AL919">
        <f>IF('TMP Paste'!$F919="","",IF('TMP Paste'!$M919="",$AL918,'TMP Paste'!$M919))</f>
        <v/>
      </c>
      <c r="AM919">
        <f>IF('TMP Paste'!$F919="","",IF('TMP Paste'!$N919="",$AM918,'TMP Paste'!$N919))</f>
        <v/>
      </c>
      <c r="AN919">
        <f>IF('TMP Paste'!$F919="","",IF('TMP Paste'!$O919="",$AN918,'TMP Paste'!$O919))</f>
        <v/>
      </c>
      <c r="AO919">
        <f>IF('TMP Paste'!$F919="","",IF('TMP Paste'!$P919="",$AO918,'TMP Paste'!$P919))</f>
        <v/>
      </c>
      <c r="AP919">
        <f>IF($AG919="","",LEN($R919))</f>
        <v/>
      </c>
      <c r="AQ919">
        <f>IF($AG919="","",TRIM(IF(COUNTIFS(Calc!$B$2:$B$1601,ROW()-1,Calc!$C$2:$C$1601,"&lt;1")&gt;0,"Ada PO tanpa Koli - cek TMP. ","")&amp;IF(LEN($R919)&gt;500,"R &gt; 500 karakter.","")))</f>
        <v/>
      </c>
    </row>
    <row r="920">
      <c r="A920">
        <f>IF($AG920="","",INDEX('TMP Paste'!$B$2:$B$1601,$AG920))</f>
        <v/>
      </c>
      <c r="B920">
        <f>IF($AG920="","",Config!$B$14)</f>
        <v/>
      </c>
      <c r="C920">
        <f>IF($AG920="","",Config!$B$15)</f>
        <v/>
      </c>
      <c r="D920">
        <f>IF($AG920="","",INDEX('TMP Paste'!$B$2:$B$1601,$AG920))</f>
        <v/>
      </c>
      <c r="E920">
        <f>IF($AG920="","",Config!$B$27)</f>
        <v/>
      </c>
      <c r="F920">
        <f>IF($AG920="","",Config!$B$9)</f>
        <v/>
      </c>
      <c r="G920">
        <f>IF($AG920="","",Config!$B$10)</f>
        <v/>
      </c>
      <c r="H920">
        <f>IF($AG920="","",Config!$B$11)</f>
        <v/>
      </c>
      <c r="I920">
        <f>IF($AG920="","",Config!$B$16)</f>
        <v/>
      </c>
      <c r="J920">
        <f>IF($AG920="","",INDEX('TMP Paste'!$A$2:$A$1601,$AG920))</f>
        <v/>
      </c>
      <c r="K920">
        <f>IF($AG920="","",INDEX('TMP Paste'!$L$2:$L$1601,$AG920))</f>
        <v/>
      </c>
      <c r="L920">
        <f>IF($AG920="","",INDEX('TMP Paste'!$I$2:$I$1601,$AG920))</f>
        <v/>
      </c>
      <c r="M920">
        <f>IF($AG920="","",Config!$B$16)</f>
        <v/>
      </c>
      <c r="N920">
        <f>IF($AG920="","","")</f>
        <v/>
      </c>
      <c r="O920">
        <f>IF($AG920="","",INDEX('TMP Paste'!$K$2:$K$1601,$AG920))</f>
        <v/>
      </c>
      <c r="P920">
        <f>IF($AG920="","","")</f>
        <v/>
      </c>
      <c r="Q920">
        <f>IF($AG920="","",INDEX('TMP Paste'!$J$2:$J$1601,$AG920))</f>
        <v/>
      </c>
      <c r="R920">
        <f>IF($AG920="","",Config!$B$24)</f>
        <v/>
      </c>
      <c r="S920">
        <f>IF($AG920="","",TEXT(Config!$B$4,"yyyy-mm-dd"))</f>
        <v/>
      </c>
      <c r="T920">
        <f>IF($AG920="","",Config!$B$17)</f>
        <v/>
      </c>
      <c r="U920">
        <f>IF($AG920="","",Config!$B$18)</f>
        <v/>
      </c>
      <c r="V920">
        <f>IF($AG920="","",Config!$B$19)</f>
        <v/>
      </c>
      <c r="W920">
        <f>IF($AG920="","",INDEX('TMP Paste'!$C$2:$C$1601,$AG920))</f>
        <v/>
      </c>
      <c r="X920">
        <f>IF($AG920="","",Config!$B$29)</f>
        <v/>
      </c>
      <c r="Y920">
        <f>IF($AH920="","",INDEX(Calc!$I$2:$I$1601,$AH920)&amp;" - "&amp;INDEX(Calc!$D$2:$D$1601,$AH920)&amp;" koli")</f>
        <v/>
      </c>
      <c r="Z920">
        <f>IF($AG920="","",Config!$B$21)</f>
        <v/>
      </c>
      <c r="AA920">
        <f>IF($AG920="","",Config!$B$22)</f>
        <v/>
      </c>
      <c r="AB920">
        <f>IF($AH920="","",INDEX(Calc!$D$2:$D$1601,$AH920))</f>
        <v/>
      </c>
      <c r="AC920">
        <f>IF($AH920="","",INDEX(Calc!$G$2:$G$1601,$AH920))</f>
        <v/>
      </c>
      <c r="AD920">
        <f>IF($AG920="","",Config!$B$23)</f>
        <v/>
      </c>
      <c r="AE920">
        <f>IF($AG920="","",Config!$B$28)</f>
        <v/>
      </c>
      <c r="AG920">
        <f>IFERROR(MATCH(ROW()-1,Calc!$J$2:$J$1601,0),"")</f>
        <v/>
      </c>
      <c r="AH920">
        <f>IFERROR(MATCH(ROW()-1,Calc!$K$2:$K$1601,0),"")</f>
        <v/>
      </c>
      <c r="AI920">
        <f>IF($AG920="","",SUMIF($AG$2:$AG920,$AG920,$AH$2:$AH920))</f>
        <v/>
      </c>
      <c r="AJ920">
        <f>IF('TMP Paste'!$F920="","",IF('TMP Paste'!$B920="",$AJ919,'TMP Paste'!$B920))</f>
        <v/>
      </c>
      <c r="AK920">
        <f>IF('TMP Paste'!$F920="","",N('TMP Paste'!$G920))</f>
        <v/>
      </c>
      <c r="AL920">
        <f>IF('TMP Paste'!$F920="","",IF('TMP Paste'!$M920="",$AL919,'TMP Paste'!$M920))</f>
        <v/>
      </c>
      <c r="AM920">
        <f>IF('TMP Paste'!$F920="","",IF('TMP Paste'!$N920="",$AM919,'TMP Paste'!$N920))</f>
        <v/>
      </c>
      <c r="AN920">
        <f>IF('TMP Paste'!$F920="","",IF('TMP Paste'!$O920="",$AN919,'TMP Paste'!$O920))</f>
        <v/>
      </c>
      <c r="AO920">
        <f>IF('TMP Paste'!$F920="","",IF('TMP Paste'!$P920="",$AO919,'TMP Paste'!$P920))</f>
        <v/>
      </c>
      <c r="AP920">
        <f>IF($AG920="","",LEN($R920))</f>
        <v/>
      </c>
      <c r="AQ920">
        <f>IF($AG920="","",TRIM(IF(COUNTIFS(Calc!$B$2:$B$1601,ROW()-1,Calc!$C$2:$C$1601,"&lt;1")&gt;0,"Ada PO tanpa Koli - cek TMP. ","")&amp;IF(LEN($R920)&gt;500,"R &gt; 500 karakter.","")))</f>
        <v/>
      </c>
    </row>
    <row r="921">
      <c r="A921">
        <f>IF($AG921="","",INDEX('TMP Paste'!$B$2:$B$1601,$AG921))</f>
        <v/>
      </c>
      <c r="B921">
        <f>IF($AG921="","",Config!$B$14)</f>
        <v/>
      </c>
      <c r="C921">
        <f>IF($AG921="","",Config!$B$15)</f>
        <v/>
      </c>
      <c r="D921">
        <f>IF($AG921="","",INDEX('TMP Paste'!$B$2:$B$1601,$AG921))</f>
        <v/>
      </c>
      <c r="E921">
        <f>IF($AG921="","",Config!$B$27)</f>
        <v/>
      </c>
      <c r="F921">
        <f>IF($AG921="","",Config!$B$9)</f>
        <v/>
      </c>
      <c r="G921">
        <f>IF($AG921="","",Config!$B$10)</f>
        <v/>
      </c>
      <c r="H921">
        <f>IF($AG921="","",Config!$B$11)</f>
        <v/>
      </c>
      <c r="I921">
        <f>IF($AG921="","",Config!$B$16)</f>
        <v/>
      </c>
      <c r="J921">
        <f>IF($AG921="","",INDEX('TMP Paste'!$A$2:$A$1601,$AG921))</f>
        <v/>
      </c>
      <c r="K921">
        <f>IF($AG921="","",INDEX('TMP Paste'!$L$2:$L$1601,$AG921))</f>
        <v/>
      </c>
      <c r="L921">
        <f>IF($AG921="","",INDEX('TMP Paste'!$I$2:$I$1601,$AG921))</f>
        <v/>
      </c>
      <c r="M921">
        <f>IF($AG921="","",Config!$B$16)</f>
        <v/>
      </c>
      <c r="N921">
        <f>IF($AG921="","","")</f>
        <v/>
      </c>
      <c r="O921">
        <f>IF($AG921="","",INDEX('TMP Paste'!$K$2:$K$1601,$AG921))</f>
        <v/>
      </c>
      <c r="P921">
        <f>IF($AG921="","","")</f>
        <v/>
      </c>
      <c r="Q921">
        <f>IF($AG921="","",INDEX('TMP Paste'!$J$2:$J$1601,$AG921))</f>
        <v/>
      </c>
      <c r="R921">
        <f>IF($AG921="","",Config!$B$24)</f>
        <v/>
      </c>
      <c r="S921">
        <f>IF($AG921="","",TEXT(Config!$B$4,"yyyy-mm-dd"))</f>
        <v/>
      </c>
      <c r="T921">
        <f>IF($AG921="","",Config!$B$17)</f>
        <v/>
      </c>
      <c r="U921">
        <f>IF($AG921="","",Config!$B$18)</f>
        <v/>
      </c>
      <c r="V921">
        <f>IF($AG921="","",Config!$B$19)</f>
        <v/>
      </c>
      <c r="W921">
        <f>IF($AG921="","",INDEX('TMP Paste'!$C$2:$C$1601,$AG921))</f>
        <v/>
      </c>
      <c r="X921">
        <f>IF($AG921="","",Config!$B$29)</f>
        <v/>
      </c>
      <c r="Y921">
        <f>IF($AH921="","",INDEX(Calc!$I$2:$I$1601,$AH921)&amp;" - "&amp;INDEX(Calc!$D$2:$D$1601,$AH921)&amp;" koli")</f>
        <v/>
      </c>
      <c r="Z921">
        <f>IF($AG921="","",Config!$B$21)</f>
        <v/>
      </c>
      <c r="AA921">
        <f>IF($AG921="","",Config!$B$22)</f>
        <v/>
      </c>
      <c r="AB921">
        <f>IF($AH921="","",INDEX(Calc!$D$2:$D$1601,$AH921))</f>
        <v/>
      </c>
      <c r="AC921">
        <f>IF($AH921="","",INDEX(Calc!$G$2:$G$1601,$AH921))</f>
        <v/>
      </c>
      <c r="AD921">
        <f>IF($AG921="","",Config!$B$23)</f>
        <v/>
      </c>
      <c r="AE921">
        <f>IF($AG921="","",Config!$B$28)</f>
        <v/>
      </c>
      <c r="AG921">
        <f>IFERROR(MATCH(ROW()-1,Calc!$J$2:$J$1601,0),"")</f>
        <v/>
      </c>
      <c r="AH921">
        <f>IFERROR(MATCH(ROW()-1,Calc!$K$2:$K$1601,0),"")</f>
        <v/>
      </c>
      <c r="AI921">
        <f>IF($AG921="","",SUMIF($AG$2:$AG921,$AG921,$AH$2:$AH921))</f>
        <v/>
      </c>
      <c r="AJ921">
        <f>IF('TMP Paste'!$F921="","",IF('TMP Paste'!$B921="",$AJ920,'TMP Paste'!$B921))</f>
        <v/>
      </c>
      <c r="AK921">
        <f>IF('TMP Paste'!$F921="","",N('TMP Paste'!$G921))</f>
        <v/>
      </c>
      <c r="AL921">
        <f>IF('TMP Paste'!$F921="","",IF('TMP Paste'!$M921="",$AL920,'TMP Paste'!$M921))</f>
        <v/>
      </c>
      <c r="AM921">
        <f>IF('TMP Paste'!$F921="","",IF('TMP Paste'!$N921="",$AM920,'TMP Paste'!$N921))</f>
        <v/>
      </c>
      <c r="AN921">
        <f>IF('TMP Paste'!$F921="","",IF('TMP Paste'!$O921="",$AN920,'TMP Paste'!$O921))</f>
        <v/>
      </c>
      <c r="AO921">
        <f>IF('TMP Paste'!$F921="","",IF('TMP Paste'!$P921="",$AO920,'TMP Paste'!$P921))</f>
        <v/>
      </c>
      <c r="AP921">
        <f>IF($AG921="","",LEN($R921))</f>
        <v/>
      </c>
      <c r="AQ921">
        <f>IF($AG921="","",TRIM(IF(COUNTIFS(Calc!$B$2:$B$1601,ROW()-1,Calc!$C$2:$C$1601,"&lt;1")&gt;0,"Ada PO tanpa Koli - cek TMP. ","")&amp;IF(LEN($R921)&gt;500,"R &gt; 500 karakter.","")))</f>
        <v/>
      </c>
    </row>
    <row r="922">
      <c r="A922">
        <f>IF($AG922="","",INDEX('TMP Paste'!$B$2:$B$1601,$AG922))</f>
        <v/>
      </c>
      <c r="B922">
        <f>IF($AG922="","",Config!$B$14)</f>
        <v/>
      </c>
      <c r="C922">
        <f>IF($AG922="","",Config!$B$15)</f>
        <v/>
      </c>
      <c r="D922">
        <f>IF($AG922="","",INDEX('TMP Paste'!$B$2:$B$1601,$AG922))</f>
        <v/>
      </c>
      <c r="E922">
        <f>IF($AG922="","",Config!$B$27)</f>
        <v/>
      </c>
      <c r="F922">
        <f>IF($AG922="","",Config!$B$9)</f>
        <v/>
      </c>
      <c r="G922">
        <f>IF($AG922="","",Config!$B$10)</f>
        <v/>
      </c>
      <c r="H922">
        <f>IF($AG922="","",Config!$B$11)</f>
        <v/>
      </c>
      <c r="I922">
        <f>IF($AG922="","",Config!$B$16)</f>
        <v/>
      </c>
      <c r="J922">
        <f>IF($AG922="","",INDEX('TMP Paste'!$A$2:$A$1601,$AG922))</f>
        <v/>
      </c>
      <c r="K922">
        <f>IF($AG922="","",INDEX('TMP Paste'!$L$2:$L$1601,$AG922))</f>
        <v/>
      </c>
      <c r="L922">
        <f>IF($AG922="","",INDEX('TMP Paste'!$I$2:$I$1601,$AG922))</f>
        <v/>
      </c>
      <c r="M922">
        <f>IF($AG922="","",Config!$B$16)</f>
        <v/>
      </c>
      <c r="N922">
        <f>IF($AG922="","","")</f>
        <v/>
      </c>
      <c r="O922">
        <f>IF($AG922="","",INDEX('TMP Paste'!$K$2:$K$1601,$AG922))</f>
        <v/>
      </c>
      <c r="P922">
        <f>IF($AG922="","","")</f>
        <v/>
      </c>
      <c r="Q922">
        <f>IF($AG922="","",INDEX('TMP Paste'!$J$2:$J$1601,$AG922))</f>
        <v/>
      </c>
      <c r="R922">
        <f>IF($AG922="","",Config!$B$24)</f>
        <v/>
      </c>
      <c r="S922">
        <f>IF($AG922="","",TEXT(Config!$B$4,"yyyy-mm-dd"))</f>
        <v/>
      </c>
      <c r="T922">
        <f>IF($AG922="","",Config!$B$17)</f>
        <v/>
      </c>
      <c r="U922">
        <f>IF($AG922="","",Config!$B$18)</f>
        <v/>
      </c>
      <c r="V922">
        <f>IF($AG922="","",Config!$B$19)</f>
        <v/>
      </c>
      <c r="W922">
        <f>IF($AG922="","",INDEX('TMP Paste'!$C$2:$C$1601,$AG922))</f>
        <v/>
      </c>
      <c r="X922">
        <f>IF($AG922="","",Config!$B$29)</f>
        <v/>
      </c>
      <c r="Y922">
        <f>IF($AH922="","",INDEX(Calc!$I$2:$I$1601,$AH922)&amp;" - "&amp;INDEX(Calc!$D$2:$D$1601,$AH922)&amp;" koli")</f>
        <v/>
      </c>
      <c r="Z922">
        <f>IF($AG922="","",Config!$B$21)</f>
        <v/>
      </c>
      <c r="AA922">
        <f>IF($AG922="","",Config!$B$22)</f>
        <v/>
      </c>
      <c r="AB922">
        <f>IF($AH922="","",INDEX(Calc!$D$2:$D$1601,$AH922))</f>
        <v/>
      </c>
      <c r="AC922">
        <f>IF($AH922="","",INDEX(Calc!$G$2:$G$1601,$AH922))</f>
        <v/>
      </c>
      <c r="AD922">
        <f>IF($AG922="","",Config!$B$23)</f>
        <v/>
      </c>
      <c r="AE922">
        <f>IF($AG922="","",Config!$B$28)</f>
        <v/>
      </c>
      <c r="AG922">
        <f>IFERROR(MATCH(ROW()-1,Calc!$J$2:$J$1601,0),"")</f>
        <v/>
      </c>
      <c r="AH922">
        <f>IFERROR(MATCH(ROW()-1,Calc!$K$2:$K$1601,0),"")</f>
        <v/>
      </c>
      <c r="AI922">
        <f>IF($AG922="","",SUMIF($AG$2:$AG922,$AG922,$AH$2:$AH922))</f>
        <v/>
      </c>
      <c r="AJ922">
        <f>IF('TMP Paste'!$F922="","",IF('TMP Paste'!$B922="",$AJ921,'TMP Paste'!$B922))</f>
        <v/>
      </c>
      <c r="AK922">
        <f>IF('TMP Paste'!$F922="","",N('TMP Paste'!$G922))</f>
        <v/>
      </c>
      <c r="AL922">
        <f>IF('TMP Paste'!$F922="","",IF('TMP Paste'!$M922="",$AL921,'TMP Paste'!$M922))</f>
        <v/>
      </c>
      <c r="AM922">
        <f>IF('TMP Paste'!$F922="","",IF('TMP Paste'!$N922="",$AM921,'TMP Paste'!$N922))</f>
        <v/>
      </c>
      <c r="AN922">
        <f>IF('TMP Paste'!$F922="","",IF('TMP Paste'!$O922="",$AN921,'TMP Paste'!$O922))</f>
        <v/>
      </c>
      <c r="AO922">
        <f>IF('TMP Paste'!$F922="","",IF('TMP Paste'!$P922="",$AO921,'TMP Paste'!$P922))</f>
        <v/>
      </c>
      <c r="AP922">
        <f>IF($AG922="","",LEN($R922))</f>
        <v/>
      </c>
      <c r="AQ922">
        <f>IF($AG922="","",TRIM(IF(COUNTIFS(Calc!$B$2:$B$1601,ROW()-1,Calc!$C$2:$C$1601,"&lt;1")&gt;0,"Ada PO tanpa Koli - cek TMP. ","")&amp;IF(LEN($R922)&gt;500,"R &gt; 500 karakter.","")))</f>
        <v/>
      </c>
    </row>
    <row r="923">
      <c r="A923">
        <f>IF($AG923="","",INDEX('TMP Paste'!$B$2:$B$1601,$AG923))</f>
        <v/>
      </c>
      <c r="B923">
        <f>IF($AG923="","",Config!$B$14)</f>
        <v/>
      </c>
      <c r="C923">
        <f>IF($AG923="","",Config!$B$15)</f>
        <v/>
      </c>
      <c r="D923">
        <f>IF($AG923="","",INDEX('TMP Paste'!$B$2:$B$1601,$AG923))</f>
        <v/>
      </c>
      <c r="E923">
        <f>IF($AG923="","",Config!$B$27)</f>
        <v/>
      </c>
      <c r="F923">
        <f>IF($AG923="","",Config!$B$9)</f>
        <v/>
      </c>
      <c r="G923">
        <f>IF($AG923="","",Config!$B$10)</f>
        <v/>
      </c>
      <c r="H923">
        <f>IF($AG923="","",Config!$B$11)</f>
        <v/>
      </c>
      <c r="I923">
        <f>IF($AG923="","",Config!$B$16)</f>
        <v/>
      </c>
      <c r="J923">
        <f>IF($AG923="","",INDEX('TMP Paste'!$A$2:$A$1601,$AG923))</f>
        <v/>
      </c>
      <c r="K923">
        <f>IF($AG923="","",INDEX('TMP Paste'!$L$2:$L$1601,$AG923))</f>
        <v/>
      </c>
      <c r="L923">
        <f>IF($AG923="","",INDEX('TMP Paste'!$I$2:$I$1601,$AG923))</f>
        <v/>
      </c>
      <c r="M923">
        <f>IF($AG923="","",Config!$B$16)</f>
        <v/>
      </c>
      <c r="N923">
        <f>IF($AG923="","","")</f>
        <v/>
      </c>
      <c r="O923">
        <f>IF($AG923="","",INDEX('TMP Paste'!$K$2:$K$1601,$AG923))</f>
        <v/>
      </c>
      <c r="P923">
        <f>IF($AG923="","","")</f>
        <v/>
      </c>
      <c r="Q923">
        <f>IF($AG923="","",INDEX('TMP Paste'!$J$2:$J$1601,$AG923))</f>
        <v/>
      </c>
      <c r="R923">
        <f>IF($AG923="","",Config!$B$24)</f>
        <v/>
      </c>
      <c r="S923">
        <f>IF($AG923="","",TEXT(Config!$B$4,"yyyy-mm-dd"))</f>
        <v/>
      </c>
      <c r="T923">
        <f>IF($AG923="","",Config!$B$17)</f>
        <v/>
      </c>
      <c r="U923">
        <f>IF($AG923="","",Config!$B$18)</f>
        <v/>
      </c>
      <c r="V923">
        <f>IF($AG923="","",Config!$B$19)</f>
        <v/>
      </c>
      <c r="W923">
        <f>IF($AG923="","",INDEX('TMP Paste'!$C$2:$C$1601,$AG923))</f>
        <v/>
      </c>
      <c r="X923">
        <f>IF($AG923="","",Config!$B$29)</f>
        <v/>
      </c>
      <c r="Y923">
        <f>IF($AH923="","",INDEX(Calc!$I$2:$I$1601,$AH923)&amp;" - "&amp;INDEX(Calc!$D$2:$D$1601,$AH923)&amp;" koli")</f>
        <v/>
      </c>
      <c r="Z923">
        <f>IF($AG923="","",Config!$B$21)</f>
        <v/>
      </c>
      <c r="AA923">
        <f>IF($AG923="","",Config!$B$22)</f>
        <v/>
      </c>
      <c r="AB923">
        <f>IF($AH923="","",INDEX(Calc!$D$2:$D$1601,$AH923))</f>
        <v/>
      </c>
      <c r="AC923">
        <f>IF($AH923="","",INDEX(Calc!$G$2:$G$1601,$AH923))</f>
        <v/>
      </c>
      <c r="AD923">
        <f>IF($AG923="","",Config!$B$23)</f>
        <v/>
      </c>
      <c r="AE923">
        <f>IF($AG923="","",Config!$B$28)</f>
        <v/>
      </c>
      <c r="AG923">
        <f>IFERROR(MATCH(ROW()-1,Calc!$J$2:$J$1601,0),"")</f>
        <v/>
      </c>
      <c r="AH923">
        <f>IFERROR(MATCH(ROW()-1,Calc!$K$2:$K$1601,0),"")</f>
        <v/>
      </c>
      <c r="AI923">
        <f>IF($AG923="","",SUMIF($AG$2:$AG923,$AG923,$AH$2:$AH923))</f>
        <v/>
      </c>
      <c r="AJ923">
        <f>IF('TMP Paste'!$F923="","",IF('TMP Paste'!$B923="",$AJ922,'TMP Paste'!$B923))</f>
        <v/>
      </c>
      <c r="AK923">
        <f>IF('TMP Paste'!$F923="","",N('TMP Paste'!$G923))</f>
        <v/>
      </c>
      <c r="AL923">
        <f>IF('TMP Paste'!$F923="","",IF('TMP Paste'!$M923="",$AL922,'TMP Paste'!$M923))</f>
        <v/>
      </c>
      <c r="AM923">
        <f>IF('TMP Paste'!$F923="","",IF('TMP Paste'!$N923="",$AM922,'TMP Paste'!$N923))</f>
        <v/>
      </c>
      <c r="AN923">
        <f>IF('TMP Paste'!$F923="","",IF('TMP Paste'!$O923="",$AN922,'TMP Paste'!$O923))</f>
        <v/>
      </c>
      <c r="AO923">
        <f>IF('TMP Paste'!$F923="","",IF('TMP Paste'!$P923="",$AO922,'TMP Paste'!$P923))</f>
        <v/>
      </c>
      <c r="AP923">
        <f>IF($AG923="","",LEN($R923))</f>
        <v/>
      </c>
      <c r="AQ923">
        <f>IF($AG923="","",TRIM(IF(COUNTIFS(Calc!$B$2:$B$1601,ROW()-1,Calc!$C$2:$C$1601,"&lt;1")&gt;0,"Ada PO tanpa Koli - cek TMP. ","")&amp;IF(LEN($R923)&gt;500,"R &gt; 500 karakter.","")))</f>
        <v/>
      </c>
    </row>
    <row r="924">
      <c r="A924">
        <f>IF($AG924="","",INDEX('TMP Paste'!$B$2:$B$1601,$AG924))</f>
        <v/>
      </c>
      <c r="B924">
        <f>IF($AG924="","",Config!$B$14)</f>
        <v/>
      </c>
      <c r="C924">
        <f>IF($AG924="","",Config!$B$15)</f>
        <v/>
      </c>
      <c r="D924">
        <f>IF($AG924="","",INDEX('TMP Paste'!$B$2:$B$1601,$AG924))</f>
        <v/>
      </c>
      <c r="E924">
        <f>IF($AG924="","",Config!$B$27)</f>
        <v/>
      </c>
      <c r="F924">
        <f>IF($AG924="","",Config!$B$9)</f>
        <v/>
      </c>
      <c r="G924">
        <f>IF($AG924="","",Config!$B$10)</f>
        <v/>
      </c>
      <c r="H924">
        <f>IF($AG924="","",Config!$B$11)</f>
        <v/>
      </c>
      <c r="I924">
        <f>IF($AG924="","",Config!$B$16)</f>
        <v/>
      </c>
      <c r="J924">
        <f>IF($AG924="","",INDEX('TMP Paste'!$A$2:$A$1601,$AG924))</f>
        <v/>
      </c>
      <c r="K924">
        <f>IF($AG924="","",INDEX('TMP Paste'!$L$2:$L$1601,$AG924))</f>
        <v/>
      </c>
      <c r="L924">
        <f>IF($AG924="","",INDEX('TMP Paste'!$I$2:$I$1601,$AG924))</f>
        <v/>
      </c>
      <c r="M924">
        <f>IF($AG924="","",Config!$B$16)</f>
        <v/>
      </c>
      <c r="N924">
        <f>IF($AG924="","","")</f>
        <v/>
      </c>
      <c r="O924">
        <f>IF($AG924="","",INDEX('TMP Paste'!$K$2:$K$1601,$AG924))</f>
        <v/>
      </c>
      <c r="P924">
        <f>IF($AG924="","","")</f>
        <v/>
      </c>
      <c r="Q924">
        <f>IF($AG924="","",INDEX('TMP Paste'!$J$2:$J$1601,$AG924))</f>
        <v/>
      </c>
      <c r="R924">
        <f>IF($AG924="","",Config!$B$24)</f>
        <v/>
      </c>
      <c r="S924">
        <f>IF($AG924="","",TEXT(Config!$B$4,"yyyy-mm-dd"))</f>
        <v/>
      </c>
      <c r="T924">
        <f>IF($AG924="","",Config!$B$17)</f>
        <v/>
      </c>
      <c r="U924">
        <f>IF($AG924="","",Config!$B$18)</f>
        <v/>
      </c>
      <c r="V924">
        <f>IF($AG924="","",Config!$B$19)</f>
        <v/>
      </c>
      <c r="W924">
        <f>IF($AG924="","",INDEX('TMP Paste'!$C$2:$C$1601,$AG924))</f>
        <v/>
      </c>
      <c r="X924">
        <f>IF($AG924="","",Config!$B$29)</f>
        <v/>
      </c>
      <c r="Y924">
        <f>IF($AH924="","",INDEX(Calc!$I$2:$I$1601,$AH924)&amp;" - "&amp;INDEX(Calc!$D$2:$D$1601,$AH924)&amp;" koli")</f>
        <v/>
      </c>
      <c r="Z924">
        <f>IF($AG924="","",Config!$B$21)</f>
        <v/>
      </c>
      <c r="AA924">
        <f>IF($AG924="","",Config!$B$22)</f>
        <v/>
      </c>
      <c r="AB924">
        <f>IF($AH924="","",INDEX(Calc!$D$2:$D$1601,$AH924))</f>
        <v/>
      </c>
      <c r="AC924">
        <f>IF($AH924="","",INDEX(Calc!$G$2:$G$1601,$AH924))</f>
        <v/>
      </c>
      <c r="AD924">
        <f>IF($AG924="","",Config!$B$23)</f>
        <v/>
      </c>
      <c r="AE924">
        <f>IF($AG924="","",Config!$B$28)</f>
        <v/>
      </c>
      <c r="AG924">
        <f>IFERROR(MATCH(ROW()-1,Calc!$J$2:$J$1601,0),"")</f>
        <v/>
      </c>
      <c r="AH924">
        <f>IFERROR(MATCH(ROW()-1,Calc!$K$2:$K$1601,0),"")</f>
        <v/>
      </c>
      <c r="AI924">
        <f>IF($AG924="","",SUMIF($AG$2:$AG924,$AG924,$AH$2:$AH924))</f>
        <v/>
      </c>
      <c r="AJ924">
        <f>IF('TMP Paste'!$F924="","",IF('TMP Paste'!$B924="",$AJ923,'TMP Paste'!$B924))</f>
        <v/>
      </c>
      <c r="AK924">
        <f>IF('TMP Paste'!$F924="","",N('TMP Paste'!$G924))</f>
        <v/>
      </c>
      <c r="AL924">
        <f>IF('TMP Paste'!$F924="","",IF('TMP Paste'!$M924="",$AL923,'TMP Paste'!$M924))</f>
        <v/>
      </c>
      <c r="AM924">
        <f>IF('TMP Paste'!$F924="","",IF('TMP Paste'!$N924="",$AM923,'TMP Paste'!$N924))</f>
        <v/>
      </c>
      <c r="AN924">
        <f>IF('TMP Paste'!$F924="","",IF('TMP Paste'!$O924="",$AN923,'TMP Paste'!$O924))</f>
        <v/>
      </c>
      <c r="AO924">
        <f>IF('TMP Paste'!$F924="","",IF('TMP Paste'!$P924="",$AO923,'TMP Paste'!$P924))</f>
        <v/>
      </c>
      <c r="AP924">
        <f>IF($AG924="","",LEN($R924))</f>
        <v/>
      </c>
      <c r="AQ924">
        <f>IF($AG924="","",TRIM(IF(COUNTIFS(Calc!$B$2:$B$1601,ROW()-1,Calc!$C$2:$C$1601,"&lt;1")&gt;0,"Ada PO tanpa Koli - cek TMP. ","")&amp;IF(LEN($R924)&gt;500,"R &gt; 500 karakter.","")))</f>
        <v/>
      </c>
    </row>
    <row r="925">
      <c r="A925">
        <f>IF($AG925="","",INDEX('TMP Paste'!$B$2:$B$1601,$AG925))</f>
        <v/>
      </c>
      <c r="B925">
        <f>IF($AG925="","",Config!$B$14)</f>
        <v/>
      </c>
      <c r="C925">
        <f>IF($AG925="","",Config!$B$15)</f>
        <v/>
      </c>
      <c r="D925">
        <f>IF($AG925="","",INDEX('TMP Paste'!$B$2:$B$1601,$AG925))</f>
        <v/>
      </c>
      <c r="E925">
        <f>IF($AG925="","",Config!$B$27)</f>
        <v/>
      </c>
      <c r="F925">
        <f>IF($AG925="","",Config!$B$9)</f>
        <v/>
      </c>
      <c r="G925">
        <f>IF($AG925="","",Config!$B$10)</f>
        <v/>
      </c>
      <c r="H925">
        <f>IF($AG925="","",Config!$B$11)</f>
        <v/>
      </c>
      <c r="I925">
        <f>IF($AG925="","",Config!$B$16)</f>
        <v/>
      </c>
      <c r="J925">
        <f>IF($AG925="","",INDEX('TMP Paste'!$A$2:$A$1601,$AG925))</f>
        <v/>
      </c>
      <c r="K925">
        <f>IF($AG925="","",INDEX('TMP Paste'!$L$2:$L$1601,$AG925))</f>
        <v/>
      </c>
      <c r="L925">
        <f>IF($AG925="","",INDEX('TMP Paste'!$I$2:$I$1601,$AG925))</f>
        <v/>
      </c>
      <c r="M925">
        <f>IF($AG925="","",Config!$B$16)</f>
        <v/>
      </c>
      <c r="N925">
        <f>IF($AG925="","","")</f>
        <v/>
      </c>
      <c r="O925">
        <f>IF($AG925="","",INDEX('TMP Paste'!$K$2:$K$1601,$AG925))</f>
        <v/>
      </c>
      <c r="P925">
        <f>IF($AG925="","","")</f>
        <v/>
      </c>
      <c r="Q925">
        <f>IF($AG925="","",INDEX('TMP Paste'!$J$2:$J$1601,$AG925))</f>
        <v/>
      </c>
      <c r="R925">
        <f>IF($AG925="","",Config!$B$24)</f>
        <v/>
      </c>
      <c r="S925">
        <f>IF($AG925="","",TEXT(Config!$B$4,"yyyy-mm-dd"))</f>
        <v/>
      </c>
      <c r="T925">
        <f>IF($AG925="","",Config!$B$17)</f>
        <v/>
      </c>
      <c r="U925">
        <f>IF($AG925="","",Config!$B$18)</f>
        <v/>
      </c>
      <c r="V925">
        <f>IF($AG925="","",Config!$B$19)</f>
        <v/>
      </c>
      <c r="W925">
        <f>IF($AG925="","",INDEX('TMP Paste'!$C$2:$C$1601,$AG925))</f>
        <v/>
      </c>
      <c r="X925">
        <f>IF($AG925="","",Config!$B$29)</f>
        <v/>
      </c>
      <c r="Y925">
        <f>IF($AH925="","",INDEX(Calc!$I$2:$I$1601,$AH925)&amp;" - "&amp;INDEX(Calc!$D$2:$D$1601,$AH925)&amp;" koli")</f>
        <v/>
      </c>
      <c r="Z925">
        <f>IF($AG925="","",Config!$B$21)</f>
        <v/>
      </c>
      <c r="AA925">
        <f>IF($AG925="","",Config!$B$22)</f>
        <v/>
      </c>
      <c r="AB925">
        <f>IF($AH925="","",INDEX(Calc!$D$2:$D$1601,$AH925))</f>
        <v/>
      </c>
      <c r="AC925">
        <f>IF($AH925="","",INDEX(Calc!$G$2:$G$1601,$AH925))</f>
        <v/>
      </c>
      <c r="AD925">
        <f>IF($AG925="","",Config!$B$23)</f>
        <v/>
      </c>
      <c r="AE925">
        <f>IF($AG925="","",Config!$B$28)</f>
        <v/>
      </c>
      <c r="AG925">
        <f>IFERROR(MATCH(ROW()-1,Calc!$J$2:$J$1601,0),"")</f>
        <v/>
      </c>
      <c r="AH925">
        <f>IFERROR(MATCH(ROW()-1,Calc!$K$2:$K$1601,0),"")</f>
        <v/>
      </c>
      <c r="AI925">
        <f>IF($AG925="","",SUMIF($AG$2:$AG925,$AG925,$AH$2:$AH925))</f>
        <v/>
      </c>
      <c r="AJ925">
        <f>IF('TMP Paste'!$F925="","",IF('TMP Paste'!$B925="",$AJ924,'TMP Paste'!$B925))</f>
        <v/>
      </c>
      <c r="AK925">
        <f>IF('TMP Paste'!$F925="","",N('TMP Paste'!$G925))</f>
        <v/>
      </c>
      <c r="AL925">
        <f>IF('TMP Paste'!$F925="","",IF('TMP Paste'!$M925="",$AL924,'TMP Paste'!$M925))</f>
        <v/>
      </c>
      <c r="AM925">
        <f>IF('TMP Paste'!$F925="","",IF('TMP Paste'!$N925="",$AM924,'TMP Paste'!$N925))</f>
        <v/>
      </c>
      <c r="AN925">
        <f>IF('TMP Paste'!$F925="","",IF('TMP Paste'!$O925="",$AN924,'TMP Paste'!$O925))</f>
        <v/>
      </c>
      <c r="AO925">
        <f>IF('TMP Paste'!$F925="","",IF('TMP Paste'!$P925="",$AO924,'TMP Paste'!$P925))</f>
        <v/>
      </c>
      <c r="AP925">
        <f>IF($AG925="","",LEN($R925))</f>
        <v/>
      </c>
      <c r="AQ925">
        <f>IF($AG925="","",TRIM(IF(COUNTIFS(Calc!$B$2:$B$1601,ROW()-1,Calc!$C$2:$C$1601,"&lt;1")&gt;0,"Ada PO tanpa Koli - cek TMP. ","")&amp;IF(LEN($R925)&gt;500,"R &gt; 500 karakter.","")))</f>
        <v/>
      </c>
    </row>
    <row r="926">
      <c r="A926">
        <f>IF($AG926="","",INDEX('TMP Paste'!$B$2:$B$1601,$AG926))</f>
        <v/>
      </c>
      <c r="B926">
        <f>IF($AG926="","",Config!$B$14)</f>
        <v/>
      </c>
      <c r="C926">
        <f>IF($AG926="","",Config!$B$15)</f>
        <v/>
      </c>
      <c r="D926">
        <f>IF($AG926="","",INDEX('TMP Paste'!$B$2:$B$1601,$AG926))</f>
        <v/>
      </c>
      <c r="E926">
        <f>IF($AG926="","",Config!$B$27)</f>
        <v/>
      </c>
      <c r="F926">
        <f>IF($AG926="","",Config!$B$9)</f>
        <v/>
      </c>
      <c r="G926">
        <f>IF($AG926="","",Config!$B$10)</f>
        <v/>
      </c>
      <c r="H926">
        <f>IF($AG926="","",Config!$B$11)</f>
        <v/>
      </c>
      <c r="I926">
        <f>IF($AG926="","",Config!$B$16)</f>
        <v/>
      </c>
      <c r="J926">
        <f>IF($AG926="","",INDEX('TMP Paste'!$A$2:$A$1601,$AG926))</f>
        <v/>
      </c>
      <c r="K926">
        <f>IF($AG926="","",INDEX('TMP Paste'!$L$2:$L$1601,$AG926))</f>
        <v/>
      </c>
      <c r="L926">
        <f>IF($AG926="","",INDEX('TMP Paste'!$I$2:$I$1601,$AG926))</f>
        <v/>
      </c>
      <c r="M926">
        <f>IF($AG926="","",Config!$B$16)</f>
        <v/>
      </c>
      <c r="N926">
        <f>IF($AG926="","","")</f>
        <v/>
      </c>
      <c r="O926">
        <f>IF($AG926="","",INDEX('TMP Paste'!$K$2:$K$1601,$AG926))</f>
        <v/>
      </c>
      <c r="P926">
        <f>IF($AG926="","","")</f>
        <v/>
      </c>
      <c r="Q926">
        <f>IF($AG926="","",INDEX('TMP Paste'!$J$2:$J$1601,$AG926))</f>
        <v/>
      </c>
      <c r="R926">
        <f>IF($AG926="","",Config!$B$24)</f>
        <v/>
      </c>
      <c r="S926">
        <f>IF($AG926="","",TEXT(Config!$B$4,"yyyy-mm-dd"))</f>
        <v/>
      </c>
      <c r="T926">
        <f>IF($AG926="","",Config!$B$17)</f>
        <v/>
      </c>
      <c r="U926">
        <f>IF($AG926="","",Config!$B$18)</f>
        <v/>
      </c>
      <c r="V926">
        <f>IF($AG926="","",Config!$B$19)</f>
        <v/>
      </c>
      <c r="W926">
        <f>IF($AG926="","",INDEX('TMP Paste'!$C$2:$C$1601,$AG926))</f>
        <v/>
      </c>
      <c r="X926">
        <f>IF($AG926="","",Config!$B$29)</f>
        <v/>
      </c>
      <c r="Y926">
        <f>IF($AH926="","",INDEX(Calc!$I$2:$I$1601,$AH926)&amp;" - "&amp;INDEX(Calc!$D$2:$D$1601,$AH926)&amp;" koli")</f>
        <v/>
      </c>
      <c r="Z926">
        <f>IF($AG926="","",Config!$B$21)</f>
        <v/>
      </c>
      <c r="AA926">
        <f>IF($AG926="","",Config!$B$22)</f>
        <v/>
      </c>
      <c r="AB926">
        <f>IF($AH926="","",INDEX(Calc!$D$2:$D$1601,$AH926))</f>
        <v/>
      </c>
      <c r="AC926">
        <f>IF($AH926="","",INDEX(Calc!$G$2:$G$1601,$AH926))</f>
        <v/>
      </c>
      <c r="AD926">
        <f>IF($AG926="","",Config!$B$23)</f>
        <v/>
      </c>
      <c r="AE926">
        <f>IF($AG926="","",Config!$B$28)</f>
        <v/>
      </c>
      <c r="AG926">
        <f>IFERROR(MATCH(ROW()-1,Calc!$J$2:$J$1601,0),"")</f>
        <v/>
      </c>
      <c r="AH926">
        <f>IFERROR(MATCH(ROW()-1,Calc!$K$2:$K$1601,0),"")</f>
        <v/>
      </c>
      <c r="AI926">
        <f>IF($AG926="","",SUMIF($AG$2:$AG926,$AG926,$AH$2:$AH926))</f>
        <v/>
      </c>
      <c r="AJ926">
        <f>IF('TMP Paste'!$F926="","",IF('TMP Paste'!$B926="",$AJ925,'TMP Paste'!$B926))</f>
        <v/>
      </c>
      <c r="AK926">
        <f>IF('TMP Paste'!$F926="","",N('TMP Paste'!$G926))</f>
        <v/>
      </c>
      <c r="AL926">
        <f>IF('TMP Paste'!$F926="","",IF('TMP Paste'!$M926="",$AL925,'TMP Paste'!$M926))</f>
        <v/>
      </c>
      <c r="AM926">
        <f>IF('TMP Paste'!$F926="","",IF('TMP Paste'!$N926="",$AM925,'TMP Paste'!$N926))</f>
        <v/>
      </c>
      <c r="AN926">
        <f>IF('TMP Paste'!$F926="","",IF('TMP Paste'!$O926="",$AN925,'TMP Paste'!$O926))</f>
        <v/>
      </c>
      <c r="AO926">
        <f>IF('TMP Paste'!$F926="","",IF('TMP Paste'!$P926="",$AO925,'TMP Paste'!$P926))</f>
        <v/>
      </c>
      <c r="AP926">
        <f>IF($AG926="","",LEN($R926))</f>
        <v/>
      </c>
      <c r="AQ926">
        <f>IF($AG926="","",TRIM(IF(COUNTIFS(Calc!$B$2:$B$1601,ROW()-1,Calc!$C$2:$C$1601,"&lt;1")&gt;0,"Ada PO tanpa Koli - cek TMP. ","")&amp;IF(LEN($R926)&gt;500,"R &gt; 500 karakter.","")))</f>
        <v/>
      </c>
    </row>
    <row r="927">
      <c r="A927">
        <f>IF($AG927="","",INDEX('TMP Paste'!$B$2:$B$1601,$AG927))</f>
        <v/>
      </c>
      <c r="B927">
        <f>IF($AG927="","",Config!$B$14)</f>
        <v/>
      </c>
      <c r="C927">
        <f>IF($AG927="","",Config!$B$15)</f>
        <v/>
      </c>
      <c r="D927">
        <f>IF($AG927="","",INDEX('TMP Paste'!$B$2:$B$1601,$AG927))</f>
        <v/>
      </c>
      <c r="E927">
        <f>IF($AG927="","",Config!$B$27)</f>
        <v/>
      </c>
      <c r="F927">
        <f>IF($AG927="","",Config!$B$9)</f>
        <v/>
      </c>
      <c r="G927">
        <f>IF($AG927="","",Config!$B$10)</f>
        <v/>
      </c>
      <c r="H927">
        <f>IF($AG927="","",Config!$B$11)</f>
        <v/>
      </c>
      <c r="I927">
        <f>IF($AG927="","",Config!$B$16)</f>
        <v/>
      </c>
      <c r="J927">
        <f>IF($AG927="","",INDEX('TMP Paste'!$A$2:$A$1601,$AG927))</f>
        <v/>
      </c>
      <c r="K927">
        <f>IF($AG927="","",INDEX('TMP Paste'!$L$2:$L$1601,$AG927))</f>
        <v/>
      </c>
      <c r="L927">
        <f>IF($AG927="","",INDEX('TMP Paste'!$I$2:$I$1601,$AG927))</f>
        <v/>
      </c>
      <c r="M927">
        <f>IF($AG927="","",Config!$B$16)</f>
        <v/>
      </c>
      <c r="N927">
        <f>IF($AG927="","","")</f>
        <v/>
      </c>
      <c r="O927">
        <f>IF($AG927="","",INDEX('TMP Paste'!$K$2:$K$1601,$AG927))</f>
        <v/>
      </c>
      <c r="P927">
        <f>IF($AG927="","","")</f>
        <v/>
      </c>
      <c r="Q927">
        <f>IF($AG927="","",INDEX('TMP Paste'!$J$2:$J$1601,$AG927))</f>
        <v/>
      </c>
      <c r="R927">
        <f>IF($AG927="","",Config!$B$24)</f>
        <v/>
      </c>
      <c r="S927">
        <f>IF($AG927="","",TEXT(Config!$B$4,"yyyy-mm-dd"))</f>
        <v/>
      </c>
      <c r="T927">
        <f>IF($AG927="","",Config!$B$17)</f>
        <v/>
      </c>
      <c r="U927">
        <f>IF($AG927="","",Config!$B$18)</f>
        <v/>
      </c>
      <c r="V927">
        <f>IF($AG927="","",Config!$B$19)</f>
        <v/>
      </c>
      <c r="W927">
        <f>IF($AG927="","",INDEX('TMP Paste'!$C$2:$C$1601,$AG927))</f>
        <v/>
      </c>
      <c r="X927">
        <f>IF($AG927="","",Config!$B$29)</f>
        <v/>
      </c>
      <c r="Y927">
        <f>IF($AH927="","",INDEX(Calc!$I$2:$I$1601,$AH927)&amp;" - "&amp;INDEX(Calc!$D$2:$D$1601,$AH927)&amp;" koli")</f>
        <v/>
      </c>
      <c r="Z927">
        <f>IF($AG927="","",Config!$B$21)</f>
        <v/>
      </c>
      <c r="AA927">
        <f>IF($AG927="","",Config!$B$22)</f>
        <v/>
      </c>
      <c r="AB927">
        <f>IF($AH927="","",INDEX(Calc!$D$2:$D$1601,$AH927))</f>
        <v/>
      </c>
      <c r="AC927">
        <f>IF($AH927="","",INDEX(Calc!$G$2:$G$1601,$AH927))</f>
        <v/>
      </c>
      <c r="AD927">
        <f>IF($AG927="","",Config!$B$23)</f>
        <v/>
      </c>
      <c r="AE927">
        <f>IF($AG927="","",Config!$B$28)</f>
        <v/>
      </c>
      <c r="AG927">
        <f>IFERROR(MATCH(ROW()-1,Calc!$J$2:$J$1601,0),"")</f>
        <v/>
      </c>
      <c r="AH927">
        <f>IFERROR(MATCH(ROW()-1,Calc!$K$2:$K$1601,0),"")</f>
        <v/>
      </c>
      <c r="AI927">
        <f>IF($AG927="","",SUMIF($AG$2:$AG927,$AG927,$AH$2:$AH927))</f>
        <v/>
      </c>
      <c r="AJ927">
        <f>IF('TMP Paste'!$F927="","",IF('TMP Paste'!$B927="",$AJ926,'TMP Paste'!$B927))</f>
        <v/>
      </c>
      <c r="AK927">
        <f>IF('TMP Paste'!$F927="","",N('TMP Paste'!$G927))</f>
        <v/>
      </c>
      <c r="AL927">
        <f>IF('TMP Paste'!$F927="","",IF('TMP Paste'!$M927="",$AL926,'TMP Paste'!$M927))</f>
        <v/>
      </c>
      <c r="AM927">
        <f>IF('TMP Paste'!$F927="","",IF('TMP Paste'!$N927="",$AM926,'TMP Paste'!$N927))</f>
        <v/>
      </c>
      <c r="AN927">
        <f>IF('TMP Paste'!$F927="","",IF('TMP Paste'!$O927="",$AN926,'TMP Paste'!$O927))</f>
        <v/>
      </c>
      <c r="AO927">
        <f>IF('TMP Paste'!$F927="","",IF('TMP Paste'!$P927="",$AO926,'TMP Paste'!$P927))</f>
        <v/>
      </c>
      <c r="AP927">
        <f>IF($AG927="","",LEN($R927))</f>
        <v/>
      </c>
      <c r="AQ927">
        <f>IF($AG927="","",TRIM(IF(COUNTIFS(Calc!$B$2:$B$1601,ROW()-1,Calc!$C$2:$C$1601,"&lt;1")&gt;0,"Ada PO tanpa Koli - cek TMP. ","")&amp;IF(LEN($R927)&gt;500,"R &gt; 500 karakter.","")))</f>
        <v/>
      </c>
    </row>
    <row r="928">
      <c r="A928">
        <f>IF($AG928="","",INDEX('TMP Paste'!$B$2:$B$1601,$AG928))</f>
        <v/>
      </c>
      <c r="B928">
        <f>IF($AG928="","",Config!$B$14)</f>
        <v/>
      </c>
      <c r="C928">
        <f>IF($AG928="","",Config!$B$15)</f>
        <v/>
      </c>
      <c r="D928">
        <f>IF($AG928="","",INDEX('TMP Paste'!$B$2:$B$1601,$AG928))</f>
        <v/>
      </c>
      <c r="E928">
        <f>IF($AG928="","",Config!$B$27)</f>
        <v/>
      </c>
      <c r="F928">
        <f>IF($AG928="","",Config!$B$9)</f>
        <v/>
      </c>
      <c r="G928">
        <f>IF($AG928="","",Config!$B$10)</f>
        <v/>
      </c>
      <c r="H928">
        <f>IF($AG928="","",Config!$B$11)</f>
        <v/>
      </c>
      <c r="I928">
        <f>IF($AG928="","",Config!$B$16)</f>
        <v/>
      </c>
      <c r="J928">
        <f>IF($AG928="","",INDEX('TMP Paste'!$A$2:$A$1601,$AG928))</f>
        <v/>
      </c>
      <c r="K928">
        <f>IF($AG928="","",INDEX('TMP Paste'!$L$2:$L$1601,$AG928))</f>
        <v/>
      </c>
      <c r="L928">
        <f>IF($AG928="","",INDEX('TMP Paste'!$I$2:$I$1601,$AG928))</f>
        <v/>
      </c>
      <c r="M928">
        <f>IF($AG928="","",Config!$B$16)</f>
        <v/>
      </c>
      <c r="N928">
        <f>IF($AG928="","","")</f>
        <v/>
      </c>
      <c r="O928">
        <f>IF($AG928="","",INDEX('TMP Paste'!$K$2:$K$1601,$AG928))</f>
        <v/>
      </c>
      <c r="P928">
        <f>IF($AG928="","","")</f>
        <v/>
      </c>
      <c r="Q928">
        <f>IF($AG928="","",INDEX('TMP Paste'!$J$2:$J$1601,$AG928))</f>
        <v/>
      </c>
      <c r="R928">
        <f>IF($AG928="","",Config!$B$24)</f>
        <v/>
      </c>
      <c r="S928">
        <f>IF($AG928="","",TEXT(Config!$B$4,"yyyy-mm-dd"))</f>
        <v/>
      </c>
      <c r="T928">
        <f>IF($AG928="","",Config!$B$17)</f>
        <v/>
      </c>
      <c r="U928">
        <f>IF($AG928="","",Config!$B$18)</f>
        <v/>
      </c>
      <c r="V928">
        <f>IF($AG928="","",Config!$B$19)</f>
        <v/>
      </c>
      <c r="W928">
        <f>IF($AG928="","",INDEX('TMP Paste'!$C$2:$C$1601,$AG928))</f>
        <v/>
      </c>
      <c r="X928">
        <f>IF($AG928="","",Config!$B$29)</f>
        <v/>
      </c>
      <c r="Y928">
        <f>IF($AH928="","",INDEX(Calc!$I$2:$I$1601,$AH928)&amp;" - "&amp;INDEX(Calc!$D$2:$D$1601,$AH928)&amp;" koli")</f>
        <v/>
      </c>
      <c r="Z928">
        <f>IF($AG928="","",Config!$B$21)</f>
        <v/>
      </c>
      <c r="AA928">
        <f>IF($AG928="","",Config!$B$22)</f>
        <v/>
      </c>
      <c r="AB928">
        <f>IF($AH928="","",INDEX(Calc!$D$2:$D$1601,$AH928))</f>
        <v/>
      </c>
      <c r="AC928">
        <f>IF($AH928="","",INDEX(Calc!$G$2:$G$1601,$AH928))</f>
        <v/>
      </c>
      <c r="AD928">
        <f>IF($AG928="","",Config!$B$23)</f>
        <v/>
      </c>
      <c r="AE928">
        <f>IF($AG928="","",Config!$B$28)</f>
        <v/>
      </c>
      <c r="AG928">
        <f>IFERROR(MATCH(ROW()-1,Calc!$J$2:$J$1601,0),"")</f>
        <v/>
      </c>
      <c r="AH928">
        <f>IFERROR(MATCH(ROW()-1,Calc!$K$2:$K$1601,0),"")</f>
        <v/>
      </c>
      <c r="AI928">
        <f>IF($AG928="","",SUMIF($AG$2:$AG928,$AG928,$AH$2:$AH928))</f>
        <v/>
      </c>
      <c r="AJ928">
        <f>IF('TMP Paste'!$F928="","",IF('TMP Paste'!$B928="",$AJ927,'TMP Paste'!$B928))</f>
        <v/>
      </c>
      <c r="AK928">
        <f>IF('TMP Paste'!$F928="","",N('TMP Paste'!$G928))</f>
        <v/>
      </c>
      <c r="AL928">
        <f>IF('TMP Paste'!$F928="","",IF('TMP Paste'!$M928="",$AL927,'TMP Paste'!$M928))</f>
        <v/>
      </c>
      <c r="AM928">
        <f>IF('TMP Paste'!$F928="","",IF('TMP Paste'!$N928="",$AM927,'TMP Paste'!$N928))</f>
        <v/>
      </c>
      <c r="AN928">
        <f>IF('TMP Paste'!$F928="","",IF('TMP Paste'!$O928="",$AN927,'TMP Paste'!$O928))</f>
        <v/>
      </c>
      <c r="AO928">
        <f>IF('TMP Paste'!$F928="","",IF('TMP Paste'!$P928="",$AO927,'TMP Paste'!$P928))</f>
        <v/>
      </c>
      <c r="AP928">
        <f>IF($AG928="","",LEN($R928))</f>
        <v/>
      </c>
      <c r="AQ928">
        <f>IF($AG928="","",TRIM(IF(COUNTIFS(Calc!$B$2:$B$1601,ROW()-1,Calc!$C$2:$C$1601,"&lt;1")&gt;0,"Ada PO tanpa Koli - cek TMP. ","")&amp;IF(LEN($R928)&gt;500,"R &gt; 500 karakter.","")))</f>
        <v/>
      </c>
    </row>
    <row r="929">
      <c r="A929">
        <f>IF($AG929="","",INDEX('TMP Paste'!$B$2:$B$1601,$AG929))</f>
        <v/>
      </c>
      <c r="B929">
        <f>IF($AG929="","",Config!$B$14)</f>
        <v/>
      </c>
      <c r="C929">
        <f>IF($AG929="","",Config!$B$15)</f>
        <v/>
      </c>
      <c r="D929">
        <f>IF($AG929="","",INDEX('TMP Paste'!$B$2:$B$1601,$AG929))</f>
        <v/>
      </c>
      <c r="E929">
        <f>IF($AG929="","",Config!$B$27)</f>
        <v/>
      </c>
      <c r="F929">
        <f>IF($AG929="","",Config!$B$9)</f>
        <v/>
      </c>
      <c r="G929">
        <f>IF($AG929="","",Config!$B$10)</f>
        <v/>
      </c>
      <c r="H929">
        <f>IF($AG929="","",Config!$B$11)</f>
        <v/>
      </c>
      <c r="I929">
        <f>IF($AG929="","",Config!$B$16)</f>
        <v/>
      </c>
      <c r="J929">
        <f>IF($AG929="","",INDEX('TMP Paste'!$A$2:$A$1601,$AG929))</f>
        <v/>
      </c>
      <c r="K929">
        <f>IF($AG929="","",INDEX('TMP Paste'!$L$2:$L$1601,$AG929))</f>
        <v/>
      </c>
      <c r="L929">
        <f>IF($AG929="","",INDEX('TMP Paste'!$I$2:$I$1601,$AG929))</f>
        <v/>
      </c>
      <c r="M929">
        <f>IF($AG929="","",Config!$B$16)</f>
        <v/>
      </c>
      <c r="N929">
        <f>IF($AG929="","","")</f>
        <v/>
      </c>
      <c r="O929">
        <f>IF($AG929="","",INDEX('TMP Paste'!$K$2:$K$1601,$AG929))</f>
        <v/>
      </c>
      <c r="P929">
        <f>IF($AG929="","","")</f>
        <v/>
      </c>
      <c r="Q929">
        <f>IF($AG929="","",INDEX('TMP Paste'!$J$2:$J$1601,$AG929))</f>
        <v/>
      </c>
      <c r="R929">
        <f>IF($AG929="","",Config!$B$24)</f>
        <v/>
      </c>
      <c r="S929">
        <f>IF($AG929="","",TEXT(Config!$B$4,"yyyy-mm-dd"))</f>
        <v/>
      </c>
      <c r="T929">
        <f>IF($AG929="","",Config!$B$17)</f>
        <v/>
      </c>
      <c r="U929">
        <f>IF($AG929="","",Config!$B$18)</f>
        <v/>
      </c>
      <c r="V929">
        <f>IF($AG929="","",Config!$B$19)</f>
        <v/>
      </c>
      <c r="W929">
        <f>IF($AG929="","",INDEX('TMP Paste'!$C$2:$C$1601,$AG929))</f>
        <v/>
      </c>
      <c r="X929">
        <f>IF($AG929="","",Config!$B$29)</f>
        <v/>
      </c>
      <c r="Y929">
        <f>IF($AH929="","",INDEX(Calc!$I$2:$I$1601,$AH929)&amp;" - "&amp;INDEX(Calc!$D$2:$D$1601,$AH929)&amp;" koli")</f>
        <v/>
      </c>
      <c r="Z929">
        <f>IF($AG929="","",Config!$B$21)</f>
        <v/>
      </c>
      <c r="AA929">
        <f>IF($AG929="","",Config!$B$22)</f>
        <v/>
      </c>
      <c r="AB929">
        <f>IF($AH929="","",INDEX(Calc!$D$2:$D$1601,$AH929))</f>
        <v/>
      </c>
      <c r="AC929">
        <f>IF($AH929="","",INDEX(Calc!$G$2:$G$1601,$AH929))</f>
        <v/>
      </c>
      <c r="AD929">
        <f>IF($AG929="","",Config!$B$23)</f>
        <v/>
      </c>
      <c r="AE929">
        <f>IF($AG929="","",Config!$B$28)</f>
        <v/>
      </c>
      <c r="AG929">
        <f>IFERROR(MATCH(ROW()-1,Calc!$J$2:$J$1601,0),"")</f>
        <v/>
      </c>
      <c r="AH929">
        <f>IFERROR(MATCH(ROW()-1,Calc!$K$2:$K$1601,0),"")</f>
        <v/>
      </c>
      <c r="AI929">
        <f>IF($AG929="","",SUMIF($AG$2:$AG929,$AG929,$AH$2:$AH929))</f>
        <v/>
      </c>
      <c r="AJ929">
        <f>IF('TMP Paste'!$F929="","",IF('TMP Paste'!$B929="",$AJ928,'TMP Paste'!$B929))</f>
        <v/>
      </c>
      <c r="AK929">
        <f>IF('TMP Paste'!$F929="","",N('TMP Paste'!$G929))</f>
        <v/>
      </c>
      <c r="AL929">
        <f>IF('TMP Paste'!$F929="","",IF('TMP Paste'!$M929="",$AL928,'TMP Paste'!$M929))</f>
        <v/>
      </c>
      <c r="AM929">
        <f>IF('TMP Paste'!$F929="","",IF('TMP Paste'!$N929="",$AM928,'TMP Paste'!$N929))</f>
        <v/>
      </c>
      <c r="AN929">
        <f>IF('TMP Paste'!$F929="","",IF('TMP Paste'!$O929="",$AN928,'TMP Paste'!$O929))</f>
        <v/>
      </c>
      <c r="AO929">
        <f>IF('TMP Paste'!$F929="","",IF('TMP Paste'!$P929="",$AO928,'TMP Paste'!$P929))</f>
        <v/>
      </c>
      <c r="AP929">
        <f>IF($AG929="","",LEN($R929))</f>
        <v/>
      </c>
      <c r="AQ929">
        <f>IF($AG929="","",TRIM(IF(COUNTIFS(Calc!$B$2:$B$1601,ROW()-1,Calc!$C$2:$C$1601,"&lt;1")&gt;0,"Ada PO tanpa Koli - cek TMP. ","")&amp;IF(LEN($R929)&gt;500,"R &gt; 500 karakter.","")))</f>
        <v/>
      </c>
    </row>
    <row r="930">
      <c r="A930">
        <f>IF($AG930="","",INDEX('TMP Paste'!$B$2:$B$1601,$AG930))</f>
        <v/>
      </c>
      <c r="B930">
        <f>IF($AG930="","",Config!$B$14)</f>
        <v/>
      </c>
      <c r="C930">
        <f>IF($AG930="","",Config!$B$15)</f>
        <v/>
      </c>
      <c r="D930">
        <f>IF($AG930="","",INDEX('TMP Paste'!$B$2:$B$1601,$AG930))</f>
        <v/>
      </c>
      <c r="E930">
        <f>IF($AG930="","",Config!$B$27)</f>
        <v/>
      </c>
      <c r="F930">
        <f>IF($AG930="","",Config!$B$9)</f>
        <v/>
      </c>
      <c r="G930">
        <f>IF($AG930="","",Config!$B$10)</f>
        <v/>
      </c>
      <c r="H930">
        <f>IF($AG930="","",Config!$B$11)</f>
        <v/>
      </c>
      <c r="I930">
        <f>IF($AG930="","",Config!$B$16)</f>
        <v/>
      </c>
      <c r="J930">
        <f>IF($AG930="","",INDEX('TMP Paste'!$A$2:$A$1601,$AG930))</f>
        <v/>
      </c>
      <c r="K930">
        <f>IF($AG930="","",INDEX('TMP Paste'!$L$2:$L$1601,$AG930))</f>
        <v/>
      </c>
      <c r="L930">
        <f>IF($AG930="","",INDEX('TMP Paste'!$I$2:$I$1601,$AG930))</f>
        <v/>
      </c>
      <c r="M930">
        <f>IF($AG930="","",Config!$B$16)</f>
        <v/>
      </c>
      <c r="N930">
        <f>IF($AG930="","","")</f>
        <v/>
      </c>
      <c r="O930">
        <f>IF($AG930="","",INDEX('TMP Paste'!$K$2:$K$1601,$AG930))</f>
        <v/>
      </c>
      <c r="P930">
        <f>IF($AG930="","","")</f>
        <v/>
      </c>
      <c r="Q930">
        <f>IF($AG930="","",INDEX('TMP Paste'!$J$2:$J$1601,$AG930))</f>
        <v/>
      </c>
      <c r="R930">
        <f>IF($AG930="","",Config!$B$24)</f>
        <v/>
      </c>
      <c r="S930">
        <f>IF($AG930="","",TEXT(Config!$B$4,"yyyy-mm-dd"))</f>
        <v/>
      </c>
      <c r="T930">
        <f>IF($AG930="","",Config!$B$17)</f>
        <v/>
      </c>
      <c r="U930">
        <f>IF($AG930="","",Config!$B$18)</f>
        <v/>
      </c>
      <c r="V930">
        <f>IF($AG930="","",Config!$B$19)</f>
        <v/>
      </c>
      <c r="W930">
        <f>IF($AG930="","",INDEX('TMP Paste'!$C$2:$C$1601,$AG930))</f>
        <v/>
      </c>
      <c r="X930">
        <f>IF($AG930="","",Config!$B$29)</f>
        <v/>
      </c>
      <c r="Y930">
        <f>IF($AH930="","",INDEX(Calc!$I$2:$I$1601,$AH930)&amp;" - "&amp;INDEX(Calc!$D$2:$D$1601,$AH930)&amp;" koli")</f>
        <v/>
      </c>
      <c r="Z930">
        <f>IF($AG930="","",Config!$B$21)</f>
        <v/>
      </c>
      <c r="AA930">
        <f>IF($AG930="","",Config!$B$22)</f>
        <v/>
      </c>
      <c r="AB930">
        <f>IF($AH930="","",INDEX(Calc!$D$2:$D$1601,$AH930))</f>
        <v/>
      </c>
      <c r="AC930">
        <f>IF($AH930="","",INDEX(Calc!$G$2:$G$1601,$AH930))</f>
        <v/>
      </c>
      <c r="AD930">
        <f>IF($AG930="","",Config!$B$23)</f>
        <v/>
      </c>
      <c r="AE930">
        <f>IF($AG930="","",Config!$B$28)</f>
        <v/>
      </c>
      <c r="AG930">
        <f>IFERROR(MATCH(ROW()-1,Calc!$J$2:$J$1601,0),"")</f>
        <v/>
      </c>
      <c r="AH930">
        <f>IFERROR(MATCH(ROW()-1,Calc!$K$2:$K$1601,0),"")</f>
        <v/>
      </c>
      <c r="AI930">
        <f>IF($AG930="","",SUMIF($AG$2:$AG930,$AG930,$AH$2:$AH930))</f>
        <v/>
      </c>
      <c r="AJ930">
        <f>IF('TMP Paste'!$F930="","",IF('TMP Paste'!$B930="",$AJ929,'TMP Paste'!$B930))</f>
        <v/>
      </c>
      <c r="AK930">
        <f>IF('TMP Paste'!$F930="","",N('TMP Paste'!$G930))</f>
        <v/>
      </c>
      <c r="AL930">
        <f>IF('TMP Paste'!$F930="","",IF('TMP Paste'!$M930="",$AL929,'TMP Paste'!$M930))</f>
        <v/>
      </c>
      <c r="AM930">
        <f>IF('TMP Paste'!$F930="","",IF('TMP Paste'!$N930="",$AM929,'TMP Paste'!$N930))</f>
        <v/>
      </c>
      <c r="AN930">
        <f>IF('TMP Paste'!$F930="","",IF('TMP Paste'!$O930="",$AN929,'TMP Paste'!$O930))</f>
        <v/>
      </c>
      <c r="AO930">
        <f>IF('TMP Paste'!$F930="","",IF('TMP Paste'!$P930="",$AO929,'TMP Paste'!$P930))</f>
        <v/>
      </c>
      <c r="AP930">
        <f>IF($AG930="","",LEN($R930))</f>
        <v/>
      </c>
      <c r="AQ930">
        <f>IF($AG930="","",TRIM(IF(COUNTIFS(Calc!$B$2:$B$1601,ROW()-1,Calc!$C$2:$C$1601,"&lt;1")&gt;0,"Ada PO tanpa Koli - cek TMP. ","")&amp;IF(LEN($R930)&gt;500,"R &gt; 500 karakter.","")))</f>
        <v/>
      </c>
    </row>
    <row r="931">
      <c r="A931">
        <f>IF($AG931="","",INDEX('TMP Paste'!$B$2:$B$1601,$AG931))</f>
        <v/>
      </c>
      <c r="B931">
        <f>IF($AG931="","",Config!$B$14)</f>
        <v/>
      </c>
      <c r="C931">
        <f>IF($AG931="","",Config!$B$15)</f>
        <v/>
      </c>
      <c r="D931">
        <f>IF($AG931="","",INDEX('TMP Paste'!$B$2:$B$1601,$AG931))</f>
        <v/>
      </c>
      <c r="E931">
        <f>IF($AG931="","",Config!$B$27)</f>
        <v/>
      </c>
      <c r="F931">
        <f>IF($AG931="","",Config!$B$9)</f>
        <v/>
      </c>
      <c r="G931">
        <f>IF($AG931="","",Config!$B$10)</f>
        <v/>
      </c>
      <c r="H931">
        <f>IF($AG931="","",Config!$B$11)</f>
        <v/>
      </c>
      <c r="I931">
        <f>IF($AG931="","",Config!$B$16)</f>
        <v/>
      </c>
      <c r="J931">
        <f>IF($AG931="","",INDEX('TMP Paste'!$A$2:$A$1601,$AG931))</f>
        <v/>
      </c>
      <c r="K931">
        <f>IF($AG931="","",INDEX('TMP Paste'!$L$2:$L$1601,$AG931))</f>
        <v/>
      </c>
      <c r="L931">
        <f>IF($AG931="","",INDEX('TMP Paste'!$I$2:$I$1601,$AG931))</f>
        <v/>
      </c>
      <c r="M931">
        <f>IF($AG931="","",Config!$B$16)</f>
        <v/>
      </c>
      <c r="N931">
        <f>IF($AG931="","","")</f>
        <v/>
      </c>
      <c r="O931">
        <f>IF($AG931="","",INDEX('TMP Paste'!$K$2:$K$1601,$AG931))</f>
        <v/>
      </c>
      <c r="P931">
        <f>IF($AG931="","","")</f>
        <v/>
      </c>
      <c r="Q931">
        <f>IF($AG931="","",INDEX('TMP Paste'!$J$2:$J$1601,$AG931))</f>
        <v/>
      </c>
      <c r="R931">
        <f>IF($AG931="","",Config!$B$24)</f>
        <v/>
      </c>
      <c r="S931">
        <f>IF($AG931="","",TEXT(Config!$B$4,"yyyy-mm-dd"))</f>
        <v/>
      </c>
      <c r="T931">
        <f>IF($AG931="","",Config!$B$17)</f>
        <v/>
      </c>
      <c r="U931">
        <f>IF($AG931="","",Config!$B$18)</f>
        <v/>
      </c>
      <c r="V931">
        <f>IF($AG931="","",Config!$B$19)</f>
        <v/>
      </c>
      <c r="W931">
        <f>IF($AG931="","",INDEX('TMP Paste'!$C$2:$C$1601,$AG931))</f>
        <v/>
      </c>
      <c r="X931">
        <f>IF($AG931="","",Config!$B$29)</f>
        <v/>
      </c>
      <c r="Y931">
        <f>IF($AH931="","",INDEX(Calc!$I$2:$I$1601,$AH931)&amp;" - "&amp;INDEX(Calc!$D$2:$D$1601,$AH931)&amp;" koli")</f>
        <v/>
      </c>
      <c r="Z931">
        <f>IF($AG931="","",Config!$B$21)</f>
        <v/>
      </c>
      <c r="AA931">
        <f>IF($AG931="","",Config!$B$22)</f>
        <v/>
      </c>
      <c r="AB931">
        <f>IF($AH931="","",INDEX(Calc!$D$2:$D$1601,$AH931))</f>
        <v/>
      </c>
      <c r="AC931">
        <f>IF($AH931="","",INDEX(Calc!$G$2:$G$1601,$AH931))</f>
        <v/>
      </c>
      <c r="AD931">
        <f>IF($AG931="","",Config!$B$23)</f>
        <v/>
      </c>
      <c r="AE931">
        <f>IF($AG931="","",Config!$B$28)</f>
        <v/>
      </c>
      <c r="AG931">
        <f>IFERROR(MATCH(ROW()-1,Calc!$J$2:$J$1601,0),"")</f>
        <v/>
      </c>
      <c r="AH931">
        <f>IFERROR(MATCH(ROW()-1,Calc!$K$2:$K$1601,0),"")</f>
        <v/>
      </c>
      <c r="AI931">
        <f>IF($AG931="","",SUMIF($AG$2:$AG931,$AG931,$AH$2:$AH931))</f>
        <v/>
      </c>
      <c r="AJ931">
        <f>IF('TMP Paste'!$F931="","",IF('TMP Paste'!$B931="",$AJ930,'TMP Paste'!$B931))</f>
        <v/>
      </c>
      <c r="AK931">
        <f>IF('TMP Paste'!$F931="","",N('TMP Paste'!$G931))</f>
        <v/>
      </c>
      <c r="AL931">
        <f>IF('TMP Paste'!$F931="","",IF('TMP Paste'!$M931="",$AL930,'TMP Paste'!$M931))</f>
        <v/>
      </c>
      <c r="AM931">
        <f>IF('TMP Paste'!$F931="","",IF('TMP Paste'!$N931="",$AM930,'TMP Paste'!$N931))</f>
        <v/>
      </c>
      <c r="AN931">
        <f>IF('TMP Paste'!$F931="","",IF('TMP Paste'!$O931="",$AN930,'TMP Paste'!$O931))</f>
        <v/>
      </c>
      <c r="AO931">
        <f>IF('TMP Paste'!$F931="","",IF('TMP Paste'!$P931="",$AO930,'TMP Paste'!$P931))</f>
        <v/>
      </c>
      <c r="AP931">
        <f>IF($AG931="","",LEN($R931))</f>
        <v/>
      </c>
      <c r="AQ931">
        <f>IF($AG931="","",TRIM(IF(COUNTIFS(Calc!$B$2:$B$1601,ROW()-1,Calc!$C$2:$C$1601,"&lt;1")&gt;0,"Ada PO tanpa Koli - cek TMP. ","")&amp;IF(LEN($R931)&gt;500,"R &gt; 500 karakter.","")))</f>
        <v/>
      </c>
    </row>
    <row r="932">
      <c r="A932">
        <f>IF($AG932="","",INDEX('TMP Paste'!$B$2:$B$1601,$AG932))</f>
        <v/>
      </c>
      <c r="B932">
        <f>IF($AG932="","",Config!$B$14)</f>
        <v/>
      </c>
      <c r="C932">
        <f>IF($AG932="","",Config!$B$15)</f>
        <v/>
      </c>
      <c r="D932">
        <f>IF($AG932="","",INDEX('TMP Paste'!$B$2:$B$1601,$AG932))</f>
        <v/>
      </c>
      <c r="E932">
        <f>IF($AG932="","",Config!$B$27)</f>
        <v/>
      </c>
      <c r="F932">
        <f>IF($AG932="","",Config!$B$9)</f>
        <v/>
      </c>
      <c r="G932">
        <f>IF($AG932="","",Config!$B$10)</f>
        <v/>
      </c>
      <c r="H932">
        <f>IF($AG932="","",Config!$B$11)</f>
        <v/>
      </c>
      <c r="I932">
        <f>IF($AG932="","",Config!$B$16)</f>
        <v/>
      </c>
      <c r="J932">
        <f>IF($AG932="","",INDEX('TMP Paste'!$A$2:$A$1601,$AG932))</f>
        <v/>
      </c>
      <c r="K932">
        <f>IF($AG932="","",INDEX('TMP Paste'!$L$2:$L$1601,$AG932))</f>
        <v/>
      </c>
      <c r="L932">
        <f>IF($AG932="","",INDEX('TMP Paste'!$I$2:$I$1601,$AG932))</f>
        <v/>
      </c>
      <c r="M932">
        <f>IF($AG932="","",Config!$B$16)</f>
        <v/>
      </c>
      <c r="N932">
        <f>IF($AG932="","","")</f>
        <v/>
      </c>
      <c r="O932">
        <f>IF($AG932="","",INDEX('TMP Paste'!$K$2:$K$1601,$AG932))</f>
        <v/>
      </c>
      <c r="P932">
        <f>IF($AG932="","","")</f>
        <v/>
      </c>
      <c r="Q932">
        <f>IF($AG932="","",INDEX('TMP Paste'!$J$2:$J$1601,$AG932))</f>
        <v/>
      </c>
      <c r="R932">
        <f>IF($AG932="","",Config!$B$24)</f>
        <v/>
      </c>
      <c r="S932">
        <f>IF($AG932="","",TEXT(Config!$B$4,"yyyy-mm-dd"))</f>
        <v/>
      </c>
      <c r="T932">
        <f>IF($AG932="","",Config!$B$17)</f>
        <v/>
      </c>
      <c r="U932">
        <f>IF($AG932="","",Config!$B$18)</f>
        <v/>
      </c>
      <c r="V932">
        <f>IF($AG932="","",Config!$B$19)</f>
        <v/>
      </c>
      <c r="W932">
        <f>IF($AG932="","",INDEX('TMP Paste'!$C$2:$C$1601,$AG932))</f>
        <v/>
      </c>
      <c r="X932">
        <f>IF($AG932="","",Config!$B$29)</f>
        <v/>
      </c>
      <c r="Y932">
        <f>IF($AH932="","",INDEX(Calc!$I$2:$I$1601,$AH932)&amp;" - "&amp;INDEX(Calc!$D$2:$D$1601,$AH932)&amp;" koli")</f>
        <v/>
      </c>
      <c r="Z932">
        <f>IF($AG932="","",Config!$B$21)</f>
        <v/>
      </c>
      <c r="AA932">
        <f>IF($AG932="","",Config!$B$22)</f>
        <v/>
      </c>
      <c r="AB932">
        <f>IF($AH932="","",INDEX(Calc!$D$2:$D$1601,$AH932))</f>
        <v/>
      </c>
      <c r="AC932">
        <f>IF($AH932="","",INDEX(Calc!$G$2:$G$1601,$AH932))</f>
        <v/>
      </c>
      <c r="AD932">
        <f>IF($AG932="","",Config!$B$23)</f>
        <v/>
      </c>
      <c r="AE932">
        <f>IF($AG932="","",Config!$B$28)</f>
        <v/>
      </c>
      <c r="AG932">
        <f>IFERROR(MATCH(ROW()-1,Calc!$J$2:$J$1601,0),"")</f>
        <v/>
      </c>
      <c r="AH932">
        <f>IFERROR(MATCH(ROW()-1,Calc!$K$2:$K$1601,0),"")</f>
        <v/>
      </c>
      <c r="AI932">
        <f>IF($AG932="","",SUMIF($AG$2:$AG932,$AG932,$AH$2:$AH932))</f>
        <v/>
      </c>
      <c r="AJ932">
        <f>IF('TMP Paste'!$F932="","",IF('TMP Paste'!$B932="",$AJ931,'TMP Paste'!$B932))</f>
        <v/>
      </c>
      <c r="AK932">
        <f>IF('TMP Paste'!$F932="","",N('TMP Paste'!$G932))</f>
        <v/>
      </c>
      <c r="AL932">
        <f>IF('TMP Paste'!$F932="","",IF('TMP Paste'!$M932="",$AL931,'TMP Paste'!$M932))</f>
        <v/>
      </c>
      <c r="AM932">
        <f>IF('TMP Paste'!$F932="","",IF('TMP Paste'!$N932="",$AM931,'TMP Paste'!$N932))</f>
        <v/>
      </c>
      <c r="AN932">
        <f>IF('TMP Paste'!$F932="","",IF('TMP Paste'!$O932="",$AN931,'TMP Paste'!$O932))</f>
        <v/>
      </c>
      <c r="AO932">
        <f>IF('TMP Paste'!$F932="","",IF('TMP Paste'!$P932="",$AO931,'TMP Paste'!$P932))</f>
        <v/>
      </c>
      <c r="AP932">
        <f>IF($AG932="","",LEN($R932))</f>
        <v/>
      </c>
      <c r="AQ932">
        <f>IF($AG932="","",TRIM(IF(COUNTIFS(Calc!$B$2:$B$1601,ROW()-1,Calc!$C$2:$C$1601,"&lt;1")&gt;0,"Ada PO tanpa Koli - cek TMP. ","")&amp;IF(LEN($R932)&gt;500,"R &gt; 500 karakter.","")))</f>
        <v/>
      </c>
    </row>
    <row r="933">
      <c r="A933">
        <f>IF($AG933="","",INDEX('TMP Paste'!$B$2:$B$1601,$AG933))</f>
        <v/>
      </c>
      <c r="B933">
        <f>IF($AG933="","",Config!$B$14)</f>
        <v/>
      </c>
      <c r="C933">
        <f>IF($AG933="","",Config!$B$15)</f>
        <v/>
      </c>
      <c r="D933">
        <f>IF($AG933="","",INDEX('TMP Paste'!$B$2:$B$1601,$AG933))</f>
        <v/>
      </c>
      <c r="E933">
        <f>IF($AG933="","",Config!$B$27)</f>
        <v/>
      </c>
      <c r="F933">
        <f>IF($AG933="","",Config!$B$9)</f>
        <v/>
      </c>
      <c r="G933">
        <f>IF($AG933="","",Config!$B$10)</f>
        <v/>
      </c>
      <c r="H933">
        <f>IF($AG933="","",Config!$B$11)</f>
        <v/>
      </c>
      <c r="I933">
        <f>IF($AG933="","",Config!$B$16)</f>
        <v/>
      </c>
      <c r="J933">
        <f>IF($AG933="","",INDEX('TMP Paste'!$A$2:$A$1601,$AG933))</f>
        <v/>
      </c>
      <c r="K933">
        <f>IF($AG933="","",INDEX('TMP Paste'!$L$2:$L$1601,$AG933))</f>
        <v/>
      </c>
      <c r="L933">
        <f>IF($AG933="","",INDEX('TMP Paste'!$I$2:$I$1601,$AG933))</f>
        <v/>
      </c>
      <c r="M933">
        <f>IF($AG933="","",Config!$B$16)</f>
        <v/>
      </c>
      <c r="N933">
        <f>IF($AG933="","","")</f>
        <v/>
      </c>
      <c r="O933">
        <f>IF($AG933="","",INDEX('TMP Paste'!$K$2:$K$1601,$AG933))</f>
        <v/>
      </c>
      <c r="P933">
        <f>IF($AG933="","","")</f>
        <v/>
      </c>
      <c r="Q933">
        <f>IF($AG933="","",INDEX('TMP Paste'!$J$2:$J$1601,$AG933))</f>
        <v/>
      </c>
      <c r="R933">
        <f>IF($AG933="","",Config!$B$24)</f>
        <v/>
      </c>
      <c r="S933">
        <f>IF($AG933="","",TEXT(Config!$B$4,"yyyy-mm-dd"))</f>
        <v/>
      </c>
      <c r="T933">
        <f>IF($AG933="","",Config!$B$17)</f>
        <v/>
      </c>
      <c r="U933">
        <f>IF($AG933="","",Config!$B$18)</f>
        <v/>
      </c>
      <c r="V933">
        <f>IF($AG933="","",Config!$B$19)</f>
        <v/>
      </c>
      <c r="W933">
        <f>IF($AG933="","",INDEX('TMP Paste'!$C$2:$C$1601,$AG933))</f>
        <v/>
      </c>
      <c r="X933">
        <f>IF($AG933="","",Config!$B$29)</f>
        <v/>
      </c>
      <c r="Y933">
        <f>IF($AH933="","",INDEX(Calc!$I$2:$I$1601,$AH933)&amp;" - "&amp;INDEX(Calc!$D$2:$D$1601,$AH933)&amp;" koli")</f>
        <v/>
      </c>
      <c r="Z933">
        <f>IF($AG933="","",Config!$B$21)</f>
        <v/>
      </c>
      <c r="AA933">
        <f>IF($AG933="","",Config!$B$22)</f>
        <v/>
      </c>
      <c r="AB933">
        <f>IF($AH933="","",INDEX(Calc!$D$2:$D$1601,$AH933))</f>
        <v/>
      </c>
      <c r="AC933">
        <f>IF($AH933="","",INDEX(Calc!$G$2:$G$1601,$AH933))</f>
        <v/>
      </c>
      <c r="AD933">
        <f>IF($AG933="","",Config!$B$23)</f>
        <v/>
      </c>
      <c r="AE933">
        <f>IF($AG933="","",Config!$B$28)</f>
        <v/>
      </c>
      <c r="AG933">
        <f>IFERROR(MATCH(ROW()-1,Calc!$J$2:$J$1601,0),"")</f>
        <v/>
      </c>
      <c r="AH933">
        <f>IFERROR(MATCH(ROW()-1,Calc!$K$2:$K$1601,0),"")</f>
        <v/>
      </c>
      <c r="AI933">
        <f>IF($AG933="","",SUMIF($AG$2:$AG933,$AG933,$AH$2:$AH933))</f>
        <v/>
      </c>
      <c r="AJ933">
        <f>IF('TMP Paste'!$F933="","",IF('TMP Paste'!$B933="",$AJ932,'TMP Paste'!$B933))</f>
        <v/>
      </c>
      <c r="AK933">
        <f>IF('TMP Paste'!$F933="","",N('TMP Paste'!$G933))</f>
        <v/>
      </c>
      <c r="AL933">
        <f>IF('TMP Paste'!$F933="","",IF('TMP Paste'!$M933="",$AL932,'TMP Paste'!$M933))</f>
        <v/>
      </c>
      <c r="AM933">
        <f>IF('TMP Paste'!$F933="","",IF('TMP Paste'!$N933="",$AM932,'TMP Paste'!$N933))</f>
        <v/>
      </c>
      <c r="AN933">
        <f>IF('TMP Paste'!$F933="","",IF('TMP Paste'!$O933="",$AN932,'TMP Paste'!$O933))</f>
        <v/>
      </c>
      <c r="AO933">
        <f>IF('TMP Paste'!$F933="","",IF('TMP Paste'!$P933="",$AO932,'TMP Paste'!$P933))</f>
        <v/>
      </c>
      <c r="AP933">
        <f>IF($AG933="","",LEN($R933))</f>
        <v/>
      </c>
      <c r="AQ933">
        <f>IF($AG933="","",TRIM(IF(COUNTIFS(Calc!$B$2:$B$1601,ROW()-1,Calc!$C$2:$C$1601,"&lt;1")&gt;0,"Ada PO tanpa Koli - cek TMP. ","")&amp;IF(LEN($R933)&gt;500,"R &gt; 500 karakter.","")))</f>
        <v/>
      </c>
    </row>
    <row r="934">
      <c r="A934">
        <f>IF($AG934="","",INDEX('TMP Paste'!$B$2:$B$1601,$AG934))</f>
        <v/>
      </c>
      <c r="B934">
        <f>IF($AG934="","",Config!$B$14)</f>
        <v/>
      </c>
      <c r="C934">
        <f>IF($AG934="","",Config!$B$15)</f>
        <v/>
      </c>
      <c r="D934">
        <f>IF($AG934="","",INDEX('TMP Paste'!$B$2:$B$1601,$AG934))</f>
        <v/>
      </c>
      <c r="E934">
        <f>IF($AG934="","",Config!$B$27)</f>
        <v/>
      </c>
      <c r="F934">
        <f>IF($AG934="","",Config!$B$9)</f>
        <v/>
      </c>
      <c r="G934">
        <f>IF($AG934="","",Config!$B$10)</f>
        <v/>
      </c>
      <c r="H934">
        <f>IF($AG934="","",Config!$B$11)</f>
        <v/>
      </c>
      <c r="I934">
        <f>IF($AG934="","",Config!$B$16)</f>
        <v/>
      </c>
      <c r="J934">
        <f>IF($AG934="","",INDEX('TMP Paste'!$A$2:$A$1601,$AG934))</f>
        <v/>
      </c>
      <c r="K934">
        <f>IF($AG934="","",INDEX('TMP Paste'!$L$2:$L$1601,$AG934))</f>
        <v/>
      </c>
      <c r="L934">
        <f>IF($AG934="","",INDEX('TMP Paste'!$I$2:$I$1601,$AG934))</f>
        <v/>
      </c>
      <c r="M934">
        <f>IF($AG934="","",Config!$B$16)</f>
        <v/>
      </c>
      <c r="N934">
        <f>IF($AG934="","","")</f>
        <v/>
      </c>
      <c r="O934">
        <f>IF($AG934="","",INDEX('TMP Paste'!$K$2:$K$1601,$AG934))</f>
        <v/>
      </c>
      <c r="P934">
        <f>IF($AG934="","","")</f>
        <v/>
      </c>
      <c r="Q934">
        <f>IF($AG934="","",INDEX('TMP Paste'!$J$2:$J$1601,$AG934))</f>
        <v/>
      </c>
      <c r="R934">
        <f>IF($AG934="","",Config!$B$24)</f>
        <v/>
      </c>
      <c r="S934">
        <f>IF($AG934="","",TEXT(Config!$B$4,"yyyy-mm-dd"))</f>
        <v/>
      </c>
      <c r="T934">
        <f>IF($AG934="","",Config!$B$17)</f>
        <v/>
      </c>
      <c r="U934">
        <f>IF($AG934="","",Config!$B$18)</f>
        <v/>
      </c>
      <c r="V934">
        <f>IF($AG934="","",Config!$B$19)</f>
        <v/>
      </c>
      <c r="W934">
        <f>IF($AG934="","",INDEX('TMP Paste'!$C$2:$C$1601,$AG934))</f>
        <v/>
      </c>
      <c r="X934">
        <f>IF($AG934="","",Config!$B$29)</f>
        <v/>
      </c>
      <c r="Y934">
        <f>IF($AH934="","",INDEX(Calc!$I$2:$I$1601,$AH934)&amp;" - "&amp;INDEX(Calc!$D$2:$D$1601,$AH934)&amp;" koli")</f>
        <v/>
      </c>
      <c r="Z934">
        <f>IF($AG934="","",Config!$B$21)</f>
        <v/>
      </c>
      <c r="AA934">
        <f>IF($AG934="","",Config!$B$22)</f>
        <v/>
      </c>
      <c r="AB934">
        <f>IF($AH934="","",INDEX(Calc!$D$2:$D$1601,$AH934))</f>
        <v/>
      </c>
      <c r="AC934">
        <f>IF($AH934="","",INDEX(Calc!$G$2:$G$1601,$AH934))</f>
        <v/>
      </c>
      <c r="AD934">
        <f>IF($AG934="","",Config!$B$23)</f>
        <v/>
      </c>
      <c r="AE934">
        <f>IF($AG934="","",Config!$B$28)</f>
        <v/>
      </c>
      <c r="AG934">
        <f>IFERROR(MATCH(ROW()-1,Calc!$J$2:$J$1601,0),"")</f>
        <v/>
      </c>
      <c r="AH934">
        <f>IFERROR(MATCH(ROW()-1,Calc!$K$2:$K$1601,0),"")</f>
        <v/>
      </c>
      <c r="AI934">
        <f>IF($AG934="","",SUMIF($AG$2:$AG934,$AG934,$AH$2:$AH934))</f>
        <v/>
      </c>
      <c r="AJ934">
        <f>IF('TMP Paste'!$F934="","",IF('TMP Paste'!$B934="",$AJ933,'TMP Paste'!$B934))</f>
        <v/>
      </c>
      <c r="AK934">
        <f>IF('TMP Paste'!$F934="","",N('TMP Paste'!$G934))</f>
        <v/>
      </c>
      <c r="AL934">
        <f>IF('TMP Paste'!$F934="","",IF('TMP Paste'!$M934="",$AL933,'TMP Paste'!$M934))</f>
        <v/>
      </c>
      <c r="AM934">
        <f>IF('TMP Paste'!$F934="","",IF('TMP Paste'!$N934="",$AM933,'TMP Paste'!$N934))</f>
        <v/>
      </c>
      <c r="AN934">
        <f>IF('TMP Paste'!$F934="","",IF('TMP Paste'!$O934="",$AN933,'TMP Paste'!$O934))</f>
        <v/>
      </c>
      <c r="AO934">
        <f>IF('TMP Paste'!$F934="","",IF('TMP Paste'!$P934="",$AO933,'TMP Paste'!$P934))</f>
        <v/>
      </c>
      <c r="AP934">
        <f>IF($AG934="","",LEN($R934))</f>
        <v/>
      </c>
      <c r="AQ934">
        <f>IF($AG934="","",TRIM(IF(COUNTIFS(Calc!$B$2:$B$1601,ROW()-1,Calc!$C$2:$C$1601,"&lt;1")&gt;0,"Ada PO tanpa Koli - cek TMP. ","")&amp;IF(LEN($R934)&gt;500,"R &gt; 500 karakter.","")))</f>
        <v/>
      </c>
    </row>
    <row r="935">
      <c r="A935">
        <f>IF($AG935="","",INDEX('TMP Paste'!$B$2:$B$1601,$AG935))</f>
        <v/>
      </c>
      <c r="B935">
        <f>IF($AG935="","",Config!$B$14)</f>
        <v/>
      </c>
      <c r="C935">
        <f>IF($AG935="","",Config!$B$15)</f>
        <v/>
      </c>
      <c r="D935">
        <f>IF($AG935="","",INDEX('TMP Paste'!$B$2:$B$1601,$AG935))</f>
        <v/>
      </c>
      <c r="E935">
        <f>IF($AG935="","",Config!$B$27)</f>
        <v/>
      </c>
      <c r="F935">
        <f>IF($AG935="","",Config!$B$9)</f>
        <v/>
      </c>
      <c r="G935">
        <f>IF($AG935="","",Config!$B$10)</f>
        <v/>
      </c>
      <c r="H935">
        <f>IF($AG935="","",Config!$B$11)</f>
        <v/>
      </c>
      <c r="I935">
        <f>IF($AG935="","",Config!$B$16)</f>
        <v/>
      </c>
      <c r="J935">
        <f>IF($AG935="","",INDEX('TMP Paste'!$A$2:$A$1601,$AG935))</f>
        <v/>
      </c>
      <c r="K935">
        <f>IF($AG935="","",INDEX('TMP Paste'!$L$2:$L$1601,$AG935))</f>
        <v/>
      </c>
      <c r="L935">
        <f>IF($AG935="","",INDEX('TMP Paste'!$I$2:$I$1601,$AG935))</f>
        <v/>
      </c>
      <c r="M935">
        <f>IF($AG935="","",Config!$B$16)</f>
        <v/>
      </c>
      <c r="N935">
        <f>IF($AG935="","","")</f>
        <v/>
      </c>
      <c r="O935">
        <f>IF($AG935="","",INDEX('TMP Paste'!$K$2:$K$1601,$AG935))</f>
        <v/>
      </c>
      <c r="P935">
        <f>IF($AG935="","","")</f>
        <v/>
      </c>
      <c r="Q935">
        <f>IF($AG935="","",INDEX('TMP Paste'!$J$2:$J$1601,$AG935))</f>
        <v/>
      </c>
      <c r="R935">
        <f>IF($AG935="","",Config!$B$24)</f>
        <v/>
      </c>
      <c r="S935">
        <f>IF($AG935="","",TEXT(Config!$B$4,"yyyy-mm-dd"))</f>
        <v/>
      </c>
      <c r="T935">
        <f>IF($AG935="","",Config!$B$17)</f>
        <v/>
      </c>
      <c r="U935">
        <f>IF($AG935="","",Config!$B$18)</f>
        <v/>
      </c>
      <c r="V935">
        <f>IF($AG935="","",Config!$B$19)</f>
        <v/>
      </c>
      <c r="W935">
        <f>IF($AG935="","",INDEX('TMP Paste'!$C$2:$C$1601,$AG935))</f>
        <v/>
      </c>
      <c r="X935">
        <f>IF($AG935="","",Config!$B$29)</f>
        <v/>
      </c>
      <c r="Y935">
        <f>IF($AH935="","",INDEX(Calc!$I$2:$I$1601,$AH935)&amp;" - "&amp;INDEX(Calc!$D$2:$D$1601,$AH935)&amp;" koli")</f>
        <v/>
      </c>
      <c r="Z935">
        <f>IF($AG935="","",Config!$B$21)</f>
        <v/>
      </c>
      <c r="AA935">
        <f>IF($AG935="","",Config!$B$22)</f>
        <v/>
      </c>
      <c r="AB935">
        <f>IF($AH935="","",INDEX(Calc!$D$2:$D$1601,$AH935))</f>
        <v/>
      </c>
      <c r="AC935">
        <f>IF($AH935="","",INDEX(Calc!$G$2:$G$1601,$AH935))</f>
        <v/>
      </c>
      <c r="AD935">
        <f>IF($AG935="","",Config!$B$23)</f>
        <v/>
      </c>
      <c r="AE935">
        <f>IF($AG935="","",Config!$B$28)</f>
        <v/>
      </c>
      <c r="AG935">
        <f>IFERROR(MATCH(ROW()-1,Calc!$J$2:$J$1601,0),"")</f>
        <v/>
      </c>
      <c r="AH935">
        <f>IFERROR(MATCH(ROW()-1,Calc!$K$2:$K$1601,0),"")</f>
        <v/>
      </c>
      <c r="AI935">
        <f>IF($AG935="","",SUMIF($AG$2:$AG935,$AG935,$AH$2:$AH935))</f>
        <v/>
      </c>
      <c r="AJ935">
        <f>IF('TMP Paste'!$F935="","",IF('TMP Paste'!$B935="",$AJ934,'TMP Paste'!$B935))</f>
        <v/>
      </c>
      <c r="AK935">
        <f>IF('TMP Paste'!$F935="","",N('TMP Paste'!$G935))</f>
        <v/>
      </c>
      <c r="AL935">
        <f>IF('TMP Paste'!$F935="","",IF('TMP Paste'!$M935="",$AL934,'TMP Paste'!$M935))</f>
        <v/>
      </c>
      <c r="AM935">
        <f>IF('TMP Paste'!$F935="","",IF('TMP Paste'!$N935="",$AM934,'TMP Paste'!$N935))</f>
        <v/>
      </c>
      <c r="AN935">
        <f>IF('TMP Paste'!$F935="","",IF('TMP Paste'!$O935="",$AN934,'TMP Paste'!$O935))</f>
        <v/>
      </c>
      <c r="AO935">
        <f>IF('TMP Paste'!$F935="","",IF('TMP Paste'!$P935="",$AO934,'TMP Paste'!$P935))</f>
        <v/>
      </c>
      <c r="AP935">
        <f>IF($AG935="","",LEN($R935))</f>
        <v/>
      </c>
      <c r="AQ935">
        <f>IF($AG935="","",TRIM(IF(COUNTIFS(Calc!$B$2:$B$1601,ROW()-1,Calc!$C$2:$C$1601,"&lt;1")&gt;0,"Ada PO tanpa Koli - cek TMP. ","")&amp;IF(LEN($R935)&gt;500,"R &gt; 500 karakter.","")))</f>
        <v/>
      </c>
    </row>
    <row r="936">
      <c r="A936">
        <f>IF($AG936="","",INDEX('TMP Paste'!$B$2:$B$1601,$AG936))</f>
        <v/>
      </c>
      <c r="B936">
        <f>IF($AG936="","",Config!$B$14)</f>
        <v/>
      </c>
      <c r="C936">
        <f>IF($AG936="","",Config!$B$15)</f>
        <v/>
      </c>
      <c r="D936">
        <f>IF($AG936="","",INDEX('TMP Paste'!$B$2:$B$1601,$AG936))</f>
        <v/>
      </c>
      <c r="E936">
        <f>IF($AG936="","",Config!$B$27)</f>
        <v/>
      </c>
      <c r="F936">
        <f>IF($AG936="","",Config!$B$9)</f>
        <v/>
      </c>
      <c r="G936">
        <f>IF($AG936="","",Config!$B$10)</f>
        <v/>
      </c>
      <c r="H936">
        <f>IF($AG936="","",Config!$B$11)</f>
        <v/>
      </c>
      <c r="I936">
        <f>IF($AG936="","",Config!$B$16)</f>
        <v/>
      </c>
      <c r="J936">
        <f>IF($AG936="","",INDEX('TMP Paste'!$A$2:$A$1601,$AG936))</f>
        <v/>
      </c>
      <c r="K936">
        <f>IF($AG936="","",INDEX('TMP Paste'!$L$2:$L$1601,$AG936))</f>
        <v/>
      </c>
      <c r="L936">
        <f>IF($AG936="","",INDEX('TMP Paste'!$I$2:$I$1601,$AG936))</f>
        <v/>
      </c>
      <c r="M936">
        <f>IF($AG936="","",Config!$B$16)</f>
        <v/>
      </c>
      <c r="N936">
        <f>IF($AG936="","","")</f>
        <v/>
      </c>
      <c r="O936">
        <f>IF($AG936="","",INDEX('TMP Paste'!$K$2:$K$1601,$AG936))</f>
        <v/>
      </c>
      <c r="P936">
        <f>IF($AG936="","","")</f>
        <v/>
      </c>
      <c r="Q936">
        <f>IF($AG936="","",INDEX('TMP Paste'!$J$2:$J$1601,$AG936))</f>
        <v/>
      </c>
      <c r="R936">
        <f>IF($AG936="","",Config!$B$24)</f>
        <v/>
      </c>
      <c r="S936">
        <f>IF($AG936="","",TEXT(Config!$B$4,"yyyy-mm-dd"))</f>
        <v/>
      </c>
      <c r="T936">
        <f>IF($AG936="","",Config!$B$17)</f>
        <v/>
      </c>
      <c r="U936">
        <f>IF($AG936="","",Config!$B$18)</f>
        <v/>
      </c>
      <c r="V936">
        <f>IF($AG936="","",Config!$B$19)</f>
        <v/>
      </c>
      <c r="W936">
        <f>IF($AG936="","",INDEX('TMP Paste'!$C$2:$C$1601,$AG936))</f>
        <v/>
      </c>
      <c r="X936">
        <f>IF($AG936="","",Config!$B$29)</f>
        <v/>
      </c>
      <c r="Y936">
        <f>IF($AH936="","",INDEX(Calc!$I$2:$I$1601,$AH936)&amp;" - "&amp;INDEX(Calc!$D$2:$D$1601,$AH936)&amp;" koli")</f>
        <v/>
      </c>
      <c r="Z936">
        <f>IF($AG936="","",Config!$B$21)</f>
        <v/>
      </c>
      <c r="AA936">
        <f>IF($AG936="","",Config!$B$22)</f>
        <v/>
      </c>
      <c r="AB936">
        <f>IF($AH936="","",INDEX(Calc!$D$2:$D$1601,$AH936))</f>
        <v/>
      </c>
      <c r="AC936">
        <f>IF($AH936="","",INDEX(Calc!$G$2:$G$1601,$AH936))</f>
        <v/>
      </c>
      <c r="AD936">
        <f>IF($AG936="","",Config!$B$23)</f>
        <v/>
      </c>
      <c r="AE936">
        <f>IF($AG936="","",Config!$B$28)</f>
        <v/>
      </c>
      <c r="AG936">
        <f>IFERROR(MATCH(ROW()-1,Calc!$J$2:$J$1601,0),"")</f>
        <v/>
      </c>
      <c r="AH936">
        <f>IFERROR(MATCH(ROW()-1,Calc!$K$2:$K$1601,0),"")</f>
        <v/>
      </c>
      <c r="AI936">
        <f>IF($AG936="","",SUMIF($AG$2:$AG936,$AG936,$AH$2:$AH936))</f>
        <v/>
      </c>
      <c r="AJ936">
        <f>IF('TMP Paste'!$F936="","",IF('TMP Paste'!$B936="",$AJ935,'TMP Paste'!$B936))</f>
        <v/>
      </c>
      <c r="AK936">
        <f>IF('TMP Paste'!$F936="","",N('TMP Paste'!$G936))</f>
        <v/>
      </c>
      <c r="AL936">
        <f>IF('TMP Paste'!$F936="","",IF('TMP Paste'!$M936="",$AL935,'TMP Paste'!$M936))</f>
        <v/>
      </c>
      <c r="AM936">
        <f>IF('TMP Paste'!$F936="","",IF('TMP Paste'!$N936="",$AM935,'TMP Paste'!$N936))</f>
        <v/>
      </c>
      <c r="AN936">
        <f>IF('TMP Paste'!$F936="","",IF('TMP Paste'!$O936="",$AN935,'TMP Paste'!$O936))</f>
        <v/>
      </c>
      <c r="AO936">
        <f>IF('TMP Paste'!$F936="","",IF('TMP Paste'!$P936="",$AO935,'TMP Paste'!$P936))</f>
        <v/>
      </c>
      <c r="AP936">
        <f>IF($AG936="","",LEN($R936))</f>
        <v/>
      </c>
      <c r="AQ936">
        <f>IF($AG936="","",TRIM(IF(COUNTIFS(Calc!$B$2:$B$1601,ROW()-1,Calc!$C$2:$C$1601,"&lt;1")&gt;0,"Ada PO tanpa Koli - cek TMP. ","")&amp;IF(LEN($R936)&gt;500,"R &gt; 500 karakter.","")))</f>
        <v/>
      </c>
    </row>
    <row r="937">
      <c r="A937">
        <f>IF($AG937="","",INDEX('TMP Paste'!$B$2:$B$1601,$AG937))</f>
        <v/>
      </c>
      <c r="B937">
        <f>IF($AG937="","",Config!$B$14)</f>
        <v/>
      </c>
      <c r="C937">
        <f>IF($AG937="","",Config!$B$15)</f>
        <v/>
      </c>
      <c r="D937">
        <f>IF($AG937="","",INDEX('TMP Paste'!$B$2:$B$1601,$AG937))</f>
        <v/>
      </c>
      <c r="E937">
        <f>IF($AG937="","",Config!$B$27)</f>
        <v/>
      </c>
      <c r="F937">
        <f>IF($AG937="","",Config!$B$9)</f>
        <v/>
      </c>
      <c r="G937">
        <f>IF($AG937="","",Config!$B$10)</f>
        <v/>
      </c>
      <c r="H937">
        <f>IF($AG937="","",Config!$B$11)</f>
        <v/>
      </c>
      <c r="I937">
        <f>IF($AG937="","",Config!$B$16)</f>
        <v/>
      </c>
      <c r="J937">
        <f>IF($AG937="","",INDEX('TMP Paste'!$A$2:$A$1601,$AG937))</f>
        <v/>
      </c>
      <c r="K937">
        <f>IF($AG937="","",INDEX('TMP Paste'!$L$2:$L$1601,$AG937))</f>
        <v/>
      </c>
      <c r="L937">
        <f>IF($AG937="","",INDEX('TMP Paste'!$I$2:$I$1601,$AG937))</f>
        <v/>
      </c>
      <c r="M937">
        <f>IF($AG937="","",Config!$B$16)</f>
        <v/>
      </c>
      <c r="N937">
        <f>IF($AG937="","","")</f>
        <v/>
      </c>
      <c r="O937">
        <f>IF($AG937="","",INDEX('TMP Paste'!$K$2:$K$1601,$AG937))</f>
        <v/>
      </c>
      <c r="P937">
        <f>IF($AG937="","","")</f>
        <v/>
      </c>
      <c r="Q937">
        <f>IF($AG937="","",INDEX('TMP Paste'!$J$2:$J$1601,$AG937))</f>
        <v/>
      </c>
      <c r="R937">
        <f>IF($AG937="","",Config!$B$24)</f>
        <v/>
      </c>
      <c r="S937">
        <f>IF($AG937="","",TEXT(Config!$B$4,"yyyy-mm-dd"))</f>
        <v/>
      </c>
      <c r="T937">
        <f>IF($AG937="","",Config!$B$17)</f>
        <v/>
      </c>
      <c r="U937">
        <f>IF($AG937="","",Config!$B$18)</f>
        <v/>
      </c>
      <c r="V937">
        <f>IF($AG937="","",Config!$B$19)</f>
        <v/>
      </c>
      <c r="W937">
        <f>IF($AG937="","",INDEX('TMP Paste'!$C$2:$C$1601,$AG937))</f>
        <v/>
      </c>
      <c r="X937">
        <f>IF($AG937="","",Config!$B$29)</f>
        <v/>
      </c>
      <c r="Y937">
        <f>IF($AH937="","",INDEX(Calc!$I$2:$I$1601,$AH937)&amp;" - "&amp;INDEX(Calc!$D$2:$D$1601,$AH937)&amp;" koli")</f>
        <v/>
      </c>
      <c r="Z937">
        <f>IF($AG937="","",Config!$B$21)</f>
        <v/>
      </c>
      <c r="AA937">
        <f>IF($AG937="","",Config!$B$22)</f>
        <v/>
      </c>
      <c r="AB937">
        <f>IF($AH937="","",INDEX(Calc!$D$2:$D$1601,$AH937))</f>
        <v/>
      </c>
      <c r="AC937">
        <f>IF($AH937="","",INDEX(Calc!$G$2:$G$1601,$AH937))</f>
        <v/>
      </c>
      <c r="AD937">
        <f>IF($AG937="","",Config!$B$23)</f>
        <v/>
      </c>
      <c r="AE937">
        <f>IF($AG937="","",Config!$B$28)</f>
        <v/>
      </c>
      <c r="AG937">
        <f>IFERROR(MATCH(ROW()-1,Calc!$J$2:$J$1601,0),"")</f>
        <v/>
      </c>
      <c r="AH937">
        <f>IFERROR(MATCH(ROW()-1,Calc!$K$2:$K$1601,0),"")</f>
        <v/>
      </c>
      <c r="AI937">
        <f>IF($AG937="","",SUMIF($AG$2:$AG937,$AG937,$AH$2:$AH937))</f>
        <v/>
      </c>
      <c r="AJ937">
        <f>IF('TMP Paste'!$F937="","",IF('TMP Paste'!$B937="",$AJ936,'TMP Paste'!$B937))</f>
        <v/>
      </c>
      <c r="AK937">
        <f>IF('TMP Paste'!$F937="","",N('TMP Paste'!$G937))</f>
        <v/>
      </c>
      <c r="AL937">
        <f>IF('TMP Paste'!$F937="","",IF('TMP Paste'!$M937="",$AL936,'TMP Paste'!$M937))</f>
        <v/>
      </c>
      <c r="AM937">
        <f>IF('TMP Paste'!$F937="","",IF('TMP Paste'!$N937="",$AM936,'TMP Paste'!$N937))</f>
        <v/>
      </c>
      <c r="AN937">
        <f>IF('TMP Paste'!$F937="","",IF('TMP Paste'!$O937="",$AN936,'TMP Paste'!$O937))</f>
        <v/>
      </c>
      <c r="AO937">
        <f>IF('TMP Paste'!$F937="","",IF('TMP Paste'!$P937="",$AO936,'TMP Paste'!$P937))</f>
        <v/>
      </c>
      <c r="AP937">
        <f>IF($AG937="","",LEN($R937))</f>
        <v/>
      </c>
      <c r="AQ937">
        <f>IF($AG937="","",TRIM(IF(COUNTIFS(Calc!$B$2:$B$1601,ROW()-1,Calc!$C$2:$C$1601,"&lt;1")&gt;0,"Ada PO tanpa Koli - cek TMP. ","")&amp;IF(LEN($R937)&gt;500,"R &gt; 500 karakter.","")))</f>
        <v/>
      </c>
    </row>
    <row r="938">
      <c r="A938">
        <f>IF($AG938="","",INDEX('TMP Paste'!$B$2:$B$1601,$AG938))</f>
        <v/>
      </c>
      <c r="B938">
        <f>IF($AG938="","",Config!$B$14)</f>
        <v/>
      </c>
      <c r="C938">
        <f>IF($AG938="","",Config!$B$15)</f>
        <v/>
      </c>
      <c r="D938">
        <f>IF($AG938="","",INDEX('TMP Paste'!$B$2:$B$1601,$AG938))</f>
        <v/>
      </c>
      <c r="E938">
        <f>IF($AG938="","",Config!$B$27)</f>
        <v/>
      </c>
      <c r="F938">
        <f>IF($AG938="","",Config!$B$9)</f>
        <v/>
      </c>
      <c r="G938">
        <f>IF($AG938="","",Config!$B$10)</f>
        <v/>
      </c>
      <c r="H938">
        <f>IF($AG938="","",Config!$B$11)</f>
        <v/>
      </c>
      <c r="I938">
        <f>IF($AG938="","",Config!$B$16)</f>
        <v/>
      </c>
      <c r="J938">
        <f>IF($AG938="","",INDEX('TMP Paste'!$A$2:$A$1601,$AG938))</f>
        <v/>
      </c>
      <c r="K938">
        <f>IF($AG938="","",INDEX('TMP Paste'!$L$2:$L$1601,$AG938))</f>
        <v/>
      </c>
      <c r="L938">
        <f>IF($AG938="","",INDEX('TMP Paste'!$I$2:$I$1601,$AG938))</f>
        <v/>
      </c>
      <c r="M938">
        <f>IF($AG938="","",Config!$B$16)</f>
        <v/>
      </c>
      <c r="N938">
        <f>IF($AG938="","","")</f>
        <v/>
      </c>
      <c r="O938">
        <f>IF($AG938="","",INDEX('TMP Paste'!$K$2:$K$1601,$AG938))</f>
        <v/>
      </c>
      <c r="P938">
        <f>IF($AG938="","","")</f>
        <v/>
      </c>
      <c r="Q938">
        <f>IF($AG938="","",INDEX('TMP Paste'!$J$2:$J$1601,$AG938))</f>
        <v/>
      </c>
      <c r="R938">
        <f>IF($AG938="","",Config!$B$24)</f>
        <v/>
      </c>
      <c r="S938">
        <f>IF($AG938="","",TEXT(Config!$B$4,"yyyy-mm-dd"))</f>
        <v/>
      </c>
      <c r="T938">
        <f>IF($AG938="","",Config!$B$17)</f>
        <v/>
      </c>
      <c r="U938">
        <f>IF($AG938="","",Config!$B$18)</f>
        <v/>
      </c>
      <c r="V938">
        <f>IF($AG938="","",Config!$B$19)</f>
        <v/>
      </c>
      <c r="W938">
        <f>IF($AG938="","",INDEX('TMP Paste'!$C$2:$C$1601,$AG938))</f>
        <v/>
      </c>
      <c r="X938">
        <f>IF($AG938="","",Config!$B$29)</f>
        <v/>
      </c>
      <c r="Y938">
        <f>IF($AH938="","",INDEX(Calc!$I$2:$I$1601,$AH938)&amp;" - "&amp;INDEX(Calc!$D$2:$D$1601,$AH938)&amp;" koli")</f>
        <v/>
      </c>
      <c r="Z938">
        <f>IF($AG938="","",Config!$B$21)</f>
        <v/>
      </c>
      <c r="AA938">
        <f>IF($AG938="","",Config!$B$22)</f>
        <v/>
      </c>
      <c r="AB938">
        <f>IF($AH938="","",INDEX(Calc!$D$2:$D$1601,$AH938))</f>
        <v/>
      </c>
      <c r="AC938">
        <f>IF($AH938="","",INDEX(Calc!$G$2:$G$1601,$AH938))</f>
        <v/>
      </c>
      <c r="AD938">
        <f>IF($AG938="","",Config!$B$23)</f>
        <v/>
      </c>
      <c r="AE938">
        <f>IF($AG938="","",Config!$B$28)</f>
        <v/>
      </c>
      <c r="AG938">
        <f>IFERROR(MATCH(ROW()-1,Calc!$J$2:$J$1601,0),"")</f>
        <v/>
      </c>
      <c r="AH938">
        <f>IFERROR(MATCH(ROW()-1,Calc!$K$2:$K$1601,0),"")</f>
        <v/>
      </c>
      <c r="AI938">
        <f>IF($AG938="","",SUMIF($AG$2:$AG938,$AG938,$AH$2:$AH938))</f>
        <v/>
      </c>
      <c r="AJ938">
        <f>IF('TMP Paste'!$F938="","",IF('TMP Paste'!$B938="",$AJ937,'TMP Paste'!$B938))</f>
        <v/>
      </c>
      <c r="AK938">
        <f>IF('TMP Paste'!$F938="","",N('TMP Paste'!$G938))</f>
        <v/>
      </c>
      <c r="AL938">
        <f>IF('TMP Paste'!$F938="","",IF('TMP Paste'!$M938="",$AL937,'TMP Paste'!$M938))</f>
        <v/>
      </c>
      <c r="AM938">
        <f>IF('TMP Paste'!$F938="","",IF('TMP Paste'!$N938="",$AM937,'TMP Paste'!$N938))</f>
        <v/>
      </c>
      <c r="AN938">
        <f>IF('TMP Paste'!$F938="","",IF('TMP Paste'!$O938="",$AN937,'TMP Paste'!$O938))</f>
        <v/>
      </c>
      <c r="AO938">
        <f>IF('TMP Paste'!$F938="","",IF('TMP Paste'!$P938="",$AO937,'TMP Paste'!$P938))</f>
        <v/>
      </c>
      <c r="AP938">
        <f>IF($AG938="","",LEN($R938))</f>
        <v/>
      </c>
      <c r="AQ938">
        <f>IF($AG938="","",TRIM(IF(COUNTIFS(Calc!$B$2:$B$1601,ROW()-1,Calc!$C$2:$C$1601,"&lt;1")&gt;0,"Ada PO tanpa Koli - cek TMP. ","")&amp;IF(LEN($R938)&gt;500,"R &gt; 500 karakter.","")))</f>
        <v/>
      </c>
    </row>
    <row r="939">
      <c r="A939">
        <f>IF($AG939="","",INDEX('TMP Paste'!$B$2:$B$1601,$AG939))</f>
        <v/>
      </c>
      <c r="B939">
        <f>IF($AG939="","",Config!$B$14)</f>
        <v/>
      </c>
      <c r="C939">
        <f>IF($AG939="","",Config!$B$15)</f>
        <v/>
      </c>
      <c r="D939">
        <f>IF($AG939="","",INDEX('TMP Paste'!$B$2:$B$1601,$AG939))</f>
        <v/>
      </c>
      <c r="E939">
        <f>IF($AG939="","",Config!$B$27)</f>
        <v/>
      </c>
      <c r="F939">
        <f>IF($AG939="","",Config!$B$9)</f>
        <v/>
      </c>
      <c r="G939">
        <f>IF($AG939="","",Config!$B$10)</f>
        <v/>
      </c>
      <c r="H939">
        <f>IF($AG939="","",Config!$B$11)</f>
        <v/>
      </c>
      <c r="I939">
        <f>IF($AG939="","",Config!$B$16)</f>
        <v/>
      </c>
      <c r="J939">
        <f>IF($AG939="","",INDEX('TMP Paste'!$A$2:$A$1601,$AG939))</f>
        <v/>
      </c>
      <c r="K939">
        <f>IF($AG939="","",INDEX('TMP Paste'!$L$2:$L$1601,$AG939))</f>
        <v/>
      </c>
      <c r="L939">
        <f>IF($AG939="","",INDEX('TMP Paste'!$I$2:$I$1601,$AG939))</f>
        <v/>
      </c>
      <c r="M939">
        <f>IF($AG939="","",Config!$B$16)</f>
        <v/>
      </c>
      <c r="N939">
        <f>IF($AG939="","","")</f>
        <v/>
      </c>
      <c r="O939">
        <f>IF($AG939="","",INDEX('TMP Paste'!$K$2:$K$1601,$AG939))</f>
        <v/>
      </c>
      <c r="P939">
        <f>IF($AG939="","","")</f>
        <v/>
      </c>
      <c r="Q939">
        <f>IF($AG939="","",INDEX('TMP Paste'!$J$2:$J$1601,$AG939))</f>
        <v/>
      </c>
      <c r="R939">
        <f>IF($AG939="","",Config!$B$24)</f>
        <v/>
      </c>
      <c r="S939">
        <f>IF($AG939="","",TEXT(Config!$B$4,"yyyy-mm-dd"))</f>
        <v/>
      </c>
      <c r="T939">
        <f>IF($AG939="","",Config!$B$17)</f>
        <v/>
      </c>
      <c r="U939">
        <f>IF($AG939="","",Config!$B$18)</f>
        <v/>
      </c>
      <c r="V939">
        <f>IF($AG939="","",Config!$B$19)</f>
        <v/>
      </c>
      <c r="W939">
        <f>IF($AG939="","",INDEX('TMP Paste'!$C$2:$C$1601,$AG939))</f>
        <v/>
      </c>
      <c r="X939">
        <f>IF($AG939="","",Config!$B$29)</f>
        <v/>
      </c>
      <c r="Y939">
        <f>IF($AH939="","",INDEX(Calc!$I$2:$I$1601,$AH939)&amp;" - "&amp;INDEX(Calc!$D$2:$D$1601,$AH939)&amp;" koli")</f>
        <v/>
      </c>
      <c r="Z939">
        <f>IF($AG939="","",Config!$B$21)</f>
        <v/>
      </c>
      <c r="AA939">
        <f>IF($AG939="","",Config!$B$22)</f>
        <v/>
      </c>
      <c r="AB939">
        <f>IF($AH939="","",INDEX(Calc!$D$2:$D$1601,$AH939))</f>
        <v/>
      </c>
      <c r="AC939">
        <f>IF($AH939="","",INDEX(Calc!$G$2:$G$1601,$AH939))</f>
        <v/>
      </c>
      <c r="AD939">
        <f>IF($AG939="","",Config!$B$23)</f>
        <v/>
      </c>
      <c r="AE939">
        <f>IF($AG939="","",Config!$B$28)</f>
        <v/>
      </c>
      <c r="AG939">
        <f>IFERROR(MATCH(ROW()-1,Calc!$J$2:$J$1601,0),"")</f>
        <v/>
      </c>
      <c r="AH939">
        <f>IFERROR(MATCH(ROW()-1,Calc!$K$2:$K$1601,0),"")</f>
        <v/>
      </c>
      <c r="AI939">
        <f>IF($AG939="","",SUMIF($AG$2:$AG939,$AG939,$AH$2:$AH939))</f>
        <v/>
      </c>
      <c r="AJ939">
        <f>IF('TMP Paste'!$F939="","",IF('TMP Paste'!$B939="",$AJ938,'TMP Paste'!$B939))</f>
        <v/>
      </c>
      <c r="AK939">
        <f>IF('TMP Paste'!$F939="","",N('TMP Paste'!$G939))</f>
        <v/>
      </c>
      <c r="AL939">
        <f>IF('TMP Paste'!$F939="","",IF('TMP Paste'!$M939="",$AL938,'TMP Paste'!$M939))</f>
        <v/>
      </c>
      <c r="AM939">
        <f>IF('TMP Paste'!$F939="","",IF('TMP Paste'!$N939="",$AM938,'TMP Paste'!$N939))</f>
        <v/>
      </c>
      <c r="AN939">
        <f>IF('TMP Paste'!$F939="","",IF('TMP Paste'!$O939="",$AN938,'TMP Paste'!$O939))</f>
        <v/>
      </c>
      <c r="AO939">
        <f>IF('TMP Paste'!$F939="","",IF('TMP Paste'!$P939="",$AO938,'TMP Paste'!$P939))</f>
        <v/>
      </c>
      <c r="AP939">
        <f>IF($AG939="","",LEN($R939))</f>
        <v/>
      </c>
      <c r="AQ939">
        <f>IF($AG939="","",TRIM(IF(COUNTIFS(Calc!$B$2:$B$1601,ROW()-1,Calc!$C$2:$C$1601,"&lt;1")&gt;0,"Ada PO tanpa Koli - cek TMP. ","")&amp;IF(LEN($R939)&gt;500,"R &gt; 500 karakter.","")))</f>
        <v/>
      </c>
    </row>
    <row r="940">
      <c r="A940">
        <f>IF($AG940="","",INDEX('TMP Paste'!$B$2:$B$1601,$AG940))</f>
        <v/>
      </c>
      <c r="B940">
        <f>IF($AG940="","",Config!$B$14)</f>
        <v/>
      </c>
      <c r="C940">
        <f>IF($AG940="","",Config!$B$15)</f>
        <v/>
      </c>
      <c r="D940">
        <f>IF($AG940="","",INDEX('TMP Paste'!$B$2:$B$1601,$AG940))</f>
        <v/>
      </c>
      <c r="E940">
        <f>IF($AG940="","",Config!$B$27)</f>
        <v/>
      </c>
      <c r="F940">
        <f>IF($AG940="","",Config!$B$9)</f>
        <v/>
      </c>
      <c r="G940">
        <f>IF($AG940="","",Config!$B$10)</f>
        <v/>
      </c>
      <c r="H940">
        <f>IF($AG940="","",Config!$B$11)</f>
        <v/>
      </c>
      <c r="I940">
        <f>IF($AG940="","",Config!$B$16)</f>
        <v/>
      </c>
      <c r="J940">
        <f>IF($AG940="","",INDEX('TMP Paste'!$A$2:$A$1601,$AG940))</f>
        <v/>
      </c>
      <c r="K940">
        <f>IF($AG940="","",INDEX('TMP Paste'!$L$2:$L$1601,$AG940))</f>
        <v/>
      </c>
      <c r="L940">
        <f>IF($AG940="","",INDEX('TMP Paste'!$I$2:$I$1601,$AG940))</f>
        <v/>
      </c>
      <c r="M940">
        <f>IF($AG940="","",Config!$B$16)</f>
        <v/>
      </c>
      <c r="N940">
        <f>IF($AG940="","","")</f>
        <v/>
      </c>
      <c r="O940">
        <f>IF($AG940="","",INDEX('TMP Paste'!$K$2:$K$1601,$AG940))</f>
        <v/>
      </c>
      <c r="P940">
        <f>IF($AG940="","","")</f>
        <v/>
      </c>
      <c r="Q940">
        <f>IF($AG940="","",INDEX('TMP Paste'!$J$2:$J$1601,$AG940))</f>
        <v/>
      </c>
      <c r="R940">
        <f>IF($AG940="","",Config!$B$24)</f>
        <v/>
      </c>
      <c r="S940">
        <f>IF($AG940="","",TEXT(Config!$B$4,"yyyy-mm-dd"))</f>
        <v/>
      </c>
      <c r="T940">
        <f>IF($AG940="","",Config!$B$17)</f>
        <v/>
      </c>
      <c r="U940">
        <f>IF($AG940="","",Config!$B$18)</f>
        <v/>
      </c>
      <c r="V940">
        <f>IF($AG940="","",Config!$B$19)</f>
        <v/>
      </c>
      <c r="W940">
        <f>IF($AG940="","",INDEX('TMP Paste'!$C$2:$C$1601,$AG940))</f>
        <v/>
      </c>
      <c r="X940">
        <f>IF($AG940="","",Config!$B$29)</f>
        <v/>
      </c>
      <c r="Y940">
        <f>IF($AH940="","",INDEX(Calc!$I$2:$I$1601,$AH940)&amp;" - "&amp;INDEX(Calc!$D$2:$D$1601,$AH940)&amp;" koli")</f>
        <v/>
      </c>
      <c r="Z940">
        <f>IF($AG940="","",Config!$B$21)</f>
        <v/>
      </c>
      <c r="AA940">
        <f>IF($AG940="","",Config!$B$22)</f>
        <v/>
      </c>
      <c r="AB940">
        <f>IF($AH940="","",INDEX(Calc!$D$2:$D$1601,$AH940))</f>
        <v/>
      </c>
      <c r="AC940">
        <f>IF($AH940="","",INDEX(Calc!$G$2:$G$1601,$AH940))</f>
        <v/>
      </c>
      <c r="AD940">
        <f>IF($AG940="","",Config!$B$23)</f>
        <v/>
      </c>
      <c r="AE940">
        <f>IF($AG940="","",Config!$B$28)</f>
        <v/>
      </c>
      <c r="AG940">
        <f>IFERROR(MATCH(ROW()-1,Calc!$J$2:$J$1601,0),"")</f>
        <v/>
      </c>
      <c r="AH940">
        <f>IFERROR(MATCH(ROW()-1,Calc!$K$2:$K$1601,0),"")</f>
        <v/>
      </c>
      <c r="AI940">
        <f>IF($AG940="","",SUMIF($AG$2:$AG940,$AG940,$AH$2:$AH940))</f>
        <v/>
      </c>
      <c r="AJ940">
        <f>IF('TMP Paste'!$F940="","",IF('TMP Paste'!$B940="",$AJ939,'TMP Paste'!$B940))</f>
        <v/>
      </c>
      <c r="AK940">
        <f>IF('TMP Paste'!$F940="","",N('TMP Paste'!$G940))</f>
        <v/>
      </c>
      <c r="AL940">
        <f>IF('TMP Paste'!$F940="","",IF('TMP Paste'!$M940="",$AL939,'TMP Paste'!$M940))</f>
        <v/>
      </c>
      <c r="AM940">
        <f>IF('TMP Paste'!$F940="","",IF('TMP Paste'!$N940="",$AM939,'TMP Paste'!$N940))</f>
        <v/>
      </c>
      <c r="AN940">
        <f>IF('TMP Paste'!$F940="","",IF('TMP Paste'!$O940="",$AN939,'TMP Paste'!$O940))</f>
        <v/>
      </c>
      <c r="AO940">
        <f>IF('TMP Paste'!$F940="","",IF('TMP Paste'!$P940="",$AO939,'TMP Paste'!$P940))</f>
        <v/>
      </c>
      <c r="AP940">
        <f>IF($AG940="","",LEN($R940))</f>
        <v/>
      </c>
      <c r="AQ940">
        <f>IF($AG940="","",TRIM(IF(COUNTIFS(Calc!$B$2:$B$1601,ROW()-1,Calc!$C$2:$C$1601,"&lt;1")&gt;0,"Ada PO tanpa Koli - cek TMP. ","")&amp;IF(LEN($R940)&gt;500,"R &gt; 500 karakter.","")))</f>
        <v/>
      </c>
    </row>
    <row r="941">
      <c r="A941">
        <f>IF($AG941="","",INDEX('TMP Paste'!$B$2:$B$1601,$AG941))</f>
        <v/>
      </c>
      <c r="B941">
        <f>IF($AG941="","",Config!$B$14)</f>
        <v/>
      </c>
      <c r="C941">
        <f>IF($AG941="","",Config!$B$15)</f>
        <v/>
      </c>
      <c r="D941">
        <f>IF($AG941="","",INDEX('TMP Paste'!$B$2:$B$1601,$AG941))</f>
        <v/>
      </c>
      <c r="E941">
        <f>IF($AG941="","",Config!$B$27)</f>
        <v/>
      </c>
      <c r="F941">
        <f>IF($AG941="","",Config!$B$9)</f>
        <v/>
      </c>
      <c r="G941">
        <f>IF($AG941="","",Config!$B$10)</f>
        <v/>
      </c>
      <c r="H941">
        <f>IF($AG941="","",Config!$B$11)</f>
        <v/>
      </c>
      <c r="I941">
        <f>IF($AG941="","",Config!$B$16)</f>
        <v/>
      </c>
      <c r="J941">
        <f>IF($AG941="","",INDEX('TMP Paste'!$A$2:$A$1601,$AG941))</f>
        <v/>
      </c>
      <c r="K941">
        <f>IF($AG941="","",INDEX('TMP Paste'!$L$2:$L$1601,$AG941))</f>
        <v/>
      </c>
      <c r="L941">
        <f>IF($AG941="","",INDEX('TMP Paste'!$I$2:$I$1601,$AG941))</f>
        <v/>
      </c>
      <c r="M941">
        <f>IF($AG941="","",Config!$B$16)</f>
        <v/>
      </c>
      <c r="N941">
        <f>IF($AG941="","","")</f>
        <v/>
      </c>
      <c r="O941">
        <f>IF($AG941="","",INDEX('TMP Paste'!$K$2:$K$1601,$AG941))</f>
        <v/>
      </c>
      <c r="P941">
        <f>IF($AG941="","","")</f>
        <v/>
      </c>
      <c r="Q941">
        <f>IF($AG941="","",INDEX('TMP Paste'!$J$2:$J$1601,$AG941))</f>
        <v/>
      </c>
      <c r="R941">
        <f>IF($AG941="","",Config!$B$24)</f>
        <v/>
      </c>
      <c r="S941">
        <f>IF($AG941="","",TEXT(Config!$B$4,"yyyy-mm-dd"))</f>
        <v/>
      </c>
      <c r="T941">
        <f>IF($AG941="","",Config!$B$17)</f>
        <v/>
      </c>
      <c r="U941">
        <f>IF($AG941="","",Config!$B$18)</f>
        <v/>
      </c>
      <c r="V941">
        <f>IF($AG941="","",Config!$B$19)</f>
        <v/>
      </c>
      <c r="W941">
        <f>IF($AG941="","",INDEX('TMP Paste'!$C$2:$C$1601,$AG941))</f>
        <v/>
      </c>
      <c r="X941">
        <f>IF($AG941="","",Config!$B$29)</f>
        <v/>
      </c>
      <c r="Y941">
        <f>IF($AH941="","",INDEX(Calc!$I$2:$I$1601,$AH941)&amp;" - "&amp;INDEX(Calc!$D$2:$D$1601,$AH941)&amp;" koli")</f>
        <v/>
      </c>
      <c r="Z941">
        <f>IF($AG941="","",Config!$B$21)</f>
        <v/>
      </c>
      <c r="AA941">
        <f>IF($AG941="","",Config!$B$22)</f>
        <v/>
      </c>
      <c r="AB941">
        <f>IF($AH941="","",INDEX(Calc!$D$2:$D$1601,$AH941))</f>
        <v/>
      </c>
      <c r="AC941">
        <f>IF($AH941="","",INDEX(Calc!$G$2:$G$1601,$AH941))</f>
        <v/>
      </c>
      <c r="AD941">
        <f>IF($AG941="","",Config!$B$23)</f>
        <v/>
      </c>
      <c r="AE941">
        <f>IF($AG941="","",Config!$B$28)</f>
        <v/>
      </c>
      <c r="AG941">
        <f>IFERROR(MATCH(ROW()-1,Calc!$J$2:$J$1601,0),"")</f>
        <v/>
      </c>
      <c r="AH941">
        <f>IFERROR(MATCH(ROW()-1,Calc!$K$2:$K$1601,0),"")</f>
        <v/>
      </c>
      <c r="AI941">
        <f>IF($AG941="","",SUMIF($AG$2:$AG941,$AG941,$AH$2:$AH941))</f>
        <v/>
      </c>
      <c r="AJ941">
        <f>IF('TMP Paste'!$F941="","",IF('TMP Paste'!$B941="",$AJ940,'TMP Paste'!$B941))</f>
        <v/>
      </c>
      <c r="AK941">
        <f>IF('TMP Paste'!$F941="","",N('TMP Paste'!$G941))</f>
        <v/>
      </c>
      <c r="AL941">
        <f>IF('TMP Paste'!$F941="","",IF('TMP Paste'!$M941="",$AL940,'TMP Paste'!$M941))</f>
        <v/>
      </c>
      <c r="AM941">
        <f>IF('TMP Paste'!$F941="","",IF('TMP Paste'!$N941="",$AM940,'TMP Paste'!$N941))</f>
        <v/>
      </c>
      <c r="AN941">
        <f>IF('TMP Paste'!$F941="","",IF('TMP Paste'!$O941="",$AN940,'TMP Paste'!$O941))</f>
        <v/>
      </c>
      <c r="AO941">
        <f>IF('TMP Paste'!$F941="","",IF('TMP Paste'!$P941="",$AO940,'TMP Paste'!$P941))</f>
        <v/>
      </c>
      <c r="AP941">
        <f>IF($AG941="","",LEN($R941))</f>
        <v/>
      </c>
      <c r="AQ941">
        <f>IF($AG941="","",TRIM(IF(COUNTIFS(Calc!$B$2:$B$1601,ROW()-1,Calc!$C$2:$C$1601,"&lt;1")&gt;0,"Ada PO tanpa Koli - cek TMP. ","")&amp;IF(LEN($R941)&gt;500,"R &gt; 500 karakter.","")))</f>
        <v/>
      </c>
    </row>
    <row r="942">
      <c r="A942">
        <f>IF($AG942="","",INDEX('TMP Paste'!$B$2:$B$1601,$AG942))</f>
        <v/>
      </c>
      <c r="B942">
        <f>IF($AG942="","",Config!$B$14)</f>
        <v/>
      </c>
      <c r="C942">
        <f>IF($AG942="","",Config!$B$15)</f>
        <v/>
      </c>
      <c r="D942">
        <f>IF($AG942="","",INDEX('TMP Paste'!$B$2:$B$1601,$AG942))</f>
        <v/>
      </c>
      <c r="E942">
        <f>IF($AG942="","",Config!$B$27)</f>
        <v/>
      </c>
      <c r="F942">
        <f>IF($AG942="","",Config!$B$9)</f>
        <v/>
      </c>
      <c r="G942">
        <f>IF($AG942="","",Config!$B$10)</f>
        <v/>
      </c>
      <c r="H942">
        <f>IF($AG942="","",Config!$B$11)</f>
        <v/>
      </c>
      <c r="I942">
        <f>IF($AG942="","",Config!$B$16)</f>
        <v/>
      </c>
      <c r="J942">
        <f>IF($AG942="","",INDEX('TMP Paste'!$A$2:$A$1601,$AG942))</f>
        <v/>
      </c>
      <c r="K942">
        <f>IF($AG942="","",INDEX('TMP Paste'!$L$2:$L$1601,$AG942))</f>
        <v/>
      </c>
      <c r="L942">
        <f>IF($AG942="","",INDEX('TMP Paste'!$I$2:$I$1601,$AG942))</f>
        <v/>
      </c>
      <c r="M942">
        <f>IF($AG942="","",Config!$B$16)</f>
        <v/>
      </c>
      <c r="N942">
        <f>IF($AG942="","","")</f>
        <v/>
      </c>
      <c r="O942">
        <f>IF($AG942="","",INDEX('TMP Paste'!$K$2:$K$1601,$AG942))</f>
        <v/>
      </c>
      <c r="P942">
        <f>IF($AG942="","","")</f>
        <v/>
      </c>
      <c r="Q942">
        <f>IF($AG942="","",INDEX('TMP Paste'!$J$2:$J$1601,$AG942))</f>
        <v/>
      </c>
      <c r="R942">
        <f>IF($AG942="","",Config!$B$24)</f>
        <v/>
      </c>
      <c r="S942">
        <f>IF($AG942="","",TEXT(Config!$B$4,"yyyy-mm-dd"))</f>
        <v/>
      </c>
      <c r="T942">
        <f>IF($AG942="","",Config!$B$17)</f>
        <v/>
      </c>
      <c r="U942">
        <f>IF($AG942="","",Config!$B$18)</f>
        <v/>
      </c>
      <c r="V942">
        <f>IF($AG942="","",Config!$B$19)</f>
        <v/>
      </c>
      <c r="W942">
        <f>IF($AG942="","",INDEX('TMP Paste'!$C$2:$C$1601,$AG942))</f>
        <v/>
      </c>
      <c r="X942">
        <f>IF($AG942="","",Config!$B$29)</f>
        <v/>
      </c>
      <c r="Y942">
        <f>IF($AH942="","",INDEX(Calc!$I$2:$I$1601,$AH942)&amp;" - "&amp;INDEX(Calc!$D$2:$D$1601,$AH942)&amp;" koli")</f>
        <v/>
      </c>
      <c r="Z942">
        <f>IF($AG942="","",Config!$B$21)</f>
        <v/>
      </c>
      <c r="AA942">
        <f>IF($AG942="","",Config!$B$22)</f>
        <v/>
      </c>
      <c r="AB942">
        <f>IF($AH942="","",INDEX(Calc!$D$2:$D$1601,$AH942))</f>
        <v/>
      </c>
      <c r="AC942">
        <f>IF($AH942="","",INDEX(Calc!$G$2:$G$1601,$AH942))</f>
        <v/>
      </c>
      <c r="AD942">
        <f>IF($AG942="","",Config!$B$23)</f>
        <v/>
      </c>
      <c r="AE942">
        <f>IF($AG942="","",Config!$B$28)</f>
        <v/>
      </c>
      <c r="AG942">
        <f>IFERROR(MATCH(ROW()-1,Calc!$J$2:$J$1601,0),"")</f>
        <v/>
      </c>
      <c r="AH942">
        <f>IFERROR(MATCH(ROW()-1,Calc!$K$2:$K$1601,0),"")</f>
        <v/>
      </c>
      <c r="AI942">
        <f>IF($AG942="","",SUMIF($AG$2:$AG942,$AG942,$AH$2:$AH942))</f>
        <v/>
      </c>
      <c r="AJ942">
        <f>IF('TMP Paste'!$F942="","",IF('TMP Paste'!$B942="",$AJ941,'TMP Paste'!$B942))</f>
        <v/>
      </c>
      <c r="AK942">
        <f>IF('TMP Paste'!$F942="","",N('TMP Paste'!$G942))</f>
        <v/>
      </c>
      <c r="AL942">
        <f>IF('TMP Paste'!$F942="","",IF('TMP Paste'!$M942="",$AL941,'TMP Paste'!$M942))</f>
        <v/>
      </c>
      <c r="AM942">
        <f>IF('TMP Paste'!$F942="","",IF('TMP Paste'!$N942="",$AM941,'TMP Paste'!$N942))</f>
        <v/>
      </c>
      <c r="AN942">
        <f>IF('TMP Paste'!$F942="","",IF('TMP Paste'!$O942="",$AN941,'TMP Paste'!$O942))</f>
        <v/>
      </c>
      <c r="AO942">
        <f>IF('TMP Paste'!$F942="","",IF('TMP Paste'!$P942="",$AO941,'TMP Paste'!$P942))</f>
        <v/>
      </c>
      <c r="AP942">
        <f>IF($AG942="","",LEN($R942))</f>
        <v/>
      </c>
      <c r="AQ942">
        <f>IF($AG942="","",TRIM(IF(COUNTIFS(Calc!$B$2:$B$1601,ROW()-1,Calc!$C$2:$C$1601,"&lt;1")&gt;0,"Ada PO tanpa Koli - cek TMP. ","")&amp;IF(LEN($R942)&gt;500,"R &gt; 500 karakter.","")))</f>
        <v/>
      </c>
    </row>
    <row r="943">
      <c r="A943">
        <f>IF($AG943="","",INDEX('TMP Paste'!$B$2:$B$1601,$AG943))</f>
        <v/>
      </c>
      <c r="B943">
        <f>IF($AG943="","",Config!$B$14)</f>
        <v/>
      </c>
      <c r="C943">
        <f>IF($AG943="","",Config!$B$15)</f>
        <v/>
      </c>
      <c r="D943">
        <f>IF($AG943="","",INDEX('TMP Paste'!$B$2:$B$1601,$AG943))</f>
        <v/>
      </c>
      <c r="E943">
        <f>IF($AG943="","",Config!$B$27)</f>
        <v/>
      </c>
      <c r="F943">
        <f>IF($AG943="","",Config!$B$9)</f>
        <v/>
      </c>
      <c r="G943">
        <f>IF($AG943="","",Config!$B$10)</f>
        <v/>
      </c>
      <c r="H943">
        <f>IF($AG943="","",Config!$B$11)</f>
        <v/>
      </c>
      <c r="I943">
        <f>IF($AG943="","",Config!$B$16)</f>
        <v/>
      </c>
      <c r="J943">
        <f>IF($AG943="","",INDEX('TMP Paste'!$A$2:$A$1601,$AG943))</f>
        <v/>
      </c>
      <c r="K943">
        <f>IF($AG943="","",INDEX('TMP Paste'!$L$2:$L$1601,$AG943))</f>
        <v/>
      </c>
      <c r="L943">
        <f>IF($AG943="","",INDEX('TMP Paste'!$I$2:$I$1601,$AG943))</f>
        <v/>
      </c>
      <c r="M943">
        <f>IF($AG943="","",Config!$B$16)</f>
        <v/>
      </c>
      <c r="N943">
        <f>IF($AG943="","","")</f>
        <v/>
      </c>
      <c r="O943">
        <f>IF($AG943="","",INDEX('TMP Paste'!$K$2:$K$1601,$AG943))</f>
        <v/>
      </c>
      <c r="P943">
        <f>IF($AG943="","","")</f>
        <v/>
      </c>
      <c r="Q943">
        <f>IF($AG943="","",INDEX('TMP Paste'!$J$2:$J$1601,$AG943))</f>
        <v/>
      </c>
      <c r="R943">
        <f>IF($AG943="","",Config!$B$24)</f>
        <v/>
      </c>
      <c r="S943">
        <f>IF($AG943="","",TEXT(Config!$B$4,"yyyy-mm-dd"))</f>
        <v/>
      </c>
      <c r="T943">
        <f>IF($AG943="","",Config!$B$17)</f>
        <v/>
      </c>
      <c r="U943">
        <f>IF($AG943="","",Config!$B$18)</f>
        <v/>
      </c>
      <c r="V943">
        <f>IF($AG943="","",Config!$B$19)</f>
        <v/>
      </c>
      <c r="W943">
        <f>IF($AG943="","",INDEX('TMP Paste'!$C$2:$C$1601,$AG943))</f>
        <v/>
      </c>
      <c r="X943">
        <f>IF($AG943="","",Config!$B$29)</f>
        <v/>
      </c>
      <c r="Y943">
        <f>IF($AH943="","",INDEX(Calc!$I$2:$I$1601,$AH943)&amp;" - "&amp;INDEX(Calc!$D$2:$D$1601,$AH943)&amp;" koli")</f>
        <v/>
      </c>
      <c r="Z943">
        <f>IF($AG943="","",Config!$B$21)</f>
        <v/>
      </c>
      <c r="AA943">
        <f>IF($AG943="","",Config!$B$22)</f>
        <v/>
      </c>
      <c r="AB943">
        <f>IF($AH943="","",INDEX(Calc!$D$2:$D$1601,$AH943))</f>
        <v/>
      </c>
      <c r="AC943">
        <f>IF($AH943="","",INDEX(Calc!$G$2:$G$1601,$AH943))</f>
        <v/>
      </c>
      <c r="AD943">
        <f>IF($AG943="","",Config!$B$23)</f>
        <v/>
      </c>
      <c r="AE943">
        <f>IF($AG943="","",Config!$B$28)</f>
        <v/>
      </c>
      <c r="AG943">
        <f>IFERROR(MATCH(ROW()-1,Calc!$J$2:$J$1601,0),"")</f>
        <v/>
      </c>
      <c r="AH943">
        <f>IFERROR(MATCH(ROW()-1,Calc!$K$2:$K$1601,0),"")</f>
        <v/>
      </c>
      <c r="AI943">
        <f>IF($AG943="","",SUMIF($AG$2:$AG943,$AG943,$AH$2:$AH943))</f>
        <v/>
      </c>
      <c r="AJ943">
        <f>IF('TMP Paste'!$F943="","",IF('TMP Paste'!$B943="",$AJ942,'TMP Paste'!$B943))</f>
        <v/>
      </c>
      <c r="AK943">
        <f>IF('TMP Paste'!$F943="","",N('TMP Paste'!$G943))</f>
        <v/>
      </c>
      <c r="AL943">
        <f>IF('TMP Paste'!$F943="","",IF('TMP Paste'!$M943="",$AL942,'TMP Paste'!$M943))</f>
        <v/>
      </c>
      <c r="AM943">
        <f>IF('TMP Paste'!$F943="","",IF('TMP Paste'!$N943="",$AM942,'TMP Paste'!$N943))</f>
        <v/>
      </c>
      <c r="AN943">
        <f>IF('TMP Paste'!$F943="","",IF('TMP Paste'!$O943="",$AN942,'TMP Paste'!$O943))</f>
        <v/>
      </c>
      <c r="AO943">
        <f>IF('TMP Paste'!$F943="","",IF('TMP Paste'!$P943="",$AO942,'TMP Paste'!$P943))</f>
        <v/>
      </c>
      <c r="AP943">
        <f>IF($AG943="","",LEN($R943))</f>
        <v/>
      </c>
      <c r="AQ943">
        <f>IF($AG943="","",TRIM(IF(COUNTIFS(Calc!$B$2:$B$1601,ROW()-1,Calc!$C$2:$C$1601,"&lt;1")&gt;0,"Ada PO tanpa Koli - cek TMP. ","")&amp;IF(LEN($R943)&gt;500,"R &gt; 500 karakter.","")))</f>
        <v/>
      </c>
    </row>
    <row r="944">
      <c r="A944">
        <f>IF($AG944="","",INDEX('TMP Paste'!$B$2:$B$1601,$AG944))</f>
        <v/>
      </c>
      <c r="B944">
        <f>IF($AG944="","",Config!$B$14)</f>
        <v/>
      </c>
      <c r="C944">
        <f>IF($AG944="","",Config!$B$15)</f>
        <v/>
      </c>
      <c r="D944">
        <f>IF($AG944="","",INDEX('TMP Paste'!$B$2:$B$1601,$AG944))</f>
        <v/>
      </c>
      <c r="E944">
        <f>IF($AG944="","",Config!$B$27)</f>
        <v/>
      </c>
      <c r="F944">
        <f>IF($AG944="","",Config!$B$9)</f>
        <v/>
      </c>
      <c r="G944">
        <f>IF($AG944="","",Config!$B$10)</f>
        <v/>
      </c>
      <c r="H944">
        <f>IF($AG944="","",Config!$B$11)</f>
        <v/>
      </c>
      <c r="I944">
        <f>IF($AG944="","",Config!$B$16)</f>
        <v/>
      </c>
      <c r="J944">
        <f>IF($AG944="","",INDEX('TMP Paste'!$A$2:$A$1601,$AG944))</f>
        <v/>
      </c>
      <c r="K944">
        <f>IF($AG944="","",INDEX('TMP Paste'!$L$2:$L$1601,$AG944))</f>
        <v/>
      </c>
      <c r="L944">
        <f>IF($AG944="","",INDEX('TMP Paste'!$I$2:$I$1601,$AG944))</f>
        <v/>
      </c>
      <c r="M944">
        <f>IF($AG944="","",Config!$B$16)</f>
        <v/>
      </c>
      <c r="N944">
        <f>IF($AG944="","","")</f>
        <v/>
      </c>
      <c r="O944">
        <f>IF($AG944="","",INDEX('TMP Paste'!$K$2:$K$1601,$AG944))</f>
        <v/>
      </c>
      <c r="P944">
        <f>IF($AG944="","","")</f>
        <v/>
      </c>
      <c r="Q944">
        <f>IF($AG944="","",INDEX('TMP Paste'!$J$2:$J$1601,$AG944))</f>
        <v/>
      </c>
      <c r="R944">
        <f>IF($AG944="","",Config!$B$24)</f>
        <v/>
      </c>
      <c r="S944">
        <f>IF($AG944="","",TEXT(Config!$B$4,"yyyy-mm-dd"))</f>
        <v/>
      </c>
      <c r="T944">
        <f>IF($AG944="","",Config!$B$17)</f>
        <v/>
      </c>
      <c r="U944">
        <f>IF($AG944="","",Config!$B$18)</f>
        <v/>
      </c>
      <c r="V944">
        <f>IF($AG944="","",Config!$B$19)</f>
        <v/>
      </c>
      <c r="W944">
        <f>IF($AG944="","",INDEX('TMP Paste'!$C$2:$C$1601,$AG944))</f>
        <v/>
      </c>
      <c r="X944">
        <f>IF($AG944="","",Config!$B$29)</f>
        <v/>
      </c>
      <c r="Y944">
        <f>IF($AH944="","",INDEX(Calc!$I$2:$I$1601,$AH944)&amp;" - "&amp;INDEX(Calc!$D$2:$D$1601,$AH944)&amp;" koli")</f>
        <v/>
      </c>
      <c r="Z944">
        <f>IF($AG944="","",Config!$B$21)</f>
        <v/>
      </c>
      <c r="AA944">
        <f>IF($AG944="","",Config!$B$22)</f>
        <v/>
      </c>
      <c r="AB944">
        <f>IF($AH944="","",INDEX(Calc!$D$2:$D$1601,$AH944))</f>
        <v/>
      </c>
      <c r="AC944">
        <f>IF($AH944="","",INDEX(Calc!$G$2:$G$1601,$AH944))</f>
        <v/>
      </c>
      <c r="AD944">
        <f>IF($AG944="","",Config!$B$23)</f>
        <v/>
      </c>
      <c r="AE944">
        <f>IF($AG944="","",Config!$B$28)</f>
        <v/>
      </c>
      <c r="AG944">
        <f>IFERROR(MATCH(ROW()-1,Calc!$J$2:$J$1601,0),"")</f>
        <v/>
      </c>
      <c r="AH944">
        <f>IFERROR(MATCH(ROW()-1,Calc!$K$2:$K$1601,0),"")</f>
        <v/>
      </c>
      <c r="AI944">
        <f>IF($AG944="","",SUMIF($AG$2:$AG944,$AG944,$AH$2:$AH944))</f>
        <v/>
      </c>
      <c r="AJ944">
        <f>IF('TMP Paste'!$F944="","",IF('TMP Paste'!$B944="",$AJ943,'TMP Paste'!$B944))</f>
        <v/>
      </c>
      <c r="AK944">
        <f>IF('TMP Paste'!$F944="","",N('TMP Paste'!$G944))</f>
        <v/>
      </c>
      <c r="AL944">
        <f>IF('TMP Paste'!$F944="","",IF('TMP Paste'!$M944="",$AL943,'TMP Paste'!$M944))</f>
        <v/>
      </c>
      <c r="AM944">
        <f>IF('TMP Paste'!$F944="","",IF('TMP Paste'!$N944="",$AM943,'TMP Paste'!$N944))</f>
        <v/>
      </c>
      <c r="AN944">
        <f>IF('TMP Paste'!$F944="","",IF('TMP Paste'!$O944="",$AN943,'TMP Paste'!$O944))</f>
        <v/>
      </c>
      <c r="AO944">
        <f>IF('TMP Paste'!$F944="","",IF('TMP Paste'!$P944="",$AO943,'TMP Paste'!$P944))</f>
        <v/>
      </c>
      <c r="AP944">
        <f>IF($AG944="","",LEN($R944))</f>
        <v/>
      </c>
      <c r="AQ944">
        <f>IF($AG944="","",TRIM(IF(COUNTIFS(Calc!$B$2:$B$1601,ROW()-1,Calc!$C$2:$C$1601,"&lt;1")&gt;0,"Ada PO tanpa Koli - cek TMP. ","")&amp;IF(LEN($R944)&gt;500,"R &gt; 500 karakter.","")))</f>
        <v/>
      </c>
    </row>
    <row r="945">
      <c r="A945">
        <f>IF($AG945="","",INDEX('TMP Paste'!$B$2:$B$1601,$AG945))</f>
        <v/>
      </c>
      <c r="B945">
        <f>IF($AG945="","",Config!$B$14)</f>
        <v/>
      </c>
      <c r="C945">
        <f>IF($AG945="","",Config!$B$15)</f>
        <v/>
      </c>
      <c r="D945">
        <f>IF($AG945="","",INDEX('TMP Paste'!$B$2:$B$1601,$AG945))</f>
        <v/>
      </c>
      <c r="E945">
        <f>IF($AG945="","",Config!$B$27)</f>
        <v/>
      </c>
      <c r="F945">
        <f>IF($AG945="","",Config!$B$9)</f>
        <v/>
      </c>
      <c r="G945">
        <f>IF($AG945="","",Config!$B$10)</f>
        <v/>
      </c>
      <c r="H945">
        <f>IF($AG945="","",Config!$B$11)</f>
        <v/>
      </c>
      <c r="I945">
        <f>IF($AG945="","",Config!$B$16)</f>
        <v/>
      </c>
      <c r="J945">
        <f>IF($AG945="","",INDEX('TMP Paste'!$A$2:$A$1601,$AG945))</f>
        <v/>
      </c>
      <c r="K945">
        <f>IF($AG945="","",INDEX('TMP Paste'!$L$2:$L$1601,$AG945))</f>
        <v/>
      </c>
      <c r="L945">
        <f>IF($AG945="","",INDEX('TMP Paste'!$I$2:$I$1601,$AG945))</f>
        <v/>
      </c>
      <c r="M945">
        <f>IF($AG945="","",Config!$B$16)</f>
        <v/>
      </c>
      <c r="N945">
        <f>IF($AG945="","","")</f>
        <v/>
      </c>
      <c r="O945">
        <f>IF($AG945="","",INDEX('TMP Paste'!$K$2:$K$1601,$AG945))</f>
        <v/>
      </c>
      <c r="P945">
        <f>IF($AG945="","","")</f>
        <v/>
      </c>
      <c r="Q945">
        <f>IF($AG945="","",INDEX('TMP Paste'!$J$2:$J$1601,$AG945))</f>
        <v/>
      </c>
      <c r="R945">
        <f>IF($AG945="","",Config!$B$24)</f>
        <v/>
      </c>
      <c r="S945">
        <f>IF($AG945="","",TEXT(Config!$B$4,"yyyy-mm-dd"))</f>
        <v/>
      </c>
      <c r="T945">
        <f>IF($AG945="","",Config!$B$17)</f>
        <v/>
      </c>
      <c r="U945">
        <f>IF($AG945="","",Config!$B$18)</f>
        <v/>
      </c>
      <c r="V945">
        <f>IF($AG945="","",Config!$B$19)</f>
        <v/>
      </c>
      <c r="W945">
        <f>IF($AG945="","",INDEX('TMP Paste'!$C$2:$C$1601,$AG945))</f>
        <v/>
      </c>
      <c r="X945">
        <f>IF($AG945="","",Config!$B$29)</f>
        <v/>
      </c>
      <c r="Y945">
        <f>IF($AH945="","",INDEX(Calc!$I$2:$I$1601,$AH945)&amp;" - "&amp;INDEX(Calc!$D$2:$D$1601,$AH945)&amp;" koli")</f>
        <v/>
      </c>
      <c r="Z945">
        <f>IF($AG945="","",Config!$B$21)</f>
        <v/>
      </c>
      <c r="AA945">
        <f>IF($AG945="","",Config!$B$22)</f>
        <v/>
      </c>
      <c r="AB945">
        <f>IF($AH945="","",INDEX(Calc!$D$2:$D$1601,$AH945))</f>
        <v/>
      </c>
      <c r="AC945">
        <f>IF($AH945="","",INDEX(Calc!$G$2:$G$1601,$AH945))</f>
        <v/>
      </c>
      <c r="AD945">
        <f>IF($AG945="","",Config!$B$23)</f>
        <v/>
      </c>
      <c r="AE945">
        <f>IF($AG945="","",Config!$B$28)</f>
        <v/>
      </c>
      <c r="AG945">
        <f>IFERROR(MATCH(ROW()-1,Calc!$J$2:$J$1601,0),"")</f>
        <v/>
      </c>
      <c r="AH945">
        <f>IFERROR(MATCH(ROW()-1,Calc!$K$2:$K$1601,0),"")</f>
        <v/>
      </c>
      <c r="AI945">
        <f>IF($AG945="","",SUMIF($AG$2:$AG945,$AG945,$AH$2:$AH945))</f>
        <v/>
      </c>
      <c r="AJ945">
        <f>IF('TMP Paste'!$F945="","",IF('TMP Paste'!$B945="",$AJ944,'TMP Paste'!$B945))</f>
        <v/>
      </c>
      <c r="AK945">
        <f>IF('TMP Paste'!$F945="","",N('TMP Paste'!$G945))</f>
        <v/>
      </c>
      <c r="AL945">
        <f>IF('TMP Paste'!$F945="","",IF('TMP Paste'!$M945="",$AL944,'TMP Paste'!$M945))</f>
        <v/>
      </c>
      <c r="AM945">
        <f>IF('TMP Paste'!$F945="","",IF('TMP Paste'!$N945="",$AM944,'TMP Paste'!$N945))</f>
        <v/>
      </c>
      <c r="AN945">
        <f>IF('TMP Paste'!$F945="","",IF('TMP Paste'!$O945="",$AN944,'TMP Paste'!$O945))</f>
        <v/>
      </c>
      <c r="AO945">
        <f>IF('TMP Paste'!$F945="","",IF('TMP Paste'!$P945="",$AO944,'TMP Paste'!$P945))</f>
        <v/>
      </c>
      <c r="AP945">
        <f>IF($AG945="","",LEN($R945))</f>
        <v/>
      </c>
      <c r="AQ945">
        <f>IF($AG945="","",TRIM(IF(COUNTIFS(Calc!$B$2:$B$1601,ROW()-1,Calc!$C$2:$C$1601,"&lt;1")&gt;0,"Ada PO tanpa Koli - cek TMP. ","")&amp;IF(LEN($R945)&gt;500,"R &gt; 500 karakter.","")))</f>
        <v/>
      </c>
    </row>
    <row r="946">
      <c r="A946">
        <f>IF($AG946="","",INDEX('TMP Paste'!$B$2:$B$1601,$AG946))</f>
        <v/>
      </c>
      <c r="B946">
        <f>IF($AG946="","",Config!$B$14)</f>
        <v/>
      </c>
      <c r="C946">
        <f>IF($AG946="","",Config!$B$15)</f>
        <v/>
      </c>
      <c r="D946">
        <f>IF($AG946="","",INDEX('TMP Paste'!$B$2:$B$1601,$AG946))</f>
        <v/>
      </c>
      <c r="E946">
        <f>IF($AG946="","",Config!$B$27)</f>
        <v/>
      </c>
      <c r="F946">
        <f>IF($AG946="","",Config!$B$9)</f>
        <v/>
      </c>
      <c r="G946">
        <f>IF($AG946="","",Config!$B$10)</f>
        <v/>
      </c>
      <c r="H946">
        <f>IF($AG946="","",Config!$B$11)</f>
        <v/>
      </c>
      <c r="I946">
        <f>IF($AG946="","",Config!$B$16)</f>
        <v/>
      </c>
      <c r="J946">
        <f>IF($AG946="","",INDEX('TMP Paste'!$A$2:$A$1601,$AG946))</f>
        <v/>
      </c>
      <c r="K946">
        <f>IF($AG946="","",INDEX('TMP Paste'!$L$2:$L$1601,$AG946))</f>
        <v/>
      </c>
      <c r="L946">
        <f>IF($AG946="","",INDEX('TMP Paste'!$I$2:$I$1601,$AG946))</f>
        <v/>
      </c>
      <c r="M946">
        <f>IF($AG946="","",Config!$B$16)</f>
        <v/>
      </c>
      <c r="N946">
        <f>IF($AG946="","","")</f>
        <v/>
      </c>
      <c r="O946">
        <f>IF($AG946="","",INDEX('TMP Paste'!$K$2:$K$1601,$AG946))</f>
        <v/>
      </c>
      <c r="P946">
        <f>IF($AG946="","","")</f>
        <v/>
      </c>
      <c r="Q946">
        <f>IF($AG946="","",INDEX('TMP Paste'!$J$2:$J$1601,$AG946))</f>
        <v/>
      </c>
      <c r="R946">
        <f>IF($AG946="","",Config!$B$24)</f>
        <v/>
      </c>
      <c r="S946">
        <f>IF($AG946="","",TEXT(Config!$B$4,"yyyy-mm-dd"))</f>
        <v/>
      </c>
      <c r="T946">
        <f>IF($AG946="","",Config!$B$17)</f>
        <v/>
      </c>
      <c r="U946">
        <f>IF($AG946="","",Config!$B$18)</f>
        <v/>
      </c>
      <c r="V946">
        <f>IF($AG946="","",Config!$B$19)</f>
        <v/>
      </c>
      <c r="W946">
        <f>IF($AG946="","",INDEX('TMP Paste'!$C$2:$C$1601,$AG946))</f>
        <v/>
      </c>
      <c r="X946">
        <f>IF($AG946="","",Config!$B$29)</f>
        <v/>
      </c>
      <c r="Y946">
        <f>IF($AH946="","",INDEX(Calc!$I$2:$I$1601,$AH946)&amp;" - "&amp;INDEX(Calc!$D$2:$D$1601,$AH946)&amp;" koli")</f>
        <v/>
      </c>
      <c r="Z946">
        <f>IF($AG946="","",Config!$B$21)</f>
        <v/>
      </c>
      <c r="AA946">
        <f>IF($AG946="","",Config!$B$22)</f>
        <v/>
      </c>
      <c r="AB946">
        <f>IF($AH946="","",INDEX(Calc!$D$2:$D$1601,$AH946))</f>
        <v/>
      </c>
      <c r="AC946">
        <f>IF($AH946="","",INDEX(Calc!$G$2:$G$1601,$AH946))</f>
        <v/>
      </c>
      <c r="AD946">
        <f>IF($AG946="","",Config!$B$23)</f>
        <v/>
      </c>
      <c r="AE946">
        <f>IF($AG946="","",Config!$B$28)</f>
        <v/>
      </c>
      <c r="AG946">
        <f>IFERROR(MATCH(ROW()-1,Calc!$J$2:$J$1601,0),"")</f>
        <v/>
      </c>
      <c r="AH946">
        <f>IFERROR(MATCH(ROW()-1,Calc!$K$2:$K$1601,0),"")</f>
        <v/>
      </c>
      <c r="AI946">
        <f>IF($AG946="","",SUMIF($AG$2:$AG946,$AG946,$AH$2:$AH946))</f>
        <v/>
      </c>
      <c r="AJ946">
        <f>IF('TMP Paste'!$F946="","",IF('TMP Paste'!$B946="",$AJ945,'TMP Paste'!$B946))</f>
        <v/>
      </c>
      <c r="AK946">
        <f>IF('TMP Paste'!$F946="","",N('TMP Paste'!$G946))</f>
        <v/>
      </c>
      <c r="AL946">
        <f>IF('TMP Paste'!$F946="","",IF('TMP Paste'!$M946="",$AL945,'TMP Paste'!$M946))</f>
        <v/>
      </c>
      <c r="AM946">
        <f>IF('TMP Paste'!$F946="","",IF('TMP Paste'!$N946="",$AM945,'TMP Paste'!$N946))</f>
        <v/>
      </c>
      <c r="AN946">
        <f>IF('TMP Paste'!$F946="","",IF('TMP Paste'!$O946="",$AN945,'TMP Paste'!$O946))</f>
        <v/>
      </c>
      <c r="AO946">
        <f>IF('TMP Paste'!$F946="","",IF('TMP Paste'!$P946="",$AO945,'TMP Paste'!$P946))</f>
        <v/>
      </c>
      <c r="AP946">
        <f>IF($AG946="","",LEN($R946))</f>
        <v/>
      </c>
      <c r="AQ946">
        <f>IF($AG946="","",TRIM(IF(COUNTIFS(Calc!$B$2:$B$1601,ROW()-1,Calc!$C$2:$C$1601,"&lt;1")&gt;0,"Ada PO tanpa Koli - cek TMP. ","")&amp;IF(LEN($R946)&gt;500,"R &gt; 500 karakter.","")))</f>
        <v/>
      </c>
    </row>
    <row r="947">
      <c r="A947">
        <f>IF($AG947="","",INDEX('TMP Paste'!$B$2:$B$1601,$AG947))</f>
        <v/>
      </c>
      <c r="B947">
        <f>IF($AG947="","",Config!$B$14)</f>
        <v/>
      </c>
      <c r="C947">
        <f>IF($AG947="","",Config!$B$15)</f>
        <v/>
      </c>
      <c r="D947">
        <f>IF($AG947="","",INDEX('TMP Paste'!$B$2:$B$1601,$AG947))</f>
        <v/>
      </c>
      <c r="E947">
        <f>IF($AG947="","",Config!$B$27)</f>
        <v/>
      </c>
      <c r="F947">
        <f>IF($AG947="","",Config!$B$9)</f>
        <v/>
      </c>
      <c r="G947">
        <f>IF($AG947="","",Config!$B$10)</f>
        <v/>
      </c>
      <c r="H947">
        <f>IF($AG947="","",Config!$B$11)</f>
        <v/>
      </c>
      <c r="I947">
        <f>IF($AG947="","",Config!$B$16)</f>
        <v/>
      </c>
      <c r="J947">
        <f>IF($AG947="","",INDEX('TMP Paste'!$A$2:$A$1601,$AG947))</f>
        <v/>
      </c>
      <c r="K947">
        <f>IF($AG947="","",INDEX('TMP Paste'!$L$2:$L$1601,$AG947))</f>
        <v/>
      </c>
      <c r="L947">
        <f>IF($AG947="","",INDEX('TMP Paste'!$I$2:$I$1601,$AG947))</f>
        <v/>
      </c>
      <c r="M947">
        <f>IF($AG947="","",Config!$B$16)</f>
        <v/>
      </c>
      <c r="N947">
        <f>IF($AG947="","","")</f>
        <v/>
      </c>
      <c r="O947">
        <f>IF($AG947="","",INDEX('TMP Paste'!$K$2:$K$1601,$AG947))</f>
        <v/>
      </c>
      <c r="P947">
        <f>IF($AG947="","","")</f>
        <v/>
      </c>
      <c r="Q947">
        <f>IF($AG947="","",INDEX('TMP Paste'!$J$2:$J$1601,$AG947))</f>
        <v/>
      </c>
      <c r="R947">
        <f>IF($AG947="","",Config!$B$24)</f>
        <v/>
      </c>
      <c r="S947">
        <f>IF($AG947="","",TEXT(Config!$B$4,"yyyy-mm-dd"))</f>
        <v/>
      </c>
      <c r="T947">
        <f>IF($AG947="","",Config!$B$17)</f>
        <v/>
      </c>
      <c r="U947">
        <f>IF($AG947="","",Config!$B$18)</f>
        <v/>
      </c>
      <c r="V947">
        <f>IF($AG947="","",Config!$B$19)</f>
        <v/>
      </c>
      <c r="W947">
        <f>IF($AG947="","",INDEX('TMP Paste'!$C$2:$C$1601,$AG947))</f>
        <v/>
      </c>
      <c r="X947">
        <f>IF($AG947="","",Config!$B$29)</f>
        <v/>
      </c>
      <c r="Y947">
        <f>IF($AH947="","",INDEX(Calc!$I$2:$I$1601,$AH947)&amp;" - "&amp;INDEX(Calc!$D$2:$D$1601,$AH947)&amp;" koli")</f>
        <v/>
      </c>
      <c r="Z947">
        <f>IF($AG947="","",Config!$B$21)</f>
        <v/>
      </c>
      <c r="AA947">
        <f>IF($AG947="","",Config!$B$22)</f>
        <v/>
      </c>
      <c r="AB947">
        <f>IF($AH947="","",INDEX(Calc!$D$2:$D$1601,$AH947))</f>
        <v/>
      </c>
      <c r="AC947">
        <f>IF($AH947="","",INDEX(Calc!$G$2:$G$1601,$AH947))</f>
        <v/>
      </c>
      <c r="AD947">
        <f>IF($AG947="","",Config!$B$23)</f>
        <v/>
      </c>
      <c r="AE947">
        <f>IF($AG947="","",Config!$B$28)</f>
        <v/>
      </c>
      <c r="AG947">
        <f>IFERROR(MATCH(ROW()-1,Calc!$J$2:$J$1601,0),"")</f>
        <v/>
      </c>
      <c r="AH947">
        <f>IFERROR(MATCH(ROW()-1,Calc!$K$2:$K$1601,0),"")</f>
        <v/>
      </c>
      <c r="AI947">
        <f>IF($AG947="","",SUMIF($AG$2:$AG947,$AG947,$AH$2:$AH947))</f>
        <v/>
      </c>
      <c r="AJ947">
        <f>IF('TMP Paste'!$F947="","",IF('TMP Paste'!$B947="",$AJ946,'TMP Paste'!$B947))</f>
        <v/>
      </c>
      <c r="AK947">
        <f>IF('TMP Paste'!$F947="","",N('TMP Paste'!$G947))</f>
        <v/>
      </c>
      <c r="AL947">
        <f>IF('TMP Paste'!$F947="","",IF('TMP Paste'!$M947="",$AL946,'TMP Paste'!$M947))</f>
        <v/>
      </c>
      <c r="AM947">
        <f>IF('TMP Paste'!$F947="","",IF('TMP Paste'!$N947="",$AM946,'TMP Paste'!$N947))</f>
        <v/>
      </c>
      <c r="AN947">
        <f>IF('TMP Paste'!$F947="","",IF('TMP Paste'!$O947="",$AN946,'TMP Paste'!$O947))</f>
        <v/>
      </c>
      <c r="AO947">
        <f>IF('TMP Paste'!$F947="","",IF('TMP Paste'!$P947="",$AO946,'TMP Paste'!$P947))</f>
        <v/>
      </c>
      <c r="AP947">
        <f>IF($AG947="","",LEN($R947))</f>
        <v/>
      </c>
      <c r="AQ947">
        <f>IF($AG947="","",TRIM(IF(COUNTIFS(Calc!$B$2:$B$1601,ROW()-1,Calc!$C$2:$C$1601,"&lt;1")&gt;0,"Ada PO tanpa Koli - cek TMP. ","")&amp;IF(LEN($R947)&gt;500,"R &gt; 500 karakter.","")))</f>
        <v/>
      </c>
    </row>
    <row r="948">
      <c r="A948">
        <f>IF($AG948="","",INDEX('TMP Paste'!$B$2:$B$1601,$AG948))</f>
        <v/>
      </c>
      <c r="B948">
        <f>IF($AG948="","",Config!$B$14)</f>
        <v/>
      </c>
      <c r="C948">
        <f>IF($AG948="","",Config!$B$15)</f>
        <v/>
      </c>
      <c r="D948">
        <f>IF($AG948="","",INDEX('TMP Paste'!$B$2:$B$1601,$AG948))</f>
        <v/>
      </c>
      <c r="E948">
        <f>IF($AG948="","",Config!$B$27)</f>
        <v/>
      </c>
      <c r="F948">
        <f>IF($AG948="","",Config!$B$9)</f>
        <v/>
      </c>
      <c r="G948">
        <f>IF($AG948="","",Config!$B$10)</f>
        <v/>
      </c>
      <c r="H948">
        <f>IF($AG948="","",Config!$B$11)</f>
        <v/>
      </c>
      <c r="I948">
        <f>IF($AG948="","",Config!$B$16)</f>
        <v/>
      </c>
      <c r="J948">
        <f>IF($AG948="","",INDEX('TMP Paste'!$A$2:$A$1601,$AG948))</f>
        <v/>
      </c>
      <c r="K948">
        <f>IF($AG948="","",INDEX('TMP Paste'!$L$2:$L$1601,$AG948))</f>
        <v/>
      </c>
      <c r="L948">
        <f>IF($AG948="","",INDEX('TMP Paste'!$I$2:$I$1601,$AG948))</f>
        <v/>
      </c>
      <c r="M948">
        <f>IF($AG948="","",Config!$B$16)</f>
        <v/>
      </c>
      <c r="N948">
        <f>IF($AG948="","","")</f>
        <v/>
      </c>
      <c r="O948">
        <f>IF($AG948="","",INDEX('TMP Paste'!$K$2:$K$1601,$AG948))</f>
        <v/>
      </c>
      <c r="P948">
        <f>IF($AG948="","","")</f>
        <v/>
      </c>
      <c r="Q948">
        <f>IF($AG948="","",INDEX('TMP Paste'!$J$2:$J$1601,$AG948))</f>
        <v/>
      </c>
      <c r="R948">
        <f>IF($AG948="","",Config!$B$24)</f>
        <v/>
      </c>
      <c r="S948">
        <f>IF($AG948="","",TEXT(Config!$B$4,"yyyy-mm-dd"))</f>
        <v/>
      </c>
      <c r="T948">
        <f>IF($AG948="","",Config!$B$17)</f>
        <v/>
      </c>
      <c r="U948">
        <f>IF($AG948="","",Config!$B$18)</f>
        <v/>
      </c>
      <c r="V948">
        <f>IF($AG948="","",Config!$B$19)</f>
        <v/>
      </c>
      <c r="W948">
        <f>IF($AG948="","",INDEX('TMP Paste'!$C$2:$C$1601,$AG948))</f>
        <v/>
      </c>
      <c r="X948">
        <f>IF($AG948="","",Config!$B$29)</f>
        <v/>
      </c>
      <c r="Y948">
        <f>IF($AH948="","",INDEX(Calc!$I$2:$I$1601,$AH948)&amp;" - "&amp;INDEX(Calc!$D$2:$D$1601,$AH948)&amp;" koli")</f>
        <v/>
      </c>
      <c r="Z948">
        <f>IF($AG948="","",Config!$B$21)</f>
        <v/>
      </c>
      <c r="AA948">
        <f>IF($AG948="","",Config!$B$22)</f>
        <v/>
      </c>
      <c r="AB948">
        <f>IF($AH948="","",INDEX(Calc!$D$2:$D$1601,$AH948))</f>
        <v/>
      </c>
      <c r="AC948">
        <f>IF($AH948="","",INDEX(Calc!$G$2:$G$1601,$AH948))</f>
        <v/>
      </c>
      <c r="AD948">
        <f>IF($AG948="","",Config!$B$23)</f>
        <v/>
      </c>
      <c r="AE948">
        <f>IF($AG948="","",Config!$B$28)</f>
        <v/>
      </c>
      <c r="AG948">
        <f>IFERROR(MATCH(ROW()-1,Calc!$J$2:$J$1601,0),"")</f>
        <v/>
      </c>
      <c r="AH948">
        <f>IFERROR(MATCH(ROW()-1,Calc!$K$2:$K$1601,0),"")</f>
        <v/>
      </c>
      <c r="AI948">
        <f>IF($AG948="","",SUMIF($AG$2:$AG948,$AG948,$AH$2:$AH948))</f>
        <v/>
      </c>
      <c r="AJ948">
        <f>IF('TMP Paste'!$F948="","",IF('TMP Paste'!$B948="",$AJ947,'TMP Paste'!$B948))</f>
        <v/>
      </c>
      <c r="AK948">
        <f>IF('TMP Paste'!$F948="","",N('TMP Paste'!$G948))</f>
        <v/>
      </c>
      <c r="AL948">
        <f>IF('TMP Paste'!$F948="","",IF('TMP Paste'!$M948="",$AL947,'TMP Paste'!$M948))</f>
        <v/>
      </c>
      <c r="AM948">
        <f>IF('TMP Paste'!$F948="","",IF('TMP Paste'!$N948="",$AM947,'TMP Paste'!$N948))</f>
        <v/>
      </c>
      <c r="AN948">
        <f>IF('TMP Paste'!$F948="","",IF('TMP Paste'!$O948="",$AN947,'TMP Paste'!$O948))</f>
        <v/>
      </c>
      <c r="AO948">
        <f>IF('TMP Paste'!$F948="","",IF('TMP Paste'!$P948="",$AO947,'TMP Paste'!$P948))</f>
        <v/>
      </c>
      <c r="AP948">
        <f>IF($AG948="","",LEN($R948))</f>
        <v/>
      </c>
      <c r="AQ948">
        <f>IF($AG948="","",TRIM(IF(COUNTIFS(Calc!$B$2:$B$1601,ROW()-1,Calc!$C$2:$C$1601,"&lt;1")&gt;0,"Ada PO tanpa Koli - cek TMP. ","")&amp;IF(LEN($R948)&gt;500,"R &gt; 500 karakter.","")))</f>
        <v/>
      </c>
    </row>
    <row r="949">
      <c r="A949">
        <f>IF($AG949="","",INDEX('TMP Paste'!$B$2:$B$1601,$AG949))</f>
        <v/>
      </c>
      <c r="B949">
        <f>IF($AG949="","",Config!$B$14)</f>
        <v/>
      </c>
      <c r="C949">
        <f>IF($AG949="","",Config!$B$15)</f>
        <v/>
      </c>
      <c r="D949">
        <f>IF($AG949="","",INDEX('TMP Paste'!$B$2:$B$1601,$AG949))</f>
        <v/>
      </c>
      <c r="E949">
        <f>IF($AG949="","",Config!$B$27)</f>
        <v/>
      </c>
      <c r="F949">
        <f>IF($AG949="","",Config!$B$9)</f>
        <v/>
      </c>
      <c r="G949">
        <f>IF($AG949="","",Config!$B$10)</f>
        <v/>
      </c>
      <c r="H949">
        <f>IF($AG949="","",Config!$B$11)</f>
        <v/>
      </c>
      <c r="I949">
        <f>IF($AG949="","",Config!$B$16)</f>
        <v/>
      </c>
      <c r="J949">
        <f>IF($AG949="","",INDEX('TMP Paste'!$A$2:$A$1601,$AG949))</f>
        <v/>
      </c>
      <c r="K949">
        <f>IF($AG949="","",INDEX('TMP Paste'!$L$2:$L$1601,$AG949))</f>
        <v/>
      </c>
      <c r="L949">
        <f>IF($AG949="","",INDEX('TMP Paste'!$I$2:$I$1601,$AG949))</f>
        <v/>
      </c>
      <c r="M949">
        <f>IF($AG949="","",Config!$B$16)</f>
        <v/>
      </c>
      <c r="N949">
        <f>IF($AG949="","","")</f>
        <v/>
      </c>
      <c r="O949">
        <f>IF($AG949="","",INDEX('TMP Paste'!$K$2:$K$1601,$AG949))</f>
        <v/>
      </c>
      <c r="P949">
        <f>IF($AG949="","","")</f>
        <v/>
      </c>
      <c r="Q949">
        <f>IF($AG949="","",INDEX('TMP Paste'!$J$2:$J$1601,$AG949))</f>
        <v/>
      </c>
      <c r="R949">
        <f>IF($AG949="","",Config!$B$24)</f>
        <v/>
      </c>
      <c r="S949">
        <f>IF($AG949="","",TEXT(Config!$B$4,"yyyy-mm-dd"))</f>
        <v/>
      </c>
      <c r="T949">
        <f>IF($AG949="","",Config!$B$17)</f>
        <v/>
      </c>
      <c r="U949">
        <f>IF($AG949="","",Config!$B$18)</f>
        <v/>
      </c>
      <c r="V949">
        <f>IF($AG949="","",Config!$B$19)</f>
        <v/>
      </c>
      <c r="W949">
        <f>IF($AG949="","",INDEX('TMP Paste'!$C$2:$C$1601,$AG949))</f>
        <v/>
      </c>
      <c r="X949">
        <f>IF($AG949="","",Config!$B$29)</f>
        <v/>
      </c>
      <c r="Y949">
        <f>IF($AH949="","",INDEX(Calc!$I$2:$I$1601,$AH949)&amp;" - "&amp;INDEX(Calc!$D$2:$D$1601,$AH949)&amp;" koli")</f>
        <v/>
      </c>
      <c r="Z949">
        <f>IF($AG949="","",Config!$B$21)</f>
        <v/>
      </c>
      <c r="AA949">
        <f>IF($AG949="","",Config!$B$22)</f>
        <v/>
      </c>
      <c r="AB949">
        <f>IF($AH949="","",INDEX(Calc!$D$2:$D$1601,$AH949))</f>
        <v/>
      </c>
      <c r="AC949">
        <f>IF($AH949="","",INDEX(Calc!$G$2:$G$1601,$AH949))</f>
        <v/>
      </c>
      <c r="AD949">
        <f>IF($AG949="","",Config!$B$23)</f>
        <v/>
      </c>
      <c r="AE949">
        <f>IF($AG949="","",Config!$B$28)</f>
        <v/>
      </c>
      <c r="AG949">
        <f>IFERROR(MATCH(ROW()-1,Calc!$J$2:$J$1601,0),"")</f>
        <v/>
      </c>
      <c r="AH949">
        <f>IFERROR(MATCH(ROW()-1,Calc!$K$2:$K$1601,0),"")</f>
        <v/>
      </c>
      <c r="AI949">
        <f>IF($AG949="","",SUMIF($AG$2:$AG949,$AG949,$AH$2:$AH949))</f>
        <v/>
      </c>
      <c r="AJ949">
        <f>IF('TMP Paste'!$F949="","",IF('TMP Paste'!$B949="",$AJ948,'TMP Paste'!$B949))</f>
        <v/>
      </c>
      <c r="AK949">
        <f>IF('TMP Paste'!$F949="","",N('TMP Paste'!$G949))</f>
        <v/>
      </c>
      <c r="AL949">
        <f>IF('TMP Paste'!$F949="","",IF('TMP Paste'!$M949="",$AL948,'TMP Paste'!$M949))</f>
        <v/>
      </c>
      <c r="AM949">
        <f>IF('TMP Paste'!$F949="","",IF('TMP Paste'!$N949="",$AM948,'TMP Paste'!$N949))</f>
        <v/>
      </c>
      <c r="AN949">
        <f>IF('TMP Paste'!$F949="","",IF('TMP Paste'!$O949="",$AN948,'TMP Paste'!$O949))</f>
        <v/>
      </c>
      <c r="AO949">
        <f>IF('TMP Paste'!$F949="","",IF('TMP Paste'!$P949="",$AO948,'TMP Paste'!$P949))</f>
        <v/>
      </c>
      <c r="AP949">
        <f>IF($AG949="","",LEN($R949))</f>
        <v/>
      </c>
      <c r="AQ949">
        <f>IF($AG949="","",TRIM(IF(COUNTIFS(Calc!$B$2:$B$1601,ROW()-1,Calc!$C$2:$C$1601,"&lt;1")&gt;0,"Ada PO tanpa Koli - cek TMP. ","")&amp;IF(LEN($R949)&gt;500,"R &gt; 500 karakter.","")))</f>
        <v/>
      </c>
    </row>
    <row r="950">
      <c r="A950">
        <f>IF($AG950="","",INDEX('TMP Paste'!$B$2:$B$1601,$AG950))</f>
        <v/>
      </c>
      <c r="B950">
        <f>IF($AG950="","",Config!$B$14)</f>
        <v/>
      </c>
      <c r="C950">
        <f>IF($AG950="","",Config!$B$15)</f>
        <v/>
      </c>
      <c r="D950">
        <f>IF($AG950="","",INDEX('TMP Paste'!$B$2:$B$1601,$AG950))</f>
        <v/>
      </c>
      <c r="E950">
        <f>IF($AG950="","",Config!$B$27)</f>
        <v/>
      </c>
      <c r="F950">
        <f>IF($AG950="","",Config!$B$9)</f>
        <v/>
      </c>
      <c r="G950">
        <f>IF($AG950="","",Config!$B$10)</f>
        <v/>
      </c>
      <c r="H950">
        <f>IF($AG950="","",Config!$B$11)</f>
        <v/>
      </c>
      <c r="I950">
        <f>IF($AG950="","",Config!$B$16)</f>
        <v/>
      </c>
      <c r="J950">
        <f>IF($AG950="","",INDEX('TMP Paste'!$A$2:$A$1601,$AG950))</f>
        <v/>
      </c>
      <c r="K950">
        <f>IF($AG950="","",INDEX('TMP Paste'!$L$2:$L$1601,$AG950))</f>
        <v/>
      </c>
      <c r="L950">
        <f>IF($AG950="","",INDEX('TMP Paste'!$I$2:$I$1601,$AG950))</f>
        <v/>
      </c>
      <c r="M950">
        <f>IF($AG950="","",Config!$B$16)</f>
        <v/>
      </c>
      <c r="N950">
        <f>IF($AG950="","","")</f>
        <v/>
      </c>
      <c r="O950">
        <f>IF($AG950="","",INDEX('TMP Paste'!$K$2:$K$1601,$AG950))</f>
        <v/>
      </c>
      <c r="P950">
        <f>IF($AG950="","","")</f>
        <v/>
      </c>
      <c r="Q950">
        <f>IF($AG950="","",INDEX('TMP Paste'!$J$2:$J$1601,$AG950))</f>
        <v/>
      </c>
      <c r="R950">
        <f>IF($AG950="","",Config!$B$24)</f>
        <v/>
      </c>
      <c r="S950">
        <f>IF($AG950="","",TEXT(Config!$B$4,"yyyy-mm-dd"))</f>
        <v/>
      </c>
      <c r="T950">
        <f>IF($AG950="","",Config!$B$17)</f>
        <v/>
      </c>
      <c r="U950">
        <f>IF($AG950="","",Config!$B$18)</f>
        <v/>
      </c>
      <c r="V950">
        <f>IF($AG950="","",Config!$B$19)</f>
        <v/>
      </c>
      <c r="W950">
        <f>IF($AG950="","",INDEX('TMP Paste'!$C$2:$C$1601,$AG950))</f>
        <v/>
      </c>
      <c r="X950">
        <f>IF($AG950="","",Config!$B$29)</f>
        <v/>
      </c>
      <c r="Y950">
        <f>IF($AH950="","",INDEX(Calc!$I$2:$I$1601,$AH950)&amp;" - "&amp;INDEX(Calc!$D$2:$D$1601,$AH950)&amp;" koli")</f>
        <v/>
      </c>
      <c r="Z950">
        <f>IF($AG950="","",Config!$B$21)</f>
        <v/>
      </c>
      <c r="AA950">
        <f>IF($AG950="","",Config!$B$22)</f>
        <v/>
      </c>
      <c r="AB950">
        <f>IF($AH950="","",INDEX(Calc!$D$2:$D$1601,$AH950))</f>
        <v/>
      </c>
      <c r="AC950">
        <f>IF($AH950="","",INDEX(Calc!$G$2:$G$1601,$AH950))</f>
        <v/>
      </c>
      <c r="AD950">
        <f>IF($AG950="","",Config!$B$23)</f>
        <v/>
      </c>
      <c r="AE950">
        <f>IF($AG950="","",Config!$B$28)</f>
        <v/>
      </c>
      <c r="AG950">
        <f>IFERROR(MATCH(ROW()-1,Calc!$J$2:$J$1601,0),"")</f>
        <v/>
      </c>
      <c r="AH950">
        <f>IFERROR(MATCH(ROW()-1,Calc!$K$2:$K$1601,0),"")</f>
        <v/>
      </c>
      <c r="AI950">
        <f>IF($AG950="","",SUMIF($AG$2:$AG950,$AG950,$AH$2:$AH950))</f>
        <v/>
      </c>
      <c r="AJ950">
        <f>IF('TMP Paste'!$F950="","",IF('TMP Paste'!$B950="",$AJ949,'TMP Paste'!$B950))</f>
        <v/>
      </c>
      <c r="AK950">
        <f>IF('TMP Paste'!$F950="","",N('TMP Paste'!$G950))</f>
        <v/>
      </c>
      <c r="AL950">
        <f>IF('TMP Paste'!$F950="","",IF('TMP Paste'!$M950="",$AL949,'TMP Paste'!$M950))</f>
        <v/>
      </c>
      <c r="AM950">
        <f>IF('TMP Paste'!$F950="","",IF('TMP Paste'!$N950="",$AM949,'TMP Paste'!$N950))</f>
        <v/>
      </c>
      <c r="AN950">
        <f>IF('TMP Paste'!$F950="","",IF('TMP Paste'!$O950="",$AN949,'TMP Paste'!$O950))</f>
        <v/>
      </c>
      <c r="AO950">
        <f>IF('TMP Paste'!$F950="","",IF('TMP Paste'!$P950="",$AO949,'TMP Paste'!$P950))</f>
        <v/>
      </c>
      <c r="AP950">
        <f>IF($AG950="","",LEN($R950))</f>
        <v/>
      </c>
      <c r="AQ950">
        <f>IF($AG950="","",TRIM(IF(COUNTIFS(Calc!$B$2:$B$1601,ROW()-1,Calc!$C$2:$C$1601,"&lt;1")&gt;0,"Ada PO tanpa Koli - cek TMP. ","")&amp;IF(LEN($R950)&gt;500,"R &gt; 500 karakter.","")))</f>
        <v/>
      </c>
    </row>
    <row r="951">
      <c r="A951">
        <f>IF($AG951="","",INDEX('TMP Paste'!$B$2:$B$1601,$AG951))</f>
        <v/>
      </c>
      <c r="B951">
        <f>IF($AG951="","",Config!$B$14)</f>
        <v/>
      </c>
      <c r="C951">
        <f>IF($AG951="","",Config!$B$15)</f>
        <v/>
      </c>
      <c r="D951">
        <f>IF($AG951="","",INDEX('TMP Paste'!$B$2:$B$1601,$AG951))</f>
        <v/>
      </c>
      <c r="E951">
        <f>IF($AG951="","",Config!$B$27)</f>
        <v/>
      </c>
      <c r="F951">
        <f>IF($AG951="","",Config!$B$9)</f>
        <v/>
      </c>
      <c r="G951">
        <f>IF($AG951="","",Config!$B$10)</f>
        <v/>
      </c>
      <c r="H951">
        <f>IF($AG951="","",Config!$B$11)</f>
        <v/>
      </c>
      <c r="I951">
        <f>IF($AG951="","",Config!$B$16)</f>
        <v/>
      </c>
      <c r="J951">
        <f>IF($AG951="","",INDEX('TMP Paste'!$A$2:$A$1601,$AG951))</f>
        <v/>
      </c>
      <c r="K951">
        <f>IF($AG951="","",INDEX('TMP Paste'!$L$2:$L$1601,$AG951))</f>
        <v/>
      </c>
      <c r="L951">
        <f>IF($AG951="","",INDEX('TMP Paste'!$I$2:$I$1601,$AG951))</f>
        <v/>
      </c>
      <c r="M951">
        <f>IF($AG951="","",Config!$B$16)</f>
        <v/>
      </c>
      <c r="N951">
        <f>IF($AG951="","","")</f>
        <v/>
      </c>
      <c r="O951">
        <f>IF($AG951="","",INDEX('TMP Paste'!$K$2:$K$1601,$AG951))</f>
        <v/>
      </c>
      <c r="P951">
        <f>IF($AG951="","","")</f>
        <v/>
      </c>
      <c r="Q951">
        <f>IF($AG951="","",INDEX('TMP Paste'!$J$2:$J$1601,$AG951))</f>
        <v/>
      </c>
      <c r="R951">
        <f>IF($AG951="","",Config!$B$24)</f>
        <v/>
      </c>
      <c r="S951">
        <f>IF($AG951="","",TEXT(Config!$B$4,"yyyy-mm-dd"))</f>
        <v/>
      </c>
      <c r="T951">
        <f>IF($AG951="","",Config!$B$17)</f>
        <v/>
      </c>
      <c r="U951">
        <f>IF($AG951="","",Config!$B$18)</f>
        <v/>
      </c>
      <c r="V951">
        <f>IF($AG951="","",Config!$B$19)</f>
        <v/>
      </c>
      <c r="W951">
        <f>IF($AG951="","",INDEX('TMP Paste'!$C$2:$C$1601,$AG951))</f>
        <v/>
      </c>
      <c r="X951">
        <f>IF($AG951="","",Config!$B$29)</f>
        <v/>
      </c>
      <c r="Y951">
        <f>IF($AH951="","",INDEX(Calc!$I$2:$I$1601,$AH951)&amp;" - "&amp;INDEX(Calc!$D$2:$D$1601,$AH951)&amp;" koli")</f>
        <v/>
      </c>
      <c r="Z951">
        <f>IF($AG951="","",Config!$B$21)</f>
        <v/>
      </c>
      <c r="AA951">
        <f>IF($AG951="","",Config!$B$22)</f>
        <v/>
      </c>
      <c r="AB951">
        <f>IF($AH951="","",INDEX(Calc!$D$2:$D$1601,$AH951))</f>
        <v/>
      </c>
      <c r="AC951">
        <f>IF($AH951="","",INDEX(Calc!$G$2:$G$1601,$AH951))</f>
        <v/>
      </c>
      <c r="AD951">
        <f>IF($AG951="","",Config!$B$23)</f>
        <v/>
      </c>
      <c r="AE951">
        <f>IF($AG951="","",Config!$B$28)</f>
        <v/>
      </c>
      <c r="AG951">
        <f>IFERROR(MATCH(ROW()-1,Calc!$J$2:$J$1601,0),"")</f>
        <v/>
      </c>
      <c r="AH951">
        <f>IFERROR(MATCH(ROW()-1,Calc!$K$2:$K$1601,0),"")</f>
        <v/>
      </c>
      <c r="AI951">
        <f>IF($AG951="","",SUMIF($AG$2:$AG951,$AG951,$AH$2:$AH951))</f>
        <v/>
      </c>
      <c r="AJ951">
        <f>IF('TMP Paste'!$F951="","",IF('TMP Paste'!$B951="",$AJ950,'TMP Paste'!$B951))</f>
        <v/>
      </c>
      <c r="AK951">
        <f>IF('TMP Paste'!$F951="","",N('TMP Paste'!$G951))</f>
        <v/>
      </c>
      <c r="AL951">
        <f>IF('TMP Paste'!$F951="","",IF('TMP Paste'!$M951="",$AL950,'TMP Paste'!$M951))</f>
        <v/>
      </c>
      <c r="AM951">
        <f>IF('TMP Paste'!$F951="","",IF('TMP Paste'!$N951="",$AM950,'TMP Paste'!$N951))</f>
        <v/>
      </c>
      <c r="AN951">
        <f>IF('TMP Paste'!$F951="","",IF('TMP Paste'!$O951="",$AN950,'TMP Paste'!$O951))</f>
        <v/>
      </c>
      <c r="AO951">
        <f>IF('TMP Paste'!$F951="","",IF('TMP Paste'!$P951="",$AO950,'TMP Paste'!$P951))</f>
        <v/>
      </c>
      <c r="AP951">
        <f>IF($AG951="","",LEN($R951))</f>
        <v/>
      </c>
      <c r="AQ951">
        <f>IF($AG951="","",TRIM(IF(COUNTIFS(Calc!$B$2:$B$1601,ROW()-1,Calc!$C$2:$C$1601,"&lt;1")&gt;0,"Ada PO tanpa Koli - cek TMP. ","")&amp;IF(LEN($R951)&gt;500,"R &gt; 500 karakter.","")))</f>
        <v/>
      </c>
    </row>
    <row r="952">
      <c r="A952">
        <f>IF($AG952="","",INDEX('TMP Paste'!$B$2:$B$1601,$AG952))</f>
        <v/>
      </c>
      <c r="B952">
        <f>IF($AG952="","",Config!$B$14)</f>
        <v/>
      </c>
      <c r="C952">
        <f>IF($AG952="","",Config!$B$15)</f>
        <v/>
      </c>
      <c r="D952">
        <f>IF($AG952="","",INDEX('TMP Paste'!$B$2:$B$1601,$AG952))</f>
        <v/>
      </c>
      <c r="E952">
        <f>IF($AG952="","",Config!$B$27)</f>
        <v/>
      </c>
      <c r="F952">
        <f>IF($AG952="","",Config!$B$9)</f>
        <v/>
      </c>
      <c r="G952">
        <f>IF($AG952="","",Config!$B$10)</f>
        <v/>
      </c>
      <c r="H952">
        <f>IF($AG952="","",Config!$B$11)</f>
        <v/>
      </c>
      <c r="I952">
        <f>IF($AG952="","",Config!$B$16)</f>
        <v/>
      </c>
      <c r="J952">
        <f>IF($AG952="","",INDEX('TMP Paste'!$A$2:$A$1601,$AG952))</f>
        <v/>
      </c>
      <c r="K952">
        <f>IF($AG952="","",INDEX('TMP Paste'!$L$2:$L$1601,$AG952))</f>
        <v/>
      </c>
      <c r="L952">
        <f>IF($AG952="","",INDEX('TMP Paste'!$I$2:$I$1601,$AG952))</f>
        <v/>
      </c>
      <c r="M952">
        <f>IF($AG952="","",Config!$B$16)</f>
        <v/>
      </c>
      <c r="N952">
        <f>IF($AG952="","","")</f>
        <v/>
      </c>
      <c r="O952">
        <f>IF($AG952="","",INDEX('TMP Paste'!$K$2:$K$1601,$AG952))</f>
        <v/>
      </c>
      <c r="P952">
        <f>IF($AG952="","","")</f>
        <v/>
      </c>
      <c r="Q952">
        <f>IF($AG952="","",INDEX('TMP Paste'!$J$2:$J$1601,$AG952))</f>
        <v/>
      </c>
      <c r="R952">
        <f>IF($AG952="","",Config!$B$24)</f>
        <v/>
      </c>
      <c r="S952">
        <f>IF($AG952="","",TEXT(Config!$B$4,"yyyy-mm-dd"))</f>
        <v/>
      </c>
      <c r="T952">
        <f>IF($AG952="","",Config!$B$17)</f>
        <v/>
      </c>
      <c r="U952">
        <f>IF($AG952="","",Config!$B$18)</f>
        <v/>
      </c>
      <c r="V952">
        <f>IF($AG952="","",Config!$B$19)</f>
        <v/>
      </c>
      <c r="W952">
        <f>IF($AG952="","",INDEX('TMP Paste'!$C$2:$C$1601,$AG952))</f>
        <v/>
      </c>
      <c r="X952">
        <f>IF($AG952="","",Config!$B$29)</f>
        <v/>
      </c>
      <c r="Y952">
        <f>IF($AH952="","",INDEX(Calc!$I$2:$I$1601,$AH952)&amp;" - "&amp;INDEX(Calc!$D$2:$D$1601,$AH952)&amp;" koli")</f>
        <v/>
      </c>
      <c r="Z952">
        <f>IF($AG952="","",Config!$B$21)</f>
        <v/>
      </c>
      <c r="AA952">
        <f>IF($AG952="","",Config!$B$22)</f>
        <v/>
      </c>
      <c r="AB952">
        <f>IF($AH952="","",INDEX(Calc!$D$2:$D$1601,$AH952))</f>
        <v/>
      </c>
      <c r="AC952">
        <f>IF($AH952="","",INDEX(Calc!$G$2:$G$1601,$AH952))</f>
        <v/>
      </c>
      <c r="AD952">
        <f>IF($AG952="","",Config!$B$23)</f>
        <v/>
      </c>
      <c r="AE952">
        <f>IF($AG952="","",Config!$B$28)</f>
        <v/>
      </c>
      <c r="AG952">
        <f>IFERROR(MATCH(ROW()-1,Calc!$J$2:$J$1601,0),"")</f>
        <v/>
      </c>
      <c r="AH952">
        <f>IFERROR(MATCH(ROW()-1,Calc!$K$2:$K$1601,0),"")</f>
        <v/>
      </c>
      <c r="AI952">
        <f>IF($AG952="","",SUMIF($AG$2:$AG952,$AG952,$AH$2:$AH952))</f>
        <v/>
      </c>
      <c r="AJ952">
        <f>IF('TMP Paste'!$F952="","",IF('TMP Paste'!$B952="",$AJ951,'TMP Paste'!$B952))</f>
        <v/>
      </c>
      <c r="AK952">
        <f>IF('TMP Paste'!$F952="","",N('TMP Paste'!$G952))</f>
        <v/>
      </c>
      <c r="AL952">
        <f>IF('TMP Paste'!$F952="","",IF('TMP Paste'!$M952="",$AL951,'TMP Paste'!$M952))</f>
        <v/>
      </c>
      <c r="AM952">
        <f>IF('TMP Paste'!$F952="","",IF('TMP Paste'!$N952="",$AM951,'TMP Paste'!$N952))</f>
        <v/>
      </c>
      <c r="AN952">
        <f>IF('TMP Paste'!$F952="","",IF('TMP Paste'!$O952="",$AN951,'TMP Paste'!$O952))</f>
        <v/>
      </c>
      <c r="AO952">
        <f>IF('TMP Paste'!$F952="","",IF('TMP Paste'!$P952="",$AO951,'TMP Paste'!$P952))</f>
        <v/>
      </c>
      <c r="AP952">
        <f>IF($AG952="","",LEN($R952))</f>
        <v/>
      </c>
      <c r="AQ952">
        <f>IF($AG952="","",TRIM(IF(COUNTIFS(Calc!$B$2:$B$1601,ROW()-1,Calc!$C$2:$C$1601,"&lt;1")&gt;0,"Ada PO tanpa Koli - cek TMP. ","")&amp;IF(LEN($R952)&gt;500,"R &gt; 500 karakter.","")))</f>
        <v/>
      </c>
    </row>
    <row r="953">
      <c r="A953">
        <f>IF($AG953="","",INDEX('TMP Paste'!$B$2:$B$1601,$AG953))</f>
        <v/>
      </c>
      <c r="B953">
        <f>IF($AG953="","",Config!$B$14)</f>
        <v/>
      </c>
      <c r="C953">
        <f>IF($AG953="","",Config!$B$15)</f>
        <v/>
      </c>
      <c r="D953">
        <f>IF($AG953="","",INDEX('TMP Paste'!$B$2:$B$1601,$AG953))</f>
        <v/>
      </c>
      <c r="E953">
        <f>IF($AG953="","",Config!$B$27)</f>
        <v/>
      </c>
      <c r="F953">
        <f>IF($AG953="","",Config!$B$9)</f>
        <v/>
      </c>
      <c r="G953">
        <f>IF($AG953="","",Config!$B$10)</f>
        <v/>
      </c>
      <c r="H953">
        <f>IF($AG953="","",Config!$B$11)</f>
        <v/>
      </c>
      <c r="I953">
        <f>IF($AG953="","",Config!$B$16)</f>
        <v/>
      </c>
      <c r="J953">
        <f>IF($AG953="","",INDEX('TMP Paste'!$A$2:$A$1601,$AG953))</f>
        <v/>
      </c>
      <c r="K953">
        <f>IF($AG953="","",INDEX('TMP Paste'!$L$2:$L$1601,$AG953))</f>
        <v/>
      </c>
      <c r="L953">
        <f>IF($AG953="","",INDEX('TMP Paste'!$I$2:$I$1601,$AG953))</f>
        <v/>
      </c>
      <c r="M953">
        <f>IF($AG953="","",Config!$B$16)</f>
        <v/>
      </c>
      <c r="N953">
        <f>IF($AG953="","","")</f>
        <v/>
      </c>
      <c r="O953">
        <f>IF($AG953="","",INDEX('TMP Paste'!$K$2:$K$1601,$AG953))</f>
        <v/>
      </c>
      <c r="P953">
        <f>IF($AG953="","","")</f>
        <v/>
      </c>
      <c r="Q953">
        <f>IF($AG953="","",INDEX('TMP Paste'!$J$2:$J$1601,$AG953))</f>
        <v/>
      </c>
      <c r="R953">
        <f>IF($AG953="","",Config!$B$24)</f>
        <v/>
      </c>
      <c r="S953">
        <f>IF($AG953="","",TEXT(Config!$B$4,"yyyy-mm-dd"))</f>
        <v/>
      </c>
      <c r="T953">
        <f>IF($AG953="","",Config!$B$17)</f>
        <v/>
      </c>
      <c r="U953">
        <f>IF($AG953="","",Config!$B$18)</f>
        <v/>
      </c>
      <c r="V953">
        <f>IF($AG953="","",Config!$B$19)</f>
        <v/>
      </c>
      <c r="W953">
        <f>IF($AG953="","",INDEX('TMP Paste'!$C$2:$C$1601,$AG953))</f>
        <v/>
      </c>
      <c r="X953">
        <f>IF($AG953="","",Config!$B$29)</f>
        <v/>
      </c>
      <c r="Y953">
        <f>IF($AH953="","",INDEX(Calc!$I$2:$I$1601,$AH953)&amp;" - "&amp;INDEX(Calc!$D$2:$D$1601,$AH953)&amp;" koli")</f>
        <v/>
      </c>
      <c r="Z953">
        <f>IF($AG953="","",Config!$B$21)</f>
        <v/>
      </c>
      <c r="AA953">
        <f>IF($AG953="","",Config!$B$22)</f>
        <v/>
      </c>
      <c r="AB953">
        <f>IF($AH953="","",INDEX(Calc!$D$2:$D$1601,$AH953))</f>
        <v/>
      </c>
      <c r="AC953">
        <f>IF($AH953="","",INDEX(Calc!$G$2:$G$1601,$AH953))</f>
        <v/>
      </c>
      <c r="AD953">
        <f>IF($AG953="","",Config!$B$23)</f>
        <v/>
      </c>
      <c r="AE953">
        <f>IF($AG953="","",Config!$B$28)</f>
        <v/>
      </c>
      <c r="AG953">
        <f>IFERROR(MATCH(ROW()-1,Calc!$J$2:$J$1601,0),"")</f>
        <v/>
      </c>
      <c r="AH953">
        <f>IFERROR(MATCH(ROW()-1,Calc!$K$2:$K$1601,0),"")</f>
        <v/>
      </c>
      <c r="AI953">
        <f>IF($AG953="","",SUMIF($AG$2:$AG953,$AG953,$AH$2:$AH953))</f>
        <v/>
      </c>
      <c r="AJ953">
        <f>IF('TMP Paste'!$F953="","",IF('TMP Paste'!$B953="",$AJ952,'TMP Paste'!$B953))</f>
        <v/>
      </c>
      <c r="AK953">
        <f>IF('TMP Paste'!$F953="","",N('TMP Paste'!$G953))</f>
        <v/>
      </c>
      <c r="AL953">
        <f>IF('TMP Paste'!$F953="","",IF('TMP Paste'!$M953="",$AL952,'TMP Paste'!$M953))</f>
        <v/>
      </c>
      <c r="AM953">
        <f>IF('TMP Paste'!$F953="","",IF('TMP Paste'!$N953="",$AM952,'TMP Paste'!$N953))</f>
        <v/>
      </c>
      <c r="AN953">
        <f>IF('TMP Paste'!$F953="","",IF('TMP Paste'!$O953="",$AN952,'TMP Paste'!$O953))</f>
        <v/>
      </c>
      <c r="AO953">
        <f>IF('TMP Paste'!$F953="","",IF('TMP Paste'!$P953="",$AO952,'TMP Paste'!$P953))</f>
        <v/>
      </c>
      <c r="AP953">
        <f>IF($AG953="","",LEN($R953))</f>
        <v/>
      </c>
      <c r="AQ953">
        <f>IF($AG953="","",TRIM(IF(COUNTIFS(Calc!$B$2:$B$1601,ROW()-1,Calc!$C$2:$C$1601,"&lt;1")&gt;0,"Ada PO tanpa Koli - cek TMP. ","")&amp;IF(LEN($R953)&gt;500,"R &gt; 500 karakter.","")))</f>
        <v/>
      </c>
    </row>
    <row r="954">
      <c r="A954">
        <f>IF($AG954="","",INDEX('TMP Paste'!$B$2:$B$1601,$AG954))</f>
        <v/>
      </c>
      <c r="B954">
        <f>IF($AG954="","",Config!$B$14)</f>
        <v/>
      </c>
      <c r="C954">
        <f>IF($AG954="","",Config!$B$15)</f>
        <v/>
      </c>
      <c r="D954">
        <f>IF($AG954="","",INDEX('TMP Paste'!$B$2:$B$1601,$AG954))</f>
        <v/>
      </c>
      <c r="E954">
        <f>IF($AG954="","",Config!$B$27)</f>
        <v/>
      </c>
      <c r="F954">
        <f>IF($AG954="","",Config!$B$9)</f>
        <v/>
      </c>
      <c r="G954">
        <f>IF($AG954="","",Config!$B$10)</f>
        <v/>
      </c>
      <c r="H954">
        <f>IF($AG954="","",Config!$B$11)</f>
        <v/>
      </c>
      <c r="I954">
        <f>IF($AG954="","",Config!$B$16)</f>
        <v/>
      </c>
      <c r="J954">
        <f>IF($AG954="","",INDEX('TMP Paste'!$A$2:$A$1601,$AG954))</f>
        <v/>
      </c>
      <c r="K954">
        <f>IF($AG954="","",INDEX('TMP Paste'!$L$2:$L$1601,$AG954))</f>
        <v/>
      </c>
      <c r="L954">
        <f>IF($AG954="","",INDEX('TMP Paste'!$I$2:$I$1601,$AG954))</f>
        <v/>
      </c>
      <c r="M954">
        <f>IF($AG954="","",Config!$B$16)</f>
        <v/>
      </c>
      <c r="N954">
        <f>IF($AG954="","","")</f>
        <v/>
      </c>
      <c r="O954">
        <f>IF($AG954="","",INDEX('TMP Paste'!$K$2:$K$1601,$AG954))</f>
        <v/>
      </c>
      <c r="P954">
        <f>IF($AG954="","","")</f>
        <v/>
      </c>
      <c r="Q954">
        <f>IF($AG954="","",INDEX('TMP Paste'!$J$2:$J$1601,$AG954))</f>
        <v/>
      </c>
      <c r="R954">
        <f>IF($AG954="","",Config!$B$24)</f>
        <v/>
      </c>
      <c r="S954">
        <f>IF($AG954="","",TEXT(Config!$B$4,"yyyy-mm-dd"))</f>
        <v/>
      </c>
      <c r="T954">
        <f>IF($AG954="","",Config!$B$17)</f>
        <v/>
      </c>
      <c r="U954">
        <f>IF($AG954="","",Config!$B$18)</f>
        <v/>
      </c>
      <c r="V954">
        <f>IF($AG954="","",Config!$B$19)</f>
        <v/>
      </c>
      <c r="W954">
        <f>IF($AG954="","",INDEX('TMP Paste'!$C$2:$C$1601,$AG954))</f>
        <v/>
      </c>
      <c r="X954">
        <f>IF($AG954="","",Config!$B$29)</f>
        <v/>
      </c>
      <c r="Y954">
        <f>IF($AH954="","",INDEX(Calc!$I$2:$I$1601,$AH954)&amp;" - "&amp;INDEX(Calc!$D$2:$D$1601,$AH954)&amp;" koli")</f>
        <v/>
      </c>
      <c r="Z954">
        <f>IF($AG954="","",Config!$B$21)</f>
        <v/>
      </c>
      <c r="AA954">
        <f>IF($AG954="","",Config!$B$22)</f>
        <v/>
      </c>
      <c r="AB954">
        <f>IF($AH954="","",INDEX(Calc!$D$2:$D$1601,$AH954))</f>
        <v/>
      </c>
      <c r="AC954">
        <f>IF($AH954="","",INDEX(Calc!$G$2:$G$1601,$AH954))</f>
        <v/>
      </c>
      <c r="AD954">
        <f>IF($AG954="","",Config!$B$23)</f>
        <v/>
      </c>
      <c r="AE954">
        <f>IF($AG954="","",Config!$B$28)</f>
        <v/>
      </c>
      <c r="AG954">
        <f>IFERROR(MATCH(ROW()-1,Calc!$J$2:$J$1601,0),"")</f>
        <v/>
      </c>
      <c r="AH954">
        <f>IFERROR(MATCH(ROW()-1,Calc!$K$2:$K$1601,0),"")</f>
        <v/>
      </c>
      <c r="AI954">
        <f>IF($AG954="","",SUMIF($AG$2:$AG954,$AG954,$AH$2:$AH954))</f>
        <v/>
      </c>
      <c r="AJ954">
        <f>IF('TMP Paste'!$F954="","",IF('TMP Paste'!$B954="",$AJ953,'TMP Paste'!$B954))</f>
        <v/>
      </c>
      <c r="AK954">
        <f>IF('TMP Paste'!$F954="","",N('TMP Paste'!$G954))</f>
        <v/>
      </c>
      <c r="AL954">
        <f>IF('TMP Paste'!$F954="","",IF('TMP Paste'!$M954="",$AL953,'TMP Paste'!$M954))</f>
        <v/>
      </c>
      <c r="AM954">
        <f>IF('TMP Paste'!$F954="","",IF('TMP Paste'!$N954="",$AM953,'TMP Paste'!$N954))</f>
        <v/>
      </c>
      <c r="AN954">
        <f>IF('TMP Paste'!$F954="","",IF('TMP Paste'!$O954="",$AN953,'TMP Paste'!$O954))</f>
        <v/>
      </c>
      <c r="AO954">
        <f>IF('TMP Paste'!$F954="","",IF('TMP Paste'!$P954="",$AO953,'TMP Paste'!$P954))</f>
        <v/>
      </c>
      <c r="AP954">
        <f>IF($AG954="","",LEN($R954))</f>
        <v/>
      </c>
      <c r="AQ954">
        <f>IF($AG954="","",TRIM(IF(COUNTIFS(Calc!$B$2:$B$1601,ROW()-1,Calc!$C$2:$C$1601,"&lt;1")&gt;0,"Ada PO tanpa Koli - cek TMP. ","")&amp;IF(LEN($R954)&gt;500,"R &gt; 500 karakter.","")))</f>
        <v/>
      </c>
    </row>
    <row r="955">
      <c r="A955">
        <f>IF($AG955="","",INDEX('TMP Paste'!$B$2:$B$1601,$AG955))</f>
        <v/>
      </c>
      <c r="B955">
        <f>IF($AG955="","",Config!$B$14)</f>
        <v/>
      </c>
      <c r="C955">
        <f>IF($AG955="","",Config!$B$15)</f>
        <v/>
      </c>
      <c r="D955">
        <f>IF($AG955="","",INDEX('TMP Paste'!$B$2:$B$1601,$AG955))</f>
        <v/>
      </c>
      <c r="E955">
        <f>IF($AG955="","",Config!$B$27)</f>
        <v/>
      </c>
      <c r="F955">
        <f>IF($AG955="","",Config!$B$9)</f>
        <v/>
      </c>
      <c r="G955">
        <f>IF($AG955="","",Config!$B$10)</f>
        <v/>
      </c>
      <c r="H955">
        <f>IF($AG955="","",Config!$B$11)</f>
        <v/>
      </c>
      <c r="I955">
        <f>IF($AG955="","",Config!$B$16)</f>
        <v/>
      </c>
      <c r="J955">
        <f>IF($AG955="","",INDEX('TMP Paste'!$A$2:$A$1601,$AG955))</f>
        <v/>
      </c>
      <c r="K955">
        <f>IF($AG955="","",INDEX('TMP Paste'!$L$2:$L$1601,$AG955))</f>
        <v/>
      </c>
      <c r="L955">
        <f>IF($AG955="","",INDEX('TMP Paste'!$I$2:$I$1601,$AG955))</f>
        <v/>
      </c>
      <c r="M955">
        <f>IF($AG955="","",Config!$B$16)</f>
        <v/>
      </c>
      <c r="N955">
        <f>IF($AG955="","","")</f>
        <v/>
      </c>
      <c r="O955">
        <f>IF($AG955="","",INDEX('TMP Paste'!$K$2:$K$1601,$AG955))</f>
        <v/>
      </c>
      <c r="P955">
        <f>IF($AG955="","","")</f>
        <v/>
      </c>
      <c r="Q955">
        <f>IF($AG955="","",INDEX('TMP Paste'!$J$2:$J$1601,$AG955))</f>
        <v/>
      </c>
      <c r="R955">
        <f>IF($AG955="","",Config!$B$24)</f>
        <v/>
      </c>
      <c r="S955">
        <f>IF($AG955="","",TEXT(Config!$B$4,"yyyy-mm-dd"))</f>
        <v/>
      </c>
      <c r="T955">
        <f>IF($AG955="","",Config!$B$17)</f>
        <v/>
      </c>
      <c r="U955">
        <f>IF($AG955="","",Config!$B$18)</f>
        <v/>
      </c>
      <c r="V955">
        <f>IF($AG955="","",Config!$B$19)</f>
        <v/>
      </c>
      <c r="W955">
        <f>IF($AG955="","",INDEX('TMP Paste'!$C$2:$C$1601,$AG955))</f>
        <v/>
      </c>
      <c r="X955">
        <f>IF($AG955="","",Config!$B$29)</f>
        <v/>
      </c>
      <c r="Y955">
        <f>IF($AH955="","",INDEX(Calc!$I$2:$I$1601,$AH955)&amp;" - "&amp;INDEX(Calc!$D$2:$D$1601,$AH955)&amp;" koli")</f>
        <v/>
      </c>
      <c r="Z955">
        <f>IF($AG955="","",Config!$B$21)</f>
        <v/>
      </c>
      <c r="AA955">
        <f>IF($AG955="","",Config!$B$22)</f>
        <v/>
      </c>
      <c r="AB955">
        <f>IF($AH955="","",INDEX(Calc!$D$2:$D$1601,$AH955))</f>
        <v/>
      </c>
      <c r="AC955">
        <f>IF($AH955="","",INDEX(Calc!$G$2:$G$1601,$AH955))</f>
        <v/>
      </c>
      <c r="AD955">
        <f>IF($AG955="","",Config!$B$23)</f>
        <v/>
      </c>
      <c r="AE955">
        <f>IF($AG955="","",Config!$B$28)</f>
        <v/>
      </c>
      <c r="AG955">
        <f>IFERROR(MATCH(ROW()-1,Calc!$J$2:$J$1601,0),"")</f>
        <v/>
      </c>
      <c r="AH955">
        <f>IFERROR(MATCH(ROW()-1,Calc!$K$2:$K$1601,0),"")</f>
        <v/>
      </c>
      <c r="AI955">
        <f>IF($AG955="","",SUMIF($AG$2:$AG955,$AG955,$AH$2:$AH955))</f>
        <v/>
      </c>
      <c r="AJ955">
        <f>IF('TMP Paste'!$F955="","",IF('TMP Paste'!$B955="",$AJ954,'TMP Paste'!$B955))</f>
        <v/>
      </c>
      <c r="AK955">
        <f>IF('TMP Paste'!$F955="","",N('TMP Paste'!$G955))</f>
        <v/>
      </c>
      <c r="AL955">
        <f>IF('TMP Paste'!$F955="","",IF('TMP Paste'!$M955="",$AL954,'TMP Paste'!$M955))</f>
        <v/>
      </c>
      <c r="AM955">
        <f>IF('TMP Paste'!$F955="","",IF('TMP Paste'!$N955="",$AM954,'TMP Paste'!$N955))</f>
        <v/>
      </c>
      <c r="AN955">
        <f>IF('TMP Paste'!$F955="","",IF('TMP Paste'!$O955="",$AN954,'TMP Paste'!$O955))</f>
        <v/>
      </c>
      <c r="AO955">
        <f>IF('TMP Paste'!$F955="","",IF('TMP Paste'!$P955="",$AO954,'TMP Paste'!$P955))</f>
        <v/>
      </c>
      <c r="AP955">
        <f>IF($AG955="","",LEN($R955))</f>
        <v/>
      </c>
      <c r="AQ955">
        <f>IF($AG955="","",TRIM(IF(COUNTIFS(Calc!$B$2:$B$1601,ROW()-1,Calc!$C$2:$C$1601,"&lt;1")&gt;0,"Ada PO tanpa Koli - cek TMP. ","")&amp;IF(LEN($R955)&gt;500,"R &gt; 500 karakter.","")))</f>
        <v/>
      </c>
    </row>
    <row r="956">
      <c r="A956">
        <f>IF($AG956="","",INDEX('TMP Paste'!$B$2:$B$1601,$AG956))</f>
        <v/>
      </c>
      <c r="B956">
        <f>IF($AG956="","",Config!$B$14)</f>
        <v/>
      </c>
      <c r="C956">
        <f>IF($AG956="","",Config!$B$15)</f>
        <v/>
      </c>
      <c r="D956">
        <f>IF($AG956="","",INDEX('TMP Paste'!$B$2:$B$1601,$AG956))</f>
        <v/>
      </c>
      <c r="E956">
        <f>IF($AG956="","",Config!$B$27)</f>
        <v/>
      </c>
      <c r="F956">
        <f>IF($AG956="","",Config!$B$9)</f>
        <v/>
      </c>
      <c r="G956">
        <f>IF($AG956="","",Config!$B$10)</f>
        <v/>
      </c>
      <c r="H956">
        <f>IF($AG956="","",Config!$B$11)</f>
        <v/>
      </c>
      <c r="I956">
        <f>IF($AG956="","",Config!$B$16)</f>
        <v/>
      </c>
      <c r="J956">
        <f>IF($AG956="","",INDEX('TMP Paste'!$A$2:$A$1601,$AG956))</f>
        <v/>
      </c>
      <c r="K956">
        <f>IF($AG956="","",INDEX('TMP Paste'!$L$2:$L$1601,$AG956))</f>
        <v/>
      </c>
      <c r="L956">
        <f>IF($AG956="","",INDEX('TMP Paste'!$I$2:$I$1601,$AG956))</f>
        <v/>
      </c>
      <c r="M956">
        <f>IF($AG956="","",Config!$B$16)</f>
        <v/>
      </c>
      <c r="N956">
        <f>IF($AG956="","","")</f>
        <v/>
      </c>
      <c r="O956">
        <f>IF($AG956="","",INDEX('TMP Paste'!$K$2:$K$1601,$AG956))</f>
        <v/>
      </c>
      <c r="P956">
        <f>IF($AG956="","","")</f>
        <v/>
      </c>
      <c r="Q956">
        <f>IF($AG956="","",INDEX('TMP Paste'!$J$2:$J$1601,$AG956))</f>
        <v/>
      </c>
      <c r="R956">
        <f>IF($AG956="","",Config!$B$24)</f>
        <v/>
      </c>
      <c r="S956">
        <f>IF($AG956="","",TEXT(Config!$B$4,"yyyy-mm-dd"))</f>
        <v/>
      </c>
      <c r="T956">
        <f>IF($AG956="","",Config!$B$17)</f>
        <v/>
      </c>
      <c r="U956">
        <f>IF($AG956="","",Config!$B$18)</f>
        <v/>
      </c>
      <c r="V956">
        <f>IF($AG956="","",Config!$B$19)</f>
        <v/>
      </c>
      <c r="W956">
        <f>IF($AG956="","",INDEX('TMP Paste'!$C$2:$C$1601,$AG956))</f>
        <v/>
      </c>
      <c r="X956">
        <f>IF($AG956="","",Config!$B$29)</f>
        <v/>
      </c>
      <c r="Y956">
        <f>IF($AH956="","",INDEX(Calc!$I$2:$I$1601,$AH956)&amp;" - "&amp;INDEX(Calc!$D$2:$D$1601,$AH956)&amp;" koli")</f>
        <v/>
      </c>
      <c r="Z956">
        <f>IF($AG956="","",Config!$B$21)</f>
        <v/>
      </c>
      <c r="AA956">
        <f>IF($AG956="","",Config!$B$22)</f>
        <v/>
      </c>
      <c r="AB956">
        <f>IF($AH956="","",INDEX(Calc!$D$2:$D$1601,$AH956))</f>
        <v/>
      </c>
      <c r="AC956">
        <f>IF($AH956="","",INDEX(Calc!$G$2:$G$1601,$AH956))</f>
        <v/>
      </c>
      <c r="AD956">
        <f>IF($AG956="","",Config!$B$23)</f>
        <v/>
      </c>
      <c r="AE956">
        <f>IF($AG956="","",Config!$B$28)</f>
        <v/>
      </c>
      <c r="AG956">
        <f>IFERROR(MATCH(ROW()-1,Calc!$J$2:$J$1601,0),"")</f>
        <v/>
      </c>
      <c r="AH956">
        <f>IFERROR(MATCH(ROW()-1,Calc!$K$2:$K$1601,0),"")</f>
        <v/>
      </c>
      <c r="AI956">
        <f>IF($AG956="","",SUMIF($AG$2:$AG956,$AG956,$AH$2:$AH956))</f>
        <v/>
      </c>
      <c r="AJ956">
        <f>IF('TMP Paste'!$F956="","",IF('TMP Paste'!$B956="",$AJ955,'TMP Paste'!$B956))</f>
        <v/>
      </c>
      <c r="AK956">
        <f>IF('TMP Paste'!$F956="","",N('TMP Paste'!$G956))</f>
        <v/>
      </c>
      <c r="AL956">
        <f>IF('TMP Paste'!$F956="","",IF('TMP Paste'!$M956="",$AL955,'TMP Paste'!$M956))</f>
        <v/>
      </c>
      <c r="AM956">
        <f>IF('TMP Paste'!$F956="","",IF('TMP Paste'!$N956="",$AM955,'TMP Paste'!$N956))</f>
        <v/>
      </c>
      <c r="AN956">
        <f>IF('TMP Paste'!$F956="","",IF('TMP Paste'!$O956="",$AN955,'TMP Paste'!$O956))</f>
        <v/>
      </c>
      <c r="AO956">
        <f>IF('TMP Paste'!$F956="","",IF('TMP Paste'!$P956="",$AO955,'TMP Paste'!$P956))</f>
        <v/>
      </c>
      <c r="AP956">
        <f>IF($AG956="","",LEN($R956))</f>
        <v/>
      </c>
      <c r="AQ956">
        <f>IF($AG956="","",TRIM(IF(COUNTIFS(Calc!$B$2:$B$1601,ROW()-1,Calc!$C$2:$C$1601,"&lt;1")&gt;0,"Ada PO tanpa Koli - cek TMP. ","")&amp;IF(LEN($R956)&gt;500,"R &gt; 500 karakter.","")))</f>
        <v/>
      </c>
    </row>
    <row r="957">
      <c r="A957">
        <f>IF($AG957="","",INDEX('TMP Paste'!$B$2:$B$1601,$AG957))</f>
        <v/>
      </c>
      <c r="B957">
        <f>IF($AG957="","",Config!$B$14)</f>
        <v/>
      </c>
      <c r="C957">
        <f>IF($AG957="","",Config!$B$15)</f>
        <v/>
      </c>
      <c r="D957">
        <f>IF($AG957="","",INDEX('TMP Paste'!$B$2:$B$1601,$AG957))</f>
        <v/>
      </c>
      <c r="E957">
        <f>IF($AG957="","",Config!$B$27)</f>
        <v/>
      </c>
      <c r="F957">
        <f>IF($AG957="","",Config!$B$9)</f>
        <v/>
      </c>
      <c r="G957">
        <f>IF($AG957="","",Config!$B$10)</f>
        <v/>
      </c>
      <c r="H957">
        <f>IF($AG957="","",Config!$B$11)</f>
        <v/>
      </c>
      <c r="I957">
        <f>IF($AG957="","",Config!$B$16)</f>
        <v/>
      </c>
      <c r="J957">
        <f>IF($AG957="","",INDEX('TMP Paste'!$A$2:$A$1601,$AG957))</f>
        <v/>
      </c>
      <c r="K957">
        <f>IF($AG957="","",INDEX('TMP Paste'!$L$2:$L$1601,$AG957))</f>
        <v/>
      </c>
      <c r="L957">
        <f>IF($AG957="","",INDEX('TMP Paste'!$I$2:$I$1601,$AG957))</f>
        <v/>
      </c>
      <c r="M957">
        <f>IF($AG957="","",Config!$B$16)</f>
        <v/>
      </c>
      <c r="N957">
        <f>IF($AG957="","","")</f>
        <v/>
      </c>
      <c r="O957">
        <f>IF($AG957="","",INDEX('TMP Paste'!$K$2:$K$1601,$AG957))</f>
        <v/>
      </c>
      <c r="P957">
        <f>IF($AG957="","","")</f>
        <v/>
      </c>
      <c r="Q957">
        <f>IF($AG957="","",INDEX('TMP Paste'!$J$2:$J$1601,$AG957))</f>
        <v/>
      </c>
      <c r="R957">
        <f>IF($AG957="","",Config!$B$24)</f>
        <v/>
      </c>
      <c r="S957">
        <f>IF($AG957="","",TEXT(Config!$B$4,"yyyy-mm-dd"))</f>
        <v/>
      </c>
      <c r="T957">
        <f>IF($AG957="","",Config!$B$17)</f>
        <v/>
      </c>
      <c r="U957">
        <f>IF($AG957="","",Config!$B$18)</f>
        <v/>
      </c>
      <c r="V957">
        <f>IF($AG957="","",Config!$B$19)</f>
        <v/>
      </c>
      <c r="W957">
        <f>IF($AG957="","",INDEX('TMP Paste'!$C$2:$C$1601,$AG957))</f>
        <v/>
      </c>
      <c r="X957">
        <f>IF($AG957="","",Config!$B$29)</f>
        <v/>
      </c>
      <c r="Y957">
        <f>IF($AH957="","",INDEX(Calc!$I$2:$I$1601,$AH957)&amp;" - "&amp;INDEX(Calc!$D$2:$D$1601,$AH957)&amp;" koli")</f>
        <v/>
      </c>
      <c r="Z957">
        <f>IF($AG957="","",Config!$B$21)</f>
        <v/>
      </c>
      <c r="AA957">
        <f>IF($AG957="","",Config!$B$22)</f>
        <v/>
      </c>
      <c r="AB957">
        <f>IF($AH957="","",INDEX(Calc!$D$2:$D$1601,$AH957))</f>
        <v/>
      </c>
      <c r="AC957">
        <f>IF($AH957="","",INDEX(Calc!$G$2:$G$1601,$AH957))</f>
        <v/>
      </c>
      <c r="AD957">
        <f>IF($AG957="","",Config!$B$23)</f>
        <v/>
      </c>
      <c r="AE957">
        <f>IF($AG957="","",Config!$B$28)</f>
        <v/>
      </c>
      <c r="AG957">
        <f>IFERROR(MATCH(ROW()-1,Calc!$J$2:$J$1601,0),"")</f>
        <v/>
      </c>
      <c r="AH957">
        <f>IFERROR(MATCH(ROW()-1,Calc!$K$2:$K$1601,0),"")</f>
        <v/>
      </c>
      <c r="AI957">
        <f>IF($AG957="","",SUMIF($AG$2:$AG957,$AG957,$AH$2:$AH957))</f>
        <v/>
      </c>
      <c r="AJ957">
        <f>IF('TMP Paste'!$F957="","",IF('TMP Paste'!$B957="",$AJ956,'TMP Paste'!$B957))</f>
        <v/>
      </c>
      <c r="AK957">
        <f>IF('TMP Paste'!$F957="","",N('TMP Paste'!$G957))</f>
        <v/>
      </c>
      <c r="AL957">
        <f>IF('TMP Paste'!$F957="","",IF('TMP Paste'!$M957="",$AL956,'TMP Paste'!$M957))</f>
        <v/>
      </c>
      <c r="AM957">
        <f>IF('TMP Paste'!$F957="","",IF('TMP Paste'!$N957="",$AM956,'TMP Paste'!$N957))</f>
        <v/>
      </c>
      <c r="AN957">
        <f>IF('TMP Paste'!$F957="","",IF('TMP Paste'!$O957="",$AN956,'TMP Paste'!$O957))</f>
        <v/>
      </c>
      <c r="AO957">
        <f>IF('TMP Paste'!$F957="","",IF('TMP Paste'!$P957="",$AO956,'TMP Paste'!$P957))</f>
        <v/>
      </c>
      <c r="AP957">
        <f>IF($AG957="","",LEN($R957))</f>
        <v/>
      </c>
      <c r="AQ957">
        <f>IF($AG957="","",TRIM(IF(COUNTIFS(Calc!$B$2:$B$1601,ROW()-1,Calc!$C$2:$C$1601,"&lt;1")&gt;0,"Ada PO tanpa Koli - cek TMP. ","")&amp;IF(LEN($R957)&gt;500,"R &gt; 500 karakter.","")))</f>
        <v/>
      </c>
    </row>
    <row r="958">
      <c r="A958">
        <f>IF($AG958="","",INDEX('TMP Paste'!$B$2:$B$1601,$AG958))</f>
        <v/>
      </c>
      <c r="B958">
        <f>IF($AG958="","",Config!$B$14)</f>
        <v/>
      </c>
      <c r="C958">
        <f>IF($AG958="","",Config!$B$15)</f>
        <v/>
      </c>
      <c r="D958">
        <f>IF($AG958="","",INDEX('TMP Paste'!$B$2:$B$1601,$AG958))</f>
        <v/>
      </c>
      <c r="E958">
        <f>IF($AG958="","",Config!$B$27)</f>
        <v/>
      </c>
      <c r="F958">
        <f>IF($AG958="","",Config!$B$9)</f>
        <v/>
      </c>
      <c r="G958">
        <f>IF($AG958="","",Config!$B$10)</f>
        <v/>
      </c>
      <c r="H958">
        <f>IF($AG958="","",Config!$B$11)</f>
        <v/>
      </c>
      <c r="I958">
        <f>IF($AG958="","",Config!$B$16)</f>
        <v/>
      </c>
      <c r="J958">
        <f>IF($AG958="","",INDEX('TMP Paste'!$A$2:$A$1601,$AG958))</f>
        <v/>
      </c>
      <c r="K958">
        <f>IF($AG958="","",INDEX('TMP Paste'!$L$2:$L$1601,$AG958))</f>
        <v/>
      </c>
      <c r="L958">
        <f>IF($AG958="","",INDEX('TMP Paste'!$I$2:$I$1601,$AG958))</f>
        <v/>
      </c>
      <c r="M958">
        <f>IF($AG958="","",Config!$B$16)</f>
        <v/>
      </c>
      <c r="N958">
        <f>IF($AG958="","","")</f>
        <v/>
      </c>
      <c r="O958">
        <f>IF($AG958="","",INDEX('TMP Paste'!$K$2:$K$1601,$AG958))</f>
        <v/>
      </c>
      <c r="P958">
        <f>IF($AG958="","","")</f>
        <v/>
      </c>
      <c r="Q958">
        <f>IF($AG958="","",INDEX('TMP Paste'!$J$2:$J$1601,$AG958))</f>
        <v/>
      </c>
      <c r="R958">
        <f>IF($AG958="","",Config!$B$24)</f>
        <v/>
      </c>
      <c r="S958">
        <f>IF($AG958="","",TEXT(Config!$B$4,"yyyy-mm-dd"))</f>
        <v/>
      </c>
      <c r="T958">
        <f>IF($AG958="","",Config!$B$17)</f>
        <v/>
      </c>
      <c r="U958">
        <f>IF($AG958="","",Config!$B$18)</f>
        <v/>
      </c>
      <c r="V958">
        <f>IF($AG958="","",Config!$B$19)</f>
        <v/>
      </c>
      <c r="W958">
        <f>IF($AG958="","",INDEX('TMP Paste'!$C$2:$C$1601,$AG958))</f>
        <v/>
      </c>
      <c r="X958">
        <f>IF($AG958="","",Config!$B$29)</f>
        <v/>
      </c>
      <c r="Y958">
        <f>IF($AH958="","",INDEX(Calc!$I$2:$I$1601,$AH958)&amp;" - "&amp;INDEX(Calc!$D$2:$D$1601,$AH958)&amp;" koli")</f>
        <v/>
      </c>
      <c r="Z958">
        <f>IF($AG958="","",Config!$B$21)</f>
        <v/>
      </c>
      <c r="AA958">
        <f>IF($AG958="","",Config!$B$22)</f>
        <v/>
      </c>
      <c r="AB958">
        <f>IF($AH958="","",INDEX(Calc!$D$2:$D$1601,$AH958))</f>
        <v/>
      </c>
      <c r="AC958">
        <f>IF($AH958="","",INDEX(Calc!$G$2:$G$1601,$AH958))</f>
        <v/>
      </c>
      <c r="AD958">
        <f>IF($AG958="","",Config!$B$23)</f>
        <v/>
      </c>
      <c r="AE958">
        <f>IF($AG958="","",Config!$B$28)</f>
        <v/>
      </c>
      <c r="AG958">
        <f>IFERROR(MATCH(ROW()-1,Calc!$J$2:$J$1601,0),"")</f>
        <v/>
      </c>
      <c r="AH958">
        <f>IFERROR(MATCH(ROW()-1,Calc!$K$2:$K$1601,0),"")</f>
        <v/>
      </c>
      <c r="AI958">
        <f>IF($AG958="","",SUMIF($AG$2:$AG958,$AG958,$AH$2:$AH958))</f>
        <v/>
      </c>
      <c r="AJ958">
        <f>IF('TMP Paste'!$F958="","",IF('TMP Paste'!$B958="",$AJ957,'TMP Paste'!$B958))</f>
        <v/>
      </c>
      <c r="AK958">
        <f>IF('TMP Paste'!$F958="","",N('TMP Paste'!$G958))</f>
        <v/>
      </c>
      <c r="AL958">
        <f>IF('TMP Paste'!$F958="","",IF('TMP Paste'!$M958="",$AL957,'TMP Paste'!$M958))</f>
        <v/>
      </c>
      <c r="AM958">
        <f>IF('TMP Paste'!$F958="","",IF('TMP Paste'!$N958="",$AM957,'TMP Paste'!$N958))</f>
        <v/>
      </c>
      <c r="AN958">
        <f>IF('TMP Paste'!$F958="","",IF('TMP Paste'!$O958="",$AN957,'TMP Paste'!$O958))</f>
        <v/>
      </c>
      <c r="AO958">
        <f>IF('TMP Paste'!$F958="","",IF('TMP Paste'!$P958="",$AO957,'TMP Paste'!$P958))</f>
        <v/>
      </c>
      <c r="AP958">
        <f>IF($AG958="","",LEN($R958))</f>
        <v/>
      </c>
      <c r="AQ958">
        <f>IF($AG958="","",TRIM(IF(COUNTIFS(Calc!$B$2:$B$1601,ROW()-1,Calc!$C$2:$C$1601,"&lt;1")&gt;0,"Ada PO tanpa Koli - cek TMP. ","")&amp;IF(LEN($R958)&gt;500,"R &gt; 500 karakter.","")))</f>
        <v/>
      </c>
    </row>
    <row r="959">
      <c r="A959">
        <f>IF($AG959="","",INDEX('TMP Paste'!$B$2:$B$1601,$AG959))</f>
        <v/>
      </c>
      <c r="B959">
        <f>IF($AG959="","",Config!$B$14)</f>
        <v/>
      </c>
      <c r="C959">
        <f>IF($AG959="","",Config!$B$15)</f>
        <v/>
      </c>
      <c r="D959">
        <f>IF($AG959="","",INDEX('TMP Paste'!$B$2:$B$1601,$AG959))</f>
        <v/>
      </c>
      <c r="E959">
        <f>IF($AG959="","",Config!$B$27)</f>
        <v/>
      </c>
      <c r="F959">
        <f>IF($AG959="","",Config!$B$9)</f>
        <v/>
      </c>
      <c r="G959">
        <f>IF($AG959="","",Config!$B$10)</f>
        <v/>
      </c>
      <c r="H959">
        <f>IF($AG959="","",Config!$B$11)</f>
        <v/>
      </c>
      <c r="I959">
        <f>IF($AG959="","",Config!$B$16)</f>
        <v/>
      </c>
      <c r="J959">
        <f>IF($AG959="","",INDEX('TMP Paste'!$A$2:$A$1601,$AG959))</f>
        <v/>
      </c>
      <c r="K959">
        <f>IF($AG959="","",INDEX('TMP Paste'!$L$2:$L$1601,$AG959))</f>
        <v/>
      </c>
      <c r="L959">
        <f>IF($AG959="","",INDEX('TMP Paste'!$I$2:$I$1601,$AG959))</f>
        <v/>
      </c>
      <c r="M959">
        <f>IF($AG959="","",Config!$B$16)</f>
        <v/>
      </c>
      <c r="N959">
        <f>IF($AG959="","","")</f>
        <v/>
      </c>
      <c r="O959">
        <f>IF($AG959="","",INDEX('TMP Paste'!$K$2:$K$1601,$AG959))</f>
        <v/>
      </c>
      <c r="P959">
        <f>IF($AG959="","","")</f>
        <v/>
      </c>
      <c r="Q959">
        <f>IF($AG959="","",INDEX('TMP Paste'!$J$2:$J$1601,$AG959))</f>
        <v/>
      </c>
      <c r="R959">
        <f>IF($AG959="","",Config!$B$24)</f>
        <v/>
      </c>
      <c r="S959">
        <f>IF($AG959="","",TEXT(Config!$B$4,"yyyy-mm-dd"))</f>
        <v/>
      </c>
      <c r="T959">
        <f>IF($AG959="","",Config!$B$17)</f>
        <v/>
      </c>
      <c r="U959">
        <f>IF($AG959="","",Config!$B$18)</f>
        <v/>
      </c>
      <c r="V959">
        <f>IF($AG959="","",Config!$B$19)</f>
        <v/>
      </c>
      <c r="W959">
        <f>IF($AG959="","",INDEX('TMP Paste'!$C$2:$C$1601,$AG959))</f>
        <v/>
      </c>
      <c r="X959">
        <f>IF($AG959="","",Config!$B$29)</f>
        <v/>
      </c>
      <c r="Y959">
        <f>IF($AH959="","",INDEX(Calc!$I$2:$I$1601,$AH959)&amp;" - "&amp;INDEX(Calc!$D$2:$D$1601,$AH959)&amp;" koli")</f>
        <v/>
      </c>
      <c r="Z959">
        <f>IF($AG959="","",Config!$B$21)</f>
        <v/>
      </c>
      <c r="AA959">
        <f>IF($AG959="","",Config!$B$22)</f>
        <v/>
      </c>
      <c r="AB959">
        <f>IF($AH959="","",INDEX(Calc!$D$2:$D$1601,$AH959))</f>
        <v/>
      </c>
      <c r="AC959">
        <f>IF($AH959="","",INDEX(Calc!$G$2:$G$1601,$AH959))</f>
        <v/>
      </c>
      <c r="AD959">
        <f>IF($AG959="","",Config!$B$23)</f>
        <v/>
      </c>
      <c r="AE959">
        <f>IF($AG959="","",Config!$B$28)</f>
        <v/>
      </c>
      <c r="AG959">
        <f>IFERROR(MATCH(ROW()-1,Calc!$J$2:$J$1601,0),"")</f>
        <v/>
      </c>
      <c r="AH959">
        <f>IFERROR(MATCH(ROW()-1,Calc!$K$2:$K$1601,0),"")</f>
        <v/>
      </c>
      <c r="AI959">
        <f>IF($AG959="","",SUMIF($AG$2:$AG959,$AG959,$AH$2:$AH959))</f>
        <v/>
      </c>
      <c r="AJ959">
        <f>IF('TMP Paste'!$F959="","",IF('TMP Paste'!$B959="",$AJ958,'TMP Paste'!$B959))</f>
        <v/>
      </c>
      <c r="AK959">
        <f>IF('TMP Paste'!$F959="","",N('TMP Paste'!$G959))</f>
        <v/>
      </c>
      <c r="AL959">
        <f>IF('TMP Paste'!$F959="","",IF('TMP Paste'!$M959="",$AL958,'TMP Paste'!$M959))</f>
        <v/>
      </c>
      <c r="AM959">
        <f>IF('TMP Paste'!$F959="","",IF('TMP Paste'!$N959="",$AM958,'TMP Paste'!$N959))</f>
        <v/>
      </c>
      <c r="AN959">
        <f>IF('TMP Paste'!$F959="","",IF('TMP Paste'!$O959="",$AN958,'TMP Paste'!$O959))</f>
        <v/>
      </c>
      <c r="AO959">
        <f>IF('TMP Paste'!$F959="","",IF('TMP Paste'!$P959="",$AO958,'TMP Paste'!$P959))</f>
        <v/>
      </c>
      <c r="AP959">
        <f>IF($AG959="","",LEN($R959))</f>
        <v/>
      </c>
      <c r="AQ959">
        <f>IF($AG959="","",TRIM(IF(COUNTIFS(Calc!$B$2:$B$1601,ROW()-1,Calc!$C$2:$C$1601,"&lt;1")&gt;0,"Ada PO tanpa Koli - cek TMP. ","")&amp;IF(LEN($R959)&gt;500,"R &gt; 500 karakter.","")))</f>
        <v/>
      </c>
    </row>
    <row r="960">
      <c r="A960">
        <f>IF($AG960="","",INDEX('TMP Paste'!$B$2:$B$1601,$AG960))</f>
        <v/>
      </c>
      <c r="B960">
        <f>IF($AG960="","",Config!$B$14)</f>
        <v/>
      </c>
      <c r="C960">
        <f>IF($AG960="","",Config!$B$15)</f>
        <v/>
      </c>
      <c r="D960">
        <f>IF($AG960="","",INDEX('TMP Paste'!$B$2:$B$1601,$AG960))</f>
        <v/>
      </c>
      <c r="E960">
        <f>IF($AG960="","",Config!$B$27)</f>
        <v/>
      </c>
      <c r="F960">
        <f>IF($AG960="","",Config!$B$9)</f>
        <v/>
      </c>
      <c r="G960">
        <f>IF($AG960="","",Config!$B$10)</f>
        <v/>
      </c>
      <c r="H960">
        <f>IF($AG960="","",Config!$B$11)</f>
        <v/>
      </c>
      <c r="I960">
        <f>IF($AG960="","",Config!$B$16)</f>
        <v/>
      </c>
      <c r="J960">
        <f>IF($AG960="","",INDEX('TMP Paste'!$A$2:$A$1601,$AG960))</f>
        <v/>
      </c>
      <c r="K960">
        <f>IF($AG960="","",INDEX('TMP Paste'!$L$2:$L$1601,$AG960))</f>
        <v/>
      </c>
      <c r="L960">
        <f>IF($AG960="","",INDEX('TMP Paste'!$I$2:$I$1601,$AG960))</f>
        <v/>
      </c>
      <c r="M960">
        <f>IF($AG960="","",Config!$B$16)</f>
        <v/>
      </c>
      <c r="N960">
        <f>IF($AG960="","","")</f>
        <v/>
      </c>
      <c r="O960">
        <f>IF($AG960="","",INDEX('TMP Paste'!$K$2:$K$1601,$AG960))</f>
        <v/>
      </c>
      <c r="P960">
        <f>IF($AG960="","","")</f>
        <v/>
      </c>
      <c r="Q960">
        <f>IF($AG960="","",INDEX('TMP Paste'!$J$2:$J$1601,$AG960))</f>
        <v/>
      </c>
      <c r="R960">
        <f>IF($AG960="","",Config!$B$24)</f>
        <v/>
      </c>
      <c r="S960">
        <f>IF($AG960="","",TEXT(Config!$B$4,"yyyy-mm-dd"))</f>
        <v/>
      </c>
      <c r="T960">
        <f>IF($AG960="","",Config!$B$17)</f>
        <v/>
      </c>
      <c r="U960">
        <f>IF($AG960="","",Config!$B$18)</f>
        <v/>
      </c>
      <c r="V960">
        <f>IF($AG960="","",Config!$B$19)</f>
        <v/>
      </c>
      <c r="W960">
        <f>IF($AG960="","",INDEX('TMP Paste'!$C$2:$C$1601,$AG960))</f>
        <v/>
      </c>
      <c r="X960">
        <f>IF($AG960="","",Config!$B$29)</f>
        <v/>
      </c>
      <c r="Y960">
        <f>IF($AH960="","",INDEX(Calc!$I$2:$I$1601,$AH960)&amp;" - "&amp;INDEX(Calc!$D$2:$D$1601,$AH960)&amp;" koli")</f>
        <v/>
      </c>
      <c r="Z960">
        <f>IF($AG960="","",Config!$B$21)</f>
        <v/>
      </c>
      <c r="AA960">
        <f>IF($AG960="","",Config!$B$22)</f>
        <v/>
      </c>
      <c r="AB960">
        <f>IF($AH960="","",INDEX(Calc!$D$2:$D$1601,$AH960))</f>
        <v/>
      </c>
      <c r="AC960">
        <f>IF($AH960="","",INDEX(Calc!$G$2:$G$1601,$AH960))</f>
        <v/>
      </c>
      <c r="AD960">
        <f>IF($AG960="","",Config!$B$23)</f>
        <v/>
      </c>
      <c r="AE960">
        <f>IF($AG960="","",Config!$B$28)</f>
        <v/>
      </c>
      <c r="AG960">
        <f>IFERROR(MATCH(ROW()-1,Calc!$J$2:$J$1601,0),"")</f>
        <v/>
      </c>
      <c r="AH960">
        <f>IFERROR(MATCH(ROW()-1,Calc!$K$2:$K$1601,0),"")</f>
        <v/>
      </c>
      <c r="AI960">
        <f>IF($AG960="","",SUMIF($AG$2:$AG960,$AG960,$AH$2:$AH960))</f>
        <v/>
      </c>
      <c r="AJ960">
        <f>IF('TMP Paste'!$F960="","",IF('TMP Paste'!$B960="",$AJ959,'TMP Paste'!$B960))</f>
        <v/>
      </c>
      <c r="AK960">
        <f>IF('TMP Paste'!$F960="","",N('TMP Paste'!$G960))</f>
        <v/>
      </c>
      <c r="AL960">
        <f>IF('TMP Paste'!$F960="","",IF('TMP Paste'!$M960="",$AL959,'TMP Paste'!$M960))</f>
        <v/>
      </c>
      <c r="AM960">
        <f>IF('TMP Paste'!$F960="","",IF('TMP Paste'!$N960="",$AM959,'TMP Paste'!$N960))</f>
        <v/>
      </c>
      <c r="AN960">
        <f>IF('TMP Paste'!$F960="","",IF('TMP Paste'!$O960="",$AN959,'TMP Paste'!$O960))</f>
        <v/>
      </c>
      <c r="AO960">
        <f>IF('TMP Paste'!$F960="","",IF('TMP Paste'!$P960="",$AO959,'TMP Paste'!$P960))</f>
        <v/>
      </c>
      <c r="AP960">
        <f>IF($AG960="","",LEN($R960))</f>
        <v/>
      </c>
      <c r="AQ960">
        <f>IF($AG960="","",TRIM(IF(COUNTIFS(Calc!$B$2:$B$1601,ROW()-1,Calc!$C$2:$C$1601,"&lt;1")&gt;0,"Ada PO tanpa Koli - cek TMP. ","")&amp;IF(LEN($R960)&gt;500,"R &gt; 500 karakter.","")))</f>
        <v/>
      </c>
    </row>
    <row r="961">
      <c r="A961">
        <f>IF($AG961="","",INDEX('TMP Paste'!$B$2:$B$1601,$AG961))</f>
        <v/>
      </c>
      <c r="B961">
        <f>IF($AG961="","",Config!$B$14)</f>
        <v/>
      </c>
      <c r="C961">
        <f>IF($AG961="","",Config!$B$15)</f>
        <v/>
      </c>
      <c r="D961">
        <f>IF($AG961="","",INDEX('TMP Paste'!$B$2:$B$1601,$AG961))</f>
        <v/>
      </c>
      <c r="E961">
        <f>IF($AG961="","",Config!$B$27)</f>
        <v/>
      </c>
      <c r="F961">
        <f>IF($AG961="","",Config!$B$9)</f>
        <v/>
      </c>
      <c r="G961">
        <f>IF($AG961="","",Config!$B$10)</f>
        <v/>
      </c>
      <c r="H961">
        <f>IF($AG961="","",Config!$B$11)</f>
        <v/>
      </c>
      <c r="I961">
        <f>IF($AG961="","",Config!$B$16)</f>
        <v/>
      </c>
      <c r="J961">
        <f>IF($AG961="","",INDEX('TMP Paste'!$A$2:$A$1601,$AG961))</f>
        <v/>
      </c>
      <c r="K961">
        <f>IF($AG961="","",INDEX('TMP Paste'!$L$2:$L$1601,$AG961))</f>
        <v/>
      </c>
      <c r="L961">
        <f>IF($AG961="","",INDEX('TMP Paste'!$I$2:$I$1601,$AG961))</f>
        <v/>
      </c>
      <c r="M961">
        <f>IF($AG961="","",Config!$B$16)</f>
        <v/>
      </c>
      <c r="N961">
        <f>IF($AG961="","","")</f>
        <v/>
      </c>
      <c r="O961">
        <f>IF($AG961="","",INDEX('TMP Paste'!$K$2:$K$1601,$AG961))</f>
        <v/>
      </c>
      <c r="P961">
        <f>IF($AG961="","","")</f>
        <v/>
      </c>
      <c r="Q961">
        <f>IF($AG961="","",INDEX('TMP Paste'!$J$2:$J$1601,$AG961))</f>
        <v/>
      </c>
      <c r="R961">
        <f>IF($AG961="","",Config!$B$24)</f>
        <v/>
      </c>
      <c r="S961">
        <f>IF($AG961="","",TEXT(Config!$B$4,"yyyy-mm-dd"))</f>
        <v/>
      </c>
      <c r="T961">
        <f>IF($AG961="","",Config!$B$17)</f>
        <v/>
      </c>
      <c r="U961">
        <f>IF($AG961="","",Config!$B$18)</f>
        <v/>
      </c>
      <c r="V961">
        <f>IF($AG961="","",Config!$B$19)</f>
        <v/>
      </c>
      <c r="W961">
        <f>IF($AG961="","",INDEX('TMP Paste'!$C$2:$C$1601,$AG961))</f>
        <v/>
      </c>
      <c r="X961">
        <f>IF($AG961="","",Config!$B$29)</f>
        <v/>
      </c>
      <c r="Y961">
        <f>IF($AH961="","",INDEX(Calc!$I$2:$I$1601,$AH961)&amp;" - "&amp;INDEX(Calc!$D$2:$D$1601,$AH961)&amp;" koli")</f>
        <v/>
      </c>
      <c r="Z961">
        <f>IF($AG961="","",Config!$B$21)</f>
        <v/>
      </c>
      <c r="AA961">
        <f>IF($AG961="","",Config!$B$22)</f>
        <v/>
      </c>
      <c r="AB961">
        <f>IF($AH961="","",INDEX(Calc!$D$2:$D$1601,$AH961))</f>
        <v/>
      </c>
      <c r="AC961">
        <f>IF($AH961="","",INDEX(Calc!$G$2:$G$1601,$AH961))</f>
        <v/>
      </c>
      <c r="AD961">
        <f>IF($AG961="","",Config!$B$23)</f>
        <v/>
      </c>
      <c r="AE961">
        <f>IF($AG961="","",Config!$B$28)</f>
        <v/>
      </c>
      <c r="AG961">
        <f>IFERROR(MATCH(ROW()-1,Calc!$J$2:$J$1601,0),"")</f>
        <v/>
      </c>
      <c r="AH961">
        <f>IFERROR(MATCH(ROW()-1,Calc!$K$2:$K$1601,0),"")</f>
        <v/>
      </c>
      <c r="AI961">
        <f>IF($AG961="","",SUMIF($AG$2:$AG961,$AG961,$AH$2:$AH961))</f>
        <v/>
      </c>
      <c r="AJ961">
        <f>IF('TMP Paste'!$F961="","",IF('TMP Paste'!$B961="",$AJ960,'TMP Paste'!$B961))</f>
        <v/>
      </c>
      <c r="AK961">
        <f>IF('TMP Paste'!$F961="","",N('TMP Paste'!$G961))</f>
        <v/>
      </c>
      <c r="AL961">
        <f>IF('TMP Paste'!$F961="","",IF('TMP Paste'!$M961="",$AL960,'TMP Paste'!$M961))</f>
        <v/>
      </c>
      <c r="AM961">
        <f>IF('TMP Paste'!$F961="","",IF('TMP Paste'!$N961="",$AM960,'TMP Paste'!$N961))</f>
        <v/>
      </c>
      <c r="AN961">
        <f>IF('TMP Paste'!$F961="","",IF('TMP Paste'!$O961="",$AN960,'TMP Paste'!$O961))</f>
        <v/>
      </c>
      <c r="AO961">
        <f>IF('TMP Paste'!$F961="","",IF('TMP Paste'!$P961="",$AO960,'TMP Paste'!$P961))</f>
        <v/>
      </c>
      <c r="AP961">
        <f>IF($AG961="","",LEN($R961))</f>
        <v/>
      </c>
      <c r="AQ961">
        <f>IF($AG961="","",TRIM(IF(COUNTIFS(Calc!$B$2:$B$1601,ROW()-1,Calc!$C$2:$C$1601,"&lt;1")&gt;0,"Ada PO tanpa Koli - cek TMP. ","")&amp;IF(LEN($R961)&gt;500,"R &gt; 500 karakter.","")))</f>
        <v/>
      </c>
    </row>
    <row r="962">
      <c r="A962">
        <f>IF($AG962="","",INDEX('TMP Paste'!$B$2:$B$1601,$AG962))</f>
        <v/>
      </c>
      <c r="B962">
        <f>IF($AG962="","",Config!$B$14)</f>
        <v/>
      </c>
      <c r="C962">
        <f>IF($AG962="","",Config!$B$15)</f>
        <v/>
      </c>
      <c r="D962">
        <f>IF($AG962="","",INDEX('TMP Paste'!$B$2:$B$1601,$AG962))</f>
        <v/>
      </c>
      <c r="E962">
        <f>IF($AG962="","",Config!$B$27)</f>
        <v/>
      </c>
      <c r="F962">
        <f>IF($AG962="","",Config!$B$9)</f>
        <v/>
      </c>
      <c r="G962">
        <f>IF($AG962="","",Config!$B$10)</f>
        <v/>
      </c>
      <c r="H962">
        <f>IF($AG962="","",Config!$B$11)</f>
        <v/>
      </c>
      <c r="I962">
        <f>IF($AG962="","",Config!$B$16)</f>
        <v/>
      </c>
      <c r="J962">
        <f>IF($AG962="","",INDEX('TMP Paste'!$A$2:$A$1601,$AG962))</f>
        <v/>
      </c>
      <c r="K962">
        <f>IF($AG962="","",INDEX('TMP Paste'!$L$2:$L$1601,$AG962))</f>
        <v/>
      </c>
      <c r="L962">
        <f>IF($AG962="","",INDEX('TMP Paste'!$I$2:$I$1601,$AG962))</f>
        <v/>
      </c>
      <c r="M962">
        <f>IF($AG962="","",Config!$B$16)</f>
        <v/>
      </c>
      <c r="N962">
        <f>IF($AG962="","","")</f>
        <v/>
      </c>
      <c r="O962">
        <f>IF($AG962="","",INDEX('TMP Paste'!$K$2:$K$1601,$AG962))</f>
        <v/>
      </c>
      <c r="P962">
        <f>IF($AG962="","","")</f>
        <v/>
      </c>
      <c r="Q962">
        <f>IF($AG962="","",INDEX('TMP Paste'!$J$2:$J$1601,$AG962))</f>
        <v/>
      </c>
      <c r="R962">
        <f>IF($AG962="","",Config!$B$24)</f>
        <v/>
      </c>
      <c r="S962">
        <f>IF($AG962="","",TEXT(Config!$B$4,"yyyy-mm-dd"))</f>
        <v/>
      </c>
      <c r="T962">
        <f>IF($AG962="","",Config!$B$17)</f>
        <v/>
      </c>
      <c r="U962">
        <f>IF($AG962="","",Config!$B$18)</f>
        <v/>
      </c>
      <c r="V962">
        <f>IF($AG962="","",Config!$B$19)</f>
        <v/>
      </c>
      <c r="W962">
        <f>IF($AG962="","",INDEX('TMP Paste'!$C$2:$C$1601,$AG962))</f>
        <v/>
      </c>
      <c r="X962">
        <f>IF($AG962="","",Config!$B$29)</f>
        <v/>
      </c>
      <c r="Y962">
        <f>IF($AH962="","",INDEX(Calc!$I$2:$I$1601,$AH962)&amp;" - "&amp;INDEX(Calc!$D$2:$D$1601,$AH962)&amp;" koli")</f>
        <v/>
      </c>
      <c r="Z962">
        <f>IF($AG962="","",Config!$B$21)</f>
        <v/>
      </c>
      <c r="AA962">
        <f>IF($AG962="","",Config!$B$22)</f>
        <v/>
      </c>
      <c r="AB962">
        <f>IF($AH962="","",INDEX(Calc!$D$2:$D$1601,$AH962))</f>
        <v/>
      </c>
      <c r="AC962">
        <f>IF($AH962="","",INDEX(Calc!$G$2:$G$1601,$AH962))</f>
        <v/>
      </c>
      <c r="AD962">
        <f>IF($AG962="","",Config!$B$23)</f>
        <v/>
      </c>
      <c r="AE962">
        <f>IF($AG962="","",Config!$B$28)</f>
        <v/>
      </c>
      <c r="AG962">
        <f>IFERROR(MATCH(ROW()-1,Calc!$J$2:$J$1601,0),"")</f>
        <v/>
      </c>
      <c r="AH962">
        <f>IFERROR(MATCH(ROW()-1,Calc!$K$2:$K$1601,0),"")</f>
        <v/>
      </c>
      <c r="AI962">
        <f>IF($AG962="","",SUMIF($AG$2:$AG962,$AG962,$AH$2:$AH962))</f>
        <v/>
      </c>
      <c r="AJ962">
        <f>IF('TMP Paste'!$F962="","",IF('TMP Paste'!$B962="",$AJ961,'TMP Paste'!$B962))</f>
        <v/>
      </c>
      <c r="AK962">
        <f>IF('TMP Paste'!$F962="","",N('TMP Paste'!$G962))</f>
        <v/>
      </c>
      <c r="AL962">
        <f>IF('TMP Paste'!$F962="","",IF('TMP Paste'!$M962="",$AL961,'TMP Paste'!$M962))</f>
        <v/>
      </c>
      <c r="AM962">
        <f>IF('TMP Paste'!$F962="","",IF('TMP Paste'!$N962="",$AM961,'TMP Paste'!$N962))</f>
        <v/>
      </c>
      <c r="AN962">
        <f>IF('TMP Paste'!$F962="","",IF('TMP Paste'!$O962="",$AN961,'TMP Paste'!$O962))</f>
        <v/>
      </c>
      <c r="AO962">
        <f>IF('TMP Paste'!$F962="","",IF('TMP Paste'!$P962="",$AO961,'TMP Paste'!$P962))</f>
        <v/>
      </c>
      <c r="AP962">
        <f>IF($AG962="","",LEN($R962))</f>
        <v/>
      </c>
      <c r="AQ962">
        <f>IF($AG962="","",TRIM(IF(COUNTIFS(Calc!$B$2:$B$1601,ROW()-1,Calc!$C$2:$C$1601,"&lt;1")&gt;0,"Ada PO tanpa Koli - cek TMP. ","")&amp;IF(LEN($R962)&gt;500,"R &gt; 500 karakter.","")))</f>
        <v/>
      </c>
    </row>
    <row r="963">
      <c r="A963">
        <f>IF($AG963="","",INDEX('TMP Paste'!$B$2:$B$1601,$AG963))</f>
        <v/>
      </c>
      <c r="B963">
        <f>IF($AG963="","",Config!$B$14)</f>
        <v/>
      </c>
      <c r="C963">
        <f>IF($AG963="","",Config!$B$15)</f>
        <v/>
      </c>
      <c r="D963">
        <f>IF($AG963="","",INDEX('TMP Paste'!$B$2:$B$1601,$AG963))</f>
        <v/>
      </c>
      <c r="E963">
        <f>IF($AG963="","",Config!$B$27)</f>
        <v/>
      </c>
      <c r="F963">
        <f>IF($AG963="","",Config!$B$9)</f>
        <v/>
      </c>
      <c r="G963">
        <f>IF($AG963="","",Config!$B$10)</f>
        <v/>
      </c>
      <c r="H963">
        <f>IF($AG963="","",Config!$B$11)</f>
        <v/>
      </c>
      <c r="I963">
        <f>IF($AG963="","",Config!$B$16)</f>
        <v/>
      </c>
      <c r="J963">
        <f>IF($AG963="","",INDEX('TMP Paste'!$A$2:$A$1601,$AG963))</f>
        <v/>
      </c>
      <c r="K963">
        <f>IF($AG963="","",INDEX('TMP Paste'!$L$2:$L$1601,$AG963))</f>
        <v/>
      </c>
      <c r="L963">
        <f>IF($AG963="","",INDEX('TMP Paste'!$I$2:$I$1601,$AG963))</f>
        <v/>
      </c>
      <c r="M963">
        <f>IF($AG963="","",Config!$B$16)</f>
        <v/>
      </c>
      <c r="N963">
        <f>IF($AG963="","","")</f>
        <v/>
      </c>
      <c r="O963">
        <f>IF($AG963="","",INDEX('TMP Paste'!$K$2:$K$1601,$AG963))</f>
        <v/>
      </c>
      <c r="P963">
        <f>IF($AG963="","","")</f>
        <v/>
      </c>
      <c r="Q963">
        <f>IF($AG963="","",INDEX('TMP Paste'!$J$2:$J$1601,$AG963))</f>
        <v/>
      </c>
      <c r="R963">
        <f>IF($AG963="","",Config!$B$24)</f>
        <v/>
      </c>
      <c r="S963">
        <f>IF($AG963="","",TEXT(Config!$B$4,"yyyy-mm-dd"))</f>
        <v/>
      </c>
      <c r="T963">
        <f>IF($AG963="","",Config!$B$17)</f>
        <v/>
      </c>
      <c r="U963">
        <f>IF($AG963="","",Config!$B$18)</f>
        <v/>
      </c>
      <c r="V963">
        <f>IF($AG963="","",Config!$B$19)</f>
        <v/>
      </c>
      <c r="W963">
        <f>IF($AG963="","",INDEX('TMP Paste'!$C$2:$C$1601,$AG963))</f>
        <v/>
      </c>
      <c r="X963">
        <f>IF($AG963="","",Config!$B$29)</f>
        <v/>
      </c>
      <c r="Y963">
        <f>IF($AH963="","",INDEX(Calc!$I$2:$I$1601,$AH963)&amp;" - "&amp;INDEX(Calc!$D$2:$D$1601,$AH963)&amp;" koli")</f>
        <v/>
      </c>
      <c r="Z963">
        <f>IF($AG963="","",Config!$B$21)</f>
        <v/>
      </c>
      <c r="AA963">
        <f>IF($AG963="","",Config!$B$22)</f>
        <v/>
      </c>
      <c r="AB963">
        <f>IF($AH963="","",INDEX(Calc!$D$2:$D$1601,$AH963))</f>
        <v/>
      </c>
      <c r="AC963">
        <f>IF($AH963="","",INDEX(Calc!$G$2:$G$1601,$AH963))</f>
        <v/>
      </c>
      <c r="AD963">
        <f>IF($AG963="","",Config!$B$23)</f>
        <v/>
      </c>
      <c r="AE963">
        <f>IF($AG963="","",Config!$B$28)</f>
        <v/>
      </c>
      <c r="AG963">
        <f>IFERROR(MATCH(ROW()-1,Calc!$J$2:$J$1601,0),"")</f>
        <v/>
      </c>
      <c r="AH963">
        <f>IFERROR(MATCH(ROW()-1,Calc!$K$2:$K$1601,0),"")</f>
        <v/>
      </c>
      <c r="AI963">
        <f>IF($AG963="","",SUMIF($AG$2:$AG963,$AG963,$AH$2:$AH963))</f>
        <v/>
      </c>
      <c r="AJ963">
        <f>IF('TMP Paste'!$F963="","",IF('TMP Paste'!$B963="",$AJ962,'TMP Paste'!$B963))</f>
        <v/>
      </c>
      <c r="AK963">
        <f>IF('TMP Paste'!$F963="","",N('TMP Paste'!$G963))</f>
        <v/>
      </c>
      <c r="AL963">
        <f>IF('TMP Paste'!$F963="","",IF('TMP Paste'!$M963="",$AL962,'TMP Paste'!$M963))</f>
        <v/>
      </c>
      <c r="AM963">
        <f>IF('TMP Paste'!$F963="","",IF('TMP Paste'!$N963="",$AM962,'TMP Paste'!$N963))</f>
        <v/>
      </c>
      <c r="AN963">
        <f>IF('TMP Paste'!$F963="","",IF('TMP Paste'!$O963="",$AN962,'TMP Paste'!$O963))</f>
        <v/>
      </c>
      <c r="AO963">
        <f>IF('TMP Paste'!$F963="","",IF('TMP Paste'!$P963="",$AO962,'TMP Paste'!$P963))</f>
        <v/>
      </c>
      <c r="AP963">
        <f>IF($AG963="","",LEN($R963))</f>
        <v/>
      </c>
      <c r="AQ963">
        <f>IF($AG963="","",TRIM(IF(COUNTIFS(Calc!$B$2:$B$1601,ROW()-1,Calc!$C$2:$C$1601,"&lt;1")&gt;0,"Ada PO tanpa Koli - cek TMP. ","")&amp;IF(LEN($R963)&gt;500,"R &gt; 500 karakter.","")))</f>
        <v/>
      </c>
    </row>
    <row r="964">
      <c r="A964">
        <f>IF($AG964="","",INDEX('TMP Paste'!$B$2:$B$1601,$AG964))</f>
        <v/>
      </c>
      <c r="B964">
        <f>IF($AG964="","",Config!$B$14)</f>
        <v/>
      </c>
      <c r="C964">
        <f>IF($AG964="","",Config!$B$15)</f>
        <v/>
      </c>
      <c r="D964">
        <f>IF($AG964="","",INDEX('TMP Paste'!$B$2:$B$1601,$AG964))</f>
        <v/>
      </c>
      <c r="E964">
        <f>IF($AG964="","",Config!$B$27)</f>
        <v/>
      </c>
      <c r="F964">
        <f>IF($AG964="","",Config!$B$9)</f>
        <v/>
      </c>
      <c r="G964">
        <f>IF($AG964="","",Config!$B$10)</f>
        <v/>
      </c>
      <c r="H964">
        <f>IF($AG964="","",Config!$B$11)</f>
        <v/>
      </c>
      <c r="I964">
        <f>IF($AG964="","",Config!$B$16)</f>
        <v/>
      </c>
      <c r="J964">
        <f>IF($AG964="","",INDEX('TMP Paste'!$A$2:$A$1601,$AG964))</f>
        <v/>
      </c>
      <c r="K964">
        <f>IF($AG964="","",INDEX('TMP Paste'!$L$2:$L$1601,$AG964))</f>
        <v/>
      </c>
      <c r="L964">
        <f>IF($AG964="","",INDEX('TMP Paste'!$I$2:$I$1601,$AG964))</f>
        <v/>
      </c>
      <c r="M964">
        <f>IF($AG964="","",Config!$B$16)</f>
        <v/>
      </c>
      <c r="N964">
        <f>IF($AG964="","","")</f>
        <v/>
      </c>
      <c r="O964">
        <f>IF($AG964="","",INDEX('TMP Paste'!$K$2:$K$1601,$AG964))</f>
        <v/>
      </c>
      <c r="P964">
        <f>IF($AG964="","","")</f>
        <v/>
      </c>
      <c r="Q964">
        <f>IF($AG964="","",INDEX('TMP Paste'!$J$2:$J$1601,$AG964))</f>
        <v/>
      </c>
      <c r="R964">
        <f>IF($AG964="","",Config!$B$24)</f>
        <v/>
      </c>
      <c r="S964">
        <f>IF($AG964="","",TEXT(Config!$B$4,"yyyy-mm-dd"))</f>
        <v/>
      </c>
      <c r="T964">
        <f>IF($AG964="","",Config!$B$17)</f>
        <v/>
      </c>
      <c r="U964">
        <f>IF($AG964="","",Config!$B$18)</f>
        <v/>
      </c>
      <c r="V964">
        <f>IF($AG964="","",Config!$B$19)</f>
        <v/>
      </c>
      <c r="W964">
        <f>IF($AG964="","",INDEX('TMP Paste'!$C$2:$C$1601,$AG964))</f>
        <v/>
      </c>
      <c r="X964">
        <f>IF($AG964="","",Config!$B$29)</f>
        <v/>
      </c>
      <c r="Y964">
        <f>IF($AH964="","",INDEX(Calc!$I$2:$I$1601,$AH964)&amp;" - "&amp;INDEX(Calc!$D$2:$D$1601,$AH964)&amp;" koli")</f>
        <v/>
      </c>
      <c r="Z964">
        <f>IF($AG964="","",Config!$B$21)</f>
        <v/>
      </c>
      <c r="AA964">
        <f>IF($AG964="","",Config!$B$22)</f>
        <v/>
      </c>
      <c r="AB964">
        <f>IF($AH964="","",INDEX(Calc!$D$2:$D$1601,$AH964))</f>
        <v/>
      </c>
      <c r="AC964">
        <f>IF($AH964="","",INDEX(Calc!$G$2:$G$1601,$AH964))</f>
        <v/>
      </c>
      <c r="AD964">
        <f>IF($AG964="","",Config!$B$23)</f>
        <v/>
      </c>
      <c r="AE964">
        <f>IF($AG964="","",Config!$B$28)</f>
        <v/>
      </c>
      <c r="AG964">
        <f>IFERROR(MATCH(ROW()-1,Calc!$J$2:$J$1601,0),"")</f>
        <v/>
      </c>
      <c r="AH964">
        <f>IFERROR(MATCH(ROW()-1,Calc!$K$2:$K$1601,0),"")</f>
        <v/>
      </c>
      <c r="AI964">
        <f>IF($AG964="","",SUMIF($AG$2:$AG964,$AG964,$AH$2:$AH964))</f>
        <v/>
      </c>
      <c r="AJ964">
        <f>IF('TMP Paste'!$F964="","",IF('TMP Paste'!$B964="",$AJ963,'TMP Paste'!$B964))</f>
        <v/>
      </c>
      <c r="AK964">
        <f>IF('TMP Paste'!$F964="","",N('TMP Paste'!$G964))</f>
        <v/>
      </c>
      <c r="AL964">
        <f>IF('TMP Paste'!$F964="","",IF('TMP Paste'!$M964="",$AL963,'TMP Paste'!$M964))</f>
        <v/>
      </c>
      <c r="AM964">
        <f>IF('TMP Paste'!$F964="","",IF('TMP Paste'!$N964="",$AM963,'TMP Paste'!$N964))</f>
        <v/>
      </c>
      <c r="AN964">
        <f>IF('TMP Paste'!$F964="","",IF('TMP Paste'!$O964="",$AN963,'TMP Paste'!$O964))</f>
        <v/>
      </c>
      <c r="AO964">
        <f>IF('TMP Paste'!$F964="","",IF('TMP Paste'!$P964="",$AO963,'TMP Paste'!$P964))</f>
        <v/>
      </c>
      <c r="AP964">
        <f>IF($AG964="","",LEN($R964))</f>
        <v/>
      </c>
      <c r="AQ964">
        <f>IF($AG964="","",TRIM(IF(COUNTIFS(Calc!$B$2:$B$1601,ROW()-1,Calc!$C$2:$C$1601,"&lt;1")&gt;0,"Ada PO tanpa Koli - cek TMP. ","")&amp;IF(LEN($R964)&gt;500,"R &gt; 500 karakter.","")))</f>
        <v/>
      </c>
    </row>
    <row r="965">
      <c r="A965">
        <f>IF($AG965="","",INDEX('TMP Paste'!$B$2:$B$1601,$AG965))</f>
        <v/>
      </c>
      <c r="B965">
        <f>IF($AG965="","",Config!$B$14)</f>
        <v/>
      </c>
      <c r="C965">
        <f>IF($AG965="","",Config!$B$15)</f>
        <v/>
      </c>
      <c r="D965">
        <f>IF($AG965="","",INDEX('TMP Paste'!$B$2:$B$1601,$AG965))</f>
        <v/>
      </c>
      <c r="E965">
        <f>IF($AG965="","",Config!$B$27)</f>
        <v/>
      </c>
      <c r="F965">
        <f>IF($AG965="","",Config!$B$9)</f>
        <v/>
      </c>
      <c r="G965">
        <f>IF($AG965="","",Config!$B$10)</f>
        <v/>
      </c>
      <c r="H965">
        <f>IF($AG965="","",Config!$B$11)</f>
        <v/>
      </c>
      <c r="I965">
        <f>IF($AG965="","",Config!$B$16)</f>
        <v/>
      </c>
      <c r="J965">
        <f>IF($AG965="","",INDEX('TMP Paste'!$A$2:$A$1601,$AG965))</f>
        <v/>
      </c>
      <c r="K965">
        <f>IF($AG965="","",INDEX('TMP Paste'!$L$2:$L$1601,$AG965))</f>
        <v/>
      </c>
      <c r="L965">
        <f>IF($AG965="","",INDEX('TMP Paste'!$I$2:$I$1601,$AG965))</f>
        <v/>
      </c>
      <c r="M965">
        <f>IF($AG965="","",Config!$B$16)</f>
        <v/>
      </c>
      <c r="N965">
        <f>IF($AG965="","","")</f>
        <v/>
      </c>
      <c r="O965">
        <f>IF($AG965="","",INDEX('TMP Paste'!$K$2:$K$1601,$AG965))</f>
        <v/>
      </c>
      <c r="P965">
        <f>IF($AG965="","","")</f>
        <v/>
      </c>
      <c r="Q965">
        <f>IF($AG965="","",INDEX('TMP Paste'!$J$2:$J$1601,$AG965))</f>
        <v/>
      </c>
      <c r="R965">
        <f>IF($AG965="","",Config!$B$24)</f>
        <v/>
      </c>
      <c r="S965">
        <f>IF($AG965="","",TEXT(Config!$B$4,"yyyy-mm-dd"))</f>
        <v/>
      </c>
      <c r="T965">
        <f>IF($AG965="","",Config!$B$17)</f>
        <v/>
      </c>
      <c r="U965">
        <f>IF($AG965="","",Config!$B$18)</f>
        <v/>
      </c>
      <c r="V965">
        <f>IF($AG965="","",Config!$B$19)</f>
        <v/>
      </c>
      <c r="W965">
        <f>IF($AG965="","",INDEX('TMP Paste'!$C$2:$C$1601,$AG965))</f>
        <v/>
      </c>
      <c r="X965">
        <f>IF($AG965="","",Config!$B$29)</f>
        <v/>
      </c>
      <c r="Y965">
        <f>IF($AH965="","",INDEX(Calc!$I$2:$I$1601,$AH965)&amp;" - "&amp;INDEX(Calc!$D$2:$D$1601,$AH965)&amp;" koli")</f>
        <v/>
      </c>
      <c r="Z965">
        <f>IF($AG965="","",Config!$B$21)</f>
        <v/>
      </c>
      <c r="AA965">
        <f>IF($AG965="","",Config!$B$22)</f>
        <v/>
      </c>
      <c r="AB965">
        <f>IF($AH965="","",INDEX(Calc!$D$2:$D$1601,$AH965))</f>
        <v/>
      </c>
      <c r="AC965">
        <f>IF($AH965="","",INDEX(Calc!$G$2:$G$1601,$AH965))</f>
        <v/>
      </c>
      <c r="AD965">
        <f>IF($AG965="","",Config!$B$23)</f>
        <v/>
      </c>
      <c r="AE965">
        <f>IF($AG965="","",Config!$B$28)</f>
        <v/>
      </c>
      <c r="AG965">
        <f>IFERROR(MATCH(ROW()-1,Calc!$J$2:$J$1601,0),"")</f>
        <v/>
      </c>
      <c r="AH965">
        <f>IFERROR(MATCH(ROW()-1,Calc!$K$2:$K$1601,0),"")</f>
        <v/>
      </c>
      <c r="AI965">
        <f>IF($AG965="","",SUMIF($AG$2:$AG965,$AG965,$AH$2:$AH965))</f>
        <v/>
      </c>
      <c r="AJ965">
        <f>IF('TMP Paste'!$F965="","",IF('TMP Paste'!$B965="",$AJ964,'TMP Paste'!$B965))</f>
        <v/>
      </c>
      <c r="AK965">
        <f>IF('TMP Paste'!$F965="","",N('TMP Paste'!$G965))</f>
        <v/>
      </c>
      <c r="AL965">
        <f>IF('TMP Paste'!$F965="","",IF('TMP Paste'!$M965="",$AL964,'TMP Paste'!$M965))</f>
        <v/>
      </c>
      <c r="AM965">
        <f>IF('TMP Paste'!$F965="","",IF('TMP Paste'!$N965="",$AM964,'TMP Paste'!$N965))</f>
        <v/>
      </c>
      <c r="AN965">
        <f>IF('TMP Paste'!$F965="","",IF('TMP Paste'!$O965="",$AN964,'TMP Paste'!$O965))</f>
        <v/>
      </c>
      <c r="AO965">
        <f>IF('TMP Paste'!$F965="","",IF('TMP Paste'!$P965="",$AO964,'TMP Paste'!$P965))</f>
        <v/>
      </c>
      <c r="AP965">
        <f>IF($AG965="","",LEN($R965))</f>
        <v/>
      </c>
      <c r="AQ965">
        <f>IF($AG965="","",TRIM(IF(COUNTIFS(Calc!$B$2:$B$1601,ROW()-1,Calc!$C$2:$C$1601,"&lt;1")&gt;0,"Ada PO tanpa Koli - cek TMP. ","")&amp;IF(LEN($R965)&gt;500,"R &gt; 500 karakter.","")))</f>
        <v/>
      </c>
    </row>
    <row r="966">
      <c r="A966">
        <f>IF($AG966="","",INDEX('TMP Paste'!$B$2:$B$1601,$AG966))</f>
        <v/>
      </c>
      <c r="B966">
        <f>IF($AG966="","",Config!$B$14)</f>
        <v/>
      </c>
      <c r="C966">
        <f>IF($AG966="","",Config!$B$15)</f>
        <v/>
      </c>
      <c r="D966">
        <f>IF($AG966="","",INDEX('TMP Paste'!$B$2:$B$1601,$AG966))</f>
        <v/>
      </c>
      <c r="E966">
        <f>IF($AG966="","",Config!$B$27)</f>
        <v/>
      </c>
      <c r="F966">
        <f>IF($AG966="","",Config!$B$9)</f>
        <v/>
      </c>
      <c r="G966">
        <f>IF($AG966="","",Config!$B$10)</f>
        <v/>
      </c>
      <c r="H966">
        <f>IF($AG966="","",Config!$B$11)</f>
        <v/>
      </c>
      <c r="I966">
        <f>IF($AG966="","",Config!$B$16)</f>
        <v/>
      </c>
      <c r="J966">
        <f>IF($AG966="","",INDEX('TMP Paste'!$A$2:$A$1601,$AG966))</f>
        <v/>
      </c>
      <c r="K966">
        <f>IF($AG966="","",INDEX('TMP Paste'!$L$2:$L$1601,$AG966))</f>
        <v/>
      </c>
      <c r="L966">
        <f>IF($AG966="","",INDEX('TMP Paste'!$I$2:$I$1601,$AG966))</f>
        <v/>
      </c>
      <c r="M966">
        <f>IF($AG966="","",Config!$B$16)</f>
        <v/>
      </c>
      <c r="N966">
        <f>IF($AG966="","","")</f>
        <v/>
      </c>
      <c r="O966">
        <f>IF($AG966="","",INDEX('TMP Paste'!$K$2:$K$1601,$AG966))</f>
        <v/>
      </c>
      <c r="P966">
        <f>IF($AG966="","","")</f>
        <v/>
      </c>
      <c r="Q966">
        <f>IF($AG966="","",INDEX('TMP Paste'!$J$2:$J$1601,$AG966))</f>
        <v/>
      </c>
      <c r="R966">
        <f>IF($AG966="","",Config!$B$24)</f>
        <v/>
      </c>
      <c r="S966">
        <f>IF($AG966="","",TEXT(Config!$B$4,"yyyy-mm-dd"))</f>
        <v/>
      </c>
      <c r="T966">
        <f>IF($AG966="","",Config!$B$17)</f>
        <v/>
      </c>
      <c r="U966">
        <f>IF($AG966="","",Config!$B$18)</f>
        <v/>
      </c>
      <c r="V966">
        <f>IF($AG966="","",Config!$B$19)</f>
        <v/>
      </c>
      <c r="W966">
        <f>IF($AG966="","",INDEX('TMP Paste'!$C$2:$C$1601,$AG966))</f>
        <v/>
      </c>
      <c r="X966">
        <f>IF($AG966="","",Config!$B$29)</f>
        <v/>
      </c>
      <c r="Y966">
        <f>IF($AH966="","",INDEX(Calc!$I$2:$I$1601,$AH966)&amp;" - "&amp;INDEX(Calc!$D$2:$D$1601,$AH966)&amp;" koli")</f>
        <v/>
      </c>
      <c r="Z966">
        <f>IF($AG966="","",Config!$B$21)</f>
        <v/>
      </c>
      <c r="AA966">
        <f>IF($AG966="","",Config!$B$22)</f>
        <v/>
      </c>
      <c r="AB966">
        <f>IF($AH966="","",INDEX(Calc!$D$2:$D$1601,$AH966))</f>
        <v/>
      </c>
      <c r="AC966">
        <f>IF($AH966="","",INDEX(Calc!$G$2:$G$1601,$AH966))</f>
        <v/>
      </c>
      <c r="AD966">
        <f>IF($AG966="","",Config!$B$23)</f>
        <v/>
      </c>
      <c r="AE966">
        <f>IF($AG966="","",Config!$B$28)</f>
        <v/>
      </c>
      <c r="AG966">
        <f>IFERROR(MATCH(ROW()-1,Calc!$J$2:$J$1601,0),"")</f>
        <v/>
      </c>
      <c r="AH966">
        <f>IFERROR(MATCH(ROW()-1,Calc!$K$2:$K$1601,0),"")</f>
        <v/>
      </c>
      <c r="AI966">
        <f>IF($AG966="","",SUMIF($AG$2:$AG966,$AG966,$AH$2:$AH966))</f>
        <v/>
      </c>
      <c r="AJ966">
        <f>IF('TMP Paste'!$F966="","",IF('TMP Paste'!$B966="",$AJ965,'TMP Paste'!$B966))</f>
        <v/>
      </c>
      <c r="AK966">
        <f>IF('TMP Paste'!$F966="","",N('TMP Paste'!$G966))</f>
        <v/>
      </c>
      <c r="AL966">
        <f>IF('TMP Paste'!$F966="","",IF('TMP Paste'!$M966="",$AL965,'TMP Paste'!$M966))</f>
        <v/>
      </c>
      <c r="AM966">
        <f>IF('TMP Paste'!$F966="","",IF('TMP Paste'!$N966="",$AM965,'TMP Paste'!$N966))</f>
        <v/>
      </c>
      <c r="AN966">
        <f>IF('TMP Paste'!$F966="","",IF('TMP Paste'!$O966="",$AN965,'TMP Paste'!$O966))</f>
        <v/>
      </c>
      <c r="AO966">
        <f>IF('TMP Paste'!$F966="","",IF('TMP Paste'!$P966="",$AO965,'TMP Paste'!$P966))</f>
        <v/>
      </c>
      <c r="AP966">
        <f>IF($AG966="","",LEN($R966))</f>
        <v/>
      </c>
      <c r="AQ966">
        <f>IF($AG966="","",TRIM(IF(COUNTIFS(Calc!$B$2:$B$1601,ROW()-1,Calc!$C$2:$C$1601,"&lt;1")&gt;0,"Ada PO tanpa Koli - cek TMP. ","")&amp;IF(LEN($R966)&gt;500,"R &gt; 500 karakter.","")))</f>
        <v/>
      </c>
    </row>
    <row r="967">
      <c r="A967">
        <f>IF($AG967="","",INDEX('TMP Paste'!$B$2:$B$1601,$AG967))</f>
        <v/>
      </c>
      <c r="B967">
        <f>IF($AG967="","",Config!$B$14)</f>
        <v/>
      </c>
      <c r="C967">
        <f>IF($AG967="","",Config!$B$15)</f>
        <v/>
      </c>
      <c r="D967">
        <f>IF($AG967="","",INDEX('TMP Paste'!$B$2:$B$1601,$AG967))</f>
        <v/>
      </c>
      <c r="E967">
        <f>IF($AG967="","",Config!$B$27)</f>
        <v/>
      </c>
      <c r="F967">
        <f>IF($AG967="","",Config!$B$9)</f>
        <v/>
      </c>
      <c r="G967">
        <f>IF($AG967="","",Config!$B$10)</f>
        <v/>
      </c>
      <c r="H967">
        <f>IF($AG967="","",Config!$B$11)</f>
        <v/>
      </c>
      <c r="I967">
        <f>IF($AG967="","",Config!$B$16)</f>
        <v/>
      </c>
      <c r="J967">
        <f>IF($AG967="","",INDEX('TMP Paste'!$A$2:$A$1601,$AG967))</f>
        <v/>
      </c>
      <c r="K967">
        <f>IF($AG967="","",INDEX('TMP Paste'!$L$2:$L$1601,$AG967))</f>
        <v/>
      </c>
      <c r="L967">
        <f>IF($AG967="","",INDEX('TMP Paste'!$I$2:$I$1601,$AG967))</f>
        <v/>
      </c>
      <c r="M967">
        <f>IF($AG967="","",Config!$B$16)</f>
        <v/>
      </c>
      <c r="N967">
        <f>IF($AG967="","","")</f>
        <v/>
      </c>
      <c r="O967">
        <f>IF($AG967="","",INDEX('TMP Paste'!$K$2:$K$1601,$AG967))</f>
        <v/>
      </c>
      <c r="P967">
        <f>IF($AG967="","","")</f>
        <v/>
      </c>
      <c r="Q967">
        <f>IF($AG967="","",INDEX('TMP Paste'!$J$2:$J$1601,$AG967))</f>
        <v/>
      </c>
      <c r="R967">
        <f>IF($AG967="","",Config!$B$24)</f>
        <v/>
      </c>
      <c r="S967">
        <f>IF($AG967="","",TEXT(Config!$B$4,"yyyy-mm-dd"))</f>
        <v/>
      </c>
      <c r="T967">
        <f>IF($AG967="","",Config!$B$17)</f>
        <v/>
      </c>
      <c r="U967">
        <f>IF($AG967="","",Config!$B$18)</f>
        <v/>
      </c>
      <c r="V967">
        <f>IF($AG967="","",Config!$B$19)</f>
        <v/>
      </c>
      <c r="W967">
        <f>IF($AG967="","",INDEX('TMP Paste'!$C$2:$C$1601,$AG967))</f>
        <v/>
      </c>
      <c r="X967">
        <f>IF($AG967="","",Config!$B$29)</f>
        <v/>
      </c>
      <c r="Y967">
        <f>IF($AH967="","",INDEX(Calc!$I$2:$I$1601,$AH967)&amp;" - "&amp;INDEX(Calc!$D$2:$D$1601,$AH967)&amp;" koli")</f>
        <v/>
      </c>
      <c r="Z967">
        <f>IF($AG967="","",Config!$B$21)</f>
        <v/>
      </c>
      <c r="AA967">
        <f>IF($AG967="","",Config!$B$22)</f>
        <v/>
      </c>
      <c r="AB967">
        <f>IF($AH967="","",INDEX(Calc!$D$2:$D$1601,$AH967))</f>
        <v/>
      </c>
      <c r="AC967">
        <f>IF($AH967="","",INDEX(Calc!$G$2:$G$1601,$AH967))</f>
        <v/>
      </c>
      <c r="AD967">
        <f>IF($AG967="","",Config!$B$23)</f>
        <v/>
      </c>
      <c r="AE967">
        <f>IF($AG967="","",Config!$B$28)</f>
        <v/>
      </c>
      <c r="AG967">
        <f>IFERROR(MATCH(ROW()-1,Calc!$J$2:$J$1601,0),"")</f>
        <v/>
      </c>
      <c r="AH967">
        <f>IFERROR(MATCH(ROW()-1,Calc!$K$2:$K$1601,0),"")</f>
        <v/>
      </c>
      <c r="AI967">
        <f>IF($AG967="","",SUMIF($AG$2:$AG967,$AG967,$AH$2:$AH967))</f>
        <v/>
      </c>
      <c r="AJ967">
        <f>IF('TMP Paste'!$F967="","",IF('TMP Paste'!$B967="",$AJ966,'TMP Paste'!$B967))</f>
        <v/>
      </c>
      <c r="AK967">
        <f>IF('TMP Paste'!$F967="","",N('TMP Paste'!$G967))</f>
        <v/>
      </c>
      <c r="AL967">
        <f>IF('TMP Paste'!$F967="","",IF('TMP Paste'!$M967="",$AL966,'TMP Paste'!$M967))</f>
        <v/>
      </c>
      <c r="AM967">
        <f>IF('TMP Paste'!$F967="","",IF('TMP Paste'!$N967="",$AM966,'TMP Paste'!$N967))</f>
        <v/>
      </c>
      <c r="AN967">
        <f>IF('TMP Paste'!$F967="","",IF('TMP Paste'!$O967="",$AN966,'TMP Paste'!$O967))</f>
        <v/>
      </c>
      <c r="AO967">
        <f>IF('TMP Paste'!$F967="","",IF('TMP Paste'!$P967="",$AO966,'TMP Paste'!$P967))</f>
        <v/>
      </c>
      <c r="AP967">
        <f>IF($AG967="","",LEN($R967))</f>
        <v/>
      </c>
      <c r="AQ967">
        <f>IF($AG967="","",TRIM(IF(COUNTIFS(Calc!$B$2:$B$1601,ROW()-1,Calc!$C$2:$C$1601,"&lt;1")&gt;0,"Ada PO tanpa Koli - cek TMP. ","")&amp;IF(LEN($R967)&gt;500,"R &gt; 500 karakter.","")))</f>
        <v/>
      </c>
    </row>
    <row r="968">
      <c r="A968">
        <f>IF($AG968="","",INDEX('TMP Paste'!$B$2:$B$1601,$AG968))</f>
        <v/>
      </c>
      <c r="B968">
        <f>IF($AG968="","",Config!$B$14)</f>
        <v/>
      </c>
      <c r="C968">
        <f>IF($AG968="","",Config!$B$15)</f>
        <v/>
      </c>
      <c r="D968">
        <f>IF($AG968="","",INDEX('TMP Paste'!$B$2:$B$1601,$AG968))</f>
        <v/>
      </c>
      <c r="E968">
        <f>IF($AG968="","",Config!$B$27)</f>
        <v/>
      </c>
      <c r="F968">
        <f>IF($AG968="","",Config!$B$9)</f>
        <v/>
      </c>
      <c r="G968">
        <f>IF($AG968="","",Config!$B$10)</f>
        <v/>
      </c>
      <c r="H968">
        <f>IF($AG968="","",Config!$B$11)</f>
        <v/>
      </c>
      <c r="I968">
        <f>IF($AG968="","",Config!$B$16)</f>
        <v/>
      </c>
      <c r="J968">
        <f>IF($AG968="","",INDEX('TMP Paste'!$A$2:$A$1601,$AG968))</f>
        <v/>
      </c>
      <c r="K968">
        <f>IF($AG968="","",INDEX('TMP Paste'!$L$2:$L$1601,$AG968))</f>
        <v/>
      </c>
      <c r="L968">
        <f>IF($AG968="","",INDEX('TMP Paste'!$I$2:$I$1601,$AG968))</f>
        <v/>
      </c>
      <c r="M968">
        <f>IF($AG968="","",Config!$B$16)</f>
        <v/>
      </c>
      <c r="N968">
        <f>IF($AG968="","","")</f>
        <v/>
      </c>
      <c r="O968">
        <f>IF($AG968="","",INDEX('TMP Paste'!$K$2:$K$1601,$AG968))</f>
        <v/>
      </c>
      <c r="P968">
        <f>IF($AG968="","","")</f>
        <v/>
      </c>
      <c r="Q968">
        <f>IF($AG968="","",INDEX('TMP Paste'!$J$2:$J$1601,$AG968))</f>
        <v/>
      </c>
      <c r="R968">
        <f>IF($AG968="","",Config!$B$24)</f>
        <v/>
      </c>
      <c r="S968">
        <f>IF($AG968="","",TEXT(Config!$B$4,"yyyy-mm-dd"))</f>
        <v/>
      </c>
      <c r="T968">
        <f>IF($AG968="","",Config!$B$17)</f>
        <v/>
      </c>
      <c r="U968">
        <f>IF($AG968="","",Config!$B$18)</f>
        <v/>
      </c>
      <c r="V968">
        <f>IF($AG968="","",Config!$B$19)</f>
        <v/>
      </c>
      <c r="W968">
        <f>IF($AG968="","",INDEX('TMP Paste'!$C$2:$C$1601,$AG968))</f>
        <v/>
      </c>
      <c r="X968">
        <f>IF($AG968="","",Config!$B$29)</f>
        <v/>
      </c>
      <c r="Y968">
        <f>IF($AH968="","",INDEX(Calc!$I$2:$I$1601,$AH968)&amp;" - "&amp;INDEX(Calc!$D$2:$D$1601,$AH968)&amp;" koli")</f>
        <v/>
      </c>
      <c r="Z968">
        <f>IF($AG968="","",Config!$B$21)</f>
        <v/>
      </c>
      <c r="AA968">
        <f>IF($AG968="","",Config!$B$22)</f>
        <v/>
      </c>
      <c r="AB968">
        <f>IF($AH968="","",INDEX(Calc!$D$2:$D$1601,$AH968))</f>
        <v/>
      </c>
      <c r="AC968">
        <f>IF($AH968="","",INDEX(Calc!$G$2:$G$1601,$AH968))</f>
        <v/>
      </c>
      <c r="AD968">
        <f>IF($AG968="","",Config!$B$23)</f>
        <v/>
      </c>
      <c r="AE968">
        <f>IF($AG968="","",Config!$B$28)</f>
        <v/>
      </c>
      <c r="AG968">
        <f>IFERROR(MATCH(ROW()-1,Calc!$J$2:$J$1601,0),"")</f>
        <v/>
      </c>
      <c r="AH968">
        <f>IFERROR(MATCH(ROW()-1,Calc!$K$2:$K$1601,0),"")</f>
        <v/>
      </c>
      <c r="AI968">
        <f>IF($AG968="","",SUMIF($AG$2:$AG968,$AG968,$AH$2:$AH968))</f>
        <v/>
      </c>
      <c r="AJ968">
        <f>IF('TMP Paste'!$F968="","",IF('TMP Paste'!$B968="",$AJ967,'TMP Paste'!$B968))</f>
        <v/>
      </c>
      <c r="AK968">
        <f>IF('TMP Paste'!$F968="","",N('TMP Paste'!$G968))</f>
        <v/>
      </c>
      <c r="AL968">
        <f>IF('TMP Paste'!$F968="","",IF('TMP Paste'!$M968="",$AL967,'TMP Paste'!$M968))</f>
        <v/>
      </c>
      <c r="AM968">
        <f>IF('TMP Paste'!$F968="","",IF('TMP Paste'!$N968="",$AM967,'TMP Paste'!$N968))</f>
        <v/>
      </c>
      <c r="AN968">
        <f>IF('TMP Paste'!$F968="","",IF('TMP Paste'!$O968="",$AN967,'TMP Paste'!$O968))</f>
        <v/>
      </c>
      <c r="AO968">
        <f>IF('TMP Paste'!$F968="","",IF('TMP Paste'!$P968="",$AO967,'TMP Paste'!$P968))</f>
        <v/>
      </c>
      <c r="AP968">
        <f>IF($AG968="","",LEN($R968))</f>
        <v/>
      </c>
      <c r="AQ968">
        <f>IF($AG968="","",TRIM(IF(COUNTIFS(Calc!$B$2:$B$1601,ROW()-1,Calc!$C$2:$C$1601,"&lt;1")&gt;0,"Ada PO tanpa Koli - cek TMP. ","")&amp;IF(LEN($R968)&gt;500,"R &gt; 500 karakter.","")))</f>
        <v/>
      </c>
    </row>
    <row r="969">
      <c r="A969">
        <f>IF($AG969="","",INDEX('TMP Paste'!$B$2:$B$1601,$AG969))</f>
        <v/>
      </c>
      <c r="B969">
        <f>IF($AG969="","",Config!$B$14)</f>
        <v/>
      </c>
      <c r="C969">
        <f>IF($AG969="","",Config!$B$15)</f>
        <v/>
      </c>
      <c r="D969">
        <f>IF($AG969="","",INDEX('TMP Paste'!$B$2:$B$1601,$AG969))</f>
        <v/>
      </c>
      <c r="E969">
        <f>IF($AG969="","",Config!$B$27)</f>
        <v/>
      </c>
      <c r="F969">
        <f>IF($AG969="","",Config!$B$9)</f>
        <v/>
      </c>
      <c r="G969">
        <f>IF($AG969="","",Config!$B$10)</f>
        <v/>
      </c>
      <c r="H969">
        <f>IF($AG969="","",Config!$B$11)</f>
        <v/>
      </c>
      <c r="I969">
        <f>IF($AG969="","",Config!$B$16)</f>
        <v/>
      </c>
      <c r="J969">
        <f>IF($AG969="","",INDEX('TMP Paste'!$A$2:$A$1601,$AG969))</f>
        <v/>
      </c>
      <c r="K969">
        <f>IF($AG969="","",INDEX('TMP Paste'!$L$2:$L$1601,$AG969))</f>
        <v/>
      </c>
      <c r="L969">
        <f>IF($AG969="","",INDEX('TMP Paste'!$I$2:$I$1601,$AG969))</f>
        <v/>
      </c>
      <c r="M969">
        <f>IF($AG969="","",Config!$B$16)</f>
        <v/>
      </c>
      <c r="N969">
        <f>IF($AG969="","","")</f>
        <v/>
      </c>
      <c r="O969">
        <f>IF($AG969="","",INDEX('TMP Paste'!$K$2:$K$1601,$AG969))</f>
        <v/>
      </c>
      <c r="P969">
        <f>IF($AG969="","","")</f>
        <v/>
      </c>
      <c r="Q969">
        <f>IF($AG969="","",INDEX('TMP Paste'!$J$2:$J$1601,$AG969))</f>
        <v/>
      </c>
      <c r="R969">
        <f>IF($AG969="","",Config!$B$24)</f>
        <v/>
      </c>
      <c r="S969">
        <f>IF($AG969="","",TEXT(Config!$B$4,"yyyy-mm-dd"))</f>
        <v/>
      </c>
      <c r="T969">
        <f>IF($AG969="","",Config!$B$17)</f>
        <v/>
      </c>
      <c r="U969">
        <f>IF($AG969="","",Config!$B$18)</f>
        <v/>
      </c>
      <c r="V969">
        <f>IF($AG969="","",Config!$B$19)</f>
        <v/>
      </c>
      <c r="W969">
        <f>IF($AG969="","",INDEX('TMP Paste'!$C$2:$C$1601,$AG969))</f>
        <v/>
      </c>
      <c r="X969">
        <f>IF($AG969="","",Config!$B$29)</f>
        <v/>
      </c>
      <c r="Y969">
        <f>IF($AH969="","",INDEX(Calc!$I$2:$I$1601,$AH969)&amp;" - "&amp;INDEX(Calc!$D$2:$D$1601,$AH969)&amp;" koli")</f>
        <v/>
      </c>
      <c r="Z969">
        <f>IF($AG969="","",Config!$B$21)</f>
        <v/>
      </c>
      <c r="AA969">
        <f>IF($AG969="","",Config!$B$22)</f>
        <v/>
      </c>
      <c r="AB969">
        <f>IF($AH969="","",INDEX(Calc!$D$2:$D$1601,$AH969))</f>
        <v/>
      </c>
      <c r="AC969">
        <f>IF($AH969="","",INDEX(Calc!$G$2:$G$1601,$AH969))</f>
        <v/>
      </c>
      <c r="AD969">
        <f>IF($AG969="","",Config!$B$23)</f>
        <v/>
      </c>
      <c r="AE969">
        <f>IF($AG969="","",Config!$B$28)</f>
        <v/>
      </c>
      <c r="AG969">
        <f>IFERROR(MATCH(ROW()-1,Calc!$J$2:$J$1601,0),"")</f>
        <v/>
      </c>
      <c r="AH969">
        <f>IFERROR(MATCH(ROW()-1,Calc!$K$2:$K$1601,0),"")</f>
        <v/>
      </c>
      <c r="AI969">
        <f>IF($AG969="","",SUMIF($AG$2:$AG969,$AG969,$AH$2:$AH969))</f>
        <v/>
      </c>
      <c r="AJ969">
        <f>IF('TMP Paste'!$F969="","",IF('TMP Paste'!$B969="",$AJ968,'TMP Paste'!$B969))</f>
        <v/>
      </c>
      <c r="AK969">
        <f>IF('TMP Paste'!$F969="","",N('TMP Paste'!$G969))</f>
        <v/>
      </c>
      <c r="AL969">
        <f>IF('TMP Paste'!$F969="","",IF('TMP Paste'!$M969="",$AL968,'TMP Paste'!$M969))</f>
        <v/>
      </c>
      <c r="AM969">
        <f>IF('TMP Paste'!$F969="","",IF('TMP Paste'!$N969="",$AM968,'TMP Paste'!$N969))</f>
        <v/>
      </c>
      <c r="AN969">
        <f>IF('TMP Paste'!$F969="","",IF('TMP Paste'!$O969="",$AN968,'TMP Paste'!$O969))</f>
        <v/>
      </c>
      <c r="AO969">
        <f>IF('TMP Paste'!$F969="","",IF('TMP Paste'!$P969="",$AO968,'TMP Paste'!$P969))</f>
        <v/>
      </c>
      <c r="AP969">
        <f>IF($AG969="","",LEN($R969))</f>
        <v/>
      </c>
      <c r="AQ969">
        <f>IF($AG969="","",TRIM(IF(COUNTIFS(Calc!$B$2:$B$1601,ROW()-1,Calc!$C$2:$C$1601,"&lt;1")&gt;0,"Ada PO tanpa Koli - cek TMP. ","")&amp;IF(LEN($R969)&gt;500,"R &gt; 500 karakter.","")))</f>
        <v/>
      </c>
    </row>
    <row r="970">
      <c r="A970">
        <f>IF($AG970="","",INDEX('TMP Paste'!$B$2:$B$1601,$AG970))</f>
        <v/>
      </c>
      <c r="B970">
        <f>IF($AG970="","",Config!$B$14)</f>
        <v/>
      </c>
      <c r="C970">
        <f>IF($AG970="","",Config!$B$15)</f>
        <v/>
      </c>
      <c r="D970">
        <f>IF($AG970="","",INDEX('TMP Paste'!$B$2:$B$1601,$AG970))</f>
        <v/>
      </c>
      <c r="E970">
        <f>IF($AG970="","",Config!$B$27)</f>
        <v/>
      </c>
      <c r="F970">
        <f>IF($AG970="","",Config!$B$9)</f>
        <v/>
      </c>
      <c r="G970">
        <f>IF($AG970="","",Config!$B$10)</f>
        <v/>
      </c>
      <c r="H970">
        <f>IF($AG970="","",Config!$B$11)</f>
        <v/>
      </c>
      <c r="I970">
        <f>IF($AG970="","",Config!$B$16)</f>
        <v/>
      </c>
      <c r="J970">
        <f>IF($AG970="","",INDEX('TMP Paste'!$A$2:$A$1601,$AG970))</f>
        <v/>
      </c>
      <c r="K970">
        <f>IF($AG970="","",INDEX('TMP Paste'!$L$2:$L$1601,$AG970))</f>
        <v/>
      </c>
      <c r="L970">
        <f>IF($AG970="","",INDEX('TMP Paste'!$I$2:$I$1601,$AG970))</f>
        <v/>
      </c>
      <c r="M970">
        <f>IF($AG970="","",Config!$B$16)</f>
        <v/>
      </c>
      <c r="N970">
        <f>IF($AG970="","","")</f>
        <v/>
      </c>
      <c r="O970">
        <f>IF($AG970="","",INDEX('TMP Paste'!$K$2:$K$1601,$AG970))</f>
        <v/>
      </c>
      <c r="P970">
        <f>IF($AG970="","","")</f>
        <v/>
      </c>
      <c r="Q970">
        <f>IF($AG970="","",INDEX('TMP Paste'!$J$2:$J$1601,$AG970))</f>
        <v/>
      </c>
      <c r="R970">
        <f>IF($AG970="","",Config!$B$24)</f>
        <v/>
      </c>
      <c r="S970">
        <f>IF($AG970="","",TEXT(Config!$B$4,"yyyy-mm-dd"))</f>
        <v/>
      </c>
      <c r="T970">
        <f>IF($AG970="","",Config!$B$17)</f>
        <v/>
      </c>
      <c r="U970">
        <f>IF($AG970="","",Config!$B$18)</f>
        <v/>
      </c>
      <c r="V970">
        <f>IF($AG970="","",Config!$B$19)</f>
        <v/>
      </c>
      <c r="W970">
        <f>IF($AG970="","",INDEX('TMP Paste'!$C$2:$C$1601,$AG970))</f>
        <v/>
      </c>
      <c r="X970">
        <f>IF($AG970="","",Config!$B$29)</f>
        <v/>
      </c>
      <c r="Y970">
        <f>IF($AH970="","",INDEX(Calc!$I$2:$I$1601,$AH970)&amp;" - "&amp;INDEX(Calc!$D$2:$D$1601,$AH970)&amp;" koli")</f>
        <v/>
      </c>
      <c r="Z970">
        <f>IF($AG970="","",Config!$B$21)</f>
        <v/>
      </c>
      <c r="AA970">
        <f>IF($AG970="","",Config!$B$22)</f>
        <v/>
      </c>
      <c r="AB970">
        <f>IF($AH970="","",INDEX(Calc!$D$2:$D$1601,$AH970))</f>
        <v/>
      </c>
      <c r="AC970">
        <f>IF($AH970="","",INDEX(Calc!$G$2:$G$1601,$AH970))</f>
        <v/>
      </c>
      <c r="AD970">
        <f>IF($AG970="","",Config!$B$23)</f>
        <v/>
      </c>
      <c r="AE970">
        <f>IF($AG970="","",Config!$B$28)</f>
        <v/>
      </c>
      <c r="AG970">
        <f>IFERROR(MATCH(ROW()-1,Calc!$J$2:$J$1601,0),"")</f>
        <v/>
      </c>
      <c r="AH970">
        <f>IFERROR(MATCH(ROW()-1,Calc!$K$2:$K$1601,0),"")</f>
        <v/>
      </c>
      <c r="AI970">
        <f>IF($AG970="","",SUMIF($AG$2:$AG970,$AG970,$AH$2:$AH970))</f>
        <v/>
      </c>
      <c r="AJ970">
        <f>IF('TMP Paste'!$F970="","",IF('TMP Paste'!$B970="",$AJ969,'TMP Paste'!$B970))</f>
        <v/>
      </c>
      <c r="AK970">
        <f>IF('TMP Paste'!$F970="","",N('TMP Paste'!$G970))</f>
        <v/>
      </c>
      <c r="AL970">
        <f>IF('TMP Paste'!$F970="","",IF('TMP Paste'!$M970="",$AL969,'TMP Paste'!$M970))</f>
        <v/>
      </c>
      <c r="AM970">
        <f>IF('TMP Paste'!$F970="","",IF('TMP Paste'!$N970="",$AM969,'TMP Paste'!$N970))</f>
        <v/>
      </c>
      <c r="AN970">
        <f>IF('TMP Paste'!$F970="","",IF('TMP Paste'!$O970="",$AN969,'TMP Paste'!$O970))</f>
        <v/>
      </c>
      <c r="AO970">
        <f>IF('TMP Paste'!$F970="","",IF('TMP Paste'!$P970="",$AO969,'TMP Paste'!$P970))</f>
        <v/>
      </c>
      <c r="AP970">
        <f>IF($AG970="","",LEN($R970))</f>
        <v/>
      </c>
      <c r="AQ970">
        <f>IF($AG970="","",TRIM(IF(COUNTIFS(Calc!$B$2:$B$1601,ROW()-1,Calc!$C$2:$C$1601,"&lt;1")&gt;0,"Ada PO tanpa Koli - cek TMP. ","")&amp;IF(LEN($R970)&gt;500,"R &gt; 500 karakter.","")))</f>
        <v/>
      </c>
    </row>
    <row r="971">
      <c r="A971">
        <f>IF($AG971="","",INDEX('TMP Paste'!$B$2:$B$1601,$AG971))</f>
        <v/>
      </c>
      <c r="B971">
        <f>IF($AG971="","",Config!$B$14)</f>
        <v/>
      </c>
      <c r="C971">
        <f>IF($AG971="","",Config!$B$15)</f>
        <v/>
      </c>
      <c r="D971">
        <f>IF($AG971="","",INDEX('TMP Paste'!$B$2:$B$1601,$AG971))</f>
        <v/>
      </c>
      <c r="E971">
        <f>IF($AG971="","",Config!$B$27)</f>
        <v/>
      </c>
      <c r="F971">
        <f>IF($AG971="","",Config!$B$9)</f>
        <v/>
      </c>
      <c r="G971">
        <f>IF($AG971="","",Config!$B$10)</f>
        <v/>
      </c>
      <c r="H971">
        <f>IF($AG971="","",Config!$B$11)</f>
        <v/>
      </c>
      <c r="I971">
        <f>IF($AG971="","",Config!$B$16)</f>
        <v/>
      </c>
      <c r="J971">
        <f>IF($AG971="","",INDEX('TMP Paste'!$A$2:$A$1601,$AG971))</f>
        <v/>
      </c>
      <c r="K971">
        <f>IF($AG971="","",INDEX('TMP Paste'!$L$2:$L$1601,$AG971))</f>
        <v/>
      </c>
      <c r="L971">
        <f>IF($AG971="","",INDEX('TMP Paste'!$I$2:$I$1601,$AG971))</f>
        <v/>
      </c>
      <c r="M971">
        <f>IF($AG971="","",Config!$B$16)</f>
        <v/>
      </c>
      <c r="N971">
        <f>IF($AG971="","","")</f>
        <v/>
      </c>
      <c r="O971">
        <f>IF($AG971="","",INDEX('TMP Paste'!$K$2:$K$1601,$AG971))</f>
        <v/>
      </c>
      <c r="P971">
        <f>IF($AG971="","","")</f>
        <v/>
      </c>
      <c r="Q971">
        <f>IF($AG971="","",INDEX('TMP Paste'!$J$2:$J$1601,$AG971))</f>
        <v/>
      </c>
      <c r="R971">
        <f>IF($AG971="","",Config!$B$24)</f>
        <v/>
      </c>
      <c r="S971">
        <f>IF($AG971="","",TEXT(Config!$B$4,"yyyy-mm-dd"))</f>
        <v/>
      </c>
      <c r="T971">
        <f>IF($AG971="","",Config!$B$17)</f>
        <v/>
      </c>
      <c r="U971">
        <f>IF($AG971="","",Config!$B$18)</f>
        <v/>
      </c>
      <c r="V971">
        <f>IF($AG971="","",Config!$B$19)</f>
        <v/>
      </c>
      <c r="W971">
        <f>IF($AG971="","",INDEX('TMP Paste'!$C$2:$C$1601,$AG971))</f>
        <v/>
      </c>
      <c r="X971">
        <f>IF($AG971="","",Config!$B$29)</f>
        <v/>
      </c>
      <c r="Y971">
        <f>IF($AH971="","",INDEX(Calc!$I$2:$I$1601,$AH971)&amp;" - "&amp;INDEX(Calc!$D$2:$D$1601,$AH971)&amp;" koli")</f>
        <v/>
      </c>
      <c r="Z971">
        <f>IF($AG971="","",Config!$B$21)</f>
        <v/>
      </c>
      <c r="AA971">
        <f>IF($AG971="","",Config!$B$22)</f>
        <v/>
      </c>
      <c r="AB971">
        <f>IF($AH971="","",INDEX(Calc!$D$2:$D$1601,$AH971))</f>
        <v/>
      </c>
      <c r="AC971">
        <f>IF($AH971="","",INDEX(Calc!$G$2:$G$1601,$AH971))</f>
        <v/>
      </c>
      <c r="AD971">
        <f>IF($AG971="","",Config!$B$23)</f>
        <v/>
      </c>
      <c r="AE971">
        <f>IF($AG971="","",Config!$B$28)</f>
        <v/>
      </c>
      <c r="AG971">
        <f>IFERROR(MATCH(ROW()-1,Calc!$J$2:$J$1601,0),"")</f>
        <v/>
      </c>
      <c r="AH971">
        <f>IFERROR(MATCH(ROW()-1,Calc!$K$2:$K$1601,0),"")</f>
        <v/>
      </c>
      <c r="AI971">
        <f>IF($AG971="","",SUMIF($AG$2:$AG971,$AG971,$AH$2:$AH971))</f>
        <v/>
      </c>
      <c r="AJ971">
        <f>IF('TMP Paste'!$F971="","",IF('TMP Paste'!$B971="",$AJ970,'TMP Paste'!$B971))</f>
        <v/>
      </c>
      <c r="AK971">
        <f>IF('TMP Paste'!$F971="","",N('TMP Paste'!$G971))</f>
        <v/>
      </c>
      <c r="AL971">
        <f>IF('TMP Paste'!$F971="","",IF('TMP Paste'!$M971="",$AL970,'TMP Paste'!$M971))</f>
        <v/>
      </c>
      <c r="AM971">
        <f>IF('TMP Paste'!$F971="","",IF('TMP Paste'!$N971="",$AM970,'TMP Paste'!$N971))</f>
        <v/>
      </c>
      <c r="AN971">
        <f>IF('TMP Paste'!$F971="","",IF('TMP Paste'!$O971="",$AN970,'TMP Paste'!$O971))</f>
        <v/>
      </c>
      <c r="AO971">
        <f>IF('TMP Paste'!$F971="","",IF('TMP Paste'!$P971="",$AO970,'TMP Paste'!$P971))</f>
        <v/>
      </c>
      <c r="AP971">
        <f>IF($AG971="","",LEN($R971))</f>
        <v/>
      </c>
      <c r="AQ971">
        <f>IF($AG971="","",TRIM(IF(COUNTIFS(Calc!$B$2:$B$1601,ROW()-1,Calc!$C$2:$C$1601,"&lt;1")&gt;0,"Ada PO tanpa Koli - cek TMP. ","")&amp;IF(LEN($R971)&gt;500,"R &gt; 500 karakter.","")))</f>
        <v/>
      </c>
    </row>
    <row r="972">
      <c r="A972">
        <f>IF($AG972="","",INDEX('TMP Paste'!$B$2:$B$1601,$AG972))</f>
        <v/>
      </c>
      <c r="B972">
        <f>IF($AG972="","",Config!$B$14)</f>
        <v/>
      </c>
      <c r="C972">
        <f>IF($AG972="","",Config!$B$15)</f>
        <v/>
      </c>
      <c r="D972">
        <f>IF($AG972="","",INDEX('TMP Paste'!$B$2:$B$1601,$AG972))</f>
        <v/>
      </c>
      <c r="E972">
        <f>IF($AG972="","",Config!$B$27)</f>
        <v/>
      </c>
      <c r="F972">
        <f>IF($AG972="","",Config!$B$9)</f>
        <v/>
      </c>
      <c r="G972">
        <f>IF($AG972="","",Config!$B$10)</f>
        <v/>
      </c>
      <c r="H972">
        <f>IF($AG972="","",Config!$B$11)</f>
        <v/>
      </c>
      <c r="I972">
        <f>IF($AG972="","",Config!$B$16)</f>
        <v/>
      </c>
      <c r="J972">
        <f>IF($AG972="","",INDEX('TMP Paste'!$A$2:$A$1601,$AG972))</f>
        <v/>
      </c>
      <c r="K972">
        <f>IF($AG972="","",INDEX('TMP Paste'!$L$2:$L$1601,$AG972))</f>
        <v/>
      </c>
      <c r="L972">
        <f>IF($AG972="","",INDEX('TMP Paste'!$I$2:$I$1601,$AG972))</f>
        <v/>
      </c>
      <c r="M972">
        <f>IF($AG972="","",Config!$B$16)</f>
        <v/>
      </c>
      <c r="N972">
        <f>IF($AG972="","","")</f>
        <v/>
      </c>
      <c r="O972">
        <f>IF($AG972="","",INDEX('TMP Paste'!$K$2:$K$1601,$AG972))</f>
        <v/>
      </c>
      <c r="P972">
        <f>IF($AG972="","","")</f>
        <v/>
      </c>
      <c r="Q972">
        <f>IF($AG972="","",INDEX('TMP Paste'!$J$2:$J$1601,$AG972))</f>
        <v/>
      </c>
      <c r="R972">
        <f>IF($AG972="","",Config!$B$24)</f>
        <v/>
      </c>
      <c r="S972">
        <f>IF($AG972="","",TEXT(Config!$B$4,"yyyy-mm-dd"))</f>
        <v/>
      </c>
      <c r="T972">
        <f>IF($AG972="","",Config!$B$17)</f>
        <v/>
      </c>
      <c r="U972">
        <f>IF($AG972="","",Config!$B$18)</f>
        <v/>
      </c>
      <c r="V972">
        <f>IF($AG972="","",Config!$B$19)</f>
        <v/>
      </c>
      <c r="W972">
        <f>IF($AG972="","",INDEX('TMP Paste'!$C$2:$C$1601,$AG972))</f>
        <v/>
      </c>
      <c r="X972">
        <f>IF($AG972="","",Config!$B$29)</f>
        <v/>
      </c>
      <c r="Y972">
        <f>IF($AH972="","",INDEX(Calc!$I$2:$I$1601,$AH972)&amp;" - "&amp;INDEX(Calc!$D$2:$D$1601,$AH972)&amp;" koli")</f>
        <v/>
      </c>
      <c r="Z972">
        <f>IF($AG972="","",Config!$B$21)</f>
        <v/>
      </c>
      <c r="AA972">
        <f>IF($AG972="","",Config!$B$22)</f>
        <v/>
      </c>
      <c r="AB972">
        <f>IF($AH972="","",INDEX(Calc!$D$2:$D$1601,$AH972))</f>
        <v/>
      </c>
      <c r="AC972">
        <f>IF($AH972="","",INDEX(Calc!$G$2:$G$1601,$AH972))</f>
        <v/>
      </c>
      <c r="AD972">
        <f>IF($AG972="","",Config!$B$23)</f>
        <v/>
      </c>
      <c r="AE972">
        <f>IF($AG972="","",Config!$B$28)</f>
        <v/>
      </c>
      <c r="AG972">
        <f>IFERROR(MATCH(ROW()-1,Calc!$J$2:$J$1601,0),"")</f>
        <v/>
      </c>
      <c r="AH972">
        <f>IFERROR(MATCH(ROW()-1,Calc!$K$2:$K$1601,0),"")</f>
        <v/>
      </c>
      <c r="AI972">
        <f>IF($AG972="","",SUMIF($AG$2:$AG972,$AG972,$AH$2:$AH972))</f>
        <v/>
      </c>
      <c r="AJ972">
        <f>IF('TMP Paste'!$F972="","",IF('TMP Paste'!$B972="",$AJ971,'TMP Paste'!$B972))</f>
        <v/>
      </c>
      <c r="AK972">
        <f>IF('TMP Paste'!$F972="","",N('TMP Paste'!$G972))</f>
        <v/>
      </c>
      <c r="AL972">
        <f>IF('TMP Paste'!$F972="","",IF('TMP Paste'!$M972="",$AL971,'TMP Paste'!$M972))</f>
        <v/>
      </c>
      <c r="AM972">
        <f>IF('TMP Paste'!$F972="","",IF('TMP Paste'!$N972="",$AM971,'TMP Paste'!$N972))</f>
        <v/>
      </c>
      <c r="AN972">
        <f>IF('TMP Paste'!$F972="","",IF('TMP Paste'!$O972="",$AN971,'TMP Paste'!$O972))</f>
        <v/>
      </c>
      <c r="AO972">
        <f>IF('TMP Paste'!$F972="","",IF('TMP Paste'!$P972="",$AO971,'TMP Paste'!$P972))</f>
        <v/>
      </c>
      <c r="AP972">
        <f>IF($AG972="","",LEN($R972))</f>
        <v/>
      </c>
      <c r="AQ972">
        <f>IF($AG972="","",TRIM(IF(COUNTIFS(Calc!$B$2:$B$1601,ROW()-1,Calc!$C$2:$C$1601,"&lt;1")&gt;0,"Ada PO tanpa Koli - cek TMP. ","")&amp;IF(LEN($R972)&gt;500,"R &gt; 500 karakter.","")))</f>
        <v/>
      </c>
    </row>
    <row r="973">
      <c r="A973">
        <f>IF($AG973="","",INDEX('TMP Paste'!$B$2:$B$1601,$AG973))</f>
        <v/>
      </c>
      <c r="B973">
        <f>IF($AG973="","",Config!$B$14)</f>
        <v/>
      </c>
      <c r="C973">
        <f>IF($AG973="","",Config!$B$15)</f>
        <v/>
      </c>
      <c r="D973">
        <f>IF($AG973="","",INDEX('TMP Paste'!$B$2:$B$1601,$AG973))</f>
        <v/>
      </c>
      <c r="E973">
        <f>IF($AG973="","",Config!$B$27)</f>
        <v/>
      </c>
      <c r="F973">
        <f>IF($AG973="","",Config!$B$9)</f>
        <v/>
      </c>
      <c r="G973">
        <f>IF($AG973="","",Config!$B$10)</f>
        <v/>
      </c>
      <c r="H973">
        <f>IF($AG973="","",Config!$B$11)</f>
        <v/>
      </c>
      <c r="I973">
        <f>IF($AG973="","",Config!$B$16)</f>
        <v/>
      </c>
      <c r="J973">
        <f>IF($AG973="","",INDEX('TMP Paste'!$A$2:$A$1601,$AG973))</f>
        <v/>
      </c>
      <c r="K973">
        <f>IF($AG973="","",INDEX('TMP Paste'!$L$2:$L$1601,$AG973))</f>
        <v/>
      </c>
      <c r="L973">
        <f>IF($AG973="","",INDEX('TMP Paste'!$I$2:$I$1601,$AG973))</f>
        <v/>
      </c>
      <c r="M973">
        <f>IF($AG973="","",Config!$B$16)</f>
        <v/>
      </c>
      <c r="N973">
        <f>IF($AG973="","","")</f>
        <v/>
      </c>
      <c r="O973">
        <f>IF($AG973="","",INDEX('TMP Paste'!$K$2:$K$1601,$AG973))</f>
        <v/>
      </c>
      <c r="P973">
        <f>IF($AG973="","","")</f>
        <v/>
      </c>
      <c r="Q973">
        <f>IF($AG973="","",INDEX('TMP Paste'!$J$2:$J$1601,$AG973))</f>
        <v/>
      </c>
      <c r="R973">
        <f>IF($AG973="","",Config!$B$24)</f>
        <v/>
      </c>
      <c r="S973">
        <f>IF($AG973="","",TEXT(Config!$B$4,"yyyy-mm-dd"))</f>
        <v/>
      </c>
      <c r="T973">
        <f>IF($AG973="","",Config!$B$17)</f>
        <v/>
      </c>
      <c r="U973">
        <f>IF($AG973="","",Config!$B$18)</f>
        <v/>
      </c>
      <c r="V973">
        <f>IF($AG973="","",Config!$B$19)</f>
        <v/>
      </c>
      <c r="W973">
        <f>IF($AG973="","",INDEX('TMP Paste'!$C$2:$C$1601,$AG973))</f>
        <v/>
      </c>
      <c r="X973">
        <f>IF($AG973="","",Config!$B$29)</f>
        <v/>
      </c>
      <c r="Y973">
        <f>IF($AH973="","",INDEX(Calc!$I$2:$I$1601,$AH973)&amp;" - "&amp;INDEX(Calc!$D$2:$D$1601,$AH973)&amp;" koli")</f>
        <v/>
      </c>
      <c r="Z973">
        <f>IF($AG973="","",Config!$B$21)</f>
        <v/>
      </c>
      <c r="AA973">
        <f>IF($AG973="","",Config!$B$22)</f>
        <v/>
      </c>
      <c r="AB973">
        <f>IF($AH973="","",INDEX(Calc!$D$2:$D$1601,$AH973))</f>
        <v/>
      </c>
      <c r="AC973">
        <f>IF($AH973="","",INDEX(Calc!$G$2:$G$1601,$AH973))</f>
        <v/>
      </c>
      <c r="AD973">
        <f>IF($AG973="","",Config!$B$23)</f>
        <v/>
      </c>
      <c r="AE973">
        <f>IF($AG973="","",Config!$B$28)</f>
        <v/>
      </c>
      <c r="AG973">
        <f>IFERROR(MATCH(ROW()-1,Calc!$J$2:$J$1601,0),"")</f>
        <v/>
      </c>
      <c r="AH973">
        <f>IFERROR(MATCH(ROW()-1,Calc!$K$2:$K$1601,0),"")</f>
        <v/>
      </c>
      <c r="AI973">
        <f>IF($AG973="","",SUMIF($AG$2:$AG973,$AG973,$AH$2:$AH973))</f>
        <v/>
      </c>
      <c r="AJ973">
        <f>IF('TMP Paste'!$F973="","",IF('TMP Paste'!$B973="",$AJ972,'TMP Paste'!$B973))</f>
        <v/>
      </c>
      <c r="AK973">
        <f>IF('TMP Paste'!$F973="","",N('TMP Paste'!$G973))</f>
        <v/>
      </c>
      <c r="AL973">
        <f>IF('TMP Paste'!$F973="","",IF('TMP Paste'!$M973="",$AL972,'TMP Paste'!$M973))</f>
        <v/>
      </c>
      <c r="AM973">
        <f>IF('TMP Paste'!$F973="","",IF('TMP Paste'!$N973="",$AM972,'TMP Paste'!$N973))</f>
        <v/>
      </c>
      <c r="AN973">
        <f>IF('TMP Paste'!$F973="","",IF('TMP Paste'!$O973="",$AN972,'TMP Paste'!$O973))</f>
        <v/>
      </c>
      <c r="AO973">
        <f>IF('TMP Paste'!$F973="","",IF('TMP Paste'!$P973="",$AO972,'TMP Paste'!$P973))</f>
        <v/>
      </c>
      <c r="AP973">
        <f>IF($AG973="","",LEN($R973))</f>
        <v/>
      </c>
      <c r="AQ973">
        <f>IF($AG973="","",TRIM(IF(COUNTIFS(Calc!$B$2:$B$1601,ROW()-1,Calc!$C$2:$C$1601,"&lt;1")&gt;0,"Ada PO tanpa Koli - cek TMP. ","")&amp;IF(LEN($R973)&gt;500,"R &gt; 500 karakter.","")))</f>
        <v/>
      </c>
    </row>
    <row r="974">
      <c r="A974">
        <f>IF($AG974="","",INDEX('TMP Paste'!$B$2:$B$1601,$AG974))</f>
        <v/>
      </c>
      <c r="B974">
        <f>IF($AG974="","",Config!$B$14)</f>
        <v/>
      </c>
      <c r="C974">
        <f>IF($AG974="","",Config!$B$15)</f>
        <v/>
      </c>
      <c r="D974">
        <f>IF($AG974="","",INDEX('TMP Paste'!$B$2:$B$1601,$AG974))</f>
        <v/>
      </c>
      <c r="E974">
        <f>IF($AG974="","",Config!$B$27)</f>
        <v/>
      </c>
      <c r="F974">
        <f>IF($AG974="","",Config!$B$9)</f>
        <v/>
      </c>
      <c r="G974">
        <f>IF($AG974="","",Config!$B$10)</f>
        <v/>
      </c>
      <c r="H974">
        <f>IF($AG974="","",Config!$B$11)</f>
        <v/>
      </c>
      <c r="I974">
        <f>IF($AG974="","",Config!$B$16)</f>
        <v/>
      </c>
      <c r="J974">
        <f>IF($AG974="","",INDEX('TMP Paste'!$A$2:$A$1601,$AG974))</f>
        <v/>
      </c>
      <c r="K974">
        <f>IF($AG974="","",INDEX('TMP Paste'!$L$2:$L$1601,$AG974))</f>
        <v/>
      </c>
      <c r="L974">
        <f>IF($AG974="","",INDEX('TMP Paste'!$I$2:$I$1601,$AG974))</f>
        <v/>
      </c>
      <c r="M974">
        <f>IF($AG974="","",Config!$B$16)</f>
        <v/>
      </c>
      <c r="N974">
        <f>IF($AG974="","","")</f>
        <v/>
      </c>
      <c r="O974">
        <f>IF($AG974="","",INDEX('TMP Paste'!$K$2:$K$1601,$AG974))</f>
        <v/>
      </c>
      <c r="P974">
        <f>IF($AG974="","","")</f>
        <v/>
      </c>
      <c r="Q974">
        <f>IF($AG974="","",INDEX('TMP Paste'!$J$2:$J$1601,$AG974))</f>
        <v/>
      </c>
      <c r="R974">
        <f>IF($AG974="","",Config!$B$24)</f>
        <v/>
      </c>
      <c r="S974">
        <f>IF($AG974="","",TEXT(Config!$B$4,"yyyy-mm-dd"))</f>
        <v/>
      </c>
      <c r="T974">
        <f>IF($AG974="","",Config!$B$17)</f>
        <v/>
      </c>
      <c r="U974">
        <f>IF($AG974="","",Config!$B$18)</f>
        <v/>
      </c>
      <c r="V974">
        <f>IF($AG974="","",Config!$B$19)</f>
        <v/>
      </c>
      <c r="W974">
        <f>IF($AG974="","",INDEX('TMP Paste'!$C$2:$C$1601,$AG974))</f>
        <v/>
      </c>
      <c r="X974">
        <f>IF($AG974="","",Config!$B$29)</f>
        <v/>
      </c>
      <c r="Y974">
        <f>IF($AH974="","",INDEX(Calc!$I$2:$I$1601,$AH974)&amp;" - "&amp;INDEX(Calc!$D$2:$D$1601,$AH974)&amp;" koli")</f>
        <v/>
      </c>
      <c r="Z974">
        <f>IF($AG974="","",Config!$B$21)</f>
        <v/>
      </c>
      <c r="AA974">
        <f>IF($AG974="","",Config!$B$22)</f>
        <v/>
      </c>
      <c r="AB974">
        <f>IF($AH974="","",INDEX(Calc!$D$2:$D$1601,$AH974))</f>
        <v/>
      </c>
      <c r="AC974">
        <f>IF($AH974="","",INDEX(Calc!$G$2:$G$1601,$AH974))</f>
        <v/>
      </c>
      <c r="AD974">
        <f>IF($AG974="","",Config!$B$23)</f>
        <v/>
      </c>
      <c r="AE974">
        <f>IF($AG974="","",Config!$B$28)</f>
        <v/>
      </c>
      <c r="AG974">
        <f>IFERROR(MATCH(ROW()-1,Calc!$J$2:$J$1601,0),"")</f>
        <v/>
      </c>
      <c r="AH974">
        <f>IFERROR(MATCH(ROW()-1,Calc!$K$2:$K$1601,0),"")</f>
        <v/>
      </c>
      <c r="AI974">
        <f>IF($AG974="","",SUMIF($AG$2:$AG974,$AG974,$AH$2:$AH974))</f>
        <v/>
      </c>
      <c r="AJ974">
        <f>IF('TMP Paste'!$F974="","",IF('TMP Paste'!$B974="",$AJ973,'TMP Paste'!$B974))</f>
        <v/>
      </c>
      <c r="AK974">
        <f>IF('TMP Paste'!$F974="","",N('TMP Paste'!$G974))</f>
        <v/>
      </c>
      <c r="AL974">
        <f>IF('TMP Paste'!$F974="","",IF('TMP Paste'!$M974="",$AL973,'TMP Paste'!$M974))</f>
        <v/>
      </c>
      <c r="AM974">
        <f>IF('TMP Paste'!$F974="","",IF('TMP Paste'!$N974="",$AM973,'TMP Paste'!$N974))</f>
        <v/>
      </c>
      <c r="AN974">
        <f>IF('TMP Paste'!$F974="","",IF('TMP Paste'!$O974="",$AN973,'TMP Paste'!$O974))</f>
        <v/>
      </c>
      <c r="AO974">
        <f>IF('TMP Paste'!$F974="","",IF('TMP Paste'!$P974="",$AO973,'TMP Paste'!$P974))</f>
        <v/>
      </c>
      <c r="AP974">
        <f>IF($AG974="","",LEN($R974))</f>
        <v/>
      </c>
      <c r="AQ974">
        <f>IF($AG974="","",TRIM(IF(COUNTIFS(Calc!$B$2:$B$1601,ROW()-1,Calc!$C$2:$C$1601,"&lt;1")&gt;0,"Ada PO tanpa Koli - cek TMP. ","")&amp;IF(LEN($R974)&gt;500,"R &gt; 500 karakter.","")))</f>
        <v/>
      </c>
    </row>
    <row r="975">
      <c r="A975">
        <f>IF($AG975="","",INDEX('TMP Paste'!$B$2:$B$1601,$AG975))</f>
        <v/>
      </c>
      <c r="B975">
        <f>IF($AG975="","",Config!$B$14)</f>
        <v/>
      </c>
      <c r="C975">
        <f>IF($AG975="","",Config!$B$15)</f>
        <v/>
      </c>
      <c r="D975">
        <f>IF($AG975="","",INDEX('TMP Paste'!$B$2:$B$1601,$AG975))</f>
        <v/>
      </c>
      <c r="E975">
        <f>IF($AG975="","",Config!$B$27)</f>
        <v/>
      </c>
      <c r="F975">
        <f>IF($AG975="","",Config!$B$9)</f>
        <v/>
      </c>
      <c r="G975">
        <f>IF($AG975="","",Config!$B$10)</f>
        <v/>
      </c>
      <c r="H975">
        <f>IF($AG975="","",Config!$B$11)</f>
        <v/>
      </c>
      <c r="I975">
        <f>IF($AG975="","",Config!$B$16)</f>
        <v/>
      </c>
      <c r="J975">
        <f>IF($AG975="","",INDEX('TMP Paste'!$A$2:$A$1601,$AG975))</f>
        <v/>
      </c>
      <c r="K975">
        <f>IF($AG975="","",INDEX('TMP Paste'!$L$2:$L$1601,$AG975))</f>
        <v/>
      </c>
      <c r="L975">
        <f>IF($AG975="","",INDEX('TMP Paste'!$I$2:$I$1601,$AG975))</f>
        <v/>
      </c>
      <c r="M975">
        <f>IF($AG975="","",Config!$B$16)</f>
        <v/>
      </c>
      <c r="N975">
        <f>IF($AG975="","","")</f>
        <v/>
      </c>
      <c r="O975">
        <f>IF($AG975="","",INDEX('TMP Paste'!$K$2:$K$1601,$AG975))</f>
        <v/>
      </c>
      <c r="P975">
        <f>IF($AG975="","","")</f>
        <v/>
      </c>
      <c r="Q975">
        <f>IF($AG975="","",INDEX('TMP Paste'!$J$2:$J$1601,$AG975))</f>
        <v/>
      </c>
      <c r="R975">
        <f>IF($AG975="","",Config!$B$24)</f>
        <v/>
      </c>
      <c r="S975">
        <f>IF($AG975="","",TEXT(Config!$B$4,"yyyy-mm-dd"))</f>
        <v/>
      </c>
      <c r="T975">
        <f>IF($AG975="","",Config!$B$17)</f>
        <v/>
      </c>
      <c r="U975">
        <f>IF($AG975="","",Config!$B$18)</f>
        <v/>
      </c>
      <c r="V975">
        <f>IF($AG975="","",Config!$B$19)</f>
        <v/>
      </c>
      <c r="W975">
        <f>IF($AG975="","",INDEX('TMP Paste'!$C$2:$C$1601,$AG975))</f>
        <v/>
      </c>
      <c r="X975">
        <f>IF($AG975="","",Config!$B$29)</f>
        <v/>
      </c>
      <c r="Y975">
        <f>IF($AH975="","",INDEX(Calc!$I$2:$I$1601,$AH975)&amp;" - "&amp;INDEX(Calc!$D$2:$D$1601,$AH975)&amp;" koli")</f>
        <v/>
      </c>
      <c r="Z975">
        <f>IF($AG975="","",Config!$B$21)</f>
        <v/>
      </c>
      <c r="AA975">
        <f>IF($AG975="","",Config!$B$22)</f>
        <v/>
      </c>
      <c r="AB975">
        <f>IF($AH975="","",INDEX(Calc!$D$2:$D$1601,$AH975))</f>
        <v/>
      </c>
      <c r="AC975">
        <f>IF($AH975="","",INDEX(Calc!$G$2:$G$1601,$AH975))</f>
        <v/>
      </c>
      <c r="AD975">
        <f>IF($AG975="","",Config!$B$23)</f>
        <v/>
      </c>
      <c r="AE975">
        <f>IF($AG975="","",Config!$B$28)</f>
        <v/>
      </c>
      <c r="AG975">
        <f>IFERROR(MATCH(ROW()-1,Calc!$J$2:$J$1601,0),"")</f>
        <v/>
      </c>
      <c r="AH975">
        <f>IFERROR(MATCH(ROW()-1,Calc!$K$2:$K$1601,0),"")</f>
        <v/>
      </c>
      <c r="AI975">
        <f>IF($AG975="","",SUMIF($AG$2:$AG975,$AG975,$AH$2:$AH975))</f>
        <v/>
      </c>
      <c r="AJ975">
        <f>IF('TMP Paste'!$F975="","",IF('TMP Paste'!$B975="",$AJ974,'TMP Paste'!$B975))</f>
        <v/>
      </c>
      <c r="AK975">
        <f>IF('TMP Paste'!$F975="","",N('TMP Paste'!$G975))</f>
        <v/>
      </c>
      <c r="AL975">
        <f>IF('TMP Paste'!$F975="","",IF('TMP Paste'!$M975="",$AL974,'TMP Paste'!$M975))</f>
        <v/>
      </c>
      <c r="AM975">
        <f>IF('TMP Paste'!$F975="","",IF('TMP Paste'!$N975="",$AM974,'TMP Paste'!$N975))</f>
        <v/>
      </c>
      <c r="AN975">
        <f>IF('TMP Paste'!$F975="","",IF('TMP Paste'!$O975="",$AN974,'TMP Paste'!$O975))</f>
        <v/>
      </c>
      <c r="AO975">
        <f>IF('TMP Paste'!$F975="","",IF('TMP Paste'!$P975="",$AO974,'TMP Paste'!$P975))</f>
        <v/>
      </c>
      <c r="AP975">
        <f>IF($AG975="","",LEN($R975))</f>
        <v/>
      </c>
      <c r="AQ975">
        <f>IF($AG975="","",TRIM(IF(COUNTIFS(Calc!$B$2:$B$1601,ROW()-1,Calc!$C$2:$C$1601,"&lt;1")&gt;0,"Ada PO tanpa Koli - cek TMP. ","")&amp;IF(LEN($R975)&gt;500,"R &gt; 500 karakter.","")))</f>
        <v/>
      </c>
    </row>
    <row r="976">
      <c r="A976">
        <f>IF($AG976="","",INDEX('TMP Paste'!$B$2:$B$1601,$AG976))</f>
        <v/>
      </c>
      <c r="B976">
        <f>IF($AG976="","",Config!$B$14)</f>
        <v/>
      </c>
      <c r="C976">
        <f>IF($AG976="","",Config!$B$15)</f>
        <v/>
      </c>
      <c r="D976">
        <f>IF($AG976="","",INDEX('TMP Paste'!$B$2:$B$1601,$AG976))</f>
        <v/>
      </c>
      <c r="E976">
        <f>IF($AG976="","",Config!$B$27)</f>
        <v/>
      </c>
      <c r="F976">
        <f>IF($AG976="","",Config!$B$9)</f>
        <v/>
      </c>
      <c r="G976">
        <f>IF($AG976="","",Config!$B$10)</f>
        <v/>
      </c>
      <c r="H976">
        <f>IF($AG976="","",Config!$B$11)</f>
        <v/>
      </c>
      <c r="I976">
        <f>IF($AG976="","",Config!$B$16)</f>
        <v/>
      </c>
      <c r="J976">
        <f>IF($AG976="","",INDEX('TMP Paste'!$A$2:$A$1601,$AG976))</f>
        <v/>
      </c>
      <c r="K976">
        <f>IF($AG976="","",INDEX('TMP Paste'!$L$2:$L$1601,$AG976))</f>
        <v/>
      </c>
      <c r="L976">
        <f>IF($AG976="","",INDEX('TMP Paste'!$I$2:$I$1601,$AG976))</f>
        <v/>
      </c>
      <c r="M976">
        <f>IF($AG976="","",Config!$B$16)</f>
        <v/>
      </c>
      <c r="N976">
        <f>IF($AG976="","","")</f>
        <v/>
      </c>
      <c r="O976">
        <f>IF($AG976="","",INDEX('TMP Paste'!$K$2:$K$1601,$AG976))</f>
        <v/>
      </c>
      <c r="P976">
        <f>IF($AG976="","","")</f>
        <v/>
      </c>
      <c r="Q976">
        <f>IF($AG976="","",INDEX('TMP Paste'!$J$2:$J$1601,$AG976))</f>
        <v/>
      </c>
      <c r="R976">
        <f>IF($AG976="","",Config!$B$24)</f>
        <v/>
      </c>
      <c r="S976">
        <f>IF($AG976="","",TEXT(Config!$B$4,"yyyy-mm-dd"))</f>
        <v/>
      </c>
      <c r="T976">
        <f>IF($AG976="","",Config!$B$17)</f>
        <v/>
      </c>
      <c r="U976">
        <f>IF($AG976="","",Config!$B$18)</f>
        <v/>
      </c>
      <c r="V976">
        <f>IF($AG976="","",Config!$B$19)</f>
        <v/>
      </c>
      <c r="W976">
        <f>IF($AG976="","",INDEX('TMP Paste'!$C$2:$C$1601,$AG976))</f>
        <v/>
      </c>
      <c r="X976">
        <f>IF($AG976="","",Config!$B$29)</f>
        <v/>
      </c>
      <c r="Y976">
        <f>IF($AH976="","",INDEX(Calc!$I$2:$I$1601,$AH976)&amp;" - "&amp;INDEX(Calc!$D$2:$D$1601,$AH976)&amp;" koli")</f>
        <v/>
      </c>
      <c r="Z976">
        <f>IF($AG976="","",Config!$B$21)</f>
        <v/>
      </c>
      <c r="AA976">
        <f>IF($AG976="","",Config!$B$22)</f>
        <v/>
      </c>
      <c r="AB976">
        <f>IF($AH976="","",INDEX(Calc!$D$2:$D$1601,$AH976))</f>
        <v/>
      </c>
      <c r="AC976">
        <f>IF($AH976="","",INDEX(Calc!$G$2:$G$1601,$AH976))</f>
        <v/>
      </c>
      <c r="AD976">
        <f>IF($AG976="","",Config!$B$23)</f>
        <v/>
      </c>
      <c r="AE976">
        <f>IF($AG976="","",Config!$B$28)</f>
        <v/>
      </c>
      <c r="AG976">
        <f>IFERROR(MATCH(ROW()-1,Calc!$J$2:$J$1601,0),"")</f>
        <v/>
      </c>
      <c r="AH976">
        <f>IFERROR(MATCH(ROW()-1,Calc!$K$2:$K$1601,0),"")</f>
        <v/>
      </c>
      <c r="AI976">
        <f>IF($AG976="","",SUMIF($AG$2:$AG976,$AG976,$AH$2:$AH976))</f>
        <v/>
      </c>
      <c r="AJ976">
        <f>IF('TMP Paste'!$F976="","",IF('TMP Paste'!$B976="",$AJ975,'TMP Paste'!$B976))</f>
        <v/>
      </c>
      <c r="AK976">
        <f>IF('TMP Paste'!$F976="","",N('TMP Paste'!$G976))</f>
        <v/>
      </c>
      <c r="AL976">
        <f>IF('TMP Paste'!$F976="","",IF('TMP Paste'!$M976="",$AL975,'TMP Paste'!$M976))</f>
        <v/>
      </c>
      <c r="AM976">
        <f>IF('TMP Paste'!$F976="","",IF('TMP Paste'!$N976="",$AM975,'TMP Paste'!$N976))</f>
        <v/>
      </c>
      <c r="AN976">
        <f>IF('TMP Paste'!$F976="","",IF('TMP Paste'!$O976="",$AN975,'TMP Paste'!$O976))</f>
        <v/>
      </c>
      <c r="AO976">
        <f>IF('TMP Paste'!$F976="","",IF('TMP Paste'!$P976="",$AO975,'TMP Paste'!$P976))</f>
        <v/>
      </c>
      <c r="AP976">
        <f>IF($AG976="","",LEN($R976))</f>
        <v/>
      </c>
      <c r="AQ976">
        <f>IF($AG976="","",TRIM(IF(COUNTIFS(Calc!$B$2:$B$1601,ROW()-1,Calc!$C$2:$C$1601,"&lt;1")&gt;0,"Ada PO tanpa Koli - cek TMP. ","")&amp;IF(LEN($R976)&gt;500,"R &gt; 500 karakter.","")))</f>
        <v/>
      </c>
    </row>
    <row r="977">
      <c r="A977">
        <f>IF($AG977="","",INDEX('TMP Paste'!$B$2:$B$1601,$AG977))</f>
        <v/>
      </c>
      <c r="B977">
        <f>IF($AG977="","",Config!$B$14)</f>
        <v/>
      </c>
      <c r="C977">
        <f>IF($AG977="","",Config!$B$15)</f>
        <v/>
      </c>
      <c r="D977">
        <f>IF($AG977="","",INDEX('TMP Paste'!$B$2:$B$1601,$AG977))</f>
        <v/>
      </c>
      <c r="E977">
        <f>IF($AG977="","",Config!$B$27)</f>
        <v/>
      </c>
      <c r="F977">
        <f>IF($AG977="","",Config!$B$9)</f>
        <v/>
      </c>
      <c r="G977">
        <f>IF($AG977="","",Config!$B$10)</f>
        <v/>
      </c>
      <c r="H977">
        <f>IF($AG977="","",Config!$B$11)</f>
        <v/>
      </c>
      <c r="I977">
        <f>IF($AG977="","",Config!$B$16)</f>
        <v/>
      </c>
      <c r="J977">
        <f>IF($AG977="","",INDEX('TMP Paste'!$A$2:$A$1601,$AG977))</f>
        <v/>
      </c>
      <c r="K977">
        <f>IF($AG977="","",INDEX('TMP Paste'!$L$2:$L$1601,$AG977))</f>
        <v/>
      </c>
      <c r="L977">
        <f>IF($AG977="","",INDEX('TMP Paste'!$I$2:$I$1601,$AG977))</f>
        <v/>
      </c>
      <c r="M977">
        <f>IF($AG977="","",Config!$B$16)</f>
        <v/>
      </c>
      <c r="N977">
        <f>IF($AG977="","","")</f>
        <v/>
      </c>
      <c r="O977">
        <f>IF($AG977="","",INDEX('TMP Paste'!$K$2:$K$1601,$AG977))</f>
        <v/>
      </c>
      <c r="P977">
        <f>IF($AG977="","","")</f>
        <v/>
      </c>
      <c r="Q977">
        <f>IF($AG977="","",INDEX('TMP Paste'!$J$2:$J$1601,$AG977))</f>
        <v/>
      </c>
      <c r="R977">
        <f>IF($AG977="","",Config!$B$24)</f>
        <v/>
      </c>
      <c r="S977">
        <f>IF($AG977="","",TEXT(Config!$B$4,"yyyy-mm-dd"))</f>
        <v/>
      </c>
      <c r="T977">
        <f>IF($AG977="","",Config!$B$17)</f>
        <v/>
      </c>
      <c r="U977">
        <f>IF($AG977="","",Config!$B$18)</f>
        <v/>
      </c>
      <c r="V977">
        <f>IF($AG977="","",Config!$B$19)</f>
        <v/>
      </c>
      <c r="W977">
        <f>IF($AG977="","",INDEX('TMP Paste'!$C$2:$C$1601,$AG977))</f>
        <v/>
      </c>
      <c r="X977">
        <f>IF($AG977="","",Config!$B$29)</f>
        <v/>
      </c>
      <c r="Y977">
        <f>IF($AH977="","",INDEX(Calc!$I$2:$I$1601,$AH977)&amp;" - "&amp;INDEX(Calc!$D$2:$D$1601,$AH977)&amp;" koli")</f>
        <v/>
      </c>
      <c r="Z977">
        <f>IF($AG977="","",Config!$B$21)</f>
        <v/>
      </c>
      <c r="AA977">
        <f>IF($AG977="","",Config!$B$22)</f>
        <v/>
      </c>
      <c r="AB977">
        <f>IF($AH977="","",INDEX(Calc!$D$2:$D$1601,$AH977))</f>
        <v/>
      </c>
      <c r="AC977">
        <f>IF($AH977="","",INDEX(Calc!$G$2:$G$1601,$AH977))</f>
        <v/>
      </c>
      <c r="AD977">
        <f>IF($AG977="","",Config!$B$23)</f>
        <v/>
      </c>
      <c r="AE977">
        <f>IF($AG977="","",Config!$B$28)</f>
        <v/>
      </c>
      <c r="AG977">
        <f>IFERROR(MATCH(ROW()-1,Calc!$J$2:$J$1601,0),"")</f>
        <v/>
      </c>
      <c r="AH977">
        <f>IFERROR(MATCH(ROW()-1,Calc!$K$2:$K$1601,0),"")</f>
        <v/>
      </c>
      <c r="AI977">
        <f>IF($AG977="","",SUMIF($AG$2:$AG977,$AG977,$AH$2:$AH977))</f>
        <v/>
      </c>
      <c r="AJ977">
        <f>IF('TMP Paste'!$F977="","",IF('TMP Paste'!$B977="",$AJ976,'TMP Paste'!$B977))</f>
        <v/>
      </c>
      <c r="AK977">
        <f>IF('TMP Paste'!$F977="","",N('TMP Paste'!$G977))</f>
        <v/>
      </c>
      <c r="AL977">
        <f>IF('TMP Paste'!$F977="","",IF('TMP Paste'!$M977="",$AL976,'TMP Paste'!$M977))</f>
        <v/>
      </c>
      <c r="AM977">
        <f>IF('TMP Paste'!$F977="","",IF('TMP Paste'!$N977="",$AM976,'TMP Paste'!$N977))</f>
        <v/>
      </c>
      <c r="AN977">
        <f>IF('TMP Paste'!$F977="","",IF('TMP Paste'!$O977="",$AN976,'TMP Paste'!$O977))</f>
        <v/>
      </c>
      <c r="AO977">
        <f>IF('TMP Paste'!$F977="","",IF('TMP Paste'!$P977="",$AO976,'TMP Paste'!$P977))</f>
        <v/>
      </c>
      <c r="AP977">
        <f>IF($AG977="","",LEN($R977))</f>
        <v/>
      </c>
      <c r="AQ977">
        <f>IF($AG977="","",TRIM(IF(COUNTIFS(Calc!$B$2:$B$1601,ROW()-1,Calc!$C$2:$C$1601,"&lt;1")&gt;0,"Ada PO tanpa Koli - cek TMP. ","")&amp;IF(LEN($R977)&gt;500,"R &gt; 500 karakter.","")))</f>
        <v/>
      </c>
    </row>
    <row r="978">
      <c r="A978">
        <f>IF($AG978="","",INDEX('TMP Paste'!$B$2:$B$1601,$AG978))</f>
        <v/>
      </c>
      <c r="B978">
        <f>IF($AG978="","",Config!$B$14)</f>
        <v/>
      </c>
      <c r="C978">
        <f>IF($AG978="","",Config!$B$15)</f>
        <v/>
      </c>
      <c r="D978">
        <f>IF($AG978="","",INDEX('TMP Paste'!$B$2:$B$1601,$AG978))</f>
        <v/>
      </c>
      <c r="E978">
        <f>IF($AG978="","",Config!$B$27)</f>
        <v/>
      </c>
      <c r="F978">
        <f>IF($AG978="","",Config!$B$9)</f>
        <v/>
      </c>
      <c r="G978">
        <f>IF($AG978="","",Config!$B$10)</f>
        <v/>
      </c>
      <c r="H978">
        <f>IF($AG978="","",Config!$B$11)</f>
        <v/>
      </c>
      <c r="I978">
        <f>IF($AG978="","",Config!$B$16)</f>
        <v/>
      </c>
      <c r="J978">
        <f>IF($AG978="","",INDEX('TMP Paste'!$A$2:$A$1601,$AG978))</f>
        <v/>
      </c>
      <c r="K978">
        <f>IF($AG978="","",INDEX('TMP Paste'!$L$2:$L$1601,$AG978))</f>
        <v/>
      </c>
      <c r="L978">
        <f>IF($AG978="","",INDEX('TMP Paste'!$I$2:$I$1601,$AG978))</f>
        <v/>
      </c>
      <c r="M978">
        <f>IF($AG978="","",Config!$B$16)</f>
        <v/>
      </c>
      <c r="N978">
        <f>IF($AG978="","","")</f>
        <v/>
      </c>
      <c r="O978">
        <f>IF($AG978="","",INDEX('TMP Paste'!$K$2:$K$1601,$AG978))</f>
        <v/>
      </c>
      <c r="P978">
        <f>IF($AG978="","","")</f>
        <v/>
      </c>
      <c r="Q978">
        <f>IF($AG978="","",INDEX('TMP Paste'!$J$2:$J$1601,$AG978))</f>
        <v/>
      </c>
      <c r="R978">
        <f>IF($AG978="","",Config!$B$24)</f>
        <v/>
      </c>
      <c r="S978">
        <f>IF($AG978="","",TEXT(Config!$B$4,"yyyy-mm-dd"))</f>
        <v/>
      </c>
      <c r="T978">
        <f>IF($AG978="","",Config!$B$17)</f>
        <v/>
      </c>
      <c r="U978">
        <f>IF($AG978="","",Config!$B$18)</f>
        <v/>
      </c>
      <c r="V978">
        <f>IF($AG978="","",Config!$B$19)</f>
        <v/>
      </c>
      <c r="W978">
        <f>IF($AG978="","",INDEX('TMP Paste'!$C$2:$C$1601,$AG978))</f>
        <v/>
      </c>
      <c r="X978">
        <f>IF($AG978="","",Config!$B$29)</f>
        <v/>
      </c>
      <c r="Y978">
        <f>IF($AH978="","",INDEX(Calc!$I$2:$I$1601,$AH978)&amp;" - "&amp;INDEX(Calc!$D$2:$D$1601,$AH978)&amp;" koli")</f>
        <v/>
      </c>
      <c r="Z978">
        <f>IF($AG978="","",Config!$B$21)</f>
        <v/>
      </c>
      <c r="AA978">
        <f>IF($AG978="","",Config!$B$22)</f>
        <v/>
      </c>
      <c r="AB978">
        <f>IF($AH978="","",INDEX(Calc!$D$2:$D$1601,$AH978))</f>
        <v/>
      </c>
      <c r="AC978">
        <f>IF($AH978="","",INDEX(Calc!$G$2:$G$1601,$AH978))</f>
        <v/>
      </c>
      <c r="AD978">
        <f>IF($AG978="","",Config!$B$23)</f>
        <v/>
      </c>
      <c r="AE978">
        <f>IF($AG978="","",Config!$B$28)</f>
        <v/>
      </c>
      <c r="AG978">
        <f>IFERROR(MATCH(ROW()-1,Calc!$J$2:$J$1601,0),"")</f>
        <v/>
      </c>
      <c r="AH978">
        <f>IFERROR(MATCH(ROW()-1,Calc!$K$2:$K$1601,0),"")</f>
        <v/>
      </c>
      <c r="AI978">
        <f>IF($AG978="","",SUMIF($AG$2:$AG978,$AG978,$AH$2:$AH978))</f>
        <v/>
      </c>
      <c r="AJ978">
        <f>IF('TMP Paste'!$F978="","",IF('TMP Paste'!$B978="",$AJ977,'TMP Paste'!$B978))</f>
        <v/>
      </c>
      <c r="AK978">
        <f>IF('TMP Paste'!$F978="","",N('TMP Paste'!$G978))</f>
        <v/>
      </c>
      <c r="AL978">
        <f>IF('TMP Paste'!$F978="","",IF('TMP Paste'!$M978="",$AL977,'TMP Paste'!$M978))</f>
        <v/>
      </c>
      <c r="AM978">
        <f>IF('TMP Paste'!$F978="","",IF('TMP Paste'!$N978="",$AM977,'TMP Paste'!$N978))</f>
        <v/>
      </c>
      <c r="AN978">
        <f>IF('TMP Paste'!$F978="","",IF('TMP Paste'!$O978="",$AN977,'TMP Paste'!$O978))</f>
        <v/>
      </c>
      <c r="AO978">
        <f>IF('TMP Paste'!$F978="","",IF('TMP Paste'!$P978="",$AO977,'TMP Paste'!$P978))</f>
        <v/>
      </c>
      <c r="AP978">
        <f>IF($AG978="","",LEN($R978))</f>
        <v/>
      </c>
      <c r="AQ978">
        <f>IF($AG978="","",TRIM(IF(COUNTIFS(Calc!$B$2:$B$1601,ROW()-1,Calc!$C$2:$C$1601,"&lt;1")&gt;0,"Ada PO tanpa Koli - cek TMP. ","")&amp;IF(LEN($R978)&gt;500,"R &gt; 500 karakter.","")))</f>
        <v/>
      </c>
    </row>
    <row r="979">
      <c r="A979">
        <f>IF($AG979="","",INDEX('TMP Paste'!$B$2:$B$1601,$AG979))</f>
        <v/>
      </c>
      <c r="B979">
        <f>IF($AG979="","",Config!$B$14)</f>
        <v/>
      </c>
      <c r="C979">
        <f>IF($AG979="","",Config!$B$15)</f>
        <v/>
      </c>
      <c r="D979">
        <f>IF($AG979="","",INDEX('TMP Paste'!$B$2:$B$1601,$AG979))</f>
        <v/>
      </c>
      <c r="E979">
        <f>IF($AG979="","",Config!$B$27)</f>
        <v/>
      </c>
      <c r="F979">
        <f>IF($AG979="","",Config!$B$9)</f>
        <v/>
      </c>
      <c r="G979">
        <f>IF($AG979="","",Config!$B$10)</f>
        <v/>
      </c>
      <c r="H979">
        <f>IF($AG979="","",Config!$B$11)</f>
        <v/>
      </c>
      <c r="I979">
        <f>IF($AG979="","",Config!$B$16)</f>
        <v/>
      </c>
      <c r="J979">
        <f>IF($AG979="","",INDEX('TMP Paste'!$A$2:$A$1601,$AG979))</f>
        <v/>
      </c>
      <c r="K979">
        <f>IF($AG979="","",INDEX('TMP Paste'!$L$2:$L$1601,$AG979))</f>
        <v/>
      </c>
      <c r="L979">
        <f>IF($AG979="","",INDEX('TMP Paste'!$I$2:$I$1601,$AG979))</f>
        <v/>
      </c>
      <c r="M979">
        <f>IF($AG979="","",Config!$B$16)</f>
        <v/>
      </c>
      <c r="N979">
        <f>IF($AG979="","","")</f>
        <v/>
      </c>
      <c r="O979">
        <f>IF($AG979="","",INDEX('TMP Paste'!$K$2:$K$1601,$AG979))</f>
        <v/>
      </c>
      <c r="P979">
        <f>IF($AG979="","","")</f>
        <v/>
      </c>
      <c r="Q979">
        <f>IF($AG979="","",INDEX('TMP Paste'!$J$2:$J$1601,$AG979))</f>
        <v/>
      </c>
      <c r="R979">
        <f>IF($AG979="","",Config!$B$24)</f>
        <v/>
      </c>
      <c r="S979">
        <f>IF($AG979="","",TEXT(Config!$B$4,"yyyy-mm-dd"))</f>
        <v/>
      </c>
      <c r="T979">
        <f>IF($AG979="","",Config!$B$17)</f>
        <v/>
      </c>
      <c r="U979">
        <f>IF($AG979="","",Config!$B$18)</f>
        <v/>
      </c>
      <c r="V979">
        <f>IF($AG979="","",Config!$B$19)</f>
        <v/>
      </c>
      <c r="W979">
        <f>IF($AG979="","",INDEX('TMP Paste'!$C$2:$C$1601,$AG979))</f>
        <v/>
      </c>
      <c r="X979">
        <f>IF($AG979="","",Config!$B$29)</f>
        <v/>
      </c>
      <c r="Y979">
        <f>IF($AH979="","",INDEX(Calc!$I$2:$I$1601,$AH979)&amp;" - "&amp;INDEX(Calc!$D$2:$D$1601,$AH979)&amp;" koli")</f>
        <v/>
      </c>
      <c r="Z979">
        <f>IF($AG979="","",Config!$B$21)</f>
        <v/>
      </c>
      <c r="AA979">
        <f>IF($AG979="","",Config!$B$22)</f>
        <v/>
      </c>
      <c r="AB979">
        <f>IF($AH979="","",INDEX(Calc!$D$2:$D$1601,$AH979))</f>
        <v/>
      </c>
      <c r="AC979">
        <f>IF($AH979="","",INDEX(Calc!$G$2:$G$1601,$AH979))</f>
        <v/>
      </c>
      <c r="AD979">
        <f>IF($AG979="","",Config!$B$23)</f>
        <v/>
      </c>
      <c r="AE979">
        <f>IF($AG979="","",Config!$B$28)</f>
        <v/>
      </c>
      <c r="AG979">
        <f>IFERROR(MATCH(ROW()-1,Calc!$J$2:$J$1601,0),"")</f>
        <v/>
      </c>
      <c r="AH979">
        <f>IFERROR(MATCH(ROW()-1,Calc!$K$2:$K$1601,0),"")</f>
        <v/>
      </c>
      <c r="AI979">
        <f>IF($AG979="","",SUMIF($AG$2:$AG979,$AG979,$AH$2:$AH979))</f>
        <v/>
      </c>
      <c r="AJ979">
        <f>IF('TMP Paste'!$F979="","",IF('TMP Paste'!$B979="",$AJ978,'TMP Paste'!$B979))</f>
        <v/>
      </c>
      <c r="AK979">
        <f>IF('TMP Paste'!$F979="","",N('TMP Paste'!$G979))</f>
        <v/>
      </c>
      <c r="AL979">
        <f>IF('TMP Paste'!$F979="","",IF('TMP Paste'!$M979="",$AL978,'TMP Paste'!$M979))</f>
        <v/>
      </c>
      <c r="AM979">
        <f>IF('TMP Paste'!$F979="","",IF('TMP Paste'!$N979="",$AM978,'TMP Paste'!$N979))</f>
        <v/>
      </c>
      <c r="AN979">
        <f>IF('TMP Paste'!$F979="","",IF('TMP Paste'!$O979="",$AN978,'TMP Paste'!$O979))</f>
        <v/>
      </c>
      <c r="AO979">
        <f>IF('TMP Paste'!$F979="","",IF('TMP Paste'!$P979="",$AO978,'TMP Paste'!$P979))</f>
        <v/>
      </c>
      <c r="AP979">
        <f>IF($AG979="","",LEN($R979))</f>
        <v/>
      </c>
      <c r="AQ979">
        <f>IF($AG979="","",TRIM(IF(COUNTIFS(Calc!$B$2:$B$1601,ROW()-1,Calc!$C$2:$C$1601,"&lt;1")&gt;0,"Ada PO tanpa Koli - cek TMP. ","")&amp;IF(LEN($R979)&gt;500,"R &gt; 500 karakter.","")))</f>
        <v/>
      </c>
    </row>
    <row r="980">
      <c r="A980">
        <f>IF($AG980="","",INDEX('TMP Paste'!$B$2:$B$1601,$AG980))</f>
        <v/>
      </c>
      <c r="B980">
        <f>IF($AG980="","",Config!$B$14)</f>
        <v/>
      </c>
      <c r="C980">
        <f>IF($AG980="","",Config!$B$15)</f>
        <v/>
      </c>
      <c r="D980">
        <f>IF($AG980="","",INDEX('TMP Paste'!$B$2:$B$1601,$AG980))</f>
        <v/>
      </c>
      <c r="E980">
        <f>IF($AG980="","",Config!$B$27)</f>
        <v/>
      </c>
      <c r="F980">
        <f>IF($AG980="","",Config!$B$9)</f>
        <v/>
      </c>
      <c r="G980">
        <f>IF($AG980="","",Config!$B$10)</f>
        <v/>
      </c>
      <c r="H980">
        <f>IF($AG980="","",Config!$B$11)</f>
        <v/>
      </c>
      <c r="I980">
        <f>IF($AG980="","",Config!$B$16)</f>
        <v/>
      </c>
      <c r="J980">
        <f>IF($AG980="","",INDEX('TMP Paste'!$A$2:$A$1601,$AG980))</f>
        <v/>
      </c>
      <c r="K980">
        <f>IF($AG980="","",INDEX('TMP Paste'!$L$2:$L$1601,$AG980))</f>
        <v/>
      </c>
      <c r="L980">
        <f>IF($AG980="","",INDEX('TMP Paste'!$I$2:$I$1601,$AG980))</f>
        <v/>
      </c>
      <c r="M980">
        <f>IF($AG980="","",Config!$B$16)</f>
        <v/>
      </c>
      <c r="N980">
        <f>IF($AG980="","","")</f>
        <v/>
      </c>
      <c r="O980">
        <f>IF($AG980="","",INDEX('TMP Paste'!$K$2:$K$1601,$AG980))</f>
        <v/>
      </c>
      <c r="P980">
        <f>IF($AG980="","","")</f>
        <v/>
      </c>
      <c r="Q980">
        <f>IF($AG980="","",INDEX('TMP Paste'!$J$2:$J$1601,$AG980))</f>
        <v/>
      </c>
      <c r="R980">
        <f>IF($AG980="","",Config!$B$24)</f>
        <v/>
      </c>
      <c r="S980">
        <f>IF($AG980="","",TEXT(Config!$B$4,"yyyy-mm-dd"))</f>
        <v/>
      </c>
      <c r="T980">
        <f>IF($AG980="","",Config!$B$17)</f>
        <v/>
      </c>
      <c r="U980">
        <f>IF($AG980="","",Config!$B$18)</f>
        <v/>
      </c>
      <c r="V980">
        <f>IF($AG980="","",Config!$B$19)</f>
        <v/>
      </c>
      <c r="W980">
        <f>IF($AG980="","",INDEX('TMP Paste'!$C$2:$C$1601,$AG980))</f>
        <v/>
      </c>
      <c r="X980">
        <f>IF($AG980="","",Config!$B$29)</f>
        <v/>
      </c>
      <c r="Y980">
        <f>IF($AH980="","",INDEX(Calc!$I$2:$I$1601,$AH980)&amp;" - "&amp;INDEX(Calc!$D$2:$D$1601,$AH980)&amp;" koli")</f>
        <v/>
      </c>
      <c r="Z980">
        <f>IF($AG980="","",Config!$B$21)</f>
        <v/>
      </c>
      <c r="AA980">
        <f>IF($AG980="","",Config!$B$22)</f>
        <v/>
      </c>
      <c r="AB980">
        <f>IF($AH980="","",INDEX(Calc!$D$2:$D$1601,$AH980))</f>
        <v/>
      </c>
      <c r="AC980">
        <f>IF($AH980="","",INDEX(Calc!$G$2:$G$1601,$AH980))</f>
        <v/>
      </c>
      <c r="AD980">
        <f>IF($AG980="","",Config!$B$23)</f>
        <v/>
      </c>
      <c r="AE980">
        <f>IF($AG980="","",Config!$B$28)</f>
        <v/>
      </c>
      <c r="AG980">
        <f>IFERROR(MATCH(ROW()-1,Calc!$J$2:$J$1601,0),"")</f>
        <v/>
      </c>
      <c r="AH980">
        <f>IFERROR(MATCH(ROW()-1,Calc!$K$2:$K$1601,0),"")</f>
        <v/>
      </c>
      <c r="AI980">
        <f>IF($AG980="","",SUMIF($AG$2:$AG980,$AG980,$AH$2:$AH980))</f>
        <v/>
      </c>
      <c r="AJ980">
        <f>IF('TMP Paste'!$F980="","",IF('TMP Paste'!$B980="",$AJ979,'TMP Paste'!$B980))</f>
        <v/>
      </c>
      <c r="AK980">
        <f>IF('TMP Paste'!$F980="","",N('TMP Paste'!$G980))</f>
        <v/>
      </c>
      <c r="AL980">
        <f>IF('TMP Paste'!$F980="","",IF('TMP Paste'!$M980="",$AL979,'TMP Paste'!$M980))</f>
        <v/>
      </c>
      <c r="AM980">
        <f>IF('TMP Paste'!$F980="","",IF('TMP Paste'!$N980="",$AM979,'TMP Paste'!$N980))</f>
        <v/>
      </c>
      <c r="AN980">
        <f>IF('TMP Paste'!$F980="","",IF('TMP Paste'!$O980="",$AN979,'TMP Paste'!$O980))</f>
        <v/>
      </c>
      <c r="AO980">
        <f>IF('TMP Paste'!$F980="","",IF('TMP Paste'!$P980="",$AO979,'TMP Paste'!$P980))</f>
        <v/>
      </c>
      <c r="AP980">
        <f>IF($AG980="","",LEN($R980))</f>
        <v/>
      </c>
      <c r="AQ980">
        <f>IF($AG980="","",TRIM(IF(COUNTIFS(Calc!$B$2:$B$1601,ROW()-1,Calc!$C$2:$C$1601,"&lt;1")&gt;0,"Ada PO tanpa Koli - cek TMP. ","")&amp;IF(LEN($R980)&gt;500,"R &gt; 500 karakter.","")))</f>
        <v/>
      </c>
    </row>
    <row r="981">
      <c r="A981">
        <f>IF($AG981="","",INDEX('TMP Paste'!$B$2:$B$1601,$AG981))</f>
        <v/>
      </c>
      <c r="B981">
        <f>IF($AG981="","",Config!$B$14)</f>
        <v/>
      </c>
      <c r="C981">
        <f>IF($AG981="","",Config!$B$15)</f>
        <v/>
      </c>
      <c r="D981">
        <f>IF($AG981="","",INDEX('TMP Paste'!$B$2:$B$1601,$AG981))</f>
        <v/>
      </c>
      <c r="E981">
        <f>IF($AG981="","",Config!$B$27)</f>
        <v/>
      </c>
      <c r="F981">
        <f>IF($AG981="","",Config!$B$9)</f>
        <v/>
      </c>
      <c r="G981">
        <f>IF($AG981="","",Config!$B$10)</f>
        <v/>
      </c>
      <c r="H981">
        <f>IF($AG981="","",Config!$B$11)</f>
        <v/>
      </c>
      <c r="I981">
        <f>IF($AG981="","",Config!$B$16)</f>
        <v/>
      </c>
      <c r="J981">
        <f>IF($AG981="","",INDEX('TMP Paste'!$A$2:$A$1601,$AG981))</f>
        <v/>
      </c>
      <c r="K981">
        <f>IF($AG981="","",INDEX('TMP Paste'!$L$2:$L$1601,$AG981))</f>
        <v/>
      </c>
      <c r="L981">
        <f>IF($AG981="","",INDEX('TMP Paste'!$I$2:$I$1601,$AG981))</f>
        <v/>
      </c>
      <c r="M981">
        <f>IF($AG981="","",Config!$B$16)</f>
        <v/>
      </c>
      <c r="N981">
        <f>IF($AG981="","","")</f>
        <v/>
      </c>
      <c r="O981">
        <f>IF($AG981="","",INDEX('TMP Paste'!$K$2:$K$1601,$AG981))</f>
        <v/>
      </c>
      <c r="P981">
        <f>IF($AG981="","","")</f>
        <v/>
      </c>
      <c r="Q981">
        <f>IF($AG981="","",INDEX('TMP Paste'!$J$2:$J$1601,$AG981))</f>
        <v/>
      </c>
      <c r="R981">
        <f>IF($AG981="","",Config!$B$24)</f>
        <v/>
      </c>
      <c r="S981">
        <f>IF($AG981="","",TEXT(Config!$B$4,"yyyy-mm-dd"))</f>
        <v/>
      </c>
      <c r="T981">
        <f>IF($AG981="","",Config!$B$17)</f>
        <v/>
      </c>
      <c r="U981">
        <f>IF($AG981="","",Config!$B$18)</f>
        <v/>
      </c>
      <c r="V981">
        <f>IF($AG981="","",Config!$B$19)</f>
        <v/>
      </c>
      <c r="W981">
        <f>IF($AG981="","",INDEX('TMP Paste'!$C$2:$C$1601,$AG981))</f>
        <v/>
      </c>
      <c r="X981">
        <f>IF($AG981="","",Config!$B$29)</f>
        <v/>
      </c>
      <c r="Y981">
        <f>IF($AH981="","",INDEX(Calc!$I$2:$I$1601,$AH981)&amp;" - "&amp;INDEX(Calc!$D$2:$D$1601,$AH981)&amp;" koli")</f>
        <v/>
      </c>
      <c r="Z981">
        <f>IF($AG981="","",Config!$B$21)</f>
        <v/>
      </c>
      <c r="AA981">
        <f>IF($AG981="","",Config!$B$22)</f>
        <v/>
      </c>
      <c r="AB981">
        <f>IF($AH981="","",INDEX(Calc!$D$2:$D$1601,$AH981))</f>
        <v/>
      </c>
      <c r="AC981">
        <f>IF($AH981="","",INDEX(Calc!$G$2:$G$1601,$AH981))</f>
        <v/>
      </c>
      <c r="AD981">
        <f>IF($AG981="","",Config!$B$23)</f>
        <v/>
      </c>
      <c r="AE981">
        <f>IF($AG981="","",Config!$B$28)</f>
        <v/>
      </c>
      <c r="AG981">
        <f>IFERROR(MATCH(ROW()-1,Calc!$J$2:$J$1601,0),"")</f>
        <v/>
      </c>
      <c r="AH981">
        <f>IFERROR(MATCH(ROW()-1,Calc!$K$2:$K$1601,0),"")</f>
        <v/>
      </c>
      <c r="AI981">
        <f>IF($AG981="","",SUMIF($AG$2:$AG981,$AG981,$AH$2:$AH981))</f>
        <v/>
      </c>
      <c r="AJ981">
        <f>IF('TMP Paste'!$F981="","",IF('TMP Paste'!$B981="",$AJ980,'TMP Paste'!$B981))</f>
        <v/>
      </c>
      <c r="AK981">
        <f>IF('TMP Paste'!$F981="","",N('TMP Paste'!$G981))</f>
        <v/>
      </c>
      <c r="AL981">
        <f>IF('TMP Paste'!$F981="","",IF('TMP Paste'!$M981="",$AL980,'TMP Paste'!$M981))</f>
        <v/>
      </c>
      <c r="AM981">
        <f>IF('TMP Paste'!$F981="","",IF('TMP Paste'!$N981="",$AM980,'TMP Paste'!$N981))</f>
        <v/>
      </c>
      <c r="AN981">
        <f>IF('TMP Paste'!$F981="","",IF('TMP Paste'!$O981="",$AN980,'TMP Paste'!$O981))</f>
        <v/>
      </c>
      <c r="AO981">
        <f>IF('TMP Paste'!$F981="","",IF('TMP Paste'!$P981="",$AO980,'TMP Paste'!$P981))</f>
        <v/>
      </c>
      <c r="AP981">
        <f>IF($AG981="","",LEN($R981))</f>
        <v/>
      </c>
      <c r="AQ981">
        <f>IF($AG981="","",TRIM(IF(COUNTIFS(Calc!$B$2:$B$1601,ROW()-1,Calc!$C$2:$C$1601,"&lt;1")&gt;0,"Ada PO tanpa Koli - cek TMP. ","")&amp;IF(LEN($R981)&gt;500,"R &gt; 500 karakter.","")))</f>
        <v/>
      </c>
    </row>
    <row r="982">
      <c r="A982">
        <f>IF($AG982="","",INDEX('TMP Paste'!$B$2:$B$1601,$AG982))</f>
        <v/>
      </c>
      <c r="B982">
        <f>IF($AG982="","",Config!$B$14)</f>
        <v/>
      </c>
      <c r="C982">
        <f>IF($AG982="","",Config!$B$15)</f>
        <v/>
      </c>
      <c r="D982">
        <f>IF($AG982="","",INDEX('TMP Paste'!$B$2:$B$1601,$AG982))</f>
        <v/>
      </c>
      <c r="E982">
        <f>IF($AG982="","",Config!$B$27)</f>
        <v/>
      </c>
      <c r="F982">
        <f>IF($AG982="","",Config!$B$9)</f>
        <v/>
      </c>
      <c r="G982">
        <f>IF($AG982="","",Config!$B$10)</f>
        <v/>
      </c>
      <c r="H982">
        <f>IF($AG982="","",Config!$B$11)</f>
        <v/>
      </c>
      <c r="I982">
        <f>IF($AG982="","",Config!$B$16)</f>
        <v/>
      </c>
      <c r="J982">
        <f>IF($AG982="","",INDEX('TMP Paste'!$A$2:$A$1601,$AG982))</f>
        <v/>
      </c>
      <c r="K982">
        <f>IF($AG982="","",INDEX('TMP Paste'!$L$2:$L$1601,$AG982))</f>
        <v/>
      </c>
      <c r="L982">
        <f>IF($AG982="","",INDEX('TMP Paste'!$I$2:$I$1601,$AG982))</f>
        <v/>
      </c>
      <c r="M982">
        <f>IF($AG982="","",Config!$B$16)</f>
        <v/>
      </c>
      <c r="N982">
        <f>IF($AG982="","","")</f>
        <v/>
      </c>
      <c r="O982">
        <f>IF($AG982="","",INDEX('TMP Paste'!$K$2:$K$1601,$AG982))</f>
        <v/>
      </c>
      <c r="P982">
        <f>IF($AG982="","","")</f>
        <v/>
      </c>
      <c r="Q982">
        <f>IF($AG982="","",INDEX('TMP Paste'!$J$2:$J$1601,$AG982))</f>
        <v/>
      </c>
      <c r="R982">
        <f>IF($AG982="","",Config!$B$24)</f>
        <v/>
      </c>
      <c r="S982">
        <f>IF($AG982="","",TEXT(Config!$B$4,"yyyy-mm-dd"))</f>
        <v/>
      </c>
      <c r="T982">
        <f>IF($AG982="","",Config!$B$17)</f>
        <v/>
      </c>
      <c r="U982">
        <f>IF($AG982="","",Config!$B$18)</f>
        <v/>
      </c>
      <c r="V982">
        <f>IF($AG982="","",Config!$B$19)</f>
        <v/>
      </c>
      <c r="W982">
        <f>IF($AG982="","",INDEX('TMP Paste'!$C$2:$C$1601,$AG982))</f>
        <v/>
      </c>
      <c r="X982">
        <f>IF($AG982="","",Config!$B$29)</f>
        <v/>
      </c>
      <c r="Y982">
        <f>IF($AH982="","",INDEX(Calc!$I$2:$I$1601,$AH982)&amp;" - "&amp;INDEX(Calc!$D$2:$D$1601,$AH982)&amp;" koli")</f>
        <v/>
      </c>
      <c r="Z982">
        <f>IF($AG982="","",Config!$B$21)</f>
        <v/>
      </c>
      <c r="AA982">
        <f>IF($AG982="","",Config!$B$22)</f>
        <v/>
      </c>
      <c r="AB982">
        <f>IF($AH982="","",INDEX(Calc!$D$2:$D$1601,$AH982))</f>
        <v/>
      </c>
      <c r="AC982">
        <f>IF($AH982="","",INDEX(Calc!$G$2:$G$1601,$AH982))</f>
        <v/>
      </c>
      <c r="AD982">
        <f>IF($AG982="","",Config!$B$23)</f>
        <v/>
      </c>
      <c r="AE982">
        <f>IF($AG982="","",Config!$B$28)</f>
        <v/>
      </c>
      <c r="AG982">
        <f>IFERROR(MATCH(ROW()-1,Calc!$J$2:$J$1601,0),"")</f>
        <v/>
      </c>
      <c r="AH982">
        <f>IFERROR(MATCH(ROW()-1,Calc!$K$2:$K$1601,0),"")</f>
        <v/>
      </c>
      <c r="AI982">
        <f>IF($AG982="","",SUMIF($AG$2:$AG982,$AG982,$AH$2:$AH982))</f>
        <v/>
      </c>
      <c r="AJ982">
        <f>IF('TMP Paste'!$F982="","",IF('TMP Paste'!$B982="",$AJ981,'TMP Paste'!$B982))</f>
        <v/>
      </c>
      <c r="AK982">
        <f>IF('TMP Paste'!$F982="","",N('TMP Paste'!$G982))</f>
        <v/>
      </c>
      <c r="AL982">
        <f>IF('TMP Paste'!$F982="","",IF('TMP Paste'!$M982="",$AL981,'TMP Paste'!$M982))</f>
        <v/>
      </c>
      <c r="AM982">
        <f>IF('TMP Paste'!$F982="","",IF('TMP Paste'!$N982="",$AM981,'TMP Paste'!$N982))</f>
        <v/>
      </c>
      <c r="AN982">
        <f>IF('TMP Paste'!$F982="","",IF('TMP Paste'!$O982="",$AN981,'TMP Paste'!$O982))</f>
        <v/>
      </c>
      <c r="AO982">
        <f>IF('TMP Paste'!$F982="","",IF('TMP Paste'!$P982="",$AO981,'TMP Paste'!$P982))</f>
        <v/>
      </c>
      <c r="AP982">
        <f>IF($AG982="","",LEN($R982))</f>
        <v/>
      </c>
      <c r="AQ982">
        <f>IF($AG982="","",TRIM(IF(COUNTIFS(Calc!$B$2:$B$1601,ROW()-1,Calc!$C$2:$C$1601,"&lt;1")&gt;0,"Ada PO tanpa Koli - cek TMP. ","")&amp;IF(LEN($R982)&gt;500,"R &gt; 500 karakter.","")))</f>
        <v/>
      </c>
    </row>
    <row r="983">
      <c r="A983">
        <f>IF($AG983="","",INDEX('TMP Paste'!$B$2:$B$1601,$AG983))</f>
        <v/>
      </c>
      <c r="B983">
        <f>IF($AG983="","",Config!$B$14)</f>
        <v/>
      </c>
      <c r="C983">
        <f>IF($AG983="","",Config!$B$15)</f>
        <v/>
      </c>
      <c r="D983">
        <f>IF($AG983="","",INDEX('TMP Paste'!$B$2:$B$1601,$AG983))</f>
        <v/>
      </c>
      <c r="E983">
        <f>IF($AG983="","",Config!$B$27)</f>
        <v/>
      </c>
      <c r="F983">
        <f>IF($AG983="","",Config!$B$9)</f>
        <v/>
      </c>
      <c r="G983">
        <f>IF($AG983="","",Config!$B$10)</f>
        <v/>
      </c>
      <c r="H983">
        <f>IF($AG983="","",Config!$B$11)</f>
        <v/>
      </c>
      <c r="I983">
        <f>IF($AG983="","",Config!$B$16)</f>
        <v/>
      </c>
      <c r="J983">
        <f>IF($AG983="","",INDEX('TMP Paste'!$A$2:$A$1601,$AG983))</f>
        <v/>
      </c>
      <c r="K983">
        <f>IF($AG983="","",INDEX('TMP Paste'!$L$2:$L$1601,$AG983))</f>
        <v/>
      </c>
      <c r="L983">
        <f>IF($AG983="","",INDEX('TMP Paste'!$I$2:$I$1601,$AG983))</f>
        <v/>
      </c>
      <c r="M983">
        <f>IF($AG983="","",Config!$B$16)</f>
        <v/>
      </c>
      <c r="N983">
        <f>IF($AG983="","","")</f>
        <v/>
      </c>
      <c r="O983">
        <f>IF($AG983="","",INDEX('TMP Paste'!$K$2:$K$1601,$AG983))</f>
        <v/>
      </c>
      <c r="P983">
        <f>IF($AG983="","","")</f>
        <v/>
      </c>
      <c r="Q983">
        <f>IF($AG983="","",INDEX('TMP Paste'!$J$2:$J$1601,$AG983))</f>
        <v/>
      </c>
      <c r="R983">
        <f>IF($AG983="","",Config!$B$24)</f>
        <v/>
      </c>
      <c r="S983">
        <f>IF($AG983="","",TEXT(Config!$B$4,"yyyy-mm-dd"))</f>
        <v/>
      </c>
      <c r="T983">
        <f>IF($AG983="","",Config!$B$17)</f>
        <v/>
      </c>
      <c r="U983">
        <f>IF($AG983="","",Config!$B$18)</f>
        <v/>
      </c>
      <c r="V983">
        <f>IF($AG983="","",Config!$B$19)</f>
        <v/>
      </c>
      <c r="W983">
        <f>IF($AG983="","",INDEX('TMP Paste'!$C$2:$C$1601,$AG983))</f>
        <v/>
      </c>
      <c r="X983">
        <f>IF($AG983="","",Config!$B$29)</f>
        <v/>
      </c>
      <c r="Y983">
        <f>IF($AH983="","",INDEX(Calc!$I$2:$I$1601,$AH983)&amp;" - "&amp;INDEX(Calc!$D$2:$D$1601,$AH983)&amp;" koli")</f>
        <v/>
      </c>
      <c r="Z983">
        <f>IF($AG983="","",Config!$B$21)</f>
        <v/>
      </c>
      <c r="AA983">
        <f>IF($AG983="","",Config!$B$22)</f>
        <v/>
      </c>
      <c r="AB983">
        <f>IF($AH983="","",INDEX(Calc!$D$2:$D$1601,$AH983))</f>
        <v/>
      </c>
      <c r="AC983">
        <f>IF($AH983="","",INDEX(Calc!$G$2:$G$1601,$AH983))</f>
        <v/>
      </c>
      <c r="AD983">
        <f>IF($AG983="","",Config!$B$23)</f>
        <v/>
      </c>
      <c r="AE983">
        <f>IF($AG983="","",Config!$B$28)</f>
        <v/>
      </c>
      <c r="AG983">
        <f>IFERROR(MATCH(ROW()-1,Calc!$J$2:$J$1601,0),"")</f>
        <v/>
      </c>
      <c r="AH983">
        <f>IFERROR(MATCH(ROW()-1,Calc!$K$2:$K$1601,0),"")</f>
        <v/>
      </c>
      <c r="AI983">
        <f>IF($AG983="","",SUMIF($AG$2:$AG983,$AG983,$AH$2:$AH983))</f>
        <v/>
      </c>
      <c r="AJ983">
        <f>IF('TMP Paste'!$F983="","",IF('TMP Paste'!$B983="",$AJ982,'TMP Paste'!$B983))</f>
        <v/>
      </c>
      <c r="AK983">
        <f>IF('TMP Paste'!$F983="","",N('TMP Paste'!$G983))</f>
        <v/>
      </c>
      <c r="AL983">
        <f>IF('TMP Paste'!$F983="","",IF('TMP Paste'!$M983="",$AL982,'TMP Paste'!$M983))</f>
        <v/>
      </c>
      <c r="AM983">
        <f>IF('TMP Paste'!$F983="","",IF('TMP Paste'!$N983="",$AM982,'TMP Paste'!$N983))</f>
        <v/>
      </c>
      <c r="AN983">
        <f>IF('TMP Paste'!$F983="","",IF('TMP Paste'!$O983="",$AN982,'TMP Paste'!$O983))</f>
        <v/>
      </c>
      <c r="AO983">
        <f>IF('TMP Paste'!$F983="","",IF('TMP Paste'!$P983="",$AO982,'TMP Paste'!$P983))</f>
        <v/>
      </c>
      <c r="AP983">
        <f>IF($AG983="","",LEN($R983))</f>
        <v/>
      </c>
      <c r="AQ983">
        <f>IF($AG983="","",TRIM(IF(COUNTIFS(Calc!$B$2:$B$1601,ROW()-1,Calc!$C$2:$C$1601,"&lt;1")&gt;0,"Ada PO tanpa Koli - cek TMP. ","")&amp;IF(LEN($R983)&gt;500,"R &gt; 500 karakter.","")))</f>
        <v/>
      </c>
    </row>
    <row r="984">
      <c r="A984">
        <f>IF($AG984="","",INDEX('TMP Paste'!$B$2:$B$1601,$AG984))</f>
        <v/>
      </c>
      <c r="B984">
        <f>IF($AG984="","",Config!$B$14)</f>
        <v/>
      </c>
      <c r="C984">
        <f>IF($AG984="","",Config!$B$15)</f>
        <v/>
      </c>
      <c r="D984">
        <f>IF($AG984="","",INDEX('TMP Paste'!$B$2:$B$1601,$AG984))</f>
        <v/>
      </c>
      <c r="E984">
        <f>IF($AG984="","",Config!$B$27)</f>
        <v/>
      </c>
      <c r="F984">
        <f>IF($AG984="","",Config!$B$9)</f>
        <v/>
      </c>
      <c r="G984">
        <f>IF($AG984="","",Config!$B$10)</f>
        <v/>
      </c>
      <c r="H984">
        <f>IF($AG984="","",Config!$B$11)</f>
        <v/>
      </c>
      <c r="I984">
        <f>IF($AG984="","",Config!$B$16)</f>
        <v/>
      </c>
      <c r="J984">
        <f>IF($AG984="","",INDEX('TMP Paste'!$A$2:$A$1601,$AG984))</f>
        <v/>
      </c>
      <c r="K984">
        <f>IF($AG984="","",INDEX('TMP Paste'!$L$2:$L$1601,$AG984))</f>
        <v/>
      </c>
      <c r="L984">
        <f>IF($AG984="","",INDEX('TMP Paste'!$I$2:$I$1601,$AG984))</f>
        <v/>
      </c>
      <c r="M984">
        <f>IF($AG984="","",Config!$B$16)</f>
        <v/>
      </c>
      <c r="N984">
        <f>IF($AG984="","","")</f>
        <v/>
      </c>
      <c r="O984">
        <f>IF($AG984="","",INDEX('TMP Paste'!$K$2:$K$1601,$AG984))</f>
        <v/>
      </c>
      <c r="P984">
        <f>IF($AG984="","","")</f>
        <v/>
      </c>
      <c r="Q984">
        <f>IF($AG984="","",INDEX('TMP Paste'!$J$2:$J$1601,$AG984))</f>
        <v/>
      </c>
      <c r="R984">
        <f>IF($AG984="","",Config!$B$24)</f>
        <v/>
      </c>
      <c r="S984">
        <f>IF($AG984="","",TEXT(Config!$B$4,"yyyy-mm-dd"))</f>
        <v/>
      </c>
      <c r="T984">
        <f>IF($AG984="","",Config!$B$17)</f>
        <v/>
      </c>
      <c r="U984">
        <f>IF($AG984="","",Config!$B$18)</f>
        <v/>
      </c>
      <c r="V984">
        <f>IF($AG984="","",Config!$B$19)</f>
        <v/>
      </c>
      <c r="W984">
        <f>IF($AG984="","",INDEX('TMP Paste'!$C$2:$C$1601,$AG984))</f>
        <v/>
      </c>
      <c r="X984">
        <f>IF($AG984="","",Config!$B$29)</f>
        <v/>
      </c>
      <c r="Y984">
        <f>IF($AH984="","",INDEX(Calc!$I$2:$I$1601,$AH984)&amp;" - "&amp;INDEX(Calc!$D$2:$D$1601,$AH984)&amp;" koli")</f>
        <v/>
      </c>
      <c r="Z984">
        <f>IF($AG984="","",Config!$B$21)</f>
        <v/>
      </c>
      <c r="AA984">
        <f>IF($AG984="","",Config!$B$22)</f>
        <v/>
      </c>
      <c r="AB984">
        <f>IF($AH984="","",INDEX(Calc!$D$2:$D$1601,$AH984))</f>
        <v/>
      </c>
      <c r="AC984">
        <f>IF($AH984="","",INDEX(Calc!$G$2:$G$1601,$AH984))</f>
        <v/>
      </c>
      <c r="AD984">
        <f>IF($AG984="","",Config!$B$23)</f>
        <v/>
      </c>
      <c r="AE984">
        <f>IF($AG984="","",Config!$B$28)</f>
        <v/>
      </c>
      <c r="AG984">
        <f>IFERROR(MATCH(ROW()-1,Calc!$J$2:$J$1601,0),"")</f>
        <v/>
      </c>
      <c r="AH984">
        <f>IFERROR(MATCH(ROW()-1,Calc!$K$2:$K$1601,0),"")</f>
        <v/>
      </c>
      <c r="AI984">
        <f>IF($AG984="","",SUMIF($AG$2:$AG984,$AG984,$AH$2:$AH984))</f>
        <v/>
      </c>
      <c r="AJ984">
        <f>IF('TMP Paste'!$F984="","",IF('TMP Paste'!$B984="",$AJ983,'TMP Paste'!$B984))</f>
        <v/>
      </c>
      <c r="AK984">
        <f>IF('TMP Paste'!$F984="","",N('TMP Paste'!$G984))</f>
        <v/>
      </c>
      <c r="AL984">
        <f>IF('TMP Paste'!$F984="","",IF('TMP Paste'!$M984="",$AL983,'TMP Paste'!$M984))</f>
        <v/>
      </c>
      <c r="AM984">
        <f>IF('TMP Paste'!$F984="","",IF('TMP Paste'!$N984="",$AM983,'TMP Paste'!$N984))</f>
        <v/>
      </c>
      <c r="AN984">
        <f>IF('TMP Paste'!$F984="","",IF('TMP Paste'!$O984="",$AN983,'TMP Paste'!$O984))</f>
        <v/>
      </c>
      <c r="AO984">
        <f>IF('TMP Paste'!$F984="","",IF('TMP Paste'!$P984="",$AO983,'TMP Paste'!$P984))</f>
        <v/>
      </c>
      <c r="AP984">
        <f>IF($AG984="","",LEN($R984))</f>
        <v/>
      </c>
      <c r="AQ984">
        <f>IF($AG984="","",TRIM(IF(COUNTIFS(Calc!$B$2:$B$1601,ROW()-1,Calc!$C$2:$C$1601,"&lt;1")&gt;0,"Ada PO tanpa Koli - cek TMP. ","")&amp;IF(LEN($R984)&gt;500,"R &gt; 500 karakter.","")))</f>
        <v/>
      </c>
    </row>
    <row r="985">
      <c r="A985">
        <f>IF($AG985="","",INDEX('TMP Paste'!$B$2:$B$1601,$AG985))</f>
        <v/>
      </c>
      <c r="B985">
        <f>IF($AG985="","",Config!$B$14)</f>
        <v/>
      </c>
      <c r="C985">
        <f>IF($AG985="","",Config!$B$15)</f>
        <v/>
      </c>
      <c r="D985">
        <f>IF($AG985="","",INDEX('TMP Paste'!$B$2:$B$1601,$AG985))</f>
        <v/>
      </c>
      <c r="E985">
        <f>IF($AG985="","",Config!$B$27)</f>
        <v/>
      </c>
      <c r="F985">
        <f>IF($AG985="","",Config!$B$9)</f>
        <v/>
      </c>
      <c r="G985">
        <f>IF($AG985="","",Config!$B$10)</f>
        <v/>
      </c>
      <c r="H985">
        <f>IF($AG985="","",Config!$B$11)</f>
        <v/>
      </c>
      <c r="I985">
        <f>IF($AG985="","",Config!$B$16)</f>
        <v/>
      </c>
      <c r="J985">
        <f>IF($AG985="","",INDEX('TMP Paste'!$A$2:$A$1601,$AG985))</f>
        <v/>
      </c>
      <c r="K985">
        <f>IF($AG985="","",INDEX('TMP Paste'!$L$2:$L$1601,$AG985))</f>
        <v/>
      </c>
      <c r="L985">
        <f>IF($AG985="","",INDEX('TMP Paste'!$I$2:$I$1601,$AG985))</f>
        <v/>
      </c>
      <c r="M985">
        <f>IF($AG985="","",Config!$B$16)</f>
        <v/>
      </c>
      <c r="N985">
        <f>IF($AG985="","","")</f>
        <v/>
      </c>
      <c r="O985">
        <f>IF($AG985="","",INDEX('TMP Paste'!$K$2:$K$1601,$AG985))</f>
        <v/>
      </c>
      <c r="P985">
        <f>IF($AG985="","","")</f>
        <v/>
      </c>
      <c r="Q985">
        <f>IF($AG985="","",INDEX('TMP Paste'!$J$2:$J$1601,$AG985))</f>
        <v/>
      </c>
      <c r="R985">
        <f>IF($AG985="","",Config!$B$24)</f>
        <v/>
      </c>
      <c r="S985">
        <f>IF($AG985="","",TEXT(Config!$B$4,"yyyy-mm-dd"))</f>
        <v/>
      </c>
      <c r="T985">
        <f>IF($AG985="","",Config!$B$17)</f>
        <v/>
      </c>
      <c r="U985">
        <f>IF($AG985="","",Config!$B$18)</f>
        <v/>
      </c>
      <c r="V985">
        <f>IF($AG985="","",Config!$B$19)</f>
        <v/>
      </c>
      <c r="W985">
        <f>IF($AG985="","",INDEX('TMP Paste'!$C$2:$C$1601,$AG985))</f>
        <v/>
      </c>
      <c r="X985">
        <f>IF($AG985="","",Config!$B$29)</f>
        <v/>
      </c>
      <c r="Y985">
        <f>IF($AH985="","",INDEX(Calc!$I$2:$I$1601,$AH985)&amp;" - "&amp;INDEX(Calc!$D$2:$D$1601,$AH985)&amp;" koli")</f>
        <v/>
      </c>
      <c r="Z985">
        <f>IF($AG985="","",Config!$B$21)</f>
        <v/>
      </c>
      <c r="AA985">
        <f>IF($AG985="","",Config!$B$22)</f>
        <v/>
      </c>
      <c r="AB985">
        <f>IF($AH985="","",INDEX(Calc!$D$2:$D$1601,$AH985))</f>
        <v/>
      </c>
      <c r="AC985">
        <f>IF($AH985="","",INDEX(Calc!$G$2:$G$1601,$AH985))</f>
        <v/>
      </c>
      <c r="AD985">
        <f>IF($AG985="","",Config!$B$23)</f>
        <v/>
      </c>
      <c r="AE985">
        <f>IF($AG985="","",Config!$B$28)</f>
        <v/>
      </c>
      <c r="AG985">
        <f>IFERROR(MATCH(ROW()-1,Calc!$J$2:$J$1601,0),"")</f>
        <v/>
      </c>
      <c r="AH985">
        <f>IFERROR(MATCH(ROW()-1,Calc!$K$2:$K$1601,0),"")</f>
        <v/>
      </c>
      <c r="AI985">
        <f>IF($AG985="","",SUMIF($AG$2:$AG985,$AG985,$AH$2:$AH985))</f>
        <v/>
      </c>
      <c r="AJ985">
        <f>IF('TMP Paste'!$F985="","",IF('TMP Paste'!$B985="",$AJ984,'TMP Paste'!$B985))</f>
        <v/>
      </c>
      <c r="AK985">
        <f>IF('TMP Paste'!$F985="","",N('TMP Paste'!$G985))</f>
        <v/>
      </c>
      <c r="AL985">
        <f>IF('TMP Paste'!$F985="","",IF('TMP Paste'!$M985="",$AL984,'TMP Paste'!$M985))</f>
        <v/>
      </c>
      <c r="AM985">
        <f>IF('TMP Paste'!$F985="","",IF('TMP Paste'!$N985="",$AM984,'TMP Paste'!$N985))</f>
        <v/>
      </c>
      <c r="AN985">
        <f>IF('TMP Paste'!$F985="","",IF('TMP Paste'!$O985="",$AN984,'TMP Paste'!$O985))</f>
        <v/>
      </c>
      <c r="AO985">
        <f>IF('TMP Paste'!$F985="","",IF('TMP Paste'!$P985="",$AO984,'TMP Paste'!$P985))</f>
        <v/>
      </c>
      <c r="AP985">
        <f>IF($AG985="","",LEN($R985))</f>
        <v/>
      </c>
      <c r="AQ985">
        <f>IF($AG985="","",TRIM(IF(COUNTIFS(Calc!$B$2:$B$1601,ROW()-1,Calc!$C$2:$C$1601,"&lt;1")&gt;0,"Ada PO tanpa Koli - cek TMP. ","")&amp;IF(LEN($R985)&gt;500,"R &gt; 500 karakter.","")))</f>
        <v/>
      </c>
    </row>
    <row r="986">
      <c r="A986">
        <f>IF($AG986="","",INDEX('TMP Paste'!$B$2:$B$1601,$AG986))</f>
        <v/>
      </c>
      <c r="B986">
        <f>IF($AG986="","",Config!$B$14)</f>
        <v/>
      </c>
      <c r="C986">
        <f>IF($AG986="","",Config!$B$15)</f>
        <v/>
      </c>
      <c r="D986">
        <f>IF($AG986="","",INDEX('TMP Paste'!$B$2:$B$1601,$AG986))</f>
        <v/>
      </c>
      <c r="E986">
        <f>IF($AG986="","",Config!$B$27)</f>
        <v/>
      </c>
      <c r="F986">
        <f>IF($AG986="","",Config!$B$9)</f>
        <v/>
      </c>
      <c r="G986">
        <f>IF($AG986="","",Config!$B$10)</f>
        <v/>
      </c>
      <c r="H986">
        <f>IF($AG986="","",Config!$B$11)</f>
        <v/>
      </c>
      <c r="I986">
        <f>IF($AG986="","",Config!$B$16)</f>
        <v/>
      </c>
      <c r="J986">
        <f>IF($AG986="","",INDEX('TMP Paste'!$A$2:$A$1601,$AG986))</f>
        <v/>
      </c>
      <c r="K986">
        <f>IF($AG986="","",INDEX('TMP Paste'!$L$2:$L$1601,$AG986))</f>
        <v/>
      </c>
      <c r="L986">
        <f>IF($AG986="","",INDEX('TMP Paste'!$I$2:$I$1601,$AG986))</f>
        <v/>
      </c>
      <c r="M986">
        <f>IF($AG986="","",Config!$B$16)</f>
        <v/>
      </c>
      <c r="N986">
        <f>IF($AG986="","","")</f>
        <v/>
      </c>
      <c r="O986">
        <f>IF($AG986="","",INDEX('TMP Paste'!$K$2:$K$1601,$AG986))</f>
        <v/>
      </c>
      <c r="P986">
        <f>IF($AG986="","","")</f>
        <v/>
      </c>
      <c r="Q986">
        <f>IF($AG986="","",INDEX('TMP Paste'!$J$2:$J$1601,$AG986))</f>
        <v/>
      </c>
      <c r="R986">
        <f>IF($AG986="","",Config!$B$24)</f>
        <v/>
      </c>
      <c r="S986">
        <f>IF($AG986="","",TEXT(Config!$B$4,"yyyy-mm-dd"))</f>
        <v/>
      </c>
      <c r="T986">
        <f>IF($AG986="","",Config!$B$17)</f>
        <v/>
      </c>
      <c r="U986">
        <f>IF($AG986="","",Config!$B$18)</f>
        <v/>
      </c>
      <c r="V986">
        <f>IF($AG986="","",Config!$B$19)</f>
        <v/>
      </c>
      <c r="W986">
        <f>IF($AG986="","",INDEX('TMP Paste'!$C$2:$C$1601,$AG986))</f>
        <v/>
      </c>
      <c r="X986">
        <f>IF($AG986="","",Config!$B$29)</f>
        <v/>
      </c>
      <c r="Y986">
        <f>IF($AH986="","",INDEX(Calc!$I$2:$I$1601,$AH986)&amp;" - "&amp;INDEX(Calc!$D$2:$D$1601,$AH986)&amp;" koli")</f>
        <v/>
      </c>
      <c r="Z986">
        <f>IF($AG986="","",Config!$B$21)</f>
        <v/>
      </c>
      <c r="AA986">
        <f>IF($AG986="","",Config!$B$22)</f>
        <v/>
      </c>
      <c r="AB986">
        <f>IF($AH986="","",INDEX(Calc!$D$2:$D$1601,$AH986))</f>
        <v/>
      </c>
      <c r="AC986">
        <f>IF($AH986="","",INDEX(Calc!$G$2:$G$1601,$AH986))</f>
        <v/>
      </c>
      <c r="AD986">
        <f>IF($AG986="","",Config!$B$23)</f>
        <v/>
      </c>
      <c r="AE986">
        <f>IF($AG986="","",Config!$B$28)</f>
        <v/>
      </c>
      <c r="AG986">
        <f>IFERROR(MATCH(ROW()-1,Calc!$J$2:$J$1601,0),"")</f>
        <v/>
      </c>
      <c r="AH986">
        <f>IFERROR(MATCH(ROW()-1,Calc!$K$2:$K$1601,0),"")</f>
        <v/>
      </c>
      <c r="AI986">
        <f>IF($AG986="","",SUMIF($AG$2:$AG986,$AG986,$AH$2:$AH986))</f>
        <v/>
      </c>
      <c r="AJ986">
        <f>IF('TMP Paste'!$F986="","",IF('TMP Paste'!$B986="",$AJ985,'TMP Paste'!$B986))</f>
        <v/>
      </c>
      <c r="AK986">
        <f>IF('TMP Paste'!$F986="","",N('TMP Paste'!$G986))</f>
        <v/>
      </c>
      <c r="AL986">
        <f>IF('TMP Paste'!$F986="","",IF('TMP Paste'!$M986="",$AL985,'TMP Paste'!$M986))</f>
        <v/>
      </c>
      <c r="AM986">
        <f>IF('TMP Paste'!$F986="","",IF('TMP Paste'!$N986="",$AM985,'TMP Paste'!$N986))</f>
        <v/>
      </c>
      <c r="AN986">
        <f>IF('TMP Paste'!$F986="","",IF('TMP Paste'!$O986="",$AN985,'TMP Paste'!$O986))</f>
        <v/>
      </c>
      <c r="AO986">
        <f>IF('TMP Paste'!$F986="","",IF('TMP Paste'!$P986="",$AO985,'TMP Paste'!$P986))</f>
        <v/>
      </c>
      <c r="AP986">
        <f>IF($AG986="","",LEN($R986))</f>
        <v/>
      </c>
      <c r="AQ986">
        <f>IF($AG986="","",TRIM(IF(COUNTIFS(Calc!$B$2:$B$1601,ROW()-1,Calc!$C$2:$C$1601,"&lt;1")&gt;0,"Ada PO tanpa Koli - cek TMP. ","")&amp;IF(LEN($R986)&gt;500,"R &gt; 500 karakter.","")))</f>
        <v/>
      </c>
    </row>
    <row r="987">
      <c r="A987">
        <f>IF($AG987="","",INDEX('TMP Paste'!$B$2:$B$1601,$AG987))</f>
        <v/>
      </c>
      <c r="B987">
        <f>IF($AG987="","",Config!$B$14)</f>
        <v/>
      </c>
      <c r="C987">
        <f>IF($AG987="","",Config!$B$15)</f>
        <v/>
      </c>
      <c r="D987">
        <f>IF($AG987="","",INDEX('TMP Paste'!$B$2:$B$1601,$AG987))</f>
        <v/>
      </c>
      <c r="E987">
        <f>IF($AG987="","",Config!$B$27)</f>
        <v/>
      </c>
      <c r="F987">
        <f>IF($AG987="","",Config!$B$9)</f>
        <v/>
      </c>
      <c r="G987">
        <f>IF($AG987="","",Config!$B$10)</f>
        <v/>
      </c>
      <c r="H987">
        <f>IF($AG987="","",Config!$B$11)</f>
        <v/>
      </c>
      <c r="I987">
        <f>IF($AG987="","",Config!$B$16)</f>
        <v/>
      </c>
      <c r="J987">
        <f>IF($AG987="","",INDEX('TMP Paste'!$A$2:$A$1601,$AG987))</f>
        <v/>
      </c>
      <c r="K987">
        <f>IF($AG987="","",INDEX('TMP Paste'!$L$2:$L$1601,$AG987))</f>
        <v/>
      </c>
      <c r="L987">
        <f>IF($AG987="","",INDEX('TMP Paste'!$I$2:$I$1601,$AG987))</f>
        <v/>
      </c>
      <c r="M987">
        <f>IF($AG987="","",Config!$B$16)</f>
        <v/>
      </c>
      <c r="N987">
        <f>IF($AG987="","","")</f>
        <v/>
      </c>
      <c r="O987">
        <f>IF($AG987="","",INDEX('TMP Paste'!$K$2:$K$1601,$AG987))</f>
        <v/>
      </c>
      <c r="P987">
        <f>IF($AG987="","","")</f>
        <v/>
      </c>
      <c r="Q987">
        <f>IF($AG987="","",INDEX('TMP Paste'!$J$2:$J$1601,$AG987))</f>
        <v/>
      </c>
      <c r="R987">
        <f>IF($AG987="","",Config!$B$24)</f>
        <v/>
      </c>
      <c r="S987">
        <f>IF($AG987="","",TEXT(Config!$B$4,"yyyy-mm-dd"))</f>
        <v/>
      </c>
      <c r="T987">
        <f>IF($AG987="","",Config!$B$17)</f>
        <v/>
      </c>
      <c r="U987">
        <f>IF($AG987="","",Config!$B$18)</f>
        <v/>
      </c>
      <c r="V987">
        <f>IF($AG987="","",Config!$B$19)</f>
        <v/>
      </c>
      <c r="W987">
        <f>IF($AG987="","",INDEX('TMP Paste'!$C$2:$C$1601,$AG987))</f>
        <v/>
      </c>
      <c r="X987">
        <f>IF($AG987="","",Config!$B$29)</f>
        <v/>
      </c>
      <c r="Y987">
        <f>IF($AH987="","",INDEX(Calc!$I$2:$I$1601,$AH987)&amp;" - "&amp;INDEX(Calc!$D$2:$D$1601,$AH987)&amp;" koli")</f>
        <v/>
      </c>
      <c r="Z987">
        <f>IF($AG987="","",Config!$B$21)</f>
        <v/>
      </c>
      <c r="AA987">
        <f>IF($AG987="","",Config!$B$22)</f>
        <v/>
      </c>
      <c r="AB987">
        <f>IF($AH987="","",INDEX(Calc!$D$2:$D$1601,$AH987))</f>
        <v/>
      </c>
      <c r="AC987">
        <f>IF($AH987="","",INDEX(Calc!$G$2:$G$1601,$AH987))</f>
        <v/>
      </c>
      <c r="AD987">
        <f>IF($AG987="","",Config!$B$23)</f>
        <v/>
      </c>
      <c r="AE987">
        <f>IF($AG987="","",Config!$B$28)</f>
        <v/>
      </c>
      <c r="AG987">
        <f>IFERROR(MATCH(ROW()-1,Calc!$J$2:$J$1601,0),"")</f>
        <v/>
      </c>
      <c r="AH987">
        <f>IFERROR(MATCH(ROW()-1,Calc!$K$2:$K$1601,0),"")</f>
        <v/>
      </c>
      <c r="AI987">
        <f>IF($AG987="","",SUMIF($AG$2:$AG987,$AG987,$AH$2:$AH987))</f>
        <v/>
      </c>
      <c r="AJ987">
        <f>IF('TMP Paste'!$F987="","",IF('TMP Paste'!$B987="",$AJ986,'TMP Paste'!$B987))</f>
        <v/>
      </c>
      <c r="AK987">
        <f>IF('TMP Paste'!$F987="","",N('TMP Paste'!$G987))</f>
        <v/>
      </c>
      <c r="AL987">
        <f>IF('TMP Paste'!$F987="","",IF('TMP Paste'!$M987="",$AL986,'TMP Paste'!$M987))</f>
        <v/>
      </c>
      <c r="AM987">
        <f>IF('TMP Paste'!$F987="","",IF('TMP Paste'!$N987="",$AM986,'TMP Paste'!$N987))</f>
        <v/>
      </c>
      <c r="AN987">
        <f>IF('TMP Paste'!$F987="","",IF('TMP Paste'!$O987="",$AN986,'TMP Paste'!$O987))</f>
        <v/>
      </c>
      <c r="AO987">
        <f>IF('TMP Paste'!$F987="","",IF('TMP Paste'!$P987="",$AO986,'TMP Paste'!$P987))</f>
        <v/>
      </c>
      <c r="AP987">
        <f>IF($AG987="","",LEN($R987))</f>
        <v/>
      </c>
      <c r="AQ987">
        <f>IF($AG987="","",TRIM(IF(COUNTIFS(Calc!$B$2:$B$1601,ROW()-1,Calc!$C$2:$C$1601,"&lt;1")&gt;0,"Ada PO tanpa Koli - cek TMP. ","")&amp;IF(LEN($R987)&gt;500,"R &gt; 500 karakter.","")))</f>
        <v/>
      </c>
    </row>
    <row r="988">
      <c r="A988">
        <f>IF($AG988="","",INDEX('TMP Paste'!$B$2:$B$1601,$AG988))</f>
        <v/>
      </c>
      <c r="B988">
        <f>IF($AG988="","",Config!$B$14)</f>
        <v/>
      </c>
      <c r="C988">
        <f>IF($AG988="","",Config!$B$15)</f>
        <v/>
      </c>
      <c r="D988">
        <f>IF($AG988="","",INDEX('TMP Paste'!$B$2:$B$1601,$AG988))</f>
        <v/>
      </c>
      <c r="E988">
        <f>IF($AG988="","",Config!$B$27)</f>
        <v/>
      </c>
      <c r="F988">
        <f>IF($AG988="","",Config!$B$9)</f>
        <v/>
      </c>
      <c r="G988">
        <f>IF($AG988="","",Config!$B$10)</f>
        <v/>
      </c>
      <c r="H988">
        <f>IF($AG988="","",Config!$B$11)</f>
        <v/>
      </c>
      <c r="I988">
        <f>IF($AG988="","",Config!$B$16)</f>
        <v/>
      </c>
      <c r="J988">
        <f>IF($AG988="","",INDEX('TMP Paste'!$A$2:$A$1601,$AG988))</f>
        <v/>
      </c>
      <c r="K988">
        <f>IF($AG988="","",INDEX('TMP Paste'!$L$2:$L$1601,$AG988))</f>
        <v/>
      </c>
      <c r="L988">
        <f>IF($AG988="","",INDEX('TMP Paste'!$I$2:$I$1601,$AG988))</f>
        <v/>
      </c>
      <c r="M988">
        <f>IF($AG988="","",Config!$B$16)</f>
        <v/>
      </c>
      <c r="N988">
        <f>IF($AG988="","","")</f>
        <v/>
      </c>
      <c r="O988">
        <f>IF($AG988="","",INDEX('TMP Paste'!$K$2:$K$1601,$AG988))</f>
        <v/>
      </c>
      <c r="P988">
        <f>IF($AG988="","","")</f>
        <v/>
      </c>
      <c r="Q988">
        <f>IF($AG988="","",INDEX('TMP Paste'!$J$2:$J$1601,$AG988))</f>
        <v/>
      </c>
      <c r="R988">
        <f>IF($AG988="","",Config!$B$24)</f>
        <v/>
      </c>
      <c r="S988">
        <f>IF($AG988="","",TEXT(Config!$B$4,"yyyy-mm-dd"))</f>
        <v/>
      </c>
      <c r="T988">
        <f>IF($AG988="","",Config!$B$17)</f>
        <v/>
      </c>
      <c r="U988">
        <f>IF($AG988="","",Config!$B$18)</f>
        <v/>
      </c>
      <c r="V988">
        <f>IF($AG988="","",Config!$B$19)</f>
        <v/>
      </c>
      <c r="W988">
        <f>IF($AG988="","",INDEX('TMP Paste'!$C$2:$C$1601,$AG988))</f>
        <v/>
      </c>
      <c r="X988">
        <f>IF($AG988="","",Config!$B$29)</f>
        <v/>
      </c>
      <c r="Y988">
        <f>IF($AH988="","",INDEX(Calc!$I$2:$I$1601,$AH988)&amp;" - "&amp;INDEX(Calc!$D$2:$D$1601,$AH988)&amp;" koli")</f>
        <v/>
      </c>
      <c r="Z988">
        <f>IF($AG988="","",Config!$B$21)</f>
        <v/>
      </c>
      <c r="AA988">
        <f>IF($AG988="","",Config!$B$22)</f>
        <v/>
      </c>
      <c r="AB988">
        <f>IF($AH988="","",INDEX(Calc!$D$2:$D$1601,$AH988))</f>
        <v/>
      </c>
      <c r="AC988">
        <f>IF($AH988="","",INDEX(Calc!$G$2:$G$1601,$AH988))</f>
        <v/>
      </c>
      <c r="AD988">
        <f>IF($AG988="","",Config!$B$23)</f>
        <v/>
      </c>
      <c r="AE988">
        <f>IF($AG988="","",Config!$B$28)</f>
        <v/>
      </c>
      <c r="AG988">
        <f>IFERROR(MATCH(ROW()-1,Calc!$J$2:$J$1601,0),"")</f>
        <v/>
      </c>
      <c r="AH988">
        <f>IFERROR(MATCH(ROW()-1,Calc!$K$2:$K$1601,0),"")</f>
        <v/>
      </c>
      <c r="AI988">
        <f>IF($AG988="","",SUMIF($AG$2:$AG988,$AG988,$AH$2:$AH988))</f>
        <v/>
      </c>
      <c r="AJ988">
        <f>IF('TMP Paste'!$F988="","",IF('TMP Paste'!$B988="",$AJ987,'TMP Paste'!$B988))</f>
        <v/>
      </c>
      <c r="AK988">
        <f>IF('TMP Paste'!$F988="","",N('TMP Paste'!$G988))</f>
        <v/>
      </c>
      <c r="AL988">
        <f>IF('TMP Paste'!$F988="","",IF('TMP Paste'!$M988="",$AL987,'TMP Paste'!$M988))</f>
        <v/>
      </c>
      <c r="AM988">
        <f>IF('TMP Paste'!$F988="","",IF('TMP Paste'!$N988="",$AM987,'TMP Paste'!$N988))</f>
        <v/>
      </c>
      <c r="AN988">
        <f>IF('TMP Paste'!$F988="","",IF('TMP Paste'!$O988="",$AN987,'TMP Paste'!$O988))</f>
        <v/>
      </c>
      <c r="AO988">
        <f>IF('TMP Paste'!$F988="","",IF('TMP Paste'!$P988="",$AO987,'TMP Paste'!$P988))</f>
        <v/>
      </c>
      <c r="AP988">
        <f>IF($AG988="","",LEN($R988))</f>
        <v/>
      </c>
      <c r="AQ988">
        <f>IF($AG988="","",TRIM(IF(COUNTIFS(Calc!$B$2:$B$1601,ROW()-1,Calc!$C$2:$C$1601,"&lt;1")&gt;0,"Ada PO tanpa Koli - cek TMP. ","")&amp;IF(LEN($R988)&gt;500,"R &gt; 500 karakter.","")))</f>
        <v/>
      </c>
    </row>
    <row r="989">
      <c r="A989">
        <f>IF($AG989="","",INDEX('TMP Paste'!$B$2:$B$1601,$AG989))</f>
        <v/>
      </c>
      <c r="B989">
        <f>IF($AG989="","",Config!$B$14)</f>
        <v/>
      </c>
      <c r="C989">
        <f>IF($AG989="","",Config!$B$15)</f>
        <v/>
      </c>
      <c r="D989">
        <f>IF($AG989="","",INDEX('TMP Paste'!$B$2:$B$1601,$AG989))</f>
        <v/>
      </c>
      <c r="E989">
        <f>IF($AG989="","",Config!$B$27)</f>
        <v/>
      </c>
      <c r="F989">
        <f>IF($AG989="","",Config!$B$9)</f>
        <v/>
      </c>
      <c r="G989">
        <f>IF($AG989="","",Config!$B$10)</f>
        <v/>
      </c>
      <c r="H989">
        <f>IF($AG989="","",Config!$B$11)</f>
        <v/>
      </c>
      <c r="I989">
        <f>IF($AG989="","",Config!$B$16)</f>
        <v/>
      </c>
      <c r="J989">
        <f>IF($AG989="","",INDEX('TMP Paste'!$A$2:$A$1601,$AG989))</f>
        <v/>
      </c>
      <c r="K989">
        <f>IF($AG989="","",INDEX('TMP Paste'!$L$2:$L$1601,$AG989))</f>
        <v/>
      </c>
      <c r="L989">
        <f>IF($AG989="","",INDEX('TMP Paste'!$I$2:$I$1601,$AG989))</f>
        <v/>
      </c>
      <c r="M989">
        <f>IF($AG989="","",Config!$B$16)</f>
        <v/>
      </c>
      <c r="N989">
        <f>IF($AG989="","","")</f>
        <v/>
      </c>
      <c r="O989">
        <f>IF($AG989="","",INDEX('TMP Paste'!$K$2:$K$1601,$AG989))</f>
        <v/>
      </c>
      <c r="P989">
        <f>IF($AG989="","","")</f>
        <v/>
      </c>
      <c r="Q989">
        <f>IF($AG989="","",INDEX('TMP Paste'!$J$2:$J$1601,$AG989))</f>
        <v/>
      </c>
      <c r="R989">
        <f>IF($AG989="","",Config!$B$24)</f>
        <v/>
      </c>
      <c r="S989">
        <f>IF($AG989="","",TEXT(Config!$B$4,"yyyy-mm-dd"))</f>
        <v/>
      </c>
      <c r="T989">
        <f>IF($AG989="","",Config!$B$17)</f>
        <v/>
      </c>
      <c r="U989">
        <f>IF($AG989="","",Config!$B$18)</f>
        <v/>
      </c>
      <c r="V989">
        <f>IF($AG989="","",Config!$B$19)</f>
        <v/>
      </c>
      <c r="W989">
        <f>IF($AG989="","",INDEX('TMP Paste'!$C$2:$C$1601,$AG989))</f>
        <v/>
      </c>
      <c r="X989">
        <f>IF($AG989="","",Config!$B$29)</f>
        <v/>
      </c>
      <c r="Y989">
        <f>IF($AH989="","",INDEX(Calc!$I$2:$I$1601,$AH989)&amp;" - "&amp;INDEX(Calc!$D$2:$D$1601,$AH989)&amp;" koli")</f>
        <v/>
      </c>
      <c r="Z989">
        <f>IF($AG989="","",Config!$B$21)</f>
        <v/>
      </c>
      <c r="AA989">
        <f>IF($AG989="","",Config!$B$22)</f>
        <v/>
      </c>
      <c r="AB989">
        <f>IF($AH989="","",INDEX(Calc!$D$2:$D$1601,$AH989))</f>
        <v/>
      </c>
      <c r="AC989">
        <f>IF($AH989="","",INDEX(Calc!$G$2:$G$1601,$AH989))</f>
        <v/>
      </c>
      <c r="AD989">
        <f>IF($AG989="","",Config!$B$23)</f>
        <v/>
      </c>
      <c r="AE989">
        <f>IF($AG989="","",Config!$B$28)</f>
        <v/>
      </c>
      <c r="AG989">
        <f>IFERROR(MATCH(ROW()-1,Calc!$J$2:$J$1601,0),"")</f>
        <v/>
      </c>
      <c r="AH989">
        <f>IFERROR(MATCH(ROW()-1,Calc!$K$2:$K$1601,0),"")</f>
        <v/>
      </c>
      <c r="AI989">
        <f>IF($AG989="","",SUMIF($AG$2:$AG989,$AG989,$AH$2:$AH989))</f>
        <v/>
      </c>
      <c r="AJ989">
        <f>IF('TMP Paste'!$F989="","",IF('TMP Paste'!$B989="",$AJ988,'TMP Paste'!$B989))</f>
        <v/>
      </c>
      <c r="AK989">
        <f>IF('TMP Paste'!$F989="","",N('TMP Paste'!$G989))</f>
        <v/>
      </c>
      <c r="AL989">
        <f>IF('TMP Paste'!$F989="","",IF('TMP Paste'!$M989="",$AL988,'TMP Paste'!$M989))</f>
        <v/>
      </c>
      <c r="AM989">
        <f>IF('TMP Paste'!$F989="","",IF('TMP Paste'!$N989="",$AM988,'TMP Paste'!$N989))</f>
        <v/>
      </c>
      <c r="AN989">
        <f>IF('TMP Paste'!$F989="","",IF('TMP Paste'!$O989="",$AN988,'TMP Paste'!$O989))</f>
        <v/>
      </c>
      <c r="AO989">
        <f>IF('TMP Paste'!$F989="","",IF('TMP Paste'!$P989="",$AO988,'TMP Paste'!$P989))</f>
        <v/>
      </c>
      <c r="AP989">
        <f>IF($AG989="","",LEN($R989))</f>
        <v/>
      </c>
      <c r="AQ989">
        <f>IF($AG989="","",TRIM(IF(COUNTIFS(Calc!$B$2:$B$1601,ROW()-1,Calc!$C$2:$C$1601,"&lt;1")&gt;0,"Ada PO tanpa Koli - cek TMP. ","")&amp;IF(LEN($R989)&gt;500,"R &gt; 500 karakter.","")))</f>
        <v/>
      </c>
    </row>
    <row r="990">
      <c r="A990">
        <f>IF($AG990="","",INDEX('TMP Paste'!$B$2:$B$1601,$AG990))</f>
        <v/>
      </c>
      <c r="B990">
        <f>IF($AG990="","",Config!$B$14)</f>
        <v/>
      </c>
      <c r="C990">
        <f>IF($AG990="","",Config!$B$15)</f>
        <v/>
      </c>
      <c r="D990">
        <f>IF($AG990="","",INDEX('TMP Paste'!$B$2:$B$1601,$AG990))</f>
        <v/>
      </c>
      <c r="E990">
        <f>IF($AG990="","",Config!$B$27)</f>
        <v/>
      </c>
      <c r="F990">
        <f>IF($AG990="","",Config!$B$9)</f>
        <v/>
      </c>
      <c r="G990">
        <f>IF($AG990="","",Config!$B$10)</f>
        <v/>
      </c>
      <c r="H990">
        <f>IF($AG990="","",Config!$B$11)</f>
        <v/>
      </c>
      <c r="I990">
        <f>IF($AG990="","",Config!$B$16)</f>
        <v/>
      </c>
      <c r="J990">
        <f>IF($AG990="","",INDEX('TMP Paste'!$A$2:$A$1601,$AG990))</f>
        <v/>
      </c>
      <c r="K990">
        <f>IF($AG990="","",INDEX('TMP Paste'!$L$2:$L$1601,$AG990))</f>
        <v/>
      </c>
      <c r="L990">
        <f>IF($AG990="","",INDEX('TMP Paste'!$I$2:$I$1601,$AG990))</f>
        <v/>
      </c>
      <c r="M990">
        <f>IF($AG990="","",Config!$B$16)</f>
        <v/>
      </c>
      <c r="N990">
        <f>IF($AG990="","","")</f>
        <v/>
      </c>
      <c r="O990">
        <f>IF($AG990="","",INDEX('TMP Paste'!$K$2:$K$1601,$AG990))</f>
        <v/>
      </c>
      <c r="P990">
        <f>IF($AG990="","","")</f>
        <v/>
      </c>
      <c r="Q990">
        <f>IF($AG990="","",INDEX('TMP Paste'!$J$2:$J$1601,$AG990))</f>
        <v/>
      </c>
      <c r="R990">
        <f>IF($AG990="","",Config!$B$24)</f>
        <v/>
      </c>
      <c r="S990">
        <f>IF($AG990="","",TEXT(Config!$B$4,"yyyy-mm-dd"))</f>
        <v/>
      </c>
      <c r="T990">
        <f>IF($AG990="","",Config!$B$17)</f>
        <v/>
      </c>
      <c r="U990">
        <f>IF($AG990="","",Config!$B$18)</f>
        <v/>
      </c>
      <c r="V990">
        <f>IF($AG990="","",Config!$B$19)</f>
        <v/>
      </c>
      <c r="W990">
        <f>IF($AG990="","",INDEX('TMP Paste'!$C$2:$C$1601,$AG990))</f>
        <v/>
      </c>
      <c r="X990">
        <f>IF($AG990="","",Config!$B$29)</f>
        <v/>
      </c>
      <c r="Y990">
        <f>IF($AH990="","",INDEX(Calc!$I$2:$I$1601,$AH990)&amp;" - "&amp;INDEX(Calc!$D$2:$D$1601,$AH990)&amp;" koli")</f>
        <v/>
      </c>
      <c r="Z990">
        <f>IF($AG990="","",Config!$B$21)</f>
        <v/>
      </c>
      <c r="AA990">
        <f>IF($AG990="","",Config!$B$22)</f>
        <v/>
      </c>
      <c r="AB990">
        <f>IF($AH990="","",INDEX(Calc!$D$2:$D$1601,$AH990))</f>
        <v/>
      </c>
      <c r="AC990">
        <f>IF($AH990="","",INDEX(Calc!$G$2:$G$1601,$AH990))</f>
        <v/>
      </c>
      <c r="AD990">
        <f>IF($AG990="","",Config!$B$23)</f>
        <v/>
      </c>
      <c r="AE990">
        <f>IF($AG990="","",Config!$B$28)</f>
        <v/>
      </c>
      <c r="AG990">
        <f>IFERROR(MATCH(ROW()-1,Calc!$J$2:$J$1601,0),"")</f>
        <v/>
      </c>
      <c r="AH990">
        <f>IFERROR(MATCH(ROW()-1,Calc!$K$2:$K$1601,0),"")</f>
        <v/>
      </c>
      <c r="AI990">
        <f>IF($AG990="","",SUMIF($AG$2:$AG990,$AG990,$AH$2:$AH990))</f>
        <v/>
      </c>
      <c r="AJ990">
        <f>IF('TMP Paste'!$F990="","",IF('TMP Paste'!$B990="",$AJ989,'TMP Paste'!$B990))</f>
        <v/>
      </c>
      <c r="AK990">
        <f>IF('TMP Paste'!$F990="","",N('TMP Paste'!$G990))</f>
        <v/>
      </c>
      <c r="AL990">
        <f>IF('TMP Paste'!$F990="","",IF('TMP Paste'!$M990="",$AL989,'TMP Paste'!$M990))</f>
        <v/>
      </c>
      <c r="AM990">
        <f>IF('TMP Paste'!$F990="","",IF('TMP Paste'!$N990="",$AM989,'TMP Paste'!$N990))</f>
        <v/>
      </c>
      <c r="AN990">
        <f>IF('TMP Paste'!$F990="","",IF('TMP Paste'!$O990="",$AN989,'TMP Paste'!$O990))</f>
        <v/>
      </c>
      <c r="AO990">
        <f>IF('TMP Paste'!$F990="","",IF('TMP Paste'!$P990="",$AO989,'TMP Paste'!$P990))</f>
        <v/>
      </c>
      <c r="AP990">
        <f>IF($AG990="","",LEN($R990))</f>
        <v/>
      </c>
      <c r="AQ990">
        <f>IF($AG990="","",TRIM(IF(COUNTIFS(Calc!$B$2:$B$1601,ROW()-1,Calc!$C$2:$C$1601,"&lt;1")&gt;0,"Ada PO tanpa Koli - cek TMP. ","")&amp;IF(LEN($R990)&gt;500,"R &gt; 500 karakter.","")))</f>
        <v/>
      </c>
    </row>
    <row r="991">
      <c r="A991">
        <f>IF($AG991="","",INDEX('TMP Paste'!$B$2:$B$1601,$AG991))</f>
        <v/>
      </c>
      <c r="B991">
        <f>IF($AG991="","",Config!$B$14)</f>
        <v/>
      </c>
      <c r="C991">
        <f>IF($AG991="","",Config!$B$15)</f>
        <v/>
      </c>
      <c r="D991">
        <f>IF($AG991="","",INDEX('TMP Paste'!$B$2:$B$1601,$AG991))</f>
        <v/>
      </c>
      <c r="E991">
        <f>IF($AG991="","",Config!$B$27)</f>
        <v/>
      </c>
      <c r="F991">
        <f>IF($AG991="","",Config!$B$9)</f>
        <v/>
      </c>
      <c r="G991">
        <f>IF($AG991="","",Config!$B$10)</f>
        <v/>
      </c>
      <c r="H991">
        <f>IF($AG991="","",Config!$B$11)</f>
        <v/>
      </c>
      <c r="I991">
        <f>IF($AG991="","",Config!$B$16)</f>
        <v/>
      </c>
      <c r="J991">
        <f>IF($AG991="","",INDEX('TMP Paste'!$A$2:$A$1601,$AG991))</f>
        <v/>
      </c>
      <c r="K991">
        <f>IF($AG991="","",INDEX('TMP Paste'!$L$2:$L$1601,$AG991))</f>
        <v/>
      </c>
      <c r="L991">
        <f>IF($AG991="","",INDEX('TMP Paste'!$I$2:$I$1601,$AG991))</f>
        <v/>
      </c>
      <c r="M991">
        <f>IF($AG991="","",Config!$B$16)</f>
        <v/>
      </c>
      <c r="N991">
        <f>IF($AG991="","","")</f>
        <v/>
      </c>
      <c r="O991">
        <f>IF($AG991="","",INDEX('TMP Paste'!$K$2:$K$1601,$AG991))</f>
        <v/>
      </c>
      <c r="P991">
        <f>IF($AG991="","","")</f>
        <v/>
      </c>
      <c r="Q991">
        <f>IF($AG991="","",INDEX('TMP Paste'!$J$2:$J$1601,$AG991))</f>
        <v/>
      </c>
      <c r="R991">
        <f>IF($AG991="","",Config!$B$24)</f>
        <v/>
      </c>
      <c r="S991">
        <f>IF($AG991="","",TEXT(Config!$B$4,"yyyy-mm-dd"))</f>
        <v/>
      </c>
      <c r="T991">
        <f>IF($AG991="","",Config!$B$17)</f>
        <v/>
      </c>
      <c r="U991">
        <f>IF($AG991="","",Config!$B$18)</f>
        <v/>
      </c>
      <c r="V991">
        <f>IF($AG991="","",Config!$B$19)</f>
        <v/>
      </c>
      <c r="W991">
        <f>IF($AG991="","",INDEX('TMP Paste'!$C$2:$C$1601,$AG991))</f>
        <v/>
      </c>
      <c r="X991">
        <f>IF($AG991="","",Config!$B$29)</f>
        <v/>
      </c>
      <c r="Y991">
        <f>IF($AH991="","",INDEX(Calc!$I$2:$I$1601,$AH991)&amp;" - "&amp;INDEX(Calc!$D$2:$D$1601,$AH991)&amp;" koli")</f>
        <v/>
      </c>
      <c r="Z991">
        <f>IF($AG991="","",Config!$B$21)</f>
        <v/>
      </c>
      <c r="AA991">
        <f>IF($AG991="","",Config!$B$22)</f>
        <v/>
      </c>
      <c r="AB991">
        <f>IF($AH991="","",INDEX(Calc!$D$2:$D$1601,$AH991))</f>
        <v/>
      </c>
      <c r="AC991">
        <f>IF($AH991="","",INDEX(Calc!$G$2:$G$1601,$AH991))</f>
        <v/>
      </c>
      <c r="AD991">
        <f>IF($AG991="","",Config!$B$23)</f>
        <v/>
      </c>
      <c r="AE991">
        <f>IF($AG991="","",Config!$B$28)</f>
        <v/>
      </c>
      <c r="AG991">
        <f>IFERROR(MATCH(ROW()-1,Calc!$J$2:$J$1601,0),"")</f>
        <v/>
      </c>
      <c r="AH991">
        <f>IFERROR(MATCH(ROW()-1,Calc!$K$2:$K$1601,0),"")</f>
        <v/>
      </c>
      <c r="AI991">
        <f>IF($AG991="","",SUMIF($AG$2:$AG991,$AG991,$AH$2:$AH991))</f>
        <v/>
      </c>
      <c r="AJ991">
        <f>IF('TMP Paste'!$F991="","",IF('TMP Paste'!$B991="",$AJ990,'TMP Paste'!$B991))</f>
        <v/>
      </c>
      <c r="AK991">
        <f>IF('TMP Paste'!$F991="","",N('TMP Paste'!$G991))</f>
        <v/>
      </c>
      <c r="AL991">
        <f>IF('TMP Paste'!$F991="","",IF('TMP Paste'!$M991="",$AL990,'TMP Paste'!$M991))</f>
        <v/>
      </c>
      <c r="AM991">
        <f>IF('TMP Paste'!$F991="","",IF('TMP Paste'!$N991="",$AM990,'TMP Paste'!$N991))</f>
        <v/>
      </c>
      <c r="AN991">
        <f>IF('TMP Paste'!$F991="","",IF('TMP Paste'!$O991="",$AN990,'TMP Paste'!$O991))</f>
        <v/>
      </c>
      <c r="AO991">
        <f>IF('TMP Paste'!$F991="","",IF('TMP Paste'!$P991="",$AO990,'TMP Paste'!$P991))</f>
        <v/>
      </c>
      <c r="AP991">
        <f>IF($AG991="","",LEN($R991))</f>
        <v/>
      </c>
      <c r="AQ991">
        <f>IF($AG991="","",TRIM(IF(COUNTIFS(Calc!$B$2:$B$1601,ROW()-1,Calc!$C$2:$C$1601,"&lt;1")&gt;0,"Ada PO tanpa Koli - cek TMP. ","")&amp;IF(LEN($R991)&gt;500,"R &gt; 500 karakter.","")))</f>
        <v/>
      </c>
    </row>
    <row r="992">
      <c r="A992">
        <f>IF($AG992="","",INDEX('TMP Paste'!$B$2:$B$1601,$AG992))</f>
        <v/>
      </c>
      <c r="B992">
        <f>IF($AG992="","",Config!$B$14)</f>
        <v/>
      </c>
      <c r="C992">
        <f>IF($AG992="","",Config!$B$15)</f>
        <v/>
      </c>
      <c r="D992">
        <f>IF($AG992="","",INDEX('TMP Paste'!$B$2:$B$1601,$AG992))</f>
        <v/>
      </c>
      <c r="E992">
        <f>IF($AG992="","",Config!$B$27)</f>
        <v/>
      </c>
      <c r="F992">
        <f>IF($AG992="","",Config!$B$9)</f>
        <v/>
      </c>
      <c r="G992">
        <f>IF($AG992="","",Config!$B$10)</f>
        <v/>
      </c>
      <c r="H992">
        <f>IF($AG992="","",Config!$B$11)</f>
        <v/>
      </c>
      <c r="I992">
        <f>IF($AG992="","",Config!$B$16)</f>
        <v/>
      </c>
      <c r="J992">
        <f>IF($AG992="","",INDEX('TMP Paste'!$A$2:$A$1601,$AG992))</f>
        <v/>
      </c>
      <c r="K992">
        <f>IF($AG992="","",INDEX('TMP Paste'!$L$2:$L$1601,$AG992))</f>
        <v/>
      </c>
      <c r="L992">
        <f>IF($AG992="","",INDEX('TMP Paste'!$I$2:$I$1601,$AG992))</f>
        <v/>
      </c>
      <c r="M992">
        <f>IF($AG992="","",Config!$B$16)</f>
        <v/>
      </c>
      <c r="N992">
        <f>IF($AG992="","","")</f>
        <v/>
      </c>
      <c r="O992">
        <f>IF($AG992="","",INDEX('TMP Paste'!$K$2:$K$1601,$AG992))</f>
        <v/>
      </c>
      <c r="P992">
        <f>IF($AG992="","","")</f>
        <v/>
      </c>
      <c r="Q992">
        <f>IF($AG992="","",INDEX('TMP Paste'!$J$2:$J$1601,$AG992))</f>
        <v/>
      </c>
      <c r="R992">
        <f>IF($AG992="","",Config!$B$24)</f>
        <v/>
      </c>
      <c r="S992">
        <f>IF($AG992="","",TEXT(Config!$B$4,"yyyy-mm-dd"))</f>
        <v/>
      </c>
      <c r="T992">
        <f>IF($AG992="","",Config!$B$17)</f>
        <v/>
      </c>
      <c r="U992">
        <f>IF($AG992="","",Config!$B$18)</f>
        <v/>
      </c>
      <c r="V992">
        <f>IF($AG992="","",Config!$B$19)</f>
        <v/>
      </c>
      <c r="W992">
        <f>IF($AG992="","",INDEX('TMP Paste'!$C$2:$C$1601,$AG992))</f>
        <v/>
      </c>
      <c r="X992">
        <f>IF($AG992="","",Config!$B$29)</f>
        <v/>
      </c>
      <c r="Y992">
        <f>IF($AH992="","",INDEX(Calc!$I$2:$I$1601,$AH992)&amp;" - "&amp;INDEX(Calc!$D$2:$D$1601,$AH992)&amp;" koli")</f>
        <v/>
      </c>
      <c r="Z992">
        <f>IF($AG992="","",Config!$B$21)</f>
        <v/>
      </c>
      <c r="AA992">
        <f>IF($AG992="","",Config!$B$22)</f>
        <v/>
      </c>
      <c r="AB992">
        <f>IF($AH992="","",INDEX(Calc!$D$2:$D$1601,$AH992))</f>
        <v/>
      </c>
      <c r="AC992">
        <f>IF($AH992="","",INDEX(Calc!$G$2:$G$1601,$AH992))</f>
        <v/>
      </c>
      <c r="AD992">
        <f>IF($AG992="","",Config!$B$23)</f>
        <v/>
      </c>
      <c r="AE992">
        <f>IF($AG992="","",Config!$B$28)</f>
        <v/>
      </c>
      <c r="AG992">
        <f>IFERROR(MATCH(ROW()-1,Calc!$J$2:$J$1601,0),"")</f>
        <v/>
      </c>
      <c r="AH992">
        <f>IFERROR(MATCH(ROW()-1,Calc!$K$2:$K$1601,0),"")</f>
        <v/>
      </c>
      <c r="AI992">
        <f>IF($AG992="","",SUMIF($AG$2:$AG992,$AG992,$AH$2:$AH992))</f>
        <v/>
      </c>
      <c r="AJ992">
        <f>IF('TMP Paste'!$F992="","",IF('TMP Paste'!$B992="",$AJ991,'TMP Paste'!$B992))</f>
        <v/>
      </c>
      <c r="AK992">
        <f>IF('TMP Paste'!$F992="","",N('TMP Paste'!$G992))</f>
        <v/>
      </c>
      <c r="AL992">
        <f>IF('TMP Paste'!$F992="","",IF('TMP Paste'!$M992="",$AL991,'TMP Paste'!$M992))</f>
        <v/>
      </c>
      <c r="AM992">
        <f>IF('TMP Paste'!$F992="","",IF('TMP Paste'!$N992="",$AM991,'TMP Paste'!$N992))</f>
        <v/>
      </c>
      <c r="AN992">
        <f>IF('TMP Paste'!$F992="","",IF('TMP Paste'!$O992="",$AN991,'TMP Paste'!$O992))</f>
        <v/>
      </c>
      <c r="AO992">
        <f>IF('TMP Paste'!$F992="","",IF('TMP Paste'!$P992="",$AO991,'TMP Paste'!$P992))</f>
        <v/>
      </c>
      <c r="AP992">
        <f>IF($AG992="","",LEN($R992))</f>
        <v/>
      </c>
      <c r="AQ992">
        <f>IF($AG992="","",TRIM(IF(COUNTIFS(Calc!$B$2:$B$1601,ROW()-1,Calc!$C$2:$C$1601,"&lt;1")&gt;0,"Ada PO tanpa Koli - cek TMP. ","")&amp;IF(LEN($R992)&gt;500,"R &gt; 500 karakter.","")))</f>
        <v/>
      </c>
    </row>
    <row r="993">
      <c r="A993">
        <f>IF($AG993="","",INDEX('TMP Paste'!$B$2:$B$1601,$AG993))</f>
        <v/>
      </c>
      <c r="B993">
        <f>IF($AG993="","",Config!$B$14)</f>
        <v/>
      </c>
      <c r="C993">
        <f>IF($AG993="","",Config!$B$15)</f>
        <v/>
      </c>
      <c r="D993">
        <f>IF($AG993="","",INDEX('TMP Paste'!$B$2:$B$1601,$AG993))</f>
        <v/>
      </c>
      <c r="E993">
        <f>IF($AG993="","",Config!$B$27)</f>
        <v/>
      </c>
      <c r="F993">
        <f>IF($AG993="","",Config!$B$9)</f>
        <v/>
      </c>
      <c r="G993">
        <f>IF($AG993="","",Config!$B$10)</f>
        <v/>
      </c>
      <c r="H993">
        <f>IF($AG993="","",Config!$B$11)</f>
        <v/>
      </c>
      <c r="I993">
        <f>IF($AG993="","",Config!$B$16)</f>
        <v/>
      </c>
      <c r="J993">
        <f>IF($AG993="","",INDEX('TMP Paste'!$A$2:$A$1601,$AG993))</f>
        <v/>
      </c>
      <c r="K993">
        <f>IF($AG993="","",INDEX('TMP Paste'!$L$2:$L$1601,$AG993))</f>
        <v/>
      </c>
      <c r="L993">
        <f>IF($AG993="","",INDEX('TMP Paste'!$I$2:$I$1601,$AG993))</f>
        <v/>
      </c>
      <c r="M993">
        <f>IF($AG993="","",Config!$B$16)</f>
        <v/>
      </c>
      <c r="N993">
        <f>IF($AG993="","","")</f>
        <v/>
      </c>
      <c r="O993">
        <f>IF($AG993="","",INDEX('TMP Paste'!$K$2:$K$1601,$AG993))</f>
        <v/>
      </c>
      <c r="P993">
        <f>IF($AG993="","","")</f>
        <v/>
      </c>
      <c r="Q993">
        <f>IF($AG993="","",INDEX('TMP Paste'!$J$2:$J$1601,$AG993))</f>
        <v/>
      </c>
      <c r="R993">
        <f>IF($AG993="","",Config!$B$24)</f>
        <v/>
      </c>
      <c r="S993">
        <f>IF($AG993="","",TEXT(Config!$B$4,"yyyy-mm-dd"))</f>
        <v/>
      </c>
      <c r="T993">
        <f>IF($AG993="","",Config!$B$17)</f>
        <v/>
      </c>
      <c r="U993">
        <f>IF($AG993="","",Config!$B$18)</f>
        <v/>
      </c>
      <c r="V993">
        <f>IF($AG993="","",Config!$B$19)</f>
        <v/>
      </c>
      <c r="W993">
        <f>IF($AG993="","",INDEX('TMP Paste'!$C$2:$C$1601,$AG993))</f>
        <v/>
      </c>
      <c r="X993">
        <f>IF($AG993="","",Config!$B$29)</f>
        <v/>
      </c>
      <c r="Y993">
        <f>IF($AH993="","",INDEX(Calc!$I$2:$I$1601,$AH993)&amp;" - "&amp;INDEX(Calc!$D$2:$D$1601,$AH993)&amp;" koli")</f>
        <v/>
      </c>
      <c r="Z993">
        <f>IF($AG993="","",Config!$B$21)</f>
        <v/>
      </c>
      <c r="AA993">
        <f>IF($AG993="","",Config!$B$22)</f>
        <v/>
      </c>
      <c r="AB993">
        <f>IF($AH993="","",INDEX(Calc!$D$2:$D$1601,$AH993))</f>
        <v/>
      </c>
      <c r="AC993">
        <f>IF($AH993="","",INDEX(Calc!$G$2:$G$1601,$AH993))</f>
        <v/>
      </c>
      <c r="AD993">
        <f>IF($AG993="","",Config!$B$23)</f>
        <v/>
      </c>
      <c r="AE993">
        <f>IF($AG993="","",Config!$B$28)</f>
        <v/>
      </c>
      <c r="AG993">
        <f>IFERROR(MATCH(ROW()-1,Calc!$J$2:$J$1601,0),"")</f>
        <v/>
      </c>
      <c r="AH993">
        <f>IFERROR(MATCH(ROW()-1,Calc!$K$2:$K$1601,0),"")</f>
        <v/>
      </c>
      <c r="AI993">
        <f>IF($AG993="","",SUMIF($AG$2:$AG993,$AG993,$AH$2:$AH993))</f>
        <v/>
      </c>
      <c r="AJ993">
        <f>IF('TMP Paste'!$F993="","",IF('TMP Paste'!$B993="",$AJ992,'TMP Paste'!$B993))</f>
        <v/>
      </c>
      <c r="AK993">
        <f>IF('TMP Paste'!$F993="","",N('TMP Paste'!$G993))</f>
        <v/>
      </c>
      <c r="AL993">
        <f>IF('TMP Paste'!$F993="","",IF('TMP Paste'!$M993="",$AL992,'TMP Paste'!$M993))</f>
        <v/>
      </c>
      <c r="AM993">
        <f>IF('TMP Paste'!$F993="","",IF('TMP Paste'!$N993="",$AM992,'TMP Paste'!$N993))</f>
        <v/>
      </c>
      <c r="AN993">
        <f>IF('TMP Paste'!$F993="","",IF('TMP Paste'!$O993="",$AN992,'TMP Paste'!$O993))</f>
        <v/>
      </c>
      <c r="AO993">
        <f>IF('TMP Paste'!$F993="","",IF('TMP Paste'!$P993="",$AO992,'TMP Paste'!$P993))</f>
        <v/>
      </c>
      <c r="AP993">
        <f>IF($AG993="","",LEN($R993))</f>
        <v/>
      </c>
      <c r="AQ993">
        <f>IF($AG993="","",TRIM(IF(COUNTIFS(Calc!$B$2:$B$1601,ROW()-1,Calc!$C$2:$C$1601,"&lt;1")&gt;0,"Ada PO tanpa Koli - cek TMP. ","")&amp;IF(LEN($R993)&gt;500,"R &gt; 500 karakter.","")))</f>
        <v/>
      </c>
    </row>
    <row r="994">
      <c r="A994">
        <f>IF($AG994="","",INDEX('TMP Paste'!$B$2:$B$1601,$AG994))</f>
        <v/>
      </c>
      <c r="B994">
        <f>IF($AG994="","",Config!$B$14)</f>
        <v/>
      </c>
      <c r="C994">
        <f>IF($AG994="","",Config!$B$15)</f>
        <v/>
      </c>
      <c r="D994">
        <f>IF($AG994="","",INDEX('TMP Paste'!$B$2:$B$1601,$AG994))</f>
        <v/>
      </c>
      <c r="E994">
        <f>IF($AG994="","",Config!$B$27)</f>
        <v/>
      </c>
      <c r="F994">
        <f>IF($AG994="","",Config!$B$9)</f>
        <v/>
      </c>
      <c r="G994">
        <f>IF($AG994="","",Config!$B$10)</f>
        <v/>
      </c>
      <c r="H994">
        <f>IF($AG994="","",Config!$B$11)</f>
        <v/>
      </c>
      <c r="I994">
        <f>IF($AG994="","",Config!$B$16)</f>
        <v/>
      </c>
      <c r="J994">
        <f>IF($AG994="","",INDEX('TMP Paste'!$A$2:$A$1601,$AG994))</f>
        <v/>
      </c>
      <c r="K994">
        <f>IF($AG994="","",INDEX('TMP Paste'!$L$2:$L$1601,$AG994))</f>
        <v/>
      </c>
      <c r="L994">
        <f>IF($AG994="","",INDEX('TMP Paste'!$I$2:$I$1601,$AG994))</f>
        <v/>
      </c>
      <c r="M994">
        <f>IF($AG994="","",Config!$B$16)</f>
        <v/>
      </c>
      <c r="N994">
        <f>IF($AG994="","","")</f>
        <v/>
      </c>
      <c r="O994">
        <f>IF($AG994="","",INDEX('TMP Paste'!$K$2:$K$1601,$AG994))</f>
        <v/>
      </c>
      <c r="P994">
        <f>IF($AG994="","","")</f>
        <v/>
      </c>
      <c r="Q994">
        <f>IF($AG994="","",INDEX('TMP Paste'!$J$2:$J$1601,$AG994))</f>
        <v/>
      </c>
      <c r="R994">
        <f>IF($AG994="","",Config!$B$24)</f>
        <v/>
      </c>
      <c r="S994">
        <f>IF($AG994="","",TEXT(Config!$B$4,"yyyy-mm-dd"))</f>
        <v/>
      </c>
      <c r="T994">
        <f>IF($AG994="","",Config!$B$17)</f>
        <v/>
      </c>
      <c r="U994">
        <f>IF($AG994="","",Config!$B$18)</f>
        <v/>
      </c>
      <c r="V994">
        <f>IF($AG994="","",Config!$B$19)</f>
        <v/>
      </c>
      <c r="W994">
        <f>IF($AG994="","",INDEX('TMP Paste'!$C$2:$C$1601,$AG994))</f>
        <v/>
      </c>
      <c r="X994">
        <f>IF($AG994="","",Config!$B$29)</f>
        <v/>
      </c>
      <c r="Y994">
        <f>IF($AH994="","",INDEX(Calc!$I$2:$I$1601,$AH994)&amp;" - "&amp;INDEX(Calc!$D$2:$D$1601,$AH994)&amp;" koli")</f>
        <v/>
      </c>
      <c r="Z994">
        <f>IF($AG994="","",Config!$B$21)</f>
        <v/>
      </c>
      <c r="AA994">
        <f>IF($AG994="","",Config!$B$22)</f>
        <v/>
      </c>
      <c r="AB994">
        <f>IF($AH994="","",INDEX(Calc!$D$2:$D$1601,$AH994))</f>
        <v/>
      </c>
      <c r="AC994">
        <f>IF($AH994="","",INDEX(Calc!$G$2:$G$1601,$AH994))</f>
        <v/>
      </c>
      <c r="AD994">
        <f>IF($AG994="","",Config!$B$23)</f>
        <v/>
      </c>
      <c r="AE994">
        <f>IF($AG994="","",Config!$B$28)</f>
        <v/>
      </c>
      <c r="AG994">
        <f>IFERROR(MATCH(ROW()-1,Calc!$J$2:$J$1601,0),"")</f>
        <v/>
      </c>
      <c r="AH994">
        <f>IFERROR(MATCH(ROW()-1,Calc!$K$2:$K$1601,0),"")</f>
        <v/>
      </c>
      <c r="AI994">
        <f>IF($AG994="","",SUMIF($AG$2:$AG994,$AG994,$AH$2:$AH994))</f>
        <v/>
      </c>
      <c r="AJ994">
        <f>IF('TMP Paste'!$F994="","",IF('TMP Paste'!$B994="",$AJ993,'TMP Paste'!$B994))</f>
        <v/>
      </c>
      <c r="AK994">
        <f>IF('TMP Paste'!$F994="","",N('TMP Paste'!$G994))</f>
        <v/>
      </c>
      <c r="AL994">
        <f>IF('TMP Paste'!$F994="","",IF('TMP Paste'!$M994="",$AL993,'TMP Paste'!$M994))</f>
        <v/>
      </c>
      <c r="AM994">
        <f>IF('TMP Paste'!$F994="","",IF('TMP Paste'!$N994="",$AM993,'TMP Paste'!$N994))</f>
        <v/>
      </c>
      <c r="AN994">
        <f>IF('TMP Paste'!$F994="","",IF('TMP Paste'!$O994="",$AN993,'TMP Paste'!$O994))</f>
        <v/>
      </c>
      <c r="AO994">
        <f>IF('TMP Paste'!$F994="","",IF('TMP Paste'!$P994="",$AO993,'TMP Paste'!$P994))</f>
        <v/>
      </c>
      <c r="AP994">
        <f>IF($AG994="","",LEN($R994))</f>
        <v/>
      </c>
      <c r="AQ994">
        <f>IF($AG994="","",TRIM(IF(COUNTIFS(Calc!$B$2:$B$1601,ROW()-1,Calc!$C$2:$C$1601,"&lt;1")&gt;0,"Ada PO tanpa Koli - cek TMP. ","")&amp;IF(LEN($R994)&gt;500,"R &gt; 500 karakter.","")))</f>
        <v/>
      </c>
    </row>
    <row r="995">
      <c r="A995">
        <f>IF($AG995="","",INDEX('TMP Paste'!$B$2:$B$1601,$AG995))</f>
        <v/>
      </c>
      <c r="B995">
        <f>IF($AG995="","",Config!$B$14)</f>
        <v/>
      </c>
      <c r="C995">
        <f>IF($AG995="","",Config!$B$15)</f>
        <v/>
      </c>
      <c r="D995">
        <f>IF($AG995="","",INDEX('TMP Paste'!$B$2:$B$1601,$AG995))</f>
        <v/>
      </c>
      <c r="E995">
        <f>IF($AG995="","",Config!$B$27)</f>
        <v/>
      </c>
      <c r="F995">
        <f>IF($AG995="","",Config!$B$9)</f>
        <v/>
      </c>
      <c r="G995">
        <f>IF($AG995="","",Config!$B$10)</f>
        <v/>
      </c>
      <c r="H995">
        <f>IF($AG995="","",Config!$B$11)</f>
        <v/>
      </c>
      <c r="I995">
        <f>IF($AG995="","",Config!$B$16)</f>
        <v/>
      </c>
      <c r="J995">
        <f>IF($AG995="","",INDEX('TMP Paste'!$A$2:$A$1601,$AG995))</f>
        <v/>
      </c>
      <c r="K995">
        <f>IF($AG995="","",INDEX('TMP Paste'!$L$2:$L$1601,$AG995))</f>
        <v/>
      </c>
      <c r="L995">
        <f>IF($AG995="","",INDEX('TMP Paste'!$I$2:$I$1601,$AG995))</f>
        <v/>
      </c>
      <c r="M995">
        <f>IF($AG995="","",Config!$B$16)</f>
        <v/>
      </c>
      <c r="N995">
        <f>IF($AG995="","","")</f>
        <v/>
      </c>
      <c r="O995">
        <f>IF($AG995="","",INDEX('TMP Paste'!$K$2:$K$1601,$AG995))</f>
        <v/>
      </c>
      <c r="P995">
        <f>IF($AG995="","","")</f>
        <v/>
      </c>
      <c r="Q995">
        <f>IF($AG995="","",INDEX('TMP Paste'!$J$2:$J$1601,$AG995))</f>
        <v/>
      </c>
      <c r="R995">
        <f>IF($AG995="","",Config!$B$24)</f>
        <v/>
      </c>
      <c r="S995">
        <f>IF($AG995="","",TEXT(Config!$B$4,"yyyy-mm-dd"))</f>
        <v/>
      </c>
      <c r="T995">
        <f>IF($AG995="","",Config!$B$17)</f>
        <v/>
      </c>
      <c r="U995">
        <f>IF($AG995="","",Config!$B$18)</f>
        <v/>
      </c>
      <c r="V995">
        <f>IF($AG995="","",Config!$B$19)</f>
        <v/>
      </c>
      <c r="W995">
        <f>IF($AG995="","",INDEX('TMP Paste'!$C$2:$C$1601,$AG995))</f>
        <v/>
      </c>
      <c r="X995">
        <f>IF($AG995="","",Config!$B$29)</f>
        <v/>
      </c>
      <c r="Y995">
        <f>IF($AH995="","",INDEX(Calc!$I$2:$I$1601,$AH995)&amp;" - "&amp;INDEX(Calc!$D$2:$D$1601,$AH995)&amp;" koli")</f>
        <v/>
      </c>
      <c r="Z995">
        <f>IF($AG995="","",Config!$B$21)</f>
        <v/>
      </c>
      <c r="AA995">
        <f>IF($AG995="","",Config!$B$22)</f>
        <v/>
      </c>
      <c r="AB995">
        <f>IF($AH995="","",INDEX(Calc!$D$2:$D$1601,$AH995))</f>
        <v/>
      </c>
      <c r="AC995">
        <f>IF($AH995="","",INDEX(Calc!$G$2:$G$1601,$AH995))</f>
        <v/>
      </c>
      <c r="AD995">
        <f>IF($AG995="","",Config!$B$23)</f>
        <v/>
      </c>
      <c r="AE995">
        <f>IF($AG995="","",Config!$B$28)</f>
        <v/>
      </c>
      <c r="AG995">
        <f>IFERROR(MATCH(ROW()-1,Calc!$J$2:$J$1601,0),"")</f>
        <v/>
      </c>
      <c r="AH995">
        <f>IFERROR(MATCH(ROW()-1,Calc!$K$2:$K$1601,0),"")</f>
        <v/>
      </c>
      <c r="AI995">
        <f>IF($AG995="","",SUMIF($AG$2:$AG995,$AG995,$AH$2:$AH995))</f>
        <v/>
      </c>
      <c r="AJ995">
        <f>IF('TMP Paste'!$F995="","",IF('TMP Paste'!$B995="",$AJ994,'TMP Paste'!$B995))</f>
        <v/>
      </c>
      <c r="AK995">
        <f>IF('TMP Paste'!$F995="","",N('TMP Paste'!$G995))</f>
        <v/>
      </c>
      <c r="AL995">
        <f>IF('TMP Paste'!$F995="","",IF('TMP Paste'!$M995="",$AL994,'TMP Paste'!$M995))</f>
        <v/>
      </c>
      <c r="AM995">
        <f>IF('TMP Paste'!$F995="","",IF('TMP Paste'!$N995="",$AM994,'TMP Paste'!$N995))</f>
        <v/>
      </c>
      <c r="AN995">
        <f>IF('TMP Paste'!$F995="","",IF('TMP Paste'!$O995="",$AN994,'TMP Paste'!$O995))</f>
        <v/>
      </c>
      <c r="AO995">
        <f>IF('TMP Paste'!$F995="","",IF('TMP Paste'!$P995="",$AO994,'TMP Paste'!$P995))</f>
        <v/>
      </c>
      <c r="AP995">
        <f>IF($AG995="","",LEN($R995))</f>
        <v/>
      </c>
      <c r="AQ995">
        <f>IF($AG995="","",TRIM(IF(COUNTIFS(Calc!$B$2:$B$1601,ROW()-1,Calc!$C$2:$C$1601,"&lt;1")&gt;0,"Ada PO tanpa Koli - cek TMP. ","")&amp;IF(LEN($R995)&gt;500,"R &gt; 500 karakter.","")))</f>
        <v/>
      </c>
    </row>
    <row r="996">
      <c r="A996">
        <f>IF($AG996="","",INDEX('TMP Paste'!$B$2:$B$1601,$AG996))</f>
        <v/>
      </c>
      <c r="B996">
        <f>IF($AG996="","",Config!$B$14)</f>
        <v/>
      </c>
      <c r="C996">
        <f>IF($AG996="","",Config!$B$15)</f>
        <v/>
      </c>
      <c r="D996">
        <f>IF($AG996="","",INDEX('TMP Paste'!$B$2:$B$1601,$AG996))</f>
        <v/>
      </c>
      <c r="E996">
        <f>IF($AG996="","",Config!$B$27)</f>
        <v/>
      </c>
      <c r="F996">
        <f>IF($AG996="","",Config!$B$9)</f>
        <v/>
      </c>
      <c r="G996">
        <f>IF($AG996="","",Config!$B$10)</f>
        <v/>
      </c>
      <c r="H996">
        <f>IF($AG996="","",Config!$B$11)</f>
        <v/>
      </c>
      <c r="I996">
        <f>IF($AG996="","",Config!$B$16)</f>
        <v/>
      </c>
      <c r="J996">
        <f>IF($AG996="","",INDEX('TMP Paste'!$A$2:$A$1601,$AG996))</f>
        <v/>
      </c>
      <c r="K996">
        <f>IF($AG996="","",INDEX('TMP Paste'!$L$2:$L$1601,$AG996))</f>
        <v/>
      </c>
      <c r="L996">
        <f>IF($AG996="","",INDEX('TMP Paste'!$I$2:$I$1601,$AG996))</f>
        <v/>
      </c>
      <c r="M996">
        <f>IF($AG996="","",Config!$B$16)</f>
        <v/>
      </c>
      <c r="N996">
        <f>IF($AG996="","","")</f>
        <v/>
      </c>
      <c r="O996">
        <f>IF($AG996="","",INDEX('TMP Paste'!$K$2:$K$1601,$AG996))</f>
        <v/>
      </c>
      <c r="P996">
        <f>IF($AG996="","","")</f>
        <v/>
      </c>
      <c r="Q996">
        <f>IF($AG996="","",INDEX('TMP Paste'!$J$2:$J$1601,$AG996))</f>
        <v/>
      </c>
      <c r="R996">
        <f>IF($AG996="","",Config!$B$24)</f>
        <v/>
      </c>
      <c r="S996">
        <f>IF($AG996="","",TEXT(Config!$B$4,"yyyy-mm-dd"))</f>
        <v/>
      </c>
      <c r="T996">
        <f>IF($AG996="","",Config!$B$17)</f>
        <v/>
      </c>
      <c r="U996">
        <f>IF($AG996="","",Config!$B$18)</f>
        <v/>
      </c>
      <c r="V996">
        <f>IF($AG996="","",Config!$B$19)</f>
        <v/>
      </c>
      <c r="W996">
        <f>IF($AG996="","",INDEX('TMP Paste'!$C$2:$C$1601,$AG996))</f>
        <v/>
      </c>
      <c r="X996">
        <f>IF($AG996="","",Config!$B$29)</f>
        <v/>
      </c>
      <c r="Y996">
        <f>IF($AH996="","",INDEX(Calc!$I$2:$I$1601,$AH996)&amp;" - "&amp;INDEX(Calc!$D$2:$D$1601,$AH996)&amp;" koli")</f>
        <v/>
      </c>
      <c r="Z996">
        <f>IF($AG996="","",Config!$B$21)</f>
        <v/>
      </c>
      <c r="AA996">
        <f>IF($AG996="","",Config!$B$22)</f>
        <v/>
      </c>
      <c r="AB996">
        <f>IF($AH996="","",INDEX(Calc!$D$2:$D$1601,$AH996))</f>
        <v/>
      </c>
      <c r="AC996">
        <f>IF($AH996="","",INDEX(Calc!$G$2:$G$1601,$AH996))</f>
        <v/>
      </c>
      <c r="AD996">
        <f>IF($AG996="","",Config!$B$23)</f>
        <v/>
      </c>
      <c r="AE996">
        <f>IF($AG996="","",Config!$B$28)</f>
        <v/>
      </c>
      <c r="AG996">
        <f>IFERROR(MATCH(ROW()-1,Calc!$J$2:$J$1601,0),"")</f>
        <v/>
      </c>
      <c r="AH996">
        <f>IFERROR(MATCH(ROW()-1,Calc!$K$2:$K$1601,0),"")</f>
        <v/>
      </c>
      <c r="AI996">
        <f>IF($AG996="","",SUMIF($AG$2:$AG996,$AG996,$AH$2:$AH996))</f>
        <v/>
      </c>
      <c r="AJ996">
        <f>IF('TMP Paste'!$F996="","",IF('TMP Paste'!$B996="",$AJ995,'TMP Paste'!$B996))</f>
        <v/>
      </c>
      <c r="AK996">
        <f>IF('TMP Paste'!$F996="","",N('TMP Paste'!$G996))</f>
        <v/>
      </c>
      <c r="AL996">
        <f>IF('TMP Paste'!$F996="","",IF('TMP Paste'!$M996="",$AL995,'TMP Paste'!$M996))</f>
        <v/>
      </c>
      <c r="AM996">
        <f>IF('TMP Paste'!$F996="","",IF('TMP Paste'!$N996="",$AM995,'TMP Paste'!$N996))</f>
        <v/>
      </c>
      <c r="AN996">
        <f>IF('TMP Paste'!$F996="","",IF('TMP Paste'!$O996="",$AN995,'TMP Paste'!$O996))</f>
        <v/>
      </c>
      <c r="AO996">
        <f>IF('TMP Paste'!$F996="","",IF('TMP Paste'!$P996="",$AO995,'TMP Paste'!$P996))</f>
        <v/>
      </c>
      <c r="AP996">
        <f>IF($AG996="","",LEN($R996))</f>
        <v/>
      </c>
      <c r="AQ996">
        <f>IF($AG996="","",TRIM(IF(COUNTIFS(Calc!$B$2:$B$1601,ROW()-1,Calc!$C$2:$C$1601,"&lt;1")&gt;0,"Ada PO tanpa Koli - cek TMP. ","")&amp;IF(LEN($R996)&gt;500,"R &gt; 500 karakter.","")))</f>
        <v/>
      </c>
    </row>
    <row r="997">
      <c r="A997">
        <f>IF($AG997="","",INDEX('TMP Paste'!$B$2:$B$1601,$AG997))</f>
        <v/>
      </c>
      <c r="B997">
        <f>IF($AG997="","",Config!$B$14)</f>
        <v/>
      </c>
      <c r="C997">
        <f>IF($AG997="","",Config!$B$15)</f>
        <v/>
      </c>
      <c r="D997">
        <f>IF($AG997="","",INDEX('TMP Paste'!$B$2:$B$1601,$AG997))</f>
        <v/>
      </c>
      <c r="E997">
        <f>IF($AG997="","",Config!$B$27)</f>
        <v/>
      </c>
      <c r="F997">
        <f>IF($AG997="","",Config!$B$9)</f>
        <v/>
      </c>
      <c r="G997">
        <f>IF($AG997="","",Config!$B$10)</f>
        <v/>
      </c>
      <c r="H997">
        <f>IF($AG997="","",Config!$B$11)</f>
        <v/>
      </c>
      <c r="I997">
        <f>IF($AG997="","",Config!$B$16)</f>
        <v/>
      </c>
      <c r="J997">
        <f>IF($AG997="","",INDEX('TMP Paste'!$A$2:$A$1601,$AG997))</f>
        <v/>
      </c>
      <c r="K997">
        <f>IF($AG997="","",INDEX('TMP Paste'!$L$2:$L$1601,$AG997))</f>
        <v/>
      </c>
      <c r="L997">
        <f>IF($AG997="","",INDEX('TMP Paste'!$I$2:$I$1601,$AG997))</f>
        <v/>
      </c>
      <c r="M997">
        <f>IF($AG997="","",Config!$B$16)</f>
        <v/>
      </c>
      <c r="N997">
        <f>IF($AG997="","","")</f>
        <v/>
      </c>
      <c r="O997">
        <f>IF($AG997="","",INDEX('TMP Paste'!$K$2:$K$1601,$AG997))</f>
        <v/>
      </c>
      <c r="P997">
        <f>IF($AG997="","","")</f>
        <v/>
      </c>
      <c r="Q997">
        <f>IF($AG997="","",INDEX('TMP Paste'!$J$2:$J$1601,$AG997))</f>
        <v/>
      </c>
      <c r="R997">
        <f>IF($AG997="","",Config!$B$24)</f>
        <v/>
      </c>
      <c r="S997">
        <f>IF($AG997="","",TEXT(Config!$B$4,"yyyy-mm-dd"))</f>
        <v/>
      </c>
      <c r="T997">
        <f>IF($AG997="","",Config!$B$17)</f>
        <v/>
      </c>
      <c r="U997">
        <f>IF($AG997="","",Config!$B$18)</f>
        <v/>
      </c>
      <c r="V997">
        <f>IF($AG997="","",Config!$B$19)</f>
        <v/>
      </c>
      <c r="W997">
        <f>IF($AG997="","",INDEX('TMP Paste'!$C$2:$C$1601,$AG997))</f>
        <v/>
      </c>
      <c r="X997">
        <f>IF($AG997="","",Config!$B$29)</f>
        <v/>
      </c>
      <c r="Y997">
        <f>IF($AH997="","",INDEX(Calc!$I$2:$I$1601,$AH997)&amp;" - "&amp;INDEX(Calc!$D$2:$D$1601,$AH997)&amp;" koli")</f>
        <v/>
      </c>
      <c r="Z997">
        <f>IF($AG997="","",Config!$B$21)</f>
        <v/>
      </c>
      <c r="AA997">
        <f>IF($AG997="","",Config!$B$22)</f>
        <v/>
      </c>
      <c r="AB997">
        <f>IF($AH997="","",INDEX(Calc!$D$2:$D$1601,$AH997))</f>
        <v/>
      </c>
      <c r="AC997">
        <f>IF($AH997="","",INDEX(Calc!$G$2:$G$1601,$AH997))</f>
        <v/>
      </c>
      <c r="AD997">
        <f>IF($AG997="","",Config!$B$23)</f>
        <v/>
      </c>
      <c r="AE997">
        <f>IF($AG997="","",Config!$B$28)</f>
        <v/>
      </c>
      <c r="AG997">
        <f>IFERROR(MATCH(ROW()-1,Calc!$J$2:$J$1601,0),"")</f>
        <v/>
      </c>
      <c r="AH997">
        <f>IFERROR(MATCH(ROW()-1,Calc!$K$2:$K$1601,0),"")</f>
        <v/>
      </c>
      <c r="AI997">
        <f>IF($AG997="","",SUMIF($AG$2:$AG997,$AG997,$AH$2:$AH997))</f>
        <v/>
      </c>
      <c r="AJ997">
        <f>IF('TMP Paste'!$F997="","",IF('TMP Paste'!$B997="",$AJ996,'TMP Paste'!$B997))</f>
        <v/>
      </c>
      <c r="AK997">
        <f>IF('TMP Paste'!$F997="","",N('TMP Paste'!$G997))</f>
        <v/>
      </c>
      <c r="AL997">
        <f>IF('TMP Paste'!$F997="","",IF('TMP Paste'!$M997="",$AL996,'TMP Paste'!$M997))</f>
        <v/>
      </c>
      <c r="AM997">
        <f>IF('TMP Paste'!$F997="","",IF('TMP Paste'!$N997="",$AM996,'TMP Paste'!$N997))</f>
        <v/>
      </c>
      <c r="AN997">
        <f>IF('TMP Paste'!$F997="","",IF('TMP Paste'!$O997="",$AN996,'TMP Paste'!$O997))</f>
        <v/>
      </c>
      <c r="AO997">
        <f>IF('TMP Paste'!$F997="","",IF('TMP Paste'!$P997="",$AO996,'TMP Paste'!$P997))</f>
        <v/>
      </c>
      <c r="AP997">
        <f>IF($AG997="","",LEN($R997))</f>
        <v/>
      </c>
      <c r="AQ997">
        <f>IF($AG997="","",TRIM(IF(COUNTIFS(Calc!$B$2:$B$1601,ROW()-1,Calc!$C$2:$C$1601,"&lt;1")&gt;0,"Ada PO tanpa Koli - cek TMP. ","")&amp;IF(LEN($R997)&gt;500,"R &gt; 500 karakter.","")))</f>
        <v/>
      </c>
    </row>
    <row r="998">
      <c r="A998">
        <f>IF($AG998="","",INDEX('TMP Paste'!$B$2:$B$1601,$AG998))</f>
        <v/>
      </c>
      <c r="B998">
        <f>IF($AG998="","",Config!$B$14)</f>
        <v/>
      </c>
      <c r="C998">
        <f>IF($AG998="","",Config!$B$15)</f>
        <v/>
      </c>
      <c r="D998">
        <f>IF($AG998="","",INDEX('TMP Paste'!$B$2:$B$1601,$AG998))</f>
        <v/>
      </c>
      <c r="E998">
        <f>IF($AG998="","",Config!$B$27)</f>
        <v/>
      </c>
      <c r="F998">
        <f>IF($AG998="","",Config!$B$9)</f>
        <v/>
      </c>
      <c r="G998">
        <f>IF($AG998="","",Config!$B$10)</f>
        <v/>
      </c>
      <c r="H998">
        <f>IF($AG998="","",Config!$B$11)</f>
        <v/>
      </c>
      <c r="I998">
        <f>IF($AG998="","",Config!$B$16)</f>
        <v/>
      </c>
      <c r="J998">
        <f>IF($AG998="","",INDEX('TMP Paste'!$A$2:$A$1601,$AG998))</f>
        <v/>
      </c>
      <c r="K998">
        <f>IF($AG998="","",INDEX('TMP Paste'!$L$2:$L$1601,$AG998))</f>
        <v/>
      </c>
      <c r="L998">
        <f>IF($AG998="","",INDEX('TMP Paste'!$I$2:$I$1601,$AG998))</f>
        <v/>
      </c>
      <c r="M998">
        <f>IF($AG998="","",Config!$B$16)</f>
        <v/>
      </c>
      <c r="N998">
        <f>IF($AG998="","","")</f>
        <v/>
      </c>
      <c r="O998">
        <f>IF($AG998="","",INDEX('TMP Paste'!$K$2:$K$1601,$AG998))</f>
        <v/>
      </c>
      <c r="P998">
        <f>IF($AG998="","","")</f>
        <v/>
      </c>
      <c r="Q998">
        <f>IF($AG998="","",INDEX('TMP Paste'!$J$2:$J$1601,$AG998))</f>
        <v/>
      </c>
      <c r="R998">
        <f>IF($AG998="","",Config!$B$24)</f>
        <v/>
      </c>
      <c r="S998">
        <f>IF($AG998="","",TEXT(Config!$B$4,"yyyy-mm-dd"))</f>
        <v/>
      </c>
      <c r="T998">
        <f>IF($AG998="","",Config!$B$17)</f>
        <v/>
      </c>
      <c r="U998">
        <f>IF($AG998="","",Config!$B$18)</f>
        <v/>
      </c>
      <c r="V998">
        <f>IF($AG998="","",Config!$B$19)</f>
        <v/>
      </c>
      <c r="W998">
        <f>IF($AG998="","",INDEX('TMP Paste'!$C$2:$C$1601,$AG998))</f>
        <v/>
      </c>
      <c r="X998">
        <f>IF($AG998="","",Config!$B$29)</f>
        <v/>
      </c>
      <c r="Y998">
        <f>IF($AH998="","",INDEX(Calc!$I$2:$I$1601,$AH998)&amp;" - "&amp;INDEX(Calc!$D$2:$D$1601,$AH998)&amp;" koli")</f>
        <v/>
      </c>
      <c r="Z998">
        <f>IF($AG998="","",Config!$B$21)</f>
        <v/>
      </c>
      <c r="AA998">
        <f>IF($AG998="","",Config!$B$22)</f>
        <v/>
      </c>
      <c r="AB998">
        <f>IF($AH998="","",INDEX(Calc!$D$2:$D$1601,$AH998))</f>
        <v/>
      </c>
      <c r="AC998">
        <f>IF($AH998="","",INDEX(Calc!$G$2:$G$1601,$AH998))</f>
        <v/>
      </c>
      <c r="AD998">
        <f>IF($AG998="","",Config!$B$23)</f>
        <v/>
      </c>
      <c r="AE998">
        <f>IF($AG998="","",Config!$B$28)</f>
        <v/>
      </c>
      <c r="AG998">
        <f>IFERROR(MATCH(ROW()-1,Calc!$J$2:$J$1601,0),"")</f>
        <v/>
      </c>
      <c r="AH998">
        <f>IFERROR(MATCH(ROW()-1,Calc!$K$2:$K$1601,0),"")</f>
        <v/>
      </c>
      <c r="AI998">
        <f>IF($AG998="","",SUMIF($AG$2:$AG998,$AG998,$AH$2:$AH998))</f>
        <v/>
      </c>
      <c r="AJ998">
        <f>IF('TMP Paste'!$F998="","",IF('TMP Paste'!$B998="",$AJ997,'TMP Paste'!$B998))</f>
        <v/>
      </c>
      <c r="AK998">
        <f>IF('TMP Paste'!$F998="","",N('TMP Paste'!$G998))</f>
        <v/>
      </c>
      <c r="AL998">
        <f>IF('TMP Paste'!$F998="","",IF('TMP Paste'!$M998="",$AL997,'TMP Paste'!$M998))</f>
        <v/>
      </c>
      <c r="AM998">
        <f>IF('TMP Paste'!$F998="","",IF('TMP Paste'!$N998="",$AM997,'TMP Paste'!$N998))</f>
        <v/>
      </c>
      <c r="AN998">
        <f>IF('TMP Paste'!$F998="","",IF('TMP Paste'!$O998="",$AN997,'TMP Paste'!$O998))</f>
        <v/>
      </c>
      <c r="AO998">
        <f>IF('TMP Paste'!$F998="","",IF('TMP Paste'!$P998="",$AO997,'TMP Paste'!$P998))</f>
        <v/>
      </c>
      <c r="AP998">
        <f>IF($AG998="","",LEN($R998))</f>
        <v/>
      </c>
      <c r="AQ998">
        <f>IF($AG998="","",TRIM(IF(COUNTIFS(Calc!$B$2:$B$1601,ROW()-1,Calc!$C$2:$C$1601,"&lt;1")&gt;0,"Ada PO tanpa Koli - cek TMP. ","")&amp;IF(LEN($R998)&gt;500,"R &gt; 500 karakter.","")))</f>
        <v/>
      </c>
    </row>
    <row r="999">
      <c r="A999">
        <f>IF($AG999="","",INDEX('TMP Paste'!$B$2:$B$1601,$AG999))</f>
        <v/>
      </c>
      <c r="B999">
        <f>IF($AG999="","",Config!$B$14)</f>
        <v/>
      </c>
      <c r="C999">
        <f>IF($AG999="","",Config!$B$15)</f>
        <v/>
      </c>
      <c r="D999">
        <f>IF($AG999="","",INDEX('TMP Paste'!$B$2:$B$1601,$AG999))</f>
        <v/>
      </c>
      <c r="E999">
        <f>IF($AG999="","",Config!$B$27)</f>
        <v/>
      </c>
      <c r="F999">
        <f>IF($AG999="","",Config!$B$9)</f>
        <v/>
      </c>
      <c r="G999">
        <f>IF($AG999="","",Config!$B$10)</f>
        <v/>
      </c>
      <c r="H999">
        <f>IF($AG999="","",Config!$B$11)</f>
        <v/>
      </c>
      <c r="I999">
        <f>IF($AG999="","",Config!$B$16)</f>
        <v/>
      </c>
      <c r="J999">
        <f>IF($AG999="","",INDEX('TMP Paste'!$A$2:$A$1601,$AG999))</f>
        <v/>
      </c>
      <c r="K999">
        <f>IF($AG999="","",INDEX('TMP Paste'!$L$2:$L$1601,$AG999))</f>
        <v/>
      </c>
      <c r="L999">
        <f>IF($AG999="","",INDEX('TMP Paste'!$I$2:$I$1601,$AG999))</f>
        <v/>
      </c>
      <c r="M999">
        <f>IF($AG999="","",Config!$B$16)</f>
        <v/>
      </c>
      <c r="N999">
        <f>IF($AG999="","","")</f>
        <v/>
      </c>
      <c r="O999">
        <f>IF($AG999="","",INDEX('TMP Paste'!$K$2:$K$1601,$AG999))</f>
        <v/>
      </c>
      <c r="P999">
        <f>IF($AG999="","","")</f>
        <v/>
      </c>
      <c r="Q999">
        <f>IF($AG999="","",INDEX('TMP Paste'!$J$2:$J$1601,$AG999))</f>
        <v/>
      </c>
      <c r="R999">
        <f>IF($AG999="","",Config!$B$24)</f>
        <v/>
      </c>
      <c r="S999">
        <f>IF($AG999="","",TEXT(Config!$B$4,"yyyy-mm-dd"))</f>
        <v/>
      </c>
      <c r="T999">
        <f>IF($AG999="","",Config!$B$17)</f>
        <v/>
      </c>
      <c r="U999">
        <f>IF($AG999="","",Config!$B$18)</f>
        <v/>
      </c>
      <c r="V999">
        <f>IF($AG999="","",Config!$B$19)</f>
        <v/>
      </c>
      <c r="W999">
        <f>IF($AG999="","",INDEX('TMP Paste'!$C$2:$C$1601,$AG999))</f>
        <v/>
      </c>
      <c r="X999">
        <f>IF($AG999="","",Config!$B$29)</f>
        <v/>
      </c>
      <c r="Y999">
        <f>IF($AH999="","",INDEX(Calc!$I$2:$I$1601,$AH999)&amp;" - "&amp;INDEX(Calc!$D$2:$D$1601,$AH999)&amp;" koli")</f>
        <v/>
      </c>
      <c r="Z999">
        <f>IF($AG999="","",Config!$B$21)</f>
        <v/>
      </c>
      <c r="AA999">
        <f>IF($AG999="","",Config!$B$22)</f>
        <v/>
      </c>
      <c r="AB999">
        <f>IF($AH999="","",INDEX(Calc!$D$2:$D$1601,$AH999))</f>
        <v/>
      </c>
      <c r="AC999">
        <f>IF($AH999="","",INDEX(Calc!$G$2:$G$1601,$AH999))</f>
        <v/>
      </c>
      <c r="AD999">
        <f>IF($AG999="","",Config!$B$23)</f>
        <v/>
      </c>
      <c r="AE999">
        <f>IF($AG999="","",Config!$B$28)</f>
        <v/>
      </c>
      <c r="AG999">
        <f>IFERROR(MATCH(ROW()-1,Calc!$J$2:$J$1601,0),"")</f>
        <v/>
      </c>
      <c r="AH999">
        <f>IFERROR(MATCH(ROW()-1,Calc!$K$2:$K$1601,0),"")</f>
        <v/>
      </c>
      <c r="AI999">
        <f>IF($AG999="","",SUMIF($AG$2:$AG999,$AG999,$AH$2:$AH999))</f>
        <v/>
      </c>
      <c r="AJ999">
        <f>IF('TMP Paste'!$F999="","",IF('TMP Paste'!$B999="",$AJ998,'TMP Paste'!$B999))</f>
        <v/>
      </c>
      <c r="AK999">
        <f>IF('TMP Paste'!$F999="","",N('TMP Paste'!$G999))</f>
        <v/>
      </c>
      <c r="AL999">
        <f>IF('TMP Paste'!$F999="","",IF('TMP Paste'!$M999="",$AL998,'TMP Paste'!$M999))</f>
        <v/>
      </c>
      <c r="AM999">
        <f>IF('TMP Paste'!$F999="","",IF('TMP Paste'!$N999="",$AM998,'TMP Paste'!$N999))</f>
        <v/>
      </c>
      <c r="AN999">
        <f>IF('TMP Paste'!$F999="","",IF('TMP Paste'!$O999="",$AN998,'TMP Paste'!$O999))</f>
        <v/>
      </c>
      <c r="AO999">
        <f>IF('TMP Paste'!$F999="","",IF('TMP Paste'!$P999="",$AO998,'TMP Paste'!$P999))</f>
        <v/>
      </c>
      <c r="AP999">
        <f>IF($AG999="","",LEN($R999))</f>
        <v/>
      </c>
      <c r="AQ999">
        <f>IF($AG999="","",TRIM(IF(COUNTIFS(Calc!$B$2:$B$1601,ROW()-1,Calc!$C$2:$C$1601,"&lt;1")&gt;0,"Ada PO tanpa Koli - cek TMP. ","")&amp;IF(LEN($R999)&gt;500,"R &gt; 500 karakter.","")))</f>
        <v/>
      </c>
    </row>
    <row r="1000">
      <c r="A1000">
        <f>IF($AG1000="","",INDEX('TMP Paste'!$B$2:$B$1601,$AG1000))</f>
        <v/>
      </c>
      <c r="B1000">
        <f>IF($AG1000="","",Config!$B$14)</f>
        <v/>
      </c>
      <c r="C1000">
        <f>IF($AG1000="","",Config!$B$15)</f>
        <v/>
      </c>
      <c r="D1000">
        <f>IF($AG1000="","",INDEX('TMP Paste'!$B$2:$B$1601,$AG1000))</f>
        <v/>
      </c>
      <c r="E1000">
        <f>IF($AG1000="","",Config!$B$27)</f>
        <v/>
      </c>
      <c r="F1000">
        <f>IF($AG1000="","",Config!$B$9)</f>
        <v/>
      </c>
      <c r="G1000">
        <f>IF($AG1000="","",Config!$B$10)</f>
        <v/>
      </c>
      <c r="H1000">
        <f>IF($AG1000="","",Config!$B$11)</f>
        <v/>
      </c>
      <c r="I1000">
        <f>IF($AG1000="","",Config!$B$16)</f>
        <v/>
      </c>
      <c r="J1000">
        <f>IF($AG1000="","",INDEX('TMP Paste'!$A$2:$A$1601,$AG1000))</f>
        <v/>
      </c>
      <c r="K1000">
        <f>IF($AG1000="","",INDEX('TMP Paste'!$L$2:$L$1601,$AG1000))</f>
        <v/>
      </c>
      <c r="L1000">
        <f>IF($AG1000="","",INDEX('TMP Paste'!$I$2:$I$1601,$AG1000))</f>
        <v/>
      </c>
      <c r="M1000">
        <f>IF($AG1000="","",Config!$B$16)</f>
        <v/>
      </c>
      <c r="N1000">
        <f>IF($AG1000="","","")</f>
        <v/>
      </c>
      <c r="O1000">
        <f>IF($AG1000="","",INDEX('TMP Paste'!$K$2:$K$1601,$AG1000))</f>
        <v/>
      </c>
      <c r="P1000">
        <f>IF($AG1000="","","")</f>
        <v/>
      </c>
      <c r="Q1000">
        <f>IF($AG1000="","",INDEX('TMP Paste'!$J$2:$J$1601,$AG1000))</f>
        <v/>
      </c>
      <c r="R1000">
        <f>IF($AG1000="","",Config!$B$24)</f>
        <v/>
      </c>
      <c r="S1000">
        <f>IF($AG1000="","",TEXT(Config!$B$4,"yyyy-mm-dd"))</f>
        <v/>
      </c>
      <c r="T1000">
        <f>IF($AG1000="","",Config!$B$17)</f>
        <v/>
      </c>
      <c r="U1000">
        <f>IF($AG1000="","",Config!$B$18)</f>
        <v/>
      </c>
      <c r="V1000">
        <f>IF($AG1000="","",Config!$B$19)</f>
        <v/>
      </c>
      <c r="W1000">
        <f>IF($AG1000="","",INDEX('TMP Paste'!$C$2:$C$1601,$AG1000))</f>
        <v/>
      </c>
      <c r="X1000">
        <f>IF($AG1000="","",Config!$B$29)</f>
        <v/>
      </c>
      <c r="Y1000">
        <f>IF($AH1000="","",INDEX(Calc!$I$2:$I$1601,$AH1000)&amp;" - "&amp;INDEX(Calc!$D$2:$D$1601,$AH1000)&amp;" koli")</f>
        <v/>
      </c>
      <c r="Z1000">
        <f>IF($AG1000="","",Config!$B$21)</f>
        <v/>
      </c>
      <c r="AA1000">
        <f>IF($AG1000="","",Config!$B$22)</f>
        <v/>
      </c>
      <c r="AB1000">
        <f>IF($AH1000="","",INDEX(Calc!$D$2:$D$1601,$AH1000))</f>
        <v/>
      </c>
      <c r="AC1000">
        <f>IF($AH1000="","",INDEX(Calc!$G$2:$G$1601,$AH1000))</f>
        <v/>
      </c>
      <c r="AD1000">
        <f>IF($AG1000="","",Config!$B$23)</f>
        <v/>
      </c>
      <c r="AE1000">
        <f>IF($AG1000="","",Config!$B$28)</f>
        <v/>
      </c>
      <c r="AG1000">
        <f>IFERROR(MATCH(ROW()-1,Calc!$J$2:$J$1601,0),"")</f>
        <v/>
      </c>
      <c r="AH1000">
        <f>IFERROR(MATCH(ROW()-1,Calc!$K$2:$K$1601,0),"")</f>
        <v/>
      </c>
      <c r="AI1000">
        <f>IF($AG1000="","",SUMIF($AG$2:$AG1000,$AG1000,$AH$2:$AH1000))</f>
        <v/>
      </c>
      <c r="AJ1000">
        <f>IF('TMP Paste'!$F1000="","",IF('TMP Paste'!$B1000="",$AJ999,'TMP Paste'!$B1000))</f>
        <v/>
      </c>
      <c r="AK1000">
        <f>IF('TMP Paste'!$F1000="","",N('TMP Paste'!$G1000))</f>
        <v/>
      </c>
      <c r="AL1000">
        <f>IF('TMP Paste'!$F1000="","",IF('TMP Paste'!$M1000="",$AL999,'TMP Paste'!$M1000))</f>
        <v/>
      </c>
      <c r="AM1000">
        <f>IF('TMP Paste'!$F1000="","",IF('TMP Paste'!$N1000="",$AM999,'TMP Paste'!$N1000))</f>
        <v/>
      </c>
      <c r="AN1000">
        <f>IF('TMP Paste'!$F1000="","",IF('TMP Paste'!$O1000="",$AN999,'TMP Paste'!$O1000))</f>
        <v/>
      </c>
      <c r="AO1000">
        <f>IF('TMP Paste'!$F1000="","",IF('TMP Paste'!$P1000="",$AO999,'TMP Paste'!$P1000))</f>
        <v/>
      </c>
      <c r="AP1000">
        <f>IF($AG1000="","",LEN($R1000))</f>
        <v/>
      </c>
      <c r="AQ1000">
        <f>IF($AG1000="","",TRIM(IF(COUNTIFS(Calc!$B$2:$B$1601,ROW()-1,Calc!$C$2:$C$1601,"&lt;1")&gt;0,"Ada PO tanpa Koli - cek TMP. ","")&amp;IF(LEN($R1000)&gt;500,"R &gt; 500 karakter.","")))</f>
        <v/>
      </c>
    </row>
    <row r="1001">
      <c r="A1001">
        <f>IF($AG1001="","",INDEX('TMP Paste'!$B$2:$B$1601,$AG1001))</f>
        <v/>
      </c>
      <c r="B1001">
        <f>IF($AG1001="","",Config!$B$14)</f>
        <v/>
      </c>
      <c r="C1001">
        <f>IF($AG1001="","",Config!$B$15)</f>
        <v/>
      </c>
      <c r="D1001">
        <f>IF($AG1001="","",INDEX('TMP Paste'!$B$2:$B$1601,$AG1001))</f>
        <v/>
      </c>
      <c r="E1001">
        <f>IF($AG1001="","",Config!$B$27)</f>
        <v/>
      </c>
      <c r="F1001">
        <f>IF($AG1001="","",Config!$B$9)</f>
        <v/>
      </c>
      <c r="G1001">
        <f>IF($AG1001="","",Config!$B$10)</f>
        <v/>
      </c>
      <c r="H1001">
        <f>IF($AG1001="","",Config!$B$11)</f>
        <v/>
      </c>
      <c r="I1001">
        <f>IF($AG1001="","",Config!$B$16)</f>
        <v/>
      </c>
      <c r="J1001">
        <f>IF($AG1001="","",INDEX('TMP Paste'!$A$2:$A$1601,$AG1001))</f>
        <v/>
      </c>
      <c r="K1001">
        <f>IF($AG1001="","",INDEX('TMP Paste'!$L$2:$L$1601,$AG1001))</f>
        <v/>
      </c>
      <c r="L1001">
        <f>IF($AG1001="","",INDEX('TMP Paste'!$I$2:$I$1601,$AG1001))</f>
        <v/>
      </c>
      <c r="M1001">
        <f>IF($AG1001="","",Config!$B$16)</f>
        <v/>
      </c>
      <c r="N1001">
        <f>IF($AG1001="","","")</f>
        <v/>
      </c>
      <c r="O1001">
        <f>IF($AG1001="","",INDEX('TMP Paste'!$K$2:$K$1601,$AG1001))</f>
        <v/>
      </c>
      <c r="P1001">
        <f>IF($AG1001="","","")</f>
        <v/>
      </c>
      <c r="Q1001">
        <f>IF($AG1001="","",INDEX('TMP Paste'!$J$2:$J$1601,$AG1001))</f>
        <v/>
      </c>
      <c r="R1001">
        <f>IF($AG1001="","",Config!$B$24)</f>
        <v/>
      </c>
      <c r="S1001">
        <f>IF($AG1001="","",TEXT(Config!$B$4,"yyyy-mm-dd"))</f>
        <v/>
      </c>
      <c r="T1001">
        <f>IF($AG1001="","",Config!$B$17)</f>
        <v/>
      </c>
      <c r="U1001">
        <f>IF($AG1001="","",Config!$B$18)</f>
        <v/>
      </c>
      <c r="V1001">
        <f>IF($AG1001="","",Config!$B$19)</f>
        <v/>
      </c>
      <c r="W1001">
        <f>IF($AG1001="","",INDEX('TMP Paste'!$C$2:$C$1601,$AG1001))</f>
        <v/>
      </c>
      <c r="X1001">
        <f>IF($AG1001="","",Config!$B$29)</f>
        <v/>
      </c>
      <c r="Y1001">
        <f>IF($AH1001="","",INDEX(Calc!$I$2:$I$1601,$AH1001)&amp;" - "&amp;INDEX(Calc!$D$2:$D$1601,$AH1001)&amp;" koli")</f>
        <v/>
      </c>
      <c r="Z1001">
        <f>IF($AG1001="","",Config!$B$21)</f>
        <v/>
      </c>
      <c r="AA1001">
        <f>IF($AG1001="","",Config!$B$22)</f>
        <v/>
      </c>
      <c r="AB1001">
        <f>IF($AH1001="","",INDEX(Calc!$D$2:$D$1601,$AH1001))</f>
        <v/>
      </c>
      <c r="AC1001">
        <f>IF($AH1001="","",INDEX(Calc!$G$2:$G$1601,$AH1001))</f>
        <v/>
      </c>
      <c r="AD1001">
        <f>IF($AG1001="","",Config!$B$23)</f>
        <v/>
      </c>
      <c r="AE1001">
        <f>IF($AG1001="","",Config!$B$28)</f>
        <v/>
      </c>
      <c r="AG1001">
        <f>IFERROR(MATCH(ROW()-1,Calc!$J$2:$J$1601,0),"")</f>
        <v/>
      </c>
      <c r="AH1001">
        <f>IFERROR(MATCH(ROW()-1,Calc!$K$2:$K$1601,0),"")</f>
        <v/>
      </c>
      <c r="AI1001">
        <f>IF($AG1001="","",SUMIF($AG$2:$AG1001,$AG1001,$AH$2:$AH1001))</f>
        <v/>
      </c>
      <c r="AJ1001">
        <f>IF('TMP Paste'!$F1001="","",IF('TMP Paste'!$B1001="",$AJ1000,'TMP Paste'!$B1001))</f>
        <v/>
      </c>
      <c r="AK1001">
        <f>IF('TMP Paste'!$F1001="","",N('TMP Paste'!$G1001))</f>
        <v/>
      </c>
      <c r="AL1001">
        <f>IF('TMP Paste'!$F1001="","",IF('TMP Paste'!$M1001="",$AL1000,'TMP Paste'!$M1001))</f>
        <v/>
      </c>
      <c r="AM1001">
        <f>IF('TMP Paste'!$F1001="","",IF('TMP Paste'!$N1001="",$AM1000,'TMP Paste'!$N1001))</f>
        <v/>
      </c>
      <c r="AN1001">
        <f>IF('TMP Paste'!$F1001="","",IF('TMP Paste'!$O1001="",$AN1000,'TMP Paste'!$O1001))</f>
        <v/>
      </c>
      <c r="AO1001">
        <f>IF('TMP Paste'!$F1001="","",IF('TMP Paste'!$P1001="",$AO1000,'TMP Paste'!$P1001))</f>
        <v/>
      </c>
      <c r="AP1001">
        <f>IF($AG1001="","",LEN($R1001))</f>
        <v/>
      </c>
      <c r="AQ1001">
        <f>IF($AG1001="","",TRIM(IF(COUNTIFS(Calc!$B$2:$B$1601,ROW()-1,Calc!$C$2:$C$1601,"&lt;1")&gt;0,"Ada PO tanpa Koli - cek TMP. ","")&amp;IF(LEN($R1001)&gt;500,"R &gt; 500 karakter.","")))</f>
        <v/>
      </c>
    </row>
    <row r="1002">
      <c r="A1002">
        <f>IF($AG1002="","",INDEX('TMP Paste'!$B$2:$B$1601,$AG1002))</f>
        <v/>
      </c>
      <c r="B1002">
        <f>IF($AG1002="","",Config!$B$14)</f>
        <v/>
      </c>
      <c r="C1002">
        <f>IF($AG1002="","",Config!$B$15)</f>
        <v/>
      </c>
      <c r="D1002">
        <f>IF($AG1002="","",INDEX('TMP Paste'!$B$2:$B$1601,$AG1002))</f>
        <v/>
      </c>
      <c r="E1002">
        <f>IF($AG1002="","",Config!$B$27)</f>
        <v/>
      </c>
      <c r="F1002">
        <f>IF($AG1002="","",Config!$B$9)</f>
        <v/>
      </c>
      <c r="G1002">
        <f>IF($AG1002="","",Config!$B$10)</f>
        <v/>
      </c>
      <c r="H1002">
        <f>IF($AG1002="","",Config!$B$11)</f>
        <v/>
      </c>
      <c r="I1002">
        <f>IF($AG1002="","",Config!$B$16)</f>
        <v/>
      </c>
      <c r="J1002">
        <f>IF($AG1002="","",INDEX('TMP Paste'!$A$2:$A$1601,$AG1002))</f>
        <v/>
      </c>
      <c r="K1002">
        <f>IF($AG1002="","",INDEX('TMP Paste'!$L$2:$L$1601,$AG1002))</f>
        <v/>
      </c>
      <c r="L1002">
        <f>IF($AG1002="","",INDEX('TMP Paste'!$I$2:$I$1601,$AG1002))</f>
        <v/>
      </c>
      <c r="M1002">
        <f>IF($AG1002="","",Config!$B$16)</f>
        <v/>
      </c>
      <c r="N1002">
        <f>IF($AG1002="","","")</f>
        <v/>
      </c>
      <c r="O1002">
        <f>IF($AG1002="","",INDEX('TMP Paste'!$K$2:$K$1601,$AG1002))</f>
        <v/>
      </c>
      <c r="P1002">
        <f>IF($AG1002="","","")</f>
        <v/>
      </c>
      <c r="Q1002">
        <f>IF($AG1002="","",INDEX('TMP Paste'!$J$2:$J$1601,$AG1002))</f>
        <v/>
      </c>
      <c r="R1002">
        <f>IF($AG1002="","",Config!$B$24)</f>
        <v/>
      </c>
      <c r="S1002">
        <f>IF($AG1002="","",TEXT(Config!$B$4,"yyyy-mm-dd"))</f>
        <v/>
      </c>
      <c r="T1002">
        <f>IF($AG1002="","",Config!$B$17)</f>
        <v/>
      </c>
      <c r="U1002">
        <f>IF($AG1002="","",Config!$B$18)</f>
        <v/>
      </c>
      <c r="V1002">
        <f>IF($AG1002="","",Config!$B$19)</f>
        <v/>
      </c>
      <c r="W1002">
        <f>IF($AG1002="","",INDEX('TMP Paste'!$C$2:$C$1601,$AG1002))</f>
        <v/>
      </c>
      <c r="X1002">
        <f>IF($AG1002="","",Config!$B$29)</f>
        <v/>
      </c>
      <c r="Y1002">
        <f>IF($AH1002="","",INDEX(Calc!$I$2:$I$1601,$AH1002)&amp;" - "&amp;INDEX(Calc!$D$2:$D$1601,$AH1002)&amp;" koli")</f>
        <v/>
      </c>
      <c r="Z1002">
        <f>IF($AG1002="","",Config!$B$21)</f>
        <v/>
      </c>
      <c r="AA1002">
        <f>IF($AG1002="","",Config!$B$22)</f>
        <v/>
      </c>
      <c r="AB1002">
        <f>IF($AH1002="","",INDEX(Calc!$D$2:$D$1601,$AH1002))</f>
        <v/>
      </c>
      <c r="AC1002">
        <f>IF($AH1002="","",INDEX(Calc!$G$2:$G$1601,$AH1002))</f>
        <v/>
      </c>
      <c r="AD1002">
        <f>IF($AG1002="","",Config!$B$23)</f>
        <v/>
      </c>
      <c r="AE1002">
        <f>IF($AG1002="","",Config!$B$28)</f>
        <v/>
      </c>
      <c r="AG1002">
        <f>IFERROR(MATCH(ROW()-1,Calc!$J$2:$J$1601,0),"")</f>
        <v/>
      </c>
      <c r="AH1002">
        <f>IFERROR(MATCH(ROW()-1,Calc!$K$2:$K$1601,0),"")</f>
        <v/>
      </c>
      <c r="AI1002">
        <f>IF($AG1002="","",SUMIF($AG$2:$AG1002,$AG1002,$AH$2:$AH1002))</f>
        <v/>
      </c>
      <c r="AJ1002">
        <f>IF('TMP Paste'!$F1002="","",IF('TMP Paste'!$B1002="",$AJ1001,'TMP Paste'!$B1002))</f>
        <v/>
      </c>
      <c r="AK1002">
        <f>IF('TMP Paste'!$F1002="","",N('TMP Paste'!$G1002))</f>
        <v/>
      </c>
      <c r="AL1002">
        <f>IF('TMP Paste'!$F1002="","",IF('TMP Paste'!$M1002="",$AL1001,'TMP Paste'!$M1002))</f>
        <v/>
      </c>
      <c r="AM1002">
        <f>IF('TMP Paste'!$F1002="","",IF('TMP Paste'!$N1002="",$AM1001,'TMP Paste'!$N1002))</f>
        <v/>
      </c>
      <c r="AN1002">
        <f>IF('TMP Paste'!$F1002="","",IF('TMP Paste'!$O1002="",$AN1001,'TMP Paste'!$O1002))</f>
        <v/>
      </c>
      <c r="AO1002">
        <f>IF('TMP Paste'!$F1002="","",IF('TMP Paste'!$P1002="",$AO1001,'TMP Paste'!$P1002))</f>
        <v/>
      </c>
      <c r="AP1002">
        <f>IF($AG1002="","",LEN($R1002))</f>
        <v/>
      </c>
      <c r="AQ1002">
        <f>IF($AG1002="","",TRIM(IF(COUNTIFS(Calc!$B$2:$B$1601,ROW()-1,Calc!$C$2:$C$1601,"&lt;1")&gt;0,"Ada PO tanpa Koli - cek TMP. ","")&amp;IF(LEN($R1002)&gt;500,"R &gt; 500 karakter.","")))</f>
        <v/>
      </c>
    </row>
    <row r="1003">
      <c r="A1003">
        <f>IF($AG1003="","",INDEX('TMP Paste'!$B$2:$B$1601,$AG1003))</f>
        <v/>
      </c>
      <c r="B1003">
        <f>IF($AG1003="","",Config!$B$14)</f>
        <v/>
      </c>
      <c r="C1003">
        <f>IF($AG1003="","",Config!$B$15)</f>
        <v/>
      </c>
      <c r="D1003">
        <f>IF($AG1003="","",INDEX('TMP Paste'!$B$2:$B$1601,$AG1003))</f>
        <v/>
      </c>
      <c r="E1003">
        <f>IF($AG1003="","",Config!$B$27)</f>
        <v/>
      </c>
      <c r="F1003">
        <f>IF($AG1003="","",Config!$B$9)</f>
        <v/>
      </c>
      <c r="G1003">
        <f>IF($AG1003="","",Config!$B$10)</f>
        <v/>
      </c>
      <c r="H1003">
        <f>IF($AG1003="","",Config!$B$11)</f>
        <v/>
      </c>
      <c r="I1003">
        <f>IF($AG1003="","",Config!$B$16)</f>
        <v/>
      </c>
      <c r="J1003">
        <f>IF($AG1003="","",INDEX('TMP Paste'!$A$2:$A$1601,$AG1003))</f>
        <v/>
      </c>
      <c r="K1003">
        <f>IF($AG1003="","",INDEX('TMP Paste'!$L$2:$L$1601,$AG1003))</f>
        <v/>
      </c>
      <c r="L1003">
        <f>IF($AG1003="","",INDEX('TMP Paste'!$I$2:$I$1601,$AG1003))</f>
        <v/>
      </c>
      <c r="M1003">
        <f>IF($AG1003="","",Config!$B$16)</f>
        <v/>
      </c>
      <c r="N1003">
        <f>IF($AG1003="","","")</f>
        <v/>
      </c>
      <c r="O1003">
        <f>IF($AG1003="","",INDEX('TMP Paste'!$K$2:$K$1601,$AG1003))</f>
        <v/>
      </c>
      <c r="P1003">
        <f>IF($AG1003="","","")</f>
        <v/>
      </c>
      <c r="Q1003">
        <f>IF($AG1003="","",INDEX('TMP Paste'!$J$2:$J$1601,$AG1003))</f>
        <v/>
      </c>
      <c r="R1003">
        <f>IF($AG1003="","",Config!$B$24)</f>
        <v/>
      </c>
      <c r="S1003">
        <f>IF($AG1003="","",TEXT(Config!$B$4,"yyyy-mm-dd"))</f>
        <v/>
      </c>
      <c r="T1003">
        <f>IF($AG1003="","",Config!$B$17)</f>
        <v/>
      </c>
      <c r="U1003">
        <f>IF($AG1003="","",Config!$B$18)</f>
        <v/>
      </c>
      <c r="V1003">
        <f>IF($AG1003="","",Config!$B$19)</f>
        <v/>
      </c>
      <c r="W1003">
        <f>IF($AG1003="","",INDEX('TMP Paste'!$C$2:$C$1601,$AG1003))</f>
        <v/>
      </c>
      <c r="X1003">
        <f>IF($AG1003="","",Config!$B$29)</f>
        <v/>
      </c>
      <c r="Y1003">
        <f>IF($AH1003="","",INDEX(Calc!$I$2:$I$1601,$AH1003)&amp;" - "&amp;INDEX(Calc!$D$2:$D$1601,$AH1003)&amp;" koli")</f>
        <v/>
      </c>
      <c r="Z1003">
        <f>IF($AG1003="","",Config!$B$21)</f>
        <v/>
      </c>
      <c r="AA1003">
        <f>IF($AG1003="","",Config!$B$22)</f>
        <v/>
      </c>
      <c r="AB1003">
        <f>IF($AH1003="","",INDEX(Calc!$D$2:$D$1601,$AH1003))</f>
        <v/>
      </c>
      <c r="AC1003">
        <f>IF($AH1003="","",INDEX(Calc!$G$2:$G$1601,$AH1003))</f>
        <v/>
      </c>
      <c r="AD1003">
        <f>IF($AG1003="","",Config!$B$23)</f>
        <v/>
      </c>
      <c r="AE1003">
        <f>IF($AG1003="","",Config!$B$28)</f>
        <v/>
      </c>
      <c r="AG1003">
        <f>IFERROR(MATCH(ROW()-1,Calc!$J$2:$J$1601,0),"")</f>
        <v/>
      </c>
      <c r="AH1003">
        <f>IFERROR(MATCH(ROW()-1,Calc!$K$2:$K$1601,0),"")</f>
        <v/>
      </c>
      <c r="AI1003">
        <f>IF($AG1003="","",SUMIF($AG$2:$AG1003,$AG1003,$AH$2:$AH1003))</f>
        <v/>
      </c>
      <c r="AJ1003">
        <f>IF('TMP Paste'!$F1003="","",IF('TMP Paste'!$B1003="",$AJ1002,'TMP Paste'!$B1003))</f>
        <v/>
      </c>
      <c r="AK1003">
        <f>IF('TMP Paste'!$F1003="","",N('TMP Paste'!$G1003))</f>
        <v/>
      </c>
      <c r="AL1003">
        <f>IF('TMP Paste'!$F1003="","",IF('TMP Paste'!$M1003="",$AL1002,'TMP Paste'!$M1003))</f>
        <v/>
      </c>
      <c r="AM1003">
        <f>IF('TMP Paste'!$F1003="","",IF('TMP Paste'!$N1003="",$AM1002,'TMP Paste'!$N1003))</f>
        <v/>
      </c>
      <c r="AN1003">
        <f>IF('TMP Paste'!$F1003="","",IF('TMP Paste'!$O1003="",$AN1002,'TMP Paste'!$O1003))</f>
        <v/>
      </c>
      <c r="AO1003">
        <f>IF('TMP Paste'!$F1003="","",IF('TMP Paste'!$P1003="",$AO1002,'TMP Paste'!$P1003))</f>
        <v/>
      </c>
      <c r="AP1003">
        <f>IF($AG1003="","",LEN($R1003))</f>
        <v/>
      </c>
      <c r="AQ1003">
        <f>IF($AG1003="","",TRIM(IF(COUNTIFS(Calc!$B$2:$B$1601,ROW()-1,Calc!$C$2:$C$1601,"&lt;1")&gt;0,"Ada PO tanpa Koli - cek TMP. ","")&amp;IF(LEN($R1003)&gt;500,"R &gt; 500 karakter.","")))</f>
        <v/>
      </c>
    </row>
    <row r="1004">
      <c r="A1004">
        <f>IF($AG1004="","",INDEX('TMP Paste'!$B$2:$B$1601,$AG1004))</f>
        <v/>
      </c>
      <c r="B1004">
        <f>IF($AG1004="","",Config!$B$14)</f>
        <v/>
      </c>
      <c r="C1004">
        <f>IF($AG1004="","",Config!$B$15)</f>
        <v/>
      </c>
      <c r="D1004">
        <f>IF($AG1004="","",INDEX('TMP Paste'!$B$2:$B$1601,$AG1004))</f>
        <v/>
      </c>
      <c r="E1004">
        <f>IF($AG1004="","",Config!$B$27)</f>
        <v/>
      </c>
      <c r="F1004">
        <f>IF($AG1004="","",Config!$B$9)</f>
        <v/>
      </c>
      <c r="G1004">
        <f>IF($AG1004="","",Config!$B$10)</f>
        <v/>
      </c>
      <c r="H1004">
        <f>IF($AG1004="","",Config!$B$11)</f>
        <v/>
      </c>
      <c r="I1004">
        <f>IF($AG1004="","",Config!$B$16)</f>
        <v/>
      </c>
      <c r="J1004">
        <f>IF($AG1004="","",INDEX('TMP Paste'!$A$2:$A$1601,$AG1004))</f>
        <v/>
      </c>
      <c r="K1004">
        <f>IF($AG1004="","",INDEX('TMP Paste'!$L$2:$L$1601,$AG1004))</f>
        <v/>
      </c>
      <c r="L1004">
        <f>IF($AG1004="","",INDEX('TMP Paste'!$I$2:$I$1601,$AG1004))</f>
        <v/>
      </c>
      <c r="M1004">
        <f>IF($AG1004="","",Config!$B$16)</f>
        <v/>
      </c>
      <c r="N1004">
        <f>IF($AG1004="","","")</f>
        <v/>
      </c>
      <c r="O1004">
        <f>IF($AG1004="","",INDEX('TMP Paste'!$K$2:$K$1601,$AG1004))</f>
        <v/>
      </c>
      <c r="P1004">
        <f>IF($AG1004="","","")</f>
        <v/>
      </c>
      <c r="Q1004">
        <f>IF($AG1004="","",INDEX('TMP Paste'!$J$2:$J$1601,$AG1004))</f>
        <v/>
      </c>
      <c r="R1004">
        <f>IF($AG1004="","",Config!$B$24)</f>
        <v/>
      </c>
      <c r="S1004">
        <f>IF($AG1004="","",TEXT(Config!$B$4,"yyyy-mm-dd"))</f>
        <v/>
      </c>
      <c r="T1004">
        <f>IF($AG1004="","",Config!$B$17)</f>
        <v/>
      </c>
      <c r="U1004">
        <f>IF($AG1004="","",Config!$B$18)</f>
        <v/>
      </c>
      <c r="V1004">
        <f>IF($AG1004="","",Config!$B$19)</f>
        <v/>
      </c>
      <c r="W1004">
        <f>IF($AG1004="","",INDEX('TMP Paste'!$C$2:$C$1601,$AG1004))</f>
        <v/>
      </c>
      <c r="X1004">
        <f>IF($AG1004="","",Config!$B$29)</f>
        <v/>
      </c>
      <c r="Y1004">
        <f>IF($AH1004="","",INDEX(Calc!$I$2:$I$1601,$AH1004)&amp;" - "&amp;INDEX(Calc!$D$2:$D$1601,$AH1004)&amp;" koli")</f>
        <v/>
      </c>
      <c r="Z1004">
        <f>IF($AG1004="","",Config!$B$21)</f>
        <v/>
      </c>
      <c r="AA1004">
        <f>IF($AG1004="","",Config!$B$22)</f>
        <v/>
      </c>
      <c r="AB1004">
        <f>IF($AH1004="","",INDEX(Calc!$D$2:$D$1601,$AH1004))</f>
        <v/>
      </c>
      <c r="AC1004">
        <f>IF($AH1004="","",INDEX(Calc!$G$2:$G$1601,$AH1004))</f>
        <v/>
      </c>
      <c r="AD1004">
        <f>IF($AG1004="","",Config!$B$23)</f>
        <v/>
      </c>
      <c r="AE1004">
        <f>IF($AG1004="","",Config!$B$28)</f>
        <v/>
      </c>
      <c r="AG1004">
        <f>IFERROR(MATCH(ROW()-1,Calc!$J$2:$J$1601,0),"")</f>
        <v/>
      </c>
      <c r="AH1004">
        <f>IFERROR(MATCH(ROW()-1,Calc!$K$2:$K$1601,0),"")</f>
        <v/>
      </c>
      <c r="AI1004">
        <f>IF($AG1004="","",SUMIF($AG$2:$AG1004,$AG1004,$AH$2:$AH1004))</f>
        <v/>
      </c>
      <c r="AJ1004">
        <f>IF('TMP Paste'!$F1004="","",IF('TMP Paste'!$B1004="",$AJ1003,'TMP Paste'!$B1004))</f>
        <v/>
      </c>
      <c r="AK1004">
        <f>IF('TMP Paste'!$F1004="","",N('TMP Paste'!$G1004))</f>
        <v/>
      </c>
      <c r="AL1004">
        <f>IF('TMP Paste'!$F1004="","",IF('TMP Paste'!$M1004="",$AL1003,'TMP Paste'!$M1004))</f>
        <v/>
      </c>
      <c r="AM1004">
        <f>IF('TMP Paste'!$F1004="","",IF('TMP Paste'!$N1004="",$AM1003,'TMP Paste'!$N1004))</f>
        <v/>
      </c>
      <c r="AN1004">
        <f>IF('TMP Paste'!$F1004="","",IF('TMP Paste'!$O1004="",$AN1003,'TMP Paste'!$O1004))</f>
        <v/>
      </c>
      <c r="AO1004">
        <f>IF('TMP Paste'!$F1004="","",IF('TMP Paste'!$P1004="",$AO1003,'TMP Paste'!$P1004))</f>
        <v/>
      </c>
      <c r="AP1004">
        <f>IF($AG1004="","",LEN($R1004))</f>
        <v/>
      </c>
      <c r="AQ1004">
        <f>IF($AG1004="","",TRIM(IF(COUNTIFS(Calc!$B$2:$B$1601,ROW()-1,Calc!$C$2:$C$1601,"&lt;1")&gt;0,"Ada PO tanpa Koli - cek TMP. ","")&amp;IF(LEN($R1004)&gt;500,"R &gt; 500 karakter.","")))</f>
        <v/>
      </c>
    </row>
    <row r="1005">
      <c r="A1005">
        <f>IF($AG1005="","",INDEX('TMP Paste'!$B$2:$B$1601,$AG1005))</f>
        <v/>
      </c>
      <c r="B1005">
        <f>IF($AG1005="","",Config!$B$14)</f>
        <v/>
      </c>
      <c r="C1005">
        <f>IF($AG1005="","",Config!$B$15)</f>
        <v/>
      </c>
      <c r="D1005">
        <f>IF($AG1005="","",INDEX('TMP Paste'!$B$2:$B$1601,$AG1005))</f>
        <v/>
      </c>
      <c r="E1005">
        <f>IF($AG1005="","",Config!$B$27)</f>
        <v/>
      </c>
      <c r="F1005">
        <f>IF($AG1005="","",Config!$B$9)</f>
        <v/>
      </c>
      <c r="G1005">
        <f>IF($AG1005="","",Config!$B$10)</f>
        <v/>
      </c>
      <c r="H1005">
        <f>IF($AG1005="","",Config!$B$11)</f>
        <v/>
      </c>
      <c r="I1005">
        <f>IF($AG1005="","",Config!$B$16)</f>
        <v/>
      </c>
      <c r="J1005">
        <f>IF($AG1005="","",INDEX('TMP Paste'!$A$2:$A$1601,$AG1005))</f>
        <v/>
      </c>
      <c r="K1005">
        <f>IF($AG1005="","",INDEX('TMP Paste'!$L$2:$L$1601,$AG1005))</f>
        <v/>
      </c>
      <c r="L1005">
        <f>IF($AG1005="","",INDEX('TMP Paste'!$I$2:$I$1601,$AG1005))</f>
        <v/>
      </c>
      <c r="M1005">
        <f>IF($AG1005="","",Config!$B$16)</f>
        <v/>
      </c>
      <c r="N1005">
        <f>IF($AG1005="","","")</f>
        <v/>
      </c>
      <c r="O1005">
        <f>IF($AG1005="","",INDEX('TMP Paste'!$K$2:$K$1601,$AG1005))</f>
        <v/>
      </c>
      <c r="P1005">
        <f>IF($AG1005="","","")</f>
        <v/>
      </c>
      <c r="Q1005">
        <f>IF($AG1005="","",INDEX('TMP Paste'!$J$2:$J$1601,$AG1005))</f>
        <v/>
      </c>
      <c r="R1005">
        <f>IF($AG1005="","",Config!$B$24)</f>
        <v/>
      </c>
      <c r="S1005">
        <f>IF($AG1005="","",TEXT(Config!$B$4,"yyyy-mm-dd"))</f>
        <v/>
      </c>
      <c r="T1005">
        <f>IF($AG1005="","",Config!$B$17)</f>
        <v/>
      </c>
      <c r="U1005">
        <f>IF($AG1005="","",Config!$B$18)</f>
        <v/>
      </c>
      <c r="V1005">
        <f>IF($AG1005="","",Config!$B$19)</f>
        <v/>
      </c>
      <c r="W1005">
        <f>IF($AG1005="","",INDEX('TMP Paste'!$C$2:$C$1601,$AG1005))</f>
        <v/>
      </c>
      <c r="X1005">
        <f>IF($AG1005="","",Config!$B$29)</f>
        <v/>
      </c>
      <c r="Y1005">
        <f>IF($AH1005="","",INDEX(Calc!$I$2:$I$1601,$AH1005)&amp;" - "&amp;INDEX(Calc!$D$2:$D$1601,$AH1005)&amp;" koli")</f>
        <v/>
      </c>
      <c r="Z1005">
        <f>IF($AG1005="","",Config!$B$21)</f>
        <v/>
      </c>
      <c r="AA1005">
        <f>IF($AG1005="","",Config!$B$22)</f>
        <v/>
      </c>
      <c r="AB1005">
        <f>IF($AH1005="","",INDEX(Calc!$D$2:$D$1601,$AH1005))</f>
        <v/>
      </c>
      <c r="AC1005">
        <f>IF($AH1005="","",INDEX(Calc!$G$2:$G$1601,$AH1005))</f>
        <v/>
      </c>
      <c r="AD1005">
        <f>IF($AG1005="","",Config!$B$23)</f>
        <v/>
      </c>
      <c r="AE1005">
        <f>IF($AG1005="","",Config!$B$28)</f>
        <v/>
      </c>
      <c r="AG1005">
        <f>IFERROR(MATCH(ROW()-1,Calc!$J$2:$J$1601,0),"")</f>
        <v/>
      </c>
      <c r="AH1005">
        <f>IFERROR(MATCH(ROW()-1,Calc!$K$2:$K$1601,0),"")</f>
        <v/>
      </c>
      <c r="AI1005">
        <f>IF($AG1005="","",SUMIF($AG$2:$AG1005,$AG1005,$AH$2:$AH1005))</f>
        <v/>
      </c>
      <c r="AJ1005">
        <f>IF('TMP Paste'!$F1005="","",IF('TMP Paste'!$B1005="",$AJ1004,'TMP Paste'!$B1005))</f>
        <v/>
      </c>
      <c r="AK1005">
        <f>IF('TMP Paste'!$F1005="","",N('TMP Paste'!$G1005))</f>
        <v/>
      </c>
      <c r="AL1005">
        <f>IF('TMP Paste'!$F1005="","",IF('TMP Paste'!$M1005="",$AL1004,'TMP Paste'!$M1005))</f>
        <v/>
      </c>
      <c r="AM1005">
        <f>IF('TMP Paste'!$F1005="","",IF('TMP Paste'!$N1005="",$AM1004,'TMP Paste'!$N1005))</f>
        <v/>
      </c>
      <c r="AN1005">
        <f>IF('TMP Paste'!$F1005="","",IF('TMP Paste'!$O1005="",$AN1004,'TMP Paste'!$O1005))</f>
        <v/>
      </c>
      <c r="AO1005">
        <f>IF('TMP Paste'!$F1005="","",IF('TMP Paste'!$P1005="",$AO1004,'TMP Paste'!$P1005))</f>
        <v/>
      </c>
      <c r="AP1005">
        <f>IF($AG1005="","",LEN($R1005))</f>
        <v/>
      </c>
      <c r="AQ1005">
        <f>IF($AG1005="","",TRIM(IF(COUNTIFS(Calc!$B$2:$B$1601,ROW()-1,Calc!$C$2:$C$1601,"&lt;1")&gt;0,"Ada PO tanpa Koli - cek TMP. ","")&amp;IF(LEN($R1005)&gt;500,"R &gt; 500 karakter.","")))</f>
        <v/>
      </c>
    </row>
    <row r="1006">
      <c r="A1006">
        <f>IF($AG1006="","",INDEX('TMP Paste'!$B$2:$B$1601,$AG1006))</f>
        <v/>
      </c>
      <c r="B1006">
        <f>IF($AG1006="","",Config!$B$14)</f>
        <v/>
      </c>
      <c r="C1006">
        <f>IF($AG1006="","",Config!$B$15)</f>
        <v/>
      </c>
      <c r="D1006">
        <f>IF($AG1006="","",INDEX('TMP Paste'!$B$2:$B$1601,$AG1006))</f>
        <v/>
      </c>
      <c r="E1006">
        <f>IF($AG1006="","",Config!$B$27)</f>
        <v/>
      </c>
      <c r="F1006">
        <f>IF($AG1006="","",Config!$B$9)</f>
        <v/>
      </c>
      <c r="G1006">
        <f>IF($AG1006="","",Config!$B$10)</f>
        <v/>
      </c>
      <c r="H1006">
        <f>IF($AG1006="","",Config!$B$11)</f>
        <v/>
      </c>
      <c r="I1006">
        <f>IF($AG1006="","",Config!$B$16)</f>
        <v/>
      </c>
      <c r="J1006">
        <f>IF($AG1006="","",INDEX('TMP Paste'!$A$2:$A$1601,$AG1006))</f>
        <v/>
      </c>
      <c r="K1006">
        <f>IF($AG1006="","",INDEX('TMP Paste'!$L$2:$L$1601,$AG1006))</f>
        <v/>
      </c>
      <c r="L1006">
        <f>IF($AG1006="","",INDEX('TMP Paste'!$I$2:$I$1601,$AG1006))</f>
        <v/>
      </c>
      <c r="M1006">
        <f>IF($AG1006="","",Config!$B$16)</f>
        <v/>
      </c>
      <c r="N1006">
        <f>IF($AG1006="","","")</f>
        <v/>
      </c>
      <c r="O1006">
        <f>IF($AG1006="","",INDEX('TMP Paste'!$K$2:$K$1601,$AG1006))</f>
        <v/>
      </c>
      <c r="P1006">
        <f>IF($AG1006="","","")</f>
        <v/>
      </c>
      <c r="Q1006">
        <f>IF($AG1006="","",INDEX('TMP Paste'!$J$2:$J$1601,$AG1006))</f>
        <v/>
      </c>
      <c r="R1006">
        <f>IF($AG1006="","",Config!$B$24)</f>
        <v/>
      </c>
      <c r="S1006">
        <f>IF($AG1006="","",TEXT(Config!$B$4,"yyyy-mm-dd"))</f>
        <v/>
      </c>
      <c r="T1006">
        <f>IF($AG1006="","",Config!$B$17)</f>
        <v/>
      </c>
      <c r="U1006">
        <f>IF($AG1006="","",Config!$B$18)</f>
        <v/>
      </c>
      <c r="V1006">
        <f>IF($AG1006="","",Config!$B$19)</f>
        <v/>
      </c>
      <c r="W1006">
        <f>IF($AG1006="","",INDEX('TMP Paste'!$C$2:$C$1601,$AG1006))</f>
        <v/>
      </c>
      <c r="X1006">
        <f>IF($AG1006="","",Config!$B$29)</f>
        <v/>
      </c>
      <c r="Y1006">
        <f>IF($AH1006="","",INDEX(Calc!$I$2:$I$1601,$AH1006)&amp;" - "&amp;INDEX(Calc!$D$2:$D$1601,$AH1006)&amp;" koli")</f>
        <v/>
      </c>
      <c r="Z1006">
        <f>IF($AG1006="","",Config!$B$21)</f>
        <v/>
      </c>
      <c r="AA1006">
        <f>IF($AG1006="","",Config!$B$22)</f>
        <v/>
      </c>
      <c r="AB1006">
        <f>IF($AH1006="","",INDEX(Calc!$D$2:$D$1601,$AH1006))</f>
        <v/>
      </c>
      <c r="AC1006">
        <f>IF($AH1006="","",INDEX(Calc!$G$2:$G$1601,$AH1006))</f>
        <v/>
      </c>
      <c r="AD1006">
        <f>IF($AG1006="","",Config!$B$23)</f>
        <v/>
      </c>
      <c r="AE1006">
        <f>IF($AG1006="","",Config!$B$28)</f>
        <v/>
      </c>
      <c r="AG1006">
        <f>IFERROR(MATCH(ROW()-1,Calc!$J$2:$J$1601,0),"")</f>
        <v/>
      </c>
      <c r="AH1006">
        <f>IFERROR(MATCH(ROW()-1,Calc!$K$2:$K$1601,0),"")</f>
        <v/>
      </c>
      <c r="AI1006">
        <f>IF($AG1006="","",SUMIF($AG$2:$AG1006,$AG1006,$AH$2:$AH1006))</f>
        <v/>
      </c>
      <c r="AJ1006">
        <f>IF('TMP Paste'!$F1006="","",IF('TMP Paste'!$B1006="",$AJ1005,'TMP Paste'!$B1006))</f>
        <v/>
      </c>
      <c r="AK1006">
        <f>IF('TMP Paste'!$F1006="","",N('TMP Paste'!$G1006))</f>
        <v/>
      </c>
      <c r="AL1006">
        <f>IF('TMP Paste'!$F1006="","",IF('TMP Paste'!$M1006="",$AL1005,'TMP Paste'!$M1006))</f>
        <v/>
      </c>
      <c r="AM1006">
        <f>IF('TMP Paste'!$F1006="","",IF('TMP Paste'!$N1006="",$AM1005,'TMP Paste'!$N1006))</f>
        <v/>
      </c>
      <c r="AN1006">
        <f>IF('TMP Paste'!$F1006="","",IF('TMP Paste'!$O1006="",$AN1005,'TMP Paste'!$O1006))</f>
        <v/>
      </c>
      <c r="AO1006">
        <f>IF('TMP Paste'!$F1006="","",IF('TMP Paste'!$P1006="",$AO1005,'TMP Paste'!$P1006))</f>
        <v/>
      </c>
      <c r="AP1006">
        <f>IF($AG1006="","",LEN($R1006))</f>
        <v/>
      </c>
      <c r="AQ1006">
        <f>IF($AG1006="","",TRIM(IF(COUNTIFS(Calc!$B$2:$B$1601,ROW()-1,Calc!$C$2:$C$1601,"&lt;1")&gt;0,"Ada PO tanpa Koli - cek TMP. ","")&amp;IF(LEN($R1006)&gt;500,"R &gt; 500 karakter.","")))</f>
        <v/>
      </c>
    </row>
    <row r="1007">
      <c r="A1007">
        <f>IF($AG1007="","",INDEX('TMP Paste'!$B$2:$B$1601,$AG1007))</f>
        <v/>
      </c>
      <c r="B1007">
        <f>IF($AG1007="","",Config!$B$14)</f>
        <v/>
      </c>
      <c r="C1007">
        <f>IF($AG1007="","",Config!$B$15)</f>
        <v/>
      </c>
      <c r="D1007">
        <f>IF($AG1007="","",INDEX('TMP Paste'!$B$2:$B$1601,$AG1007))</f>
        <v/>
      </c>
      <c r="E1007">
        <f>IF($AG1007="","",Config!$B$27)</f>
        <v/>
      </c>
      <c r="F1007">
        <f>IF($AG1007="","",Config!$B$9)</f>
        <v/>
      </c>
      <c r="G1007">
        <f>IF($AG1007="","",Config!$B$10)</f>
        <v/>
      </c>
      <c r="H1007">
        <f>IF($AG1007="","",Config!$B$11)</f>
        <v/>
      </c>
      <c r="I1007">
        <f>IF($AG1007="","",Config!$B$16)</f>
        <v/>
      </c>
      <c r="J1007">
        <f>IF($AG1007="","",INDEX('TMP Paste'!$A$2:$A$1601,$AG1007))</f>
        <v/>
      </c>
      <c r="K1007">
        <f>IF($AG1007="","",INDEX('TMP Paste'!$L$2:$L$1601,$AG1007))</f>
        <v/>
      </c>
      <c r="L1007">
        <f>IF($AG1007="","",INDEX('TMP Paste'!$I$2:$I$1601,$AG1007))</f>
        <v/>
      </c>
      <c r="M1007">
        <f>IF($AG1007="","",Config!$B$16)</f>
        <v/>
      </c>
      <c r="N1007">
        <f>IF($AG1007="","","")</f>
        <v/>
      </c>
      <c r="O1007">
        <f>IF($AG1007="","",INDEX('TMP Paste'!$K$2:$K$1601,$AG1007))</f>
        <v/>
      </c>
      <c r="P1007">
        <f>IF($AG1007="","","")</f>
        <v/>
      </c>
      <c r="Q1007">
        <f>IF($AG1007="","",INDEX('TMP Paste'!$J$2:$J$1601,$AG1007))</f>
        <v/>
      </c>
      <c r="R1007">
        <f>IF($AG1007="","",Config!$B$24)</f>
        <v/>
      </c>
      <c r="S1007">
        <f>IF($AG1007="","",TEXT(Config!$B$4,"yyyy-mm-dd"))</f>
        <v/>
      </c>
      <c r="T1007">
        <f>IF($AG1007="","",Config!$B$17)</f>
        <v/>
      </c>
      <c r="U1007">
        <f>IF($AG1007="","",Config!$B$18)</f>
        <v/>
      </c>
      <c r="V1007">
        <f>IF($AG1007="","",Config!$B$19)</f>
        <v/>
      </c>
      <c r="W1007">
        <f>IF($AG1007="","",INDEX('TMP Paste'!$C$2:$C$1601,$AG1007))</f>
        <v/>
      </c>
      <c r="X1007">
        <f>IF($AG1007="","",Config!$B$29)</f>
        <v/>
      </c>
      <c r="Y1007">
        <f>IF($AH1007="","",INDEX(Calc!$I$2:$I$1601,$AH1007)&amp;" - "&amp;INDEX(Calc!$D$2:$D$1601,$AH1007)&amp;" koli")</f>
        <v/>
      </c>
      <c r="Z1007">
        <f>IF($AG1007="","",Config!$B$21)</f>
        <v/>
      </c>
      <c r="AA1007">
        <f>IF($AG1007="","",Config!$B$22)</f>
        <v/>
      </c>
      <c r="AB1007">
        <f>IF($AH1007="","",INDEX(Calc!$D$2:$D$1601,$AH1007))</f>
        <v/>
      </c>
      <c r="AC1007">
        <f>IF($AH1007="","",INDEX(Calc!$G$2:$G$1601,$AH1007))</f>
        <v/>
      </c>
      <c r="AD1007">
        <f>IF($AG1007="","",Config!$B$23)</f>
        <v/>
      </c>
      <c r="AE1007">
        <f>IF($AG1007="","",Config!$B$28)</f>
        <v/>
      </c>
      <c r="AG1007">
        <f>IFERROR(MATCH(ROW()-1,Calc!$J$2:$J$1601,0),"")</f>
        <v/>
      </c>
      <c r="AH1007">
        <f>IFERROR(MATCH(ROW()-1,Calc!$K$2:$K$1601,0),"")</f>
        <v/>
      </c>
      <c r="AI1007">
        <f>IF($AG1007="","",SUMIF($AG$2:$AG1007,$AG1007,$AH$2:$AH1007))</f>
        <v/>
      </c>
      <c r="AJ1007">
        <f>IF('TMP Paste'!$F1007="","",IF('TMP Paste'!$B1007="",$AJ1006,'TMP Paste'!$B1007))</f>
        <v/>
      </c>
      <c r="AK1007">
        <f>IF('TMP Paste'!$F1007="","",N('TMP Paste'!$G1007))</f>
        <v/>
      </c>
      <c r="AL1007">
        <f>IF('TMP Paste'!$F1007="","",IF('TMP Paste'!$M1007="",$AL1006,'TMP Paste'!$M1007))</f>
        <v/>
      </c>
      <c r="AM1007">
        <f>IF('TMP Paste'!$F1007="","",IF('TMP Paste'!$N1007="",$AM1006,'TMP Paste'!$N1007))</f>
        <v/>
      </c>
      <c r="AN1007">
        <f>IF('TMP Paste'!$F1007="","",IF('TMP Paste'!$O1007="",$AN1006,'TMP Paste'!$O1007))</f>
        <v/>
      </c>
      <c r="AO1007">
        <f>IF('TMP Paste'!$F1007="","",IF('TMP Paste'!$P1007="",$AO1006,'TMP Paste'!$P1007))</f>
        <v/>
      </c>
      <c r="AP1007">
        <f>IF($AG1007="","",LEN($R1007))</f>
        <v/>
      </c>
      <c r="AQ1007">
        <f>IF($AG1007="","",TRIM(IF(COUNTIFS(Calc!$B$2:$B$1601,ROW()-1,Calc!$C$2:$C$1601,"&lt;1")&gt;0,"Ada PO tanpa Koli - cek TMP. ","")&amp;IF(LEN($R1007)&gt;500,"R &gt; 500 karakter.","")))</f>
        <v/>
      </c>
    </row>
    <row r="1008">
      <c r="A1008">
        <f>IF($AG1008="","",INDEX('TMP Paste'!$B$2:$B$1601,$AG1008))</f>
        <v/>
      </c>
      <c r="B1008">
        <f>IF($AG1008="","",Config!$B$14)</f>
        <v/>
      </c>
      <c r="C1008">
        <f>IF($AG1008="","",Config!$B$15)</f>
        <v/>
      </c>
      <c r="D1008">
        <f>IF($AG1008="","",INDEX('TMP Paste'!$B$2:$B$1601,$AG1008))</f>
        <v/>
      </c>
      <c r="E1008">
        <f>IF($AG1008="","",Config!$B$27)</f>
        <v/>
      </c>
      <c r="F1008">
        <f>IF($AG1008="","",Config!$B$9)</f>
        <v/>
      </c>
      <c r="G1008">
        <f>IF($AG1008="","",Config!$B$10)</f>
        <v/>
      </c>
      <c r="H1008">
        <f>IF($AG1008="","",Config!$B$11)</f>
        <v/>
      </c>
      <c r="I1008">
        <f>IF($AG1008="","",Config!$B$16)</f>
        <v/>
      </c>
      <c r="J1008">
        <f>IF($AG1008="","",INDEX('TMP Paste'!$A$2:$A$1601,$AG1008))</f>
        <v/>
      </c>
      <c r="K1008">
        <f>IF($AG1008="","",INDEX('TMP Paste'!$L$2:$L$1601,$AG1008))</f>
        <v/>
      </c>
      <c r="L1008">
        <f>IF($AG1008="","",INDEX('TMP Paste'!$I$2:$I$1601,$AG1008))</f>
        <v/>
      </c>
      <c r="M1008">
        <f>IF($AG1008="","",Config!$B$16)</f>
        <v/>
      </c>
      <c r="N1008">
        <f>IF($AG1008="","","")</f>
        <v/>
      </c>
      <c r="O1008">
        <f>IF($AG1008="","",INDEX('TMP Paste'!$K$2:$K$1601,$AG1008))</f>
        <v/>
      </c>
      <c r="P1008">
        <f>IF($AG1008="","","")</f>
        <v/>
      </c>
      <c r="Q1008">
        <f>IF($AG1008="","",INDEX('TMP Paste'!$J$2:$J$1601,$AG1008))</f>
        <v/>
      </c>
      <c r="R1008">
        <f>IF($AG1008="","",Config!$B$24)</f>
        <v/>
      </c>
      <c r="S1008">
        <f>IF($AG1008="","",TEXT(Config!$B$4,"yyyy-mm-dd"))</f>
        <v/>
      </c>
      <c r="T1008">
        <f>IF($AG1008="","",Config!$B$17)</f>
        <v/>
      </c>
      <c r="U1008">
        <f>IF($AG1008="","",Config!$B$18)</f>
        <v/>
      </c>
      <c r="V1008">
        <f>IF($AG1008="","",Config!$B$19)</f>
        <v/>
      </c>
      <c r="W1008">
        <f>IF($AG1008="","",INDEX('TMP Paste'!$C$2:$C$1601,$AG1008))</f>
        <v/>
      </c>
      <c r="X1008">
        <f>IF($AG1008="","",Config!$B$29)</f>
        <v/>
      </c>
      <c r="Y1008">
        <f>IF($AH1008="","",INDEX(Calc!$I$2:$I$1601,$AH1008)&amp;" - "&amp;INDEX(Calc!$D$2:$D$1601,$AH1008)&amp;" koli")</f>
        <v/>
      </c>
      <c r="Z1008">
        <f>IF($AG1008="","",Config!$B$21)</f>
        <v/>
      </c>
      <c r="AA1008">
        <f>IF($AG1008="","",Config!$B$22)</f>
        <v/>
      </c>
      <c r="AB1008">
        <f>IF($AH1008="","",INDEX(Calc!$D$2:$D$1601,$AH1008))</f>
        <v/>
      </c>
      <c r="AC1008">
        <f>IF($AH1008="","",INDEX(Calc!$G$2:$G$1601,$AH1008))</f>
        <v/>
      </c>
      <c r="AD1008">
        <f>IF($AG1008="","",Config!$B$23)</f>
        <v/>
      </c>
      <c r="AE1008">
        <f>IF($AG1008="","",Config!$B$28)</f>
        <v/>
      </c>
      <c r="AG1008">
        <f>IFERROR(MATCH(ROW()-1,Calc!$J$2:$J$1601,0),"")</f>
        <v/>
      </c>
      <c r="AH1008">
        <f>IFERROR(MATCH(ROW()-1,Calc!$K$2:$K$1601,0),"")</f>
        <v/>
      </c>
      <c r="AI1008">
        <f>IF($AG1008="","",SUMIF($AG$2:$AG1008,$AG1008,$AH$2:$AH1008))</f>
        <v/>
      </c>
      <c r="AJ1008">
        <f>IF('TMP Paste'!$F1008="","",IF('TMP Paste'!$B1008="",$AJ1007,'TMP Paste'!$B1008))</f>
        <v/>
      </c>
      <c r="AK1008">
        <f>IF('TMP Paste'!$F1008="","",N('TMP Paste'!$G1008))</f>
        <v/>
      </c>
      <c r="AL1008">
        <f>IF('TMP Paste'!$F1008="","",IF('TMP Paste'!$M1008="",$AL1007,'TMP Paste'!$M1008))</f>
        <v/>
      </c>
      <c r="AM1008">
        <f>IF('TMP Paste'!$F1008="","",IF('TMP Paste'!$N1008="",$AM1007,'TMP Paste'!$N1008))</f>
        <v/>
      </c>
      <c r="AN1008">
        <f>IF('TMP Paste'!$F1008="","",IF('TMP Paste'!$O1008="",$AN1007,'TMP Paste'!$O1008))</f>
        <v/>
      </c>
      <c r="AO1008">
        <f>IF('TMP Paste'!$F1008="","",IF('TMP Paste'!$P1008="",$AO1007,'TMP Paste'!$P1008))</f>
        <v/>
      </c>
      <c r="AP1008">
        <f>IF($AG1008="","",LEN($R1008))</f>
        <v/>
      </c>
      <c r="AQ1008">
        <f>IF($AG1008="","",TRIM(IF(COUNTIFS(Calc!$B$2:$B$1601,ROW()-1,Calc!$C$2:$C$1601,"&lt;1")&gt;0,"Ada PO tanpa Koli - cek TMP. ","")&amp;IF(LEN($R1008)&gt;500,"R &gt; 500 karakter.","")))</f>
        <v/>
      </c>
    </row>
    <row r="1009">
      <c r="A1009">
        <f>IF($AG1009="","",INDEX('TMP Paste'!$B$2:$B$1601,$AG1009))</f>
        <v/>
      </c>
      <c r="B1009">
        <f>IF($AG1009="","",Config!$B$14)</f>
        <v/>
      </c>
      <c r="C1009">
        <f>IF($AG1009="","",Config!$B$15)</f>
        <v/>
      </c>
      <c r="D1009">
        <f>IF($AG1009="","",INDEX('TMP Paste'!$B$2:$B$1601,$AG1009))</f>
        <v/>
      </c>
      <c r="E1009">
        <f>IF($AG1009="","",Config!$B$27)</f>
        <v/>
      </c>
      <c r="F1009">
        <f>IF($AG1009="","",Config!$B$9)</f>
        <v/>
      </c>
      <c r="G1009">
        <f>IF($AG1009="","",Config!$B$10)</f>
        <v/>
      </c>
      <c r="H1009">
        <f>IF($AG1009="","",Config!$B$11)</f>
        <v/>
      </c>
      <c r="I1009">
        <f>IF($AG1009="","",Config!$B$16)</f>
        <v/>
      </c>
      <c r="J1009">
        <f>IF($AG1009="","",INDEX('TMP Paste'!$A$2:$A$1601,$AG1009))</f>
        <v/>
      </c>
      <c r="K1009">
        <f>IF($AG1009="","",INDEX('TMP Paste'!$L$2:$L$1601,$AG1009))</f>
        <v/>
      </c>
      <c r="L1009">
        <f>IF($AG1009="","",INDEX('TMP Paste'!$I$2:$I$1601,$AG1009))</f>
        <v/>
      </c>
      <c r="M1009">
        <f>IF($AG1009="","",Config!$B$16)</f>
        <v/>
      </c>
      <c r="N1009">
        <f>IF($AG1009="","","")</f>
        <v/>
      </c>
      <c r="O1009">
        <f>IF($AG1009="","",INDEX('TMP Paste'!$K$2:$K$1601,$AG1009))</f>
        <v/>
      </c>
      <c r="P1009">
        <f>IF($AG1009="","","")</f>
        <v/>
      </c>
      <c r="Q1009">
        <f>IF($AG1009="","",INDEX('TMP Paste'!$J$2:$J$1601,$AG1009))</f>
        <v/>
      </c>
      <c r="R1009">
        <f>IF($AG1009="","",Config!$B$24)</f>
        <v/>
      </c>
      <c r="S1009">
        <f>IF($AG1009="","",TEXT(Config!$B$4,"yyyy-mm-dd"))</f>
        <v/>
      </c>
      <c r="T1009">
        <f>IF($AG1009="","",Config!$B$17)</f>
        <v/>
      </c>
      <c r="U1009">
        <f>IF($AG1009="","",Config!$B$18)</f>
        <v/>
      </c>
      <c r="V1009">
        <f>IF($AG1009="","",Config!$B$19)</f>
        <v/>
      </c>
      <c r="W1009">
        <f>IF($AG1009="","",INDEX('TMP Paste'!$C$2:$C$1601,$AG1009))</f>
        <v/>
      </c>
      <c r="X1009">
        <f>IF($AG1009="","",Config!$B$29)</f>
        <v/>
      </c>
      <c r="Y1009">
        <f>IF($AH1009="","",INDEX(Calc!$I$2:$I$1601,$AH1009)&amp;" - "&amp;INDEX(Calc!$D$2:$D$1601,$AH1009)&amp;" koli")</f>
        <v/>
      </c>
      <c r="Z1009">
        <f>IF($AG1009="","",Config!$B$21)</f>
        <v/>
      </c>
      <c r="AA1009">
        <f>IF($AG1009="","",Config!$B$22)</f>
        <v/>
      </c>
      <c r="AB1009">
        <f>IF($AH1009="","",INDEX(Calc!$D$2:$D$1601,$AH1009))</f>
        <v/>
      </c>
      <c r="AC1009">
        <f>IF($AH1009="","",INDEX(Calc!$G$2:$G$1601,$AH1009))</f>
        <v/>
      </c>
      <c r="AD1009">
        <f>IF($AG1009="","",Config!$B$23)</f>
        <v/>
      </c>
      <c r="AE1009">
        <f>IF($AG1009="","",Config!$B$28)</f>
        <v/>
      </c>
      <c r="AG1009">
        <f>IFERROR(MATCH(ROW()-1,Calc!$J$2:$J$1601,0),"")</f>
        <v/>
      </c>
      <c r="AH1009">
        <f>IFERROR(MATCH(ROW()-1,Calc!$K$2:$K$1601,0),"")</f>
        <v/>
      </c>
      <c r="AI1009">
        <f>IF($AG1009="","",SUMIF($AG$2:$AG1009,$AG1009,$AH$2:$AH1009))</f>
        <v/>
      </c>
      <c r="AJ1009">
        <f>IF('TMP Paste'!$F1009="","",IF('TMP Paste'!$B1009="",$AJ1008,'TMP Paste'!$B1009))</f>
        <v/>
      </c>
      <c r="AK1009">
        <f>IF('TMP Paste'!$F1009="","",N('TMP Paste'!$G1009))</f>
        <v/>
      </c>
      <c r="AL1009">
        <f>IF('TMP Paste'!$F1009="","",IF('TMP Paste'!$M1009="",$AL1008,'TMP Paste'!$M1009))</f>
        <v/>
      </c>
      <c r="AM1009">
        <f>IF('TMP Paste'!$F1009="","",IF('TMP Paste'!$N1009="",$AM1008,'TMP Paste'!$N1009))</f>
        <v/>
      </c>
      <c r="AN1009">
        <f>IF('TMP Paste'!$F1009="","",IF('TMP Paste'!$O1009="",$AN1008,'TMP Paste'!$O1009))</f>
        <v/>
      </c>
      <c r="AO1009">
        <f>IF('TMP Paste'!$F1009="","",IF('TMP Paste'!$P1009="",$AO1008,'TMP Paste'!$P1009))</f>
        <v/>
      </c>
      <c r="AP1009">
        <f>IF($AG1009="","",LEN($R1009))</f>
        <v/>
      </c>
      <c r="AQ1009">
        <f>IF($AG1009="","",TRIM(IF(COUNTIFS(Calc!$B$2:$B$1601,ROW()-1,Calc!$C$2:$C$1601,"&lt;1")&gt;0,"Ada PO tanpa Koli - cek TMP. ","")&amp;IF(LEN($R1009)&gt;500,"R &gt; 500 karakter.","")))</f>
        <v/>
      </c>
    </row>
    <row r="1010">
      <c r="A1010">
        <f>IF($AG1010="","",INDEX('TMP Paste'!$B$2:$B$1601,$AG1010))</f>
        <v/>
      </c>
      <c r="B1010">
        <f>IF($AG1010="","",Config!$B$14)</f>
        <v/>
      </c>
      <c r="C1010">
        <f>IF($AG1010="","",Config!$B$15)</f>
        <v/>
      </c>
      <c r="D1010">
        <f>IF($AG1010="","",INDEX('TMP Paste'!$B$2:$B$1601,$AG1010))</f>
        <v/>
      </c>
      <c r="E1010">
        <f>IF($AG1010="","",Config!$B$27)</f>
        <v/>
      </c>
      <c r="F1010">
        <f>IF($AG1010="","",Config!$B$9)</f>
        <v/>
      </c>
      <c r="G1010">
        <f>IF($AG1010="","",Config!$B$10)</f>
        <v/>
      </c>
      <c r="H1010">
        <f>IF($AG1010="","",Config!$B$11)</f>
        <v/>
      </c>
      <c r="I1010">
        <f>IF($AG1010="","",Config!$B$16)</f>
        <v/>
      </c>
      <c r="J1010">
        <f>IF($AG1010="","",INDEX('TMP Paste'!$A$2:$A$1601,$AG1010))</f>
        <v/>
      </c>
      <c r="K1010">
        <f>IF($AG1010="","",INDEX('TMP Paste'!$L$2:$L$1601,$AG1010))</f>
        <v/>
      </c>
      <c r="L1010">
        <f>IF($AG1010="","",INDEX('TMP Paste'!$I$2:$I$1601,$AG1010))</f>
        <v/>
      </c>
      <c r="M1010">
        <f>IF($AG1010="","",Config!$B$16)</f>
        <v/>
      </c>
      <c r="N1010">
        <f>IF($AG1010="","","")</f>
        <v/>
      </c>
      <c r="O1010">
        <f>IF($AG1010="","",INDEX('TMP Paste'!$K$2:$K$1601,$AG1010))</f>
        <v/>
      </c>
      <c r="P1010">
        <f>IF($AG1010="","","")</f>
        <v/>
      </c>
      <c r="Q1010">
        <f>IF($AG1010="","",INDEX('TMP Paste'!$J$2:$J$1601,$AG1010))</f>
        <v/>
      </c>
      <c r="R1010">
        <f>IF($AG1010="","",Config!$B$24)</f>
        <v/>
      </c>
      <c r="S1010">
        <f>IF($AG1010="","",TEXT(Config!$B$4,"yyyy-mm-dd"))</f>
        <v/>
      </c>
      <c r="T1010">
        <f>IF($AG1010="","",Config!$B$17)</f>
        <v/>
      </c>
      <c r="U1010">
        <f>IF($AG1010="","",Config!$B$18)</f>
        <v/>
      </c>
      <c r="V1010">
        <f>IF($AG1010="","",Config!$B$19)</f>
        <v/>
      </c>
      <c r="W1010">
        <f>IF($AG1010="","",INDEX('TMP Paste'!$C$2:$C$1601,$AG1010))</f>
        <v/>
      </c>
      <c r="X1010">
        <f>IF($AG1010="","",Config!$B$29)</f>
        <v/>
      </c>
      <c r="Y1010">
        <f>IF($AH1010="","",INDEX(Calc!$I$2:$I$1601,$AH1010)&amp;" - "&amp;INDEX(Calc!$D$2:$D$1601,$AH1010)&amp;" koli")</f>
        <v/>
      </c>
      <c r="Z1010">
        <f>IF($AG1010="","",Config!$B$21)</f>
        <v/>
      </c>
      <c r="AA1010">
        <f>IF($AG1010="","",Config!$B$22)</f>
        <v/>
      </c>
      <c r="AB1010">
        <f>IF($AH1010="","",INDEX(Calc!$D$2:$D$1601,$AH1010))</f>
        <v/>
      </c>
      <c r="AC1010">
        <f>IF($AH1010="","",INDEX(Calc!$G$2:$G$1601,$AH1010))</f>
        <v/>
      </c>
      <c r="AD1010">
        <f>IF($AG1010="","",Config!$B$23)</f>
        <v/>
      </c>
      <c r="AE1010">
        <f>IF($AG1010="","",Config!$B$28)</f>
        <v/>
      </c>
      <c r="AG1010">
        <f>IFERROR(MATCH(ROW()-1,Calc!$J$2:$J$1601,0),"")</f>
        <v/>
      </c>
      <c r="AH1010">
        <f>IFERROR(MATCH(ROW()-1,Calc!$K$2:$K$1601,0),"")</f>
        <v/>
      </c>
      <c r="AI1010">
        <f>IF($AG1010="","",SUMIF($AG$2:$AG1010,$AG1010,$AH$2:$AH1010))</f>
        <v/>
      </c>
      <c r="AJ1010">
        <f>IF('TMP Paste'!$F1010="","",IF('TMP Paste'!$B1010="",$AJ1009,'TMP Paste'!$B1010))</f>
        <v/>
      </c>
      <c r="AK1010">
        <f>IF('TMP Paste'!$F1010="","",N('TMP Paste'!$G1010))</f>
        <v/>
      </c>
      <c r="AL1010">
        <f>IF('TMP Paste'!$F1010="","",IF('TMP Paste'!$M1010="",$AL1009,'TMP Paste'!$M1010))</f>
        <v/>
      </c>
      <c r="AM1010">
        <f>IF('TMP Paste'!$F1010="","",IF('TMP Paste'!$N1010="",$AM1009,'TMP Paste'!$N1010))</f>
        <v/>
      </c>
      <c r="AN1010">
        <f>IF('TMP Paste'!$F1010="","",IF('TMP Paste'!$O1010="",$AN1009,'TMP Paste'!$O1010))</f>
        <v/>
      </c>
      <c r="AO1010">
        <f>IF('TMP Paste'!$F1010="","",IF('TMP Paste'!$P1010="",$AO1009,'TMP Paste'!$P1010))</f>
        <v/>
      </c>
      <c r="AP1010">
        <f>IF($AG1010="","",LEN($R1010))</f>
        <v/>
      </c>
      <c r="AQ1010">
        <f>IF($AG1010="","",TRIM(IF(COUNTIFS(Calc!$B$2:$B$1601,ROW()-1,Calc!$C$2:$C$1601,"&lt;1")&gt;0,"Ada PO tanpa Koli - cek TMP. ","")&amp;IF(LEN($R1010)&gt;500,"R &gt; 500 karakter.","")))</f>
        <v/>
      </c>
    </row>
    <row r="1011">
      <c r="A1011">
        <f>IF($AG1011="","",INDEX('TMP Paste'!$B$2:$B$1601,$AG1011))</f>
        <v/>
      </c>
      <c r="B1011">
        <f>IF($AG1011="","",Config!$B$14)</f>
        <v/>
      </c>
      <c r="C1011">
        <f>IF($AG1011="","",Config!$B$15)</f>
        <v/>
      </c>
      <c r="D1011">
        <f>IF($AG1011="","",INDEX('TMP Paste'!$B$2:$B$1601,$AG1011))</f>
        <v/>
      </c>
      <c r="E1011">
        <f>IF($AG1011="","",Config!$B$27)</f>
        <v/>
      </c>
      <c r="F1011">
        <f>IF($AG1011="","",Config!$B$9)</f>
        <v/>
      </c>
      <c r="G1011">
        <f>IF($AG1011="","",Config!$B$10)</f>
        <v/>
      </c>
      <c r="H1011">
        <f>IF($AG1011="","",Config!$B$11)</f>
        <v/>
      </c>
      <c r="I1011">
        <f>IF($AG1011="","",Config!$B$16)</f>
        <v/>
      </c>
      <c r="J1011">
        <f>IF($AG1011="","",INDEX('TMP Paste'!$A$2:$A$1601,$AG1011))</f>
        <v/>
      </c>
      <c r="K1011">
        <f>IF($AG1011="","",INDEX('TMP Paste'!$L$2:$L$1601,$AG1011))</f>
        <v/>
      </c>
      <c r="L1011">
        <f>IF($AG1011="","",INDEX('TMP Paste'!$I$2:$I$1601,$AG1011))</f>
        <v/>
      </c>
      <c r="M1011">
        <f>IF($AG1011="","",Config!$B$16)</f>
        <v/>
      </c>
      <c r="N1011">
        <f>IF($AG1011="","","")</f>
        <v/>
      </c>
      <c r="O1011">
        <f>IF($AG1011="","",INDEX('TMP Paste'!$K$2:$K$1601,$AG1011))</f>
        <v/>
      </c>
      <c r="P1011">
        <f>IF($AG1011="","","")</f>
        <v/>
      </c>
      <c r="Q1011">
        <f>IF($AG1011="","",INDEX('TMP Paste'!$J$2:$J$1601,$AG1011))</f>
        <v/>
      </c>
      <c r="R1011">
        <f>IF($AG1011="","",Config!$B$24)</f>
        <v/>
      </c>
      <c r="S1011">
        <f>IF($AG1011="","",TEXT(Config!$B$4,"yyyy-mm-dd"))</f>
        <v/>
      </c>
      <c r="T1011">
        <f>IF($AG1011="","",Config!$B$17)</f>
        <v/>
      </c>
      <c r="U1011">
        <f>IF($AG1011="","",Config!$B$18)</f>
        <v/>
      </c>
      <c r="V1011">
        <f>IF($AG1011="","",Config!$B$19)</f>
        <v/>
      </c>
      <c r="W1011">
        <f>IF($AG1011="","",INDEX('TMP Paste'!$C$2:$C$1601,$AG1011))</f>
        <v/>
      </c>
      <c r="X1011">
        <f>IF($AG1011="","",Config!$B$29)</f>
        <v/>
      </c>
      <c r="Y1011">
        <f>IF($AH1011="","",INDEX(Calc!$I$2:$I$1601,$AH1011)&amp;" - "&amp;INDEX(Calc!$D$2:$D$1601,$AH1011)&amp;" koli")</f>
        <v/>
      </c>
      <c r="Z1011">
        <f>IF($AG1011="","",Config!$B$21)</f>
        <v/>
      </c>
      <c r="AA1011">
        <f>IF($AG1011="","",Config!$B$22)</f>
        <v/>
      </c>
      <c r="AB1011">
        <f>IF($AH1011="","",INDEX(Calc!$D$2:$D$1601,$AH1011))</f>
        <v/>
      </c>
      <c r="AC1011">
        <f>IF($AH1011="","",INDEX(Calc!$G$2:$G$1601,$AH1011))</f>
        <v/>
      </c>
      <c r="AD1011">
        <f>IF($AG1011="","",Config!$B$23)</f>
        <v/>
      </c>
      <c r="AE1011">
        <f>IF($AG1011="","",Config!$B$28)</f>
        <v/>
      </c>
      <c r="AG1011">
        <f>IFERROR(MATCH(ROW()-1,Calc!$J$2:$J$1601,0),"")</f>
        <v/>
      </c>
      <c r="AH1011">
        <f>IFERROR(MATCH(ROW()-1,Calc!$K$2:$K$1601,0),"")</f>
        <v/>
      </c>
      <c r="AI1011">
        <f>IF($AG1011="","",SUMIF($AG$2:$AG1011,$AG1011,$AH$2:$AH1011))</f>
        <v/>
      </c>
      <c r="AJ1011">
        <f>IF('TMP Paste'!$F1011="","",IF('TMP Paste'!$B1011="",$AJ1010,'TMP Paste'!$B1011))</f>
        <v/>
      </c>
      <c r="AK1011">
        <f>IF('TMP Paste'!$F1011="","",N('TMP Paste'!$G1011))</f>
        <v/>
      </c>
      <c r="AL1011">
        <f>IF('TMP Paste'!$F1011="","",IF('TMP Paste'!$M1011="",$AL1010,'TMP Paste'!$M1011))</f>
        <v/>
      </c>
      <c r="AM1011">
        <f>IF('TMP Paste'!$F1011="","",IF('TMP Paste'!$N1011="",$AM1010,'TMP Paste'!$N1011))</f>
        <v/>
      </c>
      <c r="AN1011">
        <f>IF('TMP Paste'!$F1011="","",IF('TMP Paste'!$O1011="",$AN1010,'TMP Paste'!$O1011))</f>
        <v/>
      </c>
      <c r="AO1011">
        <f>IF('TMP Paste'!$F1011="","",IF('TMP Paste'!$P1011="",$AO1010,'TMP Paste'!$P1011))</f>
        <v/>
      </c>
      <c r="AP1011">
        <f>IF($AG1011="","",LEN($R1011))</f>
        <v/>
      </c>
      <c r="AQ1011">
        <f>IF($AG1011="","",TRIM(IF(COUNTIFS(Calc!$B$2:$B$1601,ROW()-1,Calc!$C$2:$C$1601,"&lt;1")&gt;0,"Ada PO tanpa Koli - cek TMP. ","")&amp;IF(LEN($R1011)&gt;500,"R &gt; 500 karakter.","")))</f>
        <v/>
      </c>
    </row>
    <row r="1012">
      <c r="A1012">
        <f>IF($AG1012="","",INDEX('TMP Paste'!$B$2:$B$1601,$AG1012))</f>
        <v/>
      </c>
      <c r="B1012">
        <f>IF($AG1012="","",Config!$B$14)</f>
        <v/>
      </c>
      <c r="C1012">
        <f>IF($AG1012="","",Config!$B$15)</f>
        <v/>
      </c>
      <c r="D1012">
        <f>IF($AG1012="","",INDEX('TMP Paste'!$B$2:$B$1601,$AG1012))</f>
        <v/>
      </c>
      <c r="E1012">
        <f>IF($AG1012="","",Config!$B$27)</f>
        <v/>
      </c>
      <c r="F1012">
        <f>IF($AG1012="","",Config!$B$9)</f>
        <v/>
      </c>
      <c r="G1012">
        <f>IF($AG1012="","",Config!$B$10)</f>
        <v/>
      </c>
      <c r="H1012">
        <f>IF($AG1012="","",Config!$B$11)</f>
        <v/>
      </c>
      <c r="I1012">
        <f>IF($AG1012="","",Config!$B$16)</f>
        <v/>
      </c>
      <c r="J1012">
        <f>IF($AG1012="","",INDEX('TMP Paste'!$A$2:$A$1601,$AG1012))</f>
        <v/>
      </c>
      <c r="K1012">
        <f>IF($AG1012="","",INDEX('TMP Paste'!$L$2:$L$1601,$AG1012))</f>
        <v/>
      </c>
      <c r="L1012">
        <f>IF($AG1012="","",INDEX('TMP Paste'!$I$2:$I$1601,$AG1012))</f>
        <v/>
      </c>
      <c r="M1012">
        <f>IF($AG1012="","",Config!$B$16)</f>
        <v/>
      </c>
      <c r="N1012">
        <f>IF($AG1012="","","")</f>
        <v/>
      </c>
      <c r="O1012">
        <f>IF($AG1012="","",INDEX('TMP Paste'!$K$2:$K$1601,$AG1012))</f>
        <v/>
      </c>
      <c r="P1012">
        <f>IF($AG1012="","","")</f>
        <v/>
      </c>
      <c r="Q1012">
        <f>IF($AG1012="","",INDEX('TMP Paste'!$J$2:$J$1601,$AG1012))</f>
        <v/>
      </c>
      <c r="R1012">
        <f>IF($AG1012="","",Config!$B$24)</f>
        <v/>
      </c>
      <c r="S1012">
        <f>IF($AG1012="","",TEXT(Config!$B$4,"yyyy-mm-dd"))</f>
        <v/>
      </c>
      <c r="T1012">
        <f>IF($AG1012="","",Config!$B$17)</f>
        <v/>
      </c>
      <c r="U1012">
        <f>IF($AG1012="","",Config!$B$18)</f>
        <v/>
      </c>
      <c r="V1012">
        <f>IF($AG1012="","",Config!$B$19)</f>
        <v/>
      </c>
      <c r="W1012">
        <f>IF($AG1012="","",INDEX('TMP Paste'!$C$2:$C$1601,$AG1012))</f>
        <v/>
      </c>
      <c r="X1012">
        <f>IF($AG1012="","",Config!$B$29)</f>
        <v/>
      </c>
      <c r="Y1012">
        <f>IF($AH1012="","",INDEX(Calc!$I$2:$I$1601,$AH1012)&amp;" - "&amp;INDEX(Calc!$D$2:$D$1601,$AH1012)&amp;" koli")</f>
        <v/>
      </c>
      <c r="Z1012">
        <f>IF($AG1012="","",Config!$B$21)</f>
        <v/>
      </c>
      <c r="AA1012">
        <f>IF($AG1012="","",Config!$B$22)</f>
        <v/>
      </c>
      <c r="AB1012">
        <f>IF($AH1012="","",INDEX(Calc!$D$2:$D$1601,$AH1012))</f>
        <v/>
      </c>
      <c r="AC1012">
        <f>IF($AH1012="","",INDEX(Calc!$G$2:$G$1601,$AH1012))</f>
        <v/>
      </c>
      <c r="AD1012">
        <f>IF($AG1012="","",Config!$B$23)</f>
        <v/>
      </c>
      <c r="AE1012">
        <f>IF($AG1012="","",Config!$B$28)</f>
        <v/>
      </c>
      <c r="AG1012">
        <f>IFERROR(MATCH(ROW()-1,Calc!$J$2:$J$1601,0),"")</f>
        <v/>
      </c>
      <c r="AH1012">
        <f>IFERROR(MATCH(ROW()-1,Calc!$K$2:$K$1601,0),"")</f>
        <v/>
      </c>
      <c r="AI1012">
        <f>IF($AG1012="","",SUMIF($AG$2:$AG1012,$AG1012,$AH$2:$AH1012))</f>
        <v/>
      </c>
      <c r="AJ1012">
        <f>IF('TMP Paste'!$F1012="","",IF('TMP Paste'!$B1012="",$AJ1011,'TMP Paste'!$B1012))</f>
        <v/>
      </c>
      <c r="AK1012">
        <f>IF('TMP Paste'!$F1012="","",N('TMP Paste'!$G1012))</f>
        <v/>
      </c>
      <c r="AL1012">
        <f>IF('TMP Paste'!$F1012="","",IF('TMP Paste'!$M1012="",$AL1011,'TMP Paste'!$M1012))</f>
        <v/>
      </c>
      <c r="AM1012">
        <f>IF('TMP Paste'!$F1012="","",IF('TMP Paste'!$N1012="",$AM1011,'TMP Paste'!$N1012))</f>
        <v/>
      </c>
      <c r="AN1012">
        <f>IF('TMP Paste'!$F1012="","",IF('TMP Paste'!$O1012="",$AN1011,'TMP Paste'!$O1012))</f>
        <v/>
      </c>
      <c r="AO1012">
        <f>IF('TMP Paste'!$F1012="","",IF('TMP Paste'!$P1012="",$AO1011,'TMP Paste'!$P1012))</f>
        <v/>
      </c>
      <c r="AP1012">
        <f>IF($AG1012="","",LEN($R1012))</f>
        <v/>
      </c>
      <c r="AQ1012">
        <f>IF($AG1012="","",TRIM(IF(COUNTIFS(Calc!$B$2:$B$1601,ROW()-1,Calc!$C$2:$C$1601,"&lt;1")&gt;0,"Ada PO tanpa Koli - cek TMP. ","")&amp;IF(LEN($R1012)&gt;500,"R &gt; 500 karakter.","")))</f>
        <v/>
      </c>
    </row>
    <row r="1013">
      <c r="A1013">
        <f>IF($AG1013="","",INDEX('TMP Paste'!$B$2:$B$1601,$AG1013))</f>
        <v/>
      </c>
      <c r="B1013">
        <f>IF($AG1013="","",Config!$B$14)</f>
        <v/>
      </c>
      <c r="C1013">
        <f>IF($AG1013="","",Config!$B$15)</f>
        <v/>
      </c>
      <c r="D1013">
        <f>IF($AG1013="","",INDEX('TMP Paste'!$B$2:$B$1601,$AG1013))</f>
        <v/>
      </c>
      <c r="E1013">
        <f>IF($AG1013="","",Config!$B$27)</f>
        <v/>
      </c>
      <c r="F1013">
        <f>IF($AG1013="","",Config!$B$9)</f>
        <v/>
      </c>
      <c r="G1013">
        <f>IF($AG1013="","",Config!$B$10)</f>
        <v/>
      </c>
      <c r="H1013">
        <f>IF($AG1013="","",Config!$B$11)</f>
        <v/>
      </c>
      <c r="I1013">
        <f>IF($AG1013="","",Config!$B$16)</f>
        <v/>
      </c>
      <c r="J1013">
        <f>IF($AG1013="","",INDEX('TMP Paste'!$A$2:$A$1601,$AG1013))</f>
        <v/>
      </c>
      <c r="K1013">
        <f>IF($AG1013="","",INDEX('TMP Paste'!$L$2:$L$1601,$AG1013))</f>
        <v/>
      </c>
      <c r="L1013">
        <f>IF($AG1013="","",INDEX('TMP Paste'!$I$2:$I$1601,$AG1013))</f>
        <v/>
      </c>
      <c r="M1013">
        <f>IF($AG1013="","",Config!$B$16)</f>
        <v/>
      </c>
      <c r="N1013">
        <f>IF($AG1013="","","")</f>
        <v/>
      </c>
      <c r="O1013">
        <f>IF($AG1013="","",INDEX('TMP Paste'!$K$2:$K$1601,$AG1013))</f>
        <v/>
      </c>
      <c r="P1013">
        <f>IF($AG1013="","","")</f>
        <v/>
      </c>
      <c r="Q1013">
        <f>IF($AG1013="","",INDEX('TMP Paste'!$J$2:$J$1601,$AG1013))</f>
        <v/>
      </c>
      <c r="R1013">
        <f>IF($AG1013="","",Config!$B$24)</f>
        <v/>
      </c>
      <c r="S1013">
        <f>IF($AG1013="","",TEXT(Config!$B$4,"yyyy-mm-dd"))</f>
        <v/>
      </c>
      <c r="T1013">
        <f>IF($AG1013="","",Config!$B$17)</f>
        <v/>
      </c>
      <c r="U1013">
        <f>IF($AG1013="","",Config!$B$18)</f>
        <v/>
      </c>
      <c r="V1013">
        <f>IF($AG1013="","",Config!$B$19)</f>
        <v/>
      </c>
      <c r="W1013">
        <f>IF($AG1013="","",INDEX('TMP Paste'!$C$2:$C$1601,$AG1013))</f>
        <v/>
      </c>
      <c r="X1013">
        <f>IF($AG1013="","",Config!$B$29)</f>
        <v/>
      </c>
      <c r="Y1013">
        <f>IF($AH1013="","",INDEX(Calc!$I$2:$I$1601,$AH1013)&amp;" - "&amp;INDEX(Calc!$D$2:$D$1601,$AH1013)&amp;" koli")</f>
        <v/>
      </c>
      <c r="Z1013">
        <f>IF($AG1013="","",Config!$B$21)</f>
        <v/>
      </c>
      <c r="AA1013">
        <f>IF($AG1013="","",Config!$B$22)</f>
        <v/>
      </c>
      <c r="AB1013">
        <f>IF($AH1013="","",INDEX(Calc!$D$2:$D$1601,$AH1013))</f>
        <v/>
      </c>
      <c r="AC1013">
        <f>IF($AH1013="","",INDEX(Calc!$G$2:$G$1601,$AH1013))</f>
        <v/>
      </c>
      <c r="AD1013">
        <f>IF($AG1013="","",Config!$B$23)</f>
        <v/>
      </c>
      <c r="AE1013">
        <f>IF($AG1013="","",Config!$B$28)</f>
        <v/>
      </c>
      <c r="AG1013">
        <f>IFERROR(MATCH(ROW()-1,Calc!$J$2:$J$1601,0),"")</f>
        <v/>
      </c>
      <c r="AH1013">
        <f>IFERROR(MATCH(ROW()-1,Calc!$K$2:$K$1601,0),"")</f>
        <v/>
      </c>
      <c r="AI1013">
        <f>IF($AG1013="","",SUMIF($AG$2:$AG1013,$AG1013,$AH$2:$AH1013))</f>
        <v/>
      </c>
      <c r="AJ1013">
        <f>IF('TMP Paste'!$F1013="","",IF('TMP Paste'!$B1013="",$AJ1012,'TMP Paste'!$B1013))</f>
        <v/>
      </c>
      <c r="AK1013">
        <f>IF('TMP Paste'!$F1013="","",N('TMP Paste'!$G1013))</f>
        <v/>
      </c>
      <c r="AL1013">
        <f>IF('TMP Paste'!$F1013="","",IF('TMP Paste'!$M1013="",$AL1012,'TMP Paste'!$M1013))</f>
        <v/>
      </c>
      <c r="AM1013">
        <f>IF('TMP Paste'!$F1013="","",IF('TMP Paste'!$N1013="",$AM1012,'TMP Paste'!$N1013))</f>
        <v/>
      </c>
      <c r="AN1013">
        <f>IF('TMP Paste'!$F1013="","",IF('TMP Paste'!$O1013="",$AN1012,'TMP Paste'!$O1013))</f>
        <v/>
      </c>
      <c r="AO1013">
        <f>IF('TMP Paste'!$F1013="","",IF('TMP Paste'!$P1013="",$AO1012,'TMP Paste'!$P1013))</f>
        <v/>
      </c>
      <c r="AP1013">
        <f>IF($AG1013="","",LEN($R1013))</f>
        <v/>
      </c>
      <c r="AQ1013">
        <f>IF($AG1013="","",TRIM(IF(COUNTIFS(Calc!$B$2:$B$1601,ROW()-1,Calc!$C$2:$C$1601,"&lt;1")&gt;0,"Ada PO tanpa Koli - cek TMP. ","")&amp;IF(LEN($R1013)&gt;500,"R &gt; 500 karakter.","")))</f>
        <v/>
      </c>
    </row>
    <row r="1014">
      <c r="A1014">
        <f>IF($AG1014="","",INDEX('TMP Paste'!$B$2:$B$1601,$AG1014))</f>
        <v/>
      </c>
      <c r="B1014">
        <f>IF($AG1014="","",Config!$B$14)</f>
        <v/>
      </c>
      <c r="C1014">
        <f>IF($AG1014="","",Config!$B$15)</f>
        <v/>
      </c>
      <c r="D1014">
        <f>IF($AG1014="","",INDEX('TMP Paste'!$B$2:$B$1601,$AG1014))</f>
        <v/>
      </c>
      <c r="E1014">
        <f>IF($AG1014="","",Config!$B$27)</f>
        <v/>
      </c>
      <c r="F1014">
        <f>IF($AG1014="","",Config!$B$9)</f>
        <v/>
      </c>
      <c r="G1014">
        <f>IF($AG1014="","",Config!$B$10)</f>
        <v/>
      </c>
      <c r="H1014">
        <f>IF($AG1014="","",Config!$B$11)</f>
        <v/>
      </c>
      <c r="I1014">
        <f>IF($AG1014="","",Config!$B$16)</f>
        <v/>
      </c>
      <c r="J1014">
        <f>IF($AG1014="","",INDEX('TMP Paste'!$A$2:$A$1601,$AG1014))</f>
        <v/>
      </c>
      <c r="K1014">
        <f>IF($AG1014="","",INDEX('TMP Paste'!$L$2:$L$1601,$AG1014))</f>
        <v/>
      </c>
      <c r="L1014">
        <f>IF($AG1014="","",INDEX('TMP Paste'!$I$2:$I$1601,$AG1014))</f>
        <v/>
      </c>
      <c r="M1014">
        <f>IF($AG1014="","",Config!$B$16)</f>
        <v/>
      </c>
      <c r="N1014">
        <f>IF($AG1014="","","")</f>
        <v/>
      </c>
      <c r="O1014">
        <f>IF($AG1014="","",INDEX('TMP Paste'!$K$2:$K$1601,$AG1014))</f>
        <v/>
      </c>
      <c r="P1014">
        <f>IF($AG1014="","","")</f>
        <v/>
      </c>
      <c r="Q1014">
        <f>IF($AG1014="","",INDEX('TMP Paste'!$J$2:$J$1601,$AG1014))</f>
        <v/>
      </c>
      <c r="R1014">
        <f>IF($AG1014="","",Config!$B$24)</f>
        <v/>
      </c>
      <c r="S1014">
        <f>IF($AG1014="","",TEXT(Config!$B$4,"yyyy-mm-dd"))</f>
        <v/>
      </c>
      <c r="T1014">
        <f>IF($AG1014="","",Config!$B$17)</f>
        <v/>
      </c>
      <c r="U1014">
        <f>IF($AG1014="","",Config!$B$18)</f>
        <v/>
      </c>
      <c r="V1014">
        <f>IF($AG1014="","",Config!$B$19)</f>
        <v/>
      </c>
      <c r="W1014">
        <f>IF($AG1014="","",INDEX('TMP Paste'!$C$2:$C$1601,$AG1014))</f>
        <v/>
      </c>
      <c r="X1014">
        <f>IF($AG1014="","",Config!$B$29)</f>
        <v/>
      </c>
      <c r="Y1014">
        <f>IF($AH1014="","",INDEX(Calc!$I$2:$I$1601,$AH1014)&amp;" - "&amp;INDEX(Calc!$D$2:$D$1601,$AH1014)&amp;" koli")</f>
        <v/>
      </c>
      <c r="Z1014">
        <f>IF($AG1014="","",Config!$B$21)</f>
        <v/>
      </c>
      <c r="AA1014">
        <f>IF($AG1014="","",Config!$B$22)</f>
        <v/>
      </c>
      <c r="AB1014">
        <f>IF($AH1014="","",INDEX(Calc!$D$2:$D$1601,$AH1014))</f>
        <v/>
      </c>
      <c r="AC1014">
        <f>IF($AH1014="","",INDEX(Calc!$G$2:$G$1601,$AH1014))</f>
        <v/>
      </c>
      <c r="AD1014">
        <f>IF($AG1014="","",Config!$B$23)</f>
        <v/>
      </c>
      <c r="AE1014">
        <f>IF($AG1014="","",Config!$B$28)</f>
        <v/>
      </c>
      <c r="AG1014">
        <f>IFERROR(MATCH(ROW()-1,Calc!$J$2:$J$1601,0),"")</f>
        <v/>
      </c>
      <c r="AH1014">
        <f>IFERROR(MATCH(ROW()-1,Calc!$K$2:$K$1601,0),"")</f>
        <v/>
      </c>
      <c r="AI1014">
        <f>IF($AG1014="","",SUMIF($AG$2:$AG1014,$AG1014,$AH$2:$AH1014))</f>
        <v/>
      </c>
      <c r="AJ1014">
        <f>IF('TMP Paste'!$F1014="","",IF('TMP Paste'!$B1014="",$AJ1013,'TMP Paste'!$B1014))</f>
        <v/>
      </c>
      <c r="AK1014">
        <f>IF('TMP Paste'!$F1014="","",N('TMP Paste'!$G1014))</f>
        <v/>
      </c>
      <c r="AL1014">
        <f>IF('TMP Paste'!$F1014="","",IF('TMP Paste'!$M1014="",$AL1013,'TMP Paste'!$M1014))</f>
        <v/>
      </c>
      <c r="AM1014">
        <f>IF('TMP Paste'!$F1014="","",IF('TMP Paste'!$N1014="",$AM1013,'TMP Paste'!$N1014))</f>
        <v/>
      </c>
      <c r="AN1014">
        <f>IF('TMP Paste'!$F1014="","",IF('TMP Paste'!$O1014="",$AN1013,'TMP Paste'!$O1014))</f>
        <v/>
      </c>
      <c r="AO1014">
        <f>IF('TMP Paste'!$F1014="","",IF('TMP Paste'!$P1014="",$AO1013,'TMP Paste'!$P1014))</f>
        <v/>
      </c>
      <c r="AP1014">
        <f>IF($AG1014="","",LEN($R1014))</f>
        <v/>
      </c>
      <c r="AQ1014">
        <f>IF($AG1014="","",TRIM(IF(COUNTIFS(Calc!$B$2:$B$1601,ROW()-1,Calc!$C$2:$C$1601,"&lt;1")&gt;0,"Ada PO tanpa Koli - cek TMP. ","")&amp;IF(LEN($R1014)&gt;500,"R &gt; 500 karakter.","")))</f>
        <v/>
      </c>
    </row>
    <row r="1015">
      <c r="A1015">
        <f>IF($AG1015="","",INDEX('TMP Paste'!$B$2:$B$1601,$AG1015))</f>
        <v/>
      </c>
      <c r="B1015">
        <f>IF($AG1015="","",Config!$B$14)</f>
        <v/>
      </c>
      <c r="C1015">
        <f>IF($AG1015="","",Config!$B$15)</f>
        <v/>
      </c>
      <c r="D1015">
        <f>IF($AG1015="","",INDEX('TMP Paste'!$B$2:$B$1601,$AG1015))</f>
        <v/>
      </c>
      <c r="E1015">
        <f>IF($AG1015="","",Config!$B$27)</f>
        <v/>
      </c>
      <c r="F1015">
        <f>IF($AG1015="","",Config!$B$9)</f>
        <v/>
      </c>
      <c r="G1015">
        <f>IF($AG1015="","",Config!$B$10)</f>
        <v/>
      </c>
      <c r="H1015">
        <f>IF($AG1015="","",Config!$B$11)</f>
        <v/>
      </c>
      <c r="I1015">
        <f>IF($AG1015="","",Config!$B$16)</f>
        <v/>
      </c>
      <c r="J1015">
        <f>IF($AG1015="","",INDEX('TMP Paste'!$A$2:$A$1601,$AG1015))</f>
        <v/>
      </c>
      <c r="K1015">
        <f>IF($AG1015="","",INDEX('TMP Paste'!$L$2:$L$1601,$AG1015))</f>
        <v/>
      </c>
      <c r="L1015">
        <f>IF($AG1015="","",INDEX('TMP Paste'!$I$2:$I$1601,$AG1015))</f>
        <v/>
      </c>
      <c r="M1015">
        <f>IF($AG1015="","",Config!$B$16)</f>
        <v/>
      </c>
      <c r="N1015">
        <f>IF($AG1015="","","")</f>
        <v/>
      </c>
      <c r="O1015">
        <f>IF($AG1015="","",INDEX('TMP Paste'!$K$2:$K$1601,$AG1015))</f>
        <v/>
      </c>
      <c r="P1015">
        <f>IF($AG1015="","","")</f>
        <v/>
      </c>
      <c r="Q1015">
        <f>IF($AG1015="","",INDEX('TMP Paste'!$J$2:$J$1601,$AG1015))</f>
        <v/>
      </c>
      <c r="R1015">
        <f>IF($AG1015="","",Config!$B$24)</f>
        <v/>
      </c>
      <c r="S1015">
        <f>IF($AG1015="","",TEXT(Config!$B$4,"yyyy-mm-dd"))</f>
        <v/>
      </c>
      <c r="T1015">
        <f>IF($AG1015="","",Config!$B$17)</f>
        <v/>
      </c>
      <c r="U1015">
        <f>IF($AG1015="","",Config!$B$18)</f>
        <v/>
      </c>
      <c r="V1015">
        <f>IF($AG1015="","",Config!$B$19)</f>
        <v/>
      </c>
      <c r="W1015">
        <f>IF($AG1015="","",INDEX('TMP Paste'!$C$2:$C$1601,$AG1015))</f>
        <v/>
      </c>
      <c r="X1015">
        <f>IF($AG1015="","",Config!$B$29)</f>
        <v/>
      </c>
      <c r="Y1015">
        <f>IF($AH1015="","",INDEX(Calc!$I$2:$I$1601,$AH1015)&amp;" - "&amp;INDEX(Calc!$D$2:$D$1601,$AH1015)&amp;" koli")</f>
        <v/>
      </c>
      <c r="Z1015">
        <f>IF($AG1015="","",Config!$B$21)</f>
        <v/>
      </c>
      <c r="AA1015">
        <f>IF($AG1015="","",Config!$B$22)</f>
        <v/>
      </c>
      <c r="AB1015">
        <f>IF($AH1015="","",INDEX(Calc!$D$2:$D$1601,$AH1015))</f>
        <v/>
      </c>
      <c r="AC1015">
        <f>IF($AH1015="","",INDEX(Calc!$G$2:$G$1601,$AH1015))</f>
        <v/>
      </c>
      <c r="AD1015">
        <f>IF($AG1015="","",Config!$B$23)</f>
        <v/>
      </c>
      <c r="AE1015">
        <f>IF($AG1015="","",Config!$B$28)</f>
        <v/>
      </c>
      <c r="AG1015">
        <f>IFERROR(MATCH(ROW()-1,Calc!$J$2:$J$1601,0),"")</f>
        <v/>
      </c>
      <c r="AH1015">
        <f>IFERROR(MATCH(ROW()-1,Calc!$K$2:$K$1601,0),"")</f>
        <v/>
      </c>
      <c r="AI1015">
        <f>IF($AG1015="","",SUMIF($AG$2:$AG1015,$AG1015,$AH$2:$AH1015))</f>
        <v/>
      </c>
      <c r="AJ1015">
        <f>IF('TMP Paste'!$F1015="","",IF('TMP Paste'!$B1015="",$AJ1014,'TMP Paste'!$B1015))</f>
        <v/>
      </c>
      <c r="AK1015">
        <f>IF('TMP Paste'!$F1015="","",N('TMP Paste'!$G1015))</f>
        <v/>
      </c>
      <c r="AL1015">
        <f>IF('TMP Paste'!$F1015="","",IF('TMP Paste'!$M1015="",$AL1014,'TMP Paste'!$M1015))</f>
        <v/>
      </c>
      <c r="AM1015">
        <f>IF('TMP Paste'!$F1015="","",IF('TMP Paste'!$N1015="",$AM1014,'TMP Paste'!$N1015))</f>
        <v/>
      </c>
      <c r="AN1015">
        <f>IF('TMP Paste'!$F1015="","",IF('TMP Paste'!$O1015="",$AN1014,'TMP Paste'!$O1015))</f>
        <v/>
      </c>
      <c r="AO1015">
        <f>IF('TMP Paste'!$F1015="","",IF('TMP Paste'!$P1015="",$AO1014,'TMP Paste'!$P1015))</f>
        <v/>
      </c>
      <c r="AP1015">
        <f>IF($AG1015="","",LEN($R1015))</f>
        <v/>
      </c>
      <c r="AQ1015">
        <f>IF($AG1015="","",TRIM(IF(COUNTIFS(Calc!$B$2:$B$1601,ROW()-1,Calc!$C$2:$C$1601,"&lt;1")&gt;0,"Ada PO tanpa Koli - cek TMP. ","")&amp;IF(LEN($R1015)&gt;500,"R &gt; 500 karakter.","")))</f>
        <v/>
      </c>
    </row>
    <row r="1016">
      <c r="A1016">
        <f>IF($AG1016="","",INDEX('TMP Paste'!$B$2:$B$1601,$AG1016))</f>
        <v/>
      </c>
      <c r="B1016">
        <f>IF($AG1016="","",Config!$B$14)</f>
        <v/>
      </c>
      <c r="C1016">
        <f>IF($AG1016="","",Config!$B$15)</f>
        <v/>
      </c>
      <c r="D1016">
        <f>IF($AG1016="","",INDEX('TMP Paste'!$B$2:$B$1601,$AG1016))</f>
        <v/>
      </c>
      <c r="E1016">
        <f>IF($AG1016="","",Config!$B$27)</f>
        <v/>
      </c>
      <c r="F1016">
        <f>IF($AG1016="","",Config!$B$9)</f>
        <v/>
      </c>
      <c r="G1016">
        <f>IF($AG1016="","",Config!$B$10)</f>
        <v/>
      </c>
      <c r="H1016">
        <f>IF($AG1016="","",Config!$B$11)</f>
        <v/>
      </c>
      <c r="I1016">
        <f>IF($AG1016="","",Config!$B$16)</f>
        <v/>
      </c>
      <c r="J1016">
        <f>IF($AG1016="","",INDEX('TMP Paste'!$A$2:$A$1601,$AG1016))</f>
        <v/>
      </c>
      <c r="K1016">
        <f>IF($AG1016="","",INDEX('TMP Paste'!$L$2:$L$1601,$AG1016))</f>
        <v/>
      </c>
      <c r="L1016">
        <f>IF($AG1016="","",INDEX('TMP Paste'!$I$2:$I$1601,$AG1016))</f>
        <v/>
      </c>
      <c r="M1016">
        <f>IF($AG1016="","",Config!$B$16)</f>
        <v/>
      </c>
      <c r="N1016">
        <f>IF($AG1016="","","")</f>
        <v/>
      </c>
      <c r="O1016">
        <f>IF($AG1016="","",INDEX('TMP Paste'!$K$2:$K$1601,$AG1016))</f>
        <v/>
      </c>
      <c r="P1016">
        <f>IF($AG1016="","","")</f>
        <v/>
      </c>
      <c r="Q1016">
        <f>IF($AG1016="","",INDEX('TMP Paste'!$J$2:$J$1601,$AG1016))</f>
        <v/>
      </c>
      <c r="R1016">
        <f>IF($AG1016="","",Config!$B$24)</f>
        <v/>
      </c>
      <c r="S1016">
        <f>IF($AG1016="","",TEXT(Config!$B$4,"yyyy-mm-dd"))</f>
        <v/>
      </c>
      <c r="T1016">
        <f>IF($AG1016="","",Config!$B$17)</f>
        <v/>
      </c>
      <c r="U1016">
        <f>IF($AG1016="","",Config!$B$18)</f>
        <v/>
      </c>
      <c r="V1016">
        <f>IF($AG1016="","",Config!$B$19)</f>
        <v/>
      </c>
      <c r="W1016">
        <f>IF($AG1016="","",INDEX('TMP Paste'!$C$2:$C$1601,$AG1016))</f>
        <v/>
      </c>
      <c r="X1016">
        <f>IF($AG1016="","",Config!$B$29)</f>
        <v/>
      </c>
      <c r="Y1016">
        <f>IF($AH1016="","",INDEX(Calc!$I$2:$I$1601,$AH1016)&amp;" - "&amp;INDEX(Calc!$D$2:$D$1601,$AH1016)&amp;" koli")</f>
        <v/>
      </c>
      <c r="Z1016">
        <f>IF($AG1016="","",Config!$B$21)</f>
        <v/>
      </c>
      <c r="AA1016">
        <f>IF($AG1016="","",Config!$B$22)</f>
        <v/>
      </c>
      <c r="AB1016">
        <f>IF($AH1016="","",INDEX(Calc!$D$2:$D$1601,$AH1016))</f>
        <v/>
      </c>
      <c r="AC1016">
        <f>IF($AH1016="","",INDEX(Calc!$G$2:$G$1601,$AH1016))</f>
        <v/>
      </c>
      <c r="AD1016">
        <f>IF($AG1016="","",Config!$B$23)</f>
        <v/>
      </c>
      <c r="AE1016">
        <f>IF($AG1016="","",Config!$B$28)</f>
        <v/>
      </c>
      <c r="AG1016">
        <f>IFERROR(MATCH(ROW()-1,Calc!$J$2:$J$1601,0),"")</f>
        <v/>
      </c>
      <c r="AH1016">
        <f>IFERROR(MATCH(ROW()-1,Calc!$K$2:$K$1601,0),"")</f>
        <v/>
      </c>
      <c r="AI1016">
        <f>IF($AG1016="","",SUMIF($AG$2:$AG1016,$AG1016,$AH$2:$AH1016))</f>
        <v/>
      </c>
      <c r="AJ1016">
        <f>IF('TMP Paste'!$F1016="","",IF('TMP Paste'!$B1016="",$AJ1015,'TMP Paste'!$B1016))</f>
        <v/>
      </c>
      <c r="AK1016">
        <f>IF('TMP Paste'!$F1016="","",N('TMP Paste'!$G1016))</f>
        <v/>
      </c>
      <c r="AL1016">
        <f>IF('TMP Paste'!$F1016="","",IF('TMP Paste'!$M1016="",$AL1015,'TMP Paste'!$M1016))</f>
        <v/>
      </c>
      <c r="AM1016">
        <f>IF('TMP Paste'!$F1016="","",IF('TMP Paste'!$N1016="",$AM1015,'TMP Paste'!$N1016))</f>
        <v/>
      </c>
      <c r="AN1016">
        <f>IF('TMP Paste'!$F1016="","",IF('TMP Paste'!$O1016="",$AN1015,'TMP Paste'!$O1016))</f>
        <v/>
      </c>
      <c r="AO1016">
        <f>IF('TMP Paste'!$F1016="","",IF('TMP Paste'!$P1016="",$AO1015,'TMP Paste'!$P1016))</f>
        <v/>
      </c>
      <c r="AP1016">
        <f>IF($AG1016="","",LEN($R1016))</f>
        <v/>
      </c>
      <c r="AQ1016">
        <f>IF($AG1016="","",TRIM(IF(COUNTIFS(Calc!$B$2:$B$1601,ROW()-1,Calc!$C$2:$C$1601,"&lt;1")&gt;0,"Ada PO tanpa Koli - cek TMP. ","")&amp;IF(LEN($R1016)&gt;500,"R &gt; 500 karakter.","")))</f>
        <v/>
      </c>
    </row>
    <row r="1017">
      <c r="A1017">
        <f>IF($AG1017="","",INDEX('TMP Paste'!$B$2:$B$1601,$AG1017))</f>
        <v/>
      </c>
      <c r="B1017">
        <f>IF($AG1017="","",Config!$B$14)</f>
        <v/>
      </c>
      <c r="C1017">
        <f>IF($AG1017="","",Config!$B$15)</f>
        <v/>
      </c>
      <c r="D1017">
        <f>IF($AG1017="","",INDEX('TMP Paste'!$B$2:$B$1601,$AG1017))</f>
        <v/>
      </c>
      <c r="E1017">
        <f>IF($AG1017="","",Config!$B$27)</f>
        <v/>
      </c>
      <c r="F1017">
        <f>IF($AG1017="","",Config!$B$9)</f>
        <v/>
      </c>
      <c r="G1017">
        <f>IF($AG1017="","",Config!$B$10)</f>
        <v/>
      </c>
      <c r="H1017">
        <f>IF($AG1017="","",Config!$B$11)</f>
        <v/>
      </c>
      <c r="I1017">
        <f>IF($AG1017="","",Config!$B$16)</f>
        <v/>
      </c>
      <c r="J1017">
        <f>IF($AG1017="","",INDEX('TMP Paste'!$A$2:$A$1601,$AG1017))</f>
        <v/>
      </c>
      <c r="K1017">
        <f>IF($AG1017="","",INDEX('TMP Paste'!$L$2:$L$1601,$AG1017))</f>
        <v/>
      </c>
      <c r="L1017">
        <f>IF($AG1017="","",INDEX('TMP Paste'!$I$2:$I$1601,$AG1017))</f>
        <v/>
      </c>
      <c r="M1017">
        <f>IF($AG1017="","",Config!$B$16)</f>
        <v/>
      </c>
      <c r="N1017">
        <f>IF($AG1017="","","")</f>
        <v/>
      </c>
      <c r="O1017">
        <f>IF($AG1017="","",INDEX('TMP Paste'!$K$2:$K$1601,$AG1017))</f>
        <v/>
      </c>
      <c r="P1017">
        <f>IF($AG1017="","","")</f>
        <v/>
      </c>
      <c r="Q1017">
        <f>IF($AG1017="","",INDEX('TMP Paste'!$J$2:$J$1601,$AG1017))</f>
        <v/>
      </c>
      <c r="R1017">
        <f>IF($AG1017="","",Config!$B$24)</f>
        <v/>
      </c>
      <c r="S1017">
        <f>IF($AG1017="","",TEXT(Config!$B$4,"yyyy-mm-dd"))</f>
        <v/>
      </c>
      <c r="T1017">
        <f>IF($AG1017="","",Config!$B$17)</f>
        <v/>
      </c>
      <c r="U1017">
        <f>IF($AG1017="","",Config!$B$18)</f>
        <v/>
      </c>
      <c r="V1017">
        <f>IF($AG1017="","",Config!$B$19)</f>
        <v/>
      </c>
      <c r="W1017">
        <f>IF($AG1017="","",INDEX('TMP Paste'!$C$2:$C$1601,$AG1017))</f>
        <v/>
      </c>
      <c r="X1017">
        <f>IF($AG1017="","",Config!$B$29)</f>
        <v/>
      </c>
      <c r="Y1017">
        <f>IF($AH1017="","",INDEX(Calc!$I$2:$I$1601,$AH1017)&amp;" - "&amp;INDEX(Calc!$D$2:$D$1601,$AH1017)&amp;" koli")</f>
        <v/>
      </c>
      <c r="Z1017">
        <f>IF($AG1017="","",Config!$B$21)</f>
        <v/>
      </c>
      <c r="AA1017">
        <f>IF($AG1017="","",Config!$B$22)</f>
        <v/>
      </c>
      <c r="AB1017">
        <f>IF($AH1017="","",INDEX(Calc!$D$2:$D$1601,$AH1017))</f>
        <v/>
      </c>
      <c r="AC1017">
        <f>IF($AH1017="","",INDEX(Calc!$G$2:$G$1601,$AH1017))</f>
        <v/>
      </c>
      <c r="AD1017">
        <f>IF($AG1017="","",Config!$B$23)</f>
        <v/>
      </c>
      <c r="AE1017">
        <f>IF($AG1017="","",Config!$B$28)</f>
        <v/>
      </c>
      <c r="AG1017">
        <f>IFERROR(MATCH(ROW()-1,Calc!$J$2:$J$1601,0),"")</f>
        <v/>
      </c>
      <c r="AH1017">
        <f>IFERROR(MATCH(ROW()-1,Calc!$K$2:$K$1601,0),"")</f>
        <v/>
      </c>
      <c r="AI1017">
        <f>IF($AG1017="","",SUMIF($AG$2:$AG1017,$AG1017,$AH$2:$AH1017))</f>
        <v/>
      </c>
      <c r="AJ1017">
        <f>IF('TMP Paste'!$F1017="","",IF('TMP Paste'!$B1017="",$AJ1016,'TMP Paste'!$B1017))</f>
        <v/>
      </c>
      <c r="AK1017">
        <f>IF('TMP Paste'!$F1017="","",N('TMP Paste'!$G1017))</f>
        <v/>
      </c>
      <c r="AL1017">
        <f>IF('TMP Paste'!$F1017="","",IF('TMP Paste'!$M1017="",$AL1016,'TMP Paste'!$M1017))</f>
        <v/>
      </c>
      <c r="AM1017">
        <f>IF('TMP Paste'!$F1017="","",IF('TMP Paste'!$N1017="",$AM1016,'TMP Paste'!$N1017))</f>
        <v/>
      </c>
      <c r="AN1017">
        <f>IF('TMP Paste'!$F1017="","",IF('TMP Paste'!$O1017="",$AN1016,'TMP Paste'!$O1017))</f>
        <v/>
      </c>
      <c r="AO1017">
        <f>IF('TMP Paste'!$F1017="","",IF('TMP Paste'!$P1017="",$AO1016,'TMP Paste'!$P1017))</f>
        <v/>
      </c>
      <c r="AP1017">
        <f>IF($AG1017="","",LEN($R1017))</f>
        <v/>
      </c>
      <c r="AQ1017">
        <f>IF($AG1017="","",TRIM(IF(COUNTIFS(Calc!$B$2:$B$1601,ROW()-1,Calc!$C$2:$C$1601,"&lt;1")&gt;0,"Ada PO tanpa Koli - cek TMP. ","")&amp;IF(LEN($R1017)&gt;500,"R &gt; 500 karakter.","")))</f>
        <v/>
      </c>
    </row>
    <row r="1018">
      <c r="A1018">
        <f>IF($AG1018="","",INDEX('TMP Paste'!$B$2:$B$1601,$AG1018))</f>
        <v/>
      </c>
      <c r="B1018">
        <f>IF($AG1018="","",Config!$B$14)</f>
        <v/>
      </c>
      <c r="C1018">
        <f>IF($AG1018="","",Config!$B$15)</f>
        <v/>
      </c>
      <c r="D1018">
        <f>IF($AG1018="","",INDEX('TMP Paste'!$B$2:$B$1601,$AG1018))</f>
        <v/>
      </c>
      <c r="E1018">
        <f>IF($AG1018="","",Config!$B$27)</f>
        <v/>
      </c>
      <c r="F1018">
        <f>IF($AG1018="","",Config!$B$9)</f>
        <v/>
      </c>
      <c r="G1018">
        <f>IF($AG1018="","",Config!$B$10)</f>
        <v/>
      </c>
      <c r="H1018">
        <f>IF($AG1018="","",Config!$B$11)</f>
        <v/>
      </c>
      <c r="I1018">
        <f>IF($AG1018="","",Config!$B$16)</f>
        <v/>
      </c>
      <c r="J1018">
        <f>IF($AG1018="","",INDEX('TMP Paste'!$A$2:$A$1601,$AG1018))</f>
        <v/>
      </c>
      <c r="K1018">
        <f>IF($AG1018="","",INDEX('TMP Paste'!$L$2:$L$1601,$AG1018))</f>
        <v/>
      </c>
      <c r="L1018">
        <f>IF($AG1018="","",INDEX('TMP Paste'!$I$2:$I$1601,$AG1018))</f>
        <v/>
      </c>
      <c r="M1018">
        <f>IF($AG1018="","",Config!$B$16)</f>
        <v/>
      </c>
      <c r="N1018">
        <f>IF($AG1018="","","")</f>
        <v/>
      </c>
      <c r="O1018">
        <f>IF($AG1018="","",INDEX('TMP Paste'!$K$2:$K$1601,$AG1018))</f>
        <v/>
      </c>
      <c r="P1018">
        <f>IF($AG1018="","","")</f>
        <v/>
      </c>
      <c r="Q1018">
        <f>IF($AG1018="","",INDEX('TMP Paste'!$J$2:$J$1601,$AG1018))</f>
        <v/>
      </c>
      <c r="R1018">
        <f>IF($AG1018="","",Config!$B$24)</f>
        <v/>
      </c>
      <c r="S1018">
        <f>IF($AG1018="","",TEXT(Config!$B$4,"yyyy-mm-dd"))</f>
        <v/>
      </c>
      <c r="T1018">
        <f>IF($AG1018="","",Config!$B$17)</f>
        <v/>
      </c>
      <c r="U1018">
        <f>IF($AG1018="","",Config!$B$18)</f>
        <v/>
      </c>
      <c r="V1018">
        <f>IF($AG1018="","",Config!$B$19)</f>
        <v/>
      </c>
      <c r="W1018">
        <f>IF($AG1018="","",INDEX('TMP Paste'!$C$2:$C$1601,$AG1018))</f>
        <v/>
      </c>
      <c r="X1018">
        <f>IF($AG1018="","",Config!$B$29)</f>
        <v/>
      </c>
      <c r="Y1018">
        <f>IF($AH1018="","",INDEX(Calc!$I$2:$I$1601,$AH1018)&amp;" - "&amp;INDEX(Calc!$D$2:$D$1601,$AH1018)&amp;" koli")</f>
        <v/>
      </c>
      <c r="Z1018">
        <f>IF($AG1018="","",Config!$B$21)</f>
        <v/>
      </c>
      <c r="AA1018">
        <f>IF($AG1018="","",Config!$B$22)</f>
        <v/>
      </c>
      <c r="AB1018">
        <f>IF($AH1018="","",INDEX(Calc!$D$2:$D$1601,$AH1018))</f>
        <v/>
      </c>
      <c r="AC1018">
        <f>IF($AH1018="","",INDEX(Calc!$G$2:$G$1601,$AH1018))</f>
        <v/>
      </c>
      <c r="AD1018">
        <f>IF($AG1018="","",Config!$B$23)</f>
        <v/>
      </c>
      <c r="AE1018">
        <f>IF($AG1018="","",Config!$B$28)</f>
        <v/>
      </c>
      <c r="AG1018">
        <f>IFERROR(MATCH(ROW()-1,Calc!$J$2:$J$1601,0),"")</f>
        <v/>
      </c>
      <c r="AH1018">
        <f>IFERROR(MATCH(ROW()-1,Calc!$K$2:$K$1601,0),"")</f>
        <v/>
      </c>
      <c r="AI1018">
        <f>IF($AG1018="","",SUMIF($AG$2:$AG1018,$AG1018,$AH$2:$AH1018))</f>
        <v/>
      </c>
      <c r="AJ1018">
        <f>IF('TMP Paste'!$F1018="","",IF('TMP Paste'!$B1018="",$AJ1017,'TMP Paste'!$B1018))</f>
        <v/>
      </c>
      <c r="AK1018">
        <f>IF('TMP Paste'!$F1018="","",N('TMP Paste'!$G1018))</f>
        <v/>
      </c>
      <c r="AL1018">
        <f>IF('TMP Paste'!$F1018="","",IF('TMP Paste'!$M1018="",$AL1017,'TMP Paste'!$M1018))</f>
        <v/>
      </c>
      <c r="AM1018">
        <f>IF('TMP Paste'!$F1018="","",IF('TMP Paste'!$N1018="",$AM1017,'TMP Paste'!$N1018))</f>
        <v/>
      </c>
      <c r="AN1018">
        <f>IF('TMP Paste'!$F1018="","",IF('TMP Paste'!$O1018="",$AN1017,'TMP Paste'!$O1018))</f>
        <v/>
      </c>
      <c r="AO1018">
        <f>IF('TMP Paste'!$F1018="","",IF('TMP Paste'!$P1018="",$AO1017,'TMP Paste'!$P1018))</f>
        <v/>
      </c>
      <c r="AP1018">
        <f>IF($AG1018="","",LEN($R1018))</f>
        <v/>
      </c>
      <c r="AQ1018">
        <f>IF($AG1018="","",TRIM(IF(COUNTIFS(Calc!$B$2:$B$1601,ROW()-1,Calc!$C$2:$C$1601,"&lt;1")&gt;0,"Ada PO tanpa Koli - cek TMP. ","")&amp;IF(LEN($R1018)&gt;500,"R &gt; 500 karakter.","")))</f>
        <v/>
      </c>
    </row>
    <row r="1019">
      <c r="A1019">
        <f>IF($AG1019="","",INDEX('TMP Paste'!$B$2:$B$1601,$AG1019))</f>
        <v/>
      </c>
      <c r="B1019">
        <f>IF($AG1019="","",Config!$B$14)</f>
        <v/>
      </c>
      <c r="C1019">
        <f>IF($AG1019="","",Config!$B$15)</f>
        <v/>
      </c>
      <c r="D1019">
        <f>IF($AG1019="","",INDEX('TMP Paste'!$B$2:$B$1601,$AG1019))</f>
        <v/>
      </c>
      <c r="E1019">
        <f>IF($AG1019="","",Config!$B$27)</f>
        <v/>
      </c>
      <c r="F1019">
        <f>IF($AG1019="","",Config!$B$9)</f>
        <v/>
      </c>
      <c r="G1019">
        <f>IF($AG1019="","",Config!$B$10)</f>
        <v/>
      </c>
      <c r="H1019">
        <f>IF($AG1019="","",Config!$B$11)</f>
        <v/>
      </c>
      <c r="I1019">
        <f>IF($AG1019="","",Config!$B$16)</f>
        <v/>
      </c>
      <c r="J1019">
        <f>IF($AG1019="","",INDEX('TMP Paste'!$A$2:$A$1601,$AG1019))</f>
        <v/>
      </c>
      <c r="K1019">
        <f>IF($AG1019="","",INDEX('TMP Paste'!$L$2:$L$1601,$AG1019))</f>
        <v/>
      </c>
      <c r="L1019">
        <f>IF($AG1019="","",INDEX('TMP Paste'!$I$2:$I$1601,$AG1019))</f>
        <v/>
      </c>
      <c r="M1019">
        <f>IF($AG1019="","",Config!$B$16)</f>
        <v/>
      </c>
      <c r="N1019">
        <f>IF($AG1019="","","")</f>
        <v/>
      </c>
      <c r="O1019">
        <f>IF($AG1019="","",INDEX('TMP Paste'!$K$2:$K$1601,$AG1019))</f>
        <v/>
      </c>
      <c r="P1019">
        <f>IF($AG1019="","","")</f>
        <v/>
      </c>
      <c r="Q1019">
        <f>IF($AG1019="","",INDEX('TMP Paste'!$J$2:$J$1601,$AG1019))</f>
        <v/>
      </c>
      <c r="R1019">
        <f>IF($AG1019="","",Config!$B$24)</f>
        <v/>
      </c>
      <c r="S1019">
        <f>IF($AG1019="","",TEXT(Config!$B$4,"yyyy-mm-dd"))</f>
        <v/>
      </c>
      <c r="T1019">
        <f>IF($AG1019="","",Config!$B$17)</f>
        <v/>
      </c>
      <c r="U1019">
        <f>IF($AG1019="","",Config!$B$18)</f>
        <v/>
      </c>
      <c r="V1019">
        <f>IF($AG1019="","",Config!$B$19)</f>
        <v/>
      </c>
      <c r="W1019">
        <f>IF($AG1019="","",INDEX('TMP Paste'!$C$2:$C$1601,$AG1019))</f>
        <v/>
      </c>
      <c r="X1019">
        <f>IF($AG1019="","",Config!$B$29)</f>
        <v/>
      </c>
      <c r="Y1019">
        <f>IF($AH1019="","",INDEX(Calc!$I$2:$I$1601,$AH1019)&amp;" - "&amp;INDEX(Calc!$D$2:$D$1601,$AH1019)&amp;" koli")</f>
        <v/>
      </c>
      <c r="Z1019">
        <f>IF($AG1019="","",Config!$B$21)</f>
        <v/>
      </c>
      <c r="AA1019">
        <f>IF($AG1019="","",Config!$B$22)</f>
        <v/>
      </c>
      <c r="AB1019">
        <f>IF($AH1019="","",INDEX(Calc!$D$2:$D$1601,$AH1019))</f>
        <v/>
      </c>
      <c r="AC1019">
        <f>IF($AH1019="","",INDEX(Calc!$G$2:$G$1601,$AH1019))</f>
        <v/>
      </c>
      <c r="AD1019">
        <f>IF($AG1019="","",Config!$B$23)</f>
        <v/>
      </c>
      <c r="AE1019">
        <f>IF($AG1019="","",Config!$B$28)</f>
        <v/>
      </c>
      <c r="AG1019">
        <f>IFERROR(MATCH(ROW()-1,Calc!$J$2:$J$1601,0),"")</f>
        <v/>
      </c>
      <c r="AH1019">
        <f>IFERROR(MATCH(ROW()-1,Calc!$K$2:$K$1601,0),"")</f>
        <v/>
      </c>
      <c r="AI1019">
        <f>IF($AG1019="","",SUMIF($AG$2:$AG1019,$AG1019,$AH$2:$AH1019))</f>
        <v/>
      </c>
      <c r="AJ1019">
        <f>IF('TMP Paste'!$F1019="","",IF('TMP Paste'!$B1019="",$AJ1018,'TMP Paste'!$B1019))</f>
        <v/>
      </c>
      <c r="AK1019">
        <f>IF('TMP Paste'!$F1019="","",N('TMP Paste'!$G1019))</f>
        <v/>
      </c>
      <c r="AL1019">
        <f>IF('TMP Paste'!$F1019="","",IF('TMP Paste'!$M1019="",$AL1018,'TMP Paste'!$M1019))</f>
        <v/>
      </c>
      <c r="AM1019">
        <f>IF('TMP Paste'!$F1019="","",IF('TMP Paste'!$N1019="",$AM1018,'TMP Paste'!$N1019))</f>
        <v/>
      </c>
      <c r="AN1019">
        <f>IF('TMP Paste'!$F1019="","",IF('TMP Paste'!$O1019="",$AN1018,'TMP Paste'!$O1019))</f>
        <v/>
      </c>
      <c r="AO1019">
        <f>IF('TMP Paste'!$F1019="","",IF('TMP Paste'!$P1019="",$AO1018,'TMP Paste'!$P1019))</f>
        <v/>
      </c>
      <c r="AP1019">
        <f>IF($AG1019="","",LEN($R1019))</f>
        <v/>
      </c>
      <c r="AQ1019">
        <f>IF($AG1019="","",TRIM(IF(COUNTIFS(Calc!$B$2:$B$1601,ROW()-1,Calc!$C$2:$C$1601,"&lt;1")&gt;0,"Ada PO tanpa Koli - cek TMP. ","")&amp;IF(LEN($R1019)&gt;500,"R &gt; 500 karakter.","")))</f>
        <v/>
      </c>
    </row>
    <row r="1020">
      <c r="A1020">
        <f>IF($AG1020="","",INDEX('TMP Paste'!$B$2:$B$1601,$AG1020))</f>
        <v/>
      </c>
      <c r="B1020">
        <f>IF($AG1020="","",Config!$B$14)</f>
        <v/>
      </c>
      <c r="C1020">
        <f>IF($AG1020="","",Config!$B$15)</f>
        <v/>
      </c>
      <c r="D1020">
        <f>IF($AG1020="","",INDEX('TMP Paste'!$B$2:$B$1601,$AG1020))</f>
        <v/>
      </c>
      <c r="E1020">
        <f>IF($AG1020="","",Config!$B$27)</f>
        <v/>
      </c>
      <c r="F1020">
        <f>IF($AG1020="","",Config!$B$9)</f>
        <v/>
      </c>
      <c r="G1020">
        <f>IF($AG1020="","",Config!$B$10)</f>
        <v/>
      </c>
      <c r="H1020">
        <f>IF($AG1020="","",Config!$B$11)</f>
        <v/>
      </c>
      <c r="I1020">
        <f>IF($AG1020="","",Config!$B$16)</f>
        <v/>
      </c>
      <c r="J1020">
        <f>IF($AG1020="","",INDEX('TMP Paste'!$A$2:$A$1601,$AG1020))</f>
        <v/>
      </c>
      <c r="K1020">
        <f>IF($AG1020="","",INDEX('TMP Paste'!$L$2:$L$1601,$AG1020))</f>
        <v/>
      </c>
      <c r="L1020">
        <f>IF($AG1020="","",INDEX('TMP Paste'!$I$2:$I$1601,$AG1020))</f>
        <v/>
      </c>
      <c r="M1020">
        <f>IF($AG1020="","",Config!$B$16)</f>
        <v/>
      </c>
      <c r="N1020">
        <f>IF($AG1020="","","")</f>
        <v/>
      </c>
      <c r="O1020">
        <f>IF($AG1020="","",INDEX('TMP Paste'!$K$2:$K$1601,$AG1020))</f>
        <v/>
      </c>
      <c r="P1020">
        <f>IF($AG1020="","","")</f>
        <v/>
      </c>
      <c r="Q1020">
        <f>IF($AG1020="","",INDEX('TMP Paste'!$J$2:$J$1601,$AG1020))</f>
        <v/>
      </c>
      <c r="R1020">
        <f>IF($AG1020="","",Config!$B$24)</f>
        <v/>
      </c>
      <c r="S1020">
        <f>IF($AG1020="","",TEXT(Config!$B$4,"yyyy-mm-dd"))</f>
        <v/>
      </c>
      <c r="T1020">
        <f>IF($AG1020="","",Config!$B$17)</f>
        <v/>
      </c>
      <c r="U1020">
        <f>IF($AG1020="","",Config!$B$18)</f>
        <v/>
      </c>
      <c r="V1020">
        <f>IF($AG1020="","",Config!$B$19)</f>
        <v/>
      </c>
      <c r="W1020">
        <f>IF($AG1020="","",INDEX('TMP Paste'!$C$2:$C$1601,$AG1020))</f>
        <v/>
      </c>
      <c r="X1020">
        <f>IF($AG1020="","",Config!$B$29)</f>
        <v/>
      </c>
      <c r="Y1020">
        <f>IF($AH1020="","",INDEX(Calc!$I$2:$I$1601,$AH1020)&amp;" - "&amp;INDEX(Calc!$D$2:$D$1601,$AH1020)&amp;" koli")</f>
        <v/>
      </c>
      <c r="Z1020">
        <f>IF($AG1020="","",Config!$B$21)</f>
        <v/>
      </c>
      <c r="AA1020">
        <f>IF($AG1020="","",Config!$B$22)</f>
        <v/>
      </c>
      <c r="AB1020">
        <f>IF($AH1020="","",INDEX(Calc!$D$2:$D$1601,$AH1020))</f>
        <v/>
      </c>
      <c r="AC1020">
        <f>IF($AH1020="","",INDEX(Calc!$G$2:$G$1601,$AH1020))</f>
        <v/>
      </c>
      <c r="AD1020">
        <f>IF($AG1020="","",Config!$B$23)</f>
        <v/>
      </c>
      <c r="AE1020">
        <f>IF($AG1020="","",Config!$B$28)</f>
        <v/>
      </c>
      <c r="AG1020">
        <f>IFERROR(MATCH(ROW()-1,Calc!$J$2:$J$1601,0),"")</f>
        <v/>
      </c>
      <c r="AH1020">
        <f>IFERROR(MATCH(ROW()-1,Calc!$K$2:$K$1601,0),"")</f>
        <v/>
      </c>
      <c r="AI1020">
        <f>IF($AG1020="","",SUMIF($AG$2:$AG1020,$AG1020,$AH$2:$AH1020))</f>
        <v/>
      </c>
      <c r="AJ1020">
        <f>IF('TMP Paste'!$F1020="","",IF('TMP Paste'!$B1020="",$AJ1019,'TMP Paste'!$B1020))</f>
        <v/>
      </c>
      <c r="AK1020">
        <f>IF('TMP Paste'!$F1020="","",N('TMP Paste'!$G1020))</f>
        <v/>
      </c>
      <c r="AL1020">
        <f>IF('TMP Paste'!$F1020="","",IF('TMP Paste'!$M1020="",$AL1019,'TMP Paste'!$M1020))</f>
        <v/>
      </c>
      <c r="AM1020">
        <f>IF('TMP Paste'!$F1020="","",IF('TMP Paste'!$N1020="",$AM1019,'TMP Paste'!$N1020))</f>
        <v/>
      </c>
      <c r="AN1020">
        <f>IF('TMP Paste'!$F1020="","",IF('TMP Paste'!$O1020="",$AN1019,'TMP Paste'!$O1020))</f>
        <v/>
      </c>
      <c r="AO1020">
        <f>IF('TMP Paste'!$F1020="","",IF('TMP Paste'!$P1020="",$AO1019,'TMP Paste'!$P1020))</f>
        <v/>
      </c>
      <c r="AP1020">
        <f>IF($AG1020="","",LEN($R1020))</f>
        <v/>
      </c>
      <c r="AQ1020">
        <f>IF($AG1020="","",TRIM(IF(COUNTIFS(Calc!$B$2:$B$1601,ROW()-1,Calc!$C$2:$C$1601,"&lt;1")&gt;0,"Ada PO tanpa Koli - cek TMP. ","")&amp;IF(LEN($R1020)&gt;500,"R &gt; 500 karakter.","")))</f>
        <v/>
      </c>
    </row>
    <row r="1021">
      <c r="A1021">
        <f>IF($AG1021="","",INDEX('TMP Paste'!$B$2:$B$1601,$AG1021))</f>
        <v/>
      </c>
      <c r="B1021">
        <f>IF($AG1021="","",Config!$B$14)</f>
        <v/>
      </c>
      <c r="C1021">
        <f>IF($AG1021="","",Config!$B$15)</f>
        <v/>
      </c>
      <c r="D1021">
        <f>IF($AG1021="","",INDEX('TMP Paste'!$B$2:$B$1601,$AG1021))</f>
        <v/>
      </c>
      <c r="E1021">
        <f>IF($AG1021="","",Config!$B$27)</f>
        <v/>
      </c>
      <c r="F1021">
        <f>IF($AG1021="","",Config!$B$9)</f>
        <v/>
      </c>
      <c r="G1021">
        <f>IF($AG1021="","",Config!$B$10)</f>
        <v/>
      </c>
      <c r="H1021">
        <f>IF($AG1021="","",Config!$B$11)</f>
        <v/>
      </c>
      <c r="I1021">
        <f>IF($AG1021="","",Config!$B$16)</f>
        <v/>
      </c>
      <c r="J1021">
        <f>IF($AG1021="","",INDEX('TMP Paste'!$A$2:$A$1601,$AG1021))</f>
        <v/>
      </c>
      <c r="K1021">
        <f>IF($AG1021="","",INDEX('TMP Paste'!$L$2:$L$1601,$AG1021))</f>
        <v/>
      </c>
      <c r="L1021">
        <f>IF($AG1021="","",INDEX('TMP Paste'!$I$2:$I$1601,$AG1021))</f>
        <v/>
      </c>
      <c r="M1021">
        <f>IF($AG1021="","",Config!$B$16)</f>
        <v/>
      </c>
      <c r="N1021">
        <f>IF($AG1021="","","")</f>
        <v/>
      </c>
      <c r="O1021">
        <f>IF($AG1021="","",INDEX('TMP Paste'!$K$2:$K$1601,$AG1021))</f>
        <v/>
      </c>
      <c r="P1021">
        <f>IF($AG1021="","","")</f>
        <v/>
      </c>
      <c r="Q1021">
        <f>IF($AG1021="","",INDEX('TMP Paste'!$J$2:$J$1601,$AG1021))</f>
        <v/>
      </c>
      <c r="R1021">
        <f>IF($AG1021="","",Config!$B$24)</f>
        <v/>
      </c>
      <c r="S1021">
        <f>IF($AG1021="","",TEXT(Config!$B$4,"yyyy-mm-dd"))</f>
        <v/>
      </c>
      <c r="T1021">
        <f>IF($AG1021="","",Config!$B$17)</f>
        <v/>
      </c>
      <c r="U1021">
        <f>IF($AG1021="","",Config!$B$18)</f>
        <v/>
      </c>
      <c r="V1021">
        <f>IF($AG1021="","",Config!$B$19)</f>
        <v/>
      </c>
      <c r="W1021">
        <f>IF($AG1021="","",INDEX('TMP Paste'!$C$2:$C$1601,$AG1021))</f>
        <v/>
      </c>
      <c r="X1021">
        <f>IF($AG1021="","",Config!$B$29)</f>
        <v/>
      </c>
      <c r="Y1021">
        <f>IF($AH1021="","",INDEX(Calc!$I$2:$I$1601,$AH1021)&amp;" - "&amp;INDEX(Calc!$D$2:$D$1601,$AH1021)&amp;" koli")</f>
        <v/>
      </c>
      <c r="Z1021">
        <f>IF($AG1021="","",Config!$B$21)</f>
        <v/>
      </c>
      <c r="AA1021">
        <f>IF($AG1021="","",Config!$B$22)</f>
        <v/>
      </c>
      <c r="AB1021">
        <f>IF($AH1021="","",INDEX(Calc!$D$2:$D$1601,$AH1021))</f>
        <v/>
      </c>
      <c r="AC1021">
        <f>IF($AH1021="","",INDEX(Calc!$G$2:$G$1601,$AH1021))</f>
        <v/>
      </c>
      <c r="AD1021">
        <f>IF($AG1021="","",Config!$B$23)</f>
        <v/>
      </c>
      <c r="AE1021">
        <f>IF($AG1021="","",Config!$B$28)</f>
        <v/>
      </c>
      <c r="AG1021">
        <f>IFERROR(MATCH(ROW()-1,Calc!$J$2:$J$1601,0),"")</f>
        <v/>
      </c>
      <c r="AH1021">
        <f>IFERROR(MATCH(ROW()-1,Calc!$K$2:$K$1601,0),"")</f>
        <v/>
      </c>
      <c r="AI1021">
        <f>IF($AG1021="","",SUMIF($AG$2:$AG1021,$AG1021,$AH$2:$AH1021))</f>
        <v/>
      </c>
      <c r="AJ1021">
        <f>IF('TMP Paste'!$F1021="","",IF('TMP Paste'!$B1021="",$AJ1020,'TMP Paste'!$B1021))</f>
        <v/>
      </c>
      <c r="AK1021">
        <f>IF('TMP Paste'!$F1021="","",N('TMP Paste'!$G1021))</f>
        <v/>
      </c>
      <c r="AL1021">
        <f>IF('TMP Paste'!$F1021="","",IF('TMP Paste'!$M1021="",$AL1020,'TMP Paste'!$M1021))</f>
        <v/>
      </c>
      <c r="AM1021">
        <f>IF('TMP Paste'!$F1021="","",IF('TMP Paste'!$N1021="",$AM1020,'TMP Paste'!$N1021))</f>
        <v/>
      </c>
      <c r="AN1021">
        <f>IF('TMP Paste'!$F1021="","",IF('TMP Paste'!$O1021="",$AN1020,'TMP Paste'!$O1021))</f>
        <v/>
      </c>
      <c r="AO1021">
        <f>IF('TMP Paste'!$F1021="","",IF('TMP Paste'!$P1021="",$AO1020,'TMP Paste'!$P1021))</f>
        <v/>
      </c>
      <c r="AP1021">
        <f>IF($AG1021="","",LEN($R1021))</f>
        <v/>
      </c>
      <c r="AQ1021">
        <f>IF($AG1021="","",TRIM(IF(COUNTIFS(Calc!$B$2:$B$1601,ROW()-1,Calc!$C$2:$C$1601,"&lt;1")&gt;0,"Ada PO tanpa Koli - cek TMP. ","")&amp;IF(LEN($R1021)&gt;500,"R &gt; 500 karakter.","")))</f>
        <v/>
      </c>
    </row>
    <row r="1022">
      <c r="A1022">
        <f>IF($AG1022="","",INDEX('TMP Paste'!$B$2:$B$1601,$AG1022))</f>
        <v/>
      </c>
      <c r="B1022">
        <f>IF($AG1022="","",Config!$B$14)</f>
        <v/>
      </c>
      <c r="C1022">
        <f>IF($AG1022="","",Config!$B$15)</f>
        <v/>
      </c>
      <c r="D1022">
        <f>IF($AG1022="","",INDEX('TMP Paste'!$B$2:$B$1601,$AG1022))</f>
        <v/>
      </c>
      <c r="E1022">
        <f>IF($AG1022="","",Config!$B$27)</f>
        <v/>
      </c>
      <c r="F1022">
        <f>IF($AG1022="","",Config!$B$9)</f>
        <v/>
      </c>
      <c r="G1022">
        <f>IF($AG1022="","",Config!$B$10)</f>
        <v/>
      </c>
      <c r="H1022">
        <f>IF($AG1022="","",Config!$B$11)</f>
        <v/>
      </c>
      <c r="I1022">
        <f>IF($AG1022="","",Config!$B$16)</f>
        <v/>
      </c>
      <c r="J1022">
        <f>IF($AG1022="","",INDEX('TMP Paste'!$A$2:$A$1601,$AG1022))</f>
        <v/>
      </c>
      <c r="K1022">
        <f>IF($AG1022="","",INDEX('TMP Paste'!$L$2:$L$1601,$AG1022))</f>
        <v/>
      </c>
      <c r="L1022">
        <f>IF($AG1022="","",INDEX('TMP Paste'!$I$2:$I$1601,$AG1022))</f>
        <v/>
      </c>
      <c r="M1022">
        <f>IF($AG1022="","",Config!$B$16)</f>
        <v/>
      </c>
      <c r="N1022">
        <f>IF($AG1022="","","")</f>
        <v/>
      </c>
      <c r="O1022">
        <f>IF($AG1022="","",INDEX('TMP Paste'!$K$2:$K$1601,$AG1022))</f>
        <v/>
      </c>
      <c r="P1022">
        <f>IF($AG1022="","","")</f>
        <v/>
      </c>
      <c r="Q1022">
        <f>IF($AG1022="","",INDEX('TMP Paste'!$J$2:$J$1601,$AG1022))</f>
        <v/>
      </c>
      <c r="R1022">
        <f>IF($AG1022="","",Config!$B$24)</f>
        <v/>
      </c>
      <c r="S1022">
        <f>IF($AG1022="","",TEXT(Config!$B$4,"yyyy-mm-dd"))</f>
        <v/>
      </c>
      <c r="T1022">
        <f>IF($AG1022="","",Config!$B$17)</f>
        <v/>
      </c>
      <c r="U1022">
        <f>IF($AG1022="","",Config!$B$18)</f>
        <v/>
      </c>
      <c r="V1022">
        <f>IF($AG1022="","",Config!$B$19)</f>
        <v/>
      </c>
      <c r="W1022">
        <f>IF($AG1022="","",INDEX('TMP Paste'!$C$2:$C$1601,$AG1022))</f>
        <v/>
      </c>
      <c r="X1022">
        <f>IF($AG1022="","",Config!$B$29)</f>
        <v/>
      </c>
      <c r="Y1022">
        <f>IF($AH1022="","",INDEX(Calc!$I$2:$I$1601,$AH1022)&amp;" - "&amp;INDEX(Calc!$D$2:$D$1601,$AH1022)&amp;" koli")</f>
        <v/>
      </c>
      <c r="Z1022">
        <f>IF($AG1022="","",Config!$B$21)</f>
        <v/>
      </c>
      <c r="AA1022">
        <f>IF($AG1022="","",Config!$B$22)</f>
        <v/>
      </c>
      <c r="AB1022">
        <f>IF($AH1022="","",INDEX(Calc!$D$2:$D$1601,$AH1022))</f>
        <v/>
      </c>
      <c r="AC1022">
        <f>IF($AH1022="","",INDEX(Calc!$G$2:$G$1601,$AH1022))</f>
        <v/>
      </c>
      <c r="AD1022">
        <f>IF($AG1022="","",Config!$B$23)</f>
        <v/>
      </c>
      <c r="AE1022">
        <f>IF($AG1022="","",Config!$B$28)</f>
        <v/>
      </c>
      <c r="AG1022">
        <f>IFERROR(MATCH(ROW()-1,Calc!$J$2:$J$1601,0),"")</f>
        <v/>
      </c>
      <c r="AH1022">
        <f>IFERROR(MATCH(ROW()-1,Calc!$K$2:$K$1601,0),"")</f>
        <v/>
      </c>
      <c r="AI1022">
        <f>IF($AG1022="","",SUMIF($AG$2:$AG1022,$AG1022,$AH$2:$AH1022))</f>
        <v/>
      </c>
      <c r="AJ1022">
        <f>IF('TMP Paste'!$F1022="","",IF('TMP Paste'!$B1022="",$AJ1021,'TMP Paste'!$B1022))</f>
        <v/>
      </c>
      <c r="AK1022">
        <f>IF('TMP Paste'!$F1022="","",N('TMP Paste'!$G1022))</f>
        <v/>
      </c>
      <c r="AL1022">
        <f>IF('TMP Paste'!$F1022="","",IF('TMP Paste'!$M1022="",$AL1021,'TMP Paste'!$M1022))</f>
        <v/>
      </c>
      <c r="AM1022">
        <f>IF('TMP Paste'!$F1022="","",IF('TMP Paste'!$N1022="",$AM1021,'TMP Paste'!$N1022))</f>
        <v/>
      </c>
      <c r="AN1022">
        <f>IF('TMP Paste'!$F1022="","",IF('TMP Paste'!$O1022="",$AN1021,'TMP Paste'!$O1022))</f>
        <v/>
      </c>
      <c r="AO1022">
        <f>IF('TMP Paste'!$F1022="","",IF('TMP Paste'!$P1022="",$AO1021,'TMP Paste'!$P1022))</f>
        <v/>
      </c>
      <c r="AP1022">
        <f>IF($AG1022="","",LEN($R1022))</f>
        <v/>
      </c>
      <c r="AQ1022">
        <f>IF($AG1022="","",TRIM(IF(COUNTIFS(Calc!$B$2:$B$1601,ROW()-1,Calc!$C$2:$C$1601,"&lt;1")&gt;0,"Ada PO tanpa Koli - cek TMP. ","")&amp;IF(LEN($R1022)&gt;500,"R &gt; 500 karakter.","")))</f>
        <v/>
      </c>
    </row>
    <row r="1023">
      <c r="A1023">
        <f>IF($AG1023="","",INDEX('TMP Paste'!$B$2:$B$1601,$AG1023))</f>
        <v/>
      </c>
      <c r="B1023">
        <f>IF($AG1023="","",Config!$B$14)</f>
        <v/>
      </c>
      <c r="C1023">
        <f>IF($AG1023="","",Config!$B$15)</f>
        <v/>
      </c>
      <c r="D1023">
        <f>IF($AG1023="","",INDEX('TMP Paste'!$B$2:$B$1601,$AG1023))</f>
        <v/>
      </c>
      <c r="E1023">
        <f>IF($AG1023="","",Config!$B$27)</f>
        <v/>
      </c>
      <c r="F1023">
        <f>IF($AG1023="","",Config!$B$9)</f>
        <v/>
      </c>
      <c r="G1023">
        <f>IF($AG1023="","",Config!$B$10)</f>
        <v/>
      </c>
      <c r="H1023">
        <f>IF($AG1023="","",Config!$B$11)</f>
        <v/>
      </c>
      <c r="I1023">
        <f>IF($AG1023="","",Config!$B$16)</f>
        <v/>
      </c>
      <c r="J1023">
        <f>IF($AG1023="","",INDEX('TMP Paste'!$A$2:$A$1601,$AG1023))</f>
        <v/>
      </c>
      <c r="K1023">
        <f>IF($AG1023="","",INDEX('TMP Paste'!$L$2:$L$1601,$AG1023))</f>
        <v/>
      </c>
      <c r="L1023">
        <f>IF($AG1023="","",INDEX('TMP Paste'!$I$2:$I$1601,$AG1023))</f>
        <v/>
      </c>
      <c r="M1023">
        <f>IF($AG1023="","",Config!$B$16)</f>
        <v/>
      </c>
      <c r="N1023">
        <f>IF($AG1023="","","")</f>
        <v/>
      </c>
      <c r="O1023">
        <f>IF($AG1023="","",INDEX('TMP Paste'!$K$2:$K$1601,$AG1023))</f>
        <v/>
      </c>
      <c r="P1023">
        <f>IF($AG1023="","","")</f>
        <v/>
      </c>
      <c r="Q1023">
        <f>IF($AG1023="","",INDEX('TMP Paste'!$J$2:$J$1601,$AG1023))</f>
        <v/>
      </c>
      <c r="R1023">
        <f>IF($AG1023="","",Config!$B$24)</f>
        <v/>
      </c>
      <c r="S1023">
        <f>IF($AG1023="","",TEXT(Config!$B$4,"yyyy-mm-dd"))</f>
        <v/>
      </c>
      <c r="T1023">
        <f>IF($AG1023="","",Config!$B$17)</f>
        <v/>
      </c>
      <c r="U1023">
        <f>IF($AG1023="","",Config!$B$18)</f>
        <v/>
      </c>
      <c r="V1023">
        <f>IF($AG1023="","",Config!$B$19)</f>
        <v/>
      </c>
      <c r="W1023">
        <f>IF($AG1023="","",INDEX('TMP Paste'!$C$2:$C$1601,$AG1023))</f>
        <v/>
      </c>
      <c r="X1023">
        <f>IF($AG1023="","",Config!$B$29)</f>
        <v/>
      </c>
      <c r="Y1023">
        <f>IF($AH1023="","",INDEX(Calc!$I$2:$I$1601,$AH1023)&amp;" - "&amp;INDEX(Calc!$D$2:$D$1601,$AH1023)&amp;" koli")</f>
        <v/>
      </c>
      <c r="Z1023">
        <f>IF($AG1023="","",Config!$B$21)</f>
        <v/>
      </c>
      <c r="AA1023">
        <f>IF($AG1023="","",Config!$B$22)</f>
        <v/>
      </c>
      <c r="AB1023">
        <f>IF($AH1023="","",INDEX(Calc!$D$2:$D$1601,$AH1023))</f>
        <v/>
      </c>
      <c r="AC1023">
        <f>IF($AH1023="","",INDEX(Calc!$G$2:$G$1601,$AH1023))</f>
        <v/>
      </c>
      <c r="AD1023">
        <f>IF($AG1023="","",Config!$B$23)</f>
        <v/>
      </c>
      <c r="AE1023">
        <f>IF($AG1023="","",Config!$B$28)</f>
        <v/>
      </c>
      <c r="AG1023">
        <f>IFERROR(MATCH(ROW()-1,Calc!$J$2:$J$1601,0),"")</f>
        <v/>
      </c>
      <c r="AH1023">
        <f>IFERROR(MATCH(ROW()-1,Calc!$K$2:$K$1601,0),"")</f>
        <v/>
      </c>
      <c r="AI1023">
        <f>IF($AG1023="","",SUMIF($AG$2:$AG1023,$AG1023,$AH$2:$AH1023))</f>
        <v/>
      </c>
      <c r="AJ1023">
        <f>IF('TMP Paste'!$F1023="","",IF('TMP Paste'!$B1023="",$AJ1022,'TMP Paste'!$B1023))</f>
        <v/>
      </c>
      <c r="AK1023">
        <f>IF('TMP Paste'!$F1023="","",N('TMP Paste'!$G1023))</f>
        <v/>
      </c>
      <c r="AL1023">
        <f>IF('TMP Paste'!$F1023="","",IF('TMP Paste'!$M1023="",$AL1022,'TMP Paste'!$M1023))</f>
        <v/>
      </c>
      <c r="AM1023">
        <f>IF('TMP Paste'!$F1023="","",IF('TMP Paste'!$N1023="",$AM1022,'TMP Paste'!$N1023))</f>
        <v/>
      </c>
      <c r="AN1023">
        <f>IF('TMP Paste'!$F1023="","",IF('TMP Paste'!$O1023="",$AN1022,'TMP Paste'!$O1023))</f>
        <v/>
      </c>
      <c r="AO1023">
        <f>IF('TMP Paste'!$F1023="","",IF('TMP Paste'!$P1023="",$AO1022,'TMP Paste'!$P1023))</f>
        <v/>
      </c>
      <c r="AP1023">
        <f>IF($AG1023="","",LEN($R1023))</f>
        <v/>
      </c>
      <c r="AQ1023">
        <f>IF($AG1023="","",TRIM(IF(COUNTIFS(Calc!$B$2:$B$1601,ROW()-1,Calc!$C$2:$C$1601,"&lt;1")&gt;0,"Ada PO tanpa Koli - cek TMP. ","")&amp;IF(LEN($R1023)&gt;500,"R &gt; 500 karakter.","")))</f>
        <v/>
      </c>
    </row>
    <row r="1024">
      <c r="A1024">
        <f>IF($AG1024="","",INDEX('TMP Paste'!$B$2:$B$1601,$AG1024))</f>
        <v/>
      </c>
      <c r="B1024">
        <f>IF($AG1024="","",Config!$B$14)</f>
        <v/>
      </c>
      <c r="C1024">
        <f>IF($AG1024="","",Config!$B$15)</f>
        <v/>
      </c>
      <c r="D1024">
        <f>IF($AG1024="","",INDEX('TMP Paste'!$B$2:$B$1601,$AG1024))</f>
        <v/>
      </c>
      <c r="E1024">
        <f>IF($AG1024="","",Config!$B$27)</f>
        <v/>
      </c>
      <c r="F1024">
        <f>IF($AG1024="","",Config!$B$9)</f>
        <v/>
      </c>
      <c r="G1024">
        <f>IF($AG1024="","",Config!$B$10)</f>
        <v/>
      </c>
      <c r="H1024">
        <f>IF($AG1024="","",Config!$B$11)</f>
        <v/>
      </c>
      <c r="I1024">
        <f>IF($AG1024="","",Config!$B$16)</f>
        <v/>
      </c>
      <c r="J1024">
        <f>IF($AG1024="","",INDEX('TMP Paste'!$A$2:$A$1601,$AG1024))</f>
        <v/>
      </c>
      <c r="K1024">
        <f>IF($AG1024="","",INDEX('TMP Paste'!$L$2:$L$1601,$AG1024))</f>
        <v/>
      </c>
      <c r="L1024">
        <f>IF($AG1024="","",INDEX('TMP Paste'!$I$2:$I$1601,$AG1024))</f>
        <v/>
      </c>
      <c r="M1024">
        <f>IF($AG1024="","",Config!$B$16)</f>
        <v/>
      </c>
      <c r="N1024">
        <f>IF($AG1024="","","")</f>
        <v/>
      </c>
      <c r="O1024">
        <f>IF($AG1024="","",INDEX('TMP Paste'!$K$2:$K$1601,$AG1024))</f>
        <v/>
      </c>
      <c r="P1024">
        <f>IF($AG1024="","","")</f>
        <v/>
      </c>
      <c r="Q1024">
        <f>IF($AG1024="","",INDEX('TMP Paste'!$J$2:$J$1601,$AG1024))</f>
        <v/>
      </c>
      <c r="R1024">
        <f>IF($AG1024="","",Config!$B$24)</f>
        <v/>
      </c>
      <c r="S1024">
        <f>IF($AG1024="","",TEXT(Config!$B$4,"yyyy-mm-dd"))</f>
        <v/>
      </c>
      <c r="T1024">
        <f>IF($AG1024="","",Config!$B$17)</f>
        <v/>
      </c>
      <c r="U1024">
        <f>IF($AG1024="","",Config!$B$18)</f>
        <v/>
      </c>
      <c r="V1024">
        <f>IF($AG1024="","",Config!$B$19)</f>
        <v/>
      </c>
      <c r="W1024">
        <f>IF($AG1024="","",INDEX('TMP Paste'!$C$2:$C$1601,$AG1024))</f>
        <v/>
      </c>
      <c r="X1024">
        <f>IF($AG1024="","",Config!$B$29)</f>
        <v/>
      </c>
      <c r="Y1024">
        <f>IF($AH1024="","",INDEX(Calc!$I$2:$I$1601,$AH1024)&amp;" - "&amp;INDEX(Calc!$D$2:$D$1601,$AH1024)&amp;" koli")</f>
        <v/>
      </c>
      <c r="Z1024">
        <f>IF($AG1024="","",Config!$B$21)</f>
        <v/>
      </c>
      <c r="AA1024">
        <f>IF($AG1024="","",Config!$B$22)</f>
        <v/>
      </c>
      <c r="AB1024">
        <f>IF($AH1024="","",INDEX(Calc!$D$2:$D$1601,$AH1024))</f>
        <v/>
      </c>
      <c r="AC1024">
        <f>IF($AH1024="","",INDEX(Calc!$G$2:$G$1601,$AH1024))</f>
        <v/>
      </c>
      <c r="AD1024">
        <f>IF($AG1024="","",Config!$B$23)</f>
        <v/>
      </c>
      <c r="AE1024">
        <f>IF($AG1024="","",Config!$B$28)</f>
        <v/>
      </c>
      <c r="AG1024">
        <f>IFERROR(MATCH(ROW()-1,Calc!$J$2:$J$1601,0),"")</f>
        <v/>
      </c>
      <c r="AH1024">
        <f>IFERROR(MATCH(ROW()-1,Calc!$K$2:$K$1601,0),"")</f>
        <v/>
      </c>
      <c r="AI1024">
        <f>IF($AG1024="","",SUMIF($AG$2:$AG1024,$AG1024,$AH$2:$AH1024))</f>
        <v/>
      </c>
      <c r="AJ1024">
        <f>IF('TMP Paste'!$F1024="","",IF('TMP Paste'!$B1024="",$AJ1023,'TMP Paste'!$B1024))</f>
        <v/>
      </c>
      <c r="AK1024">
        <f>IF('TMP Paste'!$F1024="","",N('TMP Paste'!$G1024))</f>
        <v/>
      </c>
      <c r="AL1024">
        <f>IF('TMP Paste'!$F1024="","",IF('TMP Paste'!$M1024="",$AL1023,'TMP Paste'!$M1024))</f>
        <v/>
      </c>
      <c r="AM1024">
        <f>IF('TMP Paste'!$F1024="","",IF('TMP Paste'!$N1024="",$AM1023,'TMP Paste'!$N1024))</f>
        <v/>
      </c>
      <c r="AN1024">
        <f>IF('TMP Paste'!$F1024="","",IF('TMP Paste'!$O1024="",$AN1023,'TMP Paste'!$O1024))</f>
        <v/>
      </c>
      <c r="AO1024">
        <f>IF('TMP Paste'!$F1024="","",IF('TMP Paste'!$P1024="",$AO1023,'TMP Paste'!$P1024))</f>
        <v/>
      </c>
      <c r="AP1024">
        <f>IF($AG1024="","",LEN($R1024))</f>
        <v/>
      </c>
      <c r="AQ1024">
        <f>IF($AG1024="","",TRIM(IF(COUNTIFS(Calc!$B$2:$B$1601,ROW()-1,Calc!$C$2:$C$1601,"&lt;1")&gt;0,"Ada PO tanpa Koli - cek TMP. ","")&amp;IF(LEN($R1024)&gt;500,"R &gt; 500 karakter.","")))</f>
        <v/>
      </c>
    </row>
    <row r="1025">
      <c r="A1025">
        <f>IF($AG1025="","",INDEX('TMP Paste'!$B$2:$B$1601,$AG1025))</f>
        <v/>
      </c>
      <c r="B1025">
        <f>IF($AG1025="","",Config!$B$14)</f>
        <v/>
      </c>
      <c r="C1025">
        <f>IF($AG1025="","",Config!$B$15)</f>
        <v/>
      </c>
      <c r="D1025">
        <f>IF($AG1025="","",INDEX('TMP Paste'!$B$2:$B$1601,$AG1025))</f>
        <v/>
      </c>
      <c r="E1025">
        <f>IF($AG1025="","",Config!$B$27)</f>
        <v/>
      </c>
      <c r="F1025">
        <f>IF($AG1025="","",Config!$B$9)</f>
        <v/>
      </c>
      <c r="G1025">
        <f>IF($AG1025="","",Config!$B$10)</f>
        <v/>
      </c>
      <c r="H1025">
        <f>IF($AG1025="","",Config!$B$11)</f>
        <v/>
      </c>
      <c r="I1025">
        <f>IF($AG1025="","",Config!$B$16)</f>
        <v/>
      </c>
      <c r="J1025">
        <f>IF($AG1025="","",INDEX('TMP Paste'!$A$2:$A$1601,$AG1025))</f>
        <v/>
      </c>
      <c r="K1025">
        <f>IF($AG1025="","",INDEX('TMP Paste'!$L$2:$L$1601,$AG1025))</f>
        <v/>
      </c>
      <c r="L1025">
        <f>IF($AG1025="","",INDEX('TMP Paste'!$I$2:$I$1601,$AG1025))</f>
        <v/>
      </c>
      <c r="M1025">
        <f>IF($AG1025="","",Config!$B$16)</f>
        <v/>
      </c>
      <c r="N1025">
        <f>IF($AG1025="","","")</f>
        <v/>
      </c>
      <c r="O1025">
        <f>IF($AG1025="","",INDEX('TMP Paste'!$K$2:$K$1601,$AG1025))</f>
        <v/>
      </c>
      <c r="P1025">
        <f>IF($AG1025="","","")</f>
        <v/>
      </c>
      <c r="Q1025">
        <f>IF($AG1025="","",INDEX('TMP Paste'!$J$2:$J$1601,$AG1025))</f>
        <v/>
      </c>
      <c r="R1025">
        <f>IF($AG1025="","",Config!$B$24)</f>
        <v/>
      </c>
      <c r="S1025">
        <f>IF($AG1025="","",TEXT(Config!$B$4,"yyyy-mm-dd"))</f>
        <v/>
      </c>
      <c r="T1025">
        <f>IF($AG1025="","",Config!$B$17)</f>
        <v/>
      </c>
      <c r="U1025">
        <f>IF($AG1025="","",Config!$B$18)</f>
        <v/>
      </c>
      <c r="V1025">
        <f>IF($AG1025="","",Config!$B$19)</f>
        <v/>
      </c>
      <c r="W1025">
        <f>IF($AG1025="","",INDEX('TMP Paste'!$C$2:$C$1601,$AG1025))</f>
        <v/>
      </c>
      <c r="X1025">
        <f>IF($AG1025="","",Config!$B$29)</f>
        <v/>
      </c>
      <c r="Y1025">
        <f>IF($AH1025="","",INDEX(Calc!$I$2:$I$1601,$AH1025)&amp;" - "&amp;INDEX(Calc!$D$2:$D$1601,$AH1025)&amp;" koli")</f>
        <v/>
      </c>
      <c r="Z1025">
        <f>IF($AG1025="","",Config!$B$21)</f>
        <v/>
      </c>
      <c r="AA1025">
        <f>IF($AG1025="","",Config!$B$22)</f>
        <v/>
      </c>
      <c r="AB1025">
        <f>IF($AH1025="","",INDEX(Calc!$D$2:$D$1601,$AH1025))</f>
        <v/>
      </c>
      <c r="AC1025">
        <f>IF($AH1025="","",INDEX(Calc!$G$2:$G$1601,$AH1025))</f>
        <v/>
      </c>
      <c r="AD1025">
        <f>IF($AG1025="","",Config!$B$23)</f>
        <v/>
      </c>
      <c r="AE1025">
        <f>IF($AG1025="","",Config!$B$28)</f>
        <v/>
      </c>
      <c r="AG1025">
        <f>IFERROR(MATCH(ROW()-1,Calc!$J$2:$J$1601,0),"")</f>
        <v/>
      </c>
      <c r="AH1025">
        <f>IFERROR(MATCH(ROW()-1,Calc!$K$2:$K$1601,0),"")</f>
        <v/>
      </c>
      <c r="AI1025">
        <f>IF($AG1025="","",SUMIF($AG$2:$AG1025,$AG1025,$AH$2:$AH1025))</f>
        <v/>
      </c>
      <c r="AJ1025">
        <f>IF('TMP Paste'!$F1025="","",IF('TMP Paste'!$B1025="",$AJ1024,'TMP Paste'!$B1025))</f>
        <v/>
      </c>
      <c r="AK1025">
        <f>IF('TMP Paste'!$F1025="","",N('TMP Paste'!$G1025))</f>
        <v/>
      </c>
      <c r="AL1025">
        <f>IF('TMP Paste'!$F1025="","",IF('TMP Paste'!$M1025="",$AL1024,'TMP Paste'!$M1025))</f>
        <v/>
      </c>
      <c r="AM1025">
        <f>IF('TMP Paste'!$F1025="","",IF('TMP Paste'!$N1025="",$AM1024,'TMP Paste'!$N1025))</f>
        <v/>
      </c>
      <c r="AN1025">
        <f>IF('TMP Paste'!$F1025="","",IF('TMP Paste'!$O1025="",$AN1024,'TMP Paste'!$O1025))</f>
        <v/>
      </c>
      <c r="AO1025">
        <f>IF('TMP Paste'!$F1025="","",IF('TMP Paste'!$P1025="",$AO1024,'TMP Paste'!$P1025))</f>
        <v/>
      </c>
      <c r="AP1025">
        <f>IF($AG1025="","",LEN($R1025))</f>
        <v/>
      </c>
      <c r="AQ1025">
        <f>IF($AG1025="","",TRIM(IF(COUNTIFS(Calc!$B$2:$B$1601,ROW()-1,Calc!$C$2:$C$1601,"&lt;1")&gt;0,"Ada PO tanpa Koli - cek TMP. ","")&amp;IF(LEN($R1025)&gt;500,"R &gt; 500 karakter.","")))</f>
        <v/>
      </c>
    </row>
    <row r="1026">
      <c r="A1026">
        <f>IF($AG1026="","",INDEX('TMP Paste'!$B$2:$B$1601,$AG1026))</f>
        <v/>
      </c>
      <c r="B1026">
        <f>IF($AG1026="","",Config!$B$14)</f>
        <v/>
      </c>
      <c r="C1026">
        <f>IF($AG1026="","",Config!$B$15)</f>
        <v/>
      </c>
      <c r="D1026">
        <f>IF($AG1026="","",INDEX('TMP Paste'!$B$2:$B$1601,$AG1026))</f>
        <v/>
      </c>
      <c r="E1026">
        <f>IF($AG1026="","",Config!$B$27)</f>
        <v/>
      </c>
      <c r="F1026">
        <f>IF($AG1026="","",Config!$B$9)</f>
        <v/>
      </c>
      <c r="G1026">
        <f>IF($AG1026="","",Config!$B$10)</f>
        <v/>
      </c>
      <c r="H1026">
        <f>IF($AG1026="","",Config!$B$11)</f>
        <v/>
      </c>
      <c r="I1026">
        <f>IF($AG1026="","",Config!$B$16)</f>
        <v/>
      </c>
      <c r="J1026">
        <f>IF($AG1026="","",INDEX('TMP Paste'!$A$2:$A$1601,$AG1026))</f>
        <v/>
      </c>
      <c r="K1026">
        <f>IF($AG1026="","",INDEX('TMP Paste'!$L$2:$L$1601,$AG1026))</f>
        <v/>
      </c>
      <c r="L1026">
        <f>IF($AG1026="","",INDEX('TMP Paste'!$I$2:$I$1601,$AG1026))</f>
        <v/>
      </c>
      <c r="M1026">
        <f>IF($AG1026="","",Config!$B$16)</f>
        <v/>
      </c>
      <c r="N1026">
        <f>IF($AG1026="","","")</f>
        <v/>
      </c>
      <c r="O1026">
        <f>IF($AG1026="","",INDEX('TMP Paste'!$K$2:$K$1601,$AG1026))</f>
        <v/>
      </c>
      <c r="P1026">
        <f>IF($AG1026="","","")</f>
        <v/>
      </c>
      <c r="Q1026">
        <f>IF($AG1026="","",INDEX('TMP Paste'!$J$2:$J$1601,$AG1026))</f>
        <v/>
      </c>
      <c r="R1026">
        <f>IF($AG1026="","",Config!$B$24)</f>
        <v/>
      </c>
      <c r="S1026">
        <f>IF($AG1026="","",TEXT(Config!$B$4,"yyyy-mm-dd"))</f>
        <v/>
      </c>
      <c r="T1026">
        <f>IF($AG1026="","",Config!$B$17)</f>
        <v/>
      </c>
      <c r="U1026">
        <f>IF($AG1026="","",Config!$B$18)</f>
        <v/>
      </c>
      <c r="V1026">
        <f>IF($AG1026="","",Config!$B$19)</f>
        <v/>
      </c>
      <c r="W1026">
        <f>IF($AG1026="","",INDEX('TMP Paste'!$C$2:$C$1601,$AG1026))</f>
        <v/>
      </c>
      <c r="X1026">
        <f>IF($AG1026="","",Config!$B$29)</f>
        <v/>
      </c>
      <c r="Y1026">
        <f>IF($AH1026="","",INDEX(Calc!$I$2:$I$1601,$AH1026)&amp;" - "&amp;INDEX(Calc!$D$2:$D$1601,$AH1026)&amp;" koli")</f>
        <v/>
      </c>
      <c r="Z1026">
        <f>IF($AG1026="","",Config!$B$21)</f>
        <v/>
      </c>
      <c r="AA1026">
        <f>IF($AG1026="","",Config!$B$22)</f>
        <v/>
      </c>
      <c r="AB1026">
        <f>IF($AH1026="","",INDEX(Calc!$D$2:$D$1601,$AH1026))</f>
        <v/>
      </c>
      <c r="AC1026">
        <f>IF($AH1026="","",INDEX(Calc!$G$2:$G$1601,$AH1026))</f>
        <v/>
      </c>
      <c r="AD1026">
        <f>IF($AG1026="","",Config!$B$23)</f>
        <v/>
      </c>
      <c r="AE1026">
        <f>IF($AG1026="","",Config!$B$28)</f>
        <v/>
      </c>
      <c r="AG1026">
        <f>IFERROR(MATCH(ROW()-1,Calc!$J$2:$J$1601,0),"")</f>
        <v/>
      </c>
      <c r="AH1026">
        <f>IFERROR(MATCH(ROW()-1,Calc!$K$2:$K$1601,0),"")</f>
        <v/>
      </c>
      <c r="AI1026">
        <f>IF($AG1026="","",SUMIF($AG$2:$AG1026,$AG1026,$AH$2:$AH1026))</f>
        <v/>
      </c>
      <c r="AJ1026">
        <f>IF('TMP Paste'!$F1026="","",IF('TMP Paste'!$B1026="",$AJ1025,'TMP Paste'!$B1026))</f>
        <v/>
      </c>
      <c r="AK1026">
        <f>IF('TMP Paste'!$F1026="","",N('TMP Paste'!$G1026))</f>
        <v/>
      </c>
      <c r="AL1026">
        <f>IF('TMP Paste'!$F1026="","",IF('TMP Paste'!$M1026="",$AL1025,'TMP Paste'!$M1026))</f>
        <v/>
      </c>
      <c r="AM1026">
        <f>IF('TMP Paste'!$F1026="","",IF('TMP Paste'!$N1026="",$AM1025,'TMP Paste'!$N1026))</f>
        <v/>
      </c>
      <c r="AN1026">
        <f>IF('TMP Paste'!$F1026="","",IF('TMP Paste'!$O1026="",$AN1025,'TMP Paste'!$O1026))</f>
        <v/>
      </c>
      <c r="AO1026">
        <f>IF('TMP Paste'!$F1026="","",IF('TMP Paste'!$P1026="",$AO1025,'TMP Paste'!$P1026))</f>
        <v/>
      </c>
      <c r="AP1026">
        <f>IF($AG1026="","",LEN($R1026))</f>
        <v/>
      </c>
      <c r="AQ1026">
        <f>IF($AG1026="","",TRIM(IF(COUNTIFS(Calc!$B$2:$B$1601,ROW()-1,Calc!$C$2:$C$1601,"&lt;1")&gt;0,"Ada PO tanpa Koli - cek TMP. ","")&amp;IF(LEN($R1026)&gt;500,"R &gt; 500 karakter.","")))</f>
        <v/>
      </c>
    </row>
    <row r="1027">
      <c r="A1027">
        <f>IF($AG1027="","",INDEX('TMP Paste'!$B$2:$B$1601,$AG1027))</f>
        <v/>
      </c>
      <c r="B1027">
        <f>IF($AG1027="","",Config!$B$14)</f>
        <v/>
      </c>
      <c r="C1027">
        <f>IF($AG1027="","",Config!$B$15)</f>
        <v/>
      </c>
      <c r="D1027">
        <f>IF($AG1027="","",INDEX('TMP Paste'!$B$2:$B$1601,$AG1027))</f>
        <v/>
      </c>
      <c r="E1027">
        <f>IF($AG1027="","",Config!$B$27)</f>
        <v/>
      </c>
      <c r="F1027">
        <f>IF($AG1027="","",Config!$B$9)</f>
        <v/>
      </c>
      <c r="G1027">
        <f>IF($AG1027="","",Config!$B$10)</f>
        <v/>
      </c>
      <c r="H1027">
        <f>IF($AG1027="","",Config!$B$11)</f>
        <v/>
      </c>
      <c r="I1027">
        <f>IF($AG1027="","",Config!$B$16)</f>
        <v/>
      </c>
      <c r="J1027">
        <f>IF($AG1027="","",INDEX('TMP Paste'!$A$2:$A$1601,$AG1027))</f>
        <v/>
      </c>
      <c r="K1027">
        <f>IF($AG1027="","",INDEX('TMP Paste'!$L$2:$L$1601,$AG1027))</f>
        <v/>
      </c>
      <c r="L1027">
        <f>IF($AG1027="","",INDEX('TMP Paste'!$I$2:$I$1601,$AG1027))</f>
        <v/>
      </c>
      <c r="M1027">
        <f>IF($AG1027="","",Config!$B$16)</f>
        <v/>
      </c>
      <c r="N1027">
        <f>IF($AG1027="","","")</f>
        <v/>
      </c>
      <c r="O1027">
        <f>IF($AG1027="","",INDEX('TMP Paste'!$K$2:$K$1601,$AG1027))</f>
        <v/>
      </c>
      <c r="P1027">
        <f>IF($AG1027="","","")</f>
        <v/>
      </c>
      <c r="Q1027">
        <f>IF($AG1027="","",INDEX('TMP Paste'!$J$2:$J$1601,$AG1027))</f>
        <v/>
      </c>
      <c r="R1027">
        <f>IF($AG1027="","",Config!$B$24)</f>
        <v/>
      </c>
      <c r="S1027">
        <f>IF($AG1027="","",TEXT(Config!$B$4,"yyyy-mm-dd"))</f>
        <v/>
      </c>
      <c r="T1027">
        <f>IF($AG1027="","",Config!$B$17)</f>
        <v/>
      </c>
      <c r="U1027">
        <f>IF($AG1027="","",Config!$B$18)</f>
        <v/>
      </c>
      <c r="V1027">
        <f>IF($AG1027="","",Config!$B$19)</f>
        <v/>
      </c>
      <c r="W1027">
        <f>IF($AG1027="","",INDEX('TMP Paste'!$C$2:$C$1601,$AG1027))</f>
        <v/>
      </c>
      <c r="X1027">
        <f>IF($AG1027="","",Config!$B$29)</f>
        <v/>
      </c>
      <c r="Y1027">
        <f>IF($AH1027="","",INDEX(Calc!$I$2:$I$1601,$AH1027)&amp;" - "&amp;INDEX(Calc!$D$2:$D$1601,$AH1027)&amp;" koli")</f>
        <v/>
      </c>
      <c r="Z1027">
        <f>IF($AG1027="","",Config!$B$21)</f>
        <v/>
      </c>
      <c r="AA1027">
        <f>IF($AG1027="","",Config!$B$22)</f>
        <v/>
      </c>
      <c r="AB1027">
        <f>IF($AH1027="","",INDEX(Calc!$D$2:$D$1601,$AH1027))</f>
        <v/>
      </c>
      <c r="AC1027">
        <f>IF($AH1027="","",INDEX(Calc!$G$2:$G$1601,$AH1027))</f>
        <v/>
      </c>
      <c r="AD1027">
        <f>IF($AG1027="","",Config!$B$23)</f>
        <v/>
      </c>
      <c r="AE1027">
        <f>IF($AG1027="","",Config!$B$28)</f>
        <v/>
      </c>
      <c r="AG1027">
        <f>IFERROR(MATCH(ROW()-1,Calc!$J$2:$J$1601,0),"")</f>
        <v/>
      </c>
      <c r="AH1027">
        <f>IFERROR(MATCH(ROW()-1,Calc!$K$2:$K$1601,0),"")</f>
        <v/>
      </c>
      <c r="AI1027">
        <f>IF($AG1027="","",SUMIF($AG$2:$AG1027,$AG1027,$AH$2:$AH1027))</f>
        <v/>
      </c>
      <c r="AJ1027">
        <f>IF('TMP Paste'!$F1027="","",IF('TMP Paste'!$B1027="",$AJ1026,'TMP Paste'!$B1027))</f>
        <v/>
      </c>
      <c r="AK1027">
        <f>IF('TMP Paste'!$F1027="","",N('TMP Paste'!$G1027))</f>
        <v/>
      </c>
      <c r="AL1027">
        <f>IF('TMP Paste'!$F1027="","",IF('TMP Paste'!$M1027="",$AL1026,'TMP Paste'!$M1027))</f>
        <v/>
      </c>
      <c r="AM1027">
        <f>IF('TMP Paste'!$F1027="","",IF('TMP Paste'!$N1027="",$AM1026,'TMP Paste'!$N1027))</f>
        <v/>
      </c>
      <c r="AN1027">
        <f>IF('TMP Paste'!$F1027="","",IF('TMP Paste'!$O1027="",$AN1026,'TMP Paste'!$O1027))</f>
        <v/>
      </c>
      <c r="AO1027">
        <f>IF('TMP Paste'!$F1027="","",IF('TMP Paste'!$P1027="",$AO1026,'TMP Paste'!$P1027))</f>
        <v/>
      </c>
      <c r="AP1027">
        <f>IF($AG1027="","",LEN($R1027))</f>
        <v/>
      </c>
      <c r="AQ1027">
        <f>IF($AG1027="","",TRIM(IF(COUNTIFS(Calc!$B$2:$B$1601,ROW()-1,Calc!$C$2:$C$1601,"&lt;1")&gt;0,"Ada PO tanpa Koli - cek TMP. ","")&amp;IF(LEN($R1027)&gt;500,"R &gt; 500 karakter.","")))</f>
        <v/>
      </c>
    </row>
    <row r="1028">
      <c r="A1028">
        <f>IF($AG1028="","",INDEX('TMP Paste'!$B$2:$B$1601,$AG1028))</f>
        <v/>
      </c>
      <c r="B1028">
        <f>IF($AG1028="","",Config!$B$14)</f>
        <v/>
      </c>
      <c r="C1028">
        <f>IF($AG1028="","",Config!$B$15)</f>
        <v/>
      </c>
      <c r="D1028">
        <f>IF($AG1028="","",INDEX('TMP Paste'!$B$2:$B$1601,$AG1028))</f>
        <v/>
      </c>
      <c r="E1028">
        <f>IF($AG1028="","",Config!$B$27)</f>
        <v/>
      </c>
      <c r="F1028">
        <f>IF($AG1028="","",Config!$B$9)</f>
        <v/>
      </c>
      <c r="G1028">
        <f>IF($AG1028="","",Config!$B$10)</f>
        <v/>
      </c>
      <c r="H1028">
        <f>IF($AG1028="","",Config!$B$11)</f>
        <v/>
      </c>
      <c r="I1028">
        <f>IF($AG1028="","",Config!$B$16)</f>
        <v/>
      </c>
      <c r="J1028">
        <f>IF($AG1028="","",INDEX('TMP Paste'!$A$2:$A$1601,$AG1028))</f>
        <v/>
      </c>
      <c r="K1028">
        <f>IF($AG1028="","",INDEX('TMP Paste'!$L$2:$L$1601,$AG1028))</f>
        <v/>
      </c>
      <c r="L1028">
        <f>IF($AG1028="","",INDEX('TMP Paste'!$I$2:$I$1601,$AG1028))</f>
        <v/>
      </c>
      <c r="M1028">
        <f>IF($AG1028="","",Config!$B$16)</f>
        <v/>
      </c>
      <c r="N1028">
        <f>IF($AG1028="","","")</f>
        <v/>
      </c>
      <c r="O1028">
        <f>IF($AG1028="","",INDEX('TMP Paste'!$K$2:$K$1601,$AG1028))</f>
        <v/>
      </c>
      <c r="P1028">
        <f>IF($AG1028="","","")</f>
        <v/>
      </c>
      <c r="Q1028">
        <f>IF($AG1028="","",INDEX('TMP Paste'!$J$2:$J$1601,$AG1028))</f>
        <v/>
      </c>
      <c r="R1028">
        <f>IF($AG1028="","",Config!$B$24)</f>
        <v/>
      </c>
      <c r="S1028">
        <f>IF($AG1028="","",TEXT(Config!$B$4,"yyyy-mm-dd"))</f>
        <v/>
      </c>
      <c r="T1028">
        <f>IF($AG1028="","",Config!$B$17)</f>
        <v/>
      </c>
      <c r="U1028">
        <f>IF($AG1028="","",Config!$B$18)</f>
        <v/>
      </c>
      <c r="V1028">
        <f>IF($AG1028="","",Config!$B$19)</f>
        <v/>
      </c>
      <c r="W1028">
        <f>IF($AG1028="","",INDEX('TMP Paste'!$C$2:$C$1601,$AG1028))</f>
        <v/>
      </c>
      <c r="X1028">
        <f>IF($AG1028="","",Config!$B$29)</f>
        <v/>
      </c>
      <c r="Y1028">
        <f>IF($AH1028="","",INDEX(Calc!$I$2:$I$1601,$AH1028)&amp;" - "&amp;INDEX(Calc!$D$2:$D$1601,$AH1028)&amp;" koli")</f>
        <v/>
      </c>
      <c r="Z1028">
        <f>IF($AG1028="","",Config!$B$21)</f>
        <v/>
      </c>
      <c r="AA1028">
        <f>IF($AG1028="","",Config!$B$22)</f>
        <v/>
      </c>
      <c r="AB1028">
        <f>IF($AH1028="","",INDEX(Calc!$D$2:$D$1601,$AH1028))</f>
        <v/>
      </c>
      <c r="AC1028">
        <f>IF($AH1028="","",INDEX(Calc!$G$2:$G$1601,$AH1028))</f>
        <v/>
      </c>
      <c r="AD1028">
        <f>IF($AG1028="","",Config!$B$23)</f>
        <v/>
      </c>
      <c r="AE1028">
        <f>IF($AG1028="","",Config!$B$28)</f>
        <v/>
      </c>
      <c r="AG1028">
        <f>IFERROR(MATCH(ROW()-1,Calc!$J$2:$J$1601,0),"")</f>
        <v/>
      </c>
      <c r="AH1028">
        <f>IFERROR(MATCH(ROW()-1,Calc!$K$2:$K$1601,0),"")</f>
        <v/>
      </c>
      <c r="AI1028">
        <f>IF($AG1028="","",SUMIF($AG$2:$AG1028,$AG1028,$AH$2:$AH1028))</f>
        <v/>
      </c>
      <c r="AJ1028">
        <f>IF('TMP Paste'!$F1028="","",IF('TMP Paste'!$B1028="",$AJ1027,'TMP Paste'!$B1028))</f>
        <v/>
      </c>
      <c r="AK1028">
        <f>IF('TMP Paste'!$F1028="","",N('TMP Paste'!$G1028))</f>
        <v/>
      </c>
      <c r="AL1028">
        <f>IF('TMP Paste'!$F1028="","",IF('TMP Paste'!$M1028="",$AL1027,'TMP Paste'!$M1028))</f>
        <v/>
      </c>
      <c r="AM1028">
        <f>IF('TMP Paste'!$F1028="","",IF('TMP Paste'!$N1028="",$AM1027,'TMP Paste'!$N1028))</f>
        <v/>
      </c>
      <c r="AN1028">
        <f>IF('TMP Paste'!$F1028="","",IF('TMP Paste'!$O1028="",$AN1027,'TMP Paste'!$O1028))</f>
        <v/>
      </c>
      <c r="AO1028">
        <f>IF('TMP Paste'!$F1028="","",IF('TMP Paste'!$P1028="",$AO1027,'TMP Paste'!$P1028))</f>
        <v/>
      </c>
      <c r="AP1028">
        <f>IF($AG1028="","",LEN($R1028))</f>
        <v/>
      </c>
      <c r="AQ1028">
        <f>IF($AG1028="","",TRIM(IF(COUNTIFS(Calc!$B$2:$B$1601,ROW()-1,Calc!$C$2:$C$1601,"&lt;1")&gt;0,"Ada PO tanpa Koli - cek TMP. ","")&amp;IF(LEN($R1028)&gt;500,"R &gt; 500 karakter.","")))</f>
        <v/>
      </c>
    </row>
    <row r="1029">
      <c r="A1029">
        <f>IF($AG1029="","",INDEX('TMP Paste'!$B$2:$B$1601,$AG1029))</f>
        <v/>
      </c>
      <c r="B1029">
        <f>IF($AG1029="","",Config!$B$14)</f>
        <v/>
      </c>
      <c r="C1029">
        <f>IF($AG1029="","",Config!$B$15)</f>
        <v/>
      </c>
      <c r="D1029">
        <f>IF($AG1029="","",INDEX('TMP Paste'!$B$2:$B$1601,$AG1029))</f>
        <v/>
      </c>
      <c r="E1029">
        <f>IF($AG1029="","",Config!$B$27)</f>
        <v/>
      </c>
      <c r="F1029">
        <f>IF($AG1029="","",Config!$B$9)</f>
        <v/>
      </c>
      <c r="G1029">
        <f>IF($AG1029="","",Config!$B$10)</f>
        <v/>
      </c>
      <c r="H1029">
        <f>IF($AG1029="","",Config!$B$11)</f>
        <v/>
      </c>
      <c r="I1029">
        <f>IF($AG1029="","",Config!$B$16)</f>
        <v/>
      </c>
      <c r="J1029">
        <f>IF($AG1029="","",INDEX('TMP Paste'!$A$2:$A$1601,$AG1029))</f>
        <v/>
      </c>
      <c r="K1029">
        <f>IF($AG1029="","",INDEX('TMP Paste'!$L$2:$L$1601,$AG1029))</f>
        <v/>
      </c>
      <c r="L1029">
        <f>IF($AG1029="","",INDEX('TMP Paste'!$I$2:$I$1601,$AG1029))</f>
        <v/>
      </c>
      <c r="M1029">
        <f>IF($AG1029="","",Config!$B$16)</f>
        <v/>
      </c>
      <c r="N1029">
        <f>IF($AG1029="","","")</f>
        <v/>
      </c>
      <c r="O1029">
        <f>IF($AG1029="","",INDEX('TMP Paste'!$K$2:$K$1601,$AG1029))</f>
        <v/>
      </c>
      <c r="P1029">
        <f>IF($AG1029="","","")</f>
        <v/>
      </c>
      <c r="Q1029">
        <f>IF($AG1029="","",INDEX('TMP Paste'!$J$2:$J$1601,$AG1029))</f>
        <v/>
      </c>
      <c r="R1029">
        <f>IF($AG1029="","",Config!$B$24)</f>
        <v/>
      </c>
      <c r="S1029">
        <f>IF($AG1029="","",TEXT(Config!$B$4,"yyyy-mm-dd"))</f>
        <v/>
      </c>
      <c r="T1029">
        <f>IF($AG1029="","",Config!$B$17)</f>
        <v/>
      </c>
      <c r="U1029">
        <f>IF($AG1029="","",Config!$B$18)</f>
        <v/>
      </c>
      <c r="V1029">
        <f>IF($AG1029="","",Config!$B$19)</f>
        <v/>
      </c>
      <c r="W1029">
        <f>IF($AG1029="","",INDEX('TMP Paste'!$C$2:$C$1601,$AG1029))</f>
        <v/>
      </c>
      <c r="X1029">
        <f>IF($AG1029="","",Config!$B$29)</f>
        <v/>
      </c>
      <c r="Y1029">
        <f>IF($AH1029="","",INDEX(Calc!$I$2:$I$1601,$AH1029)&amp;" - "&amp;INDEX(Calc!$D$2:$D$1601,$AH1029)&amp;" koli")</f>
        <v/>
      </c>
      <c r="Z1029">
        <f>IF($AG1029="","",Config!$B$21)</f>
        <v/>
      </c>
      <c r="AA1029">
        <f>IF($AG1029="","",Config!$B$22)</f>
        <v/>
      </c>
      <c r="AB1029">
        <f>IF($AH1029="","",INDEX(Calc!$D$2:$D$1601,$AH1029))</f>
        <v/>
      </c>
      <c r="AC1029">
        <f>IF($AH1029="","",INDEX(Calc!$G$2:$G$1601,$AH1029))</f>
        <v/>
      </c>
      <c r="AD1029">
        <f>IF($AG1029="","",Config!$B$23)</f>
        <v/>
      </c>
      <c r="AE1029">
        <f>IF($AG1029="","",Config!$B$28)</f>
        <v/>
      </c>
      <c r="AG1029">
        <f>IFERROR(MATCH(ROW()-1,Calc!$J$2:$J$1601,0),"")</f>
        <v/>
      </c>
      <c r="AH1029">
        <f>IFERROR(MATCH(ROW()-1,Calc!$K$2:$K$1601,0),"")</f>
        <v/>
      </c>
      <c r="AI1029">
        <f>IF($AG1029="","",SUMIF($AG$2:$AG1029,$AG1029,$AH$2:$AH1029))</f>
        <v/>
      </c>
      <c r="AJ1029">
        <f>IF('TMP Paste'!$F1029="","",IF('TMP Paste'!$B1029="",$AJ1028,'TMP Paste'!$B1029))</f>
        <v/>
      </c>
      <c r="AK1029">
        <f>IF('TMP Paste'!$F1029="","",N('TMP Paste'!$G1029))</f>
        <v/>
      </c>
      <c r="AL1029">
        <f>IF('TMP Paste'!$F1029="","",IF('TMP Paste'!$M1029="",$AL1028,'TMP Paste'!$M1029))</f>
        <v/>
      </c>
      <c r="AM1029">
        <f>IF('TMP Paste'!$F1029="","",IF('TMP Paste'!$N1029="",$AM1028,'TMP Paste'!$N1029))</f>
        <v/>
      </c>
      <c r="AN1029">
        <f>IF('TMP Paste'!$F1029="","",IF('TMP Paste'!$O1029="",$AN1028,'TMP Paste'!$O1029))</f>
        <v/>
      </c>
      <c r="AO1029">
        <f>IF('TMP Paste'!$F1029="","",IF('TMP Paste'!$P1029="",$AO1028,'TMP Paste'!$P1029))</f>
        <v/>
      </c>
      <c r="AP1029">
        <f>IF($AG1029="","",LEN($R1029))</f>
        <v/>
      </c>
      <c r="AQ1029">
        <f>IF($AG1029="","",TRIM(IF(COUNTIFS(Calc!$B$2:$B$1601,ROW()-1,Calc!$C$2:$C$1601,"&lt;1")&gt;0,"Ada PO tanpa Koli - cek TMP. ","")&amp;IF(LEN($R1029)&gt;500,"R &gt; 500 karakter.","")))</f>
        <v/>
      </c>
    </row>
    <row r="1030">
      <c r="A1030">
        <f>IF($AG1030="","",INDEX('TMP Paste'!$B$2:$B$1601,$AG1030))</f>
        <v/>
      </c>
      <c r="B1030">
        <f>IF($AG1030="","",Config!$B$14)</f>
        <v/>
      </c>
      <c r="C1030">
        <f>IF($AG1030="","",Config!$B$15)</f>
        <v/>
      </c>
      <c r="D1030">
        <f>IF($AG1030="","",INDEX('TMP Paste'!$B$2:$B$1601,$AG1030))</f>
        <v/>
      </c>
      <c r="E1030">
        <f>IF($AG1030="","",Config!$B$27)</f>
        <v/>
      </c>
      <c r="F1030">
        <f>IF($AG1030="","",Config!$B$9)</f>
        <v/>
      </c>
      <c r="G1030">
        <f>IF($AG1030="","",Config!$B$10)</f>
        <v/>
      </c>
      <c r="H1030">
        <f>IF($AG1030="","",Config!$B$11)</f>
        <v/>
      </c>
      <c r="I1030">
        <f>IF($AG1030="","",Config!$B$16)</f>
        <v/>
      </c>
      <c r="J1030">
        <f>IF($AG1030="","",INDEX('TMP Paste'!$A$2:$A$1601,$AG1030))</f>
        <v/>
      </c>
      <c r="K1030">
        <f>IF($AG1030="","",INDEX('TMP Paste'!$L$2:$L$1601,$AG1030))</f>
        <v/>
      </c>
      <c r="L1030">
        <f>IF($AG1030="","",INDEX('TMP Paste'!$I$2:$I$1601,$AG1030))</f>
        <v/>
      </c>
      <c r="M1030">
        <f>IF($AG1030="","",Config!$B$16)</f>
        <v/>
      </c>
      <c r="N1030">
        <f>IF($AG1030="","","")</f>
        <v/>
      </c>
      <c r="O1030">
        <f>IF($AG1030="","",INDEX('TMP Paste'!$K$2:$K$1601,$AG1030))</f>
        <v/>
      </c>
      <c r="P1030">
        <f>IF($AG1030="","","")</f>
        <v/>
      </c>
      <c r="Q1030">
        <f>IF($AG1030="","",INDEX('TMP Paste'!$J$2:$J$1601,$AG1030))</f>
        <v/>
      </c>
      <c r="R1030">
        <f>IF($AG1030="","",Config!$B$24)</f>
        <v/>
      </c>
      <c r="S1030">
        <f>IF($AG1030="","",TEXT(Config!$B$4,"yyyy-mm-dd"))</f>
        <v/>
      </c>
      <c r="T1030">
        <f>IF($AG1030="","",Config!$B$17)</f>
        <v/>
      </c>
      <c r="U1030">
        <f>IF($AG1030="","",Config!$B$18)</f>
        <v/>
      </c>
      <c r="V1030">
        <f>IF($AG1030="","",Config!$B$19)</f>
        <v/>
      </c>
      <c r="W1030">
        <f>IF($AG1030="","",INDEX('TMP Paste'!$C$2:$C$1601,$AG1030))</f>
        <v/>
      </c>
      <c r="X1030">
        <f>IF($AG1030="","",Config!$B$29)</f>
        <v/>
      </c>
      <c r="Y1030">
        <f>IF($AH1030="","",INDEX(Calc!$I$2:$I$1601,$AH1030)&amp;" - "&amp;INDEX(Calc!$D$2:$D$1601,$AH1030)&amp;" koli")</f>
        <v/>
      </c>
      <c r="Z1030">
        <f>IF($AG1030="","",Config!$B$21)</f>
        <v/>
      </c>
      <c r="AA1030">
        <f>IF($AG1030="","",Config!$B$22)</f>
        <v/>
      </c>
      <c r="AB1030">
        <f>IF($AH1030="","",INDEX(Calc!$D$2:$D$1601,$AH1030))</f>
        <v/>
      </c>
      <c r="AC1030">
        <f>IF($AH1030="","",INDEX(Calc!$G$2:$G$1601,$AH1030))</f>
        <v/>
      </c>
      <c r="AD1030">
        <f>IF($AG1030="","",Config!$B$23)</f>
        <v/>
      </c>
      <c r="AE1030">
        <f>IF($AG1030="","",Config!$B$28)</f>
        <v/>
      </c>
      <c r="AG1030">
        <f>IFERROR(MATCH(ROW()-1,Calc!$J$2:$J$1601,0),"")</f>
        <v/>
      </c>
      <c r="AH1030">
        <f>IFERROR(MATCH(ROW()-1,Calc!$K$2:$K$1601,0),"")</f>
        <v/>
      </c>
      <c r="AI1030">
        <f>IF($AG1030="","",SUMIF($AG$2:$AG1030,$AG1030,$AH$2:$AH1030))</f>
        <v/>
      </c>
      <c r="AJ1030">
        <f>IF('TMP Paste'!$F1030="","",IF('TMP Paste'!$B1030="",$AJ1029,'TMP Paste'!$B1030))</f>
        <v/>
      </c>
      <c r="AK1030">
        <f>IF('TMP Paste'!$F1030="","",N('TMP Paste'!$G1030))</f>
        <v/>
      </c>
      <c r="AL1030">
        <f>IF('TMP Paste'!$F1030="","",IF('TMP Paste'!$M1030="",$AL1029,'TMP Paste'!$M1030))</f>
        <v/>
      </c>
      <c r="AM1030">
        <f>IF('TMP Paste'!$F1030="","",IF('TMP Paste'!$N1030="",$AM1029,'TMP Paste'!$N1030))</f>
        <v/>
      </c>
      <c r="AN1030">
        <f>IF('TMP Paste'!$F1030="","",IF('TMP Paste'!$O1030="",$AN1029,'TMP Paste'!$O1030))</f>
        <v/>
      </c>
      <c r="AO1030">
        <f>IF('TMP Paste'!$F1030="","",IF('TMP Paste'!$P1030="",$AO1029,'TMP Paste'!$P1030))</f>
        <v/>
      </c>
      <c r="AP1030">
        <f>IF($AG1030="","",LEN($R1030))</f>
        <v/>
      </c>
      <c r="AQ1030">
        <f>IF($AG1030="","",TRIM(IF(COUNTIFS(Calc!$B$2:$B$1601,ROW()-1,Calc!$C$2:$C$1601,"&lt;1")&gt;0,"Ada PO tanpa Koli - cek TMP. ","")&amp;IF(LEN($R1030)&gt;500,"R &gt; 500 karakter.","")))</f>
        <v/>
      </c>
    </row>
    <row r="1031">
      <c r="A1031">
        <f>IF($AG1031="","",INDEX('TMP Paste'!$B$2:$B$1601,$AG1031))</f>
        <v/>
      </c>
      <c r="B1031">
        <f>IF($AG1031="","",Config!$B$14)</f>
        <v/>
      </c>
      <c r="C1031">
        <f>IF($AG1031="","",Config!$B$15)</f>
        <v/>
      </c>
      <c r="D1031">
        <f>IF($AG1031="","",INDEX('TMP Paste'!$B$2:$B$1601,$AG1031))</f>
        <v/>
      </c>
      <c r="E1031">
        <f>IF($AG1031="","",Config!$B$27)</f>
        <v/>
      </c>
      <c r="F1031">
        <f>IF($AG1031="","",Config!$B$9)</f>
        <v/>
      </c>
      <c r="G1031">
        <f>IF($AG1031="","",Config!$B$10)</f>
        <v/>
      </c>
      <c r="H1031">
        <f>IF($AG1031="","",Config!$B$11)</f>
        <v/>
      </c>
      <c r="I1031">
        <f>IF($AG1031="","",Config!$B$16)</f>
        <v/>
      </c>
      <c r="J1031">
        <f>IF($AG1031="","",INDEX('TMP Paste'!$A$2:$A$1601,$AG1031))</f>
        <v/>
      </c>
      <c r="K1031">
        <f>IF($AG1031="","",INDEX('TMP Paste'!$L$2:$L$1601,$AG1031))</f>
        <v/>
      </c>
      <c r="L1031">
        <f>IF($AG1031="","",INDEX('TMP Paste'!$I$2:$I$1601,$AG1031))</f>
        <v/>
      </c>
      <c r="M1031">
        <f>IF($AG1031="","",Config!$B$16)</f>
        <v/>
      </c>
      <c r="N1031">
        <f>IF($AG1031="","","")</f>
        <v/>
      </c>
      <c r="O1031">
        <f>IF($AG1031="","",INDEX('TMP Paste'!$K$2:$K$1601,$AG1031))</f>
        <v/>
      </c>
      <c r="P1031">
        <f>IF($AG1031="","","")</f>
        <v/>
      </c>
      <c r="Q1031">
        <f>IF($AG1031="","",INDEX('TMP Paste'!$J$2:$J$1601,$AG1031))</f>
        <v/>
      </c>
      <c r="R1031">
        <f>IF($AG1031="","",Config!$B$24)</f>
        <v/>
      </c>
      <c r="S1031">
        <f>IF($AG1031="","",TEXT(Config!$B$4,"yyyy-mm-dd"))</f>
        <v/>
      </c>
      <c r="T1031">
        <f>IF($AG1031="","",Config!$B$17)</f>
        <v/>
      </c>
      <c r="U1031">
        <f>IF($AG1031="","",Config!$B$18)</f>
        <v/>
      </c>
      <c r="V1031">
        <f>IF($AG1031="","",Config!$B$19)</f>
        <v/>
      </c>
      <c r="W1031">
        <f>IF($AG1031="","",INDEX('TMP Paste'!$C$2:$C$1601,$AG1031))</f>
        <v/>
      </c>
      <c r="X1031">
        <f>IF($AG1031="","",Config!$B$29)</f>
        <v/>
      </c>
      <c r="Y1031">
        <f>IF($AH1031="","",INDEX(Calc!$I$2:$I$1601,$AH1031)&amp;" - "&amp;INDEX(Calc!$D$2:$D$1601,$AH1031)&amp;" koli")</f>
        <v/>
      </c>
      <c r="Z1031">
        <f>IF($AG1031="","",Config!$B$21)</f>
        <v/>
      </c>
      <c r="AA1031">
        <f>IF($AG1031="","",Config!$B$22)</f>
        <v/>
      </c>
      <c r="AB1031">
        <f>IF($AH1031="","",INDEX(Calc!$D$2:$D$1601,$AH1031))</f>
        <v/>
      </c>
      <c r="AC1031">
        <f>IF($AH1031="","",INDEX(Calc!$G$2:$G$1601,$AH1031))</f>
        <v/>
      </c>
      <c r="AD1031">
        <f>IF($AG1031="","",Config!$B$23)</f>
        <v/>
      </c>
      <c r="AE1031">
        <f>IF($AG1031="","",Config!$B$28)</f>
        <v/>
      </c>
      <c r="AG1031">
        <f>IFERROR(MATCH(ROW()-1,Calc!$J$2:$J$1601,0),"")</f>
        <v/>
      </c>
      <c r="AH1031">
        <f>IFERROR(MATCH(ROW()-1,Calc!$K$2:$K$1601,0),"")</f>
        <v/>
      </c>
      <c r="AI1031">
        <f>IF($AG1031="","",SUMIF($AG$2:$AG1031,$AG1031,$AH$2:$AH1031))</f>
        <v/>
      </c>
      <c r="AJ1031">
        <f>IF('TMP Paste'!$F1031="","",IF('TMP Paste'!$B1031="",$AJ1030,'TMP Paste'!$B1031))</f>
        <v/>
      </c>
      <c r="AK1031">
        <f>IF('TMP Paste'!$F1031="","",N('TMP Paste'!$G1031))</f>
        <v/>
      </c>
      <c r="AL1031">
        <f>IF('TMP Paste'!$F1031="","",IF('TMP Paste'!$M1031="",$AL1030,'TMP Paste'!$M1031))</f>
        <v/>
      </c>
      <c r="AM1031">
        <f>IF('TMP Paste'!$F1031="","",IF('TMP Paste'!$N1031="",$AM1030,'TMP Paste'!$N1031))</f>
        <v/>
      </c>
      <c r="AN1031">
        <f>IF('TMP Paste'!$F1031="","",IF('TMP Paste'!$O1031="",$AN1030,'TMP Paste'!$O1031))</f>
        <v/>
      </c>
      <c r="AO1031">
        <f>IF('TMP Paste'!$F1031="","",IF('TMP Paste'!$P1031="",$AO1030,'TMP Paste'!$P1031))</f>
        <v/>
      </c>
      <c r="AP1031">
        <f>IF($AG1031="","",LEN($R1031))</f>
        <v/>
      </c>
      <c r="AQ1031">
        <f>IF($AG1031="","",TRIM(IF(COUNTIFS(Calc!$B$2:$B$1601,ROW()-1,Calc!$C$2:$C$1601,"&lt;1")&gt;0,"Ada PO tanpa Koli - cek TMP. ","")&amp;IF(LEN($R1031)&gt;500,"R &gt; 500 karakter.","")))</f>
        <v/>
      </c>
    </row>
    <row r="1032">
      <c r="A1032">
        <f>IF($AG1032="","",INDEX('TMP Paste'!$B$2:$B$1601,$AG1032))</f>
        <v/>
      </c>
      <c r="B1032">
        <f>IF($AG1032="","",Config!$B$14)</f>
        <v/>
      </c>
      <c r="C1032">
        <f>IF($AG1032="","",Config!$B$15)</f>
        <v/>
      </c>
      <c r="D1032">
        <f>IF($AG1032="","",INDEX('TMP Paste'!$B$2:$B$1601,$AG1032))</f>
        <v/>
      </c>
      <c r="E1032">
        <f>IF($AG1032="","",Config!$B$27)</f>
        <v/>
      </c>
      <c r="F1032">
        <f>IF($AG1032="","",Config!$B$9)</f>
        <v/>
      </c>
      <c r="G1032">
        <f>IF($AG1032="","",Config!$B$10)</f>
        <v/>
      </c>
      <c r="H1032">
        <f>IF($AG1032="","",Config!$B$11)</f>
        <v/>
      </c>
      <c r="I1032">
        <f>IF($AG1032="","",Config!$B$16)</f>
        <v/>
      </c>
      <c r="J1032">
        <f>IF($AG1032="","",INDEX('TMP Paste'!$A$2:$A$1601,$AG1032))</f>
        <v/>
      </c>
      <c r="K1032">
        <f>IF($AG1032="","",INDEX('TMP Paste'!$L$2:$L$1601,$AG1032))</f>
        <v/>
      </c>
      <c r="L1032">
        <f>IF($AG1032="","",INDEX('TMP Paste'!$I$2:$I$1601,$AG1032))</f>
        <v/>
      </c>
      <c r="M1032">
        <f>IF($AG1032="","",Config!$B$16)</f>
        <v/>
      </c>
      <c r="N1032">
        <f>IF($AG1032="","","")</f>
        <v/>
      </c>
      <c r="O1032">
        <f>IF($AG1032="","",INDEX('TMP Paste'!$K$2:$K$1601,$AG1032))</f>
        <v/>
      </c>
      <c r="P1032">
        <f>IF($AG1032="","","")</f>
        <v/>
      </c>
      <c r="Q1032">
        <f>IF($AG1032="","",INDEX('TMP Paste'!$J$2:$J$1601,$AG1032))</f>
        <v/>
      </c>
      <c r="R1032">
        <f>IF($AG1032="","",Config!$B$24)</f>
        <v/>
      </c>
      <c r="S1032">
        <f>IF($AG1032="","",TEXT(Config!$B$4,"yyyy-mm-dd"))</f>
        <v/>
      </c>
      <c r="T1032">
        <f>IF($AG1032="","",Config!$B$17)</f>
        <v/>
      </c>
      <c r="U1032">
        <f>IF($AG1032="","",Config!$B$18)</f>
        <v/>
      </c>
      <c r="V1032">
        <f>IF($AG1032="","",Config!$B$19)</f>
        <v/>
      </c>
      <c r="W1032">
        <f>IF($AG1032="","",INDEX('TMP Paste'!$C$2:$C$1601,$AG1032))</f>
        <v/>
      </c>
      <c r="X1032">
        <f>IF($AG1032="","",Config!$B$29)</f>
        <v/>
      </c>
      <c r="Y1032">
        <f>IF($AH1032="","",INDEX(Calc!$I$2:$I$1601,$AH1032)&amp;" - "&amp;INDEX(Calc!$D$2:$D$1601,$AH1032)&amp;" koli")</f>
        <v/>
      </c>
      <c r="Z1032">
        <f>IF($AG1032="","",Config!$B$21)</f>
        <v/>
      </c>
      <c r="AA1032">
        <f>IF($AG1032="","",Config!$B$22)</f>
        <v/>
      </c>
      <c r="AB1032">
        <f>IF($AH1032="","",INDEX(Calc!$D$2:$D$1601,$AH1032))</f>
        <v/>
      </c>
      <c r="AC1032">
        <f>IF($AH1032="","",INDEX(Calc!$G$2:$G$1601,$AH1032))</f>
        <v/>
      </c>
      <c r="AD1032">
        <f>IF($AG1032="","",Config!$B$23)</f>
        <v/>
      </c>
      <c r="AE1032">
        <f>IF($AG1032="","",Config!$B$28)</f>
        <v/>
      </c>
      <c r="AG1032">
        <f>IFERROR(MATCH(ROW()-1,Calc!$J$2:$J$1601,0),"")</f>
        <v/>
      </c>
      <c r="AH1032">
        <f>IFERROR(MATCH(ROW()-1,Calc!$K$2:$K$1601,0),"")</f>
        <v/>
      </c>
      <c r="AI1032">
        <f>IF($AG1032="","",SUMIF($AG$2:$AG1032,$AG1032,$AH$2:$AH1032))</f>
        <v/>
      </c>
      <c r="AJ1032">
        <f>IF('TMP Paste'!$F1032="","",IF('TMP Paste'!$B1032="",$AJ1031,'TMP Paste'!$B1032))</f>
        <v/>
      </c>
      <c r="AK1032">
        <f>IF('TMP Paste'!$F1032="","",N('TMP Paste'!$G1032))</f>
        <v/>
      </c>
      <c r="AL1032">
        <f>IF('TMP Paste'!$F1032="","",IF('TMP Paste'!$M1032="",$AL1031,'TMP Paste'!$M1032))</f>
        <v/>
      </c>
      <c r="AM1032">
        <f>IF('TMP Paste'!$F1032="","",IF('TMP Paste'!$N1032="",$AM1031,'TMP Paste'!$N1032))</f>
        <v/>
      </c>
      <c r="AN1032">
        <f>IF('TMP Paste'!$F1032="","",IF('TMP Paste'!$O1032="",$AN1031,'TMP Paste'!$O1032))</f>
        <v/>
      </c>
      <c r="AO1032">
        <f>IF('TMP Paste'!$F1032="","",IF('TMP Paste'!$P1032="",$AO1031,'TMP Paste'!$P1032))</f>
        <v/>
      </c>
      <c r="AP1032">
        <f>IF($AG1032="","",LEN($R1032))</f>
        <v/>
      </c>
      <c r="AQ1032">
        <f>IF($AG1032="","",TRIM(IF(COUNTIFS(Calc!$B$2:$B$1601,ROW()-1,Calc!$C$2:$C$1601,"&lt;1")&gt;0,"Ada PO tanpa Koli - cek TMP. ","")&amp;IF(LEN($R1032)&gt;500,"R &gt; 500 karakter.","")))</f>
        <v/>
      </c>
    </row>
    <row r="1033">
      <c r="A1033">
        <f>IF($AG1033="","",INDEX('TMP Paste'!$B$2:$B$1601,$AG1033))</f>
        <v/>
      </c>
      <c r="B1033">
        <f>IF($AG1033="","",Config!$B$14)</f>
        <v/>
      </c>
      <c r="C1033">
        <f>IF($AG1033="","",Config!$B$15)</f>
        <v/>
      </c>
      <c r="D1033">
        <f>IF($AG1033="","",INDEX('TMP Paste'!$B$2:$B$1601,$AG1033))</f>
        <v/>
      </c>
      <c r="E1033">
        <f>IF($AG1033="","",Config!$B$27)</f>
        <v/>
      </c>
      <c r="F1033">
        <f>IF($AG1033="","",Config!$B$9)</f>
        <v/>
      </c>
      <c r="G1033">
        <f>IF($AG1033="","",Config!$B$10)</f>
        <v/>
      </c>
      <c r="H1033">
        <f>IF($AG1033="","",Config!$B$11)</f>
        <v/>
      </c>
      <c r="I1033">
        <f>IF($AG1033="","",Config!$B$16)</f>
        <v/>
      </c>
      <c r="J1033">
        <f>IF($AG1033="","",INDEX('TMP Paste'!$A$2:$A$1601,$AG1033))</f>
        <v/>
      </c>
      <c r="K1033">
        <f>IF($AG1033="","",INDEX('TMP Paste'!$L$2:$L$1601,$AG1033))</f>
        <v/>
      </c>
      <c r="L1033">
        <f>IF($AG1033="","",INDEX('TMP Paste'!$I$2:$I$1601,$AG1033))</f>
        <v/>
      </c>
      <c r="M1033">
        <f>IF($AG1033="","",Config!$B$16)</f>
        <v/>
      </c>
      <c r="N1033">
        <f>IF($AG1033="","","")</f>
        <v/>
      </c>
      <c r="O1033">
        <f>IF($AG1033="","",INDEX('TMP Paste'!$K$2:$K$1601,$AG1033))</f>
        <v/>
      </c>
      <c r="P1033">
        <f>IF($AG1033="","","")</f>
        <v/>
      </c>
      <c r="Q1033">
        <f>IF($AG1033="","",INDEX('TMP Paste'!$J$2:$J$1601,$AG1033))</f>
        <v/>
      </c>
      <c r="R1033">
        <f>IF($AG1033="","",Config!$B$24)</f>
        <v/>
      </c>
      <c r="S1033">
        <f>IF($AG1033="","",TEXT(Config!$B$4,"yyyy-mm-dd"))</f>
        <v/>
      </c>
      <c r="T1033">
        <f>IF($AG1033="","",Config!$B$17)</f>
        <v/>
      </c>
      <c r="U1033">
        <f>IF($AG1033="","",Config!$B$18)</f>
        <v/>
      </c>
      <c r="V1033">
        <f>IF($AG1033="","",Config!$B$19)</f>
        <v/>
      </c>
      <c r="W1033">
        <f>IF($AG1033="","",INDEX('TMP Paste'!$C$2:$C$1601,$AG1033))</f>
        <v/>
      </c>
      <c r="X1033">
        <f>IF($AG1033="","",Config!$B$29)</f>
        <v/>
      </c>
      <c r="Y1033">
        <f>IF($AH1033="","",INDEX(Calc!$I$2:$I$1601,$AH1033)&amp;" - "&amp;INDEX(Calc!$D$2:$D$1601,$AH1033)&amp;" koli")</f>
        <v/>
      </c>
      <c r="Z1033">
        <f>IF($AG1033="","",Config!$B$21)</f>
        <v/>
      </c>
      <c r="AA1033">
        <f>IF($AG1033="","",Config!$B$22)</f>
        <v/>
      </c>
      <c r="AB1033">
        <f>IF($AH1033="","",INDEX(Calc!$D$2:$D$1601,$AH1033))</f>
        <v/>
      </c>
      <c r="AC1033">
        <f>IF($AH1033="","",INDEX(Calc!$G$2:$G$1601,$AH1033))</f>
        <v/>
      </c>
      <c r="AD1033">
        <f>IF($AG1033="","",Config!$B$23)</f>
        <v/>
      </c>
      <c r="AE1033">
        <f>IF($AG1033="","",Config!$B$28)</f>
        <v/>
      </c>
      <c r="AG1033">
        <f>IFERROR(MATCH(ROW()-1,Calc!$J$2:$J$1601,0),"")</f>
        <v/>
      </c>
      <c r="AH1033">
        <f>IFERROR(MATCH(ROW()-1,Calc!$K$2:$K$1601,0),"")</f>
        <v/>
      </c>
      <c r="AI1033">
        <f>IF($AG1033="","",SUMIF($AG$2:$AG1033,$AG1033,$AH$2:$AH1033))</f>
        <v/>
      </c>
      <c r="AJ1033">
        <f>IF('TMP Paste'!$F1033="","",IF('TMP Paste'!$B1033="",$AJ1032,'TMP Paste'!$B1033))</f>
        <v/>
      </c>
      <c r="AK1033">
        <f>IF('TMP Paste'!$F1033="","",N('TMP Paste'!$G1033))</f>
        <v/>
      </c>
      <c r="AL1033">
        <f>IF('TMP Paste'!$F1033="","",IF('TMP Paste'!$M1033="",$AL1032,'TMP Paste'!$M1033))</f>
        <v/>
      </c>
      <c r="AM1033">
        <f>IF('TMP Paste'!$F1033="","",IF('TMP Paste'!$N1033="",$AM1032,'TMP Paste'!$N1033))</f>
        <v/>
      </c>
      <c r="AN1033">
        <f>IF('TMP Paste'!$F1033="","",IF('TMP Paste'!$O1033="",$AN1032,'TMP Paste'!$O1033))</f>
        <v/>
      </c>
      <c r="AO1033">
        <f>IF('TMP Paste'!$F1033="","",IF('TMP Paste'!$P1033="",$AO1032,'TMP Paste'!$P1033))</f>
        <v/>
      </c>
      <c r="AP1033">
        <f>IF($AG1033="","",LEN($R1033))</f>
        <v/>
      </c>
      <c r="AQ1033">
        <f>IF($AG1033="","",TRIM(IF(COUNTIFS(Calc!$B$2:$B$1601,ROW()-1,Calc!$C$2:$C$1601,"&lt;1")&gt;0,"Ada PO tanpa Koli - cek TMP. ","")&amp;IF(LEN($R1033)&gt;500,"R &gt; 500 karakter.","")))</f>
        <v/>
      </c>
    </row>
    <row r="1034">
      <c r="A1034">
        <f>IF($AG1034="","",INDEX('TMP Paste'!$B$2:$B$1601,$AG1034))</f>
        <v/>
      </c>
      <c r="B1034">
        <f>IF($AG1034="","",Config!$B$14)</f>
        <v/>
      </c>
      <c r="C1034">
        <f>IF($AG1034="","",Config!$B$15)</f>
        <v/>
      </c>
      <c r="D1034">
        <f>IF($AG1034="","",INDEX('TMP Paste'!$B$2:$B$1601,$AG1034))</f>
        <v/>
      </c>
      <c r="E1034">
        <f>IF($AG1034="","",Config!$B$27)</f>
        <v/>
      </c>
      <c r="F1034">
        <f>IF($AG1034="","",Config!$B$9)</f>
        <v/>
      </c>
      <c r="G1034">
        <f>IF($AG1034="","",Config!$B$10)</f>
        <v/>
      </c>
      <c r="H1034">
        <f>IF($AG1034="","",Config!$B$11)</f>
        <v/>
      </c>
      <c r="I1034">
        <f>IF($AG1034="","",Config!$B$16)</f>
        <v/>
      </c>
      <c r="J1034">
        <f>IF($AG1034="","",INDEX('TMP Paste'!$A$2:$A$1601,$AG1034))</f>
        <v/>
      </c>
      <c r="K1034">
        <f>IF($AG1034="","",INDEX('TMP Paste'!$L$2:$L$1601,$AG1034))</f>
        <v/>
      </c>
      <c r="L1034">
        <f>IF($AG1034="","",INDEX('TMP Paste'!$I$2:$I$1601,$AG1034))</f>
        <v/>
      </c>
      <c r="M1034">
        <f>IF($AG1034="","",Config!$B$16)</f>
        <v/>
      </c>
      <c r="N1034">
        <f>IF($AG1034="","","")</f>
        <v/>
      </c>
      <c r="O1034">
        <f>IF($AG1034="","",INDEX('TMP Paste'!$K$2:$K$1601,$AG1034))</f>
        <v/>
      </c>
      <c r="P1034">
        <f>IF($AG1034="","","")</f>
        <v/>
      </c>
      <c r="Q1034">
        <f>IF($AG1034="","",INDEX('TMP Paste'!$J$2:$J$1601,$AG1034))</f>
        <v/>
      </c>
      <c r="R1034">
        <f>IF($AG1034="","",Config!$B$24)</f>
        <v/>
      </c>
      <c r="S1034">
        <f>IF($AG1034="","",TEXT(Config!$B$4,"yyyy-mm-dd"))</f>
        <v/>
      </c>
      <c r="T1034">
        <f>IF($AG1034="","",Config!$B$17)</f>
        <v/>
      </c>
      <c r="U1034">
        <f>IF($AG1034="","",Config!$B$18)</f>
        <v/>
      </c>
      <c r="V1034">
        <f>IF($AG1034="","",Config!$B$19)</f>
        <v/>
      </c>
      <c r="W1034">
        <f>IF($AG1034="","",INDEX('TMP Paste'!$C$2:$C$1601,$AG1034))</f>
        <v/>
      </c>
      <c r="X1034">
        <f>IF($AG1034="","",Config!$B$29)</f>
        <v/>
      </c>
      <c r="Y1034">
        <f>IF($AH1034="","",INDEX(Calc!$I$2:$I$1601,$AH1034)&amp;" - "&amp;INDEX(Calc!$D$2:$D$1601,$AH1034)&amp;" koli")</f>
        <v/>
      </c>
      <c r="Z1034">
        <f>IF($AG1034="","",Config!$B$21)</f>
        <v/>
      </c>
      <c r="AA1034">
        <f>IF($AG1034="","",Config!$B$22)</f>
        <v/>
      </c>
      <c r="AB1034">
        <f>IF($AH1034="","",INDEX(Calc!$D$2:$D$1601,$AH1034))</f>
        <v/>
      </c>
      <c r="AC1034">
        <f>IF($AH1034="","",INDEX(Calc!$G$2:$G$1601,$AH1034))</f>
        <v/>
      </c>
      <c r="AD1034">
        <f>IF($AG1034="","",Config!$B$23)</f>
        <v/>
      </c>
      <c r="AE1034">
        <f>IF($AG1034="","",Config!$B$28)</f>
        <v/>
      </c>
      <c r="AG1034">
        <f>IFERROR(MATCH(ROW()-1,Calc!$J$2:$J$1601,0),"")</f>
        <v/>
      </c>
      <c r="AH1034">
        <f>IFERROR(MATCH(ROW()-1,Calc!$K$2:$K$1601,0),"")</f>
        <v/>
      </c>
      <c r="AI1034">
        <f>IF($AG1034="","",SUMIF($AG$2:$AG1034,$AG1034,$AH$2:$AH1034))</f>
        <v/>
      </c>
      <c r="AJ1034">
        <f>IF('TMP Paste'!$F1034="","",IF('TMP Paste'!$B1034="",$AJ1033,'TMP Paste'!$B1034))</f>
        <v/>
      </c>
      <c r="AK1034">
        <f>IF('TMP Paste'!$F1034="","",N('TMP Paste'!$G1034))</f>
        <v/>
      </c>
      <c r="AL1034">
        <f>IF('TMP Paste'!$F1034="","",IF('TMP Paste'!$M1034="",$AL1033,'TMP Paste'!$M1034))</f>
        <v/>
      </c>
      <c r="AM1034">
        <f>IF('TMP Paste'!$F1034="","",IF('TMP Paste'!$N1034="",$AM1033,'TMP Paste'!$N1034))</f>
        <v/>
      </c>
      <c r="AN1034">
        <f>IF('TMP Paste'!$F1034="","",IF('TMP Paste'!$O1034="",$AN1033,'TMP Paste'!$O1034))</f>
        <v/>
      </c>
      <c r="AO1034">
        <f>IF('TMP Paste'!$F1034="","",IF('TMP Paste'!$P1034="",$AO1033,'TMP Paste'!$P1034))</f>
        <v/>
      </c>
      <c r="AP1034">
        <f>IF($AG1034="","",LEN($R1034))</f>
        <v/>
      </c>
      <c r="AQ1034">
        <f>IF($AG1034="","",TRIM(IF(COUNTIFS(Calc!$B$2:$B$1601,ROW()-1,Calc!$C$2:$C$1601,"&lt;1")&gt;0,"Ada PO tanpa Koli - cek TMP. ","")&amp;IF(LEN($R1034)&gt;500,"R &gt; 500 karakter.","")))</f>
        <v/>
      </c>
    </row>
    <row r="1035">
      <c r="A1035">
        <f>IF($AG1035="","",INDEX('TMP Paste'!$B$2:$B$1601,$AG1035))</f>
        <v/>
      </c>
      <c r="B1035">
        <f>IF($AG1035="","",Config!$B$14)</f>
        <v/>
      </c>
      <c r="C1035">
        <f>IF($AG1035="","",Config!$B$15)</f>
        <v/>
      </c>
      <c r="D1035">
        <f>IF($AG1035="","",INDEX('TMP Paste'!$B$2:$B$1601,$AG1035))</f>
        <v/>
      </c>
      <c r="E1035">
        <f>IF($AG1035="","",Config!$B$27)</f>
        <v/>
      </c>
      <c r="F1035">
        <f>IF($AG1035="","",Config!$B$9)</f>
        <v/>
      </c>
      <c r="G1035">
        <f>IF($AG1035="","",Config!$B$10)</f>
        <v/>
      </c>
      <c r="H1035">
        <f>IF($AG1035="","",Config!$B$11)</f>
        <v/>
      </c>
      <c r="I1035">
        <f>IF($AG1035="","",Config!$B$16)</f>
        <v/>
      </c>
      <c r="J1035">
        <f>IF($AG1035="","",INDEX('TMP Paste'!$A$2:$A$1601,$AG1035))</f>
        <v/>
      </c>
      <c r="K1035">
        <f>IF($AG1035="","",INDEX('TMP Paste'!$L$2:$L$1601,$AG1035))</f>
        <v/>
      </c>
      <c r="L1035">
        <f>IF($AG1035="","",INDEX('TMP Paste'!$I$2:$I$1601,$AG1035))</f>
        <v/>
      </c>
      <c r="M1035">
        <f>IF($AG1035="","",Config!$B$16)</f>
        <v/>
      </c>
      <c r="N1035">
        <f>IF($AG1035="","","")</f>
        <v/>
      </c>
      <c r="O1035">
        <f>IF($AG1035="","",INDEX('TMP Paste'!$K$2:$K$1601,$AG1035))</f>
        <v/>
      </c>
      <c r="P1035">
        <f>IF($AG1035="","","")</f>
        <v/>
      </c>
      <c r="Q1035">
        <f>IF($AG1035="","",INDEX('TMP Paste'!$J$2:$J$1601,$AG1035))</f>
        <v/>
      </c>
      <c r="R1035">
        <f>IF($AG1035="","",Config!$B$24)</f>
        <v/>
      </c>
      <c r="S1035">
        <f>IF($AG1035="","",TEXT(Config!$B$4,"yyyy-mm-dd"))</f>
        <v/>
      </c>
      <c r="T1035">
        <f>IF($AG1035="","",Config!$B$17)</f>
        <v/>
      </c>
      <c r="U1035">
        <f>IF($AG1035="","",Config!$B$18)</f>
        <v/>
      </c>
      <c r="V1035">
        <f>IF($AG1035="","",Config!$B$19)</f>
        <v/>
      </c>
      <c r="W1035">
        <f>IF($AG1035="","",INDEX('TMP Paste'!$C$2:$C$1601,$AG1035))</f>
        <v/>
      </c>
      <c r="X1035">
        <f>IF($AG1035="","",Config!$B$29)</f>
        <v/>
      </c>
      <c r="Y1035">
        <f>IF($AH1035="","",INDEX(Calc!$I$2:$I$1601,$AH1035)&amp;" - "&amp;INDEX(Calc!$D$2:$D$1601,$AH1035)&amp;" koli")</f>
        <v/>
      </c>
      <c r="Z1035">
        <f>IF($AG1035="","",Config!$B$21)</f>
        <v/>
      </c>
      <c r="AA1035">
        <f>IF($AG1035="","",Config!$B$22)</f>
        <v/>
      </c>
      <c r="AB1035">
        <f>IF($AH1035="","",INDEX(Calc!$D$2:$D$1601,$AH1035))</f>
        <v/>
      </c>
      <c r="AC1035">
        <f>IF($AH1035="","",INDEX(Calc!$G$2:$G$1601,$AH1035))</f>
        <v/>
      </c>
      <c r="AD1035">
        <f>IF($AG1035="","",Config!$B$23)</f>
        <v/>
      </c>
      <c r="AE1035">
        <f>IF($AG1035="","",Config!$B$28)</f>
        <v/>
      </c>
      <c r="AG1035">
        <f>IFERROR(MATCH(ROW()-1,Calc!$J$2:$J$1601,0),"")</f>
        <v/>
      </c>
      <c r="AH1035">
        <f>IFERROR(MATCH(ROW()-1,Calc!$K$2:$K$1601,0),"")</f>
        <v/>
      </c>
      <c r="AI1035">
        <f>IF($AG1035="","",SUMIF($AG$2:$AG1035,$AG1035,$AH$2:$AH1035))</f>
        <v/>
      </c>
      <c r="AJ1035">
        <f>IF('TMP Paste'!$F1035="","",IF('TMP Paste'!$B1035="",$AJ1034,'TMP Paste'!$B1035))</f>
        <v/>
      </c>
      <c r="AK1035">
        <f>IF('TMP Paste'!$F1035="","",N('TMP Paste'!$G1035))</f>
        <v/>
      </c>
      <c r="AL1035">
        <f>IF('TMP Paste'!$F1035="","",IF('TMP Paste'!$M1035="",$AL1034,'TMP Paste'!$M1035))</f>
        <v/>
      </c>
      <c r="AM1035">
        <f>IF('TMP Paste'!$F1035="","",IF('TMP Paste'!$N1035="",$AM1034,'TMP Paste'!$N1035))</f>
        <v/>
      </c>
      <c r="AN1035">
        <f>IF('TMP Paste'!$F1035="","",IF('TMP Paste'!$O1035="",$AN1034,'TMP Paste'!$O1035))</f>
        <v/>
      </c>
      <c r="AO1035">
        <f>IF('TMP Paste'!$F1035="","",IF('TMP Paste'!$P1035="",$AO1034,'TMP Paste'!$P1035))</f>
        <v/>
      </c>
      <c r="AP1035">
        <f>IF($AG1035="","",LEN($R1035))</f>
        <v/>
      </c>
      <c r="AQ1035">
        <f>IF($AG1035="","",TRIM(IF(COUNTIFS(Calc!$B$2:$B$1601,ROW()-1,Calc!$C$2:$C$1601,"&lt;1")&gt;0,"Ada PO tanpa Koli - cek TMP. ","")&amp;IF(LEN($R1035)&gt;500,"R &gt; 500 karakter.","")))</f>
        <v/>
      </c>
    </row>
    <row r="1036">
      <c r="A1036">
        <f>IF($AG1036="","",INDEX('TMP Paste'!$B$2:$B$1601,$AG1036))</f>
        <v/>
      </c>
      <c r="B1036">
        <f>IF($AG1036="","",Config!$B$14)</f>
        <v/>
      </c>
      <c r="C1036">
        <f>IF($AG1036="","",Config!$B$15)</f>
        <v/>
      </c>
      <c r="D1036">
        <f>IF($AG1036="","",INDEX('TMP Paste'!$B$2:$B$1601,$AG1036))</f>
        <v/>
      </c>
      <c r="E1036">
        <f>IF($AG1036="","",Config!$B$27)</f>
        <v/>
      </c>
      <c r="F1036">
        <f>IF($AG1036="","",Config!$B$9)</f>
        <v/>
      </c>
      <c r="G1036">
        <f>IF($AG1036="","",Config!$B$10)</f>
        <v/>
      </c>
      <c r="H1036">
        <f>IF($AG1036="","",Config!$B$11)</f>
        <v/>
      </c>
      <c r="I1036">
        <f>IF($AG1036="","",Config!$B$16)</f>
        <v/>
      </c>
      <c r="J1036">
        <f>IF($AG1036="","",INDEX('TMP Paste'!$A$2:$A$1601,$AG1036))</f>
        <v/>
      </c>
      <c r="K1036">
        <f>IF($AG1036="","",INDEX('TMP Paste'!$L$2:$L$1601,$AG1036))</f>
        <v/>
      </c>
      <c r="L1036">
        <f>IF($AG1036="","",INDEX('TMP Paste'!$I$2:$I$1601,$AG1036))</f>
        <v/>
      </c>
      <c r="M1036">
        <f>IF($AG1036="","",Config!$B$16)</f>
        <v/>
      </c>
      <c r="N1036">
        <f>IF($AG1036="","","")</f>
        <v/>
      </c>
      <c r="O1036">
        <f>IF($AG1036="","",INDEX('TMP Paste'!$K$2:$K$1601,$AG1036))</f>
        <v/>
      </c>
      <c r="P1036">
        <f>IF($AG1036="","","")</f>
        <v/>
      </c>
      <c r="Q1036">
        <f>IF($AG1036="","",INDEX('TMP Paste'!$J$2:$J$1601,$AG1036))</f>
        <v/>
      </c>
      <c r="R1036">
        <f>IF($AG1036="","",Config!$B$24)</f>
        <v/>
      </c>
      <c r="S1036">
        <f>IF($AG1036="","",TEXT(Config!$B$4,"yyyy-mm-dd"))</f>
        <v/>
      </c>
      <c r="T1036">
        <f>IF($AG1036="","",Config!$B$17)</f>
        <v/>
      </c>
      <c r="U1036">
        <f>IF($AG1036="","",Config!$B$18)</f>
        <v/>
      </c>
      <c r="V1036">
        <f>IF($AG1036="","",Config!$B$19)</f>
        <v/>
      </c>
      <c r="W1036">
        <f>IF($AG1036="","",INDEX('TMP Paste'!$C$2:$C$1601,$AG1036))</f>
        <v/>
      </c>
      <c r="X1036">
        <f>IF($AG1036="","",Config!$B$29)</f>
        <v/>
      </c>
      <c r="Y1036">
        <f>IF($AH1036="","",INDEX(Calc!$I$2:$I$1601,$AH1036)&amp;" - "&amp;INDEX(Calc!$D$2:$D$1601,$AH1036)&amp;" koli")</f>
        <v/>
      </c>
      <c r="Z1036">
        <f>IF($AG1036="","",Config!$B$21)</f>
        <v/>
      </c>
      <c r="AA1036">
        <f>IF($AG1036="","",Config!$B$22)</f>
        <v/>
      </c>
      <c r="AB1036">
        <f>IF($AH1036="","",INDEX(Calc!$D$2:$D$1601,$AH1036))</f>
        <v/>
      </c>
      <c r="AC1036">
        <f>IF($AH1036="","",INDEX(Calc!$G$2:$G$1601,$AH1036))</f>
        <v/>
      </c>
      <c r="AD1036">
        <f>IF($AG1036="","",Config!$B$23)</f>
        <v/>
      </c>
      <c r="AE1036">
        <f>IF($AG1036="","",Config!$B$28)</f>
        <v/>
      </c>
      <c r="AG1036">
        <f>IFERROR(MATCH(ROW()-1,Calc!$J$2:$J$1601,0),"")</f>
        <v/>
      </c>
      <c r="AH1036">
        <f>IFERROR(MATCH(ROW()-1,Calc!$K$2:$K$1601,0),"")</f>
        <v/>
      </c>
      <c r="AI1036">
        <f>IF($AG1036="","",SUMIF($AG$2:$AG1036,$AG1036,$AH$2:$AH1036))</f>
        <v/>
      </c>
      <c r="AJ1036">
        <f>IF('TMP Paste'!$F1036="","",IF('TMP Paste'!$B1036="",$AJ1035,'TMP Paste'!$B1036))</f>
        <v/>
      </c>
      <c r="AK1036">
        <f>IF('TMP Paste'!$F1036="","",N('TMP Paste'!$G1036))</f>
        <v/>
      </c>
      <c r="AL1036">
        <f>IF('TMP Paste'!$F1036="","",IF('TMP Paste'!$M1036="",$AL1035,'TMP Paste'!$M1036))</f>
        <v/>
      </c>
      <c r="AM1036">
        <f>IF('TMP Paste'!$F1036="","",IF('TMP Paste'!$N1036="",$AM1035,'TMP Paste'!$N1036))</f>
        <v/>
      </c>
      <c r="AN1036">
        <f>IF('TMP Paste'!$F1036="","",IF('TMP Paste'!$O1036="",$AN1035,'TMP Paste'!$O1036))</f>
        <v/>
      </c>
      <c r="AO1036">
        <f>IF('TMP Paste'!$F1036="","",IF('TMP Paste'!$P1036="",$AO1035,'TMP Paste'!$P1036))</f>
        <v/>
      </c>
      <c r="AP1036">
        <f>IF($AG1036="","",LEN($R1036))</f>
        <v/>
      </c>
      <c r="AQ1036">
        <f>IF($AG1036="","",TRIM(IF(COUNTIFS(Calc!$B$2:$B$1601,ROW()-1,Calc!$C$2:$C$1601,"&lt;1")&gt;0,"Ada PO tanpa Koli - cek TMP. ","")&amp;IF(LEN($R1036)&gt;500,"R &gt; 500 karakter.","")))</f>
        <v/>
      </c>
    </row>
    <row r="1037">
      <c r="A1037">
        <f>IF($AG1037="","",INDEX('TMP Paste'!$B$2:$B$1601,$AG1037))</f>
        <v/>
      </c>
      <c r="B1037">
        <f>IF($AG1037="","",Config!$B$14)</f>
        <v/>
      </c>
      <c r="C1037">
        <f>IF($AG1037="","",Config!$B$15)</f>
        <v/>
      </c>
      <c r="D1037">
        <f>IF($AG1037="","",INDEX('TMP Paste'!$B$2:$B$1601,$AG1037))</f>
        <v/>
      </c>
      <c r="E1037">
        <f>IF($AG1037="","",Config!$B$27)</f>
        <v/>
      </c>
      <c r="F1037">
        <f>IF($AG1037="","",Config!$B$9)</f>
        <v/>
      </c>
      <c r="G1037">
        <f>IF($AG1037="","",Config!$B$10)</f>
        <v/>
      </c>
      <c r="H1037">
        <f>IF($AG1037="","",Config!$B$11)</f>
        <v/>
      </c>
      <c r="I1037">
        <f>IF($AG1037="","",Config!$B$16)</f>
        <v/>
      </c>
      <c r="J1037">
        <f>IF($AG1037="","",INDEX('TMP Paste'!$A$2:$A$1601,$AG1037))</f>
        <v/>
      </c>
      <c r="K1037">
        <f>IF($AG1037="","",INDEX('TMP Paste'!$L$2:$L$1601,$AG1037))</f>
        <v/>
      </c>
      <c r="L1037">
        <f>IF($AG1037="","",INDEX('TMP Paste'!$I$2:$I$1601,$AG1037))</f>
        <v/>
      </c>
      <c r="M1037">
        <f>IF($AG1037="","",Config!$B$16)</f>
        <v/>
      </c>
      <c r="N1037">
        <f>IF($AG1037="","","")</f>
        <v/>
      </c>
      <c r="O1037">
        <f>IF($AG1037="","",INDEX('TMP Paste'!$K$2:$K$1601,$AG1037))</f>
        <v/>
      </c>
      <c r="P1037">
        <f>IF($AG1037="","","")</f>
        <v/>
      </c>
      <c r="Q1037">
        <f>IF($AG1037="","",INDEX('TMP Paste'!$J$2:$J$1601,$AG1037))</f>
        <v/>
      </c>
      <c r="R1037">
        <f>IF($AG1037="","",Config!$B$24)</f>
        <v/>
      </c>
      <c r="S1037">
        <f>IF($AG1037="","",TEXT(Config!$B$4,"yyyy-mm-dd"))</f>
        <v/>
      </c>
      <c r="T1037">
        <f>IF($AG1037="","",Config!$B$17)</f>
        <v/>
      </c>
      <c r="U1037">
        <f>IF($AG1037="","",Config!$B$18)</f>
        <v/>
      </c>
      <c r="V1037">
        <f>IF($AG1037="","",Config!$B$19)</f>
        <v/>
      </c>
      <c r="W1037">
        <f>IF($AG1037="","",INDEX('TMP Paste'!$C$2:$C$1601,$AG1037))</f>
        <v/>
      </c>
      <c r="X1037">
        <f>IF($AG1037="","",Config!$B$29)</f>
        <v/>
      </c>
      <c r="Y1037">
        <f>IF($AH1037="","",INDEX(Calc!$I$2:$I$1601,$AH1037)&amp;" - "&amp;INDEX(Calc!$D$2:$D$1601,$AH1037)&amp;" koli")</f>
        <v/>
      </c>
      <c r="Z1037">
        <f>IF($AG1037="","",Config!$B$21)</f>
        <v/>
      </c>
      <c r="AA1037">
        <f>IF($AG1037="","",Config!$B$22)</f>
        <v/>
      </c>
      <c r="AB1037">
        <f>IF($AH1037="","",INDEX(Calc!$D$2:$D$1601,$AH1037))</f>
        <v/>
      </c>
      <c r="AC1037">
        <f>IF($AH1037="","",INDEX(Calc!$G$2:$G$1601,$AH1037))</f>
        <v/>
      </c>
      <c r="AD1037">
        <f>IF($AG1037="","",Config!$B$23)</f>
        <v/>
      </c>
      <c r="AE1037">
        <f>IF($AG1037="","",Config!$B$28)</f>
        <v/>
      </c>
      <c r="AG1037">
        <f>IFERROR(MATCH(ROW()-1,Calc!$J$2:$J$1601,0),"")</f>
        <v/>
      </c>
      <c r="AH1037">
        <f>IFERROR(MATCH(ROW()-1,Calc!$K$2:$K$1601,0),"")</f>
        <v/>
      </c>
      <c r="AI1037">
        <f>IF($AG1037="","",SUMIF($AG$2:$AG1037,$AG1037,$AH$2:$AH1037))</f>
        <v/>
      </c>
      <c r="AJ1037">
        <f>IF('TMP Paste'!$F1037="","",IF('TMP Paste'!$B1037="",$AJ1036,'TMP Paste'!$B1037))</f>
        <v/>
      </c>
      <c r="AK1037">
        <f>IF('TMP Paste'!$F1037="","",N('TMP Paste'!$G1037))</f>
        <v/>
      </c>
      <c r="AL1037">
        <f>IF('TMP Paste'!$F1037="","",IF('TMP Paste'!$M1037="",$AL1036,'TMP Paste'!$M1037))</f>
        <v/>
      </c>
      <c r="AM1037">
        <f>IF('TMP Paste'!$F1037="","",IF('TMP Paste'!$N1037="",$AM1036,'TMP Paste'!$N1037))</f>
        <v/>
      </c>
      <c r="AN1037">
        <f>IF('TMP Paste'!$F1037="","",IF('TMP Paste'!$O1037="",$AN1036,'TMP Paste'!$O1037))</f>
        <v/>
      </c>
      <c r="AO1037">
        <f>IF('TMP Paste'!$F1037="","",IF('TMP Paste'!$P1037="",$AO1036,'TMP Paste'!$P1037))</f>
        <v/>
      </c>
      <c r="AP1037">
        <f>IF($AG1037="","",LEN($R1037))</f>
        <v/>
      </c>
      <c r="AQ1037">
        <f>IF($AG1037="","",TRIM(IF(COUNTIFS(Calc!$B$2:$B$1601,ROW()-1,Calc!$C$2:$C$1601,"&lt;1")&gt;0,"Ada PO tanpa Koli - cek TMP. ","")&amp;IF(LEN($R1037)&gt;500,"R &gt; 500 karakter.","")))</f>
        <v/>
      </c>
    </row>
    <row r="1038">
      <c r="A1038">
        <f>IF($AG1038="","",INDEX('TMP Paste'!$B$2:$B$1601,$AG1038))</f>
        <v/>
      </c>
      <c r="B1038">
        <f>IF($AG1038="","",Config!$B$14)</f>
        <v/>
      </c>
      <c r="C1038">
        <f>IF($AG1038="","",Config!$B$15)</f>
        <v/>
      </c>
      <c r="D1038">
        <f>IF($AG1038="","",INDEX('TMP Paste'!$B$2:$B$1601,$AG1038))</f>
        <v/>
      </c>
      <c r="E1038">
        <f>IF($AG1038="","",Config!$B$27)</f>
        <v/>
      </c>
      <c r="F1038">
        <f>IF($AG1038="","",Config!$B$9)</f>
        <v/>
      </c>
      <c r="G1038">
        <f>IF($AG1038="","",Config!$B$10)</f>
        <v/>
      </c>
      <c r="H1038">
        <f>IF($AG1038="","",Config!$B$11)</f>
        <v/>
      </c>
      <c r="I1038">
        <f>IF($AG1038="","",Config!$B$16)</f>
        <v/>
      </c>
      <c r="J1038">
        <f>IF($AG1038="","",INDEX('TMP Paste'!$A$2:$A$1601,$AG1038))</f>
        <v/>
      </c>
      <c r="K1038">
        <f>IF($AG1038="","",INDEX('TMP Paste'!$L$2:$L$1601,$AG1038))</f>
        <v/>
      </c>
      <c r="L1038">
        <f>IF($AG1038="","",INDEX('TMP Paste'!$I$2:$I$1601,$AG1038))</f>
        <v/>
      </c>
      <c r="M1038">
        <f>IF($AG1038="","",Config!$B$16)</f>
        <v/>
      </c>
      <c r="N1038">
        <f>IF($AG1038="","","")</f>
        <v/>
      </c>
      <c r="O1038">
        <f>IF($AG1038="","",INDEX('TMP Paste'!$K$2:$K$1601,$AG1038))</f>
        <v/>
      </c>
      <c r="P1038">
        <f>IF($AG1038="","","")</f>
        <v/>
      </c>
      <c r="Q1038">
        <f>IF($AG1038="","",INDEX('TMP Paste'!$J$2:$J$1601,$AG1038))</f>
        <v/>
      </c>
      <c r="R1038">
        <f>IF($AG1038="","",Config!$B$24)</f>
        <v/>
      </c>
      <c r="S1038">
        <f>IF($AG1038="","",TEXT(Config!$B$4,"yyyy-mm-dd"))</f>
        <v/>
      </c>
      <c r="T1038">
        <f>IF($AG1038="","",Config!$B$17)</f>
        <v/>
      </c>
      <c r="U1038">
        <f>IF($AG1038="","",Config!$B$18)</f>
        <v/>
      </c>
      <c r="V1038">
        <f>IF($AG1038="","",Config!$B$19)</f>
        <v/>
      </c>
      <c r="W1038">
        <f>IF($AG1038="","",INDEX('TMP Paste'!$C$2:$C$1601,$AG1038))</f>
        <v/>
      </c>
      <c r="X1038">
        <f>IF($AG1038="","",Config!$B$29)</f>
        <v/>
      </c>
      <c r="Y1038">
        <f>IF($AH1038="","",INDEX(Calc!$I$2:$I$1601,$AH1038)&amp;" - "&amp;INDEX(Calc!$D$2:$D$1601,$AH1038)&amp;" koli")</f>
        <v/>
      </c>
      <c r="Z1038">
        <f>IF($AG1038="","",Config!$B$21)</f>
        <v/>
      </c>
      <c r="AA1038">
        <f>IF($AG1038="","",Config!$B$22)</f>
        <v/>
      </c>
      <c r="AB1038">
        <f>IF($AH1038="","",INDEX(Calc!$D$2:$D$1601,$AH1038))</f>
        <v/>
      </c>
      <c r="AC1038">
        <f>IF($AH1038="","",INDEX(Calc!$G$2:$G$1601,$AH1038))</f>
        <v/>
      </c>
      <c r="AD1038">
        <f>IF($AG1038="","",Config!$B$23)</f>
        <v/>
      </c>
      <c r="AE1038">
        <f>IF($AG1038="","",Config!$B$28)</f>
        <v/>
      </c>
      <c r="AG1038">
        <f>IFERROR(MATCH(ROW()-1,Calc!$J$2:$J$1601,0),"")</f>
        <v/>
      </c>
      <c r="AH1038">
        <f>IFERROR(MATCH(ROW()-1,Calc!$K$2:$K$1601,0),"")</f>
        <v/>
      </c>
      <c r="AI1038">
        <f>IF($AG1038="","",SUMIF($AG$2:$AG1038,$AG1038,$AH$2:$AH1038))</f>
        <v/>
      </c>
      <c r="AJ1038">
        <f>IF('TMP Paste'!$F1038="","",IF('TMP Paste'!$B1038="",$AJ1037,'TMP Paste'!$B1038))</f>
        <v/>
      </c>
      <c r="AK1038">
        <f>IF('TMP Paste'!$F1038="","",N('TMP Paste'!$G1038))</f>
        <v/>
      </c>
      <c r="AL1038">
        <f>IF('TMP Paste'!$F1038="","",IF('TMP Paste'!$M1038="",$AL1037,'TMP Paste'!$M1038))</f>
        <v/>
      </c>
      <c r="AM1038">
        <f>IF('TMP Paste'!$F1038="","",IF('TMP Paste'!$N1038="",$AM1037,'TMP Paste'!$N1038))</f>
        <v/>
      </c>
      <c r="AN1038">
        <f>IF('TMP Paste'!$F1038="","",IF('TMP Paste'!$O1038="",$AN1037,'TMP Paste'!$O1038))</f>
        <v/>
      </c>
      <c r="AO1038">
        <f>IF('TMP Paste'!$F1038="","",IF('TMP Paste'!$P1038="",$AO1037,'TMP Paste'!$P1038))</f>
        <v/>
      </c>
      <c r="AP1038">
        <f>IF($AG1038="","",LEN($R1038))</f>
        <v/>
      </c>
      <c r="AQ1038">
        <f>IF($AG1038="","",TRIM(IF(COUNTIFS(Calc!$B$2:$B$1601,ROW()-1,Calc!$C$2:$C$1601,"&lt;1")&gt;0,"Ada PO tanpa Koli - cek TMP. ","")&amp;IF(LEN($R1038)&gt;500,"R &gt; 500 karakter.","")))</f>
        <v/>
      </c>
    </row>
    <row r="1039">
      <c r="A1039">
        <f>IF($AG1039="","",INDEX('TMP Paste'!$B$2:$B$1601,$AG1039))</f>
        <v/>
      </c>
      <c r="B1039">
        <f>IF($AG1039="","",Config!$B$14)</f>
        <v/>
      </c>
      <c r="C1039">
        <f>IF($AG1039="","",Config!$B$15)</f>
        <v/>
      </c>
      <c r="D1039">
        <f>IF($AG1039="","",INDEX('TMP Paste'!$B$2:$B$1601,$AG1039))</f>
        <v/>
      </c>
      <c r="E1039">
        <f>IF($AG1039="","",Config!$B$27)</f>
        <v/>
      </c>
      <c r="F1039">
        <f>IF($AG1039="","",Config!$B$9)</f>
        <v/>
      </c>
      <c r="G1039">
        <f>IF($AG1039="","",Config!$B$10)</f>
        <v/>
      </c>
      <c r="H1039">
        <f>IF($AG1039="","",Config!$B$11)</f>
        <v/>
      </c>
      <c r="I1039">
        <f>IF($AG1039="","",Config!$B$16)</f>
        <v/>
      </c>
      <c r="J1039">
        <f>IF($AG1039="","",INDEX('TMP Paste'!$A$2:$A$1601,$AG1039))</f>
        <v/>
      </c>
      <c r="K1039">
        <f>IF($AG1039="","",INDEX('TMP Paste'!$L$2:$L$1601,$AG1039))</f>
        <v/>
      </c>
      <c r="L1039">
        <f>IF($AG1039="","",INDEX('TMP Paste'!$I$2:$I$1601,$AG1039))</f>
        <v/>
      </c>
      <c r="M1039">
        <f>IF($AG1039="","",Config!$B$16)</f>
        <v/>
      </c>
      <c r="N1039">
        <f>IF($AG1039="","","")</f>
        <v/>
      </c>
      <c r="O1039">
        <f>IF($AG1039="","",INDEX('TMP Paste'!$K$2:$K$1601,$AG1039))</f>
        <v/>
      </c>
      <c r="P1039">
        <f>IF($AG1039="","","")</f>
        <v/>
      </c>
      <c r="Q1039">
        <f>IF($AG1039="","",INDEX('TMP Paste'!$J$2:$J$1601,$AG1039))</f>
        <v/>
      </c>
      <c r="R1039">
        <f>IF($AG1039="","",Config!$B$24)</f>
        <v/>
      </c>
      <c r="S1039">
        <f>IF($AG1039="","",TEXT(Config!$B$4,"yyyy-mm-dd"))</f>
        <v/>
      </c>
      <c r="T1039">
        <f>IF($AG1039="","",Config!$B$17)</f>
        <v/>
      </c>
      <c r="U1039">
        <f>IF($AG1039="","",Config!$B$18)</f>
        <v/>
      </c>
      <c r="V1039">
        <f>IF($AG1039="","",Config!$B$19)</f>
        <v/>
      </c>
      <c r="W1039">
        <f>IF($AG1039="","",INDEX('TMP Paste'!$C$2:$C$1601,$AG1039))</f>
        <v/>
      </c>
      <c r="X1039">
        <f>IF($AG1039="","",Config!$B$29)</f>
        <v/>
      </c>
      <c r="Y1039">
        <f>IF($AH1039="","",INDEX(Calc!$I$2:$I$1601,$AH1039)&amp;" - "&amp;INDEX(Calc!$D$2:$D$1601,$AH1039)&amp;" koli")</f>
        <v/>
      </c>
      <c r="Z1039">
        <f>IF($AG1039="","",Config!$B$21)</f>
        <v/>
      </c>
      <c r="AA1039">
        <f>IF($AG1039="","",Config!$B$22)</f>
        <v/>
      </c>
      <c r="AB1039">
        <f>IF($AH1039="","",INDEX(Calc!$D$2:$D$1601,$AH1039))</f>
        <v/>
      </c>
      <c r="AC1039">
        <f>IF($AH1039="","",INDEX(Calc!$G$2:$G$1601,$AH1039))</f>
        <v/>
      </c>
      <c r="AD1039">
        <f>IF($AG1039="","",Config!$B$23)</f>
        <v/>
      </c>
      <c r="AE1039">
        <f>IF($AG1039="","",Config!$B$28)</f>
        <v/>
      </c>
      <c r="AG1039">
        <f>IFERROR(MATCH(ROW()-1,Calc!$J$2:$J$1601,0),"")</f>
        <v/>
      </c>
      <c r="AH1039">
        <f>IFERROR(MATCH(ROW()-1,Calc!$K$2:$K$1601,0),"")</f>
        <v/>
      </c>
      <c r="AI1039">
        <f>IF($AG1039="","",SUMIF($AG$2:$AG1039,$AG1039,$AH$2:$AH1039))</f>
        <v/>
      </c>
      <c r="AJ1039">
        <f>IF('TMP Paste'!$F1039="","",IF('TMP Paste'!$B1039="",$AJ1038,'TMP Paste'!$B1039))</f>
        <v/>
      </c>
      <c r="AK1039">
        <f>IF('TMP Paste'!$F1039="","",N('TMP Paste'!$G1039))</f>
        <v/>
      </c>
      <c r="AL1039">
        <f>IF('TMP Paste'!$F1039="","",IF('TMP Paste'!$M1039="",$AL1038,'TMP Paste'!$M1039))</f>
        <v/>
      </c>
      <c r="AM1039">
        <f>IF('TMP Paste'!$F1039="","",IF('TMP Paste'!$N1039="",$AM1038,'TMP Paste'!$N1039))</f>
        <v/>
      </c>
      <c r="AN1039">
        <f>IF('TMP Paste'!$F1039="","",IF('TMP Paste'!$O1039="",$AN1038,'TMP Paste'!$O1039))</f>
        <v/>
      </c>
      <c r="AO1039">
        <f>IF('TMP Paste'!$F1039="","",IF('TMP Paste'!$P1039="",$AO1038,'TMP Paste'!$P1039))</f>
        <v/>
      </c>
      <c r="AP1039">
        <f>IF($AG1039="","",LEN($R1039))</f>
        <v/>
      </c>
      <c r="AQ1039">
        <f>IF($AG1039="","",TRIM(IF(COUNTIFS(Calc!$B$2:$B$1601,ROW()-1,Calc!$C$2:$C$1601,"&lt;1")&gt;0,"Ada PO tanpa Koli - cek TMP. ","")&amp;IF(LEN($R1039)&gt;500,"R &gt; 500 karakter.","")))</f>
        <v/>
      </c>
    </row>
    <row r="1040">
      <c r="A1040">
        <f>IF($AG1040="","",INDEX('TMP Paste'!$B$2:$B$1601,$AG1040))</f>
        <v/>
      </c>
      <c r="B1040">
        <f>IF($AG1040="","",Config!$B$14)</f>
        <v/>
      </c>
      <c r="C1040">
        <f>IF($AG1040="","",Config!$B$15)</f>
        <v/>
      </c>
      <c r="D1040">
        <f>IF($AG1040="","",INDEX('TMP Paste'!$B$2:$B$1601,$AG1040))</f>
        <v/>
      </c>
      <c r="E1040">
        <f>IF($AG1040="","",Config!$B$27)</f>
        <v/>
      </c>
      <c r="F1040">
        <f>IF($AG1040="","",Config!$B$9)</f>
        <v/>
      </c>
      <c r="G1040">
        <f>IF($AG1040="","",Config!$B$10)</f>
        <v/>
      </c>
      <c r="H1040">
        <f>IF($AG1040="","",Config!$B$11)</f>
        <v/>
      </c>
      <c r="I1040">
        <f>IF($AG1040="","",Config!$B$16)</f>
        <v/>
      </c>
      <c r="J1040">
        <f>IF($AG1040="","",INDEX('TMP Paste'!$A$2:$A$1601,$AG1040))</f>
        <v/>
      </c>
      <c r="K1040">
        <f>IF($AG1040="","",INDEX('TMP Paste'!$L$2:$L$1601,$AG1040))</f>
        <v/>
      </c>
      <c r="L1040">
        <f>IF($AG1040="","",INDEX('TMP Paste'!$I$2:$I$1601,$AG1040))</f>
        <v/>
      </c>
      <c r="M1040">
        <f>IF($AG1040="","",Config!$B$16)</f>
        <v/>
      </c>
      <c r="N1040">
        <f>IF($AG1040="","","")</f>
        <v/>
      </c>
      <c r="O1040">
        <f>IF($AG1040="","",INDEX('TMP Paste'!$K$2:$K$1601,$AG1040))</f>
        <v/>
      </c>
      <c r="P1040">
        <f>IF($AG1040="","","")</f>
        <v/>
      </c>
      <c r="Q1040">
        <f>IF($AG1040="","",INDEX('TMP Paste'!$J$2:$J$1601,$AG1040))</f>
        <v/>
      </c>
      <c r="R1040">
        <f>IF($AG1040="","",Config!$B$24)</f>
        <v/>
      </c>
      <c r="S1040">
        <f>IF($AG1040="","",TEXT(Config!$B$4,"yyyy-mm-dd"))</f>
        <v/>
      </c>
      <c r="T1040">
        <f>IF($AG1040="","",Config!$B$17)</f>
        <v/>
      </c>
      <c r="U1040">
        <f>IF($AG1040="","",Config!$B$18)</f>
        <v/>
      </c>
      <c r="V1040">
        <f>IF($AG1040="","",Config!$B$19)</f>
        <v/>
      </c>
      <c r="W1040">
        <f>IF($AG1040="","",INDEX('TMP Paste'!$C$2:$C$1601,$AG1040))</f>
        <v/>
      </c>
      <c r="X1040">
        <f>IF($AG1040="","",Config!$B$29)</f>
        <v/>
      </c>
      <c r="Y1040">
        <f>IF($AH1040="","",INDEX(Calc!$I$2:$I$1601,$AH1040)&amp;" - "&amp;INDEX(Calc!$D$2:$D$1601,$AH1040)&amp;" koli")</f>
        <v/>
      </c>
      <c r="Z1040">
        <f>IF($AG1040="","",Config!$B$21)</f>
        <v/>
      </c>
      <c r="AA1040">
        <f>IF($AG1040="","",Config!$B$22)</f>
        <v/>
      </c>
      <c r="AB1040">
        <f>IF($AH1040="","",INDEX(Calc!$D$2:$D$1601,$AH1040))</f>
        <v/>
      </c>
      <c r="AC1040">
        <f>IF($AH1040="","",INDEX(Calc!$G$2:$G$1601,$AH1040))</f>
        <v/>
      </c>
      <c r="AD1040">
        <f>IF($AG1040="","",Config!$B$23)</f>
        <v/>
      </c>
      <c r="AE1040">
        <f>IF($AG1040="","",Config!$B$28)</f>
        <v/>
      </c>
      <c r="AG1040">
        <f>IFERROR(MATCH(ROW()-1,Calc!$J$2:$J$1601,0),"")</f>
        <v/>
      </c>
      <c r="AH1040">
        <f>IFERROR(MATCH(ROW()-1,Calc!$K$2:$K$1601,0),"")</f>
        <v/>
      </c>
      <c r="AI1040">
        <f>IF($AG1040="","",SUMIF($AG$2:$AG1040,$AG1040,$AH$2:$AH1040))</f>
        <v/>
      </c>
      <c r="AJ1040">
        <f>IF('TMP Paste'!$F1040="","",IF('TMP Paste'!$B1040="",$AJ1039,'TMP Paste'!$B1040))</f>
        <v/>
      </c>
      <c r="AK1040">
        <f>IF('TMP Paste'!$F1040="","",N('TMP Paste'!$G1040))</f>
        <v/>
      </c>
      <c r="AL1040">
        <f>IF('TMP Paste'!$F1040="","",IF('TMP Paste'!$M1040="",$AL1039,'TMP Paste'!$M1040))</f>
        <v/>
      </c>
      <c r="AM1040">
        <f>IF('TMP Paste'!$F1040="","",IF('TMP Paste'!$N1040="",$AM1039,'TMP Paste'!$N1040))</f>
        <v/>
      </c>
      <c r="AN1040">
        <f>IF('TMP Paste'!$F1040="","",IF('TMP Paste'!$O1040="",$AN1039,'TMP Paste'!$O1040))</f>
        <v/>
      </c>
      <c r="AO1040">
        <f>IF('TMP Paste'!$F1040="","",IF('TMP Paste'!$P1040="",$AO1039,'TMP Paste'!$P1040))</f>
        <v/>
      </c>
      <c r="AP1040">
        <f>IF($AG1040="","",LEN($R1040))</f>
        <v/>
      </c>
      <c r="AQ1040">
        <f>IF($AG1040="","",TRIM(IF(COUNTIFS(Calc!$B$2:$B$1601,ROW()-1,Calc!$C$2:$C$1601,"&lt;1")&gt;0,"Ada PO tanpa Koli - cek TMP. ","")&amp;IF(LEN($R1040)&gt;500,"R &gt; 500 karakter.","")))</f>
        <v/>
      </c>
    </row>
    <row r="1041">
      <c r="A1041">
        <f>IF($AG1041="","",INDEX('TMP Paste'!$B$2:$B$1601,$AG1041))</f>
        <v/>
      </c>
      <c r="B1041">
        <f>IF($AG1041="","",Config!$B$14)</f>
        <v/>
      </c>
      <c r="C1041">
        <f>IF($AG1041="","",Config!$B$15)</f>
        <v/>
      </c>
      <c r="D1041">
        <f>IF($AG1041="","",INDEX('TMP Paste'!$B$2:$B$1601,$AG1041))</f>
        <v/>
      </c>
      <c r="E1041">
        <f>IF($AG1041="","",Config!$B$27)</f>
        <v/>
      </c>
      <c r="F1041">
        <f>IF($AG1041="","",Config!$B$9)</f>
        <v/>
      </c>
      <c r="G1041">
        <f>IF($AG1041="","",Config!$B$10)</f>
        <v/>
      </c>
      <c r="H1041">
        <f>IF($AG1041="","",Config!$B$11)</f>
        <v/>
      </c>
      <c r="I1041">
        <f>IF($AG1041="","",Config!$B$16)</f>
        <v/>
      </c>
      <c r="J1041">
        <f>IF($AG1041="","",INDEX('TMP Paste'!$A$2:$A$1601,$AG1041))</f>
        <v/>
      </c>
      <c r="K1041">
        <f>IF($AG1041="","",INDEX('TMP Paste'!$L$2:$L$1601,$AG1041))</f>
        <v/>
      </c>
      <c r="L1041">
        <f>IF($AG1041="","",INDEX('TMP Paste'!$I$2:$I$1601,$AG1041))</f>
        <v/>
      </c>
      <c r="M1041">
        <f>IF($AG1041="","",Config!$B$16)</f>
        <v/>
      </c>
      <c r="N1041">
        <f>IF($AG1041="","","")</f>
        <v/>
      </c>
      <c r="O1041">
        <f>IF($AG1041="","",INDEX('TMP Paste'!$K$2:$K$1601,$AG1041))</f>
        <v/>
      </c>
      <c r="P1041">
        <f>IF($AG1041="","","")</f>
        <v/>
      </c>
      <c r="Q1041">
        <f>IF($AG1041="","",INDEX('TMP Paste'!$J$2:$J$1601,$AG1041))</f>
        <v/>
      </c>
      <c r="R1041">
        <f>IF($AG1041="","",Config!$B$24)</f>
        <v/>
      </c>
      <c r="S1041">
        <f>IF($AG1041="","",TEXT(Config!$B$4,"yyyy-mm-dd"))</f>
        <v/>
      </c>
      <c r="T1041">
        <f>IF($AG1041="","",Config!$B$17)</f>
        <v/>
      </c>
      <c r="U1041">
        <f>IF($AG1041="","",Config!$B$18)</f>
        <v/>
      </c>
      <c r="V1041">
        <f>IF($AG1041="","",Config!$B$19)</f>
        <v/>
      </c>
      <c r="W1041">
        <f>IF($AG1041="","",INDEX('TMP Paste'!$C$2:$C$1601,$AG1041))</f>
        <v/>
      </c>
      <c r="X1041">
        <f>IF($AG1041="","",Config!$B$29)</f>
        <v/>
      </c>
      <c r="Y1041">
        <f>IF($AH1041="","",INDEX(Calc!$I$2:$I$1601,$AH1041)&amp;" - "&amp;INDEX(Calc!$D$2:$D$1601,$AH1041)&amp;" koli")</f>
        <v/>
      </c>
      <c r="Z1041">
        <f>IF($AG1041="","",Config!$B$21)</f>
        <v/>
      </c>
      <c r="AA1041">
        <f>IF($AG1041="","",Config!$B$22)</f>
        <v/>
      </c>
      <c r="AB1041">
        <f>IF($AH1041="","",INDEX(Calc!$D$2:$D$1601,$AH1041))</f>
        <v/>
      </c>
      <c r="AC1041">
        <f>IF($AH1041="","",INDEX(Calc!$G$2:$G$1601,$AH1041))</f>
        <v/>
      </c>
      <c r="AD1041">
        <f>IF($AG1041="","",Config!$B$23)</f>
        <v/>
      </c>
      <c r="AE1041">
        <f>IF($AG1041="","",Config!$B$28)</f>
        <v/>
      </c>
      <c r="AG1041">
        <f>IFERROR(MATCH(ROW()-1,Calc!$J$2:$J$1601,0),"")</f>
        <v/>
      </c>
      <c r="AH1041">
        <f>IFERROR(MATCH(ROW()-1,Calc!$K$2:$K$1601,0),"")</f>
        <v/>
      </c>
      <c r="AI1041">
        <f>IF($AG1041="","",SUMIF($AG$2:$AG1041,$AG1041,$AH$2:$AH1041))</f>
        <v/>
      </c>
      <c r="AJ1041">
        <f>IF('TMP Paste'!$F1041="","",IF('TMP Paste'!$B1041="",$AJ1040,'TMP Paste'!$B1041))</f>
        <v/>
      </c>
      <c r="AK1041">
        <f>IF('TMP Paste'!$F1041="","",N('TMP Paste'!$G1041))</f>
        <v/>
      </c>
      <c r="AL1041">
        <f>IF('TMP Paste'!$F1041="","",IF('TMP Paste'!$M1041="",$AL1040,'TMP Paste'!$M1041))</f>
        <v/>
      </c>
      <c r="AM1041">
        <f>IF('TMP Paste'!$F1041="","",IF('TMP Paste'!$N1041="",$AM1040,'TMP Paste'!$N1041))</f>
        <v/>
      </c>
      <c r="AN1041">
        <f>IF('TMP Paste'!$F1041="","",IF('TMP Paste'!$O1041="",$AN1040,'TMP Paste'!$O1041))</f>
        <v/>
      </c>
      <c r="AO1041">
        <f>IF('TMP Paste'!$F1041="","",IF('TMP Paste'!$P1041="",$AO1040,'TMP Paste'!$P1041))</f>
        <v/>
      </c>
      <c r="AP1041">
        <f>IF($AG1041="","",LEN($R1041))</f>
        <v/>
      </c>
      <c r="AQ1041">
        <f>IF($AG1041="","",TRIM(IF(COUNTIFS(Calc!$B$2:$B$1601,ROW()-1,Calc!$C$2:$C$1601,"&lt;1")&gt;0,"Ada PO tanpa Koli - cek TMP. ","")&amp;IF(LEN($R1041)&gt;500,"R &gt; 500 karakter.","")))</f>
        <v/>
      </c>
    </row>
    <row r="1042">
      <c r="A1042">
        <f>IF($AG1042="","",INDEX('TMP Paste'!$B$2:$B$1601,$AG1042))</f>
        <v/>
      </c>
      <c r="B1042">
        <f>IF($AG1042="","",Config!$B$14)</f>
        <v/>
      </c>
      <c r="C1042">
        <f>IF($AG1042="","",Config!$B$15)</f>
        <v/>
      </c>
      <c r="D1042">
        <f>IF($AG1042="","",INDEX('TMP Paste'!$B$2:$B$1601,$AG1042))</f>
        <v/>
      </c>
      <c r="E1042">
        <f>IF($AG1042="","",Config!$B$27)</f>
        <v/>
      </c>
      <c r="F1042">
        <f>IF($AG1042="","",Config!$B$9)</f>
        <v/>
      </c>
      <c r="G1042">
        <f>IF($AG1042="","",Config!$B$10)</f>
        <v/>
      </c>
      <c r="H1042">
        <f>IF($AG1042="","",Config!$B$11)</f>
        <v/>
      </c>
      <c r="I1042">
        <f>IF($AG1042="","",Config!$B$16)</f>
        <v/>
      </c>
      <c r="J1042">
        <f>IF($AG1042="","",INDEX('TMP Paste'!$A$2:$A$1601,$AG1042))</f>
        <v/>
      </c>
      <c r="K1042">
        <f>IF($AG1042="","",INDEX('TMP Paste'!$L$2:$L$1601,$AG1042))</f>
        <v/>
      </c>
      <c r="L1042">
        <f>IF($AG1042="","",INDEX('TMP Paste'!$I$2:$I$1601,$AG1042))</f>
        <v/>
      </c>
      <c r="M1042">
        <f>IF($AG1042="","",Config!$B$16)</f>
        <v/>
      </c>
      <c r="N1042">
        <f>IF($AG1042="","","")</f>
        <v/>
      </c>
      <c r="O1042">
        <f>IF($AG1042="","",INDEX('TMP Paste'!$K$2:$K$1601,$AG1042))</f>
        <v/>
      </c>
      <c r="P1042">
        <f>IF($AG1042="","","")</f>
        <v/>
      </c>
      <c r="Q1042">
        <f>IF($AG1042="","",INDEX('TMP Paste'!$J$2:$J$1601,$AG1042))</f>
        <v/>
      </c>
      <c r="R1042">
        <f>IF($AG1042="","",Config!$B$24)</f>
        <v/>
      </c>
      <c r="S1042">
        <f>IF($AG1042="","",TEXT(Config!$B$4,"yyyy-mm-dd"))</f>
        <v/>
      </c>
      <c r="T1042">
        <f>IF($AG1042="","",Config!$B$17)</f>
        <v/>
      </c>
      <c r="U1042">
        <f>IF($AG1042="","",Config!$B$18)</f>
        <v/>
      </c>
      <c r="V1042">
        <f>IF($AG1042="","",Config!$B$19)</f>
        <v/>
      </c>
      <c r="W1042">
        <f>IF($AG1042="","",INDEX('TMP Paste'!$C$2:$C$1601,$AG1042))</f>
        <v/>
      </c>
      <c r="X1042">
        <f>IF($AG1042="","",Config!$B$29)</f>
        <v/>
      </c>
      <c r="Y1042">
        <f>IF($AH1042="","",INDEX(Calc!$I$2:$I$1601,$AH1042)&amp;" - "&amp;INDEX(Calc!$D$2:$D$1601,$AH1042)&amp;" koli")</f>
        <v/>
      </c>
      <c r="Z1042">
        <f>IF($AG1042="","",Config!$B$21)</f>
        <v/>
      </c>
      <c r="AA1042">
        <f>IF($AG1042="","",Config!$B$22)</f>
        <v/>
      </c>
      <c r="AB1042">
        <f>IF($AH1042="","",INDEX(Calc!$D$2:$D$1601,$AH1042))</f>
        <v/>
      </c>
      <c r="AC1042">
        <f>IF($AH1042="","",INDEX(Calc!$G$2:$G$1601,$AH1042))</f>
        <v/>
      </c>
      <c r="AD1042">
        <f>IF($AG1042="","",Config!$B$23)</f>
        <v/>
      </c>
      <c r="AE1042">
        <f>IF($AG1042="","",Config!$B$28)</f>
        <v/>
      </c>
      <c r="AG1042">
        <f>IFERROR(MATCH(ROW()-1,Calc!$J$2:$J$1601,0),"")</f>
        <v/>
      </c>
      <c r="AH1042">
        <f>IFERROR(MATCH(ROW()-1,Calc!$K$2:$K$1601,0),"")</f>
        <v/>
      </c>
      <c r="AI1042">
        <f>IF($AG1042="","",SUMIF($AG$2:$AG1042,$AG1042,$AH$2:$AH1042))</f>
        <v/>
      </c>
      <c r="AJ1042">
        <f>IF('TMP Paste'!$F1042="","",IF('TMP Paste'!$B1042="",$AJ1041,'TMP Paste'!$B1042))</f>
        <v/>
      </c>
      <c r="AK1042">
        <f>IF('TMP Paste'!$F1042="","",N('TMP Paste'!$G1042))</f>
        <v/>
      </c>
      <c r="AL1042">
        <f>IF('TMP Paste'!$F1042="","",IF('TMP Paste'!$M1042="",$AL1041,'TMP Paste'!$M1042))</f>
        <v/>
      </c>
      <c r="AM1042">
        <f>IF('TMP Paste'!$F1042="","",IF('TMP Paste'!$N1042="",$AM1041,'TMP Paste'!$N1042))</f>
        <v/>
      </c>
      <c r="AN1042">
        <f>IF('TMP Paste'!$F1042="","",IF('TMP Paste'!$O1042="",$AN1041,'TMP Paste'!$O1042))</f>
        <v/>
      </c>
      <c r="AO1042">
        <f>IF('TMP Paste'!$F1042="","",IF('TMP Paste'!$P1042="",$AO1041,'TMP Paste'!$P1042))</f>
        <v/>
      </c>
      <c r="AP1042">
        <f>IF($AG1042="","",LEN($R1042))</f>
        <v/>
      </c>
      <c r="AQ1042">
        <f>IF($AG1042="","",TRIM(IF(COUNTIFS(Calc!$B$2:$B$1601,ROW()-1,Calc!$C$2:$C$1601,"&lt;1")&gt;0,"Ada PO tanpa Koli - cek TMP. ","")&amp;IF(LEN($R1042)&gt;500,"R &gt; 500 karakter.","")))</f>
        <v/>
      </c>
    </row>
    <row r="1043">
      <c r="A1043">
        <f>IF($AG1043="","",INDEX('TMP Paste'!$B$2:$B$1601,$AG1043))</f>
        <v/>
      </c>
      <c r="B1043">
        <f>IF($AG1043="","",Config!$B$14)</f>
        <v/>
      </c>
      <c r="C1043">
        <f>IF($AG1043="","",Config!$B$15)</f>
        <v/>
      </c>
      <c r="D1043">
        <f>IF($AG1043="","",INDEX('TMP Paste'!$B$2:$B$1601,$AG1043))</f>
        <v/>
      </c>
      <c r="E1043">
        <f>IF($AG1043="","",Config!$B$27)</f>
        <v/>
      </c>
      <c r="F1043">
        <f>IF($AG1043="","",Config!$B$9)</f>
        <v/>
      </c>
      <c r="G1043">
        <f>IF($AG1043="","",Config!$B$10)</f>
        <v/>
      </c>
      <c r="H1043">
        <f>IF($AG1043="","",Config!$B$11)</f>
        <v/>
      </c>
      <c r="I1043">
        <f>IF($AG1043="","",Config!$B$16)</f>
        <v/>
      </c>
      <c r="J1043">
        <f>IF($AG1043="","",INDEX('TMP Paste'!$A$2:$A$1601,$AG1043))</f>
        <v/>
      </c>
      <c r="K1043">
        <f>IF($AG1043="","",INDEX('TMP Paste'!$L$2:$L$1601,$AG1043))</f>
        <v/>
      </c>
      <c r="L1043">
        <f>IF($AG1043="","",INDEX('TMP Paste'!$I$2:$I$1601,$AG1043))</f>
        <v/>
      </c>
      <c r="M1043">
        <f>IF($AG1043="","",Config!$B$16)</f>
        <v/>
      </c>
      <c r="N1043">
        <f>IF($AG1043="","","")</f>
        <v/>
      </c>
      <c r="O1043">
        <f>IF($AG1043="","",INDEX('TMP Paste'!$K$2:$K$1601,$AG1043))</f>
        <v/>
      </c>
      <c r="P1043">
        <f>IF($AG1043="","","")</f>
        <v/>
      </c>
      <c r="Q1043">
        <f>IF($AG1043="","",INDEX('TMP Paste'!$J$2:$J$1601,$AG1043))</f>
        <v/>
      </c>
      <c r="R1043">
        <f>IF($AG1043="","",Config!$B$24)</f>
        <v/>
      </c>
      <c r="S1043">
        <f>IF($AG1043="","",TEXT(Config!$B$4,"yyyy-mm-dd"))</f>
        <v/>
      </c>
      <c r="T1043">
        <f>IF($AG1043="","",Config!$B$17)</f>
        <v/>
      </c>
      <c r="U1043">
        <f>IF($AG1043="","",Config!$B$18)</f>
        <v/>
      </c>
      <c r="V1043">
        <f>IF($AG1043="","",Config!$B$19)</f>
        <v/>
      </c>
      <c r="W1043">
        <f>IF($AG1043="","",INDEX('TMP Paste'!$C$2:$C$1601,$AG1043))</f>
        <v/>
      </c>
      <c r="X1043">
        <f>IF($AG1043="","",Config!$B$29)</f>
        <v/>
      </c>
      <c r="Y1043">
        <f>IF($AH1043="","",INDEX(Calc!$I$2:$I$1601,$AH1043)&amp;" - "&amp;INDEX(Calc!$D$2:$D$1601,$AH1043)&amp;" koli")</f>
        <v/>
      </c>
      <c r="Z1043">
        <f>IF($AG1043="","",Config!$B$21)</f>
        <v/>
      </c>
      <c r="AA1043">
        <f>IF($AG1043="","",Config!$B$22)</f>
        <v/>
      </c>
      <c r="AB1043">
        <f>IF($AH1043="","",INDEX(Calc!$D$2:$D$1601,$AH1043))</f>
        <v/>
      </c>
      <c r="AC1043">
        <f>IF($AH1043="","",INDEX(Calc!$G$2:$G$1601,$AH1043))</f>
        <v/>
      </c>
      <c r="AD1043">
        <f>IF($AG1043="","",Config!$B$23)</f>
        <v/>
      </c>
      <c r="AE1043">
        <f>IF($AG1043="","",Config!$B$28)</f>
        <v/>
      </c>
      <c r="AG1043">
        <f>IFERROR(MATCH(ROW()-1,Calc!$J$2:$J$1601,0),"")</f>
        <v/>
      </c>
      <c r="AH1043">
        <f>IFERROR(MATCH(ROW()-1,Calc!$K$2:$K$1601,0),"")</f>
        <v/>
      </c>
      <c r="AI1043">
        <f>IF($AG1043="","",SUMIF($AG$2:$AG1043,$AG1043,$AH$2:$AH1043))</f>
        <v/>
      </c>
      <c r="AJ1043">
        <f>IF('TMP Paste'!$F1043="","",IF('TMP Paste'!$B1043="",$AJ1042,'TMP Paste'!$B1043))</f>
        <v/>
      </c>
      <c r="AK1043">
        <f>IF('TMP Paste'!$F1043="","",N('TMP Paste'!$G1043))</f>
        <v/>
      </c>
      <c r="AL1043">
        <f>IF('TMP Paste'!$F1043="","",IF('TMP Paste'!$M1043="",$AL1042,'TMP Paste'!$M1043))</f>
        <v/>
      </c>
      <c r="AM1043">
        <f>IF('TMP Paste'!$F1043="","",IF('TMP Paste'!$N1043="",$AM1042,'TMP Paste'!$N1043))</f>
        <v/>
      </c>
      <c r="AN1043">
        <f>IF('TMP Paste'!$F1043="","",IF('TMP Paste'!$O1043="",$AN1042,'TMP Paste'!$O1043))</f>
        <v/>
      </c>
      <c r="AO1043">
        <f>IF('TMP Paste'!$F1043="","",IF('TMP Paste'!$P1043="",$AO1042,'TMP Paste'!$P1043))</f>
        <v/>
      </c>
      <c r="AP1043">
        <f>IF($AG1043="","",LEN($R1043))</f>
        <v/>
      </c>
      <c r="AQ1043">
        <f>IF($AG1043="","",TRIM(IF(COUNTIFS(Calc!$B$2:$B$1601,ROW()-1,Calc!$C$2:$C$1601,"&lt;1")&gt;0,"Ada PO tanpa Koli - cek TMP. ","")&amp;IF(LEN($R1043)&gt;500,"R &gt; 500 karakter.","")))</f>
        <v/>
      </c>
    </row>
    <row r="1044">
      <c r="A1044">
        <f>IF($AG1044="","",INDEX('TMP Paste'!$B$2:$B$1601,$AG1044))</f>
        <v/>
      </c>
      <c r="B1044">
        <f>IF($AG1044="","",Config!$B$14)</f>
        <v/>
      </c>
      <c r="C1044">
        <f>IF($AG1044="","",Config!$B$15)</f>
        <v/>
      </c>
      <c r="D1044">
        <f>IF($AG1044="","",INDEX('TMP Paste'!$B$2:$B$1601,$AG1044))</f>
        <v/>
      </c>
      <c r="E1044">
        <f>IF($AG1044="","",Config!$B$27)</f>
        <v/>
      </c>
      <c r="F1044">
        <f>IF($AG1044="","",Config!$B$9)</f>
        <v/>
      </c>
      <c r="G1044">
        <f>IF($AG1044="","",Config!$B$10)</f>
        <v/>
      </c>
      <c r="H1044">
        <f>IF($AG1044="","",Config!$B$11)</f>
        <v/>
      </c>
      <c r="I1044">
        <f>IF($AG1044="","",Config!$B$16)</f>
        <v/>
      </c>
      <c r="J1044">
        <f>IF($AG1044="","",INDEX('TMP Paste'!$A$2:$A$1601,$AG1044))</f>
        <v/>
      </c>
      <c r="K1044">
        <f>IF($AG1044="","",INDEX('TMP Paste'!$L$2:$L$1601,$AG1044))</f>
        <v/>
      </c>
      <c r="L1044">
        <f>IF($AG1044="","",INDEX('TMP Paste'!$I$2:$I$1601,$AG1044))</f>
        <v/>
      </c>
      <c r="M1044">
        <f>IF($AG1044="","",Config!$B$16)</f>
        <v/>
      </c>
      <c r="N1044">
        <f>IF($AG1044="","","")</f>
        <v/>
      </c>
      <c r="O1044">
        <f>IF($AG1044="","",INDEX('TMP Paste'!$K$2:$K$1601,$AG1044))</f>
        <v/>
      </c>
      <c r="P1044">
        <f>IF($AG1044="","","")</f>
        <v/>
      </c>
      <c r="Q1044">
        <f>IF($AG1044="","",INDEX('TMP Paste'!$J$2:$J$1601,$AG1044))</f>
        <v/>
      </c>
      <c r="R1044">
        <f>IF($AG1044="","",Config!$B$24)</f>
        <v/>
      </c>
      <c r="S1044">
        <f>IF($AG1044="","",TEXT(Config!$B$4,"yyyy-mm-dd"))</f>
        <v/>
      </c>
      <c r="T1044">
        <f>IF($AG1044="","",Config!$B$17)</f>
        <v/>
      </c>
      <c r="U1044">
        <f>IF($AG1044="","",Config!$B$18)</f>
        <v/>
      </c>
      <c r="V1044">
        <f>IF($AG1044="","",Config!$B$19)</f>
        <v/>
      </c>
      <c r="W1044">
        <f>IF($AG1044="","",INDEX('TMP Paste'!$C$2:$C$1601,$AG1044))</f>
        <v/>
      </c>
      <c r="X1044">
        <f>IF($AG1044="","",Config!$B$29)</f>
        <v/>
      </c>
      <c r="Y1044">
        <f>IF($AH1044="","",INDEX(Calc!$I$2:$I$1601,$AH1044)&amp;" - "&amp;INDEX(Calc!$D$2:$D$1601,$AH1044)&amp;" koli")</f>
        <v/>
      </c>
      <c r="Z1044">
        <f>IF($AG1044="","",Config!$B$21)</f>
        <v/>
      </c>
      <c r="AA1044">
        <f>IF($AG1044="","",Config!$B$22)</f>
        <v/>
      </c>
      <c r="AB1044">
        <f>IF($AH1044="","",INDEX(Calc!$D$2:$D$1601,$AH1044))</f>
        <v/>
      </c>
      <c r="AC1044">
        <f>IF($AH1044="","",INDEX(Calc!$G$2:$G$1601,$AH1044))</f>
        <v/>
      </c>
      <c r="AD1044">
        <f>IF($AG1044="","",Config!$B$23)</f>
        <v/>
      </c>
      <c r="AE1044">
        <f>IF($AG1044="","",Config!$B$28)</f>
        <v/>
      </c>
      <c r="AG1044">
        <f>IFERROR(MATCH(ROW()-1,Calc!$J$2:$J$1601,0),"")</f>
        <v/>
      </c>
      <c r="AH1044">
        <f>IFERROR(MATCH(ROW()-1,Calc!$K$2:$K$1601,0),"")</f>
        <v/>
      </c>
      <c r="AI1044">
        <f>IF($AG1044="","",SUMIF($AG$2:$AG1044,$AG1044,$AH$2:$AH1044))</f>
        <v/>
      </c>
      <c r="AJ1044">
        <f>IF('TMP Paste'!$F1044="","",IF('TMP Paste'!$B1044="",$AJ1043,'TMP Paste'!$B1044))</f>
        <v/>
      </c>
      <c r="AK1044">
        <f>IF('TMP Paste'!$F1044="","",N('TMP Paste'!$G1044))</f>
        <v/>
      </c>
      <c r="AL1044">
        <f>IF('TMP Paste'!$F1044="","",IF('TMP Paste'!$M1044="",$AL1043,'TMP Paste'!$M1044))</f>
        <v/>
      </c>
      <c r="AM1044">
        <f>IF('TMP Paste'!$F1044="","",IF('TMP Paste'!$N1044="",$AM1043,'TMP Paste'!$N1044))</f>
        <v/>
      </c>
      <c r="AN1044">
        <f>IF('TMP Paste'!$F1044="","",IF('TMP Paste'!$O1044="",$AN1043,'TMP Paste'!$O1044))</f>
        <v/>
      </c>
      <c r="AO1044">
        <f>IF('TMP Paste'!$F1044="","",IF('TMP Paste'!$P1044="",$AO1043,'TMP Paste'!$P1044))</f>
        <v/>
      </c>
      <c r="AP1044">
        <f>IF($AG1044="","",LEN($R1044))</f>
        <v/>
      </c>
      <c r="AQ1044">
        <f>IF($AG1044="","",TRIM(IF(COUNTIFS(Calc!$B$2:$B$1601,ROW()-1,Calc!$C$2:$C$1601,"&lt;1")&gt;0,"Ada PO tanpa Koli - cek TMP. ","")&amp;IF(LEN($R1044)&gt;500,"R &gt; 500 karakter.","")))</f>
        <v/>
      </c>
    </row>
    <row r="1045">
      <c r="A1045">
        <f>IF($AG1045="","",INDEX('TMP Paste'!$B$2:$B$1601,$AG1045))</f>
        <v/>
      </c>
      <c r="B1045">
        <f>IF($AG1045="","",Config!$B$14)</f>
        <v/>
      </c>
      <c r="C1045">
        <f>IF($AG1045="","",Config!$B$15)</f>
        <v/>
      </c>
      <c r="D1045">
        <f>IF($AG1045="","",INDEX('TMP Paste'!$B$2:$B$1601,$AG1045))</f>
        <v/>
      </c>
      <c r="E1045">
        <f>IF($AG1045="","",Config!$B$27)</f>
        <v/>
      </c>
      <c r="F1045">
        <f>IF($AG1045="","",Config!$B$9)</f>
        <v/>
      </c>
      <c r="G1045">
        <f>IF($AG1045="","",Config!$B$10)</f>
        <v/>
      </c>
      <c r="H1045">
        <f>IF($AG1045="","",Config!$B$11)</f>
        <v/>
      </c>
      <c r="I1045">
        <f>IF($AG1045="","",Config!$B$16)</f>
        <v/>
      </c>
      <c r="J1045">
        <f>IF($AG1045="","",INDEX('TMP Paste'!$A$2:$A$1601,$AG1045))</f>
        <v/>
      </c>
      <c r="K1045">
        <f>IF($AG1045="","",INDEX('TMP Paste'!$L$2:$L$1601,$AG1045))</f>
        <v/>
      </c>
      <c r="L1045">
        <f>IF($AG1045="","",INDEX('TMP Paste'!$I$2:$I$1601,$AG1045))</f>
        <v/>
      </c>
      <c r="M1045">
        <f>IF($AG1045="","",Config!$B$16)</f>
        <v/>
      </c>
      <c r="N1045">
        <f>IF($AG1045="","","")</f>
        <v/>
      </c>
      <c r="O1045">
        <f>IF($AG1045="","",INDEX('TMP Paste'!$K$2:$K$1601,$AG1045))</f>
        <v/>
      </c>
      <c r="P1045">
        <f>IF($AG1045="","","")</f>
        <v/>
      </c>
      <c r="Q1045">
        <f>IF($AG1045="","",INDEX('TMP Paste'!$J$2:$J$1601,$AG1045))</f>
        <v/>
      </c>
      <c r="R1045">
        <f>IF($AG1045="","",Config!$B$24)</f>
        <v/>
      </c>
      <c r="S1045">
        <f>IF($AG1045="","",TEXT(Config!$B$4,"yyyy-mm-dd"))</f>
        <v/>
      </c>
      <c r="T1045">
        <f>IF($AG1045="","",Config!$B$17)</f>
        <v/>
      </c>
      <c r="U1045">
        <f>IF($AG1045="","",Config!$B$18)</f>
        <v/>
      </c>
      <c r="V1045">
        <f>IF($AG1045="","",Config!$B$19)</f>
        <v/>
      </c>
      <c r="W1045">
        <f>IF($AG1045="","",INDEX('TMP Paste'!$C$2:$C$1601,$AG1045))</f>
        <v/>
      </c>
      <c r="X1045">
        <f>IF($AG1045="","",Config!$B$29)</f>
        <v/>
      </c>
      <c r="Y1045">
        <f>IF($AH1045="","",INDEX(Calc!$I$2:$I$1601,$AH1045)&amp;" - "&amp;INDEX(Calc!$D$2:$D$1601,$AH1045)&amp;" koli")</f>
        <v/>
      </c>
      <c r="Z1045">
        <f>IF($AG1045="","",Config!$B$21)</f>
        <v/>
      </c>
      <c r="AA1045">
        <f>IF($AG1045="","",Config!$B$22)</f>
        <v/>
      </c>
      <c r="AB1045">
        <f>IF($AH1045="","",INDEX(Calc!$D$2:$D$1601,$AH1045))</f>
        <v/>
      </c>
      <c r="AC1045">
        <f>IF($AH1045="","",INDEX(Calc!$G$2:$G$1601,$AH1045))</f>
        <v/>
      </c>
      <c r="AD1045">
        <f>IF($AG1045="","",Config!$B$23)</f>
        <v/>
      </c>
      <c r="AE1045">
        <f>IF($AG1045="","",Config!$B$28)</f>
        <v/>
      </c>
      <c r="AG1045">
        <f>IFERROR(MATCH(ROW()-1,Calc!$J$2:$J$1601,0),"")</f>
        <v/>
      </c>
      <c r="AH1045">
        <f>IFERROR(MATCH(ROW()-1,Calc!$K$2:$K$1601,0),"")</f>
        <v/>
      </c>
      <c r="AI1045">
        <f>IF($AG1045="","",SUMIF($AG$2:$AG1045,$AG1045,$AH$2:$AH1045))</f>
        <v/>
      </c>
      <c r="AJ1045">
        <f>IF('TMP Paste'!$F1045="","",IF('TMP Paste'!$B1045="",$AJ1044,'TMP Paste'!$B1045))</f>
        <v/>
      </c>
      <c r="AK1045">
        <f>IF('TMP Paste'!$F1045="","",N('TMP Paste'!$G1045))</f>
        <v/>
      </c>
      <c r="AL1045">
        <f>IF('TMP Paste'!$F1045="","",IF('TMP Paste'!$M1045="",$AL1044,'TMP Paste'!$M1045))</f>
        <v/>
      </c>
      <c r="AM1045">
        <f>IF('TMP Paste'!$F1045="","",IF('TMP Paste'!$N1045="",$AM1044,'TMP Paste'!$N1045))</f>
        <v/>
      </c>
      <c r="AN1045">
        <f>IF('TMP Paste'!$F1045="","",IF('TMP Paste'!$O1045="",$AN1044,'TMP Paste'!$O1045))</f>
        <v/>
      </c>
      <c r="AO1045">
        <f>IF('TMP Paste'!$F1045="","",IF('TMP Paste'!$P1045="",$AO1044,'TMP Paste'!$P1045))</f>
        <v/>
      </c>
      <c r="AP1045">
        <f>IF($AG1045="","",LEN($R1045))</f>
        <v/>
      </c>
      <c r="AQ1045">
        <f>IF($AG1045="","",TRIM(IF(COUNTIFS(Calc!$B$2:$B$1601,ROW()-1,Calc!$C$2:$C$1601,"&lt;1")&gt;0,"Ada PO tanpa Koli - cek TMP. ","")&amp;IF(LEN($R1045)&gt;500,"R &gt; 500 karakter.","")))</f>
        <v/>
      </c>
    </row>
    <row r="1046">
      <c r="A1046">
        <f>IF($AG1046="","",INDEX('TMP Paste'!$B$2:$B$1601,$AG1046))</f>
        <v/>
      </c>
      <c r="B1046">
        <f>IF($AG1046="","",Config!$B$14)</f>
        <v/>
      </c>
      <c r="C1046">
        <f>IF($AG1046="","",Config!$B$15)</f>
        <v/>
      </c>
      <c r="D1046">
        <f>IF($AG1046="","",INDEX('TMP Paste'!$B$2:$B$1601,$AG1046))</f>
        <v/>
      </c>
      <c r="E1046">
        <f>IF($AG1046="","",Config!$B$27)</f>
        <v/>
      </c>
      <c r="F1046">
        <f>IF($AG1046="","",Config!$B$9)</f>
        <v/>
      </c>
      <c r="G1046">
        <f>IF($AG1046="","",Config!$B$10)</f>
        <v/>
      </c>
      <c r="H1046">
        <f>IF($AG1046="","",Config!$B$11)</f>
        <v/>
      </c>
      <c r="I1046">
        <f>IF($AG1046="","",Config!$B$16)</f>
        <v/>
      </c>
      <c r="J1046">
        <f>IF($AG1046="","",INDEX('TMP Paste'!$A$2:$A$1601,$AG1046))</f>
        <v/>
      </c>
      <c r="K1046">
        <f>IF($AG1046="","",INDEX('TMP Paste'!$L$2:$L$1601,$AG1046))</f>
        <v/>
      </c>
      <c r="L1046">
        <f>IF($AG1046="","",INDEX('TMP Paste'!$I$2:$I$1601,$AG1046))</f>
        <v/>
      </c>
      <c r="M1046">
        <f>IF($AG1046="","",Config!$B$16)</f>
        <v/>
      </c>
      <c r="N1046">
        <f>IF($AG1046="","","")</f>
        <v/>
      </c>
      <c r="O1046">
        <f>IF($AG1046="","",INDEX('TMP Paste'!$K$2:$K$1601,$AG1046))</f>
        <v/>
      </c>
      <c r="P1046">
        <f>IF($AG1046="","","")</f>
        <v/>
      </c>
      <c r="Q1046">
        <f>IF($AG1046="","",INDEX('TMP Paste'!$J$2:$J$1601,$AG1046))</f>
        <v/>
      </c>
      <c r="R1046">
        <f>IF($AG1046="","",Config!$B$24)</f>
        <v/>
      </c>
      <c r="S1046">
        <f>IF($AG1046="","",TEXT(Config!$B$4,"yyyy-mm-dd"))</f>
        <v/>
      </c>
      <c r="T1046">
        <f>IF($AG1046="","",Config!$B$17)</f>
        <v/>
      </c>
      <c r="U1046">
        <f>IF($AG1046="","",Config!$B$18)</f>
        <v/>
      </c>
      <c r="V1046">
        <f>IF($AG1046="","",Config!$B$19)</f>
        <v/>
      </c>
      <c r="W1046">
        <f>IF($AG1046="","",INDEX('TMP Paste'!$C$2:$C$1601,$AG1046))</f>
        <v/>
      </c>
      <c r="X1046">
        <f>IF($AG1046="","",Config!$B$29)</f>
        <v/>
      </c>
      <c r="Y1046">
        <f>IF($AH1046="","",INDEX(Calc!$I$2:$I$1601,$AH1046)&amp;" - "&amp;INDEX(Calc!$D$2:$D$1601,$AH1046)&amp;" koli")</f>
        <v/>
      </c>
      <c r="Z1046">
        <f>IF($AG1046="","",Config!$B$21)</f>
        <v/>
      </c>
      <c r="AA1046">
        <f>IF($AG1046="","",Config!$B$22)</f>
        <v/>
      </c>
      <c r="AB1046">
        <f>IF($AH1046="","",INDEX(Calc!$D$2:$D$1601,$AH1046))</f>
        <v/>
      </c>
      <c r="AC1046">
        <f>IF($AH1046="","",INDEX(Calc!$G$2:$G$1601,$AH1046))</f>
        <v/>
      </c>
      <c r="AD1046">
        <f>IF($AG1046="","",Config!$B$23)</f>
        <v/>
      </c>
      <c r="AE1046">
        <f>IF($AG1046="","",Config!$B$28)</f>
        <v/>
      </c>
      <c r="AG1046">
        <f>IFERROR(MATCH(ROW()-1,Calc!$J$2:$J$1601,0),"")</f>
        <v/>
      </c>
      <c r="AH1046">
        <f>IFERROR(MATCH(ROW()-1,Calc!$K$2:$K$1601,0),"")</f>
        <v/>
      </c>
      <c r="AI1046">
        <f>IF($AG1046="","",SUMIF($AG$2:$AG1046,$AG1046,$AH$2:$AH1046))</f>
        <v/>
      </c>
      <c r="AJ1046">
        <f>IF('TMP Paste'!$F1046="","",IF('TMP Paste'!$B1046="",$AJ1045,'TMP Paste'!$B1046))</f>
        <v/>
      </c>
      <c r="AK1046">
        <f>IF('TMP Paste'!$F1046="","",N('TMP Paste'!$G1046))</f>
        <v/>
      </c>
      <c r="AL1046">
        <f>IF('TMP Paste'!$F1046="","",IF('TMP Paste'!$M1046="",$AL1045,'TMP Paste'!$M1046))</f>
        <v/>
      </c>
      <c r="AM1046">
        <f>IF('TMP Paste'!$F1046="","",IF('TMP Paste'!$N1046="",$AM1045,'TMP Paste'!$N1046))</f>
        <v/>
      </c>
      <c r="AN1046">
        <f>IF('TMP Paste'!$F1046="","",IF('TMP Paste'!$O1046="",$AN1045,'TMP Paste'!$O1046))</f>
        <v/>
      </c>
      <c r="AO1046">
        <f>IF('TMP Paste'!$F1046="","",IF('TMP Paste'!$P1046="",$AO1045,'TMP Paste'!$P1046))</f>
        <v/>
      </c>
      <c r="AP1046">
        <f>IF($AG1046="","",LEN($R1046))</f>
        <v/>
      </c>
      <c r="AQ1046">
        <f>IF($AG1046="","",TRIM(IF(COUNTIFS(Calc!$B$2:$B$1601,ROW()-1,Calc!$C$2:$C$1601,"&lt;1")&gt;0,"Ada PO tanpa Koli - cek TMP. ","")&amp;IF(LEN($R1046)&gt;500,"R &gt; 500 karakter.","")))</f>
        <v/>
      </c>
    </row>
    <row r="1047">
      <c r="A1047">
        <f>IF($AG1047="","",INDEX('TMP Paste'!$B$2:$B$1601,$AG1047))</f>
        <v/>
      </c>
      <c r="B1047">
        <f>IF($AG1047="","",Config!$B$14)</f>
        <v/>
      </c>
      <c r="C1047">
        <f>IF($AG1047="","",Config!$B$15)</f>
        <v/>
      </c>
      <c r="D1047">
        <f>IF($AG1047="","",INDEX('TMP Paste'!$B$2:$B$1601,$AG1047))</f>
        <v/>
      </c>
      <c r="E1047">
        <f>IF($AG1047="","",Config!$B$27)</f>
        <v/>
      </c>
      <c r="F1047">
        <f>IF($AG1047="","",Config!$B$9)</f>
        <v/>
      </c>
      <c r="G1047">
        <f>IF($AG1047="","",Config!$B$10)</f>
        <v/>
      </c>
      <c r="H1047">
        <f>IF($AG1047="","",Config!$B$11)</f>
        <v/>
      </c>
      <c r="I1047">
        <f>IF($AG1047="","",Config!$B$16)</f>
        <v/>
      </c>
      <c r="J1047">
        <f>IF($AG1047="","",INDEX('TMP Paste'!$A$2:$A$1601,$AG1047))</f>
        <v/>
      </c>
      <c r="K1047">
        <f>IF($AG1047="","",INDEX('TMP Paste'!$L$2:$L$1601,$AG1047))</f>
        <v/>
      </c>
      <c r="L1047">
        <f>IF($AG1047="","",INDEX('TMP Paste'!$I$2:$I$1601,$AG1047))</f>
        <v/>
      </c>
      <c r="M1047">
        <f>IF($AG1047="","",Config!$B$16)</f>
        <v/>
      </c>
      <c r="N1047">
        <f>IF($AG1047="","","")</f>
        <v/>
      </c>
      <c r="O1047">
        <f>IF($AG1047="","",INDEX('TMP Paste'!$K$2:$K$1601,$AG1047))</f>
        <v/>
      </c>
      <c r="P1047">
        <f>IF($AG1047="","","")</f>
        <v/>
      </c>
      <c r="Q1047">
        <f>IF($AG1047="","",INDEX('TMP Paste'!$J$2:$J$1601,$AG1047))</f>
        <v/>
      </c>
      <c r="R1047">
        <f>IF($AG1047="","",Config!$B$24)</f>
        <v/>
      </c>
      <c r="S1047">
        <f>IF($AG1047="","",TEXT(Config!$B$4,"yyyy-mm-dd"))</f>
        <v/>
      </c>
      <c r="T1047">
        <f>IF($AG1047="","",Config!$B$17)</f>
        <v/>
      </c>
      <c r="U1047">
        <f>IF($AG1047="","",Config!$B$18)</f>
        <v/>
      </c>
      <c r="V1047">
        <f>IF($AG1047="","",Config!$B$19)</f>
        <v/>
      </c>
      <c r="W1047">
        <f>IF($AG1047="","",INDEX('TMP Paste'!$C$2:$C$1601,$AG1047))</f>
        <v/>
      </c>
      <c r="X1047">
        <f>IF($AG1047="","",Config!$B$29)</f>
        <v/>
      </c>
      <c r="Y1047">
        <f>IF($AH1047="","",INDEX(Calc!$I$2:$I$1601,$AH1047)&amp;" - "&amp;INDEX(Calc!$D$2:$D$1601,$AH1047)&amp;" koli")</f>
        <v/>
      </c>
      <c r="Z1047">
        <f>IF($AG1047="","",Config!$B$21)</f>
        <v/>
      </c>
      <c r="AA1047">
        <f>IF($AG1047="","",Config!$B$22)</f>
        <v/>
      </c>
      <c r="AB1047">
        <f>IF($AH1047="","",INDEX(Calc!$D$2:$D$1601,$AH1047))</f>
        <v/>
      </c>
      <c r="AC1047">
        <f>IF($AH1047="","",INDEX(Calc!$G$2:$G$1601,$AH1047))</f>
        <v/>
      </c>
      <c r="AD1047">
        <f>IF($AG1047="","",Config!$B$23)</f>
        <v/>
      </c>
      <c r="AE1047">
        <f>IF($AG1047="","",Config!$B$28)</f>
        <v/>
      </c>
      <c r="AG1047">
        <f>IFERROR(MATCH(ROW()-1,Calc!$J$2:$J$1601,0),"")</f>
        <v/>
      </c>
      <c r="AH1047">
        <f>IFERROR(MATCH(ROW()-1,Calc!$K$2:$K$1601,0),"")</f>
        <v/>
      </c>
      <c r="AI1047">
        <f>IF($AG1047="","",SUMIF($AG$2:$AG1047,$AG1047,$AH$2:$AH1047))</f>
        <v/>
      </c>
      <c r="AJ1047">
        <f>IF('TMP Paste'!$F1047="","",IF('TMP Paste'!$B1047="",$AJ1046,'TMP Paste'!$B1047))</f>
        <v/>
      </c>
      <c r="AK1047">
        <f>IF('TMP Paste'!$F1047="","",N('TMP Paste'!$G1047))</f>
        <v/>
      </c>
      <c r="AL1047">
        <f>IF('TMP Paste'!$F1047="","",IF('TMP Paste'!$M1047="",$AL1046,'TMP Paste'!$M1047))</f>
        <v/>
      </c>
      <c r="AM1047">
        <f>IF('TMP Paste'!$F1047="","",IF('TMP Paste'!$N1047="",$AM1046,'TMP Paste'!$N1047))</f>
        <v/>
      </c>
      <c r="AN1047">
        <f>IF('TMP Paste'!$F1047="","",IF('TMP Paste'!$O1047="",$AN1046,'TMP Paste'!$O1047))</f>
        <v/>
      </c>
      <c r="AO1047">
        <f>IF('TMP Paste'!$F1047="","",IF('TMP Paste'!$P1047="",$AO1046,'TMP Paste'!$P1047))</f>
        <v/>
      </c>
      <c r="AP1047">
        <f>IF($AG1047="","",LEN($R1047))</f>
        <v/>
      </c>
      <c r="AQ1047">
        <f>IF($AG1047="","",TRIM(IF(COUNTIFS(Calc!$B$2:$B$1601,ROW()-1,Calc!$C$2:$C$1601,"&lt;1")&gt;0,"Ada PO tanpa Koli - cek TMP. ","")&amp;IF(LEN($R1047)&gt;500,"R &gt; 500 karakter.","")))</f>
        <v/>
      </c>
    </row>
    <row r="1048">
      <c r="A1048">
        <f>IF($AG1048="","",INDEX('TMP Paste'!$B$2:$B$1601,$AG1048))</f>
        <v/>
      </c>
      <c r="B1048">
        <f>IF($AG1048="","",Config!$B$14)</f>
        <v/>
      </c>
      <c r="C1048">
        <f>IF($AG1048="","",Config!$B$15)</f>
        <v/>
      </c>
      <c r="D1048">
        <f>IF($AG1048="","",INDEX('TMP Paste'!$B$2:$B$1601,$AG1048))</f>
        <v/>
      </c>
      <c r="E1048">
        <f>IF($AG1048="","",Config!$B$27)</f>
        <v/>
      </c>
      <c r="F1048">
        <f>IF($AG1048="","",Config!$B$9)</f>
        <v/>
      </c>
      <c r="G1048">
        <f>IF($AG1048="","",Config!$B$10)</f>
        <v/>
      </c>
      <c r="H1048">
        <f>IF($AG1048="","",Config!$B$11)</f>
        <v/>
      </c>
      <c r="I1048">
        <f>IF($AG1048="","",Config!$B$16)</f>
        <v/>
      </c>
      <c r="J1048">
        <f>IF($AG1048="","",INDEX('TMP Paste'!$A$2:$A$1601,$AG1048))</f>
        <v/>
      </c>
      <c r="K1048">
        <f>IF($AG1048="","",INDEX('TMP Paste'!$L$2:$L$1601,$AG1048))</f>
        <v/>
      </c>
      <c r="L1048">
        <f>IF($AG1048="","",INDEX('TMP Paste'!$I$2:$I$1601,$AG1048))</f>
        <v/>
      </c>
      <c r="M1048">
        <f>IF($AG1048="","",Config!$B$16)</f>
        <v/>
      </c>
      <c r="N1048">
        <f>IF($AG1048="","","")</f>
        <v/>
      </c>
      <c r="O1048">
        <f>IF($AG1048="","",INDEX('TMP Paste'!$K$2:$K$1601,$AG1048))</f>
        <v/>
      </c>
      <c r="P1048">
        <f>IF($AG1048="","","")</f>
        <v/>
      </c>
      <c r="Q1048">
        <f>IF($AG1048="","",INDEX('TMP Paste'!$J$2:$J$1601,$AG1048))</f>
        <v/>
      </c>
      <c r="R1048">
        <f>IF($AG1048="","",Config!$B$24)</f>
        <v/>
      </c>
      <c r="S1048">
        <f>IF($AG1048="","",TEXT(Config!$B$4,"yyyy-mm-dd"))</f>
        <v/>
      </c>
      <c r="T1048">
        <f>IF($AG1048="","",Config!$B$17)</f>
        <v/>
      </c>
      <c r="U1048">
        <f>IF($AG1048="","",Config!$B$18)</f>
        <v/>
      </c>
      <c r="V1048">
        <f>IF($AG1048="","",Config!$B$19)</f>
        <v/>
      </c>
      <c r="W1048">
        <f>IF($AG1048="","",INDEX('TMP Paste'!$C$2:$C$1601,$AG1048))</f>
        <v/>
      </c>
      <c r="X1048">
        <f>IF($AG1048="","",Config!$B$29)</f>
        <v/>
      </c>
      <c r="Y1048">
        <f>IF($AH1048="","",INDEX(Calc!$I$2:$I$1601,$AH1048)&amp;" - "&amp;INDEX(Calc!$D$2:$D$1601,$AH1048)&amp;" koli")</f>
        <v/>
      </c>
      <c r="Z1048">
        <f>IF($AG1048="","",Config!$B$21)</f>
        <v/>
      </c>
      <c r="AA1048">
        <f>IF($AG1048="","",Config!$B$22)</f>
        <v/>
      </c>
      <c r="AB1048">
        <f>IF($AH1048="","",INDEX(Calc!$D$2:$D$1601,$AH1048))</f>
        <v/>
      </c>
      <c r="AC1048">
        <f>IF($AH1048="","",INDEX(Calc!$G$2:$G$1601,$AH1048))</f>
        <v/>
      </c>
      <c r="AD1048">
        <f>IF($AG1048="","",Config!$B$23)</f>
        <v/>
      </c>
      <c r="AE1048">
        <f>IF($AG1048="","",Config!$B$28)</f>
        <v/>
      </c>
      <c r="AG1048">
        <f>IFERROR(MATCH(ROW()-1,Calc!$J$2:$J$1601,0),"")</f>
        <v/>
      </c>
      <c r="AH1048">
        <f>IFERROR(MATCH(ROW()-1,Calc!$K$2:$K$1601,0),"")</f>
        <v/>
      </c>
      <c r="AI1048">
        <f>IF($AG1048="","",SUMIF($AG$2:$AG1048,$AG1048,$AH$2:$AH1048))</f>
        <v/>
      </c>
      <c r="AJ1048">
        <f>IF('TMP Paste'!$F1048="","",IF('TMP Paste'!$B1048="",$AJ1047,'TMP Paste'!$B1048))</f>
        <v/>
      </c>
      <c r="AK1048">
        <f>IF('TMP Paste'!$F1048="","",N('TMP Paste'!$G1048))</f>
        <v/>
      </c>
      <c r="AL1048">
        <f>IF('TMP Paste'!$F1048="","",IF('TMP Paste'!$M1048="",$AL1047,'TMP Paste'!$M1048))</f>
        <v/>
      </c>
      <c r="AM1048">
        <f>IF('TMP Paste'!$F1048="","",IF('TMP Paste'!$N1048="",$AM1047,'TMP Paste'!$N1048))</f>
        <v/>
      </c>
      <c r="AN1048">
        <f>IF('TMP Paste'!$F1048="","",IF('TMP Paste'!$O1048="",$AN1047,'TMP Paste'!$O1048))</f>
        <v/>
      </c>
      <c r="AO1048">
        <f>IF('TMP Paste'!$F1048="","",IF('TMP Paste'!$P1048="",$AO1047,'TMP Paste'!$P1048))</f>
        <v/>
      </c>
      <c r="AP1048">
        <f>IF($AG1048="","",LEN($R1048))</f>
        <v/>
      </c>
      <c r="AQ1048">
        <f>IF($AG1048="","",TRIM(IF(COUNTIFS(Calc!$B$2:$B$1601,ROW()-1,Calc!$C$2:$C$1601,"&lt;1")&gt;0,"Ada PO tanpa Koli - cek TMP. ","")&amp;IF(LEN($R1048)&gt;500,"R &gt; 500 karakter.","")))</f>
        <v/>
      </c>
    </row>
    <row r="1049">
      <c r="A1049">
        <f>IF($AG1049="","",INDEX('TMP Paste'!$B$2:$B$1601,$AG1049))</f>
        <v/>
      </c>
      <c r="B1049">
        <f>IF($AG1049="","",Config!$B$14)</f>
        <v/>
      </c>
      <c r="C1049">
        <f>IF($AG1049="","",Config!$B$15)</f>
        <v/>
      </c>
      <c r="D1049">
        <f>IF($AG1049="","",INDEX('TMP Paste'!$B$2:$B$1601,$AG1049))</f>
        <v/>
      </c>
      <c r="E1049">
        <f>IF($AG1049="","",Config!$B$27)</f>
        <v/>
      </c>
      <c r="F1049">
        <f>IF($AG1049="","",Config!$B$9)</f>
        <v/>
      </c>
      <c r="G1049">
        <f>IF($AG1049="","",Config!$B$10)</f>
        <v/>
      </c>
      <c r="H1049">
        <f>IF($AG1049="","",Config!$B$11)</f>
        <v/>
      </c>
      <c r="I1049">
        <f>IF($AG1049="","",Config!$B$16)</f>
        <v/>
      </c>
      <c r="J1049">
        <f>IF($AG1049="","",INDEX('TMP Paste'!$A$2:$A$1601,$AG1049))</f>
        <v/>
      </c>
      <c r="K1049">
        <f>IF($AG1049="","",INDEX('TMP Paste'!$L$2:$L$1601,$AG1049))</f>
        <v/>
      </c>
      <c r="L1049">
        <f>IF($AG1049="","",INDEX('TMP Paste'!$I$2:$I$1601,$AG1049))</f>
        <v/>
      </c>
      <c r="M1049">
        <f>IF($AG1049="","",Config!$B$16)</f>
        <v/>
      </c>
      <c r="N1049">
        <f>IF($AG1049="","","")</f>
        <v/>
      </c>
      <c r="O1049">
        <f>IF($AG1049="","",INDEX('TMP Paste'!$K$2:$K$1601,$AG1049))</f>
        <v/>
      </c>
      <c r="P1049">
        <f>IF($AG1049="","","")</f>
        <v/>
      </c>
      <c r="Q1049">
        <f>IF($AG1049="","",INDEX('TMP Paste'!$J$2:$J$1601,$AG1049))</f>
        <v/>
      </c>
      <c r="R1049">
        <f>IF($AG1049="","",Config!$B$24)</f>
        <v/>
      </c>
      <c r="S1049">
        <f>IF($AG1049="","",TEXT(Config!$B$4,"yyyy-mm-dd"))</f>
        <v/>
      </c>
      <c r="T1049">
        <f>IF($AG1049="","",Config!$B$17)</f>
        <v/>
      </c>
      <c r="U1049">
        <f>IF($AG1049="","",Config!$B$18)</f>
        <v/>
      </c>
      <c r="V1049">
        <f>IF($AG1049="","",Config!$B$19)</f>
        <v/>
      </c>
      <c r="W1049">
        <f>IF($AG1049="","",INDEX('TMP Paste'!$C$2:$C$1601,$AG1049))</f>
        <v/>
      </c>
      <c r="X1049">
        <f>IF($AG1049="","",Config!$B$29)</f>
        <v/>
      </c>
      <c r="Y1049">
        <f>IF($AH1049="","",INDEX(Calc!$I$2:$I$1601,$AH1049)&amp;" - "&amp;INDEX(Calc!$D$2:$D$1601,$AH1049)&amp;" koli")</f>
        <v/>
      </c>
      <c r="Z1049">
        <f>IF($AG1049="","",Config!$B$21)</f>
        <v/>
      </c>
      <c r="AA1049">
        <f>IF($AG1049="","",Config!$B$22)</f>
        <v/>
      </c>
      <c r="AB1049">
        <f>IF($AH1049="","",INDEX(Calc!$D$2:$D$1601,$AH1049))</f>
        <v/>
      </c>
      <c r="AC1049">
        <f>IF($AH1049="","",INDEX(Calc!$G$2:$G$1601,$AH1049))</f>
        <v/>
      </c>
      <c r="AD1049">
        <f>IF($AG1049="","",Config!$B$23)</f>
        <v/>
      </c>
      <c r="AE1049">
        <f>IF($AG1049="","",Config!$B$28)</f>
        <v/>
      </c>
      <c r="AG1049">
        <f>IFERROR(MATCH(ROW()-1,Calc!$J$2:$J$1601,0),"")</f>
        <v/>
      </c>
      <c r="AH1049">
        <f>IFERROR(MATCH(ROW()-1,Calc!$K$2:$K$1601,0),"")</f>
        <v/>
      </c>
      <c r="AI1049">
        <f>IF($AG1049="","",SUMIF($AG$2:$AG1049,$AG1049,$AH$2:$AH1049))</f>
        <v/>
      </c>
      <c r="AJ1049">
        <f>IF('TMP Paste'!$F1049="","",IF('TMP Paste'!$B1049="",$AJ1048,'TMP Paste'!$B1049))</f>
        <v/>
      </c>
      <c r="AK1049">
        <f>IF('TMP Paste'!$F1049="","",N('TMP Paste'!$G1049))</f>
        <v/>
      </c>
      <c r="AL1049">
        <f>IF('TMP Paste'!$F1049="","",IF('TMP Paste'!$M1049="",$AL1048,'TMP Paste'!$M1049))</f>
        <v/>
      </c>
      <c r="AM1049">
        <f>IF('TMP Paste'!$F1049="","",IF('TMP Paste'!$N1049="",$AM1048,'TMP Paste'!$N1049))</f>
        <v/>
      </c>
      <c r="AN1049">
        <f>IF('TMP Paste'!$F1049="","",IF('TMP Paste'!$O1049="",$AN1048,'TMP Paste'!$O1049))</f>
        <v/>
      </c>
      <c r="AO1049">
        <f>IF('TMP Paste'!$F1049="","",IF('TMP Paste'!$P1049="",$AO1048,'TMP Paste'!$P1049))</f>
        <v/>
      </c>
      <c r="AP1049">
        <f>IF($AG1049="","",LEN($R1049))</f>
        <v/>
      </c>
      <c r="AQ1049">
        <f>IF($AG1049="","",TRIM(IF(COUNTIFS(Calc!$B$2:$B$1601,ROW()-1,Calc!$C$2:$C$1601,"&lt;1")&gt;0,"Ada PO tanpa Koli - cek TMP. ","")&amp;IF(LEN($R1049)&gt;500,"R &gt; 500 karakter.","")))</f>
        <v/>
      </c>
    </row>
    <row r="1050">
      <c r="A1050">
        <f>IF($AG1050="","",INDEX('TMP Paste'!$B$2:$B$1601,$AG1050))</f>
        <v/>
      </c>
      <c r="B1050">
        <f>IF($AG1050="","",Config!$B$14)</f>
        <v/>
      </c>
      <c r="C1050">
        <f>IF($AG1050="","",Config!$B$15)</f>
        <v/>
      </c>
      <c r="D1050">
        <f>IF($AG1050="","",INDEX('TMP Paste'!$B$2:$B$1601,$AG1050))</f>
        <v/>
      </c>
      <c r="E1050">
        <f>IF($AG1050="","",Config!$B$27)</f>
        <v/>
      </c>
      <c r="F1050">
        <f>IF($AG1050="","",Config!$B$9)</f>
        <v/>
      </c>
      <c r="G1050">
        <f>IF($AG1050="","",Config!$B$10)</f>
        <v/>
      </c>
      <c r="H1050">
        <f>IF($AG1050="","",Config!$B$11)</f>
        <v/>
      </c>
      <c r="I1050">
        <f>IF($AG1050="","",Config!$B$16)</f>
        <v/>
      </c>
      <c r="J1050">
        <f>IF($AG1050="","",INDEX('TMP Paste'!$A$2:$A$1601,$AG1050))</f>
        <v/>
      </c>
      <c r="K1050">
        <f>IF($AG1050="","",INDEX('TMP Paste'!$L$2:$L$1601,$AG1050))</f>
        <v/>
      </c>
      <c r="L1050">
        <f>IF($AG1050="","",INDEX('TMP Paste'!$I$2:$I$1601,$AG1050))</f>
        <v/>
      </c>
      <c r="M1050">
        <f>IF($AG1050="","",Config!$B$16)</f>
        <v/>
      </c>
      <c r="N1050">
        <f>IF($AG1050="","","")</f>
        <v/>
      </c>
      <c r="O1050">
        <f>IF($AG1050="","",INDEX('TMP Paste'!$K$2:$K$1601,$AG1050))</f>
        <v/>
      </c>
      <c r="P1050">
        <f>IF($AG1050="","","")</f>
        <v/>
      </c>
      <c r="Q1050">
        <f>IF($AG1050="","",INDEX('TMP Paste'!$J$2:$J$1601,$AG1050))</f>
        <v/>
      </c>
      <c r="R1050">
        <f>IF($AG1050="","",Config!$B$24)</f>
        <v/>
      </c>
      <c r="S1050">
        <f>IF($AG1050="","",TEXT(Config!$B$4,"yyyy-mm-dd"))</f>
        <v/>
      </c>
      <c r="T1050">
        <f>IF($AG1050="","",Config!$B$17)</f>
        <v/>
      </c>
      <c r="U1050">
        <f>IF($AG1050="","",Config!$B$18)</f>
        <v/>
      </c>
      <c r="V1050">
        <f>IF($AG1050="","",Config!$B$19)</f>
        <v/>
      </c>
      <c r="W1050">
        <f>IF($AG1050="","",INDEX('TMP Paste'!$C$2:$C$1601,$AG1050))</f>
        <v/>
      </c>
      <c r="X1050">
        <f>IF($AG1050="","",Config!$B$29)</f>
        <v/>
      </c>
      <c r="Y1050">
        <f>IF($AH1050="","",INDEX(Calc!$I$2:$I$1601,$AH1050)&amp;" - "&amp;INDEX(Calc!$D$2:$D$1601,$AH1050)&amp;" koli")</f>
        <v/>
      </c>
      <c r="Z1050">
        <f>IF($AG1050="","",Config!$B$21)</f>
        <v/>
      </c>
      <c r="AA1050">
        <f>IF($AG1050="","",Config!$B$22)</f>
        <v/>
      </c>
      <c r="AB1050">
        <f>IF($AH1050="","",INDEX(Calc!$D$2:$D$1601,$AH1050))</f>
        <v/>
      </c>
      <c r="AC1050">
        <f>IF($AH1050="","",INDEX(Calc!$G$2:$G$1601,$AH1050))</f>
        <v/>
      </c>
      <c r="AD1050">
        <f>IF($AG1050="","",Config!$B$23)</f>
        <v/>
      </c>
      <c r="AE1050">
        <f>IF($AG1050="","",Config!$B$28)</f>
        <v/>
      </c>
      <c r="AG1050">
        <f>IFERROR(MATCH(ROW()-1,Calc!$J$2:$J$1601,0),"")</f>
        <v/>
      </c>
      <c r="AH1050">
        <f>IFERROR(MATCH(ROW()-1,Calc!$K$2:$K$1601,0),"")</f>
        <v/>
      </c>
      <c r="AI1050">
        <f>IF($AG1050="","",SUMIF($AG$2:$AG1050,$AG1050,$AH$2:$AH1050))</f>
        <v/>
      </c>
      <c r="AJ1050">
        <f>IF('TMP Paste'!$F1050="","",IF('TMP Paste'!$B1050="",$AJ1049,'TMP Paste'!$B1050))</f>
        <v/>
      </c>
      <c r="AK1050">
        <f>IF('TMP Paste'!$F1050="","",N('TMP Paste'!$G1050))</f>
        <v/>
      </c>
      <c r="AL1050">
        <f>IF('TMP Paste'!$F1050="","",IF('TMP Paste'!$M1050="",$AL1049,'TMP Paste'!$M1050))</f>
        <v/>
      </c>
      <c r="AM1050">
        <f>IF('TMP Paste'!$F1050="","",IF('TMP Paste'!$N1050="",$AM1049,'TMP Paste'!$N1050))</f>
        <v/>
      </c>
      <c r="AN1050">
        <f>IF('TMP Paste'!$F1050="","",IF('TMP Paste'!$O1050="",$AN1049,'TMP Paste'!$O1050))</f>
        <v/>
      </c>
      <c r="AO1050">
        <f>IF('TMP Paste'!$F1050="","",IF('TMP Paste'!$P1050="",$AO1049,'TMP Paste'!$P1050))</f>
        <v/>
      </c>
      <c r="AP1050">
        <f>IF($AG1050="","",LEN($R1050))</f>
        <v/>
      </c>
      <c r="AQ1050">
        <f>IF($AG1050="","",TRIM(IF(COUNTIFS(Calc!$B$2:$B$1601,ROW()-1,Calc!$C$2:$C$1601,"&lt;1")&gt;0,"Ada PO tanpa Koli - cek TMP. ","")&amp;IF(LEN($R1050)&gt;500,"R &gt; 500 karakter.","")))</f>
        <v/>
      </c>
    </row>
    <row r="1051">
      <c r="A1051">
        <f>IF($AG1051="","",INDEX('TMP Paste'!$B$2:$B$1601,$AG1051))</f>
        <v/>
      </c>
      <c r="B1051">
        <f>IF($AG1051="","",Config!$B$14)</f>
        <v/>
      </c>
      <c r="C1051">
        <f>IF($AG1051="","",Config!$B$15)</f>
        <v/>
      </c>
      <c r="D1051">
        <f>IF($AG1051="","",INDEX('TMP Paste'!$B$2:$B$1601,$AG1051))</f>
        <v/>
      </c>
      <c r="E1051">
        <f>IF($AG1051="","",Config!$B$27)</f>
        <v/>
      </c>
      <c r="F1051">
        <f>IF($AG1051="","",Config!$B$9)</f>
        <v/>
      </c>
      <c r="G1051">
        <f>IF($AG1051="","",Config!$B$10)</f>
        <v/>
      </c>
      <c r="H1051">
        <f>IF($AG1051="","",Config!$B$11)</f>
        <v/>
      </c>
      <c r="I1051">
        <f>IF($AG1051="","",Config!$B$16)</f>
        <v/>
      </c>
      <c r="J1051">
        <f>IF($AG1051="","",INDEX('TMP Paste'!$A$2:$A$1601,$AG1051))</f>
        <v/>
      </c>
      <c r="K1051">
        <f>IF($AG1051="","",INDEX('TMP Paste'!$L$2:$L$1601,$AG1051))</f>
        <v/>
      </c>
      <c r="L1051">
        <f>IF($AG1051="","",INDEX('TMP Paste'!$I$2:$I$1601,$AG1051))</f>
        <v/>
      </c>
      <c r="M1051">
        <f>IF($AG1051="","",Config!$B$16)</f>
        <v/>
      </c>
      <c r="N1051">
        <f>IF($AG1051="","","")</f>
        <v/>
      </c>
      <c r="O1051">
        <f>IF($AG1051="","",INDEX('TMP Paste'!$K$2:$K$1601,$AG1051))</f>
        <v/>
      </c>
      <c r="P1051">
        <f>IF($AG1051="","","")</f>
        <v/>
      </c>
      <c r="Q1051">
        <f>IF($AG1051="","",INDEX('TMP Paste'!$J$2:$J$1601,$AG1051))</f>
        <v/>
      </c>
      <c r="R1051">
        <f>IF($AG1051="","",Config!$B$24)</f>
        <v/>
      </c>
      <c r="S1051">
        <f>IF($AG1051="","",TEXT(Config!$B$4,"yyyy-mm-dd"))</f>
        <v/>
      </c>
      <c r="T1051">
        <f>IF($AG1051="","",Config!$B$17)</f>
        <v/>
      </c>
      <c r="U1051">
        <f>IF($AG1051="","",Config!$B$18)</f>
        <v/>
      </c>
      <c r="V1051">
        <f>IF($AG1051="","",Config!$B$19)</f>
        <v/>
      </c>
      <c r="W1051">
        <f>IF($AG1051="","",INDEX('TMP Paste'!$C$2:$C$1601,$AG1051))</f>
        <v/>
      </c>
      <c r="X1051">
        <f>IF($AG1051="","",Config!$B$29)</f>
        <v/>
      </c>
      <c r="Y1051">
        <f>IF($AH1051="","",INDEX(Calc!$I$2:$I$1601,$AH1051)&amp;" - "&amp;INDEX(Calc!$D$2:$D$1601,$AH1051)&amp;" koli")</f>
        <v/>
      </c>
      <c r="Z1051">
        <f>IF($AG1051="","",Config!$B$21)</f>
        <v/>
      </c>
      <c r="AA1051">
        <f>IF($AG1051="","",Config!$B$22)</f>
        <v/>
      </c>
      <c r="AB1051">
        <f>IF($AH1051="","",INDEX(Calc!$D$2:$D$1601,$AH1051))</f>
        <v/>
      </c>
      <c r="AC1051">
        <f>IF($AH1051="","",INDEX(Calc!$G$2:$G$1601,$AH1051))</f>
        <v/>
      </c>
      <c r="AD1051">
        <f>IF($AG1051="","",Config!$B$23)</f>
        <v/>
      </c>
      <c r="AE1051">
        <f>IF($AG1051="","",Config!$B$28)</f>
        <v/>
      </c>
      <c r="AG1051">
        <f>IFERROR(MATCH(ROW()-1,Calc!$J$2:$J$1601,0),"")</f>
        <v/>
      </c>
      <c r="AH1051">
        <f>IFERROR(MATCH(ROW()-1,Calc!$K$2:$K$1601,0),"")</f>
        <v/>
      </c>
      <c r="AI1051">
        <f>IF($AG1051="","",SUMIF($AG$2:$AG1051,$AG1051,$AH$2:$AH1051))</f>
        <v/>
      </c>
      <c r="AJ1051">
        <f>IF('TMP Paste'!$F1051="","",IF('TMP Paste'!$B1051="",$AJ1050,'TMP Paste'!$B1051))</f>
        <v/>
      </c>
      <c r="AK1051">
        <f>IF('TMP Paste'!$F1051="","",N('TMP Paste'!$G1051))</f>
        <v/>
      </c>
      <c r="AL1051">
        <f>IF('TMP Paste'!$F1051="","",IF('TMP Paste'!$M1051="",$AL1050,'TMP Paste'!$M1051))</f>
        <v/>
      </c>
      <c r="AM1051">
        <f>IF('TMP Paste'!$F1051="","",IF('TMP Paste'!$N1051="",$AM1050,'TMP Paste'!$N1051))</f>
        <v/>
      </c>
      <c r="AN1051">
        <f>IF('TMP Paste'!$F1051="","",IF('TMP Paste'!$O1051="",$AN1050,'TMP Paste'!$O1051))</f>
        <v/>
      </c>
      <c r="AO1051">
        <f>IF('TMP Paste'!$F1051="","",IF('TMP Paste'!$P1051="",$AO1050,'TMP Paste'!$P1051))</f>
        <v/>
      </c>
      <c r="AP1051">
        <f>IF($AG1051="","",LEN($R1051))</f>
        <v/>
      </c>
      <c r="AQ1051">
        <f>IF($AG1051="","",TRIM(IF(COUNTIFS(Calc!$B$2:$B$1601,ROW()-1,Calc!$C$2:$C$1601,"&lt;1")&gt;0,"Ada PO tanpa Koli - cek TMP. ","")&amp;IF(LEN($R1051)&gt;500,"R &gt; 500 karakter.","")))</f>
        <v/>
      </c>
    </row>
    <row r="1052">
      <c r="A1052">
        <f>IF($AG1052="","",INDEX('TMP Paste'!$B$2:$B$1601,$AG1052))</f>
        <v/>
      </c>
      <c r="B1052">
        <f>IF($AG1052="","",Config!$B$14)</f>
        <v/>
      </c>
      <c r="C1052">
        <f>IF($AG1052="","",Config!$B$15)</f>
        <v/>
      </c>
      <c r="D1052">
        <f>IF($AG1052="","",INDEX('TMP Paste'!$B$2:$B$1601,$AG1052))</f>
        <v/>
      </c>
      <c r="E1052">
        <f>IF($AG1052="","",Config!$B$27)</f>
        <v/>
      </c>
      <c r="F1052">
        <f>IF($AG1052="","",Config!$B$9)</f>
        <v/>
      </c>
      <c r="G1052">
        <f>IF($AG1052="","",Config!$B$10)</f>
        <v/>
      </c>
      <c r="H1052">
        <f>IF($AG1052="","",Config!$B$11)</f>
        <v/>
      </c>
      <c r="I1052">
        <f>IF($AG1052="","",Config!$B$16)</f>
        <v/>
      </c>
      <c r="J1052">
        <f>IF($AG1052="","",INDEX('TMP Paste'!$A$2:$A$1601,$AG1052))</f>
        <v/>
      </c>
      <c r="K1052">
        <f>IF($AG1052="","",INDEX('TMP Paste'!$L$2:$L$1601,$AG1052))</f>
        <v/>
      </c>
      <c r="L1052">
        <f>IF($AG1052="","",INDEX('TMP Paste'!$I$2:$I$1601,$AG1052))</f>
        <v/>
      </c>
      <c r="M1052">
        <f>IF($AG1052="","",Config!$B$16)</f>
        <v/>
      </c>
      <c r="N1052">
        <f>IF($AG1052="","","")</f>
        <v/>
      </c>
      <c r="O1052">
        <f>IF($AG1052="","",INDEX('TMP Paste'!$K$2:$K$1601,$AG1052))</f>
        <v/>
      </c>
      <c r="P1052">
        <f>IF($AG1052="","","")</f>
        <v/>
      </c>
      <c r="Q1052">
        <f>IF($AG1052="","",INDEX('TMP Paste'!$J$2:$J$1601,$AG1052))</f>
        <v/>
      </c>
      <c r="R1052">
        <f>IF($AG1052="","",Config!$B$24)</f>
        <v/>
      </c>
      <c r="S1052">
        <f>IF($AG1052="","",TEXT(Config!$B$4,"yyyy-mm-dd"))</f>
        <v/>
      </c>
      <c r="T1052">
        <f>IF($AG1052="","",Config!$B$17)</f>
        <v/>
      </c>
      <c r="U1052">
        <f>IF($AG1052="","",Config!$B$18)</f>
        <v/>
      </c>
      <c r="V1052">
        <f>IF($AG1052="","",Config!$B$19)</f>
        <v/>
      </c>
      <c r="W1052">
        <f>IF($AG1052="","",INDEX('TMP Paste'!$C$2:$C$1601,$AG1052))</f>
        <v/>
      </c>
      <c r="X1052">
        <f>IF($AG1052="","",Config!$B$29)</f>
        <v/>
      </c>
      <c r="Y1052">
        <f>IF($AH1052="","",INDEX(Calc!$I$2:$I$1601,$AH1052)&amp;" - "&amp;INDEX(Calc!$D$2:$D$1601,$AH1052)&amp;" koli")</f>
        <v/>
      </c>
      <c r="Z1052">
        <f>IF($AG1052="","",Config!$B$21)</f>
        <v/>
      </c>
      <c r="AA1052">
        <f>IF($AG1052="","",Config!$B$22)</f>
        <v/>
      </c>
      <c r="AB1052">
        <f>IF($AH1052="","",INDEX(Calc!$D$2:$D$1601,$AH1052))</f>
        <v/>
      </c>
      <c r="AC1052">
        <f>IF($AH1052="","",INDEX(Calc!$G$2:$G$1601,$AH1052))</f>
        <v/>
      </c>
      <c r="AD1052">
        <f>IF($AG1052="","",Config!$B$23)</f>
        <v/>
      </c>
      <c r="AE1052">
        <f>IF($AG1052="","",Config!$B$28)</f>
        <v/>
      </c>
      <c r="AG1052">
        <f>IFERROR(MATCH(ROW()-1,Calc!$J$2:$J$1601,0),"")</f>
        <v/>
      </c>
      <c r="AH1052">
        <f>IFERROR(MATCH(ROW()-1,Calc!$K$2:$K$1601,0),"")</f>
        <v/>
      </c>
      <c r="AI1052">
        <f>IF($AG1052="","",SUMIF($AG$2:$AG1052,$AG1052,$AH$2:$AH1052))</f>
        <v/>
      </c>
      <c r="AJ1052">
        <f>IF('TMP Paste'!$F1052="","",IF('TMP Paste'!$B1052="",$AJ1051,'TMP Paste'!$B1052))</f>
        <v/>
      </c>
      <c r="AK1052">
        <f>IF('TMP Paste'!$F1052="","",N('TMP Paste'!$G1052))</f>
        <v/>
      </c>
      <c r="AL1052">
        <f>IF('TMP Paste'!$F1052="","",IF('TMP Paste'!$M1052="",$AL1051,'TMP Paste'!$M1052))</f>
        <v/>
      </c>
      <c r="AM1052">
        <f>IF('TMP Paste'!$F1052="","",IF('TMP Paste'!$N1052="",$AM1051,'TMP Paste'!$N1052))</f>
        <v/>
      </c>
      <c r="AN1052">
        <f>IF('TMP Paste'!$F1052="","",IF('TMP Paste'!$O1052="",$AN1051,'TMP Paste'!$O1052))</f>
        <v/>
      </c>
      <c r="AO1052">
        <f>IF('TMP Paste'!$F1052="","",IF('TMP Paste'!$P1052="",$AO1051,'TMP Paste'!$P1052))</f>
        <v/>
      </c>
      <c r="AP1052">
        <f>IF($AG1052="","",LEN($R1052))</f>
        <v/>
      </c>
      <c r="AQ1052">
        <f>IF($AG1052="","",TRIM(IF(COUNTIFS(Calc!$B$2:$B$1601,ROW()-1,Calc!$C$2:$C$1601,"&lt;1")&gt;0,"Ada PO tanpa Koli - cek TMP. ","")&amp;IF(LEN($R1052)&gt;500,"R &gt; 500 karakter.","")))</f>
        <v/>
      </c>
    </row>
    <row r="1053">
      <c r="A1053">
        <f>IF($AG1053="","",INDEX('TMP Paste'!$B$2:$B$1601,$AG1053))</f>
        <v/>
      </c>
      <c r="B1053">
        <f>IF($AG1053="","",Config!$B$14)</f>
        <v/>
      </c>
      <c r="C1053">
        <f>IF($AG1053="","",Config!$B$15)</f>
        <v/>
      </c>
      <c r="D1053">
        <f>IF($AG1053="","",INDEX('TMP Paste'!$B$2:$B$1601,$AG1053))</f>
        <v/>
      </c>
      <c r="E1053">
        <f>IF($AG1053="","",Config!$B$27)</f>
        <v/>
      </c>
      <c r="F1053">
        <f>IF($AG1053="","",Config!$B$9)</f>
        <v/>
      </c>
      <c r="G1053">
        <f>IF($AG1053="","",Config!$B$10)</f>
        <v/>
      </c>
      <c r="H1053">
        <f>IF($AG1053="","",Config!$B$11)</f>
        <v/>
      </c>
      <c r="I1053">
        <f>IF($AG1053="","",Config!$B$16)</f>
        <v/>
      </c>
      <c r="J1053">
        <f>IF($AG1053="","",INDEX('TMP Paste'!$A$2:$A$1601,$AG1053))</f>
        <v/>
      </c>
      <c r="K1053">
        <f>IF($AG1053="","",INDEX('TMP Paste'!$L$2:$L$1601,$AG1053))</f>
        <v/>
      </c>
      <c r="L1053">
        <f>IF($AG1053="","",INDEX('TMP Paste'!$I$2:$I$1601,$AG1053))</f>
        <v/>
      </c>
      <c r="M1053">
        <f>IF($AG1053="","",Config!$B$16)</f>
        <v/>
      </c>
      <c r="N1053">
        <f>IF($AG1053="","","")</f>
        <v/>
      </c>
      <c r="O1053">
        <f>IF($AG1053="","",INDEX('TMP Paste'!$K$2:$K$1601,$AG1053))</f>
        <v/>
      </c>
      <c r="P1053">
        <f>IF($AG1053="","","")</f>
        <v/>
      </c>
      <c r="Q1053">
        <f>IF($AG1053="","",INDEX('TMP Paste'!$J$2:$J$1601,$AG1053))</f>
        <v/>
      </c>
      <c r="R1053">
        <f>IF($AG1053="","",Config!$B$24)</f>
        <v/>
      </c>
      <c r="S1053">
        <f>IF($AG1053="","",TEXT(Config!$B$4,"yyyy-mm-dd"))</f>
        <v/>
      </c>
      <c r="T1053">
        <f>IF($AG1053="","",Config!$B$17)</f>
        <v/>
      </c>
      <c r="U1053">
        <f>IF($AG1053="","",Config!$B$18)</f>
        <v/>
      </c>
      <c r="V1053">
        <f>IF($AG1053="","",Config!$B$19)</f>
        <v/>
      </c>
      <c r="W1053">
        <f>IF($AG1053="","",INDEX('TMP Paste'!$C$2:$C$1601,$AG1053))</f>
        <v/>
      </c>
      <c r="X1053">
        <f>IF($AG1053="","",Config!$B$29)</f>
        <v/>
      </c>
      <c r="Y1053">
        <f>IF($AH1053="","",INDEX(Calc!$I$2:$I$1601,$AH1053)&amp;" - "&amp;INDEX(Calc!$D$2:$D$1601,$AH1053)&amp;" koli")</f>
        <v/>
      </c>
      <c r="Z1053">
        <f>IF($AG1053="","",Config!$B$21)</f>
        <v/>
      </c>
      <c r="AA1053">
        <f>IF($AG1053="","",Config!$B$22)</f>
        <v/>
      </c>
      <c r="AB1053">
        <f>IF($AH1053="","",INDEX(Calc!$D$2:$D$1601,$AH1053))</f>
        <v/>
      </c>
      <c r="AC1053">
        <f>IF($AH1053="","",INDEX(Calc!$G$2:$G$1601,$AH1053))</f>
        <v/>
      </c>
      <c r="AD1053">
        <f>IF($AG1053="","",Config!$B$23)</f>
        <v/>
      </c>
      <c r="AE1053">
        <f>IF($AG1053="","",Config!$B$28)</f>
        <v/>
      </c>
      <c r="AG1053">
        <f>IFERROR(MATCH(ROW()-1,Calc!$J$2:$J$1601,0),"")</f>
        <v/>
      </c>
      <c r="AH1053">
        <f>IFERROR(MATCH(ROW()-1,Calc!$K$2:$K$1601,0),"")</f>
        <v/>
      </c>
      <c r="AI1053">
        <f>IF($AG1053="","",SUMIF($AG$2:$AG1053,$AG1053,$AH$2:$AH1053))</f>
        <v/>
      </c>
      <c r="AJ1053">
        <f>IF('TMP Paste'!$F1053="","",IF('TMP Paste'!$B1053="",$AJ1052,'TMP Paste'!$B1053))</f>
        <v/>
      </c>
      <c r="AK1053">
        <f>IF('TMP Paste'!$F1053="","",N('TMP Paste'!$G1053))</f>
        <v/>
      </c>
      <c r="AL1053">
        <f>IF('TMP Paste'!$F1053="","",IF('TMP Paste'!$M1053="",$AL1052,'TMP Paste'!$M1053))</f>
        <v/>
      </c>
      <c r="AM1053">
        <f>IF('TMP Paste'!$F1053="","",IF('TMP Paste'!$N1053="",$AM1052,'TMP Paste'!$N1053))</f>
        <v/>
      </c>
      <c r="AN1053">
        <f>IF('TMP Paste'!$F1053="","",IF('TMP Paste'!$O1053="",$AN1052,'TMP Paste'!$O1053))</f>
        <v/>
      </c>
      <c r="AO1053">
        <f>IF('TMP Paste'!$F1053="","",IF('TMP Paste'!$P1053="",$AO1052,'TMP Paste'!$P1053))</f>
        <v/>
      </c>
      <c r="AP1053">
        <f>IF($AG1053="","",LEN($R1053))</f>
        <v/>
      </c>
      <c r="AQ1053">
        <f>IF($AG1053="","",TRIM(IF(COUNTIFS(Calc!$B$2:$B$1601,ROW()-1,Calc!$C$2:$C$1601,"&lt;1")&gt;0,"Ada PO tanpa Koli - cek TMP. ","")&amp;IF(LEN($R1053)&gt;500,"R &gt; 500 karakter.","")))</f>
        <v/>
      </c>
    </row>
    <row r="1054">
      <c r="A1054">
        <f>IF($AG1054="","",INDEX('TMP Paste'!$B$2:$B$1601,$AG1054))</f>
        <v/>
      </c>
      <c r="B1054">
        <f>IF($AG1054="","",Config!$B$14)</f>
        <v/>
      </c>
      <c r="C1054">
        <f>IF($AG1054="","",Config!$B$15)</f>
        <v/>
      </c>
      <c r="D1054">
        <f>IF($AG1054="","",INDEX('TMP Paste'!$B$2:$B$1601,$AG1054))</f>
        <v/>
      </c>
      <c r="E1054">
        <f>IF($AG1054="","",Config!$B$27)</f>
        <v/>
      </c>
      <c r="F1054">
        <f>IF($AG1054="","",Config!$B$9)</f>
        <v/>
      </c>
      <c r="G1054">
        <f>IF($AG1054="","",Config!$B$10)</f>
        <v/>
      </c>
      <c r="H1054">
        <f>IF($AG1054="","",Config!$B$11)</f>
        <v/>
      </c>
      <c r="I1054">
        <f>IF($AG1054="","",Config!$B$16)</f>
        <v/>
      </c>
      <c r="J1054">
        <f>IF($AG1054="","",INDEX('TMP Paste'!$A$2:$A$1601,$AG1054))</f>
        <v/>
      </c>
      <c r="K1054">
        <f>IF($AG1054="","",INDEX('TMP Paste'!$L$2:$L$1601,$AG1054))</f>
        <v/>
      </c>
      <c r="L1054">
        <f>IF($AG1054="","",INDEX('TMP Paste'!$I$2:$I$1601,$AG1054))</f>
        <v/>
      </c>
      <c r="M1054">
        <f>IF($AG1054="","",Config!$B$16)</f>
        <v/>
      </c>
      <c r="N1054">
        <f>IF($AG1054="","","")</f>
        <v/>
      </c>
      <c r="O1054">
        <f>IF($AG1054="","",INDEX('TMP Paste'!$K$2:$K$1601,$AG1054))</f>
        <v/>
      </c>
      <c r="P1054">
        <f>IF($AG1054="","","")</f>
        <v/>
      </c>
      <c r="Q1054">
        <f>IF($AG1054="","",INDEX('TMP Paste'!$J$2:$J$1601,$AG1054))</f>
        <v/>
      </c>
      <c r="R1054">
        <f>IF($AG1054="","",Config!$B$24)</f>
        <v/>
      </c>
      <c r="S1054">
        <f>IF($AG1054="","",TEXT(Config!$B$4,"yyyy-mm-dd"))</f>
        <v/>
      </c>
      <c r="T1054">
        <f>IF($AG1054="","",Config!$B$17)</f>
        <v/>
      </c>
      <c r="U1054">
        <f>IF($AG1054="","",Config!$B$18)</f>
        <v/>
      </c>
      <c r="V1054">
        <f>IF($AG1054="","",Config!$B$19)</f>
        <v/>
      </c>
      <c r="W1054">
        <f>IF($AG1054="","",INDEX('TMP Paste'!$C$2:$C$1601,$AG1054))</f>
        <v/>
      </c>
      <c r="X1054">
        <f>IF($AG1054="","",Config!$B$29)</f>
        <v/>
      </c>
      <c r="Y1054">
        <f>IF($AH1054="","",INDEX(Calc!$I$2:$I$1601,$AH1054)&amp;" - "&amp;INDEX(Calc!$D$2:$D$1601,$AH1054)&amp;" koli")</f>
        <v/>
      </c>
      <c r="Z1054">
        <f>IF($AG1054="","",Config!$B$21)</f>
        <v/>
      </c>
      <c r="AA1054">
        <f>IF($AG1054="","",Config!$B$22)</f>
        <v/>
      </c>
      <c r="AB1054">
        <f>IF($AH1054="","",INDEX(Calc!$D$2:$D$1601,$AH1054))</f>
        <v/>
      </c>
      <c r="AC1054">
        <f>IF($AH1054="","",INDEX(Calc!$G$2:$G$1601,$AH1054))</f>
        <v/>
      </c>
      <c r="AD1054">
        <f>IF($AG1054="","",Config!$B$23)</f>
        <v/>
      </c>
      <c r="AE1054">
        <f>IF($AG1054="","",Config!$B$28)</f>
        <v/>
      </c>
      <c r="AG1054">
        <f>IFERROR(MATCH(ROW()-1,Calc!$J$2:$J$1601,0),"")</f>
        <v/>
      </c>
      <c r="AH1054">
        <f>IFERROR(MATCH(ROW()-1,Calc!$K$2:$K$1601,0),"")</f>
        <v/>
      </c>
      <c r="AI1054">
        <f>IF($AG1054="","",SUMIF($AG$2:$AG1054,$AG1054,$AH$2:$AH1054))</f>
        <v/>
      </c>
      <c r="AJ1054">
        <f>IF('TMP Paste'!$F1054="","",IF('TMP Paste'!$B1054="",$AJ1053,'TMP Paste'!$B1054))</f>
        <v/>
      </c>
      <c r="AK1054">
        <f>IF('TMP Paste'!$F1054="","",N('TMP Paste'!$G1054))</f>
        <v/>
      </c>
      <c r="AL1054">
        <f>IF('TMP Paste'!$F1054="","",IF('TMP Paste'!$M1054="",$AL1053,'TMP Paste'!$M1054))</f>
        <v/>
      </c>
      <c r="AM1054">
        <f>IF('TMP Paste'!$F1054="","",IF('TMP Paste'!$N1054="",$AM1053,'TMP Paste'!$N1054))</f>
        <v/>
      </c>
      <c r="AN1054">
        <f>IF('TMP Paste'!$F1054="","",IF('TMP Paste'!$O1054="",$AN1053,'TMP Paste'!$O1054))</f>
        <v/>
      </c>
      <c r="AO1054">
        <f>IF('TMP Paste'!$F1054="","",IF('TMP Paste'!$P1054="",$AO1053,'TMP Paste'!$P1054))</f>
        <v/>
      </c>
      <c r="AP1054">
        <f>IF($AG1054="","",LEN($R1054))</f>
        <v/>
      </c>
      <c r="AQ1054">
        <f>IF($AG1054="","",TRIM(IF(COUNTIFS(Calc!$B$2:$B$1601,ROW()-1,Calc!$C$2:$C$1601,"&lt;1")&gt;0,"Ada PO tanpa Koli - cek TMP. ","")&amp;IF(LEN($R1054)&gt;500,"R &gt; 500 karakter.","")))</f>
        <v/>
      </c>
    </row>
    <row r="1055">
      <c r="A1055">
        <f>IF($AG1055="","",INDEX('TMP Paste'!$B$2:$B$1601,$AG1055))</f>
        <v/>
      </c>
      <c r="B1055">
        <f>IF($AG1055="","",Config!$B$14)</f>
        <v/>
      </c>
      <c r="C1055">
        <f>IF($AG1055="","",Config!$B$15)</f>
        <v/>
      </c>
      <c r="D1055">
        <f>IF($AG1055="","",INDEX('TMP Paste'!$B$2:$B$1601,$AG1055))</f>
        <v/>
      </c>
      <c r="E1055">
        <f>IF($AG1055="","",Config!$B$27)</f>
        <v/>
      </c>
      <c r="F1055">
        <f>IF($AG1055="","",Config!$B$9)</f>
        <v/>
      </c>
      <c r="G1055">
        <f>IF($AG1055="","",Config!$B$10)</f>
        <v/>
      </c>
      <c r="H1055">
        <f>IF($AG1055="","",Config!$B$11)</f>
        <v/>
      </c>
      <c r="I1055">
        <f>IF($AG1055="","",Config!$B$16)</f>
        <v/>
      </c>
      <c r="J1055">
        <f>IF($AG1055="","",INDEX('TMP Paste'!$A$2:$A$1601,$AG1055))</f>
        <v/>
      </c>
      <c r="K1055">
        <f>IF($AG1055="","",INDEX('TMP Paste'!$L$2:$L$1601,$AG1055))</f>
        <v/>
      </c>
      <c r="L1055">
        <f>IF($AG1055="","",INDEX('TMP Paste'!$I$2:$I$1601,$AG1055))</f>
        <v/>
      </c>
      <c r="M1055">
        <f>IF($AG1055="","",Config!$B$16)</f>
        <v/>
      </c>
      <c r="N1055">
        <f>IF($AG1055="","","")</f>
        <v/>
      </c>
      <c r="O1055">
        <f>IF($AG1055="","",INDEX('TMP Paste'!$K$2:$K$1601,$AG1055))</f>
        <v/>
      </c>
      <c r="P1055">
        <f>IF($AG1055="","","")</f>
        <v/>
      </c>
      <c r="Q1055">
        <f>IF($AG1055="","",INDEX('TMP Paste'!$J$2:$J$1601,$AG1055))</f>
        <v/>
      </c>
      <c r="R1055">
        <f>IF($AG1055="","",Config!$B$24)</f>
        <v/>
      </c>
      <c r="S1055">
        <f>IF($AG1055="","",TEXT(Config!$B$4,"yyyy-mm-dd"))</f>
        <v/>
      </c>
      <c r="T1055">
        <f>IF($AG1055="","",Config!$B$17)</f>
        <v/>
      </c>
      <c r="U1055">
        <f>IF($AG1055="","",Config!$B$18)</f>
        <v/>
      </c>
      <c r="V1055">
        <f>IF($AG1055="","",Config!$B$19)</f>
        <v/>
      </c>
      <c r="W1055">
        <f>IF($AG1055="","",INDEX('TMP Paste'!$C$2:$C$1601,$AG1055))</f>
        <v/>
      </c>
      <c r="X1055">
        <f>IF($AG1055="","",Config!$B$29)</f>
        <v/>
      </c>
      <c r="Y1055">
        <f>IF($AH1055="","",INDEX(Calc!$I$2:$I$1601,$AH1055)&amp;" - "&amp;INDEX(Calc!$D$2:$D$1601,$AH1055)&amp;" koli")</f>
        <v/>
      </c>
      <c r="Z1055">
        <f>IF($AG1055="","",Config!$B$21)</f>
        <v/>
      </c>
      <c r="AA1055">
        <f>IF($AG1055="","",Config!$B$22)</f>
        <v/>
      </c>
      <c r="AB1055">
        <f>IF($AH1055="","",INDEX(Calc!$D$2:$D$1601,$AH1055))</f>
        <v/>
      </c>
      <c r="AC1055">
        <f>IF($AH1055="","",INDEX(Calc!$G$2:$G$1601,$AH1055))</f>
        <v/>
      </c>
      <c r="AD1055">
        <f>IF($AG1055="","",Config!$B$23)</f>
        <v/>
      </c>
      <c r="AE1055">
        <f>IF($AG1055="","",Config!$B$28)</f>
        <v/>
      </c>
      <c r="AG1055">
        <f>IFERROR(MATCH(ROW()-1,Calc!$J$2:$J$1601,0),"")</f>
        <v/>
      </c>
      <c r="AH1055">
        <f>IFERROR(MATCH(ROW()-1,Calc!$K$2:$K$1601,0),"")</f>
        <v/>
      </c>
      <c r="AI1055">
        <f>IF($AG1055="","",SUMIF($AG$2:$AG1055,$AG1055,$AH$2:$AH1055))</f>
        <v/>
      </c>
      <c r="AJ1055">
        <f>IF('TMP Paste'!$F1055="","",IF('TMP Paste'!$B1055="",$AJ1054,'TMP Paste'!$B1055))</f>
        <v/>
      </c>
      <c r="AK1055">
        <f>IF('TMP Paste'!$F1055="","",N('TMP Paste'!$G1055))</f>
        <v/>
      </c>
      <c r="AL1055">
        <f>IF('TMP Paste'!$F1055="","",IF('TMP Paste'!$M1055="",$AL1054,'TMP Paste'!$M1055))</f>
        <v/>
      </c>
      <c r="AM1055">
        <f>IF('TMP Paste'!$F1055="","",IF('TMP Paste'!$N1055="",$AM1054,'TMP Paste'!$N1055))</f>
        <v/>
      </c>
      <c r="AN1055">
        <f>IF('TMP Paste'!$F1055="","",IF('TMP Paste'!$O1055="",$AN1054,'TMP Paste'!$O1055))</f>
        <v/>
      </c>
      <c r="AO1055">
        <f>IF('TMP Paste'!$F1055="","",IF('TMP Paste'!$P1055="",$AO1054,'TMP Paste'!$P1055))</f>
        <v/>
      </c>
      <c r="AP1055">
        <f>IF($AG1055="","",LEN($R1055))</f>
        <v/>
      </c>
      <c r="AQ1055">
        <f>IF($AG1055="","",TRIM(IF(COUNTIFS(Calc!$B$2:$B$1601,ROW()-1,Calc!$C$2:$C$1601,"&lt;1")&gt;0,"Ada PO tanpa Koli - cek TMP. ","")&amp;IF(LEN($R1055)&gt;500,"R &gt; 500 karakter.","")))</f>
        <v/>
      </c>
    </row>
    <row r="1056">
      <c r="A1056">
        <f>IF($AG1056="","",INDEX('TMP Paste'!$B$2:$B$1601,$AG1056))</f>
        <v/>
      </c>
      <c r="B1056">
        <f>IF($AG1056="","",Config!$B$14)</f>
        <v/>
      </c>
      <c r="C1056">
        <f>IF($AG1056="","",Config!$B$15)</f>
        <v/>
      </c>
      <c r="D1056">
        <f>IF($AG1056="","",INDEX('TMP Paste'!$B$2:$B$1601,$AG1056))</f>
        <v/>
      </c>
      <c r="E1056">
        <f>IF($AG1056="","",Config!$B$27)</f>
        <v/>
      </c>
      <c r="F1056">
        <f>IF($AG1056="","",Config!$B$9)</f>
        <v/>
      </c>
      <c r="G1056">
        <f>IF($AG1056="","",Config!$B$10)</f>
        <v/>
      </c>
      <c r="H1056">
        <f>IF($AG1056="","",Config!$B$11)</f>
        <v/>
      </c>
      <c r="I1056">
        <f>IF($AG1056="","",Config!$B$16)</f>
        <v/>
      </c>
      <c r="J1056">
        <f>IF($AG1056="","",INDEX('TMP Paste'!$A$2:$A$1601,$AG1056))</f>
        <v/>
      </c>
      <c r="K1056">
        <f>IF($AG1056="","",INDEX('TMP Paste'!$L$2:$L$1601,$AG1056))</f>
        <v/>
      </c>
      <c r="L1056">
        <f>IF($AG1056="","",INDEX('TMP Paste'!$I$2:$I$1601,$AG1056))</f>
        <v/>
      </c>
      <c r="M1056">
        <f>IF($AG1056="","",Config!$B$16)</f>
        <v/>
      </c>
      <c r="N1056">
        <f>IF($AG1056="","","")</f>
        <v/>
      </c>
      <c r="O1056">
        <f>IF($AG1056="","",INDEX('TMP Paste'!$K$2:$K$1601,$AG1056))</f>
        <v/>
      </c>
      <c r="P1056">
        <f>IF($AG1056="","","")</f>
        <v/>
      </c>
      <c r="Q1056">
        <f>IF($AG1056="","",INDEX('TMP Paste'!$J$2:$J$1601,$AG1056))</f>
        <v/>
      </c>
      <c r="R1056">
        <f>IF($AG1056="","",Config!$B$24)</f>
        <v/>
      </c>
      <c r="S1056">
        <f>IF($AG1056="","",TEXT(Config!$B$4,"yyyy-mm-dd"))</f>
        <v/>
      </c>
      <c r="T1056">
        <f>IF($AG1056="","",Config!$B$17)</f>
        <v/>
      </c>
      <c r="U1056">
        <f>IF($AG1056="","",Config!$B$18)</f>
        <v/>
      </c>
      <c r="V1056">
        <f>IF($AG1056="","",Config!$B$19)</f>
        <v/>
      </c>
      <c r="W1056">
        <f>IF($AG1056="","",INDEX('TMP Paste'!$C$2:$C$1601,$AG1056))</f>
        <v/>
      </c>
      <c r="X1056">
        <f>IF($AG1056="","",Config!$B$29)</f>
        <v/>
      </c>
      <c r="Y1056">
        <f>IF($AH1056="","",INDEX(Calc!$I$2:$I$1601,$AH1056)&amp;" - "&amp;INDEX(Calc!$D$2:$D$1601,$AH1056)&amp;" koli")</f>
        <v/>
      </c>
      <c r="Z1056">
        <f>IF($AG1056="","",Config!$B$21)</f>
        <v/>
      </c>
      <c r="AA1056">
        <f>IF($AG1056="","",Config!$B$22)</f>
        <v/>
      </c>
      <c r="AB1056">
        <f>IF($AH1056="","",INDEX(Calc!$D$2:$D$1601,$AH1056))</f>
        <v/>
      </c>
      <c r="AC1056">
        <f>IF($AH1056="","",INDEX(Calc!$G$2:$G$1601,$AH1056))</f>
        <v/>
      </c>
      <c r="AD1056">
        <f>IF($AG1056="","",Config!$B$23)</f>
        <v/>
      </c>
      <c r="AE1056">
        <f>IF($AG1056="","",Config!$B$28)</f>
        <v/>
      </c>
      <c r="AG1056">
        <f>IFERROR(MATCH(ROW()-1,Calc!$J$2:$J$1601,0),"")</f>
        <v/>
      </c>
      <c r="AH1056">
        <f>IFERROR(MATCH(ROW()-1,Calc!$K$2:$K$1601,0),"")</f>
        <v/>
      </c>
      <c r="AI1056">
        <f>IF($AG1056="","",SUMIF($AG$2:$AG1056,$AG1056,$AH$2:$AH1056))</f>
        <v/>
      </c>
      <c r="AJ1056">
        <f>IF('TMP Paste'!$F1056="","",IF('TMP Paste'!$B1056="",$AJ1055,'TMP Paste'!$B1056))</f>
        <v/>
      </c>
      <c r="AK1056">
        <f>IF('TMP Paste'!$F1056="","",N('TMP Paste'!$G1056))</f>
        <v/>
      </c>
      <c r="AL1056">
        <f>IF('TMP Paste'!$F1056="","",IF('TMP Paste'!$M1056="",$AL1055,'TMP Paste'!$M1056))</f>
        <v/>
      </c>
      <c r="AM1056">
        <f>IF('TMP Paste'!$F1056="","",IF('TMP Paste'!$N1056="",$AM1055,'TMP Paste'!$N1056))</f>
        <v/>
      </c>
      <c r="AN1056">
        <f>IF('TMP Paste'!$F1056="","",IF('TMP Paste'!$O1056="",$AN1055,'TMP Paste'!$O1056))</f>
        <v/>
      </c>
      <c r="AO1056">
        <f>IF('TMP Paste'!$F1056="","",IF('TMP Paste'!$P1056="",$AO1055,'TMP Paste'!$P1056))</f>
        <v/>
      </c>
      <c r="AP1056">
        <f>IF($AG1056="","",LEN($R1056))</f>
        <v/>
      </c>
      <c r="AQ1056">
        <f>IF($AG1056="","",TRIM(IF(COUNTIFS(Calc!$B$2:$B$1601,ROW()-1,Calc!$C$2:$C$1601,"&lt;1")&gt;0,"Ada PO tanpa Koli - cek TMP. ","")&amp;IF(LEN($R1056)&gt;500,"R &gt; 500 karakter.","")))</f>
        <v/>
      </c>
    </row>
    <row r="1057">
      <c r="A1057">
        <f>IF($AG1057="","",INDEX('TMP Paste'!$B$2:$B$1601,$AG1057))</f>
        <v/>
      </c>
      <c r="B1057">
        <f>IF($AG1057="","",Config!$B$14)</f>
        <v/>
      </c>
      <c r="C1057">
        <f>IF($AG1057="","",Config!$B$15)</f>
        <v/>
      </c>
      <c r="D1057">
        <f>IF($AG1057="","",INDEX('TMP Paste'!$B$2:$B$1601,$AG1057))</f>
        <v/>
      </c>
      <c r="E1057">
        <f>IF($AG1057="","",Config!$B$27)</f>
        <v/>
      </c>
      <c r="F1057">
        <f>IF($AG1057="","",Config!$B$9)</f>
        <v/>
      </c>
      <c r="G1057">
        <f>IF($AG1057="","",Config!$B$10)</f>
        <v/>
      </c>
      <c r="H1057">
        <f>IF($AG1057="","",Config!$B$11)</f>
        <v/>
      </c>
      <c r="I1057">
        <f>IF($AG1057="","",Config!$B$16)</f>
        <v/>
      </c>
      <c r="J1057">
        <f>IF($AG1057="","",INDEX('TMP Paste'!$A$2:$A$1601,$AG1057))</f>
        <v/>
      </c>
      <c r="K1057">
        <f>IF($AG1057="","",INDEX('TMP Paste'!$L$2:$L$1601,$AG1057))</f>
        <v/>
      </c>
      <c r="L1057">
        <f>IF($AG1057="","",INDEX('TMP Paste'!$I$2:$I$1601,$AG1057))</f>
        <v/>
      </c>
      <c r="M1057">
        <f>IF($AG1057="","",Config!$B$16)</f>
        <v/>
      </c>
      <c r="N1057">
        <f>IF($AG1057="","","")</f>
        <v/>
      </c>
      <c r="O1057">
        <f>IF($AG1057="","",INDEX('TMP Paste'!$K$2:$K$1601,$AG1057))</f>
        <v/>
      </c>
      <c r="P1057">
        <f>IF($AG1057="","","")</f>
        <v/>
      </c>
      <c r="Q1057">
        <f>IF($AG1057="","",INDEX('TMP Paste'!$J$2:$J$1601,$AG1057))</f>
        <v/>
      </c>
      <c r="R1057">
        <f>IF($AG1057="","",Config!$B$24)</f>
        <v/>
      </c>
      <c r="S1057">
        <f>IF($AG1057="","",TEXT(Config!$B$4,"yyyy-mm-dd"))</f>
        <v/>
      </c>
      <c r="T1057">
        <f>IF($AG1057="","",Config!$B$17)</f>
        <v/>
      </c>
      <c r="U1057">
        <f>IF($AG1057="","",Config!$B$18)</f>
        <v/>
      </c>
      <c r="V1057">
        <f>IF($AG1057="","",Config!$B$19)</f>
        <v/>
      </c>
      <c r="W1057">
        <f>IF($AG1057="","",INDEX('TMP Paste'!$C$2:$C$1601,$AG1057))</f>
        <v/>
      </c>
      <c r="X1057">
        <f>IF($AG1057="","",Config!$B$29)</f>
        <v/>
      </c>
      <c r="Y1057">
        <f>IF($AH1057="","",INDEX(Calc!$I$2:$I$1601,$AH1057)&amp;" - "&amp;INDEX(Calc!$D$2:$D$1601,$AH1057)&amp;" koli")</f>
        <v/>
      </c>
      <c r="Z1057">
        <f>IF($AG1057="","",Config!$B$21)</f>
        <v/>
      </c>
      <c r="AA1057">
        <f>IF($AG1057="","",Config!$B$22)</f>
        <v/>
      </c>
      <c r="AB1057">
        <f>IF($AH1057="","",INDEX(Calc!$D$2:$D$1601,$AH1057))</f>
        <v/>
      </c>
      <c r="AC1057">
        <f>IF($AH1057="","",INDEX(Calc!$G$2:$G$1601,$AH1057))</f>
        <v/>
      </c>
      <c r="AD1057">
        <f>IF($AG1057="","",Config!$B$23)</f>
        <v/>
      </c>
      <c r="AE1057">
        <f>IF($AG1057="","",Config!$B$28)</f>
        <v/>
      </c>
      <c r="AG1057">
        <f>IFERROR(MATCH(ROW()-1,Calc!$J$2:$J$1601,0),"")</f>
        <v/>
      </c>
      <c r="AH1057">
        <f>IFERROR(MATCH(ROW()-1,Calc!$K$2:$K$1601,0),"")</f>
        <v/>
      </c>
      <c r="AI1057">
        <f>IF($AG1057="","",SUMIF($AG$2:$AG1057,$AG1057,$AH$2:$AH1057))</f>
        <v/>
      </c>
      <c r="AJ1057">
        <f>IF('TMP Paste'!$F1057="","",IF('TMP Paste'!$B1057="",$AJ1056,'TMP Paste'!$B1057))</f>
        <v/>
      </c>
      <c r="AK1057">
        <f>IF('TMP Paste'!$F1057="","",N('TMP Paste'!$G1057))</f>
        <v/>
      </c>
      <c r="AL1057">
        <f>IF('TMP Paste'!$F1057="","",IF('TMP Paste'!$M1057="",$AL1056,'TMP Paste'!$M1057))</f>
        <v/>
      </c>
      <c r="AM1057">
        <f>IF('TMP Paste'!$F1057="","",IF('TMP Paste'!$N1057="",$AM1056,'TMP Paste'!$N1057))</f>
        <v/>
      </c>
      <c r="AN1057">
        <f>IF('TMP Paste'!$F1057="","",IF('TMP Paste'!$O1057="",$AN1056,'TMP Paste'!$O1057))</f>
        <v/>
      </c>
      <c r="AO1057">
        <f>IF('TMP Paste'!$F1057="","",IF('TMP Paste'!$P1057="",$AO1056,'TMP Paste'!$P1057))</f>
        <v/>
      </c>
      <c r="AP1057">
        <f>IF($AG1057="","",LEN($R1057))</f>
        <v/>
      </c>
      <c r="AQ1057">
        <f>IF($AG1057="","",TRIM(IF(COUNTIFS(Calc!$B$2:$B$1601,ROW()-1,Calc!$C$2:$C$1601,"&lt;1")&gt;0,"Ada PO tanpa Koli - cek TMP. ","")&amp;IF(LEN($R1057)&gt;500,"R &gt; 500 karakter.","")))</f>
        <v/>
      </c>
    </row>
    <row r="1058">
      <c r="A1058">
        <f>IF($AG1058="","",INDEX('TMP Paste'!$B$2:$B$1601,$AG1058))</f>
        <v/>
      </c>
      <c r="B1058">
        <f>IF($AG1058="","",Config!$B$14)</f>
        <v/>
      </c>
      <c r="C1058">
        <f>IF($AG1058="","",Config!$B$15)</f>
        <v/>
      </c>
      <c r="D1058">
        <f>IF($AG1058="","",INDEX('TMP Paste'!$B$2:$B$1601,$AG1058))</f>
        <v/>
      </c>
      <c r="E1058">
        <f>IF($AG1058="","",Config!$B$27)</f>
        <v/>
      </c>
      <c r="F1058">
        <f>IF($AG1058="","",Config!$B$9)</f>
        <v/>
      </c>
      <c r="G1058">
        <f>IF($AG1058="","",Config!$B$10)</f>
        <v/>
      </c>
      <c r="H1058">
        <f>IF($AG1058="","",Config!$B$11)</f>
        <v/>
      </c>
      <c r="I1058">
        <f>IF($AG1058="","",Config!$B$16)</f>
        <v/>
      </c>
      <c r="J1058">
        <f>IF($AG1058="","",INDEX('TMP Paste'!$A$2:$A$1601,$AG1058))</f>
        <v/>
      </c>
      <c r="K1058">
        <f>IF($AG1058="","",INDEX('TMP Paste'!$L$2:$L$1601,$AG1058))</f>
        <v/>
      </c>
      <c r="L1058">
        <f>IF($AG1058="","",INDEX('TMP Paste'!$I$2:$I$1601,$AG1058))</f>
        <v/>
      </c>
      <c r="M1058">
        <f>IF($AG1058="","",Config!$B$16)</f>
        <v/>
      </c>
      <c r="N1058">
        <f>IF($AG1058="","","")</f>
        <v/>
      </c>
      <c r="O1058">
        <f>IF($AG1058="","",INDEX('TMP Paste'!$K$2:$K$1601,$AG1058))</f>
        <v/>
      </c>
      <c r="P1058">
        <f>IF($AG1058="","","")</f>
        <v/>
      </c>
      <c r="Q1058">
        <f>IF($AG1058="","",INDEX('TMP Paste'!$J$2:$J$1601,$AG1058))</f>
        <v/>
      </c>
      <c r="R1058">
        <f>IF($AG1058="","",Config!$B$24)</f>
        <v/>
      </c>
      <c r="S1058">
        <f>IF($AG1058="","",TEXT(Config!$B$4,"yyyy-mm-dd"))</f>
        <v/>
      </c>
      <c r="T1058">
        <f>IF($AG1058="","",Config!$B$17)</f>
        <v/>
      </c>
      <c r="U1058">
        <f>IF($AG1058="","",Config!$B$18)</f>
        <v/>
      </c>
      <c r="V1058">
        <f>IF($AG1058="","",Config!$B$19)</f>
        <v/>
      </c>
      <c r="W1058">
        <f>IF($AG1058="","",INDEX('TMP Paste'!$C$2:$C$1601,$AG1058))</f>
        <v/>
      </c>
      <c r="X1058">
        <f>IF($AG1058="","",Config!$B$29)</f>
        <v/>
      </c>
      <c r="Y1058">
        <f>IF($AH1058="","",INDEX(Calc!$I$2:$I$1601,$AH1058)&amp;" - "&amp;INDEX(Calc!$D$2:$D$1601,$AH1058)&amp;" koli")</f>
        <v/>
      </c>
      <c r="Z1058">
        <f>IF($AG1058="","",Config!$B$21)</f>
        <v/>
      </c>
      <c r="AA1058">
        <f>IF($AG1058="","",Config!$B$22)</f>
        <v/>
      </c>
      <c r="AB1058">
        <f>IF($AH1058="","",INDEX(Calc!$D$2:$D$1601,$AH1058))</f>
        <v/>
      </c>
      <c r="AC1058">
        <f>IF($AH1058="","",INDEX(Calc!$G$2:$G$1601,$AH1058))</f>
        <v/>
      </c>
      <c r="AD1058">
        <f>IF($AG1058="","",Config!$B$23)</f>
        <v/>
      </c>
      <c r="AE1058">
        <f>IF($AG1058="","",Config!$B$28)</f>
        <v/>
      </c>
      <c r="AG1058">
        <f>IFERROR(MATCH(ROW()-1,Calc!$J$2:$J$1601,0),"")</f>
        <v/>
      </c>
      <c r="AH1058">
        <f>IFERROR(MATCH(ROW()-1,Calc!$K$2:$K$1601,0),"")</f>
        <v/>
      </c>
      <c r="AI1058">
        <f>IF($AG1058="","",SUMIF($AG$2:$AG1058,$AG1058,$AH$2:$AH1058))</f>
        <v/>
      </c>
      <c r="AJ1058">
        <f>IF('TMP Paste'!$F1058="","",IF('TMP Paste'!$B1058="",$AJ1057,'TMP Paste'!$B1058))</f>
        <v/>
      </c>
      <c r="AK1058">
        <f>IF('TMP Paste'!$F1058="","",N('TMP Paste'!$G1058))</f>
        <v/>
      </c>
      <c r="AL1058">
        <f>IF('TMP Paste'!$F1058="","",IF('TMP Paste'!$M1058="",$AL1057,'TMP Paste'!$M1058))</f>
        <v/>
      </c>
      <c r="AM1058">
        <f>IF('TMP Paste'!$F1058="","",IF('TMP Paste'!$N1058="",$AM1057,'TMP Paste'!$N1058))</f>
        <v/>
      </c>
      <c r="AN1058">
        <f>IF('TMP Paste'!$F1058="","",IF('TMP Paste'!$O1058="",$AN1057,'TMP Paste'!$O1058))</f>
        <v/>
      </c>
      <c r="AO1058">
        <f>IF('TMP Paste'!$F1058="","",IF('TMP Paste'!$P1058="",$AO1057,'TMP Paste'!$P1058))</f>
        <v/>
      </c>
      <c r="AP1058">
        <f>IF($AG1058="","",LEN($R1058))</f>
        <v/>
      </c>
      <c r="AQ1058">
        <f>IF($AG1058="","",TRIM(IF(COUNTIFS(Calc!$B$2:$B$1601,ROW()-1,Calc!$C$2:$C$1601,"&lt;1")&gt;0,"Ada PO tanpa Koli - cek TMP. ","")&amp;IF(LEN($R1058)&gt;500,"R &gt; 500 karakter.","")))</f>
        <v/>
      </c>
    </row>
    <row r="1059">
      <c r="A1059">
        <f>IF($AG1059="","",INDEX('TMP Paste'!$B$2:$B$1601,$AG1059))</f>
        <v/>
      </c>
      <c r="B1059">
        <f>IF($AG1059="","",Config!$B$14)</f>
        <v/>
      </c>
      <c r="C1059">
        <f>IF($AG1059="","",Config!$B$15)</f>
        <v/>
      </c>
      <c r="D1059">
        <f>IF($AG1059="","",INDEX('TMP Paste'!$B$2:$B$1601,$AG1059))</f>
        <v/>
      </c>
      <c r="E1059">
        <f>IF($AG1059="","",Config!$B$27)</f>
        <v/>
      </c>
      <c r="F1059">
        <f>IF($AG1059="","",Config!$B$9)</f>
        <v/>
      </c>
      <c r="G1059">
        <f>IF($AG1059="","",Config!$B$10)</f>
        <v/>
      </c>
      <c r="H1059">
        <f>IF($AG1059="","",Config!$B$11)</f>
        <v/>
      </c>
      <c r="I1059">
        <f>IF($AG1059="","",Config!$B$16)</f>
        <v/>
      </c>
      <c r="J1059">
        <f>IF($AG1059="","",INDEX('TMP Paste'!$A$2:$A$1601,$AG1059))</f>
        <v/>
      </c>
      <c r="K1059">
        <f>IF($AG1059="","",INDEX('TMP Paste'!$L$2:$L$1601,$AG1059))</f>
        <v/>
      </c>
      <c r="L1059">
        <f>IF($AG1059="","",INDEX('TMP Paste'!$I$2:$I$1601,$AG1059))</f>
        <v/>
      </c>
      <c r="M1059">
        <f>IF($AG1059="","",Config!$B$16)</f>
        <v/>
      </c>
      <c r="N1059">
        <f>IF($AG1059="","","")</f>
        <v/>
      </c>
      <c r="O1059">
        <f>IF($AG1059="","",INDEX('TMP Paste'!$K$2:$K$1601,$AG1059))</f>
        <v/>
      </c>
      <c r="P1059">
        <f>IF($AG1059="","","")</f>
        <v/>
      </c>
      <c r="Q1059">
        <f>IF($AG1059="","",INDEX('TMP Paste'!$J$2:$J$1601,$AG1059))</f>
        <v/>
      </c>
      <c r="R1059">
        <f>IF($AG1059="","",Config!$B$24)</f>
        <v/>
      </c>
      <c r="S1059">
        <f>IF($AG1059="","",TEXT(Config!$B$4,"yyyy-mm-dd"))</f>
        <v/>
      </c>
      <c r="T1059">
        <f>IF($AG1059="","",Config!$B$17)</f>
        <v/>
      </c>
      <c r="U1059">
        <f>IF($AG1059="","",Config!$B$18)</f>
        <v/>
      </c>
      <c r="V1059">
        <f>IF($AG1059="","",Config!$B$19)</f>
        <v/>
      </c>
      <c r="W1059">
        <f>IF($AG1059="","",INDEX('TMP Paste'!$C$2:$C$1601,$AG1059))</f>
        <v/>
      </c>
      <c r="X1059">
        <f>IF($AG1059="","",Config!$B$29)</f>
        <v/>
      </c>
      <c r="Y1059">
        <f>IF($AH1059="","",INDEX(Calc!$I$2:$I$1601,$AH1059)&amp;" - "&amp;INDEX(Calc!$D$2:$D$1601,$AH1059)&amp;" koli")</f>
        <v/>
      </c>
      <c r="Z1059">
        <f>IF($AG1059="","",Config!$B$21)</f>
        <v/>
      </c>
      <c r="AA1059">
        <f>IF($AG1059="","",Config!$B$22)</f>
        <v/>
      </c>
      <c r="AB1059">
        <f>IF($AH1059="","",INDEX(Calc!$D$2:$D$1601,$AH1059))</f>
        <v/>
      </c>
      <c r="AC1059">
        <f>IF($AH1059="","",INDEX(Calc!$G$2:$G$1601,$AH1059))</f>
        <v/>
      </c>
      <c r="AD1059">
        <f>IF($AG1059="","",Config!$B$23)</f>
        <v/>
      </c>
      <c r="AE1059">
        <f>IF($AG1059="","",Config!$B$28)</f>
        <v/>
      </c>
      <c r="AG1059">
        <f>IFERROR(MATCH(ROW()-1,Calc!$J$2:$J$1601,0),"")</f>
        <v/>
      </c>
      <c r="AH1059">
        <f>IFERROR(MATCH(ROW()-1,Calc!$K$2:$K$1601,0),"")</f>
        <v/>
      </c>
      <c r="AI1059">
        <f>IF($AG1059="","",SUMIF($AG$2:$AG1059,$AG1059,$AH$2:$AH1059))</f>
        <v/>
      </c>
      <c r="AJ1059">
        <f>IF('TMP Paste'!$F1059="","",IF('TMP Paste'!$B1059="",$AJ1058,'TMP Paste'!$B1059))</f>
        <v/>
      </c>
      <c r="AK1059">
        <f>IF('TMP Paste'!$F1059="","",N('TMP Paste'!$G1059))</f>
        <v/>
      </c>
      <c r="AL1059">
        <f>IF('TMP Paste'!$F1059="","",IF('TMP Paste'!$M1059="",$AL1058,'TMP Paste'!$M1059))</f>
        <v/>
      </c>
      <c r="AM1059">
        <f>IF('TMP Paste'!$F1059="","",IF('TMP Paste'!$N1059="",$AM1058,'TMP Paste'!$N1059))</f>
        <v/>
      </c>
      <c r="AN1059">
        <f>IF('TMP Paste'!$F1059="","",IF('TMP Paste'!$O1059="",$AN1058,'TMP Paste'!$O1059))</f>
        <v/>
      </c>
      <c r="AO1059">
        <f>IF('TMP Paste'!$F1059="","",IF('TMP Paste'!$P1059="",$AO1058,'TMP Paste'!$P1059))</f>
        <v/>
      </c>
      <c r="AP1059">
        <f>IF($AG1059="","",LEN($R1059))</f>
        <v/>
      </c>
      <c r="AQ1059">
        <f>IF($AG1059="","",TRIM(IF(COUNTIFS(Calc!$B$2:$B$1601,ROW()-1,Calc!$C$2:$C$1601,"&lt;1")&gt;0,"Ada PO tanpa Koli - cek TMP. ","")&amp;IF(LEN($R1059)&gt;500,"R &gt; 500 karakter.","")))</f>
        <v/>
      </c>
    </row>
    <row r="1060">
      <c r="A1060">
        <f>IF($AG1060="","",INDEX('TMP Paste'!$B$2:$B$1601,$AG1060))</f>
        <v/>
      </c>
      <c r="B1060">
        <f>IF($AG1060="","",Config!$B$14)</f>
        <v/>
      </c>
      <c r="C1060">
        <f>IF($AG1060="","",Config!$B$15)</f>
        <v/>
      </c>
      <c r="D1060">
        <f>IF($AG1060="","",INDEX('TMP Paste'!$B$2:$B$1601,$AG1060))</f>
        <v/>
      </c>
      <c r="E1060">
        <f>IF($AG1060="","",Config!$B$27)</f>
        <v/>
      </c>
      <c r="F1060">
        <f>IF($AG1060="","",Config!$B$9)</f>
        <v/>
      </c>
      <c r="G1060">
        <f>IF($AG1060="","",Config!$B$10)</f>
        <v/>
      </c>
      <c r="H1060">
        <f>IF($AG1060="","",Config!$B$11)</f>
        <v/>
      </c>
      <c r="I1060">
        <f>IF($AG1060="","",Config!$B$16)</f>
        <v/>
      </c>
      <c r="J1060">
        <f>IF($AG1060="","",INDEX('TMP Paste'!$A$2:$A$1601,$AG1060))</f>
        <v/>
      </c>
      <c r="K1060">
        <f>IF($AG1060="","",INDEX('TMP Paste'!$L$2:$L$1601,$AG1060))</f>
        <v/>
      </c>
      <c r="L1060">
        <f>IF($AG1060="","",INDEX('TMP Paste'!$I$2:$I$1601,$AG1060))</f>
        <v/>
      </c>
      <c r="M1060">
        <f>IF($AG1060="","",Config!$B$16)</f>
        <v/>
      </c>
      <c r="N1060">
        <f>IF($AG1060="","","")</f>
        <v/>
      </c>
      <c r="O1060">
        <f>IF($AG1060="","",INDEX('TMP Paste'!$K$2:$K$1601,$AG1060))</f>
        <v/>
      </c>
      <c r="P1060">
        <f>IF($AG1060="","","")</f>
        <v/>
      </c>
      <c r="Q1060">
        <f>IF($AG1060="","",INDEX('TMP Paste'!$J$2:$J$1601,$AG1060))</f>
        <v/>
      </c>
      <c r="R1060">
        <f>IF($AG1060="","",Config!$B$24)</f>
        <v/>
      </c>
      <c r="S1060">
        <f>IF($AG1060="","",TEXT(Config!$B$4,"yyyy-mm-dd"))</f>
        <v/>
      </c>
      <c r="T1060">
        <f>IF($AG1060="","",Config!$B$17)</f>
        <v/>
      </c>
      <c r="U1060">
        <f>IF($AG1060="","",Config!$B$18)</f>
        <v/>
      </c>
      <c r="V1060">
        <f>IF($AG1060="","",Config!$B$19)</f>
        <v/>
      </c>
      <c r="W1060">
        <f>IF($AG1060="","",INDEX('TMP Paste'!$C$2:$C$1601,$AG1060))</f>
        <v/>
      </c>
      <c r="X1060">
        <f>IF($AG1060="","",Config!$B$29)</f>
        <v/>
      </c>
      <c r="Y1060">
        <f>IF($AH1060="","",INDEX(Calc!$I$2:$I$1601,$AH1060)&amp;" - "&amp;INDEX(Calc!$D$2:$D$1601,$AH1060)&amp;" koli")</f>
        <v/>
      </c>
      <c r="Z1060">
        <f>IF($AG1060="","",Config!$B$21)</f>
        <v/>
      </c>
      <c r="AA1060">
        <f>IF($AG1060="","",Config!$B$22)</f>
        <v/>
      </c>
      <c r="AB1060">
        <f>IF($AH1060="","",INDEX(Calc!$D$2:$D$1601,$AH1060))</f>
        <v/>
      </c>
      <c r="AC1060">
        <f>IF($AH1060="","",INDEX(Calc!$G$2:$G$1601,$AH1060))</f>
        <v/>
      </c>
      <c r="AD1060">
        <f>IF($AG1060="","",Config!$B$23)</f>
        <v/>
      </c>
      <c r="AE1060">
        <f>IF($AG1060="","",Config!$B$28)</f>
        <v/>
      </c>
      <c r="AG1060">
        <f>IFERROR(MATCH(ROW()-1,Calc!$J$2:$J$1601,0),"")</f>
        <v/>
      </c>
      <c r="AH1060">
        <f>IFERROR(MATCH(ROW()-1,Calc!$K$2:$K$1601,0),"")</f>
        <v/>
      </c>
      <c r="AI1060">
        <f>IF($AG1060="","",SUMIF($AG$2:$AG1060,$AG1060,$AH$2:$AH1060))</f>
        <v/>
      </c>
      <c r="AJ1060">
        <f>IF('TMP Paste'!$F1060="","",IF('TMP Paste'!$B1060="",$AJ1059,'TMP Paste'!$B1060))</f>
        <v/>
      </c>
      <c r="AK1060">
        <f>IF('TMP Paste'!$F1060="","",N('TMP Paste'!$G1060))</f>
        <v/>
      </c>
      <c r="AL1060">
        <f>IF('TMP Paste'!$F1060="","",IF('TMP Paste'!$M1060="",$AL1059,'TMP Paste'!$M1060))</f>
        <v/>
      </c>
      <c r="AM1060">
        <f>IF('TMP Paste'!$F1060="","",IF('TMP Paste'!$N1060="",$AM1059,'TMP Paste'!$N1060))</f>
        <v/>
      </c>
      <c r="AN1060">
        <f>IF('TMP Paste'!$F1060="","",IF('TMP Paste'!$O1060="",$AN1059,'TMP Paste'!$O1060))</f>
        <v/>
      </c>
      <c r="AO1060">
        <f>IF('TMP Paste'!$F1060="","",IF('TMP Paste'!$P1060="",$AO1059,'TMP Paste'!$P1060))</f>
        <v/>
      </c>
      <c r="AP1060">
        <f>IF($AG1060="","",LEN($R1060))</f>
        <v/>
      </c>
      <c r="AQ1060">
        <f>IF($AG1060="","",TRIM(IF(COUNTIFS(Calc!$B$2:$B$1601,ROW()-1,Calc!$C$2:$C$1601,"&lt;1")&gt;0,"Ada PO tanpa Koli - cek TMP. ","")&amp;IF(LEN($R1060)&gt;500,"R &gt; 500 karakter.","")))</f>
        <v/>
      </c>
    </row>
    <row r="1061">
      <c r="A1061">
        <f>IF($AG1061="","",INDEX('TMP Paste'!$B$2:$B$1601,$AG1061))</f>
        <v/>
      </c>
      <c r="B1061">
        <f>IF($AG1061="","",Config!$B$14)</f>
        <v/>
      </c>
      <c r="C1061">
        <f>IF($AG1061="","",Config!$B$15)</f>
        <v/>
      </c>
      <c r="D1061">
        <f>IF($AG1061="","",INDEX('TMP Paste'!$B$2:$B$1601,$AG1061))</f>
        <v/>
      </c>
      <c r="E1061">
        <f>IF($AG1061="","",Config!$B$27)</f>
        <v/>
      </c>
      <c r="F1061">
        <f>IF($AG1061="","",Config!$B$9)</f>
        <v/>
      </c>
      <c r="G1061">
        <f>IF($AG1061="","",Config!$B$10)</f>
        <v/>
      </c>
      <c r="H1061">
        <f>IF($AG1061="","",Config!$B$11)</f>
        <v/>
      </c>
      <c r="I1061">
        <f>IF($AG1061="","",Config!$B$16)</f>
        <v/>
      </c>
      <c r="J1061">
        <f>IF($AG1061="","",INDEX('TMP Paste'!$A$2:$A$1601,$AG1061))</f>
        <v/>
      </c>
      <c r="K1061">
        <f>IF($AG1061="","",INDEX('TMP Paste'!$L$2:$L$1601,$AG1061))</f>
        <v/>
      </c>
      <c r="L1061">
        <f>IF($AG1061="","",INDEX('TMP Paste'!$I$2:$I$1601,$AG1061))</f>
        <v/>
      </c>
      <c r="M1061">
        <f>IF($AG1061="","",Config!$B$16)</f>
        <v/>
      </c>
      <c r="N1061">
        <f>IF($AG1061="","","")</f>
        <v/>
      </c>
      <c r="O1061">
        <f>IF($AG1061="","",INDEX('TMP Paste'!$K$2:$K$1601,$AG1061))</f>
        <v/>
      </c>
      <c r="P1061">
        <f>IF($AG1061="","","")</f>
        <v/>
      </c>
      <c r="Q1061">
        <f>IF($AG1061="","",INDEX('TMP Paste'!$J$2:$J$1601,$AG1061))</f>
        <v/>
      </c>
      <c r="R1061">
        <f>IF($AG1061="","",Config!$B$24)</f>
        <v/>
      </c>
      <c r="S1061">
        <f>IF($AG1061="","",TEXT(Config!$B$4,"yyyy-mm-dd"))</f>
        <v/>
      </c>
      <c r="T1061">
        <f>IF($AG1061="","",Config!$B$17)</f>
        <v/>
      </c>
      <c r="U1061">
        <f>IF($AG1061="","",Config!$B$18)</f>
        <v/>
      </c>
      <c r="V1061">
        <f>IF($AG1061="","",Config!$B$19)</f>
        <v/>
      </c>
      <c r="W1061">
        <f>IF($AG1061="","",INDEX('TMP Paste'!$C$2:$C$1601,$AG1061))</f>
        <v/>
      </c>
      <c r="X1061">
        <f>IF($AG1061="","",Config!$B$29)</f>
        <v/>
      </c>
      <c r="Y1061">
        <f>IF($AH1061="","",INDEX(Calc!$I$2:$I$1601,$AH1061)&amp;" - "&amp;INDEX(Calc!$D$2:$D$1601,$AH1061)&amp;" koli")</f>
        <v/>
      </c>
      <c r="Z1061">
        <f>IF($AG1061="","",Config!$B$21)</f>
        <v/>
      </c>
      <c r="AA1061">
        <f>IF($AG1061="","",Config!$B$22)</f>
        <v/>
      </c>
      <c r="AB1061">
        <f>IF($AH1061="","",INDEX(Calc!$D$2:$D$1601,$AH1061))</f>
        <v/>
      </c>
      <c r="AC1061">
        <f>IF($AH1061="","",INDEX(Calc!$G$2:$G$1601,$AH1061))</f>
        <v/>
      </c>
      <c r="AD1061">
        <f>IF($AG1061="","",Config!$B$23)</f>
        <v/>
      </c>
      <c r="AE1061">
        <f>IF($AG1061="","",Config!$B$28)</f>
        <v/>
      </c>
      <c r="AG1061">
        <f>IFERROR(MATCH(ROW()-1,Calc!$J$2:$J$1601,0),"")</f>
        <v/>
      </c>
      <c r="AH1061">
        <f>IFERROR(MATCH(ROW()-1,Calc!$K$2:$K$1601,0),"")</f>
        <v/>
      </c>
      <c r="AI1061">
        <f>IF($AG1061="","",SUMIF($AG$2:$AG1061,$AG1061,$AH$2:$AH1061))</f>
        <v/>
      </c>
      <c r="AJ1061">
        <f>IF('TMP Paste'!$F1061="","",IF('TMP Paste'!$B1061="",$AJ1060,'TMP Paste'!$B1061))</f>
        <v/>
      </c>
      <c r="AK1061">
        <f>IF('TMP Paste'!$F1061="","",N('TMP Paste'!$G1061))</f>
        <v/>
      </c>
      <c r="AL1061">
        <f>IF('TMP Paste'!$F1061="","",IF('TMP Paste'!$M1061="",$AL1060,'TMP Paste'!$M1061))</f>
        <v/>
      </c>
      <c r="AM1061">
        <f>IF('TMP Paste'!$F1061="","",IF('TMP Paste'!$N1061="",$AM1060,'TMP Paste'!$N1061))</f>
        <v/>
      </c>
      <c r="AN1061">
        <f>IF('TMP Paste'!$F1061="","",IF('TMP Paste'!$O1061="",$AN1060,'TMP Paste'!$O1061))</f>
        <v/>
      </c>
      <c r="AO1061">
        <f>IF('TMP Paste'!$F1061="","",IF('TMP Paste'!$P1061="",$AO1060,'TMP Paste'!$P1061))</f>
        <v/>
      </c>
      <c r="AP1061">
        <f>IF($AG1061="","",LEN($R1061))</f>
        <v/>
      </c>
      <c r="AQ1061">
        <f>IF($AG1061="","",TRIM(IF(COUNTIFS(Calc!$B$2:$B$1601,ROW()-1,Calc!$C$2:$C$1601,"&lt;1")&gt;0,"Ada PO tanpa Koli - cek TMP. ","")&amp;IF(LEN($R1061)&gt;500,"R &gt; 500 karakter.","")))</f>
        <v/>
      </c>
    </row>
    <row r="1062">
      <c r="A1062">
        <f>IF($AG1062="","",INDEX('TMP Paste'!$B$2:$B$1601,$AG1062))</f>
        <v/>
      </c>
      <c r="B1062">
        <f>IF($AG1062="","",Config!$B$14)</f>
        <v/>
      </c>
      <c r="C1062">
        <f>IF($AG1062="","",Config!$B$15)</f>
        <v/>
      </c>
      <c r="D1062">
        <f>IF($AG1062="","",INDEX('TMP Paste'!$B$2:$B$1601,$AG1062))</f>
        <v/>
      </c>
      <c r="E1062">
        <f>IF($AG1062="","",Config!$B$27)</f>
        <v/>
      </c>
      <c r="F1062">
        <f>IF($AG1062="","",Config!$B$9)</f>
        <v/>
      </c>
      <c r="G1062">
        <f>IF($AG1062="","",Config!$B$10)</f>
        <v/>
      </c>
      <c r="H1062">
        <f>IF($AG1062="","",Config!$B$11)</f>
        <v/>
      </c>
      <c r="I1062">
        <f>IF($AG1062="","",Config!$B$16)</f>
        <v/>
      </c>
      <c r="J1062">
        <f>IF($AG1062="","",INDEX('TMP Paste'!$A$2:$A$1601,$AG1062))</f>
        <v/>
      </c>
      <c r="K1062">
        <f>IF($AG1062="","",INDEX('TMP Paste'!$L$2:$L$1601,$AG1062))</f>
        <v/>
      </c>
      <c r="L1062">
        <f>IF($AG1062="","",INDEX('TMP Paste'!$I$2:$I$1601,$AG1062))</f>
        <v/>
      </c>
      <c r="M1062">
        <f>IF($AG1062="","",Config!$B$16)</f>
        <v/>
      </c>
      <c r="N1062">
        <f>IF($AG1062="","","")</f>
        <v/>
      </c>
      <c r="O1062">
        <f>IF($AG1062="","",INDEX('TMP Paste'!$K$2:$K$1601,$AG1062))</f>
        <v/>
      </c>
      <c r="P1062">
        <f>IF($AG1062="","","")</f>
        <v/>
      </c>
      <c r="Q1062">
        <f>IF($AG1062="","",INDEX('TMP Paste'!$J$2:$J$1601,$AG1062))</f>
        <v/>
      </c>
      <c r="R1062">
        <f>IF($AG1062="","",Config!$B$24)</f>
        <v/>
      </c>
      <c r="S1062">
        <f>IF($AG1062="","",TEXT(Config!$B$4,"yyyy-mm-dd"))</f>
        <v/>
      </c>
      <c r="T1062">
        <f>IF($AG1062="","",Config!$B$17)</f>
        <v/>
      </c>
      <c r="U1062">
        <f>IF($AG1062="","",Config!$B$18)</f>
        <v/>
      </c>
      <c r="V1062">
        <f>IF($AG1062="","",Config!$B$19)</f>
        <v/>
      </c>
      <c r="W1062">
        <f>IF($AG1062="","",INDEX('TMP Paste'!$C$2:$C$1601,$AG1062))</f>
        <v/>
      </c>
      <c r="X1062">
        <f>IF($AG1062="","",Config!$B$29)</f>
        <v/>
      </c>
      <c r="Y1062">
        <f>IF($AH1062="","",INDEX(Calc!$I$2:$I$1601,$AH1062)&amp;" - "&amp;INDEX(Calc!$D$2:$D$1601,$AH1062)&amp;" koli")</f>
        <v/>
      </c>
      <c r="Z1062">
        <f>IF($AG1062="","",Config!$B$21)</f>
        <v/>
      </c>
      <c r="AA1062">
        <f>IF($AG1062="","",Config!$B$22)</f>
        <v/>
      </c>
      <c r="AB1062">
        <f>IF($AH1062="","",INDEX(Calc!$D$2:$D$1601,$AH1062))</f>
        <v/>
      </c>
      <c r="AC1062">
        <f>IF($AH1062="","",INDEX(Calc!$G$2:$G$1601,$AH1062))</f>
        <v/>
      </c>
      <c r="AD1062">
        <f>IF($AG1062="","",Config!$B$23)</f>
        <v/>
      </c>
      <c r="AE1062">
        <f>IF($AG1062="","",Config!$B$28)</f>
        <v/>
      </c>
      <c r="AG1062">
        <f>IFERROR(MATCH(ROW()-1,Calc!$J$2:$J$1601,0),"")</f>
        <v/>
      </c>
      <c r="AH1062">
        <f>IFERROR(MATCH(ROW()-1,Calc!$K$2:$K$1601,0),"")</f>
        <v/>
      </c>
      <c r="AI1062">
        <f>IF($AG1062="","",SUMIF($AG$2:$AG1062,$AG1062,$AH$2:$AH1062))</f>
        <v/>
      </c>
      <c r="AJ1062">
        <f>IF('TMP Paste'!$F1062="","",IF('TMP Paste'!$B1062="",$AJ1061,'TMP Paste'!$B1062))</f>
        <v/>
      </c>
      <c r="AK1062">
        <f>IF('TMP Paste'!$F1062="","",N('TMP Paste'!$G1062))</f>
        <v/>
      </c>
      <c r="AL1062">
        <f>IF('TMP Paste'!$F1062="","",IF('TMP Paste'!$M1062="",$AL1061,'TMP Paste'!$M1062))</f>
        <v/>
      </c>
      <c r="AM1062">
        <f>IF('TMP Paste'!$F1062="","",IF('TMP Paste'!$N1062="",$AM1061,'TMP Paste'!$N1062))</f>
        <v/>
      </c>
      <c r="AN1062">
        <f>IF('TMP Paste'!$F1062="","",IF('TMP Paste'!$O1062="",$AN1061,'TMP Paste'!$O1062))</f>
        <v/>
      </c>
      <c r="AO1062">
        <f>IF('TMP Paste'!$F1062="","",IF('TMP Paste'!$P1062="",$AO1061,'TMP Paste'!$P1062))</f>
        <v/>
      </c>
      <c r="AP1062">
        <f>IF($AG1062="","",LEN($R1062))</f>
        <v/>
      </c>
      <c r="AQ1062">
        <f>IF($AG1062="","",TRIM(IF(COUNTIFS(Calc!$B$2:$B$1601,ROW()-1,Calc!$C$2:$C$1601,"&lt;1")&gt;0,"Ada PO tanpa Koli - cek TMP. ","")&amp;IF(LEN($R1062)&gt;500,"R &gt; 500 karakter.","")))</f>
        <v/>
      </c>
    </row>
    <row r="1063">
      <c r="A1063">
        <f>IF($AG1063="","",INDEX('TMP Paste'!$B$2:$B$1601,$AG1063))</f>
        <v/>
      </c>
      <c r="B1063">
        <f>IF($AG1063="","",Config!$B$14)</f>
        <v/>
      </c>
      <c r="C1063">
        <f>IF($AG1063="","",Config!$B$15)</f>
        <v/>
      </c>
      <c r="D1063">
        <f>IF($AG1063="","",INDEX('TMP Paste'!$B$2:$B$1601,$AG1063))</f>
        <v/>
      </c>
      <c r="E1063">
        <f>IF($AG1063="","",Config!$B$27)</f>
        <v/>
      </c>
      <c r="F1063">
        <f>IF($AG1063="","",Config!$B$9)</f>
        <v/>
      </c>
      <c r="G1063">
        <f>IF($AG1063="","",Config!$B$10)</f>
        <v/>
      </c>
      <c r="H1063">
        <f>IF($AG1063="","",Config!$B$11)</f>
        <v/>
      </c>
      <c r="I1063">
        <f>IF($AG1063="","",Config!$B$16)</f>
        <v/>
      </c>
      <c r="J1063">
        <f>IF($AG1063="","",INDEX('TMP Paste'!$A$2:$A$1601,$AG1063))</f>
        <v/>
      </c>
      <c r="K1063">
        <f>IF($AG1063="","",INDEX('TMP Paste'!$L$2:$L$1601,$AG1063))</f>
        <v/>
      </c>
      <c r="L1063">
        <f>IF($AG1063="","",INDEX('TMP Paste'!$I$2:$I$1601,$AG1063))</f>
        <v/>
      </c>
      <c r="M1063">
        <f>IF($AG1063="","",Config!$B$16)</f>
        <v/>
      </c>
      <c r="N1063">
        <f>IF($AG1063="","","")</f>
        <v/>
      </c>
      <c r="O1063">
        <f>IF($AG1063="","",INDEX('TMP Paste'!$K$2:$K$1601,$AG1063))</f>
        <v/>
      </c>
      <c r="P1063">
        <f>IF($AG1063="","","")</f>
        <v/>
      </c>
      <c r="Q1063">
        <f>IF($AG1063="","",INDEX('TMP Paste'!$J$2:$J$1601,$AG1063))</f>
        <v/>
      </c>
      <c r="R1063">
        <f>IF($AG1063="","",Config!$B$24)</f>
        <v/>
      </c>
      <c r="S1063">
        <f>IF($AG1063="","",TEXT(Config!$B$4,"yyyy-mm-dd"))</f>
        <v/>
      </c>
      <c r="T1063">
        <f>IF($AG1063="","",Config!$B$17)</f>
        <v/>
      </c>
      <c r="U1063">
        <f>IF($AG1063="","",Config!$B$18)</f>
        <v/>
      </c>
      <c r="V1063">
        <f>IF($AG1063="","",Config!$B$19)</f>
        <v/>
      </c>
      <c r="W1063">
        <f>IF($AG1063="","",INDEX('TMP Paste'!$C$2:$C$1601,$AG1063))</f>
        <v/>
      </c>
      <c r="X1063">
        <f>IF($AG1063="","",Config!$B$29)</f>
        <v/>
      </c>
      <c r="Y1063">
        <f>IF($AH1063="","",INDEX(Calc!$I$2:$I$1601,$AH1063)&amp;" - "&amp;INDEX(Calc!$D$2:$D$1601,$AH1063)&amp;" koli")</f>
        <v/>
      </c>
      <c r="Z1063">
        <f>IF($AG1063="","",Config!$B$21)</f>
        <v/>
      </c>
      <c r="AA1063">
        <f>IF($AG1063="","",Config!$B$22)</f>
        <v/>
      </c>
      <c r="AB1063">
        <f>IF($AH1063="","",INDEX(Calc!$D$2:$D$1601,$AH1063))</f>
        <v/>
      </c>
      <c r="AC1063">
        <f>IF($AH1063="","",INDEX(Calc!$G$2:$G$1601,$AH1063))</f>
        <v/>
      </c>
      <c r="AD1063">
        <f>IF($AG1063="","",Config!$B$23)</f>
        <v/>
      </c>
      <c r="AE1063">
        <f>IF($AG1063="","",Config!$B$28)</f>
        <v/>
      </c>
      <c r="AG1063">
        <f>IFERROR(MATCH(ROW()-1,Calc!$J$2:$J$1601,0),"")</f>
        <v/>
      </c>
      <c r="AH1063">
        <f>IFERROR(MATCH(ROW()-1,Calc!$K$2:$K$1601,0),"")</f>
        <v/>
      </c>
      <c r="AI1063">
        <f>IF($AG1063="","",SUMIF($AG$2:$AG1063,$AG1063,$AH$2:$AH1063))</f>
        <v/>
      </c>
      <c r="AJ1063">
        <f>IF('TMP Paste'!$F1063="","",IF('TMP Paste'!$B1063="",$AJ1062,'TMP Paste'!$B1063))</f>
        <v/>
      </c>
      <c r="AK1063">
        <f>IF('TMP Paste'!$F1063="","",N('TMP Paste'!$G1063))</f>
        <v/>
      </c>
      <c r="AL1063">
        <f>IF('TMP Paste'!$F1063="","",IF('TMP Paste'!$M1063="",$AL1062,'TMP Paste'!$M1063))</f>
        <v/>
      </c>
      <c r="AM1063">
        <f>IF('TMP Paste'!$F1063="","",IF('TMP Paste'!$N1063="",$AM1062,'TMP Paste'!$N1063))</f>
        <v/>
      </c>
      <c r="AN1063">
        <f>IF('TMP Paste'!$F1063="","",IF('TMP Paste'!$O1063="",$AN1062,'TMP Paste'!$O1063))</f>
        <v/>
      </c>
      <c r="AO1063">
        <f>IF('TMP Paste'!$F1063="","",IF('TMP Paste'!$P1063="",$AO1062,'TMP Paste'!$P1063))</f>
        <v/>
      </c>
      <c r="AP1063">
        <f>IF($AG1063="","",LEN($R1063))</f>
        <v/>
      </c>
      <c r="AQ1063">
        <f>IF($AG1063="","",TRIM(IF(COUNTIFS(Calc!$B$2:$B$1601,ROW()-1,Calc!$C$2:$C$1601,"&lt;1")&gt;0,"Ada PO tanpa Koli - cek TMP. ","")&amp;IF(LEN($R1063)&gt;500,"R &gt; 500 karakter.","")))</f>
        <v/>
      </c>
    </row>
    <row r="1064">
      <c r="A1064">
        <f>IF($AG1064="","",INDEX('TMP Paste'!$B$2:$B$1601,$AG1064))</f>
        <v/>
      </c>
      <c r="B1064">
        <f>IF($AG1064="","",Config!$B$14)</f>
        <v/>
      </c>
      <c r="C1064">
        <f>IF($AG1064="","",Config!$B$15)</f>
        <v/>
      </c>
      <c r="D1064">
        <f>IF($AG1064="","",INDEX('TMP Paste'!$B$2:$B$1601,$AG1064))</f>
        <v/>
      </c>
      <c r="E1064">
        <f>IF($AG1064="","",Config!$B$27)</f>
        <v/>
      </c>
      <c r="F1064">
        <f>IF($AG1064="","",Config!$B$9)</f>
        <v/>
      </c>
      <c r="G1064">
        <f>IF($AG1064="","",Config!$B$10)</f>
        <v/>
      </c>
      <c r="H1064">
        <f>IF($AG1064="","",Config!$B$11)</f>
        <v/>
      </c>
      <c r="I1064">
        <f>IF($AG1064="","",Config!$B$16)</f>
        <v/>
      </c>
      <c r="J1064">
        <f>IF($AG1064="","",INDEX('TMP Paste'!$A$2:$A$1601,$AG1064))</f>
        <v/>
      </c>
      <c r="K1064">
        <f>IF($AG1064="","",INDEX('TMP Paste'!$L$2:$L$1601,$AG1064))</f>
        <v/>
      </c>
      <c r="L1064">
        <f>IF($AG1064="","",INDEX('TMP Paste'!$I$2:$I$1601,$AG1064))</f>
        <v/>
      </c>
      <c r="M1064">
        <f>IF($AG1064="","",Config!$B$16)</f>
        <v/>
      </c>
      <c r="N1064">
        <f>IF($AG1064="","","")</f>
        <v/>
      </c>
      <c r="O1064">
        <f>IF($AG1064="","",INDEX('TMP Paste'!$K$2:$K$1601,$AG1064))</f>
        <v/>
      </c>
      <c r="P1064">
        <f>IF($AG1064="","","")</f>
        <v/>
      </c>
      <c r="Q1064">
        <f>IF($AG1064="","",INDEX('TMP Paste'!$J$2:$J$1601,$AG1064))</f>
        <v/>
      </c>
      <c r="R1064">
        <f>IF($AG1064="","",Config!$B$24)</f>
        <v/>
      </c>
      <c r="S1064">
        <f>IF($AG1064="","",TEXT(Config!$B$4,"yyyy-mm-dd"))</f>
        <v/>
      </c>
      <c r="T1064">
        <f>IF($AG1064="","",Config!$B$17)</f>
        <v/>
      </c>
      <c r="U1064">
        <f>IF($AG1064="","",Config!$B$18)</f>
        <v/>
      </c>
      <c r="V1064">
        <f>IF($AG1064="","",Config!$B$19)</f>
        <v/>
      </c>
      <c r="W1064">
        <f>IF($AG1064="","",INDEX('TMP Paste'!$C$2:$C$1601,$AG1064))</f>
        <v/>
      </c>
      <c r="X1064">
        <f>IF($AG1064="","",Config!$B$29)</f>
        <v/>
      </c>
      <c r="Y1064">
        <f>IF($AH1064="","",INDEX(Calc!$I$2:$I$1601,$AH1064)&amp;" - "&amp;INDEX(Calc!$D$2:$D$1601,$AH1064)&amp;" koli")</f>
        <v/>
      </c>
      <c r="Z1064">
        <f>IF($AG1064="","",Config!$B$21)</f>
        <v/>
      </c>
      <c r="AA1064">
        <f>IF($AG1064="","",Config!$B$22)</f>
        <v/>
      </c>
      <c r="AB1064">
        <f>IF($AH1064="","",INDEX(Calc!$D$2:$D$1601,$AH1064))</f>
        <v/>
      </c>
      <c r="AC1064">
        <f>IF($AH1064="","",INDEX(Calc!$G$2:$G$1601,$AH1064))</f>
        <v/>
      </c>
      <c r="AD1064">
        <f>IF($AG1064="","",Config!$B$23)</f>
        <v/>
      </c>
      <c r="AE1064">
        <f>IF($AG1064="","",Config!$B$28)</f>
        <v/>
      </c>
      <c r="AG1064">
        <f>IFERROR(MATCH(ROW()-1,Calc!$J$2:$J$1601,0),"")</f>
        <v/>
      </c>
      <c r="AH1064">
        <f>IFERROR(MATCH(ROW()-1,Calc!$K$2:$K$1601,0),"")</f>
        <v/>
      </c>
      <c r="AI1064">
        <f>IF($AG1064="","",SUMIF($AG$2:$AG1064,$AG1064,$AH$2:$AH1064))</f>
        <v/>
      </c>
      <c r="AJ1064">
        <f>IF('TMP Paste'!$F1064="","",IF('TMP Paste'!$B1064="",$AJ1063,'TMP Paste'!$B1064))</f>
        <v/>
      </c>
      <c r="AK1064">
        <f>IF('TMP Paste'!$F1064="","",N('TMP Paste'!$G1064))</f>
        <v/>
      </c>
      <c r="AL1064">
        <f>IF('TMP Paste'!$F1064="","",IF('TMP Paste'!$M1064="",$AL1063,'TMP Paste'!$M1064))</f>
        <v/>
      </c>
      <c r="AM1064">
        <f>IF('TMP Paste'!$F1064="","",IF('TMP Paste'!$N1064="",$AM1063,'TMP Paste'!$N1064))</f>
        <v/>
      </c>
      <c r="AN1064">
        <f>IF('TMP Paste'!$F1064="","",IF('TMP Paste'!$O1064="",$AN1063,'TMP Paste'!$O1064))</f>
        <v/>
      </c>
      <c r="AO1064">
        <f>IF('TMP Paste'!$F1064="","",IF('TMP Paste'!$P1064="",$AO1063,'TMP Paste'!$P1064))</f>
        <v/>
      </c>
      <c r="AP1064">
        <f>IF($AG1064="","",LEN($R1064))</f>
        <v/>
      </c>
      <c r="AQ1064">
        <f>IF($AG1064="","",TRIM(IF(COUNTIFS(Calc!$B$2:$B$1601,ROW()-1,Calc!$C$2:$C$1601,"&lt;1")&gt;0,"Ada PO tanpa Koli - cek TMP. ","")&amp;IF(LEN($R1064)&gt;500,"R &gt; 500 karakter.","")))</f>
        <v/>
      </c>
    </row>
    <row r="1065">
      <c r="A1065">
        <f>IF($AG1065="","",INDEX('TMP Paste'!$B$2:$B$1601,$AG1065))</f>
        <v/>
      </c>
      <c r="B1065">
        <f>IF($AG1065="","",Config!$B$14)</f>
        <v/>
      </c>
      <c r="C1065">
        <f>IF($AG1065="","",Config!$B$15)</f>
        <v/>
      </c>
      <c r="D1065">
        <f>IF($AG1065="","",INDEX('TMP Paste'!$B$2:$B$1601,$AG1065))</f>
        <v/>
      </c>
      <c r="E1065">
        <f>IF($AG1065="","",Config!$B$27)</f>
        <v/>
      </c>
      <c r="F1065">
        <f>IF($AG1065="","",Config!$B$9)</f>
        <v/>
      </c>
      <c r="G1065">
        <f>IF($AG1065="","",Config!$B$10)</f>
        <v/>
      </c>
      <c r="H1065">
        <f>IF($AG1065="","",Config!$B$11)</f>
        <v/>
      </c>
      <c r="I1065">
        <f>IF($AG1065="","",Config!$B$16)</f>
        <v/>
      </c>
      <c r="J1065">
        <f>IF($AG1065="","",INDEX('TMP Paste'!$A$2:$A$1601,$AG1065))</f>
        <v/>
      </c>
      <c r="K1065">
        <f>IF($AG1065="","",INDEX('TMP Paste'!$L$2:$L$1601,$AG1065))</f>
        <v/>
      </c>
      <c r="L1065">
        <f>IF($AG1065="","",INDEX('TMP Paste'!$I$2:$I$1601,$AG1065))</f>
        <v/>
      </c>
      <c r="M1065">
        <f>IF($AG1065="","",Config!$B$16)</f>
        <v/>
      </c>
      <c r="N1065">
        <f>IF($AG1065="","","")</f>
        <v/>
      </c>
      <c r="O1065">
        <f>IF($AG1065="","",INDEX('TMP Paste'!$K$2:$K$1601,$AG1065))</f>
        <v/>
      </c>
      <c r="P1065">
        <f>IF($AG1065="","","")</f>
        <v/>
      </c>
      <c r="Q1065">
        <f>IF($AG1065="","",INDEX('TMP Paste'!$J$2:$J$1601,$AG1065))</f>
        <v/>
      </c>
      <c r="R1065">
        <f>IF($AG1065="","",Config!$B$24)</f>
        <v/>
      </c>
      <c r="S1065">
        <f>IF($AG1065="","",TEXT(Config!$B$4,"yyyy-mm-dd"))</f>
        <v/>
      </c>
      <c r="T1065">
        <f>IF($AG1065="","",Config!$B$17)</f>
        <v/>
      </c>
      <c r="U1065">
        <f>IF($AG1065="","",Config!$B$18)</f>
        <v/>
      </c>
      <c r="V1065">
        <f>IF($AG1065="","",Config!$B$19)</f>
        <v/>
      </c>
      <c r="W1065">
        <f>IF($AG1065="","",INDEX('TMP Paste'!$C$2:$C$1601,$AG1065))</f>
        <v/>
      </c>
      <c r="X1065">
        <f>IF($AG1065="","",Config!$B$29)</f>
        <v/>
      </c>
      <c r="Y1065">
        <f>IF($AH1065="","",INDEX(Calc!$I$2:$I$1601,$AH1065)&amp;" - "&amp;INDEX(Calc!$D$2:$D$1601,$AH1065)&amp;" koli")</f>
        <v/>
      </c>
      <c r="Z1065">
        <f>IF($AG1065="","",Config!$B$21)</f>
        <v/>
      </c>
      <c r="AA1065">
        <f>IF($AG1065="","",Config!$B$22)</f>
        <v/>
      </c>
      <c r="AB1065">
        <f>IF($AH1065="","",INDEX(Calc!$D$2:$D$1601,$AH1065))</f>
        <v/>
      </c>
      <c r="AC1065">
        <f>IF($AH1065="","",INDEX(Calc!$G$2:$G$1601,$AH1065))</f>
        <v/>
      </c>
      <c r="AD1065">
        <f>IF($AG1065="","",Config!$B$23)</f>
        <v/>
      </c>
      <c r="AE1065">
        <f>IF($AG1065="","",Config!$B$28)</f>
        <v/>
      </c>
      <c r="AG1065">
        <f>IFERROR(MATCH(ROW()-1,Calc!$J$2:$J$1601,0),"")</f>
        <v/>
      </c>
      <c r="AH1065">
        <f>IFERROR(MATCH(ROW()-1,Calc!$K$2:$K$1601,0),"")</f>
        <v/>
      </c>
      <c r="AI1065">
        <f>IF($AG1065="","",SUMIF($AG$2:$AG1065,$AG1065,$AH$2:$AH1065))</f>
        <v/>
      </c>
      <c r="AJ1065">
        <f>IF('TMP Paste'!$F1065="","",IF('TMP Paste'!$B1065="",$AJ1064,'TMP Paste'!$B1065))</f>
        <v/>
      </c>
      <c r="AK1065">
        <f>IF('TMP Paste'!$F1065="","",N('TMP Paste'!$G1065))</f>
        <v/>
      </c>
      <c r="AL1065">
        <f>IF('TMP Paste'!$F1065="","",IF('TMP Paste'!$M1065="",$AL1064,'TMP Paste'!$M1065))</f>
        <v/>
      </c>
      <c r="AM1065">
        <f>IF('TMP Paste'!$F1065="","",IF('TMP Paste'!$N1065="",$AM1064,'TMP Paste'!$N1065))</f>
        <v/>
      </c>
      <c r="AN1065">
        <f>IF('TMP Paste'!$F1065="","",IF('TMP Paste'!$O1065="",$AN1064,'TMP Paste'!$O1065))</f>
        <v/>
      </c>
      <c r="AO1065">
        <f>IF('TMP Paste'!$F1065="","",IF('TMP Paste'!$P1065="",$AO1064,'TMP Paste'!$P1065))</f>
        <v/>
      </c>
      <c r="AP1065">
        <f>IF($AG1065="","",LEN($R1065))</f>
        <v/>
      </c>
      <c r="AQ1065">
        <f>IF($AG1065="","",TRIM(IF(COUNTIFS(Calc!$B$2:$B$1601,ROW()-1,Calc!$C$2:$C$1601,"&lt;1")&gt;0,"Ada PO tanpa Koli - cek TMP. ","")&amp;IF(LEN($R1065)&gt;500,"R &gt; 500 karakter.","")))</f>
        <v/>
      </c>
    </row>
    <row r="1066">
      <c r="A1066">
        <f>IF($AG1066="","",INDEX('TMP Paste'!$B$2:$B$1601,$AG1066))</f>
        <v/>
      </c>
      <c r="B1066">
        <f>IF($AG1066="","",Config!$B$14)</f>
        <v/>
      </c>
      <c r="C1066">
        <f>IF($AG1066="","",Config!$B$15)</f>
        <v/>
      </c>
      <c r="D1066">
        <f>IF($AG1066="","",INDEX('TMP Paste'!$B$2:$B$1601,$AG1066))</f>
        <v/>
      </c>
      <c r="E1066">
        <f>IF($AG1066="","",Config!$B$27)</f>
        <v/>
      </c>
      <c r="F1066">
        <f>IF($AG1066="","",Config!$B$9)</f>
        <v/>
      </c>
      <c r="G1066">
        <f>IF($AG1066="","",Config!$B$10)</f>
        <v/>
      </c>
      <c r="H1066">
        <f>IF($AG1066="","",Config!$B$11)</f>
        <v/>
      </c>
      <c r="I1066">
        <f>IF($AG1066="","",Config!$B$16)</f>
        <v/>
      </c>
      <c r="J1066">
        <f>IF($AG1066="","",INDEX('TMP Paste'!$A$2:$A$1601,$AG1066))</f>
        <v/>
      </c>
      <c r="K1066">
        <f>IF($AG1066="","",INDEX('TMP Paste'!$L$2:$L$1601,$AG1066))</f>
        <v/>
      </c>
      <c r="L1066">
        <f>IF($AG1066="","",INDEX('TMP Paste'!$I$2:$I$1601,$AG1066))</f>
        <v/>
      </c>
      <c r="M1066">
        <f>IF($AG1066="","",Config!$B$16)</f>
        <v/>
      </c>
      <c r="N1066">
        <f>IF($AG1066="","","")</f>
        <v/>
      </c>
      <c r="O1066">
        <f>IF($AG1066="","",INDEX('TMP Paste'!$K$2:$K$1601,$AG1066))</f>
        <v/>
      </c>
      <c r="P1066">
        <f>IF($AG1066="","","")</f>
        <v/>
      </c>
      <c r="Q1066">
        <f>IF($AG1066="","",INDEX('TMP Paste'!$J$2:$J$1601,$AG1066))</f>
        <v/>
      </c>
      <c r="R1066">
        <f>IF($AG1066="","",Config!$B$24)</f>
        <v/>
      </c>
      <c r="S1066">
        <f>IF($AG1066="","",TEXT(Config!$B$4,"yyyy-mm-dd"))</f>
        <v/>
      </c>
      <c r="T1066">
        <f>IF($AG1066="","",Config!$B$17)</f>
        <v/>
      </c>
      <c r="U1066">
        <f>IF($AG1066="","",Config!$B$18)</f>
        <v/>
      </c>
      <c r="V1066">
        <f>IF($AG1066="","",Config!$B$19)</f>
        <v/>
      </c>
      <c r="W1066">
        <f>IF($AG1066="","",INDEX('TMP Paste'!$C$2:$C$1601,$AG1066))</f>
        <v/>
      </c>
      <c r="X1066">
        <f>IF($AG1066="","",Config!$B$29)</f>
        <v/>
      </c>
      <c r="Y1066">
        <f>IF($AH1066="","",INDEX(Calc!$I$2:$I$1601,$AH1066)&amp;" - "&amp;INDEX(Calc!$D$2:$D$1601,$AH1066)&amp;" koli")</f>
        <v/>
      </c>
      <c r="Z1066">
        <f>IF($AG1066="","",Config!$B$21)</f>
        <v/>
      </c>
      <c r="AA1066">
        <f>IF($AG1066="","",Config!$B$22)</f>
        <v/>
      </c>
      <c r="AB1066">
        <f>IF($AH1066="","",INDEX(Calc!$D$2:$D$1601,$AH1066))</f>
        <v/>
      </c>
      <c r="AC1066">
        <f>IF($AH1066="","",INDEX(Calc!$G$2:$G$1601,$AH1066))</f>
        <v/>
      </c>
      <c r="AD1066">
        <f>IF($AG1066="","",Config!$B$23)</f>
        <v/>
      </c>
      <c r="AE1066">
        <f>IF($AG1066="","",Config!$B$28)</f>
        <v/>
      </c>
      <c r="AG1066">
        <f>IFERROR(MATCH(ROW()-1,Calc!$J$2:$J$1601,0),"")</f>
        <v/>
      </c>
      <c r="AH1066">
        <f>IFERROR(MATCH(ROW()-1,Calc!$K$2:$K$1601,0),"")</f>
        <v/>
      </c>
      <c r="AI1066">
        <f>IF($AG1066="","",SUMIF($AG$2:$AG1066,$AG1066,$AH$2:$AH1066))</f>
        <v/>
      </c>
      <c r="AJ1066">
        <f>IF('TMP Paste'!$F1066="","",IF('TMP Paste'!$B1066="",$AJ1065,'TMP Paste'!$B1066))</f>
        <v/>
      </c>
      <c r="AK1066">
        <f>IF('TMP Paste'!$F1066="","",N('TMP Paste'!$G1066))</f>
        <v/>
      </c>
      <c r="AL1066">
        <f>IF('TMP Paste'!$F1066="","",IF('TMP Paste'!$M1066="",$AL1065,'TMP Paste'!$M1066))</f>
        <v/>
      </c>
      <c r="AM1066">
        <f>IF('TMP Paste'!$F1066="","",IF('TMP Paste'!$N1066="",$AM1065,'TMP Paste'!$N1066))</f>
        <v/>
      </c>
      <c r="AN1066">
        <f>IF('TMP Paste'!$F1066="","",IF('TMP Paste'!$O1066="",$AN1065,'TMP Paste'!$O1066))</f>
        <v/>
      </c>
      <c r="AO1066">
        <f>IF('TMP Paste'!$F1066="","",IF('TMP Paste'!$P1066="",$AO1065,'TMP Paste'!$P1066))</f>
        <v/>
      </c>
      <c r="AP1066">
        <f>IF($AG1066="","",LEN($R1066))</f>
        <v/>
      </c>
      <c r="AQ1066">
        <f>IF($AG1066="","",TRIM(IF(COUNTIFS(Calc!$B$2:$B$1601,ROW()-1,Calc!$C$2:$C$1601,"&lt;1")&gt;0,"Ada PO tanpa Koli - cek TMP. ","")&amp;IF(LEN($R1066)&gt;500,"R &gt; 500 karakter.","")))</f>
        <v/>
      </c>
    </row>
    <row r="1067">
      <c r="A1067">
        <f>IF($AG1067="","",INDEX('TMP Paste'!$B$2:$B$1601,$AG1067))</f>
        <v/>
      </c>
      <c r="B1067">
        <f>IF($AG1067="","",Config!$B$14)</f>
        <v/>
      </c>
      <c r="C1067">
        <f>IF($AG1067="","",Config!$B$15)</f>
        <v/>
      </c>
      <c r="D1067">
        <f>IF($AG1067="","",INDEX('TMP Paste'!$B$2:$B$1601,$AG1067))</f>
        <v/>
      </c>
      <c r="E1067">
        <f>IF($AG1067="","",Config!$B$27)</f>
        <v/>
      </c>
      <c r="F1067">
        <f>IF($AG1067="","",Config!$B$9)</f>
        <v/>
      </c>
      <c r="G1067">
        <f>IF($AG1067="","",Config!$B$10)</f>
        <v/>
      </c>
      <c r="H1067">
        <f>IF($AG1067="","",Config!$B$11)</f>
        <v/>
      </c>
      <c r="I1067">
        <f>IF($AG1067="","",Config!$B$16)</f>
        <v/>
      </c>
      <c r="J1067">
        <f>IF($AG1067="","",INDEX('TMP Paste'!$A$2:$A$1601,$AG1067))</f>
        <v/>
      </c>
      <c r="K1067">
        <f>IF($AG1067="","",INDEX('TMP Paste'!$L$2:$L$1601,$AG1067))</f>
        <v/>
      </c>
      <c r="L1067">
        <f>IF($AG1067="","",INDEX('TMP Paste'!$I$2:$I$1601,$AG1067))</f>
        <v/>
      </c>
      <c r="M1067">
        <f>IF($AG1067="","",Config!$B$16)</f>
        <v/>
      </c>
      <c r="N1067">
        <f>IF($AG1067="","","")</f>
        <v/>
      </c>
      <c r="O1067">
        <f>IF($AG1067="","",INDEX('TMP Paste'!$K$2:$K$1601,$AG1067))</f>
        <v/>
      </c>
      <c r="P1067">
        <f>IF($AG1067="","","")</f>
        <v/>
      </c>
      <c r="Q1067">
        <f>IF($AG1067="","",INDEX('TMP Paste'!$J$2:$J$1601,$AG1067))</f>
        <v/>
      </c>
      <c r="R1067">
        <f>IF($AG1067="","",Config!$B$24)</f>
        <v/>
      </c>
      <c r="S1067">
        <f>IF($AG1067="","",TEXT(Config!$B$4,"yyyy-mm-dd"))</f>
        <v/>
      </c>
      <c r="T1067">
        <f>IF($AG1067="","",Config!$B$17)</f>
        <v/>
      </c>
      <c r="U1067">
        <f>IF($AG1067="","",Config!$B$18)</f>
        <v/>
      </c>
      <c r="V1067">
        <f>IF($AG1067="","",Config!$B$19)</f>
        <v/>
      </c>
      <c r="W1067">
        <f>IF($AG1067="","",INDEX('TMP Paste'!$C$2:$C$1601,$AG1067))</f>
        <v/>
      </c>
      <c r="X1067">
        <f>IF($AG1067="","",Config!$B$29)</f>
        <v/>
      </c>
      <c r="Y1067">
        <f>IF($AH1067="","",INDEX(Calc!$I$2:$I$1601,$AH1067)&amp;" - "&amp;INDEX(Calc!$D$2:$D$1601,$AH1067)&amp;" koli")</f>
        <v/>
      </c>
      <c r="Z1067">
        <f>IF($AG1067="","",Config!$B$21)</f>
        <v/>
      </c>
      <c r="AA1067">
        <f>IF($AG1067="","",Config!$B$22)</f>
        <v/>
      </c>
      <c r="AB1067">
        <f>IF($AH1067="","",INDEX(Calc!$D$2:$D$1601,$AH1067))</f>
        <v/>
      </c>
      <c r="AC1067">
        <f>IF($AH1067="","",INDEX(Calc!$G$2:$G$1601,$AH1067))</f>
        <v/>
      </c>
      <c r="AD1067">
        <f>IF($AG1067="","",Config!$B$23)</f>
        <v/>
      </c>
      <c r="AE1067">
        <f>IF($AG1067="","",Config!$B$28)</f>
        <v/>
      </c>
      <c r="AG1067">
        <f>IFERROR(MATCH(ROW()-1,Calc!$J$2:$J$1601,0),"")</f>
        <v/>
      </c>
      <c r="AH1067">
        <f>IFERROR(MATCH(ROW()-1,Calc!$K$2:$K$1601,0),"")</f>
        <v/>
      </c>
      <c r="AI1067">
        <f>IF($AG1067="","",SUMIF($AG$2:$AG1067,$AG1067,$AH$2:$AH1067))</f>
        <v/>
      </c>
      <c r="AJ1067">
        <f>IF('TMP Paste'!$F1067="","",IF('TMP Paste'!$B1067="",$AJ1066,'TMP Paste'!$B1067))</f>
        <v/>
      </c>
      <c r="AK1067">
        <f>IF('TMP Paste'!$F1067="","",N('TMP Paste'!$G1067))</f>
        <v/>
      </c>
      <c r="AL1067">
        <f>IF('TMP Paste'!$F1067="","",IF('TMP Paste'!$M1067="",$AL1066,'TMP Paste'!$M1067))</f>
        <v/>
      </c>
      <c r="AM1067">
        <f>IF('TMP Paste'!$F1067="","",IF('TMP Paste'!$N1067="",$AM1066,'TMP Paste'!$N1067))</f>
        <v/>
      </c>
      <c r="AN1067">
        <f>IF('TMP Paste'!$F1067="","",IF('TMP Paste'!$O1067="",$AN1066,'TMP Paste'!$O1067))</f>
        <v/>
      </c>
      <c r="AO1067">
        <f>IF('TMP Paste'!$F1067="","",IF('TMP Paste'!$P1067="",$AO1066,'TMP Paste'!$P1067))</f>
        <v/>
      </c>
      <c r="AP1067">
        <f>IF($AG1067="","",LEN($R1067))</f>
        <v/>
      </c>
      <c r="AQ1067">
        <f>IF($AG1067="","",TRIM(IF(COUNTIFS(Calc!$B$2:$B$1601,ROW()-1,Calc!$C$2:$C$1601,"&lt;1")&gt;0,"Ada PO tanpa Koli - cek TMP. ","")&amp;IF(LEN($R1067)&gt;500,"R &gt; 500 karakter.","")))</f>
        <v/>
      </c>
    </row>
    <row r="1068">
      <c r="A1068">
        <f>IF($AG1068="","",INDEX('TMP Paste'!$B$2:$B$1601,$AG1068))</f>
        <v/>
      </c>
      <c r="B1068">
        <f>IF($AG1068="","",Config!$B$14)</f>
        <v/>
      </c>
      <c r="C1068">
        <f>IF($AG1068="","",Config!$B$15)</f>
        <v/>
      </c>
      <c r="D1068">
        <f>IF($AG1068="","",INDEX('TMP Paste'!$B$2:$B$1601,$AG1068))</f>
        <v/>
      </c>
      <c r="E1068">
        <f>IF($AG1068="","",Config!$B$27)</f>
        <v/>
      </c>
      <c r="F1068">
        <f>IF($AG1068="","",Config!$B$9)</f>
        <v/>
      </c>
      <c r="G1068">
        <f>IF($AG1068="","",Config!$B$10)</f>
        <v/>
      </c>
      <c r="H1068">
        <f>IF($AG1068="","",Config!$B$11)</f>
        <v/>
      </c>
      <c r="I1068">
        <f>IF($AG1068="","",Config!$B$16)</f>
        <v/>
      </c>
      <c r="J1068">
        <f>IF($AG1068="","",INDEX('TMP Paste'!$A$2:$A$1601,$AG1068))</f>
        <v/>
      </c>
      <c r="K1068">
        <f>IF($AG1068="","",INDEX('TMP Paste'!$L$2:$L$1601,$AG1068))</f>
        <v/>
      </c>
      <c r="L1068">
        <f>IF($AG1068="","",INDEX('TMP Paste'!$I$2:$I$1601,$AG1068))</f>
        <v/>
      </c>
      <c r="M1068">
        <f>IF($AG1068="","",Config!$B$16)</f>
        <v/>
      </c>
      <c r="N1068">
        <f>IF($AG1068="","","")</f>
        <v/>
      </c>
      <c r="O1068">
        <f>IF($AG1068="","",INDEX('TMP Paste'!$K$2:$K$1601,$AG1068))</f>
        <v/>
      </c>
      <c r="P1068">
        <f>IF($AG1068="","","")</f>
        <v/>
      </c>
      <c r="Q1068">
        <f>IF($AG1068="","",INDEX('TMP Paste'!$J$2:$J$1601,$AG1068))</f>
        <v/>
      </c>
      <c r="R1068">
        <f>IF($AG1068="","",Config!$B$24)</f>
        <v/>
      </c>
      <c r="S1068">
        <f>IF($AG1068="","",TEXT(Config!$B$4,"yyyy-mm-dd"))</f>
        <v/>
      </c>
      <c r="T1068">
        <f>IF($AG1068="","",Config!$B$17)</f>
        <v/>
      </c>
      <c r="U1068">
        <f>IF($AG1068="","",Config!$B$18)</f>
        <v/>
      </c>
      <c r="V1068">
        <f>IF($AG1068="","",Config!$B$19)</f>
        <v/>
      </c>
      <c r="W1068">
        <f>IF($AG1068="","",INDEX('TMP Paste'!$C$2:$C$1601,$AG1068))</f>
        <v/>
      </c>
      <c r="X1068">
        <f>IF($AG1068="","",Config!$B$29)</f>
        <v/>
      </c>
      <c r="Y1068">
        <f>IF($AH1068="","",INDEX(Calc!$I$2:$I$1601,$AH1068)&amp;" - "&amp;INDEX(Calc!$D$2:$D$1601,$AH1068)&amp;" koli")</f>
        <v/>
      </c>
      <c r="Z1068">
        <f>IF($AG1068="","",Config!$B$21)</f>
        <v/>
      </c>
      <c r="AA1068">
        <f>IF($AG1068="","",Config!$B$22)</f>
        <v/>
      </c>
      <c r="AB1068">
        <f>IF($AH1068="","",INDEX(Calc!$D$2:$D$1601,$AH1068))</f>
        <v/>
      </c>
      <c r="AC1068">
        <f>IF($AH1068="","",INDEX(Calc!$G$2:$G$1601,$AH1068))</f>
        <v/>
      </c>
      <c r="AD1068">
        <f>IF($AG1068="","",Config!$B$23)</f>
        <v/>
      </c>
      <c r="AE1068">
        <f>IF($AG1068="","",Config!$B$28)</f>
        <v/>
      </c>
      <c r="AG1068">
        <f>IFERROR(MATCH(ROW()-1,Calc!$J$2:$J$1601,0),"")</f>
        <v/>
      </c>
      <c r="AH1068">
        <f>IFERROR(MATCH(ROW()-1,Calc!$K$2:$K$1601,0),"")</f>
        <v/>
      </c>
      <c r="AI1068">
        <f>IF($AG1068="","",SUMIF($AG$2:$AG1068,$AG1068,$AH$2:$AH1068))</f>
        <v/>
      </c>
      <c r="AJ1068">
        <f>IF('TMP Paste'!$F1068="","",IF('TMP Paste'!$B1068="",$AJ1067,'TMP Paste'!$B1068))</f>
        <v/>
      </c>
      <c r="AK1068">
        <f>IF('TMP Paste'!$F1068="","",N('TMP Paste'!$G1068))</f>
        <v/>
      </c>
      <c r="AL1068">
        <f>IF('TMP Paste'!$F1068="","",IF('TMP Paste'!$M1068="",$AL1067,'TMP Paste'!$M1068))</f>
        <v/>
      </c>
      <c r="AM1068">
        <f>IF('TMP Paste'!$F1068="","",IF('TMP Paste'!$N1068="",$AM1067,'TMP Paste'!$N1068))</f>
        <v/>
      </c>
      <c r="AN1068">
        <f>IF('TMP Paste'!$F1068="","",IF('TMP Paste'!$O1068="",$AN1067,'TMP Paste'!$O1068))</f>
        <v/>
      </c>
      <c r="AO1068">
        <f>IF('TMP Paste'!$F1068="","",IF('TMP Paste'!$P1068="",$AO1067,'TMP Paste'!$P1068))</f>
        <v/>
      </c>
      <c r="AP1068">
        <f>IF($AG1068="","",LEN($R1068))</f>
        <v/>
      </c>
      <c r="AQ1068">
        <f>IF($AG1068="","",TRIM(IF(COUNTIFS(Calc!$B$2:$B$1601,ROW()-1,Calc!$C$2:$C$1601,"&lt;1")&gt;0,"Ada PO tanpa Koli - cek TMP. ","")&amp;IF(LEN($R1068)&gt;500,"R &gt; 500 karakter.","")))</f>
        <v/>
      </c>
    </row>
    <row r="1069">
      <c r="A1069">
        <f>IF($AG1069="","",INDEX('TMP Paste'!$B$2:$B$1601,$AG1069))</f>
        <v/>
      </c>
      <c r="B1069">
        <f>IF($AG1069="","",Config!$B$14)</f>
        <v/>
      </c>
      <c r="C1069">
        <f>IF($AG1069="","",Config!$B$15)</f>
        <v/>
      </c>
      <c r="D1069">
        <f>IF($AG1069="","",INDEX('TMP Paste'!$B$2:$B$1601,$AG1069))</f>
        <v/>
      </c>
      <c r="E1069">
        <f>IF($AG1069="","",Config!$B$27)</f>
        <v/>
      </c>
      <c r="F1069">
        <f>IF($AG1069="","",Config!$B$9)</f>
        <v/>
      </c>
      <c r="G1069">
        <f>IF($AG1069="","",Config!$B$10)</f>
        <v/>
      </c>
      <c r="H1069">
        <f>IF($AG1069="","",Config!$B$11)</f>
        <v/>
      </c>
      <c r="I1069">
        <f>IF($AG1069="","",Config!$B$16)</f>
        <v/>
      </c>
      <c r="J1069">
        <f>IF($AG1069="","",INDEX('TMP Paste'!$A$2:$A$1601,$AG1069))</f>
        <v/>
      </c>
      <c r="K1069">
        <f>IF($AG1069="","",INDEX('TMP Paste'!$L$2:$L$1601,$AG1069))</f>
        <v/>
      </c>
      <c r="L1069">
        <f>IF($AG1069="","",INDEX('TMP Paste'!$I$2:$I$1601,$AG1069))</f>
        <v/>
      </c>
      <c r="M1069">
        <f>IF($AG1069="","",Config!$B$16)</f>
        <v/>
      </c>
      <c r="N1069">
        <f>IF($AG1069="","","")</f>
        <v/>
      </c>
      <c r="O1069">
        <f>IF($AG1069="","",INDEX('TMP Paste'!$K$2:$K$1601,$AG1069))</f>
        <v/>
      </c>
      <c r="P1069">
        <f>IF($AG1069="","","")</f>
        <v/>
      </c>
      <c r="Q1069">
        <f>IF($AG1069="","",INDEX('TMP Paste'!$J$2:$J$1601,$AG1069))</f>
        <v/>
      </c>
      <c r="R1069">
        <f>IF($AG1069="","",Config!$B$24)</f>
        <v/>
      </c>
      <c r="S1069">
        <f>IF($AG1069="","",TEXT(Config!$B$4,"yyyy-mm-dd"))</f>
        <v/>
      </c>
      <c r="T1069">
        <f>IF($AG1069="","",Config!$B$17)</f>
        <v/>
      </c>
      <c r="U1069">
        <f>IF($AG1069="","",Config!$B$18)</f>
        <v/>
      </c>
      <c r="V1069">
        <f>IF($AG1069="","",Config!$B$19)</f>
        <v/>
      </c>
      <c r="W1069">
        <f>IF($AG1069="","",INDEX('TMP Paste'!$C$2:$C$1601,$AG1069))</f>
        <v/>
      </c>
      <c r="X1069">
        <f>IF($AG1069="","",Config!$B$29)</f>
        <v/>
      </c>
      <c r="Y1069">
        <f>IF($AH1069="","",INDEX(Calc!$I$2:$I$1601,$AH1069)&amp;" - "&amp;INDEX(Calc!$D$2:$D$1601,$AH1069)&amp;" koli")</f>
        <v/>
      </c>
      <c r="Z1069">
        <f>IF($AG1069="","",Config!$B$21)</f>
        <v/>
      </c>
      <c r="AA1069">
        <f>IF($AG1069="","",Config!$B$22)</f>
        <v/>
      </c>
      <c r="AB1069">
        <f>IF($AH1069="","",INDEX(Calc!$D$2:$D$1601,$AH1069))</f>
        <v/>
      </c>
      <c r="AC1069">
        <f>IF($AH1069="","",INDEX(Calc!$G$2:$G$1601,$AH1069))</f>
        <v/>
      </c>
      <c r="AD1069">
        <f>IF($AG1069="","",Config!$B$23)</f>
        <v/>
      </c>
      <c r="AE1069">
        <f>IF($AG1069="","",Config!$B$28)</f>
        <v/>
      </c>
      <c r="AG1069">
        <f>IFERROR(MATCH(ROW()-1,Calc!$J$2:$J$1601,0),"")</f>
        <v/>
      </c>
      <c r="AH1069">
        <f>IFERROR(MATCH(ROW()-1,Calc!$K$2:$K$1601,0),"")</f>
        <v/>
      </c>
      <c r="AI1069">
        <f>IF($AG1069="","",SUMIF($AG$2:$AG1069,$AG1069,$AH$2:$AH1069))</f>
        <v/>
      </c>
      <c r="AJ1069">
        <f>IF('TMP Paste'!$F1069="","",IF('TMP Paste'!$B1069="",$AJ1068,'TMP Paste'!$B1069))</f>
        <v/>
      </c>
      <c r="AK1069">
        <f>IF('TMP Paste'!$F1069="","",N('TMP Paste'!$G1069))</f>
        <v/>
      </c>
      <c r="AL1069">
        <f>IF('TMP Paste'!$F1069="","",IF('TMP Paste'!$M1069="",$AL1068,'TMP Paste'!$M1069))</f>
        <v/>
      </c>
      <c r="AM1069">
        <f>IF('TMP Paste'!$F1069="","",IF('TMP Paste'!$N1069="",$AM1068,'TMP Paste'!$N1069))</f>
        <v/>
      </c>
      <c r="AN1069">
        <f>IF('TMP Paste'!$F1069="","",IF('TMP Paste'!$O1069="",$AN1068,'TMP Paste'!$O1069))</f>
        <v/>
      </c>
      <c r="AO1069">
        <f>IF('TMP Paste'!$F1069="","",IF('TMP Paste'!$P1069="",$AO1068,'TMP Paste'!$P1069))</f>
        <v/>
      </c>
      <c r="AP1069">
        <f>IF($AG1069="","",LEN($R1069))</f>
        <v/>
      </c>
      <c r="AQ1069">
        <f>IF($AG1069="","",TRIM(IF(COUNTIFS(Calc!$B$2:$B$1601,ROW()-1,Calc!$C$2:$C$1601,"&lt;1")&gt;0,"Ada PO tanpa Koli - cek TMP. ","")&amp;IF(LEN($R1069)&gt;500,"R &gt; 500 karakter.","")))</f>
        <v/>
      </c>
    </row>
    <row r="1070">
      <c r="A1070">
        <f>IF($AG1070="","",INDEX('TMP Paste'!$B$2:$B$1601,$AG1070))</f>
        <v/>
      </c>
      <c r="B1070">
        <f>IF($AG1070="","",Config!$B$14)</f>
        <v/>
      </c>
      <c r="C1070">
        <f>IF($AG1070="","",Config!$B$15)</f>
        <v/>
      </c>
      <c r="D1070">
        <f>IF($AG1070="","",INDEX('TMP Paste'!$B$2:$B$1601,$AG1070))</f>
        <v/>
      </c>
      <c r="E1070">
        <f>IF($AG1070="","",Config!$B$27)</f>
        <v/>
      </c>
      <c r="F1070">
        <f>IF($AG1070="","",Config!$B$9)</f>
        <v/>
      </c>
      <c r="G1070">
        <f>IF($AG1070="","",Config!$B$10)</f>
        <v/>
      </c>
      <c r="H1070">
        <f>IF($AG1070="","",Config!$B$11)</f>
        <v/>
      </c>
      <c r="I1070">
        <f>IF($AG1070="","",Config!$B$16)</f>
        <v/>
      </c>
      <c r="J1070">
        <f>IF($AG1070="","",INDEX('TMP Paste'!$A$2:$A$1601,$AG1070))</f>
        <v/>
      </c>
      <c r="K1070">
        <f>IF($AG1070="","",INDEX('TMP Paste'!$L$2:$L$1601,$AG1070))</f>
        <v/>
      </c>
      <c r="L1070">
        <f>IF($AG1070="","",INDEX('TMP Paste'!$I$2:$I$1601,$AG1070))</f>
        <v/>
      </c>
      <c r="M1070">
        <f>IF($AG1070="","",Config!$B$16)</f>
        <v/>
      </c>
      <c r="N1070">
        <f>IF($AG1070="","","")</f>
        <v/>
      </c>
      <c r="O1070">
        <f>IF($AG1070="","",INDEX('TMP Paste'!$K$2:$K$1601,$AG1070))</f>
        <v/>
      </c>
      <c r="P1070">
        <f>IF($AG1070="","","")</f>
        <v/>
      </c>
      <c r="Q1070">
        <f>IF($AG1070="","",INDEX('TMP Paste'!$J$2:$J$1601,$AG1070))</f>
        <v/>
      </c>
      <c r="R1070">
        <f>IF($AG1070="","",Config!$B$24)</f>
        <v/>
      </c>
      <c r="S1070">
        <f>IF($AG1070="","",TEXT(Config!$B$4,"yyyy-mm-dd"))</f>
        <v/>
      </c>
      <c r="T1070">
        <f>IF($AG1070="","",Config!$B$17)</f>
        <v/>
      </c>
      <c r="U1070">
        <f>IF($AG1070="","",Config!$B$18)</f>
        <v/>
      </c>
      <c r="V1070">
        <f>IF($AG1070="","",Config!$B$19)</f>
        <v/>
      </c>
      <c r="W1070">
        <f>IF($AG1070="","",INDEX('TMP Paste'!$C$2:$C$1601,$AG1070))</f>
        <v/>
      </c>
      <c r="X1070">
        <f>IF($AG1070="","",Config!$B$29)</f>
        <v/>
      </c>
      <c r="Y1070">
        <f>IF($AH1070="","",INDEX(Calc!$I$2:$I$1601,$AH1070)&amp;" - "&amp;INDEX(Calc!$D$2:$D$1601,$AH1070)&amp;" koli")</f>
        <v/>
      </c>
      <c r="Z1070">
        <f>IF($AG1070="","",Config!$B$21)</f>
        <v/>
      </c>
      <c r="AA1070">
        <f>IF($AG1070="","",Config!$B$22)</f>
        <v/>
      </c>
      <c r="AB1070">
        <f>IF($AH1070="","",INDEX(Calc!$D$2:$D$1601,$AH1070))</f>
        <v/>
      </c>
      <c r="AC1070">
        <f>IF($AH1070="","",INDEX(Calc!$G$2:$G$1601,$AH1070))</f>
        <v/>
      </c>
      <c r="AD1070">
        <f>IF($AG1070="","",Config!$B$23)</f>
        <v/>
      </c>
      <c r="AE1070">
        <f>IF($AG1070="","",Config!$B$28)</f>
        <v/>
      </c>
      <c r="AG1070">
        <f>IFERROR(MATCH(ROW()-1,Calc!$J$2:$J$1601,0),"")</f>
        <v/>
      </c>
      <c r="AH1070">
        <f>IFERROR(MATCH(ROW()-1,Calc!$K$2:$K$1601,0),"")</f>
        <v/>
      </c>
      <c r="AI1070">
        <f>IF($AG1070="","",SUMIF($AG$2:$AG1070,$AG1070,$AH$2:$AH1070))</f>
        <v/>
      </c>
      <c r="AJ1070">
        <f>IF('TMP Paste'!$F1070="","",IF('TMP Paste'!$B1070="",$AJ1069,'TMP Paste'!$B1070))</f>
        <v/>
      </c>
      <c r="AK1070">
        <f>IF('TMP Paste'!$F1070="","",N('TMP Paste'!$G1070))</f>
        <v/>
      </c>
      <c r="AL1070">
        <f>IF('TMP Paste'!$F1070="","",IF('TMP Paste'!$M1070="",$AL1069,'TMP Paste'!$M1070))</f>
        <v/>
      </c>
      <c r="AM1070">
        <f>IF('TMP Paste'!$F1070="","",IF('TMP Paste'!$N1070="",$AM1069,'TMP Paste'!$N1070))</f>
        <v/>
      </c>
      <c r="AN1070">
        <f>IF('TMP Paste'!$F1070="","",IF('TMP Paste'!$O1070="",$AN1069,'TMP Paste'!$O1070))</f>
        <v/>
      </c>
      <c r="AO1070">
        <f>IF('TMP Paste'!$F1070="","",IF('TMP Paste'!$P1070="",$AO1069,'TMP Paste'!$P1070))</f>
        <v/>
      </c>
      <c r="AP1070">
        <f>IF($AG1070="","",LEN($R1070))</f>
        <v/>
      </c>
      <c r="AQ1070">
        <f>IF($AG1070="","",TRIM(IF(COUNTIFS(Calc!$B$2:$B$1601,ROW()-1,Calc!$C$2:$C$1601,"&lt;1")&gt;0,"Ada PO tanpa Koli - cek TMP. ","")&amp;IF(LEN($R1070)&gt;500,"R &gt; 500 karakter.","")))</f>
        <v/>
      </c>
    </row>
    <row r="1071">
      <c r="A1071">
        <f>IF($AG1071="","",INDEX('TMP Paste'!$B$2:$B$1601,$AG1071))</f>
        <v/>
      </c>
      <c r="B1071">
        <f>IF($AG1071="","",Config!$B$14)</f>
        <v/>
      </c>
      <c r="C1071">
        <f>IF($AG1071="","",Config!$B$15)</f>
        <v/>
      </c>
      <c r="D1071">
        <f>IF($AG1071="","",INDEX('TMP Paste'!$B$2:$B$1601,$AG1071))</f>
        <v/>
      </c>
      <c r="E1071">
        <f>IF($AG1071="","",Config!$B$27)</f>
        <v/>
      </c>
      <c r="F1071">
        <f>IF($AG1071="","",Config!$B$9)</f>
        <v/>
      </c>
      <c r="G1071">
        <f>IF($AG1071="","",Config!$B$10)</f>
        <v/>
      </c>
      <c r="H1071">
        <f>IF($AG1071="","",Config!$B$11)</f>
        <v/>
      </c>
      <c r="I1071">
        <f>IF($AG1071="","",Config!$B$16)</f>
        <v/>
      </c>
      <c r="J1071">
        <f>IF($AG1071="","",INDEX('TMP Paste'!$A$2:$A$1601,$AG1071))</f>
        <v/>
      </c>
      <c r="K1071">
        <f>IF($AG1071="","",INDEX('TMP Paste'!$L$2:$L$1601,$AG1071))</f>
        <v/>
      </c>
      <c r="L1071">
        <f>IF($AG1071="","",INDEX('TMP Paste'!$I$2:$I$1601,$AG1071))</f>
        <v/>
      </c>
      <c r="M1071">
        <f>IF($AG1071="","",Config!$B$16)</f>
        <v/>
      </c>
      <c r="N1071">
        <f>IF($AG1071="","","")</f>
        <v/>
      </c>
      <c r="O1071">
        <f>IF($AG1071="","",INDEX('TMP Paste'!$K$2:$K$1601,$AG1071))</f>
        <v/>
      </c>
      <c r="P1071">
        <f>IF($AG1071="","","")</f>
        <v/>
      </c>
      <c r="Q1071">
        <f>IF($AG1071="","",INDEX('TMP Paste'!$J$2:$J$1601,$AG1071))</f>
        <v/>
      </c>
      <c r="R1071">
        <f>IF($AG1071="","",Config!$B$24)</f>
        <v/>
      </c>
      <c r="S1071">
        <f>IF($AG1071="","",TEXT(Config!$B$4,"yyyy-mm-dd"))</f>
        <v/>
      </c>
      <c r="T1071">
        <f>IF($AG1071="","",Config!$B$17)</f>
        <v/>
      </c>
      <c r="U1071">
        <f>IF($AG1071="","",Config!$B$18)</f>
        <v/>
      </c>
      <c r="V1071">
        <f>IF($AG1071="","",Config!$B$19)</f>
        <v/>
      </c>
      <c r="W1071">
        <f>IF($AG1071="","",INDEX('TMP Paste'!$C$2:$C$1601,$AG1071))</f>
        <v/>
      </c>
      <c r="X1071">
        <f>IF($AG1071="","",Config!$B$29)</f>
        <v/>
      </c>
      <c r="Y1071">
        <f>IF($AH1071="","",INDEX(Calc!$I$2:$I$1601,$AH1071)&amp;" - "&amp;INDEX(Calc!$D$2:$D$1601,$AH1071)&amp;" koli")</f>
        <v/>
      </c>
      <c r="Z1071">
        <f>IF($AG1071="","",Config!$B$21)</f>
        <v/>
      </c>
      <c r="AA1071">
        <f>IF($AG1071="","",Config!$B$22)</f>
        <v/>
      </c>
      <c r="AB1071">
        <f>IF($AH1071="","",INDEX(Calc!$D$2:$D$1601,$AH1071))</f>
        <v/>
      </c>
      <c r="AC1071">
        <f>IF($AH1071="","",INDEX(Calc!$G$2:$G$1601,$AH1071))</f>
        <v/>
      </c>
      <c r="AD1071">
        <f>IF($AG1071="","",Config!$B$23)</f>
        <v/>
      </c>
      <c r="AE1071">
        <f>IF($AG1071="","",Config!$B$28)</f>
        <v/>
      </c>
      <c r="AG1071">
        <f>IFERROR(MATCH(ROW()-1,Calc!$J$2:$J$1601,0),"")</f>
        <v/>
      </c>
      <c r="AH1071">
        <f>IFERROR(MATCH(ROW()-1,Calc!$K$2:$K$1601,0),"")</f>
        <v/>
      </c>
      <c r="AI1071">
        <f>IF($AG1071="","",SUMIF($AG$2:$AG1071,$AG1071,$AH$2:$AH1071))</f>
        <v/>
      </c>
      <c r="AJ1071">
        <f>IF('TMP Paste'!$F1071="","",IF('TMP Paste'!$B1071="",$AJ1070,'TMP Paste'!$B1071))</f>
        <v/>
      </c>
      <c r="AK1071">
        <f>IF('TMP Paste'!$F1071="","",N('TMP Paste'!$G1071))</f>
        <v/>
      </c>
      <c r="AL1071">
        <f>IF('TMP Paste'!$F1071="","",IF('TMP Paste'!$M1071="",$AL1070,'TMP Paste'!$M1071))</f>
        <v/>
      </c>
      <c r="AM1071">
        <f>IF('TMP Paste'!$F1071="","",IF('TMP Paste'!$N1071="",$AM1070,'TMP Paste'!$N1071))</f>
        <v/>
      </c>
      <c r="AN1071">
        <f>IF('TMP Paste'!$F1071="","",IF('TMP Paste'!$O1071="",$AN1070,'TMP Paste'!$O1071))</f>
        <v/>
      </c>
      <c r="AO1071">
        <f>IF('TMP Paste'!$F1071="","",IF('TMP Paste'!$P1071="",$AO1070,'TMP Paste'!$P1071))</f>
        <v/>
      </c>
      <c r="AP1071">
        <f>IF($AG1071="","",LEN($R1071))</f>
        <v/>
      </c>
      <c r="AQ1071">
        <f>IF($AG1071="","",TRIM(IF(COUNTIFS(Calc!$B$2:$B$1601,ROW()-1,Calc!$C$2:$C$1601,"&lt;1")&gt;0,"Ada PO tanpa Koli - cek TMP. ","")&amp;IF(LEN($R1071)&gt;500,"R &gt; 500 karakter.","")))</f>
        <v/>
      </c>
    </row>
    <row r="1072">
      <c r="A1072">
        <f>IF($AG1072="","",INDEX('TMP Paste'!$B$2:$B$1601,$AG1072))</f>
        <v/>
      </c>
      <c r="B1072">
        <f>IF($AG1072="","",Config!$B$14)</f>
        <v/>
      </c>
      <c r="C1072">
        <f>IF($AG1072="","",Config!$B$15)</f>
        <v/>
      </c>
      <c r="D1072">
        <f>IF($AG1072="","",INDEX('TMP Paste'!$B$2:$B$1601,$AG1072))</f>
        <v/>
      </c>
      <c r="E1072">
        <f>IF($AG1072="","",Config!$B$27)</f>
        <v/>
      </c>
      <c r="F1072">
        <f>IF($AG1072="","",Config!$B$9)</f>
        <v/>
      </c>
      <c r="G1072">
        <f>IF($AG1072="","",Config!$B$10)</f>
        <v/>
      </c>
      <c r="H1072">
        <f>IF($AG1072="","",Config!$B$11)</f>
        <v/>
      </c>
      <c r="I1072">
        <f>IF($AG1072="","",Config!$B$16)</f>
        <v/>
      </c>
      <c r="J1072">
        <f>IF($AG1072="","",INDEX('TMP Paste'!$A$2:$A$1601,$AG1072))</f>
        <v/>
      </c>
      <c r="K1072">
        <f>IF($AG1072="","",INDEX('TMP Paste'!$L$2:$L$1601,$AG1072))</f>
        <v/>
      </c>
      <c r="L1072">
        <f>IF($AG1072="","",INDEX('TMP Paste'!$I$2:$I$1601,$AG1072))</f>
        <v/>
      </c>
      <c r="M1072">
        <f>IF($AG1072="","",Config!$B$16)</f>
        <v/>
      </c>
      <c r="N1072">
        <f>IF($AG1072="","","")</f>
        <v/>
      </c>
      <c r="O1072">
        <f>IF($AG1072="","",INDEX('TMP Paste'!$K$2:$K$1601,$AG1072))</f>
        <v/>
      </c>
      <c r="P1072">
        <f>IF($AG1072="","","")</f>
        <v/>
      </c>
      <c r="Q1072">
        <f>IF($AG1072="","",INDEX('TMP Paste'!$J$2:$J$1601,$AG1072))</f>
        <v/>
      </c>
      <c r="R1072">
        <f>IF($AG1072="","",Config!$B$24)</f>
        <v/>
      </c>
      <c r="S1072">
        <f>IF($AG1072="","",TEXT(Config!$B$4,"yyyy-mm-dd"))</f>
        <v/>
      </c>
      <c r="T1072">
        <f>IF($AG1072="","",Config!$B$17)</f>
        <v/>
      </c>
      <c r="U1072">
        <f>IF($AG1072="","",Config!$B$18)</f>
        <v/>
      </c>
      <c r="V1072">
        <f>IF($AG1072="","",Config!$B$19)</f>
        <v/>
      </c>
      <c r="W1072">
        <f>IF($AG1072="","",INDEX('TMP Paste'!$C$2:$C$1601,$AG1072))</f>
        <v/>
      </c>
      <c r="X1072">
        <f>IF($AG1072="","",Config!$B$29)</f>
        <v/>
      </c>
      <c r="Y1072">
        <f>IF($AH1072="","",INDEX(Calc!$I$2:$I$1601,$AH1072)&amp;" - "&amp;INDEX(Calc!$D$2:$D$1601,$AH1072)&amp;" koli")</f>
        <v/>
      </c>
      <c r="Z1072">
        <f>IF($AG1072="","",Config!$B$21)</f>
        <v/>
      </c>
      <c r="AA1072">
        <f>IF($AG1072="","",Config!$B$22)</f>
        <v/>
      </c>
      <c r="AB1072">
        <f>IF($AH1072="","",INDEX(Calc!$D$2:$D$1601,$AH1072))</f>
        <v/>
      </c>
      <c r="AC1072">
        <f>IF($AH1072="","",INDEX(Calc!$G$2:$G$1601,$AH1072))</f>
        <v/>
      </c>
      <c r="AD1072">
        <f>IF($AG1072="","",Config!$B$23)</f>
        <v/>
      </c>
      <c r="AE1072">
        <f>IF($AG1072="","",Config!$B$28)</f>
        <v/>
      </c>
      <c r="AG1072">
        <f>IFERROR(MATCH(ROW()-1,Calc!$J$2:$J$1601,0),"")</f>
        <v/>
      </c>
      <c r="AH1072">
        <f>IFERROR(MATCH(ROW()-1,Calc!$K$2:$K$1601,0),"")</f>
        <v/>
      </c>
      <c r="AI1072">
        <f>IF($AG1072="","",SUMIF($AG$2:$AG1072,$AG1072,$AH$2:$AH1072))</f>
        <v/>
      </c>
      <c r="AJ1072">
        <f>IF('TMP Paste'!$F1072="","",IF('TMP Paste'!$B1072="",$AJ1071,'TMP Paste'!$B1072))</f>
        <v/>
      </c>
      <c r="AK1072">
        <f>IF('TMP Paste'!$F1072="","",N('TMP Paste'!$G1072))</f>
        <v/>
      </c>
      <c r="AL1072">
        <f>IF('TMP Paste'!$F1072="","",IF('TMP Paste'!$M1072="",$AL1071,'TMP Paste'!$M1072))</f>
        <v/>
      </c>
      <c r="AM1072">
        <f>IF('TMP Paste'!$F1072="","",IF('TMP Paste'!$N1072="",$AM1071,'TMP Paste'!$N1072))</f>
        <v/>
      </c>
      <c r="AN1072">
        <f>IF('TMP Paste'!$F1072="","",IF('TMP Paste'!$O1072="",$AN1071,'TMP Paste'!$O1072))</f>
        <v/>
      </c>
      <c r="AO1072">
        <f>IF('TMP Paste'!$F1072="","",IF('TMP Paste'!$P1072="",$AO1071,'TMP Paste'!$P1072))</f>
        <v/>
      </c>
      <c r="AP1072">
        <f>IF($AG1072="","",LEN($R1072))</f>
        <v/>
      </c>
      <c r="AQ1072">
        <f>IF($AG1072="","",TRIM(IF(COUNTIFS(Calc!$B$2:$B$1601,ROW()-1,Calc!$C$2:$C$1601,"&lt;1")&gt;0,"Ada PO tanpa Koli - cek TMP. ","")&amp;IF(LEN($R1072)&gt;500,"R &gt; 500 karakter.","")))</f>
        <v/>
      </c>
    </row>
    <row r="1073">
      <c r="A1073">
        <f>IF($AG1073="","",INDEX('TMP Paste'!$B$2:$B$1601,$AG1073))</f>
        <v/>
      </c>
      <c r="B1073">
        <f>IF($AG1073="","",Config!$B$14)</f>
        <v/>
      </c>
      <c r="C1073">
        <f>IF($AG1073="","",Config!$B$15)</f>
        <v/>
      </c>
      <c r="D1073">
        <f>IF($AG1073="","",INDEX('TMP Paste'!$B$2:$B$1601,$AG1073))</f>
        <v/>
      </c>
      <c r="E1073">
        <f>IF($AG1073="","",Config!$B$27)</f>
        <v/>
      </c>
      <c r="F1073">
        <f>IF($AG1073="","",Config!$B$9)</f>
        <v/>
      </c>
      <c r="G1073">
        <f>IF($AG1073="","",Config!$B$10)</f>
        <v/>
      </c>
      <c r="H1073">
        <f>IF($AG1073="","",Config!$B$11)</f>
        <v/>
      </c>
      <c r="I1073">
        <f>IF($AG1073="","",Config!$B$16)</f>
        <v/>
      </c>
      <c r="J1073">
        <f>IF($AG1073="","",INDEX('TMP Paste'!$A$2:$A$1601,$AG1073))</f>
        <v/>
      </c>
      <c r="K1073">
        <f>IF($AG1073="","",INDEX('TMP Paste'!$L$2:$L$1601,$AG1073))</f>
        <v/>
      </c>
      <c r="L1073">
        <f>IF($AG1073="","",INDEX('TMP Paste'!$I$2:$I$1601,$AG1073))</f>
        <v/>
      </c>
      <c r="M1073">
        <f>IF($AG1073="","",Config!$B$16)</f>
        <v/>
      </c>
      <c r="N1073">
        <f>IF($AG1073="","","")</f>
        <v/>
      </c>
      <c r="O1073">
        <f>IF($AG1073="","",INDEX('TMP Paste'!$K$2:$K$1601,$AG1073))</f>
        <v/>
      </c>
      <c r="P1073">
        <f>IF($AG1073="","","")</f>
        <v/>
      </c>
      <c r="Q1073">
        <f>IF($AG1073="","",INDEX('TMP Paste'!$J$2:$J$1601,$AG1073))</f>
        <v/>
      </c>
      <c r="R1073">
        <f>IF($AG1073="","",Config!$B$24)</f>
        <v/>
      </c>
      <c r="S1073">
        <f>IF($AG1073="","",TEXT(Config!$B$4,"yyyy-mm-dd"))</f>
        <v/>
      </c>
      <c r="T1073">
        <f>IF($AG1073="","",Config!$B$17)</f>
        <v/>
      </c>
      <c r="U1073">
        <f>IF($AG1073="","",Config!$B$18)</f>
        <v/>
      </c>
      <c r="V1073">
        <f>IF($AG1073="","",Config!$B$19)</f>
        <v/>
      </c>
      <c r="W1073">
        <f>IF($AG1073="","",INDEX('TMP Paste'!$C$2:$C$1601,$AG1073))</f>
        <v/>
      </c>
      <c r="X1073">
        <f>IF($AG1073="","",Config!$B$29)</f>
        <v/>
      </c>
      <c r="Y1073">
        <f>IF($AH1073="","",INDEX(Calc!$I$2:$I$1601,$AH1073)&amp;" - "&amp;INDEX(Calc!$D$2:$D$1601,$AH1073)&amp;" koli")</f>
        <v/>
      </c>
      <c r="Z1073">
        <f>IF($AG1073="","",Config!$B$21)</f>
        <v/>
      </c>
      <c r="AA1073">
        <f>IF($AG1073="","",Config!$B$22)</f>
        <v/>
      </c>
      <c r="AB1073">
        <f>IF($AH1073="","",INDEX(Calc!$D$2:$D$1601,$AH1073))</f>
        <v/>
      </c>
      <c r="AC1073">
        <f>IF($AH1073="","",INDEX(Calc!$G$2:$G$1601,$AH1073))</f>
        <v/>
      </c>
      <c r="AD1073">
        <f>IF($AG1073="","",Config!$B$23)</f>
        <v/>
      </c>
      <c r="AE1073">
        <f>IF($AG1073="","",Config!$B$28)</f>
        <v/>
      </c>
      <c r="AG1073">
        <f>IFERROR(MATCH(ROW()-1,Calc!$J$2:$J$1601,0),"")</f>
        <v/>
      </c>
      <c r="AH1073">
        <f>IFERROR(MATCH(ROW()-1,Calc!$K$2:$K$1601,0),"")</f>
        <v/>
      </c>
      <c r="AI1073">
        <f>IF($AG1073="","",SUMIF($AG$2:$AG1073,$AG1073,$AH$2:$AH1073))</f>
        <v/>
      </c>
      <c r="AJ1073">
        <f>IF('TMP Paste'!$F1073="","",IF('TMP Paste'!$B1073="",$AJ1072,'TMP Paste'!$B1073))</f>
        <v/>
      </c>
      <c r="AK1073">
        <f>IF('TMP Paste'!$F1073="","",N('TMP Paste'!$G1073))</f>
        <v/>
      </c>
      <c r="AL1073">
        <f>IF('TMP Paste'!$F1073="","",IF('TMP Paste'!$M1073="",$AL1072,'TMP Paste'!$M1073))</f>
        <v/>
      </c>
      <c r="AM1073">
        <f>IF('TMP Paste'!$F1073="","",IF('TMP Paste'!$N1073="",$AM1072,'TMP Paste'!$N1073))</f>
        <v/>
      </c>
      <c r="AN1073">
        <f>IF('TMP Paste'!$F1073="","",IF('TMP Paste'!$O1073="",$AN1072,'TMP Paste'!$O1073))</f>
        <v/>
      </c>
      <c r="AO1073">
        <f>IF('TMP Paste'!$F1073="","",IF('TMP Paste'!$P1073="",$AO1072,'TMP Paste'!$P1073))</f>
        <v/>
      </c>
      <c r="AP1073">
        <f>IF($AG1073="","",LEN($R1073))</f>
        <v/>
      </c>
      <c r="AQ1073">
        <f>IF($AG1073="","",TRIM(IF(COUNTIFS(Calc!$B$2:$B$1601,ROW()-1,Calc!$C$2:$C$1601,"&lt;1")&gt;0,"Ada PO tanpa Koli - cek TMP. ","")&amp;IF(LEN($R1073)&gt;500,"R &gt; 500 karakter.","")))</f>
        <v/>
      </c>
    </row>
    <row r="1074">
      <c r="A1074">
        <f>IF($AG1074="","",INDEX('TMP Paste'!$B$2:$B$1601,$AG1074))</f>
        <v/>
      </c>
      <c r="B1074">
        <f>IF($AG1074="","",Config!$B$14)</f>
        <v/>
      </c>
      <c r="C1074">
        <f>IF($AG1074="","",Config!$B$15)</f>
        <v/>
      </c>
      <c r="D1074">
        <f>IF($AG1074="","",INDEX('TMP Paste'!$B$2:$B$1601,$AG1074))</f>
        <v/>
      </c>
      <c r="E1074">
        <f>IF($AG1074="","",Config!$B$27)</f>
        <v/>
      </c>
      <c r="F1074">
        <f>IF($AG1074="","",Config!$B$9)</f>
        <v/>
      </c>
      <c r="G1074">
        <f>IF($AG1074="","",Config!$B$10)</f>
        <v/>
      </c>
      <c r="H1074">
        <f>IF($AG1074="","",Config!$B$11)</f>
        <v/>
      </c>
      <c r="I1074">
        <f>IF($AG1074="","",Config!$B$16)</f>
        <v/>
      </c>
      <c r="J1074">
        <f>IF($AG1074="","",INDEX('TMP Paste'!$A$2:$A$1601,$AG1074))</f>
        <v/>
      </c>
      <c r="K1074">
        <f>IF($AG1074="","",INDEX('TMP Paste'!$L$2:$L$1601,$AG1074))</f>
        <v/>
      </c>
      <c r="L1074">
        <f>IF($AG1074="","",INDEX('TMP Paste'!$I$2:$I$1601,$AG1074))</f>
        <v/>
      </c>
      <c r="M1074">
        <f>IF($AG1074="","",Config!$B$16)</f>
        <v/>
      </c>
      <c r="N1074">
        <f>IF($AG1074="","","")</f>
        <v/>
      </c>
      <c r="O1074">
        <f>IF($AG1074="","",INDEX('TMP Paste'!$K$2:$K$1601,$AG1074))</f>
        <v/>
      </c>
      <c r="P1074">
        <f>IF($AG1074="","","")</f>
        <v/>
      </c>
      <c r="Q1074">
        <f>IF($AG1074="","",INDEX('TMP Paste'!$J$2:$J$1601,$AG1074))</f>
        <v/>
      </c>
      <c r="R1074">
        <f>IF($AG1074="","",Config!$B$24)</f>
        <v/>
      </c>
      <c r="S1074">
        <f>IF($AG1074="","",TEXT(Config!$B$4,"yyyy-mm-dd"))</f>
        <v/>
      </c>
      <c r="T1074">
        <f>IF($AG1074="","",Config!$B$17)</f>
        <v/>
      </c>
      <c r="U1074">
        <f>IF($AG1074="","",Config!$B$18)</f>
        <v/>
      </c>
      <c r="V1074">
        <f>IF($AG1074="","",Config!$B$19)</f>
        <v/>
      </c>
      <c r="W1074">
        <f>IF($AG1074="","",INDEX('TMP Paste'!$C$2:$C$1601,$AG1074))</f>
        <v/>
      </c>
      <c r="X1074">
        <f>IF($AG1074="","",Config!$B$29)</f>
        <v/>
      </c>
      <c r="Y1074">
        <f>IF($AH1074="","",INDEX(Calc!$I$2:$I$1601,$AH1074)&amp;" - "&amp;INDEX(Calc!$D$2:$D$1601,$AH1074)&amp;" koli")</f>
        <v/>
      </c>
      <c r="Z1074">
        <f>IF($AG1074="","",Config!$B$21)</f>
        <v/>
      </c>
      <c r="AA1074">
        <f>IF($AG1074="","",Config!$B$22)</f>
        <v/>
      </c>
      <c r="AB1074">
        <f>IF($AH1074="","",INDEX(Calc!$D$2:$D$1601,$AH1074))</f>
        <v/>
      </c>
      <c r="AC1074">
        <f>IF($AH1074="","",INDEX(Calc!$G$2:$G$1601,$AH1074))</f>
        <v/>
      </c>
      <c r="AD1074">
        <f>IF($AG1074="","",Config!$B$23)</f>
        <v/>
      </c>
      <c r="AE1074">
        <f>IF($AG1074="","",Config!$B$28)</f>
        <v/>
      </c>
      <c r="AG1074">
        <f>IFERROR(MATCH(ROW()-1,Calc!$J$2:$J$1601,0),"")</f>
        <v/>
      </c>
      <c r="AH1074">
        <f>IFERROR(MATCH(ROW()-1,Calc!$K$2:$K$1601,0),"")</f>
        <v/>
      </c>
      <c r="AI1074">
        <f>IF($AG1074="","",SUMIF($AG$2:$AG1074,$AG1074,$AH$2:$AH1074))</f>
        <v/>
      </c>
      <c r="AJ1074">
        <f>IF('TMP Paste'!$F1074="","",IF('TMP Paste'!$B1074="",$AJ1073,'TMP Paste'!$B1074))</f>
        <v/>
      </c>
      <c r="AK1074">
        <f>IF('TMP Paste'!$F1074="","",N('TMP Paste'!$G1074))</f>
        <v/>
      </c>
      <c r="AL1074">
        <f>IF('TMP Paste'!$F1074="","",IF('TMP Paste'!$M1074="",$AL1073,'TMP Paste'!$M1074))</f>
        <v/>
      </c>
      <c r="AM1074">
        <f>IF('TMP Paste'!$F1074="","",IF('TMP Paste'!$N1074="",$AM1073,'TMP Paste'!$N1074))</f>
        <v/>
      </c>
      <c r="AN1074">
        <f>IF('TMP Paste'!$F1074="","",IF('TMP Paste'!$O1074="",$AN1073,'TMP Paste'!$O1074))</f>
        <v/>
      </c>
      <c r="AO1074">
        <f>IF('TMP Paste'!$F1074="","",IF('TMP Paste'!$P1074="",$AO1073,'TMP Paste'!$P1074))</f>
        <v/>
      </c>
      <c r="AP1074">
        <f>IF($AG1074="","",LEN($R1074))</f>
        <v/>
      </c>
      <c r="AQ1074">
        <f>IF($AG1074="","",TRIM(IF(COUNTIFS(Calc!$B$2:$B$1601,ROW()-1,Calc!$C$2:$C$1601,"&lt;1")&gt;0,"Ada PO tanpa Koli - cek TMP. ","")&amp;IF(LEN($R1074)&gt;500,"R &gt; 500 karakter.","")))</f>
        <v/>
      </c>
    </row>
    <row r="1075">
      <c r="A1075">
        <f>IF($AG1075="","",INDEX('TMP Paste'!$B$2:$B$1601,$AG1075))</f>
        <v/>
      </c>
      <c r="B1075">
        <f>IF($AG1075="","",Config!$B$14)</f>
        <v/>
      </c>
      <c r="C1075">
        <f>IF($AG1075="","",Config!$B$15)</f>
        <v/>
      </c>
      <c r="D1075">
        <f>IF($AG1075="","",INDEX('TMP Paste'!$B$2:$B$1601,$AG1075))</f>
        <v/>
      </c>
      <c r="E1075">
        <f>IF($AG1075="","",Config!$B$27)</f>
        <v/>
      </c>
      <c r="F1075">
        <f>IF($AG1075="","",Config!$B$9)</f>
        <v/>
      </c>
      <c r="G1075">
        <f>IF($AG1075="","",Config!$B$10)</f>
        <v/>
      </c>
      <c r="H1075">
        <f>IF($AG1075="","",Config!$B$11)</f>
        <v/>
      </c>
      <c r="I1075">
        <f>IF($AG1075="","",Config!$B$16)</f>
        <v/>
      </c>
      <c r="J1075">
        <f>IF($AG1075="","",INDEX('TMP Paste'!$A$2:$A$1601,$AG1075))</f>
        <v/>
      </c>
      <c r="K1075">
        <f>IF($AG1075="","",INDEX('TMP Paste'!$L$2:$L$1601,$AG1075))</f>
        <v/>
      </c>
      <c r="L1075">
        <f>IF($AG1075="","",INDEX('TMP Paste'!$I$2:$I$1601,$AG1075))</f>
        <v/>
      </c>
      <c r="M1075">
        <f>IF($AG1075="","",Config!$B$16)</f>
        <v/>
      </c>
      <c r="N1075">
        <f>IF($AG1075="","","")</f>
        <v/>
      </c>
      <c r="O1075">
        <f>IF($AG1075="","",INDEX('TMP Paste'!$K$2:$K$1601,$AG1075))</f>
        <v/>
      </c>
      <c r="P1075">
        <f>IF($AG1075="","","")</f>
        <v/>
      </c>
      <c r="Q1075">
        <f>IF($AG1075="","",INDEX('TMP Paste'!$J$2:$J$1601,$AG1075))</f>
        <v/>
      </c>
      <c r="R1075">
        <f>IF($AG1075="","",Config!$B$24)</f>
        <v/>
      </c>
      <c r="S1075">
        <f>IF($AG1075="","",TEXT(Config!$B$4,"yyyy-mm-dd"))</f>
        <v/>
      </c>
      <c r="T1075">
        <f>IF($AG1075="","",Config!$B$17)</f>
        <v/>
      </c>
      <c r="U1075">
        <f>IF($AG1075="","",Config!$B$18)</f>
        <v/>
      </c>
      <c r="V1075">
        <f>IF($AG1075="","",Config!$B$19)</f>
        <v/>
      </c>
      <c r="W1075">
        <f>IF($AG1075="","",INDEX('TMP Paste'!$C$2:$C$1601,$AG1075))</f>
        <v/>
      </c>
      <c r="X1075">
        <f>IF($AG1075="","",Config!$B$29)</f>
        <v/>
      </c>
      <c r="Y1075">
        <f>IF($AH1075="","",INDEX(Calc!$I$2:$I$1601,$AH1075)&amp;" - "&amp;INDEX(Calc!$D$2:$D$1601,$AH1075)&amp;" koli")</f>
        <v/>
      </c>
      <c r="Z1075">
        <f>IF($AG1075="","",Config!$B$21)</f>
        <v/>
      </c>
      <c r="AA1075">
        <f>IF($AG1075="","",Config!$B$22)</f>
        <v/>
      </c>
      <c r="AB1075">
        <f>IF($AH1075="","",INDEX(Calc!$D$2:$D$1601,$AH1075))</f>
        <v/>
      </c>
      <c r="AC1075">
        <f>IF($AH1075="","",INDEX(Calc!$G$2:$G$1601,$AH1075))</f>
        <v/>
      </c>
      <c r="AD1075">
        <f>IF($AG1075="","",Config!$B$23)</f>
        <v/>
      </c>
      <c r="AE1075">
        <f>IF($AG1075="","",Config!$B$28)</f>
        <v/>
      </c>
      <c r="AG1075">
        <f>IFERROR(MATCH(ROW()-1,Calc!$J$2:$J$1601,0),"")</f>
        <v/>
      </c>
      <c r="AH1075">
        <f>IFERROR(MATCH(ROW()-1,Calc!$K$2:$K$1601,0),"")</f>
        <v/>
      </c>
      <c r="AI1075">
        <f>IF($AG1075="","",SUMIF($AG$2:$AG1075,$AG1075,$AH$2:$AH1075))</f>
        <v/>
      </c>
      <c r="AJ1075">
        <f>IF('TMP Paste'!$F1075="","",IF('TMP Paste'!$B1075="",$AJ1074,'TMP Paste'!$B1075))</f>
        <v/>
      </c>
      <c r="AK1075">
        <f>IF('TMP Paste'!$F1075="","",N('TMP Paste'!$G1075))</f>
        <v/>
      </c>
      <c r="AL1075">
        <f>IF('TMP Paste'!$F1075="","",IF('TMP Paste'!$M1075="",$AL1074,'TMP Paste'!$M1075))</f>
        <v/>
      </c>
      <c r="AM1075">
        <f>IF('TMP Paste'!$F1075="","",IF('TMP Paste'!$N1075="",$AM1074,'TMP Paste'!$N1075))</f>
        <v/>
      </c>
      <c r="AN1075">
        <f>IF('TMP Paste'!$F1075="","",IF('TMP Paste'!$O1075="",$AN1074,'TMP Paste'!$O1075))</f>
        <v/>
      </c>
      <c r="AO1075">
        <f>IF('TMP Paste'!$F1075="","",IF('TMP Paste'!$P1075="",$AO1074,'TMP Paste'!$P1075))</f>
        <v/>
      </c>
      <c r="AP1075">
        <f>IF($AG1075="","",LEN($R1075))</f>
        <v/>
      </c>
      <c r="AQ1075">
        <f>IF($AG1075="","",TRIM(IF(COUNTIFS(Calc!$B$2:$B$1601,ROW()-1,Calc!$C$2:$C$1601,"&lt;1")&gt;0,"Ada PO tanpa Koli - cek TMP. ","")&amp;IF(LEN($R1075)&gt;500,"R &gt; 500 karakter.","")))</f>
        <v/>
      </c>
    </row>
    <row r="1076">
      <c r="A1076">
        <f>IF($AG1076="","",INDEX('TMP Paste'!$B$2:$B$1601,$AG1076))</f>
        <v/>
      </c>
      <c r="B1076">
        <f>IF($AG1076="","",Config!$B$14)</f>
        <v/>
      </c>
      <c r="C1076">
        <f>IF($AG1076="","",Config!$B$15)</f>
        <v/>
      </c>
      <c r="D1076">
        <f>IF($AG1076="","",INDEX('TMP Paste'!$B$2:$B$1601,$AG1076))</f>
        <v/>
      </c>
      <c r="E1076">
        <f>IF($AG1076="","",Config!$B$27)</f>
        <v/>
      </c>
      <c r="F1076">
        <f>IF($AG1076="","",Config!$B$9)</f>
        <v/>
      </c>
      <c r="G1076">
        <f>IF($AG1076="","",Config!$B$10)</f>
        <v/>
      </c>
      <c r="H1076">
        <f>IF($AG1076="","",Config!$B$11)</f>
        <v/>
      </c>
      <c r="I1076">
        <f>IF($AG1076="","",Config!$B$16)</f>
        <v/>
      </c>
      <c r="J1076">
        <f>IF($AG1076="","",INDEX('TMP Paste'!$A$2:$A$1601,$AG1076))</f>
        <v/>
      </c>
      <c r="K1076">
        <f>IF($AG1076="","",INDEX('TMP Paste'!$L$2:$L$1601,$AG1076))</f>
        <v/>
      </c>
      <c r="L1076">
        <f>IF($AG1076="","",INDEX('TMP Paste'!$I$2:$I$1601,$AG1076))</f>
        <v/>
      </c>
      <c r="M1076">
        <f>IF($AG1076="","",Config!$B$16)</f>
        <v/>
      </c>
      <c r="N1076">
        <f>IF($AG1076="","","")</f>
        <v/>
      </c>
      <c r="O1076">
        <f>IF($AG1076="","",INDEX('TMP Paste'!$K$2:$K$1601,$AG1076))</f>
        <v/>
      </c>
      <c r="P1076">
        <f>IF($AG1076="","","")</f>
        <v/>
      </c>
      <c r="Q1076">
        <f>IF($AG1076="","",INDEX('TMP Paste'!$J$2:$J$1601,$AG1076))</f>
        <v/>
      </c>
      <c r="R1076">
        <f>IF($AG1076="","",Config!$B$24)</f>
        <v/>
      </c>
      <c r="S1076">
        <f>IF($AG1076="","",TEXT(Config!$B$4,"yyyy-mm-dd"))</f>
        <v/>
      </c>
      <c r="T1076">
        <f>IF($AG1076="","",Config!$B$17)</f>
        <v/>
      </c>
      <c r="U1076">
        <f>IF($AG1076="","",Config!$B$18)</f>
        <v/>
      </c>
      <c r="V1076">
        <f>IF($AG1076="","",Config!$B$19)</f>
        <v/>
      </c>
      <c r="W1076">
        <f>IF($AG1076="","",INDEX('TMP Paste'!$C$2:$C$1601,$AG1076))</f>
        <v/>
      </c>
      <c r="X1076">
        <f>IF($AG1076="","",Config!$B$29)</f>
        <v/>
      </c>
      <c r="Y1076">
        <f>IF($AH1076="","",INDEX(Calc!$I$2:$I$1601,$AH1076)&amp;" - "&amp;INDEX(Calc!$D$2:$D$1601,$AH1076)&amp;" koli")</f>
        <v/>
      </c>
      <c r="Z1076">
        <f>IF($AG1076="","",Config!$B$21)</f>
        <v/>
      </c>
      <c r="AA1076">
        <f>IF($AG1076="","",Config!$B$22)</f>
        <v/>
      </c>
      <c r="AB1076">
        <f>IF($AH1076="","",INDEX(Calc!$D$2:$D$1601,$AH1076))</f>
        <v/>
      </c>
      <c r="AC1076">
        <f>IF($AH1076="","",INDEX(Calc!$G$2:$G$1601,$AH1076))</f>
        <v/>
      </c>
      <c r="AD1076">
        <f>IF($AG1076="","",Config!$B$23)</f>
        <v/>
      </c>
      <c r="AE1076">
        <f>IF($AG1076="","",Config!$B$28)</f>
        <v/>
      </c>
      <c r="AG1076">
        <f>IFERROR(MATCH(ROW()-1,Calc!$J$2:$J$1601,0),"")</f>
        <v/>
      </c>
      <c r="AH1076">
        <f>IFERROR(MATCH(ROW()-1,Calc!$K$2:$K$1601,0),"")</f>
        <v/>
      </c>
      <c r="AI1076">
        <f>IF($AG1076="","",SUMIF($AG$2:$AG1076,$AG1076,$AH$2:$AH1076))</f>
        <v/>
      </c>
      <c r="AJ1076">
        <f>IF('TMP Paste'!$F1076="","",IF('TMP Paste'!$B1076="",$AJ1075,'TMP Paste'!$B1076))</f>
        <v/>
      </c>
      <c r="AK1076">
        <f>IF('TMP Paste'!$F1076="","",N('TMP Paste'!$G1076))</f>
        <v/>
      </c>
      <c r="AL1076">
        <f>IF('TMP Paste'!$F1076="","",IF('TMP Paste'!$M1076="",$AL1075,'TMP Paste'!$M1076))</f>
        <v/>
      </c>
      <c r="AM1076">
        <f>IF('TMP Paste'!$F1076="","",IF('TMP Paste'!$N1076="",$AM1075,'TMP Paste'!$N1076))</f>
        <v/>
      </c>
      <c r="AN1076">
        <f>IF('TMP Paste'!$F1076="","",IF('TMP Paste'!$O1076="",$AN1075,'TMP Paste'!$O1076))</f>
        <v/>
      </c>
      <c r="AO1076">
        <f>IF('TMP Paste'!$F1076="","",IF('TMP Paste'!$P1076="",$AO1075,'TMP Paste'!$P1076))</f>
        <v/>
      </c>
      <c r="AP1076">
        <f>IF($AG1076="","",LEN($R1076))</f>
        <v/>
      </c>
      <c r="AQ1076">
        <f>IF($AG1076="","",TRIM(IF(COUNTIFS(Calc!$B$2:$B$1601,ROW()-1,Calc!$C$2:$C$1601,"&lt;1")&gt;0,"Ada PO tanpa Koli - cek TMP. ","")&amp;IF(LEN($R1076)&gt;500,"R &gt; 500 karakter.","")))</f>
        <v/>
      </c>
    </row>
    <row r="1077">
      <c r="A1077">
        <f>IF($AG1077="","",INDEX('TMP Paste'!$B$2:$B$1601,$AG1077))</f>
        <v/>
      </c>
      <c r="B1077">
        <f>IF($AG1077="","",Config!$B$14)</f>
        <v/>
      </c>
      <c r="C1077">
        <f>IF($AG1077="","",Config!$B$15)</f>
        <v/>
      </c>
      <c r="D1077">
        <f>IF($AG1077="","",INDEX('TMP Paste'!$B$2:$B$1601,$AG1077))</f>
        <v/>
      </c>
      <c r="E1077">
        <f>IF($AG1077="","",Config!$B$27)</f>
        <v/>
      </c>
      <c r="F1077">
        <f>IF($AG1077="","",Config!$B$9)</f>
        <v/>
      </c>
      <c r="G1077">
        <f>IF($AG1077="","",Config!$B$10)</f>
        <v/>
      </c>
      <c r="H1077">
        <f>IF($AG1077="","",Config!$B$11)</f>
        <v/>
      </c>
      <c r="I1077">
        <f>IF($AG1077="","",Config!$B$16)</f>
        <v/>
      </c>
      <c r="J1077">
        <f>IF($AG1077="","",INDEX('TMP Paste'!$A$2:$A$1601,$AG1077))</f>
        <v/>
      </c>
      <c r="K1077">
        <f>IF($AG1077="","",INDEX('TMP Paste'!$L$2:$L$1601,$AG1077))</f>
        <v/>
      </c>
      <c r="L1077">
        <f>IF($AG1077="","",INDEX('TMP Paste'!$I$2:$I$1601,$AG1077))</f>
        <v/>
      </c>
      <c r="M1077">
        <f>IF($AG1077="","",Config!$B$16)</f>
        <v/>
      </c>
      <c r="N1077">
        <f>IF($AG1077="","","")</f>
        <v/>
      </c>
      <c r="O1077">
        <f>IF($AG1077="","",INDEX('TMP Paste'!$K$2:$K$1601,$AG1077))</f>
        <v/>
      </c>
      <c r="P1077">
        <f>IF($AG1077="","","")</f>
        <v/>
      </c>
      <c r="Q1077">
        <f>IF($AG1077="","",INDEX('TMP Paste'!$J$2:$J$1601,$AG1077))</f>
        <v/>
      </c>
      <c r="R1077">
        <f>IF($AG1077="","",Config!$B$24)</f>
        <v/>
      </c>
      <c r="S1077">
        <f>IF($AG1077="","",TEXT(Config!$B$4,"yyyy-mm-dd"))</f>
        <v/>
      </c>
      <c r="T1077">
        <f>IF($AG1077="","",Config!$B$17)</f>
        <v/>
      </c>
      <c r="U1077">
        <f>IF($AG1077="","",Config!$B$18)</f>
        <v/>
      </c>
      <c r="V1077">
        <f>IF($AG1077="","",Config!$B$19)</f>
        <v/>
      </c>
      <c r="W1077">
        <f>IF($AG1077="","",INDEX('TMP Paste'!$C$2:$C$1601,$AG1077))</f>
        <v/>
      </c>
      <c r="X1077">
        <f>IF($AG1077="","",Config!$B$29)</f>
        <v/>
      </c>
      <c r="Y1077">
        <f>IF($AH1077="","",INDEX(Calc!$I$2:$I$1601,$AH1077)&amp;" - "&amp;INDEX(Calc!$D$2:$D$1601,$AH1077)&amp;" koli")</f>
        <v/>
      </c>
      <c r="Z1077">
        <f>IF($AG1077="","",Config!$B$21)</f>
        <v/>
      </c>
      <c r="AA1077">
        <f>IF($AG1077="","",Config!$B$22)</f>
        <v/>
      </c>
      <c r="AB1077">
        <f>IF($AH1077="","",INDEX(Calc!$D$2:$D$1601,$AH1077))</f>
        <v/>
      </c>
      <c r="AC1077">
        <f>IF($AH1077="","",INDEX(Calc!$G$2:$G$1601,$AH1077))</f>
        <v/>
      </c>
      <c r="AD1077">
        <f>IF($AG1077="","",Config!$B$23)</f>
        <v/>
      </c>
      <c r="AE1077">
        <f>IF($AG1077="","",Config!$B$28)</f>
        <v/>
      </c>
      <c r="AG1077">
        <f>IFERROR(MATCH(ROW()-1,Calc!$J$2:$J$1601,0),"")</f>
        <v/>
      </c>
      <c r="AH1077">
        <f>IFERROR(MATCH(ROW()-1,Calc!$K$2:$K$1601,0),"")</f>
        <v/>
      </c>
      <c r="AI1077">
        <f>IF($AG1077="","",SUMIF($AG$2:$AG1077,$AG1077,$AH$2:$AH1077))</f>
        <v/>
      </c>
      <c r="AJ1077">
        <f>IF('TMP Paste'!$F1077="","",IF('TMP Paste'!$B1077="",$AJ1076,'TMP Paste'!$B1077))</f>
        <v/>
      </c>
      <c r="AK1077">
        <f>IF('TMP Paste'!$F1077="","",N('TMP Paste'!$G1077))</f>
        <v/>
      </c>
      <c r="AL1077">
        <f>IF('TMP Paste'!$F1077="","",IF('TMP Paste'!$M1077="",$AL1076,'TMP Paste'!$M1077))</f>
        <v/>
      </c>
      <c r="AM1077">
        <f>IF('TMP Paste'!$F1077="","",IF('TMP Paste'!$N1077="",$AM1076,'TMP Paste'!$N1077))</f>
        <v/>
      </c>
      <c r="AN1077">
        <f>IF('TMP Paste'!$F1077="","",IF('TMP Paste'!$O1077="",$AN1076,'TMP Paste'!$O1077))</f>
        <v/>
      </c>
      <c r="AO1077">
        <f>IF('TMP Paste'!$F1077="","",IF('TMP Paste'!$P1077="",$AO1076,'TMP Paste'!$P1077))</f>
        <v/>
      </c>
      <c r="AP1077">
        <f>IF($AG1077="","",LEN($R1077))</f>
        <v/>
      </c>
      <c r="AQ1077">
        <f>IF($AG1077="","",TRIM(IF(COUNTIFS(Calc!$B$2:$B$1601,ROW()-1,Calc!$C$2:$C$1601,"&lt;1")&gt;0,"Ada PO tanpa Koli - cek TMP. ","")&amp;IF(LEN($R1077)&gt;500,"R &gt; 500 karakter.","")))</f>
        <v/>
      </c>
    </row>
    <row r="1078">
      <c r="A1078">
        <f>IF($AG1078="","",INDEX('TMP Paste'!$B$2:$B$1601,$AG1078))</f>
        <v/>
      </c>
      <c r="B1078">
        <f>IF($AG1078="","",Config!$B$14)</f>
        <v/>
      </c>
      <c r="C1078">
        <f>IF($AG1078="","",Config!$B$15)</f>
        <v/>
      </c>
      <c r="D1078">
        <f>IF($AG1078="","",INDEX('TMP Paste'!$B$2:$B$1601,$AG1078))</f>
        <v/>
      </c>
      <c r="E1078">
        <f>IF($AG1078="","",Config!$B$27)</f>
        <v/>
      </c>
      <c r="F1078">
        <f>IF($AG1078="","",Config!$B$9)</f>
        <v/>
      </c>
      <c r="G1078">
        <f>IF($AG1078="","",Config!$B$10)</f>
        <v/>
      </c>
      <c r="H1078">
        <f>IF($AG1078="","",Config!$B$11)</f>
        <v/>
      </c>
      <c r="I1078">
        <f>IF($AG1078="","",Config!$B$16)</f>
        <v/>
      </c>
      <c r="J1078">
        <f>IF($AG1078="","",INDEX('TMP Paste'!$A$2:$A$1601,$AG1078))</f>
        <v/>
      </c>
      <c r="K1078">
        <f>IF($AG1078="","",INDEX('TMP Paste'!$L$2:$L$1601,$AG1078))</f>
        <v/>
      </c>
      <c r="L1078">
        <f>IF($AG1078="","",INDEX('TMP Paste'!$I$2:$I$1601,$AG1078))</f>
        <v/>
      </c>
      <c r="M1078">
        <f>IF($AG1078="","",Config!$B$16)</f>
        <v/>
      </c>
      <c r="N1078">
        <f>IF($AG1078="","","")</f>
        <v/>
      </c>
      <c r="O1078">
        <f>IF($AG1078="","",INDEX('TMP Paste'!$K$2:$K$1601,$AG1078))</f>
        <v/>
      </c>
      <c r="P1078">
        <f>IF($AG1078="","","")</f>
        <v/>
      </c>
      <c r="Q1078">
        <f>IF($AG1078="","",INDEX('TMP Paste'!$J$2:$J$1601,$AG1078))</f>
        <v/>
      </c>
      <c r="R1078">
        <f>IF($AG1078="","",Config!$B$24)</f>
        <v/>
      </c>
      <c r="S1078">
        <f>IF($AG1078="","",TEXT(Config!$B$4,"yyyy-mm-dd"))</f>
        <v/>
      </c>
      <c r="T1078">
        <f>IF($AG1078="","",Config!$B$17)</f>
        <v/>
      </c>
      <c r="U1078">
        <f>IF($AG1078="","",Config!$B$18)</f>
        <v/>
      </c>
      <c r="V1078">
        <f>IF($AG1078="","",Config!$B$19)</f>
        <v/>
      </c>
      <c r="W1078">
        <f>IF($AG1078="","",INDEX('TMP Paste'!$C$2:$C$1601,$AG1078))</f>
        <v/>
      </c>
      <c r="X1078">
        <f>IF($AG1078="","",Config!$B$29)</f>
        <v/>
      </c>
      <c r="Y1078">
        <f>IF($AH1078="","",INDEX(Calc!$I$2:$I$1601,$AH1078)&amp;" - "&amp;INDEX(Calc!$D$2:$D$1601,$AH1078)&amp;" koli")</f>
        <v/>
      </c>
      <c r="Z1078">
        <f>IF($AG1078="","",Config!$B$21)</f>
        <v/>
      </c>
      <c r="AA1078">
        <f>IF($AG1078="","",Config!$B$22)</f>
        <v/>
      </c>
      <c r="AB1078">
        <f>IF($AH1078="","",INDEX(Calc!$D$2:$D$1601,$AH1078))</f>
        <v/>
      </c>
      <c r="AC1078">
        <f>IF($AH1078="","",INDEX(Calc!$G$2:$G$1601,$AH1078))</f>
        <v/>
      </c>
      <c r="AD1078">
        <f>IF($AG1078="","",Config!$B$23)</f>
        <v/>
      </c>
      <c r="AE1078">
        <f>IF($AG1078="","",Config!$B$28)</f>
        <v/>
      </c>
      <c r="AG1078">
        <f>IFERROR(MATCH(ROW()-1,Calc!$J$2:$J$1601,0),"")</f>
        <v/>
      </c>
      <c r="AH1078">
        <f>IFERROR(MATCH(ROW()-1,Calc!$K$2:$K$1601,0),"")</f>
        <v/>
      </c>
      <c r="AI1078">
        <f>IF($AG1078="","",SUMIF($AG$2:$AG1078,$AG1078,$AH$2:$AH1078))</f>
        <v/>
      </c>
      <c r="AJ1078">
        <f>IF('TMP Paste'!$F1078="","",IF('TMP Paste'!$B1078="",$AJ1077,'TMP Paste'!$B1078))</f>
        <v/>
      </c>
      <c r="AK1078">
        <f>IF('TMP Paste'!$F1078="","",N('TMP Paste'!$G1078))</f>
        <v/>
      </c>
      <c r="AL1078">
        <f>IF('TMP Paste'!$F1078="","",IF('TMP Paste'!$M1078="",$AL1077,'TMP Paste'!$M1078))</f>
        <v/>
      </c>
      <c r="AM1078">
        <f>IF('TMP Paste'!$F1078="","",IF('TMP Paste'!$N1078="",$AM1077,'TMP Paste'!$N1078))</f>
        <v/>
      </c>
      <c r="AN1078">
        <f>IF('TMP Paste'!$F1078="","",IF('TMP Paste'!$O1078="",$AN1077,'TMP Paste'!$O1078))</f>
        <v/>
      </c>
      <c r="AO1078">
        <f>IF('TMP Paste'!$F1078="","",IF('TMP Paste'!$P1078="",$AO1077,'TMP Paste'!$P1078))</f>
        <v/>
      </c>
      <c r="AP1078">
        <f>IF($AG1078="","",LEN($R1078))</f>
        <v/>
      </c>
      <c r="AQ1078">
        <f>IF($AG1078="","",TRIM(IF(COUNTIFS(Calc!$B$2:$B$1601,ROW()-1,Calc!$C$2:$C$1601,"&lt;1")&gt;0,"Ada PO tanpa Koli - cek TMP. ","")&amp;IF(LEN($R1078)&gt;500,"R &gt; 500 karakter.","")))</f>
        <v/>
      </c>
    </row>
    <row r="1079">
      <c r="A1079">
        <f>IF($AG1079="","",INDEX('TMP Paste'!$B$2:$B$1601,$AG1079))</f>
        <v/>
      </c>
      <c r="B1079">
        <f>IF($AG1079="","",Config!$B$14)</f>
        <v/>
      </c>
      <c r="C1079">
        <f>IF($AG1079="","",Config!$B$15)</f>
        <v/>
      </c>
      <c r="D1079">
        <f>IF($AG1079="","",INDEX('TMP Paste'!$B$2:$B$1601,$AG1079))</f>
        <v/>
      </c>
      <c r="E1079">
        <f>IF($AG1079="","",Config!$B$27)</f>
        <v/>
      </c>
      <c r="F1079">
        <f>IF($AG1079="","",Config!$B$9)</f>
        <v/>
      </c>
      <c r="G1079">
        <f>IF($AG1079="","",Config!$B$10)</f>
        <v/>
      </c>
      <c r="H1079">
        <f>IF($AG1079="","",Config!$B$11)</f>
        <v/>
      </c>
      <c r="I1079">
        <f>IF($AG1079="","",Config!$B$16)</f>
        <v/>
      </c>
      <c r="J1079">
        <f>IF($AG1079="","",INDEX('TMP Paste'!$A$2:$A$1601,$AG1079))</f>
        <v/>
      </c>
      <c r="K1079">
        <f>IF($AG1079="","",INDEX('TMP Paste'!$L$2:$L$1601,$AG1079))</f>
        <v/>
      </c>
      <c r="L1079">
        <f>IF($AG1079="","",INDEX('TMP Paste'!$I$2:$I$1601,$AG1079))</f>
        <v/>
      </c>
      <c r="M1079">
        <f>IF($AG1079="","",Config!$B$16)</f>
        <v/>
      </c>
      <c r="N1079">
        <f>IF($AG1079="","","")</f>
        <v/>
      </c>
      <c r="O1079">
        <f>IF($AG1079="","",INDEX('TMP Paste'!$K$2:$K$1601,$AG1079))</f>
        <v/>
      </c>
      <c r="P1079">
        <f>IF($AG1079="","","")</f>
        <v/>
      </c>
      <c r="Q1079">
        <f>IF($AG1079="","",INDEX('TMP Paste'!$J$2:$J$1601,$AG1079))</f>
        <v/>
      </c>
      <c r="R1079">
        <f>IF($AG1079="","",Config!$B$24)</f>
        <v/>
      </c>
      <c r="S1079">
        <f>IF($AG1079="","",TEXT(Config!$B$4,"yyyy-mm-dd"))</f>
        <v/>
      </c>
      <c r="T1079">
        <f>IF($AG1079="","",Config!$B$17)</f>
        <v/>
      </c>
      <c r="U1079">
        <f>IF($AG1079="","",Config!$B$18)</f>
        <v/>
      </c>
      <c r="V1079">
        <f>IF($AG1079="","",Config!$B$19)</f>
        <v/>
      </c>
      <c r="W1079">
        <f>IF($AG1079="","",INDEX('TMP Paste'!$C$2:$C$1601,$AG1079))</f>
        <v/>
      </c>
      <c r="X1079">
        <f>IF($AG1079="","",Config!$B$29)</f>
        <v/>
      </c>
      <c r="Y1079">
        <f>IF($AH1079="","",INDEX(Calc!$I$2:$I$1601,$AH1079)&amp;" - "&amp;INDEX(Calc!$D$2:$D$1601,$AH1079)&amp;" koli")</f>
        <v/>
      </c>
      <c r="Z1079">
        <f>IF($AG1079="","",Config!$B$21)</f>
        <v/>
      </c>
      <c r="AA1079">
        <f>IF($AG1079="","",Config!$B$22)</f>
        <v/>
      </c>
      <c r="AB1079">
        <f>IF($AH1079="","",INDEX(Calc!$D$2:$D$1601,$AH1079))</f>
        <v/>
      </c>
      <c r="AC1079">
        <f>IF($AH1079="","",INDEX(Calc!$G$2:$G$1601,$AH1079))</f>
        <v/>
      </c>
      <c r="AD1079">
        <f>IF($AG1079="","",Config!$B$23)</f>
        <v/>
      </c>
      <c r="AE1079">
        <f>IF($AG1079="","",Config!$B$28)</f>
        <v/>
      </c>
      <c r="AG1079">
        <f>IFERROR(MATCH(ROW()-1,Calc!$J$2:$J$1601,0),"")</f>
        <v/>
      </c>
      <c r="AH1079">
        <f>IFERROR(MATCH(ROW()-1,Calc!$K$2:$K$1601,0),"")</f>
        <v/>
      </c>
      <c r="AI1079">
        <f>IF($AG1079="","",SUMIF($AG$2:$AG1079,$AG1079,$AH$2:$AH1079))</f>
        <v/>
      </c>
      <c r="AJ1079">
        <f>IF('TMP Paste'!$F1079="","",IF('TMP Paste'!$B1079="",$AJ1078,'TMP Paste'!$B1079))</f>
        <v/>
      </c>
      <c r="AK1079">
        <f>IF('TMP Paste'!$F1079="","",N('TMP Paste'!$G1079))</f>
        <v/>
      </c>
      <c r="AL1079">
        <f>IF('TMP Paste'!$F1079="","",IF('TMP Paste'!$M1079="",$AL1078,'TMP Paste'!$M1079))</f>
        <v/>
      </c>
      <c r="AM1079">
        <f>IF('TMP Paste'!$F1079="","",IF('TMP Paste'!$N1079="",$AM1078,'TMP Paste'!$N1079))</f>
        <v/>
      </c>
      <c r="AN1079">
        <f>IF('TMP Paste'!$F1079="","",IF('TMP Paste'!$O1079="",$AN1078,'TMP Paste'!$O1079))</f>
        <v/>
      </c>
      <c r="AO1079">
        <f>IF('TMP Paste'!$F1079="","",IF('TMP Paste'!$P1079="",$AO1078,'TMP Paste'!$P1079))</f>
        <v/>
      </c>
      <c r="AP1079">
        <f>IF($AG1079="","",LEN($R1079))</f>
        <v/>
      </c>
      <c r="AQ1079">
        <f>IF($AG1079="","",TRIM(IF(COUNTIFS(Calc!$B$2:$B$1601,ROW()-1,Calc!$C$2:$C$1601,"&lt;1")&gt;0,"Ada PO tanpa Koli - cek TMP. ","")&amp;IF(LEN($R1079)&gt;500,"R &gt; 500 karakter.","")))</f>
        <v/>
      </c>
    </row>
    <row r="1080">
      <c r="A1080">
        <f>IF($AG1080="","",INDEX('TMP Paste'!$B$2:$B$1601,$AG1080))</f>
        <v/>
      </c>
      <c r="B1080">
        <f>IF($AG1080="","",Config!$B$14)</f>
        <v/>
      </c>
      <c r="C1080">
        <f>IF($AG1080="","",Config!$B$15)</f>
        <v/>
      </c>
      <c r="D1080">
        <f>IF($AG1080="","",INDEX('TMP Paste'!$B$2:$B$1601,$AG1080))</f>
        <v/>
      </c>
      <c r="E1080">
        <f>IF($AG1080="","",Config!$B$27)</f>
        <v/>
      </c>
      <c r="F1080">
        <f>IF($AG1080="","",Config!$B$9)</f>
        <v/>
      </c>
      <c r="G1080">
        <f>IF($AG1080="","",Config!$B$10)</f>
        <v/>
      </c>
      <c r="H1080">
        <f>IF($AG1080="","",Config!$B$11)</f>
        <v/>
      </c>
      <c r="I1080">
        <f>IF($AG1080="","",Config!$B$16)</f>
        <v/>
      </c>
      <c r="J1080">
        <f>IF($AG1080="","",INDEX('TMP Paste'!$A$2:$A$1601,$AG1080))</f>
        <v/>
      </c>
      <c r="K1080">
        <f>IF($AG1080="","",INDEX('TMP Paste'!$L$2:$L$1601,$AG1080))</f>
        <v/>
      </c>
      <c r="L1080">
        <f>IF($AG1080="","",INDEX('TMP Paste'!$I$2:$I$1601,$AG1080))</f>
        <v/>
      </c>
      <c r="M1080">
        <f>IF($AG1080="","",Config!$B$16)</f>
        <v/>
      </c>
      <c r="N1080">
        <f>IF($AG1080="","","")</f>
        <v/>
      </c>
      <c r="O1080">
        <f>IF($AG1080="","",INDEX('TMP Paste'!$K$2:$K$1601,$AG1080))</f>
        <v/>
      </c>
      <c r="P1080">
        <f>IF($AG1080="","","")</f>
        <v/>
      </c>
      <c r="Q1080">
        <f>IF($AG1080="","",INDEX('TMP Paste'!$J$2:$J$1601,$AG1080))</f>
        <v/>
      </c>
      <c r="R1080">
        <f>IF($AG1080="","",Config!$B$24)</f>
        <v/>
      </c>
      <c r="S1080">
        <f>IF($AG1080="","",TEXT(Config!$B$4,"yyyy-mm-dd"))</f>
        <v/>
      </c>
      <c r="T1080">
        <f>IF($AG1080="","",Config!$B$17)</f>
        <v/>
      </c>
      <c r="U1080">
        <f>IF($AG1080="","",Config!$B$18)</f>
        <v/>
      </c>
      <c r="V1080">
        <f>IF($AG1080="","",Config!$B$19)</f>
        <v/>
      </c>
      <c r="W1080">
        <f>IF($AG1080="","",INDEX('TMP Paste'!$C$2:$C$1601,$AG1080))</f>
        <v/>
      </c>
      <c r="X1080">
        <f>IF($AG1080="","",Config!$B$29)</f>
        <v/>
      </c>
      <c r="Y1080">
        <f>IF($AH1080="","",INDEX(Calc!$I$2:$I$1601,$AH1080)&amp;" - "&amp;INDEX(Calc!$D$2:$D$1601,$AH1080)&amp;" koli")</f>
        <v/>
      </c>
      <c r="Z1080">
        <f>IF($AG1080="","",Config!$B$21)</f>
        <v/>
      </c>
      <c r="AA1080">
        <f>IF($AG1080="","",Config!$B$22)</f>
        <v/>
      </c>
      <c r="AB1080">
        <f>IF($AH1080="","",INDEX(Calc!$D$2:$D$1601,$AH1080))</f>
        <v/>
      </c>
      <c r="AC1080">
        <f>IF($AH1080="","",INDEX(Calc!$G$2:$G$1601,$AH1080))</f>
        <v/>
      </c>
      <c r="AD1080">
        <f>IF($AG1080="","",Config!$B$23)</f>
        <v/>
      </c>
      <c r="AE1080">
        <f>IF($AG1080="","",Config!$B$28)</f>
        <v/>
      </c>
      <c r="AG1080">
        <f>IFERROR(MATCH(ROW()-1,Calc!$J$2:$J$1601,0),"")</f>
        <v/>
      </c>
      <c r="AH1080">
        <f>IFERROR(MATCH(ROW()-1,Calc!$K$2:$K$1601,0),"")</f>
        <v/>
      </c>
      <c r="AI1080">
        <f>IF($AG1080="","",SUMIF($AG$2:$AG1080,$AG1080,$AH$2:$AH1080))</f>
        <v/>
      </c>
      <c r="AJ1080">
        <f>IF('TMP Paste'!$F1080="","",IF('TMP Paste'!$B1080="",$AJ1079,'TMP Paste'!$B1080))</f>
        <v/>
      </c>
      <c r="AK1080">
        <f>IF('TMP Paste'!$F1080="","",N('TMP Paste'!$G1080))</f>
        <v/>
      </c>
      <c r="AL1080">
        <f>IF('TMP Paste'!$F1080="","",IF('TMP Paste'!$M1080="",$AL1079,'TMP Paste'!$M1080))</f>
        <v/>
      </c>
      <c r="AM1080">
        <f>IF('TMP Paste'!$F1080="","",IF('TMP Paste'!$N1080="",$AM1079,'TMP Paste'!$N1080))</f>
        <v/>
      </c>
      <c r="AN1080">
        <f>IF('TMP Paste'!$F1080="","",IF('TMP Paste'!$O1080="",$AN1079,'TMP Paste'!$O1080))</f>
        <v/>
      </c>
      <c r="AO1080">
        <f>IF('TMP Paste'!$F1080="","",IF('TMP Paste'!$P1080="",$AO1079,'TMP Paste'!$P1080))</f>
        <v/>
      </c>
      <c r="AP1080">
        <f>IF($AG1080="","",LEN($R1080))</f>
        <v/>
      </c>
      <c r="AQ1080">
        <f>IF($AG1080="","",TRIM(IF(COUNTIFS(Calc!$B$2:$B$1601,ROW()-1,Calc!$C$2:$C$1601,"&lt;1")&gt;0,"Ada PO tanpa Koli - cek TMP. ","")&amp;IF(LEN($R1080)&gt;500,"R &gt; 500 karakter.","")))</f>
        <v/>
      </c>
    </row>
    <row r="1081">
      <c r="A1081">
        <f>IF($AG1081="","",INDEX('TMP Paste'!$B$2:$B$1601,$AG1081))</f>
        <v/>
      </c>
      <c r="B1081">
        <f>IF($AG1081="","",Config!$B$14)</f>
        <v/>
      </c>
      <c r="C1081">
        <f>IF($AG1081="","",Config!$B$15)</f>
        <v/>
      </c>
      <c r="D1081">
        <f>IF($AG1081="","",INDEX('TMP Paste'!$B$2:$B$1601,$AG1081))</f>
        <v/>
      </c>
      <c r="E1081">
        <f>IF($AG1081="","",Config!$B$27)</f>
        <v/>
      </c>
      <c r="F1081">
        <f>IF($AG1081="","",Config!$B$9)</f>
        <v/>
      </c>
      <c r="G1081">
        <f>IF($AG1081="","",Config!$B$10)</f>
        <v/>
      </c>
      <c r="H1081">
        <f>IF($AG1081="","",Config!$B$11)</f>
        <v/>
      </c>
      <c r="I1081">
        <f>IF($AG1081="","",Config!$B$16)</f>
        <v/>
      </c>
      <c r="J1081">
        <f>IF($AG1081="","",INDEX('TMP Paste'!$A$2:$A$1601,$AG1081))</f>
        <v/>
      </c>
      <c r="K1081">
        <f>IF($AG1081="","",INDEX('TMP Paste'!$L$2:$L$1601,$AG1081))</f>
        <v/>
      </c>
      <c r="L1081">
        <f>IF($AG1081="","",INDEX('TMP Paste'!$I$2:$I$1601,$AG1081))</f>
        <v/>
      </c>
      <c r="M1081">
        <f>IF($AG1081="","",Config!$B$16)</f>
        <v/>
      </c>
      <c r="N1081">
        <f>IF($AG1081="","","")</f>
        <v/>
      </c>
      <c r="O1081">
        <f>IF($AG1081="","",INDEX('TMP Paste'!$K$2:$K$1601,$AG1081))</f>
        <v/>
      </c>
      <c r="P1081">
        <f>IF($AG1081="","","")</f>
        <v/>
      </c>
      <c r="Q1081">
        <f>IF($AG1081="","",INDEX('TMP Paste'!$J$2:$J$1601,$AG1081))</f>
        <v/>
      </c>
      <c r="R1081">
        <f>IF($AG1081="","",Config!$B$24)</f>
        <v/>
      </c>
      <c r="S1081">
        <f>IF($AG1081="","",TEXT(Config!$B$4,"yyyy-mm-dd"))</f>
        <v/>
      </c>
      <c r="T1081">
        <f>IF($AG1081="","",Config!$B$17)</f>
        <v/>
      </c>
      <c r="U1081">
        <f>IF($AG1081="","",Config!$B$18)</f>
        <v/>
      </c>
      <c r="V1081">
        <f>IF($AG1081="","",Config!$B$19)</f>
        <v/>
      </c>
      <c r="W1081">
        <f>IF($AG1081="","",INDEX('TMP Paste'!$C$2:$C$1601,$AG1081))</f>
        <v/>
      </c>
      <c r="X1081">
        <f>IF($AG1081="","",Config!$B$29)</f>
        <v/>
      </c>
      <c r="Y1081">
        <f>IF($AH1081="","",INDEX(Calc!$I$2:$I$1601,$AH1081)&amp;" - "&amp;INDEX(Calc!$D$2:$D$1601,$AH1081)&amp;" koli")</f>
        <v/>
      </c>
      <c r="Z1081">
        <f>IF($AG1081="","",Config!$B$21)</f>
        <v/>
      </c>
      <c r="AA1081">
        <f>IF($AG1081="","",Config!$B$22)</f>
        <v/>
      </c>
      <c r="AB1081">
        <f>IF($AH1081="","",INDEX(Calc!$D$2:$D$1601,$AH1081))</f>
        <v/>
      </c>
      <c r="AC1081">
        <f>IF($AH1081="","",INDEX(Calc!$G$2:$G$1601,$AH1081))</f>
        <v/>
      </c>
      <c r="AD1081">
        <f>IF($AG1081="","",Config!$B$23)</f>
        <v/>
      </c>
      <c r="AE1081">
        <f>IF($AG1081="","",Config!$B$28)</f>
        <v/>
      </c>
      <c r="AG1081">
        <f>IFERROR(MATCH(ROW()-1,Calc!$J$2:$J$1601,0),"")</f>
        <v/>
      </c>
      <c r="AH1081">
        <f>IFERROR(MATCH(ROW()-1,Calc!$K$2:$K$1601,0),"")</f>
        <v/>
      </c>
      <c r="AI1081">
        <f>IF($AG1081="","",SUMIF($AG$2:$AG1081,$AG1081,$AH$2:$AH1081))</f>
        <v/>
      </c>
      <c r="AJ1081">
        <f>IF('TMP Paste'!$F1081="","",IF('TMP Paste'!$B1081="",$AJ1080,'TMP Paste'!$B1081))</f>
        <v/>
      </c>
      <c r="AK1081">
        <f>IF('TMP Paste'!$F1081="","",N('TMP Paste'!$G1081))</f>
        <v/>
      </c>
      <c r="AL1081">
        <f>IF('TMP Paste'!$F1081="","",IF('TMP Paste'!$M1081="",$AL1080,'TMP Paste'!$M1081))</f>
        <v/>
      </c>
      <c r="AM1081">
        <f>IF('TMP Paste'!$F1081="","",IF('TMP Paste'!$N1081="",$AM1080,'TMP Paste'!$N1081))</f>
        <v/>
      </c>
      <c r="AN1081">
        <f>IF('TMP Paste'!$F1081="","",IF('TMP Paste'!$O1081="",$AN1080,'TMP Paste'!$O1081))</f>
        <v/>
      </c>
      <c r="AO1081">
        <f>IF('TMP Paste'!$F1081="","",IF('TMP Paste'!$P1081="",$AO1080,'TMP Paste'!$P1081))</f>
        <v/>
      </c>
      <c r="AP1081">
        <f>IF($AG1081="","",LEN($R1081))</f>
        <v/>
      </c>
      <c r="AQ1081">
        <f>IF($AG1081="","",TRIM(IF(COUNTIFS(Calc!$B$2:$B$1601,ROW()-1,Calc!$C$2:$C$1601,"&lt;1")&gt;0,"Ada PO tanpa Koli - cek TMP. ","")&amp;IF(LEN($R1081)&gt;500,"R &gt; 500 karakter.","")))</f>
        <v/>
      </c>
    </row>
    <row r="1082">
      <c r="A1082">
        <f>IF($AG1082="","",INDEX('TMP Paste'!$B$2:$B$1601,$AG1082))</f>
        <v/>
      </c>
      <c r="B1082">
        <f>IF($AG1082="","",Config!$B$14)</f>
        <v/>
      </c>
      <c r="C1082">
        <f>IF($AG1082="","",Config!$B$15)</f>
        <v/>
      </c>
      <c r="D1082">
        <f>IF($AG1082="","",INDEX('TMP Paste'!$B$2:$B$1601,$AG1082))</f>
        <v/>
      </c>
      <c r="E1082">
        <f>IF($AG1082="","",Config!$B$27)</f>
        <v/>
      </c>
      <c r="F1082">
        <f>IF($AG1082="","",Config!$B$9)</f>
        <v/>
      </c>
      <c r="G1082">
        <f>IF($AG1082="","",Config!$B$10)</f>
        <v/>
      </c>
      <c r="H1082">
        <f>IF($AG1082="","",Config!$B$11)</f>
        <v/>
      </c>
      <c r="I1082">
        <f>IF($AG1082="","",Config!$B$16)</f>
        <v/>
      </c>
      <c r="J1082">
        <f>IF($AG1082="","",INDEX('TMP Paste'!$A$2:$A$1601,$AG1082))</f>
        <v/>
      </c>
      <c r="K1082">
        <f>IF($AG1082="","",INDEX('TMP Paste'!$L$2:$L$1601,$AG1082))</f>
        <v/>
      </c>
      <c r="L1082">
        <f>IF($AG1082="","",INDEX('TMP Paste'!$I$2:$I$1601,$AG1082))</f>
        <v/>
      </c>
      <c r="M1082">
        <f>IF($AG1082="","",Config!$B$16)</f>
        <v/>
      </c>
      <c r="N1082">
        <f>IF($AG1082="","","")</f>
        <v/>
      </c>
      <c r="O1082">
        <f>IF($AG1082="","",INDEX('TMP Paste'!$K$2:$K$1601,$AG1082))</f>
        <v/>
      </c>
      <c r="P1082">
        <f>IF($AG1082="","","")</f>
        <v/>
      </c>
      <c r="Q1082">
        <f>IF($AG1082="","",INDEX('TMP Paste'!$J$2:$J$1601,$AG1082))</f>
        <v/>
      </c>
      <c r="R1082">
        <f>IF($AG1082="","",Config!$B$24)</f>
        <v/>
      </c>
      <c r="S1082">
        <f>IF($AG1082="","",TEXT(Config!$B$4,"yyyy-mm-dd"))</f>
        <v/>
      </c>
      <c r="T1082">
        <f>IF($AG1082="","",Config!$B$17)</f>
        <v/>
      </c>
      <c r="U1082">
        <f>IF($AG1082="","",Config!$B$18)</f>
        <v/>
      </c>
      <c r="V1082">
        <f>IF($AG1082="","",Config!$B$19)</f>
        <v/>
      </c>
      <c r="W1082">
        <f>IF($AG1082="","",INDEX('TMP Paste'!$C$2:$C$1601,$AG1082))</f>
        <v/>
      </c>
      <c r="X1082">
        <f>IF($AG1082="","",Config!$B$29)</f>
        <v/>
      </c>
      <c r="Y1082">
        <f>IF($AH1082="","",INDEX(Calc!$I$2:$I$1601,$AH1082)&amp;" - "&amp;INDEX(Calc!$D$2:$D$1601,$AH1082)&amp;" koli")</f>
        <v/>
      </c>
      <c r="Z1082">
        <f>IF($AG1082="","",Config!$B$21)</f>
        <v/>
      </c>
      <c r="AA1082">
        <f>IF($AG1082="","",Config!$B$22)</f>
        <v/>
      </c>
      <c r="AB1082">
        <f>IF($AH1082="","",INDEX(Calc!$D$2:$D$1601,$AH1082))</f>
        <v/>
      </c>
      <c r="AC1082">
        <f>IF($AH1082="","",INDEX(Calc!$G$2:$G$1601,$AH1082))</f>
        <v/>
      </c>
      <c r="AD1082">
        <f>IF($AG1082="","",Config!$B$23)</f>
        <v/>
      </c>
      <c r="AE1082">
        <f>IF($AG1082="","",Config!$B$28)</f>
        <v/>
      </c>
      <c r="AG1082">
        <f>IFERROR(MATCH(ROW()-1,Calc!$J$2:$J$1601,0),"")</f>
        <v/>
      </c>
      <c r="AH1082">
        <f>IFERROR(MATCH(ROW()-1,Calc!$K$2:$K$1601,0),"")</f>
        <v/>
      </c>
      <c r="AI1082">
        <f>IF($AG1082="","",SUMIF($AG$2:$AG1082,$AG1082,$AH$2:$AH1082))</f>
        <v/>
      </c>
      <c r="AJ1082">
        <f>IF('TMP Paste'!$F1082="","",IF('TMP Paste'!$B1082="",$AJ1081,'TMP Paste'!$B1082))</f>
        <v/>
      </c>
      <c r="AK1082">
        <f>IF('TMP Paste'!$F1082="","",N('TMP Paste'!$G1082))</f>
        <v/>
      </c>
      <c r="AL1082">
        <f>IF('TMP Paste'!$F1082="","",IF('TMP Paste'!$M1082="",$AL1081,'TMP Paste'!$M1082))</f>
        <v/>
      </c>
      <c r="AM1082">
        <f>IF('TMP Paste'!$F1082="","",IF('TMP Paste'!$N1082="",$AM1081,'TMP Paste'!$N1082))</f>
        <v/>
      </c>
      <c r="AN1082">
        <f>IF('TMP Paste'!$F1082="","",IF('TMP Paste'!$O1082="",$AN1081,'TMP Paste'!$O1082))</f>
        <v/>
      </c>
      <c r="AO1082">
        <f>IF('TMP Paste'!$F1082="","",IF('TMP Paste'!$P1082="",$AO1081,'TMP Paste'!$P1082))</f>
        <v/>
      </c>
      <c r="AP1082">
        <f>IF($AG1082="","",LEN($R1082))</f>
        <v/>
      </c>
      <c r="AQ1082">
        <f>IF($AG1082="","",TRIM(IF(COUNTIFS(Calc!$B$2:$B$1601,ROW()-1,Calc!$C$2:$C$1601,"&lt;1")&gt;0,"Ada PO tanpa Koli - cek TMP. ","")&amp;IF(LEN($R1082)&gt;500,"R &gt; 500 karakter.","")))</f>
        <v/>
      </c>
    </row>
    <row r="1083">
      <c r="A1083">
        <f>IF($AG1083="","",INDEX('TMP Paste'!$B$2:$B$1601,$AG1083))</f>
        <v/>
      </c>
      <c r="B1083">
        <f>IF($AG1083="","",Config!$B$14)</f>
        <v/>
      </c>
      <c r="C1083">
        <f>IF($AG1083="","",Config!$B$15)</f>
        <v/>
      </c>
      <c r="D1083">
        <f>IF($AG1083="","",INDEX('TMP Paste'!$B$2:$B$1601,$AG1083))</f>
        <v/>
      </c>
      <c r="E1083">
        <f>IF($AG1083="","",Config!$B$27)</f>
        <v/>
      </c>
      <c r="F1083">
        <f>IF($AG1083="","",Config!$B$9)</f>
        <v/>
      </c>
      <c r="G1083">
        <f>IF($AG1083="","",Config!$B$10)</f>
        <v/>
      </c>
      <c r="H1083">
        <f>IF($AG1083="","",Config!$B$11)</f>
        <v/>
      </c>
      <c r="I1083">
        <f>IF($AG1083="","",Config!$B$16)</f>
        <v/>
      </c>
      <c r="J1083">
        <f>IF($AG1083="","",INDEX('TMP Paste'!$A$2:$A$1601,$AG1083))</f>
        <v/>
      </c>
      <c r="K1083">
        <f>IF($AG1083="","",INDEX('TMP Paste'!$L$2:$L$1601,$AG1083))</f>
        <v/>
      </c>
      <c r="L1083">
        <f>IF($AG1083="","",INDEX('TMP Paste'!$I$2:$I$1601,$AG1083))</f>
        <v/>
      </c>
      <c r="M1083">
        <f>IF($AG1083="","",Config!$B$16)</f>
        <v/>
      </c>
      <c r="N1083">
        <f>IF($AG1083="","","")</f>
        <v/>
      </c>
      <c r="O1083">
        <f>IF($AG1083="","",INDEX('TMP Paste'!$K$2:$K$1601,$AG1083))</f>
        <v/>
      </c>
      <c r="P1083">
        <f>IF($AG1083="","","")</f>
        <v/>
      </c>
      <c r="Q1083">
        <f>IF($AG1083="","",INDEX('TMP Paste'!$J$2:$J$1601,$AG1083))</f>
        <v/>
      </c>
      <c r="R1083">
        <f>IF($AG1083="","",Config!$B$24)</f>
        <v/>
      </c>
      <c r="S1083">
        <f>IF($AG1083="","",TEXT(Config!$B$4,"yyyy-mm-dd"))</f>
        <v/>
      </c>
      <c r="T1083">
        <f>IF($AG1083="","",Config!$B$17)</f>
        <v/>
      </c>
      <c r="U1083">
        <f>IF($AG1083="","",Config!$B$18)</f>
        <v/>
      </c>
      <c r="V1083">
        <f>IF($AG1083="","",Config!$B$19)</f>
        <v/>
      </c>
      <c r="W1083">
        <f>IF($AG1083="","",INDEX('TMP Paste'!$C$2:$C$1601,$AG1083))</f>
        <v/>
      </c>
      <c r="X1083">
        <f>IF($AG1083="","",Config!$B$29)</f>
        <v/>
      </c>
      <c r="Y1083">
        <f>IF($AH1083="","",INDEX(Calc!$I$2:$I$1601,$AH1083)&amp;" - "&amp;INDEX(Calc!$D$2:$D$1601,$AH1083)&amp;" koli")</f>
        <v/>
      </c>
      <c r="Z1083">
        <f>IF($AG1083="","",Config!$B$21)</f>
        <v/>
      </c>
      <c r="AA1083">
        <f>IF($AG1083="","",Config!$B$22)</f>
        <v/>
      </c>
      <c r="AB1083">
        <f>IF($AH1083="","",INDEX(Calc!$D$2:$D$1601,$AH1083))</f>
        <v/>
      </c>
      <c r="AC1083">
        <f>IF($AH1083="","",INDEX(Calc!$G$2:$G$1601,$AH1083))</f>
        <v/>
      </c>
      <c r="AD1083">
        <f>IF($AG1083="","",Config!$B$23)</f>
        <v/>
      </c>
      <c r="AE1083">
        <f>IF($AG1083="","",Config!$B$28)</f>
        <v/>
      </c>
      <c r="AG1083">
        <f>IFERROR(MATCH(ROW()-1,Calc!$J$2:$J$1601,0),"")</f>
        <v/>
      </c>
      <c r="AH1083">
        <f>IFERROR(MATCH(ROW()-1,Calc!$K$2:$K$1601,0),"")</f>
        <v/>
      </c>
      <c r="AI1083">
        <f>IF($AG1083="","",SUMIF($AG$2:$AG1083,$AG1083,$AH$2:$AH1083))</f>
        <v/>
      </c>
      <c r="AJ1083">
        <f>IF('TMP Paste'!$F1083="","",IF('TMP Paste'!$B1083="",$AJ1082,'TMP Paste'!$B1083))</f>
        <v/>
      </c>
      <c r="AK1083">
        <f>IF('TMP Paste'!$F1083="","",N('TMP Paste'!$G1083))</f>
        <v/>
      </c>
      <c r="AL1083">
        <f>IF('TMP Paste'!$F1083="","",IF('TMP Paste'!$M1083="",$AL1082,'TMP Paste'!$M1083))</f>
        <v/>
      </c>
      <c r="AM1083">
        <f>IF('TMP Paste'!$F1083="","",IF('TMP Paste'!$N1083="",$AM1082,'TMP Paste'!$N1083))</f>
        <v/>
      </c>
      <c r="AN1083">
        <f>IF('TMP Paste'!$F1083="","",IF('TMP Paste'!$O1083="",$AN1082,'TMP Paste'!$O1083))</f>
        <v/>
      </c>
      <c r="AO1083">
        <f>IF('TMP Paste'!$F1083="","",IF('TMP Paste'!$P1083="",$AO1082,'TMP Paste'!$P1083))</f>
        <v/>
      </c>
      <c r="AP1083">
        <f>IF($AG1083="","",LEN($R1083))</f>
        <v/>
      </c>
      <c r="AQ1083">
        <f>IF($AG1083="","",TRIM(IF(COUNTIFS(Calc!$B$2:$B$1601,ROW()-1,Calc!$C$2:$C$1601,"&lt;1")&gt;0,"Ada PO tanpa Koli - cek TMP. ","")&amp;IF(LEN($R1083)&gt;500,"R &gt; 500 karakter.","")))</f>
        <v/>
      </c>
    </row>
    <row r="1084">
      <c r="A1084">
        <f>IF($AG1084="","",INDEX('TMP Paste'!$B$2:$B$1601,$AG1084))</f>
        <v/>
      </c>
      <c r="B1084">
        <f>IF($AG1084="","",Config!$B$14)</f>
        <v/>
      </c>
      <c r="C1084">
        <f>IF($AG1084="","",Config!$B$15)</f>
        <v/>
      </c>
      <c r="D1084">
        <f>IF($AG1084="","",INDEX('TMP Paste'!$B$2:$B$1601,$AG1084))</f>
        <v/>
      </c>
      <c r="E1084">
        <f>IF($AG1084="","",Config!$B$27)</f>
        <v/>
      </c>
      <c r="F1084">
        <f>IF($AG1084="","",Config!$B$9)</f>
        <v/>
      </c>
      <c r="G1084">
        <f>IF($AG1084="","",Config!$B$10)</f>
        <v/>
      </c>
      <c r="H1084">
        <f>IF($AG1084="","",Config!$B$11)</f>
        <v/>
      </c>
      <c r="I1084">
        <f>IF($AG1084="","",Config!$B$16)</f>
        <v/>
      </c>
      <c r="J1084">
        <f>IF($AG1084="","",INDEX('TMP Paste'!$A$2:$A$1601,$AG1084))</f>
        <v/>
      </c>
      <c r="K1084">
        <f>IF($AG1084="","",INDEX('TMP Paste'!$L$2:$L$1601,$AG1084))</f>
        <v/>
      </c>
      <c r="L1084">
        <f>IF($AG1084="","",INDEX('TMP Paste'!$I$2:$I$1601,$AG1084))</f>
        <v/>
      </c>
      <c r="M1084">
        <f>IF($AG1084="","",Config!$B$16)</f>
        <v/>
      </c>
      <c r="N1084">
        <f>IF($AG1084="","","")</f>
        <v/>
      </c>
      <c r="O1084">
        <f>IF($AG1084="","",INDEX('TMP Paste'!$K$2:$K$1601,$AG1084))</f>
        <v/>
      </c>
      <c r="P1084">
        <f>IF($AG1084="","","")</f>
        <v/>
      </c>
      <c r="Q1084">
        <f>IF($AG1084="","",INDEX('TMP Paste'!$J$2:$J$1601,$AG1084))</f>
        <v/>
      </c>
      <c r="R1084">
        <f>IF($AG1084="","",Config!$B$24)</f>
        <v/>
      </c>
      <c r="S1084">
        <f>IF($AG1084="","",TEXT(Config!$B$4,"yyyy-mm-dd"))</f>
        <v/>
      </c>
      <c r="T1084">
        <f>IF($AG1084="","",Config!$B$17)</f>
        <v/>
      </c>
      <c r="U1084">
        <f>IF($AG1084="","",Config!$B$18)</f>
        <v/>
      </c>
      <c r="V1084">
        <f>IF($AG1084="","",Config!$B$19)</f>
        <v/>
      </c>
      <c r="W1084">
        <f>IF($AG1084="","",INDEX('TMP Paste'!$C$2:$C$1601,$AG1084))</f>
        <v/>
      </c>
      <c r="X1084">
        <f>IF($AG1084="","",Config!$B$29)</f>
        <v/>
      </c>
      <c r="Y1084">
        <f>IF($AH1084="","",INDEX(Calc!$I$2:$I$1601,$AH1084)&amp;" - "&amp;INDEX(Calc!$D$2:$D$1601,$AH1084)&amp;" koli")</f>
        <v/>
      </c>
      <c r="Z1084">
        <f>IF($AG1084="","",Config!$B$21)</f>
        <v/>
      </c>
      <c r="AA1084">
        <f>IF($AG1084="","",Config!$B$22)</f>
        <v/>
      </c>
      <c r="AB1084">
        <f>IF($AH1084="","",INDEX(Calc!$D$2:$D$1601,$AH1084))</f>
        <v/>
      </c>
      <c r="AC1084">
        <f>IF($AH1084="","",INDEX(Calc!$G$2:$G$1601,$AH1084))</f>
        <v/>
      </c>
      <c r="AD1084">
        <f>IF($AG1084="","",Config!$B$23)</f>
        <v/>
      </c>
      <c r="AE1084">
        <f>IF($AG1084="","",Config!$B$28)</f>
        <v/>
      </c>
      <c r="AG1084">
        <f>IFERROR(MATCH(ROW()-1,Calc!$J$2:$J$1601,0),"")</f>
        <v/>
      </c>
      <c r="AH1084">
        <f>IFERROR(MATCH(ROW()-1,Calc!$K$2:$K$1601,0),"")</f>
        <v/>
      </c>
      <c r="AI1084">
        <f>IF($AG1084="","",SUMIF($AG$2:$AG1084,$AG1084,$AH$2:$AH1084))</f>
        <v/>
      </c>
      <c r="AJ1084">
        <f>IF('TMP Paste'!$F1084="","",IF('TMP Paste'!$B1084="",$AJ1083,'TMP Paste'!$B1084))</f>
        <v/>
      </c>
      <c r="AK1084">
        <f>IF('TMP Paste'!$F1084="","",N('TMP Paste'!$G1084))</f>
        <v/>
      </c>
      <c r="AL1084">
        <f>IF('TMP Paste'!$F1084="","",IF('TMP Paste'!$M1084="",$AL1083,'TMP Paste'!$M1084))</f>
        <v/>
      </c>
      <c r="AM1084">
        <f>IF('TMP Paste'!$F1084="","",IF('TMP Paste'!$N1084="",$AM1083,'TMP Paste'!$N1084))</f>
        <v/>
      </c>
      <c r="AN1084">
        <f>IF('TMP Paste'!$F1084="","",IF('TMP Paste'!$O1084="",$AN1083,'TMP Paste'!$O1084))</f>
        <v/>
      </c>
      <c r="AO1084">
        <f>IF('TMP Paste'!$F1084="","",IF('TMP Paste'!$P1084="",$AO1083,'TMP Paste'!$P1084))</f>
        <v/>
      </c>
      <c r="AP1084">
        <f>IF($AG1084="","",LEN($R1084))</f>
        <v/>
      </c>
      <c r="AQ1084">
        <f>IF($AG1084="","",TRIM(IF(COUNTIFS(Calc!$B$2:$B$1601,ROW()-1,Calc!$C$2:$C$1601,"&lt;1")&gt;0,"Ada PO tanpa Koli - cek TMP. ","")&amp;IF(LEN($R1084)&gt;500,"R &gt; 500 karakter.","")))</f>
        <v/>
      </c>
    </row>
    <row r="1085">
      <c r="A1085">
        <f>IF($AG1085="","",INDEX('TMP Paste'!$B$2:$B$1601,$AG1085))</f>
        <v/>
      </c>
      <c r="B1085">
        <f>IF($AG1085="","",Config!$B$14)</f>
        <v/>
      </c>
      <c r="C1085">
        <f>IF($AG1085="","",Config!$B$15)</f>
        <v/>
      </c>
      <c r="D1085">
        <f>IF($AG1085="","",INDEX('TMP Paste'!$B$2:$B$1601,$AG1085))</f>
        <v/>
      </c>
      <c r="E1085">
        <f>IF($AG1085="","",Config!$B$27)</f>
        <v/>
      </c>
      <c r="F1085">
        <f>IF($AG1085="","",Config!$B$9)</f>
        <v/>
      </c>
      <c r="G1085">
        <f>IF($AG1085="","",Config!$B$10)</f>
        <v/>
      </c>
      <c r="H1085">
        <f>IF($AG1085="","",Config!$B$11)</f>
        <v/>
      </c>
      <c r="I1085">
        <f>IF($AG1085="","",Config!$B$16)</f>
        <v/>
      </c>
      <c r="J1085">
        <f>IF($AG1085="","",INDEX('TMP Paste'!$A$2:$A$1601,$AG1085))</f>
        <v/>
      </c>
      <c r="K1085">
        <f>IF($AG1085="","",INDEX('TMP Paste'!$L$2:$L$1601,$AG1085))</f>
        <v/>
      </c>
      <c r="L1085">
        <f>IF($AG1085="","",INDEX('TMP Paste'!$I$2:$I$1601,$AG1085))</f>
        <v/>
      </c>
      <c r="M1085">
        <f>IF($AG1085="","",Config!$B$16)</f>
        <v/>
      </c>
      <c r="N1085">
        <f>IF($AG1085="","","")</f>
        <v/>
      </c>
      <c r="O1085">
        <f>IF($AG1085="","",INDEX('TMP Paste'!$K$2:$K$1601,$AG1085))</f>
        <v/>
      </c>
      <c r="P1085">
        <f>IF($AG1085="","","")</f>
        <v/>
      </c>
      <c r="Q1085">
        <f>IF($AG1085="","",INDEX('TMP Paste'!$J$2:$J$1601,$AG1085))</f>
        <v/>
      </c>
      <c r="R1085">
        <f>IF($AG1085="","",Config!$B$24)</f>
        <v/>
      </c>
      <c r="S1085">
        <f>IF($AG1085="","",TEXT(Config!$B$4,"yyyy-mm-dd"))</f>
        <v/>
      </c>
      <c r="T1085">
        <f>IF($AG1085="","",Config!$B$17)</f>
        <v/>
      </c>
      <c r="U1085">
        <f>IF($AG1085="","",Config!$B$18)</f>
        <v/>
      </c>
      <c r="V1085">
        <f>IF($AG1085="","",Config!$B$19)</f>
        <v/>
      </c>
      <c r="W1085">
        <f>IF($AG1085="","",INDEX('TMP Paste'!$C$2:$C$1601,$AG1085))</f>
        <v/>
      </c>
      <c r="X1085">
        <f>IF($AG1085="","",Config!$B$29)</f>
        <v/>
      </c>
      <c r="Y1085">
        <f>IF($AH1085="","",INDEX(Calc!$I$2:$I$1601,$AH1085)&amp;" - "&amp;INDEX(Calc!$D$2:$D$1601,$AH1085)&amp;" koli")</f>
        <v/>
      </c>
      <c r="Z1085">
        <f>IF($AG1085="","",Config!$B$21)</f>
        <v/>
      </c>
      <c r="AA1085">
        <f>IF($AG1085="","",Config!$B$22)</f>
        <v/>
      </c>
      <c r="AB1085">
        <f>IF($AH1085="","",INDEX(Calc!$D$2:$D$1601,$AH1085))</f>
        <v/>
      </c>
      <c r="AC1085">
        <f>IF($AH1085="","",INDEX(Calc!$G$2:$G$1601,$AH1085))</f>
        <v/>
      </c>
      <c r="AD1085">
        <f>IF($AG1085="","",Config!$B$23)</f>
        <v/>
      </c>
      <c r="AE1085">
        <f>IF($AG1085="","",Config!$B$28)</f>
        <v/>
      </c>
      <c r="AG1085">
        <f>IFERROR(MATCH(ROW()-1,Calc!$J$2:$J$1601,0),"")</f>
        <v/>
      </c>
      <c r="AH1085">
        <f>IFERROR(MATCH(ROW()-1,Calc!$K$2:$K$1601,0),"")</f>
        <v/>
      </c>
      <c r="AI1085">
        <f>IF($AG1085="","",SUMIF($AG$2:$AG1085,$AG1085,$AH$2:$AH1085))</f>
        <v/>
      </c>
      <c r="AJ1085">
        <f>IF('TMP Paste'!$F1085="","",IF('TMP Paste'!$B1085="",$AJ1084,'TMP Paste'!$B1085))</f>
        <v/>
      </c>
      <c r="AK1085">
        <f>IF('TMP Paste'!$F1085="","",N('TMP Paste'!$G1085))</f>
        <v/>
      </c>
      <c r="AL1085">
        <f>IF('TMP Paste'!$F1085="","",IF('TMP Paste'!$M1085="",$AL1084,'TMP Paste'!$M1085))</f>
        <v/>
      </c>
      <c r="AM1085">
        <f>IF('TMP Paste'!$F1085="","",IF('TMP Paste'!$N1085="",$AM1084,'TMP Paste'!$N1085))</f>
        <v/>
      </c>
      <c r="AN1085">
        <f>IF('TMP Paste'!$F1085="","",IF('TMP Paste'!$O1085="",$AN1084,'TMP Paste'!$O1085))</f>
        <v/>
      </c>
      <c r="AO1085">
        <f>IF('TMP Paste'!$F1085="","",IF('TMP Paste'!$P1085="",$AO1084,'TMP Paste'!$P1085))</f>
        <v/>
      </c>
      <c r="AP1085">
        <f>IF($AG1085="","",LEN($R1085))</f>
        <v/>
      </c>
      <c r="AQ1085">
        <f>IF($AG1085="","",TRIM(IF(COUNTIFS(Calc!$B$2:$B$1601,ROW()-1,Calc!$C$2:$C$1601,"&lt;1")&gt;0,"Ada PO tanpa Koli - cek TMP. ","")&amp;IF(LEN($R1085)&gt;500,"R &gt; 500 karakter.","")))</f>
        <v/>
      </c>
    </row>
    <row r="1086">
      <c r="A1086">
        <f>IF($AG1086="","",INDEX('TMP Paste'!$B$2:$B$1601,$AG1086))</f>
        <v/>
      </c>
      <c r="B1086">
        <f>IF($AG1086="","",Config!$B$14)</f>
        <v/>
      </c>
      <c r="C1086">
        <f>IF($AG1086="","",Config!$B$15)</f>
        <v/>
      </c>
      <c r="D1086">
        <f>IF($AG1086="","",INDEX('TMP Paste'!$B$2:$B$1601,$AG1086))</f>
        <v/>
      </c>
      <c r="E1086">
        <f>IF($AG1086="","",Config!$B$27)</f>
        <v/>
      </c>
      <c r="F1086">
        <f>IF($AG1086="","",Config!$B$9)</f>
        <v/>
      </c>
      <c r="G1086">
        <f>IF($AG1086="","",Config!$B$10)</f>
        <v/>
      </c>
      <c r="H1086">
        <f>IF($AG1086="","",Config!$B$11)</f>
        <v/>
      </c>
      <c r="I1086">
        <f>IF($AG1086="","",Config!$B$16)</f>
        <v/>
      </c>
      <c r="J1086">
        <f>IF($AG1086="","",INDEX('TMP Paste'!$A$2:$A$1601,$AG1086))</f>
        <v/>
      </c>
      <c r="K1086">
        <f>IF($AG1086="","",INDEX('TMP Paste'!$L$2:$L$1601,$AG1086))</f>
        <v/>
      </c>
      <c r="L1086">
        <f>IF($AG1086="","",INDEX('TMP Paste'!$I$2:$I$1601,$AG1086))</f>
        <v/>
      </c>
      <c r="M1086">
        <f>IF($AG1086="","",Config!$B$16)</f>
        <v/>
      </c>
      <c r="N1086">
        <f>IF($AG1086="","","")</f>
        <v/>
      </c>
      <c r="O1086">
        <f>IF($AG1086="","",INDEX('TMP Paste'!$K$2:$K$1601,$AG1086))</f>
        <v/>
      </c>
      <c r="P1086">
        <f>IF($AG1086="","","")</f>
        <v/>
      </c>
      <c r="Q1086">
        <f>IF($AG1086="","",INDEX('TMP Paste'!$J$2:$J$1601,$AG1086))</f>
        <v/>
      </c>
      <c r="R1086">
        <f>IF($AG1086="","",Config!$B$24)</f>
        <v/>
      </c>
      <c r="S1086">
        <f>IF($AG1086="","",TEXT(Config!$B$4,"yyyy-mm-dd"))</f>
        <v/>
      </c>
      <c r="T1086">
        <f>IF($AG1086="","",Config!$B$17)</f>
        <v/>
      </c>
      <c r="U1086">
        <f>IF($AG1086="","",Config!$B$18)</f>
        <v/>
      </c>
      <c r="V1086">
        <f>IF($AG1086="","",Config!$B$19)</f>
        <v/>
      </c>
      <c r="W1086">
        <f>IF($AG1086="","",INDEX('TMP Paste'!$C$2:$C$1601,$AG1086))</f>
        <v/>
      </c>
      <c r="X1086">
        <f>IF($AG1086="","",Config!$B$29)</f>
        <v/>
      </c>
      <c r="Y1086">
        <f>IF($AH1086="","",INDEX(Calc!$I$2:$I$1601,$AH1086)&amp;" - "&amp;INDEX(Calc!$D$2:$D$1601,$AH1086)&amp;" koli")</f>
        <v/>
      </c>
      <c r="Z1086">
        <f>IF($AG1086="","",Config!$B$21)</f>
        <v/>
      </c>
      <c r="AA1086">
        <f>IF($AG1086="","",Config!$B$22)</f>
        <v/>
      </c>
      <c r="AB1086">
        <f>IF($AH1086="","",INDEX(Calc!$D$2:$D$1601,$AH1086))</f>
        <v/>
      </c>
      <c r="AC1086">
        <f>IF($AH1086="","",INDEX(Calc!$G$2:$G$1601,$AH1086))</f>
        <v/>
      </c>
      <c r="AD1086">
        <f>IF($AG1086="","",Config!$B$23)</f>
        <v/>
      </c>
      <c r="AE1086">
        <f>IF($AG1086="","",Config!$B$28)</f>
        <v/>
      </c>
      <c r="AG1086">
        <f>IFERROR(MATCH(ROW()-1,Calc!$J$2:$J$1601,0),"")</f>
        <v/>
      </c>
      <c r="AH1086">
        <f>IFERROR(MATCH(ROW()-1,Calc!$K$2:$K$1601,0),"")</f>
        <v/>
      </c>
      <c r="AI1086">
        <f>IF($AG1086="","",SUMIF($AG$2:$AG1086,$AG1086,$AH$2:$AH1086))</f>
        <v/>
      </c>
      <c r="AJ1086">
        <f>IF('TMP Paste'!$F1086="","",IF('TMP Paste'!$B1086="",$AJ1085,'TMP Paste'!$B1086))</f>
        <v/>
      </c>
      <c r="AK1086">
        <f>IF('TMP Paste'!$F1086="","",N('TMP Paste'!$G1086))</f>
        <v/>
      </c>
      <c r="AL1086">
        <f>IF('TMP Paste'!$F1086="","",IF('TMP Paste'!$M1086="",$AL1085,'TMP Paste'!$M1086))</f>
        <v/>
      </c>
      <c r="AM1086">
        <f>IF('TMP Paste'!$F1086="","",IF('TMP Paste'!$N1086="",$AM1085,'TMP Paste'!$N1086))</f>
        <v/>
      </c>
      <c r="AN1086">
        <f>IF('TMP Paste'!$F1086="","",IF('TMP Paste'!$O1086="",$AN1085,'TMP Paste'!$O1086))</f>
        <v/>
      </c>
      <c r="AO1086">
        <f>IF('TMP Paste'!$F1086="","",IF('TMP Paste'!$P1086="",$AO1085,'TMP Paste'!$P1086))</f>
        <v/>
      </c>
      <c r="AP1086">
        <f>IF($AG1086="","",LEN($R1086))</f>
        <v/>
      </c>
      <c r="AQ1086">
        <f>IF($AG1086="","",TRIM(IF(COUNTIFS(Calc!$B$2:$B$1601,ROW()-1,Calc!$C$2:$C$1601,"&lt;1")&gt;0,"Ada PO tanpa Koli - cek TMP. ","")&amp;IF(LEN($R1086)&gt;500,"R &gt; 500 karakter.","")))</f>
        <v/>
      </c>
    </row>
    <row r="1087">
      <c r="A1087">
        <f>IF($AG1087="","",INDEX('TMP Paste'!$B$2:$B$1601,$AG1087))</f>
        <v/>
      </c>
      <c r="B1087">
        <f>IF($AG1087="","",Config!$B$14)</f>
        <v/>
      </c>
      <c r="C1087">
        <f>IF($AG1087="","",Config!$B$15)</f>
        <v/>
      </c>
      <c r="D1087">
        <f>IF($AG1087="","",INDEX('TMP Paste'!$B$2:$B$1601,$AG1087))</f>
        <v/>
      </c>
      <c r="E1087">
        <f>IF($AG1087="","",Config!$B$27)</f>
        <v/>
      </c>
      <c r="F1087">
        <f>IF($AG1087="","",Config!$B$9)</f>
        <v/>
      </c>
      <c r="G1087">
        <f>IF($AG1087="","",Config!$B$10)</f>
        <v/>
      </c>
      <c r="H1087">
        <f>IF($AG1087="","",Config!$B$11)</f>
        <v/>
      </c>
      <c r="I1087">
        <f>IF($AG1087="","",Config!$B$16)</f>
        <v/>
      </c>
      <c r="J1087">
        <f>IF($AG1087="","",INDEX('TMP Paste'!$A$2:$A$1601,$AG1087))</f>
        <v/>
      </c>
      <c r="K1087">
        <f>IF($AG1087="","",INDEX('TMP Paste'!$L$2:$L$1601,$AG1087))</f>
        <v/>
      </c>
      <c r="L1087">
        <f>IF($AG1087="","",INDEX('TMP Paste'!$I$2:$I$1601,$AG1087))</f>
        <v/>
      </c>
      <c r="M1087">
        <f>IF($AG1087="","",Config!$B$16)</f>
        <v/>
      </c>
      <c r="N1087">
        <f>IF($AG1087="","","")</f>
        <v/>
      </c>
      <c r="O1087">
        <f>IF($AG1087="","",INDEX('TMP Paste'!$K$2:$K$1601,$AG1087))</f>
        <v/>
      </c>
      <c r="P1087">
        <f>IF($AG1087="","","")</f>
        <v/>
      </c>
      <c r="Q1087">
        <f>IF($AG1087="","",INDEX('TMP Paste'!$J$2:$J$1601,$AG1087))</f>
        <v/>
      </c>
      <c r="R1087">
        <f>IF($AG1087="","",Config!$B$24)</f>
        <v/>
      </c>
      <c r="S1087">
        <f>IF($AG1087="","",TEXT(Config!$B$4,"yyyy-mm-dd"))</f>
        <v/>
      </c>
      <c r="T1087">
        <f>IF($AG1087="","",Config!$B$17)</f>
        <v/>
      </c>
      <c r="U1087">
        <f>IF($AG1087="","",Config!$B$18)</f>
        <v/>
      </c>
      <c r="V1087">
        <f>IF($AG1087="","",Config!$B$19)</f>
        <v/>
      </c>
      <c r="W1087">
        <f>IF($AG1087="","",INDEX('TMP Paste'!$C$2:$C$1601,$AG1087))</f>
        <v/>
      </c>
      <c r="X1087">
        <f>IF($AG1087="","",Config!$B$29)</f>
        <v/>
      </c>
      <c r="Y1087">
        <f>IF($AH1087="","",INDEX(Calc!$I$2:$I$1601,$AH1087)&amp;" - "&amp;INDEX(Calc!$D$2:$D$1601,$AH1087)&amp;" koli")</f>
        <v/>
      </c>
      <c r="Z1087">
        <f>IF($AG1087="","",Config!$B$21)</f>
        <v/>
      </c>
      <c r="AA1087">
        <f>IF($AG1087="","",Config!$B$22)</f>
        <v/>
      </c>
      <c r="AB1087">
        <f>IF($AH1087="","",INDEX(Calc!$D$2:$D$1601,$AH1087))</f>
        <v/>
      </c>
      <c r="AC1087">
        <f>IF($AH1087="","",INDEX(Calc!$G$2:$G$1601,$AH1087))</f>
        <v/>
      </c>
      <c r="AD1087">
        <f>IF($AG1087="","",Config!$B$23)</f>
        <v/>
      </c>
      <c r="AE1087">
        <f>IF($AG1087="","",Config!$B$28)</f>
        <v/>
      </c>
      <c r="AG1087">
        <f>IFERROR(MATCH(ROW()-1,Calc!$J$2:$J$1601,0),"")</f>
        <v/>
      </c>
      <c r="AH1087">
        <f>IFERROR(MATCH(ROW()-1,Calc!$K$2:$K$1601,0),"")</f>
        <v/>
      </c>
      <c r="AI1087">
        <f>IF($AG1087="","",SUMIF($AG$2:$AG1087,$AG1087,$AH$2:$AH1087))</f>
        <v/>
      </c>
      <c r="AJ1087">
        <f>IF('TMP Paste'!$F1087="","",IF('TMP Paste'!$B1087="",$AJ1086,'TMP Paste'!$B1087))</f>
        <v/>
      </c>
      <c r="AK1087">
        <f>IF('TMP Paste'!$F1087="","",N('TMP Paste'!$G1087))</f>
        <v/>
      </c>
      <c r="AL1087">
        <f>IF('TMP Paste'!$F1087="","",IF('TMP Paste'!$M1087="",$AL1086,'TMP Paste'!$M1087))</f>
        <v/>
      </c>
      <c r="AM1087">
        <f>IF('TMP Paste'!$F1087="","",IF('TMP Paste'!$N1087="",$AM1086,'TMP Paste'!$N1087))</f>
        <v/>
      </c>
      <c r="AN1087">
        <f>IF('TMP Paste'!$F1087="","",IF('TMP Paste'!$O1087="",$AN1086,'TMP Paste'!$O1087))</f>
        <v/>
      </c>
      <c r="AO1087">
        <f>IF('TMP Paste'!$F1087="","",IF('TMP Paste'!$P1087="",$AO1086,'TMP Paste'!$P1087))</f>
        <v/>
      </c>
      <c r="AP1087">
        <f>IF($AG1087="","",LEN($R1087))</f>
        <v/>
      </c>
      <c r="AQ1087">
        <f>IF($AG1087="","",TRIM(IF(COUNTIFS(Calc!$B$2:$B$1601,ROW()-1,Calc!$C$2:$C$1601,"&lt;1")&gt;0,"Ada PO tanpa Koli - cek TMP. ","")&amp;IF(LEN($R1087)&gt;500,"R &gt; 500 karakter.","")))</f>
        <v/>
      </c>
    </row>
    <row r="1088">
      <c r="A1088">
        <f>IF($AG1088="","",INDEX('TMP Paste'!$B$2:$B$1601,$AG1088))</f>
        <v/>
      </c>
      <c r="B1088">
        <f>IF($AG1088="","",Config!$B$14)</f>
        <v/>
      </c>
      <c r="C1088">
        <f>IF($AG1088="","",Config!$B$15)</f>
        <v/>
      </c>
      <c r="D1088">
        <f>IF($AG1088="","",INDEX('TMP Paste'!$B$2:$B$1601,$AG1088))</f>
        <v/>
      </c>
      <c r="E1088">
        <f>IF($AG1088="","",Config!$B$27)</f>
        <v/>
      </c>
      <c r="F1088">
        <f>IF($AG1088="","",Config!$B$9)</f>
        <v/>
      </c>
      <c r="G1088">
        <f>IF($AG1088="","",Config!$B$10)</f>
        <v/>
      </c>
      <c r="H1088">
        <f>IF($AG1088="","",Config!$B$11)</f>
        <v/>
      </c>
      <c r="I1088">
        <f>IF($AG1088="","",Config!$B$16)</f>
        <v/>
      </c>
      <c r="J1088">
        <f>IF($AG1088="","",INDEX('TMP Paste'!$A$2:$A$1601,$AG1088))</f>
        <v/>
      </c>
      <c r="K1088">
        <f>IF($AG1088="","",INDEX('TMP Paste'!$L$2:$L$1601,$AG1088))</f>
        <v/>
      </c>
      <c r="L1088">
        <f>IF($AG1088="","",INDEX('TMP Paste'!$I$2:$I$1601,$AG1088))</f>
        <v/>
      </c>
      <c r="M1088">
        <f>IF($AG1088="","",Config!$B$16)</f>
        <v/>
      </c>
      <c r="N1088">
        <f>IF($AG1088="","","")</f>
        <v/>
      </c>
      <c r="O1088">
        <f>IF($AG1088="","",INDEX('TMP Paste'!$K$2:$K$1601,$AG1088))</f>
        <v/>
      </c>
      <c r="P1088">
        <f>IF($AG1088="","","")</f>
        <v/>
      </c>
      <c r="Q1088">
        <f>IF($AG1088="","",INDEX('TMP Paste'!$J$2:$J$1601,$AG1088))</f>
        <v/>
      </c>
      <c r="R1088">
        <f>IF($AG1088="","",Config!$B$24)</f>
        <v/>
      </c>
      <c r="S1088">
        <f>IF($AG1088="","",TEXT(Config!$B$4,"yyyy-mm-dd"))</f>
        <v/>
      </c>
      <c r="T1088">
        <f>IF($AG1088="","",Config!$B$17)</f>
        <v/>
      </c>
      <c r="U1088">
        <f>IF($AG1088="","",Config!$B$18)</f>
        <v/>
      </c>
      <c r="V1088">
        <f>IF($AG1088="","",Config!$B$19)</f>
        <v/>
      </c>
      <c r="W1088">
        <f>IF($AG1088="","",INDEX('TMP Paste'!$C$2:$C$1601,$AG1088))</f>
        <v/>
      </c>
      <c r="X1088">
        <f>IF($AG1088="","",Config!$B$29)</f>
        <v/>
      </c>
      <c r="Y1088">
        <f>IF($AH1088="","",INDEX(Calc!$I$2:$I$1601,$AH1088)&amp;" - "&amp;INDEX(Calc!$D$2:$D$1601,$AH1088)&amp;" koli")</f>
        <v/>
      </c>
      <c r="Z1088">
        <f>IF($AG1088="","",Config!$B$21)</f>
        <v/>
      </c>
      <c r="AA1088">
        <f>IF($AG1088="","",Config!$B$22)</f>
        <v/>
      </c>
      <c r="AB1088">
        <f>IF($AH1088="","",INDEX(Calc!$D$2:$D$1601,$AH1088))</f>
        <v/>
      </c>
      <c r="AC1088">
        <f>IF($AH1088="","",INDEX(Calc!$G$2:$G$1601,$AH1088))</f>
        <v/>
      </c>
      <c r="AD1088">
        <f>IF($AG1088="","",Config!$B$23)</f>
        <v/>
      </c>
      <c r="AE1088">
        <f>IF($AG1088="","",Config!$B$28)</f>
        <v/>
      </c>
      <c r="AG1088">
        <f>IFERROR(MATCH(ROW()-1,Calc!$J$2:$J$1601,0),"")</f>
        <v/>
      </c>
      <c r="AH1088">
        <f>IFERROR(MATCH(ROW()-1,Calc!$K$2:$K$1601,0),"")</f>
        <v/>
      </c>
      <c r="AI1088">
        <f>IF($AG1088="","",SUMIF($AG$2:$AG1088,$AG1088,$AH$2:$AH1088))</f>
        <v/>
      </c>
      <c r="AJ1088">
        <f>IF('TMP Paste'!$F1088="","",IF('TMP Paste'!$B1088="",$AJ1087,'TMP Paste'!$B1088))</f>
        <v/>
      </c>
      <c r="AK1088">
        <f>IF('TMP Paste'!$F1088="","",N('TMP Paste'!$G1088))</f>
        <v/>
      </c>
      <c r="AL1088">
        <f>IF('TMP Paste'!$F1088="","",IF('TMP Paste'!$M1088="",$AL1087,'TMP Paste'!$M1088))</f>
        <v/>
      </c>
      <c r="AM1088">
        <f>IF('TMP Paste'!$F1088="","",IF('TMP Paste'!$N1088="",$AM1087,'TMP Paste'!$N1088))</f>
        <v/>
      </c>
      <c r="AN1088">
        <f>IF('TMP Paste'!$F1088="","",IF('TMP Paste'!$O1088="",$AN1087,'TMP Paste'!$O1088))</f>
        <v/>
      </c>
      <c r="AO1088">
        <f>IF('TMP Paste'!$F1088="","",IF('TMP Paste'!$P1088="",$AO1087,'TMP Paste'!$P1088))</f>
        <v/>
      </c>
      <c r="AP1088">
        <f>IF($AG1088="","",LEN($R1088))</f>
        <v/>
      </c>
      <c r="AQ1088">
        <f>IF($AG1088="","",TRIM(IF(COUNTIFS(Calc!$B$2:$B$1601,ROW()-1,Calc!$C$2:$C$1601,"&lt;1")&gt;0,"Ada PO tanpa Koli - cek TMP. ","")&amp;IF(LEN($R1088)&gt;500,"R &gt; 500 karakter.","")))</f>
        <v/>
      </c>
    </row>
    <row r="1089">
      <c r="A1089">
        <f>IF($AG1089="","",INDEX('TMP Paste'!$B$2:$B$1601,$AG1089))</f>
        <v/>
      </c>
      <c r="B1089">
        <f>IF($AG1089="","",Config!$B$14)</f>
        <v/>
      </c>
      <c r="C1089">
        <f>IF($AG1089="","",Config!$B$15)</f>
        <v/>
      </c>
      <c r="D1089">
        <f>IF($AG1089="","",INDEX('TMP Paste'!$B$2:$B$1601,$AG1089))</f>
        <v/>
      </c>
      <c r="E1089">
        <f>IF($AG1089="","",Config!$B$27)</f>
        <v/>
      </c>
      <c r="F1089">
        <f>IF($AG1089="","",Config!$B$9)</f>
        <v/>
      </c>
      <c r="G1089">
        <f>IF($AG1089="","",Config!$B$10)</f>
        <v/>
      </c>
      <c r="H1089">
        <f>IF($AG1089="","",Config!$B$11)</f>
        <v/>
      </c>
      <c r="I1089">
        <f>IF($AG1089="","",Config!$B$16)</f>
        <v/>
      </c>
      <c r="J1089">
        <f>IF($AG1089="","",INDEX('TMP Paste'!$A$2:$A$1601,$AG1089))</f>
        <v/>
      </c>
      <c r="K1089">
        <f>IF($AG1089="","",INDEX('TMP Paste'!$L$2:$L$1601,$AG1089))</f>
        <v/>
      </c>
      <c r="L1089">
        <f>IF($AG1089="","",INDEX('TMP Paste'!$I$2:$I$1601,$AG1089))</f>
        <v/>
      </c>
      <c r="M1089">
        <f>IF($AG1089="","",Config!$B$16)</f>
        <v/>
      </c>
      <c r="N1089">
        <f>IF($AG1089="","","")</f>
        <v/>
      </c>
      <c r="O1089">
        <f>IF($AG1089="","",INDEX('TMP Paste'!$K$2:$K$1601,$AG1089))</f>
        <v/>
      </c>
      <c r="P1089">
        <f>IF($AG1089="","","")</f>
        <v/>
      </c>
      <c r="Q1089">
        <f>IF($AG1089="","",INDEX('TMP Paste'!$J$2:$J$1601,$AG1089))</f>
        <v/>
      </c>
      <c r="R1089">
        <f>IF($AG1089="","",Config!$B$24)</f>
        <v/>
      </c>
      <c r="S1089">
        <f>IF($AG1089="","",TEXT(Config!$B$4,"yyyy-mm-dd"))</f>
        <v/>
      </c>
      <c r="T1089">
        <f>IF($AG1089="","",Config!$B$17)</f>
        <v/>
      </c>
      <c r="U1089">
        <f>IF($AG1089="","",Config!$B$18)</f>
        <v/>
      </c>
      <c r="V1089">
        <f>IF($AG1089="","",Config!$B$19)</f>
        <v/>
      </c>
      <c r="W1089">
        <f>IF($AG1089="","",INDEX('TMP Paste'!$C$2:$C$1601,$AG1089))</f>
        <v/>
      </c>
      <c r="X1089">
        <f>IF($AG1089="","",Config!$B$29)</f>
        <v/>
      </c>
      <c r="Y1089">
        <f>IF($AH1089="","",INDEX(Calc!$I$2:$I$1601,$AH1089)&amp;" - "&amp;INDEX(Calc!$D$2:$D$1601,$AH1089)&amp;" koli")</f>
        <v/>
      </c>
      <c r="Z1089">
        <f>IF($AG1089="","",Config!$B$21)</f>
        <v/>
      </c>
      <c r="AA1089">
        <f>IF($AG1089="","",Config!$B$22)</f>
        <v/>
      </c>
      <c r="AB1089">
        <f>IF($AH1089="","",INDEX(Calc!$D$2:$D$1601,$AH1089))</f>
        <v/>
      </c>
      <c r="AC1089">
        <f>IF($AH1089="","",INDEX(Calc!$G$2:$G$1601,$AH1089))</f>
        <v/>
      </c>
      <c r="AD1089">
        <f>IF($AG1089="","",Config!$B$23)</f>
        <v/>
      </c>
      <c r="AE1089">
        <f>IF($AG1089="","",Config!$B$28)</f>
        <v/>
      </c>
      <c r="AG1089">
        <f>IFERROR(MATCH(ROW()-1,Calc!$J$2:$J$1601,0),"")</f>
        <v/>
      </c>
      <c r="AH1089">
        <f>IFERROR(MATCH(ROW()-1,Calc!$K$2:$K$1601,0),"")</f>
        <v/>
      </c>
      <c r="AI1089">
        <f>IF($AG1089="","",SUMIF($AG$2:$AG1089,$AG1089,$AH$2:$AH1089))</f>
        <v/>
      </c>
      <c r="AJ1089">
        <f>IF('TMP Paste'!$F1089="","",IF('TMP Paste'!$B1089="",$AJ1088,'TMP Paste'!$B1089))</f>
        <v/>
      </c>
      <c r="AK1089">
        <f>IF('TMP Paste'!$F1089="","",N('TMP Paste'!$G1089))</f>
        <v/>
      </c>
      <c r="AL1089">
        <f>IF('TMP Paste'!$F1089="","",IF('TMP Paste'!$M1089="",$AL1088,'TMP Paste'!$M1089))</f>
        <v/>
      </c>
      <c r="AM1089">
        <f>IF('TMP Paste'!$F1089="","",IF('TMP Paste'!$N1089="",$AM1088,'TMP Paste'!$N1089))</f>
        <v/>
      </c>
      <c r="AN1089">
        <f>IF('TMP Paste'!$F1089="","",IF('TMP Paste'!$O1089="",$AN1088,'TMP Paste'!$O1089))</f>
        <v/>
      </c>
      <c r="AO1089">
        <f>IF('TMP Paste'!$F1089="","",IF('TMP Paste'!$P1089="",$AO1088,'TMP Paste'!$P1089))</f>
        <v/>
      </c>
      <c r="AP1089">
        <f>IF($AG1089="","",LEN($R1089))</f>
        <v/>
      </c>
      <c r="AQ1089">
        <f>IF($AG1089="","",TRIM(IF(COUNTIFS(Calc!$B$2:$B$1601,ROW()-1,Calc!$C$2:$C$1601,"&lt;1")&gt;0,"Ada PO tanpa Koli - cek TMP. ","")&amp;IF(LEN($R1089)&gt;500,"R &gt; 500 karakter.","")))</f>
        <v/>
      </c>
    </row>
    <row r="1090">
      <c r="A1090">
        <f>IF($AG1090="","",INDEX('TMP Paste'!$B$2:$B$1601,$AG1090))</f>
        <v/>
      </c>
      <c r="B1090">
        <f>IF($AG1090="","",Config!$B$14)</f>
        <v/>
      </c>
      <c r="C1090">
        <f>IF($AG1090="","",Config!$B$15)</f>
        <v/>
      </c>
      <c r="D1090">
        <f>IF($AG1090="","",INDEX('TMP Paste'!$B$2:$B$1601,$AG1090))</f>
        <v/>
      </c>
      <c r="E1090">
        <f>IF($AG1090="","",Config!$B$27)</f>
        <v/>
      </c>
      <c r="F1090">
        <f>IF($AG1090="","",Config!$B$9)</f>
        <v/>
      </c>
      <c r="G1090">
        <f>IF($AG1090="","",Config!$B$10)</f>
        <v/>
      </c>
      <c r="H1090">
        <f>IF($AG1090="","",Config!$B$11)</f>
        <v/>
      </c>
      <c r="I1090">
        <f>IF($AG1090="","",Config!$B$16)</f>
        <v/>
      </c>
      <c r="J1090">
        <f>IF($AG1090="","",INDEX('TMP Paste'!$A$2:$A$1601,$AG1090))</f>
        <v/>
      </c>
      <c r="K1090">
        <f>IF($AG1090="","",INDEX('TMP Paste'!$L$2:$L$1601,$AG1090))</f>
        <v/>
      </c>
      <c r="L1090">
        <f>IF($AG1090="","",INDEX('TMP Paste'!$I$2:$I$1601,$AG1090))</f>
        <v/>
      </c>
      <c r="M1090">
        <f>IF($AG1090="","",Config!$B$16)</f>
        <v/>
      </c>
      <c r="N1090">
        <f>IF($AG1090="","","")</f>
        <v/>
      </c>
      <c r="O1090">
        <f>IF($AG1090="","",INDEX('TMP Paste'!$K$2:$K$1601,$AG1090))</f>
        <v/>
      </c>
      <c r="P1090">
        <f>IF($AG1090="","","")</f>
        <v/>
      </c>
      <c r="Q1090">
        <f>IF($AG1090="","",INDEX('TMP Paste'!$J$2:$J$1601,$AG1090))</f>
        <v/>
      </c>
      <c r="R1090">
        <f>IF($AG1090="","",Config!$B$24)</f>
        <v/>
      </c>
      <c r="S1090">
        <f>IF($AG1090="","",TEXT(Config!$B$4,"yyyy-mm-dd"))</f>
        <v/>
      </c>
      <c r="T1090">
        <f>IF($AG1090="","",Config!$B$17)</f>
        <v/>
      </c>
      <c r="U1090">
        <f>IF($AG1090="","",Config!$B$18)</f>
        <v/>
      </c>
      <c r="V1090">
        <f>IF($AG1090="","",Config!$B$19)</f>
        <v/>
      </c>
      <c r="W1090">
        <f>IF($AG1090="","",INDEX('TMP Paste'!$C$2:$C$1601,$AG1090))</f>
        <v/>
      </c>
      <c r="X1090">
        <f>IF($AG1090="","",Config!$B$29)</f>
        <v/>
      </c>
      <c r="Y1090">
        <f>IF($AH1090="","",INDEX(Calc!$I$2:$I$1601,$AH1090)&amp;" - "&amp;INDEX(Calc!$D$2:$D$1601,$AH1090)&amp;" koli")</f>
        <v/>
      </c>
      <c r="Z1090">
        <f>IF($AG1090="","",Config!$B$21)</f>
        <v/>
      </c>
      <c r="AA1090">
        <f>IF($AG1090="","",Config!$B$22)</f>
        <v/>
      </c>
      <c r="AB1090">
        <f>IF($AH1090="","",INDEX(Calc!$D$2:$D$1601,$AH1090))</f>
        <v/>
      </c>
      <c r="AC1090">
        <f>IF($AH1090="","",INDEX(Calc!$G$2:$G$1601,$AH1090))</f>
        <v/>
      </c>
      <c r="AD1090">
        <f>IF($AG1090="","",Config!$B$23)</f>
        <v/>
      </c>
      <c r="AE1090">
        <f>IF($AG1090="","",Config!$B$28)</f>
        <v/>
      </c>
      <c r="AG1090">
        <f>IFERROR(MATCH(ROW()-1,Calc!$J$2:$J$1601,0),"")</f>
        <v/>
      </c>
      <c r="AH1090">
        <f>IFERROR(MATCH(ROW()-1,Calc!$K$2:$K$1601,0),"")</f>
        <v/>
      </c>
      <c r="AI1090">
        <f>IF($AG1090="","",SUMIF($AG$2:$AG1090,$AG1090,$AH$2:$AH1090))</f>
        <v/>
      </c>
      <c r="AJ1090">
        <f>IF('TMP Paste'!$F1090="","",IF('TMP Paste'!$B1090="",$AJ1089,'TMP Paste'!$B1090))</f>
        <v/>
      </c>
      <c r="AK1090">
        <f>IF('TMP Paste'!$F1090="","",N('TMP Paste'!$G1090))</f>
        <v/>
      </c>
      <c r="AL1090">
        <f>IF('TMP Paste'!$F1090="","",IF('TMP Paste'!$M1090="",$AL1089,'TMP Paste'!$M1090))</f>
        <v/>
      </c>
      <c r="AM1090">
        <f>IF('TMP Paste'!$F1090="","",IF('TMP Paste'!$N1090="",$AM1089,'TMP Paste'!$N1090))</f>
        <v/>
      </c>
      <c r="AN1090">
        <f>IF('TMP Paste'!$F1090="","",IF('TMP Paste'!$O1090="",$AN1089,'TMP Paste'!$O1090))</f>
        <v/>
      </c>
      <c r="AO1090">
        <f>IF('TMP Paste'!$F1090="","",IF('TMP Paste'!$P1090="",$AO1089,'TMP Paste'!$P1090))</f>
        <v/>
      </c>
      <c r="AP1090">
        <f>IF($AG1090="","",LEN($R1090))</f>
        <v/>
      </c>
      <c r="AQ1090">
        <f>IF($AG1090="","",TRIM(IF(COUNTIFS(Calc!$B$2:$B$1601,ROW()-1,Calc!$C$2:$C$1601,"&lt;1")&gt;0,"Ada PO tanpa Koli - cek TMP. ","")&amp;IF(LEN($R1090)&gt;500,"R &gt; 500 karakter.","")))</f>
        <v/>
      </c>
    </row>
    <row r="1091">
      <c r="A1091">
        <f>IF($AG1091="","",INDEX('TMP Paste'!$B$2:$B$1601,$AG1091))</f>
        <v/>
      </c>
      <c r="B1091">
        <f>IF($AG1091="","",Config!$B$14)</f>
        <v/>
      </c>
      <c r="C1091">
        <f>IF($AG1091="","",Config!$B$15)</f>
        <v/>
      </c>
      <c r="D1091">
        <f>IF($AG1091="","",INDEX('TMP Paste'!$B$2:$B$1601,$AG1091))</f>
        <v/>
      </c>
      <c r="E1091">
        <f>IF($AG1091="","",Config!$B$27)</f>
        <v/>
      </c>
      <c r="F1091">
        <f>IF($AG1091="","",Config!$B$9)</f>
        <v/>
      </c>
      <c r="G1091">
        <f>IF($AG1091="","",Config!$B$10)</f>
        <v/>
      </c>
      <c r="H1091">
        <f>IF($AG1091="","",Config!$B$11)</f>
        <v/>
      </c>
      <c r="I1091">
        <f>IF($AG1091="","",Config!$B$16)</f>
        <v/>
      </c>
      <c r="J1091">
        <f>IF($AG1091="","",INDEX('TMP Paste'!$A$2:$A$1601,$AG1091))</f>
        <v/>
      </c>
      <c r="K1091">
        <f>IF($AG1091="","",INDEX('TMP Paste'!$L$2:$L$1601,$AG1091))</f>
        <v/>
      </c>
      <c r="L1091">
        <f>IF($AG1091="","",INDEX('TMP Paste'!$I$2:$I$1601,$AG1091))</f>
        <v/>
      </c>
      <c r="M1091">
        <f>IF($AG1091="","",Config!$B$16)</f>
        <v/>
      </c>
      <c r="N1091">
        <f>IF($AG1091="","","")</f>
        <v/>
      </c>
      <c r="O1091">
        <f>IF($AG1091="","",INDEX('TMP Paste'!$K$2:$K$1601,$AG1091))</f>
        <v/>
      </c>
      <c r="P1091">
        <f>IF($AG1091="","","")</f>
        <v/>
      </c>
      <c r="Q1091">
        <f>IF($AG1091="","",INDEX('TMP Paste'!$J$2:$J$1601,$AG1091))</f>
        <v/>
      </c>
      <c r="R1091">
        <f>IF($AG1091="","",Config!$B$24)</f>
        <v/>
      </c>
      <c r="S1091">
        <f>IF($AG1091="","",TEXT(Config!$B$4,"yyyy-mm-dd"))</f>
        <v/>
      </c>
      <c r="T1091">
        <f>IF($AG1091="","",Config!$B$17)</f>
        <v/>
      </c>
      <c r="U1091">
        <f>IF($AG1091="","",Config!$B$18)</f>
        <v/>
      </c>
      <c r="V1091">
        <f>IF($AG1091="","",Config!$B$19)</f>
        <v/>
      </c>
      <c r="W1091">
        <f>IF($AG1091="","",INDEX('TMP Paste'!$C$2:$C$1601,$AG1091))</f>
        <v/>
      </c>
      <c r="X1091">
        <f>IF($AG1091="","",Config!$B$29)</f>
        <v/>
      </c>
      <c r="Y1091">
        <f>IF($AH1091="","",INDEX(Calc!$I$2:$I$1601,$AH1091)&amp;" - "&amp;INDEX(Calc!$D$2:$D$1601,$AH1091)&amp;" koli")</f>
        <v/>
      </c>
      <c r="Z1091">
        <f>IF($AG1091="","",Config!$B$21)</f>
        <v/>
      </c>
      <c r="AA1091">
        <f>IF($AG1091="","",Config!$B$22)</f>
        <v/>
      </c>
      <c r="AB1091">
        <f>IF($AH1091="","",INDEX(Calc!$D$2:$D$1601,$AH1091))</f>
        <v/>
      </c>
      <c r="AC1091">
        <f>IF($AH1091="","",INDEX(Calc!$G$2:$G$1601,$AH1091))</f>
        <v/>
      </c>
      <c r="AD1091">
        <f>IF($AG1091="","",Config!$B$23)</f>
        <v/>
      </c>
      <c r="AE1091">
        <f>IF($AG1091="","",Config!$B$28)</f>
        <v/>
      </c>
      <c r="AG1091">
        <f>IFERROR(MATCH(ROW()-1,Calc!$J$2:$J$1601,0),"")</f>
        <v/>
      </c>
      <c r="AH1091">
        <f>IFERROR(MATCH(ROW()-1,Calc!$K$2:$K$1601,0),"")</f>
        <v/>
      </c>
      <c r="AI1091">
        <f>IF($AG1091="","",SUMIF($AG$2:$AG1091,$AG1091,$AH$2:$AH1091))</f>
        <v/>
      </c>
      <c r="AJ1091">
        <f>IF('TMP Paste'!$F1091="","",IF('TMP Paste'!$B1091="",$AJ1090,'TMP Paste'!$B1091))</f>
        <v/>
      </c>
      <c r="AK1091">
        <f>IF('TMP Paste'!$F1091="","",N('TMP Paste'!$G1091))</f>
        <v/>
      </c>
      <c r="AL1091">
        <f>IF('TMP Paste'!$F1091="","",IF('TMP Paste'!$M1091="",$AL1090,'TMP Paste'!$M1091))</f>
        <v/>
      </c>
      <c r="AM1091">
        <f>IF('TMP Paste'!$F1091="","",IF('TMP Paste'!$N1091="",$AM1090,'TMP Paste'!$N1091))</f>
        <v/>
      </c>
      <c r="AN1091">
        <f>IF('TMP Paste'!$F1091="","",IF('TMP Paste'!$O1091="",$AN1090,'TMP Paste'!$O1091))</f>
        <v/>
      </c>
      <c r="AO1091">
        <f>IF('TMP Paste'!$F1091="","",IF('TMP Paste'!$P1091="",$AO1090,'TMP Paste'!$P1091))</f>
        <v/>
      </c>
      <c r="AP1091">
        <f>IF($AG1091="","",LEN($R1091))</f>
        <v/>
      </c>
      <c r="AQ1091">
        <f>IF($AG1091="","",TRIM(IF(COUNTIFS(Calc!$B$2:$B$1601,ROW()-1,Calc!$C$2:$C$1601,"&lt;1")&gt;0,"Ada PO tanpa Koli - cek TMP. ","")&amp;IF(LEN($R1091)&gt;500,"R &gt; 500 karakter.","")))</f>
        <v/>
      </c>
    </row>
    <row r="1092">
      <c r="A1092">
        <f>IF($AG1092="","",INDEX('TMP Paste'!$B$2:$B$1601,$AG1092))</f>
        <v/>
      </c>
      <c r="B1092">
        <f>IF($AG1092="","",Config!$B$14)</f>
        <v/>
      </c>
      <c r="C1092">
        <f>IF($AG1092="","",Config!$B$15)</f>
        <v/>
      </c>
      <c r="D1092">
        <f>IF($AG1092="","",INDEX('TMP Paste'!$B$2:$B$1601,$AG1092))</f>
        <v/>
      </c>
      <c r="E1092">
        <f>IF($AG1092="","",Config!$B$27)</f>
        <v/>
      </c>
      <c r="F1092">
        <f>IF($AG1092="","",Config!$B$9)</f>
        <v/>
      </c>
      <c r="G1092">
        <f>IF($AG1092="","",Config!$B$10)</f>
        <v/>
      </c>
      <c r="H1092">
        <f>IF($AG1092="","",Config!$B$11)</f>
        <v/>
      </c>
      <c r="I1092">
        <f>IF($AG1092="","",Config!$B$16)</f>
        <v/>
      </c>
      <c r="J1092">
        <f>IF($AG1092="","",INDEX('TMP Paste'!$A$2:$A$1601,$AG1092))</f>
        <v/>
      </c>
      <c r="K1092">
        <f>IF($AG1092="","",INDEX('TMP Paste'!$L$2:$L$1601,$AG1092))</f>
        <v/>
      </c>
      <c r="L1092">
        <f>IF($AG1092="","",INDEX('TMP Paste'!$I$2:$I$1601,$AG1092))</f>
        <v/>
      </c>
      <c r="M1092">
        <f>IF($AG1092="","",Config!$B$16)</f>
        <v/>
      </c>
      <c r="N1092">
        <f>IF($AG1092="","","")</f>
        <v/>
      </c>
      <c r="O1092">
        <f>IF($AG1092="","",INDEX('TMP Paste'!$K$2:$K$1601,$AG1092))</f>
        <v/>
      </c>
      <c r="P1092">
        <f>IF($AG1092="","","")</f>
        <v/>
      </c>
      <c r="Q1092">
        <f>IF($AG1092="","",INDEX('TMP Paste'!$J$2:$J$1601,$AG1092))</f>
        <v/>
      </c>
      <c r="R1092">
        <f>IF($AG1092="","",Config!$B$24)</f>
        <v/>
      </c>
      <c r="S1092">
        <f>IF($AG1092="","",TEXT(Config!$B$4,"yyyy-mm-dd"))</f>
        <v/>
      </c>
      <c r="T1092">
        <f>IF($AG1092="","",Config!$B$17)</f>
        <v/>
      </c>
      <c r="U1092">
        <f>IF($AG1092="","",Config!$B$18)</f>
        <v/>
      </c>
      <c r="V1092">
        <f>IF($AG1092="","",Config!$B$19)</f>
        <v/>
      </c>
      <c r="W1092">
        <f>IF($AG1092="","",INDEX('TMP Paste'!$C$2:$C$1601,$AG1092))</f>
        <v/>
      </c>
      <c r="X1092">
        <f>IF($AG1092="","",Config!$B$29)</f>
        <v/>
      </c>
      <c r="Y1092">
        <f>IF($AH1092="","",INDEX(Calc!$I$2:$I$1601,$AH1092)&amp;" - "&amp;INDEX(Calc!$D$2:$D$1601,$AH1092)&amp;" koli")</f>
        <v/>
      </c>
      <c r="Z1092">
        <f>IF($AG1092="","",Config!$B$21)</f>
        <v/>
      </c>
      <c r="AA1092">
        <f>IF($AG1092="","",Config!$B$22)</f>
        <v/>
      </c>
      <c r="AB1092">
        <f>IF($AH1092="","",INDEX(Calc!$D$2:$D$1601,$AH1092))</f>
        <v/>
      </c>
      <c r="AC1092">
        <f>IF($AH1092="","",INDEX(Calc!$G$2:$G$1601,$AH1092))</f>
        <v/>
      </c>
      <c r="AD1092">
        <f>IF($AG1092="","",Config!$B$23)</f>
        <v/>
      </c>
      <c r="AE1092">
        <f>IF($AG1092="","",Config!$B$28)</f>
        <v/>
      </c>
      <c r="AG1092">
        <f>IFERROR(MATCH(ROW()-1,Calc!$J$2:$J$1601,0),"")</f>
        <v/>
      </c>
      <c r="AH1092">
        <f>IFERROR(MATCH(ROW()-1,Calc!$K$2:$K$1601,0),"")</f>
        <v/>
      </c>
      <c r="AI1092">
        <f>IF($AG1092="","",SUMIF($AG$2:$AG1092,$AG1092,$AH$2:$AH1092))</f>
        <v/>
      </c>
      <c r="AJ1092">
        <f>IF('TMP Paste'!$F1092="","",IF('TMP Paste'!$B1092="",$AJ1091,'TMP Paste'!$B1092))</f>
        <v/>
      </c>
      <c r="AK1092">
        <f>IF('TMP Paste'!$F1092="","",N('TMP Paste'!$G1092))</f>
        <v/>
      </c>
      <c r="AL1092">
        <f>IF('TMP Paste'!$F1092="","",IF('TMP Paste'!$M1092="",$AL1091,'TMP Paste'!$M1092))</f>
        <v/>
      </c>
      <c r="AM1092">
        <f>IF('TMP Paste'!$F1092="","",IF('TMP Paste'!$N1092="",$AM1091,'TMP Paste'!$N1092))</f>
        <v/>
      </c>
      <c r="AN1092">
        <f>IF('TMP Paste'!$F1092="","",IF('TMP Paste'!$O1092="",$AN1091,'TMP Paste'!$O1092))</f>
        <v/>
      </c>
      <c r="AO1092">
        <f>IF('TMP Paste'!$F1092="","",IF('TMP Paste'!$P1092="",$AO1091,'TMP Paste'!$P1092))</f>
        <v/>
      </c>
      <c r="AP1092">
        <f>IF($AG1092="","",LEN($R1092))</f>
        <v/>
      </c>
      <c r="AQ1092">
        <f>IF($AG1092="","",TRIM(IF(COUNTIFS(Calc!$B$2:$B$1601,ROW()-1,Calc!$C$2:$C$1601,"&lt;1")&gt;0,"Ada PO tanpa Koli - cek TMP. ","")&amp;IF(LEN($R1092)&gt;500,"R &gt; 500 karakter.","")))</f>
        <v/>
      </c>
    </row>
    <row r="1093">
      <c r="A1093">
        <f>IF($AG1093="","",INDEX('TMP Paste'!$B$2:$B$1601,$AG1093))</f>
        <v/>
      </c>
      <c r="B1093">
        <f>IF($AG1093="","",Config!$B$14)</f>
        <v/>
      </c>
      <c r="C1093">
        <f>IF($AG1093="","",Config!$B$15)</f>
        <v/>
      </c>
      <c r="D1093">
        <f>IF($AG1093="","",INDEX('TMP Paste'!$B$2:$B$1601,$AG1093))</f>
        <v/>
      </c>
      <c r="E1093">
        <f>IF($AG1093="","",Config!$B$27)</f>
        <v/>
      </c>
      <c r="F1093">
        <f>IF($AG1093="","",Config!$B$9)</f>
        <v/>
      </c>
      <c r="G1093">
        <f>IF($AG1093="","",Config!$B$10)</f>
        <v/>
      </c>
      <c r="H1093">
        <f>IF($AG1093="","",Config!$B$11)</f>
        <v/>
      </c>
      <c r="I1093">
        <f>IF($AG1093="","",Config!$B$16)</f>
        <v/>
      </c>
      <c r="J1093">
        <f>IF($AG1093="","",INDEX('TMP Paste'!$A$2:$A$1601,$AG1093))</f>
        <v/>
      </c>
      <c r="K1093">
        <f>IF($AG1093="","",INDEX('TMP Paste'!$L$2:$L$1601,$AG1093))</f>
        <v/>
      </c>
      <c r="L1093">
        <f>IF($AG1093="","",INDEX('TMP Paste'!$I$2:$I$1601,$AG1093))</f>
        <v/>
      </c>
      <c r="M1093">
        <f>IF($AG1093="","",Config!$B$16)</f>
        <v/>
      </c>
      <c r="N1093">
        <f>IF($AG1093="","","")</f>
        <v/>
      </c>
      <c r="O1093">
        <f>IF($AG1093="","",INDEX('TMP Paste'!$K$2:$K$1601,$AG1093))</f>
        <v/>
      </c>
      <c r="P1093">
        <f>IF($AG1093="","","")</f>
        <v/>
      </c>
      <c r="Q1093">
        <f>IF($AG1093="","",INDEX('TMP Paste'!$J$2:$J$1601,$AG1093))</f>
        <v/>
      </c>
      <c r="R1093">
        <f>IF($AG1093="","",Config!$B$24)</f>
        <v/>
      </c>
      <c r="S1093">
        <f>IF($AG1093="","",TEXT(Config!$B$4,"yyyy-mm-dd"))</f>
        <v/>
      </c>
      <c r="T1093">
        <f>IF($AG1093="","",Config!$B$17)</f>
        <v/>
      </c>
      <c r="U1093">
        <f>IF($AG1093="","",Config!$B$18)</f>
        <v/>
      </c>
      <c r="V1093">
        <f>IF($AG1093="","",Config!$B$19)</f>
        <v/>
      </c>
      <c r="W1093">
        <f>IF($AG1093="","",INDEX('TMP Paste'!$C$2:$C$1601,$AG1093))</f>
        <v/>
      </c>
      <c r="X1093">
        <f>IF($AG1093="","",Config!$B$29)</f>
        <v/>
      </c>
      <c r="Y1093">
        <f>IF($AH1093="","",INDEX(Calc!$I$2:$I$1601,$AH1093)&amp;" - "&amp;INDEX(Calc!$D$2:$D$1601,$AH1093)&amp;" koli")</f>
        <v/>
      </c>
      <c r="Z1093">
        <f>IF($AG1093="","",Config!$B$21)</f>
        <v/>
      </c>
      <c r="AA1093">
        <f>IF($AG1093="","",Config!$B$22)</f>
        <v/>
      </c>
      <c r="AB1093">
        <f>IF($AH1093="","",INDEX(Calc!$D$2:$D$1601,$AH1093))</f>
        <v/>
      </c>
      <c r="AC1093">
        <f>IF($AH1093="","",INDEX(Calc!$G$2:$G$1601,$AH1093))</f>
        <v/>
      </c>
      <c r="AD1093">
        <f>IF($AG1093="","",Config!$B$23)</f>
        <v/>
      </c>
      <c r="AE1093">
        <f>IF($AG1093="","",Config!$B$28)</f>
        <v/>
      </c>
      <c r="AG1093">
        <f>IFERROR(MATCH(ROW()-1,Calc!$J$2:$J$1601,0),"")</f>
        <v/>
      </c>
      <c r="AH1093">
        <f>IFERROR(MATCH(ROW()-1,Calc!$K$2:$K$1601,0),"")</f>
        <v/>
      </c>
      <c r="AI1093">
        <f>IF($AG1093="","",SUMIF($AG$2:$AG1093,$AG1093,$AH$2:$AH1093))</f>
        <v/>
      </c>
      <c r="AJ1093">
        <f>IF('TMP Paste'!$F1093="","",IF('TMP Paste'!$B1093="",$AJ1092,'TMP Paste'!$B1093))</f>
        <v/>
      </c>
      <c r="AK1093">
        <f>IF('TMP Paste'!$F1093="","",N('TMP Paste'!$G1093))</f>
        <v/>
      </c>
      <c r="AL1093">
        <f>IF('TMP Paste'!$F1093="","",IF('TMP Paste'!$M1093="",$AL1092,'TMP Paste'!$M1093))</f>
        <v/>
      </c>
      <c r="AM1093">
        <f>IF('TMP Paste'!$F1093="","",IF('TMP Paste'!$N1093="",$AM1092,'TMP Paste'!$N1093))</f>
        <v/>
      </c>
      <c r="AN1093">
        <f>IF('TMP Paste'!$F1093="","",IF('TMP Paste'!$O1093="",$AN1092,'TMP Paste'!$O1093))</f>
        <v/>
      </c>
      <c r="AO1093">
        <f>IF('TMP Paste'!$F1093="","",IF('TMP Paste'!$P1093="",$AO1092,'TMP Paste'!$P1093))</f>
        <v/>
      </c>
      <c r="AP1093">
        <f>IF($AG1093="","",LEN($R1093))</f>
        <v/>
      </c>
      <c r="AQ1093">
        <f>IF($AG1093="","",TRIM(IF(COUNTIFS(Calc!$B$2:$B$1601,ROW()-1,Calc!$C$2:$C$1601,"&lt;1")&gt;0,"Ada PO tanpa Koli - cek TMP. ","")&amp;IF(LEN($R1093)&gt;500,"R &gt; 500 karakter.","")))</f>
        <v/>
      </c>
    </row>
    <row r="1094">
      <c r="A1094">
        <f>IF($AG1094="","",INDEX('TMP Paste'!$B$2:$B$1601,$AG1094))</f>
        <v/>
      </c>
      <c r="B1094">
        <f>IF($AG1094="","",Config!$B$14)</f>
        <v/>
      </c>
      <c r="C1094">
        <f>IF($AG1094="","",Config!$B$15)</f>
        <v/>
      </c>
      <c r="D1094">
        <f>IF($AG1094="","",INDEX('TMP Paste'!$B$2:$B$1601,$AG1094))</f>
        <v/>
      </c>
      <c r="E1094">
        <f>IF($AG1094="","",Config!$B$27)</f>
        <v/>
      </c>
      <c r="F1094">
        <f>IF($AG1094="","",Config!$B$9)</f>
        <v/>
      </c>
      <c r="G1094">
        <f>IF($AG1094="","",Config!$B$10)</f>
        <v/>
      </c>
      <c r="H1094">
        <f>IF($AG1094="","",Config!$B$11)</f>
        <v/>
      </c>
      <c r="I1094">
        <f>IF($AG1094="","",Config!$B$16)</f>
        <v/>
      </c>
      <c r="J1094">
        <f>IF($AG1094="","",INDEX('TMP Paste'!$A$2:$A$1601,$AG1094))</f>
        <v/>
      </c>
      <c r="K1094">
        <f>IF($AG1094="","",INDEX('TMP Paste'!$L$2:$L$1601,$AG1094))</f>
        <v/>
      </c>
      <c r="L1094">
        <f>IF($AG1094="","",INDEX('TMP Paste'!$I$2:$I$1601,$AG1094))</f>
        <v/>
      </c>
      <c r="M1094">
        <f>IF($AG1094="","",Config!$B$16)</f>
        <v/>
      </c>
      <c r="N1094">
        <f>IF($AG1094="","","")</f>
        <v/>
      </c>
      <c r="O1094">
        <f>IF($AG1094="","",INDEX('TMP Paste'!$K$2:$K$1601,$AG1094))</f>
        <v/>
      </c>
      <c r="P1094">
        <f>IF($AG1094="","","")</f>
        <v/>
      </c>
      <c r="Q1094">
        <f>IF($AG1094="","",INDEX('TMP Paste'!$J$2:$J$1601,$AG1094))</f>
        <v/>
      </c>
      <c r="R1094">
        <f>IF($AG1094="","",Config!$B$24)</f>
        <v/>
      </c>
      <c r="S1094">
        <f>IF($AG1094="","",TEXT(Config!$B$4,"yyyy-mm-dd"))</f>
        <v/>
      </c>
      <c r="T1094">
        <f>IF($AG1094="","",Config!$B$17)</f>
        <v/>
      </c>
      <c r="U1094">
        <f>IF($AG1094="","",Config!$B$18)</f>
        <v/>
      </c>
      <c r="V1094">
        <f>IF($AG1094="","",Config!$B$19)</f>
        <v/>
      </c>
      <c r="W1094">
        <f>IF($AG1094="","",INDEX('TMP Paste'!$C$2:$C$1601,$AG1094))</f>
        <v/>
      </c>
      <c r="X1094">
        <f>IF($AG1094="","",Config!$B$29)</f>
        <v/>
      </c>
      <c r="Y1094">
        <f>IF($AH1094="","",INDEX(Calc!$I$2:$I$1601,$AH1094)&amp;" - "&amp;INDEX(Calc!$D$2:$D$1601,$AH1094)&amp;" koli")</f>
        <v/>
      </c>
      <c r="Z1094">
        <f>IF($AG1094="","",Config!$B$21)</f>
        <v/>
      </c>
      <c r="AA1094">
        <f>IF($AG1094="","",Config!$B$22)</f>
        <v/>
      </c>
      <c r="AB1094">
        <f>IF($AH1094="","",INDEX(Calc!$D$2:$D$1601,$AH1094))</f>
        <v/>
      </c>
      <c r="AC1094">
        <f>IF($AH1094="","",INDEX(Calc!$G$2:$G$1601,$AH1094))</f>
        <v/>
      </c>
      <c r="AD1094">
        <f>IF($AG1094="","",Config!$B$23)</f>
        <v/>
      </c>
      <c r="AE1094">
        <f>IF($AG1094="","",Config!$B$28)</f>
        <v/>
      </c>
      <c r="AG1094">
        <f>IFERROR(MATCH(ROW()-1,Calc!$J$2:$J$1601,0),"")</f>
        <v/>
      </c>
      <c r="AH1094">
        <f>IFERROR(MATCH(ROW()-1,Calc!$K$2:$K$1601,0),"")</f>
        <v/>
      </c>
      <c r="AI1094">
        <f>IF($AG1094="","",SUMIF($AG$2:$AG1094,$AG1094,$AH$2:$AH1094))</f>
        <v/>
      </c>
      <c r="AJ1094">
        <f>IF('TMP Paste'!$F1094="","",IF('TMP Paste'!$B1094="",$AJ1093,'TMP Paste'!$B1094))</f>
        <v/>
      </c>
      <c r="AK1094">
        <f>IF('TMP Paste'!$F1094="","",N('TMP Paste'!$G1094))</f>
        <v/>
      </c>
      <c r="AL1094">
        <f>IF('TMP Paste'!$F1094="","",IF('TMP Paste'!$M1094="",$AL1093,'TMP Paste'!$M1094))</f>
        <v/>
      </c>
      <c r="AM1094">
        <f>IF('TMP Paste'!$F1094="","",IF('TMP Paste'!$N1094="",$AM1093,'TMP Paste'!$N1094))</f>
        <v/>
      </c>
      <c r="AN1094">
        <f>IF('TMP Paste'!$F1094="","",IF('TMP Paste'!$O1094="",$AN1093,'TMP Paste'!$O1094))</f>
        <v/>
      </c>
      <c r="AO1094">
        <f>IF('TMP Paste'!$F1094="","",IF('TMP Paste'!$P1094="",$AO1093,'TMP Paste'!$P1094))</f>
        <v/>
      </c>
      <c r="AP1094">
        <f>IF($AG1094="","",LEN($R1094))</f>
        <v/>
      </c>
      <c r="AQ1094">
        <f>IF($AG1094="","",TRIM(IF(COUNTIFS(Calc!$B$2:$B$1601,ROW()-1,Calc!$C$2:$C$1601,"&lt;1")&gt;0,"Ada PO tanpa Koli - cek TMP. ","")&amp;IF(LEN($R1094)&gt;500,"R &gt; 500 karakter.","")))</f>
        <v/>
      </c>
    </row>
    <row r="1095">
      <c r="A1095">
        <f>IF($AG1095="","",INDEX('TMP Paste'!$B$2:$B$1601,$AG1095))</f>
        <v/>
      </c>
      <c r="B1095">
        <f>IF($AG1095="","",Config!$B$14)</f>
        <v/>
      </c>
      <c r="C1095">
        <f>IF($AG1095="","",Config!$B$15)</f>
        <v/>
      </c>
      <c r="D1095">
        <f>IF($AG1095="","",INDEX('TMP Paste'!$B$2:$B$1601,$AG1095))</f>
        <v/>
      </c>
      <c r="E1095">
        <f>IF($AG1095="","",Config!$B$27)</f>
        <v/>
      </c>
      <c r="F1095">
        <f>IF($AG1095="","",Config!$B$9)</f>
        <v/>
      </c>
      <c r="G1095">
        <f>IF($AG1095="","",Config!$B$10)</f>
        <v/>
      </c>
      <c r="H1095">
        <f>IF($AG1095="","",Config!$B$11)</f>
        <v/>
      </c>
      <c r="I1095">
        <f>IF($AG1095="","",Config!$B$16)</f>
        <v/>
      </c>
      <c r="J1095">
        <f>IF($AG1095="","",INDEX('TMP Paste'!$A$2:$A$1601,$AG1095))</f>
        <v/>
      </c>
      <c r="K1095">
        <f>IF($AG1095="","",INDEX('TMP Paste'!$L$2:$L$1601,$AG1095))</f>
        <v/>
      </c>
      <c r="L1095">
        <f>IF($AG1095="","",INDEX('TMP Paste'!$I$2:$I$1601,$AG1095))</f>
        <v/>
      </c>
      <c r="M1095">
        <f>IF($AG1095="","",Config!$B$16)</f>
        <v/>
      </c>
      <c r="N1095">
        <f>IF($AG1095="","","")</f>
        <v/>
      </c>
      <c r="O1095">
        <f>IF($AG1095="","",INDEX('TMP Paste'!$K$2:$K$1601,$AG1095))</f>
        <v/>
      </c>
      <c r="P1095">
        <f>IF($AG1095="","","")</f>
        <v/>
      </c>
      <c r="Q1095">
        <f>IF($AG1095="","",INDEX('TMP Paste'!$J$2:$J$1601,$AG1095))</f>
        <v/>
      </c>
      <c r="R1095">
        <f>IF($AG1095="","",Config!$B$24)</f>
        <v/>
      </c>
      <c r="S1095">
        <f>IF($AG1095="","",TEXT(Config!$B$4,"yyyy-mm-dd"))</f>
        <v/>
      </c>
      <c r="T1095">
        <f>IF($AG1095="","",Config!$B$17)</f>
        <v/>
      </c>
      <c r="U1095">
        <f>IF($AG1095="","",Config!$B$18)</f>
        <v/>
      </c>
      <c r="V1095">
        <f>IF($AG1095="","",Config!$B$19)</f>
        <v/>
      </c>
      <c r="W1095">
        <f>IF($AG1095="","",INDEX('TMP Paste'!$C$2:$C$1601,$AG1095))</f>
        <v/>
      </c>
      <c r="X1095">
        <f>IF($AG1095="","",Config!$B$29)</f>
        <v/>
      </c>
      <c r="Y1095">
        <f>IF($AH1095="","",INDEX(Calc!$I$2:$I$1601,$AH1095)&amp;" - "&amp;INDEX(Calc!$D$2:$D$1601,$AH1095)&amp;" koli")</f>
        <v/>
      </c>
      <c r="Z1095">
        <f>IF($AG1095="","",Config!$B$21)</f>
        <v/>
      </c>
      <c r="AA1095">
        <f>IF($AG1095="","",Config!$B$22)</f>
        <v/>
      </c>
      <c r="AB1095">
        <f>IF($AH1095="","",INDEX(Calc!$D$2:$D$1601,$AH1095))</f>
        <v/>
      </c>
      <c r="AC1095">
        <f>IF($AH1095="","",INDEX(Calc!$G$2:$G$1601,$AH1095))</f>
        <v/>
      </c>
      <c r="AD1095">
        <f>IF($AG1095="","",Config!$B$23)</f>
        <v/>
      </c>
      <c r="AE1095">
        <f>IF($AG1095="","",Config!$B$28)</f>
        <v/>
      </c>
      <c r="AG1095">
        <f>IFERROR(MATCH(ROW()-1,Calc!$J$2:$J$1601,0),"")</f>
        <v/>
      </c>
      <c r="AH1095">
        <f>IFERROR(MATCH(ROW()-1,Calc!$K$2:$K$1601,0),"")</f>
        <v/>
      </c>
      <c r="AI1095">
        <f>IF($AG1095="","",SUMIF($AG$2:$AG1095,$AG1095,$AH$2:$AH1095))</f>
        <v/>
      </c>
      <c r="AJ1095">
        <f>IF('TMP Paste'!$F1095="","",IF('TMP Paste'!$B1095="",$AJ1094,'TMP Paste'!$B1095))</f>
        <v/>
      </c>
      <c r="AK1095">
        <f>IF('TMP Paste'!$F1095="","",N('TMP Paste'!$G1095))</f>
        <v/>
      </c>
      <c r="AL1095">
        <f>IF('TMP Paste'!$F1095="","",IF('TMP Paste'!$M1095="",$AL1094,'TMP Paste'!$M1095))</f>
        <v/>
      </c>
      <c r="AM1095">
        <f>IF('TMP Paste'!$F1095="","",IF('TMP Paste'!$N1095="",$AM1094,'TMP Paste'!$N1095))</f>
        <v/>
      </c>
      <c r="AN1095">
        <f>IF('TMP Paste'!$F1095="","",IF('TMP Paste'!$O1095="",$AN1094,'TMP Paste'!$O1095))</f>
        <v/>
      </c>
      <c r="AO1095">
        <f>IF('TMP Paste'!$F1095="","",IF('TMP Paste'!$P1095="",$AO1094,'TMP Paste'!$P1095))</f>
        <v/>
      </c>
      <c r="AP1095">
        <f>IF($AG1095="","",LEN($R1095))</f>
        <v/>
      </c>
      <c r="AQ1095">
        <f>IF($AG1095="","",TRIM(IF(COUNTIFS(Calc!$B$2:$B$1601,ROW()-1,Calc!$C$2:$C$1601,"&lt;1")&gt;0,"Ada PO tanpa Koli - cek TMP. ","")&amp;IF(LEN($R1095)&gt;500,"R &gt; 500 karakter.","")))</f>
        <v/>
      </c>
    </row>
    <row r="1096">
      <c r="A1096">
        <f>IF($AG1096="","",INDEX('TMP Paste'!$B$2:$B$1601,$AG1096))</f>
        <v/>
      </c>
      <c r="B1096">
        <f>IF($AG1096="","",Config!$B$14)</f>
        <v/>
      </c>
      <c r="C1096">
        <f>IF($AG1096="","",Config!$B$15)</f>
        <v/>
      </c>
      <c r="D1096">
        <f>IF($AG1096="","",INDEX('TMP Paste'!$B$2:$B$1601,$AG1096))</f>
        <v/>
      </c>
      <c r="E1096">
        <f>IF($AG1096="","",Config!$B$27)</f>
        <v/>
      </c>
      <c r="F1096">
        <f>IF($AG1096="","",Config!$B$9)</f>
        <v/>
      </c>
      <c r="G1096">
        <f>IF($AG1096="","",Config!$B$10)</f>
        <v/>
      </c>
      <c r="H1096">
        <f>IF($AG1096="","",Config!$B$11)</f>
        <v/>
      </c>
      <c r="I1096">
        <f>IF($AG1096="","",Config!$B$16)</f>
        <v/>
      </c>
      <c r="J1096">
        <f>IF($AG1096="","",INDEX('TMP Paste'!$A$2:$A$1601,$AG1096))</f>
        <v/>
      </c>
      <c r="K1096">
        <f>IF($AG1096="","",INDEX('TMP Paste'!$L$2:$L$1601,$AG1096))</f>
        <v/>
      </c>
      <c r="L1096">
        <f>IF($AG1096="","",INDEX('TMP Paste'!$I$2:$I$1601,$AG1096))</f>
        <v/>
      </c>
      <c r="M1096">
        <f>IF($AG1096="","",Config!$B$16)</f>
        <v/>
      </c>
      <c r="N1096">
        <f>IF($AG1096="","","")</f>
        <v/>
      </c>
      <c r="O1096">
        <f>IF($AG1096="","",INDEX('TMP Paste'!$K$2:$K$1601,$AG1096))</f>
        <v/>
      </c>
      <c r="P1096">
        <f>IF($AG1096="","","")</f>
        <v/>
      </c>
      <c r="Q1096">
        <f>IF($AG1096="","",INDEX('TMP Paste'!$J$2:$J$1601,$AG1096))</f>
        <v/>
      </c>
      <c r="R1096">
        <f>IF($AG1096="","",Config!$B$24)</f>
        <v/>
      </c>
      <c r="S1096">
        <f>IF($AG1096="","",TEXT(Config!$B$4,"yyyy-mm-dd"))</f>
        <v/>
      </c>
      <c r="T1096">
        <f>IF($AG1096="","",Config!$B$17)</f>
        <v/>
      </c>
      <c r="U1096">
        <f>IF($AG1096="","",Config!$B$18)</f>
        <v/>
      </c>
      <c r="V1096">
        <f>IF($AG1096="","",Config!$B$19)</f>
        <v/>
      </c>
      <c r="W1096">
        <f>IF($AG1096="","",INDEX('TMP Paste'!$C$2:$C$1601,$AG1096))</f>
        <v/>
      </c>
      <c r="X1096">
        <f>IF($AG1096="","",Config!$B$29)</f>
        <v/>
      </c>
      <c r="Y1096">
        <f>IF($AH1096="","",INDEX(Calc!$I$2:$I$1601,$AH1096)&amp;" - "&amp;INDEX(Calc!$D$2:$D$1601,$AH1096)&amp;" koli")</f>
        <v/>
      </c>
      <c r="Z1096">
        <f>IF($AG1096="","",Config!$B$21)</f>
        <v/>
      </c>
      <c r="AA1096">
        <f>IF($AG1096="","",Config!$B$22)</f>
        <v/>
      </c>
      <c r="AB1096">
        <f>IF($AH1096="","",INDEX(Calc!$D$2:$D$1601,$AH1096))</f>
        <v/>
      </c>
      <c r="AC1096">
        <f>IF($AH1096="","",INDEX(Calc!$G$2:$G$1601,$AH1096))</f>
        <v/>
      </c>
      <c r="AD1096">
        <f>IF($AG1096="","",Config!$B$23)</f>
        <v/>
      </c>
      <c r="AE1096">
        <f>IF($AG1096="","",Config!$B$28)</f>
        <v/>
      </c>
      <c r="AG1096">
        <f>IFERROR(MATCH(ROW()-1,Calc!$J$2:$J$1601,0),"")</f>
        <v/>
      </c>
      <c r="AH1096">
        <f>IFERROR(MATCH(ROW()-1,Calc!$K$2:$K$1601,0),"")</f>
        <v/>
      </c>
      <c r="AI1096">
        <f>IF($AG1096="","",SUMIF($AG$2:$AG1096,$AG1096,$AH$2:$AH1096))</f>
        <v/>
      </c>
      <c r="AJ1096">
        <f>IF('TMP Paste'!$F1096="","",IF('TMP Paste'!$B1096="",$AJ1095,'TMP Paste'!$B1096))</f>
        <v/>
      </c>
      <c r="AK1096">
        <f>IF('TMP Paste'!$F1096="","",N('TMP Paste'!$G1096))</f>
        <v/>
      </c>
      <c r="AL1096">
        <f>IF('TMP Paste'!$F1096="","",IF('TMP Paste'!$M1096="",$AL1095,'TMP Paste'!$M1096))</f>
        <v/>
      </c>
      <c r="AM1096">
        <f>IF('TMP Paste'!$F1096="","",IF('TMP Paste'!$N1096="",$AM1095,'TMP Paste'!$N1096))</f>
        <v/>
      </c>
      <c r="AN1096">
        <f>IF('TMP Paste'!$F1096="","",IF('TMP Paste'!$O1096="",$AN1095,'TMP Paste'!$O1096))</f>
        <v/>
      </c>
      <c r="AO1096">
        <f>IF('TMP Paste'!$F1096="","",IF('TMP Paste'!$P1096="",$AO1095,'TMP Paste'!$P1096))</f>
        <v/>
      </c>
      <c r="AP1096">
        <f>IF($AG1096="","",LEN($R1096))</f>
        <v/>
      </c>
      <c r="AQ1096">
        <f>IF($AG1096="","",TRIM(IF(COUNTIFS(Calc!$B$2:$B$1601,ROW()-1,Calc!$C$2:$C$1601,"&lt;1")&gt;0,"Ada PO tanpa Koli - cek TMP. ","")&amp;IF(LEN($R1096)&gt;500,"R &gt; 500 karakter.","")))</f>
        <v/>
      </c>
    </row>
    <row r="1097">
      <c r="A1097">
        <f>IF($AG1097="","",INDEX('TMP Paste'!$B$2:$B$1601,$AG1097))</f>
        <v/>
      </c>
      <c r="B1097">
        <f>IF($AG1097="","",Config!$B$14)</f>
        <v/>
      </c>
      <c r="C1097">
        <f>IF($AG1097="","",Config!$B$15)</f>
        <v/>
      </c>
      <c r="D1097">
        <f>IF($AG1097="","",INDEX('TMP Paste'!$B$2:$B$1601,$AG1097))</f>
        <v/>
      </c>
      <c r="E1097">
        <f>IF($AG1097="","",Config!$B$27)</f>
        <v/>
      </c>
      <c r="F1097">
        <f>IF($AG1097="","",Config!$B$9)</f>
        <v/>
      </c>
      <c r="G1097">
        <f>IF($AG1097="","",Config!$B$10)</f>
        <v/>
      </c>
      <c r="H1097">
        <f>IF($AG1097="","",Config!$B$11)</f>
        <v/>
      </c>
      <c r="I1097">
        <f>IF($AG1097="","",Config!$B$16)</f>
        <v/>
      </c>
      <c r="J1097">
        <f>IF($AG1097="","",INDEX('TMP Paste'!$A$2:$A$1601,$AG1097))</f>
        <v/>
      </c>
      <c r="K1097">
        <f>IF($AG1097="","",INDEX('TMP Paste'!$L$2:$L$1601,$AG1097))</f>
        <v/>
      </c>
      <c r="L1097">
        <f>IF($AG1097="","",INDEX('TMP Paste'!$I$2:$I$1601,$AG1097))</f>
        <v/>
      </c>
      <c r="M1097">
        <f>IF($AG1097="","",Config!$B$16)</f>
        <v/>
      </c>
      <c r="N1097">
        <f>IF($AG1097="","","")</f>
        <v/>
      </c>
      <c r="O1097">
        <f>IF($AG1097="","",INDEX('TMP Paste'!$K$2:$K$1601,$AG1097))</f>
        <v/>
      </c>
      <c r="P1097">
        <f>IF($AG1097="","","")</f>
        <v/>
      </c>
      <c r="Q1097">
        <f>IF($AG1097="","",INDEX('TMP Paste'!$J$2:$J$1601,$AG1097))</f>
        <v/>
      </c>
      <c r="R1097">
        <f>IF($AG1097="","",Config!$B$24)</f>
        <v/>
      </c>
      <c r="S1097">
        <f>IF($AG1097="","",TEXT(Config!$B$4,"yyyy-mm-dd"))</f>
        <v/>
      </c>
      <c r="T1097">
        <f>IF($AG1097="","",Config!$B$17)</f>
        <v/>
      </c>
      <c r="U1097">
        <f>IF($AG1097="","",Config!$B$18)</f>
        <v/>
      </c>
      <c r="V1097">
        <f>IF($AG1097="","",Config!$B$19)</f>
        <v/>
      </c>
      <c r="W1097">
        <f>IF($AG1097="","",INDEX('TMP Paste'!$C$2:$C$1601,$AG1097))</f>
        <v/>
      </c>
      <c r="X1097">
        <f>IF($AG1097="","",Config!$B$29)</f>
        <v/>
      </c>
      <c r="Y1097">
        <f>IF($AH1097="","",INDEX(Calc!$I$2:$I$1601,$AH1097)&amp;" - "&amp;INDEX(Calc!$D$2:$D$1601,$AH1097)&amp;" koli")</f>
        <v/>
      </c>
      <c r="Z1097">
        <f>IF($AG1097="","",Config!$B$21)</f>
        <v/>
      </c>
      <c r="AA1097">
        <f>IF($AG1097="","",Config!$B$22)</f>
        <v/>
      </c>
      <c r="AB1097">
        <f>IF($AH1097="","",INDEX(Calc!$D$2:$D$1601,$AH1097))</f>
        <v/>
      </c>
      <c r="AC1097">
        <f>IF($AH1097="","",INDEX(Calc!$G$2:$G$1601,$AH1097))</f>
        <v/>
      </c>
      <c r="AD1097">
        <f>IF($AG1097="","",Config!$B$23)</f>
        <v/>
      </c>
      <c r="AE1097">
        <f>IF($AG1097="","",Config!$B$28)</f>
        <v/>
      </c>
      <c r="AG1097">
        <f>IFERROR(MATCH(ROW()-1,Calc!$J$2:$J$1601,0),"")</f>
        <v/>
      </c>
      <c r="AH1097">
        <f>IFERROR(MATCH(ROW()-1,Calc!$K$2:$K$1601,0),"")</f>
        <v/>
      </c>
      <c r="AI1097">
        <f>IF($AG1097="","",SUMIF($AG$2:$AG1097,$AG1097,$AH$2:$AH1097))</f>
        <v/>
      </c>
      <c r="AJ1097">
        <f>IF('TMP Paste'!$F1097="","",IF('TMP Paste'!$B1097="",$AJ1096,'TMP Paste'!$B1097))</f>
        <v/>
      </c>
      <c r="AK1097">
        <f>IF('TMP Paste'!$F1097="","",N('TMP Paste'!$G1097))</f>
        <v/>
      </c>
      <c r="AL1097">
        <f>IF('TMP Paste'!$F1097="","",IF('TMP Paste'!$M1097="",$AL1096,'TMP Paste'!$M1097))</f>
        <v/>
      </c>
      <c r="AM1097">
        <f>IF('TMP Paste'!$F1097="","",IF('TMP Paste'!$N1097="",$AM1096,'TMP Paste'!$N1097))</f>
        <v/>
      </c>
      <c r="AN1097">
        <f>IF('TMP Paste'!$F1097="","",IF('TMP Paste'!$O1097="",$AN1096,'TMP Paste'!$O1097))</f>
        <v/>
      </c>
      <c r="AO1097">
        <f>IF('TMP Paste'!$F1097="","",IF('TMP Paste'!$P1097="",$AO1096,'TMP Paste'!$P1097))</f>
        <v/>
      </c>
      <c r="AP1097">
        <f>IF($AG1097="","",LEN($R1097))</f>
        <v/>
      </c>
      <c r="AQ1097">
        <f>IF($AG1097="","",TRIM(IF(COUNTIFS(Calc!$B$2:$B$1601,ROW()-1,Calc!$C$2:$C$1601,"&lt;1")&gt;0,"Ada PO tanpa Koli - cek TMP. ","")&amp;IF(LEN($R1097)&gt;500,"R &gt; 500 karakter.","")))</f>
        <v/>
      </c>
    </row>
    <row r="1098">
      <c r="A1098">
        <f>IF($AG1098="","",INDEX('TMP Paste'!$B$2:$B$1601,$AG1098))</f>
        <v/>
      </c>
      <c r="B1098">
        <f>IF($AG1098="","",Config!$B$14)</f>
        <v/>
      </c>
      <c r="C1098">
        <f>IF($AG1098="","",Config!$B$15)</f>
        <v/>
      </c>
      <c r="D1098">
        <f>IF($AG1098="","",INDEX('TMP Paste'!$B$2:$B$1601,$AG1098))</f>
        <v/>
      </c>
      <c r="E1098">
        <f>IF($AG1098="","",Config!$B$27)</f>
        <v/>
      </c>
      <c r="F1098">
        <f>IF($AG1098="","",Config!$B$9)</f>
        <v/>
      </c>
      <c r="G1098">
        <f>IF($AG1098="","",Config!$B$10)</f>
        <v/>
      </c>
      <c r="H1098">
        <f>IF($AG1098="","",Config!$B$11)</f>
        <v/>
      </c>
      <c r="I1098">
        <f>IF($AG1098="","",Config!$B$16)</f>
        <v/>
      </c>
      <c r="J1098">
        <f>IF($AG1098="","",INDEX('TMP Paste'!$A$2:$A$1601,$AG1098))</f>
        <v/>
      </c>
      <c r="K1098">
        <f>IF($AG1098="","",INDEX('TMP Paste'!$L$2:$L$1601,$AG1098))</f>
        <v/>
      </c>
      <c r="L1098">
        <f>IF($AG1098="","",INDEX('TMP Paste'!$I$2:$I$1601,$AG1098))</f>
        <v/>
      </c>
      <c r="M1098">
        <f>IF($AG1098="","",Config!$B$16)</f>
        <v/>
      </c>
      <c r="N1098">
        <f>IF($AG1098="","","")</f>
        <v/>
      </c>
      <c r="O1098">
        <f>IF($AG1098="","",INDEX('TMP Paste'!$K$2:$K$1601,$AG1098))</f>
        <v/>
      </c>
      <c r="P1098">
        <f>IF($AG1098="","","")</f>
        <v/>
      </c>
      <c r="Q1098">
        <f>IF($AG1098="","",INDEX('TMP Paste'!$J$2:$J$1601,$AG1098))</f>
        <v/>
      </c>
      <c r="R1098">
        <f>IF($AG1098="","",Config!$B$24)</f>
        <v/>
      </c>
      <c r="S1098">
        <f>IF($AG1098="","",TEXT(Config!$B$4,"yyyy-mm-dd"))</f>
        <v/>
      </c>
      <c r="T1098">
        <f>IF($AG1098="","",Config!$B$17)</f>
        <v/>
      </c>
      <c r="U1098">
        <f>IF($AG1098="","",Config!$B$18)</f>
        <v/>
      </c>
      <c r="V1098">
        <f>IF($AG1098="","",Config!$B$19)</f>
        <v/>
      </c>
      <c r="W1098">
        <f>IF($AG1098="","",INDEX('TMP Paste'!$C$2:$C$1601,$AG1098))</f>
        <v/>
      </c>
      <c r="X1098">
        <f>IF($AG1098="","",Config!$B$29)</f>
        <v/>
      </c>
      <c r="Y1098">
        <f>IF($AH1098="","",INDEX(Calc!$I$2:$I$1601,$AH1098)&amp;" - "&amp;INDEX(Calc!$D$2:$D$1601,$AH1098)&amp;" koli")</f>
        <v/>
      </c>
      <c r="Z1098">
        <f>IF($AG1098="","",Config!$B$21)</f>
        <v/>
      </c>
      <c r="AA1098">
        <f>IF($AG1098="","",Config!$B$22)</f>
        <v/>
      </c>
      <c r="AB1098">
        <f>IF($AH1098="","",INDEX(Calc!$D$2:$D$1601,$AH1098))</f>
        <v/>
      </c>
      <c r="AC1098">
        <f>IF($AH1098="","",INDEX(Calc!$G$2:$G$1601,$AH1098))</f>
        <v/>
      </c>
      <c r="AD1098">
        <f>IF($AG1098="","",Config!$B$23)</f>
        <v/>
      </c>
      <c r="AE1098">
        <f>IF($AG1098="","",Config!$B$28)</f>
        <v/>
      </c>
      <c r="AG1098">
        <f>IFERROR(MATCH(ROW()-1,Calc!$J$2:$J$1601,0),"")</f>
        <v/>
      </c>
      <c r="AH1098">
        <f>IFERROR(MATCH(ROW()-1,Calc!$K$2:$K$1601,0),"")</f>
        <v/>
      </c>
      <c r="AI1098">
        <f>IF($AG1098="","",SUMIF($AG$2:$AG1098,$AG1098,$AH$2:$AH1098))</f>
        <v/>
      </c>
      <c r="AJ1098">
        <f>IF('TMP Paste'!$F1098="","",IF('TMP Paste'!$B1098="",$AJ1097,'TMP Paste'!$B1098))</f>
        <v/>
      </c>
      <c r="AK1098">
        <f>IF('TMP Paste'!$F1098="","",N('TMP Paste'!$G1098))</f>
        <v/>
      </c>
      <c r="AL1098">
        <f>IF('TMP Paste'!$F1098="","",IF('TMP Paste'!$M1098="",$AL1097,'TMP Paste'!$M1098))</f>
        <v/>
      </c>
      <c r="AM1098">
        <f>IF('TMP Paste'!$F1098="","",IF('TMP Paste'!$N1098="",$AM1097,'TMP Paste'!$N1098))</f>
        <v/>
      </c>
      <c r="AN1098">
        <f>IF('TMP Paste'!$F1098="","",IF('TMP Paste'!$O1098="",$AN1097,'TMP Paste'!$O1098))</f>
        <v/>
      </c>
      <c r="AO1098">
        <f>IF('TMP Paste'!$F1098="","",IF('TMP Paste'!$P1098="",$AO1097,'TMP Paste'!$P1098))</f>
        <v/>
      </c>
      <c r="AP1098">
        <f>IF($AG1098="","",LEN($R1098))</f>
        <v/>
      </c>
      <c r="AQ1098">
        <f>IF($AG1098="","",TRIM(IF(COUNTIFS(Calc!$B$2:$B$1601,ROW()-1,Calc!$C$2:$C$1601,"&lt;1")&gt;0,"Ada PO tanpa Koli - cek TMP. ","")&amp;IF(LEN($R1098)&gt;500,"R &gt; 500 karakter.","")))</f>
        <v/>
      </c>
    </row>
    <row r="1099">
      <c r="A1099">
        <f>IF($AG1099="","",INDEX('TMP Paste'!$B$2:$B$1601,$AG1099))</f>
        <v/>
      </c>
      <c r="B1099">
        <f>IF($AG1099="","",Config!$B$14)</f>
        <v/>
      </c>
      <c r="C1099">
        <f>IF($AG1099="","",Config!$B$15)</f>
        <v/>
      </c>
      <c r="D1099">
        <f>IF($AG1099="","",INDEX('TMP Paste'!$B$2:$B$1601,$AG1099))</f>
        <v/>
      </c>
      <c r="E1099">
        <f>IF($AG1099="","",Config!$B$27)</f>
        <v/>
      </c>
      <c r="F1099">
        <f>IF($AG1099="","",Config!$B$9)</f>
        <v/>
      </c>
      <c r="G1099">
        <f>IF($AG1099="","",Config!$B$10)</f>
        <v/>
      </c>
      <c r="H1099">
        <f>IF($AG1099="","",Config!$B$11)</f>
        <v/>
      </c>
      <c r="I1099">
        <f>IF($AG1099="","",Config!$B$16)</f>
        <v/>
      </c>
      <c r="J1099">
        <f>IF($AG1099="","",INDEX('TMP Paste'!$A$2:$A$1601,$AG1099))</f>
        <v/>
      </c>
      <c r="K1099">
        <f>IF($AG1099="","",INDEX('TMP Paste'!$L$2:$L$1601,$AG1099))</f>
        <v/>
      </c>
      <c r="L1099">
        <f>IF($AG1099="","",INDEX('TMP Paste'!$I$2:$I$1601,$AG1099))</f>
        <v/>
      </c>
      <c r="M1099">
        <f>IF($AG1099="","",Config!$B$16)</f>
        <v/>
      </c>
      <c r="N1099">
        <f>IF($AG1099="","","")</f>
        <v/>
      </c>
      <c r="O1099">
        <f>IF($AG1099="","",INDEX('TMP Paste'!$K$2:$K$1601,$AG1099))</f>
        <v/>
      </c>
      <c r="P1099">
        <f>IF($AG1099="","","")</f>
        <v/>
      </c>
      <c r="Q1099">
        <f>IF($AG1099="","",INDEX('TMP Paste'!$J$2:$J$1601,$AG1099))</f>
        <v/>
      </c>
      <c r="R1099">
        <f>IF($AG1099="","",Config!$B$24)</f>
        <v/>
      </c>
      <c r="S1099">
        <f>IF($AG1099="","",TEXT(Config!$B$4,"yyyy-mm-dd"))</f>
        <v/>
      </c>
      <c r="T1099">
        <f>IF($AG1099="","",Config!$B$17)</f>
        <v/>
      </c>
      <c r="U1099">
        <f>IF($AG1099="","",Config!$B$18)</f>
        <v/>
      </c>
      <c r="V1099">
        <f>IF($AG1099="","",Config!$B$19)</f>
        <v/>
      </c>
      <c r="W1099">
        <f>IF($AG1099="","",INDEX('TMP Paste'!$C$2:$C$1601,$AG1099))</f>
        <v/>
      </c>
      <c r="X1099">
        <f>IF($AG1099="","",Config!$B$29)</f>
        <v/>
      </c>
      <c r="Y1099">
        <f>IF($AH1099="","",INDEX(Calc!$I$2:$I$1601,$AH1099)&amp;" - "&amp;INDEX(Calc!$D$2:$D$1601,$AH1099)&amp;" koli")</f>
        <v/>
      </c>
      <c r="Z1099">
        <f>IF($AG1099="","",Config!$B$21)</f>
        <v/>
      </c>
      <c r="AA1099">
        <f>IF($AG1099="","",Config!$B$22)</f>
        <v/>
      </c>
      <c r="AB1099">
        <f>IF($AH1099="","",INDEX(Calc!$D$2:$D$1601,$AH1099))</f>
        <v/>
      </c>
      <c r="AC1099">
        <f>IF($AH1099="","",INDEX(Calc!$G$2:$G$1601,$AH1099))</f>
        <v/>
      </c>
      <c r="AD1099">
        <f>IF($AG1099="","",Config!$B$23)</f>
        <v/>
      </c>
      <c r="AE1099">
        <f>IF($AG1099="","",Config!$B$28)</f>
        <v/>
      </c>
      <c r="AG1099">
        <f>IFERROR(MATCH(ROW()-1,Calc!$J$2:$J$1601,0),"")</f>
        <v/>
      </c>
      <c r="AH1099">
        <f>IFERROR(MATCH(ROW()-1,Calc!$K$2:$K$1601,0),"")</f>
        <v/>
      </c>
      <c r="AI1099">
        <f>IF($AG1099="","",SUMIF($AG$2:$AG1099,$AG1099,$AH$2:$AH1099))</f>
        <v/>
      </c>
      <c r="AJ1099">
        <f>IF('TMP Paste'!$F1099="","",IF('TMP Paste'!$B1099="",$AJ1098,'TMP Paste'!$B1099))</f>
        <v/>
      </c>
      <c r="AK1099">
        <f>IF('TMP Paste'!$F1099="","",N('TMP Paste'!$G1099))</f>
        <v/>
      </c>
      <c r="AL1099">
        <f>IF('TMP Paste'!$F1099="","",IF('TMP Paste'!$M1099="",$AL1098,'TMP Paste'!$M1099))</f>
        <v/>
      </c>
      <c r="AM1099">
        <f>IF('TMP Paste'!$F1099="","",IF('TMP Paste'!$N1099="",$AM1098,'TMP Paste'!$N1099))</f>
        <v/>
      </c>
      <c r="AN1099">
        <f>IF('TMP Paste'!$F1099="","",IF('TMP Paste'!$O1099="",$AN1098,'TMP Paste'!$O1099))</f>
        <v/>
      </c>
      <c r="AO1099">
        <f>IF('TMP Paste'!$F1099="","",IF('TMP Paste'!$P1099="",$AO1098,'TMP Paste'!$P1099))</f>
        <v/>
      </c>
      <c r="AP1099">
        <f>IF($AG1099="","",LEN($R1099))</f>
        <v/>
      </c>
      <c r="AQ1099">
        <f>IF($AG1099="","",TRIM(IF(COUNTIFS(Calc!$B$2:$B$1601,ROW()-1,Calc!$C$2:$C$1601,"&lt;1")&gt;0,"Ada PO tanpa Koli - cek TMP. ","")&amp;IF(LEN($R1099)&gt;500,"R &gt; 500 karakter.","")))</f>
        <v/>
      </c>
    </row>
    <row r="1100">
      <c r="A1100">
        <f>IF($AG1100="","",INDEX('TMP Paste'!$B$2:$B$1601,$AG1100))</f>
        <v/>
      </c>
      <c r="B1100">
        <f>IF($AG1100="","",Config!$B$14)</f>
        <v/>
      </c>
      <c r="C1100">
        <f>IF($AG1100="","",Config!$B$15)</f>
        <v/>
      </c>
      <c r="D1100">
        <f>IF($AG1100="","",INDEX('TMP Paste'!$B$2:$B$1601,$AG1100))</f>
        <v/>
      </c>
      <c r="E1100">
        <f>IF($AG1100="","",Config!$B$27)</f>
        <v/>
      </c>
      <c r="F1100">
        <f>IF($AG1100="","",Config!$B$9)</f>
        <v/>
      </c>
      <c r="G1100">
        <f>IF($AG1100="","",Config!$B$10)</f>
        <v/>
      </c>
      <c r="H1100">
        <f>IF($AG1100="","",Config!$B$11)</f>
        <v/>
      </c>
      <c r="I1100">
        <f>IF($AG1100="","",Config!$B$16)</f>
        <v/>
      </c>
      <c r="J1100">
        <f>IF($AG1100="","",INDEX('TMP Paste'!$A$2:$A$1601,$AG1100))</f>
        <v/>
      </c>
      <c r="K1100">
        <f>IF($AG1100="","",INDEX('TMP Paste'!$L$2:$L$1601,$AG1100))</f>
        <v/>
      </c>
      <c r="L1100">
        <f>IF($AG1100="","",INDEX('TMP Paste'!$I$2:$I$1601,$AG1100))</f>
        <v/>
      </c>
      <c r="M1100">
        <f>IF($AG1100="","",Config!$B$16)</f>
        <v/>
      </c>
      <c r="N1100">
        <f>IF($AG1100="","","")</f>
        <v/>
      </c>
      <c r="O1100">
        <f>IF($AG1100="","",INDEX('TMP Paste'!$K$2:$K$1601,$AG1100))</f>
        <v/>
      </c>
      <c r="P1100">
        <f>IF($AG1100="","","")</f>
        <v/>
      </c>
      <c r="Q1100">
        <f>IF($AG1100="","",INDEX('TMP Paste'!$J$2:$J$1601,$AG1100))</f>
        <v/>
      </c>
      <c r="R1100">
        <f>IF($AG1100="","",Config!$B$24)</f>
        <v/>
      </c>
      <c r="S1100">
        <f>IF($AG1100="","",TEXT(Config!$B$4,"yyyy-mm-dd"))</f>
        <v/>
      </c>
      <c r="T1100">
        <f>IF($AG1100="","",Config!$B$17)</f>
        <v/>
      </c>
      <c r="U1100">
        <f>IF($AG1100="","",Config!$B$18)</f>
        <v/>
      </c>
      <c r="V1100">
        <f>IF($AG1100="","",Config!$B$19)</f>
        <v/>
      </c>
      <c r="W1100">
        <f>IF($AG1100="","",INDEX('TMP Paste'!$C$2:$C$1601,$AG1100))</f>
        <v/>
      </c>
      <c r="X1100">
        <f>IF($AG1100="","",Config!$B$29)</f>
        <v/>
      </c>
      <c r="Y1100">
        <f>IF($AH1100="","",INDEX(Calc!$I$2:$I$1601,$AH1100)&amp;" - "&amp;INDEX(Calc!$D$2:$D$1601,$AH1100)&amp;" koli")</f>
        <v/>
      </c>
      <c r="Z1100">
        <f>IF($AG1100="","",Config!$B$21)</f>
        <v/>
      </c>
      <c r="AA1100">
        <f>IF($AG1100="","",Config!$B$22)</f>
        <v/>
      </c>
      <c r="AB1100">
        <f>IF($AH1100="","",INDEX(Calc!$D$2:$D$1601,$AH1100))</f>
        <v/>
      </c>
      <c r="AC1100">
        <f>IF($AH1100="","",INDEX(Calc!$G$2:$G$1601,$AH1100))</f>
        <v/>
      </c>
      <c r="AD1100">
        <f>IF($AG1100="","",Config!$B$23)</f>
        <v/>
      </c>
      <c r="AE1100">
        <f>IF($AG1100="","",Config!$B$28)</f>
        <v/>
      </c>
      <c r="AG1100">
        <f>IFERROR(MATCH(ROW()-1,Calc!$J$2:$J$1601,0),"")</f>
        <v/>
      </c>
      <c r="AH1100">
        <f>IFERROR(MATCH(ROW()-1,Calc!$K$2:$K$1601,0),"")</f>
        <v/>
      </c>
      <c r="AI1100">
        <f>IF($AG1100="","",SUMIF($AG$2:$AG1100,$AG1100,$AH$2:$AH1100))</f>
        <v/>
      </c>
      <c r="AJ1100">
        <f>IF('TMP Paste'!$F1100="","",IF('TMP Paste'!$B1100="",$AJ1099,'TMP Paste'!$B1100))</f>
        <v/>
      </c>
      <c r="AK1100">
        <f>IF('TMP Paste'!$F1100="","",N('TMP Paste'!$G1100))</f>
        <v/>
      </c>
      <c r="AL1100">
        <f>IF('TMP Paste'!$F1100="","",IF('TMP Paste'!$M1100="",$AL1099,'TMP Paste'!$M1100))</f>
        <v/>
      </c>
      <c r="AM1100">
        <f>IF('TMP Paste'!$F1100="","",IF('TMP Paste'!$N1100="",$AM1099,'TMP Paste'!$N1100))</f>
        <v/>
      </c>
      <c r="AN1100">
        <f>IF('TMP Paste'!$F1100="","",IF('TMP Paste'!$O1100="",$AN1099,'TMP Paste'!$O1100))</f>
        <v/>
      </c>
      <c r="AO1100">
        <f>IF('TMP Paste'!$F1100="","",IF('TMP Paste'!$P1100="",$AO1099,'TMP Paste'!$P1100))</f>
        <v/>
      </c>
      <c r="AP1100">
        <f>IF($AG1100="","",LEN($R1100))</f>
        <v/>
      </c>
      <c r="AQ1100">
        <f>IF($AG1100="","",TRIM(IF(COUNTIFS(Calc!$B$2:$B$1601,ROW()-1,Calc!$C$2:$C$1601,"&lt;1")&gt;0,"Ada PO tanpa Koli - cek TMP. ","")&amp;IF(LEN($R1100)&gt;500,"R &gt; 500 karakter.","")))</f>
        <v/>
      </c>
    </row>
    <row r="1101">
      <c r="A1101">
        <f>IF($AG1101="","",INDEX('TMP Paste'!$B$2:$B$1601,$AG1101))</f>
        <v/>
      </c>
      <c r="B1101">
        <f>IF($AG1101="","",Config!$B$14)</f>
        <v/>
      </c>
      <c r="C1101">
        <f>IF($AG1101="","",Config!$B$15)</f>
        <v/>
      </c>
      <c r="D1101">
        <f>IF($AG1101="","",INDEX('TMP Paste'!$B$2:$B$1601,$AG1101))</f>
        <v/>
      </c>
      <c r="E1101">
        <f>IF($AG1101="","",Config!$B$27)</f>
        <v/>
      </c>
      <c r="F1101">
        <f>IF($AG1101="","",Config!$B$9)</f>
        <v/>
      </c>
      <c r="G1101">
        <f>IF($AG1101="","",Config!$B$10)</f>
        <v/>
      </c>
      <c r="H1101">
        <f>IF($AG1101="","",Config!$B$11)</f>
        <v/>
      </c>
      <c r="I1101">
        <f>IF($AG1101="","",Config!$B$16)</f>
        <v/>
      </c>
      <c r="J1101">
        <f>IF($AG1101="","",INDEX('TMP Paste'!$A$2:$A$1601,$AG1101))</f>
        <v/>
      </c>
      <c r="K1101">
        <f>IF($AG1101="","",INDEX('TMP Paste'!$L$2:$L$1601,$AG1101))</f>
        <v/>
      </c>
      <c r="L1101">
        <f>IF($AG1101="","",INDEX('TMP Paste'!$I$2:$I$1601,$AG1101))</f>
        <v/>
      </c>
      <c r="M1101">
        <f>IF($AG1101="","",Config!$B$16)</f>
        <v/>
      </c>
      <c r="N1101">
        <f>IF($AG1101="","","")</f>
        <v/>
      </c>
      <c r="O1101">
        <f>IF($AG1101="","",INDEX('TMP Paste'!$K$2:$K$1601,$AG1101))</f>
        <v/>
      </c>
      <c r="P1101">
        <f>IF($AG1101="","","")</f>
        <v/>
      </c>
      <c r="Q1101">
        <f>IF($AG1101="","",INDEX('TMP Paste'!$J$2:$J$1601,$AG1101))</f>
        <v/>
      </c>
      <c r="R1101">
        <f>IF($AG1101="","",Config!$B$24)</f>
        <v/>
      </c>
      <c r="S1101">
        <f>IF($AG1101="","",TEXT(Config!$B$4,"yyyy-mm-dd"))</f>
        <v/>
      </c>
      <c r="T1101">
        <f>IF($AG1101="","",Config!$B$17)</f>
        <v/>
      </c>
      <c r="U1101">
        <f>IF($AG1101="","",Config!$B$18)</f>
        <v/>
      </c>
      <c r="V1101">
        <f>IF($AG1101="","",Config!$B$19)</f>
        <v/>
      </c>
      <c r="W1101">
        <f>IF($AG1101="","",INDEX('TMP Paste'!$C$2:$C$1601,$AG1101))</f>
        <v/>
      </c>
      <c r="X1101">
        <f>IF($AG1101="","",Config!$B$29)</f>
        <v/>
      </c>
      <c r="Y1101">
        <f>IF($AH1101="","",INDEX(Calc!$I$2:$I$1601,$AH1101)&amp;" - "&amp;INDEX(Calc!$D$2:$D$1601,$AH1101)&amp;" koli")</f>
        <v/>
      </c>
      <c r="Z1101">
        <f>IF($AG1101="","",Config!$B$21)</f>
        <v/>
      </c>
      <c r="AA1101">
        <f>IF($AG1101="","",Config!$B$22)</f>
        <v/>
      </c>
      <c r="AB1101">
        <f>IF($AH1101="","",INDEX(Calc!$D$2:$D$1601,$AH1101))</f>
        <v/>
      </c>
      <c r="AC1101">
        <f>IF($AH1101="","",INDEX(Calc!$G$2:$G$1601,$AH1101))</f>
        <v/>
      </c>
      <c r="AD1101">
        <f>IF($AG1101="","",Config!$B$23)</f>
        <v/>
      </c>
      <c r="AE1101">
        <f>IF($AG1101="","",Config!$B$28)</f>
        <v/>
      </c>
      <c r="AG1101">
        <f>IFERROR(MATCH(ROW()-1,Calc!$J$2:$J$1601,0),"")</f>
        <v/>
      </c>
      <c r="AH1101">
        <f>IFERROR(MATCH(ROW()-1,Calc!$K$2:$K$1601,0),"")</f>
        <v/>
      </c>
      <c r="AI1101">
        <f>IF($AG1101="","",SUMIF($AG$2:$AG1101,$AG1101,$AH$2:$AH1101))</f>
        <v/>
      </c>
      <c r="AJ1101">
        <f>IF('TMP Paste'!$F1101="","",IF('TMP Paste'!$B1101="",$AJ1100,'TMP Paste'!$B1101))</f>
        <v/>
      </c>
      <c r="AK1101">
        <f>IF('TMP Paste'!$F1101="","",N('TMP Paste'!$G1101))</f>
        <v/>
      </c>
      <c r="AL1101">
        <f>IF('TMP Paste'!$F1101="","",IF('TMP Paste'!$M1101="",$AL1100,'TMP Paste'!$M1101))</f>
        <v/>
      </c>
      <c r="AM1101">
        <f>IF('TMP Paste'!$F1101="","",IF('TMP Paste'!$N1101="",$AM1100,'TMP Paste'!$N1101))</f>
        <v/>
      </c>
      <c r="AN1101">
        <f>IF('TMP Paste'!$F1101="","",IF('TMP Paste'!$O1101="",$AN1100,'TMP Paste'!$O1101))</f>
        <v/>
      </c>
      <c r="AO1101">
        <f>IF('TMP Paste'!$F1101="","",IF('TMP Paste'!$P1101="",$AO1100,'TMP Paste'!$P1101))</f>
        <v/>
      </c>
      <c r="AP1101">
        <f>IF($AG1101="","",LEN($R1101))</f>
        <v/>
      </c>
      <c r="AQ1101">
        <f>IF($AG1101="","",TRIM(IF(COUNTIFS(Calc!$B$2:$B$1601,ROW()-1,Calc!$C$2:$C$1601,"&lt;1")&gt;0,"Ada PO tanpa Koli - cek TMP. ","")&amp;IF(LEN($R1101)&gt;500,"R &gt; 500 karakter.","")))</f>
        <v/>
      </c>
    </row>
    <row r="1102">
      <c r="A1102">
        <f>IF($AG1102="","",INDEX('TMP Paste'!$B$2:$B$1601,$AG1102))</f>
        <v/>
      </c>
      <c r="B1102">
        <f>IF($AG1102="","",Config!$B$14)</f>
        <v/>
      </c>
      <c r="C1102">
        <f>IF($AG1102="","",Config!$B$15)</f>
        <v/>
      </c>
      <c r="D1102">
        <f>IF($AG1102="","",INDEX('TMP Paste'!$B$2:$B$1601,$AG1102))</f>
        <v/>
      </c>
      <c r="E1102">
        <f>IF($AG1102="","",Config!$B$27)</f>
        <v/>
      </c>
      <c r="F1102">
        <f>IF($AG1102="","",Config!$B$9)</f>
        <v/>
      </c>
      <c r="G1102">
        <f>IF($AG1102="","",Config!$B$10)</f>
        <v/>
      </c>
      <c r="H1102">
        <f>IF($AG1102="","",Config!$B$11)</f>
        <v/>
      </c>
      <c r="I1102">
        <f>IF($AG1102="","",Config!$B$16)</f>
        <v/>
      </c>
      <c r="J1102">
        <f>IF($AG1102="","",INDEX('TMP Paste'!$A$2:$A$1601,$AG1102))</f>
        <v/>
      </c>
      <c r="K1102">
        <f>IF($AG1102="","",INDEX('TMP Paste'!$L$2:$L$1601,$AG1102))</f>
        <v/>
      </c>
      <c r="L1102">
        <f>IF($AG1102="","",INDEX('TMP Paste'!$I$2:$I$1601,$AG1102))</f>
        <v/>
      </c>
      <c r="M1102">
        <f>IF($AG1102="","",Config!$B$16)</f>
        <v/>
      </c>
      <c r="N1102">
        <f>IF($AG1102="","","")</f>
        <v/>
      </c>
      <c r="O1102">
        <f>IF($AG1102="","",INDEX('TMP Paste'!$K$2:$K$1601,$AG1102))</f>
        <v/>
      </c>
      <c r="P1102">
        <f>IF($AG1102="","","")</f>
        <v/>
      </c>
      <c r="Q1102">
        <f>IF($AG1102="","",INDEX('TMP Paste'!$J$2:$J$1601,$AG1102))</f>
        <v/>
      </c>
      <c r="R1102">
        <f>IF($AG1102="","",Config!$B$24)</f>
        <v/>
      </c>
      <c r="S1102">
        <f>IF($AG1102="","",TEXT(Config!$B$4,"yyyy-mm-dd"))</f>
        <v/>
      </c>
      <c r="T1102">
        <f>IF($AG1102="","",Config!$B$17)</f>
        <v/>
      </c>
      <c r="U1102">
        <f>IF($AG1102="","",Config!$B$18)</f>
        <v/>
      </c>
      <c r="V1102">
        <f>IF($AG1102="","",Config!$B$19)</f>
        <v/>
      </c>
      <c r="W1102">
        <f>IF($AG1102="","",INDEX('TMP Paste'!$C$2:$C$1601,$AG1102))</f>
        <v/>
      </c>
      <c r="X1102">
        <f>IF($AG1102="","",Config!$B$29)</f>
        <v/>
      </c>
      <c r="Y1102">
        <f>IF($AH1102="","",INDEX(Calc!$I$2:$I$1601,$AH1102)&amp;" - "&amp;INDEX(Calc!$D$2:$D$1601,$AH1102)&amp;" koli")</f>
        <v/>
      </c>
      <c r="Z1102">
        <f>IF($AG1102="","",Config!$B$21)</f>
        <v/>
      </c>
      <c r="AA1102">
        <f>IF($AG1102="","",Config!$B$22)</f>
        <v/>
      </c>
      <c r="AB1102">
        <f>IF($AH1102="","",INDEX(Calc!$D$2:$D$1601,$AH1102))</f>
        <v/>
      </c>
      <c r="AC1102">
        <f>IF($AH1102="","",INDEX(Calc!$G$2:$G$1601,$AH1102))</f>
        <v/>
      </c>
      <c r="AD1102">
        <f>IF($AG1102="","",Config!$B$23)</f>
        <v/>
      </c>
      <c r="AE1102">
        <f>IF($AG1102="","",Config!$B$28)</f>
        <v/>
      </c>
      <c r="AG1102">
        <f>IFERROR(MATCH(ROW()-1,Calc!$J$2:$J$1601,0),"")</f>
        <v/>
      </c>
      <c r="AH1102">
        <f>IFERROR(MATCH(ROW()-1,Calc!$K$2:$K$1601,0),"")</f>
        <v/>
      </c>
      <c r="AI1102">
        <f>IF($AG1102="","",SUMIF($AG$2:$AG1102,$AG1102,$AH$2:$AH1102))</f>
        <v/>
      </c>
      <c r="AJ1102">
        <f>IF('TMP Paste'!$F1102="","",IF('TMP Paste'!$B1102="",$AJ1101,'TMP Paste'!$B1102))</f>
        <v/>
      </c>
      <c r="AK1102">
        <f>IF('TMP Paste'!$F1102="","",N('TMP Paste'!$G1102))</f>
        <v/>
      </c>
      <c r="AL1102">
        <f>IF('TMP Paste'!$F1102="","",IF('TMP Paste'!$M1102="",$AL1101,'TMP Paste'!$M1102))</f>
        <v/>
      </c>
      <c r="AM1102">
        <f>IF('TMP Paste'!$F1102="","",IF('TMP Paste'!$N1102="",$AM1101,'TMP Paste'!$N1102))</f>
        <v/>
      </c>
      <c r="AN1102">
        <f>IF('TMP Paste'!$F1102="","",IF('TMP Paste'!$O1102="",$AN1101,'TMP Paste'!$O1102))</f>
        <v/>
      </c>
      <c r="AO1102">
        <f>IF('TMP Paste'!$F1102="","",IF('TMP Paste'!$P1102="",$AO1101,'TMP Paste'!$P1102))</f>
        <v/>
      </c>
      <c r="AP1102">
        <f>IF($AG1102="","",LEN($R1102))</f>
        <v/>
      </c>
      <c r="AQ1102">
        <f>IF($AG1102="","",TRIM(IF(COUNTIFS(Calc!$B$2:$B$1601,ROW()-1,Calc!$C$2:$C$1601,"&lt;1")&gt;0,"Ada PO tanpa Koli - cek TMP. ","")&amp;IF(LEN($R1102)&gt;500,"R &gt; 500 karakter.","")))</f>
        <v/>
      </c>
    </row>
    <row r="1103">
      <c r="A1103">
        <f>IF($AG1103="","",INDEX('TMP Paste'!$B$2:$B$1601,$AG1103))</f>
        <v/>
      </c>
      <c r="B1103">
        <f>IF($AG1103="","",Config!$B$14)</f>
        <v/>
      </c>
      <c r="C1103">
        <f>IF($AG1103="","",Config!$B$15)</f>
        <v/>
      </c>
      <c r="D1103">
        <f>IF($AG1103="","",INDEX('TMP Paste'!$B$2:$B$1601,$AG1103))</f>
        <v/>
      </c>
      <c r="E1103">
        <f>IF($AG1103="","",Config!$B$27)</f>
        <v/>
      </c>
      <c r="F1103">
        <f>IF($AG1103="","",Config!$B$9)</f>
        <v/>
      </c>
      <c r="G1103">
        <f>IF($AG1103="","",Config!$B$10)</f>
        <v/>
      </c>
      <c r="H1103">
        <f>IF($AG1103="","",Config!$B$11)</f>
        <v/>
      </c>
      <c r="I1103">
        <f>IF($AG1103="","",Config!$B$16)</f>
        <v/>
      </c>
      <c r="J1103">
        <f>IF($AG1103="","",INDEX('TMP Paste'!$A$2:$A$1601,$AG1103))</f>
        <v/>
      </c>
      <c r="K1103">
        <f>IF($AG1103="","",INDEX('TMP Paste'!$L$2:$L$1601,$AG1103))</f>
        <v/>
      </c>
      <c r="L1103">
        <f>IF($AG1103="","",INDEX('TMP Paste'!$I$2:$I$1601,$AG1103))</f>
        <v/>
      </c>
      <c r="M1103">
        <f>IF($AG1103="","",Config!$B$16)</f>
        <v/>
      </c>
      <c r="N1103">
        <f>IF($AG1103="","","")</f>
        <v/>
      </c>
      <c r="O1103">
        <f>IF($AG1103="","",INDEX('TMP Paste'!$K$2:$K$1601,$AG1103))</f>
        <v/>
      </c>
      <c r="P1103">
        <f>IF($AG1103="","","")</f>
        <v/>
      </c>
      <c r="Q1103">
        <f>IF($AG1103="","",INDEX('TMP Paste'!$J$2:$J$1601,$AG1103))</f>
        <v/>
      </c>
      <c r="R1103">
        <f>IF($AG1103="","",Config!$B$24)</f>
        <v/>
      </c>
      <c r="S1103">
        <f>IF($AG1103="","",TEXT(Config!$B$4,"yyyy-mm-dd"))</f>
        <v/>
      </c>
      <c r="T1103">
        <f>IF($AG1103="","",Config!$B$17)</f>
        <v/>
      </c>
      <c r="U1103">
        <f>IF($AG1103="","",Config!$B$18)</f>
        <v/>
      </c>
      <c r="V1103">
        <f>IF($AG1103="","",Config!$B$19)</f>
        <v/>
      </c>
      <c r="W1103">
        <f>IF($AG1103="","",INDEX('TMP Paste'!$C$2:$C$1601,$AG1103))</f>
        <v/>
      </c>
      <c r="X1103">
        <f>IF($AG1103="","",Config!$B$29)</f>
        <v/>
      </c>
      <c r="Y1103">
        <f>IF($AH1103="","",INDEX(Calc!$I$2:$I$1601,$AH1103)&amp;" - "&amp;INDEX(Calc!$D$2:$D$1601,$AH1103)&amp;" koli")</f>
        <v/>
      </c>
      <c r="Z1103">
        <f>IF($AG1103="","",Config!$B$21)</f>
        <v/>
      </c>
      <c r="AA1103">
        <f>IF($AG1103="","",Config!$B$22)</f>
        <v/>
      </c>
      <c r="AB1103">
        <f>IF($AH1103="","",INDEX(Calc!$D$2:$D$1601,$AH1103))</f>
        <v/>
      </c>
      <c r="AC1103">
        <f>IF($AH1103="","",INDEX(Calc!$G$2:$G$1601,$AH1103))</f>
        <v/>
      </c>
      <c r="AD1103">
        <f>IF($AG1103="","",Config!$B$23)</f>
        <v/>
      </c>
      <c r="AE1103">
        <f>IF($AG1103="","",Config!$B$28)</f>
        <v/>
      </c>
      <c r="AG1103">
        <f>IFERROR(MATCH(ROW()-1,Calc!$J$2:$J$1601,0),"")</f>
        <v/>
      </c>
      <c r="AH1103">
        <f>IFERROR(MATCH(ROW()-1,Calc!$K$2:$K$1601,0),"")</f>
        <v/>
      </c>
      <c r="AI1103">
        <f>IF($AG1103="","",SUMIF($AG$2:$AG1103,$AG1103,$AH$2:$AH1103))</f>
        <v/>
      </c>
      <c r="AJ1103">
        <f>IF('TMP Paste'!$F1103="","",IF('TMP Paste'!$B1103="",$AJ1102,'TMP Paste'!$B1103))</f>
        <v/>
      </c>
      <c r="AK1103">
        <f>IF('TMP Paste'!$F1103="","",N('TMP Paste'!$G1103))</f>
        <v/>
      </c>
      <c r="AL1103">
        <f>IF('TMP Paste'!$F1103="","",IF('TMP Paste'!$M1103="",$AL1102,'TMP Paste'!$M1103))</f>
        <v/>
      </c>
      <c r="AM1103">
        <f>IF('TMP Paste'!$F1103="","",IF('TMP Paste'!$N1103="",$AM1102,'TMP Paste'!$N1103))</f>
        <v/>
      </c>
      <c r="AN1103">
        <f>IF('TMP Paste'!$F1103="","",IF('TMP Paste'!$O1103="",$AN1102,'TMP Paste'!$O1103))</f>
        <v/>
      </c>
      <c r="AO1103">
        <f>IF('TMP Paste'!$F1103="","",IF('TMP Paste'!$P1103="",$AO1102,'TMP Paste'!$P1103))</f>
        <v/>
      </c>
      <c r="AP1103">
        <f>IF($AG1103="","",LEN($R1103))</f>
        <v/>
      </c>
      <c r="AQ1103">
        <f>IF($AG1103="","",TRIM(IF(COUNTIFS(Calc!$B$2:$B$1601,ROW()-1,Calc!$C$2:$C$1601,"&lt;1")&gt;0,"Ada PO tanpa Koli - cek TMP. ","")&amp;IF(LEN($R1103)&gt;500,"R &gt; 500 karakter.","")))</f>
        <v/>
      </c>
    </row>
    <row r="1104">
      <c r="A1104">
        <f>IF($AG1104="","",INDEX('TMP Paste'!$B$2:$B$1601,$AG1104))</f>
        <v/>
      </c>
      <c r="B1104">
        <f>IF($AG1104="","",Config!$B$14)</f>
        <v/>
      </c>
      <c r="C1104">
        <f>IF($AG1104="","",Config!$B$15)</f>
        <v/>
      </c>
      <c r="D1104">
        <f>IF($AG1104="","",INDEX('TMP Paste'!$B$2:$B$1601,$AG1104))</f>
        <v/>
      </c>
      <c r="E1104">
        <f>IF($AG1104="","",Config!$B$27)</f>
        <v/>
      </c>
      <c r="F1104">
        <f>IF($AG1104="","",Config!$B$9)</f>
        <v/>
      </c>
      <c r="G1104">
        <f>IF($AG1104="","",Config!$B$10)</f>
        <v/>
      </c>
      <c r="H1104">
        <f>IF($AG1104="","",Config!$B$11)</f>
        <v/>
      </c>
      <c r="I1104">
        <f>IF($AG1104="","",Config!$B$16)</f>
        <v/>
      </c>
      <c r="J1104">
        <f>IF($AG1104="","",INDEX('TMP Paste'!$A$2:$A$1601,$AG1104))</f>
        <v/>
      </c>
      <c r="K1104">
        <f>IF($AG1104="","",INDEX('TMP Paste'!$L$2:$L$1601,$AG1104))</f>
        <v/>
      </c>
      <c r="L1104">
        <f>IF($AG1104="","",INDEX('TMP Paste'!$I$2:$I$1601,$AG1104))</f>
        <v/>
      </c>
      <c r="M1104">
        <f>IF($AG1104="","",Config!$B$16)</f>
        <v/>
      </c>
      <c r="N1104">
        <f>IF($AG1104="","","")</f>
        <v/>
      </c>
      <c r="O1104">
        <f>IF($AG1104="","",INDEX('TMP Paste'!$K$2:$K$1601,$AG1104))</f>
        <v/>
      </c>
      <c r="P1104">
        <f>IF($AG1104="","","")</f>
        <v/>
      </c>
      <c r="Q1104">
        <f>IF($AG1104="","",INDEX('TMP Paste'!$J$2:$J$1601,$AG1104))</f>
        <v/>
      </c>
      <c r="R1104">
        <f>IF($AG1104="","",Config!$B$24)</f>
        <v/>
      </c>
      <c r="S1104">
        <f>IF($AG1104="","",TEXT(Config!$B$4,"yyyy-mm-dd"))</f>
        <v/>
      </c>
      <c r="T1104">
        <f>IF($AG1104="","",Config!$B$17)</f>
        <v/>
      </c>
      <c r="U1104">
        <f>IF($AG1104="","",Config!$B$18)</f>
        <v/>
      </c>
      <c r="V1104">
        <f>IF($AG1104="","",Config!$B$19)</f>
        <v/>
      </c>
      <c r="W1104">
        <f>IF($AG1104="","",INDEX('TMP Paste'!$C$2:$C$1601,$AG1104))</f>
        <v/>
      </c>
      <c r="X1104">
        <f>IF($AG1104="","",Config!$B$29)</f>
        <v/>
      </c>
      <c r="Y1104">
        <f>IF($AH1104="","",INDEX(Calc!$I$2:$I$1601,$AH1104)&amp;" - "&amp;INDEX(Calc!$D$2:$D$1601,$AH1104)&amp;" koli")</f>
        <v/>
      </c>
      <c r="Z1104">
        <f>IF($AG1104="","",Config!$B$21)</f>
        <v/>
      </c>
      <c r="AA1104">
        <f>IF($AG1104="","",Config!$B$22)</f>
        <v/>
      </c>
      <c r="AB1104">
        <f>IF($AH1104="","",INDEX(Calc!$D$2:$D$1601,$AH1104))</f>
        <v/>
      </c>
      <c r="AC1104">
        <f>IF($AH1104="","",INDEX(Calc!$G$2:$G$1601,$AH1104))</f>
        <v/>
      </c>
      <c r="AD1104">
        <f>IF($AG1104="","",Config!$B$23)</f>
        <v/>
      </c>
      <c r="AE1104">
        <f>IF($AG1104="","",Config!$B$28)</f>
        <v/>
      </c>
      <c r="AG1104">
        <f>IFERROR(MATCH(ROW()-1,Calc!$J$2:$J$1601,0),"")</f>
        <v/>
      </c>
      <c r="AH1104">
        <f>IFERROR(MATCH(ROW()-1,Calc!$K$2:$K$1601,0),"")</f>
        <v/>
      </c>
      <c r="AI1104">
        <f>IF($AG1104="","",SUMIF($AG$2:$AG1104,$AG1104,$AH$2:$AH1104))</f>
        <v/>
      </c>
      <c r="AJ1104">
        <f>IF('TMP Paste'!$F1104="","",IF('TMP Paste'!$B1104="",$AJ1103,'TMP Paste'!$B1104))</f>
        <v/>
      </c>
      <c r="AK1104">
        <f>IF('TMP Paste'!$F1104="","",N('TMP Paste'!$G1104))</f>
        <v/>
      </c>
      <c r="AL1104">
        <f>IF('TMP Paste'!$F1104="","",IF('TMP Paste'!$M1104="",$AL1103,'TMP Paste'!$M1104))</f>
        <v/>
      </c>
      <c r="AM1104">
        <f>IF('TMP Paste'!$F1104="","",IF('TMP Paste'!$N1104="",$AM1103,'TMP Paste'!$N1104))</f>
        <v/>
      </c>
      <c r="AN1104">
        <f>IF('TMP Paste'!$F1104="","",IF('TMP Paste'!$O1104="",$AN1103,'TMP Paste'!$O1104))</f>
        <v/>
      </c>
      <c r="AO1104">
        <f>IF('TMP Paste'!$F1104="","",IF('TMP Paste'!$P1104="",$AO1103,'TMP Paste'!$P1104))</f>
        <v/>
      </c>
      <c r="AP1104">
        <f>IF($AG1104="","",LEN($R1104))</f>
        <v/>
      </c>
      <c r="AQ1104">
        <f>IF($AG1104="","",TRIM(IF(COUNTIFS(Calc!$B$2:$B$1601,ROW()-1,Calc!$C$2:$C$1601,"&lt;1")&gt;0,"Ada PO tanpa Koli - cek TMP. ","")&amp;IF(LEN($R1104)&gt;500,"R &gt; 500 karakter.","")))</f>
        <v/>
      </c>
    </row>
    <row r="1105">
      <c r="A1105">
        <f>IF($AG1105="","",INDEX('TMP Paste'!$B$2:$B$1601,$AG1105))</f>
        <v/>
      </c>
      <c r="B1105">
        <f>IF($AG1105="","",Config!$B$14)</f>
        <v/>
      </c>
      <c r="C1105">
        <f>IF($AG1105="","",Config!$B$15)</f>
        <v/>
      </c>
      <c r="D1105">
        <f>IF($AG1105="","",INDEX('TMP Paste'!$B$2:$B$1601,$AG1105))</f>
        <v/>
      </c>
      <c r="E1105">
        <f>IF($AG1105="","",Config!$B$27)</f>
        <v/>
      </c>
      <c r="F1105">
        <f>IF($AG1105="","",Config!$B$9)</f>
        <v/>
      </c>
      <c r="G1105">
        <f>IF($AG1105="","",Config!$B$10)</f>
        <v/>
      </c>
      <c r="H1105">
        <f>IF($AG1105="","",Config!$B$11)</f>
        <v/>
      </c>
      <c r="I1105">
        <f>IF($AG1105="","",Config!$B$16)</f>
        <v/>
      </c>
      <c r="J1105">
        <f>IF($AG1105="","",INDEX('TMP Paste'!$A$2:$A$1601,$AG1105))</f>
        <v/>
      </c>
      <c r="K1105">
        <f>IF($AG1105="","",INDEX('TMP Paste'!$L$2:$L$1601,$AG1105))</f>
        <v/>
      </c>
      <c r="L1105">
        <f>IF($AG1105="","",INDEX('TMP Paste'!$I$2:$I$1601,$AG1105))</f>
        <v/>
      </c>
      <c r="M1105">
        <f>IF($AG1105="","",Config!$B$16)</f>
        <v/>
      </c>
      <c r="N1105">
        <f>IF($AG1105="","","")</f>
        <v/>
      </c>
      <c r="O1105">
        <f>IF($AG1105="","",INDEX('TMP Paste'!$K$2:$K$1601,$AG1105))</f>
        <v/>
      </c>
      <c r="P1105">
        <f>IF($AG1105="","","")</f>
        <v/>
      </c>
      <c r="Q1105">
        <f>IF($AG1105="","",INDEX('TMP Paste'!$J$2:$J$1601,$AG1105))</f>
        <v/>
      </c>
      <c r="R1105">
        <f>IF($AG1105="","",Config!$B$24)</f>
        <v/>
      </c>
      <c r="S1105">
        <f>IF($AG1105="","",TEXT(Config!$B$4,"yyyy-mm-dd"))</f>
        <v/>
      </c>
      <c r="T1105">
        <f>IF($AG1105="","",Config!$B$17)</f>
        <v/>
      </c>
      <c r="U1105">
        <f>IF($AG1105="","",Config!$B$18)</f>
        <v/>
      </c>
      <c r="V1105">
        <f>IF($AG1105="","",Config!$B$19)</f>
        <v/>
      </c>
      <c r="W1105">
        <f>IF($AG1105="","",INDEX('TMP Paste'!$C$2:$C$1601,$AG1105))</f>
        <v/>
      </c>
      <c r="X1105">
        <f>IF($AG1105="","",Config!$B$29)</f>
        <v/>
      </c>
      <c r="Y1105">
        <f>IF($AH1105="","",INDEX(Calc!$I$2:$I$1601,$AH1105)&amp;" - "&amp;INDEX(Calc!$D$2:$D$1601,$AH1105)&amp;" koli")</f>
        <v/>
      </c>
      <c r="Z1105">
        <f>IF($AG1105="","",Config!$B$21)</f>
        <v/>
      </c>
      <c r="AA1105">
        <f>IF($AG1105="","",Config!$B$22)</f>
        <v/>
      </c>
      <c r="AB1105">
        <f>IF($AH1105="","",INDEX(Calc!$D$2:$D$1601,$AH1105))</f>
        <v/>
      </c>
      <c r="AC1105">
        <f>IF($AH1105="","",INDEX(Calc!$G$2:$G$1601,$AH1105))</f>
        <v/>
      </c>
      <c r="AD1105">
        <f>IF($AG1105="","",Config!$B$23)</f>
        <v/>
      </c>
      <c r="AE1105">
        <f>IF($AG1105="","",Config!$B$28)</f>
        <v/>
      </c>
      <c r="AG1105">
        <f>IFERROR(MATCH(ROW()-1,Calc!$J$2:$J$1601,0),"")</f>
        <v/>
      </c>
      <c r="AH1105">
        <f>IFERROR(MATCH(ROW()-1,Calc!$K$2:$K$1601,0),"")</f>
        <v/>
      </c>
      <c r="AI1105">
        <f>IF($AG1105="","",SUMIF($AG$2:$AG1105,$AG1105,$AH$2:$AH1105))</f>
        <v/>
      </c>
      <c r="AJ1105">
        <f>IF('TMP Paste'!$F1105="","",IF('TMP Paste'!$B1105="",$AJ1104,'TMP Paste'!$B1105))</f>
        <v/>
      </c>
      <c r="AK1105">
        <f>IF('TMP Paste'!$F1105="","",N('TMP Paste'!$G1105))</f>
        <v/>
      </c>
      <c r="AL1105">
        <f>IF('TMP Paste'!$F1105="","",IF('TMP Paste'!$M1105="",$AL1104,'TMP Paste'!$M1105))</f>
        <v/>
      </c>
      <c r="AM1105">
        <f>IF('TMP Paste'!$F1105="","",IF('TMP Paste'!$N1105="",$AM1104,'TMP Paste'!$N1105))</f>
        <v/>
      </c>
      <c r="AN1105">
        <f>IF('TMP Paste'!$F1105="","",IF('TMP Paste'!$O1105="",$AN1104,'TMP Paste'!$O1105))</f>
        <v/>
      </c>
      <c r="AO1105">
        <f>IF('TMP Paste'!$F1105="","",IF('TMP Paste'!$P1105="",$AO1104,'TMP Paste'!$P1105))</f>
        <v/>
      </c>
      <c r="AP1105">
        <f>IF($AG1105="","",LEN($R1105))</f>
        <v/>
      </c>
      <c r="AQ1105">
        <f>IF($AG1105="","",TRIM(IF(COUNTIFS(Calc!$B$2:$B$1601,ROW()-1,Calc!$C$2:$C$1601,"&lt;1")&gt;0,"Ada PO tanpa Koli - cek TMP. ","")&amp;IF(LEN($R1105)&gt;500,"R &gt; 500 karakter.","")))</f>
        <v/>
      </c>
    </row>
    <row r="1106">
      <c r="A1106">
        <f>IF($AG1106="","",INDEX('TMP Paste'!$B$2:$B$1601,$AG1106))</f>
        <v/>
      </c>
      <c r="B1106">
        <f>IF($AG1106="","",Config!$B$14)</f>
        <v/>
      </c>
      <c r="C1106">
        <f>IF($AG1106="","",Config!$B$15)</f>
        <v/>
      </c>
      <c r="D1106">
        <f>IF($AG1106="","",INDEX('TMP Paste'!$B$2:$B$1601,$AG1106))</f>
        <v/>
      </c>
      <c r="E1106">
        <f>IF($AG1106="","",Config!$B$27)</f>
        <v/>
      </c>
      <c r="F1106">
        <f>IF($AG1106="","",Config!$B$9)</f>
        <v/>
      </c>
      <c r="G1106">
        <f>IF($AG1106="","",Config!$B$10)</f>
        <v/>
      </c>
      <c r="H1106">
        <f>IF($AG1106="","",Config!$B$11)</f>
        <v/>
      </c>
      <c r="I1106">
        <f>IF($AG1106="","",Config!$B$16)</f>
        <v/>
      </c>
      <c r="J1106">
        <f>IF($AG1106="","",INDEX('TMP Paste'!$A$2:$A$1601,$AG1106))</f>
        <v/>
      </c>
      <c r="K1106">
        <f>IF($AG1106="","",INDEX('TMP Paste'!$L$2:$L$1601,$AG1106))</f>
        <v/>
      </c>
      <c r="L1106">
        <f>IF($AG1106="","",INDEX('TMP Paste'!$I$2:$I$1601,$AG1106))</f>
        <v/>
      </c>
      <c r="M1106">
        <f>IF($AG1106="","",Config!$B$16)</f>
        <v/>
      </c>
      <c r="N1106">
        <f>IF($AG1106="","","")</f>
        <v/>
      </c>
      <c r="O1106">
        <f>IF($AG1106="","",INDEX('TMP Paste'!$K$2:$K$1601,$AG1106))</f>
        <v/>
      </c>
      <c r="P1106">
        <f>IF($AG1106="","","")</f>
        <v/>
      </c>
      <c r="Q1106">
        <f>IF($AG1106="","",INDEX('TMP Paste'!$J$2:$J$1601,$AG1106))</f>
        <v/>
      </c>
      <c r="R1106">
        <f>IF($AG1106="","",Config!$B$24)</f>
        <v/>
      </c>
      <c r="S1106">
        <f>IF($AG1106="","",TEXT(Config!$B$4,"yyyy-mm-dd"))</f>
        <v/>
      </c>
      <c r="T1106">
        <f>IF($AG1106="","",Config!$B$17)</f>
        <v/>
      </c>
      <c r="U1106">
        <f>IF($AG1106="","",Config!$B$18)</f>
        <v/>
      </c>
      <c r="V1106">
        <f>IF($AG1106="","",Config!$B$19)</f>
        <v/>
      </c>
      <c r="W1106">
        <f>IF($AG1106="","",INDEX('TMP Paste'!$C$2:$C$1601,$AG1106))</f>
        <v/>
      </c>
      <c r="X1106">
        <f>IF($AG1106="","",Config!$B$29)</f>
        <v/>
      </c>
      <c r="Y1106">
        <f>IF($AH1106="","",INDEX(Calc!$I$2:$I$1601,$AH1106)&amp;" - "&amp;INDEX(Calc!$D$2:$D$1601,$AH1106)&amp;" koli")</f>
        <v/>
      </c>
      <c r="Z1106">
        <f>IF($AG1106="","",Config!$B$21)</f>
        <v/>
      </c>
      <c r="AA1106">
        <f>IF($AG1106="","",Config!$B$22)</f>
        <v/>
      </c>
      <c r="AB1106">
        <f>IF($AH1106="","",INDEX(Calc!$D$2:$D$1601,$AH1106))</f>
        <v/>
      </c>
      <c r="AC1106">
        <f>IF($AH1106="","",INDEX(Calc!$G$2:$G$1601,$AH1106))</f>
        <v/>
      </c>
      <c r="AD1106">
        <f>IF($AG1106="","",Config!$B$23)</f>
        <v/>
      </c>
      <c r="AE1106">
        <f>IF($AG1106="","",Config!$B$28)</f>
        <v/>
      </c>
      <c r="AG1106">
        <f>IFERROR(MATCH(ROW()-1,Calc!$J$2:$J$1601,0),"")</f>
        <v/>
      </c>
      <c r="AH1106">
        <f>IFERROR(MATCH(ROW()-1,Calc!$K$2:$K$1601,0),"")</f>
        <v/>
      </c>
      <c r="AI1106">
        <f>IF($AG1106="","",SUMIF($AG$2:$AG1106,$AG1106,$AH$2:$AH1106))</f>
        <v/>
      </c>
      <c r="AJ1106">
        <f>IF('TMP Paste'!$F1106="","",IF('TMP Paste'!$B1106="",$AJ1105,'TMP Paste'!$B1106))</f>
        <v/>
      </c>
      <c r="AK1106">
        <f>IF('TMP Paste'!$F1106="","",N('TMP Paste'!$G1106))</f>
        <v/>
      </c>
      <c r="AL1106">
        <f>IF('TMP Paste'!$F1106="","",IF('TMP Paste'!$M1106="",$AL1105,'TMP Paste'!$M1106))</f>
        <v/>
      </c>
      <c r="AM1106">
        <f>IF('TMP Paste'!$F1106="","",IF('TMP Paste'!$N1106="",$AM1105,'TMP Paste'!$N1106))</f>
        <v/>
      </c>
      <c r="AN1106">
        <f>IF('TMP Paste'!$F1106="","",IF('TMP Paste'!$O1106="",$AN1105,'TMP Paste'!$O1106))</f>
        <v/>
      </c>
      <c r="AO1106">
        <f>IF('TMP Paste'!$F1106="","",IF('TMP Paste'!$P1106="",$AO1105,'TMP Paste'!$P1106))</f>
        <v/>
      </c>
      <c r="AP1106">
        <f>IF($AG1106="","",LEN($R1106))</f>
        <v/>
      </c>
      <c r="AQ1106">
        <f>IF($AG1106="","",TRIM(IF(COUNTIFS(Calc!$B$2:$B$1601,ROW()-1,Calc!$C$2:$C$1601,"&lt;1")&gt;0,"Ada PO tanpa Koli - cek TMP. ","")&amp;IF(LEN($R1106)&gt;500,"R &gt; 500 karakter.","")))</f>
        <v/>
      </c>
    </row>
    <row r="1107">
      <c r="A1107">
        <f>IF($AG1107="","",INDEX('TMP Paste'!$B$2:$B$1601,$AG1107))</f>
        <v/>
      </c>
      <c r="B1107">
        <f>IF($AG1107="","",Config!$B$14)</f>
        <v/>
      </c>
      <c r="C1107">
        <f>IF($AG1107="","",Config!$B$15)</f>
        <v/>
      </c>
      <c r="D1107">
        <f>IF($AG1107="","",INDEX('TMP Paste'!$B$2:$B$1601,$AG1107))</f>
        <v/>
      </c>
      <c r="E1107">
        <f>IF($AG1107="","",Config!$B$27)</f>
        <v/>
      </c>
      <c r="F1107">
        <f>IF($AG1107="","",Config!$B$9)</f>
        <v/>
      </c>
      <c r="G1107">
        <f>IF($AG1107="","",Config!$B$10)</f>
        <v/>
      </c>
      <c r="H1107">
        <f>IF($AG1107="","",Config!$B$11)</f>
        <v/>
      </c>
      <c r="I1107">
        <f>IF($AG1107="","",Config!$B$16)</f>
        <v/>
      </c>
      <c r="J1107">
        <f>IF($AG1107="","",INDEX('TMP Paste'!$A$2:$A$1601,$AG1107))</f>
        <v/>
      </c>
      <c r="K1107">
        <f>IF($AG1107="","",INDEX('TMP Paste'!$L$2:$L$1601,$AG1107))</f>
        <v/>
      </c>
      <c r="L1107">
        <f>IF($AG1107="","",INDEX('TMP Paste'!$I$2:$I$1601,$AG1107))</f>
        <v/>
      </c>
      <c r="M1107">
        <f>IF($AG1107="","",Config!$B$16)</f>
        <v/>
      </c>
      <c r="N1107">
        <f>IF($AG1107="","","")</f>
        <v/>
      </c>
      <c r="O1107">
        <f>IF($AG1107="","",INDEX('TMP Paste'!$K$2:$K$1601,$AG1107))</f>
        <v/>
      </c>
      <c r="P1107">
        <f>IF($AG1107="","","")</f>
        <v/>
      </c>
      <c r="Q1107">
        <f>IF($AG1107="","",INDEX('TMP Paste'!$J$2:$J$1601,$AG1107))</f>
        <v/>
      </c>
      <c r="R1107">
        <f>IF($AG1107="","",Config!$B$24)</f>
        <v/>
      </c>
      <c r="S1107">
        <f>IF($AG1107="","",TEXT(Config!$B$4,"yyyy-mm-dd"))</f>
        <v/>
      </c>
      <c r="T1107">
        <f>IF($AG1107="","",Config!$B$17)</f>
        <v/>
      </c>
      <c r="U1107">
        <f>IF($AG1107="","",Config!$B$18)</f>
        <v/>
      </c>
      <c r="V1107">
        <f>IF($AG1107="","",Config!$B$19)</f>
        <v/>
      </c>
      <c r="W1107">
        <f>IF($AG1107="","",INDEX('TMP Paste'!$C$2:$C$1601,$AG1107))</f>
        <v/>
      </c>
      <c r="X1107">
        <f>IF($AG1107="","",Config!$B$29)</f>
        <v/>
      </c>
      <c r="Y1107">
        <f>IF($AH1107="","",INDEX(Calc!$I$2:$I$1601,$AH1107)&amp;" - "&amp;INDEX(Calc!$D$2:$D$1601,$AH1107)&amp;" koli")</f>
        <v/>
      </c>
      <c r="Z1107">
        <f>IF($AG1107="","",Config!$B$21)</f>
        <v/>
      </c>
      <c r="AA1107">
        <f>IF($AG1107="","",Config!$B$22)</f>
        <v/>
      </c>
      <c r="AB1107">
        <f>IF($AH1107="","",INDEX(Calc!$D$2:$D$1601,$AH1107))</f>
        <v/>
      </c>
      <c r="AC1107">
        <f>IF($AH1107="","",INDEX(Calc!$G$2:$G$1601,$AH1107))</f>
        <v/>
      </c>
      <c r="AD1107">
        <f>IF($AG1107="","",Config!$B$23)</f>
        <v/>
      </c>
      <c r="AE1107">
        <f>IF($AG1107="","",Config!$B$28)</f>
        <v/>
      </c>
      <c r="AG1107">
        <f>IFERROR(MATCH(ROW()-1,Calc!$J$2:$J$1601,0),"")</f>
        <v/>
      </c>
      <c r="AH1107">
        <f>IFERROR(MATCH(ROW()-1,Calc!$K$2:$K$1601,0),"")</f>
        <v/>
      </c>
      <c r="AI1107">
        <f>IF($AG1107="","",SUMIF($AG$2:$AG1107,$AG1107,$AH$2:$AH1107))</f>
        <v/>
      </c>
      <c r="AJ1107">
        <f>IF('TMP Paste'!$F1107="","",IF('TMP Paste'!$B1107="",$AJ1106,'TMP Paste'!$B1107))</f>
        <v/>
      </c>
      <c r="AK1107">
        <f>IF('TMP Paste'!$F1107="","",N('TMP Paste'!$G1107))</f>
        <v/>
      </c>
      <c r="AL1107">
        <f>IF('TMP Paste'!$F1107="","",IF('TMP Paste'!$M1107="",$AL1106,'TMP Paste'!$M1107))</f>
        <v/>
      </c>
      <c r="AM1107">
        <f>IF('TMP Paste'!$F1107="","",IF('TMP Paste'!$N1107="",$AM1106,'TMP Paste'!$N1107))</f>
        <v/>
      </c>
      <c r="AN1107">
        <f>IF('TMP Paste'!$F1107="","",IF('TMP Paste'!$O1107="",$AN1106,'TMP Paste'!$O1107))</f>
        <v/>
      </c>
      <c r="AO1107">
        <f>IF('TMP Paste'!$F1107="","",IF('TMP Paste'!$P1107="",$AO1106,'TMP Paste'!$P1107))</f>
        <v/>
      </c>
      <c r="AP1107">
        <f>IF($AG1107="","",LEN($R1107))</f>
        <v/>
      </c>
      <c r="AQ1107">
        <f>IF($AG1107="","",TRIM(IF(COUNTIFS(Calc!$B$2:$B$1601,ROW()-1,Calc!$C$2:$C$1601,"&lt;1")&gt;0,"Ada PO tanpa Koli - cek TMP. ","")&amp;IF(LEN($R1107)&gt;500,"R &gt; 500 karakter.","")))</f>
        <v/>
      </c>
    </row>
    <row r="1108">
      <c r="A1108">
        <f>IF($AG1108="","",INDEX('TMP Paste'!$B$2:$B$1601,$AG1108))</f>
        <v/>
      </c>
      <c r="B1108">
        <f>IF($AG1108="","",Config!$B$14)</f>
        <v/>
      </c>
      <c r="C1108">
        <f>IF($AG1108="","",Config!$B$15)</f>
        <v/>
      </c>
      <c r="D1108">
        <f>IF($AG1108="","",INDEX('TMP Paste'!$B$2:$B$1601,$AG1108))</f>
        <v/>
      </c>
      <c r="E1108">
        <f>IF($AG1108="","",Config!$B$27)</f>
        <v/>
      </c>
      <c r="F1108">
        <f>IF($AG1108="","",Config!$B$9)</f>
        <v/>
      </c>
      <c r="G1108">
        <f>IF($AG1108="","",Config!$B$10)</f>
        <v/>
      </c>
      <c r="H1108">
        <f>IF($AG1108="","",Config!$B$11)</f>
        <v/>
      </c>
      <c r="I1108">
        <f>IF($AG1108="","",Config!$B$16)</f>
        <v/>
      </c>
      <c r="J1108">
        <f>IF($AG1108="","",INDEX('TMP Paste'!$A$2:$A$1601,$AG1108))</f>
        <v/>
      </c>
      <c r="K1108">
        <f>IF($AG1108="","",INDEX('TMP Paste'!$L$2:$L$1601,$AG1108))</f>
        <v/>
      </c>
      <c r="L1108">
        <f>IF($AG1108="","",INDEX('TMP Paste'!$I$2:$I$1601,$AG1108))</f>
        <v/>
      </c>
      <c r="M1108">
        <f>IF($AG1108="","",Config!$B$16)</f>
        <v/>
      </c>
      <c r="N1108">
        <f>IF($AG1108="","","")</f>
        <v/>
      </c>
      <c r="O1108">
        <f>IF($AG1108="","",INDEX('TMP Paste'!$K$2:$K$1601,$AG1108))</f>
        <v/>
      </c>
      <c r="P1108">
        <f>IF($AG1108="","","")</f>
        <v/>
      </c>
      <c r="Q1108">
        <f>IF($AG1108="","",INDEX('TMP Paste'!$J$2:$J$1601,$AG1108))</f>
        <v/>
      </c>
      <c r="R1108">
        <f>IF($AG1108="","",Config!$B$24)</f>
        <v/>
      </c>
      <c r="S1108">
        <f>IF($AG1108="","",TEXT(Config!$B$4,"yyyy-mm-dd"))</f>
        <v/>
      </c>
      <c r="T1108">
        <f>IF($AG1108="","",Config!$B$17)</f>
        <v/>
      </c>
      <c r="U1108">
        <f>IF($AG1108="","",Config!$B$18)</f>
        <v/>
      </c>
      <c r="V1108">
        <f>IF($AG1108="","",Config!$B$19)</f>
        <v/>
      </c>
      <c r="W1108">
        <f>IF($AG1108="","",INDEX('TMP Paste'!$C$2:$C$1601,$AG1108))</f>
        <v/>
      </c>
      <c r="X1108">
        <f>IF($AG1108="","",Config!$B$29)</f>
        <v/>
      </c>
      <c r="Y1108">
        <f>IF($AH1108="","",INDEX(Calc!$I$2:$I$1601,$AH1108)&amp;" - "&amp;INDEX(Calc!$D$2:$D$1601,$AH1108)&amp;" koli")</f>
        <v/>
      </c>
      <c r="Z1108">
        <f>IF($AG1108="","",Config!$B$21)</f>
        <v/>
      </c>
      <c r="AA1108">
        <f>IF($AG1108="","",Config!$B$22)</f>
        <v/>
      </c>
      <c r="AB1108">
        <f>IF($AH1108="","",INDEX(Calc!$D$2:$D$1601,$AH1108))</f>
        <v/>
      </c>
      <c r="AC1108">
        <f>IF($AH1108="","",INDEX(Calc!$G$2:$G$1601,$AH1108))</f>
        <v/>
      </c>
      <c r="AD1108">
        <f>IF($AG1108="","",Config!$B$23)</f>
        <v/>
      </c>
      <c r="AE1108">
        <f>IF($AG1108="","",Config!$B$28)</f>
        <v/>
      </c>
      <c r="AG1108">
        <f>IFERROR(MATCH(ROW()-1,Calc!$J$2:$J$1601,0),"")</f>
        <v/>
      </c>
      <c r="AH1108">
        <f>IFERROR(MATCH(ROW()-1,Calc!$K$2:$K$1601,0),"")</f>
        <v/>
      </c>
      <c r="AI1108">
        <f>IF($AG1108="","",SUMIF($AG$2:$AG1108,$AG1108,$AH$2:$AH1108))</f>
        <v/>
      </c>
      <c r="AJ1108">
        <f>IF('TMP Paste'!$F1108="","",IF('TMP Paste'!$B1108="",$AJ1107,'TMP Paste'!$B1108))</f>
        <v/>
      </c>
      <c r="AK1108">
        <f>IF('TMP Paste'!$F1108="","",N('TMP Paste'!$G1108))</f>
        <v/>
      </c>
      <c r="AL1108">
        <f>IF('TMP Paste'!$F1108="","",IF('TMP Paste'!$M1108="",$AL1107,'TMP Paste'!$M1108))</f>
        <v/>
      </c>
      <c r="AM1108">
        <f>IF('TMP Paste'!$F1108="","",IF('TMP Paste'!$N1108="",$AM1107,'TMP Paste'!$N1108))</f>
        <v/>
      </c>
      <c r="AN1108">
        <f>IF('TMP Paste'!$F1108="","",IF('TMP Paste'!$O1108="",$AN1107,'TMP Paste'!$O1108))</f>
        <v/>
      </c>
      <c r="AO1108">
        <f>IF('TMP Paste'!$F1108="","",IF('TMP Paste'!$P1108="",$AO1107,'TMP Paste'!$P1108))</f>
        <v/>
      </c>
      <c r="AP1108">
        <f>IF($AG1108="","",LEN($R1108))</f>
        <v/>
      </c>
      <c r="AQ1108">
        <f>IF($AG1108="","",TRIM(IF(COUNTIFS(Calc!$B$2:$B$1601,ROW()-1,Calc!$C$2:$C$1601,"&lt;1")&gt;0,"Ada PO tanpa Koli - cek TMP. ","")&amp;IF(LEN($R1108)&gt;500,"R &gt; 500 karakter.","")))</f>
        <v/>
      </c>
    </row>
    <row r="1109">
      <c r="A1109">
        <f>IF($AG1109="","",INDEX('TMP Paste'!$B$2:$B$1601,$AG1109))</f>
        <v/>
      </c>
      <c r="B1109">
        <f>IF($AG1109="","",Config!$B$14)</f>
        <v/>
      </c>
      <c r="C1109">
        <f>IF($AG1109="","",Config!$B$15)</f>
        <v/>
      </c>
      <c r="D1109">
        <f>IF($AG1109="","",INDEX('TMP Paste'!$B$2:$B$1601,$AG1109))</f>
        <v/>
      </c>
      <c r="E1109">
        <f>IF($AG1109="","",Config!$B$27)</f>
        <v/>
      </c>
      <c r="F1109">
        <f>IF($AG1109="","",Config!$B$9)</f>
        <v/>
      </c>
      <c r="G1109">
        <f>IF($AG1109="","",Config!$B$10)</f>
        <v/>
      </c>
      <c r="H1109">
        <f>IF($AG1109="","",Config!$B$11)</f>
        <v/>
      </c>
      <c r="I1109">
        <f>IF($AG1109="","",Config!$B$16)</f>
        <v/>
      </c>
      <c r="J1109">
        <f>IF($AG1109="","",INDEX('TMP Paste'!$A$2:$A$1601,$AG1109))</f>
        <v/>
      </c>
      <c r="K1109">
        <f>IF($AG1109="","",INDEX('TMP Paste'!$L$2:$L$1601,$AG1109))</f>
        <v/>
      </c>
      <c r="L1109">
        <f>IF($AG1109="","",INDEX('TMP Paste'!$I$2:$I$1601,$AG1109))</f>
        <v/>
      </c>
      <c r="M1109">
        <f>IF($AG1109="","",Config!$B$16)</f>
        <v/>
      </c>
      <c r="N1109">
        <f>IF($AG1109="","","")</f>
        <v/>
      </c>
      <c r="O1109">
        <f>IF($AG1109="","",INDEX('TMP Paste'!$K$2:$K$1601,$AG1109))</f>
        <v/>
      </c>
      <c r="P1109">
        <f>IF($AG1109="","","")</f>
        <v/>
      </c>
      <c r="Q1109">
        <f>IF($AG1109="","",INDEX('TMP Paste'!$J$2:$J$1601,$AG1109))</f>
        <v/>
      </c>
      <c r="R1109">
        <f>IF($AG1109="","",Config!$B$24)</f>
        <v/>
      </c>
      <c r="S1109">
        <f>IF($AG1109="","",TEXT(Config!$B$4,"yyyy-mm-dd"))</f>
        <v/>
      </c>
      <c r="T1109">
        <f>IF($AG1109="","",Config!$B$17)</f>
        <v/>
      </c>
      <c r="U1109">
        <f>IF($AG1109="","",Config!$B$18)</f>
        <v/>
      </c>
      <c r="V1109">
        <f>IF($AG1109="","",Config!$B$19)</f>
        <v/>
      </c>
      <c r="W1109">
        <f>IF($AG1109="","",INDEX('TMP Paste'!$C$2:$C$1601,$AG1109))</f>
        <v/>
      </c>
      <c r="X1109">
        <f>IF($AG1109="","",Config!$B$29)</f>
        <v/>
      </c>
      <c r="Y1109">
        <f>IF($AH1109="","",INDEX(Calc!$I$2:$I$1601,$AH1109)&amp;" - "&amp;INDEX(Calc!$D$2:$D$1601,$AH1109)&amp;" koli")</f>
        <v/>
      </c>
      <c r="Z1109">
        <f>IF($AG1109="","",Config!$B$21)</f>
        <v/>
      </c>
      <c r="AA1109">
        <f>IF($AG1109="","",Config!$B$22)</f>
        <v/>
      </c>
      <c r="AB1109">
        <f>IF($AH1109="","",INDEX(Calc!$D$2:$D$1601,$AH1109))</f>
        <v/>
      </c>
      <c r="AC1109">
        <f>IF($AH1109="","",INDEX(Calc!$G$2:$G$1601,$AH1109))</f>
        <v/>
      </c>
      <c r="AD1109">
        <f>IF($AG1109="","",Config!$B$23)</f>
        <v/>
      </c>
      <c r="AE1109">
        <f>IF($AG1109="","",Config!$B$28)</f>
        <v/>
      </c>
      <c r="AG1109">
        <f>IFERROR(MATCH(ROW()-1,Calc!$J$2:$J$1601,0),"")</f>
        <v/>
      </c>
      <c r="AH1109">
        <f>IFERROR(MATCH(ROW()-1,Calc!$K$2:$K$1601,0),"")</f>
        <v/>
      </c>
      <c r="AI1109">
        <f>IF($AG1109="","",SUMIF($AG$2:$AG1109,$AG1109,$AH$2:$AH1109))</f>
        <v/>
      </c>
      <c r="AJ1109">
        <f>IF('TMP Paste'!$F1109="","",IF('TMP Paste'!$B1109="",$AJ1108,'TMP Paste'!$B1109))</f>
        <v/>
      </c>
      <c r="AK1109">
        <f>IF('TMP Paste'!$F1109="","",N('TMP Paste'!$G1109))</f>
        <v/>
      </c>
      <c r="AL1109">
        <f>IF('TMP Paste'!$F1109="","",IF('TMP Paste'!$M1109="",$AL1108,'TMP Paste'!$M1109))</f>
        <v/>
      </c>
      <c r="AM1109">
        <f>IF('TMP Paste'!$F1109="","",IF('TMP Paste'!$N1109="",$AM1108,'TMP Paste'!$N1109))</f>
        <v/>
      </c>
      <c r="AN1109">
        <f>IF('TMP Paste'!$F1109="","",IF('TMP Paste'!$O1109="",$AN1108,'TMP Paste'!$O1109))</f>
        <v/>
      </c>
      <c r="AO1109">
        <f>IF('TMP Paste'!$F1109="","",IF('TMP Paste'!$P1109="",$AO1108,'TMP Paste'!$P1109))</f>
        <v/>
      </c>
      <c r="AP1109">
        <f>IF($AG1109="","",LEN($R1109))</f>
        <v/>
      </c>
      <c r="AQ1109">
        <f>IF($AG1109="","",TRIM(IF(COUNTIFS(Calc!$B$2:$B$1601,ROW()-1,Calc!$C$2:$C$1601,"&lt;1")&gt;0,"Ada PO tanpa Koli - cek TMP. ","")&amp;IF(LEN($R1109)&gt;500,"R &gt; 500 karakter.","")))</f>
        <v/>
      </c>
    </row>
    <row r="1110">
      <c r="A1110">
        <f>IF($AG1110="","",INDEX('TMP Paste'!$B$2:$B$1601,$AG1110))</f>
        <v/>
      </c>
      <c r="B1110">
        <f>IF($AG1110="","",Config!$B$14)</f>
        <v/>
      </c>
      <c r="C1110">
        <f>IF($AG1110="","",Config!$B$15)</f>
        <v/>
      </c>
      <c r="D1110">
        <f>IF($AG1110="","",INDEX('TMP Paste'!$B$2:$B$1601,$AG1110))</f>
        <v/>
      </c>
      <c r="E1110">
        <f>IF($AG1110="","",Config!$B$27)</f>
        <v/>
      </c>
      <c r="F1110">
        <f>IF($AG1110="","",Config!$B$9)</f>
        <v/>
      </c>
      <c r="G1110">
        <f>IF($AG1110="","",Config!$B$10)</f>
        <v/>
      </c>
      <c r="H1110">
        <f>IF($AG1110="","",Config!$B$11)</f>
        <v/>
      </c>
      <c r="I1110">
        <f>IF($AG1110="","",Config!$B$16)</f>
        <v/>
      </c>
      <c r="J1110">
        <f>IF($AG1110="","",INDEX('TMP Paste'!$A$2:$A$1601,$AG1110))</f>
        <v/>
      </c>
      <c r="K1110">
        <f>IF($AG1110="","",INDEX('TMP Paste'!$L$2:$L$1601,$AG1110))</f>
        <v/>
      </c>
      <c r="L1110">
        <f>IF($AG1110="","",INDEX('TMP Paste'!$I$2:$I$1601,$AG1110))</f>
        <v/>
      </c>
      <c r="M1110">
        <f>IF($AG1110="","",Config!$B$16)</f>
        <v/>
      </c>
      <c r="N1110">
        <f>IF($AG1110="","","")</f>
        <v/>
      </c>
      <c r="O1110">
        <f>IF($AG1110="","",INDEX('TMP Paste'!$K$2:$K$1601,$AG1110))</f>
        <v/>
      </c>
      <c r="P1110">
        <f>IF($AG1110="","","")</f>
        <v/>
      </c>
      <c r="Q1110">
        <f>IF($AG1110="","",INDEX('TMP Paste'!$J$2:$J$1601,$AG1110))</f>
        <v/>
      </c>
      <c r="R1110">
        <f>IF($AG1110="","",Config!$B$24)</f>
        <v/>
      </c>
      <c r="S1110">
        <f>IF($AG1110="","",TEXT(Config!$B$4,"yyyy-mm-dd"))</f>
        <v/>
      </c>
      <c r="T1110">
        <f>IF($AG1110="","",Config!$B$17)</f>
        <v/>
      </c>
      <c r="U1110">
        <f>IF($AG1110="","",Config!$B$18)</f>
        <v/>
      </c>
      <c r="V1110">
        <f>IF($AG1110="","",Config!$B$19)</f>
        <v/>
      </c>
      <c r="W1110">
        <f>IF($AG1110="","",INDEX('TMP Paste'!$C$2:$C$1601,$AG1110))</f>
        <v/>
      </c>
      <c r="X1110">
        <f>IF($AG1110="","",Config!$B$29)</f>
        <v/>
      </c>
      <c r="Y1110">
        <f>IF($AH1110="","",INDEX(Calc!$I$2:$I$1601,$AH1110)&amp;" - "&amp;INDEX(Calc!$D$2:$D$1601,$AH1110)&amp;" koli")</f>
        <v/>
      </c>
      <c r="Z1110">
        <f>IF($AG1110="","",Config!$B$21)</f>
        <v/>
      </c>
      <c r="AA1110">
        <f>IF($AG1110="","",Config!$B$22)</f>
        <v/>
      </c>
      <c r="AB1110">
        <f>IF($AH1110="","",INDEX(Calc!$D$2:$D$1601,$AH1110))</f>
        <v/>
      </c>
      <c r="AC1110">
        <f>IF($AH1110="","",INDEX(Calc!$G$2:$G$1601,$AH1110))</f>
        <v/>
      </c>
      <c r="AD1110">
        <f>IF($AG1110="","",Config!$B$23)</f>
        <v/>
      </c>
      <c r="AE1110">
        <f>IF($AG1110="","",Config!$B$28)</f>
        <v/>
      </c>
      <c r="AG1110">
        <f>IFERROR(MATCH(ROW()-1,Calc!$J$2:$J$1601,0),"")</f>
        <v/>
      </c>
      <c r="AH1110">
        <f>IFERROR(MATCH(ROW()-1,Calc!$K$2:$K$1601,0),"")</f>
        <v/>
      </c>
      <c r="AI1110">
        <f>IF($AG1110="","",SUMIF($AG$2:$AG1110,$AG1110,$AH$2:$AH1110))</f>
        <v/>
      </c>
      <c r="AJ1110">
        <f>IF('TMP Paste'!$F1110="","",IF('TMP Paste'!$B1110="",$AJ1109,'TMP Paste'!$B1110))</f>
        <v/>
      </c>
      <c r="AK1110">
        <f>IF('TMP Paste'!$F1110="","",N('TMP Paste'!$G1110))</f>
        <v/>
      </c>
      <c r="AL1110">
        <f>IF('TMP Paste'!$F1110="","",IF('TMP Paste'!$M1110="",$AL1109,'TMP Paste'!$M1110))</f>
        <v/>
      </c>
      <c r="AM1110">
        <f>IF('TMP Paste'!$F1110="","",IF('TMP Paste'!$N1110="",$AM1109,'TMP Paste'!$N1110))</f>
        <v/>
      </c>
      <c r="AN1110">
        <f>IF('TMP Paste'!$F1110="","",IF('TMP Paste'!$O1110="",$AN1109,'TMP Paste'!$O1110))</f>
        <v/>
      </c>
      <c r="AO1110">
        <f>IF('TMP Paste'!$F1110="","",IF('TMP Paste'!$P1110="",$AO1109,'TMP Paste'!$P1110))</f>
        <v/>
      </c>
      <c r="AP1110">
        <f>IF($AG1110="","",LEN($R1110))</f>
        <v/>
      </c>
      <c r="AQ1110">
        <f>IF($AG1110="","",TRIM(IF(COUNTIFS(Calc!$B$2:$B$1601,ROW()-1,Calc!$C$2:$C$1601,"&lt;1")&gt;0,"Ada PO tanpa Koli - cek TMP. ","")&amp;IF(LEN($R1110)&gt;500,"R &gt; 500 karakter.","")))</f>
        <v/>
      </c>
    </row>
    <row r="1111">
      <c r="A1111">
        <f>IF($AG1111="","",INDEX('TMP Paste'!$B$2:$B$1601,$AG1111))</f>
        <v/>
      </c>
      <c r="B1111">
        <f>IF($AG1111="","",Config!$B$14)</f>
        <v/>
      </c>
      <c r="C1111">
        <f>IF($AG1111="","",Config!$B$15)</f>
        <v/>
      </c>
      <c r="D1111">
        <f>IF($AG1111="","",INDEX('TMP Paste'!$B$2:$B$1601,$AG1111))</f>
        <v/>
      </c>
      <c r="E1111">
        <f>IF($AG1111="","",Config!$B$27)</f>
        <v/>
      </c>
      <c r="F1111">
        <f>IF($AG1111="","",Config!$B$9)</f>
        <v/>
      </c>
      <c r="G1111">
        <f>IF($AG1111="","",Config!$B$10)</f>
        <v/>
      </c>
      <c r="H1111">
        <f>IF($AG1111="","",Config!$B$11)</f>
        <v/>
      </c>
      <c r="I1111">
        <f>IF($AG1111="","",Config!$B$16)</f>
        <v/>
      </c>
      <c r="J1111">
        <f>IF($AG1111="","",INDEX('TMP Paste'!$A$2:$A$1601,$AG1111))</f>
        <v/>
      </c>
      <c r="K1111">
        <f>IF($AG1111="","",INDEX('TMP Paste'!$L$2:$L$1601,$AG1111))</f>
        <v/>
      </c>
      <c r="L1111">
        <f>IF($AG1111="","",INDEX('TMP Paste'!$I$2:$I$1601,$AG1111))</f>
        <v/>
      </c>
      <c r="M1111">
        <f>IF($AG1111="","",Config!$B$16)</f>
        <v/>
      </c>
      <c r="N1111">
        <f>IF($AG1111="","","")</f>
        <v/>
      </c>
      <c r="O1111">
        <f>IF($AG1111="","",INDEX('TMP Paste'!$K$2:$K$1601,$AG1111))</f>
        <v/>
      </c>
      <c r="P1111">
        <f>IF($AG1111="","","")</f>
        <v/>
      </c>
      <c r="Q1111">
        <f>IF($AG1111="","",INDEX('TMP Paste'!$J$2:$J$1601,$AG1111))</f>
        <v/>
      </c>
      <c r="R1111">
        <f>IF($AG1111="","",Config!$B$24)</f>
        <v/>
      </c>
      <c r="S1111">
        <f>IF($AG1111="","",TEXT(Config!$B$4,"yyyy-mm-dd"))</f>
        <v/>
      </c>
      <c r="T1111">
        <f>IF($AG1111="","",Config!$B$17)</f>
        <v/>
      </c>
      <c r="U1111">
        <f>IF($AG1111="","",Config!$B$18)</f>
        <v/>
      </c>
      <c r="V1111">
        <f>IF($AG1111="","",Config!$B$19)</f>
        <v/>
      </c>
      <c r="W1111">
        <f>IF($AG1111="","",INDEX('TMP Paste'!$C$2:$C$1601,$AG1111))</f>
        <v/>
      </c>
      <c r="X1111">
        <f>IF($AG1111="","",Config!$B$29)</f>
        <v/>
      </c>
      <c r="Y1111">
        <f>IF($AH1111="","",INDEX(Calc!$I$2:$I$1601,$AH1111)&amp;" - "&amp;INDEX(Calc!$D$2:$D$1601,$AH1111)&amp;" koli")</f>
        <v/>
      </c>
      <c r="Z1111">
        <f>IF($AG1111="","",Config!$B$21)</f>
        <v/>
      </c>
      <c r="AA1111">
        <f>IF($AG1111="","",Config!$B$22)</f>
        <v/>
      </c>
      <c r="AB1111">
        <f>IF($AH1111="","",INDEX(Calc!$D$2:$D$1601,$AH1111))</f>
        <v/>
      </c>
      <c r="AC1111">
        <f>IF($AH1111="","",INDEX(Calc!$G$2:$G$1601,$AH1111))</f>
        <v/>
      </c>
      <c r="AD1111">
        <f>IF($AG1111="","",Config!$B$23)</f>
        <v/>
      </c>
      <c r="AE1111">
        <f>IF($AG1111="","",Config!$B$28)</f>
        <v/>
      </c>
      <c r="AG1111">
        <f>IFERROR(MATCH(ROW()-1,Calc!$J$2:$J$1601,0),"")</f>
        <v/>
      </c>
      <c r="AH1111">
        <f>IFERROR(MATCH(ROW()-1,Calc!$K$2:$K$1601,0),"")</f>
        <v/>
      </c>
      <c r="AI1111">
        <f>IF($AG1111="","",SUMIF($AG$2:$AG1111,$AG1111,$AH$2:$AH1111))</f>
        <v/>
      </c>
      <c r="AJ1111">
        <f>IF('TMP Paste'!$F1111="","",IF('TMP Paste'!$B1111="",$AJ1110,'TMP Paste'!$B1111))</f>
        <v/>
      </c>
      <c r="AK1111">
        <f>IF('TMP Paste'!$F1111="","",N('TMP Paste'!$G1111))</f>
        <v/>
      </c>
      <c r="AL1111">
        <f>IF('TMP Paste'!$F1111="","",IF('TMP Paste'!$M1111="",$AL1110,'TMP Paste'!$M1111))</f>
        <v/>
      </c>
      <c r="AM1111">
        <f>IF('TMP Paste'!$F1111="","",IF('TMP Paste'!$N1111="",$AM1110,'TMP Paste'!$N1111))</f>
        <v/>
      </c>
      <c r="AN1111">
        <f>IF('TMP Paste'!$F1111="","",IF('TMP Paste'!$O1111="",$AN1110,'TMP Paste'!$O1111))</f>
        <v/>
      </c>
      <c r="AO1111">
        <f>IF('TMP Paste'!$F1111="","",IF('TMP Paste'!$P1111="",$AO1110,'TMP Paste'!$P1111))</f>
        <v/>
      </c>
      <c r="AP1111">
        <f>IF($AG1111="","",LEN($R1111))</f>
        <v/>
      </c>
      <c r="AQ1111">
        <f>IF($AG1111="","",TRIM(IF(COUNTIFS(Calc!$B$2:$B$1601,ROW()-1,Calc!$C$2:$C$1601,"&lt;1")&gt;0,"Ada PO tanpa Koli - cek TMP. ","")&amp;IF(LEN($R1111)&gt;500,"R &gt; 500 karakter.","")))</f>
        <v/>
      </c>
    </row>
    <row r="1112">
      <c r="A1112">
        <f>IF($AG1112="","",INDEX('TMP Paste'!$B$2:$B$1601,$AG1112))</f>
        <v/>
      </c>
      <c r="B1112">
        <f>IF($AG1112="","",Config!$B$14)</f>
        <v/>
      </c>
      <c r="C1112">
        <f>IF($AG1112="","",Config!$B$15)</f>
        <v/>
      </c>
      <c r="D1112">
        <f>IF($AG1112="","",INDEX('TMP Paste'!$B$2:$B$1601,$AG1112))</f>
        <v/>
      </c>
      <c r="E1112">
        <f>IF($AG1112="","",Config!$B$27)</f>
        <v/>
      </c>
      <c r="F1112">
        <f>IF($AG1112="","",Config!$B$9)</f>
        <v/>
      </c>
      <c r="G1112">
        <f>IF($AG1112="","",Config!$B$10)</f>
        <v/>
      </c>
      <c r="H1112">
        <f>IF($AG1112="","",Config!$B$11)</f>
        <v/>
      </c>
      <c r="I1112">
        <f>IF($AG1112="","",Config!$B$16)</f>
        <v/>
      </c>
      <c r="J1112">
        <f>IF($AG1112="","",INDEX('TMP Paste'!$A$2:$A$1601,$AG1112))</f>
        <v/>
      </c>
      <c r="K1112">
        <f>IF($AG1112="","",INDEX('TMP Paste'!$L$2:$L$1601,$AG1112))</f>
        <v/>
      </c>
      <c r="L1112">
        <f>IF($AG1112="","",INDEX('TMP Paste'!$I$2:$I$1601,$AG1112))</f>
        <v/>
      </c>
      <c r="M1112">
        <f>IF($AG1112="","",Config!$B$16)</f>
        <v/>
      </c>
      <c r="N1112">
        <f>IF($AG1112="","","")</f>
        <v/>
      </c>
      <c r="O1112">
        <f>IF($AG1112="","",INDEX('TMP Paste'!$K$2:$K$1601,$AG1112))</f>
        <v/>
      </c>
      <c r="P1112">
        <f>IF($AG1112="","","")</f>
        <v/>
      </c>
      <c r="Q1112">
        <f>IF($AG1112="","",INDEX('TMP Paste'!$J$2:$J$1601,$AG1112))</f>
        <v/>
      </c>
      <c r="R1112">
        <f>IF($AG1112="","",Config!$B$24)</f>
        <v/>
      </c>
      <c r="S1112">
        <f>IF($AG1112="","",TEXT(Config!$B$4,"yyyy-mm-dd"))</f>
        <v/>
      </c>
      <c r="T1112">
        <f>IF($AG1112="","",Config!$B$17)</f>
        <v/>
      </c>
      <c r="U1112">
        <f>IF($AG1112="","",Config!$B$18)</f>
        <v/>
      </c>
      <c r="V1112">
        <f>IF($AG1112="","",Config!$B$19)</f>
        <v/>
      </c>
      <c r="W1112">
        <f>IF($AG1112="","",INDEX('TMP Paste'!$C$2:$C$1601,$AG1112))</f>
        <v/>
      </c>
      <c r="X1112">
        <f>IF($AG1112="","",Config!$B$29)</f>
        <v/>
      </c>
      <c r="Y1112">
        <f>IF($AH1112="","",INDEX(Calc!$I$2:$I$1601,$AH1112)&amp;" - "&amp;INDEX(Calc!$D$2:$D$1601,$AH1112)&amp;" koli")</f>
        <v/>
      </c>
      <c r="Z1112">
        <f>IF($AG1112="","",Config!$B$21)</f>
        <v/>
      </c>
      <c r="AA1112">
        <f>IF($AG1112="","",Config!$B$22)</f>
        <v/>
      </c>
      <c r="AB1112">
        <f>IF($AH1112="","",INDEX(Calc!$D$2:$D$1601,$AH1112))</f>
        <v/>
      </c>
      <c r="AC1112">
        <f>IF($AH1112="","",INDEX(Calc!$G$2:$G$1601,$AH1112))</f>
        <v/>
      </c>
      <c r="AD1112">
        <f>IF($AG1112="","",Config!$B$23)</f>
        <v/>
      </c>
      <c r="AE1112">
        <f>IF($AG1112="","",Config!$B$28)</f>
        <v/>
      </c>
      <c r="AG1112">
        <f>IFERROR(MATCH(ROW()-1,Calc!$J$2:$J$1601,0),"")</f>
        <v/>
      </c>
      <c r="AH1112">
        <f>IFERROR(MATCH(ROW()-1,Calc!$K$2:$K$1601,0),"")</f>
        <v/>
      </c>
      <c r="AI1112">
        <f>IF($AG1112="","",SUMIF($AG$2:$AG1112,$AG1112,$AH$2:$AH1112))</f>
        <v/>
      </c>
      <c r="AJ1112">
        <f>IF('TMP Paste'!$F1112="","",IF('TMP Paste'!$B1112="",$AJ1111,'TMP Paste'!$B1112))</f>
        <v/>
      </c>
      <c r="AK1112">
        <f>IF('TMP Paste'!$F1112="","",N('TMP Paste'!$G1112))</f>
        <v/>
      </c>
      <c r="AL1112">
        <f>IF('TMP Paste'!$F1112="","",IF('TMP Paste'!$M1112="",$AL1111,'TMP Paste'!$M1112))</f>
        <v/>
      </c>
      <c r="AM1112">
        <f>IF('TMP Paste'!$F1112="","",IF('TMP Paste'!$N1112="",$AM1111,'TMP Paste'!$N1112))</f>
        <v/>
      </c>
      <c r="AN1112">
        <f>IF('TMP Paste'!$F1112="","",IF('TMP Paste'!$O1112="",$AN1111,'TMP Paste'!$O1112))</f>
        <v/>
      </c>
      <c r="AO1112">
        <f>IF('TMP Paste'!$F1112="","",IF('TMP Paste'!$P1112="",$AO1111,'TMP Paste'!$P1112))</f>
        <v/>
      </c>
      <c r="AP1112">
        <f>IF($AG1112="","",LEN($R1112))</f>
        <v/>
      </c>
      <c r="AQ1112">
        <f>IF($AG1112="","",TRIM(IF(COUNTIFS(Calc!$B$2:$B$1601,ROW()-1,Calc!$C$2:$C$1601,"&lt;1")&gt;0,"Ada PO tanpa Koli - cek TMP. ","")&amp;IF(LEN($R1112)&gt;500,"R &gt; 500 karakter.","")))</f>
        <v/>
      </c>
    </row>
    <row r="1113">
      <c r="A1113">
        <f>IF($AG1113="","",INDEX('TMP Paste'!$B$2:$B$1601,$AG1113))</f>
        <v/>
      </c>
      <c r="B1113">
        <f>IF($AG1113="","",Config!$B$14)</f>
        <v/>
      </c>
      <c r="C1113">
        <f>IF($AG1113="","",Config!$B$15)</f>
        <v/>
      </c>
      <c r="D1113">
        <f>IF($AG1113="","",INDEX('TMP Paste'!$B$2:$B$1601,$AG1113))</f>
        <v/>
      </c>
      <c r="E1113">
        <f>IF($AG1113="","",Config!$B$27)</f>
        <v/>
      </c>
      <c r="F1113">
        <f>IF($AG1113="","",Config!$B$9)</f>
        <v/>
      </c>
      <c r="G1113">
        <f>IF($AG1113="","",Config!$B$10)</f>
        <v/>
      </c>
      <c r="H1113">
        <f>IF($AG1113="","",Config!$B$11)</f>
        <v/>
      </c>
      <c r="I1113">
        <f>IF($AG1113="","",Config!$B$16)</f>
        <v/>
      </c>
      <c r="J1113">
        <f>IF($AG1113="","",INDEX('TMP Paste'!$A$2:$A$1601,$AG1113))</f>
        <v/>
      </c>
      <c r="K1113">
        <f>IF($AG1113="","",INDEX('TMP Paste'!$L$2:$L$1601,$AG1113))</f>
        <v/>
      </c>
      <c r="L1113">
        <f>IF($AG1113="","",INDEX('TMP Paste'!$I$2:$I$1601,$AG1113))</f>
        <v/>
      </c>
      <c r="M1113">
        <f>IF($AG1113="","",Config!$B$16)</f>
        <v/>
      </c>
      <c r="N1113">
        <f>IF($AG1113="","","")</f>
        <v/>
      </c>
      <c r="O1113">
        <f>IF($AG1113="","",INDEX('TMP Paste'!$K$2:$K$1601,$AG1113))</f>
        <v/>
      </c>
      <c r="P1113">
        <f>IF($AG1113="","","")</f>
        <v/>
      </c>
      <c r="Q1113">
        <f>IF($AG1113="","",INDEX('TMP Paste'!$J$2:$J$1601,$AG1113))</f>
        <v/>
      </c>
      <c r="R1113">
        <f>IF($AG1113="","",Config!$B$24)</f>
        <v/>
      </c>
      <c r="S1113">
        <f>IF($AG1113="","",TEXT(Config!$B$4,"yyyy-mm-dd"))</f>
        <v/>
      </c>
      <c r="T1113">
        <f>IF($AG1113="","",Config!$B$17)</f>
        <v/>
      </c>
      <c r="U1113">
        <f>IF($AG1113="","",Config!$B$18)</f>
        <v/>
      </c>
      <c r="V1113">
        <f>IF($AG1113="","",Config!$B$19)</f>
        <v/>
      </c>
      <c r="W1113">
        <f>IF($AG1113="","",INDEX('TMP Paste'!$C$2:$C$1601,$AG1113))</f>
        <v/>
      </c>
      <c r="X1113">
        <f>IF($AG1113="","",Config!$B$29)</f>
        <v/>
      </c>
      <c r="Y1113">
        <f>IF($AH1113="","",INDEX(Calc!$I$2:$I$1601,$AH1113)&amp;" - "&amp;INDEX(Calc!$D$2:$D$1601,$AH1113)&amp;" koli")</f>
        <v/>
      </c>
      <c r="Z1113">
        <f>IF($AG1113="","",Config!$B$21)</f>
        <v/>
      </c>
      <c r="AA1113">
        <f>IF($AG1113="","",Config!$B$22)</f>
        <v/>
      </c>
      <c r="AB1113">
        <f>IF($AH1113="","",INDEX(Calc!$D$2:$D$1601,$AH1113))</f>
        <v/>
      </c>
      <c r="AC1113">
        <f>IF($AH1113="","",INDEX(Calc!$G$2:$G$1601,$AH1113))</f>
        <v/>
      </c>
      <c r="AD1113">
        <f>IF($AG1113="","",Config!$B$23)</f>
        <v/>
      </c>
      <c r="AE1113">
        <f>IF($AG1113="","",Config!$B$28)</f>
        <v/>
      </c>
      <c r="AG1113">
        <f>IFERROR(MATCH(ROW()-1,Calc!$J$2:$J$1601,0),"")</f>
        <v/>
      </c>
      <c r="AH1113">
        <f>IFERROR(MATCH(ROW()-1,Calc!$K$2:$K$1601,0),"")</f>
        <v/>
      </c>
      <c r="AI1113">
        <f>IF($AG1113="","",SUMIF($AG$2:$AG1113,$AG1113,$AH$2:$AH1113))</f>
        <v/>
      </c>
      <c r="AJ1113">
        <f>IF('TMP Paste'!$F1113="","",IF('TMP Paste'!$B1113="",$AJ1112,'TMP Paste'!$B1113))</f>
        <v/>
      </c>
      <c r="AK1113">
        <f>IF('TMP Paste'!$F1113="","",N('TMP Paste'!$G1113))</f>
        <v/>
      </c>
      <c r="AL1113">
        <f>IF('TMP Paste'!$F1113="","",IF('TMP Paste'!$M1113="",$AL1112,'TMP Paste'!$M1113))</f>
        <v/>
      </c>
      <c r="AM1113">
        <f>IF('TMP Paste'!$F1113="","",IF('TMP Paste'!$N1113="",$AM1112,'TMP Paste'!$N1113))</f>
        <v/>
      </c>
      <c r="AN1113">
        <f>IF('TMP Paste'!$F1113="","",IF('TMP Paste'!$O1113="",$AN1112,'TMP Paste'!$O1113))</f>
        <v/>
      </c>
      <c r="AO1113">
        <f>IF('TMP Paste'!$F1113="","",IF('TMP Paste'!$P1113="",$AO1112,'TMP Paste'!$P1113))</f>
        <v/>
      </c>
      <c r="AP1113">
        <f>IF($AG1113="","",LEN($R1113))</f>
        <v/>
      </c>
      <c r="AQ1113">
        <f>IF($AG1113="","",TRIM(IF(COUNTIFS(Calc!$B$2:$B$1601,ROW()-1,Calc!$C$2:$C$1601,"&lt;1")&gt;0,"Ada PO tanpa Koli - cek TMP. ","")&amp;IF(LEN($R1113)&gt;500,"R &gt; 500 karakter.","")))</f>
        <v/>
      </c>
    </row>
    <row r="1114">
      <c r="A1114">
        <f>IF($AG1114="","",INDEX('TMP Paste'!$B$2:$B$1601,$AG1114))</f>
        <v/>
      </c>
      <c r="B1114">
        <f>IF($AG1114="","",Config!$B$14)</f>
        <v/>
      </c>
      <c r="C1114">
        <f>IF($AG1114="","",Config!$B$15)</f>
        <v/>
      </c>
      <c r="D1114">
        <f>IF($AG1114="","",INDEX('TMP Paste'!$B$2:$B$1601,$AG1114))</f>
        <v/>
      </c>
      <c r="E1114">
        <f>IF($AG1114="","",Config!$B$27)</f>
        <v/>
      </c>
      <c r="F1114">
        <f>IF($AG1114="","",Config!$B$9)</f>
        <v/>
      </c>
      <c r="G1114">
        <f>IF($AG1114="","",Config!$B$10)</f>
        <v/>
      </c>
      <c r="H1114">
        <f>IF($AG1114="","",Config!$B$11)</f>
        <v/>
      </c>
      <c r="I1114">
        <f>IF($AG1114="","",Config!$B$16)</f>
        <v/>
      </c>
      <c r="J1114">
        <f>IF($AG1114="","",INDEX('TMP Paste'!$A$2:$A$1601,$AG1114))</f>
        <v/>
      </c>
      <c r="K1114">
        <f>IF($AG1114="","",INDEX('TMP Paste'!$L$2:$L$1601,$AG1114))</f>
        <v/>
      </c>
      <c r="L1114">
        <f>IF($AG1114="","",INDEX('TMP Paste'!$I$2:$I$1601,$AG1114))</f>
        <v/>
      </c>
      <c r="M1114">
        <f>IF($AG1114="","",Config!$B$16)</f>
        <v/>
      </c>
      <c r="N1114">
        <f>IF($AG1114="","","")</f>
        <v/>
      </c>
      <c r="O1114">
        <f>IF($AG1114="","",INDEX('TMP Paste'!$K$2:$K$1601,$AG1114))</f>
        <v/>
      </c>
      <c r="P1114">
        <f>IF($AG1114="","","")</f>
        <v/>
      </c>
      <c r="Q1114">
        <f>IF($AG1114="","",INDEX('TMP Paste'!$J$2:$J$1601,$AG1114))</f>
        <v/>
      </c>
      <c r="R1114">
        <f>IF($AG1114="","",Config!$B$24)</f>
        <v/>
      </c>
      <c r="S1114">
        <f>IF($AG1114="","",TEXT(Config!$B$4,"yyyy-mm-dd"))</f>
        <v/>
      </c>
      <c r="T1114">
        <f>IF($AG1114="","",Config!$B$17)</f>
        <v/>
      </c>
      <c r="U1114">
        <f>IF($AG1114="","",Config!$B$18)</f>
        <v/>
      </c>
      <c r="V1114">
        <f>IF($AG1114="","",Config!$B$19)</f>
        <v/>
      </c>
      <c r="W1114">
        <f>IF($AG1114="","",INDEX('TMP Paste'!$C$2:$C$1601,$AG1114))</f>
        <v/>
      </c>
      <c r="X1114">
        <f>IF($AG1114="","",Config!$B$29)</f>
        <v/>
      </c>
      <c r="Y1114">
        <f>IF($AH1114="","",INDEX(Calc!$I$2:$I$1601,$AH1114)&amp;" - "&amp;INDEX(Calc!$D$2:$D$1601,$AH1114)&amp;" koli")</f>
        <v/>
      </c>
      <c r="Z1114">
        <f>IF($AG1114="","",Config!$B$21)</f>
        <v/>
      </c>
      <c r="AA1114">
        <f>IF($AG1114="","",Config!$B$22)</f>
        <v/>
      </c>
      <c r="AB1114">
        <f>IF($AH1114="","",INDEX(Calc!$D$2:$D$1601,$AH1114))</f>
        <v/>
      </c>
      <c r="AC1114">
        <f>IF($AH1114="","",INDEX(Calc!$G$2:$G$1601,$AH1114))</f>
        <v/>
      </c>
      <c r="AD1114">
        <f>IF($AG1114="","",Config!$B$23)</f>
        <v/>
      </c>
      <c r="AE1114">
        <f>IF($AG1114="","",Config!$B$28)</f>
        <v/>
      </c>
      <c r="AG1114">
        <f>IFERROR(MATCH(ROW()-1,Calc!$J$2:$J$1601,0),"")</f>
        <v/>
      </c>
      <c r="AH1114">
        <f>IFERROR(MATCH(ROW()-1,Calc!$K$2:$K$1601,0),"")</f>
        <v/>
      </c>
      <c r="AI1114">
        <f>IF($AG1114="","",SUMIF($AG$2:$AG1114,$AG1114,$AH$2:$AH1114))</f>
        <v/>
      </c>
      <c r="AJ1114">
        <f>IF('TMP Paste'!$F1114="","",IF('TMP Paste'!$B1114="",$AJ1113,'TMP Paste'!$B1114))</f>
        <v/>
      </c>
      <c r="AK1114">
        <f>IF('TMP Paste'!$F1114="","",N('TMP Paste'!$G1114))</f>
        <v/>
      </c>
      <c r="AL1114">
        <f>IF('TMP Paste'!$F1114="","",IF('TMP Paste'!$M1114="",$AL1113,'TMP Paste'!$M1114))</f>
        <v/>
      </c>
      <c r="AM1114">
        <f>IF('TMP Paste'!$F1114="","",IF('TMP Paste'!$N1114="",$AM1113,'TMP Paste'!$N1114))</f>
        <v/>
      </c>
      <c r="AN1114">
        <f>IF('TMP Paste'!$F1114="","",IF('TMP Paste'!$O1114="",$AN1113,'TMP Paste'!$O1114))</f>
        <v/>
      </c>
      <c r="AO1114">
        <f>IF('TMP Paste'!$F1114="","",IF('TMP Paste'!$P1114="",$AO1113,'TMP Paste'!$P1114))</f>
        <v/>
      </c>
      <c r="AP1114">
        <f>IF($AG1114="","",LEN($R1114))</f>
        <v/>
      </c>
      <c r="AQ1114">
        <f>IF($AG1114="","",TRIM(IF(COUNTIFS(Calc!$B$2:$B$1601,ROW()-1,Calc!$C$2:$C$1601,"&lt;1")&gt;0,"Ada PO tanpa Koli - cek TMP. ","")&amp;IF(LEN($R1114)&gt;500,"R &gt; 500 karakter.","")))</f>
        <v/>
      </c>
    </row>
    <row r="1115">
      <c r="A1115">
        <f>IF($AG1115="","",INDEX('TMP Paste'!$B$2:$B$1601,$AG1115))</f>
        <v/>
      </c>
      <c r="B1115">
        <f>IF($AG1115="","",Config!$B$14)</f>
        <v/>
      </c>
      <c r="C1115">
        <f>IF($AG1115="","",Config!$B$15)</f>
        <v/>
      </c>
      <c r="D1115">
        <f>IF($AG1115="","",INDEX('TMP Paste'!$B$2:$B$1601,$AG1115))</f>
        <v/>
      </c>
      <c r="E1115">
        <f>IF($AG1115="","",Config!$B$27)</f>
        <v/>
      </c>
      <c r="F1115">
        <f>IF($AG1115="","",Config!$B$9)</f>
        <v/>
      </c>
      <c r="G1115">
        <f>IF($AG1115="","",Config!$B$10)</f>
        <v/>
      </c>
      <c r="H1115">
        <f>IF($AG1115="","",Config!$B$11)</f>
        <v/>
      </c>
      <c r="I1115">
        <f>IF($AG1115="","",Config!$B$16)</f>
        <v/>
      </c>
      <c r="J1115">
        <f>IF($AG1115="","",INDEX('TMP Paste'!$A$2:$A$1601,$AG1115))</f>
        <v/>
      </c>
      <c r="K1115">
        <f>IF($AG1115="","",INDEX('TMP Paste'!$L$2:$L$1601,$AG1115))</f>
        <v/>
      </c>
      <c r="L1115">
        <f>IF($AG1115="","",INDEX('TMP Paste'!$I$2:$I$1601,$AG1115))</f>
        <v/>
      </c>
      <c r="M1115">
        <f>IF($AG1115="","",Config!$B$16)</f>
        <v/>
      </c>
      <c r="N1115">
        <f>IF($AG1115="","","")</f>
        <v/>
      </c>
      <c r="O1115">
        <f>IF($AG1115="","",INDEX('TMP Paste'!$K$2:$K$1601,$AG1115))</f>
        <v/>
      </c>
      <c r="P1115">
        <f>IF($AG1115="","","")</f>
        <v/>
      </c>
      <c r="Q1115">
        <f>IF($AG1115="","",INDEX('TMP Paste'!$J$2:$J$1601,$AG1115))</f>
        <v/>
      </c>
      <c r="R1115">
        <f>IF($AG1115="","",Config!$B$24)</f>
        <v/>
      </c>
      <c r="S1115">
        <f>IF($AG1115="","",TEXT(Config!$B$4,"yyyy-mm-dd"))</f>
        <v/>
      </c>
      <c r="T1115">
        <f>IF($AG1115="","",Config!$B$17)</f>
        <v/>
      </c>
      <c r="U1115">
        <f>IF($AG1115="","",Config!$B$18)</f>
        <v/>
      </c>
      <c r="V1115">
        <f>IF($AG1115="","",Config!$B$19)</f>
        <v/>
      </c>
      <c r="W1115">
        <f>IF($AG1115="","",INDEX('TMP Paste'!$C$2:$C$1601,$AG1115))</f>
        <v/>
      </c>
      <c r="X1115">
        <f>IF($AG1115="","",Config!$B$29)</f>
        <v/>
      </c>
      <c r="Y1115">
        <f>IF($AH1115="","",INDEX(Calc!$I$2:$I$1601,$AH1115)&amp;" - "&amp;INDEX(Calc!$D$2:$D$1601,$AH1115)&amp;" koli")</f>
        <v/>
      </c>
      <c r="Z1115">
        <f>IF($AG1115="","",Config!$B$21)</f>
        <v/>
      </c>
      <c r="AA1115">
        <f>IF($AG1115="","",Config!$B$22)</f>
        <v/>
      </c>
      <c r="AB1115">
        <f>IF($AH1115="","",INDEX(Calc!$D$2:$D$1601,$AH1115))</f>
        <v/>
      </c>
      <c r="AC1115">
        <f>IF($AH1115="","",INDEX(Calc!$G$2:$G$1601,$AH1115))</f>
        <v/>
      </c>
      <c r="AD1115">
        <f>IF($AG1115="","",Config!$B$23)</f>
        <v/>
      </c>
      <c r="AE1115">
        <f>IF($AG1115="","",Config!$B$28)</f>
        <v/>
      </c>
      <c r="AG1115">
        <f>IFERROR(MATCH(ROW()-1,Calc!$J$2:$J$1601,0),"")</f>
        <v/>
      </c>
      <c r="AH1115">
        <f>IFERROR(MATCH(ROW()-1,Calc!$K$2:$K$1601,0),"")</f>
        <v/>
      </c>
      <c r="AI1115">
        <f>IF($AG1115="","",SUMIF($AG$2:$AG1115,$AG1115,$AH$2:$AH1115))</f>
        <v/>
      </c>
      <c r="AJ1115">
        <f>IF('TMP Paste'!$F1115="","",IF('TMP Paste'!$B1115="",$AJ1114,'TMP Paste'!$B1115))</f>
        <v/>
      </c>
      <c r="AK1115">
        <f>IF('TMP Paste'!$F1115="","",N('TMP Paste'!$G1115))</f>
        <v/>
      </c>
      <c r="AL1115">
        <f>IF('TMP Paste'!$F1115="","",IF('TMP Paste'!$M1115="",$AL1114,'TMP Paste'!$M1115))</f>
        <v/>
      </c>
      <c r="AM1115">
        <f>IF('TMP Paste'!$F1115="","",IF('TMP Paste'!$N1115="",$AM1114,'TMP Paste'!$N1115))</f>
        <v/>
      </c>
      <c r="AN1115">
        <f>IF('TMP Paste'!$F1115="","",IF('TMP Paste'!$O1115="",$AN1114,'TMP Paste'!$O1115))</f>
        <v/>
      </c>
      <c r="AO1115">
        <f>IF('TMP Paste'!$F1115="","",IF('TMP Paste'!$P1115="",$AO1114,'TMP Paste'!$P1115))</f>
        <v/>
      </c>
      <c r="AP1115">
        <f>IF($AG1115="","",LEN($R1115))</f>
        <v/>
      </c>
      <c r="AQ1115">
        <f>IF($AG1115="","",TRIM(IF(COUNTIFS(Calc!$B$2:$B$1601,ROW()-1,Calc!$C$2:$C$1601,"&lt;1")&gt;0,"Ada PO tanpa Koli - cek TMP. ","")&amp;IF(LEN($R1115)&gt;500,"R &gt; 500 karakter.","")))</f>
        <v/>
      </c>
    </row>
    <row r="1116">
      <c r="A1116">
        <f>IF($AG1116="","",INDEX('TMP Paste'!$B$2:$B$1601,$AG1116))</f>
        <v/>
      </c>
      <c r="B1116">
        <f>IF($AG1116="","",Config!$B$14)</f>
        <v/>
      </c>
      <c r="C1116">
        <f>IF($AG1116="","",Config!$B$15)</f>
        <v/>
      </c>
      <c r="D1116">
        <f>IF($AG1116="","",INDEX('TMP Paste'!$B$2:$B$1601,$AG1116))</f>
        <v/>
      </c>
      <c r="E1116">
        <f>IF($AG1116="","",Config!$B$27)</f>
        <v/>
      </c>
      <c r="F1116">
        <f>IF($AG1116="","",Config!$B$9)</f>
        <v/>
      </c>
      <c r="G1116">
        <f>IF($AG1116="","",Config!$B$10)</f>
        <v/>
      </c>
      <c r="H1116">
        <f>IF($AG1116="","",Config!$B$11)</f>
        <v/>
      </c>
      <c r="I1116">
        <f>IF($AG1116="","",Config!$B$16)</f>
        <v/>
      </c>
      <c r="J1116">
        <f>IF($AG1116="","",INDEX('TMP Paste'!$A$2:$A$1601,$AG1116))</f>
        <v/>
      </c>
      <c r="K1116">
        <f>IF($AG1116="","",INDEX('TMP Paste'!$L$2:$L$1601,$AG1116))</f>
        <v/>
      </c>
      <c r="L1116">
        <f>IF($AG1116="","",INDEX('TMP Paste'!$I$2:$I$1601,$AG1116))</f>
        <v/>
      </c>
      <c r="M1116">
        <f>IF($AG1116="","",Config!$B$16)</f>
        <v/>
      </c>
      <c r="N1116">
        <f>IF($AG1116="","","")</f>
        <v/>
      </c>
      <c r="O1116">
        <f>IF($AG1116="","",INDEX('TMP Paste'!$K$2:$K$1601,$AG1116))</f>
        <v/>
      </c>
      <c r="P1116">
        <f>IF($AG1116="","","")</f>
        <v/>
      </c>
      <c r="Q1116">
        <f>IF($AG1116="","",INDEX('TMP Paste'!$J$2:$J$1601,$AG1116))</f>
        <v/>
      </c>
      <c r="R1116">
        <f>IF($AG1116="","",Config!$B$24)</f>
        <v/>
      </c>
      <c r="S1116">
        <f>IF($AG1116="","",TEXT(Config!$B$4,"yyyy-mm-dd"))</f>
        <v/>
      </c>
      <c r="T1116">
        <f>IF($AG1116="","",Config!$B$17)</f>
        <v/>
      </c>
      <c r="U1116">
        <f>IF($AG1116="","",Config!$B$18)</f>
        <v/>
      </c>
      <c r="V1116">
        <f>IF($AG1116="","",Config!$B$19)</f>
        <v/>
      </c>
      <c r="W1116">
        <f>IF($AG1116="","",INDEX('TMP Paste'!$C$2:$C$1601,$AG1116))</f>
        <v/>
      </c>
      <c r="X1116">
        <f>IF($AG1116="","",Config!$B$29)</f>
        <v/>
      </c>
      <c r="Y1116">
        <f>IF($AH1116="","",INDEX(Calc!$I$2:$I$1601,$AH1116)&amp;" - "&amp;INDEX(Calc!$D$2:$D$1601,$AH1116)&amp;" koli")</f>
        <v/>
      </c>
      <c r="Z1116">
        <f>IF($AG1116="","",Config!$B$21)</f>
        <v/>
      </c>
      <c r="AA1116">
        <f>IF($AG1116="","",Config!$B$22)</f>
        <v/>
      </c>
      <c r="AB1116">
        <f>IF($AH1116="","",INDEX(Calc!$D$2:$D$1601,$AH1116))</f>
        <v/>
      </c>
      <c r="AC1116">
        <f>IF($AH1116="","",INDEX(Calc!$G$2:$G$1601,$AH1116))</f>
        <v/>
      </c>
      <c r="AD1116">
        <f>IF($AG1116="","",Config!$B$23)</f>
        <v/>
      </c>
      <c r="AE1116">
        <f>IF($AG1116="","",Config!$B$28)</f>
        <v/>
      </c>
      <c r="AG1116">
        <f>IFERROR(MATCH(ROW()-1,Calc!$J$2:$J$1601,0),"")</f>
        <v/>
      </c>
      <c r="AH1116">
        <f>IFERROR(MATCH(ROW()-1,Calc!$K$2:$K$1601,0),"")</f>
        <v/>
      </c>
      <c r="AI1116">
        <f>IF($AG1116="","",SUMIF($AG$2:$AG1116,$AG1116,$AH$2:$AH1116))</f>
        <v/>
      </c>
      <c r="AJ1116">
        <f>IF('TMP Paste'!$F1116="","",IF('TMP Paste'!$B1116="",$AJ1115,'TMP Paste'!$B1116))</f>
        <v/>
      </c>
      <c r="AK1116">
        <f>IF('TMP Paste'!$F1116="","",N('TMP Paste'!$G1116))</f>
        <v/>
      </c>
      <c r="AL1116">
        <f>IF('TMP Paste'!$F1116="","",IF('TMP Paste'!$M1116="",$AL1115,'TMP Paste'!$M1116))</f>
        <v/>
      </c>
      <c r="AM1116">
        <f>IF('TMP Paste'!$F1116="","",IF('TMP Paste'!$N1116="",$AM1115,'TMP Paste'!$N1116))</f>
        <v/>
      </c>
      <c r="AN1116">
        <f>IF('TMP Paste'!$F1116="","",IF('TMP Paste'!$O1116="",$AN1115,'TMP Paste'!$O1116))</f>
        <v/>
      </c>
      <c r="AO1116">
        <f>IF('TMP Paste'!$F1116="","",IF('TMP Paste'!$P1116="",$AO1115,'TMP Paste'!$P1116))</f>
        <v/>
      </c>
      <c r="AP1116">
        <f>IF($AG1116="","",LEN($R1116))</f>
        <v/>
      </c>
      <c r="AQ1116">
        <f>IF($AG1116="","",TRIM(IF(COUNTIFS(Calc!$B$2:$B$1601,ROW()-1,Calc!$C$2:$C$1601,"&lt;1")&gt;0,"Ada PO tanpa Koli - cek TMP. ","")&amp;IF(LEN($R1116)&gt;500,"R &gt; 500 karakter.","")))</f>
        <v/>
      </c>
    </row>
    <row r="1117">
      <c r="A1117">
        <f>IF($AG1117="","",INDEX('TMP Paste'!$B$2:$B$1601,$AG1117))</f>
        <v/>
      </c>
      <c r="B1117">
        <f>IF($AG1117="","",Config!$B$14)</f>
        <v/>
      </c>
      <c r="C1117">
        <f>IF($AG1117="","",Config!$B$15)</f>
        <v/>
      </c>
      <c r="D1117">
        <f>IF($AG1117="","",INDEX('TMP Paste'!$B$2:$B$1601,$AG1117))</f>
        <v/>
      </c>
      <c r="E1117">
        <f>IF($AG1117="","",Config!$B$27)</f>
        <v/>
      </c>
      <c r="F1117">
        <f>IF($AG1117="","",Config!$B$9)</f>
        <v/>
      </c>
      <c r="G1117">
        <f>IF($AG1117="","",Config!$B$10)</f>
        <v/>
      </c>
      <c r="H1117">
        <f>IF($AG1117="","",Config!$B$11)</f>
        <v/>
      </c>
      <c r="I1117">
        <f>IF($AG1117="","",Config!$B$16)</f>
        <v/>
      </c>
      <c r="J1117">
        <f>IF($AG1117="","",INDEX('TMP Paste'!$A$2:$A$1601,$AG1117))</f>
        <v/>
      </c>
      <c r="K1117">
        <f>IF($AG1117="","",INDEX('TMP Paste'!$L$2:$L$1601,$AG1117))</f>
        <v/>
      </c>
      <c r="L1117">
        <f>IF($AG1117="","",INDEX('TMP Paste'!$I$2:$I$1601,$AG1117))</f>
        <v/>
      </c>
      <c r="M1117">
        <f>IF($AG1117="","",Config!$B$16)</f>
        <v/>
      </c>
      <c r="N1117">
        <f>IF($AG1117="","","")</f>
        <v/>
      </c>
      <c r="O1117">
        <f>IF($AG1117="","",INDEX('TMP Paste'!$K$2:$K$1601,$AG1117))</f>
        <v/>
      </c>
      <c r="P1117">
        <f>IF($AG1117="","","")</f>
        <v/>
      </c>
      <c r="Q1117">
        <f>IF($AG1117="","",INDEX('TMP Paste'!$J$2:$J$1601,$AG1117))</f>
        <v/>
      </c>
      <c r="R1117">
        <f>IF($AG1117="","",Config!$B$24)</f>
        <v/>
      </c>
      <c r="S1117">
        <f>IF($AG1117="","",TEXT(Config!$B$4,"yyyy-mm-dd"))</f>
        <v/>
      </c>
      <c r="T1117">
        <f>IF($AG1117="","",Config!$B$17)</f>
        <v/>
      </c>
      <c r="U1117">
        <f>IF($AG1117="","",Config!$B$18)</f>
        <v/>
      </c>
      <c r="V1117">
        <f>IF($AG1117="","",Config!$B$19)</f>
        <v/>
      </c>
      <c r="W1117">
        <f>IF($AG1117="","",INDEX('TMP Paste'!$C$2:$C$1601,$AG1117))</f>
        <v/>
      </c>
      <c r="X1117">
        <f>IF($AG1117="","",Config!$B$29)</f>
        <v/>
      </c>
      <c r="Y1117">
        <f>IF($AH1117="","",INDEX(Calc!$I$2:$I$1601,$AH1117)&amp;" - "&amp;INDEX(Calc!$D$2:$D$1601,$AH1117)&amp;" koli")</f>
        <v/>
      </c>
      <c r="Z1117">
        <f>IF($AG1117="","",Config!$B$21)</f>
        <v/>
      </c>
      <c r="AA1117">
        <f>IF($AG1117="","",Config!$B$22)</f>
        <v/>
      </c>
      <c r="AB1117">
        <f>IF($AH1117="","",INDEX(Calc!$D$2:$D$1601,$AH1117))</f>
        <v/>
      </c>
      <c r="AC1117">
        <f>IF($AH1117="","",INDEX(Calc!$G$2:$G$1601,$AH1117))</f>
        <v/>
      </c>
      <c r="AD1117">
        <f>IF($AG1117="","",Config!$B$23)</f>
        <v/>
      </c>
      <c r="AE1117">
        <f>IF($AG1117="","",Config!$B$28)</f>
        <v/>
      </c>
      <c r="AG1117">
        <f>IFERROR(MATCH(ROW()-1,Calc!$J$2:$J$1601,0),"")</f>
        <v/>
      </c>
      <c r="AH1117">
        <f>IFERROR(MATCH(ROW()-1,Calc!$K$2:$K$1601,0),"")</f>
        <v/>
      </c>
      <c r="AI1117">
        <f>IF($AG1117="","",SUMIF($AG$2:$AG1117,$AG1117,$AH$2:$AH1117))</f>
        <v/>
      </c>
      <c r="AJ1117">
        <f>IF('TMP Paste'!$F1117="","",IF('TMP Paste'!$B1117="",$AJ1116,'TMP Paste'!$B1117))</f>
        <v/>
      </c>
      <c r="AK1117">
        <f>IF('TMP Paste'!$F1117="","",N('TMP Paste'!$G1117))</f>
        <v/>
      </c>
      <c r="AL1117">
        <f>IF('TMP Paste'!$F1117="","",IF('TMP Paste'!$M1117="",$AL1116,'TMP Paste'!$M1117))</f>
        <v/>
      </c>
      <c r="AM1117">
        <f>IF('TMP Paste'!$F1117="","",IF('TMP Paste'!$N1117="",$AM1116,'TMP Paste'!$N1117))</f>
        <v/>
      </c>
      <c r="AN1117">
        <f>IF('TMP Paste'!$F1117="","",IF('TMP Paste'!$O1117="",$AN1116,'TMP Paste'!$O1117))</f>
        <v/>
      </c>
      <c r="AO1117">
        <f>IF('TMP Paste'!$F1117="","",IF('TMP Paste'!$P1117="",$AO1116,'TMP Paste'!$P1117))</f>
        <v/>
      </c>
      <c r="AP1117">
        <f>IF($AG1117="","",LEN($R1117))</f>
        <v/>
      </c>
      <c r="AQ1117">
        <f>IF($AG1117="","",TRIM(IF(COUNTIFS(Calc!$B$2:$B$1601,ROW()-1,Calc!$C$2:$C$1601,"&lt;1")&gt;0,"Ada PO tanpa Koli - cek TMP. ","")&amp;IF(LEN($R1117)&gt;500,"R &gt; 500 karakter.","")))</f>
        <v/>
      </c>
    </row>
    <row r="1118">
      <c r="A1118">
        <f>IF($AG1118="","",INDEX('TMP Paste'!$B$2:$B$1601,$AG1118))</f>
        <v/>
      </c>
      <c r="B1118">
        <f>IF($AG1118="","",Config!$B$14)</f>
        <v/>
      </c>
      <c r="C1118">
        <f>IF($AG1118="","",Config!$B$15)</f>
        <v/>
      </c>
      <c r="D1118">
        <f>IF($AG1118="","",INDEX('TMP Paste'!$B$2:$B$1601,$AG1118))</f>
        <v/>
      </c>
      <c r="E1118">
        <f>IF($AG1118="","",Config!$B$27)</f>
        <v/>
      </c>
      <c r="F1118">
        <f>IF($AG1118="","",Config!$B$9)</f>
        <v/>
      </c>
      <c r="G1118">
        <f>IF($AG1118="","",Config!$B$10)</f>
        <v/>
      </c>
      <c r="H1118">
        <f>IF($AG1118="","",Config!$B$11)</f>
        <v/>
      </c>
      <c r="I1118">
        <f>IF($AG1118="","",Config!$B$16)</f>
        <v/>
      </c>
      <c r="J1118">
        <f>IF($AG1118="","",INDEX('TMP Paste'!$A$2:$A$1601,$AG1118))</f>
        <v/>
      </c>
      <c r="K1118">
        <f>IF($AG1118="","",INDEX('TMP Paste'!$L$2:$L$1601,$AG1118))</f>
        <v/>
      </c>
      <c r="L1118">
        <f>IF($AG1118="","",INDEX('TMP Paste'!$I$2:$I$1601,$AG1118))</f>
        <v/>
      </c>
      <c r="M1118">
        <f>IF($AG1118="","",Config!$B$16)</f>
        <v/>
      </c>
      <c r="N1118">
        <f>IF($AG1118="","","")</f>
        <v/>
      </c>
      <c r="O1118">
        <f>IF($AG1118="","",INDEX('TMP Paste'!$K$2:$K$1601,$AG1118))</f>
        <v/>
      </c>
      <c r="P1118">
        <f>IF($AG1118="","","")</f>
        <v/>
      </c>
      <c r="Q1118">
        <f>IF($AG1118="","",INDEX('TMP Paste'!$J$2:$J$1601,$AG1118))</f>
        <v/>
      </c>
      <c r="R1118">
        <f>IF($AG1118="","",Config!$B$24)</f>
        <v/>
      </c>
      <c r="S1118">
        <f>IF($AG1118="","",TEXT(Config!$B$4,"yyyy-mm-dd"))</f>
        <v/>
      </c>
      <c r="T1118">
        <f>IF($AG1118="","",Config!$B$17)</f>
        <v/>
      </c>
      <c r="U1118">
        <f>IF($AG1118="","",Config!$B$18)</f>
        <v/>
      </c>
      <c r="V1118">
        <f>IF($AG1118="","",Config!$B$19)</f>
        <v/>
      </c>
      <c r="W1118">
        <f>IF($AG1118="","",INDEX('TMP Paste'!$C$2:$C$1601,$AG1118))</f>
        <v/>
      </c>
      <c r="X1118">
        <f>IF($AG1118="","",Config!$B$29)</f>
        <v/>
      </c>
      <c r="Y1118">
        <f>IF($AH1118="","",INDEX(Calc!$I$2:$I$1601,$AH1118)&amp;" - "&amp;INDEX(Calc!$D$2:$D$1601,$AH1118)&amp;" koli")</f>
        <v/>
      </c>
      <c r="Z1118">
        <f>IF($AG1118="","",Config!$B$21)</f>
        <v/>
      </c>
      <c r="AA1118">
        <f>IF($AG1118="","",Config!$B$22)</f>
        <v/>
      </c>
      <c r="AB1118">
        <f>IF($AH1118="","",INDEX(Calc!$D$2:$D$1601,$AH1118))</f>
        <v/>
      </c>
      <c r="AC1118">
        <f>IF($AH1118="","",INDEX(Calc!$G$2:$G$1601,$AH1118))</f>
        <v/>
      </c>
      <c r="AD1118">
        <f>IF($AG1118="","",Config!$B$23)</f>
        <v/>
      </c>
      <c r="AE1118">
        <f>IF($AG1118="","",Config!$B$28)</f>
        <v/>
      </c>
      <c r="AG1118">
        <f>IFERROR(MATCH(ROW()-1,Calc!$J$2:$J$1601,0),"")</f>
        <v/>
      </c>
      <c r="AH1118">
        <f>IFERROR(MATCH(ROW()-1,Calc!$K$2:$K$1601,0),"")</f>
        <v/>
      </c>
      <c r="AI1118">
        <f>IF($AG1118="","",SUMIF($AG$2:$AG1118,$AG1118,$AH$2:$AH1118))</f>
        <v/>
      </c>
      <c r="AJ1118">
        <f>IF('TMP Paste'!$F1118="","",IF('TMP Paste'!$B1118="",$AJ1117,'TMP Paste'!$B1118))</f>
        <v/>
      </c>
      <c r="AK1118">
        <f>IF('TMP Paste'!$F1118="","",N('TMP Paste'!$G1118))</f>
        <v/>
      </c>
      <c r="AL1118">
        <f>IF('TMP Paste'!$F1118="","",IF('TMP Paste'!$M1118="",$AL1117,'TMP Paste'!$M1118))</f>
        <v/>
      </c>
      <c r="AM1118">
        <f>IF('TMP Paste'!$F1118="","",IF('TMP Paste'!$N1118="",$AM1117,'TMP Paste'!$N1118))</f>
        <v/>
      </c>
      <c r="AN1118">
        <f>IF('TMP Paste'!$F1118="","",IF('TMP Paste'!$O1118="",$AN1117,'TMP Paste'!$O1118))</f>
        <v/>
      </c>
      <c r="AO1118">
        <f>IF('TMP Paste'!$F1118="","",IF('TMP Paste'!$P1118="",$AO1117,'TMP Paste'!$P1118))</f>
        <v/>
      </c>
      <c r="AP1118">
        <f>IF($AG1118="","",LEN($R1118))</f>
        <v/>
      </c>
      <c r="AQ1118">
        <f>IF($AG1118="","",TRIM(IF(COUNTIFS(Calc!$B$2:$B$1601,ROW()-1,Calc!$C$2:$C$1601,"&lt;1")&gt;0,"Ada PO tanpa Koli - cek TMP. ","")&amp;IF(LEN($R1118)&gt;500,"R &gt; 500 karakter.","")))</f>
        <v/>
      </c>
    </row>
    <row r="1119">
      <c r="A1119">
        <f>IF($AG1119="","",INDEX('TMP Paste'!$B$2:$B$1601,$AG1119))</f>
        <v/>
      </c>
      <c r="B1119">
        <f>IF($AG1119="","",Config!$B$14)</f>
        <v/>
      </c>
      <c r="C1119">
        <f>IF($AG1119="","",Config!$B$15)</f>
        <v/>
      </c>
      <c r="D1119">
        <f>IF($AG1119="","",INDEX('TMP Paste'!$B$2:$B$1601,$AG1119))</f>
        <v/>
      </c>
      <c r="E1119">
        <f>IF($AG1119="","",Config!$B$27)</f>
        <v/>
      </c>
      <c r="F1119">
        <f>IF($AG1119="","",Config!$B$9)</f>
        <v/>
      </c>
      <c r="G1119">
        <f>IF($AG1119="","",Config!$B$10)</f>
        <v/>
      </c>
      <c r="H1119">
        <f>IF($AG1119="","",Config!$B$11)</f>
        <v/>
      </c>
      <c r="I1119">
        <f>IF($AG1119="","",Config!$B$16)</f>
        <v/>
      </c>
      <c r="J1119">
        <f>IF($AG1119="","",INDEX('TMP Paste'!$A$2:$A$1601,$AG1119))</f>
        <v/>
      </c>
      <c r="K1119">
        <f>IF($AG1119="","",INDEX('TMP Paste'!$L$2:$L$1601,$AG1119))</f>
        <v/>
      </c>
      <c r="L1119">
        <f>IF($AG1119="","",INDEX('TMP Paste'!$I$2:$I$1601,$AG1119))</f>
        <v/>
      </c>
      <c r="M1119">
        <f>IF($AG1119="","",Config!$B$16)</f>
        <v/>
      </c>
      <c r="N1119">
        <f>IF($AG1119="","","")</f>
        <v/>
      </c>
      <c r="O1119">
        <f>IF($AG1119="","",INDEX('TMP Paste'!$K$2:$K$1601,$AG1119))</f>
        <v/>
      </c>
      <c r="P1119">
        <f>IF($AG1119="","","")</f>
        <v/>
      </c>
      <c r="Q1119">
        <f>IF($AG1119="","",INDEX('TMP Paste'!$J$2:$J$1601,$AG1119))</f>
        <v/>
      </c>
      <c r="R1119">
        <f>IF($AG1119="","",Config!$B$24)</f>
        <v/>
      </c>
      <c r="S1119">
        <f>IF($AG1119="","",TEXT(Config!$B$4,"yyyy-mm-dd"))</f>
        <v/>
      </c>
      <c r="T1119">
        <f>IF($AG1119="","",Config!$B$17)</f>
        <v/>
      </c>
      <c r="U1119">
        <f>IF($AG1119="","",Config!$B$18)</f>
        <v/>
      </c>
      <c r="V1119">
        <f>IF($AG1119="","",Config!$B$19)</f>
        <v/>
      </c>
      <c r="W1119">
        <f>IF($AG1119="","",INDEX('TMP Paste'!$C$2:$C$1601,$AG1119))</f>
        <v/>
      </c>
      <c r="X1119">
        <f>IF($AG1119="","",Config!$B$29)</f>
        <v/>
      </c>
      <c r="Y1119">
        <f>IF($AH1119="","",INDEX(Calc!$I$2:$I$1601,$AH1119)&amp;" - "&amp;INDEX(Calc!$D$2:$D$1601,$AH1119)&amp;" koli")</f>
        <v/>
      </c>
      <c r="Z1119">
        <f>IF($AG1119="","",Config!$B$21)</f>
        <v/>
      </c>
      <c r="AA1119">
        <f>IF($AG1119="","",Config!$B$22)</f>
        <v/>
      </c>
      <c r="AB1119">
        <f>IF($AH1119="","",INDEX(Calc!$D$2:$D$1601,$AH1119))</f>
        <v/>
      </c>
      <c r="AC1119">
        <f>IF($AH1119="","",INDEX(Calc!$G$2:$G$1601,$AH1119))</f>
        <v/>
      </c>
      <c r="AD1119">
        <f>IF($AG1119="","",Config!$B$23)</f>
        <v/>
      </c>
      <c r="AE1119">
        <f>IF($AG1119="","",Config!$B$28)</f>
        <v/>
      </c>
      <c r="AG1119">
        <f>IFERROR(MATCH(ROW()-1,Calc!$J$2:$J$1601,0),"")</f>
        <v/>
      </c>
      <c r="AH1119">
        <f>IFERROR(MATCH(ROW()-1,Calc!$K$2:$K$1601,0),"")</f>
        <v/>
      </c>
      <c r="AI1119">
        <f>IF($AG1119="","",SUMIF($AG$2:$AG1119,$AG1119,$AH$2:$AH1119))</f>
        <v/>
      </c>
      <c r="AJ1119">
        <f>IF('TMP Paste'!$F1119="","",IF('TMP Paste'!$B1119="",$AJ1118,'TMP Paste'!$B1119))</f>
        <v/>
      </c>
      <c r="AK1119">
        <f>IF('TMP Paste'!$F1119="","",N('TMP Paste'!$G1119))</f>
        <v/>
      </c>
      <c r="AL1119">
        <f>IF('TMP Paste'!$F1119="","",IF('TMP Paste'!$M1119="",$AL1118,'TMP Paste'!$M1119))</f>
        <v/>
      </c>
      <c r="AM1119">
        <f>IF('TMP Paste'!$F1119="","",IF('TMP Paste'!$N1119="",$AM1118,'TMP Paste'!$N1119))</f>
        <v/>
      </c>
      <c r="AN1119">
        <f>IF('TMP Paste'!$F1119="","",IF('TMP Paste'!$O1119="",$AN1118,'TMP Paste'!$O1119))</f>
        <v/>
      </c>
      <c r="AO1119">
        <f>IF('TMP Paste'!$F1119="","",IF('TMP Paste'!$P1119="",$AO1118,'TMP Paste'!$P1119))</f>
        <v/>
      </c>
      <c r="AP1119">
        <f>IF($AG1119="","",LEN($R1119))</f>
        <v/>
      </c>
      <c r="AQ1119">
        <f>IF($AG1119="","",TRIM(IF(COUNTIFS(Calc!$B$2:$B$1601,ROW()-1,Calc!$C$2:$C$1601,"&lt;1")&gt;0,"Ada PO tanpa Koli - cek TMP. ","")&amp;IF(LEN($R1119)&gt;500,"R &gt; 500 karakter.","")))</f>
        <v/>
      </c>
    </row>
    <row r="1120">
      <c r="A1120">
        <f>IF($AG1120="","",INDEX('TMP Paste'!$B$2:$B$1601,$AG1120))</f>
        <v/>
      </c>
      <c r="B1120">
        <f>IF($AG1120="","",Config!$B$14)</f>
        <v/>
      </c>
      <c r="C1120">
        <f>IF($AG1120="","",Config!$B$15)</f>
        <v/>
      </c>
      <c r="D1120">
        <f>IF($AG1120="","",INDEX('TMP Paste'!$B$2:$B$1601,$AG1120))</f>
        <v/>
      </c>
      <c r="E1120">
        <f>IF($AG1120="","",Config!$B$27)</f>
        <v/>
      </c>
      <c r="F1120">
        <f>IF($AG1120="","",Config!$B$9)</f>
        <v/>
      </c>
      <c r="G1120">
        <f>IF($AG1120="","",Config!$B$10)</f>
        <v/>
      </c>
      <c r="H1120">
        <f>IF($AG1120="","",Config!$B$11)</f>
        <v/>
      </c>
      <c r="I1120">
        <f>IF($AG1120="","",Config!$B$16)</f>
        <v/>
      </c>
      <c r="J1120">
        <f>IF($AG1120="","",INDEX('TMP Paste'!$A$2:$A$1601,$AG1120))</f>
        <v/>
      </c>
      <c r="K1120">
        <f>IF($AG1120="","",INDEX('TMP Paste'!$L$2:$L$1601,$AG1120))</f>
        <v/>
      </c>
      <c r="L1120">
        <f>IF($AG1120="","",INDEX('TMP Paste'!$I$2:$I$1601,$AG1120))</f>
        <v/>
      </c>
      <c r="M1120">
        <f>IF($AG1120="","",Config!$B$16)</f>
        <v/>
      </c>
      <c r="N1120">
        <f>IF($AG1120="","","")</f>
        <v/>
      </c>
      <c r="O1120">
        <f>IF($AG1120="","",INDEX('TMP Paste'!$K$2:$K$1601,$AG1120))</f>
        <v/>
      </c>
      <c r="P1120">
        <f>IF($AG1120="","","")</f>
        <v/>
      </c>
      <c r="Q1120">
        <f>IF($AG1120="","",INDEX('TMP Paste'!$J$2:$J$1601,$AG1120))</f>
        <v/>
      </c>
      <c r="R1120">
        <f>IF($AG1120="","",Config!$B$24)</f>
        <v/>
      </c>
      <c r="S1120">
        <f>IF($AG1120="","",TEXT(Config!$B$4,"yyyy-mm-dd"))</f>
        <v/>
      </c>
      <c r="T1120">
        <f>IF($AG1120="","",Config!$B$17)</f>
        <v/>
      </c>
      <c r="U1120">
        <f>IF($AG1120="","",Config!$B$18)</f>
        <v/>
      </c>
      <c r="V1120">
        <f>IF($AG1120="","",Config!$B$19)</f>
        <v/>
      </c>
      <c r="W1120">
        <f>IF($AG1120="","",INDEX('TMP Paste'!$C$2:$C$1601,$AG1120))</f>
        <v/>
      </c>
      <c r="X1120">
        <f>IF($AG1120="","",Config!$B$29)</f>
        <v/>
      </c>
      <c r="Y1120">
        <f>IF($AH1120="","",INDEX(Calc!$I$2:$I$1601,$AH1120)&amp;" - "&amp;INDEX(Calc!$D$2:$D$1601,$AH1120)&amp;" koli")</f>
        <v/>
      </c>
      <c r="Z1120">
        <f>IF($AG1120="","",Config!$B$21)</f>
        <v/>
      </c>
      <c r="AA1120">
        <f>IF($AG1120="","",Config!$B$22)</f>
        <v/>
      </c>
      <c r="AB1120">
        <f>IF($AH1120="","",INDEX(Calc!$D$2:$D$1601,$AH1120))</f>
        <v/>
      </c>
      <c r="AC1120">
        <f>IF($AH1120="","",INDEX(Calc!$G$2:$G$1601,$AH1120))</f>
        <v/>
      </c>
      <c r="AD1120">
        <f>IF($AG1120="","",Config!$B$23)</f>
        <v/>
      </c>
      <c r="AE1120">
        <f>IF($AG1120="","",Config!$B$28)</f>
        <v/>
      </c>
      <c r="AG1120">
        <f>IFERROR(MATCH(ROW()-1,Calc!$J$2:$J$1601,0),"")</f>
        <v/>
      </c>
      <c r="AH1120">
        <f>IFERROR(MATCH(ROW()-1,Calc!$K$2:$K$1601,0),"")</f>
        <v/>
      </c>
      <c r="AI1120">
        <f>IF($AG1120="","",SUMIF($AG$2:$AG1120,$AG1120,$AH$2:$AH1120))</f>
        <v/>
      </c>
      <c r="AJ1120">
        <f>IF('TMP Paste'!$F1120="","",IF('TMP Paste'!$B1120="",$AJ1119,'TMP Paste'!$B1120))</f>
        <v/>
      </c>
      <c r="AK1120">
        <f>IF('TMP Paste'!$F1120="","",N('TMP Paste'!$G1120))</f>
        <v/>
      </c>
      <c r="AL1120">
        <f>IF('TMP Paste'!$F1120="","",IF('TMP Paste'!$M1120="",$AL1119,'TMP Paste'!$M1120))</f>
        <v/>
      </c>
      <c r="AM1120">
        <f>IF('TMP Paste'!$F1120="","",IF('TMP Paste'!$N1120="",$AM1119,'TMP Paste'!$N1120))</f>
        <v/>
      </c>
      <c r="AN1120">
        <f>IF('TMP Paste'!$F1120="","",IF('TMP Paste'!$O1120="",$AN1119,'TMP Paste'!$O1120))</f>
        <v/>
      </c>
      <c r="AO1120">
        <f>IF('TMP Paste'!$F1120="","",IF('TMP Paste'!$P1120="",$AO1119,'TMP Paste'!$P1120))</f>
        <v/>
      </c>
      <c r="AP1120">
        <f>IF($AG1120="","",LEN($R1120))</f>
        <v/>
      </c>
      <c r="AQ1120">
        <f>IF($AG1120="","",TRIM(IF(COUNTIFS(Calc!$B$2:$B$1601,ROW()-1,Calc!$C$2:$C$1601,"&lt;1")&gt;0,"Ada PO tanpa Koli - cek TMP. ","")&amp;IF(LEN($R1120)&gt;500,"R &gt; 500 karakter.","")))</f>
        <v/>
      </c>
    </row>
    <row r="1121">
      <c r="A1121">
        <f>IF($AG1121="","",INDEX('TMP Paste'!$B$2:$B$1601,$AG1121))</f>
        <v/>
      </c>
      <c r="B1121">
        <f>IF($AG1121="","",Config!$B$14)</f>
        <v/>
      </c>
      <c r="C1121">
        <f>IF($AG1121="","",Config!$B$15)</f>
        <v/>
      </c>
      <c r="D1121">
        <f>IF($AG1121="","",INDEX('TMP Paste'!$B$2:$B$1601,$AG1121))</f>
        <v/>
      </c>
      <c r="E1121">
        <f>IF($AG1121="","",Config!$B$27)</f>
        <v/>
      </c>
      <c r="F1121">
        <f>IF($AG1121="","",Config!$B$9)</f>
        <v/>
      </c>
      <c r="G1121">
        <f>IF($AG1121="","",Config!$B$10)</f>
        <v/>
      </c>
      <c r="H1121">
        <f>IF($AG1121="","",Config!$B$11)</f>
        <v/>
      </c>
      <c r="I1121">
        <f>IF($AG1121="","",Config!$B$16)</f>
        <v/>
      </c>
      <c r="J1121">
        <f>IF($AG1121="","",INDEX('TMP Paste'!$A$2:$A$1601,$AG1121))</f>
        <v/>
      </c>
      <c r="K1121">
        <f>IF($AG1121="","",INDEX('TMP Paste'!$L$2:$L$1601,$AG1121))</f>
        <v/>
      </c>
      <c r="L1121">
        <f>IF($AG1121="","",INDEX('TMP Paste'!$I$2:$I$1601,$AG1121))</f>
        <v/>
      </c>
      <c r="M1121">
        <f>IF($AG1121="","",Config!$B$16)</f>
        <v/>
      </c>
      <c r="N1121">
        <f>IF($AG1121="","","")</f>
        <v/>
      </c>
      <c r="O1121">
        <f>IF($AG1121="","",INDEX('TMP Paste'!$K$2:$K$1601,$AG1121))</f>
        <v/>
      </c>
      <c r="P1121">
        <f>IF($AG1121="","","")</f>
        <v/>
      </c>
      <c r="Q1121">
        <f>IF($AG1121="","",INDEX('TMP Paste'!$J$2:$J$1601,$AG1121))</f>
        <v/>
      </c>
      <c r="R1121">
        <f>IF($AG1121="","",Config!$B$24)</f>
        <v/>
      </c>
      <c r="S1121">
        <f>IF($AG1121="","",TEXT(Config!$B$4,"yyyy-mm-dd"))</f>
        <v/>
      </c>
      <c r="T1121">
        <f>IF($AG1121="","",Config!$B$17)</f>
        <v/>
      </c>
      <c r="U1121">
        <f>IF($AG1121="","",Config!$B$18)</f>
        <v/>
      </c>
      <c r="V1121">
        <f>IF($AG1121="","",Config!$B$19)</f>
        <v/>
      </c>
      <c r="W1121">
        <f>IF($AG1121="","",INDEX('TMP Paste'!$C$2:$C$1601,$AG1121))</f>
        <v/>
      </c>
      <c r="X1121">
        <f>IF($AG1121="","",Config!$B$29)</f>
        <v/>
      </c>
      <c r="Y1121">
        <f>IF($AH1121="","",INDEX(Calc!$I$2:$I$1601,$AH1121)&amp;" - "&amp;INDEX(Calc!$D$2:$D$1601,$AH1121)&amp;" koli")</f>
        <v/>
      </c>
      <c r="Z1121">
        <f>IF($AG1121="","",Config!$B$21)</f>
        <v/>
      </c>
      <c r="AA1121">
        <f>IF($AG1121="","",Config!$B$22)</f>
        <v/>
      </c>
      <c r="AB1121">
        <f>IF($AH1121="","",INDEX(Calc!$D$2:$D$1601,$AH1121))</f>
        <v/>
      </c>
      <c r="AC1121">
        <f>IF($AH1121="","",INDEX(Calc!$G$2:$G$1601,$AH1121))</f>
        <v/>
      </c>
      <c r="AD1121">
        <f>IF($AG1121="","",Config!$B$23)</f>
        <v/>
      </c>
      <c r="AE1121">
        <f>IF($AG1121="","",Config!$B$28)</f>
        <v/>
      </c>
      <c r="AG1121">
        <f>IFERROR(MATCH(ROW()-1,Calc!$J$2:$J$1601,0),"")</f>
        <v/>
      </c>
      <c r="AH1121">
        <f>IFERROR(MATCH(ROW()-1,Calc!$K$2:$K$1601,0),"")</f>
        <v/>
      </c>
      <c r="AI1121">
        <f>IF($AG1121="","",SUMIF($AG$2:$AG1121,$AG1121,$AH$2:$AH1121))</f>
        <v/>
      </c>
      <c r="AJ1121">
        <f>IF('TMP Paste'!$F1121="","",IF('TMP Paste'!$B1121="",$AJ1120,'TMP Paste'!$B1121))</f>
        <v/>
      </c>
      <c r="AK1121">
        <f>IF('TMP Paste'!$F1121="","",N('TMP Paste'!$G1121))</f>
        <v/>
      </c>
      <c r="AL1121">
        <f>IF('TMP Paste'!$F1121="","",IF('TMP Paste'!$M1121="",$AL1120,'TMP Paste'!$M1121))</f>
        <v/>
      </c>
      <c r="AM1121">
        <f>IF('TMP Paste'!$F1121="","",IF('TMP Paste'!$N1121="",$AM1120,'TMP Paste'!$N1121))</f>
        <v/>
      </c>
      <c r="AN1121">
        <f>IF('TMP Paste'!$F1121="","",IF('TMP Paste'!$O1121="",$AN1120,'TMP Paste'!$O1121))</f>
        <v/>
      </c>
      <c r="AO1121">
        <f>IF('TMP Paste'!$F1121="","",IF('TMP Paste'!$P1121="",$AO1120,'TMP Paste'!$P1121))</f>
        <v/>
      </c>
      <c r="AP1121">
        <f>IF($AG1121="","",LEN($R1121))</f>
        <v/>
      </c>
      <c r="AQ1121">
        <f>IF($AG1121="","",TRIM(IF(COUNTIFS(Calc!$B$2:$B$1601,ROW()-1,Calc!$C$2:$C$1601,"&lt;1")&gt;0,"Ada PO tanpa Koli - cek TMP. ","")&amp;IF(LEN($R1121)&gt;500,"R &gt; 500 karakter.","")))</f>
        <v/>
      </c>
    </row>
    <row r="1122">
      <c r="A1122">
        <f>IF($AG1122="","",INDEX('TMP Paste'!$B$2:$B$1601,$AG1122))</f>
        <v/>
      </c>
      <c r="B1122">
        <f>IF($AG1122="","",Config!$B$14)</f>
        <v/>
      </c>
      <c r="C1122">
        <f>IF($AG1122="","",Config!$B$15)</f>
        <v/>
      </c>
      <c r="D1122">
        <f>IF($AG1122="","",INDEX('TMP Paste'!$B$2:$B$1601,$AG1122))</f>
        <v/>
      </c>
      <c r="E1122">
        <f>IF($AG1122="","",Config!$B$27)</f>
        <v/>
      </c>
      <c r="F1122">
        <f>IF($AG1122="","",Config!$B$9)</f>
        <v/>
      </c>
      <c r="G1122">
        <f>IF($AG1122="","",Config!$B$10)</f>
        <v/>
      </c>
      <c r="H1122">
        <f>IF($AG1122="","",Config!$B$11)</f>
        <v/>
      </c>
      <c r="I1122">
        <f>IF($AG1122="","",Config!$B$16)</f>
        <v/>
      </c>
      <c r="J1122">
        <f>IF($AG1122="","",INDEX('TMP Paste'!$A$2:$A$1601,$AG1122))</f>
        <v/>
      </c>
      <c r="K1122">
        <f>IF($AG1122="","",INDEX('TMP Paste'!$L$2:$L$1601,$AG1122))</f>
        <v/>
      </c>
      <c r="L1122">
        <f>IF($AG1122="","",INDEX('TMP Paste'!$I$2:$I$1601,$AG1122))</f>
        <v/>
      </c>
      <c r="M1122">
        <f>IF($AG1122="","",Config!$B$16)</f>
        <v/>
      </c>
      <c r="N1122">
        <f>IF($AG1122="","","")</f>
        <v/>
      </c>
      <c r="O1122">
        <f>IF($AG1122="","",INDEX('TMP Paste'!$K$2:$K$1601,$AG1122))</f>
        <v/>
      </c>
      <c r="P1122">
        <f>IF($AG1122="","","")</f>
        <v/>
      </c>
      <c r="Q1122">
        <f>IF($AG1122="","",INDEX('TMP Paste'!$J$2:$J$1601,$AG1122))</f>
        <v/>
      </c>
      <c r="R1122">
        <f>IF($AG1122="","",Config!$B$24)</f>
        <v/>
      </c>
      <c r="S1122">
        <f>IF($AG1122="","",TEXT(Config!$B$4,"yyyy-mm-dd"))</f>
        <v/>
      </c>
      <c r="T1122">
        <f>IF($AG1122="","",Config!$B$17)</f>
        <v/>
      </c>
      <c r="U1122">
        <f>IF($AG1122="","",Config!$B$18)</f>
        <v/>
      </c>
      <c r="V1122">
        <f>IF($AG1122="","",Config!$B$19)</f>
        <v/>
      </c>
      <c r="W1122">
        <f>IF($AG1122="","",INDEX('TMP Paste'!$C$2:$C$1601,$AG1122))</f>
        <v/>
      </c>
      <c r="X1122">
        <f>IF($AG1122="","",Config!$B$29)</f>
        <v/>
      </c>
      <c r="Y1122">
        <f>IF($AH1122="","",INDEX(Calc!$I$2:$I$1601,$AH1122)&amp;" - "&amp;INDEX(Calc!$D$2:$D$1601,$AH1122)&amp;" koli")</f>
        <v/>
      </c>
      <c r="Z1122">
        <f>IF($AG1122="","",Config!$B$21)</f>
        <v/>
      </c>
      <c r="AA1122">
        <f>IF($AG1122="","",Config!$B$22)</f>
        <v/>
      </c>
      <c r="AB1122">
        <f>IF($AH1122="","",INDEX(Calc!$D$2:$D$1601,$AH1122))</f>
        <v/>
      </c>
      <c r="AC1122">
        <f>IF($AH1122="","",INDEX(Calc!$G$2:$G$1601,$AH1122))</f>
        <v/>
      </c>
      <c r="AD1122">
        <f>IF($AG1122="","",Config!$B$23)</f>
        <v/>
      </c>
      <c r="AE1122">
        <f>IF($AG1122="","",Config!$B$28)</f>
        <v/>
      </c>
      <c r="AG1122">
        <f>IFERROR(MATCH(ROW()-1,Calc!$J$2:$J$1601,0),"")</f>
        <v/>
      </c>
      <c r="AH1122">
        <f>IFERROR(MATCH(ROW()-1,Calc!$K$2:$K$1601,0),"")</f>
        <v/>
      </c>
      <c r="AI1122">
        <f>IF($AG1122="","",SUMIF($AG$2:$AG1122,$AG1122,$AH$2:$AH1122))</f>
        <v/>
      </c>
      <c r="AJ1122">
        <f>IF('TMP Paste'!$F1122="","",IF('TMP Paste'!$B1122="",$AJ1121,'TMP Paste'!$B1122))</f>
        <v/>
      </c>
      <c r="AK1122">
        <f>IF('TMP Paste'!$F1122="","",N('TMP Paste'!$G1122))</f>
        <v/>
      </c>
      <c r="AL1122">
        <f>IF('TMP Paste'!$F1122="","",IF('TMP Paste'!$M1122="",$AL1121,'TMP Paste'!$M1122))</f>
        <v/>
      </c>
      <c r="AM1122">
        <f>IF('TMP Paste'!$F1122="","",IF('TMP Paste'!$N1122="",$AM1121,'TMP Paste'!$N1122))</f>
        <v/>
      </c>
      <c r="AN1122">
        <f>IF('TMP Paste'!$F1122="","",IF('TMP Paste'!$O1122="",$AN1121,'TMP Paste'!$O1122))</f>
        <v/>
      </c>
      <c r="AO1122">
        <f>IF('TMP Paste'!$F1122="","",IF('TMP Paste'!$P1122="",$AO1121,'TMP Paste'!$P1122))</f>
        <v/>
      </c>
      <c r="AP1122">
        <f>IF($AG1122="","",LEN($R1122))</f>
        <v/>
      </c>
      <c r="AQ1122">
        <f>IF($AG1122="","",TRIM(IF(COUNTIFS(Calc!$B$2:$B$1601,ROW()-1,Calc!$C$2:$C$1601,"&lt;1")&gt;0,"Ada PO tanpa Koli - cek TMP. ","")&amp;IF(LEN($R1122)&gt;500,"R &gt; 500 karakter.","")))</f>
        <v/>
      </c>
    </row>
    <row r="1123">
      <c r="A1123">
        <f>IF($AG1123="","",INDEX('TMP Paste'!$B$2:$B$1601,$AG1123))</f>
        <v/>
      </c>
      <c r="B1123">
        <f>IF($AG1123="","",Config!$B$14)</f>
        <v/>
      </c>
      <c r="C1123">
        <f>IF($AG1123="","",Config!$B$15)</f>
        <v/>
      </c>
      <c r="D1123">
        <f>IF($AG1123="","",INDEX('TMP Paste'!$B$2:$B$1601,$AG1123))</f>
        <v/>
      </c>
      <c r="E1123">
        <f>IF($AG1123="","",Config!$B$27)</f>
        <v/>
      </c>
      <c r="F1123">
        <f>IF($AG1123="","",Config!$B$9)</f>
        <v/>
      </c>
      <c r="G1123">
        <f>IF($AG1123="","",Config!$B$10)</f>
        <v/>
      </c>
      <c r="H1123">
        <f>IF($AG1123="","",Config!$B$11)</f>
        <v/>
      </c>
      <c r="I1123">
        <f>IF($AG1123="","",Config!$B$16)</f>
        <v/>
      </c>
      <c r="J1123">
        <f>IF($AG1123="","",INDEX('TMP Paste'!$A$2:$A$1601,$AG1123))</f>
        <v/>
      </c>
      <c r="K1123">
        <f>IF($AG1123="","",INDEX('TMP Paste'!$L$2:$L$1601,$AG1123))</f>
        <v/>
      </c>
      <c r="L1123">
        <f>IF($AG1123="","",INDEX('TMP Paste'!$I$2:$I$1601,$AG1123))</f>
        <v/>
      </c>
      <c r="M1123">
        <f>IF($AG1123="","",Config!$B$16)</f>
        <v/>
      </c>
      <c r="N1123">
        <f>IF($AG1123="","","")</f>
        <v/>
      </c>
      <c r="O1123">
        <f>IF($AG1123="","",INDEX('TMP Paste'!$K$2:$K$1601,$AG1123))</f>
        <v/>
      </c>
      <c r="P1123">
        <f>IF($AG1123="","","")</f>
        <v/>
      </c>
      <c r="Q1123">
        <f>IF($AG1123="","",INDEX('TMP Paste'!$J$2:$J$1601,$AG1123))</f>
        <v/>
      </c>
      <c r="R1123">
        <f>IF($AG1123="","",Config!$B$24)</f>
        <v/>
      </c>
      <c r="S1123">
        <f>IF($AG1123="","",TEXT(Config!$B$4,"yyyy-mm-dd"))</f>
        <v/>
      </c>
      <c r="T1123">
        <f>IF($AG1123="","",Config!$B$17)</f>
        <v/>
      </c>
      <c r="U1123">
        <f>IF($AG1123="","",Config!$B$18)</f>
        <v/>
      </c>
      <c r="V1123">
        <f>IF($AG1123="","",Config!$B$19)</f>
        <v/>
      </c>
      <c r="W1123">
        <f>IF($AG1123="","",INDEX('TMP Paste'!$C$2:$C$1601,$AG1123))</f>
        <v/>
      </c>
      <c r="X1123">
        <f>IF($AG1123="","",Config!$B$29)</f>
        <v/>
      </c>
      <c r="Y1123">
        <f>IF($AH1123="","",INDEX(Calc!$I$2:$I$1601,$AH1123)&amp;" - "&amp;INDEX(Calc!$D$2:$D$1601,$AH1123)&amp;" koli")</f>
        <v/>
      </c>
      <c r="Z1123">
        <f>IF($AG1123="","",Config!$B$21)</f>
        <v/>
      </c>
      <c r="AA1123">
        <f>IF($AG1123="","",Config!$B$22)</f>
        <v/>
      </c>
      <c r="AB1123">
        <f>IF($AH1123="","",INDEX(Calc!$D$2:$D$1601,$AH1123))</f>
        <v/>
      </c>
      <c r="AC1123">
        <f>IF($AH1123="","",INDEX(Calc!$G$2:$G$1601,$AH1123))</f>
        <v/>
      </c>
      <c r="AD1123">
        <f>IF($AG1123="","",Config!$B$23)</f>
        <v/>
      </c>
      <c r="AE1123">
        <f>IF($AG1123="","",Config!$B$28)</f>
        <v/>
      </c>
      <c r="AG1123">
        <f>IFERROR(MATCH(ROW()-1,Calc!$J$2:$J$1601,0),"")</f>
        <v/>
      </c>
      <c r="AH1123">
        <f>IFERROR(MATCH(ROW()-1,Calc!$K$2:$K$1601,0),"")</f>
        <v/>
      </c>
      <c r="AI1123">
        <f>IF($AG1123="","",SUMIF($AG$2:$AG1123,$AG1123,$AH$2:$AH1123))</f>
        <v/>
      </c>
      <c r="AJ1123">
        <f>IF('TMP Paste'!$F1123="","",IF('TMP Paste'!$B1123="",$AJ1122,'TMP Paste'!$B1123))</f>
        <v/>
      </c>
      <c r="AK1123">
        <f>IF('TMP Paste'!$F1123="","",N('TMP Paste'!$G1123))</f>
        <v/>
      </c>
      <c r="AL1123">
        <f>IF('TMP Paste'!$F1123="","",IF('TMP Paste'!$M1123="",$AL1122,'TMP Paste'!$M1123))</f>
        <v/>
      </c>
      <c r="AM1123">
        <f>IF('TMP Paste'!$F1123="","",IF('TMP Paste'!$N1123="",$AM1122,'TMP Paste'!$N1123))</f>
        <v/>
      </c>
      <c r="AN1123">
        <f>IF('TMP Paste'!$F1123="","",IF('TMP Paste'!$O1123="",$AN1122,'TMP Paste'!$O1123))</f>
        <v/>
      </c>
      <c r="AO1123">
        <f>IF('TMP Paste'!$F1123="","",IF('TMP Paste'!$P1123="",$AO1122,'TMP Paste'!$P1123))</f>
        <v/>
      </c>
      <c r="AP1123">
        <f>IF($AG1123="","",LEN($R1123))</f>
        <v/>
      </c>
      <c r="AQ1123">
        <f>IF($AG1123="","",TRIM(IF(COUNTIFS(Calc!$B$2:$B$1601,ROW()-1,Calc!$C$2:$C$1601,"&lt;1")&gt;0,"Ada PO tanpa Koli - cek TMP. ","")&amp;IF(LEN($R1123)&gt;500,"R &gt; 500 karakter.","")))</f>
        <v/>
      </c>
    </row>
    <row r="1124">
      <c r="A1124">
        <f>IF($AG1124="","",INDEX('TMP Paste'!$B$2:$B$1601,$AG1124))</f>
        <v/>
      </c>
      <c r="B1124">
        <f>IF($AG1124="","",Config!$B$14)</f>
        <v/>
      </c>
      <c r="C1124">
        <f>IF($AG1124="","",Config!$B$15)</f>
        <v/>
      </c>
      <c r="D1124">
        <f>IF($AG1124="","",INDEX('TMP Paste'!$B$2:$B$1601,$AG1124))</f>
        <v/>
      </c>
      <c r="E1124">
        <f>IF($AG1124="","",Config!$B$27)</f>
        <v/>
      </c>
      <c r="F1124">
        <f>IF($AG1124="","",Config!$B$9)</f>
        <v/>
      </c>
      <c r="G1124">
        <f>IF($AG1124="","",Config!$B$10)</f>
        <v/>
      </c>
      <c r="H1124">
        <f>IF($AG1124="","",Config!$B$11)</f>
        <v/>
      </c>
      <c r="I1124">
        <f>IF($AG1124="","",Config!$B$16)</f>
        <v/>
      </c>
      <c r="J1124">
        <f>IF($AG1124="","",INDEX('TMP Paste'!$A$2:$A$1601,$AG1124))</f>
        <v/>
      </c>
      <c r="K1124">
        <f>IF($AG1124="","",INDEX('TMP Paste'!$L$2:$L$1601,$AG1124))</f>
        <v/>
      </c>
      <c r="L1124">
        <f>IF($AG1124="","",INDEX('TMP Paste'!$I$2:$I$1601,$AG1124))</f>
        <v/>
      </c>
      <c r="M1124">
        <f>IF($AG1124="","",Config!$B$16)</f>
        <v/>
      </c>
      <c r="N1124">
        <f>IF($AG1124="","","")</f>
        <v/>
      </c>
      <c r="O1124">
        <f>IF($AG1124="","",INDEX('TMP Paste'!$K$2:$K$1601,$AG1124))</f>
        <v/>
      </c>
      <c r="P1124">
        <f>IF($AG1124="","","")</f>
        <v/>
      </c>
      <c r="Q1124">
        <f>IF($AG1124="","",INDEX('TMP Paste'!$J$2:$J$1601,$AG1124))</f>
        <v/>
      </c>
      <c r="R1124">
        <f>IF($AG1124="","",Config!$B$24)</f>
        <v/>
      </c>
      <c r="S1124">
        <f>IF($AG1124="","",TEXT(Config!$B$4,"yyyy-mm-dd"))</f>
        <v/>
      </c>
      <c r="T1124">
        <f>IF($AG1124="","",Config!$B$17)</f>
        <v/>
      </c>
      <c r="U1124">
        <f>IF($AG1124="","",Config!$B$18)</f>
        <v/>
      </c>
      <c r="V1124">
        <f>IF($AG1124="","",Config!$B$19)</f>
        <v/>
      </c>
      <c r="W1124">
        <f>IF($AG1124="","",INDEX('TMP Paste'!$C$2:$C$1601,$AG1124))</f>
        <v/>
      </c>
      <c r="X1124">
        <f>IF($AG1124="","",Config!$B$29)</f>
        <v/>
      </c>
      <c r="Y1124">
        <f>IF($AH1124="","",INDEX(Calc!$I$2:$I$1601,$AH1124)&amp;" - "&amp;INDEX(Calc!$D$2:$D$1601,$AH1124)&amp;" koli")</f>
        <v/>
      </c>
      <c r="Z1124">
        <f>IF($AG1124="","",Config!$B$21)</f>
        <v/>
      </c>
      <c r="AA1124">
        <f>IF($AG1124="","",Config!$B$22)</f>
        <v/>
      </c>
      <c r="AB1124">
        <f>IF($AH1124="","",INDEX(Calc!$D$2:$D$1601,$AH1124))</f>
        <v/>
      </c>
      <c r="AC1124">
        <f>IF($AH1124="","",INDEX(Calc!$G$2:$G$1601,$AH1124))</f>
        <v/>
      </c>
      <c r="AD1124">
        <f>IF($AG1124="","",Config!$B$23)</f>
        <v/>
      </c>
      <c r="AE1124">
        <f>IF($AG1124="","",Config!$B$28)</f>
        <v/>
      </c>
      <c r="AG1124">
        <f>IFERROR(MATCH(ROW()-1,Calc!$J$2:$J$1601,0),"")</f>
        <v/>
      </c>
      <c r="AH1124">
        <f>IFERROR(MATCH(ROW()-1,Calc!$K$2:$K$1601,0),"")</f>
        <v/>
      </c>
      <c r="AI1124">
        <f>IF($AG1124="","",SUMIF($AG$2:$AG1124,$AG1124,$AH$2:$AH1124))</f>
        <v/>
      </c>
      <c r="AJ1124">
        <f>IF('TMP Paste'!$F1124="","",IF('TMP Paste'!$B1124="",$AJ1123,'TMP Paste'!$B1124))</f>
        <v/>
      </c>
      <c r="AK1124">
        <f>IF('TMP Paste'!$F1124="","",N('TMP Paste'!$G1124))</f>
        <v/>
      </c>
      <c r="AL1124">
        <f>IF('TMP Paste'!$F1124="","",IF('TMP Paste'!$M1124="",$AL1123,'TMP Paste'!$M1124))</f>
        <v/>
      </c>
      <c r="AM1124">
        <f>IF('TMP Paste'!$F1124="","",IF('TMP Paste'!$N1124="",$AM1123,'TMP Paste'!$N1124))</f>
        <v/>
      </c>
      <c r="AN1124">
        <f>IF('TMP Paste'!$F1124="","",IF('TMP Paste'!$O1124="",$AN1123,'TMP Paste'!$O1124))</f>
        <v/>
      </c>
      <c r="AO1124">
        <f>IF('TMP Paste'!$F1124="","",IF('TMP Paste'!$P1124="",$AO1123,'TMP Paste'!$P1124))</f>
        <v/>
      </c>
      <c r="AP1124">
        <f>IF($AG1124="","",LEN($R1124))</f>
        <v/>
      </c>
      <c r="AQ1124">
        <f>IF($AG1124="","",TRIM(IF(COUNTIFS(Calc!$B$2:$B$1601,ROW()-1,Calc!$C$2:$C$1601,"&lt;1")&gt;0,"Ada PO tanpa Koli - cek TMP. ","")&amp;IF(LEN($R1124)&gt;500,"R &gt; 500 karakter.","")))</f>
        <v/>
      </c>
    </row>
    <row r="1125">
      <c r="A1125">
        <f>IF($AG1125="","",INDEX('TMP Paste'!$B$2:$B$1601,$AG1125))</f>
        <v/>
      </c>
      <c r="B1125">
        <f>IF($AG1125="","",Config!$B$14)</f>
        <v/>
      </c>
      <c r="C1125">
        <f>IF($AG1125="","",Config!$B$15)</f>
        <v/>
      </c>
      <c r="D1125">
        <f>IF($AG1125="","",INDEX('TMP Paste'!$B$2:$B$1601,$AG1125))</f>
        <v/>
      </c>
      <c r="E1125">
        <f>IF($AG1125="","",Config!$B$27)</f>
        <v/>
      </c>
      <c r="F1125">
        <f>IF($AG1125="","",Config!$B$9)</f>
        <v/>
      </c>
      <c r="G1125">
        <f>IF($AG1125="","",Config!$B$10)</f>
        <v/>
      </c>
      <c r="H1125">
        <f>IF($AG1125="","",Config!$B$11)</f>
        <v/>
      </c>
      <c r="I1125">
        <f>IF($AG1125="","",Config!$B$16)</f>
        <v/>
      </c>
      <c r="J1125">
        <f>IF($AG1125="","",INDEX('TMP Paste'!$A$2:$A$1601,$AG1125))</f>
        <v/>
      </c>
      <c r="K1125">
        <f>IF($AG1125="","",INDEX('TMP Paste'!$L$2:$L$1601,$AG1125))</f>
        <v/>
      </c>
      <c r="L1125">
        <f>IF($AG1125="","",INDEX('TMP Paste'!$I$2:$I$1601,$AG1125))</f>
        <v/>
      </c>
      <c r="M1125">
        <f>IF($AG1125="","",Config!$B$16)</f>
        <v/>
      </c>
      <c r="N1125">
        <f>IF($AG1125="","","")</f>
        <v/>
      </c>
      <c r="O1125">
        <f>IF($AG1125="","",INDEX('TMP Paste'!$K$2:$K$1601,$AG1125))</f>
        <v/>
      </c>
      <c r="P1125">
        <f>IF($AG1125="","","")</f>
        <v/>
      </c>
      <c r="Q1125">
        <f>IF($AG1125="","",INDEX('TMP Paste'!$J$2:$J$1601,$AG1125))</f>
        <v/>
      </c>
      <c r="R1125">
        <f>IF($AG1125="","",Config!$B$24)</f>
        <v/>
      </c>
      <c r="S1125">
        <f>IF($AG1125="","",TEXT(Config!$B$4,"yyyy-mm-dd"))</f>
        <v/>
      </c>
      <c r="T1125">
        <f>IF($AG1125="","",Config!$B$17)</f>
        <v/>
      </c>
      <c r="U1125">
        <f>IF($AG1125="","",Config!$B$18)</f>
        <v/>
      </c>
      <c r="V1125">
        <f>IF($AG1125="","",Config!$B$19)</f>
        <v/>
      </c>
      <c r="W1125">
        <f>IF($AG1125="","",INDEX('TMP Paste'!$C$2:$C$1601,$AG1125))</f>
        <v/>
      </c>
      <c r="X1125">
        <f>IF($AG1125="","",Config!$B$29)</f>
        <v/>
      </c>
      <c r="Y1125">
        <f>IF($AH1125="","",INDEX(Calc!$I$2:$I$1601,$AH1125)&amp;" - "&amp;INDEX(Calc!$D$2:$D$1601,$AH1125)&amp;" koli")</f>
        <v/>
      </c>
      <c r="Z1125">
        <f>IF($AG1125="","",Config!$B$21)</f>
        <v/>
      </c>
      <c r="AA1125">
        <f>IF($AG1125="","",Config!$B$22)</f>
        <v/>
      </c>
      <c r="AB1125">
        <f>IF($AH1125="","",INDEX(Calc!$D$2:$D$1601,$AH1125))</f>
        <v/>
      </c>
      <c r="AC1125">
        <f>IF($AH1125="","",INDEX(Calc!$G$2:$G$1601,$AH1125))</f>
        <v/>
      </c>
      <c r="AD1125">
        <f>IF($AG1125="","",Config!$B$23)</f>
        <v/>
      </c>
      <c r="AE1125">
        <f>IF($AG1125="","",Config!$B$28)</f>
        <v/>
      </c>
      <c r="AG1125">
        <f>IFERROR(MATCH(ROW()-1,Calc!$J$2:$J$1601,0),"")</f>
        <v/>
      </c>
      <c r="AH1125">
        <f>IFERROR(MATCH(ROW()-1,Calc!$K$2:$K$1601,0),"")</f>
        <v/>
      </c>
      <c r="AI1125">
        <f>IF($AG1125="","",SUMIF($AG$2:$AG1125,$AG1125,$AH$2:$AH1125))</f>
        <v/>
      </c>
      <c r="AJ1125">
        <f>IF('TMP Paste'!$F1125="","",IF('TMP Paste'!$B1125="",$AJ1124,'TMP Paste'!$B1125))</f>
        <v/>
      </c>
      <c r="AK1125">
        <f>IF('TMP Paste'!$F1125="","",N('TMP Paste'!$G1125))</f>
        <v/>
      </c>
      <c r="AL1125">
        <f>IF('TMP Paste'!$F1125="","",IF('TMP Paste'!$M1125="",$AL1124,'TMP Paste'!$M1125))</f>
        <v/>
      </c>
      <c r="AM1125">
        <f>IF('TMP Paste'!$F1125="","",IF('TMP Paste'!$N1125="",$AM1124,'TMP Paste'!$N1125))</f>
        <v/>
      </c>
      <c r="AN1125">
        <f>IF('TMP Paste'!$F1125="","",IF('TMP Paste'!$O1125="",$AN1124,'TMP Paste'!$O1125))</f>
        <v/>
      </c>
      <c r="AO1125">
        <f>IF('TMP Paste'!$F1125="","",IF('TMP Paste'!$P1125="",$AO1124,'TMP Paste'!$P1125))</f>
        <v/>
      </c>
      <c r="AP1125">
        <f>IF($AG1125="","",LEN($R1125))</f>
        <v/>
      </c>
      <c r="AQ1125">
        <f>IF($AG1125="","",TRIM(IF(COUNTIFS(Calc!$B$2:$B$1601,ROW()-1,Calc!$C$2:$C$1601,"&lt;1")&gt;0,"Ada PO tanpa Koli - cek TMP. ","")&amp;IF(LEN($R1125)&gt;500,"R &gt; 500 karakter.","")))</f>
        <v/>
      </c>
    </row>
    <row r="1126">
      <c r="A1126">
        <f>IF($AG1126="","",INDEX('TMP Paste'!$B$2:$B$1601,$AG1126))</f>
        <v/>
      </c>
      <c r="B1126">
        <f>IF($AG1126="","",Config!$B$14)</f>
        <v/>
      </c>
      <c r="C1126">
        <f>IF($AG1126="","",Config!$B$15)</f>
        <v/>
      </c>
      <c r="D1126">
        <f>IF($AG1126="","",INDEX('TMP Paste'!$B$2:$B$1601,$AG1126))</f>
        <v/>
      </c>
      <c r="E1126">
        <f>IF($AG1126="","",Config!$B$27)</f>
        <v/>
      </c>
      <c r="F1126">
        <f>IF($AG1126="","",Config!$B$9)</f>
        <v/>
      </c>
      <c r="G1126">
        <f>IF($AG1126="","",Config!$B$10)</f>
        <v/>
      </c>
      <c r="H1126">
        <f>IF($AG1126="","",Config!$B$11)</f>
        <v/>
      </c>
      <c r="I1126">
        <f>IF($AG1126="","",Config!$B$16)</f>
        <v/>
      </c>
      <c r="J1126">
        <f>IF($AG1126="","",INDEX('TMP Paste'!$A$2:$A$1601,$AG1126))</f>
        <v/>
      </c>
      <c r="K1126">
        <f>IF($AG1126="","",INDEX('TMP Paste'!$L$2:$L$1601,$AG1126))</f>
        <v/>
      </c>
      <c r="L1126">
        <f>IF($AG1126="","",INDEX('TMP Paste'!$I$2:$I$1601,$AG1126))</f>
        <v/>
      </c>
      <c r="M1126">
        <f>IF($AG1126="","",Config!$B$16)</f>
        <v/>
      </c>
      <c r="N1126">
        <f>IF($AG1126="","","")</f>
        <v/>
      </c>
      <c r="O1126">
        <f>IF($AG1126="","",INDEX('TMP Paste'!$K$2:$K$1601,$AG1126))</f>
        <v/>
      </c>
      <c r="P1126">
        <f>IF($AG1126="","","")</f>
        <v/>
      </c>
      <c r="Q1126">
        <f>IF($AG1126="","",INDEX('TMP Paste'!$J$2:$J$1601,$AG1126))</f>
        <v/>
      </c>
      <c r="R1126">
        <f>IF($AG1126="","",Config!$B$24)</f>
        <v/>
      </c>
      <c r="S1126">
        <f>IF($AG1126="","",TEXT(Config!$B$4,"yyyy-mm-dd"))</f>
        <v/>
      </c>
      <c r="T1126">
        <f>IF($AG1126="","",Config!$B$17)</f>
        <v/>
      </c>
      <c r="U1126">
        <f>IF($AG1126="","",Config!$B$18)</f>
        <v/>
      </c>
      <c r="V1126">
        <f>IF($AG1126="","",Config!$B$19)</f>
        <v/>
      </c>
      <c r="W1126">
        <f>IF($AG1126="","",INDEX('TMP Paste'!$C$2:$C$1601,$AG1126))</f>
        <v/>
      </c>
      <c r="X1126">
        <f>IF($AG1126="","",Config!$B$29)</f>
        <v/>
      </c>
      <c r="Y1126">
        <f>IF($AH1126="","",INDEX(Calc!$I$2:$I$1601,$AH1126)&amp;" - "&amp;INDEX(Calc!$D$2:$D$1601,$AH1126)&amp;" koli")</f>
        <v/>
      </c>
      <c r="Z1126">
        <f>IF($AG1126="","",Config!$B$21)</f>
        <v/>
      </c>
      <c r="AA1126">
        <f>IF($AG1126="","",Config!$B$22)</f>
        <v/>
      </c>
      <c r="AB1126">
        <f>IF($AH1126="","",INDEX(Calc!$D$2:$D$1601,$AH1126))</f>
        <v/>
      </c>
      <c r="AC1126">
        <f>IF($AH1126="","",INDEX(Calc!$G$2:$G$1601,$AH1126))</f>
        <v/>
      </c>
      <c r="AD1126">
        <f>IF($AG1126="","",Config!$B$23)</f>
        <v/>
      </c>
      <c r="AE1126">
        <f>IF($AG1126="","",Config!$B$28)</f>
        <v/>
      </c>
      <c r="AG1126">
        <f>IFERROR(MATCH(ROW()-1,Calc!$J$2:$J$1601,0),"")</f>
        <v/>
      </c>
      <c r="AH1126">
        <f>IFERROR(MATCH(ROW()-1,Calc!$K$2:$K$1601,0),"")</f>
        <v/>
      </c>
      <c r="AI1126">
        <f>IF($AG1126="","",SUMIF($AG$2:$AG1126,$AG1126,$AH$2:$AH1126))</f>
        <v/>
      </c>
      <c r="AJ1126">
        <f>IF('TMP Paste'!$F1126="","",IF('TMP Paste'!$B1126="",$AJ1125,'TMP Paste'!$B1126))</f>
        <v/>
      </c>
      <c r="AK1126">
        <f>IF('TMP Paste'!$F1126="","",N('TMP Paste'!$G1126))</f>
        <v/>
      </c>
      <c r="AL1126">
        <f>IF('TMP Paste'!$F1126="","",IF('TMP Paste'!$M1126="",$AL1125,'TMP Paste'!$M1126))</f>
        <v/>
      </c>
      <c r="AM1126">
        <f>IF('TMP Paste'!$F1126="","",IF('TMP Paste'!$N1126="",$AM1125,'TMP Paste'!$N1126))</f>
        <v/>
      </c>
      <c r="AN1126">
        <f>IF('TMP Paste'!$F1126="","",IF('TMP Paste'!$O1126="",$AN1125,'TMP Paste'!$O1126))</f>
        <v/>
      </c>
      <c r="AO1126">
        <f>IF('TMP Paste'!$F1126="","",IF('TMP Paste'!$P1126="",$AO1125,'TMP Paste'!$P1126))</f>
        <v/>
      </c>
      <c r="AP1126">
        <f>IF($AG1126="","",LEN($R1126))</f>
        <v/>
      </c>
      <c r="AQ1126">
        <f>IF($AG1126="","",TRIM(IF(COUNTIFS(Calc!$B$2:$B$1601,ROW()-1,Calc!$C$2:$C$1601,"&lt;1")&gt;0,"Ada PO tanpa Koli - cek TMP. ","")&amp;IF(LEN($R1126)&gt;500,"R &gt; 500 karakter.","")))</f>
        <v/>
      </c>
    </row>
    <row r="1127">
      <c r="A1127">
        <f>IF($AG1127="","",INDEX('TMP Paste'!$B$2:$B$1601,$AG1127))</f>
        <v/>
      </c>
      <c r="B1127">
        <f>IF($AG1127="","",Config!$B$14)</f>
        <v/>
      </c>
      <c r="C1127">
        <f>IF($AG1127="","",Config!$B$15)</f>
        <v/>
      </c>
      <c r="D1127">
        <f>IF($AG1127="","",INDEX('TMP Paste'!$B$2:$B$1601,$AG1127))</f>
        <v/>
      </c>
      <c r="E1127">
        <f>IF($AG1127="","",Config!$B$27)</f>
        <v/>
      </c>
      <c r="F1127">
        <f>IF($AG1127="","",Config!$B$9)</f>
        <v/>
      </c>
      <c r="G1127">
        <f>IF($AG1127="","",Config!$B$10)</f>
        <v/>
      </c>
      <c r="H1127">
        <f>IF($AG1127="","",Config!$B$11)</f>
        <v/>
      </c>
      <c r="I1127">
        <f>IF($AG1127="","",Config!$B$16)</f>
        <v/>
      </c>
      <c r="J1127">
        <f>IF($AG1127="","",INDEX('TMP Paste'!$A$2:$A$1601,$AG1127))</f>
        <v/>
      </c>
      <c r="K1127">
        <f>IF($AG1127="","",INDEX('TMP Paste'!$L$2:$L$1601,$AG1127))</f>
        <v/>
      </c>
      <c r="L1127">
        <f>IF($AG1127="","",INDEX('TMP Paste'!$I$2:$I$1601,$AG1127))</f>
        <v/>
      </c>
      <c r="M1127">
        <f>IF($AG1127="","",Config!$B$16)</f>
        <v/>
      </c>
      <c r="N1127">
        <f>IF($AG1127="","","")</f>
        <v/>
      </c>
      <c r="O1127">
        <f>IF($AG1127="","",INDEX('TMP Paste'!$K$2:$K$1601,$AG1127))</f>
        <v/>
      </c>
      <c r="P1127">
        <f>IF($AG1127="","","")</f>
        <v/>
      </c>
      <c r="Q1127">
        <f>IF($AG1127="","",INDEX('TMP Paste'!$J$2:$J$1601,$AG1127))</f>
        <v/>
      </c>
      <c r="R1127">
        <f>IF($AG1127="","",Config!$B$24)</f>
        <v/>
      </c>
      <c r="S1127">
        <f>IF($AG1127="","",TEXT(Config!$B$4,"yyyy-mm-dd"))</f>
        <v/>
      </c>
      <c r="T1127">
        <f>IF($AG1127="","",Config!$B$17)</f>
        <v/>
      </c>
      <c r="U1127">
        <f>IF($AG1127="","",Config!$B$18)</f>
        <v/>
      </c>
      <c r="V1127">
        <f>IF($AG1127="","",Config!$B$19)</f>
        <v/>
      </c>
      <c r="W1127">
        <f>IF($AG1127="","",INDEX('TMP Paste'!$C$2:$C$1601,$AG1127))</f>
        <v/>
      </c>
      <c r="X1127">
        <f>IF($AG1127="","",Config!$B$29)</f>
        <v/>
      </c>
      <c r="Y1127">
        <f>IF($AH1127="","",INDEX(Calc!$I$2:$I$1601,$AH1127)&amp;" - "&amp;INDEX(Calc!$D$2:$D$1601,$AH1127)&amp;" koli")</f>
        <v/>
      </c>
      <c r="Z1127">
        <f>IF($AG1127="","",Config!$B$21)</f>
        <v/>
      </c>
      <c r="AA1127">
        <f>IF($AG1127="","",Config!$B$22)</f>
        <v/>
      </c>
      <c r="AB1127">
        <f>IF($AH1127="","",INDEX(Calc!$D$2:$D$1601,$AH1127))</f>
        <v/>
      </c>
      <c r="AC1127">
        <f>IF($AH1127="","",INDEX(Calc!$G$2:$G$1601,$AH1127))</f>
        <v/>
      </c>
      <c r="AD1127">
        <f>IF($AG1127="","",Config!$B$23)</f>
        <v/>
      </c>
      <c r="AE1127">
        <f>IF($AG1127="","",Config!$B$28)</f>
        <v/>
      </c>
      <c r="AG1127">
        <f>IFERROR(MATCH(ROW()-1,Calc!$J$2:$J$1601,0),"")</f>
        <v/>
      </c>
      <c r="AH1127">
        <f>IFERROR(MATCH(ROW()-1,Calc!$K$2:$K$1601,0),"")</f>
        <v/>
      </c>
      <c r="AI1127">
        <f>IF($AG1127="","",SUMIF($AG$2:$AG1127,$AG1127,$AH$2:$AH1127))</f>
        <v/>
      </c>
      <c r="AJ1127">
        <f>IF('TMP Paste'!$F1127="","",IF('TMP Paste'!$B1127="",$AJ1126,'TMP Paste'!$B1127))</f>
        <v/>
      </c>
      <c r="AK1127">
        <f>IF('TMP Paste'!$F1127="","",N('TMP Paste'!$G1127))</f>
        <v/>
      </c>
      <c r="AL1127">
        <f>IF('TMP Paste'!$F1127="","",IF('TMP Paste'!$M1127="",$AL1126,'TMP Paste'!$M1127))</f>
        <v/>
      </c>
      <c r="AM1127">
        <f>IF('TMP Paste'!$F1127="","",IF('TMP Paste'!$N1127="",$AM1126,'TMP Paste'!$N1127))</f>
        <v/>
      </c>
      <c r="AN1127">
        <f>IF('TMP Paste'!$F1127="","",IF('TMP Paste'!$O1127="",$AN1126,'TMP Paste'!$O1127))</f>
        <v/>
      </c>
      <c r="AO1127">
        <f>IF('TMP Paste'!$F1127="","",IF('TMP Paste'!$P1127="",$AO1126,'TMP Paste'!$P1127))</f>
        <v/>
      </c>
      <c r="AP1127">
        <f>IF($AG1127="","",LEN($R1127))</f>
        <v/>
      </c>
      <c r="AQ1127">
        <f>IF($AG1127="","",TRIM(IF(COUNTIFS(Calc!$B$2:$B$1601,ROW()-1,Calc!$C$2:$C$1601,"&lt;1")&gt;0,"Ada PO tanpa Koli - cek TMP. ","")&amp;IF(LEN($R1127)&gt;500,"R &gt; 500 karakter.","")))</f>
        <v/>
      </c>
    </row>
    <row r="1128">
      <c r="A1128">
        <f>IF($AG1128="","",INDEX('TMP Paste'!$B$2:$B$1601,$AG1128))</f>
        <v/>
      </c>
      <c r="B1128">
        <f>IF($AG1128="","",Config!$B$14)</f>
        <v/>
      </c>
      <c r="C1128">
        <f>IF($AG1128="","",Config!$B$15)</f>
        <v/>
      </c>
      <c r="D1128">
        <f>IF($AG1128="","",INDEX('TMP Paste'!$B$2:$B$1601,$AG1128))</f>
        <v/>
      </c>
      <c r="E1128">
        <f>IF($AG1128="","",Config!$B$27)</f>
        <v/>
      </c>
      <c r="F1128">
        <f>IF($AG1128="","",Config!$B$9)</f>
        <v/>
      </c>
      <c r="G1128">
        <f>IF($AG1128="","",Config!$B$10)</f>
        <v/>
      </c>
      <c r="H1128">
        <f>IF($AG1128="","",Config!$B$11)</f>
        <v/>
      </c>
      <c r="I1128">
        <f>IF($AG1128="","",Config!$B$16)</f>
        <v/>
      </c>
      <c r="J1128">
        <f>IF($AG1128="","",INDEX('TMP Paste'!$A$2:$A$1601,$AG1128))</f>
        <v/>
      </c>
      <c r="K1128">
        <f>IF($AG1128="","",INDEX('TMP Paste'!$L$2:$L$1601,$AG1128))</f>
        <v/>
      </c>
      <c r="L1128">
        <f>IF($AG1128="","",INDEX('TMP Paste'!$I$2:$I$1601,$AG1128))</f>
        <v/>
      </c>
      <c r="M1128">
        <f>IF($AG1128="","",Config!$B$16)</f>
        <v/>
      </c>
      <c r="N1128">
        <f>IF($AG1128="","","")</f>
        <v/>
      </c>
      <c r="O1128">
        <f>IF($AG1128="","",INDEX('TMP Paste'!$K$2:$K$1601,$AG1128))</f>
        <v/>
      </c>
      <c r="P1128">
        <f>IF($AG1128="","","")</f>
        <v/>
      </c>
      <c r="Q1128">
        <f>IF($AG1128="","",INDEX('TMP Paste'!$J$2:$J$1601,$AG1128))</f>
        <v/>
      </c>
      <c r="R1128">
        <f>IF($AG1128="","",Config!$B$24)</f>
        <v/>
      </c>
      <c r="S1128">
        <f>IF($AG1128="","",TEXT(Config!$B$4,"yyyy-mm-dd"))</f>
        <v/>
      </c>
      <c r="T1128">
        <f>IF($AG1128="","",Config!$B$17)</f>
        <v/>
      </c>
      <c r="U1128">
        <f>IF($AG1128="","",Config!$B$18)</f>
        <v/>
      </c>
      <c r="V1128">
        <f>IF($AG1128="","",Config!$B$19)</f>
        <v/>
      </c>
      <c r="W1128">
        <f>IF($AG1128="","",INDEX('TMP Paste'!$C$2:$C$1601,$AG1128))</f>
        <v/>
      </c>
      <c r="X1128">
        <f>IF($AG1128="","",Config!$B$29)</f>
        <v/>
      </c>
      <c r="Y1128">
        <f>IF($AH1128="","",INDEX(Calc!$I$2:$I$1601,$AH1128)&amp;" - "&amp;INDEX(Calc!$D$2:$D$1601,$AH1128)&amp;" koli")</f>
        <v/>
      </c>
      <c r="Z1128">
        <f>IF($AG1128="","",Config!$B$21)</f>
        <v/>
      </c>
      <c r="AA1128">
        <f>IF($AG1128="","",Config!$B$22)</f>
        <v/>
      </c>
      <c r="AB1128">
        <f>IF($AH1128="","",INDEX(Calc!$D$2:$D$1601,$AH1128))</f>
        <v/>
      </c>
      <c r="AC1128">
        <f>IF($AH1128="","",INDEX(Calc!$G$2:$G$1601,$AH1128))</f>
        <v/>
      </c>
      <c r="AD1128">
        <f>IF($AG1128="","",Config!$B$23)</f>
        <v/>
      </c>
      <c r="AE1128">
        <f>IF($AG1128="","",Config!$B$28)</f>
        <v/>
      </c>
      <c r="AG1128">
        <f>IFERROR(MATCH(ROW()-1,Calc!$J$2:$J$1601,0),"")</f>
        <v/>
      </c>
      <c r="AH1128">
        <f>IFERROR(MATCH(ROW()-1,Calc!$K$2:$K$1601,0),"")</f>
        <v/>
      </c>
      <c r="AI1128">
        <f>IF($AG1128="","",SUMIF($AG$2:$AG1128,$AG1128,$AH$2:$AH1128))</f>
        <v/>
      </c>
      <c r="AJ1128">
        <f>IF('TMP Paste'!$F1128="","",IF('TMP Paste'!$B1128="",$AJ1127,'TMP Paste'!$B1128))</f>
        <v/>
      </c>
      <c r="AK1128">
        <f>IF('TMP Paste'!$F1128="","",N('TMP Paste'!$G1128))</f>
        <v/>
      </c>
      <c r="AL1128">
        <f>IF('TMP Paste'!$F1128="","",IF('TMP Paste'!$M1128="",$AL1127,'TMP Paste'!$M1128))</f>
        <v/>
      </c>
      <c r="AM1128">
        <f>IF('TMP Paste'!$F1128="","",IF('TMP Paste'!$N1128="",$AM1127,'TMP Paste'!$N1128))</f>
        <v/>
      </c>
      <c r="AN1128">
        <f>IF('TMP Paste'!$F1128="","",IF('TMP Paste'!$O1128="",$AN1127,'TMP Paste'!$O1128))</f>
        <v/>
      </c>
      <c r="AO1128">
        <f>IF('TMP Paste'!$F1128="","",IF('TMP Paste'!$P1128="",$AO1127,'TMP Paste'!$P1128))</f>
        <v/>
      </c>
      <c r="AP1128">
        <f>IF($AG1128="","",LEN($R1128))</f>
        <v/>
      </c>
      <c r="AQ1128">
        <f>IF($AG1128="","",TRIM(IF(COUNTIFS(Calc!$B$2:$B$1601,ROW()-1,Calc!$C$2:$C$1601,"&lt;1")&gt;0,"Ada PO tanpa Koli - cek TMP. ","")&amp;IF(LEN($R1128)&gt;500,"R &gt; 500 karakter.","")))</f>
        <v/>
      </c>
    </row>
    <row r="1129">
      <c r="A1129">
        <f>IF($AG1129="","",INDEX('TMP Paste'!$B$2:$B$1601,$AG1129))</f>
        <v/>
      </c>
      <c r="B1129">
        <f>IF($AG1129="","",Config!$B$14)</f>
        <v/>
      </c>
      <c r="C1129">
        <f>IF($AG1129="","",Config!$B$15)</f>
        <v/>
      </c>
      <c r="D1129">
        <f>IF($AG1129="","",INDEX('TMP Paste'!$B$2:$B$1601,$AG1129))</f>
        <v/>
      </c>
      <c r="E1129">
        <f>IF($AG1129="","",Config!$B$27)</f>
        <v/>
      </c>
      <c r="F1129">
        <f>IF($AG1129="","",Config!$B$9)</f>
        <v/>
      </c>
      <c r="G1129">
        <f>IF($AG1129="","",Config!$B$10)</f>
        <v/>
      </c>
      <c r="H1129">
        <f>IF($AG1129="","",Config!$B$11)</f>
        <v/>
      </c>
      <c r="I1129">
        <f>IF($AG1129="","",Config!$B$16)</f>
        <v/>
      </c>
      <c r="J1129">
        <f>IF($AG1129="","",INDEX('TMP Paste'!$A$2:$A$1601,$AG1129))</f>
        <v/>
      </c>
      <c r="K1129">
        <f>IF($AG1129="","",INDEX('TMP Paste'!$L$2:$L$1601,$AG1129))</f>
        <v/>
      </c>
      <c r="L1129">
        <f>IF($AG1129="","",INDEX('TMP Paste'!$I$2:$I$1601,$AG1129))</f>
        <v/>
      </c>
      <c r="M1129">
        <f>IF($AG1129="","",Config!$B$16)</f>
        <v/>
      </c>
      <c r="N1129">
        <f>IF($AG1129="","","")</f>
        <v/>
      </c>
      <c r="O1129">
        <f>IF($AG1129="","",INDEX('TMP Paste'!$K$2:$K$1601,$AG1129))</f>
        <v/>
      </c>
      <c r="P1129">
        <f>IF($AG1129="","","")</f>
        <v/>
      </c>
      <c r="Q1129">
        <f>IF($AG1129="","",INDEX('TMP Paste'!$J$2:$J$1601,$AG1129))</f>
        <v/>
      </c>
      <c r="R1129">
        <f>IF($AG1129="","",Config!$B$24)</f>
        <v/>
      </c>
      <c r="S1129">
        <f>IF($AG1129="","",TEXT(Config!$B$4,"yyyy-mm-dd"))</f>
        <v/>
      </c>
      <c r="T1129">
        <f>IF($AG1129="","",Config!$B$17)</f>
        <v/>
      </c>
      <c r="U1129">
        <f>IF($AG1129="","",Config!$B$18)</f>
        <v/>
      </c>
      <c r="V1129">
        <f>IF($AG1129="","",Config!$B$19)</f>
        <v/>
      </c>
      <c r="W1129">
        <f>IF($AG1129="","",INDEX('TMP Paste'!$C$2:$C$1601,$AG1129))</f>
        <v/>
      </c>
      <c r="X1129">
        <f>IF($AG1129="","",Config!$B$29)</f>
        <v/>
      </c>
      <c r="Y1129">
        <f>IF($AH1129="","",INDEX(Calc!$I$2:$I$1601,$AH1129)&amp;" - "&amp;INDEX(Calc!$D$2:$D$1601,$AH1129)&amp;" koli")</f>
        <v/>
      </c>
      <c r="Z1129">
        <f>IF($AG1129="","",Config!$B$21)</f>
        <v/>
      </c>
      <c r="AA1129">
        <f>IF($AG1129="","",Config!$B$22)</f>
        <v/>
      </c>
      <c r="AB1129">
        <f>IF($AH1129="","",INDEX(Calc!$D$2:$D$1601,$AH1129))</f>
        <v/>
      </c>
      <c r="AC1129">
        <f>IF($AH1129="","",INDEX(Calc!$G$2:$G$1601,$AH1129))</f>
        <v/>
      </c>
      <c r="AD1129">
        <f>IF($AG1129="","",Config!$B$23)</f>
        <v/>
      </c>
      <c r="AE1129">
        <f>IF($AG1129="","",Config!$B$28)</f>
        <v/>
      </c>
      <c r="AG1129">
        <f>IFERROR(MATCH(ROW()-1,Calc!$J$2:$J$1601,0),"")</f>
        <v/>
      </c>
      <c r="AH1129">
        <f>IFERROR(MATCH(ROW()-1,Calc!$K$2:$K$1601,0),"")</f>
        <v/>
      </c>
      <c r="AI1129">
        <f>IF($AG1129="","",SUMIF($AG$2:$AG1129,$AG1129,$AH$2:$AH1129))</f>
        <v/>
      </c>
      <c r="AJ1129">
        <f>IF('TMP Paste'!$F1129="","",IF('TMP Paste'!$B1129="",$AJ1128,'TMP Paste'!$B1129))</f>
        <v/>
      </c>
      <c r="AK1129">
        <f>IF('TMP Paste'!$F1129="","",N('TMP Paste'!$G1129))</f>
        <v/>
      </c>
      <c r="AL1129">
        <f>IF('TMP Paste'!$F1129="","",IF('TMP Paste'!$M1129="",$AL1128,'TMP Paste'!$M1129))</f>
        <v/>
      </c>
      <c r="AM1129">
        <f>IF('TMP Paste'!$F1129="","",IF('TMP Paste'!$N1129="",$AM1128,'TMP Paste'!$N1129))</f>
        <v/>
      </c>
      <c r="AN1129">
        <f>IF('TMP Paste'!$F1129="","",IF('TMP Paste'!$O1129="",$AN1128,'TMP Paste'!$O1129))</f>
        <v/>
      </c>
      <c r="AO1129">
        <f>IF('TMP Paste'!$F1129="","",IF('TMP Paste'!$P1129="",$AO1128,'TMP Paste'!$P1129))</f>
        <v/>
      </c>
      <c r="AP1129">
        <f>IF($AG1129="","",LEN($R1129))</f>
        <v/>
      </c>
      <c r="AQ1129">
        <f>IF($AG1129="","",TRIM(IF(COUNTIFS(Calc!$B$2:$B$1601,ROW()-1,Calc!$C$2:$C$1601,"&lt;1")&gt;0,"Ada PO tanpa Koli - cek TMP. ","")&amp;IF(LEN($R1129)&gt;500,"R &gt; 500 karakter.","")))</f>
        <v/>
      </c>
    </row>
    <row r="1130">
      <c r="A1130">
        <f>IF($AG1130="","",INDEX('TMP Paste'!$B$2:$B$1601,$AG1130))</f>
        <v/>
      </c>
      <c r="B1130">
        <f>IF($AG1130="","",Config!$B$14)</f>
        <v/>
      </c>
      <c r="C1130">
        <f>IF($AG1130="","",Config!$B$15)</f>
        <v/>
      </c>
      <c r="D1130">
        <f>IF($AG1130="","",INDEX('TMP Paste'!$B$2:$B$1601,$AG1130))</f>
        <v/>
      </c>
      <c r="E1130">
        <f>IF($AG1130="","",Config!$B$27)</f>
        <v/>
      </c>
      <c r="F1130">
        <f>IF($AG1130="","",Config!$B$9)</f>
        <v/>
      </c>
      <c r="G1130">
        <f>IF($AG1130="","",Config!$B$10)</f>
        <v/>
      </c>
      <c r="H1130">
        <f>IF($AG1130="","",Config!$B$11)</f>
        <v/>
      </c>
      <c r="I1130">
        <f>IF($AG1130="","",Config!$B$16)</f>
        <v/>
      </c>
      <c r="J1130">
        <f>IF($AG1130="","",INDEX('TMP Paste'!$A$2:$A$1601,$AG1130))</f>
        <v/>
      </c>
      <c r="K1130">
        <f>IF($AG1130="","",INDEX('TMP Paste'!$L$2:$L$1601,$AG1130))</f>
        <v/>
      </c>
      <c r="L1130">
        <f>IF($AG1130="","",INDEX('TMP Paste'!$I$2:$I$1601,$AG1130))</f>
        <v/>
      </c>
      <c r="M1130">
        <f>IF($AG1130="","",Config!$B$16)</f>
        <v/>
      </c>
      <c r="N1130">
        <f>IF($AG1130="","","")</f>
        <v/>
      </c>
      <c r="O1130">
        <f>IF($AG1130="","",INDEX('TMP Paste'!$K$2:$K$1601,$AG1130))</f>
        <v/>
      </c>
      <c r="P1130">
        <f>IF($AG1130="","","")</f>
        <v/>
      </c>
      <c r="Q1130">
        <f>IF($AG1130="","",INDEX('TMP Paste'!$J$2:$J$1601,$AG1130))</f>
        <v/>
      </c>
      <c r="R1130">
        <f>IF($AG1130="","",Config!$B$24)</f>
        <v/>
      </c>
      <c r="S1130">
        <f>IF($AG1130="","",TEXT(Config!$B$4,"yyyy-mm-dd"))</f>
        <v/>
      </c>
      <c r="T1130">
        <f>IF($AG1130="","",Config!$B$17)</f>
        <v/>
      </c>
      <c r="U1130">
        <f>IF($AG1130="","",Config!$B$18)</f>
        <v/>
      </c>
      <c r="V1130">
        <f>IF($AG1130="","",Config!$B$19)</f>
        <v/>
      </c>
      <c r="W1130">
        <f>IF($AG1130="","",INDEX('TMP Paste'!$C$2:$C$1601,$AG1130))</f>
        <v/>
      </c>
      <c r="X1130">
        <f>IF($AG1130="","",Config!$B$29)</f>
        <v/>
      </c>
      <c r="Y1130">
        <f>IF($AH1130="","",INDEX(Calc!$I$2:$I$1601,$AH1130)&amp;" - "&amp;INDEX(Calc!$D$2:$D$1601,$AH1130)&amp;" koli")</f>
        <v/>
      </c>
      <c r="Z1130">
        <f>IF($AG1130="","",Config!$B$21)</f>
        <v/>
      </c>
      <c r="AA1130">
        <f>IF($AG1130="","",Config!$B$22)</f>
        <v/>
      </c>
      <c r="AB1130">
        <f>IF($AH1130="","",INDEX(Calc!$D$2:$D$1601,$AH1130))</f>
        <v/>
      </c>
      <c r="AC1130">
        <f>IF($AH1130="","",INDEX(Calc!$G$2:$G$1601,$AH1130))</f>
        <v/>
      </c>
      <c r="AD1130">
        <f>IF($AG1130="","",Config!$B$23)</f>
        <v/>
      </c>
      <c r="AE1130">
        <f>IF($AG1130="","",Config!$B$28)</f>
        <v/>
      </c>
      <c r="AG1130">
        <f>IFERROR(MATCH(ROW()-1,Calc!$J$2:$J$1601,0),"")</f>
        <v/>
      </c>
      <c r="AH1130">
        <f>IFERROR(MATCH(ROW()-1,Calc!$K$2:$K$1601,0),"")</f>
        <v/>
      </c>
      <c r="AI1130">
        <f>IF($AG1130="","",SUMIF($AG$2:$AG1130,$AG1130,$AH$2:$AH1130))</f>
        <v/>
      </c>
      <c r="AJ1130">
        <f>IF('TMP Paste'!$F1130="","",IF('TMP Paste'!$B1130="",$AJ1129,'TMP Paste'!$B1130))</f>
        <v/>
      </c>
      <c r="AK1130">
        <f>IF('TMP Paste'!$F1130="","",N('TMP Paste'!$G1130))</f>
        <v/>
      </c>
      <c r="AL1130">
        <f>IF('TMP Paste'!$F1130="","",IF('TMP Paste'!$M1130="",$AL1129,'TMP Paste'!$M1130))</f>
        <v/>
      </c>
      <c r="AM1130">
        <f>IF('TMP Paste'!$F1130="","",IF('TMP Paste'!$N1130="",$AM1129,'TMP Paste'!$N1130))</f>
        <v/>
      </c>
      <c r="AN1130">
        <f>IF('TMP Paste'!$F1130="","",IF('TMP Paste'!$O1130="",$AN1129,'TMP Paste'!$O1130))</f>
        <v/>
      </c>
      <c r="AO1130">
        <f>IF('TMP Paste'!$F1130="","",IF('TMP Paste'!$P1130="",$AO1129,'TMP Paste'!$P1130))</f>
        <v/>
      </c>
      <c r="AP1130">
        <f>IF($AG1130="","",LEN($R1130))</f>
        <v/>
      </c>
      <c r="AQ1130">
        <f>IF($AG1130="","",TRIM(IF(COUNTIFS(Calc!$B$2:$B$1601,ROW()-1,Calc!$C$2:$C$1601,"&lt;1")&gt;0,"Ada PO tanpa Koli - cek TMP. ","")&amp;IF(LEN($R1130)&gt;500,"R &gt; 500 karakter.","")))</f>
        <v/>
      </c>
    </row>
    <row r="1131">
      <c r="A1131">
        <f>IF($AG1131="","",INDEX('TMP Paste'!$B$2:$B$1601,$AG1131))</f>
        <v/>
      </c>
      <c r="B1131">
        <f>IF($AG1131="","",Config!$B$14)</f>
        <v/>
      </c>
      <c r="C1131">
        <f>IF($AG1131="","",Config!$B$15)</f>
        <v/>
      </c>
      <c r="D1131">
        <f>IF($AG1131="","",INDEX('TMP Paste'!$B$2:$B$1601,$AG1131))</f>
        <v/>
      </c>
      <c r="E1131">
        <f>IF($AG1131="","",Config!$B$27)</f>
        <v/>
      </c>
      <c r="F1131">
        <f>IF($AG1131="","",Config!$B$9)</f>
        <v/>
      </c>
      <c r="G1131">
        <f>IF($AG1131="","",Config!$B$10)</f>
        <v/>
      </c>
      <c r="H1131">
        <f>IF($AG1131="","",Config!$B$11)</f>
        <v/>
      </c>
      <c r="I1131">
        <f>IF($AG1131="","",Config!$B$16)</f>
        <v/>
      </c>
      <c r="J1131">
        <f>IF($AG1131="","",INDEX('TMP Paste'!$A$2:$A$1601,$AG1131))</f>
        <v/>
      </c>
      <c r="K1131">
        <f>IF($AG1131="","",INDEX('TMP Paste'!$L$2:$L$1601,$AG1131))</f>
        <v/>
      </c>
      <c r="L1131">
        <f>IF($AG1131="","",INDEX('TMP Paste'!$I$2:$I$1601,$AG1131))</f>
        <v/>
      </c>
      <c r="M1131">
        <f>IF($AG1131="","",Config!$B$16)</f>
        <v/>
      </c>
      <c r="N1131">
        <f>IF($AG1131="","","")</f>
        <v/>
      </c>
      <c r="O1131">
        <f>IF($AG1131="","",INDEX('TMP Paste'!$K$2:$K$1601,$AG1131))</f>
        <v/>
      </c>
      <c r="P1131">
        <f>IF($AG1131="","","")</f>
        <v/>
      </c>
      <c r="Q1131">
        <f>IF($AG1131="","",INDEX('TMP Paste'!$J$2:$J$1601,$AG1131))</f>
        <v/>
      </c>
      <c r="R1131">
        <f>IF($AG1131="","",Config!$B$24)</f>
        <v/>
      </c>
      <c r="S1131">
        <f>IF($AG1131="","",TEXT(Config!$B$4,"yyyy-mm-dd"))</f>
        <v/>
      </c>
      <c r="T1131">
        <f>IF($AG1131="","",Config!$B$17)</f>
        <v/>
      </c>
      <c r="U1131">
        <f>IF($AG1131="","",Config!$B$18)</f>
        <v/>
      </c>
      <c r="V1131">
        <f>IF($AG1131="","",Config!$B$19)</f>
        <v/>
      </c>
      <c r="W1131">
        <f>IF($AG1131="","",INDEX('TMP Paste'!$C$2:$C$1601,$AG1131))</f>
        <v/>
      </c>
      <c r="X1131">
        <f>IF($AG1131="","",Config!$B$29)</f>
        <v/>
      </c>
      <c r="Y1131">
        <f>IF($AH1131="","",INDEX(Calc!$I$2:$I$1601,$AH1131)&amp;" - "&amp;INDEX(Calc!$D$2:$D$1601,$AH1131)&amp;" koli")</f>
        <v/>
      </c>
      <c r="Z1131">
        <f>IF($AG1131="","",Config!$B$21)</f>
        <v/>
      </c>
      <c r="AA1131">
        <f>IF($AG1131="","",Config!$B$22)</f>
        <v/>
      </c>
      <c r="AB1131">
        <f>IF($AH1131="","",INDEX(Calc!$D$2:$D$1601,$AH1131))</f>
        <v/>
      </c>
      <c r="AC1131">
        <f>IF($AH1131="","",INDEX(Calc!$G$2:$G$1601,$AH1131))</f>
        <v/>
      </c>
      <c r="AD1131">
        <f>IF($AG1131="","",Config!$B$23)</f>
        <v/>
      </c>
      <c r="AE1131">
        <f>IF($AG1131="","",Config!$B$28)</f>
        <v/>
      </c>
      <c r="AG1131">
        <f>IFERROR(MATCH(ROW()-1,Calc!$J$2:$J$1601,0),"")</f>
        <v/>
      </c>
      <c r="AH1131">
        <f>IFERROR(MATCH(ROW()-1,Calc!$K$2:$K$1601,0),"")</f>
        <v/>
      </c>
      <c r="AI1131">
        <f>IF($AG1131="","",SUMIF($AG$2:$AG1131,$AG1131,$AH$2:$AH1131))</f>
        <v/>
      </c>
      <c r="AJ1131">
        <f>IF('TMP Paste'!$F1131="","",IF('TMP Paste'!$B1131="",$AJ1130,'TMP Paste'!$B1131))</f>
        <v/>
      </c>
      <c r="AK1131">
        <f>IF('TMP Paste'!$F1131="","",N('TMP Paste'!$G1131))</f>
        <v/>
      </c>
      <c r="AL1131">
        <f>IF('TMP Paste'!$F1131="","",IF('TMP Paste'!$M1131="",$AL1130,'TMP Paste'!$M1131))</f>
        <v/>
      </c>
      <c r="AM1131">
        <f>IF('TMP Paste'!$F1131="","",IF('TMP Paste'!$N1131="",$AM1130,'TMP Paste'!$N1131))</f>
        <v/>
      </c>
      <c r="AN1131">
        <f>IF('TMP Paste'!$F1131="","",IF('TMP Paste'!$O1131="",$AN1130,'TMP Paste'!$O1131))</f>
        <v/>
      </c>
      <c r="AO1131">
        <f>IF('TMP Paste'!$F1131="","",IF('TMP Paste'!$P1131="",$AO1130,'TMP Paste'!$P1131))</f>
        <v/>
      </c>
      <c r="AP1131">
        <f>IF($AG1131="","",LEN($R1131))</f>
        <v/>
      </c>
      <c r="AQ1131">
        <f>IF($AG1131="","",TRIM(IF(COUNTIFS(Calc!$B$2:$B$1601,ROW()-1,Calc!$C$2:$C$1601,"&lt;1")&gt;0,"Ada PO tanpa Koli - cek TMP. ","")&amp;IF(LEN($R1131)&gt;500,"R &gt; 500 karakter.","")))</f>
        <v/>
      </c>
    </row>
    <row r="1132">
      <c r="A1132">
        <f>IF($AG1132="","",INDEX('TMP Paste'!$B$2:$B$1601,$AG1132))</f>
        <v/>
      </c>
      <c r="B1132">
        <f>IF($AG1132="","",Config!$B$14)</f>
        <v/>
      </c>
      <c r="C1132">
        <f>IF($AG1132="","",Config!$B$15)</f>
        <v/>
      </c>
      <c r="D1132">
        <f>IF($AG1132="","",INDEX('TMP Paste'!$B$2:$B$1601,$AG1132))</f>
        <v/>
      </c>
      <c r="E1132">
        <f>IF($AG1132="","",Config!$B$27)</f>
        <v/>
      </c>
      <c r="F1132">
        <f>IF($AG1132="","",Config!$B$9)</f>
        <v/>
      </c>
      <c r="G1132">
        <f>IF($AG1132="","",Config!$B$10)</f>
        <v/>
      </c>
      <c r="H1132">
        <f>IF($AG1132="","",Config!$B$11)</f>
        <v/>
      </c>
      <c r="I1132">
        <f>IF($AG1132="","",Config!$B$16)</f>
        <v/>
      </c>
      <c r="J1132">
        <f>IF($AG1132="","",INDEX('TMP Paste'!$A$2:$A$1601,$AG1132))</f>
        <v/>
      </c>
      <c r="K1132">
        <f>IF($AG1132="","",INDEX('TMP Paste'!$L$2:$L$1601,$AG1132))</f>
        <v/>
      </c>
      <c r="L1132">
        <f>IF($AG1132="","",INDEX('TMP Paste'!$I$2:$I$1601,$AG1132))</f>
        <v/>
      </c>
      <c r="M1132">
        <f>IF($AG1132="","",Config!$B$16)</f>
        <v/>
      </c>
      <c r="N1132">
        <f>IF($AG1132="","","")</f>
        <v/>
      </c>
      <c r="O1132">
        <f>IF($AG1132="","",INDEX('TMP Paste'!$K$2:$K$1601,$AG1132))</f>
        <v/>
      </c>
      <c r="P1132">
        <f>IF($AG1132="","","")</f>
        <v/>
      </c>
      <c r="Q1132">
        <f>IF($AG1132="","",INDEX('TMP Paste'!$J$2:$J$1601,$AG1132))</f>
        <v/>
      </c>
      <c r="R1132">
        <f>IF($AG1132="","",Config!$B$24)</f>
        <v/>
      </c>
      <c r="S1132">
        <f>IF($AG1132="","",TEXT(Config!$B$4,"yyyy-mm-dd"))</f>
        <v/>
      </c>
      <c r="T1132">
        <f>IF($AG1132="","",Config!$B$17)</f>
        <v/>
      </c>
      <c r="U1132">
        <f>IF($AG1132="","",Config!$B$18)</f>
        <v/>
      </c>
      <c r="V1132">
        <f>IF($AG1132="","",Config!$B$19)</f>
        <v/>
      </c>
      <c r="W1132">
        <f>IF($AG1132="","",INDEX('TMP Paste'!$C$2:$C$1601,$AG1132))</f>
        <v/>
      </c>
      <c r="X1132">
        <f>IF($AG1132="","",Config!$B$29)</f>
        <v/>
      </c>
      <c r="Y1132">
        <f>IF($AH1132="","",INDEX(Calc!$I$2:$I$1601,$AH1132)&amp;" - "&amp;INDEX(Calc!$D$2:$D$1601,$AH1132)&amp;" koli")</f>
        <v/>
      </c>
      <c r="Z1132">
        <f>IF($AG1132="","",Config!$B$21)</f>
        <v/>
      </c>
      <c r="AA1132">
        <f>IF($AG1132="","",Config!$B$22)</f>
        <v/>
      </c>
      <c r="AB1132">
        <f>IF($AH1132="","",INDEX(Calc!$D$2:$D$1601,$AH1132))</f>
        <v/>
      </c>
      <c r="AC1132">
        <f>IF($AH1132="","",INDEX(Calc!$G$2:$G$1601,$AH1132))</f>
        <v/>
      </c>
      <c r="AD1132">
        <f>IF($AG1132="","",Config!$B$23)</f>
        <v/>
      </c>
      <c r="AE1132">
        <f>IF($AG1132="","",Config!$B$28)</f>
        <v/>
      </c>
      <c r="AG1132">
        <f>IFERROR(MATCH(ROW()-1,Calc!$J$2:$J$1601,0),"")</f>
        <v/>
      </c>
      <c r="AH1132">
        <f>IFERROR(MATCH(ROW()-1,Calc!$K$2:$K$1601,0),"")</f>
        <v/>
      </c>
      <c r="AI1132">
        <f>IF($AG1132="","",SUMIF($AG$2:$AG1132,$AG1132,$AH$2:$AH1132))</f>
        <v/>
      </c>
      <c r="AJ1132">
        <f>IF('TMP Paste'!$F1132="","",IF('TMP Paste'!$B1132="",$AJ1131,'TMP Paste'!$B1132))</f>
        <v/>
      </c>
      <c r="AK1132">
        <f>IF('TMP Paste'!$F1132="","",N('TMP Paste'!$G1132))</f>
        <v/>
      </c>
      <c r="AL1132">
        <f>IF('TMP Paste'!$F1132="","",IF('TMP Paste'!$M1132="",$AL1131,'TMP Paste'!$M1132))</f>
        <v/>
      </c>
      <c r="AM1132">
        <f>IF('TMP Paste'!$F1132="","",IF('TMP Paste'!$N1132="",$AM1131,'TMP Paste'!$N1132))</f>
        <v/>
      </c>
      <c r="AN1132">
        <f>IF('TMP Paste'!$F1132="","",IF('TMP Paste'!$O1132="",$AN1131,'TMP Paste'!$O1132))</f>
        <v/>
      </c>
      <c r="AO1132">
        <f>IF('TMP Paste'!$F1132="","",IF('TMP Paste'!$P1132="",$AO1131,'TMP Paste'!$P1132))</f>
        <v/>
      </c>
      <c r="AP1132">
        <f>IF($AG1132="","",LEN($R1132))</f>
        <v/>
      </c>
      <c r="AQ1132">
        <f>IF($AG1132="","",TRIM(IF(COUNTIFS(Calc!$B$2:$B$1601,ROW()-1,Calc!$C$2:$C$1601,"&lt;1")&gt;0,"Ada PO tanpa Koli - cek TMP. ","")&amp;IF(LEN($R1132)&gt;500,"R &gt; 500 karakter.","")))</f>
        <v/>
      </c>
    </row>
    <row r="1133">
      <c r="A1133">
        <f>IF($AG1133="","",INDEX('TMP Paste'!$B$2:$B$1601,$AG1133))</f>
        <v/>
      </c>
      <c r="B1133">
        <f>IF($AG1133="","",Config!$B$14)</f>
        <v/>
      </c>
      <c r="C1133">
        <f>IF($AG1133="","",Config!$B$15)</f>
        <v/>
      </c>
      <c r="D1133">
        <f>IF($AG1133="","",INDEX('TMP Paste'!$B$2:$B$1601,$AG1133))</f>
        <v/>
      </c>
      <c r="E1133">
        <f>IF($AG1133="","",Config!$B$27)</f>
        <v/>
      </c>
      <c r="F1133">
        <f>IF($AG1133="","",Config!$B$9)</f>
        <v/>
      </c>
      <c r="G1133">
        <f>IF($AG1133="","",Config!$B$10)</f>
        <v/>
      </c>
      <c r="H1133">
        <f>IF($AG1133="","",Config!$B$11)</f>
        <v/>
      </c>
      <c r="I1133">
        <f>IF($AG1133="","",Config!$B$16)</f>
        <v/>
      </c>
      <c r="J1133">
        <f>IF($AG1133="","",INDEX('TMP Paste'!$A$2:$A$1601,$AG1133))</f>
        <v/>
      </c>
      <c r="K1133">
        <f>IF($AG1133="","",INDEX('TMP Paste'!$L$2:$L$1601,$AG1133))</f>
        <v/>
      </c>
      <c r="L1133">
        <f>IF($AG1133="","",INDEX('TMP Paste'!$I$2:$I$1601,$AG1133))</f>
        <v/>
      </c>
      <c r="M1133">
        <f>IF($AG1133="","",Config!$B$16)</f>
        <v/>
      </c>
      <c r="N1133">
        <f>IF($AG1133="","","")</f>
        <v/>
      </c>
      <c r="O1133">
        <f>IF($AG1133="","",INDEX('TMP Paste'!$K$2:$K$1601,$AG1133))</f>
        <v/>
      </c>
      <c r="P1133">
        <f>IF($AG1133="","","")</f>
        <v/>
      </c>
      <c r="Q1133">
        <f>IF($AG1133="","",INDEX('TMP Paste'!$J$2:$J$1601,$AG1133))</f>
        <v/>
      </c>
      <c r="R1133">
        <f>IF($AG1133="","",Config!$B$24)</f>
        <v/>
      </c>
      <c r="S1133">
        <f>IF($AG1133="","",TEXT(Config!$B$4,"yyyy-mm-dd"))</f>
        <v/>
      </c>
      <c r="T1133">
        <f>IF($AG1133="","",Config!$B$17)</f>
        <v/>
      </c>
      <c r="U1133">
        <f>IF($AG1133="","",Config!$B$18)</f>
        <v/>
      </c>
      <c r="V1133">
        <f>IF($AG1133="","",Config!$B$19)</f>
        <v/>
      </c>
      <c r="W1133">
        <f>IF($AG1133="","",INDEX('TMP Paste'!$C$2:$C$1601,$AG1133))</f>
        <v/>
      </c>
      <c r="X1133">
        <f>IF($AG1133="","",Config!$B$29)</f>
        <v/>
      </c>
      <c r="Y1133">
        <f>IF($AH1133="","",INDEX(Calc!$I$2:$I$1601,$AH1133)&amp;" - "&amp;INDEX(Calc!$D$2:$D$1601,$AH1133)&amp;" koli")</f>
        <v/>
      </c>
      <c r="Z1133">
        <f>IF($AG1133="","",Config!$B$21)</f>
        <v/>
      </c>
      <c r="AA1133">
        <f>IF($AG1133="","",Config!$B$22)</f>
        <v/>
      </c>
      <c r="AB1133">
        <f>IF($AH1133="","",INDEX(Calc!$D$2:$D$1601,$AH1133))</f>
        <v/>
      </c>
      <c r="AC1133">
        <f>IF($AH1133="","",INDEX(Calc!$G$2:$G$1601,$AH1133))</f>
        <v/>
      </c>
      <c r="AD1133">
        <f>IF($AG1133="","",Config!$B$23)</f>
        <v/>
      </c>
      <c r="AE1133">
        <f>IF($AG1133="","",Config!$B$28)</f>
        <v/>
      </c>
      <c r="AG1133">
        <f>IFERROR(MATCH(ROW()-1,Calc!$J$2:$J$1601,0),"")</f>
        <v/>
      </c>
      <c r="AH1133">
        <f>IFERROR(MATCH(ROW()-1,Calc!$K$2:$K$1601,0),"")</f>
        <v/>
      </c>
      <c r="AI1133">
        <f>IF($AG1133="","",SUMIF($AG$2:$AG1133,$AG1133,$AH$2:$AH1133))</f>
        <v/>
      </c>
      <c r="AJ1133">
        <f>IF('TMP Paste'!$F1133="","",IF('TMP Paste'!$B1133="",$AJ1132,'TMP Paste'!$B1133))</f>
        <v/>
      </c>
      <c r="AK1133">
        <f>IF('TMP Paste'!$F1133="","",N('TMP Paste'!$G1133))</f>
        <v/>
      </c>
      <c r="AL1133">
        <f>IF('TMP Paste'!$F1133="","",IF('TMP Paste'!$M1133="",$AL1132,'TMP Paste'!$M1133))</f>
        <v/>
      </c>
      <c r="AM1133">
        <f>IF('TMP Paste'!$F1133="","",IF('TMP Paste'!$N1133="",$AM1132,'TMP Paste'!$N1133))</f>
        <v/>
      </c>
      <c r="AN1133">
        <f>IF('TMP Paste'!$F1133="","",IF('TMP Paste'!$O1133="",$AN1132,'TMP Paste'!$O1133))</f>
        <v/>
      </c>
      <c r="AO1133">
        <f>IF('TMP Paste'!$F1133="","",IF('TMP Paste'!$P1133="",$AO1132,'TMP Paste'!$P1133))</f>
        <v/>
      </c>
      <c r="AP1133">
        <f>IF($AG1133="","",LEN($R1133))</f>
        <v/>
      </c>
      <c r="AQ1133">
        <f>IF($AG1133="","",TRIM(IF(COUNTIFS(Calc!$B$2:$B$1601,ROW()-1,Calc!$C$2:$C$1601,"&lt;1")&gt;0,"Ada PO tanpa Koli - cek TMP. ","")&amp;IF(LEN($R1133)&gt;500,"R &gt; 500 karakter.","")))</f>
        <v/>
      </c>
    </row>
    <row r="1134">
      <c r="A1134">
        <f>IF($AG1134="","",INDEX('TMP Paste'!$B$2:$B$1601,$AG1134))</f>
        <v/>
      </c>
      <c r="B1134">
        <f>IF($AG1134="","",Config!$B$14)</f>
        <v/>
      </c>
      <c r="C1134">
        <f>IF($AG1134="","",Config!$B$15)</f>
        <v/>
      </c>
      <c r="D1134">
        <f>IF($AG1134="","",INDEX('TMP Paste'!$B$2:$B$1601,$AG1134))</f>
        <v/>
      </c>
      <c r="E1134">
        <f>IF($AG1134="","",Config!$B$27)</f>
        <v/>
      </c>
      <c r="F1134">
        <f>IF($AG1134="","",Config!$B$9)</f>
        <v/>
      </c>
      <c r="G1134">
        <f>IF($AG1134="","",Config!$B$10)</f>
        <v/>
      </c>
      <c r="H1134">
        <f>IF($AG1134="","",Config!$B$11)</f>
        <v/>
      </c>
      <c r="I1134">
        <f>IF($AG1134="","",Config!$B$16)</f>
        <v/>
      </c>
      <c r="J1134">
        <f>IF($AG1134="","",INDEX('TMP Paste'!$A$2:$A$1601,$AG1134))</f>
        <v/>
      </c>
      <c r="K1134">
        <f>IF($AG1134="","",INDEX('TMP Paste'!$L$2:$L$1601,$AG1134))</f>
        <v/>
      </c>
      <c r="L1134">
        <f>IF($AG1134="","",INDEX('TMP Paste'!$I$2:$I$1601,$AG1134))</f>
        <v/>
      </c>
      <c r="M1134">
        <f>IF($AG1134="","",Config!$B$16)</f>
        <v/>
      </c>
      <c r="N1134">
        <f>IF($AG1134="","","")</f>
        <v/>
      </c>
      <c r="O1134">
        <f>IF($AG1134="","",INDEX('TMP Paste'!$K$2:$K$1601,$AG1134))</f>
        <v/>
      </c>
      <c r="P1134">
        <f>IF($AG1134="","","")</f>
        <v/>
      </c>
      <c r="Q1134">
        <f>IF($AG1134="","",INDEX('TMP Paste'!$J$2:$J$1601,$AG1134))</f>
        <v/>
      </c>
      <c r="R1134">
        <f>IF($AG1134="","",Config!$B$24)</f>
        <v/>
      </c>
      <c r="S1134">
        <f>IF($AG1134="","",TEXT(Config!$B$4,"yyyy-mm-dd"))</f>
        <v/>
      </c>
      <c r="T1134">
        <f>IF($AG1134="","",Config!$B$17)</f>
        <v/>
      </c>
      <c r="U1134">
        <f>IF($AG1134="","",Config!$B$18)</f>
        <v/>
      </c>
      <c r="V1134">
        <f>IF($AG1134="","",Config!$B$19)</f>
        <v/>
      </c>
      <c r="W1134">
        <f>IF($AG1134="","",INDEX('TMP Paste'!$C$2:$C$1601,$AG1134))</f>
        <v/>
      </c>
      <c r="X1134">
        <f>IF($AG1134="","",Config!$B$29)</f>
        <v/>
      </c>
      <c r="Y1134">
        <f>IF($AH1134="","",INDEX(Calc!$I$2:$I$1601,$AH1134)&amp;" - "&amp;INDEX(Calc!$D$2:$D$1601,$AH1134)&amp;" koli")</f>
        <v/>
      </c>
      <c r="Z1134">
        <f>IF($AG1134="","",Config!$B$21)</f>
        <v/>
      </c>
      <c r="AA1134">
        <f>IF($AG1134="","",Config!$B$22)</f>
        <v/>
      </c>
      <c r="AB1134">
        <f>IF($AH1134="","",INDEX(Calc!$D$2:$D$1601,$AH1134))</f>
        <v/>
      </c>
      <c r="AC1134">
        <f>IF($AH1134="","",INDEX(Calc!$G$2:$G$1601,$AH1134))</f>
        <v/>
      </c>
      <c r="AD1134">
        <f>IF($AG1134="","",Config!$B$23)</f>
        <v/>
      </c>
      <c r="AE1134">
        <f>IF($AG1134="","",Config!$B$28)</f>
        <v/>
      </c>
      <c r="AG1134">
        <f>IFERROR(MATCH(ROW()-1,Calc!$J$2:$J$1601,0),"")</f>
        <v/>
      </c>
      <c r="AH1134">
        <f>IFERROR(MATCH(ROW()-1,Calc!$K$2:$K$1601,0),"")</f>
        <v/>
      </c>
      <c r="AI1134">
        <f>IF($AG1134="","",SUMIF($AG$2:$AG1134,$AG1134,$AH$2:$AH1134))</f>
        <v/>
      </c>
      <c r="AJ1134">
        <f>IF('TMP Paste'!$F1134="","",IF('TMP Paste'!$B1134="",$AJ1133,'TMP Paste'!$B1134))</f>
        <v/>
      </c>
      <c r="AK1134">
        <f>IF('TMP Paste'!$F1134="","",N('TMP Paste'!$G1134))</f>
        <v/>
      </c>
      <c r="AL1134">
        <f>IF('TMP Paste'!$F1134="","",IF('TMP Paste'!$M1134="",$AL1133,'TMP Paste'!$M1134))</f>
        <v/>
      </c>
      <c r="AM1134">
        <f>IF('TMP Paste'!$F1134="","",IF('TMP Paste'!$N1134="",$AM1133,'TMP Paste'!$N1134))</f>
        <v/>
      </c>
      <c r="AN1134">
        <f>IF('TMP Paste'!$F1134="","",IF('TMP Paste'!$O1134="",$AN1133,'TMP Paste'!$O1134))</f>
        <v/>
      </c>
      <c r="AO1134">
        <f>IF('TMP Paste'!$F1134="","",IF('TMP Paste'!$P1134="",$AO1133,'TMP Paste'!$P1134))</f>
        <v/>
      </c>
      <c r="AP1134">
        <f>IF($AG1134="","",LEN($R1134))</f>
        <v/>
      </c>
      <c r="AQ1134">
        <f>IF($AG1134="","",TRIM(IF(COUNTIFS(Calc!$B$2:$B$1601,ROW()-1,Calc!$C$2:$C$1601,"&lt;1")&gt;0,"Ada PO tanpa Koli - cek TMP. ","")&amp;IF(LEN($R1134)&gt;500,"R &gt; 500 karakter.","")))</f>
        <v/>
      </c>
    </row>
    <row r="1135">
      <c r="A1135">
        <f>IF($AG1135="","",INDEX('TMP Paste'!$B$2:$B$1601,$AG1135))</f>
        <v/>
      </c>
      <c r="B1135">
        <f>IF($AG1135="","",Config!$B$14)</f>
        <v/>
      </c>
      <c r="C1135">
        <f>IF($AG1135="","",Config!$B$15)</f>
        <v/>
      </c>
      <c r="D1135">
        <f>IF($AG1135="","",INDEX('TMP Paste'!$B$2:$B$1601,$AG1135))</f>
        <v/>
      </c>
      <c r="E1135">
        <f>IF($AG1135="","",Config!$B$27)</f>
        <v/>
      </c>
      <c r="F1135">
        <f>IF($AG1135="","",Config!$B$9)</f>
        <v/>
      </c>
      <c r="G1135">
        <f>IF($AG1135="","",Config!$B$10)</f>
        <v/>
      </c>
      <c r="H1135">
        <f>IF($AG1135="","",Config!$B$11)</f>
        <v/>
      </c>
      <c r="I1135">
        <f>IF($AG1135="","",Config!$B$16)</f>
        <v/>
      </c>
      <c r="J1135">
        <f>IF($AG1135="","",INDEX('TMP Paste'!$A$2:$A$1601,$AG1135))</f>
        <v/>
      </c>
      <c r="K1135">
        <f>IF($AG1135="","",INDEX('TMP Paste'!$L$2:$L$1601,$AG1135))</f>
        <v/>
      </c>
      <c r="L1135">
        <f>IF($AG1135="","",INDEX('TMP Paste'!$I$2:$I$1601,$AG1135))</f>
        <v/>
      </c>
      <c r="M1135">
        <f>IF($AG1135="","",Config!$B$16)</f>
        <v/>
      </c>
      <c r="N1135">
        <f>IF($AG1135="","","")</f>
        <v/>
      </c>
      <c r="O1135">
        <f>IF($AG1135="","",INDEX('TMP Paste'!$K$2:$K$1601,$AG1135))</f>
        <v/>
      </c>
      <c r="P1135">
        <f>IF($AG1135="","","")</f>
        <v/>
      </c>
      <c r="Q1135">
        <f>IF($AG1135="","",INDEX('TMP Paste'!$J$2:$J$1601,$AG1135))</f>
        <v/>
      </c>
      <c r="R1135">
        <f>IF($AG1135="","",Config!$B$24)</f>
        <v/>
      </c>
      <c r="S1135">
        <f>IF($AG1135="","",TEXT(Config!$B$4,"yyyy-mm-dd"))</f>
        <v/>
      </c>
      <c r="T1135">
        <f>IF($AG1135="","",Config!$B$17)</f>
        <v/>
      </c>
      <c r="U1135">
        <f>IF($AG1135="","",Config!$B$18)</f>
        <v/>
      </c>
      <c r="V1135">
        <f>IF($AG1135="","",Config!$B$19)</f>
        <v/>
      </c>
      <c r="W1135">
        <f>IF($AG1135="","",INDEX('TMP Paste'!$C$2:$C$1601,$AG1135))</f>
        <v/>
      </c>
      <c r="X1135">
        <f>IF($AG1135="","",Config!$B$29)</f>
        <v/>
      </c>
      <c r="Y1135">
        <f>IF($AH1135="","",INDEX(Calc!$I$2:$I$1601,$AH1135)&amp;" - "&amp;INDEX(Calc!$D$2:$D$1601,$AH1135)&amp;" koli")</f>
        <v/>
      </c>
      <c r="Z1135">
        <f>IF($AG1135="","",Config!$B$21)</f>
        <v/>
      </c>
      <c r="AA1135">
        <f>IF($AG1135="","",Config!$B$22)</f>
        <v/>
      </c>
      <c r="AB1135">
        <f>IF($AH1135="","",INDEX(Calc!$D$2:$D$1601,$AH1135))</f>
        <v/>
      </c>
      <c r="AC1135">
        <f>IF($AH1135="","",INDEX(Calc!$G$2:$G$1601,$AH1135))</f>
        <v/>
      </c>
      <c r="AD1135">
        <f>IF($AG1135="","",Config!$B$23)</f>
        <v/>
      </c>
      <c r="AE1135">
        <f>IF($AG1135="","",Config!$B$28)</f>
        <v/>
      </c>
      <c r="AG1135">
        <f>IFERROR(MATCH(ROW()-1,Calc!$J$2:$J$1601,0),"")</f>
        <v/>
      </c>
      <c r="AH1135">
        <f>IFERROR(MATCH(ROW()-1,Calc!$K$2:$K$1601,0),"")</f>
        <v/>
      </c>
      <c r="AI1135">
        <f>IF($AG1135="","",SUMIF($AG$2:$AG1135,$AG1135,$AH$2:$AH1135))</f>
        <v/>
      </c>
      <c r="AJ1135">
        <f>IF('TMP Paste'!$F1135="","",IF('TMP Paste'!$B1135="",$AJ1134,'TMP Paste'!$B1135))</f>
        <v/>
      </c>
      <c r="AK1135">
        <f>IF('TMP Paste'!$F1135="","",N('TMP Paste'!$G1135))</f>
        <v/>
      </c>
      <c r="AL1135">
        <f>IF('TMP Paste'!$F1135="","",IF('TMP Paste'!$M1135="",$AL1134,'TMP Paste'!$M1135))</f>
        <v/>
      </c>
      <c r="AM1135">
        <f>IF('TMP Paste'!$F1135="","",IF('TMP Paste'!$N1135="",$AM1134,'TMP Paste'!$N1135))</f>
        <v/>
      </c>
      <c r="AN1135">
        <f>IF('TMP Paste'!$F1135="","",IF('TMP Paste'!$O1135="",$AN1134,'TMP Paste'!$O1135))</f>
        <v/>
      </c>
      <c r="AO1135">
        <f>IF('TMP Paste'!$F1135="","",IF('TMP Paste'!$P1135="",$AO1134,'TMP Paste'!$P1135))</f>
        <v/>
      </c>
      <c r="AP1135">
        <f>IF($AG1135="","",LEN($R1135))</f>
        <v/>
      </c>
      <c r="AQ1135">
        <f>IF($AG1135="","",TRIM(IF(COUNTIFS(Calc!$B$2:$B$1601,ROW()-1,Calc!$C$2:$C$1601,"&lt;1")&gt;0,"Ada PO tanpa Koli - cek TMP. ","")&amp;IF(LEN($R1135)&gt;500,"R &gt; 500 karakter.","")))</f>
        <v/>
      </c>
    </row>
    <row r="1136">
      <c r="A1136">
        <f>IF($AG1136="","",INDEX('TMP Paste'!$B$2:$B$1601,$AG1136))</f>
        <v/>
      </c>
      <c r="B1136">
        <f>IF($AG1136="","",Config!$B$14)</f>
        <v/>
      </c>
      <c r="C1136">
        <f>IF($AG1136="","",Config!$B$15)</f>
        <v/>
      </c>
      <c r="D1136">
        <f>IF($AG1136="","",INDEX('TMP Paste'!$B$2:$B$1601,$AG1136))</f>
        <v/>
      </c>
      <c r="E1136">
        <f>IF($AG1136="","",Config!$B$27)</f>
        <v/>
      </c>
      <c r="F1136">
        <f>IF($AG1136="","",Config!$B$9)</f>
        <v/>
      </c>
      <c r="G1136">
        <f>IF($AG1136="","",Config!$B$10)</f>
        <v/>
      </c>
      <c r="H1136">
        <f>IF($AG1136="","",Config!$B$11)</f>
        <v/>
      </c>
      <c r="I1136">
        <f>IF($AG1136="","",Config!$B$16)</f>
        <v/>
      </c>
      <c r="J1136">
        <f>IF($AG1136="","",INDEX('TMP Paste'!$A$2:$A$1601,$AG1136))</f>
        <v/>
      </c>
      <c r="K1136">
        <f>IF($AG1136="","",INDEX('TMP Paste'!$L$2:$L$1601,$AG1136))</f>
        <v/>
      </c>
      <c r="L1136">
        <f>IF($AG1136="","",INDEX('TMP Paste'!$I$2:$I$1601,$AG1136))</f>
        <v/>
      </c>
      <c r="M1136">
        <f>IF($AG1136="","",Config!$B$16)</f>
        <v/>
      </c>
      <c r="N1136">
        <f>IF($AG1136="","","")</f>
        <v/>
      </c>
      <c r="O1136">
        <f>IF($AG1136="","",INDEX('TMP Paste'!$K$2:$K$1601,$AG1136))</f>
        <v/>
      </c>
      <c r="P1136">
        <f>IF($AG1136="","","")</f>
        <v/>
      </c>
      <c r="Q1136">
        <f>IF($AG1136="","",INDEX('TMP Paste'!$J$2:$J$1601,$AG1136))</f>
        <v/>
      </c>
      <c r="R1136">
        <f>IF($AG1136="","",Config!$B$24)</f>
        <v/>
      </c>
      <c r="S1136">
        <f>IF($AG1136="","",TEXT(Config!$B$4,"yyyy-mm-dd"))</f>
        <v/>
      </c>
      <c r="T1136">
        <f>IF($AG1136="","",Config!$B$17)</f>
        <v/>
      </c>
      <c r="U1136">
        <f>IF($AG1136="","",Config!$B$18)</f>
        <v/>
      </c>
      <c r="V1136">
        <f>IF($AG1136="","",Config!$B$19)</f>
        <v/>
      </c>
      <c r="W1136">
        <f>IF($AG1136="","",INDEX('TMP Paste'!$C$2:$C$1601,$AG1136))</f>
        <v/>
      </c>
      <c r="X1136">
        <f>IF($AG1136="","",Config!$B$29)</f>
        <v/>
      </c>
      <c r="Y1136">
        <f>IF($AH1136="","",INDEX(Calc!$I$2:$I$1601,$AH1136)&amp;" - "&amp;INDEX(Calc!$D$2:$D$1601,$AH1136)&amp;" koli")</f>
        <v/>
      </c>
      <c r="Z1136">
        <f>IF($AG1136="","",Config!$B$21)</f>
        <v/>
      </c>
      <c r="AA1136">
        <f>IF($AG1136="","",Config!$B$22)</f>
        <v/>
      </c>
      <c r="AB1136">
        <f>IF($AH1136="","",INDEX(Calc!$D$2:$D$1601,$AH1136))</f>
        <v/>
      </c>
      <c r="AC1136">
        <f>IF($AH1136="","",INDEX(Calc!$G$2:$G$1601,$AH1136))</f>
        <v/>
      </c>
      <c r="AD1136">
        <f>IF($AG1136="","",Config!$B$23)</f>
        <v/>
      </c>
      <c r="AE1136">
        <f>IF($AG1136="","",Config!$B$28)</f>
        <v/>
      </c>
      <c r="AG1136">
        <f>IFERROR(MATCH(ROW()-1,Calc!$J$2:$J$1601,0),"")</f>
        <v/>
      </c>
      <c r="AH1136">
        <f>IFERROR(MATCH(ROW()-1,Calc!$K$2:$K$1601,0),"")</f>
        <v/>
      </c>
      <c r="AI1136">
        <f>IF($AG1136="","",SUMIF($AG$2:$AG1136,$AG1136,$AH$2:$AH1136))</f>
        <v/>
      </c>
      <c r="AJ1136">
        <f>IF('TMP Paste'!$F1136="","",IF('TMP Paste'!$B1136="",$AJ1135,'TMP Paste'!$B1136))</f>
        <v/>
      </c>
      <c r="AK1136">
        <f>IF('TMP Paste'!$F1136="","",N('TMP Paste'!$G1136))</f>
        <v/>
      </c>
      <c r="AL1136">
        <f>IF('TMP Paste'!$F1136="","",IF('TMP Paste'!$M1136="",$AL1135,'TMP Paste'!$M1136))</f>
        <v/>
      </c>
      <c r="AM1136">
        <f>IF('TMP Paste'!$F1136="","",IF('TMP Paste'!$N1136="",$AM1135,'TMP Paste'!$N1136))</f>
        <v/>
      </c>
      <c r="AN1136">
        <f>IF('TMP Paste'!$F1136="","",IF('TMP Paste'!$O1136="",$AN1135,'TMP Paste'!$O1136))</f>
        <v/>
      </c>
      <c r="AO1136">
        <f>IF('TMP Paste'!$F1136="","",IF('TMP Paste'!$P1136="",$AO1135,'TMP Paste'!$P1136))</f>
        <v/>
      </c>
      <c r="AP1136">
        <f>IF($AG1136="","",LEN($R1136))</f>
        <v/>
      </c>
      <c r="AQ1136">
        <f>IF($AG1136="","",TRIM(IF(COUNTIFS(Calc!$B$2:$B$1601,ROW()-1,Calc!$C$2:$C$1601,"&lt;1")&gt;0,"Ada PO tanpa Koli - cek TMP. ","")&amp;IF(LEN($R1136)&gt;500,"R &gt; 500 karakter.","")))</f>
        <v/>
      </c>
    </row>
    <row r="1137">
      <c r="A1137">
        <f>IF($AG1137="","",INDEX('TMP Paste'!$B$2:$B$1601,$AG1137))</f>
        <v/>
      </c>
      <c r="B1137">
        <f>IF($AG1137="","",Config!$B$14)</f>
        <v/>
      </c>
      <c r="C1137">
        <f>IF($AG1137="","",Config!$B$15)</f>
        <v/>
      </c>
      <c r="D1137">
        <f>IF($AG1137="","",INDEX('TMP Paste'!$B$2:$B$1601,$AG1137))</f>
        <v/>
      </c>
      <c r="E1137">
        <f>IF($AG1137="","",Config!$B$27)</f>
        <v/>
      </c>
      <c r="F1137">
        <f>IF($AG1137="","",Config!$B$9)</f>
        <v/>
      </c>
      <c r="G1137">
        <f>IF($AG1137="","",Config!$B$10)</f>
        <v/>
      </c>
      <c r="H1137">
        <f>IF($AG1137="","",Config!$B$11)</f>
        <v/>
      </c>
      <c r="I1137">
        <f>IF($AG1137="","",Config!$B$16)</f>
        <v/>
      </c>
      <c r="J1137">
        <f>IF($AG1137="","",INDEX('TMP Paste'!$A$2:$A$1601,$AG1137))</f>
        <v/>
      </c>
      <c r="K1137">
        <f>IF($AG1137="","",INDEX('TMP Paste'!$L$2:$L$1601,$AG1137))</f>
        <v/>
      </c>
      <c r="L1137">
        <f>IF($AG1137="","",INDEX('TMP Paste'!$I$2:$I$1601,$AG1137))</f>
        <v/>
      </c>
      <c r="M1137">
        <f>IF($AG1137="","",Config!$B$16)</f>
        <v/>
      </c>
      <c r="N1137">
        <f>IF($AG1137="","","")</f>
        <v/>
      </c>
      <c r="O1137">
        <f>IF($AG1137="","",INDEX('TMP Paste'!$K$2:$K$1601,$AG1137))</f>
        <v/>
      </c>
      <c r="P1137">
        <f>IF($AG1137="","","")</f>
        <v/>
      </c>
      <c r="Q1137">
        <f>IF($AG1137="","",INDEX('TMP Paste'!$J$2:$J$1601,$AG1137))</f>
        <v/>
      </c>
      <c r="R1137">
        <f>IF($AG1137="","",Config!$B$24)</f>
        <v/>
      </c>
      <c r="S1137">
        <f>IF($AG1137="","",TEXT(Config!$B$4,"yyyy-mm-dd"))</f>
        <v/>
      </c>
      <c r="T1137">
        <f>IF($AG1137="","",Config!$B$17)</f>
        <v/>
      </c>
      <c r="U1137">
        <f>IF($AG1137="","",Config!$B$18)</f>
        <v/>
      </c>
      <c r="V1137">
        <f>IF($AG1137="","",Config!$B$19)</f>
        <v/>
      </c>
      <c r="W1137">
        <f>IF($AG1137="","",INDEX('TMP Paste'!$C$2:$C$1601,$AG1137))</f>
        <v/>
      </c>
      <c r="X1137">
        <f>IF($AG1137="","",Config!$B$29)</f>
        <v/>
      </c>
      <c r="Y1137">
        <f>IF($AH1137="","",INDEX(Calc!$I$2:$I$1601,$AH1137)&amp;" - "&amp;INDEX(Calc!$D$2:$D$1601,$AH1137)&amp;" koli")</f>
        <v/>
      </c>
      <c r="Z1137">
        <f>IF($AG1137="","",Config!$B$21)</f>
        <v/>
      </c>
      <c r="AA1137">
        <f>IF($AG1137="","",Config!$B$22)</f>
        <v/>
      </c>
      <c r="AB1137">
        <f>IF($AH1137="","",INDEX(Calc!$D$2:$D$1601,$AH1137))</f>
        <v/>
      </c>
      <c r="AC1137">
        <f>IF($AH1137="","",INDEX(Calc!$G$2:$G$1601,$AH1137))</f>
        <v/>
      </c>
      <c r="AD1137">
        <f>IF($AG1137="","",Config!$B$23)</f>
        <v/>
      </c>
      <c r="AE1137">
        <f>IF($AG1137="","",Config!$B$28)</f>
        <v/>
      </c>
      <c r="AG1137">
        <f>IFERROR(MATCH(ROW()-1,Calc!$J$2:$J$1601,0),"")</f>
        <v/>
      </c>
      <c r="AH1137">
        <f>IFERROR(MATCH(ROW()-1,Calc!$K$2:$K$1601,0),"")</f>
        <v/>
      </c>
      <c r="AI1137">
        <f>IF($AG1137="","",SUMIF($AG$2:$AG1137,$AG1137,$AH$2:$AH1137))</f>
        <v/>
      </c>
      <c r="AJ1137">
        <f>IF('TMP Paste'!$F1137="","",IF('TMP Paste'!$B1137="",$AJ1136,'TMP Paste'!$B1137))</f>
        <v/>
      </c>
      <c r="AK1137">
        <f>IF('TMP Paste'!$F1137="","",N('TMP Paste'!$G1137))</f>
        <v/>
      </c>
      <c r="AL1137">
        <f>IF('TMP Paste'!$F1137="","",IF('TMP Paste'!$M1137="",$AL1136,'TMP Paste'!$M1137))</f>
        <v/>
      </c>
      <c r="AM1137">
        <f>IF('TMP Paste'!$F1137="","",IF('TMP Paste'!$N1137="",$AM1136,'TMP Paste'!$N1137))</f>
        <v/>
      </c>
      <c r="AN1137">
        <f>IF('TMP Paste'!$F1137="","",IF('TMP Paste'!$O1137="",$AN1136,'TMP Paste'!$O1137))</f>
        <v/>
      </c>
      <c r="AO1137">
        <f>IF('TMP Paste'!$F1137="","",IF('TMP Paste'!$P1137="",$AO1136,'TMP Paste'!$P1137))</f>
        <v/>
      </c>
      <c r="AP1137">
        <f>IF($AG1137="","",LEN($R1137))</f>
        <v/>
      </c>
      <c r="AQ1137">
        <f>IF($AG1137="","",TRIM(IF(COUNTIFS(Calc!$B$2:$B$1601,ROW()-1,Calc!$C$2:$C$1601,"&lt;1")&gt;0,"Ada PO tanpa Koli - cek TMP. ","")&amp;IF(LEN($R1137)&gt;500,"R &gt; 500 karakter.","")))</f>
        <v/>
      </c>
    </row>
    <row r="1138">
      <c r="A1138">
        <f>IF($AG1138="","",INDEX('TMP Paste'!$B$2:$B$1601,$AG1138))</f>
        <v/>
      </c>
      <c r="B1138">
        <f>IF($AG1138="","",Config!$B$14)</f>
        <v/>
      </c>
      <c r="C1138">
        <f>IF($AG1138="","",Config!$B$15)</f>
        <v/>
      </c>
      <c r="D1138">
        <f>IF($AG1138="","",INDEX('TMP Paste'!$B$2:$B$1601,$AG1138))</f>
        <v/>
      </c>
      <c r="E1138">
        <f>IF($AG1138="","",Config!$B$27)</f>
        <v/>
      </c>
      <c r="F1138">
        <f>IF($AG1138="","",Config!$B$9)</f>
        <v/>
      </c>
      <c r="G1138">
        <f>IF($AG1138="","",Config!$B$10)</f>
        <v/>
      </c>
      <c r="H1138">
        <f>IF($AG1138="","",Config!$B$11)</f>
        <v/>
      </c>
      <c r="I1138">
        <f>IF($AG1138="","",Config!$B$16)</f>
        <v/>
      </c>
      <c r="J1138">
        <f>IF($AG1138="","",INDEX('TMP Paste'!$A$2:$A$1601,$AG1138))</f>
        <v/>
      </c>
      <c r="K1138">
        <f>IF($AG1138="","",INDEX('TMP Paste'!$L$2:$L$1601,$AG1138))</f>
        <v/>
      </c>
      <c r="L1138">
        <f>IF($AG1138="","",INDEX('TMP Paste'!$I$2:$I$1601,$AG1138))</f>
        <v/>
      </c>
      <c r="M1138">
        <f>IF($AG1138="","",Config!$B$16)</f>
        <v/>
      </c>
      <c r="N1138">
        <f>IF($AG1138="","","")</f>
        <v/>
      </c>
      <c r="O1138">
        <f>IF($AG1138="","",INDEX('TMP Paste'!$K$2:$K$1601,$AG1138))</f>
        <v/>
      </c>
      <c r="P1138">
        <f>IF($AG1138="","","")</f>
        <v/>
      </c>
      <c r="Q1138">
        <f>IF($AG1138="","",INDEX('TMP Paste'!$J$2:$J$1601,$AG1138))</f>
        <v/>
      </c>
      <c r="R1138">
        <f>IF($AG1138="","",Config!$B$24)</f>
        <v/>
      </c>
      <c r="S1138">
        <f>IF($AG1138="","",TEXT(Config!$B$4,"yyyy-mm-dd"))</f>
        <v/>
      </c>
      <c r="T1138">
        <f>IF($AG1138="","",Config!$B$17)</f>
        <v/>
      </c>
      <c r="U1138">
        <f>IF($AG1138="","",Config!$B$18)</f>
        <v/>
      </c>
      <c r="V1138">
        <f>IF($AG1138="","",Config!$B$19)</f>
        <v/>
      </c>
      <c r="W1138">
        <f>IF($AG1138="","",INDEX('TMP Paste'!$C$2:$C$1601,$AG1138))</f>
        <v/>
      </c>
      <c r="X1138">
        <f>IF($AG1138="","",Config!$B$29)</f>
        <v/>
      </c>
      <c r="Y1138">
        <f>IF($AH1138="","",INDEX(Calc!$I$2:$I$1601,$AH1138)&amp;" - "&amp;INDEX(Calc!$D$2:$D$1601,$AH1138)&amp;" koli")</f>
        <v/>
      </c>
      <c r="Z1138">
        <f>IF($AG1138="","",Config!$B$21)</f>
        <v/>
      </c>
      <c r="AA1138">
        <f>IF($AG1138="","",Config!$B$22)</f>
        <v/>
      </c>
      <c r="AB1138">
        <f>IF($AH1138="","",INDEX(Calc!$D$2:$D$1601,$AH1138))</f>
        <v/>
      </c>
      <c r="AC1138">
        <f>IF($AH1138="","",INDEX(Calc!$G$2:$G$1601,$AH1138))</f>
        <v/>
      </c>
      <c r="AD1138">
        <f>IF($AG1138="","",Config!$B$23)</f>
        <v/>
      </c>
      <c r="AE1138">
        <f>IF($AG1138="","",Config!$B$28)</f>
        <v/>
      </c>
      <c r="AG1138">
        <f>IFERROR(MATCH(ROW()-1,Calc!$J$2:$J$1601,0),"")</f>
        <v/>
      </c>
      <c r="AH1138">
        <f>IFERROR(MATCH(ROW()-1,Calc!$K$2:$K$1601,0),"")</f>
        <v/>
      </c>
      <c r="AI1138">
        <f>IF($AG1138="","",SUMIF($AG$2:$AG1138,$AG1138,$AH$2:$AH1138))</f>
        <v/>
      </c>
      <c r="AJ1138">
        <f>IF('TMP Paste'!$F1138="","",IF('TMP Paste'!$B1138="",$AJ1137,'TMP Paste'!$B1138))</f>
        <v/>
      </c>
      <c r="AK1138">
        <f>IF('TMP Paste'!$F1138="","",N('TMP Paste'!$G1138))</f>
        <v/>
      </c>
      <c r="AL1138">
        <f>IF('TMP Paste'!$F1138="","",IF('TMP Paste'!$M1138="",$AL1137,'TMP Paste'!$M1138))</f>
        <v/>
      </c>
      <c r="AM1138">
        <f>IF('TMP Paste'!$F1138="","",IF('TMP Paste'!$N1138="",$AM1137,'TMP Paste'!$N1138))</f>
        <v/>
      </c>
      <c r="AN1138">
        <f>IF('TMP Paste'!$F1138="","",IF('TMP Paste'!$O1138="",$AN1137,'TMP Paste'!$O1138))</f>
        <v/>
      </c>
      <c r="AO1138">
        <f>IF('TMP Paste'!$F1138="","",IF('TMP Paste'!$P1138="",$AO1137,'TMP Paste'!$P1138))</f>
        <v/>
      </c>
      <c r="AP1138">
        <f>IF($AG1138="","",LEN($R1138))</f>
        <v/>
      </c>
      <c r="AQ1138">
        <f>IF($AG1138="","",TRIM(IF(COUNTIFS(Calc!$B$2:$B$1601,ROW()-1,Calc!$C$2:$C$1601,"&lt;1")&gt;0,"Ada PO tanpa Koli - cek TMP. ","")&amp;IF(LEN($R1138)&gt;500,"R &gt; 500 karakter.","")))</f>
        <v/>
      </c>
    </row>
    <row r="1139">
      <c r="A1139">
        <f>IF($AG1139="","",INDEX('TMP Paste'!$B$2:$B$1601,$AG1139))</f>
        <v/>
      </c>
      <c r="B1139">
        <f>IF($AG1139="","",Config!$B$14)</f>
        <v/>
      </c>
      <c r="C1139">
        <f>IF($AG1139="","",Config!$B$15)</f>
        <v/>
      </c>
      <c r="D1139">
        <f>IF($AG1139="","",INDEX('TMP Paste'!$B$2:$B$1601,$AG1139))</f>
        <v/>
      </c>
      <c r="E1139">
        <f>IF($AG1139="","",Config!$B$27)</f>
        <v/>
      </c>
      <c r="F1139">
        <f>IF($AG1139="","",Config!$B$9)</f>
        <v/>
      </c>
      <c r="G1139">
        <f>IF($AG1139="","",Config!$B$10)</f>
        <v/>
      </c>
      <c r="H1139">
        <f>IF($AG1139="","",Config!$B$11)</f>
        <v/>
      </c>
      <c r="I1139">
        <f>IF($AG1139="","",Config!$B$16)</f>
        <v/>
      </c>
      <c r="J1139">
        <f>IF($AG1139="","",INDEX('TMP Paste'!$A$2:$A$1601,$AG1139))</f>
        <v/>
      </c>
      <c r="K1139">
        <f>IF($AG1139="","",INDEX('TMP Paste'!$L$2:$L$1601,$AG1139))</f>
        <v/>
      </c>
      <c r="L1139">
        <f>IF($AG1139="","",INDEX('TMP Paste'!$I$2:$I$1601,$AG1139))</f>
        <v/>
      </c>
      <c r="M1139">
        <f>IF($AG1139="","",Config!$B$16)</f>
        <v/>
      </c>
      <c r="N1139">
        <f>IF($AG1139="","","")</f>
        <v/>
      </c>
      <c r="O1139">
        <f>IF($AG1139="","",INDEX('TMP Paste'!$K$2:$K$1601,$AG1139))</f>
        <v/>
      </c>
      <c r="P1139">
        <f>IF($AG1139="","","")</f>
        <v/>
      </c>
      <c r="Q1139">
        <f>IF($AG1139="","",INDEX('TMP Paste'!$J$2:$J$1601,$AG1139))</f>
        <v/>
      </c>
      <c r="R1139">
        <f>IF($AG1139="","",Config!$B$24)</f>
        <v/>
      </c>
      <c r="S1139">
        <f>IF($AG1139="","",TEXT(Config!$B$4,"yyyy-mm-dd"))</f>
        <v/>
      </c>
      <c r="T1139">
        <f>IF($AG1139="","",Config!$B$17)</f>
        <v/>
      </c>
      <c r="U1139">
        <f>IF($AG1139="","",Config!$B$18)</f>
        <v/>
      </c>
      <c r="V1139">
        <f>IF($AG1139="","",Config!$B$19)</f>
        <v/>
      </c>
      <c r="W1139">
        <f>IF($AG1139="","",INDEX('TMP Paste'!$C$2:$C$1601,$AG1139))</f>
        <v/>
      </c>
      <c r="X1139">
        <f>IF($AG1139="","",Config!$B$29)</f>
        <v/>
      </c>
      <c r="Y1139">
        <f>IF($AH1139="","",INDEX(Calc!$I$2:$I$1601,$AH1139)&amp;" - "&amp;INDEX(Calc!$D$2:$D$1601,$AH1139)&amp;" koli")</f>
        <v/>
      </c>
      <c r="Z1139">
        <f>IF($AG1139="","",Config!$B$21)</f>
        <v/>
      </c>
      <c r="AA1139">
        <f>IF($AG1139="","",Config!$B$22)</f>
        <v/>
      </c>
      <c r="AB1139">
        <f>IF($AH1139="","",INDEX(Calc!$D$2:$D$1601,$AH1139))</f>
        <v/>
      </c>
      <c r="AC1139">
        <f>IF($AH1139="","",INDEX(Calc!$G$2:$G$1601,$AH1139))</f>
        <v/>
      </c>
      <c r="AD1139">
        <f>IF($AG1139="","",Config!$B$23)</f>
        <v/>
      </c>
      <c r="AE1139">
        <f>IF($AG1139="","",Config!$B$28)</f>
        <v/>
      </c>
      <c r="AG1139">
        <f>IFERROR(MATCH(ROW()-1,Calc!$J$2:$J$1601,0),"")</f>
        <v/>
      </c>
      <c r="AH1139">
        <f>IFERROR(MATCH(ROW()-1,Calc!$K$2:$K$1601,0),"")</f>
        <v/>
      </c>
      <c r="AI1139">
        <f>IF($AG1139="","",SUMIF($AG$2:$AG1139,$AG1139,$AH$2:$AH1139))</f>
        <v/>
      </c>
      <c r="AJ1139">
        <f>IF('TMP Paste'!$F1139="","",IF('TMP Paste'!$B1139="",$AJ1138,'TMP Paste'!$B1139))</f>
        <v/>
      </c>
      <c r="AK1139">
        <f>IF('TMP Paste'!$F1139="","",N('TMP Paste'!$G1139))</f>
        <v/>
      </c>
      <c r="AL1139">
        <f>IF('TMP Paste'!$F1139="","",IF('TMP Paste'!$M1139="",$AL1138,'TMP Paste'!$M1139))</f>
        <v/>
      </c>
      <c r="AM1139">
        <f>IF('TMP Paste'!$F1139="","",IF('TMP Paste'!$N1139="",$AM1138,'TMP Paste'!$N1139))</f>
        <v/>
      </c>
      <c r="AN1139">
        <f>IF('TMP Paste'!$F1139="","",IF('TMP Paste'!$O1139="",$AN1138,'TMP Paste'!$O1139))</f>
        <v/>
      </c>
      <c r="AO1139">
        <f>IF('TMP Paste'!$F1139="","",IF('TMP Paste'!$P1139="",$AO1138,'TMP Paste'!$P1139))</f>
        <v/>
      </c>
      <c r="AP1139">
        <f>IF($AG1139="","",LEN($R1139))</f>
        <v/>
      </c>
      <c r="AQ1139">
        <f>IF($AG1139="","",TRIM(IF(COUNTIFS(Calc!$B$2:$B$1601,ROW()-1,Calc!$C$2:$C$1601,"&lt;1")&gt;0,"Ada PO tanpa Koli - cek TMP. ","")&amp;IF(LEN($R1139)&gt;500,"R &gt; 500 karakter.","")))</f>
        <v/>
      </c>
    </row>
    <row r="1140">
      <c r="A1140">
        <f>IF($AG1140="","",INDEX('TMP Paste'!$B$2:$B$1601,$AG1140))</f>
        <v/>
      </c>
      <c r="B1140">
        <f>IF($AG1140="","",Config!$B$14)</f>
        <v/>
      </c>
      <c r="C1140">
        <f>IF($AG1140="","",Config!$B$15)</f>
        <v/>
      </c>
      <c r="D1140">
        <f>IF($AG1140="","",INDEX('TMP Paste'!$B$2:$B$1601,$AG1140))</f>
        <v/>
      </c>
      <c r="E1140">
        <f>IF($AG1140="","",Config!$B$27)</f>
        <v/>
      </c>
      <c r="F1140">
        <f>IF($AG1140="","",Config!$B$9)</f>
        <v/>
      </c>
      <c r="G1140">
        <f>IF($AG1140="","",Config!$B$10)</f>
        <v/>
      </c>
      <c r="H1140">
        <f>IF($AG1140="","",Config!$B$11)</f>
        <v/>
      </c>
      <c r="I1140">
        <f>IF($AG1140="","",Config!$B$16)</f>
        <v/>
      </c>
      <c r="J1140">
        <f>IF($AG1140="","",INDEX('TMP Paste'!$A$2:$A$1601,$AG1140))</f>
        <v/>
      </c>
      <c r="K1140">
        <f>IF($AG1140="","",INDEX('TMP Paste'!$L$2:$L$1601,$AG1140))</f>
        <v/>
      </c>
      <c r="L1140">
        <f>IF($AG1140="","",INDEX('TMP Paste'!$I$2:$I$1601,$AG1140))</f>
        <v/>
      </c>
      <c r="M1140">
        <f>IF($AG1140="","",Config!$B$16)</f>
        <v/>
      </c>
      <c r="N1140">
        <f>IF($AG1140="","","")</f>
        <v/>
      </c>
      <c r="O1140">
        <f>IF($AG1140="","",INDEX('TMP Paste'!$K$2:$K$1601,$AG1140))</f>
        <v/>
      </c>
      <c r="P1140">
        <f>IF($AG1140="","","")</f>
        <v/>
      </c>
      <c r="Q1140">
        <f>IF($AG1140="","",INDEX('TMP Paste'!$J$2:$J$1601,$AG1140))</f>
        <v/>
      </c>
      <c r="R1140">
        <f>IF($AG1140="","",Config!$B$24)</f>
        <v/>
      </c>
      <c r="S1140">
        <f>IF($AG1140="","",TEXT(Config!$B$4,"yyyy-mm-dd"))</f>
        <v/>
      </c>
      <c r="T1140">
        <f>IF($AG1140="","",Config!$B$17)</f>
        <v/>
      </c>
      <c r="U1140">
        <f>IF($AG1140="","",Config!$B$18)</f>
        <v/>
      </c>
      <c r="V1140">
        <f>IF($AG1140="","",Config!$B$19)</f>
        <v/>
      </c>
      <c r="W1140">
        <f>IF($AG1140="","",INDEX('TMP Paste'!$C$2:$C$1601,$AG1140))</f>
        <v/>
      </c>
      <c r="X1140">
        <f>IF($AG1140="","",Config!$B$29)</f>
        <v/>
      </c>
      <c r="Y1140">
        <f>IF($AH1140="","",INDEX(Calc!$I$2:$I$1601,$AH1140)&amp;" - "&amp;INDEX(Calc!$D$2:$D$1601,$AH1140)&amp;" koli")</f>
        <v/>
      </c>
      <c r="Z1140">
        <f>IF($AG1140="","",Config!$B$21)</f>
        <v/>
      </c>
      <c r="AA1140">
        <f>IF($AG1140="","",Config!$B$22)</f>
        <v/>
      </c>
      <c r="AB1140">
        <f>IF($AH1140="","",INDEX(Calc!$D$2:$D$1601,$AH1140))</f>
        <v/>
      </c>
      <c r="AC1140">
        <f>IF($AH1140="","",INDEX(Calc!$G$2:$G$1601,$AH1140))</f>
        <v/>
      </c>
      <c r="AD1140">
        <f>IF($AG1140="","",Config!$B$23)</f>
        <v/>
      </c>
      <c r="AE1140">
        <f>IF($AG1140="","",Config!$B$28)</f>
        <v/>
      </c>
      <c r="AG1140">
        <f>IFERROR(MATCH(ROW()-1,Calc!$J$2:$J$1601,0),"")</f>
        <v/>
      </c>
      <c r="AH1140">
        <f>IFERROR(MATCH(ROW()-1,Calc!$K$2:$K$1601,0),"")</f>
        <v/>
      </c>
      <c r="AI1140">
        <f>IF($AG1140="","",SUMIF($AG$2:$AG1140,$AG1140,$AH$2:$AH1140))</f>
        <v/>
      </c>
      <c r="AJ1140">
        <f>IF('TMP Paste'!$F1140="","",IF('TMP Paste'!$B1140="",$AJ1139,'TMP Paste'!$B1140))</f>
        <v/>
      </c>
      <c r="AK1140">
        <f>IF('TMP Paste'!$F1140="","",N('TMP Paste'!$G1140))</f>
        <v/>
      </c>
      <c r="AL1140">
        <f>IF('TMP Paste'!$F1140="","",IF('TMP Paste'!$M1140="",$AL1139,'TMP Paste'!$M1140))</f>
        <v/>
      </c>
      <c r="AM1140">
        <f>IF('TMP Paste'!$F1140="","",IF('TMP Paste'!$N1140="",$AM1139,'TMP Paste'!$N1140))</f>
        <v/>
      </c>
      <c r="AN1140">
        <f>IF('TMP Paste'!$F1140="","",IF('TMP Paste'!$O1140="",$AN1139,'TMP Paste'!$O1140))</f>
        <v/>
      </c>
      <c r="AO1140">
        <f>IF('TMP Paste'!$F1140="","",IF('TMP Paste'!$P1140="",$AO1139,'TMP Paste'!$P1140))</f>
        <v/>
      </c>
      <c r="AP1140">
        <f>IF($AG1140="","",LEN($R1140))</f>
        <v/>
      </c>
      <c r="AQ1140">
        <f>IF($AG1140="","",TRIM(IF(COUNTIFS(Calc!$B$2:$B$1601,ROW()-1,Calc!$C$2:$C$1601,"&lt;1")&gt;0,"Ada PO tanpa Koli - cek TMP. ","")&amp;IF(LEN($R1140)&gt;500,"R &gt; 500 karakter.","")))</f>
        <v/>
      </c>
    </row>
    <row r="1141">
      <c r="A1141">
        <f>IF($AG1141="","",INDEX('TMP Paste'!$B$2:$B$1601,$AG1141))</f>
        <v/>
      </c>
      <c r="B1141">
        <f>IF($AG1141="","",Config!$B$14)</f>
        <v/>
      </c>
      <c r="C1141">
        <f>IF($AG1141="","",Config!$B$15)</f>
        <v/>
      </c>
      <c r="D1141">
        <f>IF($AG1141="","",INDEX('TMP Paste'!$B$2:$B$1601,$AG1141))</f>
        <v/>
      </c>
      <c r="E1141">
        <f>IF($AG1141="","",Config!$B$27)</f>
        <v/>
      </c>
      <c r="F1141">
        <f>IF($AG1141="","",Config!$B$9)</f>
        <v/>
      </c>
      <c r="G1141">
        <f>IF($AG1141="","",Config!$B$10)</f>
        <v/>
      </c>
      <c r="H1141">
        <f>IF($AG1141="","",Config!$B$11)</f>
        <v/>
      </c>
      <c r="I1141">
        <f>IF($AG1141="","",Config!$B$16)</f>
        <v/>
      </c>
      <c r="J1141">
        <f>IF($AG1141="","",INDEX('TMP Paste'!$A$2:$A$1601,$AG1141))</f>
        <v/>
      </c>
      <c r="K1141">
        <f>IF($AG1141="","",INDEX('TMP Paste'!$L$2:$L$1601,$AG1141))</f>
        <v/>
      </c>
      <c r="L1141">
        <f>IF($AG1141="","",INDEX('TMP Paste'!$I$2:$I$1601,$AG1141))</f>
        <v/>
      </c>
      <c r="M1141">
        <f>IF($AG1141="","",Config!$B$16)</f>
        <v/>
      </c>
      <c r="N1141">
        <f>IF($AG1141="","","")</f>
        <v/>
      </c>
      <c r="O1141">
        <f>IF($AG1141="","",INDEX('TMP Paste'!$K$2:$K$1601,$AG1141))</f>
        <v/>
      </c>
      <c r="P1141">
        <f>IF($AG1141="","","")</f>
        <v/>
      </c>
      <c r="Q1141">
        <f>IF($AG1141="","",INDEX('TMP Paste'!$J$2:$J$1601,$AG1141))</f>
        <v/>
      </c>
      <c r="R1141">
        <f>IF($AG1141="","",Config!$B$24)</f>
        <v/>
      </c>
      <c r="S1141">
        <f>IF($AG1141="","",TEXT(Config!$B$4,"yyyy-mm-dd"))</f>
        <v/>
      </c>
      <c r="T1141">
        <f>IF($AG1141="","",Config!$B$17)</f>
        <v/>
      </c>
      <c r="U1141">
        <f>IF($AG1141="","",Config!$B$18)</f>
        <v/>
      </c>
      <c r="V1141">
        <f>IF($AG1141="","",Config!$B$19)</f>
        <v/>
      </c>
      <c r="W1141">
        <f>IF($AG1141="","",INDEX('TMP Paste'!$C$2:$C$1601,$AG1141))</f>
        <v/>
      </c>
      <c r="X1141">
        <f>IF($AG1141="","",Config!$B$29)</f>
        <v/>
      </c>
      <c r="Y1141">
        <f>IF($AH1141="","",INDEX(Calc!$I$2:$I$1601,$AH1141)&amp;" - "&amp;INDEX(Calc!$D$2:$D$1601,$AH1141)&amp;" koli")</f>
        <v/>
      </c>
      <c r="Z1141">
        <f>IF($AG1141="","",Config!$B$21)</f>
        <v/>
      </c>
      <c r="AA1141">
        <f>IF($AG1141="","",Config!$B$22)</f>
        <v/>
      </c>
      <c r="AB1141">
        <f>IF($AH1141="","",INDEX(Calc!$D$2:$D$1601,$AH1141))</f>
        <v/>
      </c>
      <c r="AC1141">
        <f>IF($AH1141="","",INDEX(Calc!$G$2:$G$1601,$AH1141))</f>
        <v/>
      </c>
      <c r="AD1141">
        <f>IF($AG1141="","",Config!$B$23)</f>
        <v/>
      </c>
      <c r="AE1141">
        <f>IF($AG1141="","",Config!$B$28)</f>
        <v/>
      </c>
      <c r="AG1141">
        <f>IFERROR(MATCH(ROW()-1,Calc!$J$2:$J$1601,0),"")</f>
        <v/>
      </c>
      <c r="AH1141">
        <f>IFERROR(MATCH(ROW()-1,Calc!$K$2:$K$1601,0),"")</f>
        <v/>
      </c>
      <c r="AI1141">
        <f>IF($AG1141="","",SUMIF($AG$2:$AG1141,$AG1141,$AH$2:$AH1141))</f>
        <v/>
      </c>
      <c r="AJ1141">
        <f>IF('TMP Paste'!$F1141="","",IF('TMP Paste'!$B1141="",$AJ1140,'TMP Paste'!$B1141))</f>
        <v/>
      </c>
      <c r="AK1141">
        <f>IF('TMP Paste'!$F1141="","",N('TMP Paste'!$G1141))</f>
        <v/>
      </c>
      <c r="AL1141">
        <f>IF('TMP Paste'!$F1141="","",IF('TMP Paste'!$M1141="",$AL1140,'TMP Paste'!$M1141))</f>
        <v/>
      </c>
      <c r="AM1141">
        <f>IF('TMP Paste'!$F1141="","",IF('TMP Paste'!$N1141="",$AM1140,'TMP Paste'!$N1141))</f>
        <v/>
      </c>
      <c r="AN1141">
        <f>IF('TMP Paste'!$F1141="","",IF('TMP Paste'!$O1141="",$AN1140,'TMP Paste'!$O1141))</f>
        <v/>
      </c>
      <c r="AO1141">
        <f>IF('TMP Paste'!$F1141="","",IF('TMP Paste'!$P1141="",$AO1140,'TMP Paste'!$P1141))</f>
        <v/>
      </c>
      <c r="AP1141">
        <f>IF($AG1141="","",LEN($R1141))</f>
        <v/>
      </c>
      <c r="AQ1141">
        <f>IF($AG1141="","",TRIM(IF(COUNTIFS(Calc!$B$2:$B$1601,ROW()-1,Calc!$C$2:$C$1601,"&lt;1")&gt;0,"Ada PO tanpa Koli - cek TMP. ","")&amp;IF(LEN($R1141)&gt;500,"R &gt; 500 karakter.","")))</f>
        <v/>
      </c>
    </row>
    <row r="1142">
      <c r="A1142">
        <f>IF($AG1142="","",INDEX('TMP Paste'!$B$2:$B$1601,$AG1142))</f>
        <v/>
      </c>
      <c r="B1142">
        <f>IF($AG1142="","",Config!$B$14)</f>
        <v/>
      </c>
      <c r="C1142">
        <f>IF($AG1142="","",Config!$B$15)</f>
        <v/>
      </c>
      <c r="D1142">
        <f>IF($AG1142="","",INDEX('TMP Paste'!$B$2:$B$1601,$AG1142))</f>
        <v/>
      </c>
      <c r="E1142">
        <f>IF($AG1142="","",Config!$B$27)</f>
        <v/>
      </c>
      <c r="F1142">
        <f>IF($AG1142="","",Config!$B$9)</f>
        <v/>
      </c>
      <c r="G1142">
        <f>IF($AG1142="","",Config!$B$10)</f>
        <v/>
      </c>
      <c r="H1142">
        <f>IF($AG1142="","",Config!$B$11)</f>
        <v/>
      </c>
      <c r="I1142">
        <f>IF($AG1142="","",Config!$B$16)</f>
        <v/>
      </c>
      <c r="J1142">
        <f>IF($AG1142="","",INDEX('TMP Paste'!$A$2:$A$1601,$AG1142))</f>
        <v/>
      </c>
      <c r="K1142">
        <f>IF($AG1142="","",INDEX('TMP Paste'!$L$2:$L$1601,$AG1142))</f>
        <v/>
      </c>
      <c r="L1142">
        <f>IF($AG1142="","",INDEX('TMP Paste'!$I$2:$I$1601,$AG1142))</f>
        <v/>
      </c>
      <c r="M1142">
        <f>IF($AG1142="","",Config!$B$16)</f>
        <v/>
      </c>
      <c r="N1142">
        <f>IF($AG1142="","","")</f>
        <v/>
      </c>
      <c r="O1142">
        <f>IF($AG1142="","",INDEX('TMP Paste'!$K$2:$K$1601,$AG1142))</f>
        <v/>
      </c>
      <c r="P1142">
        <f>IF($AG1142="","","")</f>
        <v/>
      </c>
      <c r="Q1142">
        <f>IF($AG1142="","",INDEX('TMP Paste'!$J$2:$J$1601,$AG1142))</f>
        <v/>
      </c>
      <c r="R1142">
        <f>IF($AG1142="","",Config!$B$24)</f>
        <v/>
      </c>
      <c r="S1142">
        <f>IF($AG1142="","",TEXT(Config!$B$4,"yyyy-mm-dd"))</f>
        <v/>
      </c>
      <c r="T1142">
        <f>IF($AG1142="","",Config!$B$17)</f>
        <v/>
      </c>
      <c r="U1142">
        <f>IF($AG1142="","",Config!$B$18)</f>
        <v/>
      </c>
      <c r="V1142">
        <f>IF($AG1142="","",Config!$B$19)</f>
        <v/>
      </c>
      <c r="W1142">
        <f>IF($AG1142="","",INDEX('TMP Paste'!$C$2:$C$1601,$AG1142))</f>
        <v/>
      </c>
      <c r="X1142">
        <f>IF($AG1142="","",Config!$B$29)</f>
        <v/>
      </c>
      <c r="Y1142">
        <f>IF($AH1142="","",INDEX(Calc!$I$2:$I$1601,$AH1142)&amp;" - "&amp;INDEX(Calc!$D$2:$D$1601,$AH1142)&amp;" koli")</f>
        <v/>
      </c>
      <c r="Z1142">
        <f>IF($AG1142="","",Config!$B$21)</f>
        <v/>
      </c>
      <c r="AA1142">
        <f>IF($AG1142="","",Config!$B$22)</f>
        <v/>
      </c>
      <c r="AB1142">
        <f>IF($AH1142="","",INDEX(Calc!$D$2:$D$1601,$AH1142))</f>
        <v/>
      </c>
      <c r="AC1142">
        <f>IF($AH1142="","",INDEX(Calc!$G$2:$G$1601,$AH1142))</f>
        <v/>
      </c>
      <c r="AD1142">
        <f>IF($AG1142="","",Config!$B$23)</f>
        <v/>
      </c>
      <c r="AE1142">
        <f>IF($AG1142="","",Config!$B$28)</f>
        <v/>
      </c>
      <c r="AG1142">
        <f>IFERROR(MATCH(ROW()-1,Calc!$J$2:$J$1601,0),"")</f>
        <v/>
      </c>
      <c r="AH1142">
        <f>IFERROR(MATCH(ROW()-1,Calc!$K$2:$K$1601,0),"")</f>
        <v/>
      </c>
      <c r="AI1142">
        <f>IF($AG1142="","",SUMIF($AG$2:$AG1142,$AG1142,$AH$2:$AH1142))</f>
        <v/>
      </c>
      <c r="AJ1142">
        <f>IF('TMP Paste'!$F1142="","",IF('TMP Paste'!$B1142="",$AJ1141,'TMP Paste'!$B1142))</f>
        <v/>
      </c>
      <c r="AK1142">
        <f>IF('TMP Paste'!$F1142="","",N('TMP Paste'!$G1142))</f>
        <v/>
      </c>
      <c r="AL1142">
        <f>IF('TMP Paste'!$F1142="","",IF('TMP Paste'!$M1142="",$AL1141,'TMP Paste'!$M1142))</f>
        <v/>
      </c>
      <c r="AM1142">
        <f>IF('TMP Paste'!$F1142="","",IF('TMP Paste'!$N1142="",$AM1141,'TMP Paste'!$N1142))</f>
        <v/>
      </c>
      <c r="AN1142">
        <f>IF('TMP Paste'!$F1142="","",IF('TMP Paste'!$O1142="",$AN1141,'TMP Paste'!$O1142))</f>
        <v/>
      </c>
      <c r="AO1142">
        <f>IF('TMP Paste'!$F1142="","",IF('TMP Paste'!$P1142="",$AO1141,'TMP Paste'!$P1142))</f>
        <v/>
      </c>
      <c r="AP1142">
        <f>IF($AG1142="","",LEN($R1142))</f>
        <v/>
      </c>
      <c r="AQ1142">
        <f>IF($AG1142="","",TRIM(IF(COUNTIFS(Calc!$B$2:$B$1601,ROW()-1,Calc!$C$2:$C$1601,"&lt;1")&gt;0,"Ada PO tanpa Koli - cek TMP. ","")&amp;IF(LEN($R1142)&gt;500,"R &gt; 500 karakter.","")))</f>
        <v/>
      </c>
    </row>
    <row r="1143">
      <c r="A1143">
        <f>IF($AG1143="","",INDEX('TMP Paste'!$B$2:$B$1601,$AG1143))</f>
        <v/>
      </c>
      <c r="B1143">
        <f>IF($AG1143="","",Config!$B$14)</f>
        <v/>
      </c>
      <c r="C1143">
        <f>IF($AG1143="","",Config!$B$15)</f>
        <v/>
      </c>
      <c r="D1143">
        <f>IF($AG1143="","",INDEX('TMP Paste'!$B$2:$B$1601,$AG1143))</f>
        <v/>
      </c>
      <c r="E1143">
        <f>IF($AG1143="","",Config!$B$27)</f>
        <v/>
      </c>
      <c r="F1143">
        <f>IF($AG1143="","",Config!$B$9)</f>
        <v/>
      </c>
      <c r="G1143">
        <f>IF($AG1143="","",Config!$B$10)</f>
        <v/>
      </c>
      <c r="H1143">
        <f>IF($AG1143="","",Config!$B$11)</f>
        <v/>
      </c>
      <c r="I1143">
        <f>IF($AG1143="","",Config!$B$16)</f>
        <v/>
      </c>
      <c r="J1143">
        <f>IF($AG1143="","",INDEX('TMP Paste'!$A$2:$A$1601,$AG1143))</f>
        <v/>
      </c>
      <c r="K1143">
        <f>IF($AG1143="","",INDEX('TMP Paste'!$L$2:$L$1601,$AG1143))</f>
        <v/>
      </c>
      <c r="L1143">
        <f>IF($AG1143="","",INDEX('TMP Paste'!$I$2:$I$1601,$AG1143))</f>
        <v/>
      </c>
      <c r="M1143">
        <f>IF($AG1143="","",Config!$B$16)</f>
        <v/>
      </c>
      <c r="N1143">
        <f>IF($AG1143="","","")</f>
        <v/>
      </c>
      <c r="O1143">
        <f>IF($AG1143="","",INDEX('TMP Paste'!$K$2:$K$1601,$AG1143))</f>
        <v/>
      </c>
      <c r="P1143">
        <f>IF($AG1143="","","")</f>
        <v/>
      </c>
      <c r="Q1143">
        <f>IF($AG1143="","",INDEX('TMP Paste'!$J$2:$J$1601,$AG1143))</f>
        <v/>
      </c>
      <c r="R1143">
        <f>IF($AG1143="","",Config!$B$24)</f>
        <v/>
      </c>
      <c r="S1143">
        <f>IF($AG1143="","",TEXT(Config!$B$4,"yyyy-mm-dd"))</f>
        <v/>
      </c>
      <c r="T1143">
        <f>IF($AG1143="","",Config!$B$17)</f>
        <v/>
      </c>
      <c r="U1143">
        <f>IF($AG1143="","",Config!$B$18)</f>
        <v/>
      </c>
      <c r="V1143">
        <f>IF($AG1143="","",Config!$B$19)</f>
        <v/>
      </c>
      <c r="W1143">
        <f>IF($AG1143="","",INDEX('TMP Paste'!$C$2:$C$1601,$AG1143))</f>
        <v/>
      </c>
      <c r="X1143">
        <f>IF($AG1143="","",Config!$B$29)</f>
        <v/>
      </c>
      <c r="Y1143">
        <f>IF($AH1143="","",INDEX(Calc!$I$2:$I$1601,$AH1143)&amp;" - "&amp;INDEX(Calc!$D$2:$D$1601,$AH1143)&amp;" koli")</f>
        <v/>
      </c>
      <c r="Z1143">
        <f>IF($AG1143="","",Config!$B$21)</f>
        <v/>
      </c>
      <c r="AA1143">
        <f>IF($AG1143="","",Config!$B$22)</f>
        <v/>
      </c>
      <c r="AB1143">
        <f>IF($AH1143="","",INDEX(Calc!$D$2:$D$1601,$AH1143))</f>
        <v/>
      </c>
      <c r="AC1143">
        <f>IF($AH1143="","",INDEX(Calc!$G$2:$G$1601,$AH1143))</f>
        <v/>
      </c>
      <c r="AD1143">
        <f>IF($AG1143="","",Config!$B$23)</f>
        <v/>
      </c>
      <c r="AE1143">
        <f>IF($AG1143="","",Config!$B$28)</f>
        <v/>
      </c>
      <c r="AG1143">
        <f>IFERROR(MATCH(ROW()-1,Calc!$J$2:$J$1601,0),"")</f>
        <v/>
      </c>
      <c r="AH1143">
        <f>IFERROR(MATCH(ROW()-1,Calc!$K$2:$K$1601,0),"")</f>
        <v/>
      </c>
      <c r="AI1143">
        <f>IF($AG1143="","",SUMIF($AG$2:$AG1143,$AG1143,$AH$2:$AH1143))</f>
        <v/>
      </c>
      <c r="AJ1143">
        <f>IF('TMP Paste'!$F1143="","",IF('TMP Paste'!$B1143="",$AJ1142,'TMP Paste'!$B1143))</f>
        <v/>
      </c>
      <c r="AK1143">
        <f>IF('TMP Paste'!$F1143="","",N('TMP Paste'!$G1143))</f>
        <v/>
      </c>
      <c r="AL1143">
        <f>IF('TMP Paste'!$F1143="","",IF('TMP Paste'!$M1143="",$AL1142,'TMP Paste'!$M1143))</f>
        <v/>
      </c>
      <c r="AM1143">
        <f>IF('TMP Paste'!$F1143="","",IF('TMP Paste'!$N1143="",$AM1142,'TMP Paste'!$N1143))</f>
        <v/>
      </c>
      <c r="AN1143">
        <f>IF('TMP Paste'!$F1143="","",IF('TMP Paste'!$O1143="",$AN1142,'TMP Paste'!$O1143))</f>
        <v/>
      </c>
      <c r="AO1143">
        <f>IF('TMP Paste'!$F1143="","",IF('TMP Paste'!$P1143="",$AO1142,'TMP Paste'!$P1143))</f>
        <v/>
      </c>
      <c r="AP1143">
        <f>IF($AG1143="","",LEN($R1143))</f>
        <v/>
      </c>
      <c r="AQ1143">
        <f>IF($AG1143="","",TRIM(IF(COUNTIFS(Calc!$B$2:$B$1601,ROW()-1,Calc!$C$2:$C$1601,"&lt;1")&gt;0,"Ada PO tanpa Koli - cek TMP. ","")&amp;IF(LEN($R1143)&gt;500,"R &gt; 500 karakter.","")))</f>
        <v/>
      </c>
    </row>
    <row r="1144">
      <c r="A1144">
        <f>IF($AG1144="","",INDEX('TMP Paste'!$B$2:$B$1601,$AG1144))</f>
        <v/>
      </c>
      <c r="B1144">
        <f>IF($AG1144="","",Config!$B$14)</f>
        <v/>
      </c>
      <c r="C1144">
        <f>IF($AG1144="","",Config!$B$15)</f>
        <v/>
      </c>
      <c r="D1144">
        <f>IF($AG1144="","",INDEX('TMP Paste'!$B$2:$B$1601,$AG1144))</f>
        <v/>
      </c>
      <c r="E1144">
        <f>IF($AG1144="","",Config!$B$27)</f>
        <v/>
      </c>
      <c r="F1144">
        <f>IF($AG1144="","",Config!$B$9)</f>
        <v/>
      </c>
      <c r="G1144">
        <f>IF($AG1144="","",Config!$B$10)</f>
        <v/>
      </c>
      <c r="H1144">
        <f>IF($AG1144="","",Config!$B$11)</f>
        <v/>
      </c>
      <c r="I1144">
        <f>IF($AG1144="","",Config!$B$16)</f>
        <v/>
      </c>
      <c r="J1144">
        <f>IF($AG1144="","",INDEX('TMP Paste'!$A$2:$A$1601,$AG1144))</f>
        <v/>
      </c>
      <c r="K1144">
        <f>IF($AG1144="","",INDEX('TMP Paste'!$L$2:$L$1601,$AG1144))</f>
        <v/>
      </c>
      <c r="L1144">
        <f>IF($AG1144="","",INDEX('TMP Paste'!$I$2:$I$1601,$AG1144))</f>
        <v/>
      </c>
      <c r="M1144">
        <f>IF($AG1144="","",Config!$B$16)</f>
        <v/>
      </c>
      <c r="N1144">
        <f>IF($AG1144="","","")</f>
        <v/>
      </c>
      <c r="O1144">
        <f>IF($AG1144="","",INDEX('TMP Paste'!$K$2:$K$1601,$AG1144))</f>
        <v/>
      </c>
      <c r="P1144">
        <f>IF($AG1144="","","")</f>
        <v/>
      </c>
      <c r="Q1144">
        <f>IF($AG1144="","",INDEX('TMP Paste'!$J$2:$J$1601,$AG1144))</f>
        <v/>
      </c>
      <c r="R1144">
        <f>IF($AG1144="","",Config!$B$24)</f>
        <v/>
      </c>
      <c r="S1144">
        <f>IF($AG1144="","",TEXT(Config!$B$4,"yyyy-mm-dd"))</f>
        <v/>
      </c>
      <c r="T1144">
        <f>IF($AG1144="","",Config!$B$17)</f>
        <v/>
      </c>
      <c r="U1144">
        <f>IF($AG1144="","",Config!$B$18)</f>
        <v/>
      </c>
      <c r="V1144">
        <f>IF($AG1144="","",Config!$B$19)</f>
        <v/>
      </c>
      <c r="W1144">
        <f>IF($AG1144="","",INDEX('TMP Paste'!$C$2:$C$1601,$AG1144))</f>
        <v/>
      </c>
      <c r="X1144">
        <f>IF($AG1144="","",Config!$B$29)</f>
        <v/>
      </c>
      <c r="Y1144">
        <f>IF($AH1144="","",INDEX(Calc!$I$2:$I$1601,$AH1144)&amp;" - "&amp;INDEX(Calc!$D$2:$D$1601,$AH1144)&amp;" koli")</f>
        <v/>
      </c>
      <c r="Z1144">
        <f>IF($AG1144="","",Config!$B$21)</f>
        <v/>
      </c>
      <c r="AA1144">
        <f>IF($AG1144="","",Config!$B$22)</f>
        <v/>
      </c>
      <c r="AB1144">
        <f>IF($AH1144="","",INDEX(Calc!$D$2:$D$1601,$AH1144))</f>
        <v/>
      </c>
      <c r="AC1144">
        <f>IF($AH1144="","",INDEX(Calc!$G$2:$G$1601,$AH1144))</f>
        <v/>
      </c>
      <c r="AD1144">
        <f>IF($AG1144="","",Config!$B$23)</f>
        <v/>
      </c>
      <c r="AE1144">
        <f>IF($AG1144="","",Config!$B$28)</f>
        <v/>
      </c>
      <c r="AG1144">
        <f>IFERROR(MATCH(ROW()-1,Calc!$J$2:$J$1601,0),"")</f>
        <v/>
      </c>
      <c r="AH1144">
        <f>IFERROR(MATCH(ROW()-1,Calc!$K$2:$K$1601,0),"")</f>
        <v/>
      </c>
      <c r="AI1144">
        <f>IF($AG1144="","",SUMIF($AG$2:$AG1144,$AG1144,$AH$2:$AH1144))</f>
        <v/>
      </c>
      <c r="AJ1144">
        <f>IF('TMP Paste'!$F1144="","",IF('TMP Paste'!$B1144="",$AJ1143,'TMP Paste'!$B1144))</f>
        <v/>
      </c>
      <c r="AK1144">
        <f>IF('TMP Paste'!$F1144="","",N('TMP Paste'!$G1144))</f>
        <v/>
      </c>
      <c r="AL1144">
        <f>IF('TMP Paste'!$F1144="","",IF('TMP Paste'!$M1144="",$AL1143,'TMP Paste'!$M1144))</f>
        <v/>
      </c>
      <c r="AM1144">
        <f>IF('TMP Paste'!$F1144="","",IF('TMP Paste'!$N1144="",$AM1143,'TMP Paste'!$N1144))</f>
        <v/>
      </c>
      <c r="AN1144">
        <f>IF('TMP Paste'!$F1144="","",IF('TMP Paste'!$O1144="",$AN1143,'TMP Paste'!$O1144))</f>
        <v/>
      </c>
      <c r="AO1144">
        <f>IF('TMP Paste'!$F1144="","",IF('TMP Paste'!$P1144="",$AO1143,'TMP Paste'!$P1144))</f>
        <v/>
      </c>
      <c r="AP1144">
        <f>IF($AG1144="","",LEN($R1144))</f>
        <v/>
      </c>
      <c r="AQ1144">
        <f>IF($AG1144="","",TRIM(IF(COUNTIFS(Calc!$B$2:$B$1601,ROW()-1,Calc!$C$2:$C$1601,"&lt;1")&gt;0,"Ada PO tanpa Koli - cek TMP. ","")&amp;IF(LEN($R1144)&gt;500,"R &gt; 500 karakter.","")))</f>
        <v/>
      </c>
    </row>
    <row r="1145">
      <c r="A1145">
        <f>IF($AG1145="","",INDEX('TMP Paste'!$B$2:$B$1601,$AG1145))</f>
        <v/>
      </c>
      <c r="B1145">
        <f>IF($AG1145="","",Config!$B$14)</f>
        <v/>
      </c>
      <c r="C1145">
        <f>IF($AG1145="","",Config!$B$15)</f>
        <v/>
      </c>
      <c r="D1145">
        <f>IF($AG1145="","",INDEX('TMP Paste'!$B$2:$B$1601,$AG1145))</f>
        <v/>
      </c>
      <c r="E1145">
        <f>IF($AG1145="","",Config!$B$27)</f>
        <v/>
      </c>
      <c r="F1145">
        <f>IF($AG1145="","",Config!$B$9)</f>
        <v/>
      </c>
      <c r="G1145">
        <f>IF($AG1145="","",Config!$B$10)</f>
        <v/>
      </c>
      <c r="H1145">
        <f>IF($AG1145="","",Config!$B$11)</f>
        <v/>
      </c>
      <c r="I1145">
        <f>IF($AG1145="","",Config!$B$16)</f>
        <v/>
      </c>
      <c r="J1145">
        <f>IF($AG1145="","",INDEX('TMP Paste'!$A$2:$A$1601,$AG1145))</f>
        <v/>
      </c>
      <c r="K1145">
        <f>IF($AG1145="","",INDEX('TMP Paste'!$L$2:$L$1601,$AG1145))</f>
        <v/>
      </c>
      <c r="L1145">
        <f>IF($AG1145="","",INDEX('TMP Paste'!$I$2:$I$1601,$AG1145))</f>
        <v/>
      </c>
      <c r="M1145">
        <f>IF($AG1145="","",Config!$B$16)</f>
        <v/>
      </c>
      <c r="N1145">
        <f>IF($AG1145="","","")</f>
        <v/>
      </c>
      <c r="O1145">
        <f>IF($AG1145="","",INDEX('TMP Paste'!$K$2:$K$1601,$AG1145))</f>
        <v/>
      </c>
      <c r="P1145">
        <f>IF($AG1145="","","")</f>
        <v/>
      </c>
      <c r="Q1145">
        <f>IF($AG1145="","",INDEX('TMP Paste'!$J$2:$J$1601,$AG1145))</f>
        <v/>
      </c>
      <c r="R1145">
        <f>IF($AG1145="","",Config!$B$24)</f>
        <v/>
      </c>
      <c r="S1145">
        <f>IF($AG1145="","",TEXT(Config!$B$4,"yyyy-mm-dd"))</f>
        <v/>
      </c>
      <c r="T1145">
        <f>IF($AG1145="","",Config!$B$17)</f>
        <v/>
      </c>
      <c r="U1145">
        <f>IF($AG1145="","",Config!$B$18)</f>
        <v/>
      </c>
      <c r="V1145">
        <f>IF($AG1145="","",Config!$B$19)</f>
        <v/>
      </c>
      <c r="W1145">
        <f>IF($AG1145="","",INDEX('TMP Paste'!$C$2:$C$1601,$AG1145))</f>
        <v/>
      </c>
      <c r="X1145">
        <f>IF($AG1145="","",Config!$B$29)</f>
        <v/>
      </c>
      <c r="Y1145">
        <f>IF($AH1145="","",INDEX(Calc!$I$2:$I$1601,$AH1145)&amp;" - "&amp;INDEX(Calc!$D$2:$D$1601,$AH1145)&amp;" koli")</f>
        <v/>
      </c>
      <c r="Z1145">
        <f>IF($AG1145="","",Config!$B$21)</f>
        <v/>
      </c>
      <c r="AA1145">
        <f>IF($AG1145="","",Config!$B$22)</f>
        <v/>
      </c>
      <c r="AB1145">
        <f>IF($AH1145="","",INDEX(Calc!$D$2:$D$1601,$AH1145))</f>
        <v/>
      </c>
      <c r="AC1145">
        <f>IF($AH1145="","",INDEX(Calc!$G$2:$G$1601,$AH1145))</f>
        <v/>
      </c>
      <c r="AD1145">
        <f>IF($AG1145="","",Config!$B$23)</f>
        <v/>
      </c>
      <c r="AE1145">
        <f>IF($AG1145="","",Config!$B$28)</f>
        <v/>
      </c>
      <c r="AG1145">
        <f>IFERROR(MATCH(ROW()-1,Calc!$J$2:$J$1601,0),"")</f>
        <v/>
      </c>
      <c r="AH1145">
        <f>IFERROR(MATCH(ROW()-1,Calc!$K$2:$K$1601,0),"")</f>
        <v/>
      </c>
      <c r="AI1145">
        <f>IF($AG1145="","",SUMIF($AG$2:$AG1145,$AG1145,$AH$2:$AH1145))</f>
        <v/>
      </c>
      <c r="AJ1145">
        <f>IF('TMP Paste'!$F1145="","",IF('TMP Paste'!$B1145="",$AJ1144,'TMP Paste'!$B1145))</f>
        <v/>
      </c>
      <c r="AK1145">
        <f>IF('TMP Paste'!$F1145="","",N('TMP Paste'!$G1145))</f>
        <v/>
      </c>
      <c r="AL1145">
        <f>IF('TMP Paste'!$F1145="","",IF('TMP Paste'!$M1145="",$AL1144,'TMP Paste'!$M1145))</f>
        <v/>
      </c>
      <c r="AM1145">
        <f>IF('TMP Paste'!$F1145="","",IF('TMP Paste'!$N1145="",$AM1144,'TMP Paste'!$N1145))</f>
        <v/>
      </c>
      <c r="AN1145">
        <f>IF('TMP Paste'!$F1145="","",IF('TMP Paste'!$O1145="",$AN1144,'TMP Paste'!$O1145))</f>
        <v/>
      </c>
      <c r="AO1145">
        <f>IF('TMP Paste'!$F1145="","",IF('TMP Paste'!$P1145="",$AO1144,'TMP Paste'!$P1145))</f>
        <v/>
      </c>
      <c r="AP1145">
        <f>IF($AG1145="","",LEN($R1145))</f>
        <v/>
      </c>
      <c r="AQ1145">
        <f>IF($AG1145="","",TRIM(IF(COUNTIFS(Calc!$B$2:$B$1601,ROW()-1,Calc!$C$2:$C$1601,"&lt;1")&gt;0,"Ada PO tanpa Koli - cek TMP. ","")&amp;IF(LEN($R1145)&gt;500,"R &gt; 500 karakter.","")))</f>
        <v/>
      </c>
    </row>
    <row r="1146">
      <c r="A1146">
        <f>IF($AG1146="","",INDEX('TMP Paste'!$B$2:$B$1601,$AG1146))</f>
        <v/>
      </c>
      <c r="B1146">
        <f>IF($AG1146="","",Config!$B$14)</f>
        <v/>
      </c>
      <c r="C1146">
        <f>IF($AG1146="","",Config!$B$15)</f>
        <v/>
      </c>
      <c r="D1146">
        <f>IF($AG1146="","",INDEX('TMP Paste'!$B$2:$B$1601,$AG1146))</f>
        <v/>
      </c>
      <c r="E1146">
        <f>IF($AG1146="","",Config!$B$27)</f>
        <v/>
      </c>
      <c r="F1146">
        <f>IF($AG1146="","",Config!$B$9)</f>
        <v/>
      </c>
      <c r="G1146">
        <f>IF($AG1146="","",Config!$B$10)</f>
        <v/>
      </c>
      <c r="H1146">
        <f>IF($AG1146="","",Config!$B$11)</f>
        <v/>
      </c>
      <c r="I1146">
        <f>IF($AG1146="","",Config!$B$16)</f>
        <v/>
      </c>
      <c r="J1146">
        <f>IF($AG1146="","",INDEX('TMP Paste'!$A$2:$A$1601,$AG1146))</f>
        <v/>
      </c>
      <c r="K1146">
        <f>IF($AG1146="","",INDEX('TMP Paste'!$L$2:$L$1601,$AG1146))</f>
        <v/>
      </c>
      <c r="L1146">
        <f>IF($AG1146="","",INDEX('TMP Paste'!$I$2:$I$1601,$AG1146))</f>
        <v/>
      </c>
      <c r="M1146">
        <f>IF($AG1146="","",Config!$B$16)</f>
        <v/>
      </c>
      <c r="N1146">
        <f>IF($AG1146="","","")</f>
        <v/>
      </c>
      <c r="O1146">
        <f>IF($AG1146="","",INDEX('TMP Paste'!$K$2:$K$1601,$AG1146))</f>
        <v/>
      </c>
      <c r="P1146">
        <f>IF($AG1146="","","")</f>
        <v/>
      </c>
      <c r="Q1146">
        <f>IF($AG1146="","",INDEX('TMP Paste'!$J$2:$J$1601,$AG1146))</f>
        <v/>
      </c>
      <c r="R1146">
        <f>IF($AG1146="","",Config!$B$24)</f>
        <v/>
      </c>
      <c r="S1146">
        <f>IF($AG1146="","",TEXT(Config!$B$4,"yyyy-mm-dd"))</f>
        <v/>
      </c>
      <c r="T1146">
        <f>IF($AG1146="","",Config!$B$17)</f>
        <v/>
      </c>
      <c r="U1146">
        <f>IF($AG1146="","",Config!$B$18)</f>
        <v/>
      </c>
      <c r="V1146">
        <f>IF($AG1146="","",Config!$B$19)</f>
        <v/>
      </c>
      <c r="W1146">
        <f>IF($AG1146="","",INDEX('TMP Paste'!$C$2:$C$1601,$AG1146))</f>
        <v/>
      </c>
      <c r="X1146">
        <f>IF($AG1146="","",Config!$B$29)</f>
        <v/>
      </c>
      <c r="Y1146">
        <f>IF($AH1146="","",INDEX(Calc!$I$2:$I$1601,$AH1146)&amp;" - "&amp;INDEX(Calc!$D$2:$D$1601,$AH1146)&amp;" koli")</f>
        <v/>
      </c>
      <c r="Z1146">
        <f>IF($AG1146="","",Config!$B$21)</f>
        <v/>
      </c>
      <c r="AA1146">
        <f>IF($AG1146="","",Config!$B$22)</f>
        <v/>
      </c>
      <c r="AB1146">
        <f>IF($AH1146="","",INDEX(Calc!$D$2:$D$1601,$AH1146))</f>
        <v/>
      </c>
      <c r="AC1146">
        <f>IF($AH1146="","",INDEX(Calc!$G$2:$G$1601,$AH1146))</f>
        <v/>
      </c>
      <c r="AD1146">
        <f>IF($AG1146="","",Config!$B$23)</f>
        <v/>
      </c>
      <c r="AE1146">
        <f>IF($AG1146="","",Config!$B$28)</f>
        <v/>
      </c>
      <c r="AG1146">
        <f>IFERROR(MATCH(ROW()-1,Calc!$J$2:$J$1601,0),"")</f>
        <v/>
      </c>
      <c r="AH1146">
        <f>IFERROR(MATCH(ROW()-1,Calc!$K$2:$K$1601,0),"")</f>
        <v/>
      </c>
      <c r="AI1146">
        <f>IF($AG1146="","",SUMIF($AG$2:$AG1146,$AG1146,$AH$2:$AH1146))</f>
        <v/>
      </c>
      <c r="AJ1146">
        <f>IF('TMP Paste'!$F1146="","",IF('TMP Paste'!$B1146="",$AJ1145,'TMP Paste'!$B1146))</f>
        <v/>
      </c>
      <c r="AK1146">
        <f>IF('TMP Paste'!$F1146="","",N('TMP Paste'!$G1146))</f>
        <v/>
      </c>
      <c r="AL1146">
        <f>IF('TMP Paste'!$F1146="","",IF('TMP Paste'!$M1146="",$AL1145,'TMP Paste'!$M1146))</f>
        <v/>
      </c>
      <c r="AM1146">
        <f>IF('TMP Paste'!$F1146="","",IF('TMP Paste'!$N1146="",$AM1145,'TMP Paste'!$N1146))</f>
        <v/>
      </c>
      <c r="AN1146">
        <f>IF('TMP Paste'!$F1146="","",IF('TMP Paste'!$O1146="",$AN1145,'TMP Paste'!$O1146))</f>
        <v/>
      </c>
      <c r="AO1146">
        <f>IF('TMP Paste'!$F1146="","",IF('TMP Paste'!$P1146="",$AO1145,'TMP Paste'!$P1146))</f>
        <v/>
      </c>
      <c r="AP1146">
        <f>IF($AG1146="","",LEN($R1146))</f>
        <v/>
      </c>
      <c r="AQ1146">
        <f>IF($AG1146="","",TRIM(IF(COUNTIFS(Calc!$B$2:$B$1601,ROW()-1,Calc!$C$2:$C$1601,"&lt;1")&gt;0,"Ada PO tanpa Koli - cek TMP. ","")&amp;IF(LEN($R1146)&gt;500,"R &gt; 500 karakter.","")))</f>
        <v/>
      </c>
    </row>
    <row r="1147">
      <c r="A1147">
        <f>IF($AG1147="","",INDEX('TMP Paste'!$B$2:$B$1601,$AG1147))</f>
        <v/>
      </c>
      <c r="B1147">
        <f>IF($AG1147="","",Config!$B$14)</f>
        <v/>
      </c>
      <c r="C1147">
        <f>IF($AG1147="","",Config!$B$15)</f>
        <v/>
      </c>
      <c r="D1147">
        <f>IF($AG1147="","",INDEX('TMP Paste'!$B$2:$B$1601,$AG1147))</f>
        <v/>
      </c>
      <c r="E1147">
        <f>IF($AG1147="","",Config!$B$27)</f>
        <v/>
      </c>
      <c r="F1147">
        <f>IF($AG1147="","",Config!$B$9)</f>
        <v/>
      </c>
      <c r="G1147">
        <f>IF($AG1147="","",Config!$B$10)</f>
        <v/>
      </c>
      <c r="H1147">
        <f>IF($AG1147="","",Config!$B$11)</f>
        <v/>
      </c>
      <c r="I1147">
        <f>IF($AG1147="","",Config!$B$16)</f>
        <v/>
      </c>
      <c r="J1147">
        <f>IF($AG1147="","",INDEX('TMP Paste'!$A$2:$A$1601,$AG1147))</f>
        <v/>
      </c>
      <c r="K1147">
        <f>IF($AG1147="","",INDEX('TMP Paste'!$L$2:$L$1601,$AG1147))</f>
        <v/>
      </c>
      <c r="L1147">
        <f>IF($AG1147="","",INDEX('TMP Paste'!$I$2:$I$1601,$AG1147))</f>
        <v/>
      </c>
      <c r="M1147">
        <f>IF($AG1147="","",Config!$B$16)</f>
        <v/>
      </c>
      <c r="N1147">
        <f>IF($AG1147="","","")</f>
        <v/>
      </c>
      <c r="O1147">
        <f>IF($AG1147="","",INDEX('TMP Paste'!$K$2:$K$1601,$AG1147))</f>
        <v/>
      </c>
      <c r="P1147">
        <f>IF($AG1147="","","")</f>
        <v/>
      </c>
      <c r="Q1147">
        <f>IF($AG1147="","",INDEX('TMP Paste'!$J$2:$J$1601,$AG1147))</f>
        <v/>
      </c>
      <c r="R1147">
        <f>IF($AG1147="","",Config!$B$24)</f>
        <v/>
      </c>
      <c r="S1147">
        <f>IF($AG1147="","",TEXT(Config!$B$4,"yyyy-mm-dd"))</f>
        <v/>
      </c>
      <c r="T1147">
        <f>IF($AG1147="","",Config!$B$17)</f>
        <v/>
      </c>
      <c r="U1147">
        <f>IF($AG1147="","",Config!$B$18)</f>
        <v/>
      </c>
      <c r="V1147">
        <f>IF($AG1147="","",Config!$B$19)</f>
        <v/>
      </c>
      <c r="W1147">
        <f>IF($AG1147="","",INDEX('TMP Paste'!$C$2:$C$1601,$AG1147))</f>
        <v/>
      </c>
      <c r="X1147">
        <f>IF($AG1147="","",Config!$B$29)</f>
        <v/>
      </c>
      <c r="Y1147">
        <f>IF($AH1147="","",INDEX(Calc!$I$2:$I$1601,$AH1147)&amp;" - "&amp;INDEX(Calc!$D$2:$D$1601,$AH1147)&amp;" koli")</f>
        <v/>
      </c>
      <c r="Z1147">
        <f>IF($AG1147="","",Config!$B$21)</f>
        <v/>
      </c>
      <c r="AA1147">
        <f>IF($AG1147="","",Config!$B$22)</f>
        <v/>
      </c>
      <c r="AB1147">
        <f>IF($AH1147="","",INDEX(Calc!$D$2:$D$1601,$AH1147))</f>
        <v/>
      </c>
      <c r="AC1147">
        <f>IF($AH1147="","",INDEX(Calc!$G$2:$G$1601,$AH1147))</f>
        <v/>
      </c>
      <c r="AD1147">
        <f>IF($AG1147="","",Config!$B$23)</f>
        <v/>
      </c>
      <c r="AE1147">
        <f>IF($AG1147="","",Config!$B$28)</f>
        <v/>
      </c>
      <c r="AG1147">
        <f>IFERROR(MATCH(ROW()-1,Calc!$J$2:$J$1601,0),"")</f>
        <v/>
      </c>
      <c r="AH1147">
        <f>IFERROR(MATCH(ROW()-1,Calc!$K$2:$K$1601,0),"")</f>
        <v/>
      </c>
      <c r="AI1147">
        <f>IF($AG1147="","",SUMIF($AG$2:$AG1147,$AG1147,$AH$2:$AH1147))</f>
        <v/>
      </c>
      <c r="AJ1147">
        <f>IF('TMP Paste'!$F1147="","",IF('TMP Paste'!$B1147="",$AJ1146,'TMP Paste'!$B1147))</f>
        <v/>
      </c>
      <c r="AK1147">
        <f>IF('TMP Paste'!$F1147="","",N('TMP Paste'!$G1147))</f>
        <v/>
      </c>
      <c r="AL1147">
        <f>IF('TMP Paste'!$F1147="","",IF('TMP Paste'!$M1147="",$AL1146,'TMP Paste'!$M1147))</f>
        <v/>
      </c>
      <c r="AM1147">
        <f>IF('TMP Paste'!$F1147="","",IF('TMP Paste'!$N1147="",$AM1146,'TMP Paste'!$N1147))</f>
        <v/>
      </c>
      <c r="AN1147">
        <f>IF('TMP Paste'!$F1147="","",IF('TMP Paste'!$O1147="",$AN1146,'TMP Paste'!$O1147))</f>
        <v/>
      </c>
      <c r="AO1147">
        <f>IF('TMP Paste'!$F1147="","",IF('TMP Paste'!$P1147="",$AO1146,'TMP Paste'!$P1147))</f>
        <v/>
      </c>
      <c r="AP1147">
        <f>IF($AG1147="","",LEN($R1147))</f>
        <v/>
      </c>
      <c r="AQ1147">
        <f>IF($AG1147="","",TRIM(IF(COUNTIFS(Calc!$B$2:$B$1601,ROW()-1,Calc!$C$2:$C$1601,"&lt;1")&gt;0,"Ada PO tanpa Koli - cek TMP. ","")&amp;IF(LEN($R1147)&gt;500,"R &gt; 500 karakter.","")))</f>
        <v/>
      </c>
    </row>
    <row r="1148">
      <c r="A1148">
        <f>IF($AG1148="","",INDEX('TMP Paste'!$B$2:$B$1601,$AG1148))</f>
        <v/>
      </c>
      <c r="B1148">
        <f>IF($AG1148="","",Config!$B$14)</f>
        <v/>
      </c>
      <c r="C1148">
        <f>IF($AG1148="","",Config!$B$15)</f>
        <v/>
      </c>
      <c r="D1148">
        <f>IF($AG1148="","",INDEX('TMP Paste'!$B$2:$B$1601,$AG1148))</f>
        <v/>
      </c>
      <c r="E1148">
        <f>IF($AG1148="","",Config!$B$27)</f>
        <v/>
      </c>
      <c r="F1148">
        <f>IF($AG1148="","",Config!$B$9)</f>
        <v/>
      </c>
      <c r="G1148">
        <f>IF($AG1148="","",Config!$B$10)</f>
        <v/>
      </c>
      <c r="H1148">
        <f>IF($AG1148="","",Config!$B$11)</f>
        <v/>
      </c>
      <c r="I1148">
        <f>IF($AG1148="","",Config!$B$16)</f>
        <v/>
      </c>
      <c r="J1148">
        <f>IF($AG1148="","",INDEX('TMP Paste'!$A$2:$A$1601,$AG1148))</f>
        <v/>
      </c>
      <c r="K1148">
        <f>IF($AG1148="","",INDEX('TMP Paste'!$L$2:$L$1601,$AG1148))</f>
        <v/>
      </c>
      <c r="L1148">
        <f>IF($AG1148="","",INDEX('TMP Paste'!$I$2:$I$1601,$AG1148))</f>
        <v/>
      </c>
      <c r="M1148">
        <f>IF($AG1148="","",Config!$B$16)</f>
        <v/>
      </c>
      <c r="N1148">
        <f>IF($AG1148="","","")</f>
        <v/>
      </c>
      <c r="O1148">
        <f>IF($AG1148="","",INDEX('TMP Paste'!$K$2:$K$1601,$AG1148))</f>
        <v/>
      </c>
      <c r="P1148">
        <f>IF($AG1148="","","")</f>
        <v/>
      </c>
      <c r="Q1148">
        <f>IF($AG1148="","",INDEX('TMP Paste'!$J$2:$J$1601,$AG1148))</f>
        <v/>
      </c>
      <c r="R1148">
        <f>IF($AG1148="","",Config!$B$24)</f>
        <v/>
      </c>
      <c r="S1148">
        <f>IF($AG1148="","",TEXT(Config!$B$4,"yyyy-mm-dd"))</f>
        <v/>
      </c>
      <c r="T1148">
        <f>IF($AG1148="","",Config!$B$17)</f>
        <v/>
      </c>
      <c r="U1148">
        <f>IF($AG1148="","",Config!$B$18)</f>
        <v/>
      </c>
      <c r="V1148">
        <f>IF($AG1148="","",Config!$B$19)</f>
        <v/>
      </c>
      <c r="W1148">
        <f>IF($AG1148="","",INDEX('TMP Paste'!$C$2:$C$1601,$AG1148))</f>
        <v/>
      </c>
      <c r="X1148">
        <f>IF($AG1148="","",Config!$B$29)</f>
        <v/>
      </c>
      <c r="Y1148">
        <f>IF($AH1148="","",INDEX(Calc!$I$2:$I$1601,$AH1148)&amp;" - "&amp;INDEX(Calc!$D$2:$D$1601,$AH1148)&amp;" koli")</f>
        <v/>
      </c>
      <c r="Z1148">
        <f>IF($AG1148="","",Config!$B$21)</f>
        <v/>
      </c>
      <c r="AA1148">
        <f>IF($AG1148="","",Config!$B$22)</f>
        <v/>
      </c>
      <c r="AB1148">
        <f>IF($AH1148="","",INDEX(Calc!$D$2:$D$1601,$AH1148))</f>
        <v/>
      </c>
      <c r="AC1148">
        <f>IF($AH1148="","",INDEX(Calc!$G$2:$G$1601,$AH1148))</f>
        <v/>
      </c>
      <c r="AD1148">
        <f>IF($AG1148="","",Config!$B$23)</f>
        <v/>
      </c>
      <c r="AE1148">
        <f>IF($AG1148="","",Config!$B$28)</f>
        <v/>
      </c>
      <c r="AG1148">
        <f>IFERROR(MATCH(ROW()-1,Calc!$J$2:$J$1601,0),"")</f>
        <v/>
      </c>
      <c r="AH1148">
        <f>IFERROR(MATCH(ROW()-1,Calc!$K$2:$K$1601,0),"")</f>
        <v/>
      </c>
      <c r="AI1148">
        <f>IF($AG1148="","",SUMIF($AG$2:$AG1148,$AG1148,$AH$2:$AH1148))</f>
        <v/>
      </c>
      <c r="AJ1148">
        <f>IF('TMP Paste'!$F1148="","",IF('TMP Paste'!$B1148="",$AJ1147,'TMP Paste'!$B1148))</f>
        <v/>
      </c>
      <c r="AK1148">
        <f>IF('TMP Paste'!$F1148="","",N('TMP Paste'!$G1148))</f>
        <v/>
      </c>
      <c r="AL1148">
        <f>IF('TMP Paste'!$F1148="","",IF('TMP Paste'!$M1148="",$AL1147,'TMP Paste'!$M1148))</f>
        <v/>
      </c>
      <c r="AM1148">
        <f>IF('TMP Paste'!$F1148="","",IF('TMP Paste'!$N1148="",$AM1147,'TMP Paste'!$N1148))</f>
        <v/>
      </c>
      <c r="AN1148">
        <f>IF('TMP Paste'!$F1148="","",IF('TMP Paste'!$O1148="",$AN1147,'TMP Paste'!$O1148))</f>
        <v/>
      </c>
      <c r="AO1148">
        <f>IF('TMP Paste'!$F1148="","",IF('TMP Paste'!$P1148="",$AO1147,'TMP Paste'!$P1148))</f>
        <v/>
      </c>
      <c r="AP1148">
        <f>IF($AG1148="","",LEN($R1148))</f>
        <v/>
      </c>
      <c r="AQ1148">
        <f>IF($AG1148="","",TRIM(IF(COUNTIFS(Calc!$B$2:$B$1601,ROW()-1,Calc!$C$2:$C$1601,"&lt;1")&gt;0,"Ada PO tanpa Koli - cek TMP. ","")&amp;IF(LEN($R1148)&gt;500,"R &gt; 500 karakter.","")))</f>
        <v/>
      </c>
    </row>
    <row r="1149">
      <c r="A1149">
        <f>IF($AG1149="","",INDEX('TMP Paste'!$B$2:$B$1601,$AG1149))</f>
        <v/>
      </c>
      <c r="B1149">
        <f>IF($AG1149="","",Config!$B$14)</f>
        <v/>
      </c>
      <c r="C1149">
        <f>IF($AG1149="","",Config!$B$15)</f>
        <v/>
      </c>
      <c r="D1149">
        <f>IF($AG1149="","",INDEX('TMP Paste'!$B$2:$B$1601,$AG1149))</f>
        <v/>
      </c>
      <c r="E1149">
        <f>IF($AG1149="","",Config!$B$27)</f>
        <v/>
      </c>
      <c r="F1149">
        <f>IF($AG1149="","",Config!$B$9)</f>
        <v/>
      </c>
      <c r="G1149">
        <f>IF($AG1149="","",Config!$B$10)</f>
        <v/>
      </c>
      <c r="H1149">
        <f>IF($AG1149="","",Config!$B$11)</f>
        <v/>
      </c>
      <c r="I1149">
        <f>IF($AG1149="","",Config!$B$16)</f>
        <v/>
      </c>
      <c r="J1149">
        <f>IF($AG1149="","",INDEX('TMP Paste'!$A$2:$A$1601,$AG1149))</f>
        <v/>
      </c>
      <c r="K1149">
        <f>IF($AG1149="","",INDEX('TMP Paste'!$L$2:$L$1601,$AG1149))</f>
        <v/>
      </c>
      <c r="L1149">
        <f>IF($AG1149="","",INDEX('TMP Paste'!$I$2:$I$1601,$AG1149))</f>
        <v/>
      </c>
      <c r="M1149">
        <f>IF($AG1149="","",Config!$B$16)</f>
        <v/>
      </c>
      <c r="N1149">
        <f>IF($AG1149="","","")</f>
        <v/>
      </c>
      <c r="O1149">
        <f>IF($AG1149="","",INDEX('TMP Paste'!$K$2:$K$1601,$AG1149))</f>
        <v/>
      </c>
      <c r="P1149">
        <f>IF($AG1149="","","")</f>
        <v/>
      </c>
      <c r="Q1149">
        <f>IF($AG1149="","",INDEX('TMP Paste'!$J$2:$J$1601,$AG1149))</f>
        <v/>
      </c>
      <c r="R1149">
        <f>IF($AG1149="","",Config!$B$24)</f>
        <v/>
      </c>
      <c r="S1149">
        <f>IF($AG1149="","",TEXT(Config!$B$4,"yyyy-mm-dd"))</f>
        <v/>
      </c>
      <c r="T1149">
        <f>IF($AG1149="","",Config!$B$17)</f>
        <v/>
      </c>
      <c r="U1149">
        <f>IF($AG1149="","",Config!$B$18)</f>
        <v/>
      </c>
      <c r="V1149">
        <f>IF($AG1149="","",Config!$B$19)</f>
        <v/>
      </c>
      <c r="W1149">
        <f>IF($AG1149="","",INDEX('TMP Paste'!$C$2:$C$1601,$AG1149))</f>
        <v/>
      </c>
      <c r="X1149">
        <f>IF($AG1149="","",Config!$B$29)</f>
        <v/>
      </c>
      <c r="Y1149">
        <f>IF($AH1149="","",INDEX(Calc!$I$2:$I$1601,$AH1149)&amp;" - "&amp;INDEX(Calc!$D$2:$D$1601,$AH1149)&amp;" koli")</f>
        <v/>
      </c>
      <c r="Z1149">
        <f>IF($AG1149="","",Config!$B$21)</f>
        <v/>
      </c>
      <c r="AA1149">
        <f>IF($AG1149="","",Config!$B$22)</f>
        <v/>
      </c>
      <c r="AB1149">
        <f>IF($AH1149="","",INDEX(Calc!$D$2:$D$1601,$AH1149))</f>
        <v/>
      </c>
      <c r="AC1149">
        <f>IF($AH1149="","",INDEX(Calc!$G$2:$G$1601,$AH1149))</f>
        <v/>
      </c>
      <c r="AD1149">
        <f>IF($AG1149="","",Config!$B$23)</f>
        <v/>
      </c>
      <c r="AE1149">
        <f>IF($AG1149="","",Config!$B$28)</f>
        <v/>
      </c>
      <c r="AG1149">
        <f>IFERROR(MATCH(ROW()-1,Calc!$J$2:$J$1601,0),"")</f>
        <v/>
      </c>
      <c r="AH1149">
        <f>IFERROR(MATCH(ROW()-1,Calc!$K$2:$K$1601,0),"")</f>
        <v/>
      </c>
      <c r="AI1149">
        <f>IF($AG1149="","",SUMIF($AG$2:$AG1149,$AG1149,$AH$2:$AH1149))</f>
        <v/>
      </c>
      <c r="AJ1149">
        <f>IF('TMP Paste'!$F1149="","",IF('TMP Paste'!$B1149="",$AJ1148,'TMP Paste'!$B1149))</f>
        <v/>
      </c>
      <c r="AK1149">
        <f>IF('TMP Paste'!$F1149="","",N('TMP Paste'!$G1149))</f>
        <v/>
      </c>
      <c r="AL1149">
        <f>IF('TMP Paste'!$F1149="","",IF('TMP Paste'!$M1149="",$AL1148,'TMP Paste'!$M1149))</f>
        <v/>
      </c>
      <c r="AM1149">
        <f>IF('TMP Paste'!$F1149="","",IF('TMP Paste'!$N1149="",$AM1148,'TMP Paste'!$N1149))</f>
        <v/>
      </c>
      <c r="AN1149">
        <f>IF('TMP Paste'!$F1149="","",IF('TMP Paste'!$O1149="",$AN1148,'TMP Paste'!$O1149))</f>
        <v/>
      </c>
      <c r="AO1149">
        <f>IF('TMP Paste'!$F1149="","",IF('TMP Paste'!$P1149="",$AO1148,'TMP Paste'!$P1149))</f>
        <v/>
      </c>
      <c r="AP1149">
        <f>IF($AG1149="","",LEN($R1149))</f>
        <v/>
      </c>
      <c r="AQ1149">
        <f>IF($AG1149="","",TRIM(IF(COUNTIFS(Calc!$B$2:$B$1601,ROW()-1,Calc!$C$2:$C$1601,"&lt;1")&gt;0,"Ada PO tanpa Koli - cek TMP. ","")&amp;IF(LEN($R1149)&gt;500,"R &gt; 500 karakter.","")))</f>
        <v/>
      </c>
    </row>
    <row r="1150">
      <c r="A1150">
        <f>IF($AG1150="","",INDEX('TMP Paste'!$B$2:$B$1601,$AG1150))</f>
        <v/>
      </c>
      <c r="B1150">
        <f>IF($AG1150="","",Config!$B$14)</f>
        <v/>
      </c>
      <c r="C1150">
        <f>IF($AG1150="","",Config!$B$15)</f>
        <v/>
      </c>
      <c r="D1150">
        <f>IF($AG1150="","",INDEX('TMP Paste'!$B$2:$B$1601,$AG1150))</f>
        <v/>
      </c>
      <c r="E1150">
        <f>IF($AG1150="","",Config!$B$27)</f>
        <v/>
      </c>
      <c r="F1150">
        <f>IF($AG1150="","",Config!$B$9)</f>
        <v/>
      </c>
      <c r="G1150">
        <f>IF($AG1150="","",Config!$B$10)</f>
        <v/>
      </c>
      <c r="H1150">
        <f>IF($AG1150="","",Config!$B$11)</f>
        <v/>
      </c>
      <c r="I1150">
        <f>IF($AG1150="","",Config!$B$16)</f>
        <v/>
      </c>
      <c r="J1150">
        <f>IF($AG1150="","",INDEX('TMP Paste'!$A$2:$A$1601,$AG1150))</f>
        <v/>
      </c>
      <c r="K1150">
        <f>IF($AG1150="","",INDEX('TMP Paste'!$L$2:$L$1601,$AG1150))</f>
        <v/>
      </c>
      <c r="L1150">
        <f>IF($AG1150="","",INDEX('TMP Paste'!$I$2:$I$1601,$AG1150))</f>
        <v/>
      </c>
      <c r="M1150">
        <f>IF($AG1150="","",Config!$B$16)</f>
        <v/>
      </c>
      <c r="N1150">
        <f>IF($AG1150="","","")</f>
        <v/>
      </c>
      <c r="O1150">
        <f>IF($AG1150="","",INDEX('TMP Paste'!$K$2:$K$1601,$AG1150))</f>
        <v/>
      </c>
      <c r="P1150">
        <f>IF($AG1150="","","")</f>
        <v/>
      </c>
      <c r="Q1150">
        <f>IF($AG1150="","",INDEX('TMP Paste'!$J$2:$J$1601,$AG1150))</f>
        <v/>
      </c>
      <c r="R1150">
        <f>IF($AG1150="","",Config!$B$24)</f>
        <v/>
      </c>
      <c r="S1150">
        <f>IF($AG1150="","",TEXT(Config!$B$4,"yyyy-mm-dd"))</f>
        <v/>
      </c>
      <c r="T1150">
        <f>IF($AG1150="","",Config!$B$17)</f>
        <v/>
      </c>
      <c r="U1150">
        <f>IF($AG1150="","",Config!$B$18)</f>
        <v/>
      </c>
      <c r="V1150">
        <f>IF($AG1150="","",Config!$B$19)</f>
        <v/>
      </c>
      <c r="W1150">
        <f>IF($AG1150="","",INDEX('TMP Paste'!$C$2:$C$1601,$AG1150))</f>
        <v/>
      </c>
      <c r="X1150">
        <f>IF($AG1150="","",Config!$B$29)</f>
        <v/>
      </c>
      <c r="Y1150">
        <f>IF($AH1150="","",INDEX(Calc!$I$2:$I$1601,$AH1150)&amp;" - "&amp;INDEX(Calc!$D$2:$D$1601,$AH1150)&amp;" koli")</f>
        <v/>
      </c>
      <c r="Z1150">
        <f>IF($AG1150="","",Config!$B$21)</f>
        <v/>
      </c>
      <c r="AA1150">
        <f>IF($AG1150="","",Config!$B$22)</f>
        <v/>
      </c>
      <c r="AB1150">
        <f>IF($AH1150="","",INDEX(Calc!$D$2:$D$1601,$AH1150))</f>
        <v/>
      </c>
      <c r="AC1150">
        <f>IF($AH1150="","",INDEX(Calc!$G$2:$G$1601,$AH1150))</f>
        <v/>
      </c>
      <c r="AD1150">
        <f>IF($AG1150="","",Config!$B$23)</f>
        <v/>
      </c>
      <c r="AE1150">
        <f>IF($AG1150="","",Config!$B$28)</f>
        <v/>
      </c>
      <c r="AG1150">
        <f>IFERROR(MATCH(ROW()-1,Calc!$J$2:$J$1601,0),"")</f>
        <v/>
      </c>
      <c r="AH1150">
        <f>IFERROR(MATCH(ROW()-1,Calc!$K$2:$K$1601,0),"")</f>
        <v/>
      </c>
      <c r="AI1150">
        <f>IF($AG1150="","",SUMIF($AG$2:$AG1150,$AG1150,$AH$2:$AH1150))</f>
        <v/>
      </c>
      <c r="AJ1150">
        <f>IF('TMP Paste'!$F1150="","",IF('TMP Paste'!$B1150="",$AJ1149,'TMP Paste'!$B1150))</f>
        <v/>
      </c>
      <c r="AK1150">
        <f>IF('TMP Paste'!$F1150="","",N('TMP Paste'!$G1150))</f>
        <v/>
      </c>
      <c r="AL1150">
        <f>IF('TMP Paste'!$F1150="","",IF('TMP Paste'!$M1150="",$AL1149,'TMP Paste'!$M1150))</f>
        <v/>
      </c>
      <c r="AM1150">
        <f>IF('TMP Paste'!$F1150="","",IF('TMP Paste'!$N1150="",$AM1149,'TMP Paste'!$N1150))</f>
        <v/>
      </c>
      <c r="AN1150">
        <f>IF('TMP Paste'!$F1150="","",IF('TMP Paste'!$O1150="",$AN1149,'TMP Paste'!$O1150))</f>
        <v/>
      </c>
      <c r="AO1150">
        <f>IF('TMP Paste'!$F1150="","",IF('TMP Paste'!$P1150="",$AO1149,'TMP Paste'!$P1150))</f>
        <v/>
      </c>
      <c r="AP1150">
        <f>IF($AG1150="","",LEN($R1150))</f>
        <v/>
      </c>
      <c r="AQ1150">
        <f>IF($AG1150="","",TRIM(IF(COUNTIFS(Calc!$B$2:$B$1601,ROW()-1,Calc!$C$2:$C$1601,"&lt;1")&gt;0,"Ada PO tanpa Koli - cek TMP. ","")&amp;IF(LEN($R1150)&gt;500,"R &gt; 500 karakter.","")))</f>
        <v/>
      </c>
    </row>
    <row r="1151">
      <c r="A1151">
        <f>IF($AG1151="","",INDEX('TMP Paste'!$B$2:$B$1601,$AG1151))</f>
        <v/>
      </c>
      <c r="B1151">
        <f>IF($AG1151="","",Config!$B$14)</f>
        <v/>
      </c>
      <c r="C1151">
        <f>IF($AG1151="","",Config!$B$15)</f>
        <v/>
      </c>
      <c r="D1151">
        <f>IF($AG1151="","",INDEX('TMP Paste'!$B$2:$B$1601,$AG1151))</f>
        <v/>
      </c>
      <c r="E1151">
        <f>IF($AG1151="","",Config!$B$27)</f>
        <v/>
      </c>
      <c r="F1151">
        <f>IF($AG1151="","",Config!$B$9)</f>
        <v/>
      </c>
      <c r="G1151">
        <f>IF($AG1151="","",Config!$B$10)</f>
        <v/>
      </c>
      <c r="H1151">
        <f>IF($AG1151="","",Config!$B$11)</f>
        <v/>
      </c>
      <c r="I1151">
        <f>IF($AG1151="","",Config!$B$16)</f>
        <v/>
      </c>
      <c r="J1151">
        <f>IF($AG1151="","",INDEX('TMP Paste'!$A$2:$A$1601,$AG1151))</f>
        <v/>
      </c>
      <c r="K1151">
        <f>IF($AG1151="","",INDEX('TMP Paste'!$L$2:$L$1601,$AG1151))</f>
        <v/>
      </c>
      <c r="L1151">
        <f>IF($AG1151="","",INDEX('TMP Paste'!$I$2:$I$1601,$AG1151))</f>
        <v/>
      </c>
      <c r="M1151">
        <f>IF($AG1151="","",Config!$B$16)</f>
        <v/>
      </c>
      <c r="N1151">
        <f>IF($AG1151="","","")</f>
        <v/>
      </c>
      <c r="O1151">
        <f>IF($AG1151="","",INDEX('TMP Paste'!$K$2:$K$1601,$AG1151))</f>
        <v/>
      </c>
      <c r="P1151">
        <f>IF($AG1151="","","")</f>
        <v/>
      </c>
      <c r="Q1151">
        <f>IF($AG1151="","",INDEX('TMP Paste'!$J$2:$J$1601,$AG1151))</f>
        <v/>
      </c>
      <c r="R1151">
        <f>IF($AG1151="","",Config!$B$24)</f>
        <v/>
      </c>
      <c r="S1151">
        <f>IF($AG1151="","",TEXT(Config!$B$4,"yyyy-mm-dd"))</f>
        <v/>
      </c>
      <c r="T1151">
        <f>IF($AG1151="","",Config!$B$17)</f>
        <v/>
      </c>
      <c r="U1151">
        <f>IF($AG1151="","",Config!$B$18)</f>
        <v/>
      </c>
      <c r="V1151">
        <f>IF($AG1151="","",Config!$B$19)</f>
        <v/>
      </c>
      <c r="W1151">
        <f>IF($AG1151="","",INDEX('TMP Paste'!$C$2:$C$1601,$AG1151))</f>
        <v/>
      </c>
      <c r="X1151">
        <f>IF($AG1151="","",Config!$B$29)</f>
        <v/>
      </c>
      <c r="Y1151">
        <f>IF($AH1151="","",INDEX(Calc!$I$2:$I$1601,$AH1151)&amp;" - "&amp;INDEX(Calc!$D$2:$D$1601,$AH1151)&amp;" koli")</f>
        <v/>
      </c>
      <c r="Z1151">
        <f>IF($AG1151="","",Config!$B$21)</f>
        <v/>
      </c>
      <c r="AA1151">
        <f>IF($AG1151="","",Config!$B$22)</f>
        <v/>
      </c>
      <c r="AB1151">
        <f>IF($AH1151="","",INDEX(Calc!$D$2:$D$1601,$AH1151))</f>
        <v/>
      </c>
      <c r="AC1151">
        <f>IF($AH1151="","",INDEX(Calc!$G$2:$G$1601,$AH1151))</f>
        <v/>
      </c>
      <c r="AD1151">
        <f>IF($AG1151="","",Config!$B$23)</f>
        <v/>
      </c>
      <c r="AE1151">
        <f>IF($AG1151="","",Config!$B$28)</f>
        <v/>
      </c>
      <c r="AG1151">
        <f>IFERROR(MATCH(ROW()-1,Calc!$J$2:$J$1601,0),"")</f>
        <v/>
      </c>
      <c r="AH1151">
        <f>IFERROR(MATCH(ROW()-1,Calc!$K$2:$K$1601,0),"")</f>
        <v/>
      </c>
      <c r="AI1151">
        <f>IF($AG1151="","",SUMIF($AG$2:$AG1151,$AG1151,$AH$2:$AH1151))</f>
        <v/>
      </c>
      <c r="AJ1151">
        <f>IF('TMP Paste'!$F1151="","",IF('TMP Paste'!$B1151="",$AJ1150,'TMP Paste'!$B1151))</f>
        <v/>
      </c>
      <c r="AK1151">
        <f>IF('TMP Paste'!$F1151="","",N('TMP Paste'!$G1151))</f>
        <v/>
      </c>
      <c r="AL1151">
        <f>IF('TMP Paste'!$F1151="","",IF('TMP Paste'!$M1151="",$AL1150,'TMP Paste'!$M1151))</f>
        <v/>
      </c>
      <c r="AM1151">
        <f>IF('TMP Paste'!$F1151="","",IF('TMP Paste'!$N1151="",$AM1150,'TMP Paste'!$N1151))</f>
        <v/>
      </c>
      <c r="AN1151">
        <f>IF('TMP Paste'!$F1151="","",IF('TMP Paste'!$O1151="",$AN1150,'TMP Paste'!$O1151))</f>
        <v/>
      </c>
      <c r="AO1151">
        <f>IF('TMP Paste'!$F1151="","",IF('TMP Paste'!$P1151="",$AO1150,'TMP Paste'!$P1151))</f>
        <v/>
      </c>
      <c r="AP1151">
        <f>IF($AG1151="","",LEN($R1151))</f>
        <v/>
      </c>
      <c r="AQ1151">
        <f>IF($AG1151="","",TRIM(IF(COUNTIFS(Calc!$B$2:$B$1601,ROW()-1,Calc!$C$2:$C$1601,"&lt;1")&gt;0,"Ada PO tanpa Koli - cek TMP. ","")&amp;IF(LEN($R1151)&gt;500,"R &gt; 500 karakter.","")))</f>
        <v/>
      </c>
    </row>
    <row r="1152">
      <c r="A1152">
        <f>IF($AG1152="","",INDEX('TMP Paste'!$B$2:$B$1601,$AG1152))</f>
        <v/>
      </c>
      <c r="B1152">
        <f>IF($AG1152="","",Config!$B$14)</f>
        <v/>
      </c>
      <c r="C1152">
        <f>IF($AG1152="","",Config!$B$15)</f>
        <v/>
      </c>
      <c r="D1152">
        <f>IF($AG1152="","",INDEX('TMP Paste'!$B$2:$B$1601,$AG1152))</f>
        <v/>
      </c>
      <c r="E1152">
        <f>IF($AG1152="","",Config!$B$27)</f>
        <v/>
      </c>
      <c r="F1152">
        <f>IF($AG1152="","",Config!$B$9)</f>
        <v/>
      </c>
      <c r="G1152">
        <f>IF($AG1152="","",Config!$B$10)</f>
        <v/>
      </c>
      <c r="H1152">
        <f>IF($AG1152="","",Config!$B$11)</f>
        <v/>
      </c>
      <c r="I1152">
        <f>IF($AG1152="","",Config!$B$16)</f>
        <v/>
      </c>
      <c r="J1152">
        <f>IF($AG1152="","",INDEX('TMP Paste'!$A$2:$A$1601,$AG1152))</f>
        <v/>
      </c>
      <c r="K1152">
        <f>IF($AG1152="","",INDEX('TMP Paste'!$L$2:$L$1601,$AG1152))</f>
        <v/>
      </c>
      <c r="L1152">
        <f>IF($AG1152="","",INDEX('TMP Paste'!$I$2:$I$1601,$AG1152))</f>
        <v/>
      </c>
      <c r="M1152">
        <f>IF($AG1152="","",Config!$B$16)</f>
        <v/>
      </c>
      <c r="N1152">
        <f>IF($AG1152="","","")</f>
        <v/>
      </c>
      <c r="O1152">
        <f>IF($AG1152="","",INDEX('TMP Paste'!$K$2:$K$1601,$AG1152))</f>
        <v/>
      </c>
      <c r="P1152">
        <f>IF($AG1152="","","")</f>
        <v/>
      </c>
      <c r="Q1152">
        <f>IF($AG1152="","",INDEX('TMP Paste'!$J$2:$J$1601,$AG1152))</f>
        <v/>
      </c>
      <c r="R1152">
        <f>IF($AG1152="","",Config!$B$24)</f>
        <v/>
      </c>
      <c r="S1152">
        <f>IF($AG1152="","",TEXT(Config!$B$4,"yyyy-mm-dd"))</f>
        <v/>
      </c>
      <c r="T1152">
        <f>IF($AG1152="","",Config!$B$17)</f>
        <v/>
      </c>
      <c r="U1152">
        <f>IF($AG1152="","",Config!$B$18)</f>
        <v/>
      </c>
      <c r="V1152">
        <f>IF($AG1152="","",Config!$B$19)</f>
        <v/>
      </c>
      <c r="W1152">
        <f>IF($AG1152="","",INDEX('TMP Paste'!$C$2:$C$1601,$AG1152))</f>
        <v/>
      </c>
      <c r="X1152">
        <f>IF($AG1152="","",Config!$B$29)</f>
        <v/>
      </c>
      <c r="Y1152">
        <f>IF($AH1152="","",INDEX(Calc!$I$2:$I$1601,$AH1152)&amp;" - "&amp;INDEX(Calc!$D$2:$D$1601,$AH1152)&amp;" koli")</f>
        <v/>
      </c>
      <c r="Z1152">
        <f>IF($AG1152="","",Config!$B$21)</f>
        <v/>
      </c>
      <c r="AA1152">
        <f>IF($AG1152="","",Config!$B$22)</f>
        <v/>
      </c>
      <c r="AB1152">
        <f>IF($AH1152="","",INDEX(Calc!$D$2:$D$1601,$AH1152))</f>
        <v/>
      </c>
      <c r="AC1152">
        <f>IF($AH1152="","",INDEX(Calc!$G$2:$G$1601,$AH1152))</f>
        <v/>
      </c>
      <c r="AD1152">
        <f>IF($AG1152="","",Config!$B$23)</f>
        <v/>
      </c>
      <c r="AE1152">
        <f>IF($AG1152="","",Config!$B$28)</f>
        <v/>
      </c>
      <c r="AG1152">
        <f>IFERROR(MATCH(ROW()-1,Calc!$J$2:$J$1601,0),"")</f>
        <v/>
      </c>
      <c r="AH1152">
        <f>IFERROR(MATCH(ROW()-1,Calc!$K$2:$K$1601,0),"")</f>
        <v/>
      </c>
      <c r="AI1152">
        <f>IF($AG1152="","",SUMIF($AG$2:$AG1152,$AG1152,$AH$2:$AH1152))</f>
        <v/>
      </c>
      <c r="AJ1152">
        <f>IF('TMP Paste'!$F1152="","",IF('TMP Paste'!$B1152="",$AJ1151,'TMP Paste'!$B1152))</f>
        <v/>
      </c>
      <c r="AK1152">
        <f>IF('TMP Paste'!$F1152="","",N('TMP Paste'!$G1152))</f>
        <v/>
      </c>
      <c r="AL1152">
        <f>IF('TMP Paste'!$F1152="","",IF('TMP Paste'!$M1152="",$AL1151,'TMP Paste'!$M1152))</f>
        <v/>
      </c>
      <c r="AM1152">
        <f>IF('TMP Paste'!$F1152="","",IF('TMP Paste'!$N1152="",$AM1151,'TMP Paste'!$N1152))</f>
        <v/>
      </c>
      <c r="AN1152">
        <f>IF('TMP Paste'!$F1152="","",IF('TMP Paste'!$O1152="",$AN1151,'TMP Paste'!$O1152))</f>
        <v/>
      </c>
      <c r="AO1152">
        <f>IF('TMP Paste'!$F1152="","",IF('TMP Paste'!$P1152="",$AO1151,'TMP Paste'!$P1152))</f>
        <v/>
      </c>
      <c r="AP1152">
        <f>IF($AG1152="","",LEN($R1152))</f>
        <v/>
      </c>
      <c r="AQ1152">
        <f>IF($AG1152="","",TRIM(IF(COUNTIFS(Calc!$B$2:$B$1601,ROW()-1,Calc!$C$2:$C$1601,"&lt;1")&gt;0,"Ada PO tanpa Koli - cek TMP. ","")&amp;IF(LEN($R1152)&gt;500,"R &gt; 500 karakter.","")))</f>
        <v/>
      </c>
    </row>
    <row r="1153">
      <c r="A1153">
        <f>IF($AG1153="","",INDEX('TMP Paste'!$B$2:$B$1601,$AG1153))</f>
        <v/>
      </c>
      <c r="B1153">
        <f>IF($AG1153="","",Config!$B$14)</f>
        <v/>
      </c>
      <c r="C1153">
        <f>IF($AG1153="","",Config!$B$15)</f>
        <v/>
      </c>
      <c r="D1153">
        <f>IF($AG1153="","",INDEX('TMP Paste'!$B$2:$B$1601,$AG1153))</f>
        <v/>
      </c>
      <c r="E1153">
        <f>IF($AG1153="","",Config!$B$27)</f>
        <v/>
      </c>
      <c r="F1153">
        <f>IF($AG1153="","",Config!$B$9)</f>
        <v/>
      </c>
      <c r="G1153">
        <f>IF($AG1153="","",Config!$B$10)</f>
        <v/>
      </c>
      <c r="H1153">
        <f>IF($AG1153="","",Config!$B$11)</f>
        <v/>
      </c>
      <c r="I1153">
        <f>IF($AG1153="","",Config!$B$16)</f>
        <v/>
      </c>
      <c r="J1153">
        <f>IF($AG1153="","",INDEX('TMP Paste'!$A$2:$A$1601,$AG1153))</f>
        <v/>
      </c>
      <c r="K1153">
        <f>IF($AG1153="","",INDEX('TMP Paste'!$L$2:$L$1601,$AG1153))</f>
        <v/>
      </c>
      <c r="L1153">
        <f>IF($AG1153="","",INDEX('TMP Paste'!$I$2:$I$1601,$AG1153))</f>
        <v/>
      </c>
      <c r="M1153">
        <f>IF($AG1153="","",Config!$B$16)</f>
        <v/>
      </c>
      <c r="N1153">
        <f>IF($AG1153="","","")</f>
        <v/>
      </c>
      <c r="O1153">
        <f>IF($AG1153="","",INDEX('TMP Paste'!$K$2:$K$1601,$AG1153))</f>
        <v/>
      </c>
      <c r="P1153">
        <f>IF($AG1153="","","")</f>
        <v/>
      </c>
      <c r="Q1153">
        <f>IF($AG1153="","",INDEX('TMP Paste'!$J$2:$J$1601,$AG1153))</f>
        <v/>
      </c>
      <c r="R1153">
        <f>IF($AG1153="","",Config!$B$24)</f>
        <v/>
      </c>
      <c r="S1153">
        <f>IF($AG1153="","",TEXT(Config!$B$4,"yyyy-mm-dd"))</f>
        <v/>
      </c>
      <c r="T1153">
        <f>IF($AG1153="","",Config!$B$17)</f>
        <v/>
      </c>
      <c r="U1153">
        <f>IF($AG1153="","",Config!$B$18)</f>
        <v/>
      </c>
      <c r="V1153">
        <f>IF($AG1153="","",Config!$B$19)</f>
        <v/>
      </c>
      <c r="W1153">
        <f>IF($AG1153="","",INDEX('TMP Paste'!$C$2:$C$1601,$AG1153))</f>
        <v/>
      </c>
      <c r="X1153">
        <f>IF($AG1153="","",Config!$B$29)</f>
        <v/>
      </c>
      <c r="Y1153">
        <f>IF($AH1153="","",INDEX(Calc!$I$2:$I$1601,$AH1153)&amp;" - "&amp;INDEX(Calc!$D$2:$D$1601,$AH1153)&amp;" koli")</f>
        <v/>
      </c>
      <c r="Z1153">
        <f>IF($AG1153="","",Config!$B$21)</f>
        <v/>
      </c>
      <c r="AA1153">
        <f>IF($AG1153="","",Config!$B$22)</f>
        <v/>
      </c>
      <c r="AB1153">
        <f>IF($AH1153="","",INDEX(Calc!$D$2:$D$1601,$AH1153))</f>
        <v/>
      </c>
      <c r="AC1153">
        <f>IF($AH1153="","",INDEX(Calc!$G$2:$G$1601,$AH1153))</f>
        <v/>
      </c>
      <c r="AD1153">
        <f>IF($AG1153="","",Config!$B$23)</f>
        <v/>
      </c>
      <c r="AE1153">
        <f>IF($AG1153="","",Config!$B$28)</f>
        <v/>
      </c>
      <c r="AG1153">
        <f>IFERROR(MATCH(ROW()-1,Calc!$J$2:$J$1601,0),"")</f>
        <v/>
      </c>
      <c r="AH1153">
        <f>IFERROR(MATCH(ROW()-1,Calc!$K$2:$K$1601,0),"")</f>
        <v/>
      </c>
      <c r="AI1153">
        <f>IF($AG1153="","",SUMIF($AG$2:$AG1153,$AG1153,$AH$2:$AH1153))</f>
        <v/>
      </c>
      <c r="AJ1153">
        <f>IF('TMP Paste'!$F1153="","",IF('TMP Paste'!$B1153="",$AJ1152,'TMP Paste'!$B1153))</f>
        <v/>
      </c>
      <c r="AK1153">
        <f>IF('TMP Paste'!$F1153="","",N('TMP Paste'!$G1153))</f>
        <v/>
      </c>
      <c r="AL1153">
        <f>IF('TMP Paste'!$F1153="","",IF('TMP Paste'!$M1153="",$AL1152,'TMP Paste'!$M1153))</f>
        <v/>
      </c>
      <c r="AM1153">
        <f>IF('TMP Paste'!$F1153="","",IF('TMP Paste'!$N1153="",$AM1152,'TMP Paste'!$N1153))</f>
        <v/>
      </c>
      <c r="AN1153">
        <f>IF('TMP Paste'!$F1153="","",IF('TMP Paste'!$O1153="",$AN1152,'TMP Paste'!$O1153))</f>
        <v/>
      </c>
      <c r="AO1153">
        <f>IF('TMP Paste'!$F1153="","",IF('TMP Paste'!$P1153="",$AO1152,'TMP Paste'!$P1153))</f>
        <v/>
      </c>
      <c r="AP1153">
        <f>IF($AG1153="","",LEN($R1153))</f>
        <v/>
      </c>
      <c r="AQ1153">
        <f>IF($AG1153="","",TRIM(IF(COUNTIFS(Calc!$B$2:$B$1601,ROW()-1,Calc!$C$2:$C$1601,"&lt;1")&gt;0,"Ada PO tanpa Koli - cek TMP. ","")&amp;IF(LEN($R1153)&gt;500,"R &gt; 500 karakter.","")))</f>
        <v/>
      </c>
    </row>
    <row r="1154">
      <c r="A1154">
        <f>IF($AG1154="","",INDEX('TMP Paste'!$B$2:$B$1601,$AG1154))</f>
        <v/>
      </c>
      <c r="B1154">
        <f>IF($AG1154="","",Config!$B$14)</f>
        <v/>
      </c>
      <c r="C1154">
        <f>IF($AG1154="","",Config!$B$15)</f>
        <v/>
      </c>
      <c r="D1154">
        <f>IF($AG1154="","",INDEX('TMP Paste'!$B$2:$B$1601,$AG1154))</f>
        <v/>
      </c>
      <c r="E1154">
        <f>IF($AG1154="","",Config!$B$27)</f>
        <v/>
      </c>
      <c r="F1154">
        <f>IF($AG1154="","",Config!$B$9)</f>
        <v/>
      </c>
      <c r="G1154">
        <f>IF($AG1154="","",Config!$B$10)</f>
        <v/>
      </c>
      <c r="H1154">
        <f>IF($AG1154="","",Config!$B$11)</f>
        <v/>
      </c>
      <c r="I1154">
        <f>IF($AG1154="","",Config!$B$16)</f>
        <v/>
      </c>
      <c r="J1154">
        <f>IF($AG1154="","",INDEX('TMP Paste'!$A$2:$A$1601,$AG1154))</f>
        <v/>
      </c>
      <c r="K1154">
        <f>IF($AG1154="","",INDEX('TMP Paste'!$L$2:$L$1601,$AG1154))</f>
        <v/>
      </c>
      <c r="L1154">
        <f>IF($AG1154="","",INDEX('TMP Paste'!$I$2:$I$1601,$AG1154))</f>
        <v/>
      </c>
      <c r="M1154">
        <f>IF($AG1154="","",Config!$B$16)</f>
        <v/>
      </c>
      <c r="N1154">
        <f>IF($AG1154="","","")</f>
        <v/>
      </c>
      <c r="O1154">
        <f>IF($AG1154="","",INDEX('TMP Paste'!$K$2:$K$1601,$AG1154))</f>
        <v/>
      </c>
      <c r="P1154">
        <f>IF($AG1154="","","")</f>
        <v/>
      </c>
      <c r="Q1154">
        <f>IF($AG1154="","",INDEX('TMP Paste'!$J$2:$J$1601,$AG1154))</f>
        <v/>
      </c>
      <c r="R1154">
        <f>IF($AG1154="","",Config!$B$24)</f>
        <v/>
      </c>
      <c r="S1154">
        <f>IF($AG1154="","",TEXT(Config!$B$4,"yyyy-mm-dd"))</f>
        <v/>
      </c>
      <c r="T1154">
        <f>IF($AG1154="","",Config!$B$17)</f>
        <v/>
      </c>
      <c r="U1154">
        <f>IF($AG1154="","",Config!$B$18)</f>
        <v/>
      </c>
      <c r="V1154">
        <f>IF($AG1154="","",Config!$B$19)</f>
        <v/>
      </c>
      <c r="W1154">
        <f>IF($AG1154="","",INDEX('TMP Paste'!$C$2:$C$1601,$AG1154))</f>
        <v/>
      </c>
      <c r="X1154">
        <f>IF($AG1154="","",Config!$B$29)</f>
        <v/>
      </c>
      <c r="Y1154">
        <f>IF($AH1154="","",INDEX(Calc!$I$2:$I$1601,$AH1154)&amp;" - "&amp;INDEX(Calc!$D$2:$D$1601,$AH1154)&amp;" koli")</f>
        <v/>
      </c>
      <c r="Z1154">
        <f>IF($AG1154="","",Config!$B$21)</f>
        <v/>
      </c>
      <c r="AA1154">
        <f>IF($AG1154="","",Config!$B$22)</f>
        <v/>
      </c>
      <c r="AB1154">
        <f>IF($AH1154="","",INDEX(Calc!$D$2:$D$1601,$AH1154))</f>
        <v/>
      </c>
      <c r="AC1154">
        <f>IF($AH1154="","",INDEX(Calc!$G$2:$G$1601,$AH1154))</f>
        <v/>
      </c>
      <c r="AD1154">
        <f>IF($AG1154="","",Config!$B$23)</f>
        <v/>
      </c>
      <c r="AE1154">
        <f>IF($AG1154="","",Config!$B$28)</f>
        <v/>
      </c>
      <c r="AG1154">
        <f>IFERROR(MATCH(ROW()-1,Calc!$J$2:$J$1601,0),"")</f>
        <v/>
      </c>
      <c r="AH1154">
        <f>IFERROR(MATCH(ROW()-1,Calc!$K$2:$K$1601,0),"")</f>
        <v/>
      </c>
      <c r="AI1154">
        <f>IF($AG1154="","",SUMIF($AG$2:$AG1154,$AG1154,$AH$2:$AH1154))</f>
        <v/>
      </c>
      <c r="AJ1154">
        <f>IF('TMP Paste'!$F1154="","",IF('TMP Paste'!$B1154="",$AJ1153,'TMP Paste'!$B1154))</f>
        <v/>
      </c>
      <c r="AK1154">
        <f>IF('TMP Paste'!$F1154="","",N('TMP Paste'!$G1154))</f>
        <v/>
      </c>
      <c r="AL1154">
        <f>IF('TMP Paste'!$F1154="","",IF('TMP Paste'!$M1154="",$AL1153,'TMP Paste'!$M1154))</f>
        <v/>
      </c>
      <c r="AM1154">
        <f>IF('TMP Paste'!$F1154="","",IF('TMP Paste'!$N1154="",$AM1153,'TMP Paste'!$N1154))</f>
        <v/>
      </c>
      <c r="AN1154">
        <f>IF('TMP Paste'!$F1154="","",IF('TMP Paste'!$O1154="",$AN1153,'TMP Paste'!$O1154))</f>
        <v/>
      </c>
      <c r="AO1154">
        <f>IF('TMP Paste'!$F1154="","",IF('TMP Paste'!$P1154="",$AO1153,'TMP Paste'!$P1154))</f>
        <v/>
      </c>
      <c r="AP1154">
        <f>IF($AG1154="","",LEN($R1154))</f>
        <v/>
      </c>
      <c r="AQ1154">
        <f>IF($AG1154="","",TRIM(IF(COUNTIFS(Calc!$B$2:$B$1601,ROW()-1,Calc!$C$2:$C$1601,"&lt;1")&gt;0,"Ada PO tanpa Koli - cek TMP. ","")&amp;IF(LEN($R1154)&gt;500,"R &gt; 500 karakter.","")))</f>
        <v/>
      </c>
    </row>
    <row r="1155">
      <c r="A1155">
        <f>IF($AG1155="","",INDEX('TMP Paste'!$B$2:$B$1601,$AG1155))</f>
        <v/>
      </c>
      <c r="B1155">
        <f>IF($AG1155="","",Config!$B$14)</f>
        <v/>
      </c>
      <c r="C1155">
        <f>IF($AG1155="","",Config!$B$15)</f>
        <v/>
      </c>
      <c r="D1155">
        <f>IF($AG1155="","",INDEX('TMP Paste'!$B$2:$B$1601,$AG1155))</f>
        <v/>
      </c>
      <c r="E1155">
        <f>IF($AG1155="","",Config!$B$27)</f>
        <v/>
      </c>
      <c r="F1155">
        <f>IF($AG1155="","",Config!$B$9)</f>
        <v/>
      </c>
      <c r="G1155">
        <f>IF($AG1155="","",Config!$B$10)</f>
        <v/>
      </c>
      <c r="H1155">
        <f>IF($AG1155="","",Config!$B$11)</f>
        <v/>
      </c>
      <c r="I1155">
        <f>IF($AG1155="","",Config!$B$16)</f>
        <v/>
      </c>
      <c r="J1155">
        <f>IF($AG1155="","",INDEX('TMP Paste'!$A$2:$A$1601,$AG1155))</f>
        <v/>
      </c>
      <c r="K1155">
        <f>IF($AG1155="","",INDEX('TMP Paste'!$L$2:$L$1601,$AG1155))</f>
        <v/>
      </c>
      <c r="L1155">
        <f>IF($AG1155="","",INDEX('TMP Paste'!$I$2:$I$1601,$AG1155))</f>
        <v/>
      </c>
      <c r="M1155">
        <f>IF($AG1155="","",Config!$B$16)</f>
        <v/>
      </c>
      <c r="N1155">
        <f>IF($AG1155="","","")</f>
        <v/>
      </c>
      <c r="O1155">
        <f>IF($AG1155="","",INDEX('TMP Paste'!$K$2:$K$1601,$AG1155))</f>
        <v/>
      </c>
      <c r="P1155">
        <f>IF($AG1155="","","")</f>
        <v/>
      </c>
      <c r="Q1155">
        <f>IF($AG1155="","",INDEX('TMP Paste'!$J$2:$J$1601,$AG1155))</f>
        <v/>
      </c>
      <c r="R1155">
        <f>IF($AG1155="","",Config!$B$24)</f>
        <v/>
      </c>
      <c r="S1155">
        <f>IF($AG1155="","",TEXT(Config!$B$4,"yyyy-mm-dd"))</f>
        <v/>
      </c>
      <c r="T1155">
        <f>IF($AG1155="","",Config!$B$17)</f>
        <v/>
      </c>
      <c r="U1155">
        <f>IF($AG1155="","",Config!$B$18)</f>
        <v/>
      </c>
      <c r="V1155">
        <f>IF($AG1155="","",Config!$B$19)</f>
        <v/>
      </c>
      <c r="W1155">
        <f>IF($AG1155="","",INDEX('TMP Paste'!$C$2:$C$1601,$AG1155))</f>
        <v/>
      </c>
      <c r="X1155">
        <f>IF($AG1155="","",Config!$B$29)</f>
        <v/>
      </c>
      <c r="Y1155">
        <f>IF($AH1155="","",INDEX(Calc!$I$2:$I$1601,$AH1155)&amp;" - "&amp;INDEX(Calc!$D$2:$D$1601,$AH1155)&amp;" koli")</f>
        <v/>
      </c>
      <c r="Z1155">
        <f>IF($AG1155="","",Config!$B$21)</f>
        <v/>
      </c>
      <c r="AA1155">
        <f>IF($AG1155="","",Config!$B$22)</f>
        <v/>
      </c>
      <c r="AB1155">
        <f>IF($AH1155="","",INDEX(Calc!$D$2:$D$1601,$AH1155))</f>
        <v/>
      </c>
      <c r="AC1155">
        <f>IF($AH1155="","",INDEX(Calc!$G$2:$G$1601,$AH1155))</f>
        <v/>
      </c>
      <c r="AD1155">
        <f>IF($AG1155="","",Config!$B$23)</f>
        <v/>
      </c>
      <c r="AE1155">
        <f>IF($AG1155="","",Config!$B$28)</f>
        <v/>
      </c>
      <c r="AG1155">
        <f>IFERROR(MATCH(ROW()-1,Calc!$J$2:$J$1601,0),"")</f>
        <v/>
      </c>
      <c r="AH1155">
        <f>IFERROR(MATCH(ROW()-1,Calc!$K$2:$K$1601,0),"")</f>
        <v/>
      </c>
      <c r="AI1155">
        <f>IF($AG1155="","",SUMIF($AG$2:$AG1155,$AG1155,$AH$2:$AH1155))</f>
        <v/>
      </c>
      <c r="AJ1155">
        <f>IF('TMP Paste'!$F1155="","",IF('TMP Paste'!$B1155="",$AJ1154,'TMP Paste'!$B1155))</f>
        <v/>
      </c>
      <c r="AK1155">
        <f>IF('TMP Paste'!$F1155="","",N('TMP Paste'!$G1155))</f>
        <v/>
      </c>
      <c r="AL1155">
        <f>IF('TMP Paste'!$F1155="","",IF('TMP Paste'!$M1155="",$AL1154,'TMP Paste'!$M1155))</f>
        <v/>
      </c>
      <c r="AM1155">
        <f>IF('TMP Paste'!$F1155="","",IF('TMP Paste'!$N1155="",$AM1154,'TMP Paste'!$N1155))</f>
        <v/>
      </c>
      <c r="AN1155">
        <f>IF('TMP Paste'!$F1155="","",IF('TMP Paste'!$O1155="",$AN1154,'TMP Paste'!$O1155))</f>
        <v/>
      </c>
      <c r="AO1155">
        <f>IF('TMP Paste'!$F1155="","",IF('TMP Paste'!$P1155="",$AO1154,'TMP Paste'!$P1155))</f>
        <v/>
      </c>
      <c r="AP1155">
        <f>IF($AG1155="","",LEN($R1155))</f>
        <v/>
      </c>
      <c r="AQ1155">
        <f>IF($AG1155="","",TRIM(IF(COUNTIFS(Calc!$B$2:$B$1601,ROW()-1,Calc!$C$2:$C$1601,"&lt;1")&gt;0,"Ada PO tanpa Koli - cek TMP. ","")&amp;IF(LEN($R1155)&gt;500,"R &gt; 500 karakter.","")))</f>
        <v/>
      </c>
    </row>
    <row r="1156">
      <c r="A1156">
        <f>IF($AG1156="","",INDEX('TMP Paste'!$B$2:$B$1601,$AG1156))</f>
        <v/>
      </c>
      <c r="B1156">
        <f>IF($AG1156="","",Config!$B$14)</f>
        <v/>
      </c>
      <c r="C1156">
        <f>IF($AG1156="","",Config!$B$15)</f>
        <v/>
      </c>
      <c r="D1156">
        <f>IF($AG1156="","",INDEX('TMP Paste'!$B$2:$B$1601,$AG1156))</f>
        <v/>
      </c>
      <c r="E1156">
        <f>IF($AG1156="","",Config!$B$27)</f>
        <v/>
      </c>
      <c r="F1156">
        <f>IF($AG1156="","",Config!$B$9)</f>
        <v/>
      </c>
      <c r="G1156">
        <f>IF($AG1156="","",Config!$B$10)</f>
        <v/>
      </c>
      <c r="H1156">
        <f>IF($AG1156="","",Config!$B$11)</f>
        <v/>
      </c>
      <c r="I1156">
        <f>IF($AG1156="","",Config!$B$16)</f>
        <v/>
      </c>
      <c r="J1156">
        <f>IF($AG1156="","",INDEX('TMP Paste'!$A$2:$A$1601,$AG1156))</f>
        <v/>
      </c>
      <c r="K1156">
        <f>IF($AG1156="","",INDEX('TMP Paste'!$L$2:$L$1601,$AG1156))</f>
        <v/>
      </c>
      <c r="L1156">
        <f>IF($AG1156="","",INDEX('TMP Paste'!$I$2:$I$1601,$AG1156))</f>
        <v/>
      </c>
      <c r="M1156">
        <f>IF($AG1156="","",Config!$B$16)</f>
        <v/>
      </c>
      <c r="N1156">
        <f>IF($AG1156="","","")</f>
        <v/>
      </c>
      <c r="O1156">
        <f>IF($AG1156="","",INDEX('TMP Paste'!$K$2:$K$1601,$AG1156))</f>
        <v/>
      </c>
      <c r="P1156">
        <f>IF($AG1156="","","")</f>
        <v/>
      </c>
      <c r="Q1156">
        <f>IF($AG1156="","",INDEX('TMP Paste'!$J$2:$J$1601,$AG1156))</f>
        <v/>
      </c>
      <c r="R1156">
        <f>IF($AG1156="","",Config!$B$24)</f>
        <v/>
      </c>
      <c r="S1156">
        <f>IF($AG1156="","",TEXT(Config!$B$4,"yyyy-mm-dd"))</f>
        <v/>
      </c>
      <c r="T1156">
        <f>IF($AG1156="","",Config!$B$17)</f>
        <v/>
      </c>
      <c r="U1156">
        <f>IF($AG1156="","",Config!$B$18)</f>
        <v/>
      </c>
      <c r="V1156">
        <f>IF($AG1156="","",Config!$B$19)</f>
        <v/>
      </c>
      <c r="W1156">
        <f>IF($AG1156="","",INDEX('TMP Paste'!$C$2:$C$1601,$AG1156))</f>
        <v/>
      </c>
      <c r="X1156">
        <f>IF($AG1156="","",Config!$B$29)</f>
        <v/>
      </c>
      <c r="Y1156">
        <f>IF($AH1156="","",INDEX(Calc!$I$2:$I$1601,$AH1156)&amp;" - "&amp;INDEX(Calc!$D$2:$D$1601,$AH1156)&amp;" koli")</f>
        <v/>
      </c>
      <c r="Z1156">
        <f>IF($AG1156="","",Config!$B$21)</f>
        <v/>
      </c>
      <c r="AA1156">
        <f>IF($AG1156="","",Config!$B$22)</f>
        <v/>
      </c>
      <c r="AB1156">
        <f>IF($AH1156="","",INDEX(Calc!$D$2:$D$1601,$AH1156))</f>
        <v/>
      </c>
      <c r="AC1156">
        <f>IF($AH1156="","",INDEX(Calc!$G$2:$G$1601,$AH1156))</f>
        <v/>
      </c>
      <c r="AD1156">
        <f>IF($AG1156="","",Config!$B$23)</f>
        <v/>
      </c>
      <c r="AE1156">
        <f>IF($AG1156="","",Config!$B$28)</f>
        <v/>
      </c>
      <c r="AG1156">
        <f>IFERROR(MATCH(ROW()-1,Calc!$J$2:$J$1601,0),"")</f>
        <v/>
      </c>
      <c r="AH1156">
        <f>IFERROR(MATCH(ROW()-1,Calc!$K$2:$K$1601,0),"")</f>
        <v/>
      </c>
      <c r="AI1156">
        <f>IF($AG1156="","",SUMIF($AG$2:$AG1156,$AG1156,$AH$2:$AH1156))</f>
        <v/>
      </c>
      <c r="AJ1156">
        <f>IF('TMP Paste'!$F1156="","",IF('TMP Paste'!$B1156="",$AJ1155,'TMP Paste'!$B1156))</f>
        <v/>
      </c>
      <c r="AK1156">
        <f>IF('TMP Paste'!$F1156="","",N('TMP Paste'!$G1156))</f>
        <v/>
      </c>
      <c r="AL1156">
        <f>IF('TMP Paste'!$F1156="","",IF('TMP Paste'!$M1156="",$AL1155,'TMP Paste'!$M1156))</f>
        <v/>
      </c>
      <c r="AM1156">
        <f>IF('TMP Paste'!$F1156="","",IF('TMP Paste'!$N1156="",$AM1155,'TMP Paste'!$N1156))</f>
        <v/>
      </c>
      <c r="AN1156">
        <f>IF('TMP Paste'!$F1156="","",IF('TMP Paste'!$O1156="",$AN1155,'TMP Paste'!$O1156))</f>
        <v/>
      </c>
      <c r="AO1156">
        <f>IF('TMP Paste'!$F1156="","",IF('TMP Paste'!$P1156="",$AO1155,'TMP Paste'!$P1156))</f>
        <v/>
      </c>
      <c r="AP1156">
        <f>IF($AG1156="","",LEN($R1156))</f>
        <v/>
      </c>
      <c r="AQ1156">
        <f>IF($AG1156="","",TRIM(IF(COUNTIFS(Calc!$B$2:$B$1601,ROW()-1,Calc!$C$2:$C$1601,"&lt;1")&gt;0,"Ada PO tanpa Koli - cek TMP. ","")&amp;IF(LEN($R1156)&gt;500,"R &gt; 500 karakter.","")))</f>
        <v/>
      </c>
    </row>
    <row r="1157">
      <c r="A1157">
        <f>IF($AG1157="","",INDEX('TMP Paste'!$B$2:$B$1601,$AG1157))</f>
        <v/>
      </c>
      <c r="B1157">
        <f>IF($AG1157="","",Config!$B$14)</f>
        <v/>
      </c>
      <c r="C1157">
        <f>IF($AG1157="","",Config!$B$15)</f>
        <v/>
      </c>
      <c r="D1157">
        <f>IF($AG1157="","",INDEX('TMP Paste'!$B$2:$B$1601,$AG1157))</f>
        <v/>
      </c>
      <c r="E1157">
        <f>IF($AG1157="","",Config!$B$27)</f>
        <v/>
      </c>
      <c r="F1157">
        <f>IF($AG1157="","",Config!$B$9)</f>
        <v/>
      </c>
      <c r="G1157">
        <f>IF($AG1157="","",Config!$B$10)</f>
        <v/>
      </c>
      <c r="H1157">
        <f>IF($AG1157="","",Config!$B$11)</f>
        <v/>
      </c>
      <c r="I1157">
        <f>IF($AG1157="","",Config!$B$16)</f>
        <v/>
      </c>
      <c r="J1157">
        <f>IF($AG1157="","",INDEX('TMP Paste'!$A$2:$A$1601,$AG1157))</f>
        <v/>
      </c>
      <c r="K1157">
        <f>IF($AG1157="","",INDEX('TMP Paste'!$L$2:$L$1601,$AG1157))</f>
        <v/>
      </c>
      <c r="L1157">
        <f>IF($AG1157="","",INDEX('TMP Paste'!$I$2:$I$1601,$AG1157))</f>
        <v/>
      </c>
      <c r="M1157">
        <f>IF($AG1157="","",Config!$B$16)</f>
        <v/>
      </c>
      <c r="N1157">
        <f>IF($AG1157="","","")</f>
        <v/>
      </c>
      <c r="O1157">
        <f>IF($AG1157="","",INDEX('TMP Paste'!$K$2:$K$1601,$AG1157))</f>
        <v/>
      </c>
      <c r="P1157">
        <f>IF($AG1157="","","")</f>
        <v/>
      </c>
      <c r="Q1157">
        <f>IF($AG1157="","",INDEX('TMP Paste'!$J$2:$J$1601,$AG1157))</f>
        <v/>
      </c>
      <c r="R1157">
        <f>IF($AG1157="","",Config!$B$24)</f>
        <v/>
      </c>
      <c r="S1157">
        <f>IF($AG1157="","",TEXT(Config!$B$4,"yyyy-mm-dd"))</f>
        <v/>
      </c>
      <c r="T1157">
        <f>IF($AG1157="","",Config!$B$17)</f>
        <v/>
      </c>
      <c r="U1157">
        <f>IF($AG1157="","",Config!$B$18)</f>
        <v/>
      </c>
      <c r="V1157">
        <f>IF($AG1157="","",Config!$B$19)</f>
        <v/>
      </c>
      <c r="W1157">
        <f>IF($AG1157="","",INDEX('TMP Paste'!$C$2:$C$1601,$AG1157))</f>
        <v/>
      </c>
      <c r="X1157">
        <f>IF($AG1157="","",Config!$B$29)</f>
        <v/>
      </c>
      <c r="Y1157">
        <f>IF($AH1157="","",INDEX(Calc!$I$2:$I$1601,$AH1157)&amp;" - "&amp;INDEX(Calc!$D$2:$D$1601,$AH1157)&amp;" koli")</f>
        <v/>
      </c>
      <c r="Z1157">
        <f>IF($AG1157="","",Config!$B$21)</f>
        <v/>
      </c>
      <c r="AA1157">
        <f>IF($AG1157="","",Config!$B$22)</f>
        <v/>
      </c>
      <c r="AB1157">
        <f>IF($AH1157="","",INDEX(Calc!$D$2:$D$1601,$AH1157))</f>
        <v/>
      </c>
      <c r="AC1157">
        <f>IF($AH1157="","",INDEX(Calc!$G$2:$G$1601,$AH1157))</f>
        <v/>
      </c>
      <c r="AD1157">
        <f>IF($AG1157="","",Config!$B$23)</f>
        <v/>
      </c>
      <c r="AE1157">
        <f>IF($AG1157="","",Config!$B$28)</f>
        <v/>
      </c>
      <c r="AG1157">
        <f>IFERROR(MATCH(ROW()-1,Calc!$J$2:$J$1601,0),"")</f>
        <v/>
      </c>
      <c r="AH1157">
        <f>IFERROR(MATCH(ROW()-1,Calc!$K$2:$K$1601,0),"")</f>
        <v/>
      </c>
      <c r="AI1157">
        <f>IF($AG1157="","",SUMIF($AG$2:$AG1157,$AG1157,$AH$2:$AH1157))</f>
        <v/>
      </c>
      <c r="AJ1157">
        <f>IF('TMP Paste'!$F1157="","",IF('TMP Paste'!$B1157="",$AJ1156,'TMP Paste'!$B1157))</f>
        <v/>
      </c>
      <c r="AK1157">
        <f>IF('TMP Paste'!$F1157="","",N('TMP Paste'!$G1157))</f>
        <v/>
      </c>
      <c r="AL1157">
        <f>IF('TMP Paste'!$F1157="","",IF('TMP Paste'!$M1157="",$AL1156,'TMP Paste'!$M1157))</f>
        <v/>
      </c>
      <c r="AM1157">
        <f>IF('TMP Paste'!$F1157="","",IF('TMP Paste'!$N1157="",$AM1156,'TMP Paste'!$N1157))</f>
        <v/>
      </c>
      <c r="AN1157">
        <f>IF('TMP Paste'!$F1157="","",IF('TMP Paste'!$O1157="",$AN1156,'TMP Paste'!$O1157))</f>
        <v/>
      </c>
      <c r="AO1157">
        <f>IF('TMP Paste'!$F1157="","",IF('TMP Paste'!$P1157="",$AO1156,'TMP Paste'!$P1157))</f>
        <v/>
      </c>
      <c r="AP1157">
        <f>IF($AG1157="","",LEN($R1157))</f>
        <v/>
      </c>
      <c r="AQ1157">
        <f>IF($AG1157="","",TRIM(IF(COUNTIFS(Calc!$B$2:$B$1601,ROW()-1,Calc!$C$2:$C$1601,"&lt;1")&gt;0,"Ada PO tanpa Koli - cek TMP. ","")&amp;IF(LEN($R1157)&gt;500,"R &gt; 500 karakter.","")))</f>
        <v/>
      </c>
    </row>
    <row r="1158">
      <c r="A1158">
        <f>IF($AG1158="","",INDEX('TMP Paste'!$B$2:$B$1601,$AG1158))</f>
        <v/>
      </c>
      <c r="B1158">
        <f>IF($AG1158="","",Config!$B$14)</f>
        <v/>
      </c>
      <c r="C1158">
        <f>IF($AG1158="","",Config!$B$15)</f>
        <v/>
      </c>
      <c r="D1158">
        <f>IF($AG1158="","",INDEX('TMP Paste'!$B$2:$B$1601,$AG1158))</f>
        <v/>
      </c>
      <c r="E1158">
        <f>IF($AG1158="","",Config!$B$27)</f>
        <v/>
      </c>
      <c r="F1158">
        <f>IF($AG1158="","",Config!$B$9)</f>
        <v/>
      </c>
      <c r="G1158">
        <f>IF($AG1158="","",Config!$B$10)</f>
        <v/>
      </c>
      <c r="H1158">
        <f>IF($AG1158="","",Config!$B$11)</f>
        <v/>
      </c>
      <c r="I1158">
        <f>IF($AG1158="","",Config!$B$16)</f>
        <v/>
      </c>
      <c r="J1158">
        <f>IF($AG1158="","",INDEX('TMP Paste'!$A$2:$A$1601,$AG1158))</f>
        <v/>
      </c>
      <c r="K1158">
        <f>IF($AG1158="","",INDEX('TMP Paste'!$L$2:$L$1601,$AG1158))</f>
        <v/>
      </c>
      <c r="L1158">
        <f>IF($AG1158="","",INDEX('TMP Paste'!$I$2:$I$1601,$AG1158))</f>
        <v/>
      </c>
      <c r="M1158">
        <f>IF($AG1158="","",Config!$B$16)</f>
        <v/>
      </c>
      <c r="N1158">
        <f>IF($AG1158="","","")</f>
        <v/>
      </c>
      <c r="O1158">
        <f>IF($AG1158="","",INDEX('TMP Paste'!$K$2:$K$1601,$AG1158))</f>
        <v/>
      </c>
      <c r="P1158">
        <f>IF($AG1158="","","")</f>
        <v/>
      </c>
      <c r="Q1158">
        <f>IF($AG1158="","",INDEX('TMP Paste'!$J$2:$J$1601,$AG1158))</f>
        <v/>
      </c>
      <c r="R1158">
        <f>IF($AG1158="","",Config!$B$24)</f>
        <v/>
      </c>
      <c r="S1158">
        <f>IF($AG1158="","",TEXT(Config!$B$4,"yyyy-mm-dd"))</f>
        <v/>
      </c>
      <c r="T1158">
        <f>IF($AG1158="","",Config!$B$17)</f>
        <v/>
      </c>
      <c r="U1158">
        <f>IF($AG1158="","",Config!$B$18)</f>
        <v/>
      </c>
      <c r="V1158">
        <f>IF($AG1158="","",Config!$B$19)</f>
        <v/>
      </c>
      <c r="W1158">
        <f>IF($AG1158="","",INDEX('TMP Paste'!$C$2:$C$1601,$AG1158))</f>
        <v/>
      </c>
      <c r="X1158">
        <f>IF($AG1158="","",Config!$B$29)</f>
        <v/>
      </c>
      <c r="Y1158">
        <f>IF($AH1158="","",INDEX(Calc!$I$2:$I$1601,$AH1158)&amp;" - "&amp;INDEX(Calc!$D$2:$D$1601,$AH1158)&amp;" koli")</f>
        <v/>
      </c>
      <c r="Z1158">
        <f>IF($AG1158="","",Config!$B$21)</f>
        <v/>
      </c>
      <c r="AA1158">
        <f>IF($AG1158="","",Config!$B$22)</f>
        <v/>
      </c>
      <c r="AB1158">
        <f>IF($AH1158="","",INDEX(Calc!$D$2:$D$1601,$AH1158))</f>
        <v/>
      </c>
      <c r="AC1158">
        <f>IF($AH1158="","",INDEX(Calc!$G$2:$G$1601,$AH1158))</f>
        <v/>
      </c>
      <c r="AD1158">
        <f>IF($AG1158="","",Config!$B$23)</f>
        <v/>
      </c>
      <c r="AE1158">
        <f>IF($AG1158="","",Config!$B$28)</f>
        <v/>
      </c>
      <c r="AG1158">
        <f>IFERROR(MATCH(ROW()-1,Calc!$J$2:$J$1601,0),"")</f>
        <v/>
      </c>
      <c r="AH1158">
        <f>IFERROR(MATCH(ROW()-1,Calc!$K$2:$K$1601,0),"")</f>
        <v/>
      </c>
      <c r="AI1158">
        <f>IF($AG1158="","",SUMIF($AG$2:$AG1158,$AG1158,$AH$2:$AH1158))</f>
        <v/>
      </c>
      <c r="AJ1158">
        <f>IF('TMP Paste'!$F1158="","",IF('TMP Paste'!$B1158="",$AJ1157,'TMP Paste'!$B1158))</f>
        <v/>
      </c>
      <c r="AK1158">
        <f>IF('TMP Paste'!$F1158="","",N('TMP Paste'!$G1158))</f>
        <v/>
      </c>
      <c r="AL1158">
        <f>IF('TMP Paste'!$F1158="","",IF('TMP Paste'!$M1158="",$AL1157,'TMP Paste'!$M1158))</f>
        <v/>
      </c>
      <c r="AM1158">
        <f>IF('TMP Paste'!$F1158="","",IF('TMP Paste'!$N1158="",$AM1157,'TMP Paste'!$N1158))</f>
        <v/>
      </c>
      <c r="AN1158">
        <f>IF('TMP Paste'!$F1158="","",IF('TMP Paste'!$O1158="",$AN1157,'TMP Paste'!$O1158))</f>
        <v/>
      </c>
      <c r="AO1158">
        <f>IF('TMP Paste'!$F1158="","",IF('TMP Paste'!$P1158="",$AO1157,'TMP Paste'!$P1158))</f>
        <v/>
      </c>
      <c r="AP1158">
        <f>IF($AG1158="","",LEN($R1158))</f>
        <v/>
      </c>
      <c r="AQ1158">
        <f>IF($AG1158="","",TRIM(IF(COUNTIFS(Calc!$B$2:$B$1601,ROW()-1,Calc!$C$2:$C$1601,"&lt;1")&gt;0,"Ada PO tanpa Koli - cek TMP. ","")&amp;IF(LEN($R1158)&gt;500,"R &gt; 500 karakter.","")))</f>
        <v/>
      </c>
    </row>
    <row r="1159">
      <c r="A1159">
        <f>IF($AG1159="","",INDEX('TMP Paste'!$B$2:$B$1601,$AG1159))</f>
        <v/>
      </c>
      <c r="B1159">
        <f>IF($AG1159="","",Config!$B$14)</f>
        <v/>
      </c>
      <c r="C1159">
        <f>IF($AG1159="","",Config!$B$15)</f>
        <v/>
      </c>
      <c r="D1159">
        <f>IF($AG1159="","",INDEX('TMP Paste'!$B$2:$B$1601,$AG1159))</f>
        <v/>
      </c>
      <c r="E1159">
        <f>IF($AG1159="","",Config!$B$27)</f>
        <v/>
      </c>
      <c r="F1159">
        <f>IF($AG1159="","",Config!$B$9)</f>
        <v/>
      </c>
      <c r="G1159">
        <f>IF($AG1159="","",Config!$B$10)</f>
        <v/>
      </c>
      <c r="H1159">
        <f>IF($AG1159="","",Config!$B$11)</f>
        <v/>
      </c>
      <c r="I1159">
        <f>IF($AG1159="","",Config!$B$16)</f>
        <v/>
      </c>
      <c r="J1159">
        <f>IF($AG1159="","",INDEX('TMP Paste'!$A$2:$A$1601,$AG1159))</f>
        <v/>
      </c>
      <c r="K1159">
        <f>IF($AG1159="","",INDEX('TMP Paste'!$L$2:$L$1601,$AG1159))</f>
        <v/>
      </c>
      <c r="L1159">
        <f>IF($AG1159="","",INDEX('TMP Paste'!$I$2:$I$1601,$AG1159))</f>
        <v/>
      </c>
      <c r="M1159">
        <f>IF($AG1159="","",Config!$B$16)</f>
        <v/>
      </c>
      <c r="N1159">
        <f>IF($AG1159="","","")</f>
        <v/>
      </c>
      <c r="O1159">
        <f>IF($AG1159="","",INDEX('TMP Paste'!$K$2:$K$1601,$AG1159))</f>
        <v/>
      </c>
      <c r="P1159">
        <f>IF($AG1159="","","")</f>
        <v/>
      </c>
      <c r="Q1159">
        <f>IF($AG1159="","",INDEX('TMP Paste'!$J$2:$J$1601,$AG1159))</f>
        <v/>
      </c>
      <c r="R1159">
        <f>IF($AG1159="","",Config!$B$24)</f>
        <v/>
      </c>
      <c r="S1159">
        <f>IF($AG1159="","",TEXT(Config!$B$4,"yyyy-mm-dd"))</f>
        <v/>
      </c>
      <c r="T1159">
        <f>IF($AG1159="","",Config!$B$17)</f>
        <v/>
      </c>
      <c r="U1159">
        <f>IF($AG1159="","",Config!$B$18)</f>
        <v/>
      </c>
      <c r="V1159">
        <f>IF($AG1159="","",Config!$B$19)</f>
        <v/>
      </c>
      <c r="W1159">
        <f>IF($AG1159="","",INDEX('TMP Paste'!$C$2:$C$1601,$AG1159))</f>
        <v/>
      </c>
      <c r="X1159">
        <f>IF($AG1159="","",Config!$B$29)</f>
        <v/>
      </c>
      <c r="Y1159">
        <f>IF($AH1159="","",INDEX(Calc!$I$2:$I$1601,$AH1159)&amp;" - "&amp;INDEX(Calc!$D$2:$D$1601,$AH1159)&amp;" koli")</f>
        <v/>
      </c>
      <c r="Z1159">
        <f>IF($AG1159="","",Config!$B$21)</f>
        <v/>
      </c>
      <c r="AA1159">
        <f>IF($AG1159="","",Config!$B$22)</f>
        <v/>
      </c>
      <c r="AB1159">
        <f>IF($AH1159="","",INDEX(Calc!$D$2:$D$1601,$AH1159))</f>
        <v/>
      </c>
      <c r="AC1159">
        <f>IF($AH1159="","",INDEX(Calc!$G$2:$G$1601,$AH1159))</f>
        <v/>
      </c>
      <c r="AD1159">
        <f>IF($AG1159="","",Config!$B$23)</f>
        <v/>
      </c>
      <c r="AE1159">
        <f>IF($AG1159="","",Config!$B$28)</f>
        <v/>
      </c>
      <c r="AG1159">
        <f>IFERROR(MATCH(ROW()-1,Calc!$J$2:$J$1601,0),"")</f>
        <v/>
      </c>
      <c r="AH1159">
        <f>IFERROR(MATCH(ROW()-1,Calc!$K$2:$K$1601,0),"")</f>
        <v/>
      </c>
      <c r="AI1159">
        <f>IF($AG1159="","",SUMIF($AG$2:$AG1159,$AG1159,$AH$2:$AH1159))</f>
        <v/>
      </c>
      <c r="AJ1159">
        <f>IF('TMP Paste'!$F1159="","",IF('TMP Paste'!$B1159="",$AJ1158,'TMP Paste'!$B1159))</f>
        <v/>
      </c>
      <c r="AK1159">
        <f>IF('TMP Paste'!$F1159="","",N('TMP Paste'!$G1159))</f>
        <v/>
      </c>
      <c r="AL1159">
        <f>IF('TMP Paste'!$F1159="","",IF('TMP Paste'!$M1159="",$AL1158,'TMP Paste'!$M1159))</f>
        <v/>
      </c>
      <c r="AM1159">
        <f>IF('TMP Paste'!$F1159="","",IF('TMP Paste'!$N1159="",$AM1158,'TMP Paste'!$N1159))</f>
        <v/>
      </c>
      <c r="AN1159">
        <f>IF('TMP Paste'!$F1159="","",IF('TMP Paste'!$O1159="",$AN1158,'TMP Paste'!$O1159))</f>
        <v/>
      </c>
      <c r="AO1159">
        <f>IF('TMP Paste'!$F1159="","",IF('TMP Paste'!$P1159="",$AO1158,'TMP Paste'!$P1159))</f>
        <v/>
      </c>
      <c r="AP1159">
        <f>IF($AG1159="","",LEN($R1159))</f>
        <v/>
      </c>
      <c r="AQ1159">
        <f>IF($AG1159="","",TRIM(IF(COUNTIFS(Calc!$B$2:$B$1601,ROW()-1,Calc!$C$2:$C$1601,"&lt;1")&gt;0,"Ada PO tanpa Koli - cek TMP. ","")&amp;IF(LEN($R1159)&gt;500,"R &gt; 500 karakter.","")))</f>
        <v/>
      </c>
    </row>
    <row r="1160">
      <c r="A1160">
        <f>IF($AG1160="","",INDEX('TMP Paste'!$B$2:$B$1601,$AG1160))</f>
        <v/>
      </c>
      <c r="B1160">
        <f>IF($AG1160="","",Config!$B$14)</f>
        <v/>
      </c>
      <c r="C1160">
        <f>IF($AG1160="","",Config!$B$15)</f>
        <v/>
      </c>
      <c r="D1160">
        <f>IF($AG1160="","",INDEX('TMP Paste'!$B$2:$B$1601,$AG1160))</f>
        <v/>
      </c>
      <c r="E1160">
        <f>IF($AG1160="","",Config!$B$27)</f>
        <v/>
      </c>
      <c r="F1160">
        <f>IF($AG1160="","",Config!$B$9)</f>
        <v/>
      </c>
      <c r="G1160">
        <f>IF($AG1160="","",Config!$B$10)</f>
        <v/>
      </c>
      <c r="H1160">
        <f>IF($AG1160="","",Config!$B$11)</f>
        <v/>
      </c>
      <c r="I1160">
        <f>IF($AG1160="","",Config!$B$16)</f>
        <v/>
      </c>
      <c r="J1160">
        <f>IF($AG1160="","",INDEX('TMP Paste'!$A$2:$A$1601,$AG1160))</f>
        <v/>
      </c>
      <c r="K1160">
        <f>IF($AG1160="","",INDEX('TMP Paste'!$L$2:$L$1601,$AG1160))</f>
        <v/>
      </c>
      <c r="L1160">
        <f>IF($AG1160="","",INDEX('TMP Paste'!$I$2:$I$1601,$AG1160))</f>
        <v/>
      </c>
      <c r="M1160">
        <f>IF($AG1160="","",Config!$B$16)</f>
        <v/>
      </c>
      <c r="N1160">
        <f>IF($AG1160="","","")</f>
        <v/>
      </c>
      <c r="O1160">
        <f>IF($AG1160="","",INDEX('TMP Paste'!$K$2:$K$1601,$AG1160))</f>
        <v/>
      </c>
      <c r="P1160">
        <f>IF($AG1160="","","")</f>
        <v/>
      </c>
      <c r="Q1160">
        <f>IF($AG1160="","",INDEX('TMP Paste'!$J$2:$J$1601,$AG1160))</f>
        <v/>
      </c>
      <c r="R1160">
        <f>IF($AG1160="","",Config!$B$24)</f>
        <v/>
      </c>
      <c r="S1160">
        <f>IF($AG1160="","",TEXT(Config!$B$4,"yyyy-mm-dd"))</f>
        <v/>
      </c>
      <c r="T1160">
        <f>IF($AG1160="","",Config!$B$17)</f>
        <v/>
      </c>
      <c r="U1160">
        <f>IF($AG1160="","",Config!$B$18)</f>
        <v/>
      </c>
      <c r="V1160">
        <f>IF($AG1160="","",Config!$B$19)</f>
        <v/>
      </c>
      <c r="W1160">
        <f>IF($AG1160="","",INDEX('TMP Paste'!$C$2:$C$1601,$AG1160))</f>
        <v/>
      </c>
      <c r="X1160">
        <f>IF($AG1160="","",Config!$B$29)</f>
        <v/>
      </c>
      <c r="Y1160">
        <f>IF($AH1160="","",INDEX(Calc!$I$2:$I$1601,$AH1160)&amp;" - "&amp;INDEX(Calc!$D$2:$D$1601,$AH1160)&amp;" koli")</f>
        <v/>
      </c>
      <c r="Z1160">
        <f>IF($AG1160="","",Config!$B$21)</f>
        <v/>
      </c>
      <c r="AA1160">
        <f>IF($AG1160="","",Config!$B$22)</f>
        <v/>
      </c>
      <c r="AB1160">
        <f>IF($AH1160="","",INDEX(Calc!$D$2:$D$1601,$AH1160))</f>
        <v/>
      </c>
      <c r="AC1160">
        <f>IF($AH1160="","",INDEX(Calc!$G$2:$G$1601,$AH1160))</f>
        <v/>
      </c>
      <c r="AD1160">
        <f>IF($AG1160="","",Config!$B$23)</f>
        <v/>
      </c>
      <c r="AE1160">
        <f>IF($AG1160="","",Config!$B$28)</f>
        <v/>
      </c>
      <c r="AG1160">
        <f>IFERROR(MATCH(ROW()-1,Calc!$J$2:$J$1601,0),"")</f>
        <v/>
      </c>
      <c r="AH1160">
        <f>IFERROR(MATCH(ROW()-1,Calc!$K$2:$K$1601,0),"")</f>
        <v/>
      </c>
      <c r="AI1160">
        <f>IF($AG1160="","",SUMIF($AG$2:$AG1160,$AG1160,$AH$2:$AH1160))</f>
        <v/>
      </c>
      <c r="AJ1160">
        <f>IF('TMP Paste'!$F1160="","",IF('TMP Paste'!$B1160="",$AJ1159,'TMP Paste'!$B1160))</f>
        <v/>
      </c>
      <c r="AK1160">
        <f>IF('TMP Paste'!$F1160="","",N('TMP Paste'!$G1160))</f>
        <v/>
      </c>
      <c r="AL1160">
        <f>IF('TMP Paste'!$F1160="","",IF('TMP Paste'!$M1160="",$AL1159,'TMP Paste'!$M1160))</f>
        <v/>
      </c>
      <c r="AM1160">
        <f>IF('TMP Paste'!$F1160="","",IF('TMP Paste'!$N1160="",$AM1159,'TMP Paste'!$N1160))</f>
        <v/>
      </c>
      <c r="AN1160">
        <f>IF('TMP Paste'!$F1160="","",IF('TMP Paste'!$O1160="",$AN1159,'TMP Paste'!$O1160))</f>
        <v/>
      </c>
      <c r="AO1160">
        <f>IF('TMP Paste'!$F1160="","",IF('TMP Paste'!$P1160="",$AO1159,'TMP Paste'!$P1160))</f>
        <v/>
      </c>
      <c r="AP1160">
        <f>IF($AG1160="","",LEN($R1160))</f>
        <v/>
      </c>
      <c r="AQ1160">
        <f>IF($AG1160="","",TRIM(IF(COUNTIFS(Calc!$B$2:$B$1601,ROW()-1,Calc!$C$2:$C$1601,"&lt;1")&gt;0,"Ada PO tanpa Koli - cek TMP. ","")&amp;IF(LEN($R1160)&gt;500,"R &gt; 500 karakter.","")))</f>
        <v/>
      </c>
    </row>
    <row r="1161">
      <c r="A1161">
        <f>IF($AG1161="","",INDEX('TMP Paste'!$B$2:$B$1601,$AG1161))</f>
        <v/>
      </c>
      <c r="B1161">
        <f>IF($AG1161="","",Config!$B$14)</f>
        <v/>
      </c>
      <c r="C1161">
        <f>IF($AG1161="","",Config!$B$15)</f>
        <v/>
      </c>
      <c r="D1161">
        <f>IF($AG1161="","",INDEX('TMP Paste'!$B$2:$B$1601,$AG1161))</f>
        <v/>
      </c>
      <c r="E1161">
        <f>IF($AG1161="","",Config!$B$27)</f>
        <v/>
      </c>
      <c r="F1161">
        <f>IF($AG1161="","",Config!$B$9)</f>
        <v/>
      </c>
      <c r="G1161">
        <f>IF($AG1161="","",Config!$B$10)</f>
        <v/>
      </c>
      <c r="H1161">
        <f>IF($AG1161="","",Config!$B$11)</f>
        <v/>
      </c>
      <c r="I1161">
        <f>IF($AG1161="","",Config!$B$16)</f>
        <v/>
      </c>
      <c r="J1161">
        <f>IF($AG1161="","",INDEX('TMP Paste'!$A$2:$A$1601,$AG1161))</f>
        <v/>
      </c>
      <c r="K1161">
        <f>IF($AG1161="","",INDEX('TMP Paste'!$L$2:$L$1601,$AG1161))</f>
        <v/>
      </c>
      <c r="L1161">
        <f>IF($AG1161="","",INDEX('TMP Paste'!$I$2:$I$1601,$AG1161))</f>
        <v/>
      </c>
      <c r="M1161">
        <f>IF($AG1161="","",Config!$B$16)</f>
        <v/>
      </c>
      <c r="N1161">
        <f>IF($AG1161="","","")</f>
        <v/>
      </c>
      <c r="O1161">
        <f>IF($AG1161="","",INDEX('TMP Paste'!$K$2:$K$1601,$AG1161))</f>
        <v/>
      </c>
      <c r="P1161">
        <f>IF($AG1161="","","")</f>
        <v/>
      </c>
      <c r="Q1161">
        <f>IF($AG1161="","",INDEX('TMP Paste'!$J$2:$J$1601,$AG1161))</f>
        <v/>
      </c>
      <c r="R1161">
        <f>IF($AG1161="","",Config!$B$24)</f>
        <v/>
      </c>
      <c r="S1161">
        <f>IF($AG1161="","",TEXT(Config!$B$4,"yyyy-mm-dd"))</f>
        <v/>
      </c>
      <c r="T1161">
        <f>IF($AG1161="","",Config!$B$17)</f>
        <v/>
      </c>
      <c r="U1161">
        <f>IF($AG1161="","",Config!$B$18)</f>
        <v/>
      </c>
      <c r="V1161">
        <f>IF($AG1161="","",Config!$B$19)</f>
        <v/>
      </c>
      <c r="W1161">
        <f>IF($AG1161="","",INDEX('TMP Paste'!$C$2:$C$1601,$AG1161))</f>
        <v/>
      </c>
      <c r="X1161">
        <f>IF($AG1161="","",Config!$B$29)</f>
        <v/>
      </c>
      <c r="Y1161">
        <f>IF($AH1161="","",INDEX(Calc!$I$2:$I$1601,$AH1161)&amp;" - "&amp;INDEX(Calc!$D$2:$D$1601,$AH1161)&amp;" koli")</f>
        <v/>
      </c>
      <c r="Z1161">
        <f>IF($AG1161="","",Config!$B$21)</f>
        <v/>
      </c>
      <c r="AA1161">
        <f>IF($AG1161="","",Config!$B$22)</f>
        <v/>
      </c>
      <c r="AB1161">
        <f>IF($AH1161="","",INDEX(Calc!$D$2:$D$1601,$AH1161))</f>
        <v/>
      </c>
      <c r="AC1161">
        <f>IF($AH1161="","",INDEX(Calc!$G$2:$G$1601,$AH1161))</f>
        <v/>
      </c>
      <c r="AD1161">
        <f>IF($AG1161="","",Config!$B$23)</f>
        <v/>
      </c>
      <c r="AE1161">
        <f>IF($AG1161="","",Config!$B$28)</f>
        <v/>
      </c>
      <c r="AG1161">
        <f>IFERROR(MATCH(ROW()-1,Calc!$J$2:$J$1601,0),"")</f>
        <v/>
      </c>
      <c r="AH1161">
        <f>IFERROR(MATCH(ROW()-1,Calc!$K$2:$K$1601,0),"")</f>
        <v/>
      </c>
      <c r="AI1161">
        <f>IF($AG1161="","",SUMIF($AG$2:$AG1161,$AG1161,$AH$2:$AH1161))</f>
        <v/>
      </c>
      <c r="AJ1161">
        <f>IF('TMP Paste'!$F1161="","",IF('TMP Paste'!$B1161="",$AJ1160,'TMP Paste'!$B1161))</f>
        <v/>
      </c>
      <c r="AK1161">
        <f>IF('TMP Paste'!$F1161="","",N('TMP Paste'!$G1161))</f>
        <v/>
      </c>
      <c r="AL1161">
        <f>IF('TMP Paste'!$F1161="","",IF('TMP Paste'!$M1161="",$AL1160,'TMP Paste'!$M1161))</f>
        <v/>
      </c>
      <c r="AM1161">
        <f>IF('TMP Paste'!$F1161="","",IF('TMP Paste'!$N1161="",$AM1160,'TMP Paste'!$N1161))</f>
        <v/>
      </c>
      <c r="AN1161">
        <f>IF('TMP Paste'!$F1161="","",IF('TMP Paste'!$O1161="",$AN1160,'TMP Paste'!$O1161))</f>
        <v/>
      </c>
      <c r="AO1161">
        <f>IF('TMP Paste'!$F1161="","",IF('TMP Paste'!$P1161="",$AO1160,'TMP Paste'!$P1161))</f>
        <v/>
      </c>
      <c r="AP1161">
        <f>IF($AG1161="","",LEN($R1161))</f>
        <v/>
      </c>
      <c r="AQ1161">
        <f>IF($AG1161="","",TRIM(IF(COUNTIFS(Calc!$B$2:$B$1601,ROW()-1,Calc!$C$2:$C$1601,"&lt;1")&gt;0,"Ada PO tanpa Koli - cek TMP. ","")&amp;IF(LEN($R1161)&gt;500,"R &gt; 500 karakter.","")))</f>
        <v/>
      </c>
    </row>
    <row r="1162">
      <c r="A1162">
        <f>IF($AG1162="","",INDEX('TMP Paste'!$B$2:$B$1601,$AG1162))</f>
        <v/>
      </c>
      <c r="B1162">
        <f>IF($AG1162="","",Config!$B$14)</f>
        <v/>
      </c>
      <c r="C1162">
        <f>IF($AG1162="","",Config!$B$15)</f>
        <v/>
      </c>
      <c r="D1162">
        <f>IF($AG1162="","",INDEX('TMP Paste'!$B$2:$B$1601,$AG1162))</f>
        <v/>
      </c>
      <c r="E1162">
        <f>IF($AG1162="","",Config!$B$27)</f>
        <v/>
      </c>
      <c r="F1162">
        <f>IF($AG1162="","",Config!$B$9)</f>
        <v/>
      </c>
      <c r="G1162">
        <f>IF($AG1162="","",Config!$B$10)</f>
        <v/>
      </c>
      <c r="H1162">
        <f>IF($AG1162="","",Config!$B$11)</f>
        <v/>
      </c>
      <c r="I1162">
        <f>IF($AG1162="","",Config!$B$16)</f>
        <v/>
      </c>
      <c r="J1162">
        <f>IF($AG1162="","",INDEX('TMP Paste'!$A$2:$A$1601,$AG1162))</f>
        <v/>
      </c>
      <c r="K1162">
        <f>IF($AG1162="","",INDEX('TMP Paste'!$L$2:$L$1601,$AG1162))</f>
        <v/>
      </c>
      <c r="L1162">
        <f>IF($AG1162="","",INDEX('TMP Paste'!$I$2:$I$1601,$AG1162))</f>
        <v/>
      </c>
      <c r="M1162">
        <f>IF($AG1162="","",Config!$B$16)</f>
        <v/>
      </c>
      <c r="N1162">
        <f>IF($AG1162="","","")</f>
        <v/>
      </c>
      <c r="O1162">
        <f>IF($AG1162="","",INDEX('TMP Paste'!$K$2:$K$1601,$AG1162))</f>
        <v/>
      </c>
      <c r="P1162">
        <f>IF($AG1162="","","")</f>
        <v/>
      </c>
      <c r="Q1162">
        <f>IF($AG1162="","",INDEX('TMP Paste'!$J$2:$J$1601,$AG1162))</f>
        <v/>
      </c>
      <c r="R1162">
        <f>IF($AG1162="","",Config!$B$24)</f>
        <v/>
      </c>
      <c r="S1162">
        <f>IF($AG1162="","",TEXT(Config!$B$4,"yyyy-mm-dd"))</f>
        <v/>
      </c>
      <c r="T1162">
        <f>IF($AG1162="","",Config!$B$17)</f>
        <v/>
      </c>
      <c r="U1162">
        <f>IF($AG1162="","",Config!$B$18)</f>
        <v/>
      </c>
      <c r="V1162">
        <f>IF($AG1162="","",Config!$B$19)</f>
        <v/>
      </c>
      <c r="W1162">
        <f>IF($AG1162="","",INDEX('TMP Paste'!$C$2:$C$1601,$AG1162))</f>
        <v/>
      </c>
      <c r="X1162">
        <f>IF($AG1162="","",Config!$B$29)</f>
        <v/>
      </c>
      <c r="Y1162">
        <f>IF($AH1162="","",INDEX(Calc!$I$2:$I$1601,$AH1162)&amp;" - "&amp;INDEX(Calc!$D$2:$D$1601,$AH1162)&amp;" koli")</f>
        <v/>
      </c>
      <c r="Z1162">
        <f>IF($AG1162="","",Config!$B$21)</f>
        <v/>
      </c>
      <c r="AA1162">
        <f>IF($AG1162="","",Config!$B$22)</f>
        <v/>
      </c>
      <c r="AB1162">
        <f>IF($AH1162="","",INDEX(Calc!$D$2:$D$1601,$AH1162))</f>
        <v/>
      </c>
      <c r="AC1162">
        <f>IF($AH1162="","",INDEX(Calc!$G$2:$G$1601,$AH1162))</f>
        <v/>
      </c>
      <c r="AD1162">
        <f>IF($AG1162="","",Config!$B$23)</f>
        <v/>
      </c>
      <c r="AE1162">
        <f>IF($AG1162="","",Config!$B$28)</f>
        <v/>
      </c>
      <c r="AG1162">
        <f>IFERROR(MATCH(ROW()-1,Calc!$J$2:$J$1601,0),"")</f>
        <v/>
      </c>
      <c r="AH1162">
        <f>IFERROR(MATCH(ROW()-1,Calc!$K$2:$K$1601,0),"")</f>
        <v/>
      </c>
      <c r="AI1162">
        <f>IF($AG1162="","",SUMIF($AG$2:$AG1162,$AG1162,$AH$2:$AH1162))</f>
        <v/>
      </c>
      <c r="AJ1162">
        <f>IF('TMP Paste'!$F1162="","",IF('TMP Paste'!$B1162="",$AJ1161,'TMP Paste'!$B1162))</f>
        <v/>
      </c>
      <c r="AK1162">
        <f>IF('TMP Paste'!$F1162="","",N('TMP Paste'!$G1162))</f>
        <v/>
      </c>
      <c r="AL1162">
        <f>IF('TMP Paste'!$F1162="","",IF('TMP Paste'!$M1162="",$AL1161,'TMP Paste'!$M1162))</f>
        <v/>
      </c>
      <c r="AM1162">
        <f>IF('TMP Paste'!$F1162="","",IF('TMP Paste'!$N1162="",$AM1161,'TMP Paste'!$N1162))</f>
        <v/>
      </c>
      <c r="AN1162">
        <f>IF('TMP Paste'!$F1162="","",IF('TMP Paste'!$O1162="",$AN1161,'TMP Paste'!$O1162))</f>
        <v/>
      </c>
      <c r="AO1162">
        <f>IF('TMP Paste'!$F1162="","",IF('TMP Paste'!$P1162="",$AO1161,'TMP Paste'!$P1162))</f>
        <v/>
      </c>
      <c r="AP1162">
        <f>IF($AG1162="","",LEN($R1162))</f>
        <v/>
      </c>
      <c r="AQ1162">
        <f>IF($AG1162="","",TRIM(IF(COUNTIFS(Calc!$B$2:$B$1601,ROW()-1,Calc!$C$2:$C$1601,"&lt;1")&gt;0,"Ada PO tanpa Koli - cek TMP. ","")&amp;IF(LEN($R1162)&gt;500,"R &gt; 500 karakter.","")))</f>
        <v/>
      </c>
    </row>
    <row r="1163">
      <c r="A1163">
        <f>IF($AG1163="","",INDEX('TMP Paste'!$B$2:$B$1601,$AG1163))</f>
        <v/>
      </c>
      <c r="B1163">
        <f>IF($AG1163="","",Config!$B$14)</f>
        <v/>
      </c>
      <c r="C1163">
        <f>IF($AG1163="","",Config!$B$15)</f>
        <v/>
      </c>
      <c r="D1163">
        <f>IF($AG1163="","",INDEX('TMP Paste'!$B$2:$B$1601,$AG1163))</f>
        <v/>
      </c>
      <c r="E1163">
        <f>IF($AG1163="","",Config!$B$27)</f>
        <v/>
      </c>
      <c r="F1163">
        <f>IF($AG1163="","",Config!$B$9)</f>
        <v/>
      </c>
      <c r="G1163">
        <f>IF($AG1163="","",Config!$B$10)</f>
        <v/>
      </c>
      <c r="H1163">
        <f>IF($AG1163="","",Config!$B$11)</f>
        <v/>
      </c>
      <c r="I1163">
        <f>IF($AG1163="","",Config!$B$16)</f>
        <v/>
      </c>
      <c r="J1163">
        <f>IF($AG1163="","",INDEX('TMP Paste'!$A$2:$A$1601,$AG1163))</f>
        <v/>
      </c>
      <c r="K1163">
        <f>IF($AG1163="","",INDEX('TMP Paste'!$L$2:$L$1601,$AG1163))</f>
        <v/>
      </c>
      <c r="L1163">
        <f>IF($AG1163="","",INDEX('TMP Paste'!$I$2:$I$1601,$AG1163))</f>
        <v/>
      </c>
      <c r="M1163">
        <f>IF($AG1163="","",Config!$B$16)</f>
        <v/>
      </c>
      <c r="N1163">
        <f>IF($AG1163="","","")</f>
        <v/>
      </c>
      <c r="O1163">
        <f>IF($AG1163="","",INDEX('TMP Paste'!$K$2:$K$1601,$AG1163))</f>
        <v/>
      </c>
      <c r="P1163">
        <f>IF($AG1163="","","")</f>
        <v/>
      </c>
      <c r="Q1163">
        <f>IF($AG1163="","",INDEX('TMP Paste'!$J$2:$J$1601,$AG1163))</f>
        <v/>
      </c>
      <c r="R1163">
        <f>IF($AG1163="","",Config!$B$24)</f>
        <v/>
      </c>
      <c r="S1163">
        <f>IF($AG1163="","",TEXT(Config!$B$4,"yyyy-mm-dd"))</f>
        <v/>
      </c>
      <c r="T1163">
        <f>IF($AG1163="","",Config!$B$17)</f>
        <v/>
      </c>
      <c r="U1163">
        <f>IF($AG1163="","",Config!$B$18)</f>
        <v/>
      </c>
      <c r="V1163">
        <f>IF($AG1163="","",Config!$B$19)</f>
        <v/>
      </c>
      <c r="W1163">
        <f>IF($AG1163="","",INDEX('TMP Paste'!$C$2:$C$1601,$AG1163))</f>
        <v/>
      </c>
      <c r="X1163">
        <f>IF($AG1163="","",Config!$B$29)</f>
        <v/>
      </c>
      <c r="Y1163">
        <f>IF($AH1163="","",INDEX(Calc!$I$2:$I$1601,$AH1163)&amp;" - "&amp;INDEX(Calc!$D$2:$D$1601,$AH1163)&amp;" koli")</f>
        <v/>
      </c>
      <c r="Z1163">
        <f>IF($AG1163="","",Config!$B$21)</f>
        <v/>
      </c>
      <c r="AA1163">
        <f>IF($AG1163="","",Config!$B$22)</f>
        <v/>
      </c>
      <c r="AB1163">
        <f>IF($AH1163="","",INDEX(Calc!$D$2:$D$1601,$AH1163))</f>
        <v/>
      </c>
      <c r="AC1163">
        <f>IF($AH1163="","",INDEX(Calc!$G$2:$G$1601,$AH1163))</f>
        <v/>
      </c>
      <c r="AD1163">
        <f>IF($AG1163="","",Config!$B$23)</f>
        <v/>
      </c>
      <c r="AE1163">
        <f>IF($AG1163="","",Config!$B$28)</f>
        <v/>
      </c>
      <c r="AG1163">
        <f>IFERROR(MATCH(ROW()-1,Calc!$J$2:$J$1601,0),"")</f>
        <v/>
      </c>
      <c r="AH1163">
        <f>IFERROR(MATCH(ROW()-1,Calc!$K$2:$K$1601,0),"")</f>
        <v/>
      </c>
      <c r="AI1163">
        <f>IF($AG1163="","",SUMIF($AG$2:$AG1163,$AG1163,$AH$2:$AH1163))</f>
        <v/>
      </c>
      <c r="AJ1163">
        <f>IF('TMP Paste'!$F1163="","",IF('TMP Paste'!$B1163="",$AJ1162,'TMP Paste'!$B1163))</f>
        <v/>
      </c>
      <c r="AK1163">
        <f>IF('TMP Paste'!$F1163="","",N('TMP Paste'!$G1163))</f>
        <v/>
      </c>
      <c r="AL1163">
        <f>IF('TMP Paste'!$F1163="","",IF('TMP Paste'!$M1163="",$AL1162,'TMP Paste'!$M1163))</f>
        <v/>
      </c>
      <c r="AM1163">
        <f>IF('TMP Paste'!$F1163="","",IF('TMP Paste'!$N1163="",$AM1162,'TMP Paste'!$N1163))</f>
        <v/>
      </c>
      <c r="AN1163">
        <f>IF('TMP Paste'!$F1163="","",IF('TMP Paste'!$O1163="",$AN1162,'TMP Paste'!$O1163))</f>
        <v/>
      </c>
      <c r="AO1163">
        <f>IF('TMP Paste'!$F1163="","",IF('TMP Paste'!$P1163="",$AO1162,'TMP Paste'!$P1163))</f>
        <v/>
      </c>
      <c r="AP1163">
        <f>IF($AG1163="","",LEN($R1163))</f>
        <v/>
      </c>
      <c r="AQ1163">
        <f>IF($AG1163="","",TRIM(IF(COUNTIFS(Calc!$B$2:$B$1601,ROW()-1,Calc!$C$2:$C$1601,"&lt;1")&gt;0,"Ada PO tanpa Koli - cek TMP. ","")&amp;IF(LEN($R1163)&gt;500,"R &gt; 500 karakter.","")))</f>
        <v/>
      </c>
    </row>
    <row r="1164">
      <c r="A1164">
        <f>IF($AG1164="","",INDEX('TMP Paste'!$B$2:$B$1601,$AG1164))</f>
        <v/>
      </c>
      <c r="B1164">
        <f>IF($AG1164="","",Config!$B$14)</f>
        <v/>
      </c>
      <c r="C1164">
        <f>IF($AG1164="","",Config!$B$15)</f>
        <v/>
      </c>
      <c r="D1164">
        <f>IF($AG1164="","",INDEX('TMP Paste'!$B$2:$B$1601,$AG1164))</f>
        <v/>
      </c>
      <c r="E1164">
        <f>IF($AG1164="","",Config!$B$27)</f>
        <v/>
      </c>
      <c r="F1164">
        <f>IF($AG1164="","",Config!$B$9)</f>
        <v/>
      </c>
      <c r="G1164">
        <f>IF($AG1164="","",Config!$B$10)</f>
        <v/>
      </c>
      <c r="H1164">
        <f>IF($AG1164="","",Config!$B$11)</f>
        <v/>
      </c>
      <c r="I1164">
        <f>IF($AG1164="","",Config!$B$16)</f>
        <v/>
      </c>
      <c r="J1164">
        <f>IF($AG1164="","",INDEX('TMP Paste'!$A$2:$A$1601,$AG1164))</f>
        <v/>
      </c>
      <c r="K1164">
        <f>IF($AG1164="","",INDEX('TMP Paste'!$L$2:$L$1601,$AG1164))</f>
        <v/>
      </c>
      <c r="L1164">
        <f>IF($AG1164="","",INDEX('TMP Paste'!$I$2:$I$1601,$AG1164))</f>
        <v/>
      </c>
      <c r="M1164">
        <f>IF($AG1164="","",Config!$B$16)</f>
        <v/>
      </c>
      <c r="N1164">
        <f>IF($AG1164="","","")</f>
        <v/>
      </c>
      <c r="O1164">
        <f>IF($AG1164="","",INDEX('TMP Paste'!$K$2:$K$1601,$AG1164))</f>
        <v/>
      </c>
      <c r="P1164">
        <f>IF($AG1164="","","")</f>
        <v/>
      </c>
      <c r="Q1164">
        <f>IF($AG1164="","",INDEX('TMP Paste'!$J$2:$J$1601,$AG1164))</f>
        <v/>
      </c>
      <c r="R1164">
        <f>IF($AG1164="","",Config!$B$24)</f>
        <v/>
      </c>
      <c r="S1164">
        <f>IF($AG1164="","",TEXT(Config!$B$4,"yyyy-mm-dd"))</f>
        <v/>
      </c>
      <c r="T1164">
        <f>IF($AG1164="","",Config!$B$17)</f>
        <v/>
      </c>
      <c r="U1164">
        <f>IF($AG1164="","",Config!$B$18)</f>
        <v/>
      </c>
      <c r="V1164">
        <f>IF($AG1164="","",Config!$B$19)</f>
        <v/>
      </c>
      <c r="W1164">
        <f>IF($AG1164="","",INDEX('TMP Paste'!$C$2:$C$1601,$AG1164))</f>
        <v/>
      </c>
      <c r="X1164">
        <f>IF($AG1164="","",Config!$B$29)</f>
        <v/>
      </c>
      <c r="Y1164">
        <f>IF($AH1164="","",INDEX(Calc!$I$2:$I$1601,$AH1164)&amp;" - "&amp;INDEX(Calc!$D$2:$D$1601,$AH1164)&amp;" koli")</f>
        <v/>
      </c>
      <c r="Z1164">
        <f>IF($AG1164="","",Config!$B$21)</f>
        <v/>
      </c>
      <c r="AA1164">
        <f>IF($AG1164="","",Config!$B$22)</f>
        <v/>
      </c>
      <c r="AB1164">
        <f>IF($AH1164="","",INDEX(Calc!$D$2:$D$1601,$AH1164))</f>
        <v/>
      </c>
      <c r="AC1164">
        <f>IF($AH1164="","",INDEX(Calc!$G$2:$G$1601,$AH1164))</f>
        <v/>
      </c>
      <c r="AD1164">
        <f>IF($AG1164="","",Config!$B$23)</f>
        <v/>
      </c>
      <c r="AE1164">
        <f>IF($AG1164="","",Config!$B$28)</f>
        <v/>
      </c>
      <c r="AG1164">
        <f>IFERROR(MATCH(ROW()-1,Calc!$J$2:$J$1601,0),"")</f>
        <v/>
      </c>
      <c r="AH1164">
        <f>IFERROR(MATCH(ROW()-1,Calc!$K$2:$K$1601,0),"")</f>
        <v/>
      </c>
      <c r="AI1164">
        <f>IF($AG1164="","",SUMIF($AG$2:$AG1164,$AG1164,$AH$2:$AH1164))</f>
        <v/>
      </c>
      <c r="AJ1164">
        <f>IF('TMP Paste'!$F1164="","",IF('TMP Paste'!$B1164="",$AJ1163,'TMP Paste'!$B1164))</f>
        <v/>
      </c>
      <c r="AK1164">
        <f>IF('TMP Paste'!$F1164="","",N('TMP Paste'!$G1164))</f>
        <v/>
      </c>
      <c r="AL1164">
        <f>IF('TMP Paste'!$F1164="","",IF('TMP Paste'!$M1164="",$AL1163,'TMP Paste'!$M1164))</f>
        <v/>
      </c>
      <c r="AM1164">
        <f>IF('TMP Paste'!$F1164="","",IF('TMP Paste'!$N1164="",$AM1163,'TMP Paste'!$N1164))</f>
        <v/>
      </c>
      <c r="AN1164">
        <f>IF('TMP Paste'!$F1164="","",IF('TMP Paste'!$O1164="",$AN1163,'TMP Paste'!$O1164))</f>
        <v/>
      </c>
      <c r="AO1164">
        <f>IF('TMP Paste'!$F1164="","",IF('TMP Paste'!$P1164="",$AO1163,'TMP Paste'!$P1164))</f>
        <v/>
      </c>
      <c r="AP1164">
        <f>IF($AG1164="","",LEN($R1164))</f>
        <v/>
      </c>
      <c r="AQ1164">
        <f>IF($AG1164="","",TRIM(IF(COUNTIFS(Calc!$B$2:$B$1601,ROW()-1,Calc!$C$2:$C$1601,"&lt;1")&gt;0,"Ada PO tanpa Koli - cek TMP. ","")&amp;IF(LEN($R1164)&gt;500,"R &gt; 500 karakter.","")))</f>
        <v/>
      </c>
    </row>
    <row r="1165">
      <c r="A1165">
        <f>IF($AG1165="","",INDEX('TMP Paste'!$B$2:$B$1601,$AG1165))</f>
        <v/>
      </c>
      <c r="B1165">
        <f>IF($AG1165="","",Config!$B$14)</f>
        <v/>
      </c>
      <c r="C1165">
        <f>IF($AG1165="","",Config!$B$15)</f>
        <v/>
      </c>
      <c r="D1165">
        <f>IF($AG1165="","",INDEX('TMP Paste'!$B$2:$B$1601,$AG1165))</f>
        <v/>
      </c>
      <c r="E1165">
        <f>IF($AG1165="","",Config!$B$27)</f>
        <v/>
      </c>
      <c r="F1165">
        <f>IF($AG1165="","",Config!$B$9)</f>
        <v/>
      </c>
      <c r="G1165">
        <f>IF($AG1165="","",Config!$B$10)</f>
        <v/>
      </c>
      <c r="H1165">
        <f>IF($AG1165="","",Config!$B$11)</f>
        <v/>
      </c>
      <c r="I1165">
        <f>IF($AG1165="","",Config!$B$16)</f>
        <v/>
      </c>
      <c r="J1165">
        <f>IF($AG1165="","",INDEX('TMP Paste'!$A$2:$A$1601,$AG1165))</f>
        <v/>
      </c>
      <c r="K1165">
        <f>IF($AG1165="","",INDEX('TMP Paste'!$L$2:$L$1601,$AG1165))</f>
        <v/>
      </c>
      <c r="L1165">
        <f>IF($AG1165="","",INDEX('TMP Paste'!$I$2:$I$1601,$AG1165))</f>
        <v/>
      </c>
      <c r="M1165">
        <f>IF($AG1165="","",Config!$B$16)</f>
        <v/>
      </c>
      <c r="N1165">
        <f>IF($AG1165="","","")</f>
        <v/>
      </c>
      <c r="O1165">
        <f>IF($AG1165="","",INDEX('TMP Paste'!$K$2:$K$1601,$AG1165))</f>
        <v/>
      </c>
      <c r="P1165">
        <f>IF($AG1165="","","")</f>
        <v/>
      </c>
      <c r="Q1165">
        <f>IF($AG1165="","",INDEX('TMP Paste'!$J$2:$J$1601,$AG1165))</f>
        <v/>
      </c>
      <c r="R1165">
        <f>IF($AG1165="","",Config!$B$24)</f>
        <v/>
      </c>
      <c r="S1165">
        <f>IF($AG1165="","",TEXT(Config!$B$4,"yyyy-mm-dd"))</f>
        <v/>
      </c>
      <c r="T1165">
        <f>IF($AG1165="","",Config!$B$17)</f>
        <v/>
      </c>
      <c r="U1165">
        <f>IF($AG1165="","",Config!$B$18)</f>
        <v/>
      </c>
      <c r="V1165">
        <f>IF($AG1165="","",Config!$B$19)</f>
        <v/>
      </c>
      <c r="W1165">
        <f>IF($AG1165="","",INDEX('TMP Paste'!$C$2:$C$1601,$AG1165))</f>
        <v/>
      </c>
      <c r="X1165">
        <f>IF($AG1165="","",Config!$B$29)</f>
        <v/>
      </c>
      <c r="Y1165">
        <f>IF($AH1165="","",INDEX(Calc!$I$2:$I$1601,$AH1165)&amp;" - "&amp;INDEX(Calc!$D$2:$D$1601,$AH1165)&amp;" koli")</f>
        <v/>
      </c>
      <c r="Z1165">
        <f>IF($AG1165="","",Config!$B$21)</f>
        <v/>
      </c>
      <c r="AA1165">
        <f>IF($AG1165="","",Config!$B$22)</f>
        <v/>
      </c>
      <c r="AB1165">
        <f>IF($AH1165="","",INDEX(Calc!$D$2:$D$1601,$AH1165))</f>
        <v/>
      </c>
      <c r="AC1165">
        <f>IF($AH1165="","",INDEX(Calc!$G$2:$G$1601,$AH1165))</f>
        <v/>
      </c>
      <c r="AD1165">
        <f>IF($AG1165="","",Config!$B$23)</f>
        <v/>
      </c>
      <c r="AE1165">
        <f>IF($AG1165="","",Config!$B$28)</f>
        <v/>
      </c>
      <c r="AG1165">
        <f>IFERROR(MATCH(ROW()-1,Calc!$J$2:$J$1601,0),"")</f>
        <v/>
      </c>
      <c r="AH1165">
        <f>IFERROR(MATCH(ROW()-1,Calc!$K$2:$K$1601,0),"")</f>
        <v/>
      </c>
      <c r="AI1165">
        <f>IF($AG1165="","",SUMIF($AG$2:$AG1165,$AG1165,$AH$2:$AH1165))</f>
        <v/>
      </c>
      <c r="AJ1165">
        <f>IF('TMP Paste'!$F1165="","",IF('TMP Paste'!$B1165="",$AJ1164,'TMP Paste'!$B1165))</f>
        <v/>
      </c>
      <c r="AK1165">
        <f>IF('TMP Paste'!$F1165="","",N('TMP Paste'!$G1165))</f>
        <v/>
      </c>
      <c r="AL1165">
        <f>IF('TMP Paste'!$F1165="","",IF('TMP Paste'!$M1165="",$AL1164,'TMP Paste'!$M1165))</f>
        <v/>
      </c>
      <c r="AM1165">
        <f>IF('TMP Paste'!$F1165="","",IF('TMP Paste'!$N1165="",$AM1164,'TMP Paste'!$N1165))</f>
        <v/>
      </c>
      <c r="AN1165">
        <f>IF('TMP Paste'!$F1165="","",IF('TMP Paste'!$O1165="",$AN1164,'TMP Paste'!$O1165))</f>
        <v/>
      </c>
      <c r="AO1165">
        <f>IF('TMP Paste'!$F1165="","",IF('TMP Paste'!$P1165="",$AO1164,'TMP Paste'!$P1165))</f>
        <v/>
      </c>
      <c r="AP1165">
        <f>IF($AG1165="","",LEN($R1165))</f>
        <v/>
      </c>
      <c r="AQ1165">
        <f>IF($AG1165="","",TRIM(IF(COUNTIFS(Calc!$B$2:$B$1601,ROW()-1,Calc!$C$2:$C$1601,"&lt;1")&gt;0,"Ada PO tanpa Koli - cek TMP. ","")&amp;IF(LEN($R1165)&gt;500,"R &gt; 500 karakter.","")))</f>
        <v/>
      </c>
    </row>
    <row r="1166">
      <c r="A1166">
        <f>IF($AG1166="","",INDEX('TMP Paste'!$B$2:$B$1601,$AG1166))</f>
        <v/>
      </c>
      <c r="B1166">
        <f>IF($AG1166="","",Config!$B$14)</f>
        <v/>
      </c>
      <c r="C1166">
        <f>IF($AG1166="","",Config!$B$15)</f>
        <v/>
      </c>
      <c r="D1166">
        <f>IF($AG1166="","",INDEX('TMP Paste'!$B$2:$B$1601,$AG1166))</f>
        <v/>
      </c>
      <c r="E1166">
        <f>IF($AG1166="","",Config!$B$27)</f>
        <v/>
      </c>
      <c r="F1166">
        <f>IF($AG1166="","",Config!$B$9)</f>
        <v/>
      </c>
      <c r="G1166">
        <f>IF($AG1166="","",Config!$B$10)</f>
        <v/>
      </c>
      <c r="H1166">
        <f>IF($AG1166="","",Config!$B$11)</f>
        <v/>
      </c>
      <c r="I1166">
        <f>IF($AG1166="","",Config!$B$16)</f>
        <v/>
      </c>
      <c r="J1166">
        <f>IF($AG1166="","",INDEX('TMP Paste'!$A$2:$A$1601,$AG1166))</f>
        <v/>
      </c>
      <c r="K1166">
        <f>IF($AG1166="","",INDEX('TMP Paste'!$L$2:$L$1601,$AG1166))</f>
        <v/>
      </c>
      <c r="L1166">
        <f>IF($AG1166="","",INDEX('TMP Paste'!$I$2:$I$1601,$AG1166))</f>
        <v/>
      </c>
      <c r="M1166">
        <f>IF($AG1166="","",Config!$B$16)</f>
        <v/>
      </c>
      <c r="N1166">
        <f>IF($AG1166="","","")</f>
        <v/>
      </c>
      <c r="O1166">
        <f>IF($AG1166="","",INDEX('TMP Paste'!$K$2:$K$1601,$AG1166))</f>
        <v/>
      </c>
      <c r="P1166">
        <f>IF($AG1166="","","")</f>
        <v/>
      </c>
      <c r="Q1166">
        <f>IF($AG1166="","",INDEX('TMP Paste'!$J$2:$J$1601,$AG1166))</f>
        <v/>
      </c>
      <c r="R1166">
        <f>IF($AG1166="","",Config!$B$24)</f>
        <v/>
      </c>
      <c r="S1166">
        <f>IF($AG1166="","",TEXT(Config!$B$4,"yyyy-mm-dd"))</f>
        <v/>
      </c>
      <c r="T1166">
        <f>IF($AG1166="","",Config!$B$17)</f>
        <v/>
      </c>
      <c r="U1166">
        <f>IF($AG1166="","",Config!$B$18)</f>
        <v/>
      </c>
      <c r="V1166">
        <f>IF($AG1166="","",Config!$B$19)</f>
        <v/>
      </c>
      <c r="W1166">
        <f>IF($AG1166="","",INDEX('TMP Paste'!$C$2:$C$1601,$AG1166))</f>
        <v/>
      </c>
      <c r="X1166">
        <f>IF($AG1166="","",Config!$B$29)</f>
        <v/>
      </c>
      <c r="Y1166">
        <f>IF($AH1166="","",INDEX(Calc!$I$2:$I$1601,$AH1166)&amp;" - "&amp;INDEX(Calc!$D$2:$D$1601,$AH1166)&amp;" koli")</f>
        <v/>
      </c>
      <c r="Z1166">
        <f>IF($AG1166="","",Config!$B$21)</f>
        <v/>
      </c>
      <c r="AA1166">
        <f>IF($AG1166="","",Config!$B$22)</f>
        <v/>
      </c>
      <c r="AB1166">
        <f>IF($AH1166="","",INDEX(Calc!$D$2:$D$1601,$AH1166))</f>
        <v/>
      </c>
      <c r="AC1166">
        <f>IF($AH1166="","",INDEX(Calc!$G$2:$G$1601,$AH1166))</f>
        <v/>
      </c>
      <c r="AD1166">
        <f>IF($AG1166="","",Config!$B$23)</f>
        <v/>
      </c>
      <c r="AE1166">
        <f>IF($AG1166="","",Config!$B$28)</f>
        <v/>
      </c>
      <c r="AG1166">
        <f>IFERROR(MATCH(ROW()-1,Calc!$J$2:$J$1601,0),"")</f>
        <v/>
      </c>
      <c r="AH1166">
        <f>IFERROR(MATCH(ROW()-1,Calc!$K$2:$K$1601,0),"")</f>
        <v/>
      </c>
      <c r="AI1166">
        <f>IF($AG1166="","",SUMIF($AG$2:$AG1166,$AG1166,$AH$2:$AH1166))</f>
        <v/>
      </c>
      <c r="AJ1166">
        <f>IF('TMP Paste'!$F1166="","",IF('TMP Paste'!$B1166="",$AJ1165,'TMP Paste'!$B1166))</f>
        <v/>
      </c>
      <c r="AK1166">
        <f>IF('TMP Paste'!$F1166="","",N('TMP Paste'!$G1166))</f>
        <v/>
      </c>
      <c r="AL1166">
        <f>IF('TMP Paste'!$F1166="","",IF('TMP Paste'!$M1166="",$AL1165,'TMP Paste'!$M1166))</f>
        <v/>
      </c>
      <c r="AM1166">
        <f>IF('TMP Paste'!$F1166="","",IF('TMP Paste'!$N1166="",$AM1165,'TMP Paste'!$N1166))</f>
        <v/>
      </c>
      <c r="AN1166">
        <f>IF('TMP Paste'!$F1166="","",IF('TMP Paste'!$O1166="",$AN1165,'TMP Paste'!$O1166))</f>
        <v/>
      </c>
      <c r="AO1166">
        <f>IF('TMP Paste'!$F1166="","",IF('TMP Paste'!$P1166="",$AO1165,'TMP Paste'!$P1166))</f>
        <v/>
      </c>
      <c r="AP1166">
        <f>IF($AG1166="","",LEN($R1166))</f>
        <v/>
      </c>
      <c r="AQ1166">
        <f>IF($AG1166="","",TRIM(IF(COUNTIFS(Calc!$B$2:$B$1601,ROW()-1,Calc!$C$2:$C$1601,"&lt;1")&gt;0,"Ada PO tanpa Koli - cek TMP. ","")&amp;IF(LEN($R1166)&gt;500,"R &gt; 500 karakter.","")))</f>
        <v/>
      </c>
    </row>
    <row r="1167">
      <c r="A1167">
        <f>IF($AG1167="","",INDEX('TMP Paste'!$B$2:$B$1601,$AG1167))</f>
        <v/>
      </c>
      <c r="B1167">
        <f>IF($AG1167="","",Config!$B$14)</f>
        <v/>
      </c>
      <c r="C1167">
        <f>IF($AG1167="","",Config!$B$15)</f>
        <v/>
      </c>
      <c r="D1167">
        <f>IF($AG1167="","",INDEX('TMP Paste'!$B$2:$B$1601,$AG1167))</f>
        <v/>
      </c>
      <c r="E1167">
        <f>IF($AG1167="","",Config!$B$27)</f>
        <v/>
      </c>
      <c r="F1167">
        <f>IF($AG1167="","",Config!$B$9)</f>
        <v/>
      </c>
      <c r="G1167">
        <f>IF($AG1167="","",Config!$B$10)</f>
        <v/>
      </c>
      <c r="H1167">
        <f>IF($AG1167="","",Config!$B$11)</f>
        <v/>
      </c>
      <c r="I1167">
        <f>IF($AG1167="","",Config!$B$16)</f>
        <v/>
      </c>
      <c r="J1167">
        <f>IF($AG1167="","",INDEX('TMP Paste'!$A$2:$A$1601,$AG1167))</f>
        <v/>
      </c>
      <c r="K1167">
        <f>IF($AG1167="","",INDEX('TMP Paste'!$L$2:$L$1601,$AG1167))</f>
        <v/>
      </c>
      <c r="L1167">
        <f>IF($AG1167="","",INDEX('TMP Paste'!$I$2:$I$1601,$AG1167))</f>
        <v/>
      </c>
      <c r="M1167">
        <f>IF($AG1167="","",Config!$B$16)</f>
        <v/>
      </c>
      <c r="N1167">
        <f>IF($AG1167="","","")</f>
        <v/>
      </c>
      <c r="O1167">
        <f>IF($AG1167="","",INDEX('TMP Paste'!$K$2:$K$1601,$AG1167))</f>
        <v/>
      </c>
      <c r="P1167">
        <f>IF($AG1167="","","")</f>
        <v/>
      </c>
      <c r="Q1167">
        <f>IF($AG1167="","",INDEX('TMP Paste'!$J$2:$J$1601,$AG1167))</f>
        <v/>
      </c>
      <c r="R1167">
        <f>IF($AG1167="","",Config!$B$24)</f>
        <v/>
      </c>
      <c r="S1167">
        <f>IF($AG1167="","",TEXT(Config!$B$4,"yyyy-mm-dd"))</f>
        <v/>
      </c>
      <c r="T1167">
        <f>IF($AG1167="","",Config!$B$17)</f>
        <v/>
      </c>
      <c r="U1167">
        <f>IF($AG1167="","",Config!$B$18)</f>
        <v/>
      </c>
      <c r="V1167">
        <f>IF($AG1167="","",Config!$B$19)</f>
        <v/>
      </c>
      <c r="W1167">
        <f>IF($AG1167="","",INDEX('TMP Paste'!$C$2:$C$1601,$AG1167))</f>
        <v/>
      </c>
      <c r="X1167">
        <f>IF($AG1167="","",Config!$B$29)</f>
        <v/>
      </c>
      <c r="Y1167">
        <f>IF($AH1167="","",INDEX(Calc!$I$2:$I$1601,$AH1167)&amp;" - "&amp;INDEX(Calc!$D$2:$D$1601,$AH1167)&amp;" koli")</f>
        <v/>
      </c>
      <c r="Z1167">
        <f>IF($AG1167="","",Config!$B$21)</f>
        <v/>
      </c>
      <c r="AA1167">
        <f>IF($AG1167="","",Config!$B$22)</f>
        <v/>
      </c>
      <c r="AB1167">
        <f>IF($AH1167="","",INDEX(Calc!$D$2:$D$1601,$AH1167))</f>
        <v/>
      </c>
      <c r="AC1167">
        <f>IF($AH1167="","",INDEX(Calc!$G$2:$G$1601,$AH1167))</f>
        <v/>
      </c>
      <c r="AD1167">
        <f>IF($AG1167="","",Config!$B$23)</f>
        <v/>
      </c>
      <c r="AE1167">
        <f>IF($AG1167="","",Config!$B$28)</f>
        <v/>
      </c>
      <c r="AG1167">
        <f>IFERROR(MATCH(ROW()-1,Calc!$J$2:$J$1601,0),"")</f>
        <v/>
      </c>
      <c r="AH1167">
        <f>IFERROR(MATCH(ROW()-1,Calc!$K$2:$K$1601,0),"")</f>
        <v/>
      </c>
      <c r="AI1167">
        <f>IF($AG1167="","",SUMIF($AG$2:$AG1167,$AG1167,$AH$2:$AH1167))</f>
        <v/>
      </c>
      <c r="AJ1167">
        <f>IF('TMP Paste'!$F1167="","",IF('TMP Paste'!$B1167="",$AJ1166,'TMP Paste'!$B1167))</f>
        <v/>
      </c>
      <c r="AK1167">
        <f>IF('TMP Paste'!$F1167="","",N('TMP Paste'!$G1167))</f>
        <v/>
      </c>
      <c r="AL1167">
        <f>IF('TMP Paste'!$F1167="","",IF('TMP Paste'!$M1167="",$AL1166,'TMP Paste'!$M1167))</f>
        <v/>
      </c>
      <c r="AM1167">
        <f>IF('TMP Paste'!$F1167="","",IF('TMP Paste'!$N1167="",$AM1166,'TMP Paste'!$N1167))</f>
        <v/>
      </c>
      <c r="AN1167">
        <f>IF('TMP Paste'!$F1167="","",IF('TMP Paste'!$O1167="",$AN1166,'TMP Paste'!$O1167))</f>
        <v/>
      </c>
      <c r="AO1167">
        <f>IF('TMP Paste'!$F1167="","",IF('TMP Paste'!$P1167="",$AO1166,'TMP Paste'!$P1167))</f>
        <v/>
      </c>
      <c r="AP1167">
        <f>IF($AG1167="","",LEN($R1167))</f>
        <v/>
      </c>
      <c r="AQ1167">
        <f>IF($AG1167="","",TRIM(IF(COUNTIFS(Calc!$B$2:$B$1601,ROW()-1,Calc!$C$2:$C$1601,"&lt;1")&gt;0,"Ada PO tanpa Koli - cek TMP. ","")&amp;IF(LEN($R1167)&gt;500,"R &gt; 500 karakter.","")))</f>
        <v/>
      </c>
    </row>
    <row r="1168">
      <c r="A1168">
        <f>IF($AG1168="","",INDEX('TMP Paste'!$B$2:$B$1601,$AG1168))</f>
        <v/>
      </c>
      <c r="B1168">
        <f>IF($AG1168="","",Config!$B$14)</f>
        <v/>
      </c>
      <c r="C1168">
        <f>IF($AG1168="","",Config!$B$15)</f>
        <v/>
      </c>
      <c r="D1168">
        <f>IF($AG1168="","",INDEX('TMP Paste'!$B$2:$B$1601,$AG1168))</f>
        <v/>
      </c>
      <c r="E1168">
        <f>IF($AG1168="","",Config!$B$27)</f>
        <v/>
      </c>
      <c r="F1168">
        <f>IF($AG1168="","",Config!$B$9)</f>
        <v/>
      </c>
      <c r="G1168">
        <f>IF($AG1168="","",Config!$B$10)</f>
        <v/>
      </c>
      <c r="H1168">
        <f>IF($AG1168="","",Config!$B$11)</f>
        <v/>
      </c>
      <c r="I1168">
        <f>IF($AG1168="","",Config!$B$16)</f>
        <v/>
      </c>
      <c r="J1168">
        <f>IF($AG1168="","",INDEX('TMP Paste'!$A$2:$A$1601,$AG1168))</f>
        <v/>
      </c>
      <c r="K1168">
        <f>IF($AG1168="","",INDEX('TMP Paste'!$L$2:$L$1601,$AG1168))</f>
        <v/>
      </c>
      <c r="L1168">
        <f>IF($AG1168="","",INDEX('TMP Paste'!$I$2:$I$1601,$AG1168))</f>
        <v/>
      </c>
      <c r="M1168">
        <f>IF($AG1168="","",Config!$B$16)</f>
        <v/>
      </c>
      <c r="N1168">
        <f>IF($AG1168="","","")</f>
        <v/>
      </c>
      <c r="O1168">
        <f>IF($AG1168="","",INDEX('TMP Paste'!$K$2:$K$1601,$AG1168))</f>
        <v/>
      </c>
      <c r="P1168">
        <f>IF($AG1168="","","")</f>
        <v/>
      </c>
      <c r="Q1168">
        <f>IF($AG1168="","",INDEX('TMP Paste'!$J$2:$J$1601,$AG1168))</f>
        <v/>
      </c>
      <c r="R1168">
        <f>IF($AG1168="","",Config!$B$24)</f>
        <v/>
      </c>
      <c r="S1168">
        <f>IF($AG1168="","",TEXT(Config!$B$4,"yyyy-mm-dd"))</f>
        <v/>
      </c>
      <c r="T1168">
        <f>IF($AG1168="","",Config!$B$17)</f>
        <v/>
      </c>
      <c r="U1168">
        <f>IF($AG1168="","",Config!$B$18)</f>
        <v/>
      </c>
      <c r="V1168">
        <f>IF($AG1168="","",Config!$B$19)</f>
        <v/>
      </c>
      <c r="W1168">
        <f>IF($AG1168="","",INDEX('TMP Paste'!$C$2:$C$1601,$AG1168))</f>
        <v/>
      </c>
      <c r="X1168">
        <f>IF($AG1168="","",Config!$B$29)</f>
        <v/>
      </c>
      <c r="Y1168">
        <f>IF($AH1168="","",INDEX(Calc!$I$2:$I$1601,$AH1168)&amp;" - "&amp;INDEX(Calc!$D$2:$D$1601,$AH1168)&amp;" koli")</f>
        <v/>
      </c>
      <c r="Z1168">
        <f>IF($AG1168="","",Config!$B$21)</f>
        <v/>
      </c>
      <c r="AA1168">
        <f>IF($AG1168="","",Config!$B$22)</f>
        <v/>
      </c>
      <c r="AB1168">
        <f>IF($AH1168="","",INDEX(Calc!$D$2:$D$1601,$AH1168))</f>
        <v/>
      </c>
      <c r="AC1168">
        <f>IF($AH1168="","",INDEX(Calc!$G$2:$G$1601,$AH1168))</f>
        <v/>
      </c>
      <c r="AD1168">
        <f>IF($AG1168="","",Config!$B$23)</f>
        <v/>
      </c>
      <c r="AE1168">
        <f>IF($AG1168="","",Config!$B$28)</f>
        <v/>
      </c>
      <c r="AG1168">
        <f>IFERROR(MATCH(ROW()-1,Calc!$J$2:$J$1601,0),"")</f>
        <v/>
      </c>
      <c r="AH1168">
        <f>IFERROR(MATCH(ROW()-1,Calc!$K$2:$K$1601,0),"")</f>
        <v/>
      </c>
      <c r="AI1168">
        <f>IF($AG1168="","",SUMIF($AG$2:$AG1168,$AG1168,$AH$2:$AH1168))</f>
        <v/>
      </c>
      <c r="AJ1168">
        <f>IF('TMP Paste'!$F1168="","",IF('TMP Paste'!$B1168="",$AJ1167,'TMP Paste'!$B1168))</f>
        <v/>
      </c>
      <c r="AK1168">
        <f>IF('TMP Paste'!$F1168="","",N('TMP Paste'!$G1168))</f>
        <v/>
      </c>
      <c r="AL1168">
        <f>IF('TMP Paste'!$F1168="","",IF('TMP Paste'!$M1168="",$AL1167,'TMP Paste'!$M1168))</f>
        <v/>
      </c>
      <c r="AM1168">
        <f>IF('TMP Paste'!$F1168="","",IF('TMP Paste'!$N1168="",$AM1167,'TMP Paste'!$N1168))</f>
        <v/>
      </c>
      <c r="AN1168">
        <f>IF('TMP Paste'!$F1168="","",IF('TMP Paste'!$O1168="",$AN1167,'TMP Paste'!$O1168))</f>
        <v/>
      </c>
      <c r="AO1168">
        <f>IF('TMP Paste'!$F1168="","",IF('TMP Paste'!$P1168="",$AO1167,'TMP Paste'!$P1168))</f>
        <v/>
      </c>
      <c r="AP1168">
        <f>IF($AG1168="","",LEN($R1168))</f>
        <v/>
      </c>
      <c r="AQ1168">
        <f>IF($AG1168="","",TRIM(IF(COUNTIFS(Calc!$B$2:$B$1601,ROW()-1,Calc!$C$2:$C$1601,"&lt;1")&gt;0,"Ada PO tanpa Koli - cek TMP. ","")&amp;IF(LEN($R1168)&gt;500,"R &gt; 500 karakter.","")))</f>
        <v/>
      </c>
    </row>
    <row r="1169">
      <c r="A1169">
        <f>IF($AG1169="","",INDEX('TMP Paste'!$B$2:$B$1601,$AG1169))</f>
        <v/>
      </c>
      <c r="B1169">
        <f>IF($AG1169="","",Config!$B$14)</f>
        <v/>
      </c>
      <c r="C1169">
        <f>IF($AG1169="","",Config!$B$15)</f>
        <v/>
      </c>
      <c r="D1169">
        <f>IF($AG1169="","",INDEX('TMP Paste'!$B$2:$B$1601,$AG1169))</f>
        <v/>
      </c>
      <c r="E1169">
        <f>IF($AG1169="","",Config!$B$27)</f>
        <v/>
      </c>
      <c r="F1169">
        <f>IF($AG1169="","",Config!$B$9)</f>
        <v/>
      </c>
      <c r="G1169">
        <f>IF($AG1169="","",Config!$B$10)</f>
        <v/>
      </c>
      <c r="H1169">
        <f>IF($AG1169="","",Config!$B$11)</f>
        <v/>
      </c>
      <c r="I1169">
        <f>IF($AG1169="","",Config!$B$16)</f>
        <v/>
      </c>
      <c r="J1169">
        <f>IF($AG1169="","",INDEX('TMP Paste'!$A$2:$A$1601,$AG1169))</f>
        <v/>
      </c>
      <c r="K1169">
        <f>IF($AG1169="","",INDEX('TMP Paste'!$L$2:$L$1601,$AG1169))</f>
        <v/>
      </c>
      <c r="L1169">
        <f>IF($AG1169="","",INDEX('TMP Paste'!$I$2:$I$1601,$AG1169))</f>
        <v/>
      </c>
      <c r="M1169">
        <f>IF($AG1169="","",Config!$B$16)</f>
        <v/>
      </c>
      <c r="N1169">
        <f>IF($AG1169="","","")</f>
        <v/>
      </c>
      <c r="O1169">
        <f>IF($AG1169="","",INDEX('TMP Paste'!$K$2:$K$1601,$AG1169))</f>
        <v/>
      </c>
      <c r="P1169">
        <f>IF($AG1169="","","")</f>
        <v/>
      </c>
      <c r="Q1169">
        <f>IF($AG1169="","",INDEX('TMP Paste'!$J$2:$J$1601,$AG1169))</f>
        <v/>
      </c>
      <c r="R1169">
        <f>IF($AG1169="","",Config!$B$24)</f>
        <v/>
      </c>
      <c r="S1169">
        <f>IF($AG1169="","",TEXT(Config!$B$4,"yyyy-mm-dd"))</f>
        <v/>
      </c>
      <c r="T1169">
        <f>IF($AG1169="","",Config!$B$17)</f>
        <v/>
      </c>
      <c r="U1169">
        <f>IF($AG1169="","",Config!$B$18)</f>
        <v/>
      </c>
      <c r="V1169">
        <f>IF($AG1169="","",Config!$B$19)</f>
        <v/>
      </c>
      <c r="W1169">
        <f>IF($AG1169="","",INDEX('TMP Paste'!$C$2:$C$1601,$AG1169))</f>
        <v/>
      </c>
      <c r="X1169">
        <f>IF($AG1169="","",Config!$B$29)</f>
        <v/>
      </c>
      <c r="Y1169">
        <f>IF($AH1169="","",INDEX(Calc!$I$2:$I$1601,$AH1169)&amp;" - "&amp;INDEX(Calc!$D$2:$D$1601,$AH1169)&amp;" koli")</f>
        <v/>
      </c>
      <c r="Z1169">
        <f>IF($AG1169="","",Config!$B$21)</f>
        <v/>
      </c>
      <c r="AA1169">
        <f>IF($AG1169="","",Config!$B$22)</f>
        <v/>
      </c>
      <c r="AB1169">
        <f>IF($AH1169="","",INDEX(Calc!$D$2:$D$1601,$AH1169))</f>
        <v/>
      </c>
      <c r="AC1169">
        <f>IF($AH1169="","",INDEX(Calc!$G$2:$G$1601,$AH1169))</f>
        <v/>
      </c>
      <c r="AD1169">
        <f>IF($AG1169="","",Config!$B$23)</f>
        <v/>
      </c>
      <c r="AE1169">
        <f>IF($AG1169="","",Config!$B$28)</f>
        <v/>
      </c>
      <c r="AG1169">
        <f>IFERROR(MATCH(ROW()-1,Calc!$J$2:$J$1601,0),"")</f>
        <v/>
      </c>
      <c r="AH1169">
        <f>IFERROR(MATCH(ROW()-1,Calc!$K$2:$K$1601,0),"")</f>
        <v/>
      </c>
      <c r="AI1169">
        <f>IF($AG1169="","",SUMIF($AG$2:$AG1169,$AG1169,$AH$2:$AH1169))</f>
        <v/>
      </c>
      <c r="AJ1169">
        <f>IF('TMP Paste'!$F1169="","",IF('TMP Paste'!$B1169="",$AJ1168,'TMP Paste'!$B1169))</f>
        <v/>
      </c>
      <c r="AK1169">
        <f>IF('TMP Paste'!$F1169="","",N('TMP Paste'!$G1169))</f>
        <v/>
      </c>
      <c r="AL1169">
        <f>IF('TMP Paste'!$F1169="","",IF('TMP Paste'!$M1169="",$AL1168,'TMP Paste'!$M1169))</f>
        <v/>
      </c>
      <c r="AM1169">
        <f>IF('TMP Paste'!$F1169="","",IF('TMP Paste'!$N1169="",$AM1168,'TMP Paste'!$N1169))</f>
        <v/>
      </c>
      <c r="AN1169">
        <f>IF('TMP Paste'!$F1169="","",IF('TMP Paste'!$O1169="",$AN1168,'TMP Paste'!$O1169))</f>
        <v/>
      </c>
      <c r="AO1169">
        <f>IF('TMP Paste'!$F1169="","",IF('TMP Paste'!$P1169="",$AO1168,'TMP Paste'!$P1169))</f>
        <v/>
      </c>
      <c r="AP1169">
        <f>IF($AG1169="","",LEN($R1169))</f>
        <v/>
      </c>
      <c r="AQ1169">
        <f>IF($AG1169="","",TRIM(IF(COUNTIFS(Calc!$B$2:$B$1601,ROW()-1,Calc!$C$2:$C$1601,"&lt;1")&gt;0,"Ada PO tanpa Koli - cek TMP. ","")&amp;IF(LEN($R1169)&gt;500,"R &gt; 500 karakter.","")))</f>
        <v/>
      </c>
    </row>
    <row r="1170">
      <c r="A1170">
        <f>IF($AG1170="","",INDEX('TMP Paste'!$B$2:$B$1601,$AG1170))</f>
        <v/>
      </c>
      <c r="B1170">
        <f>IF($AG1170="","",Config!$B$14)</f>
        <v/>
      </c>
      <c r="C1170">
        <f>IF($AG1170="","",Config!$B$15)</f>
        <v/>
      </c>
      <c r="D1170">
        <f>IF($AG1170="","",INDEX('TMP Paste'!$B$2:$B$1601,$AG1170))</f>
        <v/>
      </c>
      <c r="E1170">
        <f>IF($AG1170="","",Config!$B$27)</f>
        <v/>
      </c>
      <c r="F1170">
        <f>IF($AG1170="","",Config!$B$9)</f>
        <v/>
      </c>
      <c r="G1170">
        <f>IF($AG1170="","",Config!$B$10)</f>
        <v/>
      </c>
      <c r="H1170">
        <f>IF($AG1170="","",Config!$B$11)</f>
        <v/>
      </c>
      <c r="I1170">
        <f>IF($AG1170="","",Config!$B$16)</f>
        <v/>
      </c>
      <c r="J1170">
        <f>IF($AG1170="","",INDEX('TMP Paste'!$A$2:$A$1601,$AG1170))</f>
        <v/>
      </c>
      <c r="K1170">
        <f>IF($AG1170="","",INDEX('TMP Paste'!$L$2:$L$1601,$AG1170))</f>
        <v/>
      </c>
      <c r="L1170">
        <f>IF($AG1170="","",INDEX('TMP Paste'!$I$2:$I$1601,$AG1170))</f>
        <v/>
      </c>
      <c r="M1170">
        <f>IF($AG1170="","",Config!$B$16)</f>
        <v/>
      </c>
      <c r="N1170">
        <f>IF($AG1170="","","")</f>
        <v/>
      </c>
      <c r="O1170">
        <f>IF($AG1170="","",INDEX('TMP Paste'!$K$2:$K$1601,$AG1170))</f>
        <v/>
      </c>
      <c r="P1170">
        <f>IF($AG1170="","","")</f>
        <v/>
      </c>
      <c r="Q1170">
        <f>IF($AG1170="","",INDEX('TMP Paste'!$J$2:$J$1601,$AG1170))</f>
        <v/>
      </c>
      <c r="R1170">
        <f>IF($AG1170="","",Config!$B$24)</f>
        <v/>
      </c>
      <c r="S1170">
        <f>IF($AG1170="","",TEXT(Config!$B$4,"yyyy-mm-dd"))</f>
        <v/>
      </c>
      <c r="T1170">
        <f>IF($AG1170="","",Config!$B$17)</f>
        <v/>
      </c>
      <c r="U1170">
        <f>IF($AG1170="","",Config!$B$18)</f>
        <v/>
      </c>
      <c r="V1170">
        <f>IF($AG1170="","",Config!$B$19)</f>
        <v/>
      </c>
      <c r="W1170">
        <f>IF($AG1170="","",INDEX('TMP Paste'!$C$2:$C$1601,$AG1170))</f>
        <v/>
      </c>
      <c r="X1170">
        <f>IF($AG1170="","",Config!$B$29)</f>
        <v/>
      </c>
      <c r="Y1170">
        <f>IF($AH1170="","",INDEX(Calc!$I$2:$I$1601,$AH1170)&amp;" - "&amp;INDEX(Calc!$D$2:$D$1601,$AH1170)&amp;" koli")</f>
        <v/>
      </c>
      <c r="Z1170">
        <f>IF($AG1170="","",Config!$B$21)</f>
        <v/>
      </c>
      <c r="AA1170">
        <f>IF($AG1170="","",Config!$B$22)</f>
        <v/>
      </c>
      <c r="AB1170">
        <f>IF($AH1170="","",INDEX(Calc!$D$2:$D$1601,$AH1170))</f>
        <v/>
      </c>
      <c r="AC1170">
        <f>IF($AH1170="","",INDEX(Calc!$G$2:$G$1601,$AH1170))</f>
        <v/>
      </c>
      <c r="AD1170">
        <f>IF($AG1170="","",Config!$B$23)</f>
        <v/>
      </c>
      <c r="AE1170">
        <f>IF($AG1170="","",Config!$B$28)</f>
        <v/>
      </c>
      <c r="AG1170">
        <f>IFERROR(MATCH(ROW()-1,Calc!$J$2:$J$1601,0),"")</f>
        <v/>
      </c>
      <c r="AH1170">
        <f>IFERROR(MATCH(ROW()-1,Calc!$K$2:$K$1601,0),"")</f>
        <v/>
      </c>
      <c r="AI1170">
        <f>IF($AG1170="","",SUMIF($AG$2:$AG1170,$AG1170,$AH$2:$AH1170))</f>
        <v/>
      </c>
      <c r="AJ1170">
        <f>IF('TMP Paste'!$F1170="","",IF('TMP Paste'!$B1170="",$AJ1169,'TMP Paste'!$B1170))</f>
        <v/>
      </c>
      <c r="AK1170">
        <f>IF('TMP Paste'!$F1170="","",N('TMP Paste'!$G1170))</f>
        <v/>
      </c>
      <c r="AL1170">
        <f>IF('TMP Paste'!$F1170="","",IF('TMP Paste'!$M1170="",$AL1169,'TMP Paste'!$M1170))</f>
        <v/>
      </c>
      <c r="AM1170">
        <f>IF('TMP Paste'!$F1170="","",IF('TMP Paste'!$N1170="",$AM1169,'TMP Paste'!$N1170))</f>
        <v/>
      </c>
      <c r="AN1170">
        <f>IF('TMP Paste'!$F1170="","",IF('TMP Paste'!$O1170="",$AN1169,'TMP Paste'!$O1170))</f>
        <v/>
      </c>
      <c r="AO1170">
        <f>IF('TMP Paste'!$F1170="","",IF('TMP Paste'!$P1170="",$AO1169,'TMP Paste'!$P1170))</f>
        <v/>
      </c>
      <c r="AP1170">
        <f>IF($AG1170="","",LEN($R1170))</f>
        <v/>
      </c>
      <c r="AQ1170">
        <f>IF($AG1170="","",TRIM(IF(COUNTIFS(Calc!$B$2:$B$1601,ROW()-1,Calc!$C$2:$C$1601,"&lt;1")&gt;0,"Ada PO tanpa Koli - cek TMP. ","")&amp;IF(LEN($R1170)&gt;500,"R &gt; 500 karakter.","")))</f>
        <v/>
      </c>
    </row>
    <row r="1171">
      <c r="A1171">
        <f>IF($AG1171="","",INDEX('TMP Paste'!$B$2:$B$1601,$AG1171))</f>
        <v/>
      </c>
      <c r="B1171">
        <f>IF($AG1171="","",Config!$B$14)</f>
        <v/>
      </c>
      <c r="C1171">
        <f>IF($AG1171="","",Config!$B$15)</f>
        <v/>
      </c>
      <c r="D1171">
        <f>IF($AG1171="","",INDEX('TMP Paste'!$B$2:$B$1601,$AG1171))</f>
        <v/>
      </c>
      <c r="E1171">
        <f>IF($AG1171="","",Config!$B$27)</f>
        <v/>
      </c>
      <c r="F1171">
        <f>IF($AG1171="","",Config!$B$9)</f>
        <v/>
      </c>
      <c r="G1171">
        <f>IF($AG1171="","",Config!$B$10)</f>
        <v/>
      </c>
      <c r="H1171">
        <f>IF($AG1171="","",Config!$B$11)</f>
        <v/>
      </c>
      <c r="I1171">
        <f>IF($AG1171="","",Config!$B$16)</f>
        <v/>
      </c>
      <c r="J1171">
        <f>IF($AG1171="","",INDEX('TMP Paste'!$A$2:$A$1601,$AG1171))</f>
        <v/>
      </c>
      <c r="K1171">
        <f>IF($AG1171="","",INDEX('TMP Paste'!$L$2:$L$1601,$AG1171))</f>
        <v/>
      </c>
      <c r="L1171">
        <f>IF($AG1171="","",INDEX('TMP Paste'!$I$2:$I$1601,$AG1171))</f>
        <v/>
      </c>
      <c r="M1171">
        <f>IF($AG1171="","",Config!$B$16)</f>
        <v/>
      </c>
      <c r="N1171">
        <f>IF($AG1171="","","")</f>
        <v/>
      </c>
      <c r="O1171">
        <f>IF($AG1171="","",INDEX('TMP Paste'!$K$2:$K$1601,$AG1171))</f>
        <v/>
      </c>
      <c r="P1171">
        <f>IF($AG1171="","","")</f>
        <v/>
      </c>
      <c r="Q1171">
        <f>IF($AG1171="","",INDEX('TMP Paste'!$J$2:$J$1601,$AG1171))</f>
        <v/>
      </c>
      <c r="R1171">
        <f>IF($AG1171="","",Config!$B$24)</f>
        <v/>
      </c>
      <c r="S1171">
        <f>IF($AG1171="","",TEXT(Config!$B$4,"yyyy-mm-dd"))</f>
        <v/>
      </c>
      <c r="T1171">
        <f>IF($AG1171="","",Config!$B$17)</f>
        <v/>
      </c>
      <c r="U1171">
        <f>IF($AG1171="","",Config!$B$18)</f>
        <v/>
      </c>
      <c r="V1171">
        <f>IF($AG1171="","",Config!$B$19)</f>
        <v/>
      </c>
      <c r="W1171">
        <f>IF($AG1171="","",INDEX('TMP Paste'!$C$2:$C$1601,$AG1171))</f>
        <v/>
      </c>
      <c r="X1171">
        <f>IF($AG1171="","",Config!$B$29)</f>
        <v/>
      </c>
      <c r="Y1171">
        <f>IF($AH1171="","",INDEX(Calc!$I$2:$I$1601,$AH1171)&amp;" - "&amp;INDEX(Calc!$D$2:$D$1601,$AH1171)&amp;" koli")</f>
        <v/>
      </c>
      <c r="Z1171">
        <f>IF($AG1171="","",Config!$B$21)</f>
        <v/>
      </c>
      <c r="AA1171">
        <f>IF($AG1171="","",Config!$B$22)</f>
        <v/>
      </c>
      <c r="AB1171">
        <f>IF($AH1171="","",INDEX(Calc!$D$2:$D$1601,$AH1171))</f>
        <v/>
      </c>
      <c r="AC1171">
        <f>IF($AH1171="","",INDEX(Calc!$G$2:$G$1601,$AH1171))</f>
        <v/>
      </c>
      <c r="AD1171">
        <f>IF($AG1171="","",Config!$B$23)</f>
        <v/>
      </c>
      <c r="AE1171">
        <f>IF($AG1171="","",Config!$B$28)</f>
        <v/>
      </c>
      <c r="AG1171">
        <f>IFERROR(MATCH(ROW()-1,Calc!$J$2:$J$1601,0),"")</f>
        <v/>
      </c>
      <c r="AH1171">
        <f>IFERROR(MATCH(ROW()-1,Calc!$K$2:$K$1601,0),"")</f>
        <v/>
      </c>
      <c r="AI1171">
        <f>IF($AG1171="","",SUMIF($AG$2:$AG1171,$AG1171,$AH$2:$AH1171))</f>
        <v/>
      </c>
      <c r="AJ1171">
        <f>IF('TMP Paste'!$F1171="","",IF('TMP Paste'!$B1171="",$AJ1170,'TMP Paste'!$B1171))</f>
        <v/>
      </c>
      <c r="AK1171">
        <f>IF('TMP Paste'!$F1171="","",N('TMP Paste'!$G1171))</f>
        <v/>
      </c>
      <c r="AL1171">
        <f>IF('TMP Paste'!$F1171="","",IF('TMP Paste'!$M1171="",$AL1170,'TMP Paste'!$M1171))</f>
        <v/>
      </c>
      <c r="AM1171">
        <f>IF('TMP Paste'!$F1171="","",IF('TMP Paste'!$N1171="",$AM1170,'TMP Paste'!$N1171))</f>
        <v/>
      </c>
      <c r="AN1171">
        <f>IF('TMP Paste'!$F1171="","",IF('TMP Paste'!$O1171="",$AN1170,'TMP Paste'!$O1171))</f>
        <v/>
      </c>
      <c r="AO1171">
        <f>IF('TMP Paste'!$F1171="","",IF('TMP Paste'!$P1171="",$AO1170,'TMP Paste'!$P1171))</f>
        <v/>
      </c>
      <c r="AP1171">
        <f>IF($AG1171="","",LEN($R1171))</f>
        <v/>
      </c>
      <c r="AQ1171">
        <f>IF($AG1171="","",TRIM(IF(COUNTIFS(Calc!$B$2:$B$1601,ROW()-1,Calc!$C$2:$C$1601,"&lt;1")&gt;0,"Ada PO tanpa Koli - cek TMP. ","")&amp;IF(LEN($R1171)&gt;500,"R &gt; 500 karakter.","")))</f>
        <v/>
      </c>
    </row>
    <row r="1172">
      <c r="A1172">
        <f>IF($AG1172="","",INDEX('TMP Paste'!$B$2:$B$1601,$AG1172))</f>
        <v/>
      </c>
      <c r="B1172">
        <f>IF($AG1172="","",Config!$B$14)</f>
        <v/>
      </c>
      <c r="C1172">
        <f>IF($AG1172="","",Config!$B$15)</f>
        <v/>
      </c>
      <c r="D1172">
        <f>IF($AG1172="","",INDEX('TMP Paste'!$B$2:$B$1601,$AG1172))</f>
        <v/>
      </c>
      <c r="E1172">
        <f>IF($AG1172="","",Config!$B$27)</f>
        <v/>
      </c>
      <c r="F1172">
        <f>IF($AG1172="","",Config!$B$9)</f>
        <v/>
      </c>
      <c r="G1172">
        <f>IF($AG1172="","",Config!$B$10)</f>
        <v/>
      </c>
      <c r="H1172">
        <f>IF($AG1172="","",Config!$B$11)</f>
        <v/>
      </c>
      <c r="I1172">
        <f>IF($AG1172="","",Config!$B$16)</f>
        <v/>
      </c>
      <c r="J1172">
        <f>IF($AG1172="","",INDEX('TMP Paste'!$A$2:$A$1601,$AG1172))</f>
        <v/>
      </c>
      <c r="K1172">
        <f>IF($AG1172="","",INDEX('TMP Paste'!$L$2:$L$1601,$AG1172))</f>
        <v/>
      </c>
      <c r="L1172">
        <f>IF($AG1172="","",INDEX('TMP Paste'!$I$2:$I$1601,$AG1172))</f>
        <v/>
      </c>
      <c r="M1172">
        <f>IF($AG1172="","",Config!$B$16)</f>
        <v/>
      </c>
      <c r="N1172">
        <f>IF($AG1172="","","")</f>
        <v/>
      </c>
      <c r="O1172">
        <f>IF($AG1172="","",INDEX('TMP Paste'!$K$2:$K$1601,$AG1172))</f>
        <v/>
      </c>
      <c r="P1172">
        <f>IF($AG1172="","","")</f>
        <v/>
      </c>
      <c r="Q1172">
        <f>IF($AG1172="","",INDEX('TMP Paste'!$J$2:$J$1601,$AG1172))</f>
        <v/>
      </c>
      <c r="R1172">
        <f>IF($AG1172="","",Config!$B$24)</f>
        <v/>
      </c>
      <c r="S1172">
        <f>IF($AG1172="","",TEXT(Config!$B$4,"yyyy-mm-dd"))</f>
        <v/>
      </c>
      <c r="T1172">
        <f>IF($AG1172="","",Config!$B$17)</f>
        <v/>
      </c>
      <c r="U1172">
        <f>IF($AG1172="","",Config!$B$18)</f>
        <v/>
      </c>
      <c r="V1172">
        <f>IF($AG1172="","",Config!$B$19)</f>
        <v/>
      </c>
      <c r="W1172">
        <f>IF($AG1172="","",INDEX('TMP Paste'!$C$2:$C$1601,$AG1172))</f>
        <v/>
      </c>
      <c r="X1172">
        <f>IF($AG1172="","",Config!$B$29)</f>
        <v/>
      </c>
      <c r="Y1172">
        <f>IF($AH1172="","",INDEX(Calc!$I$2:$I$1601,$AH1172)&amp;" - "&amp;INDEX(Calc!$D$2:$D$1601,$AH1172)&amp;" koli")</f>
        <v/>
      </c>
      <c r="Z1172">
        <f>IF($AG1172="","",Config!$B$21)</f>
        <v/>
      </c>
      <c r="AA1172">
        <f>IF($AG1172="","",Config!$B$22)</f>
        <v/>
      </c>
      <c r="AB1172">
        <f>IF($AH1172="","",INDEX(Calc!$D$2:$D$1601,$AH1172))</f>
        <v/>
      </c>
      <c r="AC1172">
        <f>IF($AH1172="","",INDEX(Calc!$G$2:$G$1601,$AH1172))</f>
        <v/>
      </c>
      <c r="AD1172">
        <f>IF($AG1172="","",Config!$B$23)</f>
        <v/>
      </c>
      <c r="AE1172">
        <f>IF($AG1172="","",Config!$B$28)</f>
        <v/>
      </c>
      <c r="AG1172">
        <f>IFERROR(MATCH(ROW()-1,Calc!$J$2:$J$1601,0),"")</f>
        <v/>
      </c>
      <c r="AH1172">
        <f>IFERROR(MATCH(ROW()-1,Calc!$K$2:$K$1601,0),"")</f>
        <v/>
      </c>
      <c r="AI1172">
        <f>IF($AG1172="","",SUMIF($AG$2:$AG1172,$AG1172,$AH$2:$AH1172))</f>
        <v/>
      </c>
      <c r="AJ1172">
        <f>IF('TMP Paste'!$F1172="","",IF('TMP Paste'!$B1172="",$AJ1171,'TMP Paste'!$B1172))</f>
        <v/>
      </c>
      <c r="AK1172">
        <f>IF('TMP Paste'!$F1172="","",N('TMP Paste'!$G1172))</f>
        <v/>
      </c>
      <c r="AL1172">
        <f>IF('TMP Paste'!$F1172="","",IF('TMP Paste'!$M1172="",$AL1171,'TMP Paste'!$M1172))</f>
        <v/>
      </c>
      <c r="AM1172">
        <f>IF('TMP Paste'!$F1172="","",IF('TMP Paste'!$N1172="",$AM1171,'TMP Paste'!$N1172))</f>
        <v/>
      </c>
      <c r="AN1172">
        <f>IF('TMP Paste'!$F1172="","",IF('TMP Paste'!$O1172="",$AN1171,'TMP Paste'!$O1172))</f>
        <v/>
      </c>
      <c r="AO1172">
        <f>IF('TMP Paste'!$F1172="","",IF('TMP Paste'!$P1172="",$AO1171,'TMP Paste'!$P1172))</f>
        <v/>
      </c>
      <c r="AP1172">
        <f>IF($AG1172="","",LEN($R1172))</f>
        <v/>
      </c>
      <c r="AQ1172">
        <f>IF($AG1172="","",TRIM(IF(COUNTIFS(Calc!$B$2:$B$1601,ROW()-1,Calc!$C$2:$C$1601,"&lt;1")&gt;0,"Ada PO tanpa Koli - cek TMP. ","")&amp;IF(LEN($R1172)&gt;500,"R &gt; 500 karakter.","")))</f>
        <v/>
      </c>
    </row>
    <row r="1173">
      <c r="A1173">
        <f>IF($AG1173="","",INDEX('TMP Paste'!$B$2:$B$1601,$AG1173))</f>
        <v/>
      </c>
      <c r="B1173">
        <f>IF($AG1173="","",Config!$B$14)</f>
        <v/>
      </c>
      <c r="C1173">
        <f>IF($AG1173="","",Config!$B$15)</f>
        <v/>
      </c>
      <c r="D1173">
        <f>IF($AG1173="","",INDEX('TMP Paste'!$B$2:$B$1601,$AG1173))</f>
        <v/>
      </c>
      <c r="E1173">
        <f>IF($AG1173="","",Config!$B$27)</f>
        <v/>
      </c>
      <c r="F1173">
        <f>IF($AG1173="","",Config!$B$9)</f>
        <v/>
      </c>
      <c r="G1173">
        <f>IF($AG1173="","",Config!$B$10)</f>
        <v/>
      </c>
      <c r="H1173">
        <f>IF($AG1173="","",Config!$B$11)</f>
        <v/>
      </c>
      <c r="I1173">
        <f>IF($AG1173="","",Config!$B$16)</f>
        <v/>
      </c>
      <c r="J1173">
        <f>IF($AG1173="","",INDEX('TMP Paste'!$A$2:$A$1601,$AG1173))</f>
        <v/>
      </c>
      <c r="K1173">
        <f>IF($AG1173="","",INDEX('TMP Paste'!$L$2:$L$1601,$AG1173))</f>
        <v/>
      </c>
      <c r="L1173">
        <f>IF($AG1173="","",INDEX('TMP Paste'!$I$2:$I$1601,$AG1173))</f>
        <v/>
      </c>
      <c r="M1173">
        <f>IF($AG1173="","",Config!$B$16)</f>
        <v/>
      </c>
      <c r="N1173">
        <f>IF($AG1173="","","")</f>
        <v/>
      </c>
      <c r="O1173">
        <f>IF($AG1173="","",INDEX('TMP Paste'!$K$2:$K$1601,$AG1173))</f>
        <v/>
      </c>
      <c r="P1173">
        <f>IF($AG1173="","","")</f>
        <v/>
      </c>
      <c r="Q1173">
        <f>IF($AG1173="","",INDEX('TMP Paste'!$J$2:$J$1601,$AG1173))</f>
        <v/>
      </c>
      <c r="R1173">
        <f>IF($AG1173="","",Config!$B$24)</f>
        <v/>
      </c>
      <c r="S1173">
        <f>IF($AG1173="","",TEXT(Config!$B$4,"yyyy-mm-dd"))</f>
        <v/>
      </c>
      <c r="T1173">
        <f>IF($AG1173="","",Config!$B$17)</f>
        <v/>
      </c>
      <c r="U1173">
        <f>IF($AG1173="","",Config!$B$18)</f>
        <v/>
      </c>
      <c r="V1173">
        <f>IF($AG1173="","",Config!$B$19)</f>
        <v/>
      </c>
      <c r="W1173">
        <f>IF($AG1173="","",INDEX('TMP Paste'!$C$2:$C$1601,$AG1173))</f>
        <v/>
      </c>
      <c r="X1173">
        <f>IF($AG1173="","",Config!$B$29)</f>
        <v/>
      </c>
      <c r="Y1173">
        <f>IF($AH1173="","",INDEX(Calc!$I$2:$I$1601,$AH1173)&amp;" - "&amp;INDEX(Calc!$D$2:$D$1601,$AH1173)&amp;" koli")</f>
        <v/>
      </c>
      <c r="Z1173">
        <f>IF($AG1173="","",Config!$B$21)</f>
        <v/>
      </c>
      <c r="AA1173">
        <f>IF($AG1173="","",Config!$B$22)</f>
        <v/>
      </c>
      <c r="AB1173">
        <f>IF($AH1173="","",INDEX(Calc!$D$2:$D$1601,$AH1173))</f>
        <v/>
      </c>
      <c r="AC1173">
        <f>IF($AH1173="","",INDEX(Calc!$G$2:$G$1601,$AH1173))</f>
        <v/>
      </c>
      <c r="AD1173">
        <f>IF($AG1173="","",Config!$B$23)</f>
        <v/>
      </c>
      <c r="AE1173">
        <f>IF($AG1173="","",Config!$B$28)</f>
        <v/>
      </c>
      <c r="AG1173">
        <f>IFERROR(MATCH(ROW()-1,Calc!$J$2:$J$1601,0),"")</f>
        <v/>
      </c>
      <c r="AH1173">
        <f>IFERROR(MATCH(ROW()-1,Calc!$K$2:$K$1601,0),"")</f>
        <v/>
      </c>
      <c r="AI1173">
        <f>IF($AG1173="","",SUMIF($AG$2:$AG1173,$AG1173,$AH$2:$AH1173))</f>
        <v/>
      </c>
      <c r="AJ1173">
        <f>IF('TMP Paste'!$F1173="","",IF('TMP Paste'!$B1173="",$AJ1172,'TMP Paste'!$B1173))</f>
        <v/>
      </c>
      <c r="AK1173">
        <f>IF('TMP Paste'!$F1173="","",N('TMP Paste'!$G1173))</f>
        <v/>
      </c>
      <c r="AL1173">
        <f>IF('TMP Paste'!$F1173="","",IF('TMP Paste'!$M1173="",$AL1172,'TMP Paste'!$M1173))</f>
        <v/>
      </c>
      <c r="AM1173">
        <f>IF('TMP Paste'!$F1173="","",IF('TMP Paste'!$N1173="",$AM1172,'TMP Paste'!$N1173))</f>
        <v/>
      </c>
      <c r="AN1173">
        <f>IF('TMP Paste'!$F1173="","",IF('TMP Paste'!$O1173="",$AN1172,'TMP Paste'!$O1173))</f>
        <v/>
      </c>
      <c r="AO1173">
        <f>IF('TMP Paste'!$F1173="","",IF('TMP Paste'!$P1173="",$AO1172,'TMP Paste'!$P1173))</f>
        <v/>
      </c>
      <c r="AP1173">
        <f>IF($AG1173="","",LEN($R1173))</f>
        <v/>
      </c>
      <c r="AQ1173">
        <f>IF($AG1173="","",TRIM(IF(COUNTIFS(Calc!$B$2:$B$1601,ROW()-1,Calc!$C$2:$C$1601,"&lt;1")&gt;0,"Ada PO tanpa Koli - cek TMP. ","")&amp;IF(LEN($R1173)&gt;500,"R &gt; 500 karakter.","")))</f>
        <v/>
      </c>
    </row>
    <row r="1174">
      <c r="A1174">
        <f>IF($AG1174="","",INDEX('TMP Paste'!$B$2:$B$1601,$AG1174))</f>
        <v/>
      </c>
      <c r="B1174">
        <f>IF($AG1174="","",Config!$B$14)</f>
        <v/>
      </c>
      <c r="C1174">
        <f>IF($AG1174="","",Config!$B$15)</f>
        <v/>
      </c>
      <c r="D1174">
        <f>IF($AG1174="","",INDEX('TMP Paste'!$B$2:$B$1601,$AG1174))</f>
        <v/>
      </c>
      <c r="E1174">
        <f>IF($AG1174="","",Config!$B$27)</f>
        <v/>
      </c>
      <c r="F1174">
        <f>IF($AG1174="","",Config!$B$9)</f>
        <v/>
      </c>
      <c r="G1174">
        <f>IF($AG1174="","",Config!$B$10)</f>
        <v/>
      </c>
      <c r="H1174">
        <f>IF($AG1174="","",Config!$B$11)</f>
        <v/>
      </c>
      <c r="I1174">
        <f>IF($AG1174="","",Config!$B$16)</f>
        <v/>
      </c>
      <c r="J1174">
        <f>IF($AG1174="","",INDEX('TMP Paste'!$A$2:$A$1601,$AG1174))</f>
        <v/>
      </c>
      <c r="K1174">
        <f>IF($AG1174="","",INDEX('TMP Paste'!$L$2:$L$1601,$AG1174))</f>
        <v/>
      </c>
      <c r="L1174">
        <f>IF($AG1174="","",INDEX('TMP Paste'!$I$2:$I$1601,$AG1174))</f>
        <v/>
      </c>
      <c r="M1174">
        <f>IF($AG1174="","",Config!$B$16)</f>
        <v/>
      </c>
      <c r="N1174">
        <f>IF($AG1174="","","")</f>
        <v/>
      </c>
      <c r="O1174">
        <f>IF($AG1174="","",INDEX('TMP Paste'!$K$2:$K$1601,$AG1174))</f>
        <v/>
      </c>
      <c r="P1174">
        <f>IF($AG1174="","","")</f>
        <v/>
      </c>
      <c r="Q1174">
        <f>IF($AG1174="","",INDEX('TMP Paste'!$J$2:$J$1601,$AG1174))</f>
        <v/>
      </c>
      <c r="R1174">
        <f>IF($AG1174="","",Config!$B$24)</f>
        <v/>
      </c>
      <c r="S1174">
        <f>IF($AG1174="","",TEXT(Config!$B$4,"yyyy-mm-dd"))</f>
        <v/>
      </c>
      <c r="T1174">
        <f>IF($AG1174="","",Config!$B$17)</f>
        <v/>
      </c>
      <c r="U1174">
        <f>IF($AG1174="","",Config!$B$18)</f>
        <v/>
      </c>
      <c r="V1174">
        <f>IF($AG1174="","",Config!$B$19)</f>
        <v/>
      </c>
      <c r="W1174">
        <f>IF($AG1174="","",INDEX('TMP Paste'!$C$2:$C$1601,$AG1174))</f>
        <v/>
      </c>
      <c r="X1174">
        <f>IF($AG1174="","",Config!$B$29)</f>
        <v/>
      </c>
      <c r="Y1174">
        <f>IF($AH1174="","",INDEX(Calc!$I$2:$I$1601,$AH1174)&amp;" - "&amp;INDEX(Calc!$D$2:$D$1601,$AH1174)&amp;" koli")</f>
        <v/>
      </c>
      <c r="Z1174">
        <f>IF($AG1174="","",Config!$B$21)</f>
        <v/>
      </c>
      <c r="AA1174">
        <f>IF($AG1174="","",Config!$B$22)</f>
        <v/>
      </c>
      <c r="AB1174">
        <f>IF($AH1174="","",INDEX(Calc!$D$2:$D$1601,$AH1174))</f>
        <v/>
      </c>
      <c r="AC1174">
        <f>IF($AH1174="","",INDEX(Calc!$G$2:$G$1601,$AH1174))</f>
        <v/>
      </c>
      <c r="AD1174">
        <f>IF($AG1174="","",Config!$B$23)</f>
        <v/>
      </c>
      <c r="AE1174">
        <f>IF($AG1174="","",Config!$B$28)</f>
        <v/>
      </c>
      <c r="AG1174">
        <f>IFERROR(MATCH(ROW()-1,Calc!$J$2:$J$1601,0),"")</f>
        <v/>
      </c>
      <c r="AH1174">
        <f>IFERROR(MATCH(ROW()-1,Calc!$K$2:$K$1601,0),"")</f>
        <v/>
      </c>
      <c r="AI1174">
        <f>IF($AG1174="","",SUMIF($AG$2:$AG1174,$AG1174,$AH$2:$AH1174))</f>
        <v/>
      </c>
      <c r="AJ1174">
        <f>IF('TMP Paste'!$F1174="","",IF('TMP Paste'!$B1174="",$AJ1173,'TMP Paste'!$B1174))</f>
        <v/>
      </c>
      <c r="AK1174">
        <f>IF('TMP Paste'!$F1174="","",N('TMP Paste'!$G1174))</f>
        <v/>
      </c>
      <c r="AL1174">
        <f>IF('TMP Paste'!$F1174="","",IF('TMP Paste'!$M1174="",$AL1173,'TMP Paste'!$M1174))</f>
        <v/>
      </c>
      <c r="AM1174">
        <f>IF('TMP Paste'!$F1174="","",IF('TMP Paste'!$N1174="",$AM1173,'TMP Paste'!$N1174))</f>
        <v/>
      </c>
      <c r="AN1174">
        <f>IF('TMP Paste'!$F1174="","",IF('TMP Paste'!$O1174="",$AN1173,'TMP Paste'!$O1174))</f>
        <v/>
      </c>
      <c r="AO1174">
        <f>IF('TMP Paste'!$F1174="","",IF('TMP Paste'!$P1174="",$AO1173,'TMP Paste'!$P1174))</f>
        <v/>
      </c>
      <c r="AP1174">
        <f>IF($AG1174="","",LEN($R1174))</f>
        <v/>
      </c>
      <c r="AQ1174">
        <f>IF($AG1174="","",TRIM(IF(COUNTIFS(Calc!$B$2:$B$1601,ROW()-1,Calc!$C$2:$C$1601,"&lt;1")&gt;0,"Ada PO tanpa Koli - cek TMP. ","")&amp;IF(LEN($R1174)&gt;500,"R &gt; 500 karakter.","")))</f>
        <v/>
      </c>
    </row>
    <row r="1175">
      <c r="A1175">
        <f>IF($AG1175="","",INDEX('TMP Paste'!$B$2:$B$1601,$AG1175))</f>
        <v/>
      </c>
      <c r="B1175">
        <f>IF($AG1175="","",Config!$B$14)</f>
        <v/>
      </c>
      <c r="C1175">
        <f>IF($AG1175="","",Config!$B$15)</f>
        <v/>
      </c>
      <c r="D1175">
        <f>IF($AG1175="","",INDEX('TMP Paste'!$B$2:$B$1601,$AG1175))</f>
        <v/>
      </c>
      <c r="E1175">
        <f>IF($AG1175="","",Config!$B$27)</f>
        <v/>
      </c>
      <c r="F1175">
        <f>IF($AG1175="","",Config!$B$9)</f>
        <v/>
      </c>
      <c r="G1175">
        <f>IF($AG1175="","",Config!$B$10)</f>
        <v/>
      </c>
      <c r="H1175">
        <f>IF($AG1175="","",Config!$B$11)</f>
        <v/>
      </c>
      <c r="I1175">
        <f>IF($AG1175="","",Config!$B$16)</f>
        <v/>
      </c>
      <c r="J1175">
        <f>IF($AG1175="","",INDEX('TMP Paste'!$A$2:$A$1601,$AG1175))</f>
        <v/>
      </c>
      <c r="K1175">
        <f>IF($AG1175="","",INDEX('TMP Paste'!$L$2:$L$1601,$AG1175))</f>
        <v/>
      </c>
      <c r="L1175">
        <f>IF($AG1175="","",INDEX('TMP Paste'!$I$2:$I$1601,$AG1175))</f>
        <v/>
      </c>
      <c r="M1175">
        <f>IF($AG1175="","",Config!$B$16)</f>
        <v/>
      </c>
      <c r="N1175">
        <f>IF($AG1175="","","")</f>
        <v/>
      </c>
      <c r="O1175">
        <f>IF($AG1175="","",INDEX('TMP Paste'!$K$2:$K$1601,$AG1175))</f>
        <v/>
      </c>
      <c r="P1175">
        <f>IF($AG1175="","","")</f>
        <v/>
      </c>
      <c r="Q1175">
        <f>IF($AG1175="","",INDEX('TMP Paste'!$J$2:$J$1601,$AG1175))</f>
        <v/>
      </c>
      <c r="R1175">
        <f>IF($AG1175="","",Config!$B$24)</f>
        <v/>
      </c>
      <c r="S1175">
        <f>IF($AG1175="","",TEXT(Config!$B$4,"yyyy-mm-dd"))</f>
        <v/>
      </c>
      <c r="T1175">
        <f>IF($AG1175="","",Config!$B$17)</f>
        <v/>
      </c>
      <c r="U1175">
        <f>IF($AG1175="","",Config!$B$18)</f>
        <v/>
      </c>
      <c r="V1175">
        <f>IF($AG1175="","",Config!$B$19)</f>
        <v/>
      </c>
      <c r="W1175">
        <f>IF($AG1175="","",INDEX('TMP Paste'!$C$2:$C$1601,$AG1175))</f>
        <v/>
      </c>
      <c r="X1175">
        <f>IF($AG1175="","",Config!$B$29)</f>
        <v/>
      </c>
      <c r="Y1175">
        <f>IF($AH1175="","",INDEX(Calc!$I$2:$I$1601,$AH1175)&amp;" - "&amp;INDEX(Calc!$D$2:$D$1601,$AH1175)&amp;" koli")</f>
        <v/>
      </c>
      <c r="Z1175">
        <f>IF($AG1175="","",Config!$B$21)</f>
        <v/>
      </c>
      <c r="AA1175">
        <f>IF($AG1175="","",Config!$B$22)</f>
        <v/>
      </c>
      <c r="AB1175">
        <f>IF($AH1175="","",INDEX(Calc!$D$2:$D$1601,$AH1175))</f>
        <v/>
      </c>
      <c r="AC1175">
        <f>IF($AH1175="","",INDEX(Calc!$G$2:$G$1601,$AH1175))</f>
        <v/>
      </c>
      <c r="AD1175">
        <f>IF($AG1175="","",Config!$B$23)</f>
        <v/>
      </c>
      <c r="AE1175">
        <f>IF($AG1175="","",Config!$B$28)</f>
        <v/>
      </c>
      <c r="AG1175">
        <f>IFERROR(MATCH(ROW()-1,Calc!$J$2:$J$1601,0),"")</f>
        <v/>
      </c>
      <c r="AH1175">
        <f>IFERROR(MATCH(ROW()-1,Calc!$K$2:$K$1601,0),"")</f>
        <v/>
      </c>
      <c r="AI1175">
        <f>IF($AG1175="","",SUMIF($AG$2:$AG1175,$AG1175,$AH$2:$AH1175))</f>
        <v/>
      </c>
      <c r="AJ1175">
        <f>IF('TMP Paste'!$F1175="","",IF('TMP Paste'!$B1175="",$AJ1174,'TMP Paste'!$B1175))</f>
        <v/>
      </c>
      <c r="AK1175">
        <f>IF('TMP Paste'!$F1175="","",N('TMP Paste'!$G1175))</f>
        <v/>
      </c>
      <c r="AL1175">
        <f>IF('TMP Paste'!$F1175="","",IF('TMP Paste'!$M1175="",$AL1174,'TMP Paste'!$M1175))</f>
        <v/>
      </c>
      <c r="AM1175">
        <f>IF('TMP Paste'!$F1175="","",IF('TMP Paste'!$N1175="",$AM1174,'TMP Paste'!$N1175))</f>
        <v/>
      </c>
      <c r="AN1175">
        <f>IF('TMP Paste'!$F1175="","",IF('TMP Paste'!$O1175="",$AN1174,'TMP Paste'!$O1175))</f>
        <v/>
      </c>
      <c r="AO1175">
        <f>IF('TMP Paste'!$F1175="","",IF('TMP Paste'!$P1175="",$AO1174,'TMP Paste'!$P1175))</f>
        <v/>
      </c>
      <c r="AP1175">
        <f>IF($AG1175="","",LEN($R1175))</f>
        <v/>
      </c>
      <c r="AQ1175">
        <f>IF($AG1175="","",TRIM(IF(COUNTIFS(Calc!$B$2:$B$1601,ROW()-1,Calc!$C$2:$C$1601,"&lt;1")&gt;0,"Ada PO tanpa Koli - cek TMP. ","")&amp;IF(LEN($R1175)&gt;500,"R &gt; 500 karakter.","")))</f>
        <v/>
      </c>
    </row>
    <row r="1176">
      <c r="A1176">
        <f>IF($AG1176="","",INDEX('TMP Paste'!$B$2:$B$1601,$AG1176))</f>
        <v/>
      </c>
      <c r="B1176">
        <f>IF($AG1176="","",Config!$B$14)</f>
        <v/>
      </c>
      <c r="C1176">
        <f>IF($AG1176="","",Config!$B$15)</f>
        <v/>
      </c>
      <c r="D1176">
        <f>IF($AG1176="","",INDEX('TMP Paste'!$B$2:$B$1601,$AG1176))</f>
        <v/>
      </c>
      <c r="E1176">
        <f>IF($AG1176="","",Config!$B$27)</f>
        <v/>
      </c>
      <c r="F1176">
        <f>IF($AG1176="","",Config!$B$9)</f>
        <v/>
      </c>
      <c r="G1176">
        <f>IF($AG1176="","",Config!$B$10)</f>
        <v/>
      </c>
      <c r="H1176">
        <f>IF($AG1176="","",Config!$B$11)</f>
        <v/>
      </c>
      <c r="I1176">
        <f>IF($AG1176="","",Config!$B$16)</f>
        <v/>
      </c>
      <c r="J1176">
        <f>IF($AG1176="","",INDEX('TMP Paste'!$A$2:$A$1601,$AG1176))</f>
        <v/>
      </c>
      <c r="K1176">
        <f>IF($AG1176="","",INDEX('TMP Paste'!$L$2:$L$1601,$AG1176))</f>
        <v/>
      </c>
      <c r="L1176">
        <f>IF($AG1176="","",INDEX('TMP Paste'!$I$2:$I$1601,$AG1176))</f>
        <v/>
      </c>
      <c r="M1176">
        <f>IF($AG1176="","",Config!$B$16)</f>
        <v/>
      </c>
      <c r="N1176">
        <f>IF($AG1176="","","")</f>
        <v/>
      </c>
      <c r="O1176">
        <f>IF($AG1176="","",INDEX('TMP Paste'!$K$2:$K$1601,$AG1176))</f>
        <v/>
      </c>
      <c r="P1176">
        <f>IF($AG1176="","","")</f>
        <v/>
      </c>
      <c r="Q1176">
        <f>IF($AG1176="","",INDEX('TMP Paste'!$J$2:$J$1601,$AG1176))</f>
        <v/>
      </c>
      <c r="R1176">
        <f>IF($AG1176="","",Config!$B$24)</f>
        <v/>
      </c>
      <c r="S1176">
        <f>IF($AG1176="","",TEXT(Config!$B$4,"yyyy-mm-dd"))</f>
        <v/>
      </c>
      <c r="T1176">
        <f>IF($AG1176="","",Config!$B$17)</f>
        <v/>
      </c>
      <c r="U1176">
        <f>IF($AG1176="","",Config!$B$18)</f>
        <v/>
      </c>
      <c r="V1176">
        <f>IF($AG1176="","",Config!$B$19)</f>
        <v/>
      </c>
      <c r="W1176">
        <f>IF($AG1176="","",INDEX('TMP Paste'!$C$2:$C$1601,$AG1176))</f>
        <v/>
      </c>
      <c r="X1176">
        <f>IF($AG1176="","",Config!$B$29)</f>
        <v/>
      </c>
      <c r="Y1176">
        <f>IF($AH1176="","",INDEX(Calc!$I$2:$I$1601,$AH1176)&amp;" - "&amp;INDEX(Calc!$D$2:$D$1601,$AH1176)&amp;" koli")</f>
        <v/>
      </c>
      <c r="Z1176">
        <f>IF($AG1176="","",Config!$B$21)</f>
        <v/>
      </c>
      <c r="AA1176">
        <f>IF($AG1176="","",Config!$B$22)</f>
        <v/>
      </c>
      <c r="AB1176">
        <f>IF($AH1176="","",INDEX(Calc!$D$2:$D$1601,$AH1176))</f>
        <v/>
      </c>
      <c r="AC1176">
        <f>IF($AH1176="","",INDEX(Calc!$G$2:$G$1601,$AH1176))</f>
        <v/>
      </c>
      <c r="AD1176">
        <f>IF($AG1176="","",Config!$B$23)</f>
        <v/>
      </c>
      <c r="AE1176">
        <f>IF($AG1176="","",Config!$B$28)</f>
        <v/>
      </c>
      <c r="AG1176">
        <f>IFERROR(MATCH(ROW()-1,Calc!$J$2:$J$1601,0),"")</f>
        <v/>
      </c>
      <c r="AH1176">
        <f>IFERROR(MATCH(ROW()-1,Calc!$K$2:$K$1601,0),"")</f>
        <v/>
      </c>
      <c r="AI1176">
        <f>IF($AG1176="","",SUMIF($AG$2:$AG1176,$AG1176,$AH$2:$AH1176))</f>
        <v/>
      </c>
      <c r="AJ1176">
        <f>IF('TMP Paste'!$F1176="","",IF('TMP Paste'!$B1176="",$AJ1175,'TMP Paste'!$B1176))</f>
        <v/>
      </c>
      <c r="AK1176">
        <f>IF('TMP Paste'!$F1176="","",N('TMP Paste'!$G1176))</f>
        <v/>
      </c>
      <c r="AL1176">
        <f>IF('TMP Paste'!$F1176="","",IF('TMP Paste'!$M1176="",$AL1175,'TMP Paste'!$M1176))</f>
        <v/>
      </c>
      <c r="AM1176">
        <f>IF('TMP Paste'!$F1176="","",IF('TMP Paste'!$N1176="",$AM1175,'TMP Paste'!$N1176))</f>
        <v/>
      </c>
      <c r="AN1176">
        <f>IF('TMP Paste'!$F1176="","",IF('TMP Paste'!$O1176="",$AN1175,'TMP Paste'!$O1176))</f>
        <v/>
      </c>
      <c r="AO1176">
        <f>IF('TMP Paste'!$F1176="","",IF('TMP Paste'!$P1176="",$AO1175,'TMP Paste'!$P1176))</f>
        <v/>
      </c>
      <c r="AP1176">
        <f>IF($AG1176="","",LEN($R1176))</f>
        <v/>
      </c>
      <c r="AQ1176">
        <f>IF($AG1176="","",TRIM(IF(COUNTIFS(Calc!$B$2:$B$1601,ROW()-1,Calc!$C$2:$C$1601,"&lt;1")&gt;0,"Ada PO tanpa Koli - cek TMP. ","")&amp;IF(LEN($R1176)&gt;500,"R &gt; 500 karakter.","")))</f>
        <v/>
      </c>
    </row>
    <row r="1177">
      <c r="A1177">
        <f>IF($AG1177="","",INDEX('TMP Paste'!$B$2:$B$1601,$AG1177))</f>
        <v/>
      </c>
      <c r="B1177">
        <f>IF($AG1177="","",Config!$B$14)</f>
        <v/>
      </c>
      <c r="C1177">
        <f>IF($AG1177="","",Config!$B$15)</f>
        <v/>
      </c>
      <c r="D1177">
        <f>IF($AG1177="","",INDEX('TMP Paste'!$B$2:$B$1601,$AG1177))</f>
        <v/>
      </c>
      <c r="E1177">
        <f>IF($AG1177="","",Config!$B$27)</f>
        <v/>
      </c>
      <c r="F1177">
        <f>IF($AG1177="","",Config!$B$9)</f>
        <v/>
      </c>
      <c r="G1177">
        <f>IF($AG1177="","",Config!$B$10)</f>
        <v/>
      </c>
      <c r="H1177">
        <f>IF($AG1177="","",Config!$B$11)</f>
        <v/>
      </c>
      <c r="I1177">
        <f>IF($AG1177="","",Config!$B$16)</f>
        <v/>
      </c>
      <c r="J1177">
        <f>IF($AG1177="","",INDEX('TMP Paste'!$A$2:$A$1601,$AG1177))</f>
        <v/>
      </c>
      <c r="K1177">
        <f>IF($AG1177="","",INDEX('TMP Paste'!$L$2:$L$1601,$AG1177))</f>
        <v/>
      </c>
      <c r="L1177">
        <f>IF($AG1177="","",INDEX('TMP Paste'!$I$2:$I$1601,$AG1177))</f>
        <v/>
      </c>
      <c r="M1177">
        <f>IF($AG1177="","",Config!$B$16)</f>
        <v/>
      </c>
      <c r="N1177">
        <f>IF($AG1177="","","")</f>
        <v/>
      </c>
      <c r="O1177">
        <f>IF($AG1177="","",INDEX('TMP Paste'!$K$2:$K$1601,$AG1177))</f>
        <v/>
      </c>
      <c r="P1177">
        <f>IF($AG1177="","","")</f>
        <v/>
      </c>
      <c r="Q1177">
        <f>IF($AG1177="","",INDEX('TMP Paste'!$J$2:$J$1601,$AG1177))</f>
        <v/>
      </c>
      <c r="R1177">
        <f>IF($AG1177="","",Config!$B$24)</f>
        <v/>
      </c>
      <c r="S1177">
        <f>IF($AG1177="","",TEXT(Config!$B$4,"yyyy-mm-dd"))</f>
        <v/>
      </c>
      <c r="T1177">
        <f>IF($AG1177="","",Config!$B$17)</f>
        <v/>
      </c>
      <c r="U1177">
        <f>IF($AG1177="","",Config!$B$18)</f>
        <v/>
      </c>
      <c r="V1177">
        <f>IF($AG1177="","",Config!$B$19)</f>
        <v/>
      </c>
      <c r="W1177">
        <f>IF($AG1177="","",INDEX('TMP Paste'!$C$2:$C$1601,$AG1177))</f>
        <v/>
      </c>
      <c r="X1177">
        <f>IF($AG1177="","",Config!$B$29)</f>
        <v/>
      </c>
      <c r="Y1177">
        <f>IF($AH1177="","",INDEX(Calc!$I$2:$I$1601,$AH1177)&amp;" - "&amp;INDEX(Calc!$D$2:$D$1601,$AH1177)&amp;" koli")</f>
        <v/>
      </c>
      <c r="Z1177">
        <f>IF($AG1177="","",Config!$B$21)</f>
        <v/>
      </c>
      <c r="AA1177">
        <f>IF($AG1177="","",Config!$B$22)</f>
        <v/>
      </c>
      <c r="AB1177">
        <f>IF($AH1177="","",INDEX(Calc!$D$2:$D$1601,$AH1177))</f>
        <v/>
      </c>
      <c r="AC1177">
        <f>IF($AH1177="","",INDEX(Calc!$G$2:$G$1601,$AH1177))</f>
        <v/>
      </c>
      <c r="AD1177">
        <f>IF($AG1177="","",Config!$B$23)</f>
        <v/>
      </c>
      <c r="AE1177">
        <f>IF($AG1177="","",Config!$B$28)</f>
        <v/>
      </c>
      <c r="AG1177">
        <f>IFERROR(MATCH(ROW()-1,Calc!$J$2:$J$1601,0),"")</f>
        <v/>
      </c>
      <c r="AH1177">
        <f>IFERROR(MATCH(ROW()-1,Calc!$K$2:$K$1601,0),"")</f>
        <v/>
      </c>
      <c r="AI1177">
        <f>IF($AG1177="","",SUMIF($AG$2:$AG1177,$AG1177,$AH$2:$AH1177))</f>
        <v/>
      </c>
      <c r="AJ1177">
        <f>IF('TMP Paste'!$F1177="","",IF('TMP Paste'!$B1177="",$AJ1176,'TMP Paste'!$B1177))</f>
        <v/>
      </c>
      <c r="AK1177">
        <f>IF('TMP Paste'!$F1177="","",N('TMP Paste'!$G1177))</f>
        <v/>
      </c>
      <c r="AL1177">
        <f>IF('TMP Paste'!$F1177="","",IF('TMP Paste'!$M1177="",$AL1176,'TMP Paste'!$M1177))</f>
        <v/>
      </c>
      <c r="AM1177">
        <f>IF('TMP Paste'!$F1177="","",IF('TMP Paste'!$N1177="",$AM1176,'TMP Paste'!$N1177))</f>
        <v/>
      </c>
      <c r="AN1177">
        <f>IF('TMP Paste'!$F1177="","",IF('TMP Paste'!$O1177="",$AN1176,'TMP Paste'!$O1177))</f>
        <v/>
      </c>
      <c r="AO1177">
        <f>IF('TMP Paste'!$F1177="","",IF('TMP Paste'!$P1177="",$AO1176,'TMP Paste'!$P1177))</f>
        <v/>
      </c>
      <c r="AP1177">
        <f>IF($AG1177="","",LEN($R1177))</f>
        <v/>
      </c>
      <c r="AQ1177">
        <f>IF($AG1177="","",TRIM(IF(COUNTIFS(Calc!$B$2:$B$1601,ROW()-1,Calc!$C$2:$C$1601,"&lt;1")&gt;0,"Ada PO tanpa Koli - cek TMP. ","")&amp;IF(LEN($R1177)&gt;500,"R &gt; 500 karakter.","")))</f>
        <v/>
      </c>
    </row>
    <row r="1178">
      <c r="A1178">
        <f>IF($AG1178="","",INDEX('TMP Paste'!$B$2:$B$1601,$AG1178))</f>
        <v/>
      </c>
      <c r="B1178">
        <f>IF($AG1178="","",Config!$B$14)</f>
        <v/>
      </c>
      <c r="C1178">
        <f>IF($AG1178="","",Config!$B$15)</f>
        <v/>
      </c>
      <c r="D1178">
        <f>IF($AG1178="","",INDEX('TMP Paste'!$B$2:$B$1601,$AG1178))</f>
        <v/>
      </c>
      <c r="E1178">
        <f>IF($AG1178="","",Config!$B$27)</f>
        <v/>
      </c>
      <c r="F1178">
        <f>IF($AG1178="","",Config!$B$9)</f>
        <v/>
      </c>
      <c r="G1178">
        <f>IF($AG1178="","",Config!$B$10)</f>
        <v/>
      </c>
      <c r="H1178">
        <f>IF($AG1178="","",Config!$B$11)</f>
        <v/>
      </c>
      <c r="I1178">
        <f>IF($AG1178="","",Config!$B$16)</f>
        <v/>
      </c>
      <c r="J1178">
        <f>IF($AG1178="","",INDEX('TMP Paste'!$A$2:$A$1601,$AG1178))</f>
        <v/>
      </c>
      <c r="K1178">
        <f>IF($AG1178="","",INDEX('TMP Paste'!$L$2:$L$1601,$AG1178))</f>
        <v/>
      </c>
      <c r="L1178">
        <f>IF($AG1178="","",INDEX('TMP Paste'!$I$2:$I$1601,$AG1178))</f>
        <v/>
      </c>
      <c r="M1178">
        <f>IF($AG1178="","",Config!$B$16)</f>
        <v/>
      </c>
      <c r="N1178">
        <f>IF($AG1178="","","")</f>
        <v/>
      </c>
      <c r="O1178">
        <f>IF($AG1178="","",INDEX('TMP Paste'!$K$2:$K$1601,$AG1178))</f>
        <v/>
      </c>
      <c r="P1178">
        <f>IF($AG1178="","","")</f>
        <v/>
      </c>
      <c r="Q1178">
        <f>IF($AG1178="","",INDEX('TMP Paste'!$J$2:$J$1601,$AG1178))</f>
        <v/>
      </c>
      <c r="R1178">
        <f>IF($AG1178="","",Config!$B$24)</f>
        <v/>
      </c>
      <c r="S1178">
        <f>IF($AG1178="","",TEXT(Config!$B$4,"yyyy-mm-dd"))</f>
        <v/>
      </c>
      <c r="T1178">
        <f>IF($AG1178="","",Config!$B$17)</f>
        <v/>
      </c>
      <c r="U1178">
        <f>IF($AG1178="","",Config!$B$18)</f>
        <v/>
      </c>
      <c r="V1178">
        <f>IF($AG1178="","",Config!$B$19)</f>
        <v/>
      </c>
      <c r="W1178">
        <f>IF($AG1178="","",INDEX('TMP Paste'!$C$2:$C$1601,$AG1178))</f>
        <v/>
      </c>
      <c r="X1178">
        <f>IF($AG1178="","",Config!$B$29)</f>
        <v/>
      </c>
      <c r="Y1178">
        <f>IF($AH1178="","",INDEX(Calc!$I$2:$I$1601,$AH1178)&amp;" - "&amp;INDEX(Calc!$D$2:$D$1601,$AH1178)&amp;" koli")</f>
        <v/>
      </c>
      <c r="Z1178">
        <f>IF($AG1178="","",Config!$B$21)</f>
        <v/>
      </c>
      <c r="AA1178">
        <f>IF($AG1178="","",Config!$B$22)</f>
        <v/>
      </c>
      <c r="AB1178">
        <f>IF($AH1178="","",INDEX(Calc!$D$2:$D$1601,$AH1178))</f>
        <v/>
      </c>
      <c r="AC1178">
        <f>IF($AH1178="","",INDEX(Calc!$G$2:$G$1601,$AH1178))</f>
        <v/>
      </c>
      <c r="AD1178">
        <f>IF($AG1178="","",Config!$B$23)</f>
        <v/>
      </c>
      <c r="AE1178">
        <f>IF($AG1178="","",Config!$B$28)</f>
        <v/>
      </c>
      <c r="AG1178">
        <f>IFERROR(MATCH(ROW()-1,Calc!$J$2:$J$1601,0),"")</f>
        <v/>
      </c>
      <c r="AH1178">
        <f>IFERROR(MATCH(ROW()-1,Calc!$K$2:$K$1601,0),"")</f>
        <v/>
      </c>
      <c r="AI1178">
        <f>IF($AG1178="","",SUMIF($AG$2:$AG1178,$AG1178,$AH$2:$AH1178))</f>
        <v/>
      </c>
      <c r="AJ1178">
        <f>IF('TMP Paste'!$F1178="","",IF('TMP Paste'!$B1178="",$AJ1177,'TMP Paste'!$B1178))</f>
        <v/>
      </c>
      <c r="AK1178">
        <f>IF('TMP Paste'!$F1178="","",N('TMP Paste'!$G1178))</f>
        <v/>
      </c>
      <c r="AL1178">
        <f>IF('TMP Paste'!$F1178="","",IF('TMP Paste'!$M1178="",$AL1177,'TMP Paste'!$M1178))</f>
        <v/>
      </c>
      <c r="AM1178">
        <f>IF('TMP Paste'!$F1178="","",IF('TMP Paste'!$N1178="",$AM1177,'TMP Paste'!$N1178))</f>
        <v/>
      </c>
      <c r="AN1178">
        <f>IF('TMP Paste'!$F1178="","",IF('TMP Paste'!$O1178="",$AN1177,'TMP Paste'!$O1178))</f>
        <v/>
      </c>
      <c r="AO1178">
        <f>IF('TMP Paste'!$F1178="","",IF('TMP Paste'!$P1178="",$AO1177,'TMP Paste'!$P1178))</f>
        <v/>
      </c>
      <c r="AP1178">
        <f>IF($AG1178="","",LEN($R1178))</f>
        <v/>
      </c>
      <c r="AQ1178">
        <f>IF($AG1178="","",TRIM(IF(COUNTIFS(Calc!$B$2:$B$1601,ROW()-1,Calc!$C$2:$C$1601,"&lt;1")&gt;0,"Ada PO tanpa Koli - cek TMP. ","")&amp;IF(LEN($R1178)&gt;500,"R &gt; 500 karakter.","")))</f>
        <v/>
      </c>
    </row>
    <row r="1179">
      <c r="A1179">
        <f>IF($AG1179="","",INDEX('TMP Paste'!$B$2:$B$1601,$AG1179))</f>
        <v/>
      </c>
      <c r="B1179">
        <f>IF($AG1179="","",Config!$B$14)</f>
        <v/>
      </c>
      <c r="C1179">
        <f>IF($AG1179="","",Config!$B$15)</f>
        <v/>
      </c>
      <c r="D1179">
        <f>IF($AG1179="","",INDEX('TMP Paste'!$B$2:$B$1601,$AG1179))</f>
        <v/>
      </c>
      <c r="E1179">
        <f>IF($AG1179="","",Config!$B$27)</f>
        <v/>
      </c>
      <c r="F1179">
        <f>IF($AG1179="","",Config!$B$9)</f>
        <v/>
      </c>
      <c r="G1179">
        <f>IF($AG1179="","",Config!$B$10)</f>
        <v/>
      </c>
      <c r="H1179">
        <f>IF($AG1179="","",Config!$B$11)</f>
        <v/>
      </c>
      <c r="I1179">
        <f>IF($AG1179="","",Config!$B$16)</f>
        <v/>
      </c>
      <c r="J1179">
        <f>IF($AG1179="","",INDEX('TMP Paste'!$A$2:$A$1601,$AG1179))</f>
        <v/>
      </c>
      <c r="K1179">
        <f>IF($AG1179="","",INDEX('TMP Paste'!$L$2:$L$1601,$AG1179))</f>
        <v/>
      </c>
      <c r="L1179">
        <f>IF($AG1179="","",INDEX('TMP Paste'!$I$2:$I$1601,$AG1179))</f>
        <v/>
      </c>
      <c r="M1179">
        <f>IF($AG1179="","",Config!$B$16)</f>
        <v/>
      </c>
      <c r="N1179">
        <f>IF($AG1179="","","")</f>
        <v/>
      </c>
      <c r="O1179">
        <f>IF($AG1179="","",INDEX('TMP Paste'!$K$2:$K$1601,$AG1179))</f>
        <v/>
      </c>
      <c r="P1179">
        <f>IF($AG1179="","","")</f>
        <v/>
      </c>
      <c r="Q1179">
        <f>IF($AG1179="","",INDEX('TMP Paste'!$J$2:$J$1601,$AG1179))</f>
        <v/>
      </c>
      <c r="R1179">
        <f>IF($AG1179="","",Config!$B$24)</f>
        <v/>
      </c>
      <c r="S1179">
        <f>IF($AG1179="","",TEXT(Config!$B$4,"yyyy-mm-dd"))</f>
        <v/>
      </c>
      <c r="T1179">
        <f>IF($AG1179="","",Config!$B$17)</f>
        <v/>
      </c>
      <c r="U1179">
        <f>IF($AG1179="","",Config!$B$18)</f>
        <v/>
      </c>
      <c r="V1179">
        <f>IF($AG1179="","",Config!$B$19)</f>
        <v/>
      </c>
      <c r="W1179">
        <f>IF($AG1179="","",INDEX('TMP Paste'!$C$2:$C$1601,$AG1179))</f>
        <v/>
      </c>
      <c r="X1179">
        <f>IF($AG1179="","",Config!$B$29)</f>
        <v/>
      </c>
      <c r="Y1179">
        <f>IF($AH1179="","",INDEX(Calc!$I$2:$I$1601,$AH1179)&amp;" - "&amp;INDEX(Calc!$D$2:$D$1601,$AH1179)&amp;" koli")</f>
        <v/>
      </c>
      <c r="Z1179">
        <f>IF($AG1179="","",Config!$B$21)</f>
        <v/>
      </c>
      <c r="AA1179">
        <f>IF($AG1179="","",Config!$B$22)</f>
        <v/>
      </c>
      <c r="AB1179">
        <f>IF($AH1179="","",INDEX(Calc!$D$2:$D$1601,$AH1179))</f>
        <v/>
      </c>
      <c r="AC1179">
        <f>IF($AH1179="","",INDEX(Calc!$G$2:$G$1601,$AH1179))</f>
        <v/>
      </c>
      <c r="AD1179">
        <f>IF($AG1179="","",Config!$B$23)</f>
        <v/>
      </c>
      <c r="AE1179">
        <f>IF($AG1179="","",Config!$B$28)</f>
        <v/>
      </c>
      <c r="AG1179">
        <f>IFERROR(MATCH(ROW()-1,Calc!$J$2:$J$1601,0),"")</f>
        <v/>
      </c>
      <c r="AH1179">
        <f>IFERROR(MATCH(ROW()-1,Calc!$K$2:$K$1601,0),"")</f>
        <v/>
      </c>
      <c r="AI1179">
        <f>IF($AG1179="","",SUMIF($AG$2:$AG1179,$AG1179,$AH$2:$AH1179))</f>
        <v/>
      </c>
      <c r="AJ1179">
        <f>IF('TMP Paste'!$F1179="","",IF('TMP Paste'!$B1179="",$AJ1178,'TMP Paste'!$B1179))</f>
        <v/>
      </c>
      <c r="AK1179">
        <f>IF('TMP Paste'!$F1179="","",N('TMP Paste'!$G1179))</f>
        <v/>
      </c>
      <c r="AL1179">
        <f>IF('TMP Paste'!$F1179="","",IF('TMP Paste'!$M1179="",$AL1178,'TMP Paste'!$M1179))</f>
        <v/>
      </c>
      <c r="AM1179">
        <f>IF('TMP Paste'!$F1179="","",IF('TMP Paste'!$N1179="",$AM1178,'TMP Paste'!$N1179))</f>
        <v/>
      </c>
      <c r="AN1179">
        <f>IF('TMP Paste'!$F1179="","",IF('TMP Paste'!$O1179="",$AN1178,'TMP Paste'!$O1179))</f>
        <v/>
      </c>
      <c r="AO1179">
        <f>IF('TMP Paste'!$F1179="","",IF('TMP Paste'!$P1179="",$AO1178,'TMP Paste'!$P1179))</f>
        <v/>
      </c>
      <c r="AP1179">
        <f>IF($AG1179="","",LEN($R1179))</f>
        <v/>
      </c>
      <c r="AQ1179">
        <f>IF($AG1179="","",TRIM(IF(COUNTIFS(Calc!$B$2:$B$1601,ROW()-1,Calc!$C$2:$C$1601,"&lt;1")&gt;0,"Ada PO tanpa Koli - cek TMP. ","")&amp;IF(LEN($R1179)&gt;500,"R &gt; 500 karakter.","")))</f>
        <v/>
      </c>
    </row>
    <row r="1180">
      <c r="A1180">
        <f>IF($AG1180="","",INDEX('TMP Paste'!$B$2:$B$1601,$AG1180))</f>
        <v/>
      </c>
      <c r="B1180">
        <f>IF($AG1180="","",Config!$B$14)</f>
        <v/>
      </c>
      <c r="C1180">
        <f>IF($AG1180="","",Config!$B$15)</f>
        <v/>
      </c>
      <c r="D1180">
        <f>IF($AG1180="","",INDEX('TMP Paste'!$B$2:$B$1601,$AG1180))</f>
        <v/>
      </c>
      <c r="E1180">
        <f>IF($AG1180="","",Config!$B$27)</f>
        <v/>
      </c>
      <c r="F1180">
        <f>IF($AG1180="","",Config!$B$9)</f>
        <v/>
      </c>
      <c r="G1180">
        <f>IF($AG1180="","",Config!$B$10)</f>
        <v/>
      </c>
      <c r="H1180">
        <f>IF($AG1180="","",Config!$B$11)</f>
        <v/>
      </c>
      <c r="I1180">
        <f>IF($AG1180="","",Config!$B$16)</f>
        <v/>
      </c>
      <c r="J1180">
        <f>IF($AG1180="","",INDEX('TMP Paste'!$A$2:$A$1601,$AG1180))</f>
        <v/>
      </c>
      <c r="K1180">
        <f>IF($AG1180="","",INDEX('TMP Paste'!$L$2:$L$1601,$AG1180))</f>
        <v/>
      </c>
      <c r="L1180">
        <f>IF($AG1180="","",INDEX('TMP Paste'!$I$2:$I$1601,$AG1180))</f>
        <v/>
      </c>
      <c r="M1180">
        <f>IF($AG1180="","",Config!$B$16)</f>
        <v/>
      </c>
      <c r="N1180">
        <f>IF($AG1180="","","")</f>
        <v/>
      </c>
      <c r="O1180">
        <f>IF($AG1180="","",INDEX('TMP Paste'!$K$2:$K$1601,$AG1180))</f>
        <v/>
      </c>
      <c r="P1180">
        <f>IF($AG1180="","","")</f>
        <v/>
      </c>
      <c r="Q1180">
        <f>IF($AG1180="","",INDEX('TMP Paste'!$J$2:$J$1601,$AG1180))</f>
        <v/>
      </c>
      <c r="R1180">
        <f>IF($AG1180="","",Config!$B$24)</f>
        <v/>
      </c>
      <c r="S1180">
        <f>IF($AG1180="","",TEXT(Config!$B$4,"yyyy-mm-dd"))</f>
        <v/>
      </c>
      <c r="T1180">
        <f>IF($AG1180="","",Config!$B$17)</f>
        <v/>
      </c>
      <c r="U1180">
        <f>IF($AG1180="","",Config!$B$18)</f>
        <v/>
      </c>
      <c r="V1180">
        <f>IF($AG1180="","",Config!$B$19)</f>
        <v/>
      </c>
      <c r="W1180">
        <f>IF($AG1180="","",INDEX('TMP Paste'!$C$2:$C$1601,$AG1180))</f>
        <v/>
      </c>
      <c r="X1180">
        <f>IF($AG1180="","",Config!$B$29)</f>
        <v/>
      </c>
      <c r="Y1180">
        <f>IF($AH1180="","",INDEX(Calc!$I$2:$I$1601,$AH1180)&amp;" - "&amp;INDEX(Calc!$D$2:$D$1601,$AH1180)&amp;" koli")</f>
        <v/>
      </c>
      <c r="Z1180">
        <f>IF($AG1180="","",Config!$B$21)</f>
        <v/>
      </c>
      <c r="AA1180">
        <f>IF($AG1180="","",Config!$B$22)</f>
        <v/>
      </c>
      <c r="AB1180">
        <f>IF($AH1180="","",INDEX(Calc!$D$2:$D$1601,$AH1180))</f>
        <v/>
      </c>
      <c r="AC1180">
        <f>IF($AH1180="","",INDEX(Calc!$G$2:$G$1601,$AH1180))</f>
        <v/>
      </c>
      <c r="AD1180">
        <f>IF($AG1180="","",Config!$B$23)</f>
        <v/>
      </c>
      <c r="AE1180">
        <f>IF($AG1180="","",Config!$B$28)</f>
        <v/>
      </c>
      <c r="AG1180">
        <f>IFERROR(MATCH(ROW()-1,Calc!$J$2:$J$1601,0),"")</f>
        <v/>
      </c>
      <c r="AH1180">
        <f>IFERROR(MATCH(ROW()-1,Calc!$K$2:$K$1601,0),"")</f>
        <v/>
      </c>
      <c r="AI1180">
        <f>IF($AG1180="","",SUMIF($AG$2:$AG1180,$AG1180,$AH$2:$AH1180))</f>
        <v/>
      </c>
      <c r="AJ1180">
        <f>IF('TMP Paste'!$F1180="","",IF('TMP Paste'!$B1180="",$AJ1179,'TMP Paste'!$B1180))</f>
        <v/>
      </c>
      <c r="AK1180">
        <f>IF('TMP Paste'!$F1180="","",N('TMP Paste'!$G1180))</f>
        <v/>
      </c>
      <c r="AL1180">
        <f>IF('TMP Paste'!$F1180="","",IF('TMP Paste'!$M1180="",$AL1179,'TMP Paste'!$M1180))</f>
        <v/>
      </c>
      <c r="AM1180">
        <f>IF('TMP Paste'!$F1180="","",IF('TMP Paste'!$N1180="",$AM1179,'TMP Paste'!$N1180))</f>
        <v/>
      </c>
      <c r="AN1180">
        <f>IF('TMP Paste'!$F1180="","",IF('TMP Paste'!$O1180="",$AN1179,'TMP Paste'!$O1180))</f>
        <v/>
      </c>
      <c r="AO1180">
        <f>IF('TMP Paste'!$F1180="","",IF('TMP Paste'!$P1180="",$AO1179,'TMP Paste'!$P1180))</f>
        <v/>
      </c>
      <c r="AP1180">
        <f>IF($AG1180="","",LEN($R1180))</f>
        <v/>
      </c>
      <c r="AQ1180">
        <f>IF($AG1180="","",TRIM(IF(COUNTIFS(Calc!$B$2:$B$1601,ROW()-1,Calc!$C$2:$C$1601,"&lt;1")&gt;0,"Ada PO tanpa Koli - cek TMP. ","")&amp;IF(LEN($R1180)&gt;500,"R &gt; 500 karakter.","")))</f>
        <v/>
      </c>
    </row>
    <row r="1181">
      <c r="A1181">
        <f>IF($AG1181="","",INDEX('TMP Paste'!$B$2:$B$1601,$AG1181))</f>
        <v/>
      </c>
      <c r="B1181">
        <f>IF($AG1181="","",Config!$B$14)</f>
        <v/>
      </c>
      <c r="C1181">
        <f>IF($AG1181="","",Config!$B$15)</f>
        <v/>
      </c>
      <c r="D1181">
        <f>IF($AG1181="","",INDEX('TMP Paste'!$B$2:$B$1601,$AG1181))</f>
        <v/>
      </c>
      <c r="E1181">
        <f>IF($AG1181="","",Config!$B$27)</f>
        <v/>
      </c>
      <c r="F1181">
        <f>IF($AG1181="","",Config!$B$9)</f>
        <v/>
      </c>
      <c r="G1181">
        <f>IF($AG1181="","",Config!$B$10)</f>
        <v/>
      </c>
      <c r="H1181">
        <f>IF($AG1181="","",Config!$B$11)</f>
        <v/>
      </c>
      <c r="I1181">
        <f>IF($AG1181="","",Config!$B$16)</f>
        <v/>
      </c>
      <c r="J1181">
        <f>IF($AG1181="","",INDEX('TMP Paste'!$A$2:$A$1601,$AG1181))</f>
        <v/>
      </c>
      <c r="K1181">
        <f>IF($AG1181="","",INDEX('TMP Paste'!$L$2:$L$1601,$AG1181))</f>
        <v/>
      </c>
      <c r="L1181">
        <f>IF($AG1181="","",INDEX('TMP Paste'!$I$2:$I$1601,$AG1181))</f>
        <v/>
      </c>
      <c r="M1181">
        <f>IF($AG1181="","",Config!$B$16)</f>
        <v/>
      </c>
      <c r="N1181">
        <f>IF($AG1181="","","")</f>
        <v/>
      </c>
      <c r="O1181">
        <f>IF($AG1181="","",INDEX('TMP Paste'!$K$2:$K$1601,$AG1181))</f>
        <v/>
      </c>
      <c r="P1181">
        <f>IF($AG1181="","","")</f>
        <v/>
      </c>
      <c r="Q1181">
        <f>IF($AG1181="","",INDEX('TMP Paste'!$J$2:$J$1601,$AG1181))</f>
        <v/>
      </c>
      <c r="R1181">
        <f>IF($AG1181="","",Config!$B$24)</f>
        <v/>
      </c>
      <c r="S1181">
        <f>IF($AG1181="","",TEXT(Config!$B$4,"yyyy-mm-dd"))</f>
        <v/>
      </c>
      <c r="T1181">
        <f>IF($AG1181="","",Config!$B$17)</f>
        <v/>
      </c>
      <c r="U1181">
        <f>IF($AG1181="","",Config!$B$18)</f>
        <v/>
      </c>
      <c r="V1181">
        <f>IF($AG1181="","",Config!$B$19)</f>
        <v/>
      </c>
      <c r="W1181">
        <f>IF($AG1181="","",INDEX('TMP Paste'!$C$2:$C$1601,$AG1181))</f>
        <v/>
      </c>
      <c r="X1181">
        <f>IF($AG1181="","",Config!$B$29)</f>
        <v/>
      </c>
      <c r="Y1181">
        <f>IF($AH1181="","",INDEX(Calc!$I$2:$I$1601,$AH1181)&amp;" - "&amp;INDEX(Calc!$D$2:$D$1601,$AH1181)&amp;" koli")</f>
        <v/>
      </c>
      <c r="Z1181">
        <f>IF($AG1181="","",Config!$B$21)</f>
        <v/>
      </c>
      <c r="AA1181">
        <f>IF($AG1181="","",Config!$B$22)</f>
        <v/>
      </c>
      <c r="AB1181">
        <f>IF($AH1181="","",INDEX(Calc!$D$2:$D$1601,$AH1181))</f>
        <v/>
      </c>
      <c r="AC1181">
        <f>IF($AH1181="","",INDEX(Calc!$G$2:$G$1601,$AH1181))</f>
        <v/>
      </c>
      <c r="AD1181">
        <f>IF($AG1181="","",Config!$B$23)</f>
        <v/>
      </c>
      <c r="AE1181">
        <f>IF($AG1181="","",Config!$B$28)</f>
        <v/>
      </c>
      <c r="AG1181">
        <f>IFERROR(MATCH(ROW()-1,Calc!$J$2:$J$1601,0),"")</f>
        <v/>
      </c>
      <c r="AH1181">
        <f>IFERROR(MATCH(ROW()-1,Calc!$K$2:$K$1601,0),"")</f>
        <v/>
      </c>
      <c r="AI1181">
        <f>IF($AG1181="","",SUMIF($AG$2:$AG1181,$AG1181,$AH$2:$AH1181))</f>
        <v/>
      </c>
      <c r="AJ1181">
        <f>IF('TMP Paste'!$F1181="","",IF('TMP Paste'!$B1181="",$AJ1180,'TMP Paste'!$B1181))</f>
        <v/>
      </c>
      <c r="AK1181">
        <f>IF('TMP Paste'!$F1181="","",N('TMP Paste'!$G1181))</f>
        <v/>
      </c>
      <c r="AL1181">
        <f>IF('TMP Paste'!$F1181="","",IF('TMP Paste'!$M1181="",$AL1180,'TMP Paste'!$M1181))</f>
        <v/>
      </c>
      <c r="AM1181">
        <f>IF('TMP Paste'!$F1181="","",IF('TMP Paste'!$N1181="",$AM1180,'TMP Paste'!$N1181))</f>
        <v/>
      </c>
      <c r="AN1181">
        <f>IF('TMP Paste'!$F1181="","",IF('TMP Paste'!$O1181="",$AN1180,'TMP Paste'!$O1181))</f>
        <v/>
      </c>
      <c r="AO1181">
        <f>IF('TMP Paste'!$F1181="","",IF('TMP Paste'!$P1181="",$AO1180,'TMP Paste'!$P1181))</f>
        <v/>
      </c>
      <c r="AP1181">
        <f>IF($AG1181="","",LEN($R1181))</f>
        <v/>
      </c>
      <c r="AQ1181">
        <f>IF($AG1181="","",TRIM(IF(COUNTIFS(Calc!$B$2:$B$1601,ROW()-1,Calc!$C$2:$C$1601,"&lt;1")&gt;0,"Ada PO tanpa Koli - cek TMP. ","")&amp;IF(LEN($R1181)&gt;500,"R &gt; 500 karakter.","")))</f>
        <v/>
      </c>
    </row>
    <row r="1182">
      <c r="A1182">
        <f>IF($AG1182="","",INDEX('TMP Paste'!$B$2:$B$1601,$AG1182))</f>
        <v/>
      </c>
      <c r="B1182">
        <f>IF($AG1182="","",Config!$B$14)</f>
        <v/>
      </c>
      <c r="C1182">
        <f>IF($AG1182="","",Config!$B$15)</f>
        <v/>
      </c>
      <c r="D1182">
        <f>IF($AG1182="","",INDEX('TMP Paste'!$B$2:$B$1601,$AG1182))</f>
        <v/>
      </c>
      <c r="E1182">
        <f>IF($AG1182="","",Config!$B$27)</f>
        <v/>
      </c>
      <c r="F1182">
        <f>IF($AG1182="","",Config!$B$9)</f>
        <v/>
      </c>
      <c r="G1182">
        <f>IF($AG1182="","",Config!$B$10)</f>
        <v/>
      </c>
      <c r="H1182">
        <f>IF($AG1182="","",Config!$B$11)</f>
        <v/>
      </c>
      <c r="I1182">
        <f>IF($AG1182="","",Config!$B$16)</f>
        <v/>
      </c>
      <c r="J1182">
        <f>IF($AG1182="","",INDEX('TMP Paste'!$A$2:$A$1601,$AG1182))</f>
        <v/>
      </c>
      <c r="K1182">
        <f>IF($AG1182="","",INDEX('TMP Paste'!$L$2:$L$1601,$AG1182))</f>
        <v/>
      </c>
      <c r="L1182">
        <f>IF($AG1182="","",INDEX('TMP Paste'!$I$2:$I$1601,$AG1182))</f>
        <v/>
      </c>
      <c r="M1182">
        <f>IF($AG1182="","",Config!$B$16)</f>
        <v/>
      </c>
      <c r="N1182">
        <f>IF($AG1182="","","")</f>
        <v/>
      </c>
      <c r="O1182">
        <f>IF($AG1182="","",INDEX('TMP Paste'!$K$2:$K$1601,$AG1182))</f>
        <v/>
      </c>
      <c r="P1182">
        <f>IF($AG1182="","","")</f>
        <v/>
      </c>
      <c r="Q1182">
        <f>IF($AG1182="","",INDEX('TMP Paste'!$J$2:$J$1601,$AG1182))</f>
        <v/>
      </c>
      <c r="R1182">
        <f>IF($AG1182="","",Config!$B$24)</f>
        <v/>
      </c>
      <c r="S1182">
        <f>IF($AG1182="","",TEXT(Config!$B$4,"yyyy-mm-dd"))</f>
        <v/>
      </c>
      <c r="T1182">
        <f>IF($AG1182="","",Config!$B$17)</f>
        <v/>
      </c>
      <c r="U1182">
        <f>IF($AG1182="","",Config!$B$18)</f>
        <v/>
      </c>
      <c r="V1182">
        <f>IF($AG1182="","",Config!$B$19)</f>
        <v/>
      </c>
      <c r="W1182">
        <f>IF($AG1182="","",INDEX('TMP Paste'!$C$2:$C$1601,$AG1182))</f>
        <v/>
      </c>
      <c r="X1182">
        <f>IF($AG1182="","",Config!$B$29)</f>
        <v/>
      </c>
      <c r="Y1182">
        <f>IF($AH1182="","",INDEX(Calc!$I$2:$I$1601,$AH1182)&amp;" - "&amp;INDEX(Calc!$D$2:$D$1601,$AH1182)&amp;" koli")</f>
        <v/>
      </c>
      <c r="Z1182">
        <f>IF($AG1182="","",Config!$B$21)</f>
        <v/>
      </c>
      <c r="AA1182">
        <f>IF($AG1182="","",Config!$B$22)</f>
        <v/>
      </c>
      <c r="AB1182">
        <f>IF($AH1182="","",INDEX(Calc!$D$2:$D$1601,$AH1182))</f>
        <v/>
      </c>
      <c r="AC1182">
        <f>IF($AH1182="","",INDEX(Calc!$G$2:$G$1601,$AH1182))</f>
        <v/>
      </c>
      <c r="AD1182">
        <f>IF($AG1182="","",Config!$B$23)</f>
        <v/>
      </c>
      <c r="AE1182">
        <f>IF($AG1182="","",Config!$B$28)</f>
        <v/>
      </c>
      <c r="AG1182">
        <f>IFERROR(MATCH(ROW()-1,Calc!$J$2:$J$1601,0),"")</f>
        <v/>
      </c>
      <c r="AH1182">
        <f>IFERROR(MATCH(ROW()-1,Calc!$K$2:$K$1601,0),"")</f>
        <v/>
      </c>
      <c r="AI1182">
        <f>IF($AG1182="","",SUMIF($AG$2:$AG1182,$AG1182,$AH$2:$AH1182))</f>
        <v/>
      </c>
      <c r="AJ1182">
        <f>IF('TMP Paste'!$F1182="","",IF('TMP Paste'!$B1182="",$AJ1181,'TMP Paste'!$B1182))</f>
        <v/>
      </c>
      <c r="AK1182">
        <f>IF('TMP Paste'!$F1182="","",N('TMP Paste'!$G1182))</f>
        <v/>
      </c>
      <c r="AL1182">
        <f>IF('TMP Paste'!$F1182="","",IF('TMP Paste'!$M1182="",$AL1181,'TMP Paste'!$M1182))</f>
        <v/>
      </c>
      <c r="AM1182">
        <f>IF('TMP Paste'!$F1182="","",IF('TMP Paste'!$N1182="",$AM1181,'TMP Paste'!$N1182))</f>
        <v/>
      </c>
      <c r="AN1182">
        <f>IF('TMP Paste'!$F1182="","",IF('TMP Paste'!$O1182="",$AN1181,'TMP Paste'!$O1182))</f>
        <v/>
      </c>
      <c r="AO1182">
        <f>IF('TMP Paste'!$F1182="","",IF('TMP Paste'!$P1182="",$AO1181,'TMP Paste'!$P1182))</f>
        <v/>
      </c>
      <c r="AP1182">
        <f>IF($AG1182="","",LEN($R1182))</f>
        <v/>
      </c>
      <c r="AQ1182">
        <f>IF($AG1182="","",TRIM(IF(COUNTIFS(Calc!$B$2:$B$1601,ROW()-1,Calc!$C$2:$C$1601,"&lt;1")&gt;0,"Ada PO tanpa Koli - cek TMP. ","")&amp;IF(LEN($R1182)&gt;500,"R &gt; 500 karakter.","")))</f>
        <v/>
      </c>
    </row>
    <row r="1183">
      <c r="A1183">
        <f>IF($AG1183="","",INDEX('TMP Paste'!$B$2:$B$1601,$AG1183))</f>
        <v/>
      </c>
      <c r="B1183">
        <f>IF($AG1183="","",Config!$B$14)</f>
        <v/>
      </c>
      <c r="C1183">
        <f>IF($AG1183="","",Config!$B$15)</f>
        <v/>
      </c>
      <c r="D1183">
        <f>IF($AG1183="","",INDEX('TMP Paste'!$B$2:$B$1601,$AG1183))</f>
        <v/>
      </c>
      <c r="E1183">
        <f>IF($AG1183="","",Config!$B$27)</f>
        <v/>
      </c>
      <c r="F1183">
        <f>IF($AG1183="","",Config!$B$9)</f>
        <v/>
      </c>
      <c r="G1183">
        <f>IF($AG1183="","",Config!$B$10)</f>
        <v/>
      </c>
      <c r="H1183">
        <f>IF($AG1183="","",Config!$B$11)</f>
        <v/>
      </c>
      <c r="I1183">
        <f>IF($AG1183="","",Config!$B$16)</f>
        <v/>
      </c>
      <c r="J1183">
        <f>IF($AG1183="","",INDEX('TMP Paste'!$A$2:$A$1601,$AG1183))</f>
        <v/>
      </c>
      <c r="K1183">
        <f>IF($AG1183="","",INDEX('TMP Paste'!$L$2:$L$1601,$AG1183))</f>
        <v/>
      </c>
      <c r="L1183">
        <f>IF($AG1183="","",INDEX('TMP Paste'!$I$2:$I$1601,$AG1183))</f>
        <v/>
      </c>
      <c r="M1183">
        <f>IF($AG1183="","",Config!$B$16)</f>
        <v/>
      </c>
      <c r="N1183">
        <f>IF($AG1183="","","")</f>
        <v/>
      </c>
      <c r="O1183">
        <f>IF($AG1183="","",INDEX('TMP Paste'!$K$2:$K$1601,$AG1183))</f>
        <v/>
      </c>
      <c r="P1183">
        <f>IF($AG1183="","","")</f>
        <v/>
      </c>
      <c r="Q1183">
        <f>IF($AG1183="","",INDEX('TMP Paste'!$J$2:$J$1601,$AG1183))</f>
        <v/>
      </c>
      <c r="R1183">
        <f>IF($AG1183="","",Config!$B$24)</f>
        <v/>
      </c>
      <c r="S1183">
        <f>IF($AG1183="","",TEXT(Config!$B$4,"yyyy-mm-dd"))</f>
        <v/>
      </c>
      <c r="T1183">
        <f>IF($AG1183="","",Config!$B$17)</f>
        <v/>
      </c>
      <c r="U1183">
        <f>IF($AG1183="","",Config!$B$18)</f>
        <v/>
      </c>
      <c r="V1183">
        <f>IF($AG1183="","",Config!$B$19)</f>
        <v/>
      </c>
      <c r="W1183">
        <f>IF($AG1183="","",INDEX('TMP Paste'!$C$2:$C$1601,$AG1183))</f>
        <v/>
      </c>
      <c r="X1183">
        <f>IF($AG1183="","",Config!$B$29)</f>
        <v/>
      </c>
      <c r="Y1183">
        <f>IF($AH1183="","",INDEX(Calc!$I$2:$I$1601,$AH1183)&amp;" - "&amp;INDEX(Calc!$D$2:$D$1601,$AH1183)&amp;" koli")</f>
        <v/>
      </c>
      <c r="Z1183">
        <f>IF($AG1183="","",Config!$B$21)</f>
        <v/>
      </c>
      <c r="AA1183">
        <f>IF($AG1183="","",Config!$B$22)</f>
        <v/>
      </c>
      <c r="AB1183">
        <f>IF($AH1183="","",INDEX(Calc!$D$2:$D$1601,$AH1183))</f>
        <v/>
      </c>
      <c r="AC1183">
        <f>IF($AH1183="","",INDEX(Calc!$G$2:$G$1601,$AH1183))</f>
        <v/>
      </c>
      <c r="AD1183">
        <f>IF($AG1183="","",Config!$B$23)</f>
        <v/>
      </c>
      <c r="AE1183">
        <f>IF($AG1183="","",Config!$B$28)</f>
        <v/>
      </c>
      <c r="AG1183">
        <f>IFERROR(MATCH(ROW()-1,Calc!$J$2:$J$1601,0),"")</f>
        <v/>
      </c>
      <c r="AH1183">
        <f>IFERROR(MATCH(ROW()-1,Calc!$K$2:$K$1601,0),"")</f>
        <v/>
      </c>
      <c r="AI1183">
        <f>IF($AG1183="","",SUMIF($AG$2:$AG1183,$AG1183,$AH$2:$AH1183))</f>
        <v/>
      </c>
      <c r="AJ1183">
        <f>IF('TMP Paste'!$F1183="","",IF('TMP Paste'!$B1183="",$AJ1182,'TMP Paste'!$B1183))</f>
        <v/>
      </c>
      <c r="AK1183">
        <f>IF('TMP Paste'!$F1183="","",N('TMP Paste'!$G1183))</f>
        <v/>
      </c>
      <c r="AL1183">
        <f>IF('TMP Paste'!$F1183="","",IF('TMP Paste'!$M1183="",$AL1182,'TMP Paste'!$M1183))</f>
        <v/>
      </c>
      <c r="AM1183">
        <f>IF('TMP Paste'!$F1183="","",IF('TMP Paste'!$N1183="",$AM1182,'TMP Paste'!$N1183))</f>
        <v/>
      </c>
      <c r="AN1183">
        <f>IF('TMP Paste'!$F1183="","",IF('TMP Paste'!$O1183="",$AN1182,'TMP Paste'!$O1183))</f>
        <v/>
      </c>
      <c r="AO1183">
        <f>IF('TMP Paste'!$F1183="","",IF('TMP Paste'!$P1183="",$AO1182,'TMP Paste'!$P1183))</f>
        <v/>
      </c>
      <c r="AP1183">
        <f>IF($AG1183="","",LEN($R1183))</f>
        <v/>
      </c>
      <c r="AQ1183">
        <f>IF($AG1183="","",TRIM(IF(COUNTIFS(Calc!$B$2:$B$1601,ROW()-1,Calc!$C$2:$C$1601,"&lt;1")&gt;0,"Ada PO tanpa Koli - cek TMP. ","")&amp;IF(LEN($R1183)&gt;500,"R &gt; 500 karakter.","")))</f>
        <v/>
      </c>
    </row>
    <row r="1184">
      <c r="A1184">
        <f>IF($AG1184="","",INDEX('TMP Paste'!$B$2:$B$1601,$AG1184))</f>
        <v/>
      </c>
      <c r="B1184">
        <f>IF($AG1184="","",Config!$B$14)</f>
        <v/>
      </c>
      <c r="C1184">
        <f>IF($AG1184="","",Config!$B$15)</f>
        <v/>
      </c>
      <c r="D1184">
        <f>IF($AG1184="","",INDEX('TMP Paste'!$B$2:$B$1601,$AG1184))</f>
        <v/>
      </c>
      <c r="E1184">
        <f>IF($AG1184="","",Config!$B$27)</f>
        <v/>
      </c>
      <c r="F1184">
        <f>IF($AG1184="","",Config!$B$9)</f>
        <v/>
      </c>
      <c r="G1184">
        <f>IF($AG1184="","",Config!$B$10)</f>
        <v/>
      </c>
      <c r="H1184">
        <f>IF($AG1184="","",Config!$B$11)</f>
        <v/>
      </c>
      <c r="I1184">
        <f>IF($AG1184="","",Config!$B$16)</f>
        <v/>
      </c>
      <c r="J1184">
        <f>IF($AG1184="","",INDEX('TMP Paste'!$A$2:$A$1601,$AG1184))</f>
        <v/>
      </c>
      <c r="K1184">
        <f>IF($AG1184="","",INDEX('TMP Paste'!$L$2:$L$1601,$AG1184))</f>
        <v/>
      </c>
      <c r="L1184">
        <f>IF($AG1184="","",INDEX('TMP Paste'!$I$2:$I$1601,$AG1184))</f>
        <v/>
      </c>
      <c r="M1184">
        <f>IF($AG1184="","",Config!$B$16)</f>
        <v/>
      </c>
      <c r="N1184">
        <f>IF($AG1184="","","")</f>
        <v/>
      </c>
      <c r="O1184">
        <f>IF($AG1184="","",INDEX('TMP Paste'!$K$2:$K$1601,$AG1184))</f>
        <v/>
      </c>
      <c r="P1184">
        <f>IF($AG1184="","","")</f>
        <v/>
      </c>
      <c r="Q1184">
        <f>IF($AG1184="","",INDEX('TMP Paste'!$J$2:$J$1601,$AG1184))</f>
        <v/>
      </c>
      <c r="R1184">
        <f>IF($AG1184="","",Config!$B$24)</f>
        <v/>
      </c>
      <c r="S1184">
        <f>IF($AG1184="","",TEXT(Config!$B$4,"yyyy-mm-dd"))</f>
        <v/>
      </c>
      <c r="T1184">
        <f>IF($AG1184="","",Config!$B$17)</f>
        <v/>
      </c>
      <c r="U1184">
        <f>IF($AG1184="","",Config!$B$18)</f>
        <v/>
      </c>
      <c r="V1184">
        <f>IF($AG1184="","",Config!$B$19)</f>
        <v/>
      </c>
      <c r="W1184">
        <f>IF($AG1184="","",INDEX('TMP Paste'!$C$2:$C$1601,$AG1184))</f>
        <v/>
      </c>
      <c r="X1184">
        <f>IF($AG1184="","",Config!$B$29)</f>
        <v/>
      </c>
      <c r="Y1184">
        <f>IF($AH1184="","",INDEX(Calc!$I$2:$I$1601,$AH1184)&amp;" - "&amp;INDEX(Calc!$D$2:$D$1601,$AH1184)&amp;" koli")</f>
        <v/>
      </c>
      <c r="Z1184">
        <f>IF($AG1184="","",Config!$B$21)</f>
        <v/>
      </c>
      <c r="AA1184">
        <f>IF($AG1184="","",Config!$B$22)</f>
        <v/>
      </c>
      <c r="AB1184">
        <f>IF($AH1184="","",INDEX(Calc!$D$2:$D$1601,$AH1184))</f>
        <v/>
      </c>
      <c r="AC1184">
        <f>IF($AH1184="","",INDEX(Calc!$G$2:$G$1601,$AH1184))</f>
        <v/>
      </c>
      <c r="AD1184">
        <f>IF($AG1184="","",Config!$B$23)</f>
        <v/>
      </c>
      <c r="AE1184">
        <f>IF($AG1184="","",Config!$B$28)</f>
        <v/>
      </c>
      <c r="AG1184">
        <f>IFERROR(MATCH(ROW()-1,Calc!$J$2:$J$1601,0),"")</f>
        <v/>
      </c>
      <c r="AH1184">
        <f>IFERROR(MATCH(ROW()-1,Calc!$K$2:$K$1601,0),"")</f>
        <v/>
      </c>
      <c r="AI1184">
        <f>IF($AG1184="","",SUMIF($AG$2:$AG1184,$AG1184,$AH$2:$AH1184))</f>
        <v/>
      </c>
      <c r="AJ1184">
        <f>IF('TMP Paste'!$F1184="","",IF('TMP Paste'!$B1184="",$AJ1183,'TMP Paste'!$B1184))</f>
        <v/>
      </c>
      <c r="AK1184">
        <f>IF('TMP Paste'!$F1184="","",N('TMP Paste'!$G1184))</f>
        <v/>
      </c>
      <c r="AL1184">
        <f>IF('TMP Paste'!$F1184="","",IF('TMP Paste'!$M1184="",$AL1183,'TMP Paste'!$M1184))</f>
        <v/>
      </c>
      <c r="AM1184">
        <f>IF('TMP Paste'!$F1184="","",IF('TMP Paste'!$N1184="",$AM1183,'TMP Paste'!$N1184))</f>
        <v/>
      </c>
      <c r="AN1184">
        <f>IF('TMP Paste'!$F1184="","",IF('TMP Paste'!$O1184="",$AN1183,'TMP Paste'!$O1184))</f>
        <v/>
      </c>
      <c r="AO1184">
        <f>IF('TMP Paste'!$F1184="","",IF('TMP Paste'!$P1184="",$AO1183,'TMP Paste'!$P1184))</f>
        <v/>
      </c>
      <c r="AP1184">
        <f>IF($AG1184="","",LEN($R1184))</f>
        <v/>
      </c>
      <c r="AQ1184">
        <f>IF($AG1184="","",TRIM(IF(COUNTIFS(Calc!$B$2:$B$1601,ROW()-1,Calc!$C$2:$C$1601,"&lt;1")&gt;0,"Ada PO tanpa Koli - cek TMP. ","")&amp;IF(LEN($R1184)&gt;500,"R &gt; 500 karakter.","")))</f>
        <v/>
      </c>
    </row>
    <row r="1185">
      <c r="A1185">
        <f>IF($AG1185="","",INDEX('TMP Paste'!$B$2:$B$1601,$AG1185))</f>
        <v/>
      </c>
      <c r="B1185">
        <f>IF($AG1185="","",Config!$B$14)</f>
        <v/>
      </c>
      <c r="C1185">
        <f>IF($AG1185="","",Config!$B$15)</f>
        <v/>
      </c>
      <c r="D1185">
        <f>IF($AG1185="","",INDEX('TMP Paste'!$B$2:$B$1601,$AG1185))</f>
        <v/>
      </c>
      <c r="E1185">
        <f>IF($AG1185="","",Config!$B$27)</f>
        <v/>
      </c>
      <c r="F1185">
        <f>IF($AG1185="","",Config!$B$9)</f>
        <v/>
      </c>
      <c r="G1185">
        <f>IF($AG1185="","",Config!$B$10)</f>
        <v/>
      </c>
      <c r="H1185">
        <f>IF($AG1185="","",Config!$B$11)</f>
        <v/>
      </c>
      <c r="I1185">
        <f>IF($AG1185="","",Config!$B$16)</f>
        <v/>
      </c>
      <c r="J1185">
        <f>IF($AG1185="","",INDEX('TMP Paste'!$A$2:$A$1601,$AG1185))</f>
        <v/>
      </c>
      <c r="K1185">
        <f>IF($AG1185="","",INDEX('TMP Paste'!$L$2:$L$1601,$AG1185))</f>
        <v/>
      </c>
      <c r="L1185">
        <f>IF($AG1185="","",INDEX('TMP Paste'!$I$2:$I$1601,$AG1185))</f>
        <v/>
      </c>
      <c r="M1185">
        <f>IF($AG1185="","",Config!$B$16)</f>
        <v/>
      </c>
      <c r="N1185">
        <f>IF($AG1185="","","")</f>
        <v/>
      </c>
      <c r="O1185">
        <f>IF($AG1185="","",INDEX('TMP Paste'!$K$2:$K$1601,$AG1185))</f>
        <v/>
      </c>
      <c r="P1185">
        <f>IF($AG1185="","","")</f>
        <v/>
      </c>
      <c r="Q1185">
        <f>IF($AG1185="","",INDEX('TMP Paste'!$J$2:$J$1601,$AG1185))</f>
        <v/>
      </c>
      <c r="R1185">
        <f>IF($AG1185="","",Config!$B$24)</f>
        <v/>
      </c>
      <c r="S1185">
        <f>IF($AG1185="","",TEXT(Config!$B$4,"yyyy-mm-dd"))</f>
        <v/>
      </c>
      <c r="T1185">
        <f>IF($AG1185="","",Config!$B$17)</f>
        <v/>
      </c>
      <c r="U1185">
        <f>IF($AG1185="","",Config!$B$18)</f>
        <v/>
      </c>
      <c r="V1185">
        <f>IF($AG1185="","",Config!$B$19)</f>
        <v/>
      </c>
      <c r="W1185">
        <f>IF($AG1185="","",INDEX('TMP Paste'!$C$2:$C$1601,$AG1185))</f>
        <v/>
      </c>
      <c r="X1185">
        <f>IF($AG1185="","",Config!$B$29)</f>
        <v/>
      </c>
      <c r="Y1185">
        <f>IF($AH1185="","",INDEX(Calc!$I$2:$I$1601,$AH1185)&amp;" - "&amp;INDEX(Calc!$D$2:$D$1601,$AH1185)&amp;" koli")</f>
        <v/>
      </c>
      <c r="Z1185">
        <f>IF($AG1185="","",Config!$B$21)</f>
        <v/>
      </c>
      <c r="AA1185">
        <f>IF($AG1185="","",Config!$B$22)</f>
        <v/>
      </c>
      <c r="AB1185">
        <f>IF($AH1185="","",INDEX(Calc!$D$2:$D$1601,$AH1185))</f>
        <v/>
      </c>
      <c r="AC1185">
        <f>IF($AH1185="","",INDEX(Calc!$G$2:$G$1601,$AH1185))</f>
        <v/>
      </c>
      <c r="AD1185">
        <f>IF($AG1185="","",Config!$B$23)</f>
        <v/>
      </c>
      <c r="AE1185">
        <f>IF($AG1185="","",Config!$B$28)</f>
        <v/>
      </c>
      <c r="AG1185">
        <f>IFERROR(MATCH(ROW()-1,Calc!$J$2:$J$1601,0),"")</f>
        <v/>
      </c>
      <c r="AH1185">
        <f>IFERROR(MATCH(ROW()-1,Calc!$K$2:$K$1601,0),"")</f>
        <v/>
      </c>
      <c r="AI1185">
        <f>IF($AG1185="","",SUMIF($AG$2:$AG1185,$AG1185,$AH$2:$AH1185))</f>
        <v/>
      </c>
      <c r="AJ1185">
        <f>IF('TMP Paste'!$F1185="","",IF('TMP Paste'!$B1185="",$AJ1184,'TMP Paste'!$B1185))</f>
        <v/>
      </c>
      <c r="AK1185">
        <f>IF('TMP Paste'!$F1185="","",N('TMP Paste'!$G1185))</f>
        <v/>
      </c>
      <c r="AL1185">
        <f>IF('TMP Paste'!$F1185="","",IF('TMP Paste'!$M1185="",$AL1184,'TMP Paste'!$M1185))</f>
        <v/>
      </c>
      <c r="AM1185">
        <f>IF('TMP Paste'!$F1185="","",IF('TMP Paste'!$N1185="",$AM1184,'TMP Paste'!$N1185))</f>
        <v/>
      </c>
      <c r="AN1185">
        <f>IF('TMP Paste'!$F1185="","",IF('TMP Paste'!$O1185="",$AN1184,'TMP Paste'!$O1185))</f>
        <v/>
      </c>
      <c r="AO1185">
        <f>IF('TMP Paste'!$F1185="","",IF('TMP Paste'!$P1185="",$AO1184,'TMP Paste'!$P1185))</f>
        <v/>
      </c>
      <c r="AP1185">
        <f>IF($AG1185="","",LEN($R1185))</f>
        <v/>
      </c>
      <c r="AQ1185">
        <f>IF($AG1185="","",TRIM(IF(COUNTIFS(Calc!$B$2:$B$1601,ROW()-1,Calc!$C$2:$C$1601,"&lt;1")&gt;0,"Ada PO tanpa Koli - cek TMP. ","")&amp;IF(LEN($R1185)&gt;500,"R &gt; 500 karakter.","")))</f>
        <v/>
      </c>
    </row>
    <row r="1186">
      <c r="A1186">
        <f>IF($AG1186="","",INDEX('TMP Paste'!$B$2:$B$1601,$AG1186))</f>
        <v/>
      </c>
      <c r="B1186">
        <f>IF($AG1186="","",Config!$B$14)</f>
        <v/>
      </c>
      <c r="C1186">
        <f>IF($AG1186="","",Config!$B$15)</f>
        <v/>
      </c>
      <c r="D1186">
        <f>IF($AG1186="","",INDEX('TMP Paste'!$B$2:$B$1601,$AG1186))</f>
        <v/>
      </c>
      <c r="E1186">
        <f>IF($AG1186="","",Config!$B$27)</f>
        <v/>
      </c>
      <c r="F1186">
        <f>IF($AG1186="","",Config!$B$9)</f>
        <v/>
      </c>
      <c r="G1186">
        <f>IF($AG1186="","",Config!$B$10)</f>
        <v/>
      </c>
      <c r="H1186">
        <f>IF($AG1186="","",Config!$B$11)</f>
        <v/>
      </c>
      <c r="I1186">
        <f>IF($AG1186="","",Config!$B$16)</f>
        <v/>
      </c>
      <c r="J1186">
        <f>IF($AG1186="","",INDEX('TMP Paste'!$A$2:$A$1601,$AG1186))</f>
        <v/>
      </c>
      <c r="K1186">
        <f>IF($AG1186="","",INDEX('TMP Paste'!$L$2:$L$1601,$AG1186))</f>
        <v/>
      </c>
      <c r="L1186">
        <f>IF($AG1186="","",INDEX('TMP Paste'!$I$2:$I$1601,$AG1186))</f>
        <v/>
      </c>
      <c r="M1186">
        <f>IF($AG1186="","",Config!$B$16)</f>
        <v/>
      </c>
      <c r="N1186">
        <f>IF($AG1186="","","")</f>
        <v/>
      </c>
      <c r="O1186">
        <f>IF($AG1186="","",INDEX('TMP Paste'!$K$2:$K$1601,$AG1186))</f>
        <v/>
      </c>
      <c r="P1186">
        <f>IF($AG1186="","","")</f>
        <v/>
      </c>
      <c r="Q1186">
        <f>IF($AG1186="","",INDEX('TMP Paste'!$J$2:$J$1601,$AG1186))</f>
        <v/>
      </c>
      <c r="R1186">
        <f>IF($AG1186="","",Config!$B$24)</f>
        <v/>
      </c>
      <c r="S1186">
        <f>IF($AG1186="","",TEXT(Config!$B$4,"yyyy-mm-dd"))</f>
        <v/>
      </c>
      <c r="T1186">
        <f>IF($AG1186="","",Config!$B$17)</f>
        <v/>
      </c>
      <c r="U1186">
        <f>IF($AG1186="","",Config!$B$18)</f>
        <v/>
      </c>
      <c r="V1186">
        <f>IF($AG1186="","",Config!$B$19)</f>
        <v/>
      </c>
      <c r="W1186">
        <f>IF($AG1186="","",INDEX('TMP Paste'!$C$2:$C$1601,$AG1186))</f>
        <v/>
      </c>
      <c r="X1186">
        <f>IF($AG1186="","",Config!$B$29)</f>
        <v/>
      </c>
      <c r="Y1186">
        <f>IF($AH1186="","",INDEX(Calc!$I$2:$I$1601,$AH1186)&amp;" - "&amp;INDEX(Calc!$D$2:$D$1601,$AH1186)&amp;" koli")</f>
        <v/>
      </c>
      <c r="Z1186">
        <f>IF($AG1186="","",Config!$B$21)</f>
        <v/>
      </c>
      <c r="AA1186">
        <f>IF($AG1186="","",Config!$B$22)</f>
        <v/>
      </c>
      <c r="AB1186">
        <f>IF($AH1186="","",INDEX(Calc!$D$2:$D$1601,$AH1186))</f>
        <v/>
      </c>
      <c r="AC1186">
        <f>IF($AH1186="","",INDEX(Calc!$G$2:$G$1601,$AH1186))</f>
        <v/>
      </c>
      <c r="AD1186">
        <f>IF($AG1186="","",Config!$B$23)</f>
        <v/>
      </c>
      <c r="AE1186">
        <f>IF($AG1186="","",Config!$B$28)</f>
        <v/>
      </c>
      <c r="AG1186">
        <f>IFERROR(MATCH(ROW()-1,Calc!$J$2:$J$1601,0),"")</f>
        <v/>
      </c>
      <c r="AH1186">
        <f>IFERROR(MATCH(ROW()-1,Calc!$K$2:$K$1601,0),"")</f>
        <v/>
      </c>
      <c r="AI1186">
        <f>IF($AG1186="","",SUMIF($AG$2:$AG1186,$AG1186,$AH$2:$AH1186))</f>
        <v/>
      </c>
      <c r="AJ1186">
        <f>IF('TMP Paste'!$F1186="","",IF('TMP Paste'!$B1186="",$AJ1185,'TMP Paste'!$B1186))</f>
        <v/>
      </c>
      <c r="AK1186">
        <f>IF('TMP Paste'!$F1186="","",N('TMP Paste'!$G1186))</f>
        <v/>
      </c>
      <c r="AL1186">
        <f>IF('TMP Paste'!$F1186="","",IF('TMP Paste'!$M1186="",$AL1185,'TMP Paste'!$M1186))</f>
        <v/>
      </c>
      <c r="AM1186">
        <f>IF('TMP Paste'!$F1186="","",IF('TMP Paste'!$N1186="",$AM1185,'TMP Paste'!$N1186))</f>
        <v/>
      </c>
      <c r="AN1186">
        <f>IF('TMP Paste'!$F1186="","",IF('TMP Paste'!$O1186="",$AN1185,'TMP Paste'!$O1186))</f>
        <v/>
      </c>
      <c r="AO1186">
        <f>IF('TMP Paste'!$F1186="","",IF('TMP Paste'!$P1186="",$AO1185,'TMP Paste'!$P1186))</f>
        <v/>
      </c>
      <c r="AP1186">
        <f>IF($AG1186="","",LEN($R1186))</f>
        <v/>
      </c>
      <c r="AQ1186">
        <f>IF($AG1186="","",TRIM(IF(COUNTIFS(Calc!$B$2:$B$1601,ROW()-1,Calc!$C$2:$C$1601,"&lt;1")&gt;0,"Ada PO tanpa Koli - cek TMP. ","")&amp;IF(LEN($R1186)&gt;500,"R &gt; 500 karakter.","")))</f>
        <v/>
      </c>
    </row>
    <row r="1187">
      <c r="A1187">
        <f>IF($AG1187="","",INDEX('TMP Paste'!$B$2:$B$1601,$AG1187))</f>
        <v/>
      </c>
      <c r="B1187">
        <f>IF($AG1187="","",Config!$B$14)</f>
        <v/>
      </c>
      <c r="C1187">
        <f>IF($AG1187="","",Config!$B$15)</f>
        <v/>
      </c>
      <c r="D1187">
        <f>IF($AG1187="","",INDEX('TMP Paste'!$B$2:$B$1601,$AG1187))</f>
        <v/>
      </c>
      <c r="E1187">
        <f>IF($AG1187="","",Config!$B$27)</f>
        <v/>
      </c>
      <c r="F1187">
        <f>IF($AG1187="","",Config!$B$9)</f>
        <v/>
      </c>
      <c r="G1187">
        <f>IF($AG1187="","",Config!$B$10)</f>
        <v/>
      </c>
      <c r="H1187">
        <f>IF($AG1187="","",Config!$B$11)</f>
        <v/>
      </c>
      <c r="I1187">
        <f>IF($AG1187="","",Config!$B$16)</f>
        <v/>
      </c>
      <c r="J1187">
        <f>IF($AG1187="","",INDEX('TMP Paste'!$A$2:$A$1601,$AG1187))</f>
        <v/>
      </c>
      <c r="K1187">
        <f>IF($AG1187="","",INDEX('TMP Paste'!$L$2:$L$1601,$AG1187))</f>
        <v/>
      </c>
      <c r="L1187">
        <f>IF($AG1187="","",INDEX('TMP Paste'!$I$2:$I$1601,$AG1187))</f>
        <v/>
      </c>
      <c r="M1187">
        <f>IF($AG1187="","",Config!$B$16)</f>
        <v/>
      </c>
      <c r="N1187">
        <f>IF($AG1187="","","")</f>
        <v/>
      </c>
      <c r="O1187">
        <f>IF($AG1187="","",INDEX('TMP Paste'!$K$2:$K$1601,$AG1187))</f>
        <v/>
      </c>
      <c r="P1187">
        <f>IF($AG1187="","","")</f>
        <v/>
      </c>
      <c r="Q1187">
        <f>IF($AG1187="","",INDEX('TMP Paste'!$J$2:$J$1601,$AG1187))</f>
        <v/>
      </c>
      <c r="R1187">
        <f>IF($AG1187="","",Config!$B$24)</f>
        <v/>
      </c>
      <c r="S1187">
        <f>IF($AG1187="","",TEXT(Config!$B$4,"yyyy-mm-dd"))</f>
        <v/>
      </c>
      <c r="T1187">
        <f>IF($AG1187="","",Config!$B$17)</f>
        <v/>
      </c>
      <c r="U1187">
        <f>IF($AG1187="","",Config!$B$18)</f>
        <v/>
      </c>
      <c r="V1187">
        <f>IF($AG1187="","",Config!$B$19)</f>
        <v/>
      </c>
      <c r="W1187">
        <f>IF($AG1187="","",INDEX('TMP Paste'!$C$2:$C$1601,$AG1187))</f>
        <v/>
      </c>
      <c r="X1187">
        <f>IF($AG1187="","",Config!$B$29)</f>
        <v/>
      </c>
      <c r="Y1187">
        <f>IF($AH1187="","",INDEX(Calc!$I$2:$I$1601,$AH1187)&amp;" - "&amp;INDEX(Calc!$D$2:$D$1601,$AH1187)&amp;" koli")</f>
        <v/>
      </c>
      <c r="Z1187">
        <f>IF($AG1187="","",Config!$B$21)</f>
        <v/>
      </c>
      <c r="AA1187">
        <f>IF($AG1187="","",Config!$B$22)</f>
        <v/>
      </c>
      <c r="AB1187">
        <f>IF($AH1187="","",INDEX(Calc!$D$2:$D$1601,$AH1187))</f>
        <v/>
      </c>
      <c r="AC1187">
        <f>IF($AH1187="","",INDEX(Calc!$G$2:$G$1601,$AH1187))</f>
        <v/>
      </c>
      <c r="AD1187">
        <f>IF($AG1187="","",Config!$B$23)</f>
        <v/>
      </c>
      <c r="AE1187">
        <f>IF($AG1187="","",Config!$B$28)</f>
        <v/>
      </c>
      <c r="AG1187">
        <f>IFERROR(MATCH(ROW()-1,Calc!$J$2:$J$1601,0),"")</f>
        <v/>
      </c>
      <c r="AH1187">
        <f>IFERROR(MATCH(ROW()-1,Calc!$K$2:$K$1601,0),"")</f>
        <v/>
      </c>
      <c r="AI1187">
        <f>IF($AG1187="","",SUMIF($AG$2:$AG1187,$AG1187,$AH$2:$AH1187))</f>
        <v/>
      </c>
      <c r="AJ1187">
        <f>IF('TMP Paste'!$F1187="","",IF('TMP Paste'!$B1187="",$AJ1186,'TMP Paste'!$B1187))</f>
        <v/>
      </c>
      <c r="AK1187">
        <f>IF('TMP Paste'!$F1187="","",N('TMP Paste'!$G1187))</f>
        <v/>
      </c>
      <c r="AL1187">
        <f>IF('TMP Paste'!$F1187="","",IF('TMP Paste'!$M1187="",$AL1186,'TMP Paste'!$M1187))</f>
        <v/>
      </c>
      <c r="AM1187">
        <f>IF('TMP Paste'!$F1187="","",IF('TMP Paste'!$N1187="",$AM1186,'TMP Paste'!$N1187))</f>
        <v/>
      </c>
      <c r="AN1187">
        <f>IF('TMP Paste'!$F1187="","",IF('TMP Paste'!$O1187="",$AN1186,'TMP Paste'!$O1187))</f>
        <v/>
      </c>
      <c r="AO1187">
        <f>IF('TMP Paste'!$F1187="","",IF('TMP Paste'!$P1187="",$AO1186,'TMP Paste'!$P1187))</f>
        <v/>
      </c>
      <c r="AP1187">
        <f>IF($AG1187="","",LEN($R1187))</f>
        <v/>
      </c>
      <c r="AQ1187">
        <f>IF($AG1187="","",TRIM(IF(COUNTIFS(Calc!$B$2:$B$1601,ROW()-1,Calc!$C$2:$C$1601,"&lt;1")&gt;0,"Ada PO tanpa Koli - cek TMP. ","")&amp;IF(LEN($R1187)&gt;500,"R &gt; 500 karakter.","")))</f>
        <v/>
      </c>
    </row>
    <row r="1188">
      <c r="A1188">
        <f>IF($AG1188="","",INDEX('TMP Paste'!$B$2:$B$1601,$AG1188))</f>
        <v/>
      </c>
      <c r="B1188">
        <f>IF($AG1188="","",Config!$B$14)</f>
        <v/>
      </c>
      <c r="C1188">
        <f>IF($AG1188="","",Config!$B$15)</f>
        <v/>
      </c>
      <c r="D1188">
        <f>IF($AG1188="","",INDEX('TMP Paste'!$B$2:$B$1601,$AG1188))</f>
        <v/>
      </c>
      <c r="E1188">
        <f>IF($AG1188="","",Config!$B$27)</f>
        <v/>
      </c>
      <c r="F1188">
        <f>IF($AG1188="","",Config!$B$9)</f>
        <v/>
      </c>
      <c r="G1188">
        <f>IF($AG1188="","",Config!$B$10)</f>
        <v/>
      </c>
      <c r="H1188">
        <f>IF($AG1188="","",Config!$B$11)</f>
        <v/>
      </c>
      <c r="I1188">
        <f>IF($AG1188="","",Config!$B$16)</f>
        <v/>
      </c>
      <c r="J1188">
        <f>IF($AG1188="","",INDEX('TMP Paste'!$A$2:$A$1601,$AG1188))</f>
        <v/>
      </c>
      <c r="K1188">
        <f>IF($AG1188="","",INDEX('TMP Paste'!$L$2:$L$1601,$AG1188))</f>
        <v/>
      </c>
      <c r="L1188">
        <f>IF($AG1188="","",INDEX('TMP Paste'!$I$2:$I$1601,$AG1188))</f>
        <v/>
      </c>
      <c r="M1188">
        <f>IF($AG1188="","",Config!$B$16)</f>
        <v/>
      </c>
      <c r="N1188">
        <f>IF($AG1188="","","")</f>
        <v/>
      </c>
      <c r="O1188">
        <f>IF($AG1188="","",INDEX('TMP Paste'!$K$2:$K$1601,$AG1188))</f>
        <v/>
      </c>
      <c r="P1188">
        <f>IF($AG1188="","","")</f>
        <v/>
      </c>
      <c r="Q1188">
        <f>IF($AG1188="","",INDEX('TMP Paste'!$J$2:$J$1601,$AG1188))</f>
        <v/>
      </c>
      <c r="R1188">
        <f>IF($AG1188="","",Config!$B$24)</f>
        <v/>
      </c>
      <c r="S1188">
        <f>IF($AG1188="","",TEXT(Config!$B$4,"yyyy-mm-dd"))</f>
        <v/>
      </c>
      <c r="T1188">
        <f>IF($AG1188="","",Config!$B$17)</f>
        <v/>
      </c>
      <c r="U1188">
        <f>IF($AG1188="","",Config!$B$18)</f>
        <v/>
      </c>
      <c r="V1188">
        <f>IF($AG1188="","",Config!$B$19)</f>
        <v/>
      </c>
      <c r="W1188">
        <f>IF($AG1188="","",INDEX('TMP Paste'!$C$2:$C$1601,$AG1188))</f>
        <v/>
      </c>
      <c r="X1188">
        <f>IF($AG1188="","",Config!$B$29)</f>
        <v/>
      </c>
      <c r="Y1188">
        <f>IF($AH1188="","",INDEX(Calc!$I$2:$I$1601,$AH1188)&amp;" - "&amp;INDEX(Calc!$D$2:$D$1601,$AH1188)&amp;" koli")</f>
        <v/>
      </c>
      <c r="Z1188">
        <f>IF($AG1188="","",Config!$B$21)</f>
        <v/>
      </c>
      <c r="AA1188">
        <f>IF($AG1188="","",Config!$B$22)</f>
        <v/>
      </c>
      <c r="AB1188">
        <f>IF($AH1188="","",INDEX(Calc!$D$2:$D$1601,$AH1188))</f>
        <v/>
      </c>
      <c r="AC1188">
        <f>IF($AH1188="","",INDEX(Calc!$G$2:$G$1601,$AH1188))</f>
        <v/>
      </c>
      <c r="AD1188">
        <f>IF($AG1188="","",Config!$B$23)</f>
        <v/>
      </c>
      <c r="AE1188">
        <f>IF($AG1188="","",Config!$B$28)</f>
        <v/>
      </c>
      <c r="AG1188">
        <f>IFERROR(MATCH(ROW()-1,Calc!$J$2:$J$1601,0),"")</f>
        <v/>
      </c>
      <c r="AH1188">
        <f>IFERROR(MATCH(ROW()-1,Calc!$K$2:$K$1601,0),"")</f>
        <v/>
      </c>
      <c r="AI1188">
        <f>IF($AG1188="","",SUMIF($AG$2:$AG1188,$AG1188,$AH$2:$AH1188))</f>
        <v/>
      </c>
      <c r="AJ1188">
        <f>IF('TMP Paste'!$F1188="","",IF('TMP Paste'!$B1188="",$AJ1187,'TMP Paste'!$B1188))</f>
        <v/>
      </c>
      <c r="AK1188">
        <f>IF('TMP Paste'!$F1188="","",N('TMP Paste'!$G1188))</f>
        <v/>
      </c>
      <c r="AL1188">
        <f>IF('TMP Paste'!$F1188="","",IF('TMP Paste'!$M1188="",$AL1187,'TMP Paste'!$M1188))</f>
        <v/>
      </c>
      <c r="AM1188">
        <f>IF('TMP Paste'!$F1188="","",IF('TMP Paste'!$N1188="",$AM1187,'TMP Paste'!$N1188))</f>
        <v/>
      </c>
      <c r="AN1188">
        <f>IF('TMP Paste'!$F1188="","",IF('TMP Paste'!$O1188="",$AN1187,'TMP Paste'!$O1188))</f>
        <v/>
      </c>
      <c r="AO1188">
        <f>IF('TMP Paste'!$F1188="","",IF('TMP Paste'!$P1188="",$AO1187,'TMP Paste'!$P1188))</f>
        <v/>
      </c>
      <c r="AP1188">
        <f>IF($AG1188="","",LEN($R1188))</f>
        <v/>
      </c>
      <c r="AQ1188">
        <f>IF($AG1188="","",TRIM(IF(COUNTIFS(Calc!$B$2:$B$1601,ROW()-1,Calc!$C$2:$C$1601,"&lt;1")&gt;0,"Ada PO tanpa Koli - cek TMP. ","")&amp;IF(LEN($R1188)&gt;500,"R &gt; 500 karakter.","")))</f>
        <v/>
      </c>
    </row>
    <row r="1189">
      <c r="A1189">
        <f>IF($AG1189="","",INDEX('TMP Paste'!$B$2:$B$1601,$AG1189))</f>
        <v/>
      </c>
      <c r="B1189">
        <f>IF($AG1189="","",Config!$B$14)</f>
        <v/>
      </c>
      <c r="C1189">
        <f>IF($AG1189="","",Config!$B$15)</f>
        <v/>
      </c>
      <c r="D1189">
        <f>IF($AG1189="","",INDEX('TMP Paste'!$B$2:$B$1601,$AG1189))</f>
        <v/>
      </c>
      <c r="E1189">
        <f>IF($AG1189="","",Config!$B$27)</f>
        <v/>
      </c>
      <c r="F1189">
        <f>IF($AG1189="","",Config!$B$9)</f>
        <v/>
      </c>
      <c r="G1189">
        <f>IF($AG1189="","",Config!$B$10)</f>
        <v/>
      </c>
      <c r="H1189">
        <f>IF($AG1189="","",Config!$B$11)</f>
        <v/>
      </c>
      <c r="I1189">
        <f>IF($AG1189="","",Config!$B$16)</f>
        <v/>
      </c>
      <c r="J1189">
        <f>IF($AG1189="","",INDEX('TMP Paste'!$A$2:$A$1601,$AG1189))</f>
        <v/>
      </c>
      <c r="K1189">
        <f>IF($AG1189="","",INDEX('TMP Paste'!$L$2:$L$1601,$AG1189))</f>
        <v/>
      </c>
      <c r="L1189">
        <f>IF($AG1189="","",INDEX('TMP Paste'!$I$2:$I$1601,$AG1189))</f>
        <v/>
      </c>
      <c r="M1189">
        <f>IF($AG1189="","",Config!$B$16)</f>
        <v/>
      </c>
      <c r="N1189">
        <f>IF($AG1189="","","")</f>
        <v/>
      </c>
      <c r="O1189">
        <f>IF($AG1189="","",INDEX('TMP Paste'!$K$2:$K$1601,$AG1189))</f>
        <v/>
      </c>
      <c r="P1189">
        <f>IF($AG1189="","","")</f>
        <v/>
      </c>
      <c r="Q1189">
        <f>IF($AG1189="","",INDEX('TMP Paste'!$J$2:$J$1601,$AG1189))</f>
        <v/>
      </c>
      <c r="R1189">
        <f>IF($AG1189="","",Config!$B$24)</f>
        <v/>
      </c>
      <c r="S1189">
        <f>IF($AG1189="","",TEXT(Config!$B$4,"yyyy-mm-dd"))</f>
        <v/>
      </c>
      <c r="T1189">
        <f>IF($AG1189="","",Config!$B$17)</f>
        <v/>
      </c>
      <c r="U1189">
        <f>IF($AG1189="","",Config!$B$18)</f>
        <v/>
      </c>
      <c r="V1189">
        <f>IF($AG1189="","",Config!$B$19)</f>
        <v/>
      </c>
      <c r="W1189">
        <f>IF($AG1189="","",INDEX('TMP Paste'!$C$2:$C$1601,$AG1189))</f>
        <v/>
      </c>
      <c r="X1189">
        <f>IF($AG1189="","",Config!$B$29)</f>
        <v/>
      </c>
      <c r="Y1189">
        <f>IF($AH1189="","",INDEX(Calc!$I$2:$I$1601,$AH1189)&amp;" - "&amp;INDEX(Calc!$D$2:$D$1601,$AH1189)&amp;" koli")</f>
        <v/>
      </c>
      <c r="Z1189">
        <f>IF($AG1189="","",Config!$B$21)</f>
        <v/>
      </c>
      <c r="AA1189">
        <f>IF($AG1189="","",Config!$B$22)</f>
        <v/>
      </c>
      <c r="AB1189">
        <f>IF($AH1189="","",INDEX(Calc!$D$2:$D$1601,$AH1189))</f>
        <v/>
      </c>
      <c r="AC1189">
        <f>IF($AH1189="","",INDEX(Calc!$G$2:$G$1601,$AH1189))</f>
        <v/>
      </c>
      <c r="AD1189">
        <f>IF($AG1189="","",Config!$B$23)</f>
        <v/>
      </c>
      <c r="AE1189">
        <f>IF($AG1189="","",Config!$B$28)</f>
        <v/>
      </c>
      <c r="AG1189">
        <f>IFERROR(MATCH(ROW()-1,Calc!$J$2:$J$1601,0),"")</f>
        <v/>
      </c>
      <c r="AH1189">
        <f>IFERROR(MATCH(ROW()-1,Calc!$K$2:$K$1601,0),"")</f>
        <v/>
      </c>
      <c r="AI1189">
        <f>IF($AG1189="","",SUMIF($AG$2:$AG1189,$AG1189,$AH$2:$AH1189))</f>
        <v/>
      </c>
      <c r="AJ1189">
        <f>IF('TMP Paste'!$F1189="","",IF('TMP Paste'!$B1189="",$AJ1188,'TMP Paste'!$B1189))</f>
        <v/>
      </c>
      <c r="AK1189">
        <f>IF('TMP Paste'!$F1189="","",N('TMP Paste'!$G1189))</f>
        <v/>
      </c>
      <c r="AL1189">
        <f>IF('TMP Paste'!$F1189="","",IF('TMP Paste'!$M1189="",$AL1188,'TMP Paste'!$M1189))</f>
        <v/>
      </c>
      <c r="AM1189">
        <f>IF('TMP Paste'!$F1189="","",IF('TMP Paste'!$N1189="",$AM1188,'TMP Paste'!$N1189))</f>
        <v/>
      </c>
      <c r="AN1189">
        <f>IF('TMP Paste'!$F1189="","",IF('TMP Paste'!$O1189="",$AN1188,'TMP Paste'!$O1189))</f>
        <v/>
      </c>
      <c r="AO1189">
        <f>IF('TMP Paste'!$F1189="","",IF('TMP Paste'!$P1189="",$AO1188,'TMP Paste'!$P1189))</f>
        <v/>
      </c>
      <c r="AP1189">
        <f>IF($AG1189="","",LEN($R1189))</f>
        <v/>
      </c>
      <c r="AQ1189">
        <f>IF($AG1189="","",TRIM(IF(COUNTIFS(Calc!$B$2:$B$1601,ROW()-1,Calc!$C$2:$C$1601,"&lt;1")&gt;0,"Ada PO tanpa Koli - cek TMP. ","")&amp;IF(LEN($R1189)&gt;500,"R &gt; 500 karakter.","")))</f>
        <v/>
      </c>
    </row>
    <row r="1190">
      <c r="A1190">
        <f>IF($AG1190="","",INDEX('TMP Paste'!$B$2:$B$1601,$AG1190))</f>
        <v/>
      </c>
      <c r="B1190">
        <f>IF($AG1190="","",Config!$B$14)</f>
        <v/>
      </c>
      <c r="C1190">
        <f>IF($AG1190="","",Config!$B$15)</f>
        <v/>
      </c>
      <c r="D1190">
        <f>IF($AG1190="","",INDEX('TMP Paste'!$B$2:$B$1601,$AG1190))</f>
        <v/>
      </c>
      <c r="E1190">
        <f>IF($AG1190="","",Config!$B$27)</f>
        <v/>
      </c>
      <c r="F1190">
        <f>IF($AG1190="","",Config!$B$9)</f>
        <v/>
      </c>
      <c r="G1190">
        <f>IF($AG1190="","",Config!$B$10)</f>
        <v/>
      </c>
      <c r="H1190">
        <f>IF($AG1190="","",Config!$B$11)</f>
        <v/>
      </c>
      <c r="I1190">
        <f>IF($AG1190="","",Config!$B$16)</f>
        <v/>
      </c>
      <c r="J1190">
        <f>IF($AG1190="","",INDEX('TMP Paste'!$A$2:$A$1601,$AG1190))</f>
        <v/>
      </c>
      <c r="K1190">
        <f>IF($AG1190="","",INDEX('TMP Paste'!$L$2:$L$1601,$AG1190))</f>
        <v/>
      </c>
      <c r="L1190">
        <f>IF($AG1190="","",INDEX('TMP Paste'!$I$2:$I$1601,$AG1190))</f>
        <v/>
      </c>
      <c r="M1190">
        <f>IF($AG1190="","",Config!$B$16)</f>
        <v/>
      </c>
      <c r="N1190">
        <f>IF($AG1190="","","")</f>
        <v/>
      </c>
      <c r="O1190">
        <f>IF($AG1190="","",INDEX('TMP Paste'!$K$2:$K$1601,$AG1190))</f>
        <v/>
      </c>
      <c r="P1190">
        <f>IF($AG1190="","","")</f>
        <v/>
      </c>
      <c r="Q1190">
        <f>IF($AG1190="","",INDEX('TMP Paste'!$J$2:$J$1601,$AG1190))</f>
        <v/>
      </c>
      <c r="R1190">
        <f>IF($AG1190="","",Config!$B$24)</f>
        <v/>
      </c>
      <c r="S1190">
        <f>IF($AG1190="","",TEXT(Config!$B$4,"yyyy-mm-dd"))</f>
        <v/>
      </c>
      <c r="T1190">
        <f>IF($AG1190="","",Config!$B$17)</f>
        <v/>
      </c>
      <c r="U1190">
        <f>IF($AG1190="","",Config!$B$18)</f>
        <v/>
      </c>
      <c r="V1190">
        <f>IF($AG1190="","",Config!$B$19)</f>
        <v/>
      </c>
      <c r="W1190">
        <f>IF($AG1190="","",INDEX('TMP Paste'!$C$2:$C$1601,$AG1190))</f>
        <v/>
      </c>
      <c r="X1190">
        <f>IF($AG1190="","",Config!$B$29)</f>
        <v/>
      </c>
      <c r="Y1190">
        <f>IF($AH1190="","",INDEX(Calc!$I$2:$I$1601,$AH1190)&amp;" - "&amp;INDEX(Calc!$D$2:$D$1601,$AH1190)&amp;" koli")</f>
        <v/>
      </c>
      <c r="Z1190">
        <f>IF($AG1190="","",Config!$B$21)</f>
        <v/>
      </c>
      <c r="AA1190">
        <f>IF($AG1190="","",Config!$B$22)</f>
        <v/>
      </c>
      <c r="AB1190">
        <f>IF($AH1190="","",INDEX(Calc!$D$2:$D$1601,$AH1190))</f>
        <v/>
      </c>
      <c r="AC1190">
        <f>IF($AH1190="","",INDEX(Calc!$G$2:$G$1601,$AH1190))</f>
        <v/>
      </c>
      <c r="AD1190">
        <f>IF($AG1190="","",Config!$B$23)</f>
        <v/>
      </c>
      <c r="AE1190">
        <f>IF($AG1190="","",Config!$B$28)</f>
        <v/>
      </c>
      <c r="AG1190">
        <f>IFERROR(MATCH(ROW()-1,Calc!$J$2:$J$1601,0),"")</f>
        <v/>
      </c>
      <c r="AH1190">
        <f>IFERROR(MATCH(ROW()-1,Calc!$K$2:$K$1601,0),"")</f>
        <v/>
      </c>
      <c r="AI1190">
        <f>IF($AG1190="","",SUMIF($AG$2:$AG1190,$AG1190,$AH$2:$AH1190))</f>
        <v/>
      </c>
      <c r="AJ1190">
        <f>IF('TMP Paste'!$F1190="","",IF('TMP Paste'!$B1190="",$AJ1189,'TMP Paste'!$B1190))</f>
        <v/>
      </c>
      <c r="AK1190">
        <f>IF('TMP Paste'!$F1190="","",N('TMP Paste'!$G1190))</f>
        <v/>
      </c>
      <c r="AL1190">
        <f>IF('TMP Paste'!$F1190="","",IF('TMP Paste'!$M1190="",$AL1189,'TMP Paste'!$M1190))</f>
        <v/>
      </c>
      <c r="AM1190">
        <f>IF('TMP Paste'!$F1190="","",IF('TMP Paste'!$N1190="",$AM1189,'TMP Paste'!$N1190))</f>
        <v/>
      </c>
      <c r="AN1190">
        <f>IF('TMP Paste'!$F1190="","",IF('TMP Paste'!$O1190="",$AN1189,'TMP Paste'!$O1190))</f>
        <v/>
      </c>
      <c r="AO1190">
        <f>IF('TMP Paste'!$F1190="","",IF('TMP Paste'!$P1190="",$AO1189,'TMP Paste'!$P1190))</f>
        <v/>
      </c>
      <c r="AP1190">
        <f>IF($AG1190="","",LEN($R1190))</f>
        <v/>
      </c>
      <c r="AQ1190">
        <f>IF($AG1190="","",TRIM(IF(COUNTIFS(Calc!$B$2:$B$1601,ROW()-1,Calc!$C$2:$C$1601,"&lt;1")&gt;0,"Ada PO tanpa Koli - cek TMP. ","")&amp;IF(LEN($R1190)&gt;500,"R &gt; 500 karakter.","")))</f>
        <v/>
      </c>
    </row>
    <row r="1191">
      <c r="A1191">
        <f>IF($AG1191="","",INDEX('TMP Paste'!$B$2:$B$1601,$AG1191))</f>
        <v/>
      </c>
      <c r="B1191">
        <f>IF($AG1191="","",Config!$B$14)</f>
        <v/>
      </c>
      <c r="C1191">
        <f>IF($AG1191="","",Config!$B$15)</f>
        <v/>
      </c>
      <c r="D1191">
        <f>IF($AG1191="","",INDEX('TMP Paste'!$B$2:$B$1601,$AG1191))</f>
        <v/>
      </c>
      <c r="E1191">
        <f>IF($AG1191="","",Config!$B$27)</f>
        <v/>
      </c>
      <c r="F1191">
        <f>IF($AG1191="","",Config!$B$9)</f>
        <v/>
      </c>
      <c r="G1191">
        <f>IF($AG1191="","",Config!$B$10)</f>
        <v/>
      </c>
      <c r="H1191">
        <f>IF($AG1191="","",Config!$B$11)</f>
        <v/>
      </c>
      <c r="I1191">
        <f>IF($AG1191="","",Config!$B$16)</f>
        <v/>
      </c>
      <c r="J1191">
        <f>IF($AG1191="","",INDEX('TMP Paste'!$A$2:$A$1601,$AG1191))</f>
        <v/>
      </c>
      <c r="K1191">
        <f>IF($AG1191="","",INDEX('TMP Paste'!$L$2:$L$1601,$AG1191))</f>
        <v/>
      </c>
      <c r="L1191">
        <f>IF($AG1191="","",INDEX('TMP Paste'!$I$2:$I$1601,$AG1191))</f>
        <v/>
      </c>
      <c r="M1191">
        <f>IF($AG1191="","",Config!$B$16)</f>
        <v/>
      </c>
      <c r="N1191">
        <f>IF($AG1191="","","")</f>
        <v/>
      </c>
      <c r="O1191">
        <f>IF($AG1191="","",INDEX('TMP Paste'!$K$2:$K$1601,$AG1191))</f>
        <v/>
      </c>
      <c r="P1191">
        <f>IF($AG1191="","","")</f>
        <v/>
      </c>
      <c r="Q1191">
        <f>IF($AG1191="","",INDEX('TMP Paste'!$J$2:$J$1601,$AG1191))</f>
        <v/>
      </c>
      <c r="R1191">
        <f>IF($AG1191="","",Config!$B$24)</f>
        <v/>
      </c>
      <c r="S1191">
        <f>IF($AG1191="","",TEXT(Config!$B$4,"yyyy-mm-dd"))</f>
        <v/>
      </c>
      <c r="T1191">
        <f>IF($AG1191="","",Config!$B$17)</f>
        <v/>
      </c>
      <c r="U1191">
        <f>IF($AG1191="","",Config!$B$18)</f>
        <v/>
      </c>
      <c r="V1191">
        <f>IF($AG1191="","",Config!$B$19)</f>
        <v/>
      </c>
      <c r="W1191">
        <f>IF($AG1191="","",INDEX('TMP Paste'!$C$2:$C$1601,$AG1191))</f>
        <v/>
      </c>
      <c r="X1191">
        <f>IF($AG1191="","",Config!$B$29)</f>
        <v/>
      </c>
      <c r="Y1191">
        <f>IF($AH1191="","",INDEX(Calc!$I$2:$I$1601,$AH1191)&amp;" - "&amp;INDEX(Calc!$D$2:$D$1601,$AH1191)&amp;" koli")</f>
        <v/>
      </c>
      <c r="Z1191">
        <f>IF($AG1191="","",Config!$B$21)</f>
        <v/>
      </c>
      <c r="AA1191">
        <f>IF($AG1191="","",Config!$B$22)</f>
        <v/>
      </c>
      <c r="AB1191">
        <f>IF($AH1191="","",INDEX(Calc!$D$2:$D$1601,$AH1191))</f>
        <v/>
      </c>
      <c r="AC1191">
        <f>IF($AH1191="","",INDEX(Calc!$G$2:$G$1601,$AH1191))</f>
        <v/>
      </c>
      <c r="AD1191">
        <f>IF($AG1191="","",Config!$B$23)</f>
        <v/>
      </c>
      <c r="AE1191">
        <f>IF($AG1191="","",Config!$B$28)</f>
        <v/>
      </c>
      <c r="AG1191">
        <f>IFERROR(MATCH(ROW()-1,Calc!$J$2:$J$1601,0),"")</f>
        <v/>
      </c>
      <c r="AH1191">
        <f>IFERROR(MATCH(ROW()-1,Calc!$K$2:$K$1601,0),"")</f>
        <v/>
      </c>
      <c r="AI1191">
        <f>IF($AG1191="","",SUMIF($AG$2:$AG1191,$AG1191,$AH$2:$AH1191))</f>
        <v/>
      </c>
      <c r="AJ1191">
        <f>IF('TMP Paste'!$F1191="","",IF('TMP Paste'!$B1191="",$AJ1190,'TMP Paste'!$B1191))</f>
        <v/>
      </c>
      <c r="AK1191">
        <f>IF('TMP Paste'!$F1191="","",N('TMP Paste'!$G1191))</f>
        <v/>
      </c>
      <c r="AL1191">
        <f>IF('TMP Paste'!$F1191="","",IF('TMP Paste'!$M1191="",$AL1190,'TMP Paste'!$M1191))</f>
        <v/>
      </c>
      <c r="AM1191">
        <f>IF('TMP Paste'!$F1191="","",IF('TMP Paste'!$N1191="",$AM1190,'TMP Paste'!$N1191))</f>
        <v/>
      </c>
      <c r="AN1191">
        <f>IF('TMP Paste'!$F1191="","",IF('TMP Paste'!$O1191="",$AN1190,'TMP Paste'!$O1191))</f>
        <v/>
      </c>
      <c r="AO1191">
        <f>IF('TMP Paste'!$F1191="","",IF('TMP Paste'!$P1191="",$AO1190,'TMP Paste'!$P1191))</f>
        <v/>
      </c>
      <c r="AP1191">
        <f>IF($AG1191="","",LEN($R1191))</f>
        <v/>
      </c>
      <c r="AQ1191">
        <f>IF($AG1191="","",TRIM(IF(COUNTIFS(Calc!$B$2:$B$1601,ROW()-1,Calc!$C$2:$C$1601,"&lt;1")&gt;0,"Ada PO tanpa Koli - cek TMP. ","")&amp;IF(LEN($R1191)&gt;500,"R &gt; 500 karakter.","")))</f>
        <v/>
      </c>
    </row>
    <row r="1192">
      <c r="A1192">
        <f>IF($AG1192="","",INDEX('TMP Paste'!$B$2:$B$1601,$AG1192))</f>
        <v/>
      </c>
      <c r="B1192">
        <f>IF($AG1192="","",Config!$B$14)</f>
        <v/>
      </c>
      <c r="C1192">
        <f>IF($AG1192="","",Config!$B$15)</f>
        <v/>
      </c>
      <c r="D1192">
        <f>IF($AG1192="","",INDEX('TMP Paste'!$B$2:$B$1601,$AG1192))</f>
        <v/>
      </c>
      <c r="E1192">
        <f>IF($AG1192="","",Config!$B$27)</f>
        <v/>
      </c>
      <c r="F1192">
        <f>IF($AG1192="","",Config!$B$9)</f>
        <v/>
      </c>
      <c r="G1192">
        <f>IF($AG1192="","",Config!$B$10)</f>
        <v/>
      </c>
      <c r="H1192">
        <f>IF($AG1192="","",Config!$B$11)</f>
        <v/>
      </c>
      <c r="I1192">
        <f>IF($AG1192="","",Config!$B$16)</f>
        <v/>
      </c>
      <c r="J1192">
        <f>IF($AG1192="","",INDEX('TMP Paste'!$A$2:$A$1601,$AG1192))</f>
        <v/>
      </c>
      <c r="K1192">
        <f>IF($AG1192="","",INDEX('TMP Paste'!$L$2:$L$1601,$AG1192))</f>
        <v/>
      </c>
      <c r="L1192">
        <f>IF($AG1192="","",INDEX('TMP Paste'!$I$2:$I$1601,$AG1192))</f>
        <v/>
      </c>
      <c r="M1192">
        <f>IF($AG1192="","",Config!$B$16)</f>
        <v/>
      </c>
      <c r="N1192">
        <f>IF($AG1192="","","")</f>
        <v/>
      </c>
      <c r="O1192">
        <f>IF($AG1192="","",INDEX('TMP Paste'!$K$2:$K$1601,$AG1192))</f>
        <v/>
      </c>
      <c r="P1192">
        <f>IF($AG1192="","","")</f>
        <v/>
      </c>
      <c r="Q1192">
        <f>IF($AG1192="","",INDEX('TMP Paste'!$J$2:$J$1601,$AG1192))</f>
        <v/>
      </c>
      <c r="R1192">
        <f>IF($AG1192="","",Config!$B$24)</f>
        <v/>
      </c>
      <c r="S1192">
        <f>IF($AG1192="","",TEXT(Config!$B$4,"yyyy-mm-dd"))</f>
        <v/>
      </c>
      <c r="T1192">
        <f>IF($AG1192="","",Config!$B$17)</f>
        <v/>
      </c>
      <c r="U1192">
        <f>IF($AG1192="","",Config!$B$18)</f>
        <v/>
      </c>
      <c r="V1192">
        <f>IF($AG1192="","",Config!$B$19)</f>
        <v/>
      </c>
      <c r="W1192">
        <f>IF($AG1192="","",INDEX('TMP Paste'!$C$2:$C$1601,$AG1192))</f>
        <v/>
      </c>
      <c r="X1192">
        <f>IF($AG1192="","",Config!$B$29)</f>
        <v/>
      </c>
      <c r="Y1192">
        <f>IF($AH1192="","",INDEX(Calc!$I$2:$I$1601,$AH1192)&amp;" - "&amp;INDEX(Calc!$D$2:$D$1601,$AH1192)&amp;" koli")</f>
        <v/>
      </c>
      <c r="Z1192">
        <f>IF($AG1192="","",Config!$B$21)</f>
        <v/>
      </c>
      <c r="AA1192">
        <f>IF($AG1192="","",Config!$B$22)</f>
        <v/>
      </c>
      <c r="AB1192">
        <f>IF($AH1192="","",INDEX(Calc!$D$2:$D$1601,$AH1192))</f>
        <v/>
      </c>
      <c r="AC1192">
        <f>IF($AH1192="","",INDEX(Calc!$G$2:$G$1601,$AH1192))</f>
        <v/>
      </c>
      <c r="AD1192">
        <f>IF($AG1192="","",Config!$B$23)</f>
        <v/>
      </c>
      <c r="AE1192">
        <f>IF($AG1192="","",Config!$B$28)</f>
        <v/>
      </c>
      <c r="AG1192">
        <f>IFERROR(MATCH(ROW()-1,Calc!$J$2:$J$1601,0),"")</f>
        <v/>
      </c>
      <c r="AH1192">
        <f>IFERROR(MATCH(ROW()-1,Calc!$K$2:$K$1601,0),"")</f>
        <v/>
      </c>
      <c r="AI1192">
        <f>IF($AG1192="","",SUMIF($AG$2:$AG1192,$AG1192,$AH$2:$AH1192))</f>
        <v/>
      </c>
      <c r="AJ1192">
        <f>IF('TMP Paste'!$F1192="","",IF('TMP Paste'!$B1192="",$AJ1191,'TMP Paste'!$B1192))</f>
        <v/>
      </c>
      <c r="AK1192">
        <f>IF('TMP Paste'!$F1192="","",N('TMP Paste'!$G1192))</f>
        <v/>
      </c>
      <c r="AL1192">
        <f>IF('TMP Paste'!$F1192="","",IF('TMP Paste'!$M1192="",$AL1191,'TMP Paste'!$M1192))</f>
        <v/>
      </c>
      <c r="AM1192">
        <f>IF('TMP Paste'!$F1192="","",IF('TMP Paste'!$N1192="",$AM1191,'TMP Paste'!$N1192))</f>
        <v/>
      </c>
      <c r="AN1192">
        <f>IF('TMP Paste'!$F1192="","",IF('TMP Paste'!$O1192="",$AN1191,'TMP Paste'!$O1192))</f>
        <v/>
      </c>
      <c r="AO1192">
        <f>IF('TMP Paste'!$F1192="","",IF('TMP Paste'!$P1192="",$AO1191,'TMP Paste'!$P1192))</f>
        <v/>
      </c>
      <c r="AP1192">
        <f>IF($AG1192="","",LEN($R1192))</f>
        <v/>
      </c>
      <c r="AQ1192">
        <f>IF($AG1192="","",TRIM(IF(COUNTIFS(Calc!$B$2:$B$1601,ROW()-1,Calc!$C$2:$C$1601,"&lt;1")&gt;0,"Ada PO tanpa Koli - cek TMP. ","")&amp;IF(LEN($R1192)&gt;500,"R &gt; 500 karakter.","")))</f>
        <v/>
      </c>
    </row>
    <row r="1193">
      <c r="A1193">
        <f>IF($AG1193="","",INDEX('TMP Paste'!$B$2:$B$1601,$AG1193))</f>
        <v/>
      </c>
      <c r="B1193">
        <f>IF($AG1193="","",Config!$B$14)</f>
        <v/>
      </c>
      <c r="C1193">
        <f>IF($AG1193="","",Config!$B$15)</f>
        <v/>
      </c>
      <c r="D1193">
        <f>IF($AG1193="","",INDEX('TMP Paste'!$B$2:$B$1601,$AG1193))</f>
        <v/>
      </c>
      <c r="E1193">
        <f>IF($AG1193="","",Config!$B$27)</f>
        <v/>
      </c>
      <c r="F1193">
        <f>IF($AG1193="","",Config!$B$9)</f>
        <v/>
      </c>
      <c r="G1193">
        <f>IF($AG1193="","",Config!$B$10)</f>
        <v/>
      </c>
      <c r="H1193">
        <f>IF($AG1193="","",Config!$B$11)</f>
        <v/>
      </c>
      <c r="I1193">
        <f>IF($AG1193="","",Config!$B$16)</f>
        <v/>
      </c>
      <c r="J1193">
        <f>IF($AG1193="","",INDEX('TMP Paste'!$A$2:$A$1601,$AG1193))</f>
        <v/>
      </c>
      <c r="K1193">
        <f>IF($AG1193="","",INDEX('TMP Paste'!$L$2:$L$1601,$AG1193))</f>
        <v/>
      </c>
      <c r="L1193">
        <f>IF($AG1193="","",INDEX('TMP Paste'!$I$2:$I$1601,$AG1193))</f>
        <v/>
      </c>
      <c r="M1193">
        <f>IF($AG1193="","",Config!$B$16)</f>
        <v/>
      </c>
      <c r="N1193">
        <f>IF($AG1193="","","")</f>
        <v/>
      </c>
      <c r="O1193">
        <f>IF($AG1193="","",INDEX('TMP Paste'!$K$2:$K$1601,$AG1193))</f>
        <v/>
      </c>
      <c r="P1193">
        <f>IF($AG1193="","","")</f>
        <v/>
      </c>
      <c r="Q1193">
        <f>IF($AG1193="","",INDEX('TMP Paste'!$J$2:$J$1601,$AG1193))</f>
        <v/>
      </c>
      <c r="R1193">
        <f>IF($AG1193="","",Config!$B$24)</f>
        <v/>
      </c>
      <c r="S1193">
        <f>IF($AG1193="","",TEXT(Config!$B$4,"yyyy-mm-dd"))</f>
        <v/>
      </c>
      <c r="T1193">
        <f>IF($AG1193="","",Config!$B$17)</f>
        <v/>
      </c>
      <c r="U1193">
        <f>IF($AG1193="","",Config!$B$18)</f>
        <v/>
      </c>
      <c r="V1193">
        <f>IF($AG1193="","",Config!$B$19)</f>
        <v/>
      </c>
      <c r="W1193">
        <f>IF($AG1193="","",INDEX('TMP Paste'!$C$2:$C$1601,$AG1193))</f>
        <v/>
      </c>
      <c r="X1193">
        <f>IF($AG1193="","",Config!$B$29)</f>
        <v/>
      </c>
      <c r="Y1193">
        <f>IF($AH1193="","",INDEX(Calc!$I$2:$I$1601,$AH1193)&amp;" - "&amp;INDEX(Calc!$D$2:$D$1601,$AH1193)&amp;" koli")</f>
        <v/>
      </c>
      <c r="Z1193">
        <f>IF($AG1193="","",Config!$B$21)</f>
        <v/>
      </c>
      <c r="AA1193">
        <f>IF($AG1193="","",Config!$B$22)</f>
        <v/>
      </c>
      <c r="AB1193">
        <f>IF($AH1193="","",INDEX(Calc!$D$2:$D$1601,$AH1193))</f>
        <v/>
      </c>
      <c r="AC1193">
        <f>IF($AH1193="","",INDEX(Calc!$G$2:$G$1601,$AH1193))</f>
        <v/>
      </c>
      <c r="AD1193">
        <f>IF($AG1193="","",Config!$B$23)</f>
        <v/>
      </c>
      <c r="AE1193">
        <f>IF($AG1193="","",Config!$B$28)</f>
        <v/>
      </c>
      <c r="AG1193">
        <f>IFERROR(MATCH(ROW()-1,Calc!$J$2:$J$1601,0),"")</f>
        <v/>
      </c>
      <c r="AH1193">
        <f>IFERROR(MATCH(ROW()-1,Calc!$K$2:$K$1601,0),"")</f>
        <v/>
      </c>
      <c r="AI1193">
        <f>IF($AG1193="","",SUMIF($AG$2:$AG1193,$AG1193,$AH$2:$AH1193))</f>
        <v/>
      </c>
      <c r="AJ1193">
        <f>IF('TMP Paste'!$F1193="","",IF('TMP Paste'!$B1193="",$AJ1192,'TMP Paste'!$B1193))</f>
        <v/>
      </c>
      <c r="AK1193">
        <f>IF('TMP Paste'!$F1193="","",N('TMP Paste'!$G1193))</f>
        <v/>
      </c>
      <c r="AL1193">
        <f>IF('TMP Paste'!$F1193="","",IF('TMP Paste'!$M1193="",$AL1192,'TMP Paste'!$M1193))</f>
        <v/>
      </c>
      <c r="AM1193">
        <f>IF('TMP Paste'!$F1193="","",IF('TMP Paste'!$N1193="",$AM1192,'TMP Paste'!$N1193))</f>
        <v/>
      </c>
      <c r="AN1193">
        <f>IF('TMP Paste'!$F1193="","",IF('TMP Paste'!$O1193="",$AN1192,'TMP Paste'!$O1193))</f>
        <v/>
      </c>
      <c r="AO1193">
        <f>IF('TMP Paste'!$F1193="","",IF('TMP Paste'!$P1193="",$AO1192,'TMP Paste'!$P1193))</f>
        <v/>
      </c>
      <c r="AP1193">
        <f>IF($AG1193="","",LEN($R1193))</f>
        <v/>
      </c>
      <c r="AQ1193">
        <f>IF($AG1193="","",TRIM(IF(COUNTIFS(Calc!$B$2:$B$1601,ROW()-1,Calc!$C$2:$C$1601,"&lt;1")&gt;0,"Ada PO tanpa Koli - cek TMP. ","")&amp;IF(LEN($R1193)&gt;500,"R &gt; 500 karakter.","")))</f>
        <v/>
      </c>
    </row>
    <row r="1194">
      <c r="A1194">
        <f>IF($AG1194="","",INDEX('TMP Paste'!$B$2:$B$1601,$AG1194))</f>
        <v/>
      </c>
      <c r="B1194">
        <f>IF($AG1194="","",Config!$B$14)</f>
        <v/>
      </c>
      <c r="C1194">
        <f>IF($AG1194="","",Config!$B$15)</f>
        <v/>
      </c>
      <c r="D1194">
        <f>IF($AG1194="","",INDEX('TMP Paste'!$B$2:$B$1601,$AG1194))</f>
        <v/>
      </c>
      <c r="E1194">
        <f>IF($AG1194="","",Config!$B$27)</f>
        <v/>
      </c>
      <c r="F1194">
        <f>IF($AG1194="","",Config!$B$9)</f>
        <v/>
      </c>
      <c r="G1194">
        <f>IF($AG1194="","",Config!$B$10)</f>
        <v/>
      </c>
      <c r="H1194">
        <f>IF($AG1194="","",Config!$B$11)</f>
        <v/>
      </c>
      <c r="I1194">
        <f>IF($AG1194="","",Config!$B$16)</f>
        <v/>
      </c>
      <c r="J1194">
        <f>IF($AG1194="","",INDEX('TMP Paste'!$A$2:$A$1601,$AG1194))</f>
        <v/>
      </c>
      <c r="K1194">
        <f>IF($AG1194="","",INDEX('TMP Paste'!$L$2:$L$1601,$AG1194))</f>
        <v/>
      </c>
      <c r="L1194">
        <f>IF($AG1194="","",INDEX('TMP Paste'!$I$2:$I$1601,$AG1194))</f>
        <v/>
      </c>
      <c r="M1194">
        <f>IF($AG1194="","",Config!$B$16)</f>
        <v/>
      </c>
      <c r="N1194">
        <f>IF($AG1194="","","")</f>
        <v/>
      </c>
      <c r="O1194">
        <f>IF($AG1194="","",INDEX('TMP Paste'!$K$2:$K$1601,$AG1194))</f>
        <v/>
      </c>
      <c r="P1194">
        <f>IF($AG1194="","","")</f>
        <v/>
      </c>
      <c r="Q1194">
        <f>IF($AG1194="","",INDEX('TMP Paste'!$J$2:$J$1601,$AG1194))</f>
        <v/>
      </c>
      <c r="R1194">
        <f>IF($AG1194="","",Config!$B$24)</f>
        <v/>
      </c>
      <c r="S1194">
        <f>IF($AG1194="","",TEXT(Config!$B$4,"yyyy-mm-dd"))</f>
        <v/>
      </c>
      <c r="T1194">
        <f>IF($AG1194="","",Config!$B$17)</f>
        <v/>
      </c>
      <c r="U1194">
        <f>IF($AG1194="","",Config!$B$18)</f>
        <v/>
      </c>
      <c r="V1194">
        <f>IF($AG1194="","",Config!$B$19)</f>
        <v/>
      </c>
      <c r="W1194">
        <f>IF($AG1194="","",INDEX('TMP Paste'!$C$2:$C$1601,$AG1194))</f>
        <v/>
      </c>
      <c r="X1194">
        <f>IF($AG1194="","",Config!$B$29)</f>
        <v/>
      </c>
      <c r="Y1194">
        <f>IF($AH1194="","",INDEX(Calc!$I$2:$I$1601,$AH1194)&amp;" - "&amp;INDEX(Calc!$D$2:$D$1601,$AH1194)&amp;" koli")</f>
        <v/>
      </c>
      <c r="Z1194">
        <f>IF($AG1194="","",Config!$B$21)</f>
        <v/>
      </c>
      <c r="AA1194">
        <f>IF($AG1194="","",Config!$B$22)</f>
        <v/>
      </c>
      <c r="AB1194">
        <f>IF($AH1194="","",INDEX(Calc!$D$2:$D$1601,$AH1194))</f>
        <v/>
      </c>
      <c r="AC1194">
        <f>IF($AH1194="","",INDEX(Calc!$G$2:$G$1601,$AH1194))</f>
        <v/>
      </c>
      <c r="AD1194">
        <f>IF($AG1194="","",Config!$B$23)</f>
        <v/>
      </c>
      <c r="AE1194">
        <f>IF($AG1194="","",Config!$B$28)</f>
        <v/>
      </c>
      <c r="AG1194">
        <f>IFERROR(MATCH(ROW()-1,Calc!$J$2:$J$1601,0),"")</f>
        <v/>
      </c>
      <c r="AH1194">
        <f>IFERROR(MATCH(ROW()-1,Calc!$K$2:$K$1601,0),"")</f>
        <v/>
      </c>
      <c r="AI1194">
        <f>IF($AG1194="","",SUMIF($AG$2:$AG1194,$AG1194,$AH$2:$AH1194))</f>
        <v/>
      </c>
      <c r="AJ1194">
        <f>IF('TMP Paste'!$F1194="","",IF('TMP Paste'!$B1194="",$AJ1193,'TMP Paste'!$B1194))</f>
        <v/>
      </c>
      <c r="AK1194">
        <f>IF('TMP Paste'!$F1194="","",N('TMP Paste'!$G1194))</f>
        <v/>
      </c>
      <c r="AL1194">
        <f>IF('TMP Paste'!$F1194="","",IF('TMP Paste'!$M1194="",$AL1193,'TMP Paste'!$M1194))</f>
        <v/>
      </c>
      <c r="AM1194">
        <f>IF('TMP Paste'!$F1194="","",IF('TMP Paste'!$N1194="",$AM1193,'TMP Paste'!$N1194))</f>
        <v/>
      </c>
      <c r="AN1194">
        <f>IF('TMP Paste'!$F1194="","",IF('TMP Paste'!$O1194="",$AN1193,'TMP Paste'!$O1194))</f>
        <v/>
      </c>
      <c r="AO1194">
        <f>IF('TMP Paste'!$F1194="","",IF('TMP Paste'!$P1194="",$AO1193,'TMP Paste'!$P1194))</f>
        <v/>
      </c>
      <c r="AP1194">
        <f>IF($AG1194="","",LEN($R1194))</f>
        <v/>
      </c>
      <c r="AQ1194">
        <f>IF($AG1194="","",TRIM(IF(COUNTIFS(Calc!$B$2:$B$1601,ROW()-1,Calc!$C$2:$C$1601,"&lt;1")&gt;0,"Ada PO tanpa Koli - cek TMP. ","")&amp;IF(LEN($R1194)&gt;500,"R &gt; 500 karakter.","")))</f>
        <v/>
      </c>
    </row>
    <row r="1195">
      <c r="A1195">
        <f>IF($AG1195="","",INDEX('TMP Paste'!$B$2:$B$1601,$AG1195))</f>
        <v/>
      </c>
      <c r="B1195">
        <f>IF($AG1195="","",Config!$B$14)</f>
        <v/>
      </c>
      <c r="C1195">
        <f>IF($AG1195="","",Config!$B$15)</f>
        <v/>
      </c>
      <c r="D1195">
        <f>IF($AG1195="","",INDEX('TMP Paste'!$B$2:$B$1601,$AG1195))</f>
        <v/>
      </c>
      <c r="E1195">
        <f>IF($AG1195="","",Config!$B$27)</f>
        <v/>
      </c>
      <c r="F1195">
        <f>IF($AG1195="","",Config!$B$9)</f>
        <v/>
      </c>
      <c r="G1195">
        <f>IF($AG1195="","",Config!$B$10)</f>
        <v/>
      </c>
      <c r="H1195">
        <f>IF($AG1195="","",Config!$B$11)</f>
        <v/>
      </c>
      <c r="I1195">
        <f>IF($AG1195="","",Config!$B$16)</f>
        <v/>
      </c>
      <c r="J1195">
        <f>IF($AG1195="","",INDEX('TMP Paste'!$A$2:$A$1601,$AG1195))</f>
        <v/>
      </c>
      <c r="K1195">
        <f>IF($AG1195="","",INDEX('TMP Paste'!$L$2:$L$1601,$AG1195))</f>
        <v/>
      </c>
      <c r="L1195">
        <f>IF($AG1195="","",INDEX('TMP Paste'!$I$2:$I$1601,$AG1195))</f>
        <v/>
      </c>
      <c r="M1195">
        <f>IF($AG1195="","",Config!$B$16)</f>
        <v/>
      </c>
      <c r="N1195">
        <f>IF($AG1195="","","")</f>
        <v/>
      </c>
      <c r="O1195">
        <f>IF($AG1195="","",INDEX('TMP Paste'!$K$2:$K$1601,$AG1195))</f>
        <v/>
      </c>
      <c r="P1195">
        <f>IF($AG1195="","","")</f>
        <v/>
      </c>
      <c r="Q1195">
        <f>IF($AG1195="","",INDEX('TMP Paste'!$J$2:$J$1601,$AG1195))</f>
        <v/>
      </c>
      <c r="R1195">
        <f>IF($AG1195="","",Config!$B$24)</f>
        <v/>
      </c>
      <c r="S1195">
        <f>IF($AG1195="","",TEXT(Config!$B$4,"yyyy-mm-dd"))</f>
        <v/>
      </c>
      <c r="T1195">
        <f>IF($AG1195="","",Config!$B$17)</f>
        <v/>
      </c>
      <c r="U1195">
        <f>IF($AG1195="","",Config!$B$18)</f>
        <v/>
      </c>
      <c r="V1195">
        <f>IF($AG1195="","",Config!$B$19)</f>
        <v/>
      </c>
      <c r="W1195">
        <f>IF($AG1195="","",INDEX('TMP Paste'!$C$2:$C$1601,$AG1195))</f>
        <v/>
      </c>
      <c r="X1195">
        <f>IF($AG1195="","",Config!$B$29)</f>
        <v/>
      </c>
      <c r="Y1195">
        <f>IF($AH1195="","",INDEX(Calc!$I$2:$I$1601,$AH1195)&amp;" - "&amp;INDEX(Calc!$D$2:$D$1601,$AH1195)&amp;" koli")</f>
        <v/>
      </c>
      <c r="Z1195">
        <f>IF($AG1195="","",Config!$B$21)</f>
        <v/>
      </c>
      <c r="AA1195">
        <f>IF($AG1195="","",Config!$B$22)</f>
        <v/>
      </c>
      <c r="AB1195">
        <f>IF($AH1195="","",INDEX(Calc!$D$2:$D$1601,$AH1195))</f>
        <v/>
      </c>
      <c r="AC1195">
        <f>IF($AH1195="","",INDEX(Calc!$G$2:$G$1601,$AH1195))</f>
        <v/>
      </c>
      <c r="AD1195">
        <f>IF($AG1195="","",Config!$B$23)</f>
        <v/>
      </c>
      <c r="AE1195">
        <f>IF($AG1195="","",Config!$B$28)</f>
        <v/>
      </c>
      <c r="AG1195">
        <f>IFERROR(MATCH(ROW()-1,Calc!$J$2:$J$1601,0),"")</f>
        <v/>
      </c>
      <c r="AH1195">
        <f>IFERROR(MATCH(ROW()-1,Calc!$K$2:$K$1601,0),"")</f>
        <v/>
      </c>
      <c r="AI1195">
        <f>IF($AG1195="","",SUMIF($AG$2:$AG1195,$AG1195,$AH$2:$AH1195))</f>
        <v/>
      </c>
      <c r="AJ1195">
        <f>IF('TMP Paste'!$F1195="","",IF('TMP Paste'!$B1195="",$AJ1194,'TMP Paste'!$B1195))</f>
        <v/>
      </c>
      <c r="AK1195">
        <f>IF('TMP Paste'!$F1195="","",N('TMP Paste'!$G1195))</f>
        <v/>
      </c>
      <c r="AL1195">
        <f>IF('TMP Paste'!$F1195="","",IF('TMP Paste'!$M1195="",$AL1194,'TMP Paste'!$M1195))</f>
        <v/>
      </c>
      <c r="AM1195">
        <f>IF('TMP Paste'!$F1195="","",IF('TMP Paste'!$N1195="",$AM1194,'TMP Paste'!$N1195))</f>
        <v/>
      </c>
      <c r="AN1195">
        <f>IF('TMP Paste'!$F1195="","",IF('TMP Paste'!$O1195="",$AN1194,'TMP Paste'!$O1195))</f>
        <v/>
      </c>
      <c r="AO1195">
        <f>IF('TMP Paste'!$F1195="","",IF('TMP Paste'!$P1195="",$AO1194,'TMP Paste'!$P1195))</f>
        <v/>
      </c>
      <c r="AP1195">
        <f>IF($AG1195="","",LEN($R1195))</f>
        <v/>
      </c>
      <c r="AQ1195">
        <f>IF($AG1195="","",TRIM(IF(COUNTIFS(Calc!$B$2:$B$1601,ROW()-1,Calc!$C$2:$C$1601,"&lt;1")&gt;0,"Ada PO tanpa Koli - cek TMP. ","")&amp;IF(LEN($R1195)&gt;500,"R &gt; 500 karakter.","")))</f>
        <v/>
      </c>
    </row>
    <row r="1196">
      <c r="A1196">
        <f>IF($AG1196="","",INDEX('TMP Paste'!$B$2:$B$1601,$AG1196))</f>
        <v/>
      </c>
      <c r="B1196">
        <f>IF($AG1196="","",Config!$B$14)</f>
        <v/>
      </c>
      <c r="C1196">
        <f>IF($AG1196="","",Config!$B$15)</f>
        <v/>
      </c>
      <c r="D1196">
        <f>IF($AG1196="","",INDEX('TMP Paste'!$B$2:$B$1601,$AG1196))</f>
        <v/>
      </c>
      <c r="E1196">
        <f>IF($AG1196="","",Config!$B$27)</f>
        <v/>
      </c>
      <c r="F1196">
        <f>IF($AG1196="","",Config!$B$9)</f>
        <v/>
      </c>
      <c r="G1196">
        <f>IF($AG1196="","",Config!$B$10)</f>
        <v/>
      </c>
      <c r="H1196">
        <f>IF($AG1196="","",Config!$B$11)</f>
        <v/>
      </c>
      <c r="I1196">
        <f>IF($AG1196="","",Config!$B$16)</f>
        <v/>
      </c>
      <c r="J1196">
        <f>IF($AG1196="","",INDEX('TMP Paste'!$A$2:$A$1601,$AG1196))</f>
        <v/>
      </c>
      <c r="K1196">
        <f>IF($AG1196="","",INDEX('TMP Paste'!$L$2:$L$1601,$AG1196))</f>
        <v/>
      </c>
      <c r="L1196">
        <f>IF($AG1196="","",INDEX('TMP Paste'!$I$2:$I$1601,$AG1196))</f>
        <v/>
      </c>
      <c r="M1196">
        <f>IF($AG1196="","",Config!$B$16)</f>
        <v/>
      </c>
      <c r="N1196">
        <f>IF($AG1196="","","")</f>
        <v/>
      </c>
      <c r="O1196">
        <f>IF($AG1196="","",INDEX('TMP Paste'!$K$2:$K$1601,$AG1196))</f>
        <v/>
      </c>
      <c r="P1196">
        <f>IF($AG1196="","","")</f>
        <v/>
      </c>
      <c r="Q1196">
        <f>IF($AG1196="","",INDEX('TMP Paste'!$J$2:$J$1601,$AG1196))</f>
        <v/>
      </c>
      <c r="R1196">
        <f>IF($AG1196="","",Config!$B$24)</f>
        <v/>
      </c>
      <c r="S1196">
        <f>IF($AG1196="","",TEXT(Config!$B$4,"yyyy-mm-dd"))</f>
        <v/>
      </c>
      <c r="T1196">
        <f>IF($AG1196="","",Config!$B$17)</f>
        <v/>
      </c>
      <c r="U1196">
        <f>IF($AG1196="","",Config!$B$18)</f>
        <v/>
      </c>
      <c r="V1196">
        <f>IF($AG1196="","",Config!$B$19)</f>
        <v/>
      </c>
      <c r="W1196">
        <f>IF($AG1196="","",INDEX('TMP Paste'!$C$2:$C$1601,$AG1196))</f>
        <v/>
      </c>
      <c r="X1196">
        <f>IF($AG1196="","",Config!$B$29)</f>
        <v/>
      </c>
      <c r="Y1196">
        <f>IF($AH1196="","",INDEX(Calc!$I$2:$I$1601,$AH1196)&amp;" - "&amp;INDEX(Calc!$D$2:$D$1601,$AH1196)&amp;" koli")</f>
        <v/>
      </c>
      <c r="Z1196">
        <f>IF($AG1196="","",Config!$B$21)</f>
        <v/>
      </c>
      <c r="AA1196">
        <f>IF($AG1196="","",Config!$B$22)</f>
        <v/>
      </c>
      <c r="AB1196">
        <f>IF($AH1196="","",INDEX(Calc!$D$2:$D$1601,$AH1196))</f>
        <v/>
      </c>
      <c r="AC1196">
        <f>IF($AH1196="","",INDEX(Calc!$G$2:$G$1601,$AH1196))</f>
        <v/>
      </c>
      <c r="AD1196">
        <f>IF($AG1196="","",Config!$B$23)</f>
        <v/>
      </c>
      <c r="AE1196">
        <f>IF($AG1196="","",Config!$B$28)</f>
        <v/>
      </c>
      <c r="AG1196">
        <f>IFERROR(MATCH(ROW()-1,Calc!$J$2:$J$1601,0),"")</f>
        <v/>
      </c>
      <c r="AH1196">
        <f>IFERROR(MATCH(ROW()-1,Calc!$K$2:$K$1601,0),"")</f>
        <v/>
      </c>
      <c r="AI1196">
        <f>IF($AG1196="","",SUMIF($AG$2:$AG1196,$AG1196,$AH$2:$AH1196))</f>
        <v/>
      </c>
      <c r="AJ1196">
        <f>IF('TMP Paste'!$F1196="","",IF('TMP Paste'!$B1196="",$AJ1195,'TMP Paste'!$B1196))</f>
        <v/>
      </c>
      <c r="AK1196">
        <f>IF('TMP Paste'!$F1196="","",N('TMP Paste'!$G1196))</f>
        <v/>
      </c>
      <c r="AL1196">
        <f>IF('TMP Paste'!$F1196="","",IF('TMP Paste'!$M1196="",$AL1195,'TMP Paste'!$M1196))</f>
        <v/>
      </c>
      <c r="AM1196">
        <f>IF('TMP Paste'!$F1196="","",IF('TMP Paste'!$N1196="",$AM1195,'TMP Paste'!$N1196))</f>
        <v/>
      </c>
      <c r="AN1196">
        <f>IF('TMP Paste'!$F1196="","",IF('TMP Paste'!$O1196="",$AN1195,'TMP Paste'!$O1196))</f>
        <v/>
      </c>
      <c r="AO1196">
        <f>IF('TMP Paste'!$F1196="","",IF('TMP Paste'!$P1196="",$AO1195,'TMP Paste'!$P1196))</f>
        <v/>
      </c>
      <c r="AP1196">
        <f>IF($AG1196="","",LEN($R1196))</f>
        <v/>
      </c>
      <c r="AQ1196">
        <f>IF($AG1196="","",TRIM(IF(COUNTIFS(Calc!$B$2:$B$1601,ROW()-1,Calc!$C$2:$C$1601,"&lt;1")&gt;0,"Ada PO tanpa Koli - cek TMP. ","")&amp;IF(LEN($R1196)&gt;500,"R &gt; 500 karakter.","")))</f>
        <v/>
      </c>
    </row>
    <row r="1197">
      <c r="A1197">
        <f>IF($AG1197="","",INDEX('TMP Paste'!$B$2:$B$1601,$AG1197))</f>
        <v/>
      </c>
      <c r="B1197">
        <f>IF($AG1197="","",Config!$B$14)</f>
        <v/>
      </c>
      <c r="C1197">
        <f>IF($AG1197="","",Config!$B$15)</f>
        <v/>
      </c>
      <c r="D1197">
        <f>IF($AG1197="","",INDEX('TMP Paste'!$B$2:$B$1601,$AG1197))</f>
        <v/>
      </c>
      <c r="E1197">
        <f>IF($AG1197="","",Config!$B$27)</f>
        <v/>
      </c>
      <c r="F1197">
        <f>IF($AG1197="","",Config!$B$9)</f>
        <v/>
      </c>
      <c r="G1197">
        <f>IF($AG1197="","",Config!$B$10)</f>
        <v/>
      </c>
      <c r="H1197">
        <f>IF($AG1197="","",Config!$B$11)</f>
        <v/>
      </c>
      <c r="I1197">
        <f>IF($AG1197="","",Config!$B$16)</f>
        <v/>
      </c>
      <c r="J1197">
        <f>IF($AG1197="","",INDEX('TMP Paste'!$A$2:$A$1601,$AG1197))</f>
        <v/>
      </c>
      <c r="K1197">
        <f>IF($AG1197="","",INDEX('TMP Paste'!$L$2:$L$1601,$AG1197))</f>
        <v/>
      </c>
      <c r="L1197">
        <f>IF($AG1197="","",INDEX('TMP Paste'!$I$2:$I$1601,$AG1197))</f>
        <v/>
      </c>
      <c r="M1197">
        <f>IF($AG1197="","",Config!$B$16)</f>
        <v/>
      </c>
      <c r="N1197">
        <f>IF($AG1197="","","")</f>
        <v/>
      </c>
      <c r="O1197">
        <f>IF($AG1197="","",INDEX('TMP Paste'!$K$2:$K$1601,$AG1197))</f>
        <v/>
      </c>
      <c r="P1197">
        <f>IF($AG1197="","","")</f>
        <v/>
      </c>
      <c r="Q1197">
        <f>IF($AG1197="","",INDEX('TMP Paste'!$J$2:$J$1601,$AG1197))</f>
        <v/>
      </c>
      <c r="R1197">
        <f>IF($AG1197="","",Config!$B$24)</f>
        <v/>
      </c>
      <c r="S1197">
        <f>IF($AG1197="","",TEXT(Config!$B$4,"yyyy-mm-dd"))</f>
        <v/>
      </c>
      <c r="T1197">
        <f>IF($AG1197="","",Config!$B$17)</f>
        <v/>
      </c>
      <c r="U1197">
        <f>IF($AG1197="","",Config!$B$18)</f>
        <v/>
      </c>
      <c r="V1197">
        <f>IF($AG1197="","",Config!$B$19)</f>
        <v/>
      </c>
      <c r="W1197">
        <f>IF($AG1197="","",INDEX('TMP Paste'!$C$2:$C$1601,$AG1197))</f>
        <v/>
      </c>
      <c r="X1197">
        <f>IF($AG1197="","",Config!$B$29)</f>
        <v/>
      </c>
      <c r="Y1197">
        <f>IF($AH1197="","",INDEX(Calc!$I$2:$I$1601,$AH1197)&amp;" - "&amp;INDEX(Calc!$D$2:$D$1601,$AH1197)&amp;" koli")</f>
        <v/>
      </c>
      <c r="Z1197">
        <f>IF($AG1197="","",Config!$B$21)</f>
        <v/>
      </c>
      <c r="AA1197">
        <f>IF($AG1197="","",Config!$B$22)</f>
        <v/>
      </c>
      <c r="AB1197">
        <f>IF($AH1197="","",INDEX(Calc!$D$2:$D$1601,$AH1197))</f>
        <v/>
      </c>
      <c r="AC1197">
        <f>IF($AH1197="","",INDEX(Calc!$G$2:$G$1601,$AH1197))</f>
        <v/>
      </c>
      <c r="AD1197">
        <f>IF($AG1197="","",Config!$B$23)</f>
        <v/>
      </c>
      <c r="AE1197">
        <f>IF($AG1197="","",Config!$B$28)</f>
        <v/>
      </c>
      <c r="AG1197">
        <f>IFERROR(MATCH(ROW()-1,Calc!$J$2:$J$1601,0),"")</f>
        <v/>
      </c>
      <c r="AH1197">
        <f>IFERROR(MATCH(ROW()-1,Calc!$K$2:$K$1601,0),"")</f>
        <v/>
      </c>
      <c r="AI1197">
        <f>IF($AG1197="","",SUMIF($AG$2:$AG1197,$AG1197,$AH$2:$AH1197))</f>
        <v/>
      </c>
      <c r="AJ1197">
        <f>IF('TMP Paste'!$F1197="","",IF('TMP Paste'!$B1197="",$AJ1196,'TMP Paste'!$B1197))</f>
        <v/>
      </c>
      <c r="AK1197">
        <f>IF('TMP Paste'!$F1197="","",N('TMP Paste'!$G1197))</f>
        <v/>
      </c>
      <c r="AL1197">
        <f>IF('TMP Paste'!$F1197="","",IF('TMP Paste'!$M1197="",$AL1196,'TMP Paste'!$M1197))</f>
        <v/>
      </c>
      <c r="AM1197">
        <f>IF('TMP Paste'!$F1197="","",IF('TMP Paste'!$N1197="",$AM1196,'TMP Paste'!$N1197))</f>
        <v/>
      </c>
      <c r="AN1197">
        <f>IF('TMP Paste'!$F1197="","",IF('TMP Paste'!$O1197="",$AN1196,'TMP Paste'!$O1197))</f>
        <v/>
      </c>
      <c r="AO1197">
        <f>IF('TMP Paste'!$F1197="","",IF('TMP Paste'!$P1197="",$AO1196,'TMP Paste'!$P1197))</f>
        <v/>
      </c>
      <c r="AP1197">
        <f>IF($AG1197="","",LEN($R1197))</f>
        <v/>
      </c>
      <c r="AQ1197">
        <f>IF($AG1197="","",TRIM(IF(COUNTIFS(Calc!$B$2:$B$1601,ROW()-1,Calc!$C$2:$C$1601,"&lt;1")&gt;0,"Ada PO tanpa Koli - cek TMP. ","")&amp;IF(LEN($R1197)&gt;500,"R &gt; 500 karakter.","")))</f>
        <v/>
      </c>
    </row>
    <row r="1198">
      <c r="A1198">
        <f>IF($AG1198="","",INDEX('TMP Paste'!$B$2:$B$1601,$AG1198))</f>
        <v/>
      </c>
      <c r="B1198">
        <f>IF($AG1198="","",Config!$B$14)</f>
        <v/>
      </c>
      <c r="C1198">
        <f>IF($AG1198="","",Config!$B$15)</f>
        <v/>
      </c>
      <c r="D1198">
        <f>IF($AG1198="","",INDEX('TMP Paste'!$B$2:$B$1601,$AG1198))</f>
        <v/>
      </c>
      <c r="E1198">
        <f>IF($AG1198="","",Config!$B$27)</f>
        <v/>
      </c>
      <c r="F1198">
        <f>IF($AG1198="","",Config!$B$9)</f>
        <v/>
      </c>
      <c r="G1198">
        <f>IF($AG1198="","",Config!$B$10)</f>
        <v/>
      </c>
      <c r="H1198">
        <f>IF($AG1198="","",Config!$B$11)</f>
        <v/>
      </c>
      <c r="I1198">
        <f>IF($AG1198="","",Config!$B$16)</f>
        <v/>
      </c>
      <c r="J1198">
        <f>IF($AG1198="","",INDEX('TMP Paste'!$A$2:$A$1601,$AG1198))</f>
        <v/>
      </c>
      <c r="K1198">
        <f>IF($AG1198="","",INDEX('TMP Paste'!$L$2:$L$1601,$AG1198))</f>
        <v/>
      </c>
      <c r="L1198">
        <f>IF($AG1198="","",INDEX('TMP Paste'!$I$2:$I$1601,$AG1198))</f>
        <v/>
      </c>
      <c r="M1198">
        <f>IF($AG1198="","",Config!$B$16)</f>
        <v/>
      </c>
      <c r="N1198">
        <f>IF($AG1198="","","")</f>
        <v/>
      </c>
      <c r="O1198">
        <f>IF($AG1198="","",INDEX('TMP Paste'!$K$2:$K$1601,$AG1198))</f>
        <v/>
      </c>
      <c r="P1198">
        <f>IF($AG1198="","","")</f>
        <v/>
      </c>
      <c r="Q1198">
        <f>IF($AG1198="","",INDEX('TMP Paste'!$J$2:$J$1601,$AG1198))</f>
        <v/>
      </c>
      <c r="R1198">
        <f>IF($AG1198="","",Config!$B$24)</f>
        <v/>
      </c>
      <c r="S1198">
        <f>IF($AG1198="","",TEXT(Config!$B$4,"yyyy-mm-dd"))</f>
        <v/>
      </c>
      <c r="T1198">
        <f>IF($AG1198="","",Config!$B$17)</f>
        <v/>
      </c>
      <c r="U1198">
        <f>IF($AG1198="","",Config!$B$18)</f>
        <v/>
      </c>
      <c r="V1198">
        <f>IF($AG1198="","",Config!$B$19)</f>
        <v/>
      </c>
      <c r="W1198">
        <f>IF($AG1198="","",INDEX('TMP Paste'!$C$2:$C$1601,$AG1198))</f>
        <v/>
      </c>
      <c r="X1198">
        <f>IF($AG1198="","",Config!$B$29)</f>
        <v/>
      </c>
      <c r="Y1198">
        <f>IF($AH1198="","",INDEX(Calc!$I$2:$I$1601,$AH1198)&amp;" - "&amp;INDEX(Calc!$D$2:$D$1601,$AH1198)&amp;" koli")</f>
        <v/>
      </c>
      <c r="Z1198">
        <f>IF($AG1198="","",Config!$B$21)</f>
        <v/>
      </c>
      <c r="AA1198">
        <f>IF($AG1198="","",Config!$B$22)</f>
        <v/>
      </c>
      <c r="AB1198">
        <f>IF($AH1198="","",INDEX(Calc!$D$2:$D$1601,$AH1198))</f>
        <v/>
      </c>
      <c r="AC1198">
        <f>IF($AH1198="","",INDEX(Calc!$G$2:$G$1601,$AH1198))</f>
        <v/>
      </c>
      <c r="AD1198">
        <f>IF($AG1198="","",Config!$B$23)</f>
        <v/>
      </c>
      <c r="AE1198">
        <f>IF($AG1198="","",Config!$B$28)</f>
        <v/>
      </c>
      <c r="AG1198">
        <f>IFERROR(MATCH(ROW()-1,Calc!$J$2:$J$1601,0),"")</f>
        <v/>
      </c>
      <c r="AH1198">
        <f>IFERROR(MATCH(ROW()-1,Calc!$K$2:$K$1601,0),"")</f>
        <v/>
      </c>
      <c r="AI1198">
        <f>IF($AG1198="","",SUMIF($AG$2:$AG1198,$AG1198,$AH$2:$AH1198))</f>
        <v/>
      </c>
      <c r="AJ1198">
        <f>IF('TMP Paste'!$F1198="","",IF('TMP Paste'!$B1198="",$AJ1197,'TMP Paste'!$B1198))</f>
        <v/>
      </c>
      <c r="AK1198">
        <f>IF('TMP Paste'!$F1198="","",N('TMP Paste'!$G1198))</f>
        <v/>
      </c>
      <c r="AL1198">
        <f>IF('TMP Paste'!$F1198="","",IF('TMP Paste'!$M1198="",$AL1197,'TMP Paste'!$M1198))</f>
        <v/>
      </c>
      <c r="AM1198">
        <f>IF('TMP Paste'!$F1198="","",IF('TMP Paste'!$N1198="",$AM1197,'TMP Paste'!$N1198))</f>
        <v/>
      </c>
      <c r="AN1198">
        <f>IF('TMP Paste'!$F1198="","",IF('TMP Paste'!$O1198="",$AN1197,'TMP Paste'!$O1198))</f>
        <v/>
      </c>
      <c r="AO1198">
        <f>IF('TMP Paste'!$F1198="","",IF('TMP Paste'!$P1198="",$AO1197,'TMP Paste'!$P1198))</f>
        <v/>
      </c>
      <c r="AP1198">
        <f>IF($AG1198="","",LEN($R1198))</f>
        <v/>
      </c>
      <c r="AQ1198">
        <f>IF($AG1198="","",TRIM(IF(COUNTIFS(Calc!$B$2:$B$1601,ROW()-1,Calc!$C$2:$C$1601,"&lt;1")&gt;0,"Ada PO tanpa Koli - cek TMP. ","")&amp;IF(LEN($R1198)&gt;500,"R &gt; 500 karakter.","")))</f>
        <v/>
      </c>
    </row>
    <row r="1199">
      <c r="A1199">
        <f>IF($AG1199="","",INDEX('TMP Paste'!$B$2:$B$1601,$AG1199))</f>
        <v/>
      </c>
      <c r="B1199">
        <f>IF($AG1199="","",Config!$B$14)</f>
        <v/>
      </c>
      <c r="C1199">
        <f>IF($AG1199="","",Config!$B$15)</f>
        <v/>
      </c>
      <c r="D1199">
        <f>IF($AG1199="","",INDEX('TMP Paste'!$B$2:$B$1601,$AG1199))</f>
        <v/>
      </c>
      <c r="E1199">
        <f>IF($AG1199="","",Config!$B$27)</f>
        <v/>
      </c>
      <c r="F1199">
        <f>IF($AG1199="","",Config!$B$9)</f>
        <v/>
      </c>
      <c r="G1199">
        <f>IF($AG1199="","",Config!$B$10)</f>
        <v/>
      </c>
      <c r="H1199">
        <f>IF($AG1199="","",Config!$B$11)</f>
        <v/>
      </c>
      <c r="I1199">
        <f>IF($AG1199="","",Config!$B$16)</f>
        <v/>
      </c>
      <c r="J1199">
        <f>IF($AG1199="","",INDEX('TMP Paste'!$A$2:$A$1601,$AG1199))</f>
        <v/>
      </c>
      <c r="K1199">
        <f>IF($AG1199="","",INDEX('TMP Paste'!$L$2:$L$1601,$AG1199))</f>
        <v/>
      </c>
      <c r="L1199">
        <f>IF($AG1199="","",INDEX('TMP Paste'!$I$2:$I$1601,$AG1199))</f>
        <v/>
      </c>
      <c r="M1199">
        <f>IF($AG1199="","",Config!$B$16)</f>
        <v/>
      </c>
      <c r="N1199">
        <f>IF($AG1199="","","")</f>
        <v/>
      </c>
      <c r="O1199">
        <f>IF($AG1199="","",INDEX('TMP Paste'!$K$2:$K$1601,$AG1199))</f>
        <v/>
      </c>
      <c r="P1199">
        <f>IF($AG1199="","","")</f>
        <v/>
      </c>
      <c r="Q1199">
        <f>IF($AG1199="","",INDEX('TMP Paste'!$J$2:$J$1601,$AG1199))</f>
        <v/>
      </c>
      <c r="R1199">
        <f>IF($AG1199="","",Config!$B$24)</f>
        <v/>
      </c>
      <c r="S1199">
        <f>IF($AG1199="","",TEXT(Config!$B$4,"yyyy-mm-dd"))</f>
        <v/>
      </c>
      <c r="T1199">
        <f>IF($AG1199="","",Config!$B$17)</f>
        <v/>
      </c>
      <c r="U1199">
        <f>IF($AG1199="","",Config!$B$18)</f>
        <v/>
      </c>
      <c r="V1199">
        <f>IF($AG1199="","",Config!$B$19)</f>
        <v/>
      </c>
      <c r="W1199">
        <f>IF($AG1199="","",INDEX('TMP Paste'!$C$2:$C$1601,$AG1199))</f>
        <v/>
      </c>
      <c r="X1199">
        <f>IF($AG1199="","",Config!$B$29)</f>
        <v/>
      </c>
      <c r="Y1199">
        <f>IF($AH1199="","",INDEX(Calc!$I$2:$I$1601,$AH1199)&amp;" - "&amp;INDEX(Calc!$D$2:$D$1601,$AH1199)&amp;" koli")</f>
        <v/>
      </c>
      <c r="Z1199">
        <f>IF($AG1199="","",Config!$B$21)</f>
        <v/>
      </c>
      <c r="AA1199">
        <f>IF($AG1199="","",Config!$B$22)</f>
        <v/>
      </c>
      <c r="AB1199">
        <f>IF($AH1199="","",INDEX(Calc!$D$2:$D$1601,$AH1199))</f>
        <v/>
      </c>
      <c r="AC1199">
        <f>IF($AH1199="","",INDEX(Calc!$G$2:$G$1601,$AH1199))</f>
        <v/>
      </c>
      <c r="AD1199">
        <f>IF($AG1199="","",Config!$B$23)</f>
        <v/>
      </c>
      <c r="AE1199">
        <f>IF($AG1199="","",Config!$B$28)</f>
        <v/>
      </c>
      <c r="AG1199">
        <f>IFERROR(MATCH(ROW()-1,Calc!$J$2:$J$1601,0),"")</f>
        <v/>
      </c>
      <c r="AH1199">
        <f>IFERROR(MATCH(ROW()-1,Calc!$K$2:$K$1601,0),"")</f>
        <v/>
      </c>
      <c r="AI1199">
        <f>IF($AG1199="","",SUMIF($AG$2:$AG1199,$AG1199,$AH$2:$AH1199))</f>
        <v/>
      </c>
      <c r="AJ1199">
        <f>IF('TMP Paste'!$F1199="","",IF('TMP Paste'!$B1199="",$AJ1198,'TMP Paste'!$B1199))</f>
        <v/>
      </c>
      <c r="AK1199">
        <f>IF('TMP Paste'!$F1199="","",N('TMP Paste'!$G1199))</f>
        <v/>
      </c>
      <c r="AL1199">
        <f>IF('TMP Paste'!$F1199="","",IF('TMP Paste'!$M1199="",$AL1198,'TMP Paste'!$M1199))</f>
        <v/>
      </c>
      <c r="AM1199">
        <f>IF('TMP Paste'!$F1199="","",IF('TMP Paste'!$N1199="",$AM1198,'TMP Paste'!$N1199))</f>
        <v/>
      </c>
      <c r="AN1199">
        <f>IF('TMP Paste'!$F1199="","",IF('TMP Paste'!$O1199="",$AN1198,'TMP Paste'!$O1199))</f>
        <v/>
      </c>
      <c r="AO1199">
        <f>IF('TMP Paste'!$F1199="","",IF('TMP Paste'!$P1199="",$AO1198,'TMP Paste'!$P1199))</f>
        <v/>
      </c>
      <c r="AP1199">
        <f>IF($AG1199="","",LEN($R1199))</f>
        <v/>
      </c>
      <c r="AQ1199">
        <f>IF($AG1199="","",TRIM(IF(COUNTIFS(Calc!$B$2:$B$1601,ROW()-1,Calc!$C$2:$C$1601,"&lt;1")&gt;0,"Ada PO tanpa Koli - cek TMP. ","")&amp;IF(LEN($R1199)&gt;500,"R &gt; 500 karakter.","")))</f>
        <v/>
      </c>
    </row>
    <row r="1200">
      <c r="A1200">
        <f>IF($AG1200="","",INDEX('TMP Paste'!$B$2:$B$1601,$AG1200))</f>
        <v/>
      </c>
      <c r="B1200">
        <f>IF($AG1200="","",Config!$B$14)</f>
        <v/>
      </c>
      <c r="C1200">
        <f>IF($AG1200="","",Config!$B$15)</f>
        <v/>
      </c>
      <c r="D1200">
        <f>IF($AG1200="","",INDEX('TMP Paste'!$B$2:$B$1601,$AG1200))</f>
        <v/>
      </c>
      <c r="E1200">
        <f>IF($AG1200="","",Config!$B$27)</f>
        <v/>
      </c>
      <c r="F1200">
        <f>IF($AG1200="","",Config!$B$9)</f>
        <v/>
      </c>
      <c r="G1200">
        <f>IF($AG1200="","",Config!$B$10)</f>
        <v/>
      </c>
      <c r="H1200">
        <f>IF($AG1200="","",Config!$B$11)</f>
        <v/>
      </c>
      <c r="I1200">
        <f>IF($AG1200="","",Config!$B$16)</f>
        <v/>
      </c>
      <c r="J1200">
        <f>IF($AG1200="","",INDEX('TMP Paste'!$A$2:$A$1601,$AG1200))</f>
        <v/>
      </c>
      <c r="K1200">
        <f>IF($AG1200="","",INDEX('TMP Paste'!$L$2:$L$1601,$AG1200))</f>
        <v/>
      </c>
      <c r="L1200">
        <f>IF($AG1200="","",INDEX('TMP Paste'!$I$2:$I$1601,$AG1200))</f>
        <v/>
      </c>
      <c r="M1200">
        <f>IF($AG1200="","",Config!$B$16)</f>
        <v/>
      </c>
      <c r="N1200">
        <f>IF($AG1200="","","")</f>
        <v/>
      </c>
      <c r="O1200">
        <f>IF($AG1200="","",INDEX('TMP Paste'!$K$2:$K$1601,$AG1200))</f>
        <v/>
      </c>
      <c r="P1200">
        <f>IF($AG1200="","","")</f>
        <v/>
      </c>
      <c r="Q1200">
        <f>IF($AG1200="","",INDEX('TMP Paste'!$J$2:$J$1601,$AG1200))</f>
        <v/>
      </c>
      <c r="R1200">
        <f>IF($AG1200="","",Config!$B$24)</f>
        <v/>
      </c>
      <c r="S1200">
        <f>IF($AG1200="","",TEXT(Config!$B$4,"yyyy-mm-dd"))</f>
        <v/>
      </c>
      <c r="T1200">
        <f>IF($AG1200="","",Config!$B$17)</f>
        <v/>
      </c>
      <c r="U1200">
        <f>IF($AG1200="","",Config!$B$18)</f>
        <v/>
      </c>
      <c r="V1200">
        <f>IF($AG1200="","",Config!$B$19)</f>
        <v/>
      </c>
      <c r="W1200">
        <f>IF($AG1200="","",INDEX('TMP Paste'!$C$2:$C$1601,$AG1200))</f>
        <v/>
      </c>
      <c r="X1200">
        <f>IF($AG1200="","",Config!$B$29)</f>
        <v/>
      </c>
      <c r="Y1200">
        <f>IF($AH1200="","",INDEX(Calc!$I$2:$I$1601,$AH1200)&amp;" - "&amp;INDEX(Calc!$D$2:$D$1601,$AH1200)&amp;" koli")</f>
        <v/>
      </c>
      <c r="Z1200">
        <f>IF($AG1200="","",Config!$B$21)</f>
        <v/>
      </c>
      <c r="AA1200">
        <f>IF($AG1200="","",Config!$B$22)</f>
        <v/>
      </c>
      <c r="AB1200">
        <f>IF($AH1200="","",INDEX(Calc!$D$2:$D$1601,$AH1200))</f>
        <v/>
      </c>
      <c r="AC1200">
        <f>IF($AH1200="","",INDEX(Calc!$G$2:$G$1601,$AH1200))</f>
        <v/>
      </c>
      <c r="AD1200">
        <f>IF($AG1200="","",Config!$B$23)</f>
        <v/>
      </c>
      <c r="AE1200">
        <f>IF($AG1200="","",Config!$B$28)</f>
        <v/>
      </c>
      <c r="AG1200">
        <f>IFERROR(MATCH(ROW()-1,Calc!$J$2:$J$1601,0),"")</f>
        <v/>
      </c>
      <c r="AH1200">
        <f>IFERROR(MATCH(ROW()-1,Calc!$K$2:$K$1601,0),"")</f>
        <v/>
      </c>
      <c r="AI1200">
        <f>IF($AG1200="","",SUMIF($AG$2:$AG1200,$AG1200,$AH$2:$AH1200))</f>
        <v/>
      </c>
      <c r="AJ1200">
        <f>IF('TMP Paste'!$F1200="","",IF('TMP Paste'!$B1200="",$AJ1199,'TMP Paste'!$B1200))</f>
        <v/>
      </c>
      <c r="AK1200">
        <f>IF('TMP Paste'!$F1200="","",N('TMP Paste'!$G1200))</f>
        <v/>
      </c>
      <c r="AL1200">
        <f>IF('TMP Paste'!$F1200="","",IF('TMP Paste'!$M1200="",$AL1199,'TMP Paste'!$M1200))</f>
        <v/>
      </c>
      <c r="AM1200">
        <f>IF('TMP Paste'!$F1200="","",IF('TMP Paste'!$N1200="",$AM1199,'TMP Paste'!$N1200))</f>
        <v/>
      </c>
      <c r="AN1200">
        <f>IF('TMP Paste'!$F1200="","",IF('TMP Paste'!$O1200="",$AN1199,'TMP Paste'!$O1200))</f>
        <v/>
      </c>
      <c r="AO1200">
        <f>IF('TMP Paste'!$F1200="","",IF('TMP Paste'!$P1200="",$AO1199,'TMP Paste'!$P1200))</f>
        <v/>
      </c>
      <c r="AP1200">
        <f>IF($AG1200="","",LEN($R1200))</f>
        <v/>
      </c>
      <c r="AQ1200">
        <f>IF($AG1200="","",TRIM(IF(COUNTIFS(Calc!$B$2:$B$1601,ROW()-1,Calc!$C$2:$C$1601,"&lt;1")&gt;0,"Ada PO tanpa Koli - cek TMP. ","")&amp;IF(LEN($R1200)&gt;500,"R &gt; 500 karakter.","")))</f>
        <v/>
      </c>
    </row>
    <row r="1201">
      <c r="A1201">
        <f>IF($AG1201="","",INDEX('TMP Paste'!$B$2:$B$1601,$AG1201))</f>
        <v/>
      </c>
      <c r="B1201">
        <f>IF($AG1201="","",Config!$B$14)</f>
        <v/>
      </c>
      <c r="C1201">
        <f>IF($AG1201="","",Config!$B$15)</f>
        <v/>
      </c>
      <c r="D1201">
        <f>IF($AG1201="","",INDEX('TMP Paste'!$B$2:$B$1601,$AG1201))</f>
        <v/>
      </c>
      <c r="E1201">
        <f>IF($AG1201="","",Config!$B$27)</f>
        <v/>
      </c>
      <c r="F1201">
        <f>IF($AG1201="","",Config!$B$9)</f>
        <v/>
      </c>
      <c r="G1201">
        <f>IF($AG1201="","",Config!$B$10)</f>
        <v/>
      </c>
      <c r="H1201">
        <f>IF($AG1201="","",Config!$B$11)</f>
        <v/>
      </c>
      <c r="I1201">
        <f>IF($AG1201="","",Config!$B$16)</f>
        <v/>
      </c>
      <c r="J1201">
        <f>IF($AG1201="","",INDEX('TMP Paste'!$A$2:$A$1601,$AG1201))</f>
        <v/>
      </c>
      <c r="K1201">
        <f>IF($AG1201="","",INDEX('TMP Paste'!$L$2:$L$1601,$AG1201))</f>
        <v/>
      </c>
      <c r="L1201">
        <f>IF($AG1201="","",INDEX('TMP Paste'!$I$2:$I$1601,$AG1201))</f>
        <v/>
      </c>
      <c r="M1201">
        <f>IF($AG1201="","",Config!$B$16)</f>
        <v/>
      </c>
      <c r="N1201">
        <f>IF($AG1201="","","")</f>
        <v/>
      </c>
      <c r="O1201">
        <f>IF($AG1201="","",INDEX('TMP Paste'!$K$2:$K$1601,$AG1201))</f>
        <v/>
      </c>
      <c r="P1201">
        <f>IF($AG1201="","","")</f>
        <v/>
      </c>
      <c r="Q1201">
        <f>IF($AG1201="","",INDEX('TMP Paste'!$J$2:$J$1601,$AG1201))</f>
        <v/>
      </c>
      <c r="R1201">
        <f>IF($AG1201="","",Config!$B$24)</f>
        <v/>
      </c>
      <c r="S1201">
        <f>IF($AG1201="","",TEXT(Config!$B$4,"yyyy-mm-dd"))</f>
        <v/>
      </c>
      <c r="T1201">
        <f>IF($AG1201="","",Config!$B$17)</f>
        <v/>
      </c>
      <c r="U1201">
        <f>IF($AG1201="","",Config!$B$18)</f>
        <v/>
      </c>
      <c r="V1201">
        <f>IF($AG1201="","",Config!$B$19)</f>
        <v/>
      </c>
      <c r="W1201">
        <f>IF($AG1201="","",INDEX('TMP Paste'!$C$2:$C$1601,$AG1201))</f>
        <v/>
      </c>
      <c r="X1201">
        <f>IF($AG1201="","",Config!$B$29)</f>
        <v/>
      </c>
      <c r="Y1201">
        <f>IF($AH1201="","",INDEX(Calc!$I$2:$I$1601,$AH1201)&amp;" - "&amp;INDEX(Calc!$D$2:$D$1601,$AH1201)&amp;" koli")</f>
        <v/>
      </c>
      <c r="Z1201">
        <f>IF($AG1201="","",Config!$B$21)</f>
        <v/>
      </c>
      <c r="AA1201">
        <f>IF($AG1201="","",Config!$B$22)</f>
        <v/>
      </c>
      <c r="AB1201">
        <f>IF($AH1201="","",INDEX(Calc!$D$2:$D$1601,$AH1201))</f>
        <v/>
      </c>
      <c r="AC1201">
        <f>IF($AH1201="","",INDEX(Calc!$G$2:$G$1601,$AH1201))</f>
        <v/>
      </c>
      <c r="AD1201">
        <f>IF($AG1201="","",Config!$B$23)</f>
        <v/>
      </c>
      <c r="AE1201">
        <f>IF($AG1201="","",Config!$B$28)</f>
        <v/>
      </c>
      <c r="AG1201">
        <f>IFERROR(MATCH(ROW()-1,Calc!$J$2:$J$1601,0),"")</f>
        <v/>
      </c>
      <c r="AH1201">
        <f>IFERROR(MATCH(ROW()-1,Calc!$K$2:$K$1601,0),"")</f>
        <v/>
      </c>
      <c r="AI1201">
        <f>IF($AG1201="","",SUMIF($AG$2:$AG1201,$AG1201,$AH$2:$AH1201))</f>
        <v/>
      </c>
      <c r="AJ1201">
        <f>IF('TMP Paste'!$F1201="","",IF('TMP Paste'!$B1201="",$AJ1200,'TMP Paste'!$B1201))</f>
        <v/>
      </c>
      <c r="AK1201">
        <f>IF('TMP Paste'!$F1201="","",N('TMP Paste'!$G1201))</f>
        <v/>
      </c>
      <c r="AL1201">
        <f>IF('TMP Paste'!$F1201="","",IF('TMP Paste'!$M1201="",$AL1200,'TMP Paste'!$M1201))</f>
        <v/>
      </c>
      <c r="AM1201">
        <f>IF('TMP Paste'!$F1201="","",IF('TMP Paste'!$N1201="",$AM1200,'TMP Paste'!$N1201))</f>
        <v/>
      </c>
      <c r="AN1201">
        <f>IF('TMP Paste'!$F1201="","",IF('TMP Paste'!$O1201="",$AN1200,'TMP Paste'!$O1201))</f>
        <v/>
      </c>
      <c r="AO1201">
        <f>IF('TMP Paste'!$F1201="","",IF('TMP Paste'!$P1201="",$AO1200,'TMP Paste'!$P1201))</f>
        <v/>
      </c>
      <c r="AP1201">
        <f>IF($AG1201="","",LEN($R1201))</f>
        <v/>
      </c>
      <c r="AQ1201">
        <f>IF($AG1201="","",TRIM(IF(COUNTIFS(Calc!$B$2:$B$1601,ROW()-1,Calc!$C$2:$C$1601,"&lt;1")&gt;0,"Ada PO tanpa Koli - cek TMP. ","")&amp;IF(LEN($R1201)&gt;500,"R &gt; 500 karakter.","")))</f>
        <v/>
      </c>
    </row>
    <row r="1202">
      <c r="A1202">
        <f>IF($AG1202="","",INDEX('TMP Paste'!$B$2:$B$1601,$AG1202))</f>
        <v/>
      </c>
      <c r="B1202">
        <f>IF($AG1202="","",Config!$B$14)</f>
        <v/>
      </c>
      <c r="C1202">
        <f>IF($AG1202="","",Config!$B$15)</f>
        <v/>
      </c>
      <c r="D1202">
        <f>IF($AG1202="","",INDEX('TMP Paste'!$B$2:$B$1601,$AG1202))</f>
        <v/>
      </c>
      <c r="E1202">
        <f>IF($AG1202="","",Config!$B$27)</f>
        <v/>
      </c>
      <c r="F1202">
        <f>IF($AG1202="","",Config!$B$9)</f>
        <v/>
      </c>
      <c r="G1202">
        <f>IF($AG1202="","",Config!$B$10)</f>
        <v/>
      </c>
      <c r="H1202">
        <f>IF($AG1202="","",Config!$B$11)</f>
        <v/>
      </c>
      <c r="I1202">
        <f>IF($AG1202="","",Config!$B$16)</f>
        <v/>
      </c>
      <c r="J1202">
        <f>IF($AG1202="","",INDEX('TMP Paste'!$A$2:$A$1601,$AG1202))</f>
        <v/>
      </c>
      <c r="K1202">
        <f>IF($AG1202="","",INDEX('TMP Paste'!$L$2:$L$1601,$AG1202))</f>
        <v/>
      </c>
      <c r="L1202">
        <f>IF($AG1202="","",INDEX('TMP Paste'!$I$2:$I$1601,$AG1202))</f>
        <v/>
      </c>
      <c r="M1202">
        <f>IF($AG1202="","",Config!$B$16)</f>
        <v/>
      </c>
      <c r="N1202">
        <f>IF($AG1202="","","")</f>
        <v/>
      </c>
      <c r="O1202">
        <f>IF($AG1202="","",INDEX('TMP Paste'!$K$2:$K$1601,$AG1202))</f>
        <v/>
      </c>
      <c r="P1202">
        <f>IF($AG1202="","","")</f>
        <v/>
      </c>
      <c r="Q1202">
        <f>IF($AG1202="","",INDEX('TMP Paste'!$J$2:$J$1601,$AG1202))</f>
        <v/>
      </c>
      <c r="R1202">
        <f>IF($AG1202="","",Config!$B$24)</f>
        <v/>
      </c>
      <c r="S1202">
        <f>IF($AG1202="","",TEXT(Config!$B$4,"yyyy-mm-dd"))</f>
        <v/>
      </c>
      <c r="T1202">
        <f>IF($AG1202="","",Config!$B$17)</f>
        <v/>
      </c>
      <c r="U1202">
        <f>IF($AG1202="","",Config!$B$18)</f>
        <v/>
      </c>
      <c r="V1202">
        <f>IF($AG1202="","",Config!$B$19)</f>
        <v/>
      </c>
      <c r="W1202">
        <f>IF($AG1202="","",INDEX('TMP Paste'!$C$2:$C$1601,$AG1202))</f>
        <v/>
      </c>
      <c r="X1202">
        <f>IF($AG1202="","",Config!$B$29)</f>
        <v/>
      </c>
      <c r="Y1202">
        <f>IF($AH1202="","",INDEX(Calc!$I$2:$I$1601,$AH1202)&amp;" - "&amp;INDEX(Calc!$D$2:$D$1601,$AH1202)&amp;" koli")</f>
        <v/>
      </c>
      <c r="Z1202">
        <f>IF($AG1202="","",Config!$B$21)</f>
        <v/>
      </c>
      <c r="AA1202">
        <f>IF($AG1202="","",Config!$B$22)</f>
        <v/>
      </c>
      <c r="AB1202">
        <f>IF($AH1202="","",INDEX(Calc!$D$2:$D$1601,$AH1202))</f>
        <v/>
      </c>
      <c r="AC1202">
        <f>IF($AH1202="","",INDEX(Calc!$G$2:$G$1601,$AH1202))</f>
        <v/>
      </c>
      <c r="AD1202">
        <f>IF($AG1202="","",Config!$B$23)</f>
        <v/>
      </c>
      <c r="AE1202">
        <f>IF($AG1202="","",Config!$B$28)</f>
        <v/>
      </c>
      <c r="AG1202">
        <f>IFERROR(MATCH(ROW()-1,Calc!$J$2:$J$1601,0),"")</f>
        <v/>
      </c>
      <c r="AH1202">
        <f>IFERROR(MATCH(ROW()-1,Calc!$K$2:$K$1601,0),"")</f>
        <v/>
      </c>
      <c r="AI1202">
        <f>IF($AG1202="","",SUMIF($AG$2:$AG1202,$AG1202,$AH$2:$AH1202))</f>
        <v/>
      </c>
      <c r="AJ1202">
        <f>IF('TMP Paste'!$F1202="","",IF('TMP Paste'!$B1202="",$AJ1201,'TMP Paste'!$B1202))</f>
        <v/>
      </c>
      <c r="AK1202">
        <f>IF('TMP Paste'!$F1202="","",N('TMP Paste'!$G1202))</f>
        <v/>
      </c>
      <c r="AL1202">
        <f>IF('TMP Paste'!$F1202="","",IF('TMP Paste'!$M1202="",$AL1201,'TMP Paste'!$M1202))</f>
        <v/>
      </c>
      <c r="AM1202">
        <f>IF('TMP Paste'!$F1202="","",IF('TMP Paste'!$N1202="",$AM1201,'TMP Paste'!$N1202))</f>
        <v/>
      </c>
      <c r="AN1202">
        <f>IF('TMP Paste'!$F1202="","",IF('TMP Paste'!$O1202="",$AN1201,'TMP Paste'!$O1202))</f>
        <v/>
      </c>
      <c r="AO1202">
        <f>IF('TMP Paste'!$F1202="","",IF('TMP Paste'!$P1202="",$AO1201,'TMP Paste'!$P1202))</f>
        <v/>
      </c>
      <c r="AP1202">
        <f>IF($AG1202="","",LEN($R1202))</f>
        <v/>
      </c>
      <c r="AQ1202">
        <f>IF($AG1202="","",TRIM(IF(COUNTIFS(Calc!$B$2:$B$1601,ROW()-1,Calc!$C$2:$C$1601,"&lt;1")&gt;0,"Ada PO tanpa Koli - cek TMP. ","")&amp;IF(LEN($R1202)&gt;500,"R &gt; 500 karakter.","")))</f>
        <v/>
      </c>
    </row>
    <row r="1203">
      <c r="A1203">
        <f>IF($AG1203="","",INDEX('TMP Paste'!$B$2:$B$1601,$AG1203))</f>
        <v/>
      </c>
      <c r="B1203">
        <f>IF($AG1203="","",Config!$B$14)</f>
        <v/>
      </c>
      <c r="C1203">
        <f>IF($AG1203="","",Config!$B$15)</f>
        <v/>
      </c>
      <c r="D1203">
        <f>IF($AG1203="","",INDEX('TMP Paste'!$B$2:$B$1601,$AG1203))</f>
        <v/>
      </c>
      <c r="E1203">
        <f>IF($AG1203="","",Config!$B$27)</f>
        <v/>
      </c>
      <c r="F1203">
        <f>IF($AG1203="","",Config!$B$9)</f>
        <v/>
      </c>
      <c r="G1203">
        <f>IF($AG1203="","",Config!$B$10)</f>
        <v/>
      </c>
      <c r="H1203">
        <f>IF($AG1203="","",Config!$B$11)</f>
        <v/>
      </c>
      <c r="I1203">
        <f>IF($AG1203="","",Config!$B$16)</f>
        <v/>
      </c>
      <c r="J1203">
        <f>IF($AG1203="","",INDEX('TMP Paste'!$A$2:$A$1601,$AG1203))</f>
        <v/>
      </c>
      <c r="K1203">
        <f>IF($AG1203="","",INDEX('TMP Paste'!$L$2:$L$1601,$AG1203))</f>
        <v/>
      </c>
      <c r="L1203">
        <f>IF($AG1203="","",INDEX('TMP Paste'!$I$2:$I$1601,$AG1203))</f>
        <v/>
      </c>
      <c r="M1203">
        <f>IF($AG1203="","",Config!$B$16)</f>
        <v/>
      </c>
      <c r="N1203">
        <f>IF($AG1203="","","")</f>
        <v/>
      </c>
      <c r="O1203">
        <f>IF($AG1203="","",INDEX('TMP Paste'!$K$2:$K$1601,$AG1203))</f>
        <v/>
      </c>
      <c r="P1203">
        <f>IF($AG1203="","","")</f>
        <v/>
      </c>
      <c r="Q1203">
        <f>IF($AG1203="","",INDEX('TMP Paste'!$J$2:$J$1601,$AG1203))</f>
        <v/>
      </c>
      <c r="R1203">
        <f>IF($AG1203="","",Config!$B$24)</f>
        <v/>
      </c>
      <c r="S1203">
        <f>IF($AG1203="","",TEXT(Config!$B$4,"yyyy-mm-dd"))</f>
        <v/>
      </c>
      <c r="T1203">
        <f>IF($AG1203="","",Config!$B$17)</f>
        <v/>
      </c>
      <c r="U1203">
        <f>IF($AG1203="","",Config!$B$18)</f>
        <v/>
      </c>
      <c r="V1203">
        <f>IF($AG1203="","",Config!$B$19)</f>
        <v/>
      </c>
      <c r="W1203">
        <f>IF($AG1203="","",INDEX('TMP Paste'!$C$2:$C$1601,$AG1203))</f>
        <v/>
      </c>
      <c r="X1203">
        <f>IF($AG1203="","",Config!$B$29)</f>
        <v/>
      </c>
      <c r="Y1203">
        <f>IF($AH1203="","",INDEX(Calc!$I$2:$I$1601,$AH1203)&amp;" - "&amp;INDEX(Calc!$D$2:$D$1601,$AH1203)&amp;" koli")</f>
        <v/>
      </c>
      <c r="Z1203">
        <f>IF($AG1203="","",Config!$B$21)</f>
        <v/>
      </c>
      <c r="AA1203">
        <f>IF($AG1203="","",Config!$B$22)</f>
        <v/>
      </c>
      <c r="AB1203">
        <f>IF($AH1203="","",INDEX(Calc!$D$2:$D$1601,$AH1203))</f>
        <v/>
      </c>
      <c r="AC1203">
        <f>IF($AH1203="","",INDEX(Calc!$G$2:$G$1601,$AH1203))</f>
        <v/>
      </c>
      <c r="AD1203">
        <f>IF($AG1203="","",Config!$B$23)</f>
        <v/>
      </c>
      <c r="AE1203">
        <f>IF($AG1203="","",Config!$B$28)</f>
        <v/>
      </c>
      <c r="AG1203">
        <f>IFERROR(MATCH(ROW()-1,Calc!$J$2:$J$1601,0),"")</f>
        <v/>
      </c>
      <c r="AH1203">
        <f>IFERROR(MATCH(ROW()-1,Calc!$K$2:$K$1601,0),"")</f>
        <v/>
      </c>
      <c r="AI1203">
        <f>IF($AG1203="","",SUMIF($AG$2:$AG1203,$AG1203,$AH$2:$AH1203))</f>
        <v/>
      </c>
      <c r="AJ1203">
        <f>IF('TMP Paste'!$F1203="","",IF('TMP Paste'!$B1203="",$AJ1202,'TMP Paste'!$B1203))</f>
        <v/>
      </c>
      <c r="AK1203">
        <f>IF('TMP Paste'!$F1203="","",N('TMP Paste'!$G1203))</f>
        <v/>
      </c>
      <c r="AL1203">
        <f>IF('TMP Paste'!$F1203="","",IF('TMP Paste'!$M1203="",$AL1202,'TMP Paste'!$M1203))</f>
        <v/>
      </c>
      <c r="AM1203">
        <f>IF('TMP Paste'!$F1203="","",IF('TMP Paste'!$N1203="",$AM1202,'TMP Paste'!$N1203))</f>
        <v/>
      </c>
      <c r="AN1203">
        <f>IF('TMP Paste'!$F1203="","",IF('TMP Paste'!$O1203="",$AN1202,'TMP Paste'!$O1203))</f>
        <v/>
      </c>
      <c r="AO1203">
        <f>IF('TMP Paste'!$F1203="","",IF('TMP Paste'!$P1203="",$AO1202,'TMP Paste'!$P1203))</f>
        <v/>
      </c>
      <c r="AP1203">
        <f>IF($AG1203="","",LEN($R1203))</f>
        <v/>
      </c>
      <c r="AQ1203">
        <f>IF($AG1203="","",TRIM(IF(COUNTIFS(Calc!$B$2:$B$1601,ROW()-1,Calc!$C$2:$C$1601,"&lt;1")&gt;0,"Ada PO tanpa Koli - cek TMP. ","")&amp;IF(LEN($R1203)&gt;500,"R &gt; 500 karakter.","")))</f>
        <v/>
      </c>
    </row>
    <row r="1204">
      <c r="A1204">
        <f>IF($AG1204="","",INDEX('TMP Paste'!$B$2:$B$1601,$AG1204))</f>
        <v/>
      </c>
      <c r="B1204">
        <f>IF($AG1204="","",Config!$B$14)</f>
        <v/>
      </c>
      <c r="C1204">
        <f>IF($AG1204="","",Config!$B$15)</f>
        <v/>
      </c>
      <c r="D1204">
        <f>IF($AG1204="","",INDEX('TMP Paste'!$B$2:$B$1601,$AG1204))</f>
        <v/>
      </c>
      <c r="E1204">
        <f>IF($AG1204="","",Config!$B$27)</f>
        <v/>
      </c>
      <c r="F1204">
        <f>IF($AG1204="","",Config!$B$9)</f>
        <v/>
      </c>
      <c r="G1204">
        <f>IF($AG1204="","",Config!$B$10)</f>
        <v/>
      </c>
      <c r="H1204">
        <f>IF($AG1204="","",Config!$B$11)</f>
        <v/>
      </c>
      <c r="I1204">
        <f>IF($AG1204="","",Config!$B$16)</f>
        <v/>
      </c>
      <c r="J1204">
        <f>IF($AG1204="","",INDEX('TMP Paste'!$A$2:$A$1601,$AG1204))</f>
        <v/>
      </c>
      <c r="K1204">
        <f>IF($AG1204="","",INDEX('TMP Paste'!$L$2:$L$1601,$AG1204))</f>
        <v/>
      </c>
      <c r="L1204">
        <f>IF($AG1204="","",INDEX('TMP Paste'!$I$2:$I$1601,$AG1204))</f>
        <v/>
      </c>
      <c r="M1204">
        <f>IF($AG1204="","",Config!$B$16)</f>
        <v/>
      </c>
      <c r="N1204">
        <f>IF($AG1204="","","")</f>
        <v/>
      </c>
      <c r="O1204">
        <f>IF($AG1204="","",INDEX('TMP Paste'!$K$2:$K$1601,$AG1204))</f>
        <v/>
      </c>
      <c r="P1204">
        <f>IF($AG1204="","","")</f>
        <v/>
      </c>
      <c r="Q1204">
        <f>IF($AG1204="","",INDEX('TMP Paste'!$J$2:$J$1601,$AG1204))</f>
        <v/>
      </c>
      <c r="R1204">
        <f>IF($AG1204="","",Config!$B$24)</f>
        <v/>
      </c>
      <c r="S1204">
        <f>IF($AG1204="","",TEXT(Config!$B$4,"yyyy-mm-dd"))</f>
        <v/>
      </c>
      <c r="T1204">
        <f>IF($AG1204="","",Config!$B$17)</f>
        <v/>
      </c>
      <c r="U1204">
        <f>IF($AG1204="","",Config!$B$18)</f>
        <v/>
      </c>
      <c r="V1204">
        <f>IF($AG1204="","",Config!$B$19)</f>
        <v/>
      </c>
      <c r="W1204">
        <f>IF($AG1204="","",INDEX('TMP Paste'!$C$2:$C$1601,$AG1204))</f>
        <v/>
      </c>
      <c r="X1204">
        <f>IF($AG1204="","",Config!$B$29)</f>
        <v/>
      </c>
      <c r="Y1204">
        <f>IF($AH1204="","",INDEX(Calc!$I$2:$I$1601,$AH1204)&amp;" - "&amp;INDEX(Calc!$D$2:$D$1601,$AH1204)&amp;" koli")</f>
        <v/>
      </c>
      <c r="Z1204">
        <f>IF($AG1204="","",Config!$B$21)</f>
        <v/>
      </c>
      <c r="AA1204">
        <f>IF($AG1204="","",Config!$B$22)</f>
        <v/>
      </c>
      <c r="AB1204">
        <f>IF($AH1204="","",INDEX(Calc!$D$2:$D$1601,$AH1204))</f>
        <v/>
      </c>
      <c r="AC1204">
        <f>IF($AH1204="","",INDEX(Calc!$G$2:$G$1601,$AH1204))</f>
        <v/>
      </c>
      <c r="AD1204">
        <f>IF($AG1204="","",Config!$B$23)</f>
        <v/>
      </c>
      <c r="AE1204">
        <f>IF($AG1204="","",Config!$B$28)</f>
        <v/>
      </c>
      <c r="AG1204">
        <f>IFERROR(MATCH(ROW()-1,Calc!$J$2:$J$1601,0),"")</f>
        <v/>
      </c>
      <c r="AH1204">
        <f>IFERROR(MATCH(ROW()-1,Calc!$K$2:$K$1601,0),"")</f>
        <v/>
      </c>
      <c r="AI1204">
        <f>IF($AG1204="","",SUMIF($AG$2:$AG1204,$AG1204,$AH$2:$AH1204))</f>
        <v/>
      </c>
      <c r="AJ1204">
        <f>IF('TMP Paste'!$F1204="","",IF('TMP Paste'!$B1204="",$AJ1203,'TMP Paste'!$B1204))</f>
        <v/>
      </c>
      <c r="AK1204">
        <f>IF('TMP Paste'!$F1204="","",N('TMP Paste'!$G1204))</f>
        <v/>
      </c>
      <c r="AL1204">
        <f>IF('TMP Paste'!$F1204="","",IF('TMP Paste'!$M1204="",$AL1203,'TMP Paste'!$M1204))</f>
        <v/>
      </c>
      <c r="AM1204">
        <f>IF('TMP Paste'!$F1204="","",IF('TMP Paste'!$N1204="",$AM1203,'TMP Paste'!$N1204))</f>
        <v/>
      </c>
      <c r="AN1204">
        <f>IF('TMP Paste'!$F1204="","",IF('TMP Paste'!$O1204="",$AN1203,'TMP Paste'!$O1204))</f>
        <v/>
      </c>
      <c r="AO1204">
        <f>IF('TMP Paste'!$F1204="","",IF('TMP Paste'!$P1204="",$AO1203,'TMP Paste'!$P1204))</f>
        <v/>
      </c>
      <c r="AP1204">
        <f>IF($AG1204="","",LEN($R1204))</f>
        <v/>
      </c>
      <c r="AQ1204">
        <f>IF($AG1204="","",TRIM(IF(COUNTIFS(Calc!$B$2:$B$1601,ROW()-1,Calc!$C$2:$C$1601,"&lt;1")&gt;0,"Ada PO tanpa Koli - cek TMP. ","")&amp;IF(LEN($R1204)&gt;500,"R &gt; 500 karakter.","")))</f>
        <v/>
      </c>
    </row>
    <row r="1205">
      <c r="A1205">
        <f>IF($AG1205="","",INDEX('TMP Paste'!$B$2:$B$1601,$AG1205))</f>
        <v/>
      </c>
      <c r="B1205">
        <f>IF($AG1205="","",Config!$B$14)</f>
        <v/>
      </c>
      <c r="C1205">
        <f>IF($AG1205="","",Config!$B$15)</f>
        <v/>
      </c>
      <c r="D1205">
        <f>IF($AG1205="","",INDEX('TMP Paste'!$B$2:$B$1601,$AG1205))</f>
        <v/>
      </c>
      <c r="E1205">
        <f>IF($AG1205="","",Config!$B$27)</f>
        <v/>
      </c>
      <c r="F1205">
        <f>IF($AG1205="","",Config!$B$9)</f>
        <v/>
      </c>
      <c r="G1205">
        <f>IF($AG1205="","",Config!$B$10)</f>
        <v/>
      </c>
      <c r="H1205">
        <f>IF($AG1205="","",Config!$B$11)</f>
        <v/>
      </c>
      <c r="I1205">
        <f>IF($AG1205="","",Config!$B$16)</f>
        <v/>
      </c>
      <c r="J1205">
        <f>IF($AG1205="","",INDEX('TMP Paste'!$A$2:$A$1601,$AG1205))</f>
        <v/>
      </c>
      <c r="K1205">
        <f>IF($AG1205="","",INDEX('TMP Paste'!$L$2:$L$1601,$AG1205))</f>
        <v/>
      </c>
      <c r="L1205">
        <f>IF($AG1205="","",INDEX('TMP Paste'!$I$2:$I$1601,$AG1205))</f>
        <v/>
      </c>
      <c r="M1205">
        <f>IF($AG1205="","",Config!$B$16)</f>
        <v/>
      </c>
      <c r="N1205">
        <f>IF($AG1205="","","")</f>
        <v/>
      </c>
      <c r="O1205">
        <f>IF($AG1205="","",INDEX('TMP Paste'!$K$2:$K$1601,$AG1205))</f>
        <v/>
      </c>
      <c r="P1205">
        <f>IF($AG1205="","","")</f>
        <v/>
      </c>
      <c r="Q1205">
        <f>IF($AG1205="","",INDEX('TMP Paste'!$J$2:$J$1601,$AG1205))</f>
        <v/>
      </c>
      <c r="R1205">
        <f>IF($AG1205="","",Config!$B$24)</f>
        <v/>
      </c>
      <c r="S1205">
        <f>IF($AG1205="","",TEXT(Config!$B$4,"yyyy-mm-dd"))</f>
        <v/>
      </c>
      <c r="T1205">
        <f>IF($AG1205="","",Config!$B$17)</f>
        <v/>
      </c>
      <c r="U1205">
        <f>IF($AG1205="","",Config!$B$18)</f>
        <v/>
      </c>
      <c r="V1205">
        <f>IF($AG1205="","",Config!$B$19)</f>
        <v/>
      </c>
      <c r="W1205">
        <f>IF($AG1205="","",INDEX('TMP Paste'!$C$2:$C$1601,$AG1205))</f>
        <v/>
      </c>
      <c r="X1205">
        <f>IF($AG1205="","",Config!$B$29)</f>
        <v/>
      </c>
      <c r="Y1205">
        <f>IF($AH1205="","",INDEX(Calc!$I$2:$I$1601,$AH1205)&amp;" - "&amp;INDEX(Calc!$D$2:$D$1601,$AH1205)&amp;" koli")</f>
        <v/>
      </c>
      <c r="Z1205">
        <f>IF($AG1205="","",Config!$B$21)</f>
        <v/>
      </c>
      <c r="AA1205">
        <f>IF($AG1205="","",Config!$B$22)</f>
        <v/>
      </c>
      <c r="AB1205">
        <f>IF($AH1205="","",INDEX(Calc!$D$2:$D$1601,$AH1205))</f>
        <v/>
      </c>
      <c r="AC1205">
        <f>IF($AH1205="","",INDEX(Calc!$G$2:$G$1601,$AH1205))</f>
        <v/>
      </c>
      <c r="AD1205">
        <f>IF($AG1205="","",Config!$B$23)</f>
        <v/>
      </c>
      <c r="AE1205">
        <f>IF($AG1205="","",Config!$B$28)</f>
        <v/>
      </c>
      <c r="AG1205">
        <f>IFERROR(MATCH(ROW()-1,Calc!$J$2:$J$1601,0),"")</f>
        <v/>
      </c>
      <c r="AH1205">
        <f>IFERROR(MATCH(ROW()-1,Calc!$K$2:$K$1601,0),"")</f>
        <v/>
      </c>
      <c r="AI1205">
        <f>IF($AG1205="","",SUMIF($AG$2:$AG1205,$AG1205,$AH$2:$AH1205))</f>
        <v/>
      </c>
      <c r="AJ1205">
        <f>IF('TMP Paste'!$F1205="","",IF('TMP Paste'!$B1205="",$AJ1204,'TMP Paste'!$B1205))</f>
        <v/>
      </c>
      <c r="AK1205">
        <f>IF('TMP Paste'!$F1205="","",N('TMP Paste'!$G1205))</f>
        <v/>
      </c>
      <c r="AL1205">
        <f>IF('TMP Paste'!$F1205="","",IF('TMP Paste'!$M1205="",$AL1204,'TMP Paste'!$M1205))</f>
        <v/>
      </c>
      <c r="AM1205">
        <f>IF('TMP Paste'!$F1205="","",IF('TMP Paste'!$N1205="",$AM1204,'TMP Paste'!$N1205))</f>
        <v/>
      </c>
      <c r="AN1205">
        <f>IF('TMP Paste'!$F1205="","",IF('TMP Paste'!$O1205="",$AN1204,'TMP Paste'!$O1205))</f>
        <v/>
      </c>
      <c r="AO1205">
        <f>IF('TMP Paste'!$F1205="","",IF('TMP Paste'!$P1205="",$AO1204,'TMP Paste'!$P1205))</f>
        <v/>
      </c>
      <c r="AP1205">
        <f>IF($AG1205="","",LEN($R1205))</f>
        <v/>
      </c>
      <c r="AQ1205">
        <f>IF($AG1205="","",TRIM(IF(COUNTIFS(Calc!$B$2:$B$1601,ROW()-1,Calc!$C$2:$C$1601,"&lt;1")&gt;0,"Ada PO tanpa Koli - cek TMP. ","")&amp;IF(LEN($R1205)&gt;500,"R &gt; 500 karakter.","")))</f>
        <v/>
      </c>
    </row>
    <row r="1206">
      <c r="A1206">
        <f>IF($AG1206="","",INDEX('TMP Paste'!$B$2:$B$1601,$AG1206))</f>
        <v/>
      </c>
      <c r="B1206">
        <f>IF($AG1206="","",Config!$B$14)</f>
        <v/>
      </c>
      <c r="C1206">
        <f>IF($AG1206="","",Config!$B$15)</f>
        <v/>
      </c>
      <c r="D1206">
        <f>IF($AG1206="","",INDEX('TMP Paste'!$B$2:$B$1601,$AG1206))</f>
        <v/>
      </c>
      <c r="E1206">
        <f>IF($AG1206="","",Config!$B$27)</f>
        <v/>
      </c>
      <c r="F1206">
        <f>IF($AG1206="","",Config!$B$9)</f>
        <v/>
      </c>
      <c r="G1206">
        <f>IF($AG1206="","",Config!$B$10)</f>
        <v/>
      </c>
      <c r="H1206">
        <f>IF($AG1206="","",Config!$B$11)</f>
        <v/>
      </c>
      <c r="I1206">
        <f>IF($AG1206="","",Config!$B$16)</f>
        <v/>
      </c>
      <c r="J1206">
        <f>IF($AG1206="","",INDEX('TMP Paste'!$A$2:$A$1601,$AG1206))</f>
        <v/>
      </c>
      <c r="K1206">
        <f>IF($AG1206="","",INDEX('TMP Paste'!$L$2:$L$1601,$AG1206))</f>
        <v/>
      </c>
      <c r="L1206">
        <f>IF($AG1206="","",INDEX('TMP Paste'!$I$2:$I$1601,$AG1206))</f>
        <v/>
      </c>
      <c r="M1206">
        <f>IF($AG1206="","",Config!$B$16)</f>
        <v/>
      </c>
      <c r="N1206">
        <f>IF($AG1206="","","")</f>
        <v/>
      </c>
      <c r="O1206">
        <f>IF($AG1206="","",INDEX('TMP Paste'!$K$2:$K$1601,$AG1206))</f>
        <v/>
      </c>
      <c r="P1206">
        <f>IF($AG1206="","","")</f>
        <v/>
      </c>
      <c r="Q1206">
        <f>IF($AG1206="","",INDEX('TMP Paste'!$J$2:$J$1601,$AG1206))</f>
        <v/>
      </c>
      <c r="R1206">
        <f>IF($AG1206="","",Config!$B$24)</f>
        <v/>
      </c>
      <c r="S1206">
        <f>IF($AG1206="","",TEXT(Config!$B$4,"yyyy-mm-dd"))</f>
        <v/>
      </c>
      <c r="T1206">
        <f>IF($AG1206="","",Config!$B$17)</f>
        <v/>
      </c>
      <c r="U1206">
        <f>IF($AG1206="","",Config!$B$18)</f>
        <v/>
      </c>
      <c r="V1206">
        <f>IF($AG1206="","",Config!$B$19)</f>
        <v/>
      </c>
      <c r="W1206">
        <f>IF($AG1206="","",INDEX('TMP Paste'!$C$2:$C$1601,$AG1206))</f>
        <v/>
      </c>
      <c r="X1206">
        <f>IF($AG1206="","",Config!$B$29)</f>
        <v/>
      </c>
      <c r="Y1206">
        <f>IF($AH1206="","",INDEX(Calc!$I$2:$I$1601,$AH1206)&amp;" - "&amp;INDEX(Calc!$D$2:$D$1601,$AH1206)&amp;" koli")</f>
        <v/>
      </c>
      <c r="Z1206">
        <f>IF($AG1206="","",Config!$B$21)</f>
        <v/>
      </c>
      <c r="AA1206">
        <f>IF($AG1206="","",Config!$B$22)</f>
        <v/>
      </c>
      <c r="AB1206">
        <f>IF($AH1206="","",INDEX(Calc!$D$2:$D$1601,$AH1206))</f>
        <v/>
      </c>
      <c r="AC1206">
        <f>IF($AH1206="","",INDEX(Calc!$G$2:$G$1601,$AH1206))</f>
        <v/>
      </c>
      <c r="AD1206">
        <f>IF($AG1206="","",Config!$B$23)</f>
        <v/>
      </c>
      <c r="AE1206">
        <f>IF($AG1206="","",Config!$B$28)</f>
        <v/>
      </c>
      <c r="AG1206">
        <f>IFERROR(MATCH(ROW()-1,Calc!$J$2:$J$1601,0),"")</f>
        <v/>
      </c>
      <c r="AH1206">
        <f>IFERROR(MATCH(ROW()-1,Calc!$K$2:$K$1601,0),"")</f>
        <v/>
      </c>
      <c r="AI1206">
        <f>IF($AG1206="","",SUMIF($AG$2:$AG1206,$AG1206,$AH$2:$AH1206))</f>
        <v/>
      </c>
      <c r="AJ1206">
        <f>IF('TMP Paste'!$F1206="","",IF('TMP Paste'!$B1206="",$AJ1205,'TMP Paste'!$B1206))</f>
        <v/>
      </c>
      <c r="AK1206">
        <f>IF('TMP Paste'!$F1206="","",N('TMP Paste'!$G1206))</f>
        <v/>
      </c>
      <c r="AL1206">
        <f>IF('TMP Paste'!$F1206="","",IF('TMP Paste'!$M1206="",$AL1205,'TMP Paste'!$M1206))</f>
        <v/>
      </c>
      <c r="AM1206">
        <f>IF('TMP Paste'!$F1206="","",IF('TMP Paste'!$N1206="",$AM1205,'TMP Paste'!$N1206))</f>
        <v/>
      </c>
      <c r="AN1206">
        <f>IF('TMP Paste'!$F1206="","",IF('TMP Paste'!$O1206="",$AN1205,'TMP Paste'!$O1206))</f>
        <v/>
      </c>
      <c r="AO1206">
        <f>IF('TMP Paste'!$F1206="","",IF('TMP Paste'!$P1206="",$AO1205,'TMP Paste'!$P1206))</f>
        <v/>
      </c>
      <c r="AP1206">
        <f>IF($AG1206="","",LEN($R1206))</f>
        <v/>
      </c>
      <c r="AQ1206">
        <f>IF($AG1206="","",TRIM(IF(COUNTIFS(Calc!$B$2:$B$1601,ROW()-1,Calc!$C$2:$C$1601,"&lt;1")&gt;0,"Ada PO tanpa Koli - cek TMP. ","")&amp;IF(LEN($R1206)&gt;500,"R &gt; 500 karakter.","")))</f>
        <v/>
      </c>
    </row>
    <row r="1207">
      <c r="A1207">
        <f>IF($AG1207="","",INDEX('TMP Paste'!$B$2:$B$1601,$AG1207))</f>
        <v/>
      </c>
      <c r="B1207">
        <f>IF($AG1207="","",Config!$B$14)</f>
        <v/>
      </c>
      <c r="C1207">
        <f>IF($AG1207="","",Config!$B$15)</f>
        <v/>
      </c>
      <c r="D1207">
        <f>IF($AG1207="","",INDEX('TMP Paste'!$B$2:$B$1601,$AG1207))</f>
        <v/>
      </c>
      <c r="E1207">
        <f>IF($AG1207="","",Config!$B$27)</f>
        <v/>
      </c>
      <c r="F1207">
        <f>IF($AG1207="","",Config!$B$9)</f>
        <v/>
      </c>
      <c r="G1207">
        <f>IF($AG1207="","",Config!$B$10)</f>
        <v/>
      </c>
      <c r="H1207">
        <f>IF($AG1207="","",Config!$B$11)</f>
        <v/>
      </c>
      <c r="I1207">
        <f>IF($AG1207="","",Config!$B$16)</f>
        <v/>
      </c>
      <c r="J1207">
        <f>IF($AG1207="","",INDEX('TMP Paste'!$A$2:$A$1601,$AG1207))</f>
        <v/>
      </c>
      <c r="K1207">
        <f>IF($AG1207="","",INDEX('TMP Paste'!$L$2:$L$1601,$AG1207))</f>
        <v/>
      </c>
      <c r="L1207">
        <f>IF($AG1207="","",INDEX('TMP Paste'!$I$2:$I$1601,$AG1207))</f>
        <v/>
      </c>
      <c r="M1207">
        <f>IF($AG1207="","",Config!$B$16)</f>
        <v/>
      </c>
      <c r="N1207">
        <f>IF($AG1207="","","")</f>
        <v/>
      </c>
      <c r="O1207">
        <f>IF($AG1207="","",INDEX('TMP Paste'!$K$2:$K$1601,$AG1207))</f>
        <v/>
      </c>
      <c r="P1207">
        <f>IF($AG1207="","","")</f>
        <v/>
      </c>
      <c r="Q1207">
        <f>IF($AG1207="","",INDEX('TMP Paste'!$J$2:$J$1601,$AG1207))</f>
        <v/>
      </c>
      <c r="R1207">
        <f>IF($AG1207="","",Config!$B$24)</f>
        <v/>
      </c>
      <c r="S1207">
        <f>IF($AG1207="","",TEXT(Config!$B$4,"yyyy-mm-dd"))</f>
        <v/>
      </c>
      <c r="T1207">
        <f>IF($AG1207="","",Config!$B$17)</f>
        <v/>
      </c>
      <c r="U1207">
        <f>IF($AG1207="","",Config!$B$18)</f>
        <v/>
      </c>
      <c r="V1207">
        <f>IF($AG1207="","",Config!$B$19)</f>
        <v/>
      </c>
      <c r="W1207">
        <f>IF($AG1207="","",INDEX('TMP Paste'!$C$2:$C$1601,$AG1207))</f>
        <v/>
      </c>
      <c r="X1207">
        <f>IF($AG1207="","",Config!$B$29)</f>
        <v/>
      </c>
      <c r="Y1207">
        <f>IF($AH1207="","",INDEX(Calc!$I$2:$I$1601,$AH1207)&amp;" - "&amp;INDEX(Calc!$D$2:$D$1601,$AH1207)&amp;" koli")</f>
        <v/>
      </c>
      <c r="Z1207">
        <f>IF($AG1207="","",Config!$B$21)</f>
        <v/>
      </c>
      <c r="AA1207">
        <f>IF($AG1207="","",Config!$B$22)</f>
        <v/>
      </c>
      <c r="AB1207">
        <f>IF($AH1207="","",INDEX(Calc!$D$2:$D$1601,$AH1207))</f>
        <v/>
      </c>
      <c r="AC1207">
        <f>IF($AH1207="","",INDEX(Calc!$G$2:$G$1601,$AH1207))</f>
        <v/>
      </c>
      <c r="AD1207">
        <f>IF($AG1207="","",Config!$B$23)</f>
        <v/>
      </c>
      <c r="AE1207">
        <f>IF($AG1207="","",Config!$B$28)</f>
        <v/>
      </c>
      <c r="AG1207">
        <f>IFERROR(MATCH(ROW()-1,Calc!$J$2:$J$1601,0),"")</f>
        <v/>
      </c>
      <c r="AH1207">
        <f>IFERROR(MATCH(ROW()-1,Calc!$K$2:$K$1601,0),"")</f>
        <v/>
      </c>
      <c r="AI1207">
        <f>IF($AG1207="","",SUMIF($AG$2:$AG1207,$AG1207,$AH$2:$AH1207))</f>
        <v/>
      </c>
      <c r="AJ1207">
        <f>IF('TMP Paste'!$F1207="","",IF('TMP Paste'!$B1207="",$AJ1206,'TMP Paste'!$B1207))</f>
        <v/>
      </c>
      <c r="AK1207">
        <f>IF('TMP Paste'!$F1207="","",N('TMP Paste'!$G1207))</f>
        <v/>
      </c>
      <c r="AL1207">
        <f>IF('TMP Paste'!$F1207="","",IF('TMP Paste'!$M1207="",$AL1206,'TMP Paste'!$M1207))</f>
        <v/>
      </c>
      <c r="AM1207">
        <f>IF('TMP Paste'!$F1207="","",IF('TMP Paste'!$N1207="",$AM1206,'TMP Paste'!$N1207))</f>
        <v/>
      </c>
      <c r="AN1207">
        <f>IF('TMP Paste'!$F1207="","",IF('TMP Paste'!$O1207="",$AN1206,'TMP Paste'!$O1207))</f>
        <v/>
      </c>
      <c r="AO1207">
        <f>IF('TMP Paste'!$F1207="","",IF('TMP Paste'!$P1207="",$AO1206,'TMP Paste'!$P1207))</f>
        <v/>
      </c>
      <c r="AP1207">
        <f>IF($AG1207="","",LEN($R1207))</f>
        <v/>
      </c>
      <c r="AQ1207">
        <f>IF($AG1207="","",TRIM(IF(COUNTIFS(Calc!$B$2:$B$1601,ROW()-1,Calc!$C$2:$C$1601,"&lt;1")&gt;0,"Ada PO tanpa Koli - cek TMP. ","")&amp;IF(LEN($R1207)&gt;500,"R &gt; 500 karakter.","")))</f>
        <v/>
      </c>
    </row>
    <row r="1208">
      <c r="A1208">
        <f>IF($AG1208="","",INDEX('TMP Paste'!$B$2:$B$1601,$AG1208))</f>
        <v/>
      </c>
      <c r="B1208">
        <f>IF($AG1208="","",Config!$B$14)</f>
        <v/>
      </c>
      <c r="C1208">
        <f>IF($AG1208="","",Config!$B$15)</f>
        <v/>
      </c>
      <c r="D1208">
        <f>IF($AG1208="","",INDEX('TMP Paste'!$B$2:$B$1601,$AG1208))</f>
        <v/>
      </c>
      <c r="E1208">
        <f>IF($AG1208="","",Config!$B$27)</f>
        <v/>
      </c>
      <c r="F1208">
        <f>IF($AG1208="","",Config!$B$9)</f>
        <v/>
      </c>
      <c r="G1208">
        <f>IF($AG1208="","",Config!$B$10)</f>
        <v/>
      </c>
      <c r="H1208">
        <f>IF($AG1208="","",Config!$B$11)</f>
        <v/>
      </c>
      <c r="I1208">
        <f>IF($AG1208="","",Config!$B$16)</f>
        <v/>
      </c>
      <c r="J1208">
        <f>IF($AG1208="","",INDEX('TMP Paste'!$A$2:$A$1601,$AG1208))</f>
        <v/>
      </c>
      <c r="K1208">
        <f>IF($AG1208="","",INDEX('TMP Paste'!$L$2:$L$1601,$AG1208))</f>
        <v/>
      </c>
      <c r="L1208">
        <f>IF($AG1208="","",INDEX('TMP Paste'!$I$2:$I$1601,$AG1208))</f>
        <v/>
      </c>
      <c r="M1208">
        <f>IF($AG1208="","",Config!$B$16)</f>
        <v/>
      </c>
      <c r="N1208">
        <f>IF($AG1208="","","")</f>
        <v/>
      </c>
      <c r="O1208">
        <f>IF($AG1208="","",INDEX('TMP Paste'!$K$2:$K$1601,$AG1208))</f>
        <v/>
      </c>
      <c r="P1208">
        <f>IF($AG1208="","","")</f>
        <v/>
      </c>
      <c r="Q1208">
        <f>IF($AG1208="","",INDEX('TMP Paste'!$J$2:$J$1601,$AG1208))</f>
        <v/>
      </c>
      <c r="R1208">
        <f>IF($AG1208="","",Config!$B$24)</f>
        <v/>
      </c>
      <c r="S1208">
        <f>IF($AG1208="","",TEXT(Config!$B$4,"yyyy-mm-dd"))</f>
        <v/>
      </c>
      <c r="T1208">
        <f>IF($AG1208="","",Config!$B$17)</f>
        <v/>
      </c>
      <c r="U1208">
        <f>IF($AG1208="","",Config!$B$18)</f>
        <v/>
      </c>
      <c r="V1208">
        <f>IF($AG1208="","",Config!$B$19)</f>
        <v/>
      </c>
      <c r="W1208">
        <f>IF($AG1208="","",INDEX('TMP Paste'!$C$2:$C$1601,$AG1208))</f>
        <v/>
      </c>
      <c r="X1208">
        <f>IF($AG1208="","",Config!$B$29)</f>
        <v/>
      </c>
      <c r="Y1208">
        <f>IF($AH1208="","",INDEX(Calc!$I$2:$I$1601,$AH1208)&amp;" - "&amp;INDEX(Calc!$D$2:$D$1601,$AH1208)&amp;" koli")</f>
        <v/>
      </c>
      <c r="Z1208">
        <f>IF($AG1208="","",Config!$B$21)</f>
        <v/>
      </c>
      <c r="AA1208">
        <f>IF($AG1208="","",Config!$B$22)</f>
        <v/>
      </c>
      <c r="AB1208">
        <f>IF($AH1208="","",INDEX(Calc!$D$2:$D$1601,$AH1208))</f>
        <v/>
      </c>
      <c r="AC1208">
        <f>IF($AH1208="","",INDEX(Calc!$G$2:$G$1601,$AH1208))</f>
        <v/>
      </c>
      <c r="AD1208">
        <f>IF($AG1208="","",Config!$B$23)</f>
        <v/>
      </c>
      <c r="AE1208">
        <f>IF($AG1208="","",Config!$B$28)</f>
        <v/>
      </c>
      <c r="AG1208">
        <f>IFERROR(MATCH(ROW()-1,Calc!$J$2:$J$1601,0),"")</f>
        <v/>
      </c>
      <c r="AH1208">
        <f>IFERROR(MATCH(ROW()-1,Calc!$K$2:$K$1601,0),"")</f>
        <v/>
      </c>
      <c r="AI1208">
        <f>IF($AG1208="","",SUMIF($AG$2:$AG1208,$AG1208,$AH$2:$AH1208))</f>
        <v/>
      </c>
      <c r="AJ1208">
        <f>IF('TMP Paste'!$F1208="","",IF('TMP Paste'!$B1208="",$AJ1207,'TMP Paste'!$B1208))</f>
        <v/>
      </c>
      <c r="AK1208">
        <f>IF('TMP Paste'!$F1208="","",N('TMP Paste'!$G1208))</f>
        <v/>
      </c>
      <c r="AL1208">
        <f>IF('TMP Paste'!$F1208="","",IF('TMP Paste'!$M1208="",$AL1207,'TMP Paste'!$M1208))</f>
        <v/>
      </c>
      <c r="AM1208">
        <f>IF('TMP Paste'!$F1208="","",IF('TMP Paste'!$N1208="",$AM1207,'TMP Paste'!$N1208))</f>
        <v/>
      </c>
      <c r="AN1208">
        <f>IF('TMP Paste'!$F1208="","",IF('TMP Paste'!$O1208="",$AN1207,'TMP Paste'!$O1208))</f>
        <v/>
      </c>
      <c r="AO1208">
        <f>IF('TMP Paste'!$F1208="","",IF('TMP Paste'!$P1208="",$AO1207,'TMP Paste'!$P1208))</f>
        <v/>
      </c>
      <c r="AP1208">
        <f>IF($AG1208="","",LEN($R1208))</f>
        <v/>
      </c>
      <c r="AQ1208">
        <f>IF($AG1208="","",TRIM(IF(COUNTIFS(Calc!$B$2:$B$1601,ROW()-1,Calc!$C$2:$C$1601,"&lt;1")&gt;0,"Ada PO tanpa Koli - cek TMP. ","")&amp;IF(LEN($R1208)&gt;500,"R &gt; 500 karakter.","")))</f>
        <v/>
      </c>
    </row>
    <row r="1209">
      <c r="A1209">
        <f>IF($AG1209="","",INDEX('TMP Paste'!$B$2:$B$1601,$AG1209))</f>
        <v/>
      </c>
      <c r="B1209">
        <f>IF($AG1209="","",Config!$B$14)</f>
        <v/>
      </c>
      <c r="C1209">
        <f>IF($AG1209="","",Config!$B$15)</f>
        <v/>
      </c>
      <c r="D1209">
        <f>IF($AG1209="","",INDEX('TMP Paste'!$B$2:$B$1601,$AG1209))</f>
        <v/>
      </c>
      <c r="E1209">
        <f>IF($AG1209="","",Config!$B$27)</f>
        <v/>
      </c>
      <c r="F1209">
        <f>IF($AG1209="","",Config!$B$9)</f>
        <v/>
      </c>
      <c r="G1209">
        <f>IF($AG1209="","",Config!$B$10)</f>
        <v/>
      </c>
      <c r="H1209">
        <f>IF($AG1209="","",Config!$B$11)</f>
        <v/>
      </c>
      <c r="I1209">
        <f>IF($AG1209="","",Config!$B$16)</f>
        <v/>
      </c>
      <c r="J1209">
        <f>IF($AG1209="","",INDEX('TMP Paste'!$A$2:$A$1601,$AG1209))</f>
        <v/>
      </c>
      <c r="K1209">
        <f>IF($AG1209="","",INDEX('TMP Paste'!$L$2:$L$1601,$AG1209))</f>
        <v/>
      </c>
      <c r="L1209">
        <f>IF($AG1209="","",INDEX('TMP Paste'!$I$2:$I$1601,$AG1209))</f>
        <v/>
      </c>
      <c r="M1209">
        <f>IF($AG1209="","",Config!$B$16)</f>
        <v/>
      </c>
      <c r="N1209">
        <f>IF($AG1209="","","")</f>
        <v/>
      </c>
      <c r="O1209">
        <f>IF($AG1209="","",INDEX('TMP Paste'!$K$2:$K$1601,$AG1209))</f>
        <v/>
      </c>
      <c r="P1209">
        <f>IF($AG1209="","","")</f>
        <v/>
      </c>
      <c r="Q1209">
        <f>IF($AG1209="","",INDEX('TMP Paste'!$J$2:$J$1601,$AG1209))</f>
        <v/>
      </c>
      <c r="R1209">
        <f>IF($AG1209="","",Config!$B$24)</f>
        <v/>
      </c>
      <c r="S1209">
        <f>IF($AG1209="","",TEXT(Config!$B$4,"yyyy-mm-dd"))</f>
        <v/>
      </c>
      <c r="T1209">
        <f>IF($AG1209="","",Config!$B$17)</f>
        <v/>
      </c>
      <c r="U1209">
        <f>IF($AG1209="","",Config!$B$18)</f>
        <v/>
      </c>
      <c r="V1209">
        <f>IF($AG1209="","",Config!$B$19)</f>
        <v/>
      </c>
      <c r="W1209">
        <f>IF($AG1209="","",INDEX('TMP Paste'!$C$2:$C$1601,$AG1209))</f>
        <v/>
      </c>
      <c r="X1209">
        <f>IF($AG1209="","",Config!$B$29)</f>
        <v/>
      </c>
      <c r="Y1209">
        <f>IF($AH1209="","",INDEX(Calc!$I$2:$I$1601,$AH1209)&amp;" - "&amp;INDEX(Calc!$D$2:$D$1601,$AH1209)&amp;" koli")</f>
        <v/>
      </c>
      <c r="Z1209">
        <f>IF($AG1209="","",Config!$B$21)</f>
        <v/>
      </c>
      <c r="AA1209">
        <f>IF($AG1209="","",Config!$B$22)</f>
        <v/>
      </c>
      <c r="AB1209">
        <f>IF($AH1209="","",INDEX(Calc!$D$2:$D$1601,$AH1209))</f>
        <v/>
      </c>
      <c r="AC1209">
        <f>IF($AH1209="","",INDEX(Calc!$G$2:$G$1601,$AH1209))</f>
        <v/>
      </c>
      <c r="AD1209">
        <f>IF($AG1209="","",Config!$B$23)</f>
        <v/>
      </c>
      <c r="AE1209">
        <f>IF($AG1209="","",Config!$B$28)</f>
        <v/>
      </c>
      <c r="AG1209">
        <f>IFERROR(MATCH(ROW()-1,Calc!$J$2:$J$1601,0),"")</f>
        <v/>
      </c>
      <c r="AH1209">
        <f>IFERROR(MATCH(ROW()-1,Calc!$K$2:$K$1601,0),"")</f>
        <v/>
      </c>
      <c r="AI1209">
        <f>IF($AG1209="","",SUMIF($AG$2:$AG1209,$AG1209,$AH$2:$AH1209))</f>
        <v/>
      </c>
      <c r="AJ1209">
        <f>IF('TMP Paste'!$F1209="","",IF('TMP Paste'!$B1209="",$AJ1208,'TMP Paste'!$B1209))</f>
        <v/>
      </c>
      <c r="AK1209">
        <f>IF('TMP Paste'!$F1209="","",N('TMP Paste'!$G1209))</f>
        <v/>
      </c>
      <c r="AL1209">
        <f>IF('TMP Paste'!$F1209="","",IF('TMP Paste'!$M1209="",$AL1208,'TMP Paste'!$M1209))</f>
        <v/>
      </c>
      <c r="AM1209">
        <f>IF('TMP Paste'!$F1209="","",IF('TMP Paste'!$N1209="",$AM1208,'TMP Paste'!$N1209))</f>
        <v/>
      </c>
      <c r="AN1209">
        <f>IF('TMP Paste'!$F1209="","",IF('TMP Paste'!$O1209="",$AN1208,'TMP Paste'!$O1209))</f>
        <v/>
      </c>
      <c r="AO1209">
        <f>IF('TMP Paste'!$F1209="","",IF('TMP Paste'!$P1209="",$AO1208,'TMP Paste'!$P1209))</f>
        <v/>
      </c>
      <c r="AP1209">
        <f>IF($AG1209="","",LEN($R1209))</f>
        <v/>
      </c>
      <c r="AQ1209">
        <f>IF($AG1209="","",TRIM(IF(COUNTIFS(Calc!$B$2:$B$1601,ROW()-1,Calc!$C$2:$C$1601,"&lt;1")&gt;0,"Ada PO tanpa Koli - cek TMP. ","")&amp;IF(LEN($R1209)&gt;500,"R &gt; 500 karakter.","")))</f>
        <v/>
      </c>
    </row>
    <row r="1210">
      <c r="A1210">
        <f>IF($AG1210="","",INDEX('TMP Paste'!$B$2:$B$1601,$AG1210))</f>
        <v/>
      </c>
      <c r="B1210">
        <f>IF($AG1210="","",Config!$B$14)</f>
        <v/>
      </c>
      <c r="C1210">
        <f>IF($AG1210="","",Config!$B$15)</f>
        <v/>
      </c>
      <c r="D1210">
        <f>IF($AG1210="","",INDEX('TMP Paste'!$B$2:$B$1601,$AG1210))</f>
        <v/>
      </c>
      <c r="E1210">
        <f>IF($AG1210="","",Config!$B$27)</f>
        <v/>
      </c>
      <c r="F1210">
        <f>IF($AG1210="","",Config!$B$9)</f>
        <v/>
      </c>
      <c r="G1210">
        <f>IF($AG1210="","",Config!$B$10)</f>
        <v/>
      </c>
      <c r="H1210">
        <f>IF($AG1210="","",Config!$B$11)</f>
        <v/>
      </c>
      <c r="I1210">
        <f>IF($AG1210="","",Config!$B$16)</f>
        <v/>
      </c>
      <c r="J1210">
        <f>IF($AG1210="","",INDEX('TMP Paste'!$A$2:$A$1601,$AG1210))</f>
        <v/>
      </c>
      <c r="K1210">
        <f>IF($AG1210="","",INDEX('TMP Paste'!$L$2:$L$1601,$AG1210))</f>
        <v/>
      </c>
      <c r="L1210">
        <f>IF($AG1210="","",INDEX('TMP Paste'!$I$2:$I$1601,$AG1210))</f>
        <v/>
      </c>
      <c r="M1210">
        <f>IF($AG1210="","",Config!$B$16)</f>
        <v/>
      </c>
      <c r="N1210">
        <f>IF($AG1210="","","")</f>
        <v/>
      </c>
      <c r="O1210">
        <f>IF($AG1210="","",INDEX('TMP Paste'!$K$2:$K$1601,$AG1210))</f>
        <v/>
      </c>
      <c r="P1210">
        <f>IF($AG1210="","","")</f>
        <v/>
      </c>
      <c r="Q1210">
        <f>IF($AG1210="","",INDEX('TMP Paste'!$J$2:$J$1601,$AG1210))</f>
        <v/>
      </c>
      <c r="R1210">
        <f>IF($AG1210="","",Config!$B$24)</f>
        <v/>
      </c>
      <c r="S1210">
        <f>IF($AG1210="","",TEXT(Config!$B$4,"yyyy-mm-dd"))</f>
        <v/>
      </c>
      <c r="T1210">
        <f>IF($AG1210="","",Config!$B$17)</f>
        <v/>
      </c>
      <c r="U1210">
        <f>IF($AG1210="","",Config!$B$18)</f>
        <v/>
      </c>
      <c r="V1210">
        <f>IF($AG1210="","",Config!$B$19)</f>
        <v/>
      </c>
      <c r="W1210">
        <f>IF($AG1210="","",INDEX('TMP Paste'!$C$2:$C$1601,$AG1210))</f>
        <v/>
      </c>
      <c r="X1210">
        <f>IF($AG1210="","",Config!$B$29)</f>
        <v/>
      </c>
      <c r="Y1210">
        <f>IF($AH1210="","",INDEX(Calc!$I$2:$I$1601,$AH1210)&amp;" - "&amp;INDEX(Calc!$D$2:$D$1601,$AH1210)&amp;" koli")</f>
        <v/>
      </c>
      <c r="Z1210">
        <f>IF($AG1210="","",Config!$B$21)</f>
        <v/>
      </c>
      <c r="AA1210">
        <f>IF($AG1210="","",Config!$B$22)</f>
        <v/>
      </c>
      <c r="AB1210">
        <f>IF($AH1210="","",INDEX(Calc!$D$2:$D$1601,$AH1210))</f>
        <v/>
      </c>
      <c r="AC1210">
        <f>IF($AH1210="","",INDEX(Calc!$G$2:$G$1601,$AH1210))</f>
        <v/>
      </c>
      <c r="AD1210">
        <f>IF($AG1210="","",Config!$B$23)</f>
        <v/>
      </c>
      <c r="AE1210">
        <f>IF($AG1210="","",Config!$B$28)</f>
        <v/>
      </c>
      <c r="AG1210">
        <f>IFERROR(MATCH(ROW()-1,Calc!$J$2:$J$1601,0),"")</f>
        <v/>
      </c>
      <c r="AH1210">
        <f>IFERROR(MATCH(ROW()-1,Calc!$K$2:$K$1601,0),"")</f>
        <v/>
      </c>
      <c r="AI1210">
        <f>IF($AG1210="","",SUMIF($AG$2:$AG1210,$AG1210,$AH$2:$AH1210))</f>
        <v/>
      </c>
      <c r="AJ1210">
        <f>IF('TMP Paste'!$F1210="","",IF('TMP Paste'!$B1210="",$AJ1209,'TMP Paste'!$B1210))</f>
        <v/>
      </c>
      <c r="AK1210">
        <f>IF('TMP Paste'!$F1210="","",N('TMP Paste'!$G1210))</f>
        <v/>
      </c>
      <c r="AL1210">
        <f>IF('TMP Paste'!$F1210="","",IF('TMP Paste'!$M1210="",$AL1209,'TMP Paste'!$M1210))</f>
        <v/>
      </c>
      <c r="AM1210">
        <f>IF('TMP Paste'!$F1210="","",IF('TMP Paste'!$N1210="",$AM1209,'TMP Paste'!$N1210))</f>
        <v/>
      </c>
      <c r="AN1210">
        <f>IF('TMP Paste'!$F1210="","",IF('TMP Paste'!$O1210="",$AN1209,'TMP Paste'!$O1210))</f>
        <v/>
      </c>
      <c r="AO1210">
        <f>IF('TMP Paste'!$F1210="","",IF('TMP Paste'!$P1210="",$AO1209,'TMP Paste'!$P1210))</f>
        <v/>
      </c>
      <c r="AP1210">
        <f>IF($AG1210="","",LEN($R1210))</f>
        <v/>
      </c>
      <c r="AQ1210">
        <f>IF($AG1210="","",TRIM(IF(COUNTIFS(Calc!$B$2:$B$1601,ROW()-1,Calc!$C$2:$C$1601,"&lt;1")&gt;0,"Ada PO tanpa Koli - cek TMP. ","")&amp;IF(LEN($R1210)&gt;500,"R &gt; 500 karakter.","")))</f>
        <v/>
      </c>
    </row>
    <row r="1211">
      <c r="A1211">
        <f>IF($AG1211="","",INDEX('TMP Paste'!$B$2:$B$1601,$AG1211))</f>
        <v/>
      </c>
      <c r="B1211">
        <f>IF($AG1211="","",Config!$B$14)</f>
        <v/>
      </c>
      <c r="C1211">
        <f>IF($AG1211="","",Config!$B$15)</f>
        <v/>
      </c>
      <c r="D1211">
        <f>IF($AG1211="","",INDEX('TMP Paste'!$B$2:$B$1601,$AG1211))</f>
        <v/>
      </c>
      <c r="E1211">
        <f>IF($AG1211="","",Config!$B$27)</f>
        <v/>
      </c>
      <c r="F1211">
        <f>IF($AG1211="","",Config!$B$9)</f>
        <v/>
      </c>
      <c r="G1211">
        <f>IF($AG1211="","",Config!$B$10)</f>
        <v/>
      </c>
      <c r="H1211">
        <f>IF($AG1211="","",Config!$B$11)</f>
        <v/>
      </c>
      <c r="I1211">
        <f>IF($AG1211="","",Config!$B$16)</f>
        <v/>
      </c>
      <c r="J1211">
        <f>IF($AG1211="","",INDEX('TMP Paste'!$A$2:$A$1601,$AG1211))</f>
        <v/>
      </c>
      <c r="K1211">
        <f>IF($AG1211="","",INDEX('TMP Paste'!$L$2:$L$1601,$AG1211))</f>
        <v/>
      </c>
      <c r="L1211">
        <f>IF($AG1211="","",INDEX('TMP Paste'!$I$2:$I$1601,$AG1211))</f>
        <v/>
      </c>
      <c r="M1211">
        <f>IF($AG1211="","",Config!$B$16)</f>
        <v/>
      </c>
      <c r="N1211">
        <f>IF($AG1211="","","")</f>
        <v/>
      </c>
      <c r="O1211">
        <f>IF($AG1211="","",INDEX('TMP Paste'!$K$2:$K$1601,$AG1211))</f>
        <v/>
      </c>
      <c r="P1211">
        <f>IF($AG1211="","","")</f>
        <v/>
      </c>
      <c r="Q1211">
        <f>IF($AG1211="","",INDEX('TMP Paste'!$J$2:$J$1601,$AG1211))</f>
        <v/>
      </c>
      <c r="R1211">
        <f>IF($AG1211="","",Config!$B$24)</f>
        <v/>
      </c>
      <c r="S1211">
        <f>IF($AG1211="","",TEXT(Config!$B$4,"yyyy-mm-dd"))</f>
        <v/>
      </c>
      <c r="T1211">
        <f>IF($AG1211="","",Config!$B$17)</f>
        <v/>
      </c>
      <c r="U1211">
        <f>IF($AG1211="","",Config!$B$18)</f>
        <v/>
      </c>
      <c r="V1211">
        <f>IF($AG1211="","",Config!$B$19)</f>
        <v/>
      </c>
      <c r="W1211">
        <f>IF($AG1211="","",INDEX('TMP Paste'!$C$2:$C$1601,$AG1211))</f>
        <v/>
      </c>
      <c r="X1211">
        <f>IF($AG1211="","",Config!$B$29)</f>
        <v/>
      </c>
      <c r="Y1211">
        <f>IF($AH1211="","",INDEX(Calc!$I$2:$I$1601,$AH1211)&amp;" - "&amp;INDEX(Calc!$D$2:$D$1601,$AH1211)&amp;" koli")</f>
        <v/>
      </c>
      <c r="Z1211">
        <f>IF($AG1211="","",Config!$B$21)</f>
        <v/>
      </c>
      <c r="AA1211">
        <f>IF($AG1211="","",Config!$B$22)</f>
        <v/>
      </c>
      <c r="AB1211">
        <f>IF($AH1211="","",INDEX(Calc!$D$2:$D$1601,$AH1211))</f>
        <v/>
      </c>
      <c r="AC1211">
        <f>IF($AH1211="","",INDEX(Calc!$G$2:$G$1601,$AH1211))</f>
        <v/>
      </c>
      <c r="AD1211">
        <f>IF($AG1211="","",Config!$B$23)</f>
        <v/>
      </c>
      <c r="AE1211">
        <f>IF($AG1211="","",Config!$B$28)</f>
        <v/>
      </c>
      <c r="AG1211">
        <f>IFERROR(MATCH(ROW()-1,Calc!$J$2:$J$1601,0),"")</f>
        <v/>
      </c>
      <c r="AH1211">
        <f>IFERROR(MATCH(ROW()-1,Calc!$K$2:$K$1601,0),"")</f>
        <v/>
      </c>
      <c r="AI1211">
        <f>IF($AG1211="","",SUMIF($AG$2:$AG1211,$AG1211,$AH$2:$AH1211))</f>
        <v/>
      </c>
      <c r="AJ1211">
        <f>IF('TMP Paste'!$F1211="","",IF('TMP Paste'!$B1211="",$AJ1210,'TMP Paste'!$B1211))</f>
        <v/>
      </c>
      <c r="AK1211">
        <f>IF('TMP Paste'!$F1211="","",N('TMP Paste'!$G1211))</f>
        <v/>
      </c>
      <c r="AL1211">
        <f>IF('TMP Paste'!$F1211="","",IF('TMP Paste'!$M1211="",$AL1210,'TMP Paste'!$M1211))</f>
        <v/>
      </c>
      <c r="AM1211">
        <f>IF('TMP Paste'!$F1211="","",IF('TMP Paste'!$N1211="",$AM1210,'TMP Paste'!$N1211))</f>
        <v/>
      </c>
      <c r="AN1211">
        <f>IF('TMP Paste'!$F1211="","",IF('TMP Paste'!$O1211="",$AN1210,'TMP Paste'!$O1211))</f>
        <v/>
      </c>
      <c r="AO1211">
        <f>IF('TMP Paste'!$F1211="","",IF('TMP Paste'!$P1211="",$AO1210,'TMP Paste'!$P1211))</f>
        <v/>
      </c>
      <c r="AP1211">
        <f>IF($AG1211="","",LEN($R1211))</f>
        <v/>
      </c>
      <c r="AQ1211">
        <f>IF($AG1211="","",TRIM(IF(COUNTIFS(Calc!$B$2:$B$1601,ROW()-1,Calc!$C$2:$C$1601,"&lt;1")&gt;0,"Ada PO tanpa Koli - cek TMP. ","")&amp;IF(LEN($R1211)&gt;500,"R &gt; 500 karakter.","")))</f>
        <v/>
      </c>
    </row>
    <row r="1212">
      <c r="A1212">
        <f>IF($AG1212="","",INDEX('TMP Paste'!$B$2:$B$1601,$AG1212))</f>
        <v/>
      </c>
      <c r="B1212">
        <f>IF($AG1212="","",Config!$B$14)</f>
        <v/>
      </c>
      <c r="C1212">
        <f>IF($AG1212="","",Config!$B$15)</f>
        <v/>
      </c>
      <c r="D1212">
        <f>IF($AG1212="","",INDEX('TMP Paste'!$B$2:$B$1601,$AG1212))</f>
        <v/>
      </c>
      <c r="E1212">
        <f>IF($AG1212="","",Config!$B$27)</f>
        <v/>
      </c>
      <c r="F1212">
        <f>IF($AG1212="","",Config!$B$9)</f>
        <v/>
      </c>
      <c r="G1212">
        <f>IF($AG1212="","",Config!$B$10)</f>
        <v/>
      </c>
      <c r="H1212">
        <f>IF($AG1212="","",Config!$B$11)</f>
        <v/>
      </c>
      <c r="I1212">
        <f>IF($AG1212="","",Config!$B$16)</f>
        <v/>
      </c>
      <c r="J1212">
        <f>IF($AG1212="","",INDEX('TMP Paste'!$A$2:$A$1601,$AG1212))</f>
        <v/>
      </c>
      <c r="K1212">
        <f>IF($AG1212="","",INDEX('TMP Paste'!$L$2:$L$1601,$AG1212))</f>
        <v/>
      </c>
      <c r="L1212">
        <f>IF($AG1212="","",INDEX('TMP Paste'!$I$2:$I$1601,$AG1212))</f>
        <v/>
      </c>
      <c r="M1212">
        <f>IF($AG1212="","",Config!$B$16)</f>
        <v/>
      </c>
      <c r="N1212">
        <f>IF($AG1212="","","")</f>
        <v/>
      </c>
      <c r="O1212">
        <f>IF($AG1212="","",INDEX('TMP Paste'!$K$2:$K$1601,$AG1212))</f>
        <v/>
      </c>
      <c r="P1212">
        <f>IF($AG1212="","","")</f>
        <v/>
      </c>
      <c r="Q1212">
        <f>IF($AG1212="","",INDEX('TMP Paste'!$J$2:$J$1601,$AG1212))</f>
        <v/>
      </c>
      <c r="R1212">
        <f>IF($AG1212="","",Config!$B$24)</f>
        <v/>
      </c>
      <c r="S1212">
        <f>IF($AG1212="","",TEXT(Config!$B$4,"yyyy-mm-dd"))</f>
        <v/>
      </c>
      <c r="T1212">
        <f>IF($AG1212="","",Config!$B$17)</f>
        <v/>
      </c>
      <c r="U1212">
        <f>IF($AG1212="","",Config!$B$18)</f>
        <v/>
      </c>
      <c r="V1212">
        <f>IF($AG1212="","",Config!$B$19)</f>
        <v/>
      </c>
      <c r="W1212">
        <f>IF($AG1212="","",INDEX('TMP Paste'!$C$2:$C$1601,$AG1212))</f>
        <v/>
      </c>
      <c r="X1212">
        <f>IF($AG1212="","",Config!$B$29)</f>
        <v/>
      </c>
      <c r="Y1212">
        <f>IF($AH1212="","",INDEX(Calc!$I$2:$I$1601,$AH1212)&amp;" - "&amp;INDEX(Calc!$D$2:$D$1601,$AH1212)&amp;" koli")</f>
        <v/>
      </c>
      <c r="Z1212">
        <f>IF($AG1212="","",Config!$B$21)</f>
        <v/>
      </c>
      <c r="AA1212">
        <f>IF($AG1212="","",Config!$B$22)</f>
        <v/>
      </c>
      <c r="AB1212">
        <f>IF($AH1212="","",INDEX(Calc!$D$2:$D$1601,$AH1212))</f>
        <v/>
      </c>
      <c r="AC1212">
        <f>IF($AH1212="","",INDEX(Calc!$G$2:$G$1601,$AH1212))</f>
        <v/>
      </c>
      <c r="AD1212">
        <f>IF($AG1212="","",Config!$B$23)</f>
        <v/>
      </c>
      <c r="AE1212">
        <f>IF($AG1212="","",Config!$B$28)</f>
        <v/>
      </c>
      <c r="AG1212">
        <f>IFERROR(MATCH(ROW()-1,Calc!$J$2:$J$1601,0),"")</f>
        <v/>
      </c>
      <c r="AH1212">
        <f>IFERROR(MATCH(ROW()-1,Calc!$K$2:$K$1601,0),"")</f>
        <v/>
      </c>
      <c r="AI1212">
        <f>IF($AG1212="","",SUMIF($AG$2:$AG1212,$AG1212,$AH$2:$AH1212))</f>
        <v/>
      </c>
      <c r="AJ1212">
        <f>IF('TMP Paste'!$F1212="","",IF('TMP Paste'!$B1212="",$AJ1211,'TMP Paste'!$B1212))</f>
        <v/>
      </c>
      <c r="AK1212">
        <f>IF('TMP Paste'!$F1212="","",N('TMP Paste'!$G1212))</f>
        <v/>
      </c>
      <c r="AL1212">
        <f>IF('TMP Paste'!$F1212="","",IF('TMP Paste'!$M1212="",$AL1211,'TMP Paste'!$M1212))</f>
        <v/>
      </c>
      <c r="AM1212">
        <f>IF('TMP Paste'!$F1212="","",IF('TMP Paste'!$N1212="",$AM1211,'TMP Paste'!$N1212))</f>
        <v/>
      </c>
      <c r="AN1212">
        <f>IF('TMP Paste'!$F1212="","",IF('TMP Paste'!$O1212="",$AN1211,'TMP Paste'!$O1212))</f>
        <v/>
      </c>
      <c r="AO1212">
        <f>IF('TMP Paste'!$F1212="","",IF('TMP Paste'!$P1212="",$AO1211,'TMP Paste'!$P1212))</f>
        <v/>
      </c>
      <c r="AP1212">
        <f>IF($AG1212="","",LEN($R1212))</f>
        <v/>
      </c>
      <c r="AQ1212">
        <f>IF($AG1212="","",TRIM(IF(COUNTIFS(Calc!$B$2:$B$1601,ROW()-1,Calc!$C$2:$C$1601,"&lt;1")&gt;0,"Ada PO tanpa Koli - cek TMP. ","")&amp;IF(LEN($R1212)&gt;500,"R &gt; 500 karakter.","")))</f>
        <v/>
      </c>
    </row>
    <row r="1213">
      <c r="A1213">
        <f>IF($AG1213="","",INDEX('TMP Paste'!$B$2:$B$1601,$AG1213))</f>
        <v/>
      </c>
      <c r="B1213">
        <f>IF($AG1213="","",Config!$B$14)</f>
        <v/>
      </c>
      <c r="C1213">
        <f>IF($AG1213="","",Config!$B$15)</f>
        <v/>
      </c>
      <c r="D1213">
        <f>IF($AG1213="","",INDEX('TMP Paste'!$B$2:$B$1601,$AG1213))</f>
        <v/>
      </c>
      <c r="E1213">
        <f>IF($AG1213="","",Config!$B$27)</f>
        <v/>
      </c>
      <c r="F1213">
        <f>IF($AG1213="","",Config!$B$9)</f>
        <v/>
      </c>
      <c r="G1213">
        <f>IF($AG1213="","",Config!$B$10)</f>
        <v/>
      </c>
      <c r="H1213">
        <f>IF($AG1213="","",Config!$B$11)</f>
        <v/>
      </c>
      <c r="I1213">
        <f>IF($AG1213="","",Config!$B$16)</f>
        <v/>
      </c>
      <c r="J1213">
        <f>IF($AG1213="","",INDEX('TMP Paste'!$A$2:$A$1601,$AG1213))</f>
        <v/>
      </c>
      <c r="K1213">
        <f>IF($AG1213="","",INDEX('TMP Paste'!$L$2:$L$1601,$AG1213))</f>
        <v/>
      </c>
      <c r="L1213">
        <f>IF($AG1213="","",INDEX('TMP Paste'!$I$2:$I$1601,$AG1213))</f>
        <v/>
      </c>
      <c r="M1213">
        <f>IF($AG1213="","",Config!$B$16)</f>
        <v/>
      </c>
      <c r="N1213">
        <f>IF($AG1213="","","")</f>
        <v/>
      </c>
      <c r="O1213">
        <f>IF($AG1213="","",INDEX('TMP Paste'!$K$2:$K$1601,$AG1213))</f>
        <v/>
      </c>
      <c r="P1213">
        <f>IF($AG1213="","","")</f>
        <v/>
      </c>
      <c r="Q1213">
        <f>IF($AG1213="","",INDEX('TMP Paste'!$J$2:$J$1601,$AG1213))</f>
        <v/>
      </c>
      <c r="R1213">
        <f>IF($AG1213="","",Config!$B$24)</f>
        <v/>
      </c>
      <c r="S1213">
        <f>IF($AG1213="","",TEXT(Config!$B$4,"yyyy-mm-dd"))</f>
        <v/>
      </c>
      <c r="T1213">
        <f>IF($AG1213="","",Config!$B$17)</f>
        <v/>
      </c>
      <c r="U1213">
        <f>IF($AG1213="","",Config!$B$18)</f>
        <v/>
      </c>
      <c r="V1213">
        <f>IF($AG1213="","",Config!$B$19)</f>
        <v/>
      </c>
      <c r="W1213">
        <f>IF($AG1213="","",INDEX('TMP Paste'!$C$2:$C$1601,$AG1213))</f>
        <v/>
      </c>
      <c r="X1213">
        <f>IF($AG1213="","",Config!$B$29)</f>
        <v/>
      </c>
      <c r="Y1213">
        <f>IF($AH1213="","",INDEX(Calc!$I$2:$I$1601,$AH1213)&amp;" - "&amp;INDEX(Calc!$D$2:$D$1601,$AH1213)&amp;" koli")</f>
        <v/>
      </c>
      <c r="Z1213">
        <f>IF($AG1213="","",Config!$B$21)</f>
        <v/>
      </c>
      <c r="AA1213">
        <f>IF($AG1213="","",Config!$B$22)</f>
        <v/>
      </c>
      <c r="AB1213">
        <f>IF($AH1213="","",INDEX(Calc!$D$2:$D$1601,$AH1213))</f>
        <v/>
      </c>
      <c r="AC1213">
        <f>IF($AH1213="","",INDEX(Calc!$G$2:$G$1601,$AH1213))</f>
        <v/>
      </c>
      <c r="AD1213">
        <f>IF($AG1213="","",Config!$B$23)</f>
        <v/>
      </c>
      <c r="AE1213">
        <f>IF($AG1213="","",Config!$B$28)</f>
        <v/>
      </c>
      <c r="AG1213">
        <f>IFERROR(MATCH(ROW()-1,Calc!$J$2:$J$1601,0),"")</f>
        <v/>
      </c>
      <c r="AH1213">
        <f>IFERROR(MATCH(ROW()-1,Calc!$K$2:$K$1601,0),"")</f>
        <v/>
      </c>
      <c r="AI1213">
        <f>IF($AG1213="","",SUMIF($AG$2:$AG1213,$AG1213,$AH$2:$AH1213))</f>
        <v/>
      </c>
      <c r="AJ1213">
        <f>IF('TMP Paste'!$F1213="","",IF('TMP Paste'!$B1213="",$AJ1212,'TMP Paste'!$B1213))</f>
        <v/>
      </c>
      <c r="AK1213">
        <f>IF('TMP Paste'!$F1213="","",N('TMP Paste'!$G1213))</f>
        <v/>
      </c>
      <c r="AL1213">
        <f>IF('TMP Paste'!$F1213="","",IF('TMP Paste'!$M1213="",$AL1212,'TMP Paste'!$M1213))</f>
        <v/>
      </c>
      <c r="AM1213">
        <f>IF('TMP Paste'!$F1213="","",IF('TMP Paste'!$N1213="",$AM1212,'TMP Paste'!$N1213))</f>
        <v/>
      </c>
      <c r="AN1213">
        <f>IF('TMP Paste'!$F1213="","",IF('TMP Paste'!$O1213="",$AN1212,'TMP Paste'!$O1213))</f>
        <v/>
      </c>
      <c r="AO1213">
        <f>IF('TMP Paste'!$F1213="","",IF('TMP Paste'!$P1213="",$AO1212,'TMP Paste'!$P1213))</f>
        <v/>
      </c>
      <c r="AP1213">
        <f>IF($AG1213="","",LEN($R1213))</f>
        <v/>
      </c>
      <c r="AQ1213">
        <f>IF($AG1213="","",TRIM(IF(COUNTIFS(Calc!$B$2:$B$1601,ROW()-1,Calc!$C$2:$C$1601,"&lt;1")&gt;0,"Ada PO tanpa Koli - cek TMP. ","")&amp;IF(LEN($R1213)&gt;500,"R &gt; 500 karakter.","")))</f>
        <v/>
      </c>
    </row>
    <row r="1214">
      <c r="A1214">
        <f>IF($AG1214="","",INDEX('TMP Paste'!$B$2:$B$1601,$AG1214))</f>
        <v/>
      </c>
      <c r="B1214">
        <f>IF($AG1214="","",Config!$B$14)</f>
        <v/>
      </c>
      <c r="C1214">
        <f>IF($AG1214="","",Config!$B$15)</f>
        <v/>
      </c>
      <c r="D1214">
        <f>IF($AG1214="","",INDEX('TMP Paste'!$B$2:$B$1601,$AG1214))</f>
        <v/>
      </c>
      <c r="E1214">
        <f>IF($AG1214="","",Config!$B$27)</f>
        <v/>
      </c>
      <c r="F1214">
        <f>IF($AG1214="","",Config!$B$9)</f>
        <v/>
      </c>
      <c r="G1214">
        <f>IF($AG1214="","",Config!$B$10)</f>
        <v/>
      </c>
      <c r="H1214">
        <f>IF($AG1214="","",Config!$B$11)</f>
        <v/>
      </c>
      <c r="I1214">
        <f>IF($AG1214="","",Config!$B$16)</f>
        <v/>
      </c>
      <c r="J1214">
        <f>IF($AG1214="","",INDEX('TMP Paste'!$A$2:$A$1601,$AG1214))</f>
        <v/>
      </c>
      <c r="K1214">
        <f>IF($AG1214="","",INDEX('TMP Paste'!$L$2:$L$1601,$AG1214))</f>
        <v/>
      </c>
      <c r="L1214">
        <f>IF($AG1214="","",INDEX('TMP Paste'!$I$2:$I$1601,$AG1214))</f>
        <v/>
      </c>
      <c r="M1214">
        <f>IF($AG1214="","",Config!$B$16)</f>
        <v/>
      </c>
      <c r="N1214">
        <f>IF($AG1214="","","")</f>
        <v/>
      </c>
      <c r="O1214">
        <f>IF($AG1214="","",INDEX('TMP Paste'!$K$2:$K$1601,$AG1214))</f>
        <v/>
      </c>
      <c r="P1214">
        <f>IF($AG1214="","","")</f>
        <v/>
      </c>
      <c r="Q1214">
        <f>IF($AG1214="","",INDEX('TMP Paste'!$J$2:$J$1601,$AG1214))</f>
        <v/>
      </c>
      <c r="R1214">
        <f>IF($AG1214="","",Config!$B$24)</f>
        <v/>
      </c>
      <c r="S1214">
        <f>IF($AG1214="","",TEXT(Config!$B$4,"yyyy-mm-dd"))</f>
        <v/>
      </c>
      <c r="T1214">
        <f>IF($AG1214="","",Config!$B$17)</f>
        <v/>
      </c>
      <c r="U1214">
        <f>IF($AG1214="","",Config!$B$18)</f>
        <v/>
      </c>
      <c r="V1214">
        <f>IF($AG1214="","",Config!$B$19)</f>
        <v/>
      </c>
      <c r="W1214">
        <f>IF($AG1214="","",INDEX('TMP Paste'!$C$2:$C$1601,$AG1214))</f>
        <v/>
      </c>
      <c r="X1214">
        <f>IF($AG1214="","",Config!$B$29)</f>
        <v/>
      </c>
      <c r="Y1214">
        <f>IF($AH1214="","",INDEX(Calc!$I$2:$I$1601,$AH1214)&amp;" - "&amp;INDEX(Calc!$D$2:$D$1601,$AH1214)&amp;" koli")</f>
        <v/>
      </c>
      <c r="Z1214">
        <f>IF($AG1214="","",Config!$B$21)</f>
        <v/>
      </c>
      <c r="AA1214">
        <f>IF($AG1214="","",Config!$B$22)</f>
        <v/>
      </c>
      <c r="AB1214">
        <f>IF($AH1214="","",INDEX(Calc!$D$2:$D$1601,$AH1214))</f>
        <v/>
      </c>
      <c r="AC1214">
        <f>IF($AH1214="","",INDEX(Calc!$G$2:$G$1601,$AH1214))</f>
        <v/>
      </c>
      <c r="AD1214">
        <f>IF($AG1214="","",Config!$B$23)</f>
        <v/>
      </c>
      <c r="AE1214">
        <f>IF($AG1214="","",Config!$B$28)</f>
        <v/>
      </c>
      <c r="AG1214">
        <f>IFERROR(MATCH(ROW()-1,Calc!$J$2:$J$1601,0),"")</f>
        <v/>
      </c>
      <c r="AH1214">
        <f>IFERROR(MATCH(ROW()-1,Calc!$K$2:$K$1601,0),"")</f>
        <v/>
      </c>
      <c r="AI1214">
        <f>IF($AG1214="","",SUMIF($AG$2:$AG1214,$AG1214,$AH$2:$AH1214))</f>
        <v/>
      </c>
      <c r="AJ1214">
        <f>IF('TMP Paste'!$F1214="","",IF('TMP Paste'!$B1214="",$AJ1213,'TMP Paste'!$B1214))</f>
        <v/>
      </c>
      <c r="AK1214">
        <f>IF('TMP Paste'!$F1214="","",N('TMP Paste'!$G1214))</f>
        <v/>
      </c>
      <c r="AL1214">
        <f>IF('TMP Paste'!$F1214="","",IF('TMP Paste'!$M1214="",$AL1213,'TMP Paste'!$M1214))</f>
        <v/>
      </c>
      <c r="AM1214">
        <f>IF('TMP Paste'!$F1214="","",IF('TMP Paste'!$N1214="",$AM1213,'TMP Paste'!$N1214))</f>
        <v/>
      </c>
      <c r="AN1214">
        <f>IF('TMP Paste'!$F1214="","",IF('TMP Paste'!$O1214="",$AN1213,'TMP Paste'!$O1214))</f>
        <v/>
      </c>
      <c r="AO1214">
        <f>IF('TMP Paste'!$F1214="","",IF('TMP Paste'!$P1214="",$AO1213,'TMP Paste'!$P1214))</f>
        <v/>
      </c>
      <c r="AP1214">
        <f>IF($AG1214="","",LEN($R1214))</f>
        <v/>
      </c>
      <c r="AQ1214">
        <f>IF($AG1214="","",TRIM(IF(COUNTIFS(Calc!$B$2:$B$1601,ROW()-1,Calc!$C$2:$C$1601,"&lt;1")&gt;0,"Ada PO tanpa Koli - cek TMP. ","")&amp;IF(LEN($R1214)&gt;500,"R &gt; 500 karakter.","")))</f>
        <v/>
      </c>
    </row>
    <row r="1215">
      <c r="A1215">
        <f>IF($AG1215="","",INDEX('TMP Paste'!$B$2:$B$1601,$AG1215))</f>
        <v/>
      </c>
      <c r="B1215">
        <f>IF($AG1215="","",Config!$B$14)</f>
        <v/>
      </c>
      <c r="C1215">
        <f>IF($AG1215="","",Config!$B$15)</f>
        <v/>
      </c>
      <c r="D1215">
        <f>IF($AG1215="","",INDEX('TMP Paste'!$B$2:$B$1601,$AG1215))</f>
        <v/>
      </c>
      <c r="E1215">
        <f>IF($AG1215="","",Config!$B$27)</f>
        <v/>
      </c>
      <c r="F1215">
        <f>IF($AG1215="","",Config!$B$9)</f>
        <v/>
      </c>
      <c r="G1215">
        <f>IF($AG1215="","",Config!$B$10)</f>
        <v/>
      </c>
      <c r="H1215">
        <f>IF($AG1215="","",Config!$B$11)</f>
        <v/>
      </c>
      <c r="I1215">
        <f>IF($AG1215="","",Config!$B$16)</f>
        <v/>
      </c>
      <c r="J1215">
        <f>IF($AG1215="","",INDEX('TMP Paste'!$A$2:$A$1601,$AG1215))</f>
        <v/>
      </c>
      <c r="K1215">
        <f>IF($AG1215="","",INDEX('TMP Paste'!$L$2:$L$1601,$AG1215))</f>
        <v/>
      </c>
      <c r="L1215">
        <f>IF($AG1215="","",INDEX('TMP Paste'!$I$2:$I$1601,$AG1215))</f>
        <v/>
      </c>
      <c r="M1215">
        <f>IF($AG1215="","",Config!$B$16)</f>
        <v/>
      </c>
      <c r="N1215">
        <f>IF($AG1215="","","")</f>
        <v/>
      </c>
      <c r="O1215">
        <f>IF($AG1215="","",INDEX('TMP Paste'!$K$2:$K$1601,$AG1215))</f>
        <v/>
      </c>
      <c r="P1215">
        <f>IF($AG1215="","","")</f>
        <v/>
      </c>
      <c r="Q1215">
        <f>IF($AG1215="","",INDEX('TMP Paste'!$J$2:$J$1601,$AG1215))</f>
        <v/>
      </c>
      <c r="R1215">
        <f>IF($AG1215="","",Config!$B$24)</f>
        <v/>
      </c>
      <c r="S1215">
        <f>IF($AG1215="","",TEXT(Config!$B$4,"yyyy-mm-dd"))</f>
        <v/>
      </c>
      <c r="T1215">
        <f>IF($AG1215="","",Config!$B$17)</f>
        <v/>
      </c>
      <c r="U1215">
        <f>IF($AG1215="","",Config!$B$18)</f>
        <v/>
      </c>
      <c r="V1215">
        <f>IF($AG1215="","",Config!$B$19)</f>
        <v/>
      </c>
      <c r="W1215">
        <f>IF($AG1215="","",INDEX('TMP Paste'!$C$2:$C$1601,$AG1215))</f>
        <v/>
      </c>
      <c r="X1215">
        <f>IF($AG1215="","",Config!$B$29)</f>
        <v/>
      </c>
      <c r="Y1215">
        <f>IF($AH1215="","",INDEX(Calc!$I$2:$I$1601,$AH1215)&amp;" - "&amp;INDEX(Calc!$D$2:$D$1601,$AH1215)&amp;" koli")</f>
        <v/>
      </c>
      <c r="Z1215">
        <f>IF($AG1215="","",Config!$B$21)</f>
        <v/>
      </c>
      <c r="AA1215">
        <f>IF($AG1215="","",Config!$B$22)</f>
        <v/>
      </c>
      <c r="AB1215">
        <f>IF($AH1215="","",INDEX(Calc!$D$2:$D$1601,$AH1215))</f>
        <v/>
      </c>
      <c r="AC1215">
        <f>IF($AH1215="","",INDEX(Calc!$G$2:$G$1601,$AH1215))</f>
        <v/>
      </c>
      <c r="AD1215">
        <f>IF($AG1215="","",Config!$B$23)</f>
        <v/>
      </c>
      <c r="AE1215">
        <f>IF($AG1215="","",Config!$B$28)</f>
        <v/>
      </c>
      <c r="AG1215">
        <f>IFERROR(MATCH(ROW()-1,Calc!$J$2:$J$1601,0),"")</f>
        <v/>
      </c>
      <c r="AH1215">
        <f>IFERROR(MATCH(ROW()-1,Calc!$K$2:$K$1601,0),"")</f>
        <v/>
      </c>
      <c r="AI1215">
        <f>IF($AG1215="","",SUMIF($AG$2:$AG1215,$AG1215,$AH$2:$AH1215))</f>
        <v/>
      </c>
      <c r="AJ1215">
        <f>IF('TMP Paste'!$F1215="","",IF('TMP Paste'!$B1215="",$AJ1214,'TMP Paste'!$B1215))</f>
        <v/>
      </c>
      <c r="AK1215">
        <f>IF('TMP Paste'!$F1215="","",N('TMP Paste'!$G1215))</f>
        <v/>
      </c>
      <c r="AL1215">
        <f>IF('TMP Paste'!$F1215="","",IF('TMP Paste'!$M1215="",$AL1214,'TMP Paste'!$M1215))</f>
        <v/>
      </c>
      <c r="AM1215">
        <f>IF('TMP Paste'!$F1215="","",IF('TMP Paste'!$N1215="",$AM1214,'TMP Paste'!$N1215))</f>
        <v/>
      </c>
      <c r="AN1215">
        <f>IF('TMP Paste'!$F1215="","",IF('TMP Paste'!$O1215="",$AN1214,'TMP Paste'!$O1215))</f>
        <v/>
      </c>
      <c r="AO1215">
        <f>IF('TMP Paste'!$F1215="","",IF('TMP Paste'!$P1215="",$AO1214,'TMP Paste'!$P1215))</f>
        <v/>
      </c>
      <c r="AP1215">
        <f>IF($AG1215="","",LEN($R1215))</f>
        <v/>
      </c>
      <c r="AQ1215">
        <f>IF($AG1215="","",TRIM(IF(COUNTIFS(Calc!$B$2:$B$1601,ROW()-1,Calc!$C$2:$C$1601,"&lt;1")&gt;0,"Ada PO tanpa Koli - cek TMP. ","")&amp;IF(LEN($R1215)&gt;500,"R &gt; 500 karakter.","")))</f>
        <v/>
      </c>
    </row>
    <row r="1216">
      <c r="A1216">
        <f>IF($AG1216="","",INDEX('TMP Paste'!$B$2:$B$1601,$AG1216))</f>
        <v/>
      </c>
      <c r="B1216">
        <f>IF($AG1216="","",Config!$B$14)</f>
        <v/>
      </c>
      <c r="C1216">
        <f>IF($AG1216="","",Config!$B$15)</f>
        <v/>
      </c>
      <c r="D1216">
        <f>IF($AG1216="","",INDEX('TMP Paste'!$B$2:$B$1601,$AG1216))</f>
        <v/>
      </c>
      <c r="E1216">
        <f>IF($AG1216="","",Config!$B$27)</f>
        <v/>
      </c>
      <c r="F1216">
        <f>IF($AG1216="","",Config!$B$9)</f>
        <v/>
      </c>
      <c r="G1216">
        <f>IF($AG1216="","",Config!$B$10)</f>
        <v/>
      </c>
      <c r="H1216">
        <f>IF($AG1216="","",Config!$B$11)</f>
        <v/>
      </c>
      <c r="I1216">
        <f>IF($AG1216="","",Config!$B$16)</f>
        <v/>
      </c>
      <c r="J1216">
        <f>IF($AG1216="","",INDEX('TMP Paste'!$A$2:$A$1601,$AG1216))</f>
        <v/>
      </c>
      <c r="K1216">
        <f>IF($AG1216="","",INDEX('TMP Paste'!$L$2:$L$1601,$AG1216))</f>
        <v/>
      </c>
      <c r="L1216">
        <f>IF($AG1216="","",INDEX('TMP Paste'!$I$2:$I$1601,$AG1216))</f>
        <v/>
      </c>
      <c r="M1216">
        <f>IF($AG1216="","",Config!$B$16)</f>
        <v/>
      </c>
      <c r="N1216">
        <f>IF($AG1216="","","")</f>
        <v/>
      </c>
      <c r="O1216">
        <f>IF($AG1216="","",INDEX('TMP Paste'!$K$2:$K$1601,$AG1216))</f>
        <v/>
      </c>
      <c r="P1216">
        <f>IF($AG1216="","","")</f>
        <v/>
      </c>
      <c r="Q1216">
        <f>IF($AG1216="","",INDEX('TMP Paste'!$J$2:$J$1601,$AG1216))</f>
        <v/>
      </c>
      <c r="R1216">
        <f>IF($AG1216="","",Config!$B$24)</f>
        <v/>
      </c>
      <c r="S1216">
        <f>IF($AG1216="","",TEXT(Config!$B$4,"yyyy-mm-dd"))</f>
        <v/>
      </c>
      <c r="T1216">
        <f>IF($AG1216="","",Config!$B$17)</f>
        <v/>
      </c>
      <c r="U1216">
        <f>IF($AG1216="","",Config!$B$18)</f>
        <v/>
      </c>
      <c r="V1216">
        <f>IF($AG1216="","",Config!$B$19)</f>
        <v/>
      </c>
      <c r="W1216">
        <f>IF($AG1216="","",INDEX('TMP Paste'!$C$2:$C$1601,$AG1216))</f>
        <v/>
      </c>
      <c r="X1216">
        <f>IF($AG1216="","",Config!$B$29)</f>
        <v/>
      </c>
      <c r="Y1216">
        <f>IF($AH1216="","",INDEX(Calc!$I$2:$I$1601,$AH1216)&amp;" - "&amp;INDEX(Calc!$D$2:$D$1601,$AH1216)&amp;" koli")</f>
        <v/>
      </c>
      <c r="Z1216">
        <f>IF($AG1216="","",Config!$B$21)</f>
        <v/>
      </c>
      <c r="AA1216">
        <f>IF($AG1216="","",Config!$B$22)</f>
        <v/>
      </c>
      <c r="AB1216">
        <f>IF($AH1216="","",INDEX(Calc!$D$2:$D$1601,$AH1216))</f>
        <v/>
      </c>
      <c r="AC1216">
        <f>IF($AH1216="","",INDEX(Calc!$G$2:$G$1601,$AH1216))</f>
        <v/>
      </c>
      <c r="AD1216">
        <f>IF($AG1216="","",Config!$B$23)</f>
        <v/>
      </c>
      <c r="AE1216">
        <f>IF($AG1216="","",Config!$B$28)</f>
        <v/>
      </c>
      <c r="AG1216">
        <f>IFERROR(MATCH(ROW()-1,Calc!$J$2:$J$1601,0),"")</f>
        <v/>
      </c>
      <c r="AH1216">
        <f>IFERROR(MATCH(ROW()-1,Calc!$K$2:$K$1601,0),"")</f>
        <v/>
      </c>
      <c r="AI1216">
        <f>IF($AG1216="","",SUMIF($AG$2:$AG1216,$AG1216,$AH$2:$AH1216))</f>
        <v/>
      </c>
      <c r="AJ1216">
        <f>IF('TMP Paste'!$F1216="","",IF('TMP Paste'!$B1216="",$AJ1215,'TMP Paste'!$B1216))</f>
        <v/>
      </c>
      <c r="AK1216">
        <f>IF('TMP Paste'!$F1216="","",N('TMP Paste'!$G1216))</f>
        <v/>
      </c>
      <c r="AL1216">
        <f>IF('TMP Paste'!$F1216="","",IF('TMP Paste'!$M1216="",$AL1215,'TMP Paste'!$M1216))</f>
        <v/>
      </c>
      <c r="AM1216">
        <f>IF('TMP Paste'!$F1216="","",IF('TMP Paste'!$N1216="",$AM1215,'TMP Paste'!$N1216))</f>
        <v/>
      </c>
      <c r="AN1216">
        <f>IF('TMP Paste'!$F1216="","",IF('TMP Paste'!$O1216="",$AN1215,'TMP Paste'!$O1216))</f>
        <v/>
      </c>
      <c r="AO1216">
        <f>IF('TMP Paste'!$F1216="","",IF('TMP Paste'!$P1216="",$AO1215,'TMP Paste'!$P1216))</f>
        <v/>
      </c>
      <c r="AP1216">
        <f>IF($AG1216="","",LEN($R1216))</f>
        <v/>
      </c>
      <c r="AQ1216">
        <f>IF($AG1216="","",TRIM(IF(COUNTIFS(Calc!$B$2:$B$1601,ROW()-1,Calc!$C$2:$C$1601,"&lt;1")&gt;0,"Ada PO tanpa Koli - cek TMP. ","")&amp;IF(LEN($R1216)&gt;500,"R &gt; 500 karakter.","")))</f>
        <v/>
      </c>
    </row>
    <row r="1217">
      <c r="A1217">
        <f>IF($AG1217="","",INDEX('TMP Paste'!$B$2:$B$1601,$AG1217))</f>
        <v/>
      </c>
      <c r="B1217">
        <f>IF($AG1217="","",Config!$B$14)</f>
        <v/>
      </c>
      <c r="C1217">
        <f>IF($AG1217="","",Config!$B$15)</f>
        <v/>
      </c>
      <c r="D1217">
        <f>IF($AG1217="","",INDEX('TMP Paste'!$B$2:$B$1601,$AG1217))</f>
        <v/>
      </c>
      <c r="E1217">
        <f>IF($AG1217="","",Config!$B$27)</f>
        <v/>
      </c>
      <c r="F1217">
        <f>IF($AG1217="","",Config!$B$9)</f>
        <v/>
      </c>
      <c r="G1217">
        <f>IF($AG1217="","",Config!$B$10)</f>
        <v/>
      </c>
      <c r="H1217">
        <f>IF($AG1217="","",Config!$B$11)</f>
        <v/>
      </c>
      <c r="I1217">
        <f>IF($AG1217="","",Config!$B$16)</f>
        <v/>
      </c>
      <c r="J1217">
        <f>IF($AG1217="","",INDEX('TMP Paste'!$A$2:$A$1601,$AG1217))</f>
        <v/>
      </c>
      <c r="K1217">
        <f>IF($AG1217="","",INDEX('TMP Paste'!$L$2:$L$1601,$AG1217))</f>
        <v/>
      </c>
      <c r="L1217">
        <f>IF($AG1217="","",INDEX('TMP Paste'!$I$2:$I$1601,$AG1217))</f>
        <v/>
      </c>
      <c r="M1217">
        <f>IF($AG1217="","",Config!$B$16)</f>
        <v/>
      </c>
      <c r="N1217">
        <f>IF($AG1217="","","")</f>
        <v/>
      </c>
      <c r="O1217">
        <f>IF($AG1217="","",INDEX('TMP Paste'!$K$2:$K$1601,$AG1217))</f>
        <v/>
      </c>
      <c r="P1217">
        <f>IF($AG1217="","","")</f>
        <v/>
      </c>
      <c r="Q1217">
        <f>IF($AG1217="","",INDEX('TMP Paste'!$J$2:$J$1601,$AG1217))</f>
        <v/>
      </c>
      <c r="R1217">
        <f>IF($AG1217="","",Config!$B$24)</f>
        <v/>
      </c>
      <c r="S1217">
        <f>IF($AG1217="","",TEXT(Config!$B$4,"yyyy-mm-dd"))</f>
        <v/>
      </c>
      <c r="T1217">
        <f>IF($AG1217="","",Config!$B$17)</f>
        <v/>
      </c>
      <c r="U1217">
        <f>IF($AG1217="","",Config!$B$18)</f>
        <v/>
      </c>
      <c r="V1217">
        <f>IF($AG1217="","",Config!$B$19)</f>
        <v/>
      </c>
      <c r="W1217">
        <f>IF($AG1217="","",INDEX('TMP Paste'!$C$2:$C$1601,$AG1217))</f>
        <v/>
      </c>
      <c r="X1217">
        <f>IF($AG1217="","",Config!$B$29)</f>
        <v/>
      </c>
      <c r="Y1217">
        <f>IF($AH1217="","",INDEX(Calc!$I$2:$I$1601,$AH1217)&amp;" - "&amp;INDEX(Calc!$D$2:$D$1601,$AH1217)&amp;" koli")</f>
        <v/>
      </c>
      <c r="Z1217">
        <f>IF($AG1217="","",Config!$B$21)</f>
        <v/>
      </c>
      <c r="AA1217">
        <f>IF($AG1217="","",Config!$B$22)</f>
        <v/>
      </c>
      <c r="AB1217">
        <f>IF($AH1217="","",INDEX(Calc!$D$2:$D$1601,$AH1217))</f>
        <v/>
      </c>
      <c r="AC1217">
        <f>IF($AH1217="","",INDEX(Calc!$G$2:$G$1601,$AH1217))</f>
        <v/>
      </c>
      <c r="AD1217">
        <f>IF($AG1217="","",Config!$B$23)</f>
        <v/>
      </c>
      <c r="AE1217">
        <f>IF($AG1217="","",Config!$B$28)</f>
        <v/>
      </c>
      <c r="AG1217">
        <f>IFERROR(MATCH(ROW()-1,Calc!$J$2:$J$1601,0),"")</f>
        <v/>
      </c>
      <c r="AH1217">
        <f>IFERROR(MATCH(ROW()-1,Calc!$K$2:$K$1601,0),"")</f>
        <v/>
      </c>
      <c r="AI1217">
        <f>IF($AG1217="","",SUMIF($AG$2:$AG1217,$AG1217,$AH$2:$AH1217))</f>
        <v/>
      </c>
      <c r="AJ1217">
        <f>IF('TMP Paste'!$F1217="","",IF('TMP Paste'!$B1217="",$AJ1216,'TMP Paste'!$B1217))</f>
        <v/>
      </c>
      <c r="AK1217">
        <f>IF('TMP Paste'!$F1217="","",N('TMP Paste'!$G1217))</f>
        <v/>
      </c>
      <c r="AL1217">
        <f>IF('TMP Paste'!$F1217="","",IF('TMP Paste'!$M1217="",$AL1216,'TMP Paste'!$M1217))</f>
        <v/>
      </c>
      <c r="AM1217">
        <f>IF('TMP Paste'!$F1217="","",IF('TMP Paste'!$N1217="",$AM1216,'TMP Paste'!$N1217))</f>
        <v/>
      </c>
      <c r="AN1217">
        <f>IF('TMP Paste'!$F1217="","",IF('TMP Paste'!$O1217="",$AN1216,'TMP Paste'!$O1217))</f>
        <v/>
      </c>
      <c r="AO1217">
        <f>IF('TMP Paste'!$F1217="","",IF('TMP Paste'!$P1217="",$AO1216,'TMP Paste'!$P1217))</f>
        <v/>
      </c>
      <c r="AP1217">
        <f>IF($AG1217="","",LEN($R1217))</f>
        <v/>
      </c>
      <c r="AQ1217">
        <f>IF($AG1217="","",TRIM(IF(COUNTIFS(Calc!$B$2:$B$1601,ROW()-1,Calc!$C$2:$C$1601,"&lt;1")&gt;0,"Ada PO tanpa Koli - cek TMP. ","")&amp;IF(LEN($R1217)&gt;500,"R &gt; 500 karakter.","")))</f>
        <v/>
      </c>
    </row>
    <row r="1218">
      <c r="A1218">
        <f>IF($AG1218="","",INDEX('TMP Paste'!$B$2:$B$1601,$AG1218))</f>
        <v/>
      </c>
      <c r="B1218">
        <f>IF($AG1218="","",Config!$B$14)</f>
        <v/>
      </c>
      <c r="C1218">
        <f>IF($AG1218="","",Config!$B$15)</f>
        <v/>
      </c>
      <c r="D1218">
        <f>IF($AG1218="","",INDEX('TMP Paste'!$B$2:$B$1601,$AG1218))</f>
        <v/>
      </c>
      <c r="E1218">
        <f>IF($AG1218="","",Config!$B$27)</f>
        <v/>
      </c>
      <c r="F1218">
        <f>IF($AG1218="","",Config!$B$9)</f>
        <v/>
      </c>
      <c r="G1218">
        <f>IF($AG1218="","",Config!$B$10)</f>
        <v/>
      </c>
      <c r="H1218">
        <f>IF($AG1218="","",Config!$B$11)</f>
        <v/>
      </c>
      <c r="I1218">
        <f>IF($AG1218="","",Config!$B$16)</f>
        <v/>
      </c>
      <c r="J1218">
        <f>IF($AG1218="","",INDEX('TMP Paste'!$A$2:$A$1601,$AG1218))</f>
        <v/>
      </c>
      <c r="K1218">
        <f>IF($AG1218="","",INDEX('TMP Paste'!$L$2:$L$1601,$AG1218))</f>
        <v/>
      </c>
      <c r="L1218">
        <f>IF($AG1218="","",INDEX('TMP Paste'!$I$2:$I$1601,$AG1218))</f>
        <v/>
      </c>
      <c r="M1218">
        <f>IF($AG1218="","",Config!$B$16)</f>
        <v/>
      </c>
      <c r="N1218">
        <f>IF($AG1218="","","")</f>
        <v/>
      </c>
      <c r="O1218">
        <f>IF($AG1218="","",INDEX('TMP Paste'!$K$2:$K$1601,$AG1218))</f>
        <v/>
      </c>
      <c r="P1218">
        <f>IF($AG1218="","","")</f>
        <v/>
      </c>
      <c r="Q1218">
        <f>IF($AG1218="","",INDEX('TMP Paste'!$J$2:$J$1601,$AG1218))</f>
        <v/>
      </c>
      <c r="R1218">
        <f>IF($AG1218="","",Config!$B$24)</f>
        <v/>
      </c>
      <c r="S1218">
        <f>IF($AG1218="","",TEXT(Config!$B$4,"yyyy-mm-dd"))</f>
        <v/>
      </c>
      <c r="T1218">
        <f>IF($AG1218="","",Config!$B$17)</f>
        <v/>
      </c>
      <c r="U1218">
        <f>IF($AG1218="","",Config!$B$18)</f>
        <v/>
      </c>
      <c r="V1218">
        <f>IF($AG1218="","",Config!$B$19)</f>
        <v/>
      </c>
      <c r="W1218">
        <f>IF($AG1218="","",INDEX('TMP Paste'!$C$2:$C$1601,$AG1218))</f>
        <v/>
      </c>
      <c r="X1218">
        <f>IF($AG1218="","",Config!$B$29)</f>
        <v/>
      </c>
      <c r="Y1218">
        <f>IF($AH1218="","",INDEX(Calc!$I$2:$I$1601,$AH1218)&amp;" - "&amp;INDEX(Calc!$D$2:$D$1601,$AH1218)&amp;" koli")</f>
        <v/>
      </c>
      <c r="Z1218">
        <f>IF($AG1218="","",Config!$B$21)</f>
        <v/>
      </c>
      <c r="AA1218">
        <f>IF($AG1218="","",Config!$B$22)</f>
        <v/>
      </c>
      <c r="AB1218">
        <f>IF($AH1218="","",INDEX(Calc!$D$2:$D$1601,$AH1218))</f>
        <v/>
      </c>
      <c r="AC1218">
        <f>IF($AH1218="","",INDEX(Calc!$G$2:$G$1601,$AH1218))</f>
        <v/>
      </c>
      <c r="AD1218">
        <f>IF($AG1218="","",Config!$B$23)</f>
        <v/>
      </c>
      <c r="AE1218">
        <f>IF($AG1218="","",Config!$B$28)</f>
        <v/>
      </c>
      <c r="AG1218">
        <f>IFERROR(MATCH(ROW()-1,Calc!$J$2:$J$1601,0),"")</f>
        <v/>
      </c>
      <c r="AH1218">
        <f>IFERROR(MATCH(ROW()-1,Calc!$K$2:$K$1601,0),"")</f>
        <v/>
      </c>
      <c r="AI1218">
        <f>IF($AG1218="","",SUMIF($AG$2:$AG1218,$AG1218,$AH$2:$AH1218))</f>
        <v/>
      </c>
      <c r="AJ1218">
        <f>IF('TMP Paste'!$F1218="","",IF('TMP Paste'!$B1218="",$AJ1217,'TMP Paste'!$B1218))</f>
        <v/>
      </c>
      <c r="AK1218">
        <f>IF('TMP Paste'!$F1218="","",N('TMP Paste'!$G1218))</f>
        <v/>
      </c>
      <c r="AL1218">
        <f>IF('TMP Paste'!$F1218="","",IF('TMP Paste'!$M1218="",$AL1217,'TMP Paste'!$M1218))</f>
        <v/>
      </c>
      <c r="AM1218">
        <f>IF('TMP Paste'!$F1218="","",IF('TMP Paste'!$N1218="",$AM1217,'TMP Paste'!$N1218))</f>
        <v/>
      </c>
      <c r="AN1218">
        <f>IF('TMP Paste'!$F1218="","",IF('TMP Paste'!$O1218="",$AN1217,'TMP Paste'!$O1218))</f>
        <v/>
      </c>
      <c r="AO1218">
        <f>IF('TMP Paste'!$F1218="","",IF('TMP Paste'!$P1218="",$AO1217,'TMP Paste'!$P1218))</f>
        <v/>
      </c>
      <c r="AP1218">
        <f>IF($AG1218="","",LEN($R1218))</f>
        <v/>
      </c>
      <c r="AQ1218">
        <f>IF($AG1218="","",TRIM(IF(COUNTIFS(Calc!$B$2:$B$1601,ROW()-1,Calc!$C$2:$C$1601,"&lt;1")&gt;0,"Ada PO tanpa Koli - cek TMP. ","")&amp;IF(LEN($R1218)&gt;500,"R &gt; 500 karakter.","")))</f>
        <v/>
      </c>
    </row>
    <row r="1219">
      <c r="A1219">
        <f>IF($AG1219="","",INDEX('TMP Paste'!$B$2:$B$1601,$AG1219))</f>
        <v/>
      </c>
      <c r="B1219">
        <f>IF($AG1219="","",Config!$B$14)</f>
        <v/>
      </c>
      <c r="C1219">
        <f>IF($AG1219="","",Config!$B$15)</f>
        <v/>
      </c>
      <c r="D1219">
        <f>IF($AG1219="","",INDEX('TMP Paste'!$B$2:$B$1601,$AG1219))</f>
        <v/>
      </c>
      <c r="E1219">
        <f>IF($AG1219="","",Config!$B$27)</f>
        <v/>
      </c>
      <c r="F1219">
        <f>IF($AG1219="","",Config!$B$9)</f>
        <v/>
      </c>
      <c r="G1219">
        <f>IF($AG1219="","",Config!$B$10)</f>
        <v/>
      </c>
      <c r="H1219">
        <f>IF($AG1219="","",Config!$B$11)</f>
        <v/>
      </c>
      <c r="I1219">
        <f>IF($AG1219="","",Config!$B$16)</f>
        <v/>
      </c>
      <c r="J1219">
        <f>IF($AG1219="","",INDEX('TMP Paste'!$A$2:$A$1601,$AG1219))</f>
        <v/>
      </c>
      <c r="K1219">
        <f>IF($AG1219="","",INDEX('TMP Paste'!$L$2:$L$1601,$AG1219))</f>
        <v/>
      </c>
      <c r="L1219">
        <f>IF($AG1219="","",INDEX('TMP Paste'!$I$2:$I$1601,$AG1219))</f>
        <v/>
      </c>
      <c r="M1219">
        <f>IF($AG1219="","",Config!$B$16)</f>
        <v/>
      </c>
      <c r="N1219">
        <f>IF($AG1219="","","")</f>
        <v/>
      </c>
      <c r="O1219">
        <f>IF($AG1219="","",INDEX('TMP Paste'!$K$2:$K$1601,$AG1219))</f>
        <v/>
      </c>
      <c r="P1219">
        <f>IF($AG1219="","","")</f>
        <v/>
      </c>
      <c r="Q1219">
        <f>IF($AG1219="","",INDEX('TMP Paste'!$J$2:$J$1601,$AG1219))</f>
        <v/>
      </c>
      <c r="R1219">
        <f>IF($AG1219="","",Config!$B$24)</f>
        <v/>
      </c>
      <c r="S1219">
        <f>IF($AG1219="","",TEXT(Config!$B$4,"yyyy-mm-dd"))</f>
        <v/>
      </c>
      <c r="T1219">
        <f>IF($AG1219="","",Config!$B$17)</f>
        <v/>
      </c>
      <c r="U1219">
        <f>IF($AG1219="","",Config!$B$18)</f>
        <v/>
      </c>
      <c r="V1219">
        <f>IF($AG1219="","",Config!$B$19)</f>
        <v/>
      </c>
      <c r="W1219">
        <f>IF($AG1219="","",INDEX('TMP Paste'!$C$2:$C$1601,$AG1219))</f>
        <v/>
      </c>
      <c r="X1219">
        <f>IF($AG1219="","",Config!$B$29)</f>
        <v/>
      </c>
      <c r="Y1219">
        <f>IF($AH1219="","",INDEX(Calc!$I$2:$I$1601,$AH1219)&amp;" - "&amp;INDEX(Calc!$D$2:$D$1601,$AH1219)&amp;" koli")</f>
        <v/>
      </c>
      <c r="Z1219">
        <f>IF($AG1219="","",Config!$B$21)</f>
        <v/>
      </c>
      <c r="AA1219">
        <f>IF($AG1219="","",Config!$B$22)</f>
        <v/>
      </c>
      <c r="AB1219">
        <f>IF($AH1219="","",INDEX(Calc!$D$2:$D$1601,$AH1219))</f>
        <v/>
      </c>
      <c r="AC1219">
        <f>IF($AH1219="","",INDEX(Calc!$G$2:$G$1601,$AH1219))</f>
        <v/>
      </c>
      <c r="AD1219">
        <f>IF($AG1219="","",Config!$B$23)</f>
        <v/>
      </c>
      <c r="AE1219">
        <f>IF($AG1219="","",Config!$B$28)</f>
        <v/>
      </c>
      <c r="AG1219">
        <f>IFERROR(MATCH(ROW()-1,Calc!$J$2:$J$1601,0),"")</f>
        <v/>
      </c>
      <c r="AH1219">
        <f>IFERROR(MATCH(ROW()-1,Calc!$K$2:$K$1601,0),"")</f>
        <v/>
      </c>
      <c r="AI1219">
        <f>IF($AG1219="","",SUMIF($AG$2:$AG1219,$AG1219,$AH$2:$AH1219))</f>
        <v/>
      </c>
      <c r="AJ1219">
        <f>IF('TMP Paste'!$F1219="","",IF('TMP Paste'!$B1219="",$AJ1218,'TMP Paste'!$B1219))</f>
        <v/>
      </c>
      <c r="AK1219">
        <f>IF('TMP Paste'!$F1219="","",N('TMP Paste'!$G1219))</f>
        <v/>
      </c>
      <c r="AL1219">
        <f>IF('TMP Paste'!$F1219="","",IF('TMP Paste'!$M1219="",$AL1218,'TMP Paste'!$M1219))</f>
        <v/>
      </c>
      <c r="AM1219">
        <f>IF('TMP Paste'!$F1219="","",IF('TMP Paste'!$N1219="",$AM1218,'TMP Paste'!$N1219))</f>
        <v/>
      </c>
      <c r="AN1219">
        <f>IF('TMP Paste'!$F1219="","",IF('TMP Paste'!$O1219="",$AN1218,'TMP Paste'!$O1219))</f>
        <v/>
      </c>
      <c r="AO1219">
        <f>IF('TMP Paste'!$F1219="","",IF('TMP Paste'!$P1219="",$AO1218,'TMP Paste'!$P1219))</f>
        <v/>
      </c>
      <c r="AP1219">
        <f>IF($AG1219="","",LEN($R1219))</f>
        <v/>
      </c>
      <c r="AQ1219">
        <f>IF($AG1219="","",TRIM(IF(COUNTIFS(Calc!$B$2:$B$1601,ROW()-1,Calc!$C$2:$C$1601,"&lt;1")&gt;0,"Ada PO tanpa Koli - cek TMP. ","")&amp;IF(LEN($R1219)&gt;500,"R &gt; 500 karakter.","")))</f>
        <v/>
      </c>
    </row>
    <row r="1220">
      <c r="A1220">
        <f>IF($AG1220="","",INDEX('TMP Paste'!$B$2:$B$1601,$AG1220))</f>
        <v/>
      </c>
      <c r="B1220">
        <f>IF($AG1220="","",Config!$B$14)</f>
        <v/>
      </c>
      <c r="C1220">
        <f>IF($AG1220="","",Config!$B$15)</f>
        <v/>
      </c>
      <c r="D1220">
        <f>IF($AG1220="","",INDEX('TMP Paste'!$B$2:$B$1601,$AG1220))</f>
        <v/>
      </c>
      <c r="E1220">
        <f>IF($AG1220="","",Config!$B$27)</f>
        <v/>
      </c>
      <c r="F1220">
        <f>IF($AG1220="","",Config!$B$9)</f>
        <v/>
      </c>
      <c r="G1220">
        <f>IF($AG1220="","",Config!$B$10)</f>
        <v/>
      </c>
      <c r="H1220">
        <f>IF($AG1220="","",Config!$B$11)</f>
        <v/>
      </c>
      <c r="I1220">
        <f>IF($AG1220="","",Config!$B$16)</f>
        <v/>
      </c>
      <c r="J1220">
        <f>IF($AG1220="","",INDEX('TMP Paste'!$A$2:$A$1601,$AG1220))</f>
        <v/>
      </c>
      <c r="K1220">
        <f>IF($AG1220="","",INDEX('TMP Paste'!$L$2:$L$1601,$AG1220))</f>
        <v/>
      </c>
      <c r="L1220">
        <f>IF($AG1220="","",INDEX('TMP Paste'!$I$2:$I$1601,$AG1220))</f>
        <v/>
      </c>
      <c r="M1220">
        <f>IF($AG1220="","",Config!$B$16)</f>
        <v/>
      </c>
      <c r="N1220">
        <f>IF($AG1220="","","")</f>
        <v/>
      </c>
      <c r="O1220">
        <f>IF($AG1220="","",INDEX('TMP Paste'!$K$2:$K$1601,$AG1220))</f>
        <v/>
      </c>
      <c r="P1220">
        <f>IF($AG1220="","","")</f>
        <v/>
      </c>
      <c r="Q1220">
        <f>IF($AG1220="","",INDEX('TMP Paste'!$J$2:$J$1601,$AG1220))</f>
        <v/>
      </c>
      <c r="R1220">
        <f>IF($AG1220="","",Config!$B$24)</f>
        <v/>
      </c>
      <c r="S1220">
        <f>IF($AG1220="","",TEXT(Config!$B$4,"yyyy-mm-dd"))</f>
        <v/>
      </c>
      <c r="T1220">
        <f>IF($AG1220="","",Config!$B$17)</f>
        <v/>
      </c>
      <c r="U1220">
        <f>IF($AG1220="","",Config!$B$18)</f>
        <v/>
      </c>
      <c r="V1220">
        <f>IF($AG1220="","",Config!$B$19)</f>
        <v/>
      </c>
      <c r="W1220">
        <f>IF($AG1220="","",INDEX('TMP Paste'!$C$2:$C$1601,$AG1220))</f>
        <v/>
      </c>
      <c r="X1220">
        <f>IF($AG1220="","",Config!$B$29)</f>
        <v/>
      </c>
      <c r="Y1220">
        <f>IF($AH1220="","",INDEX(Calc!$I$2:$I$1601,$AH1220)&amp;" - "&amp;INDEX(Calc!$D$2:$D$1601,$AH1220)&amp;" koli")</f>
        <v/>
      </c>
      <c r="Z1220">
        <f>IF($AG1220="","",Config!$B$21)</f>
        <v/>
      </c>
      <c r="AA1220">
        <f>IF($AG1220="","",Config!$B$22)</f>
        <v/>
      </c>
      <c r="AB1220">
        <f>IF($AH1220="","",INDEX(Calc!$D$2:$D$1601,$AH1220))</f>
        <v/>
      </c>
      <c r="AC1220">
        <f>IF($AH1220="","",INDEX(Calc!$G$2:$G$1601,$AH1220))</f>
        <v/>
      </c>
      <c r="AD1220">
        <f>IF($AG1220="","",Config!$B$23)</f>
        <v/>
      </c>
      <c r="AE1220">
        <f>IF($AG1220="","",Config!$B$28)</f>
        <v/>
      </c>
      <c r="AG1220">
        <f>IFERROR(MATCH(ROW()-1,Calc!$J$2:$J$1601,0),"")</f>
        <v/>
      </c>
      <c r="AH1220">
        <f>IFERROR(MATCH(ROW()-1,Calc!$K$2:$K$1601,0),"")</f>
        <v/>
      </c>
      <c r="AI1220">
        <f>IF($AG1220="","",SUMIF($AG$2:$AG1220,$AG1220,$AH$2:$AH1220))</f>
        <v/>
      </c>
      <c r="AJ1220">
        <f>IF('TMP Paste'!$F1220="","",IF('TMP Paste'!$B1220="",$AJ1219,'TMP Paste'!$B1220))</f>
        <v/>
      </c>
      <c r="AK1220">
        <f>IF('TMP Paste'!$F1220="","",N('TMP Paste'!$G1220))</f>
        <v/>
      </c>
      <c r="AL1220">
        <f>IF('TMP Paste'!$F1220="","",IF('TMP Paste'!$M1220="",$AL1219,'TMP Paste'!$M1220))</f>
        <v/>
      </c>
      <c r="AM1220">
        <f>IF('TMP Paste'!$F1220="","",IF('TMP Paste'!$N1220="",$AM1219,'TMP Paste'!$N1220))</f>
        <v/>
      </c>
      <c r="AN1220">
        <f>IF('TMP Paste'!$F1220="","",IF('TMP Paste'!$O1220="",$AN1219,'TMP Paste'!$O1220))</f>
        <v/>
      </c>
      <c r="AO1220">
        <f>IF('TMP Paste'!$F1220="","",IF('TMP Paste'!$P1220="",$AO1219,'TMP Paste'!$P1220))</f>
        <v/>
      </c>
      <c r="AP1220">
        <f>IF($AG1220="","",LEN($R1220))</f>
        <v/>
      </c>
      <c r="AQ1220">
        <f>IF($AG1220="","",TRIM(IF(COUNTIFS(Calc!$B$2:$B$1601,ROW()-1,Calc!$C$2:$C$1601,"&lt;1")&gt;0,"Ada PO tanpa Koli - cek TMP. ","")&amp;IF(LEN($R1220)&gt;500,"R &gt; 500 karakter.","")))</f>
        <v/>
      </c>
    </row>
    <row r="1221">
      <c r="A1221">
        <f>IF($AG1221="","",INDEX('TMP Paste'!$B$2:$B$1601,$AG1221))</f>
        <v/>
      </c>
      <c r="B1221">
        <f>IF($AG1221="","",Config!$B$14)</f>
        <v/>
      </c>
      <c r="C1221">
        <f>IF($AG1221="","",Config!$B$15)</f>
        <v/>
      </c>
      <c r="D1221">
        <f>IF($AG1221="","",INDEX('TMP Paste'!$B$2:$B$1601,$AG1221))</f>
        <v/>
      </c>
      <c r="E1221">
        <f>IF($AG1221="","",Config!$B$27)</f>
        <v/>
      </c>
      <c r="F1221">
        <f>IF($AG1221="","",Config!$B$9)</f>
        <v/>
      </c>
      <c r="G1221">
        <f>IF($AG1221="","",Config!$B$10)</f>
        <v/>
      </c>
      <c r="H1221">
        <f>IF($AG1221="","",Config!$B$11)</f>
        <v/>
      </c>
      <c r="I1221">
        <f>IF($AG1221="","",Config!$B$16)</f>
        <v/>
      </c>
      <c r="J1221">
        <f>IF($AG1221="","",INDEX('TMP Paste'!$A$2:$A$1601,$AG1221))</f>
        <v/>
      </c>
      <c r="K1221">
        <f>IF($AG1221="","",INDEX('TMP Paste'!$L$2:$L$1601,$AG1221))</f>
        <v/>
      </c>
      <c r="L1221">
        <f>IF($AG1221="","",INDEX('TMP Paste'!$I$2:$I$1601,$AG1221))</f>
        <v/>
      </c>
      <c r="M1221">
        <f>IF($AG1221="","",Config!$B$16)</f>
        <v/>
      </c>
      <c r="N1221">
        <f>IF($AG1221="","","")</f>
        <v/>
      </c>
      <c r="O1221">
        <f>IF($AG1221="","",INDEX('TMP Paste'!$K$2:$K$1601,$AG1221))</f>
        <v/>
      </c>
      <c r="P1221">
        <f>IF($AG1221="","","")</f>
        <v/>
      </c>
      <c r="Q1221">
        <f>IF($AG1221="","",INDEX('TMP Paste'!$J$2:$J$1601,$AG1221))</f>
        <v/>
      </c>
      <c r="R1221">
        <f>IF($AG1221="","",Config!$B$24)</f>
        <v/>
      </c>
      <c r="S1221">
        <f>IF($AG1221="","",TEXT(Config!$B$4,"yyyy-mm-dd"))</f>
        <v/>
      </c>
      <c r="T1221">
        <f>IF($AG1221="","",Config!$B$17)</f>
        <v/>
      </c>
      <c r="U1221">
        <f>IF($AG1221="","",Config!$B$18)</f>
        <v/>
      </c>
      <c r="V1221">
        <f>IF($AG1221="","",Config!$B$19)</f>
        <v/>
      </c>
      <c r="W1221">
        <f>IF($AG1221="","",INDEX('TMP Paste'!$C$2:$C$1601,$AG1221))</f>
        <v/>
      </c>
      <c r="X1221">
        <f>IF($AG1221="","",Config!$B$29)</f>
        <v/>
      </c>
      <c r="Y1221">
        <f>IF($AH1221="","",INDEX(Calc!$I$2:$I$1601,$AH1221)&amp;" - "&amp;INDEX(Calc!$D$2:$D$1601,$AH1221)&amp;" koli")</f>
        <v/>
      </c>
      <c r="Z1221">
        <f>IF($AG1221="","",Config!$B$21)</f>
        <v/>
      </c>
      <c r="AA1221">
        <f>IF($AG1221="","",Config!$B$22)</f>
        <v/>
      </c>
      <c r="AB1221">
        <f>IF($AH1221="","",INDEX(Calc!$D$2:$D$1601,$AH1221))</f>
        <v/>
      </c>
      <c r="AC1221">
        <f>IF($AH1221="","",INDEX(Calc!$G$2:$G$1601,$AH1221))</f>
        <v/>
      </c>
      <c r="AD1221">
        <f>IF($AG1221="","",Config!$B$23)</f>
        <v/>
      </c>
      <c r="AE1221">
        <f>IF($AG1221="","",Config!$B$28)</f>
        <v/>
      </c>
      <c r="AG1221">
        <f>IFERROR(MATCH(ROW()-1,Calc!$J$2:$J$1601,0),"")</f>
        <v/>
      </c>
      <c r="AH1221">
        <f>IFERROR(MATCH(ROW()-1,Calc!$K$2:$K$1601,0),"")</f>
        <v/>
      </c>
      <c r="AI1221">
        <f>IF($AG1221="","",SUMIF($AG$2:$AG1221,$AG1221,$AH$2:$AH1221))</f>
        <v/>
      </c>
      <c r="AJ1221">
        <f>IF('TMP Paste'!$F1221="","",IF('TMP Paste'!$B1221="",$AJ1220,'TMP Paste'!$B1221))</f>
        <v/>
      </c>
      <c r="AK1221">
        <f>IF('TMP Paste'!$F1221="","",N('TMP Paste'!$G1221))</f>
        <v/>
      </c>
      <c r="AL1221">
        <f>IF('TMP Paste'!$F1221="","",IF('TMP Paste'!$M1221="",$AL1220,'TMP Paste'!$M1221))</f>
        <v/>
      </c>
      <c r="AM1221">
        <f>IF('TMP Paste'!$F1221="","",IF('TMP Paste'!$N1221="",$AM1220,'TMP Paste'!$N1221))</f>
        <v/>
      </c>
      <c r="AN1221">
        <f>IF('TMP Paste'!$F1221="","",IF('TMP Paste'!$O1221="",$AN1220,'TMP Paste'!$O1221))</f>
        <v/>
      </c>
      <c r="AO1221">
        <f>IF('TMP Paste'!$F1221="","",IF('TMP Paste'!$P1221="",$AO1220,'TMP Paste'!$P1221))</f>
        <v/>
      </c>
      <c r="AP1221">
        <f>IF($AG1221="","",LEN($R1221))</f>
        <v/>
      </c>
      <c r="AQ1221">
        <f>IF($AG1221="","",TRIM(IF(COUNTIFS(Calc!$B$2:$B$1601,ROW()-1,Calc!$C$2:$C$1601,"&lt;1")&gt;0,"Ada PO tanpa Koli - cek TMP. ","")&amp;IF(LEN($R1221)&gt;500,"R &gt; 500 karakter.","")))</f>
        <v/>
      </c>
    </row>
    <row r="1222">
      <c r="A1222">
        <f>IF($AG1222="","",INDEX('TMP Paste'!$B$2:$B$1601,$AG1222))</f>
        <v/>
      </c>
      <c r="B1222">
        <f>IF($AG1222="","",Config!$B$14)</f>
        <v/>
      </c>
      <c r="C1222">
        <f>IF($AG1222="","",Config!$B$15)</f>
        <v/>
      </c>
      <c r="D1222">
        <f>IF($AG1222="","",INDEX('TMP Paste'!$B$2:$B$1601,$AG1222))</f>
        <v/>
      </c>
      <c r="E1222">
        <f>IF($AG1222="","",Config!$B$27)</f>
        <v/>
      </c>
      <c r="F1222">
        <f>IF($AG1222="","",Config!$B$9)</f>
        <v/>
      </c>
      <c r="G1222">
        <f>IF($AG1222="","",Config!$B$10)</f>
        <v/>
      </c>
      <c r="H1222">
        <f>IF($AG1222="","",Config!$B$11)</f>
        <v/>
      </c>
      <c r="I1222">
        <f>IF($AG1222="","",Config!$B$16)</f>
        <v/>
      </c>
      <c r="J1222">
        <f>IF($AG1222="","",INDEX('TMP Paste'!$A$2:$A$1601,$AG1222))</f>
        <v/>
      </c>
      <c r="K1222">
        <f>IF($AG1222="","",INDEX('TMP Paste'!$L$2:$L$1601,$AG1222))</f>
        <v/>
      </c>
      <c r="L1222">
        <f>IF($AG1222="","",INDEX('TMP Paste'!$I$2:$I$1601,$AG1222))</f>
        <v/>
      </c>
      <c r="M1222">
        <f>IF($AG1222="","",Config!$B$16)</f>
        <v/>
      </c>
      <c r="N1222">
        <f>IF($AG1222="","","")</f>
        <v/>
      </c>
      <c r="O1222">
        <f>IF($AG1222="","",INDEX('TMP Paste'!$K$2:$K$1601,$AG1222))</f>
        <v/>
      </c>
      <c r="P1222">
        <f>IF($AG1222="","","")</f>
        <v/>
      </c>
      <c r="Q1222">
        <f>IF($AG1222="","",INDEX('TMP Paste'!$J$2:$J$1601,$AG1222))</f>
        <v/>
      </c>
      <c r="R1222">
        <f>IF($AG1222="","",Config!$B$24)</f>
        <v/>
      </c>
      <c r="S1222">
        <f>IF($AG1222="","",TEXT(Config!$B$4,"yyyy-mm-dd"))</f>
        <v/>
      </c>
      <c r="T1222">
        <f>IF($AG1222="","",Config!$B$17)</f>
        <v/>
      </c>
      <c r="U1222">
        <f>IF($AG1222="","",Config!$B$18)</f>
        <v/>
      </c>
      <c r="V1222">
        <f>IF($AG1222="","",Config!$B$19)</f>
        <v/>
      </c>
      <c r="W1222">
        <f>IF($AG1222="","",INDEX('TMP Paste'!$C$2:$C$1601,$AG1222))</f>
        <v/>
      </c>
      <c r="X1222">
        <f>IF($AG1222="","",Config!$B$29)</f>
        <v/>
      </c>
      <c r="Y1222">
        <f>IF($AH1222="","",INDEX(Calc!$I$2:$I$1601,$AH1222)&amp;" - "&amp;INDEX(Calc!$D$2:$D$1601,$AH1222)&amp;" koli")</f>
        <v/>
      </c>
      <c r="Z1222">
        <f>IF($AG1222="","",Config!$B$21)</f>
        <v/>
      </c>
      <c r="AA1222">
        <f>IF($AG1222="","",Config!$B$22)</f>
        <v/>
      </c>
      <c r="AB1222">
        <f>IF($AH1222="","",INDEX(Calc!$D$2:$D$1601,$AH1222))</f>
        <v/>
      </c>
      <c r="AC1222">
        <f>IF($AH1222="","",INDEX(Calc!$G$2:$G$1601,$AH1222))</f>
        <v/>
      </c>
      <c r="AD1222">
        <f>IF($AG1222="","",Config!$B$23)</f>
        <v/>
      </c>
      <c r="AE1222">
        <f>IF($AG1222="","",Config!$B$28)</f>
        <v/>
      </c>
      <c r="AG1222">
        <f>IFERROR(MATCH(ROW()-1,Calc!$J$2:$J$1601,0),"")</f>
        <v/>
      </c>
      <c r="AH1222">
        <f>IFERROR(MATCH(ROW()-1,Calc!$K$2:$K$1601,0),"")</f>
        <v/>
      </c>
      <c r="AI1222">
        <f>IF($AG1222="","",SUMIF($AG$2:$AG1222,$AG1222,$AH$2:$AH1222))</f>
        <v/>
      </c>
      <c r="AJ1222">
        <f>IF('TMP Paste'!$F1222="","",IF('TMP Paste'!$B1222="",$AJ1221,'TMP Paste'!$B1222))</f>
        <v/>
      </c>
      <c r="AK1222">
        <f>IF('TMP Paste'!$F1222="","",N('TMP Paste'!$G1222))</f>
        <v/>
      </c>
      <c r="AL1222">
        <f>IF('TMP Paste'!$F1222="","",IF('TMP Paste'!$M1222="",$AL1221,'TMP Paste'!$M1222))</f>
        <v/>
      </c>
      <c r="AM1222">
        <f>IF('TMP Paste'!$F1222="","",IF('TMP Paste'!$N1222="",$AM1221,'TMP Paste'!$N1222))</f>
        <v/>
      </c>
      <c r="AN1222">
        <f>IF('TMP Paste'!$F1222="","",IF('TMP Paste'!$O1222="",$AN1221,'TMP Paste'!$O1222))</f>
        <v/>
      </c>
      <c r="AO1222">
        <f>IF('TMP Paste'!$F1222="","",IF('TMP Paste'!$P1222="",$AO1221,'TMP Paste'!$P1222))</f>
        <v/>
      </c>
      <c r="AP1222">
        <f>IF($AG1222="","",LEN($R1222))</f>
        <v/>
      </c>
      <c r="AQ1222">
        <f>IF($AG1222="","",TRIM(IF(COUNTIFS(Calc!$B$2:$B$1601,ROW()-1,Calc!$C$2:$C$1601,"&lt;1")&gt;0,"Ada PO tanpa Koli - cek TMP. ","")&amp;IF(LEN($R1222)&gt;500,"R &gt; 500 karakter.","")))</f>
        <v/>
      </c>
    </row>
    <row r="1223">
      <c r="A1223">
        <f>IF($AG1223="","",INDEX('TMP Paste'!$B$2:$B$1601,$AG1223))</f>
        <v/>
      </c>
      <c r="B1223">
        <f>IF($AG1223="","",Config!$B$14)</f>
        <v/>
      </c>
      <c r="C1223">
        <f>IF($AG1223="","",Config!$B$15)</f>
        <v/>
      </c>
      <c r="D1223">
        <f>IF($AG1223="","",INDEX('TMP Paste'!$B$2:$B$1601,$AG1223))</f>
        <v/>
      </c>
      <c r="E1223">
        <f>IF($AG1223="","",Config!$B$27)</f>
        <v/>
      </c>
      <c r="F1223">
        <f>IF($AG1223="","",Config!$B$9)</f>
        <v/>
      </c>
      <c r="G1223">
        <f>IF($AG1223="","",Config!$B$10)</f>
        <v/>
      </c>
      <c r="H1223">
        <f>IF($AG1223="","",Config!$B$11)</f>
        <v/>
      </c>
      <c r="I1223">
        <f>IF($AG1223="","",Config!$B$16)</f>
        <v/>
      </c>
      <c r="J1223">
        <f>IF($AG1223="","",INDEX('TMP Paste'!$A$2:$A$1601,$AG1223))</f>
        <v/>
      </c>
      <c r="K1223">
        <f>IF($AG1223="","",INDEX('TMP Paste'!$L$2:$L$1601,$AG1223))</f>
        <v/>
      </c>
      <c r="L1223">
        <f>IF($AG1223="","",INDEX('TMP Paste'!$I$2:$I$1601,$AG1223))</f>
        <v/>
      </c>
      <c r="M1223">
        <f>IF($AG1223="","",Config!$B$16)</f>
        <v/>
      </c>
      <c r="N1223">
        <f>IF($AG1223="","","")</f>
        <v/>
      </c>
      <c r="O1223">
        <f>IF($AG1223="","",INDEX('TMP Paste'!$K$2:$K$1601,$AG1223))</f>
        <v/>
      </c>
      <c r="P1223">
        <f>IF($AG1223="","","")</f>
        <v/>
      </c>
      <c r="Q1223">
        <f>IF($AG1223="","",INDEX('TMP Paste'!$J$2:$J$1601,$AG1223))</f>
        <v/>
      </c>
      <c r="R1223">
        <f>IF($AG1223="","",Config!$B$24)</f>
        <v/>
      </c>
      <c r="S1223">
        <f>IF($AG1223="","",TEXT(Config!$B$4,"yyyy-mm-dd"))</f>
        <v/>
      </c>
      <c r="T1223">
        <f>IF($AG1223="","",Config!$B$17)</f>
        <v/>
      </c>
      <c r="U1223">
        <f>IF($AG1223="","",Config!$B$18)</f>
        <v/>
      </c>
      <c r="V1223">
        <f>IF($AG1223="","",Config!$B$19)</f>
        <v/>
      </c>
      <c r="W1223">
        <f>IF($AG1223="","",INDEX('TMP Paste'!$C$2:$C$1601,$AG1223))</f>
        <v/>
      </c>
      <c r="X1223">
        <f>IF($AG1223="","",Config!$B$29)</f>
        <v/>
      </c>
      <c r="Y1223">
        <f>IF($AH1223="","",INDEX(Calc!$I$2:$I$1601,$AH1223)&amp;" - "&amp;INDEX(Calc!$D$2:$D$1601,$AH1223)&amp;" koli")</f>
        <v/>
      </c>
      <c r="Z1223">
        <f>IF($AG1223="","",Config!$B$21)</f>
        <v/>
      </c>
      <c r="AA1223">
        <f>IF($AG1223="","",Config!$B$22)</f>
        <v/>
      </c>
      <c r="AB1223">
        <f>IF($AH1223="","",INDEX(Calc!$D$2:$D$1601,$AH1223))</f>
        <v/>
      </c>
      <c r="AC1223">
        <f>IF($AH1223="","",INDEX(Calc!$G$2:$G$1601,$AH1223))</f>
        <v/>
      </c>
      <c r="AD1223">
        <f>IF($AG1223="","",Config!$B$23)</f>
        <v/>
      </c>
      <c r="AE1223">
        <f>IF($AG1223="","",Config!$B$28)</f>
        <v/>
      </c>
      <c r="AG1223">
        <f>IFERROR(MATCH(ROW()-1,Calc!$J$2:$J$1601,0),"")</f>
        <v/>
      </c>
      <c r="AH1223">
        <f>IFERROR(MATCH(ROW()-1,Calc!$K$2:$K$1601,0),"")</f>
        <v/>
      </c>
      <c r="AI1223">
        <f>IF($AG1223="","",SUMIF($AG$2:$AG1223,$AG1223,$AH$2:$AH1223))</f>
        <v/>
      </c>
      <c r="AJ1223">
        <f>IF('TMP Paste'!$F1223="","",IF('TMP Paste'!$B1223="",$AJ1222,'TMP Paste'!$B1223))</f>
        <v/>
      </c>
      <c r="AK1223">
        <f>IF('TMP Paste'!$F1223="","",N('TMP Paste'!$G1223))</f>
        <v/>
      </c>
      <c r="AL1223">
        <f>IF('TMP Paste'!$F1223="","",IF('TMP Paste'!$M1223="",$AL1222,'TMP Paste'!$M1223))</f>
        <v/>
      </c>
      <c r="AM1223">
        <f>IF('TMP Paste'!$F1223="","",IF('TMP Paste'!$N1223="",$AM1222,'TMP Paste'!$N1223))</f>
        <v/>
      </c>
      <c r="AN1223">
        <f>IF('TMP Paste'!$F1223="","",IF('TMP Paste'!$O1223="",$AN1222,'TMP Paste'!$O1223))</f>
        <v/>
      </c>
      <c r="AO1223">
        <f>IF('TMP Paste'!$F1223="","",IF('TMP Paste'!$P1223="",$AO1222,'TMP Paste'!$P1223))</f>
        <v/>
      </c>
      <c r="AP1223">
        <f>IF($AG1223="","",LEN($R1223))</f>
        <v/>
      </c>
      <c r="AQ1223">
        <f>IF($AG1223="","",TRIM(IF(COUNTIFS(Calc!$B$2:$B$1601,ROW()-1,Calc!$C$2:$C$1601,"&lt;1")&gt;0,"Ada PO tanpa Koli - cek TMP. ","")&amp;IF(LEN($R1223)&gt;500,"R &gt; 500 karakter.","")))</f>
        <v/>
      </c>
    </row>
    <row r="1224">
      <c r="A1224">
        <f>IF($AG1224="","",INDEX('TMP Paste'!$B$2:$B$1601,$AG1224))</f>
        <v/>
      </c>
      <c r="B1224">
        <f>IF($AG1224="","",Config!$B$14)</f>
        <v/>
      </c>
      <c r="C1224">
        <f>IF($AG1224="","",Config!$B$15)</f>
        <v/>
      </c>
      <c r="D1224">
        <f>IF($AG1224="","",INDEX('TMP Paste'!$B$2:$B$1601,$AG1224))</f>
        <v/>
      </c>
      <c r="E1224">
        <f>IF($AG1224="","",Config!$B$27)</f>
        <v/>
      </c>
      <c r="F1224">
        <f>IF($AG1224="","",Config!$B$9)</f>
        <v/>
      </c>
      <c r="G1224">
        <f>IF($AG1224="","",Config!$B$10)</f>
        <v/>
      </c>
      <c r="H1224">
        <f>IF($AG1224="","",Config!$B$11)</f>
        <v/>
      </c>
      <c r="I1224">
        <f>IF($AG1224="","",Config!$B$16)</f>
        <v/>
      </c>
      <c r="J1224">
        <f>IF($AG1224="","",INDEX('TMP Paste'!$A$2:$A$1601,$AG1224))</f>
        <v/>
      </c>
      <c r="K1224">
        <f>IF($AG1224="","",INDEX('TMP Paste'!$L$2:$L$1601,$AG1224))</f>
        <v/>
      </c>
      <c r="L1224">
        <f>IF($AG1224="","",INDEX('TMP Paste'!$I$2:$I$1601,$AG1224))</f>
        <v/>
      </c>
      <c r="M1224">
        <f>IF($AG1224="","",Config!$B$16)</f>
        <v/>
      </c>
      <c r="N1224">
        <f>IF($AG1224="","","")</f>
        <v/>
      </c>
      <c r="O1224">
        <f>IF($AG1224="","",INDEX('TMP Paste'!$K$2:$K$1601,$AG1224))</f>
        <v/>
      </c>
      <c r="P1224">
        <f>IF($AG1224="","","")</f>
        <v/>
      </c>
      <c r="Q1224">
        <f>IF($AG1224="","",INDEX('TMP Paste'!$J$2:$J$1601,$AG1224))</f>
        <v/>
      </c>
      <c r="R1224">
        <f>IF($AG1224="","",Config!$B$24)</f>
        <v/>
      </c>
      <c r="S1224">
        <f>IF($AG1224="","",TEXT(Config!$B$4,"yyyy-mm-dd"))</f>
        <v/>
      </c>
      <c r="T1224">
        <f>IF($AG1224="","",Config!$B$17)</f>
        <v/>
      </c>
      <c r="U1224">
        <f>IF($AG1224="","",Config!$B$18)</f>
        <v/>
      </c>
      <c r="V1224">
        <f>IF($AG1224="","",Config!$B$19)</f>
        <v/>
      </c>
      <c r="W1224">
        <f>IF($AG1224="","",INDEX('TMP Paste'!$C$2:$C$1601,$AG1224))</f>
        <v/>
      </c>
      <c r="X1224">
        <f>IF($AG1224="","",Config!$B$29)</f>
        <v/>
      </c>
      <c r="Y1224">
        <f>IF($AH1224="","",INDEX(Calc!$I$2:$I$1601,$AH1224)&amp;" - "&amp;INDEX(Calc!$D$2:$D$1601,$AH1224)&amp;" koli")</f>
        <v/>
      </c>
      <c r="Z1224">
        <f>IF($AG1224="","",Config!$B$21)</f>
        <v/>
      </c>
      <c r="AA1224">
        <f>IF($AG1224="","",Config!$B$22)</f>
        <v/>
      </c>
      <c r="AB1224">
        <f>IF($AH1224="","",INDEX(Calc!$D$2:$D$1601,$AH1224))</f>
        <v/>
      </c>
      <c r="AC1224">
        <f>IF($AH1224="","",INDEX(Calc!$G$2:$G$1601,$AH1224))</f>
        <v/>
      </c>
      <c r="AD1224">
        <f>IF($AG1224="","",Config!$B$23)</f>
        <v/>
      </c>
      <c r="AE1224">
        <f>IF($AG1224="","",Config!$B$28)</f>
        <v/>
      </c>
      <c r="AG1224">
        <f>IFERROR(MATCH(ROW()-1,Calc!$J$2:$J$1601,0),"")</f>
        <v/>
      </c>
      <c r="AH1224">
        <f>IFERROR(MATCH(ROW()-1,Calc!$K$2:$K$1601,0),"")</f>
        <v/>
      </c>
      <c r="AI1224">
        <f>IF($AG1224="","",SUMIF($AG$2:$AG1224,$AG1224,$AH$2:$AH1224))</f>
        <v/>
      </c>
      <c r="AJ1224">
        <f>IF('TMP Paste'!$F1224="","",IF('TMP Paste'!$B1224="",$AJ1223,'TMP Paste'!$B1224))</f>
        <v/>
      </c>
      <c r="AK1224">
        <f>IF('TMP Paste'!$F1224="","",N('TMP Paste'!$G1224))</f>
        <v/>
      </c>
      <c r="AL1224">
        <f>IF('TMP Paste'!$F1224="","",IF('TMP Paste'!$M1224="",$AL1223,'TMP Paste'!$M1224))</f>
        <v/>
      </c>
      <c r="AM1224">
        <f>IF('TMP Paste'!$F1224="","",IF('TMP Paste'!$N1224="",$AM1223,'TMP Paste'!$N1224))</f>
        <v/>
      </c>
      <c r="AN1224">
        <f>IF('TMP Paste'!$F1224="","",IF('TMP Paste'!$O1224="",$AN1223,'TMP Paste'!$O1224))</f>
        <v/>
      </c>
      <c r="AO1224">
        <f>IF('TMP Paste'!$F1224="","",IF('TMP Paste'!$P1224="",$AO1223,'TMP Paste'!$P1224))</f>
        <v/>
      </c>
      <c r="AP1224">
        <f>IF($AG1224="","",LEN($R1224))</f>
        <v/>
      </c>
      <c r="AQ1224">
        <f>IF($AG1224="","",TRIM(IF(COUNTIFS(Calc!$B$2:$B$1601,ROW()-1,Calc!$C$2:$C$1601,"&lt;1")&gt;0,"Ada PO tanpa Koli - cek TMP. ","")&amp;IF(LEN($R1224)&gt;500,"R &gt; 500 karakter.","")))</f>
        <v/>
      </c>
    </row>
    <row r="1225">
      <c r="A1225">
        <f>IF($AG1225="","",INDEX('TMP Paste'!$B$2:$B$1601,$AG1225))</f>
        <v/>
      </c>
      <c r="B1225">
        <f>IF($AG1225="","",Config!$B$14)</f>
        <v/>
      </c>
      <c r="C1225">
        <f>IF($AG1225="","",Config!$B$15)</f>
        <v/>
      </c>
      <c r="D1225">
        <f>IF($AG1225="","",INDEX('TMP Paste'!$B$2:$B$1601,$AG1225))</f>
        <v/>
      </c>
      <c r="E1225">
        <f>IF($AG1225="","",Config!$B$27)</f>
        <v/>
      </c>
      <c r="F1225">
        <f>IF($AG1225="","",Config!$B$9)</f>
        <v/>
      </c>
      <c r="G1225">
        <f>IF($AG1225="","",Config!$B$10)</f>
        <v/>
      </c>
      <c r="H1225">
        <f>IF($AG1225="","",Config!$B$11)</f>
        <v/>
      </c>
      <c r="I1225">
        <f>IF($AG1225="","",Config!$B$16)</f>
        <v/>
      </c>
      <c r="J1225">
        <f>IF($AG1225="","",INDEX('TMP Paste'!$A$2:$A$1601,$AG1225))</f>
        <v/>
      </c>
      <c r="K1225">
        <f>IF($AG1225="","",INDEX('TMP Paste'!$L$2:$L$1601,$AG1225))</f>
        <v/>
      </c>
      <c r="L1225">
        <f>IF($AG1225="","",INDEX('TMP Paste'!$I$2:$I$1601,$AG1225))</f>
        <v/>
      </c>
      <c r="M1225">
        <f>IF($AG1225="","",Config!$B$16)</f>
        <v/>
      </c>
      <c r="N1225">
        <f>IF($AG1225="","","")</f>
        <v/>
      </c>
      <c r="O1225">
        <f>IF($AG1225="","",INDEX('TMP Paste'!$K$2:$K$1601,$AG1225))</f>
        <v/>
      </c>
      <c r="P1225">
        <f>IF($AG1225="","","")</f>
        <v/>
      </c>
      <c r="Q1225">
        <f>IF($AG1225="","",INDEX('TMP Paste'!$J$2:$J$1601,$AG1225))</f>
        <v/>
      </c>
      <c r="R1225">
        <f>IF($AG1225="","",Config!$B$24)</f>
        <v/>
      </c>
      <c r="S1225">
        <f>IF($AG1225="","",TEXT(Config!$B$4,"yyyy-mm-dd"))</f>
        <v/>
      </c>
      <c r="T1225">
        <f>IF($AG1225="","",Config!$B$17)</f>
        <v/>
      </c>
      <c r="U1225">
        <f>IF($AG1225="","",Config!$B$18)</f>
        <v/>
      </c>
      <c r="V1225">
        <f>IF($AG1225="","",Config!$B$19)</f>
        <v/>
      </c>
      <c r="W1225">
        <f>IF($AG1225="","",INDEX('TMP Paste'!$C$2:$C$1601,$AG1225))</f>
        <v/>
      </c>
      <c r="X1225">
        <f>IF($AG1225="","",Config!$B$29)</f>
        <v/>
      </c>
      <c r="Y1225">
        <f>IF($AH1225="","",INDEX(Calc!$I$2:$I$1601,$AH1225)&amp;" - "&amp;INDEX(Calc!$D$2:$D$1601,$AH1225)&amp;" koli")</f>
        <v/>
      </c>
      <c r="Z1225">
        <f>IF($AG1225="","",Config!$B$21)</f>
        <v/>
      </c>
      <c r="AA1225">
        <f>IF($AG1225="","",Config!$B$22)</f>
        <v/>
      </c>
      <c r="AB1225">
        <f>IF($AH1225="","",INDEX(Calc!$D$2:$D$1601,$AH1225))</f>
        <v/>
      </c>
      <c r="AC1225">
        <f>IF($AH1225="","",INDEX(Calc!$G$2:$G$1601,$AH1225))</f>
        <v/>
      </c>
      <c r="AD1225">
        <f>IF($AG1225="","",Config!$B$23)</f>
        <v/>
      </c>
      <c r="AE1225">
        <f>IF($AG1225="","",Config!$B$28)</f>
        <v/>
      </c>
      <c r="AG1225">
        <f>IFERROR(MATCH(ROW()-1,Calc!$J$2:$J$1601,0),"")</f>
        <v/>
      </c>
      <c r="AH1225">
        <f>IFERROR(MATCH(ROW()-1,Calc!$K$2:$K$1601,0),"")</f>
        <v/>
      </c>
      <c r="AI1225">
        <f>IF($AG1225="","",SUMIF($AG$2:$AG1225,$AG1225,$AH$2:$AH1225))</f>
        <v/>
      </c>
      <c r="AJ1225">
        <f>IF('TMP Paste'!$F1225="","",IF('TMP Paste'!$B1225="",$AJ1224,'TMP Paste'!$B1225))</f>
        <v/>
      </c>
      <c r="AK1225">
        <f>IF('TMP Paste'!$F1225="","",N('TMP Paste'!$G1225))</f>
        <v/>
      </c>
      <c r="AL1225">
        <f>IF('TMP Paste'!$F1225="","",IF('TMP Paste'!$M1225="",$AL1224,'TMP Paste'!$M1225))</f>
        <v/>
      </c>
      <c r="AM1225">
        <f>IF('TMP Paste'!$F1225="","",IF('TMP Paste'!$N1225="",$AM1224,'TMP Paste'!$N1225))</f>
        <v/>
      </c>
      <c r="AN1225">
        <f>IF('TMP Paste'!$F1225="","",IF('TMP Paste'!$O1225="",$AN1224,'TMP Paste'!$O1225))</f>
        <v/>
      </c>
      <c r="AO1225">
        <f>IF('TMP Paste'!$F1225="","",IF('TMP Paste'!$P1225="",$AO1224,'TMP Paste'!$P1225))</f>
        <v/>
      </c>
      <c r="AP1225">
        <f>IF($AG1225="","",LEN($R1225))</f>
        <v/>
      </c>
      <c r="AQ1225">
        <f>IF($AG1225="","",TRIM(IF(COUNTIFS(Calc!$B$2:$B$1601,ROW()-1,Calc!$C$2:$C$1601,"&lt;1")&gt;0,"Ada PO tanpa Koli - cek TMP. ","")&amp;IF(LEN($R1225)&gt;500,"R &gt; 500 karakter.","")))</f>
        <v/>
      </c>
    </row>
    <row r="1226">
      <c r="A1226">
        <f>IF($AG1226="","",INDEX('TMP Paste'!$B$2:$B$1601,$AG1226))</f>
        <v/>
      </c>
      <c r="B1226">
        <f>IF($AG1226="","",Config!$B$14)</f>
        <v/>
      </c>
      <c r="C1226">
        <f>IF($AG1226="","",Config!$B$15)</f>
        <v/>
      </c>
      <c r="D1226">
        <f>IF($AG1226="","",INDEX('TMP Paste'!$B$2:$B$1601,$AG1226))</f>
        <v/>
      </c>
      <c r="E1226">
        <f>IF($AG1226="","",Config!$B$27)</f>
        <v/>
      </c>
      <c r="F1226">
        <f>IF($AG1226="","",Config!$B$9)</f>
        <v/>
      </c>
      <c r="G1226">
        <f>IF($AG1226="","",Config!$B$10)</f>
        <v/>
      </c>
      <c r="H1226">
        <f>IF($AG1226="","",Config!$B$11)</f>
        <v/>
      </c>
      <c r="I1226">
        <f>IF($AG1226="","",Config!$B$16)</f>
        <v/>
      </c>
      <c r="J1226">
        <f>IF($AG1226="","",INDEX('TMP Paste'!$A$2:$A$1601,$AG1226))</f>
        <v/>
      </c>
      <c r="K1226">
        <f>IF($AG1226="","",INDEX('TMP Paste'!$L$2:$L$1601,$AG1226))</f>
        <v/>
      </c>
      <c r="L1226">
        <f>IF($AG1226="","",INDEX('TMP Paste'!$I$2:$I$1601,$AG1226))</f>
        <v/>
      </c>
      <c r="M1226">
        <f>IF($AG1226="","",Config!$B$16)</f>
        <v/>
      </c>
      <c r="N1226">
        <f>IF($AG1226="","","")</f>
        <v/>
      </c>
      <c r="O1226">
        <f>IF($AG1226="","",INDEX('TMP Paste'!$K$2:$K$1601,$AG1226))</f>
        <v/>
      </c>
      <c r="P1226">
        <f>IF($AG1226="","","")</f>
        <v/>
      </c>
      <c r="Q1226">
        <f>IF($AG1226="","",INDEX('TMP Paste'!$J$2:$J$1601,$AG1226))</f>
        <v/>
      </c>
      <c r="R1226">
        <f>IF($AG1226="","",Config!$B$24)</f>
        <v/>
      </c>
      <c r="S1226">
        <f>IF($AG1226="","",TEXT(Config!$B$4,"yyyy-mm-dd"))</f>
        <v/>
      </c>
      <c r="T1226">
        <f>IF($AG1226="","",Config!$B$17)</f>
        <v/>
      </c>
      <c r="U1226">
        <f>IF($AG1226="","",Config!$B$18)</f>
        <v/>
      </c>
      <c r="V1226">
        <f>IF($AG1226="","",Config!$B$19)</f>
        <v/>
      </c>
      <c r="W1226">
        <f>IF($AG1226="","",INDEX('TMP Paste'!$C$2:$C$1601,$AG1226))</f>
        <v/>
      </c>
      <c r="X1226">
        <f>IF($AG1226="","",Config!$B$29)</f>
        <v/>
      </c>
      <c r="Y1226">
        <f>IF($AH1226="","",INDEX(Calc!$I$2:$I$1601,$AH1226)&amp;" - "&amp;INDEX(Calc!$D$2:$D$1601,$AH1226)&amp;" koli")</f>
        <v/>
      </c>
      <c r="Z1226">
        <f>IF($AG1226="","",Config!$B$21)</f>
        <v/>
      </c>
      <c r="AA1226">
        <f>IF($AG1226="","",Config!$B$22)</f>
        <v/>
      </c>
      <c r="AB1226">
        <f>IF($AH1226="","",INDEX(Calc!$D$2:$D$1601,$AH1226))</f>
        <v/>
      </c>
      <c r="AC1226">
        <f>IF($AH1226="","",INDEX(Calc!$G$2:$G$1601,$AH1226))</f>
        <v/>
      </c>
      <c r="AD1226">
        <f>IF($AG1226="","",Config!$B$23)</f>
        <v/>
      </c>
      <c r="AE1226">
        <f>IF($AG1226="","",Config!$B$28)</f>
        <v/>
      </c>
      <c r="AG1226">
        <f>IFERROR(MATCH(ROW()-1,Calc!$J$2:$J$1601,0),"")</f>
        <v/>
      </c>
      <c r="AH1226">
        <f>IFERROR(MATCH(ROW()-1,Calc!$K$2:$K$1601,0),"")</f>
        <v/>
      </c>
      <c r="AI1226">
        <f>IF($AG1226="","",SUMIF($AG$2:$AG1226,$AG1226,$AH$2:$AH1226))</f>
        <v/>
      </c>
      <c r="AJ1226">
        <f>IF('TMP Paste'!$F1226="","",IF('TMP Paste'!$B1226="",$AJ1225,'TMP Paste'!$B1226))</f>
        <v/>
      </c>
      <c r="AK1226">
        <f>IF('TMP Paste'!$F1226="","",N('TMP Paste'!$G1226))</f>
        <v/>
      </c>
      <c r="AL1226">
        <f>IF('TMP Paste'!$F1226="","",IF('TMP Paste'!$M1226="",$AL1225,'TMP Paste'!$M1226))</f>
        <v/>
      </c>
      <c r="AM1226">
        <f>IF('TMP Paste'!$F1226="","",IF('TMP Paste'!$N1226="",$AM1225,'TMP Paste'!$N1226))</f>
        <v/>
      </c>
      <c r="AN1226">
        <f>IF('TMP Paste'!$F1226="","",IF('TMP Paste'!$O1226="",$AN1225,'TMP Paste'!$O1226))</f>
        <v/>
      </c>
      <c r="AO1226">
        <f>IF('TMP Paste'!$F1226="","",IF('TMP Paste'!$P1226="",$AO1225,'TMP Paste'!$P1226))</f>
        <v/>
      </c>
      <c r="AP1226">
        <f>IF($AG1226="","",LEN($R1226))</f>
        <v/>
      </c>
      <c r="AQ1226">
        <f>IF($AG1226="","",TRIM(IF(COUNTIFS(Calc!$B$2:$B$1601,ROW()-1,Calc!$C$2:$C$1601,"&lt;1")&gt;0,"Ada PO tanpa Koli - cek TMP. ","")&amp;IF(LEN($R1226)&gt;500,"R &gt; 500 karakter.","")))</f>
        <v/>
      </c>
    </row>
    <row r="1227">
      <c r="A1227">
        <f>IF($AG1227="","",INDEX('TMP Paste'!$B$2:$B$1601,$AG1227))</f>
        <v/>
      </c>
      <c r="B1227">
        <f>IF($AG1227="","",Config!$B$14)</f>
        <v/>
      </c>
      <c r="C1227">
        <f>IF($AG1227="","",Config!$B$15)</f>
        <v/>
      </c>
      <c r="D1227">
        <f>IF($AG1227="","",INDEX('TMP Paste'!$B$2:$B$1601,$AG1227))</f>
        <v/>
      </c>
      <c r="E1227">
        <f>IF($AG1227="","",Config!$B$27)</f>
        <v/>
      </c>
      <c r="F1227">
        <f>IF($AG1227="","",Config!$B$9)</f>
        <v/>
      </c>
      <c r="G1227">
        <f>IF($AG1227="","",Config!$B$10)</f>
        <v/>
      </c>
      <c r="H1227">
        <f>IF($AG1227="","",Config!$B$11)</f>
        <v/>
      </c>
      <c r="I1227">
        <f>IF($AG1227="","",Config!$B$16)</f>
        <v/>
      </c>
      <c r="J1227">
        <f>IF($AG1227="","",INDEX('TMP Paste'!$A$2:$A$1601,$AG1227))</f>
        <v/>
      </c>
      <c r="K1227">
        <f>IF($AG1227="","",INDEX('TMP Paste'!$L$2:$L$1601,$AG1227))</f>
        <v/>
      </c>
      <c r="L1227">
        <f>IF($AG1227="","",INDEX('TMP Paste'!$I$2:$I$1601,$AG1227))</f>
        <v/>
      </c>
      <c r="M1227">
        <f>IF($AG1227="","",Config!$B$16)</f>
        <v/>
      </c>
      <c r="N1227">
        <f>IF($AG1227="","","")</f>
        <v/>
      </c>
      <c r="O1227">
        <f>IF($AG1227="","",INDEX('TMP Paste'!$K$2:$K$1601,$AG1227))</f>
        <v/>
      </c>
      <c r="P1227">
        <f>IF($AG1227="","","")</f>
        <v/>
      </c>
      <c r="Q1227">
        <f>IF($AG1227="","",INDEX('TMP Paste'!$J$2:$J$1601,$AG1227))</f>
        <v/>
      </c>
      <c r="R1227">
        <f>IF($AG1227="","",Config!$B$24)</f>
        <v/>
      </c>
      <c r="S1227">
        <f>IF($AG1227="","",TEXT(Config!$B$4,"yyyy-mm-dd"))</f>
        <v/>
      </c>
      <c r="T1227">
        <f>IF($AG1227="","",Config!$B$17)</f>
        <v/>
      </c>
      <c r="U1227">
        <f>IF($AG1227="","",Config!$B$18)</f>
        <v/>
      </c>
      <c r="V1227">
        <f>IF($AG1227="","",Config!$B$19)</f>
        <v/>
      </c>
      <c r="W1227">
        <f>IF($AG1227="","",INDEX('TMP Paste'!$C$2:$C$1601,$AG1227))</f>
        <v/>
      </c>
      <c r="X1227">
        <f>IF($AG1227="","",Config!$B$29)</f>
        <v/>
      </c>
      <c r="Y1227">
        <f>IF($AH1227="","",INDEX(Calc!$I$2:$I$1601,$AH1227)&amp;" - "&amp;INDEX(Calc!$D$2:$D$1601,$AH1227)&amp;" koli")</f>
        <v/>
      </c>
      <c r="Z1227">
        <f>IF($AG1227="","",Config!$B$21)</f>
        <v/>
      </c>
      <c r="AA1227">
        <f>IF($AG1227="","",Config!$B$22)</f>
        <v/>
      </c>
      <c r="AB1227">
        <f>IF($AH1227="","",INDEX(Calc!$D$2:$D$1601,$AH1227))</f>
        <v/>
      </c>
      <c r="AC1227">
        <f>IF($AH1227="","",INDEX(Calc!$G$2:$G$1601,$AH1227))</f>
        <v/>
      </c>
      <c r="AD1227">
        <f>IF($AG1227="","",Config!$B$23)</f>
        <v/>
      </c>
      <c r="AE1227">
        <f>IF($AG1227="","",Config!$B$28)</f>
        <v/>
      </c>
      <c r="AG1227">
        <f>IFERROR(MATCH(ROW()-1,Calc!$J$2:$J$1601,0),"")</f>
        <v/>
      </c>
      <c r="AH1227">
        <f>IFERROR(MATCH(ROW()-1,Calc!$K$2:$K$1601,0),"")</f>
        <v/>
      </c>
      <c r="AI1227">
        <f>IF($AG1227="","",SUMIF($AG$2:$AG1227,$AG1227,$AH$2:$AH1227))</f>
        <v/>
      </c>
      <c r="AJ1227">
        <f>IF('TMP Paste'!$F1227="","",IF('TMP Paste'!$B1227="",$AJ1226,'TMP Paste'!$B1227))</f>
        <v/>
      </c>
      <c r="AK1227">
        <f>IF('TMP Paste'!$F1227="","",N('TMP Paste'!$G1227))</f>
        <v/>
      </c>
      <c r="AL1227">
        <f>IF('TMP Paste'!$F1227="","",IF('TMP Paste'!$M1227="",$AL1226,'TMP Paste'!$M1227))</f>
        <v/>
      </c>
      <c r="AM1227">
        <f>IF('TMP Paste'!$F1227="","",IF('TMP Paste'!$N1227="",$AM1226,'TMP Paste'!$N1227))</f>
        <v/>
      </c>
      <c r="AN1227">
        <f>IF('TMP Paste'!$F1227="","",IF('TMP Paste'!$O1227="",$AN1226,'TMP Paste'!$O1227))</f>
        <v/>
      </c>
      <c r="AO1227">
        <f>IF('TMP Paste'!$F1227="","",IF('TMP Paste'!$P1227="",$AO1226,'TMP Paste'!$P1227))</f>
        <v/>
      </c>
      <c r="AP1227">
        <f>IF($AG1227="","",LEN($R1227))</f>
        <v/>
      </c>
      <c r="AQ1227">
        <f>IF($AG1227="","",TRIM(IF(COUNTIFS(Calc!$B$2:$B$1601,ROW()-1,Calc!$C$2:$C$1601,"&lt;1")&gt;0,"Ada PO tanpa Koli - cek TMP. ","")&amp;IF(LEN($R1227)&gt;500,"R &gt; 500 karakter.","")))</f>
        <v/>
      </c>
    </row>
    <row r="1228">
      <c r="A1228">
        <f>IF($AG1228="","",INDEX('TMP Paste'!$B$2:$B$1601,$AG1228))</f>
        <v/>
      </c>
      <c r="B1228">
        <f>IF($AG1228="","",Config!$B$14)</f>
        <v/>
      </c>
      <c r="C1228">
        <f>IF($AG1228="","",Config!$B$15)</f>
        <v/>
      </c>
      <c r="D1228">
        <f>IF($AG1228="","",INDEX('TMP Paste'!$B$2:$B$1601,$AG1228))</f>
        <v/>
      </c>
      <c r="E1228">
        <f>IF($AG1228="","",Config!$B$27)</f>
        <v/>
      </c>
      <c r="F1228">
        <f>IF($AG1228="","",Config!$B$9)</f>
        <v/>
      </c>
      <c r="G1228">
        <f>IF($AG1228="","",Config!$B$10)</f>
        <v/>
      </c>
      <c r="H1228">
        <f>IF($AG1228="","",Config!$B$11)</f>
        <v/>
      </c>
      <c r="I1228">
        <f>IF($AG1228="","",Config!$B$16)</f>
        <v/>
      </c>
      <c r="J1228">
        <f>IF($AG1228="","",INDEX('TMP Paste'!$A$2:$A$1601,$AG1228))</f>
        <v/>
      </c>
      <c r="K1228">
        <f>IF($AG1228="","",INDEX('TMP Paste'!$L$2:$L$1601,$AG1228))</f>
        <v/>
      </c>
      <c r="L1228">
        <f>IF($AG1228="","",INDEX('TMP Paste'!$I$2:$I$1601,$AG1228))</f>
        <v/>
      </c>
      <c r="M1228">
        <f>IF($AG1228="","",Config!$B$16)</f>
        <v/>
      </c>
      <c r="N1228">
        <f>IF($AG1228="","","")</f>
        <v/>
      </c>
      <c r="O1228">
        <f>IF($AG1228="","",INDEX('TMP Paste'!$K$2:$K$1601,$AG1228))</f>
        <v/>
      </c>
      <c r="P1228">
        <f>IF($AG1228="","","")</f>
        <v/>
      </c>
      <c r="Q1228">
        <f>IF($AG1228="","",INDEX('TMP Paste'!$J$2:$J$1601,$AG1228))</f>
        <v/>
      </c>
      <c r="R1228">
        <f>IF($AG1228="","",Config!$B$24)</f>
        <v/>
      </c>
      <c r="S1228">
        <f>IF($AG1228="","",TEXT(Config!$B$4,"yyyy-mm-dd"))</f>
        <v/>
      </c>
      <c r="T1228">
        <f>IF($AG1228="","",Config!$B$17)</f>
        <v/>
      </c>
      <c r="U1228">
        <f>IF($AG1228="","",Config!$B$18)</f>
        <v/>
      </c>
      <c r="V1228">
        <f>IF($AG1228="","",Config!$B$19)</f>
        <v/>
      </c>
      <c r="W1228">
        <f>IF($AG1228="","",INDEX('TMP Paste'!$C$2:$C$1601,$AG1228))</f>
        <v/>
      </c>
      <c r="X1228">
        <f>IF($AG1228="","",Config!$B$29)</f>
        <v/>
      </c>
      <c r="Y1228">
        <f>IF($AH1228="","",INDEX(Calc!$I$2:$I$1601,$AH1228)&amp;" - "&amp;INDEX(Calc!$D$2:$D$1601,$AH1228)&amp;" koli")</f>
        <v/>
      </c>
      <c r="Z1228">
        <f>IF($AG1228="","",Config!$B$21)</f>
        <v/>
      </c>
      <c r="AA1228">
        <f>IF($AG1228="","",Config!$B$22)</f>
        <v/>
      </c>
      <c r="AB1228">
        <f>IF($AH1228="","",INDEX(Calc!$D$2:$D$1601,$AH1228))</f>
        <v/>
      </c>
      <c r="AC1228">
        <f>IF($AH1228="","",INDEX(Calc!$G$2:$G$1601,$AH1228))</f>
        <v/>
      </c>
      <c r="AD1228">
        <f>IF($AG1228="","",Config!$B$23)</f>
        <v/>
      </c>
      <c r="AE1228">
        <f>IF($AG1228="","",Config!$B$28)</f>
        <v/>
      </c>
      <c r="AG1228">
        <f>IFERROR(MATCH(ROW()-1,Calc!$J$2:$J$1601,0),"")</f>
        <v/>
      </c>
      <c r="AH1228">
        <f>IFERROR(MATCH(ROW()-1,Calc!$K$2:$K$1601,0),"")</f>
        <v/>
      </c>
      <c r="AI1228">
        <f>IF($AG1228="","",SUMIF($AG$2:$AG1228,$AG1228,$AH$2:$AH1228))</f>
        <v/>
      </c>
      <c r="AJ1228">
        <f>IF('TMP Paste'!$F1228="","",IF('TMP Paste'!$B1228="",$AJ1227,'TMP Paste'!$B1228))</f>
        <v/>
      </c>
      <c r="AK1228">
        <f>IF('TMP Paste'!$F1228="","",N('TMP Paste'!$G1228))</f>
        <v/>
      </c>
      <c r="AL1228">
        <f>IF('TMP Paste'!$F1228="","",IF('TMP Paste'!$M1228="",$AL1227,'TMP Paste'!$M1228))</f>
        <v/>
      </c>
      <c r="AM1228">
        <f>IF('TMP Paste'!$F1228="","",IF('TMP Paste'!$N1228="",$AM1227,'TMP Paste'!$N1228))</f>
        <v/>
      </c>
      <c r="AN1228">
        <f>IF('TMP Paste'!$F1228="","",IF('TMP Paste'!$O1228="",$AN1227,'TMP Paste'!$O1228))</f>
        <v/>
      </c>
      <c r="AO1228">
        <f>IF('TMP Paste'!$F1228="","",IF('TMP Paste'!$P1228="",$AO1227,'TMP Paste'!$P1228))</f>
        <v/>
      </c>
      <c r="AP1228">
        <f>IF($AG1228="","",LEN($R1228))</f>
        <v/>
      </c>
      <c r="AQ1228">
        <f>IF($AG1228="","",TRIM(IF(COUNTIFS(Calc!$B$2:$B$1601,ROW()-1,Calc!$C$2:$C$1601,"&lt;1")&gt;0,"Ada PO tanpa Koli - cek TMP. ","")&amp;IF(LEN($R1228)&gt;500,"R &gt; 500 karakter.","")))</f>
        <v/>
      </c>
    </row>
    <row r="1229">
      <c r="A1229">
        <f>IF($AG1229="","",INDEX('TMP Paste'!$B$2:$B$1601,$AG1229))</f>
        <v/>
      </c>
      <c r="B1229">
        <f>IF($AG1229="","",Config!$B$14)</f>
        <v/>
      </c>
      <c r="C1229">
        <f>IF($AG1229="","",Config!$B$15)</f>
        <v/>
      </c>
      <c r="D1229">
        <f>IF($AG1229="","",INDEX('TMP Paste'!$B$2:$B$1601,$AG1229))</f>
        <v/>
      </c>
      <c r="E1229">
        <f>IF($AG1229="","",Config!$B$27)</f>
        <v/>
      </c>
      <c r="F1229">
        <f>IF($AG1229="","",Config!$B$9)</f>
        <v/>
      </c>
      <c r="G1229">
        <f>IF($AG1229="","",Config!$B$10)</f>
        <v/>
      </c>
      <c r="H1229">
        <f>IF($AG1229="","",Config!$B$11)</f>
        <v/>
      </c>
      <c r="I1229">
        <f>IF($AG1229="","",Config!$B$16)</f>
        <v/>
      </c>
      <c r="J1229">
        <f>IF($AG1229="","",INDEX('TMP Paste'!$A$2:$A$1601,$AG1229))</f>
        <v/>
      </c>
      <c r="K1229">
        <f>IF($AG1229="","",INDEX('TMP Paste'!$L$2:$L$1601,$AG1229))</f>
        <v/>
      </c>
      <c r="L1229">
        <f>IF($AG1229="","",INDEX('TMP Paste'!$I$2:$I$1601,$AG1229))</f>
        <v/>
      </c>
      <c r="M1229">
        <f>IF($AG1229="","",Config!$B$16)</f>
        <v/>
      </c>
      <c r="N1229">
        <f>IF($AG1229="","","")</f>
        <v/>
      </c>
      <c r="O1229">
        <f>IF($AG1229="","",INDEX('TMP Paste'!$K$2:$K$1601,$AG1229))</f>
        <v/>
      </c>
      <c r="P1229">
        <f>IF($AG1229="","","")</f>
        <v/>
      </c>
      <c r="Q1229">
        <f>IF($AG1229="","",INDEX('TMP Paste'!$J$2:$J$1601,$AG1229))</f>
        <v/>
      </c>
      <c r="R1229">
        <f>IF($AG1229="","",Config!$B$24)</f>
        <v/>
      </c>
      <c r="S1229">
        <f>IF($AG1229="","",TEXT(Config!$B$4,"yyyy-mm-dd"))</f>
        <v/>
      </c>
      <c r="T1229">
        <f>IF($AG1229="","",Config!$B$17)</f>
        <v/>
      </c>
      <c r="U1229">
        <f>IF($AG1229="","",Config!$B$18)</f>
        <v/>
      </c>
      <c r="V1229">
        <f>IF($AG1229="","",Config!$B$19)</f>
        <v/>
      </c>
      <c r="W1229">
        <f>IF($AG1229="","",INDEX('TMP Paste'!$C$2:$C$1601,$AG1229))</f>
        <v/>
      </c>
      <c r="X1229">
        <f>IF($AG1229="","",Config!$B$29)</f>
        <v/>
      </c>
      <c r="Y1229">
        <f>IF($AH1229="","",INDEX(Calc!$I$2:$I$1601,$AH1229)&amp;" - "&amp;INDEX(Calc!$D$2:$D$1601,$AH1229)&amp;" koli")</f>
        <v/>
      </c>
      <c r="Z1229">
        <f>IF($AG1229="","",Config!$B$21)</f>
        <v/>
      </c>
      <c r="AA1229">
        <f>IF($AG1229="","",Config!$B$22)</f>
        <v/>
      </c>
      <c r="AB1229">
        <f>IF($AH1229="","",INDEX(Calc!$D$2:$D$1601,$AH1229))</f>
        <v/>
      </c>
      <c r="AC1229">
        <f>IF($AH1229="","",INDEX(Calc!$G$2:$G$1601,$AH1229))</f>
        <v/>
      </c>
      <c r="AD1229">
        <f>IF($AG1229="","",Config!$B$23)</f>
        <v/>
      </c>
      <c r="AE1229">
        <f>IF($AG1229="","",Config!$B$28)</f>
        <v/>
      </c>
      <c r="AG1229">
        <f>IFERROR(MATCH(ROW()-1,Calc!$J$2:$J$1601,0),"")</f>
        <v/>
      </c>
      <c r="AH1229">
        <f>IFERROR(MATCH(ROW()-1,Calc!$K$2:$K$1601,0),"")</f>
        <v/>
      </c>
      <c r="AI1229">
        <f>IF($AG1229="","",SUMIF($AG$2:$AG1229,$AG1229,$AH$2:$AH1229))</f>
        <v/>
      </c>
      <c r="AJ1229">
        <f>IF('TMP Paste'!$F1229="","",IF('TMP Paste'!$B1229="",$AJ1228,'TMP Paste'!$B1229))</f>
        <v/>
      </c>
      <c r="AK1229">
        <f>IF('TMP Paste'!$F1229="","",N('TMP Paste'!$G1229))</f>
        <v/>
      </c>
      <c r="AL1229">
        <f>IF('TMP Paste'!$F1229="","",IF('TMP Paste'!$M1229="",$AL1228,'TMP Paste'!$M1229))</f>
        <v/>
      </c>
      <c r="AM1229">
        <f>IF('TMP Paste'!$F1229="","",IF('TMP Paste'!$N1229="",$AM1228,'TMP Paste'!$N1229))</f>
        <v/>
      </c>
      <c r="AN1229">
        <f>IF('TMP Paste'!$F1229="","",IF('TMP Paste'!$O1229="",$AN1228,'TMP Paste'!$O1229))</f>
        <v/>
      </c>
      <c r="AO1229">
        <f>IF('TMP Paste'!$F1229="","",IF('TMP Paste'!$P1229="",$AO1228,'TMP Paste'!$P1229))</f>
        <v/>
      </c>
      <c r="AP1229">
        <f>IF($AG1229="","",LEN($R1229))</f>
        <v/>
      </c>
      <c r="AQ1229">
        <f>IF($AG1229="","",TRIM(IF(COUNTIFS(Calc!$B$2:$B$1601,ROW()-1,Calc!$C$2:$C$1601,"&lt;1")&gt;0,"Ada PO tanpa Koli - cek TMP. ","")&amp;IF(LEN($R1229)&gt;500,"R &gt; 500 karakter.","")))</f>
        <v/>
      </c>
    </row>
    <row r="1230">
      <c r="A1230">
        <f>IF($AG1230="","",INDEX('TMP Paste'!$B$2:$B$1601,$AG1230))</f>
        <v/>
      </c>
      <c r="B1230">
        <f>IF($AG1230="","",Config!$B$14)</f>
        <v/>
      </c>
      <c r="C1230">
        <f>IF($AG1230="","",Config!$B$15)</f>
        <v/>
      </c>
      <c r="D1230">
        <f>IF($AG1230="","",INDEX('TMP Paste'!$B$2:$B$1601,$AG1230))</f>
        <v/>
      </c>
      <c r="E1230">
        <f>IF($AG1230="","",Config!$B$27)</f>
        <v/>
      </c>
      <c r="F1230">
        <f>IF($AG1230="","",Config!$B$9)</f>
        <v/>
      </c>
      <c r="G1230">
        <f>IF($AG1230="","",Config!$B$10)</f>
        <v/>
      </c>
      <c r="H1230">
        <f>IF($AG1230="","",Config!$B$11)</f>
        <v/>
      </c>
      <c r="I1230">
        <f>IF($AG1230="","",Config!$B$16)</f>
        <v/>
      </c>
      <c r="J1230">
        <f>IF($AG1230="","",INDEX('TMP Paste'!$A$2:$A$1601,$AG1230))</f>
        <v/>
      </c>
      <c r="K1230">
        <f>IF($AG1230="","",INDEX('TMP Paste'!$L$2:$L$1601,$AG1230))</f>
        <v/>
      </c>
      <c r="L1230">
        <f>IF($AG1230="","",INDEX('TMP Paste'!$I$2:$I$1601,$AG1230))</f>
        <v/>
      </c>
      <c r="M1230">
        <f>IF($AG1230="","",Config!$B$16)</f>
        <v/>
      </c>
      <c r="N1230">
        <f>IF($AG1230="","","")</f>
        <v/>
      </c>
      <c r="O1230">
        <f>IF($AG1230="","",INDEX('TMP Paste'!$K$2:$K$1601,$AG1230))</f>
        <v/>
      </c>
      <c r="P1230">
        <f>IF($AG1230="","","")</f>
        <v/>
      </c>
      <c r="Q1230">
        <f>IF($AG1230="","",INDEX('TMP Paste'!$J$2:$J$1601,$AG1230))</f>
        <v/>
      </c>
      <c r="R1230">
        <f>IF($AG1230="","",Config!$B$24)</f>
        <v/>
      </c>
      <c r="S1230">
        <f>IF($AG1230="","",TEXT(Config!$B$4,"yyyy-mm-dd"))</f>
        <v/>
      </c>
      <c r="T1230">
        <f>IF($AG1230="","",Config!$B$17)</f>
        <v/>
      </c>
      <c r="U1230">
        <f>IF($AG1230="","",Config!$B$18)</f>
        <v/>
      </c>
      <c r="V1230">
        <f>IF($AG1230="","",Config!$B$19)</f>
        <v/>
      </c>
      <c r="W1230">
        <f>IF($AG1230="","",INDEX('TMP Paste'!$C$2:$C$1601,$AG1230))</f>
        <v/>
      </c>
      <c r="X1230">
        <f>IF($AG1230="","",Config!$B$29)</f>
        <v/>
      </c>
      <c r="Y1230">
        <f>IF($AH1230="","",INDEX(Calc!$I$2:$I$1601,$AH1230)&amp;" - "&amp;INDEX(Calc!$D$2:$D$1601,$AH1230)&amp;" koli")</f>
        <v/>
      </c>
      <c r="Z1230">
        <f>IF($AG1230="","",Config!$B$21)</f>
        <v/>
      </c>
      <c r="AA1230">
        <f>IF($AG1230="","",Config!$B$22)</f>
        <v/>
      </c>
      <c r="AB1230">
        <f>IF($AH1230="","",INDEX(Calc!$D$2:$D$1601,$AH1230))</f>
        <v/>
      </c>
      <c r="AC1230">
        <f>IF($AH1230="","",INDEX(Calc!$G$2:$G$1601,$AH1230))</f>
        <v/>
      </c>
      <c r="AD1230">
        <f>IF($AG1230="","",Config!$B$23)</f>
        <v/>
      </c>
      <c r="AE1230">
        <f>IF($AG1230="","",Config!$B$28)</f>
        <v/>
      </c>
      <c r="AG1230">
        <f>IFERROR(MATCH(ROW()-1,Calc!$J$2:$J$1601,0),"")</f>
        <v/>
      </c>
      <c r="AH1230">
        <f>IFERROR(MATCH(ROW()-1,Calc!$K$2:$K$1601,0),"")</f>
        <v/>
      </c>
      <c r="AI1230">
        <f>IF($AG1230="","",SUMIF($AG$2:$AG1230,$AG1230,$AH$2:$AH1230))</f>
        <v/>
      </c>
      <c r="AJ1230">
        <f>IF('TMP Paste'!$F1230="","",IF('TMP Paste'!$B1230="",$AJ1229,'TMP Paste'!$B1230))</f>
        <v/>
      </c>
      <c r="AK1230">
        <f>IF('TMP Paste'!$F1230="","",N('TMP Paste'!$G1230))</f>
        <v/>
      </c>
      <c r="AL1230">
        <f>IF('TMP Paste'!$F1230="","",IF('TMP Paste'!$M1230="",$AL1229,'TMP Paste'!$M1230))</f>
        <v/>
      </c>
      <c r="AM1230">
        <f>IF('TMP Paste'!$F1230="","",IF('TMP Paste'!$N1230="",$AM1229,'TMP Paste'!$N1230))</f>
        <v/>
      </c>
      <c r="AN1230">
        <f>IF('TMP Paste'!$F1230="","",IF('TMP Paste'!$O1230="",$AN1229,'TMP Paste'!$O1230))</f>
        <v/>
      </c>
      <c r="AO1230">
        <f>IF('TMP Paste'!$F1230="","",IF('TMP Paste'!$P1230="",$AO1229,'TMP Paste'!$P1230))</f>
        <v/>
      </c>
      <c r="AP1230">
        <f>IF($AG1230="","",LEN($R1230))</f>
        <v/>
      </c>
      <c r="AQ1230">
        <f>IF($AG1230="","",TRIM(IF(COUNTIFS(Calc!$B$2:$B$1601,ROW()-1,Calc!$C$2:$C$1601,"&lt;1")&gt;0,"Ada PO tanpa Koli - cek TMP. ","")&amp;IF(LEN($R1230)&gt;500,"R &gt; 500 karakter.","")))</f>
        <v/>
      </c>
    </row>
    <row r="1231">
      <c r="A1231">
        <f>IF($AG1231="","",INDEX('TMP Paste'!$B$2:$B$1601,$AG1231))</f>
        <v/>
      </c>
      <c r="B1231">
        <f>IF($AG1231="","",Config!$B$14)</f>
        <v/>
      </c>
      <c r="C1231">
        <f>IF($AG1231="","",Config!$B$15)</f>
        <v/>
      </c>
      <c r="D1231">
        <f>IF($AG1231="","",INDEX('TMP Paste'!$B$2:$B$1601,$AG1231))</f>
        <v/>
      </c>
      <c r="E1231">
        <f>IF($AG1231="","",Config!$B$27)</f>
        <v/>
      </c>
      <c r="F1231">
        <f>IF($AG1231="","",Config!$B$9)</f>
        <v/>
      </c>
      <c r="G1231">
        <f>IF($AG1231="","",Config!$B$10)</f>
        <v/>
      </c>
      <c r="H1231">
        <f>IF($AG1231="","",Config!$B$11)</f>
        <v/>
      </c>
      <c r="I1231">
        <f>IF($AG1231="","",Config!$B$16)</f>
        <v/>
      </c>
      <c r="J1231">
        <f>IF($AG1231="","",INDEX('TMP Paste'!$A$2:$A$1601,$AG1231))</f>
        <v/>
      </c>
      <c r="K1231">
        <f>IF($AG1231="","",INDEX('TMP Paste'!$L$2:$L$1601,$AG1231))</f>
        <v/>
      </c>
      <c r="L1231">
        <f>IF($AG1231="","",INDEX('TMP Paste'!$I$2:$I$1601,$AG1231))</f>
        <v/>
      </c>
      <c r="M1231">
        <f>IF($AG1231="","",Config!$B$16)</f>
        <v/>
      </c>
      <c r="N1231">
        <f>IF($AG1231="","","")</f>
        <v/>
      </c>
      <c r="O1231">
        <f>IF($AG1231="","",INDEX('TMP Paste'!$K$2:$K$1601,$AG1231))</f>
        <v/>
      </c>
      <c r="P1231">
        <f>IF($AG1231="","","")</f>
        <v/>
      </c>
      <c r="Q1231">
        <f>IF($AG1231="","",INDEX('TMP Paste'!$J$2:$J$1601,$AG1231))</f>
        <v/>
      </c>
      <c r="R1231">
        <f>IF($AG1231="","",Config!$B$24)</f>
        <v/>
      </c>
      <c r="S1231">
        <f>IF($AG1231="","",TEXT(Config!$B$4,"yyyy-mm-dd"))</f>
        <v/>
      </c>
      <c r="T1231">
        <f>IF($AG1231="","",Config!$B$17)</f>
        <v/>
      </c>
      <c r="U1231">
        <f>IF($AG1231="","",Config!$B$18)</f>
        <v/>
      </c>
      <c r="V1231">
        <f>IF($AG1231="","",Config!$B$19)</f>
        <v/>
      </c>
      <c r="W1231">
        <f>IF($AG1231="","",INDEX('TMP Paste'!$C$2:$C$1601,$AG1231))</f>
        <v/>
      </c>
      <c r="X1231">
        <f>IF($AG1231="","",Config!$B$29)</f>
        <v/>
      </c>
      <c r="Y1231">
        <f>IF($AH1231="","",INDEX(Calc!$I$2:$I$1601,$AH1231)&amp;" - "&amp;INDEX(Calc!$D$2:$D$1601,$AH1231)&amp;" koli")</f>
        <v/>
      </c>
      <c r="Z1231">
        <f>IF($AG1231="","",Config!$B$21)</f>
        <v/>
      </c>
      <c r="AA1231">
        <f>IF($AG1231="","",Config!$B$22)</f>
        <v/>
      </c>
      <c r="AB1231">
        <f>IF($AH1231="","",INDEX(Calc!$D$2:$D$1601,$AH1231))</f>
        <v/>
      </c>
      <c r="AC1231">
        <f>IF($AH1231="","",INDEX(Calc!$G$2:$G$1601,$AH1231))</f>
        <v/>
      </c>
      <c r="AD1231">
        <f>IF($AG1231="","",Config!$B$23)</f>
        <v/>
      </c>
      <c r="AE1231">
        <f>IF($AG1231="","",Config!$B$28)</f>
        <v/>
      </c>
      <c r="AG1231">
        <f>IFERROR(MATCH(ROW()-1,Calc!$J$2:$J$1601,0),"")</f>
        <v/>
      </c>
      <c r="AH1231">
        <f>IFERROR(MATCH(ROW()-1,Calc!$K$2:$K$1601,0),"")</f>
        <v/>
      </c>
      <c r="AI1231">
        <f>IF($AG1231="","",SUMIF($AG$2:$AG1231,$AG1231,$AH$2:$AH1231))</f>
        <v/>
      </c>
      <c r="AJ1231">
        <f>IF('TMP Paste'!$F1231="","",IF('TMP Paste'!$B1231="",$AJ1230,'TMP Paste'!$B1231))</f>
        <v/>
      </c>
      <c r="AK1231">
        <f>IF('TMP Paste'!$F1231="","",N('TMP Paste'!$G1231))</f>
        <v/>
      </c>
      <c r="AL1231">
        <f>IF('TMP Paste'!$F1231="","",IF('TMP Paste'!$M1231="",$AL1230,'TMP Paste'!$M1231))</f>
        <v/>
      </c>
      <c r="AM1231">
        <f>IF('TMP Paste'!$F1231="","",IF('TMP Paste'!$N1231="",$AM1230,'TMP Paste'!$N1231))</f>
        <v/>
      </c>
      <c r="AN1231">
        <f>IF('TMP Paste'!$F1231="","",IF('TMP Paste'!$O1231="",$AN1230,'TMP Paste'!$O1231))</f>
        <v/>
      </c>
      <c r="AO1231">
        <f>IF('TMP Paste'!$F1231="","",IF('TMP Paste'!$P1231="",$AO1230,'TMP Paste'!$P1231))</f>
        <v/>
      </c>
      <c r="AP1231">
        <f>IF($AG1231="","",LEN($R1231))</f>
        <v/>
      </c>
      <c r="AQ1231">
        <f>IF($AG1231="","",TRIM(IF(COUNTIFS(Calc!$B$2:$B$1601,ROW()-1,Calc!$C$2:$C$1601,"&lt;1")&gt;0,"Ada PO tanpa Koli - cek TMP. ","")&amp;IF(LEN($R1231)&gt;500,"R &gt; 500 karakter.","")))</f>
        <v/>
      </c>
    </row>
    <row r="1232">
      <c r="A1232">
        <f>IF($AG1232="","",INDEX('TMP Paste'!$B$2:$B$1601,$AG1232))</f>
        <v/>
      </c>
      <c r="B1232">
        <f>IF($AG1232="","",Config!$B$14)</f>
        <v/>
      </c>
      <c r="C1232">
        <f>IF($AG1232="","",Config!$B$15)</f>
        <v/>
      </c>
      <c r="D1232">
        <f>IF($AG1232="","",INDEX('TMP Paste'!$B$2:$B$1601,$AG1232))</f>
        <v/>
      </c>
      <c r="E1232">
        <f>IF($AG1232="","",Config!$B$27)</f>
        <v/>
      </c>
      <c r="F1232">
        <f>IF($AG1232="","",Config!$B$9)</f>
        <v/>
      </c>
      <c r="G1232">
        <f>IF($AG1232="","",Config!$B$10)</f>
        <v/>
      </c>
      <c r="H1232">
        <f>IF($AG1232="","",Config!$B$11)</f>
        <v/>
      </c>
      <c r="I1232">
        <f>IF($AG1232="","",Config!$B$16)</f>
        <v/>
      </c>
      <c r="J1232">
        <f>IF($AG1232="","",INDEX('TMP Paste'!$A$2:$A$1601,$AG1232))</f>
        <v/>
      </c>
      <c r="K1232">
        <f>IF($AG1232="","",INDEX('TMP Paste'!$L$2:$L$1601,$AG1232))</f>
        <v/>
      </c>
      <c r="L1232">
        <f>IF($AG1232="","",INDEX('TMP Paste'!$I$2:$I$1601,$AG1232))</f>
        <v/>
      </c>
      <c r="M1232">
        <f>IF($AG1232="","",Config!$B$16)</f>
        <v/>
      </c>
      <c r="N1232">
        <f>IF($AG1232="","","")</f>
        <v/>
      </c>
      <c r="O1232">
        <f>IF($AG1232="","",INDEX('TMP Paste'!$K$2:$K$1601,$AG1232))</f>
        <v/>
      </c>
      <c r="P1232">
        <f>IF($AG1232="","","")</f>
        <v/>
      </c>
      <c r="Q1232">
        <f>IF($AG1232="","",INDEX('TMP Paste'!$J$2:$J$1601,$AG1232))</f>
        <v/>
      </c>
      <c r="R1232">
        <f>IF($AG1232="","",Config!$B$24)</f>
        <v/>
      </c>
      <c r="S1232">
        <f>IF($AG1232="","",TEXT(Config!$B$4,"yyyy-mm-dd"))</f>
        <v/>
      </c>
      <c r="T1232">
        <f>IF($AG1232="","",Config!$B$17)</f>
        <v/>
      </c>
      <c r="U1232">
        <f>IF($AG1232="","",Config!$B$18)</f>
        <v/>
      </c>
      <c r="V1232">
        <f>IF($AG1232="","",Config!$B$19)</f>
        <v/>
      </c>
      <c r="W1232">
        <f>IF($AG1232="","",INDEX('TMP Paste'!$C$2:$C$1601,$AG1232))</f>
        <v/>
      </c>
      <c r="X1232">
        <f>IF($AG1232="","",Config!$B$29)</f>
        <v/>
      </c>
      <c r="Y1232">
        <f>IF($AH1232="","",INDEX(Calc!$I$2:$I$1601,$AH1232)&amp;" - "&amp;INDEX(Calc!$D$2:$D$1601,$AH1232)&amp;" koli")</f>
        <v/>
      </c>
      <c r="Z1232">
        <f>IF($AG1232="","",Config!$B$21)</f>
        <v/>
      </c>
      <c r="AA1232">
        <f>IF($AG1232="","",Config!$B$22)</f>
        <v/>
      </c>
      <c r="AB1232">
        <f>IF($AH1232="","",INDEX(Calc!$D$2:$D$1601,$AH1232))</f>
        <v/>
      </c>
      <c r="AC1232">
        <f>IF($AH1232="","",INDEX(Calc!$G$2:$G$1601,$AH1232))</f>
        <v/>
      </c>
      <c r="AD1232">
        <f>IF($AG1232="","",Config!$B$23)</f>
        <v/>
      </c>
      <c r="AE1232">
        <f>IF($AG1232="","",Config!$B$28)</f>
        <v/>
      </c>
      <c r="AG1232">
        <f>IFERROR(MATCH(ROW()-1,Calc!$J$2:$J$1601,0),"")</f>
        <v/>
      </c>
      <c r="AH1232">
        <f>IFERROR(MATCH(ROW()-1,Calc!$K$2:$K$1601,0),"")</f>
        <v/>
      </c>
      <c r="AI1232">
        <f>IF($AG1232="","",SUMIF($AG$2:$AG1232,$AG1232,$AH$2:$AH1232))</f>
        <v/>
      </c>
      <c r="AJ1232">
        <f>IF('TMP Paste'!$F1232="","",IF('TMP Paste'!$B1232="",$AJ1231,'TMP Paste'!$B1232))</f>
        <v/>
      </c>
      <c r="AK1232">
        <f>IF('TMP Paste'!$F1232="","",N('TMP Paste'!$G1232))</f>
        <v/>
      </c>
      <c r="AL1232">
        <f>IF('TMP Paste'!$F1232="","",IF('TMP Paste'!$M1232="",$AL1231,'TMP Paste'!$M1232))</f>
        <v/>
      </c>
      <c r="AM1232">
        <f>IF('TMP Paste'!$F1232="","",IF('TMP Paste'!$N1232="",$AM1231,'TMP Paste'!$N1232))</f>
        <v/>
      </c>
      <c r="AN1232">
        <f>IF('TMP Paste'!$F1232="","",IF('TMP Paste'!$O1232="",$AN1231,'TMP Paste'!$O1232))</f>
        <v/>
      </c>
      <c r="AO1232">
        <f>IF('TMP Paste'!$F1232="","",IF('TMP Paste'!$P1232="",$AO1231,'TMP Paste'!$P1232))</f>
        <v/>
      </c>
      <c r="AP1232">
        <f>IF($AG1232="","",LEN($R1232))</f>
        <v/>
      </c>
      <c r="AQ1232">
        <f>IF($AG1232="","",TRIM(IF(COUNTIFS(Calc!$B$2:$B$1601,ROW()-1,Calc!$C$2:$C$1601,"&lt;1")&gt;0,"Ada PO tanpa Koli - cek TMP. ","")&amp;IF(LEN($R1232)&gt;500,"R &gt; 500 karakter.","")))</f>
        <v/>
      </c>
    </row>
    <row r="1233">
      <c r="A1233">
        <f>IF($AG1233="","",INDEX('TMP Paste'!$B$2:$B$1601,$AG1233))</f>
        <v/>
      </c>
      <c r="B1233">
        <f>IF($AG1233="","",Config!$B$14)</f>
        <v/>
      </c>
      <c r="C1233">
        <f>IF($AG1233="","",Config!$B$15)</f>
        <v/>
      </c>
      <c r="D1233">
        <f>IF($AG1233="","",INDEX('TMP Paste'!$B$2:$B$1601,$AG1233))</f>
        <v/>
      </c>
      <c r="E1233">
        <f>IF($AG1233="","",Config!$B$27)</f>
        <v/>
      </c>
      <c r="F1233">
        <f>IF($AG1233="","",Config!$B$9)</f>
        <v/>
      </c>
      <c r="G1233">
        <f>IF($AG1233="","",Config!$B$10)</f>
        <v/>
      </c>
      <c r="H1233">
        <f>IF($AG1233="","",Config!$B$11)</f>
        <v/>
      </c>
      <c r="I1233">
        <f>IF($AG1233="","",Config!$B$16)</f>
        <v/>
      </c>
      <c r="J1233">
        <f>IF($AG1233="","",INDEX('TMP Paste'!$A$2:$A$1601,$AG1233))</f>
        <v/>
      </c>
      <c r="K1233">
        <f>IF($AG1233="","",INDEX('TMP Paste'!$L$2:$L$1601,$AG1233))</f>
        <v/>
      </c>
      <c r="L1233">
        <f>IF($AG1233="","",INDEX('TMP Paste'!$I$2:$I$1601,$AG1233))</f>
        <v/>
      </c>
      <c r="M1233">
        <f>IF($AG1233="","",Config!$B$16)</f>
        <v/>
      </c>
      <c r="N1233">
        <f>IF($AG1233="","","")</f>
        <v/>
      </c>
      <c r="O1233">
        <f>IF($AG1233="","",INDEX('TMP Paste'!$K$2:$K$1601,$AG1233))</f>
        <v/>
      </c>
      <c r="P1233">
        <f>IF($AG1233="","","")</f>
        <v/>
      </c>
      <c r="Q1233">
        <f>IF($AG1233="","",INDEX('TMP Paste'!$J$2:$J$1601,$AG1233))</f>
        <v/>
      </c>
      <c r="R1233">
        <f>IF($AG1233="","",Config!$B$24)</f>
        <v/>
      </c>
      <c r="S1233">
        <f>IF($AG1233="","",TEXT(Config!$B$4,"yyyy-mm-dd"))</f>
        <v/>
      </c>
      <c r="T1233">
        <f>IF($AG1233="","",Config!$B$17)</f>
        <v/>
      </c>
      <c r="U1233">
        <f>IF($AG1233="","",Config!$B$18)</f>
        <v/>
      </c>
      <c r="V1233">
        <f>IF($AG1233="","",Config!$B$19)</f>
        <v/>
      </c>
      <c r="W1233">
        <f>IF($AG1233="","",INDEX('TMP Paste'!$C$2:$C$1601,$AG1233))</f>
        <v/>
      </c>
      <c r="X1233">
        <f>IF($AG1233="","",Config!$B$29)</f>
        <v/>
      </c>
      <c r="Y1233">
        <f>IF($AH1233="","",INDEX(Calc!$I$2:$I$1601,$AH1233)&amp;" - "&amp;INDEX(Calc!$D$2:$D$1601,$AH1233)&amp;" koli")</f>
        <v/>
      </c>
      <c r="Z1233">
        <f>IF($AG1233="","",Config!$B$21)</f>
        <v/>
      </c>
      <c r="AA1233">
        <f>IF($AG1233="","",Config!$B$22)</f>
        <v/>
      </c>
      <c r="AB1233">
        <f>IF($AH1233="","",INDEX(Calc!$D$2:$D$1601,$AH1233))</f>
        <v/>
      </c>
      <c r="AC1233">
        <f>IF($AH1233="","",INDEX(Calc!$G$2:$G$1601,$AH1233))</f>
        <v/>
      </c>
      <c r="AD1233">
        <f>IF($AG1233="","",Config!$B$23)</f>
        <v/>
      </c>
      <c r="AE1233">
        <f>IF($AG1233="","",Config!$B$28)</f>
        <v/>
      </c>
      <c r="AG1233">
        <f>IFERROR(MATCH(ROW()-1,Calc!$J$2:$J$1601,0),"")</f>
        <v/>
      </c>
      <c r="AH1233">
        <f>IFERROR(MATCH(ROW()-1,Calc!$K$2:$K$1601,0),"")</f>
        <v/>
      </c>
      <c r="AI1233">
        <f>IF($AG1233="","",SUMIF($AG$2:$AG1233,$AG1233,$AH$2:$AH1233))</f>
        <v/>
      </c>
      <c r="AJ1233">
        <f>IF('TMP Paste'!$F1233="","",IF('TMP Paste'!$B1233="",$AJ1232,'TMP Paste'!$B1233))</f>
        <v/>
      </c>
      <c r="AK1233">
        <f>IF('TMP Paste'!$F1233="","",N('TMP Paste'!$G1233))</f>
        <v/>
      </c>
      <c r="AL1233">
        <f>IF('TMP Paste'!$F1233="","",IF('TMP Paste'!$M1233="",$AL1232,'TMP Paste'!$M1233))</f>
        <v/>
      </c>
      <c r="AM1233">
        <f>IF('TMP Paste'!$F1233="","",IF('TMP Paste'!$N1233="",$AM1232,'TMP Paste'!$N1233))</f>
        <v/>
      </c>
      <c r="AN1233">
        <f>IF('TMP Paste'!$F1233="","",IF('TMP Paste'!$O1233="",$AN1232,'TMP Paste'!$O1233))</f>
        <v/>
      </c>
      <c r="AO1233">
        <f>IF('TMP Paste'!$F1233="","",IF('TMP Paste'!$P1233="",$AO1232,'TMP Paste'!$P1233))</f>
        <v/>
      </c>
      <c r="AP1233">
        <f>IF($AG1233="","",LEN($R1233))</f>
        <v/>
      </c>
      <c r="AQ1233">
        <f>IF($AG1233="","",TRIM(IF(COUNTIFS(Calc!$B$2:$B$1601,ROW()-1,Calc!$C$2:$C$1601,"&lt;1")&gt;0,"Ada PO tanpa Koli - cek TMP. ","")&amp;IF(LEN($R1233)&gt;500,"R &gt; 500 karakter.","")))</f>
        <v/>
      </c>
    </row>
    <row r="1234">
      <c r="A1234">
        <f>IF($AG1234="","",INDEX('TMP Paste'!$B$2:$B$1601,$AG1234))</f>
        <v/>
      </c>
      <c r="B1234">
        <f>IF($AG1234="","",Config!$B$14)</f>
        <v/>
      </c>
      <c r="C1234">
        <f>IF($AG1234="","",Config!$B$15)</f>
        <v/>
      </c>
      <c r="D1234">
        <f>IF($AG1234="","",INDEX('TMP Paste'!$B$2:$B$1601,$AG1234))</f>
        <v/>
      </c>
      <c r="E1234">
        <f>IF($AG1234="","",Config!$B$27)</f>
        <v/>
      </c>
      <c r="F1234">
        <f>IF($AG1234="","",Config!$B$9)</f>
        <v/>
      </c>
      <c r="G1234">
        <f>IF($AG1234="","",Config!$B$10)</f>
        <v/>
      </c>
      <c r="H1234">
        <f>IF($AG1234="","",Config!$B$11)</f>
        <v/>
      </c>
      <c r="I1234">
        <f>IF($AG1234="","",Config!$B$16)</f>
        <v/>
      </c>
      <c r="J1234">
        <f>IF($AG1234="","",INDEX('TMP Paste'!$A$2:$A$1601,$AG1234))</f>
        <v/>
      </c>
      <c r="K1234">
        <f>IF($AG1234="","",INDEX('TMP Paste'!$L$2:$L$1601,$AG1234))</f>
        <v/>
      </c>
      <c r="L1234">
        <f>IF($AG1234="","",INDEX('TMP Paste'!$I$2:$I$1601,$AG1234))</f>
        <v/>
      </c>
      <c r="M1234">
        <f>IF($AG1234="","",Config!$B$16)</f>
        <v/>
      </c>
      <c r="N1234">
        <f>IF($AG1234="","","")</f>
        <v/>
      </c>
      <c r="O1234">
        <f>IF($AG1234="","",INDEX('TMP Paste'!$K$2:$K$1601,$AG1234))</f>
        <v/>
      </c>
      <c r="P1234">
        <f>IF($AG1234="","","")</f>
        <v/>
      </c>
      <c r="Q1234">
        <f>IF($AG1234="","",INDEX('TMP Paste'!$J$2:$J$1601,$AG1234))</f>
        <v/>
      </c>
      <c r="R1234">
        <f>IF($AG1234="","",Config!$B$24)</f>
        <v/>
      </c>
      <c r="S1234">
        <f>IF($AG1234="","",TEXT(Config!$B$4,"yyyy-mm-dd"))</f>
        <v/>
      </c>
      <c r="T1234">
        <f>IF($AG1234="","",Config!$B$17)</f>
        <v/>
      </c>
      <c r="U1234">
        <f>IF($AG1234="","",Config!$B$18)</f>
        <v/>
      </c>
      <c r="V1234">
        <f>IF($AG1234="","",Config!$B$19)</f>
        <v/>
      </c>
      <c r="W1234">
        <f>IF($AG1234="","",INDEX('TMP Paste'!$C$2:$C$1601,$AG1234))</f>
        <v/>
      </c>
      <c r="X1234">
        <f>IF($AG1234="","",Config!$B$29)</f>
        <v/>
      </c>
      <c r="Y1234">
        <f>IF($AH1234="","",INDEX(Calc!$I$2:$I$1601,$AH1234)&amp;" - "&amp;INDEX(Calc!$D$2:$D$1601,$AH1234)&amp;" koli")</f>
        <v/>
      </c>
      <c r="Z1234">
        <f>IF($AG1234="","",Config!$B$21)</f>
        <v/>
      </c>
      <c r="AA1234">
        <f>IF($AG1234="","",Config!$B$22)</f>
        <v/>
      </c>
      <c r="AB1234">
        <f>IF($AH1234="","",INDEX(Calc!$D$2:$D$1601,$AH1234))</f>
        <v/>
      </c>
      <c r="AC1234">
        <f>IF($AH1234="","",INDEX(Calc!$G$2:$G$1601,$AH1234))</f>
        <v/>
      </c>
      <c r="AD1234">
        <f>IF($AG1234="","",Config!$B$23)</f>
        <v/>
      </c>
      <c r="AE1234">
        <f>IF($AG1234="","",Config!$B$28)</f>
        <v/>
      </c>
      <c r="AG1234">
        <f>IFERROR(MATCH(ROW()-1,Calc!$J$2:$J$1601,0),"")</f>
        <v/>
      </c>
      <c r="AH1234">
        <f>IFERROR(MATCH(ROW()-1,Calc!$K$2:$K$1601,0),"")</f>
        <v/>
      </c>
      <c r="AI1234">
        <f>IF($AG1234="","",SUMIF($AG$2:$AG1234,$AG1234,$AH$2:$AH1234))</f>
        <v/>
      </c>
      <c r="AJ1234">
        <f>IF('TMP Paste'!$F1234="","",IF('TMP Paste'!$B1234="",$AJ1233,'TMP Paste'!$B1234))</f>
        <v/>
      </c>
      <c r="AK1234">
        <f>IF('TMP Paste'!$F1234="","",N('TMP Paste'!$G1234))</f>
        <v/>
      </c>
      <c r="AL1234">
        <f>IF('TMP Paste'!$F1234="","",IF('TMP Paste'!$M1234="",$AL1233,'TMP Paste'!$M1234))</f>
        <v/>
      </c>
      <c r="AM1234">
        <f>IF('TMP Paste'!$F1234="","",IF('TMP Paste'!$N1234="",$AM1233,'TMP Paste'!$N1234))</f>
        <v/>
      </c>
      <c r="AN1234">
        <f>IF('TMP Paste'!$F1234="","",IF('TMP Paste'!$O1234="",$AN1233,'TMP Paste'!$O1234))</f>
        <v/>
      </c>
      <c r="AO1234">
        <f>IF('TMP Paste'!$F1234="","",IF('TMP Paste'!$P1234="",$AO1233,'TMP Paste'!$P1234))</f>
        <v/>
      </c>
      <c r="AP1234">
        <f>IF($AG1234="","",LEN($R1234))</f>
        <v/>
      </c>
      <c r="AQ1234">
        <f>IF($AG1234="","",TRIM(IF(COUNTIFS(Calc!$B$2:$B$1601,ROW()-1,Calc!$C$2:$C$1601,"&lt;1")&gt;0,"Ada PO tanpa Koli - cek TMP. ","")&amp;IF(LEN($R1234)&gt;500,"R &gt; 500 karakter.","")))</f>
        <v/>
      </c>
    </row>
    <row r="1235">
      <c r="A1235">
        <f>IF($AG1235="","",INDEX('TMP Paste'!$B$2:$B$1601,$AG1235))</f>
        <v/>
      </c>
      <c r="B1235">
        <f>IF($AG1235="","",Config!$B$14)</f>
        <v/>
      </c>
      <c r="C1235">
        <f>IF($AG1235="","",Config!$B$15)</f>
        <v/>
      </c>
      <c r="D1235">
        <f>IF($AG1235="","",INDEX('TMP Paste'!$B$2:$B$1601,$AG1235))</f>
        <v/>
      </c>
      <c r="E1235">
        <f>IF($AG1235="","",Config!$B$27)</f>
        <v/>
      </c>
      <c r="F1235">
        <f>IF($AG1235="","",Config!$B$9)</f>
        <v/>
      </c>
      <c r="G1235">
        <f>IF($AG1235="","",Config!$B$10)</f>
        <v/>
      </c>
      <c r="H1235">
        <f>IF($AG1235="","",Config!$B$11)</f>
        <v/>
      </c>
      <c r="I1235">
        <f>IF($AG1235="","",Config!$B$16)</f>
        <v/>
      </c>
      <c r="J1235">
        <f>IF($AG1235="","",INDEX('TMP Paste'!$A$2:$A$1601,$AG1235))</f>
        <v/>
      </c>
      <c r="K1235">
        <f>IF($AG1235="","",INDEX('TMP Paste'!$L$2:$L$1601,$AG1235))</f>
        <v/>
      </c>
      <c r="L1235">
        <f>IF($AG1235="","",INDEX('TMP Paste'!$I$2:$I$1601,$AG1235))</f>
        <v/>
      </c>
      <c r="M1235">
        <f>IF($AG1235="","",Config!$B$16)</f>
        <v/>
      </c>
      <c r="N1235">
        <f>IF($AG1235="","","")</f>
        <v/>
      </c>
      <c r="O1235">
        <f>IF($AG1235="","",INDEX('TMP Paste'!$K$2:$K$1601,$AG1235))</f>
        <v/>
      </c>
      <c r="P1235">
        <f>IF($AG1235="","","")</f>
        <v/>
      </c>
      <c r="Q1235">
        <f>IF($AG1235="","",INDEX('TMP Paste'!$J$2:$J$1601,$AG1235))</f>
        <v/>
      </c>
      <c r="R1235">
        <f>IF($AG1235="","",Config!$B$24)</f>
        <v/>
      </c>
      <c r="S1235">
        <f>IF($AG1235="","",TEXT(Config!$B$4,"yyyy-mm-dd"))</f>
        <v/>
      </c>
      <c r="T1235">
        <f>IF($AG1235="","",Config!$B$17)</f>
        <v/>
      </c>
      <c r="U1235">
        <f>IF($AG1235="","",Config!$B$18)</f>
        <v/>
      </c>
      <c r="V1235">
        <f>IF($AG1235="","",Config!$B$19)</f>
        <v/>
      </c>
      <c r="W1235">
        <f>IF($AG1235="","",INDEX('TMP Paste'!$C$2:$C$1601,$AG1235))</f>
        <v/>
      </c>
      <c r="X1235">
        <f>IF($AG1235="","",Config!$B$29)</f>
        <v/>
      </c>
      <c r="Y1235">
        <f>IF($AH1235="","",INDEX(Calc!$I$2:$I$1601,$AH1235)&amp;" - "&amp;INDEX(Calc!$D$2:$D$1601,$AH1235)&amp;" koli")</f>
        <v/>
      </c>
      <c r="Z1235">
        <f>IF($AG1235="","",Config!$B$21)</f>
        <v/>
      </c>
      <c r="AA1235">
        <f>IF($AG1235="","",Config!$B$22)</f>
        <v/>
      </c>
      <c r="AB1235">
        <f>IF($AH1235="","",INDEX(Calc!$D$2:$D$1601,$AH1235))</f>
        <v/>
      </c>
      <c r="AC1235">
        <f>IF($AH1235="","",INDEX(Calc!$G$2:$G$1601,$AH1235))</f>
        <v/>
      </c>
      <c r="AD1235">
        <f>IF($AG1235="","",Config!$B$23)</f>
        <v/>
      </c>
      <c r="AE1235">
        <f>IF($AG1235="","",Config!$B$28)</f>
        <v/>
      </c>
      <c r="AG1235">
        <f>IFERROR(MATCH(ROW()-1,Calc!$J$2:$J$1601,0),"")</f>
        <v/>
      </c>
      <c r="AH1235">
        <f>IFERROR(MATCH(ROW()-1,Calc!$K$2:$K$1601,0),"")</f>
        <v/>
      </c>
      <c r="AI1235">
        <f>IF($AG1235="","",SUMIF($AG$2:$AG1235,$AG1235,$AH$2:$AH1235))</f>
        <v/>
      </c>
      <c r="AJ1235">
        <f>IF('TMP Paste'!$F1235="","",IF('TMP Paste'!$B1235="",$AJ1234,'TMP Paste'!$B1235))</f>
        <v/>
      </c>
      <c r="AK1235">
        <f>IF('TMP Paste'!$F1235="","",N('TMP Paste'!$G1235))</f>
        <v/>
      </c>
      <c r="AL1235">
        <f>IF('TMP Paste'!$F1235="","",IF('TMP Paste'!$M1235="",$AL1234,'TMP Paste'!$M1235))</f>
        <v/>
      </c>
      <c r="AM1235">
        <f>IF('TMP Paste'!$F1235="","",IF('TMP Paste'!$N1235="",$AM1234,'TMP Paste'!$N1235))</f>
        <v/>
      </c>
      <c r="AN1235">
        <f>IF('TMP Paste'!$F1235="","",IF('TMP Paste'!$O1235="",$AN1234,'TMP Paste'!$O1235))</f>
        <v/>
      </c>
      <c r="AO1235">
        <f>IF('TMP Paste'!$F1235="","",IF('TMP Paste'!$P1235="",$AO1234,'TMP Paste'!$P1235))</f>
        <v/>
      </c>
      <c r="AP1235">
        <f>IF($AG1235="","",LEN($R1235))</f>
        <v/>
      </c>
      <c r="AQ1235">
        <f>IF($AG1235="","",TRIM(IF(COUNTIFS(Calc!$B$2:$B$1601,ROW()-1,Calc!$C$2:$C$1601,"&lt;1")&gt;0,"Ada PO tanpa Koli - cek TMP. ","")&amp;IF(LEN($R1235)&gt;500,"R &gt; 500 karakter.","")))</f>
        <v/>
      </c>
    </row>
    <row r="1236">
      <c r="A1236">
        <f>IF($AG1236="","",INDEX('TMP Paste'!$B$2:$B$1601,$AG1236))</f>
        <v/>
      </c>
      <c r="B1236">
        <f>IF($AG1236="","",Config!$B$14)</f>
        <v/>
      </c>
      <c r="C1236">
        <f>IF($AG1236="","",Config!$B$15)</f>
        <v/>
      </c>
      <c r="D1236">
        <f>IF($AG1236="","",INDEX('TMP Paste'!$B$2:$B$1601,$AG1236))</f>
        <v/>
      </c>
      <c r="E1236">
        <f>IF($AG1236="","",Config!$B$27)</f>
        <v/>
      </c>
      <c r="F1236">
        <f>IF($AG1236="","",Config!$B$9)</f>
        <v/>
      </c>
      <c r="G1236">
        <f>IF($AG1236="","",Config!$B$10)</f>
        <v/>
      </c>
      <c r="H1236">
        <f>IF($AG1236="","",Config!$B$11)</f>
        <v/>
      </c>
      <c r="I1236">
        <f>IF($AG1236="","",Config!$B$16)</f>
        <v/>
      </c>
      <c r="J1236">
        <f>IF($AG1236="","",INDEX('TMP Paste'!$A$2:$A$1601,$AG1236))</f>
        <v/>
      </c>
      <c r="K1236">
        <f>IF($AG1236="","",INDEX('TMP Paste'!$L$2:$L$1601,$AG1236))</f>
        <v/>
      </c>
      <c r="L1236">
        <f>IF($AG1236="","",INDEX('TMP Paste'!$I$2:$I$1601,$AG1236))</f>
        <v/>
      </c>
      <c r="M1236">
        <f>IF($AG1236="","",Config!$B$16)</f>
        <v/>
      </c>
      <c r="N1236">
        <f>IF($AG1236="","","")</f>
        <v/>
      </c>
      <c r="O1236">
        <f>IF($AG1236="","",INDEX('TMP Paste'!$K$2:$K$1601,$AG1236))</f>
        <v/>
      </c>
      <c r="P1236">
        <f>IF($AG1236="","","")</f>
        <v/>
      </c>
      <c r="Q1236">
        <f>IF($AG1236="","",INDEX('TMP Paste'!$J$2:$J$1601,$AG1236))</f>
        <v/>
      </c>
      <c r="R1236">
        <f>IF($AG1236="","",Config!$B$24)</f>
        <v/>
      </c>
      <c r="S1236">
        <f>IF($AG1236="","",TEXT(Config!$B$4,"yyyy-mm-dd"))</f>
        <v/>
      </c>
      <c r="T1236">
        <f>IF($AG1236="","",Config!$B$17)</f>
        <v/>
      </c>
      <c r="U1236">
        <f>IF($AG1236="","",Config!$B$18)</f>
        <v/>
      </c>
      <c r="V1236">
        <f>IF($AG1236="","",Config!$B$19)</f>
        <v/>
      </c>
      <c r="W1236">
        <f>IF($AG1236="","",INDEX('TMP Paste'!$C$2:$C$1601,$AG1236))</f>
        <v/>
      </c>
      <c r="X1236">
        <f>IF($AG1236="","",Config!$B$29)</f>
        <v/>
      </c>
      <c r="Y1236">
        <f>IF($AH1236="","",INDEX(Calc!$I$2:$I$1601,$AH1236)&amp;" - "&amp;INDEX(Calc!$D$2:$D$1601,$AH1236)&amp;" koli")</f>
        <v/>
      </c>
      <c r="Z1236">
        <f>IF($AG1236="","",Config!$B$21)</f>
        <v/>
      </c>
      <c r="AA1236">
        <f>IF($AG1236="","",Config!$B$22)</f>
        <v/>
      </c>
      <c r="AB1236">
        <f>IF($AH1236="","",INDEX(Calc!$D$2:$D$1601,$AH1236))</f>
        <v/>
      </c>
      <c r="AC1236">
        <f>IF($AH1236="","",INDEX(Calc!$G$2:$G$1601,$AH1236))</f>
        <v/>
      </c>
      <c r="AD1236">
        <f>IF($AG1236="","",Config!$B$23)</f>
        <v/>
      </c>
      <c r="AE1236">
        <f>IF($AG1236="","",Config!$B$28)</f>
        <v/>
      </c>
      <c r="AG1236">
        <f>IFERROR(MATCH(ROW()-1,Calc!$J$2:$J$1601,0),"")</f>
        <v/>
      </c>
      <c r="AH1236">
        <f>IFERROR(MATCH(ROW()-1,Calc!$K$2:$K$1601,0),"")</f>
        <v/>
      </c>
      <c r="AI1236">
        <f>IF($AG1236="","",SUMIF($AG$2:$AG1236,$AG1236,$AH$2:$AH1236))</f>
        <v/>
      </c>
      <c r="AJ1236">
        <f>IF('TMP Paste'!$F1236="","",IF('TMP Paste'!$B1236="",$AJ1235,'TMP Paste'!$B1236))</f>
        <v/>
      </c>
      <c r="AK1236">
        <f>IF('TMP Paste'!$F1236="","",N('TMP Paste'!$G1236))</f>
        <v/>
      </c>
      <c r="AL1236">
        <f>IF('TMP Paste'!$F1236="","",IF('TMP Paste'!$M1236="",$AL1235,'TMP Paste'!$M1236))</f>
        <v/>
      </c>
      <c r="AM1236">
        <f>IF('TMP Paste'!$F1236="","",IF('TMP Paste'!$N1236="",$AM1235,'TMP Paste'!$N1236))</f>
        <v/>
      </c>
      <c r="AN1236">
        <f>IF('TMP Paste'!$F1236="","",IF('TMP Paste'!$O1236="",$AN1235,'TMP Paste'!$O1236))</f>
        <v/>
      </c>
      <c r="AO1236">
        <f>IF('TMP Paste'!$F1236="","",IF('TMP Paste'!$P1236="",$AO1235,'TMP Paste'!$P1236))</f>
        <v/>
      </c>
      <c r="AP1236">
        <f>IF($AG1236="","",LEN($R1236))</f>
        <v/>
      </c>
      <c r="AQ1236">
        <f>IF($AG1236="","",TRIM(IF(COUNTIFS(Calc!$B$2:$B$1601,ROW()-1,Calc!$C$2:$C$1601,"&lt;1")&gt;0,"Ada PO tanpa Koli - cek TMP. ","")&amp;IF(LEN($R1236)&gt;500,"R &gt; 500 karakter.","")))</f>
        <v/>
      </c>
    </row>
    <row r="1237">
      <c r="A1237">
        <f>IF($AG1237="","",INDEX('TMP Paste'!$B$2:$B$1601,$AG1237))</f>
        <v/>
      </c>
      <c r="B1237">
        <f>IF($AG1237="","",Config!$B$14)</f>
        <v/>
      </c>
      <c r="C1237">
        <f>IF($AG1237="","",Config!$B$15)</f>
        <v/>
      </c>
      <c r="D1237">
        <f>IF($AG1237="","",INDEX('TMP Paste'!$B$2:$B$1601,$AG1237))</f>
        <v/>
      </c>
      <c r="E1237">
        <f>IF($AG1237="","",Config!$B$27)</f>
        <v/>
      </c>
      <c r="F1237">
        <f>IF($AG1237="","",Config!$B$9)</f>
        <v/>
      </c>
      <c r="G1237">
        <f>IF($AG1237="","",Config!$B$10)</f>
        <v/>
      </c>
      <c r="H1237">
        <f>IF($AG1237="","",Config!$B$11)</f>
        <v/>
      </c>
      <c r="I1237">
        <f>IF($AG1237="","",Config!$B$16)</f>
        <v/>
      </c>
      <c r="J1237">
        <f>IF($AG1237="","",INDEX('TMP Paste'!$A$2:$A$1601,$AG1237))</f>
        <v/>
      </c>
      <c r="K1237">
        <f>IF($AG1237="","",INDEX('TMP Paste'!$L$2:$L$1601,$AG1237))</f>
        <v/>
      </c>
      <c r="L1237">
        <f>IF($AG1237="","",INDEX('TMP Paste'!$I$2:$I$1601,$AG1237))</f>
        <v/>
      </c>
      <c r="M1237">
        <f>IF($AG1237="","",Config!$B$16)</f>
        <v/>
      </c>
      <c r="N1237">
        <f>IF($AG1237="","","")</f>
        <v/>
      </c>
      <c r="O1237">
        <f>IF($AG1237="","",INDEX('TMP Paste'!$K$2:$K$1601,$AG1237))</f>
        <v/>
      </c>
      <c r="P1237">
        <f>IF($AG1237="","","")</f>
        <v/>
      </c>
      <c r="Q1237">
        <f>IF($AG1237="","",INDEX('TMP Paste'!$J$2:$J$1601,$AG1237))</f>
        <v/>
      </c>
      <c r="R1237">
        <f>IF($AG1237="","",Config!$B$24)</f>
        <v/>
      </c>
      <c r="S1237">
        <f>IF($AG1237="","",TEXT(Config!$B$4,"yyyy-mm-dd"))</f>
        <v/>
      </c>
      <c r="T1237">
        <f>IF($AG1237="","",Config!$B$17)</f>
        <v/>
      </c>
      <c r="U1237">
        <f>IF($AG1237="","",Config!$B$18)</f>
        <v/>
      </c>
      <c r="V1237">
        <f>IF($AG1237="","",Config!$B$19)</f>
        <v/>
      </c>
      <c r="W1237">
        <f>IF($AG1237="","",INDEX('TMP Paste'!$C$2:$C$1601,$AG1237))</f>
        <v/>
      </c>
      <c r="X1237">
        <f>IF($AG1237="","",Config!$B$29)</f>
        <v/>
      </c>
      <c r="Y1237">
        <f>IF($AH1237="","",INDEX(Calc!$I$2:$I$1601,$AH1237)&amp;" - "&amp;INDEX(Calc!$D$2:$D$1601,$AH1237)&amp;" koli")</f>
        <v/>
      </c>
      <c r="Z1237">
        <f>IF($AG1237="","",Config!$B$21)</f>
        <v/>
      </c>
      <c r="AA1237">
        <f>IF($AG1237="","",Config!$B$22)</f>
        <v/>
      </c>
      <c r="AB1237">
        <f>IF($AH1237="","",INDEX(Calc!$D$2:$D$1601,$AH1237))</f>
        <v/>
      </c>
      <c r="AC1237">
        <f>IF($AH1237="","",INDEX(Calc!$G$2:$G$1601,$AH1237))</f>
        <v/>
      </c>
      <c r="AD1237">
        <f>IF($AG1237="","",Config!$B$23)</f>
        <v/>
      </c>
      <c r="AE1237">
        <f>IF($AG1237="","",Config!$B$28)</f>
        <v/>
      </c>
      <c r="AG1237">
        <f>IFERROR(MATCH(ROW()-1,Calc!$J$2:$J$1601,0),"")</f>
        <v/>
      </c>
      <c r="AH1237">
        <f>IFERROR(MATCH(ROW()-1,Calc!$K$2:$K$1601,0),"")</f>
        <v/>
      </c>
      <c r="AI1237">
        <f>IF($AG1237="","",SUMIF($AG$2:$AG1237,$AG1237,$AH$2:$AH1237))</f>
        <v/>
      </c>
      <c r="AJ1237">
        <f>IF('TMP Paste'!$F1237="","",IF('TMP Paste'!$B1237="",$AJ1236,'TMP Paste'!$B1237))</f>
        <v/>
      </c>
      <c r="AK1237">
        <f>IF('TMP Paste'!$F1237="","",N('TMP Paste'!$G1237))</f>
        <v/>
      </c>
      <c r="AL1237">
        <f>IF('TMP Paste'!$F1237="","",IF('TMP Paste'!$M1237="",$AL1236,'TMP Paste'!$M1237))</f>
        <v/>
      </c>
      <c r="AM1237">
        <f>IF('TMP Paste'!$F1237="","",IF('TMP Paste'!$N1237="",$AM1236,'TMP Paste'!$N1237))</f>
        <v/>
      </c>
      <c r="AN1237">
        <f>IF('TMP Paste'!$F1237="","",IF('TMP Paste'!$O1237="",$AN1236,'TMP Paste'!$O1237))</f>
        <v/>
      </c>
      <c r="AO1237">
        <f>IF('TMP Paste'!$F1237="","",IF('TMP Paste'!$P1237="",$AO1236,'TMP Paste'!$P1237))</f>
        <v/>
      </c>
      <c r="AP1237">
        <f>IF($AG1237="","",LEN($R1237))</f>
        <v/>
      </c>
      <c r="AQ1237">
        <f>IF($AG1237="","",TRIM(IF(COUNTIFS(Calc!$B$2:$B$1601,ROW()-1,Calc!$C$2:$C$1601,"&lt;1")&gt;0,"Ada PO tanpa Koli - cek TMP. ","")&amp;IF(LEN($R1237)&gt;500,"R &gt; 500 karakter.","")))</f>
        <v/>
      </c>
    </row>
    <row r="1238">
      <c r="A1238">
        <f>IF($AG1238="","",INDEX('TMP Paste'!$B$2:$B$1601,$AG1238))</f>
        <v/>
      </c>
      <c r="B1238">
        <f>IF($AG1238="","",Config!$B$14)</f>
        <v/>
      </c>
      <c r="C1238">
        <f>IF($AG1238="","",Config!$B$15)</f>
        <v/>
      </c>
      <c r="D1238">
        <f>IF($AG1238="","",INDEX('TMP Paste'!$B$2:$B$1601,$AG1238))</f>
        <v/>
      </c>
      <c r="E1238">
        <f>IF($AG1238="","",Config!$B$27)</f>
        <v/>
      </c>
      <c r="F1238">
        <f>IF($AG1238="","",Config!$B$9)</f>
        <v/>
      </c>
      <c r="G1238">
        <f>IF($AG1238="","",Config!$B$10)</f>
        <v/>
      </c>
      <c r="H1238">
        <f>IF($AG1238="","",Config!$B$11)</f>
        <v/>
      </c>
      <c r="I1238">
        <f>IF($AG1238="","",Config!$B$16)</f>
        <v/>
      </c>
      <c r="J1238">
        <f>IF($AG1238="","",INDEX('TMP Paste'!$A$2:$A$1601,$AG1238))</f>
        <v/>
      </c>
      <c r="K1238">
        <f>IF($AG1238="","",INDEX('TMP Paste'!$L$2:$L$1601,$AG1238))</f>
        <v/>
      </c>
      <c r="L1238">
        <f>IF($AG1238="","",INDEX('TMP Paste'!$I$2:$I$1601,$AG1238))</f>
        <v/>
      </c>
      <c r="M1238">
        <f>IF($AG1238="","",Config!$B$16)</f>
        <v/>
      </c>
      <c r="N1238">
        <f>IF($AG1238="","","")</f>
        <v/>
      </c>
      <c r="O1238">
        <f>IF($AG1238="","",INDEX('TMP Paste'!$K$2:$K$1601,$AG1238))</f>
        <v/>
      </c>
      <c r="P1238">
        <f>IF($AG1238="","","")</f>
        <v/>
      </c>
      <c r="Q1238">
        <f>IF($AG1238="","",INDEX('TMP Paste'!$J$2:$J$1601,$AG1238))</f>
        <v/>
      </c>
      <c r="R1238">
        <f>IF($AG1238="","",Config!$B$24)</f>
        <v/>
      </c>
      <c r="S1238">
        <f>IF($AG1238="","",TEXT(Config!$B$4,"yyyy-mm-dd"))</f>
        <v/>
      </c>
      <c r="T1238">
        <f>IF($AG1238="","",Config!$B$17)</f>
        <v/>
      </c>
      <c r="U1238">
        <f>IF($AG1238="","",Config!$B$18)</f>
        <v/>
      </c>
      <c r="V1238">
        <f>IF($AG1238="","",Config!$B$19)</f>
        <v/>
      </c>
      <c r="W1238">
        <f>IF($AG1238="","",INDEX('TMP Paste'!$C$2:$C$1601,$AG1238))</f>
        <v/>
      </c>
      <c r="X1238">
        <f>IF($AG1238="","",Config!$B$29)</f>
        <v/>
      </c>
      <c r="Y1238">
        <f>IF($AH1238="","",INDEX(Calc!$I$2:$I$1601,$AH1238)&amp;" - "&amp;INDEX(Calc!$D$2:$D$1601,$AH1238)&amp;" koli")</f>
        <v/>
      </c>
      <c r="Z1238">
        <f>IF($AG1238="","",Config!$B$21)</f>
        <v/>
      </c>
      <c r="AA1238">
        <f>IF($AG1238="","",Config!$B$22)</f>
        <v/>
      </c>
      <c r="AB1238">
        <f>IF($AH1238="","",INDEX(Calc!$D$2:$D$1601,$AH1238))</f>
        <v/>
      </c>
      <c r="AC1238">
        <f>IF($AH1238="","",INDEX(Calc!$G$2:$G$1601,$AH1238))</f>
        <v/>
      </c>
      <c r="AD1238">
        <f>IF($AG1238="","",Config!$B$23)</f>
        <v/>
      </c>
      <c r="AE1238">
        <f>IF($AG1238="","",Config!$B$28)</f>
        <v/>
      </c>
      <c r="AG1238">
        <f>IFERROR(MATCH(ROW()-1,Calc!$J$2:$J$1601,0),"")</f>
        <v/>
      </c>
      <c r="AH1238">
        <f>IFERROR(MATCH(ROW()-1,Calc!$K$2:$K$1601,0),"")</f>
        <v/>
      </c>
      <c r="AI1238">
        <f>IF($AG1238="","",SUMIF($AG$2:$AG1238,$AG1238,$AH$2:$AH1238))</f>
        <v/>
      </c>
      <c r="AJ1238">
        <f>IF('TMP Paste'!$F1238="","",IF('TMP Paste'!$B1238="",$AJ1237,'TMP Paste'!$B1238))</f>
        <v/>
      </c>
      <c r="AK1238">
        <f>IF('TMP Paste'!$F1238="","",N('TMP Paste'!$G1238))</f>
        <v/>
      </c>
      <c r="AL1238">
        <f>IF('TMP Paste'!$F1238="","",IF('TMP Paste'!$M1238="",$AL1237,'TMP Paste'!$M1238))</f>
        <v/>
      </c>
      <c r="AM1238">
        <f>IF('TMP Paste'!$F1238="","",IF('TMP Paste'!$N1238="",$AM1237,'TMP Paste'!$N1238))</f>
        <v/>
      </c>
      <c r="AN1238">
        <f>IF('TMP Paste'!$F1238="","",IF('TMP Paste'!$O1238="",$AN1237,'TMP Paste'!$O1238))</f>
        <v/>
      </c>
      <c r="AO1238">
        <f>IF('TMP Paste'!$F1238="","",IF('TMP Paste'!$P1238="",$AO1237,'TMP Paste'!$P1238))</f>
        <v/>
      </c>
      <c r="AP1238">
        <f>IF($AG1238="","",LEN($R1238))</f>
        <v/>
      </c>
      <c r="AQ1238">
        <f>IF($AG1238="","",TRIM(IF(COUNTIFS(Calc!$B$2:$B$1601,ROW()-1,Calc!$C$2:$C$1601,"&lt;1")&gt;0,"Ada PO tanpa Koli - cek TMP. ","")&amp;IF(LEN($R1238)&gt;500,"R &gt; 500 karakter.","")))</f>
        <v/>
      </c>
    </row>
    <row r="1239">
      <c r="A1239">
        <f>IF($AG1239="","",INDEX('TMP Paste'!$B$2:$B$1601,$AG1239))</f>
        <v/>
      </c>
      <c r="B1239">
        <f>IF($AG1239="","",Config!$B$14)</f>
        <v/>
      </c>
      <c r="C1239">
        <f>IF($AG1239="","",Config!$B$15)</f>
        <v/>
      </c>
      <c r="D1239">
        <f>IF($AG1239="","",INDEX('TMP Paste'!$B$2:$B$1601,$AG1239))</f>
        <v/>
      </c>
      <c r="E1239">
        <f>IF($AG1239="","",Config!$B$27)</f>
        <v/>
      </c>
      <c r="F1239">
        <f>IF($AG1239="","",Config!$B$9)</f>
        <v/>
      </c>
      <c r="G1239">
        <f>IF($AG1239="","",Config!$B$10)</f>
        <v/>
      </c>
      <c r="H1239">
        <f>IF($AG1239="","",Config!$B$11)</f>
        <v/>
      </c>
      <c r="I1239">
        <f>IF($AG1239="","",Config!$B$16)</f>
        <v/>
      </c>
      <c r="J1239">
        <f>IF($AG1239="","",INDEX('TMP Paste'!$A$2:$A$1601,$AG1239))</f>
        <v/>
      </c>
      <c r="K1239">
        <f>IF($AG1239="","",INDEX('TMP Paste'!$L$2:$L$1601,$AG1239))</f>
        <v/>
      </c>
      <c r="L1239">
        <f>IF($AG1239="","",INDEX('TMP Paste'!$I$2:$I$1601,$AG1239))</f>
        <v/>
      </c>
      <c r="M1239">
        <f>IF($AG1239="","",Config!$B$16)</f>
        <v/>
      </c>
      <c r="N1239">
        <f>IF($AG1239="","","")</f>
        <v/>
      </c>
      <c r="O1239">
        <f>IF($AG1239="","",INDEX('TMP Paste'!$K$2:$K$1601,$AG1239))</f>
        <v/>
      </c>
      <c r="P1239">
        <f>IF($AG1239="","","")</f>
        <v/>
      </c>
      <c r="Q1239">
        <f>IF($AG1239="","",INDEX('TMP Paste'!$J$2:$J$1601,$AG1239))</f>
        <v/>
      </c>
      <c r="R1239">
        <f>IF($AG1239="","",Config!$B$24)</f>
        <v/>
      </c>
      <c r="S1239">
        <f>IF($AG1239="","",TEXT(Config!$B$4,"yyyy-mm-dd"))</f>
        <v/>
      </c>
      <c r="T1239">
        <f>IF($AG1239="","",Config!$B$17)</f>
        <v/>
      </c>
      <c r="U1239">
        <f>IF($AG1239="","",Config!$B$18)</f>
        <v/>
      </c>
      <c r="V1239">
        <f>IF($AG1239="","",Config!$B$19)</f>
        <v/>
      </c>
      <c r="W1239">
        <f>IF($AG1239="","",INDEX('TMP Paste'!$C$2:$C$1601,$AG1239))</f>
        <v/>
      </c>
      <c r="X1239">
        <f>IF($AG1239="","",Config!$B$29)</f>
        <v/>
      </c>
      <c r="Y1239">
        <f>IF($AH1239="","",INDEX(Calc!$I$2:$I$1601,$AH1239)&amp;" - "&amp;INDEX(Calc!$D$2:$D$1601,$AH1239)&amp;" koli")</f>
        <v/>
      </c>
      <c r="Z1239">
        <f>IF($AG1239="","",Config!$B$21)</f>
        <v/>
      </c>
      <c r="AA1239">
        <f>IF($AG1239="","",Config!$B$22)</f>
        <v/>
      </c>
      <c r="AB1239">
        <f>IF($AH1239="","",INDEX(Calc!$D$2:$D$1601,$AH1239))</f>
        <v/>
      </c>
      <c r="AC1239">
        <f>IF($AH1239="","",INDEX(Calc!$G$2:$G$1601,$AH1239))</f>
        <v/>
      </c>
      <c r="AD1239">
        <f>IF($AG1239="","",Config!$B$23)</f>
        <v/>
      </c>
      <c r="AE1239">
        <f>IF($AG1239="","",Config!$B$28)</f>
        <v/>
      </c>
      <c r="AG1239">
        <f>IFERROR(MATCH(ROW()-1,Calc!$J$2:$J$1601,0),"")</f>
        <v/>
      </c>
      <c r="AH1239">
        <f>IFERROR(MATCH(ROW()-1,Calc!$K$2:$K$1601,0),"")</f>
        <v/>
      </c>
      <c r="AI1239">
        <f>IF($AG1239="","",SUMIF($AG$2:$AG1239,$AG1239,$AH$2:$AH1239))</f>
        <v/>
      </c>
      <c r="AJ1239">
        <f>IF('TMP Paste'!$F1239="","",IF('TMP Paste'!$B1239="",$AJ1238,'TMP Paste'!$B1239))</f>
        <v/>
      </c>
      <c r="AK1239">
        <f>IF('TMP Paste'!$F1239="","",N('TMP Paste'!$G1239))</f>
        <v/>
      </c>
      <c r="AL1239">
        <f>IF('TMP Paste'!$F1239="","",IF('TMP Paste'!$M1239="",$AL1238,'TMP Paste'!$M1239))</f>
        <v/>
      </c>
      <c r="AM1239">
        <f>IF('TMP Paste'!$F1239="","",IF('TMP Paste'!$N1239="",$AM1238,'TMP Paste'!$N1239))</f>
        <v/>
      </c>
      <c r="AN1239">
        <f>IF('TMP Paste'!$F1239="","",IF('TMP Paste'!$O1239="",$AN1238,'TMP Paste'!$O1239))</f>
        <v/>
      </c>
      <c r="AO1239">
        <f>IF('TMP Paste'!$F1239="","",IF('TMP Paste'!$P1239="",$AO1238,'TMP Paste'!$P1239))</f>
        <v/>
      </c>
      <c r="AP1239">
        <f>IF($AG1239="","",LEN($R1239))</f>
        <v/>
      </c>
      <c r="AQ1239">
        <f>IF($AG1239="","",TRIM(IF(COUNTIFS(Calc!$B$2:$B$1601,ROW()-1,Calc!$C$2:$C$1601,"&lt;1")&gt;0,"Ada PO tanpa Koli - cek TMP. ","")&amp;IF(LEN($R1239)&gt;500,"R &gt; 500 karakter.","")))</f>
        <v/>
      </c>
    </row>
    <row r="1240">
      <c r="A1240">
        <f>IF($AG1240="","",INDEX('TMP Paste'!$B$2:$B$1601,$AG1240))</f>
        <v/>
      </c>
      <c r="B1240">
        <f>IF($AG1240="","",Config!$B$14)</f>
        <v/>
      </c>
      <c r="C1240">
        <f>IF($AG1240="","",Config!$B$15)</f>
        <v/>
      </c>
      <c r="D1240">
        <f>IF($AG1240="","",INDEX('TMP Paste'!$B$2:$B$1601,$AG1240))</f>
        <v/>
      </c>
      <c r="E1240">
        <f>IF($AG1240="","",Config!$B$27)</f>
        <v/>
      </c>
      <c r="F1240">
        <f>IF($AG1240="","",Config!$B$9)</f>
        <v/>
      </c>
      <c r="G1240">
        <f>IF($AG1240="","",Config!$B$10)</f>
        <v/>
      </c>
      <c r="H1240">
        <f>IF($AG1240="","",Config!$B$11)</f>
        <v/>
      </c>
      <c r="I1240">
        <f>IF($AG1240="","",Config!$B$16)</f>
        <v/>
      </c>
      <c r="J1240">
        <f>IF($AG1240="","",INDEX('TMP Paste'!$A$2:$A$1601,$AG1240))</f>
        <v/>
      </c>
      <c r="K1240">
        <f>IF($AG1240="","",INDEX('TMP Paste'!$L$2:$L$1601,$AG1240))</f>
        <v/>
      </c>
      <c r="L1240">
        <f>IF($AG1240="","",INDEX('TMP Paste'!$I$2:$I$1601,$AG1240))</f>
        <v/>
      </c>
      <c r="M1240">
        <f>IF($AG1240="","",Config!$B$16)</f>
        <v/>
      </c>
      <c r="N1240">
        <f>IF($AG1240="","","")</f>
        <v/>
      </c>
      <c r="O1240">
        <f>IF($AG1240="","",INDEX('TMP Paste'!$K$2:$K$1601,$AG1240))</f>
        <v/>
      </c>
      <c r="P1240">
        <f>IF($AG1240="","","")</f>
        <v/>
      </c>
      <c r="Q1240">
        <f>IF($AG1240="","",INDEX('TMP Paste'!$J$2:$J$1601,$AG1240))</f>
        <v/>
      </c>
      <c r="R1240">
        <f>IF($AG1240="","",Config!$B$24)</f>
        <v/>
      </c>
      <c r="S1240">
        <f>IF($AG1240="","",TEXT(Config!$B$4,"yyyy-mm-dd"))</f>
        <v/>
      </c>
      <c r="T1240">
        <f>IF($AG1240="","",Config!$B$17)</f>
        <v/>
      </c>
      <c r="U1240">
        <f>IF($AG1240="","",Config!$B$18)</f>
        <v/>
      </c>
      <c r="V1240">
        <f>IF($AG1240="","",Config!$B$19)</f>
        <v/>
      </c>
      <c r="W1240">
        <f>IF($AG1240="","",INDEX('TMP Paste'!$C$2:$C$1601,$AG1240))</f>
        <v/>
      </c>
      <c r="X1240">
        <f>IF($AG1240="","",Config!$B$29)</f>
        <v/>
      </c>
      <c r="Y1240">
        <f>IF($AH1240="","",INDEX(Calc!$I$2:$I$1601,$AH1240)&amp;" - "&amp;INDEX(Calc!$D$2:$D$1601,$AH1240)&amp;" koli")</f>
        <v/>
      </c>
      <c r="Z1240">
        <f>IF($AG1240="","",Config!$B$21)</f>
        <v/>
      </c>
      <c r="AA1240">
        <f>IF($AG1240="","",Config!$B$22)</f>
        <v/>
      </c>
      <c r="AB1240">
        <f>IF($AH1240="","",INDEX(Calc!$D$2:$D$1601,$AH1240))</f>
        <v/>
      </c>
      <c r="AC1240">
        <f>IF($AH1240="","",INDEX(Calc!$G$2:$G$1601,$AH1240))</f>
        <v/>
      </c>
      <c r="AD1240">
        <f>IF($AG1240="","",Config!$B$23)</f>
        <v/>
      </c>
      <c r="AE1240">
        <f>IF($AG1240="","",Config!$B$28)</f>
        <v/>
      </c>
      <c r="AG1240">
        <f>IFERROR(MATCH(ROW()-1,Calc!$J$2:$J$1601,0),"")</f>
        <v/>
      </c>
      <c r="AH1240">
        <f>IFERROR(MATCH(ROW()-1,Calc!$K$2:$K$1601,0),"")</f>
        <v/>
      </c>
      <c r="AI1240">
        <f>IF($AG1240="","",SUMIF($AG$2:$AG1240,$AG1240,$AH$2:$AH1240))</f>
        <v/>
      </c>
      <c r="AJ1240">
        <f>IF('TMP Paste'!$F1240="","",IF('TMP Paste'!$B1240="",$AJ1239,'TMP Paste'!$B1240))</f>
        <v/>
      </c>
      <c r="AK1240">
        <f>IF('TMP Paste'!$F1240="","",N('TMP Paste'!$G1240))</f>
        <v/>
      </c>
      <c r="AL1240">
        <f>IF('TMP Paste'!$F1240="","",IF('TMP Paste'!$M1240="",$AL1239,'TMP Paste'!$M1240))</f>
        <v/>
      </c>
      <c r="AM1240">
        <f>IF('TMP Paste'!$F1240="","",IF('TMP Paste'!$N1240="",$AM1239,'TMP Paste'!$N1240))</f>
        <v/>
      </c>
      <c r="AN1240">
        <f>IF('TMP Paste'!$F1240="","",IF('TMP Paste'!$O1240="",$AN1239,'TMP Paste'!$O1240))</f>
        <v/>
      </c>
      <c r="AO1240">
        <f>IF('TMP Paste'!$F1240="","",IF('TMP Paste'!$P1240="",$AO1239,'TMP Paste'!$P1240))</f>
        <v/>
      </c>
      <c r="AP1240">
        <f>IF($AG1240="","",LEN($R1240))</f>
        <v/>
      </c>
      <c r="AQ1240">
        <f>IF($AG1240="","",TRIM(IF(COUNTIFS(Calc!$B$2:$B$1601,ROW()-1,Calc!$C$2:$C$1601,"&lt;1")&gt;0,"Ada PO tanpa Koli - cek TMP. ","")&amp;IF(LEN($R1240)&gt;500,"R &gt; 500 karakter.","")))</f>
        <v/>
      </c>
    </row>
    <row r="1241">
      <c r="A1241">
        <f>IF($AG1241="","",INDEX('TMP Paste'!$B$2:$B$1601,$AG1241))</f>
        <v/>
      </c>
      <c r="B1241">
        <f>IF($AG1241="","",Config!$B$14)</f>
        <v/>
      </c>
      <c r="C1241">
        <f>IF($AG1241="","",Config!$B$15)</f>
        <v/>
      </c>
      <c r="D1241">
        <f>IF($AG1241="","",INDEX('TMP Paste'!$B$2:$B$1601,$AG1241))</f>
        <v/>
      </c>
      <c r="E1241">
        <f>IF($AG1241="","",Config!$B$27)</f>
        <v/>
      </c>
      <c r="F1241">
        <f>IF($AG1241="","",Config!$B$9)</f>
        <v/>
      </c>
      <c r="G1241">
        <f>IF($AG1241="","",Config!$B$10)</f>
        <v/>
      </c>
      <c r="H1241">
        <f>IF($AG1241="","",Config!$B$11)</f>
        <v/>
      </c>
      <c r="I1241">
        <f>IF($AG1241="","",Config!$B$16)</f>
        <v/>
      </c>
      <c r="J1241">
        <f>IF($AG1241="","",INDEX('TMP Paste'!$A$2:$A$1601,$AG1241))</f>
        <v/>
      </c>
      <c r="K1241">
        <f>IF($AG1241="","",INDEX('TMP Paste'!$L$2:$L$1601,$AG1241))</f>
        <v/>
      </c>
      <c r="L1241">
        <f>IF($AG1241="","",INDEX('TMP Paste'!$I$2:$I$1601,$AG1241))</f>
        <v/>
      </c>
      <c r="M1241">
        <f>IF($AG1241="","",Config!$B$16)</f>
        <v/>
      </c>
      <c r="N1241">
        <f>IF($AG1241="","","")</f>
        <v/>
      </c>
      <c r="O1241">
        <f>IF($AG1241="","",INDEX('TMP Paste'!$K$2:$K$1601,$AG1241))</f>
        <v/>
      </c>
      <c r="P1241">
        <f>IF($AG1241="","","")</f>
        <v/>
      </c>
      <c r="Q1241">
        <f>IF($AG1241="","",INDEX('TMP Paste'!$J$2:$J$1601,$AG1241))</f>
        <v/>
      </c>
      <c r="R1241">
        <f>IF($AG1241="","",Config!$B$24)</f>
        <v/>
      </c>
      <c r="S1241">
        <f>IF($AG1241="","",TEXT(Config!$B$4,"yyyy-mm-dd"))</f>
        <v/>
      </c>
      <c r="T1241">
        <f>IF($AG1241="","",Config!$B$17)</f>
        <v/>
      </c>
      <c r="U1241">
        <f>IF($AG1241="","",Config!$B$18)</f>
        <v/>
      </c>
      <c r="V1241">
        <f>IF($AG1241="","",Config!$B$19)</f>
        <v/>
      </c>
      <c r="W1241">
        <f>IF($AG1241="","",INDEX('TMP Paste'!$C$2:$C$1601,$AG1241))</f>
        <v/>
      </c>
      <c r="X1241">
        <f>IF($AG1241="","",Config!$B$29)</f>
        <v/>
      </c>
      <c r="Y1241">
        <f>IF($AH1241="","",INDEX(Calc!$I$2:$I$1601,$AH1241)&amp;" - "&amp;INDEX(Calc!$D$2:$D$1601,$AH1241)&amp;" koli")</f>
        <v/>
      </c>
      <c r="Z1241">
        <f>IF($AG1241="","",Config!$B$21)</f>
        <v/>
      </c>
      <c r="AA1241">
        <f>IF($AG1241="","",Config!$B$22)</f>
        <v/>
      </c>
      <c r="AB1241">
        <f>IF($AH1241="","",INDEX(Calc!$D$2:$D$1601,$AH1241))</f>
        <v/>
      </c>
      <c r="AC1241">
        <f>IF($AH1241="","",INDEX(Calc!$G$2:$G$1601,$AH1241))</f>
        <v/>
      </c>
      <c r="AD1241">
        <f>IF($AG1241="","",Config!$B$23)</f>
        <v/>
      </c>
      <c r="AE1241">
        <f>IF($AG1241="","",Config!$B$28)</f>
        <v/>
      </c>
      <c r="AG1241">
        <f>IFERROR(MATCH(ROW()-1,Calc!$J$2:$J$1601,0),"")</f>
        <v/>
      </c>
      <c r="AH1241">
        <f>IFERROR(MATCH(ROW()-1,Calc!$K$2:$K$1601,0),"")</f>
        <v/>
      </c>
      <c r="AI1241">
        <f>IF($AG1241="","",SUMIF($AG$2:$AG1241,$AG1241,$AH$2:$AH1241))</f>
        <v/>
      </c>
      <c r="AJ1241">
        <f>IF('TMP Paste'!$F1241="","",IF('TMP Paste'!$B1241="",$AJ1240,'TMP Paste'!$B1241))</f>
        <v/>
      </c>
      <c r="AK1241">
        <f>IF('TMP Paste'!$F1241="","",N('TMP Paste'!$G1241))</f>
        <v/>
      </c>
      <c r="AL1241">
        <f>IF('TMP Paste'!$F1241="","",IF('TMP Paste'!$M1241="",$AL1240,'TMP Paste'!$M1241))</f>
        <v/>
      </c>
      <c r="AM1241">
        <f>IF('TMP Paste'!$F1241="","",IF('TMP Paste'!$N1241="",$AM1240,'TMP Paste'!$N1241))</f>
        <v/>
      </c>
      <c r="AN1241">
        <f>IF('TMP Paste'!$F1241="","",IF('TMP Paste'!$O1241="",$AN1240,'TMP Paste'!$O1241))</f>
        <v/>
      </c>
      <c r="AO1241">
        <f>IF('TMP Paste'!$F1241="","",IF('TMP Paste'!$P1241="",$AO1240,'TMP Paste'!$P1241))</f>
        <v/>
      </c>
      <c r="AP1241">
        <f>IF($AG1241="","",LEN($R1241))</f>
        <v/>
      </c>
      <c r="AQ1241">
        <f>IF($AG1241="","",TRIM(IF(COUNTIFS(Calc!$B$2:$B$1601,ROW()-1,Calc!$C$2:$C$1601,"&lt;1")&gt;0,"Ada PO tanpa Koli - cek TMP. ","")&amp;IF(LEN($R1241)&gt;500,"R &gt; 500 karakter.","")))</f>
        <v/>
      </c>
    </row>
    <row r="1242">
      <c r="A1242">
        <f>IF($AG1242="","",INDEX('TMP Paste'!$B$2:$B$1601,$AG1242))</f>
        <v/>
      </c>
      <c r="B1242">
        <f>IF($AG1242="","",Config!$B$14)</f>
        <v/>
      </c>
      <c r="C1242">
        <f>IF($AG1242="","",Config!$B$15)</f>
        <v/>
      </c>
      <c r="D1242">
        <f>IF($AG1242="","",INDEX('TMP Paste'!$B$2:$B$1601,$AG1242))</f>
        <v/>
      </c>
      <c r="E1242">
        <f>IF($AG1242="","",Config!$B$27)</f>
        <v/>
      </c>
      <c r="F1242">
        <f>IF($AG1242="","",Config!$B$9)</f>
        <v/>
      </c>
      <c r="G1242">
        <f>IF($AG1242="","",Config!$B$10)</f>
        <v/>
      </c>
      <c r="H1242">
        <f>IF($AG1242="","",Config!$B$11)</f>
        <v/>
      </c>
      <c r="I1242">
        <f>IF($AG1242="","",Config!$B$16)</f>
        <v/>
      </c>
      <c r="J1242">
        <f>IF($AG1242="","",INDEX('TMP Paste'!$A$2:$A$1601,$AG1242))</f>
        <v/>
      </c>
      <c r="K1242">
        <f>IF($AG1242="","",INDEX('TMP Paste'!$L$2:$L$1601,$AG1242))</f>
        <v/>
      </c>
      <c r="L1242">
        <f>IF($AG1242="","",INDEX('TMP Paste'!$I$2:$I$1601,$AG1242))</f>
        <v/>
      </c>
      <c r="M1242">
        <f>IF($AG1242="","",Config!$B$16)</f>
        <v/>
      </c>
      <c r="N1242">
        <f>IF($AG1242="","","")</f>
        <v/>
      </c>
      <c r="O1242">
        <f>IF($AG1242="","",INDEX('TMP Paste'!$K$2:$K$1601,$AG1242))</f>
        <v/>
      </c>
      <c r="P1242">
        <f>IF($AG1242="","","")</f>
        <v/>
      </c>
      <c r="Q1242">
        <f>IF($AG1242="","",INDEX('TMP Paste'!$J$2:$J$1601,$AG1242))</f>
        <v/>
      </c>
      <c r="R1242">
        <f>IF($AG1242="","",Config!$B$24)</f>
        <v/>
      </c>
      <c r="S1242">
        <f>IF($AG1242="","",TEXT(Config!$B$4,"yyyy-mm-dd"))</f>
        <v/>
      </c>
      <c r="T1242">
        <f>IF($AG1242="","",Config!$B$17)</f>
        <v/>
      </c>
      <c r="U1242">
        <f>IF($AG1242="","",Config!$B$18)</f>
        <v/>
      </c>
      <c r="V1242">
        <f>IF($AG1242="","",Config!$B$19)</f>
        <v/>
      </c>
      <c r="W1242">
        <f>IF($AG1242="","",INDEX('TMP Paste'!$C$2:$C$1601,$AG1242))</f>
        <v/>
      </c>
      <c r="X1242">
        <f>IF($AG1242="","",Config!$B$29)</f>
        <v/>
      </c>
      <c r="Y1242">
        <f>IF($AH1242="","",INDEX(Calc!$I$2:$I$1601,$AH1242)&amp;" - "&amp;INDEX(Calc!$D$2:$D$1601,$AH1242)&amp;" koli")</f>
        <v/>
      </c>
      <c r="Z1242">
        <f>IF($AG1242="","",Config!$B$21)</f>
        <v/>
      </c>
      <c r="AA1242">
        <f>IF($AG1242="","",Config!$B$22)</f>
        <v/>
      </c>
      <c r="AB1242">
        <f>IF($AH1242="","",INDEX(Calc!$D$2:$D$1601,$AH1242))</f>
        <v/>
      </c>
      <c r="AC1242">
        <f>IF($AH1242="","",INDEX(Calc!$G$2:$G$1601,$AH1242))</f>
        <v/>
      </c>
      <c r="AD1242">
        <f>IF($AG1242="","",Config!$B$23)</f>
        <v/>
      </c>
      <c r="AE1242">
        <f>IF($AG1242="","",Config!$B$28)</f>
        <v/>
      </c>
      <c r="AG1242">
        <f>IFERROR(MATCH(ROW()-1,Calc!$J$2:$J$1601,0),"")</f>
        <v/>
      </c>
      <c r="AH1242">
        <f>IFERROR(MATCH(ROW()-1,Calc!$K$2:$K$1601,0),"")</f>
        <v/>
      </c>
      <c r="AI1242">
        <f>IF($AG1242="","",SUMIF($AG$2:$AG1242,$AG1242,$AH$2:$AH1242))</f>
        <v/>
      </c>
      <c r="AJ1242">
        <f>IF('TMP Paste'!$F1242="","",IF('TMP Paste'!$B1242="",$AJ1241,'TMP Paste'!$B1242))</f>
        <v/>
      </c>
      <c r="AK1242">
        <f>IF('TMP Paste'!$F1242="","",N('TMP Paste'!$G1242))</f>
        <v/>
      </c>
      <c r="AL1242">
        <f>IF('TMP Paste'!$F1242="","",IF('TMP Paste'!$M1242="",$AL1241,'TMP Paste'!$M1242))</f>
        <v/>
      </c>
      <c r="AM1242">
        <f>IF('TMP Paste'!$F1242="","",IF('TMP Paste'!$N1242="",$AM1241,'TMP Paste'!$N1242))</f>
        <v/>
      </c>
      <c r="AN1242">
        <f>IF('TMP Paste'!$F1242="","",IF('TMP Paste'!$O1242="",$AN1241,'TMP Paste'!$O1242))</f>
        <v/>
      </c>
      <c r="AO1242">
        <f>IF('TMP Paste'!$F1242="","",IF('TMP Paste'!$P1242="",$AO1241,'TMP Paste'!$P1242))</f>
        <v/>
      </c>
      <c r="AP1242">
        <f>IF($AG1242="","",LEN($R1242))</f>
        <v/>
      </c>
      <c r="AQ1242">
        <f>IF($AG1242="","",TRIM(IF(COUNTIFS(Calc!$B$2:$B$1601,ROW()-1,Calc!$C$2:$C$1601,"&lt;1")&gt;0,"Ada PO tanpa Koli - cek TMP. ","")&amp;IF(LEN($R1242)&gt;500,"R &gt; 500 karakter.","")))</f>
        <v/>
      </c>
    </row>
    <row r="1243">
      <c r="A1243">
        <f>IF($AG1243="","",INDEX('TMP Paste'!$B$2:$B$1601,$AG1243))</f>
        <v/>
      </c>
      <c r="B1243">
        <f>IF($AG1243="","",Config!$B$14)</f>
        <v/>
      </c>
      <c r="C1243">
        <f>IF($AG1243="","",Config!$B$15)</f>
        <v/>
      </c>
      <c r="D1243">
        <f>IF($AG1243="","",INDEX('TMP Paste'!$B$2:$B$1601,$AG1243))</f>
        <v/>
      </c>
      <c r="E1243">
        <f>IF($AG1243="","",Config!$B$27)</f>
        <v/>
      </c>
      <c r="F1243">
        <f>IF($AG1243="","",Config!$B$9)</f>
        <v/>
      </c>
      <c r="G1243">
        <f>IF($AG1243="","",Config!$B$10)</f>
        <v/>
      </c>
      <c r="H1243">
        <f>IF($AG1243="","",Config!$B$11)</f>
        <v/>
      </c>
      <c r="I1243">
        <f>IF($AG1243="","",Config!$B$16)</f>
        <v/>
      </c>
      <c r="J1243">
        <f>IF($AG1243="","",INDEX('TMP Paste'!$A$2:$A$1601,$AG1243))</f>
        <v/>
      </c>
      <c r="K1243">
        <f>IF($AG1243="","",INDEX('TMP Paste'!$L$2:$L$1601,$AG1243))</f>
        <v/>
      </c>
      <c r="L1243">
        <f>IF($AG1243="","",INDEX('TMP Paste'!$I$2:$I$1601,$AG1243))</f>
        <v/>
      </c>
      <c r="M1243">
        <f>IF($AG1243="","",Config!$B$16)</f>
        <v/>
      </c>
      <c r="N1243">
        <f>IF($AG1243="","","")</f>
        <v/>
      </c>
      <c r="O1243">
        <f>IF($AG1243="","",INDEX('TMP Paste'!$K$2:$K$1601,$AG1243))</f>
        <v/>
      </c>
      <c r="P1243">
        <f>IF($AG1243="","","")</f>
        <v/>
      </c>
      <c r="Q1243">
        <f>IF($AG1243="","",INDEX('TMP Paste'!$J$2:$J$1601,$AG1243))</f>
        <v/>
      </c>
      <c r="R1243">
        <f>IF($AG1243="","",Config!$B$24)</f>
        <v/>
      </c>
      <c r="S1243">
        <f>IF($AG1243="","",TEXT(Config!$B$4,"yyyy-mm-dd"))</f>
        <v/>
      </c>
      <c r="T1243">
        <f>IF($AG1243="","",Config!$B$17)</f>
        <v/>
      </c>
      <c r="U1243">
        <f>IF($AG1243="","",Config!$B$18)</f>
        <v/>
      </c>
      <c r="V1243">
        <f>IF($AG1243="","",Config!$B$19)</f>
        <v/>
      </c>
      <c r="W1243">
        <f>IF($AG1243="","",INDEX('TMP Paste'!$C$2:$C$1601,$AG1243))</f>
        <v/>
      </c>
      <c r="X1243">
        <f>IF($AG1243="","",Config!$B$29)</f>
        <v/>
      </c>
      <c r="Y1243">
        <f>IF($AH1243="","",INDEX(Calc!$I$2:$I$1601,$AH1243)&amp;" - "&amp;INDEX(Calc!$D$2:$D$1601,$AH1243)&amp;" koli")</f>
        <v/>
      </c>
      <c r="Z1243">
        <f>IF($AG1243="","",Config!$B$21)</f>
        <v/>
      </c>
      <c r="AA1243">
        <f>IF($AG1243="","",Config!$B$22)</f>
        <v/>
      </c>
      <c r="AB1243">
        <f>IF($AH1243="","",INDEX(Calc!$D$2:$D$1601,$AH1243))</f>
        <v/>
      </c>
      <c r="AC1243">
        <f>IF($AH1243="","",INDEX(Calc!$G$2:$G$1601,$AH1243))</f>
        <v/>
      </c>
      <c r="AD1243">
        <f>IF($AG1243="","",Config!$B$23)</f>
        <v/>
      </c>
      <c r="AE1243">
        <f>IF($AG1243="","",Config!$B$28)</f>
        <v/>
      </c>
      <c r="AG1243">
        <f>IFERROR(MATCH(ROW()-1,Calc!$J$2:$J$1601,0),"")</f>
        <v/>
      </c>
      <c r="AH1243">
        <f>IFERROR(MATCH(ROW()-1,Calc!$K$2:$K$1601,0),"")</f>
        <v/>
      </c>
      <c r="AI1243">
        <f>IF($AG1243="","",SUMIF($AG$2:$AG1243,$AG1243,$AH$2:$AH1243))</f>
        <v/>
      </c>
      <c r="AJ1243">
        <f>IF('TMP Paste'!$F1243="","",IF('TMP Paste'!$B1243="",$AJ1242,'TMP Paste'!$B1243))</f>
        <v/>
      </c>
      <c r="AK1243">
        <f>IF('TMP Paste'!$F1243="","",N('TMP Paste'!$G1243))</f>
        <v/>
      </c>
      <c r="AL1243">
        <f>IF('TMP Paste'!$F1243="","",IF('TMP Paste'!$M1243="",$AL1242,'TMP Paste'!$M1243))</f>
        <v/>
      </c>
      <c r="AM1243">
        <f>IF('TMP Paste'!$F1243="","",IF('TMP Paste'!$N1243="",$AM1242,'TMP Paste'!$N1243))</f>
        <v/>
      </c>
      <c r="AN1243">
        <f>IF('TMP Paste'!$F1243="","",IF('TMP Paste'!$O1243="",$AN1242,'TMP Paste'!$O1243))</f>
        <v/>
      </c>
      <c r="AO1243">
        <f>IF('TMP Paste'!$F1243="","",IF('TMP Paste'!$P1243="",$AO1242,'TMP Paste'!$P1243))</f>
        <v/>
      </c>
      <c r="AP1243">
        <f>IF($AG1243="","",LEN($R1243))</f>
        <v/>
      </c>
      <c r="AQ1243">
        <f>IF($AG1243="","",TRIM(IF(COUNTIFS(Calc!$B$2:$B$1601,ROW()-1,Calc!$C$2:$C$1601,"&lt;1")&gt;0,"Ada PO tanpa Koli - cek TMP. ","")&amp;IF(LEN($R1243)&gt;500,"R &gt; 500 karakter.","")))</f>
        <v/>
      </c>
    </row>
    <row r="1244">
      <c r="A1244">
        <f>IF($AG1244="","",INDEX('TMP Paste'!$B$2:$B$1601,$AG1244))</f>
        <v/>
      </c>
      <c r="B1244">
        <f>IF($AG1244="","",Config!$B$14)</f>
        <v/>
      </c>
      <c r="C1244">
        <f>IF($AG1244="","",Config!$B$15)</f>
        <v/>
      </c>
      <c r="D1244">
        <f>IF($AG1244="","",INDEX('TMP Paste'!$B$2:$B$1601,$AG1244))</f>
        <v/>
      </c>
      <c r="E1244">
        <f>IF($AG1244="","",Config!$B$27)</f>
        <v/>
      </c>
      <c r="F1244">
        <f>IF($AG1244="","",Config!$B$9)</f>
        <v/>
      </c>
      <c r="G1244">
        <f>IF($AG1244="","",Config!$B$10)</f>
        <v/>
      </c>
      <c r="H1244">
        <f>IF($AG1244="","",Config!$B$11)</f>
        <v/>
      </c>
      <c r="I1244">
        <f>IF($AG1244="","",Config!$B$16)</f>
        <v/>
      </c>
      <c r="J1244">
        <f>IF($AG1244="","",INDEX('TMP Paste'!$A$2:$A$1601,$AG1244))</f>
        <v/>
      </c>
      <c r="K1244">
        <f>IF($AG1244="","",INDEX('TMP Paste'!$L$2:$L$1601,$AG1244))</f>
        <v/>
      </c>
      <c r="L1244">
        <f>IF($AG1244="","",INDEX('TMP Paste'!$I$2:$I$1601,$AG1244))</f>
        <v/>
      </c>
      <c r="M1244">
        <f>IF($AG1244="","",Config!$B$16)</f>
        <v/>
      </c>
      <c r="N1244">
        <f>IF($AG1244="","","")</f>
        <v/>
      </c>
      <c r="O1244">
        <f>IF($AG1244="","",INDEX('TMP Paste'!$K$2:$K$1601,$AG1244))</f>
        <v/>
      </c>
      <c r="P1244">
        <f>IF($AG1244="","","")</f>
        <v/>
      </c>
      <c r="Q1244">
        <f>IF($AG1244="","",INDEX('TMP Paste'!$J$2:$J$1601,$AG1244))</f>
        <v/>
      </c>
      <c r="R1244">
        <f>IF($AG1244="","",Config!$B$24)</f>
        <v/>
      </c>
      <c r="S1244">
        <f>IF($AG1244="","",TEXT(Config!$B$4,"yyyy-mm-dd"))</f>
        <v/>
      </c>
      <c r="T1244">
        <f>IF($AG1244="","",Config!$B$17)</f>
        <v/>
      </c>
      <c r="U1244">
        <f>IF($AG1244="","",Config!$B$18)</f>
        <v/>
      </c>
      <c r="V1244">
        <f>IF($AG1244="","",Config!$B$19)</f>
        <v/>
      </c>
      <c r="W1244">
        <f>IF($AG1244="","",INDEX('TMP Paste'!$C$2:$C$1601,$AG1244))</f>
        <v/>
      </c>
      <c r="X1244">
        <f>IF($AG1244="","",Config!$B$29)</f>
        <v/>
      </c>
      <c r="Y1244">
        <f>IF($AH1244="","",INDEX(Calc!$I$2:$I$1601,$AH1244)&amp;" - "&amp;INDEX(Calc!$D$2:$D$1601,$AH1244)&amp;" koli")</f>
        <v/>
      </c>
      <c r="Z1244">
        <f>IF($AG1244="","",Config!$B$21)</f>
        <v/>
      </c>
      <c r="AA1244">
        <f>IF($AG1244="","",Config!$B$22)</f>
        <v/>
      </c>
      <c r="AB1244">
        <f>IF($AH1244="","",INDEX(Calc!$D$2:$D$1601,$AH1244))</f>
        <v/>
      </c>
      <c r="AC1244">
        <f>IF($AH1244="","",INDEX(Calc!$G$2:$G$1601,$AH1244))</f>
        <v/>
      </c>
      <c r="AD1244">
        <f>IF($AG1244="","",Config!$B$23)</f>
        <v/>
      </c>
      <c r="AE1244">
        <f>IF($AG1244="","",Config!$B$28)</f>
        <v/>
      </c>
      <c r="AG1244">
        <f>IFERROR(MATCH(ROW()-1,Calc!$J$2:$J$1601,0),"")</f>
        <v/>
      </c>
      <c r="AH1244">
        <f>IFERROR(MATCH(ROW()-1,Calc!$K$2:$K$1601,0),"")</f>
        <v/>
      </c>
      <c r="AI1244">
        <f>IF($AG1244="","",SUMIF($AG$2:$AG1244,$AG1244,$AH$2:$AH1244))</f>
        <v/>
      </c>
      <c r="AJ1244">
        <f>IF('TMP Paste'!$F1244="","",IF('TMP Paste'!$B1244="",$AJ1243,'TMP Paste'!$B1244))</f>
        <v/>
      </c>
      <c r="AK1244">
        <f>IF('TMP Paste'!$F1244="","",N('TMP Paste'!$G1244))</f>
        <v/>
      </c>
      <c r="AL1244">
        <f>IF('TMP Paste'!$F1244="","",IF('TMP Paste'!$M1244="",$AL1243,'TMP Paste'!$M1244))</f>
        <v/>
      </c>
      <c r="AM1244">
        <f>IF('TMP Paste'!$F1244="","",IF('TMP Paste'!$N1244="",$AM1243,'TMP Paste'!$N1244))</f>
        <v/>
      </c>
      <c r="AN1244">
        <f>IF('TMP Paste'!$F1244="","",IF('TMP Paste'!$O1244="",$AN1243,'TMP Paste'!$O1244))</f>
        <v/>
      </c>
      <c r="AO1244">
        <f>IF('TMP Paste'!$F1244="","",IF('TMP Paste'!$P1244="",$AO1243,'TMP Paste'!$P1244))</f>
        <v/>
      </c>
      <c r="AP1244">
        <f>IF($AG1244="","",LEN($R1244))</f>
        <v/>
      </c>
      <c r="AQ1244">
        <f>IF($AG1244="","",TRIM(IF(COUNTIFS(Calc!$B$2:$B$1601,ROW()-1,Calc!$C$2:$C$1601,"&lt;1")&gt;0,"Ada PO tanpa Koli - cek TMP. ","")&amp;IF(LEN($R1244)&gt;500,"R &gt; 500 karakter.","")))</f>
        <v/>
      </c>
    </row>
    <row r="1245">
      <c r="A1245">
        <f>IF($AG1245="","",INDEX('TMP Paste'!$B$2:$B$1601,$AG1245))</f>
        <v/>
      </c>
      <c r="B1245">
        <f>IF($AG1245="","",Config!$B$14)</f>
        <v/>
      </c>
      <c r="C1245">
        <f>IF($AG1245="","",Config!$B$15)</f>
        <v/>
      </c>
      <c r="D1245">
        <f>IF($AG1245="","",INDEX('TMP Paste'!$B$2:$B$1601,$AG1245))</f>
        <v/>
      </c>
      <c r="E1245">
        <f>IF($AG1245="","",Config!$B$27)</f>
        <v/>
      </c>
      <c r="F1245">
        <f>IF($AG1245="","",Config!$B$9)</f>
        <v/>
      </c>
      <c r="G1245">
        <f>IF($AG1245="","",Config!$B$10)</f>
        <v/>
      </c>
      <c r="H1245">
        <f>IF($AG1245="","",Config!$B$11)</f>
        <v/>
      </c>
      <c r="I1245">
        <f>IF($AG1245="","",Config!$B$16)</f>
        <v/>
      </c>
      <c r="J1245">
        <f>IF($AG1245="","",INDEX('TMP Paste'!$A$2:$A$1601,$AG1245))</f>
        <v/>
      </c>
      <c r="K1245">
        <f>IF($AG1245="","",INDEX('TMP Paste'!$L$2:$L$1601,$AG1245))</f>
        <v/>
      </c>
      <c r="L1245">
        <f>IF($AG1245="","",INDEX('TMP Paste'!$I$2:$I$1601,$AG1245))</f>
        <v/>
      </c>
      <c r="M1245">
        <f>IF($AG1245="","",Config!$B$16)</f>
        <v/>
      </c>
      <c r="N1245">
        <f>IF($AG1245="","","")</f>
        <v/>
      </c>
      <c r="O1245">
        <f>IF($AG1245="","",INDEX('TMP Paste'!$K$2:$K$1601,$AG1245))</f>
        <v/>
      </c>
      <c r="P1245">
        <f>IF($AG1245="","","")</f>
        <v/>
      </c>
      <c r="Q1245">
        <f>IF($AG1245="","",INDEX('TMP Paste'!$J$2:$J$1601,$AG1245))</f>
        <v/>
      </c>
      <c r="R1245">
        <f>IF($AG1245="","",Config!$B$24)</f>
        <v/>
      </c>
      <c r="S1245">
        <f>IF($AG1245="","",TEXT(Config!$B$4,"yyyy-mm-dd"))</f>
        <v/>
      </c>
      <c r="T1245">
        <f>IF($AG1245="","",Config!$B$17)</f>
        <v/>
      </c>
      <c r="U1245">
        <f>IF($AG1245="","",Config!$B$18)</f>
        <v/>
      </c>
      <c r="V1245">
        <f>IF($AG1245="","",Config!$B$19)</f>
        <v/>
      </c>
      <c r="W1245">
        <f>IF($AG1245="","",INDEX('TMP Paste'!$C$2:$C$1601,$AG1245))</f>
        <v/>
      </c>
      <c r="X1245">
        <f>IF($AG1245="","",Config!$B$29)</f>
        <v/>
      </c>
      <c r="Y1245">
        <f>IF($AH1245="","",INDEX(Calc!$I$2:$I$1601,$AH1245)&amp;" - "&amp;INDEX(Calc!$D$2:$D$1601,$AH1245)&amp;" koli")</f>
        <v/>
      </c>
      <c r="Z1245">
        <f>IF($AG1245="","",Config!$B$21)</f>
        <v/>
      </c>
      <c r="AA1245">
        <f>IF($AG1245="","",Config!$B$22)</f>
        <v/>
      </c>
      <c r="AB1245">
        <f>IF($AH1245="","",INDEX(Calc!$D$2:$D$1601,$AH1245))</f>
        <v/>
      </c>
      <c r="AC1245">
        <f>IF($AH1245="","",INDEX(Calc!$G$2:$G$1601,$AH1245))</f>
        <v/>
      </c>
      <c r="AD1245">
        <f>IF($AG1245="","",Config!$B$23)</f>
        <v/>
      </c>
      <c r="AE1245">
        <f>IF($AG1245="","",Config!$B$28)</f>
        <v/>
      </c>
      <c r="AG1245">
        <f>IFERROR(MATCH(ROW()-1,Calc!$J$2:$J$1601,0),"")</f>
        <v/>
      </c>
      <c r="AH1245">
        <f>IFERROR(MATCH(ROW()-1,Calc!$K$2:$K$1601,0),"")</f>
        <v/>
      </c>
      <c r="AI1245">
        <f>IF($AG1245="","",SUMIF($AG$2:$AG1245,$AG1245,$AH$2:$AH1245))</f>
        <v/>
      </c>
      <c r="AJ1245">
        <f>IF('TMP Paste'!$F1245="","",IF('TMP Paste'!$B1245="",$AJ1244,'TMP Paste'!$B1245))</f>
        <v/>
      </c>
      <c r="AK1245">
        <f>IF('TMP Paste'!$F1245="","",N('TMP Paste'!$G1245))</f>
        <v/>
      </c>
      <c r="AL1245">
        <f>IF('TMP Paste'!$F1245="","",IF('TMP Paste'!$M1245="",$AL1244,'TMP Paste'!$M1245))</f>
        <v/>
      </c>
      <c r="AM1245">
        <f>IF('TMP Paste'!$F1245="","",IF('TMP Paste'!$N1245="",$AM1244,'TMP Paste'!$N1245))</f>
        <v/>
      </c>
      <c r="AN1245">
        <f>IF('TMP Paste'!$F1245="","",IF('TMP Paste'!$O1245="",$AN1244,'TMP Paste'!$O1245))</f>
        <v/>
      </c>
      <c r="AO1245">
        <f>IF('TMP Paste'!$F1245="","",IF('TMP Paste'!$P1245="",$AO1244,'TMP Paste'!$P1245))</f>
        <v/>
      </c>
      <c r="AP1245">
        <f>IF($AG1245="","",LEN($R1245))</f>
        <v/>
      </c>
      <c r="AQ1245">
        <f>IF($AG1245="","",TRIM(IF(COUNTIFS(Calc!$B$2:$B$1601,ROW()-1,Calc!$C$2:$C$1601,"&lt;1")&gt;0,"Ada PO tanpa Koli - cek TMP. ","")&amp;IF(LEN($R1245)&gt;500,"R &gt; 500 karakter.","")))</f>
        <v/>
      </c>
    </row>
    <row r="1246">
      <c r="A1246">
        <f>IF($AG1246="","",INDEX('TMP Paste'!$B$2:$B$1601,$AG1246))</f>
        <v/>
      </c>
      <c r="B1246">
        <f>IF($AG1246="","",Config!$B$14)</f>
        <v/>
      </c>
      <c r="C1246">
        <f>IF($AG1246="","",Config!$B$15)</f>
        <v/>
      </c>
      <c r="D1246">
        <f>IF($AG1246="","",INDEX('TMP Paste'!$B$2:$B$1601,$AG1246))</f>
        <v/>
      </c>
      <c r="E1246">
        <f>IF($AG1246="","",Config!$B$27)</f>
        <v/>
      </c>
      <c r="F1246">
        <f>IF($AG1246="","",Config!$B$9)</f>
        <v/>
      </c>
      <c r="G1246">
        <f>IF($AG1246="","",Config!$B$10)</f>
        <v/>
      </c>
      <c r="H1246">
        <f>IF($AG1246="","",Config!$B$11)</f>
        <v/>
      </c>
      <c r="I1246">
        <f>IF($AG1246="","",Config!$B$16)</f>
        <v/>
      </c>
      <c r="J1246">
        <f>IF($AG1246="","",INDEX('TMP Paste'!$A$2:$A$1601,$AG1246))</f>
        <v/>
      </c>
      <c r="K1246">
        <f>IF($AG1246="","",INDEX('TMP Paste'!$L$2:$L$1601,$AG1246))</f>
        <v/>
      </c>
      <c r="L1246">
        <f>IF($AG1246="","",INDEX('TMP Paste'!$I$2:$I$1601,$AG1246))</f>
        <v/>
      </c>
      <c r="M1246">
        <f>IF($AG1246="","",Config!$B$16)</f>
        <v/>
      </c>
      <c r="N1246">
        <f>IF($AG1246="","","")</f>
        <v/>
      </c>
      <c r="O1246">
        <f>IF($AG1246="","",INDEX('TMP Paste'!$K$2:$K$1601,$AG1246))</f>
        <v/>
      </c>
      <c r="P1246">
        <f>IF($AG1246="","","")</f>
        <v/>
      </c>
      <c r="Q1246">
        <f>IF($AG1246="","",INDEX('TMP Paste'!$J$2:$J$1601,$AG1246))</f>
        <v/>
      </c>
      <c r="R1246">
        <f>IF($AG1246="","",Config!$B$24)</f>
        <v/>
      </c>
      <c r="S1246">
        <f>IF($AG1246="","",TEXT(Config!$B$4,"yyyy-mm-dd"))</f>
        <v/>
      </c>
      <c r="T1246">
        <f>IF($AG1246="","",Config!$B$17)</f>
        <v/>
      </c>
      <c r="U1246">
        <f>IF($AG1246="","",Config!$B$18)</f>
        <v/>
      </c>
      <c r="V1246">
        <f>IF($AG1246="","",Config!$B$19)</f>
        <v/>
      </c>
      <c r="W1246">
        <f>IF($AG1246="","",INDEX('TMP Paste'!$C$2:$C$1601,$AG1246))</f>
        <v/>
      </c>
      <c r="X1246">
        <f>IF($AG1246="","",Config!$B$29)</f>
        <v/>
      </c>
      <c r="Y1246">
        <f>IF($AH1246="","",INDEX(Calc!$I$2:$I$1601,$AH1246)&amp;" - "&amp;INDEX(Calc!$D$2:$D$1601,$AH1246)&amp;" koli")</f>
        <v/>
      </c>
      <c r="Z1246">
        <f>IF($AG1246="","",Config!$B$21)</f>
        <v/>
      </c>
      <c r="AA1246">
        <f>IF($AG1246="","",Config!$B$22)</f>
        <v/>
      </c>
      <c r="AB1246">
        <f>IF($AH1246="","",INDEX(Calc!$D$2:$D$1601,$AH1246))</f>
        <v/>
      </c>
      <c r="AC1246">
        <f>IF($AH1246="","",INDEX(Calc!$G$2:$G$1601,$AH1246))</f>
        <v/>
      </c>
      <c r="AD1246">
        <f>IF($AG1246="","",Config!$B$23)</f>
        <v/>
      </c>
      <c r="AE1246">
        <f>IF($AG1246="","",Config!$B$28)</f>
        <v/>
      </c>
      <c r="AG1246">
        <f>IFERROR(MATCH(ROW()-1,Calc!$J$2:$J$1601,0),"")</f>
        <v/>
      </c>
      <c r="AH1246">
        <f>IFERROR(MATCH(ROW()-1,Calc!$K$2:$K$1601,0),"")</f>
        <v/>
      </c>
      <c r="AI1246">
        <f>IF($AG1246="","",SUMIF($AG$2:$AG1246,$AG1246,$AH$2:$AH1246))</f>
        <v/>
      </c>
      <c r="AJ1246">
        <f>IF('TMP Paste'!$F1246="","",IF('TMP Paste'!$B1246="",$AJ1245,'TMP Paste'!$B1246))</f>
        <v/>
      </c>
      <c r="AK1246">
        <f>IF('TMP Paste'!$F1246="","",N('TMP Paste'!$G1246))</f>
        <v/>
      </c>
      <c r="AL1246">
        <f>IF('TMP Paste'!$F1246="","",IF('TMP Paste'!$M1246="",$AL1245,'TMP Paste'!$M1246))</f>
        <v/>
      </c>
      <c r="AM1246">
        <f>IF('TMP Paste'!$F1246="","",IF('TMP Paste'!$N1246="",$AM1245,'TMP Paste'!$N1246))</f>
        <v/>
      </c>
      <c r="AN1246">
        <f>IF('TMP Paste'!$F1246="","",IF('TMP Paste'!$O1246="",$AN1245,'TMP Paste'!$O1246))</f>
        <v/>
      </c>
      <c r="AO1246">
        <f>IF('TMP Paste'!$F1246="","",IF('TMP Paste'!$P1246="",$AO1245,'TMP Paste'!$P1246))</f>
        <v/>
      </c>
      <c r="AP1246">
        <f>IF($AG1246="","",LEN($R1246))</f>
        <v/>
      </c>
      <c r="AQ1246">
        <f>IF($AG1246="","",TRIM(IF(COUNTIFS(Calc!$B$2:$B$1601,ROW()-1,Calc!$C$2:$C$1601,"&lt;1")&gt;0,"Ada PO tanpa Koli - cek TMP. ","")&amp;IF(LEN($R1246)&gt;500,"R &gt; 500 karakter.","")))</f>
        <v/>
      </c>
    </row>
    <row r="1247">
      <c r="A1247">
        <f>IF($AG1247="","",INDEX('TMP Paste'!$B$2:$B$1601,$AG1247))</f>
        <v/>
      </c>
      <c r="B1247">
        <f>IF($AG1247="","",Config!$B$14)</f>
        <v/>
      </c>
      <c r="C1247">
        <f>IF($AG1247="","",Config!$B$15)</f>
        <v/>
      </c>
      <c r="D1247">
        <f>IF($AG1247="","",INDEX('TMP Paste'!$B$2:$B$1601,$AG1247))</f>
        <v/>
      </c>
      <c r="E1247">
        <f>IF($AG1247="","",Config!$B$27)</f>
        <v/>
      </c>
      <c r="F1247">
        <f>IF($AG1247="","",Config!$B$9)</f>
        <v/>
      </c>
      <c r="G1247">
        <f>IF($AG1247="","",Config!$B$10)</f>
        <v/>
      </c>
      <c r="H1247">
        <f>IF($AG1247="","",Config!$B$11)</f>
        <v/>
      </c>
      <c r="I1247">
        <f>IF($AG1247="","",Config!$B$16)</f>
        <v/>
      </c>
      <c r="J1247">
        <f>IF($AG1247="","",INDEX('TMP Paste'!$A$2:$A$1601,$AG1247))</f>
        <v/>
      </c>
      <c r="K1247">
        <f>IF($AG1247="","",INDEX('TMP Paste'!$L$2:$L$1601,$AG1247))</f>
        <v/>
      </c>
      <c r="L1247">
        <f>IF($AG1247="","",INDEX('TMP Paste'!$I$2:$I$1601,$AG1247))</f>
        <v/>
      </c>
      <c r="M1247">
        <f>IF($AG1247="","",Config!$B$16)</f>
        <v/>
      </c>
      <c r="N1247">
        <f>IF($AG1247="","","")</f>
        <v/>
      </c>
      <c r="O1247">
        <f>IF($AG1247="","",INDEX('TMP Paste'!$K$2:$K$1601,$AG1247))</f>
        <v/>
      </c>
      <c r="P1247">
        <f>IF($AG1247="","","")</f>
        <v/>
      </c>
      <c r="Q1247">
        <f>IF($AG1247="","",INDEX('TMP Paste'!$J$2:$J$1601,$AG1247))</f>
        <v/>
      </c>
      <c r="R1247">
        <f>IF($AG1247="","",Config!$B$24)</f>
        <v/>
      </c>
      <c r="S1247">
        <f>IF($AG1247="","",TEXT(Config!$B$4,"yyyy-mm-dd"))</f>
        <v/>
      </c>
      <c r="T1247">
        <f>IF($AG1247="","",Config!$B$17)</f>
        <v/>
      </c>
      <c r="U1247">
        <f>IF($AG1247="","",Config!$B$18)</f>
        <v/>
      </c>
      <c r="V1247">
        <f>IF($AG1247="","",Config!$B$19)</f>
        <v/>
      </c>
      <c r="W1247">
        <f>IF($AG1247="","",INDEX('TMP Paste'!$C$2:$C$1601,$AG1247))</f>
        <v/>
      </c>
      <c r="X1247">
        <f>IF($AG1247="","",Config!$B$29)</f>
        <v/>
      </c>
      <c r="Y1247">
        <f>IF($AH1247="","",INDEX(Calc!$I$2:$I$1601,$AH1247)&amp;" - "&amp;INDEX(Calc!$D$2:$D$1601,$AH1247)&amp;" koli")</f>
        <v/>
      </c>
      <c r="Z1247">
        <f>IF($AG1247="","",Config!$B$21)</f>
        <v/>
      </c>
      <c r="AA1247">
        <f>IF($AG1247="","",Config!$B$22)</f>
        <v/>
      </c>
      <c r="AB1247">
        <f>IF($AH1247="","",INDEX(Calc!$D$2:$D$1601,$AH1247))</f>
        <v/>
      </c>
      <c r="AC1247">
        <f>IF($AH1247="","",INDEX(Calc!$G$2:$G$1601,$AH1247))</f>
        <v/>
      </c>
      <c r="AD1247">
        <f>IF($AG1247="","",Config!$B$23)</f>
        <v/>
      </c>
      <c r="AE1247">
        <f>IF($AG1247="","",Config!$B$28)</f>
        <v/>
      </c>
      <c r="AG1247">
        <f>IFERROR(MATCH(ROW()-1,Calc!$J$2:$J$1601,0),"")</f>
        <v/>
      </c>
      <c r="AH1247">
        <f>IFERROR(MATCH(ROW()-1,Calc!$K$2:$K$1601,0),"")</f>
        <v/>
      </c>
      <c r="AI1247">
        <f>IF($AG1247="","",SUMIF($AG$2:$AG1247,$AG1247,$AH$2:$AH1247))</f>
        <v/>
      </c>
      <c r="AJ1247">
        <f>IF('TMP Paste'!$F1247="","",IF('TMP Paste'!$B1247="",$AJ1246,'TMP Paste'!$B1247))</f>
        <v/>
      </c>
      <c r="AK1247">
        <f>IF('TMP Paste'!$F1247="","",N('TMP Paste'!$G1247))</f>
        <v/>
      </c>
      <c r="AL1247">
        <f>IF('TMP Paste'!$F1247="","",IF('TMP Paste'!$M1247="",$AL1246,'TMP Paste'!$M1247))</f>
        <v/>
      </c>
      <c r="AM1247">
        <f>IF('TMP Paste'!$F1247="","",IF('TMP Paste'!$N1247="",$AM1246,'TMP Paste'!$N1247))</f>
        <v/>
      </c>
      <c r="AN1247">
        <f>IF('TMP Paste'!$F1247="","",IF('TMP Paste'!$O1247="",$AN1246,'TMP Paste'!$O1247))</f>
        <v/>
      </c>
      <c r="AO1247">
        <f>IF('TMP Paste'!$F1247="","",IF('TMP Paste'!$P1247="",$AO1246,'TMP Paste'!$P1247))</f>
        <v/>
      </c>
      <c r="AP1247">
        <f>IF($AG1247="","",LEN($R1247))</f>
        <v/>
      </c>
      <c r="AQ1247">
        <f>IF($AG1247="","",TRIM(IF(COUNTIFS(Calc!$B$2:$B$1601,ROW()-1,Calc!$C$2:$C$1601,"&lt;1")&gt;0,"Ada PO tanpa Koli - cek TMP. ","")&amp;IF(LEN($R1247)&gt;500,"R &gt; 500 karakter.","")))</f>
        <v/>
      </c>
    </row>
    <row r="1248">
      <c r="A1248">
        <f>IF($AG1248="","",INDEX('TMP Paste'!$B$2:$B$1601,$AG1248))</f>
        <v/>
      </c>
      <c r="B1248">
        <f>IF($AG1248="","",Config!$B$14)</f>
        <v/>
      </c>
      <c r="C1248">
        <f>IF($AG1248="","",Config!$B$15)</f>
        <v/>
      </c>
      <c r="D1248">
        <f>IF($AG1248="","",INDEX('TMP Paste'!$B$2:$B$1601,$AG1248))</f>
        <v/>
      </c>
      <c r="E1248">
        <f>IF($AG1248="","",Config!$B$27)</f>
        <v/>
      </c>
      <c r="F1248">
        <f>IF($AG1248="","",Config!$B$9)</f>
        <v/>
      </c>
      <c r="G1248">
        <f>IF($AG1248="","",Config!$B$10)</f>
        <v/>
      </c>
      <c r="H1248">
        <f>IF($AG1248="","",Config!$B$11)</f>
        <v/>
      </c>
      <c r="I1248">
        <f>IF($AG1248="","",Config!$B$16)</f>
        <v/>
      </c>
      <c r="J1248">
        <f>IF($AG1248="","",INDEX('TMP Paste'!$A$2:$A$1601,$AG1248))</f>
        <v/>
      </c>
      <c r="K1248">
        <f>IF($AG1248="","",INDEX('TMP Paste'!$L$2:$L$1601,$AG1248))</f>
        <v/>
      </c>
      <c r="L1248">
        <f>IF($AG1248="","",INDEX('TMP Paste'!$I$2:$I$1601,$AG1248))</f>
        <v/>
      </c>
      <c r="M1248">
        <f>IF($AG1248="","",Config!$B$16)</f>
        <v/>
      </c>
      <c r="N1248">
        <f>IF($AG1248="","","")</f>
        <v/>
      </c>
      <c r="O1248">
        <f>IF($AG1248="","",INDEX('TMP Paste'!$K$2:$K$1601,$AG1248))</f>
        <v/>
      </c>
      <c r="P1248">
        <f>IF($AG1248="","","")</f>
        <v/>
      </c>
      <c r="Q1248">
        <f>IF($AG1248="","",INDEX('TMP Paste'!$J$2:$J$1601,$AG1248))</f>
        <v/>
      </c>
      <c r="R1248">
        <f>IF($AG1248="","",Config!$B$24)</f>
        <v/>
      </c>
      <c r="S1248">
        <f>IF($AG1248="","",TEXT(Config!$B$4,"yyyy-mm-dd"))</f>
        <v/>
      </c>
      <c r="T1248">
        <f>IF($AG1248="","",Config!$B$17)</f>
        <v/>
      </c>
      <c r="U1248">
        <f>IF($AG1248="","",Config!$B$18)</f>
        <v/>
      </c>
      <c r="V1248">
        <f>IF($AG1248="","",Config!$B$19)</f>
        <v/>
      </c>
      <c r="W1248">
        <f>IF($AG1248="","",INDEX('TMP Paste'!$C$2:$C$1601,$AG1248))</f>
        <v/>
      </c>
      <c r="X1248">
        <f>IF($AG1248="","",Config!$B$29)</f>
        <v/>
      </c>
      <c r="Y1248">
        <f>IF($AH1248="","",INDEX(Calc!$I$2:$I$1601,$AH1248)&amp;" - "&amp;INDEX(Calc!$D$2:$D$1601,$AH1248)&amp;" koli")</f>
        <v/>
      </c>
      <c r="Z1248">
        <f>IF($AG1248="","",Config!$B$21)</f>
        <v/>
      </c>
      <c r="AA1248">
        <f>IF($AG1248="","",Config!$B$22)</f>
        <v/>
      </c>
      <c r="AB1248">
        <f>IF($AH1248="","",INDEX(Calc!$D$2:$D$1601,$AH1248))</f>
        <v/>
      </c>
      <c r="AC1248">
        <f>IF($AH1248="","",INDEX(Calc!$G$2:$G$1601,$AH1248))</f>
        <v/>
      </c>
      <c r="AD1248">
        <f>IF($AG1248="","",Config!$B$23)</f>
        <v/>
      </c>
      <c r="AE1248">
        <f>IF($AG1248="","",Config!$B$28)</f>
        <v/>
      </c>
      <c r="AG1248">
        <f>IFERROR(MATCH(ROW()-1,Calc!$J$2:$J$1601,0),"")</f>
        <v/>
      </c>
      <c r="AH1248">
        <f>IFERROR(MATCH(ROW()-1,Calc!$K$2:$K$1601,0),"")</f>
        <v/>
      </c>
      <c r="AI1248">
        <f>IF($AG1248="","",SUMIF($AG$2:$AG1248,$AG1248,$AH$2:$AH1248))</f>
        <v/>
      </c>
      <c r="AJ1248">
        <f>IF('TMP Paste'!$F1248="","",IF('TMP Paste'!$B1248="",$AJ1247,'TMP Paste'!$B1248))</f>
        <v/>
      </c>
      <c r="AK1248">
        <f>IF('TMP Paste'!$F1248="","",N('TMP Paste'!$G1248))</f>
        <v/>
      </c>
      <c r="AL1248">
        <f>IF('TMP Paste'!$F1248="","",IF('TMP Paste'!$M1248="",$AL1247,'TMP Paste'!$M1248))</f>
        <v/>
      </c>
      <c r="AM1248">
        <f>IF('TMP Paste'!$F1248="","",IF('TMP Paste'!$N1248="",$AM1247,'TMP Paste'!$N1248))</f>
        <v/>
      </c>
      <c r="AN1248">
        <f>IF('TMP Paste'!$F1248="","",IF('TMP Paste'!$O1248="",$AN1247,'TMP Paste'!$O1248))</f>
        <v/>
      </c>
      <c r="AO1248">
        <f>IF('TMP Paste'!$F1248="","",IF('TMP Paste'!$P1248="",$AO1247,'TMP Paste'!$P1248))</f>
        <v/>
      </c>
      <c r="AP1248">
        <f>IF($AG1248="","",LEN($R1248))</f>
        <v/>
      </c>
      <c r="AQ1248">
        <f>IF($AG1248="","",TRIM(IF(COUNTIFS(Calc!$B$2:$B$1601,ROW()-1,Calc!$C$2:$C$1601,"&lt;1")&gt;0,"Ada PO tanpa Koli - cek TMP. ","")&amp;IF(LEN($R1248)&gt;500,"R &gt; 500 karakter.","")))</f>
        <v/>
      </c>
    </row>
    <row r="1249">
      <c r="A1249">
        <f>IF($AG1249="","",INDEX('TMP Paste'!$B$2:$B$1601,$AG1249))</f>
        <v/>
      </c>
      <c r="B1249">
        <f>IF($AG1249="","",Config!$B$14)</f>
        <v/>
      </c>
      <c r="C1249">
        <f>IF($AG1249="","",Config!$B$15)</f>
        <v/>
      </c>
      <c r="D1249">
        <f>IF($AG1249="","",INDEX('TMP Paste'!$B$2:$B$1601,$AG1249))</f>
        <v/>
      </c>
      <c r="E1249">
        <f>IF($AG1249="","",Config!$B$27)</f>
        <v/>
      </c>
      <c r="F1249">
        <f>IF($AG1249="","",Config!$B$9)</f>
        <v/>
      </c>
      <c r="G1249">
        <f>IF($AG1249="","",Config!$B$10)</f>
        <v/>
      </c>
      <c r="H1249">
        <f>IF($AG1249="","",Config!$B$11)</f>
        <v/>
      </c>
      <c r="I1249">
        <f>IF($AG1249="","",Config!$B$16)</f>
        <v/>
      </c>
      <c r="J1249">
        <f>IF($AG1249="","",INDEX('TMP Paste'!$A$2:$A$1601,$AG1249))</f>
        <v/>
      </c>
      <c r="K1249">
        <f>IF($AG1249="","",INDEX('TMP Paste'!$L$2:$L$1601,$AG1249))</f>
        <v/>
      </c>
      <c r="L1249">
        <f>IF($AG1249="","",INDEX('TMP Paste'!$I$2:$I$1601,$AG1249))</f>
        <v/>
      </c>
      <c r="M1249">
        <f>IF($AG1249="","",Config!$B$16)</f>
        <v/>
      </c>
      <c r="N1249">
        <f>IF($AG1249="","","")</f>
        <v/>
      </c>
      <c r="O1249">
        <f>IF($AG1249="","",INDEX('TMP Paste'!$K$2:$K$1601,$AG1249))</f>
        <v/>
      </c>
      <c r="P1249">
        <f>IF($AG1249="","","")</f>
        <v/>
      </c>
      <c r="Q1249">
        <f>IF($AG1249="","",INDEX('TMP Paste'!$J$2:$J$1601,$AG1249))</f>
        <v/>
      </c>
      <c r="R1249">
        <f>IF($AG1249="","",Config!$B$24)</f>
        <v/>
      </c>
      <c r="S1249">
        <f>IF($AG1249="","",TEXT(Config!$B$4,"yyyy-mm-dd"))</f>
        <v/>
      </c>
      <c r="T1249">
        <f>IF($AG1249="","",Config!$B$17)</f>
        <v/>
      </c>
      <c r="U1249">
        <f>IF($AG1249="","",Config!$B$18)</f>
        <v/>
      </c>
      <c r="V1249">
        <f>IF($AG1249="","",Config!$B$19)</f>
        <v/>
      </c>
      <c r="W1249">
        <f>IF($AG1249="","",INDEX('TMP Paste'!$C$2:$C$1601,$AG1249))</f>
        <v/>
      </c>
      <c r="X1249">
        <f>IF($AG1249="","",Config!$B$29)</f>
        <v/>
      </c>
      <c r="Y1249">
        <f>IF($AH1249="","",INDEX(Calc!$I$2:$I$1601,$AH1249)&amp;" - "&amp;INDEX(Calc!$D$2:$D$1601,$AH1249)&amp;" koli")</f>
        <v/>
      </c>
      <c r="Z1249">
        <f>IF($AG1249="","",Config!$B$21)</f>
        <v/>
      </c>
      <c r="AA1249">
        <f>IF($AG1249="","",Config!$B$22)</f>
        <v/>
      </c>
      <c r="AB1249">
        <f>IF($AH1249="","",INDEX(Calc!$D$2:$D$1601,$AH1249))</f>
        <v/>
      </c>
      <c r="AC1249">
        <f>IF($AH1249="","",INDEX(Calc!$G$2:$G$1601,$AH1249))</f>
        <v/>
      </c>
      <c r="AD1249">
        <f>IF($AG1249="","",Config!$B$23)</f>
        <v/>
      </c>
      <c r="AE1249">
        <f>IF($AG1249="","",Config!$B$28)</f>
        <v/>
      </c>
      <c r="AG1249">
        <f>IFERROR(MATCH(ROW()-1,Calc!$J$2:$J$1601,0),"")</f>
        <v/>
      </c>
      <c r="AH1249">
        <f>IFERROR(MATCH(ROW()-1,Calc!$K$2:$K$1601,0),"")</f>
        <v/>
      </c>
      <c r="AI1249">
        <f>IF($AG1249="","",SUMIF($AG$2:$AG1249,$AG1249,$AH$2:$AH1249))</f>
        <v/>
      </c>
      <c r="AJ1249">
        <f>IF('TMP Paste'!$F1249="","",IF('TMP Paste'!$B1249="",$AJ1248,'TMP Paste'!$B1249))</f>
        <v/>
      </c>
      <c r="AK1249">
        <f>IF('TMP Paste'!$F1249="","",N('TMP Paste'!$G1249))</f>
        <v/>
      </c>
      <c r="AL1249">
        <f>IF('TMP Paste'!$F1249="","",IF('TMP Paste'!$M1249="",$AL1248,'TMP Paste'!$M1249))</f>
        <v/>
      </c>
      <c r="AM1249">
        <f>IF('TMP Paste'!$F1249="","",IF('TMP Paste'!$N1249="",$AM1248,'TMP Paste'!$N1249))</f>
        <v/>
      </c>
      <c r="AN1249">
        <f>IF('TMP Paste'!$F1249="","",IF('TMP Paste'!$O1249="",$AN1248,'TMP Paste'!$O1249))</f>
        <v/>
      </c>
      <c r="AO1249">
        <f>IF('TMP Paste'!$F1249="","",IF('TMP Paste'!$P1249="",$AO1248,'TMP Paste'!$P1249))</f>
        <v/>
      </c>
      <c r="AP1249">
        <f>IF($AG1249="","",LEN($R1249))</f>
        <v/>
      </c>
      <c r="AQ1249">
        <f>IF($AG1249="","",TRIM(IF(COUNTIFS(Calc!$B$2:$B$1601,ROW()-1,Calc!$C$2:$C$1601,"&lt;1")&gt;0,"Ada PO tanpa Koli - cek TMP. ","")&amp;IF(LEN($R1249)&gt;500,"R &gt; 500 karakter.","")))</f>
        <v/>
      </c>
    </row>
    <row r="1250">
      <c r="A1250">
        <f>IF($AG1250="","",INDEX('TMP Paste'!$B$2:$B$1601,$AG1250))</f>
        <v/>
      </c>
      <c r="B1250">
        <f>IF($AG1250="","",Config!$B$14)</f>
        <v/>
      </c>
      <c r="C1250">
        <f>IF($AG1250="","",Config!$B$15)</f>
        <v/>
      </c>
      <c r="D1250">
        <f>IF($AG1250="","",INDEX('TMP Paste'!$B$2:$B$1601,$AG1250))</f>
        <v/>
      </c>
      <c r="E1250">
        <f>IF($AG1250="","",Config!$B$27)</f>
        <v/>
      </c>
      <c r="F1250">
        <f>IF($AG1250="","",Config!$B$9)</f>
        <v/>
      </c>
      <c r="G1250">
        <f>IF($AG1250="","",Config!$B$10)</f>
        <v/>
      </c>
      <c r="H1250">
        <f>IF($AG1250="","",Config!$B$11)</f>
        <v/>
      </c>
      <c r="I1250">
        <f>IF($AG1250="","",Config!$B$16)</f>
        <v/>
      </c>
      <c r="J1250">
        <f>IF($AG1250="","",INDEX('TMP Paste'!$A$2:$A$1601,$AG1250))</f>
        <v/>
      </c>
      <c r="K1250">
        <f>IF($AG1250="","",INDEX('TMP Paste'!$L$2:$L$1601,$AG1250))</f>
        <v/>
      </c>
      <c r="L1250">
        <f>IF($AG1250="","",INDEX('TMP Paste'!$I$2:$I$1601,$AG1250))</f>
        <v/>
      </c>
      <c r="M1250">
        <f>IF($AG1250="","",Config!$B$16)</f>
        <v/>
      </c>
      <c r="N1250">
        <f>IF($AG1250="","","")</f>
        <v/>
      </c>
      <c r="O1250">
        <f>IF($AG1250="","",INDEX('TMP Paste'!$K$2:$K$1601,$AG1250))</f>
        <v/>
      </c>
      <c r="P1250">
        <f>IF($AG1250="","","")</f>
        <v/>
      </c>
      <c r="Q1250">
        <f>IF($AG1250="","",INDEX('TMP Paste'!$J$2:$J$1601,$AG1250))</f>
        <v/>
      </c>
      <c r="R1250">
        <f>IF($AG1250="","",Config!$B$24)</f>
        <v/>
      </c>
      <c r="S1250">
        <f>IF($AG1250="","",TEXT(Config!$B$4,"yyyy-mm-dd"))</f>
        <v/>
      </c>
      <c r="T1250">
        <f>IF($AG1250="","",Config!$B$17)</f>
        <v/>
      </c>
      <c r="U1250">
        <f>IF($AG1250="","",Config!$B$18)</f>
        <v/>
      </c>
      <c r="V1250">
        <f>IF($AG1250="","",Config!$B$19)</f>
        <v/>
      </c>
      <c r="W1250">
        <f>IF($AG1250="","",INDEX('TMP Paste'!$C$2:$C$1601,$AG1250))</f>
        <v/>
      </c>
      <c r="X1250">
        <f>IF($AG1250="","",Config!$B$29)</f>
        <v/>
      </c>
      <c r="Y1250">
        <f>IF($AH1250="","",INDEX(Calc!$I$2:$I$1601,$AH1250)&amp;" - "&amp;INDEX(Calc!$D$2:$D$1601,$AH1250)&amp;" koli")</f>
        <v/>
      </c>
      <c r="Z1250">
        <f>IF($AG1250="","",Config!$B$21)</f>
        <v/>
      </c>
      <c r="AA1250">
        <f>IF($AG1250="","",Config!$B$22)</f>
        <v/>
      </c>
      <c r="AB1250">
        <f>IF($AH1250="","",INDEX(Calc!$D$2:$D$1601,$AH1250))</f>
        <v/>
      </c>
      <c r="AC1250">
        <f>IF($AH1250="","",INDEX(Calc!$G$2:$G$1601,$AH1250))</f>
        <v/>
      </c>
      <c r="AD1250">
        <f>IF($AG1250="","",Config!$B$23)</f>
        <v/>
      </c>
      <c r="AE1250">
        <f>IF($AG1250="","",Config!$B$28)</f>
        <v/>
      </c>
      <c r="AG1250">
        <f>IFERROR(MATCH(ROW()-1,Calc!$J$2:$J$1601,0),"")</f>
        <v/>
      </c>
      <c r="AH1250">
        <f>IFERROR(MATCH(ROW()-1,Calc!$K$2:$K$1601,0),"")</f>
        <v/>
      </c>
      <c r="AI1250">
        <f>IF($AG1250="","",SUMIF($AG$2:$AG1250,$AG1250,$AH$2:$AH1250))</f>
        <v/>
      </c>
      <c r="AJ1250">
        <f>IF('TMP Paste'!$F1250="","",IF('TMP Paste'!$B1250="",$AJ1249,'TMP Paste'!$B1250))</f>
        <v/>
      </c>
      <c r="AK1250">
        <f>IF('TMP Paste'!$F1250="","",N('TMP Paste'!$G1250))</f>
        <v/>
      </c>
      <c r="AL1250">
        <f>IF('TMP Paste'!$F1250="","",IF('TMP Paste'!$M1250="",$AL1249,'TMP Paste'!$M1250))</f>
        <v/>
      </c>
      <c r="AM1250">
        <f>IF('TMP Paste'!$F1250="","",IF('TMP Paste'!$N1250="",$AM1249,'TMP Paste'!$N1250))</f>
        <v/>
      </c>
      <c r="AN1250">
        <f>IF('TMP Paste'!$F1250="","",IF('TMP Paste'!$O1250="",$AN1249,'TMP Paste'!$O1250))</f>
        <v/>
      </c>
      <c r="AO1250">
        <f>IF('TMP Paste'!$F1250="","",IF('TMP Paste'!$P1250="",$AO1249,'TMP Paste'!$P1250))</f>
        <v/>
      </c>
      <c r="AP1250">
        <f>IF($AG1250="","",LEN($R1250))</f>
        <v/>
      </c>
      <c r="AQ1250">
        <f>IF($AG1250="","",TRIM(IF(COUNTIFS(Calc!$B$2:$B$1601,ROW()-1,Calc!$C$2:$C$1601,"&lt;1")&gt;0,"Ada PO tanpa Koli - cek TMP. ","")&amp;IF(LEN($R1250)&gt;500,"R &gt; 500 karakter.","")))</f>
        <v/>
      </c>
    </row>
    <row r="1251">
      <c r="A1251">
        <f>IF($AG1251="","",INDEX('TMP Paste'!$B$2:$B$1601,$AG1251))</f>
        <v/>
      </c>
      <c r="B1251">
        <f>IF($AG1251="","",Config!$B$14)</f>
        <v/>
      </c>
      <c r="C1251">
        <f>IF($AG1251="","",Config!$B$15)</f>
        <v/>
      </c>
      <c r="D1251">
        <f>IF($AG1251="","",INDEX('TMP Paste'!$B$2:$B$1601,$AG1251))</f>
        <v/>
      </c>
      <c r="E1251">
        <f>IF($AG1251="","",Config!$B$27)</f>
        <v/>
      </c>
      <c r="F1251">
        <f>IF($AG1251="","",Config!$B$9)</f>
        <v/>
      </c>
      <c r="G1251">
        <f>IF($AG1251="","",Config!$B$10)</f>
        <v/>
      </c>
      <c r="H1251">
        <f>IF($AG1251="","",Config!$B$11)</f>
        <v/>
      </c>
      <c r="I1251">
        <f>IF($AG1251="","",Config!$B$16)</f>
        <v/>
      </c>
      <c r="J1251">
        <f>IF($AG1251="","",INDEX('TMP Paste'!$A$2:$A$1601,$AG1251))</f>
        <v/>
      </c>
      <c r="K1251">
        <f>IF($AG1251="","",INDEX('TMP Paste'!$L$2:$L$1601,$AG1251))</f>
        <v/>
      </c>
      <c r="L1251">
        <f>IF($AG1251="","",INDEX('TMP Paste'!$I$2:$I$1601,$AG1251))</f>
        <v/>
      </c>
      <c r="M1251">
        <f>IF($AG1251="","",Config!$B$16)</f>
        <v/>
      </c>
      <c r="N1251">
        <f>IF($AG1251="","","")</f>
        <v/>
      </c>
      <c r="O1251">
        <f>IF($AG1251="","",INDEX('TMP Paste'!$K$2:$K$1601,$AG1251))</f>
        <v/>
      </c>
      <c r="P1251">
        <f>IF($AG1251="","","")</f>
        <v/>
      </c>
      <c r="Q1251">
        <f>IF($AG1251="","",INDEX('TMP Paste'!$J$2:$J$1601,$AG1251))</f>
        <v/>
      </c>
      <c r="R1251">
        <f>IF($AG1251="","",Config!$B$24)</f>
        <v/>
      </c>
      <c r="S1251">
        <f>IF($AG1251="","",TEXT(Config!$B$4,"yyyy-mm-dd"))</f>
        <v/>
      </c>
      <c r="T1251">
        <f>IF($AG1251="","",Config!$B$17)</f>
        <v/>
      </c>
      <c r="U1251">
        <f>IF($AG1251="","",Config!$B$18)</f>
        <v/>
      </c>
      <c r="V1251">
        <f>IF($AG1251="","",Config!$B$19)</f>
        <v/>
      </c>
      <c r="W1251">
        <f>IF($AG1251="","",INDEX('TMP Paste'!$C$2:$C$1601,$AG1251))</f>
        <v/>
      </c>
      <c r="X1251">
        <f>IF($AG1251="","",Config!$B$29)</f>
        <v/>
      </c>
      <c r="Y1251">
        <f>IF($AH1251="","",INDEX(Calc!$I$2:$I$1601,$AH1251)&amp;" - "&amp;INDEX(Calc!$D$2:$D$1601,$AH1251)&amp;" koli")</f>
        <v/>
      </c>
      <c r="Z1251">
        <f>IF($AG1251="","",Config!$B$21)</f>
        <v/>
      </c>
      <c r="AA1251">
        <f>IF($AG1251="","",Config!$B$22)</f>
        <v/>
      </c>
      <c r="AB1251">
        <f>IF($AH1251="","",INDEX(Calc!$D$2:$D$1601,$AH1251))</f>
        <v/>
      </c>
      <c r="AC1251">
        <f>IF($AH1251="","",INDEX(Calc!$G$2:$G$1601,$AH1251))</f>
        <v/>
      </c>
      <c r="AD1251">
        <f>IF($AG1251="","",Config!$B$23)</f>
        <v/>
      </c>
      <c r="AE1251">
        <f>IF($AG1251="","",Config!$B$28)</f>
        <v/>
      </c>
      <c r="AG1251">
        <f>IFERROR(MATCH(ROW()-1,Calc!$J$2:$J$1601,0),"")</f>
        <v/>
      </c>
      <c r="AH1251">
        <f>IFERROR(MATCH(ROW()-1,Calc!$K$2:$K$1601,0),"")</f>
        <v/>
      </c>
      <c r="AI1251">
        <f>IF($AG1251="","",SUMIF($AG$2:$AG1251,$AG1251,$AH$2:$AH1251))</f>
        <v/>
      </c>
      <c r="AJ1251">
        <f>IF('TMP Paste'!$F1251="","",IF('TMP Paste'!$B1251="",$AJ1250,'TMP Paste'!$B1251))</f>
        <v/>
      </c>
      <c r="AK1251">
        <f>IF('TMP Paste'!$F1251="","",N('TMP Paste'!$G1251))</f>
        <v/>
      </c>
      <c r="AL1251">
        <f>IF('TMP Paste'!$F1251="","",IF('TMP Paste'!$M1251="",$AL1250,'TMP Paste'!$M1251))</f>
        <v/>
      </c>
      <c r="AM1251">
        <f>IF('TMP Paste'!$F1251="","",IF('TMP Paste'!$N1251="",$AM1250,'TMP Paste'!$N1251))</f>
        <v/>
      </c>
      <c r="AN1251">
        <f>IF('TMP Paste'!$F1251="","",IF('TMP Paste'!$O1251="",$AN1250,'TMP Paste'!$O1251))</f>
        <v/>
      </c>
      <c r="AO1251">
        <f>IF('TMP Paste'!$F1251="","",IF('TMP Paste'!$P1251="",$AO1250,'TMP Paste'!$P1251))</f>
        <v/>
      </c>
      <c r="AP1251">
        <f>IF($AG1251="","",LEN($R1251))</f>
        <v/>
      </c>
      <c r="AQ1251">
        <f>IF($AG1251="","",TRIM(IF(COUNTIFS(Calc!$B$2:$B$1601,ROW()-1,Calc!$C$2:$C$1601,"&lt;1")&gt;0,"Ada PO tanpa Koli - cek TMP. ","")&amp;IF(LEN($R1251)&gt;500,"R &gt; 500 karakter.","")))</f>
        <v/>
      </c>
    </row>
    <row r="1252">
      <c r="A1252">
        <f>IF($AG1252="","",INDEX('TMP Paste'!$B$2:$B$1601,$AG1252))</f>
        <v/>
      </c>
      <c r="B1252">
        <f>IF($AG1252="","",Config!$B$14)</f>
        <v/>
      </c>
      <c r="C1252">
        <f>IF($AG1252="","",Config!$B$15)</f>
        <v/>
      </c>
      <c r="D1252">
        <f>IF($AG1252="","",INDEX('TMP Paste'!$B$2:$B$1601,$AG1252))</f>
        <v/>
      </c>
      <c r="E1252">
        <f>IF($AG1252="","",Config!$B$27)</f>
        <v/>
      </c>
      <c r="F1252">
        <f>IF($AG1252="","",Config!$B$9)</f>
        <v/>
      </c>
      <c r="G1252">
        <f>IF($AG1252="","",Config!$B$10)</f>
        <v/>
      </c>
      <c r="H1252">
        <f>IF($AG1252="","",Config!$B$11)</f>
        <v/>
      </c>
      <c r="I1252">
        <f>IF($AG1252="","",Config!$B$16)</f>
        <v/>
      </c>
      <c r="J1252">
        <f>IF($AG1252="","",INDEX('TMP Paste'!$A$2:$A$1601,$AG1252))</f>
        <v/>
      </c>
      <c r="K1252">
        <f>IF($AG1252="","",INDEX('TMP Paste'!$L$2:$L$1601,$AG1252))</f>
        <v/>
      </c>
      <c r="L1252">
        <f>IF($AG1252="","",INDEX('TMP Paste'!$I$2:$I$1601,$AG1252))</f>
        <v/>
      </c>
      <c r="M1252">
        <f>IF($AG1252="","",Config!$B$16)</f>
        <v/>
      </c>
      <c r="N1252">
        <f>IF($AG1252="","","")</f>
        <v/>
      </c>
      <c r="O1252">
        <f>IF($AG1252="","",INDEX('TMP Paste'!$K$2:$K$1601,$AG1252))</f>
        <v/>
      </c>
      <c r="P1252">
        <f>IF($AG1252="","","")</f>
        <v/>
      </c>
      <c r="Q1252">
        <f>IF($AG1252="","",INDEX('TMP Paste'!$J$2:$J$1601,$AG1252))</f>
        <v/>
      </c>
      <c r="R1252">
        <f>IF($AG1252="","",Config!$B$24)</f>
        <v/>
      </c>
      <c r="S1252">
        <f>IF($AG1252="","",TEXT(Config!$B$4,"yyyy-mm-dd"))</f>
        <v/>
      </c>
      <c r="T1252">
        <f>IF($AG1252="","",Config!$B$17)</f>
        <v/>
      </c>
      <c r="U1252">
        <f>IF($AG1252="","",Config!$B$18)</f>
        <v/>
      </c>
      <c r="V1252">
        <f>IF($AG1252="","",Config!$B$19)</f>
        <v/>
      </c>
      <c r="W1252">
        <f>IF($AG1252="","",INDEX('TMP Paste'!$C$2:$C$1601,$AG1252))</f>
        <v/>
      </c>
      <c r="X1252">
        <f>IF($AG1252="","",Config!$B$29)</f>
        <v/>
      </c>
      <c r="Y1252">
        <f>IF($AH1252="","",INDEX(Calc!$I$2:$I$1601,$AH1252)&amp;" - "&amp;INDEX(Calc!$D$2:$D$1601,$AH1252)&amp;" koli")</f>
        <v/>
      </c>
      <c r="Z1252">
        <f>IF($AG1252="","",Config!$B$21)</f>
        <v/>
      </c>
      <c r="AA1252">
        <f>IF($AG1252="","",Config!$B$22)</f>
        <v/>
      </c>
      <c r="AB1252">
        <f>IF($AH1252="","",INDEX(Calc!$D$2:$D$1601,$AH1252))</f>
        <v/>
      </c>
      <c r="AC1252">
        <f>IF($AH1252="","",INDEX(Calc!$G$2:$G$1601,$AH1252))</f>
        <v/>
      </c>
      <c r="AD1252">
        <f>IF($AG1252="","",Config!$B$23)</f>
        <v/>
      </c>
      <c r="AE1252">
        <f>IF($AG1252="","",Config!$B$28)</f>
        <v/>
      </c>
      <c r="AG1252">
        <f>IFERROR(MATCH(ROW()-1,Calc!$J$2:$J$1601,0),"")</f>
        <v/>
      </c>
      <c r="AH1252">
        <f>IFERROR(MATCH(ROW()-1,Calc!$K$2:$K$1601,0),"")</f>
        <v/>
      </c>
      <c r="AI1252">
        <f>IF($AG1252="","",SUMIF($AG$2:$AG1252,$AG1252,$AH$2:$AH1252))</f>
        <v/>
      </c>
      <c r="AJ1252">
        <f>IF('TMP Paste'!$F1252="","",IF('TMP Paste'!$B1252="",$AJ1251,'TMP Paste'!$B1252))</f>
        <v/>
      </c>
      <c r="AK1252">
        <f>IF('TMP Paste'!$F1252="","",N('TMP Paste'!$G1252))</f>
        <v/>
      </c>
      <c r="AL1252">
        <f>IF('TMP Paste'!$F1252="","",IF('TMP Paste'!$M1252="",$AL1251,'TMP Paste'!$M1252))</f>
        <v/>
      </c>
      <c r="AM1252">
        <f>IF('TMP Paste'!$F1252="","",IF('TMP Paste'!$N1252="",$AM1251,'TMP Paste'!$N1252))</f>
        <v/>
      </c>
      <c r="AN1252">
        <f>IF('TMP Paste'!$F1252="","",IF('TMP Paste'!$O1252="",$AN1251,'TMP Paste'!$O1252))</f>
        <v/>
      </c>
      <c r="AO1252">
        <f>IF('TMP Paste'!$F1252="","",IF('TMP Paste'!$P1252="",$AO1251,'TMP Paste'!$P1252))</f>
        <v/>
      </c>
      <c r="AP1252">
        <f>IF($AG1252="","",LEN($R1252))</f>
        <v/>
      </c>
      <c r="AQ1252">
        <f>IF($AG1252="","",TRIM(IF(COUNTIFS(Calc!$B$2:$B$1601,ROW()-1,Calc!$C$2:$C$1601,"&lt;1")&gt;0,"Ada PO tanpa Koli - cek TMP. ","")&amp;IF(LEN($R1252)&gt;500,"R &gt; 500 karakter.","")))</f>
        <v/>
      </c>
    </row>
    <row r="1253">
      <c r="A1253">
        <f>IF($AG1253="","",INDEX('TMP Paste'!$B$2:$B$1601,$AG1253))</f>
        <v/>
      </c>
      <c r="B1253">
        <f>IF($AG1253="","",Config!$B$14)</f>
        <v/>
      </c>
      <c r="C1253">
        <f>IF($AG1253="","",Config!$B$15)</f>
        <v/>
      </c>
      <c r="D1253">
        <f>IF($AG1253="","",INDEX('TMP Paste'!$B$2:$B$1601,$AG1253))</f>
        <v/>
      </c>
      <c r="E1253">
        <f>IF($AG1253="","",Config!$B$27)</f>
        <v/>
      </c>
      <c r="F1253">
        <f>IF($AG1253="","",Config!$B$9)</f>
        <v/>
      </c>
      <c r="G1253">
        <f>IF($AG1253="","",Config!$B$10)</f>
        <v/>
      </c>
      <c r="H1253">
        <f>IF($AG1253="","",Config!$B$11)</f>
        <v/>
      </c>
      <c r="I1253">
        <f>IF($AG1253="","",Config!$B$16)</f>
        <v/>
      </c>
      <c r="J1253">
        <f>IF($AG1253="","",INDEX('TMP Paste'!$A$2:$A$1601,$AG1253))</f>
        <v/>
      </c>
      <c r="K1253">
        <f>IF($AG1253="","",INDEX('TMP Paste'!$L$2:$L$1601,$AG1253))</f>
        <v/>
      </c>
      <c r="L1253">
        <f>IF($AG1253="","",INDEX('TMP Paste'!$I$2:$I$1601,$AG1253))</f>
        <v/>
      </c>
      <c r="M1253">
        <f>IF($AG1253="","",Config!$B$16)</f>
        <v/>
      </c>
      <c r="N1253">
        <f>IF($AG1253="","","")</f>
        <v/>
      </c>
      <c r="O1253">
        <f>IF($AG1253="","",INDEX('TMP Paste'!$K$2:$K$1601,$AG1253))</f>
        <v/>
      </c>
      <c r="P1253">
        <f>IF($AG1253="","","")</f>
        <v/>
      </c>
      <c r="Q1253">
        <f>IF($AG1253="","",INDEX('TMP Paste'!$J$2:$J$1601,$AG1253))</f>
        <v/>
      </c>
      <c r="R1253">
        <f>IF($AG1253="","",Config!$B$24)</f>
        <v/>
      </c>
      <c r="S1253">
        <f>IF($AG1253="","",TEXT(Config!$B$4,"yyyy-mm-dd"))</f>
        <v/>
      </c>
      <c r="T1253">
        <f>IF($AG1253="","",Config!$B$17)</f>
        <v/>
      </c>
      <c r="U1253">
        <f>IF($AG1253="","",Config!$B$18)</f>
        <v/>
      </c>
      <c r="V1253">
        <f>IF($AG1253="","",Config!$B$19)</f>
        <v/>
      </c>
      <c r="W1253">
        <f>IF($AG1253="","",INDEX('TMP Paste'!$C$2:$C$1601,$AG1253))</f>
        <v/>
      </c>
      <c r="X1253">
        <f>IF($AG1253="","",Config!$B$29)</f>
        <v/>
      </c>
      <c r="Y1253">
        <f>IF($AH1253="","",INDEX(Calc!$I$2:$I$1601,$AH1253)&amp;" - "&amp;INDEX(Calc!$D$2:$D$1601,$AH1253)&amp;" koli")</f>
        <v/>
      </c>
      <c r="Z1253">
        <f>IF($AG1253="","",Config!$B$21)</f>
        <v/>
      </c>
      <c r="AA1253">
        <f>IF($AG1253="","",Config!$B$22)</f>
        <v/>
      </c>
      <c r="AB1253">
        <f>IF($AH1253="","",INDEX(Calc!$D$2:$D$1601,$AH1253))</f>
        <v/>
      </c>
      <c r="AC1253">
        <f>IF($AH1253="","",INDEX(Calc!$G$2:$G$1601,$AH1253))</f>
        <v/>
      </c>
      <c r="AD1253">
        <f>IF($AG1253="","",Config!$B$23)</f>
        <v/>
      </c>
      <c r="AE1253">
        <f>IF($AG1253="","",Config!$B$28)</f>
        <v/>
      </c>
      <c r="AG1253">
        <f>IFERROR(MATCH(ROW()-1,Calc!$J$2:$J$1601,0),"")</f>
        <v/>
      </c>
      <c r="AH1253">
        <f>IFERROR(MATCH(ROW()-1,Calc!$K$2:$K$1601,0),"")</f>
        <v/>
      </c>
      <c r="AI1253">
        <f>IF($AG1253="","",SUMIF($AG$2:$AG1253,$AG1253,$AH$2:$AH1253))</f>
        <v/>
      </c>
      <c r="AJ1253">
        <f>IF('TMP Paste'!$F1253="","",IF('TMP Paste'!$B1253="",$AJ1252,'TMP Paste'!$B1253))</f>
        <v/>
      </c>
      <c r="AK1253">
        <f>IF('TMP Paste'!$F1253="","",N('TMP Paste'!$G1253))</f>
        <v/>
      </c>
      <c r="AL1253">
        <f>IF('TMP Paste'!$F1253="","",IF('TMP Paste'!$M1253="",$AL1252,'TMP Paste'!$M1253))</f>
        <v/>
      </c>
      <c r="AM1253">
        <f>IF('TMP Paste'!$F1253="","",IF('TMP Paste'!$N1253="",$AM1252,'TMP Paste'!$N1253))</f>
        <v/>
      </c>
      <c r="AN1253">
        <f>IF('TMP Paste'!$F1253="","",IF('TMP Paste'!$O1253="",$AN1252,'TMP Paste'!$O1253))</f>
        <v/>
      </c>
      <c r="AO1253">
        <f>IF('TMP Paste'!$F1253="","",IF('TMP Paste'!$P1253="",$AO1252,'TMP Paste'!$P1253))</f>
        <v/>
      </c>
      <c r="AP1253">
        <f>IF($AG1253="","",LEN($R1253))</f>
        <v/>
      </c>
      <c r="AQ1253">
        <f>IF($AG1253="","",TRIM(IF(COUNTIFS(Calc!$B$2:$B$1601,ROW()-1,Calc!$C$2:$C$1601,"&lt;1")&gt;0,"Ada PO tanpa Koli - cek TMP. ","")&amp;IF(LEN($R1253)&gt;500,"R &gt; 500 karakter.","")))</f>
        <v/>
      </c>
    </row>
    <row r="1254">
      <c r="A1254">
        <f>IF($AG1254="","",INDEX('TMP Paste'!$B$2:$B$1601,$AG1254))</f>
        <v/>
      </c>
      <c r="B1254">
        <f>IF($AG1254="","",Config!$B$14)</f>
        <v/>
      </c>
      <c r="C1254">
        <f>IF($AG1254="","",Config!$B$15)</f>
        <v/>
      </c>
      <c r="D1254">
        <f>IF($AG1254="","",INDEX('TMP Paste'!$B$2:$B$1601,$AG1254))</f>
        <v/>
      </c>
      <c r="E1254">
        <f>IF($AG1254="","",Config!$B$27)</f>
        <v/>
      </c>
      <c r="F1254">
        <f>IF($AG1254="","",Config!$B$9)</f>
        <v/>
      </c>
      <c r="G1254">
        <f>IF($AG1254="","",Config!$B$10)</f>
        <v/>
      </c>
      <c r="H1254">
        <f>IF($AG1254="","",Config!$B$11)</f>
        <v/>
      </c>
      <c r="I1254">
        <f>IF($AG1254="","",Config!$B$16)</f>
        <v/>
      </c>
      <c r="J1254">
        <f>IF($AG1254="","",INDEX('TMP Paste'!$A$2:$A$1601,$AG1254))</f>
        <v/>
      </c>
      <c r="K1254">
        <f>IF($AG1254="","",INDEX('TMP Paste'!$L$2:$L$1601,$AG1254))</f>
        <v/>
      </c>
      <c r="L1254">
        <f>IF($AG1254="","",INDEX('TMP Paste'!$I$2:$I$1601,$AG1254))</f>
        <v/>
      </c>
      <c r="M1254">
        <f>IF($AG1254="","",Config!$B$16)</f>
        <v/>
      </c>
      <c r="N1254">
        <f>IF($AG1254="","","")</f>
        <v/>
      </c>
      <c r="O1254">
        <f>IF($AG1254="","",INDEX('TMP Paste'!$K$2:$K$1601,$AG1254))</f>
        <v/>
      </c>
      <c r="P1254">
        <f>IF($AG1254="","","")</f>
        <v/>
      </c>
      <c r="Q1254">
        <f>IF($AG1254="","",INDEX('TMP Paste'!$J$2:$J$1601,$AG1254))</f>
        <v/>
      </c>
      <c r="R1254">
        <f>IF($AG1254="","",Config!$B$24)</f>
        <v/>
      </c>
      <c r="S1254">
        <f>IF($AG1254="","",TEXT(Config!$B$4,"yyyy-mm-dd"))</f>
        <v/>
      </c>
      <c r="T1254">
        <f>IF($AG1254="","",Config!$B$17)</f>
        <v/>
      </c>
      <c r="U1254">
        <f>IF($AG1254="","",Config!$B$18)</f>
        <v/>
      </c>
      <c r="V1254">
        <f>IF($AG1254="","",Config!$B$19)</f>
        <v/>
      </c>
      <c r="W1254">
        <f>IF($AG1254="","",INDEX('TMP Paste'!$C$2:$C$1601,$AG1254))</f>
        <v/>
      </c>
      <c r="X1254">
        <f>IF($AG1254="","",Config!$B$29)</f>
        <v/>
      </c>
      <c r="Y1254">
        <f>IF($AH1254="","",INDEX(Calc!$I$2:$I$1601,$AH1254)&amp;" - "&amp;INDEX(Calc!$D$2:$D$1601,$AH1254)&amp;" koli")</f>
        <v/>
      </c>
      <c r="Z1254">
        <f>IF($AG1254="","",Config!$B$21)</f>
        <v/>
      </c>
      <c r="AA1254">
        <f>IF($AG1254="","",Config!$B$22)</f>
        <v/>
      </c>
      <c r="AB1254">
        <f>IF($AH1254="","",INDEX(Calc!$D$2:$D$1601,$AH1254))</f>
        <v/>
      </c>
      <c r="AC1254">
        <f>IF($AH1254="","",INDEX(Calc!$G$2:$G$1601,$AH1254))</f>
        <v/>
      </c>
      <c r="AD1254">
        <f>IF($AG1254="","",Config!$B$23)</f>
        <v/>
      </c>
      <c r="AE1254">
        <f>IF($AG1254="","",Config!$B$28)</f>
        <v/>
      </c>
      <c r="AG1254">
        <f>IFERROR(MATCH(ROW()-1,Calc!$J$2:$J$1601,0),"")</f>
        <v/>
      </c>
      <c r="AH1254">
        <f>IFERROR(MATCH(ROW()-1,Calc!$K$2:$K$1601,0),"")</f>
        <v/>
      </c>
      <c r="AI1254">
        <f>IF($AG1254="","",SUMIF($AG$2:$AG1254,$AG1254,$AH$2:$AH1254))</f>
        <v/>
      </c>
      <c r="AJ1254">
        <f>IF('TMP Paste'!$F1254="","",IF('TMP Paste'!$B1254="",$AJ1253,'TMP Paste'!$B1254))</f>
        <v/>
      </c>
      <c r="AK1254">
        <f>IF('TMP Paste'!$F1254="","",N('TMP Paste'!$G1254))</f>
        <v/>
      </c>
      <c r="AL1254">
        <f>IF('TMP Paste'!$F1254="","",IF('TMP Paste'!$M1254="",$AL1253,'TMP Paste'!$M1254))</f>
        <v/>
      </c>
      <c r="AM1254">
        <f>IF('TMP Paste'!$F1254="","",IF('TMP Paste'!$N1254="",$AM1253,'TMP Paste'!$N1254))</f>
        <v/>
      </c>
      <c r="AN1254">
        <f>IF('TMP Paste'!$F1254="","",IF('TMP Paste'!$O1254="",$AN1253,'TMP Paste'!$O1254))</f>
        <v/>
      </c>
      <c r="AO1254">
        <f>IF('TMP Paste'!$F1254="","",IF('TMP Paste'!$P1254="",$AO1253,'TMP Paste'!$P1254))</f>
        <v/>
      </c>
      <c r="AP1254">
        <f>IF($AG1254="","",LEN($R1254))</f>
        <v/>
      </c>
      <c r="AQ1254">
        <f>IF($AG1254="","",TRIM(IF(COUNTIFS(Calc!$B$2:$B$1601,ROW()-1,Calc!$C$2:$C$1601,"&lt;1")&gt;0,"Ada PO tanpa Koli - cek TMP. ","")&amp;IF(LEN($R1254)&gt;500,"R &gt; 500 karakter.","")))</f>
        <v/>
      </c>
    </row>
    <row r="1255">
      <c r="A1255">
        <f>IF($AG1255="","",INDEX('TMP Paste'!$B$2:$B$1601,$AG1255))</f>
        <v/>
      </c>
      <c r="B1255">
        <f>IF($AG1255="","",Config!$B$14)</f>
        <v/>
      </c>
      <c r="C1255">
        <f>IF($AG1255="","",Config!$B$15)</f>
        <v/>
      </c>
      <c r="D1255">
        <f>IF($AG1255="","",INDEX('TMP Paste'!$B$2:$B$1601,$AG1255))</f>
        <v/>
      </c>
      <c r="E1255">
        <f>IF($AG1255="","",Config!$B$27)</f>
        <v/>
      </c>
      <c r="F1255">
        <f>IF($AG1255="","",Config!$B$9)</f>
        <v/>
      </c>
      <c r="G1255">
        <f>IF($AG1255="","",Config!$B$10)</f>
        <v/>
      </c>
      <c r="H1255">
        <f>IF($AG1255="","",Config!$B$11)</f>
        <v/>
      </c>
      <c r="I1255">
        <f>IF($AG1255="","",Config!$B$16)</f>
        <v/>
      </c>
      <c r="J1255">
        <f>IF($AG1255="","",INDEX('TMP Paste'!$A$2:$A$1601,$AG1255))</f>
        <v/>
      </c>
      <c r="K1255">
        <f>IF($AG1255="","",INDEX('TMP Paste'!$L$2:$L$1601,$AG1255))</f>
        <v/>
      </c>
      <c r="L1255">
        <f>IF($AG1255="","",INDEX('TMP Paste'!$I$2:$I$1601,$AG1255))</f>
        <v/>
      </c>
      <c r="M1255">
        <f>IF($AG1255="","",Config!$B$16)</f>
        <v/>
      </c>
      <c r="N1255">
        <f>IF($AG1255="","","")</f>
        <v/>
      </c>
      <c r="O1255">
        <f>IF($AG1255="","",INDEX('TMP Paste'!$K$2:$K$1601,$AG1255))</f>
        <v/>
      </c>
      <c r="P1255">
        <f>IF($AG1255="","","")</f>
        <v/>
      </c>
      <c r="Q1255">
        <f>IF($AG1255="","",INDEX('TMP Paste'!$J$2:$J$1601,$AG1255))</f>
        <v/>
      </c>
      <c r="R1255">
        <f>IF($AG1255="","",Config!$B$24)</f>
        <v/>
      </c>
      <c r="S1255">
        <f>IF($AG1255="","",TEXT(Config!$B$4,"yyyy-mm-dd"))</f>
        <v/>
      </c>
      <c r="T1255">
        <f>IF($AG1255="","",Config!$B$17)</f>
        <v/>
      </c>
      <c r="U1255">
        <f>IF($AG1255="","",Config!$B$18)</f>
        <v/>
      </c>
      <c r="V1255">
        <f>IF($AG1255="","",Config!$B$19)</f>
        <v/>
      </c>
      <c r="W1255">
        <f>IF($AG1255="","",INDEX('TMP Paste'!$C$2:$C$1601,$AG1255))</f>
        <v/>
      </c>
      <c r="X1255">
        <f>IF($AG1255="","",Config!$B$29)</f>
        <v/>
      </c>
      <c r="Y1255">
        <f>IF($AH1255="","",INDEX(Calc!$I$2:$I$1601,$AH1255)&amp;" - "&amp;INDEX(Calc!$D$2:$D$1601,$AH1255)&amp;" koli")</f>
        <v/>
      </c>
      <c r="Z1255">
        <f>IF($AG1255="","",Config!$B$21)</f>
        <v/>
      </c>
      <c r="AA1255">
        <f>IF($AG1255="","",Config!$B$22)</f>
        <v/>
      </c>
      <c r="AB1255">
        <f>IF($AH1255="","",INDEX(Calc!$D$2:$D$1601,$AH1255))</f>
        <v/>
      </c>
      <c r="AC1255">
        <f>IF($AH1255="","",INDEX(Calc!$G$2:$G$1601,$AH1255))</f>
        <v/>
      </c>
      <c r="AD1255">
        <f>IF($AG1255="","",Config!$B$23)</f>
        <v/>
      </c>
      <c r="AE1255">
        <f>IF($AG1255="","",Config!$B$28)</f>
        <v/>
      </c>
      <c r="AG1255">
        <f>IFERROR(MATCH(ROW()-1,Calc!$J$2:$J$1601,0),"")</f>
        <v/>
      </c>
      <c r="AH1255">
        <f>IFERROR(MATCH(ROW()-1,Calc!$K$2:$K$1601,0),"")</f>
        <v/>
      </c>
      <c r="AI1255">
        <f>IF($AG1255="","",SUMIF($AG$2:$AG1255,$AG1255,$AH$2:$AH1255))</f>
        <v/>
      </c>
      <c r="AJ1255">
        <f>IF('TMP Paste'!$F1255="","",IF('TMP Paste'!$B1255="",$AJ1254,'TMP Paste'!$B1255))</f>
        <v/>
      </c>
      <c r="AK1255">
        <f>IF('TMP Paste'!$F1255="","",N('TMP Paste'!$G1255))</f>
        <v/>
      </c>
      <c r="AL1255">
        <f>IF('TMP Paste'!$F1255="","",IF('TMP Paste'!$M1255="",$AL1254,'TMP Paste'!$M1255))</f>
        <v/>
      </c>
      <c r="AM1255">
        <f>IF('TMP Paste'!$F1255="","",IF('TMP Paste'!$N1255="",$AM1254,'TMP Paste'!$N1255))</f>
        <v/>
      </c>
      <c r="AN1255">
        <f>IF('TMP Paste'!$F1255="","",IF('TMP Paste'!$O1255="",$AN1254,'TMP Paste'!$O1255))</f>
        <v/>
      </c>
      <c r="AO1255">
        <f>IF('TMP Paste'!$F1255="","",IF('TMP Paste'!$P1255="",$AO1254,'TMP Paste'!$P1255))</f>
        <v/>
      </c>
      <c r="AP1255">
        <f>IF($AG1255="","",LEN($R1255))</f>
        <v/>
      </c>
      <c r="AQ1255">
        <f>IF($AG1255="","",TRIM(IF(COUNTIFS(Calc!$B$2:$B$1601,ROW()-1,Calc!$C$2:$C$1601,"&lt;1")&gt;0,"Ada PO tanpa Koli - cek TMP. ","")&amp;IF(LEN($R1255)&gt;500,"R &gt; 500 karakter.","")))</f>
        <v/>
      </c>
    </row>
    <row r="1256">
      <c r="A1256">
        <f>IF($AG1256="","",INDEX('TMP Paste'!$B$2:$B$1601,$AG1256))</f>
        <v/>
      </c>
      <c r="B1256">
        <f>IF($AG1256="","",Config!$B$14)</f>
        <v/>
      </c>
      <c r="C1256">
        <f>IF($AG1256="","",Config!$B$15)</f>
        <v/>
      </c>
      <c r="D1256">
        <f>IF($AG1256="","",INDEX('TMP Paste'!$B$2:$B$1601,$AG1256))</f>
        <v/>
      </c>
      <c r="E1256">
        <f>IF($AG1256="","",Config!$B$27)</f>
        <v/>
      </c>
      <c r="F1256">
        <f>IF($AG1256="","",Config!$B$9)</f>
        <v/>
      </c>
      <c r="G1256">
        <f>IF($AG1256="","",Config!$B$10)</f>
        <v/>
      </c>
      <c r="H1256">
        <f>IF($AG1256="","",Config!$B$11)</f>
        <v/>
      </c>
      <c r="I1256">
        <f>IF($AG1256="","",Config!$B$16)</f>
        <v/>
      </c>
      <c r="J1256">
        <f>IF($AG1256="","",INDEX('TMP Paste'!$A$2:$A$1601,$AG1256))</f>
        <v/>
      </c>
      <c r="K1256">
        <f>IF($AG1256="","",INDEX('TMP Paste'!$L$2:$L$1601,$AG1256))</f>
        <v/>
      </c>
      <c r="L1256">
        <f>IF($AG1256="","",INDEX('TMP Paste'!$I$2:$I$1601,$AG1256))</f>
        <v/>
      </c>
      <c r="M1256">
        <f>IF($AG1256="","",Config!$B$16)</f>
        <v/>
      </c>
      <c r="N1256">
        <f>IF($AG1256="","","")</f>
        <v/>
      </c>
      <c r="O1256">
        <f>IF($AG1256="","",INDEX('TMP Paste'!$K$2:$K$1601,$AG1256))</f>
        <v/>
      </c>
      <c r="P1256">
        <f>IF($AG1256="","","")</f>
        <v/>
      </c>
      <c r="Q1256">
        <f>IF($AG1256="","",INDEX('TMP Paste'!$J$2:$J$1601,$AG1256))</f>
        <v/>
      </c>
      <c r="R1256">
        <f>IF($AG1256="","",Config!$B$24)</f>
        <v/>
      </c>
      <c r="S1256">
        <f>IF($AG1256="","",TEXT(Config!$B$4,"yyyy-mm-dd"))</f>
        <v/>
      </c>
      <c r="T1256">
        <f>IF($AG1256="","",Config!$B$17)</f>
        <v/>
      </c>
      <c r="U1256">
        <f>IF($AG1256="","",Config!$B$18)</f>
        <v/>
      </c>
      <c r="V1256">
        <f>IF($AG1256="","",Config!$B$19)</f>
        <v/>
      </c>
      <c r="W1256">
        <f>IF($AG1256="","",INDEX('TMP Paste'!$C$2:$C$1601,$AG1256))</f>
        <v/>
      </c>
      <c r="X1256">
        <f>IF($AG1256="","",Config!$B$29)</f>
        <v/>
      </c>
      <c r="Y1256">
        <f>IF($AH1256="","",INDEX(Calc!$I$2:$I$1601,$AH1256)&amp;" - "&amp;INDEX(Calc!$D$2:$D$1601,$AH1256)&amp;" koli")</f>
        <v/>
      </c>
      <c r="Z1256">
        <f>IF($AG1256="","",Config!$B$21)</f>
        <v/>
      </c>
      <c r="AA1256">
        <f>IF($AG1256="","",Config!$B$22)</f>
        <v/>
      </c>
      <c r="AB1256">
        <f>IF($AH1256="","",INDEX(Calc!$D$2:$D$1601,$AH1256))</f>
        <v/>
      </c>
      <c r="AC1256">
        <f>IF($AH1256="","",INDEX(Calc!$G$2:$G$1601,$AH1256))</f>
        <v/>
      </c>
      <c r="AD1256">
        <f>IF($AG1256="","",Config!$B$23)</f>
        <v/>
      </c>
      <c r="AE1256">
        <f>IF($AG1256="","",Config!$B$28)</f>
        <v/>
      </c>
      <c r="AG1256">
        <f>IFERROR(MATCH(ROW()-1,Calc!$J$2:$J$1601,0),"")</f>
        <v/>
      </c>
      <c r="AH1256">
        <f>IFERROR(MATCH(ROW()-1,Calc!$K$2:$K$1601,0),"")</f>
        <v/>
      </c>
      <c r="AI1256">
        <f>IF($AG1256="","",SUMIF($AG$2:$AG1256,$AG1256,$AH$2:$AH1256))</f>
        <v/>
      </c>
      <c r="AJ1256">
        <f>IF('TMP Paste'!$F1256="","",IF('TMP Paste'!$B1256="",$AJ1255,'TMP Paste'!$B1256))</f>
        <v/>
      </c>
      <c r="AK1256">
        <f>IF('TMP Paste'!$F1256="","",N('TMP Paste'!$G1256))</f>
        <v/>
      </c>
      <c r="AL1256">
        <f>IF('TMP Paste'!$F1256="","",IF('TMP Paste'!$M1256="",$AL1255,'TMP Paste'!$M1256))</f>
        <v/>
      </c>
      <c r="AM1256">
        <f>IF('TMP Paste'!$F1256="","",IF('TMP Paste'!$N1256="",$AM1255,'TMP Paste'!$N1256))</f>
        <v/>
      </c>
      <c r="AN1256">
        <f>IF('TMP Paste'!$F1256="","",IF('TMP Paste'!$O1256="",$AN1255,'TMP Paste'!$O1256))</f>
        <v/>
      </c>
      <c r="AO1256">
        <f>IF('TMP Paste'!$F1256="","",IF('TMP Paste'!$P1256="",$AO1255,'TMP Paste'!$P1256))</f>
        <v/>
      </c>
      <c r="AP1256">
        <f>IF($AG1256="","",LEN($R1256))</f>
        <v/>
      </c>
      <c r="AQ1256">
        <f>IF($AG1256="","",TRIM(IF(COUNTIFS(Calc!$B$2:$B$1601,ROW()-1,Calc!$C$2:$C$1601,"&lt;1")&gt;0,"Ada PO tanpa Koli - cek TMP. ","")&amp;IF(LEN($R1256)&gt;500,"R &gt; 500 karakter.","")))</f>
        <v/>
      </c>
    </row>
    <row r="1257">
      <c r="A1257">
        <f>IF($AG1257="","",INDEX('TMP Paste'!$B$2:$B$1601,$AG1257))</f>
        <v/>
      </c>
      <c r="B1257">
        <f>IF($AG1257="","",Config!$B$14)</f>
        <v/>
      </c>
      <c r="C1257">
        <f>IF($AG1257="","",Config!$B$15)</f>
        <v/>
      </c>
      <c r="D1257">
        <f>IF($AG1257="","",INDEX('TMP Paste'!$B$2:$B$1601,$AG1257))</f>
        <v/>
      </c>
      <c r="E1257">
        <f>IF($AG1257="","",Config!$B$27)</f>
        <v/>
      </c>
      <c r="F1257">
        <f>IF($AG1257="","",Config!$B$9)</f>
        <v/>
      </c>
      <c r="G1257">
        <f>IF($AG1257="","",Config!$B$10)</f>
        <v/>
      </c>
      <c r="H1257">
        <f>IF($AG1257="","",Config!$B$11)</f>
        <v/>
      </c>
      <c r="I1257">
        <f>IF($AG1257="","",Config!$B$16)</f>
        <v/>
      </c>
      <c r="J1257">
        <f>IF($AG1257="","",INDEX('TMP Paste'!$A$2:$A$1601,$AG1257))</f>
        <v/>
      </c>
      <c r="K1257">
        <f>IF($AG1257="","",INDEX('TMP Paste'!$L$2:$L$1601,$AG1257))</f>
        <v/>
      </c>
      <c r="L1257">
        <f>IF($AG1257="","",INDEX('TMP Paste'!$I$2:$I$1601,$AG1257))</f>
        <v/>
      </c>
      <c r="M1257">
        <f>IF($AG1257="","",Config!$B$16)</f>
        <v/>
      </c>
      <c r="N1257">
        <f>IF($AG1257="","","")</f>
        <v/>
      </c>
      <c r="O1257">
        <f>IF($AG1257="","",INDEX('TMP Paste'!$K$2:$K$1601,$AG1257))</f>
        <v/>
      </c>
      <c r="P1257">
        <f>IF($AG1257="","","")</f>
        <v/>
      </c>
      <c r="Q1257">
        <f>IF($AG1257="","",INDEX('TMP Paste'!$J$2:$J$1601,$AG1257))</f>
        <v/>
      </c>
      <c r="R1257">
        <f>IF($AG1257="","",Config!$B$24)</f>
        <v/>
      </c>
      <c r="S1257">
        <f>IF($AG1257="","",TEXT(Config!$B$4,"yyyy-mm-dd"))</f>
        <v/>
      </c>
      <c r="T1257">
        <f>IF($AG1257="","",Config!$B$17)</f>
        <v/>
      </c>
      <c r="U1257">
        <f>IF($AG1257="","",Config!$B$18)</f>
        <v/>
      </c>
      <c r="V1257">
        <f>IF($AG1257="","",Config!$B$19)</f>
        <v/>
      </c>
      <c r="W1257">
        <f>IF($AG1257="","",INDEX('TMP Paste'!$C$2:$C$1601,$AG1257))</f>
        <v/>
      </c>
      <c r="X1257">
        <f>IF($AG1257="","",Config!$B$29)</f>
        <v/>
      </c>
      <c r="Y1257">
        <f>IF($AH1257="","",INDEX(Calc!$I$2:$I$1601,$AH1257)&amp;" - "&amp;INDEX(Calc!$D$2:$D$1601,$AH1257)&amp;" koli")</f>
        <v/>
      </c>
      <c r="Z1257">
        <f>IF($AG1257="","",Config!$B$21)</f>
        <v/>
      </c>
      <c r="AA1257">
        <f>IF($AG1257="","",Config!$B$22)</f>
        <v/>
      </c>
      <c r="AB1257">
        <f>IF($AH1257="","",INDEX(Calc!$D$2:$D$1601,$AH1257))</f>
        <v/>
      </c>
      <c r="AC1257">
        <f>IF($AH1257="","",INDEX(Calc!$G$2:$G$1601,$AH1257))</f>
        <v/>
      </c>
      <c r="AD1257">
        <f>IF($AG1257="","",Config!$B$23)</f>
        <v/>
      </c>
      <c r="AE1257">
        <f>IF($AG1257="","",Config!$B$28)</f>
        <v/>
      </c>
      <c r="AG1257">
        <f>IFERROR(MATCH(ROW()-1,Calc!$J$2:$J$1601,0),"")</f>
        <v/>
      </c>
      <c r="AH1257">
        <f>IFERROR(MATCH(ROW()-1,Calc!$K$2:$K$1601,0),"")</f>
        <v/>
      </c>
      <c r="AI1257">
        <f>IF($AG1257="","",SUMIF($AG$2:$AG1257,$AG1257,$AH$2:$AH1257))</f>
        <v/>
      </c>
      <c r="AJ1257">
        <f>IF('TMP Paste'!$F1257="","",IF('TMP Paste'!$B1257="",$AJ1256,'TMP Paste'!$B1257))</f>
        <v/>
      </c>
      <c r="AK1257">
        <f>IF('TMP Paste'!$F1257="","",N('TMP Paste'!$G1257))</f>
        <v/>
      </c>
      <c r="AL1257">
        <f>IF('TMP Paste'!$F1257="","",IF('TMP Paste'!$M1257="",$AL1256,'TMP Paste'!$M1257))</f>
        <v/>
      </c>
      <c r="AM1257">
        <f>IF('TMP Paste'!$F1257="","",IF('TMP Paste'!$N1257="",$AM1256,'TMP Paste'!$N1257))</f>
        <v/>
      </c>
      <c r="AN1257">
        <f>IF('TMP Paste'!$F1257="","",IF('TMP Paste'!$O1257="",$AN1256,'TMP Paste'!$O1257))</f>
        <v/>
      </c>
      <c r="AO1257">
        <f>IF('TMP Paste'!$F1257="","",IF('TMP Paste'!$P1257="",$AO1256,'TMP Paste'!$P1257))</f>
        <v/>
      </c>
      <c r="AP1257">
        <f>IF($AG1257="","",LEN($R1257))</f>
        <v/>
      </c>
      <c r="AQ1257">
        <f>IF($AG1257="","",TRIM(IF(COUNTIFS(Calc!$B$2:$B$1601,ROW()-1,Calc!$C$2:$C$1601,"&lt;1")&gt;0,"Ada PO tanpa Koli - cek TMP. ","")&amp;IF(LEN($R1257)&gt;500,"R &gt; 500 karakter.","")))</f>
        <v/>
      </c>
    </row>
    <row r="1258">
      <c r="A1258">
        <f>IF($AG1258="","",INDEX('TMP Paste'!$B$2:$B$1601,$AG1258))</f>
        <v/>
      </c>
      <c r="B1258">
        <f>IF($AG1258="","",Config!$B$14)</f>
        <v/>
      </c>
      <c r="C1258">
        <f>IF($AG1258="","",Config!$B$15)</f>
        <v/>
      </c>
      <c r="D1258">
        <f>IF($AG1258="","",INDEX('TMP Paste'!$B$2:$B$1601,$AG1258))</f>
        <v/>
      </c>
      <c r="E1258">
        <f>IF($AG1258="","",Config!$B$27)</f>
        <v/>
      </c>
      <c r="F1258">
        <f>IF($AG1258="","",Config!$B$9)</f>
        <v/>
      </c>
      <c r="G1258">
        <f>IF($AG1258="","",Config!$B$10)</f>
        <v/>
      </c>
      <c r="H1258">
        <f>IF($AG1258="","",Config!$B$11)</f>
        <v/>
      </c>
      <c r="I1258">
        <f>IF($AG1258="","",Config!$B$16)</f>
        <v/>
      </c>
      <c r="J1258">
        <f>IF($AG1258="","",INDEX('TMP Paste'!$A$2:$A$1601,$AG1258))</f>
        <v/>
      </c>
      <c r="K1258">
        <f>IF($AG1258="","",INDEX('TMP Paste'!$L$2:$L$1601,$AG1258))</f>
        <v/>
      </c>
      <c r="L1258">
        <f>IF($AG1258="","",INDEX('TMP Paste'!$I$2:$I$1601,$AG1258))</f>
        <v/>
      </c>
      <c r="M1258">
        <f>IF($AG1258="","",Config!$B$16)</f>
        <v/>
      </c>
      <c r="N1258">
        <f>IF($AG1258="","","")</f>
        <v/>
      </c>
      <c r="O1258">
        <f>IF($AG1258="","",INDEX('TMP Paste'!$K$2:$K$1601,$AG1258))</f>
        <v/>
      </c>
      <c r="P1258">
        <f>IF($AG1258="","","")</f>
        <v/>
      </c>
      <c r="Q1258">
        <f>IF($AG1258="","",INDEX('TMP Paste'!$J$2:$J$1601,$AG1258))</f>
        <v/>
      </c>
      <c r="R1258">
        <f>IF($AG1258="","",Config!$B$24)</f>
        <v/>
      </c>
      <c r="S1258">
        <f>IF($AG1258="","",TEXT(Config!$B$4,"yyyy-mm-dd"))</f>
        <v/>
      </c>
      <c r="T1258">
        <f>IF($AG1258="","",Config!$B$17)</f>
        <v/>
      </c>
      <c r="U1258">
        <f>IF($AG1258="","",Config!$B$18)</f>
        <v/>
      </c>
      <c r="V1258">
        <f>IF($AG1258="","",Config!$B$19)</f>
        <v/>
      </c>
      <c r="W1258">
        <f>IF($AG1258="","",INDEX('TMP Paste'!$C$2:$C$1601,$AG1258))</f>
        <v/>
      </c>
      <c r="X1258">
        <f>IF($AG1258="","",Config!$B$29)</f>
        <v/>
      </c>
      <c r="Y1258">
        <f>IF($AH1258="","",INDEX(Calc!$I$2:$I$1601,$AH1258)&amp;" - "&amp;INDEX(Calc!$D$2:$D$1601,$AH1258)&amp;" koli")</f>
        <v/>
      </c>
      <c r="Z1258">
        <f>IF($AG1258="","",Config!$B$21)</f>
        <v/>
      </c>
      <c r="AA1258">
        <f>IF($AG1258="","",Config!$B$22)</f>
        <v/>
      </c>
      <c r="AB1258">
        <f>IF($AH1258="","",INDEX(Calc!$D$2:$D$1601,$AH1258))</f>
        <v/>
      </c>
      <c r="AC1258">
        <f>IF($AH1258="","",INDEX(Calc!$G$2:$G$1601,$AH1258))</f>
        <v/>
      </c>
      <c r="AD1258">
        <f>IF($AG1258="","",Config!$B$23)</f>
        <v/>
      </c>
      <c r="AE1258">
        <f>IF($AG1258="","",Config!$B$28)</f>
        <v/>
      </c>
      <c r="AG1258">
        <f>IFERROR(MATCH(ROW()-1,Calc!$J$2:$J$1601,0),"")</f>
        <v/>
      </c>
      <c r="AH1258">
        <f>IFERROR(MATCH(ROW()-1,Calc!$K$2:$K$1601,0),"")</f>
        <v/>
      </c>
      <c r="AI1258">
        <f>IF($AG1258="","",SUMIF($AG$2:$AG1258,$AG1258,$AH$2:$AH1258))</f>
        <v/>
      </c>
      <c r="AJ1258">
        <f>IF('TMP Paste'!$F1258="","",IF('TMP Paste'!$B1258="",$AJ1257,'TMP Paste'!$B1258))</f>
        <v/>
      </c>
      <c r="AK1258">
        <f>IF('TMP Paste'!$F1258="","",N('TMP Paste'!$G1258))</f>
        <v/>
      </c>
      <c r="AL1258">
        <f>IF('TMP Paste'!$F1258="","",IF('TMP Paste'!$M1258="",$AL1257,'TMP Paste'!$M1258))</f>
        <v/>
      </c>
      <c r="AM1258">
        <f>IF('TMP Paste'!$F1258="","",IF('TMP Paste'!$N1258="",$AM1257,'TMP Paste'!$N1258))</f>
        <v/>
      </c>
      <c r="AN1258">
        <f>IF('TMP Paste'!$F1258="","",IF('TMP Paste'!$O1258="",$AN1257,'TMP Paste'!$O1258))</f>
        <v/>
      </c>
      <c r="AO1258">
        <f>IF('TMP Paste'!$F1258="","",IF('TMP Paste'!$P1258="",$AO1257,'TMP Paste'!$P1258))</f>
        <v/>
      </c>
      <c r="AP1258">
        <f>IF($AG1258="","",LEN($R1258))</f>
        <v/>
      </c>
      <c r="AQ1258">
        <f>IF($AG1258="","",TRIM(IF(COUNTIFS(Calc!$B$2:$B$1601,ROW()-1,Calc!$C$2:$C$1601,"&lt;1")&gt;0,"Ada PO tanpa Koli - cek TMP. ","")&amp;IF(LEN($R1258)&gt;500,"R &gt; 500 karakter.","")))</f>
        <v/>
      </c>
    </row>
    <row r="1259">
      <c r="A1259">
        <f>IF($AG1259="","",INDEX('TMP Paste'!$B$2:$B$1601,$AG1259))</f>
        <v/>
      </c>
      <c r="B1259">
        <f>IF($AG1259="","",Config!$B$14)</f>
        <v/>
      </c>
      <c r="C1259">
        <f>IF($AG1259="","",Config!$B$15)</f>
        <v/>
      </c>
      <c r="D1259">
        <f>IF($AG1259="","",INDEX('TMP Paste'!$B$2:$B$1601,$AG1259))</f>
        <v/>
      </c>
      <c r="E1259">
        <f>IF($AG1259="","",Config!$B$27)</f>
        <v/>
      </c>
      <c r="F1259">
        <f>IF($AG1259="","",Config!$B$9)</f>
        <v/>
      </c>
      <c r="G1259">
        <f>IF($AG1259="","",Config!$B$10)</f>
        <v/>
      </c>
      <c r="H1259">
        <f>IF($AG1259="","",Config!$B$11)</f>
        <v/>
      </c>
      <c r="I1259">
        <f>IF($AG1259="","",Config!$B$16)</f>
        <v/>
      </c>
      <c r="J1259">
        <f>IF($AG1259="","",INDEX('TMP Paste'!$A$2:$A$1601,$AG1259))</f>
        <v/>
      </c>
      <c r="K1259">
        <f>IF($AG1259="","",INDEX('TMP Paste'!$L$2:$L$1601,$AG1259))</f>
        <v/>
      </c>
      <c r="L1259">
        <f>IF($AG1259="","",INDEX('TMP Paste'!$I$2:$I$1601,$AG1259))</f>
        <v/>
      </c>
      <c r="M1259">
        <f>IF($AG1259="","",Config!$B$16)</f>
        <v/>
      </c>
      <c r="N1259">
        <f>IF($AG1259="","","")</f>
        <v/>
      </c>
      <c r="O1259">
        <f>IF($AG1259="","",INDEX('TMP Paste'!$K$2:$K$1601,$AG1259))</f>
        <v/>
      </c>
      <c r="P1259">
        <f>IF($AG1259="","","")</f>
        <v/>
      </c>
      <c r="Q1259">
        <f>IF($AG1259="","",INDEX('TMP Paste'!$J$2:$J$1601,$AG1259))</f>
        <v/>
      </c>
      <c r="R1259">
        <f>IF($AG1259="","",Config!$B$24)</f>
        <v/>
      </c>
      <c r="S1259">
        <f>IF($AG1259="","",TEXT(Config!$B$4,"yyyy-mm-dd"))</f>
        <v/>
      </c>
      <c r="T1259">
        <f>IF($AG1259="","",Config!$B$17)</f>
        <v/>
      </c>
      <c r="U1259">
        <f>IF($AG1259="","",Config!$B$18)</f>
        <v/>
      </c>
      <c r="V1259">
        <f>IF($AG1259="","",Config!$B$19)</f>
        <v/>
      </c>
      <c r="W1259">
        <f>IF($AG1259="","",INDEX('TMP Paste'!$C$2:$C$1601,$AG1259))</f>
        <v/>
      </c>
      <c r="X1259">
        <f>IF($AG1259="","",Config!$B$29)</f>
        <v/>
      </c>
      <c r="Y1259">
        <f>IF($AH1259="","",INDEX(Calc!$I$2:$I$1601,$AH1259)&amp;" - "&amp;INDEX(Calc!$D$2:$D$1601,$AH1259)&amp;" koli")</f>
        <v/>
      </c>
      <c r="Z1259">
        <f>IF($AG1259="","",Config!$B$21)</f>
        <v/>
      </c>
      <c r="AA1259">
        <f>IF($AG1259="","",Config!$B$22)</f>
        <v/>
      </c>
      <c r="AB1259">
        <f>IF($AH1259="","",INDEX(Calc!$D$2:$D$1601,$AH1259))</f>
        <v/>
      </c>
      <c r="AC1259">
        <f>IF($AH1259="","",INDEX(Calc!$G$2:$G$1601,$AH1259))</f>
        <v/>
      </c>
      <c r="AD1259">
        <f>IF($AG1259="","",Config!$B$23)</f>
        <v/>
      </c>
      <c r="AE1259">
        <f>IF($AG1259="","",Config!$B$28)</f>
        <v/>
      </c>
      <c r="AG1259">
        <f>IFERROR(MATCH(ROW()-1,Calc!$J$2:$J$1601,0),"")</f>
        <v/>
      </c>
      <c r="AH1259">
        <f>IFERROR(MATCH(ROW()-1,Calc!$K$2:$K$1601,0),"")</f>
        <v/>
      </c>
      <c r="AI1259">
        <f>IF($AG1259="","",SUMIF($AG$2:$AG1259,$AG1259,$AH$2:$AH1259))</f>
        <v/>
      </c>
      <c r="AJ1259">
        <f>IF('TMP Paste'!$F1259="","",IF('TMP Paste'!$B1259="",$AJ1258,'TMP Paste'!$B1259))</f>
        <v/>
      </c>
      <c r="AK1259">
        <f>IF('TMP Paste'!$F1259="","",N('TMP Paste'!$G1259))</f>
        <v/>
      </c>
      <c r="AL1259">
        <f>IF('TMP Paste'!$F1259="","",IF('TMP Paste'!$M1259="",$AL1258,'TMP Paste'!$M1259))</f>
        <v/>
      </c>
      <c r="AM1259">
        <f>IF('TMP Paste'!$F1259="","",IF('TMP Paste'!$N1259="",$AM1258,'TMP Paste'!$N1259))</f>
        <v/>
      </c>
      <c r="AN1259">
        <f>IF('TMP Paste'!$F1259="","",IF('TMP Paste'!$O1259="",$AN1258,'TMP Paste'!$O1259))</f>
        <v/>
      </c>
      <c r="AO1259">
        <f>IF('TMP Paste'!$F1259="","",IF('TMP Paste'!$P1259="",$AO1258,'TMP Paste'!$P1259))</f>
        <v/>
      </c>
      <c r="AP1259">
        <f>IF($AG1259="","",LEN($R1259))</f>
        <v/>
      </c>
      <c r="AQ1259">
        <f>IF($AG1259="","",TRIM(IF(COUNTIFS(Calc!$B$2:$B$1601,ROW()-1,Calc!$C$2:$C$1601,"&lt;1")&gt;0,"Ada PO tanpa Koli - cek TMP. ","")&amp;IF(LEN($R1259)&gt;500,"R &gt; 500 karakter.","")))</f>
        <v/>
      </c>
    </row>
    <row r="1260">
      <c r="A1260">
        <f>IF($AG1260="","",INDEX('TMP Paste'!$B$2:$B$1601,$AG1260))</f>
        <v/>
      </c>
      <c r="B1260">
        <f>IF($AG1260="","",Config!$B$14)</f>
        <v/>
      </c>
      <c r="C1260">
        <f>IF($AG1260="","",Config!$B$15)</f>
        <v/>
      </c>
      <c r="D1260">
        <f>IF($AG1260="","",INDEX('TMP Paste'!$B$2:$B$1601,$AG1260))</f>
        <v/>
      </c>
      <c r="E1260">
        <f>IF($AG1260="","",Config!$B$27)</f>
        <v/>
      </c>
      <c r="F1260">
        <f>IF($AG1260="","",Config!$B$9)</f>
        <v/>
      </c>
      <c r="G1260">
        <f>IF($AG1260="","",Config!$B$10)</f>
        <v/>
      </c>
      <c r="H1260">
        <f>IF($AG1260="","",Config!$B$11)</f>
        <v/>
      </c>
      <c r="I1260">
        <f>IF($AG1260="","",Config!$B$16)</f>
        <v/>
      </c>
      <c r="J1260">
        <f>IF($AG1260="","",INDEX('TMP Paste'!$A$2:$A$1601,$AG1260))</f>
        <v/>
      </c>
      <c r="K1260">
        <f>IF($AG1260="","",INDEX('TMP Paste'!$L$2:$L$1601,$AG1260))</f>
        <v/>
      </c>
      <c r="L1260">
        <f>IF($AG1260="","",INDEX('TMP Paste'!$I$2:$I$1601,$AG1260))</f>
        <v/>
      </c>
      <c r="M1260">
        <f>IF($AG1260="","",Config!$B$16)</f>
        <v/>
      </c>
      <c r="N1260">
        <f>IF($AG1260="","","")</f>
        <v/>
      </c>
      <c r="O1260">
        <f>IF($AG1260="","",INDEX('TMP Paste'!$K$2:$K$1601,$AG1260))</f>
        <v/>
      </c>
      <c r="P1260">
        <f>IF($AG1260="","","")</f>
        <v/>
      </c>
      <c r="Q1260">
        <f>IF($AG1260="","",INDEX('TMP Paste'!$J$2:$J$1601,$AG1260))</f>
        <v/>
      </c>
      <c r="R1260">
        <f>IF($AG1260="","",Config!$B$24)</f>
        <v/>
      </c>
      <c r="S1260">
        <f>IF($AG1260="","",TEXT(Config!$B$4,"yyyy-mm-dd"))</f>
        <v/>
      </c>
      <c r="T1260">
        <f>IF($AG1260="","",Config!$B$17)</f>
        <v/>
      </c>
      <c r="U1260">
        <f>IF($AG1260="","",Config!$B$18)</f>
        <v/>
      </c>
      <c r="V1260">
        <f>IF($AG1260="","",Config!$B$19)</f>
        <v/>
      </c>
      <c r="W1260">
        <f>IF($AG1260="","",INDEX('TMP Paste'!$C$2:$C$1601,$AG1260))</f>
        <v/>
      </c>
      <c r="X1260">
        <f>IF($AG1260="","",Config!$B$29)</f>
        <v/>
      </c>
      <c r="Y1260">
        <f>IF($AH1260="","",INDEX(Calc!$I$2:$I$1601,$AH1260)&amp;" - "&amp;INDEX(Calc!$D$2:$D$1601,$AH1260)&amp;" koli")</f>
        <v/>
      </c>
      <c r="Z1260">
        <f>IF($AG1260="","",Config!$B$21)</f>
        <v/>
      </c>
      <c r="AA1260">
        <f>IF($AG1260="","",Config!$B$22)</f>
        <v/>
      </c>
      <c r="AB1260">
        <f>IF($AH1260="","",INDEX(Calc!$D$2:$D$1601,$AH1260))</f>
        <v/>
      </c>
      <c r="AC1260">
        <f>IF($AH1260="","",INDEX(Calc!$G$2:$G$1601,$AH1260))</f>
        <v/>
      </c>
      <c r="AD1260">
        <f>IF($AG1260="","",Config!$B$23)</f>
        <v/>
      </c>
      <c r="AE1260">
        <f>IF($AG1260="","",Config!$B$28)</f>
        <v/>
      </c>
      <c r="AG1260">
        <f>IFERROR(MATCH(ROW()-1,Calc!$J$2:$J$1601,0),"")</f>
        <v/>
      </c>
      <c r="AH1260">
        <f>IFERROR(MATCH(ROW()-1,Calc!$K$2:$K$1601,0),"")</f>
        <v/>
      </c>
      <c r="AI1260">
        <f>IF($AG1260="","",SUMIF($AG$2:$AG1260,$AG1260,$AH$2:$AH1260))</f>
        <v/>
      </c>
      <c r="AJ1260">
        <f>IF('TMP Paste'!$F1260="","",IF('TMP Paste'!$B1260="",$AJ1259,'TMP Paste'!$B1260))</f>
        <v/>
      </c>
      <c r="AK1260">
        <f>IF('TMP Paste'!$F1260="","",N('TMP Paste'!$G1260))</f>
        <v/>
      </c>
      <c r="AL1260">
        <f>IF('TMP Paste'!$F1260="","",IF('TMP Paste'!$M1260="",$AL1259,'TMP Paste'!$M1260))</f>
        <v/>
      </c>
      <c r="AM1260">
        <f>IF('TMP Paste'!$F1260="","",IF('TMP Paste'!$N1260="",$AM1259,'TMP Paste'!$N1260))</f>
        <v/>
      </c>
      <c r="AN1260">
        <f>IF('TMP Paste'!$F1260="","",IF('TMP Paste'!$O1260="",$AN1259,'TMP Paste'!$O1260))</f>
        <v/>
      </c>
      <c r="AO1260">
        <f>IF('TMP Paste'!$F1260="","",IF('TMP Paste'!$P1260="",$AO1259,'TMP Paste'!$P1260))</f>
        <v/>
      </c>
      <c r="AP1260">
        <f>IF($AG1260="","",LEN($R1260))</f>
        <v/>
      </c>
      <c r="AQ1260">
        <f>IF($AG1260="","",TRIM(IF(COUNTIFS(Calc!$B$2:$B$1601,ROW()-1,Calc!$C$2:$C$1601,"&lt;1")&gt;0,"Ada PO tanpa Koli - cek TMP. ","")&amp;IF(LEN($R1260)&gt;500,"R &gt; 500 karakter.","")))</f>
        <v/>
      </c>
    </row>
    <row r="1261">
      <c r="A1261">
        <f>IF($AG1261="","",INDEX('TMP Paste'!$B$2:$B$1601,$AG1261))</f>
        <v/>
      </c>
      <c r="B1261">
        <f>IF($AG1261="","",Config!$B$14)</f>
        <v/>
      </c>
      <c r="C1261">
        <f>IF($AG1261="","",Config!$B$15)</f>
        <v/>
      </c>
      <c r="D1261">
        <f>IF($AG1261="","",INDEX('TMP Paste'!$B$2:$B$1601,$AG1261))</f>
        <v/>
      </c>
      <c r="E1261">
        <f>IF($AG1261="","",Config!$B$27)</f>
        <v/>
      </c>
      <c r="F1261">
        <f>IF($AG1261="","",Config!$B$9)</f>
        <v/>
      </c>
      <c r="G1261">
        <f>IF($AG1261="","",Config!$B$10)</f>
        <v/>
      </c>
      <c r="H1261">
        <f>IF($AG1261="","",Config!$B$11)</f>
        <v/>
      </c>
      <c r="I1261">
        <f>IF($AG1261="","",Config!$B$16)</f>
        <v/>
      </c>
      <c r="J1261">
        <f>IF($AG1261="","",INDEX('TMP Paste'!$A$2:$A$1601,$AG1261))</f>
        <v/>
      </c>
      <c r="K1261">
        <f>IF($AG1261="","",INDEX('TMP Paste'!$L$2:$L$1601,$AG1261))</f>
        <v/>
      </c>
      <c r="L1261">
        <f>IF($AG1261="","",INDEX('TMP Paste'!$I$2:$I$1601,$AG1261))</f>
        <v/>
      </c>
      <c r="M1261">
        <f>IF($AG1261="","",Config!$B$16)</f>
        <v/>
      </c>
      <c r="N1261">
        <f>IF($AG1261="","","")</f>
        <v/>
      </c>
      <c r="O1261">
        <f>IF($AG1261="","",INDEX('TMP Paste'!$K$2:$K$1601,$AG1261))</f>
        <v/>
      </c>
      <c r="P1261">
        <f>IF($AG1261="","","")</f>
        <v/>
      </c>
      <c r="Q1261">
        <f>IF($AG1261="","",INDEX('TMP Paste'!$J$2:$J$1601,$AG1261))</f>
        <v/>
      </c>
      <c r="R1261">
        <f>IF($AG1261="","",Config!$B$24)</f>
        <v/>
      </c>
      <c r="S1261">
        <f>IF($AG1261="","",TEXT(Config!$B$4,"yyyy-mm-dd"))</f>
        <v/>
      </c>
      <c r="T1261">
        <f>IF($AG1261="","",Config!$B$17)</f>
        <v/>
      </c>
      <c r="U1261">
        <f>IF($AG1261="","",Config!$B$18)</f>
        <v/>
      </c>
      <c r="V1261">
        <f>IF($AG1261="","",Config!$B$19)</f>
        <v/>
      </c>
      <c r="W1261">
        <f>IF($AG1261="","",INDEX('TMP Paste'!$C$2:$C$1601,$AG1261))</f>
        <v/>
      </c>
      <c r="X1261">
        <f>IF($AG1261="","",Config!$B$29)</f>
        <v/>
      </c>
      <c r="Y1261">
        <f>IF($AH1261="","",INDEX(Calc!$I$2:$I$1601,$AH1261)&amp;" - "&amp;INDEX(Calc!$D$2:$D$1601,$AH1261)&amp;" koli")</f>
        <v/>
      </c>
      <c r="Z1261">
        <f>IF($AG1261="","",Config!$B$21)</f>
        <v/>
      </c>
      <c r="AA1261">
        <f>IF($AG1261="","",Config!$B$22)</f>
        <v/>
      </c>
      <c r="AB1261">
        <f>IF($AH1261="","",INDEX(Calc!$D$2:$D$1601,$AH1261))</f>
        <v/>
      </c>
      <c r="AC1261">
        <f>IF($AH1261="","",INDEX(Calc!$G$2:$G$1601,$AH1261))</f>
        <v/>
      </c>
      <c r="AD1261">
        <f>IF($AG1261="","",Config!$B$23)</f>
        <v/>
      </c>
      <c r="AE1261">
        <f>IF($AG1261="","",Config!$B$28)</f>
        <v/>
      </c>
      <c r="AG1261">
        <f>IFERROR(MATCH(ROW()-1,Calc!$J$2:$J$1601,0),"")</f>
        <v/>
      </c>
      <c r="AH1261">
        <f>IFERROR(MATCH(ROW()-1,Calc!$K$2:$K$1601,0),"")</f>
        <v/>
      </c>
      <c r="AI1261">
        <f>IF($AG1261="","",SUMIF($AG$2:$AG1261,$AG1261,$AH$2:$AH1261))</f>
        <v/>
      </c>
      <c r="AJ1261">
        <f>IF('TMP Paste'!$F1261="","",IF('TMP Paste'!$B1261="",$AJ1260,'TMP Paste'!$B1261))</f>
        <v/>
      </c>
      <c r="AK1261">
        <f>IF('TMP Paste'!$F1261="","",N('TMP Paste'!$G1261))</f>
        <v/>
      </c>
      <c r="AL1261">
        <f>IF('TMP Paste'!$F1261="","",IF('TMP Paste'!$M1261="",$AL1260,'TMP Paste'!$M1261))</f>
        <v/>
      </c>
      <c r="AM1261">
        <f>IF('TMP Paste'!$F1261="","",IF('TMP Paste'!$N1261="",$AM1260,'TMP Paste'!$N1261))</f>
        <v/>
      </c>
      <c r="AN1261">
        <f>IF('TMP Paste'!$F1261="","",IF('TMP Paste'!$O1261="",$AN1260,'TMP Paste'!$O1261))</f>
        <v/>
      </c>
      <c r="AO1261">
        <f>IF('TMP Paste'!$F1261="","",IF('TMP Paste'!$P1261="",$AO1260,'TMP Paste'!$P1261))</f>
        <v/>
      </c>
      <c r="AP1261">
        <f>IF($AG1261="","",LEN($R1261))</f>
        <v/>
      </c>
      <c r="AQ1261">
        <f>IF($AG1261="","",TRIM(IF(COUNTIFS(Calc!$B$2:$B$1601,ROW()-1,Calc!$C$2:$C$1601,"&lt;1")&gt;0,"Ada PO tanpa Koli - cek TMP. ","")&amp;IF(LEN($R1261)&gt;500,"R &gt; 500 karakter.","")))</f>
        <v/>
      </c>
    </row>
    <row r="1262">
      <c r="A1262">
        <f>IF($AG1262="","",INDEX('TMP Paste'!$B$2:$B$1601,$AG1262))</f>
        <v/>
      </c>
      <c r="B1262">
        <f>IF($AG1262="","",Config!$B$14)</f>
        <v/>
      </c>
      <c r="C1262">
        <f>IF($AG1262="","",Config!$B$15)</f>
        <v/>
      </c>
      <c r="D1262">
        <f>IF($AG1262="","",INDEX('TMP Paste'!$B$2:$B$1601,$AG1262))</f>
        <v/>
      </c>
      <c r="E1262">
        <f>IF($AG1262="","",Config!$B$27)</f>
        <v/>
      </c>
      <c r="F1262">
        <f>IF($AG1262="","",Config!$B$9)</f>
        <v/>
      </c>
      <c r="G1262">
        <f>IF($AG1262="","",Config!$B$10)</f>
        <v/>
      </c>
      <c r="H1262">
        <f>IF($AG1262="","",Config!$B$11)</f>
        <v/>
      </c>
      <c r="I1262">
        <f>IF($AG1262="","",Config!$B$16)</f>
        <v/>
      </c>
      <c r="J1262">
        <f>IF($AG1262="","",INDEX('TMP Paste'!$A$2:$A$1601,$AG1262))</f>
        <v/>
      </c>
      <c r="K1262">
        <f>IF($AG1262="","",INDEX('TMP Paste'!$L$2:$L$1601,$AG1262))</f>
        <v/>
      </c>
      <c r="L1262">
        <f>IF($AG1262="","",INDEX('TMP Paste'!$I$2:$I$1601,$AG1262))</f>
        <v/>
      </c>
      <c r="M1262">
        <f>IF($AG1262="","",Config!$B$16)</f>
        <v/>
      </c>
      <c r="N1262">
        <f>IF($AG1262="","","")</f>
        <v/>
      </c>
      <c r="O1262">
        <f>IF($AG1262="","",INDEX('TMP Paste'!$K$2:$K$1601,$AG1262))</f>
        <v/>
      </c>
      <c r="P1262">
        <f>IF($AG1262="","","")</f>
        <v/>
      </c>
      <c r="Q1262">
        <f>IF($AG1262="","",INDEX('TMP Paste'!$J$2:$J$1601,$AG1262))</f>
        <v/>
      </c>
      <c r="R1262">
        <f>IF($AG1262="","",Config!$B$24)</f>
        <v/>
      </c>
      <c r="S1262">
        <f>IF($AG1262="","",TEXT(Config!$B$4,"yyyy-mm-dd"))</f>
        <v/>
      </c>
      <c r="T1262">
        <f>IF($AG1262="","",Config!$B$17)</f>
        <v/>
      </c>
      <c r="U1262">
        <f>IF($AG1262="","",Config!$B$18)</f>
        <v/>
      </c>
      <c r="V1262">
        <f>IF($AG1262="","",Config!$B$19)</f>
        <v/>
      </c>
      <c r="W1262">
        <f>IF($AG1262="","",INDEX('TMP Paste'!$C$2:$C$1601,$AG1262))</f>
        <v/>
      </c>
      <c r="X1262">
        <f>IF($AG1262="","",Config!$B$29)</f>
        <v/>
      </c>
      <c r="Y1262">
        <f>IF($AH1262="","",INDEX(Calc!$I$2:$I$1601,$AH1262)&amp;" - "&amp;INDEX(Calc!$D$2:$D$1601,$AH1262)&amp;" koli")</f>
        <v/>
      </c>
      <c r="Z1262">
        <f>IF($AG1262="","",Config!$B$21)</f>
        <v/>
      </c>
      <c r="AA1262">
        <f>IF($AG1262="","",Config!$B$22)</f>
        <v/>
      </c>
      <c r="AB1262">
        <f>IF($AH1262="","",INDEX(Calc!$D$2:$D$1601,$AH1262))</f>
        <v/>
      </c>
      <c r="AC1262">
        <f>IF($AH1262="","",INDEX(Calc!$G$2:$G$1601,$AH1262))</f>
        <v/>
      </c>
      <c r="AD1262">
        <f>IF($AG1262="","",Config!$B$23)</f>
        <v/>
      </c>
      <c r="AE1262">
        <f>IF($AG1262="","",Config!$B$28)</f>
        <v/>
      </c>
      <c r="AG1262">
        <f>IFERROR(MATCH(ROW()-1,Calc!$J$2:$J$1601,0),"")</f>
        <v/>
      </c>
      <c r="AH1262">
        <f>IFERROR(MATCH(ROW()-1,Calc!$K$2:$K$1601,0),"")</f>
        <v/>
      </c>
      <c r="AI1262">
        <f>IF($AG1262="","",SUMIF($AG$2:$AG1262,$AG1262,$AH$2:$AH1262))</f>
        <v/>
      </c>
      <c r="AJ1262">
        <f>IF('TMP Paste'!$F1262="","",IF('TMP Paste'!$B1262="",$AJ1261,'TMP Paste'!$B1262))</f>
        <v/>
      </c>
      <c r="AK1262">
        <f>IF('TMP Paste'!$F1262="","",N('TMP Paste'!$G1262))</f>
        <v/>
      </c>
      <c r="AL1262">
        <f>IF('TMP Paste'!$F1262="","",IF('TMP Paste'!$M1262="",$AL1261,'TMP Paste'!$M1262))</f>
        <v/>
      </c>
      <c r="AM1262">
        <f>IF('TMP Paste'!$F1262="","",IF('TMP Paste'!$N1262="",$AM1261,'TMP Paste'!$N1262))</f>
        <v/>
      </c>
      <c r="AN1262">
        <f>IF('TMP Paste'!$F1262="","",IF('TMP Paste'!$O1262="",$AN1261,'TMP Paste'!$O1262))</f>
        <v/>
      </c>
      <c r="AO1262">
        <f>IF('TMP Paste'!$F1262="","",IF('TMP Paste'!$P1262="",$AO1261,'TMP Paste'!$P1262))</f>
        <v/>
      </c>
      <c r="AP1262">
        <f>IF($AG1262="","",LEN($R1262))</f>
        <v/>
      </c>
      <c r="AQ1262">
        <f>IF($AG1262="","",TRIM(IF(COUNTIFS(Calc!$B$2:$B$1601,ROW()-1,Calc!$C$2:$C$1601,"&lt;1")&gt;0,"Ada PO tanpa Koli - cek TMP. ","")&amp;IF(LEN($R1262)&gt;500,"R &gt; 500 karakter.","")))</f>
        <v/>
      </c>
    </row>
    <row r="1263">
      <c r="A1263">
        <f>IF($AG1263="","",INDEX('TMP Paste'!$B$2:$B$1601,$AG1263))</f>
        <v/>
      </c>
      <c r="B1263">
        <f>IF($AG1263="","",Config!$B$14)</f>
        <v/>
      </c>
      <c r="C1263">
        <f>IF($AG1263="","",Config!$B$15)</f>
        <v/>
      </c>
      <c r="D1263">
        <f>IF($AG1263="","",INDEX('TMP Paste'!$B$2:$B$1601,$AG1263))</f>
        <v/>
      </c>
      <c r="E1263">
        <f>IF($AG1263="","",Config!$B$27)</f>
        <v/>
      </c>
      <c r="F1263">
        <f>IF($AG1263="","",Config!$B$9)</f>
        <v/>
      </c>
      <c r="G1263">
        <f>IF($AG1263="","",Config!$B$10)</f>
        <v/>
      </c>
      <c r="H1263">
        <f>IF($AG1263="","",Config!$B$11)</f>
        <v/>
      </c>
      <c r="I1263">
        <f>IF($AG1263="","",Config!$B$16)</f>
        <v/>
      </c>
      <c r="J1263">
        <f>IF($AG1263="","",INDEX('TMP Paste'!$A$2:$A$1601,$AG1263))</f>
        <v/>
      </c>
      <c r="K1263">
        <f>IF($AG1263="","",INDEX('TMP Paste'!$L$2:$L$1601,$AG1263))</f>
        <v/>
      </c>
      <c r="L1263">
        <f>IF($AG1263="","",INDEX('TMP Paste'!$I$2:$I$1601,$AG1263))</f>
        <v/>
      </c>
      <c r="M1263">
        <f>IF($AG1263="","",Config!$B$16)</f>
        <v/>
      </c>
      <c r="N1263">
        <f>IF($AG1263="","","")</f>
        <v/>
      </c>
      <c r="O1263">
        <f>IF($AG1263="","",INDEX('TMP Paste'!$K$2:$K$1601,$AG1263))</f>
        <v/>
      </c>
      <c r="P1263">
        <f>IF($AG1263="","","")</f>
        <v/>
      </c>
      <c r="Q1263">
        <f>IF($AG1263="","",INDEX('TMP Paste'!$J$2:$J$1601,$AG1263))</f>
        <v/>
      </c>
      <c r="R1263">
        <f>IF($AG1263="","",Config!$B$24)</f>
        <v/>
      </c>
      <c r="S1263">
        <f>IF($AG1263="","",TEXT(Config!$B$4,"yyyy-mm-dd"))</f>
        <v/>
      </c>
      <c r="T1263">
        <f>IF($AG1263="","",Config!$B$17)</f>
        <v/>
      </c>
      <c r="U1263">
        <f>IF($AG1263="","",Config!$B$18)</f>
        <v/>
      </c>
      <c r="V1263">
        <f>IF($AG1263="","",Config!$B$19)</f>
        <v/>
      </c>
      <c r="W1263">
        <f>IF($AG1263="","",INDEX('TMP Paste'!$C$2:$C$1601,$AG1263))</f>
        <v/>
      </c>
      <c r="X1263">
        <f>IF($AG1263="","",Config!$B$29)</f>
        <v/>
      </c>
      <c r="Y1263">
        <f>IF($AH1263="","",INDEX(Calc!$I$2:$I$1601,$AH1263)&amp;" - "&amp;INDEX(Calc!$D$2:$D$1601,$AH1263)&amp;" koli")</f>
        <v/>
      </c>
      <c r="Z1263">
        <f>IF($AG1263="","",Config!$B$21)</f>
        <v/>
      </c>
      <c r="AA1263">
        <f>IF($AG1263="","",Config!$B$22)</f>
        <v/>
      </c>
      <c r="AB1263">
        <f>IF($AH1263="","",INDEX(Calc!$D$2:$D$1601,$AH1263))</f>
        <v/>
      </c>
      <c r="AC1263">
        <f>IF($AH1263="","",INDEX(Calc!$G$2:$G$1601,$AH1263))</f>
        <v/>
      </c>
      <c r="AD1263">
        <f>IF($AG1263="","",Config!$B$23)</f>
        <v/>
      </c>
      <c r="AE1263">
        <f>IF($AG1263="","",Config!$B$28)</f>
        <v/>
      </c>
      <c r="AG1263">
        <f>IFERROR(MATCH(ROW()-1,Calc!$J$2:$J$1601,0),"")</f>
        <v/>
      </c>
      <c r="AH1263">
        <f>IFERROR(MATCH(ROW()-1,Calc!$K$2:$K$1601,0),"")</f>
        <v/>
      </c>
      <c r="AI1263">
        <f>IF($AG1263="","",SUMIF($AG$2:$AG1263,$AG1263,$AH$2:$AH1263))</f>
        <v/>
      </c>
      <c r="AJ1263">
        <f>IF('TMP Paste'!$F1263="","",IF('TMP Paste'!$B1263="",$AJ1262,'TMP Paste'!$B1263))</f>
        <v/>
      </c>
      <c r="AK1263">
        <f>IF('TMP Paste'!$F1263="","",N('TMP Paste'!$G1263))</f>
        <v/>
      </c>
      <c r="AL1263">
        <f>IF('TMP Paste'!$F1263="","",IF('TMP Paste'!$M1263="",$AL1262,'TMP Paste'!$M1263))</f>
        <v/>
      </c>
      <c r="AM1263">
        <f>IF('TMP Paste'!$F1263="","",IF('TMP Paste'!$N1263="",$AM1262,'TMP Paste'!$N1263))</f>
        <v/>
      </c>
      <c r="AN1263">
        <f>IF('TMP Paste'!$F1263="","",IF('TMP Paste'!$O1263="",$AN1262,'TMP Paste'!$O1263))</f>
        <v/>
      </c>
      <c r="AO1263">
        <f>IF('TMP Paste'!$F1263="","",IF('TMP Paste'!$P1263="",$AO1262,'TMP Paste'!$P1263))</f>
        <v/>
      </c>
      <c r="AP1263">
        <f>IF($AG1263="","",LEN($R1263))</f>
        <v/>
      </c>
      <c r="AQ1263">
        <f>IF($AG1263="","",TRIM(IF(COUNTIFS(Calc!$B$2:$B$1601,ROW()-1,Calc!$C$2:$C$1601,"&lt;1")&gt;0,"Ada PO tanpa Koli - cek TMP. ","")&amp;IF(LEN($R1263)&gt;500,"R &gt; 500 karakter.","")))</f>
        <v/>
      </c>
    </row>
    <row r="1264">
      <c r="A1264">
        <f>IF($AG1264="","",INDEX('TMP Paste'!$B$2:$B$1601,$AG1264))</f>
        <v/>
      </c>
      <c r="B1264">
        <f>IF($AG1264="","",Config!$B$14)</f>
        <v/>
      </c>
      <c r="C1264">
        <f>IF($AG1264="","",Config!$B$15)</f>
        <v/>
      </c>
      <c r="D1264">
        <f>IF($AG1264="","",INDEX('TMP Paste'!$B$2:$B$1601,$AG1264))</f>
        <v/>
      </c>
      <c r="E1264">
        <f>IF($AG1264="","",Config!$B$27)</f>
        <v/>
      </c>
      <c r="F1264">
        <f>IF($AG1264="","",Config!$B$9)</f>
        <v/>
      </c>
      <c r="G1264">
        <f>IF($AG1264="","",Config!$B$10)</f>
        <v/>
      </c>
      <c r="H1264">
        <f>IF($AG1264="","",Config!$B$11)</f>
        <v/>
      </c>
      <c r="I1264">
        <f>IF($AG1264="","",Config!$B$16)</f>
        <v/>
      </c>
      <c r="J1264">
        <f>IF($AG1264="","",INDEX('TMP Paste'!$A$2:$A$1601,$AG1264))</f>
        <v/>
      </c>
      <c r="K1264">
        <f>IF($AG1264="","",INDEX('TMP Paste'!$L$2:$L$1601,$AG1264))</f>
        <v/>
      </c>
      <c r="L1264">
        <f>IF($AG1264="","",INDEX('TMP Paste'!$I$2:$I$1601,$AG1264))</f>
        <v/>
      </c>
      <c r="M1264">
        <f>IF($AG1264="","",Config!$B$16)</f>
        <v/>
      </c>
      <c r="N1264">
        <f>IF($AG1264="","","")</f>
        <v/>
      </c>
      <c r="O1264">
        <f>IF($AG1264="","",INDEX('TMP Paste'!$K$2:$K$1601,$AG1264))</f>
        <v/>
      </c>
      <c r="P1264">
        <f>IF($AG1264="","","")</f>
        <v/>
      </c>
      <c r="Q1264">
        <f>IF($AG1264="","",INDEX('TMP Paste'!$J$2:$J$1601,$AG1264))</f>
        <v/>
      </c>
      <c r="R1264">
        <f>IF($AG1264="","",Config!$B$24)</f>
        <v/>
      </c>
      <c r="S1264">
        <f>IF($AG1264="","",TEXT(Config!$B$4,"yyyy-mm-dd"))</f>
        <v/>
      </c>
      <c r="T1264">
        <f>IF($AG1264="","",Config!$B$17)</f>
        <v/>
      </c>
      <c r="U1264">
        <f>IF($AG1264="","",Config!$B$18)</f>
        <v/>
      </c>
      <c r="V1264">
        <f>IF($AG1264="","",Config!$B$19)</f>
        <v/>
      </c>
      <c r="W1264">
        <f>IF($AG1264="","",INDEX('TMP Paste'!$C$2:$C$1601,$AG1264))</f>
        <v/>
      </c>
      <c r="X1264">
        <f>IF($AG1264="","",Config!$B$29)</f>
        <v/>
      </c>
      <c r="Y1264">
        <f>IF($AH1264="","",INDEX(Calc!$I$2:$I$1601,$AH1264)&amp;" - "&amp;INDEX(Calc!$D$2:$D$1601,$AH1264)&amp;" koli")</f>
        <v/>
      </c>
      <c r="Z1264">
        <f>IF($AG1264="","",Config!$B$21)</f>
        <v/>
      </c>
      <c r="AA1264">
        <f>IF($AG1264="","",Config!$B$22)</f>
        <v/>
      </c>
      <c r="AB1264">
        <f>IF($AH1264="","",INDEX(Calc!$D$2:$D$1601,$AH1264))</f>
        <v/>
      </c>
      <c r="AC1264">
        <f>IF($AH1264="","",INDEX(Calc!$G$2:$G$1601,$AH1264))</f>
        <v/>
      </c>
      <c r="AD1264">
        <f>IF($AG1264="","",Config!$B$23)</f>
        <v/>
      </c>
      <c r="AE1264">
        <f>IF($AG1264="","",Config!$B$28)</f>
        <v/>
      </c>
      <c r="AG1264">
        <f>IFERROR(MATCH(ROW()-1,Calc!$J$2:$J$1601,0),"")</f>
        <v/>
      </c>
      <c r="AH1264">
        <f>IFERROR(MATCH(ROW()-1,Calc!$K$2:$K$1601,0),"")</f>
        <v/>
      </c>
      <c r="AI1264">
        <f>IF($AG1264="","",SUMIF($AG$2:$AG1264,$AG1264,$AH$2:$AH1264))</f>
        <v/>
      </c>
      <c r="AJ1264">
        <f>IF('TMP Paste'!$F1264="","",IF('TMP Paste'!$B1264="",$AJ1263,'TMP Paste'!$B1264))</f>
        <v/>
      </c>
      <c r="AK1264">
        <f>IF('TMP Paste'!$F1264="","",N('TMP Paste'!$G1264))</f>
        <v/>
      </c>
      <c r="AL1264">
        <f>IF('TMP Paste'!$F1264="","",IF('TMP Paste'!$M1264="",$AL1263,'TMP Paste'!$M1264))</f>
        <v/>
      </c>
      <c r="AM1264">
        <f>IF('TMP Paste'!$F1264="","",IF('TMP Paste'!$N1264="",$AM1263,'TMP Paste'!$N1264))</f>
        <v/>
      </c>
      <c r="AN1264">
        <f>IF('TMP Paste'!$F1264="","",IF('TMP Paste'!$O1264="",$AN1263,'TMP Paste'!$O1264))</f>
        <v/>
      </c>
      <c r="AO1264">
        <f>IF('TMP Paste'!$F1264="","",IF('TMP Paste'!$P1264="",$AO1263,'TMP Paste'!$P1264))</f>
        <v/>
      </c>
      <c r="AP1264">
        <f>IF($AG1264="","",LEN($R1264))</f>
        <v/>
      </c>
      <c r="AQ1264">
        <f>IF($AG1264="","",TRIM(IF(COUNTIFS(Calc!$B$2:$B$1601,ROW()-1,Calc!$C$2:$C$1601,"&lt;1")&gt;0,"Ada PO tanpa Koli - cek TMP. ","")&amp;IF(LEN($R1264)&gt;500,"R &gt; 500 karakter.","")))</f>
        <v/>
      </c>
    </row>
    <row r="1265">
      <c r="A1265">
        <f>IF($AG1265="","",INDEX('TMP Paste'!$B$2:$B$1601,$AG1265))</f>
        <v/>
      </c>
      <c r="B1265">
        <f>IF($AG1265="","",Config!$B$14)</f>
        <v/>
      </c>
      <c r="C1265">
        <f>IF($AG1265="","",Config!$B$15)</f>
        <v/>
      </c>
      <c r="D1265">
        <f>IF($AG1265="","",INDEX('TMP Paste'!$B$2:$B$1601,$AG1265))</f>
        <v/>
      </c>
      <c r="E1265">
        <f>IF($AG1265="","",Config!$B$27)</f>
        <v/>
      </c>
      <c r="F1265">
        <f>IF($AG1265="","",Config!$B$9)</f>
        <v/>
      </c>
      <c r="G1265">
        <f>IF($AG1265="","",Config!$B$10)</f>
        <v/>
      </c>
      <c r="H1265">
        <f>IF($AG1265="","",Config!$B$11)</f>
        <v/>
      </c>
      <c r="I1265">
        <f>IF($AG1265="","",Config!$B$16)</f>
        <v/>
      </c>
      <c r="J1265">
        <f>IF($AG1265="","",INDEX('TMP Paste'!$A$2:$A$1601,$AG1265))</f>
        <v/>
      </c>
      <c r="K1265">
        <f>IF($AG1265="","",INDEX('TMP Paste'!$L$2:$L$1601,$AG1265))</f>
        <v/>
      </c>
      <c r="L1265">
        <f>IF($AG1265="","",INDEX('TMP Paste'!$I$2:$I$1601,$AG1265))</f>
        <v/>
      </c>
      <c r="M1265">
        <f>IF($AG1265="","",Config!$B$16)</f>
        <v/>
      </c>
      <c r="N1265">
        <f>IF($AG1265="","","")</f>
        <v/>
      </c>
      <c r="O1265">
        <f>IF($AG1265="","",INDEX('TMP Paste'!$K$2:$K$1601,$AG1265))</f>
        <v/>
      </c>
      <c r="P1265">
        <f>IF($AG1265="","","")</f>
        <v/>
      </c>
      <c r="Q1265">
        <f>IF($AG1265="","",INDEX('TMP Paste'!$J$2:$J$1601,$AG1265))</f>
        <v/>
      </c>
      <c r="R1265">
        <f>IF($AG1265="","",Config!$B$24)</f>
        <v/>
      </c>
      <c r="S1265">
        <f>IF($AG1265="","",TEXT(Config!$B$4,"yyyy-mm-dd"))</f>
        <v/>
      </c>
      <c r="T1265">
        <f>IF($AG1265="","",Config!$B$17)</f>
        <v/>
      </c>
      <c r="U1265">
        <f>IF($AG1265="","",Config!$B$18)</f>
        <v/>
      </c>
      <c r="V1265">
        <f>IF($AG1265="","",Config!$B$19)</f>
        <v/>
      </c>
      <c r="W1265">
        <f>IF($AG1265="","",INDEX('TMP Paste'!$C$2:$C$1601,$AG1265))</f>
        <v/>
      </c>
      <c r="X1265">
        <f>IF($AG1265="","",Config!$B$29)</f>
        <v/>
      </c>
      <c r="Y1265">
        <f>IF($AH1265="","",INDEX(Calc!$I$2:$I$1601,$AH1265)&amp;" - "&amp;INDEX(Calc!$D$2:$D$1601,$AH1265)&amp;" koli")</f>
        <v/>
      </c>
      <c r="Z1265">
        <f>IF($AG1265="","",Config!$B$21)</f>
        <v/>
      </c>
      <c r="AA1265">
        <f>IF($AG1265="","",Config!$B$22)</f>
        <v/>
      </c>
      <c r="AB1265">
        <f>IF($AH1265="","",INDEX(Calc!$D$2:$D$1601,$AH1265))</f>
        <v/>
      </c>
      <c r="AC1265">
        <f>IF($AH1265="","",INDEX(Calc!$G$2:$G$1601,$AH1265))</f>
        <v/>
      </c>
      <c r="AD1265">
        <f>IF($AG1265="","",Config!$B$23)</f>
        <v/>
      </c>
      <c r="AE1265">
        <f>IF($AG1265="","",Config!$B$28)</f>
        <v/>
      </c>
      <c r="AG1265">
        <f>IFERROR(MATCH(ROW()-1,Calc!$J$2:$J$1601,0),"")</f>
        <v/>
      </c>
      <c r="AH1265">
        <f>IFERROR(MATCH(ROW()-1,Calc!$K$2:$K$1601,0),"")</f>
        <v/>
      </c>
      <c r="AI1265">
        <f>IF($AG1265="","",SUMIF($AG$2:$AG1265,$AG1265,$AH$2:$AH1265))</f>
        <v/>
      </c>
      <c r="AJ1265">
        <f>IF('TMP Paste'!$F1265="","",IF('TMP Paste'!$B1265="",$AJ1264,'TMP Paste'!$B1265))</f>
        <v/>
      </c>
      <c r="AK1265">
        <f>IF('TMP Paste'!$F1265="","",N('TMP Paste'!$G1265))</f>
        <v/>
      </c>
      <c r="AL1265">
        <f>IF('TMP Paste'!$F1265="","",IF('TMP Paste'!$M1265="",$AL1264,'TMP Paste'!$M1265))</f>
        <v/>
      </c>
      <c r="AM1265">
        <f>IF('TMP Paste'!$F1265="","",IF('TMP Paste'!$N1265="",$AM1264,'TMP Paste'!$N1265))</f>
        <v/>
      </c>
      <c r="AN1265">
        <f>IF('TMP Paste'!$F1265="","",IF('TMP Paste'!$O1265="",$AN1264,'TMP Paste'!$O1265))</f>
        <v/>
      </c>
      <c r="AO1265">
        <f>IF('TMP Paste'!$F1265="","",IF('TMP Paste'!$P1265="",$AO1264,'TMP Paste'!$P1265))</f>
        <v/>
      </c>
      <c r="AP1265">
        <f>IF($AG1265="","",LEN($R1265))</f>
        <v/>
      </c>
      <c r="AQ1265">
        <f>IF($AG1265="","",TRIM(IF(COUNTIFS(Calc!$B$2:$B$1601,ROW()-1,Calc!$C$2:$C$1601,"&lt;1")&gt;0,"Ada PO tanpa Koli - cek TMP. ","")&amp;IF(LEN($R1265)&gt;500,"R &gt; 500 karakter.","")))</f>
        <v/>
      </c>
    </row>
    <row r="1266">
      <c r="A1266">
        <f>IF($AG1266="","",INDEX('TMP Paste'!$B$2:$B$1601,$AG1266))</f>
        <v/>
      </c>
      <c r="B1266">
        <f>IF($AG1266="","",Config!$B$14)</f>
        <v/>
      </c>
      <c r="C1266">
        <f>IF($AG1266="","",Config!$B$15)</f>
        <v/>
      </c>
      <c r="D1266">
        <f>IF($AG1266="","",INDEX('TMP Paste'!$B$2:$B$1601,$AG1266))</f>
        <v/>
      </c>
      <c r="E1266">
        <f>IF($AG1266="","",Config!$B$27)</f>
        <v/>
      </c>
      <c r="F1266">
        <f>IF($AG1266="","",Config!$B$9)</f>
        <v/>
      </c>
      <c r="G1266">
        <f>IF($AG1266="","",Config!$B$10)</f>
        <v/>
      </c>
      <c r="H1266">
        <f>IF($AG1266="","",Config!$B$11)</f>
        <v/>
      </c>
      <c r="I1266">
        <f>IF($AG1266="","",Config!$B$16)</f>
        <v/>
      </c>
      <c r="J1266">
        <f>IF($AG1266="","",INDEX('TMP Paste'!$A$2:$A$1601,$AG1266))</f>
        <v/>
      </c>
      <c r="K1266">
        <f>IF($AG1266="","",INDEX('TMP Paste'!$L$2:$L$1601,$AG1266))</f>
        <v/>
      </c>
      <c r="L1266">
        <f>IF($AG1266="","",INDEX('TMP Paste'!$I$2:$I$1601,$AG1266))</f>
        <v/>
      </c>
      <c r="M1266">
        <f>IF($AG1266="","",Config!$B$16)</f>
        <v/>
      </c>
      <c r="N1266">
        <f>IF($AG1266="","","")</f>
        <v/>
      </c>
      <c r="O1266">
        <f>IF($AG1266="","",INDEX('TMP Paste'!$K$2:$K$1601,$AG1266))</f>
        <v/>
      </c>
      <c r="P1266">
        <f>IF($AG1266="","","")</f>
        <v/>
      </c>
      <c r="Q1266">
        <f>IF($AG1266="","",INDEX('TMP Paste'!$J$2:$J$1601,$AG1266))</f>
        <v/>
      </c>
      <c r="R1266">
        <f>IF($AG1266="","",Config!$B$24)</f>
        <v/>
      </c>
      <c r="S1266">
        <f>IF($AG1266="","",TEXT(Config!$B$4,"yyyy-mm-dd"))</f>
        <v/>
      </c>
      <c r="T1266">
        <f>IF($AG1266="","",Config!$B$17)</f>
        <v/>
      </c>
      <c r="U1266">
        <f>IF($AG1266="","",Config!$B$18)</f>
        <v/>
      </c>
      <c r="V1266">
        <f>IF($AG1266="","",Config!$B$19)</f>
        <v/>
      </c>
      <c r="W1266">
        <f>IF($AG1266="","",INDEX('TMP Paste'!$C$2:$C$1601,$AG1266))</f>
        <v/>
      </c>
      <c r="X1266">
        <f>IF($AG1266="","",Config!$B$29)</f>
        <v/>
      </c>
      <c r="Y1266">
        <f>IF($AH1266="","",INDEX(Calc!$I$2:$I$1601,$AH1266)&amp;" - "&amp;INDEX(Calc!$D$2:$D$1601,$AH1266)&amp;" koli")</f>
        <v/>
      </c>
      <c r="Z1266">
        <f>IF($AG1266="","",Config!$B$21)</f>
        <v/>
      </c>
      <c r="AA1266">
        <f>IF($AG1266="","",Config!$B$22)</f>
        <v/>
      </c>
      <c r="AB1266">
        <f>IF($AH1266="","",INDEX(Calc!$D$2:$D$1601,$AH1266))</f>
        <v/>
      </c>
      <c r="AC1266">
        <f>IF($AH1266="","",INDEX(Calc!$G$2:$G$1601,$AH1266))</f>
        <v/>
      </c>
      <c r="AD1266">
        <f>IF($AG1266="","",Config!$B$23)</f>
        <v/>
      </c>
      <c r="AE1266">
        <f>IF($AG1266="","",Config!$B$28)</f>
        <v/>
      </c>
      <c r="AG1266">
        <f>IFERROR(MATCH(ROW()-1,Calc!$J$2:$J$1601,0),"")</f>
        <v/>
      </c>
      <c r="AH1266">
        <f>IFERROR(MATCH(ROW()-1,Calc!$K$2:$K$1601,0),"")</f>
        <v/>
      </c>
      <c r="AI1266">
        <f>IF($AG1266="","",SUMIF($AG$2:$AG1266,$AG1266,$AH$2:$AH1266))</f>
        <v/>
      </c>
      <c r="AJ1266">
        <f>IF('TMP Paste'!$F1266="","",IF('TMP Paste'!$B1266="",$AJ1265,'TMP Paste'!$B1266))</f>
        <v/>
      </c>
      <c r="AK1266">
        <f>IF('TMP Paste'!$F1266="","",N('TMP Paste'!$G1266))</f>
        <v/>
      </c>
      <c r="AL1266">
        <f>IF('TMP Paste'!$F1266="","",IF('TMP Paste'!$M1266="",$AL1265,'TMP Paste'!$M1266))</f>
        <v/>
      </c>
      <c r="AM1266">
        <f>IF('TMP Paste'!$F1266="","",IF('TMP Paste'!$N1266="",$AM1265,'TMP Paste'!$N1266))</f>
        <v/>
      </c>
      <c r="AN1266">
        <f>IF('TMP Paste'!$F1266="","",IF('TMP Paste'!$O1266="",$AN1265,'TMP Paste'!$O1266))</f>
        <v/>
      </c>
      <c r="AO1266">
        <f>IF('TMP Paste'!$F1266="","",IF('TMP Paste'!$P1266="",$AO1265,'TMP Paste'!$P1266))</f>
        <v/>
      </c>
      <c r="AP1266">
        <f>IF($AG1266="","",LEN($R1266))</f>
        <v/>
      </c>
      <c r="AQ1266">
        <f>IF($AG1266="","",TRIM(IF(COUNTIFS(Calc!$B$2:$B$1601,ROW()-1,Calc!$C$2:$C$1601,"&lt;1")&gt;0,"Ada PO tanpa Koli - cek TMP. ","")&amp;IF(LEN($R1266)&gt;500,"R &gt; 500 karakter.","")))</f>
        <v/>
      </c>
    </row>
    <row r="1267">
      <c r="A1267">
        <f>IF($AG1267="","",INDEX('TMP Paste'!$B$2:$B$1601,$AG1267))</f>
        <v/>
      </c>
      <c r="B1267">
        <f>IF($AG1267="","",Config!$B$14)</f>
        <v/>
      </c>
      <c r="C1267">
        <f>IF($AG1267="","",Config!$B$15)</f>
        <v/>
      </c>
      <c r="D1267">
        <f>IF($AG1267="","",INDEX('TMP Paste'!$B$2:$B$1601,$AG1267))</f>
        <v/>
      </c>
      <c r="E1267">
        <f>IF($AG1267="","",Config!$B$27)</f>
        <v/>
      </c>
      <c r="F1267">
        <f>IF($AG1267="","",Config!$B$9)</f>
        <v/>
      </c>
      <c r="G1267">
        <f>IF($AG1267="","",Config!$B$10)</f>
        <v/>
      </c>
      <c r="H1267">
        <f>IF($AG1267="","",Config!$B$11)</f>
        <v/>
      </c>
      <c r="I1267">
        <f>IF($AG1267="","",Config!$B$16)</f>
        <v/>
      </c>
      <c r="J1267">
        <f>IF($AG1267="","",INDEX('TMP Paste'!$A$2:$A$1601,$AG1267))</f>
        <v/>
      </c>
      <c r="K1267">
        <f>IF($AG1267="","",INDEX('TMP Paste'!$L$2:$L$1601,$AG1267))</f>
        <v/>
      </c>
      <c r="L1267">
        <f>IF($AG1267="","",INDEX('TMP Paste'!$I$2:$I$1601,$AG1267))</f>
        <v/>
      </c>
      <c r="M1267">
        <f>IF($AG1267="","",Config!$B$16)</f>
        <v/>
      </c>
      <c r="N1267">
        <f>IF($AG1267="","","")</f>
        <v/>
      </c>
      <c r="O1267">
        <f>IF($AG1267="","",INDEX('TMP Paste'!$K$2:$K$1601,$AG1267))</f>
        <v/>
      </c>
      <c r="P1267">
        <f>IF($AG1267="","","")</f>
        <v/>
      </c>
      <c r="Q1267">
        <f>IF($AG1267="","",INDEX('TMP Paste'!$J$2:$J$1601,$AG1267))</f>
        <v/>
      </c>
      <c r="R1267">
        <f>IF($AG1267="","",Config!$B$24)</f>
        <v/>
      </c>
      <c r="S1267">
        <f>IF($AG1267="","",TEXT(Config!$B$4,"yyyy-mm-dd"))</f>
        <v/>
      </c>
      <c r="T1267">
        <f>IF($AG1267="","",Config!$B$17)</f>
        <v/>
      </c>
      <c r="U1267">
        <f>IF($AG1267="","",Config!$B$18)</f>
        <v/>
      </c>
      <c r="V1267">
        <f>IF($AG1267="","",Config!$B$19)</f>
        <v/>
      </c>
      <c r="W1267">
        <f>IF($AG1267="","",INDEX('TMP Paste'!$C$2:$C$1601,$AG1267))</f>
        <v/>
      </c>
      <c r="X1267">
        <f>IF($AG1267="","",Config!$B$29)</f>
        <v/>
      </c>
      <c r="Y1267">
        <f>IF($AH1267="","",INDEX(Calc!$I$2:$I$1601,$AH1267)&amp;" - "&amp;INDEX(Calc!$D$2:$D$1601,$AH1267)&amp;" koli")</f>
        <v/>
      </c>
      <c r="Z1267">
        <f>IF($AG1267="","",Config!$B$21)</f>
        <v/>
      </c>
      <c r="AA1267">
        <f>IF($AG1267="","",Config!$B$22)</f>
        <v/>
      </c>
      <c r="AB1267">
        <f>IF($AH1267="","",INDEX(Calc!$D$2:$D$1601,$AH1267))</f>
        <v/>
      </c>
      <c r="AC1267">
        <f>IF($AH1267="","",INDEX(Calc!$G$2:$G$1601,$AH1267))</f>
        <v/>
      </c>
      <c r="AD1267">
        <f>IF($AG1267="","",Config!$B$23)</f>
        <v/>
      </c>
      <c r="AE1267">
        <f>IF($AG1267="","",Config!$B$28)</f>
        <v/>
      </c>
      <c r="AG1267">
        <f>IFERROR(MATCH(ROW()-1,Calc!$J$2:$J$1601,0),"")</f>
        <v/>
      </c>
      <c r="AH1267">
        <f>IFERROR(MATCH(ROW()-1,Calc!$K$2:$K$1601,0),"")</f>
        <v/>
      </c>
      <c r="AI1267">
        <f>IF($AG1267="","",SUMIF($AG$2:$AG1267,$AG1267,$AH$2:$AH1267))</f>
        <v/>
      </c>
      <c r="AJ1267">
        <f>IF('TMP Paste'!$F1267="","",IF('TMP Paste'!$B1267="",$AJ1266,'TMP Paste'!$B1267))</f>
        <v/>
      </c>
      <c r="AK1267">
        <f>IF('TMP Paste'!$F1267="","",N('TMP Paste'!$G1267))</f>
        <v/>
      </c>
      <c r="AL1267">
        <f>IF('TMP Paste'!$F1267="","",IF('TMP Paste'!$M1267="",$AL1266,'TMP Paste'!$M1267))</f>
        <v/>
      </c>
      <c r="AM1267">
        <f>IF('TMP Paste'!$F1267="","",IF('TMP Paste'!$N1267="",$AM1266,'TMP Paste'!$N1267))</f>
        <v/>
      </c>
      <c r="AN1267">
        <f>IF('TMP Paste'!$F1267="","",IF('TMP Paste'!$O1267="",$AN1266,'TMP Paste'!$O1267))</f>
        <v/>
      </c>
      <c r="AO1267">
        <f>IF('TMP Paste'!$F1267="","",IF('TMP Paste'!$P1267="",$AO1266,'TMP Paste'!$P1267))</f>
        <v/>
      </c>
      <c r="AP1267">
        <f>IF($AG1267="","",LEN($R1267))</f>
        <v/>
      </c>
      <c r="AQ1267">
        <f>IF($AG1267="","",TRIM(IF(COUNTIFS(Calc!$B$2:$B$1601,ROW()-1,Calc!$C$2:$C$1601,"&lt;1")&gt;0,"Ada PO tanpa Koli - cek TMP. ","")&amp;IF(LEN($R1267)&gt;500,"R &gt; 500 karakter.","")))</f>
        <v/>
      </c>
    </row>
    <row r="1268">
      <c r="A1268">
        <f>IF($AG1268="","",INDEX('TMP Paste'!$B$2:$B$1601,$AG1268))</f>
        <v/>
      </c>
      <c r="B1268">
        <f>IF($AG1268="","",Config!$B$14)</f>
        <v/>
      </c>
      <c r="C1268">
        <f>IF($AG1268="","",Config!$B$15)</f>
        <v/>
      </c>
      <c r="D1268">
        <f>IF($AG1268="","",INDEX('TMP Paste'!$B$2:$B$1601,$AG1268))</f>
        <v/>
      </c>
      <c r="E1268">
        <f>IF($AG1268="","",Config!$B$27)</f>
        <v/>
      </c>
      <c r="F1268">
        <f>IF($AG1268="","",Config!$B$9)</f>
        <v/>
      </c>
      <c r="G1268">
        <f>IF($AG1268="","",Config!$B$10)</f>
        <v/>
      </c>
      <c r="H1268">
        <f>IF($AG1268="","",Config!$B$11)</f>
        <v/>
      </c>
      <c r="I1268">
        <f>IF($AG1268="","",Config!$B$16)</f>
        <v/>
      </c>
      <c r="J1268">
        <f>IF($AG1268="","",INDEX('TMP Paste'!$A$2:$A$1601,$AG1268))</f>
        <v/>
      </c>
      <c r="K1268">
        <f>IF($AG1268="","",INDEX('TMP Paste'!$L$2:$L$1601,$AG1268))</f>
        <v/>
      </c>
      <c r="L1268">
        <f>IF($AG1268="","",INDEX('TMP Paste'!$I$2:$I$1601,$AG1268))</f>
        <v/>
      </c>
      <c r="M1268">
        <f>IF($AG1268="","",Config!$B$16)</f>
        <v/>
      </c>
      <c r="N1268">
        <f>IF($AG1268="","","")</f>
        <v/>
      </c>
      <c r="O1268">
        <f>IF($AG1268="","",INDEX('TMP Paste'!$K$2:$K$1601,$AG1268))</f>
        <v/>
      </c>
      <c r="P1268">
        <f>IF($AG1268="","","")</f>
        <v/>
      </c>
      <c r="Q1268">
        <f>IF($AG1268="","",INDEX('TMP Paste'!$J$2:$J$1601,$AG1268))</f>
        <v/>
      </c>
      <c r="R1268">
        <f>IF($AG1268="","",Config!$B$24)</f>
        <v/>
      </c>
      <c r="S1268">
        <f>IF($AG1268="","",TEXT(Config!$B$4,"yyyy-mm-dd"))</f>
        <v/>
      </c>
      <c r="T1268">
        <f>IF($AG1268="","",Config!$B$17)</f>
        <v/>
      </c>
      <c r="U1268">
        <f>IF($AG1268="","",Config!$B$18)</f>
        <v/>
      </c>
      <c r="V1268">
        <f>IF($AG1268="","",Config!$B$19)</f>
        <v/>
      </c>
      <c r="W1268">
        <f>IF($AG1268="","",INDEX('TMP Paste'!$C$2:$C$1601,$AG1268))</f>
        <v/>
      </c>
      <c r="X1268">
        <f>IF($AG1268="","",Config!$B$29)</f>
        <v/>
      </c>
      <c r="Y1268">
        <f>IF($AH1268="","",INDEX(Calc!$I$2:$I$1601,$AH1268)&amp;" - "&amp;INDEX(Calc!$D$2:$D$1601,$AH1268)&amp;" koli")</f>
        <v/>
      </c>
      <c r="Z1268">
        <f>IF($AG1268="","",Config!$B$21)</f>
        <v/>
      </c>
      <c r="AA1268">
        <f>IF($AG1268="","",Config!$B$22)</f>
        <v/>
      </c>
      <c r="AB1268">
        <f>IF($AH1268="","",INDEX(Calc!$D$2:$D$1601,$AH1268))</f>
        <v/>
      </c>
      <c r="AC1268">
        <f>IF($AH1268="","",INDEX(Calc!$G$2:$G$1601,$AH1268))</f>
        <v/>
      </c>
      <c r="AD1268">
        <f>IF($AG1268="","",Config!$B$23)</f>
        <v/>
      </c>
      <c r="AE1268">
        <f>IF($AG1268="","",Config!$B$28)</f>
        <v/>
      </c>
      <c r="AG1268">
        <f>IFERROR(MATCH(ROW()-1,Calc!$J$2:$J$1601,0),"")</f>
        <v/>
      </c>
      <c r="AH1268">
        <f>IFERROR(MATCH(ROW()-1,Calc!$K$2:$K$1601,0),"")</f>
        <v/>
      </c>
      <c r="AI1268">
        <f>IF($AG1268="","",SUMIF($AG$2:$AG1268,$AG1268,$AH$2:$AH1268))</f>
        <v/>
      </c>
      <c r="AJ1268">
        <f>IF('TMP Paste'!$F1268="","",IF('TMP Paste'!$B1268="",$AJ1267,'TMP Paste'!$B1268))</f>
        <v/>
      </c>
      <c r="AK1268">
        <f>IF('TMP Paste'!$F1268="","",N('TMP Paste'!$G1268))</f>
        <v/>
      </c>
      <c r="AL1268">
        <f>IF('TMP Paste'!$F1268="","",IF('TMP Paste'!$M1268="",$AL1267,'TMP Paste'!$M1268))</f>
        <v/>
      </c>
      <c r="AM1268">
        <f>IF('TMP Paste'!$F1268="","",IF('TMP Paste'!$N1268="",$AM1267,'TMP Paste'!$N1268))</f>
        <v/>
      </c>
      <c r="AN1268">
        <f>IF('TMP Paste'!$F1268="","",IF('TMP Paste'!$O1268="",$AN1267,'TMP Paste'!$O1268))</f>
        <v/>
      </c>
      <c r="AO1268">
        <f>IF('TMP Paste'!$F1268="","",IF('TMP Paste'!$P1268="",$AO1267,'TMP Paste'!$P1268))</f>
        <v/>
      </c>
      <c r="AP1268">
        <f>IF($AG1268="","",LEN($R1268))</f>
        <v/>
      </c>
      <c r="AQ1268">
        <f>IF($AG1268="","",TRIM(IF(COUNTIFS(Calc!$B$2:$B$1601,ROW()-1,Calc!$C$2:$C$1601,"&lt;1")&gt;0,"Ada PO tanpa Koli - cek TMP. ","")&amp;IF(LEN($R1268)&gt;500,"R &gt; 500 karakter.","")))</f>
        <v/>
      </c>
    </row>
    <row r="1269">
      <c r="A1269">
        <f>IF($AG1269="","",INDEX('TMP Paste'!$B$2:$B$1601,$AG1269))</f>
        <v/>
      </c>
      <c r="B1269">
        <f>IF($AG1269="","",Config!$B$14)</f>
        <v/>
      </c>
      <c r="C1269">
        <f>IF($AG1269="","",Config!$B$15)</f>
        <v/>
      </c>
      <c r="D1269">
        <f>IF($AG1269="","",INDEX('TMP Paste'!$B$2:$B$1601,$AG1269))</f>
        <v/>
      </c>
      <c r="E1269">
        <f>IF($AG1269="","",Config!$B$27)</f>
        <v/>
      </c>
      <c r="F1269">
        <f>IF($AG1269="","",Config!$B$9)</f>
        <v/>
      </c>
      <c r="G1269">
        <f>IF($AG1269="","",Config!$B$10)</f>
        <v/>
      </c>
      <c r="H1269">
        <f>IF($AG1269="","",Config!$B$11)</f>
        <v/>
      </c>
      <c r="I1269">
        <f>IF($AG1269="","",Config!$B$16)</f>
        <v/>
      </c>
      <c r="J1269">
        <f>IF($AG1269="","",INDEX('TMP Paste'!$A$2:$A$1601,$AG1269))</f>
        <v/>
      </c>
      <c r="K1269">
        <f>IF($AG1269="","",INDEX('TMP Paste'!$L$2:$L$1601,$AG1269))</f>
        <v/>
      </c>
      <c r="L1269">
        <f>IF($AG1269="","",INDEX('TMP Paste'!$I$2:$I$1601,$AG1269))</f>
        <v/>
      </c>
      <c r="M1269">
        <f>IF($AG1269="","",Config!$B$16)</f>
        <v/>
      </c>
      <c r="N1269">
        <f>IF($AG1269="","","")</f>
        <v/>
      </c>
      <c r="O1269">
        <f>IF($AG1269="","",INDEX('TMP Paste'!$K$2:$K$1601,$AG1269))</f>
        <v/>
      </c>
      <c r="P1269">
        <f>IF($AG1269="","","")</f>
        <v/>
      </c>
      <c r="Q1269">
        <f>IF($AG1269="","",INDEX('TMP Paste'!$J$2:$J$1601,$AG1269))</f>
        <v/>
      </c>
      <c r="R1269">
        <f>IF($AG1269="","",Config!$B$24)</f>
        <v/>
      </c>
      <c r="S1269">
        <f>IF($AG1269="","",TEXT(Config!$B$4,"yyyy-mm-dd"))</f>
        <v/>
      </c>
      <c r="T1269">
        <f>IF($AG1269="","",Config!$B$17)</f>
        <v/>
      </c>
      <c r="U1269">
        <f>IF($AG1269="","",Config!$B$18)</f>
        <v/>
      </c>
      <c r="V1269">
        <f>IF($AG1269="","",Config!$B$19)</f>
        <v/>
      </c>
      <c r="W1269">
        <f>IF($AG1269="","",INDEX('TMP Paste'!$C$2:$C$1601,$AG1269))</f>
        <v/>
      </c>
      <c r="X1269">
        <f>IF($AG1269="","",Config!$B$29)</f>
        <v/>
      </c>
      <c r="Y1269">
        <f>IF($AH1269="","",INDEX(Calc!$I$2:$I$1601,$AH1269)&amp;" - "&amp;INDEX(Calc!$D$2:$D$1601,$AH1269)&amp;" koli")</f>
        <v/>
      </c>
      <c r="Z1269">
        <f>IF($AG1269="","",Config!$B$21)</f>
        <v/>
      </c>
      <c r="AA1269">
        <f>IF($AG1269="","",Config!$B$22)</f>
        <v/>
      </c>
      <c r="AB1269">
        <f>IF($AH1269="","",INDEX(Calc!$D$2:$D$1601,$AH1269))</f>
        <v/>
      </c>
      <c r="AC1269">
        <f>IF($AH1269="","",INDEX(Calc!$G$2:$G$1601,$AH1269))</f>
        <v/>
      </c>
      <c r="AD1269">
        <f>IF($AG1269="","",Config!$B$23)</f>
        <v/>
      </c>
      <c r="AE1269">
        <f>IF($AG1269="","",Config!$B$28)</f>
        <v/>
      </c>
      <c r="AG1269">
        <f>IFERROR(MATCH(ROW()-1,Calc!$J$2:$J$1601,0),"")</f>
        <v/>
      </c>
      <c r="AH1269">
        <f>IFERROR(MATCH(ROW()-1,Calc!$K$2:$K$1601,0),"")</f>
        <v/>
      </c>
      <c r="AI1269">
        <f>IF($AG1269="","",SUMIF($AG$2:$AG1269,$AG1269,$AH$2:$AH1269))</f>
        <v/>
      </c>
      <c r="AJ1269">
        <f>IF('TMP Paste'!$F1269="","",IF('TMP Paste'!$B1269="",$AJ1268,'TMP Paste'!$B1269))</f>
        <v/>
      </c>
      <c r="AK1269">
        <f>IF('TMP Paste'!$F1269="","",N('TMP Paste'!$G1269))</f>
        <v/>
      </c>
      <c r="AL1269">
        <f>IF('TMP Paste'!$F1269="","",IF('TMP Paste'!$M1269="",$AL1268,'TMP Paste'!$M1269))</f>
        <v/>
      </c>
      <c r="AM1269">
        <f>IF('TMP Paste'!$F1269="","",IF('TMP Paste'!$N1269="",$AM1268,'TMP Paste'!$N1269))</f>
        <v/>
      </c>
      <c r="AN1269">
        <f>IF('TMP Paste'!$F1269="","",IF('TMP Paste'!$O1269="",$AN1268,'TMP Paste'!$O1269))</f>
        <v/>
      </c>
      <c r="AO1269">
        <f>IF('TMP Paste'!$F1269="","",IF('TMP Paste'!$P1269="",$AO1268,'TMP Paste'!$P1269))</f>
        <v/>
      </c>
      <c r="AP1269">
        <f>IF($AG1269="","",LEN($R1269))</f>
        <v/>
      </c>
      <c r="AQ1269">
        <f>IF($AG1269="","",TRIM(IF(COUNTIFS(Calc!$B$2:$B$1601,ROW()-1,Calc!$C$2:$C$1601,"&lt;1")&gt;0,"Ada PO tanpa Koli - cek TMP. ","")&amp;IF(LEN($R1269)&gt;500,"R &gt; 500 karakter.","")))</f>
        <v/>
      </c>
    </row>
    <row r="1270">
      <c r="A1270">
        <f>IF($AG1270="","",INDEX('TMP Paste'!$B$2:$B$1601,$AG1270))</f>
        <v/>
      </c>
      <c r="B1270">
        <f>IF($AG1270="","",Config!$B$14)</f>
        <v/>
      </c>
      <c r="C1270">
        <f>IF($AG1270="","",Config!$B$15)</f>
        <v/>
      </c>
      <c r="D1270">
        <f>IF($AG1270="","",INDEX('TMP Paste'!$B$2:$B$1601,$AG1270))</f>
        <v/>
      </c>
      <c r="E1270">
        <f>IF($AG1270="","",Config!$B$27)</f>
        <v/>
      </c>
      <c r="F1270">
        <f>IF($AG1270="","",Config!$B$9)</f>
        <v/>
      </c>
      <c r="G1270">
        <f>IF($AG1270="","",Config!$B$10)</f>
        <v/>
      </c>
      <c r="H1270">
        <f>IF($AG1270="","",Config!$B$11)</f>
        <v/>
      </c>
      <c r="I1270">
        <f>IF($AG1270="","",Config!$B$16)</f>
        <v/>
      </c>
      <c r="J1270">
        <f>IF($AG1270="","",INDEX('TMP Paste'!$A$2:$A$1601,$AG1270))</f>
        <v/>
      </c>
      <c r="K1270">
        <f>IF($AG1270="","",INDEX('TMP Paste'!$L$2:$L$1601,$AG1270))</f>
        <v/>
      </c>
      <c r="L1270">
        <f>IF($AG1270="","",INDEX('TMP Paste'!$I$2:$I$1601,$AG1270))</f>
        <v/>
      </c>
      <c r="M1270">
        <f>IF($AG1270="","",Config!$B$16)</f>
        <v/>
      </c>
      <c r="N1270">
        <f>IF($AG1270="","","")</f>
        <v/>
      </c>
      <c r="O1270">
        <f>IF($AG1270="","",INDEX('TMP Paste'!$K$2:$K$1601,$AG1270))</f>
        <v/>
      </c>
      <c r="P1270">
        <f>IF($AG1270="","","")</f>
        <v/>
      </c>
      <c r="Q1270">
        <f>IF($AG1270="","",INDEX('TMP Paste'!$J$2:$J$1601,$AG1270))</f>
        <v/>
      </c>
      <c r="R1270">
        <f>IF($AG1270="","",Config!$B$24)</f>
        <v/>
      </c>
      <c r="S1270">
        <f>IF($AG1270="","",TEXT(Config!$B$4,"yyyy-mm-dd"))</f>
        <v/>
      </c>
      <c r="T1270">
        <f>IF($AG1270="","",Config!$B$17)</f>
        <v/>
      </c>
      <c r="U1270">
        <f>IF($AG1270="","",Config!$B$18)</f>
        <v/>
      </c>
      <c r="V1270">
        <f>IF($AG1270="","",Config!$B$19)</f>
        <v/>
      </c>
      <c r="W1270">
        <f>IF($AG1270="","",INDEX('TMP Paste'!$C$2:$C$1601,$AG1270))</f>
        <v/>
      </c>
      <c r="X1270">
        <f>IF($AG1270="","",Config!$B$29)</f>
        <v/>
      </c>
      <c r="Y1270">
        <f>IF($AH1270="","",INDEX(Calc!$I$2:$I$1601,$AH1270)&amp;" - "&amp;INDEX(Calc!$D$2:$D$1601,$AH1270)&amp;" koli")</f>
        <v/>
      </c>
      <c r="Z1270">
        <f>IF($AG1270="","",Config!$B$21)</f>
        <v/>
      </c>
      <c r="AA1270">
        <f>IF($AG1270="","",Config!$B$22)</f>
        <v/>
      </c>
      <c r="AB1270">
        <f>IF($AH1270="","",INDEX(Calc!$D$2:$D$1601,$AH1270))</f>
        <v/>
      </c>
      <c r="AC1270">
        <f>IF($AH1270="","",INDEX(Calc!$G$2:$G$1601,$AH1270))</f>
        <v/>
      </c>
      <c r="AD1270">
        <f>IF($AG1270="","",Config!$B$23)</f>
        <v/>
      </c>
      <c r="AE1270">
        <f>IF($AG1270="","",Config!$B$28)</f>
        <v/>
      </c>
      <c r="AG1270">
        <f>IFERROR(MATCH(ROW()-1,Calc!$J$2:$J$1601,0),"")</f>
        <v/>
      </c>
      <c r="AH1270">
        <f>IFERROR(MATCH(ROW()-1,Calc!$K$2:$K$1601,0),"")</f>
        <v/>
      </c>
      <c r="AI1270">
        <f>IF($AG1270="","",SUMIF($AG$2:$AG1270,$AG1270,$AH$2:$AH1270))</f>
        <v/>
      </c>
      <c r="AJ1270">
        <f>IF('TMP Paste'!$F1270="","",IF('TMP Paste'!$B1270="",$AJ1269,'TMP Paste'!$B1270))</f>
        <v/>
      </c>
      <c r="AK1270">
        <f>IF('TMP Paste'!$F1270="","",N('TMP Paste'!$G1270))</f>
        <v/>
      </c>
      <c r="AL1270">
        <f>IF('TMP Paste'!$F1270="","",IF('TMP Paste'!$M1270="",$AL1269,'TMP Paste'!$M1270))</f>
        <v/>
      </c>
      <c r="AM1270">
        <f>IF('TMP Paste'!$F1270="","",IF('TMP Paste'!$N1270="",$AM1269,'TMP Paste'!$N1270))</f>
        <v/>
      </c>
      <c r="AN1270">
        <f>IF('TMP Paste'!$F1270="","",IF('TMP Paste'!$O1270="",$AN1269,'TMP Paste'!$O1270))</f>
        <v/>
      </c>
      <c r="AO1270">
        <f>IF('TMP Paste'!$F1270="","",IF('TMP Paste'!$P1270="",$AO1269,'TMP Paste'!$P1270))</f>
        <v/>
      </c>
      <c r="AP1270">
        <f>IF($AG1270="","",LEN($R1270))</f>
        <v/>
      </c>
      <c r="AQ1270">
        <f>IF($AG1270="","",TRIM(IF(COUNTIFS(Calc!$B$2:$B$1601,ROW()-1,Calc!$C$2:$C$1601,"&lt;1")&gt;0,"Ada PO tanpa Koli - cek TMP. ","")&amp;IF(LEN($R1270)&gt;500,"R &gt; 500 karakter.","")))</f>
        <v/>
      </c>
    </row>
    <row r="1271">
      <c r="A1271">
        <f>IF($AG1271="","",INDEX('TMP Paste'!$B$2:$B$1601,$AG1271))</f>
        <v/>
      </c>
      <c r="B1271">
        <f>IF($AG1271="","",Config!$B$14)</f>
        <v/>
      </c>
      <c r="C1271">
        <f>IF($AG1271="","",Config!$B$15)</f>
        <v/>
      </c>
      <c r="D1271">
        <f>IF($AG1271="","",INDEX('TMP Paste'!$B$2:$B$1601,$AG1271))</f>
        <v/>
      </c>
      <c r="E1271">
        <f>IF($AG1271="","",Config!$B$27)</f>
        <v/>
      </c>
      <c r="F1271">
        <f>IF($AG1271="","",Config!$B$9)</f>
        <v/>
      </c>
      <c r="G1271">
        <f>IF($AG1271="","",Config!$B$10)</f>
        <v/>
      </c>
      <c r="H1271">
        <f>IF($AG1271="","",Config!$B$11)</f>
        <v/>
      </c>
      <c r="I1271">
        <f>IF($AG1271="","",Config!$B$16)</f>
        <v/>
      </c>
      <c r="J1271">
        <f>IF($AG1271="","",INDEX('TMP Paste'!$A$2:$A$1601,$AG1271))</f>
        <v/>
      </c>
      <c r="K1271">
        <f>IF($AG1271="","",INDEX('TMP Paste'!$L$2:$L$1601,$AG1271))</f>
        <v/>
      </c>
      <c r="L1271">
        <f>IF($AG1271="","",INDEX('TMP Paste'!$I$2:$I$1601,$AG1271))</f>
        <v/>
      </c>
      <c r="M1271">
        <f>IF($AG1271="","",Config!$B$16)</f>
        <v/>
      </c>
      <c r="N1271">
        <f>IF($AG1271="","","")</f>
        <v/>
      </c>
      <c r="O1271">
        <f>IF($AG1271="","",INDEX('TMP Paste'!$K$2:$K$1601,$AG1271))</f>
        <v/>
      </c>
      <c r="P1271">
        <f>IF($AG1271="","","")</f>
        <v/>
      </c>
      <c r="Q1271">
        <f>IF($AG1271="","",INDEX('TMP Paste'!$J$2:$J$1601,$AG1271))</f>
        <v/>
      </c>
      <c r="R1271">
        <f>IF($AG1271="","",Config!$B$24)</f>
        <v/>
      </c>
      <c r="S1271">
        <f>IF($AG1271="","",TEXT(Config!$B$4,"yyyy-mm-dd"))</f>
        <v/>
      </c>
      <c r="T1271">
        <f>IF($AG1271="","",Config!$B$17)</f>
        <v/>
      </c>
      <c r="U1271">
        <f>IF($AG1271="","",Config!$B$18)</f>
        <v/>
      </c>
      <c r="V1271">
        <f>IF($AG1271="","",Config!$B$19)</f>
        <v/>
      </c>
      <c r="W1271">
        <f>IF($AG1271="","",INDEX('TMP Paste'!$C$2:$C$1601,$AG1271))</f>
        <v/>
      </c>
      <c r="X1271">
        <f>IF($AG1271="","",Config!$B$29)</f>
        <v/>
      </c>
      <c r="Y1271">
        <f>IF($AH1271="","",INDEX(Calc!$I$2:$I$1601,$AH1271)&amp;" - "&amp;INDEX(Calc!$D$2:$D$1601,$AH1271)&amp;" koli")</f>
        <v/>
      </c>
      <c r="Z1271">
        <f>IF($AG1271="","",Config!$B$21)</f>
        <v/>
      </c>
      <c r="AA1271">
        <f>IF($AG1271="","",Config!$B$22)</f>
        <v/>
      </c>
      <c r="AB1271">
        <f>IF($AH1271="","",INDEX(Calc!$D$2:$D$1601,$AH1271))</f>
        <v/>
      </c>
      <c r="AC1271">
        <f>IF($AH1271="","",INDEX(Calc!$G$2:$G$1601,$AH1271))</f>
        <v/>
      </c>
      <c r="AD1271">
        <f>IF($AG1271="","",Config!$B$23)</f>
        <v/>
      </c>
      <c r="AE1271">
        <f>IF($AG1271="","",Config!$B$28)</f>
        <v/>
      </c>
      <c r="AG1271">
        <f>IFERROR(MATCH(ROW()-1,Calc!$J$2:$J$1601,0),"")</f>
        <v/>
      </c>
      <c r="AH1271">
        <f>IFERROR(MATCH(ROW()-1,Calc!$K$2:$K$1601,0),"")</f>
        <v/>
      </c>
      <c r="AI1271">
        <f>IF($AG1271="","",SUMIF($AG$2:$AG1271,$AG1271,$AH$2:$AH1271))</f>
        <v/>
      </c>
      <c r="AJ1271">
        <f>IF('TMP Paste'!$F1271="","",IF('TMP Paste'!$B1271="",$AJ1270,'TMP Paste'!$B1271))</f>
        <v/>
      </c>
      <c r="AK1271">
        <f>IF('TMP Paste'!$F1271="","",N('TMP Paste'!$G1271))</f>
        <v/>
      </c>
      <c r="AL1271">
        <f>IF('TMP Paste'!$F1271="","",IF('TMP Paste'!$M1271="",$AL1270,'TMP Paste'!$M1271))</f>
        <v/>
      </c>
      <c r="AM1271">
        <f>IF('TMP Paste'!$F1271="","",IF('TMP Paste'!$N1271="",$AM1270,'TMP Paste'!$N1271))</f>
        <v/>
      </c>
      <c r="AN1271">
        <f>IF('TMP Paste'!$F1271="","",IF('TMP Paste'!$O1271="",$AN1270,'TMP Paste'!$O1271))</f>
        <v/>
      </c>
      <c r="AO1271">
        <f>IF('TMP Paste'!$F1271="","",IF('TMP Paste'!$P1271="",$AO1270,'TMP Paste'!$P1271))</f>
        <v/>
      </c>
      <c r="AP1271">
        <f>IF($AG1271="","",LEN($R1271))</f>
        <v/>
      </c>
      <c r="AQ1271">
        <f>IF($AG1271="","",TRIM(IF(COUNTIFS(Calc!$B$2:$B$1601,ROW()-1,Calc!$C$2:$C$1601,"&lt;1")&gt;0,"Ada PO tanpa Koli - cek TMP. ","")&amp;IF(LEN($R1271)&gt;500,"R &gt; 500 karakter.","")))</f>
        <v/>
      </c>
    </row>
    <row r="1272">
      <c r="A1272">
        <f>IF($AG1272="","",INDEX('TMP Paste'!$B$2:$B$1601,$AG1272))</f>
        <v/>
      </c>
      <c r="B1272">
        <f>IF($AG1272="","",Config!$B$14)</f>
        <v/>
      </c>
      <c r="C1272">
        <f>IF($AG1272="","",Config!$B$15)</f>
        <v/>
      </c>
      <c r="D1272">
        <f>IF($AG1272="","",INDEX('TMP Paste'!$B$2:$B$1601,$AG1272))</f>
        <v/>
      </c>
      <c r="E1272">
        <f>IF($AG1272="","",Config!$B$27)</f>
        <v/>
      </c>
      <c r="F1272">
        <f>IF($AG1272="","",Config!$B$9)</f>
        <v/>
      </c>
      <c r="G1272">
        <f>IF($AG1272="","",Config!$B$10)</f>
        <v/>
      </c>
      <c r="H1272">
        <f>IF($AG1272="","",Config!$B$11)</f>
        <v/>
      </c>
      <c r="I1272">
        <f>IF($AG1272="","",Config!$B$16)</f>
        <v/>
      </c>
      <c r="J1272">
        <f>IF($AG1272="","",INDEX('TMP Paste'!$A$2:$A$1601,$AG1272))</f>
        <v/>
      </c>
      <c r="K1272">
        <f>IF($AG1272="","",INDEX('TMP Paste'!$L$2:$L$1601,$AG1272))</f>
        <v/>
      </c>
      <c r="L1272">
        <f>IF($AG1272="","",INDEX('TMP Paste'!$I$2:$I$1601,$AG1272))</f>
        <v/>
      </c>
      <c r="M1272">
        <f>IF($AG1272="","",Config!$B$16)</f>
        <v/>
      </c>
      <c r="N1272">
        <f>IF($AG1272="","","")</f>
        <v/>
      </c>
      <c r="O1272">
        <f>IF($AG1272="","",INDEX('TMP Paste'!$K$2:$K$1601,$AG1272))</f>
        <v/>
      </c>
      <c r="P1272">
        <f>IF($AG1272="","","")</f>
        <v/>
      </c>
      <c r="Q1272">
        <f>IF($AG1272="","",INDEX('TMP Paste'!$J$2:$J$1601,$AG1272))</f>
        <v/>
      </c>
      <c r="R1272">
        <f>IF($AG1272="","",Config!$B$24)</f>
        <v/>
      </c>
      <c r="S1272">
        <f>IF($AG1272="","",TEXT(Config!$B$4,"yyyy-mm-dd"))</f>
        <v/>
      </c>
      <c r="T1272">
        <f>IF($AG1272="","",Config!$B$17)</f>
        <v/>
      </c>
      <c r="U1272">
        <f>IF($AG1272="","",Config!$B$18)</f>
        <v/>
      </c>
      <c r="V1272">
        <f>IF($AG1272="","",Config!$B$19)</f>
        <v/>
      </c>
      <c r="W1272">
        <f>IF($AG1272="","",INDEX('TMP Paste'!$C$2:$C$1601,$AG1272))</f>
        <v/>
      </c>
      <c r="X1272">
        <f>IF($AG1272="","",Config!$B$29)</f>
        <v/>
      </c>
      <c r="Y1272">
        <f>IF($AH1272="","",INDEX(Calc!$I$2:$I$1601,$AH1272)&amp;" - "&amp;INDEX(Calc!$D$2:$D$1601,$AH1272)&amp;" koli")</f>
        <v/>
      </c>
      <c r="Z1272">
        <f>IF($AG1272="","",Config!$B$21)</f>
        <v/>
      </c>
      <c r="AA1272">
        <f>IF($AG1272="","",Config!$B$22)</f>
        <v/>
      </c>
      <c r="AB1272">
        <f>IF($AH1272="","",INDEX(Calc!$D$2:$D$1601,$AH1272))</f>
        <v/>
      </c>
      <c r="AC1272">
        <f>IF($AH1272="","",INDEX(Calc!$G$2:$G$1601,$AH1272))</f>
        <v/>
      </c>
      <c r="AD1272">
        <f>IF($AG1272="","",Config!$B$23)</f>
        <v/>
      </c>
      <c r="AE1272">
        <f>IF($AG1272="","",Config!$B$28)</f>
        <v/>
      </c>
      <c r="AG1272">
        <f>IFERROR(MATCH(ROW()-1,Calc!$J$2:$J$1601,0),"")</f>
        <v/>
      </c>
      <c r="AH1272">
        <f>IFERROR(MATCH(ROW()-1,Calc!$K$2:$K$1601,0),"")</f>
        <v/>
      </c>
      <c r="AI1272">
        <f>IF($AG1272="","",SUMIF($AG$2:$AG1272,$AG1272,$AH$2:$AH1272))</f>
        <v/>
      </c>
      <c r="AJ1272">
        <f>IF('TMP Paste'!$F1272="","",IF('TMP Paste'!$B1272="",$AJ1271,'TMP Paste'!$B1272))</f>
        <v/>
      </c>
      <c r="AK1272">
        <f>IF('TMP Paste'!$F1272="","",N('TMP Paste'!$G1272))</f>
        <v/>
      </c>
      <c r="AL1272">
        <f>IF('TMP Paste'!$F1272="","",IF('TMP Paste'!$M1272="",$AL1271,'TMP Paste'!$M1272))</f>
        <v/>
      </c>
      <c r="AM1272">
        <f>IF('TMP Paste'!$F1272="","",IF('TMP Paste'!$N1272="",$AM1271,'TMP Paste'!$N1272))</f>
        <v/>
      </c>
      <c r="AN1272">
        <f>IF('TMP Paste'!$F1272="","",IF('TMP Paste'!$O1272="",$AN1271,'TMP Paste'!$O1272))</f>
        <v/>
      </c>
      <c r="AO1272">
        <f>IF('TMP Paste'!$F1272="","",IF('TMP Paste'!$P1272="",$AO1271,'TMP Paste'!$P1272))</f>
        <v/>
      </c>
      <c r="AP1272">
        <f>IF($AG1272="","",LEN($R1272))</f>
        <v/>
      </c>
      <c r="AQ1272">
        <f>IF($AG1272="","",TRIM(IF(COUNTIFS(Calc!$B$2:$B$1601,ROW()-1,Calc!$C$2:$C$1601,"&lt;1")&gt;0,"Ada PO tanpa Koli - cek TMP. ","")&amp;IF(LEN($R1272)&gt;500,"R &gt; 500 karakter.","")))</f>
        <v/>
      </c>
    </row>
    <row r="1273">
      <c r="A1273">
        <f>IF($AG1273="","",INDEX('TMP Paste'!$B$2:$B$1601,$AG1273))</f>
        <v/>
      </c>
      <c r="B1273">
        <f>IF($AG1273="","",Config!$B$14)</f>
        <v/>
      </c>
      <c r="C1273">
        <f>IF($AG1273="","",Config!$B$15)</f>
        <v/>
      </c>
      <c r="D1273">
        <f>IF($AG1273="","",INDEX('TMP Paste'!$B$2:$B$1601,$AG1273))</f>
        <v/>
      </c>
      <c r="E1273">
        <f>IF($AG1273="","",Config!$B$27)</f>
        <v/>
      </c>
      <c r="F1273">
        <f>IF($AG1273="","",Config!$B$9)</f>
        <v/>
      </c>
      <c r="G1273">
        <f>IF($AG1273="","",Config!$B$10)</f>
        <v/>
      </c>
      <c r="H1273">
        <f>IF($AG1273="","",Config!$B$11)</f>
        <v/>
      </c>
      <c r="I1273">
        <f>IF($AG1273="","",Config!$B$16)</f>
        <v/>
      </c>
      <c r="J1273">
        <f>IF($AG1273="","",INDEX('TMP Paste'!$A$2:$A$1601,$AG1273))</f>
        <v/>
      </c>
      <c r="K1273">
        <f>IF($AG1273="","",INDEX('TMP Paste'!$L$2:$L$1601,$AG1273))</f>
        <v/>
      </c>
      <c r="L1273">
        <f>IF($AG1273="","",INDEX('TMP Paste'!$I$2:$I$1601,$AG1273))</f>
        <v/>
      </c>
      <c r="M1273">
        <f>IF($AG1273="","",Config!$B$16)</f>
        <v/>
      </c>
      <c r="N1273">
        <f>IF($AG1273="","","")</f>
        <v/>
      </c>
      <c r="O1273">
        <f>IF($AG1273="","",INDEX('TMP Paste'!$K$2:$K$1601,$AG1273))</f>
        <v/>
      </c>
      <c r="P1273">
        <f>IF($AG1273="","","")</f>
        <v/>
      </c>
      <c r="Q1273">
        <f>IF($AG1273="","",INDEX('TMP Paste'!$J$2:$J$1601,$AG1273))</f>
        <v/>
      </c>
      <c r="R1273">
        <f>IF($AG1273="","",Config!$B$24)</f>
        <v/>
      </c>
      <c r="S1273">
        <f>IF($AG1273="","",TEXT(Config!$B$4,"yyyy-mm-dd"))</f>
        <v/>
      </c>
      <c r="T1273">
        <f>IF($AG1273="","",Config!$B$17)</f>
        <v/>
      </c>
      <c r="U1273">
        <f>IF($AG1273="","",Config!$B$18)</f>
        <v/>
      </c>
      <c r="V1273">
        <f>IF($AG1273="","",Config!$B$19)</f>
        <v/>
      </c>
      <c r="W1273">
        <f>IF($AG1273="","",INDEX('TMP Paste'!$C$2:$C$1601,$AG1273))</f>
        <v/>
      </c>
      <c r="X1273">
        <f>IF($AG1273="","",Config!$B$29)</f>
        <v/>
      </c>
      <c r="Y1273">
        <f>IF($AH1273="","",INDEX(Calc!$I$2:$I$1601,$AH1273)&amp;" - "&amp;INDEX(Calc!$D$2:$D$1601,$AH1273)&amp;" koli")</f>
        <v/>
      </c>
      <c r="Z1273">
        <f>IF($AG1273="","",Config!$B$21)</f>
        <v/>
      </c>
      <c r="AA1273">
        <f>IF($AG1273="","",Config!$B$22)</f>
        <v/>
      </c>
      <c r="AB1273">
        <f>IF($AH1273="","",INDEX(Calc!$D$2:$D$1601,$AH1273))</f>
        <v/>
      </c>
      <c r="AC1273">
        <f>IF($AH1273="","",INDEX(Calc!$G$2:$G$1601,$AH1273))</f>
        <v/>
      </c>
      <c r="AD1273">
        <f>IF($AG1273="","",Config!$B$23)</f>
        <v/>
      </c>
      <c r="AE1273">
        <f>IF($AG1273="","",Config!$B$28)</f>
        <v/>
      </c>
      <c r="AG1273">
        <f>IFERROR(MATCH(ROW()-1,Calc!$J$2:$J$1601,0),"")</f>
        <v/>
      </c>
      <c r="AH1273">
        <f>IFERROR(MATCH(ROW()-1,Calc!$K$2:$K$1601,0),"")</f>
        <v/>
      </c>
      <c r="AI1273">
        <f>IF($AG1273="","",SUMIF($AG$2:$AG1273,$AG1273,$AH$2:$AH1273))</f>
        <v/>
      </c>
      <c r="AJ1273">
        <f>IF('TMP Paste'!$F1273="","",IF('TMP Paste'!$B1273="",$AJ1272,'TMP Paste'!$B1273))</f>
        <v/>
      </c>
      <c r="AK1273">
        <f>IF('TMP Paste'!$F1273="","",N('TMP Paste'!$G1273))</f>
        <v/>
      </c>
      <c r="AL1273">
        <f>IF('TMP Paste'!$F1273="","",IF('TMP Paste'!$M1273="",$AL1272,'TMP Paste'!$M1273))</f>
        <v/>
      </c>
      <c r="AM1273">
        <f>IF('TMP Paste'!$F1273="","",IF('TMP Paste'!$N1273="",$AM1272,'TMP Paste'!$N1273))</f>
        <v/>
      </c>
      <c r="AN1273">
        <f>IF('TMP Paste'!$F1273="","",IF('TMP Paste'!$O1273="",$AN1272,'TMP Paste'!$O1273))</f>
        <v/>
      </c>
      <c r="AO1273">
        <f>IF('TMP Paste'!$F1273="","",IF('TMP Paste'!$P1273="",$AO1272,'TMP Paste'!$P1273))</f>
        <v/>
      </c>
      <c r="AP1273">
        <f>IF($AG1273="","",LEN($R1273))</f>
        <v/>
      </c>
      <c r="AQ1273">
        <f>IF($AG1273="","",TRIM(IF(COUNTIFS(Calc!$B$2:$B$1601,ROW()-1,Calc!$C$2:$C$1601,"&lt;1")&gt;0,"Ada PO tanpa Koli - cek TMP. ","")&amp;IF(LEN($R1273)&gt;500,"R &gt; 500 karakter.","")))</f>
        <v/>
      </c>
    </row>
    <row r="1274">
      <c r="A1274">
        <f>IF($AG1274="","",INDEX('TMP Paste'!$B$2:$B$1601,$AG1274))</f>
        <v/>
      </c>
      <c r="B1274">
        <f>IF($AG1274="","",Config!$B$14)</f>
        <v/>
      </c>
      <c r="C1274">
        <f>IF($AG1274="","",Config!$B$15)</f>
        <v/>
      </c>
      <c r="D1274">
        <f>IF($AG1274="","",INDEX('TMP Paste'!$B$2:$B$1601,$AG1274))</f>
        <v/>
      </c>
      <c r="E1274">
        <f>IF($AG1274="","",Config!$B$27)</f>
        <v/>
      </c>
      <c r="F1274">
        <f>IF($AG1274="","",Config!$B$9)</f>
        <v/>
      </c>
      <c r="G1274">
        <f>IF($AG1274="","",Config!$B$10)</f>
        <v/>
      </c>
      <c r="H1274">
        <f>IF($AG1274="","",Config!$B$11)</f>
        <v/>
      </c>
      <c r="I1274">
        <f>IF($AG1274="","",Config!$B$16)</f>
        <v/>
      </c>
      <c r="J1274">
        <f>IF($AG1274="","",INDEX('TMP Paste'!$A$2:$A$1601,$AG1274))</f>
        <v/>
      </c>
      <c r="K1274">
        <f>IF($AG1274="","",INDEX('TMP Paste'!$L$2:$L$1601,$AG1274))</f>
        <v/>
      </c>
      <c r="L1274">
        <f>IF($AG1274="","",INDEX('TMP Paste'!$I$2:$I$1601,$AG1274))</f>
        <v/>
      </c>
      <c r="M1274">
        <f>IF($AG1274="","",Config!$B$16)</f>
        <v/>
      </c>
      <c r="N1274">
        <f>IF($AG1274="","","")</f>
        <v/>
      </c>
      <c r="O1274">
        <f>IF($AG1274="","",INDEX('TMP Paste'!$K$2:$K$1601,$AG1274))</f>
        <v/>
      </c>
      <c r="P1274">
        <f>IF($AG1274="","","")</f>
        <v/>
      </c>
      <c r="Q1274">
        <f>IF($AG1274="","",INDEX('TMP Paste'!$J$2:$J$1601,$AG1274))</f>
        <v/>
      </c>
      <c r="R1274">
        <f>IF($AG1274="","",Config!$B$24)</f>
        <v/>
      </c>
      <c r="S1274">
        <f>IF($AG1274="","",TEXT(Config!$B$4,"yyyy-mm-dd"))</f>
        <v/>
      </c>
      <c r="T1274">
        <f>IF($AG1274="","",Config!$B$17)</f>
        <v/>
      </c>
      <c r="U1274">
        <f>IF($AG1274="","",Config!$B$18)</f>
        <v/>
      </c>
      <c r="V1274">
        <f>IF($AG1274="","",Config!$B$19)</f>
        <v/>
      </c>
      <c r="W1274">
        <f>IF($AG1274="","",INDEX('TMP Paste'!$C$2:$C$1601,$AG1274))</f>
        <v/>
      </c>
      <c r="X1274">
        <f>IF($AG1274="","",Config!$B$29)</f>
        <v/>
      </c>
      <c r="Y1274">
        <f>IF($AH1274="","",INDEX(Calc!$I$2:$I$1601,$AH1274)&amp;" - "&amp;INDEX(Calc!$D$2:$D$1601,$AH1274)&amp;" koli")</f>
        <v/>
      </c>
      <c r="Z1274">
        <f>IF($AG1274="","",Config!$B$21)</f>
        <v/>
      </c>
      <c r="AA1274">
        <f>IF($AG1274="","",Config!$B$22)</f>
        <v/>
      </c>
      <c r="AB1274">
        <f>IF($AH1274="","",INDEX(Calc!$D$2:$D$1601,$AH1274))</f>
        <v/>
      </c>
      <c r="AC1274">
        <f>IF($AH1274="","",INDEX(Calc!$G$2:$G$1601,$AH1274))</f>
        <v/>
      </c>
      <c r="AD1274">
        <f>IF($AG1274="","",Config!$B$23)</f>
        <v/>
      </c>
      <c r="AE1274">
        <f>IF($AG1274="","",Config!$B$28)</f>
        <v/>
      </c>
      <c r="AG1274">
        <f>IFERROR(MATCH(ROW()-1,Calc!$J$2:$J$1601,0),"")</f>
        <v/>
      </c>
      <c r="AH1274">
        <f>IFERROR(MATCH(ROW()-1,Calc!$K$2:$K$1601,0),"")</f>
        <v/>
      </c>
      <c r="AI1274">
        <f>IF($AG1274="","",SUMIF($AG$2:$AG1274,$AG1274,$AH$2:$AH1274))</f>
        <v/>
      </c>
      <c r="AJ1274">
        <f>IF('TMP Paste'!$F1274="","",IF('TMP Paste'!$B1274="",$AJ1273,'TMP Paste'!$B1274))</f>
        <v/>
      </c>
      <c r="AK1274">
        <f>IF('TMP Paste'!$F1274="","",N('TMP Paste'!$G1274))</f>
        <v/>
      </c>
      <c r="AL1274">
        <f>IF('TMP Paste'!$F1274="","",IF('TMP Paste'!$M1274="",$AL1273,'TMP Paste'!$M1274))</f>
        <v/>
      </c>
      <c r="AM1274">
        <f>IF('TMP Paste'!$F1274="","",IF('TMP Paste'!$N1274="",$AM1273,'TMP Paste'!$N1274))</f>
        <v/>
      </c>
      <c r="AN1274">
        <f>IF('TMP Paste'!$F1274="","",IF('TMP Paste'!$O1274="",$AN1273,'TMP Paste'!$O1274))</f>
        <v/>
      </c>
      <c r="AO1274">
        <f>IF('TMP Paste'!$F1274="","",IF('TMP Paste'!$P1274="",$AO1273,'TMP Paste'!$P1274))</f>
        <v/>
      </c>
      <c r="AP1274">
        <f>IF($AG1274="","",LEN($R1274))</f>
        <v/>
      </c>
      <c r="AQ1274">
        <f>IF($AG1274="","",TRIM(IF(COUNTIFS(Calc!$B$2:$B$1601,ROW()-1,Calc!$C$2:$C$1601,"&lt;1")&gt;0,"Ada PO tanpa Koli - cek TMP. ","")&amp;IF(LEN($R1274)&gt;500,"R &gt; 500 karakter.","")))</f>
        <v/>
      </c>
    </row>
    <row r="1275">
      <c r="A1275">
        <f>IF($AG1275="","",INDEX('TMP Paste'!$B$2:$B$1601,$AG1275))</f>
        <v/>
      </c>
      <c r="B1275">
        <f>IF($AG1275="","",Config!$B$14)</f>
        <v/>
      </c>
      <c r="C1275">
        <f>IF($AG1275="","",Config!$B$15)</f>
        <v/>
      </c>
      <c r="D1275">
        <f>IF($AG1275="","",INDEX('TMP Paste'!$B$2:$B$1601,$AG1275))</f>
        <v/>
      </c>
      <c r="E1275">
        <f>IF($AG1275="","",Config!$B$27)</f>
        <v/>
      </c>
      <c r="F1275">
        <f>IF($AG1275="","",Config!$B$9)</f>
        <v/>
      </c>
      <c r="G1275">
        <f>IF($AG1275="","",Config!$B$10)</f>
        <v/>
      </c>
      <c r="H1275">
        <f>IF($AG1275="","",Config!$B$11)</f>
        <v/>
      </c>
      <c r="I1275">
        <f>IF($AG1275="","",Config!$B$16)</f>
        <v/>
      </c>
      <c r="J1275">
        <f>IF($AG1275="","",INDEX('TMP Paste'!$A$2:$A$1601,$AG1275))</f>
        <v/>
      </c>
      <c r="K1275">
        <f>IF($AG1275="","",INDEX('TMP Paste'!$L$2:$L$1601,$AG1275))</f>
        <v/>
      </c>
      <c r="L1275">
        <f>IF($AG1275="","",INDEX('TMP Paste'!$I$2:$I$1601,$AG1275))</f>
        <v/>
      </c>
      <c r="M1275">
        <f>IF($AG1275="","",Config!$B$16)</f>
        <v/>
      </c>
      <c r="N1275">
        <f>IF($AG1275="","","")</f>
        <v/>
      </c>
      <c r="O1275">
        <f>IF($AG1275="","",INDEX('TMP Paste'!$K$2:$K$1601,$AG1275))</f>
        <v/>
      </c>
      <c r="P1275">
        <f>IF($AG1275="","","")</f>
        <v/>
      </c>
      <c r="Q1275">
        <f>IF($AG1275="","",INDEX('TMP Paste'!$J$2:$J$1601,$AG1275))</f>
        <v/>
      </c>
      <c r="R1275">
        <f>IF($AG1275="","",Config!$B$24)</f>
        <v/>
      </c>
      <c r="S1275">
        <f>IF($AG1275="","",TEXT(Config!$B$4,"yyyy-mm-dd"))</f>
        <v/>
      </c>
      <c r="T1275">
        <f>IF($AG1275="","",Config!$B$17)</f>
        <v/>
      </c>
      <c r="U1275">
        <f>IF($AG1275="","",Config!$B$18)</f>
        <v/>
      </c>
      <c r="V1275">
        <f>IF($AG1275="","",Config!$B$19)</f>
        <v/>
      </c>
      <c r="W1275">
        <f>IF($AG1275="","",INDEX('TMP Paste'!$C$2:$C$1601,$AG1275))</f>
        <v/>
      </c>
      <c r="X1275">
        <f>IF($AG1275="","",Config!$B$29)</f>
        <v/>
      </c>
      <c r="Y1275">
        <f>IF($AH1275="","",INDEX(Calc!$I$2:$I$1601,$AH1275)&amp;" - "&amp;INDEX(Calc!$D$2:$D$1601,$AH1275)&amp;" koli")</f>
        <v/>
      </c>
      <c r="Z1275">
        <f>IF($AG1275="","",Config!$B$21)</f>
        <v/>
      </c>
      <c r="AA1275">
        <f>IF($AG1275="","",Config!$B$22)</f>
        <v/>
      </c>
      <c r="AB1275">
        <f>IF($AH1275="","",INDEX(Calc!$D$2:$D$1601,$AH1275))</f>
        <v/>
      </c>
      <c r="AC1275">
        <f>IF($AH1275="","",INDEX(Calc!$G$2:$G$1601,$AH1275))</f>
        <v/>
      </c>
      <c r="AD1275">
        <f>IF($AG1275="","",Config!$B$23)</f>
        <v/>
      </c>
      <c r="AE1275">
        <f>IF($AG1275="","",Config!$B$28)</f>
        <v/>
      </c>
      <c r="AG1275">
        <f>IFERROR(MATCH(ROW()-1,Calc!$J$2:$J$1601,0),"")</f>
        <v/>
      </c>
      <c r="AH1275">
        <f>IFERROR(MATCH(ROW()-1,Calc!$K$2:$K$1601,0),"")</f>
        <v/>
      </c>
      <c r="AI1275">
        <f>IF($AG1275="","",SUMIF($AG$2:$AG1275,$AG1275,$AH$2:$AH1275))</f>
        <v/>
      </c>
      <c r="AJ1275">
        <f>IF('TMP Paste'!$F1275="","",IF('TMP Paste'!$B1275="",$AJ1274,'TMP Paste'!$B1275))</f>
        <v/>
      </c>
      <c r="AK1275">
        <f>IF('TMP Paste'!$F1275="","",N('TMP Paste'!$G1275))</f>
        <v/>
      </c>
      <c r="AL1275">
        <f>IF('TMP Paste'!$F1275="","",IF('TMP Paste'!$M1275="",$AL1274,'TMP Paste'!$M1275))</f>
        <v/>
      </c>
      <c r="AM1275">
        <f>IF('TMP Paste'!$F1275="","",IF('TMP Paste'!$N1275="",$AM1274,'TMP Paste'!$N1275))</f>
        <v/>
      </c>
      <c r="AN1275">
        <f>IF('TMP Paste'!$F1275="","",IF('TMP Paste'!$O1275="",$AN1274,'TMP Paste'!$O1275))</f>
        <v/>
      </c>
      <c r="AO1275">
        <f>IF('TMP Paste'!$F1275="","",IF('TMP Paste'!$P1275="",$AO1274,'TMP Paste'!$P1275))</f>
        <v/>
      </c>
      <c r="AP1275">
        <f>IF($AG1275="","",LEN($R1275))</f>
        <v/>
      </c>
      <c r="AQ1275">
        <f>IF($AG1275="","",TRIM(IF(COUNTIFS(Calc!$B$2:$B$1601,ROW()-1,Calc!$C$2:$C$1601,"&lt;1")&gt;0,"Ada PO tanpa Koli - cek TMP. ","")&amp;IF(LEN($R1275)&gt;500,"R &gt; 500 karakter.","")))</f>
        <v/>
      </c>
    </row>
    <row r="1276">
      <c r="A1276">
        <f>IF($AG1276="","",INDEX('TMP Paste'!$B$2:$B$1601,$AG1276))</f>
        <v/>
      </c>
      <c r="B1276">
        <f>IF($AG1276="","",Config!$B$14)</f>
        <v/>
      </c>
      <c r="C1276">
        <f>IF($AG1276="","",Config!$B$15)</f>
        <v/>
      </c>
      <c r="D1276">
        <f>IF($AG1276="","",INDEX('TMP Paste'!$B$2:$B$1601,$AG1276))</f>
        <v/>
      </c>
      <c r="E1276">
        <f>IF($AG1276="","",Config!$B$27)</f>
        <v/>
      </c>
      <c r="F1276">
        <f>IF($AG1276="","",Config!$B$9)</f>
        <v/>
      </c>
      <c r="G1276">
        <f>IF($AG1276="","",Config!$B$10)</f>
        <v/>
      </c>
      <c r="H1276">
        <f>IF($AG1276="","",Config!$B$11)</f>
        <v/>
      </c>
      <c r="I1276">
        <f>IF($AG1276="","",Config!$B$16)</f>
        <v/>
      </c>
      <c r="J1276">
        <f>IF($AG1276="","",INDEX('TMP Paste'!$A$2:$A$1601,$AG1276))</f>
        <v/>
      </c>
      <c r="K1276">
        <f>IF($AG1276="","",INDEX('TMP Paste'!$L$2:$L$1601,$AG1276))</f>
        <v/>
      </c>
      <c r="L1276">
        <f>IF($AG1276="","",INDEX('TMP Paste'!$I$2:$I$1601,$AG1276))</f>
        <v/>
      </c>
      <c r="M1276">
        <f>IF($AG1276="","",Config!$B$16)</f>
        <v/>
      </c>
      <c r="N1276">
        <f>IF($AG1276="","","")</f>
        <v/>
      </c>
      <c r="O1276">
        <f>IF($AG1276="","",INDEX('TMP Paste'!$K$2:$K$1601,$AG1276))</f>
        <v/>
      </c>
      <c r="P1276">
        <f>IF($AG1276="","","")</f>
        <v/>
      </c>
      <c r="Q1276">
        <f>IF($AG1276="","",INDEX('TMP Paste'!$J$2:$J$1601,$AG1276))</f>
        <v/>
      </c>
      <c r="R1276">
        <f>IF($AG1276="","",Config!$B$24)</f>
        <v/>
      </c>
      <c r="S1276">
        <f>IF($AG1276="","",TEXT(Config!$B$4,"yyyy-mm-dd"))</f>
        <v/>
      </c>
      <c r="T1276">
        <f>IF($AG1276="","",Config!$B$17)</f>
        <v/>
      </c>
      <c r="U1276">
        <f>IF($AG1276="","",Config!$B$18)</f>
        <v/>
      </c>
      <c r="V1276">
        <f>IF($AG1276="","",Config!$B$19)</f>
        <v/>
      </c>
      <c r="W1276">
        <f>IF($AG1276="","",INDEX('TMP Paste'!$C$2:$C$1601,$AG1276))</f>
        <v/>
      </c>
      <c r="X1276">
        <f>IF($AG1276="","",Config!$B$29)</f>
        <v/>
      </c>
      <c r="Y1276">
        <f>IF($AH1276="","",INDEX(Calc!$I$2:$I$1601,$AH1276)&amp;" - "&amp;INDEX(Calc!$D$2:$D$1601,$AH1276)&amp;" koli")</f>
        <v/>
      </c>
      <c r="Z1276">
        <f>IF($AG1276="","",Config!$B$21)</f>
        <v/>
      </c>
      <c r="AA1276">
        <f>IF($AG1276="","",Config!$B$22)</f>
        <v/>
      </c>
      <c r="AB1276">
        <f>IF($AH1276="","",INDEX(Calc!$D$2:$D$1601,$AH1276))</f>
        <v/>
      </c>
      <c r="AC1276">
        <f>IF($AH1276="","",INDEX(Calc!$G$2:$G$1601,$AH1276))</f>
        <v/>
      </c>
      <c r="AD1276">
        <f>IF($AG1276="","",Config!$B$23)</f>
        <v/>
      </c>
      <c r="AE1276">
        <f>IF($AG1276="","",Config!$B$28)</f>
        <v/>
      </c>
      <c r="AG1276">
        <f>IFERROR(MATCH(ROW()-1,Calc!$J$2:$J$1601,0),"")</f>
        <v/>
      </c>
      <c r="AH1276">
        <f>IFERROR(MATCH(ROW()-1,Calc!$K$2:$K$1601,0),"")</f>
        <v/>
      </c>
      <c r="AI1276">
        <f>IF($AG1276="","",SUMIF($AG$2:$AG1276,$AG1276,$AH$2:$AH1276))</f>
        <v/>
      </c>
      <c r="AJ1276">
        <f>IF('TMP Paste'!$F1276="","",IF('TMP Paste'!$B1276="",$AJ1275,'TMP Paste'!$B1276))</f>
        <v/>
      </c>
      <c r="AK1276">
        <f>IF('TMP Paste'!$F1276="","",N('TMP Paste'!$G1276))</f>
        <v/>
      </c>
      <c r="AL1276">
        <f>IF('TMP Paste'!$F1276="","",IF('TMP Paste'!$M1276="",$AL1275,'TMP Paste'!$M1276))</f>
        <v/>
      </c>
      <c r="AM1276">
        <f>IF('TMP Paste'!$F1276="","",IF('TMP Paste'!$N1276="",$AM1275,'TMP Paste'!$N1276))</f>
        <v/>
      </c>
      <c r="AN1276">
        <f>IF('TMP Paste'!$F1276="","",IF('TMP Paste'!$O1276="",$AN1275,'TMP Paste'!$O1276))</f>
        <v/>
      </c>
      <c r="AO1276">
        <f>IF('TMP Paste'!$F1276="","",IF('TMP Paste'!$P1276="",$AO1275,'TMP Paste'!$P1276))</f>
        <v/>
      </c>
      <c r="AP1276">
        <f>IF($AG1276="","",LEN($R1276))</f>
        <v/>
      </c>
      <c r="AQ1276">
        <f>IF($AG1276="","",TRIM(IF(COUNTIFS(Calc!$B$2:$B$1601,ROW()-1,Calc!$C$2:$C$1601,"&lt;1")&gt;0,"Ada PO tanpa Koli - cek TMP. ","")&amp;IF(LEN($R1276)&gt;500,"R &gt; 500 karakter.","")))</f>
        <v/>
      </c>
    </row>
    <row r="1277">
      <c r="A1277">
        <f>IF($AG1277="","",INDEX('TMP Paste'!$B$2:$B$1601,$AG1277))</f>
        <v/>
      </c>
      <c r="B1277">
        <f>IF($AG1277="","",Config!$B$14)</f>
        <v/>
      </c>
      <c r="C1277">
        <f>IF($AG1277="","",Config!$B$15)</f>
        <v/>
      </c>
      <c r="D1277">
        <f>IF($AG1277="","",INDEX('TMP Paste'!$B$2:$B$1601,$AG1277))</f>
        <v/>
      </c>
      <c r="E1277">
        <f>IF($AG1277="","",Config!$B$27)</f>
        <v/>
      </c>
      <c r="F1277">
        <f>IF($AG1277="","",Config!$B$9)</f>
        <v/>
      </c>
      <c r="G1277">
        <f>IF($AG1277="","",Config!$B$10)</f>
        <v/>
      </c>
      <c r="H1277">
        <f>IF($AG1277="","",Config!$B$11)</f>
        <v/>
      </c>
      <c r="I1277">
        <f>IF($AG1277="","",Config!$B$16)</f>
        <v/>
      </c>
      <c r="J1277">
        <f>IF($AG1277="","",INDEX('TMP Paste'!$A$2:$A$1601,$AG1277))</f>
        <v/>
      </c>
      <c r="K1277">
        <f>IF($AG1277="","",INDEX('TMP Paste'!$L$2:$L$1601,$AG1277))</f>
        <v/>
      </c>
      <c r="L1277">
        <f>IF($AG1277="","",INDEX('TMP Paste'!$I$2:$I$1601,$AG1277))</f>
        <v/>
      </c>
      <c r="M1277">
        <f>IF($AG1277="","",Config!$B$16)</f>
        <v/>
      </c>
      <c r="N1277">
        <f>IF($AG1277="","","")</f>
        <v/>
      </c>
      <c r="O1277">
        <f>IF($AG1277="","",INDEX('TMP Paste'!$K$2:$K$1601,$AG1277))</f>
        <v/>
      </c>
      <c r="P1277">
        <f>IF($AG1277="","","")</f>
        <v/>
      </c>
      <c r="Q1277">
        <f>IF($AG1277="","",INDEX('TMP Paste'!$J$2:$J$1601,$AG1277))</f>
        <v/>
      </c>
      <c r="R1277">
        <f>IF($AG1277="","",Config!$B$24)</f>
        <v/>
      </c>
      <c r="S1277">
        <f>IF($AG1277="","",TEXT(Config!$B$4,"yyyy-mm-dd"))</f>
        <v/>
      </c>
      <c r="T1277">
        <f>IF($AG1277="","",Config!$B$17)</f>
        <v/>
      </c>
      <c r="U1277">
        <f>IF($AG1277="","",Config!$B$18)</f>
        <v/>
      </c>
      <c r="V1277">
        <f>IF($AG1277="","",Config!$B$19)</f>
        <v/>
      </c>
      <c r="W1277">
        <f>IF($AG1277="","",INDEX('TMP Paste'!$C$2:$C$1601,$AG1277))</f>
        <v/>
      </c>
      <c r="X1277">
        <f>IF($AG1277="","",Config!$B$29)</f>
        <v/>
      </c>
      <c r="Y1277">
        <f>IF($AH1277="","",INDEX(Calc!$I$2:$I$1601,$AH1277)&amp;" - "&amp;INDEX(Calc!$D$2:$D$1601,$AH1277)&amp;" koli")</f>
        <v/>
      </c>
      <c r="Z1277">
        <f>IF($AG1277="","",Config!$B$21)</f>
        <v/>
      </c>
      <c r="AA1277">
        <f>IF($AG1277="","",Config!$B$22)</f>
        <v/>
      </c>
      <c r="AB1277">
        <f>IF($AH1277="","",INDEX(Calc!$D$2:$D$1601,$AH1277))</f>
        <v/>
      </c>
      <c r="AC1277">
        <f>IF($AH1277="","",INDEX(Calc!$G$2:$G$1601,$AH1277))</f>
        <v/>
      </c>
      <c r="AD1277">
        <f>IF($AG1277="","",Config!$B$23)</f>
        <v/>
      </c>
      <c r="AE1277">
        <f>IF($AG1277="","",Config!$B$28)</f>
        <v/>
      </c>
      <c r="AG1277">
        <f>IFERROR(MATCH(ROW()-1,Calc!$J$2:$J$1601,0),"")</f>
        <v/>
      </c>
      <c r="AH1277">
        <f>IFERROR(MATCH(ROW()-1,Calc!$K$2:$K$1601,0),"")</f>
        <v/>
      </c>
      <c r="AI1277">
        <f>IF($AG1277="","",SUMIF($AG$2:$AG1277,$AG1277,$AH$2:$AH1277))</f>
        <v/>
      </c>
      <c r="AJ1277">
        <f>IF('TMP Paste'!$F1277="","",IF('TMP Paste'!$B1277="",$AJ1276,'TMP Paste'!$B1277))</f>
        <v/>
      </c>
      <c r="AK1277">
        <f>IF('TMP Paste'!$F1277="","",N('TMP Paste'!$G1277))</f>
        <v/>
      </c>
      <c r="AL1277">
        <f>IF('TMP Paste'!$F1277="","",IF('TMP Paste'!$M1277="",$AL1276,'TMP Paste'!$M1277))</f>
        <v/>
      </c>
      <c r="AM1277">
        <f>IF('TMP Paste'!$F1277="","",IF('TMP Paste'!$N1277="",$AM1276,'TMP Paste'!$N1277))</f>
        <v/>
      </c>
      <c r="AN1277">
        <f>IF('TMP Paste'!$F1277="","",IF('TMP Paste'!$O1277="",$AN1276,'TMP Paste'!$O1277))</f>
        <v/>
      </c>
      <c r="AO1277">
        <f>IF('TMP Paste'!$F1277="","",IF('TMP Paste'!$P1277="",$AO1276,'TMP Paste'!$P1277))</f>
        <v/>
      </c>
      <c r="AP1277">
        <f>IF($AG1277="","",LEN($R1277))</f>
        <v/>
      </c>
      <c r="AQ1277">
        <f>IF($AG1277="","",TRIM(IF(COUNTIFS(Calc!$B$2:$B$1601,ROW()-1,Calc!$C$2:$C$1601,"&lt;1")&gt;0,"Ada PO tanpa Koli - cek TMP. ","")&amp;IF(LEN($R1277)&gt;500,"R &gt; 500 karakter.","")))</f>
        <v/>
      </c>
    </row>
    <row r="1278">
      <c r="A1278">
        <f>IF($AG1278="","",INDEX('TMP Paste'!$B$2:$B$1601,$AG1278))</f>
        <v/>
      </c>
      <c r="B1278">
        <f>IF($AG1278="","",Config!$B$14)</f>
        <v/>
      </c>
      <c r="C1278">
        <f>IF($AG1278="","",Config!$B$15)</f>
        <v/>
      </c>
      <c r="D1278">
        <f>IF($AG1278="","",INDEX('TMP Paste'!$B$2:$B$1601,$AG1278))</f>
        <v/>
      </c>
      <c r="E1278">
        <f>IF($AG1278="","",Config!$B$27)</f>
        <v/>
      </c>
      <c r="F1278">
        <f>IF($AG1278="","",Config!$B$9)</f>
        <v/>
      </c>
      <c r="G1278">
        <f>IF($AG1278="","",Config!$B$10)</f>
        <v/>
      </c>
      <c r="H1278">
        <f>IF($AG1278="","",Config!$B$11)</f>
        <v/>
      </c>
      <c r="I1278">
        <f>IF($AG1278="","",Config!$B$16)</f>
        <v/>
      </c>
      <c r="J1278">
        <f>IF($AG1278="","",INDEX('TMP Paste'!$A$2:$A$1601,$AG1278))</f>
        <v/>
      </c>
      <c r="K1278">
        <f>IF($AG1278="","",INDEX('TMP Paste'!$L$2:$L$1601,$AG1278))</f>
        <v/>
      </c>
      <c r="L1278">
        <f>IF($AG1278="","",INDEX('TMP Paste'!$I$2:$I$1601,$AG1278))</f>
        <v/>
      </c>
      <c r="M1278">
        <f>IF($AG1278="","",Config!$B$16)</f>
        <v/>
      </c>
      <c r="N1278">
        <f>IF($AG1278="","","")</f>
        <v/>
      </c>
      <c r="O1278">
        <f>IF($AG1278="","",INDEX('TMP Paste'!$K$2:$K$1601,$AG1278))</f>
        <v/>
      </c>
      <c r="P1278">
        <f>IF($AG1278="","","")</f>
        <v/>
      </c>
      <c r="Q1278">
        <f>IF($AG1278="","",INDEX('TMP Paste'!$J$2:$J$1601,$AG1278))</f>
        <v/>
      </c>
      <c r="R1278">
        <f>IF($AG1278="","",Config!$B$24)</f>
        <v/>
      </c>
      <c r="S1278">
        <f>IF($AG1278="","",TEXT(Config!$B$4,"yyyy-mm-dd"))</f>
        <v/>
      </c>
      <c r="T1278">
        <f>IF($AG1278="","",Config!$B$17)</f>
        <v/>
      </c>
      <c r="U1278">
        <f>IF($AG1278="","",Config!$B$18)</f>
        <v/>
      </c>
      <c r="V1278">
        <f>IF($AG1278="","",Config!$B$19)</f>
        <v/>
      </c>
      <c r="W1278">
        <f>IF($AG1278="","",INDEX('TMP Paste'!$C$2:$C$1601,$AG1278))</f>
        <v/>
      </c>
      <c r="X1278">
        <f>IF($AG1278="","",Config!$B$29)</f>
        <v/>
      </c>
      <c r="Y1278">
        <f>IF($AH1278="","",INDEX(Calc!$I$2:$I$1601,$AH1278)&amp;" - "&amp;INDEX(Calc!$D$2:$D$1601,$AH1278)&amp;" koli")</f>
        <v/>
      </c>
      <c r="Z1278">
        <f>IF($AG1278="","",Config!$B$21)</f>
        <v/>
      </c>
      <c r="AA1278">
        <f>IF($AG1278="","",Config!$B$22)</f>
        <v/>
      </c>
      <c r="AB1278">
        <f>IF($AH1278="","",INDEX(Calc!$D$2:$D$1601,$AH1278))</f>
        <v/>
      </c>
      <c r="AC1278">
        <f>IF($AH1278="","",INDEX(Calc!$G$2:$G$1601,$AH1278))</f>
        <v/>
      </c>
      <c r="AD1278">
        <f>IF($AG1278="","",Config!$B$23)</f>
        <v/>
      </c>
      <c r="AE1278">
        <f>IF($AG1278="","",Config!$B$28)</f>
        <v/>
      </c>
      <c r="AG1278">
        <f>IFERROR(MATCH(ROW()-1,Calc!$J$2:$J$1601,0),"")</f>
        <v/>
      </c>
      <c r="AH1278">
        <f>IFERROR(MATCH(ROW()-1,Calc!$K$2:$K$1601,0),"")</f>
        <v/>
      </c>
      <c r="AI1278">
        <f>IF($AG1278="","",SUMIF($AG$2:$AG1278,$AG1278,$AH$2:$AH1278))</f>
        <v/>
      </c>
      <c r="AJ1278">
        <f>IF('TMP Paste'!$F1278="","",IF('TMP Paste'!$B1278="",$AJ1277,'TMP Paste'!$B1278))</f>
        <v/>
      </c>
      <c r="AK1278">
        <f>IF('TMP Paste'!$F1278="","",N('TMP Paste'!$G1278))</f>
        <v/>
      </c>
      <c r="AL1278">
        <f>IF('TMP Paste'!$F1278="","",IF('TMP Paste'!$M1278="",$AL1277,'TMP Paste'!$M1278))</f>
        <v/>
      </c>
      <c r="AM1278">
        <f>IF('TMP Paste'!$F1278="","",IF('TMP Paste'!$N1278="",$AM1277,'TMP Paste'!$N1278))</f>
        <v/>
      </c>
      <c r="AN1278">
        <f>IF('TMP Paste'!$F1278="","",IF('TMP Paste'!$O1278="",$AN1277,'TMP Paste'!$O1278))</f>
        <v/>
      </c>
      <c r="AO1278">
        <f>IF('TMP Paste'!$F1278="","",IF('TMP Paste'!$P1278="",$AO1277,'TMP Paste'!$P1278))</f>
        <v/>
      </c>
      <c r="AP1278">
        <f>IF($AG1278="","",LEN($R1278))</f>
        <v/>
      </c>
      <c r="AQ1278">
        <f>IF($AG1278="","",TRIM(IF(COUNTIFS(Calc!$B$2:$B$1601,ROW()-1,Calc!$C$2:$C$1601,"&lt;1")&gt;0,"Ada PO tanpa Koli - cek TMP. ","")&amp;IF(LEN($R1278)&gt;500,"R &gt; 500 karakter.","")))</f>
        <v/>
      </c>
    </row>
    <row r="1279">
      <c r="A1279">
        <f>IF($AG1279="","",INDEX('TMP Paste'!$B$2:$B$1601,$AG1279))</f>
        <v/>
      </c>
      <c r="B1279">
        <f>IF($AG1279="","",Config!$B$14)</f>
        <v/>
      </c>
      <c r="C1279">
        <f>IF($AG1279="","",Config!$B$15)</f>
        <v/>
      </c>
      <c r="D1279">
        <f>IF($AG1279="","",INDEX('TMP Paste'!$B$2:$B$1601,$AG1279))</f>
        <v/>
      </c>
      <c r="E1279">
        <f>IF($AG1279="","",Config!$B$27)</f>
        <v/>
      </c>
      <c r="F1279">
        <f>IF($AG1279="","",Config!$B$9)</f>
        <v/>
      </c>
      <c r="G1279">
        <f>IF($AG1279="","",Config!$B$10)</f>
        <v/>
      </c>
      <c r="H1279">
        <f>IF($AG1279="","",Config!$B$11)</f>
        <v/>
      </c>
      <c r="I1279">
        <f>IF($AG1279="","",Config!$B$16)</f>
        <v/>
      </c>
      <c r="J1279">
        <f>IF($AG1279="","",INDEX('TMP Paste'!$A$2:$A$1601,$AG1279))</f>
        <v/>
      </c>
      <c r="K1279">
        <f>IF($AG1279="","",INDEX('TMP Paste'!$L$2:$L$1601,$AG1279))</f>
        <v/>
      </c>
      <c r="L1279">
        <f>IF($AG1279="","",INDEX('TMP Paste'!$I$2:$I$1601,$AG1279))</f>
        <v/>
      </c>
      <c r="M1279">
        <f>IF($AG1279="","",Config!$B$16)</f>
        <v/>
      </c>
      <c r="N1279">
        <f>IF($AG1279="","","")</f>
        <v/>
      </c>
      <c r="O1279">
        <f>IF($AG1279="","",INDEX('TMP Paste'!$K$2:$K$1601,$AG1279))</f>
        <v/>
      </c>
      <c r="P1279">
        <f>IF($AG1279="","","")</f>
        <v/>
      </c>
      <c r="Q1279">
        <f>IF($AG1279="","",INDEX('TMP Paste'!$J$2:$J$1601,$AG1279))</f>
        <v/>
      </c>
      <c r="R1279">
        <f>IF($AG1279="","",Config!$B$24)</f>
        <v/>
      </c>
      <c r="S1279">
        <f>IF($AG1279="","",TEXT(Config!$B$4,"yyyy-mm-dd"))</f>
        <v/>
      </c>
      <c r="T1279">
        <f>IF($AG1279="","",Config!$B$17)</f>
        <v/>
      </c>
      <c r="U1279">
        <f>IF($AG1279="","",Config!$B$18)</f>
        <v/>
      </c>
      <c r="V1279">
        <f>IF($AG1279="","",Config!$B$19)</f>
        <v/>
      </c>
      <c r="W1279">
        <f>IF($AG1279="","",INDEX('TMP Paste'!$C$2:$C$1601,$AG1279))</f>
        <v/>
      </c>
      <c r="X1279">
        <f>IF($AG1279="","",Config!$B$29)</f>
        <v/>
      </c>
      <c r="Y1279">
        <f>IF($AH1279="","",INDEX(Calc!$I$2:$I$1601,$AH1279)&amp;" - "&amp;INDEX(Calc!$D$2:$D$1601,$AH1279)&amp;" koli")</f>
        <v/>
      </c>
      <c r="Z1279">
        <f>IF($AG1279="","",Config!$B$21)</f>
        <v/>
      </c>
      <c r="AA1279">
        <f>IF($AG1279="","",Config!$B$22)</f>
        <v/>
      </c>
      <c r="AB1279">
        <f>IF($AH1279="","",INDEX(Calc!$D$2:$D$1601,$AH1279))</f>
        <v/>
      </c>
      <c r="AC1279">
        <f>IF($AH1279="","",INDEX(Calc!$G$2:$G$1601,$AH1279))</f>
        <v/>
      </c>
      <c r="AD1279">
        <f>IF($AG1279="","",Config!$B$23)</f>
        <v/>
      </c>
      <c r="AE1279">
        <f>IF($AG1279="","",Config!$B$28)</f>
        <v/>
      </c>
      <c r="AG1279">
        <f>IFERROR(MATCH(ROW()-1,Calc!$J$2:$J$1601,0),"")</f>
        <v/>
      </c>
      <c r="AH1279">
        <f>IFERROR(MATCH(ROW()-1,Calc!$K$2:$K$1601,0),"")</f>
        <v/>
      </c>
      <c r="AI1279">
        <f>IF($AG1279="","",SUMIF($AG$2:$AG1279,$AG1279,$AH$2:$AH1279))</f>
        <v/>
      </c>
      <c r="AJ1279">
        <f>IF('TMP Paste'!$F1279="","",IF('TMP Paste'!$B1279="",$AJ1278,'TMP Paste'!$B1279))</f>
        <v/>
      </c>
      <c r="AK1279">
        <f>IF('TMP Paste'!$F1279="","",N('TMP Paste'!$G1279))</f>
        <v/>
      </c>
      <c r="AL1279">
        <f>IF('TMP Paste'!$F1279="","",IF('TMP Paste'!$M1279="",$AL1278,'TMP Paste'!$M1279))</f>
        <v/>
      </c>
      <c r="AM1279">
        <f>IF('TMP Paste'!$F1279="","",IF('TMP Paste'!$N1279="",$AM1278,'TMP Paste'!$N1279))</f>
        <v/>
      </c>
      <c r="AN1279">
        <f>IF('TMP Paste'!$F1279="","",IF('TMP Paste'!$O1279="",$AN1278,'TMP Paste'!$O1279))</f>
        <v/>
      </c>
      <c r="AO1279">
        <f>IF('TMP Paste'!$F1279="","",IF('TMP Paste'!$P1279="",$AO1278,'TMP Paste'!$P1279))</f>
        <v/>
      </c>
      <c r="AP1279">
        <f>IF($AG1279="","",LEN($R1279))</f>
        <v/>
      </c>
      <c r="AQ1279">
        <f>IF($AG1279="","",TRIM(IF(COUNTIFS(Calc!$B$2:$B$1601,ROW()-1,Calc!$C$2:$C$1601,"&lt;1")&gt;0,"Ada PO tanpa Koli - cek TMP. ","")&amp;IF(LEN($R1279)&gt;500,"R &gt; 500 karakter.","")))</f>
        <v/>
      </c>
    </row>
    <row r="1280">
      <c r="A1280">
        <f>IF($AG1280="","",INDEX('TMP Paste'!$B$2:$B$1601,$AG1280))</f>
        <v/>
      </c>
      <c r="B1280">
        <f>IF($AG1280="","",Config!$B$14)</f>
        <v/>
      </c>
      <c r="C1280">
        <f>IF($AG1280="","",Config!$B$15)</f>
        <v/>
      </c>
      <c r="D1280">
        <f>IF($AG1280="","",INDEX('TMP Paste'!$B$2:$B$1601,$AG1280))</f>
        <v/>
      </c>
      <c r="E1280">
        <f>IF($AG1280="","",Config!$B$27)</f>
        <v/>
      </c>
      <c r="F1280">
        <f>IF($AG1280="","",Config!$B$9)</f>
        <v/>
      </c>
      <c r="G1280">
        <f>IF($AG1280="","",Config!$B$10)</f>
        <v/>
      </c>
      <c r="H1280">
        <f>IF($AG1280="","",Config!$B$11)</f>
        <v/>
      </c>
      <c r="I1280">
        <f>IF($AG1280="","",Config!$B$16)</f>
        <v/>
      </c>
      <c r="J1280">
        <f>IF($AG1280="","",INDEX('TMP Paste'!$A$2:$A$1601,$AG1280))</f>
        <v/>
      </c>
      <c r="K1280">
        <f>IF($AG1280="","",INDEX('TMP Paste'!$L$2:$L$1601,$AG1280))</f>
        <v/>
      </c>
      <c r="L1280">
        <f>IF($AG1280="","",INDEX('TMP Paste'!$I$2:$I$1601,$AG1280))</f>
        <v/>
      </c>
      <c r="M1280">
        <f>IF($AG1280="","",Config!$B$16)</f>
        <v/>
      </c>
      <c r="N1280">
        <f>IF($AG1280="","","")</f>
        <v/>
      </c>
      <c r="O1280">
        <f>IF($AG1280="","",INDEX('TMP Paste'!$K$2:$K$1601,$AG1280))</f>
        <v/>
      </c>
      <c r="P1280">
        <f>IF($AG1280="","","")</f>
        <v/>
      </c>
      <c r="Q1280">
        <f>IF($AG1280="","",INDEX('TMP Paste'!$J$2:$J$1601,$AG1280))</f>
        <v/>
      </c>
      <c r="R1280">
        <f>IF($AG1280="","",Config!$B$24)</f>
        <v/>
      </c>
      <c r="S1280">
        <f>IF($AG1280="","",TEXT(Config!$B$4,"yyyy-mm-dd"))</f>
        <v/>
      </c>
      <c r="T1280">
        <f>IF($AG1280="","",Config!$B$17)</f>
        <v/>
      </c>
      <c r="U1280">
        <f>IF($AG1280="","",Config!$B$18)</f>
        <v/>
      </c>
      <c r="V1280">
        <f>IF($AG1280="","",Config!$B$19)</f>
        <v/>
      </c>
      <c r="W1280">
        <f>IF($AG1280="","",INDEX('TMP Paste'!$C$2:$C$1601,$AG1280))</f>
        <v/>
      </c>
      <c r="X1280">
        <f>IF($AG1280="","",Config!$B$29)</f>
        <v/>
      </c>
      <c r="Y1280">
        <f>IF($AH1280="","",INDEX(Calc!$I$2:$I$1601,$AH1280)&amp;" - "&amp;INDEX(Calc!$D$2:$D$1601,$AH1280)&amp;" koli")</f>
        <v/>
      </c>
      <c r="Z1280">
        <f>IF($AG1280="","",Config!$B$21)</f>
        <v/>
      </c>
      <c r="AA1280">
        <f>IF($AG1280="","",Config!$B$22)</f>
        <v/>
      </c>
      <c r="AB1280">
        <f>IF($AH1280="","",INDEX(Calc!$D$2:$D$1601,$AH1280))</f>
        <v/>
      </c>
      <c r="AC1280">
        <f>IF($AH1280="","",INDEX(Calc!$G$2:$G$1601,$AH1280))</f>
        <v/>
      </c>
      <c r="AD1280">
        <f>IF($AG1280="","",Config!$B$23)</f>
        <v/>
      </c>
      <c r="AE1280">
        <f>IF($AG1280="","",Config!$B$28)</f>
        <v/>
      </c>
      <c r="AG1280">
        <f>IFERROR(MATCH(ROW()-1,Calc!$J$2:$J$1601,0),"")</f>
        <v/>
      </c>
      <c r="AH1280">
        <f>IFERROR(MATCH(ROW()-1,Calc!$K$2:$K$1601,0),"")</f>
        <v/>
      </c>
      <c r="AI1280">
        <f>IF($AG1280="","",SUMIF($AG$2:$AG1280,$AG1280,$AH$2:$AH1280))</f>
        <v/>
      </c>
      <c r="AJ1280">
        <f>IF('TMP Paste'!$F1280="","",IF('TMP Paste'!$B1280="",$AJ1279,'TMP Paste'!$B1280))</f>
        <v/>
      </c>
      <c r="AK1280">
        <f>IF('TMP Paste'!$F1280="","",N('TMP Paste'!$G1280))</f>
        <v/>
      </c>
      <c r="AL1280">
        <f>IF('TMP Paste'!$F1280="","",IF('TMP Paste'!$M1280="",$AL1279,'TMP Paste'!$M1280))</f>
        <v/>
      </c>
      <c r="AM1280">
        <f>IF('TMP Paste'!$F1280="","",IF('TMP Paste'!$N1280="",$AM1279,'TMP Paste'!$N1280))</f>
        <v/>
      </c>
      <c r="AN1280">
        <f>IF('TMP Paste'!$F1280="","",IF('TMP Paste'!$O1280="",$AN1279,'TMP Paste'!$O1280))</f>
        <v/>
      </c>
      <c r="AO1280">
        <f>IF('TMP Paste'!$F1280="","",IF('TMP Paste'!$P1280="",$AO1279,'TMP Paste'!$P1280))</f>
        <v/>
      </c>
      <c r="AP1280">
        <f>IF($AG1280="","",LEN($R1280))</f>
        <v/>
      </c>
      <c r="AQ1280">
        <f>IF($AG1280="","",TRIM(IF(COUNTIFS(Calc!$B$2:$B$1601,ROW()-1,Calc!$C$2:$C$1601,"&lt;1")&gt;0,"Ada PO tanpa Koli - cek TMP. ","")&amp;IF(LEN($R1280)&gt;500,"R &gt; 500 karakter.","")))</f>
        <v/>
      </c>
    </row>
    <row r="1281">
      <c r="A1281">
        <f>IF($AG1281="","",INDEX('TMP Paste'!$B$2:$B$1601,$AG1281))</f>
        <v/>
      </c>
      <c r="B1281">
        <f>IF($AG1281="","",Config!$B$14)</f>
        <v/>
      </c>
      <c r="C1281">
        <f>IF($AG1281="","",Config!$B$15)</f>
        <v/>
      </c>
      <c r="D1281">
        <f>IF($AG1281="","",INDEX('TMP Paste'!$B$2:$B$1601,$AG1281))</f>
        <v/>
      </c>
      <c r="E1281">
        <f>IF($AG1281="","",Config!$B$27)</f>
        <v/>
      </c>
      <c r="F1281">
        <f>IF($AG1281="","",Config!$B$9)</f>
        <v/>
      </c>
      <c r="G1281">
        <f>IF($AG1281="","",Config!$B$10)</f>
        <v/>
      </c>
      <c r="H1281">
        <f>IF($AG1281="","",Config!$B$11)</f>
        <v/>
      </c>
      <c r="I1281">
        <f>IF($AG1281="","",Config!$B$16)</f>
        <v/>
      </c>
      <c r="J1281">
        <f>IF($AG1281="","",INDEX('TMP Paste'!$A$2:$A$1601,$AG1281))</f>
        <v/>
      </c>
      <c r="K1281">
        <f>IF($AG1281="","",INDEX('TMP Paste'!$L$2:$L$1601,$AG1281))</f>
        <v/>
      </c>
      <c r="L1281">
        <f>IF($AG1281="","",INDEX('TMP Paste'!$I$2:$I$1601,$AG1281))</f>
        <v/>
      </c>
      <c r="M1281">
        <f>IF($AG1281="","",Config!$B$16)</f>
        <v/>
      </c>
      <c r="N1281">
        <f>IF($AG1281="","","")</f>
        <v/>
      </c>
      <c r="O1281">
        <f>IF($AG1281="","",INDEX('TMP Paste'!$K$2:$K$1601,$AG1281))</f>
        <v/>
      </c>
      <c r="P1281">
        <f>IF($AG1281="","","")</f>
        <v/>
      </c>
      <c r="Q1281">
        <f>IF($AG1281="","",INDEX('TMP Paste'!$J$2:$J$1601,$AG1281))</f>
        <v/>
      </c>
      <c r="R1281">
        <f>IF($AG1281="","",Config!$B$24)</f>
        <v/>
      </c>
      <c r="S1281">
        <f>IF($AG1281="","",TEXT(Config!$B$4,"yyyy-mm-dd"))</f>
        <v/>
      </c>
      <c r="T1281">
        <f>IF($AG1281="","",Config!$B$17)</f>
        <v/>
      </c>
      <c r="U1281">
        <f>IF($AG1281="","",Config!$B$18)</f>
        <v/>
      </c>
      <c r="V1281">
        <f>IF($AG1281="","",Config!$B$19)</f>
        <v/>
      </c>
      <c r="W1281">
        <f>IF($AG1281="","",INDEX('TMP Paste'!$C$2:$C$1601,$AG1281))</f>
        <v/>
      </c>
      <c r="X1281">
        <f>IF($AG1281="","",Config!$B$29)</f>
        <v/>
      </c>
      <c r="Y1281">
        <f>IF($AH1281="","",INDEX(Calc!$I$2:$I$1601,$AH1281)&amp;" - "&amp;INDEX(Calc!$D$2:$D$1601,$AH1281)&amp;" koli")</f>
        <v/>
      </c>
      <c r="Z1281">
        <f>IF($AG1281="","",Config!$B$21)</f>
        <v/>
      </c>
      <c r="AA1281">
        <f>IF($AG1281="","",Config!$B$22)</f>
        <v/>
      </c>
      <c r="AB1281">
        <f>IF($AH1281="","",INDEX(Calc!$D$2:$D$1601,$AH1281))</f>
        <v/>
      </c>
      <c r="AC1281">
        <f>IF($AH1281="","",INDEX(Calc!$G$2:$G$1601,$AH1281))</f>
        <v/>
      </c>
      <c r="AD1281">
        <f>IF($AG1281="","",Config!$B$23)</f>
        <v/>
      </c>
      <c r="AE1281">
        <f>IF($AG1281="","",Config!$B$28)</f>
        <v/>
      </c>
      <c r="AG1281">
        <f>IFERROR(MATCH(ROW()-1,Calc!$J$2:$J$1601,0),"")</f>
        <v/>
      </c>
      <c r="AH1281">
        <f>IFERROR(MATCH(ROW()-1,Calc!$K$2:$K$1601,0),"")</f>
        <v/>
      </c>
      <c r="AI1281">
        <f>IF($AG1281="","",SUMIF($AG$2:$AG1281,$AG1281,$AH$2:$AH1281))</f>
        <v/>
      </c>
      <c r="AJ1281">
        <f>IF('TMP Paste'!$F1281="","",IF('TMP Paste'!$B1281="",$AJ1280,'TMP Paste'!$B1281))</f>
        <v/>
      </c>
      <c r="AK1281">
        <f>IF('TMP Paste'!$F1281="","",N('TMP Paste'!$G1281))</f>
        <v/>
      </c>
      <c r="AL1281">
        <f>IF('TMP Paste'!$F1281="","",IF('TMP Paste'!$M1281="",$AL1280,'TMP Paste'!$M1281))</f>
        <v/>
      </c>
      <c r="AM1281">
        <f>IF('TMP Paste'!$F1281="","",IF('TMP Paste'!$N1281="",$AM1280,'TMP Paste'!$N1281))</f>
        <v/>
      </c>
      <c r="AN1281">
        <f>IF('TMP Paste'!$F1281="","",IF('TMP Paste'!$O1281="",$AN1280,'TMP Paste'!$O1281))</f>
        <v/>
      </c>
      <c r="AO1281">
        <f>IF('TMP Paste'!$F1281="","",IF('TMP Paste'!$P1281="",$AO1280,'TMP Paste'!$P1281))</f>
        <v/>
      </c>
      <c r="AP1281">
        <f>IF($AG1281="","",LEN($R1281))</f>
        <v/>
      </c>
      <c r="AQ1281">
        <f>IF($AG1281="","",TRIM(IF(COUNTIFS(Calc!$B$2:$B$1601,ROW()-1,Calc!$C$2:$C$1601,"&lt;1")&gt;0,"Ada PO tanpa Koli - cek TMP. ","")&amp;IF(LEN($R1281)&gt;500,"R &gt; 500 karakter.","")))</f>
        <v/>
      </c>
    </row>
    <row r="1282">
      <c r="A1282">
        <f>IF($AG1282="","",INDEX('TMP Paste'!$B$2:$B$1601,$AG1282))</f>
        <v/>
      </c>
      <c r="B1282">
        <f>IF($AG1282="","",Config!$B$14)</f>
        <v/>
      </c>
      <c r="C1282">
        <f>IF($AG1282="","",Config!$B$15)</f>
        <v/>
      </c>
      <c r="D1282">
        <f>IF($AG1282="","",INDEX('TMP Paste'!$B$2:$B$1601,$AG1282))</f>
        <v/>
      </c>
      <c r="E1282">
        <f>IF($AG1282="","",Config!$B$27)</f>
        <v/>
      </c>
      <c r="F1282">
        <f>IF($AG1282="","",Config!$B$9)</f>
        <v/>
      </c>
      <c r="G1282">
        <f>IF($AG1282="","",Config!$B$10)</f>
        <v/>
      </c>
      <c r="H1282">
        <f>IF($AG1282="","",Config!$B$11)</f>
        <v/>
      </c>
      <c r="I1282">
        <f>IF($AG1282="","",Config!$B$16)</f>
        <v/>
      </c>
      <c r="J1282">
        <f>IF($AG1282="","",INDEX('TMP Paste'!$A$2:$A$1601,$AG1282))</f>
        <v/>
      </c>
      <c r="K1282">
        <f>IF($AG1282="","",INDEX('TMP Paste'!$L$2:$L$1601,$AG1282))</f>
        <v/>
      </c>
      <c r="L1282">
        <f>IF($AG1282="","",INDEX('TMP Paste'!$I$2:$I$1601,$AG1282))</f>
        <v/>
      </c>
      <c r="M1282">
        <f>IF($AG1282="","",Config!$B$16)</f>
        <v/>
      </c>
      <c r="N1282">
        <f>IF($AG1282="","","")</f>
        <v/>
      </c>
      <c r="O1282">
        <f>IF($AG1282="","",INDEX('TMP Paste'!$K$2:$K$1601,$AG1282))</f>
        <v/>
      </c>
      <c r="P1282">
        <f>IF($AG1282="","","")</f>
        <v/>
      </c>
      <c r="Q1282">
        <f>IF($AG1282="","",INDEX('TMP Paste'!$J$2:$J$1601,$AG1282))</f>
        <v/>
      </c>
      <c r="R1282">
        <f>IF($AG1282="","",Config!$B$24)</f>
        <v/>
      </c>
      <c r="S1282">
        <f>IF($AG1282="","",TEXT(Config!$B$4,"yyyy-mm-dd"))</f>
        <v/>
      </c>
      <c r="T1282">
        <f>IF($AG1282="","",Config!$B$17)</f>
        <v/>
      </c>
      <c r="U1282">
        <f>IF($AG1282="","",Config!$B$18)</f>
        <v/>
      </c>
      <c r="V1282">
        <f>IF($AG1282="","",Config!$B$19)</f>
        <v/>
      </c>
      <c r="W1282">
        <f>IF($AG1282="","",INDEX('TMP Paste'!$C$2:$C$1601,$AG1282))</f>
        <v/>
      </c>
      <c r="X1282">
        <f>IF($AG1282="","",Config!$B$29)</f>
        <v/>
      </c>
      <c r="Y1282">
        <f>IF($AH1282="","",INDEX(Calc!$I$2:$I$1601,$AH1282)&amp;" - "&amp;INDEX(Calc!$D$2:$D$1601,$AH1282)&amp;" koli")</f>
        <v/>
      </c>
      <c r="Z1282">
        <f>IF($AG1282="","",Config!$B$21)</f>
        <v/>
      </c>
      <c r="AA1282">
        <f>IF($AG1282="","",Config!$B$22)</f>
        <v/>
      </c>
      <c r="AB1282">
        <f>IF($AH1282="","",INDEX(Calc!$D$2:$D$1601,$AH1282))</f>
        <v/>
      </c>
      <c r="AC1282">
        <f>IF($AH1282="","",INDEX(Calc!$G$2:$G$1601,$AH1282))</f>
        <v/>
      </c>
      <c r="AD1282">
        <f>IF($AG1282="","",Config!$B$23)</f>
        <v/>
      </c>
      <c r="AE1282">
        <f>IF($AG1282="","",Config!$B$28)</f>
        <v/>
      </c>
      <c r="AG1282">
        <f>IFERROR(MATCH(ROW()-1,Calc!$J$2:$J$1601,0),"")</f>
        <v/>
      </c>
      <c r="AH1282">
        <f>IFERROR(MATCH(ROW()-1,Calc!$K$2:$K$1601,0),"")</f>
        <v/>
      </c>
      <c r="AI1282">
        <f>IF($AG1282="","",SUMIF($AG$2:$AG1282,$AG1282,$AH$2:$AH1282))</f>
        <v/>
      </c>
      <c r="AJ1282">
        <f>IF('TMP Paste'!$F1282="","",IF('TMP Paste'!$B1282="",$AJ1281,'TMP Paste'!$B1282))</f>
        <v/>
      </c>
      <c r="AK1282">
        <f>IF('TMP Paste'!$F1282="","",N('TMP Paste'!$G1282))</f>
        <v/>
      </c>
      <c r="AL1282">
        <f>IF('TMP Paste'!$F1282="","",IF('TMP Paste'!$M1282="",$AL1281,'TMP Paste'!$M1282))</f>
        <v/>
      </c>
      <c r="AM1282">
        <f>IF('TMP Paste'!$F1282="","",IF('TMP Paste'!$N1282="",$AM1281,'TMP Paste'!$N1282))</f>
        <v/>
      </c>
      <c r="AN1282">
        <f>IF('TMP Paste'!$F1282="","",IF('TMP Paste'!$O1282="",$AN1281,'TMP Paste'!$O1282))</f>
        <v/>
      </c>
      <c r="AO1282">
        <f>IF('TMP Paste'!$F1282="","",IF('TMP Paste'!$P1282="",$AO1281,'TMP Paste'!$P1282))</f>
        <v/>
      </c>
      <c r="AP1282">
        <f>IF($AG1282="","",LEN($R1282))</f>
        <v/>
      </c>
      <c r="AQ1282">
        <f>IF($AG1282="","",TRIM(IF(COUNTIFS(Calc!$B$2:$B$1601,ROW()-1,Calc!$C$2:$C$1601,"&lt;1")&gt;0,"Ada PO tanpa Koli - cek TMP. ","")&amp;IF(LEN($R1282)&gt;500,"R &gt; 500 karakter.","")))</f>
        <v/>
      </c>
    </row>
    <row r="1283">
      <c r="A1283">
        <f>IF($AG1283="","",INDEX('TMP Paste'!$B$2:$B$1601,$AG1283))</f>
        <v/>
      </c>
      <c r="B1283">
        <f>IF($AG1283="","",Config!$B$14)</f>
        <v/>
      </c>
      <c r="C1283">
        <f>IF($AG1283="","",Config!$B$15)</f>
        <v/>
      </c>
      <c r="D1283">
        <f>IF($AG1283="","",INDEX('TMP Paste'!$B$2:$B$1601,$AG1283))</f>
        <v/>
      </c>
      <c r="E1283">
        <f>IF($AG1283="","",Config!$B$27)</f>
        <v/>
      </c>
      <c r="F1283">
        <f>IF($AG1283="","",Config!$B$9)</f>
        <v/>
      </c>
      <c r="G1283">
        <f>IF($AG1283="","",Config!$B$10)</f>
        <v/>
      </c>
      <c r="H1283">
        <f>IF($AG1283="","",Config!$B$11)</f>
        <v/>
      </c>
      <c r="I1283">
        <f>IF($AG1283="","",Config!$B$16)</f>
        <v/>
      </c>
      <c r="J1283">
        <f>IF($AG1283="","",INDEX('TMP Paste'!$A$2:$A$1601,$AG1283))</f>
        <v/>
      </c>
      <c r="K1283">
        <f>IF($AG1283="","",INDEX('TMP Paste'!$L$2:$L$1601,$AG1283))</f>
        <v/>
      </c>
      <c r="L1283">
        <f>IF($AG1283="","",INDEX('TMP Paste'!$I$2:$I$1601,$AG1283))</f>
        <v/>
      </c>
      <c r="M1283">
        <f>IF($AG1283="","",Config!$B$16)</f>
        <v/>
      </c>
      <c r="N1283">
        <f>IF($AG1283="","","")</f>
        <v/>
      </c>
      <c r="O1283">
        <f>IF($AG1283="","",INDEX('TMP Paste'!$K$2:$K$1601,$AG1283))</f>
        <v/>
      </c>
      <c r="P1283">
        <f>IF($AG1283="","","")</f>
        <v/>
      </c>
      <c r="Q1283">
        <f>IF($AG1283="","",INDEX('TMP Paste'!$J$2:$J$1601,$AG1283))</f>
        <v/>
      </c>
      <c r="R1283">
        <f>IF($AG1283="","",Config!$B$24)</f>
        <v/>
      </c>
      <c r="S1283">
        <f>IF($AG1283="","",TEXT(Config!$B$4,"yyyy-mm-dd"))</f>
        <v/>
      </c>
      <c r="T1283">
        <f>IF($AG1283="","",Config!$B$17)</f>
        <v/>
      </c>
      <c r="U1283">
        <f>IF($AG1283="","",Config!$B$18)</f>
        <v/>
      </c>
      <c r="V1283">
        <f>IF($AG1283="","",Config!$B$19)</f>
        <v/>
      </c>
      <c r="W1283">
        <f>IF($AG1283="","",INDEX('TMP Paste'!$C$2:$C$1601,$AG1283))</f>
        <v/>
      </c>
      <c r="X1283">
        <f>IF($AG1283="","",Config!$B$29)</f>
        <v/>
      </c>
      <c r="Y1283">
        <f>IF($AH1283="","",INDEX(Calc!$I$2:$I$1601,$AH1283)&amp;" - "&amp;INDEX(Calc!$D$2:$D$1601,$AH1283)&amp;" koli")</f>
        <v/>
      </c>
      <c r="Z1283">
        <f>IF($AG1283="","",Config!$B$21)</f>
        <v/>
      </c>
      <c r="AA1283">
        <f>IF($AG1283="","",Config!$B$22)</f>
        <v/>
      </c>
      <c r="AB1283">
        <f>IF($AH1283="","",INDEX(Calc!$D$2:$D$1601,$AH1283))</f>
        <v/>
      </c>
      <c r="AC1283">
        <f>IF($AH1283="","",INDEX(Calc!$G$2:$G$1601,$AH1283))</f>
        <v/>
      </c>
      <c r="AD1283">
        <f>IF($AG1283="","",Config!$B$23)</f>
        <v/>
      </c>
      <c r="AE1283">
        <f>IF($AG1283="","",Config!$B$28)</f>
        <v/>
      </c>
      <c r="AG1283">
        <f>IFERROR(MATCH(ROW()-1,Calc!$J$2:$J$1601,0),"")</f>
        <v/>
      </c>
      <c r="AH1283">
        <f>IFERROR(MATCH(ROW()-1,Calc!$K$2:$K$1601,0),"")</f>
        <v/>
      </c>
      <c r="AI1283">
        <f>IF($AG1283="","",SUMIF($AG$2:$AG1283,$AG1283,$AH$2:$AH1283))</f>
        <v/>
      </c>
      <c r="AJ1283">
        <f>IF('TMP Paste'!$F1283="","",IF('TMP Paste'!$B1283="",$AJ1282,'TMP Paste'!$B1283))</f>
        <v/>
      </c>
      <c r="AK1283">
        <f>IF('TMP Paste'!$F1283="","",N('TMP Paste'!$G1283))</f>
        <v/>
      </c>
      <c r="AL1283">
        <f>IF('TMP Paste'!$F1283="","",IF('TMP Paste'!$M1283="",$AL1282,'TMP Paste'!$M1283))</f>
        <v/>
      </c>
      <c r="AM1283">
        <f>IF('TMP Paste'!$F1283="","",IF('TMP Paste'!$N1283="",$AM1282,'TMP Paste'!$N1283))</f>
        <v/>
      </c>
      <c r="AN1283">
        <f>IF('TMP Paste'!$F1283="","",IF('TMP Paste'!$O1283="",$AN1282,'TMP Paste'!$O1283))</f>
        <v/>
      </c>
      <c r="AO1283">
        <f>IF('TMP Paste'!$F1283="","",IF('TMP Paste'!$P1283="",$AO1282,'TMP Paste'!$P1283))</f>
        <v/>
      </c>
      <c r="AP1283">
        <f>IF($AG1283="","",LEN($R1283))</f>
        <v/>
      </c>
      <c r="AQ1283">
        <f>IF($AG1283="","",TRIM(IF(COUNTIFS(Calc!$B$2:$B$1601,ROW()-1,Calc!$C$2:$C$1601,"&lt;1")&gt;0,"Ada PO tanpa Koli - cek TMP. ","")&amp;IF(LEN($R1283)&gt;500,"R &gt; 500 karakter.","")))</f>
        <v/>
      </c>
    </row>
    <row r="1284">
      <c r="A1284">
        <f>IF($AG1284="","",INDEX('TMP Paste'!$B$2:$B$1601,$AG1284))</f>
        <v/>
      </c>
      <c r="B1284">
        <f>IF($AG1284="","",Config!$B$14)</f>
        <v/>
      </c>
      <c r="C1284">
        <f>IF($AG1284="","",Config!$B$15)</f>
        <v/>
      </c>
      <c r="D1284">
        <f>IF($AG1284="","",INDEX('TMP Paste'!$B$2:$B$1601,$AG1284))</f>
        <v/>
      </c>
      <c r="E1284">
        <f>IF($AG1284="","",Config!$B$27)</f>
        <v/>
      </c>
      <c r="F1284">
        <f>IF($AG1284="","",Config!$B$9)</f>
        <v/>
      </c>
      <c r="G1284">
        <f>IF($AG1284="","",Config!$B$10)</f>
        <v/>
      </c>
      <c r="H1284">
        <f>IF($AG1284="","",Config!$B$11)</f>
        <v/>
      </c>
      <c r="I1284">
        <f>IF($AG1284="","",Config!$B$16)</f>
        <v/>
      </c>
      <c r="J1284">
        <f>IF($AG1284="","",INDEX('TMP Paste'!$A$2:$A$1601,$AG1284))</f>
        <v/>
      </c>
      <c r="K1284">
        <f>IF($AG1284="","",INDEX('TMP Paste'!$L$2:$L$1601,$AG1284))</f>
        <v/>
      </c>
      <c r="L1284">
        <f>IF($AG1284="","",INDEX('TMP Paste'!$I$2:$I$1601,$AG1284))</f>
        <v/>
      </c>
      <c r="M1284">
        <f>IF($AG1284="","",Config!$B$16)</f>
        <v/>
      </c>
      <c r="N1284">
        <f>IF($AG1284="","","")</f>
        <v/>
      </c>
      <c r="O1284">
        <f>IF($AG1284="","",INDEX('TMP Paste'!$K$2:$K$1601,$AG1284))</f>
        <v/>
      </c>
      <c r="P1284">
        <f>IF($AG1284="","","")</f>
        <v/>
      </c>
      <c r="Q1284">
        <f>IF($AG1284="","",INDEX('TMP Paste'!$J$2:$J$1601,$AG1284))</f>
        <v/>
      </c>
      <c r="R1284">
        <f>IF($AG1284="","",Config!$B$24)</f>
        <v/>
      </c>
      <c r="S1284">
        <f>IF($AG1284="","",TEXT(Config!$B$4,"yyyy-mm-dd"))</f>
        <v/>
      </c>
      <c r="T1284">
        <f>IF($AG1284="","",Config!$B$17)</f>
        <v/>
      </c>
      <c r="U1284">
        <f>IF($AG1284="","",Config!$B$18)</f>
        <v/>
      </c>
      <c r="V1284">
        <f>IF($AG1284="","",Config!$B$19)</f>
        <v/>
      </c>
      <c r="W1284">
        <f>IF($AG1284="","",INDEX('TMP Paste'!$C$2:$C$1601,$AG1284))</f>
        <v/>
      </c>
      <c r="X1284">
        <f>IF($AG1284="","",Config!$B$29)</f>
        <v/>
      </c>
      <c r="Y1284">
        <f>IF($AH1284="","",INDEX(Calc!$I$2:$I$1601,$AH1284)&amp;" - "&amp;INDEX(Calc!$D$2:$D$1601,$AH1284)&amp;" koli")</f>
        <v/>
      </c>
      <c r="Z1284">
        <f>IF($AG1284="","",Config!$B$21)</f>
        <v/>
      </c>
      <c r="AA1284">
        <f>IF($AG1284="","",Config!$B$22)</f>
        <v/>
      </c>
      <c r="AB1284">
        <f>IF($AH1284="","",INDEX(Calc!$D$2:$D$1601,$AH1284))</f>
        <v/>
      </c>
      <c r="AC1284">
        <f>IF($AH1284="","",INDEX(Calc!$G$2:$G$1601,$AH1284))</f>
        <v/>
      </c>
      <c r="AD1284">
        <f>IF($AG1284="","",Config!$B$23)</f>
        <v/>
      </c>
      <c r="AE1284">
        <f>IF($AG1284="","",Config!$B$28)</f>
        <v/>
      </c>
      <c r="AG1284">
        <f>IFERROR(MATCH(ROW()-1,Calc!$J$2:$J$1601,0),"")</f>
        <v/>
      </c>
      <c r="AH1284">
        <f>IFERROR(MATCH(ROW()-1,Calc!$K$2:$K$1601,0),"")</f>
        <v/>
      </c>
      <c r="AI1284">
        <f>IF($AG1284="","",SUMIF($AG$2:$AG1284,$AG1284,$AH$2:$AH1284))</f>
        <v/>
      </c>
      <c r="AJ1284">
        <f>IF('TMP Paste'!$F1284="","",IF('TMP Paste'!$B1284="",$AJ1283,'TMP Paste'!$B1284))</f>
        <v/>
      </c>
      <c r="AK1284">
        <f>IF('TMP Paste'!$F1284="","",N('TMP Paste'!$G1284))</f>
        <v/>
      </c>
      <c r="AL1284">
        <f>IF('TMP Paste'!$F1284="","",IF('TMP Paste'!$M1284="",$AL1283,'TMP Paste'!$M1284))</f>
        <v/>
      </c>
      <c r="AM1284">
        <f>IF('TMP Paste'!$F1284="","",IF('TMP Paste'!$N1284="",$AM1283,'TMP Paste'!$N1284))</f>
        <v/>
      </c>
      <c r="AN1284">
        <f>IF('TMP Paste'!$F1284="","",IF('TMP Paste'!$O1284="",$AN1283,'TMP Paste'!$O1284))</f>
        <v/>
      </c>
      <c r="AO1284">
        <f>IF('TMP Paste'!$F1284="","",IF('TMP Paste'!$P1284="",$AO1283,'TMP Paste'!$P1284))</f>
        <v/>
      </c>
      <c r="AP1284">
        <f>IF($AG1284="","",LEN($R1284))</f>
        <v/>
      </c>
      <c r="AQ1284">
        <f>IF($AG1284="","",TRIM(IF(COUNTIFS(Calc!$B$2:$B$1601,ROW()-1,Calc!$C$2:$C$1601,"&lt;1")&gt;0,"Ada PO tanpa Koli - cek TMP. ","")&amp;IF(LEN($R1284)&gt;500,"R &gt; 500 karakter.","")))</f>
        <v/>
      </c>
    </row>
    <row r="1285">
      <c r="A1285">
        <f>IF($AG1285="","",INDEX('TMP Paste'!$B$2:$B$1601,$AG1285))</f>
        <v/>
      </c>
      <c r="B1285">
        <f>IF($AG1285="","",Config!$B$14)</f>
        <v/>
      </c>
      <c r="C1285">
        <f>IF($AG1285="","",Config!$B$15)</f>
        <v/>
      </c>
      <c r="D1285">
        <f>IF($AG1285="","",INDEX('TMP Paste'!$B$2:$B$1601,$AG1285))</f>
        <v/>
      </c>
      <c r="E1285">
        <f>IF($AG1285="","",Config!$B$27)</f>
        <v/>
      </c>
      <c r="F1285">
        <f>IF($AG1285="","",Config!$B$9)</f>
        <v/>
      </c>
      <c r="G1285">
        <f>IF($AG1285="","",Config!$B$10)</f>
        <v/>
      </c>
      <c r="H1285">
        <f>IF($AG1285="","",Config!$B$11)</f>
        <v/>
      </c>
      <c r="I1285">
        <f>IF($AG1285="","",Config!$B$16)</f>
        <v/>
      </c>
      <c r="J1285">
        <f>IF($AG1285="","",INDEX('TMP Paste'!$A$2:$A$1601,$AG1285))</f>
        <v/>
      </c>
      <c r="K1285">
        <f>IF($AG1285="","",INDEX('TMP Paste'!$L$2:$L$1601,$AG1285))</f>
        <v/>
      </c>
      <c r="L1285">
        <f>IF($AG1285="","",INDEX('TMP Paste'!$I$2:$I$1601,$AG1285))</f>
        <v/>
      </c>
      <c r="M1285">
        <f>IF($AG1285="","",Config!$B$16)</f>
        <v/>
      </c>
      <c r="N1285">
        <f>IF($AG1285="","","")</f>
        <v/>
      </c>
      <c r="O1285">
        <f>IF($AG1285="","",INDEX('TMP Paste'!$K$2:$K$1601,$AG1285))</f>
        <v/>
      </c>
      <c r="P1285">
        <f>IF($AG1285="","","")</f>
        <v/>
      </c>
      <c r="Q1285">
        <f>IF($AG1285="","",INDEX('TMP Paste'!$J$2:$J$1601,$AG1285))</f>
        <v/>
      </c>
      <c r="R1285">
        <f>IF($AG1285="","",Config!$B$24)</f>
        <v/>
      </c>
      <c r="S1285">
        <f>IF($AG1285="","",TEXT(Config!$B$4,"yyyy-mm-dd"))</f>
        <v/>
      </c>
      <c r="T1285">
        <f>IF($AG1285="","",Config!$B$17)</f>
        <v/>
      </c>
      <c r="U1285">
        <f>IF($AG1285="","",Config!$B$18)</f>
        <v/>
      </c>
      <c r="V1285">
        <f>IF($AG1285="","",Config!$B$19)</f>
        <v/>
      </c>
      <c r="W1285">
        <f>IF($AG1285="","",INDEX('TMP Paste'!$C$2:$C$1601,$AG1285))</f>
        <v/>
      </c>
      <c r="X1285">
        <f>IF($AG1285="","",Config!$B$29)</f>
        <v/>
      </c>
      <c r="Y1285">
        <f>IF($AH1285="","",INDEX(Calc!$I$2:$I$1601,$AH1285)&amp;" - "&amp;INDEX(Calc!$D$2:$D$1601,$AH1285)&amp;" koli")</f>
        <v/>
      </c>
      <c r="Z1285">
        <f>IF($AG1285="","",Config!$B$21)</f>
        <v/>
      </c>
      <c r="AA1285">
        <f>IF($AG1285="","",Config!$B$22)</f>
        <v/>
      </c>
      <c r="AB1285">
        <f>IF($AH1285="","",INDEX(Calc!$D$2:$D$1601,$AH1285))</f>
        <v/>
      </c>
      <c r="AC1285">
        <f>IF($AH1285="","",INDEX(Calc!$G$2:$G$1601,$AH1285))</f>
        <v/>
      </c>
      <c r="AD1285">
        <f>IF($AG1285="","",Config!$B$23)</f>
        <v/>
      </c>
      <c r="AE1285">
        <f>IF($AG1285="","",Config!$B$28)</f>
        <v/>
      </c>
      <c r="AG1285">
        <f>IFERROR(MATCH(ROW()-1,Calc!$J$2:$J$1601,0),"")</f>
        <v/>
      </c>
      <c r="AH1285">
        <f>IFERROR(MATCH(ROW()-1,Calc!$K$2:$K$1601,0),"")</f>
        <v/>
      </c>
      <c r="AI1285">
        <f>IF($AG1285="","",SUMIF($AG$2:$AG1285,$AG1285,$AH$2:$AH1285))</f>
        <v/>
      </c>
      <c r="AJ1285">
        <f>IF('TMP Paste'!$F1285="","",IF('TMP Paste'!$B1285="",$AJ1284,'TMP Paste'!$B1285))</f>
        <v/>
      </c>
      <c r="AK1285">
        <f>IF('TMP Paste'!$F1285="","",N('TMP Paste'!$G1285))</f>
        <v/>
      </c>
      <c r="AL1285">
        <f>IF('TMP Paste'!$F1285="","",IF('TMP Paste'!$M1285="",$AL1284,'TMP Paste'!$M1285))</f>
        <v/>
      </c>
      <c r="AM1285">
        <f>IF('TMP Paste'!$F1285="","",IF('TMP Paste'!$N1285="",$AM1284,'TMP Paste'!$N1285))</f>
        <v/>
      </c>
      <c r="AN1285">
        <f>IF('TMP Paste'!$F1285="","",IF('TMP Paste'!$O1285="",$AN1284,'TMP Paste'!$O1285))</f>
        <v/>
      </c>
      <c r="AO1285">
        <f>IF('TMP Paste'!$F1285="","",IF('TMP Paste'!$P1285="",$AO1284,'TMP Paste'!$P1285))</f>
        <v/>
      </c>
      <c r="AP1285">
        <f>IF($AG1285="","",LEN($R1285))</f>
        <v/>
      </c>
      <c r="AQ1285">
        <f>IF($AG1285="","",TRIM(IF(COUNTIFS(Calc!$B$2:$B$1601,ROW()-1,Calc!$C$2:$C$1601,"&lt;1")&gt;0,"Ada PO tanpa Koli - cek TMP. ","")&amp;IF(LEN($R1285)&gt;500,"R &gt; 500 karakter.","")))</f>
        <v/>
      </c>
    </row>
    <row r="1286">
      <c r="A1286">
        <f>IF($AG1286="","",INDEX('TMP Paste'!$B$2:$B$1601,$AG1286))</f>
        <v/>
      </c>
      <c r="B1286">
        <f>IF($AG1286="","",Config!$B$14)</f>
        <v/>
      </c>
      <c r="C1286">
        <f>IF($AG1286="","",Config!$B$15)</f>
        <v/>
      </c>
      <c r="D1286">
        <f>IF($AG1286="","",INDEX('TMP Paste'!$B$2:$B$1601,$AG1286))</f>
        <v/>
      </c>
      <c r="E1286">
        <f>IF($AG1286="","",Config!$B$27)</f>
        <v/>
      </c>
      <c r="F1286">
        <f>IF($AG1286="","",Config!$B$9)</f>
        <v/>
      </c>
      <c r="G1286">
        <f>IF($AG1286="","",Config!$B$10)</f>
        <v/>
      </c>
      <c r="H1286">
        <f>IF($AG1286="","",Config!$B$11)</f>
        <v/>
      </c>
      <c r="I1286">
        <f>IF($AG1286="","",Config!$B$16)</f>
        <v/>
      </c>
      <c r="J1286">
        <f>IF($AG1286="","",INDEX('TMP Paste'!$A$2:$A$1601,$AG1286))</f>
        <v/>
      </c>
      <c r="K1286">
        <f>IF($AG1286="","",INDEX('TMP Paste'!$L$2:$L$1601,$AG1286))</f>
        <v/>
      </c>
      <c r="L1286">
        <f>IF($AG1286="","",INDEX('TMP Paste'!$I$2:$I$1601,$AG1286))</f>
        <v/>
      </c>
      <c r="M1286">
        <f>IF($AG1286="","",Config!$B$16)</f>
        <v/>
      </c>
      <c r="N1286">
        <f>IF($AG1286="","","")</f>
        <v/>
      </c>
      <c r="O1286">
        <f>IF($AG1286="","",INDEX('TMP Paste'!$K$2:$K$1601,$AG1286))</f>
        <v/>
      </c>
      <c r="P1286">
        <f>IF($AG1286="","","")</f>
        <v/>
      </c>
      <c r="Q1286">
        <f>IF($AG1286="","",INDEX('TMP Paste'!$J$2:$J$1601,$AG1286))</f>
        <v/>
      </c>
      <c r="R1286">
        <f>IF($AG1286="","",Config!$B$24)</f>
        <v/>
      </c>
      <c r="S1286">
        <f>IF($AG1286="","",TEXT(Config!$B$4,"yyyy-mm-dd"))</f>
        <v/>
      </c>
      <c r="T1286">
        <f>IF($AG1286="","",Config!$B$17)</f>
        <v/>
      </c>
      <c r="U1286">
        <f>IF($AG1286="","",Config!$B$18)</f>
        <v/>
      </c>
      <c r="V1286">
        <f>IF($AG1286="","",Config!$B$19)</f>
        <v/>
      </c>
      <c r="W1286">
        <f>IF($AG1286="","",INDEX('TMP Paste'!$C$2:$C$1601,$AG1286))</f>
        <v/>
      </c>
      <c r="X1286">
        <f>IF($AG1286="","",Config!$B$29)</f>
        <v/>
      </c>
      <c r="Y1286">
        <f>IF($AH1286="","",INDEX(Calc!$I$2:$I$1601,$AH1286)&amp;" - "&amp;INDEX(Calc!$D$2:$D$1601,$AH1286)&amp;" koli")</f>
        <v/>
      </c>
      <c r="Z1286">
        <f>IF($AG1286="","",Config!$B$21)</f>
        <v/>
      </c>
      <c r="AA1286">
        <f>IF($AG1286="","",Config!$B$22)</f>
        <v/>
      </c>
      <c r="AB1286">
        <f>IF($AH1286="","",INDEX(Calc!$D$2:$D$1601,$AH1286))</f>
        <v/>
      </c>
      <c r="AC1286">
        <f>IF($AH1286="","",INDEX(Calc!$G$2:$G$1601,$AH1286))</f>
        <v/>
      </c>
      <c r="AD1286">
        <f>IF($AG1286="","",Config!$B$23)</f>
        <v/>
      </c>
      <c r="AE1286">
        <f>IF($AG1286="","",Config!$B$28)</f>
        <v/>
      </c>
      <c r="AG1286">
        <f>IFERROR(MATCH(ROW()-1,Calc!$J$2:$J$1601,0),"")</f>
        <v/>
      </c>
      <c r="AH1286">
        <f>IFERROR(MATCH(ROW()-1,Calc!$K$2:$K$1601,0),"")</f>
        <v/>
      </c>
      <c r="AI1286">
        <f>IF($AG1286="","",SUMIF($AG$2:$AG1286,$AG1286,$AH$2:$AH1286))</f>
        <v/>
      </c>
      <c r="AJ1286">
        <f>IF('TMP Paste'!$F1286="","",IF('TMP Paste'!$B1286="",$AJ1285,'TMP Paste'!$B1286))</f>
        <v/>
      </c>
      <c r="AK1286">
        <f>IF('TMP Paste'!$F1286="","",N('TMP Paste'!$G1286))</f>
        <v/>
      </c>
      <c r="AL1286">
        <f>IF('TMP Paste'!$F1286="","",IF('TMP Paste'!$M1286="",$AL1285,'TMP Paste'!$M1286))</f>
        <v/>
      </c>
      <c r="AM1286">
        <f>IF('TMP Paste'!$F1286="","",IF('TMP Paste'!$N1286="",$AM1285,'TMP Paste'!$N1286))</f>
        <v/>
      </c>
      <c r="AN1286">
        <f>IF('TMP Paste'!$F1286="","",IF('TMP Paste'!$O1286="",$AN1285,'TMP Paste'!$O1286))</f>
        <v/>
      </c>
      <c r="AO1286">
        <f>IF('TMP Paste'!$F1286="","",IF('TMP Paste'!$P1286="",$AO1285,'TMP Paste'!$P1286))</f>
        <v/>
      </c>
      <c r="AP1286">
        <f>IF($AG1286="","",LEN($R1286))</f>
        <v/>
      </c>
      <c r="AQ1286">
        <f>IF($AG1286="","",TRIM(IF(COUNTIFS(Calc!$B$2:$B$1601,ROW()-1,Calc!$C$2:$C$1601,"&lt;1")&gt;0,"Ada PO tanpa Koli - cek TMP. ","")&amp;IF(LEN($R1286)&gt;500,"R &gt; 500 karakter.","")))</f>
        <v/>
      </c>
    </row>
    <row r="1287">
      <c r="A1287">
        <f>IF($AG1287="","",INDEX('TMP Paste'!$B$2:$B$1601,$AG1287))</f>
        <v/>
      </c>
      <c r="B1287">
        <f>IF($AG1287="","",Config!$B$14)</f>
        <v/>
      </c>
      <c r="C1287">
        <f>IF($AG1287="","",Config!$B$15)</f>
        <v/>
      </c>
      <c r="D1287">
        <f>IF($AG1287="","",INDEX('TMP Paste'!$B$2:$B$1601,$AG1287))</f>
        <v/>
      </c>
      <c r="E1287">
        <f>IF($AG1287="","",Config!$B$27)</f>
        <v/>
      </c>
      <c r="F1287">
        <f>IF($AG1287="","",Config!$B$9)</f>
        <v/>
      </c>
      <c r="G1287">
        <f>IF($AG1287="","",Config!$B$10)</f>
        <v/>
      </c>
      <c r="H1287">
        <f>IF($AG1287="","",Config!$B$11)</f>
        <v/>
      </c>
      <c r="I1287">
        <f>IF($AG1287="","",Config!$B$16)</f>
        <v/>
      </c>
      <c r="J1287">
        <f>IF($AG1287="","",INDEX('TMP Paste'!$A$2:$A$1601,$AG1287))</f>
        <v/>
      </c>
      <c r="K1287">
        <f>IF($AG1287="","",INDEX('TMP Paste'!$L$2:$L$1601,$AG1287))</f>
        <v/>
      </c>
      <c r="L1287">
        <f>IF($AG1287="","",INDEX('TMP Paste'!$I$2:$I$1601,$AG1287))</f>
        <v/>
      </c>
      <c r="M1287">
        <f>IF($AG1287="","",Config!$B$16)</f>
        <v/>
      </c>
      <c r="N1287">
        <f>IF($AG1287="","","")</f>
        <v/>
      </c>
      <c r="O1287">
        <f>IF($AG1287="","",INDEX('TMP Paste'!$K$2:$K$1601,$AG1287))</f>
        <v/>
      </c>
      <c r="P1287">
        <f>IF($AG1287="","","")</f>
        <v/>
      </c>
      <c r="Q1287">
        <f>IF($AG1287="","",INDEX('TMP Paste'!$J$2:$J$1601,$AG1287))</f>
        <v/>
      </c>
      <c r="R1287">
        <f>IF($AG1287="","",Config!$B$24)</f>
        <v/>
      </c>
      <c r="S1287">
        <f>IF($AG1287="","",TEXT(Config!$B$4,"yyyy-mm-dd"))</f>
        <v/>
      </c>
      <c r="T1287">
        <f>IF($AG1287="","",Config!$B$17)</f>
        <v/>
      </c>
      <c r="U1287">
        <f>IF($AG1287="","",Config!$B$18)</f>
        <v/>
      </c>
      <c r="V1287">
        <f>IF($AG1287="","",Config!$B$19)</f>
        <v/>
      </c>
      <c r="W1287">
        <f>IF($AG1287="","",INDEX('TMP Paste'!$C$2:$C$1601,$AG1287))</f>
        <v/>
      </c>
      <c r="X1287">
        <f>IF($AG1287="","",Config!$B$29)</f>
        <v/>
      </c>
      <c r="Y1287">
        <f>IF($AH1287="","",INDEX(Calc!$I$2:$I$1601,$AH1287)&amp;" - "&amp;INDEX(Calc!$D$2:$D$1601,$AH1287)&amp;" koli")</f>
        <v/>
      </c>
      <c r="Z1287">
        <f>IF($AG1287="","",Config!$B$21)</f>
        <v/>
      </c>
      <c r="AA1287">
        <f>IF($AG1287="","",Config!$B$22)</f>
        <v/>
      </c>
      <c r="AB1287">
        <f>IF($AH1287="","",INDEX(Calc!$D$2:$D$1601,$AH1287))</f>
        <v/>
      </c>
      <c r="AC1287">
        <f>IF($AH1287="","",INDEX(Calc!$G$2:$G$1601,$AH1287))</f>
        <v/>
      </c>
      <c r="AD1287">
        <f>IF($AG1287="","",Config!$B$23)</f>
        <v/>
      </c>
      <c r="AE1287">
        <f>IF($AG1287="","",Config!$B$28)</f>
        <v/>
      </c>
      <c r="AG1287">
        <f>IFERROR(MATCH(ROW()-1,Calc!$J$2:$J$1601,0),"")</f>
        <v/>
      </c>
      <c r="AH1287">
        <f>IFERROR(MATCH(ROW()-1,Calc!$K$2:$K$1601,0),"")</f>
        <v/>
      </c>
      <c r="AI1287">
        <f>IF($AG1287="","",SUMIF($AG$2:$AG1287,$AG1287,$AH$2:$AH1287))</f>
        <v/>
      </c>
      <c r="AJ1287">
        <f>IF('TMP Paste'!$F1287="","",IF('TMP Paste'!$B1287="",$AJ1286,'TMP Paste'!$B1287))</f>
        <v/>
      </c>
      <c r="AK1287">
        <f>IF('TMP Paste'!$F1287="","",N('TMP Paste'!$G1287))</f>
        <v/>
      </c>
      <c r="AL1287">
        <f>IF('TMP Paste'!$F1287="","",IF('TMP Paste'!$M1287="",$AL1286,'TMP Paste'!$M1287))</f>
        <v/>
      </c>
      <c r="AM1287">
        <f>IF('TMP Paste'!$F1287="","",IF('TMP Paste'!$N1287="",$AM1286,'TMP Paste'!$N1287))</f>
        <v/>
      </c>
      <c r="AN1287">
        <f>IF('TMP Paste'!$F1287="","",IF('TMP Paste'!$O1287="",$AN1286,'TMP Paste'!$O1287))</f>
        <v/>
      </c>
      <c r="AO1287">
        <f>IF('TMP Paste'!$F1287="","",IF('TMP Paste'!$P1287="",$AO1286,'TMP Paste'!$P1287))</f>
        <v/>
      </c>
      <c r="AP1287">
        <f>IF($AG1287="","",LEN($R1287))</f>
        <v/>
      </c>
      <c r="AQ1287">
        <f>IF($AG1287="","",TRIM(IF(COUNTIFS(Calc!$B$2:$B$1601,ROW()-1,Calc!$C$2:$C$1601,"&lt;1")&gt;0,"Ada PO tanpa Koli - cek TMP. ","")&amp;IF(LEN($R1287)&gt;500,"R &gt; 500 karakter.","")))</f>
        <v/>
      </c>
    </row>
    <row r="1288">
      <c r="A1288">
        <f>IF($AG1288="","",INDEX('TMP Paste'!$B$2:$B$1601,$AG1288))</f>
        <v/>
      </c>
      <c r="B1288">
        <f>IF($AG1288="","",Config!$B$14)</f>
        <v/>
      </c>
      <c r="C1288">
        <f>IF($AG1288="","",Config!$B$15)</f>
        <v/>
      </c>
      <c r="D1288">
        <f>IF($AG1288="","",INDEX('TMP Paste'!$B$2:$B$1601,$AG1288))</f>
        <v/>
      </c>
      <c r="E1288">
        <f>IF($AG1288="","",Config!$B$27)</f>
        <v/>
      </c>
      <c r="F1288">
        <f>IF($AG1288="","",Config!$B$9)</f>
        <v/>
      </c>
      <c r="G1288">
        <f>IF($AG1288="","",Config!$B$10)</f>
        <v/>
      </c>
      <c r="H1288">
        <f>IF($AG1288="","",Config!$B$11)</f>
        <v/>
      </c>
      <c r="I1288">
        <f>IF($AG1288="","",Config!$B$16)</f>
        <v/>
      </c>
      <c r="J1288">
        <f>IF($AG1288="","",INDEX('TMP Paste'!$A$2:$A$1601,$AG1288))</f>
        <v/>
      </c>
      <c r="K1288">
        <f>IF($AG1288="","",INDEX('TMP Paste'!$L$2:$L$1601,$AG1288))</f>
        <v/>
      </c>
      <c r="L1288">
        <f>IF($AG1288="","",INDEX('TMP Paste'!$I$2:$I$1601,$AG1288))</f>
        <v/>
      </c>
      <c r="M1288">
        <f>IF($AG1288="","",Config!$B$16)</f>
        <v/>
      </c>
      <c r="N1288">
        <f>IF($AG1288="","","")</f>
        <v/>
      </c>
      <c r="O1288">
        <f>IF($AG1288="","",INDEX('TMP Paste'!$K$2:$K$1601,$AG1288))</f>
        <v/>
      </c>
      <c r="P1288">
        <f>IF($AG1288="","","")</f>
        <v/>
      </c>
      <c r="Q1288">
        <f>IF($AG1288="","",INDEX('TMP Paste'!$J$2:$J$1601,$AG1288))</f>
        <v/>
      </c>
      <c r="R1288">
        <f>IF($AG1288="","",Config!$B$24)</f>
        <v/>
      </c>
      <c r="S1288">
        <f>IF($AG1288="","",TEXT(Config!$B$4,"yyyy-mm-dd"))</f>
        <v/>
      </c>
      <c r="T1288">
        <f>IF($AG1288="","",Config!$B$17)</f>
        <v/>
      </c>
      <c r="U1288">
        <f>IF($AG1288="","",Config!$B$18)</f>
        <v/>
      </c>
      <c r="V1288">
        <f>IF($AG1288="","",Config!$B$19)</f>
        <v/>
      </c>
      <c r="W1288">
        <f>IF($AG1288="","",INDEX('TMP Paste'!$C$2:$C$1601,$AG1288))</f>
        <v/>
      </c>
      <c r="X1288">
        <f>IF($AG1288="","",Config!$B$29)</f>
        <v/>
      </c>
      <c r="Y1288">
        <f>IF($AH1288="","",INDEX(Calc!$I$2:$I$1601,$AH1288)&amp;" - "&amp;INDEX(Calc!$D$2:$D$1601,$AH1288)&amp;" koli")</f>
        <v/>
      </c>
      <c r="Z1288">
        <f>IF($AG1288="","",Config!$B$21)</f>
        <v/>
      </c>
      <c r="AA1288">
        <f>IF($AG1288="","",Config!$B$22)</f>
        <v/>
      </c>
      <c r="AB1288">
        <f>IF($AH1288="","",INDEX(Calc!$D$2:$D$1601,$AH1288))</f>
        <v/>
      </c>
      <c r="AC1288">
        <f>IF($AH1288="","",INDEX(Calc!$G$2:$G$1601,$AH1288))</f>
        <v/>
      </c>
      <c r="AD1288">
        <f>IF($AG1288="","",Config!$B$23)</f>
        <v/>
      </c>
      <c r="AE1288">
        <f>IF($AG1288="","",Config!$B$28)</f>
        <v/>
      </c>
      <c r="AG1288">
        <f>IFERROR(MATCH(ROW()-1,Calc!$J$2:$J$1601,0),"")</f>
        <v/>
      </c>
      <c r="AH1288">
        <f>IFERROR(MATCH(ROW()-1,Calc!$K$2:$K$1601,0),"")</f>
        <v/>
      </c>
      <c r="AI1288">
        <f>IF($AG1288="","",SUMIF($AG$2:$AG1288,$AG1288,$AH$2:$AH1288))</f>
        <v/>
      </c>
      <c r="AJ1288">
        <f>IF('TMP Paste'!$F1288="","",IF('TMP Paste'!$B1288="",$AJ1287,'TMP Paste'!$B1288))</f>
        <v/>
      </c>
      <c r="AK1288">
        <f>IF('TMP Paste'!$F1288="","",N('TMP Paste'!$G1288))</f>
        <v/>
      </c>
      <c r="AL1288">
        <f>IF('TMP Paste'!$F1288="","",IF('TMP Paste'!$M1288="",$AL1287,'TMP Paste'!$M1288))</f>
        <v/>
      </c>
      <c r="AM1288">
        <f>IF('TMP Paste'!$F1288="","",IF('TMP Paste'!$N1288="",$AM1287,'TMP Paste'!$N1288))</f>
        <v/>
      </c>
      <c r="AN1288">
        <f>IF('TMP Paste'!$F1288="","",IF('TMP Paste'!$O1288="",$AN1287,'TMP Paste'!$O1288))</f>
        <v/>
      </c>
      <c r="AO1288">
        <f>IF('TMP Paste'!$F1288="","",IF('TMP Paste'!$P1288="",$AO1287,'TMP Paste'!$P1288))</f>
        <v/>
      </c>
      <c r="AP1288">
        <f>IF($AG1288="","",LEN($R1288))</f>
        <v/>
      </c>
      <c r="AQ1288">
        <f>IF($AG1288="","",TRIM(IF(COUNTIFS(Calc!$B$2:$B$1601,ROW()-1,Calc!$C$2:$C$1601,"&lt;1")&gt;0,"Ada PO tanpa Koli - cek TMP. ","")&amp;IF(LEN($R1288)&gt;500,"R &gt; 500 karakter.","")))</f>
        <v/>
      </c>
    </row>
    <row r="1289">
      <c r="A1289">
        <f>IF($AG1289="","",INDEX('TMP Paste'!$B$2:$B$1601,$AG1289))</f>
        <v/>
      </c>
      <c r="B1289">
        <f>IF($AG1289="","",Config!$B$14)</f>
        <v/>
      </c>
      <c r="C1289">
        <f>IF($AG1289="","",Config!$B$15)</f>
        <v/>
      </c>
      <c r="D1289">
        <f>IF($AG1289="","",INDEX('TMP Paste'!$B$2:$B$1601,$AG1289))</f>
        <v/>
      </c>
      <c r="E1289">
        <f>IF($AG1289="","",Config!$B$27)</f>
        <v/>
      </c>
      <c r="F1289">
        <f>IF($AG1289="","",Config!$B$9)</f>
        <v/>
      </c>
      <c r="G1289">
        <f>IF($AG1289="","",Config!$B$10)</f>
        <v/>
      </c>
      <c r="H1289">
        <f>IF($AG1289="","",Config!$B$11)</f>
        <v/>
      </c>
      <c r="I1289">
        <f>IF($AG1289="","",Config!$B$16)</f>
        <v/>
      </c>
      <c r="J1289">
        <f>IF($AG1289="","",INDEX('TMP Paste'!$A$2:$A$1601,$AG1289))</f>
        <v/>
      </c>
      <c r="K1289">
        <f>IF($AG1289="","",INDEX('TMP Paste'!$L$2:$L$1601,$AG1289))</f>
        <v/>
      </c>
      <c r="L1289">
        <f>IF($AG1289="","",INDEX('TMP Paste'!$I$2:$I$1601,$AG1289))</f>
        <v/>
      </c>
      <c r="M1289">
        <f>IF($AG1289="","",Config!$B$16)</f>
        <v/>
      </c>
      <c r="N1289">
        <f>IF($AG1289="","","")</f>
        <v/>
      </c>
      <c r="O1289">
        <f>IF($AG1289="","",INDEX('TMP Paste'!$K$2:$K$1601,$AG1289))</f>
        <v/>
      </c>
      <c r="P1289">
        <f>IF($AG1289="","","")</f>
        <v/>
      </c>
      <c r="Q1289">
        <f>IF($AG1289="","",INDEX('TMP Paste'!$J$2:$J$1601,$AG1289))</f>
        <v/>
      </c>
      <c r="R1289">
        <f>IF($AG1289="","",Config!$B$24)</f>
        <v/>
      </c>
      <c r="S1289">
        <f>IF($AG1289="","",TEXT(Config!$B$4,"yyyy-mm-dd"))</f>
        <v/>
      </c>
      <c r="T1289">
        <f>IF($AG1289="","",Config!$B$17)</f>
        <v/>
      </c>
      <c r="U1289">
        <f>IF($AG1289="","",Config!$B$18)</f>
        <v/>
      </c>
      <c r="V1289">
        <f>IF($AG1289="","",Config!$B$19)</f>
        <v/>
      </c>
      <c r="W1289">
        <f>IF($AG1289="","",INDEX('TMP Paste'!$C$2:$C$1601,$AG1289))</f>
        <v/>
      </c>
      <c r="X1289">
        <f>IF($AG1289="","",Config!$B$29)</f>
        <v/>
      </c>
      <c r="Y1289">
        <f>IF($AH1289="","",INDEX(Calc!$I$2:$I$1601,$AH1289)&amp;" - "&amp;INDEX(Calc!$D$2:$D$1601,$AH1289)&amp;" koli")</f>
        <v/>
      </c>
      <c r="Z1289">
        <f>IF($AG1289="","",Config!$B$21)</f>
        <v/>
      </c>
      <c r="AA1289">
        <f>IF($AG1289="","",Config!$B$22)</f>
        <v/>
      </c>
      <c r="AB1289">
        <f>IF($AH1289="","",INDEX(Calc!$D$2:$D$1601,$AH1289))</f>
        <v/>
      </c>
      <c r="AC1289">
        <f>IF($AH1289="","",INDEX(Calc!$G$2:$G$1601,$AH1289))</f>
        <v/>
      </c>
      <c r="AD1289">
        <f>IF($AG1289="","",Config!$B$23)</f>
        <v/>
      </c>
      <c r="AE1289">
        <f>IF($AG1289="","",Config!$B$28)</f>
        <v/>
      </c>
      <c r="AG1289">
        <f>IFERROR(MATCH(ROW()-1,Calc!$J$2:$J$1601,0),"")</f>
        <v/>
      </c>
      <c r="AH1289">
        <f>IFERROR(MATCH(ROW()-1,Calc!$K$2:$K$1601,0),"")</f>
        <v/>
      </c>
      <c r="AI1289">
        <f>IF($AG1289="","",SUMIF($AG$2:$AG1289,$AG1289,$AH$2:$AH1289))</f>
        <v/>
      </c>
      <c r="AJ1289">
        <f>IF('TMP Paste'!$F1289="","",IF('TMP Paste'!$B1289="",$AJ1288,'TMP Paste'!$B1289))</f>
        <v/>
      </c>
      <c r="AK1289">
        <f>IF('TMP Paste'!$F1289="","",N('TMP Paste'!$G1289))</f>
        <v/>
      </c>
      <c r="AL1289">
        <f>IF('TMP Paste'!$F1289="","",IF('TMP Paste'!$M1289="",$AL1288,'TMP Paste'!$M1289))</f>
        <v/>
      </c>
      <c r="AM1289">
        <f>IF('TMP Paste'!$F1289="","",IF('TMP Paste'!$N1289="",$AM1288,'TMP Paste'!$N1289))</f>
        <v/>
      </c>
      <c r="AN1289">
        <f>IF('TMP Paste'!$F1289="","",IF('TMP Paste'!$O1289="",$AN1288,'TMP Paste'!$O1289))</f>
        <v/>
      </c>
      <c r="AO1289">
        <f>IF('TMP Paste'!$F1289="","",IF('TMP Paste'!$P1289="",$AO1288,'TMP Paste'!$P1289))</f>
        <v/>
      </c>
      <c r="AP1289">
        <f>IF($AG1289="","",LEN($R1289))</f>
        <v/>
      </c>
      <c r="AQ1289">
        <f>IF($AG1289="","",TRIM(IF(COUNTIFS(Calc!$B$2:$B$1601,ROW()-1,Calc!$C$2:$C$1601,"&lt;1")&gt;0,"Ada PO tanpa Koli - cek TMP. ","")&amp;IF(LEN($R1289)&gt;500,"R &gt; 500 karakter.","")))</f>
        <v/>
      </c>
    </row>
    <row r="1290">
      <c r="A1290">
        <f>IF($AG1290="","",INDEX('TMP Paste'!$B$2:$B$1601,$AG1290))</f>
        <v/>
      </c>
      <c r="B1290">
        <f>IF($AG1290="","",Config!$B$14)</f>
        <v/>
      </c>
      <c r="C1290">
        <f>IF($AG1290="","",Config!$B$15)</f>
        <v/>
      </c>
      <c r="D1290">
        <f>IF($AG1290="","",INDEX('TMP Paste'!$B$2:$B$1601,$AG1290))</f>
        <v/>
      </c>
      <c r="E1290">
        <f>IF($AG1290="","",Config!$B$27)</f>
        <v/>
      </c>
      <c r="F1290">
        <f>IF($AG1290="","",Config!$B$9)</f>
        <v/>
      </c>
      <c r="G1290">
        <f>IF($AG1290="","",Config!$B$10)</f>
        <v/>
      </c>
      <c r="H1290">
        <f>IF($AG1290="","",Config!$B$11)</f>
        <v/>
      </c>
      <c r="I1290">
        <f>IF($AG1290="","",Config!$B$16)</f>
        <v/>
      </c>
      <c r="J1290">
        <f>IF($AG1290="","",INDEX('TMP Paste'!$A$2:$A$1601,$AG1290))</f>
        <v/>
      </c>
      <c r="K1290">
        <f>IF($AG1290="","",INDEX('TMP Paste'!$L$2:$L$1601,$AG1290))</f>
        <v/>
      </c>
      <c r="L1290">
        <f>IF($AG1290="","",INDEX('TMP Paste'!$I$2:$I$1601,$AG1290))</f>
        <v/>
      </c>
      <c r="M1290">
        <f>IF($AG1290="","",Config!$B$16)</f>
        <v/>
      </c>
      <c r="N1290">
        <f>IF($AG1290="","","")</f>
        <v/>
      </c>
      <c r="O1290">
        <f>IF($AG1290="","",INDEX('TMP Paste'!$K$2:$K$1601,$AG1290))</f>
        <v/>
      </c>
      <c r="P1290">
        <f>IF($AG1290="","","")</f>
        <v/>
      </c>
      <c r="Q1290">
        <f>IF($AG1290="","",INDEX('TMP Paste'!$J$2:$J$1601,$AG1290))</f>
        <v/>
      </c>
      <c r="R1290">
        <f>IF($AG1290="","",Config!$B$24)</f>
        <v/>
      </c>
      <c r="S1290">
        <f>IF($AG1290="","",TEXT(Config!$B$4,"yyyy-mm-dd"))</f>
        <v/>
      </c>
      <c r="T1290">
        <f>IF($AG1290="","",Config!$B$17)</f>
        <v/>
      </c>
      <c r="U1290">
        <f>IF($AG1290="","",Config!$B$18)</f>
        <v/>
      </c>
      <c r="V1290">
        <f>IF($AG1290="","",Config!$B$19)</f>
        <v/>
      </c>
      <c r="W1290">
        <f>IF($AG1290="","",INDEX('TMP Paste'!$C$2:$C$1601,$AG1290))</f>
        <v/>
      </c>
      <c r="X1290">
        <f>IF($AG1290="","",Config!$B$29)</f>
        <v/>
      </c>
      <c r="Y1290">
        <f>IF($AH1290="","",INDEX(Calc!$I$2:$I$1601,$AH1290)&amp;" - "&amp;INDEX(Calc!$D$2:$D$1601,$AH1290)&amp;" koli")</f>
        <v/>
      </c>
      <c r="Z1290">
        <f>IF($AG1290="","",Config!$B$21)</f>
        <v/>
      </c>
      <c r="AA1290">
        <f>IF($AG1290="","",Config!$B$22)</f>
        <v/>
      </c>
      <c r="AB1290">
        <f>IF($AH1290="","",INDEX(Calc!$D$2:$D$1601,$AH1290))</f>
        <v/>
      </c>
      <c r="AC1290">
        <f>IF($AH1290="","",INDEX(Calc!$G$2:$G$1601,$AH1290))</f>
        <v/>
      </c>
      <c r="AD1290">
        <f>IF($AG1290="","",Config!$B$23)</f>
        <v/>
      </c>
      <c r="AE1290">
        <f>IF($AG1290="","",Config!$B$28)</f>
        <v/>
      </c>
      <c r="AG1290">
        <f>IFERROR(MATCH(ROW()-1,Calc!$J$2:$J$1601,0),"")</f>
        <v/>
      </c>
      <c r="AH1290">
        <f>IFERROR(MATCH(ROW()-1,Calc!$K$2:$K$1601,0),"")</f>
        <v/>
      </c>
      <c r="AI1290">
        <f>IF($AG1290="","",SUMIF($AG$2:$AG1290,$AG1290,$AH$2:$AH1290))</f>
        <v/>
      </c>
      <c r="AJ1290">
        <f>IF('TMP Paste'!$F1290="","",IF('TMP Paste'!$B1290="",$AJ1289,'TMP Paste'!$B1290))</f>
        <v/>
      </c>
      <c r="AK1290">
        <f>IF('TMP Paste'!$F1290="","",N('TMP Paste'!$G1290))</f>
        <v/>
      </c>
      <c r="AL1290">
        <f>IF('TMP Paste'!$F1290="","",IF('TMP Paste'!$M1290="",$AL1289,'TMP Paste'!$M1290))</f>
        <v/>
      </c>
      <c r="AM1290">
        <f>IF('TMP Paste'!$F1290="","",IF('TMP Paste'!$N1290="",$AM1289,'TMP Paste'!$N1290))</f>
        <v/>
      </c>
      <c r="AN1290">
        <f>IF('TMP Paste'!$F1290="","",IF('TMP Paste'!$O1290="",$AN1289,'TMP Paste'!$O1290))</f>
        <v/>
      </c>
      <c r="AO1290">
        <f>IF('TMP Paste'!$F1290="","",IF('TMP Paste'!$P1290="",$AO1289,'TMP Paste'!$P1290))</f>
        <v/>
      </c>
      <c r="AP1290">
        <f>IF($AG1290="","",LEN($R1290))</f>
        <v/>
      </c>
      <c r="AQ1290">
        <f>IF($AG1290="","",TRIM(IF(COUNTIFS(Calc!$B$2:$B$1601,ROW()-1,Calc!$C$2:$C$1601,"&lt;1")&gt;0,"Ada PO tanpa Koli - cek TMP. ","")&amp;IF(LEN($R1290)&gt;500,"R &gt; 500 karakter.","")))</f>
        <v/>
      </c>
    </row>
    <row r="1291">
      <c r="A1291">
        <f>IF($AG1291="","",INDEX('TMP Paste'!$B$2:$B$1601,$AG1291))</f>
        <v/>
      </c>
      <c r="B1291">
        <f>IF($AG1291="","",Config!$B$14)</f>
        <v/>
      </c>
      <c r="C1291">
        <f>IF($AG1291="","",Config!$B$15)</f>
        <v/>
      </c>
      <c r="D1291">
        <f>IF($AG1291="","",INDEX('TMP Paste'!$B$2:$B$1601,$AG1291))</f>
        <v/>
      </c>
      <c r="E1291">
        <f>IF($AG1291="","",Config!$B$27)</f>
        <v/>
      </c>
      <c r="F1291">
        <f>IF($AG1291="","",Config!$B$9)</f>
        <v/>
      </c>
      <c r="G1291">
        <f>IF($AG1291="","",Config!$B$10)</f>
        <v/>
      </c>
      <c r="H1291">
        <f>IF($AG1291="","",Config!$B$11)</f>
        <v/>
      </c>
      <c r="I1291">
        <f>IF($AG1291="","",Config!$B$16)</f>
        <v/>
      </c>
      <c r="J1291">
        <f>IF($AG1291="","",INDEX('TMP Paste'!$A$2:$A$1601,$AG1291))</f>
        <v/>
      </c>
      <c r="K1291">
        <f>IF($AG1291="","",INDEX('TMP Paste'!$L$2:$L$1601,$AG1291))</f>
        <v/>
      </c>
      <c r="L1291">
        <f>IF($AG1291="","",INDEX('TMP Paste'!$I$2:$I$1601,$AG1291))</f>
        <v/>
      </c>
      <c r="M1291">
        <f>IF($AG1291="","",Config!$B$16)</f>
        <v/>
      </c>
      <c r="N1291">
        <f>IF($AG1291="","","")</f>
        <v/>
      </c>
      <c r="O1291">
        <f>IF($AG1291="","",INDEX('TMP Paste'!$K$2:$K$1601,$AG1291))</f>
        <v/>
      </c>
      <c r="P1291">
        <f>IF($AG1291="","","")</f>
        <v/>
      </c>
      <c r="Q1291">
        <f>IF($AG1291="","",INDEX('TMP Paste'!$J$2:$J$1601,$AG1291))</f>
        <v/>
      </c>
      <c r="R1291">
        <f>IF($AG1291="","",Config!$B$24)</f>
        <v/>
      </c>
      <c r="S1291">
        <f>IF($AG1291="","",TEXT(Config!$B$4,"yyyy-mm-dd"))</f>
        <v/>
      </c>
      <c r="T1291">
        <f>IF($AG1291="","",Config!$B$17)</f>
        <v/>
      </c>
      <c r="U1291">
        <f>IF($AG1291="","",Config!$B$18)</f>
        <v/>
      </c>
      <c r="V1291">
        <f>IF($AG1291="","",Config!$B$19)</f>
        <v/>
      </c>
      <c r="W1291">
        <f>IF($AG1291="","",INDEX('TMP Paste'!$C$2:$C$1601,$AG1291))</f>
        <v/>
      </c>
      <c r="X1291">
        <f>IF($AG1291="","",Config!$B$29)</f>
        <v/>
      </c>
      <c r="Y1291">
        <f>IF($AH1291="","",INDEX(Calc!$I$2:$I$1601,$AH1291)&amp;" - "&amp;INDEX(Calc!$D$2:$D$1601,$AH1291)&amp;" koli")</f>
        <v/>
      </c>
      <c r="Z1291">
        <f>IF($AG1291="","",Config!$B$21)</f>
        <v/>
      </c>
      <c r="AA1291">
        <f>IF($AG1291="","",Config!$B$22)</f>
        <v/>
      </c>
      <c r="AB1291">
        <f>IF($AH1291="","",INDEX(Calc!$D$2:$D$1601,$AH1291))</f>
        <v/>
      </c>
      <c r="AC1291">
        <f>IF($AH1291="","",INDEX(Calc!$G$2:$G$1601,$AH1291))</f>
        <v/>
      </c>
      <c r="AD1291">
        <f>IF($AG1291="","",Config!$B$23)</f>
        <v/>
      </c>
      <c r="AE1291">
        <f>IF($AG1291="","",Config!$B$28)</f>
        <v/>
      </c>
      <c r="AG1291">
        <f>IFERROR(MATCH(ROW()-1,Calc!$J$2:$J$1601,0),"")</f>
        <v/>
      </c>
      <c r="AH1291">
        <f>IFERROR(MATCH(ROW()-1,Calc!$K$2:$K$1601,0),"")</f>
        <v/>
      </c>
      <c r="AI1291">
        <f>IF($AG1291="","",SUMIF($AG$2:$AG1291,$AG1291,$AH$2:$AH1291))</f>
        <v/>
      </c>
      <c r="AJ1291">
        <f>IF('TMP Paste'!$F1291="","",IF('TMP Paste'!$B1291="",$AJ1290,'TMP Paste'!$B1291))</f>
        <v/>
      </c>
      <c r="AK1291">
        <f>IF('TMP Paste'!$F1291="","",N('TMP Paste'!$G1291))</f>
        <v/>
      </c>
      <c r="AL1291">
        <f>IF('TMP Paste'!$F1291="","",IF('TMP Paste'!$M1291="",$AL1290,'TMP Paste'!$M1291))</f>
        <v/>
      </c>
      <c r="AM1291">
        <f>IF('TMP Paste'!$F1291="","",IF('TMP Paste'!$N1291="",$AM1290,'TMP Paste'!$N1291))</f>
        <v/>
      </c>
      <c r="AN1291">
        <f>IF('TMP Paste'!$F1291="","",IF('TMP Paste'!$O1291="",$AN1290,'TMP Paste'!$O1291))</f>
        <v/>
      </c>
      <c r="AO1291">
        <f>IF('TMP Paste'!$F1291="","",IF('TMP Paste'!$P1291="",$AO1290,'TMP Paste'!$P1291))</f>
        <v/>
      </c>
      <c r="AP1291">
        <f>IF($AG1291="","",LEN($R1291))</f>
        <v/>
      </c>
      <c r="AQ1291">
        <f>IF($AG1291="","",TRIM(IF(COUNTIFS(Calc!$B$2:$B$1601,ROW()-1,Calc!$C$2:$C$1601,"&lt;1")&gt;0,"Ada PO tanpa Koli - cek TMP. ","")&amp;IF(LEN($R1291)&gt;500,"R &gt; 500 karakter.","")))</f>
        <v/>
      </c>
    </row>
    <row r="1292">
      <c r="A1292">
        <f>IF($AG1292="","",INDEX('TMP Paste'!$B$2:$B$1601,$AG1292))</f>
        <v/>
      </c>
      <c r="B1292">
        <f>IF($AG1292="","",Config!$B$14)</f>
        <v/>
      </c>
      <c r="C1292">
        <f>IF($AG1292="","",Config!$B$15)</f>
        <v/>
      </c>
      <c r="D1292">
        <f>IF($AG1292="","",INDEX('TMP Paste'!$B$2:$B$1601,$AG1292))</f>
        <v/>
      </c>
      <c r="E1292">
        <f>IF($AG1292="","",Config!$B$27)</f>
        <v/>
      </c>
      <c r="F1292">
        <f>IF($AG1292="","",Config!$B$9)</f>
        <v/>
      </c>
      <c r="G1292">
        <f>IF($AG1292="","",Config!$B$10)</f>
        <v/>
      </c>
      <c r="H1292">
        <f>IF($AG1292="","",Config!$B$11)</f>
        <v/>
      </c>
      <c r="I1292">
        <f>IF($AG1292="","",Config!$B$16)</f>
        <v/>
      </c>
      <c r="J1292">
        <f>IF($AG1292="","",INDEX('TMP Paste'!$A$2:$A$1601,$AG1292))</f>
        <v/>
      </c>
      <c r="K1292">
        <f>IF($AG1292="","",INDEX('TMP Paste'!$L$2:$L$1601,$AG1292))</f>
        <v/>
      </c>
      <c r="L1292">
        <f>IF($AG1292="","",INDEX('TMP Paste'!$I$2:$I$1601,$AG1292))</f>
        <v/>
      </c>
      <c r="M1292">
        <f>IF($AG1292="","",Config!$B$16)</f>
        <v/>
      </c>
      <c r="N1292">
        <f>IF($AG1292="","","")</f>
        <v/>
      </c>
      <c r="O1292">
        <f>IF($AG1292="","",INDEX('TMP Paste'!$K$2:$K$1601,$AG1292))</f>
        <v/>
      </c>
      <c r="P1292">
        <f>IF($AG1292="","","")</f>
        <v/>
      </c>
      <c r="Q1292">
        <f>IF($AG1292="","",INDEX('TMP Paste'!$J$2:$J$1601,$AG1292))</f>
        <v/>
      </c>
      <c r="R1292">
        <f>IF($AG1292="","",Config!$B$24)</f>
        <v/>
      </c>
      <c r="S1292">
        <f>IF($AG1292="","",TEXT(Config!$B$4,"yyyy-mm-dd"))</f>
        <v/>
      </c>
      <c r="T1292">
        <f>IF($AG1292="","",Config!$B$17)</f>
        <v/>
      </c>
      <c r="U1292">
        <f>IF($AG1292="","",Config!$B$18)</f>
        <v/>
      </c>
      <c r="V1292">
        <f>IF($AG1292="","",Config!$B$19)</f>
        <v/>
      </c>
      <c r="W1292">
        <f>IF($AG1292="","",INDEX('TMP Paste'!$C$2:$C$1601,$AG1292))</f>
        <v/>
      </c>
      <c r="X1292">
        <f>IF($AG1292="","",Config!$B$29)</f>
        <v/>
      </c>
      <c r="Y1292">
        <f>IF($AH1292="","",INDEX(Calc!$I$2:$I$1601,$AH1292)&amp;" - "&amp;INDEX(Calc!$D$2:$D$1601,$AH1292)&amp;" koli")</f>
        <v/>
      </c>
      <c r="Z1292">
        <f>IF($AG1292="","",Config!$B$21)</f>
        <v/>
      </c>
      <c r="AA1292">
        <f>IF($AG1292="","",Config!$B$22)</f>
        <v/>
      </c>
      <c r="AB1292">
        <f>IF($AH1292="","",INDEX(Calc!$D$2:$D$1601,$AH1292))</f>
        <v/>
      </c>
      <c r="AC1292">
        <f>IF($AH1292="","",INDEX(Calc!$G$2:$G$1601,$AH1292))</f>
        <v/>
      </c>
      <c r="AD1292">
        <f>IF($AG1292="","",Config!$B$23)</f>
        <v/>
      </c>
      <c r="AE1292">
        <f>IF($AG1292="","",Config!$B$28)</f>
        <v/>
      </c>
      <c r="AG1292">
        <f>IFERROR(MATCH(ROW()-1,Calc!$J$2:$J$1601,0),"")</f>
        <v/>
      </c>
      <c r="AH1292">
        <f>IFERROR(MATCH(ROW()-1,Calc!$K$2:$K$1601,0),"")</f>
        <v/>
      </c>
      <c r="AI1292">
        <f>IF($AG1292="","",SUMIF($AG$2:$AG1292,$AG1292,$AH$2:$AH1292))</f>
        <v/>
      </c>
      <c r="AJ1292">
        <f>IF('TMP Paste'!$F1292="","",IF('TMP Paste'!$B1292="",$AJ1291,'TMP Paste'!$B1292))</f>
        <v/>
      </c>
      <c r="AK1292">
        <f>IF('TMP Paste'!$F1292="","",N('TMP Paste'!$G1292))</f>
        <v/>
      </c>
      <c r="AL1292">
        <f>IF('TMP Paste'!$F1292="","",IF('TMP Paste'!$M1292="",$AL1291,'TMP Paste'!$M1292))</f>
        <v/>
      </c>
      <c r="AM1292">
        <f>IF('TMP Paste'!$F1292="","",IF('TMP Paste'!$N1292="",$AM1291,'TMP Paste'!$N1292))</f>
        <v/>
      </c>
      <c r="AN1292">
        <f>IF('TMP Paste'!$F1292="","",IF('TMP Paste'!$O1292="",$AN1291,'TMP Paste'!$O1292))</f>
        <v/>
      </c>
      <c r="AO1292">
        <f>IF('TMP Paste'!$F1292="","",IF('TMP Paste'!$P1292="",$AO1291,'TMP Paste'!$P1292))</f>
        <v/>
      </c>
      <c r="AP1292">
        <f>IF($AG1292="","",LEN($R1292))</f>
        <v/>
      </c>
      <c r="AQ1292">
        <f>IF($AG1292="","",TRIM(IF(COUNTIFS(Calc!$B$2:$B$1601,ROW()-1,Calc!$C$2:$C$1601,"&lt;1")&gt;0,"Ada PO tanpa Koli - cek TMP. ","")&amp;IF(LEN($R1292)&gt;500,"R &gt; 500 karakter.","")))</f>
        <v/>
      </c>
    </row>
    <row r="1293">
      <c r="A1293">
        <f>IF($AG1293="","",INDEX('TMP Paste'!$B$2:$B$1601,$AG1293))</f>
        <v/>
      </c>
      <c r="B1293">
        <f>IF($AG1293="","",Config!$B$14)</f>
        <v/>
      </c>
      <c r="C1293">
        <f>IF($AG1293="","",Config!$B$15)</f>
        <v/>
      </c>
      <c r="D1293">
        <f>IF($AG1293="","",INDEX('TMP Paste'!$B$2:$B$1601,$AG1293))</f>
        <v/>
      </c>
      <c r="E1293">
        <f>IF($AG1293="","",Config!$B$27)</f>
        <v/>
      </c>
      <c r="F1293">
        <f>IF($AG1293="","",Config!$B$9)</f>
        <v/>
      </c>
      <c r="G1293">
        <f>IF($AG1293="","",Config!$B$10)</f>
        <v/>
      </c>
      <c r="H1293">
        <f>IF($AG1293="","",Config!$B$11)</f>
        <v/>
      </c>
      <c r="I1293">
        <f>IF($AG1293="","",Config!$B$16)</f>
        <v/>
      </c>
      <c r="J1293">
        <f>IF($AG1293="","",INDEX('TMP Paste'!$A$2:$A$1601,$AG1293))</f>
        <v/>
      </c>
      <c r="K1293">
        <f>IF($AG1293="","",INDEX('TMP Paste'!$L$2:$L$1601,$AG1293))</f>
        <v/>
      </c>
      <c r="L1293">
        <f>IF($AG1293="","",INDEX('TMP Paste'!$I$2:$I$1601,$AG1293))</f>
        <v/>
      </c>
      <c r="M1293">
        <f>IF($AG1293="","",Config!$B$16)</f>
        <v/>
      </c>
      <c r="N1293">
        <f>IF($AG1293="","","")</f>
        <v/>
      </c>
      <c r="O1293">
        <f>IF($AG1293="","",INDEX('TMP Paste'!$K$2:$K$1601,$AG1293))</f>
        <v/>
      </c>
      <c r="P1293">
        <f>IF($AG1293="","","")</f>
        <v/>
      </c>
      <c r="Q1293">
        <f>IF($AG1293="","",INDEX('TMP Paste'!$J$2:$J$1601,$AG1293))</f>
        <v/>
      </c>
      <c r="R1293">
        <f>IF($AG1293="","",Config!$B$24)</f>
        <v/>
      </c>
      <c r="S1293">
        <f>IF($AG1293="","",TEXT(Config!$B$4,"yyyy-mm-dd"))</f>
        <v/>
      </c>
      <c r="T1293">
        <f>IF($AG1293="","",Config!$B$17)</f>
        <v/>
      </c>
      <c r="U1293">
        <f>IF($AG1293="","",Config!$B$18)</f>
        <v/>
      </c>
      <c r="V1293">
        <f>IF($AG1293="","",Config!$B$19)</f>
        <v/>
      </c>
      <c r="W1293">
        <f>IF($AG1293="","",INDEX('TMP Paste'!$C$2:$C$1601,$AG1293))</f>
        <v/>
      </c>
      <c r="X1293">
        <f>IF($AG1293="","",Config!$B$29)</f>
        <v/>
      </c>
      <c r="Y1293">
        <f>IF($AH1293="","",INDEX(Calc!$I$2:$I$1601,$AH1293)&amp;" - "&amp;INDEX(Calc!$D$2:$D$1601,$AH1293)&amp;" koli")</f>
        <v/>
      </c>
      <c r="Z1293">
        <f>IF($AG1293="","",Config!$B$21)</f>
        <v/>
      </c>
      <c r="AA1293">
        <f>IF($AG1293="","",Config!$B$22)</f>
        <v/>
      </c>
      <c r="AB1293">
        <f>IF($AH1293="","",INDEX(Calc!$D$2:$D$1601,$AH1293))</f>
        <v/>
      </c>
      <c r="AC1293">
        <f>IF($AH1293="","",INDEX(Calc!$G$2:$G$1601,$AH1293))</f>
        <v/>
      </c>
      <c r="AD1293">
        <f>IF($AG1293="","",Config!$B$23)</f>
        <v/>
      </c>
      <c r="AE1293">
        <f>IF($AG1293="","",Config!$B$28)</f>
        <v/>
      </c>
      <c r="AG1293">
        <f>IFERROR(MATCH(ROW()-1,Calc!$J$2:$J$1601,0),"")</f>
        <v/>
      </c>
      <c r="AH1293">
        <f>IFERROR(MATCH(ROW()-1,Calc!$K$2:$K$1601,0),"")</f>
        <v/>
      </c>
      <c r="AI1293">
        <f>IF($AG1293="","",SUMIF($AG$2:$AG1293,$AG1293,$AH$2:$AH1293))</f>
        <v/>
      </c>
      <c r="AJ1293">
        <f>IF('TMP Paste'!$F1293="","",IF('TMP Paste'!$B1293="",$AJ1292,'TMP Paste'!$B1293))</f>
        <v/>
      </c>
      <c r="AK1293">
        <f>IF('TMP Paste'!$F1293="","",N('TMP Paste'!$G1293))</f>
        <v/>
      </c>
      <c r="AL1293">
        <f>IF('TMP Paste'!$F1293="","",IF('TMP Paste'!$M1293="",$AL1292,'TMP Paste'!$M1293))</f>
        <v/>
      </c>
      <c r="AM1293">
        <f>IF('TMP Paste'!$F1293="","",IF('TMP Paste'!$N1293="",$AM1292,'TMP Paste'!$N1293))</f>
        <v/>
      </c>
      <c r="AN1293">
        <f>IF('TMP Paste'!$F1293="","",IF('TMP Paste'!$O1293="",$AN1292,'TMP Paste'!$O1293))</f>
        <v/>
      </c>
      <c r="AO1293">
        <f>IF('TMP Paste'!$F1293="","",IF('TMP Paste'!$P1293="",$AO1292,'TMP Paste'!$P1293))</f>
        <v/>
      </c>
      <c r="AP1293">
        <f>IF($AG1293="","",LEN($R1293))</f>
        <v/>
      </c>
      <c r="AQ1293">
        <f>IF($AG1293="","",TRIM(IF(COUNTIFS(Calc!$B$2:$B$1601,ROW()-1,Calc!$C$2:$C$1601,"&lt;1")&gt;0,"Ada PO tanpa Koli - cek TMP. ","")&amp;IF(LEN($R1293)&gt;500,"R &gt; 500 karakter.","")))</f>
        <v/>
      </c>
    </row>
    <row r="1294">
      <c r="A1294">
        <f>IF($AG1294="","",INDEX('TMP Paste'!$B$2:$B$1601,$AG1294))</f>
        <v/>
      </c>
      <c r="B1294">
        <f>IF($AG1294="","",Config!$B$14)</f>
        <v/>
      </c>
      <c r="C1294">
        <f>IF($AG1294="","",Config!$B$15)</f>
        <v/>
      </c>
      <c r="D1294">
        <f>IF($AG1294="","",INDEX('TMP Paste'!$B$2:$B$1601,$AG1294))</f>
        <v/>
      </c>
      <c r="E1294">
        <f>IF($AG1294="","",Config!$B$27)</f>
        <v/>
      </c>
      <c r="F1294">
        <f>IF($AG1294="","",Config!$B$9)</f>
        <v/>
      </c>
      <c r="G1294">
        <f>IF($AG1294="","",Config!$B$10)</f>
        <v/>
      </c>
      <c r="H1294">
        <f>IF($AG1294="","",Config!$B$11)</f>
        <v/>
      </c>
      <c r="I1294">
        <f>IF($AG1294="","",Config!$B$16)</f>
        <v/>
      </c>
      <c r="J1294">
        <f>IF($AG1294="","",INDEX('TMP Paste'!$A$2:$A$1601,$AG1294))</f>
        <v/>
      </c>
      <c r="K1294">
        <f>IF($AG1294="","",INDEX('TMP Paste'!$L$2:$L$1601,$AG1294))</f>
        <v/>
      </c>
      <c r="L1294">
        <f>IF($AG1294="","",INDEX('TMP Paste'!$I$2:$I$1601,$AG1294))</f>
        <v/>
      </c>
      <c r="M1294">
        <f>IF($AG1294="","",Config!$B$16)</f>
        <v/>
      </c>
      <c r="N1294">
        <f>IF($AG1294="","","")</f>
        <v/>
      </c>
      <c r="O1294">
        <f>IF($AG1294="","",INDEX('TMP Paste'!$K$2:$K$1601,$AG1294))</f>
        <v/>
      </c>
      <c r="P1294">
        <f>IF($AG1294="","","")</f>
        <v/>
      </c>
      <c r="Q1294">
        <f>IF($AG1294="","",INDEX('TMP Paste'!$J$2:$J$1601,$AG1294))</f>
        <v/>
      </c>
      <c r="R1294">
        <f>IF($AG1294="","",Config!$B$24)</f>
        <v/>
      </c>
      <c r="S1294">
        <f>IF($AG1294="","",TEXT(Config!$B$4,"yyyy-mm-dd"))</f>
        <v/>
      </c>
      <c r="T1294">
        <f>IF($AG1294="","",Config!$B$17)</f>
        <v/>
      </c>
      <c r="U1294">
        <f>IF($AG1294="","",Config!$B$18)</f>
        <v/>
      </c>
      <c r="V1294">
        <f>IF($AG1294="","",Config!$B$19)</f>
        <v/>
      </c>
      <c r="W1294">
        <f>IF($AG1294="","",INDEX('TMP Paste'!$C$2:$C$1601,$AG1294))</f>
        <v/>
      </c>
      <c r="X1294">
        <f>IF($AG1294="","",Config!$B$29)</f>
        <v/>
      </c>
      <c r="Y1294">
        <f>IF($AH1294="","",INDEX(Calc!$I$2:$I$1601,$AH1294)&amp;" - "&amp;INDEX(Calc!$D$2:$D$1601,$AH1294)&amp;" koli")</f>
        <v/>
      </c>
      <c r="Z1294">
        <f>IF($AG1294="","",Config!$B$21)</f>
        <v/>
      </c>
      <c r="AA1294">
        <f>IF($AG1294="","",Config!$B$22)</f>
        <v/>
      </c>
      <c r="AB1294">
        <f>IF($AH1294="","",INDEX(Calc!$D$2:$D$1601,$AH1294))</f>
        <v/>
      </c>
      <c r="AC1294">
        <f>IF($AH1294="","",INDEX(Calc!$G$2:$G$1601,$AH1294))</f>
        <v/>
      </c>
      <c r="AD1294">
        <f>IF($AG1294="","",Config!$B$23)</f>
        <v/>
      </c>
      <c r="AE1294">
        <f>IF($AG1294="","",Config!$B$28)</f>
        <v/>
      </c>
      <c r="AG1294">
        <f>IFERROR(MATCH(ROW()-1,Calc!$J$2:$J$1601,0),"")</f>
        <v/>
      </c>
      <c r="AH1294">
        <f>IFERROR(MATCH(ROW()-1,Calc!$K$2:$K$1601,0),"")</f>
        <v/>
      </c>
      <c r="AI1294">
        <f>IF($AG1294="","",SUMIF($AG$2:$AG1294,$AG1294,$AH$2:$AH1294))</f>
        <v/>
      </c>
      <c r="AJ1294">
        <f>IF('TMP Paste'!$F1294="","",IF('TMP Paste'!$B1294="",$AJ1293,'TMP Paste'!$B1294))</f>
        <v/>
      </c>
      <c r="AK1294">
        <f>IF('TMP Paste'!$F1294="","",N('TMP Paste'!$G1294))</f>
        <v/>
      </c>
      <c r="AL1294">
        <f>IF('TMP Paste'!$F1294="","",IF('TMP Paste'!$M1294="",$AL1293,'TMP Paste'!$M1294))</f>
        <v/>
      </c>
      <c r="AM1294">
        <f>IF('TMP Paste'!$F1294="","",IF('TMP Paste'!$N1294="",$AM1293,'TMP Paste'!$N1294))</f>
        <v/>
      </c>
      <c r="AN1294">
        <f>IF('TMP Paste'!$F1294="","",IF('TMP Paste'!$O1294="",$AN1293,'TMP Paste'!$O1294))</f>
        <v/>
      </c>
      <c r="AO1294">
        <f>IF('TMP Paste'!$F1294="","",IF('TMP Paste'!$P1294="",$AO1293,'TMP Paste'!$P1294))</f>
        <v/>
      </c>
      <c r="AP1294">
        <f>IF($AG1294="","",LEN($R1294))</f>
        <v/>
      </c>
      <c r="AQ1294">
        <f>IF($AG1294="","",TRIM(IF(COUNTIFS(Calc!$B$2:$B$1601,ROW()-1,Calc!$C$2:$C$1601,"&lt;1")&gt;0,"Ada PO tanpa Koli - cek TMP. ","")&amp;IF(LEN($R1294)&gt;500,"R &gt; 500 karakter.","")))</f>
        <v/>
      </c>
    </row>
    <row r="1295">
      <c r="A1295">
        <f>IF($AG1295="","",INDEX('TMP Paste'!$B$2:$B$1601,$AG1295))</f>
        <v/>
      </c>
      <c r="B1295">
        <f>IF($AG1295="","",Config!$B$14)</f>
        <v/>
      </c>
      <c r="C1295">
        <f>IF($AG1295="","",Config!$B$15)</f>
        <v/>
      </c>
      <c r="D1295">
        <f>IF($AG1295="","",INDEX('TMP Paste'!$B$2:$B$1601,$AG1295))</f>
        <v/>
      </c>
      <c r="E1295">
        <f>IF($AG1295="","",Config!$B$27)</f>
        <v/>
      </c>
      <c r="F1295">
        <f>IF($AG1295="","",Config!$B$9)</f>
        <v/>
      </c>
      <c r="G1295">
        <f>IF($AG1295="","",Config!$B$10)</f>
        <v/>
      </c>
      <c r="H1295">
        <f>IF($AG1295="","",Config!$B$11)</f>
        <v/>
      </c>
      <c r="I1295">
        <f>IF($AG1295="","",Config!$B$16)</f>
        <v/>
      </c>
      <c r="J1295">
        <f>IF($AG1295="","",INDEX('TMP Paste'!$A$2:$A$1601,$AG1295))</f>
        <v/>
      </c>
      <c r="K1295">
        <f>IF($AG1295="","",INDEX('TMP Paste'!$L$2:$L$1601,$AG1295))</f>
        <v/>
      </c>
      <c r="L1295">
        <f>IF($AG1295="","",INDEX('TMP Paste'!$I$2:$I$1601,$AG1295))</f>
        <v/>
      </c>
      <c r="M1295">
        <f>IF($AG1295="","",Config!$B$16)</f>
        <v/>
      </c>
      <c r="N1295">
        <f>IF($AG1295="","","")</f>
        <v/>
      </c>
      <c r="O1295">
        <f>IF($AG1295="","",INDEX('TMP Paste'!$K$2:$K$1601,$AG1295))</f>
        <v/>
      </c>
      <c r="P1295">
        <f>IF($AG1295="","","")</f>
        <v/>
      </c>
      <c r="Q1295">
        <f>IF($AG1295="","",INDEX('TMP Paste'!$J$2:$J$1601,$AG1295))</f>
        <v/>
      </c>
      <c r="R1295">
        <f>IF($AG1295="","",Config!$B$24)</f>
        <v/>
      </c>
      <c r="S1295">
        <f>IF($AG1295="","",TEXT(Config!$B$4,"yyyy-mm-dd"))</f>
        <v/>
      </c>
      <c r="T1295">
        <f>IF($AG1295="","",Config!$B$17)</f>
        <v/>
      </c>
      <c r="U1295">
        <f>IF($AG1295="","",Config!$B$18)</f>
        <v/>
      </c>
      <c r="V1295">
        <f>IF($AG1295="","",Config!$B$19)</f>
        <v/>
      </c>
      <c r="W1295">
        <f>IF($AG1295="","",INDEX('TMP Paste'!$C$2:$C$1601,$AG1295))</f>
        <v/>
      </c>
      <c r="X1295">
        <f>IF($AG1295="","",Config!$B$29)</f>
        <v/>
      </c>
      <c r="Y1295">
        <f>IF($AH1295="","",INDEX(Calc!$I$2:$I$1601,$AH1295)&amp;" - "&amp;INDEX(Calc!$D$2:$D$1601,$AH1295)&amp;" koli")</f>
        <v/>
      </c>
      <c r="Z1295">
        <f>IF($AG1295="","",Config!$B$21)</f>
        <v/>
      </c>
      <c r="AA1295">
        <f>IF($AG1295="","",Config!$B$22)</f>
        <v/>
      </c>
      <c r="AB1295">
        <f>IF($AH1295="","",INDEX(Calc!$D$2:$D$1601,$AH1295))</f>
        <v/>
      </c>
      <c r="AC1295">
        <f>IF($AH1295="","",INDEX(Calc!$G$2:$G$1601,$AH1295))</f>
        <v/>
      </c>
      <c r="AD1295">
        <f>IF($AG1295="","",Config!$B$23)</f>
        <v/>
      </c>
      <c r="AE1295">
        <f>IF($AG1295="","",Config!$B$28)</f>
        <v/>
      </c>
      <c r="AG1295">
        <f>IFERROR(MATCH(ROW()-1,Calc!$J$2:$J$1601,0),"")</f>
        <v/>
      </c>
      <c r="AH1295">
        <f>IFERROR(MATCH(ROW()-1,Calc!$K$2:$K$1601,0),"")</f>
        <v/>
      </c>
      <c r="AI1295">
        <f>IF($AG1295="","",SUMIF($AG$2:$AG1295,$AG1295,$AH$2:$AH1295))</f>
        <v/>
      </c>
      <c r="AJ1295">
        <f>IF('TMP Paste'!$F1295="","",IF('TMP Paste'!$B1295="",$AJ1294,'TMP Paste'!$B1295))</f>
        <v/>
      </c>
      <c r="AK1295">
        <f>IF('TMP Paste'!$F1295="","",N('TMP Paste'!$G1295))</f>
        <v/>
      </c>
      <c r="AL1295">
        <f>IF('TMP Paste'!$F1295="","",IF('TMP Paste'!$M1295="",$AL1294,'TMP Paste'!$M1295))</f>
        <v/>
      </c>
      <c r="AM1295">
        <f>IF('TMP Paste'!$F1295="","",IF('TMP Paste'!$N1295="",$AM1294,'TMP Paste'!$N1295))</f>
        <v/>
      </c>
      <c r="AN1295">
        <f>IF('TMP Paste'!$F1295="","",IF('TMP Paste'!$O1295="",$AN1294,'TMP Paste'!$O1295))</f>
        <v/>
      </c>
      <c r="AO1295">
        <f>IF('TMP Paste'!$F1295="","",IF('TMP Paste'!$P1295="",$AO1294,'TMP Paste'!$P1295))</f>
        <v/>
      </c>
      <c r="AP1295">
        <f>IF($AG1295="","",LEN($R1295))</f>
        <v/>
      </c>
      <c r="AQ1295">
        <f>IF($AG1295="","",TRIM(IF(COUNTIFS(Calc!$B$2:$B$1601,ROW()-1,Calc!$C$2:$C$1601,"&lt;1")&gt;0,"Ada PO tanpa Koli - cek TMP. ","")&amp;IF(LEN($R1295)&gt;500,"R &gt; 500 karakter.","")))</f>
        <v/>
      </c>
    </row>
    <row r="1296">
      <c r="A1296">
        <f>IF($AG1296="","",INDEX('TMP Paste'!$B$2:$B$1601,$AG1296))</f>
        <v/>
      </c>
      <c r="B1296">
        <f>IF($AG1296="","",Config!$B$14)</f>
        <v/>
      </c>
      <c r="C1296">
        <f>IF($AG1296="","",Config!$B$15)</f>
        <v/>
      </c>
      <c r="D1296">
        <f>IF($AG1296="","",INDEX('TMP Paste'!$B$2:$B$1601,$AG1296))</f>
        <v/>
      </c>
      <c r="E1296">
        <f>IF($AG1296="","",Config!$B$27)</f>
        <v/>
      </c>
      <c r="F1296">
        <f>IF($AG1296="","",Config!$B$9)</f>
        <v/>
      </c>
      <c r="G1296">
        <f>IF($AG1296="","",Config!$B$10)</f>
        <v/>
      </c>
      <c r="H1296">
        <f>IF($AG1296="","",Config!$B$11)</f>
        <v/>
      </c>
      <c r="I1296">
        <f>IF($AG1296="","",Config!$B$16)</f>
        <v/>
      </c>
      <c r="J1296">
        <f>IF($AG1296="","",INDEX('TMP Paste'!$A$2:$A$1601,$AG1296))</f>
        <v/>
      </c>
      <c r="K1296">
        <f>IF($AG1296="","",INDEX('TMP Paste'!$L$2:$L$1601,$AG1296))</f>
        <v/>
      </c>
      <c r="L1296">
        <f>IF($AG1296="","",INDEX('TMP Paste'!$I$2:$I$1601,$AG1296))</f>
        <v/>
      </c>
      <c r="M1296">
        <f>IF($AG1296="","",Config!$B$16)</f>
        <v/>
      </c>
      <c r="N1296">
        <f>IF($AG1296="","","")</f>
        <v/>
      </c>
      <c r="O1296">
        <f>IF($AG1296="","",INDEX('TMP Paste'!$K$2:$K$1601,$AG1296))</f>
        <v/>
      </c>
      <c r="P1296">
        <f>IF($AG1296="","","")</f>
        <v/>
      </c>
      <c r="Q1296">
        <f>IF($AG1296="","",INDEX('TMP Paste'!$J$2:$J$1601,$AG1296))</f>
        <v/>
      </c>
      <c r="R1296">
        <f>IF($AG1296="","",Config!$B$24)</f>
        <v/>
      </c>
      <c r="S1296">
        <f>IF($AG1296="","",TEXT(Config!$B$4,"yyyy-mm-dd"))</f>
        <v/>
      </c>
      <c r="T1296">
        <f>IF($AG1296="","",Config!$B$17)</f>
        <v/>
      </c>
      <c r="U1296">
        <f>IF($AG1296="","",Config!$B$18)</f>
        <v/>
      </c>
      <c r="V1296">
        <f>IF($AG1296="","",Config!$B$19)</f>
        <v/>
      </c>
      <c r="W1296">
        <f>IF($AG1296="","",INDEX('TMP Paste'!$C$2:$C$1601,$AG1296))</f>
        <v/>
      </c>
      <c r="X1296">
        <f>IF($AG1296="","",Config!$B$29)</f>
        <v/>
      </c>
      <c r="Y1296">
        <f>IF($AH1296="","",INDEX(Calc!$I$2:$I$1601,$AH1296)&amp;" - "&amp;INDEX(Calc!$D$2:$D$1601,$AH1296)&amp;" koli")</f>
        <v/>
      </c>
      <c r="Z1296">
        <f>IF($AG1296="","",Config!$B$21)</f>
        <v/>
      </c>
      <c r="AA1296">
        <f>IF($AG1296="","",Config!$B$22)</f>
        <v/>
      </c>
      <c r="AB1296">
        <f>IF($AH1296="","",INDEX(Calc!$D$2:$D$1601,$AH1296))</f>
        <v/>
      </c>
      <c r="AC1296">
        <f>IF($AH1296="","",INDEX(Calc!$G$2:$G$1601,$AH1296))</f>
        <v/>
      </c>
      <c r="AD1296">
        <f>IF($AG1296="","",Config!$B$23)</f>
        <v/>
      </c>
      <c r="AE1296">
        <f>IF($AG1296="","",Config!$B$28)</f>
        <v/>
      </c>
      <c r="AG1296">
        <f>IFERROR(MATCH(ROW()-1,Calc!$J$2:$J$1601,0),"")</f>
        <v/>
      </c>
      <c r="AH1296">
        <f>IFERROR(MATCH(ROW()-1,Calc!$K$2:$K$1601,0),"")</f>
        <v/>
      </c>
      <c r="AI1296">
        <f>IF($AG1296="","",SUMIF($AG$2:$AG1296,$AG1296,$AH$2:$AH1296))</f>
        <v/>
      </c>
      <c r="AJ1296">
        <f>IF('TMP Paste'!$F1296="","",IF('TMP Paste'!$B1296="",$AJ1295,'TMP Paste'!$B1296))</f>
        <v/>
      </c>
      <c r="AK1296">
        <f>IF('TMP Paste'!$F1296="","",N('TMP Paste'!$G1296))</f>
        <v/>
      </c>
      <c r="AL1296">
        <f>IF('TMP Paste'!$F1296="","",IF('TMP Paste'!$M1296="",$AL1295,'TMP Paste'!$M1296))</f>
        <v/>
      </c>
      <c r="AM1296">
        <f>IF('TMP Paste'!$F1296="","",IF('TMP Paste'!$N1296="",$AM1295,'TMP Paste'!$N1296))</f>
        <v/>
      </c>
      <c r="AN1296">
        <f>IF('TMP Paste'!$F1296="","",IF('TMP Paste'!$O1296="",$AN1295,'TMP Paste'!$O1296))</f>
        <v/>
      </c>
      <c r="AO1296">
        <f>IF('TMP Paste'!$F1296="","",IF('TMP Paste'!$P1296="",$AO1295,'TMP Paste'!$P1296))</f>
        <v/>
      </c>
      <c r="AP1296">
        <f>IF($AG1296="","",LEN($R1296))</f>
        <v/>
      </c>
      <c r="AQ1296">
        <f>IF($AG1296="","",TRIM(IF(COUNTIFS(Calc!$B$2:$B$1601,ROW()-1,Calc!$C$2:$C$1601,"&lt;1")&gt;0,"Ada PO tanpa Koli - cek TMP. ","")&amp;IF(LEN($R1296)&gt;500,"R &gt; 500 karakter.","")))</f>
        <v/>
      </c>
    </row>
    <row r="1297">
      <c r="A1297">
        <f>IF($AG1297="","",INDEX('TMP Paste'!$B$2:$B$1601,$AG1297))</f>
        <v/>
      </c>
      <c r="B1297">
        <f>IF($AG1297="","",Config!$B$14)</f>
        <v/>
      </c>
      <c r="C1297">
        <f>IF($AG1297="","",Config!$B$15)</f>
        <v/>
      </c>
      <c r="D1297">
        <f>IF($AG1297="","",INDEX('TMP Paste'!$B$2:$B$1601,$AG1297))</f>
        <v/>
      </c>
      <c r="E1297">
        <f>IF($AG1297="","",Config!$B$27)</f>
        <v/>
      </c>
      <c r="F1297">
        <f>IF($AG1297="","",Config!$B$9)</f>
        <v/>
      </c>
      <c r="G1297">
        <f>IF($AG1297="","",Config!$B$10)</f>
        <v/>
      </c>
      <c r="H1297">
        <f>IF($AG1297="","",Config!$B$11)</f>
        <v/>
      </c>
      <c r="I1297">
        <f>IF($AG1297="","",Config!$B$16)</f>
        <v/>
      </c>
      <c r="J1297">
        <f>IF($AG1297="","",INDEX('TMP Paste'!$A$2:$A$1601,$AG1297))</f>
        <v/>
      </c>
      <c r="K1297">
        <f>IF($AG1297="","",INDEX('TMP Paste'!$L$2:$L$1601,$AG1297))</f>
        <v/>
      </c>
      <c r="L1297">
        <f>IF($AG1297="","",INDEX('TMP Paste'!$I$2:$I$1601,$AG1297))</f>
        <v/>
      </c>
      <c r="M1297">
        <f>IF($AG1297="","",Config!$B$16)</f>
        <v/>
      </c>
      <c r="N1297">
        <f>IF($AG1297="","","")</f>
        <v/>
      </c>
      <c r="O1297">
        <f>IF($AG1297="","",INDEX('TMP Paste'!$K$2:$K$1601,$AG1297))</f>
        <v/>
      </c>
      <c r="P1297">
        <f>IF($AG1297="","","")</f>
        <v/>
      </c>
      <c r="Q1297">
        <f>IF($AG1297="","",INDEX('TMP Paste'!$J$2:$J$1601,$AG1297))</f>
        <v/>
      </c>
      <c r="R1297">
        <f>IF($AG1297="","",Config!$B$24)</f>
        <v/>
      </c>
      <c r="S1297">
        <f>IF($AG1297="","",TEXT(Config!$B$4,"yyyy-mm-dd"))</f>
        <v/>
      </c>
      <c r="T1297">
        <f>IF($AG1297="","",Config!$B$17)</f>
        <v/>
      </c>
      <c r="U1297">
        <f>IF($AG1297="","",Config!$B$18)</f>
        <v/>
      </c>
      <c r="V1297">
        <f>IF($AG1297="","",Config!$B$19)</f>
        <v/>
      </c>
      <c r="W1297">
        <f>IF($AG1297="","",INDEX('TMP Paste'!$C$2:$C$1601,$AG1297))</f>
        <v/>
      </c>
      <c r="X1297">
        <f>IF($AG1297="","",Config!$B$29)</f>
        <v/>
      </c>
      <c r="Y1297">
        <f>IF($AH1297="","",INDEX(Calc!$I$2:$I$1601,$AH1297)&amp;" - "&amp;INDEX(Calc!$D$2:$D$1601,$AH1297)&amp;" koli")</f>
        <v/>
      </c>
      <c r="Z1297">
        <f>IF($AG1297="","",Config!$B$21)</f>
        <v/>
      </c>
      <c r="AA1297">
        <f>IF($AG1297="","",Config!$B$22)</f>
        <v/>
      </c>
      <c r="AB1297">
        <f>IF($AH1297="","",INDEX(Calc!$D$2:$D$1601,$AH1297))</f>
        <v/>
      </c>
      <c r="AC1297">
        <f>IF($AH1297="","",INDEX(Calc!$G$2:$G$1601,$AH1297))</f>
        <v/>
      </c>
      <c r="AD1297">
        <f>IF($AG1297="","",Config!$B$23)</f>
        <v/>
      </c>
      <c r="AE1297">
        <f>IF($AG1297="","",Config!$B$28)</f>
        <v/>
      </c>
      <c r="AG1297">
        <f>IFERROR(MATCH(ROW()-1,Calc!$J$2:$J$1601,0),"")</f>
        <v/>
      </c>
      <c r="AH1297">
        <f>IFERROR(MATCH(ROW()-1,Calc!$K$2:$K$1601,0),"")</f>
        <v/>
      </c>
      <c r="AI1297">
        <f>IF($AG1297="","",SUMIF($AG$2:$AG1297,$AG1297,$AH$2:$AH1297))</f>
        <v/>
      </c>
      <c r="AJ1297">
        <f>IF('TMP Paste'!$F1297="","",IF('TMP Paste'!$B1297="",$AJ1296,'TMP Paste'!$B1297))</f>
        <v/>
      </c>
      <c r="AK1297">
        <f>IF('TMP Paste'!$F1297="","",N('TMP Paste'!$G1297))</f>
        <v/>
      </c>
      <c r="AL1297">
        <f>IF('TMP Paste'!$F1297="","",IF('TMP Paste'!$M1297="",$AL1296,'TMP Paste'!$M1297))</f>
        <v/>
      </c>
      <c r="AM1297">
        <f>IF('TMP Paste'!$F1297="","",IF('TMP Paste'!$N1297="",$AM1296,'TMP Paste'!$N1297))</f>
        <v/>
      </c>
      <c r="AN1297">
        <f>IF('TMP Paste'!$F1297="","",IF('TMP Paste'!$O1297="",$AN1296,'TMP Paste'!$O1297))</f>
        <v/>
      </c>
      <c r="AO1297">
        <f>IF('TMP Paste'!$F1297="","",IF('TMP Paste'!$P1297="",$AO1296,'TMP Paste'!$P1297))</f>
        <v/>
      </c>
      <c r="AP1297">
        <f>IF($AG1297="","",LEN($R1297))</f>
        <v/>
      </c>
      <c r="AQ1297">
        <f>IF($AG1297="","",TRIM(IF(COUNTIFS(Calc!$B$2:$B$1601,ROW()-1,Calc!$C$2:$C$1601,"&lt;1")&gt;0,"Ada PO tanpa Koli - cek TMP. ","")&amp;IF(LEN($R1297)&gt;500,"R &gt; 500 karakter.","")))</f>
        <v/>
      </c>
    </row>
    <row r="1298">
      <c r="A1298">
        <f>IF($AG1298="","",INDEX('TMP Paste'!$B$2:$B$1601,$AG1298))</f>
        <v/>
      </c>
      <c r="B1298">
        <f>IF($AG1298="","",Config!$B$14)</f>
        <v/>
      </c>
      <c r="C1298">
        <f>IF($AG1298="","",Config!$B$15)</f>
        <v/>
      </c>
      <c r="D1298">
        <f>IF($AG1298="","",INDEX('TMP Paste'!$B$2:$B$1601,$AG1298))</f>
        <v/>
      </c>
      <c r="E1298">
        <f>IF($AG1298="","",Config!$B$27)</f>
        <v/>
      </c>
      <c r="F1298">
        <f>IF($AG1298="","",Config!$B$9)</f>
        <v/>
      </c>
      <c r="G1298">
        <f>IF($AG1298="","",Config!$B$10)</f>
        <v/>
      </c>
      <c r="H1298">
        <f>IF($AG1298="","",Config!$B$11)</f>
        <v/>
      </c>
      <c r="I1298">
        <f>IF($AG1298="","",Config!$B$16)</f>
        <v/>
      </c>
      <c r="J1298">
        <f>IF($AG1298="","",INDEX('TMP Paste'!$A$2:$A$1601,$AG1298))</f>
        <v/>
      </c>
      <c r="K1298">
        <f>IF($AG1298="","",INDEX('TMP Paste'!$L$2:$L$1601,$AG1298))</f>
        <v/>
      </c>
      <c r="L1298">
        <f>IF($AG1298="","",INDEX('TMP Paste'!$I$2:$I$1601,$AG1298))</f>
        <v/>
      </c>
      <c r="M1298">
        <f>IF($AG1298="","",Config!$B$16)</f>
        <v/>
      </c>
      <c r="N1298">
        <f>IF($AG1298="","","")</f>
        <v/>
      </c>
      <c r="O1298">
        <f>IF($AG1298="","",INDEX('TMP Paste'!$K$2:$K$1601,$AG1298))</f>
        <v/>
      </c>
      <c r="P1298">
        <f>IF($AG1298="","","")</f>
        <v/>
      </c>
      <c r="Q1298">
        <f>IF($AG1298="","",INDEX('TMP Paste'!$J$2:$J$1601,$AG1298))</f>
        <v/>
      </c>
      <c r="R1298">
        <f>IF($AG1298="","",Config!$B$24)</f>
        <v/>
      </c>
      <c r="S1298">
        <f>IF($AG1298="","",TEXT(Config!$B$4,"yyyy-mm-dd"))</f>
        <v/>
      </c>
      <c r="T1298">
        <f>IF($AG1298="","",Config!$B$17)</f>
        <v/>
      </c>
      <c r="U1298">
        <f>IF($AG1298="","",Config!$B$18)</f>
        <v/>
      </c>
      <c r="V1298">
        <f>IF($AG1298="","",Config!$B$19)</f>
        <v/>
      </c>
      <c r="W1298">
        <f>IF($AG1298="","",INDEX('TMP Paste'!$C$2:$C$1601,$AG1298))</f>
        <v/>
      </c>
      <c r="X1298">
        <f>IF($AG1298="","",Config!$B$29)</f>
        <v/>
      </c>
      <c r="Y1298">
        <f>IF($AH1298="","",INDEX(Calc!$I$2:$I$1601,$AH1298)&amp;" - "&amp;INDEX(Calc!$D$2:$D$1601,$AH1298)&amp;" koli")</f>
        <v/>
      </c>
      <c r="Z1298">
        <f>IF($AG1298="","",Config!$B$21)</f>
        <v/>
      </c>
      <c r="AA1298">
        <f>IF($AG1298="","",Config!$B$22)</f>
        <v/>
      </c>
      <c r="AB1298">
        <f>IF($AH1298="","",INDEX(Calc!$D$2:$D$1601,$AH1298))</f>
        <v/>
      </c>
      <c r="AC1298">
        <f>IF($AH1298="","",INDEX(Calc!$G$2:$G$1601,$AH1298))</f>
        <v/>
      </c>
      <c r="AD1298">
        <f>IF($AG1298="","",Config!$B$23)</f>
        <v/>
      </c>
      <c r="AE1298">
        <f>IF($AG1298="","",Config!$B$28)</f>
        <v/>
      </c>
      <c r="AG1298">
        <f>IFERROR(MATCH(ROW()-1,Calc!$J$2:$J$1601,0),"")</f>
        <v/>
      </c>
      <c r="AH1298">
        <f>IFERROR(MATCH(ROW()-1,Calc!$K$2:$K$1601,0),"")</f>
        <v/>
      </c>
      <c r="AI1298">
        <f>IF($AG1298="","",SUMIF($AG$2:$AG1298,$AG1298,$AH$2:$AH1298))</f>
        <v/>
      </c>
      <c r="AJ1298">
        <f>IF('TMP Paste'!$F1298="","",IF('TMP Paste'!$B1298="",$AJ1297,'TMP Paste'!$B1298))</f>
        <v/>
      </c>
      <c r="AK1298">
        <f>IF('TMP Paste'!$F1298="","",N('TMP Paste'!$G1298))</f>
        <v/>
      </c>
      <c r="AL1298">
        <f>IF('TMP Paste'!$F1298="","",IF('TMP Paste'!$M1298="",$AL1297,'TMP Paste'!$M1298))</f>
        <v/>
      </c>
      <c r="AM1298">
        <f>IF('TMP Paste'!$F1298="","",IF('TMP Paste'!$N1298="",$AM1297,'TMP Paste'!$N1298))</f>
        <v/>
      </c>
      <c r="AN1298">
        <f>IF('TMP Paste'!$F1298="","",IF('TMP Paste'!$O1298="",$AN1297,'TMP Paste'!$O1298))</f>
        <v/>
      </c>
      <c r="AO1298">
        <f>IF('TMP Paste'!$F1298="","",IF('TMP Paste'!$P1298="",$AO1297,'TMP Paste'!$P1298))</f>
        <v/>
      </c>
      <c r="AP1298">
        <f>IF($AG1298="","",LEN($R1298))</f>
        <v/>
      </c>
      <c r="AQ1298">
        <f>IF($AG1298="","",TRIM(IF(COUNTIFS(Calc!$B$2:$B$1601,ROW()-1,Calc!$C$2:$C$1601,"&lt;1")&gt;0,"Ada PO tanpa Koli - cek TMP. ","")&amp;IF(LEN($R1298)&gt;500,"R &gt; 500 karakter.","")))</f>
        <v/>
      </c>
    </row>
    <row r="1299">
      <c r="A1299">
        <f>IF($AG1299="","",INDEX('TMP Paste'!$B$2:$B$1601,$AG1299))</f>
        <v/>
      </c>
      <c r="B1299">
        <f>IF($AG1299="","",Config!$B$14)</f>
        <v/>
      </c>
      <c r="C1299">
        <f>IF($AG1299="","",Config!$B$15)</f>
        <v/>
      </c>
      <c r="D1299">
        <f>IF($AG1299="","",INDEX('TMP Paste'!$B$2:$B$1601,$AG1299))</f>
        <v/>
      </c>
      <c r="E1299">
        <f>IF($AG1299="","",Config!$B$27)</f>
        <v/>
      </c>
      <c r="F1299">
        <f>IF($AG1299="","",Config!$B$9)</f>
        <v/>
      </c>
      <c r="G1299">
        <f>IF($AG1299="","",Config!$B$10)</f>
        <v/>
      </c>
      <c r="H1299">
        <f>IF($AG1299="","",Config!$B$11)</f>
        <v/>
      </c>
      <c r="I1299">
        <f>IF($AG1299="","",Config!$B$16)</f>
        <v/>
      </c>
      <c r="J1299">
        <f>IF($AG1299="","",INDEX('TMP Paste'!$A$2:$A$1601,$AG1299))</f>
        <v/>
      </c>
      <c r="K1299">
        <f>IF($AG1299="","",INDEX('TMP Paste'!$L$2:$L$1601,$AG1299))</f>
        <v/>
      </c>
      <c r="L1299">
        <f>IF($AG1299="","",INDEX('TMP Paste'!$I$2:$I$1601,$AG1299))</f>
        <v/>
      </c>
      <c r="M1299">
        <f>IF($AG1299="","",Config!$B$16)</f>
        <v/>
      </c>
      <c r="N1299">
        <f>IF($AG1299="","","")</f>
        <v/>
      </c>
      <c r="O1299">
        <f>IF($AG1299="","",INDEX('TMP Paste'!$K$2:$K$1601,$AG1299))</f>
        <v/>
      </c>
      <c r="P1299">
        <f>IF($AG1299="","","")</f>
        <v/>
      </c>
      <c r="Q1299">
        <f>IF($AG1299="","",INDEX('TMP Paste'!$J$2:$J$1601,$AG1299))</f>
        <v/>
      </c>
      <c r="R1299">
        <f>IF($AG1299="","",Config!$B$24)</f>
        <v/>
      </c>
      <c r="S1299">
        <f>IF($AG1299="","",TEXT(Config!$B$4,"yyyy-mm-dd"))</f>
        <v/>
      </c>
      <c r="T1299">
        <f>IF($AG1299="","",Config!$B$17)</f>
        <v/>
      </c>
      <c r="U1299">
        <f>IF($AG1299="","",Config!$B$18)</f>
        <v/>
      </c>
      <c r="V1299">
        <f>IF($AG1299="","",Config!$B$19)</f>
        <v/>
      </c>
      <c r="W1299">
        <f>IF($AG1299="","",INDEX('TMP Paste'!$C$2:$C$1601,$AG1299))</f>
        <v/>
      </c>
      <c r="X1299">
        <f>IF($AG1299="","",Config!$B$29)</f>
        <v/>
      </c>
      <c r="Y1299">
        <f>IF($AH1299="","",INDEX(Calc!$I$2:$I$1601,$AH1299)&amp;" - "&amp;INDEX(Calc!$D$2:$D$1601,$AH1299)&amp;" koli")</f>
        <v/>
      </c>
      <c r="Z1299">
        <f>IF($AG1299="","",Config!$B$21)</f>
        <v/>
      </c>
      <c r="AA1299">
        <f>IF($AG1299="","",Config!$B$22)</f>
        <v/>
      </c>
      <c r="AB1299">
        <f>IF($AH1299="","",INDEX(Calc!$D$2:$D$1601,$AH1299))</f>
        <v/>
      </c>
      <c r="AC1299">
        <f>IF($AH1299="","",INDEX(Calc!$G$2:$G$1601,$AH1299))</f>
        <v/>
      </c>
      <c r="AD1299">
        <f>IF($AG1299="","",Config!$B$23)</f>
        <v/>
      </c>
      <c r="AE1299">
        <f>IF($AG1299="","",Config!$B$28)</f>
        <v/>
      </c>
      <c r="AG1299">
        <f>IFERROR(MATCH(ROW()-1,Calc!$J$2:$J$1601,0),"")</f>
        <v/>
      </c>
      <c r="AH1299">
        <f>IFERROR(MATCH(ROW()-1,Calc!$K$2:$K$1601,0),"")</f>
        <v/>
      </c>
      <c r="AI1299">
        <f>IF($AG1299="","",SUMIF($AG$2:$AG1299,$AG1299,$AH$2:$AH1299))</f>
        <v/>
      </c>
      <c r="AJ1299">
        <f>IF('TMP Paste'!$F1299="","",IF('TMP Paste'!$B1299="",$AJ1298,'TMP Paste'!$B1299))</f>
        <v/>
      </c>
      <c r="AK1299">
        <f>IF('TMP Paste'!$F1299="","",N('TMP Paste'!$G1299))</f>
        <v/>
      </c>
      <c r="AL1299">
        <f>IF('TMP Paste'!$F1299="","",IF('TMP Paste'!$M1299="",$AL1298,'TMP Paste'!$M1299))</f>
        <v/>
      </c>
      <c r="AM1299">
        <f>IF('TMP Paste'!$F1299="","",IF('TMP Paste'!$N1299="",$AM1298,'TMP Paste'!$N1299))</f>
        <v/>
      </c>
      <c r="AN1299">
        <f>IF('TMP Paste'!$F1299="","",IF('TMP Paste'!$O1299="",$AN1298,'TMP Paste'!$O1299))</f>
        <v/>
      </c>
      <c r="AO1299">
        <f>IF('TMP Paste'!$F1299="","",IF('TMP Paste'!$P1299="",$AO1298,'TMP Paste'!$P1299))</f>
        <v/>
      </c>
      <c r="AP1299">
        <f>IF($AG1299="","",LEN($R1299))</f>
        <v/>
      </c>
      <c r="AQ1299">
        <f>IF($AG1299="","",TRIM(IF(COUNTIFS(Calc!$B$2:$B$1601,ROW()-1,Calc!$C$2:$C$1601,"&lt;1")&gt;0,"Ada PO tanpa Koli - cek TMP. ","")&amp;IF(LEN($R1299)&gt;500,"R &gt; 500 karakter.","")))</f>
        <v/>
      </c>
    </row>
    <row r="1300">
      <c r="A1300">
        <f>IF($AG1300="","",INDEX('TMP Paste'!$B$2:$B$1601,$AG1300))</f>
        <v/>
      </c>
      <c r="B1300">
        <f>IF($AG1300="","",Config!$B$14)</f>
        <v/>
      </c>
      <c r="C1300">
        <f>IF($AG1300="","",Config!$B$15)</f>
        <v/>
      </c>
      <c r="D1300">
        <f>IF($AG1300="","",INDEX('TMP Paste'!$B$2:$B$1601,$AG1300))</f>
        <v/>
      </c>
      <c r="E1300">
        <f>IF($AG1300="","",Config!$B$27)</f>
        <v/>
      </c>
      <c r="F1300">
        <f>IF($AG1300="","",Config!$B$9)</f>
        <v/>
      </c>
      <c r="G1300">
        <f>IF($AG1300="","",Config!$B$10)</f>
        <v/>
      </c>
      <c r="H1300">
        <f>IF($AG1300="","",Config!$B$11)</f>
        <v/>
      </c>
      <c r="I1300">
        <f>IF($AG1300="","",Config!$B$16)</f>
        <v/>
      </c>
      <c r="J1300">
        <f>IF($AG1300="","",INDEX('TMP Paste'!$A$2:$A$1601,$AG1300))</f>
        <v/>
      </c>
      <c r="K1300">
        <f>IF($AG1300="","",INDEX('TMP Paste'!$L$2:$L$1601,$AG1300))</f>
        <v/>
      </c>
      <c r="L1300">
        <f>IF($AG1300="","",INDEX('TMP Paste'!$I$2:$I$1601,$AG1300))</f>
        <v/>
      </c>
      <c r="M1300">
        <f>IF($AG1300="","",Config!$B$16)</f>
        <v/>
      </c>
      <c r="N1300">
        <f>IF($AG1300="","","")</f>
        <v/>
      </c>
      <c r="O1300">
        <f>IF($AG1300="","",INDEX('TMP Paste'!$K$2:$K$1601,$AG1300))</f>
        <v/>
      </c>
      <c r="P1300">
        <f>IF($AG1300="","","")</f>
        <v/>
      </c>
      <c r="Q1300">
        <f>IF($AG1300="","",INDEX('TMP Paste'!$J$2:$J$1601,$AG1300))</f>
        <v/>
      </c>
      <c r="R1300">
        <f>IF($AG1300="","",Config!$B$24)</f>
        <v/>
      </c>
      <c r="S1300">
        <f>IF($AG1300="","",TEXT(Config!$B$4,"yyyy-mm-dd"))</f>
        <v/>
      </c>
      <c r="T1300">
        <f>IF($AG1300="","",Config!$B$17)</f>
        <v/>
      </c>
      <c r="U1300">
        <f>IF($AG1300="","",Config!$B$18)</f>
        <v/>
      </c>
      <c r="V1300">
        <f>IF($AG1300="","",Config!$B$19)</f>
        <v/>
      </c>
      <c r="W1300">
        <f>IF($AG1300="","",INDEX('TMP Paste'!$C$2:$C$1601,$AG1300))</f>
        <v/>
      </c>
      <c r="X1300">
        <f>IF($AG1300="","",Config!$B$29)</f>
        <v/>
      </c>
      <c r="Y1300">
        <f>IF($AH1300="","",INDEX(Calc!$I$2:$I$1601,$AH1300)&amp;" - "&amp;INDEX(Calc!$D$2:$D$1601,$AH1300)&amp;" koli")</f>
        <v/>
      </c>
      <c r="Z1300">
        <f>IF($AG1300="","",Config!$B$21)</f>
        <v/>
      </c>
      <c r="AA1300">
        <f>IF($AG1300="","",Config!$B$22)</f>
        <v/>
      </c>
      <c r="AB1300">
        <f>IF($AH1300="","",INDEX(Calc!$D$2:$D$1601,$AH1300))</f>
        <v/>
      </c>
      <c r="AC1300">
        <f>IF($AH1300="","",INDEX(Calc!$G$2:$G$1601,$AH1300))</f>
        <v/>
      </c>
      <c r="AD1300">
        <f>IF($AG1300="","",Config!$B$23)</f>
        <v/>
      </c>
      <c r="AE1300">
        <f>IF($AG1300="","",Config!$B$28)</f>
        <v/>
      </c>
      <c r="AG1300">
        <f>IFERROR(MATCH(ROW()-1,Calc!$J$2:$J$1601,0),"")</f>
        <v/>
      </c>
      <c r="AH1300">
        <f>IFERROR(MATCH(ROW()-1,Calc!$K$2:$K$1601,0),"")</f>
        <v/>
      </c>
      <c r="AI1300">
        <f>IF($AG1300="","",SUMIF($AG$2:$AG1300,$AG1300,$AH$2:$AH1300))</f>
        <v/>
      </c>
      <c r="AJ1300">
        <f>IF('TMP Paste'!$F1300="","",IF('TMP Paste'!$B1300="",$AJ1299,'TMP Paste'!$B1300))</f>
        <v/>
      </c>
      <c r="AK1300">
        <f>IF('TMP Paste'!$F1300="","",N('TMP Paste'!$G1300))</f>
        <v/>
      </c>
      <c r="AL1300">
        <f>IF('TMP Paste'!$F1300="","",IF('TMP Paste'!$M1300="",$AL1299,'TMP Paste'!$M1300))</f>
        <v/>
      </c>
      <c r="AM1300">
        <f>IF('TMP Paste'!$F1300="","",IF('TMP Paste'!$N1300="",$AM1299,'TMP Paste'!$N1300))</f>
        <v/>
      </c>
      <c r="AN1300">
        <f>IF('TMP Paste'!$F1300="","",IF('TMP Paste'!$O1300="",$AN1299,'TMP Paste'!$O1300))</f>
        <v/>
      </c>
      <c r="AO1300">
        <f>IF('TMP Paste'!$F1300="","",IF('TMP Paste'!$P1300="",$AO1299,'TMP Paste'!$P1300))</f>
        <v/>
      </c>
      <c r="AP1300">
        <f>IF($AG1300="","",LEN($R1300))</f>
        <v/>
      </c>
      <c r="AQ1300">
        <f>IF($AG1300="","",TRIM(IF(COUNTIFS(Calc!$B$2:$B$1601,ROW()-1,Calc!$C$2:$C$1601,"&lt;1")&gt;0,"Ada PO tanpa Koli - cek TMP. ","")&amp;IF(LEN($R1300)&gt;500,"R &gt; 500 karakter.","")))</f>
        <v/>
      </c>
    </row>
    <row r="1301">
      <c r="A1301">
        <f>IF($AG1301="","",INDEX('TMP Paste'!$B$2:$B$1601,$AG1301))</f>
        <v/>
      </c>
      <c r="B1301">
        <f>IF($AG1301="","",Config!$B$14)</f>
        <v/>
      </c>
      <c r="C1301">
        <f>IF($AG1301="","",Config!$B$15)</f>
        <v/>
      </c>
      <c r="D1301">
        <f>IF($AG1301="","",INDEX('TMP Paste'!$B$2:$B$1601,$AG1301))</f>
        <v/>
      </c>
      <c r="E1301">
        <f>IF($AG1301="","",Config!$B$27)</f>
        <v/>
      </c>
      <c r="F1301">
        <f>IF($AG1301="","",Config!$B$9)</f>
        <v/>
      </c>
      <c r="G1301">
        <f>IF($AG1301="","",Config!$B$10)</f>
        <v/>
      </c>
      <c r="H1301">
        <f>IF($AG1301="","",Config!$B$11)</f>
        <v/>
      </c>
      <c r="I1301">
        <f>IF($AG1301="","",Config!$B$16)</f>
        <v/>
      </c>
      <c r="J1301">
        <f>IF($AG1301="","",INDEX('TMP Paste'!$A$2:$A$1601,$AG1301))</f>
        <v/>
      </c>
      <c r="K1301">
        <f>IF($AG1301="","",INDEX('TMP Paste'!$L$2:$L$1601,$AG1301))</f>
        <v/>
      </c>
      <c r="L1301">
        <f>IF($AG1301="","",INDEX('TMP Paste'!$I$2:$I$1601,$AG1301))</f>
        <v/>
      </c>
      <c r="M1301">
        <f>IF($AG1301="","",Config!$B$16)</f>
        <v/>
      </c>
      <c r="N1301">
        <f>IF($AG1301="","","")</f>
        <v/>
      </c>
      <c r="O1301">
        <f>IF($AG1301="","",INDEX('TMP Paste'!$K$2:$K$1601,$AG1301))</f>
        <v/>
      </c>
      <c r="P1301">
        <f>IF($AG1301="","","")</f>
        <v/>
      </c>
      <c r="Q1301">
        <f>IF($AG1301="","",INDEX('TMP Paste'!$J$2:$J$1601,$AG1301))</f>
        <v/>
      </c>
      <c r="R1301">
        <f>IF($AG1301="","",Config!$B$24)</f>
        <v/>
      </c>
      <c r="S1301">
        <f>IF($AG1301="","",TEXT(Config!$B$4,"yyyy-mm-dd"))</f>
        <v/>
      </c>
      <c r="T1301">
        <f>IF($AG1301="","",Config!$B$17)</f>
        <v/>
      </c>
      <c r="U1301">
        <f>IF($AG1301="","",Config!$B$18)</f>
        <v/>
      </c>
      <c r="V1301">
        <f>IF($AG1301="","",Config!$B$19)</f>
        <v/>
      </c>
      <c r="W1301">
        <f>IF($AG1301="","",INDEX('TMP Paste'!$C$2:$C$1601,$AG1301))</f>
        <v/>
      </c>
      <c r="X1301">
        <f>IF($AG1301="","",Config!$B$29)</f>
        <v/>
      </c>
      <c r="Y1301">
        <f>IF($AH1301="","",INDEX(Calc!$I$2:$I$1601,$AH1301)&amp;" - "&amp;INDEX(Calc!$D$2:$D$1601,$AH1301)&amp;" koli")</f>
        <v/>
      </c>
      <c r="Z1301">
        <f>IF($AG1301="","",Config!$B$21)</f>
        <v/>
      </c>
      <c r="AA1301">
        <f>IF($AG1301="","",Config!$B$22)</f>
        <v/>
      </c>
      <c r="AB1301">
        <f>IF($AH1301="","",INDEX(Calc!$D$2:$D$1601,$AH1301))</f>
        <v/>
      </c>
      <c r="AC1301">
        <f>IF($AH1301="","",INDEX(Calc!$G$2:$G$1601,$AH1301))</f>
        <v/>
      </c>
      <c r="AD1301">
        <f>IF($AG1301="","",Config!$B$23)</f>
        <v/>
      </c>
      <c r="AE1301">
        <f>IF($AG1301="","",Config!$B$28)</f>
        <v/>
      </c>
      <c r="AG1301">
        <f>IFERROR(MATCH(ROW()-1,Calc!$J$2:$J$1601,0),"")</f>
        <v/>
      </c>
      <c r="AH1301">
        <f>IFERROR(MATCH(ROW()-1,Calc!$K$2:$K$1601,0),"")</f>
        <v/>
      </c>
      <c r="AI1301">
        <f>IF($AG1301="","",SUMIF($AG$2:$AG1301,$AG1301,$AH$2:$AH1301))</f>
        <v/>
      </c>
      <c r="AJ1301">
        <f>IF('TMP Paste'!$F1301="","",IF('TMP Paste'!$B1301="",$AJ1300,'TMP Paste'!$B1301))</f>
        <v/>
      </c>
      <c r="AK1301">
        <f>IF('TMP Paste'!$F1301="","",N('TMP Paste'!$G1301))</f>
        <v/>
      </c>
      <c r="AL1301">
        <f>IF('TMP Paste'!$F1301="","",IF('TMP Paste'!$M1301="",$AL1300,'TMP Paste'!$M1301))</f>
        <v/>
      </c>
      <c r="AM1301">
        <f>IF('TMP Paste'!$F1301="","",IF('TMP Paste'!$N1301="",$AM1300,'TMP Paste'!$N1301))</f>
        <v/>
      </c>
      <c r="AN1301">
        <f>IF('TMP Paste'!$F1301="","",IF('TMP Paste'!$O1301="",$AN1300,'TMP Paste'!$O1301))</f>
        <v/>
      </c>
      <c r="AO1301">
        <f>IF('TMP Paste'!$F1301="","",IF('TMP Paste'!$P1301="",$AO1300,'TMP Paste'!$P1301))</f>
        <v/>
      </c>
      <c r="AP1301">
        <f>IF($AG1301="","",LEN($R1301))</f>
        <v/>
      </c>
      <c r="AQ1301">
        <f>IF($AG1301="","",TRIM(IF(COUNTIFS(Calc!$B$2:$B$1601,ROW()-1,Calc!$C$2:$C$1601,"&lt;1")&gt;0,"Ada PO tanpa Koli - cek TMP. ","")&amp;IF(LEN($R1301)&gt;500,"R &gt; 500 karakter.","")))</f>
        <v/>
      </c>
    </row>
    <row r="1302">
      <c r="A1302">
        <f>IF($AG1302="","",INDEX('TMP Paste'!$B$2:$B$1601,$AG1302))</f>
        <v/>
      </c>
      <c r="B1302">
        <f>IF($AG1302="","",Config!$B$14)</f>
        <v/>
      </c>
      <c r="C1302">
        <f>IF($AG1302="","",Config!$B$15)</f>
        <v/>
      </c>
      <c r="D1302">
        <f>IF($AG1302="","",INDEX('TMP Paste'!$B$2:$B$1601,$AG1302))</f>
        <v/>
      </c>
      <c r="E1302">
        <f>IF($AG1302="","",Config!$B$27)</f>
        <v/>
      </c>
      <c r="F1302">
        <f>IF($AG1302="","",Config!$B$9)</f>
        <v/>
      </c>
      <c r="G1302">
        <f>IF($AG1302="","",Config!$B$10)</f>
        <v/>
      </c>
      <c r="H1302">
        <f>IF($AG1302="","",Config!$B$11)</f>
        <v/>
      </c>
      <c r="I1302">
        <f>IF($AG1302="","",Config!$B$16)</f>
        <v/>
      </c>
      <c r="J1302">
        <f>IF($AG1302="","",INDEX('TMP Paste'!$A$2:$A$1601,$AG1302))</f>
        <v/>
      </c>
      <c r="K1302">
        <f>IF($AG1302="","",INDEX('TMP Paste'!$L$2:$L$1601,$AG1302))</f>
        <v/>
      </c>
      <c r="L1302">
        <f>IF($AG1302="","",INDEX('TMP Paste'!$I$2:$I$1601,$AG1302))</f>
        <v/>
      </c>
      <c r="M1302">
        <f>IF($AG1302="","",Config!$B$16)</f>
        <v/>
      </c>
      <c r="N1302">
        <f>IF($AG1302="","","")</f>
        <v/>
      </c>
      <c r="O1302">
        <f>IF($AG1302="","",INDEX('TMP Paste'!$K$2:$K$1601,$AG1302))</f>
        <v/>
      </c>
      <c r="P1302">
        <f>IF($AG1302="","","")</f>
        <v/>
      </c>
      <c r="Q1302">
        <f>IF($AG1302="","",INDEX('TMP Paste'!$J$2:$J$1601,$AG1302))</f>
        <v/>
      </c>
      <c r="R1302">
        <f>IF($AG1302="","",Config!$B$24)</f>
        <v/>
      </c>
      <c r="S1302">
        <f>IF($AG1302="","",TEXT(Config!$B$4,"yyyy-mm-dd"))</f>
        <v/>
      </c>
      <c r="T1302">
        <f>IF($AG1302="","",Config!$B$17)</f>
        <v/>
      </c>
      <c r="U1302">
        <f>IF($AG1302="","",Config!$B$18)</f>
        <v/>
      </c>
      <c r="V1302">
        <f>IF($AG1302="","",Config!$B$19)</f>
        <v/>
      </c>
      <c r="W1302">
        <f>IF($AG1302="","",INDEX('TMP Paste'!$C$2:$C$1601,$AG1302))</f>
        <v/>
      </c>
      <c r="X1302">
        <f>IF($AG1302="","",Config!$B$29)</f>
        <v/>
      </c>
      <c r="Y1302">
        <f>IF($AH1302="","",INDEX(Calc!$I$2:$I$1601,$AH1302)&amp;" - "&amp;INDEX(Calc!$D$2:$D$1601,$AH1302)&amp;" koli")</f>
        <v/>
      </c>
      <c r="Z1302">
        <f>IF($AG1302="","",Config!$B$21)</f>
        <v/>
      </c>
      <c r="AA1302">
        <f>IF($AG1302="","",Config!$B$22)</f>
        <v/>
      </c>
      <c r="AB1302">
        <f>IF($AH1302="","",INDEX(Calc!$D$2:$D$1601,$AH1302))</f>
        <v/>
      </c>
      <c r="AC1302">
        <f>IF($AH1302="","",INDEX(Calc!$G$2:$G$1601,$AH1302))</f>
        <v/>
      </c>
      <c r="AD1302">
        <f>IF($AG1302="","",Config!$B$23)</f>
        <v/>
      </c>
      <c r="AE1302">
        <f>IF($AG1302="","",Config!$B$28)</f>
        <v/>
      </c>
      <c r="AG1302">
        <f>IFERROR(MATCH(ROW()-1,Calc!$J$2:$J$1601,0),"")</f>
        <v/>
      </c>
      <c r="AH1302">
        <f>IFERROR(MATCH(ROW()-1,Calc!$K$2:$K$1601,0),"")</f>
        <v/>
      </c>
      <c r="AI1302">
        <f>IF($AG1302="","",SUMIF($AG$2:$AG1302,$AG1302,$AH$2:$AH1302))</f>
        <v/>
      </c>
      <c r="AJ1302">
        <f>IF('TMP Paste'!$F1302="","",IF('TMP Paste'!$B1302="",$AJ1301,'TMP Paste'!$B1302))</f>
        <v/>
      </c>
      <c r="AK1302">
        <f>IF('TMP Paste'!$F1302="","",N('TMP Paste'!$G1302))</f>
        <v/>
      </c>
      <c r="AL1302">
        <f>IF('TMP Paste'!$F1302="","",IF('TMP Paste'!$M1302="",$AL1301,'TMP Paste'!$M1302))</f>
        <v/>
      </c>
      <c r="AM1302">
        <f>IF('TMP Paste'!$F1302="","",IF('TMP Paste'!$N1302="",$AM1301,'TMP Paste'!$N1302))</f>
        <v/>
      </c>
      <c r="AN1302">
        <f>IF('TMP Paste'!$F1302="","",IF('TMP Paste'!$O1302="",$AN1301,'TMP Paste'!$O1302))</f>
        <v/>
      </c>
      <c r="AO1302">
        <f>IF('TMP Paste'!$F1302="","",IF('TMP Paste'!$P1302="",$AO1301,'TMP Paste'!$P1302))</f>
        <v/>
      </c>
      <c r="AP1302">
        <f>IF($AG1302="","",LEN($R1302))</f>
        <v/>
      </c>
      <c r="AQ1302">
        <f>IF($AG1302="","",TRIM(IF(COUNTIFS(Calc!$B$2:$B$1601,ROW()-1,Calc!$C$2:$C$1601,"&lt;1")&gt;0,"Ada PO tanpa Koli - cek TMP. ","")&amp;IF(LEN($R1302)&gt;500,"R &gt; 500 karakter.","")))</f>
        <v/>
      </c>
    </row>
    <row r="1303">
      <c r="A1303">
        <f>IF($AG1303="","",INDEX('TMP Paste'!$B$2:$B$1601,$AG1303))</f>
        <v/>
      </c>
      <c r="B1303">
        <f>IF($AG1303="","",Config!$B$14)</f>
        <v/>
      </c>
      <c r="C1303">
        <f>IF($AG1303="","",Config!$B$15)</f>
        <v/>
      </c>
      <c r="D1303">
        <f>IF($AG1303="","",INDEX('TMP Paste'!$B$2:$B$1601,$AG1303))</f>
        <v/>
      </c>
      <c r="E1303">
        <f>IF($AG1303="","",Config!$B$27)</f>
        <v/>
      </c>
      <c r="F1303">
        <f>IF($AG1303="","",Config!$B$9)</f>
        <v/>
      </c>
      <c r="G1303">
        <f>IF($AG1303="","",Config!$B$10)</f>
        <v/>
      </c>
      <c r="H1303">
        <f>IF($AG1303="","",Config!$B$11)</f>
        <v/>
      </c>
      <c r="I1303">
        <f>IF($AG1303="","",Config!$B$16)</f>
        <v/>
      </c>
      <c r="J1303">
        <f>IF($AG1303="","",INDEX('TMP Paste'!$A$2:$A$1601,$AG1303))</f>
        <v/>
      </c>
      <c r="K1303">
        <f>IF($AG1303="","",INDEX('TMP Paste'!$L$2:$L$1601,$AG1303))</f>
        <v/>
      </c>
      <c r="L1303">
        <f>IF($AG1303="","",INDEX('TMP Paste'!$I$2:$I$1601,$AG1303))</f>
        <v/>
      </c>
      <c r="M1303">
        <f>IF($AG1303="","",Config!$B$16)</f>
        <v/>
      </c>
      <c r="N1303">
        <f>IF($AG1303="","","")</f>
        <v/>
      </c>
      <c r="O1303">
        <f>IF($AG1303="","",INDEX('TMP Paste'!$K$2:$K$1601,$AG1303))</f>
        <v/>
      </c>
      <c r="P1303">
        <f>IF($AG1303="","","")</f>
        <v/>
      </c>
      <c r="Q1303">
        <f>IF($AG1303="","",INDEX('TMP Paste'!$J$2:$J$1601,$AG1303))</f>
        <v/>
      </c>
      <c r="R1303">
        <f>IF($AG1303="","",Config!$B$24)</f>
        <v/>
      </c>
      <c r="S1303">
        <f>IF($AG1303="","",TEXT(Config!$B$4,"yyyy-mm-dd"))</f>
        <v/>
      </c>
      <c r="T1303">
        <f>IF($AG1303="","",Config!$B$17)</f>
        <v/>
      </c>
      <c r="U1303">
        <f>IF($AG1303="","",Config!$B$18)</f>
        <v/>
      </c>
      <c r="V1303">
        <f>IF($AG1303="","",Config!$B$19)</f>
        <v/>
      </c>
      <c r="W1303">
        <f>IF($AG1303="","",INDEX('TMP Paste'!$C$2:$C$1601,$AG1303))</f>
        <v/>
      </c>
      <c r="X1303">
        <f>IF($AG1303="","",Config!$B$29)</f>
        <v/>
      </c>
      <c r="Y1303">
        <f>IF($AH1303="","",INDEX(Calc!$I$2:$I$1601,$AH1303)&amp;" - "&amp;INDEX(Calc!$D$2:$D$1601,$AH1303)&amp;" koli")</f>
        <v/>
      </c>
      <c r="Z1303">
        <f>IF($AG1303="","",Config!$B$21)</f>
        <v/>
      </c>
      <c r="AA1303">
        <f>IF($AG1303="","",Config!$B$22)</f>
        <v/>
      </c>
      <c r="AB1303">
        <f>IF($AH1303="","",INDEX(Calc!$D$2:$D$1601,$AH1303))</f>
        <v/>
      </c>
      <c r="AC1303">
        <f>IF($AH1303="","",INDEX(Calc!$G$2:$G$1601,$AH1303))</f>
        <v/>
      </c>
      <c r="AD1303">
        <f>IF($AG1303="","",Config!$B$23)</f>
        <v/>
      </c>
      <c r="AE1303">
        <f>IF($AG1303="","",Config!$B$28)</f>
        <v/>
      </c>
      <c r="AG1303">
        <f>IFERROR(MATCH(ROW()-1,Calc!$J$2:$J$1601,0),"")</f>
        <v/>
      </c>
      <c r="AH1303">
        <f>IFERROR(MATCH(ROW()-1,Calc!$K$2:$K$1601,0),"")</f>
        <v/>
      </c>
      <c r="AI1303">
        <f>IF($AG1303="","",SUMIF($AG$2:$AG1303,$AG1303,$AH$2:$AH1303))</f>
        <v/>
      </c>
      <c r="AJ1303">
        <f>IF('TMP Paste'!$F1303="","",IF('TMP Paste'!$B1303="",$AJ1302,'TMP Paste'!$B1303))</f>
        <v/>
      </c>
      <c r="AK1303">
        <f>IF('TMP Paste'!$F1303="","",N('TMP Paste'!$G1303))</f>
        <v/>
      </c>
      <c r="AL1303">
        <f>IF('TMP Paste'!$F1303="","",IF('TMP Paste'!$M1303="",$AL1302,'TMP Paste'!$M1303))</f>
        <v/>
      </c>
      <c r="AM1303">
        <f>IF('TMP Paste'!$F1303="","",IF('TMP Paste'!$N1303="",$AM1302,'TMP Paste'!$N1303))</f>
        <v/>
      </c>
      <c r="AN1303">
        <f>IF('TMP Paste'!$F1303="","",IF('TMP Paste'!$O1303="",$AN1302,'TMP Paste'!$O1303))</f>
        <v/>
      </c>
      <c r="AO1303">
        <f>IF('TMP Paste'!$F1303="","",IF('TMP Paste'!$P1303="",$AO1302,'TMP Paste'!$P1303))</f>
        <v/>
      </c>
      <c r="AP1303">
        <f>IF($AG1303="","",LEN($R1303))</f>
        <v/>
      </c>
      <c r="AQ1303">
        <f>IF($AG1303="","",TRIM(IF(COUNTIFS(Calc!$B$2:$B$1601,ROW()-1,Calc!$C$2:$C$1601,"&lt;1")&gt;0,"Ada PO tanpa Koli - cek TMP. ","")&amp;IF(LEN($R1303)&gt;500,"R &gt; 500 karakter.","")))</f>
        <v/>
      </c>
    </row>
    <row r="1304">
      <c r="A1304">
        <f>IF($AG1304="","",INDEX('TMP Paste'!$B$2:$B$1601,$AG1304))</f>
        <v/>
      </c>
      <c r="B1304">
        <f>IF($AG1304="","",Config!$B$14)</f>
        <v/>
      </c>
      <c r="C1304">
        <f>IF($AG1304="","",Config!$B$15)</f>
        <v/>
      </c>
      <c r="D1304">
        <f>IF($AG1304="","",INDEX('TMP Paste'!$B$2:$B$1601,$AG1304))</f>
        <v/>
      </c>
      <c r="E1304">
        <f>IF($AG1304="","",Config!$B$27)</f>
        <v/>
      </c>
      <c r="F1304">
        <f>IF($AG1304="","",Config!$B$9)</f>
        <v/>
      </c>
      <c r="G1304">
        <f>IF($AG1304="","",Config!$B$10)</f>
        <v/>
      </c>
      <c r="H1304">
        <f>IF($AG1304="","",Config!$B$11)</f>
        <v/>
      </c>
      <c r="I1304">
        <f>IF($AG1304="","",Config!$B$16)</f>
        <v/>
      </c>
      <c r="J1304">
        <f>IF($AG1304="","",INDEX('TMP Paste'!$A$2:$A$1601,$AG1304))</f>
        <v/>
      </c>
      <c r="K1304">
        <f>IF($AG1304="","",INDEX('TMP Paste'!$L$2:$L$1601,$AG1304))</f>
        <v/>
      </c>
      <c r="L1304">
        <f>IF($AG1304="","",INDEX('TMP Paste'!$I$2:$I$1601,$AG1304))</f>
        <v/>
      </c>
      <c r="M1304">
        <f>IF($AG1304="","",Config!$B$16)</f>
        <v/>
      </c>
      <c r="N1304">
        <f>IF($AG1304="","","")</f>
        <v/>
      </c>
      <c r="O1304">
        <f>IF($AG1304="","",INDEX('TMP Paste'!$K$2:$K$1601,$AG1304))</f>
        <v/>
      </c>
      <c r="P1304">
        <f>IF($AG1304="","","")</f>
        <v/>
      </c>
      <c r="Q1304">
        <f>IF($AG1304="","",INDEX('TMP Paste'!$J$2:$J$1601,$AG1304))</f>
        <v/>
      </c>
      <c r="R1304">
        <f>IF($AG1304="","",Config!$B$24)</f>
        <v/>
      </c>
      <c r="S1304">
        <f>IF($AG1304="","",TEXT(Config!$B$4,"yyyy-mm-dd"))</f>
        <v/>
      </c>
      <c r="T1304">
        <f>IF($AG1304="","",Config!$B$17)</f>
        <v/>
      </c>
      <c r="U1304">
        <f>IF($AG1304="","",Config!$B$18)</f>
        <v/>
      </c>
      <c r="V1304">
        <f>IF($AG1304="","",Config!$B$19)</f>
        <v/>
      </c>
      <c r="W1304">
        <f>IF($AG1304="","",INDEX('TMP Paste'!$C$2:$C$1601,$AG1304))</f>
        <v/>
      </c>
      <c r="X1304">
        <f>IF($AG1304="","",Config!$B$29)</f>
        <v/>
      </c>
      <c r="Y1304">
        <f>IF($AH1304="","",INDEX(Calc!$I$2:$I$1601,$AH1304)&amp;" - "&amp;INDEX(Calc!$D$2:$D$1601,$AH1304)&amp;" koli")</f>
        <v/>
      </c>
      <c r="Z1304">
        <f>IF($AG1304="","",Config!$B$21)</f>
        <v/>
      </c>
      <c r="AA1304">
        <f>IF($AG1304="","",Config!$B$22)</f>
        <v/>
      </c>
      <c r="AB1304">
        <f>IF($AH1304="","",INDEX(Calc!$D$2:$D$1601,$AH1304))</f>
        <v/>
      </c>
      <c r="AC1304">
        <f>IF($AH1304="","",INDEX(Calc!$G$2:$G$1601,$AH1304))</f>
        <v/>
      </c>
      <c r="AD1304">
        <f>IF($AG1304="","",Config!$B$23)</f>
        <v/>
      </c>
      <c r="AE1304">
        <f>IF($AG1304="","",Config!$B$28)</f>
        <v/>
      </c>
      <c r="AG1304">
        <f>IFERROR(MATCH(ROW()-1,Calc!$J$2:$J$1601,0),"")</f>
        <v/>
      </c>
      <c r="AH1304">
        <f>IFERROR(MATCH(ROW()-1,Calc!$K$2:$K$1601,0),"")</f>
        <v/>
      </c>
      <c r="AI1304">
        <f>IF($AG1304="","",SUMIF($AG$2:$AG1304,$AG1304,$AH$2:$AH1304))</f>
        <v/>
      </c>
      <c r="AJ1304">
        <f>IF('TMP Paste'!$F1304="","",IF('TMP Paste'!$B1304="",$AJ1303,'TMP Paste'!$B1304))</f>
        <v/>
      </c>
      <c r="AK1304">
        <f>IF('TMP Paste'!$F1304="","",N('TMP Paste'!$G1304))</f>
        <v/>
      </c>
      <c r="AL1304">
        <f>IF('TMP Paste'!$F1304="","",IF('TMP Paste'!$M1304="",$AL1303,'TMP Paste'!$M1304))</f>
        <v/>
      </c>
      <c r="AM1304">
        <f>IF('TMP Paste'!$F1304="","",IF('TMP Paste'!$N1304="",$AM1303,'TMP Paste'!$N1304))</f>
        <v/>
      </c>
      <c r="AN1304">
        <f>IF('TMP Paste'!$F1304="","",IF('TMP Paste'!$O1304="",$AN1303,'TMP Paste'!$O1304))</f>
        <v/>
      </c>
      <c r="AO1304">
        <f>IF('TMP Paste'!$F1304="","",IF('TMP Paste'!$P1304="",$AO1303,'TMP Paste'!$P1304))</f>
        <v/>
      </c>
      <c r="AP1304">
        <f>IF($AG1304="","",LEN($R1304))</f>
        <v/>
      </c>
      <c r="AQ1304">
        <f>IF($AG1304="","",TRIM(IF(COUNTIFS(Calc!$B$2:$B$1601,ROW()-1,Calc!$C$2:$C$1601,"&lt;1")&gt;0,"Ada PO tanpa Koli - cek TMP. ","")&amp;IF(LEN($R1304)&gt;500,"R &gt; 500 karakter.","")))</f>
        <v/>
      </c>
    </row>
    <row r="1305">
      <c r="A1305">
        <f>IF($AG1305="","",INDEX('TMP Paste'!$B$2:$B$1601,$AG1305))</f>
        <v/>
      </c>
      <c r="B1305">
        <f>IF($AG1305="","",Config!$B$14)</f>
        <v/>
      </c>
      <c r="C1305">
        <f>IF($AG1305="","",Config!$B$15)</f>
        <v/>
      </c>
      <c r="D1305">
        <f>IF($AG1305="","",INDEX('TMP Paste'!$B$2:$B$1601,$AG1305))</f>
        <v/>
      </c>
      <c r="E1305">
        <f>IF($AG1305="","",Config!$B$27)</f>
        <v/>
      </c>
      <c r="F1305">
        <f>IF($AG1305="","",Config!$B$9)</f>
        <v/>
      </c>
      <c r="G1305">
        <f>IF($AG1305="","",Config!$B$10)</f>
        <v/>
      </c>
      <c r="H1305">
        <f>IF($AG1305="","",Config!$B$11)</f>
        <v/>
      </c>
      <c r="I1305">
        <f>IF($AG1305="","",Config!$B$16)</f>
        <v/>
      </c>
      <c r="J1305">
        <f>IF($AG1305="","",INDEX('TMP Paste'!$A$2:$A$1601,$AG1305))</f>
        <v/>
      </c>
      <c r="K1305">
        <f>IF($AG1305="","",INDEX('TMP Paste'!$L$2:$L$1601,$AG1305))</f>
        <v/>
      </c>
      <c r="L1305">
        <f>IF($AG1305="","",INDEX('TMP Paste'!$I$2:$I$1601,$AG1305))</f>
        <v/>
      </c>
      <c r="M1305">
        <f>IF($AG1305="","",Config!$B$16)</f>
        <v/>
      </c>
      <c r="N1305">
        <f>IF($AG1305="","","")</f>
        <v/>
      </c>
      <c r="O1305">
        <f>IF($AG1305="","",INDEX('TMP Paste'!$K$2:$K$1601,$AG1305))</f>
        <v/>
      </c>
      <c r="P1305">
        <f>IF($AG1305="","","")</f>
        <v/>
      </c>
      <c r="Q1305">
        <f>IF($AG1305="","",INDEX('TMP Paste'!$J$2:$J$1601,$AG1305))</f>
        <v/>
      </c>
      <c r="R1305">
        <f>IF($AG1305="","",Config!$B$24)</f>
        <v/>
      </c>
      <c r="S1305">
        <f>IF($AG1305="","",TEXT(Config!$B$4,"yyyy-mm-dd"))</f>
        <v/>
      </c>
      <c r="T1305">
        <f>IF($AG1305="","",Config!$B$17)</f>
        <v/>
      </c>
      <c r="U1305">
        <f>IF($AG1305="","",Config!$B$18)</f>
        <v/>
      </c>
      <c r="V1305">
        <f>IF($AG1305="","",Config!$B$19)</f>
        <v/>
      </c>
      <c r="W1305">
        <f>IF($AG1305="","",INDEX('TMP Paste'!$C$2:$C$1601,$AG1305))</f>
        <v/>
      </c>
      <c r="X1305">
        <f>IF($AG1305="","",Config!$B$29)</f>
        <v/>
      </c>
      <c r="Y1305">
        <f>IF($AH1305="","",INDEX(Calc!$I$2:$I$1601,$AH1305)&amp;" - "&amp;INDEX(Calc!$D$2:$D$1601,$AH1305)&amp;" koli")</f>
        <v/>
      </c>
      <c r="Z1305">
        <f>IF($AG1305="","",Config!$B$21)</f>
        <v/>
      </c>
      <c r="AA1305">
        <f>IF($AG1305="","",Config!$B$22)</f>
        <v/>
      </c>
      <c r="AB1305">
        <f>IF($AH1305="","",INDEX(Calc!$D$2:$D$1601,$AH1305))</f>
        <v/>
      </c>
      <c r="AC1305">
        <f>IF($AH1305="","",INDEX(Calc!$G$2:$G$1601,$AH1305))</f>
        <v/>
      </c>
      <c r="AD1305">
        <f>IF($AG1305="","",Config!$B$23)</f>
        <v/>
      </c>
      <c r="AE1305">
        <f>IF($AG1305="","",Config!$B$28)</f>
        <v/>
      </c>
      <c r="AG1305">
        <f>IFERROR(MATCH(ROW()-1,Calc!$J$2:$J$1601,0),"")</f>
        <v/>
      </c>
      <c r="AH1305">
        <f>IFERROR(MATCH(ROW()-1,Calc!$K$2:$K$1601,0),"")</f>
        <v/>
      </c>
      <c r="AI1305">
        <f>IF($AG1305="","",SUMIF($AG$2:$AG1305,$AG1305,$AH$2:$AH1305))</f>
        <v/>
      </c>
      <c r="AJ1305">
        <f>IF('TMP Paste'!$F1305="","",IF('TMP Paste'!$B1305="",$AJ1304,'TMP Paste'!$B1305))</f>
        <v/>
      </c>
      <c r="AK1305">
        <f>IF('TMP Paste'!$F1305="","",N('TMP Paste'!$G1305))</f>
        <v/>
      </c>
      <c r="AL1305">
        <f>IF('TMP Paste'!$F1305="","",IF('TMP Paste'!$M1305="",$AL1304,'TMP Paste'!$M1305))</f>
        <v/>
      </c>
      <c r="AM1305">
        <f>IF('TMP Paste'!$F1305="","",IF('TMP Paste'!$N1305="",$AM1304,'TMP Paste'!$N1305))</f>
        <v/>
      </c>
      <c r="AN1305">
        <f>IF('TMP Paste'!$F1305="","",IF('TMP Paste'!$O1305="",$AN1304,'TMP Paste'!$O1305))</f>
        <v/>
      </c>
      <c r="AO1305">
        <f>IF('TMP Paste'!$F1305="","",IF('TMP Paste'!$P1305="",$AO1304,'TMP Paste'!$P1305))</f>
        <v/>
      </c>
      <c r="AP1305">
        <f>IF($AG1305="","",LEN($R1305))</f>
        <v/>
      </c>
      <c r="AQ1305">
        <f>IF($AG1305="","",TRIM(IF(COUNTIFS(Calc!$B$2:$B$1601,ROW()-1,Calc!$C$2:$C$1601,"&lt;1")&gt;0,"Ada PO tanpa Koli - cek TMP. ","")&amp;IF(LEN($R1305)&gt;500,"R &gt; 500 karakter.","")))</f>
        <v/>
      </c>
    </row>
    <row r="1306">
      <c r="A1306">
        <f>IF($AG1306="","",INDEX('TMP Paste'!$B$2:$B$1601,$AG1306))</f>
        <v/>
      </c>
      <c r="B1306">
        <f>IF($AG1306="","",Config!$B$14)</f>
        <v/>
      </c>
      <c r="C1306">
        <f>IF($AG1306="","",Config!$B$15)</f>
        <v/>
      </c>
      <c r="D1306">
        <f>IF($AG1306="","",INDEX('TMP Paste'!$B$2:$B$1601,$AG1306))</f>
        <v/>
      </c>
      <c r="E1306">
        <f>IF($AG1306="","",Config!$B$27)</f>
        <v/>
      </c>
      <c r="F1306">
        <f>IF($AG1306="","",Config!$B$9)</f>
        <v/>
      </c>
      <c r="G1306">
        <f>IF($AG1306="","",Config!$B$10)</f>
        <v/>
      </c>
      <c r="H1306">
        <f>IF($AG1306="","",Config!$B$11)</f>
        <v/>
      </c>
      <c r="I1306">
        <f>IF($AG1306="","",Config!$B$16)</f>
        <v/>
      </c>
      <c r="J1306">
        <f>IF($AG1306="","",INDEX('TMP Paste'!$A$2:$A$1601,$AG1306))</f>
        <v/>
      </c>
      <c r="K1306">
        <f>IF($AG1306="","",INDEX('TMP Paste'!$L$2:$L$1601,$AG1306))</f>
        <v/>
      </c>
      <c r="L1306">
        <f>IF($AG1306="","",INDEX('TMP Paste'!$I$2:$I$1601,$AG1306))</f>
        <v/>
      </c>
      <c r="M1306">
        <f>IF($AG1306="","",Config!$B$16)</f>
        <v/>
      </c>
      <c r="N1306">
        <f>IF($AG1306="","","")</f>
        <v/>
      </c>
      <c r="O1306">
        <f>IF($AG1306="","",INDEX('TMP Paste'!$K$2:$K$1601,$AG1306))</f>
        <v/>
      </c>
      <c r="P1306">
        <f>IF($AG1306="","","")</f>
        <v/>
      </c>
      <c r="Q1306">
        <f>IF($AG1306="","",INDEX('TMP Paste'!$J$2:$J$1601,$AG1306))</f>
        <v/>
      </c>
      <c r="R1306">
        <f>IF($AG1306="","",Config!$B$24)</f>
        <v/>
      </c>
      <c r="S1306">
        <f>IF($AG1306="","",TEXT(Config!$B$4,"yyyy-mm-dd"))</f>
        <v/>
      </c>
      <c r="T1306">
        <f>IF($AG1306="","",Config!$B$17)</f>
        <v/>
      </c>
      <c r="U1306">
        <f>IF($AG1306="","",Config!$B$18)</f>
        <v/>
      </c>
      <c r="V1306">
        <f>IF($AG1306="","",Config!$B$19)</f>
        <v/>
      </c>
      <c r="W1306">
        <f>IF($AG1306="","",INDEX('TMP Paste'!$C$2:$C$1601,$AG1306))</f>
        <v/>
      </c>
      <c r="X1306">
        <f>IF($AG1306="","",Config!$B$29)</f>
        <v/>
      </c>
      <c r="Y1306">
        <f>IF($AH1306="","",INDEX(Calc!$I$2:$I$1601,$AH1306)&amp;" - "&amp;INDEX(Calc!$D$2:$D$1601,$AH1306)&amp;" koli")</f>
        <v/>
      </c>
      <c r="Z1306">
        <f>IF($AG1306="","",Config!$B$21)</f>
        <v/>
      </c>
      <c r="AA1306">
        <f>IF($AG1306="","",Config!$B$22)</f>
        <v/>
      </c>
      <c r="AB1306">
        <f>IF($AH1306="","",INDEX(Calc!$D$2:$D$1601,$AH1306))</f>
        <v/>
      </c>
      <c r="AC1306">
        <f>IF($AH1306="","",INDEX(Calc!$G$2:$G$1601,$AH1306))</f>
        <v/>
      </c>
      <c r="AD1306">
        <f>IF($AG1306="","",Config!$B$23)</f>
        <v/>
      </c>
      <c r="AE1306">
        <f>IF($AG1306="","",Config!$B$28)</f>
        <v/>
      </c>
      <c r="AG1306">
        <f>IFERROR(MATCH(ROW()-1,Calc!$J$2:$J$1601,0),"")</f>
        <v/>
      </c>
      <c r="AH1306">
        <f>IFERROR(MATCH(ROW()-1,Calc!$K$2:$K$1601,0),"")</f>
        <v/>
      </c>
      <c r="AI1306">
        <f>IF($AG1306="","",SUMIF($AG$2:$AG1306,$AG1306,$AH$2:$AH1306))</f>
        <v/>
      </c>
      <c r="AJ1306">
        <f>IF('TMP Paste'!$F1306="","",IF('TMP Paste'!$B1306="",$AJ1305,'TMP Paste'!$B1306))</f>
        <v/>
      </c>
      <c r="AK1306">
        <f>IF('TMP Paste'!$F1306="","",N('TMP Paste'!$G1306))</f>
        <v/>
      </c>
      <c r="AL1306">
        <f>IF('TMP Paste'!$F1306="","",IF('TMP Paste'!$M1306="",$AL1305,'TMP Paste'!$M1306))</f>
        <v/>
      </c>
      <c r="AM1306">
        <f>IF('TMP Paste'!$F1306="","",IF('TMP Paste'!$N1306="",$AM1305,'TMP Paste'!$N1306))</f>
        <v/>
      </c>
      <c r="AN1306">
        <f>IF('TMP Paste'!$F1306="","",IF('TMP Paste'!$O1306="",$AN1305,'TMP Paste'!$O1306))</f>
        <v/>
      </c>
      <c r="AO1306">
        <f>IF('TMP Paste'!$F1306="","",IF('TMP Paste'!$P1306="",$AO1305,'TMP Paste'!$P1306))</f>
        <v/>
      </c>
      <c r="AP1306">
        <f>IF($AG1306="","",LEN($R1306))</f>
        <v/>
      </c>
      <c r="AQ1306">
        <f>IF($AG1306="","",TRIM(IF(COUNTIFS(Calc!$B$2:$B$1601,ROW()-1,Calc!$C$2:$C$1601,"&lt;1")&gt;0,"Ada PO tanpa Koli - cek TMP. ","")&amp;IF(LEN($R1306)&gt;500,"R &gt; 500 karakter.","")))</f>
        <v/>
      </c>
    </row>
    <row r="1307">
      <c r="A1307">
        <f>IF($AG1307="","",INDEX('TMP Paste'!$B$2:$B$1601,$AG1307))</f>
        <v/>
      </c>
      <c r="B1307">
        <f>IF($AG1307="","",Config!$B$14)</f>
        <v/>
      </c>
      <c r="C1307">
        <f>IF($AG1307="","",Config!$B$15)</f>
        <v/>
      </c>
      <c r="D1307">
        <f>IF($AG1307="","",INDEX('TMP Paste'!$B$2:$B$1601,$AG1307))</f>
        <v/>
      </c>
      <c r="E1307">
        <f>IF($AG1307="","",Config!$B$27)</f>
        <v/>
      </c>
      <c r="F1307">
        <f>IF($AG1307="","",Config!$B$9)</f>
        <v/>
      </c>
      <c r="G1307">
        <f>IF($AG1307="","",Config!$B$10)</f>
        <v/>
      </c>
      <c r="H1307">
        <f>IF($AG1307="","",Config!$B$11)</f>
        <v/>
      </c>
      <c r="I1307">
        <f>IF($AG1307="","",Config!$B$16)</f>
        <v/>
      </c>
      <c r="J1307">
        <f>IF($AG1307="","",INDEX('TMP Paste'!$A$2:$A$1601,$AG1307))</f>
        <v/>
      </c>
      <c r="K1307">
        <f>IF($AG1307="","",INDEX('TMP Paste'!$L$2:$L$1601,$AG1307))</f>
        <v/>
      </c>
      <c r="L1307">
        <f>IF($AG1307="","",INDEX('TMP Paste'!$I$2:$I$1601,$AG1307))</f>
        <v/>
      </c>
      <c r="M1307">
        <f>IF($AG1307="","",Config!$B$16)</f>
        <v/>
      </c>
      <c r="N1307">
        <f>IF($AG1307="","","")</f>
        <v/>
      </c>
      <c r="O1307">
        <f>IF($AG1307="","",INDEX('TMP Paste'!$K$2:$K$1601,$AG1307))</f>
        <v/>
      </c>
      <c r="P1307">
        <f>IF($AG1307="","","")</f>
        <v/>
      </c>
      <c r="Q1307">
        <f>IF($AG1307="","",INDEX('TMP Paste'!$J$2:$J$1601,$AG1307))</f>
        <v/>
      </c>
      <c r="R1307">
        <f>IF($AG1307="","",Config!$B$24)</f>
        <v/>
      </c>
      <c r="S1307">
        <f>IF($AG1307="","",TEXT(Config!$B$4,"yyyy-mm-dd"))</f>
        <v/>
      </c>
      <c r="T1307">
        <f>IF($AG1307="","",Config!$B$17)</f>
        <v/>
      </c>
      <c r="U1307">
        <f>IF($AG1307="","",Config!$B$18)</f>
        <v/>
      </c>
      <c r="V1307">
        <f>IF($AG1307="","",Config!$B$19)</f>
        <v/>
      </c>
      <c r="W1307">
        <f>IF($AG1307="","",INDEX('TMP Paste'!$C$2:$C$1601,$AG1307))</f>
        <v/>
      </c>
      <c r="X1307">
        <f>IF($AG1307="","",Config!$B$29)</f>
        <v/>
      </c>
      <c r="Y1307">
        <f>IF($AH1307="","",INDEX(Calc!$I$2:$I$1601,$AH1307)&amp;" - "&amp;INDEX(Calc!$D$2:$D$1601,$AH1307)&amp;" koli")</f>
        <v/>
      </c>
      <c r="Z1307">
        <f>IF($AG1307="","",Config!$B$21)</f>
        <v/>
      </c>
      <c r="AA1307">
        <f>IF($AG1307="","",Config!$B$22)</f>
        <v/>
      </c>
      <c r="AB1307">
        <f>IF($AH1307="","",INDEX(Calc!$D$2:$D$1601,$AH1307))</f>
        <v/>
      </c>
      <c r="AC1307">
        <f>IF($AH1307="","",INDEX(Calc!$G$2:$G$1601,$AH1307))</f>
        <v/>
      </c>
      <c r="AD1307">
        <f>IF($AG1307="","",Config!$B$23)</f>
        <v/>
      </c>
      <c r="AE1307">
        <f>IF($AG1307="","",Config!$B$28)</f>
        <v/>
      </c>
      <c r="AG1307">
        <f>IFERROR(MATCH(ROW()-1,Calc!$J$2:$J$1601,0),"")</f>
        <v/>
      </c>
      <c r="AH1307">
        <f>IFERROR(MATCH(ROW()-1,Calc!$K$2:$K$1601,0),"")</f>
        <v/>
      </c>
      <c r="AI1307">
        <f>IF($AG1307="","",SUMIF($AG$2:$AG1307,$AG1307,$AH$2:$AH1307))</f>
        <v/>
      </c>
      <c r="AJ1307">
        <f>IF('TMP Paste'!$F1307="","",IF('TMP Paste'!$B1307="",$AJ1306,'TMP Paste'!$B1307))</f>
        <v/>
      </c>
      <c r="AK1307">
        <f>IF('TMP Paste'!$F1307="","",N('TMP Paste'!$G1307))</f>
        <v/>
      </c>
      <c r="AL1307">
        <f>IF('TMP Paste'!$F1307="","",IF('TMP Paste'!$M1307="",$AL1306,'TMP Paste'!$M1307))</f>
        <v/>
      </c>
      <c r="AM1307">
        <f>IF('TMP Paste'!$F1307="","",IF('TMP Paste'!$N1307="",$AM1306,'TMP Paste'!$N1307))</f>
        <v/>
      </c>
      <c r="AN1307">
        <f>IF('TMP Paste'!$F1307="","",IF('TMP Paste'!$O1307="",$AN1306,'TMP Paste'!$O1307))</f>
        <v/>
      </c>
      <c r="AO1307">
        <f>IF('TMP Paste'!$F1307="","",IF('TMP Paste'!$P1307="",$AO1306,'TMP Paste'!$P1307))</f>
        <v/>
      </c>
      <c r="AP1307">
        <f>IF($AG1307="","",LEN($R1307))</f>
        <v/>
      </c>
      <c r="AQ1307">
        <f>IF($AG1307="","",TRIM(IF(COUNTIFS(Calc!$B$2:$B$1601,ROW()-1,Calc!$C$2:$C$1601,"&lt;1")&gt;0,"Ada PO tanpa Koli - cek TMP. ","")&amp;IF(LEN($R1307)&gt;500,"R &gt; 500 karakter.","")))</f>
        <v/>
      </c>
    </row>
    <row r="1308">
      <c r="A1308">
        <f>IF($AG1308="","",INDEX('TMP Paste'!$B$2:$B$1601,$AG1308))</f>
        <v/>
      </c>
      <c r="B1308">
        <f>IF($AG1308="","",Config!$B$14)</f>
        <v/>
      </c>
      <c r="C1308">
        <f>IF($AG1308="","",Config!$B$15)</f>
        <v/>
      </c>
      <c r="D1308">
        <f>IF($AG1308="","",INDEX('TMP Paste'!$B$2:$B$1601,$AG1308))</f>
        <v/>
      </c>
      <c r="E1308">
        <f>IF($AG1308="","",Config!$B$27)</f>
        <v/>
      </c>
      <c r="F1308">
        <f>IF($AG1308="","",Config!$B$9)</f>
        <v/>
      </c>
      <c r="G1308">
        <f>IF($AG1308="","",Config!$B$10)</f>
        <v/>
      </c>
      <c r="H1308">
        <f>IF($AG1308="","",Config!$B$11)</f>
        <v/>
      </c>
      <c r="I1308">
        <f>IF($AG1308="","",Config!$B$16)</f>
        <v/>
      </c>
      <c r="J1308">
        <f>IF($AG1308="","",INDEX('TMP Paste'!$A$2:$A$1601,$AG1308))</f>
        <v/>
      </c>
      <c r="K1308">
        <f>IF($AG1308="","",INDEX('TMP Paste'!$L$2:$L$1601,$AG1308))</f>
        <v/>
      </c>
      <c r="L1308">
        <f>IF($AG1308="","",INDEX('TMP Paste'!$I$2:$I$1601,$AG1308))</f>
        <v/>
      </c>
      <c r="M1308">
        <f>IF($AG1308="","",Config!$B$16)</f>
        <v/>
      </c>
      <c r="N1308">
        <f>IF($AG1308="","","")</f>
        <v/>
      </c>
      <c r="O1308">
        <f>IF($AG1308="","",INDEX('TMP Paste'!$K$2:$K$1601,$AG1308))</f>
        <v/>
      </c>
      <c r="P1308">
        <f>IF($AG1308="","","")</f>
        <v/>
      </c>
      <c r="Q1308">
        <f>IF($AG1308="","",INDEX('TMP Paste'!$J$2:$J$1601,$AG1308))</f>
        <v/>
      </c>
      <c r="R1308">
        <f>IF($AG1308="","",Config!$B$24)</f>
        <v/>
      </c>
      <c r="S1308">
        <f>IF($AG1308="","",TEXT(Config!$B$4,"yyyy-mm-dd"))</f>
        <v/>
      </c>
      <c r="T1308">
        <f>IF($AG1308="","",Config!$B$17)</f>
        <v/>
      </c>
      <c r="U1308">
        <f>IF($AG1308="","",Config!$B$18)</f>
        <v/>
      </c>
      <c r="V1308">
        <f>IF($AG1308="","",Config!$B$19)</f>
        <v/>
      </c>
      <c r="W1308">
        <f>IF($AG1308="","",INDEX('TMP Paste'!$C$2:$C$1601,$AG1308))</f>
        <v/>
      </c>
      <c r="X1308">
        <f>IF($AG1308="","",Config!$B$29)</f>
        <v/>
      </c>
      <c r="Y1308">
        <f>IF($AH1308="","",INDEX(Calc!$I$2:$I$1601,$AH1308)&amp;" - "&amp;INDEX(Calc!$D$2:$D$1601,$AH1308)&amp;" koli")</f>
        <v/>
      </c>
      <c r="Z1308">
        <f>IF($AG1308="","",Config!$B$21)</f>
        <v/>
      </c>
      <c r="AA1308">
        <f>IF($AG1308="","",Config!$B$22)</f>
        <v/>
      </c>
      <c r="AB1308">
        <f>IF($AH1308="","",INDEX(Calc!$D$2:$D$1601,$AH1308))</f>
        <v/>
      </c>
      <c r="AC1308">
        <f>IF($AH1308="","",INDEX(Calc!$G$2:$G$1601,$AH1308))</f>
        <v/>
      </c>
      <c r="AD1308">
        <f>IF($AG1308="","",Config!$B$23)</f>
        <v/>
      </c>
      <c r="AE1308">
        <f>IF($AG1308="","",Config!$B$28)</f>
        <v/>
      </c>
      <c r="AG1308">
        <f>IFERROR(MATCH(ROW()-1,Calc!$J$2:$J$1601,0),"")</f>
        <v/>
      </c>
      <c r="AH1308">
        <f>IFERROR(MATCH(ROW()-1,Calc!$K$2:$K$1601,0),"")</f>
        <v/>
      </c>
      <c r="AI1308">
        <f>IF($AG1308="","",SUMIF($AG$2:$AG1308,$AG1308,$AH$2:$AH1308))</f>
        <v/>
      </c>
      <c r="AJ1308">
        <f>IF('TMP Paste'!$F1308="","",IF('TMP Paste'!$B1308="",$AJ1307,'TMP Paste'!$B1308))</f>
        <v/>
      </c>
      <c r="AK1308">
        <f>IF('TMP Paste'!$F1308="","",N('TMP Paste'!$G1308))</f>
        <v/>
      </c>
      <c r="AL1308">
        <f>IF('TMP Paste'!$F1308="","",IF('TMP Paste'!$M1308="",$AL1307,'TMP Paste'!$M1308))</f>
        <v/>
      </c>
      <c r="AM1308">
        <f>IF('TMP Paste'!$F1308="","",IF('TMP Paste'!$N1308="",$AM1307,'TMP Paste'!$N1308))</f>
        <v/>
      </c>
      <c r="AN1308">
        <f>IF('TMP Paste'!$F1308="","",IF('TMP Paste'!$O1308="",$AN1307,'TMP Paste'!$O1308))</f>
        <v/>
      </c>
      <c r="AO1308">
        <f>IF('TMP Paste'!$F1308="","",IF('TMP Paste'!$P1308="",$AO1307,'TMP Paste'!$P1308))</f>
        <v/>
      </c>
      <c r="AP1308">
        <f>IF($AG1308="","",LEN($R1308))</f>
        <v/>
      </c>
      <c r="AQ1308">
        <f>IF($AG1308="","",TRIM(IF(COUNTIFS(Calc!$B$2:$B$1601,ROW()-1,Calc!$C$2:$C$1601,"&lt;1")&gt;0,"Ada PO tanpa Koli - cek TMP. ","")&amp;IF(LEN($R1308)&gt;500,"R &gt; 500 karakter.","")))</f>
        <v/>
      </c>
    </row>
    <row r="1309">
      <c r="A1309">
        <f>IF($AG1309="","",INDEX('TMP Paste'!$B$2:$B$1601,$AG1309))</f>
        <v/>
      </c>
      <c r="B1309">
        <f>IF($AG1309="","",Config!$B$14)</f>
        <v/>
      </c>
      <c r="C1309">
        <f>IF($AG1309="","",Config!$B$15)</f>
        <v/>
      </c>
      <c r="D1309">
        <f>IF($AG1309="","",INDEX('TMP Paste'!$B$2:$B$1601,$AG1309))</f>
        <v/>
      </c>
      <c r="E1309">
        <f>IF($AG1309="","",Config!$B$27)</f>
        <v/>
      </c>
      <c r="F1309">
        <f>IF($AG1309="","",Config!$B$9)</f>
        <v/>
      </c>
      <c r="G1309">
        <f>IF($AG1309="","",Config!$B$10)</f>
        <v/>
      </c>
      <c r="H1309">
        <f>IF($AG1309="","",Config!$B$11)</f>
        <v/>
      </c>
      <c r="I1309">
        <f>IF($AG1309="","",Config!$B$16)</f>
        <v/>
      </c>
      <c r="J1309">
        <f>IF($AG1309="","",INDEX('TMP Paste'!$A$2:$A$1601,$AG1309))</f>
        <v/>
      </c>
      <c r="K1309">
        <f>IF($AG1309="","",INDEX('TMP Paste'!$L$2:$L$1601,$AG1309))</f>
        <v/>
      </c>
      <c r="L1309">
        <f>IF($AG1309="","",INDEX('TMP Paste'!$I$2:$I$1601,$AG1309))</f>
        <v/>
      </c>
      <c r="M1309">
        <f>IF($AG1309="","",Config!$B$16)</f>
        <v/>
      </c>
      <c r="N1309">
        <f>IF($AG1309="","","")</f>
        <v/>
      </c>
      <c r="O1309">
        <f>IF($AG1309="","",INDEX('TMP Paste'!$K$2:$K$1601,$AG1309))</f>
        <v/>
      </c>
      <c r="P1309">
        <f>IF($AG1309="","","")</f>
        <v/>
      </c>
      <c r="Q1309">
        <f>IF($AG1309="","",INDEX('TMP Paste'!$J$2:$J$1601,$AG1309))</f>
        <v/>
      </c>
      <c r="R1309">
        <f>IF($AG1309="","",Config!$B$24)</f>
        <v/>
      </c>
      <c r="S1309">
        <f>IF($AG1309="","",TEXT(Config!$B$4,"yyyy-mm-dd"))</f>
        <v/>
      </c>
      <c r="T1309">
        <f>IF($AG1309="","",Config!$B$17)</f>
        <v/>
      </c>
      <c r="U1309">
        <f>IF($AG1309="","",Config!$B$18)</f>
        <v/>
      </c>
      <c r="V1309">
        <f>IF($AG1309="","",Config!$B$19)</f>
        <v/>
      </c>
      <c r="W1309">
        <f>IF($AG1309="","",INDEX('TMP Paste'!$C$2:$C$1601,$AG1309))</f>
        <v/>
      </c>
      <c r="X1309">
        <f>IF($AG1309="","",Config!$B$29)</f>
        <v/>
      </c>
      <c r="Y1309">
        <f>IF($AH1309="","",INDEX(Calc!$I$2:$I$1601,$AH1309)&amp;" - "&amp;INDEX(Calc!$D$2:$D$1601,$AH1309)&amp;" koli")</f>
        <v/>
      </c>
      <c r="Z1309">
        <f>IF($AG1309="","",Config!$B$21)</f>
        <v/>
      </c>
      <c r="AA1309">
        <f>IF($AG1309="","",Config!$B$22)</f>
        <v/>
      </c>
      <c r="AB1309">
        <f>IF($AH1309="","",INDEX(Calc!$D$2:$D$1601,$AH1309))</f>
        <v/>
      </c>
      <c r="AC1309">
        <f>IF($AH1309="","",INDEX(Calc!$G$2:$G$1601,$AH1309))</f>
        <v/>
      </c>
      <c r="AD1309">
        <f>IF($AG1309="","",Config!$B$23)</f>
        <v/>
      </c>
      <c r="AE1309">
        <f>IF($AG1309="","",Config!$B$28)</f>
        <v/>
      </c>
      <c r="AG1309">
        <f>IFERROR(MATCH(ROW()-1,Calc!$J$2:$J$1601,0),"")</f>
        <v/>
      </c>
      <c r="AH1309">
        <f>IFERROR(MATCH(ROW()-1,Calc!$K$2:$K$1601,0),"")</f>
        <v/>
      </c>
      <c r="AI1309">
        <f>IF($AG1309="","",SUMIF($AG$2:$AG1309,$AG1309,$AH$2:$AH1309))</f>
        <v/>
      </c>
      <c r="AJ1309">
        <f>IF('TMP Paste'!$F1309="","",IF('TMP Paste'!$B1309="",$AJ1308,'TMP Paste'!$B1309))</f>
        <v/>
      </c>
      <c r="AK1309">
        <f>IF('TMP Paste'!$F1309="","",N('TMP Paste'!$G1309))</f>
        <v/>
      </c>
      <c r="AL1309">
        <f>IF('TMP Paste'!$F1309="","",IF('TMP Paste'!$M1309="",$AL1308,'TMP Paste'!$M1309))</f>
        <v/>
      </c>
      <c r="AM1309">
        <f>IF('TMP Paste'!$F1309="","",IF('TMP Paste'!$N1309="",$AM1308,'TMP Paste'!$N1309))</f>
        <v/>
      </c>
      <c r="AN1309">
        <f>IF('TMP Paste'!$F1309="","",IF('TMP Paste'!$O1309="",$AN1308,'TMP Paste'!$O1309))</f>
        <v/>
      </c>
      <c r="AO1309">
        <f>IF('TMP Paste'!$F1309="","",IF('TMP Paste'!$P1309="",$AO1308,'TMP Paste'!$P1309))</f>
        <v/>
      </c>
      <c r="AP1309">
        <f>IF($AG1309="","",LEN($R1309))</f>
        <v/>
      </c>
      <c r="AQ1309">
        <f>IF($AG1309="","",TRIM(IF(COUNTIFS(Calc!$B$2:$B$1601,ROW()-1,Calc!$C$2:$C$1601,"&lt;1")&gt;0,"Ada PO tanpa Koli - cek TMP. ","")&amp;IF(LEN($R1309)&gt;500,"R &gt; 500 karakter.","")))</f>
        <v/>
      </c>
    </row>
    <row r="1310">
      <c r="A1310">
        <f>IF($AG1310="","",INDEX('TMP Paste'!$B$2:$B$1601,$AG1310))</f>
        <v/>
      </c>
      <c r="B1310">
        <f>IF($AG1310="","",Config!$B$14)</f>
        <v/>
      </c>
      <c r="C1310">
        <f>IF($AG1310="","",Config!$B$15)</f>
        <v/>
      </c>
      <c r="D1310">
        <f>IF($AG1310="","",INDEX('TMP Paste'!$B$2:$B$1601,$AG1310))</f>
        <v/>
      </c>
      <c r="E1310">
        <f>IF($AG1310="","",Config!$B$27)</f>
        <v/>
      </c>
      <c r="F1310">
        <f>IF($AG1310="","",Config!$B$9)</f>
        <v/>
      </c>
      <c r="G1310">
        <f>IF($AG1310="","",Config!$B$10)</f>
        <v/>
      </c>
      <c r="H1310">
        <f>IF($AG1310="","",Config!$B$11)</f>
        <v/>
      </c>
      <c r="I1310">
        <f>IF($AG1310="","",Config!$B$16)</f>
        <v/>
      </c>
      <c r="J1310">
        <f>IF($AG1310="","",INDEX('TMP Paste'!$A$2:$A$1601,$AG1310))</f>
        <v/>
      </c>
      <c r="K1310">
        <f>IF($AG1310="","",INDEX('TMP Paste'!$L$2:$L$1601,$AG1310))</f>
        <v/>
      </c>
      <c r="L1310">
        <f>IF($AG1310="","",INDEX('TMP Paste'!$I$2:$I$1601,$AG1310))</f>
        <v/>
      </c>
      <c r="M1310">
        <f>IF($AG1310="","",Config!$B$16)</f>
        <v/>
      </c>
      <c r="N1310">
        <f>IF($AG1310="","","")</f>
        <v/>
      </c>
      <c r="O1310">
        <f>IF($AG1310="","",INDEX('TMP Paste'!$K$2:$K$1601,$AG1310))</f>
        <v/>
      </c>
      <c r="P1310">
        <f>IF($AG1310="","","")</f>
        <v/>
      </c>
      <c r="Q1310">
        <f>IF($AG1310="","",INDEX('TMP Paste'!$J$2:$J$1601,$AG1310))</f>
        <v/>
      </c>
      <c r="R1310">
        <f>IF($AG1310="","",Config!$B$24)</f>
        <v/>
      </c>
      <c r="S1310">
        <f>IF($AG1310="","",TEXT(Config!$B$4,"yyyy-mm-dd"))</f>
        <v/>
      </c>
      <c r="T1310">
        <f>IF($AG1310="","",Config!$B$17)</f>
        <v/>
      </c>
      <c r="U1310">
        <f>IF($AG1310="","",Config!$B$18)</f>
        <v/>
      </c>
      <c r="V1310">
        <f>IF($AG1310="","",Config!$B$19)</f>
        <v/>
      </c>
      <c r="W1310">
        <f>IF($AG1310="","",INDEX('TMP Paste'!$C$2:$C$1601,$AG1310))</f>
        <v/>
      </c>
      <c r="X1310">
        <f>IF($AG1310="","",Config!$B$29)</f>
        <v/>
      </c>
      <c r="Y1310">
        <f>IF($AH1310="","",INDEX(Calc!$I$2:$I$1601,$AH1310)&amp;" - "&amp;INDEX(Calc!$D$2:$D$1601,$AH1310)&amp;" koli")</f>
        <v/>
      </c>
      <c r="Z1310">
        <f>IF($AG1310="","",Config!$B$21)</f>
        <v/>
      </c>
      <c r="AA1310">
        <f>IF($AG1310="","",Config!$B$22)</f>
        <v/>
      </c>
      <c r="AB1310">
        <f>IF($AH1310="","",INDEX(Calc!$D$2:$D$1601,$AH1310))</f>
        <v/>
      </c>
      <c r="AC1310">
        <f>IF($AH1310="","",INDEX(Calc!$G$2:$G$1601,$AH1310))</f>
        <v/>
      </c>
      <c r="AD1310">
        <f>IF($AG1310="","",Config!$B$23)</f>
        <v/>
      </c>
      <c r="AE1310">
        <f>IF($AG1310="","",Config!$B$28)</f>
        <v/>
      </c>
      <c r="AG1310">
        <f>IFERROR(MATCH(ROW()-1,Calc!$J$2:$J$1601,0),"")</f>
        <v/>
      </c>
      <c r="AH1310">
        <f>IFERROR(MATCH(ROW()-1,Calc!$K$2:$K$1601,0),"")</f>
        <v/>
      </c>
      <c r="AI1310">
        <f>IF($AG1310="","",SUMIF($AG$2:$AG1310,$AG1310,$AH$2:$AH1310))</f>
        <v/>
      </c>
      <c r="AJ1310">
        <f>IF('TMP Paste'!$F1310="","",IF('TMP Paste'!$B1310="",$AJ1309,'TMP Paste'!$B1310))</f>
        <v/>
      </c>
      <c r="AK1310">
        <f>IF('TMP Paste'!$F1310="","",N('TMP Paste'!$G1310))</f>
        <v/>
      </c>
      <c r="AL1310">
        <f>IF('TMP Paste'!$F1310="","",IF('TMP Paste'!$M1310="",$AL1309,'TMP Paste'!$M1310))</f>
        <v/>
      </c>
      <c r="AM1310">
        <f>IF('TMP Paste'!$F1310="","",IF('TMP Paste'!$N1310="",$AM1309,'TMP Paste'!$N1310))</f>
        <v/>
      </c>
      <c r="AN1310">
        <f>IF('TMP Paste'!$F1310="","",IF('TMP Paste'!$O1310="",$AN1309,'TMP Paste'!$O1310))</f>
        <v/>
      </c>
      <c r="AO1310">
        <f>IF('TMP Paste'!$F1310="","",IF('TMP Paste'!$P1310="",$AO1309,'TMP Paste'!$P1310))</f>
        <v/>
      </c>
      <c r="AP1310">
        <f>IF($AG1310="","",LEN($R1310))</f>
        <v/>
      </c>
      <c r="AQ1310">
        <f>IF($AG1310="","",TRIM(IF(COUNTIFS(Calc!$B$2:$B$1601,ROW()-1,Calc!$C$2:$C$1601,"&lt;1")&gt;0,"Ada PO tanpa Koli - cek TMP. ","")&amp;IF(LEN($R1310)&gt;500,"R &gt; 500 karakter.","")))</f>
        <v/>
      </c>
    </row>
    <row r="1311">
      <c r="A1311">
        <f>IF($AG1311="","",INDEX('TMP Paste'!$B$2:$B$1601,$AG1311))</f>
        <v/>
      </c>
      <c r="B1311">
        <f>IF($AG1311="","",Config!$B$14)</f>
        <v/>
      </c>
      <c r="C1311">
        <f>IF($AG1311="","",Config!$B$15)</f>
        <v/>
      </c>
      <c r="D1311">
        <f>IF($AG1311="","",INDEX('TMP Paste'!$B$2:$B$1601,$AG1311))</f>
        <v/>
      </c>
      <c r="E1311">
        <f>IF($AG1311="","",Config!$B$27)</f>
        <v/>
      </c>
      <c r="F1311">
        <f>IF($AG1311="","",Config!$B$9)</f>
        <v/>
      </c>
      <c r="G1311">
        <f>IF($AG1311="","",Config!$B$10)</f>
        <v/>
      </c>
      <c r="H1311">
        <f>IF($AG1311="","",Config!$B$11)</f>
        <v/>
      </c>
      <c r="I1311">
        <f>IF($AG1311="","",Config!$B$16)</f>
        <v/>
      </c>
      <c r="J1311">
        <f>IF($AG1311="","",INDEX('TMP Paste'!$A$2:$A$1601,$AG1311))</f>
        <v/>
      </c>
      <c r="K1311">
        <f>IF($AG1311="","",INDEX('TMP Paste'!$L$2:$L$1601,$AG1311))</f>
        <v/>
      </c>
      <c r="L1311">
        <f>IF($AG1311="","",INDEX('TMP Paste'!$I$2:$I$1601,$AG1311))</f>
        <v/>
      </c>
      <c r="M1311">
        <f>IF($AG1311="","",Config!$B$16)</f>
        <v/>
      </c>
      <c r="N1311">
        <f>IF($AG1311="","","")</f>
        <v/>
      </c>
      <c r="O1311">
        <f>IF($AG1311="","",INDEX('TMP Paste'!$K$2:$K$1601,$AG1311))</f>
        <v/>
      </c>
      <c r="P1311">
        <f>IF($AG1311="","","")</f>
        <v/>
      </c>
      <c r="Q1311">
        <f>IF($AG1311="","",INDEX('TMP Paste'!$J$2:$J$1601,$AG1311))</f>
        <v/>
      </c>
      <c r="R1311">
        <f>IF($AG1311="","",Config!$B$24)</f>
        <v/>
      </c>
      <c r="S1311">
        <f>IF($AG1311="","",TEXT(Config!$B$4,"yyyy-mm-dd"))</f>
        <v/>
      </c>
      <c r="T1311">
        <f>IF($AG1311="","",Config!$B$17)</f>
        <v/>
      </c>
      <c r="U1311">
        <f>IF($AG1311="","",Config!$B$18)</f>
        <v/>
      </c>
      <c r="V1311">
        <f>IF($AG1311="","",Config!$B$19)</f>
        <v/>
      </c>
      <c r="W1311">
        <f>IF($AG1311="","",INDEX('TMP Paste'!$C$2:$C$1601,$AG1311))</f>
        <v/>
      </c>
      <c r="X1311">
        <f>IF($AG1311="","",Config!$B$29)</f>
        <v/>
      </c>
      <c r="Y1311">
        <f>IF($AH1311="","",INDEX(Calc!$I$2:$I$1601,$AH1311)&amp;" - "&amp;INDEX(Calc!$D$2:$D$1601,$AH1311)&amp;" koli")</f>
        <v/>
      </c>
      <c r="Z1311">
        <f>IF($AG1311="","",Config!$B$21)</f>
        <v/>
      </c>
      <c r="AA1311">
        <f>IF($AG1311="","",Config!$B$22)</f>
        <v/>
      </c>
      <c r="AB1311">
        <f>IF($AH1311="","",INDEX(Calc!$D$2:$D$1601,$AH1311))</f>
        <v/>
      </c>
      <c r="AC1311">
        <f>IF($AH1311="","",INDEX(Calc!$G$2:$G$1601,$AH1311))</f>
        <v/>
      </c>
      <c r="AD1311">
        <f>IF($AG1311="","",Config!$B$23)</f>
        <v/>
      </c>
      <c r="AE1311">
        <f>IF($AG1311="","",Config!$B$28)</f>
        <v/>
      </c>
      <c r="AG1311">
        <f>IFERROR(MATCH(ROW()-1,Calc!$J$2:$J$1601,0),"")</f>
        <v/>
      </c>
      <c r="AH1311">
        <f>IFERROR(MATCH(ROW()-1,Calc!$K$2:$K$1601,0),"")</f>
        <v/>
      </c>
      <c r="AI1311">
        <f>IF($AG1311="","",SUMIF($AG$2:$AG1311,$AG1311,$AH$2:$AH1311))</f>
        <v/>
      </c>
      <c r="AJ1311">
        <f>IF('TMP Paste'!$F1311="","",IF('TMP Paste'!$B1311="",$AJ1310,'TMP Paste'!$B1311))</f>
        <v/>
      </c>
      <c r="AK1311">
        <f>IF('TMP Paste'!$F1311="","",N('TMP Paste'!$G1311))</f>
        <v/>
      </c>
      <c r="AL1311">
        <f>IF('TMP Paste'!$F1311="","",IF('TMP Paste'!$M1311="",$AL1310,'TMP Paste'!$M1311))</f>
        <v/>
      </c>
      <c r="AM1311">
        <f>IF('TMP Paste'!$F1311="","",IF('TMP Paste'!$N1311="",$AM1310,'TMP Paste'!$N1311))</f>
        <v/>
      </c>
      <c r="AN1311">
        <f>IF('TMP Paste'!$F1311="","",IF('TMP Paste'!$O1311="",$AN1310,'TMP Paste'!$O1311))</f>
        <v/>
      </c>
      <c r="AO1311">
        <f>IF('TMP Paste'!$F1311="","",IF('TMP Paste'!$P1311="",$AO1310,'TMP Paste'!$P1311))</f>
        <v/>
      </c>
      <c r="AP1311">
        <f>IF($AG1311="","",LEN($R1311))</f>
        <v/>
      </c>
      <c r="AQ1311">
        <f>IF($AG1311="","",TRIM(IF(COUNTIFS(Calc!$B$2:$B$1601,ROW()-1,Calc!$C$2:$C$1601,"&lt;1")&gt;0,"Ada PO tanpa Koli - cek TMP. ","")&amp;IF(LEN($R1311)&gt;500,"R &gt; 500 karakter.","")))</f>
        <v/>
      </c>
    </row>
    <row r="1312">
      <c r="A1312">
        <f>IF($AG1312="","",INDEX('TMP Paste'!$B$2:$B$1601,$AG1312))</f>
        <v/>
      </c>
      <c r="B1312">
        <f>IF($AG1312="","",Config!$B$14)</f>
        <v/>
      </c>
      <c r="C1312">
        <f>IF($AG1312="","",Config!$B$15)</f>
        <v/>
      </c>
      <c r="D1312">
        <f>IF($AG1312="","",INDEX('TMP Paste'!$B$2:$B$1601,$AG1312))</f>
        <v/>
      </c>
      <c r="E1312">
        <f>IF($AG1312="","",Config!$B$27)</f>
        <v/>
      </c>
      <c r="F1312">
        <f>IF($AG1312="","",Config!$B$9)</f>
        <v/>
      </c>
      <c r="G1312">
        <f>IF($AG1312="","",Config!$B$10)</f>
        <v/>
      </c>
      <c r="H1312">
        <f>IF($AG1312="","",Config!$B$11)</f>
        <v/>
      </c>
      <c r="I1312">
        <f>IF($AG1312="","",Config!$B$16)</f>
        <v/>
      </c>
      <c r="J1312">
        <f>IF($AG1312="","",INDEX('TMP Paste'!$A$2:$A$1601,$AG1312))</f>
        <v/>
      </c>
      <c r="K1312">
        <f>IF($AG1312="","",INDEX('TMP Paste'!$L$2:$L$1601,$AG1312))</f>
        <v/>
      </c>
      <c r="L1312">
        <f>IF($AG1312="","",INDEX('TMP Paste'!$I$2:$I$1601,$AG1312))</f>
        <v/>
      </c>
      <c r="M1312">
        <f>IF($AG1312="","",Config!$B$16)</f>
        <v/>
      </c>
      <c r="N1312">
        <f>IF($AG1312="","","")</f>
        <v/>
      </c>
      <c r="O1312">
        <f>IF($AG1312="","",INDEX('TMP Paste'!$K$2:$K$1601,$AG1312))</f>
        <v/>
      </c>
      <c r="P1312">
        <f>IF($AG1312="","","")</f>
        <v/>
      </c>
      <c r="Q1312">
        <f>IF($AG1312="","",INDEX('TMP Paste'!$J$2:$J$1601,$AG1312))</f>
        <v/>
      </c>
      <c r="R1312">
        <f>IF($AG1312="","",Config!$B$24)</f>
        <v/>
      </c>
      <c r="S1312">
        <f>IF($AG1312="","",TEXT(Config!$B$4,"yyyy-mm-dd"))</f>
        <v/>
      </c>
      <c r="T1312">
        <f>IF($AG1312="","",Config!$B$17)</f>
        <v/>
      </c>
      <c r="U1312">
        <f>IF($AG1312="","",Config!$B$18)</f>
        <v/>
      </c>
      <c r="V1312">
        <f>IF($AG1312="","",Config!$B$19)</f>
        <v/>
      </c>
      <c r="W1312">
        <f>IF($AG1312="","",INDEX('TMP Paste'!$C$2:$C$1601,$AG1312))</f>
        <v/>
      </c>
      <c r="X1312">
        <f>IF($AG1312="","",Config!$B$29)</f>
        <v/>
      </c>
      <c r="Y1312">
        <f>IF($AH1312="","",INDEX(Calc!$I$2:$I$1601,$AH1312)&amp;" - "&amp;INDEX(Calc!$D$2:$D$1601,$AH1312)&amp;" koli")</f>
        <v/>
      </c>
      <c r="Z1312">
        <f>IF($AG1312="","",Config!$B$21)</f>
        <v/>
      </c>
      <c r="AA1312">
        <f>IF($AG1312="","",Config!$B$22)</f>
        <v/>
      </c>
      <c r="AB1312">
        <f>IF($AH1312="","",INDEX(Calc!$D$2:$D$1601,$AH1312))</f>
        <v/>
      </c>
      <c r="AC1312">
        <f>IF($AH1312="","",INDEX(Calc!$G$2:$G$1601,$AH1312))</f>
        <v/>
      </c>
      <c r="AD1312">
        <f>IF($AG1312="","",Config!$B$23)</f>
        <v/>
      </c>
      <c r="AE1312">
        <f>IF($AG1312="","",Config!$B$28)</f>
        <v/>
      </c>
      <c r="AG1312">
        <f>IFERROR(MATCH(ROW()-1,Calc!$J$2:$J$1601,0),"")</f>
        <v/>
      </c>
      <c r="AH1312">
        <f>IFERROR(MATCH(ROW()-1,Calc!$K$2:$K$1601,0),"")</f>
        <v/>
      </c>
      <c r="AI1312">
        <f>IF($AG1312="","",SUMIF($AG$2:$AG1312,$AG1312,$AH$2:$AH1312))</f>
        <v/>
      </c>
      <c r="AJ1312">
        <f>IF('TMP Paste'!$F1312="","",IF('TMP Paste'!$B1312="",$AJ1311,'TMP Paste'!$B1312))</f>
        <v/>
      </c>
      <c r="AK1312">
        <f>IF('TMP Paste'!$F1312="","",N('TMP Paste'!$G1312))</f>
        <v/>
      </c>
      <c r="AL1312">
        <f>IF('TMP Paste'!$F1312="","",IF('TMP Paste'!$M1312="",$AL1311,'TMP Paste'!$M1312))</f>
        <v/>
      </c>
      <c r="AM1312">
        <f>IF('TMP Paste'!$F1312="","",IF('TMP Paste'!$N1312="",$AM1311,'TMP Paste'!$N1312))</f>
        <v/>
      </c>
      <c r="AN1312">
        <f>IF('TMP Paste'!$F1312="","",IF('TMP Paste'!$O1312="",$AN1311,'TMP Paste'!$O1312))</f>
        <v/>
      </c>
      <c r="AO1312">
        <f>IF('TMP Paste'!$F1312="","",IF('TMP Paste'!$P1312="",$AO1311,'TMP Paste'!$P1312))</f>
        <v/>
      </c>
      <c r="AP1312">
        <f>IF($AG1312="","",LEN($R1312))</f>
        <v/>
      </c>
      <c r="AQ1312">
        <f>IF($AG1312="","",TRIM(IF(COUNTIFS(Calc!$B$2:$B$1601,ROW()-1,Calc!$C$2:$C$1601,"&lt;1")&gt;0,"Ada PO tanpa Koli - cek TMP. ","")&amp;IF(LEN($R1312)&gt;500,"R &gt; 500 karakter.","")))</f>
        <v/>
      </c>
    </row>
    <row r="1313">
      <c r="A1313">
        <f>IF($AG1313="","",INDEX('TMP Paste'!$B$2:$B$1601,$AG1313))</f>
        <v/>
      </c>
      <c r="B1313">
        <f>IF($AG1313="","",Config!$B$14)</f>
        <v/>
      </c>
      <c r="C1313">
        <f>IF($AG1313="","",Config!$B$15)</f>
        <v/>
      </c>
      <c r="D1313">
        <f>IF($AG1313="","",INDEX('TMP Paste'!$B$2:$B$1601,$AG1313))</f>
        <v/>
      </c>
      <c r="E1313">
        <f>IF($AG1313="","",Config!$B$27)</f>
        <v/>
      </c>
      <c r="F1313">
        <f>IF($AG1313="","",Config!$B$9)</f>
        <v/>
      </c>
      <c r="G1313">
        <f>IF($AG1313="","",Config!$B$10)</f>
        <v/>
      </c>
      <c r="H1313">
        <f>IF($AG1313="","",Config!$B$11)</f>
        <v/>
      </c>
      <c r="I1313">
        <f>IF($AG1313="","",Config!$B$16)</f>
        <v/>
      </c>
      <c r="J1313">
        <f>IF($AG1313="","",INDEX('TMP Paste'!$A$2:$A$1601,$AG1313))</f>
        <v/>
      </c>
      <c r="K1313">
        <f>IF($AG1313="","",INDEX('TMP Paste'!$L$2:$L$1601,$AG1313))</f>
        <v/>
      </c>
      <c r="L1313">
        <f>IF($AG1313="","",INDEX('TMP Paste'!$I$2:$I$1601,$AG1313))</f>
        <v/>
      </c>
      <c r="M1313">
        <f>IF($AG1313="","",Config!$B$16)</f>
        <v/>
      </c>
      <c r="N1313">
        <f>IF($AG1313="","","")</f>
        <v/>
      </c>
      <c r="O1313">
        <f>IF($AG1313="","",INDEX('TMP Paste'!$K$2:$K$1601,$AG1313))</f>
        <v/>
      </c>
      <c r="P1313">
        <f>IF($AG1313="","","")</f>
        <v/>
      </c>
      <c r="Q1313">
        <f>IF($AG1313="","",INDEX('TMP Paste'!$J$2:$J$1601,$AG1313))</f>
        <v/>
      </c>
      <c r="R1313">
        <f>IF($AG1313="","",Config!$B$24)</f>
        <v/>
      </c>
      <c r="S1313">
        <f>IF($AG1313="","",TEXT(Config!$B$4,"yyyy-mm-dd"))</f>
        <v/>
      </c>
      <c r="T1313">
        <f>IF($AG1313="","",Config!$B$17)</f>
        <v/>
      </c>
      <c r="U1313">
        <f>IF($AG1313="","",Config!$B$18)</f>
        <v/>
      </c>
      <c r="V1313">
        <f>IF($AG1313="","",Config!$B$19)</f>
        <v/>
      </c>
      <c r="W1313">
        <f>IF($AG1313="","",INDEX('TMP Paste'!$C$2:$C$1601,$AG1313))</f>
        <v/>
      </c>
      <c r="X1313">
        <f>IF($AG1313="","",Config!$B$29)</f>
        <v/>
      </c>
      <c r="Y1313">
        <f>IF($AH1313="","",INDEX(Calc!$I$2:$I$1601,$AH1313)&amp;" - "&amp;INDEX(Calc!$D$2:$D$1601,$AH1313)&amp;" koli")</f>
        <v/>
      </c>
      <c r="Z1313">
        <f>IF($AG1313="","",Config!$B$21)</f>
        <v/>
      </c>
      <c r="AA1313">
        <f>IF($AG1313="","",Config!$B$22)</f>
        <v/>
      </c>
      <c r="AB1313">
        <f>IF($AH1313="","",INDEX(Calc!$D$2:$D$1601,$AH1313))</f>
        <v/>
      </c>
      <c r="AC1313">
        <f>IF($AH1313="","",INDEX(Calc!$G$2:$G$1601,$AH1313))</f>
        <v/>
      </c>
      <c r="AD1313">
        <f>IF($AG1313="","",Config!$B$23)</f>
        <v/>
      </c>
      <c r="AE1313">
        <f>IF($AG1313="","",Config!$B$28)</f>
        <v/>
      </c>
      <c r="AG1313">
        <f>IFERROR(MATCH(ROW()-1,Calc!$J$2:$J$1601,0),"")</f>
        <v/>
      </c>
      <c r="AH1313">
        <f>IFERROR(MATCH(ROW()-1,Calc!$K$2:$K$1601,0),"")</f>
        <v/>
      </c>
      <c r="AI1313">
        <f>IF($AG1313="","",SUMIF($AG$2:$AG1313,$AG1313,$AH$2:$AH1313))</f>
        <v/>
      </c>
      <c r="AJ1313">
        <f>IF('TMP Paste'!$F1313="","",IF('TMP Paste'!$B1313="",$AJ1312,'TMP Paste'!$B1313))</f>
        <v/>
      </c>
      <c r="AK1313">
        <f>IF('TMP Paste'!$F1313="","",N('TMP Paste'!$G1313))</f>
        <v/>
      </c>
      <c r="AL1313">
        <f>IF('TMP Paste'!$F1313="","",IF('TMP Paste'!$M1313="",$AL1312,'TMP Paste'!$M1313))</f>
        <v/>
      </c>
      <c r="AM1313">
        <f>IF('TMP Paste'!$F1313="","",IF('TMP Paste'!$N1313="",$AM1312,'TMP Paste'!$N1313))</f>
        <v/>
      </c>
      <c r="AN1313">
        <f>IF('TMP Paste'!$F1313="","",IF('TMP Paste'!$O1313="",$AN1312,'TMP Paste'!$O1313))</f>
        <v/>
      </c>
      <c r="AO1313">
        <f>IF('TMP Paste'!$F1313="","",IF('TMP Paste'!$P1313="",$AO1312,'TMP Paste'!$P1313))</f>
        <v/>
      </c>
      <c r="AP1313">
        <f>IF($AG1313="","",LEN($R1313))</f>
        <v/>
      </c>
      <c r="AQ1313">
        <f>IF($AG1313="","",TRIM(IF(COUNTIFS(Calc!$B$2:$B$1601,ROW()-1,Calc!$C$2:$C$1601,"&lt;1")&gt;0,"Ada PO tanpa Koli - cek TMP. ","")&amp;IF(LEN($R1313)&gt;500,"R &gt; 500 karakter.","")))</f>
        <v/>
      </c>
    </row>
    <row r="1314">
      <c r="A1314">
        <f>IF($AG1314="","",INDEX('TMP Paste'!$B$2:$B$1601,$AG1314))</f>
        <v/>
      </c>
      <c r="B1314">
        <f>IF($AG1314="","",Config!$B$14)</f>
        <v/>
      </c>
      <c r="C1314">
        <f>IF($AG1314="","",Config!$B$15)</f>
        <v/>
      </c>
      <c r="D1314">
        <f>IF($AG1314="","",INDEX('TMP Paste'!$B$2:$B$1601,$AG1314))</f>
        <v/>
      </c>
      <c r="E1314">
        <f>IF($AG1314="","",Config!$B$27)</f>
        <v/>
      </c>
      <c r="F1314">
        <f>IF($AG1314="","",Config!$B$9)</f>
        <v/>
      </c>
      <c r="G1314">
        <f>IF($AG1314="","",Config!$B$10)</f>
        <v/>
      </c>
      <c r="H1314">
        <f>IF($AG1314="","",Config!$B$11)</f>
        <v/>
      </c>
      <c r="I1314">
        <f>IF($AG1314="","",Config!$B$16)</f>
        <v/>
      </c>
      <c r="J1314">
        <f>IF($AG1314="","",INDEX('TMP Paste'!$A$2:$A$1601,$AG1314))</f>
        <v/>
      </c>
      <c r="K1314">
        <f>IF($AG1314="","",INDEX('TMP Paste'!$L$2:$L$1601,$AG1314))</f>
        <v/>
      </c>
      <c r="L1314">
        <f>IF($AG1314="","",INDEX('TMP Paste'!$I$2:$I$1601,$AG1314))</f>
        <v/>
      </c>
      <c r="M1314">
        <f>IF($AG1314="","",Config!$B$16)</f>
        <v/>
      </c>
      <c r="N1314">
        <f>IF($AG1314="","","")</f>
        <v/>
      </c>
      <c r="O1314">
        <f>IF($AG1314="","",INDEX('TMP Paste'!$K$2:$K$1601,$AG1314))</f>
        <v/>
      </c>
      <c r="P1314">
        <f>IF($AG1314="","","")</f>
        <v/>
      </c>
      <c r="Q1314">
        <f>IF($AG1314="","",INDEX('TMP Paste'!$J$2:$J$1601,$AG1314))</f>
        <v/>
      </c>
      <c r="R1314">
        <f>IF($AG1314="","",Config!$B$24)</f>
        <v/>
      </c>
      <c r="S1314">
        <f>IF($AG1314="","",TEXT(Config!$B$4,"yyyy-mm-dd"))</f>
        <v/>
      </c>
      <c r="T1314">
        <f>IF($AG1314="","",Config!$B$17)</f>
        <v/>
      </c>
      <c r="U1314">
        <f>IF($AG1314="","",Config!$B$18)</f>
        <v/>
      </c>
      <c r="V1314">
        <f>IF($AG1314="","",Config!$B$19)</f>
        <v/>
      </c>
      <c r="W1314">
        <f>IF($AG1314="","",INDEX('TMP Paste'!$C$2:$C$1601,$AG1314))</f>
        <v/>
      </c>
      <c r="X1314">
        <f>IF($AG1314="","",Config!$B$29)</f>
        <v/>
      </c>
      <c r="Y1314">
        <f>IF($AH1314="","",INDEX(Calc!$I$2:$I$1601,$AH1314)&amp;" - "&amp;INDEX(Calc!$D$2:$D$1601,$AH1314)&amp;" koli")</f>
        <v/>
      </c>
      <c r="Z1314">
        <f>IF($AG1314="","",Config!$B$21)</f>
        <v/>
      </c>
      <c r="AA1314">
        <f>IF($AG1314="","",Config!$B$22)</f>
        <v/>
      </c>
      <c r="AB1314">
        <f>IF($AH1314="","",INDEX(Calc!$D$2:$D$1601,$AH1314))</f>
        <v/>
      </c>
      <c r="AC1314">
        <f>IF($AH1314="","",INDEX(Calc!$G$2:$G$1601,$AH1314))</f>
        <v/>
      </c>
      <c r="AD1314">
        <f>IF($AG1314="","",Config!$B$23)</f>
        <v/>
      </c>
      <c r="AE1314">
        <f>IF($AG1314="","",Config!$B$28)</f>
        <v/>
      </c>
      <c r="AG1314">
        <f>IFERROR(MATCH(ROW()-1,Calc!$J$2:$J$1601,0),"")</f>
        <v/>
      </c>
      <c r="AH1314">
        <f>IFERROR(MATCH(ROW()-1,Calc!$K$2:$K$1601,0),"")</f>
        <v/>
      </c>
      <c r="AI1314">
        <f>IF($AG1314="","",SUMIF($AG$2:$AG1314,$AG1314,$AH$2:$AH1314))</f>
        <v/>
      </c>
      <c r="AJ1314">
        <f>IF('TMP Paste'!$F1314="","",IF('TMP Paste'!$B1314="",$AJ1313,'TMP Paste'!$B1314))</f>
        <v/>
      </c>
      <c r="AK1314">
        <f>IF('TMP Paste'!$F1314="","",N('TMP Paste'!$G1314))</f>
        <v/>
      </c>
      <c r="AL1314">
        <f>IF('TMP Paste'!$F1314="","",IF('TMP Paste'!$M1314="",$AL1313,'TMP Paste'!$M1314))</f>
        <v/>
      </c>
      <c r="AM1314">
        <f>IF('TMP Paste'!$F1314="","",IF('TMP Paste'!$N1314="",$AM1313,'TMP Paste'!$N1314))</f>
        <v/>
      </c>
      <c r="AN1314">
        <f>IF('TMP Paste'!$F1314="","",IF('TMP Paste'!$O1314="",$AN1313,'TMP Paste'!$O1314))</f>
        <v/>
      </c>
      <c r="AO1314">
        <f>IF('TMP Paste'!$F1314="","",IF('TMP Paste'!$P1314="",$AO1313,'TMP Paste'!$P1314))</f>
        <v/>
      </c>
      <c r="AP1314">
        <f>IF($AG1314="","",LEN($R1314))</f>
        <v/>
      </c>
      <c r="AQ1314">
        <f>IF($AG1314="","",TRIM(IF(COUNTIFS(Calc!$B$2:$B$1601,ROW()-1,Calc!$C$2:$C$1601,"&lt;1")&gt;0,"Ada PO tanpa Koli - cek TMP. ","")&amp;IF(LEN($R1314)&gt;500,"R &gt; 500 karakter.","")))</f>
        <v/>
      </c>
    </row>
    <row r="1315">
      <c r="A1315">
        <f>IF($AG1315="","",INDEX('TMP Paste'!$B$2:$B$1601,$AG1315))</f>
        <v/>
      </c>
      <c r="B1315">
        <f>IF($AG1315="","",Config!$B$14)</f>
        <v/>
      </c>
      <c r="C1315">
        <f>IF($AG1315="","",Config!$B$15)</f>
        <v/>
      </c>
      <c r="D1315">
        <f>IF($AG1315="","",INDEX('TMP Paste'!$B$2:$B$1601,$AG1315))</f>
        <v/>
      </c>
      <c r="E1315">
        <f>IF($AG1315="","",Config!$B$27)</f>
        <v/>
      </c>
      <c r="F1315">
        <f>IF($AG1315="","",Config!$B$9)</f>
        <v/>
      </c>
      <c r="G1315">
        <f>IF($AG1315="","",Config!$B$10)</f>
        <v/>
      </c>
      <c r="H1315">
        <f>IF($AG1315="","",Config!$B$11)</f>
        <v/>
      </c>
      <c r="I1315">
        <f>IF($AG1315="","",Config!$B$16)</f>
        <v/>
      </c>
      <c r="J1315">
        <f>IF($AG1315="","",INDEX('TMP Paste'!$A$2:$A$1601,$AG1315))</f>
        <v/>
      </c>
      <c r="K1315">
        <f>IF($AG1315="","",INDEX('TMP Paste'!$L$2:$L$1601,$AG1315))</f>
        <v/>
      </c>
      <c r="L1315">
        <f>IF($AG1315="","",INDEX('TMP Paste'!$I$2:$I$1601,$AG1315))</f>
        <v/>
      </c>
      <c r="M1315">
        <f>IF($AG1315="","",Config!$B$16)</f>
        <v/>
      </c>
      <c r="N1315">
        <f>IF($AG1315="","","")</f>
        <v/>
      </c>
      <c r="O1315">
        <f>IF($AG1315="","",INDEX('TMP Paste'!$K$2:$K$1601,$AG1315))</f>
        <v/>
      </c>
      <c r="P1315">
        <f>IF($AG1315="","","")</f>
        <v/>
      </c>
      <c r="Q1315">
        <f>IF($AG1315="","",INDEX('TMP Paste'!$J$2:$J$1601,$AG1315))</f>
        <v/>
      </c>
      <c r="R1315">
        <f>IF($AG1315="","",Config!$B$24)</f>
        <v/>
      </c>
      <c r="S1315">
        <f>IF($AG1315="","",TEXT(Config!$B$4,"yyyy-mm-dd"))</f>
        <v/>
      </c>
      <c r="T1315">
        <f>IF($AG1315="","",Config!$B$17)</f>
        <v/>
      </c>
      <c r="U1315">
        <f>IF($AG1315="","",Config!$B$18)</f>
        <v/>
      </c>
      <c r="V1315">
        <f>IF($AG1315="","",Config!$B$19)</f>
        <v/>
      </c>
      <c r="W1315">
        <f>IF($AG1315="","",INDEX('TMP Paste'!$C$2:$C$1601,$AG1315))</f>
        <v/>
      </c>
      <c r="X1315">
        <f>IF($AG1315="","",Config!$B$29)</f>
        <v/>
      </c>
      <c r="Y1315">
        <f>IF($AH1315="","",INDEX(Calc!$I$2:$I$1601,$AH1315)&amp;" - "&amp;INDEX(Calc!$D$2:$D$1601,$AH1315)&amp;" koli")</f>
        <v/>
      </c>
      <c r="Z1315">
        <f>IF($AG1315="","",Config!$B$21)</f>
        <v/>
      </c>
      <c r="AA1315">
        <f>IF($AG1315="","",Config!$B$22)</f>
        <v/>
      </c>
      <c r="AB1315">
        <f>IF($AH1315="","",INDEX(Calc!$D$2:$D$1601,$AH1315))</f>
        <v/>
      </c>
      <c r="AC1315">
        <f>IF($AH1315="","",INDEX(Calc!$G$2:$G$1601,$AH1315))</f>
        <v/>
      </c>
      <c r="AD1315">
        <f>IF($AG1315="","",Config!$B$23)</f>
        <v/>
      </c>
      <c r="AE1315">
        <f>IF($AG1315="","",Config!$B$28)</f>
        <v/>
      </c>
      <c r="AG1315">
        <f>IFERROR(MATCH(ROW()-1,Calc!$J$2:$J$1601,0),"")</f>
        <v/>
      </c>
      <c r="AH1315">
        <f>IFERROR(MATCH(ROW()-1,Calc!$K$2:$K$1601,0),"")</f>
        <v/>
      </c>
      <c r="AI1315">
        <f>IF($AG1315="","",SUMIF($AG$2:$AG1315,$AG1315,$AH$2:$AH1315))</f>
        <v/>
      </c>
      <c r="AJ1315">
        <f>IF('TMP Paste'!$F1315="","",IF('TMP Paste'!$B1315="",$AJ1314,'TMP Paste'!$B1315))</f>
        <v/>
      </c>
      <c r="AK1315">
        <f>IF('TMP Paste'!$F1315="","",N('TMP Paste'!$G1315))</f>
        <v/>
      </c>
      <c r="AL1315">
        <f>IF('TMP Paste'!$F1315="","",IF('TMP Paste'!$M1315="",$AL1314,'TMP Paste'!$M1315))</f>
        <v/>
      </c>
      <c r="AM1315">
        <f>IF('TMP Paste'!$F1315="","",IF('TMP Paste'!$N1315="",$AM1314,'TMP Paste'!$N1315))</f>
        <v/>
      </c>
      <c r="AN1315">
        <f>IF('TMP Paste'!$F1315="","",IF('TMP Paste'!$O1315="",$AN1314,'TMP Paste'!$O1315))</f>
        <v/>
      </c>
      <c r="AO1315">
        <f>IF('TMP Paste'!$F1315="","",IF('TMP Paste'!$P1315="",$AO1314,'TMP Paste'!$P1315))</f>
        <v/>
      </c>
      <c r="AP1315">
        <f>IF($AG1315="","",LEN($R1315))</f>
        <v/>
      </c>
      <c r="AQ1315">
        <f>IF($AG1315="","",TRIM(IF(COUNTIFS(Calc!$B$2:$B$1601,ROW()-1,Calc!$C$2:$C$1601,"&lt;1")&gt;0,"Ada PO tanpa Koli - cek TMP. ","")&amp;IF(LEN($R1315)&gt;500,"R &gt; 500 karakter.","")))</f>
        <v/>
      </c>
    </row>
    <row r="1316">
      <c r="A1316">
        <f>IF($AG1316="","",INDEX('TMP Paste'!$B$2:$B$1601,$AG1316))</f>
        <v/>
      </c>
      <c r="B1316">
        <f>IF($AG1316="","",Config!$B$14)</f>
        <v/>
      </c>
      <c r="C1316">
        <f>IF($AG1316="","",Config!$B$15)</f>
        <v/>
      </c>
      <c r="D1316">
        <f>IF($AG1316="","",INDEX('TMP Paste'!$B$2:$B$1601,$AG1316))</f>
        <v/>
      </c>
      <c r="E1316">
        <f>IF($AG1316="","",Config!$B$27)</f>
        <v/>
      </c>
      <c r="F1316">
        <f>IF($AG1316="","",Config!$B$9)</f>
        <v/>
      </c>
      <c r="G1316">
        <f>IF($AG1316="","",Config!$B$10)</f>
        <v/>
      </c>
      <c r="H1316">
        <f>IF($AG1316="","",Config!$B$11)</f>
        <v/>
      </c>
      <c r="I1316">
        <f>IF($AG1316="","",Config!$B$16)</f>
        <v/>
      </c>
      <c r="J1316">
        <f>IF($AG1316="","",INDEX('TMP Paste'!$A$2:$A$1601,$AG1316))</f>
        <v/>
      </c>
      <c r="K1316">
        <f>IF($AG1316="","",INDEX('TMP Paste'!$L$2:$L$1601,$AG1316))</f>
        <v/>
      </c>
      <c r="L1316">
        <f>IF($AG1316="","",INDEX('TMP Paste'!$I$2:$I$1601,$AG1316))</f>
        <v/>
      </c>
      <c r="M1316">
        <f>IF($AG1316="","",Config!$B$16)</f>
        <v/>
      </c>
      <c r="N1316">
        <f>IF($AG1316="","","")</f>
        <v/>
      </c>
      <c r="O1316">
        <f>IF($AG1316="","",INDEX('TMP Paste'!$K$2:$K$1601,$AG1316))</f>
        <v/>
      </c>
      <c r="P1316">
        <f>IF($AG1316="","","")</f>
        <v/>
      </c>
      <c r="Q1316">
        <f>IF($AG1316="","",INDEX('TMP Paste'!$J$2:$J$1601,$AG1316))</f>
        <v/>
      </c>
      <c r="R1316">
        <f>IF($AG1316="","",Config!$B$24)</f>
        <v/>
      </c>
      <c r="S1316">
        <f>IF($AG1316="","",TEXT(Config!$B$4,"yyyy-mm-dd"))</f>
        <v/>
      </c>
      <c r="T1316">
        <f>IF($AG1316="","",Config!$B$17)</f>
        <v/>
      </c>
      <c r="U1316">
        <f>IF($AG1316="","",Config!$B$18)</f>
        <v/>
      </c>
      <c r="V1316">
        <f>IF($AG1316="","",Config!$B$19)</f>
        <v/>
      </c>
      <c r="W1316">
        <f>IF($AG1316="","",INDEX('TMP Paste'!$C$2:$C$1601,$AG1316))</f>
        <v/>
      </c>
      <c r="X1316">
        <f>IF($AG1316="","",Config!$B$29)</f>
        <v/>
      </c>
      <c r="Y1316">
        <f>IF($AH1316="","",INDEX(Calc!$I$2:$I$1601,$AH1316)&amp;" - "&amp;INDEX(Calc!$D$2:$D$1601,$AH1316)&amp;" koli")</f>
        <v/>
      </c>
      <c r="Z1316">
        <f>IF($AG1316="","",Config!$B$21)</f>
        <v/>
      </c>
      <c r="AA1316">
        <f>IF($AG1316="","",Config!$B$22)</f>
        <v/>
      </c>
      <c r="AB1316">
        <f>IF($AH1316="","",INDEX(Calc!$D$2:$D$1601,$AH1316))</f>
        <v/>
      </c>
      <c r="AC1316">
        <f>IF($AH1316="","",INDEX(Calc!$G$2:$G$1601,$AH1316))</f>
        <v/>
      </c>
      <c r="AD1316">
        <f>IF($AG1316="","",Config!$B$23)</f>
        <v/>
      </c>
      <c r="AE1316">
        <f>IF($AG1316="","",Config!$B$28)</f>
        <v/>
      </c>
      <c r="AG1316">
        <f>IFERROR(MATCH(ROW()-1,Calc!$J$2:$J$1601,0),"")</f>
        <v/>
      </c>
      <c r="AH1316">
        <f>IFERROR(MATCH(ROW()-1,Calc!$K$2:$K$1601,0),"")</f>
        <v/>
      </c>
      <c r="AI1316">
        <f>IF($AG1316="","",SUMIF($AG$2:$AG1316,$AG1316,$AH$2:$AH1316))</f>
        <v/>
      </c>
      <c r="AJ1316">
        <f>IF('TMP Paste'!$F1316="","",IF('TMP Paste'!$B1316="",$AJ1315,'TMP Paste'!$B1316))</f>
        <v/>
      </c>
      <c r="AK1316">
        <f>IF('TMP Paste'!$F1316="","",N('TMP Paste'!$G1316))</f>
        <v/>
      </c>
      <c r="AL1316">
        <f>IF('TMP Paste'!$F1316="","",IF('TMP Paste'!$M1316="",$AL1315,'TMP Paste'!$M1316))</f>
        <v/>
      </c>
      <c r="AM1316">
        <f>IF('TMP Paste'!$F1316="","",IF('TMP Paste'!$N1316="",$AM1315,'TMP Paste'!$N1316))</f>
        <v/>
      </c>
      <c r="AN1316">
        <f>IF('TMP Paste'!$F1316="","",IF('TMP Paste'!$O1316="",$AN1315,'TMP Paste'!$O1316))</f>
        <v/>
      </c>
      <c r="AO1316">
        <f>IF('TMP Paste'!$F1316="","",IF('TMP Paste'!$P1316="",$AO1315,'TMP Paste'!$P1316))</f>
        <v/>
      </c>
      <c r="AP1316">
        <f>IF($AG1316="","",LEN($R1316))</f>
        <v/>
      </c>
      <c r="AQ1316">
        <f>IF($AG1316="","",TRIM(IF(COUNTIFS(Calc!$B$2:$B$1601,ROW()-1,Calc!$C$2:$C$1601,"&lt;1")&gt;0,"Ada PO tanpa Koli - cek TMP. ","")&amp;IF(LEN($R1316)&gt;500,"R &gt; 500 karakter.","")))</f>
        <v/>
      </c>
    </row>
    <row r="1317">
      <c r="A1317">
        <f>IF($AG1317="","",INDEX('TMP Paste'!$B$2:$B$1601,$AG1317))</f>
        <v/>
      </c>
      <c r="B1317">
        <f>IF($AG1317="","",Config!$B$14)</f>
        <v/>
      </c>
      <c r="C1317">
        <f>IF($AG1317="","",Config!$B$15)</f>
        <v/>
      </c>
      <c r="D1317">
        <f>IF($AG1317="","",INDEX('TMP Paste'!$B$2:$B$1601,$AG1317))</f>
        <v/>
      </c>
      <c r="E1317">
        <f>IF($AG1317="","",Config!$B$27)</f>
        <v/>
      </c>
      <c r="F1317">
        <f>IF($AG1317="","",Config!$B$9)</f>
        <v/>
      </c>
      <c r="G1317">
        <f>IF($AG1317="","",Config!$B$10)</f>
        <v/>
      </c>
      <c r="H1317">
        <f>IF($AG1317="","",Config!$B$11)</f>
        <v/>
      </c>
      <c r="I1317">
        <f>IF($AG1317="","",Config!$B$16)</f>
        <v/>
      </c>
      <c r="J1317">
        <f>IF($AG1317="","",INDEX('TMP Paste'!$A$2:$A$1601,$AG1317))</f>
        <v/>
      </c>
      <c r="K1317">
        <f>IF($AG1317="","",INDEX('TMP Paste'!$L$2:$L$1601,$AG1317))</f>
        <v/>
      </c>
      <c r="L1317">
        <f>IF($AG1317="","",INDEX('TMP Paste'!$I$2:$I$1601,$AG1317))</f>
        <v/>
      </c>
      <c r="M1317">
        <f>IF($AG1317="","",Config!$B$16)</f>
        <v/>
      </c>
      <c r="N1317">
        <f>IF($AG1317="","","")</f>
        <v/>
      </c>
      <c r="O1317">
        <f>IF($AG1317="","",INDEX('TMP Paste'!$K$2:$K$1601,$AG1317))</f>
        <v/>
      </c>
      <c r="P1317">
        <f>IF($AG1317="","","")</f>
        <v/>
      </c>
      <c r="Q1317">
        <f>IF($AG1317="","",INDEX('TMP Paste'!$J$2:$J$1601,$AG1317))</f>
        <v/>
      </c>
      <c r="R1317">
        <f>IF($AG1317="","",Config!$B$24)</f>
        <v/>
      </c>
      <c r="S1317">
        <f>IF($AG1317="","",TEXT(Config!$B$4,"yyyy-mm-dd"))</f>
        <v/>
      </c>
      <c r="T1317">
        <f>IF($AG1317="","",Config!$B$17)</f>
        <v/>
      </c>
      <c r="U1317">
        <f>IF($AG1317="","",Config!$B$18)</f>
        <v/>
      </c>
      <c r="V1317">
        <f>IF($AG1317="","",Config!$B$19)</f>
        <v/>
      </c>
      <c r="W1317">
        <f>IF($AG1317="","",INDEX('TMP Paste'!$C$2:$C$1601,$AG1317))</f>
        <v/>
      </c>
      <c r="X1317">
        <f>IF($AG1317="","",Config!$B$29)</f>
        <v/>
      </c>
      <c r="Y1317">
        <f>IF($AH1317="","",INDEX(Calc!$I$2:$I$1601,$AH1317)&amp;" - "&amp;INDEX(Calc!$D$2:$D$1601,$AH1317)&amp;" koli")</f>
        <v/>
      </c>
      <c r="Z1317">
        <f>IF($AG1317="","",Config!$B$21)</f>
        <v/>
      </c>
      <c r="AA1317">
        <f>IF($AG1317="","",Config!$B$22)</f>
        <v/>
      </c>
      <c r="AB1317">
        <f>IF($AH1317="","",INDEX(Calc!$D$2:$D$1601,$AH1317))</f>
        <v/>
      </c>
      <c r="AC1317">
        <f>IF($AH1317="","",INDEX(Calc!$G$2:$G$1601,$AH1317))</f>
        <v/>
      </c>
      <c r="AD1317">
        <f>IF($AG1317="","",Config!$B$23)</f>
        <v/>
      </c>
      <c r="AE1317">
        <f>IF($AG1317="","",Config!$B$28)</f>
        <v/>
      </c>
      <c r="AG1317">
        <f>IFERROR(MATCH(ROW()-1,Calc!$J$2:$J$1601,0),"")</f>
        <v/>
      </c>
      <c r="AH1317">
        <f>IFERROR(MATCH(ROW()-1,Calc!$K$2:$K$1601,0),"")</f>
        <v/>
      </c>
      <c r="AI1317">
        <f>IF($AG1317="","",SUMIF($AG$2:$AG1317,$AG1317,$AH$2:$AH1317))</f>
        <v/>
      </c>
      <c r="AJ1317">
        <f>IF('TMP Paste'!$F1317="","",IF('TMP Paste'!$B1317="",$AJ1316,'TMP Paste'!$B1317))</f>
        <v/>
      </c>
      <c r="AK1317">
        <f>IF('TMP Paste'!$F1317="","",N('TMP Paste'!$G1317))</f>
        <v/>
      </c>
      <c r="AL1317">
        <f>IF('TMP Paste'!$F1317="","",IF('TMP Paste'!$M1317="",$AL1316,'TMP Paste'!$M1317))</f>
        <v/>
      </c>
      <c r="AM1317">
        <f>IF('TMP Paste'!$F1317="","",IF('TMP Paste'!$N1317="",$AM1316,'TMP Paste'!$N1317))</f>
        <v/>
      </c>
      <c r="AN1317">
        <f>IF('TMP Paste'!$F1317="","",IF('TMP Paste'!$O1317="",$AN1316,'TMP Paste'!$O1317))</f>
        <v/>
      </c>
      <c r="AO1317">
        <f>IF('TMP Paste'!$F1317="","",IF('TMP Paste'!$P1317="",$AO1316,'TMP Paste'!$P1317))</f>
        <v/>
      </c>
      <c r="AP1317">
        <f>IF($AG1317="","",LEN($R1317))</f>
        <v/>
      </c>
      <c r="AQ1317">
        <f>IF($AG1317="","",TRIM(IF(COUNTIFS(Calc!$B$2:$B$1601,ROW()-1,Calc!$C$2:$C$1601,"&lt;1")&gt;0,"Ada PO tanpa Koli - cek TMP. ","")&amp;IF(LEN($R1317)&gt;500,"R &gt; 500 karakter.","")))</f>
        <v/>
      </c>
    </row>
    <row r="1318">
      <c r="A1318">
        <f>IF($AG1318="","",INDEX('TMP Paste'!$B$2:$B$1601,$AG1318))</f>
        <v/>
      </c>
      <c r="B1318">
        <f>IF($AG1318="","",Config!$B$14)</f>
        <v/>
      </c>
      <c r="C1318">
        <f>IF($AG1318="","",Config!$B$15)</f>
        <v/>
      </c>
      <c r="D1318">
        <f>IF($AG1318="","",INDEX('TMP Paste'!$B$2:$B$1601,$AG1318))</f>
        <v/>
      </c>
      <c r="E1318">
        <f>IF($AG1318="","",Config!$B$27)</f>
        <v/>
      </c>
      <c r="F1318">
        <f>IF($AG1318="","",Config!$B$9)</f>
        <v/>
      </c>
      <c r="G1318">
        <f>IF($AG1318="","",Config!$B$10)</f>
        <v/>
      </c>
      <c r="H1318">
        <f>IF($AG1318="","",Config!$B$11)</f>
        <v/>
      </c>
      <c r="I1318">
        <f>IF($AG1318="","",Config!$B$16)</f>
        <v/>
      </c>
      <c r="J1318">
        <f>IF($AG1318="","",INDEX('TMP Paste'!$A$2:$A$1601,$AG1318))</f>
        <v/>
      </c>
      <c r="K1318">
        <f>IF($AG1318="","",INDEX('TMP Paste'!$L$2:$L$1601,$AG1318))</f>
        <v/>
      </c>
      <c r="L1318">
        <f>IF($AG1318="","",INDEX('TMP Paste'!$I$2:$I$1601,$AG1318))</f>
        <v/>
      </c>
      <c r="M1318">
        <f>IF($AG1318="","",Config!$B$16)</f>
        <v/>
      </c>
      <c r="N1318">
        <f>IF($AG1318="","","")</f>
        <v/>
      </c>
      <c r="O1318">
        <f>IF($AG1318="","",INDEX('TMP Paste'!$K$2:$K$1601,$AG1318))</f>
        <v/>
      </c>
      <c r="P1318">
        <f>IF($AG1318="","","")</f>
        <v/>
      </c>
      <c r="Q1318">
        <f>IF($AG1318="","",INDEX('TMP Paste'!$J$2:$J$1601,$AG1318))</f>
        <v/>
      </c>
      <c r="R1318">
        <f>IF($AG1318="","",Config!$B$24)</f>
        <v/>
      </c>
      <c r="S1318">
        <f>IF($AG1318="","",TEXT(Config!$B$4,"yyyy-mm-dd"))</f>
        <v/>
      </c>
      <c r="T1318">
        <f>IF($AG1318="","",Config!$B$17)</f>
        <v/>
      </c>
      <c r="U1318">
        <f>IF($AG1318="","",Config!$B$18)</f>
        <v/>
      </c>
      <c r="V1318">
        <f>IF($AG1318="","",Config!$B$19)</f>
        <v/>
      </c>
      <c r="W1318">
        <f>IF($AG1318="","",INDEX('TMP Paste'!$C$2:$C$1601,$AG1318))</f>
        <v/>
      </c>
      <c r="X1318">
        <f>IF($AG1318="","",Config!$B$29)</f>
        <v/>
      </c>
      <c r="Y1318">
        <f>IF($AH1318="","",INDEX(Calc!$I$2:$I$1601,$AH1318)&amp;" - "&amp;INDEX(Calc!$D$2:$D$1601,$AH1318)&amp;" koli")</f>
        <v/>
      </c>
      <c r="Z1318">
        <f>IF($AG1318="","",Config!$B$21)</f>
        <v/>
      </c>
      <c r="AA1318">
        <f>IF($AG1318="","",Config!$B$22)</f>
        <v/>
      </c>
      <c r="AB1318">
        <f>IF($AH1318="","",INDEX(Calc!$D$2:$D$1601,$AH1318))</f>
        <v/>
      </c>
      <c r="AC1318">
        <f>IF($AH1318="","",INDEX(Calc!$G$2:$G$1601,$AH1318))</f>
        <v/>
      </c>
      <c r="AD1318">
        <f>IF($AG1318="","",Config!$B$23)</f>
        <v/>
      </c>
      <c r="AE1318">
        <f>IF($AG1318="","",Config!$B$28)</f>
        <v/>
      </c>
      <c r="AG1318">
        <f>IFERROR(MATCH(ROW()-1,Calc!$J$2:$J$1601,0),"")</f>
        <v/>
      </c>
      <c r="AH1318">
        <f>IFERROR(MATCH(ROW()-1,Calc!$K$2:$K$1601,0),"")</f>
        <v/>
      </c>
      <c r="AI1318">
        <f>IF($AG1318="","",SUMIF($AG$2:$AG1318,$AG1318,$AH$2:$AH1318))</f>
        <v/>
      </c>
      <c r="AJ1318">
        <f>IF('TMP Paste'!$F1318="","",IF('TMP Paste'!$B1318="",$AJ1317,'TMP Paste'!$B1318))</f>
        <v/>
      </c>
      <c r="AK1318">
        <f>IF('TMP Paste'!$F1318="","",N('TMP Paste'!$G1318))</f>
        <v/>
      </c>
      <c r="AL1318">
        <f>IF('TMP Paste'!$F1318="","",IF('TMP Paste'!$M1318="",$AL1317,'TMP Paste'!$M1318))</f>
        <v/>
      </c>
      <c r="AM1318">
        <f>IF('TMP Paste'!$F1318="","",IF('TMP Paste'!$N1318="",$AM1317,'TMP Paste'!$N1318))</f>
        <v/>
      </c>
      <c r="AN1318">
        <f>IF('TMP Paste'!$F1318="","",IF('TMP Paste'!$O1318="",$AN1317,'TMP Paste'!$O1318))</f>
        <v/>
      </c>
      <c r="AO1318">
        <f>IF('TMP Paste'!$F1318="","",IF('TMP Paste'!$P1318="",$AO1317,'TMP Paste'!$P1318))</f>
        <v/>
      </c>
      <c r="AP1318">
        <f>IF($AG1318="","",LEN($R1318))</f>
        <v/>
      </c>
      <c r="AQ1318">
        <f>IF($AG1318="","",TRIM(IF(COUNTIFS(Calc!$B$2:$B$1601,ROW()-1,Calc!$C$2:$C$1601,"&lt;1")&gt;0,"Ada PO tanpa Koli - cek TMP. ","")&amp;IF(LEN($R1318)&gt;500,"R &gt; 500 karakter.","")))</f>
        <v/>
      </c>
    </row>
    <row r="1319">
      <c r="A1319">
        <f>IF($AG1319="","",INDEX('TMP Paste'!$B$2:$B$1601,$AG1319))</f>
        <v/>
      </c>
      <c r="B1319">
        <f>IF($AG1319="","",Config!$B$14)</f>
        <v/>
      </c>
      <c r="C1319">
        <f>IF($AG1319="","",Config!$B$15)</f>
        <v/>
      </c>
      <c r="D1319">
        <f>IF($AG1319="","",INDEX('TMP Paste'!$B$2:$B$1601,$AG1319))</f>
        <v/>
      </c>
      <c r="E1319">
        <f>IF($AG1319="","",Config!$B$27)</f>
        <v/>
      </c>
      <c r="F1319">
        <f>IF($AG1319="","",Config!$B$9)</f>
        <v/>
      </c>
      <c r="G1319">
        <f>IF($AG1319="","",Config!$B$10)</f>
        <v/>
      </c>
      <c r="H1319">
        <f>IF($AG1319="","",Config!$B$11)</f>
        <v/>
      </c>
      <c r="I1319">
        <f>IF($AG1319="","",Config!$B$16)</f>
        <v/>
      </c>
      <c r="J1319">
        <f>IF($AG1319="","",INDEX('TMP Paste'!$A$2:$A$1601,$AG1319))</f>
        <v/>
      </c>
      <c r="K1319">
        <f>IF($AG1319="","",INDEX('TMP Paste'!$L$2:$L$1601,$AG1319))</f>
        <v/>
      </c>
      <c r="L1319">
        <f>IF($AG1319="","",INDEX('TMP Paste'!$I$2:$I$1601,$AG1319))</f>
        <v/>
      </c>
      <c r="M1319">
        <f>IF($AG1319="","",Config!$B$16)</f>
        <v/>
      </c>
      <c r="N1319">
        <f>IF($AG1319="","","")</f>
        <v/>
      </c>
      <c r="O1319">
        <f>IF($AG1319="","",INDEX('TMP Paste'!$K$2:$K$1601,$AG1319))</f>
        <v/>
      </c>
      <c r="P1319">
        <f>IF($AG1319="","","")</f>
        <v/>
      </c>
      <c r="Q1319">
        <f>IF($AG1319="","",INDEX('TMP Paste'!$J$2:$J$1601,$AG1319))</f>
        <v/>
      </c>
      <c r="R1319">
        <f>IF($AG1319="","",Config!$B$24)</f>
        <v/>
      </c>
      <c r="S1319">
        <f>IF($AG1319="","",TEXT(Config!$B$4,"yyyy-mm-dd"))</f>
        <v/>
      </c>
      <c r="T1319">
        <f>IF($AG1319="","",Config!$B$17)</f>
        <v/>
      </c>
      <c r="U1319">
        <f>IF($AG1319="","",Config!$B$18)</f>
        <v/>
      </c>
      <c r="V1319">
        <f>IF($AG1319="","",Config!$B$19)</f>
        <v/>
      </c>
      <c r="W1319">
        <f>IF($AG1319="","",INDEX('TMP Paste'!$C$2:$C$1601,$AG1319))</f>
        <v/>
      </c>
      <c r="X1319">
        <f>IF($AG1319="","",Config!$B$29)</f>
        <v/>
      </c>
      <c r="Y1319">
        <f>IF($AH1319="","",INDEX(Calc!$I$2:$I$1601,$AH1319)&amp;" - "&amp;INDEX(Calc!$D$2:$D$1601,$AH1319)&amp;" koli")</f>
        <v/>
      </c>
      <c r="Z1319">
        <f>IF($AG1319="","",Config!$B$21)</f>
        <v/>
      </c>
      <c r="AA1319">
        <f>IF($AG1319="","",Config!$B$22)</f>
        <v/>
      </c>
      <c r="AB1319">
        <f>IF($AH1319="","",INDEX(Calc!$D$2:$D$1601,$AH1319))</f>
        <v/>
      </c>
      <c r="AC1319">
        <f>IF($AH1319="","",INDEX(Calc!$G$2:$G$1601,$AH1319))</f>
        <v/>
      </c>
      <c r="AD1319">
        <f>IF($AG1319="","",Config!$B$23)</f>
        <v/>
      </c>
      <c r="AE1319">
        <f>IF($AG1319="","",Config!$B$28)</f>
        <v/>
      </c>
      <c r="AG1319">
        <f>IFERROR(MATCH(ROW()-1,Calc!$J$2:$J$1601,0),"")</f>
        <v/>
      </c>
      <c r="AH1319">
        <f>IFERROR(MATCH(ROW()-1,Calc!$K$2:$K$1601,0),"")</f>
        <v/>
      </c>
      <c r="AI1319">
        <f>IF($AG1319="","",SUMIF($AG$2:$AG1319,$AG1319,$AH$2:$AH1319))</f>
        <v/>
      </c>
      <c r="AJ1319">
        <f>IF('TMP Paste'!$F1319="","",IF('TMP Paste'!$B1319="",$AJ1318,'TMP Paste'!$B1319))</f>
        <v/>
      </c>
      <c r="AK1319">
        <f>IF('TMP Paste'!$F1319="","",N('TMP Paste'!$G1319))</f>
        <v/>
      </c>
      <c r="AL1319">
        <f>IF('TMP Paste'!$F1319="","",IF('TMP Paste'!$M1319="",$AL1318,'TMP Paste'!$M1319))</f>
        <v/>
      </c>
      <c r="AM1319">
        <f>IF('TMP Paste'!$F1319="","",IF('TMP Paste'!$N1319="",$AM1318,'TMP Paste'!$N1319))</f>
        <v/>
      </c>
      <c r="AN1319">
        <f>IF('TMP Paste'!$F1319="","",IF('TMP Paste'!$O1319="",$AN1318,'TMP Paste'!$O1319))</f>
        <v/>
      </c>
      <c r="AO1319">
        <f>IF('TMP Paste'!$F1319="","",IF('TMP Paste'!$P1319="",$AO1318,'TMP Paste'!$P1319))</f>
        <v/>
      </c>
      <c r="AP1319">
        <f>IF($AG1319="","",LEN($R1319))</f>
        <v/>
      </c>
      <c r="AQ1319">
        <f>IF($AG1319="","",TRIM(IF(COUNTIFS(Calc!$B$2:$B$1601,ROW()-1,Calc!$C$2:$C$1601,"&lt;1")&gt;0,"Ada PO tanpa Koli - cek TMP. ","")&amp;IF(LEN($R1319)&gt;500,"R &gt; 500 karakter.","")))</f>
        <v/>
      </c>
    </row>
    <row r="1320">
      <c r="A1320">
        <f>IF($AG1320="","",INDEX('TMP Paste'!$B$2:$B$1601,$AG1320))</f>
        <v/>
      </c>
      <c r="B1320">
        <f>IF($AG1320="","",Config!$B$14)</f>
        <v/>
      </c>
      <c r="C1320">
        <f>IF($AG1320="","",Config!$B$15)</f>
        <v/>
      </c>
      <c r="D1320">
        <f>IF($AG1320="","",INDEX('TMP Paste'!$B$2:$B$1601,$AG1320))</f>
        <v/>
      </c>
      <c r="E1320">
        <f>IF($AG1320="","",Config!$B$27)</f>
        <v/>
      </c>
      <c r="F1320">
        <f>IF($AG1320="","",Config!$B$9)</f>
        <v/>
      </c>
      <c r="G1320">
        <f>IF($AG1320="","",Config!$B$10)</f>
        <v/>
      </c>
      <c r="H1320">
        <f>IF($AG1320="","",Config!$B$11)</f>
        <v/>
      </c>
      <c r="I1320">
        <f>IF($AG1320="","",Config!$B$16)</f>
        <v/>
      </c>
      <c r="J1320">
        <f>IF($AG1320="","",INDEX('TMP Paste'!$A$2:$A$1601,$AG1320))</f>
        <v/>
      </c>
      <c r="K1320">
        <f>IF($AG1320="","",INDEX('TMP Paste'!$L$2:$L$1601,$AG1320))</f>
        <v/>
      </c>
      <c r="L1320">
        <f>IF($AG1320="","",INDEX('TMP Paste'!$I$2:$I$1601,$AG1320))</f>
        <v/>
      </c>
      <c r="M1320">
        <f>IF($AG1320="","",Config!$B$16)</f>
        <v/>
      </c>
      <c r="N1320">
        <f>IF($AG1320="","","")</f>
        <v/>
      </c>
      <c r="O1320">
        <f>IF($AG1320="","",INDEX('TMP Paste'!$K$2:$K$1601,$AG1320))</f>
        <v/>
      </c>
      <c r="P1320">
        <f>IF($AG1320="","","")</f>
        <v/>
      </c>
      <c r="Q1320">
        <f>IF($AG1320="","",INDEX('TMP Paste'!$J$2:$J$1601,$AG1320))</f>
        <v/>
      </c>
      <c r="R1320">
        <f>IF($AG1320="","",Config!$B$24)</f>
        <v/>
      </c>
      <c r="S1320">
        <f>IF($AG1320="","",TEXT(Config!$B$4,"yyyy-mm-dd"))</f>
        <v/>
      </c>
      <c r="T1320">
        <f>IF($AG1320="","",Config!$B$17)</f>
        <v/>
      </c>
      <c r="U1320">
        <f>IF($AG1320="","",Config!$B$18)</f>
        <v/>
      </c>
      <c r="V1320">
        <f>IF($AG1320="","",Config!$B$19)</f>
        <v/>
      </c>
      <c r="W1320">
        <f>IF($AG1320="","",INDEX('TMP Paste'!$C$2:$C$1601,$AG1320))</f>
        <v/>
      </c>
      <c r="X1320">
        <f>IF($AG1320="","",Config!$B$29)</f>
        <v/>
      </c>
      <c r="Y1320">
        <f>IF($AH1320="","",INDEX(Calc!$I$2:$I$1601,$AH1320)&amp;" - "&amp;INDEX(Calc!$D$2:$D$1601,$AH1320)&amp;" koli")</f>
        <v/>
      </c>
      <c r="Z1320">
        <f>IF($AG1320="","",Config!$B$21)</f>
        <v/>
      </c>
      <c r="AA1320">
        <f>IF($AG1320="","",Config!$B$22)</f>
        <v/>
      </c>
      <c r="AB1320">
        <f>IF($AH1320="","",INDEX(Calc!$D$2:$D$1601,$AH1320))</f>
        <v/>
      </c>
      <c r="AC1320">
        <f>IF($AH1320="","",INDEX(Calc!$G$2:$G$1601,$AH1320))</f>
        <v/>
      </c>
      <c r="AD1320">
        <f>IF($AG1320="","",Config!$B$23)</f>
        <v/>
      </c>
      <c r="AE1320">
        <f>IF($AG1320="","",Config!$B$28)</f>
        <v/>
      </c>
      <c r="AG1320">
        <f>IFERROR(MATCH(ROW()-1,Calc!$J$2:$J$1601,0),"")</f>
        <v/>
      </c>
      <c r="AH1320">
        <f>IFERROR(MATCH(ROW()-1,Calc!$K$2:$K$1601,0),"")</f>
        <v/>
      </c>
      <c r="AI1320">
        <f>IF($AG1320="","",SUMIF($AG$2:$AG1320,$AG1320,$AH$2:$AH1320))</f>
        <v/>
      </c>
      <c r="AJ1320">
        <f>IF('TMP Paste'!$F1320="","",IF('TMP Paste'!$B1320="",$AJ1319,'TMP Paste'!$B1320))</f>
        <v/>
      </c>
      <c r="AK1320">
        <f>IF('TMP Paste'!$F1320="","",N('TMP Paste'!$G1320))</f>
        <v/>
      </c>
      <c r="AL1320">
        <f>IF('TMP Paste'!$F1320="","",IF('TMP Paste'!$M1320="",$AL1319,'TMP Paste'!$M1320))</f>
        <v/>
      </c>
      <c r="AM1320">
        <f>IF('TMP Paste'!$F1320="","",IF('TMP Paste'!$N1320="",$AM1319,'TMP Paste'!$N1320))</f>
        <v/>
      </c>
      <c r="AN1320">
        <f>IF('TMP Paste'!$F1320="","",IF('TMP Paste'!$O1320="",$AN1319,'TMP Paste'!$O1320))</f>
        <v/>
      </c>
      <c r="AO1320">
        <f>IF('TMP Paste'!$F1320="","",IF('TMP Paste'!$P1320="",$AO1319,'TMP Paste'!$P1320))</f>
        <v/>
      </c>
      <c r="AP1320">
        <f>IF($AG1320="","",LEN($R1320))</f>
        <v/>
      </c>
      <c r="AQ1320">
        <f>IF($AG1320="","",TRIM(IF(COUNTIFS(Calc!$B$2:$B$1601,ROW()-1,Calc!$C$2:$C$1601,"&lt;1")&gt;0,"Ada PO tanpa Koli - cek TMP. ","")&amp;IF(LEN($R1320)&gt;500,"R &gt; 500 karakter.","")))</f>
        <v/>
      </c>
    </row>
    <row r="1321">
      <c r="A1321">
        <f>IF($AG1321="","",INDEX('TMP Paste'!$B$2:$B$1601,$AG1321))</f>
        <v/>
      </c>
      <c r="B1321">
        <f>IF($AG1321="","",Config!$B$14)</f>
        <v/>
      </c>
      <c r="C1321">
        <f>IF($AG1321="","",Config!$B$15)</f>
        <v/>
      </c>
      <c r="D1321">
        <f>IF($AG1321="","",INDEX('TMP Paste'!$B$2:$B$1601,$AG1321))</f>
        <v/>
      </c>
      <c r="E1321">
        <f>IF($AG1321="","",Config!$B$27)</f>
        <v/>
      </c>
      <c r="F1321">
        <f>IF($AG1321="","",Config!$B$9)</f>
        <v/>
      </c>
      <c r="G1321">
        <f>IF($AG1321="","",Config!$B$10)</f>
        <v/>
      </c>
      <c r="H1321">
        <f>IF($AG1321="","",Config!$B$11)</f>
        <v/>
      </c>
      <c r="I1321">
        <f>IF($AG1321="","",Config!$B$16)</f>
        <v/>
      </c>
      <c r="J1321">
        <f>IF($AG1321="","",INDEX('TMP Paste'!$A$2:$A$1601,$AG1321))</f>
        <v/>
      </c>
      <c r="K1321">
        <f>IF($AG1321="","",INDEX('TMP Paste'!$L$2:$L$1601,$AG1321))</f>
        <v/>
      </c>
      <c r="L1321">
        <f>IF($AG1321="","",INDEX('TMP Paste'!$I$2:$I$1601,$AG1321))</f>
        <v/>
      </c>
      <c r="M1321">
        <f>IF($AG1321="","",Config!$B$16)</f>
        <v/>
      </c>
      <c r="N1321">
        <f>IF($AG1321="","","")</f>
        <v/>
      </c>
      <c r="O1321">
        <f>IF($AG1321="","",INDEX('TMP Paste'!$K$2:$K$1601,$AG1321))</f>
        <v/>
      </c>
      <c r="P1321">
        <f>IF($AG1321="","","")</f>
        <v/>
      </c>
      <c r="Q1321">
        <f>IF($AG1321="","",INDEX('TMP Paste'!$J$2:$J$1601,$AG1321))</f>
        <v/>
      </c>
      <c r="R1321">
        <f>IF($AG1321="","",Config!$B$24)</f>
        <v/>
      </c>
      <c r="S1321">
        <f>IF($AG1321="","",TEXT(Config!$B$4,"yyyy-mm-dd"))</f>
        <v/>
      </c>
      <c r="T1321">
        <f>IF($AG1321="","",Config!$B$17)</f>
        <v/>
      </c>
      <c r="U1321">
        <f>IF($AG1321="","",Config!$B$18)</f>
        <v/>
      </c>
      <c r="V1321">
        <f>IF($AG1321="","",Config!$B$19)</f>
        <v/>
      </c>
      <c r="W1321">
        <f>IF($AG1321="","",INDEX('TMP Paste'!$C$2:$C$1601,$AG1321))</f>
        <v/>
      </c>
      <c r="X1321">
        <f>IF($AG1321="","",Config!$B$29)</f>
        <v/>
      </c>
      <c r="Y1321">
        <f>IF($AH1321="","",INDEX(Calc!$I$2:$I$1601,$AH1321)&amp;" - "&amp;INDEX(Calc!$D$2:$D$1601,$AH1321)&amp;" koli")</f>
        <v/>
      </c>
      <c r="Z1321">
        <f>IF($AG1321="","",Config!$B$21)</f>
        <v/>
      </c>
      <c r="AA1321">
        <f>IF($AG1321="","",Config!$B$22)</f>
        <v/>
      </c>
      <c r="AB1321">
        <f>IF($AH1321="","",INDEX(Calc!$D$2:$D$1601,$AH1321))</f>
        <v/>
      </c>
      <c r="AC1321">
        <f>IF($AH1321="","",INDEX(Calc!$G$2:$G$1601,$AH1321))</f>
        <v/>
      </c>
      <c r="AD1321">
        <f>IF($AG1321="","",Config!$B$23)</f>
        <v/>
      </c>
      <c r="AE1321">
        <f>IF($AG1321="","",Config!$B$28)</f>
        <v/>
      </c>
      <c r="AG1321">
        <f>IFERROR(MATCH(ROW()-1,Calc!$J$2:$J$1601,0),"")</f>
        <v/>
      </c>
      <c r="AH1321">
        <f>IFERROR(MATCH(ROW()-1,Calc!$K$2:$K$1601,0),"")</f>
        <v/>
      </c>
      <c r="AI1321">
        <f>IF($AG1321="","",SUMIF($AG$2:$AG1321,$AG1321,$AH$2:$AH1321))</f>
        <v/>
      </c>
      <c r="AJ1321">
        <f>IF('TMP Paste'!$F1321="","",IF('TMP Paste'!$B1321="",$AJ1320,'TMP Paste'!$B1321))</f>
        <v/>
      </c>
      <c r="AK1321">
        <f>IF('TMP Paste'!$F1321="","",N('TMP Paste'!$G1321))</f>
        <v/>
      </c>
      <c r="AL1321">
        <f>IF('TMP Paste'!$F1321="","",IF('TMP Paste'!$M1321="",$AL1320,'TMP Paste'!$M1321))</f>
        <v/>
      </c>
      <c r="AM1321">
        <f>IF('TMP Paste'!$F1321="","",IF('TMP Paste'!$N1321="",$AM1320,'TMP Paste'!$N1321))</f>
        <v/>
      </c>
      <c r="AN1321">
        <f>IF('TMP Paste'!$F1321="","",IF('TMP Paste'!$O1321="",$AN1320,'TMP Paste'!$O1321))</f>
        <v/>
      </c>
      <c r="AO1321">
        <f>IF('TMP Paste'!$F1321="","",IF('TMP Paste'!$P1321="",$AO1320,'TMP Paste'!$P1321))</f>
        <v/>
      </c>
      <c r="AP1321">
        <f>IF($AG1321="","",LEN($R1321))</f>
        <v/>
      </c>
      <c r="AQ1321">
        <f>IF($AG1321="","",TRIM(IF(COUNTIFS(Calc!$B$2:$B$1601,ROW()-1,Calc!$C$2:$C$1601,"&lt;1")&gt;0,"Ada PO tanpa Koli - cek TMP. ","")&amp;IF(LEN($R1321)&gt;500,"R &gt; 500 karakter.","")))</f>
        <v/>
      </c>
    </row>
    <row r="1322">
      <c r="A1322">
        <f>IF($AG1322="","",INDEX('TMP Paste'!$B$2:$B$1601,$AG1322))</f>
        <v/>
      </c>
      <c r="B1322">
        <f>IF($AG1322="","",Config!$B$14)</f>
        <v/>
      </c>
      <c r="C1322">
        <f>IF($AG1322="","",Config!$B$15)</f>
        <v/>
      </c>
      <c r="D1322">
        <f>IF($AG1322="","",INDEX('TMP Paste'!$B$2:$B$1601,$AG1322))</f>
        <v/>
      </c>
      <c r="E1322">
        <f>IF($AG1322="","",Config!$B$27)</f>
        <v/>
      </c>
      <c r="F1322">
        <f>IF($AG1322="","",Config!$B$9)</f>
        <v/>
      </c>
      <c r="G1322">
        <f>IF($AG1322="","",Config!$B$10)</f>
        <v/>
      </c>
      <c r="H1322">
        <f>IF($AG1322="","",Config!$B$11)</f>
        <v/>
      </c>
      <c r="I1322">
        <f>IF($AG1322="","",Config!$B$16)</f>
        <v/>
      </c>
      <c r="J1322">
        <f>IF($AG1322="","",INDEX('TMP Paste'!$A$2:$A$1601,$AG1322))</f>
        <v/>
      </c>
      <c r="K1322">
        <f>IF($AG1322="","",INDEX('TMP Paste'!$L$2:$L$1601,$AG1322))</f>
        <v/>
      </c>
      <c r="L1322">
        <f>IF($AG1322="","",INDEX('TMP Paste'!$I$2:$I$1601,$AG1322))</f>
        <v/>
      </c>
      <c r="M1322">
        <f>IF($AG1322="","",Config!$B$16)</f>
        <v/>
      </c>
      <c r="N1322">
        <f>IF($AG1322="","","")</f>
        <v/>
      </c>
      <c r="O1322">
        <f>IF($AG1322="","",INDEX('TMP Paste'!$K$2:$K$1601,$AG1322))</f>
        <v/>
      </c>
      <c r="P1322">
        <f>IF($AG1322="","","")</f>
        <v/>
      </c>
      <c r="Q1322">
        <f>IF($AG1322="","",INDEX('TMP Paste'!$J$2:$J$1601,$AG1322))</f>
        <v/>
      </c>
      <c r="R1322">
        <f>IF($AG1322="","",Config!$B$24)</f>
        <v/>
      </c>
      <c r="S1322">
        <f>IF($AG1322="","",TEXT(Config!$B$4,"yyyy-mm-dd"))</f>
        <v/>
      </c>
      <c r="T1322">
        <f>IF($AG1322="","",Config!$B$17)</f>
        <v/>
      </c>
      <c r="U1322">
        <f>IF($AG1322="","",Config!$B$18)</f>
        <v/>
      </c>
      <c r="V1322">
        <f>IF($AG1322="","",Config!$B$19)</f>
        <v/>
      </c>
      <c r="W1322">
        <f>IF($AG1322="","",INDEX('TMP Paste'!$C$2:$C$1601,$AG1322))</f>
        <v/>
      </c>
      <c r="X1322">
        <f>IF($AG1322="","",Config!$B$29)</f>
        <v/>
      </c>
      <c r="Y1322">
        <f>IF($AH1322="","",INDEX(Calc!$I$2:$I$1601,$AH1322)&amp;" - "&amp;INDEX(Calc!$D$2:$D$1601,$AH1322)&amp;" koli")</f>
        <v/>
      </c>
      <c r="Z1322">
        <f>IF($AG1322="","",Config!$B$21)</f>
        <v/>
      </c>
      <c r="AA1322">
        <f>IF($AG1322="","",Config!$B$22)</f>
        <v/>
      </c>
      <c r="AB1322">
        <f>IF($AH1322="","",INDEX(Calc!$D$2:$D$1601,$AH1322))</f>
        <v/>
      </c>
      <c r="AC1322">
        <f>IF($AH1322="","",INDEX(Calc!$G$2:$G$1601,$AH1322))</f>
        <v/>
      </c>
      <c r="AD1322">
        <f>IF($AG1322="","",Config!$B$23)</f>
        <v/>
      </c>
      <c r="AE1322">
        <f>IF($AG1322="","",Config!$B$28)</f>
        <v/>
      </c>
      <c r="AG1322">
        <f>IFERROR(MATCH(ROW()-1,Calc!$J$2:$J$1601,0),"")</f>
        <v/>
      </c>
      <c r="AH1322">
        <f>IFERROR(MATCH(ROW()-1,Calc!$K$2:$K$1601,0),"")</f>
        <v/>
      </c>
      <c r="AI1322">
        <f>IF($AG1322="","",SUMIF($AG$2:$AG1322,$AG1322,$AH$2:$AH1322))</f>
        <v/>
      </c>
      <c r="AJ1322">
        <f>IF('TMP Paste'!$F1322="","",IF('TMP Paste'!$B1322="",$AJ1321,'TMP Paste'!$B1322))</f>
        <v/>
      </c>
      <c r="AK1322">
        <f>IF('TMP Paste'!$F1322="","",N('TMP Paste'!$G1322))</f>
        <v/>
      </c>
      <c r="AL1322">
        <f>IF('TMP Paste'!$F1322="","",IF('TMP Paste'!$M1322="",$AL1321,'TMP Paste'!$M1322))</f>
        <v/>
      </c>
      <c r="AM1322">
        <f>IF('TMP Paste'!$F1322="","",IF('TMP Paste'!$N1322="",$AM1321,'TMP Paste'!$N1322))</f>
        <v/>
      </c>
      <c r="AN1322">
        <f>IF('TMP Paste'!$F1322="","",IF('TMP Paste'!$O1322="",$AN1321,'TMP Paste'!$O1322))</f>
        <v/>
      </c>
      <c r="AO1322">
        <f>IF('TMP Paste'!$F1322="","",IF('TMP Paste'!$P1322="",$AO1321,'TMP Paste'!$P1322))</f>
        <v/>
      </c>
      <c r="AP1322">
        <f>IF($AG1322="","",LEN($R1322))</f>
        <v/>
      </c>
      <c r="AQ1322">
        <f>IF($AG1322="","",TRIM(IF(COUNTIFS(Calc!$B$2:$B$1601,ROW()-1,Calc!$C$2:$C$1601,"&lt;1")&gt;0,"Ada PO tanpa Koli - cek TMP. ","")&amp;IF(LEN($R1322)&gt;500,"R &gt; 500 karakter.","")))</f>
        <v/>
      </c>
    </row>
    <row r="1323">
      <c r="A1323">
        <f>IF($AG1323="","",INDEX('TMP Paste'!$B$2:$B$1601,$AG1323))</f>
        <v/>
      </c>
      <c r="B1323">
        <f>IF($AG1323="","",Config!$B$14)</f>
        <v/>
      </c>
      <c r="C1323">
        <f>IF($AG1323="","",Config!$B$15)</f>
        <v/>
      </c>
      <c r="D1323">
        <f>IF($AG1323="","",INDEX('TMP Paste'!$B$2:$B$1601,$AG1323))</f>
        <v/>
      </c>
      <c r="E1323">
        <f>IF($AG1323="","",Config!$B$27)</f>
        <v/>
      </c>
      <c r="F1323">
        <f>IF($AG1323="","",Config!$B$9)</f>
        <v/>
      </c>
      <c r="G1323">
        <f>IF($AG1323="","",Config!$B$10)</f>
        <v/>
      </c>
      <c r="H1323">
        <f>IF($AG1323="","",Config!$B$11)</f>
        <v/>
      </c>
      <c r="I1323">
        <f>IF($AG1323="","",Config!$B$16)</f>
        <v/>
      </c>
      <c r="J1323">
        <f>IF($AG1323="","",INDEX('TMP Paste'!$A$2:$A$1601,$AG1323))</f>
        <v/>
      </c>
      <c r="K1323">
        <f>IF($AG1323="","",INDEX('TMP Paste'!$L$2:$L$1601,$AG1323))</f>
        <v/>
      </c>
      <c r="L1323">
        <f>IF($AG1323="","",INDEX('TMP Paste'!$I$2:$I$1601,$AG1323))</f>
        <v/>
      </c>
      <c r="M1323">
        <f>IF($AG1323="","",Config!$B$16)</f>
        <v/>
      </c>
      <c r="N1323">
        <f>IF($AG1323="","","")</f>
        <v/>
      </c>
      <c r="O1323">
        <f>IF($AG1323="","",INDEX('TMP Paste'!$K$2:$K$1601,$AG1323))</f>
        <v/>
      </c>
      <c r="P1323">
        <f>IF($AG1323="","","")</f>
        <v/>
      </c>
      <c r="Q1323">
        <f>IF($AG1323="","",INDEX('TMP Paste'!$J$2:$J$1601,$AG1323))</f>
        <v/>
      </c>
      <c r="R1323">
        <f>IF($AG1323="","",Config!$B$24)</f>
        <v/>
      </c>
      <c r="S1323">
        <f>IF($AG1323="","",TEXT(Config!$B$4,"yyyy-mm-dd"))</f>
        <v/>
      </c>
      <c r="T1323">
        <f>IF($AG1323="","",Config!$B$17)</f>
        <v/>
      </c>
      <c r="U1323">
        <f>IF($AG1323="","",Config!$B$18)</f>
        <v/>
      </c>
      <c r="V1323">
        <f>IF($AG1323="","",Config!$B$19)</f>
        <v/>
      </c>
      <c r="W1323">
        <f>IF($AG1323="","",INDEX('TMP Paste'!$C$2:$C$1601,$AG1323))</f>
        <v/>
      </c>
      <c r="X1323">
        <f>IF($AG1323="","",Config!$B$29)</f>
        <v/>
      </c>
      <c r="Y1323">
        <f>IF($AH1323="","",INDEX(Calc!$I$2:$I$1601,$AH1323)&amp;" - "&amp;INDEX(Calc!$D$2:$D$1601,$AH1323)&amp;" koli")</f>
        <v/>
      </c>
      <c r="Z1323">
        <f>IF($AG1323="","",Config!$B$21)</f>
        <v/>
      </c>
      <c r="AA1323">
        <f>IF($AG1323="","",Config!$B$22)</f>
        <v/>
      </c>
      <c r="AB1323">
        <f>IF($AH1323="","",INDEX(Calc!$D$2:$D$1601,$AH1323))</f>
        <v/>
      </c>
      <c r="AC1323">
        <f>IF($AH1323="","",INDEX(Calc!$G$2:$G$1601,$AH1323))</f>
        <v/>
      </c>
      <c r="AD1323">
        <f>IF($AG1323="","",Config!$B$23)</f>
        <v/>
      </c>
      <c r="AE1323">
        <f>IF($AG1323="","",Config!$B$28)</f>
        <v/>
      </c>
      <c r="AG1323">
        <f>IFERROR(MATCH(ROW()-1,Calc!$J$2:$J$1601,0),"")</f>
        <v/>
      </c>
      <c r="AH1323">
        <f>IFERROR(MATCH(ROW()-1,Calc!$K$2:$K$1601,0),"")</f>
        <v/>
      </c>
      <c r="AI1323">
        <f>IF($AG1323="","",SUMIF($AG$2:$AG1323,$AG1323,$AH$2:$AH1323))</f>
        <v/>
      </c>
      <c r="AJ1323">
        <f>IF('TMP Paste'!$F1323="","",IF('TMP Paste'!$B1323="",$AJ1322,'TMP Paste'!$B1323))</f>
        <v/>
      </c>
      <c r="AK1323">
        <f>IF('TMP Paste'!$F1323="","",N('TMP Paste'!$G1323))</f>
        <v/>
      </c>
      <c r="AL1323">
        <f>IF('TMP Paste'!$F1323="","",IF('TMP Paste'!$M1323="",$AL1322,'TMP Paste'!$M1323))</f>
        <v/>
      </c>
      <c r="AM1323">
        <f>IF('TMP Paste'!$F1323="","",IF('TMP Paste'!$N1323="",$AM1322,'TMP Paste'!$N1323))</f>
        <v/>
      </c>
      <c r="AN1323">
        <f>IF('TMP Paste'!$F1323="","",IF('TMP Paste'!$O1323="",$AN1322,'TMP Paste'!$O1323))</f>
        <v/>
      </c>
      <c r="AO1323">
        <f>IF('TMP Paste'!$F1323="","",IF('TMP Paste'!$P1323="",$AO1322,'TMP Paste'!$P1323))</f>
        <v/>
      </c>
      <c r="AP1323">
        <f>IF($AG1323="","",LEN($R1323))</f>
        <v/>
      </c>
      <c r="AQ1323">
        <f>IF($AG1323="","",TRIM(IF(COUNTIFS(Calc!$B$2:$B$1601,ROW()-1,Calc!$C$2:$C$1601,"&lt;1")&gt;0,"Ada PO tanpa Koli - cek TMP. ","")&amp;IF(LEN($R1323)&gt;500,"R &gt; 500 karakter.","")))</f>
        <v/>
      </c>
    </row>
    <row r="1324">
      <c r="A1324">
        <f>IF($AG1324="","",INDEX('TMP Paste'!$B$2:$B$1601,$AG1324))</f>
        <v/>
      </c>
      <c r="B1324">
        <f>IF($AG1324="","",Config!$B$14)</f>
        <v/>
      </c>
      <c r="C1324">
        <f>IF($AG1324="","",Config!$B$15)</f>
        <v/>
      </c>
      <c r="D1324">
        <f>IF($AG1324="","",INDEX('TMP Paste'!$B$2:$B$1601,$AG1324))</f>
        <v/>
      </c>
      <c r="E1324">
        <f>IF($AG1324="","",Config!$B$27)</f>
        <v/>
      </c>
      <c r="F1324">
        <f>IF($AG1324="","",Config!$B$9)</f>
        <v/>
      </c>
      <c r="G1324">
        <f>IF($AG1324="","",Config!$B$10)</f>
        <v/>
      </c>
      <c r="H1324">
        <f>IF($AG1324="","",Config!$B$11)</f>
        <v/>
      </c>
      <c r="I1324">
        <f>IF($AG1324="","",Config!$B$16)</f>
        <v/>
      </c>
      <c r="J1324">
        <f>IF($AG1324="","",INDEX('TMP Paste'!$A$2:$A$1601,$AG1324))</f>
        <v/>
      </c>
      <c r="K1324">
        <f>IF($AG1324="","",INDEX('TMP Paste'!$L$2:$L$1601,$AG1324))</f>
        <v/>
      </c>
      <c r="L1324">
        <f>IF($AG1324="","",INDEX('TMP Paste'!$I$2:$I$1601,$AG1324))</f>
        <v/>
      </c>
      <c r="M1324">
        <f>IF($AG1324="","",Config!$B$16)</f>
        <v/>
      </c>
      <c r="N1324">
        <f>IF($AG1324="","","")</f>
        <v/>
      </c>
      <c r="O1324">
        <f>IF($AG1324="","",INDEX('TMP Paste'!$K$2:$K$1601,$AG1324))</f>
        <v/>
      </c>
      <c r="P1324">
        <f>IF($AG1324="","","")</f>
        <v/>
      </c>
      <c r="Q1324">
        <f>IF($AG1324="","",INDEX('TMP Paste'!$J$2:$J$1601,$AG1324))</f>
        <v/>
      </c>
      <c r="R1324">
        <f>IF($AG1324="","",Config!$B$24)</f>
        <v/>
      </c>
      <c r="S1324">
        <f>IF($AG1324="","",TEXT(Config!$B$4,"yyyy-mm-dd"))</f>
        <v/>
      </c>
      <c r="T1324">
        <f>IF($AG1324="","",Config!$B$17)</f>
        <v/>
      </c>
      <c r="U1324">
        <f>IF($AG1324="","",Config!$B$18)</f>
        <v/>
      </c>
      <c r="V1324">
        <f>IF($AG1324="","",Config!$B$19)</f>
        <v/>
      </c>
      <c r="W1324">
        <f>IF($AG1324="","",INDEX('TMP Paste'!$C$2:$C$1601,$AG1324))</f>
        <v/>
      </c>
      <c r="X1324">
        <f>IF($AG1324="","",Config!$B$29)</f>
        <v/>
      </c>
      <c r="Y1324">
        <f>IF($AH1324="","",INDEX(Calc!$I$2:$I$1601,$AH1324)&amp;" - "&amp;INDEX(Calc!$D$2:$D$1601,$AH1324)&amp;" koli")</f>
        <v/>
      </c>
      <c r="Z1324">
        <f>IF($AG1324="","",Config!$B$21)</f>
        <v/>
      </c>
      <c r="AA1324">
        <f>IF($AG1324="","",Config!$B$22)</f>
        <v/>
      </c>
      <c r="AB1324">
        <f>IF($AH1324="","",INDEX(Calc!$D$2:$D$1601,$AH1324))</f>
        <v/>
      </c>
      <c r="AC1324">
        <f>IF($AH1324="","",INDEX(Calc!$G$2:$G$1601,$AH1324))</f>
        <v/>
      </c>
      <c r="AD1324">
        <f>IF($AG1324="","",Config!$B$23)</f>
        <v/>
      </c>
      <c r="AE1324">
        <f>IF($AG1324="","",Config!$B$28)</f>
        <v/>
      </c>
      <c r="AG1324">
        <f>IFERROR(MATCH(ROW()-1,Calc!$J$2:$J$1601,0),"")</f>
        <v/>
      </c>
      <c r="AH1324">
        <f>IFERROR(MATCH(ROW()-1,Calc!$K$2:$K$1601,0),"")</f>
        <v/>
      </c>
      <c r="AI1324">
        <f>IF($AG1324="","",SUMIF($AG$2:$AG1324,$AG1324,$AH$2:$AH1324))</f>
        <v/>
      </c>
      <c r="AJ1324">
        <f>IF('TMP Paste'!$F1324="","",IF('TMP Paste'!$B1324="",$AJ1323,'TMP Paste'!$B1324))</f>
        <v/>
      </c>
      <c r="AK1324">
        <f>IF('TMP Paste'!$F1324="","",N('TMP Paste'!$G1324))</f>
        <v/>
      </c>
      <c r="AL1324">
        <f>IF('TMP Paste'!$F1324="","",IF('TMP Paste'!$M1324="",$AL1323,'TMP Paste'!$M1324))</f>
        <v/>
      </c>
      <c r="AM1324">
        <f>IF('TMP Paste'!$F1324="","",IF('TMP Paste'!$N1324="",$AM1323,'TMP Paste'!$N1324))</f>
        <v/>
      </c>
      <c r="AN1324">
        <f>IF('TMP Paste'!$F1324="","",IF('TMP Paste'!$O1324="",$AN1323,'TMP Paste'!$O1324))</f>
        <v/>
      </c>
      <c r="AO1324">
        <f>IF('TMP Paste'!$F1324="","",IF('TMP Paste'!$P1324="",$AO1323,'TMP Paste'!$P1324))</f>
        <v/>
      </c>
      <c r="AP1324">
        <f>IF($AG1324="","",LEN($R1324))</f>
        <v/>
      </c>
      <c r="AQ1324">
        <f>IF($AG1324="","",TRIM(IF(COUNTIFS(Calc!$B$2:$B$1601,ROW()-1,Calc!$C$2:$C$1601,"&lt;1")&gt;0,"Ada PO tanpa Koli - cek TMP. ","")&amp;IF(LEN($R1324)&gt;500,"R &gt; 500 karakter.","")))</f>
        <v/>
      </c>
    </row>
    <row r="1325">
      <c r="A1325">
        <f>IF($AG1325="","",INDEX('TMP Paste'!$B$2:$B$1601,$AG1325))</f>
        <v/>
      </c>
      <c r="B1325">
        <f>IF($AG1325="","",Config!$B$14)</f>
        <v/>
      </c>
      <c r="C1325">
        <f>IF($AG1325="","",Config!$B$15)</f>
        <v/>
      </c>
      <c r="D1325">
        <f>IF($AG1325="","",INDEX('TMP Paste'!$B$2:$B$1601,$AG1325))</f>
        <v/>
      </c>
      <c r="E1325">
        <f>IF($AG1325="","",Config!$B$27)</f>
        <v/>
      </c>
      <c r="F1325">
        <f>IF($AG1325="","",Config!$B$9)</f>
        <v/>
      </c>
      <c r="G1325">
        <f>IF($AG1325="","",Config!$B$10)</f>
        <v/>
      </c>
      <c r="H1325">
        <f>IF($AG1325="","",Config!$B$11)</f>
        <v/>
      </c>
      <c r="I1325">
        <f>IF($AG1325="","",Config!$B$16)</f>
        <v/>
      </c>
      <c r="J1325">
        <f>IF($AG1325="","",INDEX('TMP Paste'!$A$2:$A$1601,$AG1325))</f>
        <v/>
      </c>
      <c r="K1325">
        <f>IF($AG1325="","",INDEX('TMP Paste'!$L$2:$L$1601,$AG1325))</f>
        <v/>
      </c>
      <c r="L1325">
        <f>IF($AG1325="","",INDEX('TMP Paste'!$I$2:$I$1601,$AG1325))</f>
        <v/>
      </c>
      <c r="M1325">
        <f>IF($AG1325="","",Config!$B$16)</f>
        <v/>
      </c>
      <c r="N1325">
        <f>IF($AG1325="","","")</f>
        <v/>
      </c>
      <c r="O1325">
        <f>IF($AG1325="","",INDEX('TMP Paste'!$K$2:$K$1601,$AG1325))</f>
        <v/>
      </c>
      <c r="P1325">
        <f>IF($AG1325="","","")</f>
        <v/>
      </c>
      <c r="Q1325">
        <f>IF($AG1325="","",INDEX('TMP Paste'!$J$2:$J$1601,$AG1325))</f>
        <v/>
      </c>
      <c r="R1325">
        <f>IF($AG1325="","",Config!$B$24)</f>
        <v/>
      </c>
      <c r="S1325">
        <f>IF($AG1325="","",TEXT(Config!$B$4,"yyyy-mm-dd"))</f>
        <v/>
      </c>
      <c r="T1325">
        <f>IF($AG1325="","",Config!$B$17)</f>
        <v/>
      </c>
      <c r="U1325">
        <f>IF($AG1325="","",Config!$B$18)</f>
        <v/>
      </c>
      <c r="V1325">
        <f>IF($AG1325="","",Config!$B$19)</f>
        <v/>
      </c>
      <c r="W1325">
        <f>IF($AG1325="","",INDEX('TMP Paste'!$C$2:$C$1601,$AG1325))</f>
        <v/>
      </c>
      <c r="X1325">
        <f>IF($AG1325="","",Config!$B$29)</f>
        <v/>
      </c>
      <c r="Y1325">
        <f>IF($AH1325="","",INDEX(Calc!$I$2:$I$1601,$AH1325)&amp;" - "&amp;INDEX(Calc!$D$2:$D$1601,$AH1325)&amp;" koli")</f>
        <v/>
      </c>
      <c r="Z1325">
        <f>IF($AG1325="","",Config!$B$21)</f>
        <v/>
      </c>
      <c r="AA1325">
        <f>IF($AG1325="","",Config!$B$22)</f>
        <v/>
      </c>
      <c r="AB1325">
        <f>IF($AH1325="","",INDEX(Calc!$D$2:$D$1601,$AH1325))</f>
        <v/>
      </c>
      <c r="AC1325">
        <f>IF($AH1325="","",INDEX(Calc!$G$2:$G$1601,$AH1325))</f>
        <v/>
      </c>
      <c r="AD1325">
        <f>IF($AG1325="","",Config!$B$23)</f>
        <v/>
      </c>
      <c r="AE1325">
        <f>IF($AG1325="","",Config!$B$28)</f>
        <v/>
      </c>
      <c r="AG1325">
        <f>IFERROR(MATCH(ROW()-1,Calc!$J$2:$J$1601,0),"")</f>
        <v/>
      </c>
      <c r="AH1325">
        <f>IFERROR(MATCH(ROW()-1,Calc!$K$2:$K$1601,0),"")</f>
        <v/>
      </c>
      <c r="AI1325">
        <f>IF($AG1325="","",SUMIF($AG$2:$AG1325,$AG1325,$AH$2:$AH1325))</f>
        <v/>
      </c>
      <c r="AJ1325">
        <f>IF('TMP Paste'!$F1325="","",IF('TMP Paste'!$B1325="",$AJ1324,'TMP Paste'!$B1325))</f>
        <v/>
      </c>
      <c r="AK1325">
        <f>IF('TMP Paste'!$F1325="","",N('TMP Paste'!$G1325))</f>
        <v/>
      </c>
      <c r="AL1325">
        <f>IF('TMP Paste'!$F1325="","",IF('TMP Paste'!$M1325="",$AL1324,'TMP Paste'!$M1325))</f>
        <v/>
      </c>
      <c r="AM1325">
        <f>IF('TMP Paste'!$F1325="","",IF('TMP Paste'!$N1325="",$AM1324,'TMP Paste'!$N1325))</f>
        <v/>
      </c>
      <c r="AN1325">
        <f>IF('TMP Paste'!$F1325="","",IF('TMP Paste'!$O1325="",$AN1324,'TMP Paste'!$O1325))</f>
        <v/>
      </c>
      <c r="AO1325">
        <f>IF('TMP Paste'!$F1325="","",IF('TMP Paste'!$P1325="",$AO1324,'TMP Paste'!$P1325))</f>
        <v/>
      </c>
      <c r="AP1325">
        <f>IF($AG1325="","",LEN($R1325))</f>
        <v/>
      </c>
      <c r="AQ1325">
        <f>IF($AG1325="","",TRIM(IF(COUNTIFS(Calc!$B$2:$B$1601,ROW()-1,Calc!$C$2:$C$1601,"&lt;1")&gt;0,"Ada PO tanpa Koli - cek TMP. ","")&amp;IF(LEN($R1325)&gt;500,"R &gt; 500 karakter.","")))</f>
        <v/>
      </c>
    </row>
    <row r="1326">
      <c r="A1326">
        <f>IF($AG1326="","",INDEX('TMP Paste'!$B$2:$B$1601,$AG1326))</f>
        <v/>
      </c>
      <c r="B1326">
        <f>IF($AG1326="","",Config!$B$14)</f>
        <v/>
      </c>
      <c r="C1326">
        <f>IF($AG1326="","",Config!$B$15)</f>
        <v/>
      </c>
      <c r="D1326">
        <f>IF($AG1326="","",INDEX('TMP Paste'!$B$2:$B$1601,$AG1326))</f>
        <v/>
      </c>
      <c r="E1326">
        <f>IF($AG1326="","",Config!$B$27)</f>
        <v/>
      </c>
      <c r="F1326">
        <f>IF($AG1326="","",Config!$B$9)</f>
        <v/>
      </c>
      <c r="G1326">
        <f>IF($AG1326="","",Config!$B$10)</f>
        <v/>
      </c>
      <c r="H1326">
        <f>IF($AG1326="","",Config!$B$11)</f>
        <v/>
      </c>
      <c r="I1326">
        <f>IF($AG1326="","",Config!$B$16)</f>
        <v/>
      </c>
      <c r="J1326">
        <f>IF($AG1326="","",INDEX('TMP Paste'!$A$2:$A$1601,$AG1326))</f>
        <v/>
      </c>
      <c r="K1326">
        <f>IF($AG1326="","",INDEX('TMP Paste'!$L$2:$L$1601,$AG1326))</f>
        <v/>
      </c>
      <c r="L1326">
        <f>IF($AG1326="","",INDEX('TMP Paste'!$I$2:$I$1601,$AG1326))</f>
        <v/>
      </c>
      <c r="M1326">
        <f>IF($AG1326="","",Config!$B$16)</f>
        <v/>
      </c>
      <c r="N1326">
        <f>IF($AG1326="","","")</f>
        <v/>
      </c>
      <c r="O1326">
        <f>IF($AG1326="","",INDEX('TMP Paste'!$K$2:$K$1601,$AG1326))</f>
        <v/>
      </c>
      <c r="P1326">
        <f>IF($AG1326="","","")</f>
        <v/>
      </c>
      <c r="Q1326">
        <f>IF($AG1326="","",INDEX('TMP Paste'!$J$2:$J$1601,$AG1326))</f>
        <v/>
      </c>
      <c r="R1326">
        <f>IF($AG1326="","",Config!$B$24)</f>
        <v/>
      </c>
      <c r="S1326">
        <f>IF($AG1326="","",TEXT(Config!$B$4,"yyyy-mm-dd"))</f>
        <v/>
      </c>
      <c r="T1326">
        <f>IF($AG1326="","",Config!$B$17)</f>
        <v/>
      </c>
      <c r="U1326">
        <f>IF($AG1326="","",Config!$B$18)</f>
        <v/>
      </c>
      <c r="V1326">
        <f>IF($AG1326="","",Config!$B$19)</f>
        <v/>
      </c>
      <c r="W1326">
        <f>IF($AG1326="","",INDEX('TMP Paste'!$C$2:$C$1601,$AG1326))</f>
        <v/>
      </c>
      <c r="X1326">
        <f>IF($AG1326="","",Config!$B$29)</f>
        <v/>
      </c>
      <c r="Y1326">
        <f>IF($AH1326="","",INDEX(Calc!$I$2:$I$1601,$AH1326)&amp;" - "&amp;INDEX(Calc!$D$2:$D$1601,$AH1326)&amp;" koli")</f>
        <v/>
      </c>
      <c r="Z1326">
        <f>IF($AG1326="","",Config!$B$21)</f>
        <v/>
      </c>
      <c r="AA1326">
        <f>IF($AG1326="","",Config!$B$22)</f>
        <v/>
      </c>
      <c r="AB1326">
        <f>IF($AH1326="","",INDEX(Calc!$D$2:$D$1601,$AH1326))</f>
        <v/>
      </c>
      <c r="AC1326">
        <f>IF($AH1326="","",INDEX(Calc!$G$2:$G$1601,$AH1326))</f>
        <v/>
      </c>
      <c r="AD1326">
        <f>IF($AG1326="","",Config!$B$23)</f>
        <v/>
      </c>
      <c r="AE1326">
        <f>IF($AG1326="","",Config!$B$28)</f>
        <v/>
      </c>
      <c r="AG1326">
        <f>IFERROR(MATCH(ROW()-1,Calc!$J$2:$J$1601,0),"")</f>
        <v/>
      </c>
      <c r="AH1326">
        <f>IFERROR(MATCH(ROW()-1,Calc!$K$2:$K$1601,0),"")</f>
        <v/>
      </c>
      <c r="AI1326">
        <f>IF($AG1326="","",SUMIF($AG$2:$AG1326,$AG1326,$AH$2:$AH1326))</f>
        <v/>
      </c>
      <c r="AJ1326">
        <f>IF('TMP Paste'!$F1326="","",IF('TMP Paste'!$B1326="",$AJ1325,'TMP Paste'!$B1326))</f>
        <v/>
      </c>
      <c r="AK1326">
        <f>IF('TMP Paste'!$F1326="","",N('TMP Paste'!$G1326))</f>
        <v/>
      </c>
      <c r="AL1326">
        <f>IF('TMP Paste'!$F1326="","",IF('TMP Paste'!$M1326="",$AL1325,'TMP Paste'!$M1326))</f>
        <v/>
      </c>
      <c r="AM1326">
        <f>IF('TMP Paste'!$F1326="","",IF('TMP Paste'!$N1326="",$AM1325,'TMP Paste'!$N1326))</f>
        <v/>
      </c>
      <c r="AN1326">
        <f>IF('TMP Paste'!$F1326="","",IF('TMP Paste'!$O1326="",$AN1325,'TMP Paste'!$O1326))</f>
        <v/>
      </c>
      <c r="AO1326">
        <f>IF('TMP Paste'!$F1326="","",IF('TMP Paste'!$P1326="",$AO1325,'TMP Paste'!$P1326))</f>
        <v/>
      </c>
      <c r="AP1326">
        <f>IF($AG1326="","",LEN($R1326))</f>
        <v/>
      </c>
      <c r="AQ1326">
        <f>IF($AG1326="","",TRIM(IF(COUNTIFS(Calc!$B$2:$B$1601,ROW()-1,Calc!$C$2:$C$1601,"&lt;1")&gt;0,"Ada PO tanpa Koli - cek TMP. ","")&amp;IF(LEN($R1326)&gt;500,"R &gt; 500 karakter.","")))</f>
        <v/>
      </c>
    </row>
    <row r="1327">
      <c r="A1327">
        <f>IF($AG1327="","",INDEX('TMP Paste'!$B$2:$B$1601,$AG1327))</f>
        <v/>
      </c>
      <c r="B1327">
        <f>IF($AG1327="","",Config!$B$14)</f>
        <v/>
      </c>
      <c r="C1327">
        <f>IF($AG1327="","",Config!$B$15)</f>
        <v/>
      </c>
      <c r="D1327">
        <f>IF($AG1327="","",INDEX('TMP Paste'!$B$2:$B$1601,$AG1327))</f>
        <v/>
      </c>
      <c r="E1327">
        <f>IF($AG1327="","",Config!$B$27)</f>
        <v/>
      </c>
      <c r="F1327">
        <f>IF($AG1327="","",Config!$B$9)</f>
        <v/>
      </c>
      <c r="G1327">
        <f>IF($AG1327="","",Config!$B$10)</f>
        <v/>
      </c>
      <c r="H1327">
        <f>IF($AG1327="","",Config!$B$11)</f>
        <v/>
      </c>
      <c r="I1327">
        <f>IF($AG1327="","",Config!$B$16)</f>
        <v/>
      </c>
      <c r="J1327">
        <f>IF($AG1327="","",INDEX('TMP Paste'!$A$2:$A$1601,$AG1327))</f>
        <v/>
      </c>
      <c r="K1327">
        <f>IF($AG1327="","",INDEX('TMP Paste'!$L$2:$L$1601,$AG1327))</f>
        <v/>
      </c>
      <c r="L1327">
        <f>IF($AG1327="","",INDEX('TMP Paste'!$I$2:$I$1601,$AG1327))</f>
        <v/>
      </c>
      <c r="M1327">
        <f>IF($AG1327="","",Config!$B$16)</f>
        <v/>
      </c>
      <c r="N1327">
        <f>IF($AG1327="","","")</f>
        <v/>
      </c>
      <c r="O1327">
        <f>IF($AG1327="","",INDEX('TMP Paste'!$K$2:$K$1601,$AG1327))</f>
        <v/>
      </c>
      <c r="P1327">
        <f>IF($AG1327="","","")</f>
        <v/>
      </c>
      <c r="Q1327">
        <f>IF($AG1327="","",INDEX('TMP Paste'!$J$2:$J$1601,$AG1327))</f>
        <v/>
      </c>
      <c r="R1327">
        <f>IF($AG1327="","",Config!$B$24)</f>
        <v/>
      </c>
      <c r="S1327">
        <f>IF($AG1327="","",TEXT(Config!$B$4,"yyyy-mm-dd"))</f>
        <v/>
      </c>
      <c r="T1327">
        <f>IF($AG1327="","",Config!$B$17)</f>
        <v/>
      </c>
      <c r="U1327">
        <f>IF($AG1327="","",Config!$B$18)</f>
        <v/>
      </c>
      <c r="V1327">
        <f>IF($AG1327="","",Config!$B$19)</f>
        <v/>
      </c>
      <c r="W1327">
        <f>IF($AG1327="","",INDEX('TMP Paste'!$C$2:$C$1601,$AG1327))</f>
        <v/>
      </c>
      <c r="X1327">
        <f>IF($AG1327="","",Config!$B$29)</f>
        <v/>
      </c>
      <c r="Y1327">
        <f>IF($AH1327="","",INDEX(Calc!$I$2:$I$1601,$AH1327)&amp;" - "&amp;INDEX(Calc!$D$2:$D$1601,$AH1327)&amp;" koli")</f>
        <v/>
      </c>
      <c r="Z1327">
        <f>IF($AG1327="","",Config!$B$21)</f>
        <v/>
      </c>
      <c r="AA1327">
        <f>IF($AG1327="","",Config!$B$22)</f>
        <v/>
      </c>
      <c r="AB1327">
        <f>IF($AH1327="","",INDEX(Calc!$D$2:$D$1601,$AH1327))</f>
        <v/>
      </c>
      <c r="AC1327">
        <f>IF($AH1327="","",INDEX(Calc!$G$2:$G$1601,$AH1327))</f>
        <v/>
      </c>
      <c r="AD1327">
        <f>IF($AG1327="","",Config!$B$23)</f>
        <v/>
      </c>
      <c r="AE1327">
        <f>IF($AG1327="","",Config!$B$28)</f>
        <v/>
      </c>
      <c r="AG1327">
        <f>IFERROR(MATCH(ROW()-1,Calc!$J$2:$J$1601,0),"")</f>
        <v/>
      </c>
      <c r="AH1327">
        <f>IFERROR(MATCH(ROW()-1,Calc!$K$2:$K$1601,0),"")</f>
        <v/>
      </c>
      <c r="AI1327">
        <f>IF($AG1327="","",SUMIF($AG$2:$AG1327,$AG1327,$AH$2:$AH1327))</f>
        <v/>
      </c>
      <c r="AJ1327">
        <f>IF('TMP Paste'!$F1327="","",IF('TMP Paste'!$B1327="",$AJ1326,'TMP Paste'!$B1327))</f>
        <v/>
      </c>
      <c r="AK1327">
        <f>IF('TMP Paste'!$F1327="","",N('TMP Paste'!$G1327))</f>
        <v/>
      </c>
      <c r="AL1327">
        <f>IF('TMP Paste'!$F1327="","",IF('TMP Paste'!$M1327="",$AL1326,'TMP Paste'!$M1327))</f>
        <v/>
      </c>
      <c r="AM1327">
        <f>IF('TMP Paste'!$F1327="","",IF('TMP Paste'!$N1327="",$AM1326,'TMP Paste'!$N1327))</f>
        <v/>
      </c>
      <c r="AN1327">
        <f>IF('TMP Paste'!$F1327="","",IF('TMP Paste'!$O1327="",$AN1326,'TMP Paste'!$O1327))</f>
        <v/>
      </c>
      <c r="AO1327">
        <f>IF('TMP Paste'!$F1327="","",IF('TMP Paste'!$P1327="",$AO1326,'TMP Paste'!$P1327))</f>
        <v/>
      </c>
      <c r="AP1327">
        <f>IF($AG1327="","",LEN($R1327))</f>
        <v/>
      </c>
      <c r="AQ1327">
        <f>IF($AG1327="","",TRIM(IF(COUNTIFS(Calc!$B$2:$B$1601,ROW()-1,Calc!$C$2:$C$1601,"&lt;1")&gt;0,"Ada PO tanpa Koli - cek TMP. ","")&amp;IF(LEN($R1327)&gt;500,"R &gt; 500 karakter.","")))</f>
        <v/>
      </c>
    </row>
    <row r="1328">
      <c r="A1328">
        <f>IF($AG1328="","",INDEX('TMP Paste'!$B$2:$B$1601,$AG1328))</f>
        <v/>
      </c>
      <c r="B1328">
        <f>IF($AG1328="","",Config!$B$14)</f>
        <v/>
      </c>
      <c r="C1328">
        <f>IF($AG1328="","",Config!$B$15)</f>
        <v/>
      </c>
      <c r="D1328">
        <f>IF($AG1328="","",INDEX('TMP Paste'!$B$2:$B$1601,$AG1328))</f>
        <v/>
      </c>
      <c r="E1328">
        <f>IF($AG1328="","",Config!$B$27)</f>
        <v/>
      </c>
      <c r="F1328">
        <f>IF($AG1328="","",Config!$B$9)</f>
        <v/>
      </c>
      <c r="G1328">
        <f>IF($AG1328="","",Config!$B$10)</f>
        <v/>
      </c>
      <c r="H1328">
        <f>IF($AG1328="","",Config!$B$11)</f>
        <v/>
      </c>
      <c r="I1328">
        <f>IF($AG1328="","",Config!$B$16)</f>
        <v/>
      </c>
      <c r="J1328">
        <f>IF($AG1328="","",INDEX('TMP Paste'!$A$2:$A$1601,$AG1328))</f>
        <v/>
      </c>
      <c r="K1328">
        <f>IF($AG1328="","",INDEX('TMP Paste'!$L$2:$L$1601,$AG1328))</f>
        <v/>
      </c>
      <c r="L1328">
        <f>IF($AG1328="","",INDEX('TMP Paste'!$I$2:$I$1601,$AG1328))</f>
        <v/>
      </c>
      <c r="M1328">
        <f>IF($AG1328="","",Config!$B$16)</f>
        <v/>
      </c>
      <c r="N1328">
        <f>IF($AG1328="","","")</f>
        <v/>
      </c>
      <c r="O1328">
        <f>IF($AG1328="","",INDEX('TMP Paste'!$K$2:$K$1601,$AG1328))</f>
        <v/>
      </c>
      <c r="P1328">
        <f>IF($AG1328="","","")</f>
        <v/>
      </c>
      <c r="Q1328">
        <f>IF($AG1328="","",INDEX('TMP Paste'!$J$2:$J$1601,$AG1328))</f>
        <v/>
      </c>
      <c r="R1328">
        <f>IF($AG1328="","",Config!$B$24)</f>
        <v/>
      </c>
      <c r="S1328">
        <f>IF($AG1328="","",TEXT(Config!$B$4,"yyyy-mm-dd"))</f>
        <v/>
      </c>
      <c r="T1328">
        <f>IF($AG1328="","",Config!$B$17)</f>
        <v/>
      </c>
      <c r="U1328">
        <f>IF($AG1328="","",Config!$B$18)</f>
        <v/>
      </c>
      <c r="V1328">
        <f>IF($AG1328="","",Config!$B$19)</f>
        <v/>
      </c>
      <c r="W1328">
        <f>IF($AG1328="","",INDEX('TMP Paste'!$C$2:$C$1601,$AG1328))</f>
        <v/>
      </c>
      <c r="X1328">
        <f>IF($AG1328="","",Config!$B$29)</f>
        <v/>
      </c>
      <c r="Y1328">
        <f>IF($AH1328="","",INDEX(Calc!$I$2:$I$1601,$AH1328)&amp;" - "&amp;INDEX(Calc!$D$2:$D$1601,$AH1328)&amp;" koli")</f>
        <v/>
      </c>
      <c r="Z1328">
        <f>IF($AG1328="","",Config!$B$21)</f>
        <v/>
      </c>
      <c r="AA1328">
        <f>IF($AG1328="","",Config!$B$22)</f>
        <v/>
      </c>
      <c r="AB1328">
        <f>IF($AH1328="","",INDEX(Calc!$D$2:$D$1601,$AH1328))</f>
        <v/>
      </c>
      <c r="AC1328">
        <f>IF($AH1328="","",INDEX(Calc!$G$2:$G$1601,$AH1328))</f>
        <v/>
      </c>
      <c r="AD1328">
        <f>IF($AG1328="","",Config!$B$23)</f>
        <v/>
      </c>
      <c r="AE1328">
        <f>IF($AG1328="","",Config!$B$28)</f>
        <v/>
      </c>
      <c r="AG1328">
        <f>IFERROR(MATCH(ROW()-1,Calc!$J$2:$J$1601,0),"")</f>
        <v/>
      </c>
      <c r="AH1328">
        <f>IFERROR(MATCH(ROW()-1,Calc!$K$2:$K$1601,0),"")</f>
        <v/>
      </c>
      <c r="AI1328">
        <f>IF($AG1328="","",SUMIF($AG$2:$AG1328,$AG1328,$AH$2:$AH1328))</f>
        <v/>
      </c>
      <c r="AJ1328">
        <f>IF('TMP Paste'!$F1328="","",IF('TMP Paste'!$B1328="",$AJ1327,'TMP Paste'!$B1328))</f>
        <v/>
      </c>
      <c r="AK1328">
        <f>IF('TMP Paste'!$F1328="","",N('TMP Paste'!$G1328))</f>
        <v/>
      </c>
      <c r="AL1328">
        <f>IF('TMP Paste'!$F1328="","",IF('TMP Paste'!$M1328="",$AL1327,'TMP Paste'!$M1328))</f>
        <v/>
      </c>
      <c r="AM1328">
        <f>IF('TMP Paste'!$F1328="","",IF('TMP Paste'!$N1328="",$AM1327,'TMP Paste'!$N1328))</f>
        <v/>
      </c>
      <c r="AN1328">
        <f>IF('TMP Paste'!$F1328="","",IF('TMP Paste'!$O1328="",$AN1327,'TMP Paste'!$O1328))</f>
        <v/>
      </c>
      <c r="AO1328">
        <f>IF('TMP Paste'!$F1328="","",IF('TMP Paste'!$P1328="",$AO1327,'TMP Paste'!$P1328))</f>
        <v/>
      </c>
      <c r="AP1328">
        <f>IF($AG1328="","",LEN($R1328))</f>
        <v/>
      </c>
      <c r="AQ1328">
        <f>IF($AG1328="","",TRIM(IF(COUNTIFS(Calc!$B$2:$B$1601,ROW()-1,Calc!$C$2:$C$1601,"&lt;1")&gt;0,"Ada PO tanpa Koli - cek TMP. ","")&amp;IF(LEN($R1328)&gt;500,"R &gt; 500 karakter.","")))</f>
        <v/>
      </c>
    </row>
    <row r="1329">
      <c r="A1329">
        <f>IF($AG1329="","",INDEX('TMP Paste'!$B$2:$B$1601,$AG1329))</f>
        <v/>
      </c>
      <c r="B1329">
        <f>IF($AG1329="","",Config!$B$14)</f>
        <v/>
      </c>
      <c r="C1329">
        <f>IF($AG1329="","",Config!$B$15)</f>
        <v/>
      </c>
      <c r="D1329">
        <f>IF($AG1329="","",INDEX('TMP Paste'!$B$2:$B$1601,$AG1329))</f>
        <v/>
      </c>
      <c r="E1329">
        <f>IF($AG1329="","",Config!$B$27)</f>
        <v/>
      </c>
      <c r="F1329">
        <f>IF($AG1329="","",Config!$B$9)</f>
        <v/>
      </c>
      <c r="G1329">
        <f>IF($AG1329="","",Config!$B$10)</f>
        <v/>
      </c>
      <c r="H1329">
        <f>IF($AG1329="","",Config!$B$11)</f>
        <v/>
      </c>
      <c r="I1329">
        <f>IF($AG1329="","",Config!$B$16)</f>
        <v/>
      </c>
      <c r="J1329">
        <f>IF($AG1329="","",INDEX('TMP Paste'!$A$2:$A$1601,$AG1329))</f>
        <v/>
      </c>
      <c r="K1329">
        <f>IF($AG1329="","",INDEX('TMP Paste'!$L$2:$L$1601,$AG1329))</f>
        <v/>
      </c>
      <c r="L1329">
        <f>IF($AG1329="","",INDEX('TMP Paste'!$I$2:$I$1601,$AG1329))</f>
        <v/>
      </c>
      <c r="M1329">
        <f>IF($AG1329="","",Config!$B$16)</f>
        <v/>
      </c>
      <c r="N1329">
        <f>IF($AG1329="","","")</f>
        <v/>
      </c>
      <c r="O1329">
        <f>IF($AG1329="","",INDEX('TMP Paste'!$K$2:$K$1601,$AG1329))</f>
        <v/>
      </c>
      <c r="P1329">
        <f>IF($AG1329="","","")</f>
        <v/>
      </c>
      <c r="Q1329">
        <f>IF($AG1329="","",INDEX('TMP Paste'!$J$2:$J$1601,$AG1329))</f>
        <v/>
      </c>
      <c r="R1329">
        <f>IF($AG1329="","",Config!$B$24)</f>
        <v/>
      </c>
      <c r="S1329">
        <f>IF($AG1329="","",TEXT(Config!$B$4,"yyyy-mm-dd"))</f>
        <v/>
      </c>
      <c r="T1329">
        <f>IF($AG1329="","",Config!$B$17)</f>
        <v/>
      </c>
      <c r="U1329">
        <f>IF($AG1329="","",Config!$B$18)</f>
        <v/>
      </c>
      <c r="V1329">
        <f>IF($AG1329="","",Config!$B$19)</f>
        <v/>
      </c>
      <c r="W1329">
        <f>IF($AG1329="","",INDEX('TMP Paste'!$C$2:$C$1601,$AG1329))</f>
        <v/>
      </c>
      <c r="X1329">
        <f>IF($AG1329="","",Config!$B$29)</f>
        <v/>
      </c>
      <c r="Y1329">
        <f>IF($AH1329="","",INDEX(Calc!$I$2:$I$1601,$AH1329)&amp;" - "&amp;INDEX(Calc!$D$2:$D$1601,$AH1329)&amp;" koli")</f>
        <v/>
      </c>
      <c r="Z1329">
        <f>IF($AG1329="","",Config!$B$21)</f>
        <v/>
      </c>
      <c r="AA1329">
        <f>IF($AG1329="","",Config!$B$22)</f>
        <v/>
      </c>
      <c r="AB1329">
        <f>IF($AH1329="","",INDEX(Calc!$D$2:$D$1601,$AH1329))</f>
        <v/>
      </c>
      <c r="AC1329">
        <f>IF($AH1329="","",INDEX(Calc!$G$2:$G$1601,$AH1329))</f>
        <v/>
      </c>
      <c r="AD1329">
        <f>IF($AG1329="","",Config!$B$23)</f>
        <v/>
      </c>
      <c r="AE1329">
        <f>IF($AG1329="","",Config!$B$28)</f>
        <v/>
      </c>
      <c r="AG1329">
        <f>IFERROR(MATCH(ROW()-1,Calc!$J$2:$J$1601,0),"")</f>
        <v/>
      </c>
      <c r="AH1329">
        <f>IFERROR(MATCH(ROW()-1,Calc!$K$2:$K$1601,0),"")</f>
        <v/>
      </c>
      <c r="AI1329">
        <f>IF($AG1329="","",SUMIF($AG$2:$AG1329,$AG1329,$AH$2:$AH1329))</f>
        <v/>
      </c>
      <c r="AJ1329">
        <f>IF('TMP Paste'!$F1329="","",IF('TMP Paste'!$B1329="",$AJ1328,'TMP Paste'!$B1329))</f>
        <v/>
      </c>
      <c r="AK1329">
        <f>IF('TMP Paste'!$F1329="","",N('TMP Paste'!$G1329))</f>
        <v/>
      </c>
      <c r="AL1329">
        <f>IF('TMP Paste'!$F1329="","",IF('TMP Paste'!$M1329="",$AL1328,'TMP Paste'!$M1329))</f>
        <v/>
      </c>
      <c r="AM1329">
        <f>IF('TMP Paste'!$F1329="","",IF('TMP Paste'!$N1329="",$AM1328,'TMP Paste'!$N1329))</f>
        <v/>
      </c>
      <c r="AN1329">
        <f>IF('TMP Paste'!$F1329="","",IF('TMP Paste'!$O1329="",$AN1328,'TMP Paste'!$O1329))</f>
        <v/>
      </c>
      <c r="AO1329">
        <f>IF('TMP Paste'!$F1329="","",IF('TMP Paste'!$P1329="",$AO1328,'TMP Paste'!$P1329))</f>
        <v/>
      </c>
      <c r="AP1329">
        <f>IF($AG1329="","",LEN($R1329))</f>
        <v/>
      </c>
      <c r="AQ1329">
        <f>IF($AG1329="","",TRIM(IF(COUNTIFS(Calc!$B$2:$B$1601,ROW()-1,Calc!$C$2:$C$1601,"&lt;1")&gt;0,"Ada PO tanpa Koli - cek TMP. ","")&amp;IF(LEN($R1329)&gt;500,"R &gt; 500 karakter.","")))</f>
        <v/>
      </c>
    </row>
    <row r="1330">
      <c r="A1330">
        <f>IF($AG1330="","",INDEX('TMP Paste'!$B$2:$B$1601,$AG1330))</f>
        <v/>
      </c>
      <c r="B1330">
        <f>IF($AG1330="","",Config!$B$14)</f>
        <v/>
      </c>
      <c r="C1330">
        <f>IF($AG1330="","",Config!$B$15)</f>
        <v/>
      </c>
      <c r="D1330">
        <f>IF($AG1330="","",INDEX('TMP Paste'!$B$2:$B$1601,$AG1330))</f>
        <v/>
      </c>
      <c r="E1330">
        <f>IF($AG1330="","",Config!$B$27)</f>
        <v/>
      </c>
      <c r="F1330">
        <f>IF($AG1330="","",Config!$B$9)</f>
        <v/>
      </c>
      <c r="G1330">
        <f>IF($AG1330="","",Config!$B$10)</f>
        <v/>
      </c>
      <c r="H1330">
        <f>IF($AG1330="","",Config!$B$11)</f>
        <v/>
      </c>
      <c r="I1330">
        <f>IF($AG1330="","",Config!$B$16)</f>
        <v/>
      </c>
      <c r="J1330">
        <f>IF($AG1330="","",INDEX('TMP Paste'!$A$2:$A$1601,$AG1330))</f>
        <v/>
      </c>
      <c r="K1330">
        <f>IF($AG1330="","",INDEX('TMP Paste'!$L$2:$L$1601,$AG1330))</f>
        <v/>
      </c>
      <c r="L1330">
        <f>IF($AG1330="","",INDEX('TMP Paste'!$I$2:$I$1601,$AG1330))</f>
        <v/>
      </c>
      <c r="M1330">
        <f>IF($AG1330="","",Config!$B$16)</f>
        <v/>
      </c>
      <c r="N1330">
        <f>IF($AG1330="","","")</f>
        <v/>
      </c>
      <c r="O1330">
        <f>IF($AG1330="","",INDEX('TMP Paste'!$K$2:$K$1601,$AG1330))</f>
        <v/>
      </c>
      <c r="P1330">
        <f>IF($AG1330="","","")</f>
        <v/>
      </c>
      <c r="Q1330">
        <f>IF($AG1330="","",INDEX('TMP Paste'!$J$2:$J$1601,$AG1330))</f>
        <v/>
      </c>
      <c r="R1330">
        <f>IF($AG1330="","",Config!$B$24)</f>
        <v/>
      </c>
      <c r="S1330">
        <f>IF($AG1330="","",TEXT(Config!$B$4,"yyyy-mm-dd"))</f>
        <v/>
      </c>
      <c r="T1330">
        <f>IF($AG1330="","",Config!$B$17)</f>
        <v/>
      </c>
      <c r="U1330">
        <f>IF($AG1330="","",Config!$B$18)</f>
        <v/>
      </c>
      <c r="V1330">
        <f>IF($AG1330="","",Config!$B$19)</f>
        <v/>
      </c>
      <c r="W1330">
        <f>IF($AG1330="","",INDEX('TMP Paste'!$C$2:$C$1601,$AG1330))</f>
        <v/>
      </c>
      <c r="X1330">
        <f>IF($AG1330="","",Config!$B$29)</f>
        <v/>
      </c>
      <c r="Y1330">
        <f>IF($AH1330="","",INDEX(Calc!$I$2:$I$1601,$AH1330)&amp;" - "&amp;INDEX(Calc!$D$2:$D$1601,$AH1330)&amp;" koli")</f>
        <v/>
      </c>
      <c r="Z1330">
        <f>IF($AG1330="","",Config!$B$21)</f>
        <v/>
      </c>
      <c r="AA1330">
        <f>IF($AG1330="","",Config!$B$22)</f>
        <v/>
      </c>
      <c r="AB1330">
        <f>IF($AH1330="","",INDEX(Calc!$D$2:$D$1601,$AH1330))</f>
        <v/>
      </c>
      <c r="AC1330">
        <f>IF($AH1330="","",INDEX(Calc!$G$2:$G$1601,$AH1330))</f>
        <v/>
      </c>
      <c r="AD1330">
        <f>IF($AG1330="","",Config!$B$23)</f>
        <v/>
      </c>
      <c r="AE1330">
        <f>IF($AG1330="","",Config!$B$28)</f>
        <v/>
      </c>
      <c r="AG1330">
        <f>IFERROR(MATCH(ROW()-1,Calc!$J$2:$J$1601,0),"")</f>
        <v/>
      </c>
      <c r="AH1330">
        <f>IFERROR(MATCH(ROW()-1,Calc!$K$2:$K$1601,0),"")</f>
        <v/>
      </c>
      <c r="AI1330">
        <f>IF($AG1330="","",SUMIF($AG$2:$AG1330,$AG1330,$AH$2:$AH1330))</f>
        <v/>
      </c>
      <c r="AJ1330">
        <f>IF('TMP Paste'!$F1330="","",IF('TMP Paste'!$B1330="",$AJ1329,'TMP Paste'!$B1330))</f>
        <v/>
      </c>
      <c r="AK1330">
        <f>IF('TMP Paste'!$F1330="","",N('TMP Paste'!$G1330))</f>
        <v/>
      </c>
      <c r="AL1330">
        <f>IF('TMP Paste'!$F1330="","",IF('TMP Paste'!$M1330="",$AL1329,'TMP Paste'!$M1330))</f>
        <v/>
      </c>
      <c r="AM1330">
        <f>IF('TMP Paste'!$F1330="","",IF('TMP Paste'!$N1330="",$AM1329,'TMP Paste'!$N1330))</f>
        <v/>
      </c>
      <c r="AN1330">
        <f>IF('TMP Paste'!$F1330="","",IF('TMP Paste'!$O1330="",$AN1329,'TMP Paste'!$O1330))</f>
        <v/>
      </c>
      <c r="AO1330">
        <f>IF('TMP Paste'!$F1330="","",IF('TMP Paste'!$P1330="",$AO1329,'TMP Paste'!$P1330))</f>
        <v/>
      </c>
      <c r="AP1330">
        <f>IF($AG1330="","",LEN($R1330))</f>
        <v/>
      </c>
      <c r="AQ1330">
        <f>IF($AG1330="","",TRIM(IF(COUNTIFS(Calc!$B$2:$B$1601,ROW()-1,Calc!$C$2:$C$1601,"&lt;1")&gt;0,"Ada PO tanpa Koli - cek TMP. ","")&amp;IF(LEN($R1330)&gt;500,"R &gt; 500 karakter.","")))</f>
        <v/>
      </c>
    </row>
    <row r="1331">
      <c r="A1331">
        <f>IF($AG1331="","",INDEX('TMP Paste'!$B$2:$B$1601,$AG1331))</f>
        <v/>
      </c>
      <c r="B1331">
        <f>IF($AG1331="","",Config!$B$14)</f>
        <v/>
      </c>
      <c r="C1331">
        <f>IF($AG1331="","",Config!$B$15)</f>
        <v/>
      </c>
      <c r="D1331">
        <f>IF($AG1331="","",INDEX('TMP Paste'!$B$2:$B$1601,$AG1331))</f>
        <v/>
      </c>
      <c r="E1331">
        <f>IF($AG1331="","",Config!$B$27)</f>
        <v/>
      </c>
      <c r="F1331">
        <f>IF($AG1331="","",Config!$B$9)</f>
        <v/>
      </c>
      <c r="G1331">
        <f>IF($AG1331="","",Config!$B$10)</f>
        <v/>
      </c>
      <c r="H1331">
        <f>IF($AG1331="","",Config!$B$11)</f>
        <v/>
      </c>
      <c r="I1331">
        <f>IF($AG1331="","",Config!$B$16)</f>
        <v/>
      </c>
      <c r="J1331">
        <f>IF($AG1331="","",INDEX('TMP Paste'!$A$2:$A$1601,$AG1331))</f>
        <v/>
      </c>
      <c r="K1331">
        <f>IF($AG1331="","",INDEX('TMP Paste'!$L$2:$L$1601,$AG1331))</f>
        <v/>
      </c>
      <c r="L1331">
        <f>IF($AG1331="","",INDEX('TMP Paste'!$I$2:$I$1601,$AG1331))</f>
        <v/>
      </c>
      <c r="M1331">
        <f>IF($AG1331="","",Config!$B$16)</f>
        <v/>
      </c>
      <c r="N1331">
        <f>IF($AG1331="","","")</f>
        <v/>
      </c>
      <c r="O1331">
        <f>IF($AG1331="","",INDEX('TMP Paste'!$K$2:$K$1601,$AG1331))</f>
        <v/>
      </c>
      <c r="P1331">
        <f>IF($AG1331="","","")</f>
        <v/>
      </c>
      <c r="Q1331">
        <f>IF($AG1331="","",INDEX('TMP Paste'!$J$2:$J$1601,$AG1331))</f>
        <v/>
      </c>
      <c r="R1331">
        <f>IF($AG1331="","",Config!$B$24)</f>
        <v/>
      </c>
      <c r="S1331">
        <f>IF($AG1331="","",TEXT(Config!$B$4,"yyyy-mm-dd"))</f>
        <v/>
      </c>
      <c r="T1331">
        <f>IF($AG1331="","",Config!$B$17)</f>
        <v/>
      </c>
      <c r="U1331">
        <f>IF($AG1331="","",Config!$B$18)</f>
        <v/>
      </c>
      <c r="V1331">
        <f>IF($AG1331="","",Config!$B$19)</f>
        <v/>
      </c>
      <c r="W1331">
        <f>IF($AG1331="","",INDEX('TMP Paste'!$C$2:$C$1601,$AG1331))</f>
        <v/>
      </c>
      <c r="X1331">
        <f>IF($AG1331="","",Config!$B$29)</f>
        <v/>
      </c>
      <c r="Y1331">
        <f>IF($AH1331="","",INDEX(Calc!$I$2:$I$1601,$AH1331)&amp;" - "&amp;INDEX(Calc!$D$2:$D$1601,$AH1331)&amp;" koli")</f>
        <v/>
      </c>
      <c r="Z1331">
        <f>IF($AG1331="","",Config!$B$21)</f>
        <v/>
      </c>
      <c r="AA1331">
        <f>IF($AG1331="","",Config!$B$22)</f>
        <v/>
      </c>
      <c r="AB1331">
        <f>IF($AH1331="","",INDEX(Calc!$D$2:$D$1601,$AH1331))</f>
        <v/>
      </c>
      <c r="AC1331">
        <f>IF($AH1331="","",INDEX(Calc!$G$2:$G$1601,$AH1331))</f>
        <v/>
      </c>
      <c r="AD1331">
        <f>IF($AG1331="","",Config!$B$23)</f>
        <v/>
      </c>
      <c r="AE1331">
        <f>IF($AG1331="","",Config!$B$28)</f>
        <v/>
      </c>
      <c r="AG1331">
        <f>IFERROR(MATCH(ROW()-1,Calc!$J$2:$J$1601,0),"")</f>
        <v/>
      </c>
      <c r="AH1331">
        <f>IFERROR(MATCH(ROW()-1,Calc!$K$2:$K$1601,0),"")</f>
        <v/>
      </c>
      <c r="AI1331">
        <f>IF($AG1331="","",SUMIF($AG$2:$AG1331,$AG1331,$AH$2:$AH1331))</f>
        <v/>
      </c>
      <c r="AJ1331">
        <f>IF('TMP Paste'!$F1331="","",IF('TMP Paste'!$B1331="",$AJ1330,'TMP Paste'!$B1331))</f>
        <v/>
      </c>
      <c r="AK1331">
        <f>IF('TMP Paste'!$F1331="","",N('TMP Paste'!$G1331))</f>
        <v/>
      </c>
      <c r="AL1331">
        <f>IF('TMP Paste'!$F1331="","",IF('TMP Paste'!$M1331="",$AL1330,'TMP Paste'!$M1331))</f>
        <v/>
      </c>
      <c r="AM1331">
        <f>IF('TMP Paste'!$F1331="","",IF('TMP Paste'!$N1331="",$AM1330,'TMP Paste'!$N1331))</f>
        <v/>
      </c>
      <c r="AN1331">
        <f>IF('TMP Paste'!$F1331="","",IF('TMP Paste'!$O1331="",$AN1330,'TMP Paste'!$O1331))</f>
        <v/>
      </c>
      <c r="AO1331">
        <f>IF('TMP Paste'!$F1331="","",IF('TMP Paste'!$P1331="",$AO1330,'TMP Paste'!$P1331))</f>
        <v/>
      </c>
      <c r="AP1331">
        <f>IF($AG1331="","",LEN($R1331))</f>
        <v/>
      </c>
      <c r="AQ1331">
        <f>IF($AG1331="","",TRIM(IF(COUNTIFS(Calc!$B$2:$B$1601,ROW()-1,Calc!$C$2:$C$1601,"&lt;1")&gt;0,"Ada PO tanpa Koli - cek TMP. ","")&amp;IF(LEN($R1331)&gt;500,"R &gt; 500 karakter.","")))</f>
        <v/>
      </c>
    </row>
    <row r="1332">
      <c r="A1332">
        <f>IF($AG1332="","",INDEX('TMP Paste'!$B$2:$B$1601,$AG1332))</f>
        <v/>
      </c>
      <c r="B1332">
        <f>IF($AG1332="","",Config!$B$14)</f>
        <v/>
      </c>
      <c r="C1332">
        <f>IF($AG1332="","",Config!$B$15)</f>
        <v/>
      </c>
      <c r="D1332">
        <f>IF($AG1332="","",INDEX('TMP Paste'!$B$2:$B$1601,$AG1332))</f>
        <v/>
      </c>
      <c r="E1332">
        <f>IF($AG1332="","",Config!$B$27)</f>
        <v/>
      </c>
      <c r="F1332">
        <f>IF($AG1332="","",Config!$B$9)</f>
        <v/>
      </c>
      <c r="G1332">
        <f>IF($AG1332="","",Config!$B$10)</f>
        <v/>
      </c>
      <c r="H1332">
        <f>IF($AG1332="","",Config!$B$11)</f>
        <v/>
      </c>
      <c r="I1332">
        <f>IF($AG1332="","",Config!$B$16)</f>
        <v/>
      </c>
      <c r="J1332">
        <f>IF($AG1332="","",INDEX('TMP Paste'!$A$2:$A$1601,$AG1332))</f>
        <v/>
      </c>
      <c r="K1332">
        <f>IF($AG1332="","",INDEX('TMP Paste'!$L$2:$L$1601,$AG1332))</f>
        <v/>
      </c>
      <c r="L1332">
        <f>IF($AG1332="","",INDEX('TMP Paste'!$I$2:$I$1601,$AG1332))</f>
        <v/>
      </c>
      <c r="M1332">
        <f>IF($AG1332="","",Config!$B$16)</f>
        <v/>
      </c>
      <c r="N1332">
        <f>IF($AG1332="","","")</f>
        <v/>
      </c>
      <c r="O1332">
        <f>IF($AG1332="","",INDEX('TMP Paste'!$K$2:$K$1601,$AG1332))</f>
        <v/>
      </c>
      <c r="P1332">
        <f>IF($AG1332="","","")</f>
        <v/>
      </c>
      <c r="Q1332">
        <f>IF($AG1332="","",INDEX('TMP Paste'!$J$2:$J$1601,$AG1332))</f>
        <v/>
      </c>
      <c r="R1332">
        <f>IF($AG1332="","",Config!$B$24)</f>
        <v/>
      </c>
      <c r="S1332">
        <f>IF($AG1332="","",TEXT(Config!$B$4,"yyyy-mm-dd"))</f>
        <v/>
      </c>
      <c r="T1332">
        <f>IF($AG1332="","",Config!$B$17)</f>
        <v/>
      </c>
      <c r="U1332">
        <f>IF($AG1332="","",Config!$B$18)</f>
        <v/>
      </c>
      <c r="V1332">
        <f>IF($AG1332="","",Config!$B$19)</f>
        <v/>
      </c>
      <c r="W1332">
        <f>IF($AG1332="","",INDEX('TMP Paste'!$C$2:$C$1601,$AG1332))</f>
        <v/>
      </c>
      <c r="X1332">
        <f>IF($AG1332="","",Config!$B$29)</f>
        <v/>
      </c>
      <c r="Y1332">
        <f>IF($AH1332="","",INDEX(Calc!$I$2:$I$1601,$AH1332)&amp;" - "&amp;INDEX(Calc!$D$2:$D$1601,$AH1332)&amp;" koli")</f>
        <v/>
      </c>
      <c r="Z1332">
        <f>IF($AG1332="","",Config!$B$21)</f>
        <v/>
      </c>
      <c r="AA1332">
        <f>IF($AG1332="","",Config!$B$22)</f>
        <v/>
      </c>
      <c r="AB1332">
        <f>IF($AH1332="","",INDEX(Calc!$D$2:$D$1601,$AH1332))</f>
        <v/>
      </c>
      <c r="AC1332">
        <f>IF($AH1332="","",INDEX(Calc!$G$2:$G$1601,$AH1332))</f>
        <v/>
      </c>
      <c r="AD1332">
        <f>IF($AG1332="","",Config!$B$23)</f>
        <v/>
      </c>
      <c r="AE1332">
        <f>IF($AG1332="","",Config!$B$28)</f>
        <v/>
      </c>
      <c r="AG1332">
        <f>IFERROR(MATCH(ROW()-1,Calc!$J$2:$J$1601,0),"")</f>
        <v/>
      </c>
      <c r="AH1332">
        <f>IFERROR(MATCH(ROW()-1,Calc!$K$2:$K$1601,0),"")</f>
        <v/>
      </c>
      <c r="AI1332">
        <f>IF($AG1332="","",SUMIF($AG$2:$AG1332,$AG1332,$AH$2:$AH1332))</f>
        <v/>
      </c>
      <c r="AJ1332">
        <f>IF('TMP Paste'!$F1332="","",IF('TMP Paste'!$B1332="",$AJ1331,'TMP Paste'!$B1332))</f>
        <v/>
      </c>
      <c r="AK1332">
        <f>IF('TMP Paste'!$F1332="","",N('TMP Paste'!$G1332))</f>
        <v/>
      </c>
      <c r="AL1332">
        <f>IF('TMP Paste'!$F1332="","",IF('TMP Paste'!$M1332="",$AL1331,'TMP Paste'!$M1332))</f>
        <v/>
      </c>
      <c r="AM1332">
        <f>IF('TMP Paste'!$F1332="","",IF('TMP Paste'!$N1332="",$AM1331,'TMP Paste'!$N1332))</f>
        <v/>
      </c>
      <c r="AN1332">
        <f>IF('TMP Paste'!$F1332="","",IF('TMP Paste'!$O1332="",$AN1331,'TMP Paste'!$O1332))</f>
        <v/>
      </c>
      <c r="AO1332">
        <f>IF('TMP Paste'!$F1332="","",IF('TMP Paste'!$P1332="",$AO1331,'TMP Paste'!$P1332))</f>
        <v/>
      </c>
      <c r="AP1332">
        <f>IF($AG1332="","",LEN($R1332))</f>
        <v/>
      </c>
      <c r="AQ1332">
        <f>IF($AG1332="","",TRIM(IF(COUNTIFS(Calc!$B$2:$B$1601,ROW()-1,Calc!$C$2:$C$1601,"&lt;1")&gt;0,"Ada PO tanpa Koli - cek TMP. ","")&amp;IF(LEN($R1332)&gt;500,"R &gt; 500 karakter.","")))</f>
        <v/>
      </c>
    </row>
    <row r="1333">
      <c r="A1333">
        <f>IF($AG1333="","",INDEX('TMP Paste'!$B$2:$B$1601,$AG1333))</f>
        <v/>
      </c>
      <c r="B1333">
        <f>IF($AG1333="","",Config!$B$14)</f>
        <v/>
      </c>
      <c r="C1333">
        <f>IF($AG1333="","",Config!$B$15)</f>
        <v/>
      </c>
      <c r="D1333">
        <f>IF($AG1333="","",INDEX('TMP Paste'!$B$2:$B$1601,$AG1333))</f>
        <v/>
      </c>
      <c r="E1333">
        <f>IF($AG1333="","",Config!$B$27)</f>
        <v/>
      </c>
      <c r="F1333">
        <f>IF($AG1333="","",Config!$B$9)</f>
        <v/>
      </c>
      <c r="G1333">
        <f>IF($AG1333="","",Config!$B$10)</f>
        <v/>
      </c>
      <c r="H1333">
        <f>IF($AG1333="","",Config!$B$11)</f>
        <v/>
      </c>
      <c r="I1333">
        <f>IF($AG1333="","",Config!$B$16)</f>
        <v/>
      </c>
      <c r="J1333">
        <f>IF($AG1333="","",INDEX('TMP Paste'!$A$2:$A$1601,$AG1333))</f>
        <v/>
      </c>
      <c r="K1333">
        <f>IF($AG1333="","",INDEX('TMP Paste'!$L$2:$L$1601,$AG1333))</f>
        <v/>
      </c>
      <c r="L1333">
        <f>IF($AG1333="","",INDEX('TMP Paste'!$I$2:$I$1601,$AG1333))</f>
        <v/>
      </c>
      <c r="M1333">
        <f>IF($AG1333="","",Config!$B$16)</f>
        <v/>
      </c>
      <c r="N1333">
        <f>IF($AG1333="","","")</f>
        <v/>
      </c>
      <c r="O1333">
        <f>IF($AG1333="","",INDEX('TMP Paste'!$K$2:$K$1601,$AG1333))</f>
        <v/>
      </c>
      <c r="P1333">
        <f>IF($AG1333="","","")</f>
        <v/>
      </c>
      <c r="Q1333">
        <f>IF($AG1333="","",INDEX('TMP Paste'!$J$2:$J$1601,$AG1333))</f>
        <v/>
      </c>
      <c r="R1333">
        <f>IF($AG1333="","",Config!$B$24)</f>
        <v/>
      </c>
      <c r="S1333">
        <f>IF($AG1333="","",TEXT(Config!$B$4,"yyyy-mm-dd"))</f>
        <v/>
      </c>
      <c r="T1333">
        <f>IF($AG1333="","",Config!$B$17)</f>
        <v/>
      </c>
      <c r="U1333">
        <f>IF($AG1333="","",Config!$B$18)</f>
        <v/>
      </c>
      <c r="V1333">
        <f>IF($AG1333="","",Config!$B$19)</f>
        <v/>
      </c>
      <c r="W1333">
        <f>IF($AG1333="","",INDEX('TMP Paste'!$C$2:$C$1601,$AG1333))</f>
        <v/>
      </c>
      <c r="X1333">
        <f>IF($AG1333="","",Config!$B$29)</f>
        <v/>
      </c>
      <c r="Y1333">
        <f>IF($AH1333="","",INDEX(Calc!$I$2:$I$1601,$AH1333)&amp;" - "&amp;INDEX(Calc!$D$2:$D$1601,$AH1333)&amp;" koli")</f>
        <v/>
      </c>
      <c r="Z1333">
        <f>IF($AG1333="","",Config!$B$21)</f>
        <v/>
      </c>
      <c r="AA1333">
        <f>IF($AG1333="","",Config!$B$22)</f>
        <v/>
      </c>
      <c r="AB1333">
        <f>IF($AH1333="","",INDEX(Calc!$D$2:$D$1601,$AH1333))</f>
        <v/>
      </c>
      <c r="AC1333">
        <f>IF($AH1333="","",INDEX(Calc!$G$2:$G$1601,$AH1333))</f>
        <v/>
      </c>
      <c r="AD1333">
        <f>IF($AG1333="","",Config!$B$23)</f>
        <v/>
      </c>
      <c r="AE1333">
        <f>IF($AG1333="","",Config!$B$28)</f>
        <v/>
      </c>
      <c r="AG1333">
        <f>IFERROR(MATCH(ROW()-1,Calc!$J$2:$J$1601,0),"")</f>
        <v/>
      </c>
      <c r="AH1333">
        <f>IFERROR(MATCH(ROW()-1,Calc!$K$2:$K$1601,0),"")</f>
        <v/>
      </c>
      <c r="AI1333">
        <f>IF($AG1333="","",SUMIF($AG$2:$AG1333,$AG1333,$AH$2:$AH1333))</f>
        <v/>
      </c>
      <c r="AJ1333">
        <f>IF('TMP Paste'!$F1333="","",IF('TMP Paste'!$B1333="",$AJ1332,'TMP Paste'!$B1333))</f>
        <v/>
      </c>
      <c r="AK1333">
        <f>IF('TMP Paste'!$F1333="","",N('TMP Paste'!$G1333))</f>
        <v/>
      </c>
      <c r="AL1333">
        <f>IF('TMP Paste'!$F1333="","",IF('TMP Paste'!$M1333="",$AL1332,'TMP Paste'!$M1333))</f>
        <v/>
      </c>
      <c r="AM1333">
        <f>IF('TMP Paste'!$F1333="","",IF('TMP Paste'!$N1333="",$AM1332,'TMP Paste'!$N1333))</f>
        <v/>
      </c>
      <c r="AN1333">
        <f>IF('TMP Paste'!$F1333="","",IF('TMP Paste'!$O1333="",$AN1332,'TMP Paste'!$O1333))</f>
        <v/>
      </c>
      <c r="AO1333">
        <f>IF('TMP Paste'!$F1333="","",IF('TMP Paste'!$P1333="",$AO1332,'TMP Paste'!$P1333))</f>
        <v/>
      </c>
      <c r="AP1333">
        <f>IF($AG1333="","",LEN($R1333))</f>
        <v/>
      </c>
      <c r="AQ1333">
        <f>IF($AG1333="","",TRIM(IF(COUNTIFS(Calc!$B$2:$B$1601,ROW()-1,Calc!$C$2:$C$1601,"&lt;1")&gt;0,"Ada PO tanpa Koli - cek TMP. ","")&amp;IF(LEN($R1333)&gt;500,"R &gt; 500 karakter.","")))</f>
        <v/>
      </c>
    </row>
    <row r="1334">
      <c r="A1334">
        <f>IF($AG1334="","",INDEX('TMP Paste'!$B$2:$B$1601,$AG1334))</f>
        <v/>
      </c>
      <c r="B1334">
        <f>IF($AG1334="","",Config!$B$14)</f>
        <v/>
      </c>
      <c r="C1334">
        <f>IF($AG1334="","",Config!$B$15)</f>
        <v/>
      </c>
      <c r="D1334">
        <f>IF($AG1334="","",INDEX('TMP Paste'!$B$2:$B$1601,$AG1334))</f>
        <v/>
      </c>
      <c r="E1334">
        <f>IF($AG1334="","",Config!$B$27)</f>
        <v/>
      </c>
      <c r="F1334">
        <f>IF($AG1334="","",Config!$B$9)</f>
        <v/>
      </c>
      <c r="G1334">
        <f>IF($AG1334="","",Config!$B$10)</f>
        <v/>
      </c>
      <c r="H1334">
        <f>IF($AG1334="","",Config!$B$11)</f>
        <v/>
      </c>
      <c r="I1334">
        <f>IF($AG1334="","",Config!$B$16)</f>
        <v/>
      </c>
      <c r="J1334">
        <f>IF($AG1334="","",INDEX('TMP Paste'!$A$2:$A$1601,$AG1334))</f>
        <v/>
      </c>
      <c r="K1334">
        <f>IF($AG1334="","",INDEX('TMP Paste'!$L$2:$L$1601,$AG1334))</f>
        <v/>
      </c>
      <c r="L1334">
        <f>IF($AG1334="","",INDEX('TMP Paste'!$I$2:$I$1601,$AG1334))</f>
        <v/>
      </c>
      <c r="M1334">
        <f>IF($AG1334="","",Config!$B$16)</f>
        <v/>
      </c>
      <c r="N1334">
        <f>IF($AG1334="","","")</f>
        <v/>
      </c>
      <c r="O1334">
        <f>IF($AG1334="","",INDEX('TMP Paste'!$K$2:$K$1601,$AG1334))</f>
        <v/>
      </c>
      <c r="P1334">
        <f>IF($AG1334="","","")</f>
        <v/>
      </c>
      <c r="Q1334">
        <f>IF($AG1334="","",INDEX('TMP Paste'!$J$2:$J$1601,$AG1334))</f>
        <v/>
      </c>
      <c r="R1334">
        <f>IF($AG1334="","",Config!$B$24)</f>
        <v/>
      </c>
      <c r="S1334">
        <f>IF($AG1334="","",TEXT(Config!$B$4,"yyyy-mm-dd"))</f>
        <v/>
      </c>
      <c r="T1334">
        <f>IF($AG1334="","",Config!$B$17)</f>
        <v/>
      </c>
      <c r="U1334">
        <f>IF($AG1334="","",Config!$B$18)</f>
        <v/>
      </c>
      <c r="V1334">
        <f>IF($AG1334="","",Config!$B$19)</f>
        <v/>
      </c>
      <c r="W1334">
        <f>IF($AG1334="","",INDEX('TMP Paste'!$C$2:$C$1601,$AG1334))</f>
        <v/>
      </c>
      <c r="X1334">
        <f>IF($AG1334="","",Config!$B$29)</f>
        <v/>
      </c>
      <c r="Y1334">
        <f>IF($AH1334="","",INDEX(Calc!$I$2:$I$1601,$AH1334)&amp;" - "&amp;INDEX(Calc!$D$2:$D$1601,$AH1334)&amp;" koli")</f>
        <v/>
      </c>
      <c r="Z1334">
        <f>IF($AG1334="","",Config!$B$21)</f>
        <v/>
      </c>
      <c r="AA1334">
        <f>IF($AG1334="","",Config!$B$22)</f>
        <v/>
      </c>
      <c r="AB1334">
        <f>IF($AH1334="","",INDEX(Calc!$D$2:$D$1601,$AH1334))</f>
        <v/>
      </c>
      <c r="AC1334">
        <f>IF($AH1334="","",INDEX(Calc!$G$2:$G$1601,$AH1334))</f>
        <v/>
      </c>
      <c r="AD1334">
        <f>IF($AG1334="","",Config!$B$23)</f>
        <v/>
      </c>
      <c r="AE1334">
        <f>IF($AG1334="","",Config!$B$28)</f>
        <v/>
      </c>
      <c r="AG1334">
        <f>IFERROR(MATCH(ROW()-1,Calc!$J$2:$J$1601,0),"")</f>
        <v/>
      </c>
      <c r="AH1334">
        <f>IFERROR(MATCH(ROW()-1,Calc!$K$2:$K$1601,0),"")</f>
        <v/>
      </c>
      <c r="AI1334">
        <f>IF($AG1334="","",SUMIF($AG$2:$AG1334,$AG1334,$AH$2:$AH1334))</f>
        <v/>
      </c>
      <c r="AJ1334">
        <f>IF('TMP Paste'!$F1334="","",IF('TMP Paste'!$B1334="",$AJ1333,'TMP Paste'!$B1334))</f>
        <v/>
      </c>
      <c r="AK1334">
        <f>IF('TMP Paste'!$F1334="","",N('TMP Paste'!$G1334))</f>
        <v/>
      </c>
      <c r="AL1334">
        <f>IF('TMP Paste'!$F1334="","",IF('TMP Paste'!$M1334="",$AL1333,'TMP Paste'!$M1334))</f>
        <v/>
      </c>
      <c r="AM1334">
        <f>IF('TMP Paste'!$F1334="","",IF('TMP Paste'!$N1334="",$AM1333,'TMP Paste'!$N1334))</f>
        <v/>
      </c>
      <c r="AN1334">
        <f>IF('TMP Paste'!$F1334="","",IF('TMP Paste'!$O1334="",$AN1333,'TMP Paste'!$O1334))</f>
        <v/>
      </c>
      <c r="AO1334">
        <f>IF('TMP Paste'!$F1334="","",IF('TMP Paste'!$P1334="",$AO1333,'TMP Paste'!$P1334))</f>
        <v/>
      </c>
      <c r="AP1334">
        <f>IF($AG1334="","",LEN($R1334))</f>
        <v/>
      </c>
      <c r="AQ1334">
        <f>IF($AG1334="","",TRIM(IF(COUNTIFS(Calc!$B$2:$B$1601,ROW()-1,Calc!$C$2:$C$1601,"&lt;1")&gt;0,"Ada PO tanpa Koli - cek TMP. ","")&amp;IF(LEN($R1334)&gt;500,"R &gt; 500 karakter.","")))</f>
        <v/>
      </c>
    </row>
    <row r="1335">
      <c r="A1335">
        <f>IF($AG1335="","",INDEX('TMP Paste'!$B$2:$B$1601,$AG1335))</f>
        <v/>
      </c>
      <c r="B1335">
        <f>IF($AG1335="","",Config!$B$14)</f>
        <v/>
      </c>
      <c r="C1335">
        <f>IF($AG1335="","",Config!$B$15)</f>
        <v/>
      </c>
      <c r="D1335">
        <f>IF($AG1335="","",INDEX('TMP Paste'!$B$2:$B$1601,$AG1335))</f>
        <v/>
      </c>
      <c r="E1335">
        <f>IF($AG1335="","",Config!$B$27)</f>
        <v/>
      </c>
      <c r="F1335">
        <f>IF($AG1335="","",Config!$B$9)</f>
        <v/>
      </c>
      <c r="G1335">
        <f>IF($AG1335="","",Config!$B$10)</f>
        <v/>
      </c>
      <c r="H1335">
        <f>IF($AG1335="","",Config!$B$11)</f>
        <v/>
      </c>
      <c r="I1335">
        <f>IF($AG1335="","",Config!$B$16)</f>
        <v/>
      </c>
      <c r="J1335">
        <f>IF($AG1335="","",INDEX('TMP Paste'!$A$2:$A$1601,$AG1335))</f>
        <v/>
      </c>
      <c r="K1335">
        <f>IF($AG1335="","",INDEX('TMP Paste'!$L$2:$L$1601,$AG1335))</f>
        <v/>
      </c>
      <c r="L1335">
        <f>IF($AG1335="","",INDEX('TMP Paste'!$I$2:$I$1601,$AG1335))</f>
        <v/>
      </c>
      <c r="M1335">
        <f>IF($AG1335="","",Config!$B$16)</f>
        <v/>
      </c>
      <c r="N1335">
        <f>IF($AG1335="","","")</f>
        <v/>
      </c>
      <c r="O1335">
        <f>IF($AG1335="","",INDEX('TMP Paste'!$K$2:$K$1601,$AG1335))</f>
        <v/>
      </c>
      <c r="P1335">
        <f>IF($AG1335="","","")</f>
        <v/>
      </c>
      <c r="Q1335">
        <f>IF($AG1335="","",INDEX('TMP Paste'!$J$2:$J$1601,$AG1335))</f>
        <v/>
      </c>
      <c r="R1335">
        <f>IF($AG1335="","",Config!$B$24)</f>
        <v/>
      </c>
      <c r="S1335">
        <f>IF($AG1335="","",TEXT(Config!$B$4,"yyyy-mm-dd"))</f>
        <v/>
      </c>
      <c r="T1335">
        <f>IF($AG1335="","",Config!$B$17)</f>
        <v/>
      </c>
      <c r="U1335">
        <f>IF($AG1335="","",Config!$B$18)</f>
        <v/>
      </c>
      <c r="V1335">
        <f>IF($AG1335="","",Config!$B$19)</f>
        <v/>
      </c>
      <c r="W1335">
        <f>IF($AG1335="","",INDEX('TMP Paste'!$C$2:$C$1601,$AG1335))</f>
        <v/>
      </c>
      <c r="X1335">
        <f>IF($AG1335="","",Config!$B$29)</f>
        <v/>
      </c>
      <c r="Y1335">
        <f>IF($AH1335="","",INDEX(Calc!$I$2:$I$1601,$AH1335)&amp;" - "&amp;INDEX(Calc!$D$2:$D$1601,$AH1335)&amp;" koli")</f>
        <v/>
      </c>
      <c r="Z1335">
        <f>IF($AG1335="","",Config!$B$21)</f>
        <v/>
      </c>
      <c r="AA1335">
        <f>IF($AG1335="","",Config!$B$22)</f>
        <v/>
      </c>
      <c r="AB1335">
        <f>IF($AH1335="","",INDEX(Calc!$D$2:$D$1601,$AH1335))</f>
        <v/>
      </c>
      <c r="AC1335">
        <f>IF($AH1335="","",INDEX(Calc!$G$2:$G$1601,$AH1335))</f>
        <v/>
      </c>
      <c r="AD1335">
        <f>IF($AG1335="","",Config!$B$23)</f>
        <v/>
      </c>
      <c r="AE1335">
        <f>IF($AG1335="","",Config!$B$28)</f>
        <v/>
      </c>
      <c r="AG1335">
        <f>IFERROR(MATCH(ROW()-1,Calc!$J$2:$J$1601,0),"")</f>
        <v/>
      </c>
      <c r="AH1335">
        <f>IFERROR(MATCH(ROW()-1,Calc!$K$2:$K$1601,0),"")</f>
        <v/>
      </c>
      <c r="AI1335">
        <f>IF($AG1335="","",SUMIF($AG$2:$AG1335,$AG1335,$AH$2:$AH1335))</f>
        <v/>
      </c>
      <c r="AJ1335">
        <f>IF('TMP Paste'!$F1335="","",IF('TMP Paste'!$B1335="",$AJ1334,'TMP Paste'!$B1335))</f>
        <v/>
      </c>
      <c r="AK1335">
        <f>IF('TMP Paste'!$F1335="","",N('TMP Paste'!$G1335))</f>
        <v/>
      </c>
      <c r="AL1335">
        <f>IF('TMP Paste'!$F1335="","",IF('TMP Paste'!$M1335="",$AL1334,'TMP Paste'!$M1335))</f>
        <v/>
      </c>
      <c r="AM1335">
        <f>IF('TMP Paste'!$F1335="","",IF('TMP Paste'!$N1335="",$AM1334,'TMP Paste'!$N1335))</f>
        <v/>
      </c>
      <c r="AN1335">
        <f>IF('TMP Paste'!$F1335="","",IF('TMP Paste'!$O1335="",$AN1334,'TMP Paste'!$O1335))</f>
        <v/>
      </c>
      <c r="AO1335">
        <f>IF('TMP Paste'!$F1335="","",IF('TMP Paste'!$P1335="",$AO1334,'TMP Paste'!$P1335))</f>
        <v/>
      </c>
      <c r="AP1335">
        <f>IF($AG1335="","",LEN($R1335))</f>
        <v/>
      </c>
      <c r="AQ1335">
        <f>IF($AG1335="","",TRIM(IF(COUNTIFS(Calc!$B$2:$B$1601,ROW()-1,Calc!$C$2:$C$1601,"&lt;1")&gt;0,"Ada PO tanpa Koli - cek TMP. ","")&amp;IF(LEN($R1335)&gt;500,"R &gt; 500 karakter.","")))</f>
        <v/>
      </c>
    </row>
    <row r="1336">
      <c r="A1336">
        <f>IF($AG1336="","",INDEX('TMP Paste'!$B$2:$B$1601,$AG1336))</f>
        <v/>
      </c>
      <c r="B1336">
        <f>IF($AG1336="","",Config!$B$14)</f>
        <v/>
      </c>
      <c r="C1336">
        <f>IF($AG1336="","",Config!$B$15)</f>
        <v/>
      </c>
      <c r="D1336">
        <f>IF($AG1336="","",INDEX('TMP Paste'!$B$2:$B$1601,$AG1336))</f>
        <v/>
      </c>
      <c r="E1336">
        <f>IF($AG1336="","",Config!$B$27)</f>
        <v/>
      </c>
      <c r="F1336">
        <f>IF($AG1336="","",Config!$B$9)</f>
        <v/>
      </c>
      <c r="G1336">
        <f>IF($AG1336="","",Config!$B$10)</f>
        <v/>
      </c>
      <c r="H1336">
        <f>IF($AG1336="","",Config!$B$11)</f>
        <v/>
      </c>
      <c r="I1336">
        <f>IF($AG1336="","",Config!$B$16)</f>
        <v/>
      </c>
      <c r="J1336">
        <f>IF($AG1336="","",INDEX('TMP Paste'!$A$2:$A$1601,$AG1336))</f>
        <v/>
      </c>
      <c r="K1336">
        <f>IF($AG1336="","",INDEX('TMP Paste'!$L$2:$L$1601,$AG1336))</f>
        <v/>
      </c>
      <c r="L1336">
        <f>IF($AG1336="","",INDEX('TMP Paste'!$I$2:$I$1601,$AG1336))</f>
        <v/>
      </c>
      <c r="M1336">
        <f>IF($AG1336="","",Config!$B$16)</f>
        <v/>
      </c>
      <c r="N1336">
        <f>IF($AG1336="","","")</f>
        <v/>
      </c>
      <c r="O1336">
        <f>IF($AG1336="","",INDEX('TMP Paste'!$K$2:$K$1601,$AG1336))</f>
        <v/>
      </c>
      <c r="P1336">
        <f>IF($AG1336="","","")</f>
        <v/>
      </c>
      <c r="Q1336">
        <f>IF($AG1336="","",INDEX('TMP Paste'!$J$2:$J$1601,$AG1336))</f>
        <v/>
      </c>
      <c r="R1336">
        <f>IF($AG1336="","",Config!$B$24)</f>
        <v/>
      </c>
      <c r="S1336">
        <f>IF($AG1336="","",TEXT(Config!$B$4,"yyyy-mm-dd"))</f>
        <v/>
      </c>
      <c r="T1336">
        <f>IF($AG1336="","",Config!$B$17)</f>
        <v/>
      </c>
      <c r="U1336">
        <f>IF($AG1336="","",Config!$B$18)</f>
        <v/>
      </c>
      <c r="V1336">
        <f>IF($AG1336="","",Config!$B$19)</f>
        <v/>
      </c>
      <c r="W1336">
        <f>IF($AG1336="","",INDEX('TMP Paste'!$C$2:$C$1601,$AG1336))</f>
        <v/>
      </c>
      <c r="X1336">
        <f>IF($AG1336="","",Config!$B$29)</f>
        <v/>
      </c>
      <c r="Y1336">
        <f>IF($AH1336="","",INDEX(Calc!$I$2:$I$1601,$AH1336)&amp;" - "&amp;INDEX(Calc!$D$2:$D$1601,$AH1336)&amp;" koli")</f>
        <v/>
      </c>
      <c r="Z1336">
        <f>IF($AG1336="","",Config!$B$21)</f>
        <v/>
      </c>
      <c r="AA1336">
        <f>IF($AG1336="","",Config!$B$22)</f>
        <v/>
      </c>
      <c r="AB1336">
        <f>IF($AH1336="","",INDEX(Calc!$D$2:$D$1601,$AH1336))</f>
        <v/>
      </c>
      <c r="AC1336">
        <f>IF($AH1336="","",INDEX(Calc!$G$2:$G$1601,$AH1336))</f>
        <v/>
      </c>
      <c r="AD1336">
        <f>IF($AG1336="","",Config!$B$23)</f>
        <v/>
      </c>
      <c r="AE1336">
        <f>IF($AG1336="","",Config!$B$28)</f>
        <v/>
      </c>
      <c r="AG1336">
        <f>IFERROR(MATCH(ROW()-1,Calc!$J$2:$J$1601,0),"")</f>
        <v/>
      </c>
      <c r="AH1336">
        <f>IFERROR(MATCH(ROW()-1,Calc!$K$2:$K$1601,0),"")</f>
        <v/>
      </c>
      <c r="AI1336">
        <f>IF($AG1336="","",SUMIF($AG$2:$AG1336,$AG1336,$AH$2:$AH1336))</f>
        <v/>
      </c>
      <c r="AJ1336">
        <f>IF('TMP Paste'!$F1336="","",IF('TMP Paste'!$B1336="",$AJ1335,'TMP Paste'!$B1336))</f>
        <v/>
      </c>
      <c r="AK1336">
        <f>IF('TMP Paste'!$F1336="","",N('TMP Paste'!$G1336))</f>
        <v/>
      </c>
      <c r="AL1336">
        <f>IF('TMP Paste'!$F1336="","",IF('TMP Paste'!$M1336="",$AL1335,'TMP Paste'!$M1336))</f>
        <v/>
      </c>
      <c r="AM1336">
        <f>IF('TMP Paste'!$F1336="","",IF('TMP Paste'!$N1336="",$AM1335,'TMP Paste'!$N1336))</f>
        <v/>
      </c>
      <c r="AN1336">
        <f>IF('TMP Paste'!$F1336="","",IF('TMP Paste'!$O1336="",$AN1335,'TMP Paste'!$O1336))</f>
        <v/>
      </c>
      <c r="AO1336">
        <f>IF('TMP Paste'!$F1336="","",IF('TMP Paste'!$P1336="",$AO1335,'TMP Paste'!$P1336))</f>
        <v/>
      </c>
      <c r="AP1336">
        <f>IF($AG1336="","",LEN($R1336))</f>
        <v/>
      </c>
      <c r="AQ1336">
        <f>IF($AG1336="","",TRIM(IF(COUNTIFS(Calc!$B$2:$B$1601,ROW()-1,Calc!$C$2:$C$1601,"&lt;1")&gt;0,"Ada PO tanpa Koli - cek TMP. ","")&amp;IF(LEN($R1336)&gt;500,"R &gt; 500 karakter.","")))</f>
        <v/>
      </c>
    </row>
    <row r="1337">
      <c r="A1337">
        <f>IF($AG1337="","",INDEX('TMP Paste'!$B$2:$B$1601,$AG1337))</f>
        <v/>
      </c>
      <c r="B1337">
        <f>IF($AG1337="","",Config!$B$14)</f>
        <v/>
      </c>
      <c r="C1337">
        <f>IF($AG1337="","",Config!$B$15)</f>
        <v/>
      </c>
      <c r="D1337">
        <f>IF($AG1337="","",INDEX('TMP Paste'!$B$2:$B$1601,$AG1337))</f>
        <v/>
      </c>
      <c r="E1337">
        <f>IF($AG1337="","",Config!$B$27)</f>
        <v/>
      </c>
      <c r="F1337">
        <f>IF($AG1337="","",Config!$B$9)</f>
        <v/>
      </c>
      <c r="G1337">
        <f>IF($AG1337="","",Config!$B$10)</f>
        <v/>
      </c>
      <c r="H1337">
        <f>IF($AG1337="","",Config!$B$11)</f>
        <v/>
      </c>
      <c r="I1337">
        <f>IF($AG1337="","",Config!$B$16)</f>
        <v/>
      </c>
      <c r="J1337">
        <f>IF($AG1337="","",INDEX('TMP Paste'!$A$2:$A$1601,$AG1337))</f>
        <v/>
      </c>
      <c r="K1337">
        <f>IF($AG1337="","",INDEX('TMP Paste'!$L$2:$L$1601,$AG1337))</f>
        <v/>
      </c>
      <c r="L1337">
        <f>IF($AG1337="","",INDEX('TMP Paste'!$I$2:$I$1601,$AG1337))</f>
        <v/>
      </c>
      <c r="M1337">
        <f>IF($AG1337="","",Config!$B$16)</f>
        <v/>
      </c>
      <c r="N1337">
        <f>IF($AG1337="","","")</f>
        <v/>
      </c>
      <c r="O1337">
        <f>IF($AG1337="","",INDEX('TMP Paste'!$K$2:$K$1601,$AG1337))</f>
        <v/>
      </c>
      <c r="P1337">
        <f>IF($AG1337="","","")</f>
        <v/>
      </c>
      <c r="Q1337">
        <f>IF($AG1337="","",INDEX('TMP Paste'!$J$2:$J$1601,$AG1337))</f>
        <v/>
      </c>
      <c r="R1337">
        <f>IF($AG1337="","",Config!$B$24)</f>
        <v/>
      </c>
      <c r="S1337">
        <f>IF($AG1337="","",TEXT(Config!$B$4,"yyyy-mm-dd"))</f>
        <v/>
      </c>
      <c r="T1337">
        <f>IF($AG1337="","",Config!$B$17)</f>
        <v/>
      </c>
      <c r="U1337">
        <f>IF($AG1337="","",Config!$B$18)</f>
        <v/>
      </c>
      <c r="V1337">
        <f>IF($AG1337="","",Config!$B$19)</f>
        <v/>
      </c>
      <c r="W1337">
        <f>IF($AG1337="","",INDEX('TMP Paste'!$C$2:$C$1601,$AG1337))</f>
        <v/>
      </c>
      <c r="X1337">
        <f>IF($AG1337="","",Config!$B$29)</f>
        <v/>
      </c>
      <c r="Y1337">
        <f>IF($AH1337="","",INDEX(Calc!$I$2:$I$1601,$AH1337)&amp;" - "&amp;INDEX(Calc!$D$2:$D$1601,$AH1337)&amp;" koli")</f>
        <v/>
      </c>
      <c r="Z1337">
        <f>IF($AG1337="","",Config!$B$21)</f>
        <v/>
      </c>
      <c r="AA1337">
        <f>IF($AG1337="","",Config!$B$22)</f>
        <v/>
      </c>
      <c r="AB1337">
        <f>IF($AH1337="","",INDEX(Calc!$D$2:$D$1601,$AH1337))</f>
        <v/>
      </c>
      <c r="AC1337">
        <f>IF($AH1337="","",INDEX(Calc!$G$2:$G$1601,$AH1337))</f>
        <v/>
      </c>
      <c r="AD1337">
        <f>IF($AG1337="","",Config!$B$23)</f>
        <v/>
      </c>
      <c r="AE1337">
        <f>IF($AG1337="","",Config!$B$28)</f>
        <v/>
      </c>
      <c r="AG1337">
        <f>IFERROR(MATCH(ROW()-1,Calc!$J$2:$J$1601,0),"")</f>
        <v/>
      </c>
      <c r="AH1337">
        <f>IFERROR(MATCH(ROW()-1,Calc!$K$2:$K$1601,0),"")</f>
        <v/>
      </c>
      <c r="AI1337">
        <f>IF($AG1337="","",SUMIF($AG$2:$AG1337,$AG1337,$AH$2:$AH1337))</f>
        <v/>
      </c>
      <c r="AJ1337">
        <f>IF('TMP Paste'!$F1337="","",IF('TMP Paste'!$B1337="",$AJ1336,'TMP Paste'!$B1337))</f>
        <v/>
      </c>
      <c r="AK1337">
        <f>IF('TMP Paste'!$F1337="","",N('TMP Paste'!$G1337))</f>
        <v/>
      </c>
      <c r="AL1337">
        <f>IF('TMP Paste'!$F1337="","",IF('TMP Paste'!$M1337="",$AL1336,'TMP Paste'!$M1337))</f>
        <v/>
      </c>
      <c r="AM1337">
        <f>IF('TMP Paste'!$F1337="","",IF('TMP Paste'!$N1337="",$AM1336,'TMP Paste'!$N1337))</f>
        <v/>
      </c>
      <c r="AN1337">
        <f>IF('TMP Paste'!$F1337="","",IF('TMP Paste'!$O1337="",$AN1336,'TMP Paste'!$O1337))</f>
        <v/>
      </c>
      <c r="AO1337">
        <f>IF('TMP Paste'!$F1337="","",IF('TMP Paste'!$P1337="",$AO1336,'TMP Paste'!$P1337))</f>
        <v/>
      </c>
      <c r="AP1337">
        <f>IF($AG1337="","",LEN($R1337))</f>
        <v/>
      </c>
      <c r="AQ1337">
        <f>IF($AG1337="","",TRIM(IF(COUNTIFS(Calc!$B$2:$B$1601,ROW()-1,Calc!$C$2:$C$1601,"&lt;1")&gt;0,"Ada PO tanpa Koli - cek TMP. ","")&amp;IF(LEN($R1337)&gt;500,"R &gt; 500 karakter.","")))</f>
        <v/>
      </c>
    </row>
    <row r="1338">
      <c r="A1338">
        <f>IF($AG1338="","",INDEX('TMP Paste'!$B$2:$B$1601,$AG1338))</f>
        <v/>
      </c>
      <c r="B1338">
        <f>IF($AG1338="","",Config!$B$14)</f>
        <v/>
      </c>
      <c r="C1338">
        <f>IF($AG1338="","",Config!$B$15)</f>
        <v/>
      </c>
      <c r="D1338">
        <f>IF($AG1338="","",INDEX('TMP Paste'!$B$2:$B$1601,$AG1338))</f>
        <v/>
      </c>
      <c r="E1338">
        <f>IF($AG1338="","",Config!$B$27)</f>
        <v/>
      </c>
      <c r="F1338">
        <f>IF($AG1338="","",Config!$B$9)</f>
        <v/>
      </c>
      <c r="G1338">
        <f>IF($AG1338="","",Config!$B$10)</f>
        <v/>
      </c>
      <c r="H1338">
        <f>IF($AG1338="","",Config!$B$11)</f>
        <v/>
      </c>
      <c r="I1338">
        <f>IF($AG1338="","",Config!$B$16)</f>
        <v/>
      </c>
      <c r="J1338">
        <f>IF($AG1338="","",INDEX('TMP Paste'!$A$2:$A$1601,$AG1338))</f>
        <v/>
      </c>
      <c r="K1338">
        <f>IF($AG1338="","",INDEX('TMP Paste'!$L$2:$L$1601,$AG1338))</f>
        <v/>
      </c>
      <c r="L1338">
        <f>IF($AG1338="","",INDEX('TMP Paste'!$I$2:$I$1601,$AG1338))</f>
        <v/>
      </c>
      <c r="M1338">
        <f>IF($AG1338="","",Config!$B$16)</f>
        <v/>
      </c>
      <c r="N1338">
        <f>IF($AG1338="","","")</f>
        <v/>
      </c>
      <c r="O1338">
        <f>IF($AG1338="","",INDEX('TMP Paste'!$K$2:$K$1601,$AG1338))</f>
        <v/>
      </c>
      <c r="P1338">
        <f>IF($AG1338="","","")</f>
        <v/>
      </c>
      <c r="Q1338">
        <f>IF($AG1338="","",INDEX('TMP Paste'!$J$2:$J$1601,$AG1338))</f>
        <v/>
      </c>
      <c r="R1338">
        <f>IF($AG1338="","",Config!$B$24)</f>
        <v/>
      </c>
      <c r="S1338">
        <f>IF($AG1338="","",TEXT(Config!$B$4,"yyyy-mm-dd"))</f>
        <v/>
      </c>
      <c r="T1338">
        <f>IF($AG1338="","",Config!$B$17)</f>
        <v/>
      </c>
      <c r="U1338">
        <f>IF($AG1338="","",Config!$B$18)</f>
        <v/>
      </c>
      <c r="V1338">
        <f>IF($AG1338="","",Config!$B$19)</f>
        <v/>
      </c>
      <c r="W1338">
        <f>IF($AG1338="","",INDEX('TMP Paste'!$C$2:$C$1601,$AG1338))</f>
        <v/>
      </c>
      <c r="X1338">
        <f>IF($AG1338="","",Config!$B$29)</f>
        <v/>
      </c>
      <c r="Y1338">
        <f>IF($AH1338="","",INDEX(Calc!$I$2:$I$1601,$AH1338)&amp;" - "&amp;INDEX(Calc!$D$2:$D$1601,$AH1338)&amp;" koli")</f>
        <v/>
      </c>
      <c r="Z1338">
        <f>IF($AG1338="","",Config!$B$21)</f>
        <v/>
      </c>
      <c r="AA1338">
        <f>IF($AG1338="","",Config!$B$22)</f>
        <v/>
      </c>
      <c r="AB1338">
        <f>IF($AH1338="","",INDEX(Calc!$D$2:$D$1601,$AH1338))</f>
        <v/>
      </c>
      <c r="AC1338">
        <f>IF($AH1338="","",INDEX(Calc!$G$2:$G$1601,$AH1338))</f>
        <v/>
      </c>
      <c r="AD1338">
        <f>IF($AG1338="","",Config!$B$23)</f>
        <v/>
      </c>
      <c r="AE1338">
        <f>IF($AG1338="","",Config!$B$28)</f>
        <v/>
      </c>
      <c r="AG1338">
        <f>IFERROR(MATCH(ROW()-1,Calc!$J$2:$J$1601,0),"")</f>
        <v/>
      </c>
      <c r="AH1338">
        <f>IFERROR(MATCH(ROW()-1,Calc!$K$2:$K$1601,0),"")</f>
        <v/>
      </c>
      <c r="AI1338">
        <f>IF($AG1338="","",SUMIF($AG$2:$AG1338,$AG1338,$AH$2:$AH1338))</f>
        <v/>
      </c>
      <c r="AJ1338">
        <f>IF('TMP Paste'!$F1338="","",IF('TMP Paste'!$B1338="",$AJ1337,'TMP Paste'!$B1338))</f>
        <v/>
      </c>
      <c r="AK1338">
        <f>IF('TMP Paste'!$F1338="","",N('TMP Paste'!$G1338))</f>
        <v/>
      </c>
      <c r="AL1338">
        <f>IF('TMP Paste'!$F1338="","",IF('TMP Paste'!$M1338="",$AL1337,'TMP Paste'!$M1338))</f>
        <v/>
      </c>
      <c r="AM1338">
        <f>IF('TMP Paste'!$F1338="","",IF('TMP Paste'!$N1338="",$AM1337,'TMP Paste'!$N1338))</f>
        <v/>
      </c>
      <c r="AN1338">
        <f>IF('TMP Paste'!$F1338="","",IF('TMP Paste'!$O1338="",$AN1337,'TMP Paste'!$O1338))</f>
        <v/>
      </c>
      <c r="AO1338">
        <f>IF('TMP Paste'!$F1338="","",IF('TMP Paste'!$P1338="",$AO1337,'TMP Paste'!$P1338))</f>
        <v/>
      </c>
      <c r="AP1338">
        <f>IF($AG1338="","",LEN($R1338))</f>
        <v/>
      </c>
      <c r="AQ1338">
        <f>IF($AG1338="","",TRIM(IF(COUNTIFS(Calc!$B$2:$B$1601,ROW()-1,Calc!$C$2:$C$1601,"&lt;1")&gt;0,"Ada PO tanpa Koli - cek TMP. ","")&amp;IF(LEN($R1338)&gt;500,"R &gt; 500 karakter.","")))</f>
        <v/>
      </c>
    </row>
    <row r="1339">
      <c r="A1339">
        <f>IF($AG1339="","",INDEX('TMP Paste'!$B$2:$B$1601,$AG1339))</f>
        <v/>
      </c>
      <c r="B1339">
        <f>IF($AG1339="","",Config!$B$14)</f>
        <v/>
      </c>
      <c r="C1339">
        <f>IF($AG1339="","",Config!$B$15)</f>
        <v/>
      </c>
      <c r="D1339">
        <f>IF($AG1339="","",INDEX('TMP Paste'!$B$2:$B$1601,$AG1339))</f>
        <v/>
      </c>
      <c r="E1339">
        <f>IF($AG1339="","",Config!$B$27)</f>
        <v/>
      </c>
      <c r="F1339">
        <f>IF($AG1339="","",Config!$B$9)</f>
        <v/>
      </c>
      <c r="G1339">
        <f>IF($AG1339="","",Config!$B$10)</f>
        <v/>
      </c>
      <c r="H1339">
        <f>IF($AG1339="","",Config!$B$11)</f>
        <v/>
      </c>
      <c r="I1339">
        <f>IF($AG1339="","",Config!$B$16)</f>
        <v/>
      </c>
      <c r="J1339">
        <f>IF($AG1339="","",INDEX('TMP Paste'!$A$2:$A$1601,$AG1339))</f>
        <v/>
      </c>
      <c r="K1339">
        <f>IF($AG1339="","",INDEX('TMP Paste'!$L$2:$L$1601,$AG1339))</f>
        <v/>
      </c>
      <c r="L1339">
        <f>IF($AG1339="","",INDEX('TMP Paste'!$I$2:$I$1601,$AG1339))</f>
        <v/>
      </c>
      <c r="M1339">
        <f>IF($AG1339="","",Config!$B$16)</f>
        <v/>
      </c>
      <c r="N1339">
        <f>IF($AG1339="","","")</f>
        <v/>
      </c>
      <c r="O1339">
        <f>IF($AG1339="","",INDEX('TMP Paste'!$K$2:$K$1601,$AG1339))</f>
        <v/>
      </c>
      <c r="P1339">
        <f>IF($AG1339="","","")</f>
        <v/>
      </c>
      <c r="Q1339">
        <f>IF($AG1339="","",INDEX('TMP Paste'!$J$2:$J$1601,$AG1339))</f>
        <v/>
      </c>
      <c r="R1339">
        <f>IF($AG1339="","",Config!$B$24)</f>
        <v/>
      </c>
      <c r="S1339">
        <f>IF($AG1339="","",TEXT(Config!$B$4,"yyyy-mm-dd"))</f>
        <v/>
      </c>
      <c r="T1339">
        <f>IF($AG1339="","",Config!$B$17)</f>
        <v/>
      </c>
      <c r="U1339">
        <f>IF($AG1339="","",Config!$B$18)</f>
        <v/>
      </c>
      <c r="V1339">
        <f>IF($AG1339="","",Config!$B$19)</f>
        <v/>
      </c>
      <c r="W1339">
        <f>IF($AG1339="","",INDEX('TMP Paste'!$C$2:$C$1601,$AG1339))</f>
        <v/>
      </c>
      <c r="X1339">
        <f>IF($AG1339="","",Config!$B$29)</f>
        <v/>
      </c>
      <c r="Y1339">
        <f>IF($AH1339="","",INDEX(Calc!$I$2:$I$1601,$AH1339)&amp;" - "&amp;INDEX(Calc!$D$2:$D$1601,$AH1339)&amp;" koli")</f>
        <v/>
      </c>
      <c r="Z1339">
        <f>IF($AG1339="","",Config!$B$21)</f>
        <v/>
      </c>
      <c r="AA1339">
        <f>IF($AG1339="","",Config!$B$22)</f>
        <v/>
      </c>
      <c r="AB1339">
        <f>IF($AH1339="","",INDEX(Calc!$D$2:$D$1601,$AH1339))</f>
        <v/>
      </c>
      <c r="AC1339">
        <f>IF($AH1339="","",INDEX(Calc!$G$2:$G$1601,$AH1339))</f>
        <v/>
      </c>
      <c r="AD1339">
        <f>IF($AG1339="","",Config!$B$23)</f>
        <v/>
      </c>
      <c r="AE1339">
        <f>IF($AG1339="","",Config!$B$28)</f>
        <v/>
      </c>
      <c r="AG1339">
        <f>IFERROR(MATCH(ROW()-1,Calc!$J$2:$J$1601,0),"")</f>
        <v/>
      </c>
      <c r="AH1339">
        <f>IFERROR(MATCH(ROW()-1,Calc!$K$2:$K$1601,0),"")</f>
        <v/>
      </c>
      <c r="AI1339">
        <f>IF($AG1339="","",SUMIF($AG$2:$AG1339,$AG1339,$AH$2:$AH1339))</f>
        <v/>
      </c>
      <c r="AJ1339">
        <f>IF('TMP Paste'!$F1339="","",IF('TMP Paste'!$B1339="",$AJ1338,'TMP Paste'!$B1339))</f>
        <v/>
      </c>
      <c r="AK1339">
        <f>IF('TMP Paste'!$F1339="","",N('TMP Paste'!$G1339))</f>
        <v/>
      </c>
      <c r="AL1339">
        <f>IF('TMP Paste'!$F1339="","",IF('TMP Paste'!$M1339="",$AL1338,'TMP Paste'!$M1339))</f>
        <v/>
      </c>
      <c r="AM1339">
        <f>IF('TMP Paste'!$F1339="","",IF('TMP Paste'!$N1339="",$AM1338,'TMP Paste'!$N1339))</f>
        <v/>
      </c>
      <c r="AN1339">
        <f>IF('TMP Paste'!$F1339="","",IF('TMP Paste'!$O1339="",$AN1338,'TMP Paste'!$O1339))</f>
        <v/>
      </c>
      <c r="AO1339">
        <f>IF('TMP Paste'!$F1339="","",IF('TMP Paste'!$P1339="",$AO1338,'TMP Paste'!$P1339))</f>
        <v/>
      </c>
      <c r="AP1339">
        <f>IF($AG1339="","",LEN($R1339))</f>
        <v/>
      </c>
      <c r="AQ1339">
        <f>IF($AG1339="","",TRIM(IF(COUNTIFS(Calc!$B$2:$B$1601,ROW()-1,Calc!$C$2:$C$1601,"&lt;1")&gt;0,"Ada PO tanpa Koli - cek TMP. ","")&amp;IF(LEN($R1339)&gt;500,"R &gt; 500 karakter.","")))</f>
        <v/>
      </c>
    </row>
    <row r="1340">
      <c r="A1340">
        <f>IF($AG1340="","",INDEX('TMP Paste'!$B$2:$B$1601,$AG1340))</f>
        <v/>
      </c>
      <c r="B1340">
        <f>IF($AG1340="","",Config!$B$14)</f>
        <v/>
      </c>
      <c r="C1340">
        <f>IF($AG1340="","",Config!$B$15)</f>
        <v/>
      </c>
      <c r="D1340">
        <f>IF($AG1340="","",INDEX('TMP Paste'!$B$2:$B$1601,$AG1340))</f>
        <v/>
      </c>
      <c r="E1340">
        <f>IF($AG1340="","",Config!$B$27)</f>
        <v/>
      </c>
      <c r="F1340">
        <f>IF($AG1340="","",Config!$B$9)</f>
        <v/>
      </c>
      <c r="G1340">
        <f>IF($AG1340="","",Config!$B$10)</f>
        <v/>
      </c>
      <c r="H1340">
        <f>IF($AG1340="","",Config!$B$11)</f>
        <v/>
      </c>
      <c r="I1340">
        <f>IF($AG1340="","",Config!$B$16)</f>
        <v/>
      </c>
      <c r="J1340">
        <f>IF($AG1340="","",INDEX('TMP Paste'!$A$2:$A$1601,$AG1340))</f>
        <v/>
      </c>
      <c r="K1340">
        <f>IF($AG1340="","",INDEX('TMP Paste'!$L$2:$L$1601,$AG1340))</f>
        <v/>
      </c>
      <c r="L1340">
        <f>IF($AG1340="","",INDEX('TMP Paste'!$I$2:$I$1601,$AG1340))</f>
        <v/>
      </c>
      <c r="M1340">
        <f>IF($AG1340="","",Config!$B$16)</f>
        <v/>
      </c>
      <c r="N1340">
        <f>IF($AG1340="","","")</f>
        <v/>
      </c>
      <c r="O1340">
        <f>IF($AG1340="","",INDEX('TMP Paste'!$K$2:$K$1601,$AG1340))</f>
        <v/>
      </c>
      <c r="P1340">
        <f>IF($AG1340="","","")</f>
        <v/>
      </c>
      <c r="Q1340">
        <f>IF($AG1340="","",INDEX('TMP Paste'!$J$2:$J$1601,$AG1340))</f>
        <v/>
      </c>
      <c r="R1340">
        <f>IF($AG1340="","",Config!$B$24)</f>
        <v/>
      </c>
      <c r="S1340">
        <f>IF($AG1340="","",TEXT(Config!$B$4,"yyyy-mm-dd"))</f>
        <v/>
      </c>
      <c r="T1340">
        <f>IF($AG1340="","",Config!$B$17)</f>
        <v/>
      </c>
      <c r="U1340">
        <f>IF($AG1340="","",Config!$B$18)</f>
        <v/>
      </c>
      <c r="V1340">
        <f>IF($AG1340="","",Config!$B$19)</f>
        <v/>
      </c>
      <c r="W1340">
        <f>IF($AG1340="","",INDEX('TMP Paste'!$C$2:$C$1601,$AG1340))</f>
        <v/>
      </c>
      <c r="X1340">
        <f>IF($AG1340="","",Config!$B$29)</f>
        <v/>
      </c>
      <c r="Y1340">
        <f>IF($AH1340="","",INDEX(Calc!$I$2:$I$1601,$AH1340)&amp;" - "&amp;INDEX(Calc!$D$2:$D$1601,$AH1340)&amp;" koli")</f>
        <v/>
      </c>
      <c r="Z1340">
        <f>IF($AG1340="","",Config!$B$21)</f>
        <v/>
      </c>
      <c r="AA1340">
        <f>IF($AG1340="","",Config!$B$22)</f>
        <v/>
      </c>
      <c r="AB1340">
        <f>IF($AH1340="","",INDEX(Calc!$D$2:$D$1601,$AH1340))</f>
        <v/>
      </c>
      <c r="AC1340">
        <f>IF($AH1340="","",INDEX(Calc!$G$2:$G$1601,$AH1340))</f>
        <v/>
      </c>
      <c r="AD1340">
        <f>IF($AG1340="","",Config!$B$23)</f>
        <v/>
      </c>
      <c r="AE1340">
        <f>IF($AG1340="","",Config!$B$28)</f>
        <v/>
      </c>
      <c r="AG1340">
        <f>IFERROR(MATCH(ROW()-1,Calc!$J$2:$J$1601,0),"")</f>
        <v/>
      </c>
      <c r="AH1340">
        <f>IFERROR(MATCH(ROW()-1,Calc!$K$2:$K$1601,0),"")</f>
        <v/>
      </c>
      <c r="AI1340">
        <f>IF($AG1340="","",SUMIF($AG$2:$AG1340,$AG1340,$AH$2:$AH1340))</f>
        <v/>
      </c>
      <c r="AJ1340">
        <f>IF('TMP Paste'!$F1340="","",IF('TMP Paste'!$B1340="",$AJ1339,'TMP Paste'!$B1340))</f>
        <v/>
      </c>
      <c r="AK1340">
        <f>IF('TMP Paste'!$F1340="","",N('TMP Paste'!$G1340))</f>
        <v/>
      </c>
      <c r="AL1340">
        <f>IF('TMP Paste'!$F1340="","",IF('TMP Paste'!$M1340="",$AL1339,'TMP Paste'!$M1340))</f>
        <v/>
      </c>
      <c r="AM1340">
        <f>IF('TMP Paste'!$F1340="","",IF('TMP Paste'!$N1340="",$AM1339,'TMP Paste'!$N1340))</f>
        <v/>
      </c>
      <c r="AN1340">
        <f>IF('TMP Paste'!$F1340="","",IF('TMP Paste'!$O1340="",$AN1339,'TMP Paste'!$O1340))</f>
        <v/>
      </c>
      <c r="AO1340">
        <f>IF('TMP Paste'!$F1340="","",IF('TMP Paste'!$P1340="",$AO1339,'TMP Paste'!$P1340))</f>
        <v/>
      </c>
      <c r="AP1340">
        <f>IF($AG1340="","",LEN($R1340))</f>
        <v/>
      </c>
      <c r="AQ1340">
        <f>IF($AG1340="","",TRIM(IF(COUNTIFS(Calc!$B$2:$B$1601,ROW()-1,Calc!$C$2:$C$1601,"&lt;1")&gt;0,"Ada PO tanpa Koli - cek TMP. ","")&amp;IF(LEN($R1340)&gt;500,"R &gt; 500 karakter.","")))</f>
        <v/>
      </c>
    </row>
    <row r="1341">
      <c r="A1341">
        <f>IF($AG1341="","",INDEX('TMP Paste'!$B$2:$B$1601,$AG1341))</f>
        <v/>
      </c>
      <c r="B1341">
        <f>IF($AG1341="","",Config!$B$14)</f>
        <v/>
      </c>
      <c r="C1341">
        <f>IF($AG1341="","",Config!$B$15)</f>
        <v/>
      </c>
      <c r="D1341">
        <f>IF($AG1341="","",INDEX('TMP Paste'!$B$2:$B$1601,$AG1341))</f>
        <v/>
      </c>
      <c r="E1341">
        <f>IF($AG1341="","",Config!$B$27)</f>
        <v/>
      </c>
      <c r="F1341">
        <f>IF($AG1341="","",Config!$B$9)</f>
        <v/>
      </c>
      <c r="G1341">
        <f>IF($AG1341="","",Config!$B$10)</f>
        <v/>
      </c>
      <c r="H1341">
        <f>IF($AG1341="","",Config!$B$11)</f>
        <v/>
      </c>
      <c r="I1341">
        <f>IF($AG1341="","",Config!$B$16)</f>
        <v/>
      </c>
      <c r="J1341">
        <f>IF($AG1341="","",INDEX('TMP Paste'!$A$2:$A$1601,$AG1341))</f>
        <v/>
      </c>
      <c r="K1341">
        <f>IF($AG1341="","",INDEX('TMP Paste'!$L$2:$L$1601,$AG1341))</f>
        <v/>
      </c>
      <c r="L1341">
        <f>IF($AG1341="","",INDEX('TMP Paste'!$I$2:$I$1601,$AG1341))</f>
        <v/>
      </c>
      <c r="M1341">
        <f>IF($AG1341="","",Config!$B$16)</f>
        <v/>
      </c>
      <c r="N1341">
        <f>IF($AG1341="","","")</f>
        <v/>
      </c>
      <c r="O1341">
        <f>IF($AG1341="","",INDEX('TMP Paste'!$K$2:$K$1601,$AG1341))</f>
        <v/>
      </c>
      <c r="P1341">
        <f>IF($AG1341="","","")</f>
        <v/>
      </c>
      <c r="Q1341">
        <f>IF($AG1341="","",INDEX('TMP Paste'!$J$2:$J$1601,$AG1341))</f>
        <v/>
      </c>
      <c r="R1341">
        <f>IF($AG1341="","",Config!$B$24)</f>
        <v/>
      </c>
      <c r="S1341">
        <f>IF($AG1341="","",TEXT(Config!$B$4,"yyyy-mm-dd"))</f>
        <v/>
      </c>
      <c r="T1341">
        <f>IF($AG1341="","",Config!$B$17)</f>
        <v/>
      </c>
      <c r="U1341">
        <f>IF($AG1341="","",Config!$B$18)</f>
        <v/>
      </c>
      <c r="V1341">
        <f>IF($AG1341="","",Config!$B$19)</f>
        <v/>
      </c>
      <c r="W1341">
        <f>IF($AG1341="","",INDEX('TMP Paste'!$C$2:$C$1601,$AG1341))</f>
        <v/>
      </c>
      <c r="X1341">
        <f>IF($AG1341="","",Config!$B$29)</f>
        <v/>
      </c>
      <c r="Y1341">
        <f>IF($AH1341="","",INDEX(Calc!$I$2:$I$1601,$AH1341)&amp;" - "&amp;INDEX(Calc!$D$2:$D$1601,$AH1341)&amp;" koli")</f>
        <v/>
      </c>
      <c r="Z1341">
        <f>IF($AG1341="","",Config!$B$21)</f>
        <v/>
      </c>
      <c r="AA1341">
        <f>IF($AG1341="","",Config!$B$22)</f>
        <v/>
      </c>
      <c r="AB1341">
        <f>IF($AH1341="","",INDEX(Calc!$D$2:$D$1601,$AH1341))</f>
        <v/>
      </c>
      <c r="AC1341">
        <f>IF($AH1341="","",INDEX(Calc!$G$2:$G$1601,$AH1341))</f>
        <v/>
      </c>
      <c r="AD1341">
        <f>IF($AG1341="","",Config!$B$23)</f>
        <v/>
      </c>
      <c r="AE1341">
        <f>IF($AG1341="","",Config!$B$28)</f>
        <v/>
      </c>
      <c r="AG1341">
        <f>IFERROR(MATCH(ROW()-1,Calc!$J$2:$J$1601,0),"")</f>
        <v/>
      </c>
      <c r="AH1341">
        <f>IFERROR(MATCH(ROW()-1,Calc!$K$2:$K$1601,0),"")</f>
        <v/>
      </c>
      <c r="AI1341">
        <f>IF($AG1341="","",SUMIF($AG$2:$AG1341,$AG1341,$AH$2:$AH1341))</f>
        <v/>
      </c>
      <c r="AJ1341">
        <f>IF('TMP Paste'!$F1341="","",IF('TMP Paste'!$B1341="",$AJ1340,'TMP Paste'!$B1341))</f>
        <v/>
      </c>
      <c r="AK1341">
        <f>IF('TMP Paste'!$F1341="","",N('TMP Paste'!$G1341))</f>
        <v/>
      </c>
      <c r="AL1341">
        <f>IF('TMP Paste'!$F1341="","",IF('TMP Paste'!$M1341="",$AL1340,'TMP Paste'!$M1341))</f>
        <v/>
      </c>
      <c r="AM1341">
        <f>IF('TMP Paste'!$F1341="","",IF('TMP Paste'!$N1341="",$AM1340,'TMP Paste'!$N1341))</f>
        <v/>
      </c>
      <c r="AN1341">
        <f>IF('TMP Paste'!$F1341="","",IF('TMP Paste'!$O1341="",$AN1340,'TMP Paste'!$O1341))</f>
        <v/>
      </c>
      <c r="AO1341">
        <f>IF('TMP Paste'!$F1341="","",IF('TMP Paste'!$P1341="",$AO1340,'TMP Paste'!$P1341))</f>
        <v/>
      </c>
      <c r="AP1341">
        <f>IF($AG1341="","",LEN($R1341))</f>
        <v/>
      </c>
      <c r="AQ1341">
        <f>IF($AG1341="","",TRIM(IF(COUNTIFS(Calc!$B$2:$B$1601,ROW()-1,Calc!$C$2:$C$1601,"&lt;1")&gt;0,"Ada PO tanpa Koli - cek TMP. ","")&amp;IF(LEN($R1341)&gt;500,"R &gt; 500 karakter.","")))</f>
        <v/>
      </c>
    </row>
    <row r="1342">
      <c r="A1342">
        <f>IF($AG1342="","",INDEX('TMP Paste'!$B$2:$B$1601,$AG1342))</f>
        <v/>
      </c>
      <c r="B1342">
        <f>IF($AG1342="","",Config!$B$14)</f>
        <v/>
      </c>
      <c r="C1342">
        <f>IF($AG1342="","",Config!$B$15)</f>
        <v/>
      </c>
      <c r="D1342">
        <f>IF($AG1342="","",INDEX('TMP Paste'!$B$2:$B$1601,$AG1342))</f>
        <v/>
      </c>
      <c r="E1342">
        <f>IF($AG1342="","",Config!$B$27)</f>
        <v/>
      </c>
      <c r="F1342">
        <f>IF($AG1342="","",Config!$B$9)</f>
        <v/>
      </c>
      <c r="G1342">
        <f>IF($AG1342="","",Config!$B$10)</f>
        <v/>
      </c>
      <c r="H1342">
        <f>IF($AG1342="","",Config!$B$11)</f>
        <v/>
      </c>
      <c r="I1342">
        <f>IF($AG1342="","",Config!$B$16)</f>
        <v/>
      </c>
      <c r="J1342">
        <f>IF($AG1342="","",INDEX('TMP Paste'!$A$2:$A$1601,$AG1342))</f>
        <v/>
      </c>
      <c r="K1342">
        <f>IF($AG1342="","",INDEX('TMP Paste'!$L$2:$L$1601,$AG1342))</f>
        <v/>
      </c>
      <c r="L1342">
        <f>IF($AG1342="","",INDEX('TMP Paste'!$I$2:$I$1601,$AG1342))</f>
        <v/>
      </c>
      <c r="M1342">
        <f>IF($AG1342="","",Config!$B$16)</f>
        <v/>
      </c>
      <c r="N1342">
        <f>IF($AG1342="","","")</f>
        <v/>
      </c>
      <c r="O1342">
        <f>IF($AG1342="","",INDEX('TMP Paste'!$K$2:$K$1601,$AG1342))</f>
        <v/>
      </c>
      <c r="P1342">
        <f>IF($AG1342="","","")</f>
        <v/>
      </c>
      <c r="Q1342">
        <f>IF($AG1342="","",INDEX('TMP Paste'!$J$2:$J$1601,$AG1342))</f>
        <v/>
      </c>
      <c r="R1342">
        <f>IF($AG1342="","",Config!$B$24)</f>
        <v/>
      </c>
      <c r="S1342">
        <f>IF($AG1342="","",TEXT(Config!$B$4,"yyyy-mm-dd"))</f>
        <v/>
      </c>
      <c r="T1342">
        <f>IF($AG1342="","",Config!$B$17)</f>
        <v/>
      </c>
      <c r="U1342">
        <f>IF($AG1342="","",Config!$B$18)</f>
        <v/>
      </c>
      <c r="V1342">
        <f>IF($AG1342="","",Config!$B$19)</f>
        <v/>
      </c>
      <c r="W1342">
        <f>IF($AG1342="","",INDEX('TMP Paste'!$C$2:$C$1601,$AG1342))</f>
        <v/>
      </c>
      <c r="X1342">
        <f>IF($AG1342="","",Config!$B$29)</f>
        <v/>
      </c>
      <c r="Y1342">
        <f>IF($AH1342="","",INDEX(Calc!$I$2:$I$1601,$AH1342)&amp;" - "&amp;INDEX(Calc!$D$2:$D$1601,$AH1342)&amp;" koli")</f>
        <v/>
      </c>
      <c r="Z1342">
        <f>IF($AG1342="","",Config!$B$21)</f>
        <v/>
      </c>
      <c r="AA1342">
        <f>IF($AG1342="","",Config!$B$22)</f>
        <v/>
      </c>
      <c r="AB1342">
        <f>IF($AH1342="","",INDEX(Calc!$D$2:$D$1601,$AH1342))</f>
        <v/>
      </c>
      <c r="AC1342">
        <f>IF($AH1342="","",INDEX(Calc!$G$2:$G$1601,$AH1342))</f>
        <v/>
      </c>
      <c r="AD1342">
        <f>IF($AG1342="","",Config!$B$23)</f>
        <v/>
      </c>
      <c r="AE1342">
        <f>IF($AG1342="","",Config!$B$28)</f>
        <v/>
      </c>
      <c r="AG1342">
        <f>IFERROR(MATCH(ROW()-1,Calc!$J$2:$J$1601,0),"")</f>
        <v/>
      </c>
      <c r="AH1342">
        <f>IFERROR(MATCH(ROW()-1,Calc!$K$2:$K$1601,0),"")</f>
        <v/>
      </c>
      <c r="AI1342">
        <f>IF($AG1342="","",SUMIF($AG$2:$AG1342,$AG1342,$AH$2:$AH1342))</f>
        <v/>
      </c>
      <c r="AJ1342">
        <f>IF('TMP Paste'!$F1342="","",IF('TMP Paste'!$B1342="",$AJ1341,'TMP Paste'!$B1342))</f>
        <v/>
      </c>
      <c r="AK1342">
        <f>IF('TMP Paste'!$F1342="","",N('TMP Paste'!$G1342))</f>
        <v/>
      </c>
      <c r="AL1342">
        <f>IF('TMP Paste'!$F1342="","",IF('TMP Paste'!$M1342="",$AL1341,'TMP Paste'!$M1342))</f>
        <v/>
      </c>
      <c r="AM1342">
        <f>IF('TMP Paste'!$F1342="","",IF('TMP Paste'!$N1342="",$AM1341,'TMP Paste'!$N1342))</f>
        <v/>
      </c>
      <c r="AN1342">
        <f>IF('TMP Paste'!$F1342="","",IF('TMP Paste'!$O1342="",$AN1341,'TMP Paste'!$O1342))</f>
        <v/>
      </c>
      <c r="AO1342">
        <f>IF('TMP Paste'!$F1342="","",IF('TMP Paste'!$P1342="",$AO1341,'TMP Paste'!$P1342))</f>
        <v/>
      </c>
      <c r="AP1342">
        <f>IF($AG1342="","",LEN($R1342))</f>
        <v/>
      </c>
      <c r="AQ1342">
        <f>IF($AG1342="","",TRIM(IF(COUNTIFS(Calc!$B$2:$B$1601,ROW()-1,Calc!$C$2:$C$1601,"&lt;1")&gt;0,"Ada PO tanpa Koli - cek TMP. ","")&amp;IF(LEN($R1342)&gt;500,"R &gt; 500 karakter.","")))</f>
        <v/>
      </c>
    </row>
    <row r="1343">
      <c r="A1343">
        <f>IF($AG1343="","",INDEX('TMP Paste'!$B$2:$B$1601,$AG1343))</f>
        <v/>
      </c>
      <c r="B1343">
        <f>IF($AG1343="","",Config!$B$14)</f>
        <v/>
      </c>
      <c r="C1343">
        <f>IF($AG1343="","",Config!$B$15)</f>
        <v/>
      </c>
      <c r="D1343">
        <f>IF($AG1343="","",INDEX('TMP Paste'!$B$2:$B$1601,$AG1343))</f>
        <v/>
      </c>
      <c r="E1343">
        <f>IF($AG1343="","",Config!$B$27)</f>
        <v/>
      </c>
      <c r="F1343">
        <f>IF($AG1343="","",Config!$B$9)</f>
        <v/>
      </c>
      <c r="G1343">
        <f>IF($AG1343="","",Config!$B$10)</f>
        <v/>
      </c>
      <c r="H1343">
        <f>IF($AG1343="","",Config!$B$11)</f>
        <v/>
      </c>
      <c r="I1343">
        <f>IF($AG1343="","",Config!$B$16)</f>
        <v/>
      </c>
      <c r="J1343">
        <f>IF($AG1343="","",INDEX('TMP Paste'!$A$2:$A$1601,$AG1343))</f>
        <v/>
      </c>
      <c r="K1343">
        <f>IF($AG1343="","",INDEX('TMP Paste'!$L$2:$L$1601,$AG1343))</f>
        <v/>
      </c>
      <c r="L1343">
        <f>IF($AG1343="","",INDEX('TMP Paste'!$I$2:$I$1601,$AG1343))</f>
        <v/>
      </c>
      <c r="M1343">
        <f>IF($AG1343="","",Config!$B$16)</f>
        <v/>
      </c>
      <c r="N1343">
        <f>IF($AG1343="","","")</f>
        <v/>
      </c>
      <c r="O1343">
        <f>IF($AG1343="","",INDEX('TMP Paste'!$K$2:$K$1601,$AG1343))</f>
        <v/>
      </c>
      <c r="P1343">
        <f>IF($AG1343="","","")</f>
        <v/>
      </c>
      <c r="Q1343">
        <f>IF($AG1343="","",INDEX('TMP Paste'!$J$2:$J$1601,$AG1343))</f>
        <v/>
      </c>
      <c r="R1343">
        <f>IF($AG1343="","",Config!$B$24)</f>
        <v/>
      </c>
      <c r="S1343">
        <f>IF($AG1343="","",TEXT(Config!$B$4,"yyyy-mm-dd"))</f>
        <v/>
      </c>
      <c r="T1343">
        <f>IF($AG1343="","",Config!$B$17)</f>
        <v/>
      </c>
      <c r="U1343">
        <f>IF($AG1343="","",Config!$B$18)</f>
        <v/>
      </c>
      <c r="V1343">
        <f>IF($AG1343="","",Config!$B$19)</f>
        <v/>
      </c>
      <c r="W1343">
        <f>IF($AG1343="","",INDEX('TMP Paste'!$C$2:$C$1601,$AG1343))</f>
        <v/>
      </c>
      <c r="X1343">
        <f>IF($AG1343="","",Config!$B$29)</f>
        <v/>
      </c>
      <c r="Y1343">
        <f>IF($AH1343="","",INDEX(Calc!$I$2:$I$1601,$AH1343)&amp;" - "&amp;INDEX(Calc!$D$2:$D$1601,$AH1343)&amp;" koli")</f>
        <v/>
      </c>
      <c r="Z1343">
        <f>IF($AG1343="","",Config!$B$21)</f>
        <v/>
      </c>
      <c r="AA1343">
        <f>IF($AG1343="","",Config!$B$22)</f>
        <v/>
      </c>
      <c r="AB1343">
        <f>IF($AH1343="","",INDEX(Calc!$D$2:$D$1601,$AH1343))</f>
        <v/>
      </c>
      <c r="AC1343">
        <f>IF($AH1343="","",INDEX(Calc!$G$2:$G$1601,$AH1343))</f>
        <v/>
      </c>
      <c r="AD1343">
        <f>IF($AG1343="","",Config!$B$23)</f>
        <v/>
      </c>
      <c r="AE1343">
        <f>IF($AG1343="","",Config!$B$28)</f>
        <v/>
      </c>
      <c r="AG1343">
        <f>IFERROR(MATCH(ROW()-1,Calc!$J$2:$J$1601,0),"")</f>
        <v/>
      </c>
      <c r="AH1343">
        <f>IFERROR(MATCH(ROW()-1,Calc!$K$2:$K$1601,0),"")</f>
        <v/>
      </c>
      <c r="AI1343">
        <f>IF($AG1343="","",SUMIF($AG$2:$AG1343,$AG1343,$AH$2:$AH1343))</f>
        <v/>
      </c>
      <c r="AJ1343">
        <f>IF('TMP Paste'!$F1343="","",IF('TMP Paste'!$B1343="",$AJ1342,'TMP Paste'!$B1343))</f>
        <v/>
      </c>
      <c r="AK1343">
        <f>IF('TMP Paste'!$F1343="","",N('TMP Paste'!$G1343))</f>
        <v/>
      </c>
      <c r="AL1343">
        <f>IF('TMP Paste'!$F1343="","",IF('TMP Paste'!$M1343="",$AL1342,'TMP Paste'!$M1343))</f>
        <v/>
      </c>
      <c r="AM1343">
        <f>IF('TMP Paste'!$F1343="","",IF('TMP Paste'!$N1343="",$AM1342,'TMP Paste'!$N1343))</f>
        <v/>
      </c>
      <c r="AN1343">
        <f>IF('TMP Paste'!$F1343="","",IF('TMP Paste'!$O1343="",$AN1342,'TMP Paste'!$O1343))</f>
        <v/>
      </c>
      <c r="AO1343">
        <f>IF('TMP Paste'!$F1343="","",IF('TMP Paste'!$P1343="",$AO1342,'TMP Paste'!$P1343))</f>
        <v/>
      </c>
      <c r="AP1343">
        <f>IF($AG1343="","",LEN($R1343))</f>
        <v/>
      </c>
      <c r="AQ1343">
        <f>IF($AG1343="","",TRIM(IF(COUNTIFS(Calc!$B$2:$B$1601,ROW()-1,Calc!$C$2:$C$1601,"&lt;1")&gt;0,"Ada PO tanpa Koli - cek TMP. ","")&amp;IF(LEN($R1343)&gt;500,"R &gt; 500 karakter.","")))</f>
        <v/>
      </c>
    </row>
    <row r="1344">
      <c r="A1344">
        <f>IF($AG1344="","",INDEX('TMP Paste'!$B$2:$B$1601,$AG1344))</f>
        <v/>
      </c>
      <c r="B1344">
        <f>IF($AG1344="","",Config!$B$14)</f>
        <v/>
      </c>
      <c r="C1344">
        <f>IF($AG1344="","",Config!$B$15)</f>
        <v/>
      </c>
      <c r="D1344">
        <f>IF($AG1344="","",INDEX('TMP Paste'!$B$2:$B$1601,$AG1344))</f>
        <v/>
      </c>
      <c r="E1344">
        <f>IF($AG1344="","",Config!$B$27)</f>
        <v/>
      </c>
      <c r="F1344">
        <f>IF($AG1344="","",Config!$B$9)</f>
        <v/>
      </c>
      <c r="G1344">
        <f>IF($AG1344="","",Config!$B$10)</f>
        <v/>
      </c>
      <c r="H1344">
        <f>IF($AG1344="","",Config!$B$11)</f>
        <v/>
      </c>
      <c r="I1344">
        <f>IF($AG1344="","",Config!$B$16)</f>
        <v/>
      </c>
      <c r="J1344">
        <f>IF($AG1344="","",INDEX('TMP Paste'!$A$2:$A$1601,$AG1344))</f>
        <v/>
      </c>
      <c r="K1344">
        <f>IF($AG1344="","",INDEX('TMP Paste'!$L$2:$L$1601,$AG1344))</f>
        <v/>
      </c>
      <c r="L1344">
        <f>IF($AG1344="","",INDEX('TMP Paste'!$I$2:$I$1601,$AG1344))</f>
        <v/>
      </c>
      <c r="M1344">
        <f>IF($AG1344="","",Config!$B$16)</f>
        <v/>
      </c>
      <c r="N1344">
        <f>IF($AG1344="","","")</f>
        <v/>
      </c>
      <c r="O1344">
        <f>IF($AG1344="","",INDEX('TMP Paste'!$K$2:$K$1601,$AG1344))</f>
        <v/>
      </c>
      <c r="P1344">
        <f>IF($AG1344="","","")</f>
        <v/>
      </c>
      <c r="Q1344">
        <f>IF($AG1344="","",INDEX('TMP Paste'!$J$2:$J$1601,$AG1344))</f>
        <v/>
      </c>
      <c r="R1344">
        <f>IF($AG1344="","",Config!$B$24)</f>
        <v/>
      </c>
      <c r="S1344">
        <f>IF($AG1344="","",TEXT(Config!$B$4,"yyyy-mm-dd"))</f>
        <v/>
      </c>
      <c r="T1344">
        <f>IF($AG1344="","",Config!$B$17)</f>
        <v/>
      </c>
      <c r="U1344">
        <f>IF($AG1344="","",Config!$B$18)</f>
        <v/>
      </c>
      <c r="V1344">
        <f>IF($AG1344="","",Config!$B$19)</f>
        <v/>
      </c>
      <c r="W1344">
        <f>IF($AG1344="","",INDEX('TMP Paste'!$C$2:$C$1601,$AG1344))</f>
        <v/>
      </c>
      <c r="X1344">
        <f>IF($AG1344="","",Config!$B$29)</f>
        <v/>
      </c>
      <c r="Y1344">
        <f>IF($AH1344="","",INDEX(Calc!$I$2:$I$1601,$AH1344)&amp;" - "&amp;INDEX(Calc!$D$2:$D$1601,$AH1344)&amp;" koli")</f>
        <v/>
      </c>
      <c r="Z1344">
        <f>IF($AG1344="","",Config!$B$21)</f>
        <v/>
      </c>
      <c r="AA1344">
        <f>IF($AG1344="","",Config!$B$22)</f>
        <v/>
      </c>
      <c r="AB1344">
        <f>IF($AH1344="","",INDEX(Calc!$D$2:$D$1601,$AH1344))</f>
        <v/>
      </c>
      <c r="AC1344">
        <f>IF($AH1344="","",INDEX(Calc!$G$2:$G$1601,$AH1344))</f>
        <v/>
      </c>
      <c r="AD1344">
        <f>IF($AG1344="","",Config!$B$23)</f>
        <v/>
      </c>
      <c r="AE1344">
        <f>IF($AG1344="","",Config!$B$28)</f>
        <v/>
      </c>
      <c r="AG1344">
        <f>IFERROR(MATCH(ROW()-1,Calc!$J$2:$J$1601,0),"")</f>
        <v/>
      </c>
      <c r="AH1344">
        <f>IFERROR(MATCH(ROW()-1,Calc!$K$2:$K$1601,0),"")</f>
        <v/>
      </c>
      <c r="AI1344">
        <f>IF($AG1344="","",SUMIF($AG$2:$AG1344,$AG1344,$AH$2:$AH1344))</f>
        <v/>
      </c>
      <c r="AJ1344">
        <f>IF('TMP Paste'!$F1344="","",IF('TMP Paste'!$B1344="",$AJ1343,'TMP Paste'!$B1344))</f>
        <v/>
      </c>
      <c r="AK1344">
        <f>IF('TMP Paste'!$F1344="","",N('TMP Paste'!$G1344))</f>
        <v/>
      </c>
      <c r="AL1344">
        <f>IF('TMP Paste'!$F1344="","",IF('TMP Paste'!$M1344="",$AL1343,'TMP Paste'!$M1344))</f>
        <v/>
      </c>
      <c r="AM1344">
        <f>IF('TMP Paste'!$F1344="","",IF('TMP Paste'!$N1344="",$AM1343,'TMP Paste'!$N1344))</f>
        <v/>
      </c>
      <c r="AN1344">
        <f>IF('TMP Paste'!$F1344="","",IF('TMP Paste'!$O1344="",$AN1343,'TMP Paste'!$O1344))</f>
        <v/>
      </c>
      <c r="AO1344">
        <f>IF('TMP Paste'!$F1344="","",IF('TMP Paste'!$P1344="",$AO1343,'TMP Paste'!$P1344))</f>
        <v/>
      </c>
      <c r="AP1344">
        <f>IF($AG1344="","",LEN($R1344))</f>
        <v/>
      </c>
      <c r="AQ1344">
        <f>IF($AG1344="","",TRIM(IF(COUNTIFS(Calc!$B$2:$B$1601,ROW()-1,Calc!$C$2:$C$1601,"&lt;1")&gt;0,"Ada PO tanpa Koli - cek TMP. ","")&amp;IF(LEN($R1344)&gt;500,"R &gt; 500 karakter.","")))</f>
        <v/>
      </c>
    </row>
    <row r="1345">
      <c r="A1345">
        <f>IF($AG1345="","",INDEX('TMP Paste'!$B$2:$B$1601,$AG1345))</f>
        <v/>
      </c>
      <c r="B1345">
        <f>IF($AG1345="","",Config!$B$14)</f>
        <v/>
      </c>
      <c r="C1345">
        <f>IF($AG1345="","",Config!$B$15)</f>
        <v/>
      </c>
      <c r="D1345">
        <f>IF($AG1345="","",INDEX('TMP Paste'!$B$2:$B$1601,$AG1345))</f>
        <v/>
      </c>
      <c r="E1345">
        <f>IF($AG1345="","",Config!$B$27)</f>
        <v/>
      </c>
      <c r="F1345">
        <f>IF($AG1345="","",Config!$B$9)</f>
        <v/>
      </c>
      <c r="G1345">
        <f>IF($AG1345="","",Config!$B$10)</f>
        <v/>
      </c>
      <c r="H1345">
        <f>IF($AG1345="","",Config!$B$11)</f>
        <v/>
      </c>
      <c r="I1345">
        <f>IF($AG1345="","",Config!$B$16)</f>
        <v/>
      </c>
      <c r="J1345">
        <f>IF($AG1345="","",INDEX('TMP Paste'!$A$2:$A$1601,$AG1345))</f>
        <v/>
      </c>
      <c r="K1345">
        <f>IF($AG1345="","",INDEX('TMP Paste'!$L$2:$L$1601,$AG1345))</f>
        <v/>
      </c>
      <c r="L1345">
        <f>IF($AG1345="","",INDEX('TMP Paste'!$I$2:$I$1601,$AG1345))</f>
        <v/>
      </c>
      <c r="M1345">
        <f>IF($AG1345="","",Config!$B$16)</f>
        <v/>
      </c>
      <c r="N1345">
        <f>IF($AG1345="","","")</f>
        <v/>
      </c>
      <c r="O1345">
        <f>IF($AG1345="","",INDEX('TMP Paste'!$K$2:$K$1601,$AG1345))</f>
        <v/>
      </c>
      <c r="P1345">
        <f>IF($AG1345="","","")</f>
        <v/>
      </c>
      <c r="Q1345">
        <f>IF($AG1345="","",INDEX('TMP Paste'!$J$2:$J$1601,$AG1345))</f>
        <v/>
      </c>
      <c r="R1345">
        <f>IF($AG1345="","",Config!$B$24)</f>
        <v/>
      </c>
      <c r="S1345">
        <f>IF($AG1345="","",TEXT(Config!$B$4,"yyyy-mm-dd"))</f>
        <v/>
      </c>
      <c r="T1345">
        <f>IF($AG1345="","",Config!$B$17)</f>
        <v/>
      </c>
      <c r="U1345">
        <f>IF($AG1345="","",Config!$B$18)</f>
        <v/>
      </c>
      <c r="V1345">
        <f>IF($AG1345="","",Config!$B$19)</f>
        <v/>
      </c>
      <c r="W1345">
        <f>IF($AG1345="","",INDEX('TMP Paste'!$C$2:$C$1601,$AG1345))</f>
        <v/>
      </c>
      <c r="X1345">
        <f>IF($AG1345="","",Config!$B$29)</f>
        <v/>
      </c>
      <c r="Y1345">
        <f>IF($AH1345="","",INDEX(Calc!$I$2:$I$1601,$AH1345)&amp;" - "&amp;INDEX(Calc!$D$2:$D$1601,$AH1345)&amp;" koli")</f>
        <v/>
      </c>
      <c r="Z1345">
        <f>IF($AG1345="","",Config!$B$21)</f>
        <v/>
      </c>
      <c r="AA1345">
        <f>IF($AG1345="","",Config!$B$22)</f>
        <v/>
      </c>
      <c r="AB1345">
        <f>IF($AH1345="","",INDEX(Calc!$D$2:$D$1601,$AH1345))</f>
        <v/>
      </c>
      <c r="AC1345">
        <f>IF($AH1345="","",INDEX(Calc!$G$2:$G$1601,$AH1345))</f>
        <v/>
      </c>
      <c r="AD1345">
        <f>IF($AG1345="","",Config!$B$23)</f>
        <v/>
      </c>
      <c r="AE1345">
        <f>IF($AG1345="","",Config!$B$28)</f>
        <v/>
      </c>
      <c r="AG1345">
        <f>IFERROR(MATCH(ROW()-1,Calc!$J$2:$J$1601,0),"")</f>
        <v/>
      </c>
      <c r="AH1345">
        <f>IFERROR(MATCH(ROW()-1,Calc!$K$2:$K$1601,0),"")</f>
        <v/>
      </c>
      <c r="AI1345">
        <f>IF($AG1345="","",SUMIF($AG$2:$AG1345,$AG1345,$AH$2:$AH1345))</f>
        <v/>
      </c>
      <c r="AJ1345">
        <f>IF('TMP Paste'!$F1345="","",IF('TMP Paste'!$B1345="",$AJ1344,'TMP Paste'!$B1345))</f>
        <v/>
      </c>
      <c r="AK1345">
        <f>IF('TMP Paste'!$F1345="","",N('TMP Paste'!$G1345))</f>
        <v/>
      </c>
      <c r="AL1345">
        <f>IF('TMP Paste'!$F1345="","",IF('TMP Paste'!$M1345="",$AL1344,'TMP Paste'!$M1345))</f>
        <v/>
      </c>
      <c r="AM1345">
        <f>IF('TMP Paste'!$F1345="","",IF('TMP Paste'!$N1345="",$AM1344,'TMP Paste'!$N1345))</f>
        <v/>
      </c>
      <c r="AN1345">
        <f>IF('TMP Paste'!$F1345="","",IF('TMP Paste'!$O1345="",$AN1344,'TMP Paste'!$O1345))</f>
        <v/>
      </c>
      <c r="AO1345">
        <f>IF('TMP Paste'!$F1345="","",IF('TMP Paste'!$P1345="",$AO1344,'TMP Paste'!$P1345))</f>
        <v/>
      </c>
      <c r="AP1345">
        <f>IF($AG1345="","",LEN($R1345))</f>
        <v/>
      </c>
      <c r="AQ1345">
        <f>IF($AG1345="","",TRIM(IF(COUNTIFS(Calc!$B$2:$B$1601,ROW()-1,Calc!$C$2:$C$1601,"&lt;1")&gt;0,"Ada PO tanpa Koli - cek TMP. ","")&amp;IF(LEN($R1345)&gt;500,"R &gt; 500 karakter.","")))</f>
        <v/>
      </c>
    </row>
    <row r="1346">
      <c r="A1346">
        <f>IF($AG1346="","",INDEX('TMP Paste'!$B$2:$B$1601,$AG1346))</f>
        <v/>
      </c>
      <c r="B1346">
        <f>IF($AG1346="","",Config!$B$14)</f>
        <v/>
      </c>
      <c r="C1346">
        <f>IF($AG1346="","",Config!$B$15)</f>
        <v/>
      </c>
      <c r="D1346">
        <f>IF($AG1346="","",INDEX('TMP Paste'!$B$2:$B$1601,$AG1346))</f>
        <v/>
      </c>
      <c r="E1346">
        <f>IF($AG1346="","",Config!$B$27)</f>
        <v/>
      </c>
      <c r="F1346">
        <f>IF($AG1346="","",Config!$B$9)</f>
        <v/>
      </c>
      <c r="G1346">
        <f>IF($AG1346="","",Config!$B$10)</f>
        <v/>
      </c>
      <c r="H1346">
        <f>IF($AG1346="","",Config!$B$11)</f>
        <v/>
      </c>
      <c r="I1346">
        <f>IF($AG1346="","",Config!$B$16)</f>
        <v/>
      </c>
      <c r="J1346">
        <f>IF($AG1346="","",INDEX('TMP Paste'!$A$2:$A$1601,$AG1346))</f>
        <v/>
      </c>
      <c r="K1346">
        <f>IF($AG1346="","",INDEX('TMP Paste'!$L$2:$L$1601,$AG1346))</f>
        <v/>
      </c>
      <c r="L1346">
        <f>IF($AG1346="","",INDEX('TMP Paste'!$I$2:$I$1601,$AG1346))</f>
        <v/>
      </c>
      <c r="M1346">
        <f>IF($AG1346="","",Config!$B$16)</f>
        <v/>
      </c>
      <c r="N1346">
        <f>IF($AG1346="","","")</f>
        <v/>
      </c>
      <c r="O1346">
        <f>IF($AG1346="","",INDEX('TMP Paste'!$K$2:$K$1601,$AG1346))</f>
        <v/>
      </c>
      <c r="P1346">
        <f>IF($AG1346="","","")</f>
        <v/>
      </c>
      <c r="Q1346">
        <f>IF($AG1346="","",INDEX('TMP Paste'!$J$2:$J$1601,$AG1346))</f>
        <v/>
      </c>
      <c r="R1346">
        <f>IF($AG1346="","",Config!$B$24)</f>
        <v/>
      </c>
      <c r="S1346">
        <f>IF($AG1346="","",TEXT(Config!$B$4,"yyyy-mm-dd"))</f>
        <v/>
      </c>
      <c r="T1346">
        <f>IF($AG1346="","",Config!$B$17)</f>
        <v/>
      </c>
      <c r="U1346">
        <f>IF($AG1346="","",Config!$B$18)</f>
        <v/>
      </c>
      <c r="V1346">
        <f>IF($AG1346="","",Config!$B$19)</f>
        <v/>
      </c>
      <c r="W1346">
        <f>IF($AG1346="","",INDEX('TMP Paste'!$C$2:$C$1601,$AG1346))</f>
        <v/>
      </c>
      <c r="X1346">
        <f>IF($AG1346="","",Config!$B$29)</f>
        <v/>
      </c>
      <c r="Y1346">
        <f>IF($AH1346="","",INDEX(Calc!$I$2:$I$1601,$AH1346)&amp;" - "&amp;INDEX(Calc!$D$2:$D$1601,$AH1346)&amp;" koli")</f>
        <v/>
      </c>
      <c r="Z1346">
        <f>IF($AG1346="","",Config!$B$21)</f>
        <v/>
      </c>
      <c r="AA1346">
        <f>IF($AG1346="","",Config!$B$22)</f>
        <v/>
      </c>
      <c r="AB1346">
        <f>IF($AH1346="","",INDEX(Calc!$D$2:$D$1601,$AH1346))</f>
        <v/>
      </c>
      <c r="AC1346">
        <f>IF($AH1346="","",INDEX(Calc!$G$2:$G$1601,$AH1346))</f>
        <v/>
      </c>
      <c r="AD1346">
        <f>IF($AG1346="","",Config!$B$23)</f>
        <v/>
      </c>
      <c r="AE1346">
        <f>IF($AG1346="","",Config!$B$28)</f>
        <v/>
      </c>
      <c r="AG1346">
        <f>IFERROR(MATCH(ROW()-1,Calc!$J$2:$J$1601,0),"")</f>
        <v/>
      </c>
      <c r="AH1346">
        <f>IFERROR(MATCH(ROW()-1,Calc!$K$2:$K$1601,0),"")</f>
        <v/>
      </c>
      <c r="AI1346">
        <f>IF($AG1346="","",SUMIF($AG$2:$AG1346,$AG1346,$AH$2:$AH1346))</f>
        <v/>
      </c>
      <c r="AJ1346">
        <f>IF('TMP Paste'!$F1346="","",IF('TMP Paste'!$B1346="",$AJ1345,'TMP Paste'!$B1346))</f>
        <v/>
      </c>
      <c r="AK1346">
        <f>IF('TMP Paste'!$F1346="","",N('TMP Paste'!$G1346))</f>
        <v/>
      </c>
      <c r="AL1346">
        <f>IF('TMP Paste'!$F1346="","",IF('TMP Paste'!$M1346="",$AL1345,'TMP Paste'!$M1346))</f>
        <v/>
      </c>
      <c r="AM1346">
        <f>IF('TMP Paste'!$F1346="","",IF('TMP Paste'!$N1346="",$AM1345,'TMP Paste'!$N1346))</f>
        <v/>
      </c>
      <c r="AN1346">
        <f>IF('TMP Paste'!$F1346="","",IF('TMP Paste'!$O1346="",$AN1345,'TMP Paste'!$O1346))</f>
        <v/>
      </c>
      <c r="AO1346">
        <f>IF('TMP Paste'!$F1346="","",IF('TMP Paste'!$P1346="",$AO1345,'TMP Paste'!$P1346))</f>
        <v/>
      </c>
      <c r="AP1346">
        <f>IF($AG1346="","",LEN($R1346))</f>
        <v/>
      </c>
      <c r="AQ1346">
        <f>IF($AG1346="","",TRIM(IF(COUNTIFS(Calc!$B$2:$B$1601,ROW()-1,Calc!$C$2:$C$1601,"&lt;1")&gt;0,"Ada PO tanpa Koli - cek TMP. ","")&amp;IF(LEN($R1346)&gt;500,"R &gt; 500 karakter.","")))</f>
        <v/>
      </c>
    </row>
    <row r="1347">
      <c r="A1347">
        <f>IF($AG1347="","",INDEX('TMP Paste'!$B$2:$B$1601,$AG1347))</f>
        <v/>
      </c>
      <c r="B1347">
        <f>IF($AG1347="","",Config!$B$14)</f>
        <v/>
      </c>
      <c r="C1347">
        <f>IF($AG1347="","",Config!$B$15)</f>
        <v/>
      </c>
      <c r="D1347">
        <f>IF($AG1347="","",INDEX('TMP Paste'!$B$2:$B$1601,$AG1347))</f>
        <v/>
      </c>
      <c r="E1347">
        <f>IF($AG1347="","",Config!$B$27)</f>
        <v/>
      </c>
      <c r="F1347">
        <f>IF($AG1347="","",Config!$B$9)</f>
        <v/>
      </c>
      <c r="G1347">
        <f>IF($AG1347="","",Config!$B$10)</f>
        <v/>
      </c>
      <c r="H1347">
        <f>IF($AG1347="","",Config!$B$11)</f>
        <v/>
      </c>
      <c r="I1347">
        <f>IF($AG1347="","",Config!$B$16)</f>
        <v/>
      </c>
      <c r="J1347">
        <f>IF($AG1347="","",INDEX('TMP Paste'!$A$2:$A$1601,$AG1347))</f>
        <v/>
      </c>
      <c r="K1347">
        <f>IF($AG1347="","",INDEX('TMP Paste'!$L$2:$L$1601,$AG1347))</f>
        <v/>
      </c>
      <c r="L1347">
        <f>IF($AG1347="","",INDEX('TMP Paste'!$I$2:$I$1601,$AG1347))</f>
        <v/>
      </c>
      <c r="M1347">
        <f>IF($AG1347="","",Config!$B$16)</f>
        <v/>
      </c>
      <c r="N1347">
        <f>IF($AG1347="","","")</f>
        <v/>
      </c>
      <c r="O1347">
        <f>IF($AG1347="","",INDEX('TMP Paste'!$K$2:$K$1601,$AG1347))</f>
        <v/>
      </c>
      <c r="P1347">
        <f>IF($AG1347="","","")</f>
        <v/>
      </c>
      <c r="Q1347">
        <f>IF($AG1347="","",INDEX('TMP Paste'!$J$2:$J$1601,$AG1347))</f>
        <v/>
      </c>
      <c r="R1347">
        <f>IF($AG1347="","",Config!$B$24)</f>
        <v/>
      </c>
      <c r="S1347">
        <f>IF($AG1347="","",TEXT(Config!$B$4,"yyyy-mm-dd"))</f>
        <v/>
      </c>
      <c r="T1347">
        <f>IF($AG1347="","",Config!$B$17)</f>
        <v/>
      </c>
      <c r="U1347">
        <f>IF($AG1347="","",Config!$B$18)</f>
        <v/>
      </c>
      <c r="V1347">
        <f>IF($AG1347="","",Config!$B$19)</f>
        <v/>
      </c>
      <c r="W1347">
        <f>IF($AG1347="","",INDEX('TMP Paste'!$C$2:$C$1601,$AG1347))</f>
        <v/>
      </c>
      <c r="X1347">
        <f>IF($AG1347="","",Config!$B$29)</f>
        <v/>
      </c>
      <c r="Y1347">
        <f>IF($AH1347="","",INDEX(Calc!$I$2:$I$1601,$AH1347)&amp;" - "&amp;INDEX(Calc!$D$2:$D$1601,$AH1347)&amp;" koli")</f>
        <v/>
      </c>
      <c r="Z1347">
        <f>IF($AG1347="","",Config!$B$21)</f>
        <v/>
      </c>
      <c r="AA1347">
        <f>IF($AG1347="","",Config!$B$22)</f>
        <v/>
      </c>
      <c r="AB1347">
        <f>IF($AH1347="","",INDEX(Calc!$D$2:$D$1601,$AH1347))</f>
        <v/>
      </c>
      <c r="AC1347">
        <f>IF($AH1347="","",INDEX(Calc!$G$2:$G$1601,$AH1347))</f>
        <v/>
      </c>
      <c r="AD1347">
        <f>IF($AG1347="","",Config!$B$23)</f>
        <v/>
      </c>
      <c r="AE1347">
        <f>IF($AG1347="","",Config!$B$28)</f>
        <v/>
      </c>
      <c r="AG1347">
        <f>IFERROR(MATCH(ROW()-1,Calc!$J$2:$J$1601,0),"")</f>
        <v/>
      </c>
      <c r="AH1347">
        <f>IFERROR(MATCH(ROW()-1,Calc!$K$2:$K$1601,0),"")</f>
        <v/>
      </c>
      <c r="AI1347">
        <f>IF($AG1347="","",SUMIF($AG$2:$AG1347,$AG1347,$AH$2:$AH1347))</f>
        <v/>
      </c>
      <c r="AJ1347">
        <f>IF('TMP Paste'!$F1347="","",IF('TMP Paste'!$B1347="",$AJ1346,'TMP Paste'!$B1347))</f>
        <v/>
      </c>
      <c r="AK1347">
        <f>IF('TMP Paste'!$F1347="","",N('TMP Paste'!$G1347))</f>
        <v/>
      </c>
      <c r="AL1347">
        <f>IF('TMP Paste'!$F1347="","",IF('TMP Paste'!$M1347="",$AL1346,'TMP Paste'!$M1347))</f>
        <v/>
      </c>
      <c r="AM1347">
        <f>IF('TMP Paste'!$F1347="","",IF('TMP Paste'!$N1347="",$AM1346,'TMP Paste'!$N1347))</f>
        <v/>
      </c>
      <c r="AN1347">
        <f>IF('TMP Paste'!$F1347="","",IF('TMP Paste'!$O1347="",$AN1346,'TMP Paste'!$O1347))</f>
        <v/>
      </c>
      <c r="AO1347">
        <f>IF('TMP Paste'!$F1347="","",IF('TMP Paste'!$P1347="",$AO1346,'TMP Paste'!$P1347))</f>
        <v/>
      </c>
      <c r="AP1347">
        <f>IF($AG1347="","",LEN($R1347))</f>
        <v/>
      </c>
      <c r="AQ1347">
        <f>IF($AG1347="","",TRIM(IF(COUNTIFS(Calc!$B$2:$B$1601,ROW()-1,Calc!$C$2:$C$1601,"&lt;1")&gt;0,"Ada PO tanpa Koli - cek TMP. ","")&amp;IF(LEN($R1347)&gt;500,"R &gt; 500 karakter.","")))</f>
        <v/>
      </c>
    </row>
    <row r="1348">
      <c r="A1348">
        <f>IF($AG1348="","",INDEX('TMP Paste'!$B$2:$B$1601,$AG1348))</f>
        <v/>
      </c>
      <c r="B1348">
        <f>IF($AG1348="","",Config!$B$14)</f>
        <v/>
      </c>
      <c r="C1348">
        <f>IF($AG1348="","",Config!$B$15)</f>
        <v/>
      </c>
      <c r="D1348">
        <f>IF($AG1348="","",INDEX('TMP Paste'!$B$2:$B$1601,$AG1348))</f>
        <v/>
      </c>
      <c r="E1348">
        <f>IF($AG1348="","",Config!$B$27)</f>
        <v/>
      </c>
      <c r="F1348">
        <f>IF($AG1348="","",Config!$B$9)</f>
        <v/>
      </c>
      <c r="G1348">
        <f>IF($AG1348="","",Config!$B$10)</f>
        <v/>
      </c>
      <c r="H1348">
        <f>IF($AG1348="","",Config!$B$11)</f>
        <v/>
      </c>
      <c r="I1348">
        <f>IF($AG1348="","",Config!$B$16)</f>
        <v/>
      </c>
      <c r="J1348">
        <f>IF($AG1348="","",INDEX('TMP Paste'!$A$2:$A$1601,$AG1348))</f>
        <v/>
      </c>
      <c r="K1348">
        <f>IF($AG1348="","",INDEX('TMP Paste'!$L$2:$L$1601,$AG1348))</f>
        <v/>
      </c>
      <c r="L1348">
        <f>IF($AG1348="","",INDEX('TMP Paste'!$I$2:$I$1601,$AG1348))</f>
        <v/>
      </c>
      <c r="M1348">
        <f>IF($AG1348="","",Config!$B$16)</f>
        <v/>
      </c>
      <c r="N1348">
        <f>IF($AG1348="","","")</f>
        <v/>
      </c>
      <c r="O1348">
        <f>IF($AG1348="","",INDEX('TMP Paste'!$K$2:$K$1601,$AG1348))</f>
        <v/>
      </c>
      <c r="P1348">
        <f>IF($AG1348="","","")</f>
        <v/>
      </c>
      <c r="Q1348">
        <f>IF($AG1348="","",INDEX('TMP Paste'!$J$2:$J$1601,$AG1348))</f>
        <v/>
      </c>
      <c r="R1348">
        <f>IF($AG1348="","",Config!$B$24)</f>
        <v/>
      </c>
      <c r="S1348">
        <f>IF($AG1348="","",TEXT(Config!$B$4,"yyyy-mm-dd"))</f>
        <v/>
      </c>
      <c r="T1348">
        <f>IF($AG1348="","",Config!$B$17)</f>
        <v/>
      </c>
      <c r="U1348">
        <f>IF($AG1348="","",Config!$B$18)</f>
        <v/>
      </c>
      <c r="V1348">
        <f>IF($AG1348="","",Config!$B$19)</f>
        <v/>
      </c>
      <c r="W1348">
        <f>IF($AG1348="","",INDEX('TMP Paste'!$C$2:$C$1601,$AG1348))</f>
        <v/>
      </c>
      <c r="X1348">
        <f>IF($AG1348="","",Config!$B$29)</f>
        <v/>
      </c>
      <c r="Y1348">
        <f>IF($AH1348="","",INDEX(Calc!$I$2:$I$1601,$AH1348)&amp;" - "&amp;INDEX(Calc!$D$2:$D$1601,$AH1348)&amp;" koli")</f>
        <v/>
      </c>
      <c r="Z1348">
        <f>IF($AG1348="","",Config!$B$21)</f>
        <v/>
      </c>
      <c r="AA1348">
        <f>IF($AG1348="","",Config!$B$22)</f>
        <v/>
      </c>
      <c r="AB1348">
        <f>IF($AH1348="","",INDEX(Calc!$D$2:$D$1601,$AH1348))</f>
        <v/>
      </c>
      <c r="AC1348">
        <f>IF($AH1348="","",INDEX(Calc!$G$2:$G$1601,$AH1348))</f>
        <v/>
      </c>
      <c r="AD1348">
        <f>IF($AG1348="","",Config!$B$23)</f>
        <v/>
      </c>
      <c r="AE1348">
        <f>IF($AG1348="","",Config!$B$28)</f>
        <v/>
      </c>
      <c r="AG1348">
        <f>IFERROR(MATCH(ROW()-1,Calc!$J$2:$J$1601,0),"")</f>
        <v/>
      </c>
      <c r="AH1348">
        <f>IFERROR(MATCH(ROW()-1,Calc!$K$2:$K$1601,0),"")</f>
        <v/>
      </c>
      <c r="AI1348">
        <f>IF($AG1348="","",SUMIF($AG$2:$AG1348,$AG1348,$AH$2:$AH1348))</f>
        <v/>
      </c>
      <c r="AJ1348">
        <f>IF('TMP Paste'!$F1348="","",IF('TMP Paste'!$B1348="",$AJ1347,'TMP Paste'!$B1348))</f>
        <v/>
      </c>
      <c r="AK1348">
        <f>IF('TMP Paste'!$F1348="","",N('TMP Paste'!$G1348))</f>
        <v/>
      </c>
      <c r="AL1348">
        <f>IF('TMP Paste'!$F1348="","",IF('TMP Paste'!$M1348="",$AL1347,'TMP Paste'!$M1348))</f>
        <v/>
      </c>
      <c r="AM1348">
        <f>IF('TMP Paste'!$F1348="","",IF('TMP Paste'!$N1348="",$AM1347,'TMP Paste'!$N1348))</f>
        <v/>
      </c>
      <c r="AN1348">
        <f>IF('TMP Paste'!$F1348="","",IF('TMP Paste'!$O1348="",$AN1347,'TMP Paste'!$O1348))</f>
        <v/>
      </c>
      <c r="AO1348">
        <f>IF('TMP Paste'!$F1348="","",IF('TMP Paste'!$P1348="",$AO1347,'TMP Paste'!$P1348))</f>
        <v/>
      </c>
      <c r="AP1348">
        <f>IF($AG1348="","",LEN($R1348))</f>
        <v/>
      </c>
      <c r="AQ1348">
        <f>IF($AG1348="","",TRIM(IF(COUNTIFS(Calc!$B$2:$B$1601,ROW()-1,Calc!$C$2:$C$1601,"&lt;1")&gt;0,"Ada PO tanpa Koli - cek TMP. ","")&amp;IF(LEN($R1348)&gt;500,"R &gt; 500 karakter.","")))</f>
        <v/>
      </c>
    </row>
    <row r="1349">
      <c r="A1349">
        <f>IF($AG1349="","",INDEX('TMP Paste'!$B$2:$B$1601,$AG1349))</f>
        <v/>
      </c>
      <c r="B1349">
        <f>IF($AG1349="","",Config!$B$14)</f>
        <v/>
      </c>
      <c r="C1349">
        <f>IF($AG1349="","",Config!$B$15)</f>
        <v/>
      </c>
      <c r="D1349">
        <f>IF($AG1349="","",INDEX('TMP Paste'!$B$2:$B$1601,$AG1349))</f>
        <v/>
      </c>
      <c r="E1349">
        <f>IF($AG1349="","",Config!$B$27)</f>
        <v/>
      </c>
      <c r="F1349">
        <f>IF($AG1349="","",Config!$B$9)</f>
        <v/>
      </c>
      <c r="G1349">
        <f>IF($AG1349="","",Config!$B$10)</f>
        <v/>
      </c>
      <c r="H1349">
        <f>IF($AG1349="","",Config!$B$11)</f>
        <v/>
      </c>
      <c r="I1349">
        <f>IF($AG1349="","",Config!$B$16)</f>
        <v/>
      </c>
      <c r="J1349">
        <f>IF($AG1349="","",INDEX('TMP Paste'!$A$2:$A$1601,$AG1349))</f>
        <v/>
      </c>
      <c r="K1349">
        <f>IF($AG1349="","",INDEX('TMP Paste'!$L$2:$L$1601,$AG1349))</f>
        <v/>
      </c>
      <c r="L1349">
        <f>IF($AG1349="","",INDEX('TMP Paste'!$I$2:$I$1601,$AG1349))</f>
        <v/>
      </c>
      <c r="M1349">
        <f>IF($AG1349="","",Config!$B$16)</f>
        <v/>
      </c>
      <c r="N1349">
        <f>IF($AG1349="","","")</f>
        <v/>
      </c>
      <c r="O1349">
        <f>IF($AG1349="","",INDEX('TMP Paste'!$K$2:$K$1601,$AG1349))</f>
        <v/>
      </c>
      <c r="P1349">
        <f>IF($AG1349="","","")</f>
        <v/>
      </c>
      <c r="Q1349">
        <f>IF($AG1349="","",INDEX('TMP Paste'!$J$2:$J$1601,$AG1349))</f>
        <v/>
      </c>
      <c r="R1349">
        <f>IF($AG1349="","",Config!$B$24)</f>
        <v/>
      </c>
      <c r="S1349">
        <f>IF($AG1349="","",TEXT(Config!$B$4,"yyyy-mm-dd"))</f>
        <v/>
      </c>
      <c r="T1349">
        <f>IF($AG1349="","",Config!$B$17)</f>
        <v/>
      </c>
      <c r="U1349">
        <f>IF($AG1349="","",Config!$B$18)</f>
        <v/>
      </c>
      <c r="V1349">
        <f>IF($AG1349="","",Config!$B$19)</f>
        <v/>
      </c>
      <c r="W1349">
        <f>IF($AG1349="","",INDEX('TMP Paste'!$C$2:$C$1601,$AG1349))</f>
        <v/>
      </c>
      <c r="X1349">
        <f>IF($AG1349="","",Config!$B$29)</f>
        <v/>
      </c>
      <c r="Y1349">
        <f>IF($AH1349="","",INDEX(Calc!$I$2:$I$1601,$AH1349)&amp;" - "&amp;INDEX(Calc!$D$2:$D$1601,$AH1349)&amp;" koli")</f>
        <v/>
      </c>
      <c r="Z1349">
        <f>IF($AG1349="","",Config!$B$21)</f>
        <v/>
      </c>
      <c r="AA1349">
        <f>IF($AG1349="","",Config!$B$22)</f>
        <v/>
      </c>
      <c r="AB1349">
        <f>IF($AH1349="","",INDEX(Calc!$D$2:$D$1601,$AH1349))</f>
        <v/>
      </c>
      <c r="AC1349">
        <f>IF($AH1349="","",INDEX(Calc!$G$2:$G$1601,$AH1349))</f>
        <v/>
      </c>
      <c r="AD1349">
        <f>IF($AG1349="","",Config!$B$23)</f>
        <v/>
      </c>
      <c r="AE1349">
        <f>IF($AG1349="","",Config!$B$28)</f>
        <v/>
      </c>
      <c r="AG1349">
        <f>IFERROR(MATCH(ROW()-1,Calc!$J$2:$J$1601,0),"")</f>
        <v/>
      </c>
      <c r="AH1349">
        <f>IFERROR(MATCH(ROW()-1,Calc!$K$2:$K$1601,0),"")</f>
        <v/>
      </c>
      <c r="AI1349">
        <f>IF($AG1349="","",SUMIF($AG$2:$AG1349,$AG1349,$AH$2:$AH1349))</f>
        <v/>
      </c>
      <c r="AJ1349">
        <f>IF('TMP Paste'!$F1349="","",IF('TMP Paste'!$B1349="",$AJ1348,'TMP Paste'!$B1349))</f>
        <v/>
      </c>
      <c r="AK1349">
        <f>IF('TMP Paste'!$F1349="","",N('TMP Paste'!$G1349))</f>
        <v/>
      </c>
      <c r="AL1349">
        <f>IF('TMP Paste'!$F1349="","",IF('TMP Paste'!$M1349="",$AL1348,'TMP Paste'!$M1349))</f>
        <v/>
      </c>
      <c r="AM1349">
        <f>IF('TMP Paste'!$F1349="","",IF('TMP Paste'!$N1349="",$AM1348,'TMP Paste'!$N1349))</f>
        <v/>
      </c>
      <c r="AN1349">
        <f>IF('TMP Paste'!$F1349="","",IF('TMP Paste'!$O1349="",$AN1348,'TMP Paste'!$O1349))</f>
        <v/>
      </c>
      <c r="AO1349">
        <f>IF('TMP Paste'!$F1349="","",IF('TMP Paste'!$P1349="",$AO1348,'TMP Paste'!$P1349))</f>
        <v/>
      </c>
      <c r="AP1349">
        <f>IF($AG1349="","",LEN($R1349))</f>
        <v/>
      </c>
      <c r="AQ1349">
        <f>IF($AG1349="","",TRIM(IF(COUNTIFS(Calc!$B$2:$B$1601,ROW()-1,Calc!$C$2:$C$1601,"&lt;1")&gt;0,"Ada PO tanpa Koli - cek TMP. ","")&amp;IF(LEN($R1349)&gt;500,"R &gt; 500 karakter.","")))</f>
        <v/>
      </c>
    </row>
    <row r="1350">
      <c r="A1350">
        <f>IF($AG1350="","",INDEX('TMP Paste'!$B$2:$B$1601,$AG1350))</f>
        <v/>
      </c>
      <c r="B1350">
        <f>IF($AG1350="","",Config!$B$14)</f>
        <v/>
      </c>
      <c r="C1350">
        <f>IF($AG1350="","",Config!$B$15)</f>
        <v/>
      </c>
      <c r="D1350">
        <f>IF($AG1350="","",INDEX('TMP Paste'!$B$2:$B$1601,$AG1350))</f>
        <v/>
      </c>
      <c r="E1350">
        <f>IF($AG1350="","",Config!$B$27)</f>
        <v/>
      </c>
      <c r="F1350">
        <f>IF($AG1350="","",Config!$B$9)</f>
        <v/>
      </c>
      <c r="G1350">
        <f>IF($AG1350="","",Config!$B$10)</f>
        <v/>
      </c>
      <c r="H1350">
        <f>IF($AG1350="","",Config!$B$11)</f>
        <v/>
      </c>
      <c r="I1350">
        <f>IF($AG1350="","",Config!$B$16)</f>
        <v/>
      </c>
      <c r="J1350">
        <f>IF($AG1350="","",INDEX('TMP Paste'!$A$2:$A$1601,$AG1350))</f>
        <v/>
      </c>
      <c r="K1350">
        <f>IF($AG1350="","",INDEX('TMP Paste'!$L$2:$L$1601,$AG1350))</f>
        <v/>
      </c>
      <c r="L1350">
        <f>IF($AG1350="","",INDEX('TMP Paste'!$I$2:$I$1601,$AG1350))</f>
        <v/>
      </c>
      <c r="M1350">
        <f>IF($AG1350="","",Config!$B$16)</f>
        <v/>
      </c>
      <c r="N1350">
        <f>IF($AG1350="","","")</f>
        <v/>
      </c>
      <c r="O1350">
        <f>IF($AG1350="","",INDEX('TMP Paste'!$K$2:$K$1601,$AG1350))</f>
        <v/>
      </c>
      <c r="P1350">
        <f>IF($AG1350="","","")</f>
        <v/>
      </c>
      <c r="Q1350">
        <f>IF($AG1350="","",INDEX('TMP Paste'!$J$2:$J$1601,$AG1350))</f>
        <v/>
      </c>
      <c r="R1350">
        <f>IF($AG1350="","",Config!$B$24)</f>
        <v/>
      </c>
      <c r="S1350">
        <f>IF($AG1350="","",TEXT(Config!$B$4,"yyyy-mm-dd"))</f>
        <v/>
      </c>
      <c r="T1350">
        <f>IF($AG1350="","",Config!$B$17)</f>
        <v/>
      </c>
      <c r="U1350">
        <f>IF($AG1350="","",Config!$B$18)</f>
        <v/>
      </c>
      <c r="V1350">
        <f>IF($AG1350="","",Config!$B$19)</f>
        <v/>
      </c>
      <c r="W1350">
        <f>IF($AG1350="","",INDEX('TMP Paste'!$C$2:$C$1601,$AG1350))</f>
        <v/>
      </c>
      <c r="X1350">
        <f>IF($AG1350="","",Config!$B$29)</f>
        <v/>
      </c>
      <c r="Y1350">
        <f>IF($AH1350="","",INDEX(Calc!$I$2:$I$1601,$AH1350)&amp;" - "&amp;INDEX(Calc!$D$2:$D$1601,$AH1350)&amp;" koli")</f>
        <v/>
      </c>
      <c r="Z1350">
        <f>IF($AG1350="","",Config!$B$21)</f>
        <v/>
      </c>
      <c r="AA1350">
        <f>IF($AG1350="","",Config!$B$22)</f>
        <v/>
      </c>
      <c r="AB1350">
        <f>IF($AH1350="","",INDEX(Calc!$D$2:$D$1601,$AH1350))</f>
        <v/>
      </c>
      <c r="AC1350">
        <f>IF($AH1350="","",INDEX(Calc!$G$2:$G$1601,$AH1350))</f>
        <v/>
      </c>
      <c r="AD1350">
        <f>IF($AG1350="","",Config!$B$23)</f>
        <v/>
      </c>
      <c r="AE1350">
        <f>IF($AG1350="","",Config!$B$28)</f>
        <v/>
      </c>
      <c r="AG1350">
        <f>IFERROR(MATCH(ROW()-1,Calc!$J$2:$J$1601,0),"")</f>
        <v/>
      </c>
      <c r="AH1350">
        <f>IFERROR(MATCH(ROW()-1,Calc!$K$2:$K$1601,0),"")</f>
        <v/>
      </c>
      <c r="AI1350">
        <f>IF($AG1350="","",SUMIF($AG$2:$AG1350,$AG1350,$AH$2:$AH1350))</f>
        <v/>
      </c>
      <c r="AJ1350">
        <f>IF('TMP Paste'!$F1350="","",IF('TMP Paste'!$B1350="",$AJ1349,'TMP Paste'!$B1350))</f>
        <v/>
      </c>
      <c r="AK1350">
        <f>IF('TMP Paste'!$F1350="","",N('TMP Paste'!$G1350))</f>
        <v/>
      </c>
      <c r="AL1350">
        <f>IF('TMP Paste'!$F1350="","",IF('TMP Paste'!$M1350="",$AL1349,'TMP Paste'!$M1350))</f>
        <v/>
      </c>
      <c r="AM1350">
        <f>IF('TMP Paste'!$F1350="","",IF('TMP Paste'!$N1350="",$AM1349,'TMP Paste'!$N1350))</f>
        <v/>
      </c>
      <c r="AN1350">
        <f>IF('TMP Paste'!$F1350="","",IF('TMP Paste'!$O1350="",$AN1349,'TMP Paste'!$O1350))</f>
        <v/>
      </c>
      <c r="AO1350">
        <f>IF('TMP Paste'!$F1350="","",IF('TMP Paste'!$P1350="",$AO1349,'TMP Paste'!$P1350))</f>
        <v/>
      </c>
      <c r="AP1350">
        <f>IF($AG1350="","",LEN($R1350))</f>
        <v/>
      </c>
      <c r="AQ1350">
        <f>IF($AG1350="","",TRIM(IF(COUNTIFS(Calc!$B$2:$B$1601,ROW()-1,Calc!$C$2:$C$1601,"&lt;1")&gt;0,"Ada PO tanpa Koli - cek TMP. ","")&amp;IF(LEN($R1350)&gt;500,"R &gt; 500 karakter.","")))</f>
        <v/>
      </c>
    </row>
    <row r="1351">
      <c r="A1351">
        <f>IF($AG1351="","",INDEX('TMP Paste'!$B$2:$B$1601,$AG1351))</f>
        <v/>
      </c>
      <c r="B1351">
        <f>IF($AG1351="","",Config!$B$14)</f>
        <v/>
      </c>
      <c r="C1351">
        <f>IF($AG1351="","",Config!$B$15)</f>
        <v/>
      </c>
      <c r="D1351">
        <f>IF($AG1351="","",INDEX('TMP Paste'!$B$2:$B$1601,$AG1351))</f>
        <v/>
      </c>
      <c r="E1351">
        <f>IF($AG1351="","",Config!$B$27)</f>
        <v/>
      </c>
      <c r="F1351">
        <f>IF($AG1351="","",Config!$B$9)</f>
        <v/>
      </c>
      <c r="G1351">
        <f>IF($AG1351="","",Config!$B$10)</f>
        <v/>
      </c>
      <c r="H1351">
        <f>IF($AG1351="","",Config!$B$11)</f>
        <v/>
      </c>
      <c r="I1351">
        <f>IF($AG1351="","",Config!$B$16)</f>
        <v/>
      </c>
      <c r="J1351">
        <f>IF($AG1351="","",INDEX('TMP Paste'!$A$2:$A$1601,$AG1351))</f>
        <v/>
      </c>
      <c r="K1351">
        <f>IF($AG1351="","",INDEX('TMP Paste'!$L$2:$L$1601,$AG1351))</f>
        <v/>
      </c>
      <c r="L1351">
        <f>IF($AG1351="","",INDEX('TMP Paste'!$I$2:$I$1601,$AG1351))</f>
        <v/>
      </c>
      <c r="M1351">
        <f>IF($AG1351="","",Config!$B$16)</f>
        <v/>
      </c>
      <c r="N1351">
        <f>IF($AG1351="","","")</f>
        <v/>
      </c>
      <c r="O1351">
        <f>IF($AG1351="","",INDEX('TMP Paste'!$K$2:$K$1601,$AG1351))</f>
        <v/>
      </c>
      <c r="P1351">
        <f>IF($AG1351="","","")</f>
        <v/>
      </c>
      <c r="Q1351">
        <f>IF($AG1351="","",INDEX('TMP Paste'!$J$2:$J$1601,$AG1351))</f>
        <v/>
      </c>
      <c r="R1351">
        <f>IF($AG1351="","",Config!$B$24)</f>
        <v/>
      </c>
      <c r="S1351">
        <f>IF($AG1351="","",TEXT(Config!$B$4,"yyyy-mm-dd"))</f>
        <v/>
      </c>
      <c r="T1351">
        <f>IF($AG1351="","",Config!$B$17)</f>
        <v/>
      </c>
      <c r="U1351">
        <f>IF($AG1351="","",Config!$B$18)</f>
        <v/>
      </c>
      <c r="V1351">
        <f>IF($AG1351="","",Config!$B$19)</f>
        <v/>
      </c>
      <c r="W1351">
        <f>IF($AG1351="","",INDEX('TMP Paste'!$C$2:$C$1601,$AG1351))</f>
        <v/>
      </c>
      <c r="X1351">
        <f>IF($AG1351="","",Config!$B$29)</f>
        <v/>
      </c>
      <c r="Y1351">
        <f>IF($AH1351="","",INDEX(Calc!$I$2:$I$1601,$AH1351)&amp;" - "&amp;INDEX(Calc!$D$2:$D$1601,$AH1351)&amp;" koli")</f>
        <v/>
      </c>
      <c r="Z1351">
        <f>IF($AG1351="","",Config!$B$21)</f>
        <v/>
      </c>
      <c r="AA1351">
        <f>IF($AG1351="","",Config!$B$22)</f>
        <v/>
      </c>
      <c r="AB1351">
        <f>IF($AH1351="","",INDEX(Calc!$D$2:$D$1601,$AH1351))</f>
        <v/>
      </c>
      <c r="AC1351">
        <f>IF($AH1351="","",INDEX(Calc!$G$2:$G$1601,$AH1351))</f>
        <v/>
      </c>
      <c r="AD1351">
        <f>IF($AG1351="","",Config!$B$23)</f>
        <v/>
      </c>
      <c r="AE1351">
        <f>IF($AG1351="","",Config!$B$28)</f>
        <v/>
      </c>
      <c r="AG1351">
        <f>IFERROR(MATCH(ROW()-1,Calc!$J$2:$J$1601,0),"")</f>
        <v/>
      </c>
      <c r="AH1351">
        <f>IFERROR(MATCH(ROW()-1,Calc!$K$2:$K$1601,0),"")</f>
        <v/>
      </c>
      <c r="AI1351">
        <f>IF($AG1351="","",SUMIF($AG$2:$AG1351,$AG1351,$AH$2:$AH1351))</f>
        <v/>
      </c>
      <c r="AJ1351">
        <f>IF('TMP Paste'!$F1351="","",IF('TMP Paste'!$B1351="",$AJ1350,'TMP Paste'!$B1351))</f>
        <v/>
      </c>
      <c r="AK1351">
        <f>IF('TMP Paste'!$F1351="","",N('TMP Paste'!$G1351))</f>
        <v/>
      </c>
      <c r="AL1351">
        <f>IF('TMP Paste'!$F1351="","",IF('TMP Paste'!$M1351="",$AL1350,'TMP Paste'!$M1351))</f>
        <v/>
      </c>
      <c r="AM1351">
        <f>IF('TMP Paste'!$F1351="","",IF('TMP Paste'!$N1351="",$AM1350,'TMP Paste'!$N1351))</f>
        <v/>
      </c>
      <c r="AN1351">
        <f>IF('TMP Paste'!$F1351="","",IF('TMP Paste'!$O1351="",$AN1350,'TMP Paste'!$O1351))</f>
        <v/>
      </c>
      <c r="AO1351">
        <f>IF('TMP Paste'!$F1351="","",IF('TMP Paste'!$P1351="",$AO1350,'TMP Paste'!$P1351))</f>
        <v/>
      </c>
      <c r="AP1351">
        <f>IF($AG1351="","",LEN($R1351))</f>
        <v/>
      </c>
      <c r="AQ1351">
        <f>IF($AG1351="","",TRIM(IF(COUNTIFS(Calc!$B$2:$B$1601,ROW()-1,Calc!$C$2:$C$1601,"&lt;1")&gt;0,"Ada PO tanpa Koli - cek TMP. ","")&amp;IF(LEN($R1351)&gt;500,"R &gt; 500 karakter.","")))</f>
        <v/>
      </c>
    </row>
    <row r="1352">
      <c r="A1352">
        <f>IF($AG1352="","",INDEX('TMP Paste'!$B$2:$B$1601,$AG1352))</f>
        <v/>
      </c>
      <c r="B1352">
        <f>IF($AG1352="","",Config!$B$14)</f>
        <v/>
      </c>
      <c r="C1352">
        <f>IF($AG1352="","",Config!$B$15)</f>
        <v/>
      </c>
      <c r="D1352">
        <f>IF($AG1352="","",INDEX('TMP Paste'!$B$2:$B$1601,$AG1352))</f>
        <v/>
      </c>
      <c r="E1352">
        <f>IF($AG1352="","",Config!$B$27)</f>
        <v/>
      </c>
      <c r="F1352">
        <f>IF($AG1352="","",Config!$B$9)</f>
        <v/>
      </c>
      <c r="G1352">
        <f>IF($AG1352="","",Config!$B$10)</f>
        <v/>
      </c>
      <c r="H1352">
        <f>IF($AG1352="","",Config!$B$11)</f>
        <v/>
      </c>
      <c r="I1352">
        <f>IF($AG1352="","",Config!$B$16)</f>
        <v/>
      </c>
      <c r="J1352">
        <f>IF($AG1352="","",INDEX('TMP Paste'!$A$2:$A$1601,$AG1352))</f>
        <v/>
      </c>
      <c r="K1352">
        <f>IF($AG1352="","",INDEX('TMP Paste'!$L$2:$L$1601,$AG1352))</f>
        <v/>
      </c>
      <c r="L1352">
        <f>IF($AG1352="","",INDEX('TMP Paste'!$I$2:$I$1601,$AG1352))</f>
        <v/>
      </c>
      <c r="M1352">
        <f>IF($AG1352="","",Config!$B$16)</f>
        <v/>
      </c>
      <c r="N1352">
        <f>IF($AG1352="","","")</f>
        <v/>
      </c>
      <c r="O1352">
        <f>IF($AG1352="","",INDEX('TMP Paste'!$K$2:$K$1601,$AG1352))</f>
        <v/>
      </c>
      <c r="P1352">
        <f>IF($AG1352="","","")</f>
        <v/>
      </c>
      <c r="Q1352">
        <f>IF($AG1352="","",INDEX('TMP Paste'!$J$2:$J$1601,$AG1352))</f>
        <v/>
      </c>
      <c r="R1352">
        <f>IF($AG1352="","",Config!$B$24)</f>
        <v/>
      </c>
      <c r="S1352">
        <f>IF($AG1352="","",TEXT(Config!$B$4,"yyyy-mm-dd"))</f>
        <v/>
      </c>
      <c r="T1352">
        <f>IF($AG1352="","",Config!$B$17)</f>
        <v/>
      </c>
      <c r="U1352">
        <f>IF($AG1352="","",Config!$B$18)</f>
        <v/>
      </c>
      <c r="V1352">
        <f>IF($AG1352="","",Config!$B$19)</f>
        <v/>
      </c>
      <c r="W1352">
        <f>IF($AG1352="","",INDEX('TMP Paste'!$C$2:$C$1601,$AG1352))</f>
        <v/>
      </c>
      <c r="X1352">
        <f>IF($AG1352="","",Config!$B$29)</f>
        <v/>
      </c>
      <c r="Y1352">
        <f>IF($AH1352="","",INDEX(Calc!$I$2:$I$1601,$AH1352)&amp;" - "&amp;INDEX(Calc!$D$2:$D$1601,$AH1352)&amp;" koli")</f>
        <v/>
      </c>
      <c r="Z1352">
        <f>IF($AG1352="","",Config!$B$21)</f>
        <v/>
      </c>
      <c r="AA1352">
        <f>IF($AG1352="","",Config!$B$22)</f>
        <v/>
      </c>
      <c r="AB1352">
        <f>IF($AH1352="","",INDEX(Calc!$D$2:$D$1601,$AH1352))</f>
        <v/>
      </c>
      <c r="AC1352">
        <f>IF($AH1352="","",INDEX(Calc!$G$2:$G$1601,$AH1352))</f>
        <v/>
      </c>
      <c r="AD1352">
        <f>IF($AG1352="","",Config!$B$23)</f>
        <v/>
      </c>
      <c r="AE1352">
        <f>IF($AG1352="","",Config!$B$28)</f>
        <v/>
      </c>
      <c r="AG1352">
        <f>IFERROR(MATCH(ROW()-1,Calc!$J$2:$J$1601,0),"")</f>
        <v/>
      </c>
      <c r="AH1352">
        <f>IFERROR(MATCH(ROW()-1,Calc!$K$2:$K$1601,0),"")</f>
        <v/>
      </c>
      <c r="AI1352">
        <f>IF($AG1352="","",SUMIF($AG$2:$AG1352,$AG1352,$AH$2:$AH1352))</f>
        <v/>
      </c>
      <c r="AJ1352">
        <f>IF('TMP Paste'!$F1352="","",IF('TMP Paste'!$B1352="",$AJ1351,'TMP Paste'!$B1352))</f>
        <v/>
      </c>
      <c r="AK1352">
        <f>IF('TMP Paste'!$F1352="","",N('TMP Paste'!$G1352))</f>
        <v/>
      </c>
      <c r="AL1352">
        <f>IF('TMP Paste'!$F1352="","",IF('TMP Paste'!$M1352="",$AL1351,'TMP Paste'!$M1352))</f>
        <v/>
      </c>
      <c r="AM1352">
        <f>IF('TMP Paste'!$F1352="","",IF('TMP Paste'!$N1352="",$AM1351,'TMP Paste'!$N1352))</f>
        <v/>
      </c>
      <c r="AN1352">
        <f>IF('TMP Paste'!$F1352="","",IF('TMP Paste'!$O1352="",$AN1351,'TMP Paste'!$O1352))</f>
        <v/>
      </c>
      <c r="AO1352">
        <f>IF('TMP Paste'!$F1352="","",IF('TMP Paste'!$P1352="",$AO1351,'TMP Paste'!$P1352))</f>
        <v/>
      </c>
      <c r="AP1352">
        <f>IF($AG1352="","",LEN($R1352))</f>
        <v/>
      </c>
      <c r="AQ1352">
        <f>IF($AG1352="","",TRIM(IF(COUNTIFS(Calc!$B$2:$B$1601,ROW()-1,Calc!$C$2:$C$1601,"&lt;1")&gt;0,"Ada PO tanpa Koli - cek TMP. ","")&amp;IF(LEN($R1352)&gt;500,"R &gt; 500 karakter.","")))</f>
        <v/>
      </c>
    </row>
    <row r="1353">
      <c r="A1353">
        <f>IF($AG1353="","",INDEX('TMP Paste'!$B$2:$B$1601,$AG1353))</f>
        <v/>
      </c>
      <c r="B1353">
        <f>IF($AG1353="","",Config!$B$14)</f>
        <v/>
      </c>
      <c r="C1353">
        <f>IF($AG1353="","",Config!$B$15)</f>
        <v/>
      </c>
      <c r="D1353">
        <f>IF($AG1353="","",INDEX('TMP Paste'!$B$2:$B$1601,$AG1353))</f>
        <v/>
      </c>
      <c r="E1353">
        <f>IF($AG1353="","",Config!$B$27)</f>
        <v/>
      </c>
      <c r="F1353">
        <f>IF($AG1353="","",Config!$B$9)</f>
        <v/>
      </c>
      <c r="G1353">
        <f>IF($AG1353="","",Config!$B$10)</f>
        <v/>
      </c>
      <c r="H1353">
        <f>IF($AG1353="","",Config!$B$11)</f>
        <v/>
      </c>
      <c r="I1353">
        <f>IF($AG1353="","",Config!$B$16)</f>
        <v/>
      </c>
      <c r="J1353">
        <f>IF($AG1353="","",INDEX('TMP Paste'!$A$2:$A$1601,$AG1353))</f>
        <v/>
      </c>
      <c r="K1353">
        <f>IF($AG1353="","",INDEX('TMP Paste'!$L$2:$L$1601,$AG1353))</f>
        <v/>
      </c>
      <c r="L1353">
        <f>IF($AG1353="","",INDEX('TMP Paste'!$I$2:$I$1601,$AG1353))</f>
        <v/>
      </c>
      <c r="M1353">
        <f>IF($AG1353="","",Config!$B$16)</f>
        <v/>
      </c>
      <c r="N1353">
        <f>IF($AG1353="","","")</f>
        <v/>
      </c>
      <c r="O1353">
        <f>IF($AG1353="","",INDEX('TMP Paste'!$K$2:$K$1601,$AG1353))</f>
        <v/>
      </c>
      <c r="P1353">
        <f>IF($AG1353="","","")</f>
        <v/>
      </c>
      <c r="Q1353">
        <f>IF($AG1353="","",INDEX('TMP Paste'!$J$2:$J$1601,$AG1353))</f>
        <v/>
      </c>
      <c r="R1353">
        <f>IF($AG1353="","",Config!$B$24)</f>
        <v/>
      </c>
      <c r="S1353">
        <f>IF($AG1353="","",TEXT(Config!$B$4,"yyyy-mm-dd"))</f>
        <v/>
      </c>
      <c r="T1353">
        <f>IF($AG1353="","",Config!$B$17)</f>
        <v/>
      </c>
      <c r="U1353">
        <f>IF($AG1353="","",Config!$B$18)</f>
        <v/>
      </c>
      <c r="V1353">
        <f>IF($AG1353="","",Config!$B$19)</f>
        <v/>
      </c>
      <c r="W1353">
        <f>IF($AG1353="","",INDEX('TMP Paste'!$C$2:$C$1601,$AG1353))</f>
        <v/>
      </c>
      <c r="X1353">
        <f>IF($AG1353="","",Config!$B$29)</f>
        <v/>
      </c>
      <c r="Y1353">
        <f>IF($AH1353="","",INDEX(Calc!$I$2:$I$1601,$AH1353)&amp;" - "&amp;INDEX(Calc!$D$2:$D$1601,$AH1353)&amp;" koli")</f>
        <v/>
      </c>
      <c r="Z1353">
        <f>IF($AG1353="","",Config!$B$21)</f>
        <v/>
      </c>
      <c r="AA1353">
        <f>IF($AG1353="","",Config!$B$22)</f>
        <v/>
      </c>
      <c r="AB1353">
        <f>IF($AH1353="","",INDEX(Calc!$D$2:$D$1601,$AH1353))</f>
        <v/>
      </c>
      <c r="AC1353">
        <f>IF($AH1353="","",INDEX(Calc!$G$2:$G$1601,$AH1353))</f>
        <v/>
      </c>
      <c r="AD1353">
        <f>IF($AG1353="","",Config!$B$23)</f>
        <v/>
      </c>
      <c r="AE1353">
        <f>IF($AG1353="","",Config!$B$28)</f>
        <v/>
      </c>
      <c r="AG1353">
        <f>IFERROR(MATCH(ROW()-1,Calc!$J$2:$J$1601,0),"")</f>
        <v/>
      </c>
      <c r="AH1353">
        <f>IFERROR(MATCH(ROW()-1,Calc!$K$2:$K$1601,0),"")</f>
        <v/>
      </c>
      <c r="AI1353">
        <f>IF($AG1353="","",SUMIF($AG$2:$AG1353,$AG1353,$AH$2:$AH1353))</f>
        <v/>
      </c>
      <c r="AJ1353">
        <f>IF('TMP Paste'!$F1353="","",IF('TMP Paste'!$B1353="",$AJ1352,'TMP Paste'!$B1353))</f>
        <v/>
      </c>
      <c r="AK1353">
        <f>IF('TMP Paste'!$F1353="","",N('TMP Paste'!$G1353))</f>
        <v/>
      </c>
      <c r="AL1353">
        <f>IF('TMP Paste'!$F1353="","",IF('TMP Paste'!$M1353="",$AL1352,'TMP Paste'!$M1353))</f>
        <v/>
      </c>
      <c r="AM1353">
        <f>IF('TMP Paste'!$F1353="","",IF('TMP Paste'!$N1353="",$AM1352,'TMP Paste'!$N1353))</f>
        <v/>
      </c>
      <c r="AN1353">
        <f>IF('TMP Paste'!$F1353="","",IF('TMP Paste'!$O1353="",$AN1352,'TMP Paste'!$O1353))</f>
        <v/>
      </c>
      <c r="AO1353">
        <f>IF('TMP Paste'!$F1353="","",IF('TMP Paste'!$P1353="",$AO1352,'TMP Paste'!$P1353))</f>
        <v/>
      </c>
      <c r="AP1353">
        <f>IF($AG1353="","",LEN($R1353))</f>
        <v/>
      </c>
      <c r="AQ1353">
        <f>IF($AG1353="","",TRIM(IF(COUNTIFS(Calc!$B$2:$B$1601,ROW()-1,Calc!$C$2:$C$1601,"&lt;1")&gt;0,"Ada PO tanpa Koli - cek TMP. ","")&amp;IF(LEN($R1353)&gt;500,"R &gt; 500 karakter.","")))</f>
        <v/>
      </c>
    </row>
    <row r="1354">
      <c r="A1354">
        <f>IF($AG1354="","",INDEX('TMP Paste'!$B$2:$B$1601,$AG1354))</f>
        <v/>
      </c>
      <c r="B1354">
        <f>IF($AG1354="","",Config!$B$14)</f>
        <v/>
      </c>
      <c r="C1354">
        <f>IF($AG1354="","",Config!$B$15)</f>
        <v/>
      </c>
      <c r="D1354">
        <f>IF($AG1354="","",INDEX('TMP Paste'!$B$2:$B$1601,$AG1354))</f>
        <v/>
      </c>
      <c r="E1354">
        <f>IF($AG1354="","",Config!$B$27)</f>
        <v/>
      </c>
      <c r="F1354">
        <f>IF($AG1354="","",Config!$B$9)</f>
        <v/>
      </c>
      <c r="G1354">
        <f>IF($AG1354="","",Config!$B$10)</f>
        <v/>
      </c>
      <c r="H1354">
        <f>IF($AG1354="","",Config!$B$11)</f>
        <v/>
      </c>
      <c r="I1354">
        <f>IF($AG1354="","",Config!$B$16)</f>
        <v/>
      </c>
      <c r="J1354">
        <f>IF($AG1354="","",INDEX('TMP Paste'!$A$2:$A$1601,$AG1354))</f>
        <v/>
      </c>
      <c r="K1354">
        <f>IF($AG1354="","",INDEX('TMP Paste'!$L$2:$L$1601,$AG1354))</f>
        <v/>
      </c>
      <c r="L1354">
        <f>IF($AG1354="","",INDEX('TMP Paste'!$I$2:$I$1601,$AG1354))</f>
        <v/>
      </c>
      <c r="M1354">
        <f>IF($AG1354="","",Config!$B$16)</f>
        <v/>
      </c>
      <c r="N1354">
        <f>IF($AG1354="","","")</f>
        <v/>
      </c>
      <c r="O1354">
        <f>IF($AG1354="","",INDEX('TMP Paste'!$K$2:$K$1601,$AG1354))</f>
        <v/>
      </c>
      <c r="P1354">
        <f>IF($AG1354="","","")</f>
        <v/>
      </c>
      <c r="Q1354">
        <f>IF($AG1354="","",INDEX('TMP Paste'!$J$2:$J$1601,$AG1354))</f>
        <v/>
      </c>
      <c r="R1354">
        <f>IF($AG1354="","",Config!$B$24)</f>
        <v/>
      </c>
      <c r="S1354">
        <f>IF($AG1354="","",TEXT(Config!$B$4,"yyyy-mm-dd"))</f>
        <v/>
      </c>
      <c r="T1354">
        <f>IF($AG1354="","",Config!$B$17)</f>
        <v/>
      </c>
      <c r="U1354">
        <f>IF($AG1354="","",Config!$B$18)</f>
        <v/>
      </c>
      <c r="V1354">
        <f>IF($AG1354="","",Config!$B$19)</f>
        <v/>
      </c>
      <c r="W1354">
        <f>IF($AG1354="","",INDEX('TMP Paste'!$C$2:$C$1601,$AG1354))</f>
        <v/>
      </c>
      <c r="X1354">
        <f>IF($AG1354="","",Config!$B$29)</f>
        <v/>
      </c>
      <c r="Y1354">
        <f>IF($AH1354="","",INDEX(Calc!$I$2:$I$1601,$AH1354)&amp;" - "&amp;INDEX(Calc!$D$2:$D$1601,$AH1354)&amp;" koli")</f>
        <v/>
      </c>
      <c r="Z1354">
        <f>IF($AG1354="","",Config!$B$21)</f>
        <v/>
      </c>
      <c r="AA1354">
        <f>IF($AG1354="","",Config!$B$22)</f>
        <v/>
      </c>
      <c r="AB1354">
        <f>IF($AH1354="","",INDEX(Calc!$D$2:$D$1601,$AH1354))</f>
        <v/>
      </c>
      <c r="AC1354">
        <f>IF($AH1354="","",INDEX(Calc!$G$2:$G$1601,$AH1354))</f>
        <v/>
      </c>
      <c r="AD1354">
        <f>IF($AG1354="","",Config!$B$23)</f>
        <v/>
      </c>
      <c r="AE1354">
        <f>IF($AG1354="","",Config!$B$28)</f>
        <v/>
      </c>
      <c r="AG1354">
        <f>IFERROR(MATCH(ROW()-1,Calc!$J$2:$J$1601,0),"")</f>
        <v/>
      </c>
      <c r="AH1354">
        <f>IFERROR(MATCH(ROW()-1,Calc!$K$2:$K$1601,0),"")</f>
        <v/>
      </c>
      <c r="AI1354">
        <f>IF($AG1354="","",SUMIF($AG$2:$AG1354,$AG1354,$AH$2:$AH1354))</f>
        <v/>
      </c>
      <c r="AJ1354">
        <f>IF('TMP Paste'!$F1354="","",IF('TMP Paste'!$B1354="",$AJ1353,'TMP Paste'!$B1354))</f>
        <v/>
      </c>
      <c r="AK1354">
        <f>IF('TMP Paste'!$F1354="","",N('TMP Paste'!$G1354))</f>
        <v/>
      </c>
      <c r="AL1354">
        <f>IF('TMP Paste'!$F1354="","",IF('TMP Paste'!$M1354="",$AL1353,'TMP Paste'!$M1354))</f>
        <v/>
      </c>
      <c r="AM1354">
        <f>IF('TMP Paste'!$F1354="","",IF('TMP Paste'!$N1354="",$AM1353,'TMP Paste'!$N1354))</f>
        <v/>
      </c>
      <c r="AN1354">
        <f>IF('TMP Paste'!$F1354="","",IF('TMP Paste'!$O1354="",$AN1353,'TMP Paste'!$O1354))</f>
        <v/>
      </c>
      <c r="AO1354">
        <f>IF('TMP Paste'!$F1354="","",IF('TMP Paste'!$P1354="",$AO1353,'TMP Paste'!$P1354))</f>
        <v/>
      </c>
      <c r="AP1354">
        <f>IF($AG1354="","",LEN($R1354))</f>
        <v/>
      </c>
      <c r="AQ1354">
        <f>IF($AG1354="","",TRIM(IF(COUNTIFS(Calc!$B$2:$B$1601,ROW()-1,Calc!$C$2:$C$1601,"&lt;1")&gt;0,"Ada PO tanpa Koli - cek TMP. ","")&amp;IF(LEN($R1354)&gt;500,"R &gt; 500 karakter.","")))</f>
        <v/>
      </c>
    </row>
    <row r="1355">
      <c r="A1355">
        <f>IF($AG1355="","",INDEX('TMP Paste'!$B$2:$B$1601,$AG1355))</f>
        <v/>
      </c>
      <c r="B1355">
        <f>IF($AG1355="","",Config!$B$14)</f>
        <v/>
      </c>
      <c r="C1355">
        <f>IF($AG1355="","",Config!$B$15)</f>
        <v/>
      </c>
      <c r="D1355">
        <f>IF($AG1355="","",INDEX('TMP Paste'!$B$2:$B$1601,$AG1355))</f>
        <v/>
      </c>
      <c r="E1355">
        <f>IF($AG1355="","",Config!$B$27)</f>
        <v/>
      </c>
      <c r="F1355">
        <f>IF($AG1355="","",Config!$B$9)</f>
        <v/>
      </c>
      <c r="G1355">
        <f>IF($AG1355="","",Config!$B$10)</f>
        <v/>
      </c>
      <c r="H1355">
        <f>IF($AG1355="","",Config!$B$11)</f>
        <v/>
      </c>
      <c r="I1355">
        <f>IF($AG1355="","",Config!$B$16)</f>
        <v/>
      </c>
      <c r="J1355">
        <f>IF($AG1355="","",INDEX('TMP Paste'!$A$2:$A$1601,$AG1355))</f>
        <v/>
      </c>
      <c r="K1355">
        <f>IF($AG1355="","",INDEX('TMP Paste'!$L$2:$L$1601,$AG1355))</f>
        <v/>
      </c>
      <c r="L1355">
        <f>IF($AG1355="","",INDEX('TMP Paste'!$I$2:$I$1601,$AG1355))</f>
        <v/>
      </c>
      <c r="M1355">
        <f>IF($AG1355="","",Config!$B$16)</f>
        <v/>
      </c>
      <c r="N1355">
        <f>IF($AG1355="","","")</f>
        <v/>
      </c>
      <c r="O1355">
        <f>IF($AG1355="","",INDEX('TMP Paste'!$K$2:$K$1601,$AG1355))</f>
        <v/>
      </c>
      <c r="P1355">
        <f>IF($AG1355="","","")</f>
        <v/>
      </c>
      <c r="Q1355">
        <f>IF($AG1355="","",INDEX('TMP Paste'!$J$2:$J$1601,$AG1355))</f>
        <v/>
      </c>
      <c r="R1355">
        <f>IF($AG1355="","",Config!$B$24)</f>
        <v/>
      </c>
      <c r="S1355">
        <f>IF($AG1355="","",TEXT(Config!$B$4,"yyyy-mm-dd"))</f>
        <v/>
      </c>
      <c r="T1355">
        <f>IF($AG1355="","",Config!$B$17)</f>
        <v/>
      </c>
      <c r="U1355">
        <f>IF($AG1355="","",Config!$B$18)</f>
        <v/>
      </c>
      <c r="V1355">
        <f>IF($AG1355="","",Config!$B$19)</f>
        <v/>
      </c>
      <c r="W1355">
        <f>IF($AG1355="","",INDEX('TMP Paste'!$C$2:$C$1601,$AG1355))</f>
        <v/>
      </c>
      <c r="X1355">
        <f>IF($AG1355="","",Config!$B$29)</f>
        <v/>
      </c>
      <c r="Y1355">
        <f>IF($AH1355="","",INDEX(Calc!$I$2:$I$1601,$AH1355)&amp;" - "&amp;INDEX(Calc!$D$2:$D$1601,$AH1355)&amp;" koli")</f>
        <v/>
      </c>
      <c r="Z1355">
        <f>IF($AG1355="","",Config!$B$21)</f>
        <v/>
      </c>
      <c r="AA1355">
        <f>IF($AG1355="","",Config!$B$22)</f>
        <v/>
      </c>
      <c r="AB1355">
        <f>IF($AH1355="","",INDEX(Calc!$D$2:$D$1601,$AH1355))</f>
        <v/>
      </c>
      <c r="AC1355">
        <f>IF($AH1355="","",INDEX(Calc!$G$2:$G$1601,$AH1355))</f>
        <v/>
      </c>
      <c r="AD1355">
        <f>IF($AG1355="","",Config!$B$23)</f>
        <v/>
      </c>
      <c r="AE1355">
        <f>IF($AG1355="","",Config!$B$28)</f>
        <v/>
      </c>
      <c r="AG1355">
        <f>IFERROR(MATCH(ROW()-1,Calc!$J$2:$J$1601,0),"")</f>
        <v/>
      </c>
      <c r="AH1355">
        <f>IFERROR(MATCH(ROW()-1,Calc!$K$2:$K$1601,0),"")</f>
        <v/>
      </c>
      <c r="AI1355">
        <f>IF($AG1355="","",SUMIF($AG$2:$AG1355,$AG1355,$AH$2:$AH1355))</f>
        <v/>
      </c>
      <c r="AJ1355">
        <f>IF('TMP Paste'!$F1355="","",IF('TMP Paste'!$B1355="",$AJ1354,'TMP Paste'!$B1355))</f>
        <v/>
      </c>
      <c r="AK1355">
        <f>IF('TMP Paste'!$F1355="","",N('TMP Paste'!$G1355))</f>
        <v/>
      </c>
      <c r="AL1355">
        <f>IF('TMP Paste'!$F1355="","",IF('TMP Paste'!$M1355="",$AL1354,'TMP Paste'!$M1355))</f>
        <v/>
      </c>
      <c r="AM1355">
        <f>IF('TMP Paste'!$F1355="","",IF('TMP Paste'!$N1355="",$AM1354,'TMP Paste'!$N1355))</f>
        <v/>
      </c>
      <c r="AN1355">
        <f>IF('TMP Paste'!$F1355="","",IF('TMP Paste'!$O1355="",$AN1354,'TMP Paste'!$O1355))</f>
        <v/>
      </c>
      <c r="AO1355">
        <f>IF('TMP Paste'!$F1355="","",IF('TMP Paste'!$P1355="",$AO1354,'TMP Paste'!$P1355))</f>
        <v/>
      </c>
      <c r="AP1355">
        <f>IF($AG1355="","",LEN($R1355))</f>
        <v/>
      </c>
      <c r="AQ1355">
        <f>IF($AG1355="","",TRIM(IF(COUNTIFS(Calc!$B$2:$B$1601,ROW()-1,Calc!$C$2:$C$1601,"&lt;1")&gt;0,"Ada PO tanpa Koli - cek TMP. ","")&amp;IF(LEN($R1355)&gt;500,"R &gt; 500 karakter.","")))</f>
        <v/>
      </c>
    </row>
    <row r="1356">
      <c r="A1356">
        <f>IF($AG1356="","",INDEX('TMP Paste'!$B$2:$B$1601,$AG1356))</f>
        <v/>
      </c>
      <c r="B1356">
        <f>IF($AG1356="","",Config!$B$14)</f>
        <v/>
      </c>
      <c r="C1356">
        <f>IF($AG1356="","",Config!$B$15)</f>
        <v/>
      </c>
      <c r="D1356">
        <f>IF($AG1356="","",INDEX('TMP Paste'!$B$2:$B$1601,$AG1356))</f>
        <v/>
      </c>
      <c r="E1356">
        <f>IF($AG1356="","",Config!$B$27)</f>
        <v/>
      </c>
      <c r="F1356">
        <f>IF($AG1356="","",Config!$B$9)</f>
        <v/>
      </c>
      <c r="G1356">
        <f>IF($AG1356="","",Config!$B$10)</f>
        <v/>
      </c>
      <c r="H1356">
        <f>IF($AG1356="","",Config!$B$11)</f>
        <v/>
      </c>
      <c r="I1356">
        <f>IF($AG1356="","",Config!$B$16)</f>
        <v/>
      </c>
      <c r="J1356">
        <f>IF($AG1356="","",INDEX('TMP Paste'!$A$2:$A$1601,$AG1356))</f>
        <v/>
      </c>
      <c r="K1356">
        <f>IF($AG1356="","",INDEX('TMP Paste'!$L$2:$L$1601,$AG1356))</f>
        <v/>
      </c>
      <c r="L1356">
        <f>IF($AG1356="","",INDEX('TMP Paste'!$I$2:$I$1601,$AG1356))</f>
        <v/>
      </c>
      <c r="M1356">
        <f>IF($AG1356="","",Config!$B$16)</f>
        <v/>
      </c>
      <c r="N1356">
        <f>IF($AG1356="","","")</f>
        <v/>
      </c>
      <c r="O1356">
        <f>IF($AG1356="","",INDEX('TMP Paste'!$K$2:$K$1601,$AG1356))</f>
        <v/>
      </c>
      <c r="P1356">
        <f>IF($AG1356="","","")</f>
        <v/>
      </c>
      <c r="Q1356">
        <f>IF($AG1356="","",INDEX('TMP Paste'!$J$2:$J$1601,$AG1356))</f>
        <v/>
      </c>
      <c r="R1356">
        <f>IF($AG1356="","",Config!$B$24)</f>
        <v/>
      </c>
      <c r="S1356">
        <f>IF($AG1356="","",TEXT(Config!$B$4,"yyyy-mm-dd"))</f>
        <v/>
      </c>
      <c r="T1356">
        <f>IF($AG1356="","",Config!$B$17)</f>
        <v/>
      </c>
      <c r="U1356">
        <f>IF($AG1356="","",Config!$B$18)</f>
        <v/>
      </c>
      <c r="V1356">
        <f>IF($AG1356="","",Config!$B$19)</f>
        <v/>
      </c>
      <c r="W1356">
        <f>IF($AG1356="","",INDEX('TMP Paste'!$C$2:$C$1601,$AG1356))</f>
        <v/>
      </c>
      <c r="X1356">
        <f>IF($AG1356="","",Config!$B$29)</f>
        <v/>
      </c>
      <c r="Y1356">
        <f>IF($AH1356="","",INDEX(Calc!$I$2:$I$1601,$AH1356)&amp;" - "&amp;INDEX(Calc!$D$2:$D$1601,$AH1356)&amp;" koli")</f>
        <v/>
      </c>
      <c r="Z1356">
        <f>IF($AG1356="","",Config!$B$21)</f>
        <v/>
      </c>
      <c r="AA1356">
        <f>IF($AG1356="","",Config!$B$22)</f>
        <v/>
      </c>
      <c r="AB1356">
        <f>IF($AH1356="","",INDEX(Calc!$D$2:$D$1601,$AH1356))</f>
        <v/>
      </c>
      <c r="AC1356">
        <f>IF($AH1356="","",INDEX(Calc!$G$2:$G$1601,$AH1356))</f>
        <v/>
      </c>
      <c r="AD1356">
        <f>IF($AG1356="","",Config!$B$23)</f>
        <v/>
      </c>
      <c r="AE1356">
        <f>IF($AG1356="","",Config!$B$28)</f>
        <v/>
      </c>
      <c r="AG1356">
        <f>IFERROR(MATCH(ROW()-1,Calc!$J$2:$J$1601,0),"")</f>
        <v/>
      </c>
      <c r="AH1356">
        <f>IFERROR(MATCH(ROW()-1,Calc!$K$2:$K$1601,0),"")</f>
        <v/>
      </c>
      <c r="AI1356">
        <f>IF($AG1356="","",SUMIF($AG$2:$AG1356,$AG1356,$AH$2:$AH1356))</f>
        <v/>
      </c>
      <c r="AJ1356">
        <f>IF('TMP Paste'!$F1356="","",IF('TMP Paste'!$B1356="",$AJ1355,'TMP Paste'!$B1356))</f>
        <v/>
      </c>
      <c r="AK1356">
        <f>IF('TMP Paste'!$F1356="","",N('TMP Paste'!$G1356))</f>
        <v/>
      </c>
      <c r="AL1356">
        <f>IF('TMP Paste'!$F1356="","",IF('TMP Paste'!$M1356="",$AL1355,'TMP Paste'!$M1356))</f>
        <v/>
      </c>
      <c r="AM1356">
        <f>IF('TMP Paste'!$F1356="","",IF('TMP Paste'!$N1356="",$AM1355,'TMP Paste'!$N1356))</f>
        <v/>
      </c>
      <c r="AN1356">
        <f>IF('TMP Paste'!$F1356="","",IF('TMP Paste'!$O1356="",$AN1355,'TMP Paste'!$O1356))</f>
        <v/>
      </c>
      <c r="AO1356">
        <f>IF('TMP Paste'!$F1356="","",IF('TMP Paste'!$P1356="",$AO1355,'TMP Paste'!$P1356))</f>
        <v/>
      </c>
      <c r="AP1356">
        <f>IF($AG1356="","",LEN($R1356))</f>
        <v/>
      </c>
      <c r="AQ1356">
        <f>IF($AG1356="","",TRIM(IF(COUNTIFS(Calc!$B$2:$B$1601,ROW()-1,Calc!$C$2:$C$1601,"&lt;1")&gt;0,"Ada PO tanpa Koli - cek TMP. ","")&amp;IF(LEN($R1356)&gt;500,"R &gt; 500 karakter.","")))</f>
        <v/>
      </c>
    </row>
    <row r="1357">
      <c r="A1357">
        <f>IF($AG1357="","",INDEX('TMP Paste'!$B$2:$B$1601,$AG1357))</f>
        <v/>
      </c>
      <c r="B1357">
        <f>IF($AG1357="","",Config!$B$14)</f>
        <v/>
      </c>
      <c r="C1357">
        <f>IF($AG1357="","",Config!$B$15)</f>
        <v/>
      </c>
      <c r="D1357">
        <f>IF($AG1357="","",INDEX('TMP Paste'!$B$2:$B$1601,$AG1357))</f>
        <v/>
      </c>
      <c r="E1357">
        <f>IF($AG1357="","",Config!$B$27)</f>
        <v/>
      </c>
      <c r="F1357">
        <f>IF($AG1357="","",Config!$B$9)</f>
        <v/>
      </c>
      <c r="G1357">
        <f>IF($AG1357="","",Config!$B$10)</f>
        <v/>
      </c>
      <c r="H1357">
        <f>IF($AG1357="","",Config!$B$11)</f>
        <v/>
      </c>
      <c r="I1357">
        <f>IF($AG1357="","",Config!$B$16)</f>
        <v/>
      </c>
      <c r="J1357">
        <f>IF($AG1357="","",INDEX('TMP Paste'!$A$2:$A$1601,$AG1357))</f>
        <v/>
      </c>
      <c r="K1357">
        <f>IF($AG1357="","",INDEX('TMP Paste'!$L$2:$L$1601,$AG1357))</f>
        <v/>
      </c>
      <c r="L1357">
        <f>IF($AG1357="","",INDEX('TMP Paste'!$I$2:$I$1601,$AG1357))</f>
        <v/>
      </c>
      <c r="M1357">
        <f>IF($AG1357="","",Config!$B$16)</f>
        <v/>
      </c>
      <c r="N1357">
        <f>IF($AG1357="","","")</f>
        <v/>
      </c>
      <c r="O1357">
        <f>IF($AG1357="","",INDEX('TMP Paste'!$K$2:$K$1601,$AG1357))</f>
        <v/>
      </c>
      <c r="P1357">
        <f>IF($AG1357="","","")</f>
        <v/>
      </c>
      <c r="Q1357">
        <f>IF($AG1357="","",INDEX('TMP Paste'!$J$2:$J$1601,$AG1357))</f>
        <v/>
      </c>
      <c r="R1357">
        <f>IF($AG1357="","",Config!$B$24)</f>
        <v/>
      </c>
      <c r="S1357">
        <f>IF($AG1357="","",TEXT(Config!$B$4,"yyyy-mm-dd"))</f>
        <v/>
      </c>
      <c r="T1357">
        <f>IF($AG1357="","",Config!$B$17)</f>
        <v/>
      </c>
      <c r="U1357">
        <f>IF($AG1357="","",Config!$B$18)</f>
        <v/>
      </c>
      <c r="V1357">
        <f>IF($AG1357="","",Config!$B$19)</f>
        <v/>
      </c>
      <c r="W1357">
        <f>IF($AG1357="","",INDEX('TMP Paste'!$C$2:$C$1601,$AG1357))</f>
        <v/>
      </c>
      <c r="X1357">
        <f>IF($AG1357="","",Config!$B$29)</f>
        <v/>
      </c>
      <c r="Y1357">
        <f>IF($AH1357="","",INDEX(Calc!$I$2:$I$1601,$AH1357)&amp;" - "&amp;INDEX(Calc!$D$2:$D$1601,$AH1357)&amp;" koli")</f>
        <v/>
      </c>
      <c r="Z1357">
        <f>IF($AG1357="","",Config!$B$21)</f>
        <v/>
      </c>
      <c r="AA1357">
        <f>IF($AG1357="","",Config!$B$22)</f>
        <v/>
      </c>
      <c r="AB1357">
        <f>IF($AH1357="","",INDEX(Calc!$D$2:$D$1601,$AH1357))</f>
        <v/>
      </c>
      <c r="AC1357">
        <f>IF($AH1357="","",INDEX(Calc!$G$2:$G$1601,$AH1357))</f>
        <v/>
      </c>
      <c r="AD1357">
        <f>IF($AG1357="","",Config!$B$23)</f>
        <v/>
      </c>
      <c r="AE1357">
        <f>IF($AG1357="","",Config!$B$28)</f>
        <v/>
      </c>
      <c r="AG1357">
        <f>IFERROR(MATCH(ROW()-1,Calc!$J$2:$J$1601,0),"")</f>
        <v/>
      </c>
      <c r="AH1357">
        <f>IFERROR(MATCH(ROW()-1,Calc!$K$2:$K$1601,0),"")</f>
        <v/>
      </c>
      <c r="AI1357">
        <f>IF($AG1357="","",SUMIF($AG$2:$AG1357,$AG1357,$AH$2:$AH1357))</f>
        <v/>
      </c>
      <c r="AJ1357">
        <f>IF('TMP Paste'!$F1357="","",IF('TMP Paste'!$B1357="",$AJ1356,'TMP Paste'!$B1357))</f>
        <v/>
      </c>
      <c r="AK1357">
        <f>IF('TMP Paste'!$F1357="","",N('TMP Paste'!$G1357))</f>
        <v/>
      </c>
      <c r="AL1357">
        <f>IF('TMP Paste'!$F1357="","",IF('TMP Paste'!$M1357="",$AL1356,'TMP Paste'!$M1357))</f>
        <v/>
      </c>
      <c r="AM1357">
        <f>IF('TMP Paste'!$F1357="","",IF('TMP Paste'!$N1357="",$AM1356,'TMP Paste'!$N1357))</f>
        <v/>
      </c>
      <c r="AN1357">
        <f>IF('TMP Paste'!$F1357="","",IF('TMP Paste'!$O1357="",$AN1356,'TMP Paste'!$O1357))</f>
        <v/>
      </c>
      <c r="AO1357">
        <f>IF('TMP Paste'!$F1357="","",IF('TMP Paste'!$P1357="",$AO1356,'TMP Paste'!$P1357))</f>
        <v/>
      </c>
      <c r="AP1357">
        <f>IF($AG1357="","",LEN($R1357))</f>
        <v/>
      </c>
      <c r="AQ1357">
        <f>IF($AG1357="","",TRIM(IF(COUNTIFS(Calc!$B$2:$B$1601,ROW()-1,Calc!$C$2:$C$1601,"&lt;1")&gt;0,"Ada PO tanpa Koli - cek TMP. ","")&amp;IF(LEN($R1357)&gt;500,"R &gt; 500 karakter.","")))</f>
        <v/>
      </c>
    </row>
    <row r="1358">
      <c r="A1358">
        <f>IF($AG1358="","",INDEX('TMP Paste'!$B$2:$B$1601,$AG1358))</f>
        <v/>
      </c>
      <c r="B1358">
        <f>IF($AG1358="","",Config!$B$14)</f>
        <v/>
      </c>
      <c r="C1358">
        <f>IF($AG1358="","",Config!$B$15)</f>
        <v/>
      </c>
      <c r="D1358">
        <f>IF($AG1358="","",INDEX('TMP Paste'!$B$2:$B$1601,$AG1358))</f>
        <v/>
      </c>
      <c r="E1358">
        <f>IF($AG1358="","",Config!$B$27)</f>
        <v/>
      </c>
      <c r="F1358">
        <f>IF($AG1358="","",Config!$B$9)</f>
        <v/>
      </c>
      <c r="G1358">
        <f>IF($AG1358="","",Config!$B$10)</f>
        <v/>
      </c>
      <c r="H1358">
        <f>IF($AG1358="","",Config!$B$11)</f>
        <v/>
      </c>
      <c r="I1358">
        <f>IF($AG1358="","",Config!$B$16)</f>
        <v/>
      </c>
      <c r="J1358">
        <f>IF($AG1358="","",INDEX('TMP Paste'!$A$2:$A$1601,$AG1358))</f>
        <v/>
      </c>
      <c r="K1358">
        <f>IF($AG1358="","",INDEX('TMP Paste'!$L$2:$L$1601,$AG1358))</f>
        <v/>
      </c>
      <c r="L1358">
        <f>IF($AG1358="","",INDEX('TMP Paste'!$I$2:$I$1601,$AG1358))</f>
        <v/>
      </c>
      <c r="M1358">
        <f>IF($AG1358="","",Config!$B$16)</f>
        <v/>
      </c>
      <c r="N1358">
        <f>IF($AG1358="","","")</f>
        <v/>
      </c>
      <c r="O1358">
        <f>IF($AG1358="","",INDEX('TMP Paste'!$K$2:$K$1601,$AG1358))</f>
        <v/>
      </c>
      <c r="P1358">
        <f>IF($AG1358="","","")</f>
        <v/>
      </c>
      <c r="Q1358">
        <f>IF($AG1358="","",INDEX('TMP Paste'!$J$2:$J$1601,$AG1358))</f>
        <v/>
      </c>
      <c r="R1358">
        <f>IF($AG1358="","",Config!$B$24)</f>
        <v/>
      </c>
      <c r="S1358">
        <f>IF($AG1358="","",TEXT(Config!$B$4,"yyyy-mm-dd"))</f>
        <v/>
      </c>
      <c r="T1358">
        <f>IF($AG1358="","",Config!$B$17)</f>
        <v/>
      </c>
      <c r="U1358">
        <f>IF($AG1358="","",Config!$B$18)</f>
        <v/>
      </c>
      <c r="V1358">
        <f>IF($AG1358="","",Config!$B$19)</f>
        <v/>
      </c>
      <c r="W1358">
        <f>IF($AG1358="","",INDEX('TMP Paste'!$C$2:$C$1601,$AG1358))</f>
        <v/>
      </c>
      <c r="X1358">
        <f>IF($AG1358="","",Config!$B$29)</f>
        <v/>
      </c>
      <c r="Y1358">
        <f>IF($AH1358="","",INDEX(Calc!$I$2:$I$1601,$AH1358)&amp;" - "&amp;INDEX(Calc!$D$2:$D$1601,$AH1358)&amp;" koli")</f>
        <v/>
      </c>
      <c r="Z1358">
        <f>IF($AG1358="","",Config!$B$21)</f>
        <v/>
      </c>
      <c r="AA1358">
        <f>IF($AG1358="","",Config!$B$22)</f>
        <v/>
      </c>
      <c r="AB1358">
        <f>IF($AH1358="","",INDEX(Calc!$D$2:$D$1601,$AH1358))</f>
        <v/>
      </c>
      <c r="AC1358">
        <f>IF($AH1358="","",INDEX(Calc!$G$2:$G$1601,$AH1358))</f>
        <v/>
      </c>
      <c r="AD1358">
        <f>IF($AG1358="","",Config!$B$23)</f>
        <v/>
      </c>
      <c r="AE1358">
        <f>IF($AG1358="","",Config!$B$28)</f>
        <v/>
      </c>
      <c r="AG1358">
        <f>IFERROR(MATCH(ROW()-1,Calc!$J$2:$J$1601,0),"")</f>
        <v/>
      </c>
      <c r="AH1358">
        <f>IFERROR(MATCH(ROW()-1,Calc!$K$2:$K$1601,0),"")</f>
        <v/>
      </c>
      <c r="AI1358">
        <f>IF($AG1358="","",SUMIF($AG$2:$AG1358,$AG1358,$AH$2:$AH1358))</f>
        <v/>
      </c>
      <c r="AJ1358">
        <f>IF('TMP Paste'!$F1358="","",IF('TMP Paste'!$B1358="",$AJ1357,'TMP Paste'!$B1358))</f>
        <v/>
      </c>
      <c r="AK1358">
        <f>IF('TMP Paste'!$F1358="","",N('TMP Paste'!$G1358))</f>
        <v/>
      </c>
      <c r="AL1358">
        <f>IF('TMP Paste'!$F1358="","",IF('TMP Paste'!$M1358="",$AL1357,'TMP Paste'!$M1358))</f>
        <v/>
      </c>
      <c r="AM1358">
        <f>IF('TMP Paste'!$F1358="","",IF('TMP Paste'!$N1358="",$AM1357,'TMP Paste'!$N1358))</f>
        <v/>
      </c>
      <c r="AN1358">
        <f>IF('TMP Paste'!$F1358="","",IF('TMP Paste'!$O1358="",$AN1357,'TMP Paste'!$O1358))</f>
        <v/>
      </c>
      <c r="AO1358">
        <f>IF('TMP Paste'!$F1358="","",IF('TMP Paste'!$P1358="",$AO1357,'TMP Paste'!$P1358))</f>
        <v/>
      </c>
      <c r="AP1358">
        <f>IF($AG1358="","",LEN($R1358))</f>
        <v/>
      </c>
      <c r="AQ1358">
        <f>IF($AG1358="","",TRIM(IF(COUNTIFS(Calc!$B$2:$B$1601,ROW()-1,Calc!$C$2:$C$1601,"&lt;1")&gt;0,"Ada PO tanpa Koli - cek TMP. ","")&amp;IF(LEN($R1358)&gt;500,"R &gt; 500 karakter.","")))</f>
        <v/>
      </c>
    </row>
    <row r="1359">
      <c r="A1359">
        <f>IF($AG1359="","",INDEX('TMP Paste'!$B$2:$B$1601,$AG1359))</f>
        <v/>
      </c>
      <c r="B1359">
        <f>IF($AG1359="","",Config!$B$14)</f>
        <v/>
      </c>
      <c r="C1359">
        <f>IF($AG1359="","",Config!$B$15)</f>
        <v/>
      </c>
      <c r="D1359">
        <f>IF($AG1359="","",INDEX('TMP Paste'!$B$2:$B$1601,$AG1359))</f>
        <v/>
      </c>
      <c r="E1359">
        <f>IF($AG1359="","",Config!$B$27)</f>
        <v/>
      </c>
      <c r="F1359">
        <f>IF($AG1359="","",Config!$B$9)</f>
        <v/>
      </c>
      <c r="G1359">
        <f>IF($AG1359="","",Config!$B$10)</f>
        <v/>
      </c>
      <c r="H1359">
        <f>IF($AG1359="","",Config!$B$11)</f>
        <v/>
      </c>
      <c r="I1359">
        <f>IF($AG1359="","",Config!$B$16)</f>
        <v/>
      </c>
      <c r="J1359">
        <f>IF($AG1359="","",INDEX('TMP Paste'!$A$2:$A$1601,$AG1359))</f>
        <v/>
      </c>
      <c r="K1359">
        <f>IF($AG1359="","",INDEX('TMP Paste'!$L$2:$L$1601,$AG1359))</f>
        <v/>
      </c>
      <c r="L1359">
        <f>IF($AG1359="","",INDEX('TMP Paste'!$I$2:$I$1601,$AG1359))</f>
        <v/>
      </c>
      <c r="M1359">
        <f>IF($AG1359="","",Config!$B$16)</f>
        <v/>
      </c>
      <c r="N1359">
        <f>IF($AG1359="","","")</f>
        <v/>
      </c>
      <c r="O1359">
        <f>IF($AG1359="","",INDEX('TMP Paste'!$K$2:$K$1601,$AG1359))</f>
        <v/>
      </c>
      <c r="P1359">
        <f>IF($AG1359="","","")</f>
        <v/>
      </c>
      <c r="Q1359">
        <f>IF($AG1359="","",INDEX('TMP Paste'!$J$2:$J$1601,$AG1359))</f>
        <v/>
      </c>
      <c r="R1359">
        <f>IF($AG1359="","",Config!$B$24)</f>
        <v/>
      </c>
      <c r="S1359">
        <f>IF($AG1359="","",TEXT(Config!$B$4,"yyyy-mm-dd"))</f>
        <v/>
      </c>
      <c r="T1359">
        <f>IF($AG1359="","",Config!$B$17)</f>
        <v/>
      </c>
      <c r="U1359">
        <f>IF($AG1359="","",Config!$B$18)</f>
        <v/>
      </c>
      <c r="V1359">
        <f>IF($AG1359="","",Config!$B$19)</f>
        <v/>
      </c>
      <c r="W1359">
        <f>IF($AG1359="","",INDEX('TMP Paste'!$C$2:$C$1601,$AG1359))</f>
        <v/>
      </c>
      <c r="X1359">
        <f>IF($AG1359="","",Config!$B$29)</f>
        <v/>
      </c>
      <c r="Y1359">
        <f>IF($AH1359="","",INDEX(Calc!$I$2:$I$1601,$AH1359)&amp;" - "&amp;INDEX(Calc!$D$2:$D$1601,$AH1359)&amp;" koli")</f>
        <v/>
      </c>
      <c r="Z1359">
        <f>IF($AG1359="","",Config!$B$21)</f>
        <v/>
      </c>
      <c r="AA1359">
        <f>IF($AG1359="","",Config!$B$22)</f>
        <v/>
      </c>
      <c r="AB1359">
        <f>IF($AH1359="","",INDEX(Calc!$D$2:$D$1601,$AH1359))</f>
        <v/>
      </c>
      <c r="AC1359">
        <f>IF($AH1359="","",INDEX(Calc!$G$2:$G$1601,$AH1359))</f>
        <v/>
      </c>
      <c r="AD1359">
        <f>IF($AG1359="","",Config!$B$23)</f>
        <v/>
      </c>
      <c r="AE1359">
        <f>IF($AG1359="","",Config!$B$28)</f>
        <v/>
      </c>
      <c r="AG1359">
        <f>IFERROR(MATCH(ROW()-1,Calc!$J$2:$J$1601,0),"")</f>
        <v/>
      </c>
      <c r="AH1359">
        <f>IFERROR(MATCH(ROW()-1,Calc!$K$2:$K$1601,0),"")</f>
        <v/>
      </c>
      <c r="AI1359">
        <f>IF($AG1359="","",SUMIF($AG$2:$AG1359,$AG1359,$AH$2:$AH1359))</f>
        <v/>
      </c>
      <c r="AJ1359">
        <f>IF('TMP Paste'!$F1359="","",IF('TMP Paste'!$B1359="",$AJ1358,'TMP Paste'!$B1359))</f>
        <v/>
      </c>
      <c r="AK1359">
        <f>IF('TMP Paste'!$F1359="","",N('TMP Paste'!$G1359))</f>
        <v/>
      </c>
      <c r="AL1359">
        <f>IF('TMP Paste'!$F1359="","",IF('TMP Paste'!$M1359="",$AL1358,'TMP Paste'!$M1359))</f>
        <v/>
      </c>
      <c r="AM1359">
        <f>IF('TMP Paste'!$F1359="","",IF('TMP Paste'!$N1359="",$AM1358,'TMP Paste'!$N1359))</f>
        <v/>
      </c>
      <c r="AN1359">
        <f>IF('TMP Paste'!$F1359="","",IF('TMP Paste'!$O1359="",$AN1358,'TMP Paste'!$O1359))</f>
        <v/>
      </c>
      <c r="AO1359">
        <f>IF('TMP Paste'!$F1359="","",IF('TMP Paste'!$P1359="",$AO1358,'TMP Paste'!$P1359))</f>
        <v/>
      </c>
      <c r="AP1359">
        <f>IF($AG1359="","",LEN($R1359))</f>
        <v/>
      </c>
      <c r="AQ1359">
        <f>IF($AG1359="","",TRIM(IF(COUNTIFS(Calc!$B$2:$B$1601,ROW()-1,Calc!$C$2:$C$1601,"&lt;1")&gt;0,"Ada PO tanpa Koli - cek TMP. ","")&amp;IF(LEN($R1359)&gt;500,"R &gt; 500 karakter.","")))</f>
        <v/>
      </c>
    </row>
    <row r="1360">
      <c r="A1360">
        <f>IF($AG1360="","",INDEX('TMP Paste'!$B$2:$B$1601,$AG1360))</f>
        <v/>
      </c>
      <c r="B1360">
        <f>IF($AG1360="","",Config!$B$14)</f>
        <v/>
      </c>
      <c r="C1360">
        <f>IF($AG1360="","",Config!$B$15)</f>
        <v/>
      </c>
      <c r="D1360">
        <f>IF($AG1360="","",INDEX('TMP Paste'!$B$2:$B$1601,$AG1360))</f>
        <v/>
      </c>
      <c r="E1360">
        <f>IF($AG1360="","",Config!$B$27)</f>
        <v/>
      </c>
      <c r="F1360">
        <f>IF($AG1360="","",Config!$B$9)</f>
        <v/>
      </c>
      <c r="G1360">
        <f>IF($AG1360="","",Config!$B$10)</f>
        <v/>
      </c>
      <c r="H1360">
        <f>IF($AG1360="","",Config!$B$11)</f>
        <v/>
      </c>
      <c r="I1360">
        <f>IF($AG1360="","",Config!$B$16)</f>
        <v/>
      </c>
      <c r="J1360">
        <f>IF($AG1360="","",INDEX('TMP Paste'!$A$2:$A$1601,$AG1360))</f>
        <v/>
      </c>
      <c r="K1360">
        <f>IF($AG1360="","",INDEX('TMP Paste'!$L$2:$L$1601,$AG1360))</f>
        <v/>
      </c>
      <c r="L1360">
        <f>IF($AG1360="","",INDEX('TMP Paste'!$I$2:$I$1601,$AG1360))</f>
        <v/>
      </c>
      <c r="M1360">
        <f>IF($AG1360="","",Config!$B$16)</f>
        <v/>
      </c>
      <c r="N1360">
        <f>IF($AG1360="","","")</f>
        <v/>
      </c>
      <c r="O1360">
        <f>IF($AG1360="","",INDEX('TMP Paste'!$K$2:$K$1601,$AG1360))</f>
        <v/>
      </c>
      <c r="P1360">
        <f>IF($AG1360="","","")</f>
        <v/>
      </c>
      <c r="Q1360">
        <f>IF($AG1360="","",INDEX('TMP Paste'!$J$2:$J$1601,$AG1360))</f>
        <v/>
      </c>
      <c r="R1360">
        <f>IF($AG1360="","",Config!$B$24)</f>
        <v/>
      </c>
      <c r="S1360">
        <f>IF($AG1360="","",TEXT(Config!$B$4,"yyyy-mm-dd"))</f>
        <v/>
      </c>
      <c r="T1360">
        <f>IF($AG1360="","",Config!$B$17)</f>
        <v/>
      </c>
      <c r="U1360">
        <f>IF($AG1360="","",Config!$B$18)</f>
        <v/>
      </c>
      <c r="V1360">
        <f>IF($AG1360="","",Config!$B$19)</f>
        <v/>
      </c>
      <c r="W1360">
        <f>IF($AG1360="","",INDEX('TMP Paste'!$C$2:$C$1601,$AG1360))</f>
        <v/>
      </c>
      <c r="X1360">
        <f>IF($AG1360="","",Config!$B$29)</f>
        <v/>
      </c>
      <c r="Y1360">
        <f>IF($AH1360="","",INDEX(Calc!$I$2:$I$1601,$AH1360)&amp;" - "&amp;INDEX(Calc!$D$2:$D$1601,$AH1360)&amp;" koli")</f>
        <v/>
      </c>
      <c r="Z1360">
        <f>IF($AG1360="","",Config!$B$21)</f>
        <v/>
      </c>
      <c r="AA1360">
        <f>IF($AG1360="","",Config!$B$22)</f>
        <v/>
      </c>
      <c r="AB1360">
        <f>IF($AH1360="","",INDEX(Calc!$D$2:$D$1601,$AH1360))</f>
        <v/>
      </c>
      <c r="AC1360">
        <f>IF($AH1360="","",INDEX(Calc!$G$2:$G$1601,$AH1360))</f>
        <v/>
      </c>
      <c r="AD1360">
        <f>IF($AG1360="","",Config!$B$23)</f>
        <v/>
      </c>
      <c r="AE1360">
        <f>IF($AG1360="","",Config!$B$28)</f>
        <v/>
      </c>
      <c r="AG1360">
        <f>IFERROR(MATCH(ROW()-1,Calc!$J$2:$J$1601,0),"")</f>
        <v/>
      </c>
      <c r="AH1360">
        <f>IFERROR(MATCH(ROW()-1,Calc!$K$2:$K$1601,0),"")</f>
        <v/>
      </c>
      <c r="AI1360">
        <f>IF($AG1360="","",SUMIF($AG$2:$AG1360,$AG1360,$AH$2:$AH1360))</f>
        <v/>
      </c>
      <c r="AJ1360">
        <f>IF('TMP Paste'!$F1360="","",IF('TMP Paste'!$B1360="",$AJ1359,'TMP Paste'!$B1360))</f>
        <v/>
      </c>
      <c r="AK1360">
        <f>IF('TMP Paste'!$F1360="","",N('TMP Paste'!$G1360))</f>
        <v/>
      </c>
      <c r="AL1360">
        <f>IF('TMP Paste'!$F1360="","",IF('TMP Paste'!$M1360="",$AL1359,'TMP Paste'!$M1360))</f>
        <v/>
      </c>
      <c r="AM1360">
        <f>IF('TMP Paste'!$F1360="","",IF('TMP Paste'!$N1360="",$AM1359,'TMP Paste'!$N1360))</f>
        <v/>
      </c>
      <c r="AN1360">
        <f>IF('TMP Paste'!$F1360="","",IF('TMP Paste'!$O1360="",$AN1359,'TMP Paste'!$O1360))</f>
        <v/>
      </c>
      <c r="AO1360">
        <f>IF('TMP Paste'!$F1360="","",IF('TMP Paste'!$P1360="",$AO1359,'TMP Paste'!$P1360))</f>
        <v/>
      </c>
      <c r="AP1360">
        <f>IF($AG1360="","",LEN($R1360))</f>
        <v/>
      </c>
      <c r="AQ1360">
        <f>IF($AG1360="","",TRIM(IF(COUNTIFS(Calc!$B$2:$B$1601,ROW()-1,Calc!$C$2:$C$1601,"&lt;1")&gt;0,"Ada PO tanpa Koli - cek TMP. ","")&amp;IF(LEN($R1360)&gt;500,"R &gt; 500 karakter.","")))</f>
        <v/>
      </c>
    </row>
    <row r="1361">
      <c r="A1361">
        <f>IF($AG1361="","",INDEX('TMP Paste'!$B$2:$B$1601,$AG1361))</f>
        <v/>
      </c>
      <c r="B1361">
        <f>IF($AG1361="","",Config!$B$14)</f>
        <v/>
      </c>
      <c r="C1361">
        <f>IF($AG1361="","",Config!$B$15)</f>
        <v/>
      </c>
      <c r="D1361">
        <f>IF($AG1361="","",INDEX('TMP Paste'!$B$2:$B$1601,$AG1361))</f>
        <v/>
      </c>
      <c r="E1361">
        <f>IF($AG1361="","",Config!$B$27)</f>
        <v/>
      </c>
      <c r="F1361">
        <f>IF($AG1361="","",Config!$B$9)</f>
        <v/>
      </c>
      <c r="G1361">
        <f>IF($AG1361="","",Config!$B$10)</f>
        <v/>
      </c>
      <c r="H1361">
        <f>IF($AG1361="","",Config!$B$11)</f>
        <v/>
      </c>
      <c r="I1361">
        <f>IF($AG1361="","",Config!$B$16)</f>
        <v/>
      </c>
      <c r="J1361">
        <f>IF($AG1361="","",INDEX('TMP Paste'!$A$2:$A$1601,$AG1361))</f>
        <v/>
      </c>
      <c r="K1361">
        <f>IF($AG1361="","",INDEX('TMP Paste'!$L$2:$L$1601,$AG1361))</f>
        <v/>
      </c>
      <c r="L1361">
        <f>IF($AG1361="","",INDEX('TMP Paste'!$I$2:$I$1601,$AG1361))</f>
        <v/>
      </c>
      <c r="M1361">
        <f>IF($AG1361="","",Config!$B$16)</f>
        <v/>
      </c>
      <c r="N1361">
        <f>IF($AG1361="","","")</f>
        <v/>
      </c>
      <c r="O1361">
        <f>IF($AG1361="","",INDEX('TMP Paste'!$K$2:$K$1601,$AG1361))</f>
        <v/>
      </c>
      <c r="P1361">
        <f>IF($AG1361="","","")</f>
        <v/>
      </c>
      <c r="Q1361">
        <f>IF($AG1361="","",INDEX('TMP Paste'!$J$2:$J$1601,$AG1361))</f>
        <v/>
      </c>
      <c r="R1361">
        <f>IF($AG1361="","",Config!$B$24)</f>
        <v/>
      </c>
      <c r="S1361">
        <f>IF($AG1361="","",TEXT(Config!$B$4,"yyyy-mm-dd"))</f>
        <v/>
      </c>
      <c r="T1361">
        <f>IF($AG1361="","",Config!$B$17)</f>
        <v/>
      </c>
      <c r="U1361">
        <f>IF($AG1361="","",Config!$B$18)</f>
        <v/>
      </c>
      <c r="V1361">
        <f>IF($AG1361="","",Config!$B$19)</f>
        <v/>
      </c>
      <c r="W1361">
        <f>IF($AG1361="","",INDEX('TMP Paste'!$C$2:$C$1601,$AG1361))</f>
        <v/>
      </c>
      <c r="X1361">
        <f>IF($AG1361="","",Config!$B$29)</f>
        <v/>
      </c>
      <c r="Y1361">
        <f>IF($AH1361="","",INDEX(Calc!$I$2:$I$1601,$AH1361)&amp;" - "&amp;INDEX(Calc!$D$2:$D$1601,$AH1361)&amp;" koli")</f>
        <v/>
      </c>
      <c r="Z1361">
        <f>IF($AG1361="","",Config!$B$21)</f>
        <v/>
      </c>
      <c r="AA1361">
        <f>IF($AG1361="","",Config!$B$22)</f>
        <v/>
      </c>
      <c r="AB1361">
        <f>IF($AH1361="","",INDEX(Calc!$D$2:$D$1601,$AH1361))</f>
        <v/>
      </c>
      <c r="AC1361">
        <f>IF($AH1361="","",INDEX(Calc!$G$2:$G$1601,$AH1361))</f>
        <v/>
      </c>
      <c r="AD1361">
        <f>IF($AG1361="","",Config!$B$23)</f>
        <v/>
      </c>
      <c r="AE1361">
        <f>IF($AG1361="","",Config!$B$28)</f>
        <v/>
      </c>
      <c r="AG1361">
        <f>IFERROR(MATCH(ROW()-1,Calc!$J$2:$J$1601,0),"")</f>
        <v/>
      </c>
      <c r="AH1361">
        <f>IFERROR(MATCH(ROW()-1,Calc!$K$2:$K$1601,0),"")</f>
        <v/>
      </c>
      <c r="AI1361">
        <f>IF($AG1361="","",SUMIF($AG$2:$AG1361,$AG1361,$AH$2:$AH1361))</f>
        <v/>
      </c>
      <c r="AJ1361">
        <f>IF('TMP Paste'!$F1361="","",IF('TMP Paste'!$B1361="",$AJ1360,'TMP Paste'!$B1361))</f>
        <v/>
      </c>
      <c r="AK1361">
        <f>IF('TMP Paste'!$F1361="","",N('TMP Paste'!$G1361))</f>
        <v/>
      </c>
      <c r="AL1361">
        <f>IF('TMP Paste'!$F1361="","",IF('TMP Paste'!$M1361="",$AL1360,'TMP Paste'!$M1361))</f>
        <v/>
      </c>
      <c r="AM1361">
        <f>IF('TMP Paste'!$F1361="","",IF('TMP Paste'!$N1361="",$AM1360,'TMP Paste'!$N1361))</f>
        <v/>
      </c>
      <c r="AN1361">
        <f>IF('TMP Paste'!$F1361="","",IF('TMP Paste'!$O1361="",$AN1360,'TMP Paste'!$O1361))</f>
        <v/>
      </c>
      <c r="AO1361">
        <f>IF('TMP Paste'!$F1361="","",IF('TMP Paste'!$P1361="",$AO1360,'TMP Paste'!$P1361))</f>
        <v/>
      </c>
      <c r="AP1361">
        <f>IF($AG1361="","",LEN($R1361))</f>
        <v/>
      </c>
      <c r="AQ1361">
        <f>IF($AG1361="","",TRIM(IF(COUNTIFS(Calc!$B$2:$B$1601,ROW()-1,Calc!$C$2:$C$1601,"&lt;1")&gt;0,"Ada PO tanpa Koli - cek TMP. ","")&amp;IF(LEN($R1361)&gt;500,"R &gt; 500 karakter.","")))</f>
        <v/>
      </c>
    </row>
    <row r="1362">
      <c r="A1362">
        <f>IF($AG1362="","",INDEX('TMP Paste'!$B$2:$B$1601,$AG1362))</f>
        <v/>
      </c>
      <c r="B1362">
        <f>IF($AG1362="","",Config!$B$14)</f>
        <v/>
      </c>
      <c r="C1362">
        <f>IF($AG1362="","",Config!$B$15)</f>
        <v/>
      </c>
      <c r="D1362">
        <f>IF($AG1362="","",INDEX('TMP Paste'!$B$2:$B$1601,$AG1362))</f>
        <v/>
      </c>
      <c r="E1362">
        <f>IF($AG1362="","",Config!$B$27)</f>
        <v/>
      </c>
      <c r="F1362">
        <f>IF($AG1362="","",Config!$B$9)</f>
        <v/>
      </c>
      <c r="G1362">
        <f>IF($AG1362="","",Config!$B$10)</f>
        <v/>
      </c>
      <c r="H1362">
        <f>IF($AG1362="","",Config!$B$11)</f>
        <v/>
      </c>
      <c r="I1362">
        <f>IF($AG1362="","",Config!$B$16)</f>
        <v/>
      </c>
      <c r="J1362">
        <f>IF($AG1362="","",INDEX('TMP Paste'!$A$2:$A$1601,$AG1362))</f>
        <v/>
      </c>
      <c r="K1362">
        <f>IF($AG1362="","",INDEX('TMP Paste'!$L$2:$L$1601,$AG1362))</f>
        <v/>
      </c>
      <c r="L1362">
        <f>IF($AG1362="","",INDEX('TMP Paste'!$I$2:$I$1601,$AG1362))</f>
        <v/>
      </c>
      <c r="M1362">
        <f>IF($AG1362="","",Config!$B$16)</f>
        <v/>
      </c>
      <c r="N1362">
        <f>IF($AG1362="","","")</f>
        <v/>
      </c>
      <c r="O1362">
        <f>IF($AG1362="","",INDEX('TMP Paste'!$K$2:$K$1601,$AG1362))</f>
        <v/>
      </c>
      <c r="P1362">
        <f>IF($AG1362="","","")</f>
        <v/>
      </c>
      <c r="Q1362">
        <f>IF($AG1362="","",INDEX('TMP Paste'!$J$2:$J$1601,$AG1362))</f>
        <v/>
      </c>
      <c r="R1362">
        <f>IF($AG1362="","",Config!$B$24)</f>
        <v/>
      </c>
      <c r="S1362">
        <f>IF($AG1362="","",TEXT(Config!$B$4,"yyyy-mm-dd"))</f>
        <v/>
      </c>
      <c r="T1362">
        <f>IF($AG1362="","",Config!$B$17)</f>
        <v/>
      </c>
      <c r="U1362">
        <f>IF($AG1362="","",Config!$B$18)</f>
        <v/>
      </c>
      <c r="V1362">
        <f>IF($AG1362="","",Config!$B$19)</f>
        <v/>
      </c>
      <c r="W1362">
        <f>IF($AG1362="","",INDEX('TMP Paste'!$C$2:$C$1601,$AG1362))</f>
        <v/>
      </c>
      <c r="X1362">
        <f>IF($AG1362="","",Config!$B$29)</f>
        <v/>
      </c>
      <c r="Y1362">
        <f>IF($AH1362="","",INDEX(Calc!$I$2:$I$1601,$AH1362)&amp;" - "&amp;INDEX(Calc!$D$2:$D$1601,$AH1362)&amp;" koli")</f>
        <v/>
      </c>
      <c r="Z1362">
        <f>IF($AG1362="","",Config!$B$21)</f>
        <v/>
      </c>
      <c r="AA1362">
        <f>IF($AG1362="","",Config!$B$22)</f>
        <v/>
      </c>
      <c r="AB1362">
        <f>IF($AH1362="","",INDEX(Calc!$D$2:$D$1601,$AH1362))</f>
        <v/>
      </c>
      <c r="AC1362">
        <f>IF($AH1362="","",INDEX(Calc!$G$2:$G$1601,$AH1362))</f>
        <v/>
      </c>
      <c r="AD1362">
        <f>IF($AG1362="","",Config!$B$23)</f>
        <v/>
      </c>
      <c r="AE1362">
        <f>IF($AG1362="","",Config!$B$28)</f>
        <v/>
      </c>
      <c r="AG1362">
        <f>IFERROR(MATCH(ROW()-1,Calc!$J$2:$J$1601,0),"")</f>
        <v/>
      </c>
      <c r="AH1362">
        <f>IFERROR(MATCH(ROW()-1,Calc!$K$2:$K$1601,0),"")</f>
        <v/>
      </c>
      <c r="AI1362">
        <f>IF($AG1362="","",SUMIF($AG$2:$AG1362,$AG1362,$AH$2:$AH1362))</f>
        <v/>
      </c>
      <c r="AJ1362">
        <f>IF('TMP Paste'!$F1362="","",IF('TMP Paste'!$B1362="",$AJ1361,'TMP Paste'!$B1362))</f>
        <v/>
      </c>
      <c r="AK1362">
        <f>IF('TMP Paste'!$F1362="","",N('TMP Paste'!$G1362))</f>
        <v/>
      </c>
      <c r="AL1362">
        <f>IF('TMP Paste'!$F1362="","",IF('TMP Paste'!$M1362="",$AL1361,'TMP Paste'!$M1362))</f>
        <v/>
      </c>
      <c r="AM1362">
        <f>IF('TMP Paste'!$F1362="","",IF('TMP Paste'!$N1362="",$AM1361,'TMP Paste'!$N1362))</f>
        <v/>
      </c>
      <c r="AN1362">
        <f>IF('TMP Paste'!$F1362="","",IF('TMP Paste'!$O1362="",$AN1361,'TMP Paste'!$O1362))</f>
        <v/>
      </c>
      <c r="AO1362">
        <f>IF('TMP Paste'!$F1362="","",IF('TMP Paste'!$P1362="",$AO1361,'TMP Paste'!$P1362))</f>
        <v/>
      </c>
      <c r="AP1362">
        <f>IF($AG1362="","",LEN($R1362))</f>
        <v/>
      </c>
      <c r="AQ1362">
        <f>IF($AG1362="","",TRIM(IF(COUNTIFS(Calc!$B$2:$B$1601,ROW()-1,Calc!$C$2:$C$1601,"&lt;1")&gt;0,"Ada PO tanpa Koli - cek TMP. ","")&amp;IF(LEN($R1362)&gt;500,"R &gt; 500 karakter.","")))</f>
        <v/>
      </c>
    </row>
    <row r="1363">
      <c r="A1363">
        <f>IF($AG1363="","",INDEX('TMP Paste'!$B$2:$B$1601,$AG1363))</f>
        <v/>
      </c>
      <c r="B1363">
        <f>IF($AG1363="","",Config!$B$14)</f>
        <v/>
      </c>
      <c r="C1363">
        <f>IF($AG1363="","",Config!$B$15)</f>
        <v/>
      </c>
      <c r="D1363">
        <f>IF($AG1363="","",INDEX('TMP Paste'!$B$2:$B$1601,$AG1363))</f>
        <v/>
      </c>
      <c r="E1363">
        <f>IF($AG1363="","",Config!$B$27)</f>
        <v/>
      </c>
      <c r="F1363">
        <f>IF($AG1363="","",Config!$B$9)</f>
        <v/>
      </c>
      <c r="G1363">
        <f>IF($AG1363="","",Config!$B$10)</f>
        <v/>
      </c>
      <c r="H1363">
        <f>IF($AG1363="","",Config!$B$11)</f>
        <v/>
      </c>
      <c r="I1363">
        <f>IF($AG1363="","",Config!$B$16)</f>
        <v/>
      </c>
      <c r="J1363">
        <f>IF($AG1363="","",INDEX('TMP Paste'!$A$2:$A$1601,$AG1363))</f>
        <v/>
      </c>
      <c r="K1363">
        <f>IF($AG1363="","",INDEX('TMP Paste'!$L$2:$L$1601,$AG1363))</f>
        <v/>
      </c>
      <c r="L1363">
        <f>IF($AG1363="","",INDEX('TMP Paste'!$I$2:$I$1601,$AG1363))</f>
        <v/>
      </c>
      <c r="M1363">
        <f>IF($AG1363="","",Config!$B$16)</f>
        <v/>
      </c>
      <c r="N1363">
        <f>IF($AG1363="","","")</f>
        <v/>
      </c>
      <c r="O1363">
        <f>IF($AG1363="","",INDEX('TMP Paste'!$K$2:$K$1601,$AG1363))</f>
        <v/>
      </c>
      <c r="P1363">
        <f>IF($AG1363="","","")</f>
        <v/>
      </c>
      <c r="Q1363">
        <f>IF($AG1363="","",INDEX('TMP Paste'!$J$2:$J$1601,$AG1363))</f>
        <v/>
      </c>
      <c r="R1363">
        <f>IF($AG1363="","",Config!$B$24)</f>
        <v/>
      </c>
      <c r="S1363">
        <f>IF($AG1363="","",TEXT(Config!$B$4,"yyyy-mm-dd"))</f>
        <v/>
      </c>
      <c r="T1363">
        <f>IF($AG1363="","",Config!$B$17)</f>
        <v/>
      </c>
      <c r="U1363">
        <f>IF($AG1363="","",Config!$B$18)</f>
        <v/>
      </c>
      <c r="V1363">
        <f>IF($AG1363="","",Config!$B$19)</f>
        <v/>
      </c>
      <c r="W1363">
        <f>IF($AG1363="","",INDEX('TMP Paste'!$C$2:$C$1601,$AG1363))</f>
        <v/>
      </c>
      <c r="X1363">
        <f>IF($AG1363="","",Config!$B$29)</f>
        <v/>
      </c>
      <c r="Y1363">
        <f>IF($AH1363="","",INDEX(Calc!$I$2:$I$1601,$AH1363)&amp;" - "&amp;INDEX(Calc!$D$2:$D$1601,$AH1363)&amp;" koli")</f>
        <v/>
      </c>
      <c r="Z1363">
        <f>IF($AG1363="","",Config!$B$21)</f>
        <v/>
      </c>
      <c r="AA1363">
        <f>IF($AG1363="","",Config!$B$22)</f>
        <v/>
      </c>
      <c r="AB1363">
        <f>IF($AH1363="","",INDEX(Calc!$D$2:$D$1601,$AH1363))</f>
        <v/>
      </c>
      <c r="AC1363">
        <f>IF($AH1363="","",INDEX(Calc!$G$2:$G$1601,$AH1363))</f>
        <v/>
      </c>
      <c r="AD1363">
        <f>IF($AG1363="","",Config!$B$23)</f>
        <v/>
      </c>
      <c r="AE1363">
        <f>IF($AG1363="","",Config!$B$28)</f>
        <v/>
      </c>
      <c r="AG1363">
        <f>IFERROR(MATCH(ROW()-1,Calc!$J$2:$J$1601,0),"")</f>
        <v/>
      </c>
      <c r="AH1363">
        <f>IFERROR(MATCH(ROW()-1,Calc!$K$2:$K$1601,0),"")</f>
        <v/>
      </c>
      <c r="AI1363">
        <f>IF($AG1363="","",SUMIF($AG$2:$AG1363,$AG1363,$AH$2:$AH1363))</f>
        <v/>
      </c>
      <c r="AJ1363">
        <f>IF('TMP Paste'!$F1363="","",IF('TMP Paste'!$B1363="",$AJ1362,'TMP Paste'!$B1363))</f>
        <v/>
      </c>
      <c r="AK1363">
        <f>IF('TMP Paste'!$F1363="","",N('TMP Paste'!$G1363))</f>
        <v/>
      </c>
      <c r="AL1363">
        <f>IF('TMP Paste'!$F1363="","",IF('TMP Paste'!$M1363="",$AL1362,'TMP Paste'!$M1363))</f>
        <v/>
      </c>
      <c r="AM1363">
        <f>IF('TMP Paste'!$F1363="","",IF('TMP Paste'!$N1363="",$AM1362,'TMP Paste'!$N1363))</f>
        <v/>
      </c>
      <c r="AN1363">
        <f>IF('TMP Paste'!$F1363="","",IF('TMP Paste'!$O1363="",$AN1362,'TMP Paste'!$O1363))</f>
        <v/>
      </c>
      <c r="AO1363">
        <f>IF('TMP Paste'!$F1363="","",IF('TMP Paste'!$P1363="",$AO1362,'TMP Paste'!$P1363))</f>
        <v/>
      </c>
      <c r="AP1363">
        <f>IF($AG1363="","",LEN($R1363))</f>
        <v/>
      </c>
      <c r="AQ1363">
        <f>IF($AG1363="","",TRIM(IF(COUNTIFS(Calc!$B$2:$B$1601,ROW()-1,Calc!$C$2:$C$1601,"&lt;1")&gt;0,"Ada PO tanpa Koli - cek TMP. ","")&amp;IF(LEN($R1363)&gt;500,"R &gt; 500 karakter.","")))</f>
        <v/>
      </c>
    </row>
    <row r="1364">
      <c r="A1364">
        <f>IF($AG1364="","",INDEX('TMP Paste'!$B$2:$B$1601,$AG1364))</f>
        <v/>
      </c>
      <c r="B1364">
        <f>IF($AG1364="","",Config!$B$14)</f>
        <v/>
      </c>
      <c r="C1364">
        <f>IF($AG1364="","",Config!$B$15)</f>
        <v/>
      </c>
      <c r="D1364">
        <f>IF($AG1364="","",INDEX('TMP Paste'!$B$2:$B$1601,$AG1364))</f>
        <v/>
      </c>
      <c r="E1364">
        <f>IF($AG1364="","",Config!$B$27)</f>
        <v/>
      </c>
      <c r="F1364">
        <f>IF($AG1364="","",Config!$B$9)</f>
        <v/>
      </c>
      <c r="G1364">
        <f>IF($AG1364="","",Config!$B$10)</f>
        <v/>
      </c>
      <c r="H1364">
        <f>IF($AG1364="","",Config!$B$11)</f>
        <v/>
      </c>
      <c r="I1364">
        <f>IF($AG1364="","",Config!$B$16)</f>
        <v/>
      </c>
      <c r="J1364">
        <f>IF($AG1364="","",INDEX('TMP Paste'!$A$2:$A$1601,$AG1364))</f>
        <v/>
      </c>
      <c r="K1364">
        <f>IF($AG1364="","",INDEX('TMP Paste'!$L$2:$L$1601,$AG1364))</f>
        <v/>
      </c>
      <c r="L1364">
        <f>IF($AG1364="","",INDEX('TMP Paste'!$I$2:$I$1601,$AG1364))</f>
        <v/>
      </c>
      <c r="M1364">
        <f>IF($AG1364="","",Config!$B$16)</f>
        <v/>
      </c>
      <c r="N1364">
        <f>IF($AG1364="","","")</f>
        <v/>
      </c>
      <c r="O1364">
        <f>IF($AG1364="","",INDEX('TMP Paste'!$K$2:$K$1601,$AG1364))</f>
        <v/>
      </c>
      <c r="P1364">
        <f>IF($AG1364="","","")</f>
        <v/>
      </c>
      <c r="Q1364">
        <f>IF($AG1364="","",INDEX('TMP Paste'!$J$2:$J$1601,$AG1364))</f>
        <v/>
      </c>
      <c r="R1364">
        <f>IF($AG1364="","",Config!$B$24)</f>
        <v/>
      </c>
      <c r="S1364">
        <f>IF($AG1364="","",TEXT(Config!$B$4,"yyyy-mm-dd"))</f>
        <v/>
      </c>
      <c r="T1364">
        <f>IF($AG1364="","",Config!$B$17)</f>
        <v/>
      </c>
      <c r="U1364">
        <f>IF($AG1364="","",Config!$B$18)</f>
        <v/>
      </c>
      <c r="V1364">
        <f>IF($AG1364="","",Config!$B$19)</f>
        <v/>
      </c>
      <c r="W1364">
        <f>IF($AG1364="","",INDEX('TMP Paste'!$C$2:$C$1601,$AG1364))</f>
        <v/>
      </c>
      <c r="X1364">
        <f>IF($AG1364="","",Config!$B$29)</f>
        <v/>
      </c>
      <c r="Y1364">
        <f>IF($AH1364="","",INDEX(Calc!$I$2:$I$1601,$AH1364)&amp;" - "&amp;INDEX(Calc!$D$2:$D$1601,$AH1364)&amp;" koli")</f>
        <v/>
      </c>
      <c r="Z1364">
        <f>IF($AG1364="","",Config!$B$21)</f>
        <v/>
      </c>
      <c r="AA1364">
        <f>IF($AG1364="","",Config!$B$22)</f>
        <v/>
      </c>
      <c r="AB1364">
        <f>IF($AH1364="","",INDEX(Calc!$D$2:$D$1601,$AH1364))</f>
        <v/>
      </c>
      <c r="AC1364">
        <f>IF($AH1364="","",INDEX(Calc!$G$2:$G$1601,$AH1364))</f>
        <v/>
      </c>
      <c r="AD1364">
        <f>IF($AG1364="","",Config!$B$23)</f>
        <v/>
      </c>
      <c r="AE1364">
        <f>IF($AG1364="","",Config!$B$28)</f>
        <v/>
      </c>
      <c r="AG1364">
        <f>IFERROR(MATCH(ROW()-1,Calc!$J$2:$J$1601,0),"")</f>
        <v/>
      </c>
      <c r="AH1364">
        <f>IFERROR(MATCH(ROW()-1,Calc!$K$2:$K$1601,0),"")</f>
        <v/>
      </c>
      <c r="AI1364">
        <f>IF($AG1364="","",SUMIF($AG$2:$AG1364,$AG1364,$AH$2:$AH1364))</f>
        <v/>
      </c>
      <c r="AJ1364">
        <f>IF('TMP Paste'!$F1364="","",IF('TMP Paste'!$B1364="",$AJ1363,'TMP Paste'!$B1364))</f>
        <v/>
      </c>
      <c r="AK1364">
        <f>IF('TMP Paste'!$F1364="","",N('TMP Paste'!$G1364))</f>
        <v/>
      </c>
      <c r="AL1364">
        <f>IF('TMP Paste'!$F1364="","",IF('TMP Paste'!$M1364="",$AL1363,'TMP Paste'!$M1364))</f>
        <v/>
      </c>
      <c r="AM1364">
        <f>IF('TMP Paste'!$F1364="","",IF('TMP Paste'!$N1364="",$AM1363,'TMP Paste'!$N1364))</f>
        <v/>
      </c>
      <c r="AN1364">
        <f>IF('TMP Paste'!$F1364="","",IF('TMP Paste'!$O1364="",$AN1363,'TMP Paste'!$O1364))</f>
        <v/>
      </c>
      <c r="AO1364">
        <f>IF('TMP Paste'!$F1364="","",IF('TMP Paste'!$P1364="",$AO1363,'TMP Paste'!$P1364))</f>
        <v/>
      </c>
      <c r="AP1364">
        <f>IF($AG1364="","",LEN($R1364))</f>
        <v/>
      </c>
      <c r="AQ1364">
        <f>IF($AG1364="","",TRIM(IF(COUNTIFS(Calc!$B$2:$B$1601,ROW()-1,Calc!$C$2:$C$1601,"&lt;1")&gt;0,"Ada PO tanpa Koli - cek TMP. ","")&amp;IF(LEN($R1364)&gt;500,"R &gt; 500 karakter.","")))</f>
        <v/>
      </c>
    </row>
    <row r="1365">
      <c r="A1365">
        <f>IF($AG1365="","",INDEX('TMP Paste'!$B$2:$B$1601,$AG1365))</f>
        <v/>
      </c>
      <c r="B1365">
        <f>IF($AG1365="","",Config!$B$14)</f>
        <v/>
      </c>
      <c r="C1365">
        <f>IF($AG1365="","",Config!$B$15)</f>
        <v/>
      </c>
      <c r="D1365">
        <f>IF($AG1365="","",INDEX('TMP Paste'!$B$2:$B$1601,$AG1365))</f>
        <v/>
      </c>
      <c r="E1365">
        <f>IF($AG1365="","",Config!$B$27)</f>
        <v/>
      </c>
      <c r="F1365">
        <f>IF($AG1365="","",Config!$B$9)</f>
        <v/>
      </c>
      <c r="G1365">
        <f>IF($AG1365="","",Config!$B$10)</f>
        <v/>
      </c>
      <c r="H1365">
        <f>IF($AG1365="","",Config!$B$11)</f>
        <v/>
      </c>
      <c r="I1365">
        <f>IF($AG1365="","",Config!$B$16)</f>
        <v/>
      </c>
      <c r="J1365">
        <f>IF($AG1365="","",INDEX('TMP Paste'!$A$2:$A$1601,$AG1365))</f>
        <v/>
      </c>
      <c r="K1365">
        <f>IF($AG1365="","",INDEX('TMP Paste'!$L$2:$L$1601,$AG1365))</f>
        <v/>
      </c>
      <c r="L1365">
        <f>IF($AG1365="","",INDEX('TMP Paste'!$I$2:$I$1601,$AG1365))</f>
        <v/>
      </c>
      <c r="M1365">
        <f>IF($AG1365="","",Config!$B$16)</f>
        <v/>
      </c>
      <c r="N1365">
        <f>IF($AG1365="","","")</f>
        <v/>
      </c>
      <c r="O1365">
        <f>IF($AG1365="","",INDEX('TMP Paste'!$K$2:$K$1601,$AG1365))</f>
        <v/>
      </c>
      <c r="P1365">
        <f>IF($AG1365="","","")</f>
        <v/>
      </c>
      <c r="Q1365">
        <f>IF($AG1365="","",INDEX('TMP Paste'!$J$2:$J$1601,$AG1365))</f>
        <v/>
      </c>
      <c r="R1365">
        <f>IF($AG1365="","",Config!$B$24)</f>
        <v/>
      </c>
      <c r="S1365">
        <f>IF($AG1365="","",TEXT(Config!$B$4,"yyyy-mm-dd"))</f>
        <v/>
      </c>
      <c r="T1365">
        <f>IF($AG1365="","",Config!$B$17)</f>
        <v/>
      </c>
      <c r="U1365">
        <f>IF($AG1365="","",Config!$B$18)</f>
        <v/>
      </c>
      <c r="V1365">
        <f>IF($AG1365="","",Config!$B$19)</f>
        <v/>
      </c>
      <c r="W1365">
        <f>IF($AG1365="","",INDEX('TMP Paste'!$C$2:$C$1601,$AG1365))</f>
        <v/>
      </c>
      <c r="X1365">
        <f>IF($AG1365="","",Config!$B$29)</f>
        <v/>
      </c>
      <c r="Y1365">
        <f>IF($AH1365="","",INDEX(Calc!$I$2:$I$1601,$AH1365)&amp;" - "&amp;INDEX(Calc!$D$2:$D$1601,$AH1365)&amp;" koli")</f>
        <v/>
      </c>
      <c r="Z1365">
        <f>IF($AG1365="","",Config!$B$21)</f>
        <v/>
      </c>
      <c r="AA1365">
        <f>IF($AG1365="","",Config!$B$22)</f>
        <v/>
      </c>
      <c r="AB1365">
        <f>IF($AH1365="","",INDEX(Calc!$D$2:$D$1601,$AH1365))</f>
        <v/>
      </c>
      <c r="AC1365">
        <f>IF($AH1365="","",INDEX(Calc!$G$2:$G$1601,$AH1365))</f>
        <v/>
      </c>
      <c r="AD1365">
        <f>IF($AG1365="","",Config!$B$23)</f>
        <v/>
      </c>
      <c r="AE1365">
        <f>IF($AG1365="","",Config!$B$28)</f>
        <v/>
      </c>
      <c r="AG1365">
        <f>IFERROR(MATCH(ROW()-1,Calc!$J$2:$J$1601,0),"")</f>
        <v/>
      </c>
      <c r="AH1365">
        <f>IFERROR(MATCH(ROW()-1,Calc!$K$2:$K$1601,0),"")</f>
        <v/>
      </c>
      <c r="AI1365">
        <f>IF($AG1365="","",SUMIF($AG$2:$AG1365,$AG1365,$AH$2:$AH1365))</f>
        <v/>
      </c>
      <c r="AJ1365">
        <f>IF('TMP Paste'!$F1365="","",IF('TMP Paste'!$B1365="",$AJ1364,'TMP Paste'!$B1365))</f>
        <v/>
      </c>
      <c r="AK1365">
        <f>IF('TMP Paste'!$F1365="","",N('TMP Paste'!$G1365))</f>
        <v/>
      </c>
      <c r="AL1365">
        <f>IF('TMP Paste'!$F1365="","",IF('TMP Paste'!$M1365="",$AL1364,'TMP Paste'!$M1365))</f>
        <v/>
      </c>
      <c r="AM1365">
        <f>IF('TMP Paste'!$F1365="","",IF('TMP Paste'!$N1365="",$AM1364,'TMP Paste'!$N1365))</f>
        <v/>
      </c>
      <c r="AN1365">
        <f>IF('TMP Paste'!$F1365="","",IF('TMP Paste'!$O1365="",$AN1364,'TMP Paste'!$O1365))</f>
        <v/>
      </c>
      <c r="AO1365">
        <f>IF('TMP Paste'!$F1365="","",IF('TMP Paste'!$P1365="",$AO1364,'TMP Paste'!$P1365))</f>
        <v/>
      </c>
      <c r="AP1365">
        <f>IF($AG1365="","",LEN($R1365))</f>
        <v/>
      </c>
      <c r="AQ1365">
        <f>IF($AG1365="","",TRIM(IF(COUNTIFS(Calc!$B$2:$B$1601,ROW()-1,Calc!$C$2:$C$1601,"&lt;1")&gt;0,"Ada PO tanpa Koli - cek TMP. ","")&amp;IF(LEN($R1365)&gt;500,"R &gt; 500 karakter.","")))</f>
        <v/>
      </c>
    </row>
    <row r="1366">
      <c r="A1366">
        <f>IF($AG1366="","",INDEX('TMP Paste'!$B$2:$B$1601,$AG1366))</f>
        <v/>
      </c>
      <c r="B1366">
        <f>IF($AG1366="","",Config!$B$14)</f>
        <v/>
      </c>
      <c r="C1366">
        <f>IF($AG1366="","",Config!$B$15)</f>
        <v/>
      </c>
      <c r="D1366">
        <f>IF($AG1366="","",INDEX('TMP Paste'!$B$2:$B$1601,$AG1366))</f>
        <v/>
      </c>
      <c r="E1366">
        <f>IF($AG1366="","",Config!$B$27)</f>
        <v/>
      </c>
      <c r="F1366">
        <f>IF($AG1366="","",Config!$B$9)</f>
        <v/>
      </c>
      <c r="G1366">
        <f>IF($AG1366="","",Config!$B$10)</f>
        <v/>
      </c>
      <c r="H1366">
        <f>IF($AG1366="","",Config!$B$11)</f>
        <v/>
      </c>
      <c r="I1366">
        <f>IF($AG1366="","",Config!$B$16)</f>
        <v/>
      </c>
      <c r="J1366">
        <f>IF($AG1366="","",INDEX('TMP Paste'!$A$2:$A$1601,$AG1366))</f>
        <v/>
      </c>
      <c r="K1366">
        <f>IF($AG1366="","",INDEX('TMP Paste'!$L$2:$L$1601,$AG1366))</f>
        <v/>
      </c>
      <c r="L1366">
        <f>IF($AG1366="","",INDEX('TMP Paste'!$I$2:$I$1601,$AG1366))</f>
        <v/>
      </c>
      <c r="M1366">
        <f>IF($AG1366="","",Config!$B$16)</f>
        <v/>
      </c>
      <c r="N1366">
        <f>IF($AG1366="","","")</f>
        <v/>
      </c>
      <c r="O1366">
        <f>IF($AG1366="","",INDEX('TMP Paste'!$K$2:$K$1601,$AG1366))</f>
        <v/>
      </c>
      <c r="P1366">
        <f>IF($AG1366="","","")</f>
        <v/>
      </c>
      <c r="Q1366">
        <f>IF($AG1366="","",INDEX('TMP Paste'!$J$2:$J$1601,$AG1366))</f>
        <v/>
      </c>
      <c r="R1366">
        <f>IF($AG1366="","",Config!$B$24)</f>
        <v/>
      </c>
      <c r="S1366">
        <f>IF($AG1366="","",TEXT(Config!$B$4,"yyyy-mm-dd"))</f>
        <v/>
      </c>
      <c r="T1366">
        <f>IF($AG1366="","",Config!$B$17)</f>
        <v/>
      </c>
      <c r="U1366">
        <f>IF($AG1366="","",Config!$B$18)</f>
        <v/>
      </c>
      <c r="V1366">
        <f>IF($AG1366="","",Config!$B$19)</f>
        <v/>
      </c>
      <c r="W1366">
        <f>IF($AG1366="","",INDEX('TMP Paste'!$C$2:$C$1601,$AG1366))</f>
        <v/>
      </c>
      <c r="X1366">
        <f>IF($AG1366="","",Config!$B$29)</f>
        <v/>
      </c>
      <c r="Y1366">
        <f>IF($AH1366="","",INDEX(Calc!$I$2:$I$1601,$AH1366)&amp;" - "&amp;INDEX(Calc!$D$2:$D$1601,$AH1366)&amp;" koli")</f>
        <v/>
      </c>
      <c r="Z1366">
        <f>IF($AG1366="","",Config!$B$21)</f>
        <v/>
      </c>
      <c r="AA1366">
        <f>IF($AG1366="","",Config!$B$22)</f>
        <v/>
      </c>
      <c r="AB1366">
        <f>IF($AH1366="","",INDEX(Calc!$D$2:$D$1601,$AH1366))</f>
        <v/>
      </c>
      <c r="AC1366">
        <f>IF($AH1366="","",INDEX(Calc!$G$2:$G$1601,$AH1366))</f>
        <v/>
      </c>
      <c r="AD1366">
        <f>IF($AG1366="","",Config!$B$23)</f>
        <v/>
      </c>
      <c r="AE1366">
        <f>IF($AG1366="","",Config!$B$28)</f>
        <v/>
      </c>
      <c r="AG1366">
        <f>IFERROR(MATCH(ROW()-1,Calc!$J$2:$J$1601,0),"")</f>
        <v/>
      </c>
      <c r="AH1366">
        <f>IFERROR(MATCH(ROW()-1,Calc!$K$2:$K$1601,0),"")</f>
        <v/>
      </c>
      <c r="AI1366">
        <f>IF($AG1366="","",SUMIF($AG$2:$AG1366,$AG1366,$AH$2:$AH1366))</f>
        <v/>
      </c>
      <c r="AJ1366">
        <f>IF('TMP Paste'!$F1366="","",IF('TMP Paste'!$B1366="",$AJ1365,'TMP Paste'!$B1366))</f>
        <v/>
      </c>
      <c r="AK1366">
        <f>IF('TMP Paste'!$F1366="","",N('TMP Paste'!$G1366))</f>
        <v/>
      </c>
      <c r="AL1366">
        <f>IF('TMP Paste'!$F1366="","",IF('TMP Paste'!$M1366="",$AL1365,'TMP Paste'!$M1366))</f>
        <v/>
      </c>
      <c r="AM1366">
        <f>IF('TMP Paste'!$F1366="","",IF('TMP Paste'!$N1366="",$AM1365,'TMP Paste'!$N1366))</f>
        <v/>
      </c>
      <c r="AN1366">
        <f>IF('TMP Paste'!$F1366="","",IF('TMP Paste'!$O1366="",$AN1365,'TMP Paste'!$O1366))</f>
        <v/>
      </c>
      <c r="AO1366">
        <f>IF('TMP Paste'!$F1366="","",IF('TMP Paste'!$P1366="",$AO1365,'TMP Paste'!$P1366))</f>
        <v/>
      </c>
      <c r="AP1366">
        <f>IF($AG1366="","",LEN($R1366))</f>
        <v/>
      </c>
      <c r="AQ1366">
        <f>IF($AG1366="","",TRIM(IF(COUNTIFS(Calc!$B$2:$B$1601,ROW()-1,Calc!$C$2:$C$1601,"&lt;1")&gt;0,"Ada PO tanpa Koli - cek TMP. ","")&amp;IF(LEN($R1366)&gt;500,"R &gt; 500 karakter.","")))</f>
        <v/>
      </c>
    </row>
    <row r="1367">
      <c r="A1367">
        <f>IF($AG1367="","",INDEX('TMP Paste'!$B$2:$B$1601,$AG1367))</f>
        <v/>
      </c>
      <c r="B1367">
        <f>IF($AG1367="","",Config!$B$14)</f>
        <v/>
      </c>
      <c r="C1367">
        <f>IF($AG1367="","",Config!$B$15)</f>
        <v/>
      </c>
      <c r="D1367">
        <f>IF($AG1367="","",INDEX('TMP Paste'!$B$2:$B$1601,$AG1367))</f>
        <v/>
      </c>
      <c r="E1367">
        <f>IF($AG1367="","",Config!$B$27)</f>
        <v/>
      </c>
      <c r="F1367">
        <f>IF($AG1367="","",Config!$B$9)</f>
        <v/>
      </c>
      <c r="G1367">
        <f>IF($AG1367="","",Config!$B$10)</f>
        <v/>
      </c>
      <c r="H1367">
        <f>IF($AG1367="","",Config!$B$11)</f>
        <v/>
      </c>
      <c r="I1367">
        <f>IF($AG1367="","",Config!$B$16)</f>
        <v/>
      </c>
      <c r="J1367">
        <f>IF($AG1367="","",INDEX('TMP Paste'!$A$2:$A$1601,$AG1367))</f>
        <v/>
      </c>
      <c r="K1367">
        <f>IF($AG1367="","",INDEX('TMP Paste'!$L$2:$L$1601,$AG1367))</f>
        <v/>
      </c>
      <c r="L1367">
        <f>IF($AG1367="","",INDEX('TMP Paste'!$I$2:$I$1601,$AG1367))</f>
        <v/>
      </c>
      <c r="M1367">
        <f>IF($AG1367="","",Config!$B$16)</f>
        <v/>
      </c>
      <c r="N1367">
        <f>IF($AG1367="","","")</f>
        <v/>
      </c>
      <c r="O1367">
        <f>IF($AG1367="","",INDEX('TMP Paste'!$K$2:$K$1601,$AG1367))</f>
        <v/>
      </c>
      <c r="P1367">
        <f>IF($AG1367="","","")</f>
        <v/>
      </c>
      <c r="Q1367">
        <f>IF($AG1367="","",INDEX('TMP Paste'!$J$2:$J$1601,$AG1367))</f>
        <v/>
      </c>
      <c r="R1367">
        <f>IF($AG1367="","",Config!$B$24)</f>
        <v/>
      </c>
      <c r="S1367">
        <f>IF($AG1367="","",TEXT(Config!$B$4,"yyyy-mm-dd"))</f>
        <v/>
      </c>
      <c r="T1367">
        <f>IF($AG1367="","",Config!$B$17)</f>
        <v/>
      </c>
      <c r="U1367">
        <f>IF($AG1367="","",Config!$B$18)</f>
        <v/>
      </c>
      <c r="V1367">
        <f>IF($AG1367="","",Config!$B$19)</f>
        <v/>
      </c>
      <c r="W1367">
        <f>IF($AG1367="","",INDEX('TMP Paste'!$C$2:$C$1601,$AG1367))</f>
        <v/>
      </c>
      <c r="X1367">
        <f>IF($AG1367="","",Config!$B$29)</f>
        <v/>
      </c>
      <c r="Y1367">
        <f>IF($AH1367="","",INDEX(Calc!$I$2:$I$1601,$AH1367)&amp;" - "&amp;INDEX(Calc!$D$2:$D$1601,$AH1367)&amp;" koli")</f>
        <v/>
      </c>
      <c r="Z1367">
        <f>IF($AG1367="","",Config!$B$21)</f>
        <v/>
      </c>
      <c r="AA1367">
        <f>IF($AG1367="","",Config!$B$22)</f>
        <v/>
      </c>
      <c r="AB1367">
        <f>IF($AH1367="","",INDEX(Calc!$D$2:$D$1601,$AH1367))</f>
        <v/>
      </c>
      <c r="AC1367">
        <f>IF($AH1367="","",INDEX(Calc!$G$2:$G$1601,$AH1367))</f>
        <v/>
      </c>
      <c r="AD1367">
        <f>IF($AG1367="","",Config!$B$23)</f>
        <v/>
      </c>
      <c r="AE1367">
        <f>IF($AG1367="","",Config!$B$28)</f>
        <v/>
      </c>
      <c r="AG1367">
        <f>IFERROR(MATCH(ROW()-1,Calc!$J$2:$J$1601,0),"")</f>
        <v/>
      </c>
      <c r="AH1367">
        <f>IFERROR(MATCH(ROW()-1,Calc!$K$2:$K$1601,0),"")</f>
        <v/>
      </c>
      <c r="AI1367">
        <f>IF($AG1367="","",SUMIF($AG$2:$AG1367,$AG1367,$AH$2:$AH1367))</f>
        <v/>
      </c>
      <c r="AJ1367">
        <f>IF('TMP Paste'!$F1367="","",IF('TMP Paste'!$B1367="",$AJ1366,'TMP Paste'!$B1367))</f>
        <v/>
      </c>
      <c r="AK1367">
        <f>IF('TMP Paste'!$F1367="","",N('TMP Paste'!$G1367))</f>
        <v/>
      </c>
      <c r="AL1367">
        <f>IF('TMP Paste'!$F1367="","",IF('TMP Paste'!$M1367="",$AL1366,'TMP Paste'!$M1367))</f>
        <v/>
      </c>
      <c r="AM1367">
        <f>IF('TMP Paste'!$F1367="","",IF('TMP Paste'!$N1367="",$AM1366,'TMP Paste'!$N1367))</f>
        <v/>
      </c>
      <c r="AN1367">
        <f>IF('TMP Paste'!$F1367="","",IF('TMP Paste'!$O1367="",$AN1366,'TMP Paste'!$O1367))</f>
        <v/>
      </c>
      <c r="AO1367">
        <f>IF('TMP Paste'!$F1367="","",IF('TMP Paste'!$P1367="",$AO1366,'TMP Paste'!$P1367))</f>
        <v/>
      </c>
      <c r="AP1367">
        <f>IF($AG1367="","",LEN($R1367))</f>
        <v/>
      </c>
      <c r="AQ1367">
        <f>IF($AG1367="","",TRIM(IF(COUNTIFS(Calc!$B$2:$B$1601,ROW()-1,Calc!$C$2:$C$1601,"&lt;1")&gt;0,"Ada PO tanpa Koli - cek TMP. ","")&amp;IF(LEN($R1367)&gt;500,"R &gt; 500 karakter.","")))</f>
        <v/>
      </c>
    </row>
    <row r="1368">
      <c r="A1368">
        <f>IF($AG1368="","",INDEX('TMP Paste'!$B$2:$B$1601,$AG1368))</f>
        <v/>
      </c>
      <c r="B1368">
        <f>IF($AG1368="","",Config!$B$14)</f>
        <v/>
      </c>
      <c r="C1368">
        <f>IF($AG1368="","",Config!$B$15)</f>
        <v/>
      </c>
      <c r="D1368">
        <f>IF($AG1368="","",INDEX('TMP Paste'!$B$2:$B$1601,$AG1368))</f>
        <v/>
      </c>
      <c r="E1368">
        <f>IF($AG1368="","",Config!$B$27)</f>
        <v/>
      </c>
      <c r="F1368">
        <f>IF($AG1368="","",Config!$B$9)</f>
        <v/>
      </c>
      <c r="G1368">
        <f>IF($AG1368="","",Config!$B$10)</f>
        <v/>
      </c>
      <c r="H1368">
        <f>IF($AG1368="","",Config!$B$11)</f>
        <v/>
      </c>
      <c r="I1368">
        <f>IF($AG1368="","",Config!$B$16)</f>
        <v/>
      </c>
      <c r="J1368">
        <f>IF($AG1368="","",INDEX('TMP Paste'!$A$2:$A$1601,$AG1368))</f>
        <v/>
      </c>
      <c r="K1368">
        <f>IF($AG1368="","",INDEX('TMP Paste'!$L$2:$L$1601,$AG1368))</f>
        <v/>
      </c>
      <c r="L1368">
        <f>IF($AG1368="","",INDEX('TMP Paste'!$I$2:$I$1601,$AG1368))</f>
        <v/>
      </c>
      <c r="M1368">
        <f>IF($AG1368="","",Config!$B$16)</f>
        <v/>
      </c>
      <c r="N1368">
        <f>IF($AG1368="","","")</f>
        <v/>
      </c>
      <c r="O1368">
        <f>IF($AG1368="","",INDEX('TMP Paste'!$K$2:$K$1601,$AG1368))</f>
        <v/>
      </c>
      <c r="P1368">
        <f>IF($AG1368="","","")</f>
        <v/>
      </c>
      <c r="Q1368">
        <f>IF($AG1368="","",INDEX('TMP Paste'!$J$2:$J$1601,$AG1368))</f>
        <v/>
      </c>
      <c r="R1368">
        <f>IF($AG1368="","",Config!$B$24)</f>
        <v/>
      </c>
      <c r="S1368">
        <f>IF($AG1368="","",TEXT(Config!$B$4,"yyyy-mm-dd"))</f>
        <v/>
      </c>
      <c r="T1368">
        <f>IF($AG1368="","",Config!$B$17)</f>
        <v/>
      </c>
      <c r="U1368">
        <f>IF($AG1368="","",Config!$B$18)</f>
        <v/>
      </c>
      <c r="V1368">
        <f>IF($AG1368="","",Config!$B$19)</f>
        <v/>
      </c>
      <c r="W1368">
        <f>IF($AG1368="","",INDEX('TMP Paste'!$C$2:$C$1601,$AG1368))</f>
        <v/>
      </c>
      <c r="X1368">
        <f>IF($AG1368="","",Config!$B$29)</f>
        <v/>
      </c>
      <c r="Y1368">
        <f>IF($AH1368="","",INDEX(Calc!$I$2:$I$1601,$AH1368)&amp;" - "&amp;INDEX(Calc!$D$2:$D$1601,$AH1368)&amp;" koli")</f>
        <v/>
      </c>
      <c r="Z1368">
        <f>IF($AG1368="","",Config!$B$21)</f>
        <v/>
      </c>
      <c r="AA1368">
        <f>IF($AG1368="","",Config!$B$22)</f>
        <v/>
      </c>
      <c r="AB1368">
        <f>IF($AH1368="","",INDEX(Calc!$D$2:$D$1601,$AH1368))</f>
        <v/>
      </c>
      <c r="AC1368">
        <f>IF($AH1368="","",INDEX(Calc!$G$2:$G$1601,$AH1368))</f>
        <v/>
      </c>
      <c r="AD1368">
        <f>IF($AG1368="","",Config!$B$23)</f>
        <v/>
      </c>
      <c r="AE1368">
        <f>IF($AG1368="","",Config!$B$28)</f>
        <v/>
      </c>
      <c r="AG1368">
        <f>IFERROR(MATCH(ROW()-1,Calc!$J$2:$J$1601,0),"")</f>
        <v/>
      </c>
      <c r="AH1368">
        <f>IFERROR(MATCH(ROW()-1,Calc!$K$2:$K$1601,0),"")</f>
        <v/>
      </c>
      <c r="AI1368">
        <f>IF($AG1368="","",SUMIF($AG$2:$AG1368,$AG1368,$AH$2:$AH1368))</f>
        <v/>
      </c>
      <c r="AJ1368">
        <f>IF('TMP Paste'!$F1368="","",IF('TMP Paste'!$B1368="",$AJ1367,'TMP Paste'!$B1368))</f>
        <v/>
      </c>
      <c r="AK1368">
        <f>IF('TMP Paste'!$F1368="","",N('TMP Paste'!$G1368))</f>
        <v/>
      </c>
      <c r="AL1368">
        <f>IF('TMP Paste'!$F1368="","",IF('TMP Paste'!$M1368="",$AL1367,'TMP Paste'!$M1368))</f>
        <v/>
      </c>
      <c r="AM1368">
        <f>IF('TMP Paste'!$F1368="","",IF('TMP Paste'!$N1368="",$AM1367,'TMP Paste'!$N1368))</f>
        <v/>
      </c>
      <c r="AN1368">
        <f>IF('TMP Paste'!$F1368="","",IF('TMP Paste'!$O1368="",$AN1367,'TMP Paste'!$O1368))</f>
        <v/>
      </c>
      <c r="AO1368">
        <f>IF('TMP Paste'!$F1368="","",IF('TMP Paste'!$P1368="",$AO1367,'TMP Paste'!$P1368))</f>
        <v/>
      </c>
      <c r="AP1368">
        <f>IF($AG1368="","",LEN($R1368))</f>
        <v/>
      </c>
      <c r="AQ1368">
        <f>IF($AG1368="","",TRIM(IF(COUNTIFS(Calc!$B$2:$B$1601,ROW()-1,Calc!$C$2:$C$1601,"&lt;1")&gt;0,"Ada PO tanpa Koli - cek TMP. ","")&amp;IF(LEN($R1368)&gt;500,"R &gt; 500 karakter.","")))</f>
        <v/>
      </c>
    </row>
    <row r="1369">
      <c r="A1369">
        <f>IF($AG1369="","",INDEX('TMP Paste'!$B$2:$B$1601,$AG1369))</f>
        <v/>
      </c>
      <c r="B1369">
        <f>IF($AG1369="","",Config!$B$14)</f>
        <v/>
      </c>
      <c r="C1369">
        <f>IF($AG1369="","",Config!$B$15)</f>
        <v/>
      </c>
      <c r="D1369">
        <f>IF($AG1369="","",INDEX('TMP Paste'!$B$2:$B$1601,$AG1369))</f>
        <v/>
      </c>
      <c r="E1369">
        <f>IF($AG1369="","",Config!$B$27)</f>
        <v/>
      </c>
      <c r="F1369">
        <f>IF($AG1369="","",Config!$B$9)</f>
        <v/>
      </c>
      <c r="G1369">
        <f>IF($AG1369="","",Config!$B$10)</f>
        <v/>
      </c>
      <c r="H1369">
        <f>IF($AG1369="","",Config!$B$11)</f>
        <v/>
      </c>
      <c r="I1369">
        <f>IF($AG1369="","",Config!$B$16)</f>
        <v/>
      </c>
      <c r="J1369">
        <f>IF($AG1369="","",INDEX('TMP Paste'!$A$2:$A$1601,$AG1369))</f>
        <v/>
      </c>
      <c r="K1369">
        <f>IF($AG1369="","",INDEX('TMP Paste'!$L$2:$L$1601,$AG1369))</f>
        <v/>
      </c>
      <c r="L1369">
        <f>IF($AG1369="","",INDEX('TMP Paste'!$I$2:$I$1601,$AG1369))</f>
        <v/>
      </c>
      <c r="M1369">
        <f>IF($AG1369="","",Config!$B$16)</f>
        <v/>
      </c>
      <c r="N1369">
        <f>IF($AG1369="","","")</f>
        <v/>
      </c>
      <c r="O1369">
        <f>IF($AG1369="","",INDEX('TMP Paste'!$K$2:$K$1601,$AG1369))</f>
        <v/>
      </c>
      <c r="P1369">
        <f>IF($AG1369="","","")</f>
        <v/>
      </c>
      <c r="Q1369">
        <f>IF($AG1369="","",INDEX('TMP Paste'!$J$2:$J$1601,$AG1369))</f>
        <v/>
      </c>
      <c r="R1369">
        <f>IF($AG1369="","",Config!$B$24)</f>
        <v/>
      </c>
      <c r="S1369">
        <f>IF($AG1369="","",TEXT(Config!$B$4,"yyyy-mm-dd"))</f>
        <v/>
      </c>
      <c r="T1369">
        <f>IF($AG1369="","",Config!$B$17)</f>
        <v/>
      </c>
      <c r="U1369">
        <f>IF($AG1369="","",Config!$B$18)</f>
        <v/>
      </c>
      <c r="V1369">
        <f>IF($AG1369="","",Config!$B$19)</f>
        <v/>
      </c>
      <c r="W1369">
        <f>IF($AG1369="","",INDEX('TMP Paste'!$C$2:$C$1601,$AG1369))</f>
        <v/>
      </c>
      <c r="X1369">
        <f>IF($AG1369="","",Config!$B$29)</f>
        <v/>
      </c>
      <c r="Y1369">
        <f>IF($AH1369="","",INDEX(Calc!$I$2:$I$1601,$AH1369)&amp;" - "&amp;INDEX(Calc!$D$2:$D$1601,$AH1369)&amp;" koli")</f>
        <v/>
      </c>
      <c r="Z1369">
        <f>IF($AG1369="","",Config!$B$21)</f>
        <v/>
      </c>
      <c r="AA1369">
        <f>IF($AG1369="","",Config!$B$22)</f>
        <v/>
      </c>
      <c r="AB1369">
        <f>IF($AH1369="","",INDEX(Calc!$D$2:$D$1601,$AH1369))</f>
        <v/>
      </c>
      <c r="AC1369">
        <f>IF($AH1369="","",INDEX(Calc!$G$2:$G$1601,$AH1369))</f>
        <v/>
      </c>
      <c r="AD1369">
        <f>IF($AG1369="","",Config!$B$23)</f>
        <v/>
      </c>
      <c r="AE1369">
        <f>IF($AG1369="","",Config!$B$28)</f>
        <v/>
      </c>
      <c r="AG1369">
        <f>IFERROR(MATCH(ROW()-1,Calc!$J$2:$J$1601,0),"")</f>
        <v/>
      </c>
      <c r="AH1369">
        <f>IFERROR(MATCH(ROW()-1,Calc!$K$2:$K$1601,0),"")</f>
        <v/>
      </c>
      <c r="AI1369">
        <f>IF($AG1369="","",SUMIF($AG$2:$AG1369,$AG1369,$AH$2:$AH1369))</f>
        <v/>
      </c>
      <c r="AJ1369">
        <f>IF('TMP Paste'!$F1369="","",IF('TMP Paste'!$B1369="",$AJ1368,'TMP Paste'!$B1369))</f>
        <v/>
      </c>
      <c r="AK1369">
        <f>IF('TMP Paste'!$F1369="","",N('TMP Paste'!$G1369))</f>
        <v/>
      </c>
      <c r="AL1369">
        <f>IF('TMP Paste'!$F1369="","",IF('TMP Paste'!$M1369="",$AL1368,'TMP Paste'!$M1369))</f>
        <v/>
      </c>
      <c r="AM1369">
        <f>IF('TMP Paste'!$F1369="","",IF('TMP Paste'!$N1369="",$AM1368,'TMP Paste'!$N1369))</f>
        <v/>
      </c>
      <c r="AN1369">
        <f>IF('TMP Paste'!$F1369="","",IF('TMP Paste'!$O1369="",$AN1368,'TMP Paste'!$O1369))</f>
        <v/>
      </c>
      <c r="AO1369">
        <f>IF('TMP Paste'!$F1369="","",IF('TMP Paste'!$P1369="",$AO1368,'TMP Paste'!$P1369))</f>
        <v/>
      </c>
      <c r="AP1369">
        <f>IF($AG1369="","",LEN($R1369))</f>
        <v/>
      </c>
      <c r="AQ1369">
        <f>IF($AG1369="","",TRIM(IF(COUNTIFS(Calc!$B$2:$B$1601,ROW()-1,Calc!$C$2:$C$1601,"&lt;1")&gt;0,"Ada PO tanpa Koli - cek TMP. ","")&amp;IF(LEN($R1369)&gt;500,"R &gt; 500 karakter.","")))</f>
        <v/>
      </c>
    </row>
    <row r="1370">
      <c r="A1370">
        <f>IF($AG1370="","",INDEX('TMP Paste'!$B$2:$B$1601,$AG1370))</f>
        <v/>
      </c>
      <c r="B1370">
        <f>IF($AG1370="","",Config!$B$14)</f>
        <v/>
      </c>
      <c r="C1370">
        <f>IF($AG1370="","",Config!$B$15)</f>
        <v/>
      </c>
      <c r="D1370">
        <f>IF($AG1370="","",INDEX('TMP Paste'!$B$2:$B$1601,$AG1370))</f>
        <v/>
      </c>
      <c r="E1370">
        <f>IF($AG1370="","",Config!$B$27)</f>
        <v/>
      </c>
      <c r="F1370">
        <f>IF($AG1370="","",Config!$B$9)</f>
        <v/>
      </c>
      <c r="G1370">
        <f>IF($AG1370="","",Config!$B$10)</f>
        <v/>
      </c>
      <c r="H1370">
        <f>IF($AG1370="","",Config!$B$11)</f>
        <v/>
      </c>
      <c r="I1370">
        <f>IF($AG1370="","",Config!$B$16)</f>
        <v/>
      </c>
      <c r="J1370">
        <f>IF($AG1370="","",INDEX('TMP Paste'!$A$2:$A$1601,$AG1370))</f>
        <v/>
      </c>
      <c r="K1370">
        <f>IF($AG1370="","",INDEX('TMP Paste'!$L$2:$L$1601,$AG1370))</f>
        <v/>
      </c>
      <c r="L1370">
        <f>IF($AG1370="","",INDEX('TMP Paste'!$I$2:$I$1601,$AG1370))</f>
        <v/>
      </c>
      <c r="M1370">
        <f>IF($AG1370="","",Config!$B$16)</f>
        <v/>
      </c>
      <c r="N1370">
        <f>IF($AG1370="","","")</f>
        <v/>
      </c>
      <c r="O1370">
        <f>IF($AG1370="","",INDEX('TMP Paste'!$K$2:$K$1601,$AG1370))</f>
        <v/>
      </c>
      <c r="P1370">
        <f>IF($AG1370="","","")</f>
        <v/>
      </c>
      <c r="Q1370">
        <f>IF($AG1370="","",INDEX('TMP Paste'!$J$2:$J$1601,$AG1370))</f>
        <v/>
      </c>
      <c r="R1370">
        <f>IF($AG1370="","",Config!$B$24)</f>
        <v/>
      </c>
      <c r="S1370">
        <f>IF($AG1370="","",TEXT(Config!$B$4,"yyyy-mm-dd"))</f>
        <v/>
      </c>
      <c r="T1370">
        <f>IF($AG1370="","",Config!$B$17)</f>
        <v/>
      </c>
      <c r="U1370">
        <f>IF($AG1370="","",Config!$B$18)</f>
        <v/>
      </c>
      <c r="V1370">
        <f>IF($AG1370="","",Config!$B$19)</f>
        <v/>
      </c>
      <c r="W1370">
        <f>IF($AG1370="","",INDEX('TMP Paste'!$C$2:$C$1601,$AG1370))</f>
        <v/>
      </c>
      <c r="X1370">
        <f>IF($AG1370="","",Config!$B$29)</f>
        <v/>
      </c>
      <c r="Y1370">
        <f>IF($AH1370="","",INDEX(Calc!$I$2:$I$1601,$AH1370)&amp;" - "&amp;INDEX(Calc!$D$2:$D$1601,$AH1370)&amp;" koli")</f>
        <v/>
      </c>
      <c r="Z1370">
        <f>IF($AG1370="","",Config!$B$21)</f>
        <v/>
      </c>
      <c r="AA1370">
        <f>IF($AG1370="","",Config!$B$22)</f>
        <v/>
      </c>
      <c r="AB1370">
        <f>IF($AH1370="","",INDEX(Calc!$D$2:$D$1601,$AH1370))</f>
        <v/>
      </c>
      <c r="AC1370">
        <f>IF($AH1370="","",INDEX(Calc!$G$2:$G$1601,$AH1370))</f>
        <v/>
      </c>
      <c r="AD1370">
        <f>IF($AG1370="","",Config!$B$23)</f>
        <v/>
      </c>
      <c r="AE1370">
        <f>IF($AG1370="","",Config!$B$28)</f>
        <v/>
      </c>
      <c r="AG1370">
        <f>IFERROR(MATCH(ROW()-1,Calc!$J$2:$J$1601,0),"")</f>
        <v/>
      </c>
      <c r="AH1370">
        <f>IFERROR(MATCH(ROW()-1,Calc!$K$2:$K$1601,0),"")</f>
        <v/>
      </c>
      <c r="AI1370">
        <f>IF($AG1370="","",SUMIF($AG$2:$AG1370,$AG1370,$AH$2:$AH1370))</f>
        <v/>
      </c>
      <c r="AJ1370">
        <f>IF('TMP Paste'!$F1370="","",IF('TMP Paste'!$B1370="",$AJ1369,'TMP Paste'!$B1370))</f>
        <v/>
      </c>
      <c r="AK1370">
        <f>IF('TMP Paste'!$F1370="","",N('TMP Paste'!$G1370))</f>
        <v/>
      </c>
      <c r="AL1370">
        <f>IF('TMP Paste'!$F1370="","",IF('TMP Paste'!$M1370="",$AL1369,'TMP Paste'!$M1370))</f>
        <v/>
      </c>
      <c r="AM1370">
        <f>IF('TMP Paste'!$F1370="","",IF('TMP Paste'!$N1370="",$AM1369,'TMP Paste'!$N1370))</f>
        <v/>
      </c>
      <c r="AN1370">
        <f>IF('TMP Paste'!$F1370="","",IF('TMP Paste'!$O1370="",$AN1369,'TMP Paste'!$O1370))</f>
        <v/>
      </c>
      <c r="AO1370">
        <f>IF('TMP Paste'!$F1370="","",IF('TMP Paste'!$P1370="",$AO1369,'TMP Paste'!$P1370))</f>
        <v/>
      </c>
      <c r="AP1370">
        <f>IF($AG1370="","",LEN($R1370))</f>
        <v/>
      </c>
      <c r="AQ1370">
        <f>IF($AG1370="","",TRIM(IF(COUNTIFS(Calc!$B$2:$B$1601,ROW()-1,Calc!$C$2:$C$1601,"&lt;1")&gt;0,"Ada PO tanpa Koli - cek TMP. ","")&amp;IF(LEN($R1370)&gt;500,"R &gt; 500 karakter.","")))</f>
        <v/>
      </c>
    </row>
    <row r="1371">
      <c r="A1371">
        <f>IF($AG1371="","",INDEX('TMP Paste'!$B$2:$B$1601,$AG1371))</f>
        <v/>
      </c>
      <c r="B1371">
        <f>IF($AG1371="","",Config!$B$14)</f>
        <v/>
      </c>
      <c r="C1371">
        <f>IF($AG1371="","",Config!$B$15)</f>
        <v/>
      </c>
      <c r="D1371">
        <f>IF($AG1371="","",INDEX('TMP Paste'!$B$2:$B$1601,$AG1371))</f>
        <v/>
      </c>
      <c r="E1371">
        <f>IF($AG1371="","",Config!$B$27)</f>
        <v/>
      </c>
      <c r="F1371">
        <f>IF($AG1371="","",Config!$B$9)</f>
        <v/>
      </c>
      <c r="G1371">
        <f>IF($AG1371="","",Config!$B$10)</f>
        <v/>
      </c>
      <c r="H1371">
        <f>IF($AG1371="","",Config!$B$11)</f>
        <v/>
      </c>
      <c r="I1371">
        <f>IF($AG1371="","",Config!$B$16)</f>
        <v/>
      </c>
      <c r="J1371">
        <f>IF($AG1371="","",INDEX('TMP Paste'!$A$2:$A$1601,$AG1371))</f>
        <v/>
      </c>
      <c r="K1371">
        <f>IF($AG1371="","",INDEX('TMP Paste'!$L$2:$L$1601,$AG1371))</f>
        <v/>
      </c>
      <c r="L1371">
        <f>IF($AG1371="","",INDEX('TMP Paste'!$I$2:$I$1601,$AG1371))</f>
        <v/>
      </c>
      <c r="M1371">
        <f>IF($AG1371="","",Config!$B$16)</f>
        <v/>
      </c>
      <c r="N1371">
        <f>IF($AG1371="","","")</f>
        <v/>
      </c>
      <c r="O1371">
        <f>IF($AG1371="","",INDEX('TMP Paste'!$K$2:$K$1601,$AG1371))</f>
        <v/>
      </c>
      <c r="P1371">
        <f>IF($AG1371="","","")</f>
        <v/>
      </c>
      <c r="Q1371">
        <f>IF($AG1371="","",INDEX('TMP Paste'!$J$2:$J$1601,$AG1371))</f>
        <v/>
      </c>
      <c r="R1371">
        <f>IF($AG1371="","",Config!$B$24)</f>
        <v/>
      </c>
      <c r="S1371">
        <f>IF($AG1371="","",TEXT(Config!$B$4,"yyyy-mm-dd"))</f>
        <v/>
      </c>
      <c r="T1371">
        <f>IF($AG1371="","",Config!$B$17)</f>
        <v/>
      </c>
      <c r="U1371">
        <f>IF($AG1371="","",Config!$B$18)</f>
        <v/>
      </c>
      <c r="V1371">
        <f>IF($AG1371="","",Config!$B$19)</f>
        <v/>
      </c>
      <c r="W1371">
        <f>IF($AG1371="","",INDEX('TMP Paste'!$C$2:$C$1601,$AG1371))</f>
        <v/>
      </c>
      <c r="X1371">
        <f>IF($AG1371="","",Config!$B$29)</f>
        <v/>
      </c>
      <c r="Y1371">
        <f>IF($AH1371="","",INDEX(Calc!$I$2:$I$1601,$AH1371)&amp;" - "&amp;INDEX(Calc!$D$2:$D$1601,$AH1371)&amp;" koli")</f>
        <v/>
      </c>
      <c r="Z1371">
        <f>IF($AG1371="","",Config!$B$21)</f>
        <v/>
      </c>
      <c r="AA1371">
        <f>IF($AG1371="","",Config!$B$22)</f>
        <v/>
      </c>
      <c r="AB1371">
        <f>IF($AH1371="","",INDEX(Calc!$D$2:$D$1601,$AH1371))</f>
        <v/>
      </c>
      <c r="AC1371">
        <f>IF($AH1371="","",INDEX(Calc!$G$2:$G$1601,$AH1371))</f>
        <v/>
      </c>
      <c r="AD1371">
        <f>IF($AG1371="","",Config!$B$23)</f>
        <v/>
      </c>
      <c r="AE1371">
        <f>IF($AG1371="","",Config!$B$28)</f>
        <v/>
      </c>
      <c r="AG1371">
        <f>IFERROR(MATCH(ROW()-1,Calc!$J$2:$J$1601,0),"")</f>
        <v/>
      </c>
      <c r="AH1371">
        <f>IFERROR(MATCH(ROW()-1,Calc!$K$2:$K$1601,0),"")</f>
        <v/>
      </c>
      <c r="AI1371">
        <f>IF($AG1371="","",SUMIF($AG$2:$AG1371,$AG1371,$AH$2:$AH1371))</f>
        <v/>
      </c>
      <c r="AJ1371">
        <f>IF('TMP Paste'!$F1371="","",IF('TMP Paste'!$B1371="",$AJ1370,'TMP Paste'!$B1371))</f>
        <v/>
      </c>
      <c r="AK1371">
        <f>IF('TMP Paste'!$F1371="","",N('TMP Paste'!$G1371))</f>
        <v/>
      </c>
      <c r="AL1371">
        <f>IF('TMP Paste'!$F1371="","",IF('TMP Paste'!$M1371="",$AL1370,'TMP Paste'!$M1371))</f>
        <v/>
      </c>
      <c r="AM1371">
        <f>IF('TMP Paste'!$F1371="","",IF('TMP Paste'!$N1371="",$AM1370,'TMP Paste'!$N1371))</f>
        <v/>
      </c>
      <c r="AN1371">
        <f>IF('TMP Paste'!$F1371="","",IF('TMP Paste'!$O1371="",$AN1370,'TMP Paste'!$O1371))</f>
        <v/>
      </c>
      <c r="AO1371">
        <f>IF('TMP Paste'!$F1371="","",IF('TMP Paste'!$P1371="",$AO1370,'TMP Paste'!$P1371))</f>
        <v/>
      </c>
      <c r="AP1371">
        <f>IF($AG1371="","",LEN($R1371))</f>
        <v/>
      </c>
      <c r="AQ1371">
        <f>IF($AG1371="","",TRIM(IF(COUNTIFS(Calc!$B$2:$B$1601,ROW()-1,Calc!$C$2:$C$1601,"&lt;1")&gt;0,"Ada PO tanpa Koli - cek TMP. ","")&amp;IF(LEN($R1371)&gt;500,"R &gt; 500 karakter.","")))</f>
        <v/>
      </c>
    </row>
    <row r="1372">
      <c r="A1372">
        <f>IF($AG1372="","",INDEX('TMP Paste'!$B$2:$B$1601,$AG1372))</f>
        <v/>
      </c>
      <c r="B1372">
        <f>IF($AG1372="","",Config!$B$14)</f>
        <v/>
      </c>
      <c r="C1372">
        <f>IF($AG1372="","",Config!$B$15)</f>
        <v/>
      </c>
      <c r="D1372">
        <f>IF($AG1372="","",INDEX('TMP Paste'!$B$2:$B$1601,$AG1372))</f>
        <v/>
      </c>
      <c r="E1372">
        <f>IF($AG1372="","",Config!$B$27)</f>
        <v/>
      </c>
      <c r="F1372">
        <f>IF($AG1372="","",Config!$B$9)</f>
        <v/>
      </c>
      <c r="G1372">
        <f>IF($AG1372="","",Config!$B$10)</f>
        <v/>
      </c>
      <c r="H1372">
        <f>IF($AG1372="","",Config!$B$11)</f>
        <v/>
      </c>
      <c r="I1372">
        <f>IF($AG1372="","",Config!$B$16)</f>
        <v/>
      </c>
      <c r="J1372">
        <f>IF($AG1372="","",INDEX('TMP Paste'!$A$2:$A$1601,$AG1372))</f>
        <v/>
      </c>
      <c r="K1372">
        <f>IF($AG1372="","",INDEX('TMP Paste'!$L$2:$L$1601,$AG1372))</f>
        <v/>
      </c>
      <c r="L1372">
        <f>IF($AG1372="","",INDEX('TMP Paste'!$I$2:$I$1601,$AG1372))</f>
        <v/>
      </c>
      <c r="M1372">
        <f>IF($AG1372="","",Config!$B$16)</f>
        <v/>
      </c>
      <c r="N1372">
        <f>IF($AG1372="","","")</f>
        <v/>
      </c>
      <c r="O1372">
        <f>IF($AG1372="","",INDEX('TMP Paste'!$K$2:$K$1601,$AG1372))</f>
        <v/>
      </c>
      <c r="P1372">
        <f>IF($AG1372="","","")</f>
        <v/>
      </c>
      <c r="Q1372">
        <f>IF($AG1372="","",INDEX('TMP Paste'!$J$2:$J$1601,$AG1372))</f>
        <v/>
      </c>
      <c r="R1372">
        <f>IF($AG1372="","",Config!$B$24)</f>
        <v/>
      </c>
      <c r="S1372">
        <f>IF($AG1372="","",TEXT(Config!$B$4,"yyyy-mm-dd"))</f>
        <v/>
      </c>
      <c r="T1372">
        <f>IF($AG1372="","",Config!$B$17)</f>
        <v/>
      </c>
      <c r="U1372">
        <f>IF($AG1372="","",Config!$B$18)</f>
        <v/>
      </c>
      <c r="V1372">
        <f>IF($AG1372="","",Config!$B$19)</f>
        <v/>
      </c>
      <c r="W1372">
        <f>IF($AG1372="","",INDEX('TMP Paste'!$C$2:$C$1601,$AG1372))</f>
        <v/>
      </c>
      <c r="X1372">
        <f>IF($AG1372="","",Config!$B$29)</f>
        <v/>
      </c>
      <c r="Y1372">
        <f>IF($AH1372="","",INDEX(Calc!$I$2:$I$1601,$AH1372)&amp;" - "&amp;INDEX(Calc!$D$2:$D$1601,$AH1372)&amp;" koli")</f>
        <v/>
      </c>
      <c r="Z1372">
        <f>IF($AG1372="","",Config!$B$21)</f>
        <v/>
      </c>
      <c r="AA1372">
        <f>IF($AG1372="","",Config!$B$22)</f>
        <v/>
      </c>
      <c r="AB1372">
        <f>IF($AH1372="","",INDEX(Calc!$D$2:$D$1601,$AH1372))</f>
        <v/>
      </c>
      <c r="AC1372">
        <f>IF($AH1372="","",INDEX(Calc!$G$2:$G$1601,$AH1372))</f>
        <v/>
      </c>
      <c r="AD1372">
        <f>IF($AG1372="","",Config!$B$23)</f>
        <v/>
      </c>
      <c r="AE1372">
        <f>IF($AG1372="","",Config!$B$28)</f>
        <v/>
      </c>
      <c r="AG1372">
        <f>IFERROR(MATCH(ROW()-1,Calc!$J$2:$J$1601,0),"")</f>
        <v/>
      </c>
      <c r="AH1372">
        <f>IFERROR(MATCH(ROW()-1,Calc!$K$2:$K$1601,0),"")</f>
        <v/>
      </c>
      <c r="AI1372">
        <f>IF($AG1372="","",SUMIF($AG$2:$AG1372,$AG1372,$AH$2:$AH1372))</f>
        <v/>
      </c>
      <c r="AJ1372">
        <f>IF('TMP Paste'!$F1372="","",IF('TMP Paste'!$B1372="",$AJ1371,'TMP Paste'!$B1372))</f>
        <v/>
      </c>
      <c r="AK1372">
        <f>IF('TMP Paste'!$F1372="","",N('TMP Paste'!$G1372))</f>
        <v/>
      </c>
      <c r="AL1372">
        <f>IF('TMP Paste'!$F1372="","",IF('TMP Paste'!$M1372="",$AL1371,'TMP Paste'!$M1372))</f>
        <v/>
      </c>
      <c r="AM1372">
        <f>IF('TMP Paste'!$F1372="","",IF('TMP Paste'!$N1372="",$AM1371,'TMP Paste'!$N1372))</f>
        <v/>
      </c>
      <c r="AN1372">
        <f>IF('TMP Paste'!$F1372="","",IF('TMP Paste'!$O1372="",$AN1371,'TMP Paste'!$O1372))</f>
        <v/>
      </c>
      <c r="AO1372">
        <f>IF('TMP Paste'!$F1372="","",IF('TMP Paste'!$P1372="",$AO1371,'TMP Paste'!$P1372))</f>
        <v/>
      </c>
      <c r="AP1372">
        <f>IF($AG1372="","",LEN($R1372))</f>
        <v/>
      </c>
      <c r="AQ1372">
        <f>IF($AG1372="","",TRIM(IF(COUNTIFS(Calc!$B$2:$B$1601,ROW()-1,Calc!$C$2:$C$1601,"&lt;1")&gt;0,"Ada PO tanpa Koli - cek TMP. ","")&amp;IF(LEN($R1372)&gt;500,"R &gt; 500 karakter.","")))</f>
        <v/>
      </c>
    </row>
    <row r="1373">
      <c r="A1373">
        <f>IF($AG1373="","",INDEX('TMP Paste'!$B$2:$B$1601,$AG1373))</f>
        <v/>
      </c>
      <c r="B1373">
        <f>IF($AG1373="","",Config!$B$14)</f>
        <v/>
      </c>
      <c r="C1373">
        <f>IF($AG1373="","",Config!$B$15)</f>
        <v/>
      </c>
      <c r="D1373">
        <f>IF($AG1373="","",INDEX('TMP Paste'!$B$2:$B$1601,$AG1373))</f>
        <v/>
      </c>
      <c r="E1373">
        <f>IF($AG1373="","",Config!$B$27)</f>
        <v/>
      </c>
      <c r="F1373">
        <f>IF($AG1373="","",Config!$B$9)</f>
        <v/>
      </c>
      <c r="G1373">
        <f>IF($AG1373="","",Config!$B$10)</f>
        <v/>
      </c>
      <c r="H1373">
        <f>IF($AG1373="","",Config!$B$11)</f>
        <v/>
      </c>
      <c r="I1373">
        <f>IF($AG1373="","",Config!$B$16)</f>
        <v/>
      </c>
      <c r="J1373">
        <f>IF($AG1373="","",INDEX('TMP Paste'!$A$2:$A$1601,$AG1373))</f>
        <v/>
      </c>
      <c r="K1373">
        <f>IF($AG1373="","",INDEX('TMP Paste'!$L$2:$L$1601,$AG1373))</f>
        <v/>
      </c>
      <c r="L1373">
        <f>IF($AG1373="","",INDEX('TMP Paste'!$I$2:$I$1601,$AG1373))</f>
        <v/>
      </c>
      <c r="M1373">
        <f>IF($AG1373="","",Config!$B$16)</f>
        <v/>
      </c>
      <c r="N1373">
        <f>IF($AG1373="","","")</f>
        <v/>
      </c>
      <c r="O1373">
        <f>IF($AG1373="","",INDEX('TMP Paste'!$K$2:$K$1601,$AG1373))</f>
        <v/>
      </c>
      <c r="P1373">
        <f>IF($AG1373="","","")</f>
        <v/>
      </c>
      <c r="Q1373">
        <f>IF($AG1373="","",INDEX('TMP Paste'!$J$2:$J$1601,$AG1373))</f>
        <v/>
      </c>
      <c r="R1373">
        <f>IF($AG1373="","",Config!$B$24)</f>
        <v/>
      </c>
      <c r="S1373">
        <f>IF($AG1373="","",TEXT(Config!$B$4,"yyyy-mm-dd"))</f>
        <v/>
      </c>
      <c r="T1373">
        <f>IF($AG1373="","",Config!$B$17)</f>
        <v/>
      </c>
      <c r="U1373">
        <f>IF($AG1373="","",Config!$B$18)</f>
        <v/>
      </c>
      <c r="V1373">
        <f>IF($AG1373="","",Config!$B$19)</f>
        <v/>
      </c>
      <c r="W1373">
        <f>IF($AG1373="","",INDEX('TMP Paste'!$C$2:$C$1601,$AG1373))</f>
        <v/>
      </c>
      <c r="X1373">
        <f>IF($AG1373="","",Config!$B$29)</f>
        <v/>
      </c>
      <c r="Y1373">
        <f>IF($AH1373="","",INDEX(Calc!$I$2:$I$1601,$AH1373)&amp;" - "&amp;INDEX(Calc!$D$2:$D$1601,$AH1373)&amp;" koli")</f>
        <v/>
      </c>
      <c r="Z1373">
        <f>IF($AG1373="","",Config!$B$21)</f>
        <v/>
      </c>
      <c r="AA1373">
        <f>IF($AG1373="","",Config!$B$22)</f>
        <v/>
      </c>
      <c r="AB1373">
        <f>IF($AH1373="","",INDEX(Calc!$D$2:$D$1601,$AH1373))</f>
        <v/>
      </c>
      <c r="AC1373">
        <f>IF($AH1373="","",INDEX(Calc!$G$2:$G$1601,$AH1373))</f>
        <v/>
      </c>
      <c r="AD1373">
        <f>IF($AG1373="","",Config!$B$23)</f>
        <v/>
      </c>
      <c r="AE1373">
        <f>IF($AG1373="","",Config!$B$28)</f>
        <v/>
      </c>
      <c r="AG1373">
        <f>IFERROR(MATCH(ROW()-1,Calc!$J$2:$J$1601,0),"")</f>
        <v/>
      </c>
      <c r="AH1373">
        <f>IFERROR(MATCH(ROW()-1,Calc!$K$2:$K$1601,0),"")</f>
        <v/>
      </c>
      <c r="AI1373">
        <f>IF($AG1373="","",SUMIF($AG$2:$AG1373,$AG1373,$AH$2:$AH1373))</f>
        <v/>
      </c>
      <c r="AJ1373">
        <f>IF('TMP Paste'!$F1373="","",IF('TMP Paste'!$B1373="",$AJ1372,'TMP Paste'!$B1373))</f>
        <v/>
      </c>
      <c r="AK1373">
        <f>IF('TMP Paste'!$F1373="","",N('TMP Paste'!$G1373))</f>
        <v/>
      </c>
      <c r="AL1373">
        <f>IF('TMP Paste'!$F1373="","",IF('TMP Paste'!$M1373="",$AL1372,'TMP Paste'!$M1373))</f>
        <v/>
      </c>
      <c r="AM1373">
        <f>IF('TMP Paste'!$F1373="","",IF('TMP Paste'!$N1373="",$AM1372,'TMP Paste'!$N1373))</f>
        <v/>
      </c>
      <c r="AN1373">
        <f>IF('TMP Paste'!$F1373="","",IF('TMP Paste'!$O1373="",$AN1372,'TMP Paste'!$O1373))</f>
        <v/>
      </c>
      <c r="AO1373">
        <f>IF('TMP Paste'!$F1373="","",IF('TMP Paste'!$P1373="",$AO1372,'TMP Paste'!$P1373))</f>
        <v/>
      </c>
      <c r="AP1373">
        <f>IF($AG1373="","",LEN($R1373))</f>
        <v/>
      </c>
      <c r="AQ1373">
        <f>IF($AG1373="","",TRIM(IF(COUNTIFS(Calc!$B$2:$B$1601,ROW()-1,Calc!$C$2:$C$1601,"&lt;1")&gt;0,"Ada PO tanpa Koli - cek TMP. ","")&amp;IF(LEN($R1373)&gt;500,"R &gt; 500 karakter.","")))</f>
        <v/>
      </c>
    </row>
    <row r="1374">
      <c r="A1374">
        <f>IF($AG1374="","",INDEX('TMP Paste'!$B$2:$B$1601,$AG1374))</f>
        <v/>
      </c>
      <c r="B1374">
        <f>IF($AG1374="","",Config!$B$14)</f>
        <v/>
      </c>
      <c r="C1374">
        <f>IF($AG1374="","",Config!$B$15)</f>
        <v/>
      </c>
      <c r="D1374">
        <f>IF($AG1374="","",INDEX('TMP Paste'!$B$2:$B$1601,$AG1374))</f>
        <v/>
      </c>
      <c r="E1374">
        <f>IF($AG1374="","",Config!$B$27)</f>
        <v/>
      </c>
      <c r="F1374">
        <f>IF($AG1374="","",Config!$B$9)</f>
        <v/>
      </c>
      <c r="G1374">
        <f>IF($AG1374="","",Config!$B$10)</f>
        <v/>
      </c>
      <c r="H1374">
        <f>IF($AG1374="","",Config!$B$11)</f>
        <v/>
      </c>
      <c r="I1374">
        <f>IF($AG1374="","",Config!$B$16)</f>
        <v/>
      </c>
      <c r="J1374">
        <f>IF($AG1374="","",INDEX('TMP Paste'!$A$2:$A$1601,$AG1374))</f>
        <v/>
      </c>
      <c r="K1374">
        <f>IF($AG1374="","",INDEX('TMP Paste'!$L$2:$L$1601,$AG1374))</f>
        <v/>
      </c>
      <c r="L1374">
        <f>IF($AG1374="","",INDEX('TMP Paste'!$I$2:$I$1601,$AG1374))</f>
        <v/>
      </c>
      <c r="M1374">
        <f>IF($AG1374="","",Config!$B$16)</f>
        <v/>
      </c>
      <c r="N1374">
        <f>IF($AG1374="","","")</f>
        <v/>
      </c>
      <c r="O1374">
        <f>IF($AG1374="","",INDEX('TMP Paste'!$K$2:$K$1601,$AG1374))</f>
        <v/>
      </c>
      <c r="P1374">
        <f>IF($AG1374="","","")</f>
        <v/>
      </c>
      <c r="Q1374">
        <f>IF($AG1374="","",INDEX('TMP Paste'!$J$2:$J$1601,$AG1374))</f>
        <v/>
      </c>
      <c r="R1374">
        <f>IF($AG1374="","",Config!$B$24)</f>
        <v/>
      </c>
      <c r="S1374">
        <f>IF($AG1374="","",TEXT(Config!$B$4,"yyyy-mm-dd"))</f>
        <v/>
      </c>
      <c r="T1374">
        <f>IF($AG1374="","",Config!$B$17)</f>
        <v/>
      </c>
      <c r="U1374">
        <f>IF($AG1374="","",Config!$B$18)</f>
        <v/>
      </c>
      <c r="V1374">
        <f>IF($AG1374="","",Config!$B$19)</f>
        <v/>
      </c>
      <c r="W1374">
        <f>IF($AG1374="","",INDEX('TMP Paste'!$C$2:$C$1601,$AG1374))</f>
        <v/>
      </c>
      <c r="X1374">
        <f>IF($AG1374="","",Config!$B$29)</f>
        <v/>
      </c>
      <c r="Y1374">
        <f>IF($AH1374="","",INDEX(Calc!$I$2:$I$1601,$AH1374)&amp;" - "&amp;INDEX(Calc!$D$2:$D$1601,$AH1374)&amp;" koli")</f>
        <v/>
      </c>
      <c r="Z1374">
        <f>IF($AG1374="","",Config!$B$21)</f>
        <v/>
      </c>
      <c r="AA1374">
        <f>IF($AG1374="","",Config!$B$22)</f>
        <v/>
      </c>
      <c r="AB1374">
        <f>IF($AH1374="","",INDEX(Calc!$D$2:$D$1601,$AH1374))</f>
        <v/>
      </c>
      <c r="AC1374">
        <f>IF($AH1374="","",INDEX(Calc!$G$2:$G$1601,$AH1374))</f>
        <v/>
      </c>
      <c r="AD1374">
        <f>IF($AG1374="","",Config!$B$23)</f>
        <v/>
      </c>
      <c r="AE1374">
        <f>IF($AG1374="","",Config!$B$28)</f>
        <v/>
      </c>
      <c r="AG1374">
        <f>IFERROR(MATCH(ROW()-1,Calc!$J$2:$J$1601,0),"")</f>
        <v/>
      </c>
      <c r="AH1374">
        <f>IFERROR(MATCH(ROW()-1,Calc!$K$2:$K$1601,0),"")</f>
        <v/>
      </c>
      <c r="AI1374">
        <f>IF($AG1374="","",SUMIF($AG$2:$AG1374,$AG1374,$AH$2:$AH1374))</f>
        <v/>
      </c>
      <c r="AJ1374">
        <f>IF('TMP Paste'!$F1374="","",IF('TMP Paste'!$B1374="",$AJ1373,'TMP Paste'!$B1374))</f>
        <v/>
      </c>
      <c r="AK1374">
        <f>IF('TMP Paste'!$F1374="","",N('TMP Paste'!$G1374))</f>
        <v/>
      </c>
      <c r="AL1374">
        <f>IF('TMP Paste'!$F1374="","",IF('TMP Paste'!$M1374="",$AL1373,'TMP Paste'!$M1374))</f>
        <v/>
      </c>
      <c r="AM1374">
        <f>IF('TMP Paste'!$F1374="","",IF('TMP Paste'!$N1374="",$AM1373,'TMP Paste'!$N1374))</f>
        <v/>
      </c>
      <c r="AN1374">
        <f>IF('TMP Paste'!$F1374="","",IF('TMP Paste'!$O1374="",$AN1373,'TMP Paste'!$O1374))</f>
        <v/>
      </c>
      <c r="AO1374">
        <f>IF('TMP Paste'!$F1374="","",IF('TMP Paste'!$P1374="",$AO1373,'TMP Paste'!$P1374))</f>
        <v/>
      </c>
      <c r="AP1374">
        <f>IF($AG1374="","",LEN($R1374))</f>
        <v/>
      </c>
      <c r="AQ1374">
        <f>IF($AG1374="","",TRIM(IF(COUNTIFS(Calc!$B$2:$B$1601,ROW()-1,Calc!$C$2:$C$1601,"&lt;1")&gt;0,"Ada PO tanpa Koli - cek TMP. ","")&amp;IF(LEN($R1374)&gt;500,"R &gt; 500 karakter.","")))</f>
        <v/>
      </c>
    </row>
    <row r="1375">
      <c r="A1375">
        <f>IF($AG1375="","",INDEX('TMP Paste'!$B$2:$B$1601,$AG1375))</f>
        <v/>
      </c>
      <c r="B1375">
        <f>IF($AG1375="","",Config!$B$14)</f>
        <v/>
      </c>
      <c r="C1375">
        <f>IF($AG1375="","",Config!$B$15)</f>
        <v/>
      </c>
      <c r="D1375">
        <f>IF($AG1375="","",INDEX('TMP Paste'!$B$2:$B$1601,$AG1375))</f>
        <v/>
      </c>
      <c r="E1375">
        <f>IF($AG1375="","",Config!$B$27)</f>
        <v/>
      </c>
      <c r="F1375">
        <f>IF($AG1375="","",Config!$B$9)</f>
        <v/>
      </c>
      <c r="G1375">
        <f>IF($AG1375="","",Config!$B$10)</f>
        <v/>
      </c>
      <c r="H1375">
        <f>IF($AG1375="","",Config!$B$11)</f>
        <v/>
      </c>
      <c r="I1375">
        <f>IF($AG1375="","",Config!$B$16)</f>
        <v/>
      </c>
      <c r="J1375">
        <f>IF($AG1375="","",INDEX('TMP Paste'!$A$2:$A$1601,$AG1375))</f>
        <v/>
      </c>
      <c r="K1375">
        <f>IF($AG1375="","",INDEX('TMP Paste'!$L$2:$L$1601,$AG1375))</f>
        <v/>
      </c>
      <c r="L1375">
        <f>IF($AG1375="","",INDEX('TMP Paste'!$I$2:$I$1601,$AG1375))</f>
        <v/>
      </c>
      <c r="M1375">
        <f>IF($AG1375="","",Config!$B$16)</f>
        <v/>
      </c>
      <c r="N1375">
        <f>IF($AG1375="","","")</f>
        <v/>
      </c>
      <c r="O1375">
        <f>IF($AG1375="","",INDEX('TMP Paste'!$K$2:$K$1601,$AG1375))</f>
        <v/>
      </c>
      <c r="P1375">
        <f>IF($AG1375="","","")</f>
        <v/>
      </c>
      <c r="Q1375">
        <f>IF($AG1375="","",INDEX('TMP Paste'!$J$2:$J$1601,$AG1375))</f>
        <v/>
      </c>
      <c r="R1375">
        <f>IF($AG1375="","",Config!$B$24)</f>
        <v/>
      </c>
      <c r="S1375">
        <f>IF($AG1375="","",TEXT(Config!$B$4,"yyyy-mm-dd"))</f>
        <v/>
      </c>
      <c r="T1375">
        <f>IF($AG1375="","",Config!$B$17)</f>
        <v/>
      </c>
      <c r="U1375">
        <f>IF($AG1375="","",Config!$B$18)</f>
        <v/>
      </c>
      <c r="V1375">
        <f>IF($AG1375="","",Config!$B$19)</f>
        <v/>
      </c>
      <c r="W1375">
        <f>IF($AG1375="","",INDEX('TMP Paste'!$C$2:$C$1601,$AG1375))</f>
        <v/>
      </c>
      <c r="X1375">
        <f>IF($AG1375="","",Config!$B$29)</f>
        <v/>
      </c>
      <c r="Y1375">
        <f>IF($AH1375="","",INDEX(Calc!$I$2:$I$1601,$AH1375)&amp;" - "&amp;INDEX(Calc!$D$2:$D$1601,$AH1375)&amp;" koli")</f>
        <v/>
      </c>
      <c r="Z1375">
        <f>IF($AG1375="","",Config!$B$21)</f>
        <v/>
      </c>
      <c r="AA1375">
        <f>IF($AG1375="","",Config!$B$22)</f>
        <v/>
      </c>
      <c r="AB1375">
        <f>IF($AH1375="","",INDEX(Calc!$D$2:$D$1601,$AH1375))</f>
        <v/>
      </c>
      <c r="AC1375">
        <f>IF($AH1375="","",INDEX(Calc!$G$2:$G$1601,$AH1375))</f>
        <v/>
      </c>
      <c r="AD1375">
        <f>IF($AG1375="","",Config!$B$23)</f>
        <v/>
      </c>
      <c r="AE1375">
        <f>IF($AG1375="","",Config!$B$28)</f>
        <v/>
      </c>
      <c r="AG1375">
        <f>IFERROR(MATCH(ROW()-1,Calc!$J$2:$J$1601,0),"")</f>
        <v/>
      </c>
      <c r="AH1375">
        <f>IFERROR(MATCH(ROW()-1,Calc!$K$2:$K$1601,0),"")</f>
        <v/>
      </c>
      <c r="AI1375">
        <f>IF($AG1375="","",SUMIF($AG$2:$AG1375,$AG1375,$AH$2:$AH1375))</f>
        <v/>
      </c>
      <c r="AJ1375">
        <f>IF('TMP Paste'!$F1375="","",IF('TMP Paste'!$B1375="",$AJ1374,'TMP Paste'!$B1375))</f>
        <v/>
      </c>
      <c r="AK1375">
        <f>IF('TMP Paste'!$F1375="","",N('TMP Paste'!$G1375))</f>
        <v/>
      </c>
      <c r="AL1375">
        <f>IF('TMP Paste'!$F1375="","",IF('TMP Paste'!$M1375="",$AL1374,'TMP Paste'!$M1375))</f>
        <v/>
      </c>
      <c r="AM1375">
        <f>IF('TMP Paste'!$F1375="","",IF('TMP Paste'!$N1375="",$AM1374,'TMP Paste'!$N1375))</f>
        <v/>
      </c>
      <c r="AN1375">
        <f>IF('TMP Paste'!$F1375="","",IF('TMP Paste'!$O1375="",$AN1374,'TMP Paste'!$O1375))</f>
        <v/>
      </c>
      <c r="AO1375">
        <f>IF('TMP Paste'!$F1375="","",IF('TMP Paste'!$P1375="",$AO1374,'TMP Paste'!$P1375))</f>
        <v/>
      </c>
      <c r="AP1375">
        <f>IF($AG1375="","",LEN($R1375))</f>
        <v/>
      </c>
      <c r="AQ1375">
        <f>IF($AG1375="","",TRIM(IF(COUNTIFS(Calc!$B$2:$B$1601,ROW()-1,Calc!$C$2:$C$1601,"&lt;1")&gt;0,"Ada PO tanpa Koli - cek TMP. ","")&amp;IF(LEN($R1375)&gt;500,"R &gt; 500 karakter.","")))</f>
        <v/>
      </c>
    </row>
    <row r="1376">
      <c r="A1376">
        <f>IF($AG1376="","",INDEX('TMP Paste'!$B$2:$B$1601,$AG1376))</f>
        <v/>
      </c>
      <c r="B1376">
        <f>IF($AG1376="","",Config!$B$14)</f>
        <v/>
      </c>
      <c r="C1376">
        <f>IF($AG1376="","",Config!$B$15)</f>
        <v/>
      </c>
      <c r="D1376">
        <f>IF($AG1376="","",INDEX('TMP Paste'!$B$2:$B$1601,$AG1376))</f>
        <v/>
      </c>
      <c r="E1376">
        <f>IF($AG1376="","",Config!$B$27)</f>
        <v/>
      </c>
      <c r="F1376">
        <f>IF($AG1376="","",Config!$B$9)</f>
        <v/>
      </c>
      <c r="G1376">
        <f>IF($AG1376="","",Config!$B$10)</f>
        <v/>
      </c>
      <c r="H1376">
        <f>IF($AG1376="","",Config!$B$11)</f>
        <v/>
      </c>
      <c r="I1376">
        <f>IF($AG1376="","",Config!$B$16)</f>
        <v/>
      </c>
      <c r="J1376">
        <f>IF($AG1376="","",INDEX('TMP Paste'!$A$2:$A$1601,$AG1376))</f>
        <v/>
      </c>
      <c r="K1376">
        <f>IF($AG1376="","",INDEX('TMP Paste'!$L$2:$L$1601,$AG1376))</f>
        <v/>
      </c>
      <c r="L1376">
        <f>IF($AG1376="","",INDEX('TMP Paste'!$I$2:$I$1601,$AG1376))</f>
        <v/>
      </c>
      <c r="M1376">
        <f>IF($AG1376="","",Config!$B$16)</f>
        <v/>
      </c>
      <c r="N1376">
        <f>IF($AG1376="","","")</f>
        <v/>
      </c>
      <c r="O1376">
        <f>IF($AG1376="","",INDEX('TMP Paste'!$K$2:$K$1601,$AG1376))</f>
        <v/>
      </c>
      <c r="P1376">
        <f>IF($AG1376="","","")</f>
        <v/>
      </c>
      <c r="Q1376">
        <f>IF($AG1376="","",INDEX('TMP Paste'!$J$2:$J$1601,$AG1376))</f>
        <v/>
      </c>
      <c r="R1376">
        <f>IF($AG1376="","",Config!$B$24)</f>
        <v/>
      </c>
      <c r="S1376">
        <f>IF($AG1376="","",TEXT(Config!$B$4,"yyyy-mm-dd"))</f>
        <v/>
      </c>
      <c r="T1376">
        <f>IF($AG1376="","",Config!$B$17)</f>
        <v/>
      </c>
      <c r="U1376">
        <f>IF($AG1376="","",Config!$B$18)</f>
        <v/>
      </c>
      <c r="V1376">
        <f>IF($AG1376="","",Config!$B$19)</f>
        <v/>
      </c>
      <c r="W1376">
        <f>IF($AG1376="","",INDEX('TMP Paste'!$C$2:$C$1601,$AG1376))</f>
        <v/>
      </c>
      <c r="X1376">
        <f>IF($AG1376="","",Config!$B$29)</f>
        <v/>
      </c>
      <c r="Y1376">
        <f>IF($AH1376="","",INDEX(Calc!$I$2:$I$1601,$AH1376)&amp;" - "&amp;INDEX(Calc!$D$2:$D$1601,$AH1376)&amp;" koli")</f>
        <v/>
      </c>
      <c r="Z1376">
        <f>IF($AG1376="","",Config!$B$21)</f>
        <v/>
      </c>
      <c r="AA1376">
        <f>IF($AG1376="","",Config!$B$22)</f>
        <v/>
      </c>
      <c r="AB1376">
        <f>IF($AH1376="","",INDEX(Calc!$D$2:$D$1601,$AH1376))</f>
        <v/>
      </c>
      <c r="AC1376">
        <f>IF($AH1376="","",INDEX(Calc!$G$2:$G$1601,$AH1376))</f>
        <v/>
      </c>
      <c r="AD1376">
        <f>IF($AG1376="","",Config!$B$23)</f>
        <v/>
      </c>
      <c r="AE1376">
        <f>IF($AG1376="","",Config!$B$28)</f>
        <v/>
      </c>
      <c r="AG1376">
        <f>IFERROR(MATCH(ROW()-1,Calc!$J$2:$J$1601,0),"")</f>
        <v/>
      </c>
      <c r="AH1376">
        <f>IFERROR(MATCH(ROW()-1,Calc!$K$2:$K$1601,0),"")</f>
        <v/>
      </c>
      <c r="AI1376">
        <f>IF($AG1376="","",SUMIF($AG$2:$AG1376,$AG1376,$AH$2:$AH1376))</f>
        <v/>
      </c>
      <c r="AJ1376">
        <f>IF('TMP Paste'!$F1376="","",IF('TMP Paste'!$B1376="",$AJ1375,'TMP Paste'!$B1376))</f>
        <v/>
      </c>
      <c r="AK1376">
        <f>IF('TMP Paste'!$F1376="","",N('TMP Paste'!$G1376))</f>
        <v/>
      </c>
      <c r="AL1376">
        <f>IF('TMP Paste'!$F1376="","",IF('TMP Paste'!$M1376="",$AL1375,'TMP Paste'!$M1376))</f>
        <v/>
      </c>
      <c r="AM1376">
        <f>IF('TMP Paste'!$F1376="","",IF('TMP Paste'!$N1376="",$AM1375,'TMP Paste'!$N1376))</f>
        <v/>
      </c>
      <c r="AN1376">
        <f>IF('TMP Paste'!$F1376="","",IF('TMP Paste'!$O1376="",$AN1375,'TMP Paste'!$O1376))</f>
        <v/>
      </c>
      <c r="AO1376">
        <f>IF('TMP Paste'!$F1376="","",IF('TMP Paste'!$P1376="",$AO1375,'TMP Paste'!$P1376))</f>
        <v/>
      </c>
      <c r="AP1376">
        <f>IF($AG1376="","",LEN($R1376))</f>
        <v/>
      </c>
      <c r="AQ1376">
        <f>IF($AG1376="","",TRIM(IF(COUNTIFS(Calc!$B$2:$B$1601,ROW()-1,Calc!$C$2:$C$1601,"&lt;1")&gt;0,"Ada PO tanpa Koli - cek TMP. ","")&amp;IF(LEN($R1376)&gt;500,"R &gt; 500 karakter.","")))</f>
        <v/>
      </c>
    </row>
    <row r="1377">
      <c r="A1377">
        <f>IF($AG1377="","",INDEX('TMP Paste'!$B$2:$B$1601,$AG1377))</f>
        <v/>
      </c>
      <c r="B1377">
        <f>IF($AG1377="","",Config!$B$14)</f>
        <v/>
      </c>
      <c r="C1377">
        <f>IF($AG1377="","",Config!$B$15)</f>
        <v/>
      </c>
      <c r="D1377">
        <f>IF($AG1377="","",INDEX('TMP Paste'!$B$2:$B$1601,$AG1377))</f>
        <v/>
      </c>
      <c r="E1377">
        <f>IF($AG1377="","",Config!$B$27)</f>
        <v/>
      </c>
      <c r="F1377">
        <f>IF($AG1377="","",Config!$B$9)</f>
        <v/>
      </c>
      <c r="G1377">
        <f>IF($AG1377="","",Config!$B$10)</f>
        <v/>
      </c>
      <c r="H1377">
        <f>IF($AG1377="","",Config!$B$11)</f>
        <v/>
      </c>
      <c r="I1377">
        <f>IF($AG1377="","",Config!$B$16)</f>
        <v/>
      </c>
      <c r="J1377">
        <f>IF($AG1377="","",INDEX('TMP Paste'!$A$2:$A$1601,$AG1377))</f>
        <v/>
      </c>
      <c r="K1377">
        <f>IF($AG1377="","",INDEX('TMP Paste'!$L$2:$L$1601,$AG1377))</f>
        <v/>
      </c>
      <c r="L1377">
        <f>IF($AG1377="","",INDEX('TMP Paste'!$I$2:$I$1601,$AG1377))</f>
        <v/>
      </c>
      <c r="M1377">
        <f>IF($AG1377="","",Config!$B$16)</f>
        <v/>
      </c>
      <c r="N1377">
        <f>IF($AG1377="","","")</f>
        <v/>
      </c>
      <c r="O1377">
        <f>IF($AG1377="","",INDEX('TMP Paste'!$K$2:$K$1601,$AG1377))</f>
        <v/>
      </c>
      <c r="P1377">
        <f>IF($AG1377="","","")</f>
        <v/>
      </c>
      <c r="Q1377">
        <f>IF($AG1377="","",INDEX('TMP Paste'!$J$2:$J$1601,$AG1377))</f>
        <v/>
      </c>
      <c r="R1377">
        <f>IF($AG1377="","",Config!$B$24)</f>
        <v/>
      </c>
      <c r="S1377">
        <f>IF($AG1377="","",TEXT(Config!$B$4,"yyyy-mm-dd"))</f>
        <v/>
      </c>
      <c r="T1377">
        <f>IF($AG1377="","",Config!$B$17)</f>
        <v/>
      </c>
      <c r="U1377">
        <f>IF($AG1377="","",Config!$B$18)</f>
        <v/>
      </c>
      <c r="V1377">
        <f>IF($AG1377="","",Config!$B$19)</f>
        <v/>
      </c>
      <c r="W1377">
        <f>IF($AG1377="","",INDEX('TMP Paste'!$C$2:$C$1601,$AG1377))</f>
        <v/>
      </c>
      <c r="X1377">
        <f>IF($AG1377="","",Config!$B$29)</f>
        <v/>
      </c>
      <c r="Y1377">
        <f>IF($AH1377="","",INDEX(Calc!$I$2:$I$1601,$AH1377)&amp;" - "&amp;INDEX(Calc!$D$2:$D$1601,$AH1377)&amp;" koli")</f>
        <v/>
      </c>
      <c r="Z1377">
        <f>IF($AG1377="","",Config!$B$21)</f>
        <v/>
      </c>
      <c r="AA1377">
        <f>IF($AG1377="","",Config!$B$22)</f>
        <v/>
      </c>
      <c r="AB1377">
        <f>IF($AH1377="","",INDEX(Calc!$D$2:$D$1601,$AH1377))</f>
        <v/>
      </c>
      <c r="AC1377">
        <f>IF($AH1377="","",INDEX(Calc!$G$2:$G$1601,$AH1377))</f>
        <v/>
      </c>
      <c r="AD1377">
        <f>IF($AG1377="","",Config!$B$23)</f>
        <v/>
      </c>
      <c r="AE1377">
        <f>IF($AG1377="","",Config!$B$28)</f>
        <v/>
      </c>
      <c r="AG1377">
        <f>IFERROR(MATCH(ROW()-1,Calc!$J$2:$J$1601,0),"")</f>
        <v/>
      </c>
      <c r="AH1377">
        <f>IFERROR(MATCH(ROW()-1,Calc!$K$2:$K$1601,0),"")</f>
        <v/>
      </c>
      <c r="AI1377">
        <f>IF($AG1377="","",SUMIF($AG$2:$AG1377,$AG1377,$AH$2:$AH1377))</f>
        <v/>
      </c>
      <c r="AJ1377">
        <f>IF('TMP Paste'!$F1377="","",IF('TMP Paste'!$B1377="",$AJ1376,'TMP Paste'!$B1377))</f>
        <v/>
      </c>
      <c r="AK1377">
        <f>IF('TMP Paste'!$F1377="","",N('TMP Paste'!$G1377))</f>
        <v/>
      </c>
      <c r="AL1377">
        <f>IF('TMP Paste'!$F1377="","",IF('TMP Paste'!$M1377="",$AL1376,'TMP Paste'!$M1377))</f>
        <v/>
      </c>
      <c r="AM1377">
        <f>IF('TMP Paste'!$F1377="","",IF('TMP Paste'!$N1377="",$AM1376,'TMP Paste'!$N1377))</f>
        <v/>
      </c>
      <c r="AN1377">
        <f>IF('TMP Paste'!$F1377="","",IF('TMP Paste'!$O1377="",$AN1376,'TMP Paste'!$O1377))</f>
        <v/>
      </c>
      <c r="AO1377">
        <f>IF('TMP Paste'!$F1377="","",IF('TMP Paste'!$P1377="",$AO1376,'TMP Paste'!$P1377))</f>
        <v/>
      </c>
      <c r="AP1377">
        <f>IF($AG1377="","",LEN($R1377))</f>
        <v/>
      </c>
      <c r="AQ1377">
        <f>IF($AG1377="","",TRIM(IF(COUNTIFS(Calc!$B$2:$B$1601,ROW()-1,Calc!$C$2:$C$1601,"&lt;1")&gt;0,"Ada PO tanpa Koli - cek TMP. ","")&amp;IF(LEN($R1377)&gt;500,"R &gt; 500 karakter.","")))</f>
        <v/>
      </c>
    </row>
    <row r="1378">
      <c r="A1378">
        <f>IF($AG1378="","",INDEX('TMP Paste'!$B$2:$B$1601,$AG1378))</f>
        <v/>
      </c>
      <c r="B1378">
        <f>IF($AG1378="","",Config!$B$14)</f>
        <v/>
      </c>
      <c r="C1378">
        <f>IF($AG1378="","",Config!$B$15)</f>
        <v/>
      </c>
      <c r="D1378">
        <f>IF($AG1378="","",INDEX('TMP Paste'!$B$2:$B$1601,$AG1378))</f>
        <v/>
      </c>
      <c r="E1378">
        <f>IF($AG1378="","",Config!$B$27)</f>
        <v/>
      </c>
      <c r="F1378">
        <f>IF($AG1378="","",Config!$B$9)</f>
        <v/>
      </c>
      <c r="G1378">
        <f>IF($AG1378="","",Config!$B$10)</f>
        <v/>
      </c>
      <c r="H1378">
        <f>IF($AG1378="","",Config!$B$11)</f>
        <v/>
      </c>
      <c r="I1378">
        <f>IF($AG1378="","",Config!$B$16)</f>
        <v/>
      </c>
      <c r="J1378">
        <f>IF($AG1378="","",INDEX('TMP Paste'!$A$2:$A$1601,$AG1378))</f>
        <v/>
      </c>
      <c r="K1378">
        <f>IF($AG1378="","",INDEX('TMP Paste'!$L$2:$L$1601,$AG1378))</f>
        <v/>
      </c>
      <c r="L1378">
        <f>IF($AG1378="","",INDEX('TMP Paste'!$I$2:$I$1601,$AG1378))</f>
        <v/>
      </c>
      <c r="M1378">
        <f>IF($AG1378="","",Config!$B$16)</f>
        <v/>
      </c>
      <c r="N1378">
        <f>IF($AG1378="","","")</f>
        <v/>
      </c>
      <c r="O1378">
        <f>IF($AG1378="","",INDEX('TMP Paste'!$K$2:$K$1601,$AG1378))</f>
        <v/>
      </c>
      <c r="P1378">
        <f>IF($AG1378="","","")</f>
        <v/>
      </c>
      <c r="Q1378">
        <f>IF($AG1378="","",INDEX('TMP Paste'!$J$2:$J$1601,$AG1378))</f>
        <v/>
      </c>
      <c r="R1378">
        <f>IF($AG1378="","",Config!$B$24)</f>
        <v/>
      </c>
      <c r="S1378">
        <f>IF($AG1378="","",TEXT(Config!$B$4,"yyyy-mm-dd"))</f>
        <v/>
      </c>
      <c r="T1378">
        <f>IF($AG1378="","",Config!$B$17)</f>
        <v/>
      </c>
      <c r="U1378">
        <f>IF($AG1378="","",Config!$B$18)</f>
        <v/>
      </c>
      <c r="V1378">
        <f>IF($AG1378="","",Config!$B$19)</f>
        <v/>
      </c>
      <c r="W1378">
        <f>IF($AG1378="","",INDEX('TMP Paste'!$C$2:$C$1601,$AG1378))</f>
        <v/>
      </c>
      <c r="X1378">
        <f>IF($AG1378="","",Config!$B$29)</f>
        <v/>
      </c>
      <c r="Y1378">
        <f>IF($AH1378="","",INDEX(Calc!$I$2:$I$1601,$AH1378)&amp;" - "&amp;INDEX(Calc!$D$2:$D$1601,$AH1378)&amp;" koli")</f>
        <v/>
      </c>
      <c r="Z1378">
        <f>IF($AG1378="","",Config!$B$21)</f>
        <v/>
      </c>
      <c r="AA1378">
        <f>IF($AG1378="","",Config!$B$22)</f>
        <v/>
      </c>
      <c r="AB1378">
        <f>IF($AH1378="","",INDEX(Calc!$D$2:$D$1601,$AH1378))</f>
        <v/>
      </c>
      <c r="AC1378">
        <f>IF($AH1378="","",INDEX(Calc!$G$2:$G$1601,$AH1378))</f>
        <v/>
      </c>
      <c r="AD1378">
        <f>IF($AG1378="","",Config!$B$23)</f>
        <v/>
      </c>
      <c r="AE1378">
        <f>IF($AG1378="","",Config!$B$28)</f>
        <v/>
      </c>
      <c r="AG1378">
        <f>IFERROR(MATCH(ROW()-1,Calc!$J$2:$J$1601,0),"")</f>
        <v/>
      </c>
      <c r="AH1378">
        <f>IFERROR(MATCH(ROW()-1,Calc!$K$2:$K$1601,0),"")</f>
        <v/>
      </c>
      <c r="AI1378">
        <f>IF($AG1378="","",SUMIF($AG$2:$AG1378,$AG1378,$AH$2:$AH1378))</f>
        <v/>
      </c>
      <c r="AJ1378">
        <f>IF('TMP Paste'!$F1378="","",IF('TMP Paste'!$B1378="",$AJ1377,'TMP Paste'!$B1378))</f>
        <v/>
      </c>
      <c r="AK1378">
        <f>IF('TMP Paste'!$F1378="","",N('TMP Paste'!$G1378))</f>
        <v/>
      </c>
      <c r="AL1378">
        <f>IF('TMP Paste'!$F1378="","",IF('TMP Paste'!$M1378="",$AL1377,'TMP Paste'!$M1378))</f>
        <v/>
      </c>
      <c r="AM1378">
        <f>IF('TMP Paste'!$F1378="","",IF('TMP Paste'!$N1378="",$AM1377,'TMP Paste'!$N1378))</f>
        <v/>
      </c>
      <c r="AN1378">
        <f>IF('TMP Paste'!$F1378="","",IF('TMP Paste'!$O1378="",$AN1377,'TMP Paste'!$O1378))</f>
        <v/>
      </c>
      <c r="AO1378">
        <f>IF('TMP Paste'!$F1378="","",IF('TMP Paste'!$P1378="",$AO1377,'TMP Paste'!$P1378))</f>
        <v/>
      </c>
      <c r="AP1378">
        <f>IF($AG1378="","",LEN($R1378))</f>
        <v/>
      </c>
      <c r="AQ1378">
        <f>IF($AG1378="","",TRIM(IF(COUNTIFS(Calc!$B$2:$B$1601,ROW()-1,Calc!$C$2:$C$1601,"&lt;1")&gt;0,"Ada PO tanpa Koli - cek TMP. ","")&amp;IF(LEN($R1378)&gt;500,"R &gt; 500 karakter.","")))</f>
        <v/>
      </c>
    </row>
    <row r="1379">
      <c r="A1379">
        <f>IF($AG1379="","",INDEX('TMP Paste'!$B$2:$B$1601,$AG1379))</f>
        <v/>
      </c>
      <c r="B1379">
        <f>IF($AG1379="","",Config!$B$14)</f>
        <v/>
      </c>
      <c r="C1379">
        <f>IF($AG1379="","",Config!$B$15)</f>
        <v/>
      </c>
      <c r="D1379">
        <f>IF($AG1379="","",INDEX('TMP Paste'!$B$2:$B$1601,$AG1379))</f>
        <v/>
      </c>
      <c r="E1379">
        <f>IF($AG1379="","",Config!$B$27)</f>
        <v/>
      </c>
      <c r="F1379">
        <f>IF($AG1379="","",Config!$B$9)</f>
        <v/>
      </c>
      <c r="G1379">
        <f>IF($AG1379="","",Config!$B$10)</f>
        <v/>
      </c>
      <c r="H1379">
        <f>IF($AG1379="","",Config!$B$11)</f>
        <v/>
      </c>
      <c r="I1379">
        <f>IF($AG1379="","",Config!$B$16)</f>
        <v/>
      </c>
      <c r="J1379">
        <f>IF($AG1379="","",INDEX('TMP Paste'!$A$2:$A$1601,$AG1379))</f>
        <v/>
      </c>
      <c r="K1379">
        <f>IF($AG1379="","",INDEX('TMP Paste'!$L$2:$L$1601,$AG1379))</f>
        <v/>
      </c>
      <c r="L1379">
        <f>IF($AG1379="","",INDEX('TMP Paste'!$I$2:$I$1601,$AG1379))</f>
        <v/>
      </c>
      <c r="M1379">
        <f>IF($AG1379="","",Config!$B$16)</f>
        <v/>
      </c>
      <c r="N1379">
        <f>IF($AG1379="","","")</f>
        <v/>
      </c>
      <c r="O1379">
        <f>IF($AG1379="","",INDEX('TMP Paste'!$K$2:$K$1601,$AG1379))</f>
        <v/>
      </c>
      <c r="P1379">
        <f>IF($AG1379="","","")</f>
        <v/>
      </c>
      <c r="Q1379">
        <f>IF($AG1379="","",INDEX('TMP Paste'!$J$2:$J$1601,$AG1379))</f>
        <v/>
      </c>
      <c r="R1379">
        <f>IF($AG1379="","",Config!$B$24)</f>
        <v/>
      </c>
      <c r="S1379">
        <f>IF($AG1379="","",TEXT(Config!$B$4,"yyyy-mm-dd"))</f>
        <v/>
      </c>
      <c r="T1379">
        <f>IF($AG1379="","",Config!$B$17)</f>
        <v/>
      </c>
      <c r="U1379">
        <f>IF($AG1379="","",Config!$B$18)</f>
        <v/>
      </c>
      <c r="V1379">
        <f>IF($AG1379="","",Config!$B$19)</f>
        <v/>
      </c>
      <c r="W1379">
        <f>IF($AG1379="","",INDEX('TMP Paste'!$C$2:$C$1601,$AG1379))</f>
        <v/>
      </c>
      <c r="X1379">
        <f>IF($AG1379="","",Config!$B$29)</f>
        <v/>
      </c>
      <c r="Y1379">
        <f>IF($AH1379="","",INDEX(Calc!$I$2:$I$1601,$AH1379)&amp;" - "&amp;INDEX(Calc!$D$2:$D$1601,$AH1379)&amp;" koli")</f>
        <v/>
      </c>
      <c r="Z1379">
        <f>IF($AG1379="","",Config!$B$21)</f>
        <v/>
      </c>
      <c r="AA1379">
        <f>IF($AG1379="","",Config!$B$22)</f>
        <v/>
      </c>
      <c r="AB1379">
        <f>IF($AH1379="","",INDEX(Calc!$D$2:$D$1601,$AH1379))</f>
        <v/>
      </c>
      <c r="AC1379">
        <f>IF($AH1379="","",INDEX(Calc!$G$2:$G$1601,$AH1379))</f>
        <v/>
      </c>
      <c r="AD1379">
        <f>IF($AG1379="","",Config!$B$23)</f>
        <v/>
      </c>
      <c r="AE1379">
        <f>IF($AG1379="","",Config!$B$28)</f>
        <v/>
      </c>
      <c r="AG1379">
        <f>IFERROR(MATCH(ROW()-1,Calc!$J$2:$J$1601,0),"")</f>
        <v/>
      </c>
      <c r="AH1379">
        <f>IFERROR(MATCH(ROW()-1,Calc!$K$2:$K$1601,0),"")</f>
        <v/>
      </c>
      <c r="AI1379">
        <f>IF($AG1379="","",SUMIF($AG$2:$AG1379,$AG1379,$AH$2:$AH1379))</f>
        <v/>
      </c>
      <c r="AJ1379">
        <f>IF('TMP Paste'!$F1379="","",IF('TMP Paste'!$B1379="",$AJ1378,'TMP Paste'!$B1379))</f>
        <v/>
      </c>
      <c r="AK1379">
        <f>IF('TMP Paste'!$F1379="","",N('TMP Paste'!$G1379))</f>
        <v/>
      </c>
      <c r="AL1379">
        <f>IF('TMP Paste'!$F1379="","",IF('TMP Paste'!$M1379="",$AL1378,'TMP Paste'!$M1379))</f>
        <v/>
      </c>
      <c r="AM1379">
        <f>IF('TMP Paste'!$F1379="","",IF('TMP Paste'!$N1379="",$AM1378,'TMP Paste'!$N1379))</f>
        <v/>
      </c>
      <c r="AN1379">
        <f>IF('TMP Paste'!$F1379="","",IF('TMP Paste'!$O1379="",$AN1378,'TMP Paste'!$O1379))</f>
        <v/>
      </c>
      <c r="AO1379">
        <f>IF('TMP Paste'!$F1379="","",IF('TMP Paste'!$P1379="",$AO1378,'TMP Paste'!$P1379))</f>
        <v/>
      </c>
      <c r="AP1379">
        <f>IF($AG1379="","",LEN($R1379))</f>
        <v/>
      </c>
      <c r="AQ1379">
        <f>IF($AG1379="","",TRIM(IF(COUNTIFS(Calc!$B$2:$B$1601,ROW()-1,Calc!$C$2:$C$1601,"&lt;1")&gt;0,"Ada PO tanpa Koli - cek TMP. ","")&amp;IF(LEN($R1379)&gt;500,"R &gt; 500 karakter.","")))</f>
        <v/>
      </c>
    </row>
    <row r="1380">
      <c r="A1380">
        <f>IF($AG1380="","",INDEX('TMP Paste'!$B$2:$B$1601,$AG1380))</f>
        <v/>
      </c>
      <c r="B1380">
        <f>IF($AG1380="","",Config!$B$14)</f>
        <v/>
      </c>
      <c r="C1380">
        <f>IF($AG1380="","",Config!$B$15)</f>
        <v/>
      </c>
      <c r="D1380">
        <f>IF($AG1380="","",INDEX('TMP Paste'!$B$2:$B$1601,$AG1380))</f>
        <v/>
      </c>
      <c r="E1380">
        <f>IF($AG1380="","",Config!$B$27)</f>
        <v/>
      </c>
      <c r="F1380">
        <f>IF($AG1380="","",Config!$B$9)</f>
        <v/>
      </c>
      <c r="G1380">
        <f>IF($AG1380="","",Config!$B$10)</f>
        <v/>
      </c>
      <c r="H1380">
        <f>IF($AG1380="","",Config!$B$11)</f>
        <v/>
      </c>
      <c r="I1380">
        <f>IF($AG1380="","",Config!$B$16)</f>
        <v/>
      </c>
      <c r="J1380">
        <f>IF($AG1380="","",INDEX('TMP Paste'!$A$2:$A$1601,$AG1380))</f>
        <v/>
      </c>
      <c r="K1380">
        <f>IF($AG1380="","",INDEX('TMP Paste'!$L$2:$L$1601,$AG1380))</f>
        <v/>
      </c>
      <c r="L1380">
        <f>IF($AG1380="","",INDEX('TMP Paste'!$I$2:$I$1601,$AG1380))</f>
        <v/>
      </c>
      <c r="M1380">
        <f>IF($AG1380="","",Config!$B$16)</f>
        <v/>
      </c>
      <c r="N1380">
        <f>IF($AG1380="","","")</f>
        <v/>
      </c>
      <c r="O1380">
        <f>IF($AG1380="","",INDEX('TMP Paste'!$K$2:$K$1601,$AG1380))</f>
        <v/>
      </c>
      <c r="P1380">
        <f>IF($AG1380="","","")</f>
        <v/>
      </c>
      <c r="Q1380">
        <f>IF($AG1380="","",INDEX('TMP Paste'!$J$2:$J$1601,$AG1380))</f>
        <v/>
      </c>
      <c r="R1380">
        <f>IF($AG1380="","",Config!$B$24)</f>
        <v/>
      </c>
      <c r="S1380">
        <f>IF($AG1380="","",TEXT(Config!$B$4,"yyyy-mm-dd"))</f>
        <v/>
      </c>
      <c r="T1380">
        <f>IF($AG1380="","",Config!$B$17)</f>
        <v/>
      </c>
      <c r="U1380">
        <f>IF($AG1380="","",Config!$B$18)</f>
        <v/>
      </c>
      <c r="V1380">
        <f>IF($AG1380="","",Config!$B$19)</f>
        <v/>
      </c>
      <c r="W1380">
        <f>IF($AG1380="","",INDEX('TMP Paste'!$C$2:$C$1601,$AG1380))</f>
        <v/>
      </c>
      <c r="X1380">
        <f>IF($AG1380="","",Config!$B$29)</f>
        <v/>
      </c>
      <c r="Y1380">
        <f>IF($AH1380="","",INDEX(Calc!$I$2:$I$1601,$AH1380)&amp;" - "&amp;INDEX(Calc!$D$2:$D$1601,$AH1380)&amp;" koli")</f>
        <v/>
      </c>
      <c r="Z1380">
        <f>IF($AG1380="","",Config!$B$21)</f>
        <v/>
      </c>
      <c r="AA1380">
        <f>IF($AG1380="","",Config!$B$22)</f>
        <v/>
      </c>
      <c r="AB1380">
        <f>IF($AH1380="","",INDEX(Calc!$D$2:$D$1601,$AH1380))</f>
        <v/>
      </c>
      <c r="AC1380">
        <f>IF($AH1380="","",INDEX(Calc!$G$2:$G$1601,$AH1380))</f>
        <v/>
      </c>
      <c r="AD1380">
        <f>IF($AG1380="","",Config!$B$23)</f>
        <v/>
      </c>
      <c r="AE1380">
        <f>IF($AG1380="","",Config!$B$28)</f>
        <v/>
      </c>
      <c r="AG1380">
        <f>IFERROR(MATCH(ROW()-1,Calc!$J$2:$J$1601,0),"")</f>
        <v/>
      </c>
      <c r="AH1380">
        <f>IFERROR(MATCH(ROW()-1,Calc!$K$2:$K$1601,0),"")</f>
        <v/>
      </c>
      <c r="AI1380">
        <f>IF($AG1380="","",SUMIF($AG$2:$AG1380,$AG1380,$AH$2:$AH1380))</f>
        <v/>
      </c>
      <c r="AJ1380">
        <f>IF('TMP Paste'!$F1380="","",IF('TMP Paste'!$B1380="",$AJ1379,'TMP Paste'!$B1380))</f>
        <v/>
      </c>
      <c r="AK1380">
        <f>IF('TMP Paste'!$F1380="","",N('TMP Paste'!$G1380))</f>
        <v/>
      </c>
      <c r="AL1380">
        <f>IF('TMP Paste'!$F1380="","",IF('TMP Paste'!$M1380="",$AL1379,'TMP Paste'!$M1380))</f>
        <v/>
      </c>
      <c r="AM1380">
        <f>IF('TMP Paste'!$F1380="","",IF('TMP Paste'!$N1380="",$AM1379,'TMP Paste'!$N1380))</f>
        <v/>
      </c>
      <c r="AN1380">
        <f>IF('TMP Paste'!$F1380="","",IF('TMP Paste'!$O1380="",$AN1379,'TMP Paste'!$O1380))</f>
        <v/>
      </c>
      <c r="AO1380">
        <f>IF('TMP Paste'!$F1380="","",IF('TMP Paste'!$P1380="",$AO1379,'TMP Paste'!$P1380))</f>
        <v/>
      </c>
      <c r="AP1380">
        <f>IF($AG1380="","",LEN($R1380))</f>
        <v/>
      </c>
      <c r="AQ1380">
        <f>IF($AG1380="","",TRIM(IF(COUNTIFS(Calc!$B$2:$B$1601,ROW()-1,Calc!$C$2:$C$1601,"&lt;1")&gt;0,"Ada PO tanpa Koli - cek TMP. ","")&amp;IF(LEN($R1380)&gt;500,"R &gt; 500 karakter.","")))</f>
        <v/>
      </c>
    </row>
    <row r="1381">
      <c r="A1381">
        <f>IF($AG1381="","",INDEX('TMP Paste'!$B$2:$B$1601,$AG1381))</f>
        <v/>
      </c>
      <c r="B1381">
        <f>IF($AG1381="","",Config!$B$14)</f>
        <v/>
      </c>
      <c r="C1381">
        <f>IF($AG1381="","",Config!$B$15)</f>
        <v/>
      </c>
      <c r="D1381">
        <f>IF($AG1381="","",INDEX('TMP Paste'!$B$2:$B$1601,$AG1381))</f>
        <v/>
      </c>
      <c r="E1381">
        <f>IF($AG1381="","",Config!$B$27)</f>
        <v/>
      </c>
      <c r="F1381">
        <f>IF($AG1381="","",Config!$B$9)</f>
        <v/>
      </c>
      <c r="G1381">
        <f>IF($AG1381="","",Config!$B$10)</f>
        <v/>
      </c>
      <c r="H1381">
        <f>IF($AG1381="","",Config!$B$11)</f>
        <v/>
      </c>
      <c r="I1381">
        <f>IF($AG1381="","",Config!$B$16)</f>
        <v/>
      </c>
      <c r="J1381">
        <f>IF($AG1381="","",INDEX('TMP Paste'!$A$2:$A$1601,$AG1381))</f>
        <v/>
      </c>
      <c r="K1381">
        <f>IF($AG1381="","",INDEX('TMP Paste'!$L$2:$L$1601,$AG1381))</f>
        <v/>
      </c>
      <c r="L1381">
        <f>IF($AG1381="","",INDEX('TMP Paste'!$I$2:$I$1601,$AG1381))</f>
        <v/>
      </c>
      <c r="M1381">
        <f>IF($AG1381="","",Config!$B$16)</f>
        <v/>
      </c>
      <c r="N1381">
        <f>IF($AG1381="","","")</f>
        <v/>
      </c>
      <c r="O1381">
        <f>IF($AG1381="","",INDEX('TMP Paste'!$K$2:$K$1601,$AG1381))</f>
        <v/>
      </c>
      <c r="P1381">
        <f>IF($AG1381="","","")</f>
        <v/>
      </c>
      <c r="Q1381">
        <f>IF($AG1381="","",INDEX('TMP Paste'!$J$2:$J$1601,$AG1381))</f>
        <v/>
      </c>
      <c r="R1381">
        <f>IF($AG1381="","",Config!$B$24)</f>
        <v/>
      </c>
      <c r="S1381">
        <f>IF($AG1381="","",TEXT(Config!$B$4,"yyyy-mm-dd"))</f>
        <v/>
      </c>
      <c r="T1381">
        <f>IF($AG1381="","",Config!$B$17)</f>
        <v/>
      </c>
      <c r="U1381">
        <f>IF($AG1381="","",Config!$B$18)</f>
        <v/>
      </c>
      <c r="V1381">
        <f>IF($AG1381="","",Config!$B$19)</f>
        <v/>
      </c>
      <c r="W1381">
        <f>IF($AG1381="","",INDEX('TMP Paste'!$C$2:$C$1601,$AG1381))</f>
        <v/>
      </c>
      <c r="X1381">
        <f>IF($AG1381="","",Config!$B$29)</f>
        <v/>
      </c>
      <c r="Y1381">
        <f>IF($AH1381="","",INDEX(Calc!$I$2:$I$1601,$AH1381)&amp;" - "&amp;INDEX(Calc!$D$2:$D$1601,$AH1381)&amp;" koli")</f>
        <v/>
      </c>
      <c r="Z1381">
        <f>IF($AG1381="","",Config!$B$21)</f>
        <v/>
      </c>
      <c r="AA1381">
        <f>IF($AG1381="","",Config!$B$22)</f>
        <v/>
      </c>
      <c r="AB1381">
        <f>IF($AH1381="","",INDEX(Calc!$D$2:$D$1601,$AH1381))</f>
        <v/>
      </c>
      <c r="AC1381">
        <f>IF($AH1381="","",INDEX(Calc!$G$2:$G$1601,$AH1381))</f>
        <v/>
      </c>
      <c r="AD1381">
        <f>IF($AG1381="","",Config!$B$23)</f>
        <v/>
      </c>
      <c r="AE1381">
        <f>IF($AG1381="","",Config!$B$28)</f>
        <v/>
      </c>
      <c r="AG1381">
        <f>IFERROR(MATCH(ROW()-1,Calc!$J$2:$J$1601,0),"")</f>
        <v/>
      </c>
      <c r="AH1381">
        <f>IFERROR(MATCH(ROW()-1,Calc!$K$2:$K$1601,0),"")</f>
        <v/>
      </c>
      <c r="AI1381">
        <f>IF($AG1381="","",SUMIF($AG$2:$AG1381,$AG1381,$AH$2:$AH1381))</f>
        <v/>
      </c>
      <c r="AJ1381">
        <f>IF('TMP Paste'!$F1381="","",IF('TMP Paste'!$B1381="",$AJ1380,'TMP Paste'!$B1381))</f>
        <v/>
      </c>
      <c r="AK1381">
        <f>IF('TMP Paste'!$F1381="","",N('TMP Paste'!$G1381))</f>
        <v/>
      </c>
      <c r="AL1381">
        <f>IF('TMP Paste'!$F1381="","",IF('TMP Paste'!$M1381="",$AL1380,'TMP Paste'!$M1381))</f>
        <v/>
      </c>
      <c r="AM1381">
        <f>IF('TMP Paste'!$F1381="","",IF('TMP Paste'!$N1381="",$AM1380,'TMP Paste'!$N1381))</f>
        <v/>
      </c>
      <c r="AN1381">
        <f>IF('TMP Paste'!$F1381="","",IF('TMP Paste'!$O1381="",$AN1380,'TMP Paste'!$O1381))</f>
        <v/>
      </c>
      <c r="AO1381">
        <f>IF('TMP Paste'!$F1381="","",IF('TMP Paste'!$P1381="",$AO1380,'TMP Paste'!$P1381))</f>
        <v/>
      </c>
      <c r="AP1381">
        <f>IF($AG1381="","",LEN($R1381))</f>
        <v/>
      </c>
      <c r="AQ1381">
        <f>IF($AG1381="","",TRIM(IF(COUNTIFS(Calc!$B$2:$B$1601,ROW()-1,Calc!$C$2:$C$1601,"&lt;1")&gt;0,"Ada PO tanpa Koli - cek TMP. ","")&amp;IF(LEN($R1381)&gt;500,"R &gt; 500 karakter.","")))</f>
        <v/>
      </c>
    </row>
    <row r="1382">
      <c r="A1382">
        <f>IF($AG1382="","",INDEX('TMP Paste'!$B$2:$B$1601,$AG1382))</f>
        <v/>
      </c>
      <c r="B1382">
        <f>IF($AG1382="","",Config!$B$14)</f>
        <v/>
      </c>
      <c r="C1382">
        <f>IF($AG1382="","",Config!$B$15)</f>
        <v/>
      </c>
      <c r="D1382">
        <f>IF($AG1382="","",INDEX('TMP Paste'!$B$2:$B$1601,$AG1382))</f>
        <v/>
      </c>
      <c r="E1382">
        <f>IF($AG1382="","",Config!$B$27)</f>
        <v/>
      </c>
      <c r="F1382">
        <f>IF($AG1382="","",Config!$B$9)</f>
        <v/>
      </c>
      <c r="G1382">
        <f>IF($AG1382="","",Config!$B$10)</f>
        <v/>
      </c>
      <c r="H1382">
        <f>IF($AG1382="","",Config!$B$11)</f>
        <v/>
      </c>
      <c r="I1382">
        <f>IF($AG1382="","",Config!$B$16)</f>
        <v/>
      </c>
      <c r="J1382">
        <f>IF($AG1382="","",INDEX('TMP Paste'!$A$2:$A$1601,$AG1382))</f>
        <v/>
      </c>
      <c r="K1382">
        <f>IF($AG1382="","",INDEX('TMP Paste'!$L$2:$L$1601,$AG1382))</f>
        <v/>
      </c>
      <c r="L1382">
        <f>IF($AG1382="","",INDEX('TMP Paste'!$I$2:$I$1601,$AG1382))</f>
        <v/>
      </c>
      <c r="M1382">
        <f>IF($AG1382="","",Config!$B$16)</f>
        <v/>
      </c>
      <c r="N1382">
        <f>IF($AG1382="","","")</f>
        <v/>
      </c>
      <c r="O1382">
        <f>IF($AG1382="","",INDEX('TMP Paste'!$K$2:$K$1601,$AG1382))</f>
        <v/>
      </c>
      <c r="P1382">
        <f>IF($AG1382="","","")</f>
        <v/>
      </c>
      <c r="Q1382">
        <f>IF($AG1382="","",INDEX('TMP Paste'!$J$2:$J$1601,$AG1382))</f>
        <v/>
      </c>
      <c r="R1382">
        <f>IF($AG1382="","",Config!$B$24)</f>
        <v/>
      </c>
      <c r="S1382">
        <f>IF($AG1382="","",TEXT(Config!$B$4,"yyyy-mm-dd"))</f>
        <v/>
      </c>
      <c r="T1382">
        <f>IF($AG1382="","",Config!$B$17)</f>
        <v/>
      </c>
      <c r="U1382">
        <f>IF($AG1382="","",Config!$B$18)</f>
        <v/>
      </c>
      <c r="V1382">
        <f>IF($AG1382="","",Config!$B$19)</f>
        <v/>
      </c>
      <c r="W1382">
        <f>IF($AG1382="","",INDEX('TMP Paste'!$C$2:$C$1601,$AG1382))</f>
        <v/>
      </c>
      <c r="X1382">
        <f>IF($AG1382="","",Config!$B$29)</f>
        <v/>
      </c>
      <c r="Y1382">
        <f>IF($AH1382="","",INDEX(Calc!$I$2:$I$1601,$AH1382)&amp;" - "&amp;INDEX(Calc!$D$2:$D$1601,$AH1382)&amp;" koli")</f>
        <v/>
      </c>
      <c r="Z1382">
        <f>IF($AG1382="","",Config!$B$21)</f>
        <v/>
      </c>
      <c r="AA1382">
        <f>IF($AG1382="","",Config!$B$22)</f>
        <v/>
      </c>
      <c r="AB1382">
        <f>IF($AH1382="","",INDEX(Calc!$D$2:$D$1601,$AH1382))</f>
        <v/>
      </c>
      <c r="AC1382">
        <f>IF($AH1382="","",INDEX(Calc!$G$2:$G$1601,$AH1382))</f>
        <v/>
      </c>
      <c r="AD1382">
        <f>IF($AG1382="","",Config!$B$23)</f>
        <v/>
      </c>
      <c r="AE1382">
        <f>IF($AG1382="","",Config!$B$28)</f>
        <v/>
      </c>
      <c r="AG1382">
        <f>IFERROR(MATCH(ROW()-1,Calc!$J$2:$J$1601,0),"")</f>
        <v/>
      </c>
      <c r="AH1382">
        <f>IFERROR(MATCH(ROW()-1,Calc!$K$2:$K$1601,0),"")</f>
        <v/>
      </c>
      <c r="AI1382">
        <f>IF($AG1382="","",SUMIF($AG$2:$AG1382,$AG1382,$AH$2:$AH1382))</f>
        <v/>
      </c>
      <c r="AJ1382">
        <f>IF('TMP Paste'!$F1382="","",IF('TMP Paste'!$B1382="",$AJ1381,'TMP Paste'!$B1382))</f>
        <v/>
      </c>
      <c r="AK1382">
        <f>IF('TMP Paste'!$F1382="","",N('TMP Paste'!$G1382))</f>
        <v/>
      </c>
      <c r="AL1382">
        <f>IF('TMP Paste'!$F1382="","",IF('TMP Paste'!$M1382="",$AL1381,'TMP Paste'!$M1382))</f>
        <v/>
      </c>
      <c r="AM1382">
        <f>IF('TMP Paste'!$F1382="","",IF('TMP Paste'!$N1382="",$AM1381,'TMP Paste'!$N1382))</f>
        <v/>
      </c>
      <c r="AN1382">
        <f>IF('TMP Paste'!$F1382="","",IF('TMP Paste'!$O1382="",$AN1381,'TMP Paste'!$O1382))</f>
        <v/>
      </c>
      <c r="AO1382">
        <f>IF('TMP Paste'!$F1382="","",IF('TMP Paste'!$P1382="",$AO1381,'TMP Paste'!$P1382))</f>
        <v/>
      </c>
      <c r="AP1382">
        <f>IF($AG1382="","",LEN($R1382))</f>
        <v/>
      </c>
      <c r="AQ1382">
        <f>IF($AG1382="","",TRIM(IF(COUNTIFS(Calc!$B$2:$B$1601,ROW()-1,Calc!$C$2:$C$1601,"&lt;1")&gt;0,"Ada PO tanpa Koli - cek TMP. ","")&amp;IF(LEN($R1382)&gt;500,"R &gt; 500 karakter.","")))</f>
        <v/>
      </c>
    </row>
    <row r="1383">
      <c r="A1383">
        <f>IF($AG1383="","",INDEX('TMP Paste'!$B$2:$B$1601,$AG1383))</f>
        <v/>
      </c>
      <c r="B1383">
        <f>IF($AG1383="","",Config!$B$14)</f>
        <v/>
      </c>
      <c r="C1383">
        <f>IF($AG1383="","",Config!$B$15)</f>
        <v/>
      </c>
      <c r="D1383">
        <f>IF($AG1383="","",INDEX('TMP Paste'!$B$2:$B$1601,$AG1383))</f>
        <v/>
      </c>
      <c r="E1383">
        <f>IF($AG1383="","",Config!$B$27)</f>
        <v/>
      </c>
      <c r="F1383">
        <f>IF($AG1383="","",Config!$B$9)</f>
        <v/>
      </c>
      <c r="G1383">
        <f>IF($AG1383="","",Config!$B$10)</f>
        <v/>
      </c>
      <c r="H1383">
        <f>IF($AG1383="","",Config!$B$11)</f>
        <v/>
      </c>
      <c r="I1383">
        <f>IF($AG1383="","",Config!$B$16)</f>
        <v/>
      </c>
      <c r="J1383">
        <f>IF($AG1383="","",INDEX('TMP Paste'!$A$2:$A$1601,$AG1383))</f>
        <v/>
      </c>
      <c r="K1383">
        <f>IF($AG1383="","",INDEX('TMP Paste'!$L$2:$L$1601,$AG1383))</f>
        <v/>
      </c>
      <c r="L1383">
        <f>IF($AG1383="","",INDEX('TMP Paste'!$I$2:$I$1601,$AG1383))</f>
        <v/>
      </c>
      <c r="M1383">
        <f>IF($AG1383="","",Config!$B$16)</f>
        <v/>
      </c>
      <c r="N1383">
        <f>IF($AG1383="","","")</f>
        <v/>
      </c>
      <c r="O1383">
        <f>IF($AG1383="","",INDEX('TMP Paste'!$K$2:$K$1601,$AG1383))</f>
        <v/>
      </c>
      <c r="P1383">
        <f>IF($AG1383="","","")</f>
        <v/>
      </c>
      <c r="Q1383">
        <f>IF($AG1383="","",INDEX('TMP Paste'!$J$2:$J$1601,$AG1383))</f>
        <v/>
      </c>
      <c r="R1383">
        <f>IF($AG1383="","",Config!$B$24)</f>
        <v/>
      </c>
      <c r="S1383">
        <f>IF($AG1383="","",TEXT(Config!$B$4,"yyyy-mm-dd"))</f>
        <v/>
      </c>
      <c r="T1383">
        <f>IF($AG1383="","",Config!$B$17)</f>
        <v/>
      </c>
      <c r="U1383">
        <f>IF($AG1383="","",Config!$B$18)</f>
        <v/>
      </c>
      <c r="V1383">
        <f>IF($AG1383="","",Config!$B$19)</f>
        <v/>
      </c>
      <c r="W1383">
        <f>IF($AG1383="","",INDEX('TMP Paste'!$C$2:$C$1601,$AG1383))</f>
        <v/>
      </c>
      <c r="X1383">
        <f>IF($AG1383="","",Config!$B$29)</f>
        <v/>
      </c>
      <c r="Y1383">
        <f>IF($AH1383="","",INDEX(Calc!$I$2:$I$1601,$AH1383)&amp;" - "&amp;INDEX(Calc!$D$2:$D$1601,$AH1383)&amp;" koli")</f>
        <v/>
      </c>
      <c r="Z1383">
        <f>IF($AG1383="","",Config!$B$21)</f>
        <v/>
      </c>
      <c r="AA1383">
        <f>IF($AG1383="","",Config!$B$22)</f>
        <v/>
      </c>
      <c r="AB1383">
        <f>IF($AH1383="","",INDEX(Calc!$D$2:$D$1601,$AH1383))</f>
        <v/>
      </c>
      <c r="AC1383">
        <f>IF($AH1383="","",INDEX(Calc!$G$2:$G$1601,$AH1383))</f>
        <v/>
      </c>
      <c r="AD1383">
        <f>IF($AG1383="","",Config!$B$23)</f>
        <v/>
      </c>
      <c r="AE1383">
        <f>IF($AG1383="","",Config!$B$28)</f>
        <v/>
      </c>
      <c r="AG1383">
        <f>IFERROR(MATCH(ROW()-1,Calc!$J$2:$J$1601,0),"")</f>
        <v/>
      </c>
      <c r="AH1383">
        <f>IFERROR(MATCH(ROW()-1,Calc!$K$2:$K$1601,0),"")</f>
        <v/>
      </c>
      <c r="AI1383">
        <f>IF($AG1383="","",SUMIF($AG$2:$AG1383,$AG1383,$AH$2:$AH1383))</f>
        <v/>
      </c>
      <c r="AJ1383">
        <f>IF('TMP Paste'!$F1383="","",IF('TMP Paste'!$B1383="",$AJ1382,'TMP Paste'!$B1383))</f>
        <v/>
      </c>
      <c r="AK1383">
        <f>IF('TMP Paste'!$F1383="","",N('TMP Paste'!$G1383))</f>
        <v/>
      </c>
      <c r="AL1383">
        <f>IF('TMP Paste'!$F1383="","",IF('TMP Paste'!$M1383="",$AL1382,'TMP Paste'!$M1383))</f>
        <v/>
      </c>
      <c r="AM1383">
        <f>IF('TMP Paste'!$F1383="","",IF('TMP Paste'!$N1383="",$AM1382,'TMP Paste'!$N1383))</f>
        <v/>
      </c>
      <c r="AN1383">
        <f>IF('TMP Paste'!$F1383="","",IF('TMP Paste'!$O1383="",$AN1382,'TMP Paste'!$O1383))</f>
        <v/>
      </c>
      <c r="AO1383">
        <f>IF('TMP Paste'!$F1383="","",IF('TMP Paste'!$P1383="",$AO1382,'TMP Paste'!$P1383))</f>
        <v/>
      </c>
      <c r="AP1383">
        <f>IF($AG1383="","",LEN($R1383))</f>
        <v/>
      </c>
      <c r="AQ1383">
        <f>IF($AG1383="","",TRIM(IF(COUNTIFS(Calc!$B$2:$B$1601,ROW()-1,Calc!$C$2:$C$1601,"&lt;1")&gt;0,"Ada PO tanpa Koli - cek TMP. ","")&amp;IF(LEN($R1383)&gt;500,"R &gt; 500 karakter.","")))</f>
        <v/>
      </c>
    </row>
    <row r="1384">
      <c r="A1384">
        <f>IF($AG1384="","",INDEX('TMP Paste'!$B$2:$B$1601,$AG1384))</f>
        <v/>
      </c>
      <c r="B1384">
        <f>IF($AG1384="","",Config!$B$14)</f>
        <v/>
      </c>
      <c r="C1384">
        <f>IF($AG1384="","",Config!$B$15)</f>
        <v/>
      </c>
      <c r="D1384">
        <f>IF($AG1384="","",INDEX('TMP Paste'!$B$2:$B$1601,$AG1384))</f>
        <v/>
      </c>
      <c r="E1384">
        <f>IF($AG1384="","",Config!$B$27)</f>
        <v/>
      </c>
      <c r="F1384">
        <f>IF($AG1384="","",Config!$B$9)</f>
        <v/>
      </c>
      <c r="G1384">
        <f>IF($AG1384="","",Config!$B$10)</f>
        <v/>
      </c>
      <c r="H1384">
        <f>IF($AG1384="","",Config!$B$11)</f>
        <v/>
      </c>
      <c r="I1384">
        <f>IF($AG1384="","",Config!$B$16)</f>
        <v/>
      </c>
      <c r="J1384">
        <f>IF($AG1384="","",INDEX('TMP Paste'!$A$2:$A$1601,$AG1384))</f>
        <v/>
      </c>
      <c r="K1384">
        <f>IF($AG1384="","",INDEX('TMP Paste'!$L$2:$L$1601,$AG1384))</f>
        <v/>
      </c>
      <c r="L1384">
        <f>IF($AG1384="","",INDEX('TMP Paste'!$I$2:$I$1601,$AG1384))</f>
        <v/>
      </c>
      <c r="M1384">
        <f>IF($AG1384="","",Config!$B$16)</f>
        <v/>
      </c>
      <c r="N1384">
        <f>IF($AG1384="","","")</f>
        <v/>
      </c>
      <c r="O1384">
        <f>IF($AG1384="","",INDEX('TMP Paste'!$K$2:$K$1601,$AG1384))</f>
        <v/>
      </c>
      <c r="P1384">
        <f>IF($AG1384="","","")</f>
        <v/>
      </c>
      <c r="Q1384">
        <f>IF($AG1384="","",INDEX('TMP Paste'!$J$2:$J$1601,$AG1384))</f>
        <v/>
      </c>
      <c r="R1384">
        <f>IF($AG1384="","",Config!$B$24)</f>
        <v/>
      </c>
      <c r="S1384">
        <f>IF($AG1384="","",TEXT(Config!$B$4,"yyyy-mm-dd"))</f>
        <v/>
      </c>
      <c r="T1384">
        <f>IF($AG1384="","",Config!$B$17)</f>
        <v/>
      </c>
      <c r="U1384">
        <f>IF($AG1384="","",Config!$B$18)</f>
        <v/>
      </c>
      <c r="V1384">
        <f>IF($AG1384="","",Config!$B$19)</f>
        <v/>
      </c>
      <c r="W1384">
        <f>IF($AG1384="","",INDEX('TMP Paste'!$C$2:$C$1601,$AG1384))</f>
        <v/>
      </c>
      <c r="X1384">
        <f>IF($AG1384="","",Config!$B$29)</f>
        <v/>
      </c>
      <c r="Y1384">
        <f>IF($AH1384="","",INDEX(Calc!$I$2:$I$1601,$AH1384)&amp;" - "&amp;INDEX(Calc!$D$2:$D$1601,$AH1384)&amp;" koli")</f>
        <v/>
      </c>
      <c r="Z1384">
        <f>IF($AG1384="","",Config!$B$21)</f>
        <v/>
      </c>
      <c r="AA1384">
        <f>IF($AG1384="","",Config!$B$22)</f>
        <v/>
      </c>
      <c r="AB1384">
        <f>IF($AH1384="","",INDEX(Calc!$D$2:$D$1601,$AH1384))</f>
        <v/>
      </c>
      <c r="AC1384">
        <f>IF($AH1384="","",INDEX(Calc!$G$2:$G$1601,$AH1384))</f>
        <v/>
      </c>
      <c r="AD1384">
        <f>IF($AG1384="","",Config!$B$23)</f>
        <v/>
      </c>
      <c r="AE1384">
        <f>IF($AG1384="","",Config!$B$28)</f>
        <v/>
      </c>
      <c r="AG1384">
        <f>IFERROR(MATCH(ROW()-1,Calc!$J$2:$J$1601,0),"")</f>
        <v/>
      </c>
      <c r="AH1384">
        <f>IFERROR(MATCH(ROW()-1,Calc!$K$2:$K$1601,0),"")</f>
        <v/>
      </c>
      <c r="AI1384">
        <f>IF($AG1384="","",SUMIF($AG$2:$AG1384,$AG1384,$AH$2:$AH1384))</f>
        <v/>
      </c>
      <c r="AJ1384">
        <f>IF('TMP Paste'!$F1384="","",IF('TMP Paste'!$B1384="",$AJ1383,'TMP Paste'!$B1384))</f>
        <v/>
      </c>
      <c r="AK1384">
        <f>IF('TMP Paste'!$F1384="","",N('TMP Paste'!$G1384))</f>
        <v/>
      </c>
      <c r="AL1384">
        <f>IF('TMP Paste'!$F1384="","",IF('TMP Paste'!$M1384="",$AL1383,'TMP Paste'!$M1384))</f>
        <v/>
      </c>
      <c r="AM1384">
        <f>IF('TMP Paste'!$F1384="","",IF('TMP Paste'!$N1384="",$AM1383,'TMP Paste'!$N1384))</f>
        <v/>
      </c>
      <c r="AN1384">
        <f>IF('TMP Paste'!$F1384="","",IF('TMP Paste'!$O1384="",$AN1383,'TMP Paste'!$O1384))</f>
        <v/>
      </c>
      <c r="AO1384">
        <f>IF('TMP Paste'!$F1384="","",IF('TMP Paste'!$P1384="",$AO1383,'TMP Paste'!$P1384))</f>
        <v/>
      </c>
      <c r="AP1384">
        <f>IF($AG1384="","",LEN($R1384))</f>
        <v/>
      </c>
      <c r="AQ1384">
        <f>IF($AG1384="","",TRIM(IF(COUNTIFS(Calc!$B$2:$B$1601,ROW()-1,Calc!$C$2:$C$1601,"&lt;1")&gt;0,"Ada PO tanpa Koli - cek TMP. ","")&amp;IF(LEN($R1384)&gt;500,"R &gt; 500 karakter.","")))</f>
        <v/>
      </c>
    </row>
    <row r="1385">
      <c r="A1385">
        <f>IF($AG1385="","",INDEX('TMP Paste'!$B$2:$B$1601,$AG1385))</f>
        <v/>
      </c>
      <c r="B1385">
        <f>IF($AG1385="","",Config!$B$14)</f>
        <v/>
      </c>
      <c r="C1385">
        <f>IF($AG1385="","",Config!$B$15)</f>
        <v/>
      </c>
      <c r="D1385">
        <f>IF($AG1385="","",INDEX('TMP Paste'!$B$2:$B$1601,$AG1385))</f>
        <v/>
      </c>
      <c r="E1385">
        <f>IF($AG1385="","",Config!$B$27)</f>
        <v/>
      </c>
      <c r="F1385">
        <f>IF($AG1385="","",Config!$B$9)</f>
        <v/>
      </c>
      <c r="G1385">
        <f>IF($AG1385="","",Config!$B$10)</f>
        <v/>
      </c>
      <c r="H1385">
        <f>IF($AG1385="","",Config!$B$11)</f>
        <v/>
      </c>
      <c r="I1385">
        <f>IF($AG1385="","",Config!$B$16)</f>
        <v/>
      </c>
      <c r="J1385">
        <f>IF($AG1385="","",INDEX('TMP Paste'!$A$2:$A$1601,$AG1385))</f>
        <v/>
      </c>
      <c r="K1385">
        <f>IF($AG1385="","",INDEX('TMP Paste'!$L$2:$L$1601,$AG1385))</f>
        <v/>
      </c>
      <c r="L1385">
        <f>IF($AG1385="","",INDEX('TMP Paste'!$I$2:$I$1601,$AG1385))</f>
        <v/>
      </c>
      <c r="M1385">
        <f>IF($AG1385="","",Config!$B$16)</f>
        <v/>
      </c>
      <c r="N1385">
        <f>IF($AG1385="","","")</f>
        <v/>
      </c>
      <c r="O1385">
        <f>IF($AG1385="","",INDEX('TMP Paste'!$K$2:$K$1601,$AG1385))</f>
        <v/>
      </c>
      <c r="P1385">
        <f>IF($AG1385="","","")</f>
        <v/>
      </c>
      <c r="Q1385">
        <f>IF($AG1385="","",INDEX('TMP Paste'!$J$2:$J$1601,$AG1385))</f>
        <v/>
      </c>
      <c r="R1385">
        <f>IF($AG1385="","",Config!$B$24)</f>
        <v/>
      </c>
      <c r="S1385">
        <f>IF($AG1385="","",TEXT(Config!$B$4,"yyyy-mm-dd"))</f>
        <v/>
      </c>
      <c r="T1385">
        <f>IF($AG1385="","",Config!$B$17)</f>
        <v/>
      </c>
      <c r="U1385">
        <f>IF($AG1385="","",Config!$B$18)</f>
        <v/>
      </c>
      <c r="V1385">
        <f>IF($AG1385="","",Config!$B$19)</f>
        <v/>
      </c>
      <c r="W1385">
        <f>IF($AG1385="","",INDEX('TMP Paste'!$C$2:$C$1601,$AG1385))</f>
        <v/>
      </c>
      <c r="X1385">
        <f>IF($AG1385="","",Config!$B$29)</f>
        <v/>
      </c>
      <c r="Y1385">
        <f>IF($AH1385="","",INDEX(Calc!$I$2:$I$1601,$AH1385)&amp;" - "&amp;INDEX(Calc!$D$2:$D$1601,$AH1385)&amp;" koli")</f>
        <v/>
      </c>
      <c r="Z1385">
        <f>IF($AG1385="","",Config!$B$21)</f>
        <v/>
      </c>
      <c r="AA1385">
        <f>IF($AG1385="","",Config!$B$22)</f>
        <v/>
      </c>
      <c r="AB1385">
        <f>IF($AH1385="","",INDEX(Calc!$D$2:$D$1601,$AH1385))</f>
        <v/>
      </c>
      <c r="AC1385">
        <f>IF($AH1385="","",INDEX(Calc!$G$2:$G$1601,$AH1385))</f>
        <v/>
      </c>
      <c r="AD1385">
        <f>IF($AG1385="","",Config!$B$23)</f>
        <v/>
      </c>
      <c r="AE1385">
        <f>IF($AG1385="","",Config!$B$28)</f>
        <v/>
      </c>
      <c r="AG1385">
        <f>IFERROR(MATCH(ROW()-1,Calc!$J$2:$J$1601,0),"")</f>
        <v/>
      </c>
      <c r="AH1385">
        <f>IFERROR(MATCH(ROW()-1,Calc!$K$2:$K$1601,0),"")</f>
        <v/>
      </c>
      <c r="AI1385">
        <f>IF($AG1385="","",SUMIF($AG$2:$AG1385,$AG1385,$AH$2:$AH1385))</f>
        <v/>
      </c>
      <c r="AJ1385">
        <f>IF('TMP Paste'!$F1385="","",IF('TMP Paste'!$B1385="",$AJ1384,'TMP Paste'!$B1385))</f>
        <v/>
      </c>
      <c r="AK1385">
        <f>IF('TMP Paste'!$F1385="","",N('TMP Paste'!$G1385))</f>
        <v/>
      </c>
      <c r="AL1385">
        <f>IF('TMP Paste'!$F1385="","",IF('TMP Paste'!$M1385="",$AL1384,'TMP Paste'!$M1385))</f>
        <v/>
      </c>
      <c r="AM1385">
        <f>IF('TMP Paste'!$F1385="","",IF('TMP Paste'!$N1385="",$AM1384,'TMP Paste'!$N1385))</f>
        <v/>
      </c>
      <c r="AN1385">
        <f>IF('TMP Paste'!$F1385="","",IF('TMP Paste'!$O1385="",$AN1384,'TMP Paste'!$O1385))</f>
        <v/>
      </c>
      <c r="AO1385">
        <f>IF('TMP Paste'!$F1385="","",IF('TMP Paste'!$P1385="",$AO1384,'TMP Paste'!$P1385))</f>
        <v/>
      </c>
      <c r="AP1385">
        <f>IF($AG1385="","",LEN($R1385))</f>
        <v/>
      </c>
      <c r="AQ1385">
        <f>IF($AG1385="","",TRIM(IF(COUNTIFS(Calc!$B$2:$B$1601,ROW()-1,Calc!$C$2:$C$1601,"&lt;1")&gt;0,"Ada PO tanpa Koli - cek TMP. ","")&amp;IF(LEN($R1385)&gt;500,"R &gt; 500 karakter.","")))</f>
        <v/>
      </c>
    </row>
    <row r="1386">
      <c r="A1386">
        <f>IF($AG1386="","",INDEX('TMP Paste'!$B$2:$B$1601,$AG1386))</f>
        <v/>
      </c>
      <c r="B1386">
        <f>IF($AG1386="","",Config!$B$14)</f>
        <v/>
      </c>
      <c r="C1386">
        <f>IF($AG1386="","",Config!$B$15)</f>
        <v/>
      </c>
      <c r="D1386">
        <f>IF($AG1386="","",INDEX('TMP Paste'!$B$2:$B$1601,$AG1386))</f>
        <v/>
      </c>
      <c r="E1386">
        <f>IF($AG1386="","",Config!$B$27)</f>
        <v/>
      </c>
      <c r="F1386">
        <f>IF($AG1386="","",Config!$B$9)</f>
        <v/>
      </c>
      <c r="G1386">
        <f>IF($AG1386="","",Config!$B$10)</f>
        <v/>
      </c>
      <c r="H1386">
        <f>IF($AG1386="","",Config!$B$11)</f>
        <v/>
      </c>
      <c r="I1386">
        <f>IF($AG1386="","",Config!$B$16)</f>
        <v/>
      </c>
      <c r="J1386">
        <f>IF($AG1386="","",INDEX('TMP Paste'!$A$2:$A$1601,$AG1386))</f>
        <v/>
      </c>
      <c r="K1386">
        <f>IF($AG1386="","",INDEX('TMP Paste'!$L$2:$L$1601,$AG1386))</f>
        <v/>
      </c>
      <c r="L1386">
        <f>IF($AG1386="","",INDEX('TMP Paste'!$I$2:$I$1601,$AG1386))</f>
        <v/>
      </c>
      <c r="M1386">
        <f>IF($AG1386="","",Config!$B$16)</f>
        <v/>
      </c>
      <c r="N1386">
        <f>IF($AG1386="","","")</f>
        <v/>
      </c>
      <c r="O1386">
        <f>IF($AG1386="","",INDEX('TMP Paste'!$K$2:$K$1601,$AG1386))</f>
        <v/>
      </c>
      <c r="P1386">
        <f>IF($AG1386="","","")</f>
        <v/>
      </c>
      <c r="Q1386">
        <f>IF($AG1386="","",INDEX('TMP Paste'!$J$2:$J$1601,$AG1386))</f>
        <v/>
      </c>
      <c r="R1386">
        <f>IF($AG1386="","",Config!$B$24)</f>
        <v/>
      </c>
      <c r="S1386">
        <f>IF($AG1386="","",TEXT(Config!$B$4,"yyyy-mm-dd"))</f>
        <v/>
      </c>
      <c r="T1386">
        <f>IF($AG1386="","",Config!$B$17)</f>
        <v/>
      </c>
      <c r="U1386">
        <f>IF($AG1386="","",Config!$B$18)</f>
        <v/>
      </c>
      <c r="V1386">
        <f>IF($AG1386="","",Config!$B$19)</f>
        <v/>
      </c>
      <c r="W1386">
        <f>IF($AG1386="","",INDEX('TMP Paste'!$C$2:$C$1601,$AG1386))</f>
        <v/>
      </c>
      <c r="X1386">
        <f>IF($AG1386="","",Config!$B$29)</f>
        <v/>
      </c>
      <c r="Y1386">
        <f>IF($AH1386="","",INDEX(Calc!$I$2:$I$1601,$AH1386)&amp;" - "&amp;INDEX(Calc!$D$2:$D$1601,$AH1386)&amp;" koli")</f>
        <v/>
      </c>
      <c r="Z1386">
        <f>IF($AG1386="","",Config!$B$21)</f>
        <v/>
      </c>
      <c r="AA1386">
        <f>IF($AG1386="","",Config!$B$22)</f>
        <v/>
      </c>
      <c r="AB1386">
        <f>IF($AH1386="","",INDEX(Calc!$D$2:$D$1601,$AH1386))</f>
        <v/>
      </c>
      <c r="AC1386">
        <f>IF($AH1386="","",INDEX(Calc!$G$2:$G$1601,$AH1386))</f>
        <v/>
      </c>
      <c r="AD1386">
        <f>IF($AG1386="","",Config!$B$23)</f>
        <v/>
      </c>
      <c r="AE1386">
        <f>IF($AG1386="","",Config!$B$28)</f>
        <v/>
      </c>
      <c r="AG1386">
        <f>IFERROR(MATCH(ROW()-1,Calc!$J$2:$J$1601,0),"")</f>
        <v/>
      </c>
      <c r="AH1386">
        <f>IFERROR(MATCH(ROW()-1,Calc!$K$2:$K$1601,0),"")</f>
        <v/>
      </c>
      <c r="AI1386">
        <f>IF($AG1386="","",SUMIF($AG$2:$AG1386,$AG1386,$AH$2:$AH1386))</f>
        <v/>
      </c>
      <c r="AJ1386">
        <f>IF('TMP Paste'!$F1386="","",IF('TMP Paste'!$B1386="",$AJ1385,'TMP Paste'!$B1386))</f>
        <v/>
      </c>
      <c r="AK1386">
        <f>IF('TMP Paste'!$F1386="","",N('TMP Paste'!$G1386))</f>
        <v/>
      </c>
      <c r="AL1386">
        <f>IF('TMP Paste'!$F1386="","",IF('TMP Paste'!$M1386="",$AL1385,'TMP Paste'!$M1386))</f>
        <v/>
      </c>
      <c r="AM1386">
        <f>IF('TMP Paste'!$F1386="","",IF('TMP Paste'!$N1386="",$AM1385,'TMP Paste'!$N1386))</f>
        <v/>
      </c>
      <c r="AN1386">
        <f>IF('TMP Paste'!$F1386="","",IF('TMP Paste'!$O1386="",$AN1385,'TMP Paste'!$O1386))</f>
        <v/>
      </c>
      <c r="AO1386">
        <f>IF('TMP Paste'!$F1386="","",IF('TMP Paste'!$P1386="",$AO1385,'TMP Paste'!$P1386))</f>
        <v/>
      </c>
      <c r="AP1386">
        <f>IF($AG1386="","",LEN($R1386))</f>
        <v/>
      </c>
      <c r="AQ1386">
        <f>IF($AG1386="","",TRIM(IF(COUNTIFS(Calc!$B$2:$B$1601,ROW()-1,Calc!$C$2:$C$1601,"&lt;1")&gt;0,"Ada PO tanpa Koli - cek TMP. ","")&amp;IF(LEN($R1386)&gt;500,"R &gt; 500 karakter.","")))</f>
        <v/>
      </c>
    </row>
    <row r="1387">
      <c r="A1387">
        <f>IF($AG1387="","",INDEX('TMP Paste'!$B$2:$B$1601,$AG1387))</f>
        <v/>
      </c>
      <c r="B1387">
        <f>IF($AG1387="","",Config!$B$14)</f>
        <v/>
      </c>
      <c r="C1387">
        <f>IF($AG1387="","",Config!$B$15)</f>
        <v/>
      </c>
      <c r="D1387">
        <f>IF($AG1387="","",INDEX('TMP Paste'!$B$2:$B$1601,$AG1387))</f>
        <v/>
      </c>
      <c r="E1387">
        <f>IF($AG1387="","",Config!$B$27)</f>
        <v/>
      </c>
      <c r="F1387">
        <f>IF($AG1387="","",Config!$B$9)</f>
        <v/>
      </c>
      <c r="G1387">
        <f>IF($AG1387="","",Config!$B$10)</f>
        <v/>
      </c>
      <c r="H1387">
        <f>IF($AG1387="","",Config!$B$11)</f>
        <v/>
      </c>
      <c r="I1387">
        <f>IF($AG1387="","",Config!$B$16)</f>
        <v/>
      </c>
      <c r="J1387">
        <f>IF($AG1387="","",INDEX('TMP Paste'!$A$2:$A$1601,$AG1387))</f>
        <v/>
      </c>
      <c r="K1387">
        <f>IF($AG1387="","",INDEX('TMP Paste'!$L$2:$L$1601,$AG1387))</f>
        <v/>
      </c>
      <c r="L1387">
        <f>IF($AG1387="","",INDEX('TMP Paste'!$I$2:$I$1601,$AG1387))</f>
        <v/>
      </c>
      <c r="M1387">
        <f>IF($AG1387="","",Config!$B$16)</f>
        <v/>
      </c>
      <c r="N1387">
        <f>IF($AG1387="","","")</f>
        <v/>
      </c>
      <c r="O1387">
        <f>IF($AG1387="","",INDEX('TMP Paste'!$K$2:$K$1601,$AG1387))</f>
        <v/>
      </c>
      <c r="P1387">
        <f>IF($AG1387="","","")</f>
        <v/>
      </c>
      <c r="Q1387">
        <f>IF($AG1387="","",INDEX('TMP Paste'!$J$2:$J$1601,$AG1387))</f>
        <v/>
      </c>
      <c r="R1387">
        <f>IF($AG1387="","",Config!$B$24)</f>
        <v/>
      </c>
      <c r="S1387">
        <f>IF($AG1387="","",TEXT(Config!$B$4,"yyyy-mm-dd"))</f>
        <v/>
      </c>
      <c r="T1387">
        <f>IF($AG1387="","",Config!$B$17)</f>
        <v/>
      </c>
      <c r="U1387">
        <f>IF($AG1387="","",Config!$B$18)</f>
        <v/>
      </c>
      <c r="V1387">
        <f>IF($AG1387="","",Config!$B$19)</f>
        <v/>
      </c>
      <c r="W1387">
        <f>IF($AG1387="","",INDEX('TMP Paste'!$C$2:$C$1601,$AG1387))</f>
        <v/>
      </c>
      <c r="X1387">
        <f>IF($AG1387="","",Config!$B$29)</f>
        <v/>
      </c>
      <c r="Y1387">
        <f>IF($AH1387="","",INDEX(Calc!$I$2:$I$1601,$AH1387)&amp;" - "&amp;INDEX(Calc!$D$2:$D$1601,$AH1387)&amp;" koli")</f>
        <v/>
      </c>
      <c r="Z1387">
        <f>IF($AG1387="","",Config!$B$21)</f>
        <v/>
      </c>
      <c r="AA1387">
        <f>IF($AG1387="","",Config!$B$22)</f>
        <v/>
      </c>
      <c r="AB1387">
        <f>IF($AH1387="","",INDEX(Calc!$D$2:$D$1601,$AH1387))</f>
        <v/>
      </c>
      <c r="AC1387">
        <f>IF($AH1387="","",INDEX(Calc!$G$2:$G$1601,$AH1387))</f>
        <v/>
      </c>
      <c r="AD1387">
        <f>IF($AG1387="","",Config!$B$23)</f>
        <v/>
      </c>
      <c r="AE1387">
        <f>IF($AG1387="","",Config!$B$28)</f>
        <v/>
      </c>
      <c r="AG1387">
        <f>IFERROR(MATCH(ROW()-1,Calc!$J$2:$J$1601,0),"")</f>
        <v/>
      </c>
      <c r="AH1387">
        <f>IFERROR(MATCH(ROW()-1,Calc!$K$2:$K$1601,0),"")</f>
        <v/>
      </c>
      <c r="AI1387">
        <f>IF($AG1387="","",SUMIF($AG$2:$AG1387,$AG1387,$AH$2:$AH1387))</f>
        <v/>
      </c>
      <c r="AJ1387">
        <f>IF('TMP Paste'!$F1387="","",IF('TMP Paste'!$B1387="",$AJ1386,'TMP Paste'!$B1387))</f>
        <v/>
      </c>
      <c r="AK1387">
        <f>IF('TMP Paste'!$F1387="","",N('TMP Paste'!$G1387))</f>
        <v/>
      </c>
      <c r="AL1387">
        <f>IF('TMP Paste'!$F1387="","",IF('TMP Paste'!$M1387="",$AL1386,'TMP Paste'!$M1387))</f>
        <v/>
      </c>
      <c r="AM1387">
        <f>IF('TMP Paste'!$F1387="","",IF('TMP Paste'!$N1387="",$AM1386,'TMP Paste'!$N1387))</f>
        <v/>
      </c>
      <c r="AN1387">
        <f>IF('TMP Paste'!$F1387="","",IF('TMP Paste'!$O1387="",$AN1386,'TMP Paste'!$O1387))</f>
        <v/>
      </c>
      <c r="AO1387">
        <f>IF('TMP Paste'!$F1387="","",IF('TMP Paste'!$P1387="",$AO1386,'TMP Paste'!$P1387))</f>
        <v/>
      </c>
      <c r="AP1387">
        <f>IF($AG1387="","",LEN($R1387))</f>
        <v/>
      </c>
      <c r="AQ1387">
        <f>IF($AG1387="","",TRIM(IF(COUNTIFS(Calc!$B$2:$B$1601,ROW()-1,Calc!$C$2:$C$1601,"&lt;1")&gt;0,"Ada PO tanpa Koli - cek TMP. ","")&amp;IF(LEN($R1387)&gt;500,"R &gt; 500 karakter.","")))</f>
        <v/>
      </c>
    </row>
    <row r="1388">
      <c r="A1388">
        <f>IF($AG1388="","",INDEX('TMP Paste'!$B$2:$B$1601,$AG1388))</f>
        <v/>
      </c>
      <c r="B1388">
        <f>IF($AG1388="","",Config!$B$14)</f>
        <v/>
      </c>
      <c r="C1388">
        <f>IF($AG1388="","",Config!$B$15)</f>
        <v/>
      </c>
      <c r="D1388">
        <f>IF($AG1388="","",INDEX('TMP Paste'!$B$2:$B$1601,$AG1388))</f>
        <v/>
      </c>
      <c r="E1388">
        <f>IF($AG1388="","",Config!$B$27)</f>
        <v/>
      </c>
      <c r="F1388">
        <f>IF($AG1388="","",Config!$B$9)</f>
        <v/>
      </c>
      <c r="G1388">
        <f>IF($AG1388="","",Config!$B$10)</f>
        <v/>
      </c>
      <c r="H1388">
        <f>IF($AG1388="","",Config!$B$11)</f>
        <v/>
      </c>
      <c r="I1388">
        <f>IF($AG1388="","",Config!$B$16)</f>
        <v/>
      </c>
      <c r="J1388">
        <f>IF($AG1388="","",INDEX('TMP Paste'!$A$2:$A$1601,$AG1388))</f>
        <v/>
      </c>
      <c r="K1388">
        <f>IF($AG1388="","",INDEX('TMP Paste'!$L$2:$L$1601,$AG1388))</f>
        <v/>
      </c>
      <c r="L1388">
        <f>IF($AG1388="","",INDEX('TMP Paste'!$I$2:$I$1601,$AG1388))</f>
        <v/>
      </c>
      <c r="M1388">
        <f>IF($AG1388="","",Config!$B$16)</f>
        <v/>
      </c>
      <c r="N1388">
        <f>IF($AG1388="","","")</f>
        <v/>
      </c>
      <c r="O1388">
        <f>IF($AG1388="","",INDEX('TMP Paste'!$K$2:$K$1601,$AG1388))</f>
        <v/>
      </c>
      <c r="P1388">
        <f>IF($AG1388="","","")</f>
        <v/>
      </c>
      <c r="Q1388">
        <f>IF($AG1388="","",INDEX('TMP Paste'!$J$2:$J$1601,$AG1388))</f>
        <v/>
      </c>
      <c r="R1388">
        <f>IF($AG1388="","",Config!$B$24)</f>
        <v/>
      </c>
      <c r="S1388">
        <f>IF($AG1388="","",TEXT(Config!$B$4,"yyyy-mm-dd"))</f>
        <v/>
      </c>
      <c r="T1388">
        <f>IF($AG1388="","",Config!$B$17)</f>
        <v/>
      </c>
      <c r="U1388">
        <f>IF($AG1388="","",Config!$B$18)</f>
        <v/>
      </c>
      <c r="V1388">
        <f>IF($AG1388="","",Config!$B$19)</f>
        <v/>
      </c>
      <c r="W1388">
        <f>IF($AG1388="","",INDEX('TMP Paste'!$C$2:$C$1601,$AG1388))</f>
        <v/>
      </c>
      <c r="X1388">
        <f>IF($AG1388="","",Config!$B$29)</f>
        <v/>
      </c>
      <c r="Y1388">
        <f>IF($AH1388="","",INDEX(Calc!$I$2:$I$1601,$AH1388)&amp;" - "&amp;INDEX(Calc!$D$2:$D$1601,$AH1388)&amp;" koli")</f>
        <v/>
      </c>
      <c r="Z1388">
        <f>IF($AG1388="","",Config!$B$21)</f>
        <v/>
      </c>
      <c r="AA1388">
        <f>IF($AG1388="","",Config!$B$22)</f>
        <v/>
      </c>
      <c r="AB1388">
        <f>IF($AH1388="","",INDEX(Calc!$D$2:$D$1601,$AH1388))</f>
        <v/>
      </c>
      <c r="AC1388">
        <f>IF($AH1388="","",INDEX(Calc!$G$2:$G$1601,$AH1388))</f>
        <v/>
      </c>
      <c r="AD1388">
        <f>IF($AG1388="","",Config!$B$23)</f>
        <v/>
      </c>
      <c r="AE1388">
        <f>IF($AG1388="","",Config!$B$28)</f>
        <v/>
      </c>
      <c r="AG1388">
        <f>IFERROR(MATCH(ROW()-1,Calc!$J$2:$J$1601,0),"")</f>
        <v/>
      </c>
      <c r="AH1388">
        <f>IFERROR(MATCH(ROW()-1,Calc!$K$2:$K$1601,0),"")</f>
        <v/>
      </c>
      <c r="AI1388">
        <f>IF($AG1388="","",SUMIF($AG$2:$AG1388,$AG1388,$AH$2:$AH1388))</f>
        <v/>
      </c>
      <c r="AJ1388">
        <f>IF('TMP Paste'!$F1388="","",IF('TMP Paste'!$B1388="",$AJ1387,'TMP Paste'!$B1388))</f>
        <v/>
      </c>
      <c r="AK1388">
        <f>IF('TMP Paste'!$F1388="","",N('TMP Paste'!$G1388))</f>
        <v/>
      </c>
      <c r="AL1388">
        <f>IF('TMP Paste'!$F1388="","",IF('TMP Paste'!$M1388="",$AL1387,'TMP Paste'!$M1388))</f>
        <v/>
      </c>
      <c r="AM1388">
        <f>IF('TMP Paste'!$F1388="","",IF('TMP Paste'!$N1388="",$AM1387,'TMP Paste'!$N1388))</f>
        <v/>
      </c>
      <c r="AN1388">
        <f>IF('TMP Paste'!$F1388="","",IF('TMP Paste'!$O1388="",$AN1387,'TMP Paste'!$O1388))</f>
        <v/>
      </c>
      <c r="AO1388">
        <f>IF('TMP Paste'!$F1388="","",IF('TMP Paste'!$P1388="",$AO1387,'TMP Paste'!$P1388))</f>
        <v/>
      </c>
      <c r="AP1388">
        <f>IF($AG1388="","",LEN($R1388))</f>
        <v/>
      </c>
      <c r="AQ1388">
        <f>IF($AG1388="","",TRIM(IF(COUNTIFS(Calc!$B$2:$B$1601,ROW()-1,Calc!$C$2:$C$1601,"&lt;1")&gt;0,"Ada PO tanpa Koli - cek TMP. ","")&amp;IF(LEN($R1388)&gt;500,"R &gt; 500 karakter.","")))</f>
        <v/>
      </c>
    </row>
    <row r="1389">
      <c r="A1389">
        <f>IF($AG1389="","",INDEX('TMP Paste'!$B$2:$B$1601,$AG1389))</f>
        <v/>
      </c>
      <c r="B1389">
        <f>IF($AG1389="","",Config!$B$14)</f>
        <v/>
      </c>
      <c r="C1389">
        <f>IF($AG1389="","",Config!$B$15)</f>
        <v/>
      </c>
      <c r="D1389">
        <f>IF($AG1389="","",INDEX('TMP Paste'!$B$2:$B$1601,$AG1389))</f>
        <v/>
      </c>
      <c r="E1389">
        <f>IF($AG1389="","",Config!$B$27)</f>
        <v/>
      </c>
      <c r="F1389">
        <f>IF($AG1389="","",Config!$B$9)</f>
        <v/>
      </c>
      <c r="G1389">
        <f>IF($AG1389="","",Config!$B$10)</f>
        <v/>
      </c>
      <c r="H1389">
        <f>IF($AG1389="","",Config!$B$11)</f>
        <v/>
      </c>
      <c r="I1389">
        <f>IF($AG1389="","",Config!$B$16)</f>
        <v/>
      </c>
      <c r="J1389">
        <f>IF($AG1389="","",INDEX('TMP Paste'!$A$2:$A$1601,$AG1389))</f>
        <v/>
      </c>
      <c r="K1389">
        <f>IF($AG1389="","",INDEX('TMP Paste'!$L$2:$L$1601,$AG1389))</f>
        <v/>
      </c>
      <c r="L1389">
        <f>IF($AG1389="","",INDEX('TMP Paste'!$I$2:$I$1601,$AG1389))</f>
        <v/>
      </c>
      <c r="M1389">
        <f>IF($AG1389="","",Config!$B$16)</f>
        <v/>
      </c>
      <c r="N1389">
        <f>IF($AG1389="","","")</f>
        <v/>
      </c>
      <c r="O1389">
        <f>IF($AG1389="","",INDEX('TMP Paste'!$K$2:$K$1601,$AG1389))</f>
        <v/>
      </c>
      <c r="P1389">
        <f>IF($AG1389="","","")</f>
        <v/>
      </c>
      <c r="Q1389">
        <f>IF($AG1389="","",INDEX('TMP Paste'!$J$2:$J$1601,$AG1389))</f>
        <v/>
      </c>
      <c r="R1389">
        <f>IF($AG1389="","",Config!$B$24)</f>
        <v/>
      </c>
      <c r="S1389">
        <f>IF($AG1389="","",TEXT(Config!$B$4,"yyyy-mm-dd"))</f>
        <v/>
      </c>
      <c r="T1389">
        <f>IF($AG1389="","",Config!$B$17)</f>
        <v/>
      </c>
      <c r="U1389">
        <f>IF($AG1389="","",Config!$B$18)</f>
        <v/>
      </c>
      <c r="V1389">
        <f>IF($AG1389="","",Config!$B$19)</f>
        <v/>
      </c>
      <c r="W1389">
        <f>IF($AG1389="","",INDEX('TMP Paste'!$C$2:$C$1601,$AG1389))</f>
        <v/>
      </c>
      <c r="X1389">
        <f>IF($AG1389="","",Config!$B$29)</f>
        <v/>
      </c>
      <c r="Y1389">
        <f>IF($AH1389="","",INDEX(Calc!$I$2:$I$1601,$AH1389)&amp;" - "&amp;INDEX(Calc!$D$2:$D$1601,$AH1389)&amp;" koli")</f>
        <v/>
      </c>
      <c r="Z1389">
        <f>IF($AG1389="","",Config!$B$21)</f>
        <v/>
      </c>
      <c r="AA1389">
        <f>IF($AG1389="","",Config!$B$22)</f>
        <v/>
      </c>
      <c r="AB1389">
        <f>IF($AH1389="","",INDEX(Calc!$D$2:$D$1601,$AH1389))</f>
        <v/>
      </c>
      <c r="AC1389">
        <f>IF($AH1389="","",INDEX(Calc!$G$2:$G$1601,$AH1389))</f>
        <v/>
      </c>
      <c r="AD1389">
        <f>IF($AG1389="","",Config!$B$23)</f>
        <v/>
      </c>
      <c r="AE1389">
        <f>IF($AG1389="","",Config!$B$28)</f>
        <v/>
      </c>
      <c r="AG1389">
        <f>IFERROR(MATCH(ROW()-1,Calc!$J$2:$J$1601,0),"")</f>
        <v/>
      </c>
      <c r="AH1389">
        <f>IFERROR(MATCH(ROW()-1,Calc!$K$2:$K$1601,0),"")</f>
        <v/>
      </c>
      <c r="AI1389">
        <f>IF($AG1389="","",SUMIF($AG$2:$AG1389,$AG1389,$AH$2:$AH1389))</f>
        <v/>
      </c>
      <c r="AJ1389">
        <f>IF('TMP Paste'!$F1389="","",IF('TMP Paste'!$B1389="",$AJ1388,'TMP Paste'!$B1389))</f>
        <v/>
      </c>
      <c r="AK1389">
        <f>IF('TMP Paste'!$F1389="","",N('TMP Paste'!$G1389))</f>
        <v/>
      </c>
      <c r="AL1389">
        <f>IF('TMP Paste'!$F1389="","",IF('TMP Paste'!$M1389="",$AL1388,'TMP Paste'!$M1389))</f>
        <v/>
      </c>
      <c r="AM1389">
        <f>IF('TMP Paste'!$F1389="","",IF('TMP Paste'!$N1389="",$AM1388,'TMP Paste'!$N1389))</f>
        <v/>
      </c>
      <c r="AN1389">
        <f>IF('TMP Paste'!$F1389="","",IF('TMP Paste'!$O1389="",$AN1388,'TMP Paste'!$O1389))</f>
        <v/>
      </c>
      <c r="AO1389">
        <f>IF('TMP Paste'!$F1389="","",IF('TMP Paste'!$P1389="",$AO1388,'TMP Paste'!$P1389))</f>
        <v/>
      </c>
      <c r="AP1389">
        <f>IF($AG1389="","",LEN($R1389))</f>
        <v/>
      </c>
      <c r="AQ1389">
        <f>IF($AG1389="","",TRIM(IF(COUNTIFS(Calc!$B$2:$B$1601,ROW()-1,Calc!$C$2:$C$1601,"&lt;1")&gt;0,"Ada PO tanpa Koli - cek TMP. ","")&amp;IF(LEN($R1389)&gt;500,"R &gt; 500 karakter.","")))</f>
        <v/>
      </c>
    </row>
    <row r="1390">
      <c r="A1390">
        <f>IF($AG1390="","",INDEX('TMP Paste'!$B$2:$B$1601,$AG1390))</f>
        <v/>
      </c>
      <c r="B1390">
        <f>IF($AG1390="","",Config!$B$14)</f>
        <v/>
      </c>
      <c r="C1390">
        <f>IF($AG1390="","",Config!$B$15)</f>
        <v/>
      </c>
      <c r="D1390">
        <f>IF($AG1390="","",INDEX('TMP Paste'!$B$2:$B$1601,$AG1390))</f>
        <v/>
      </c>
      <c r="E1390">
        <f>IF($AG1390="","",Config!$B$27)</f>
        <v/>
      </c>
      <c r="F1390">
        <f>IF($AG1390="","",Config!$B$9)</f>
        <v/>
      </c>
      <c r="G1390">
        <f>IF($AG1390="","",Config!$B$10)</f>
        <v/>
      </c>
      <c r="H1390">
        <f>IF($AG1390="","",Config!$B$11)</f>
        <v/>
      </c>
      <c r="I1390">
        <f>IF($AG1390="","",Config!$B$16)</f>
        <v/>
      </c>
      <c r="J1390">
        <f>IF($AG1390="","",INDEX('TMP Paste'!$A$2:$A$1601,$AG1390))</f>
        <v/>
      </c>
      <c r="K1390">
        <f>IF($AG1390="","",INDEX('TMP Paste'!$L$2:$L$1601,$AG1390))</f>
        <v/>
      </c>
      <c r="L1390">
        <f>IF($AG1390="","",INDEX('TMP Paste'!$I$2:$I$1601,$AG1390))</f>
        <v/>
      </c>
      <c r="M1390">
        <f>IF($AG1390="","",Config!$B$16)</f>
        <v/>
      </c>
      <c r="N1390">
        <f>IF($AG1390="","","")</f>
        <v/>
      </c>
      <c r="O1390">
        <f>IF($AG1390="","",INDEX('TMP Paste'!$K$2:$K$1601,$AG1390))</f>
        <v/>
      </c>
      <c r="P1390">
        <f>IF($AG1390="","","")</f>
        <v/>
      </c>
      <c r="Q1390">
        <f>IF($AG1390="","",INDEX('TMP Paste'!$J$2:$J$1601,$AG1390))</f>
        <v/>
      </c>
      <c r="R1390">
        <f>IF($AG1390="","",Config!$B$24)</f>
        <v/>
      </c>
      <c r="S1390">
        <f>IF($AG1390="","",TEXT(Config!$B$4,"yyyy-mm-dd"))</f>
        <v/>
      </c>
      <c r="T1390">
        <f>IF($AG1390="","",Config!$B$17)</f>
        <v/>
      </c>
      <c r="U1390">
        <f>IF($AG1390="","",Config!$B$18)</f>
        <v/>
      </c>
      <c r="V1390">
        <f>IF($AG1390="","",Config!$B$19)</f>
        <v/>
      </c>
      <c r="W1390">
        <f>IF($AG1390="","",INDEX('TMP Paste'!$C$2:$C$1601,$AG1390))</f>
        <v/>
      </c>
      <c r="X1390">
        <f>IF($AG1390="","",Config!$B$29)</f>
        <v/>
      </c>
      <c r="Y1390">
        <f>IF($AH1390="","",INDEX(Calc!$I$2:$I$1601,$AH1390)&amp;" - "&amp;INDEX(Calc!$D$2:$D$1601,$AH1390)&amp;" koli")</f>
        <v/>
      </c>
      <c r="Z1390">
        <f>IF($AG1390="","",Config!$B$21)</f>
        <v/>
      </c>
      <c r="AA1390">
        <f>IF($AG1390="","",Config!$B$22)</f>
        <v/>
      </c>
      <c r="AB1390">
        <f>IF($AH1390="","",INDEX(Calc!$D$2:$D$1601,$AH1390))</f>
        <v/>
      </c>
      <c r="AC1390">
        <f>IF($AH1390="","",INDEX(Calc!$G$2:$G$1601,$AH1390))</f>
        <v/>
      </c>
      <c r="AD1390">
        <f>IF($AG1390="","",Config!$B$23)</f>
        <v/>
      </c>
      <c r="AE1390">
        <f>IF($AG1390="","",Config!$B$28)</f>
        <v/>
      </c>
      <c r="AG1390">
        <f>IFERROR(MATCH(ROW()-1,Calc!$J$2:$J$1601,0),"")</f>
        <v/>
      </c>
      <c r="AH1390">
        <f>IFERROR(MATCH(ROW()-1,Calc!$K$2:$K$1601,0),"")</f>
        <v/>
      </c>
      <c r="AI1390">
        <f>IF($AG1390="","",SUMIF($AG$2:$AG1390,$AG1390,$AH$2:$AH1390))</f>
        <v/>
      </c>
      <c r="AJ1390">
        <f>IF('TMP Paste'!$F1390="","",IF('TMP Paste'!$B1390="",$AJ1389,'TMP Paste'!$B1390))</f>
        <v/>
      </c>
      <c r="AK1390">
        <f>IF('TMP Paste'!$F1390="","",N('TMP Paste'!$G1390))</f>
        <v/>
      </c>
      <c r="AL1390">
        <f>IF('TMP Paste'!$F1390="","",IF('TMP Paste'!$M1390="",$AL1389,'TMP Paste'!$M1390))</f>
        <v/>
      </c>
      <c r="AM1390">
        <f>IF('TMP Paste'!$F1390="","",IF('TMP Paste'!$N1390="",$AM1389,'TMP Paste'!$N1390))</f>
        <v/>
      </c>
      <c r="AN1390">
        <f>IF('TMP Paste'!$F1390="","",IF('TMP Paste'!$O1390="",$AN1389,'TMP Paste'!$O1390))</f>
        <v/>
      </c>
      <c r="AO1390">
        <f>IF('TMP Paste'!$F1390="","",IF('TMP Paste'!$P1390="",$AO1389,'TMP Paste'!$P1390))</f>
        <v/>
      </c>
      <c r="AP1390">
        <f>IF($AG1390="","",LEN($R1390))</f>
        <v/>
      </c>
      <c r="AQ1390">
        <f>IF($AG1390="","",TRIM(IF(COUNTIFS(Calc!$B$2:$B$1601,ROW()-1,Calc!$C$2:$C$1601,"&lt;1")&gt;0,"Ada PO tanpa Koli - cek TMP. ","")&amp;IF(LEN($R1390)&gt;500,"R &gt; 500 karakter.","")))</f>
        <v/>
      </c>
    </row>
    <row r="1391">
      <c r="A1391">
        <f>IF($AG1391="","",INDEX('TMP Paste'!$B$2:$B$1601,$AG1391))</f>
        <v/>
      </c>
      <c r="B1391">
        <f>IF($AG1391="","",Config!$B$14)</f>
        <v/>
      </c>
      <c r="C1391">
        <f>IF($AG1391="","",Config!$B$15)</f>
        <v/>
      </c>
      <c r="D1391">
        <f>IF($AG1391="","",INDEX('TMP Paste'!$B$2:$B$1601,$AG1391))</f>
        <v/>
      </c>
      <c r="E1391">
        <f>IF($AG1391="","",Config!$B$27)</f>
        <v/>
      </c>
      <c r="F1391">
        <f>IF($AG1391="","",Config!$B$9)</f>
        <v/>
      </c>
      <c r="G1391">
        <f>IF($AG1391="","",Config!$B$10)</f>
        <v/>
      </c>
      <c r="H1391">
        <f>IF($AG1391="","",Config!$B$11)</f>
        <v/>
      </c>
      <c r="I1391">
        <f>IF($AG1391="","",Config!$B$16)</f>
        <v/>
      </c>
      <c r="J1391">
        <f>IF($AG1391="","",INDEX('TMP Paste'!$A$2:$A$1601,$AG1391))</f>
        <v/>
      </c>
      <c r="K1391">
        <f>IF($AG1391="","",INDEX('TMP Paste'!$L$2:$L$1601,$AG1391))</f>
        <v/>
      </c>
      <c r="L1391">
        <f>IF($AG1391="","",INDEX('TMP Paste'!$I$2:$I$1601,$AG1391))</f>
        <v/>
      </c>
      <c r="M1391">
        <f>IF($AG1391="","",Config!$B$16)</f>
        <v/>
      </c>
      <c r="N1391">
        <f>IF($AG1391="","","")</f>
        <v/>
      </c>
      <c r="O1391">
        <f>IF($AG1391="","",INDEX('TMP Paste'!$K$2:$K$1601,$AG1391))</f>
        <v/>
      </c>
      <c r="P1391">
        <f>IF($AG1391="","","")</f>
        <v/>
      </c>
      <c r="Q1391">
        <f>IF($AG1391="","",INDEX('TMP Paste'!$J$2:$J$1601,$AG1391))</f>
        <v/>
      </c>
      <c r="R1391">
        <f>IF($AG1391="","",Config!$B$24)</f>
        <v/>
      </c>
      <c r="S1391">
        <f>IF($AG1391="","",TEXT(Config!$B$4,"yyyy-mm-dd"))</f>
        <v/>
      </c>
      <c r="T1391">
        <f>IF($AG1391="","",Config!$B$17)</f>
        <v/>
      </c>
      <c r="U1391">
        <f>IF($AG1391="","",Config!$B$18)</f>
        <v/>
      </c>
      <c r="V1391">
        <f>IF($AG1391="","",Config!$B$19)</f>
        <v/>
      </c>
      <c r="W1391">
        <f>IF($AG1391="","",INDEX('TMP Paste'!$C$2:$C$1601,$AG1391))</f>
        <v/>
      </c>
      <c r="X1391">
        <f>IF($AG1391="","",Config!$B$29)</f>
        <v/>
      </c>
      <c r="Y1391">
        <f>IF($AH1391="","",INDEX(Calc!$I$2:$I$1601,$AH1391)&amp;" - "&amp;INDEX(Calc!$D$2:$D$1601,$AH1391)&amp;" koli")</f>
        <v/>
      </c>
      <c r="Z1391">
        <f>IF($AG1391="","",Config!$B$21)</f>
        <v/>
      </c>
      <c r="AA1391">
        <f>IF($AG1391="","",Config!$B$22)</f>
        <v/>
      </c>
      <c r="AB1391">
        <f>IF($AH1391="","",INDEX(Calc!$D$2:$D$1601,$AH1391))</f>
        <v/>
      </c>
      <c r="AC1391">
        <f>IF($AH1391="","",INDEX(Calc!$G$2:$G$1601,$AH1391))</f>
        <v/>
      </c>
      <c r="AD1391">
        <f>IF($AG1391="","",Config!$B$23)</f>
        <v/>
      </c>
      <c r="AE1391">
        <f>IF($AG1391="","",Config!$B$28)</f>
        <v/>
      </c>
      <c r="AG1391">
        <f>IFERROR(MATCH(ROW()-1,Calc!$J$2:$J$1601,0),"")</f>
        <v/>
      </c>
      <c r="AH1391">
        <f>IFERROR(MATCH(ROW()-1,Calc!$K$2:$K$1601,0),"")</f>
        <v/>
      </c>
      <c r="AI1391">
        <f>IF($AG1391="","",SUMIF($AG$2:$AG1391,$AG1391,$AH$2:$AH1391))</f>
        <v/>
      </c>
      <c r="AJ1391">
        <f>IF('TMP Paste'!$F1391="","",IF('TMP Paste'!$B1391="",$AJ1390,'TMP Paste'!$B1391))</f>
        <v/>
      </c>
      <c r="AK1391">
        <f>IF('TMP Paste'!$F1391="","",N('TMP Paste'!$G1391))</f>
        <v/>
      </c>
      <c r="AL1391">
        <f>IF('TMP Paste'!$F1391="","",IF('TMP Paste'!$M1391="",$AL1390,'TMP Paste'!$M1391))</f>
        <v/>
      </c>
      <c r="AM1391">
        <f>IF('TMP Paste'!$F1391="","",IF('TMP Paste'!$N1391="",$AM1390,'TMP Paste'!$N1391))</f>
        <v/>
      </c>
      <c r="AN1391">
        <f>IF('TMP Paste'!$F1391="","",IF('TMP Paste'!$O1391="",$AN1390,'TMP Paste'!$O1391))</f>
        <v/>
      </c>
      <c r="AO1391">
        <f>IF('TMP Paste'!$F1391="","",IF('TMP Paste'!$P1391="",$AO1390,'TMP Paste'!$P1391))</f>
        <v/>
      </c>
      <c r="AP1391">
        <f>IF($AG1391="","",LEN($R1391))</f>
        <v/>
      </c>
      <c r="AQ1391">
        <f>IF($AG1391="","",TRIM(IF(COUNTIFS(Calc!$B$2:$B$1601,ROW()-1,Calc!$C$2:$C$1601,"&lt;1")&gt;0,"Ada PO tanpa Koli - cek TMP. ","")&amp;IF(LEN($R1391)&gt;500,"R &gt; 500 karakter.","")))</f>
        <v/>
      </c>
    </row>
    <row r="1392">
      <c r="A1392">
        <f>IF($AG1392="","",INDEX('TMP Paste'!$B$2:$B$1601,$AG1392))</f>
        <v/>
      </c>
      <c r="B1392">
        <f>IF($AG1392="","",Config!$B$14)</f>
        <v/>
      </c>
      <c r="C1392">
        <f>IF($AG1392="","",Config!$B$15)</f>
        <v/>
      </c>
      <c r="D1392">
        <f>IF($AG1392="","",INDEX('TMP Paste'!$B$2:$B$1601,$AG1392))</f>
        <v/>
      </c>
      <c r="E1392">
        <f>IF($AG1392="","",Config!$B$27)</f>
        <v/>
      </c>
      <c r="F1392">
        <f>IF($AG1392="","",Config!$B$9)</f>
        <v/>
      </c>
      <c r="G1392">
        <f>IF($AG1392="","",Config!$B$10)</f>
        <v/>
      </c>
      <c r="H1392">
        <f>IF($AG1392="","",Config!$B$11)</f>
        <v/>
      </c>
      <c r="I1392">
        <f>IF($AG1392="","",Config!$B$16)</f>
        <v/>
      </c>
      <c r="J1392">
        <f>IF($AG1392="","",INDEX('TMP Paste'!$A$2:$A$1601,$AG1392))</f>
        <v/>
      </c>
      <c r="K1392">
        <f>IF($AG1392="","",INDEX('TMP Paste'!$L$2:$L$1601,$AG1392))</f>
        <v/>
      </c>
      <c r="L1392">
        <f>IF($AG1392="","",INDEX('TMP Paste'!$I$2:$I$1601,$AG1392))</f>
        <v/>
      </c>
      <c r="M1392">
        <f>IF($AG1392="","",Config!$B$16)</f>
        <v/>
      </c>
      <c r="N1392">
        <f>IF($AG1392="","","")</f>
        <v/>
      </c>
      <c r="O1392">
        <f>IF($AG1392="","",INDEX('TMP Paste'!$K$2:$K$1601,$AG1392))</f>
        <v/>
      </c>
      <c r="P1392">
        <f>IF($AG1392="","","")</f>
        <v/>
      </c>
      <c r="Q1392">
        <f>IF($AG1392="","",INDEX('TMP Paste'!$J$2:$J$1601,$AG1392))</f>
        <v/>
      </c>
      <c r="R1392">
        <f>IF($AG1392="","",Config!$B$24)</f>
        <v/>
      </c>
      <c r="S1392">
        <f>IF($AG1392="","",TEXT(Config!$B$4,"yyyy-mm-dd"))</f>
        <v/>
      </c>
      <c r="T1392">
        <f>IF($AG1392="","",Config!$B$17)</f>
        <v/>
      </c>
      <c r="U1392">
        <f>IF($AG1392="","",Config!$B$18)</f>
        <v/>
      </c>
      <c r="V1392">
        <f>IF($AG1392="","",Config!$B$19)</f>
        <v/>
      </c>
      <c r="W1392">
        <f>IF($AG1392="","",INDEX('TMP Paste'!$C$2:$C$1601,$AG1392))</f>
        <v/>
      </c>
      <c r="X1392">
        <f>IF($AG1392="","",Config!$B$29)</f>
        <v/>
      </c>
      <c r="Y1392">
        <f>IF($AH1392="","",INDEX(Calc!$I$2:$I$1601,$AH1392)&amp;" - "&amp;INDEX(Calc!$D$2:$D$1601,$AH1392)&amp;" koli")</f>
        <v/>
      </c>
      <c r="Z1392">
        <f>IF($AG1392="","",Config!$B$21)</f>
        <v/>
      </c>
      <c r="AA1392">
        <f>IF($AG1392="","",Config!$B$22)</f>
        <v/>
      </c>
      <c r="AB1392">
        <f>IF($AH1392="","",INDEX(Calc!$D$2:$D$1601,$AH1392))</f>
        <v/>
      </c>
      <c r="AC1392">
        <f>IF($AH1392="","",INDEX(Calc!$G$2:$G$1601,$AH1392))</f>
        <v/>
      </c>
      <c r="AD1392">
        <f>IF($AG1392="","",Config!$B$23)</f>
        <v/>
      </c>
      <c r="AE1392">
        <f>IF($AG1392="","",Config!$B$28)</f>
        <v/>
      </c>
      <c r="AG1392">
        <f>IFERROR(MATCH(ROW()-1,Calc!$J$2:$J$1601,0),"")</f>
        <v/>
      </c>
      <c r="AH1392">
        <f>IFERROR(MATCH(ROW()-1,Calc!$K$2:$K$1601,0),"")</f>
        <v/>
      </c>
      <c r="AI1392">
        <f>IF($AG1392="","",SUMIF($AG$2:$AG1392,$AG1392,$AH$2:$AH1392))</f>
        <v/>
      </c>
      <c r="AJ1392">
        <f>IF('TMP Paste'!$F1392="","",IF('TMP Paste'!$B1392="",$AJ1391,'TMP Paste'!$B1392))</f>
        <v/>
      </c>
      <c r="AK1392">
        <f>IF('TMP Paste'!$F1392="","",N('TMP Paste'!$G1392))</f>
        <v/>
      </c>
      <c r="AL1392">
        <f>IF('TMP Paste'!$F1392="","",IF('TMP Paste'!$M1392="",$AL1391,'TMP Paste'!$M1392))</f>
        <v/>
      </c>
      <c r="AM1392">
        <f>IF('TMP Paste'!$F1392="","",IF('TMP Paste'!$N1392="",$AM1391,'TMP Paste'!$N1392))</f>
        <v/>
      </c>
      <c r="AN1392">
        <f>IF('TMP Paste'!$F1392="","",IF('TMP Paste'!$O1392="",$AN1391,'TMP Paste'!$O1392))</f>
        <v/>
      </c>
      <c r="AO1392">
        <f>IF('TMP Paste'!$F1392="","",IF('TMP Paste'!$P1392="",$AO1391,'TMP Paste'!$P1392))</f>
        <v/>
      </c>
      <c r="AP1392">
        <f>IF($AG1392="","",LEN($R1392))</f>
        <v/>
      </c>
      <c r="AQ1392">
        <f>IF($AG1392="","",TRIM(IF(COUNTIFS(Calc!$B$2:$B$1601,ROW()-1,Calc!$C$2:$C$1601,"&lt;1")&gt;0,"Ada PO tanpa Koli - cek TMP. ","")&amp;IF(LEN($R1392)&gt;500,"R &gt; 500 karakter.","")))</f>
        <v/>
      </c>
    </row>
    <row r="1393">
      <c r="A1393">
        <f>IF($AG1393="","",INDEX('TMP Paste'!$B$2:$B$1601,$AG1393))</f>
        <v/>
      </c>
      <c r="B1393">
        <f>IF($AG1393="","",Config!$B$14)</f>
        <v/>
      </c>
      <c r="C1393">
        <f>IF($AG1393="","",Config!$B$15)</f>
        <v/>
      </c>
      <c r="D1393">
        <f>IF($AG1393="","",INDEX('TMP Paste'!$B$2:$B$1601,$AG1393))</f>
        <v/>
      </c>
      <c r="E1393">
        <f>IF($AG1393="","",Config!$B$27)</f>
        <v/>
      </c>
      <c r="F1393">
        <f>IF($AG1393="","",Config!$B$9)</f>
        <v/>
      </c>
      <c r="G1393">
        <f>IF($AG1393="","",Config!$B$10)</f>
        <v/>
      </c>
      <c r="H1393">
        <f>IF($AG1393="","",Config!$B$11)</f>
        <v/>
      </c>
      <c r="I1393">
        <f>IF($AG1393="","",Config!$B$16)</f>
        <v/>
      </c>
      <c r="J1393">
        <f>IF($AG1393="","",INDEX('TMP Paste'!$A$2:$A$1601,$AG1393))</f>
        <v/>
      </c>
      <c r="K1393">
        <f>IF($AG1393="","",INDEX('TMP Paste'!$L$2:$L$1601,$AG1393))</f>
        <v/>
      </c>
      <c r="L1393">
        <f>IF($AG1393="","",INDEX('TMP Paste'!$I$2:$I$1601,$AG1393))</f>
        <v/>
      </c>
      <c r="M1393">
        <f>IF($AG1393="","",Config!$B$16)</f>
        <v/>
      </c>
      <c r="N1393">
        <f>IF($AG1393="","","")</f>
        <v/>
      </c>
      <c r="O1393">
        <f>IF($AG1393="","",INDEX('TMP Paste'!$K$2:$K$1601,$AG1393))</f>
        <v/>
      </c>
      <c r="P1393">
        <f>IF($AG1393="","","")</f>
        <v/>
      </c>
      <c r="Q1393">
        <f>IF($AG1393="","",INDEX('TMP Paste'!$J$2:$J$1601,$AG1393))</f>
        <v/>
      </c>
      <c r="R1393">
        <f>IF($AG1393="","",Config!$B$24)</f>
        <v/>
      </c>
      <c r="S1393">
        <f>IF($AG1393="","",TEXT(Config!$B$4,"yyyy-mm-dd"))</f>
        <v/>
      </c>
      <c r="T1393">
        <f>IF($AG1393="","",Config!$B$17)</f>
        <v/>
      </c>
      <c r="U1393">
        <f>IF($AG1393="","",Config!$B$18)</f>
        <v/>
      </c>
      <c r="V1393">
        <f>IF($AG1393="","",Config!$B$19)</f>
        <v/>
      </c>
      <c r="W1393">
        <f>IF($AG1393="","",INDEX('TMP Paste'!$C$2:$C$1601,$AG1393))</f>
        <v/>
      </c>
      <c r="X1393">
        <f>IF($AG1393="","",Config!$B$29)</f>
        <v/>
      </c>
      <c r="Y1393">
        <f>IF($AH1393="","",INDEX(Calc!$I$2:$I$1601,$AH1393)&amp;" - "&amp;INDEX(Calc!$D$2:$D$1601,$AH1393)&amp;" koli")</f>
        <v/>
      </c>
      <c r="Z1393">
        <f>IF($AG1393="","",Config!$B$21)</f>
        <v/>
      </c>
      <c r="AA1393">
        <f>IF($AG1393="","",Config!$B$22)</f>
        <v/>
      </c>
      <c r="AB1393">
        <f>IF($AH1393="","",INDEX(Calc!$D$2:$D$1601,$AH1393))</f>
        <v/>
      </c>
      <c r="AC1393">
        <f>IF($AH1393="","",INDEX(Calc!$G$2:$G$1601,$AH1393))</f>
        <v/>
      </c>
      <c r="AD1393">
        <f>IF($AG1393="","",Config!$B$23)</f>
        <v/>
      </c>
      <c r="AE1393">
        <f>IF($AG1393="","",Config!$B$28)</f>
        <v/>
      </c>
      <c r="AG1393">
        <f>IFERROR(MATCH(ROW()-1,Calc!$J$2:$J$1601,0),"")</f>
        <v/>
      </c>
      <c r="AH1393">
        <f>IFERROR(MATCH(ROW()-1,Calc!$K$2:$K$1601,0),"")</f>
        <v/>
      </c>
      <c r="AI1393">
        <f>IF($AG1393="","",SUMIF($AG$2:$AG1393,$AG1393,$AH$2:$AH1393))</f>
        <v/>
      </c>
      <c r="AJ1393">
        <f>IF('TMP Paste'!$F1393="","",IF('TMP Paste'!$B1393="",$AJ1392,'TMP Paste'!$B1393))</f>
        <v/>
      </c>
      <c r="AK1393">
        <f>IF('TMP Paste'!$F1393="","",N('TMP Paste'!$G1393))</f>
        <v/>
      </c>
      <c r="AL1393">
        <f>IF('TMP Paste'!$F1393="","",IF('TMP Paste'!$M1393="",$AL1392,'TMP Paste'!$M1393))</f>
        <v/>
      </c>
      <c r="AM1393">
        <f>IF('TMP Paste'!$F1393="","",IF('TMP Paste'!$N1393="",$AM1392,'TMP Paste'!$N1393))</f>
        <v/>
      </c>
      <c r="AN1393">
        <f>IF('TMP Paste'!$F1393="","",IF('TMP Paste'!$O1393="",$AN1392,'TMP Paste'!$O1393))</f>
        <v/>
      </c>
      <c r="AO1393">
        <f>IF('TMP Paste'!$F1393="","",IF('TMP Paste'!$P1393="",$AO1392,'TMP Paste'!$P1393))</f>
        <v/>
      </c>
      <c r="AP1393">
        <f>IF($AG1393="","",LEN($R1393))</f>
        <v/>
      </c>
      <c r="AQ1393">
        <f>IF($AG1393="","",TRIM(IF(COUNTIFS(Calc!$B$2:$B$1601,ROW()-1,Calc!$C$2:$C$1601,"&lt;1")&gt;0,"Ada PO tanpa Koli - cek TMP. ","")&amp;IF(LEN($R1393)&gt;500,"R &gt; 500 karakter.","")))</f>
        <v/>
      </c>
    </row>
    <row r="1394">
      <c r="A1394">
        <f>IF($AG1394="","",INDEX('TMP Paste'!$B$2:$B$1601,$AG1394))</f>
        <v/>
      </c>
      <c r="B1394">
        <f>IF($AG1394="","",Config!$B$14)</f>
        <v/>
      </c>
      <c r="C1394">
        <f>IF($AG1394="","",Config!$B$15)</f>
        <v/>
      </c>
      <c r="D1394">
        <f>IF($AG1394="","",INDEX('TMP Paste'!$B$2:$B$1601,$AG1394))</f>
        <v/>
      </c>
      <c r="E1394">
        <f>IF($AG1394="","",Config!$B$27)</f>
        <v/>
      </c>
      <c r="F1394">
        <f>IF($AG1394="","",Config!$B$9)</f>
        <v/>
      </c>
      <c r="G1394">
        <f>IF($AG1394="","",Config!$B$10)</f>
        <v/>
      </c>
      <c r="H1394">
        <f>IF($AG1394="","",Config!$B$11)</f>
        <v/>
      </c>
      <c r="I1394">
        <f>IF($AG1394="","",Config!$B$16)</f>
        <v/>
      </c>
      <c r="J1394">
        <f>IF($AG1394="","",INDEX('TMP Paste'!$A$2:$A$1601,$AG1394))</f>
        <v/>
      </c>
      <c r="K1394">
        <f>IF($AG1394="","",INDEX('TMP Paste'!$L$2:$L$1601,$AG1394))</f>
        <v/>
      </c>
      <c r="L1394">
        <f>IF($AG1394="","",INDEX('TMP Paste'!$I$2:$I$1601,$AG1394))</f>
        <v/>
      </c>
      <c r="M1394">
        <f>IF($AG1394="","",Config!$B$16)</f>
        <v/>
      </c>
      <c r="N1394">
        <f>IF($AG1394="","","")</f>
        <v/>
      </c>
      <c r="O1394">
        <f>IF($AG1394="","",INDEX('TMP Paste'!$K$2:$K$1601,$AG1394))</f>
        <v/>
      </c>
      <c r="P1394">
        <f>IF($AG1394="","","")</f>
        <v/>
      </c>
      <c r="Q1394">
        <f>IF($AG1394="","",INDEX('TMP Paste'!$J$2:$J$1601,$AG1394))</f>
        <v/>
      </c>
      <c r="R1394">
        <f>IF($AG1394="","",Config!$B$24)</f>
        <v/>
      </c>
      <c r="S1394">
        <f>IF($AG1394="","",TEXT(Config!$B$4,"yyyy-mm-dd"))</f>
        <v/>
      </c>
      <c r="T1394">
        <f>IF($AG1394="","",Config!$B$17)</f>
        <v/>
      </c>
      <c r="U1394">
        <f>IF($AG1394="","",Config!$B$18)</f>
        <v/>
      </c>
      <c r="V1394">
        <f>IF($AG1394="","",Config!$B$19)</f>
        <v/>
      </c>
      <c r="W1394">
        <f>IF($AG1394="","",INDEX('TMP Paste'!$C$2:$C$1601,$AG1394))</f>
        <v/>
      </c>
      <c r="X1394">
        <f>IF($AG1394="","",Config!$B$29)</f>
        <v/>
      </c>
      <c r="Y1394">
        <f>IF($AH1394="","",INDEX(Calc!$I$2:$I$1601,$AH1394)&amp;" - "&amp;INDEX(Calc!$D$2:$D$1601,$AH1394)&amp;" koli")</f>
        <v/>
      </c>
      <c r="Z1394">
        <f>IF($AG1394="","",Config!$B$21)</f>
        <v/>
      </c>
      <c r="AA1394">
        <f>IF($AG1394="","",Config!$B$22)</f>
        <v/>
      </c>
      <c r="AB1394">
        <f>IF($AH1394="","",INDEX(Calc!$D$2:$D$1601,$AH1394))</f>
        <v/>
      </c>
      <c r="AC1394">
        <f>IF($AH1394="","",INDEX(Calc!$G$2:$G$1601,$AH1394))</f>
        <v/>
      </c>
      <c r="AD1394">
        <f>IF($AG1394="","",Config!$B$23)</f>
        <v/>
      </c>
      <c r="AE1394">
        <f>IF($AG1394="","",Config!$B$28)</f>
        <v/>
      </c>
      <c r="AG1394">
        <f>IFERROR(MATCH(ROW()-1,Calc!$J$2:$J$1601,0),"")</f>
        <v/>
      </c>
      <c r="AH1394">
        <f>IFERROR(MATCH(ROW()-1,Calc!$K$2:$K$1601,0),"")</f>
        <v/>
      </c>
      <c r="AI1394">
        <f>IF($AG1394="","",SUMIF($AG$2:$AG1394,$AG1394,$AH$2:$AH1394))</f>
        <v/>
      </c>
      <c r="AJ1394">
        <f>IF('TMP Paste'!$F1394="","",IF('TMP Paste'!$B1394="",$AJ1393,'TMP Paste'!$B1394))</f>
        <v/>
      </c>
      <c r="AK1394">
        <f>IF('TMP Paste'!$F1394="","",N('TMP Paste'!$G1394))</f>
        <v/>
      </c>
      <c r="AL1394">
        <f>IF('TMP Paste'!$F1394="","",IF('TMP Paste'!$M1394="",$AL1393,'TMP Paste'!$M1394))</f>
        <v/>
      </c>
      <c r="AM1394">
        <f>IF('TMP Paste'!$F1394="","",IF('TMP Paste'!$N1394="",$AM1393,'TMP Paste'!$N1394))</f>
        <v/>
      </c>
      <c r="AN1394">
        <f>IF('TMP Paste'!$F1394="","",IF('TMP Paste'!$O1394="",$AN1393,'TMP Paste'!$O1394))</f>
        <v/>
      </c>
      <c r="AO1394">
        <f>IF('TMP Paste'!$F1394="","",IF('TMP Paste'!$P1394="",$AO1393,'TMP Paste'!$P1394))</f>
        <v/>
      </c>
      <c r="AP1394">
        <f>IF($AG1394="","",LEN($R1394))</f>
        <v/>
      </c>
      <c r="AQ1394">
        <f>IF($AG1394="","",TRIM(IF(COUNTIFS(Calc!$B$2:$B$1601,ROW()-1,Calc!$C$2:$C$1601,"&lt;1")&gt;0,"Ada PO tanpa Koli - cek TMP. ","")&amp;IF(LEN($R1394)&gt;500,"R &gt; 500 karakter.","")))</f>
        <v/>
      </c>
    </row>
    <row r="1395">
      <c r="A1395">
        <f>IF($AG1395="","",INDEX('TMP Paste'!$B$2:$B$1601,$AG1395))</f>
        <v/>
      </c>
      <c r="B1395">
        <f>IF($AG1395="","",Config!$B$14)</f>
        <v/>
      </c>
      <c r="C1395">
        <f>IF($AG1395="","",Config!$B$15)</f>
        <v/>
      </c>
      <c r="D1395">
        <f>IF($AG1395="","",INDEX('TMP Paste'!$B$2:$B$1601,$AG1395))</f>
        <v/>
      </c>
      <c r="E1395">
        <f>IF($AG1395="","",Config!$B$27)</f>
        <v/>
      </c>
      <c r="F1395">
        <f>IF($AG1395="","",Config!$B$9)</f>
        <v/>
      </c>
      <c r="G1395">
        <f>IF($AG1395="","",Config!$B$10)</f>
        <v/>
      </c>
      <c r="H1395">
        <f>IF($AG1395="","",Config!$B$11)</f>
        <v/>
      </c>
      <c r="I1395">
        <f>IF($AG1395="","",Config!$B$16)</f>
        <v/>
      </c>
      <c r="J1395">
        <f>IF($AG1395="","",INDEX('TMP Paste'!$A$2:$A$1601,$AG1395))</f>
        <v/>
      </c>
      <c r="K1395">
        <f>IF($AG1395="","",INDEX('TMP Paste'!$L$2:$L$1601,$AG1395))</f>
        <v/>
      </c>
      <c r="L1395">
        <f>IF($AG1395="","",INDEX('TMP Paste'!$I$2:$I$1601,$AG1395))</f>
        <v/>
      </c>
      <c r="M1395">
        <f>IF($AG1395="","",Config!$B$16)</f>
        <v/>
      </c>
      <c r="N1395">
        <f>IF($AG1395="","","")</f>
        <v/>
      </c>
      <c r="O1395">
        <f>IF($AG1395="","",INDEX('TMP Paste'!$K$2:$K$1601,$AG1395))</f>
        <v/>
      </c>
      <c r="P1395">
        <f>IF($AG1395="","","")</f>
        <v/>
      </c>
      <c r="Q1395">
        <f>IF($AG1395="","",INDEX('TMP Paste'!$J$2:$J$1601,$AG1395))</f>
        <v/>
      </c>
      <c r="R1395">
        <f>IF($AG1395="","",Config!$B$24)</f>
        <v/>
      </c>
      <c r="S1395">
        <f>IF($AG1395="","",TEXT(Config!$B$4,"yyyy-mm-dd"))</f>
        <v/>
      </c>
      <c r="T1395">
        <f>IF($AG1395="","",Config!$B$17)</f>
        <v/>
      </c>
      <c r="U1395">
        <f>IF($AG1395="","",Config!$B$18)</f>
        <v/>
      </c>
      <c r="V1395">
        <f>IF($AG1395="","",Config!$B$19)</f>
        <v/>
      </c>
      <c r="W1395">
        <f>IF($AG1395="","",INDEX('TMP Paste'!$C$2:$C$1601,$AG1395))</f>
        <v/>
      </c>
      <c r="X1395">
        <f>IF($AG1395="","",Config!$B$29)</f>
        <v/>
      </c>
      <c r="Y1395">
        <f>IF($AH1395="","",INDEX(Calc!$I$2:$I$1601,$AH1395)&amp;" - "&amp;INDEX(Calc!$D$2:$D$1601,$AH1395)&amp;" koli")</f>
        <v/>
      </c>
      <c r="Z1395">
        <f>IF($AG1395="","",Config!$B$21)</f>
        <v/>
      </c>
      <c r="AA1395">
        <f>IF($AG1395="","",Config!$B$22)</f>
        <v/>
      </c>
      <c r="AB1395">
        <f>IF($AH1395="","",INDEX(Calc!$D$2:$D$1601,$AH1395))</f>
        <v/>
      </c>
      <c r="AC1395">
        <f>IF($AH1395="","",INDEX(Calc!$G$2:$G$1601,$AH1395))</f>
        <v/>
      </c>
      <c r="AD1395">
        <f>IF($AG1395="","",Config!$B$23)</f>
        <v/>
      </c>
      <c r="AE1395">
        <f>IF($AG1395="","",Config!$B$28)</f>
        <v/>
      </c>
      <c r="AG1395">
        <f>IFERROR(MATCH(ROW()-1,Calc!$J$2:$J$1601,0),"")</f>
        <v/>
      </c>
      <c r="AH1395">
        <f>IFERROR(MATCH(ROW()-1,Calc!$K$2:$K$1601,0),"")</f>
        <v/>
      </c>
      <c r="AI1395">
        <f>IF($AG1395="","",SUMIF($AG$2:$AG1395,$AG1395,$AH$2:$AH1395))</f>
        <v/>
      </c>
      <c r="AJ1395">
        <f>IF('TMP Paste'!$F1395="","",IF('TMP Paste'!$B1395="",$AJ1394,'TMP Paste'!$B1395))</f>
        <v/>
      </c>
      <c r="AK1395">
        <f>IF('TMP Paste'!$F1395="","",N('TMP Paste'!$G1395))</f>
        <v/>
      </c>
      <c r="AL1395">
        <f>IF('TMP Paste'!$F1395="","",IF('TMP Paste'!$M1395="",$AL1394,'TMP Paste'!$M1395))</f>
        <v/>
      </c>
      <c r="AM1395">
        <f>IF('TMP Paste'!$F1395="","",IF('TMP Paste'!$N1395="",$AM1394,'TMP Paste'!$N1395))</f>
        <v/>
      </c>
      <c r="AN1395">
        <f>IF('TMP Paste'!$F1395="","",IF('TMP Paste'!$O1395="",$AN1394,'TMP Paste'!$O1395))</f>
        <v/>
      </c>
      <c r="AO1395">
        <f>IF('TMP Paste'!$F1395="","",IF('TMP Paste'!$P1395="",$AO1394,'TMP Paste'!$P1395))</f>
        <v/>
      </c>
      <c r="AP1395">
        <f>IF($AG1395="","",LEN($R1395))</f>
        <v/>
      </c>
      <c r="AQ1395">
        <f>IF($AG1395="","",TRIM(IF(COUNTIFS(Calc!$B$2:$B$1601,ROW()-1,Calc!$C$2:$C$1601,"&lt;1")&gt;0,"Ada PO tanpa Koli - cek TMP. ","")&amp;IF(LEN($R1395)&gt;500,"R &gt; 500 karakter.","")))</f>
        <v/>
      </c>
    </row>
    <row r="1396">
      <c r="A1396">
        <f>IF($AG1396="","",INDEX('TMP Paste'!$B$2:$B$1601,$AG1396))</f>
        <v/>
      </c>
      <c r="B1396">
        <f>IF($AG1396="","",Config!$B$14)</f>
        <v/>
      </c>
      <c r="C1396">
        <f>IF($AG1396="","",Config!$B$15)</f>
        <v/>
      </c>
      <c r="D1396">
        <f>IF($AG1396="","",INDEX('TMP Paste'!$B$2:$B$1601,$AG1396))</f>
        <v/>
      </c>
      <c r="E1396">
        <f>IF($AG1396="","",Config!$B$27)</f>
        <v/>
      </c>
      <c r="F1396">
        <f>IF($AG1396="","",Config!$B$9)</f>
        <v/>
      </c>
      <c r="G1396">
        <f>IF($AG1396="","",Config!$B$10)</f>
        <v/>
      </c>
      <c r="H1396">
        <f>IF($AG1396="","",Config!$B$11)</f>
        <v/>
      </c>
      <c r="I1396">
        <f>IF($AG1396="","",Config!$B$16)</f>
        <v/>
      </c>
      <c r="J1396">
        <f>IF($AG1396="","",INDEX('TMP Paste'!$A$2:$A$1601,$AG1396))</f>
        <v/>
      </c>
      <c r="K1396">
        <f>IF($AG1396="","",INDEX('TMP Paste'!$L$2:$L$1601,$AG1396))</f>
        <v/>
      </c>
      <c r="L1396">
        <f>IF($AG1396="","",INDEX('TMP Paste'!$I$2:$I$1601,$AG1396))</f>
        <v/>
      </c>
      <c r="M1396">
        <f>IF($AG1396="","",Config!$B$16)</f>
        <v/>
      </c>
      <c r="N1396">
        <f>IF($AG1396="","","")</f>
        <v/>
      </c>
      <c r="O1396">
        <f>IF($AG1396="","",INDEX('TMP Paste'!$K$2:$K$1601,$AG1396))</f>
        <v/>
      </c>
      <c r="P1396">
        <f>IF($AG1396="","","")</f>
        <v/>
      </c>
      <c r="Q1396">
        <f>IF($AG1396="","",INDEX('TMP Paste'!$J$2:$J$1601,$AG1396))</f>
        <v/>
      </c>
      <c r="R1396">
        <f>IF($AG1396="","",Config!$B$24)</f>
        <v/>
      </c>
      <c r="S1396">
        <f>IF($AG1396="","",TEXT(Config!$B$4,"yyyy-mm-dd"))</f>
        <v/>
      </c>
      <c r="T1396">
        <f>IF($AG1396="","",Config!$B$17)</f>
        <v/>
      </c>
      <c r="U1396">
        <f>IF($AG1396="","",Config!$B$18)</f>
        <v/>
      </c>
      <c r="V1396">
        <f>IF($AG1396="","",Config!$B$19)</f>
        <v/>
      </c>
      <c r="W1396">
        <f>IF($AG1396="","",INDEX('TMP Paste'!$C$2:$C$1601,$AG1396))</f>
        <v/>
      </c>
      <c r="X1396">
        <f>IF($AG1396="","",Config!$B$29)</f>
        <v/>
      </c>
      <c r="Y1396">
        <f>IF($AH1396="","",INDEX(Calc!$I$2:$I$1601,$AH1396)&amp;" - "&amp;INDEX(Calc!$D$2:$D$1601,$AH1396)&amp;" koli")</f>
        <v/>
      </c>
      <c r="Z1396">
        <f>IF($AG1396="","",Config!$B$21)</f>
        <v/>
      </c>
      <c r="AA1396">
        <f>IF($AG1396="","",Config!$B$22)</f>
        <v/>
      </c>
      <c r="AB1396">
        <f>IF($AH1396="","",INDEX(Calc!$D$2:$D$1601,$AH1396))</f>
        <v/>
      </c>
      <c r="AC1396">
        <f>IF($AH1396="","",INDEX(Calc!$G$2:$G$1601,$AH1396))</f>
        <v/>
      </c>
      <c r="AD1396">
        <f>IF($AG1396="","",Config!$B$23)</f>
        <v/>
      </c>
      <c r="AE1396">
        <f>IF($AG1396="","",Config!$B$28)</f>
        <v/>
      </c>
      <c r="AG1396">
        <f>IFERROR(MATCH(ROW()-1,Calc!$J$2:$J$1601,0),"")</f>
        <v/>
      </c>
      <c r="AH1396">
        <f>IFERROR(MATCH(ROW()-1,Calc!$K$2:$K$1601,0),"")</f>
        <v/>
      </c>
      <c r="AI1396">
        <f>IF($AG1396="","",SUMIF($AG$2:$AG1396,$AG1396,$AH$2:$AH1396))</f>
        <v/>
      </c>
      <c r="AJ1396">
        <f>IF('TMP Paste'!$F1396="","",IF('TMP Paste'!$B1396="",$AJ1395,'TMP Paste'!$B1396))</f>
        <v/>
      </c>
      <c r="AK1396">
        <f>IF('TMP Paste'!$F1396="","",N('TMP Paste'!$G1396))</f>
        <v/>
      </c>
      <c r="AL1396">
        <f>IF('TMP Paste'!$F1396="","",IF('TMP Paste'!$M1396="",$AL1395,'TMP Paste'!$M1396))</f>
        <v/>
      </c>
      <c r="AM1396">
        <f>IF('TMP Paste'!$F1396="","",IF('TMP Paste'!$N1396="",$AM1395,'TMP Paste'!$N1396))</f>
        <v/>
      </c>
      <c r="AN1396">
        <f>IF('TMP Paste'!$F1396="","",IF('TMP Paste'!$O1396="",$AN1395,'TMP Paste'!$O1396))</f>
        <v/>
      </c>
      <c r="AO1396">
        <f>IF('TMP Paste'!$F1396="","",IF('TMP Paste'!$P1396="",$AO1395,'TMP Paste'!$P1396))</f>
        <v/>
      </c>
      <c r="AP1396">
        <f>IF($AG1396="","",LEN($R1396))</f>
        <v/>
      </c>
      <c r="AQ1396">
        <f>IF($AG1396="","",TRIM(IF(COUNTIFS(Calc!$B$2:$B$1601,ROW()-1,Calc!$C$2:$C$1601,"&lt;1")&gt;0,"Ada PO tanpa Koli - cek TMP. ","")&amp;IF(LEN($R1396)&gt;500,"R &gt; 500 karakter.","")))</f>
        <v/>
      </c>
    </row>
    <row r="1397">
      <c r="A1397">
        <f>IF($AG1397="","",INDEX('TMP Paste'!$B$2:$B$1601,$AG1397))</f>
        <v/>
      </c>
      <c r="B1397">
        <f>IF($AG1397="","",Config!$B$14)</f>
        <v/>
      </c>
      <c r="C1397">
        <f>IF($AG1397="","",Config!$B$15)</f>
        <v/>
      </c>
      <c r="D1397">
        <f>IF($AG1397="","",INDEX('TMP Paste'!$B$2:$B$1601,$AG1397))</f>
        <v/>
      </c>
      <c r="E1397">
        <f>IF($AG1397="","",Config!$B$27)</f>
        <v/>
      </c>
      <c r="F1397">
        <f>IF($AG1397="","",Config!$B$9)</f>
        <v/>
      </c>
      <c r="G1397">
        <f>IF($AG1397="","",Config!$B$10)</f>
        <v/>
      </c>
      <c r="H1397">
        <f>IF($AG1397="","",Config!$B$11)</f>
        <v/>
      </c>
      <c r="I1397">
        <f>IF($AG1397="","",Config!$B$16)</f>
        <v/>
      </c>
      <c r="J1397">
        <f>IF($AG1397="","",INDEX('TMP Paste'!$A$2:$A$1601,$AG1397))</f>
        <v/>
      </c>
      <c r="K1397">
        <f>IF($AG1397="","",INDEX('TMP Paste'!$L$2:$L$1601,$AG1397))</f>
        <v/>
      </c>
      <c r="L1397">
        <f>IF($AG1397="","",INDEX('TMP Paste'!$I$2:$I$1601,$AG1397))</f>
        <v/>
      </c>
      <c r="M1397">
        <f>IF($AG1397="","",Config!$B$16)</f>
        <v/>
      </c>
      <c r="N1397">
        <f>IF($AG1397="","","")</f>
        <v/>
      </c>
      <c r="O1397">
        <f>IF($AG1397="","",INDEX('TMP Paste'!$K$2:$K$1601,$AG1397))</f>
        <v/>
      </c>
      <c r="P1397">
        <f>IF($AG1397="","","")</f>
        <v/>
      </c>
      <c r="Q1397">
        <f>IF($AG1397="","",INDEX('TMP Paste'!$J$2:$J$1601,$AG1397))</f>
        <v/>
      </c>
      <c r="R1397">
        <f>IF($AG1397="","",Config!$B$24)</f>
        <v/>
      </c>
      <c r="S1397">
        <f>IF($AG1397="","",TEXT(Config!$B$4,"yyyy-mm-dd"))</f>
        <v/>
      </c>
      <c r="T1397">
        <f>IF($AG1397="","",Config!$B$17)</f>
        <v/>
      </c>
      <c r="U1397">
        <f>IF($AG1397="","",Config!$B$18)</f>
        <v/>
      </c>
      <c r="V1397">
        <f>IF($AG1397="","",Config!$B$19)</f>
        <v/>
      </c>
      <c r="W1397">
        <f>IF($AG1397="","",INDEX('TMP Paste'!$C$2:$C$1601,$AG1397))</f>
        <v/>
      </c>
      <c r="X1397">
        <f>IF($AG1397="","",Config!$B$29)</f>
        <v/>
      </c>
      <c r="Y1397">
        <f>IF($AH1397="","",INDEX(Calc!$I$2:$I$1601,$AH1397)&amp;" - "&amp;INDEX(Calc!$D$2:$D$1601,$AH1397)&amp;" koli")</f>
        <v/>
      </c>
      <c r="Z1397">
        <f>IF($AG1397="","",Config!$B$21)</f>
        <v/>
      </c>
      <c r="AA1397">
        <f>IF($AG1397="","",Config!$B$22)</f>
        <v/>
      </c>
      <c r="AB1397">
        <f>IF($AH1397="","",INDEX(Calc!$D$2:$D$1601,$AH1397))</f>
        <v/>
      </c>
      <c r="AC1397">
        <f>IF($AH1397="","",INDEX(Calc!$G$2:$G$1601,$AH1397))</f>
        <v/>
      </c>
      <c r="AD1397">
        <f>IF($AG1397="","",Config!$B$23)</f>
        <v/>
      </c>
      <c r="AE1397">
        <f>IF($AG1397="","",Config!$B$28)</f>
        <v/>
      </c>
      <c r="AG1397">
        <f>IFERROR(MATCH(ROW()-1,Calc!$J$2:$J$1601,0),"")</f>
        <v/>
      </c>
      <c r="AH1397">
        <f>IFERROR(MATCH(ROW()-1,Calc!$K$2:$K$1601,0),"")</f>
        <v/>
      </c>
      <c r="AI1397">
        <f>IF($AG1397="","",SUMIF($AG$2:$AG1397,$AG1397,$AH$2:$AH1397))</f>
        <v/>
      </c>
      <c r="AJ1397">
        <f>IF('TMP Paste'!$F1397="","",IF('TMP Paste'!$B1397="",$AJ1396,'TMP Paste'!$B1397))</f>
        <v/>
      </c>
      <c r="AK1397">
        <f>IF('TMP Paste'!$F1397="","",N('TMP Paste'!$G1397))</f>
        <v/>
      </c>
      <c r="AL1397">
        <f>IF('TMP Paste'!$F1397="","",IF('TMP Paste'!$M1397="",$AL1396,'TMP Paste'!$M1397))</f>
        <v/>
      </c>
      <c r="AM1397">
        <f>IF('TMP Paste'!$F1397="","",IF('TMP Paste'!$N1397="",$AM1396,'TMP Paste'!$N1397))</f>
        <v/>
      </c>
      <c r="AN1397">
        <f>IF('TMP Paste'!$F1397="","",IF('TMP Paste'!$O1397="",$AN1396,'TMP Paste'!$O1397))</f>
        <v/>
      </c>
      <c r="AO1397">
        <f>IF('TMP Paste'!$F1397="","",IF('TMP Paste'!$P1397="",$AO1396,'TMP Paste'!$P1397))</f>
        <v/>
      </c>
      <c r="AP1397">
        <f>IF($AG1397="","",LEN($R1397))</f>
        <v/>
      </c>
      <c r="AQ1397">
        <f>IF($AG1397="","",TRIM(IF(COUNTIFS(Calc!$B$2:$B$1601,ROW()-1,Calc!$C$2:$C$1601,"&lt;1")&gt;0,"Ada PO tanpa Koli - cek TMP. ","")&amp;IF(LEN($R1397)&gt;500,"R &gt; 500 karakter.","")))</f>
        <v/>
      </c>
    </row>
    <row r="1398">
      <c r="A1398">
        <f>IF($AG1398="","",INDEX('TMP Paste'!$B$2:$B$1601,$AG1398))</f>
        <v/>
      </c>
      <c r="B1398">
        <f>IF($AG1398="","",Config!$B$14)</f>
        <v/>
      </c>
      <c r="C1398">
        <f>IF($AG1398="","",Config!$B$15)</f>
        <v/>
      </c>
      <c r="D1398">
        <f>IF($AG1398="","",INDEX('TMP Paste'!$B$2:$B$1601,$AG1398))</f>
        <v/>
      </c>
      <c r="E1398">
        <f>IF($AG1398="","",Config!$B$27)</f>
        <v/>
      </c>
      <c r="F1398">
        <f>IF($AG1398="","",Config!$B$9)</f>
        <v/>
      </c>
      <c r="G1398">
        <f>IF($AG1398="","",Config!$B$10)</f>
        <v/>
      </c>
      <c r="H1398">
        <f>IF($AG1398="","",Config!$B$11)</f>
        <v/>
      </c>
      <c r="I1398">
        <f>IF($AG1398="","",Config!$B$16)</f>
        <v/>
      </c>
      <c r="J1398">
        <f>IF($AG1398="","",INDEX('TMP Paste'!$A$2:$A$1601,$AG1398))</f>
        <v/>
      </c>
      <c r="K1398">
        <f>IF($AG1398="","",INDEX('TMP Paste'!$L$2:$L$1601,$AG1398))</f>
        <v/>
      </c>
      <c r="L1398">
        <f>IF($AG1398="","",INDEX('TMP Paste'!$I$2:$I$1601,$AG1398))</f>
        <v/>
      </c>
      <c r="M1398">
        <f>IF($AG1398="","",Config!$B$16)</f>
        <v/>
      </c>
      <c r="N1398">
        <f>IF($AG1398="","","")</f>
        <v/>
      </c>
      <c r="O1398">
        <f>IF($AG1398="","",INDEX('TMP Paste'!$K$2:$K$1601,$AG1398))</f>
        <v/>
      </c>
      <c r="P1398">
        <f>IF($AG1398="","","")</f>
        <v/>
      </c>
      <c r="Q1398">
        <f>IF($AG1398="","",INDEX('TMP Paste'!$J$2:$J$1601,$AG1398))</f>
        <v/>
      </c>
      <c r="R1398">
        <f>IF($AG1398="","",Config!$B$24)</f>
        <v/>
      </c>
      <c r="S1398">
        <f>IF($AG1398="","",TEXT(Config!$B$4,"yyyy-mm-dd"))</f>
        <v/>
      </c>
      <c r="T1398">
        <f>IF($AG1398="","",Config!$B$17)</f>
        <v/>
      </c>
      <c r="U1398">
        <f>IF($AG1398="","",Config!$B$18)</f>
        <v/>
      </c>
      <c r="V1398">
        <f>IF($AG1398="","",Config!$B$19)</f>
        <v/>
      </c>
      <c r="W1398">
        <f>IF($AG1398="","",INDEX('TMP Paste'!$C$2:$C$1601,$AG1398))</f>
        <v/>
      </c>
      <c r="X1398">
        <f>IF($AG1398="","",Config!$B$29)</f>
        <v/>
      </c>
      <c r="Y1398">
        <f>IF($AH1398="","",INDEX(Calc!$I$2:$I$1601,$AH1398)&amp;" - "&amp;INDEX(Calc!$D$2:$D$1601,$AH1398)&amp;" koli")</f>
        <v/>
      </c>
      <c r="Z1398">
        <f>IF($AG1398="","",Config!$B$21)</f>
        <v/>
      </c>
      <c r="AA1398">
        <f>IF($AG1398="","",Config!$B$22)</f>
        <v/>
      </c>
      <c r="AB1398">
        <f>IF($AH1398="","",INDEX(Calc!$D$2:$D$1601,$AH1398))</f>
        <v/>
      </c>
      <c r="AC1398">
        <f>IF($AH1398="","",INDEX(Calc!$G$2:$G$1601,$AH1398))</f>
        <v/>
      </c>
      <c r="AD1398">
        <f>IF($AG1398="","",Config!$B$23)</f>
        <v/>
      </c>
      <c r="AE1398">
        <f>IF($AG1398="","",Config!$B$28)</f>
        <v/>
      </c>
      <c r="AG1398">
        <f>IFERROR(MATCH(ROW()-1,Calc!$J$2:$J$1601,0),"")</f>
        <v/>
      </c>
      <c r="AH1398">
        <f>IFERROR(MATCH(ROW()-1,Calc!$K$2:$K$1601,0),"")</f>
        <v/>
      </c>
      <c r="AI1398">
        <f>IF($AG1398="","",SUMIF($AG$2:$AG1398,$AG1398,$AH$2:$AH1398))</f>
        <v/>
      </c>
      <c r="AJ1398">
        <f>IF('TMP Paste'!$F1398="","",IF('TMP Paste'!$B1398="",$AJ1397,'TMP Paste'!$B1398))</f>
        <v/>
      </c>
      <c r="AK1398">
        <f>IF('TMP Paste'!$F1398="","",N('TMP Paste'!$G1398))</f>
        <v/>
      </c>
      <c r="AL1398">
        <f>IF('TMP Paste'!$F1398="","",IF('TMP Paste'!$M1398="",$AL1397,'TMP Paste'!$M1398))</f>
        <v/>
      </c>
      <c r="AM1398">
        <f>IF('TMP Paste'!$F1398="","",IF('TMP Paste'!$N1398="",$AM1397,'TMP Paste'!$N1398))</f>
        <v/>
      </c>
      <c r="AN1398">
        <f>IF('TMP Paste'!$F1398="","",IF('TMP Paste'!$O1398="",$AN1397,'TMP Paste'!$O1398))</f>
        <v/>
      </c>
      <c r="AO1398">
        <f>IF('TMP Paste'!$F1398="","",IF('TMP Paste'!$P1398="",$AO1397,'TMP Paste'!$P1398))</f>
        <v/>
      </c>
      <c r="AP1398">
        <f>IF($AG1398="","",LEN($R1398))</f>
        <v/>
      </c>
      <c r="AQ1398">
        <f>IF($AG1398="","",TRIM(IF(COUNTIFS(Calc!$B$2:$B$1601,ROW()-1,Calc!$C$2:$C$1601,"&lt;1")&gt;0,"Ada PO tanpa Koli - cek TMP. ","")&amp;IF(LEN($R1398)&gt;500,"R &gt; 500 karakter.","")))</f>
        <v/>
      </c>
    </row>
    <row r="1399">
      <c r="A1399">
        <f>IF($AG1399="","",INDEX('TMP Paste'!$B$2:$B$1601,$AG1399))</f>
        <v/>
      </c>
      <c r="B1399">
        <f>IF($AG1399="","",Config!$B$14)</f>
        <v/>
      </c>
      <c r="C1399">
        <f>IF($AG1399="","",Config!$B$15)</f>
        <v/>
      </c>
      <c r="D1399">
        <f>IF($AG1399="","",INDEX('TMP Paste'!$B$2:$B$1601,$AG1399))</f>
        <v/>
      </c>
      <c r="E1399">
        <f>IF($AG1399="","",Config!$B$27)</f>
        <v/>
      </c>
      <c r="F1399">
        <f>IF($AG1399="","",Config!$B$9)</f>
        <v/>
      </c>
      <c r="G1399">
        <f>IF($AG1399="","",Config!$B$10)</f>
        <v/>
      </c>
      <c r="H1399">
        <f>IF($AG1399="","",Config!$B$11)</f>
        <v/>
      </c>
      <c r="I1399">
        <f>IF($AG1399="","",Config!$B$16)</f>
        <v/>
      </c>
      <c r="J1399">
        <f>IF($AG1399="","",INDEX('TMP Paste'!$A$2:$A$1601,$AG1399))</f>
        <v/>
      </c>
      <c r="K1399">
        <f>IF($AG1399="","",INDEX('TMP Paste'!$L$2:$L$1601,$AG1399))</f>
        <v/>
      </c>
      <c r="L1399">
        <f>IF($AG1399="","",INDEX('TMP Paste'!$I$2:$I$1601,$AG1399))</f>
        <v/>
      </c>
      <c r="M1399">
        <f>IF($AG1399="","",Config!$B$16)</f>
        <v/>
      </c>
      <c r="N1399">
        <f>IF($AG1399="","","")</f>
        <v/>
      </c>
      <c r="O1399">
        <f>IF($AG1399="","",INDEX('TMP Paste'!$K$2:$K$1601,$AG1399))</f>
        <v/>
      </c>
      <c r="P1399">
        <f>IF($AG1399="","","")</f>
        <v/>
      </c>
      <c r="Q1399">
        <f>IF($AG1399="","",INDEX('TMP Paste'!$J$2:$J$1601,$AG1399))</f>
        <v/>
      </c>
      <c r="R1399">
        <f>IF($AG1399="","",Config!$B$24)</f>
        <v/>
      </c>
      <c r="S1399">
        <f>IF($AG1399="","",TEXT(Config!$B$4,"yyyy-mm-dd"))</f>
        <v/>
      </c>
      <c r="T1399">
        <f>IF($AG1399="","",Config!$B$17)</f>
        <v/>
      </c>
      <c r="U1399">
        <f>IF($AG1399="","",Config!$B$18)</f>
        <v/>
      </c>
      <c r="V1399">
        <f>IF($AG1399="","",Config!$B$19)</f>
        <v/>
      </c>
      <c r="W1399">
        <f>IF($AG1399="","",INDEX('TMP Paste'!$C$2:$C$1601,$AG1399))</f>
        <v/>
      </c>
      <c r="X1399">
        <f>IF($AG1399="","",Config!$B$29)</f>
        <v/>
      </c>
      <c r="Y1399">
        <f>IF($AH1399="","",INDEX(Calc!$I$2:$I$1601,$AH1399)&amp;" - "&amp;INDEX(Calc!$D$2:$D$1601,$AH1399)&amp;" koli")</f>
        <v/>
      </c>
      <c r="Z1399">
        <f>IF($AG1399="","",Config!$B$21)</f>
        <v/>
      </c>
      <c r="AA1399">
        <f>IF($AG1399="","",Config!$B$22)</f>
        <v/>
      </c>
      <c r="AB1399">
        <f>IF($AH1399="","",INDEX(Calc!$D$2:$D$1601,$AH1399))</f>
        <v/>
      </c>
      <c r="AC1399">
        <f>IF($AH1399="","",INDEX(Calc!$G$2:$G$1601,$AH1399))</f>
        <v/>
      </c>
      <c r="AD1399">
        <f>IF($AG1399="","",Config!$B$23)</f>
        <v/>
      </c>
      <c r="AE1399">
        <f>IF($AG1399="","",Config!$B$28)</f>
        <v/>
      </c>
      <c r="AG1399">
        <f>IFERROR(MATCH(ROW()-1,Calc!$J$2:$J$1601,0),"")</f>
        <v/>
      </c>
      <c r="AH1399">
        <f>IFERROR(MATCH(ROW()-1,Calc!$K$2:$K$1601,0),"")</f>
        <v/>
      </c>
      <c r="AI1399">
        <f>IF($AG1399="","",SUMIF($AG$2:$AG1399,$AG1399,$AH$2:$AH1399))</f>
        <v/>
      </c>
      <c r="AJ1399">
        <f>IF('TMP Paste'!$F1399="","",IF('TMP Paste'!$B1399="",$AJ1398,'TMP Paste'!$B1399))</f>
        <v/>
      </c>
      <c r="AK1399">
        <f>IF('TMP Paste'!$F1399="","",N('TMP Paste'!$G1399))</f>
        <v/>
      </c>
      <c r="AL1399">
        <f>IF('TMP Paste'!$F1399="","",IF('TMP Paste'!$M1399="",$AL1398,'TMP Paste'!$M1399))</f>
        <v/>
      </c>
      <c r="AM1399">
        <f>IF('TMP Paste'!$F1399="","",IF('TMP Paste'!$N1399="",$AM1398,'TMP Paste'!$N1399))</f>
        <v/>
      </c>
      <c r="AN1399">
        <f>IF('TMP Paste'!$F1399="","",IF('TMP Paste'!$O1399="",$AN1398,'TMP Paste'!$O1399))</f>
        <v/>
      </c>
      <c r="AO1399">
        <f>IF('TMP Paste'!$F1399="","",IF('TMP Paste'!$P1399="",$AO1398,'TMP Paste'!$P1399))</f>
        <v/>
      </c>
      <c r="AP1399">
        <f>IF($AG1399="","",LEN($R1399))</f>
        <v/>
      </c>
      <c r="AQ1399">
        <f>IF($AG1399="","",TRIM(IF(COUNTIFS(Calc!$B$2:$B$1601,ROW()-1,Calc!$C$2:$C$1601,"&lt;1")&gt;0,"Ada PO tanpa Koli - cek TMP. ","")&amp;IF(LEN($R1399)&gt;500,"R &gt; 500 karakter.","")))</f>
        <v/>
      </c>
    </row>
    <row r="1400">
      <c r="A1400">
        <f>IF($AG1400="","",INDEX('TMP Paste'!$B$2:$B$1601,$AG1400))</f>
        <v/>
      </c>
      <c r="B1400">
        <f>IF($AG1400="","",Config!$B$14)</f>
        <v/>
      </c>
      <c r="C1400">
        <f>IF($AG1400="","",Config!$B$15)</f>
        <v/>
      </c>
      <c r="D1400">
        <f>IF($AG1400="","",INDEX('TMP Paste'!$B$2:$B$1601,$AG1400))</f>
        <v/>
      </c>
      <c r="E1400">
        <f>IF($AG1400="","",Config!$B$27)</f>
        <v/>
      </c>
      <c r="F1400">
        <f>IF($AG1400="","",Config!$B$9)</f>
        <v/>
      </c>
      <c r="G1400">
        <f>IF($AG1400="","",Config!$B$10)</f>
        <v/>
      </c>
      <c r="H1400">
        <f>IF($AG1400="","",Config!$B$11)</f>
        <v/>
      </c>
      <c r="I1400">
        <f>IF($AG1400="","",Config!$B$16)</f>
        <v/>
      </c>
      <c r="J1400">
        <f>IF($AG1400="","",INDEX('TMP Paste'!$A$2:$A$1601,$AG1400))</f>
        <v/>
      </c>
      <c r="K1400">
        <f>IF($AG1400="","",INDEX('TMP Paste'!$L$2:$L$1601,$AG1400))</f>
        <v/>
      </c>
      <c r="L1400">
        <f>IF($AG1400="","",INDEX('TMP Paste'!$I$2:$I$1601,$AG1400))</f>
        <v/>
      </c>
      <c r="M1400">
        <f>IF($AG1400="","",Config!$B$16)</f>
        <v/>
      </c>
      <c r="N1400">
        <f>IF($AG1400="","","")</f>
        <v/>
      </c>
      <c r="O1400">
        <f>IF($AG1400="","",INDEX('TMP Paste'!$K$2:$K$1601,$AG1400))</f>
        <v/>
      </c>
      <c r="P1400">
        <f>IF($AG1400="","","")</f>
        <v/>
      </c>
      <c r="Q1400">
        <f>IF($AG1400="","",INDEX('TMP Paste'!$J$2:$J$1601,$AG1400))</f>
        <v/>
      </c>
      <c r="R1400">
        <f>IF($AG1400="","",Config!$B$24)</f>
        <v/>
      </c>
      <c r="S1400">
        <f>IF($AG1400="","",TEXT(Config!$B$4,"yyyy-mm-dd"))</f>
        <v/>
      </c>
      <c r="T1400">
        <f>IF($AG1400="","",Config!$B$17)</f>
        <v/>
      </c>
      <c r="U1400">
        <f>IF($AG1400="","",Config!$B$18)</f>
        <v/>
      </c>
      <c r="V1400">
        <f>IF($AG1400="","",Config!$B$19)</f>
        <v/>
      </c>
      <c r="W1400">
        <f>IF($AG1400="","",INDEX('TMP Paste'!$C$2:$C$1601,$AG1400))</f>
        <v/>
      </c>
      <c r="X1400">
        <f>IF($AG1400="","",Config!$B$29)</f>
        <v/>
      </c>
      <c r="Y1400">
        <f>IF($AH1400="","",INDEX(Calc!$I$2:$I$1601,$AH1400)&amp;" - "&amp;INDEX(Calc!$D$2:$D$1601,$AH1400)&amp;" koli")</f>
        <v/>
      </c>
      <c r="Z1400">
        <f>IF($AG1400="","",Config!$B$21)</f>
        <v/>
      </c>
      <c r="AA1400">
        <f>IF($AG1400="","",Config!$B$22)</f>
        <v/>
      </c>
      <c r="AB1400">
        <f>IF($AH1400="","",INDEX(Calc!$D$2:$D$1601,$AH1400))</f>
        <v/>
      </c>
      <c r="AC1400">
        <f>IF($AH1400="","",INDEX(Calc!$G$2:$G$1601,$AH1400))</f>
        <v/>
      </c>
      <c r="AD1400">
        <f>IF($AG1400="","",Config!$B$23)</f>
        <v/>
      </c>
      <c r="AE1400">
        <f>IF($AG1400="","",Config!$B$28)</f>
        <v/>
      </c>
      <c r="AG1400">
        <f>IFERROR(MATCH(ROW()-1,Calc!$J$2:$J$1601,0),"")</f>
        <v/>
      </c>
      <c r="AH1400">
        <f>IFERROR(MATCH(ROW()-1,Calc!$K$2:$K$1601,0),"")</f>
        <v/>
      </c>
      <c r="AI1400">
        <f>IF($AG1400="","",SUMIF($AG$2:$AG1400,$AG1400,$AH$2:$AH1400))</f>
        <v/>
      </c>
      <c r="AJ1400">
        <f>IF('TMP Paste'!$F1400="","",IF('TMP Paste'!$B1400="",$AJ1399,'TMP Paste'!$B1400))</f>
        <v/>
      </c>
      <c r="AK1400">
        <f>IF('TMP Paste'!$F1400="","",N('TMP Paste'!$G1400))</f>
        <v/>
      </c>
      <c r="AL1400">
        <f>IF('TMP Paste'!$F1400="","",IF('TMP Paste'!$M1400="",$AL1399,'TMP Paste'!$M1400))</f>
        <v/>
      </c>
      <c r="AM1400">
        <f>IF('TMP Paste'!$F1400="","",IF('TMP Paste'!$N1400="",$AM1399,'TMP Paste'!$N1400))</f>
        <v/>
      </c>
      <c r="AN1400">
        <f>IF('TMP Paste'!$F1400="","",IF('TMP Paste'!$O1400="",$AN1399,'TMP Paste'!$O1400))</f>
        <v/>
      </c>
      <c r="AO1400">
        <f>IF('TMP Paste'!$F1400="","",IF('TMP Paste'!$P1400="",$AO1399,'TMP Paste'!$P1400))</f>
        <v/>
      </c>
      <c r="AP1400">
        <f>IF($AG1400="","",LEN($R1400))</f>
        <v/>
      </c>
      <c r="AQ1400">
        <f>IF($AG1400="","",TRIM(IF(COUNTIFS(Calc!$B$2:$B$1601,ROW()-1,Calc!$C$2:$C$1601,"&lt;1")&gt;0,"Ada PO tanpa Koli - cek TMP. ","")&amp;IF(LEN($R1400)&gt;500,"R &gt; 500 karakter.","")))</f>
        <v/>
      </c>
    </row>
    <row r="1401">
      <c r="A1401">
        <f>IF($AG1401="","",INDEX('TMP Paste'!$B$2:$B$1601,$AG1401))</f>
        <v/>
      </c>
      <c r="B1401">
        <f>IF($AG1401="","",Config!$B$14)</f>
        <v/>
      </c>
      <c r="C1401">
        <f>IF($AG1401="","",Config!$B$15)</f>
        <v/>
      </c>
      <c r="D1401">
        <f>IF($AG1401="","",INDEX('TMP Paste'!$B$2:$B$1601,$AG1401))</f>
        <v/>
      </c>
      <c r="E1401">
        <f>IF($AG1401="","",Config!$B$27)</f>
        <v/>
      </c>
      <c r="F1401">
        <f>IF($AG1401="","",Config!$B$9)</f>
        <v/>
      </c>
      <c r="G1401">
        <f>IF($AG1401="","",Config!$B$10)</f>
        <v/>
      </c>
      <c r="H1401">
        <f>IF($AG1401="","",Config!$B$11)</f>
        <v/>
      </c>
      <c r="I1401">
        <f>IF($AG1401="","",Config!$B$16)</f>
        <v/>
      </c>
      <c r="J1401">
        <f>IF($AG1401="","",INDEX('TMP Paste'!$A$2:$A$1601,$AG1401))</f>
        <v/>
      </c>
      <c r="K1401">
        <f>IF($AG1401="","",INDEX('TMP Paste'!$L$2:$L$1601,$AG1401))</f>
        <v/>
      </c>
      <c r="L1401">
        <f>IF($AG1401="","",INDEX('TMP Paste'!$I$2:$I$1601,$AG1401))</f>
        <v/>
      </c>
      <c r="M1401">
        <f>IF($AG1401="","",Config!$B$16)</f>
        <v/>
      </c>
      <c r="N1401">
        <f>IF($AG1401="","","")</f>
        <v/>
      </c>
      <c r="O1401">
        <f>IF($AG1401="","",INDEX('TMP Paste'!$K$2:$K$1601,$AG1401))</f>
        <v/>
      </c>
      <c r="P1401">
        <f>IF($AG1401="","","")</f>
        <v/>
      </c>
      <c r="Q1401">
        <f>IF($AG1401="","",INDEX('TMP Paste'!$J$2:$J$1601,$AG1401))</f>
        <v/>
      </c>
      <c r="R1401">
        <f>IF($AG1401="","",Config!$B$24)</f>
        <v/>
      </c>
      <c r="S1401">
        <f>IF($AG1401="","",TEXT(Config!$B$4,"yyyy-mm-dd"))</f>
        <v/>
      </c>
      <c r="T1401">
        <f>IF($AG1401="","",Config!$B$17)</f>
        <v/>
      </c>
      <c r="U1401">
        <f>IF($AG1401="","",Config!$B$18)</f>
        <v/>
      </c>
      <c r="V1401">
        <f>IF($AG1401="","",Config!$B$19)</f>
        <v/>
      </c>
      <c r="W1401">
        <f>IF($AG1401="","",INDEX('TMP Paste'!$C$2:$C$1601,$AG1401))</f>
        <v/>
      </c>
      <c r="X1401">
        <f>IF($AG1401="","",Config!$B$29)</f>
        <v/>
      </c>
      <c r="Y1401">
        <f>IF($AH1401="","",INDEX(Calc!$I$2:$I$1601,$AH1401)&amp;" - "&amp;INDEX(Calc!$D$2:$D$1601,$AH1401)&amp;" koli")</f>
        <v/>
      </c>
      <c r="Z1401">
        <f>IF($AG1401="","",Config!$B$21)</f>
        <v/>
      </c>
      <c r="AA1401">
        <f>IF($AG1401="","",Config!$B$22)</f>
        <v/>
      </c>
      <c r="AB1401">
        <f>IF($AH1401="","",INDEX(Calc!$D$2:$D$1601,$AH1401))</f>
        <v/>
      </c>
      <c r="AC1401">
        <f>IF($AH1401="","",INDEX(Calc!$G$2:$G$1601,$AH1401))</f>
        <v/>
      </c>
      <c r="AD1401">
        <f>IF($AG1401="","",Config!$B$23)</f>
        <v/>
      </c>
      <c r="AE1401">
        <f>IF($AG1401="","",Config!$B$28)</f>
        <v/>
      </c>
      <c r="AG1401">
        <f>IFERROR(MATCH(ROW()-1,Calc!$J$2:$J$1601,0),"")</f>
        <v/>
      </c>
      <c r="AH1401">
        <f>IFERROR(MATCH(ROW()-1,Calc!$K$2:$K$1601,0),"")</f>
        <v/>
      </c>
      <c r="AI1401">
        <f>IF($AG1401="","",SUMIF($AG$2:$AG1401,$AG1401,$AH$2:$AH1401))</f>
        <v/>
      </c>
      <c r="AJ1401">
        <f>IF('TMP Paste'!$F1401="","",IF('TMP Paste'!$B1401="",$AJ1400,'TMP Paste'!$B1401))</f>
        <v/>
      </c>
      <c r="AK1401">
        <f>IF('TMP Paste'!$F1401="","",N('TMP Paste'!$G1401))</f>
        <v/>
      </c>
      <c r="AL1401">
        <f>IF('TMP Paste'!$F1401="","",IF('TMP Paste'!$M1401="",$AL1400,'TMP Paste'!$M1401))</f>
        <v/>
      </c>
      <c r="AM1401">
        <f>IF('TMP Paste'!$F1401="","",IF('TMP Paste'!$N1401="",$AM1400,'TMP Paste'!$N1401))</f>
        <v/>
      </c>
      <c r="AN1401">
        <f>IF('TMP Paste'!$F1401="","",IF('TMP Paste'!$O1401="",$AN1400,'TMP Paste'!$O1401))</f>
        <v/>
      </c>
      <c r="AO1401">
        <f>IF('TMP Paste'!$F1401="","",IF('TMP Paste'!$P1401="",$AO1400,'TMP Paste'!$P1401))</f>
        <v/>
      </c>
      <c r="AP1401">
        <f>IF($AG1401="","",LEN($R1401))</f>
        <v/>
      </c>
      <c r="AQ1401">
        <f>IF($AG1401="","",TRIM(IF(COUNTIFS(Calc!$B$2:$B$1601,ROW()-1,Calc!$C$2:$C$1601,"&lt;1")&gt;0,"Ada PO tanpa Koli - cek TMP. ","")&amp;IF(LEN($R1401)&gt;500,"R &gt; 500 karakter.","")))</f>
        <v/>
      </c>
    </row>
    <row r="1402">
      <c r="A1402">
        <f>IF($AG1402="","",INDEX('TMP Paste'!$B$2:$B$1601,$AG1402))</f>
        <v/>
      </c>
      <c r="B1402">
        <f>IF($AG1402="","",Config!$B$14)</f>
        <v/>
      </c>
      <c r="C1402">
        <f>IF($AG1402="","",Config!$B$15)</f>
        <v/>
      </c>
      <c r="D1402">
        <f>IF($AG1402="","",INDEX('TMP Paste'!$B$2:$B$1601,$AG1402))</f>
        <v/>
      </c>
      <c r="E1402">
        <f>IF($AG1402="","",Config!$B$27)</f>
        <v/>
      </c>
      <c r="F1402">
        <f>IF($AG1402="","",Config!$B$9)</f>
        <v/>
      </c>
      <c r="G1402">
        <f>IF($AG1402="","",Config!$B$10)</f>
        <v/>
      </c>
      <c r="H1402">
        <f>IF($AG1402="","",Config!$B$11)</f>
        <v/>
      </c>
      <c r="I1402">
        <f>IF($AG1402="","",Config!$B$16)</f>
        <v/>
      </c>
      <c r="J1402">
        <f>IF($AG1402="","",INDEX('TMP Paste'!$A$2:$A$1601,$AG1402))</f>
        <v/>
      </c>
      <c r="K1402">
        <f>IF($AG1402="","",INDEX('TMP Paste'!$L$2:$L$1601,$AG1402))</f>
        <v/>
      </c>
      <c r="L1402">
        <f>IF($AG1402="","",INDEX('TMP Paste'!$I$2:$I$1601,$AG1402))</f>
        <v/>
      </c>
      <c r="M1402">
        <f>IF($AG1402="","",Config!$B$16)</f>
        <v/>
      </c>
      <c r="N1402">
        <f>IF($AG1402="","","")</f>
        <v/>
      </c>
      <c r="O1402">
        <f>IF($AG1402="","",INDEX('TMP Paste'!$K$2:$K$1601,$AG1402))</f>
        <v/>
      </c>
      <c r="P1402">
        <f>IF($AG1402="","","")</f>
        <v/>
      </c>
      <c r="Q1402">
        <f>IF($AG1402="","",INDEX('TMP Paste'!$J$2:$J$1601,$AG1402))</f>
        <v/>
      </c>
      <c r="R1402">
        <f>IF($AG1402="","",Config!$B$24)</f>
        <v/>
      </c>
      <c r="S1402">
        <f>IF($AG1402="","",TEXT(Config!$B$4,"yyyy-mm-dd"))</f>
        <v/>
      </c>
      <c r="T1402">
        <f>IF($AG1402="","",Config!$B$17)</f>
        <v/>
      </c>
      <c r="U1402">
        <f>IF($AG1402="","",Config!$B$18)</f>
        <v/>
      </c>
      <c r="V1402">
        <f>IF($AG1402="","",Config!$B$19)</f>
        <v/>
      </c>
      <c r="W1402">
        <f>IF($AG1402="","",INDEX('TMP Paste'!$C$2:$C$1601,$AG1402))</f>
        <v/>
      </c>
      <c r="X1402">
        <f>IF($AG1402="","",Config!$B$29)</f>
        <v/>
      </c>
      <c r="Y1402">
        <f>IF($AH1402="","",INDEX(Calc!$I$2:$I$1601,$AH1402)&amp;" - "&amp;INDEX(Calc!$D$2:$D$1601,$AH1402)&amp;" koli")</f>
        <v/>
      </c>
      <c r="Z1402">
        <f>IF($AG1402="","",Config!$B$21)</f>
        <v/>
      </c>
      <c r="AA1402">
        <f>IF($AG1402="","",Config!$B$22)</f>
        <v/>
      </c>
      <c r="AB1402">
        <f>IF($AH1402="","",INDEX(Calc!$D$2:$D$1601,$AH1402))</f>
        <v/>
      </c>
      <c r="AC1402">
        <f>IF($AH1402="","",INDEX(Calc!$G$2:$G$1601,$AH1402))</f>
        <v/>
      </c>
      <c r="AD1402">
        <f>IF($AG1402="","",Config!$B$23)</f>
        <v/>
      </c>
      <c r="AE1402">
        <f>IF($AG1402="","",Config!$B$28)</f>
        <v/>
      </c>
      <c r="AG1402">
        <f>IFERROR(MATCH(ROW()-1,Calc!$J$2:$J$1601,0),"")</f>
        <v/>
      </c>
      <c r="AH1402">
        <f>IFERROR(MATCH(ROW()-1,Calc!$K$2:$K$1601,0),"")</f>
        <v/>
      </c>
      <c r="AI1402">
        <f>IF($AG1402="","",SUMIF($AG$2:$AG1402,$AG1402,$AH$2:$AH1402))</f>
        <v/>
      </c>
      <c r="AJ1402">
        <f>IF('TMP Paste'!$F1402="","",IF('TMP Paste'!$B1402="",$AJ1401,'TMP Paste'!$B1402))</f>
        <v/>
      </c>
      <c r="AK1402">
        <f>IF('TMP Paste'!$F1402="","",N('TMP Paste'!$G1402))</f>
        <v/>
      </c>
      <c r="AL1402">
        <f>IF('TMP Paste'!$F1402="","",IF('TMP Paste'!$M1402="",$AL1401,'TMP Paste'!$M1402))</f>
        <v/>
      </c>
      <c r="AM1402">
        <f>IF('TMP Paste'!$F1402="","",IF('TMP Paste'!$N1402="",$AM1401,'TMP Paste'!$N1402))</f>
        <v/>
      </c>
      <c r="AN1402">
        <f>IF('TMP Paste'!$F1402="","",IF('TMP Paste'!$O1402="",$AN1401,'TMP Paste'!$O1402))</f>
        <v/>
      </c>
      <c r="AO1402">
        <f>IF('TMP Paste'!$F1402="","",IF('TMP Paste'!$P1402="",$AO1401,'TMP Paste'!$P1402))</f>
        <v/>
      </c>
      <c r="AP1402">
        <f>IF($AG1402="","",LEN($R1402))</f>
        <v/>
      </c>
      <c r="AQ1402">
        <f>IF($AG1402="","",TRIM(IF(COUNTIFS(Calc!$B$2:$B$1601,ROW()-1,Calc!$C$2:$C$1601,"&lt;1")&gt;0,"Ada PO tanpa Koli - cek TMP. ","")&amp;IF(LEN($R1402)&gt;500,"R &gt; 500 karakter.","")))</f>
        <v/>
      </c>
    </row>
    <row r="1403">
      <c r="A1403">
        <f>IF($AG1403="","",INDEX('TMP Paste'!$B$2:$B$1601,$AG1403))</f>
        <v/>
      </c>
      <c r="B1403">
        <f>IF($AG1403="","",Config!$B$14)</f>
        <v/>
      </c>
      <c r="C1403">
        <f>IF($AG1403="","",Config!$B$15)</f>
        <v/>
      </c>
      <c r="D1403">
        <f>IF($AG1403="","",INDEX('TMP Paste'!$B$2:$B$1601,$AG1403))</f>
        <v/>
      </c>
      <c r="E1403">
        <f>IF($AG1403="","",Config!$B$27)</f>
        <v/>
      </c>
      <c r="F1403">
        <f>IF($AG1403="","",Config!$B$9)</f>
        <v/>
      </c>
      <c r="G1403">
        <f>IF($AG1403="","",Config!$B$10)</f>
        <v/>
      </c>
      <c r="H1403">
        <f>IF($AG1403="","",Config!$B$11)</f>
        <v/>
      </c>
      <c r="I1403">
        <f>IF($AG1403="","",Config!$B$16)</f>
        <v/>
      </c>
      <c r="J1403">
        <f>IF($AG1403="","",INDEX('TMP Paste'!$A$2:$A$1601,$AG1403))</f>
        <v/>
      </c>
      <c r="K1403">
        <f>IF($AG1403="","",INDEX('TMP Paste'!$L$2:$L$1601,$AG1403))</f>
        <v/>
      </c>
      <c r="L1403">
        <f>IF($AG1403="","",INDEX('TMP Paste'!$I$2:$I$1601,$AG1403))</f>
        <v/>
      </c>
      <c r="M1403">
        <f>IF($AG1403="","",Config!$B$16)</f>
        <v/>
      </c>
      <c r="N1403">
        <f>IF($AG1403="","","")</f>
        <v/>
      </c>
      <c r="O1403">
        <f>IF($AG1403="","",INDEX('TMP Paste'!$K$2:$K$1601,$AG1403))</f>
        <v/>
      </c>
      <c r="P1403">
        <f>IF($AG1403="","","")</f>
        <v/>
      </c>
      <c r="Q1403">
        <f>IF($AG1403="","",INDEX('TMP Paste'!$J$2:$J$1601,$AG1403))</f>
        <v/>
      </c>
      <c r="R1403">
        <f>IF($AG1403="","",Config!$B$24)</f>
        <v/>
      </c>
      <c r="S1403">
        <f>IF($AG1403="","",TEXT(Config!$B$4,"yyyy-mm-dd"))</f>
        <v/>
      </c>
      <c r="T1403">
        <f>IF($AG1403="","",Config!$B$17)</f>
        <v/>
      </c>
      <c r="U1403">
        <f>IF($AG1403="","",Config!$B$18)</f>
        <v/>
      </c>
      <c r="V1403">
        <f>IF($AG1403="","",Config!$B$19)</f>
        <v/>
      </c>
      <c r="W1403">
        <f>IF($AG1403="","",INDEX('TMP Paste'!$C$2:$C$1601,$AG1403))</f>
        <v/>
      </c>
      <c r="X1403">
        <f>IF($AG1403="","",Config!$B$29)</f>
        <v/>
      </c>
      <c r="Y1403">
        <f>IF($AH1403="","",INDEX(Calc!$I$2:$I$1601,$AH1403)&amp;" - "&amp;INDEX(Calc!$D$2:$D$1601,$AH1403)&amp;" koli")</f>
        <v/>
      </c>
      <c r="Z1403">
        <f>IF($AG1403="","",Config!$B$21)</f>
        <v/>
      </c>
      <c r="AA1403">
        <f>IF($AG1403="","",Config!$B$22)</f>
        <v/>
      </c>
      <c r="AB1403">
        <f>IF($AH1403="","",INDEX(Calc!$D$2:$D$1601,$AH1403))</f>
        <v/>
      </c>
      <c r="AC1403">
        <f>IF($AH1403="","",INDEX(Calc!$G$2:$G$1601,$AH1403))</f>
        <v/>
      </c>
      <c r="AD1403">
        <f>IF($AG1403="","",Config!$B$23)</f>
        <v/>
      </c>
      <c r="AE1403">
        <f>IF($AG1403="","",Config!$B$28)</f>
        <v/>
      </c>
      <c r="AG1403">
        <f>IFERROR(MATCH(ROW()-1,Calc!$J$2:$J$1601,0),"")</f>
        <v/>
      </c>
      <c r="AH1403">
        <f>IFERROR(MATCH(ROW()-1,Calc!$K$2:$K$1601,0),"")</f>
        <v/>
      </c>
      <c r="AI1403">
        <f>IF($AG1403="","",SUMIF($AG$2:$AG1403,$AG1403,$AH$2:$AH1403))</f>
        <v/>
      </c>
      <c r="AJ1403">
        <f>IF('TMP Paste'!$F1403="","",IF('TMP Paste'!$B1403="",$AJ1402,'TMP Paste'!$B1403))</f>
        <v/>
      </c>
      <c r="AK1403">
        <f>IF('TMP Paste'!$F1403="","",N('TMP Paste'!$G1403))</f>
        <v/>
      </c>
      <c r="AL1403">
        <f>IF('TMP Paste'!$F1403="","",IF('TMP Paste'!$M1403="",$AL1402,'TMP Paste'!$M1403))</f>
        <v/>
      </c>
      <c r="AM1403">
        <f>IF('TMP Paste'!$F1403="","",IF('TMP Paste'!$N1403="",$AM1402,'TMP Paste'!$N1403))</f>
        <v/>
      </c>
      <c r="AN1403">
        <f>IF('TMP Paste'!$F1403="","",IF('TMP Paste'!$O1403="",$AN1402,'TMP Paste'!$O1403))</f>
        <v/>
      </c>
      <c r="AO1403">
        <f>IF('TMP Paste'!$F1403="","",IF('TMP Paste'!$P1403="",$AO1402,'TMP Paste'!$P1403))</f>
        <v/>
      </c>
      <c r="AP1403">
        <f>IF($AG1403="","",LEN($R1403))</f>
        <v/>
      </c>
      <c r="AQ1403">
        <f>IF($AG1403="","",TRIM(IF(COUNTIFS(Calc!$B$2:$B$1601,ROW()-1,Calc!$C$2:$C$1601,"&lt;1")&gt;0,"Ada PO tanpa Koli - cek TMP. ","")&amp;IF(LEN($R1403)&gt;500,"R &gt; 500 karakter.","")))</f>
        <v/>
      </c>
    </row>
    <row r="1404">
      <c r="A1404">
        <f>IF($AG1404="","",INDEX('TMP Paste'!$B$2:$B$1601,$AG1404))</f>
        <v/>
      </c>
      <c r="B1404">
        <f>IF($AG1404="","",Config!$B$14)</f>
        <v/>
      </c>
      <c r="C1404">
        <f>IF($AG1404="","",Config!$B$15)</f>
        <v/>
      </c>
      <c r="D1404">
        <f>IF($AG1404="","",INDEX('TMP Paste'!$B$2:$B$1601,$AG1404))</f>
        <v/>
      </c>
      <c r="E1404">
        <f>IF($AG1404="","",Config!$B$27)</f>
        <v/>
      </c>
      <c r="F1404">
        <f>IF($AG1404="","",Config!$B$9)</f>
        <v/>
      </c>
      <c r="G1404">
        <f>IF($AG1404="","",Config!$B$10)</f>
        <v/>
      </c>
      <c r="H1404">
        <f>IF($AG1404="","",Config!$B$11)</f>
        <v/>
      </c>
      <c r="I1404">
        <f>IF($AG1404="","",Config!$B$16)</f>
        <v/>
      </c>
      <c r="J1404">
        <f>IF($AG1404="","",INDEX('TMP Paste'!$A$2:$A$1601,$AG1404))</f>
        <v/>
      </c>
      <c r="K1404">
        <f>IF($AG1404="","",INDEX('TMP Paste'!$L$2:$L$1601,$AG1404))</f>
        <v/>
      </c>
      <c r="L1404">
        <f>IF($AG1404="","",INDEX('TMP Paste'!$I$2:$I$1601,$AG1404))</f>
        <v/>
      </c>
      <c r="M1404">
        <f>IF($AG1404="","",Config!$B$16)</f>
        <v/>
      </c>
      <c r="N1404">
        <f>IF($AG1404="","","")</f>
        <v/>
      </c>
      <c r="O1404">
        <f>IF($AG1404="","",INDEX('TMP Paste'!$K$2:$K$1601,$AG1404))</f>
        <v/>
      </c>
      <c r="P1404">
        <f>IF($AG1404="","","")</f>
        <v/>
      </c>
      <c r="Q1404">
        <f>IF($AG1404="","",INDEX('TMP Paste'!$J$2:$J$1601,$AG1404))</f>
        <v/>
      </c>
      <c r="R1404">
        <f>IF($AG1404="","",Config!$B$24)</f>
        <v/>
      </c>
      <c r="S1404">
        <f>IF($AG1404="","",TEXT(Config!$B$4,"yyyy-mm-dd"))</f>
        <v/>
      </c>
      <c r="T1404">
        <f>IF($AG1404="","",Config!$B$17)</f>
        <v/>
      </c>
      <c r="U1404">
        <f>IF($AG1404="","",Config!$B$18)</f>
        <v/>
      </c>
      <c r="V1404">
        <f>IF($AG1404="","",Config!$B$19)</f>
        <v/>
      </c>
      <c r="W1404">
        <f>IF($AG1404="","",INDEX('TMP Paste'!$C$2:$C$1601,$AG1404))</f>
        <v/>
      </c>
      <c r="X1404">
        <f>IF($AG1404="","",Config!$B$29)</f>
        <v/>
      </c>
      <c r="Y1404">
        <f>IF($AH1404="","",INDEX(Calc!$I$2:$I$1601,$AH1404)&amp;" - "&amp;INDEX(Calc!$D$2:$D$1601,$AH1404)&amp;" koli")</f>
        <v/>
      </c>
      <c r="Z1404">
        <f>IF($AG1404="","",Config!$B$21)</f>
        <v/>
      </c>
      <c r="AA1404">
        <f>IF($AG1404="","",Config!$B$22)</f>
        <v/>
      </c>
      <c r="AB1404">
        <f>IF($AH1404="","",INDEX(Calc!$D$2:$D$1601,$AH1404))</f>
        <v/>
      </c>
      <c r="AC1404">
        <f>IF($AH1404="","",INDEX(Calc!$G$2:$G$1601,$AH1404))</f>
        <v/>
      </c>
      <c r="AD1404">
        <f>IF($AG1404="","",Config!$B$23)</f>
        <v/>
      </c>
      <c r="AE1404">
        <f>IF($AG1404="","",Config!$B$28)</f>
        <v/>
      </c>
      <c r="AG1404">
        <f>IFERROR(MATCH(ROW()-1,Calc!$J$2:$J$1601,0),"")</f>
        <v/>
      </c>
      <c r="AH1404">
        <f>IFERROR(MATCH(ROW()-1,Calc!$K$2:$K$1601,0),"")</f>
        <v/>
      </c>
      <c r="AI1404">
        <f>IF($AG1404="","",SUMIF($AG$2:$AG1404,$AG1404,$AH$2:$AH1404))</f>
        <v/>
      </c>
      <c r="AJ1404">
        <f>IF('TMP Paste'!$F1404="","",IF('TMP Paste'!$B1404="",$AJ1403,'TMP Paste'!$B1404))</f>
        <v/>
      </c>
      <c r="AK1404">
        <f>IF('TMP Paste'!$F1404="","",N('TMP Paste'!$G1404))</f>
        <v/>
      </c>
      <c r="AL1404">
        <f>IF('TMP Paste'!$F1404="","",IF('TMP Paste'!$M1404="",$AL1403,'TMP Paste'!$M1404))</f>
        <v/>
      </c>
      <c r="AM1404">
        <f>IF('TMP Paste'!$F1404="","",IF('TMP Paste'!$N1404="",$AM1403,'TMP Paste'!$N1404))</f>
        <v/>
      </c>
      <c r="AN1404">
        <f>IF('TMP Paste'!$F1404="","",IF('TMP Paste'!$O1404="",$AN1403,'TMP Paste'!$O1404))</f>
        <v/>
      </c>
      <c r="AO1404">
        <f>IF('TMP Paste'!$F1404="","",IF('TMP Paste'!$P1404="",$AO1403,'TMP Paste'!$P1404))</f>
        <v/>
      </c>
      <c r="AP1404">
        <f>IF($AG1404="","",LEN($R1404))</f>
        <v/>
      </c>
      <c r="AQ1404">
        <f>IF($AG1404="","",TRIM(IF(COUNTIFS(Calc!$B$2:$B$1601,ROW()-1,Calc!$C$2:$C$1601,"&lt;1")&gt;0,"Ada PO tanpa Koli - cek TMP. ","")&amp;IF(LEN($R1404)&gt;500,"R &gt; 500 karakter.","")))</f>
        <v/>
      </c>
    </row>
    <row r="1405">
      <c r="A1405">
        <f>IF($AG1405="","",INDEX('TMP Paste'!$B$2:$B$1601,$AG1405))</f>
        <v/>
      </c>
      <c r="B1405">
        <f>IF($AG1405="","",Config!$B$14)</f>
        <v/>
      </c>
      <c r="C1405">
        <f>IF($AG1405="","",Config!$B$15)</f>
        <v/>
      </c>
      <c r="D1405">
        <f>IF($AG1405="","",INDEX('TMP Paste'!$B$2:$B$1601,$AG1405))</f>
        <v/>
      </c>
      <c r="E1405">
        <f>IF($AG1405="","",Config!$B$27)</f>
        <v/>
      </c>
      <c r="F1405">
        <f>IF($AG1405="","",Config!$B$9)</f>
        <v/>
      </c>
      <c r="G1405">
        <f>IF($AG1405="","",Config!$B$10)</f>
        <v/>
      </c>
      <c r="H1405">
        <f>IF($AG1405="","",Config!$B$11)</f>
        <v/>
      </c>
      <c r="I1405">
        <f>IF($AG1405="","",Config!$B$16)</f>
        <v/>
      </c>
      <c r="J1405">
        <f>IF($AG1405="","",INDEX('TMP Paste'!$A$2:$A$1601,$AG1405))</f>
        <v/>
      </c>
      <c r="K1405">
        <f>IF($AG1405="","",INDEX('TMP Paste'!$L$2:$L$1601,$AG1405))</f>
        <v/>
      </c>
      <c r="L1405">
        <f>IF($AG1405="","",INDEX('TMP Paste'!$I$2:$I$1601,$AG1405))</f>
        <v/>
      </c>
      <c r="M1405">
        <f>IF($AG1405="","",Config!$B$16)</f>
        <v/>
      </c>
      <c r="N1405">
        <f>IF($AG1405="","","")</f>
        <v/>
      </c>
      <c r="O1405">
        <f>IF($AG1405="","",INDEX('TMP Paste'!$K$2:$K$1601,$AG1405))</f>
        <v/>
      </c>
      <c r="P1405">
        <f>IF($AG1405="","","")</f>
        <v/>
      </c>
      <c r="Q1405">
        <f>IF($AG1405="","",INDEX('TMP Paste'!$J$2:$J$1601,$AG1405))</f>
        <v/>
      </c>
      <c r="R1405">
        <f>IF($AG1405="","",Config!$B$24)</f>
        <v/>
      </c>
      <c r="S1405">
        <f>IF($AG1405="","",TEXT(Config!$B$4,"yyyy-mm-dd"))</f>
        <v/>
      </c>
      <c r="T1405">
        <f>IF($AG1405="","",Config!$B$17)</f>
        <v/>
      </c>
      <c r="U1405">
        <f>IF($AG1405="","",Config!$B$18)</f>
        <v/>
      </c>
      <c r="V1405">
        <f>IF($AG1405="","",Config!$B$19)</f>
        <v/>
      </c>
      <c r="W1405">
        <f>IF($AG1405="","",INDEX('TMP Paste'!$C$2:$C$1601,$AG1405))</f>
        <v/>
      </c>
      <c r="X1405">
        <f>IF($AG1405="","",Config!$B$29)</f>
        <v/>
      </c>
      <c r="Y1405">
        <f>IF($AH1405="","",INDEX(Calc!$I$2:$I$1601,$AH1405)&amp;" - "&amp;INDEX(Calc!$D$2:$D$1601,$AH1405)&amp;" koli")</f>
        <v/>
      </c>
      <c r="Z1405">
        <f>IF($AG1405="","",Config!$B$21)</f>
        <v/>
      </c>
      <c r="AA1405">
        <f>IF($AG1405="","",Config!$B$22)</f>
        <v/>
      </c>
      <c r="AB1405">
        <f>IF($AH1405="","",INDEX(Calc!$D$2:$D$1601,$AH1405))</f>
        <v/>
      </c>
      <c r="AC1405">
        <f>IF($AH1405="","",INDEX(Calc!$G$2:$G$1601,$AH1405))</f>
        <v/>
      </c>
      <c r="AD1405">
        <f>IF($AG1405="","",Config!$B$23)</f>
        <v/>
      </c>
      <c r="AE1405">
        <f>IF($AG1405="","",Config!$B$28)</f>
        <v/>
      </c>
      <c r="AG1405">
        <f>IFERROR(MATCH(ROW()-1,Calc!$J$2:$J$1601,0),"")</f>
        <v/>
      </c>
      <c r="AH1405">
        <f>IFERROR(MATCH(ROW()-1,Calc!$K$2:$K$1601,0),"")</f>
        <v/>
      </c>
      <c r="AI1405">
        <f>IF($AG1405="","",SUMIF($AG$2:$AG1405,$AG1405,$AH$2:$AH1405))</f>
        <v/>
      </c>
      <c r="AJ1405">
        <f>IF('TMP Paste'!$F1405="","",IF('TMP Paste'!$B1405="",$AJ1404,'TMP Paste'!$B1405))</f>
        <v/>
      </c>
      <c r="AK1405">
        <f>IF('TMP Paste'!$F1405="","",N('TMP Paste'!$G1405))</f>
        <v/>
      </c>
      <c r="AL1405">
        <f>IF('TMP Paste'!$F1405="","",IF('TMP Paste'!$M1405="",$AL1404,'TMP Paste'!$M1405))</f>
        <v/>
      </c>
      <c r="AM1405">
        <f>IF('TMP Paste'!$F1405="","",IF('TMP Paste'!$N1405="",$AM1404,'TMP Paste'!$N1405))</f>
        <v/>
      </c>
      <c r="AN1405">
        <f>IF('TMP Paste'!$F1405="","",IF('TMP Paste'!$O1405="",$AN1404,'TMP Paste'!$O1405))</f>
        <v/>
      </c>
      <c r="AO1405">
        <f>IF('TMP Paste'!$F1405="","",IF('TMP Paste'!$P1405="",$AO1404,'TMP Paste'!$P1405))</f>
        <v/>
      </c>
      <c r="AP1405">
        <f>IF($AG1405="","",LEN($R1405))</f>
        <v/>
      </c>
      <c r="AQ1405">
        <f>IF($AG1405="","",TRIM(IF(COUNTIFS(Calc!$B$2:$B$1601,ROW()-1,Calc!$C$2:$C$1601,"&lt;1")&gt;0,"Ada PO tanpa Koli - cek TMP. ","")&amp;IF(LEN($R1405)&gt;500,"R &gt; 500 karakter.","")))</f>
        <v/>
      </c>
    </row>
    <row r="1406">
      <c r="A1406">
        <f>IF($AG1406="","",INDEX('TMP Paste'!$B$2:$B$1601,$AG1406))</f>
        <v/>
      </c>
      <c r="B1406">
        <f>IF($AG1406="","",Config!$B$14)</f>
        <v/>
      </c>
      <c r="C1406">
        <f>IF($AG1406="","",Config!$B$15)</f>
        <v/>
      </c>
      <c r="D1406">
        <f>IF($AG1406="","",INDEX('TMP Paste'!$B$2:$B$1601,$AG1406))</f>
        <v/>
      </c>
      <c r="E1406">
        <f>IF($AG1406="","",Config!$B$27)</f>
        <v/>
      </c>
      <c r="F1406">
        <f>IF($AG1406="","",Config!$B$9)</f>
        <v/>
      </c>
      <c r="G1406">
        <f>IF($AG1406="","",Config!$B$10)</f>
        <v/>
      </c>
      <c r="H1406">
        <f>IF($AG1406="","",Config!$B$11)</f>
        <v/>
      </c>
      <c r="I1406">
        <f>IF($AG1406="","",Config!$B$16)</f>
        <v/>
      </c>
      <c r="J1406">
        <f>IF($AG1406="","",INDEX('TMP Paste'!$A$2:$A$1601,$AG1406))</f>
        <v/>
      </c>
      <c r="K1406">
        <f>IF($AG1406="","",INDEX('TMP Paste'!$L$2:$L$1601,$AG1406))</f>
        <v/>
      </c>
      <c r="L1406">
        <f>IF($AG1406="","",INDEX('TMP Paste'!$I$2:$I$1601,$AG1406))</f>
        <v/>
      </c>
      <c r="M1406">
        <f>IF($AG1406="","",Config!$B$16)</f>
        <v/>
      </c>
      <c r="N1406">
        <f>IF($AG1406="","","")</f>
        <v/>
      </c>
      <c r="O1406">
        <f>IF($AG1406="","",INDEX('TMP Paste'!$K$2:$K$1601,$AG1406))</f>
        <v/>
      </c>
      <c r="P1406">
        <f>IF($AG1406="","","")</f>
        <v/>
      </c>
      <c r="Q1406">
        <f>IF($AG1406="","",INDEX('TMP Paste'!$J$2:$J$1601,$AG1406))</f>
        <v/>
      </c>
      <c r="R1406">
        <f>IF($AG1406="","",Config!$B$24)</f>
        <v/>
      </c>
      <c r="S1406">
        <f>IF($AG1406="","",TEXT(Config!$B$4,"yyyy-mm-dd"))</f>
        <v/>
      </c>
      <c r="T1406">
        <f>IF($AG1406="","",Config!$B$17)</f>
        <v/>
      </c>
      <c r="U1406">
        <f>IF($AG1406="","",Config!$B$18)</f>
        <v/>
      </c>
      <c r="V1406">
        <f>IF($AG1406="","",Config!$B$19)</f>
        <v/>
      </c>
      <c r="W1406">
        <f>IF($AG1406="","",INDEX('TMP Paste'!$C$2:$C$1601,$AG1406))</f>
        <v/>
      </c>
      <c r="X1406">
        <f>IF($AG1406="","",Config!$B$29)</f>
        <v/>
      </c>
      <c r="Y1406">
        <f>IF($AH1406="","",INDEX(Calc!$I$2:$I$1601,$AH1406)&amp;" - "&amp;INDEX(Calc!$D$2:$D$1601,$AH1406)&amp;" koli")</f>
        <v/>
      </c>
      <c r="Z1406">
        <f>IF($AG1406="","",Config!$B$21)</f>
        <v/>
      </c>
      <c r="AA1406">
        <f>IF($AG1406="","",Config!$B$22)</f>
        <v/>
      </c>
      <c r="AB1406">
        <f>IF($AH1406="","",INDEX(Calc!$D$2:$D$1601,$AH1406))</f>
        <v/>
      </c>
      <c r="AC1406">
        <f>IF($AH1406="","",INDEX(Calc!$G$2:$G$1601,$AH1406))</f>
        <v/>
      </c>
      <c r="AD1406">
        <f>IF($AG1406="","",Config!$B$23)</f>
        <v/>
      </c>
      <c r="AE1406">
        <f>IF($AG1406="","",Config!$B$28)</f>
        <v/>
      </c>
      <c r="AG1406">
        <f>IFERROR(MATCH(ROW()-1,Calc!$J$2:$J$1601,0),"")</f>
        <v/>
      </c>
      <c r="AH1406">
        <f>IFERROR(MATCH(ROW()-1,Calc!$K$2:$K$1601,0),"")</f>
        <v/>
      </c>
      <c r="AI1406">
        <f>IF($AG1406="","",SUMIF($AG$2:$AG1406,$AG1406,$AH$2:$AH1406))</f>
        <v/>
      </c>
      <c r="AJ1406">
        <f>IF('TMP Paste'!$F1406="","",IF('TMP Paste'!$B1406="",$AJ1405,'TMP Paste'!$B1406))</f>
        <v/>
      </c>
      <c r="AK1406">
        <f>IF('TMP Paste'!$F1406="","",N('TMP Paste'!$G1406))</f>
        <v/>
      </c>
      <c r="AL1406">
        <f>IF('TMP Paste'!$F1406="","",IF('TMP Paste'!$M1406="",$AL1405,'TMP Paste'!$M1406))</f>
        <v/>
      </c>
      <c r="AM1406">
        <f>IF('TMP Paste'!$F1406="","",IF('TMP Paste'!$N1406="",$AM1405,'TMP Paste'!$N1406))</f>
        <v/>
      </c>
      <c r="AN1406">
        <f>IF('TMP Paste'!$F1406="","",IF('TMP Paste'!$O1406="",$AN1405,'TMP Paste'!$O1406))</f>
        <v/>
      </c>
      <c r="AO1406">
        <f>IF('TMP Paste'!$F1406="","",IF('TMP Paste'!$P1406="",$AO1405,'TMP Paste'!$P1406))</f>
        <v/>
      </c>
      <c r="AP1406">
        <f>IF($AG1406="","",LEN($R1406))</f>
        <v/>
      </c>
      <c r="AQ1406">
        <f>IF($AG1406="","",TRIM(IF(COUNTIFS(Calc!$B$2:$B$1601,ROW()-1,Calc!$C$2:$C$1601,"&lt;1")&gt;0,"Ada PO tanpa Koli - cek TMP. ","")&amp;IF(LEN($R1406)&gt;500,"R &gt; 500 karakter.","")))</f>
        <v/>
      </c>
    </row>
    <row r="1407">
      <c r="A1407">
        <f>IF($AG1407="","",INDEX('TMP Paste'!$B$2:$B$1601,$AG1407))</f>
        <v/>
      </c>
      <c r="B1407">
        <f>IF($AG1407="","",Config!$B$14)</f>
        <v/>
      </c>
      <c r="C1407">
        <f>IF($AG1407="","",Config!$B$15)</f>
        <v/>
      </c>
      <c r="D1407">
        <f>IF($AG1407="","",INDEX('TMP Paste'!$B$2:$B$1601,$AG1407))</f>
        <v/>
      </c>
      <c r="E1407">
        <f>IF($AG1407="","",Config!$B$27)</f>
        <v/>
      </c>
      <c r="F1407">
        <f>IF($AG1407="","",Config!$B$9)</f>
        <v/>
      </c>
      <c r="G1407">
        <f>IF($AG1407="","",Config!$B$10)</f>
        <v/>
      </c>
      <c r="H1407">
        <f>IF($AG1407="","",Config!$B$11)</f>
        <v/>
      </c>
      <c r="I1407">
        <f>IF($AG1407="","",Config!$B$16)</f>
        <v/>
      </c>
      <c r="J1407">
        <f>IF($AG1407="","",INDEX('TMP Paste'!$A$2:$A$1601,$AG1407))</f>
        <v/>
      </c>
      <c r="K1407">
        <f>IF($AG1407="","",INDEX('TMP Paste'!$L$2:$L$1601,$AG1407))</f>
        <v/>
      </c>
      <c r="L1407">
        <f>IF($AG1407="","",INDEX('TMP Paste'!$I$2:$I$1601,$AG1407))</f>
        <v/>
      </c>
      <c r="M1407">
        <f>IF($AG1407="","",Config!$B$16)</f>
        <v/>
      </c>
      <c r="N1407">
        <f>IF($AG1407="","","")</f>
        <v/>
      </c>
      <c r="O1407">
        <f>IF($AG1407="","",INDEX('TMP Paste'!$K$2:$K$1601,$AG1407))</f>
        <v/>
      </c>
      <c r="P1407">
        <f>IF($AG1407="","","")</f>
        <v/>
      </c>
      <c r="Q1407">
        <f>IF($AG1407="","",INDEX('TMP Paste'!$J$2:$J$1601,$AG1407))</f>
        <v/>
      </c>
      <c r="R1407">
        <f>IF($AG1407="","",Config!$B$24)</f>
        <v/>
      </c>
      <c r="S1407">
        <f>IF($AG1407="","",TEXT(Config!$B$4,"yyyy-mm-dd"))</f>
        <v/>
      </c>
      <c r="T1407">
        <f>IF($AG1407="","",Config!$B$17)</f>
        <v/>
      </c>
      <c r="U1407">
        <f>IF($AG1407="","",Config!$B$18)</f>
        <v/>
      </c>
      <c r="V1407">
        <f>IF($AG1407="","",Config!$B$19)</f>
        <v/>
      </c>
      <c r="W1407">
        <f>IF($AG1407="","",INDEX('TMP Paste'!$C$2:$C$1601,$AG1407))</f>
        <v/>
      </c>
      <c r="X1407">
        <f>IF($AG1407="","",Config!$B$29)</f>
        <v/>
      </c>
      <c r="Y1407">
        <f>IF($AH1407="","",INDEX(Calc!$I$2:$I$1601,$AH1407)&amp;" - "&amp;INDEX(Calc!$D$2:$D$1601,$AH1407)&amp;" koli")</f>
        <v/>
      </c>
      <c r="Z1407">
        <f>IF($AG1407="","",Config!$B$21)</f>
        <v/>
      </c>
      <c r="AA1407">
        <f>IF($AG1407="","",Config!$B$22)</f>
        <v/>
      </c>
      <c r="AB1407">
        <f>IF($AH1407="","",INDEX(Calc!$D$2:$D$1601,$AH1407))</f>
        <v/>
      </c>
      <c r="AC1407">
        <f>IF($AH1407="","",INDEX(Calc!$G$2:$G$1601,$AH1407))</f>
        <v/>
      </c>
      <c r="AD1407">
        <f>IF($AG1407="","",Config!$B$23)</f>
        <v/>
      </c>
      <c r="AE1407">
        <f>IF($AG1407="","",Config!$B$28)</f>
        <v/>
      </c>
      <c r="AG1407">
        <f>IFERROR(MATCH(ROW()-1,Calc!$J$2:$J$1601,0),"")</f>
        <v/>
      </c>
      <c r="AH1407">
        <f>IFERROR(MATCH(ROW()-1,Calc!$K$2:$K$1601,0),"")</f>
        <v/>
      </c>
      <c r="AI1407">
        <f>IF($AG1407="","",SUMIF($AG$2:$AG1407,$AG1407,$AH$2:$AH1407))</f>
        <v/>
      </c>
      <c r="AJ1407">
        <f>IF('TMP Paste'!$F1407="","",IF('TMP Paste'!$B1407="",$AJ1406,'TMP Paste'!$B1407))</f>
        <v/>
      </c>
      <c r="AK1407">
        <f>IF('TMP Paste'!$F1407="","",N('TMP Paste'!$G1407))</f>
        <v/>
      </c>
      <c r="AL1407">
        <f>IF('TMP Paste'!$F1407="","",IF('TMP Paste'!$M1407="",$AL1406,'TMP Paste'!$M1407))</f>
        <v/>
      </c>
      <c r="AM1407">
        <f>IF('TMP Paste'!$F1407="","",IF('TMP Paste'!$N1407="",$AM1406,'TMP Paste'!$N1407))</f>
        <v/>
      </c>
      <c r="AN1407">
        <f>IF('TMP Paste'!$F1407="","",IF('TMP Paste'!$O1407="",$AN1406,'TMP Paste'!$O1407))</f>
        <v/>
      </c>
      <c r="AO1407">
        <f>IF('TMP Paste'!$F1407="","",IF('TMP Paste'!$P1407="",$AO1406,'TMP Paste'!$P1407))</f>
        <v/>
      </c>
      <c r="AP1407">
        <f>IF($AG1407="","",LEN($R1407))</f>
        <v/>
      </c>
      <c r="AQ1407">
        <f>IF($AG1407="","",TRIM(IF(COUNTIFS(Calc!$B$2:$B$1601,ROW()-1,Calc!$C$2:$C$1601,"&lt;1")&gt;0,"Ada PO tanpa Koli - cek TMP. ","")&amp;IF(LEN($R1407)&gt;500,"R &gt; 500 karakter.","")))</f>
        <v/>
      </c>
    </row>
    <row r="1408">
      <c r="A1408">
        <f>IF($AG1408="","",INDEX('TMP Paste'!$B$2:$B$1601,$AG1408))</f>
        <v/>
      </c>
      <c r="B1408">
        <f>IF($AG1408="","",Config!$B$14)</f>
        <v/>
      </c>
      <c r="C1408">
        <f>IF($AG1408="","",Config!$B$15)</f>
        <v/>
      </c>
      <c r="D1408">
        <f>IF($AG1408="","",INDEX('TMP Paste'!$B$2:$B$1601,$AG1408))</f>
        <v/>
      </c>
      <c r="E1408">
        <f>IF($AG1408="","",Config!$B$27)</f>
        <v/>
      </c>
      <c r="F1408">
        <f>IF($AG1408="","",Config!$B$9)</f>
        <v/>
      </c>
      <c r="G1408">
        <f>IF($AG1408="","",Config!$B$10)</f>
        <v/>
      </c>
      <c r="H1408">
        <f>IF($AG1408="","",Config!$B$11)</f>
        <v/>
      </c>
      <c r="I1408">
        <f>IF($AG1408="","",Config!$B$16)</f>
        <v/>
      </c>
      <c r="J1408">
        <f>IF($AG1408="","",INDEX('TMP Paste'!$A$2:$A$1601,$AG1408))</f>
        <v/>
      </c>
      <c r="K1408">
        <f>IF($AG1408="","",INDEX('TMP Paste'!$L$2:$L$1601,$AG1408))</f>
        <v/>
      </c>
      <c r="L1408">
        <f>IF($AG1408="","",INDEX('TMP Paste'!$I$2:$I$1601,$AG1408))</f>
        <v/>
      </c>
      <c r="M1408">
        <f>IF($AG1408="","",Config!$B$16)</f>
        <v/>
      </c>
      <c r="N1408">
        <f>IF($AG1408="","","")</f>
        <v/>
      </c>
      <c r="O1408">
        <f>IF($AG1408="","",INDEX('TMP Paste'!$K$2:$K$1601,$AG1408))</f>
        <v/>
      </c>
      <c r="P1408">
        <f>IF($AG1408="","","")</f>
        <v/>
      </c>
      <c r="Q1408">
        <f>IF($AG1408="","",INDEX('TMP Paste'!$J$2:$J$1601,$AG1408))</f>
        <v/>
      </c>
      <c r="R1408">
        <f>IF($AG1408="","",Config!$B$24)</f>
        <v/>
      </c>
      <c r="S1408">
        <f>IF($AG1408="","",TEXT(Config!$B$4,"yyyy-mm-dd"))</f>
        <v/>
      </c>
      <c r="T1408">
        <f>IF($AG1408="","",Config!$B$17)</f>
        <v/>
      </c>
      <c r="U1408">
        <f>IF($AG1408="","",Config!$B$18)</f>
        <v/>
      </c>
      <c r="V1408">
        <f>IF($AG1408="","",Config!$B$19)</f>
        <v/>
      </c>
      <c r="W1408">
        <f>IF($AG1408="","",INDEX('TMP Paste'!$C$2:$C$1601,$AG1408))</f>
        <v/>
      </c>
      <c r="X1408">
        <f>IF($AG1408="","",Config!$B$29)</f>
        <v/>
      </c>
      <c r="Y1408">
        <f>IF($AH1408="","",INDEX(Calc!$I$2:$I$1601,$AH1408)&amp;" - "&amp;INDEX(Calc!$D$2:$D$1601,$AH1408)&amp;" koli")</f>
        <v/>
      </c>
      <c r="Z1408">
        <f>IF($AG1408="","",Config!$B$21)</f>
        <v/>
      </c>
      <c r="AA1408">
        <f>IF($AG1408="","",Config!$B$22)</f>
        <v/>
      </c>
      <c r="AB1408">
        <f>IF($AH1408="","",INDEX(Calc!$D$2:$D$1601,$AH1408))</f>
        <v/>
      </c>
      <c r="AC1408">
        <f>IF($AH1408="","",INDEX(Calc!$G$2:$G$1601,$AH1408))</f>
        <v/>
      </c>
      <c r="AD1408">
        <f>IF($AG1408="","",Config!$B$23)</f>
        <v/>
      </c>
      <c r="AE1408">
        <f>IF($AG1408="","",Config!$B$28)</f>
        <v/>
      </c>
      <c r="AG1408">
        <f>IFERROR(MATCH(ROW()-1,Calc!$J$2:$J$1601,0),"")</f>
        <v/>
      </c>
      <c r="AH1408">
        <f>IFERROR(MATCH(ROW()-1,Calc!$K$2:$K$1601,0),"")</f>
        <v/>
      </c>
      <c r="AI1408">
        <f>IF($AG1408="","",SUMIF($AG$2:$AG1408,$AG1408,$AH$2:$AH1408))</f>
        <v/>
      </c>
      <c r="AJ1408">
        <f>IF('TMP Paste'!$F1408="","",IF('TMP Paste'!$B1408="",$AJ1407,'TMP Paste'!$B1408))</f>
        <v/>
      </c>
      <c r="AK1408">
        <f>IF('TMP Paste'!$F1408="","",N('TMP Paste'!$G1408))</f>
        <v/>
      </c>
      <c r="AL1408">
        <f>IF('TMP Paste'!$F1408="","",IF('TMP Paste'!$M1408="",$AL1407,'TMP Paste'!$M1408))</f>
        <v/>
      </c>
      <c r="AM1408">
        <f>IF('TMP Paste'!$F1408="","",IF('TMP Paste'!$N1408="",$AM1407,'TMP Paste'!$N1408))</f>
        <v/>
      </c>
      <c r="AN1408">
        <f>IF('TMP Paste'!$F1408="","",IF('TMP Paste'!$O1408="",$AN1407,'TMP Paste'!$O1408))</f>
        <v/>
      </c>
      <c r="AO1408">
        <f>IF('TMP Paste'!$F1408="","",IF('TMP Paste'!$P1408="",$AO1407,'TMP Paste'!$P1408))</f>
        <v/>
      </c>
      <c r="AP1408">
        <f>IF($AG1408="","",LEN($R1408))</f>
        <v/>
      </c>
      <c r="AQ1408">
        <f>IF($AG1408="","",TRIM(IF(COUNTIFS(Calc!$B$2:$B$1601,ROW()-1,Calc!$C$2:$C$1601,"&lt;1")&gt;0,"Ada PO tanpa Koli - cek TMP. ","")&amp;IF(LEN($R1408)&gt;500,"R &gt; 500 karakter.","")))</f>
        <v/>
      </c>
    </row>
    <row r="1409">
      <c r="A1409">
        <f>IF($AG1409="","",INDEX('TMP Paste'!$B$2:$B$1601,$AG1409))</f>
        <v/>
      </c>
      <c r="B1409">
        <f>IF($AG1409="","",Config!$B$14)</f>
        <v/>
      </c>
      <c r="C1409">
        <f>IF($AG1409="","",Config!$B$15)</f>
        <v/>
      </c>
      <c r="D1409">
        <f>IF($AG1409="","",INDEX('TMP Paste'!$B$2:$B$1601,$AG1409))</f>
        <v/>
      </c>
      <c r="E1409">
        <f>IF($AG1409="","",Config!$B$27)</f>
        <v/>
      </c>
      <c r="F1409">
        <f>IF($AG1409="","",Config!$B$9)</f>
        <v/>
      </c>
      <c r="G1409">
        <f>IF($AG1409="","",Config!$B$10)</f>
        <v/>
      </c>
      <c r="H1409">
        <f>IF($AG1409="","",Config!$B$11)</f>
        <v/>
      </c>
      <c r="I1409">
        <f>IF($AG1409="","",Config!$B$16)</f>
        <v/>
      </c>
      <c r="J1409">
        <f>IF($AG1409="","",INDEX('TMP Paste'!$A$2:$A$1601,$AG1409))</f>
        <v/>
      </c>
      <c r="K1409">
        <f>IF($AG1409="","",INDEX('TMP Paste'!$L$2:$L$1601,$AG1409))</f>
        <v/>
      </c>
      <c r="L1409">
        <f>IF($AG1409="","",INDEX('TMP Paste'!$I$2:$I$1601,$AG1409))</f>
        <v/>
      </c>
      <c r="M1409">
        <f>IF($AG1409="","",Config!$B$16)</f>
        <v/>
      </c>
      <c r="N1409">
        <f>IF($AG1409="","","")</f>
        <v/>
      </c>
      <c r="O1409">
        <f>IF($AG1409="","",INDEX('TMP Paste'!$K$2:$K$1601,$AG1409))</f>
        <v/>
      </c>
      <c r="P1409">
        <f>IF($AG1409="","","")</f>
        <v/>
      </c>
      <c r="Q1409">
        <f>IF($AG1409="","",INDEX('TMP Paste'!$J$2:$J$1601,$AG1409))</f>
        <v/>
      </c>
      <c r="R1409">
        <f>IF($AG1409="","",Config!$B$24)</f>
        <v/>
      </c>
      <c r="S1409">
        <f>IF($AG1409="","",TEXT(Config!$B$4,"yyyy-mm-dd"))</f>
        <v/>
      </c>
      <c r="T1409">
        <f>IF($AG1409="","",Config!$B$17)</f>
        <v/>
      </c>
      <c r="U1409">
        <f>IF($AG1409="","",Config!$B$18)</f>
        <v/>
      </c>
      <c r="V1409">
        <f>IF($AG1409="","",Config!$B$19)</f>
        <v/>
      </c>
      <c r="W1409">
        <f>IF($AG1409="","",INDEX('TMP Paste'!$C$2:$C$1601,$AG1409))</f>
        <v/>
      </c>
      <c r="X1409">
        <f>IF($AG1409="","",Config!$B$29)</f>
        <v/>
      </c>
      <c r="Y1409">
        <f>IF($AH1409="","",INDEX(Calc!$I$2:$I$1601,$AH1409)&amp;" - "&amp;INDEX(Calc!$D$2:$D$1601,$AH1409)&amp;" koli")</f>
        <v/>
      </c>
      <c r="Z1409">
        <f>IF($AG1409="","",Config!$B$21)</f>
        <v/>
      </c>
      <c r="AA1409">
        <f>IF($AG1409="","",Config!$B$22)</f>
        <v/>
      </c>
      <c r="AB1409">
        <f>IF($AH1409="","",INDEX(Calc!$D$2:$D$1601,$AH1409))</f>
        <v/>
      </c>
      <c r="AC1409">
        <f>IF($AH1409="","",INDEX(Calc!$G$2:$G$1601,$AH1409))</f>
        <v/>
      </c>
      <c r="AD1409">
        <f>IF($AG1409="","",Config!$B$23)</f>
        <v/>
      </c>
      <c r="AE1409">
        <f>IF($AG1409="","",Config!$B$28)</f>
        <v/>
      </c>
      <c r="AG1409">
        <f>IFERROR(MATCH(ROW()-1,Calc!$J$2:$J$1601,0),"")</f>
        <v/>
      </c>
      <c r="AH1409">
        <f>IFERROR(MATCH(ROW()-1,Calc!$K$2:$K$1601,0),"")</f>
        <v/>
      </c>
      <c r="AI1409">
        <f>IF($AG1409="","",SUMIF($AG$2:$AG1409,$AG1409,$AH$2:$AH1409))</f>
        <v/>
      </c>
      <c r="AJ1409">
        <f>IF('TMP Paste'!$F1409="","",IF('TMP Paste'!$B1409="",$AJ1408,'TMP Paste'!$B1409))</f>
        <v/>
      </c>
      <c r="AK1409">
        <f>IF('TMP Paste'!$F1409="","",N('TMP Paste'!$G1409))</f>
        <v/>
      </c>
      <c r="AL1409">
        <f>IF('TMP Paste'!$F1409="","",IF('TMP Paste'!$M1409="",$AL1408,'TMP Paste'!$M1409))</f>
        <v/>
      </c>
      <c r="AM1409">
        <f>IF('TMP Paste'!$F1409="","",IF('TMP Paste'!$N1409="",$AM1408,'TMP Paste'!$N1409))</f>
        <v/>
      </c>
      <c r="AN1409">
        <f>IF('TMP Paste'!$F1409="","",IF('TMP Paste'!$O1409="",$AN1408,'TMP Paste'!$O1409))</f>
        <v/>
      </c>
      <c r="AO1409">
        <f>IF('TMP Paste'!$F1409="","",IF('TMP Paste'!$P1409="",$AO1408,'TMP Paste'!$P1409))</f>
        <v/>
      </c>
      <c r="AP1409">
        <f>IF($AG1409="","",LEN($R1409))</f>
        <v/>
      </c>
      <c r="AQ1409">
        <f>IF($AG1409="","",TRIM(IF(COUNTIFS(Calc!$B$2:$B$1601,ROW()-1,Calc!$C$2:$C$1601,"&lt;1")&gt;0,"Ada PO tanpa Koli - cek TMP. ","")&amp;IF(LEN($R1409)&gt;500,"R &gt; 500 karakter.","")))</f>
        <v/>
      </c>
    </row>
    <row r="1410">
      <c r="A1410">
        <f>IF($AG1410="","",INDEX('TMP Paste'!$B$2:$B$1601,$AG1410))</f>
        <v/>
      </c>
      <c r="B1410">
        <f>IF($AG1410="","",Config!$B$14)</f>
        <v/>
      </c>
      <c r="C1410">
        <f>IF($AG1410="","",Config!$B$15)</f>
        <v/>
      </c>
      <c r="D1410">
        <f>IF($AG1410="","",INDEX('TMP Paste'!$B$2:$B$1601,$AG1410))</f>
        <v/>
      </c>
      <c r="E1410">
        <f>IF($AG1410="","",Config!$B$27)</f>
        <v/>
      </c>
      <c r="F1410">
        <f>IF($AG1410="","",Config!$B$9)</f>
        <v/>
      </c>
      <c r="G1410">
        <f>IF($AG1410="","",Config!$B$10)</f>
        <v/>
      </c>
      <c r="H1410">
        <f>IF($AG1410="","",Config!$B$11)</f>
        <v/>
      </c>
      <c r="I1410">
        <f>IF($AG1410="","",Config!$B$16)</f>
        <v/>
      </c>
      <c r="J1410">
        <f>IF($AG1410="","",INDEX('TMP Paste'!$A$2:$A$1601,$AG1410))</f>
        <v/>
      </c>
      <c r="K1410">
        <f>IF($AG1410="","",INDEX('TMP Paste'!$L$2:$L$1601,$AG1410))</f>
        <v/>
      </c>
      <c r="L1410">
        <f>IF($AG1410="","",INDEX('TMP Paste'!$I$2:$I$1601,$AG1410))</f>
        <v/>
      </c>
      <c r="M1410">
        <f>IF($AG1410="","",Config!$B$16)</f>
        <v/>
      </c>
      <c r="N1410">
        <f>IF($AG1410="","","")</f>
        <v/>
      </c>
      <c r="O1410">
        <f>IF($AG1410="","",INDEX('TMP Paste'!$K$2:$K$1601,$AG1410))</f>
        <v/>
      </c>
      <c r="P1410">
        <f>IF($AG1410="","","")</f>
        <v/>
      </c>
      <c r="Q1410">
        <f>IF($AG1410="","",INDEX('TMP Paste'!$J$2:$J$1601,$AG1410))</f>
        <v/>
      </c>
      <c r="R1410">
        <f>IF($AG1410="","",Config!$B$24)</f>
        <v/>
      </c>
      <c r="S1410">
        <f>IF($AG1410="","",TEXT(Config!$B$4,"yyyy-mm-dd"))</f>
        <v/>
      </c>
      <c r="T1410">
        <f>IF($AG1410="","",Config!$B$17)</f>
        <v/>
      </c>
      <c r="U1410">
        <f>IF($AG1410="","",Config!$B$18)</f>
        <v/>
      </c>
      <c r="V1410">
        <f>IF($AG1410="","",Config!$B$19)</f>
        <v/>
      </c>
      <c r="W1410">
        <f>IF($AG1410="","",INDEX('TMP Paste'!$C$2:$C$1601,$AG1410))</f>
        <v/>
      </c>
      <c r="X1410">
        <f>IF($AG1410="","",Config!$B$29)</f>
        <v/>
      </c>
      <c r="Y1410">
        <f>IF($AH1410="","",INDEX(Calc!$I$2:$I$1601,$AH1410)&amp;" - "&amp;INDEX(Calc!$D$2:$D$1601,$AH1410)&amp;" koli")</f>
        <v/>
      </c>
      <c r="Z1410">
        <f>IF($AG1410="","",Config!$B$21)</f>
        <v/>
      </c>
      <c r="AA1410">
        <f>IF($AG1410="","",Config!$B$22)</f>
        <v/>
      </c>
      <c r="AB1410">
        <f>IF($AH1410="","",INDEX(Calc!$D$2:$D$1601,$AH1410))</f>
        <v/>
      </c>
      <c r="AC1410">
        <f>IF($AH1410="","",INDEX(Calc!$G$2:$G$1601,$AH1410))</f>
        <v/>
      </c>
      <c r="AD1410">
        <f>IF($AG1410="","",Config!$B$23)</f>
        <v/>
      </c>
      <c r="AE1410">
        <f>IF($AG1410="","",Config!$B$28)</f>
        <v/>
      </c>
      <c r="AG1410">
        <f>IFERROR(MATCH(ROW()-1,Calc!$J$2:$J$1601,0),"")</f>
        <v/>
      </c>
      <c r="AH1410">
        <f>IFERROR(MATCH(ROW()-1,Calc!$K$2:$K$1601,0),"")</f>
        <v/>
      </c>
      <c r="AI1410">
        <f>IF($AG1410="","",SUMIF($AG$2:$AG1410,$AG1410,$AH$2:$AH1410))</f>
        <v/>
      </c>
      <c r="AJ1410">
        <f>IF('TMP Paste'!$F1410="","",IF('TMP Paste'!$B1410="",$AJ1409,'TMP Paste'!$B1410))</f>
        <v/>
      </c>
      <c r="AK1410">
        <f>IF('TMP Paste'!$F1410="","",N('TMP Paste'!$G1410))</f>
        <v/>
      </c>
      <c r="AL1410">
        <f>IF('TMP Paste'!$F1410="","",IF('TMP Paste'!$M1410="",$AL1409,'TMP Paste'!$M1410))</f>
        <v/>
      </c>
      <c r="AM1410">
        <f>IF('TMP Paste'!$F1410="","",IF('TMP Paste'!$N1410="",$AM1409,'TMP Paste'!$N1410))</f>
        <v/>
      </c>
      <c r="AN1410">
        <f>IF('TMP Paste'!$F1410="","",IF('TMP Paste'!$O1410="",$AN1409,'TMP Paste'!$O1410))</f>
        <v/>
      </c>
      <c r="AO1410">
        <f>IF('TMP Paste'!$F1410="","",IF('TMP Paste'!$P1410="",$AO1409,'TMP Paste'!$P1410))</f>
        <v/>
      </c>
      <c r="AP1410">
        <f>IF($AG1410="","",LEN($R1410))</f>
        <v/>
      </c>
      <c r="AQ1410">
        <f>IF($AG1410="","",TRIM(IF(COUNTIFS(Calc!$B$2:$B$1601,ROW()-1,Calc!$C$2:$C$1601,"&lt;1")&gt;0,"Ada PO tanpa Koli - cek TMP. ","")&amp;IF(LEN($R1410)&gt;500,"R &gt; 500 karakter.","")))</f>
        <v/>
      </c>
    </row>
    <row r="1411">
      <c r="A1411">
        <f>IF($AG1411="","",INDEX('TMP Paste'!$B$2:$B$1601,$AG1411))</f>
        <v/>
      </c>
      <c r="B1411">
        <f>IF($AG1411="","",Config!$B$14)</f>
        <v/>
      </c>
      <c r="C1411">
        <f>IF($AG1411="","",Config!$B$15)</f>
        <v/>
      </c>
      <c r="D1411">
        <f>IF($AG1411="","",INDEX('TMP Paste'!$B$2:$B$1601,$AG1411))</f>
        <v/>
      </c>
      <c r="E1411">
        <f>IF($AG1411="","",Config!$B$27)</f>
        <v/>
      </c>
      <c r="F1411">
        <f>IF($AG1411="","",Config!$B$9)</f>
        <v/>
      </c>
      <c r="G1411">
        <f>IF($AG1411="","",Config!$B$10)</f>
        <v/>
      </c>
      <c r="H1411">
        <f>IF($AG1411="","",Config!$B$11)</f>
        <v/>
      </c>
      <c r="I1411">
        <f>IF($AG1411="","",Config!$B$16)</f>
        <v/>
      </c>
      <c r="J1411">
        <f>IF($AG1411="","",INDEX('TMP Paste'!$A$2:$A$1601,$AG1411))</f>
        <v/>
      </c>
      <c r="K1411">
        <f>IF($AG1411="","",INDEX('TMP Paste'!$L$2:$L$1601,$AG1411))</f>
        <v/>
      </c>
      <c r="L1411">
        <f>IF($AG1411="","",INDEX('TMP Paste'!$I$2:$I$1601,$AG1411))</f>
        <v/>
      </c>
      <c r="M1411">
        <f>IF($AG1411="","",Config!$B$16)</f>
        <v/>
      </c>
      <c r="N1411">
        <f>IF($AG1411="","","")</f>
        <v/>
      </c>
      <c r="O1411">
        <f>IF($AG1411="","",INDEX('TMP Paste'!$K$2:$K$1601,$AG1411))</f>
        <v/>
      </c>
      <c r="P1411">
        <f>IF($AG1411="","","")</f>
        <v/>
      </c>
      <c r="Q1411">
        <f>IF($AG1411="","",INDEX('TMP Paste'!$J$2:$J$1601,$AG1411))</f>
        <v/>
      </c>
      <c r="R1411">
        <f>IF($AG1411="","",Config!$B$24)</f>
        <v/>
      </c>
      <c r="S1411">
        <f>IF($AG1411="","",TEXT(Config!$B$4,"yyyy-mm-dd"))</f>
        <v/>
      </c>
      <c r="T1411">
        <f>IF($AG1411="","",Config!$B$17)</f>
        <v/>
      </c>
      <c r="U1411">
        <f>IF($AG1411="","",Config!$B$18)</f>
        <v/>
      </c>
      <c r="V1411">
        <f>IF($AG1411="","",Config!$B$19)</f>
        <v/>
      </c>
      <c r="W1411">
        <f>IF($AG1411="","",INDEX('TMP Paste'!$C$2:$C$1601,$AG1411))</f>
        <v/>
      </c>
      <c r="X1411">
        <f>IF($AG1411="","",Config!$B$29)</f>
        <v/>
      </c>
      <c r="Y1411">
        <f>IF($AH1411="","",INDEX(Calc!$I$2:$I$1601,$AH1411)&amp;" - "&amp;INDEX(Calc!$D$2:$D$1601,$AH1411)&amp;" koli")</f>
        <v/>
      </c>
      <c r="Z1411">
        <f>IF($AG1411="","",Config!$B$21)</f>
        <v/>
      </c>
      <c r="AA1411">
        <f>IF($AG1411="","",Config!$B$22)</f>
        <v/>
      </c>
      <c r="AB1411">
        <f>IF($AH1411="","",INDEX(Calc!$D$2:$D$1601,$AH1411))</f>
        <v/>
      </c>
      <c r="AC1411">
        <f>IF($AH1411="","",INDEX(Calc!$G$2:$G$1601,$AH1411))</f>
        <v/>
      </c>
      <c r="AD1411">
        <f>IF($AG1411="","",Config!$B$23)</f>
        <v/>
      </c>
      <c r="AE1411">
        <f>IF($AG1411="","",Config!$B$28)</f>
        <v/>
      </c>
      <c r="AG1411">
        <f>IFERROR(MATCH(ROW()-1,Calc!$J$2:$J$1601,0),"")</f>
        <v/>
      </c>
      <c r="AH1411">
        <f>IFERROR(MATCH(ROW()-1,Calc!$K$2:$K$1601,0),"")</f>
        <v/>
      </c>
      <c r="AI1411">
        <f>IF($AG1411="","",SUMIF($AG$2:$AG1411,$AG1411,$AH$2:$AH1411))</f>
        <v/>
      </c>
      <c r="AJ1411">
        <f>IF('TMP Paste'!$F1411="","",IF('TMP Paste'!$B1411="",$AJ1410,'TMP Paste'!$B1411))</f>
        <v/>
      </c>
      <c r="AK1411">
        <f>IF('TMP Paste'!$F1411="","",N('TMP Paste'!$G1411))</f>
        <v/>
      </c>
      <c r="AL1411">
        <f>IF('TMP Paste'!$F1411="","",IF('TMP Paste'!$M1411="",$AL1410,'TMP Paste'!$M1411))</f>
        <v/>
      </c>
      <c r="AM1411">
        <f>IF('TMP Paste'!$F1411="","",IF('TMP Paste'!$N1411="",$AM1410,'TMP Paste'!$N1411))</f>
        <v/>
      </c>
      <c r="AN1411">
        <f>IF('TMP Paste'!$F1411="","",IF('TMP Paste'!$O1411="",$AN1410,'TMP Paste'!$O1411))</f>
        <v/>
      </c>
      <c r="AO1411">
        <f>IF('TMP Paste'!$F1411="","",IF('TMP Paste'!$P1411="",$AO1410,'TMP Paste'!$P1411))</f>
        <v/>
      </c>
      <c r="AP1411">
        <f>IF($AG1411="","",LEN($R1411))</f>
        <v/>
      </c>
      <c r="AQ1411">
        <f>IF($AG1411="","",TRIM(IF(COUNTIFS(Calc!$B$2:$B$1601,ROW()-1,Calc!$C$2:$C$1601,"&lt;1")&gt;0,"Ada PO tanpa Koli - cek TMP. ","")&amp;IF(LEN($R1411)&gt;500,"R &gt; 500 karakter.","")))</f>
        <v/>
      </c>
    </row>
    <row r="1412">
      <c r="A1412">
        <f>IF($AG1412="","",INDEX('TMP Paste'!$B$2:$B$1601,$AG1412))</f>
        <v/>
      </c>
      <c r="B1412">
        <f>IF($AG1412="","",Config!$B$14)</f>
        <v/>
      </c>
      <c r="C1412">
        <f>IF($AG1412="","",Config!$B$15)</f>
        <v/>
      </c>
      <c r="D1412">
        <f>IF($AG1412="","",INDEX('TMP Paste'!$B$2:$B$1601,$AG1412))</f>
        <v/>
      </c>
      <c r="E1412">
        <f>IF($AG1412="","",Config!$B$27)</f>
        <v/>
      </c>
      <c r="F1412">
        <f>IF($AG1412="","",Config!$B$9)</f>
        <v/>
      </c>
      <c r="G1412">
        <f>IF($AG1412="","",Config!$B$10)</f>
        <v/>
      </c>
      <c r="H1412">
        <f>IF($AG1412="","",Config!$B$11)</f>
        <v/>
      </c>
      <c r="I1412">
        <f>IF($AG1412="","",Config!$B$16)</f>
        <v/>
      </c>
      <c r="J1412">
        <f>IF($AG1412="","",INDEX('TMP Paste'!$A$2:$A$1601,$AG1412))</f>
        <v/>
      </c>
      <c r="K1412">
        <f>IF($AG1412="","",INDEX('TMP Paste'!$L$2:$L$1601,$AG1412))</f>
        <v/>
      </c>
      <c r="L1412">
        <f>IF($AG1412="","",INDEX('TMP Paste'!$I$2:$I$1601,$AG1412))</f>
        <v/>
      </c>
      <c r="M1412">
        <f>IF($AG1412="","",Config!$B$16)</f>
        <v/>
      </c>
      <c r="N1412">
        <f>IF($AG1412="","","")</f>
        <v/>
      </c>
      <c r="O1412">
        <f>IF($AG1412="","",INDEX('TMP Paste'!$K$2:$K$1601,$AG1412))</f>
        <v/>
      </c>
      <c r="P1412">
        <f>IF($AG1412="","","")</f>
        <v/>
      </c>
      <c r="Q1412">
        <f>IF($AG1412="","",INDEX('TMP Paste'!$J$2:$J$1601,$AG1412))</f>
        <v/>
      </c>
      <c r="R1412">
        <f>IF($AG1412="","",Config!$B$24)</f>
        <v/>
      </c>
      <c r="S1412">
        <f>IF($AG1412="","",TEXT(Config!$B$4,"yyyy-mm-dd"))</f>
        <v/>
      </c>
      <c r="T1412">
        <f>IF($AG1412="","",Config!$B$17)</f>
        <v/>
      </c>
      <c r="U1412">
        <f>IF($AG1412="","",Config!$B$18)</f>
        <v/>
      </c>
      <c r="V1412">
        <f>IF($AG1412="","",Config!$B$19)</f>
        <v/>
      </c>
      <c r="W1412">
        <f>IF($AG1412="","",INDEX('TMP Paste'!$C$2:$C$1601,$AG1412))</f>
        <v/>
      </c>
      <c r="X1412">
        <f>IF($AG1412="","",Config!$B$29)</f>
        <v/>
      </c>
      <c r="Y1412">
        <f>IF($AH1412="","",INDEX(Calc!$I$2:$I$1601,$AH1412)&amp;" - "&amp;INDEX(Calc!$D$2:$D$1601,$AH1412)&amp;" koli")</f>
        <v/>
      </c>
      <c r="Z1412">
        <f>IF($AG1412="","",Config!$B$21)</f>
        <v/>
      </c>
      <c r="AA1412">
        <f>IF($AG1412="","",Config!$B$22)</f>
        <v/>
      </c>
      <c r="AB1412">
        <f>IF($AH1412="","",INDEX(Calc!$D$2:$D$1601,$AH1412))</f>
        <v/>
      </c>
      <c r="AC1412">
        <f>IF($AH1412="","",INDEX(Calc!$G$2:$G$1601,$AH1412))</f>
        <v/>
      </c>
      <c r="AD1412">
        <f>IF($AG1412="","",Config!$B$23)</f>
        <v/>
      </c>
      <c r="AE1412">
        <f>IF($AG1412="","",Config!$B$28)</f>
        <v/>
      </c>
      <c r="AG1412">
        <f>IFERROR(MATCH(ROW()-1,Calc!$J$2:$J$1601,0),"")</f>
        <v/>
      </c>
      <c r="AH1412">
        <f>IFERROR(MATCH(ROW()-1,Calc!$K$2:$K$1601,0),"")</f>
        <v/>
      </c>
      <c r="AI1412">
        <f>IF($AG1412="","",SUMIF($AG$2:$AG1412,$AG1412,$AH$2:$AH1412))</f>
        <v/>
      </c>
      <c r="AJ1412">
        <f>IF('TMP Paste'!$F1412="","",IF('TMP Paste'!$B1412="",$AJ1411,'TMP Paste'!$B1412))</f>
        <v/>
      </c>
      <c r="AK1412">
        <f>IF('TMP Paste'!$F1412="","",N('TMP Paste'!$G1412))</f>
        <v/>
      </c>
      <c r="AL1412">
        <f>IF('TMP Paste'!$F1412="","",IF('TMP Paste'!$M1412="",$AL1411,'TMP Paste'!$M1412))</f>
        <v/>
      </c>
      <c r="AM1412">
        <f>IF('TMP Paste'!$F1412="","",IF('TMP Paste'!$N1412="",$AM1411,'TMP Paste'!$N1412))</f>
        <v/>
      </c>
      <c r="AN1412">
        <f>IF('TMP Paste'!$F1412="","",IF('TMP Paste'!$O1412="",$AN1411,'TMP Paste'!$O1412))</f>
        <v/>
      </c>
      <c r="AO1412">
        <f>IF('TMP Paste'!$F1412="","",IF('TMP Paste'!$P1412="",$AO1411,'TMP Paste'!$P1412))</f>
        <v/>
      </c>
      <c r="AP1412">
        <f>IF($AG1412="","",LEN($R1412))</f>
        <v/>
      </c>
      <c r="AQ1412">
        <f>IF($AG1412="","",TRIM(IF(COUNTIFS(Calc!$B$2:$B$1601,ROW()-1,Calc!$C$2:$C$1601,"&lt;1")&gt;0,"Ada PO tanpa Koli - cek TMP. ","")&amp;IF(LEN($R1412)&gt;500,"R &gt; 500 karakter.","")))</f>
        <v/>
      </c>
    </row>
    <row r="1413">
      <c r="A1413">
        <f>IF($AG1413="","",INDEX('TMP Paste'!$B$2:$B$1601,$AG1413))</f>
        <v/>
      </c>
      <c r="B1413">
        <f>IF($AG1413="","",Config!$B$14)</f>
        <v/>
      </c>
      <c r="C1413">
        <f>IF($AG1413="","",Config!$B$15)</f>
        <v/>
      </c>
      <c r="D1413">
        <f>IF($AG1413="","",INDEX('TMP Paste'!$B$2:$B$1601,$AG1413))</f>
        <v/>
      </c>
      <c r="E1413">
        <f>IF($AG1413="","",Config!$B$27)</f>
        <v/>
      </c>
      <c r="F1413">
        <f>IF($AG1413="","",Config!$B$9)</f>
        <v/>
      </c>
      <c r="G1413">
        <f>IF($AG1413="","",Config!$B$10)</f>
        <v/>
      </c>
      <c r="H1413">
        <f>IF($AG1413="","",Config!$B$11)</f>
        <v/>
      </c>
      <c r="I1413">
        <f>IF($AG1413="","",Config!$B$16)</f>
        <v/>
      </c>
      <c r="J1413">
        <f>IF($AG1413="","",INDEX('TMP Paste'!$A$2:$A$1601,$AG1413))</f>
        <v/>
      </c>
      <c r="K1413">
        <f>IF($AG1413="","",INDEX('TMP Paste'!$L$2:$L$1601,$AG1413))</f>
        <v/>
      </c>
      <c r="L1413">
        <f>IF($AG1413="","",INDEX('TMP Paste'!$I$2:$I$1601,$AG1413))</f>
        <v/>
      </c>
      <c r="M1413">
        <f>IF($AG1413="","",Config!$B$16)</f>
        <v/>
      </c>
      <c r="N1413">
        <f>IF($AG1413="","","")</f>
        <v/>
      </c>
      <c r="O1413">
        <f>IF($AG1413="","",INDEX('TMP Paste'!$K$2:$K$1601,$AG1413))</f>
        <v/>
      </c>
      <c r="P1413">
        <f>IF($AG1413="","","")</f>
        <v/>
      </c>
      <c r="Q1413">
        <f>IF($AG1413="","",INDEX('TMP Paste'!$J$2:$J$1601,$AG1413))</f>
        <v/>
      </c>
      <c r="R1413">
        <f>IF($AG1413="","",Config!$B$24)</f>
        <v/>
      </c>
      <c r="S1413">
        <f>IF($AG1413="","",TEXT(Config!$B$4,"yyyy-mm-dd"))</f>
        <v/>
      </c>
      <c r="T1413">
        <f>IF($AG1413="","",Config!$B$17)</f>
        <v/>
      </c>
      <c r="U1413">
        <f>IF($AG1413="","",Config!$B$18)</f>
        <v/>
      </c>
      <c r="V1413">
        <f>IF($AG1413="","",Config!$B$19)</f>
        <v/>
      </c>
      <c r="W1413">
        <f>IF($AG1413="","",INDEX('TMP Paste'!$C$2:$C$1601,$AG1413))</f>
        <v/>
      </c>
      <c r="X1413">
        <f>IF($AG1413="","",Config!$B$29)</f>
        <v/>
      </c>
      <c r="Y1413">
        <f>IF($AH1413="","",INDEX(Calc!$I$2:$I$1601,$AH1413)&amp;" - "&amp;INDEX(Calc!$D$2:$D$1601,$AH1413)&amp;" koli")</f>
        <v/>
      </c>
      <c r="Z1413">
        <f>IF($AG1413="","",Config!$B$21)</f>
        <v/>
      </c>
      <c r="AA1413">
        <f>IF($AG1413="","",Config!$B$22)</f>
        <v/>
      </c>
      <c r="AB1413">
        <f>IF($AH1413="","",INDEX(Calc!$D$2:$D$1601,$AH1413))</f>
        <v/>
      </c>
      <c r="AC1413">
        <f>IF($AH1413="","",INDEX(Calc!$G$2:$G$1601,$AH1413))</f>
        <v/>
      </c>
      <c r="AD1413">
        <f>IF($AG1413="","",Config!$B$23)</f>
        <v/>
      </c>
      <c r="AE1413">
        <f>IF($AG1413="","",Config!$B$28)</f>
        <v/>
      </c>
      <c r="AG1413">
        <f>IFERROR(MATCH(ROW()-1,Calc!$J$2:$J$1601,0),"")</f>
        <v/>
      </c>
      <c r="AH1413">
        <f>IFERROR(MATCH(ROW()-1,Calc!$K$2:$K$1601,0),"")</f>
        <v/>
      </c>
      <c r="AI1413">
        <f>IF($AG1413="","",SUMIF($AG$2:$AG1413,$AG1413,$AH$2:$AH1413))</f>
        <v/>
      </c>
      <c r="AJ1413">
        <f>IF('TMP Paste'!$F1413="","",IF('TMP Paste'!$B1413="",$AJ1412,'TMP Paste'!$B1413))</f>
        <v/>
      </c>
      <c r="AK1413">
        <f>IF('TMP Paste'!$F1413="","",N('TMP Paste'!$G1413))</f>
        <v/>
      </c>
      <c r="AL1413">
        <f>IF('TMP Paste'!$F1413="","",IF('TMP Paste'!$M1413="",$AL1412,'TMP Paste'!$M1413))</f>
        <v/>
      </c>
      <c r="AM1413">
        <f>IF('TMP Paste'!$F1413="","",IF('TMP Paste'!$N1413="",$AM1412,'TMP Paste'!$N1413))</f>
        <v/>
      </c>
      <c r="AN1413">
        <f>IF('TMP Paste'!$F1413="","",IF('TMP Paste'!$O1413="",$AN1412,'TMP Paste'!$O1413))</f>
        <v/>
      </c>
      <c r="AO1413">
        <f>IF('TMP Paste'!$F1413="","",IF('TMP Paste'!$P1413="",$AO1412,'TMP Paste'!$P1413))</f>
        <v/>
      </c>
      <c r="AP1413">
        <f>IF($AG1413="","",LEN($R1413))</f>
        <v/>
      </c>
      <c r="AQ1413">
        <f>IF($AG1413="","",TRIM(IF(COUNTIFS(Calc!$B$2:$B$1601,ROW()-1,Calc!$C$2:$C$1601,"&lt;1")&gt;0,"Ada PO tanpa Koli - cek TMP. ","")&amp;IF(LEN($R1413)&gt;500,"R &gt; 500 karakter.","")))</f>
        <v/>
      </c>
    </row>
    <row r="1414">
      <c r="A1414">
        <f>IF($AG1414="","",INDEX('TMP Paste'!$B$2:$B$1601,$AG1414))</f>
        <v/>
      </c>
      <c r="B1414">
        <f>IF($AG1414="","",Config!$B$14)</f>
        <v/>
      </c>
      <c r="C1414">
        <f>IF($AG1414="","",Config!$B$15)</f>
        <v/>
      </c>
      <c r="D1414">
        <f>IF($AG1414="","",INDEX('TMP Paste'!$B$2:$B$1601,$AG1414))</f>
        <v/>
      </c>
      <c r="E1414">
        <f>IF($AG1414="","",Config!$B$27)</f>
        <v/>
      </c>
      <c r="F1414">
        <f>IF($AG1414="","",Config!$B$9)</f>
        <v/>
      </c>
      <c r="G1414">
        <f>IF($AG1414="","",Config!$B$10)</f>
        <v/>
      </c>
      <c r="H1414">
        <f>IF($AG1414="","",Config!$B$11)</f>
        <v/>
      </c>
      <c r="I1414">
        <f>IF($AG1414="","",Config!$B$16)</f>
        <v/>
      </c>
      <c r="J1414">
        <f>IF($AG1414="","",INDEX('TMP Paste'!$A$2:$A$1601,$AG1414))</f>
        <v/>
      </c>
      <c r="K1414">
        <f>IF($AG1414="","",INDEX('TMP Paste'!$L$2:$L$1601,$AG1414))</f>
        <v/>
      </c>
      <c r="L1414">
        <f>IF($AG1414="","",INDEX('TMP Paste'!$I$2:$I$1601,$AG1414))</f>
        <v/>
      </c>
      <c r="M1414">
        <f>IF($AG1414="","",Config!$B$16)</f>
        <v/>
      </c>
      <c r="N1414">
        <f>IF($AG1414="","","")</f>
        <v/>
      </c>
      <c r="O1414">
        <f>IF($AG1414="","",INDEX('TMP Paste'!$K$2:$K$1601,$AG1414))</f>
        <v/>
      </c>
      <c r="P1414">
        <f>IF($AG1414="","","")</f>
        <v/>
      </c>
      <c r="Q1414">
        <f>IF($AG1414="","",INDEX('TMP Paste'!$J$2:$J$1601,$AG1414))</f>
        <v/>
      </c>
      <c r="R1414">
        <f>IF($AG1414="","",Config!$B$24)</f>
        <v/>
      </c>
      <c r="S1414">
        <f>IF($AG1414="","",TEXT(Config!$B$4,"yyyy-mm-dd"))</f>
        <v/>
      </c>
      <c r="T1414">
        <f>IF($AG1414="","",Config!$B$17)</f>
        <v/>
      </c>
      <c r="U1414">
        <f>IF($AG1414="","",Config!$B$18)</f>
        <v/>
      </c>
      <c r="V1414">
        <f>IF($AG1414="","",Config!$B$19)</f>
        <v/>
      </c>
      <c r="W1414">
        <f>IF($AG1414="","",INDEX('TMP Paste'!$C$2:$C$1601,$AG1414))</f>
        <v/>
      </c>
      <c r="X1414">
        <f>IF($AG1414="","",Config!$B$29)</f>
        <v/>
      </c>
      <c r="Y1414">
        <f>IF($AH1414="","",INDEX(Calc!$I$2:$I$1601,$AH1414)&amp;" - "&amp;INDEX(Calc!$D$2:$D$1601,$AH1414)&amp;" koli")</f>
        <v/>
      </c>
      <c r="Z1414">
        <f>IF($AG1414="","",Config!$B$21)</f>
        <v/>
      </c>
      <c r="AA1414">
        <f>IF($AG1414="","",Config!$B$22)</f>
        <v/>
      </c>
      <c r="AB1414">
        <f>IF($AH1414="","",INDEX(Calc!$D$2:$D$1601,$AH1414))</f>
        <v/>
      </c>
      <c r="AC1414">
        <f>IF($AH1414="","",INDEX(Calc!$G$2:$G$1601,$AH1414))</f>
        <v/>
      </c>
      <c r="AD1414">
        <f>IF($AG1414="","",Config!$B$23)</f>
        <v/>
      </c>
      <c r="AE1414">
        <f>IF($AG1414="","",Config!$B$28)</f>
        <v/>
      </c>
      <c r="AG1414">
        <f>IFERROR(MATCH(ROW()-1,Calc!$J$2:$J$1601,0),"")</f>
        <v/>
      </c>
      <c r="AH1414">
        <f>IFERROR(MATCH(ROW()-1,Calc!$K$2:$K$1601,0),"")</f>
        <v/>
      </c>
      <c r="AI1414">
        <f>IF($AG1414="","",SUMIF($AG$2:$AG1414,$AG1414,$AH$2:$AH1414))</f>
        <v/>
      </c>
      <c r="AJ1414">
        <f>IF('TMP Paste'!$F1414="","",IF('TMP Paste'!$B1414="",$AJ1413,'TMP Paste'!$B1414))</f>
        <v/>
      </c>
      <c r="AK1414">
        <f>IF('TMP Paste'!$F1414="","",N('TMP Paste'!$G1414))</f>
        <v/>
      </c>
      <c r="AL1414">
        <f>IF('TMP Paste'!$F1414="","",IF('TMP Paste'!$M1414="",$AL1413,'TMP Paste'!$M1414))</f>
        <v/>
      </c>
      <c r="AM1414">
        <f>IF('TMP Paste'!$F1414="","",IF('TMP Paste'!$N1414="",$AM1413,'TMP Paste'!$N1414))</f>
        <v/>
      </c>
      <c r="AN1414">
        <f>IF('TMP Paste'!$F1414="","",IF('TMP Paste'!$O1414="",$AN1413,'TMP Paste'!$O1414))</f>
        <v/>
      </c>
      <c r="AO1414">
        <f>IF('TMP Paste'!$F1414="","",IF('TMP Paste'!$P1414="",$AO1413,'TMP Paste'!$P1414))</f>
        <v/>
      </c>
      <c r="AP1414">
        <f>IF($AG1414="","",LEN($R1414))</f>
        <v/>
      </c>
      <c r="AQ1414">
        <f>IF($AG1414="","",TRIM(IF(COUNTIFS(Calc!$B$2:$B$1601,ROW()-1,Calc!$C$2:$C$1601,"&lt;1")&gt;0,"Ada PO tanpa Koli - cek TMP. ","")&amp;IF(LEN($R1414)&gt;500,"R &gt; 500 karakter.","")))</f>
        <v/>
      </c>
    </row>
    <row r="1415">
      <c r="A1415">
        <f>IF($AG1415="","",INDEX('TMP Paste'!$B$2:$B$1601,$AG1415))</f>
        <v/>
      </c>
      <c r="B1415">
        <f>IF($AG1415="","",Config!$B$14)</f>
        <v/>
      </c>
      <c r="C1415">
        <f>IF($AG1415="","",Config!$B$15)</f>
        <v/>
      </c>
      <c r="D1415">
        <f>IF($AG1415="","",INDEX('TMP Paste'!$B$2:$B$1601,$AG1415))</f>
        <v/>
      </c>
      <c r="E1415">
        <f>IF($AG1415="","",Config!$B$27)</f>
        <v/>
      </c>
      <c r="F1415">
        <f>IF($AG1415="","",Config!$B$9)</f>
        <v/>
      </c>
      <c r="G1415">
        <f>IF($AG1415="","",Config!$B$10)</f>
        <v/>
      </c>
      <c r="H1415">
        <f>IF($AG1415="","",Config!$B$11)</f>
        <v/>
      </c>
      <c r="I1415">
        <f>IF($AG1415="","",Config!$B$16)</f>
        <v/>
      </c>
      <c r="J1415">
        <f>IF($AG1415="","",INDEX('TMP Paste'!$A$2:$A$1601,$AG1415))</f>
        <v/>
      </c>
      <c r="K1415">
        <f>IF($AG1415="","",INDEX('TMP Paste'!$L$2:$L$1601,$AG1415))</f>
        <v/>
      </c>
      <c r="L1415">
        <f>IF($AG1415="","",INDEX('TMP Paste'!$I$2:$I$1601,$AG1415))</f>
        <v/>
      </c>
      <c r="M1415">
        <f>IF($AG1415="","",Config!$B$16)</f>
        <v/>
      </c>
      <c r="N1415">
        <f>IF($AG1415="","","")</f>
        <v/>
      </c>
      <c r="O1415">
        <f>IF($AG1415="","",INDEX('TMP Paste'!$K$2:$K$1601,$AG1415))</f>
        <v/>
      </c>
      <c r="P1415">
        <f>IF($AG1415="","","")</f>
        <v/>
      </c>
      <c r="Q1415">
        <f>IF($AG1415="","",INDEX('TMP Paste'!$J$2:$J$1601,$AG1415))</f>
        <v/>
      </c>
      <c r="R1415">
        <f>IF($AG1415="","",Config!$B$24)</f>
        <v/>
      </c>
      <c r="S1415">
        <f>IF($AG1415="","",TEXT(Config!$B$4,"yyyy-mm-dd"))</f>
        <v/>
      </c>
      <c r="T1415">
        <f>IF($AG1415="","",Config!$B$17)</f>
        <v/>
      </c>
      <c r="U1415">
        <f>IF($AG1415="","",Config!$B$18)</f>
        <v/>
      </c>
      <c r="V1415">
        <f>IF($AG1415="","",Config!$B$19)</f>
        <v/>
      </c>
      <c r="W1415">
        <f>IF($AG1415="","",INDEX('TMP Paste'!$C$2:$C$1601,$AG1415))</f>
        <v/>
      </c>
      <c r="X1415">
        <f>IF($AG1415="","",Config!$B$29)</f>
        <v/>
      </c>
      <c r="Y1415">
        <f>IF($AH1415="","",INDEX(Calc!$I$2:$I$1601,$AH1415)&amp;" - "&amp;INDEX(Calc!$D$2:$D$1601,$AH1415)&amp;" koli")</f>
        <v/>
      </c>
      <c r="Z1415">
        <f>IF($AG1415="","",Config!$B$21)</f>
        <v/>
      </c>
      <c r="AA1415">
        <f>IF($AG1415="","",Config!$B$22)</f>
        <v/>
      </c>
      <c r="AB1415">
        <f>IF($AH1415="","",INDEX(Calc!$D$2:$D$1601,$AH1415))</f>
        <v/>
      </c>
      <c r="AC1415">
        <f>IF($AH1415="","",INDEX(Calc!$G$2:$G$1601,$AH1415))</f>
        <v/>
      </c>
      <c r="AD1415">
        <f>IF($AG1415="","",Config!$B$23)</f>
        <v/>
      </c>
      <c r="AE1415">
        <f>IF($AG1415="","",Config!$B$28)</f>
        <v/>
      </c>
      <c r="AG1415">
        <f>IFERROR(MATCH(ROW()-1,Calc!$J$2:$J$1601,0),"")</f>
        <v/>
      </c>
      <c r="AH1415">
        <f>IFERROR(MATCH(ROW()-1,Calc!$K$2:$K$1601,0),"")</f>
        <v/>
      </c>
      <c r="AI1415">
        <f>IF($AG1415="","",SUMIF($AG$2:$AG1415,$AG1415,$AH$2:$AH1415))</f>
        <v/>
      </c>
      <c r="AJ1415">
        <f>IF('TMP Paste'!$F1415="","",IF('TMP Paste'!$B1415="",$AJ1414,'TMP Paste'!$B1415))</f>
        <v/>
      </c>
      <c r="AK1415">
        <f>IF('TMP Paste'!$F1415="","",N('TMP Paste'!$G1415))</f>
        <v/>
      </c>
      <c r="AL1415">
        <f>IF('TMP Paste'!$F1415="","",IF('TMP Paste'!$M1415="",$AL1414,'TMP Paste'!$M1415))</f>
        <v/>
      </c>
      <c r="AM1415">
        <f>IF('TMP Paste'!$F1415="","",IF('TMP Paste'!$N1415="",$AM1414,'TMP Paste'!$N1415))</f>
        <v/>
      </c>
      <c r="AN1415">
        <f>IF('TMP Paste'!$F1415="","",IF('TMP Paste'!$O1415="",$AN1414,'TMP Paste'!$O1415))</f>
        <v/>
      </c>
      <c r="AO1415">
        <f>IF('TMP Paste'!$F1415="","",IF('TMP Paste'!$P1415="",$AO1414,'TMP Paste'!$P1415))</f>
        <v/>
      </c>
      <c r="AP1415">
        <f>IF($AG1415="","",LEN($R1415))</f>
        <v/>
      </c>
      <c r="AQ1415">
        <f>IF($AG1415="","",TRIM(IF(COUNTIFS(Calc!$B$2:$B$1601,ROW()-1,Calc!$C$2:$C$1601,"&lt;1")&gt;0,"Ada PO tanpa Koli - cek TMP. ","")&amp;IF(LEN($R1415)&gt;500,"R &gt; 500 karakter.","")))</f>
        <v/>
      </c>
    </row>
    <row r="1416">
      <c r="A1416">
        <f>IF($AG1416="","",INDEX('TMP Paste'!$B$2:$B$1601,$AG1416))</f>
        <v/>
      </c>
      <c r="B1416">
        <f>IF($AG1416="","",Config!$B$14)</f>
        <v/>
      </c>
      <c r="C1416">
        <f>IF($AG1416="","",Config!$B$15)</f>
        <v/>
      </c>
      <c r="D1416">
        <f>IF($AG1416="","",INDEX('TMP Paste'!$B$2:$B$1601,$AG1416))</f>
        <v/>
      </c>
      <c r="E1416">
        <f>IF($AG1416="","",Config!$B$27)</f>
        <v/>
      </c>
      <c r="F1416">
        <f>IF($AG1416="","",Config!$B$9)</f>
        <v/>
      </c>
      <c r="G1416">
        <f>IF($AG1416="","",Config!$B$10)</f>
        <v/>
      </c>
      <c r="H1416">
        <f>IF($AG1416="","",Config!$B$11)</f>
        <v/>
      </c>
      <c r="I1416">
        <f>IF($AG1416="","",Config!$B$16)</f>
        <v/>
      </c>
      <c r="J1416">
        <f>IF($AG1416="","",INDEX('TMP Paste'!$A$2:$A$1601,$AG1416))</f>
        <v/>
      </c>
      <c r="K1416">
        <f>IF($AG1416="","",INDEX('TMP Paste'!$L$2:$L$1601,$AG1416))</f>
        <v/>
      </c>
      <c r="L1416">
        <f>IF($AG1416="","",INDEX('TMP Paste'!$I$2:$I$1601,$AG1416))</f>
        <v/>
      </c>
      <c r="M1416">
        <f>IF($AG1416="","",Config!$B$16)</f>
        <v/>
      </c>
      <c r="N1416">
        <f>IF($AG1416="","","")</f>
        <v/>
      </c>
      <c r="O1416">
        <f>IF($AG1416="","",INDEX('TMP Paste'!$K$2:$K$1601,$AG1416))</f>
        <v/>
      </c>
      <c r="P1416">
        <f>IF($AG1416="","","")</f>
        <v/>
      </c>
      <c r="Q1416">
        <f>IF($AG1416="","",INDEX('TMP Paste'!$J$2:$J$1601,$AG1416))</f>
        <v/>
      </c>
      <c r="R1416">
        <f>IF($AG1416="","",Config!$B$24)</f>
        <v/>
      </c>
      <c r="S1416">
        <f>IF($AG1416="","",TEXT(Config!$B$4,"yyyy-mm-dd"))</f>
        <v/>
      </c>
      <c r="T1416">
        <f>IF($AG1416="","",Config!$B$17)</f>
        <v/>
      </c>
      <c r="U1416">
        <f>IF($AG1416="","",Config!$B$18)</f>
        <v/>
      </c>
      <c r="V1416">
        <f>IF($AG1416="","",Config!$B$19)</f>
        <v/>
      </c>
      <c r="W1416">
        <f>IF($AG1416="","",INDEX('TMP Paste'!$C$2:$C$1601,$AG1416))</f>
        <v/>
      </c>
      <c r="X1416">
        <f>IF($AG1416="","",Config!$B$29)</f>
        <v/>
      </c>
      <c r="Y1416">
        <f>IF($AH1416="","",INDEX(Calc!$I$2:$I$1601,$AH1416)&amp;" - "&amp;INDEX(Calc!$D$2:$D$1601,$AH1416)&amp;" koli")</f>
        <v/>
      </c>
      <c r="Z1416">
        <f>IF($AG1416="","",Config!$B$21)</f>
        <v/>
      </c>
      <c r="AA1416">
        <f>IF($AG1416="","",Config!$B$22)</f>
        <v/>
      </c>
      <c r="AB1416">
        <f>IF($AH1416="","",INDEX(Calc!$D$2:$D$1601,$AH1416))</f>
        <v/>
      </c>
      <c r="AC1416">
        <f>IF($AH1416="","",INDEX(Calc!$G$2:$G$1601,$AH1416))</f>
        <v/>
      </c>
      <c r="AD1416">
        <f>IF($AG1416="","",Config!$B$23)</f>
        <v/>
      </c>
      <c r="AE1416">
        <f>IF($AG1416="","",Config!$B$28)</f>
        <v/>
      </c>
      <c r="AG1416">
        <f>IFERROR(MATCH(ROW()-1,Calc!$J$2:$J$1601,0),"")</f>
        <v/>
      </c>
      <c r="AH1416">
        <f>IFERROR(MATCH(ROW()-1,Calc!$K$2:$K$1601,0),"")</f>
        <v/>
      </c>
      <c r="AI1416">
        <f>IF($AG1416="","",SUMIF($AG$2:$AG1416,$AG1416,$AH$2:$AH1416))</f>
        <v/>
      </c>
      <c r="AJ1416">
        <f>IF('TMP Paste'!$F1416="","",IF('TMP Paste'!$B1416="",$AJ1415,'TMP Paste'!$B1416))</f>
        <v/>
      </c>
      <c r="AK1416">
        <f>IF('TMP Paste'!$F1416="","",N('TMP Paste'!$G1416))</f>
        <v/>
      </c>
      <c r="AL1416">
        <f>IF('TMP Paste'!$F1416="","",IF('TMP Paste'!$M1416="",$AL1415,'TMP Paste'!$M1416))</f>
        <v/>
      </c>
      <c r="AM1416">
        <f>IF('TMP Paste'!$F1416="","",IF('TMP Paste'!$N1416="",$AM1415,'TMP Paste'!$N1416))</f>
        <v/>
      </c>
      <c r="AN1416">
        <f>IF('TMP Paste'!$F1416="","",IF('TMP Paste'!$O1416="",$AN1415,'TMP Paste'!$O1416))</f>
        <v/>
      </c>
      <c r="AO1416">
        <f>IF('TMP Paste'!$F1416="","",IF('TMP Paste'!$P1416="",$AO1415,'TMP Paste'!$P1416))</f>
        <v/>
      </c>
      <c r="AP1416">
        <f>IF($AG1416="","",LEN($R1416))</f>
        <v/>
      </c>
      <c r="AQ1416">
        <f>IF($AG1416="","",TRIM(IF(COUNTIFS(Calc!$B$2:$B$1601,ROW()-1,Calc!$C$2:$C$1601,"&lt;1")&gt;0,"Ada PO tanpa Koli - cek TMP. ","")&amp;IF(LEN($R1416)&gt;500,"R &gt; 500 karakter.","")))</f>
        <v/>
      </c>
    </row>
    <row r="1417">
      <c r="A1417">
        <f>IF($AG1417="","",INDEX('TMP Paste'!$B$2:$B$1601,$AG1417))</f>
        <v/>
      </c>
      <c r="B1417">
        <f>IF($AG1417="","",Config!$B$14)</f>
        <v/>
      </c>
      <c r="C1417">
        <f>IF($AG1417="","",Config!$B$15)</f>
        <v/>
      </c>
      <c r="D1417">
        <f>IF($AG1417="","",INDEX('TMP Paste'!$B$2:$B$1601,$AG1417))</f>
        <v/>
      </c>
      <c r="E1417">
        <f>IF($AG1417="","",Config!$B$27)</f>
        <v/>
      </c>
      <c r="F1417">
        <f>IF($AG1417="","",Config!$B$9)</f>
        <v/>
      </c>
      <c r="G1417">
        <f>IF($AG1417="","",Config!$B$10)</f>
        <v/>
      </c>
      <c r="H1417">
        <f>IF($AG1417="","",Config!$B$11)</f>
        <v/>
      </c>
      <c r="I1417">
        <f>IF($AG1417="","",Config!$B$16)</f>
        <v/>
      </c>
      <c r="J1417">
        <f>IF($AG1417="","",INDEX('TMP Paste'!$A$2:$A$1601,$AG1417))</f>
        <v/>
      </c>
      <c r="K1417">
        <f>IF($AG1417="","",INDEX('TMP Paste'!$L$2:$L$1601,$AG1417))</f>
        <v/>
      </c>
      <c r="L1417">
        <f>IF($AG1417="","",INDEX('TMP Paste'!$I$2:$I$1601,$AG1417))</f>
        <v/>
      </c>
      <c r="M1417">
        <f>IF($AG1417="","",Config!$B$16)</f>
        <v/>
      </c>
      <c r="N1417">
        <f>IF($AG1417="","","")</f>
        <v/>
      </c>
      <c r="O1417">
        <f>IF($AG1417="","",INDEX('TMP Paste'!$K$2:$K$1601,$AG1417))</f>
        <v/>
      </c>
      <c r="P1417">
        <f>IF($AG1417="","","")</f>
        <v/>
      </c>
      <c r="Q1417">
        <f>IF($AG1417="","",INDEX('TMP Paste'!$J$2:$J$1601,$AG1417))</f>
        <v/>
      </c>
      <c r="R1417">
        <f>IF($AG1417="","",Config!$B$24)</f>
        <v/>
      </c>
      <c r="S1417">
        <f>IF($AG1417="","",TEXT(Config!$B$4,"yyyy-mm-dd"))</f>
        <v/>
      </c>
      <c r="T1417">
        <f>IF($AG1417="","",Config!$B$17)</f>
        <v/>
      </c>
      <c r="U1417">
        <f>IF($AG1417="","",Config!$B$18)</f>
        <v/>
      </c>
      <c r="V1417">
        <f>IF($AG1417="","",Config!$B$19)</f>
        <v/>
      </c>
      <c r="W1417">
        <f>IF($AG1417="","",INDEX('TMP Paste'!$C$2:$C$1601,$AG1417))</f>
        <v/>
      </c>
      <c r="X1417">
        <f>IF($AG1417="","",Config!$B$29)</f>
        <v/>
      </c>
      <c r="Y1417">
        <f>IF($AH1417="","",INDEX(Calc!$I$2:$I$1601,$AH1417)&amp;" - "&amp;INDEX(Calc!$D$2:$D$1601,$AH1417)&amp;" koli")</f>
        <v/>
      </c>
      <c r="Z1417">
        <f>IF($AG1417="","",Config!$B$21)</f>
        <v/>
      </c>
      <c r="AA1417">
        <f>IF($AG1417="","",Config!$B$22)</f>
        <v/>
      </c>
      <c r="AB1417">
        <f>IF($AH1417="","",INDEX(Calc!$D$2:$D$1601,$AH1417))</f>
        <v/>
      </c>
      <c r="AC1417">
        <f>IF($AH1417="","",INDEX(Calc!$G$2:$G$1601,$AH1417))</f>
        <v/>
      </c>
      <c r="AD1417">
        <f>IF($AG1417="","",Config!$B$23)</f>
        <v/>
      </c>
      <c r="AE1417">
        <f>IF($AG1417="","",Config!$B$28)</f>
        <v/>
      </c>
      <c r="AG1417">
        <f>IFERROR(MATCH(ROW()-1,Calc!$J$2:$J$1601,0),"")</f>
        <v/>
      </c>
      <c r="AH1417">
        <f>IFERROR(MATCH(ROW()-1,Calc!$K$2:$K$1601,0),"")</f>
        <v/>
      </c>
      <c r="AI1417">
        <f>IF($AG1417="","",SUMIF($AG$2:$AG1417,$AG1417,$AH$2:$AH1417))</f>
        <v/>
      </c>
      <c r="AJ1417">
        <f>IF('TMP Paste'!$F1417="","",IF('TMP Paste'!$B1417="",$AJ1416,'TMP Paste'!$B1417))</f>
        <v/>
      </c>
      <c r="AK1417">
        <f>IF('TMP Paste'!$F1417="","",N('TMP Paste'!$G1417))</f>
        <v/>
      </c>
      <c r="AL1417">
        <f>IF('TMP Paste'!$F1417="","",IF('TMP Paste'!$M1417="",$AL1416,'TMP Paste'!$M1417))</f>
        <v/>
      </c>
      <c r="AM1417">
        <f>IF('TMP Paste'!$F1417="","",IF('TMP Paste'!$N1417="",$AM1416,'TMP Paste'!$N1417))</f>
        <v/>
      </c>
      <c r="AN1417">
        <f>IF('TMP Paste'!$F1417="","",IF('TMP Paste'!$O1417="",$AN1416,'TMP Paste'!$O1417))</f>
        <v/>
      </c>
      <c r="AO1417">
        <f>IF('TMP Paste'!$F1417="","",IF('TMP Paste'!$P1417="",$AO1416,'TMP Paste'!$P1417))</f>
        <v/>
      </c>
      <c r="AP1417">
        <f>IF($AG1417="","",LEN($R1417))</f>
        <v/>
      </c>
      <c r="AQ1417">
        <f>IF($AG1417="","",TRIM(IF(COUNTIFS(Calc!$B$2:$B$1601,ROW()-1,Calc!$C$2:$C$1601,"&lt;1")&gt;0,"Ada PO tanpa Koli - cek TMP. ","")&amp;IF(LEN($R1417)&gt;500,"R &gt; 500 karakter.","")))</f>
        <v/>
      </c>
    </row>
    <row r="1418">
      <c r="A1418">
        <f>IF($AG1418="","",INDEX('TMP Paste'!$B$2:$B$1601,$AG1418))</f>
        <v/>
      </c>
      <c r="B1418">
        <f>IF($AG1418="","",Config!$B$14)</f>
        <v/>
      </c>
      <c r="C1418">
        <f>IF($AG1418="","",Config!$B$15)</f>
        <v/>
      </c>
      <c r="D1418">
        <f>IF($AG1418="","",INDEX('TMP Paste'!$B$2:$B$1601,$AG1418))</f>
        <v/>
      </c>
      <c r="E1418">
        <f>IF($AG1418="","",Config!$B$27)</f>
        <v/>
      </c>
      <c r="F1418">
        <f>IF($AG1418="","",Config!$B$9)</f>
        <v/>
      </c>
      <c r="G1418">
        <f>IF($AG1418="","",Config!$B$10)</f>
        <v/>
      </c>
      <c r="H1418">
        <f>IF($AG1418="","",Config!$B$11)</f>
        <v/>
      </c>
      <c r="I1418">
        <f>IF($AG1418="","",Config!$B$16)</f>
        <v/>
      </c>
      <c r="J1418">
        <f>IF($AG1418="","",INDEX('TMP Paste'!$A$2:$A$1601,$AG1418))</f>
        <v/>
      </c>
      <c r="K1418">
        <f>IF($AG1418="","",INDEX('TMP Paste'!$L$2:$L$1601,$AG1418))</f>
        <v/>
      </c>
      <c r="L1418">
        <f>IF($AG1418="","",INDEX('TMP Paste'!$I$2:$I$1601,$AG1418))</f>
        <v/>
      </c>
      <c r="M1418">
        <f>IF($AG1418="","",Config!$B$16)</f>
        <v/>
      </c>
      <c r="N1418">
        <f>IF($AG1418="","","")</f>
        <v/>
      </c>
      <c r="O1418">
        <f>IF($AG1418="","",INDEX('TMP Paste'!$K$2:$K$1601,$AG1418))</f>
        <v/>
      </c>
      <c r="P1418">
        <f>IF($AG1418="","","")</f>
        <v/>
      </c>
      <c r="Q1418">
        <f>IF($AG1418="","",INDEX('TMP Paste'!$J$2:$J$1601,$AG1418))</f>
        <v/>
      </c>
      <c r="R1418">
        <f>IF($AG1418="","",Config!$B$24)</f>
        <v/>
      </c>
      <c r="S1418">
        <f>IF($AG1418="","",TEXT(Config!$B$4,"yyyy-mm-dd"))</f>
        <v/>
      </c>
      <c r="T1418">
        <f>IF($AG1418="","",Config!$B$17)</f>
        <v/>
      </c>
      <c r="U1418">
        <f>IF($AG1418="","",Config!$B$18)</f>
        <v/>
      </c>
      <c r="V1418">
        <f>IF($AG1418="","",Config!$B$19)</f>
        <v/>
      </c>
      <c r="W1418">
        <f>IF($AG1418="","",INDEX('TMP Paste'!$C$2:$C$1601,$AG1418))</f>
        <v/>
      </c>
      <c r="X1418">
        <f>IF($AG1418="","",Config!$B$29)</f>
        <v/>
      </c>
      <c r="Y1418">
        <f>IF($AH1418="","",INDEX(Calc!$I$2:$I$1601,$AH1418)&amp;" - "&amp;INDEX(Calc!$D$2:$D$1601,$AH1418)&amp;" koli")</f>
        <v/>
      </c>
      <c r="Z1418">
        <f>IF($AG1418="","",Config!$B$21)</f>
        <v/>
      </c>
      <c r="AA1418">
        <f>IF($AG1418="","",Config!$B$22)</f>
        <v/>
      </c>
      <c r="AB1418">
        <f>IF($AH1418="","",INDEX(Calc!$D$2:$D$1601,$AH1418))</f>
        <v/>
      </c>
      <c r="AC1418">
        <f>IF($AH1418="","",INDEX(Calc!$G$2:$G$1601,$AH1418))</f>
        <v/>
      </c>
      <c r="AD1418">
        <f>IF($AG1418="","",Config!$B$23)</f>
        <v/>
      </c>
      <c r="AE1418">
        <f>IF($AG1418="","",Config!$B$28)</f>
        <v/>
      </c>
      <c r="AG1418">
        <f>IFERROR(MATCH(ROW()-1,Calc!$J$2:$J$1601,0),"")</f>
        <v/>
      </c>
      <c r="AH1418">
        <f>IFERROR(MATCH(ROW()-1,Calc!$K$2:$K$1601,0),"")</f>
        <v/>
      </c>
      <c r="AI1418">
        <f>IF($AG1418="","",SUMIF($AG$2:$AG1418,$AG1418,$AH$2:$AH1418))</f>
        <v/>
      </c>
      <c r="AJ1418">
        <f>IF('TMP Paste'!$F1418="","",IF('TMP Paste'!$B1418="",$AJ1417,'TMP Paste'!$B1418))</f>
        <v/>
      </c>
      <c r="AK1418">
        <f>IF('TMP Paste'!$F1418="","",N('TMP Paste'!$G1418))</f>
        <v/>
      </c>
      <c r="AL1418">
        <f>IF('TMP Paste'!$F1418="","",IF('TMP Paste'!$M1418="",$AL1417,'TMP Paste'!$M1418))</f>
        <v/>
      </c>
      <c r="AM1418">
        <f>IF('TMP Paste'!$F1418="","",IF('TMP Paste'!$N1418="",$AM1417,'TMP Paste'!$N1418))</f>
        <v/>
      </c>
      <c r="AN1418">
        <f>IF('TMP Paste'!$F1418="","",IF('TMP Paste'!$O1418="",$AN1417,'TMP Paste'!$O1418))</f>
        <v/>
      </c>
      <c r="AO1418">
        <f>IF('TMP Paste'!$F1418="","",IF('TMP Paste'!$P1418="",$AO1417,'TMP Paste'!$P1418))</f>
        <v/>
      </c>
      <c r="AP1418">
        <f>IF($AG1418="","",LEN($R1418))</f>
        <v/>
      </c>
      <c r="AQ1418">
        <f>IF($AG1418="","",TRIM(IF(COUNTIFS(Calc!$B$2:$B$1601,ROW()-1,Calc!$C$2:$C$1601,"&lt;1")&gt;0,"Ada PO tanpa Koli - cek TMP. ","")&amp;IF(LEN($R1418)&gt;500,"R &gt; 500 karakter.","")))</f>
        <v/>
      </c>
    </row>
    <row r="1419">
      <c r="A1419">
        <f>IF($AG1419="","",INDEX('TMP Paste'!$B$2:$B$1601,$AG1419))</f>
        <v/>
      </c>
      <c r="B1419">
        <f>IF($AG1419="","",Config!$B$14)</f>
        <v/>
      </c>
      <c r="C1419">
        <f>IF($AG1419="","",Config!$B$15)</f>
        <v/>
      </c>
      <c r="D1419">
        <f>IF($AG1419="","",INDEX('TMP Paste'!$B$2:$B$1601,$AG1419))</f>
        <v/>
      </c>
      <c r="E1419">
        <f>IF($AG1419="","",Config!$B$27)</f>
        <v/>
      </c>
      <c r="F1419">
        <f>IF($AG1419="","",Config!$B$9)</f>
        <v/>
      </c>
      <c r="G1419">
        <f>IF($AG1419="","",Config!$B$10)</f>
        <v/>
      </c>
      <c r="H1419">
        <f>IF($AG1419="","",Config!$B$11)</f>
        <v/>
      </c>
      <c r="I1419">
        <f>IF($AG1419="","",Config!$B$16)</f>
        <v/>
      </c>
      <c r="J1419">
        <f>IF($AG1419="","",INDEX('TMP Paste'!$A$2:$A$1601,$AG1419))</f>
        <v/>
      </c>
      <c r="K1419">
        <f>IF($AG1419="","",INDEX('TMP Paste'!$L$2:$L$1601,$AG1419))</f>
        <v/>
      </c>
      <c r="L1419">
        <f>IF($AG1419="","",INDEX('TMP Paste'!$I$2:$I$1601,$AG1419))</f>
        <v/>
      </c>
      <c r="M1419">
        <f>IF($AG1419="","",Config!$B$16)</f>
        <v/>
      </c>
      <c r="N1419">
        <f>IF($AG1419="","","")</f>
        <v/>
      </c>
      <c r="O1419">
        <f>IF($AG1419="","",INDEX('TMP Paste'!$K$2:$K$1601,$AG1419))</f>
        <v/>
      </c>
      <c r="P1419">
        <f>IF($AG1419="","","")</f>
        <v/>
      </c>
      <c r="Q1419">
        <f>IF($AG1419="","",INDEX('TMP Paste'!$J$2:$J$1601,$AG1419))</f>
        <v/>
      </c>
      <c r="R1419">
        <f>IF($AG1419="","",Config!$B$24)</f>
        <v/>
      </c>
      <c r="S1419">
        <f>IF($AG1419="","",TEXT(Config!$B$4,"yyyy-mm-dd"))</f>
        <v/>
      </c>
      <c r="T1419">
        <f>IF($AG1419="","",Config!$B$17)</f>
        <v/>
      </c>
      <c r="U1419">
        <f>IF($AG1419="","",Config!$B$18)</f>
        <v/>
      </c>
      <c r="V1419">
        <f>IF($AG1419="","",Config!$B$19)</f>
        <v/>
      </c>
      <c r="W1419">
        <f>IF($AG1419="","",INDEX('TMP Paste'!$C$2:$C$1601,$AG1419))</f>
        <v/>
      </c>
      <c r="X1419">
        <f>IF($AG1419="","",Config!$B$29)</f>
        <v/>
      </c>
      <c r="Y1419">
        <f>IF($AH1419="","",INDEX(Calc!$I$2:$I$1601,$AH1419)&amp;" - "&amp;INDEX(Calc!$D$2:$D$1601,$AH1419)&amp;" koli")</f>
        <v/>
      </c>
      <c r="Z1419">
        <f>IF($AG1419="","",Config!$B$21)</f>
        <v/>
      </c>
      <c r="AA1419">
        <f>IF($AG1419="","",Config!$B$22)</f>
        <v/>
      </c>
      <c r="AB1419">
        <f>IF($AH1419="","",INDEX(Calc!$D$2:$D$1601,$AH1419))</f>
        <v/>
      </c>
      <c r="AC1419">
        <f>IF($AH1419="","",INDEX(Calc!$G$2:$G$1601,$AH1419))</f>
        <v/>
      </c>
      <c r="AD1419">
        <f>IF($AG1419="","",Config!$B$23)</f>
        <v/>
      </c>
      <c r="AE1419">
        <f>IF($AG1419="","",Config!$B$28)</f>
        <v/>
      </c>
      <c r="AG1419">
        <f>IFERROR(MATCH(ROW()-1,Calc!$J$2:$J$1601,0),"")</f>
        <v/>
      </c>
      <c r="AH1419">
        <f>IFERROR(MATCH(ROW()-1,Calc!$K$2:$K$1601,0),"")</f>
        <v/>
      </c>
      <c r="AI1419">
        <f>IF($AG1419="","",SUMIF($AG$2:$AG1419,$AG1419,$AH$2:$AH1419))</f>
        <v/>
      </c>
      <c r="AJ1419">
        <f>IF('TMP Paste'!$F1419="","",IF('TMP Paste'!$B1419="",$AJ1418,'TMP Paste'!$B1419))</f>
        <v/>
      </c>
      <c r="AK1419">
        <f>IF('TMP Paste'!$F1419="","",N('TMP Paste'!$G1419))</f>
        <v/>
      </c>
      <c r="AL1419">
        <f>IF('TMP Paste'!$F1419="","",IF('TMP Paste'!$M1419="",$AL1418,'TMP Paste'!$M1419))</f>
        <v/>
      </c>
      <c r="AM1419">
        <f>IF('TMP Paste'!$F1419="","",IF('TMP Paste'!$N1419="",$AM1418,'TMP Paste'!$N1419))</f>
        <v/>
      </c>
      <c r="AN1419">
        <f>IF('TMP Paste'!$F1419="","",IF('TMP Paste'!$O1419="",$AN1418,'TMP Paste'!$O1419))</f>
        <v/>
      </c>
      <c r="AO1419">
        <f>IF('TMP Paste'!$F1419="","",IF('TMP Paste'!$P1419="",$AO1418,'TMP Paste'!$P1419))</f>
        <v/>
      </c>
      <c r="AP1419">
        <f>IF($AG1419="","",LEN($R1419))</f>
        <v/>
      </c>
      <c r="AQ1419">
        <f>IF($AG1419="","",TRIM(IF(COUNTIFS(Calc!$B$2:$B$1601,ROW()-1,Calc!$C$2:$C$1601,"&lt;1")&gt;0,"Ada PO tanpa Koli - cek TMP. ","")&amp;IF(LEN($R1419)&gt;500,"R &gt; 500 karakter.","")))</f>
        <v/>
      </c>
    </row>
    <row r="1420">
      <c r="A1420">
        <f>IF($AG1420="","",INDEX('TMP Paste'!$B$2:$B$1601,$AG1420))</f>
        <v/>
      </c>
      <c r="B1420">
        <f>IF($AG1420="","",Config!$B$14)</f>
        <v/>
      </c>
      <c r="C1420">
        <f>IF($AG1420="","",Config!$B$15)</f>
        <v/>
      </c>
      <c r="D1420">
        <f>IF($AG1420="","",INDEX('TMP Paste'!$B$2:$B$1601,$AG1420))</f>
        <v/>
      </c>
      <c r="E1420">
        <f>IF($AG1420="","",Config!$B$27)</f>
        <v/>
      </c>
      <c r="F1420">
        <f>IF($AG1420="","",Config!$B$9)</f>
        <v/>
      </c>
      <c r="G1420">
        <f>IF($AG1420="","",Config!$B$10)</f>
        <v/>
      </c>
      <c r="H1420">
        <f>IF($AG1420="","",Config!$B$11)</f>
        <v/>
      </c>
      <c r="I1420">
        <f>IF($AG1420="","",Config!$B$16)</f>
        <v/>
      </c>
      <c r="J1420">
        <f>IF($AG1420="","",INDEX('TMP Paste'!$A$2:$A$1601,$AG1420))</f>
        <v/>
      </c>
      <c r="K1420">
        <f>IF($AG1420="","",INDEX('TMP Paste'!$L$2:$L$1601,$AG1420))</f>
        <v/>
      </c>
      <c r="L1420">
        <f>IF($AG1420="","",INDEX('TMP Paste'!$I$2:$I$1601,$AG1420))</f>
        <v/>
      </c>
      <c r="M1420">
        <f>IF($AG1420="","",Config!$B$16)</f>
        <v/>
      </c>
      <c r="N1420">
        <f>IF($AG1420="","","")</f>
        <v/>
      </c>
      <c r="O1420">
        <f>IF($AG1420="","",INDEX('TMP Paste'!$K$2:$K$1601,$AG1420))</f>
        <v/>
      </c>
      <c r="P1420">
        <f>IF($AG1420="","","")</f>
        <v/>
      </c>
      <c r="Q1420">
        <f>IF($AG1420="","",INDEX('TMP Paste'!$J$2:$J$1601,$AG1420))</f>
        <v/>
      </c>
      <c r="R1420">
        <f>IF($AG1420="","",Config!$B$24)</f>
        <v/>
      </c>
      <c r="S1420">
        <f>IF($AG1420="","",TEXT(Config!$B$4,"yyyy-mm-dd"))</f>
        <v/>
      </c>
      <c r="T1420">
        <f>IF($AG1420="","",Config!$B$17)</f>
        <v/>
      </c>
      <c r="U1420">
        <f>IF($AG1420="","",Config!$B$18)</f>
        <v/>
      </c>
      <c r="V1420">
        <f>IF($AG1420="","",Config!$B$19)</f>
        <v/>
      </c>
      <c r="W1420">
        <f>IF($AG1420="","",INDEX('TMP Paste'!$C$2:$C$1601,$AG1420))</f>
        <v/>
      </c>
      <c r="X1420">
        <f>IF($AG1420="","",Config!$B$29)</f>
        <v/>
      </c>
      <c r="Y1420">
        <f>IF($AH1420="","",INDEX(Calc!$I$2:$I$1601,$AH1420)&amp;" - "&amp;INDEX(Calc!$D$2:$D$1601,$AH1420)&amp;" koli")</f>
        <v/>
      </c>
      <c r="Z1420">
        <f>IF($AG1420="","",Config!$B$21)</f>
        <v/>
      </c>
      <c r="AA1420">
        <f>IF($AG1420="","",Config!$B$22)</f>
        <v/>
      </c>
      <c r="AB1420">
        <f>IF($AH1420="","",INDEX(Calc!$D$2:$D$1601,$AH1420))</f>
        <v/>
      </c>
      <c r="AC1420">
        <f>IF($AH1420="","",INDEX(Calc!$G$2:$G$1601,$AH1420))</f>
        <v/>
      </c>
      <c r="AD1420">
        <f>IF($AG1420="","",Config!$B$23)</f>
        <v/>
      </c>
      <c r="AE1420">
        <f>IF($AG1420="","",Config!$B$28)</f>
        <v/>
      </c>
      <c r="AG1420">
        <f>IFERROR(MATCH(ROW()-1,Calc!$J$2:$J$1601,0),"")</f>
        <v/>
      </c>
      <c r="AH1420">
        <f>IFERROR(MATCH(ROW()-1,Calc!$K$2:$K$1601,0),"")</f>
        <v/>
      </c>
      <c r="AI1420">
        <f>IF($AG1420="","",SUMIF($AG$2:$AG1420,$AG1420,$AH$2:$AH1420))</f>
        <v/>
      </c>
      <c r="AJ1420">
        <f>IF('TMP Paste'!$F1420="","",IF('TMP Paste'!$B1420="",$AJ1419,'TMP Paste'!$B1420))</f>
        <v/>
      </c>
      <c r="AK1420">
        <f>IF('TMP Paste'!$F1420="","",N('TMP Paste'!$G1420))</f>
        <v/>
      </c>
      <c r="AL1420">
        <f>IF('TMP Paste'!$F1420="","",IF('TMP Paste'!$M1420="",$AL1419,'TMP Paste'!$M1420))</f>
        <v/>
      </c>
      <c r="AM1420">
        <f>IF('TMP Paste'!$F1420="","",IF('TMP Paste'!$N1420="",$AM1419,'TMP Paste'!$N1420))</f>
        <v/>
      </c>
      <c r="AN1420">
        <f>IF('TMP Paste'!$F1420="","",IF('TMP Paste'!$O1420="",$AN1419,'TMP Paste'!$O1420))</f>
        <v/>
      </c>
      <c r="AO1420">
        <f>IF('TMP Paste'!$F1420="","",IF('TMP Paste'!$P1420="",$AO1419,'TMP Paste'!$P1420))</f>
        <v/>
      </c>
      <c r="AP1420">
        <f>IF($AG1420="","",LEN($R1420))</f>
        <v/>
      </c>
      <c r="AQ1420">
        <f>IF($AG1420="","",TRIM(IF(COUNTIFS(Calc!$B$2:$B$1601,ROW()-1,Calc!$C$2:$C$1601,"&lt;1")&gt;0,"Ada PO tanpa Koli - cek TMP. ","")&amp;IF(LEN($R1420)&gt;500,"R &gt; 500 karakter.","")))</f>
        <v/>
      </c>
    </row>
    <row r="1421">
      <c r="A1421">
        <f>IF($AG1421="","",INDEX('TMP Paste'!$B$2:$B$1601,$AG1421))</f>
        <v/>
      </c>
      <c r="B1421">
        <f>IF($AG1421="","",Config!$B$14)</f>
        <v/>
      </c>
      <c r="C1421">
        <f>IF($AG1421="","",Config!$B$15)</f>
        <v/>
      </c>
      <c r="D1421">
        <f>IF($AG1421="","",INDEX('TMP Paste'!$B$2:$B$1601,$AG1421))</f>
        <v/>
      </c>
      <c r="E1421">
        <f>IF($AG1421="","",Config!$B$27)</f>
        <v/>
      </c>
      <c r="F1421">
        <f>IF($AG1421="","",Config!$B$9)</f>
        <v/>
      </c>
      <c r="G1421">
        <f>IF($AG1421="","",Config!$B$10)</f>
        <v/>
      </c>
      <c r="H1421">
        <f>IF($AG1421="","",Config!$B$11)</f>
        <v/>
      </c>
      <c r="I1421">
        <f>IF($AG1421="","",Config!$B$16)</f>
        <v/>
      </c>
      <c r="J1421">
        <f>IF($AG1421="","",INDEX('TMP Paste'!$A$2:$A$1601,$AG1421))</f>
        <v/>
      </c>
      <c r="K1421">
        <f>IF($AG1421="","",INDEX('TMP Paste'!$L$2:$L$1601,$AG1421))</f>
        <v/>
      </c>
      <c r="L1421">
        <f>IF($AG1421="","",INDEX('TMP Paste'!$I$2:$I$1601,$AG1421))</f>
        <v/>
      </c>
      <c r="M1421">
        <f>IF($AG1421="","",Config!$B$16)</f>
        <v/>
      </c>
      <c r="N1421">
        <f>IF($AG1421="","","")</f>
        <v/>
      </c>
      <c r="O1421">
        <f>IF($AG1421="","",INDEX('TMP Paste'!$K$2:$K$1601,$AG1421))</f>
        <v/>
      </c>
      <c r="P1421">
        <f>IF($AG1421="","","")</f>
        <v/>
      </c>
      <c r="Q1421">
        <f>IF($AG1421="","",INDEX('TMP Paste'!$J$2:$J$1601,$AG1421))</f>
        <v/>
      </c>
      <c r="R1421">
        <f>IF($AG1421="","",Config!$B$24)</f>
        <v/>
      </c>
      <c r="S1421">
        <f>IF($AG1421="","",TEXT(Config!$B$4,"yyyy-mm-dd"))</f>
        <v/>
      </c>
      <c r="T1421">
        <f>IF($AG1421="","",Config!$B$17)</f>
        <v/>
      </c>
      <c r="U1421">
        <f>IF($AG1421="","",Config!$B$18)</f>
        <v/>
      </c>
      <c r="V1421">
        <f>IF($AG1421="","",Config!$B$19)</f>
        <v/>
      </c>
      <c r="W1421">
        <f>IF($AG1421="","",INDEX('TMP Paste'!$C$2:$C$1601,$AG1421))</f>
        <v/>
      </c>
      <c r="X1421">
        <f>IF($AG1421="","",Config!$B$29)</f>
        <v/>
      </c>
      <c r="Y1421">
        <f>IF($AH1421="","",INDEX(Calc!$I$2:$I$1601,$AH1421)&amp;" - "&amp;INDEX(Calc!$D$2:$D$1601,$AH1421)&amp;" koli")</f>
        <v/>
      </c>
      <c r="Z1421">
        <f>IF($AG1421="","",Config!$B$21)</f>
        <v/>
      </c>
      <c r="AA1421">
        <f>IF($AG1421="","",Config!$B$22)</f>
        <v/>
      </c>
      <c r="AB1421">
        <f>IF($AH1421="","",INDEX(Calc!$D$2:$D$1601,$AH1421))</f>
        <v/>
      </c>
      <c r="AC1421">
        <f>IF($AH1421="","",INDEX(Calc!$G$2:$G$1601,$AH1421))</f>
        <v/>
      </c>
      <c r="AD1421">
        <f>IF($AG1421="","",Config!$B$23)</f>
        <v/>
      </c>
      <c r="AE1421">
        <f>IF($AG1421="","",Config!$B$28)</f>
        <v/>
      </c>
      <c r="AG1421">
        <f>IFERROR(MATCH(ROW()-1,Calc!$J$2:$J$1601,0),"")</f>
        <v/>
      </c>
      <c r="AH1421">
        <f>IFERROR(MATCH(ROW()-1,Calc!$K$2:$K$1601,0),"")</f>
        <v/>
      </c>
      <c r="AI1421">
        <f>IF($AG1421="","",SUMIF($AG$2:$AG1421,$AG1421,$AH$2:$AH1421))</f>
        <v/>
      </c>
      <c r="AJ1421">
        <f>IF('TMP Paste'!$F1421="","",IF('TMP Paste'!$B1421="",$AJ1420,'TMP Paste'!$B1421))</f>
        <v/>
      </c>
      <c r="AK1421">
        <f>IF('TMP Paste'!$F1421="","",N('TMP Paste'!$G1421))</f>
        <v/>
      </c>
      <c r="AL1421">
        <f>IF('TMP Paste'!$F1421="","",IF('TMP Paste'!$M1421="",$AL1420,'TMP Paste'!$M1421))</f>
        <v/>
      </c>
      <c r="AM1421">
        <f>IF('TMP Paste'!$F1421="","",IF('TMP Paste'!$N1421="",$AM1420,'TMP Paste'!$N1421))</f>
        <v/>
      </c>
      <c r="AN1421">
        <f>IF('TMP Paste'!$F1421="","",IF('TMP Paste'!$O1421="",$AN1420,'TMP Paste'!$O1421))</f>
        <v/>
      </c>
      <c r="AO1421">
        <f>IF('TMP Paste'!$F1421="","",IF('TMP Paste'!$P1421="",$AO1420,'TMP Paste'!$P1421))</f>
        <v/>
      </c>
      <c r="AP1421">
        <f>IF($AG1421="","",LEN($R1421))</f>
        <v/>
      </c>
      <c r="AQ1421">
        <f>IF($AG1421="","",TRIM(IF(COUNTIFS(Calc!$B$2:$B$1601,ROW()-1,Calc!$C$2:$C$1601,"&lt;1")&gt;0,"Ada PO tanpa Koli - cek TMP. ","")&amp;IF(LEN($R1421)&gt;500,"R &gt; 500 karakter.","")))</f>
        <v/>
      </c>
    </row>
    <row r="1422">
      <c r="A1422">
        <f>IF($AG1422="","",INDEX('TMP Paste'!$B$2:$B$1601,$AG1422))</f>
        <v/>
      </c>
      <c r="B1422">
        <f>IF($AG1422="","",Config!$B$14)</f>
        <v/>
      </c>
      <c r="C1422">
        <f>IF($AG1422="","",Config!$B$15)</f>
        <v/>
      </c>
      <c r="D1422">
        <f>IF($AG1422="","",INDEX('TMP Paste'!$B$2:$B$1601,$AG1422))</f>
        <v/>
      </c>
      <c r="E1422">
        <f>IF($AG1422="","",Config!$B$27)</f>
        <v/>
      </c>
      <c r="F1422">
        <f>IF($AG1422="","",Config!$B$9)</f>
        <v/>
      </c>
      <c r="G1422">
        <f>IF($AG1422="","",Config!$B$10)</f>
        <v/>
      </c>
      <c r="H1422">
        <f>IF($AG1422="","",Config!$B$11)</f>
        <v/>
      </c>
      <c r="I1422">
        <f>IF($AG1422="","",Config!$B$16)</f>
        <v/>
      </c>
      <c r="J1422">
        <f>IF($AG1422="","",INDEX('TMP Paste'!$A$2:$A$1601,$AG1422))</f>
        <v/>
      </c>
      <c r="K1422">
        <f>IF($AG1422="","",INDEX('TMP Paste'!$L$2:$L$1601,$AG1422))</f>
        <v/>
      </c>
      <c r="L1422">
        <f>IF($AG1422="","",INDEX('TMP Paste'!$I$2:$I$1601,$AG1422))</f>
        <v/>
      </c>
      <c r="M1422">
        <f>IF($AG1422="","",Config!$B$16)</f>
        <v/>
      </c>
      <c r="N1422">
        <f>IF($AG1422="","","")</f>
        <v/>
      </c>
      <c r="O1422">
        <f>IF($AG1422="","",INDEX('TMP Paste'!$K$2:$K$1601,$AG1422))</f>
        <v/>
      </c>
      <c r="P1422">
        <f>IF($AG1422="","","")</f>
        <v/>
      </c>
      <c r="Q1422">
        <f>IF($AG1422="","",INDEX('TMP Paste'!$J$2:$J$1601,$AG1422))</f>
        <v/>
      </c>
      <c r="R1422">
        <f>IF($AG1422="","",Config!$B$24)</f>
        <v/>
      </c>
      <c r="S1422">
        <f>IF($AG1422="","",TEXT(Config!$B$4,"yyyy-mm-dd"))</f>
        <v/>
      </c>
      <c r="T1422">
        <f>IF($AG1422="","",Config!$B$17)</f>
        <v/>
      </c>
      <c r="U1422">
        <f>IF($AG1422="","",Config!$B$18)</f>
        <v/>
      </c>
      <c r="V1422">
        <f>IF($AG1422="","",Config!$B$19)</f>
        <v/>
      </c>
      <c r="W1422">
        <f>IF($AG1422="","",INDEX('TMP Paste'!$C$2:$C$1601,$AG1422))</f>
        <v/>
      </c>
      <c r="X1422">
        <f>IF($AG1422="","",Config!$B$29)</f>
        <v/>
      </c>
      <c r="Y1422">
        <f>IF($AH1422="","",INDEX(Calc!$I$2:$I$1601,$AH1422)&amp;" - "&amp;INDEX(Calc!$D$2:$D$1601,$AH1422)&amp;" koli")</f>
        <v/>
      </c>
      <c r="Z1422">
        <f>IF($AG1422="","",Config!$B$21)</f>
        <v/>
      </c>
      <c r="AA1422">
        <f>IF($AG1422="","",Config!$B$22)</f>
        <v/>
      </c>
      <c r="AB1422">
        <f>IF($AH1422="","",INDEX(Calc!$D$2:$D$1601,$AH1422))</f>
        <v/>
      </c>
      <c r="AC1422">
        <f>IF($AH1422="","",INDEX(Calc!$G$2:$G$1601,$AH1422))</f>
        <v/>
      </c>
      <c r="AD1422">
        <f>IF($AG1422="","",Config!$B$23)</f>
        <v/>
      </c>
      <c r="AE1422">
        <f>IF($AG1422="","",Config!$B$28)</f>
        <v/>
      </c>
      <c r="AG1422">
        <f>IFERROR(MATCH(ROW()-1,Calc!$J$2:$J$1601,0),"")</f>
        <v/>
      </c>
      <c r="AH1422">
        <f>IFERROR(MATCH(ROW()-1,Calc!$K$2:$K$1601,0),"")</f>
        <v/>
      </c>
      <c r="AI1422">
        <f>IF($AG1422="","",SUMIF($AG$2:$AG1422,$AG1422,$AH$2:$AH1422))</f>
        <v/>
      </c>
      <c r="AJ1422">
        <f>IF('TMP Paste'!$F1422="","",IF('TMP Paste'!$B1422="",$AJ1421,'TMP Paste'!$B1422))</f>
        <v/>
      </c>
      <c r="AK1422">
        <f>IF('TMP Paste'!$F1422="","",N('TMP Paste'!$G1422))</f>
        <v/>
      </c>
      <c r="AL1422">
        <f>IF('TMP Paste'!$F1422="","",IF('TMP Paste'!$M1422="",$AL1421,'TMP Paste'!$M1422))</f>
        <v/>
      </c>
      <c r="AM1422">
        <f>IF('TMP Paste'!$F1422="","",IF('TMP Paste'!$N1422="",$AM1421,'TMP Paste'!$N1422))</f>
        <v/>
      </c>
      <c r="AN1422">
        <f>IF('TMP Paste'!$F1422="","",IF('TMP Paste'!$O1422="",$AN1421,'TMP Paste'!$O1422))</f>
        <v/>
      </c>
      <c r="AO1422">
        <f>IF('TMP Paste'!$F1422="","",IF('TMP Paste'!$P1422="",$AO1421,'TMP Paste'!$P1422))</f>
        <v/>
      </c>
      <c r="AP1422">
        <f>IF($AG1422="","",LEN($R1422))</f>
        <v/>
      </c>
      <c r="AQ1422">
        <f>IF($AG1422="","",TRIM(IF(COUNTIFS(Calc!$B$2:$B$1601,ROW()-1,Calc!$C$2:$C$1601,"&lt;1")&gt;0,"Ada PO tanpa Koli - cek TMP. ","")&amp;IF(LEN($R1422)&gt;500,"R &gt; 500 karakter.","")))</f>
        <v/>
      </c>
    </row>
    <row r="1423">
      <c r="A1423">
        <f>IF($AG1423="","",INDEX('TMP Paste'!$B$2:$B$1601,$AG1423))</f>
        <v/>
      </c>
      <c r="B1423">
        <f>IF($AG1423="","",Config!$B$14)</f>
        <v/>
      </c>
      <c r="C1423">
        <f>IF($AG1423="","",Config!$B$15)</f>
        <v/>
      </c>
      <c r="D1423">
        <f>IF($AG1423="","",INDEX('TMP Paste'!$B$2:$B$1601,$AG1423))</f>
        <v/>
      </c>
      <c r="E1423">
        <f>IF($AG1423="","",Config!$B$27)</f>
        <v/>
      </c>
      <c r="F1423">
        <f>IF($AG1423="","",Config!$B$9)</f>
        <v/>
      </c>
      <c r="G1423">
        <f>IF($AG1423="","",Config!$B$10)</f>
        <v/>
      </c>
      <c r="H1423">
        <f>IF($AG1423="","",Config!$B$11)</f>
        <v/>
      </c>
      <c r="I1423">
        <f>IF($AG1423="","",Config!$B$16)</f>
        <v/>
      </c>
      <c r="J1423">
        <f>IF($AG1423="","",INDEX('TMP Paste'!$A$2:$A$1601,$AG1423))</f>
        <v/>
      </c>
      <c r="K1423">
        <f>IF($AG1423="","",INDEX('TMP Paste'!$L$2:$L$1601,$AG1423))</f>
        <v/>
      </c>
      <c r="L1423">
        <f>IF($AG1423="","",INDEX('TMP Paste'!$I$2:$I$1601,$AG1423))</f>
        <v/>
      </c>
      <c r="M1423">
        <f>IF($AG1423="","",Config!$B$16)</f>
        <v/>
      </c>
      <c r="N1423">
        <f>IF($AG1423="","","")</f>
        <v/>
      </c>
      <c r="O1423">
        <f>IF($AG1423="","",INDEX('TMP Paste'!$K$2:$K$1601,$AG1423))</f>
        <v/>
      </c>
      <c r="P1423">
        <f>IF($AG1423="","","")</f>
        <v/>
      </c>
      <c r="Q1423">
        <f>IF($AG1423="","",INDEX('TMP Paste'!$J$2:$J$1601,$AG1423))</f>
        <v/>
      </c>
      <c r="R1423">
        <f>IF($AG1423="","",Config!$B$24)</f>
        <v/>
      </c>
      <c r="S1423">
        <f>IF($AG1423="","",TEXT(Config!$B$4,"yyyy-mm-dd"))</f>
        <v/>
      </c>
      <c r="T1423">
        <f>IF($AG1423="","",Config!$B$17)</f>
        <v/>
      </c>
      <c r="U1423">
        <f>IF($AG1423="","",Config!$B$18)</f>
        <v/>
      </c>
      <c r="V1423">
        <f>IF($AG1423="","",Config!$B$19)</f>
        <v/>
      </c>
      <c r="W1423">
        <f>IF($AG1423="","",INDEX('TMP Paste'!$C$2:$C$1601,$AG1423))</f>
        <v/>
      </c>
      <c r="X1423">
        <f>IF($AG1423="","",Config!$B$29)</f>
        <v/>
      </c>
      <c r="Y1423">
        <f>IF($AH1423="","",INDEX(Calc!$I$2:$I$1601,$AH1423)&amp;" - "&amp;INDEX(Calc!$D$2:$D$1601,$AH1423)&amp;" koli")</f>
        <v/>
      </c>
      <c r="Z1423">
        <f>IF($AG1423="","",Config!$B$21)</f>
        <v/>
      </c>
      <c r="AA1423">
        <f>IF($AG1423="","",Config!$B$22)</f>
        <v/>
      </c>
      <c r="AB1423">
        <f>IF($AH1423="","",INDEX(Calc!$D$2:$D$1601,$AH1423))</f>
        <v/>
      </c>
      <c r="AC1423">
        <f>IF($AH1423="","",INDEX(Calc!$G$2:$G$1601,$AH1423))</f>
        <v/>
      </c>
      <c r="AD1423">
        <f>IF($AG1423="","",Config!$B$23)</f>
        <v/>
      </c>
      <c r="AE1423">
        <f>IF($AG1423="","",Config!$B$28)</f>
        <v/>
      </c>
      <c r="AG1423">
        <f>IFERROR(MATCH(ROW()-1,Calc!$J$2:$J$1601,0),"")</f>
        <v/>
      </c>
      <c r="AH1423">
        <f>IFERROR(MATCH(ROW()-1,Calc!$K$2:$K$1601,0),"")</f>
        <v/>
      </c>
      <c r="AI1423">
        <f>IF($AG1423="","",SUMIF($AG$2:$AG1423,$AG1423,$AH$2:$AH1423))</f>
        <v/>
      </c>
      <c r="AJ1423">
        <f>IF('TMP Paste'!$F1423="","",IF('TMP Paste'!$B1423="",$AJ1422,'TMP Paste'!$B1423))</f>
        <v/>
      </c>
      <c r="AK1423">
        <f>IF('TMP Paste'!$F1423="","",N('TMP Paste'!$G1423))</f>
        <v/>
      </c>
      <c r="AL1423">
        <f>IF('TMP Paste'!$F1423="","",IF('TMP Paste'!$M1423="",$AL1422,'TMP Paste'!$M1423))</f>
        <v/>
      </c>
      <c r="AM1423">
        <f>IF('TMP Paste'!$F1423="","",IF('TMP Paste'!$N1423="",$AM1422,'TMP Paste'!$N1423))</f>
        <v/>
      </c>
      <c r="AN1423">
        <f>IF('TMP Paste'!$F1423="","",IF('TMP Paste'!$O1423="",$AN1422,'TMP Paste'!$O1423))</f>
        <v/>
      </c>
      <c r="AO1423">
        <f>IF('TMP Paste'!$F1423="","",IF('TMP Paste'!$P1423="",$AO1422,'TMP Paste'!$P1423))</f>
        <v/>
      </c>
      <c r="AP1423">
        <f>IF($AG1423="","",LEN($R1423))</f>
        <v/>
      </c>
      <c r="AQ1423">
        <f>IF($AG1423="","",TRIM(IF(COUNTIFS(Calc!$B$2:$B$1601,ROW()-1,Calc!$C$2:$C$1601,"&lt;1")&gt;0,"Ada PO tanpa Koli - cek TMP. ","")&amp;IF(LEN($R1423)&gt;500,"R &gt; 500 karakter.","")))</f>
        <v/>
      </c>
    </row>
    <row r="1424">
      <c r="A1424">
        <f>IF($AG1424="","",INDEX('TMP Paste'!$B$2:$B$1601,$AG1424))</f>
        <v/>
      </c>
      <c r="B1424">
        <f>IF($AG1424="","",Config!$B$14)</f>
        <v/>
      </c>
      <c r="C1424">
        <f>IF($AG1424="","",Config!$B$15)</f>
        <v/>
      </c>
      <c r="D1424">
        <f>IF($AG1424="","",INDEX('TMP Paste'!$B$2:$B$1601,$AG1424))</f>
        <v/>
      </c>
      <c r="E1424">
        <f>IF($AG1424="","",Config!$B$27)</f>
        <v/>
      </c>
      <c r="F1424">
        <f>IF($AG1424="","",Config!$B$9)</f>
        <v/>
      </c>
      <c r="G1424">
        <f>IF($AG1424="","",Config!$B$10)</f>
        <v/>
      </c>
      <c r="H1424">
        <f>IF($AG1424="","",Config!$B$11)</f>
        <v/>
      </c>
      <c r="I1424">
        <f>IF($AG1424="","",Config!$B$16)</f>
        <v/>
      </c>
      <c r="J1424">
        <f>IF($AG1424="","",INDEX('TMP Paste'!$A$2:$A$1601,$AG1424))</f>
        <v/>
      </c>
      <c r="K1424">
        <f>IF($AG1424="","",INDEX('TMP Paste'!$L$2:$L$1601,$AG1424))</f>
        <v/>
      </c>
      <c r="L1424">
        <f>IF($AG1424="","",INDEX('TMP Paste'!$I$2:$I$1601,$AG1424))</f>
        <v/>
      </c>
      <c r="M1424">
        <f>IF($AG1424="","",Config!$B$16)</f>
        <v/>
      </c>
      <c r="N1424">
        <f>IF($AG1424="","","")</f>
        <v/>
      </c>
      <c r="O1424">
        <f>IF($AG1424="","",INDEX('TMP Paste'!$K$2:$K$1601,$AG1424))</f>
        <v/>
      </c>
      <c r="P1424">
        <f>IF($AG1424="","","")</f>
        <v/>
      </c>
      <c r="Q1424">
        <f>IF($AG1424="","",INDEX('TMP Paste'!$J$2:$J$1601,$AG1424))</f>
        <v/>
      </c>
      <c r="R1424">
        <f>IF($AG1424="","",Config!$B$24)</f>
        <v/>
      </c>
      <c r="S1424">
        <f>IF($AG1424="","",TEXT(Config!$B$4,"yyyy-mm-dd"))</f>
        <v/>
      </c>
      <c r="T1424">
        <f>IF($AG1424="","",Config!$B$17)</f>
        <v/>
      </c>
      <c r="U1424">
        <f>IF($AG1424="","",Config!$B$18)</f>
        <v/>
      </c>
      <c r="V1424">
        <f>IF($AG1424="","",Config!$B$19)</f>
        <v/>
      </c>
      <c r="W1424">
        <f>IF($AG1424="","",INDEX('TMP Paste'!$C$2:$C$1601,$AG1424))</f>
        <v/>
      </c>
      <c r="X1424">
        <f>IF($AG1424="","",Config!$B$29)</f>
        <v/>
      </c>
      <c r="Y1424">
        <f>IF($AH1424="","",INDEX(Calc!$I$2:$I$1601,$AH1424)&amp;" - "&amp;INDEX(Calc!$D$2:$D$1601,$AH1424)&amp;" koli")</f>
        <v/>
      </c>
      <c r="Z1424">
        <f>IF($AG1424="","",Config!$B$21)</f>
        <v/>
      </c>
      <c r="AA1424">
        <f>IF($AG1424="","",Config!$B$22)</f>
        <v/>
      </c>
      <c r="AB1424">
        <f>IF($AH1424="","",INDEX(Calc!$D$2:$D$1601,$AH1424))</f>
        <v/>
      </c>
      <c r="AC1424">
        <f>IF($AH1424="","",INDEX(Calc!$G$2:$G$1601,$AH1424))</f>
        <v/>
      </c>
      <c r="AD1424">
        <f>IF($AG1424="","",Config!$B$23)</f>
        <v/>
      </c>
      <c r="AE1424">
        <f>IF($AG1424="","",Config!$B$28)</f>
        <v/>
      </c>
      <c r="AG1424">
        <f>IFERROR(MATCH(ROW()-1,Calc!$J$2:$J$1601,0),"")</f>
        <v/>
      </c>
      <c r="AH1424">
        <f>IFERROR(MATCH(ROW()-1,Calc!$K$2:$K$1601,0),"")</f>
        <v/>
      </c>
      <c r="AI1424">
        <f>IF($AG1424="","",SUMIF($AG$2:$AG1424,$AG1424,$AH$2:$AH1424))</f>
        <v/>
      </c>
      <c r="AJ1424">
        <f>IF('TMP Paste'!$F1424="","",IF('TMP Paste'!$B1424="",$AJ1423,'TMP Paste'!$B1424))</f>
        <v/>
      </c>
      <c r="AK1424">
        <f>IF('TMP Paste'!$F1424="","",N('TMP Paste'!$G1424))</f>
        <v/>
      </c>
      <c r="AL1424">
        <f>IF('TMP Paste'!$F1424="","",IF('TMP Paste'!$M1424="",$AL1423,'TMP Paste'!$M1424))</f>
        <v/>
      </c>
      <c r="AM1424">
        <f>IF('TMP Paste'!$F1424="","",IF('TMP Paste'!$N1424="",$AM1423,'TMP Paste'!$N1424))</f>
        <v/>
      </c>
      <c r="AN1424">
        <f>IF('TMP Paste'!$F1424="","",IF('TMP Paste'!$O1424="",$AN1423,'TMP Paste'!$O1424))</f>
        <v/>
      </c>
      <c r="AO1424">
        <f>IF('TMP Paste'!$F1424="","",IF('TMP Paste'!$P1424="",$AO1423,'TMP Paste'!$P1424))</f>
        <v/>
      </c>
      <c r="AP1424">
        <f>IF($AG1424="","",LEN($R1424))</f>
        <v/>
      </c>
      <c r="AQ1424">
        <f>IF($AG1424="","",TRIM(IF(COUNTIFS(Calc!$B$2:$B$1601,ROW()-1,Calc!$C$2:$C$1601,"&lt;1")&gt;0,"Ada PO tanpa Koli - cek TMP. ","")&amp;IF(LEN($R1424)&gt;500,"R &gt; 500 karakter.","")))</f>
        <v/>
      </c>
    </row>
    <row r="1425">
      <c r="A1425">
        <f>IF($AG1425="","",INDEX('TMP Paste'!$B$2:$B$1601,$AG1425))</f>
        <v/>
      </c>
      <c r="B1425">
        <f>IF($AG1425="","",Config!$B$14)</f>
        <v/>
      </c>
      <c r="C1425">
        <f>IF($AG1425="","",Config!$B$15)</f>
        <v/>
      </c>
      <c r="D1425">
        <f>IF($AG1425="","",INDEX('TMP Paste'!$B$2:$B$1601,$AG1425))</f>
        <v/>
      </c>
      <c r="E1425">
        <f>IF($AG1425="","",Config!$B$27)</f>
        <v/>
      </c>
      <c r="F1425">
        <f>IF($AG1425="","",Config!$B$9)</f>
        <v/>
      </c>
      <c r="G1425">
        <f>IF($AG1425="","",Config!$B$10)</f>
        <v/>
      </c>
      <c r="H1425">
        <f>IF($AG1425="","",Config!$B$11)</f>
        <v/>
      </c>
      <c r="I1425">
        <f>IF($AG1425="","",Config!$B$16)</f>
        <v/>
      </c>
      <c r="J1425">
        <f>IF($AG1425="","",INDEX('TMP Paste'!$A$2:$A$1601,$AG1425))</f>
        <v/>
      </c>
      <c r="K1425">
        <f>IF($AG1425="","",INDEX('TMP Paste'!$L$2:$L$1601,$AG1425))</f>
        <v/>
      </c>
      <c r="L1425">
        <f>IF($AG1425="","",INDEX('TMP Paste'!$I$2:$I$1601,$AG1425))</f>
        <v/>
      </c>
      <c r="M1425">
        <f>IF($AG1425="","",Config!$B$16)</f>
        <v/>
      </c>
      <c r="N1425">
        <f>IF($AG1425="","","")</f>
        <v/>
      </c>
      <c r="O1425">
        <f>IF($AG1425="","",INDEX('TMP Paste'!$K$2:$K$1601,$AG1425))</f>
        <v/>
      </c>
      <c r="P1425">
        <f>IF($AG1425="","","")</f>
        <v/>
      </c>
      <c r="Q1425">
        <f>IF($AG1425="","",INDEX('TMP Paste'!$J$2:$J$1601,$AG1425))</f>
        <v/>
      </c>
      <c r="R1425">
        <f>IF($AG1425="","",Config!$B$24)</f>
        <v/>
      </c>
      <c r="S1425">
        <f>IF($AG1425="","",TEXT(Config!$B$4,"yyyy-mm-dd"))</f>
        <v/>
      </c>
      <c r="T1425">
        <f>IF($AG1425="","",Config!$B$17)</f>
        <v/>
      </c>
      <c r="U1425">
        <f>IF($AG1425="","",Config!$B$18)</f>
        <v/>
      </c>
      <c r="V1425">
        <f>IF($AG1425="","",Config!$B$19)</f>
        <v/>
      </c>
      <c r="W1425">
        <f>IF($AG1425="","",INDEX('TMP Paste'!$C$2:$C$1601,$AG1425))</f>
        <v/>
      </c>
      <c r="X1425">
        <f>IF($AG1425="","",Config!$B$29)</f>
        <v/>
      </c>
      <c r="Y1425">
        <f>IF($AH1425="","",INDEX(Calc!$I$2:$I$1601,$AH1425)&amp;" - "&amp;INDEX(Calc!$D$2:$D$1601,$AH1425)&amp;" koli")</f>
        <v/>
      </c>
      <c r="Z1425">
        <f>IF($AG1425="","",Config!$B$21)</f>
        <v/>
      </c>
      <c r="AA1425">
        <f>IF($AG1425="","",Config!$B$22)</f>
        <v/>
      </c>
      <c r="AB1425">
        <f>IF($AH1425="","",INDEX(Calc!$D$2:$D$1601,$AH1425))</f>
        <v/>
      </c>
      <c r="AC1425">
        <f>IF($AH1425="","",INDEX(Calc!$G$2:$G$1601,$AH1425))</f>
        <v/>
      </c>
      <c r="AD1425">
        <f>IF($AG1425="","",Config!$B$23)</f>
        <v/>
      </c>
      <c r="AE1425">
        <f>IF($AG1425="","",Config!$B$28)</f>
        <v/>
      </c>
      <c r="AG1425">
        <f>IFERROR(MATCH(ROW()-1,Calc!$J$2:$J$1601,0),"")</f>
        <v/>
      </c>
      <c r="AH1425">
        <f>IFERROR(MATCH(ROW()-1,Calc!$K$2:$K$1601,0),"")</f>
        <v/>
      </c>
      <c r="AI1425">
        <f>IF($AG1425="","",SUMIF($AG$2:$AG1425,$AG1425,$AH$2:$AH1425))</f>
        <v/>
      </c>
      <c r="AJ1425">
        <f>IF('TMP Paste'!$F1425="","",IF('TMP Paste'!$B1425="",$AJ1424,'TMP Paste'!$B1425))</f>
        <v/>
      </c>
      <c r="AK1425">
        <f>IF('TMP Paste'!$F1425="","",N('TMP Paste'!$G1425))</f>
        <v/>
      </c>
      <c r="AL1425">
        <f>IF('TMP Paste'!$F1425="","",IF('TMP Paste'!$M1425="",$AL1424,'TMP Paste'!$M1425))</f>
        <v/>
      </c>
      <c r="AM1425">
        <f>IF('TMP Paste'!$F1425="","",IF('TMP Paste'!$N1425="",$AM1424,'TMP Paste'!$N1425))</f>
        <v/>
      </c>
      <c r="AN1425">
        <f>IF('TMP Paste'!$F1425="","",IF('TMP Paste'!$O1425="",$AN1424,'TMP Paste'!$O1425))</f>
        <v/>
      </c>
      <c r="AO1425">
        <f>IF('TMP Paste'!$F1425="","",IF('TMP Paste'!$P1425="",$AO1424,'TMP Paste'!$P1425))</f>
        <v/>
      </c>
      <c r="AP1425">
        <f>IF($AG1425="","",LEN($R1425))</f>
        <v/>
      </c>
      <c r="AQ1425">
        <f>IF($AG1425="","",TRIM(IF(COUNTIFS(Calc!$B$2:$B$1601,ROW()-1,Calc!$C$2:$C$1601,"&lt;1")&gt;0,"Ada PO tanpa Koli - cek TMP. ","")&amp;IF(LEN($R1425)&gt;500,"R &gt; 500 karakter.","")))</f>
        <v/>
      </c>
    </row>
    <row r="1426">
      <c r="A1426">
        <f>IF($AG1426="","",INDEX('TMP Paste'!$B$2:$B$1601,$AG1426))</f>
        <v/>
      </c>
      <c r="B1426">
        <f>IF($AG1426="","",Config!$B$14)</f>
        <v/>
      </c>
      <c r="C1426">
        <f>IF($AG1426="","",Config!$B$15)</f>
        <v/>
      </c>
      <c r="D1426">
        <f>IF($AG1426="","",INDEX('TMP Paste'!$B$2:$B$1601,$AG1426))</f>
        <v/>
      </c>
      <c r="E1426">
        <f>IF($AG1426="","",Config!$B$27)</f>
        <v/>
      </c>
      <c r="F1426">
        <f>IF($AG1426="","",Config!$B$9)</f>
        <v/>
      </c>
      <c r="G1426">
        <f>IF($AG1426="","",Config!$B$10)</f>
        <v/>
      </c>
      <c r="H1426">
        <f>IF($AG1426="","",Config!$B$11)</f>
        <v/>
      </c>
      <c r="I1426">
        <f>IF($AG1426="","",Config!$B$16)</f>
        <v/>
      </c>
      <c r="J1426">
        <f>IF($AG1426="","",INDEX('TMP Paste'!$A$2:$A$1601,$AG1426))</f>
        <v/>
      </c>
      <c r="K1426">
        <f>IF($AG1426="","",INDEX('TMP Paste'!$L$2:$L$1601,$AG1426))</f>
        <v/>
      </c>
      <c r="L1426">
        <f>IF($AG1426="","",INDEX('TMP Paste'!$I$2:$I$1601,$AG1426))</f>
        <v/>
      </c>
      <c r="M1426">
        <f>IF($AG1426="","",Config!$B$16)</f>
        <v/>
      </c>
      <c r="N1426">
        <f>IF($AG1426="","","")</f>
        <v/>
      </c>
      <c r="O1426">
        <f>IF($AG1426="","",INDEX('TMP Paste'!$K$2:$K$1601,$AG1426))</f>
        <v/>
      </c>
      <c r="P1426">
        <f>IF($AG1426="","","")</f>
        <v/>
      </c>
      <c r="Q1426">
        <f>IF($AG1426="","",INDEX('TMP Paste'!$J$2:$J$1601,$AG1426))</f>
        <v/>
      </c>
      <c r="R1426">
        <f>IF($AG1426="","",Config!$B$24)</f>
        <v/>
      </c>
      <c r="S1426">
        <f>IF($AG1426="","",TEXT(Config!$B$4,"yyyy-mm-dd"))</f>
        <v/>
      </c>
      <c r="T1426">
        <f>IF($AG1426="","",Config!$B$17)</f>
        <v/>
      </c>
      <c r="U1426">
        <f>IF($AG1426="","",Config!$B$18)</f>
        <v/>
      </c>
      <c r="V1426">
        <f>IF($AG1426="","",Config!$B$19)</f>
        <v/>
      </c>
      <c r="W1426">
        <f>IF($AG1426="","",INDEX('TMP Paste'!$C$2:$C$1601,$AG1426))</f>
        <v/>
      </c>
      <c r="X1426">
        <f>IF($AG1426="","",Config!$B$29)</f>
        <v/>
      </c>
      <c r="Y1426">
        <f>IF($AH1426="","",INDEX(Calc!$I$2:$I$1601,$AH1426)&amp;" - "&amp;INDEX(Calc!$D$2:$D$1601,$AH1426)&amp;" koli")</f>
        <v/>
      </c>
      <c r="Z1426">
        <f>IF($AG1426="","",Config!$B$21)</f>
        <v/>
      </c>
      <c r="AA1426">
        <f>IF($AG1426="","",Config!$B$22)</f>
        <v/>
      </c>
      <c r="AB1426">
        <f>IF($AH1426="","",INDEX(Calc!$D$2:$D$1601,$AH1426))</f>
        <v/>
      </c>
      <c r="AC1426">
        <f>IF($AH1426="","",INDEX(Calc!$G$2:$G$1601,$AH1426))</f>
        <v/>
      </c>
      <c r="AD1426">
        <f>IF($AG1426="","",Config!$B$23)</f>
        <v/>
      </c>
      <c r="AE1426">
        <f>IF($AG1426="","",Config!$B$28)</f>
        <v/>
      </c>
      <c r="AG1426">
        <f>IFERROR(MATCH(ROW()-1,Calc!$J$2:$J$1601,0),"")</f>
        <v/>
      </c>
      <c r="AH1426">
        <f>IFERROR(MATCH(ROW()-1,Calc!$K$2:$K$1601,0),"")</f>
        <v/>
      </c>
      <c r="AI1426">
        <f>IF($AG1426="","",SUMIF($AG$2:$AG1426,$AG1426,$AH$2:$AH1426))</f>
        <v/>
      </c>
      <c r="AJ1426">
        <f>IF('TMP Paste'!$F1426="","",IF('TMP Paste'!$B1426="",$AJ1425,'TMP Paste'!$B1426))</f>
        <v/>
      </c>
      <c r="AK1426">
        <f>IF('TMP Paste'!$F1426="","",N('TMP Paste'!$G1426))</f>
        <v/>
      </c>
      <c r="AL1426">
        <f>IF('TMP Paste'!$F1426="","",IF('TMP Paste'!$M1426="",$AL1425,'TMP Paste'!$M1426))</f>
        <v/>
      </c>
      <c r="AM1426">
        <f>IF('TMP Paste'!$F1426="","",IF('TMP Paste'!$N1426="",$AM1425,'TMP Paste'!$N1426))</f>
        <v/>
      </c>
      <c r="AN1426">
        <f>IF('TMP Paste'!$F1426="","",IF('TMP Paste'!$O1426="",$AN1425,'TMP Paste'!$O1426))</f>
        <v/>
      </c>
      <c r="AO1426">
        <f>IF('TMP Paste'!$F1426="","",IF('TMP Paste'!$P1426="",$AO1425,'TMP Paste'!$P1426))</f>
        <v/>
      </c>
      <c r="AP1426">
        <f>IF($AG1426="","",LEN($R1426))</f>
        <v/>
      </c>
      <c r="AQ1426">
        <f>IF($AG1426="","",TRIM(IF(COUNTIFS(Calc!$B$2:$B$1601,ROW()-1,Calc!$C$2:$C$1601,"&lt;1")&gt;0,"Ada PO tanpa Koli - cek TMP. ","")&amp;IF(LEN($R1426)&gt;500,"R &gt; 500 karakter.","")))</f>
        <v/>
      </c>
    </row>
    <row r="1427">
      <c r="A1427">
        <f>IF($AG1427="","",INDEX('TMP Paste'!$B$2:$B$1601,$AG1427))</f>
        <v/>
      </c>
      <c r="B1427">
        <f>IF($AG1427="","",Config!$B$14)</f>
        <v/>
      </c>
      <c r="C1427">
        <f>IF($AG1427="","",Config!$B$15)</f>
        <v/>
      </c>
      <c r="D1427">
        <f>IF($AG1427="","",INDEX('TMP Paste'!$B$2:$B$1601,$AG1427))</f>
        <v/>
      </c>
      <c r="E1427">
        <f>IF($AG1427="","",Config!$B$27)</f>
        <v/>
      </c>
      <c r="F1427">
        <f>IF($AG1427="","",Config!$B$9)</f>
        <v/>
      </c>
      <c r="G1427">
        <f>IF($AG1427="","",Config!$B$10)</f>
        <v/>
      </c>
      <c r="H1427">
        <f>IF($AG1427="","",Config!$B$11)</f>
        <v/>
      </c>
      <c r="I1427">
        <f>IF($AG1427="","",Config!$B$16)</f>
        <v/>
      </c>
      <c r="J1427">
        <f>IF($AG1427="","",INDEX('TMP Paste'!$A$2:$A$1601,$AG1427))</f>
        <v/>
      </c>
      <c r="K1427">
        <f>IF($AG1427="","",INDEX('TMP Paste'!$L$2:$L$1601,$AG1427))</f>
        <v/>
      </c>
      <c r="L1427">
        <f>IF($AG1427="","",INDEX('TMP Paste'!$I$2:$I$1601,$AG1427))</f>
        <v/>
      </c>
      <c r="M1427">
        <f>IF($AG1427="","",Config!$B$16)</f>
        <v/>
      </c>
      <c r="N1427">
        <f>IF($AG1427="","","")</f>
        <v/>
      </c>
      <c r="O1427">
        <f>IF($AG1427="","",INDEX('TMP Paste'!$K$2:$K$1601,$AG1427))</f>
        <v/>
      </c>
      <c r="P1427">
        <f>IF($AG1427="","","")</f>
        <v/>
      </c>
      <c r="Q1427">
        <f>IF($AG1427="","",INDEX('TMP Paste'!$J$2:$J$1601,$AG1427))</f>
        <v/>
      </c>
      <c r="R1427">
        <f>IF($AG1427="","",Config!$B$24)</f>
        <v/>
      </c>
      <c r="S1427">
        <f>IF($AG1427="","",TEXT(Config!$B$4,"yyyy-mm-dd"))</f>
        <v/>
      </c>
      <c r="T1427">
        <f>IF($AG1427="","",Config!$B$17)</f>
        <v/>
      </c>
      <c r="U1427">
        <f>IF($AG1427="","",Config!$B$18)</f>
        <v/>
      </c>
      <c r="V1427">
        <f>IF($AG1427="","",Config!$B$19)</f>
        <v/>
      </c>
      <c r="W1427">
        <f>IF($AG1427="","",INDEX('TMP Paste'!$C$2:$C$1601,$AG1427))</f>
        <v/>
      </c>
      <c r="X1427">
        <f>IF($AG1427="","",Config!$B$29)</f>
        <v/>
      </c>
      <c r="Y1427">
        <f>IF($AH1427="","",INDEX(Calc!$I$2:$I$1601,$AH1427)&amp;" - "&amp;INDEX(Calc!$D$2:$D$1601,$AH1427)&amp;" koli")</f>
        <v/>
      </c>
      <c r="Z1427">
        <f>IF($AG1427="","",Config!$B$21)</f>
        <v/>
      </c>
      <c r="AA1427">
        <f>IF($AG1427="","",Config!$B$22)</f>
        <v/>
      </c>
      <c r="AB1427">
        <f>IF($AH1427="","",INDEX(Calc!$D$2:$D$1601,$AH1427))</f>
        <v/>
      </c>
      <c r="AC1427">
        <f>IF($AH1427="","",INDEX(Calc!$G$2:$G$1601,$AH1427))</f>
        <v/>
      </c>
      <c r="AD1427">
        <f>IF($AG1427="","",Config!$B$23)</f>
        <v/>
      </c>
      <c r="AE1427">
        <f>IF($AG1427="","",Config!$B$28)</f>
        <v/>
      </c>
      <c r="AG1427">
        <f>IFERROR(MATCH(ROW()-1,Calc!$J$2:$J$1601,0),"")</f>
        <v/>
      </c>
      <c r="AH1427">
        <f>IFERROR(MATCH(ROW()-1,Calc!$K$2:$K$1601,0),"")</f>
        <v/>
      </c>
      <c r="AI1427">
        <f>IF($AG1427="","",SUMIF($AG$2:$AG1427,$AG1427,$AH$2:$AH1427))</f>
        <v/>
      </c>
      <c r="AJ1427">
        <f>IF('TMP Paste'!$F1427="","",IF('TMP Paste'!$B1427="",$AJ1426,'TMP Paste'!$B1427))</f>
        <v/>
      </c>
      <c r="AK1427">
        <f>IF('TMP Paste'!$F1427="","",N('TMP Paste'!$G1427))</f>
        <v/>
      </c>
      <c r="AL1427">
        <f>IF('TMP Paste'!$F1427="","",IF('TMP Paste'!$M1427="",$AL1426,'TMP Paste'!$M1427))</f>
        <v/>
      </c>
      <c r="AM1427">
        <f>IF('TMP Paste'!$F1427="","",IF('TMP Paste'!$N1427="",$AM1426,'TMP Paste'!$N1427))</f>
        <v/>
      </c>
      <c r="AN1427">
        <f>IF('TMP Paste'!$F1427="","",IF('TMP Paste'!$O1427="",$AN1426,'TMP Paste'!$O1427))</f>
        <v/>
      </c>
      <c r="AO1427">
        <f>IF('TMP Paste'!$F1427="","",IF('TMP Paste'!$P1427="",$AO1426,'TMP Paste'!$P1427))</f>
        <v/>
      </c>
      <c r="AP1427">
        <f>IF($AG1427="","",LEN($R1427))</f>
        <v/>
      </c>
      <c r="AQ1427">
        <f>IF($AG1427="","",TRIM(IF(COUNTIFS(Calc!$B$2:$B$1601,ROW()-1,Calc!$C$2:$C$1601,"&lt;1")&gt;0,"Ada PO tanpa Koli - cek TMP. ","")&amp;IF(LEN($R1427)&gt;500,"R &gt; 500 karakter.","")))</f>
        <v/>
      </c>
    </row>
    <row r="1428">
      <c r="A1428">
        <f>IF($AG1428="","",INDEX('TMP Paste'!$B$2:$B$1601,$AG1428))</f>
        <v/>
      </c>
      <c r="B1428">
        <f>IF($AG1428="","",Config!$B$14)</f>
        <v/>
      </c>
      <c r="C1428">
        <f>IF($AG1428="","",Config!$B$15)</f>
        <v/>
      </c>
      <c r="D1428">
        <f>IF($AG1428="","",INDEX('TMP Paste'!$B$2:$B$1601,$AG1428))</f>
        <v/>
      </c>
      <c r="E1428">
        <f>IF($AG1428="","",Config!$B$27)</f>
        <v/>
      </c>
      <c r="F1428">
        <f>IF($AG1428="","",Config!$B$9)</f>
        <v/>
      </c>
      <c r="G1428">
        <f>IF($AG1428="","",Config!$B$10)</f>
        <v/>
      </c>
      <c r="H1428">
        <f>IF($AG1428="","",Config!$B$11)</f>
        <v/>
      </c>
      <c r="I1428">
        <f>IF($AG1428="","",Config!$B$16)</f>
        <v/>
      </c>
      <c r="J1428">
        <f>IF($AG1428="","",INDEX('TMP Paste'!$A$2:$A$1601,$AG1428))</f>
        <v/>
      </c>
      <c r="K1428">
        <f>IF($AG1428="","",INDEX('TMP Paste'!$L$2:$L$1601,$AG1428))</f>
        <v/>
      </c>
      <c r="L1428">
        <f>IF($AG1428="","",INDEX('TMP Paste'!$I$2:$I$1601,$AG1428))</f>
        <v/>
      </c>
      <c r="M1428">
        <f>IF($AG1428="","",Config!$B$16)</f>
        <v/>
      </c>
      <c r="N1428">
        <f>IF($AG1428="","","")</f>
        <v/>
      </c>
      <c r="O1428">
        <f>IF($AG1428="","",INDEX('TMP Paste'!$K$2:$K$1601,$AG1428))</f>
        <v/>
      </c>
      <c r="P1428">
        <f>IF($AG1428="","","")</f>
        <v/>
      </c>
      <c r="Q1428">
        <f>IF($AG1428="","",INDEX('TMP Paste'!$J$2:$J$1601,$AG1428))</f>
        <v/>
      </c>
      <c r="R1428">
        <f>IF($AG1428="","",Config!$B$24)</f>
        <v/>
      </c>
      <c r="S1428">
        <f>IF($AG1428="","",TEXT(Config!$B$4,"yyyy-mm-dd"))</f>
        <v/>
      </c>
      <c r="T1428">
        <f>IF($AG1428="","",Config!$B$17)</f>
        <v/>
      </c>
      <c r="U1428">
        <f>IF($AG1428="","",Config!$B$18)</f>
        <v/>
      </c>
      <c r="V1428">
        <f>IF($AG1428="","",Config!$B$19)</f>
        <v/>
      </c>
      <c r="W1428">
        <f>IF($AG1428="","",INDEX('TMP Paste'!$C$2:$C$1601,$AG1428))</f>
        <v/>
      </c>
      <c r="X1428">
        <f>IF($AG1428="","",Config!$B$29)</f>
        <v/>
      </c>
      <c r="Y1428">
        <f>IF($AH1428="","",INDEX(Calc!$I$2:$I$1601,$AH1428)&amp;" - "&amp;INDEX(Calc!$D$2:$D$1601,$AH1428)&amp;" koli")</f>
        <v/>
      </c>
      <c r="Z1428">
        <f>IF($AG1428="","",Config!$B$21)</f>
        <v/>
      </c>
      <c r="AA1428">
        <f>IF($AG1428="","",Config!$B$22)</f>
        <v/>
      </c>
      <c r="AB1428">
        <f>IF($AH1428="","",INDEX(Calc!$D$2:$D$1601,$AH1428))</f>
        <v/>
      </c>
      <c r="AC1428">
        <f>IF($AH1428="","",INDEX(Calc!$G$2:$G$1601,$AH1428))</f>
        <v/>
      </c>
      <c r="AD1428">
        <f>IF($AG1428="","",Config!$B$23)</f>
        <v/>
      </c>
      <c r="AE1428">
        <f>IF($AG1428="","",Config!$B$28)</f>
        <v/>
      </c>
      <c r="AG1428">
        <f>IFERROR(MATCH(ROW()-1,Calc!$J$2:$J$1601,0),"")</f>
        <v/>
      </c>
      <c r="AH1428">
        <f>IFERROR(MATCH(ROW()-1,Calc!$K$2:$K$1601,0),"")</f>
        <v/>
      </c>
      <c r="AI1428">
        <f>IF($AG1428="","",SUMIF($AG$2:$AG1428,$AG1428,$AH$2:$AH1428))</f>
        <v/>
      </c>
      <c r="AJ1428">
        <f>IF('TMP Paste'!$F1428="","",IF('TMP Paste'!$B1428="",$AJ1427,'TMP Paste'!$B1428))</f>
        <v/>
      </c>
      <c r="AK1428">
        <f>IF('TMP Paste'!$F1428="","",N('TMP Paste'!$G1428))</f>
        <v/>
      </c>
      <c r="AL1428">
        <f>IF('TMP Paste'!$F1428="","",IF('TMP Paste'!$M1428="",$AL1427,'TMP Paste'!$M1428))</f>
        <v/>
      </c>
      <c r="AM1428">
        <f>IF('TMP Paste'!$F1428="","",IF('TMP Paste'!$N1428="",$AM1427,'TMP Paste'!$N1428))</f>
        <v/>
      </c>
      <c r="AN1428">
        <f>IF('TMP Paste'!$F1428="","",IF('TMP Paste'!$O1428="",$AN1427,'TMP Paste'!$O1428))</f>
        <v/>
      </c>
      <c r="AO1428">
        <f>IF('TMP Paste'!$F1428="","",IF('TMP Paste'!$P1428="",$AO1427,'TMP Paste'!$P1428))</f>
        <v/>
      </c>
      <c r="AP1428">
        <f>IF($AG1428="","",LEN($R1428))</f>
        <v/>
      </c>
      <c r="AQ1428">
        <f>IF($AG1428="","",TRIM(IF(COUNTIFS(Calc!$B$2:$B$1601,ROW()-1,Calc!$C$2:$C$1601,"&lt;1")&gt;0,"Ada PO tanpa Koli - cek TMP. ","")&amp;IF(LEN($R1428)&gt;500,"R &gt; 500 karakter.","")))</f>
        <v/>
      </c>
    </row>
    <row r="1429">
      <c r="A1429">
        <f>IF($AG1429="","",INDEX('TMP Paste'!$B$2:$B$1601,$AG1429))</f>
        <v/>
      </c>
      <c r="B1429">
        <f>IF($AG1429="","",Config!$B$14)</f>
        <v/>
      </c>
      <c r="C1429">
        <f>IF($AG1429="","",Config!$B$15)</f>
        <v/>
      </c>
      <c r="D1429">
        <f>IF($AG1429="","",INDEX('TMP Paste'!$B$2:$B$1601,$AG1429))</f>
        <v/>
      </c>
      <c r="E1429">
        <f>IF($AG1429="","",Config!$B$27)</f>
        <v/>
      </c>
      <c r="F1429">
        <f>IF($AG1429="","",Config!$B$9)</f>
        <v/>
      </c>
      <c r="G1429">
        <f>IF($AG1429="","",Config!$B$10)</f>
        <v/>
      </c>
      <c r="H1429">
        <f>IF($AG1429="","",Config!$B$11)</f>
        <v/>
      </c>
      <c r="I1429">
        <f>IF($AG1429="","",Config!$B$16)</f>
        <v/>
      </c>
      <c r="J1429">
        <f>IF($AG1429="","",INDEX('TMP Paste'!$A$2:$A$1601,$AG1429))</f>
        <v/>
      </c>
      <c r="K1429">
        <f>IF($AG1429="","",INDEX('TMP Paste'!$L$2:$L$1601,$AG1429))</f>
        <v/>
      </c>
      <c r="L1429">
        <f>IF($AG1429="","",INDEX('TMP Paste'!$I$2:$I$1601,$AG1429))</f>
        <v/>
      </c>
      <c r="M1429">
        <f>IF($AG1429="","",Config!$B$16)</f>
        <v/>
      </c>
      <c r="N1429">
        <f>IF($AG1429="","","")</f>
        <v/>
      </c>
      <c r="O1429">
        <f>IF($AG1429="","",INDEX('TMP Paste'!$K$2:$K$1601,$AG1429))</f>
        <v/>
      </c>
      <c r="P1429">
        <f>IF($AG1429="","","")</f>
        <v/>
      </c>
      <c r="Q1429">
        <f>IF($AG1429="","",INDEX('TMP Paste'!$J$2:$J$1601,$AG1429))</f>
        <v/>
      </c>
      <c r="R1429">
        <f>IF($AG1429="","",Config!$B$24)</f>
        <v/>
      </c>
      <c r="S1429">
        <f>IF($AG1429="","",TEXT(Config!$B$4,"yyyy-mm-dd"))</f>
        <v/>
      </c>
      <c r="T1429">
        <f>IF($AG1429="","",Config!$B$17)</f>
        <v/>
      </c>
      <c r="U1429">
        <f>IF($AG1429="","",Config!$B$18)</f>
        <v/>
      </c>
      <c r="V1429">
        <f>IF($AG1429="","",Config!$B$19)</f>
        <v/>
      </c>
      <c r="W1429">
        <f>IF($AG1429="","",INDEX('TMP Paste'!$C$2:$C$1601,$AG1429))</f>
        <v/>
      </c>
      <c r="X1429">
        <f>IF($AG1429="","",Config!$B$29)</f>
        <v/>
      </c>
      <c r="Y1429">
        <f>IF($AH1429="","",INDEX(Calc!$I$2:$I$1601,$AH1429)&amp;" - "&amp;INDEX(Calc!$D$2:$D$1601,$AH1429)&amp;" koli")</f>
        <v/>
      </c>
      <c r="Z1429">
        <f>IF($AG1429="","",Config!$B$21)</f>
        <v/>
      </c>
      <c r="AA1429">
        <f>IF($AG1429="","",Config!$B$22)</f>
        <v/>
      </c>
      <c r="AB1429">
        <f>IF($AH1429="","",INDEX(Calc!$D$2:$D$1601,$AH1429))</f>
        <v/>
      </c>
      <c r="AC1429">
        <f>IF($AH1429="","",INDEX(Calc!$G$2:$G$1601,$AH1429))</f>
        <v/>
      </c>
      <c r="AD1429">
        <f>IF($AG1429="","",Config!$B$23)</f>
        <v/>
      </c>
      <c r="AE1429">
        <f>IF($AG1429="","",Config!$B$28)</f>
        <v/>
      </c>
      <c r="AG1429">
        <f>IFERROR(MATCH(ROW()-1,Calc!$J$2:$J$1601,0),"")</f>
        <v/>
      </c>
      <c r="AH1429">
        <f>IFERROR(MATCH(ROW()-1,Calc!$K$2:$K$1601,0),"")</f>
        <v/>
      </c>
      <c r="AI1429">
        <f>IF($AG1429="","",SUMIF($AG$2:$AG1429,$AG1429,$AH$2:$AH1429))</f>
        <v/>
      </c>
      <c r="AJ1429">
        <f>IF('TMP Paste'!$F1429="","",IF('TMP Paste'!$B1429="",$AJ1428,'TMP Paste'!$B1429))</f>
        <v/>
      </c>
      <c r="AK1429">
        <f>IF('TMP Paste'!$F1429="","",N('TMP Paste'!$G1429))</f>
        <v/>
      </c>
      <c r="AL1429">
        <f>IF('TMP Paste'!$F1429="","",IF('TMP Paste'!$M1429="",$AL1428,'TMP Paste'!$M1429))</f>
        <v/>
      </c>
      <c r="AM1429">
        <f>IF('TMP Paste'!$F1429="","",IF('TMP Paste'!$N1429="",$AM1428,'TMP Paste'!$N1429))</f>
        <v/>
      </c>
      <c r="AN1429">
        <f>IF('TMP Paste'!$F1429="","",IF('TMP Paste'!$O1429="",$AN1428,'TMP Paste'!$O1429))</f>
        <v/>
      </c>
      <c r="AO1429">
        <f>IF('TMP Paste'!$F1429="","",IF('TMP Paste'!$P1429="",$AO1428,'TMP Paste'!$P1429))</f>
        <v/>
      </c>
      <c r="AP1429">
        <f>IF($AG1429="","",LEN($R1429))</f>
        <v/>
      </c>
      <c r="AQ1429">
        <f>IF($AG1429="","",TRIM(IF(COUNTIFS(Calc!$B$2:$B$1601,ROW()-1,Calc!$C$2:$C$1601,"&lt;1")&gt;0,"Ada PO tanpa Koli - cek TMP. ","")&amp;IF(LEN($R1429)&gt;500,"R &gt; 500 karakter.","")))</f>
        <v/>
      </c>
    </row>
    <row r="1430">
      <c r="A1430">
        <f>IF($AG1430="","",INDEX('TMP Paste'!$B$2:$B$1601,$AG1430))</f>
        <v/>
      </c>
      <c r="B1430">
        <f>IF($AG1430="","",Config!$B$14)</f>
        <v/>
      </c>
      <c r="C1430">
        <f>IF($AG1430="","",Config!$B$15)</f>
        <v/>
      </c>
      <c r="D1430">
        <f>IF($AG1430="","",INDEX('TMP Paste'!$B$2:$B$1601,$AG1430))</f>
        <v/>
      </c>
      <c r="E1430">
        <f>IF($AG1430="","",Config!$B$27)</f>
        <v/>
      </c>
      <c r="F1430">
        <f>IF($AG1430="","",Config!$B$9)</f>
        <v/>
      </c>
      <c r="G1430">
        <f>IF($AG1430="","",Config!$B$10)</f>
        <v/>
      </c>
      <c r="H1430">
        <f>IF($AG1430="","",Config!$B$11)</f>
        <v/>
      </c>
      <c r="I1430">
        <f>IF($AG1430="","",Config!$B$16)</f>
        <v/>
      </c>
      <c r="J1430">
        <f>IF($AG1430="","",INDEX('TMP Paste'!$A$2:$A$1601,$AG1430))</f>
        <v/>
      </c>
      <c r="K1430">
        <f>IF($AG1430="","",INDEX('TMP Paste'!$L$2:$L$1601,$AG1430))</f>
        <v/>
      </c>
      <c r="L1430">
        <f>IF($AG1430="","",INDEX('TMP Paste'!$I$2:$I$1601,$AG1430))</f>
        <v/>
      </c>
      <c r="M1430">
        <f>IF($AG1430="","",Config!$B$16)</f>
        <v/>
      </c>
      <c r="N1430">
        <f>IF($AG1430="","","")</f>
        <v/>
      </c>
      <c r="O1430">
        <f>IF($AG1430="","",INDEX('TMP Paste'!$K$2:$K$1601,$AG1430))</f>
        <v/>
      </c>
      <c r="P1430">
        <f>IF($AG1430="","","")</f>
        <v/>
      </c>
      <c r="Q1430">
        <f>IF($AG1430="","",INDEX('TMP Paste'!$J$2:$J$1601,$AG1430))</f>
        <v/>
      </c>
      <c r="R1430">
        <f>IF($AG1430="","",Config!$B$24)</f>
        <v/>
      </c>
      <c r="S1430">
        <f>IF($AG1430="","",TEXT(Config!$B$4,"yyyy-mm-dd"))</f>
        <v/>
      </c>
      <c r="T1430">
        <f>IF($AG1430="","",Config!$B$17)</f>
        <v/>
      </c>
      <c r="U1430">
        <f>IF($AG1430="","",Config!$B$18)</f>
        <v/>
      </c>
      <c r="V1430">
        <f>IF($AG1430="","",Config!$B$19)</f>
        <v/>
      </c>
      <c r="W1430">
        <f>IF($AG1430="","",INDEX('TMP Paste'!$C$2:$C$1601,$AG1430))</f>
        <v/>
      </c>
      <c r="X1430">
        <f>IF($AG1430="","",Config!$B$29)</f>
        <v/>
      </c>
      <c r="Y1430">
        <f>IF($AH1430="","",INDEX(Calc!$I$2:$I$1601,$AH1430)&amp;" - "&amp;INDEX(Calc!$D$2:$D$1601,$AH1430)&amp;" koli")</f>
        <v/>
      </c>
      <c r="Z1430">
        <f>IF($AG1430="","",Config!$B$21)</f>
        <v/>
      </c>
      <c r="AA1430">
        <f>IF($AG1430="","",Config!$B$22)</f>
        <v/>
      </c>
      <c r="AB1430">
        <f>IF($AH1430="","",INDEX(Calc!$D$2:$D$1601,$AH1430))</f>
        <v/>
      </c>
      <c r="AC1430">
        <f>IF($AH1430="","",INDEX(Calc!$G$2:$G$1601,$AH1430))</f>
        <v/>
      </c>
      <c r="AD1430">
        <f>IF($AG1430="","",Config!$B$23)</f>
        <v/>
      </c>
      <c r="AE1430">
        <f>IF($AG1430="","",Config!$B$28)</f>
        <v/>
      </c>
      <c r="AG1430">
        <f>IFERROR(MATCH(ROW()-1,Calc!$J$2:$J$1601,0),"")</f>
        <v/>
      </c>
      <c r="AH1430">
        <f>IFERROR(MATCH(ROW()-1,Calc!$K$2:$K$1601,0),"")</f>
        <v/>
      </c>
      <c r="AI1430">
        <f>IF($AG1430="","",SUMIF($AG$2:$AG1430,$AG1430,$AH$2:$AH1430))</f>
        <v/>
      </c>
      <c r="AJ1430">
        <f>IF('TMP Paste'!$F1430="","",IF('TMP Paste'!$B1430="",$AJ1429,'TMP Paste'!$B1430))</f>
        <v/>
      </c>
      <c r="AK1430">
        <f>IF('TMP Paste'!$F1430="","",N('TMP Paste'!$G1430))</f>
        <v/>
      </c>
      <c r="AL1430">
        <f>IF('TMP Paste'!$F1430="","",IF('TMP Paste'!$M1430="",$AL1429,'TMP Paste'!$M1430))</f>
        <v/>
      </c>
      <c r="AM1430">
        <f>IF('TMP Paste'!$F1430="","",IF('TMP Paste'!$N1430="",$AM1429,'TMP Paste'!$N1430))</f>
        <v/>
      </c>
      <c r="AN1430">
        <f>IF('TMP Paste'!$F1430="","",IF('TMP Paste'!$O1430="",$AN1429,'TMP Paste'!$O1430))</f>
        <v/>
      </c>
      <c r="AO1430">
        <f>IF('TMP Paste'!$F1430="","",IF('TMP Paste'!$P1430="",$AO1429,'TMP Paste'!$P1430))</f>
        <v/>
      </c>
      <c r="AP1430">
        <f>IF($AG1430="","",LEN($R1430))</f>
        <v/>
      </c>
      <c r="AQ1430">
        <f>IF($AG1430="","",TRIM(IF(COUNTIFS(Calc!$B$2:$B$1601,ROW()-1,Calc!$C$2:$C$1601,"&lt;1")&gt;0,"Ada PO tanpa Koli - cek TMP. ","")&amp;IF(LEN($R1430)&gt;500,"R &gt; 500 karakter.","")))</f>
        <v/>
      </c>
    </row>
    <row r="1431">
      <c r="A1431">
        <f>IF($AG1431="","",INDEX('TMP Paste'!$B$2:$B$1601,$AG1431))</f>
        <v/>
      </c>
      <c r="B1431">
        <f>IF($AG1431="","",Config!$B$14)</f>
        <v/>
      </c>
      <c r="C1431">
        <f>IF($AG1431="","",Config!$B$15)</f>
        <v/>
      </c>
      <c r="D1431">
        <f>IF($AG1431="","",INDEX('TMP Paste'!$B$2:$B$1601,$AG1431))</f>
        <v/>
      </c>
      <c r="E1431">
        <f>IF($AG1431="","",Config!$B$27)</f>
        <v/>
      </c>
      <c r="F1431">
        <f>IF($AG1431="","",Config!$B$9)</f>
        <v/>
      </c>
      <c r="G1431">
        <f>IF($AG1431="","",Config!$B$10)</f>
        <v/>
      </c>
      <c r="H1431">
        <f>IF($AG1431="","",Config!$B$11)</f>
        <v/>
      </c>
      <c r="I1431">
        <f>IF($AG1431="","",Config!$B$16)</f>
        <v/>
      </c>
      <c r="J1431">
        <f>IF($AG1431="","",INDEX('TMP Paste'!$A$2:$A$1601,$AG1431))</f>
        <v/>
      </c>
      <c r="K1431">
        <f>IF($AG1431="","",INDEX('TMP Paste'!$L$2:$L$1601,$AG1431))</f>
        <v/>
      </c>
      <c r="L1431">
        <f>IF($AG1431="","",INDEX('TMP Paste'!$I$2:$I$1601,$AG1431))</f>
        <v/>
      </c>
      <c r="M1431">
        <f>IF($AG1431="","",Config!$B$16)</f>
        <v/>
      </c>
      <c r="N1431">
        <f>IF($AG1431="","","")</f>
        <v/>
      </c>
      <c r="O1431">
        <f>IF($AG1431="","",INDEX('TMP Paste'!$K$2:$K$1601,$AG1431))</f>
        <v/>
      </c>
      <c r="P1431">
        <f>IF($AG1431="","","")</f>
        <v/>
      </c>
      <c r="Q1431">
        <f>IF($AG1431="","",INDEX('TMP Paste'!$J$2:$J$1601,$AG1431))</f>
        <v/>
      </c>
      <c r="R1431">
        <f>IF($AG1431="","",Config!$B$24)</f>
        <v/>
      </c>
      <c r="S1431">
        <f>IF($AG1431="","",TEXT(Config!$B$4,"yyyy-mm-dd"))</f>
        <v/>
      </c>
      <c r="T1431">
        <f>IF($AG1431="","",Config!$B$17)</f>
        <v/>
      </c>
      <c r="U1431">
        <f>IF($AG1431="","",Config!$B$18)</f>
        <v/>
      </c>
      <c r="V1431">
        <f>IF($AG1431="","",Config!$B$19)</f>
        <v/>
      </c>
      <c r="W1431">
        <f>IF($AG1431="","",INDEX('TMP Paste'!$C$2:$C$1601,$AG1431))</f>
        <v/>
      </c>
      <c r="X1431">
        <f>IF($AG1431="","",Config!$B$29)</f>
        <v/>
      </c>
      <c r="Y1431">
        <f>IF($AH1431="","",INDEX(Calc!$I$2:$I$1601,$AH1431)&amp;" - "&amp;INDEX(Calc!$D$2:$D$1601,$AH1431)&amp;" koli")</f>
        <v/>
      </c>
      <c r="Z1431">
        <f>IF($AG1431="","",Config!$B$21)</f>
        <v/>
      </c>
      <c r="AA1431">
        <f>IF($AG1431="","",Config!$B$22)</f>
        <v/>
      </c>
      <c r="AB1431">
        <f>IF($AH1431="","",INDEX(Calc!$D$2:$D$1601,$AH1431))</f>
        <v/>
      </c>
      <c r="AC1431">
        <f>IF($AH1431="","",INDEX(Calc!$G$2:$G$1601,$AH1431))</f>
        <v/>
      </c>
      <c r="AD1431">
        <f>IF($AG1431="","",Config!$B$23)</f>
        <v/>
      </c>
      <c r="AE1431">
        <f>IF($AG1431="","",Config!$B$28)</f>
        <v/>
      </c>
      <c r="AG1431">
        <f>IFERROR(MATCH(ROW()-1,Calc!$J$2:$J$1601,0),"")</f>
        <v/>
      </c>
      <c r="AH1431">
        <f>IFERROR(MATCH(ROW()-1,Calc!$K$2:$K$1601,0),"")</f>
        <v/>
      </c>
      <c r="AI1431">
        <f>IF($AG1431="","",SUMIF($AG$2:$AG1431,$AG1431,$AH$2:$AH1431))</f>
        <v/>
      </c>
      <c r="AJ1431">
        <f>IF('TMP Paste'!$F1431="","",IF('TMP Paste'!$B1431="",$AJ1430,'TMP Paste'!$B1431))</f>
        <v/>
      </c>
      <c r="AK1431">
        <f>IF('TMP Paste'!$F1431="","",N('TMP Paste'!$G1431))</f>
        <v/>
      </c>
      <c r="AL1431">
        <f>IF('TMP Paste'!$F1431="","",IF('TMP Paste'!$M1431="",$AL1430,'TMP Paste'!$M1431))</f>
        <v/>
      </c>
      <c r="AM1431">
        <f>IF('TMP Paste'!$F1431="","",IF('TMP Paste'!$N1431="",$AM1430,'TMP Paste'!$N1431))</f>
        <v/>
      </c>
      <c r="AN1431">
        <f>IF('TMP Paste'!$F1431="","",IF('TMP Paste'!$O1431="",$AN1430,'TMP Paste'!$O1431))</f>
        <v/>
      </c>
      <c r="AO1431">
        <f>IF('TMP Paste'!$F1431="","",IF('TMP Paste'!$P1431="",$AO1430,'TMP Paste'!$P1431))</f>
        <v/>
      </c>
      <c r="AP1431">
        <f>IF($AG1431="","",LEN($R1431))</f>
        <v/>
      </c>
      <c r="AQ1431">
        <f>IF($AG1431="","",TRIM(IF(COUNTIFS(Calc!$B$2:$B$1601,ROW()-1,Calc!$C$2:$C$1601,"&lt;1")&gt;0,"Ada PO tanpa Koli - cek TMP. ","")&amp;IF(LEN($R1431)&gt;500,"R &gt; 500 karakter.","")))</f>
        <v/>
      </c>
    </row>
    <row r="1432">
      <c r="A1432">
        <f>IF($AG1432="","",INDEX('TMP Paste'!$B$2:$B$1601,$AG1432))</f>
        <v/>
      </c>
      <c r="B1432">
        <f>IF($AG1432="","",Config!$B$14)</f>
        <v/>
      </c>
      <c r="C1432">
        <f>IF($AG1432="","",Config!$B$15)</f>
        <v/>
      </c>
      <c r="D1432">
        <f>IF($AG1432="","",INDEX('TMP Paste'!$B$2:$B$1601,$AG1432))</f>
        <v/>
      </c>
      <c r="E1432">
        <f>IF($AG1432="","",Config!$B$27)</f>
        <v/>
      </c>
      <c r="F1432">
        <f>IF($AG1432="","",Config!$B$9)</f>
        <v/>
      </c>
      <c r="G1432">
        <f>IF($AG1432="","",Config!$B$10)</f>
        <v/>
      </c>
      <c r="H1432">
        <f>IF($AG1432="","",Config!$B$11)</f>
        <v/>
      </c>
      <c r="I1432">
        <f>IF($AG1432="","",Config!$B$16)</f>
        <v/>
      </c>
      <c r="J1432">
        <f>IF($AG1432="","",INDEX('TMP Paste'!$A$2:$A$1601,$AG1432))</f>
        <v/>
      </c>
      <c r="K1432">
        <f>IF($AG1432="","",INDEX('TMP Paste'!$L$2:$L$1601,$AG1432))</f>
        <v/>
      </c>
      <c r="L1432">
        <f>IF($AG1432="","",INDEX('TMP Paste'!$I$2:$I$1601,$AG1432))</f>
        <v/>
      </c>
      <c r="M1432">
        <f>IF($AG1432="","",Config!$B$16)</f>
        <v/>
      </c>
      <c r="N1432">
        <f>IF($AG1432="","","")</f>
        <v/>
      </c>
      <c r="O1432">
        <f>IF($AG1432="","",INDEX('TMP Paste'!$K$2:$K$1601,$AG1432))</f>
        <v/>
      </c>
      <c r="P1432">
        <f>IF($AG1432="","","")</f>
        <v/>
      </c>
      <c r="Q1432">
        <f>IF($AG1432="","",INDEX('TMP Paste'!$J$2:$J$1601,$AG1432))</f>
        <v/>
      </c>
      <c r="R1432">
        <f>IF($AG1432="","",Config!$B$24)</f>
        <v/>
      </c>
      <c r="S1432">
        <f>IF($AG1432="","",TEXT(Config!$B$4,"yyyy-mm-dd"))</f>
        <v/>
      </c>
      <c r="T1432">
        <f>IF($AG1432="","",Config!$B$17)</f>
        <v/>
      </c>
      <c r="U1432">
        <f>IF($AG1432="","",Config!$B$18)</f>
        <v/>
      </c>
      <c r="V1432">
        <f>IF($AG1432="","",Config!$B$19)</f>
        <v/>
      </c>
      <c r="W1432">
        <f>IF($AG1432="","",INDEX('TMP Paste'!$C$2:$C$1601,$AG1432))</f>
        <v/>
      </c>
      <c r="X1432">
        <f>IF($AG1432="","",Config!$B$29)</f>
        <v/>
      </c>
      <c r="Y1432">
        <f>IF($AH1432="","",INDEX(Calc!$I$2:$I$1601,$AH1432)&amp;" - "&amp;INDEX(Calc!$D$2:$D$1601,$AH1432)&amp;" koli")</f>
        <v/>
      </c>
      <c r="Z1432">
        <f>IF($AG1432="","",Config!$B$21)</f>
        <v/>
      </c>
      <c r="AA1432">
        <f>IF($AG1432="","",Config!$B$22)</f>
        <v/>
      </c>
      <c r="AB1432">
        <f>IF($AH1432="","",INDEX(Calc!$D$2:$D$1601,$AH1432))</f>
        <v/>
      </c>
      <c r="AC1432">
        <f>IF($AH1432="","",INDEX(Calc!$G$2:$G$1601,$AH1432))</f>
        <v/>
      </c>
      <c r="AD1432">
        <f>IF($AG1432="","",Config!$B$23)</f>
        <v/>
      </c>
      <c r="AE1432">
        <f>IF($AG1432="","",Config!$B$28)</f>
        <v/>
      </c>
      <c r="AG1432">
        <f>IFERROR(MATCH(ROW()-1,Calc!$J$2:$J$1601,0),"")</f>
        <v/>
      </c>
      <c r="AH1432">
        <f>IFERROR(MATCH(ROW()-1,Calc!$K$2:$K$1601,0),"")</f>
        <v/>
      </c>
      <c r="AI1432">
        <f>IF($AG1432="","",SUMIF($AG$2:$AG1432,$AG1432,$AH$2:$AH1432))</f>
        <v/>
      </c>
      <c r="AJ1432">
        <f>IF('TMP Paste'!$F1432="","",IF('TMP Paste'!$B1432="",$AJ1431,'TMP Paste'!$B1432))</f>
        <v/>
      </c>
      <c r="AK1432">
        <f>IF('TMP Paste'!$F1432="","",N('TMP Paste'!$G1432))</f>
        <v/>
      </c>
      <c r="AL1432">
        <f>IF('TMP Paste'!$F1432="","",IF('TMP Paste'!$M1432="",$AL1431,'TMP Paste'!$M1432))</f>
        <v/>
      </c>
      <c r="AM1432">
        <f>IF('TMP Paste'!$F1432="","",IF('TMP Paste'!$N1432="",$AM1431,'TMP Paste'!$N1432))</f>
        <v/>
      </c>
      <c r="AN1432">
        <f>IF('TMP Paste'!$F1432="","",IF('TMP Paste'!$O1432="",$AN1431,'TMP Paste'!$O1432))</f>
        <v/>
      </c>
      <c r="AO1432">
        <f>IF('TMP Paste'!$F1432="","",IF('TMP Paste'!$P1432="",$AO1431,'TMP Paste'!$P1432))</f>
        <v/>
      </c>
      <c r="AP1432">
        <f>IF($AG1432="","",LEN($R1432))</f>
        <v/>
      </c>
      <c r="AQ1432">
        <f>IF($AG1432="","",TRIM(IF(COUNTIFS(Calc!$B$2:$B$1601,ROW()-1,Calc!$C$2:$C$1601,"&lt;1")&gt;0,"Ada PO tanpa Koli - cek TMP. ","")&amp;IF(LEN($R1432)&gt;500,"R &gt; 500 karakter.","")))</f>
        <v/>
      </c>
    </row>
    <row r="1433">
      <c r="A1433">
        <f>IF($AG1433="","",INDEX('TMP Paste'!$B$2:$B$1601,$AG1433))</f>
        <v/>
      </c>
      <c r="B1433">
        <f>IF($AG1433="","",Config!$B$14)</f>
        <v/>
      </c>
      <c r="C1433">
        <f>IF($AG1433="","",Config!$B$15)</f>
        <v/>
      </c>
      <c r="D1433">
        <f>IF($AG1433="","",INDEX('TMP Paste'!$B$2:$B$1601,$AG1433))</f>
        <v/>
      </c>
      <c r="E1433">
        <f>IF($AG1433="","",Config!$B$27)</f>
        <v/>
      </c>
      <c r="F1433">
        <f>IF($AG1433="","",Config!$B$9)</f>
        <v/>
      </c>
      <c r="G1433">
        <f>IF($AG1433="","",Config!$B$10)</f>
        <v/>
      </c>
      <c r="H1433">
        <f>IF($AG1433="","",Config!$B$11)</f>
        <v/>
      </c>
      <c r="I1433">
        <f>IF($AG1433="","",Config!$B$16)</f>
        <v/>
      </c>
      <c r="J1433">
        <f>IF($AG1433="","",INDEX('TMP Paste'!$A$2:$A$1601,$AG1433))</f>
        <v/>
      </c>
      <c r="K1433">
        <f>IF($AG1433="","",INDEX('TMP Paste'!$L$2:$L$1601,$AG1433))</f>
        <v/>
      </c>
      <c r="L1433">
        <f>IF($AG1433="","",INDEX('TMP Paste'!$I$2:$I$1601,$AG1433))</f>
        <v/>
      </c>
      <c r="M1433">
        <f>IF($AG1433="","",Config!$B$16)</f>
        <v/>
      </c>
      <c r="N1433">
        <f>IF($AG1433="","","")</f>
        <v/>
      </c>
      <c r="O1433">
        <f>IF($AG1433="","",INDEX('TMP Paste'!$K$2:$K$1601,$AG1433))</f>
        <v/>
      </c>
      <c r="P1433">
        <f>IF($AG1433="","","")</f>
        <v/>
      </c>
      <c r="Q1433">
        <f>IF($AG1433="","",INDEX('TMP Paste'!$J$2:$J$1601,$AG1433))</f>
        <v/>
      </c>
      <c r="R1433">
        <f>IF($AG1433="","",Config!$B$24)</f>
        <v/>
      </c>
      <c r="S1433">
        <f>IF($AG1433="","",TEXT(Config!$B$4,"yyyy-mm-dd"))</f>
        <v/>
      </c>
      <c r="T1433">
        <f>IF($AG1433="","",Config!$B$17)</f>
        <v/>
      </c>
      <c r="U1433">
        <f>IF($AG1433="","",Config!$B$18)</f>
        <v/>
      </c>
      <c r="V1433">
        <f>IF($AG1433="","",Config!$B$19)</f>
        <v/>
      </c>
      <c r="W1433">
        <f>IF($AG1433="","",INDEX('TMP Paste'!$C$2:$C$1601,$AG1433))</f>
        <v/>
      </c>
      <c r="X1433">
        <f>IF($AG1433="","",Config!$B$29)</f>
        <v/>
      </c>
      <c r="Y1433">
        <f>IF($AH1433="","",INDEX(Calc!$I$2:$I$1601,$AH1433)&amp;" - "&amp;INDEX(Calc!$D$2:$D$1601,$AH1433)&amp;" koli")</f>
        <v/>
      </c>
      <c r="Z1433">
        <f>IF($AG1433="","",Config!$B$21)</f>
        <v/>
      </c>
      <c r="AA1433">
        <f>IF($AG1433="","",Config!$B$22)</f>
        <v/>
      </c>
      <c r="AB1433">
        <f>IF($AH1433="","",INDEX(Calc!$D$2:$D$1601,$AH1433))</f>
        <v/>
      </c>
      <c r="AC1433">
        <f>IF($AH1433="","",INDEX(Calc!$G$2:$G$1601,$AH1433))</f>
        <v/>
      </c>
      <c r="AD1433">
        <f>IF($AG1433="","",Config!$B$23)</f>
        <v/>
      </c>
      <c r="AE1433">
        <f>IF($AG1433="","",Config!$B$28)</f>
        <v/>
      </c>
      <c r="AG1433">
        <f>IFERROR(MATCH(ROW()-1,Calc!$J$2:$J$1601,0),"")</f>
        <v/>
      </c>
      <c r="AH1433">
        <f>IFERROR(MATCH(ROW()-1,Calc!$K$2:$K$1601,0),"")</f>
        <v/>
      </c>
      <c r="AI1433">
        <f>IF($AG1433="","",SUMIF($AG$2:$AG1433,$AG1433,$AH$2:$AH1433))</f>
        <v/>
      </c>
      <c r="AJ1433">
        <f>IF('TMP Paste'!$F1433="","",IF('TMP Paste'!$B1433="",$AJ1432,'TMP Paste'!$B1433))</f>
        <v/>
      </c>
      <c r="AK1433">
        <f>IF('TMP Paste'!$F1433="","",N('TMP Paste'!$G1433))</f>
        <v/>
      </c>
      <c r="AL1433">
        <f>IF('TMP Paste'!$F1433="","",IF('TMP Paste'!$M1433="",$AL1432,'TMP Paste'!$M1433))</f>
        <v/>
      </c>
      <c r="AM1433">
        <f>IF('TMP Paste'!$F1433="","",IF('TMP Paste'!$N1433="",$AM1432,'TMP Paste'!$N1433))</f>
        <v/>
      </c>
      <c r="AN1433">
        <f>IF('TMP Paste'!$F1433="","",IF('TMP Paste'!$O1433="",$AN1432,'TMP Paste'!$O1433))</f>
        <v/>
      </c>
      <c r="AO1433">
        <f>IF('TMP Paste'!$F1433="","",IF('TMP Paste'!$P1433="",$AO1432,'TMP Paste'!$P1433))</f>
        <v/>
      </c>
      <c r="AP1433">
        <f>IF($AG1433="","",LEN($R1433))</f>
        <v/>
      </c>
      <c r="AQ1433">
        <f>IF($AG1433="","",TRIM(IF(COUNTIFS(Calc!$B$2:$B$1601,ROW()-1,Calc!$C$2:$C$1601,"&lt;1")&gt;0,"Ada PO tanpa Koli - cek TMP. ","")&amp;IF(LEN($R1433)&gt;500,"R &gt; 500 karakter.","")))</f>
        <v/>
      </c>
    </row>
    <row r="1434">
      <c r="A1434">
        <f>IF($AG1434="","",INDEX('TMP Paste'!$B$2:$B$1601,$AG1434))</f>
        <v/>
      </c>
      <c r="B1434">
        <f>IF($AG1434="","",Config!$B$14)</f>
        <v/>
      </c>
      <c r="C1434">
        <f>IF($AG1434="","",Config!$B$15)</f>
        <v/>
      </c>
      <c r="D1434">
        <f>IF($AG1434="","",INDEX('TMP Paste'!$B$2:$B$1601,$AG1434))</f>
        <v/>
      </c>
      <c r="E1434">
        <f>IF($AG1434="","",Config!$B$27)</f>
        <v/>
      </c>
      <c r="F1434">
        <f>IF($AG1434="","",Config!$B$9)</f>
        <v/>
      </c>
      <c r="G1434">
        <f>IF($AG1434="","",Config!$B$10)</f>
        <v/>
      </c>
      <c r="H1434">
        <f>IF($AG1434="","",Config!$B$11)</f>
        <v/>
      </c>
      <c r="I1434">
        <f>IF($AG1434="","",Config!$B$16)</f>
        <v/>
      </c>
      <c r="J1434">
        <f>IF($AG1434="","",INDEX('TMP Paste'!$A$2:$A$1601,$AG1434))</f>
        <v/>
      </c>
      <c r="K1434">
        <f>IF($AG1434="","",INDEX('TMP Paste'!$L$2:$L$1601,$AG1434))</f>
        <v/>
      </c>
      <c r="L1434">
        <f>IF($AG1434="","",INDEX('TMP Paste'!$I$2:$I$1601,$AG1434))</f>
        <v/>
      </c>
      <c r="M1434">
        <f>IF($AG1434="","",Config!$B$16)</f>
        <v/>
      </c>
      <c r="N1434">
        <f>IF($AG1434="","","")</f>
        <v/>
      </c>
      <c r="O1434">
        <f>IF($AG1434="","",INDEX('TMP Paste'!$K$2:$K$1601,$AG1434))</f>
        <v/>
      </c>
      <c r="P1434">
        <f>IF($AG1434="","","")</f>
        <v/>
      </c>
      <c r="Q1434">
        <f>IF($AG1434="","",INDEX('TMP Paste'!$J$2:$J$1601,$AG1434))</f>
        <v/>
      </c>
      <c r="R1434">
        <f>IF($AG1434="","",Config!$B$24)</f>
        <v/>
      </c>
      <c r="S1434">
        <f>IF($AG1434="","",TEXT(Config!$B$4,"yyyy-mm-dd"))</f>
        <v/>
      </c>
      <c r="T1434">
        <f>IF($AG1434="","",Config!$B$17)</f>
        <v/>
      </c>
      <c r="U1434">
        <f>IF($AG1434="","",Config!$B$18)</f>
        <v/>
      </c>
      <c r="V1434">
        <f>IF($AG1434="","",Config!$B$19)</f>
        <v/>
      </c>
      <c r="W1434">
        <f>IF($AG1434="","",INDEX('TMP Paste'!$C$2:$C$1601,$AG1434))</f>
        <v/>
      </c>
      <c r="X1434">
        <f>IF($AG1434="","",Config!$B$29)</f>
        <v/>
      </c>
      <c r="Y1434">
        <f>IF($AH1434="","",INDEX(Calc!$I$2:$I$1601,$AH1434)&amp;" - "&amp;INDEX(Calc!$D$2:$D$1601,$AH1434)&amp;" koli")</f>
        <v/>
      </c>
      <c r="Z1434">
        <f>IF($AG1434="","",Config!$B$21)</f>
        <v/>
      </c>
      <c r="AA1434">
        <f>IF($AG1434="","",Config!$B$22)</f>
        <v/>
      </c>
      <c r="AB1434">
        <f>IF($AH1434="","",INDEX(Calc!$D$2:$D$1601,$AH1434))</f>
        <v/>
      </c>
      <c r="AC1434">
        <f>IF($AH1434="","",INDEX(Calc!$G$2:$G$1601,$AH1434))</f>
        <v/>
      </c>
      <c r="AD1434">
        <f>IF($AG1434="","",Config!$B$23)</f>
        <v/>
      </c>
      <c r="AE1434">
        <f>IF($AG1434="","",Config!$B$28)</f>
        <v/>
      </c>
      <c r="AG1434">
        <f>IFERROR(MATCH(ROW()-1,Calc!$J$2:$J$1601,0),"")</f>
        <v/>
      </c>
      <c r="AH1434">
        <f>IFERROR(MATCH(ROW()-1,Calc!$K$2:$K$1601,0),"")</f>
        <v/>
      </c>
      <c r="AI1434">
        <f>IF($AG1434="","",SUMIF($AG$2:$AG1434,$AG1434,$AH$2:$AH1434))</f>
        <v/>
      </c>
      <c r="AJ1434">
        <f>IF('TMP Paste'!$F1434="","",IF('TMP Paste'!$B1434="",$AJ1433,'TMP Paste'!$B1434))</f>
        <v/>
      </c>
      <c r="AK1434">
        <f>IF('TMP Paste'!$F1434="","",N('TMP Paste'!$G1434))</f>
        <v/>
      </c>
      <c r="AL1434">
        <f>IF('TMP Paste'!$F1434="","",IF('TMP Paste'!$M1434="",$AL1433,'TMP Paste'!$M1434))</f>
        <v/>
      </c>
      <c r="AM1434">
        <f>IF('TMP Paste'!$F1434="","",IF('TMP Paste'!$N1434="",$AM1433,'TMP Paste'!$N1434))</f>
        <v/>
      </c>
      <c r="AN1434">
        <f>IF('TMP Paste'!$F1434="","",IF('TMP Paste'!$O1434="",$AN1433,'TMP Paste'!$O1434))</f>
        <v/>
      </c>
      <c r="AO1434">
        <f>IF('TMP Paste'!$F1434="","",IF('TMP Paste'!$P1434="",$AO1433,'TMP Paste'!$P1434))</f>
        <v/>
      </c>
      <c r="AP1434">
        <f>IF($AG1434="","",LEN($R1434))</f>
        <v/>
      </c>
      <c r="AQ1434">
        <f>IF($AG1434="","",TRIM(IF(COUNTIFS(Calc!$B$2:$B$1601,ROW()-1,Calc!$C$2:$C$1601,"&lt;1")&gt;0,"Ada PO tanpa Koli - cek TMP. ","")&amp;IF(LEN($R1434)&gt;500,"R &gt; 500 karakter.","")))</f>
        <v/>
      </c>
    </row>
    <row r="1435">
      <c r="A1435">
        <f>IF($AG1435="","",INDEX('TMP Paste'!$B$2:$B$1601,$AG1435))</f>
        <v/>
      </c>
      <c r="B1435">
        <f>IF($AG1435="","",Config!$B$14)</f>
        <v/>
      </c>
      <c r="C1435">
        <f>IF($AG1435="","",Config!$B$15)</f>
        <v/>
      </c>
      <c r="D1435">
        <f>IF($AG1435="","",INDEX('TMP Paste'!$B$2:$B$1601,$AG1435))</f>
        <v/>
      </c>
      <c r="E1435">
        <f>IF($AG1435="","",Config!$B$27)</f>
        <v/>
      </c>
      <c r="F1435">
        <f>IF($AG1435="","",Config!$B$9)</f>
        <v/>
      </c>
      <c r="G1435">
        <f>IF($AG1435="","",Config!$B$10)</f>
        <v/>
      </c>
      <c r="H1435">
        <f>IF($AG1435="","",Config!$B$11)</f>
        <v/>
      </c>
      <c r="I1435">
        <f>IF($AG1435="","",Config!$B$16)</f>
        <v/>
      </c>
      <c r="J1435">
        <f>IF($AG1435="","",INDEX('TMP Paste'!$A$2:$A$1601,$AG1435))</f>
        <v/>
      </c>
      <c r="K1435">
        <f>IF($AG1435="","",INDEX('TMP Paste'!$L$2:$L$1601,$AG1435))</f>
        <v/>
      </c>
      <c r="L1435">
        <f>IF($AG1435="","",INDEX('TMP Paste'!$I$2:$I$1601,$AG1435))</f>
        <v/>
      </c>
      <c r="M1435">
        <f>IF($AG1435="","",Config!$B$16)</f>
        <v/>
      </c>
      <c r="N1435">
        <f>IF($AG1435="","","")</f>
        <v/>
      </c>
      <c r="O1435">
        <f>IF($AG1435="","",INDEX('TMP Paste'!$K$2:$K$1601,$AG1435))</f>
        <v/>
      </c>
      <c r="P1435">
        <f>IF($AG1435="","","")</f>
        <v/>
      </c>
      <c r="Q1435">
        <f>IF($AG1435="","",INDEX('TMP Paste'!$J$2:$J$1601,$AG1435))</f>
        <v/>
      </c>
      <c r="R1435">
        <f>IF($AG1435="","",Config!$B$24)</f>
        <v/>
      </c>
      <c r="S1435">
        <f>IF($AG1435="","",TEXT(Config!$B$4,"yyyy-mm-dd"))</f>
        <v/>
      </c>
      <c r="T1435">
        <f>IF($AG1435="","",Config!$B$17)</f>
        <v/>
      </c>
      <c r="U1435">
        <f>IF($AG1435="","",Config!$B$18)</f>
        <v/>
      </c>
      <c r="V1435">
        <f>IF($AG1435="","",Config!$B$19)</f>
        <v/>
      </c>
      <c r="W1435">
        <f>IF($AG1435="","",INDEX('TMP Paste'!$C$2:$C$1601,$AG1435))</f>
        <v/>
      </c>
      <c r="X1435">
        <f>IF($AG1435="","",Config!$B$29)</f>
        <v/>
      </c>
      <c r="Y1435">
        <f>IF($AH1435="","",INDEX(Calc!$I$2:$I$1601,$AH1435)&amp;" - "&amp;INDEX(Calc!$D$2:$D$1601,$AH1435)&amp;" koli")</f>
        <v/>
      </c>
      <c r="Z1435">
        <f>IF($AG1435="","",Config!$B$21)</f>
        <v/>
      </c>
      <c r="AA1435">
        <f>IF($AG1435="","",Config!$B$22)</f>
        <v/>
      </c>
      <c r="AB1435">
        <f>IF($AH1435="","",INDEX(Calc!$D$2:$D$1601,$AH1435))</f>
        <v/>
      </c>
      <c r="AC1435">
        <f>IF($AH1435="","",INDEX(Calc!$G$2:$G$1601,$AH1435))</f>
        <v/>
      </c>
      <c r="AD1435">
        <f>IF($AG1435="","",Config!$B$23)</f>
        <v/>
      </c>
      <c r="AE1435">
        <f>IF($AG1435="","",Config!$B$28)</f>
        <v/>
      </c>
      <c r="AG1435">
        <f>IFERROR(MATCH(ROW()-1,Calc!$J$2:$J$1601,0),"")</f>
        <v/>
      </c>
      <c r="AH1435">
        <f>IFERROR(MATCH(ROW()-1,Calc!$K$2:$K$1601,0),"")</f>
        <v/>
      </c>
      <c r="AI1435">
        <f>IF($AG1435="","",SUMIF($AG$2:$AG1435,$AG1435,$AH$2:$AH1435))</f>
        <v/>
      </c>
      <c r="AJ1435">
        <f>IF('TMP Paste'!$F1435="","",IF('TMP Paste'!$B1435="",$AJ1434,'TMP Paste'!$B1435))</f>
        <v/>
      </c>
      <c r="AK1435">
        <f>IF('TMP Paste'!$F1435="","",N('TMP Paste'!$G1435))</f>
        <v/>
      </c>
      <c r="AL1435">
        <f>IF('TMP Paste'!$F1435="","",IF('TMP Paste'!$M1435="",$AL1434,'TMP Paste'!$M1435))</f>
        <v/>
      </c>
      <c r="AM1435">
        <f>IF('TMP Paste'!$F1435="","",IF('TMP Paste'!$N1435="",$AM1434,'TMP Paste'!$N1435))</f>
        <v/>
      </c>
      <c r="AN1435">
        <f>IF('TMP Paste'!$F1435="","",IF('TMP Paste'!$O1435="",$AN1434,'TMP Paste'!$O1435))</f>
        <v/>
      </c>
      <c r="AO1435">
        <f>IF('TMP Paste'!$F1435="","",IF('TMP Paste'!$P1435="",$AO1434,'TMP Paste'!$P1435))</f>
        <v/>
      </c>
      <c r="AP1435">
        <f>IF($AG1435="","",LEN($R1435))</f>
        <v/>
      </c>
      <c r="AQ1435">
        <f>IF($AG1435="","",TRIM(IF(COUNTIFS(Calc!$B$2:$B$1601,ROW()-1,Calc!$C$2:$C$1601,"&lt;1")&gt;0,"Ada PO tanpa Koli - cek TMP. ","")&amp;IF(LEN($R1435)&gt;500,"R &gt; 500 karakter.","")))</f>
        <v/>
      </c>
    </row>
    <row r="1436">
      <c r="A1436">
        <f>IF($AG1436="","",INDEX('TMP Paste'!$B$2:$B$1601,$AG1436))</f>
        <v/>
      </c>
      <c r="B1436">
        <f>IF($AG1436="","",Config!$B$14)</f>
        <v/>
      </c>
      <c r="C1436">
        <f>IF($AG1436="","",Config!$B$15)</f>
        <v/>
      </c>
      <c r="D1436">
        <f>IF($AG1436="","",INDEX('TMP Paste'!$B$2:$B$1601,$AG1436))</f>
        <v/>
      </c>
      <c r="E1436">
        <f>IF($AG1436="","",Config!$B$27)</f>
        <v/>
      </c>
      <c r="F1436">
        <f>IF($AG1436="","",Config!$B$9)</f>
        <v/>
      </c>
      <c r="G1436">
        <f>IF($AG1436="","",Config!$B$10)</f>
        <v/>
      </c>
      <c r="H1436">
        <f>IF($AG1436="","",Config!$B$11)</f>
        <v/>
      </c>
      <c r="I1436">
        <f>IF($AG1436="","",Config!$B$16)</f>
        <v/>
      </c>
      <c r="J1436">
        <f>IF($AG1436="","",INDEX('TMP Paste'!$A$2:$A$1601,$AG1436))</f>
        <v/>
      </c>
      <c r="K1436">
        <f>IF($AG1436="","",INDEX('TMP Paste'!$L$2:$L$1601,$AG1436))</f>
        <v/>
      </c>
      <c r="L1436">
        <f>IF($AG1436="","",INDEX('TMP Paste'!$I$2:$I$1601,$AG1436))</f>
        <v/>
      </c>
      <c r="M1436">
        <f>IF($AG1436="","",Config!$B$16)</f>
        <v/>
      </c>
      <c r="N1436">
        <f>IF($AG1436="","","")</f>
        <v/>
      </c>
      <c r="O1436">
        <f>IF($AG1436="","",INDEX('TMP Paste'!$K$2:$K$1601,$AG1436))</f>
        <v/>
      </c>
      <c r="P1436">
        <f>IF($AG1436="","","")</f>
        <v/>
      </c>
      <c r="Q1436">
        <f>IF($AG1436="","",INDEX('TMP Paste'!$J$2:$J$1601,$AG1436))</f>
        <v/>
      </c>
      <c r="R1436">
        <f>IF($AG1436="","",Config!$B$24)</f>
        <v/>
      </c>
      <c r="S1436">
        <f>IF($AG1436="","",TEXT(Config!$B$4,"yyyy-mm-dd"))</f>
        <v/>
      </c>
      <c r="T1436">
        <f>IF($AG1436="","",Config!$B$17)</f>
        <v/>
      </c>
      <c r="U1436">
        <f>IF($AG1436="","",Config!$B$18)</f>
        <v/>
      </c>
      <c r="V1436">
        <f>IF($AG1436="","",Config!$B$19)</f>
        <v/>
      </c>
      <c r="W1436">
        <f>IF($AG1436="","",INDEX('TMP Paste'!$C$2:$C$1601,$AG1436))</f>
        <v/>
      </c>
      <c r="X1436">
        <f>IF($AG1436="","",Config!$B$29)</f>
        <v/>
      </c>
      <c r="Y1436">
        <f>IF($AH1436="","",INDEX(Calc!$I$2:$I$1601,$AH1436)&amp;" - "&amp;INDEX(Calc!$D$2:$D$1601,$AH1436)&amp;" koli")</f>
        <v/>
      </c>
      <c r="Z1436">
        <f>IF($AG1436="","",Config!$B$21)</f>
        <v/>
      </c>
      <c r="AA1436">
        <f>IF($AG1436="","",Config!$B$22)</f>
        <v/>
      </c>
      <c r="AB1436">
        <f>IF($AH1436="","",INDEX(Calc!$D$2:$D$1601,$AH1436))</f>
        <v/>
      </c>
      <c r="AC1436">
        <f>IF($AH1436="","",INDEX(Calc!$G$2:$G$1601,$AH1436))</f>
        <v/>
      </c>
      <c r="AD1436">
        <f>IF($AG1436="","",Config!$B$23)</f>
        <v/>
      </c>
      <c r="AE1436">
        <f>IF($AG1436="","",Config!$B$28)</f>
        <v/>
      </c>
      <c r="AG1436">
        <f>IFERROR(MATCH(ROW()-1,Calc!$J$2:$J$1601,0),"")</f>
        <v/>
      </c>
      <c r="AH1436">
        <f>IFERROR(MATCH(ROW()-1,Calc!$K$2:$K$1601,0),"")</f>
        <v/>
      </c>
      <c r="AI1436">
        <f>IF($AG1436="","",SUMIF($AG$2:$AG1436,$AG1436,$AH$2:$AH1436))</f>
        <v/>
      </c>
      <c r="AJ1436">
        <f>IF('TMP Paste'!$F1436="","",IF('TMP Paste'!$B1436="",$AJ1435,'TMP Paste'!$B1436))</f>
        <v/>
      </c>
      <c r="AK1436">
        <f>IF('TMP Paste'!$F1436="","",N('TMP Paste'!$G1436))</f>
        <v/>
      </c>
      <c r="AL1436">
        <f>IF('TMP Paste'!$F1436="","",IF('TMP Paste'!$M1436="",$AL1435,'TMP Paste'!$M1436))</f>
        <v/>
      </c>
      <c r="AM1436">
        <f>IF('TMP Paste'!$F1436="","",IF('TMP Paste'!$N1436="",$AM1435,'TMP Paste'!$N1436))</f>
        <v/>
      </c>
      <c r="AN1436">
        <f>IF('TMP Paste'!$F1436="","",IF('TMP Paste'!$O1436="",$AN1435,'TMP Paste'!$O1436))</f>
        <v/>
      </c>
      <c r="AO1436">
        <f>IF('TMP Paste'!$F1436="","",IF('TMP Paste'!$P1436="",$AO1435,'TMP Paste'!$P1436))</f>
        <v/>
      </c>
      <c r="AP1436">
        <f>IF($AG1436="","",LEN($R1436))</f>
        <v/>
      </c>
      <c r="AQ1436">
        <f>IF($AG1436="","",TRIM(IF(COUNTIFS(Calc!$B$2:$B$1601,ROW()-1,Calc!$C$2:$C$1601,"&lt;1")&gt;0,"Ada PO tanpa Koli - cek TMP. ","")&amp;IF(LEN($R1436)&gt;500,"R &gt; 500 karakter.","")))</f>
        <v/>
      </c>
    </row>
    <row r="1437">
      <c r="A1437">
        <f>IF($AG1437="","",INDEX('TMP Paste'!$B$2:$B$1601,$AG1437))</f>
        <v/>
      </c>
      <c r="B1437">
        <f>IF($AG1437="","",Config!$B$14)</f>
        <v/>
      </c>
      <c r="C1437">
        <f>IF($AG1437="","",Config!$B$15)</f>
        <v/>
      </c>
      <c r="D1437">
        <f>IF($AG1437="","",INDEX('TMP Paste'!$B$2:$B$1601,$AG1437))</f>
        <v/>
      </c>
      <c r="E1437">
        <f>IF($AG1437="","",Config!$B$27)</f>
        <v/>
      </c>
      <c r="F1437">
        <f>IF($AG1437="","",Config!$B$9)</f>
        <v/>
      </c>
      <c r="G1437">
        <f>IF($AG1437="","",Config!$B$10)</f>
        <v/>
      </c>
      <c r="H1437">
        <f>IF($AG1437="","",Config!$B$11)</f>
        <v/>
      </c>
      <c r="I1437">
        <f>IF($AG1437="","",Config!$B$16)</f>
        <v/>
      </c>
      <c r="J1437">
        <f>IF($AG1437="","",INDEX('TMP Paste'!$A$2:$A$1601,$AG1437))</f>
        <v/>
      </c>
      <c r="K1437">
        <f>IF($AG1437="","",INDEX('TMP Paste'!$L$2:$L$1601,$AG1437))</f>
        <v/>
      </c>
      <c r="L1437">
        <f>IF($AG1437="","",INDEX('TMP Paste'!$I$2:$I$1601,$AG1437))</f>
        <v/>
      </c>
      <c r="M1437">
        <f>IF($AG1437="","",Config!$B$16)</f>
        <v/>
      </c>
      <c r="N1437">
        <f>IF($AG1437="","","")</f>
        <v/>
      </c>
      <c r="O1437">
        <f>IF($AG1437="","",INDEX('TMP Paste'!$K$2:$K$1601,$AG1437))</f>
        <v/>
      </c>
      <c r="P1437">
        <f>IF($AG1437="","","")</f>
        <v/>
      </c>
      <c r="Q1437">
        <f>IF($AG1437="","",INDEX('TMP Paste'!$J$2:$J$1601,$AG1437))</f>
        <v/>
      </c>
      <c r="R1437">
        <f>IF($AG1437="","",Config!$B$24)</f>
        <v/>
      </c>
      <c r="S1437">
        <f>IF($AG1437="","",TEXT(Config!$B$4,"yyyy-mm-dd"))</f>
        <v/>
      </c>
      <c r="T1437">
        <f>IF($AG1437="","",Config!$B$17)</f>
        <v/>
      </c>
      <c r="U1437">
        <f>IF($AG1437="","",Config!$B$18)</f>
        <v/>
      </c>
      <c r="V1437">
        <f>IF($AG1437="","",Config!$B$19)</f>
        <v/>
      </c>
      <c r="W1437">
        <f>IF($AG1437="","",INDEX('TMP Paste'!$C$2:$C$1601,$AG1437))</f>
        <v/>
      </c>
      <c r="X1437">
        <f>IF($AG1437="","",Config!$B$29)</f>
        <v/>
      </c>
      <c r="Y1437">
        <f>IF($AH1437="","",INDEX(Calc!$I$2:$I$1601,$AH1437)&amp;" - "&amp;INDEX(Calc!$D$2:$D$1601,$AH1437)&amp;" koli")</f>
        <v/>
      </c>
      <c r="Z1437">
        <f>IF($AG1437="","",Config!$B$21)</f>
        <v/>
      </c>
      <c r="AA1437">
        <f>IF($AG1437="","",Config!$B$22)</f>
        <v/>
      </c>
      <c r="AB1437">
        <f>IF($AH1437="","",INDEX(Calc!$D$2:$D$1601,$AH1437))</f>
        <v/>
      </c>
      <c r="AC1437">
        <f>IF($AH1437="","",INDEX(Calc!$G$2:$G$1601,$AH1437))</f>
        <v/>
      </c>
      <c r="AD1437">
        <f>IF($AG1437="","",Config!$B$23)</f>
        <v/>
      </c>
      <c r="AE1437">
        <f>IF($AG1437="","",Config!$B$28)</f>
        <v/>
      </c>
      <c r="AG1437">
        <f>IFERROR(MATCH(ROW()-1,Calc!$J$2:$J$1601,0),"")</f>
        <v/>
      </c>
      <c r="AH1437">
        <f>IFERROR(MATCH(ROW()-1,Calc!$K$2:$K$1601,0),"")</f>
        <v/>
      </c>
      <c r="AI1437">
        <f>IF($AG1437="","",SUMIF($AG$2:$AG1437,$AG1437,$AH$2:$AH1437))</f>
        <v/>
      </c>
      <c r="AJ1437">
        <f>IF('TMP Paste'!$F1437="","",IF('TMP Paste'!$B1437="",$AJ1436,'TMP Paste'!$B1437))</f>
        <v/>
      </c>
      <c r="AK1437">
        <f>IF('TMP Paste'!$F1437="","",N('TMP Paste'!$G1437))</f>
        <v/>
      </c>
      <c r="AL1437">
        <f>IF('TMP Paste'!$F1437="","",IF('TMP Paste'!$M1437="",$AL1436,'TMP Paste'!$M1437))</f>
        <v/>
      </c>
      <c r="AM1437">
        <f>IF('TMP Paste'!$F1437="","",IF('TMP Paste'!$N1437="",$AM1436,'TMP Paste'!$N1437))</f>
        <v/>
      </c>
      <c r="AN1437">
        <f>IF('TMP Paste'!$F1437="","",IF('TMP Paste'!$O1437="",$AN1436,'TMP Paste'!$O1437))</f>
        <v/>
      </c>
      <c r="AO1437">
        <f>IF('TMP Paste'!$F1437="","",IF('TMP Paste'!$P1437="",$AO1436,'TMP Paste'!$P1437))</f>
        <v/>
      </c>
      <c r="AP1437">
        <f>IF($AG1437="","",LEN($R1437))</f>
        <v/>
      </c>
      <c r="AQ1437">
        <f>IF($AG1437="","",TRIM(IF(COUNTIFS(Calc!$B$2:$B$1601,ROW()-1,Calc!$C$2:$C$1601,"&lt;1")&gt;0,"Ada PO tanpa Koli - cek TMP. ","")&amp;IF(LEN($R1437)&gt;500,"R &gt; 500 karakter.","")))</f>
        <v/>
      </c>
    </row>
    <row r="1438">
      <c r="A1438">
        <f>IF($AG1438="","",INDEX('TMP Paste'!$B$2:$B$1601,$AG1438))</f>
        <v/>
      </c>
      <c r="B1438">
        <f>IF($AG1438="","",Config!$B$14)</f>
        <v/>
      </c>
      <c r="C1438">
        <f>IF($AG1438="","",Config!$B$15)</f>
        <v/>
      </c>
      <c r="D1438">
        <f>IF($AG1438="","",INDEX('TMP Paste'!$B$2:$B$1601,$AG1438))</f>
        <v/>
      </c>
      <c r="E1438">
        <f>IF($AG1438="","",Config!$B$27)</f>
        <v/>
      </c>
      <c r="F1438">
        <f>IF($AG1438="","",Config!$B$9)</f>
        <v/>
      </c>
      <c r="G1438">
        <f>IF($AG1438="","",Config!$B$10)</f>
        <v/>
      </c>
      <c r="H1438">
        <f>IF($AG1438="","",Config!$B$11)</f>
        <v/>
      </c>
      <c r="I1438">
        <f>IF($AG1438="","",Config!$B$16)</f>
        <v/>
      </c>
      <c r="J1438">
        <f>IF($AG1438="","",INDEX('TMP Paste'!$A$2:$A$1601,$AG1438))</f>
        <v/>
      </c>
      <c r="K1438">
        <f>IF($AG1438="","",INDEX('TMP Paste'!$L$2:$L$1601,$AG1438))</f>
        <v/>
      </c>
      <c r="L1438">
        <f>IF($AG1438="","",INDEX('TMP Paste'!$I$2:$I$1601,$AG1438))</f>
        <v/>
      </c>
      <c r="M1438">
        <f>IF($AG1438="","",Config!$B$16)</f>
        <v/>
      </c>
      <c r="N1438">
        <f>IF($AG1438="","","")</f>
        <v/>
      </c>
      <c r="O1438">
        <f>IF($AG1438="","",INDEX('TMP Paste'!$K$2:$K$1601,$AG1438))</f>
        <v/>
      </c>
      <c r="P1438">
        <f>IF($AG1438="","","")</f>
        <v/>
      </c>
      <c r="Q1438">
        <f>IF($AG1438="","",INDEX('TMP Paste'!$J$2:$J$1601,$AG1438))</f>
        <v/>
      </c>
      <c r="R1438">
        <f>IF($AG1438="","",Config!$B$24)</f>
        <v/>
      </c>
      <c r="S1438">
        <f>IF($AG1438="","",TEXT(Config!$B$4,"yyyy-mm-dd"))</f>
        <v/>
      </c>
      <c r="T1438">
        <f>IF($AG1438="","",Config!$B$17)</f>
        <v/>
      </c>
      <c r="U1438">
        <f>IF($AG1438="","",Config!$B$18)</f>
        <v/>
      </c>
      <c r="V1438">
        <f>IF($AG1438="","",Config!$B$19)</f>
        <v/>
      </c>
      <c r="W1438">
        <f>IF($AG1438="","",INDEX('TMP Paste'!$C$2:$C$1601,$AG1438))</f>
        <v/>
      </c>
      <c r="X1438">
        <f>IF($AG1438="","",Config!$B$29)</f>
        <v/>
      </c>
      <c r="Y1438">
        <f>IF($AH1438="","",INDEX(Calc!$I$2:$I$1601,$AH1438)&amp;" - "&amp;INDEX(Calc!$D$2:$D$1601,$AH1438)&amp;" koli")</f>
        <v/>
      </c>
      <c r="Z1438">
        <f>IF($AG1438="","",Config!$B$21)</f>
        <v/>
      </c>
      <c r="AA1438">
        <f>IF($AG1438="","",Config!$B$22)</f>
        <v/>
      </c>
      <c r="AB1438">
        <f>IF($AH1438="","",INDEX(Calc!$D$2:$D$1601,$AH1438))</f>
        <v/>
      </c>
      <c r="AC1438">
        <f>IF($AH1438="","",INDEX(Calc!$G$2:$G$1601,$AH1438))</f>
        <v/>
      </c>
      <c r="AD1438">
        <f>IF($AG1438="","",Config!$B$23)</f>
        <v/>
      </c>
      <c r="AE1438">
        <f>IF($AG1438="","",Config!$B$28)</f>
        <v/>
      </c>
      <c r="AG1438">
        <f>IFERROR(MATCH(ROW()-1,Calc!$J$2:$J$1601,0),"")</f>
        <v/>
      </c>
      <c r="AH1438">
        <f>IFERROR(MATCH(ROW()-1,Calc!$K$2:$K$1601,0),"")</f>
        <v/>
      </c>
      <c r="AI1438">
        <f>IF($AG1438="","",SUMIF($AG$2:$AG1438,$AG1438,$AH$2:$AH1438))</f>
        <v/>
      </c>
      <c r="AJ1438">
        <f>IF('TMP Paste'!$F1438="","",IF('TMP Paste'!$B1438="",$AJ1437,'TMP Paste'!$B1438))</f>
        <v/>
      </c>
      <c r="AK1438">
        <f>IF('TMP Paste'!$F1438="","",N('TMP Paste'!$G1438))</f>
        <v/>
      </c>
      <c r="AL1438">
        <f>IF('TMP Paste'!$F1438="","",IF('TMP Paste'!$M1438="",$AL1437,'TMP Paste'!$M1438))</f>
        <v/>
      </c>
      <c r="AM1438">
        <f>IF('TMP Paste'!$F1438="","",IF('TMP Paste'!$N1438="",$AM1437,'TMP Paste'!$N1438))</f>
        <v/>
      </c>
      <c r="AN1438">
        <f>IF('TMP Paste'!$F1438="","",IF('TMP Paste'!$O1438="",$AN1437,'TMP Paste'!$O1438))</f>
        <v/>
      </c>
      <c r="AO1438">
        <f>IF('TMP Paste'!$F1438="","",IF('TMP Paste'!$P1438="",$AO1437,'TMP Paste'!$P1438))</f>
        <v/>
      </c>
      <c r="AP1438">
        <f>IF($AG1438="","",LEN($R1438))</f>
        <v/>
      </c>
      <c r="AQ1438">
        <f>IF($AG1438="","",TRIM(IF(COUNTIFS(Calc!$B$2:$B$1601,ROW()-1,Calc!$C$2:$C$1601,"&lt;1")&gt;0,"Ada PO tanpa Koli - cek TMP. ","")&amp;IF(LEN($R1438)&gt;500,"R &gt; 500 karakter.","")))</f>
        <v/>
      </c>
    </row>
    <row r="1439">
      <c r="A1439">
        <f>IF($AG1439="","",INDEX('TMP Paste'!$B$2:$B$1601,$AG1439))</f>
        <v/>
      </c>
      <c r="B1439">
        <f>IF($AG1439="","",Config!$B$14)</f>
        <v/>
      </c>
      <c r="C1439">
        <f>IF($AG1439="","",Config!$B$15)</f>
        <v/>
      </c>
      <c r="D1439">
        <f>IF($AG1439="","",INDEX('TMP Paste'!$B$2:$B$1601,$AG1439))</f>
        <v/>
      </c>
      <c r="E1439">
        <f>IF($AG1439="","",Config!$B$27)</f>
        <v/>
      </c>
      <c r="F1439">
        <f>IF($AG1439="","",Config!$B$9)</f>
        <v/>
      </c>
      <c r="G1439">
        <f>IF($AG1439="","",Config!$B$10)</f>
        <v/>
      </c>
      <c r="H1439">
        <f>IF($AG1439="","",Config!$B$11)</f>
        <v/>
      </c>
      <c r="I1439">
        <f>IF($AG1439="","",Config!$B$16)</f>
        <v/>
      </c>
      <c r="J1439">
        <f>IF($AG1439="","",INDEX('TMP Paste'!$A$2:$A$1601,$AG1439))</f>
        <v/>
      </c>
      <c r="K1439">
        <f>IF($AG1439="","",INDEX('TMP Paste'!$L$2:$L$1601,$AG1439))</f>
        <v/>
      </c>
      <c r="L1439">
        <f>IF($AG1439="","",INDEX('TMP Paste'!$I$2:$I$1601,$AG1439))</f>
        <v/>
      </c>
      <c r="M1439">
        <f>IF($AG1439="","",Config!$B$16)</f>
        <v/>
      </c>
      <c r="N1439">
        <f>IF($AG1439="","","")</f>
        <v/>
      </c>
      <c r="O1439">
        <f>IF($AG1439="","",INDEX('TMP Paste'!$K$2:$K$1601,$AG1439))</f>
        <v/>
      </c>
      <c r="P1439">
        <f>IF($AG1439="","","")</f>
        <v/>
      </c>
      <c r="Q1439">
        <f>IF($AG1439="","",INDEX('TMP Paste'!$J$2:$J$1601,$AG1439))</f>
        <v/>
      </c>
      <c r="R1439">
        <f>IF($AG1439="","",Config!$B$24)</f>
        <v/>
      </c>
      <c r="S1439">
        <f>IF($AG1439="","",TEXT(Config!$B$4,"yyyy-mm-dd"))</f>
        <v/>
      </c>
      <c r="T1439">
        <f>IF($AG1439="","",Config!$B$17)</f>
        <v/>
      </c>
      <c r="U1439">
        <f>IF($AG1439="","",Config!$B$18)</f>
        <v/>
      </c>
      <c r="V1439">
        <f>IF($AG1439="","",Config!$B$19)</f>
        <v/>
      </c>
      <c r="W1439">
        <f>IF($AG1439="","",INDEX('TMP Paste'!$C$2:$C$1601,$AG1439))</f>
        <v/>
      </c>
      <c r="X1439">
        <f>IF($AG1439="","",Config!$B$29)</f>
        <v/>
      </c>
      <c r="Y1439">
        <f>IF($AH1439="","",INDEX(Calc!$I$2:$I$1601,$AH1439)&amp;" - "&amp;INDEX(Calc!$D$2:$D$1601,$AH1439)&amp;" koli")</f>
        <v/>
      </c>
      <c r="Z1439">
        <f>IF($AG1439="","",Config!$B$21)</f>
        <v/>
      </c>
      <c r="AA1439">
        <f>IF($AG1439="","",Config!$B$22)</f>
        <v/>
      </c>
      <c r="AB1439">
        <f>IF($AH1439="","",INDEX(Calc!$D$2:$D$1601,$AH1439))</f>
        <v/>
      </c>
      <c r="AC1439">
        <f>IF($AH1439="","",INDEX(Calc!$G$2:$G$1601,$AH1439))</f>
        <v/>
      </c>
      <c r="AD1439">
        <f>IF($AG1439="","",Config!$B$23)</f>
        <v/>
      </c>
      <c r="AE1439">
        <f>IF($AG1439="","",Config!$B$28)</f>
        <v/>
      </c>
      <c r="AG1439">
        <f>IFERROR(MATCH(ROW()-1,Calc!$J$2:$J$1601,0),"")</f>
        <v/>
      </c>
      <c r="AH1439">
        <f>IFERROR(MATCH(ROW()-1,Calc!$K$2:$K$1601,0),"")</f>
        <v/>
      </c>
      <c r="AI1439">
        <f>IF($AG1439="","",SUMIF($AG$2:$AG1439,$AG1439,$AH$2:$AH1439))</f>
        <v/>
      </c>
      <c r="AJ1439">
        <f>IF('TMP Paste'!$F1439="","",IF('TMP Paste'!$B1439="",$AJ1438,'TMP Paste'!$B1439))</f>
        <v/>
      </c>
      <c r="AK1439">
        <f>IF('TMP Paste'!$F1439="","",N('TMP Paste'!$G1439))</f>
        <v/>
      </c>
      <c r="AL1439">
        <f>IF('TMP Paste'!$F1439="","",IF('TMP Paste'!$M1439="",$AL1438,'TMP Paste'!$M1439))</f>
        <v/>
      </c>
      <c r="AM1439">
        <f>IF('TMP Paste'!$F1439="","",IF('TMP Paste'!$N1439="",$AM1438,'TMP Paste'!$N1439))</f>
        <v/>
      </c>
      <c r="AN1439">
        <f>IF('TMP Paste'!$F1439="","",IF('TMP Paste'!$O1439="",$AN1438,'TMP Paste'!$O1439))</f>
        <v/>
      </c>
      <c r="AO1439">
        <f>IF('TMP Paste'!$F1439="","",IF('TMP Paste'!$P1439="",$AO1438,'TMP Paste'!$P1439))</f>
        <v/>
      </c>
      <c r="AP1439">
        <f>IF($AG1439="","",LEN($R1439))</f>
        <v/>
      </c>
      <c r="AQ1439">
        <f>IF($AG1439="","",TRIM(IF(COUNTIFS(Calc!$B$2:$B$1601,ROW()-1,Calc!$C$2:$C$1601,"&lt;1")&gt;0,"Ada PO tanpa Koli - cek TMP. ","")&amp;IF(LEN($R1439)&gt;500,"R &gt; 500 karakter.","")))</f>
        <v/>
      </c>
    </row>
    <row r="1440">
      <c r="A1440">
        <f>IF($AG1440="","",INDEX('TMP Paste'!$B$2:$B$1601,$AG1440))</f>
        <v/>
      </c>
      <c r="B1440">
        <f>IF($AG1440="","",Config!$B$14)</f>
        <v/>
      </c>
      <c r="C1440">
        <f>IF($AG1440="","",Config!$B$15)</f>
        <v/>
      </c>
      <c r="D1440">
        <f>IF($AG1440="","",INDEX('TMP Paste'!$B$2:$B$1601,$AG1440))</f>
        <v/>
      </c>
      <c r="E1440">
        <f>IF($AG1440="","",Config!$B$27)</f>
        <v/>
      </c>
      <c r="F1440">
        <f>IF($AG1440="","",Config!$B$9)</f>
        <v/>
      </c>
      <c r="G1440">
        <f>IF($AG1440="","",Config!$B$10)</f>
        <v/>
      </c>
      <c r="H1440">
        <f>IF($AG1440="","",Config!$B$11)</f>
        <v/>
      </c>
      <c r="I1440">
        <f>IF($AG1440="","",Config!$B$16)</f>
        <v/>
      </c>
      <c r="J1440">
        <f>IF($AG1440="","",INDEX('TMP Paste'!$A$2:$A$1601,$AG1440))</f>
        <v/>
      </c>
      <c r="K1440">
        <f>IF($AG1440="","",INDEX('TMP Paste'!$L$2:$L$1601,$AG1440))</f>
        <v/>
      </c>
      <c r="L1440">
        <f>IF($AG1440="","",INDEX('TMP Paste'!$I$2:$I$1601,$AG1440))</f>
        <v/>
      </c>
      <c r="M1440">
        <f>IF($AG1440="","",Config!$B$16)</f>
        <v/>
      </c>
      <c r="N1440">
        <f>IF($AG1440="","","")</f>
        <v/>
      </c>
      <c r="O1440">
        <f>IF($AG1440="","",INDEX('TMP Paste'!$K$2:$K$1601,$AG1440))</f>
        <v/>
      </c>
      <c r="P1440">
        <f>IF($AG1440="","","")</f>
        <v/>
      </c>
      <c r="Q1440">
        <f>IF($AG1440="","",INDEX('TMP Paste'!$J$2:$J$1601,$AG1440))</f>
        <v/>
      </c>
      <c r="R1440">
        <f>IF($AG1440="","",Config!$B$24)</f>
        <v/>
      </c>
      <c r="S1440">
        <f>IF($AG1440="","",TEXT(Config!$B$4,"yyyy-mm-dd"))</f>
        <v/>
      </c>
      <c r="T1440">
        <f>IF($AG1440="","",Config!$B$17)</f>
        <v/>
      </c>
      <c r="U1440">
        <f>IF($AG1440="","",Config!$B$18)</f>
        <v/>
      </c>
      <c r="V1440">
        <f>IF($AG1440="","",Config!$B$19)</f>
        <v/>
      </c>
      <c r="W1440">
        <f>IF($AG1440="","",INDEX('TMP Paste'!$C$2:$C$1601,$AG1440))</f>
        <v/>
      </c>
      <c r="X1440">
        <f>IF($AG1440="","",Config!$B$29)</f>
        <v/>
      </c>
      <c r="Y1440">
        <f>IF($AH1440="","",INDEX(Calc!$I$2:$I$1601,$AH1440)&amp;" - "&amp;INDEX(Calc!$D$2:$D$1601,$AH1440)&amp;" koli")</f>
        <v/>
      </c>
      <c r="Z1440">
        <f>IF($AG1440="","",Config!$B$21)</f>
        <v/>
      </c>
      <c r="AA1440">
        <f>IF($AG1440="","",Config!$B$22)</f>
        <v/>
      </c>
      <c r="AB1440">
        <f>IF($AH1440="","",INDEX(Calc!$D$2:$D$1601,$AH1440))</f>
        <v/>
      </c>
      <c r="AC1440">
        <f>IF($AH1440="","",INDEX(Calc!$G$2:$G$1601,$AH1440))</f>
        <v/>
      </c>
      <c r="AD1440">
        <f>IF($AG1440="","",Config!$B$23)</f>
        <v/>
      </c>
      <c r="AE1440">
        <f>IF($AG1440="","",Config!$B$28)</f>
        <v/>
      </c>
      <c r="AG1440">
        <f>IFERROR(MATCH(ROW()-1,Calc!$J$2:$J$1601,0),"")</f>
        <v/>
      </c>
      <c r="AH1440">
        <f>IFERROR(MATCH(ROW()-1,Calc!$K$2:$K$1601,0),"")</f>
        <v/>
      </c>
      <c r="AI1440">
        <f>IF($AG1440="","",SUMIF($AG$2:$AG1440,$AG1440,$AH$2:$AH1440))</f>
        <v/>
      </c>
      <c r="AJ1440">
        <f>IF('TMP Paste'!$F1440="","",IF('TMP Paste'!$B1440="",$AJ1439,'TMP Paste'!$B1440))</f>
        <v/>
      </c>
      <c r="AK1440">
        <f>IF('TMP Paste'!$F1440="","",N('TMP Paste'!$G1440))</f>
        <v/>
      </c>
      <c r="AL1440">
        <f>IF('TMP Paste'!$F1440="","",IF('TMP Paste'!$M1440="",$AL1439,'TMP Paste'!$M1440))</f>
        <v/>
      </c>
      <c r="AM1440">
        <f>IF('TMP Paste'!$F1440="","",IF('TMP Paste'!$N1440="",$AM1439,'TMP Paste'!$N1440))</f>
        <v/>
      </c>
      <c r="AN1440">
        <f>IF('TMP Paste'!$F1440="","",IF('TMP Paste'!$O1440="",$AN1439,'TMP Paste'!$O1440))</f>
        <v/>
      </c>
      <c r="AO1440">
        <f>IF('TMP Paste'!$F1440="","",IF('TMP Paste'!$P1440="",$AO1439,'TMP Paste'!$P1440))</f>
        <v/>
      </c>
      <c r="AP1440">
        <f>IF($AG1440="","",LEN($R1440))</f>
        <v/>
      </c>
      <c r="AQ1440">
        <f>IF($AG1440="","",TRIM(IF(COUNTIFS(Calc!$B$2:$B$1601,ROW()-1,Calc!$C$2:$C$1601,"&lt;1")&gt;0,"Ada PO tanpa Koli - cek TMP. ","")&amp;IF(LEN($R1440)&gt;500,"R &gt; 500 karakter.","")))</f>
        <v/>
      </c>
    </row>
    <row r="1441">
      <c r="A1441">
        <f>IF($AG1441="","",INDEX('TMP Paste'!$B$2:$B$1601,$AG1441))</f>
        <v/>
      </c>
      <c r="B1441">
        <f>IF($AG1441="","",Config!$B$14)</f>
        <v/>
      </c>
      <c r="C1441">
        <f>IF($AG1441="","",Config!$B$15)</f>
        <v/>
      </c>
      <c r="D1441">
        <f>IF($AG1441="","",INDEX('TMP Paste'!$B$2:$B$1601,$AG1441))</f>
        <v/>
      </c>
      <c r="E1441">
        <f>IF($AG1441="","",Config!$B$27)</f>
        <v/>
      </c>
      <c r="F1441">
        <f>IF($AG1441="","",Config!$B$9)</f>
        <v/>
      </c>
      <c r="G1441">
        <f>IF($AG1441="","",Config!$B$10)</f>
        <v/>
      </c>
      <c r="H1441">
        <f>IF($AG1441="","",Config!$B$11)</f>
        <v/>
      </c>
      <c r="I1441">
        <f>IF($AG1441="","",Config!$B$16)</f>
        <v/>
      </c>
      <c r="J1441">
        <f>IF($AG1441="","",INDEX('TMP Paste'!$A$2:$A$1601,$AG1441))</f>
        <v/>
      </c>
      <c r="K1441">
        <f>IF($AG1441="","",INDEX('TMP Paste'!$L$2:$L$1601,$AG1441))</f>
        <v/>
      </c>
      <c r="L1441">
        <f>IF($AG1441="","",INDEX('TMP Paste'!$I$2:$I$1601,$AG1441))</f>
        <v/>
      </c>
      <c r="M1441">
        <f>IF($AG1441="","",Config!$B$16)</f>
        <v/>
      </c>
      <c r="N1441">
        <f>IF($AG1441="","","")</f>
        <v/>
      </c>
      <c r="O1441">
        <f>IF($AG1441="","",INDEX('TMP Paste'!$K$2:$K$1601,$AG1441))</f>
        <v/>
      </c>
      <c r="P1441">
        <f>IF($AG1441="","","")</f>
        <v/>
      </c>
      <c r="Q1441">
        <f>IF($AG1441="","",INDEX('TMP Paste'!$J$2:$J$1601,$AG1441))</f>
        <v/>
      </c>
      <c r="R1441">
        <f>IF($AG1441="","",Config!$B$24)</f>
        <v/>
      </c>
      <c r="S1441">
        <f>IF($AG1441="","",TEXT(Config!$B$4,"yyyy-mm-dd"))</f>
        <v/>
      </c>
      <c r="T1441">
        <f>IF($AG1441="","",Config!$B$17)</f>
        <v/>
      </c>
      <c r="U1441">
        <f>IF($AG1441="","",Config!$B$18)</f>
        <v/>
      </c>
      <c r="V1441">
        <f>IF($AG1441="","",Config!$B$19)</f>
        <v/>
      </c>
      <c r="W1441">
        <f>IF($AG1441="","",INDEX('TMP Paste'!$C$2:$C$1601,$AG1441))</f>
        <v/>
      </c>
      <c r="X1441">
        <f>IF($AG1441="","",Config!$B$29)</f>
        <v/>
      </c>
      <c r="Y1441">
        <f>IF($AH1441="","",INDEX(Calc!$I$2:$I$1601,$AH1441)&amp;" - "&amp;INDEX(Calc!$D$2:$D$1601,$AH1441)&amp;" koli")</f>
        <v/>
      </c>
      <c r="Z1441">
        <f>IF($AG1441="","",Config!$B$21)</f>
        <v/>
      </c>
      <c r="AA1441">
        <f>IF($AG1441="","",Config!$B$22)</f>
        <v/>
      </c>
      <c r="AB1441">
        <f>IF($AH1441="","",INDEX(Calc!$D$2:$D$1601,$AH1441))</f>
        <v/>
      </c>
      <c r="AC1441">
        <f>IF($AH1441="","",INDEX(Calc!$G$2:$G$1601,$AH1441))</f>
        <v/>
      </c>
      <c r="AD1441">
        <f>IF($AG1441="","",Config!$B$23)</f>
        <v/>
      </c>
      <c r="AE1441">
        <f>IF($AG1441="","",Config!$B$28)</f>
        <v/>
      </c>
      <c r="AG1441">
        <f>IFERROR(MATCH(ROW()-1,Calc!$J$2:$J$1601,0),"")</f>
        <v/>
      </c>
      <c r="AH1441">
        <f>IFERROR(MATCH(ROW()-1,Calc!$K$2:$K$1601,0),"")</f>
        <v/>
      </c>
      <c r="AI1441">
        <f>IF($AG1441="","",SUMIF($AG$2:$AG1441,$AG1441,$AH$2:$AH1441))</f>
        <v/>
      </c>
      <c r="AJ1441">
        <f>IF('TMP Paste'!$F1441="","",IF('TMP Paste'!$B1441="",$AJ1440,'TMP Paste'!$B1441))</f>
        <v/>
      </c>
      <c r="AK1441">
        <f>IF('TMP Paste'!$F1441="","",N('TMP Paste'!$G1441))</f>
        <v/>
      </c>
      <c r="AL1441">
        <f>IF('TMP Paste'!$F1441="","",IF('TMP Paste'!$M1441="",$AL1440,'TMP Paste'!$M1441))</f>
        <v/>
      </c>
      <c r="AM1441">
        <f>IF('TMP Paste'!$F1441="","",IF('TMP Paste'!$N1441="",$AM1440,'TMP Paste'!$N1441))</f>
        <v/>
      </c>
      <c r="AN1441">
        <f>IF('TMP Paste'!$F1441="","",IF('TMP Paste'!$O1441="",$AN1440,'TMP Paste'!$O1441))</f>
        <v/>
      </c>
      <c r="AO1441">
        <f>IF('TMP Paste'!$F1441="","",IF('TMP Paste'!$P1441="",$AO1440,'TMP Paste'!$P1441))</f>
        <v/>
      </c>
      <c r="AP1441">
        <f>IF($AG1441="","",LEN($R1441))</f>
        <v/>
      </c>
      <c r="AQ1441">
        <f>IF($AG1441="","",TRIM(IF(COUNTIFS(Calc!$B$2:$B$1601,ROW()-1,Calc!$C$2:$C$1601,"&lt;1")&gt;0,"Ada PO tanpa Koli - cek TMP. ","")&amp;IF(LEN($R1441)&gt;500,"R &gt; 500 karakter.","")))</f>
        <v/>
      </c>
    </row>
    <row r="1442">
      <c r="A1442">
        <f>IF($AG1442="","",INDEX('TMP Paste'!$B$2:$B$1601,$AG1442))</f>
        <v/>
      </c>
      <c r="B1442">
        <f>IF($AG1442="","",Config!$B$14)</f>
        <v/>
      </c>
      <c r="C1442">
        <f>IF($AG1442="","",Config!$B$15)</f>
        <v/>
      </c>
      <c r="D1442">
        <f>IF($AG1442="","",INDEX('TMP Paste'!$B$2:$B$1601,$AG1442))</f>
        <v/>
      </c>
      <c r="E1442">
        <f>IF($AG1442="","",Config!$B$27)</f>
        <v/>
      </c>
      <c r="F1442">
        <f>IF($AG1442="","",Config!$B$9)</f>
        <v/>
      </c>
      <c r="G1442">
        <f>IF($AG1442="","",Config!$B$10)</f>
        <v/>
      </c>
      <c r="H1442">
        <f>IF($AG1442="","",Config!$B$11)</f>
        <v/>
      </c>
      <c r="I1442">
        <f>IF($AG1442="","",Config!$B$16)</f>
        <v/>
      </c>
      <c r="J1442">
        <f>IF($AG1442="","",INDEX('TMP Paste'!$A$2:$A$1601,$AG1442))</f>
        <v/>
      </c>
      <c r="K1442">
        <f>IF($AG1442="","",INDEX('TMP Paste'!$L$2:$L$1601,$AG1442))</f>
        <v/>
      </c>
      <c r="L1442">
        <f>IF($AG1442="","",INDEX('TMP Paste'!$I$2:$I$1601,$AG1442))</f>
        <v/>
      </c>
      <c r="M1442">
        <f>IF($AG1442="","",Config!$B$16)</f>
        <v/>
      </c>
      <c r="N1442">
        <f>IF($AG1442="","","")</f>
        <v/>
      </c>
      <c r="O1442">
        <f>IF($AG1442="","",INDEX('TMP Paste'!$K$2:$K$1601,$AG1442))</f>
        <v/>
      </c>
      <c r="P1442">
        <f>IF($AG1442="","","")</f>
        <v/>
      </c>
      <c r="Q1442">
        <f>IF($AG1442="","",INDEX('TMP Paste'!$J$2:$J$1601,$AG1442))</f>
        <v/>
      </c>
      <c r="R1442">
        <f>IF($AG1442="","",Config!$B$24)</f>
        <v/>
      </c>
      <c r="S1442">
        <f>IF($AG1442="","",TEXT(Config!$B$4,"yyyy-mm-dd"))</f>
        <v/>
      </c>
      <c r="T1442">
        <f>IF($AG1442="","",Config!$B$17)</f>
        <v/>
      </c>
      <c r="U1442">
        <f>IF($AG1442="","",Config!$B$18)</f>
        <v/>
      </c>
      <c r="V1442">
        <f>IF($AG1442="","",Config!$B$19)</f>
        <v/>
      </c>
      <c r="W1442">
        <f>IF($AG1442="","",INDEX('TMP Paste'!$C$2:$C$1601,$AG1442))</f>
        <v/>
      </c>
      <c r="X1442">
        <f>IF($AG1442="","",Config!$B$29)</f>
        <v/>
      </c>
      <c r="Y1442">
        <f>IF($AH1442="","",INDEX(Calc!$I$2:$I$1601,$AH1442)&amp;" - "&amp;INDEX(Calc!$D$2:$D$1601,$AH1442)&amp;" koli")</f>
        <v/>
      </c>
      <c r="Z1442">
        <f>IF($AG1442="","",Config!$B$21)</f>
        <v/>
      </c>
      <c r="AA1442">
        <f>IF($AG1442="","",Config!$B$22)</f>
        <v/>
      </c>
      <c r="AB1442">
        <f>IF($AH1442="","",INDEX(Calc!$D$2:$D$1601,$AH1442))</f>
        <v/>
      </c>
      <c r="AC1442">
        <f>IF($AH1442="","",INDEX(Calc!$G$2:$G$1601,$AH1442))</f>
        <v/>
      </c>
      <c r="AD1442">
        <f>IF($AG1442="","",Config!$B$23)</f>
        <v/>
      </c>
      <c r="AE1442">
        <f>IF($AG1442="","",Config!$B$28)</f>
        <v/>
      </c>
      <c r="AG1442">
        <f>IFERROR(MATCH(ROW()-1,Calc!$J$2:$J$1601,0),"")</f>
        <v/>
      </c>
      <c r="AH1442">
        <f>IFERROR(MATCH(ROW()-1,Calc!$K$2:$K$1601,0),"")</f>
        <v/>
      </c>
      <c r="AI1442">
        <f>IF($AG1442="","",SUMIF($AG$2:$AG1442,$AG1442,$AH$2:$AH1442))</f>
        <v/>
      </c>
      <c r="AJ1442">
        <f>IF('TMP Paste'!$F1442="","",IF('TMP Paste'!$B1442="",$AJ1441,'TMP Paste'!$B1442))</f>
        <v/>
      </c>
      <c r="AK1442">
        <f>IF('TMP Paste'!$F1442="","",N('TMP Paste'!$G1442))</f>
        <v/>
      </c>
      <c r="AL1442">
        <f>IF('TMP Paste'!$F1442="","",IF('TMP Paste'!$M1442="",$AL1441,'TMP Paste'!$M1442))</f>
        <v/>
      </c>
      <c r="AM1442">
        <f>IF('TMP Paste'!$F1442="","",IF('TMP Paste'!$N1442="",$AM1441,'TMP Paste'!$N1442))</f>
        <v/>
      </c>
      <c r="AN1442">
        <f>IF('TMP Paste'!$F1442="","",IF('TMP Paste'!$O1442="",$AN1441,'TMP Paste'!$O1442))</f>
        <v/>
      </c>
      <c r="AO1442">
        <f>IF('TMP Paste'!$F1442="","",IF('TMP Paste'!$P1442="",$AO1441,'TMP Paste'!$P1442))</f>
        <v/>
      </c>
      <c r="AP1442">
        <f>IF($AG1442="","",LEN($R1442))</f>
        <v/>
      </c>
      <c r="AQ1442">
        <f>IF($AG1442="","",TRIM(IF(COUNTIFS(Calc!$B$2:$B$1601,ROW()-1,Calc!$C$2:$C$1601,"&lt;1")&gt;0,"Ada PO tanpa Koli - cek TMP. ","")&amp;IF(LEN($R1442)&gt;500,"R &gt; 500 karakter.","")))</f>
        <v/>
      </c>
    </row>
    <row r="1443">
      <c r="A1443">
        <f>IF($AG1443="","",INDEX('TMP Paste'!$B$2:$B$1601,$AG1443))</f>
        <v/>
      </c>
      <c r="B1443">
        <f>IF($AG1443="","",Config!$B$14)</f>
        <v/>
      </c>
      <c r="C1443">
        <f>IF($AG1443="","",Config!$B$15)</f>
        <v/>
      </c>
      <c r="D1443">
        <f>IF($AG1443="","",INDEX('TMP Paste'!$B$2:$B$1601,$AG1443))</f>
        <v/>
      </c>
      <c r="E1443">
        <f>IF($AG1443="","",Config!$B$27)</f>
        <v/>
      </c>
      <c r="F1443">
        <f>IF($AG1443="","",Config!$B$9)</f>
        <v/>
      </c>
      <c r="G1443">
        <f>IF($AG1443="","",Config!$B$10)</f>
        <v/>
      </c>
      <c r="H1443">
        <f>IF($AG1443="","",Config!$B$11)</f>
        <v/>
      </c>
      <c r="I1443">
        <f>IF($AG1443="","",Config!$B$16)</f>
        <v/>
      </c>
      <c r="J1443">
        <f>IF($AG1443="","",INDEX('TMP Paste'!$A$2:$A$1601,$AG1443))</f>
        <v/>
      </c>
      <c r="K1443">
        <f>IF($AG1443="","",INDEX('TMP Paste'!$L$2:$L$1601,$AG1443))</f>
        <v/>
      </c>
      <c r="L1443">
        <f>IF($AG1443="","",INDEX('TMP Paste'!$I$2:$I$1601,$AG1443))</f>
        <v/>
      </c>
      <c r="M1443">
        <f>IF($AG1443="","",Config!$B$16)</f>
        <v/>
      </c>
      <c r="N1443">
        <f>IF($AG1443="","","")</f>
        <v/>
      </c>
      <c r="O1443">
        <f>IF($AG1443="","",INDEX('TMP Paste'!$K$2:$K$1601,$AG1443))</f>
        <v/>
      </c>
      <c r="P1443">
        <f>IF($AG1443="","","")</f>
        <v/>
      </c>
      <c r="Q1443">
        <f>IF($AG1443="","",INDEX('TMP Paste'!$J$2:$J$1601,$AG1443))</f>
        <v/>
      </c>
      <c r="R1443">
        <f>IF($AG1443="","",Config!$B$24)</f>
        <v/>
      </c>
      <c r="S1443">
        <f>IF($AG1443="","",TEXT(Config!$B$4,"yyyy-mm-dd"))</f>
        <v/>
      </c>
      <c r="T1443">
        <f>IF($AG1443="","",Config!$B$17)</f>
        <v/>
      </c>
      <c r="U1443">
        <f>IF($AG1443="","",Config!$B$18)</f>
        <v/>
      </c>
      <c r="V1443">
        <f>IF($AG1443="","",Config!$B$19)</f>
        <v/>
      </c>
      <c r="W1443">
        <f>IF($AG1443="","",INDEX('TMP Paste'!$C$2:$C$1601,$AG1443))</f>
        <v/>
      </c>
      <c r="X1443">
        <f>IF($AG1443="","",Config!$B$29)</f>
        <v/>
      </c>
      <c r="Y1443">
        <f>IF($AH1443="","",INDEX(Calc!$I$2:$I$1601,$AH1443)&amp;" - "&amp;INDEX(Calc!$D$2:$D$1601,$AH1443)&amp;" koli")</f>
        <v/>
      </c>
      <c r="Z1443">
        <f>IF($AG1443="","",Config!$B$21)</f>
        <v/>
      </c>
      <c r="AA1443">
        <f>IF($AG1443="","",Config!$B$22)</f>
        <v/>
      </c>
      <c r="AB1443">
        <f>IF($AH1443="","",INDEX(Calc!$D$2:$D$1601,$AH1443))</f>
        <v/>
      </c>
      <c r="AC1443">
        <f>IF($AH1443="","",INDEX(Calc!$G$2:$G$1601,$AH1443))</f>
        <v/>
      </c>
      <c r="AD1443">
        <f>IF($AG1443="","",Config!$B$23)</f>
        <v/>
      </c>
      <c r="AE1443">
        <f>IF($AG1443="","",Config!$B$28)</f>
        <v/>
      </c>
      <c r="AG1443">
        <f>IFERROR(MATCH(ROW()-1,Calc!$J$2:$J$1601,0),"")</f>
        <v/>
      </c>
      <c r="AH1443">
        <f>IFERROR(MATCH(ROW()-1,Calc!$K$2:$K$1601,0),"")</f>
        <v/>
      </c>
      <c r="AI1443">
        <f>IF($AG1443="","",SUMIF($AG$2:$AG1443,$AG1443,$AH$2:$AH1443))</f>
        <v/>
      </c>
      <c r="AJ1443">
        <f>IF('TMP Paste'!$F1443="","",IF('TMP Paste'!$B1443="",$AJ1442,'TMP Paste'!$B1443))</f>
        <v/>
      </c>
      <c r="AK1443">
        <f>IF('TMP Paste'!$F1443="","",N('TMP Paste'!$G1443))</f>
        <v/>
      </c>
      <c r="AL1443">
        <f>IF('TMP Paste'!$F1443="","",IF('TMP Paste'!$M1443="",$AL1442,'TMP Paste'!$M1443))</f>
        <v/>
      </c>
      <c r="AM1443">
        <f>IF('TMP Paste'!$F1443="","",IF('TMP Paste'!$N1443="",$AM1442,'TMP Paste'!$N1443))</f>
        <v/>
      </c>
      <c r="AN1443">
        <f>IF('TMP Paste'!$F1443="","",IF('TMP Paste'!$O1443="",$AN1442,'TMP Paste'!$O1443))</f>
        <v/>
      </c>
      <c r="AO1443">
        <f>IF('TMP Paste'!$F1443="","",IF('TMP Paste'!$P1443="",$AO1442,'TMP Paste'!$P1443))</f>
        <v/>
      </c>
      <c r="AP1443">
        <f>IF($AG1443="","",LEN($R1443))</f>
        <v/>
      </c>
      <c r="AQ1443">
        <f>IF($AG1443="","",TRIM(IF(COUNTIFS(Calc!$B$2:$B$1601,ROW()-1,Calc!$C$2:$C$1601,"&lt;1")&gt;0,"Ada PO tanpa Koli - cek TMP. ","")&amp;IF(LEN($R1443)&gt;500,"R &gt; 500 karakter.","")))</f>
        <v/>
      </c>
    </row>
    <row r="1444">
      <c r="A1444">
        <f>IF($AG1444="","",INDEX('TMP Paste'!$B$2:$B$1601,$AG1444))</f>
        <v/>
      </c>
      <c r="B1444">
        <f>IF($AG1444="","",Config!$B$14)</f>
        <v/>
      </c>
      <c r="C1444">
        <f>IF($AG1444="","",Config!$B$15)</f>
        <v/>
      </c>
      <c r="D1444">
        <f>IF($AG1444="","",INDEX('TMP Paste'!$B$2:$B$1601,$AG1444))</f>
        <v/>
      </c>
      <c r="E1444">
        <f>IF($AG1444="","",Config!$B$27)</f>
        <v/>
      </c>
      <c r="F1444">
        <f>IF($AG1444="","",Config!$B$9)</f>
        <v/>
      </c>
      <c r="G1444">
        <f>IF($AG1444="","",Config!$B$10)</f>
        <v/>
      </c>
      <c r="H1444">
        <f>IF($AG1444="","",Config!$B$11)</f>
        <v/>
      </c>
      <c r="I1444">
        <f>IF($AG1444="","",Config!$B$16)</f>
        <v/>
      </c>
      <c r="J1444">
        <f>IF($AG1444="","",INDEX('TMP Paste'!$A$2:$A$1601,$AG1444))</f>
        <v/>
      </c>
      <c r="K1444">
        <f>IF($AG1444="","",INDEX('TMP Paste'!$L$2:$L$1601,$AG1444))</f>
        <v/>
      </c>
      <c r="L1444">
        <f>IF($AG1444="","",INDEX('TMP Paste'!$I$2:$I$1601,$AG1444))</f>
        <v/>
      </c>
      <c r="M1444">
        <f>IF($AG1444="","",Config!$B$16)</f>
        <v/>
      </c>
      <c r="N1444">
        <f>IF($AG1444="","","")</f>
        <v/>
      </c>
      <c r="O1444">
        <f>IF($AG1444="","",INDEX('TMP Paste'!$K$2:$K$1601,$AG1444))</f>
        <v/>
      </c>
      <c r="P1444">
        <f>IF($AG1444="","","")</f>
        <v/>
      </c>
      <c r="Q1444">
        <f>IF($AG1444="","",INDEX('TMP Paste'!$J$2:$J$1601,$AG1444))</f>
        <v/>
      </c>
      <c r="R1444">
        <f>IF($AG1444="","",Config!$B$24)</f>
        <v/>
      </c>
      <c r="S1444">
        <f>IF($AG1444="","",TEXT(Config!$B$4,"yyyy-mm-dd"))</f>
        <v/>
      </c>
      <c r="T1444">
        <f>IF($AG1444="","",Config!$B$17)</f>
        <v/>
      </c>
      <c r="U1444">
        <f>IF($AG1444="","",Config!$B$18)</f>
        <v/>
      </c>
      <c r="V1444">
        <f>IF($AG1444="","",Config!$B$19)</f>
        <v/>
      </c>
      <c r="W1444">
        <f>IF($AG1444="","",INDEX('TMP Paste'!$C$2:$C$1601,$AG1444))</f>
        <v/>
      </c>
      <c r="X1444">
        <f>IF($AG1444="","",Config!$B$29)</f>
        <v/>
      </c>
      <c r="Y1444">
        <f>IF($AH1444="","",INDEX(Calc!$I$2:$I$1601,$AH1444)&amp;" - "&amp;INDEX(Calc!$D$2:$D$1601,$AH1444)&amp;" koli")</f>
        <v/>
      </c>
      <c r="Z1444">
        <f>IF($AG1444="","",Config!$B$21)</f>
        <v/>
      </c>
      <c r="AA1444">
        <f>IF($AG1444="","",Config!$B$22)</f>
        <v/>
      </c>
      <c r="AB1444">
        <f>IF($AH1444="","",INDEX(Calc!$D$2:$D$1601,$AH1444))</f>
        <v/>
      </c>
      <c r="AC1444">
        <f>IF($AH1444="","",INDEX(Calc!$G$2:$G$1601,$AH1444))</f>
        <v/>
      </c>
      <c r="AD1444">
        <f>IF($AG1444="","",Config!$B$23)</f>
        <v/>
      </c>
      <c r="AE1444">
        <f>IF($AG1444="","",Config!$B$28)</f>
        <v/>
      </c>
      <c r="AG1444">
        <f>IFERROR(MATCH(ROW()-1,Calc!$J$2:$J$1601,0),"")</f>
        <v/>
      </c>
      <c r="AH1444">
        <f>IFERROR(MATCH(ROW()-1,Calc!$K$2:$K$1601,0),"")</f>
        <v/>
      </c>
      <c r="AI1444">
        <f>IF($AG1444="","",SUMIF($AG$2:$AG1444,$AG1444,$AH$2:$AH1444))</f>
        <v/>
      </c>
      <c r="AJ1444">
        <f>IF('TMP Paste'!$F1444="","",IF('TMP Paste'!$B1444="",$AJ1443,'TMP Paste'!$B1444))</f>
        <v/>
      </c>
      <c r="AK1444">
        <f>IF('TMP Paste'!$F1444="","",N('TMP Paste'!$G1444))</f>
        <v/>
      </c>
      <c r="AL1444">
        <f>IF('TMP Paste'!$F1444="","",IF('TMP Paste'!$M1444="",$AL1443,'TMP Paste'!$M1444))</f>
        <v/>
      </c>
      <c r="AM1444">
        <f>IF('TMP Paste'!$F1444="","",IF('TMP Paste'!$N1444="",$AM1443,'TMP Paste'!$N1444))</f>
        <v/>
      </c>
      <c r="AN1444">
        <f>IF('TMP Paste'!$F1444="","",IF('TMP Paste'!$O1444="",$AN1443,'TMP Paste'!$O1444))</f>
        <v/>
      </c>
      <c r="AO1444">
        <f>IF('TMP Paste'!$F1444="","",IF('TMP Paste'!$P1444="",$AO1443,'TMP Paste'!$P1444))</f>
        <v/>
      </c>
      <c r="AP1444">
        <f>IF($AG1444="","",LEN($R1444))</f>
        <v/>
      </c>
      <c r="AQ1444">
        <f>IF($AG1444="","",TRIM(IF(COUNTIFS(Calc!$B$2:$B$1601,ROW()-1,Calc!$C$2:$C$1601,"&lt;1")&gt;0,"Ada PO tanpa Koli - cek TMP. ","")&amp;IF(LEN($R1444)&gt;500,"R &gt; 500 karakter.","")))</f>
        <v/>
      </c>
    </row>
    <row r="1445">
      <c r="A1445">
        <f>IF($AG1445="","",INDEX('TMP Paste'!$B$2:$B$1601,$AG1445))</f>
        <v/>
      </c>
      <c r="B1445">
        <f>IF($AG1445="","",Config!$B$14)</f>
        <v/>
      </c>
      <c r="C1445">
        <f>IF($AG1445="","",Config!$B$15)</f>
        <v/>
      </c>
      <c r="D1445">
        <f>IF($AG1445="","",INDEX('TMP Paste'!$B$2:$B$1601,$AG1445))</f>
        <v/>
      </c>
      <c r="E1445">
        <f>IF($AG1445="","",Config!$B$27)</f>
        <v/>
      </c>
      <c r="F1445">
        <f>IF($AG1445="","",Config!$B$9)</f>
        <v/>
      </c>
      <c r="G1445">
        <f>IF($AG1445="","",Config!$B$10)</f>
        <v/>
      </c>
      <c r="H1445">
        <f>IF($AG1445="","",Config!$B$11)</f>
        <v/>
      </c>
      <c r="I1445">
        <f>IF($AG1445="","",Config!$B$16)</f>
        <v/>
      </c>
      <c r="J1445">
        <f>IF($AG1445="","",INDEX('TMP Paste'!$A$2:$A$1601,$AG1445))</f>
        <v/>
      </c>
      <c r="K1445">
        <f>IF($AG1445="","",INDEX('TMP Paste'!$L$2:$L$1601,$AG1445))</f>
        <v/>
      </c>
      <c r="L1445">
        <f>IF($AG1445="","",INDEX('TMP Paste'!$I$2:$I$1601,$AG1445))</f>
        <v/>
      </c>
      <c r="M1445">
        <f>IF($AG1445="","",Config!$B$16)</f>
        <v/>
      </c>
      <c r="N1445">
        <f>IF($AG1445="","","")</f>
        <v/>
      </c>
      <c r="O1445">
        <f>IF($AG1445="","",INDEX('TMP Paste'!$K$2:$K$1601,$AG1445))</f>
        <v/>
      </c>
      <c r="P1445">
        <f>IF($AG1445="","","")</f>
        <v/>
      </c>
      <c r="Q1445">
        <f>IF($AG1445="","",INDEX('TMP Paste'!$J$2:$J$1601,$AG1445))</f>
        <v/>
      </c>
      <c r="R1445">
        <f>IF($AG1445="","",Config!$B$24)</f>
        <v/>
      </c>
      <c r="S1445">
        <f>IF($AG1445="","",TEXT(Config!$B$4,"yyyy-mm-dd"))</f>
        <v/>
      </c>
      <c r="T1445">
        <f>IF($AG1445="","",Config!$B$17)</f>
        <v/>
      </c>
      <c r="U1445">
        <f>IF($AG1445="","",Config!$B$18)</f>
        <v/>
      </c>
      <c r="V1445">
        <f>IF($AG1445="","",Config!$B$19)</f>
        <v/>
      </c>
      <c r="W1445">
        <f>IF($AG1445="","",INDEX('TMP Paste'!$C$2:$C$1601,$AG1445))</f>
        <v/>
      </c>
      <c r="X1445">
        <f>IF($AG1445="","",Config!$B$29)</f>
        <v/>
      </c>
      <c r="Y1445">
        <f>IF($AH1445="","",INDEX(Calc!$I$2:$I$1601,$AH1445)&amp;" - "&amp;INDEX(Calc!$D$2:$D$1601,$AH1445)&amp;" koli")</f>
        <v/>
      </c>
      <c r="Z1445">
        <f>IF($AG1445="","",Config!$B$21)</f>
        <v/>
      </c>
      <c r="AA1445">
        <f>IF($AG1445="","",Config!$B$22)</f>
        <v/>
      </c>
      <c r="AB1445">
        <f>IF($AH1445="","",INDEX(Calc!$D$2:$D$1601,$AH1445))</f>
        <v/>
      </c>
      <c r="AC1445">
        <f>IF($AH1445="","",INDEX(Calc!$G$2:$G$1601,$AH1445))</f>
        <v/>
      </c>
      <c r="AD1445">
        <f>IF($AG1445="","",Config!$B$23)</f>
        <v/>
      </c>
      <c r="AE1445">
        <f>IF($AG1445="","",Config!$B$28)</f>
        <v/>
      </c>
      <c r="AG1445">
        <f>IFERROR(MATCH(ROW()-1,Calc!$J$2:$J$1601,0),"")</f>
        <v/>
      </c>
      <c r="AH1445">
        <f>IFERROR(MATCH(ROW()-1,Calc!$K$2:$K$1601,0),"")</f>
        <v/>
      </c>
      <c r="AI1445">
        <f>IF($AG1445="","",SUMIF($AG$2:$AG1445,$AG1445,$AH$2:$AH1445))</f>
        <v/>
      </c>
      <c r="AJ1445">
        <f>IF('TMP Paste'!$F1445="","",IF('TMP Paste'!$B1445="",$AJ1444,'TMP Paste'!$B1445))</f>
        <v/>
      </c>
      <c r="AK1445">
        <f>IF('TMP Paste'!$F1445="","",N('TMP Paste'!$G1445))</f>
        <v/>
      </c>
      <c r="AL1445">
        <f>IF('TMP Paste'!$F1445="","",IF('TMP Paste'!$M1445="",$AL1444,'TMP Paste'!$M1445))</f>
        <v/>
      </c>
      <c r="AM1445">
        <f>IF('TMP Paste'!$F1445="","",IF('TMP Paste'!$N1445="",$AM1444,'TMP Paste'!$N1445))</f>
        <v/>
      </c>
      <c r="AN1445">
        <f>IF('TMP Paste'!$F1445="","",IF('TMP Paste'!$O1445="",$AN1444,'TMP Paste'!$O1445))</f>
        <v/>
      </c>
      <c r="AO1445">
        <f>IF('TMP Paste'!$F1445="","",IF('TMP Paste'!$P1445="",$AO1444,'TMP Paste'!$P1445))</f>
        <v/>
      </c>
      <c r="AP1445">
        <f>IF($AG1445="","",LEN($R1445))</f>
        <v/>
      </c>
      <c r="AQ1445">
        <f>IF($AG1445="","",TRIM(IF(COUNTIFS(Calc!$B$2:$B$1601,ROW()-1,Calc!$C$2:$C$1601,"&lt;1")&gt;0,"Ada PO tanpa Koli - cek TMP. ","")&amp;IF(LEN($R1445)&gt;500,"R &gt; 500 karakter.","")))</f>
        <v/>
      </c>
    </row>
    <row r="1446">
      <c r="A1446">
        <f>IF($AG1446="","",INDEX('TMP Paste'!$B$2:$B$1601,$AG1446))</f>
        <v/>
      </c>
      <c r="B1446">
        <f>IF($AG1446="","",Config!$B$14)</f>
        <v/>
      </c>
      <c r="C1446">
        <f>IF($AG1446="","",Config!$B$15)</f>
        <v/>
      </c>
      <c r="D1446">
        <f>IF($AG1446="","",INDEX('TMP Paste'!$B$2:$B$1601,$AG1446))</f>
        <v/>
      </c>
      <c r="E1446">
        <f>IF($AG1446="","",Config!$B$27)</f>
        <v/>
      </c>
      <c r="F1446">
        <f>IF($AG1446="","",Config!$B$9)</f>
        <v/>
      </c>
      <c r="G1446">
        <f>IF($AG1446="","",Config!$B$10)</f>
        <v/>
      </c>
      <c r="H1446">
        <f>IF($AG1446="","",Config!$B$11)</f>
        <v/>
      </c>
      <c r="I1446">
        <f>IF($AG1446="","",Config!$B$16)</f>
        <v/>
      </c>
      <c r="J1446">
        <f>IF($AG1446="","",INDEX('TMP Paste'!$A$2:$A$1601,$AG1446))</f>
        <v/>
      </c>
      <c r="K1446">
        <f>IF($AG1446="","",INDEX('TMP Paste'!$L$2:$L$1601,$AG1446))</f>
        <v/>
      </c>
      <c r="L1446">
        <f>IF($AG1446="","",INDEX('TMP Paste'!$I$2:$I$1601,$AG1446))</f>
        <v/>
      </c>
      <c r="M1446">
        <f>IF($AG1446="","",Config!$B$16)</f>
        <v/>
      </c>
      <c r="N1446">
        <f>IF($AG1446="","","")</f>
        <v/>
      </c>
      <c r="O1446">
        <f>IF($AG1446="","",INDEX('TMP Paste'!$K$2:$K$1601,$AG1446))</f>
        <v/>
      </c>
      <c r="P1446">
        <f>IF($AG1446="","","")</f>
        <v/>
      </c>
      <c r="Q1446">
        <f>IF($AG1446="","",INDEX('TMP Paste'!$J$2:$J$1601,$AG1446))</f>
        <v/>
      </c>
      <c r="R1446">
        <f>IF($AG1446="","",Config!$B$24)</f>
        <v/>
      </c>
      <c r="S1446">
        <f>IF($AG1446="","",TEXT(Config!$B$4,"yyyy-mm-dd"))</f>
        <v/>
      </c>
      <c r="T1446">
        <f>IF($AG1446="","",Config!$B$17)</f>
        <v/>
      </c>
      <c r="U1446">
        <f>IF($AG1446="","",Config!$B$18)</f>
        <v/>
      </c>
      <c r="V1446">
        <f>IF($AG1446="","",Config!$B$19)</f>
        <v/>
      </c>
      <c r="W1446">
        <f>IF($AG1446="","",INDEX('TMP Paste'!$C$2:$C$1601,$AG1446))</f>
        <v/>
      </c>
      <c r="X1446">
        <f>IF($AG1446="","",Config!$B$29)</f>
        <v/>
      </c>
      <c r="Y1446">
        <f>IF($AH1446="","",INDEX(Calc!$I$2:$I$1601,$AH1446)&amp;" - "&amp;INDEX(Calc!$D$2:$D$1601,$AH1446)&amp;" koli")</f>
        <v/>
      </c>
      <c r="Z1446">
        <f>IF($AG1446="","",Config!$B$21)</f>
        <v/>
      </c>
      <c r="AA1446">
        <f>IF($AG1446="","",Config!$B$22)</f>
        <v/>
      </c>
      <c r="AB1446">
        <f>IF($AH1446="","",INDEX(Calc!$D$2:$D$1601,$AH1446))</f>
        <v/>
      </c>
      <c r="AC1446">
        <f>IF($AH1446="","",INDEX(Calc!$G$2:$G$1601,$AH1446))</f>
        <v/>
      </c>
      <c r="AD1446">
        <f>IF($AG1446="","",Config!$B$23)</f>
        <v/>
      </c>
      <c r="AE1446">
        <f>IF($AG1446="","",Config!$B$28)</f>
        <v/>
      </c>
      <c r="AG1446">
        <f>IFERROR(MATCH(ROW()-1,Calc!$J$2:$J$1601,0),"")</f>
        <v/>
      </c>
      <c r="AH1446">
        <f>IFERROR(MATCH(ROW()-1,Calc!$K$2:$K$1601,0),"")</f>
        <v/>
      </c>
      <c r="AI1446">
        <f>IF($AG1446="","",SUMIF($AG$2:$AG1446,$AG1446,$AH$2:$AH1446))</f>
        <v/>
      </c>
      <c r="AJ1446">
        <f>IF('TMP Paste'!$F1446="","",IF('TMP Paste'!$B1446="",$AJ1445,'TMP Paste'!$B1446))</f>
        <v/>
      </c>
      <c r="AK1446">
        <f>IF('TMP Paste'!$F1446="","",N('TMP Paste'!$G1446))</f>
        <v/>
      </c>
      <c r="AL1446">
        <f>IF('TMP Paste'!$F1446="","",IF('TMP Paste'!$M1446="",$AL1445,'TMP Paste'!$M1446))</f>
        <v/>
      </c>
      <c r="AM1446">
        <f>IF('TMP Paste'!$F1446="","",IF('TMP Paste'!$N1446="",$AM1445,'TMP Paste'!$N1446))</f>
        <v/>
      </c>
      <c r="AN1446">
        <f>IF('TMP Paste'!$F1446="","",IF('TMP Paste'!$O1446="",$AN1445,'TMP Paste'!$O1446))</f>
        <v/>
      </c>
      <c r="AO1446">
        <f>IF('TMP Paste'!$F1446="","",IF('TMP Paste'!$P1446="",$AO1445,'TMP Paste'!$P1446))</f>
        <v/>
      </c>
      <c r="AP1446">
        <f>IF($AG1446="","",LEN($R1446))</f>
        <v/>
      </c>
      <c r="AQ1446">
        <f>IF($AG1446="","",TRIM(IF(COUNTIFS(Calc!$B$2:$B$1601,ROW()-1,Calc!$C$2:$C$1601,"&lt;1")&gt;0,"Ada PO tanpa Koli - cek TMP. ","")&amp;IF(LEN($R1446)&gt;500,"R &gt; 500 karakter.","")))</f>
        <v/>
      </c>
    </row>
    <row r="1447">
      <c r="A1447">
        <f>IF($AG1447="","",INDEX('TMP Paste'!$B$2:$B$1601,$AG1447))</f>
        <v/>
      </c>
      <c r="B1447">
        <f>IF($AG1447="","",Config!$B$14)</f>
        <v/>
      </c>
      <c r="C1447">
        <f>IF($AG1447="","",Config!$B$15)</f>
        <v/>
      </c>
      <c r="D1447">
        <f>IF($AG1447="","",INDEX('TMP Paste'!$B$2:$B$1601,$AG1447))</f>
        <v/>
      </c>
      <c r="E1447">
        <f>IF($AG1447="","",Config!$B$27)</f>
        <v/>
      </c>
      <c r="F1447">
        <f>IF($AG1447="","",Config!$B$9)</f>
        <v/>
      </c>
      <c r="G1447">
        <f>IF($AG1447="","",Config!$B$10)</f>
        <v/>
      </c>
      <c r="H1447">
        <f>IF($AG1447="","",Config!$B$11)</f>
        <v/>
      </c>
      <c r="I1447">
        <f>IF($AG1447="","",Config!$B$16)</f>
        <v/>
      </c>
      <c r="J1447">
        <f>IF($AG1447="","",INDEX('TMP Paste'!$A$2:$A$1601,$AG1447))</f>
        <v/>
      </c>
      <c r="K1447">
        <f>IF($AG1447="","",INDEX('TMP Paste'!$L$2:$L$1601,$AG1447))</f>
        <v/>
      </c>
      <c r="L1447">
        <f>IF($AG1447="","",INDEX('TMP Paste'!$I$2:$I$1601,$AG1447))</f>
        <v/>
      </c>
      <c r="M1447">
        <f>IF($AG1447="","",Config!$B$16)</f>
        <v/>
      </c>
      <c r="N1447">
        <f>IF($AG1447="","","")</f>
        <v/>
      </c>
      <c r="O1447">
        <f>IF($AG1447="","",INDEX('TMP Paste'!$K$2:$K$1601,$AG1447))</f>
        <v/>
      </c>
      <c r="P1447">
        <f>IF($AG1447="","","")</f>
        <v/>
      </c>
      <c r="Q1447">
        <f>IF($AG1447="","",INDEX('TMP Paste'!$J$2:$J$1601,$AG1447))</f>
        <v/>
      </c>
      <c r="R1447">
        <f>IF($AG1447="","",Config!$B$24)</f>
        <v/>
      </c>
      <c r="S1447">
        <f>IF($AG1447="","",TEXT(Config!$B$4,"yyyy-mm-dd"))</f>
        <v/>
      </c>
      <c r="T1447">
        <f>IF($AG1447="","",Config!$B$17)</f>
        <v/>
      </c>
      <c r="U1447">
        <f>IF($AG1447="","",Config!$B$18)</f>
        <v/>
      </c>
      <c r="V1447">
        <f>IF($AG1447="","",Config!$B$19)</f>
        <v/>
      </c>
      <c r="W1447">
        <f>IF($AG1447="","",INDEX('TMP Paste'!$C$2:$C$1601,$AG1447))</f>
        <v/>
      </c>
      <c r="X1447">
        <f>IF($AG1447="","",Config!$B$29)</f>
        <v/>
      </c>
      <c r="Y1447">
        <f>IF($AH1447="","",INDEX(Calc!$I$2:$I$1601,$AH1447)&amp;" - "&amp;INDEX(Calc!$D$2:$D$1601,$AH1447)&amp;" koli")</f>
        <v/>
      </c>
      <c r="Z1447">
        <f>IF($AG1447="","",Config!$B$21)</f>
        <v/>
      </c>
      <c r="AA1447">
        <f>IF($AG1447="","",Config!$B$22)</f>
        <v/>
      </c>
      <c r="AB1447">
        <f>IF($AH1447="","",INDEX(Calc!$D$2:$D$1601,$AH1447))</f>
        <v/>
      </c>
      <c r="AC1447">
        <f>IF($AH1447="","",INDEX(Calc!$G$2:$G$1601,$AH1447))</f>
        <v/>
      </c>
      <c r="AD1447">
        <f>IF($AG1447="","",Config!$B$23)</f>
        <v/>
      </c>
      <c r="AE1447">
        <f>IF($AG1447="","",Config!$B$28)</f>
        <v/>
      </c>
      <c r="AG1447">
        <f>IFERROR(MATCH(ROW()-1,Calc!$J$2:$J$1601,0),"")</f>
        <v/>
      </c>
      <c r="AH1447">
        <f>IFERROR(MATCH(ROW()-1,Calc!$K$2:$K$1601,0),"")</f>
        <v/>
      </c>
      <c r="AI1447">
        <f>IF($AG1447="","",SUMIF($AG$2:$AG1447,$AG1447,$AH$2:$AH1447))</f>
        <v/>
      </c>
      <c r="AJ1447">
        <f>IF('TMP Paste'!$F1447="","",IF('TMP Paste'!$B1447="",$AJ1446,'TMP Paste'!$B1447))</f>
        <v/>
      </c>
      <c r="AK1447">
        <f>IF('TMP Paste'!$F1447="","",N('TMP Paste'!$G1447))</f>
        <v/>
      </c>
      <c r="AL1447">
        <f>IF('TMP Paste'!$F1447="","",IF('TMP Paste'!$M1447="",$AL1446,'TMP Paste'!$M1447))</f>
        <v/>
      </c>
      <c r="AM1447">
        <f>IF('TMP Paste'!$F1447="","",IF('TMP Paste'!$N1447="",$AM1446,'TMP Paste'!$N1447))</f>
        <v/>
      </c>
      <c r="AN1447">
        <f>IF('TMP Paste'!$F1447="","",IF('TMP Paste'!$O1447="",$AN1446,'TMP Paste'!$O1447))</f>
        <v/>
      </c>
      <c r="AO1447">
        <f>IF('TMP Paste'!$F1447="","",IF('TMP Paste'!$P1447="",$AO1446,'TMP Paste'!$P1447))</f>
        <v/>
      </c>
      <c r="AP1447">
        <f>IF($AG1447="","",LEN($R1447))</f>
        <v/>
      </c>
      <c r="AQ1447">
        <f>IF($AG1447="","",TRIM(IF(COUNTIFS(Calc!$B$2:$B$1601,ROW()-1,Calc!$C$2:$C$1601,"&lt;1")&gt;0,"Ada PO tanpa Koli - cek TMP. ","")&amp;IF(LEN($R1447)&gt;500,"R &gt; 500 karakter.","")))</f>
        <v/>
      </c>
    </row>
    <row r="1448">
      <c r="A1448">
        <f>IF($AG1448="","",INDEX('TMP Paste'!$B$2:$B$1601,$AG1448))</f>
        <v/>
      </c>
      <c r="B1448">
        <f>IF($AG1448="","",Config!$B$14)</f>
        <v/>
      </c>
      <c r="C1448">
        <f>IF($AG1448="","",Config!$B$15)</f>
        <v/>
      </c>
      <c r="D1448">
        <f>IF($AG1448="","",INDEX('TMP Paste'!$B$2:$B$1601,$AG1448))</f>
        <v/>
      </c>
      <c r="E1448">
        <f>IF($AG1448="","",Config!$B$27)</f>
        <v/>
      </c>
      <c r="F1448">
        <f>IF($AG1448="","",Config!$B$9)</f>
        <v/>
      </c>
      <c r="G1448">
        <f>IF($AG1448="","",Config!$B$10)</f>
        <v/>
      </c>
      <c r="H1448">
        <f>IF($AG1448="","",Config!$B$11)</f>
        <v/>
      </c>
      <c r="I1448">
        <f>IF($AG1448="","",Config!$B$16)</f>
        <v/>
      </c>
      <c r="J1448">
        <f>IF($AG1448="","",INDEX('TMP Paste'!$A$2:$A$1601,$AG1448))</f>
        <v/>
      </c>
      <c r="K1448">
        <f>IF($AG1448="","",INDEX('TMP Paste'!$L$2:$L$1601,$AG1448))</f>
        <v/>
      </c>
      <c r="L1448">
        <f>IF($AG1448="","",INDEX('TMP Paste'!$I$2:$I$1601,$AG1448))</f>
        <v/>
      </c>
      <c r="M1448">
        <f>IF($AG1448="","",Config!$B$16)</f>
        <v/>
      </c>
      <c r="N1448">
        <f>IF($AG1448="","","")</f>
        <v/>
      </c>
      <c r="O1448">
        <f>IF($AG1448="","",INDEX('TMP Paste'!$K$2:$K$1601,$AG1448))</f>
        <v/>
      </c>
      <c r="P1448">
        <f>IF($AG1448="","","")</f>
        <v/>
      </c>
      <c r="Q1448">
        <f>IF($AG1448="","",INDEX('TMP Paste'!$J$2:$J$1601,$AG1448))</f>
        <v/>
      </c>
      <c r="R1448">
        <f>IF($AG1448="","",Config!$B$24)</f>
        <v/>
      </c>
      <c r="S1448">
        <f>IF($AG1448="","",TEXT(Config!$B$4,"yyyy-mm-dd"))</f>
        <v/>
      </c>
      <c r="T1448">
        <f>IF($AG1448="","",Config!$B$17)</f>
        <v/>
      </c>
      <c r="U1448">
        <f>IF($AG1448="","",Config!$B$18)</f>
        <v/>
      </c>
      <c r="V1448">
        <f>IF($AG1448="","",Config!$B$19)</f>
        <v/>
      </c>
      <c r="W1448">
        <f>IF($AG1448="","",INDEX('TMP Paste'!$C$2:$C$1601,$AG1448))</f>
        <v/>
      </c>
      <c r="X1448">
        <f>IF($AG1448="","",Config!$B$29)</f>
        <v/>
      </c>
      <c r="Y1448">
        <f>IF($AH1448="","",INDEX(Calc!$I$2:$I$1601,$AH1448)&amp;" - "&amp;INDEX(Calc!$D$2:$D$1601,$AH1448)&amp;" koli")</f>
        <v/>
      </c>
      <c r="Z1448">
        <f>IF($AG1448="","",Config!$B$21)</f>
        <v/>
      </c>
      <c r="AA1448">
        <f>IF($AG1448="","",Config!$B$22)</f>
        <v/>
      </c>
      <c r="AB1448">
        <f>IF($AH1448="","",INDEX(Calc!$D$2:$D$1601,$AH1448))</f>
        <v/>
      </c>
      <c r="AC1448">
        <f>IF($AH1448="","",INDEX(Calc!$G$2:$G$1601,$AH1448))</f>
        <v/>
      </c>
      <c r="AD1448">
        <f>IF($AG1448="","",Config!$B$23)</f>
        <v/>
      </c>
      <c r="AE1448">
        <f>IF($AG1448="","",Config!$B$28)</f>
        <v/>
      </c>
      <c r="AG1448">
        <f>IFERROR(MATCH(ROW()-1,Calc!$J$2:$J$1601,0),"")</f>
        <v/>
      </c>
      <c r="AH1448">
        <f>IFERROR(MATCH(ROW()-1,Calc!$K$2:$K$1601,0),"")</f>
        <v/>
      </c>
      <c r="AI1448">
        <f>IF($AG1448="","",SUMIF($AG$2:$AG1448,$AG1448,$AH$2:$AH1448))</f>
        <v/>
      </c>
      <c r="AJ1448">
        <f>IF('TMP Paste'!$F1448="","",IF('TMP Paste'!$B1448="",$AJ1447,'TMP Paste'!$B1448))</f>
        <v/>
      </c>
      <c r="AK1448">
        <f>IF('TMP Paste'!$F1448="","",N('TMP Paste'!$G1448))</f>
        <v/>
      </c>
      <c r="AL1448">
        <f>IF('TMP Paste'!$F1448="","",IF('TMP Paste'!$M1448="",$AL1447,'TMP Paste'!$M1448))</f>
        <v/>
      </c>
      <c r="AM1448">
        <f>IF('TMP Paste'!$F1448="","",IF('TMP Paste'!$N1448="",$AM1447,'TMP Paste'!$N1448))</f>
        <v/>
      </c>
      <c r="AN1448">
        <f>IF('TMP Paste'!$F1448="","",IF('TMP Paste'!$O1448="",$AN1447,'TMP Paste'!$O1448))</f>
        <v/>
      </c>
      <c r="AO1448">
        <f>IF('TMP Paste'!$F1448="","",IF('TMP Paste'!$P1448="",$AO1447,'TMP Paste'!$P1448))</f>
        <v/>
      </c>
      <c r="AP1448">
        <f>IF($AG1448="","",LEN($R1448))</f>
        <v/>
      </c>
      <c r="AQ1448">
        <f>IF($AG1448="","",TRIM(IF(COUNTIFS(Calc!$B$2:$B$1601,ROW()-1,Calc!$C$2:$C$1601,"&lt;1")&gt;0,"Ada PO tanpa Koli - cek TMP. ","")&amp;IF(LEN($R1448)&gt;500,"R &gt; 500 karakter.","")))</f>
        <v/>
      </c>
    </row>
    <row r="1449">
      <c r="A1449">
        <f>IF($AG1449="","",INDEX('TMP Paste'!$B$2:$B$1601,$AG1449))</f>
        <v/>
      </c>
      <c r="B1449">
        <f>IF($AG1449="","",Config!$B$14)</f>
        <v/>
      </c>
      <c r="C1449">
        <f>IF($AG1449="","",Config!$B$15)</f>
        <v/>
      </c>
      <c r="D1449">
        <f>IF($AG1449="","",INDEX('TMP Paste'!$B$2:$B$1601,$AG1449))</f>
        <v/>
      </c>
      <c r="E1449">
        <f>IF($AG1449="","",Config!$B$27)</f>
        <v/>
      </c>
      <c r="F1449">
        <f>IF($AG1449="","",Config!$B$9)</f>
        <v/>
      </c>
      <c r="G1449">
        <f>IF($AG1449="","",Config!$B$10)</f>
        <v/>
      </c>
      <c r="H1449">
        <f>IF($AG1449="","",Config!$B$11)</f>
        <v/>
      </c>
      <c r="I1449">
        <f>IF($AG1449="","",Config!$B$16)</f>
        <v/>
      </c>
      <c r="J1449">
        <f>IF($AG1449="","",INDEX('TMP Paste'!$A$2:$A$1601,$AG1449))</f>
        <v/>
      </c>
      <c r="K1449">
        <f>IF($AG1449="","",INDEX('TMP Paste'!$L$2:$L$1601,$AG1449))</f>
        <v/>
      </c>
      <c r="L1449">
        <f>IF($AG1449="","",INDEX('TMP Paste'!$I$2:$I$1601,$AG1449))</f>
        <v/>
      </c>
      <c r="M1449">
        <f>IF($AG1449="","",Config!$B$16)</f>
        <v/>
      </c>
      <c r="N1449">
        <f>IF($AG1449="","","")</f>
        <v/>
      </c>
      <c r="O1449">
        <f>IF($AG1449="","",INDEX('TMP Paste'!$K$2:$K$1601,$AG1449))</f>
        <v/>
      </c>
      <c r="P1449">
        <f>IF($AG1449="","","")</f>
        <v/>
      </c>
      <c r="Q1449">
        <f>IF($AG1449="","",INDEX('TMP Paste'!$J$2:$J$1601,$AG1449))</f>
        <v/>
      </c>
      <c r="R1449">
        <f>IF($AG1449="","",Config!$B$24)</f>
        <v/>
      </c>
      <c r="S1449">
        <f>IF($AG1449="","",TEXT(Config!$B$4,"yyyy-mm-dd"))</f>
        <v/>
      </c>
      <c r="T1449">
        <f>IF($AG1449="","",Config!$B$17)</f>
        <v/>
      </c>
      <c r="U1449">
        <f>IF($AG1449="","",Config!$B$18)</f>
        <v/>
      </c>
      <c r="V1449">
        <f>IF($AG1449="","",Config!$B$19)</f>
        <v/>
      </c>
      <c r="W1449">
        <f>IF($AG1449="","",INDEX('TMP Paste'!$C$2:$C$1601,$AG1449))</f>
        <v/>
      </c>
      <c r="X1449">
        <f>IF($AG1449="","",Config!$B$29)</f>
        <v/>
      </c>
      <c r="Y1449">
        <f>IF($AH1449="","",INDEX(Calc!$I$2:$I$1601,$AH1449)&amp;" - "&amp;INDEX(Calc!$D$2:$D$1601,$AH1449)&amp;" koli")</f>
        <v/>
      </c>
      <c r="Z1449">
        <f>IF($AG1449="","",Config!$B$21)</f>
        <v/>
      </c>
      <c r="AA1449">
        <f>IF($AG1449="","",Config!$B$22)</f>
        <v/>
      </c>
      <c r="AB1449">
        <f>IF($AH1449="","",INDEX(Calc!$D$2:$D$1601,$AH1449))</f>
        <v/>
      </c>
      <c r="AC1449">
        <f>IF($AH1449="","",INDEX(Calc!$G$2:$G$1601,$AH1449))</f>
        <v/>
      </c>
      <c r="AD1449">
        <f>IF($AG1449="","",Config!$B$23)</f>
        <v/>
      </c>
      <c r="AE1449">
        <f>IF($AG1449="","",Config!$B$28)</f>
        <v/>
      </c>
      <c r="AG1449">
        <f>IFERROR(MATCH(ROW()-1,Calc!$J$2:$J$1601,0),"")</f>
        <v/>
      </c>
      <c r="AH1449">
        <f>IFERROR(MATCH(ROW()-1,Calc!$K$2:$K$1601,0),"")</f>
        <v/>
      </c>
      <c r="AI1449">
        <f>IF($AG1449="","",SUMIF($AG$2:$AG1449,$AG1449,$AH$2:$AH1449))</f>
        <v/>
      </c>
      <c r="AJ1449">
        <f>IF('TMP Paste'!$F1449="","",IF('TMP Paste'!$B1449="",$AJ1448,'TMP Paste'!$B1449))</f>
        <v/>
      </c>
      <c r="AK1449">
        <f>IF('TMP Paste'!$F1449="","",N('TMP Paste'!$G1449))</f>
        <v/>
      </c>
      <c r="AL1449">
        <f>IF('TMP Paste'!$F1449="","",IF('TMP Paste'!$M1449="",$AL1448,'TMP Paste'!$M1449))</f>
        <v/>
      </c>
      <c r="AM1449">
        <f>IF('TMP Paste'!$F1449="","",IF('TMP Paste'!$N1449="",$AM1448,'TMP Paste'!$N1449))</f>
        <v/>
      </c>
      <c r="AN1449">
        <f>IF('TMP Paste'!$F1449="","",IF('TMP Paste'!$O1449="",$AN1448,'TMP Paste'!$O1449))</f>
        <v/>
      </c>
      <c r="AO1449">
        <f>IF('TMP Paste'!$F1449="","",IF('TMP Paste'!$P1449="",$AO1448,'TMP Paste'!$P1449))</f>
        <v/>
      </c>
      <c r="AP1449">
        <f>IF($AG1449="","",LEN($R1449))</f>
        <v/>
      </c>
      <c r="AQ1449">
        <f>IF($AG1449="","",TRIM(IF(COUNTIFS(Calc!$B$2:$B$1601,ROW()-1,Calc!$C$2:$C$1601,"&lt;1")&gt;0,"Ada PO tanpa Koli - cek TMP. ","")&amp;IF(LEN($R1449)&gt;500,"R &gt; 500 karakter.","")))</f>
        <v/>
      </c>
    </row>
    <row r="1450">
      <c r="A1450">
        <f>IF($AG1450="","",INDEX('TMP Paste'!$B$2:$B$1601,$AG1450))</f>
        <v/>
      </c>
      <c r="B1450">
        <f>IF($AG1450="","",Config!$B$14)</f>
        <v/>
      </c>
      <c r="C1450">
        <f>IF($AG1450="","",Config!$B$15)</f>
        <v/>
      </c>
      <c r="D1450">
        <f>IF($AG1450="","",INDEX('TMP Paste'!$B$2:$B$1601,$AG1450))</f>
        <v/>
      </c>
      <c r="E1450">
        <f>IF($AG1450="","",Config!$B$27)</f>
        <v/>
      </c>
      <c r="F1450">
        <f>IF($AG1450="","",Config!$B$9)</f>
        <v/>
      </c>
      <c r="G1450">
        <f>IF($AG1450="","",Config!$B$10)</f>
        <v/>
      </c>
      <c r="H1450">
        <f>IF($AG1450="","",Config!$B$11)</f>
        <v/>
      </c>
      <c r="I1450">
        <f>IF($AG1450="","",Config!$B$16)</f>
        <v/>
      </c>
      <c r="J1450">
        <f>IF($AG1450="","",INDEX('TMP Paste'!$A$2:$A$1601,$AG1450))</f>
        <v/>
      </c>
      <c r="K1450">
        <f>IF($AG1450="","",INDEX('TMP Paste'!$L$2:$L$1601,$AG1450))</f>
        <v/>
      </c>
      <c r="L1450">
        <f>IF($AG1450="","",INDEX('TMP Paste'!$I$2:$I$1601,$AG1450))</f>
        <v/>
      </c>
      <c r="M1450">
        <f>IF($AG1450="","",Config!$B$16)</f>
        <v/>
      </c>
      <c r="N1450">
        <f>IF($AG1450="","","")</f>
        <v/>
      </c>
      <c r="O1450">
        <f>IF($AG1450="","",INDEX('TMP Paste'!$K$2:$K$1601,$AG1450))</f>
        <v/>
      </c>
      <c r="P1450">
        <f>IF($AG1450="","","")</f>
        <v/>
      </c>
      <c r="Q1450">
        <f>IF($AG1450="","",INDEX('TMP Paste'!$J$2:$J$1601,$AG1450))</f>
        <v/>
      </c>
      <c r="R1450">
        <f>IF($AG1450="","",Config!$B$24)</f>
        <v/>
      </c>
      <c r="S1450">
        <f>IF($AG1450="","",TEXT(Config!$B$4,"yyyy-mm-dd"))</f>
        <v/>
      </c>
      <c r="T1450">
        <f>IF($AG1450="","",Config!$B$17)</f>
        <v/>
      </c>
      <c r="U1450">
        <f>IF($AG1450="","",Config!$B$18)</f>
        <v/>
      </c>
      <c r="V1450">
        <f>IF($AG1450="","",Config!$B$19)</f>
        <v/>
      </c>
      <c r="W1450">
        <f>IF($AG1450="","",INDEX('TMP Paste'!$C$2:$C$1601,$AG1450))</f>
        <v/>
      </c>
      <c r="X1450">
        <f>IF($AG1450="","",Config!$B$29)</f>
        <v/>
      </c>
      <c r="Y1450">
        <f>IF($AH1450="","",INDEX(Calc!$I$2:$I$1601,$AH1450)&amp;" - "&amp;INDEX(Calc!$D$2:$D$1601,$AH1450)&amp;" koli")</f>
        <v/>
      </c>
      <c r="Z1450">
        <f>IF($AG1450="","",Config!$B$21)</f>
        <v/>
      </c>
      <c r="AA1450">
        <f>IF($AG1450="","",Config!$B$22)</f>
        <v/>
      </c>
      <c r="AB1450">
        <f>IF($AH1450="","",INDEX(Calc!$D$2:$D$1601,$AH1450))</f>
        <v/>
      </c>
      <c r="AC1450">
        <f>IF($AH1450="","",INDEX(Calc!$G$2:$G$1601,$AH1450))</f>
        <v/>
      </c>
      <c r="AD1450">
        <f>IF($AG1450="","",Config!$B$23)</f>
        <v/>
      </c>
      <c r="AE1450">
        <f>IF($AG1450="","",Config!$B$28)</f>
        <v/>
      </c>
      <c r="AG1450">
        <f>IFERROR(MATCH(ROW()-1,Calc!$J$2:$J$1601,0),"")</f>
        <v/>
      </c>
      <c r="AH1450">
        <f>IFERROR(MATCH(ROW()-1,Calc!$K$2:$K$1601,0),"")</f>
        <v/>
      </c>
      <c r="AI1450">
        <f>IF($AG1450="","",SUMIF($AG$2:$AG1450,$AG1450,$AH$2:$AH1450))</f>
        <v/>
      </c>
      <c r="AJ1450">
        <f>IF('TMP Paste'!$F1450="","",IF('TMP Paste'!$B1450="",$AJ1449,'TMP Paste'!$B1450))</f>
        <v/>
      </c>
      <c r="AK1450">
        <f>IF('TMP Paste'!$F1450="","",N('TMP Paste'!$G1450))</f>
        <v/>
      </c>
      <c r="AL1450">
        <f>IF('TMP Paste'!$F1450="","",IF('TMP Paste'!$M1450="",$AL1449,'TMP Paste'!$M1450))</f>
        <v/>
      </c>
      <c r="AM1450">
        <f>IF('TMP Paste'!$F1450="","",IF('TMP Paste'!$N1450="",$AM1449,'TMP Paste'!$N1450))</f>
        <v/>
      </c>
      <c r="AN1450">
        <f>IF('TMP Paste'!$F1450="","",IF('TMP Paste'!$O1450="",$AN1449,'TMP Paste'!$O1450))</f>
        <v/>
      </c>
      <c r="AO1450">
        <f>IF('TMP Paste'!$F1450="","",IF('TMP Paste'!$P1450="",$AO1449,'TMP Paste'!$P1450))</f>
        <v/>
      </c>
      <c r="AP1450">
        <f>IF($AG1450="","",LEN($R1450))</f>
        <v/>
      </c>
      <c r="AQ1450">
        <f>IF($AG1450="","",TRIM(IF(COUNTIFS(Calc!$B$2:$B$1601,ROW()-1,Calc!$C$2:$C$1601,"&lt;1")&gt;0,"Ada PO tanpa Koli - cek TMP. ","")&amp;IF(LEN($R1450)&gt;500,"R &gt; 500 karakter.","")))</f>
        <v/>
      </c>
    </row>
    <row r="1451">
      <c r="A1451">
        <f>IF($AG1451="","",INDEX('TMP Paste'!$B$2:$B$1601,$AG1451))</f>
        <v/>
      </c>
      <c r="B1451">
        <f>IF($AG1451="","",Config!$B$14)</f>
        <v/>
      </c>
      <c r="C1451">
        <f>IF($AG1451="","",Config!$B$15)</f>
        <v/>
      </c>
      <c r="D1451">
        <f>IF($AG1451="","",INDEX('TMP Paste'!$B$2:$B$1601,$AG1451))</f>
        <v/>
      </c>
      <c r="E1451">
        <f>IF($AG1451="","",Config!$B$27)</f>
        <v/>
      </c>
      <c r="F1451">
        <f>IF($AG1451="","",Config!$B$9)</f>
        <v/>
      </c>
      <c r="G1451">
        <f>IF($AG1451="","",Config!$B$10)</f>
        <v/>
      </c>
      <c r="H1451">
        <f>IF($AG1451="","",Config!$B$11)</f>
        <v/>
      </c>
      <c r="I1451">
        <f>IF($AG1451="","",Config!$B$16)</f>
        <v/>
      </c>
      <c r="J1451">
        <f>IF($AG1451="","",INDEX('TMP Paste'!$A$2:$A$1601,$AG1451))</f>
        <v/>
      </c>
      <c r="K1451">
        <f>IF($AG1451="","",INDEX('TMP Paste'!$L$2:$L$1601,$AG1451))</f>
        <v/>
      </c>
      <c r="L1451">
        <f>IF($AG1451="","",INDEX('TMP Paste'!$I$2:$I$1601,$AG1451))</f>
        <v/>
      </c>
      <c r="M1451">
        <f>IF($AG1451="","",Config!$B$16)</f>
        <v/>
      </c>
      <c r="N1451">
        <f>IF($AG1451="","","")</f>
        <v/>
      </c>
      <c r="O1451">
        <f>IF($AG1451="","",INDEX('TMP Paste'!$K$2:$K$1601,$AG1451))</f>
        <v/>
      </c>
      <c r="P1451">
        <f>IF($AG1451="","","")</f>
        <v/>
      </c>
      <c r="Q1451">
        <f>IF($AG1451="","",INDEX('TMP Paste'!$J$2:$J$1601,$AG1451))</f>
        <v/>
      </c>
      <c r="R1451">
        <f>IF($AG1451="","",Config!$B$24)</f>
        <v/>
      </c>
      <c r="S1451">
        <f>IF($AG1451="","",TEXT(Config!$B$4,"yyyy-mm-dd"))</f>
        <v/>
      </c>
      <c r="T1451">
        <f>IF($AG1451="","",Config!$B$17)</f>
        <v/>
      </c>
      <c r="U1451">
        <f>IF($AG1451="","",Config!$B$18)</f>
        <v/>
      </c>
      <c r="V1451">
        <f>IF($AG1451="","",Config!$B$19)</f>
        <v/>
      </c>
      <c r="W1451">
        <f>IF($AG1451="","",INDEX('TMP Paste'!$C$2:$C$1601,$AG1451))</f>
        <v/>
      </c>
      <c r="X1451">
        <f>IF($AG1451="","",Config!$B$29)</f>
        <v/>
      </c>
      <c r="Y1451">
        <f>IF($AH1451="","",INDEX(Calc!$I$2:$I$1601,$AH1451)&amp;" - "&amp;INDEX(Calc!$D$2:$D$1601,$AH1451)&amp;" koli")</f>
        <v/>
      </c>
      <c r="Z1451">
        <f>IF($AG1451="","",Config!$B$21)</f>
        <v/>
      </c>
      <c r="AA1451">
        <f>IF($AG1451="","",Config!$B$22)</f>
        <v/>
      </c>
      <c r="AB1451">
        <f>IF($AH1451="","",INDEX(Calc!$D$2:$D$1601,$AH1451))</f>
        <v/>
      </c>
      <c r="AC1451">
        <f>IF($AH1451="","",INDEX(Calc!$G$2:$G$1601,$AH1451))</f>
        <v/>
      </c>
      <c r="AD1451">
        <f>IF($AG1451="","",Config!$B$23)</f>
        <v/>
      </c>
      <c r="AE1451">
        <f>IF($AG1451="","",Config!$B$28)</f>
        <v/>
      </c>
      <c r="AG1451">
        <f>IFERROR(MATCH(ROW()-1,Calc!$J$2:$J$1601,0),"")</f>
        <v/>
      </c>
      <c r="AH1451">
        <f>IFERROR(MATCH(ROW()-1,Calc!$K$2:$K$1601,0),"")</f>
        <v/>
      </c>
      <c r="AI1451">
        <f>IF($AG1451="","",SUMIF($AG$2:$AG1451,$AG1451,$AH$2:$AH1451))</f>
        <v/>
      </c>
      <c r="AJ1451">
        <f>IF('TMP Paste'!$F1451="","",IF('TMP Paste'!$B1451="",$AJ1450,'TMP Paste'!$B1451))</f>
        <v/>
      </c>
      <c r="AK1451">
        <f>IF('TMP Paste'!$F1451="","",N('TMP Paste'!$G1451))</f>
        <v/>
      </c>
      <c r="AL1451">
        <f>IF('TMP Paste'!$F1451="","",IF('TMP Paste'!$M1451="",$AL1450,'TMP Paste'!$M1451))</f>
        <v/>
      </c>
      <c r="AM1451">
        <f>IF('TMP Paste'!$F1451="","",IF('TMP Paste'!$N1451="",$AM1450,'TMP Paste'!$N1451))</f>
        <v/>
      </c>
      <c r="AN1451">
        <f>IF('TMP Paste'!$F1451="","",IF('TMP Paste'!$O1451="",$AN1450,'TMP Paste'!$O1451))</f>
        <v/>
      </c>
      <c r="AO1451">
        <f>IF('TMP Paste'!$F1451="","",IF('TMP Paste'!$P1451="",$AO1450,'TMP Paste'!$P1451))</f>
        <v/>
      </c>
      <c r="AP1451">
        <f>IF($AG1451="","",LEN($R1451))</f>
        <v/>
      </c>
      <c r="AQ1451">
        <f>IF($AG1451="","",TRIM(IF(COUNTIFS(Calc!$B$2:$B$1601,ROW()-1,Calc!$C$2:$C$1601,"&lt;1")&gt;0,"Ada PO tanpa Koli - cek TMP. ","")&amp;IF(LEN($R1451)&gt;500,"R &gt; 500 karakter.","")))</f>
        <v/>
      </c>
    </row>
    <row r="1452">
      <c r="A1452">
        <f>IF($AG1452="","",INDEX('TMP Paste'!$B$2:$B$1601,$AG1452))</f>
        <v/>
      </c>
      <c r="B1452">
        <f>IF($AG1452="","",Config!$B$14)</f>
        <v/>
      </c>
      <c r="C1452">
        <f>IF($AG1452="","",Config!$B$15)</f>
        <v/>
      </c>
      <c r="D1452">
        <f>IF($AG1452="","",INDEX('TMP Paste'!$B$2:$B$1601,$AG1452))</f>
        <v/>
      </c>
      <c r="E1452">
        <f>IF($AG1452="","",Config!$B$27)</f>
        <v/>
      </c>
      <c r="F1452">
        <f>IF($AG1452="","",Config!$B$9)</f>
        <v/>
      </c>
      <c r="G1452">
        <f>IF($AG1452="","",Config!$B$10)</f>
        <v/>
      </c>
      <c r="H1452">
        <f>IF($AG1452="","",Config!$B$11)</f>
        <v/>
      </c>
      <c r="I1452">
        <f>IF($AG1452="","",Config!$B$16)</f>
        <v/>
      </c>
      <c r="J1452">
        <f>IF($AG1452="","",INDEX('TMP Paste'!$A$2:$A$1601,$AG1452))</f>
        <v/>
      </c>
      <c r="K1452">
        <f>IF($AG1452="","",INDEX('TMP Paste'!$L$2:$L$1601,$AG1452))</f>
        <v/>
      </c>
      <c r="L1452">
        <f>IF($AG1452="","",INDEX('TMP Paste'!$I$2:$I$1601,$AG1452))</f>
        <v/>
      </c>
      <c r="M1452">
        <f>IF($AG1452="","",Config!$B$16)</f>
        <v/>
      </c>
      <c r="N1452">
        <f>IF($AG1452="","","")</f>
        <v/>
      </c>
      <c r="O1452">
        <f>IF($AG1452="","",INDEX('TMP Paste'!$K$2:$K$1601,$AG1452))</f>
        <v/>
      </c>
      <c r="P1452">
        <f>IF($AG1452="","","")</f>
        <v/>
      </c>
      <c r="Q1452">
        <f>IF($AG1452="","",INDEX('TMP Paste'!$J$2:$J$1601,$AG1452))</f>
        <v/>
      </c>
      <c r="R1452">
        <f>IF($AG1452="","",Config!$B$24)</f>
        <v/>
      </c>
      <c r="S1452">
        <f>IF($AG1452="","",TEXT(Config!$B$4,"yyyy-mm-dd"))</f>
        <v/>
      </c>
      <c r="T1452">
        <f>IF($AG1452="","",Config!$B$17)</f>
        <v/>
      </c>
      <c r="U1452">
        <f>IF($AG1452="","",Config!$B$18)</f>
        <v/>
      </c>
      <c r="V1452">
        <f>IF($AG1452="","",Config!$B$19)</f>
        <v/>
      </c>
      <c r="W1452">
        <f>IF($AG1452="","",INDEX('TMP Paste'!$C$2:$C$1601,$AG1452))</f>
        <v/>
      </c>
      <c r="X1452">
        <f>IF($AG1452="","",Config!$B$29)</f>
        <v/>
      </c>
      <c r="Y1452">
        <f>IF($AH1452="","",INDEX(Calc!$I$2:$I$1601,$AH1452)&amp;" - "&amp;INDEX(Calc!$D$2:$D$1601,$AH1452)&amp;" koli")</f>
        <v/>
      </c>
      <c r="Z1452">
        <f>IF($AG1452="","",Config!$B$21)</f>
        <v/>
      </c>
      <c r="AA1452">
        <f>IF($AG1452="","",Config!$B$22)</f>
        <v/>
      </c>
      <c r="AB1452">
        <f>IF($AH1452="","",INDEX(Calc!$D$2:$D$1601,$AH1452))</f>
        <v/>
      </c>
      <c r="AC1452">
        <f>IF($AH1452="","",INDEX(Calc!$G$2:$G$1601,$AH1452))</f>
        <v/>
      </c>
      <c r="AD1452">
        <f>IF($AG1452="","",Config!$B$23)</f>
        <v/>
      </c>
      <c r="AE1452">
        <f>IF($AG1452="","",Config!$B$28)</f>
        <v/>
      </c>
      <c r="AG1452">
        <f>IFERROR(MATCH(ROW()-1,Calc!$J$2:$J$1601,0),"")</f>
        <v/>
      </c>
      <c r="AH1452">
        <f>IFERROR(MATCH(ROW()-1,Calc!$K$2:$K$1601,0),"")</f>
        <v/>
      </c>
      <c r="AI1452">
        <f>IF($AG1452="","",SUMIF($AG$2:$AG1452,$AG1452,$AH$2:$AH1452))</f>
        <v/>
      </c>
      <c r="AJ1452">
        <f>IF('TMP Paste'!$F1452="","",IF('TMP Paste'!$B1452="",$AJ1451,'TMP Paste'!$B1452))</f>
        <v/>
      </c>
      <c r="AK1452">
        <f>IF('TMP Paste'!$F1452="","",N('TMP Paste'!$G1452))</f>
        <v/>
      </c>
      <c r="AL1452">
        <f>IF('TMP Paste'!$F1452="","",IF('TMP Paste'!$M1452="",$AL1451,'TMP Paste'!$M1452))</f>
        <v/>
      </c>
      <c r="AM1452">
        <f>IF('TMP Paste'!$F1452="","",IF('TMP Paste'!$N1452="",$AM1451,'TMP Paste'!$N1452))</f>
        <v/>
      </c>
      <c r="AN1452">
        <f>IF('TMP Paste'!$F1452="","",IF('TMP Paste'!$O1452="",$AN1451,'TMP Paste'!$O1452))</f>
        <v/>
      </c>
      <c r="AO1452">
        <f>IF('TMP Paste'!$F1452="","",IF('TMP Paste'!$P1452="",$AO1451,'TMP Paste'!$P1452))</f>
        <v/>
      </c>
      <c r="AP1452">
        <f>IF($AG1452="","",LEN($R1452))</f>
        <v/>
      </c>
      <c r="AQ1452">
        <f>IF($AG1452="","",TRIM(IF(COUNTIFS(Calc!$B$2:$B$1601,ROW()-1,Calc!$C$2:$C$1601,"&lt;1")&gt;0,"Ada PO tanpa Koli - cek TMP. ","")&amp;IF(LEN($R1452)&gt;500,"R &gt; 500 karakter.","")))</f>
        <v/>
      </c>
    </row>
    <row r="1453">
      <c r="A1453">
        <f>IF($AG1453="","",INDEX('TMP Paste'!$B$2:$B$1601,$AG1453))</f>
        <v/>
      </c>
      <c r="B1453">
        <f>IF($AG1453="","",Config!$B$14)</f>
        <v/>
      </c>
      <c r="C1453">
        <f>IF($AG1453="","",Config!$B$15)</f>
        <v/>
      </c>
      <c r="D1453">
        <f>IF($AG1453="","",INDEX('TMP Paste'!$B$2:$B$1601,$AG1453))</f>
        <v/>
      </c>
      <c r="E1453">
        <f>IF($AG1453="","",Config!$B$27)</f>
        <v/>
      </c>
      <c r="F1453">
        <f>IF($AG1453="","",Config!$B$9)</f>
        <v/>
      </c>
      <c r="G1453">
        <f>IF($AG1453="","",Config!$B$10)</f>
        <v/>
      </c>
      <c r="H1453">
        <f>IF($AG1453="","",Config!$B$11)</f>
        <v/>
      </c>
      <c r="I1453">
        <f>IF($AG1453="","",Config!$B$16)</f>
        <v/>
      </c>
      <c r="J1453">
        <f>IF($AG1453="","",INDEX('TMP Paste'!$A$2:$A$1601,$AG1453))</f>
        <v/>
      </c>
      <c r="K1453">
        <f>IF($AG1453="","",INDEX('TMP Paste'!$L$2:$L$1601,$AG1453))</f>
        <v/>
      </c>
      <c r="L1453">
        <f>IF($AG1453="","",INDEX('TMP Paste'!$I$2:$I$1601,$AG1453))</f>
        <v/>
      </c>
      <c r="M1453">
        <f>IF($AG1453="","",Config!$B$16)</f>
        <v/>
      </c>
      <c r="N1453">
        <f>IF($AG1453="","","")</f>
        <v/>
      </c>
      <c r="O1453">
        <f>IF($AG1453="","",INDEX('TMP Paste'!$K$2:$K$1601,$AG1453))</f>
        <v/>
      </c>
      <c r="P1453">
        <f>IF($AG1453="","","")</f>
        <v/>
      </c>
      <c r="Q1453">
        <f>IF($AG1453="","",INDEX('TMP Paste'!$J$2:$J$1601,$AG1453))</f>
        <v/>
      </c>
      <c r="R1453">
        <f>IF($AG1453="","",Config!$B$24)</f>
        <v/>
      </c>
      <c r="S1453">
        <f>IF($AG1453="","",TEXT(Config!$B$4,"yyyy-mm-dd"))</f>
        <v/>
      </c>
      <c r="T1453">
        <f>IF($AG1453="","",Config!$B$17)</f>
        <v/>
      </c>
      <c r="U1453">
        <f>IF($AG1453="","",Config!$B$18)</f>
        <v/>
      </c>
      <c r="V1453">
        <f>IF($AG1453="","",Config!$B$19)</f>
        <v/>
      </c>
      <c r="W1453">
        <f>IF($AG1453="","",INDEX('TMP Paste'!$C$2:$C$1601,$AG1453))</f>
        <v/>
      </c>
      <c r="X1453">
        <f>IF($AG1453="","",Config!$B$29)</f>
        <v/>
      </c>
      <c r="Y1453">
        <f>IF($AH1453="","",INDEX(Calc!$I$2:$I$1601,$AH1453)&amp;" - "&amp;INDEX(Calc!$D$2:$D$1601,$AH1453)&amp;" koli")</f>
        <v/>
      </c>
      <c r="Z1453">
        <f>IF($AG1453="","",Config!$B$21)</f>
        <v/>
      </c>
      <c r="AA1453">
        <f>IF($AG1453="","",Config!$B$22)</f>
        <v/>
      </c>
      <c r="AB1453">
        <f>IF($AH1453="","",INDEX(Calc!$D$2:$D$1601,$AH1453))</f>
        <v/>
      </c>
      <c r="AC1453">
        <f>IF($AH1453="","",INDEX(Calc!$G$2:$G$1601,$AH1453))</f>
        <v/>
      </c>
      <c r="AD1453">
        <f>IF($AG1453="","",Config!$B$23)</f>
        <v/>
      </c>
      <c r="AE1453">
        <f>IF($AG1453="","",Config!$B$28)</f>
        <v/>
      </c>
      <c r="AG1453">
        <f>IFERROR(MATCH(ROW()-1,Calc!$J$2:$J$1601,0),"")</f>
        <v/>
      </c>
      <c r="AH1453">
        <f>IFERROR(MATCH(ROW()-1,Calc!$K$2:$K$1601,0),"")</f>
        <v/>
      </c>
      <c r="AI1453">
        <f>IF($AG1453="","",SUMIF($AG$2:$AG1453,$AG1453,$AH$2:$AH1453))</f>
        <v/>
      </c>
      <c r="AJ1453">
        <f>IF('TMP Paste'!$F1453="","",IF('TMP Paste'!$B1453="",$AJ1452,'TMP Paste'!$B1453))</f>
        <v/>
      </c>
      <c r="AK1453">
        <f>IF('TMP Paste'!$F1453="","",N('TMP Paste'!$G1453))</f>
        <v/>
      </c>
      <c r="AL1453">
        <f>IF('TMP Paste'!$F1453="","",IF('TMP Paste'!$M1453="",$AL1452,'TMP Paste'!$M1453))</f>
        <v/>
      </c>
      <c r="AM1453">
        <f>IF('TMP Paste'!$F1453="","",IF('TMP Paste'!$N1453="",$AM1452,'TMP Paste'!$N1453))</f>
        <v/>
      </c>
      <c r="AN1453">
        <f>IF('TMP Paste'!$F1453="","",IF('TMP Paste'!$O1453="",$AN1452,'TMP Paste'!$O1453))</f>
        <v/>
      </c>
      <c r="AO1453">
        <f>IF('TMP Paste'!$F1453="","",IF('TMP Paste'!$P1453="",$AO1452,'TMP Paste'!$P1453))</f>
        <v/>
      </c>
      <c r="AP1453">
        <f>IF($AG1453="","",LEN($R1453))</f>
        <v/>
      </c>
      <c r="AQ1453">
        <f>IF($AG1453="","",TRIM(IF(COUNTIFS(Calc!$B$2:$B$1601,ROW()-1,Calc!$C$2:$C$1601,"&lt;1")&gt;0,"Ada PO tanpa Koli - cek TMP. ","")&amp;IF(LEN($R1453)&gt;500,"R &gt; 500 karakter.","")))</f>
        <v/>
      </c>
    </row>
    <row r="1454">
      <c r="A1454">
        <f>IF($AG1454="","",INDEX('TMP Paste'!$B$2:$B$1601,$AG1454))</f>
        <v/>
      </c>
      <c r="B1454">
        <f>IF($AG1454="","",Config!$B$14)</f>
        <v/>
      </c>
      <c r="C1454">
        <f>IF($AG1454="","",Config!$B$15)</f>
        <v/>
      </c>
      <c r="D1454">
        <f>IF($AG1454="","",INDEX('TMP Paste'!$B$2:$B$1601,$AG1454))</f>
        <v/>
      </c>
      <c r="E1454">
        <f>IF($AG1454="","",Config!$B$27)</f>
        <v/>
      </c>
      <c r="F1454">
        <f>IF($AG1454="","",Config!$B$9)</f>
        <v/>
      </c>
      <c r="G1454">
        <f>IF($AG1454="","",Config!$B$10)</f>
        <v/>
      </c>
      <c r="H1454">
        <f>IF($AG1454="","",Config!$B$11)</f>
        <v/>
      </c>
      <c r="I1454">
        <f>IF($AG1454="","",Config!$B$16)</f>
        <v/>
      </c>
      <c r="J1454">
        <f>IF($AG1454="","",INDEX('TMP Paste'!$A$2:$A$1601,$AG1454))</f>
        <v/>
      </c>
      <c r="K1454">
        <f>IF($AG1454="","",INDEX('TMP Paste'!$L$2:$L$1601,$AG1454))</f>
        <v/>
      </c>
      <c r="L1454">
        <f>IF($AG1454="","",INDEX('TMP Paste'!$I$2:$I$1601,$AG1454))</f>
        <v/>
      </c>
      <c r="M1454">
        <f>IF($AG1454="","",Config!$B$16)</f>
        <v/>
      </c>
      <c r="N1454">
        <f>IF($AG1454="","","")</f>
        <v/>
      </c>
      <c r="O1454">
        <f>IF($AG1454="","",INDEX('TMP Paste'!$K$2:$K$1601,$AG1454))</f>
        <v/>
      </c>
      <c r="P1454">
        <f>IF($AG1454="","","")</f>
        <v/>
      </c>
      <c r="Q1454">
        <f>IF($AG1454="","",INDEX('TMP Paste'!$J$2:$J$1601,$AG1454))</f>
        <v/>
      </c>
      <c r="R1454">
        <f>IF($AG1454="","",Config!$B$24)</f>
        <v/>
      </c>
      <c r="S1454">
        <f>IF($AG1454="","",TEXT(Config!$B$4,"yyyy-mm-dd"))</f>
        <v/>
      </c>
      <c r="T1454">
        <f>IF($AG1454="","",Config!$B$17)</f>
        <v/>
      </c>
      <c r="U1454">
        <f>IF($AG1454="","",Config!$B$18)</f>
        <v/>
      </c>
      <c r="V1454">
        <f>IF($AG1454="","",Config!$B$19)</f>
        <v/>
      </c>
      <c r="W1454">
        <f>IF($AG1454="","",INDEX('TMP Paste'!$C$2:$C$1601,$AG1454))</f>
        <v/>
      </c>
      <c r="X1454">
        <f>IF($AG1454="","",Config!$B$29)</f>
        <v/>
      </c>
      <c r="Y1454">
        <f>IF($AH1454="","",INDEX(Calc!$I$2:$I$1601,$AH1454)&amp;" - "&amp;INDEX(Calc!$D$2:$D$1601,$AH1454)&amp;" koli")</f>
        <v/>
      </c>
      <c r="Z1454">
        <f>IF($AG1454="","",Config!$B$21)</f>
        <v/>
      </c>
      <c r="AA1454">
        <f>IF($AG1454="","",Config!$B$22)</f>
        <v/>
      </c>
      <c r="AB1454">
        <f>IF($AH1454="","",INDEX(Calc!$D$2:$D$1601,$AH1454))</f>
        <v/>
      </c>
      <c r="AC1454">
        <f>IF($AH1454="","",INDEX(Calc!$G$2:$G$1601,$AH1454))</f>
        <v/>
      </c>
      <c r="AD1454">
        <f>IF($AG1454="","",Config!$B$23)</f>
        <v/>
      </c>
      <c r="AE1454">
        <f>IF($AG1454="","",Config!$B$28)</f>
        <v/>
      </c>
      <c r="AG1454">
        <f>IFERROR(MATCH(ROW()-1,Calc!$J$2:$J$1601,0),"")</f>
        <v/>
      </c>
      <c r="AH1454">
        <f>IFERROR(MATCH(ROW()-1,Calc!$K$2:$K$1601,0),"")</f>
        <v/>
      </c>
      <c r="AI1454">
        <f>IF($AG1454="","",SUMIF($AG$2:$AG1454,$AG1454,$AH$2:$AH1454))</f>
        <v/>
      </c>
      <c r="AJ1454">
        <f>IF('TMP Paste'!$F1454="","",IF('TMP Paste'!$B1454="",$AJ1453,'TMP Paste'!$B1454))</f>
        <v/>
      </c>
      <c r="AK1454">
        <f>IF('TMP Paste'!$F1454="","",N('TMP Paste'!$G1454))</f>
        <v/>
      </c>
      <c r="AL1454">
        <f>IF('TMP Paste'!$F1454="","",IF('TMP Paste'!$M1454="",$AL1453,'TMP Paste'!$M1454))</f>
        <v/>
      </c>
      <c r="AM1454">
        <f>IF('TMP Paste'!$F1454="","",IF('TMP Paste'!$N1454="",$AM1453,'TMP Paste'!$N1454))</f>
        <v/>
      </c>
      <c r="AN1454">
        <f>IF('TMP Paste'!$F1454="","",IF('TMP Paste'!$O1454="",$AN1453,'TMP Paste'!$O1454))</f>
        <v/>
      </c>
      <c r="AO1454">
        <f>IF('TMP Paste'!$F1454="","",IF('TMP Paste'!$P1454="",$AO1453,'TMP Paste'!$P1454))</f>
        <v/>
      </c>
      <c r="AP1454">
        <f>IF($AG1454="","",LEN($R1454))</f>
        <v/>
      </c>
      <c r="AQ1454">
        <f>IF($AG1454="","",TRIM(IF(COUNTIFS(Calc!$B$2:$B$1601,ROW()-1,Calc!$C$2:$C$1601,"&lt;1")&gt;0,"Ada PO tanpa Koli - cek TMP. ","")&amp;IF(LEN($R1454)&gt;500,"R &gt; 500 karakter.","")))</f>
        <v/>
      </c>
    </row>
    <row r="1455">
      <c r="A1455">
        <f>IF($AG1455="","",INDEX('TMP Paste'!$B$2:$B$1601,$AG1455))</f>
        <v/>
      </c>
      <c r="B1455">
        <f>IF($AG1455="","",Config!$B$14)</f>
        <v/>
      </c>
      <c r="C1455">
        <f>IF($AG1455="","",Config!$B$15)</f>
        <v/>
      </c>
      <c r="D1455">
        <f>IF($AG1455="","",INDEX('TMP Paste'!$B$2:$B$1601,$AG1455))</f>
        <v/>
      </c>
      <c r="E1455">
        <f>IF($AG1455="","",Config!$B$27)</f>
        <v/>
      </c>
      <c r="F1455">
        <f>IF($AG1455="","",Config!$B$9)</f>
        <v/>
      </c>
      <c r="G1455">
        <f>IF($AG1455="","",Config!$B$10)</f>
        <v/>
      </c>
      <c r="H1455">
        <f>IF($AG1455="","",Config!$B$11)</f>
        <v/>
      </c>
      <c r="I1455">
        <f>IF($AG1455="","",Config!$B$16)</f>
        <v/>
      </c>
      <c r="J1455">
        <f>IF($AG1455="","",INDEX('TMP Paste'!$A$2:$A$1601,$AG1455))</f>
        <v/>
      </c>
      <c r="K1455">
        <f>IF($AG1455="","",INDEX('TMP Paste'!$L$2:$L$1601,$AG1455))</f>
        <v/>
      </c>
      <c r="L1455">
        <f>IF($AG1455="","",INDEX('TMP Paste'!$I$2:$I$1601,$AG1455))</f>
        <v/>
      </c>
      <c r="M1455">
        <f>IF($AG1455="","",Config!$B$16)</f>
        <v/>
      </c>
      <c r="N1455">
        <f>IF($AG1455="","","")</f>
        <v/>
      </c>
      <c r="O1455">
        <f>IF($AG1455="","",INDEX('TMP Paste'!$K$2:$K$1601,$AG1455))</f>
        <v/>
      </c>
      <c r="P1455">
        <f>IF($AG1455="","","")</f>
        <v/>
      </c>
      <c r="Q1455">
        <f>IF($AG1455="","",INDEX('TMP Paste'!$J$2:$J$1601,$AG1455))</f>
        <v/>
      </c>
      <c r="R1455">
        <f>IF($AG1455="","",Config!$B$24)</f>
        <v/>
      </c>
      <c r="S1455">
        <f>IF($AG1455="","",TEXT(Config!$B$4,"yyyy-mm-dd"))</f>
        <v/>
      </c>
      <c r="T1455">
        <f>IF($AG1455="","",Config!$B$17)</f>
        <v/>
      </c>
      <c r="U1455">
        <f>IF($AG1455="","",Config!$B$18)</f>
        <v/>
      </c>
      <c r="V1455">
        <f>IF($AG1455="","",Config!$B$19)</f>
        <v/>
      </c>
      <c r="W1455">
        <f>IF($AG1455="","",INDEX('TMP Paste'!$C$2:$C$1601,$AG1455))</f>
        <v/>
      </c>
      <c r="X1455">
        <f>IF($AG1455="","",Config!$B$29)</f>
        <v/>
      </c>
      <c r="Y1455">
        <f>IF($AH1455="","",INDEX(Calc!$I$2:$I$1601,$AH1455)&amp;" - "&amp;INDEX(Calc!$D$2:$D$1601,$AH1455)&amp;" koli")</f>
        <v/>
      </c>
      <c r="Z1455">
        <f>IF($AG1455="","",Config!$B$21)</f>
        <v/>
      </c>
      <c r="AA1455">
        <f>IF($AG1455="","",Config!$B$22)</f>
        <v/>
      </c>
      <c r="AB1455">
        <f>IF($AH1455="","",INDEX(Calc!$D$2:$D$1601,$AH1455))</f>
        <v/>
      </c>
      <c r="AC1455">
        <f>IF($AH1455="","",INDEX(Calc!$G$2:$G$1601,$AH1455))</f>
        <v/>
      </c>
      <c r="AD1455">
        <f>IF($AG1455="","",Config!$B$23)</f>
        <v/>
      </c>
      <c r="AE1455">
        <f>IF($AG1455="","",Config!$B$28)</f>
        <v/>
      </c>
      <c r="AG1455">
        <f>IFERROR(MATCH(ROW()-1,Calc!$J$2:$J$1601,0),"")</f>
        <v/>
      </c>
      <c r="AH1455">
        <f>IFERROR(MATCH(ROW()-1,Calc!$K$2:$K$1601,0),"")</f>
        <v/>
      </c>
      <c r="AI1455">
        <f>IF($AG1455="","",SUMIF($AG$2:$AG1455,$AG1455,$AH$2:$AH1455))</f>
        <v/>
      </c>
      <c r="AJ1455">
        <f>IF('TMP Paste'!$F1455="","",IF('TMP Paste'!$B1455="",$AJ1454,'TMP Paste'!$B1455))</f>
        <v/>
      </c>
      <c r="AK1455">
        <f>IF('TMP Paste'!$F1455="","",N('TMP Paste'!$G1455))</f>
        <v/>
      </c>
      <c r="AL1455">
        <f>IF('TMP Paste'!$F1455="","",IF('TMP Paste'!$M1455="",$AL1454,'TMP Paste'!$M1455))</f>
        <v/>
      </c>
      <c r="AM1455">
        <f>IF('TMP Paste'!$F1455="","",IF('TMP Paste'!$N1455="",$AM1454,'TMP Paste'!$N1455))</f>
        <v/>
      </c>
      <c r="AN1455">
        <f>IF('TMP Paste'!$F1455="","",IF('TMP Paste'!$O1455="",$AN1454,'TMP Paste'!$O1455))</f>
        <v/>
      </c>
      <c r="AO1455">
        <f>IF('TMP Paste'!$F1455="","",IF('TMP Paste'!$P1455="",$AO1454,'TMP Paste'!$P1455))</f>
        <v/>
      </c>
      <c r="AP1455">
        <f>IF($AG1455="","",LEN($R1455))</f>
        <v/>
      </c>
      <c r="AQ1455">
        <f>IF($AG1455="","",TRIM(IF(COUNTIFS(Calc!$B$2:$B$1601,ROW()-1,Calc!$C$2:$C$1601,"&lt;1")&gt;0,"Ada PO tanpa Koli - cek TMP. ","")&amp;IF(LEN($R1455)&gt;500,"R &gt; 500 karakter.","")))</f>
        <v/>
      </c>
    </row>
    <row r="1456">
      <c r="A1456">
        <f>IF($AG1456="","",INDEX('TMP Paste'!$B$2:$B$1601,$AG1456))</f>
        <v/>
      </c>
      <c r="B1456">
        <f>IF($AG1456="","",Config!$B$14)</f>
        <v/>
      </c>
      <c r="C1456">
        <f>IF($AG1456="","",Config!$B$15)</f>
        <v/>
      </c>
      <c r="D1456">
        <f>IF($AG1456="","",INDEX('TMP Paste'!$B$2:$B$1601,$AG1456))</f>
        <v/>
      </c>
      <c r="E1456">
        <f>IF($AG1456="","",Config!$B$27)</f>
        <v/>
      </c>
      <c r="F1456">
        <f>IF($AG1456="","",Config!$B$9)</f>
        <v/>
      </c>
      <c r="G1456">
        <f>IF($AG1456="","",Config!$B$10)</f>
        <v/>
      </c>
      <c r="H1456">
        <f>IF($AG1456="","",Config!$B$11)</f>
        <v/>
      </c>
      <c r="I1456">
        <f>IF($AG1456="","",Config!$B$16)</f>
        <v/>
      </c>
      <c r="J1456">
        <f>IF($AG1456="","",INDEX('TMP Paste'!$A$2:$A$1601,$AG1456))</f>
        <v/>
      </c>
      <c r="K1456">
        <f>IF($AG1456="","",INDEX('TMP Paste'!$L$2:$L$1601,$AG1456))</f>
        <v/>
      </c>
      <c r="L1456">
        <f>IF($AG1456="","",INDEX('TMP Paste'!$I$2:$I$1601,$AG1456))</f>
        <v/>
      </c>
      <c r="M1456">
        <f>IF($AG1456="","",Config!$B$16)</f>
        <v/>
      </c>
      <c r="N1456">
        <f>IF($AG1456="","","")</f>
        <v/>
      </c>
      <c r="O1456">
        <f>IF($AG1456="","",INDEX('TMP Paste'!$K$2:$K$1601,$AG1456))</f>
        <v/>
      </c>
      <c r="P1456">
        <f>IF($AG1456="","","")</f>
        <v/>
      </c>
      <c r="Q1456">
        <f>IF($AG1456="","",INDEX('TMP Paste'!$J$2:$J$1601,$AG1456))</f>
        <v/>
      </c>
      <c r="R1456">
        <f>IF($AG1456="","",Config!$B$24)</f>
        <v/>
      </c>
      <c r="S1456">
        <f>IF($AG1456="","",TEXT(Config!$B$4,"yyyy-mm-dd"))</f>
        <v/>
      </c>
      <c r="T1456">
        <f>IF($AG1456="","",Config!$B$17)</f>
        <v/>
      </c>
      <c r="U1456">
        <f>IF($AG1456="","",Config!$B$18)</f>
        <v/>
      </c>
      <c r="V1456">
        <f>IF($AG1456="","",Config!$B$19)</f>
        <v/>
      </c>
      <c r="W1456">
        <f>IF($AG1456="","",INDEX('TMP Paste'!$C$2:$C$1601,$AG1456))</f>
        <v/>
      </c>
      <c r="X1456">
        <f>IF($AG1456="","",Config!$B$29)</f>
        <v/>
      </c>
      <c r="Y1456">
        <f>IF($AH1456="","",INDEX(Calc!$I$2:$I$1601,$AH1456)&amp;" - "&amp;INDEX(Calc!$D$2:$D$1601,$AH1456)&amp;" koli")</f>
        <v/>
      </c>
      <c r="Z1456">
        <f>IF($AG1456="","",Config!$B$21)</f>
        <v/>
      </c>
      <c r="AA1456">
        <f>IF($AG1456="","",Config!$B$22)</f>
        <v/>
      </c>
      <c r="AB1456">
        <f>IF($AH1456="","",INDEX(Calc!$D$2:$D$1601,$AH1456))</f>
        <v/>
      </c>
      <c r="AC1456">
        <f>IF($AH1456="","",INDEX(Calc!$G$2:$G$1601,$AH1456))</f>
        <v/>
      </c>
      <c r="AD1456">
        <f>IF($AG1456="","",Config!$B$23)</f>
        <v/>
      </c>
      <c r="AE1456">
        <f>IF($AG1456="","",Config!$B$28)</f>
        <v/>
      </c>
      <c r="AG1456">
        <f>IFERROR(MATCH(ROW()-1,Calc!$J$2:$J$1601,0),"")</f>
        <v/>
      </c>
      <c r="AH1456">
        <f>IFERROR(MATCH(ROW()-1,Calc!$K$2:$K$1601,0),"")</f>
        <v/>
      </c>
      <c r="AI1456">
        <f>IF($AG1456="","",SUMIF($AG$2:$AG1456,$AG1456,$AH$2:$AH1456))</f>
        <v/>
      </c>
      <c r="AJ1456">
        <f>IF('TMP Paste'!$F1456="","",IF('TMP Paste'!$B1456="",$AJ1455,'TMP Paste'!$B1456))</f>
        <v/>
      </c>
      <c r="AK1456">
        <f>IF('TMP Paste'!$F1456="","",N('TMP Paste'!$G1456))</f>
        <v/>
      </c>
      <c r="AL1456">
        <f>IF('TMP Paste'!$F1456="","",IF('TMP Paste'!$M1456="",$AL1455,'TMP Paste'!$M1456))</f>
        <v/>
      </c>
      <c r="AM1456">
        <f>IF('TMP Paste'!$F1456="","",IF('TMP Paste'!$N1456="",$AM1455,'TMP Paste'!$N1456))</f>
        <v/>
      </c>
      <c r="AN1456">
        <f>IF('TMP Paste'!$F1456="","",IF('TMP Paste'!$O1456="",$AN1455,'TMP Paste'!$O1456))</f>
        <v/>
      </c>
      <c r="AO1456">
        <f>IF('TMP Paste'!$F1456="","",IF('TMP Paste'!$P1456="",$AO1455,'TMP Paste'!$P1456))</f>
        <v/>
      </c>
      <c r="AP1456">
        <f>IF($AG1456="","",LEN($R1456))</f>
        <v/>
      </c>
      <c r="AQ1456">
        <f>IF($AG1456="","",TRIM(IF(COUNTIFS(Calc!$B$2:$B$1601,ROW()-1,Calc!$C$2:$C$1601,"&lt;1")&gt;0,"Ada PO tanpa Koli - cek TMP. ","")&amp;IF(LEN($R1456)&gt;500,"R &gt; 500 karakter.","")))</f>
        <v/>
      </c>
    </row>
    <row r="1457">
      <c r="A1457">
        <f>IF($AG1457="","",INDEX('TMP Paste'!$B$2:$B$1601,$AG1457))</f>
        <v/>
      </c>
      <c r="B1457">
        <f>IF($AG1457="","",Config!$B$14)</f>
        <v/>
      </c>
      <c r="C1457">
        <f>IF($AG1457="","",Config!$B$15)</f>
        <v/>
      </c>
      <c r="D1457">
        <f>IF($AG1457="","",INDEX('TMP Paste'!$B$2:$B$1601,$AG1457))</f>
        <v/>
      </c>
      <c r="E1457">
        <f>IF($AG1457="","",Config!$B$27)</f>
        <v/>
      </c>
      <c r="F1457">
        <f>IF($AG1457="","",Config!$B$9)</f>
        <v/>
      </c>
      <c r="G1457">
        <f>IF($AG1457="","",Config!$B$10)</f>
        <v/>
      </c>
      <c r="H1457">
        <f>IF($AG1457="","",Config!$B$11)</f>
        <v/>
      </c>
      <c r="I1457">
        <f>IF($AG1457="","",Config!$B$16)</f>
        <v/>
      </c>
      <c r="J1457">
        <f>IF($AG1457="","",INDEX('TMP Paste'!$A$2:$A$1601,$AG1457))</f>
        <v/>
      </c>
      <c r="K1457">
        <f>IF($AG1457="","",INDEX('TMP Paste'!$L$2:$L$1601,$AG1457))</f>
        <v/>
      </c>
      <c r="L1457">
        <f>IF($AG1457="","",INDEX('TMP Paste'!$I$2:$I$1601,$AG1457))</f>
        <v/>
      </c>
      <c r="M1457">
        <f>IF($AG1457="","",Config!$B$16)</f>
        <v/>
      </c>
      <c r="N1457">
        <f>IF($AG1457="","","")</f>
        <v/>
      </c>
      <c r="O1457">
        <f>IF($AG1457="","",INDEX('TMP Paste'!$K$2:$K$1601,$AG1457))</f>
        <v/>
      </c>
      <c r="P1457">
        <f>IF($AG1457="","","")</f>
        <v/>
      </c>
      <c r="Q1457">
        <f>IF($AG1457="","",INDEX('TMP Paste'!$J$2:$J$1601,$AG1457))</f>
        <v/>
      </c>
      <c r="R1457">
        <f>IF($AG1457="","",Config!$B$24)</f>
        <v/>
      </c>
      <c r="S1457">
        <f>IF($AG1457="","",TEXT(Config!$B$4,"yyyy-mm-dd"))</f>
        <v/>
      </c>
      <c r="T1457">
        <f>IF($AG1457="","",Config!$B$17)</f>
        <v/>
      </c>
      <c r="U1457">
        <f>IF($AG1457="","",Config!$B$18)</f>
        <v/>
      </c>
      <c r="V1457">
        <f>IF($AG1457="","",Config!$B$19)</f>
        <v/>
      </c>
      <c r="W1457">
        <f>IF($AG1457="","",INDEX('TMP Paste'!$C$2:$C$1601,$AG1457))</f>
        <v/>
      </c>
      <c r="X1457">
        <f>IF($AG1457="","",Config!$B$29)</f>
        <v/>
      </c>
      <c r="Y1457">
        <f>IF($AH1457="","",INDEX(Calc!$I$2:$I$1601,$AH1457)&amp;" - "&amp;INDEX(Calc!$D$2:$D$1601,$AH1457)&amp;" koli")</f>
        <v/>
      </c>
      <c r="Z1457">
        <f>IF($AG1457="","",Config!$B$21)</f>
        <v/>
      </c>
      <c r="AA1457">
        <f>IF($AG1457="","",Config!$B$22)</f>
        <v/>
      </c>
      <c r="AB1457">
        <f>IF($AH1457="","",INDEX(Calc!$D$2:$D$1601,$AH1457))</f>
        <v/>
      </c>
      <c r="AC1457">
        <f>IF($AH1457="","",INDEX(Calc!$G$2:$G$1601,$AH1457))</f>
        <v/>
      </c>
      <c r="AD1457">
        <f>IF($AG1457="","",Config!$B$23)</f>
        <v/>
      </c>
      <c r="AE1457">
        <f>IF($AG1457="","",Config!$B$28)</f>
        <v/>
      </c>
      <c r="AG1457">
        <f>IFERROR(MATCH(ROW()-1,Calc!$J$2:$J$1601,0),"")</f>
        <v/>
      </c>
      <c r="AH1457">
        <f>IFERROR(MATCH(ROW()-1,Calc!$K$2:$K$1601,0),"")</f>
        <v/>
      </c>
      <c r="AI1457">
        <f>IF($AG1457="","",SUMIF($AG$2:$AG1457,$AG1457,$AH$2:$AH1457))</f>
        <v/>
      </c>
      <c r="AJ1457">
        <f>IF('TMP Paste'!$F1457="","",IF('TMP Paste'!$B1457="",$AJ1456,'TMP Paste'!$B1457))</f>
        <v/>
      </c>
      <c r="AK1457">
        <f>IF('TMP Paste'!$F1457="","",N('TMP Paste'!$G1457))</f>
        <v/>
      </c>
      <c r="AL1457">
        <f>IF('TMP Paste'!$F1457="","",IF('TMP Paste'!$M1457="",$AL1456,'TMP Paste'!$M1457))</f>
        <v/>
      </c>
      <c r="AM1457">
        <f>IF('TMP Paste'!$F1457="","",IF('TMP Paste'!$N1457="",$AM1456,'TMP Paste'!$N1457))</f>
        <v/>
      </c>
      <c r="AN1457">
        <f>IF('TMP Paste'!$F1457="","",IF('TMP Paste'!$O1457="",$AN1456,'TMP Paste'!$O1457))</f>
        <v/>
      </c>
      <c r="AO1457">
        <f>IF('TMP Paste'!$F1457="","",IF('TMP Paste'!$P1457="",$AO1456,'TMP Paste'!$P1457))</f>
        <v/>
      </c>
      <c r="AP1457">
        <f>IF($AG1457="","",LEN($R1457))</f>
        <v/>
      </c>
      <c r="AQ1457">
        <f>IF($AG1457="","",TRIM(IF(COUNTIFS(Calc!$B$2:$B$1601,ROW()-1,Calc!$C$2:$C$1601,"&lt;1")&gt;0,"Ada PO tanpa Koli - cek TMP. ","")&amp;IF(LEN($R1457)&gt;500,"R &gt; 500 karakter.","")))</f>
        <v/>
      </c>
    </row>
    <row r="1458">
      <c r="A1458">
        <f>IF($AG1458="","",INDEX('TMP Paste'!$B$2:$B$1601,$AG1458))</f>
        <v/>
      </c>
      <c r="B1458">
        <f>IF($AG1458="","",Config!$B$14)</f>
        <v/>
      </c>
      <c r="C1458">
        <f>IF($AG1458="","",Config!$B$15)</f>
        <v/>
      </c>
      <c r="D1458">
        <f>IF($AG1458="","",INDEX('TMP Paste'!$B$2:$B$1601,$AG1458))</f>
        <v/>
      </c>
      <c r="E1458">
        <f>IF($AG1458="","",Config!$B$27)</f>
        <v/>
      </c>
      <c r="F1458">
        <f>IF($AG1458="","",Config!$B$9)</f>
        <v/>
      </c>
      <c r="G1458">
        <f>IF($AG1458="","",Config!$B$10)</f>
        <v/>
      </c>
      <c r="H1458">
        <f>IF($AG1458="","",Config!$B$11)</f>
        <v/>
      </c>
      <c r="I1458">
        <f>IF($AG1458="","",Config!$B$16)</f>
        <v/>
      </c>
      <c r="J1458">
        <f>IF($AG1458="","",INDEX('TMP Paste'!$A$2:$A$1601,$AG1458))</f>
        <v/>
      </c>
      <c r="K1458">
        <f>IF($AG1458="","",INDEX('TMP Paste'!$L$2:$L$1601,$AG1458))</f>
        <v/>
      </c>
      <c r="L1458">
        <f>IF($AG1458="","",INDEX('TMP Paste'!$I$2:$I$1601,$AG1458))</f>
        <v/>
      </c>
      <c r="M1458">
        <f>IF($AG1458="","",Config!$B$16)</f>
        <v/>
      </c>
      <c r="N1458">
        <f>IF($AG1458="","","")</f>
        <v/>
      </c>
      <c r="O1458">
        <f>IF($AG1458="","",INDEX('TMP Paste'!$K$2:$K$1601,$AG1458))</f>
        <v/>
      </c>
      <c r="P1458">
        <f>IF($AG1458="","","")</f>
        <v/>
      </c>
      <c r="Q1458">
        <f>IF($AG1458="","",INDEX('TMP Paste'!$J$2:$J$1601,$AG1458))</f>
        <v/>
      </c>
      <c r="R1458">
        <f>IF($AG1458="","",Config!$B$24)</f>
        <v/>
      </c>
      <c r="S1458">
        <f>IF($AG1458="","",TEXT(Config!$B$4,"yyyy-mm-dd"))</f>
        <v/>
      </c>
      <c r="T1458">
        <f>IF($AG1458="","",Config!$B$17)</f>
        <v/>
      </c>
      <c r="U1458">
        <f>IF($AG1458="","",Config!$B$18)</f>
        <v/>
      </c>
      <c r="V1458">
        <f>IF($AG1458="","",Config!$B$19)</f>
        <v/>
      </c>
      <c r="W1458">
        <f>IF($AG1458="","",INDEX('TMP Paste'!$C$2:$C$1601,$AG1458))</f>
        <v/>
      </c>
      <c r="X1458">
        <f>IF($AG1458="","",Config!$B$29)</f>
        <v/>
      </c>
      <c r="Y1458">
        <f>IF($AH1458="","",INDEX(Calc!$I$2:$I$1601,$AH1458)&amp;" - "&amp;INDEX(Calc!$D$2:$D$1601,$AH1458)&amp;" koli")</f>
        <v/>
      </c>
      <c r="Z1458">
        <f>IF($AG1458="","",Config!$B$21)</f>
        <v/>
      </c>
      <c r="AA1458">
        <f>IF($AG1458="","",Config!$B$22)</f>
        <v/>
      </c>
      <c r="AB1458">
        <f>IF($AH1458="","",INDEX(Calc!$D$2:$D$1601,$AH1458))</f>
        <v/>
      </c>
      <c r="AC1458">
        <f>IF($AH1458="","",INDEX(Calc!$G$2:$G$1601,$AH1458))</f>
        <v/>
      </c>
      <c r="AD1458">
        <f>IF($AG1458="","",Config!$B$23)</f>
        <v/>
      </c>
      <c r="AE1458">
        <f>IF($AG1458="","",Config!$B$28)</f>
        <v/>
      </c>
      <c r="AG1458">
        <f>IFERROR(MATCH(ROW()-1,Calc!$J$2:$J$1601,0),"")</f>
        <v/>
      </c>
      <c r="AH1458">
        <f>IFERROR(MATCH(ROW()-1,Calc!$K$2:$K$1601,0),"")</f>
        <v/>
      </c>
      <c r="AI1458">
        <f>IF($AG1458="","",SUMIF($AG$2:$AG1458,$AG1458,$AH$2:$AH1458))</f>
        <v/>
      </c>
      <c r="AJ1458">
        <f>IF('TMP Paste'!$F1458="","",IF('TMP Paste'!$B1458="",$AJ1457,'TMP Paste'!$B1458))</f>
        <v/>
      </c>
      <c r="AK1458">
        <f>IF('TMP Paste'!$F1458="","",N('TMP Paste'!$G1458))</f>
        <v/>
      </c>
      <c r="AL1458">
        <f>IF('TMP Paste'!$F1458="","",IF('TMP Paste'!$M1458="",$AL1457,'TMP Paste'!$M1458))</f>
        <v/>
      </c>
      <c r="AM1458">
        <f>IF('TMP Paste'!$F1458="","",IF('TMP Paste'!$N1458="",$AM1457,'TMP Paste'!$N1458))</f>
        <v/>
      </c>
      <c r="AN1458">
        <f>IF('TMP Paste'!$F1458="","",IF('TMP Paste'!$O1458="",$AN1457,'TMP Paste'!$O1458))</f>
        <v/>
      </c>
      <c r="AO1458">
        <f>IF('TMP Paste'!$F1458="","",IF('TMP Paste'!$P1458="",$AO1457,'TMP Paste'!$P1458))</f>
        <v/>
      </c>
      <c r="AP1458">
        <f>IF($AG1458="","",LEN($R1458))</f>
        <v/>
      </c>
      <c r="AQ1458">
        <f>IF($AG1458="","",TRIM(IF(COUNTIFS(Calc!$B$2:$B$1601,ROW()-1,Calc!$C$2:$C$1601,"&lt;1")&gt;0,"Ada PO tanpa Koli - cek TMP. ","")&amp;IF(LEN($R1458)&gt;500,"R &gt; 500 karakter.","")))</f>
        <v/>
      </c>
    </row>
    <row r="1459">
      <c r="A1459">
        <f>IF($AG1459="","",INDEX('TMP Paste'!$B$2:$B$1601,$AG1459))</f>
        <v/>
      </c>
      <c r="B1459">
        <f>IF($AG1459="","",Config!$B$14)</f>
        <v/>
      </c>
      <c r="C1459">
        <f>IF($AG1459="","",Config!$B$15)</f>
        <v/>
      </c>
      <c r="D1459">
        <f>IF($AG1459="","",INDEX('TMP Paste'!$B$2:$B$1601,$AG1459))</f>
        <v/>
      </c>
      <c r="E1459">
        <f>IF($AG1459="","",Config!$B$27)</f>
        <v/>
      </c>
      <c r="F1459">
        <f>IF($AG1459="","",Config!$B$9)</f>
        <v/>
      </c>
      <c r="G1459">
        <f>IF($AG1459="","",Config!$B$10)</f>
        <v/>
      </c>
      <c r="H1459">
        <f>IF($AG1459="","",Config!$B$11)</f>
        <v/>
      </c>
      <c r="I1459">
        <f>IF($AG1459="","",Config!$B$16)</f>
        <v/>
      </c>
      <c r="J1459">
        <f>IF($AG1459="","",INDEX('TMP Paste'!$A$2:$A$1601,$AG1459))</f>
        <v/>
      </c>
      <c r="K1459">
        <f>IF($AG1459="","",INDEX('TMP Paste'!$L$2:$L$1601,$AG1459))</f>
        <v/>
      </c>
      <c r="L1459">
        <f>IF($AG1459="","",INDEX('TMP Paste'!$I$2:$I$1601,$AG1459))</f>
        <v/>
      </c>
      <c r="M1459">
        <f>IF($AG1459="","",Config!$B$16)</f>
        <v/>
      </c>
      <c r="N1459">
        <f>IF($AG1459="","","")</f>
        <v/>
      </c>
      <c r="O1459">
        <f>IF($AG1459="","",INDEX('TMP Paste'!$K$2:$K$1601,$AG1459))</f>
        <v/>
      </c>
      <c r="P1459">
        <f>IF($AG1459="","","")</f>
        <v/>
      </c>
      <c r="Q1459">
        <f>IF($AG1459="","",INDEX('TMP Paste'!$J$2:$J$1601,$AG1459))</f>
        <v/>
      </c>
      <c r="R1459">
        <f>IF($AG1459="","",Config!$B$24)</f>
        <v/>
      </c>
      <c r="S1459">
        <f>IF($AG1459="","",TEXT(Config!$B$4,"yyyy-mm-dd"))</f>
        <v/>
      </c>
      <c r="T1459">
        <f>IF($AG1459="","",Config!$B$17)</f>
        <v/>
      </c>
      <c r="U1459">
        <f>IF($AG1459="","",Config!$B$18)</f>
        <v/>
      </c>
      <c r="V1459">
        <f>IF($AG1459="","",Config!$B$19)</f>
        <v/>
      </c>
      <c r="W1459">
        <f>IF($AG1459="","",INDEX('TMP Paste'!$C$2:$C$1601,$AG1459))</f>
        <v/>
      </c>
      <c r="X1459">
        <f>IF($AG1459="","",Config!$B$29)</f>
        <v/>
      </c>
      <c r="Y1459">
        <f>IF($AH1459="","",INDEX(Calc!$I$2:$I$1601,$AH1459)&amp;" - "&amp;INDEX(Calc!$D$2:$D$1601,$AH1459)&amp;" koli")</f>
        <v/>
      </c>
      <c r="Z1459">
        <f>IF($AG1459="","",Config!$B$21)</f>
        <v/>
      </c>
      <c r="AA1459">
        <f>IF($AG1459="","",Config!$B$22)</f>
        <v/>
      </c>
      <c r="AB1459">
        <f>IF($AH1459="","",INDEX(Calc!$D$2:$D$1601,$AH1459))</f>
        <v/>
      </c>
      <c r="AC1459">
        <f>IF($AH1459="","",INDEX(Calc!$G$2:$G$1601,$AH1459))</f>
        <v/>
      </c>
      <c r="AD1459">
        <f>IF($AG1459="","",Config!$B$23)</f>
        <v/>
      </c>
      <c r="AE1459">
        <f>IF($AG1459="","",Config!$B$28)</f>
        <v/>
      </c>
      <c r="AG1459">
        <f>IFERROR(MATCH(ROW()-1,Calc!$J$2:$J$1601,0),"")</f>
        <v/>
      </c>
      <c r="AH1459">
        <f>IFERROR(MATCH(ROW()-1,Calc!$K$2:$K$1601,0),"")</f>
        <v/>
      </c>
      <c r="AI1459">
        <f>IF($AG1459="","",SUMIF($AG$2:$AG1459,$AG1459,$AH$2:$AH1459))</f>
        <v/>
      </c>
      <c r="AJ1459">
        <f>IF('TMP Paste'!$F1459="","",IF('TMP Paste'!$B1459="",$AJ1458,'TMP Paste'!$B1459))</f>
        <v/>
      </c>
      <c r="AK1459">
        <f>IF('TMP Paste'!$F1459="","",N('TMP Paste'!$G1459))</f>
        <v/>
      </c>
      <c r="AL1459">
        <f>IF('TMP Paste'!$F1459="","",IF('TMP Paste'!$M1459="",$AL1458,'TMP Paste'!$M1459))</f>
        <v/>
      </c>
      <c r="AM1459">
        <f>IF('TMP Paste'!$F1459="","",IF('TMP Paste'!$N1459="",$AM1458,'TMP Paste'!$N1459))</f>
        <v/>
      </c>
      <c r="AN1459">
        <f>IF('TMP Paste'!$F1459="","",IF('TMP Paste'!$O1459="",$AN1458,'TMP Paste'!$O1459))</f>
        <v/>
      </c>
      <c r="AO1459">
        <f>IF('TMP Paste'!$F1459="","",IF('TMP Paste'!$P1459="",$AO1458,'TMP Paste'!$P1459))</f>
        <v/>
      </c>
      <c r="AP1459">
        <f>IF($AG1459="","",LEN($R1459))</f>
        <v/>
      </c>
      <c r="AQ1459">
        <f>IF($AG1459="","",TRIM(IF(COUNTIFS(Calc!$B$2:$B$1601,ROW()-1,Calc!$C$2:$C$1601,"&lt;1")&gt;0,"Ada PO tanpa Koli - cek TMP. ","")&amp;IF(LEN($R1459)&gt;500,"R &gt; 500 karakter.","")))</f>
        <v/>
      </c>
    </row>
    <row r="1460">
      <c r="A1460">
        <f>IF($AG1460="","",INDEX('TMP Paste'!$B$2:$B$1601,$AG1460))</f>
        <v/>
      </c>
      <c r="B1460">
        <f>IF($AG1460="","",Config!$B$14)</f>
        <v/>
      </c>
      <c r="C1460">
        <f>IF($AG1460="","",Config!$B$15)</f>
        <v/>
      </c>
      <c r="D1460">
        <f>IF($AG1460="","",INDEX('TMP Paste'!$B$2:$B$1601,$AG1460))</f>
        <v/>
      </c>
      <c r="E1460">
        <f>IF($AG1460="","",Config!$B$27)</f>
        <v/>
      </c>
      <c r="F1460">
        <f>IF($AG1460="","",Config!$B$9)</f>
        <v/>
      </c>
      <c r="G1460">
        <f>IF($AG1460="","",Config!$B$10)</f>
        <v/>
      </c>
      <c r="H1460">
        <f>IF($AG1460="","",Config!$B$11)</f>
        <v/>
      </c>
      <c r="I1460">
        <f>IF($AG1460="","",Config!$B$16)</f>
        <v/>
      </c>
      <c r="J1460">
        <f>IF($AG1460="","",INDEX('TMP Paste'!$A$2:$A$1601,$AG1460))</f>
        <v/>
      </c>
      <c r="K1460">
        <f>IF($AG1460="","",INDEX('TMP Paste'!$L$2:$L$1601,$AG1460))</f>
        <v/>
      </c>
      <c r="L1460">
        <f>IF($AG1460="","",INDEX('TMP Paste'!$I$2:$I$1601,$AG1460))</f>
        <v/>
      </c>
      <c r="M1460">
        <f>IF($AG1460="","",Config!$B$16)</f>
        <v/>
      </c>
      <c r="N1460">
        <f>IF($AG1460="","","")</f>
        <v/>
      </c>
      <c r="O1460">
        <f>IF($AG1460="","",INDEX('TMP Paste'!$K$2:$K$1601,$AG1460))</f>
        <v/>
      </c>
      <c r="P1460">
        <f>IF($AG1460="","","")</f>
        <v/>
      </c>
      <c r="Q1460">
        <f>IF($AG1460="","",INDEX('TMP Paste'!$J$2:$J$1601,$AG1460))</f>
        <v/>
      </c>
      <c r="R1460">
        <f>IF($AG1460="","",Config!$B$24)</f>
        <v/>
      </c>
      <c r="S1460">
        <f>IF($AG1460="","",TEXT(Config!$B$4,"yyyy-mm-dd"))</f>
        <v/>
      </c>
      <c r="T1460">
        <f>IF($AG1460="","",Config!$B$17)</f>
        <v/>
      </c>
      <c r="U1460">
        <f>IF($AG1460="","",Config!$B$18)</f>
        <v/>
      </c>
      <c r="V1460">
        <f>IF($AG1460="","",Config!$B$19)</f>
        <v/>
      </c>
      <c r="W1460">
        <f>IF($AG1460="","",INDEX('TMP Paste'!$C$2:$C$1601,$AG1460))</f>
        <v/>
      </c>
      <c r="X1460">
        <f>IF($AG1460="","",Config!$B$29)</f>
        <v/>
      </c>
      <c r="Y1460">
        <f>IF($AH1460="","",INDEX(Calc!$I$2:$I$1601,$AH1460)&amp;" - "&amp;INDEX(Calc!$D$2:$D$1601,$AH1460)&amp;" koli")</f>
        <v/>
      </c>
      <c r="Z1460">
        <f>IF($AG1460="","",Config!$B$21)</f>
        <v/>
      </c>
      <c r="AA1460">
        <f>IF($AG1460="","",Config!$B$22)</f>
        <v/>
      </c>
      <c r="AB1460">
        <f>IF($AH1460="","",INDEX(Calc!$D$2:$D$1601,$AH1460))</f>
        <v/>
      </c>
      <c r="AC1460">
        <f>IF($AH1460="","",INDEX(Calc!$G$2:$G$1601,$AH1460))</f>
        <v/>
      </c>
      <c r="AD1460">
        <f>IF($AG1460="","",Config!$B$23)</f>
        <v/>
      </c>
      <c r="AE1460">
        <f>IF($AG1460="","",Config!$B$28)</f>
        <v/>
      </c>
      <c r="AG1460">
        <f>IFERROR(MATCH(ROW()-1,Calc!$J$2:$J$1601,0),"")</f>
        <v/>
      </c>
      <c r="AH1460">
        <f>IFERROR(MATCH(ROW()-1,Calc!$K$2:$K$1601,0),"")</f>
        <v/>
      </c>
      <c r="AI1460">
        <f>IF($AG1460="","",SUMIF($AG$2:$AG1460,$AG1460,$AH$2:$AH1460))</f>
        <v/>
      </c>
      <c r="AJ1460">
        <f>IF('TMP Paste'!$F1460="","",IF('TMP Paste'!$B1460="",$AJ1459,'TMP Paste'!$B1460))</f>
        <v/>
      </c>
      <c r="AK1460">
        <f>IF('TMP Paste'!$F1460="","",N('TMP Paste'!$G1460))</f>
        <v/>
      </c>
      <c r="AL1460">
        <f>IF('TMP Paste'!$F1460="","",IF('TMP Paste'!$M1460="",$AL1459,'TMP Paste'!$M1460))</f>
        <v/>
      </c>
      <c r="AM1460">
        <f>IF('TMP Paste'!$F1460="","",IF('TMP Paste'!$N1460="",$AM1459,'TMP Paste'!$N1460))</f>
        <v/>
      </c>
      <c r="AN1460">
        <f>IF('TMP Paste'!$F1460="","",IF('TMP Paste'!$O1460="",$AN1459,'TMP Paste'!$O1460))</f>
        <v/>
      </c>
      <c r="AO1460">
        <f>IF('TMP Paste'!$F1460="","",IF('TMP Paste'!$P1460="",$AO1459,'TMP Paste'!$P1460))</f>
        <v/>
      </c>
      <c r="AP1460">
        <f>IF($AG1460="","",LEN($R1460))</f>
        <v/>
      </c>
      <c r="AQ1460">
        <f>IF($AG1460="","",TRIM(IF(COUNTIFS(Calc!$B$2:$B$1601,ROW()-1,Calc!$C$2:$C$1601,"&lt;1")&gt;0,"Ada PO tanpa Koli - cek TMP. ","")&amp;IF(LEN($R1460)&gt;500,"R &gt; 500 karakter.","")))</f>
        <v/>
      </c>
    </row>
    <row r="1461">
      <c r="A1461">
        <f>IF($AG1461="","",INDEX('TMP Paste'!$B$2:$B$1601,$AG1461))</f>
        <v/>
      </c>
      <c r="B1461">
        <f>IF($AG1461="","",Config!$B$14)</f>
        <v/>
      </c>
      <c r="C1461">
        <f>IF($AG1461="","",Config!$B$15)</f>
        <v/>
      </c>
      <c r="D1461">
        <f>IF($AG1461="","",INDEX('TMP Paste'!$B$2:$B$1601,$AG1461))</f>
        <v/>
      </c>
      <c r="E1461">
        <f>IF($AG1461="","",Config!$B$27)</f>
        <v/>
      </c>
      <c r="F1461">
        <f>IF($AG1461="","",Config!$B$9)</f>
        <v/>
      </c>
      <c r="G1461">
        <f>IF($AG1461="","",Config!$B$10)</f>
        <v/>
      </c>
      <c r="H1461">
        <f>IF($AG1461="","",Config!$B$11)</f>
        <v/>
      </c>
      <c r="I1461">
        <f>IF($AG1461="","",Config!$B$16)</f>
        <v/>
      </c>
      <c r="J1461">
        <f>IF($AG1461="","",INDEX('TMP Paste'!$A$2:$A$1601,$AG1461))</f>
        <v/>
      </c>
      <c r="K1461">
        <f>IF($AG1461="","",INDEX('TMP Paste'!$L$2:$L$1601,$AG1461))</f>
        <v/>
      </c>
      <c r="L1461">
        <f>IF($AG1461="","",INDEX('TMP Paste'!$I$2:$I$1601,$AG1461))</f>
        <v/>
      </c>
      <c r="M1461">
        <f>IF($AG1461="","",Config!$B$16)</f>
        <v/>
      </c>
      <c r="N1461">
        <f>IF($AG1461="","","")</f>
        <v/>
      </c>
      <c r="O1461">
        <f>IF($AG1461="","",INDEX('TMP Paste'!$K$2:$K$1601,$AG1461))</f>
        <v/>
      </c>
      <c r="P1461">
        <f>IF($AG1461="","","")</f>
        <v/>
      </c>
      <c r="Q1461">
        <f>IF($AG1461="","",INDEX('TMP Paste'!$J$2:$J$1601,$AG1461))</f>
        <v/>
      </c>
      <c r="R1461">
        <f>IF($AG1461="","",Config!$B$24)</f>
        <v/>
      </c>
      <c r="S1461">
        <f>IF($AG1461="","",TEXT(Config!$B$4,"yyyy-mm-dd"))</f>
        <v/>
      </c>
      <c r="T1461">
        <f>IF($AG1461="","",Config!$B$17)</f>
        <v/>
      </c>
      <c r="U1461">
        <f>IF($AG1461="","",Config!$B$18)</f>
        <v/>
      </c>
      <c r="V1461">
        <f>IF($AG1461="","",Config!$B$19)</f>
        <v/>
      </c>
      <c r="W1461">
        <f>IF($AG1461="","",INDEX('TMP Paste'!$C$2:$C$1601,$AG1461))</f>
        <v/>
      </c>
      <c r="X1461">
        <f>IF($AG1461="","",Config!$B$29)</f>
        <v/>
      </c>
      <c r="Y1461">
        <f>IF($AH1461="","",INDEX(Calc!$I$2:$I$1601,$AH1461)&amp;" - "&amp;INDEX(Calc!$D$2:$D$1601,$AH1461)&amp;" koli")</f>
        <v/>
      </c>
      <c r="Z1461">
        <f>IF($AG1461="","",Config!$B$21)</f>
        <v/>
      </c>
      <c r="AA1461">
        <f>IF($AG1461="","",Config!$B$22)</f>
        <v/>
      </c>
      <c r="AB1461">
        <f>IF($AH1461="","",INDEX(Calc!$D$2:$D$1601,$AH1461))</f>
        <v/>
      </c>
      <c r="AC1461">
        <f>IF($AH1461="","",INDEX(Calc!$G$2:$G$1601,$AH1461))</f>
        <v/>
      </c>
      <c r="AD1461">
        <f>IF($AG1461="","",Config!$B$23)</f>
        <v/>
      </c>
      <c r="AE1461">
        <f>IF($AG1461="","",Config!$B$28)</f>
        <v/>
      </c>
      <c r="AG1461">
        <f>IFERROR(MATCH(ROW()-1,Calc!$J$2:$J$1601,0),"")</f>
        <v/>
      </c>
      <c r="AH1461">
        <f>IFERROR(MATCH(ROW()-1,Calc!$K$2:$K$1601,0),"")</f>
        <v/>
      </c>
      <c r="AI1461">
        <f>IF($AG1461="","",SUMIF($AG$2:$AG1461,$AG1461,$AH$2:$AH1461))</f>
        <v/>
      </c>
      <c r="AJ1461">
        <f>IF('TMP Paste'!$F1461="","",IF('TMP Paste'!$B1461="",$AJ1460,'TMP Paste'!$B1461))</f>
        <v/>
      </c>
      <c r="AK1461">
        <f>IF('TMP Paste'!$F1461="","",N('TMP Paste'!$G1461))</f>
        <v/>
      </c>
      <c r="AL1461">
        <f>IF('TMP Paste'!$F1461="","",IF('TMP Paste'!$M1461="",$AL1460,'TMP Paste'!$M1461))</f>
        <v/>
      </c>
      <c r="AM1461">
        <f>IF('TMP Paste'!$F1461="","",IF('TMP Paste'!$N1461="",$AM1460,'TMP Paste'!$N1461))</f>
        <v/>
      </c>
      <c r="AN1461">
        <f>IF('TMP Paste'!$F1461="","",IF('TMP Paste'!$O1461="",$AN1460,'TMP Paste'!$O1461))</f>
        <v/>
      </c>
      <c r="AO1461">
        <f>IF('TMP Paste'!$F1461="","",IF('TMP Paste'!$P1461="",$AO1460,'TMP Paste'!$P1461))</f>
        <v/>
      </c>
      <c r="AP1461">
        <f>IF($AG1461="","",LEN($R1461))</f>
        <v/>
      </c>
      <c r="AQ1461">
        <f>IF($AG1461="","",TRIM(IF(COUNTIFS(Calc!$B$2:$B$1601,ROW()-1,Calc!$C$2:$C$1601,"&lt;1")&gt;0,"Ada PO tanpa Koli - cek TMP. ","")&amp;IF(LEN($R1461)&gt;500,"R &gt; 500 karakter.","")))</f>
        <v/>
      </c>
    </row>
    <row r="1462">
      <c r="A1462">
        <f>IF($AG1462="","",INDEX('TMP Paste'!$B$2:$B$1601,$AG1462))</f>
        <v/>
      </c>
      <c r="B1462">
        <f>IF($AG1462="","",Config!$B$14)</f>
        <v/>
      </c>
      <c r="C1462">
        <f>IF($AG1462="","",Config!$B$15)</f>
        <v/>
      </c>
      <c r="D1462">
        <f>IF($AG1462="","",INDEX('TMP Paste'!$B$2:$B$1601,$AG1462))</f>
        <v/>
      </c>
      <c r="E1462">
        <f>IF($AG1462="","",Config!$B$27)</f>
        <v/>
      </c>
      <c r="F1462">
        <f>IF($AG1462="","",Config!$B$9)</f>
        <v/>
      </c>
      <c r="G1462">
        <f>IF($AG1462="","",Config!$B$10)</f>
        <v/>
      </c>
      <c r="H1462">
        <f>IF($AG1462="","",Config!$B$11)</f>
        <v/>
      </c>
      <c r="I1462">
        <f>IF($AG1462="","",Config!$B$16)</f>
        <v/>
      </c>
      <c r="J1462">
        <f>IF($AG1462="","",INDEX('TMP Paste'!$A$2:$A$1601,$AG1462))</f>
        <v/>
      </c>
      <c r="K1462">
        <f>IF($AG1462="","",INDEX('TMP Paste'!$L$2:$L$1601,$AG1462))</f>
        <v/>
      </c>
      <c r="L1462">
        <f>IF($AG1462="","",INDEX('TMP Paste'!$I$2:$I$1601,$AG1462))</f>
        <v/>
      </c>
      <c r="M1462">
        <f>IF($AG1462="","",Config!$B$16)</f>
        <v/>
      </c>
      <c r="N1462">
        <f>IF($AG1462="","","")</f>
        <v/>
      </c>
      <c r="O1462">
        <f>IF($AG1462="","",INDEX('TMP Paste'!$K$2:$K$1601,$AG1462))</f>
        <v/>
      </c>
      <c r="P1462">
        <f>IF($AG1462="","","")</f>
        <v/>
      </c>
      <c r="Q1462">
        <f>IF($AG1462="","",INDEX('TMP Paste'!$J$2:$J$1601,$AG1462))</f>
        <v/>
      </c>
      <c r="R1462">
        <f>IF($AG1462="","",Config!$B$24)</f>
        <v/>
      </c>
      <c r="S1462">
        <f>IF($AG1462="","",TEXT(Config!$B$4,"yyyy-mm-dd"))</f>
        <v/>
      </c>
      <c r="T1462">
        <f>IF($AG1462="","",Config!$B$17)</f>
        <v/>
      </c>
      <c r="U1462">
        <f>IF($AG1462="","",Config!$B$18)</f>
        <v/>
      </c>
      <c r="V1462">
        <f>IF($AG1462="","",Config!$B$19)</f>
        <v/>
      </c>
      <c r="W1462">
        <f>IF($AG1462="","",INDEX('TMP Paste'!$C$2:$C$1601,$AG1462))</f>
        <v/>
      </c>
      <c r="X1462">
        <f>IF($AG1462="","",Config!$B$29)</f>
        <v/>
      </c>
      <c r="Y1462">
        <f>IF($AH1462="","",INDEX(Calc!$I$2:$I$1601,$AH1462)&amp;" - "&amp;INDEX(Calc!$D$2:$D$1601,$AH1462)&amp;" koli")</f>
        <v/>
      </c>
      <c r="Z1462">
        <f>IF($AG1462="","",Config!$B$21)</f>
        <v/>
      </c>
      <c r="AA1462">
        <f>IF($AG1462="","",Config!$B$22)</f>
        <v/>
      </c>
      <c r="AB1462">
        <f>IF($AH1462="","",INDEX(Calc!$D$2:$D$1601,$AH1462))</f>
        <v/>
      </c>
      <c r="AC1462">
        <f>IF($AH1462="","",INDEX(Calc!$G$2:$G$1601,$AH1462))</f>
        <v/>
      </c>
      <c r="AD1462">
        <f>IF($AG1462="","",Config!$B$23)</f>
        <v/>
      </c>
      <c r="AE1462">
        <f>IF($AG1462="","",Config!$B$28)</f>
        <v/>
      </c>
      <c r="AG1462">
        <f>IFERROR(MATCH(ROW()-1,Calc!$J$2:$J$1601,0),"")</f>
        <v/>
      </c>
      <c r="AH1462">
        <f>IFERROR(MATCH(ROW()-1,Calc!$K$2:$K$1601,0),"")</f>
        <v/>
      </c>
      <c r="AI1462">
        <f>IF($AG1462="","",SUMIF($AG$2:$AG1462,$AG1462,$AH$2:$AH1462))</f>
        <v/>
      </c>
      <c r="AJ1462">
        <f>IF('TMP Paste'!$F1462="","",IF('TMP Paste'!$B1462="",$AJ1461,'TMP Paste'!$B1462))</f>
        <v/>
      </c>
      <c r="AK1462">
        <f>IF('TMP Paste'!$F1462="","",N('TMP Paste'!$G1462))</f>
        <v/>
      </c>
      <c r="AL1462">
        <f>IF('TMP Paste'!$F1462="","",IF('TMP Paste'!$M1462="",$AL1461,'TMP Paste'!$M1462))</f>
        <v/>
      </c>
      <c r="AM1462">
        <f>IF('TMP Paste'!$F1462="","",IF('TMP Paste'!$N1462="",$AM1461,'TMP Paste'!$N1462))</f>
        <v/>
      </c>
      <c r="AN1462">
        <f>IF('TMP Paste'!$F1462="","",IF('TMP Paste'!$O1462="",$AN1461,'TMP Paste'!$O1462))</f>
        <v/>
      </c>
      <c r="AO1462">
        <f>IF('TMP Paste'!$F1462="","",IF('TMP Paste'!$P1462="",$AO1461,'TMP Paste'!$P1462))</f>
        <v/>
      </c>
      <c r="AP1462">
        <f>IF($AG1462="","",LEN($R1462))</f>
        <v/>
      </c>
      <c r="AQ1462">
        <f>IF($AG1462="","",TRIM(IF(COUNTIFS(Calc!$B$2:$B$1601,ROW()-1,Calc!$C$2:$C$1601,"&lt;1")&gt;0,"Ada PO tanpa Koli - cek TMP. ","")&amp;IF(LEN($R1462)&gt;500,"R &gt; 500 karakter.","")))</f>
        <v/>
      </c>
    </row>
    <row r="1463">
      <c r="A1463">
        <f>IF($AG1463="","",INDEX('TMP Paste'!$B$2:$B$1601,$AG1463))</f>
        <v/>
      </c>
      <c r="B1463">
        <f>IF($AG1463="","",Config!$B$14)</f>
        <v/>
      </c>
      <c r="C1463">
        <f>IF($AG1463="","",Config!$B$15)</f>
        <v/>
      </c>
      <c r="D1463">
        <f>IF($AG1463="","",INDEX('TMP Paste'!$B$2:$B$1601,$AG1463))</f>
        <v/>
      </c>
      <c r="E1463">
        <f>IF($AG1463="","",Config!$B$27)</f>
        <v/>
      </c>
      <c r="F1463">
        <f>IF($AG1463="","",Config!$B$9)</f>
        <v/>
      </c>
      <c r="G1463">
        <f>IF($AG1463="","",Config!$B$10)</f>
        <v/>
      </c>
      <c r="H1463">
        <f>IF($AG1463="","",Config!$B$11)</f>
        <v/>
      </c>
      <c r="I1463">
        <f>IF($AG1463="","",Config!$B$16)</f>
        <v/>
      </c>
      <c r="J1463">
        <f>IF($AG1463="","",INDEX('TMP Paste'!$A$2:$A$1601,$AG1463))</f>
        <v/>
      </c>
      <c r="K1463">
        <f>IF($AG1463="","",INDEX('TMP Paste'!$L$2:$L$1601,$AG1463))</f>
        <v/>
      </c>
      <c r="L1463">
        <f>IF($AG1463="","",INDEX('TMP Paste'!$I$2:$I$1601,$AG1463))</f>
        <v/>
      </c>
      <c r="M1463">
        <f>IF($AG1463="","",Config!$B$16)</f>
        <v/>
      </c>
      <c r="N1463">
        <f>IF($AG1463="","","")</f>
        <v/>
      </c>
      <c r="O1463">
        <f>IF($AG1463="","",INDEX('TMP Paste'!$K$2:$K$1601,$AG1463))</f>
        <v/>
      </c>
      <c r="P1463">
        <f>IF($AG1463="","","")</f>
        <v/>
      </c>
      <c r="Q1463">
        <f>IF($AG1463="","",INDEX('TMP Paste'!$J$2:$J$1601,$AG1463))</f>
        <v/>
      </c>
      <c r="R1463">
        <f>IF($AG1463="","",Config!$B$24)</f>
        <v/>
      </c>
      <c r="S1463">
        <f>IF($AG1463="","",TEXT(Config!$B$4,"yyyy-mm-dd"))</f>
        <v/>
      </c>
      <c r="T1463">
        <f>IF($AG1463="","",Config!$B$17)</f>
        <v/>
      </c>
      <c r="U1463">
        <f>IF($AG1463="","",Config!$B$18)</f>
        <v/>
      </c>
      <c r="V1463">
        <f>IF($AG1463="","",Config!$B$19)</f>
        <v/>
      </c>
      <c r="W1463">
        <f>IF($AG1463="","",INDEX('TMP Paste'!$C$2:$C$1601,$AG1463))</f>
        <v/>
      </c>
      <c r="X1463">
        <f>IF($AG1463="","",Config!$B$29)</f>
        <v/>
      </c>
      <c r="Y1463">
        <f>IF($AH1463="","",INDEX(Calc!$I$2:$I$1601,$AH1463)&amp;" - "&amp;INDEX(Calc!$D$2:$D$1601,$AH1463)&amp;" koli")</f>
        <v/>
      </c>
      <c r="Z1463">
        <f>IF($AG1463="","",Config!$B$21)</f>
        <v/>
      </c>
      <c r="AA1463">
        <f>IF($AG1463="","",Config!$B$22)</f>
        <v/>
      </c>
      <c r="AB1463">
        <f>IF($AH1463="","",INDEX(Calc!$D$2:$D$1601,$AH1463))</f>
        <v/>
      </c>
      <c r="AC1463">
        <f>IF($AH1463="","",INDEX(Calc!$G$2:$G$1601,$AH1463))</f>
        <v/>
      </c>
      <c r="AD1463">
        <f>IF($AG1463="","",Config!$B$23)</f>
        <v/>
      </c>
      <c r="AE1463">
        <f>IF($AG1463="","",Config!$B$28)</f>
        <v/>
      </c>
      <c r="AG1463">
        <f>IFERROR(MATCH(ROW()-1,Calc!$J$2:$J$1601,0),"")</f>
        <v/>
      </c>
      <c r="AH1463">
        <f>IFERROR(MATCH(ROW()-1,Calc!$K$2:$K$1601,0),"")</f>
        <v/>
      </c>
      <c r="AI1463">
        <f>IF($AG1463="","",SUMIF($AG$2:$AG1463,$AG1463,$AH$2:$AH1463))</f>
        <v/>
      </c>
      <c r="AJ1463">
        <f>IF('TMP Paste'!$F1463="","",IF('TMP Paste'!$B1463="",$AJ1462,'TMP Paste'!$B1463))</f>
        <v/>
      </c>
      <c r="AK1463">
        <f>IF('TMP Paste'!$F1463="","",N('TMP Paste'!$G1463))</f>
        <v/>
      </c>
      <c r="AL1463">
        <f>IF('TMP Paste'!$F1463="","",IF('TMP Paste'!$M1463="",$AL1462,'TMP Paste'!$M1463))</f>
        <v/>
      </c>
      <c r="AM1463">
        <f>IF('TMP Paste'!$F1463="","",IF('TMP Paste'!$N1463="",$AM1462,'TMP Paste'!$N1463))</f>
        <v/>
      </c>
      <c r="AN1463">
        <f>IF('TMP Paste'!$F1463="","",IF('TMP Paste'!$O1463="",$AN1462,'TMP Paste'!$O1463))</f>
        <v/>
      </c>
      <c r="AO1463">
        <f>IF('TMP Paste'!$F1463="","",IF('TMP Paste'!$P1463="",$AO1462,'TMP Paste'!$P1463))</f>
        <v/>
      </c>
      <c r="AP1463">
        <f>IF($AG1463="","",LEN($R1463))</f>
        <v/>
      </c>
      <c r="AQ1463">
        <f>IF($AG1463="","",TRIM(IF(COUNTIFS(Calc!$B$2:$B$1601,ROW()-1,Calc!$C$2:$C$1601,"&lt;1")&gt;0,"Ada PO tanpa Koli - cek TMP. ","")&amp;IF(LEN($R1463)&gt;500,"R &gt; 500 karakter.","")))</f>
        <v/>
      </c>
    </row>
    <row r="1464">
      <c r="A1464">
        <f>IF($AG1464="","",INDEX('TMP Paste'!$B$2:$B$1601,$AG1464))</f>
        <v/>
      </c>
      <c r="B1464">
        <f>IF($AG1464="","",Config!$B$14)</f>
        <v/>
      </c>
      <c r="C1464">
        <f>IF($AG1464="","",Config!$B$15)</f>
        <v/>
      </c>
      <c r="D1464">
        <f>IF($AG1464="","",INDEX('TMP Paste'!$B$2:$B$1601,$AG1464))</f>
        <v/>
      </c>
      <c r="E1464">
        <f>IF($AG1464="","",Config!$B$27)</f>
        <v/>
      </c>
      <c r="F1464">
        <f>IF($AG1464="","",Config!$B$9)</f>
        <v/>
      </c>
      <c r="G1464">
        <f>IF($AG1464="","",Config!$B$10)</f>
        <v/>
      </c>
      <c r="H1464">
        <f>IF($AG1464="","",Config!$B$11)</f>
        <v/>
      </c>
      <c r="I1464">
        <f>IF($AG1464="","",Config!$B$16)</f>
        <v/>
      </c>
      <c r="J1464">
        <f>IF($AG1464="","",INDEX('TMP Paste'!$A$2:$A$1601,$AG1464))</f>
        <v/>
      </c>
      <c r="K1464">
        <f>IF($AG1464="","",INDEX('TMP Paste'!$L$2:$L$1601,$AG1464))</f>
        <v/>
      </c>
      <c r="L1464">
        <f>IF($AG1464="","",INDEX('TMP Paste'!$I$2:$I$1601,$AG1464))</f>
        <v/>
      </c>
      <c r="M1464">
        <f>IF($AG1464="","",Config!$B$16)</f>
        <v/>
      </c>
      <c r="N1464">
        <f>IF($AG1464="","","")</f>
        <v/>
      </c>
      <c r="O1464">
        <f>IF($AG1464="","",INDEX('TMP Paste'!$K$2:$K$1601,$AG1464))</f>
        <v/>
      </c>
      <c r="P1464">
        <f>IF($AG1464="","","")</f>
        <v/>
      </c>
      <c r="Q1464">
        <f>IF($AG1464="","",INDEX('TMP Paste'!$J$2:$J$1601,$AG1464))</f>
        <v/>
      </c>
      <c r="R1464">
        <f>IF($AG1464="","",Config!$B$24)</f>
        <v/>
      </c>
      <c r="S1464">
        <f>IF($AG1464="","",TEXT(Config!$B$4,"yyyy-mm-dd"))</f>
        <v/>
      </c>
      <c r="T1464">
        <f>IF($AG1464="","",Config!$B$17)</f>
        <v/>
      </c>
      <c r="U1464">
        <f>IF($AG1464="","",Config!$B$18)</f>
        <v/>
      </c>
      <c r="V1464">
        <f>IF($AG1464="","",Config!$B$19)</f>
        <v/>
      </c>
      <c r="W1464">
        <f>IF($AG1464="","",INDEX('TMP Paste'!$C$2:$C$1601,$AG1464))</f>
        <v/>
      </c>
      <c r="X1464">
        <f>IF($AG1464="","",Config!$B$29)</f>
        <v/>
      </c>
      <c r="Y1464">
        <f>IF($AH1464="","",INDEX(Calc!$I$2:$I$1601,$AH1464)&amp;" - "&amp;INDEX(Calc!$D$2:$D$1601,$AH1464)&amp;" koli")</f>
        <v/>
      </c>
      <c r="Z1464">
        <f>IF($AG1464="","",Config!$B$21)</f>
        <v/>
      </c>
      <c r="AA1464">
        <f>IF($AG1464="","",Config!$B$22)</f>
        <v/>
      </c>
      <c r="AB1464">
        <f>IF($AH1464="","",INDEX(Calc!$D$2:$D$1601,$AH1464))</f>
        <v/>
      </c>
      <c r="AC1464">
        <f>IF($AH1464="","",INDEX(Calc!$G$2:$G$1601,$AH1464))</f>
        <v/>
      </c>
      <c r="AD1464">
        <f>IF($AG1464="","",Config!$B$23)</f>
        <v/>
      </c>
      <c r="AE1464">
        <f>IF($AG1464="","",Config!$B$28)</f>
        <v/>
      </c>
      <c r="AG1464">
        <f>IFERROR(MATCH(ROW()-1,Calc!$J$2:$J$1601,0),"")</f>
        <v/>
      </c>
      <c r="AH1464">
        <f>IFERROR(MATCH(ROW()-1,Calc!$K$2:$K$1601,0),"")</f>
        <v/>
      </c>
      <c r="AI1464">
        <f>IF($AG1464="","",SUMIF($AG$2:$AG1464,$AG1464,$AH$2:$AH1464))</f>
        <v/>
      </c>
      <c r="AJ1464">
        <f>IF('TMP Paste'!$F1464="","",IF('TMP Paste'!$B1464="",$AJ1463,'TMP Paste'!$B1464))</f>
        <v/>
      </c>
      <c r="AK1464">
        <f>IF('TMP Paste'!$F1464="","",N('TMP Paste'!$G1464))</f>
        <v/>
      </c>
      <c r="AL1464">
        <f>IF('TMP Paste'!$F1464="","",IF('TMP Paste'!$M1464="",$AL1463,'TMP Paste'!$M1464))</f>
        <v/>
      </c>
      <c r="AM1464">
        <f>IF('TMP Paste'!$F1464="","",IF('TMP Paste'!$N1464="",$AM1463,'TMP Paste'!$N1464))</f>
        <v/>
      </c>
      <c r="AN1464">
        <f>IF('TMP Paste'!$F1464="","",IF('TMP Paste'!$O1464="",$AN1463,'TMP Paste'!$O1464))</f>
        <v/>
      </c>
      <c r="AO1464">
        <f>IF('TMP Paste'!$F1464="","",IF('TMP Paste'!$P1464="",$AO1463,'TMP Paste'!$P1464))</f>
        <v/>
      </c>
      <c r="AP1464">
        <f>IF($AG1464="","",LEN($R1464))</f>
        <v/>
      </c>
      <c r="AQ1464">
        <f>IF($AG1464="","",TRIM(IF(COUNTIFS(Calc!$B$2:$B$1601,ROW()-1,Calc!$C$2:$C$1601,"&lt;1")&gt;0,"Ada PO tanpa Koli - cek TMP. ","")&amp;IF(LEN($R1464)&gt;500,"R &gt; 500 karakter.","")))</f>
        <v/>
      </c>
    </row>
    <row r="1465">
      <c r="A1465">
        <f>IF($AG1465="","",INDEX('TMP Paste'!$B$2:$B$1601,$AG1465))</f>
        <v/>
      </c>
      <c r="B1465">
        <f>IF($AG1465="","",Config!$B$14)</f>
        <v/>
      </c>
      <c r="C1465">
        <f>IF($AG1465="","",Config!$B$15)</f>
        <v/>
      </c>
      <c r="D1465">
        <f>IF($AG1465="","",INDEX('TMP Paste'!$B$2:$B$1601,$AG1465))</f>
        <v/>
      </c>
      <c r="E1465">
        <f>IF($AG1465="","",Config!$B$27)</f>
        <v/>
      </c>
      <c r="F1465">
        <f>IF($AG1465="","",Config!$B$9)</f>
        <v/>
      </c>
      <c r="G1465">
        <f>IF($AG1465="","",Config!$B$10)</f>
        <v/>
      </c>
      <c r="H1465">
        <f>IF($AG1465="","",Config!$B$11)</f>
        <v/>
      </c>
      <c r="I1465">
        <f>IF($AG1465="","",Config!$B$16)</f>
        <v/>
      </c>
      <c r="J1465">
        <f>IF($AG1465="","",INDEX('TMP Paste'!$A$2:$A$1601,$AG1465))</f>
        <v/>
      </c>
      <c r="K1465">
        <f>IF($AG1465="","",INDEX('TMP Paste'!$L$2:$L$1601,$AG1465))</f>
        <v/>
      </c>
      <c r="L1465">
        <f>IF($AG1465="","",INDEX('TMP Paste'!$I$2:$I$1601,$AG1465))</f>
        <v/>
      </c>
      <c r="M1465">
        <f>IF($AG1465="","",Config!$B$16)</f>
        <v/>
      </c>
      <c r="N1465">
        <f>IF($AG1465="","","")</f>
        <v/>
      </c>
      <c r="O1465">
        <f>IF($AG1465="","",INDEX('TMP Paste'!$K$2:$K$1601,$AG1465))</f>
        <v/>
      </c>
      <c r="P1465">
        <f>IF($AG1465="","","")</f>
        <v/>
      </c>
      <c r="Q1465">
        <f>IF($AG1465="","",INDEX('TMP Paste'!$J$2:$J$1601,$AG1465))</f>
        <v/>
      </c>
      <c r="R1465">
        <f>IF($AG1465="","",Config!$B$24)</f>
        <v/>
      </c>
      <c r="S1465">
        <f>IF($AG1465="","",TEXT(Config!$B$4,"yyyy-mm-dd"))</f>
        <v/>
      </c>
      <c r="T1465">
        <f>IF($AG1465="","",Config!$B$17)</f>
        <v/>
      </c>
      <c r="U1465">
        <f>IF($AG1465="","",Config!$B$18)</f>
        <v/>
      </c>
      <c r="V1465">
        <f>IF($AG1465="","",Config!$B$19)</f>
        <v/>
      </c>
      <c r="W1465">
        <f>IF($AG1465="","",INDEX('TMP Paste'!$C$2:$C$1601,$AG1465))</f>
        <v/>
      </c>
      <c r="X1465">
        <f>IF($AG1465="","",Config!$B$29)</f>
        <v/>
      </c>
      <c r="Y1465">
        <f>IF($AH1465="","",INDEX(Calc!$I$2:$I$1601,$AH1465)&amp;" - "&amp;INDEX(Calc!$D$2:$D$1601,$AH1465)&amp;" koli")</f>
        <v/>
      </c>
      <c r="Z1465">
        <f>IF($AG1465="","",Config!$B$21)</f>
        <v/>
      </c>
      <c r="AA1465">
        <f>IF($AG1465="","",Config!$B$22)</f>
        <v/>
      </c>
      <c r="AB1465">
        <f>IF($AH1465="","",INDEX(Calc!$D$2:$D$1601,$AH1465))</f>
        <v/>
      </c>
      <c r="AC1465">
        <f>IF($AH1465="","",INDEX(Calc!$G$2:$G$1601,$AH1465))</f>
        <v/>
      </c>
      <c r="AD1465">
        <f>IF($AG1465="","",Config!$B$23)</f>
        <v/>
      </c>
      <c r="AE1465">
        <f>IF($AG1465="","",Config!$B$28)</f>
        <v/>
      </c>
      <c r="AG1465">
        <f>IFERROR(MATCH(ROW()-1,Calc!$J$2:$J$1601,0),"")</f>
        <v/>
      </c>
      <c r="AH1465">
        <f>IFERROR(MATCH(ROW()-1,Calc!$K$2:$K$1601,0),"")</f>
        <v/>
      </c>
      <c r="AI1465">
        <f>IF($AG1465="","",SUMIF($AG$2:$AG1465,$AG1465,$AH$2:$AH1465))</f>
        <v/>
      </c>
      <c r="AJ1465">
        <f>IF('TMP Paste'!$F1465="","",IF('TMP Paste'!$B1465="",$AJ1464,'TMP Paste'!$B1465))</f>
        <v/>
      </c>
      <c r="AK1465">
        <f>IF('TMP Paste'!$F1465="","",N('TMP Paste'!$G1465))</f>
        <v/>
      </c>
      <c r="AL1465">
        <f>IF('TMP Paste'!$F1465="","",IF('TMP Paste'!$M1465="",$AL1464,'TMP Paste'!$M1465))</f>
        <v/>
      </c>
      <c r="AM1465">
        <f>IF('TMP Paste'!$F1465="","",IF('TMP Paste'!$N1465="",$AM1464,'TMP Paste'!$N1465))</f>
        <v/>
      </c>
      <c r="AN1465">
        <f>IF('TMP Paste'!$F1465="","",IF('TMP Paste'!$O1465="",$AN1464,'TMP Paste'!$O1465))</f>
        <v/>
      </c>
      <c r="AO1465">
        <f>IF('TMP Paste'!$F1465="","",IF('TMP Paste'!$P1465="",$AO1464,'TMP Paste'!$P1465))</f>
        <v/>
      </c>
      <c r="AP1465">
        <f>IF($AG1465="","",LEN($R1465))</f>
        <v/>
      </c>
      <c r="AQ1465">
        <f>IF($AG1465="","",TRIM(IF(COUNTIFS(Calc!$B$2:$B$1601,ROW()-1,Calc!$C$2:$C$1601,"&lt;1")&gt;0,"Ada PO tanpa Koli - cek TMP. ","")&amp;IF(LEN($R1465)&gt;500,"R &gt; 500 karakter.","")))</f>
        <v/>
      </c>
    </row>
    <row r="1466">
      <c r="A1466">
        <f>IF($AG1466="","",INDEX('TMP Paste'!$B$2:$B$1601,$AG1466))</f>
        <v/>
      </c>
      <c r="B1466">
        <f>IF($AG1466="","",Config!$B$14)</f>
        <v/>
      </c>
      <c r="C1466">
        <f>IF($AG1466="","",Config!$B$15)</f>
        <v/>
      </c>
      <c r="D1466">
        <f>IF($AG1466="","",INDEX('TMP Paste'!$B$2:$B$1601,$AG1466))</f>
        <v/>
      </c>
      <c r="E1466">
        <f>IF($AG1466="","",Config!$B$27)</f>
        <v/>
      </c>
      <c r="F1466">
        <f>IF($AG1466="","",Config!$B$9)</f>
        <v/>
      </c>
      <c r="G1466">
        <f>IF($AG1466="","",Config!$B$10)</f>
        <v/>
      </c>
      <c r="H1466">
        <f>IF($AG1466="","",Config!$B$11)</f>
        <v/>
      </c>
      <c r="I1466">
        <f>IF($AG1466="","",Config!$B$16)</f>
        <v/>
      </c>
      <c r="J1466">
        <f>IF($AG1466="","",INDEX('TMP Paste'!$A$2:$A$1601,$AG1466))</f>
        <v/>
      </c>
      <c r="K1466">
        <f>IF($AG1466="","",INDEX('TMP Paste'!$L$2:$L$1601,$AG1466))</f>
        <v/>
      </c>
      <c r="L1466">
        <f>IF($AG1466="","",INDEX('TMP Paste'!$I$2:$I$1601,$AG1466))</f>
        <v/>
      </c>
      <c r="M1466">
        <f>IF($AG1466="","",Config!$B$16)</f>
        <v/>
      </c>
      <c r="N1466">
        <f>IF($AG1466="","","")</f>
        <v/>
      </c>
      <c r="O1466">
        <f>IF($AG1466="","",INDEX('TMP Paste'!$K$2:$K$1601,$AG1466))</f>
        <v/>
      </c>
      <c r="P1466">
        <f>IF($AG1466="","","")</f>
        <v/>
      </c>
      <c r="Q1466">
        <f>IF($AG1466="","",INDEX('TMP Paste'!$J$2:$J$1601,$AG1466))</f>
        <v/>
      </c>
      <c r="R1466">
        <f>IF($AG1466="","",Config!$B$24)</f>
        <v/>
      </c>
      <c r="S1466">
        <f>IF($AG1466="","",TEXT(Config!$B$4,"yyyy-mm-dd"))</f>
        <v/>
      </c>
      <c r="T1466">
        <f>IF($AG1466="","",Config!$B$17)</f>
        <v/>
      </c>
      <c r="U1466">
        <f>IF($AG1466="","",Config!$B$18)</f>
        <v/>
      </c>
      <c r="V1466">
        <f>IF($AG1466="","",Config!$B$19)</f>
        <v/>
      </c>
      <c r="W1466">
        <f>IF($AG1466="","",INDEX('TMP Paste'!$C$2:$C$1601,$AG1466))</f>
        <v/>
      </c>
      <c r="X1466">
        <f>IF($AG1466="","",Config!$B$29)</f>
        <v/>
      </c>
      <c r="Y1466">
        <f>IF($AH1466="","",INDEX(Calc!$I$2:$I$1601,$AH1466)&amp;" - "&amp;INDEX(Calc!$D$2:$D$1601,$AH1466)&amp;" koli")</f>
        <v/>
      </c>
      <c r="Z1466">
        <f>IF($AG1466="","",Config!$B$21)</f>
        <v/>
      </c>
      <c r="AA1466">
        <f>IF($AG1466="","",Config!$B$22)</f>
        <v/>
      </c>
      <c r="AB1466">
        <f>IF($AH1466="","",INDEX(Calc!$D$2:$D$1601,$AH1466))</f>
        <v/>
      </c>
      <c r="AC1466">
        <f>IF($AH1466="","",INDEX(Calc!$G$2:$G$1601,$AH1466))</f>
        <v/>
      </c>
      <c r="AD1466">
        <f>IF($AG1466="","",Config!$B$23)</f>
        <v/>
      </c>
      <c r="AE1466">
        <f>IF($AG1466="","",Config!$B$28)</f>
        <v/>
      </c>
      <c r="AG1466">
        <f>IFERROR(MATCH(ROW()-1,Calc!$J$2:$J$1601,0),"")</f>
        <v/>
      </c>
      <c r="AH1466">
        <f>IFERROR(MATCH(ROW()-1,Calc!$K$2:$K$1601,0),"")</f>
        <v/>
      </c>
      <c r="AI1466">
        <f>IF($AG1466="","",SUMIF($AG$2:$AG1466,$AG1466,$AH$2:$AH1466))</f>
        <v/>
      </c>
      <c r="AJ1466">
        <f>IF('TMP Paste'!$F1466="","",IF('TMP Paste'!$B1466="",$AJ1465,'TMP Paste'!$B1466))</f>
        <v/>
      </c>
      <c r="AK1466">
        <f>IF('TMP Paste'!$F1466="","",N('TMP Paste'!$G1466))</f>
        <v/>
      </c>
      <c r="AL1466">
        <f>IF('TMP Paste'!$F1466="","",IF('TMP Paste'!$M1466="",$AL1465,'TMP Paste'!$M1466))</f>
        <v/>
      </c>
      <c r="AM1466">
        <f>IF('TMP Paste'!$F1466="","",IF('TMP Paste'!$N1466="",$AM1465,'TMP Paste'!$N1466))</f>
        <v/>
      </c>
      <c r="AN1466">
        <f>IF('TMP Paste'!$F1466="","",IF('TMP Paste'!$O1466="",$AN1465,'TMP Paste'!$O1466))</f>
        <v/>
      </c>
      <c r="AO1466">
        <f>IF('TMP Paste'!$F1466="","",IF('TMP Paste'!$P1466="",$AO1465,'TMP Paste'!$P1466))</f>
        <v/>
      </c>
      <c r="AP1466">
        <f>IF($AG1466="","",LEN($R1466))</f>
        <v/>
      </c>
      <c r="AQ1466">
        <f>IF($AG1466="","",TRIM(IF(COUNTIFS(Calc!$B$2:$B$1601,ROW()-1,Calc!$C$2:$C$1601,"&lt;1")&gt;0,"Ada PO tanpa Koli - cek TMP. ","")&amp;IF(LEN($R1466)&gt;500,"R &gt; 500 karakter.","")))</f>
        <v/>
      </c>
    </row>
    <row r="1467">
      <c r="A1467">
        <f>IF($AG1467="","",INDEX('TMP Paste'!$B$2:$B$1601,$AG1467))</f>
        <v/>
      </c>
      <c r="B1467">
        <f>IF($AG1467="","",Config!$B$14)</f>
        <v/>
      </c>
      <c r="C1467">
        <f>IF($AG1467="","",Config!$B$15)</f>
        <v/>
      </c>
      <c r="D1467">
        <f>IF($AG1467="","",INDEX('TMP Paste'!$B$2:$B$1601,$AG1467))</f>
        <v/>
      </c>
      <c r="E1467">
        <f>IF($AG1467="","",Config!$B$27)</f>
        <v/>
      </c>
      <c r="F1467">
        <f>IF($AG1467="","",Config!$B$9)</f>
        <v/>
      </c>
      <c r="G1467">
        <f>IF($AG1467="","",Config!$B$10)</f>
        <v/>
      </c>
      <c r="H1467">
        <f>IF($AG1467="","",Config!$B$11)</f>
        <v/>
      </c>
      <c r="I1467">
        <f>IF($AG1467="","",Config!$B$16)</f>
        <v/>
      </c>
      <c r="J1467">
        <f>IF($AG1467="","",INDEX('TMP Paste'!$A$2:$A$1601,$AG1467))</f>
        <v/>
      </c>
      <c r="K1467">
        <f>IF($AG1467="","",INDEX('TMP Paste'!$L$2:$L$1601,$AG1467))</f>
        <v/>
      </c>
      <c r="L1467">
        <f>IF($AG1467="","",INDEX('TMP Paste'!$I$2:$I$1601,$AG1467))</f>
        <v/>
      </c>
      <c r="M1467">
        <f>IF($AG1467="","",Config!$B$16)</f>
        <v/>
      </c>
      <c r="N1467">
        <f>IF($AG1467="","","")</f>
        <v/>
      </c>
      <c r="O1467">
        <f>IF($AG1467="","",INDEX('TMP Paste'!$K$2:$K$1601,$AG1467))</f>
        <v/>
      </c>
      <c r="P1467">
        <f>IF($AG1467="","","")</f>
        <v/>
      </c>
      <c r="Q1467">
        <f>IF($AG1467="","",INDEX('TMP Paste'!$J$2:$J$1601,$AG1467))</f>
        <v/>
      </c>
      <c r="R1467">
        <f>IF($AG1467="","",Config!$B$24)</f>
        <v/>
      </c>
      <c r="S1467">
        <f>IF($AG1467="","",TEXT(Config!$B$4,"yyyy-mm-dd"))</f>
        <v/>
      </c>
      <c r="T1467">
        <f>IF($AG1467="","",Config!$B$17)</f>
        <v/>
      </c>
      <c r="U1467">
        <f>IF($AG1467="","",Config!$B$18)</f>
        <v/>
      </c>
      <c r="V1467">
        <f>IF($AG1467="","",Config!$B$19)</f>
        <v/>
      </c>
      <c r="W1467">
        <f>IF($AG1467="","",INDEX('TMP Paste'!$C$2:$C$1601,$AG1467))</f>
        <v/>
      </c>
      <c r="X1467">
        <f>IF($AG1467="","",Config!$B$29)</f>
        <v/>
      </c>
      <c r="Y1467">
        <f>IF($AH1467="","",INDEX(Calc!$I$2:$I$1601,$AH1467)&amp;" - "&amp;INDEX(Calc!$D$2:$D$1601,$AH1467)&amp;" koli")</f>
        <v/>
      </c>
      <c r="Z1467">
        <f>IF($AG1467="","",Config!$B$21)</f>
        <v/>
      </c>
      <c r="AA1467">
        <f>IF($AG1467="","",Config!$B$22)</f>
        <v/>
      </c>
      <c r="AB1467">
        <f>IF($AH1467="","",INDEX(Calc!$D$2:$D$1601,$AH1467))</f>
        <v/>
      </c>
      <c r="AC1467">
        <f>IF($AH1467="","",INDEX(Calc!$G$2:$G$1601,$AH1467))</f>
        <v/>
      </c>
      <c r="AD1467">
        <f>IF($AG1467="","",Config!$B$23)</f>
        <v/>
      </c>
      <c r="AE1467">
        <f>IF($AG1467="","",Config!$B$28)</f>
        <v/>
      </c>
      <c r="AG1467">
        <f>IFERROR(MATCH(ROW()-1,Calc!$J$2:$J$1601,0),"")</f>
        <v/>
      </c>
      <c r="AH1467">
        <f>IFERROR(MATCH(ROW()-1,Calc!$K$2:$K$1601,0),"")</f>
        <v/>
      </c>
      <c r="AI1467">
        <f>IF($AG1467="","",SUMIF($AG$2:$AG1467,$AG1467,$AH$2:$AH1467))</f>
        <v/>
      </c>
      <c r="AJ1467">
        <f>IF('TMP Paste'!$F1467="","",IF('TMP Paste'!$B1467="",$AJ1466,'TMP Paste'!$B1467))</f>
        <v/>
      </c>
      <c r="AK1467">
        <f>IF('TMP Paste'!$F1467="","",N('TMP Paste'!$G1467))</f>
        <v/>
      </c>
      <c r="AL1467">
        <f>IF('TMP Paste'!$F1467="","",IF('TMP Paste'!$M1467="",$AL1466,'TMP Paste'!$M1467))</f>
        <v/>
      </c>
      <c r="AM1467">
        <f>IF('TMP Paste'!$F1467="","",IF('TMP Paste'!$N1467="",$AM1466,'TMP Paste'!$N1467))</f>
        <v/>
      </c>
      <c r="AN1467">
        <f>IF('TMP Paste'!$F1467="","",IF('TMP Paste'!$O1467="",$AN1466,'TMP Paste'!$O1467))</f>
        <v/>
      </c>
      <c r="AO1467">
        <f>IF('TMP Paste'!$F1467="","",IF('TMP Paste'!$P1467="",$AO1466,'TMP Paste'!$P1467))</f>
        <v/>
      </c>
      <c r="AP1467">
        <f>IF($AG1467="","",LEN($R1467))</f>
        <v/>
      </c>
      <c r="AQ1467">
        <f>IF($AG1467="","",TRIM(IF(COUNTIFS(Calc!$B$2:$B$1601,ROW()-1,Calc!$C$2:$C$1601,"&lt;1")&gt;0,"Ada PO tanpa Koli - cek TMP. ","")&amp;IF(LEN($R1467)&gt;500,"R &gt; 500 karakter.","")))</f>
        <v/>
      </c>
    </row>
    <row r="1468">
      <c r="A1468">
        <f>IF($AG1468="","",INDEX('TMP Paste'!$B$2:$B$1601,$AG1468))</f>
        <v/>
      </c>
      <c r="B1468">
        <f>IF($AG1468="","",Config!$B$14)</f>
        <v/>
      </c>
      <c r="C1468">
        <f>IF($AG1468="","",Config!$B$15)</f>
        <v/>
      </c>
      <c r="D1468">
        <f>IF($AG1468="","",INDEX('TMP Paste'!$B$2:$B$1601,$AG1468))</f>
        <v/>
      </c>
      <c r="E1468">
        <f>IF($AG1468="","",Config!$B$27)</f>
        <v/>
      </c>
      <c r="F1468">
        <f>IF($AG1468="","",Config!$B$9)</f>
        <v/>
      </c>
      <c r="G1468">
        <f>IF($AG1468="","",Config!$B$10)</f>
        <v/>
      </c>
      <c r="H1468">
        <f>IF($AG1468="","",Config!$B$11)</f>
        <v/>
      </c>
      <c r="I1468">
        <f>IF($AG1468="","",Config!$B$16)</f>
        <v/>
      </c>
      <c r="J1468">
        <f>IF($AG1468="","",INDEX('TMP Paste'!$A$2:$A$1601,$AG1468))</f>
        <v/>
      </c>
      <c r="K1468">
        <f>IF($AG1468="","",INDEX('TMP Paste'!$L$2:$L$1601,$AG1468))</f>
        <v/>
      </c>
      <c r="L1468">
        <f>IF($AG1468="","",INDEX('TMP Paste'!$I$2:$I$1601,$AG1468))</f>
        <v/>
      </c>
      <c r="M1468">
        <f>IF($AG1468="","",Config!$B$16)</f>
        <v/>
      </c>
      <c r="N1468">
        <f>IF($AG1468="","","")</f>
        <v/>
      </c>
      <c r="O1468">
        <f>IF($AG1468="","",INDEX('TMP Paste'!$K$2:$K$1601,$AG1468))</f>
        <v/>
      </c>
      <c r="P1468">
        <f>IF($AG1468="","","")</f>
        <v/>
      </c>
      <c r="Q1468">
        <f>IF($AG1468="","",INDEX('TMP Paste'!$J$2:$J$1601,$AG1468))</f>
        <v/>
      </c>
      <c r="R1468">
        <f>IF($AG1468="","",Config!$B$24)</f>
        <v/>
      </c>
      <c r="S1468">
        <f>IF($AG1468="","",TEXT(Config!$B$4,"yyyy-mm-dd"))</f>
        <v/>
      </c>
      <c r="T1468">
        <f>IF($AG1468="","",Config!$B$17)</f>
        <v/>
      </c>
      <c r="U1468">
        <f>IF($AG1468="","",Config!$B$18)</f>
        <v/>
      </c>
      <c r="V1468">
        <f>IF($AG1468="","",Config!$B$19)</f>
        <v/>
      </c>
      <c r="W1468">
        <f>IF($AG1468="","",INDEX('TMP Paste'!$C$2:$C$1601,$AG1468))</f>
        <v/>
      </c>
      <c r="X1468">
        <f>IF($AG1468="","",Config!$B$29)</f>
        <v/>
      </c>
      <c r="Y1468">
        <f>IF($AH1468="","",INDEX(Calc!$I$2:$I$1601,$AH1468)&amp;" - "&amp;INDEX(Calc!$D$2:$D$1601,$AH1468)&amp;" koli")</f>
        <v/>
      </c>
      <c r="Z1468">
        <f>IF($AG1468="","",Config!$B$21)</f>
        <v/>
      </c>
      <c r="AA1468">
        <f>IF($AG1468="","",Config!$B$22)</f>
        <v/>
      </c>
      <c r="AB1468">
        <f>IF($AH1468="","",INDEX(Calc!$D$2:$D$1601,$AH1468))</f>
        <v/>
      </c>
      <c r="AC1468">
        <f>IF($AH1468="","",INDEX(Calc!$G$2:$G$1601,$AH1468))</f>
        <v/>
      </c>
      <c r="AD1468">
        <f>IF($AG1468="","",Config!$B$23)</f>
        <v/>
      </c>
      <c r="AE1468">
        <f>IF($AG1468="","",Config!$B$28)</f>
        <v/>
      </c>
      <c r="AG1468">
        <f>IFERROR(MATCH(ROW()-1,Calc!$J$2:$J$1601,0),"")</f>
        <v/>
      </c>
      <c r="AH1468">
        <f>IFERROR(MATCH(ROW()-1,Calc!$K$2:$K$1601,0),"")</f>
        <v/>
      </c>
      <c r="AI1468">
        <f>IF($AG1468="","",SUMIF($AG$2:$AG1468,$AG1468,$AH$2:$AH1468))</f>
        <v/>
      </c>
      <c r="AJ1468">
        <f>IF('TMP Paste'!$F1468="","",IF('TMP Paste'!$B1468="",$AJ1467,'TMP Paste'!$B1468))</f>
        <v/>
      </c>
      <c r="AK1468">
        <f>IF('TMP Paste'!$F1468="","",N('TMP Paste'!$G1468))</f>
        <v/>
      </c>
      <c r="AL1468">
        <f>IF('TMP Paste'!$F1468="","",IF('TMP Paste'!$M1468="",$AL1467,'TMP Paste'!$M1468))</f>
        <v/>
      </c>
      <c r="AM1468">
        <f>IF('TMP Paste'!$F1468="","",IF('TMP Paste'!$N1468="",$AM1467,'TMP Paste'!$N1468))</f>
        <v/>
      </c>
      <c r="AN1468">
        <f>IF('TMP Paste'!$F1468="","",IF('TMP Paste'!$O1468="",$AN1467,'TMP Paste'!$O1468))</f>
        <v/>
      </c>
      <c r="AO1468">
        <f>IF('TMP Paste'!$F1468="","",IF('TMP Paste'!$P1468="",$AO1467,'TMP Paste'!$P1468))</f>
        <v/>
      </c>
      <c r="AP1468">
        <f>IF($AG1468="","",LEN($R1468))</f>
        <v/>
      </c>
      <c r="AQ1468">
        <f>IF($AG1468="","",TRIM(IF(COUNTIFS(Calc!$B$2:$B$1601,ROW()-1,Calc!$C$2:$C$1601,"&lt;1")&gt;0,"Ada PO tanpa Koli - cek TMP. ","")&amp;IF(LEN($R1468)&gt;500,"R &gt; 500 karakter.","")))</f>
        <v/>
      </c>
    </row>
    <row r="1469">
      <c r="A1469">
        <f>IF($AG1469="","",INDEX('TMP Paste'!$B$2:$B$1601,$AG1469))</f>
        <v/>
      </c>
      <c r="B1469">
        <f>IF($AG1469="","",Config!$B$14)</f>
        <v/>
      </c>
      <c r="C1469">
        <f>IF($AG1469="","",Config!$B$15)</f>
        <v/>
      </c>
      <c r="D1469">
        <f>IF($AG1469="","",INDEX('TMP Paste'!$B$2:$B$1601,$AG1469))</f>
        <v/>
      </c>
      <c r="E1469">
        <f>IF($AG1469="","",Config!$B$27)</f>
        <v/>
      </c>
      <c r="F1469">
        <f>IF($AG1469="","",Config!$B$9)</f>
        <v/>
      </c>
      <c r="G1469">
        <f>IF($AG1469="","",Config!$B$10)</f>
        <v/>
      </c>
      <c r="H1469">
        <f>IF($AG1469="","",Config!$B$11)</f>
        <v/>
      </c>
      <c r="I1469">
        <f>IF($AG1469="","",Config!$B$16)</f>
        <v/>
      </c>
      <c r="J1469">
        <f>IF($AG1469="","",INDEX('TMP Paste'!$A$2:$A$1601,$AG1469))</f>
        <v/>
      </c>
      <c r="K1469">
        <f>IF($AG1469="","",INDEX('TMP Paste'!$L$2:$L$1601,$AG1469))</f>
        <v/>
      </c>
      <c r="L1469">
        <f>IF($AG1469="","",INDEX('TMP Paste'!$I$2:$I$1601,$AG1469))</f>
        <v/>
      </c>
      <c r="M1469">
        <f>IF($AG1469="","",Config!$B$16)</f>
        <v/>
      </c>
      <c r="N1469">
        <f>IF($AG1469="","","")</f>
        <v/>
      </c>
      <c r="O1469">
        <f>IF($AG1469="","",INDEX('TMP Paste'!$K$2:$K$1601,$AG1469))</f>
        <v/>
      </c>
      <c r="P1469">
        <f>IF($AG1469="","","")</f>
        <v/>
      </c>
      <c r="Q1469">
        <f>IF($AG1469="","",INDEX('TMP Paste'!$J$2:$J$1601,$AG1469))</f>
        <v/>
      </c>
      <c r="R1469">
        <f>IF($AG1469="","",Config!$B$24)</f>
        <v/>
      </c>
      <c r="S1469">
        <f>IF($AG1469="","",TEXT(Config!$B$4,"yyyy-mm-dd"))</f>
        <v/>
      </c>
      <c r="T1469">
        <f>IF($AG1469="","",Config!$B$17)</f>
        <v/>
      </c>
      <c r="U1469">
        <f>IF($AG1469="","",Config!$B$18)</f>
        <v/>
      </c>
      <c r="V1469">
        <f>IF($AG1469="","",Config!$B$19)</f>
        <v/>
      </c>
      <c r="W1469">
        <f>IF($AG1469="","",INDEX('TMP Paste'!$C$2:$C$1601,$AG1469))</f>
        <v/>
      </c>
      <c r="X1469">
        <f>IF($AG1469="","",Config!$B$29)</f>
        <v/>
      </c>
      <c r="Y1469">
        <f>IF($AH1469="","",INDEX(Calc!$I$2:$I$1601,$AH1469)&amp;" - "&amp;INDEX(Calc!$D$2:$D$1601,$AH1469)&amp;" koli")</f>
        <v/>
      </c>
      <c r="Z1469">
        <f>IF($AG1469="","",Config!$B$21)</f>
        <v/>
      </c>
      <c r="AA1469">
        <f>IF($AG1469="","",Config!$B$22)</f>
        <v/>
      </c>
      <c r="AB1469">
        <f>IF($AH1469="","",INDEX(Calc!$D$2:$D$1601,$AH1469))</f>
        <v/>
      </c>
      <c r="AC1469">
        <f>IF($AH1469="","",INDEX(Calc!$G$2:$G$1601,$AH1469))</f>
        <v/>
      </c>
      <c r="AD1469">
        <f>IF($AG1469="","",Config!$B$23)</f>
        <v/>
      </c>
      <c r="AE1469">
        <f>IF($AG1469="","",Config!$B$28)</f>
        <v/>
      </c>
      <c r="AG1469">
        <f>IFERROR(MATCH(ROW()-1,Calc!$J$2:$J$1601,0),"")</f>
        <v/>
      </c>
      <c r="AH1469">
        <f>IFERROR(MATCH(ROW()-1,Calc!$K$2:$K$1601,0),"")</f>
        <v/>
      </c>
      <c r="AI1469">
        <f>IF($AG1469="","",SUMIF($AG$2:$AG1469,$AG1469,$AH$2:$AH1469))</f>
        <v/>
      </c>
      <c r="AJ1469">
        <f>IF('TMP Paste'!$F1469="","",IF('TMP Paste'!$B1469="",$AJ1468,'TMP Paste'!$B1469))</f>
        <v/>
      </c>
      <c r="AK1469">
        <f>IF('TMP Paste'!$F1469="","",N('TMP Paste'!$G1469))</f>
        <v/>
      </c>
      <c r="AL1469">
        <f>IF('TMP Paste'!$F1469="","",IF('TMP Paste'!$M1469="",$AL1468,'TMP Paste'!$M1469))</f>
        <v/>
      </c>
      <c r="AM1469">
        <f>IF('TMP Paste'!$F1469="","",IF('TMP Paste'!$N1469="",$AM1468,'TMP Paste'!$N1469))</f>
        <v/>
      </c>
      <c r="AN1469">
        <f>IF('TMP Paste'!$F1469="","",IF('TMP Paste'!$O1469="",$AN1468,'TMP Paste'!$O1469))</f>
        <v/>
      </c>
      <c r="AO1469">
        <f>IF('TMP Paste'!$F1469="","",IF('TMP Paste'!$P1469="",$AO1468,'TMP Paste'!$P1469))</f>
        <v/>
      </c>
      <c r="AP1469">
        <f>IF($AG1469="","",LEN($R1469))</f>
        <v/>
      </c>
      <c r="AQ1469">
        <f>IF($AG1469="","",TRIM(IF(COUNTIFS(Calc!$B$2:$B$1601,ROW()-1,Calc!$C$2:$C$1601,"&lt;1")&gt;0,"Ada PO tanpa Koli - cek TMP. ","")&amp;IF(LEN($R1469)&gt;500,"R &gt; 500 karakter.","")))</f>
        <v/>
      </c>
    </row>
    <row r="1470">
      <c r="A1470">
        <f>IF($AG1470="","",INDEX('TMP Paste'!$B$2:$B$1601,$AG1470))</f>
        <v/>
      </c>
      <c r="B1470">
        <f>IF($AG1470="","",Config!$B$14)</f>
        <v/>
      </c>
      <c r="C1470">
        <f>IF($AG1470="","",Config!$B$15)</f>
        <v/>
      </c>
      <c r="D1470">
        <f>IF($AG1470="","",INDEX('TMP Paste'!$B$2:$B$1601,$AG1470))</f>
        <v/>
      </c>
      <c r="E1470">
        <f>IF($AG1470="","",Config!$B$27)</f>
        <v/>
      </c>
      <c r="F1470">
        <f>IF($AG1470="","",Config!$B$9)</f>
        <v/>
      </c>
      <c r="G1470">
        <f>IF($AG1470="","",Config!$B$10)</f>
        <v/>
      </c>
      <c r="H1470">
        <f>IF($AG1470="","",Config!$B$11)</f>
        <v/>
      </c>
      <c r="I1470">
        <f>IF($AG1470="","",Config!$B$16)</f>
        <v/>
      </c>
      <c r="J1470">
        <f>IF($AG1470="","",INDEX('TMP Paste'!$A$2:$A$1601,$AG1470))</f>
        <v/>
      </c>
      <c r="K1470">
        <f>IF($AG1470="","",INDEX('TMP Paste'!$L$2:$L$1601,$AG1470))</f>
        <v/>
      </c>
      <c r="L1470">
        <f>IF($AG1470="","",INDEX('TMP Paste'!$I$2:$I$1601,$AG1470))</f>
        <v/>
      </c>
      <c r="M1470">
        <f>IF($AG1470="","",Config!$B$16)</f>
        <v/>
      </c>
      <c r="N1470">
        <f>IF($AG1470="","","")</f>
        <v/>
      </c>
      <c r="O1470">
        <f>IF($AG1470="","",INDEX('TMP Paste'!$K$2:$K$1601,$AG1470))</f>
        <v/>
      </c>
      <c r="P1470">
        <f>IF($AG1470="","","")</f>
        <v/>
      </c>
      <c r="Q1470">
        <f>IF($AG1470="","",INDEX('TMP Paste'!$J$2:$J$1601,$AG1470))</f>
        <v/>
      </c>
      <c r="R1470">
        <f>IF($AG1470="","",Config!$B$24)</f>
        <v/>
      </c>
      <c r="S1470">
        <f>IF($AG1470="","",TEXT(Config!$B$4,"yyyy-mm-dd"))</f>
        <v/>
      </c>
      <c r="T1470">
        <f>IF($AG1470="","",Config!$B$17)</f>
        <v/>
      </c>
      <c r="U1470">
        <f>IF($AG1470="","",Config!$B$18)</f>
        <v/>
      </c>
      <c r="V1470">
        <f>IF($AG1470="","",Config!$B$19)</f>
        <v/>
      </c>
      <c r="W1470">
        <f>IF($AG1470="","",INDEX('TMP Paste'!$C$2:$C$1601,$AG1470))</f>
        <v/>
      </c>
      <c r="X1470">
        <f>IF($AG1470="","",Config!$B$29)</f>
        <v/>
      </c>
      <c r="Y1470">
        <f>IF($AH1470="","",INDEX(Calc!$I$2:$I$1601,$AH1470)&amp;" - "&amp;INDEX(Calc!$D$2:$D$1601,$AH1470)&amp;" koli")</f>
        <v/>
      </c>
      <c r="Z1470">
        <f>IF($AG1470="","",Config!$B$21)</f>
        <v/>
      </c>
      <c r="AA1470">
        <f>IF($AG1470="","",Config!$B$22)</f>
        <v/>
      </c>
      <c r="AB1470">
        <f>IF($AH1470="","",INDEX(Calc!$D$2:$D$1601,$AH1470))</f>
        <v/>
      </c>
      <c r="AC1470">
        <f>IF($AH1470="","",INDEX(Calc!$G$2:$G$1601,$AH1470))</f>
        <v/>
      </c>
      <c r="AD1470">
        <f>IF($AG1470="","",Config!$B$23)</f>
        <v/>
      </c>
      <c r="AE1470">
        <f>IF($AG1470="","",Config!$B$28)</f>
        <v/>
      </c>
      <c r="AG1470">
        <f>IFERROR(MATCH(ROW()-1,Calc!$J$2:$J$1601,0),"")</f>
        <v/>
      </c>
      <c r="AH1470">
        <f>IFERROR(MATCH(ROW()-1,Calc!$K$2:$K$1601,0),"")</f>
        <v/>
      </c>
      <c r="AI1470">
        <f>IF($AG1470="","",SUMIF($AG$2:$AG1470,$AG1470,$AH$2:$AH1470))</f>
        <v/>
      </c>
      <c r="AJ1470">
        <f>IF('TMP Paste'!$F1470="","",IF('TMP Paste'!$B1470="",$AJ1469,'TMP Paste'!$B1470))</f>
        <v/>
      </c>
      <c r="AK1470">
        <f>IF('TMP Paste'!$F1470="","",N('TMP Paste'!$G1470))</f>
        <v/>
      </c>
      <c r="AL1470">
        <f>IF('TMP Paste'!$F1470="","",IF('TMP Paste'!$M1470="",$AL1469,'TMP Paste'!$M1470))</f>
        <v/>
      </c>
      <c r="AM1470">
        <f>IF('TMP Paste'!$F1470="","",IF('TMP Paste'!$N1470="",$AM1469,'TMP Paste'!$N1470))</f>
        <v/>
      </c>
      <c r="AN1470">
        <f>IF('TMP Paste'!$F1470="","",IF('TMP Paste'!$O1470="",$AN1469,'TMP Paste'!$O1470))</f>
        <v/>
      </c>
      <c r="AO1470">
        <f>IF('TMP Paste'!$F1470="","",IF('TMP Paste'!$P1470="",$AO1469,'TMP Paste'!$P1470))</f>
        <v/>
      </c>
      <c r="AP1470">
        <f>IF($AG1470="","",LEN($R1470))</f>
        <v/>
      </c>
      <c r="AQ1470">
        <f>IF($AG1470="","",TRIM(IF(COUNTIFS(Calc!$B$2:$B$1601,ROW()-1,Calc!$C$2:$C$1601,"&lt;1")&gt;0,"Ada PO tanpa Koli - cek TMP. ","")&amp;IF(LEN($R1470)&gt;500,"R &gt; 500 karakter.","")))</f>
        <v/>
      </c>
    </row>
    <row r="1471">
      <c r="A1471">
        <f>IF($AG1471="","",INDEX('TMP Paste'!$B$2:$B$1601,$AG1471))</f>
        <v/>
      </c>
      <c r="B1471">
        <f>IF($AG1471="","",Config!$B$14)</f>
        <v/>
      </c>
      <c r="C1471">
        <f>IF($AG1471="","",Config!$B$15)</f>
        <v/>
      </c>
      <c r="D1471">
        <f>IF($AG1471="","",INDEX('TMP Paste'!$B$2:$B$1601,$AG1471))</f>
        <v/>
      </c>
      <c r="E1471">
        <f>IF($AG1471="","",Config!$B$27)</f>
        <v/>
      </c>
      <c r="F1471">
        <f>IF($AG1471="","",Config!$B$9)</f>
        <v/>
      </c>
      <c r="G1471">
        <f>IF($AG1471="","",Config!$B$10)</f>
        <v/>
      </c>
      <c r="H1471">
        <f>IF($AG1471="","",Config!$B$11)</f>
        <v/>
      </c>
      <c r="I1471">
        <f>IF($AG1471="","",Config!$B$16)</f>
        <v/>
      </c>
      <c r="J1471">
        <f>IF($AG1471="","",INDEX('TMP Paste'!$A$2:$A$1601,$AG1471))</f>
        <v/>
      </c>
      <c r="K1471">
        <f>IF($AG1471="","",INDEX('TMP Paste'!$L$2:$L$1601,$AG1471))</f>
        <v/>
      </c>
      <c r="L1471">
        <f>IF($AG1471="","",INDEX('TMP Paste'!$I$2:$I$1601,$AG1471))</f>
        <v/>
      </c>
      <c r="M1471">
        <f>IF($AG1471="","",Config!$B$16)</f>
        <v/>
      </c>
      <c r="N1471">
        <f>IF($AG1471="","","")</f>
        <v/>
      </c>
      <c r="O1471">
        <f>IF($AG1471="","",INDEX('TMP Paste'!$K$2:$K$1601,$AG1471))</f>
        <v/>
      </c>
      <c r="P1471">
        <f>IF($AG1471="","","")</f>
        <v/>
      </c>
      <c r="Q1471">
        <f>IF($AG1471="","",INDEX('TMP Paste'!$J$2:$J$1601,$AG1471))</f>
        <v/>
      </c>
      <c r="R1471">
        <f>IF($AG1471="","",Config!$B$24)</f>
        <v/>
      </c>
      <c r="S1471">
        <f>IF($AG1471="","",TEXT(Config!$B$4,"yyyy-mm-dd"))</f>
        <v/>
      </c>
      <c r="T1471">
        <f>IF($AG1471="","",Config!$B$17)</f>
        <v/>
      </c>
      <c r="U1471">
        <f>IF($AG1471="","",Config!$B$18)</f>
        <v/>
      </c>
      <c r="V1471">
        <f>IF($AG1471="","",Config!$B$19)</f>
        <v/>
      </c>
      <c r="W1471">
        <f>IF($AG1471="","",INDEX('TMP Paste'!$C$2:$C$1601,$AG1471))</f>
        <v/>
      </c>
      <c r="X1471">
        <f>IF($AG1471="","",Config!$B$29)</f>
        <v/>
      </c>
      <c r="Y1471">
        <f>IF($AH1471="","",INDEX(Calc!$I$2:$I$1601,$AH1471)&amp;" - "&amp;INDEX(Calc!$D$2:$D$1601,$AH1471)&amp;" koli")</f>
        <v/>
      </c>
      <c r="Z1471">
        <f>IF($AG1471="","",Config!$B$21)</f>
        <v/>
      </c>
      <c r="AA1471">
        <f>IF($AG1471="","",Config!$B$22)</f>
        <v/>
      </c>
      <c r="AB1471">
        <f>IF($AH1471="","",INDEX(Calc!$D$2:$D$1601,$AH1471))</f>
        <v/>
      </c>
      <c r="AC1471">
        <f>IF($AH1471="","",INDEX(Calc!$G$2:$G$1601,$AH1471))</f>
        <v/>
      </c>
      <c r="AD1471">
        <f>IF($AG1471="","",Config!$B$23)</f>
        <v/>
      </c>
      <c r="AE1471">
        <f>IF($AG1471="","",Config!$B$28)</f>
        <v/>
      </c>
      <c r="AG1471">
        <f>IFERROR(MATCH(ROW()-1,Calc!$J$2:$J$1601,0),"")</f>
        <v/>
      </c>
      <c r="AH1471">
        <f>IFERROR(MATCH(ROW()-1,Calc!$K$2:$K$1601,0),"")</f>
        <v/>
      </c>
      <c r="AI1471">
        <f>IF($AG1471="","",SUMIF($AG$2:$AG1471,$AG1471,$AH$2:$AH1471))</f>
        <v/>
      </c>
      <c r="AJ1471">
        <f>IF('TMP Paste'!$F1471="","",IF('TMP Paste'!$B1471="",$AJ1470,'TMP Paste'!$B1471))</f>
        <v/>
      </c>
      <c r="AK1471">
        <f>IF('TMP Paste'!$F1471="","",N('TMP Paste'!$G1471))</f>
        <v/>
      </c>
      <c r="AL1471">
        <f>IF('TMP Paste'!$F1471="","",IF('TMP Paste'!$M1471="",$AL1470,'TMP Paste'!$M1471))</f>
        <v/>
      </c>
      <c r="AM1471">
        <f>IF('TMP Paste'!$F1471="","",IF('TMP Paste'!$N1471="",$AM1470,'TMP Paste'!$N1471))</f>
        <v/>
      </c>
      <c r="AN1471">
        <f>IF('TMP Paste'!$F1471="","",IF('TMP Paste'!$O1471="",$AN1470,'TMP Paste'!$O1471))</f>
        <v/>
      </c>
      <c r="AO1471">
        <f>IF('TMP Paste'!$F1471="","",IF('TMP Paste'!$P1471="",$AO1470,'TMP Paste'!$P1471))</f>
        <v/>
      </c>
      <c r="AP1471">
        <f>IF($AG1471="","",LEN($R1471))</f>
        <v/>
      </c>
      <c r="AQ1471">
        <f>IF($AG1471="","",TRIM(IF(COUNTIFS(Calc!$B$2:$B$1601,ROW()-1,Calc!$C$2:$C$1601,"&lt;1")&gt;0,"Ada PO tanpa Koli - cek TMP. ","")&amp;IF(LEN($R1471)&gt;500,"R &gt; 500 karakter.","")))</f>
        <v/>
      </c>
    </row>
    <row r="1472">
      <c r="A1472">
        <f>IF($AG1472="","",INDEX('TMP Paste'!$B$2:$B$1601,$AG1472))</f>
        <v/>
      </c>
      <c r="B1472">
        <f>IF($AG1472="","",Config!$B$14)</f>
        <v/>
      </c>
      <c r="C1472">
        <f>IF($AG1472="","",Config!$B$15)</f>
        <v/>
      </c>
      <c r="D1472">
        <f>IF($AG1472="","",INDEX('TMP Paste'!$B$2:$B$1601,$AG1472))</f>
        <v/>
      </c>
      <c r="E1472">
        <f>IF($AG1472="","",Config!$B$27)</f>
        <v/>
      </c>
      <c r="F1472">
        <f>IF($AG1472="","",Config!$B$9)</f>
        <v/>
      </c>
      <c r="G1472">
        <f>IF($AG1472="","",Config!$B$10)</f>
        <v/>
      </c>
      <c r="H1472">
        <f>IF($AG1472="","",Config!$B$11)</f>
        <v/>
      </c>
      <c r="I1472">
        <f>IF($AG1472="","",Config!$B$16)</f>
        <v/>
      </c>
      <c r="J1472">
        <f>IF($AG1472="","",INDEX('TMP Paste'!$A$2:$A$1601,$AG1472))</f>
        <v/>
      </c>
      <c r="K1472">
        <f>IF($AG1472="","",INDEX('TMP Paste'!$L$2:$L$1601,$AG1472))</f>
        <v/>
      </c>
      <c r="L1472">
        <f>IF($AG1472="","",INDEX('TMP Paste'!$I$2:$I$1601,$AG1472))</f>
        <v/>
      </c>
      <c r="M1472">
        <f>IF($AG1472="","",Config!$B$16)</f>
        <v/>
      </c>
      <c r="N1472">
        <f>IF($AG1472="","","")</f>
        <v/>
      </c>
      <c r="O1472">
        <f>IF($AG1472="","",INDEX('TMP Paste'!$K$2:$K$1601,$AG1472))</f>
        <v/>
      </c>
      <c r="P1472">
        <f>IF($AG1472="","","")</f>
        <v/>
      </c>
      <c r="Q1472">
        <f>IF($AG1472="","",INDEX('TMP Paste'!$J$2:$J$1601,$AG1472))</f>
        <v/>
      </c>
      <c r="R1472">
        <f>IF($AG1472="","",Config!$B$24)</f>
        <v/>
      </c>
      <c r="S1472">
        <f>IF($AG1472="","",TEXT(Config!$B$4,"yyyy-mm-dd"))</f>
        <v/>
      </c>
      <c r="T1472">
        <f>IF($AG1472="","",Config!$B$17)</f>
        <v/>
      </c>
      <c r="U1472">
        <f>IF($AG1472="","",Config!$B$18)</f>
        <v/>
      </c>
      <c r="V1472">
        <f>IF($AG1472="","",Config!$B$19)</f>
        <v/>
      </c>
      <c r="W1472">
        <f>IF($AG1472="","",INDEX('TMP Paste'!$C$2:$C$1601,$AG1472))</f>
        <v/>
      </c>
      <c r="X1472">
        <f>IF($AG1472="","",Config!$B$29)</f>
        <v/>
      </c>
      <c r="Y1472">
        <f>IF($AH1472="","",INDEX(Calc!$I$2:$I$1601,$AH1472)&amp;" - "&amp;INDEX(Calc!$D$2:$D$1601,$AH1472)&amp;" koli")</f>
        <v/>
      </c>
      <c r="Z1472">
        <f>IF($AG1472="","",Config!$B$21)</f>
        <v/>
      </c>
      <c r="AA1472">
        <f>IF($AG1472="","",Config!$B$22)</f>
        <v/>
      </c>
      <c r="AB1472">
        <f>IF($AH1472="","",INDEX(Calc!$D$2:$D$1601,$AH1472))</f>
        <v/>
      </c>
      <c r="AC1472">
        <f>IF($AH1472="","",INDEX(Calc!$G$2:$G$1601,$AH1472))</f>
        <v/>
      </c>
      <c r="AD1472">
        <f>IF($AG1472="","",Config!$B$23)</f>
        <v/>
      </c>
      <c r="AE1472">
        <f>IF($AG1472="","",Config!$B$28)</f>
        <v/>
      </c>
      <c r="AG1472">
        <f>IFERROR(MATCH(ROW()-1,Calc!$J$2:$J$1601,0),"")</f>
        <v/>
      </c>
      <c r="AH1472">
        <f>IFERROR(MATCH(ROW()-1,Calc!$K$2:$K$1601,0),"")</f>
        <v/>
      </c>
      <c r="AI1472">
        <f>IF($AG1472="","",SUMIF($AG$2:$AG1472,$AG1472,$AH$2:$AH1472))</f>
        <v/>
      </c>
      <c r="AJ1472">
        <f>IF('TMP Paste'!$F1472="","",IF('TMP Paste'!$B1472="",$AJ1471,'TMP Paste'!$B1472))</f>
        <v/>
      </c>
      <c r="AK1472">
        <f>IF('TMP Paste'!$F1472="","",N('TMP Paste'!$G1472))</f>
        <v/>
      </c>
      <c r="AL1472">
        <f>IF('TMP Paste'!$F1472="","",IF('TMP Paste'!$M1472="",$AL1471,'TMP Paste'!$M1472))</f>
        <v/>
      </c>
      <c r="AM1472">
        <f>IF('TMP Paste'!$F1472="","",IF('TMP Paste'!$N1472="",$AM1471,'TMP Paste'!$N1472))</f>
        <v/>
      </c>
      <c r="AN1472">
        <f>IF('TMP Paste'!$F1472="","",IF('TMP Paste'!$O1472="",$AN1471,'TMP Paste'!$O1472))</f>
        <v/>
      </c>
      <c r="AO1472">
        <f>IF('TMP Paste'!$F1472="","",IF('TMP Paste'!$P1472="",$AO1471,'TMP Paste'!$P1472))</f>
        <v/>
      </c>
      <c r="AP1472">
        <f>IF($AG1472="","",LEN($R1472))</f>
        <v/>
      </c>
      <c r="AQ1472">
        <f>IF($AG1472="","",TRIM(IF(COUNTIFS(Calc!$B$2:$B$1601,ROW()-1,Calc!$C$2:$C$1601,"&lt;1")&gt;0,"Ada PO tanpa Koli - cek TMP. ","")&amp;IF(LEN($R1472)&gt;500,"R &gt; 500 karakter.","")))</f>
        <v/>
      </c>
    </row>
    <row r="1473">
      <c r="A1473">
        <f>IF($AG1473="","",INDEX('TMP Paste'!$B$2:$B$1601,$AG1473))</f>
        <v/>
      </c>
      <c r="B1473">
        <f>IF($AG1473="","",Config!$B$14)</f>
        <v/>
      </c>
      <c r="C1473">
        <f>IF($AG1473="","",Config!$B$15)</f>
        <v/>
      </c>
      <c r="D1473">
        <f>IF($AG1473="","",INDEX('TMP Paste'!$B$2:$B$1601,$AG1473))</f>
        <v/>
      </c>
      <c r="E1473">
        <f>IF($AG1473="","",Config!$B$27)</f>
        <v/>
      </c>
      <c r="F1473">
        <f>IF($AG1473="","",Config!$B$9)</f>
        <v/>
      </c>
      <c r="G1473">
        <f>IF($AG1473="","",Config!$B$10)</f>
        <v/>
      </c>
      <c r="H1473">
        <f>IF($AG1473="","",Config!$B$11)</f>
        <v/>
      </c>
      <c r="I1473">
        <f>IF($AG1473="","",Config!$B$16)</f>
        <v/>
      </c>
      <c r="J1473">
        <f>IF($AG1473="","",INDEX('TMP Paste'!$A$2:$A$1601,$AG1473))</f>
        <v/>
      </c>
      <c r="K1473">
        <f>IF($AG1473="","",INDEX('TMP Paste'!$L$2:$L$1601,$AG1473))</f>
        <v/>
      </c>
      <c r="L1473">
        <f>IF($AG1473="","",INDEX('TMP Paste'!$I$2:$I$1601,$AG1473))</f>
        <v/>
      </c>
      <c r="M1473">
        <f>IF($AG1473="","",Config!$B$16)</f>
        <v/>
      </c>
      <c r="N1473">
        <f>IF($AG1473="","","")</f>
        <v/>
      </c>
      <c r="O1473">
        <f>IF($AG1473="","",INDEX('TMP Paste'!$K$2:$K$1601,$AG1473))</f>
        <v/>
      </c>
      <c r="P1473">
        <f>IF($AG1473="","","")</f>
        <v/>
      </c>
      <c r="Q1473">
        <f>IF($AG1473="","",INDEX('TMP Paste'!$J$2:$J$1601,$AG1473))</f>
        <v/>
      </c>
      <c r="R1473">
        <f>IF($AG1473="","",Config!$B$24)</f>
        <v/>
      </c>
      <c r="S1473">
        <f>IF($AG1473="","",TEXT(Config!$B$4,"yyyy-mm-dd"))</f>
        <v/>
      </c>
      <c r="T1473">
        <f>IF($AG1473="","",Config!$B$17)</f>
        <v/>
      </c>
      <c r="U1473">
        <f>IF($AG1473="","",Config!$B$18)</f>
        <v/>
      </c>
      <c r="V1473">
        <f>IF($AG1473="","",Config!$B$19)</f>
        <v/>
      </c>
      <c r="W1473">
        <f>IF($AG1473="","",INDEX('TMP Paste'!$C$2:$C$1601,$AG1473))</f>
        <v/>
      </c>
      <c r="X1473">
        <f>IF($AG1473="","",Config!$B$29)</f>
        <v/>
      </c>
      <c r="Y1473">
        <f>IF($AH1473="","",INDEX(Calc!$I$2:$I$1601,$AH1473)&amp;" - "&amp;INDEX(Calc!$D$2:$D$1601,$AH1473)&amp;" koli")</f>
        <v/>
      </c>
      <c r="Z1473">
        <f>IF($AG1473="","",Config!$B$21)</f>
        <v/>
      </c>
      <c r="AA1473">
        <f>IF($AG1473="","",Config!$B$22)</f>
        <v/>
      </c>
      <c r="AB1473">
        <f>IF($AH1473="","",INDEX(Calc!$D$2:$D$1601,$AH1473))</f>
        <v/>
      </c>
      <c r="AC1473">
        <f>IF($AH1473="","",INDEX(Calc!$G$2:$G$1601,$AH1473))</f>
        <v/>
      </c>
      <c r="AD1473">
        <f>IF($AG1473="","",Config!$B$23)</f>
        <v/>
      </c>
      <c r="AE1473">
        <f>IF($AG1473="","",Config!$B$28)</f>
        <v/>
      </c>
      <c r="AG1473">
        <f>IFERROR(MATCH(ROW()-1,Calc!$J$2:$J$1601,0),"")</f>
        <v/>
      </c>
      <c r="AH1473">
        <f>IFERROR(MATCH(ROW()-1,Calc!$K$2:$K$1601,0),"")</f>
        <v/>
      </c>
      <c r="AI1473">
        <f>IF($AG1473="","",SUMIF($AG$2:$AG1473,$AG1473,$AH$2:$AH1473))</f>
        <v/>
      </c>
      <c r="AJ1473">
        <f>IF('TMP Paste'!$F1473="","",IF('TMP Paste'!$B1473="",$AJ1472,'TMP Paste'!$B1473))</f>
        <v/>
      </c>
      <c r="AK1473">
        <f>IF('TMP Paste'!$F1473="","",N('TMP Paste'!$G1473))</f>
        <v/>
      </c>
      <c r="AL1473">
        <f>IF('TMP Paste'!$F1473="","",IF('TMP Paste'!$M1473="",$AL1472,'TMP Paste'!$M1473))</f>
        <v/>
      </c>
      <c r="AM1473">
        <f>IF('TMP Paste'!$F1473="","",IF('TMP Paste'!$N1473="",$AM1472,'TMP Paste'!$N1473))</f>
        <v/>
      </c>
      <c r="AN1473">
        <f>IF('TMP Paste'!$F1473="","",IF('TMP Paste'!$O1473="",$AN1472,'TMP Paste'!$O1473))</f>
        <v/>
      </c>
      <c r="AO1473">
        <f>IF('TMP Paste'!$F1473="","",IF('TMP Paste'!$P1473="",$AO1472,'TMP Paste'!$P1473))</f>
        <v/>
      </c>
      <c r="AP1473">
        <f>IF($AG1473="","",LEN($R1473))</f>
        <v/>
      </c>
      <c r="AQ1473">
        <f>IF($AG1473="","",TRIM(IF(COUNTIFS(Calc!$B$2:$B$1601,ROW()-1,Calc!$C$2:$C$1601,"&lt;1")&gt;0,"Ada PO tanpa Koli - cek TMP. ","")&amp;IF(LEN($R1473)&gt;500,"R &gt; 500 karakter.","")))</f>
        <v/>
      </c>
    </row>
    <row r="1474">
      <c r="A1474">
        <f>IF($AG1474="","",INDEX('TMP Paste'!$B$2:$B$1601,$AG1474))</f>
        <v/>
      </c>
      <c r="B1474">
        <f>IF($AG1474="","",Config!$B$14)</f>
        <v/>
      </c>
      <c r="C1474">
        <f>IF($AG1474="","",Config!$B$15)</f>
        <v/>
      </c>
      <c r="D1474">
        <f>IF($AG1474="","",INDEX('TMP Paste'!$B$2:$B$1601,$AG1474))</f>
        <v/>
      </c>
      <c r="E1474">
        <f>IF($AG1474="","",Config!$B$27)</f>
        <v/>
      </c>
      <c r="F1474">
        <f>IF($AG1474="","",Config!$B$9)</f>
        <v/>
      </c>
      <c r="G1474">
        <f>IF($AG1474="","",Config!$B$10)</f>
        <v/>
      </c>
      <c r="H1474">
        <f>IF($AG1474="","",Config!$B$11)</f>
        <v/>
      </c>
      <c r="I1474">
        <f>IF($AG1474="","",Config!$B$16)</f>
        <v/>
      </c>
      <c r="J1474">
        <f>IF($AG1474="","",INDEX('TMP Paste'!$A$2:$A$1601,$AG1474))</f>
        <v/>
      </c>
      <c r="K1474">
        <f>IF($AG1474="","",INDEX('TMP Paste'!$L$2:$L$1601,$AG1474))</f>
        <v/>
      </c>
      <c r="L1474">
        <f>IF($AG1474="","",INDEX('TMP Paste'!$I$2:$I$1601,$AG1474))</f>
        <v/>
      </c>
      <c r="M1474">
        <f>IF($AG1474="","",Config!$B$16)</f>
        <v/>
      </c>
      <c r="N1474">
        <f>IF($AG1474="","","")</f>
        <v/>
      </c>
      <c r="O1474">
        <f>IF($AG1474="","",INDEX('TMP Paste'!$K$2:$K$1601,$AG1474))</f>
        <v/>
      </c>
      <c r="P1474">
        <f>IF($AG1474="","","")</f>
        <v/>
      </c>
      <c r="Q1474">
        <f>IF($AG1474="","",INDEX('TMP Paste'!$J$2:$J$1601,$AG1474))</f>
        <v/>
      </c>
      <c r="R1474">
        <f>IF($AG1474="","",Config!$B$24)</f>
        <v/>
      </c>
      <c r="S1474">
        <f>IF($AG1474="","",TEXT(Config!$B$4,"yyyy-mm-dd"))</f>
        <v/>
      </c>
      <c r="T1474">
        <f>IF($AG1474="","",Config!$B$17)</f>
        <v/>
      </c>
      <c r="U1474">
        <f>IF($AG1474="","",Config!$B$18)</f>
        <v/>
      </c>
      <c r="V1474">
        <f>IF($AG1474="","",Config!$B$19)</f>
        <v/>
      </c>
      <c r="W1474">
        <f>IF($AG1474="","",INDEX('TMP Paste'!$C$2:$C$1601,$AG1474))</f>
        <v/>
      </c>
      <c r="X1474">
        <f>IF($AG1474="","",Config!$B$29)</f>
        <v/>
      </c>
      <c r="Y1474">
        <f>IF($AH1474="","",INDEX(Calc!$I$2:$I$1601,$AH1474)&amp;" - "&amp;INDEX(Calc!$D$2:$D$1601,$AH1474)&amp;" koli")</f>
        <v/>
      </c>
      <c r="Z1474">
        <f>IF($AG1474="","",Config!$B$21)</f>
        <v/>
      </c>
      <c r="AA1474">
        <f>IF($AG1474="","",Config!$B$22)</f>
        <v/>
      </c>
      <c r="AB1474">
        <f>IF($AH1474="","",INDEX(Calc!$D$2:$D$1601,$AH1474))</f>
        <v/>
      </c>
      <c r="AC1474">
        <f>IF($AH1474="","",INDEX(Calc!$G$2:$G$1601,$AH1474))</f>
        <v/>
      </c>
      <c r="AD1474">
        <f>IF($AG1474="","",Config!$B$23)</f>
        <v/>
      </c>
      <c r="AE1474">
        <f>IF($AG1474="","",Config!$B$28)</f>
        <v/>
      </c>
      <c r="AG1474">
        <f>IFERROR(MATCH(ROW()-1,Calc!$J$2:$J$1601,0),"")</f>
        <v/>
      </c>
      <c r="AH1474">
        <f>IFERROR(MATCH(ROW()-1,Calc!$K$2:$K$1601,0),"")</f>
        <v/>
      </c>
      <c r="AI1474">
        <f>IF($AG1474="","",SUMIF($AG$2:$AG1474,$AG1474,$AH$2:$AH1474))</f>
        <v/>
      </c>
      <c r="AJ1474">
        <f>IF('TMP Paste'!$F1474="","",IF('TMP Paste'!$B1474="",$AJ1473,'TMP Paste'!$B1474))</f>
        <v/>
      </c>
      <c r="AK1474">
        <f>IF('TMP Paste'!$F1474="","",N('TMP Paste'!$G1474))</f>
        <v/>
      </c>
      <c r="AL1474">
        <f>IF('TMP Paste'!$F1474="","",IF('TMP Paste'!$M1474="",$AL1473,'TMP Paste'!$M1474))</f>
        <v/>
      </c>
      <c r="AM1474">
        <f>IF('TMP Paste'!$F1474="","",IF('TMP Paste'!$N1474="",$AM1473,'TMP Paste'!$N1474))</f>
        <v/>
      </c>
      <c r="AN1474">
        <f>IF('TMP Paste'!$F1474="","",IF('TMP Paste'!$O1474="",$AN1473,'TMP Paste'!$O1474))</f>
        <v/>
      </c>
      <c r="AO1474">
        <f>IF('TMP Paste'!$F1474="","",IF('TMP Paste'!$P1474="",$AO1473,'TMP Paste'!$P1474))</f>
        <v/>
      </c>
      <c r="AP1474">
        <f>IF($AG1474="","",LEN($R1474))</f>
        <v/>
      </c>
      <c r="AQ1474">
        <f>IF($AG1474="","",TRIM(IF(COUNTIFS(Calc!$B$2:$B$1601,ROW()-1,Calc!$C$2:$C$1601,"&lt;1")&gt;0,"Ada PO tanpa Koli - cek TMP. ","")&amp;IF(LEN($R1474)&gt;500,"R &gt; 500 karakter.","")))</f>
        <v/>
      </c>
    </row>
    <row r="1475">
      <c r="A1475">
        <f>IF($AG1475="","",INDEX('TMP Paste'!$B$2:$B$1601,$AG1475))</f>
        <v/>
      </c>
      <c r="B1475">
        <f>IF($AG1475="","",Config!$B$14)</f>
        <v/>
      </c>
      <c r="C1475">
        <f>IF($AG1475="","",Config!$B$15)</f>
        <v/>
      </c>
      <c r="D1475">
        <f>IF($AG1475="","",INDEX('TMP Paste'!$B$2:$B$1601,$AG1475))</f>
        <v/>
      </c>
      <c r="E1475">
        <f>IF($AG1475="","",Config!$B$27)</f>
        <v/>
      </c>
      <c r="F1475">
        <f>IF($AG1475="","",Config!$B$9)</f>
        <v/>
      </c>
      <c r="G1475">
        <f>IF($AG1475="","",Config!$B$10)</f>
        <v/>
      </c>
      <c r="H1475">
        <f>IF($AG1475="","",Config!$B$11)</f>
        <v/>
      </c>
      <c r="I1475">
        <f>IF($AG1475="","",Config!$B$16)</f>
        <v/>
      </c>
      <c r="J1475">
        <f>IF($AG1475="","",INDEX('TMP Paste'!$A$2:$A$1601,$AG1475))</f>
        <v/>
      </c>
      <c r="K1475">
        <f>IF($AG1475="","",INDEX('TMP Paste'!$L$2:$L$1601,$AG1475))</f>
        <v/>
      </c>
      <c r="L1475">
        <f>IF($AG1475="","",INDEX('TMP Paste'!$I$2:$I$1601,$AG1475))</f>
        <v/>
      </c>
      <c r="M1475">
        <f>IF($AG1475="","",Config!$B$16)</f>
        <v/>
      </c>
      <c r="N1475">
        <f>IF($AG1475="","","")</f>
        <v/>
      </c>
      <c r="O1475">
        <f>IF($AG1475="","",INDEX('TMP Paste'!$K$2:$K$1601,$AG1475))</f>
        <v/>
      </c>
      <c r="P1475">
        <f>IF($AG1475="","","")</f>
        <v/>
      </c>
      <c r="Q1475">
        <f>IF($AG1475="","",INDEX('TMP Paste'!$J$2:$J$1601,$AG1475))</f>
        <v/>
      </c>
      <c r="R1475">
        <f>IF($AG1475="","",Config!$B$24)</f>
        <v/>
      </c>
      <c r="S1475">
        <f>IF($AG1475="","",TEXT(Config!$B$4,"yyyy-mm-dd"))</f>
        <v/>
      </c>
      <c r="T1475">
        <f>IF($AG1475="","",Config!$B$17)</f>
        <v/>
      </c>
      <c r="U1475">
        <f>IF($AG1475="","",Config!$B$18)</f>
        <v/>
      </c>
      <c r="V1475">
        <f>IF($AG1475="","",Config!$B$19)</f>
        <v/>
      </c>
      <c r="W1475">
        <f>IF($AG1475="","",INDEX('TMP Paste'!$C$2:$C$1601,$AG1475))</f>
        <v/>
      </c>
      <c r="X1475">
        <f>IF($AG1475="","",Config!$B$29)</f>
        <v/>
      </c>
      <c r="Y1475">
        <f>IF($AH1475="","",INDEX(Calc!$I$2:$I$1601,$AH1475)&amp;" - "&amp;INDEX(Calc!$D$2:$D$1601,$AH1475)&amp;" koli")</f>
        <v/>
      </c>
      <c r="Z1475">
        <f>IF($AG1475="","",Config!$B$21)</f>
        <v/>
      </c>
      <c r="AA1475">
        <f>IF($AG1475="","",Config!$B$22)</f>
        <v/>
      </c>
      <c r="AB1475">
        <f>IF($AH1475="","",INDEX(Calc!$D$2:$D$1601,$AH1475))</f>
        <v/>
      </c>
      <c r="AC1475">
        <f>IF($AH1475="","",INDEX(Calc!$G$2:$G$1601,$AH1475))</f>
        <v/>
      </c>
      <c r="AD1475">
        <f>IF($AG1475="","",Config!$B$23)</f>
        <v/>
      </c>
      <c r="AE1475">
        <f>IF($AG1475="","",Config!$B$28)</f>
        <v/>
      </c>
      <c r="AG1475">
        <f>IFERROR(MATCH(ROW()-1,Calc!$J$2:$J$1601,0),"")</f>
        <v/>
      </c>
      <c r="AH1475">
        <f>IFERROR(MATCH(ROW()-1,Calc!$K$2:$K$1601,0),"")</f>
        <v/>
      </c>
      <c r="AI1475">
        <f>IF($AG1475="","",SUMIF($AG$2:$AG1475,$AG1475,$AH$2:$AH1475))</f>
        <v/>
      </c>
      <c r="AJ1475">
        <f>IF('TMP Paste'!$F1475="","",IF('TMP Paste'!$B1475="",$AJ1474,'TMP Paste'!$B1475))</f>
        <v/>
      </c>
      <c r="AK1475">
        <f>IF('TMP Paste'!$F1475="","",N('TMP Paste'!$G1475))</f>
        <v/>
      </c>
      <c r="AL1475">
        <f>IF('TMP Paste'!$F1475="","",IF('TMP Paste'!$M1475="",$AL1474,'TMP Paste'!$M1475))</f>
        <v/>
      </c>
      <c r="AM1475">
        <f>IF('TMP Paste'!$F1475="","",IF('TMP Paste'!$N1475="",$AM1474,'TMP Paste'!$N1475))</f>
        <v/>
      </c>
      <c r="AN1475">
        <f>IF('TMP Paste'!$F1475="","",IF('TMP Paste'!$O1475="",$AN1474,'TMP Paste'!$O1475))</f>
        <v/>
      </c>
      <c r="AO1475">
        <f>IF('TMP Paste'!$F1475="","",IF('TMP Paste'!$P1475="",$AO1474,'TMP Paste'!$P1475))</f>
        <v/>
      </c>
      <c r="AP1475">
        <f>IF($AG1475="","",LEN($R1475))</f>
        <v/>
      </c>
      <c r="AQ1475">
        <f>IF($AG1475="","",TRIM(IF(COUNTIFS(Calc!$B$2:$B$1601,ROW()-1,Calc!$C$2:$C$1601,"&lt;1")&gt;0,"Ada PO tanpa Koli - cek TMP. ","")&amp;IF(LEN($R1475)&gt;500,"R &gt; 500 karakter.","")))</f>
        <v/>
      </c>
    </row>
    <row r="1476">
      <c r="A1476">
        <f>IF($AG1476="","",INDEX('TMP Paste'!$B$2:$B$1601,$AG1476))</f>
        <v/>
      </c>
      <c r="B1476">
        <f>IF($AG1476="","",Config!$B$14)</f>
        <v/>
      </c>
      <c r="C1476">
        <f>IF($AG1476="","",Config!$B$15)</f>
        <v/>
      </c>
      <c r="D1476">
        <f>IF($AG1476="","",INDEX('TMP Paste'!$B$2:$B$1601,$AG1476))</f>
        <v/>
      </c>
      <c r="E1476">
        <f>IF($AG1476="","",Config!$B$27)</f>
        <v/>
      </c>
      <c r="F1476">
        <f>IF($AG1476="","",Config!$B$9)</f>
        <v/>
      </c>
      <c r="G1476">
        <f>IF($AG1476="","",Config!$B$10)</f>
        <v/>
      </c>
      <c r="H1476">
        <f>IF($AG1476="","",Config!$B$11)</f>
        <v/>
      </c>
      <c r="I1476">
        <f>IF($AG1476="","",Config!$B$16)</f>
        <v/>
      </c>
      <c r="J1476">
        <f>IF($AG1476="","",INDEX('TMP Paste'!$A$2:$A$1601,$AG1476))</f>
        <v/>
      </c>
      <c r="K1476">
        <f>IF($AG1476="","",INDEX('TMP Paste'!$L$2:$L$1601,$AG1476))</f>
        <v/>
      </c>
      <c r="L1476">
        <f>IF($AG1476="","",INDEX('TMP Paste'!$I$2:$I$1601,$AG1476))</f>
        <v/>
      </c>
      <c r="M1476">
        <f>IF($AG1476="","",Config!$B$16)</f>
        <v/>
      </c>
      <c r="N1476">
        <f>IF($AG1476="","","")</f>
        <v/>
      </c>
      <c r="O1476">
        <f>IF($AG1476="","",INDEX('TMP Paste'!$K$2:$K$1601,$AG1476))</f>
        <v/>
      </c>
      <c r="P1476">
        <f>IF($AG1476="","","")</f>
        <v/>
      </c>
      <c r="Q1476">
        <f>IF($AG1476="","",INDEX('TMP Paste'!$J$2:$J$1601,$AG1476))</f>
        <v/>
      </c>
      <c r="R1476">
        <f>IF($AG1476="","",Config!$B$24)</f>
        <v/>
      </c>
      <c r="S1476">
        <f>IF($AG1476="","",TEXT(Config!$B$4,"yyyy-mm-dd"))</f>
        <v/>
      </c>
      <c r="T1476">
        <f>IF($AG1476="","",Config!$B$17)</f>
        <v/>
      </c>
      <c r="U1476">
        <f>IF($AG1476="","",Config!$B$18)</f>
        <v/>
      </c>
      <c r="V1476">
        <f>IF($AG1476="","",Config!$B$19)</f>
        <v/>
      </c>
      <c r="W1476">
        <f>IF($AG1476="","",INDEX('TMP Paste'!$C$2:$C$1601,$AG1476))</f>
        <v/>
      </c>
      <c r="X1476">
        <f>IF($AG1476="","",Config!$B$29)</f>
        <v/>
      </c>
      <c r="Y1476">
        <f>IF($AH1476="","",INDEX(Calc!$I$2:$I$1601,$AH1476)&amp;" - "&amp;INDEX(Calc!$D$2:$D$1601,$AH1476)&amp;" koli")</f>
        <v/>
      </c>
      <c r="Z1476">
        <f>IF($AG1476="","",Config!$B$21)</f>
        <v/>
      </c>
      <c r="AA1476">
        <f>IF($AG1476="","",Config!$B$22)</f>
        <v/>
      </c>
      <c r="AB1476">
        <f>IF($AH1476="","",INDEX(Calc!$D$2:$D$1601,$AH1476))</f>
        <v/>
      </c>
      <c r="AC1476">
        <f>IF($AH1476="","",INDEX(Calc!$G$2:$G$1601,$AH1476))</f>
        <v/>
      </c>
      <c r="AD1476">
        <f>IF($AG1476="","",Config!$B$23)</f>
        <v/>
      </c>
      <c r="AE1476">
        <f>IF($AG1476="","",Config!$B$28)</f>
        <v/>
      </c>
      <c r="AG1476">
        <f>IFERROR(MATCH(ROW()-1,Calc!$J$2:$J$1601,0),"")</f>
        <v/>
      </c>
      <c r="AH1476">
        <f>IFERROR(MATCH(ROW()-1,Calc!$K$2:$K$1601,0),"")</f>
        <v/>
      </c>
      <c r="AI1476">
        <f>IF($AG1476="","",SUMIF($AG$2:$AG1476,$AG1476,$AH$2:$AH1476))</f>
        <v/>
      </c>
      <c r="AJ1476">
        <f>IF('TMP Paste'!$F1476="","",IF('TMP Paste'!$B1476="",$AJ1475,'TMP Paste'!$B1476))</f>
        <v/>
      </c>
      <c r="AK1476">
        <f>IF('TMP Paste'!$F1476="","",N('TMP Paste'!$G1476))</f>
        <v/>
      </c>
      <c r="AL1476">
        <f>IF('TMP Paste'!$F1476="","",IF('TMP Paste'!$M1476="",$AL1475,'TMP Paste'!$M1476))</f>
        <v/>
      </c>
      <c r="AM1476">
        <f>IF('TMP Paste'!$F1476="","",IF('TMP Paste'!$N1476="",$AM1475,'TMP Paste'!$N1476))</f>
        <v/>
      </c>
      <c r="AN1476">
        <f>IF('TMP Paste'!$F1476="","",IF('TMP Paste'!$O1476="",$AN1475,'TMP Paste'!$O1476))</f>
        <v/>
      </c>
      <c r="AO1476">
        <f>IF('TMP Paste'!$F1476="","",IF('TMP Paste'!$P1476="",$AO1475,'TMP Paste'!$P1476))</f>
        <v/>
      </c>
      <c r="AP1476">
        <f>IF($AG1476="","",LEN($R1476))</f>
        <v/>
      </c>
      <c r="AQ1476">
        <f>IF($AG1476="","",TRIM(IF(COUNTIFS(Calc!$B$2:$B$1601,ROW()-1,Calc!$C$2:$C$1601,"&lt;1")&gt;0,"Ada PO tanpa Koli - cek TMP. ","")&amp;IF(LEN($R1476)&gt;500,"R &gt; 500 karakter.","")))</f>
        <v/>
      </c>
    </row>
    <row r="1477">
      <c r="A1477">
        <f>IF($AG1477="","",INDEX('TMP Paste'!$B$2:$B$1601,$AG1477))</f>
        <v/>
      </c>
      <c r="B1477">
        <f>IF($AG1477="","",Config!$B$14)</f>
        <v/>
      </c>
      <c r="C1477">
        <f>IF($AG1477="","",Config!$B$15)</f>
        <v/>
      </c>
      <c r="D1477">
        <f>IF($AG1477="","",INDEX('TMP Paste'!$B$2:$B$1601,$AG1477))</f>
        <v/>
      </c>
      <c r="E1477">
        <f>IF($AG1477="","",Config!$B$27)</f>
        <v/>
      </c>
      <c r="F1477">
        <f>IF($AG1477="","",Config!$B$9)</f>
        <v/>
      </c>
      <c r="G1477">
        <f>IF($AG1477="","",Config!$B$10)</f>
        <v/>
      </c>
      <c r="H1477">
        <f>IF($AG1477="","",Config!$B$11)</f>
        <v/>
      </c>
      <c r="I1477">
        <f>IF($AG1477="","",Config!$B$16)</f>
        <v/>
      </c>
      <c r="J1477">
        <f>IF($AG1477="","",INDEX('TMP Paste'!$A$2:$A$1601,$AG1477))</f>
        <v/>
      </c>
      <c r="K1477">
        <f>IF($AG1477="","",INDEX('TMP Paste'!$L$2:$L$1601,$AG1477))</f>
        <v/>
      </c>
      <c r="L1477">
        <f>IF($AG1477="","",INDEX('TMP Paste'!$I$2:$I$1601,$AG1477))</f>
        <v/>
      </c>
      <c r="M1477">
        <f>IF($AG1477="","",Config!$B$16)</f>
        <v/>
      </c>
      <c r="N1477">
        <f>IF($AG1477="","","")</f>
        <v/>
      </c>
      <c r="O1477">
        <f>IF($AG1477="","",INDEX('TMP Paste'!$K$2:$K$1601,$AG1477))</f>
        <v/>
      </c>
      <c r="P1477">
        <f>IF($AG1477="","","")</f>
        <v/>
      </c>
      <c r="Q1477">
        <f>IF($AG1477="","",INDEX('TMP Paste'!$J$2:$J$1601,$AG1477))</f>
        <v/>
      </c>
      <c r="R1477">
        <f>IF($AG1477="","",Config!$B$24)</f>
        <v/>
      </c>
      <c r="S1477">
        <f>IF($AG1477="","",TEXT(Config!$B$4,"yyyy-mm-dd"))</f>
        <v/>
      </c>
      <c r="T1477">
        <f>IF($AG1477="","",Config!$B$17)</f>
        <v/>
      </c>
      <c r="U1477">
        <f>IF($AG1477="","",Config!$B$18)</f>
        <v/>
      </c>
      <c r="V1477">
        <f>IF($AG1477="","",Config!$B$19)</f>
        <v/>
      </c>
      <c r="W1477">
        <f>IF($AG1477="","",INDEX('TMP Paste'!$C$2:$C$1601,$AG1477))</f>
        <v/>
      </c>
      <c r="X1477">
        <f>IF($AG1477="","",Config!$B$29)</f>
        <v/>
      </c>
      <c r="Y1477">
        <f>IF($AH1477="","",INDEX(Calc!$I$2:$I$1601,$AH1477)&amp;" - "&amp;INDEX(Calc!$D$2:$D$1601,$AH1477)&amp;" koli")</f>
        <v/>
      </c>
      <c r="Z1477">
        <f>IF($AG1477="","",Config!$B$21)</f>
        <v/>
      </c>
      <c r="AA1477">
        <f>IF($AG1477="","",Config!$B$22)</f>
        <v/>
      </c>
      <c r="AB1477">
        <f>IF($AH1477="","",INDEX(Calc!$D$2:$D$1601,$AH1477))</f>
        <v/>
      </c>
      <c r="AC1477">
        <f>IF($AH1477="","",INDEX(Calc!$G$2:$G$1601,$AH1477))</f>
        <v/>
      </c>
      <c r="AD1477">
        <f>IF($AG1477="","",Config!$B$23)</f>
        <v/>
      </c>
      <c r="AE1477">
        <f>IF($AG1477="","",Config!$B$28)</f>
        <v/>
      </c>
      <c r="AG1477">
        <f>IFERROR(MATCH(ROW()-1,Calc!$J$2:$J$1601,0),"")</f>
        <v/>
      </c>
      <c r="AH1477">
        <f>IFERROR(MATCH(ROW()-1,Calc!$K$2:$K$1601,0),"")</f>
        <v/>
      </c>
      <c r="AI1477">
        <f>IF($AG1477="","",SUMIF($AG$2:$AG1477,$AG1477,$AH$2:$AH1477))</f>
        <v/>
      </c>
      <c r="AJ1477">
        <f>IF('TMP Paste'!$F1477="","",IF('TMP Paste'!$B1477="",$AJ1476,'TMP Paste'!$B1477))</f>
        <v/>
      </c>
      <c r="AK1477">
        <f>IF('TMP Paste'!$F1477="","",N('TMP Paste'!$G1477))</f>
        <v/>
      </c>
      <c r="AL1477">
        <f>IF('TMP Paste'!$F1477="","",IF('TMP Paste'!$M1477="",$AL1476,'TMP Paste'!$M1477))</f>
        <v/>
      </c>
      <c r="AM1477">
        <f>IF('TMP Paste'!$F1477="","",IF('TMP Paste'!$N1477="",$AM1476,'TMP Paste'!$N1477))</f>
        <v/>
      </c>
      <c r="AN1477">
        <f>IF('TMP Paste'!$F1477="","",IF('TMP Paste'!$O1477="",$AN1476,'TMP Paste'!$O1477))</f>
        <v/>
      </c>
      <c r="AO1477">
        <f>IF('TMP Paste'!$F1477="","",IF('TMP Paste'!$P1477="",$AO1476,'TMP Paste'!$P1477))</f>
        <v/>
      </c>
      <c r="AP1477">
        <f>IF($AG1477="","",LEN($R1477))</f>
        <v/>
      </c>
      <c r="AQ1477">
        <f>IF($AG1477="","",TRIM(IF(COUNTIFS(Calc!$B$2:$B$1601,ROW()-1,Calc!$C$2:$C$1601,"&lt;1")&gt;0,"Ada PO tanpa Koli - cek TMP. ","")&amp;IF(LEN($R1477)&gt;500,"R &gt; 500 karakter.","")))</f>
        <v/>
      </c>
    </row>
    <row r="1478">
      <c r="A1478">
        <f>IF($AG1478="","",INDEX('TMP Paste'!$B$2:$B$1601,$AG1478))</f>
        <v/>
      </c>
      <c r="B1478">
        <f>IF($AG1478="","",Config!$B$14)</f>
        <v/>
      </c>
      <c r="C1478">
        <f>IF($AG1478="","",Config!$B$15)</f>
        <v/>
      </c>
      <c r="D1478">
        <f>IF($AG1478="","",INDEX('TMP Paste'!$B$2:$B$1601,$AG1478))</f>
        <v/>
      </c>
      <c r="E1478">
        <f>IF($AG1478="","",Config!$B$27)</f>
        <v/>
      </c>
      <c r="F1478">
        <f>IF($AG1478="","",Config!$B$9)</f>
        <v/>
      </c>
      <c r="G1478">
        <f>IF($AG1478="","",Config!$B$10)</f>
        <v/>
      </c>
      <c r="H1478">
        <f>IF($AG1478="","",Config!$B$11)</f>
        <v/>
      </c>
      <c r="I1478">
        <f>IF($AG1478="","",Config!$B$16)</f>
        <v/>
      </c>
      <c r="J1478">
        <f>IF($AG1478="","",INDEX('TMP Paste'!$A$2:$A$1601,$AG1478))</f>
        <v/>
      </c>
      <c r="K1478">
        <f>IF($AG1478="","",INDEX('TMP Paste'!$L$2:$L$1601,$AG1478))</f>
        <v/>
      </c>
      <c r="L1478">
        <f>IF($AG1478="","",INDEX('TMP Paste'!$I$2:$I$1601,$AG1478))</f>
        <v/>
      </c>
      <c r="M1478">
        <f>IF($AG1478="","",Config!$B$16)</f>
        <v/>
      </c>
      <c r="N1478">
        <f>IF($AG1478="","","")</f>
        <v/>
      </c>
      <c r="O1478">
        <f>IF($AG1478="","",INDEX('TMP Paste'!$K$2:$K$1601,$AG1478))</f>
        <v/>
      </c>
      <c r="P1478">
        <f>IF($AG1478="","","")</f>
        <v/>
      </c>
      <c r="Q1478">
        <f>IF($AG1478="","",INDEX('TMP Paste'!$J$2:$J$1601,$AG1478))</f>
        <v/>
      </c>
      <c r="R1478">
        <f>IF($AG1478="","",Config!$B$24)</f>
        <v/>
      </c>
      <c r="S1478">
        <f>IF($AG1478="","",TEXT(Config!$B$4,"yyyy-mm-dd"))</f>
        <v/>
      </c>
      <c r="T1478">
        <f>IF($AG1478="","",Config!$B$17)</f>
        <v/>
      </c>
      <c r="U1478">
        <f>IF($AG1478="","",Config!$B$18)</f>
        <v/>
      </c>
      <c r="V1478">
        <f>IF($AG1478="","",Config!$B$19)</f>
        <v/>
      </c>
      <c r="W1478">
        <f>IF($AG1478="","",INDEX('TMP Paste'!$C$2:$C$1601,$AG1478))</f>
        <v/>
      </c>
      <c r="X1478">
        <f>IF($AG1478="","",Config!$B$29)</f>
        <v/>
      </c>
      <c r="Y1478">
        <f>IF($AH1478="","",INDEX(Calc!$I$2:$I$1601,$AH1478)&amp;" - "&amp;INDEX(Calc!$D$2:$D$1601,$AH1478)&amp;" koli")</f>
        <v/>
      </c>
      <c r="Z1478">
        <f>IF($AG1478="","",Config!$B$21)</f>
        <v/>
      </c>
      <c r="AA1478">
        <f>IF($AG1478="","",Config!$B$22)</f>
        <v/>
      </c>
      <c r="AB1478">
        <f>IF($AH1478="","",INDEX(Calc!$D$2:$D$1601,$AH1478))</f>
        <v/>
      </c>
      <c r="AC1478">
        <f>IF($AH1478="","",INDEX(Calc!$G$2:$G$1601,$AH1478))</f>
        <v/>
      </c>
      <c r="AD1478">
        <f>IF($AG1478="","",Config!$B$23)</f>
        <v/>
      </c>
      <c r="AE1478">
        <f>IF($AG1478="","",Config!$B$28)</f>
        <v/>
      </c>
      <c r="AG1478">
        <f>IFERROR(MATCH(ROW()-1,Calc!$J$2:$J$1601,0),"")</f>
        <v/>
      </c>
      <c r="AH1478">
        <f>IFERROR(MATCH(ROW()-1,Calc!$K$2:$K$1601,0),"")</f>
        <v/>
      </c>
      <c r="AI1478">
        <f>IF($AG1478="","",SUMIF($AG$2:$AG1478,$AG1478,$AH$2:$AH1478))</f>
        <v/>
      </c>
      <c r="AJ1478">
        <f>IF('TMP Paste'!$F1478="","",IF('TMP Paste'!$B1478="",$AJ1477,'TMP Paste'!$B1478))</f>
        <v/>
      </c>
      <c r="AK1478">
        <f>IF('TMP Paste'!$F1478="","",N('TMP Paste'!$G1478))</f>
        <v/>
      </c>
      <c r="AL1478">
        <f>IF('TMP Paste'!$F1478="","",IF('TMP Paste'!$M1478="",$AL1477,'TMP Paste'!$M1478))</f>
        <v/>
      </c>
      <c r="AM1478">
        <f>IF('TMP Paste'!$F1478="","",IF('TMP Paste'!$N1478="",$AM1477,'TMP Paste'!$N1478))</f>
        <v/>
      </c>
      <c r="AN1478">
        <f>IF('TMP Paste'!$F1478="","",IF('TMP Paste'!$O1478="",$AN1477,'TMP Paste'!$O1478))</f>
        <v/>
      </c>
      <c r="AO1478">
        <f>IF('TMP Paste'!$F1478="","",IF('TMP Paste'!$P1478="",$AO1477,'TMP Paste'!$P1478))</f>
        <v/>
      </c>
      <c r="AP1478">
        <f>IF($AG1478="","",LEN($R1478))</f>
        <v/>
      </c>
      <c r="AQ1478">
        <f>IF($AG1478="","",TRIM(IF(COUNTIFS(Calc!$B$2:$B$1601,ROW()-1,Calc!$C$2:$C$1601,"&lt;1")&gt;0,"Ada PO tanpa Koli - cek TMP. ","")&amp;IF(LEN($R1478)&gt;500,"R &gt; 500 karakter.","")))</f>
        <v/>
      </c>
    </row>
    <row r="1479">
      <c r="A1479">
        <f>IF($AG1479="","",INDEX('TMP Paste'!$B$2:$B$1601,$AG1479))</f>
        <v/>
      </c>
      <c r="B1479">
        <f>IF($AG1479="","",Config!$B$14)</f>
        <v/>
      </c>
      <c r="C1479">
        <f>IF($AG1479="","",Config!$B$15)</f>
        <v/>
      </c>
      <c r="D1479">
        <f>IF($AG1479="","",INDEX('TMP Paste'!$B$2:$B$1601,$AG1479))</f>
        <v/>
      </c>
      <c r="E1479">
        <f>IF($AG1479="","",Config!$B$27)</f>
        <v/>
      </c>
      <c r="F1479">
        <f>IF($AG1479="","",Config!$B$9)</f>
        <v/>
      </c>
      <c r="G1479">
        <f>IF($AG1479="","",Config!$B$10)</f>
        <v/>
      </c>
      <c r="H1479">
        <f>IF($AG1479="","",Config!$B$11)</f>
        <v/>
      </c>
      <c r="I1479">
        <f>IF($AG1479="","",Config!$B$16)</f>
        <v/>
      </c>
      <c r="J1479">
        <f>IF($AG1479="","",INDEX('TMP Paste'!$A$2:$A$1601,$AG1479))</f>
        <v/>
      </c>
      <c r="K1479">
        <f>IF($AG1479="","",INDEX('TMP Paste'!$L$2:$L$1601,$AG1479))</f>
        <v/>
      </c>
      <c r="L1479">
        <f>IF($AG1479="","",INDEX('TMP Paste'!$I$2:$I$1601,$AG1479))</f>
        <v/>
      </c>
      <c r="M1479">
        <f>IF($AG1479="","",Config!$B$16)</f>
        <v/>
      </c>
      <c r="N1479">
        <f>IF($AG1479="","","")</f>
        <v/>
      </c>
      <c r="O1479">
        <f>IF($AG1479="","",INDEX('TMP Paste'!$K$2:$K$1601,$AG1479))</f>
        <v/>
      </c>
      <c r="P1479">
        <f>IF($AG1479="","","")</f>
        <v/>
      </c>
      <c r="Q1479">
        <f>IF($AG1479="","",INDEX('TMP Paste'!$J$2:$J$1601,$AG1479))</f>
        <v/>
      </c>
      <c r="R1479">
        <f>IF($AG1479="","",Config!$B$24)</f>
        <v/>
      </c>
      <c r="S1479">
        <f>IF($AG1479="","",TEXT(Config!$B$4,"yyyy-mm-dd"))</f>
        <v/>
      </c>
      <c r="T1479">
        <f>IF($AG1479="","",Config!$B$17)</f>
        <v/>
      </c>
      <c r="U1479">
        <f>IF($AG1479="","",Config!$B$18)</f>
        <v/>
      </c>
      <c r="V1479">
        <f>IF($AG1479="","",Config!$B$19)</f>
        <v/>
      </c>
      <c r="W1479">
        <f>IF($AG1479="","",INDEX('TMP Paste'!$C$2:$C$1601,$AG1479))</f>
        <v/>
      </c>
      <c r="X1479">
        <f>IF($AG1479="","",Config!$B$29)</f>
        <v/>
      </c>
      <c r="Y1479">
        <f>IF($AH1479="","",INDEX(Calc!$I$2:$I$1601,$AH1479)&amp;" - "&amp;INDEX(Calc!$D$2:$D$1601,$AH1479)&amp;" koli")</f>
        <v/>
      </c>
      <c r="Z1479">
        <f>IF($AG1479="","",Config!$B$21)</f>
        <v/>
      </c>
      <c r="AA1479">
        <f>IF($AG1479="","",Config!$B$22)</f>
        <v/>
      </c>
      <c r="AB1479">
        <f>IF($AH1479="","",INDEX(Calc!$D$2:$D$1601,$AH1479))</f>
        <v/>
      </c>
      <c r="AC1479">
        <f>IF($AH1479="","",INDEX(Calc!$G$2:$G$1601,$AH1479))</f>
        <v/>
      </c>
      <c r="AD1479">
        <f>IF($AG1479="","",Config!$B$23)</f>
        <v/>
      </c>
      <c r="AE1479">
        <f>IF($AG1479="","",Config!$B$28)</f>
        <v/>
      </c>
      <c r="AG1479">
        <f>IFERROR(MATCH(ROW()-1,Calc!$J$2:$J$1601,0),"")</f>
        <v/>
      </c>
      <c r="AH1479">
        <f>IFERROR(MATCH(ROW()-1,Calc!$K$2:$K$1601,0),"")</f>
        <v/>
      </c>
      <c r="AI1479">
        <f>IF($AG1479="","",SUMIF($AG$2:$AG1479,$AG1479,$AH$2:$AH1479))</f>
        <v/>
      </c>
      <c r="AJ1479">
        <f>IF('TMP Paste'!$F1479="","",IF('TMP Paste'!$B1479="",$AJ1478,'TMP Paste'!$B1479))</f>
        <v/>
      </c>
      <c r="AK1479">
        <f>IF('TMP Paste'!$F1479="","",N('TMP Paste'!$G1479))</f>
        <v/>
      </c>
      <c r="AL1479">
        <f>IF('TMP Paste'!$F1479="","",IF('TMP Paste'!$M1479="",$AL1478,'TMP Paste'!$M1479))</f>
        <v/>
      </c>
      <c r="AM1479">
        <f>IF('TMP Paste'!$F1479="","",IF('TMP Paste'!$N1479="",$AM1478,'TMP Paste'!$N1479))</f>
        <v/>
      </c>
      <c r="AN1479">
        <f>IF('TMP Paste'!$F1479="","",IF('TMP Paste'!$O1479="",$AN1478,'TMP Paste'!$O1479))</f>
        <v/>
      </c>
      <c r="AO1479">
        <f>IF('TMP Paste'!$F1479="","",IF('TMP Paste'!$P1479="",$AO1478,'TMP Paste'!$P1479))</f>
        <v/>
      </c>
      <c r="AP1479">
        <f>IF($AG1479="","",LEN($R1479))</f>
        <v/>
      </c>
      <c r="AQ1479">
        <f>IF($AG1479="","",TRIM(IF(COUNTIFS(Calc!$B$2:$B$1601,ROW()-1,Calc!$C$2:$C$1601,"&lt;1")&gt;0,"Ada PO tanpa Koli - cek TMP. ","")&amp;IF(LEN($R1479)&gt;500,"R &gt; 500 karakter.","")))</f>
        <v/>
      </c>
    </row>
    <row r="1480">
      <c r="A1480">
        <f>IF($AG1480="","",INDEX('TMP Paste'!$B$2:$B$1601,$AG1480))</f>
        <v/>
      </c>
      <c r="B1480">
        <f>IF($AG1480="","",Config!$B$14)</f>
        <v/>
      </c>
      <c r="C1480">
        <f>IF($AG1480="","",Config!$B$15)</f>
        <v/>
      </c>
      <c r="D1480">
        <f>IF($AG1480="","",INDEX('TMP Paste'!$B$2:$B$1601,$AG1480))</f>
        <v/>
      </c>
      <c r="E1480">
        <f>IF($AG1480="","",Config!$B$27)</f>
        <v/>
      </c>
      <c r="F1480">
        <f>IF($AG1480="","",Config!$B$9)</f>
        <v/>
      </c>
      <c r="G1480">
        <f>IF($AG1480="","",Config!$B$10)</f>
        <v/>
      </c>
      <c r="H1480">
        <f>IF($AG1480="","",Config!$B$11)</f>
        <v/>
      </c>
      <c r="I1480">
        <f>IF($AG1480="","",Config!$B$16)</f>
        <v/>
      </c>
      <c r="J1480">
        <f>IF($AG1480="","",INDEX('TMP Paste'!$A$2:$A$1601,$AG1480))</f>
        <v/>
      </c>
      <c r="K1480">
        <f>IF($AG1480="","",INDEX('TMP Paste'!$L$2:$L$1601,$AG1480))</f>
        <v/>
      </c>
      <c r="L1480">
        <f>IF($AG1480="","",INDEX('TMP Paste'!$I$2:$I$1601,$AG1480))</f>
        <v/>
      </c>
      <c r="M1480">
        <f>IF($AG1480="","",Config!$B$16)</f>
        <v/>
      </c>
      <c r="N1480">
        <f>IF($AG1480="","","")</f>
        <v/>
      </c>
      <c r="O1480">
        <f>IF($AG1480="","",INDEX('TMP Paste'!$K$2:$K$1601,$AG1480))</f>
        <v/>
      </c>
      <c r="P1480">
        <f>IF($AG1480="","","")</f>
        <v/>
      </c>
      <c r="Q1480">
        <f>IF($AG1480="","",INDEX('TMP Paste'!$J$2:$J$1601,$AG1480))</f>
        <v/>
      </c>
      <c r="R1480">
        <f>IF($AG1480="","",Config!$B$24)</f>
        <v/>
      </c>
      <c r="S1480">
        <f>IF($AG1480="","",TEXT(Config!$B$4,"yyyy-mm-dd"))</f>
        <v/>
      </c>
      <c r="T1480">
        <f>IF($AG1480="","",Config!$B$17)</f>
        <v/>
      </c>
      <c r="U1480">
        <f>IF($AG1480="","",Config!$B$18)</f>
        <v/>
      </c>
      <c r="V1480">
        <f>IF($AG1480="","",Config!$B$19)</f>
        <v/>
      </c>
      <c r="W1480">
        <f>IF($AG1480="","",INDEX('TMP Paste'!$C$2:$C$1601,$AG1480))</f>
        <v/>
      </c>
      <c r="X1480">
        <f>IF($AG1480="","",Config!$B$29)</f>
        <v/>
      </c>
      <c r="Y1480">
        <f>IF($AH1480="","",INDEX(Calc!$I$2:$I$1601,$AH1480)&amp;" - "&amp;INDEX(Calc!$D$2:$D$1601,$AH1480)&amp;" koli")</f>
        <v/>
      </c>
      <c r="Z1480">
        <f>IF($AG1480="","",Config!$B$21)</f>
        <v/>
      </c>
      <c r="AA1480">
        <f>IF($AG1480="","",Config!$B$22)</f>
        <v/>
      </c>
      <c r="AB1480">
        <f>IF($AH1480="","",INDEX(Calc!$D$2:$D$1601,$AH1480))</f>
        <v/>
      </c>
      <c r="AC1480">
        <f>IF($AH1480="","",INDEX(Calc!$G$2:$G$1601,$AH1480))</f>
        <v/>
      </c>
      <c r="AD1480">
        <f>IF($AG1480="","",Config!$B$23)</f>
        <v/>
      </c>
      <c r="AE1480">
        <f>IF($AG1480="","",Config!$B$28)</f>
        <v/>
      </c>
      <c r="AG1480">
        <f>IFERROR(MATCH(ROW()-1,Calc!$J$2:$J$1601,0),"")</f>
        <v/>
      </c>
      <c r="AH1480">
        <f>IFERROR(MATCH(ROW()-1,Calc!$K$2:$K$1601,0),"")</f>
        <v/>
      </c>
      <c r="AI1480">
        <f>IF($AG1480="","",SUMIF($AG$2:$AG1480,$AG1480,$AH$2:$AH1480))</f>
        <v/>
      </c>
      <c r="AJ1480">
        <f>IF('TMP Paste'!$F1480="","",IF('TMP Paste'!$B1480="",$AJ1479,'TMP Paste'!$B1480))</f>
        <v/>
      </c>
      <c r="AK1480">
        <f>IF('TMP Paste'!$F1480="","",N('TMP Paste'!$G1480))</f>
        <v/>
      </c>
      <c r="AL1480">
        <f>IF('TMP Paste'!$F1480="","",IF('TMP Paste'!$M1480="",$AL1479,'TMP Paste'!$M1480))</f>
        <v/>
      </c>
      <c r="AM1480">
        <f>IF('TMP Paste'!$F1480="","",IF('TMP Paste'!$N1480="",$AM1479,'TMP Paste'!$N1480))</f>
        <v/>
      </c>
      <c r="AN1480">
        <f>IF('TMP Paste'!$F1480="","",IF('TMP Paste'!$O1480="",$AN1479,'TMP Paste'!$O1480))</f>
        <v/>
      </c>
      <c r="AO1480">
        <f>IF('TMP Paste'!$F1480="","",IF('TMP Paste'!$P1480="",$AO1479,'TMP Paste'!$P1480))</f>
        <v/>
      </c>
      <c r="AP1480">
        <f>IF($AG1480="","",LEN($R1480))</f>
        <v/>
      </c>
      <c r="AQ1480">
        <f>IF($AG1480="","",TRIM(IF(COUNTIFS(Calc!$B$2:$B$1601,ROW()-1,Calc!$C$2:$C$1601,"&lt;1")&gt;0,"Ada PO tanpa Koli - cek TMP. ","")&amp;IF(LEN($R1480)&gt;500,"R &gt; 500 karakter.","")))</f>
        <v/>
      </c>
    </row>
    <row r="1481">
      <c r="A1481">
        <f>IF($AG1481="","",INDEX('TMP Paste'!$B$2:$B$1601,$AG1481))</f>
        <v/>
      </c>
      <c r="B1481">
        <f>IF($AG1481="","",Config!$B$14)</f>
        <v/>
      </c>
      <c r="C1481">
        <f>IF($AG1481="","",Config!$B$15)</f>
        <v/>
      </c>
      <c r="D1481">
        <f>IF($AG1481="","",INDEX('TMP Paste'!$B$2:$B$1601,$AG1481))</f>
        <v/>
      </c>
      <c r="E1481">
        <f>IF($AG1481="","",Config!$B$27)</f>
        <v/>
      </c>
      <c r="F1481">
        <f>IF($AG1481="","",Config!$B$9)</f>
        <v/>
      </c>
      <c r="G1481">
        <f>IF($AG1481="","",Config!$B$10)</f>
        <v/>
      </c>
      <c r="H1481">
        <f>IF($AG1481="","",Config!$B$11)</f>
        <v/>
      </c>
      <c r="I1481">
        <f>IF($AG1481="","",Config!$B$16)</f>
        <v/>
      </c>
      <c r="J1481">
        <f>IF($AG1481="","",INDEX('TMP Paste'!$A$2:$A$1601,$AG1481))</f>
        <v/>
      </c>
      <c r="K1481">
        <f>IF($AG1481="","",INDEX('TMP Paste'!$L$2:$L$1601,$AG1481))</f>
        <v/>
      </c>
      <c r="L1481">
        <f>IF($AG1481="","",INDEX('TMP Paste'!$I$2:$I$1601,$AG1481))</f>
        <v/>
      </c>
      <c r="M1481">
        <f>IF($AG1481="","",Config!$B$16)</f>
        <v/>
      </c>
      <c r="N1481">
        <f>IF($AG1481="","","")</f>
        <v/>
      </c>
      <c r="O1481">
        <f>IF($AG1481="","",INDEX('TMP Paste'!$K$2:$K$1601,$AG1481))</f>
        <v/>
      </c>
      <c r="P1481">
        <f>IF($AG1481="","","")</f>
        <v/>
      </c>
      <c r="Q1481">
        <f>IF($AG1481="","",INDEX('TMP Paste'!$J$2:$J$1601,$AG1481))</f>
        <v/>
      </c>
      <c r="R1481">
        <f>IF($AG1481="","",Config!$B$24)</f>
        <v/>
      </c>
      <c r="S1481">
        <f>IF($AG1481="","",TEXT(Config!$B$4,"yyyy-mm-dd"))</f>
        <v/>
      </c>
      <c r="T1481">
        <f>IF($AG1481="","",Config!$B$17)</f>
        <v/>
      </c>
      <c r="U1481">
        <f>IF($AG1481="","",Config!$B$18)</f>
        <v/>
      </c>
      <c r="V1481">
        <f>IF($AG1481="","",Config!$B$19)</f>
        <v/>
      </c>
      <c r="W1481">
        <f>IF($AG1481="","",INDEX('TMP Paste'!$C$2:$C$1601,$AG1481))</f>
        <v/>
      </c>
      <c r="X1481">
        <f>IF($AG1481="","",Config!$B$29)</f>
        <v/>
      </c>
      <c r="Y1481">
        <f>IF($AH1481="","",INDEX(Calc!$I$2:$I$1601,$AH1481)&amp;" - "&amp;INDEX(Calc!$D$2:$D$1601,$AH1481)&amp;" koli")</f>
        <v/>
      </c>
      <c r="Z1481">
        <f>IF($AG1481="","",Config!$B$21)</f>
        <v/>
      </c>
      <c r="AA1481">
        <f>IF($AG1481="","",Config!$B$22)</f>
        <v/>
      </c>
      <c r="AB1481">
        <f>IF($AH1481="","",INDEX(Calc!$D$2:$D$1601,$AH1481))</f>
        <v/>
      </c>
      <c r="AC1481">
        <f>IF($AH1481="","",INDEX(Calc!$G$2:$G$1601,$AH1481))</f>
        <v/>
      </c>
      <c r="AD1481">
        <f>IF($AG1481="","",Config!$B$23)</f>
        <v/>
      </c>
      <c r="AE1481">
        <f>IF($AG1481="","",Config!$B$28)</f>
        <v/>
      </c>
      <c r="AG1481">
        <f>IFERROR(MATCH(ROW()-1,Calc!$J$2:$J$1601,0),"")</f>
        <v/>
      </c>
      <c r="AH1481">
        <f>IFERROR(MATCH(ROW()-1,Calc!$K$2:$K$1601,0),"")</f>
        <v/>
      </c>
      <c r="AI1481">
        <f>IF($AG1481="","",SUMIF($AG$2:$AG1481,$AG1481,$AH$2:$AH1481))</f>
        <v/>
      </c>
      <c r="AJ1481">
        <f>IF('TMP Paste'!$F1481="","",IF('TMP Paste'!$B1481="",$AJ1480,'TMP Paste'!$B1481))</f>
        <v/>
      </c>
      <c r="AK1481">
        <f>IF('TMP Paste'!$F1481="","",N('TMP Paste'!$G1481))</f>
        <v/>
      </c>
      <c r="AL1481">
        <f>IF('TMP Paste'!$F1481="","",IF('TMP Paste'!$M1481="",$AL1480,'TMP Paste'!$M1481))</f>
        <v/>
      </c>
      <c r="AM1481">
        <f>IF('TMP Paste'!$F1481="","",IF('TMP Paste'!$N1481="",$AM1480,'TMP Paste'!$N1481))</f>
        <v/>
      </c>
      <c r="AN1481">
        <f>IF('TMP Paste'!$F1481="","",IF('TMP Paste'!$O1481="",$AN1480,'TMP Paste'!$O1481))</f>
        <v/>
      </c>
      <c r="AO1481">
        <f>IF('TMP Paste'!$F1481="","",IF('TMP Paste'!$P1481="",$AO1480,'TMP Paste'!$P1481))</f>
        <v/>
      </c>
      <c r="AP1481">
        <f>IF($AG1481="","",LEN($R1481))</f>
        <v/>
      </c>
      <c r="AQ1481">
        <f>IF($AG1481="","",TRIM(IF(COUNTIFS(Calc!$B$2:$B$1601,ROW()-1,Calc!$C$2:$C$1601,"&lt;1")&gt;0,"Ada PO tanpa Koli - cek TMP. ","")&amp;IF(LEN($R1481)&gt;500,"R &gt; 500 karakter.","")))</f>
        <v/>
      </c>
    </row>
    <row r="1482">
      <c r="A1482">
        <f>IF($AG1482="","",INDEX('TMP Paste'!$B$2:$B$1601,$AG1482))</f>
        <v/>
      </c>
      <c r="B1482">
        <f>IF($AG1482="","",Config!$B$14)</f>
        <v/>
      </c>
      <c r="C1482">
        <f>IF($AG1482="","",Config!$B$15)</f>
        <v/>
      </c>
      <c r="D1482">
        <f>IF($AG1482="","",INDEX('TMP Paste'!$B$2:$B$1601,$AG1482))</f>
        <v/>
      </c>
      <c r="E1482">
        <f>IF($AG1482="","",Config!$B$27)</f>
        <v/>
      </c>
      <c r="F1482">
        <f>IF($AG1482="","",Config!$B$9)</f>
        <v/>
      </c>
      <c r="G1482">
        <f>IF($AG1482="","",Config!$B$10)</f>
        <v/>
      </c>
      <c r="H1482">
        <f>IF($AG1482="","",Config!$B$11)</f>
        <v/>
      </c>
      <c r="I1482">
        <f>IF($AG1482="","",Config!$B$16)</f>
        <v/>
      </c>
      <c r="J1482">
        <f>IF($AG1482="","",INDEX('TMP Paste'!$A$2:$A$1601,$AG1482))</f>
        <v/>
      </c>
      <c r="K1482">
        <f>IF($AG1482="","",INDEX('TMP Paste'!$L$2:$L$1601,$AG1482))</f>
        <v/>
      </c>
      <c r="L1482">
        <f>IF($AG1482="","",INDEX('TMP Paste'!$I$2:$I$1601,$AG1482))</f>
        <v/>
      </c>
      <c r="M1482">
        <f>IF($AG1482="","",Config!$B$16)</f>
        <v/>
      </c>
      <c r="N1482">
        <f>IF($AG1482="","","")</f>
        <v/>
      </c>
      <c r="O1482">
        <f>IF($AG1482="","",INDEX('TMP Paste'!$K$2:$K$1601,$AG1482))</f>
        <v/>
      </c>
      <c r="P1482">
        <f>IF($AG1482="","","")</f>
        <v/>
      </c>
      <c r="Q1482">
        <f>IF($AG1482="","",INDEX('TMP Paste'!$J$2:$J$1601,$AG1482))</f>
        <v/>
      </c>
      <c r="R1482">
        <f>IF($AG1482="","",Config!$B$24)</f>
        <v/>
      </c>
      <c r="S1482">
        <f>IF($AG1482="","",TEXT(Config!$B$4,"yyyy-mm-dd"))</f>
        <v/>
      </c>
      <c r="T1482">
        <f>IF($AG1482="","",Config!$B$17)</f>
        <v/>
      </c>
      <c r="U1482">
        <f>IF($AG1482="","",Config!$B$18)</f>
        <v/>
      </c>
      <c r="V1482">
        <f>IF($AG1482="","",Config!$B$19)</f>
        <v/>
      </c>
      <c r="W1482">
        <f>IF($AG1482="","",INDEX('TMP Paste'!$C$2:$C$1601,$AG1482))</f>
        <v/>
      </c>
      <c r="X1482">
        <f>IF($AG1482="","",Config!$B$29)</f>
        <v/>
      </c>
      <c r="Y1482">
        <f>IF($AH1482="","",INDEX(Calc!$I$2:$I$1601,$AH1482)&amp;" - "&amp;INDEX(Calc!$D$2:$D$1601,$AH1482)&amp;" koli")</f>
        <v/>
      </c>
      <c r="Z1482">
        <f>IF($AG1482="","",Config!$B$21)</f>
        <v/>
      </c>
      <c r="AA1482">
        <f>IF($AG1482="","",Config!$B$22)</f>
        <v/>
      </c>
      <c r="AB1482">
        <f>IF($AH1482="","",INDEX(Calc!$D$2:$D$1601,$AH1482))</f>
        <v/>
      </c>
      <c r="AC1482">
        <f>IF($AH1482="","",INDEX(Calc!$G$2:$G$1601,$AH1482))</f>
        <v/>
      </c>
      <c r="AD1482">
        <f>IF($AG1482="","",Config!$B$23)</f>
        <v/>
      </c>
      <c r="AE1482">
        <f>IF($AG1482="","",Config!$B$28)</f>
        <v/>
      </c>
      <c r="AG1482">
        <f>IFERROR(MATCH(ROW()-1,Calc!$J$2:$J$1601,0),"")</f>
        <v/>
      </c>
      <c r="AH1482">
        <f>IFERROR(MATCH(ROW()-1,Calc!$K$2:$K$1601,0),"")</f>
        <v/>
      </c>
      <c r="AI1482">
        <f>IF($AG1482="","",SUMIF($AG$2:$AG1482,$AG1482,$AH$2:$AH1482))</f>
        <v/>
      </c>
      <c r="AJ1482">
        <f>IF('TMP Paste'!$F1482="","",IF('TMP Paste'!$B1482="",$AJ1481,'TMP Paste'!$B1482))</f>
        <v/>
      </c>
      <c r="AK1482">
        <f>IF('TMP Paste'!$F1482="","",N('TMP Paste'!$G1482))</f>
        <v/>
      </c>
      <c r="AL1482">
        <f>IF('TMP Paste'!$F1482="","",IF('TMP Paste'!$M1482="",$AL1481,'TMP Paste'!$M1482))</f>
        <v/>
      </c>
      <c r="AM1482">
        <f>IF('TMP Paste'!$F1482="","",IF('TMP Paste'!$N1482="",$AM1481,'TMP Paste'!$N1482))</f>
        <v/>
      </c>
      <c r="AN1482">
        <f>IF('TMP Paste'!$F1482="","",IF('TMP Paste'!$O1482="",$AN1481,'TMP Paste'!$O1482))</f>
        <v/>
      </c>
      <c r="AO1482">
        <f>IF('TMP Paste'!$F1482="","",IF('TMP Paste'!$P1482="",$AO1481,'TMP Paste'!$P1482))</f>
        <v/>
      </c>
      <c r="AP1482">
        <f>IF($AG1482="","",LEN($R1482))</f>
        <v/>
      </c>
      <c r="AQ1482">
        <f>IF($AG1482="","",TRIM(IF(COUNTIFS(Calc!$B$2:$B$1601,ROW()-1,Calc!$C$2:$C$1601,"&lt;1")&gt;0,"Ada PO tanpa Koli - cek TMP. ","")&amp;IF(LEN($R1482)&gt;500,"R &gt; 500 karakter.","")))</f>
        <v/>
      </c>
    </row>
    <row r="1483">
      <c r="A1483">
        <f>IF($AG1483="","",INDEX('TMP Paste'!$B$2:$B$1601,$AG1483))</f>
        <v/>
      </c>
      <c r="B1483">
        <f>IF($AG1483="","",Config!$B$14)</f>
        <v/>
      </c>
      <c r="C1483">
        <f>IF($AG1483="","",Config!$B$15)</f>
        <v/>
      </c>
      <c r="D1483">
        <f>IF($AG1483="","",INDEX('TMP Paste'!$B$2:$B$1601,$AG1483))</f>
        <v/>
      </c>
      <c r="E1483">
        <f>IF($AG1483="","",Config!$B$27)</f>
        <v/>
      </c>
      <c r="F1483">
        <f>IF($AG1483="","",Config!$B$9)</f>
        <v/>
      </c>
      <c r="G1483">
        <f>IF($AG1483="","",Config!$B$10)</f>
        <v/>
      </c>
      <c r="H1483">
        <f>IF($AG1483="","",Config!$B$11)</f>
        <v/>
      </c>
      <c r="I1483">
        <f>IF($AG1483="","",Config!$B$16)</f>
        <v/>
      </c>
      <c r="J1483">
        <f>IF($AG1483="","",INDEX('TMP Paste'!$A$2:$A$1601,$AG1483))</f>
        <v/>
      </c>
      <c r="K1483">
        <f>IF($AG1483="","",INDEX('TMP Paste'!$L$2:$L$1601,$AG1483))</f>
        <v/>
      </c>
      <c r="L1483">
        <f>IF($AG1483="","",INDEX('TMP Paste'!$I$2:$I$1601,$AG1483))</f>
        <v/>
      </c>
      <c r="M1483">
        <f>IF($AG1483="","",Config!$B$16)</f>
        <v/>
      </c>
      <c r="N1483">
        <f>IF($AG1483="","","")</f>
        <v/>
      </c>
      <c r="O1483">
        <f>IF($AG1483="","",INDEX('TMP Paste'!$K$2:$K$1601,$AG1483))</f>
        <v/>
      </c>
      <c r="P1483">
        <f>IF($AG1483="","","")</f>
        <v/>
      </c>
      <c r="Q1483">
        <f>IF($AG1483="","",INDEX('TMP Paste'!$J$2:$J$1601,$AG1483))</f>
        <v/>
      </c>
      <c r="R1483">
        <f>IF($AG1483="","",Config!$B$24)</f>
        <v/>
      </c>
      <c r="S1483">
        <f>IF($AG1483="","",TEXT(Config!$B$4,"yyyy-mm-dd"))</f>
        <v/>
      </c>
      <c r="T1483">
        <f>IF($AG1483="","",Config!$B$17)</f>
        <v/>
      </c>
      <c r="U1483">
        <f>IF($AG1483="","",Config!$B$18)</f>
        <v/>
      </c>
      <c r="V1483">
        <f>IF($AG1483="","",Config!$B$19)</f>
        <v/>
      </c>
      <c r="W1483">
        <f>IF($AG1483="","",INDEX('TMP Paste'!$C$2:$C$1601,$AG1483))</f>
        <v/>
      </c>
      <c r="X1483">
        <f>IF($AG1483="","",Config!$B$29)</f>
        <v/>
      </c>
      <c r="Y1483">
        <f>IF($AH1483="","",INDEX(Calc!$I$2:$I$1601,$AH1483)&amp;" - "&amp;INDEX(Calc!$D$2:$D$1601,$AH1483)&amp;" koli")</f>
        <v/>
      </c>
      <c r="Z1483">
        <f>IF($AG1483="","",Config!$B$21)</f>
        <v/>
      </c>
      <c r="AA1483">
        <f>IF($AG1483="","",Config!$B$22)</f>
        <v/>
      </c>
      <c r="AB1483">
        <f>IF($AH1483="","",INDEX(Calc!$D$2:$D$1601,$AH1483))</f>
        <v/>
      </c>
      <c r="AC1483">
        <f>IF($AH1483="","",INDEX(Calc!$G$2:$G$1601,$AH1483))</f>
        <v/>
      </c>
      <c r="AD1483">
        <f>IF($AG1483="","",Config!$B$23)</f>
        <v/>
      </c>
      <c r="AE1483">
        <f>IF($AG1483="","",Config!$B$28)</f>
        <v/>
      </c>
      <c r="AG1483">
        <f>IFERROR(MATCH(ROW()-1,Calc!$J$2:$J$1601,0),"")</f>
        <v/>
      </c>
      <c r="AH1483">
        <f>IFERROR(MATCH(ROW()-1,Calc!$K$2:$K$1601,0),"")</f>
        <v/>
      </c>
      <c r="AI1483">
        <f>IF($AG1483="","",SUMIF($AG$2:$AG1483,$AG1483,$AH$2:$AH1483))</f>
        <v/>
      </c>
      <c r="AJ1483">
        <f>IF('TMP Paste'!$F1483="","",IF('TMP Paste'!$B1483="",$AJ1482,'TMP Paste'!$B1483))</f>
        <v/>
      </c>
      <c r="AK1483">
        <f>IF('TMP Paste'!$F1483="","",N('TMP Paste'!$G1483))</f>
        <v/>
      </c>
      <c r="AL1483">
        <f>IF('TMP Paste'!$F1483="","",IF('TMP Paste'!$M1483="",$AL1482,'TMP Paste'!$M1483))</f>
        <v/>
      </c>
      <c r="AM1483">
        <f>IF('TMP Paste'!$F1483="","",IF('TMP Paste'!$N1483="",$AM1482,'TMP Paste'!$N1483))</f>
        <v/>
      </c>
      <c r="AN1483">
        <f>IF('TMP Paste'!$F1483="","",IF('TMP Paste'!$O1483="",$AN1482,'TMP Paste'!$O1483))</f>
        <v/>
      </c>
      <c r="AO1483">
        <f>IF('TMP Paste'!$F1483="","",IF('TMP Paste'!$P1483="",$AO1482,'TMP Paste'!$P1483))</f>
        <v/>
      </c>
      <c r="AP1483">
        <f>IF($AG1483="","",LEN($R1483))</f>
        <v/>
      </c>
      <c r="AQ1483">
        <f>IF($AG1483="","",TRIM(IF(COUNTIFS(Calc!$B$2:$B$1601,ROW()-1,Calc!$C$2:$C$1601,"&lt;1")&gt;0,"Ada PO tanpa Koli - cek TMP. ","")&amp;IF(LEN($R1483)&gt;500,"R &gt; 500 karakter.","")))</f>
        <v/>
      </c>
    </row>
    <row r="1484">
      <c r="A1484">
        <f>IF($AG1484="","",INDEX('TMP Paste'!$B$2:$B$1601,$AG1484))</f>
        <v/>
      </c>
      <c r="B1484">
        <f>IF($AG1484="","",Config!$B$14)</f>
        <v/>
      </c>
      <c r="C1484">
        <f>IF($AG1484="","",Config!$B$15)</f>
        <v/>
      </c>
      <c r="D1484">
        <f>IF($AG1484="","",INDEX('TMP Paste'!$B$2:$B$1601,$AG1484))</f>
        <v/>
      </c>
      <c r="E1484">
        <f>IF($AG1484="","",Config!$B$27)</f>
        <v/>
      </c>
      <c r="F1484">
        <f>IF($AG1484="","",Config!$B$9)</f>
        <v/>
      </c>
      <c r="G1484">
        <f>IF($AG1484="","",Config!$B$10)</f>
        <v/>
      </c>
      <c r="H1484">
        <f>IF($AG1484="","",Config!$B$11)</f>
        <v/>
      </c>
      <c r="I1484">
        <f>IF($AG1484="","",Config!$B$16)</f>
        <v/>
      </c>
      <c r="J1484">
        <f>IF($AG1484="","",INDEX('TMP Paste'!$A$2:$A$1601,$AG1484))</f>
        <v/>
      </c>
      <c r="K1484">
        <f>IF($AG1484="","",INDEX('TMP Paste'!$L$2:$L$1601,$AG1484))</f>
        <v/>
      </c>
      <c r="L1484">
        <f>IF($AG1484="","",INDEX('TMP Paste'!$I$2:$I$1601,$AG1484))</f>
        <v/>
      </c>
      <c r="M1484">
        <f>IF($AG1484="","",Config!$B$16)</f>
        <v/>
      </c>
      <c r="N1484">
        <f>IF($AG1484="","","")</f>
        <v/>
      </c>
      <c r="O1484">
        <f>IF($AG1484="","",INDEX('TMP Paste'!$K$2:$K$1601,$AG1484))</f>
        <v/>
      </c>
      <c r="P1484">
        <f>IF($AG1484="","","")</f>
        <v/>
      </c>
      <c r="Q1484">
        <f>IF($AG1484="","",INDEX('TMP Paste'!$J$2:$J$1601,$AG1484))</f>
        <v/>
      </c>
      <c r="R1484">
        <f>IF($AG1484="","",Config!$B$24)</f>
        <v/>
      </c>
      <c r="S1484">
        <f>IF($AG1484="","",TEXT(Config!$B$4,"yyyy-mm-dd"))</f>
        <v/>
      </c>
      <c r="T1484">
        <f>IF($AG1484="","",Config!$B$17)</f>
        <v/>
      </c>
      <c r="U1484">
        <f>IF($AG1484="","",Config!$B$18)</f>
        <v/>
      </c>
      <c r="V1484">
        <f>IF($AG1484="","",Config!$B$19)</f>
        <v/>
      </c>
      <c r="W1484">
        <f>IF($AG1484="","",INDEX('TMP Paste'!$C$2:$C$1601,$AG1484))</f>
        <v/>
      </c>
      <c r="X1484">
        <f>IF($AG1484="","",Config!$B$29)</f>
        <v/>
      </c>
      <c r="Y1484">
        <f>IF($AH1484="","",INDEX(Calc!$I$2:$I$1601,$AH1484)&amp;" - "&amp;INDEX(Calc!$D$2:$D$1601,$AH1484)&amp;" koli")</f>
        <v/>
      </c>
      <c r="Z1484">
        <f>IF($AG1484="","",Config!$B$21)</f>
        <v/>
      </c>
      <c r="AA1484">
        <f>IF($AG1484="","",Config!$B$22)</f>
        <v/>
      </c>
      <c r="AB1484">
        <f>IF($AH1484="","",INDEX(Calc!$D$2:$D$1601,$AH1484))</f>
        <v/>
      </c>
      <c r="AC1484">
        <f>IF($AH1484="","",INDEX(Calc!$G$2:$G$1601,$AH1484))</f>
        <v/>
      </c>
      <c r="AD1484">
        <f>IF($AG1484="","",Config!$B$23)</f>
        <v/>
      </c>
      <c r="AE1484">
        <f>IF($AG1484="","",Config!$B$28)</f>
        <v/>
      </c>
      <c r="AG1484">
        <f>IFERROR(MATCH(ROW()-1,Calc!$J$2:$J$1601,0),"")</f>
        <v/>
      </c>
      <c r="AH1484">
        <f>IFERROR(MATCH(ROW()-1,Calc!$K$2:$K$1601,0),"")</f>
        <v/>
      </c>
      <c r="AI1484">
        <f>IF($AG1484="","",SUMIF($AG$2:$AG1484,$AG1484,$AH$2:$AH1484))</f>
        <v/>
      </c>
      <c r="AJ1484">
        <f>IF('TMP Paste'!$F1484="","",IF('TMP Paste'!$B1484="",$AJ1483,'TMP Paste'!$B1484))</f>
        <v/>
      </c>
      <c r="AK1484">
        <f>IF('TMP Paste'!$F1484="","",N('TMP Paste'!$G1484))</f>
        <v/>
      </c>
      <c r="AL1484">
        <f>IF('TMP Paste'!$F1484="","",IF('TMP Paste'!$M1484="",$AL1483,'TMP Paste'!$M1484))</f>
        <v/>
      </c>
      <c r="AM1484">
        <f>IF('TMP Paste'!$F1484="","",IF('TMP Paste'!$N1484="",$AM1483,'TMP Paste'!$N1484))</f>
        <v/>
      </c>
      <c r="AN1484">
        <f>IF('TMP Paste'!$F1484="","",IF('TMP Paste'!$O1484="",$AN1483,'TMP Paste'!$O1484))</f>
        <v/>
      </c>
      <c r="AO1484">
        <f>IF('TMP Paste'!$F1484="","",IF('TMP Paste'!$P1484="",$AO1483,'TMP Paste'!$P1484))</f>
        <v/>
      </c>
      <c r="AP1484">
        <f>IF($AG1484="","",LEN($R1484))</f>
        <v/>
      </c>
      <c r="AQ1484">
        <f>IF($AG1484="","",TRIM(IF(COUNTIFS(Calc!$B$2:$B$1601,ROW()-1,Calc!$C$2:$C$1601,"&lt;1")&gt;0,"Ada PO tanpa Koli - cek TMP. ","")&amp;IF(LEN($R1484)&gt;500,"R &gt; 500 karakter.","")))</f>
        <v/>
      </c>
    </row>
    <row r="1485">
      <c r="A1485">
        <f>IF($AG1485="","",INDEX('TMP Paste'!$B$2:$B$1601,$AG1485))</f>
        <v/>
      </c>
      <c r="B1485">
        <f>IF($AG1485="","",Config!$B$14)</f>
        <v/>
      </c>
      <c r="C1485">
        <f>IF($AG1485="","",Config!$B$15)</f>
        <v/>
      </c>
      <c r="D1485">
        <f>IF($AG1485="","",INDEX('TMP Paste'!$B$2:$B$1601,$AG1485))</f>
        <v/>
      </c>
      <c r="E1485">
        <f>IF($AG1485="","",Config!$B$27)</f>
        <v/>
      </c>
      <c r="F1485">
        <f>IF($AG1485="","",Config!$B$9)</f>
        <v/>
      </c>
      <c r="G1485">
        <f>IF($AG1485="","",Config!$B$10)</f>
        <v/>
      </c>
      <c r="H1485">
        <f>IF($AG1485="","",Config!$B$11)</f>
        <v/>
      </c>
      <c r="I1485">
        <f>IF($AG1485="","",Config!$B$16)</f>
        <v/>
      </c>
      <c r="J1485">
        <f>IF($AG1485="","",INDEX('TMP Paste'!$A$2:$A$1601,$AG1485))</f>
        <v/>
      </c>
      <c r="K1485">
        <f>IF($AG1485="","",INDEX('TMP Paste'!$L$2:$L$1601,$AG1485))</f>
        <v/>
      </c>
      <c r="L1485">
        <f>IF($AG1485="","",INDEX('TMP Paste'!$I$2:$I$1601,$AG1485))</f>
        <v/>
      </c>
      <c r="M1485">
        <f>IF($AG1485="","",Config!$B$16)</f>
        <v/>
      </c>
      <c r="N1485">
        <f>IF($AG1485="","","")</f>
        <v/>
      </c>
      <c r="O1485">
        <f>IF($AG1485="","",INDEX('TMP Paste'!$K$2:$K$1601,$AG1485))</f>
        <v/>
      </c>
      <c r="P1485">
        <f>IF($AG1485="","","")</f>
        <v/>
      </c>
      <c r="Q1485">
        <f>IF($AG1485="","",INDEX('TMP Paste'!$J$2:$J$1601,$AG1485))</f>
        <v/>
      </c>
      <c r="R1485">
        <f>IF($AG1485="","",Config!$B$24)</f>
        <v/>
      </c>
      <c r="S1485">
        <f>IF($AG1485="","",TEXT(Config!$B$4,"yyyy-mm-dd"))</f>
        <v/>
      </c>
      <c r="T1485">
        <f>IF($AG1485="","",Config!$B$17)</f>
        <v/>
      </c>
      <c r="U1485">
        <f>IF($AG1485="","",Config!$B$18)</f>
        <v/>
      </c>
      <c r="V1485">
        <f>IF($AG1485="","",Config!$B$19)</f>
        <v/>
      </c>
      <c r="W1485">
        <f>IF($AG1485="","",INDEX('TMP Paste'!$C$2:$C$1601,$AG1485))</f>
        <v/>
      </c>
      <c r="X1485">
        <f>IF($AG1485="","",Config!$B$29)</f>
        <v/>
      </c>
      <c r="Y1485">
        <f>IF($AH1485="","",INDEX(Calc!$I$2:$I$1601,$AH1485)&amp;" - "&amp;INDEX(Calc!$D$2:$D$1601,$AH1485)&amp;" koli")</f>
        <v/>
      </c>
      <c r="Z1485">
        <f>IF($AG1485="","",Config!$B$21)</f>
        <v/>
      </c>
      <c r="AA1485">
        <f>IF($AG1485="","",Config!$B$22)</f>
        <v/>
      </c>
      <c r="AB1485">
        <f>IF($AH1485="","",INDEX(Calc!$D$2:$D$1601,$AH1485))</f>
        <v/>
      </c>
      <c r="AC1485">
        <f>IF($AH1485="","",INDEX(Calc!$G$2:$G$1601,$AH1485))</f>
        <v/>
      </c>
      <c r="AD1485">
        <f>IF($AG1485="","",Config!$B$23)</f>
        <v/>
      </c>
      <c r="AE1485">
        <f>IF($AG1485="","",Config!$B$28)</f>
        <v/>
      </c>
      <c r="AG1485">
        <f>IFERROR(MATCH(ROW()-1,Calc!$J$2:$J$1601,0),"")</f>
        <v/>
      </c>
      <c r="AH1485">
        <f>IFERROR(MATCH(ROW()-1,Calc!$K$2:$K$1601,0),"")</f>
        <v/>
      </c>
      <c r="AI1485">
        <f>IF($AG1485="","",SUMIF($AG$2:$AG1485,$AG1485,$AH$2:$AH1485))</f>
        <v/>
      </c>
      <c r="AJ1485">
        <f>IF('TMP Paste'!$F1485="","",IF('TMP Paste'!$B1485="",$AJ1484,'TMP Paste'!$B1485))</f>
        <v/>
      </c>
      <c r="AK1485">
        <f>IF('TMP Paste'!$F1485="","",N('TMP Paste'!$G1485))</f>
        <v/>
      </c>
      <c r="AL1485">
        <f>IF('TMP Paste'!$F1485="","",IF('TMP Paste'!$M1485="",$AL1484,'TMP Paste'!$M1485))</f>
        <v/>
      </c>
      <c r="AM1485">
        <f>IF('TMP Paste'!$F1485="","",IF('TMP Paste'!$N1485="",$AM1484,'TMP Paste'!$N1485))</f>
        <v/>
      </c>
      <c r="AN1485">
        <f>IF('TMP Paste'!$F1485="","",IF('TMP Paste'!$O1485="",$AN1484,'TMP Paste'!$O1485))</f>
        <v/>
      </c>
      <c r="AO1485">
        <f>IF('TMP Paste'!$F1485="","",IF('TMP Paste'!$P1485="",$AO1484,'TMP Paste'!$P1485))</f>
        <v/>
      </c>
      <c r="AP1485">
        <f>IF($AG1485="","",LEN($R1485))</f>
        <v/>
      </c>
      <c r="AQ1485">
        <f>IF($AG1485="","",TRIM(IF(COUNTIFS(Calc!$B$2:$B$1601,ROW()-1,Calc!$C$2:$C$1601,"&lt;1")&gt;0,"Ada PO tanpa Koli - cek TMP. ","")&amp;IF(LEN($R1485)&gt;500,"R &gt; 500 karakter.","")))</f>
        <v/>
      </c>
    </row>
    <row r="1486">
      <c r="A1486">
        <f>IF($AG1486="","",INDEX('TMP Paste'!$B$2:$B$1601,$AG1486))</f>
        <v/>
      </c>
      <c r="B1486">
        <f>IF($AG1486="","",Config!$B$14)</f>
        <v/>
      </c>
      <c r="C1486">
        <f>IF($AG1486="","",Config!$B$15)</f>
        <v/>
      </c>
      <c r="D1486">
        <f>IF($AG1486="","",INDEX('TMP Paste'!$B$2:$B$1601,$AG1486))</f>
        <v/>
      </c>
      <c r="E1486">
        <f>IF($AG1486="","",Config!$B$27)</f>
        <v/>
      </c>
      <c r="F1486">
        <f>IF($AG1486="","",Config!$B$9)</f>
        <v/>
      </c>
      <c r="G1486">
        <f>IF($AG1486="","",Config!$B$10)</f>
        <v/>
      </c>
      <c r="H1486">
        <f>IF($AG1486="","",Config!$B$11)</f>
        <v/>
      </c>
      <c r="I1486">
        <f>IF($AG1486="","",Config!$B$16)</f>
        <v/>
      </c>
      <c r="J1486">
        <f>IF($AG1486="","",INDEX('TMP Paste'!$A$2:$A$1601,$AG1486))</f>
        <v/>
      </c>
      <c r="K1486">
        <f>IF($AG1486="","",INDEX('TMP Paste'!$L$2:$L$1601,$AG1486))</f>
        <v/>
      </c>
      <c r="L1486">
        <f>IF($AG1486="","",INDEX('TMP Paste'!$I$2:$I$1601,$AG1486))</f>
        <v/>
      </c>
      <c r="M1486">
        <f>IF($AG1486="","",Config!$B$16)</f>
        <v/>
      </c>
      <c r="N1486">
        <f>IF($AG1486="","","")</f>
        <v/>
      </c>
      <c r="O1486">
        <f>IF($AG1486="","",INDEX('TMP Paste'!$K$2:$K$1601,$AG1486))</f>
        <v/>
      </c>
      <c r="P1486">
        <f>IF($AG1486="","","")</f>
        <v/>
      </c>
      <c r="Q1486">
        <f>IF($AG1486="","",INDEX('TMP Paste'!$J$2:$J$1601,$AG1486))</f>
        <v/>
      </c>
      <c r="R1486">
        <f>IF($AG1486="","",Config!$B$24)</f>
        <v/>
      </c>
      <c r="S1486">
        <f>IF($AG1486="","",TEXT(Config!$B$4,"yyyy-mm-dd"))</f>
        <v/>
      </c>
      <c r="T1486">
        <f>IF($AG1486="","",Config!$B$17)</f>
        <v/>
      </c>
      <c r="U1486">
        <f>IF($AG1486="","",Config!$B$18)</f>
        <v/>
      </c>
      <c r="V1486">
        <f>IF($AG1486="","",Config!$B$19)</f>
        <v/>
      </c>
      <c r="W1486">
        <f>IF($AG1486="","",INDEX('TMP Paste'!$C$2:$C$1601,$AG1486))</f>
        <v/>
      </c>
      <c r="X1486">
        <f>IF($AG1486="","",Config!$B$29)</f>
        <v/>
      </c>
      <c r="Y1486">
        <f>IF($AH1486="","",INDEX(Calc!$I$2:$I$1601,$AH1486)&amp;" - "&amp;INDEX(Calc!$D$2:$D$1601,$AH1486)&amp;" koli")</f>
        <v/>
      </c>
      <c r="Z1486">
        <f>IF($AG1486="","",Config!$B$21)</f>
        <v/>
      </c>
      <c r="AA1486">
        <f>IF($AG1486="","",Config!$B$22)</f>
        <v/>
      </c>
      <c r="AB1486">
        <f>IF($AH1486="","",INDEX(Calc!$D$2:$D$1601,$AH1486))</f>
        <v/>
      </c>
      <c r="AC1486">
        <f>IF($AH1486="","",INDEX(Calc!$G$2:$G$1601,$AH1486))</f>
        <v/>
      </c>
      <c r="AD1486">
        <f>IF($AG1486="","",Config!$B$23)</f>
        <v/>
      </c>
      <c r="AE1486">
        <f>IF($AG1486="","",Config!$B$28)</f>
        <v/>
      </c>
      <c r="AG1486">
        <f>IFERROR(MATCH(ROW()-1,Calc!$J$2:$J$1601,0),"")</f>
        <v/>
      </c>
      <c r="AH1486">
        <f>IFERROR(MATCH(ROW()-1,Calc!$K$2:$K$1601,0),"")</f>
        <v/>
      </c>
      <c r="AI1486">
        <f>IF($AG1486="","",SUMIF($AG$2:$AG1486,$AG1486,$AH$2:$AH1486))</f>
        <v/>
      </c>
      <c r="AJ1486">
        <f>IF('TMP Paste'!$F1486="","",IF('TMP Paste'!$B1486="",$AJ1485,'TMP Paste'!$B1486))</f>
        <v/>
      </c>
      <c r="AK1486">
        <f>IF('TMP Paste'!$F1486="","",N('TMP Paste'!$G1486))</f>
        <v/>
      </c>
      <c r="AL1486">
        <f>IF('TMP Paste'!$F1486="","",IF('TMP Paste'!$M1486="",$AL1485,'TMP Paste'!$M1486))</f>
        <v/>
      </c>
      <c r="AM1486">
        <f>IF('TMP Paste'!$F1486="","",IF('TMP Paste'!$N1486="",$AM1485,'TMP Paste'!$N1486))</f>
        <v/>
      </c>
      <c r="AN1486">
        <f>IF('TMP Paste'!$F1486="","",IF('TMP Paste'!$O1486="",$AN1485,'TMP Paste'!$O1486))</f>
        <v/>
      </c>
      <c r="AO1486">
        <f>IF('TMP Paste'!$F1486="","",IF('TMP Paste'!$P1486="",$AO1485,'TMP Paste'!$P1486))</f>
        <v/>
      </c>
      <c r="AP1486">
        <f>IF($AG1486="","",LEN($R1486))</f>
        <v/>
      </c>
      <c r="AQ1486">
        <f>IF($AG1486="","",TRIM(IF(COUNTIFS(Calc!$B$2:$B$1601,ROW()-1,Calc!$C$2:$C$1601,"&lt;1")&gt;0,"Ada PO tanpa Koli - cek TMP. ","")&amp;IF(LEN($R1486)&gt;500,"R &gt; 500 karakter.","")))</f>
        <v/>
      </c>
    </row>
    <row r="1487">
      <c r="A1487">
        <f>IF($AG1487="","",INDEX('TMP Paste'!$B$2:$B$1601,$AG1487))</f>
        <v/>
      </c>
      <c r="B1487">
        <f>IF($AG1487="","",Config!$B$14)</f>
        <v/>
      </c>
      <c r="C1487">
        <f>IF($AG1487="","",Config!$B$15)</f>
        <v/>
      </c>
      <c r="D1487">
        <f>IF($AG1487="","",INDEX('TMP Paste'!$B$2:$B$1601,$AG1487))</f>
        <v/>
      </c>
      <c r="E1487">
        <f>IF($AG1487="","",Config!$B$27)</f>
        <v/>
      </c>
      <c r="F1487">
        <f>IF($AG1487="","",Config!$B$9)</f>
        <v/>
      </c>
      <c r="G1487">
        <f>IF($AG1487="","",Config!$B$10)</f>
        <v/>
      </c>
      <c r="H1487">
        <f>IF($AG1487="","",Config!$B$11)</f>
        <v/>
      </c>
      <c r="I1487">
        <f>IF($AG1487="","",Config!$B$16)</f>
        <v/>
      </c>
      <c r="J1487">
        <f>IF($AG1487="","",INDEX('TMP Paste'!$A$2:$A$1601,$AG1487))</f>
        <v/>
      </c>
      <c r="K1487">
        <f>IF($AG1487="","",INDEX('TMP Paste'!$L$2:$L$1601,$AG1487))</f>
        <v/>
      </c>
      <c r="L1487">
        <f>IF($AG1487="","",INDEX('TMP Paste'!$I$2:$I$1601,$AG1487))</f>
        <v/>
      </c>
      <c r="M1487">
        <f>IF($AG1487="","",Config!$B$16)</f>
        <v/>
      </c>
      <c r="N1487">
        <f>IF($AG1487="","","")</f>
        <v/>
      </c>
      <c r="O1487">
        <f>IF($AG1487="","",INDEX('TMP Paste'!$K$2:$K$1601,$AG1487))</f>
        <v/>
      </c>
      <c r="P1487">
        <f>IF($AG1487="","","")</f>
        <v/>
      </c>
      <c r="Q1487">
        <f>IF($AG1487="","",INDEX('TMP Paste'!$J$2:$J$1601,$AG1487))</f>
        <v/>
      </c>
      <c r="R1487">
        <f>IF($AG1487="","",Config!$B$24)</f>
        <v/>
      </c>
      <c r="S1487">
        <f>IF($AG1487="","",TEXT(Config!$B$4,"yyyy-mm-dd"))</f>
        <v/>
      </c>
      <c r="T1487">
        <f>IF($AG1487="","",Config!$B$17)</f>
        <v/>
      </c>
      <c r="U1487">
        <f>IF($AG1487="","",Config!$B$18)</f>
        <v/>
      </c>
      <c r="V1487">
        <f>IF($AG1487="","",Config!$B$19)</f>
        <v/>
      </c>
      <c r="W1487">
        <f>IF($AG1487="","",INDEX('TMP Paste'!$C$2:$C$1601,$AG1487))</f>
        <v/>
      </c>
      <c r="X1487">
        <f>IF($AG1487="","",Config!$B$29)</f>
        <v/>
      </c>
      <c r="Y1487">
        <f>IF($AH1487="","",INDEX(Calc!$I$2:$I$1601,$AH1487)&amp;" - "&amp;INDEX(Calc!$D$2:$D$1601,$AH1487)&amp;" koli")</f>
        <v/>
      </c>
      <c r="Z1487">
        <f>IF($AG1487="","",Config!$B$21)</f>
        <v/>
      </c>
      <c r="AA1487">
        <f>IF($AG1487="","",Config!$B$22)</f>
        <v/>
      </c>
      <c r="AB1487">
        <f>IF($AH1487="","",INDEX(Calc!$D$2:$D$1601,$AH1487))</f>
        <v/>
      </c>
      <c r="AC1487">
        <f>IF($AH1487="","",INDEX(Calc!$G$2:$G$1601,$AH1487))</f>
        <v/>
      </c>
      <c r="AD1487">
        <f>IF($AG1487="","",Config!$B$23)</f>
        <v/>
      </c>
      <c r="AE1487">
        <f>IF($AG1487="","",Config!$B$28)</f>
        <v/>
      </c>
      <c r="AG1487">
        <f>IFERROR(MATCH(ROW()-1,Calc!$J$2:$J$1601,0),"")</f>
        <v/>
      </c>
      <c r="AH1487">
        <f>IFERROR(MATCH(ROW()-1,Calc!$K$2:$K$1601,0),"")</f>
        <v/>
      </c>
      <c r="AI1487">
        <f>IF($AG1487="","",SUMIF($AG$2:$AG1487,$AG1487,$AH$2:$AH1487))</f>
        <v/>
      </c>
      <c r="AJ1487">
        <f>IF('TMP Paste'!$F1487="","",IF('TMP Paste'!$B1487="",$AJ1486,'TMP Paste'!$B1487))</f>
        <v/>
      </c>
      <c r="AK1487">
        <f>IF('TMP Paste'!$F1487="","",N('TMP Paste'!$G1487))</f>
        <v/>
      </c>
      <c r="AL1487">
        <f>IF('TMP Paste'!$F1487="","",IF('TMP Paste'!$M1487="",$AL1486,'TMP Paste'!$M1487))</f>
        <v/>
      </c>
      <c r="AM1487">
        <f>IF('TMP Paste'!$F1487="","",IF('TMP Paste'!$N1487="",$AM1486,'TMP Paste'!$N1487))</f>
        <v/>
      </c>
      <c r="AN1487">
        <f>IF('TMP Paste'!$F1487="","",IF('TMP Paste'!$O1487="",$AN1486,'TMP Paste'!$O1487))</f>
        <v/>
      </c>
      <c r="AO1487">
        <f>IF('TMP Paste'!$F1487="","",IF('TMP Paste'!$P1487="",$AO1486,'TMP Paste'!$P1487))</f>
        <v/>
      </c>
      <c r="AP1487">
        <f>IF($AG1487="","",LEN($R1487))</f>
        <v/>
      </c>
      <c r="AQ1487">
        <f>IF($AG1487="","",TRIM(IF(COUNTIFS(Calc!$B$2:$B$1601,ROW()-1,Calc!$C$2:$C$1601,"&lt;1")&gt;0,"Ada PO tanpa Koli - cek TMP. ","")&amp;IF(LEN($R1487)&gt;500,"R &gt; 500 karakter.","")))</f>
        <v/>
      </c>
    </row>
    <row r="1488">
      <c r="A1488">
        <f>IF($AG1488="","",INDEX('TMP Paste'!$B$2:$B$1601,$AG1488))</f>
        <v/>
      </c>
      <c r="B1488">
        <f>IF($AG1488="","",Config!$B$14)</f>
        <v/>
      </c>
      <c r="C1488">
        <f>IF($AG1488="","",Config!$B$15)</f>
        <v/>
      </c>
      <c r="D1488">
        <f>IF($AG1488="","",INDEX('TMP Paste'!$B$2:$B$1601,$AG1488))</f>
        <v/>
      </c>
      <c r="E1488">
        <f>IF($AG1488="","",Config!$B$27)</f>
        <v/>
      </c>
      <c r="F1488">
        <f>IF($AG1488="","",Config!$B$9)</f>
        <v/>
      </c>
      <c r="G1488">
        <f>IF($AG1488="","",Config!$B$10)</f>
        <v/>
      </c>
      <c r="H1488">
        <f>IF($AG1488="","",Config!$B$11)</f>
        <v/>
      </c>
      <c r="I1488">
        <f>IF($AG1488="","",Config!$B$16)</f>
        <v/>
      </c>
      <c r="J1488">
        <f>IF($AG1488="","",INDEX('TMP Paste'!$A$2:$A$1601,$AG1488))</f>
        <v/>
      </c>
      <c r="K1488">
        <f>IF($AG1488="","",INDEX('TMP Paste'!$L$2:$L$1601,$AG1488))</f>
        <v/>
      </c>
      <c r="L1488">
        <f>IF($AG1488="","",INDEX('TMP Paste'!$I$2:$I$1601,$AG1488))</f>
        <v/>
      </c>
      <c r="M1488">
        <f>IF($AG1488="","",Config!$B$16)</f>
        <v/>
      </c>
      <c r="N1488">
        <f>IF($AG1488="","","")</f>
        <v/>
      </c>
      <c r="O1488">
        <f>IF($AG1488="","",INDEX('TMP Paste'!$K$2:$K$1601,$AG1488))</f>
        <v/>
      </c>
      <c r="P1488">
        <f>IF($AG1488="","","")</f>
        <v/>
      </c>
      <c r="Q1488">
        <f>IF($AG1488="","",INDEX('TMP Paste'!$J$2:$J$1601,$AG1488))</f>
        <v/>
      </c>
      <c r="R1488">
        <f>IF($AG1488="","",Config!$B$24)</f>
        <v/>
      </c>
      <c r="S1488">
        <f>IF($AG1488="","",TEXT(Config!$B$4,"yyyy-mm-dd"))</f>
        <v/>
      </c>
      <c r="T1488">
        <f>IF($AG1488="","",Config!$B$17)</f>
        <v/>
      </c>
      <c r="U1488">
        <f>IF($AG1488="","",Config!$B$18)</f>
        <v/>
      </c>
      <c r="V1488">
        <f>IF($AG1488="","",Config!$B$19)</f>
        <v/>
      </c>
      <c r="W1488">
        <f>IF($AG1488="","",INDEX('TMP Paste'!$C$2:$C$1601,$AG1488))</f>
        <v/>
      </c>
      <c r="X1488">
        <f>IF($AG1488="","",Config!$B$29)</f>
        <v/>
      </c>
      <c r="Y1488">
        <f>IF($AH1488="","",INDEX(Calc!$I$2:$I$1601,$AH1488)&amp;" - "&amp;INDEX(Calc!$D$2:$D$1601,$AH1488)&amp;" koli")</f>
        <v/>
      </c>
      <c r="Z1488">
        <f>IF($AG1488="","",Config!$B$21)</f>
        <v/>
      </c>
      <c r="AA1488">
        <f>IF($AG1488="","",Config!$B$22)</f>
        <v/>
      </c>
      <c r="AB1488">
        <f>IF($AH1488="","",INDEX(Calc!$D$2:$D$1601,$AH1488))</f>
        <v/>
      </c>
      <c r="AC1488">
        <f>IF($AH1488="","",INDEX(Calc!$G$2:$G$1601,$AH1488))</f>
        <v/>
      </c>
      <c r="AD1488">
        <f>IF($AG1488="","",Config!$B$23)</f>
        <v/>
      </c>
      <c r="AE1488">
        <f>IF($AG1488="","",Config!$B$28)</f>
        <v/>
      </c>
      <c r="AG1488">
        <f>IFERROR(MATCH(ROW()-1,Calc!$J$2:$J$1601,0),"")</f>
        <v/>
      </c>
      <c r="AH1488">
        <f>IFERROR(MATCH(ROW()-1,Calc!$K$2:$K$1601,0),"")</f>
        <v/>
      </c>
      <c r="AI1488">
        <f>IF($AG1488="","",SUMIF($AG$2:$AG1488,$AG1488,$AH$2:$AH1488))</f>
        <v/>
      </c>
      <c r="AJ1488">
        <f>IF('TMP Paste'!$F1488="","",IF('TMP Paste'!$B1488="",$AJ1487,'TMP Paste'!$B1488))</f>
        <v/>
      </c>
      <c r="AK1488">
        <f>IF('TMP Paste'!$F1488="","",N('TMP Paste'!$G1488))</f>
        <v/>
      </c>
      <c r="AL1488">
        <f>IF('TMP Paste'!$F1488="","",IF('TMP Paste'!$M1488="",$AL1487,'TMP Paste'!$M1488))</f>
        <v/>
      </c>
      <c r="AM1488">
        <f>IF('TMP Paste'!$F1488="","",IF('TMP Paste'!$N1488="",$AM1487,'TMP Paste'!$N1488))</f>
        <v/>
      </c>
      <c r="AN1488">
        <f>IF('TMP Paste'!$F1488="","",IF('TMP Paste'!$O1488="",$AN1487,'TMP Paste'!$O1488))</f>
        <v/>
      </c>
      <c r="AO1488">
        <f>IF('TMP Paste'!$F1488="","",IF('TMP Paste'!$P1488="",$AO1487,'TMP Paste'!$P1488))</f>
        <v/>
      </c>
      <c r="AP1488">
        <f>IF($AG1488="","",LEN($R1488))</f>
        <v/>
      </c>
      <c r="AQ1488">
        <f>IF($AG1488="","",TRIM(IF(COUNTIFS(Calc!$B$2:$B$1601,ROW()-1,Calc!$C$2:$C$1601,"&lt;1")&gt;0,"Ada PO tanpa Koli - cek TMP. ","")&amp;IF(LEN($R1488)&gt;500,"R &gt; 500 karakter.","")))</f>
        <v/>
      </c>
    </row>
    <row r="1489">
      <c r="A1489">
        <f>IF($AG1489="","",INDEX('TMP Paste'!$B$2:$B$1601,$AG1489))</f>
        <v/>
      </c>
      <c r="B1489">
        <f>IF($AG1489="","",Config!$B$14)</f>
        <v/>
      </c>
      <c r="C1489">
        <f>IF($AG1489="","",Config!$B$15)</f>
        <v/>
      </c>
      <c r="D1489">
        <f>IF($AG1489="","",INDEX('TMP Paste'!$B$2:$B$1601,$AG1489))</f>
        <v/>
      </c>
      <c r="E1489">
        <f>IF($AG1489="","",Config!$B$27)</f>
        <v/>
      </c>
      <c r="F1489">
        <f>IF($AG1489="","",Config!$B$9)</f>
        <v/>
      </c>
      <c r="G1489">
        <f>IF($AG1489="","",Config!$B$10)</f>
        <v/>
      </c>
      <c r="H1489">
        <f>IF($AG1489="","",Config!$B$11)</f>
        <v/>
      </c>
      <c r="I1489">
        <f>IF($AG1489="","",Config!$B$16)</f>
        <v/>
      </c>
      <c r="J1489">
        <f>IF($AG1489="","",INDEX('TMP Paste'!$A$2:$A$1601,$AG1489))</f>
        <v/>
      </c>
      <c r="K1489">
        <f>IF($AG1489="","",INDEX('TMP Paste'!$L$2:$L$1601,$AG1489))</f>
        <v/>
      </c>
      <c r="L1489">
        <f>IF($AG1489="","",INDEX('TMP Paste'!$I$2:$I$1601,$AG1489))</f>
        <v/>
      </c>
      <c r="M1489">
        <f>IF($AG1489="","",Config!$B$16)</f>
        <v/>
      </c>
      <c r="N1489">
        <f>IF($AG1489="","","")</f>
        <v/>
      </c>
      <c r="O1489">
        <f>IF($AG1489="","",INDEX('TMP Paste'!$K$2:$K$1601,$AG1489))</f>
        <v/>
      </c>
      <c r="P1489">
        <f>IF($AG1489="","","")</f>
        <v/>
      </c>
      <c r="Q1489">
        <f>IF($AG1489="","",INDEX('TMP Paste'!$J$2:$J$1601,$AG1489))</f>
        <v/>
      </c>
      <c r="R1489">
        <f>IF($AG1489="","",Config!$B$24)</f>
        <v/>
      </c>
      <c r="S1489">
        <f>IF($AG1489="","",TEXT(Config!$B$4,"yyyy-mm-dd"))</f>
        <v/>
      </c>
      <c r="T1489">
        <f>IF($AG1489="","",Config!$B$17)</f>
        <v/>
      </c>
      <c r="U1489">
        <f>IF($AG1489="","",Config!$B$18)</f>
        <v/>
      </c>
      <c r="V1489">
        <f>IF($AG1489="","",Config!$B$19)</f>
        <v/>
      </c>
      <c r="W1489">
        <f>IF($AG1489="","",INDEX('TMP Paste'!$C$2:$C$1601,$AG1489))</f>
        <v/>
      </c>
      <c r="X1489">
        <f>IF($AG1489="","",Config!$B$29)</f>
        <v/>
      </c>
      <c r="Y1489">
        <f>IF($AH1489="","",INDEX(Calc!$I$2:$I$1601,$AH1489)&amp;" - "&amp;INDEX(Calc!$D$2:$D$1601,$AH1489)&amp;" koli")</f>
        <v/>
      </c>
      <c r="Z1489">
        <f>IF($AG1489="","",Config!$B$21)</f>
        <v/>
      </c>
      <c r="AA1489">
        <f>IF($AG1489="","",Config!$B$22)</f>
        <v/>
      </c>
      <c r="AB1489">
        <f>IF($AH1489="","",INDEX(Calc!$D$2:$D$1601,$AH1489))</f>
        <v/>
      </c>
      <c r="AC1489">
        <f>IF($AH1489="","",INDEX(Calc!$G$2:$G$1601,$AH1489))</f>
        <v/>
      </c>
      <c r="AD1489">
        <f>IF($AG1489="","",Config!$B$23)</f>
        <v/>
      </c>
      <c r="AE1489">
        <f>IF($AG1489="","",Config!$B$28)</f>
        <v/>
      </c>
      <c r="AG1489">
        <f>IFERROR(MATCH(ROW()-1,Calc!$J$2:$J$1601,0),"")</f>
        <v/>
      </c>
      <c r="AH1489">
        <f>IFERROR(MATCH(ROW()-1,Calc!$K$2:$K$1601,0),"")</f>
        <v/>
      </c>
      <c r="AI1489">
        <f>IF($AG1489="","",SUMIF($AG$2:$AG1489,$AG1489,$AH$2:$AH1489))</f>
        <v/>
      </c>
      <c r="AJ1489">
        <f>IF('TMP Paste'!$F1489="","",IF('TMP Paste'!$B1489="",$AJ1488,'TMP Paste'!$B1489))</f>
        <v/>
      </c>
      <c r="AK1489">
        <f>IF('TMP Paste'!$F1489="","",N('TMP Paste'!$G1489))</f>
        <v/>
      </c>
      <c r="AL1489">
        <f>IF('TMP Paste'!$F1489="","",IF('TMP Paste'!$M1489="",$AL1488,'TMP Paste'!$M1489))</f>
        <v/>
      </c>
      <c r="AM1489">
        <f>IF('TMP Paste'!$F1489="","",IF('TMP Paste'!$N1489="",$AM1488,'TMP Paste'!$N1489))</f>
        <v/>
      </c>
      <c r="AN1489">
        <f>IF('TMP Paste'!$F1489="","",IF('TMP Paste'!$O1489="",$AN1488,'TMP Paste'!$O1489))</f>
        <v/>
      </c>
      <c r="AO1489">
        <f>IF('TMP Paste'!$F1489="","",IF('TMP Paste'!$P1489="",$AO1488,'TMP Paste'!$P1489))</f>
        <v/>
      </c>
      <c r="AP1489">
        <f>IF($AG1489="","",LEN($R1489))</f>
        <v/>
      </c>
      <c r="AQ1489">
        <f>IF($AG1489="","",TRIM(IF(COUNTIFS(Calc!$B$2:$B$1601,ROW()-1,Calc!$C$2:$C$1601,"&lt;1")&gt;0,"Ada PO tanpa Koli - cek TMP. ","")&amp;IF(LEN($R1489)&gt;500,"R &gt; 500 karakter.","")))</f>
        <v/>
      </c>
    </row>
    <row r="1490">
      <c r="A1490">
        <f>IF($AG1490="","",INDEX('TMP Paste'!$B$2:$B$1601,$AG1490))</f>
        <v/>
      </c>
      <c r="B1490">
        <f>IF($AG1490="","",Config!$B$14)</f>
        <v/>
      </c>
      <c r="C1490">
        <f>IF($AG1490="","",Config!$B$15)</f>
        <v/>
      </c>
      <c r="D1490">
        <f>IF($AG1490="","",INDEX('TMP Paste'!$B$2:$B$1601,$AG1490))</f>
        <v/>
      </c>
      <c r="E1490">
        <f>IF($AG1490="","",Config!$B$27)</f>
        <v/>
      </c>
      <c r="F1490">
        <f>IF($AG1490="","",Config!$B$9)</f>
        <v/>
      </c>
      <c r="G1490">
        <f>IF($AG1490="","",Config!$B$10)</f>
        <v/>
      </c>
      <c r="H1490">
        <f>IF($AG1490="","",Config!$B$11)</f>
        <v/>
      </c>
      <c r="I1490">
        <f>IF($AG1490="","",Config!$B$16)</f>
        <v/>
      </c>
      <c r="J1490">
        <f>IF($AG1490="","",INDEX('TMP Paste'!$A$2:$A$1601,$AG1490))</f>
        <v/>
      </c>
      <c r="K1490">
        <f>IF($AG1490="","",INDEX('TMP Paste'!$L$2:$L$1601,$AG1490))</f>
        <v/>
      </c>
      <c r="L1490">
        <f>IF($AG1490="","",INDEX('TMP Paste'!$I$2:$I$1601,$AG1490))</f>
        <v/>
      </c>
      <c r="M1490">
        <f>IF($AG1490="","",Config!$B$16)</f>
        <v/>
      </c>
      <c r="N1490">
        <f>IF($AG1490="","","")</f>
        <v/>
      </c>
      <c r="O1490">
        <f>IF($AG1490="","",INDEX('TMP Paste'!$K$2:$K$1601,$AG1490))</f>
        <v/>
      </c>
      <c r="P1490">
        <f>IF($AG1490="","","")</f>
        <v/>
      </c>
      <c r="Q1490">
        <f>IF($AG1490="","",INDEX('TMP Paste'!$J$2:$J$1601,$AG1490))</f>
        <v/>
      </c>
      <c r="R1490">
        <f>IF($AG1490="","",Config!$B$24)</f>
        <v/>
      </c>
      <c r="S1490">
        <f>IF($AG1490="","",TEXT(Config!$B$4,"yyyy-mm-dd"))</f>
        <v/>
      </c>
      <c r="T1490">
        <f>IF($AG1490="","",Config!$B$17)</f>
        <v/>
      </c>
      <c r="U1490">
        <f>IF($AG1490="","",Config!$B$18)</f>
        <v/>
      </c>
      <c r="V1490">
        <f>IF($AG1490="","",Config!$B$19)</f>
        <v/>
      </c>
      <c r="W1490">
        <f>IF($AG1490="","",INDEX('TMP Paste'!$C$2:$C$1601,$AG1490))</f>
        <v/>
      </c>
      <c r="X1490">
        <f>IF($AG1490="","",Config!$B$29)</f>
        <v/>
      </c>
      <c r="Y1490">
        <f>IF($AH1490="","",INDEX(Calc!$I$2:$I$1601,$AH1490)&amp;" - "&amp;INDEX(Calc!$D$2:$D$1601,$AH1490)&amp;" koli")</f>
        <v/>
      </c>
      <c r="Z1490">
        <f>IF($AG1490="","",Config!$B$21)</f>
        <v/>
      </c>
      <c r="AA1490">
        <f>IF($AG1490="","",Config!$B$22)</f>
        <v/>
      </c>
      <c r="AB1490">
        <f>IF($AH1490="","",INDEX(Calc!$D$2:$D$1601,$AH1490))</f>
        <v/>
      </c>
      <c r="AC1490">
        <f>IF($AH1490="","",INDEX(Calc!$G$2:$G$1601,$AH1490))</f>
        <v/>
      </c>
      <c r="AD1490">
        <f>IF($AG1490="","",Config!$B$23)</f>
        <v/>
      </c>
      <c r="AE1490">
        <f>IF($AG1490="","",Config!$B$28)</f>
        <v/>
      </c>
      <c r="AG1490">
        <f>IFERROR(MATCH(ROW()-1,Calc!$J$2:$J$1601,0),"")</f>
        <v/>
      </c>
      <c r="AH1490">
        <f>IFERROR(MATCH(ROW()-1,Calc!$K$2:$K$1601,0),"")</f>
        <v/>
      </c>
      <c r="AI1490">
        <f>IF($AG1490="","",SUMIF($AG$2:$AG1490,$AG1490,$AH$2:$AH1490))</f>
        <v/>
      </c>
      <c r="AJ1490">
        <f>IF('TMP Paste'!$F1490="","",IF('TMP Paste'!$B1490="",$AJ1489,'TMP Paste'!$B1490))</f>
        <v/>
      </c>
      <c r="AK1490">
        <f>IF('TMP Paste'!$F1490="","",N('TMP Paste'!$G1490))</f>
        <v/>
      </c>
      <c r="AL1490">
        <f>IF('TMP Paste'!$F1490="","",IF('TMP Paste'!$M1490="",$AL1489,'TMP Paste'!$M1490))</f>
        <v/>
      </c>
      <c r="AM1490">
        <f>IF('TMP Paste'!$F1490="","",IF('TMP Paste'!$N1490="",$AM1489,'TMP Paste'!$N1490))</f>
        <v/>
      </c>
      <c r="AN1490">
        <f>IF('TMP Paste'!$F1490="","",IF('TMP Paste'!$O1490="",$AN1489,'TMP Paste'!$O1490))</f>
        <v/>
      </c>
      <c r="AO1490">
        <f>IF('TMP Paste'!$F1490="","",IF('TMP Paste'!$P1490="",$AO1489,'TMP Paste'!$P1490))</f>
        <v/>
      </c>
      <c r="AP1490">
        <f>IF($AG1490="","",LEN($R1490))</f>
        <v/>
      </c>
      <c r="AQ1490">
        <f>IF($AG1490="","",TRIM(IF(COUNTIFS(Calc!$B$2:$B$1601,ROW()-1,Calc!$C$2:$C$1601,"&lt;1")&gt;0,"Ada PO tanpa Koli - cek TMP. ","")&amp;IF(LEN($R1490)&gt;500,"R &gt; 500 karakter.","")))</f>
        <v/>
      </c>
    </row>
    <row r="1491">
      <c r="A1491">
        <f>IF($AG1491="","",INDEX('TMP Paste'!$B$2:$B$1601,$AG1491))</f>
        <v/>
      </c>
      <c r="B1491">
        <f>IF($AG1491="","",Config!$B$14)</f>
        <v/>
      </c>
      <c r="C1491">
        <f>IF($AG1491="","",Config!$B$15)</f>
        <v/>
      </c>
      <c r="D1491">
        <f>IF($AG1491="","",INDEX('TMP Paste'!$B$2:$B$1601,$AG1491))</f>
        <v/>
      </c>
      <c r="E1491">
        <f>IF($AG1491="","",Config!$B$27)</f>
        <v/>
      </c>
      <c r="F1491">
        <f>IF($AG1491="","",Config!$B$9)</f>
        <v/>
      </c>
      <c r="G1491">
        <f>IF($AG1491="","",Config!$B$10)</f>
        <v/>
      </c>
      <c r="H1491">
        <f>IF($AG1491="","",Config!$B$11)</f>
        <v/>
      </c>
      <c r="I1491">
        <f>IF($AG1491="","",Config!$B$16)</f>
        <v/>
      </c>
      <c r="J1491">
        <f>IF($AG1491="","",INDEX('TMP Paste'!$A$2:$A$1601,$AG1491))</f>
        <v/>
      </c>
      <c r="K1491">
        <f>IF($AG1491="","",INDEX('TMP Paste'!$L$2:$L$1601,$AG1491))</f>
        <v/>
      </c>
      <c r="L1491">
        <f>IF($AG1491="","",INDEX('TMP Paste'!$I$2:$I$1601,$AG1491))</f>
        <v/>
      </c>
      <c r="M1491">
        <f>IF($AG1491="","",Config!$B$16)</f>
        <v/>
      </c>
      <c r="N1491">
        <f>IF($AG1491="","","")</f>
        <v/>
      </c>
      <c r="O1491">
        <f>IF($AG1491="","",INDEX('TMP Paste'!$K$2:$K$1601,$AG1491))</f>
        <v/>
      </c>
      <c r="P1491">
        <f>IF($AG1491="","","")</f>
        <v/>
      </c>
      <c r="Q1491">
        <f>IF($AG1491="","",INDEX('TMP Paste'!$J$2:$J$1601,$AG1491))</f>
        <v/>
      </c>
      <c r="R1491">
        <f>IF($AG1491="","",Config!$B$24)</f>
        <v/>
      </c>
      <c r="S1491">
        <f>IF($AG1491="","",TEXT(Config!$B$4,"yyyy-mm-dd"))</f>
        <v/>
      </c>
      <c r="T1491">
        <f>IF($AG1491="","",Config!$B$17)</f>
        <v/>
      </c>
      <c r="U1491">
        <f>IF($AG1491="","",Config!$B$18)</f>
        <v/>
      </c>
      <c r="V1491">
        <f>IF($AG1491="","",Config!$B$19)</f>
        <v/>
      </c>
      <c r="W1491">
        <f>IF($AG1491="","",INDEX('TMP Paste'!$C$2:$C$1601,$AG1491))</f>
        <v/>
      </c>
      <c r="X1491">
        <f>IF($AG1491="","",Config!$B$29)</f>
        <v/>
      </c>
      <c r="Y1491">
        <f>IF($AH1491="","",INDEX(Calc!$I$2:$I$1601,$AH1491)&amp;" - "&amp;INDEX(Calc!$D$2:$D$1601,$AH1491)&amp;" koli")</f>
        <v/>
      </c>
      <c r="Z1491">
        <f>IF($AG1491="","",Config!$B$21)</f>
        <v/>
      </c>
      <c r="AA1491">
        <f>IF($AG1491="","",Config!$B$22)</f>
        <v/>
      </c>
      <c r="AB1491">
        <f>IF($AH1491="","",INDEX(Calc!$D$2:$D$1601,$AH1491))</f>
        <v/>
      </c>
      <c r="AC1491">
        <f>IF($AH1491="","",INDEX(Calc!$G$2:$G$1601,$AH1491))</f>
        <v/>
      </c>
      <c r="AD1491">
        <f>IF($AG1491="","",Config!$B$23)</f>
        <v/>
      </c>
      <c r="AE1491">
        <f>IF($AG1491="","",Config!$B$28)</f>
        <v/>
      </c>
      <c r="AG1491">
        <f>IFERROR(MATCH(ROW()-1,Calc!$J$2:$J$1601,0),"")</f>
        <v/>
      </c>
      <c r="AH1491">
        <f>IFERROR(MATCH(ROW()-1,Calc!$K$2:$K$1601,0),"")</f>
        <v/>
      </c>
      <c r="AI1491">
        <f>IF($AG1491="","",SUMIF($AG$2:$AG1491,$AG1491,$AH$2:$AH1491))</f>
        <v/>
      </c>
      <c r="AJ1491">
        <f>IF('TMP Paste'!$F1491="","",IF('TMP Paste'!$B1491="",$AJ1490,'TMP Paste'!$B1491))</f>
        <v/>
      </c>
      <c r="AK1491">
        <f>IF('TMP Paste'!$F1491="","",N('TMP Paste'!$G1491))</f>
        <v/>
      </c>
      <c r="AL1491">
        <f>IF('TMP Paste'!$F1491="","",IF('TMP Paste'!$M1491="",$AL1490,'TMP Paste'!$M1491))</f>
        <v/>
      </c>
      <c r="AM1491">
        <f>IF('TMP Paste'!$F1491="","",IF('TMP Paste'!$N1491="",$AM1490,'TMP Paste'!$N1491))</f>
        <v/>
      </c>
      <c r="AN1491">
        <f>IF('TMP Paste'!$F1491="","",IF('TMP Paste'!$O1491="",$AN1490,'TMP Paste'!$O1491))</f>
        <v/>
      </c>
      <c r="AO1491">
        <f>IF('TMP Paste'!$F1491="","",IF('TMP Paste'!$P1491="",$AO1490,'TMP Paste'!$P1491))</f>
        <v/>
      </c>
      <c r="AP1491">
        <f>IF($AG1491="","",LEN($R1491))</f>
        <v/>
      </c>
      <c r="AQ1491">
        <f>IF($AG1491="","",TRIM(IF(COUNTIFS(Calc!$B$2:$B$1601,ROW()-1,Calc!$C$2:$C$1601,"&lt;1")&gt;0,"Ada PO tanpa Koli - cek TMP. ","")&amp;IF(LEN($R1491)&gt;500,"R &gt; 500 karakter.","")))</f>
        <v/>
      </c>
    </row>
    <row r="1492">
      <c r="A1492">
        <f>IF($AG1492="","",INDEX('TMP Paste'!$B$2:$B$1601,$AG1492))</f>
        <v/>
      </c>
      <c r="B1492">
        <f>IF($AG1492="","",Config!$B$14)</f>
        <v/>
      </c>
      <c r="C1492">
        <f>IF($AG1492="","",Config!$B$15)</f>
        <v/>
      </c>
      <c r="D1492">
        <f>IF($AG1492="","",INDEX('TMP Paste'!$B$2:$B$1601,$AG1492))</f>
        <v/>
      </c>
      <c r="E1492">
        <f>IF($AG1492="","",Config!$B$27)</f>
        <v/>
      </c>
      <c r="F1492">
        <f>IF($AG1492="","",Config!$B$9)</f>
        <v/>
      </c>
      <c r="G1492">
        <f>IF($AG1492="","",Config!$B$10)</f>
        <v/>
      </c>
      <c r="H1492">
        <f>IF($AG1492="","",Config!$B$11)</f>
        <v/>
      </c>
      <c r="I1492">
        <f>IF($AG1492="","",Config!$B$16)</f>
        <v/>
      </c>
      <c r="J1492">
        <f>IF($AG1492="","",INDEX('TMP Paste'!$A$2:$A$1601,$AG1492))</f>
        <v/>
      </c>
      <c r="K1492">
        <f>IF($AG1492="","",INDEX('TMP Paste'!$L$2:$L$1601,$AG1492))</f>
        <v/>
      </c>
      <c r="L1492">
        <f>IF($AG1492="","",INDEX('TMP Paste'!$I$2:$I$1601,$AG1492))</f>
        <v/>
      </c>
      <c r="M1492">
        <f>IF($AG1492="","",Config!$B$16)</f>
        <v/>
      </c>
      <c r="N1492">
        <f>IF($AG1492="","","")</f>
        <v/>
      </c>
      <c r="O1492">
        <f>IF($AG1492="","",INDEX('TMP Paste'!$K$2:$K$1601,$AG1492))</f>
        <v/>
      </c>
      <c r="P1492">
        <f>IF($AG1492="","","")</f>
        <v/>
      </c>
      <c r="Q1492">
        <f>IF($AG1492="","",INDEX('TMP Paste'!$J$2:$J$1601,$AG1492))</f>
        <v/>
      </c>
      <c r="R1492">
        <f>IF($AG1492="","",Config!$B$24)</f>
        <v/>
      </c>
      <c r="S1492">
        <f>IF($AG1492="","",TEXT(Config!$B$4,"yyyy-mm-dd"))</f>
        <v/>
      </c>
      <c r="T1492">
        <f>IF($AG1492="","",Config!$B$17)</f>
        <v/>
      </c>
      <c r="U1492">
        <f>IF($AG1492="","",Config!$B$18)</f>
        <v/>
      </c>
      <c r="V1492">
        <f>IF($AG1492="","",Config!$B$19)</f>
        <v/>
      </c>
      <c r="W1492">
        <f>IF($AG1492="","",INDEX('TMP Paste'!$C$2:$C$1601,$AG1492))</f>
        <v/>
      </c>
      <c r="X1492">
        <f>IF($AG1492="","",Config!$B$29)</f>
        <v/>
      </c>
      <c r="Y1492">
        <f>IF($AH1492="","",INDEX(Calc!$I$2:$I$1601,$AH1492)&amp;" - "&amp;INDEX(Calc!$D$2:$D$1601,$AH1492)&amp;" koli")</f>
        <v/>
      </c>
      <c r="Z1492">
        <f>IF($AG1492="","",Config!$B$21)</f>
        <v/>
      </c>
      <c r="AA1492">
        <f>IF($AG1492="","",Config!$B$22)</f>
        <v/>
      </c>
      <c r="AB1492">
        <f>IF($AH1492="","",INDEX(Calc!$D$2:$D$1601,$AH1492))</f>
        <v/>
      </c>
      <c r="AC1492">
        <f>IF($AH1492="","",INDEX(Calc!$G$2:$G$1601,$AH1492))</f>
        <v/>
      </c>
      <c r="AD1492">
        <f>IF($AG1492="","",Config!$B$23)</f>
        <v/>
      </c>
      <c r="AE1492">
        <f>IF($AG1492="","",Config!$B$28)</f>
        <v/>
      </c>
      <c r="AG1492">
        <f>IFERROR(MATCH(ROW()-1,Calc!$J$2:$J$1601,0),"")</f>
        <v/>
      </c>
      <c r="AH1492">
        <f>IFERROR(MATCH(ROW()-1,Calc!$K$2:$K$1601,0),"")</f>
        <v/>
      </c>
      <c r="AI1492">
        <f>IF($AG1492="","",SUMIF($AG$2:$AG1492,$AG1492,$AH$2:$AH1492))</f>
        <v/>
      </c>
      <c r="AJ1492">
        <f>IF('TMP Paste'!$F1492="","",IF('TMP Paste'!$B1492="",$AJ1491,'TMP Paste'!$B1492))</f>
        <v/>
      </c>
      <c r="AK1492">
        <f>IF('TMP Paste'!$F1492="","",N('TMP Paste'!$G1492))</f>
        <v/>
      </c>
      <c r="AL1492">
        <f>IF('TMP Paste'!$F1492="","",IF('TMP Paste'!$M1492="",$AL1491,'TMP Paste'!$M1492))</f>
        <v/>
      </c>
      <c r="AM1492">
        <f>IF('TMP Paste'!$F1492="","",IF('TMP Paste'!$N1492="",$AM1491,'TMP Paste'!$N1492))</f>
        <v/>
      </c>
      <c r="AN1492">
        <f>IF('TMP Paste'!$F1492="","",IF('TMP Paste'!$O1492="",$AN1491,'TMP Paste'!$O1492))</f>
        <v/>
      </c>
      <c r="AO1492">
        <f>IF('TMP Paste'!$F1492="","",IF('TMP Paste'!$P1492="",$AO1491,'TMP Paste'!$P1492))</f>
        <v/>
      </c>
      <c r="AP1492">
        <f>IF($AG1492="","",LEN($R1492))</f>
        <v/>
      </c>
      <c r="AQ1492">
        <f>IF($AG1492="","",TRIM(IF(COUNTIFS(Calc!$B$2:$B$1601,ROW()-1,Calc!$C$2:$C$1601,"&lt;1")&gt;0,"Ada PO tanpa Koli - cek TMP. ","")&amp;IF(LEN($R1492)&gt;500,"R &gt; 500 karakter.","")))</f>
        <v/>
      </c>
    </row>
    <row r="1493">
      <c r="A1493">
        <f>IF($AG1493="","",INDEX('TMP Paste'!$B$2:$B$1601,$AG1493))</f>
        <v/>
      </c>
      <c r="B1493">
        <f>IF($AG1493="","",Config!$B$14)</f>
        <v/>
      </c>
      <c r="C1493">
        <f>IF($AG1493="","",Config!$B$15)</f>
        <v/>
      </c>
      <c r="D1493">
        <f>IF($AG1493="","",INDEX('TMP Paste'!$B$2:$B$1601,$AG1493))</f>
        <v/>
      </c>
      <c r="E1493">
        <f>IF($AG1493="","",Config!$B$27)</f>
        <v/>
      </c>
      <c r="F1493">
        <f>IF($AG1493="","",Config!$B$9)</f>
        <v/>
      </c>
      <c r="G1493">
        <f>IF($AG1493="","",Config!$B$10)</f>
        <v/>
      </c>
      <c r="H1493">
        <f>IF($AG1493="","",Config!$B$11)</f>
        <v/>
      </c>
      <c r="I1493">
        <f>IF($AG1493="","",Config!$B$16)</f>
        <v/>
      </c>
      <c r="J1493">
        <f>IF($AG1493="","",INDEX('TMP Paste'!$A$2:$A$1601,$AG1493))</f>
        <v/>
      </c>
      <c r="K1493">
        <f>IF($AG1493="","",INDEX('TMP Paste'!$L$2:$L$1601,$AG1493))</f>
        <v/>
      </c>
      <c r="L1493">
        <f>IF($AG1493="","",INDEX('TMP Paste'!$I$2:$I$1601,$AG1493))</f>
        <v/>
      </c>
      <c r="M1493">
        <f>IF($AG1493="","",Config!$B$16)</f>
        <v/>
      </c>
      <c r="N1493">
        <f>IF($AG1493="","","")</f>
        <v/>
      </c>
      <c r="O1493">
        <f>IF($AG1493="","",INDEX('TMP Paste'!$K$2:$K$1601,$AG1493))</f>
        <v/>
      </c>
      <c r="P1493">
        <f>IF($AG1493="","","")</f>
        <v/>
      </c>
      <c r="Q1493">
        <f>IF($AG1493="","",INDEX('TMP Paste'!$J$2:$J$1601,$AG1493))</f>
        <v/>
      </c>
      <c r="R1493">
        <f>IF($AG1493="","",Config!$B$24)</f>
        <v/>
      </c>
      <c r="S1493">
        <f>IF($AG1493="","",TEXT(Config!$B$4,"yyyy-mm-dd"))</f>
        <v/>
      </c>
      <c r="T1493">
        <f>IF($AG1493="","",Config!$B$17)</f>
        <v/>
      </c>
      <c r="U1493">
        <f>IF($AG1493="","",Config!$B$18)</f>
        <v/>
      </c>
      <c r="V1493">
        <f>IF($AG1493="","",Config!$B$19)</f>
        <v/>
      </c>
      <c r="W1493">
        <f>IF($AG1493="","",INDEX('TMP Paste'!$C$2:$C$1601,$AG1493))</f>
        <v/>
      </c>
      <c r="X1493">
        <f>IF($AG1493="","",Config!$B$29)</f>
        <v/>
      </c>
      <c r="Y1493">
        <f>IF($AH1493="","",INDEX(Calc!$I$2:$I$1601,$AH1493)&amp;" - "&amp;INDEX(Calc!$D$2:$D$1601,$AH1493)&amp;" koli")</f>
        <v/>
      </c>
      <c r="Z1493">
        <f>IF($AG1493="","",Config!$B$21)</f>
        <v/>
      </c>
      <c r="AA1493">
        <f>IF($AG1493="","",Config!$B$22)</f>
        <v/>
      </c>
      <c r="AB1493">
        <f>IF($AH1493="","",INDEX(Calc!$D$2:$D$1601,$AH1493))</f>
        <v/>
      </c>
      <c r="AC1493">
        <f>IF($AH1493="","",INDEX(Calc!$G$2:$G$1601,$AH1493))</f>
        <v/>
      </c>
      <c r="AD1493">
        <f>IF($AG1493="","",Config!$B$23)</f>
        <v/>
      </c>
      <c r="AE1493">
        <f>IF($AG1493="","",Config!$B$28)</f>
        <v/>
      </c>
      <c r="AG1493">
        <f>IFERROR(MATCH(ROW()-1,Calc!$J$2:$J$1601,0),"")</f>
        <v/>
      </c>
      <c r="AH1493">
        <f>IFERROR(MATCH(ROW()-1,Calc!$K$2:$K$1601,0),"")</f>
        <v/>
      </c>
      <c r="AI1493">
        <f>IF($AG1493="","",SUMIF($AG$2:$AG1493,$AG1493,$AH$2:$AH1493))</f>
        <v/>
      </c>
      <c r="AJ1493">
        <f>IF('TMP Paste'!$F1493="","",IF('TMP Paste'!$B1493="",$AJ1492,'TMP Paste'!$B1493))</f>
        <v/>
      </c>
      <c r="AK1493">
        <f>IF('TMP Paste'!$F1493="","",N('TMP Paste'!$G1493))</f>
        <v/>
      </c>
      <c r="AL1493">
        <f>IF('TMP Paste'!$F1493="","",IF('TMP Paste'!$M1493="",$AL1492,'TMP Paste'!$M1493))</f>
        <v/>
      </c>
      <c r="AM1493">
        <f>IF('TMP Paste'!$F1493="","",IF('TMP Paste'!$N1493="",$AM1492,'TMP Paste'!$N1493))</f>
        <v/>
      </c>
      <c r="AN1493">
        <f>IF('TMP Paste'!$F1493="","",IF('TMP Paste'!$O1493="",$AN1492,'TMP Paste'!$O1493))</f>
        <v/>
      </c>
      <c r="AO1493">
        <f>IF('TMP Paste'!$F1493="","",IF('TMP Paste'!$P1493="",$AO1492,'TMP Paste'!$P1493))</f>
        <v/>
      </c>
      <c r="AP1493">
        <f>IF($AG1493="","",LEN($R1493))</f>
        <v/>
      </c>
      <c r="AQ1493">
        <f>IF($AG1493="","",TRIM(IF(COUNTIFS(Calc!$B$2:$B$1601,ROW()-1,Calc!$C$2:$C$1601,"&lt;1")&gt;0,"Ada PO tanpa Koli - cek TMP. ","")&amp;IF(LEN($R1493)&gt;500,"R &gt; 500 karakter.","")))</f>
        <v/>
      </c>
    </row>
    <row r="1494">
      <c r="A1494">
        <f>IF($AG1494="","",INDEX('TMP Paste'!$B$2:$B$1601,$AG1494))</f>
        <v/>
      </c>
      <c r="B1494">
        <f>IF($AG1494="","",Config!$B$14)</f>
        <v/>
      </c>
      <c r="C1494">
        <f>IF($AG1494="","",Config!$B$15)</f>
        <v/>
      </c>
      <c r="D1494">
        <f>IF($AG1494="","",INDEX('TMP Paste'!$B$2:$B$1601,$AG1494))</f>
        <v/>
      </c>
      <c r="E1494">
        <f>IF($AG1494="","",Config!$B$27)</f>
        <v/>
      </c>
      <c r="F1494">
        <f>IF($AG1494="","",Config!$B$9)</f>
        <v/>
      </c>
      <c r="G1494">
        <f>IF($AG1494="","",Config!$B$10)</f>
        <v/>
      </c>
      <c r="H1494">
        <f>IF($AG1494="","",Config!$B$11)</f>
        <v/>
      </c>
      <c r="I1494">
        <f>IF($AG1494="","",Config!$B$16)</f>
        <v/>
      </c>
      <c r="J1494">
        <f>IF($AG1494="","",INDEX('TMP Paste'!$A$2:$A$1601,$AG1494))</f>
        <v/>
      </c>
      <c r="K1494">
        <f>IF($AG1494="","",INDEX('TMP Paste'!$L$2:$L$1601,$AG1494))</f>
        <v/>
      </c>
      <c r="L1494">
        <f>IF($AG1494="","",INDEX('TMP Paste'!$I$2:$I$1601,$AG1494))</f>
        <v/>
      </c>
      <c r="M1494">
        <f>IF($AG1494="","",Config!$B$16)</f>
        <v/>
      </c>
      <c r="N1494">
        <f>IF($AG1494="","","")</f>
        <v/>
      </c>
      <c r="O1494">
        <f>IF($AG1494="","",INDEX('TMP Paste'!$K$2:$K$1601,$AG1494))</f>
        <v/>
      </c>
      <c r="P1494">
        <f>IF($AG1494="","","")</f>
        <v/>
      </c>
      <c r="Q1494">
        <f>IF($AG1494="","",INDEX('TMP Paste'!$J$2:$J$1601,$AG1494))</f>
        <v/>
      </c>
      <c r="R1494">
        <f>IF($AG1494="","",Config!$B$24)</f>
        <v/>
      </c>
      <c r="S1494">
        <f>IF($AG1494="","",TEXT(Config!$B$4,"yyyy-mm-dd"))</f>
        <v/>
      </c>
      <c r="T1494">
        <f>IF($AG1494="","",Config!$B$17)</f>
        <v/>
      </c>
      <c r="U1494">
        <f>IF($AG1494="","",Config!$B$18)</f>
        <v/>
      </c>
      <c r="V1494">
        <f>IF($AG1494="","",Config!$B$19)</f>
        <v/>
      </c>
      <c r="W1494">
        <f>IF($AG1494="","",INDEX('TMP Paste'!$C$2:$C$1601,$AG1494))</f>
        <v/>
      </c>
      <c r="X1494">
        <f>IF($AG1494="","",Config!$B$29)</f>
        <v/>
      </c>
      <c r="Y1494">
        <f>IF($AH1494="","",INDEX(Calc!$I$2:$I$1601,$AH1494)&amp;" - "&amp;INDEX(Calc!$D$2:$D$1601,$AH1494)&amp;" koli")</f>
        <v/>
      </c>
      <c r="Z1494">
        <f>IF($AG1494="","",Config!$B$21)</f>
        <v/>
      </c>
      <c r="AA1494">
        <f>IF($AG1494="","",Config!$B$22)</f>
        <v/>
      </c>
      <c r="AB1494">
        <f>IF($AH1494="","",INDEX(Calc!$D$2:$D$1601,$AH1494))</f>
        <v/>
      </c>
      <c r="AC1494">
        <f>IF($AH1494="","",INDEX(Calc!$G$2:$G$1601,$AH1494))</f>
        <v/>
      </c>
      <c r="AD1494">
        <f>IF($AG1494="","",Config!$B$23)</f>
        <v/>
      </c>
      <c r="AE1494">
        <f>IF($AG1494="","",Config!$B$28)</f>
        <v/>
      </c>
      <c r="AG1494">
        <f>IFERROR(MATCH(ROW()-1,Calc!$J$2:$J$1601,0),"")</f>
        <v/>
      </c>
      <c r="AH1494">
        <f>IFERROR(MATCH(ROW()-1,Calc!$K$2:$K$1601,0),"")</f>
        <v/>
      </c>
      <c r="AI1494">
        <f>IF($AG1494="","",SUMIF($AG$2:$AG1494,$AG1494,$AH$2:$AH1494))</f>
        <v/>
      </c>
      <c r="AJ1494">
        <f>IF('TMP Paste'!$F1494="","",IF('TMP Paste'!$B1494="",$AJ1493,'TMP Paste'!$B1494))</f>
        <v/>
      </c>
      <c r="AK1494">
        <f>IF('TMP Paste'!$F1494="","",N('TMP Paste'!$G1494))</f>
        <v/>
      </c>
      <c r="AL1494">
        <f>IF('TMP Paste'!$F1494="","",IF('TMP Paste'!$M1494="",$AL1493,'TMP Paste'!$M1494))</f>
        <v/>
      </c>
      <c r="AM1494">
        <f>IF('TMP Paste'!$F1494="","",IF('TMP Paste'!$N1494="",$AM1493,'TMP Paste'!$N1494))</f>
        <v/>
      </c>
      <c r="AN1494">
        <f>IF('TMP Paste'!$F1494="","",IF('TMP Paste'!$O1494="",$AN1493,'TMP Paste'!$O1494))</f>
        <v/>
      </c>
      <c r="AO1494">
        <f>IF('TMP Paste'!$F1494="","",IF('TMP Paste'!$P1494="",$AO1493,'TMP Paste'!$P1494))</f>
        <v/>
      </c>
      <c r="AP1494">
        <f>IF($AG1494="","",LEN($R1494))</f>
        <v/>
      </c>
      <c r="AQ1494">
        <f>IF($AG1494="","",TRIM(IF(COUNTIFS(Calc!$B$2:$B$1601,ROW()-1,Calc!$C$2:$C$1601,"&lt;1")&gt;0,"Ada PO tanpa Koli - cek TMP. ","")&amp;IF(LEN($R1494)&gt;500,"R &gt; 500 karakter.","")))</f>
        <v/>
      </c>
    </row>
    <row r="1495">
      <c r="A1495">
        <f>IF($AG1495="","",INDEX('TMP Paste'!$B$2:$B$1601,$AG1495))</f>
        <v/>
      </c>
      <c r="B1495">
        <f>IF($AG1495="","",Config!$B$14)</f>
        <v/>
      </c>
      <c r="C1495">
        <f>IF($AG1495="","",Config!$B$15)</f>
        <v/>
      </c>
      <c r="D1495">
        <f>IF($AG1495="","",INDEX('TMP Paste'!$B$2:$B$1601,$AG1495))</f>
        <v/>
      </c>
      <c r="E1495">
        <f>IF($AG1495="","",Config!$B$27)</f>
        <v/>
      </c>
      <c r="F1495">
        <f>IF($AG1495="","",Config!$B$9)</f>
        <v/>
      </c>
      <c r="G1495">
        <f>IF($AG1495="","",Config!$B$10)</f>
        <v/>
      </c>
      <c r="H1495">
        <f>IF($AG1495="","",Config!$B$11)</f>
        <v/>
      </c>
      <c r="I1495">
        <f>IF($AG1495="","",Config!$B$16)</f>
        <v/>
      </c>
      <c r="J1495">
        <f>IF($AG1495="","",INDEX('TMP Paste'!$A$2:$A$1601,$AG1495))</f>
        <v/>
      </c>
      <c r="K1495">
        <f>IF($AG1495="","",INDEX('TMP Paste'!$L$2:$L$1601,$AG1495))</f>
        <v/>
      </c>
      <c r="L1495">
        <f>IF($AG1495="","",INDEX('TMP Paste'!$I$2:$I$1601,$AG1495))</f>
        <v/>
      </c>
      <c r="M1495">
        <f>IF($AG1495="","",Config!$B$16)</f>
        <v/>
      </c>
      <c r="N1495">
        <f>IF($AG1495="","","")</f>
        <v/>
      </c>
      <c r="O1495">
        <f>IF($AG1495="","",INDEX('TMP Paste'!$K$2:$K$1601,$AG1495))</f>
        <v/>
      </c>
      <c r="P1495">
        <f>IF($AG1495="","","")</f>
        <v/>
      </c>
      <c r="Q1495">
        <f>IF($AG1495="","",INDEX('TMP Paste'!$J$2:$J$1601,$AG1495))</f>
        <v/>
      </c>
      <c r="R1495">
        <f>IF($AG1495="","",Config!$B$24)</f>
        <v/>
      </c>
      <c r="S1495">
        <f>IF($AG1495="","",TEXT(Config!$B$4,"yyyy-mm-dd"))</f>
        <v/>
      </c>
      <c r="T1495">
        <f>IF($AG1495="","",Config!$B$17)</f>
        <v/>
      </c>
      <c r="U1495">
        <f>IF($AG1495="","",Config!$B$18)</f>
        <v/>
      </c>
      <c r="V1495">
        <f>IF($AG1495="","",Config!$B$19)</f>
        <v/>
      </c>
      <c r="W1495">
        <f>IF($AG1495="","",INDEX('TMP Paste'!$C$2:$C$1601,$AG1495))</f>
        <v/>
      </c>
      <c r="X1495">
        <f>IF($AG1495="","",Config!$B$29)</f>
        <v/>
      </c>
      <c r="Y1495">
        <f>IF($AH1495="","",INDEX(Calc!$I$2:$I$1601,$AH1495)&amp;" - "&amp;INDEX(Calc!$D$2:$D$1601,$AH1495)&amp;" koli")</f>
        <v/>
      </c>
      <c r="Z1495">
        <f>IF($AG1495="","",Config!$B$21)</f>
        <v/>
      </c>
      <c r="AA1495">
        <f>IF($AG1495="","",Config!$B$22)</f>
        <v/>
      </c>
      <c r="AB1495">
        <f>IF($AH1495="","",INDEX(Calc!$D$2:$D$1601,$AH1495))</f>
        <v/>
      </c>
      <c r="AC1495">
        <f>IF($AH1495="","",INDEX(Calc!$G$2:$G$1601,$AH1495))</f>
        <v/>
      </c>
      <c r="AD1495">
        <f>IF($AG1495="","",Config!$B$23)</f>
        <v/>
      </c>
      <c r="AE1495">
        <f>IF($AG1495="","",Config!$B$28)</f>
        <v/>
      </c>
      <c r="AG1495">
        <f>IFERROR(MATCH(ROW()-1,Calc!$J$2:$J$1601,0),"")</f>
        <v/>
      </c>
      <c r="AH1495">
        <f>IFERROR(MATCH(ROW()-1,Calc!$K$2:$K$1601,0),"")</f>
        <v/>
      </c>
      <c r="AI1495">
        <f>IF($AG1495="","",SUMIF($AG$2:$AG1495,$AG1495,$AH$2:$AH1495))</f>
        <v/>
      </c>
      <c r="AJ1495">
        <f>IF('TMP Paste'!$F1495="","",IF('TMP Paste'!$B1495="",$AJ1494,'TMP Paste'!$B1495))</f>
        <v/>
      </c>
      <c r="AK1495">
        <f>IF('TMP Paste'!$F1495="","",N('TMP Paste'!$G1495))</f>
        <v/>
      </c>
      <c r="AL1495">
        <f>IF('TMP Paste'!$F1495="","",IF('TMP Paste'!$M1495="",$AL1494,'TMP Paste'!$M1495))</f>
        <v/>
      </c>
      <c r="AM1495">
        <f>IF('TMP Paste'!$F1495="","",IF('TMP Paste'!$N1495="",$AM1494,'TMP Paste'!$N1495))</f>
        <v/>
      </c>
      <c r="AN1495">
        <f>IF('TMP Paste'!$F1495="","",IF('TMP Paste'!$O1495="",$AN1494,'TMP Paste'!$O1495))</f>
        <v/>
      </c>
      <c r="AO1495">
        <f>IF('TMP Paste'!$F1495="","",IF('TMP Paste'!$P1495="",$AO1494,'TMP Paste'!$P1495))</f>
        <v/>
      </c>
      <c r="AP1495">
        <f>IF($AG1495="","",LEN($R1495))</f>
        <v/>
      </c>
      <c r="AQ1495">
        <f>IF($AG1495="","",TRIM(IF(COUNTIFS(Calc!$B$2:$B$1601,ROW()-1,Calc!$C$2:$C$1601,"&lt;1")&gt;0,"Ada PO tanpa Koli - cek TMP. ","")&amp;IF(LEN($R1495)&gt;500,"R &gt; 500 karakter.","")))</f>
        <v/>
      </c>
    </row>
    <row r="1496">
      <c r="A1496">
        <f>IF($AG1496="","",INDEX('TMP Paste'!$B$2:$B$1601,$AG1496))</f>
        <v/>
      </c>
      <c r="B1496">
        <f>IF($AG1496="","",Config!$B$14)</f>
        <v/>
      </c>
      <c r="C1496">
        <f>IF($AG1496="","",Config!$B$15)</f>
        <v/>
      </c>
      <c r="D1496">
        <f>IF($AG1496="","",INDEX('TMP Paste'!$B$2:$B$1601,$AG1496))</f>
        <v/>
      </c>
      <c r="E1496">
        <f>IF($AG1496="","",Config!$B$27)</f>
        <v/>
      </c>
      <c r="F1496">
        <f>IF($AG1496="","",Config!$B$9)</f>
        <v/>
      </c>
      <c r="G1496">
        <f>IF($AG1496="","",Config!$B$10)</f>
        <v/>
      </c>
      <c r="H1496">
        <f>IF($AG1496="","",Config!$B$11)</f>
        <v/>
      </c>
      <c r="I1496">
        <f>IF($AG1496="","",Config!$B$16)</f>
        <v/>
      </c>
      <c r="J1496">
        <f>IF($AG1496="","",INDEX('TMP Paste'!$A$2:$A$1601,$AG1496))</f>
        <v/>
      </c>
      <c r="K1496">
        <f>IF($AG1496="","",INDEX('TMP Paste'!$L$2:$L$1601,$AG1496))</f>
        <v/>
      </c>
      <c r="L1496">
        <f>IF($AG1496="","",INDEX('TMP Paste'!$I$2:$I$1601,$AG1496))</f>
        <v/>
      </c>
      <c r="M1496">
        <f>IF($AG1496="","",Config!$B$16)</f>
        <v/>
      </c>
      <c r="N1496">
        <f>IF($AG1496="","","")</f>
        <v/>
      </c>
      <c r="O1496">
        <f>IF($AG1496="","",INDEX('TMP Paste'!$K$2:$K$1601,$AG1496))</f>
        <v/>
      </c>
      <c r="P1496">
        <f>IF($AG1496="","","")</f>
        <v/>
      </c>
      <c r="Q1496">
        <f>IF($AG1496="","",INDEX('TMP Paste'!$J$2:$J$1601,$AG1496))</f>
        <v/>
      </c>
      <c r="R1496">
        <f>IF($AG1496="","",Config!$B$24)</f>
        <v/>
      </c>
      <c r="S1496">
        <f>IF($AG1496="","",TEXT(Config!$B$4,"yyyy-mm-dd"))</f>
        <v/>
      </c>
      <c r="T1496">
        <f>IF($AG1496="","",Config!$B$17)</f>
        <v/>
      </c>
      <c r="U1496">
        <f>IF($AG1496="","",Config!$B$18)</f>
        <v/>
      </c>
      <c r="V1496">
        <f>IF($AG1496="","",Config!$B$19)</f>
        <v/>
      </c>
      <c r="W1496">
        <f>IF($AG1496="","",INDEX('TMP Paste'!$C$2:$C$1601,$AG1496))</f>
        <v/>
      </c>
      <c r="X1496">
        <f>IF($AG1496="","",Config!$B$29)</f>
        <v/>
      </c>
      <c r="Y1496">
        <f>IF($AH1496="","",INDEX(Calc!$I$2:$I$1601,$AH1496)&amp;" - "&amp;INDEX(Calc!$D$2:$D$1601,$AH1496)&amp;" koli")</f>
        <v/>
      </c>
      <c r="Z1496">
        <f>IF($AG1496="","",Config!$B$21)</f>
        <v/>
      </c>
      <c r="AA1496">
        <f>IF($AG1496="","",Config!$B$22)</f>
        <v/>
      </c>
      <c r="AB1496">
        <f>IF($AH1496="","",INDEX(Calc!$D$2:$D$1601,$AH1496))</f>
        <v/>
      </c>
      <c r="AC1496">
        <f>IF($AH1496="","",INDEX(Calc!$G$2:$G$1601,$AH1496))</f>
        <v/>
      </c>
      <c r="AD1496">
        <f>IF($AG1496="","",Config!$B$23)</f>
        <v/>
      </c>
      <c r="AE1496">
        <f>IF($AG1496="","",Config!$B$28)</f>
        <v/>
      </c>
      <c r="AG1496">
        <f>IFERROR(MATCH(ROW()-1,Calc!$J$2:$J$1601,0),"")</f>
        <v/>
      </c>
      <c r="AH1496">
        <f>IFERROR(MATCH(ROW()-1,Calc!$K$2:$K$1601,0),"")</f>
        <v/>
      </c>
      <c r="AI1496">
        <f>IF($AG1496="","",SUMIF($AG$2:$AG1496,$AG1496,$AH$2:$AH1496))</f>
        <v/>
      </c>
      <c r="AJ1496">
        <f>IF('TMP Paste'!$F1496="","",IF('TMP Paste'!$B1496="",$AJ1495,'TMP Paste'!$B1496))</f>
        <v/>
      </c>
      <c r="AK1496">
        <f>IF('TMP Paste'!$F1496="","",N('TMP Paste'!$G1496))</f>
        <v/>
      </c>
      <c r="AL1496">
        <f>IF('TMP Paste'!$F1496="","",IF('TMP Paste'!$M1496="",$AL1495,'TMP Paste'!$M1496))</f>
        <v/>
      </c>
      <c r="AM1496">
        <f>IF('TMP Paste'!$F1496="","",IF('TMP Paste'!$N1496="",$AM1495,'TMP Paste'!$N1496))</f>
        <v/>
      </c>
      <c r="AN1496">
        <f>IF('TMP Paste'!$F1496="","",IF('TMP Paste'!$O1496="",$AN1495,'TMP Paste'!$O1496))</f>
        <v/>
      </c>
      <c r="AO1496">
        <f>IF('TMP Paste'!$F1496="","",IF('TMP Paste'!$P1496="",$AO1495,'TMP Paste'!$P1496))</f>
        <v/>
      </c>
      <c r="AP1496">
        <f>IF($AG1496="","",LEN($R1496))</f>
        <v/>
      </c>
      <c r="AQ1496">
        <f>IF($AG1496="","",TRIM(IF(COUNTIFS(Calc!$B$2:$B$1601,ROW()-1,Calc!$C$2:$C$1601,"&lt;1")&gt;0,"Ada PO tanpa Koli - cek TMP. ","")&amp;IF(LEN($R1496)&gt;500,"R &gt; 500 karakter.","")))</f>
        <v/>
      </c>
    </row>
    <row r="1497">
      <c r="A1497">
        <f>IF($AG1497="","",INDEX('TMP Paste'!$B$2:$B$1601,$AG1497))</f>
        <v/>
      </c>
      <c r="B1497">
        <f>IF($AG1497="","",Config!$B$14)</f>
        <v/>
      </c>
      <c r="C1497">
        <f>IF($AG1497="","",Config!$B$15)</f>
        <v/>
      </c>
      <c r="D1497">
        <f>IF($AG1497="","",INDEX('TMP Paste'!$B$2:$B$1601,$AG1497))</f>
        <v/>
      </c>
      <c r="E1497">
        <f>IF($AG1497="","",Config!$B$27)</f>
        <v/>
      </c>
      <c r="F1497">
        <f>IF($AG1497="","",Config!$B$9)</f>
        <v/>
      </c>
      <c r="G1497">
        <f>IF($AG1497="","",Config!$B$10)</f>
        <v/>
      </c>
      <c r="H1497">
        <f>IF($AG1497="","",Config!$B$11)</f>
        <v/>
      </c>
      <c r="I1497">
        <f>IF($AG1497="","",Config!$B$16)</f>
        <v/>
      </c>
      <c r="J1497">
        <f>IF($AG1497="","",INDEX('TMP Paste'!$A$2:$A$1601,$AG1497))</f>
        <v/>
      </c>
      <c r="K1497">
        <f>IF($AG1497="","",INDEX('TMP Paste'!$L$2:$L$1601,$AG1497))</f>
        <v/>
      </c>
      <c r="L1497">
        <f>IF($AG1497="","",INDEX('TMP Paste'!$I$2:$I$1601,$AG1497))</f>
        <v/>
      </c>
      <c r="M1497">
        <f>IF($AG1497="","",Config!$B$16)</f>
        <v/>
      </c>
      <c r="N1497">
        <f>IF($AG1497="","","")</f>
        <v/>
      </c>
      <c r="O1497">
        <f>IF($AG1497="","",INDEX('TMP Paste'!$K$2:$K$1601,$AG1497))</f>
        <v/>
      </c>
      <c r="P1497">
        <f>IF($AG1497="","","")</f>
        <v/>
      </c>
      <c r="Q1497">
        <f>IF($AG1497="","",INDEX('TMP Paste'!$J$2:$J$1601,$AG1497))</f>
        <v/>
      </c>
      <c r="R1497">
        <f>IF($AG1497="","",Config!$B$24)</f>
        <v/>
      </c>
      <c r="S1497">
        <f>IF($AG1497="","",TEXT(Config!$B$4,"yyyy-mm-dd"))</f>
        <v/>
      </c>
      <c r="T1497">
        <f>IF($AG1497="","",Config!$B$17)</f>
        <v/>
      </c>
      <c r="U1497">
        <f>IF($AG1497="","",Config!$B$18)</f>
        <v/>
      </c>
      <c r="V1497">
        <f>IF($AG1497="","",Config!$B$19)</f>
        <v/>
      </c>
      <c r="W1497">
        <f>IF($AG1497="","",INDEX('TMP Paste'!$C$2:$C$1601,$AG1497))</f>
        <v/>
      </c>
      <c r="X1497">
        <f>IF($AG1497="","",Config!$B$29)</f>
        <v/>
      </c>
      <c r="Y1497">
        <f>IF($AH1497="","",INDEX(Calc!$I$2:$I$1601,$AH1497)&amp;" - "&amp;INDEX(Calc!$D$2:$D$1601,$AH1497)&amp;" koli")</f>
        <v/>
      </c>
      <c r="Z1497">
        <f>IF($AG1497="","",Config!$B$21)</f>
        <v/>
      </c>
      <c r="AA1497">
        <f>IF($AG1497="","",Config!$B$22)</f>
        <v/>
      </c>
      <c r="AB1497">
        <f>IF($AH1497="","",INDEX(Calc!$D$2:$D$1601,$AH1497))</f>
        <v/>
      </c>
      <c r="AC1497">
        <f>IF($AH1497="","",INDEX(Calc!$G$2:$G$1601,$AH1497))</f>
        <v/>
      </c>
      <c r="AD1497">
        <f>IF($AG1497="","",Config!$B$23)</f>
        <v/>
      </c>
      <c r="AE1497">
        <f>IF($AG1497="","",Config!$B$28)</f>
        <v/>
      </c>
      <c r="AG1497">
        <f>IFERROR(MATCH(ROW()-1,Calc!$J$2:$J$1601,0),"")</f>
        <v/>
      </c>
      <c r="AH1497">
        <f>IFERROR(MATCH(ROW()-1,Calc!$K$2:$K$1601,0),"")</f>
        <v/>
      </c>
      <c r="AI1497">
        <f>IF($AG1497="","",SUMIF($AG$2:$AG1497,$AG1497,$AH$2:$AH1497))</f>
        <v/>
      </c>
      <c r="AJ1497">
        <f>IF('TMP Paste'!$F1497="","",IF('TMP Paste'!$B1497="",$AJ1496,'TMP Paste'!$B1497))</f>
        <v/>
      </c>
      <c r="AK1497">
        <f>IF('TMP Paste'!$F1497="","",N('TMP Paste'!$G1497))</f>
        <v/>
      </c>
      <c r="AL1497">
        <f>IF('TMP Paste'!$F1497="","",IF('TMP Paste'!$M1497="",$AL1496,'TMP Paste'!$M1497))</f>
        <v/>
      </c>
      <c r="AM1497">
        <f>IF('TMP Paste'!$F1497="","",IF('TMP Paste'!$N1497="",$AM1496,'TMP Paste'!$N1497))</f>
        <v/>
      </c>
      <c r="AN1497">
        <f>IF('TMP Paste'!$F1497="","",IF('TMP Paste'!$O1497="",$AN1496,'TMP Paste'!$O1497))</f>
        <v/>
      </c>
      <c r="AO1497">
        <f>IF('TMP Paste'!$F1497="","",IF('TMP Paste'!$P1497="",$AO1496,'TMP Paste'!$P1497))</f>
        <v/>
      </c>
      <c r="AP1497">
        <f>IF($AG1497="","",LEN($R1497))</f>
        <v/>
      </c>
      <c r="AQ1497">
        <f>IF($AG1497="","",TRIM(IF(COUNTIFS(Calc!$B$2:$B$1601,ROW()-1,Calc!$C$2:$C$1601,"&lt;1")&gt;0,"Ada PO tanpa Koli - cek TMP. ","")&amp;IF(LEN($R1497)&gt;500,"R &gt; 500 karakter.","")))</f>
        <v/>
      </c>
    </row>
    <row r="1498">
      <c r="A1498">
        <f>IF($AG1498="","",INDEX('TMP Paste'!$B$2:$B$1601,$AG1498))</f>
        <v/>
      </c>
      <c r="B1498">
        <f>IF($AG1498="","",Config!$B$14)</f>
        <v/>
      </c>
      <c r="C1498">
        <f>IF($AG1498="","",Config!$B$15)</f>
        <v/>
      </c>
      <c r="D1498">
        <f>IF($AG1498="","",INDEX('TMP Paste'!$B$2:$B$1601,$AG1498))</f>
        <v/>
      </c>
      <c r="E1498">
        <f>IF($AG1498="","",Config!$B$27)</f>
        <v/>
      </c>
      <c r="F1498">
        <f>IF($AG1498="","",Config!$B$9)</f>
        <v/>
      </c>
      <c r="G1498">
        <f>IF($AG1498="","",Config!$B$10)</f>
        <v/>
      </c>
      <c r="H1498">
        <f>IF($AG1498="","",Config!$B$11)</f>
        <v/>
      </c>
      <c r="I1498">
        <f>IF($AG1498="","",Config!$B$16)</f>
        <v/>
      </c>
      <c r="J1498">
        <f>IF($AG1498="","",INDEX('TMP Paste'!$A$2:$A$1601,$AG1498))</f>
        <v/>
      </c>
      <c r="K1498">
        <f>IF($AG1498="","",INDEX('TMP Paste'!$L$2:$L$1601,$AG1498))</f>
        <v/>
      </c>
      <c r="L1498">
        <f>IF($AG1498="","",INDEX('TMP Paste'!$I$2:$I$1601,$AG1498))</f>
        <v/>
      </c>
      <c r="M1498">
        <f>IF($AG1498="","",Config!$B$16)</f>
        <v/>
      </c>
      <c r="N1498">
        <f>IF($AG1498="","","")</f>
        <v/>
      </c>
      <c r="O1498">
        <f>IF($AG1498="","",INDEX('TMP Paste'!$K$2:$K$1601,$AG1498))</f>
        <v/>
      </c>
      <c r="P1498">
        <f>IF($AG1498="","","")</f>
        <v/>
      </c>
      <c r="Q1498">
        <f>IF($AG1498="","",INDEX('TMP Paste'!$J$2:$J$1601,$AG1498))</f>
        <v/>
      </c>
      <c r="R1498">
        <f>IF($AG1498="","",Config!$B$24)</f>
        <v/>
      </c>
      <c r="S1498">
        <f>IF($AG1498="","",TEXT(Config!$B$4,"yyyy-mm-dd"))</f>
        <v/>
      </c>
      <c r="T1498">
        <f>IF($AG1498="","",Config!$B$17)</f>
        <v/>
      </c>
      <c r="U1498">
        <f>IF($AG1498="","",Config!$B$18)</f>
        <v/>
      </c>
      <c r="V1498">
        <f>IF($AG1498="","",Config!$B$19)</f>
        <v/>
      </c>
      <c r="W1498">
        <f>IF($AG1498="","",INDEX('TMP Paste'!$C$2:$C$1601,$AG1498))</f>
        <v/>
      </c>
      <c r="X1498">
        <f>IF($AG1498="","",Config!$B$29)</f>
        <v/>
      </c>
      <c r="Y1498">
        <f>IF($AH1498="","",INDEX(Calc!$I$2:$I$1601,$AH1498)&amp;" - "&amp;INDEX(Calc!$D$2:$D$1601,$AH1498)&amp;" koli")</f>
        <v/>
      </c>
      <c r="Z1498">
        <f>IF($AG1498="","",Config!$B$21)</f>
        <v/>
      </c>
      <c r="AA1498">
        <f>IF($AG1498="","",Config!$B$22)</f>
        <v/>
      </c>
      <c r="AB1498">
        <f>IF($AH1498="","",INDEX(Calc!$D$2:$D$1601,$AH1498))</f>
        <v/>
      </c>
      <c r="AC1498">
        <f>IF($AH1498="","",INDEX(Calc!$G$2:$G$1601,$AH1498))</f>
        <v/>
      </c>
      <c r="AD1498">
        <f>IF($AG1498="","",Config!$B$23)</f>
        <v/>
      </c>
      <c r="AE1498">
        <f>IF($AG1498="","",Config!$B$28)</f>
        <v/>
      </c>
      <c r="AG1498">
        <f>IFERROR(MATCH(ROW()-1,Calc!$J$2:$J$1601,0),"")</f>
        <v/>
      </c>
      <c r="AH1498">
        <f>IFERROR(MATCH(ROW()-1,Calc!$K$2:$K$1601,0),"")</f>
        <v/>
      </c>
      <c r="AI1498">
        <f>IF($AG1498="","",SUMIF($AG$2:$AG1498,$AG1498,$AH$2:$AH1498))</f>
        <v/>
      </c>
      <c r="AJ1498">
        <f>IF('TMP Paste'!$F1498="","",IF('TMP Paste'!$B1498="",$AJ1497,'TMP Paste'!$B1498))</f>
        <v/>
      </c>
      <c r="AK1498">
        <f>IF('TMP Paste'!$F1498="","",N('TMP Paste'!$G1498))</f>
        <v/>
      </c>
      <c r="AL1498">
        <f>IF('TMP Paste'!$F1498="","",IF('TMP Paste'!$M1498="",$AL1497,'TMP Paste'!$M1498))</f>
        <v/>
      </c>
      <c r="AM1498">
        <f>IF('TMP Paste'!$F1498="","",IF('TMP Paste'!$N1498="",$AM1497,'TMP Paste'!$N1498))</f>
        <v/>
      </c>
      <c r="AN1498">
        <f>IF('TMP Paste'!$F1498="","",IF('TMP Paste'!$O1498="",$AN1497,'TMP Paste'!$O1498))</f>
        <v/>
      </c>
      <c r="AO1498">
        <f>IF('TMP Paste'!$F1498="","",IF('TMP Paste'!$P1498="",$AO1497,'TMP Paste'!$P1498))</f>
        <v/>
      </c>
      <c r="AP1498">
        <f>IF($AG1498="","",LEN($R1498))</f>
        <v/>
      </c>
      <c r="AQ1498">
        <f>IF($AG1498="","",TRIM(IF(COUNTIFS(Calc!$B$2:$B$1601,ROW()-1,Calc!$C$2:$C$1601,"&lt;1")&gt;0,"Ada PO tanpa Koli - cek TMP. ","")&amp;IF(LEN($R1498)&gt;500,"R &gt; 500 karakter.","")))</f>
        <v/>
      </c>
    </row>
    <row r="1499">
      <c r="A1499">
        <f>IF($AG1499="","",INDEX('TMP Paste'!$B$2:$B$1601,$AG1499))</f>
        <v/>
      </c>
      <c r="B1499">
        <f>IF($AG1499="","",Config!$B$14)</f>
        <v/>
      </c>
      <c r="C1499">
        <f>IF($AG1499="","",Config!$B$15)</f>
        <v/>
      </c>
      <c r="D1499">
        <f>IF($AG1499="","",INDEX('TMP Paste'!$B$2:$B$1601,$AG1499))</f>
        <v/>
      </c>
      <c r="E1499">
        <f>IF($AG1499="","",Config!$B$27)</f>
        <v/>
      </c>
      <c r="F1499">
        <f>IF($AG1499="","",Config!$B$9)</f>
        <v/>
      </c>
      <c r="G1499">
        <f>IF($AG1499="","",Config!$B$10)</f>
        <v/>
      </c>
      <c r="H1499">
        <f>IF($AG1499="","",Config!$B$11)</f>
        <v/>
      </c>
      <c r="I1499">
        <f>IF($AG1499="","",Config!$B$16)</f>
        <v/>
      </c>
      <c r="J1499">
        <f>IF($AG1499="","",INDEX('TMP Paste'!$A$2:$A$1601,$AG1499))</f>
        <v/>
      </c>
      <c r="K1499">
        <f>IF($AG1499="","",INDEX('TMP Paste'!$L$2:$L$1601,$AG1499))</f>
        <v/>
      </c>
      <c r="L1499">
        <f>IF($AG1499="","",INDEX('TMP Paste'!$I$2:$I$1601,$AG1499))</f>
        <v/>
      </c>
      <c r="M1499">
        <f>IF($AG1499="","",Config!$B$16)</f>
        <v/>
      </c>
      <c r="N1499">
        <f>IF($AG1499="","","")</f>
        <v/>
      </c>
      <c r="O1499">
        <f>IF($AG1499="","",INDEX('TMP Paste'!$K$2:$K$1601,$AG1499))</f>
        <v/>
      </c>
      <c r="P1499">
        <f>IF($AG1499="","","")</f>
        <v/>
      </c>
      <c r="Q1499">
        <f>IF($AG1499="","",INDEX('TMP Paste'!$J$2:$J$1601,$AG1499))</f>
        <v/>
      </c>
      <c r="R1499">
        <f>IF($AG1499="","",Config!$B$24)</f>
        <v/>
      </c>
      <c r="S1499">
        <f>IF($AG1499="","",TEXT(Config!$B$4,"yyyy-mm-dd"))</f>
        <v/>
      </c>
      <c r="T1499">
        <f>IF($AG1499="","",Config!$B$17)</f>
        <v/>
      </c>
      <c r="U1499">
        <f>IF($AG1499="","",Config!$B$18)</f>
        <v/>
      </c>
      <c r="V1499">
        <f>IF($AG1499="","",Config!$B$19)</f>
        <v/>
      </c>
      <c r="W1499">
        <f>IF($AG1499="","",INDEX('TMP Paste'!$C$2:$C$1601,$AG1499))</f>
        <v/>
      </c>
      <c r="X1499">
        <f>IF($AG1499="","",Config!$B$29)</f>
        <v/>
      </c>
      <c r="Y1499">
        <f>IF($AH1499="","",INDEX(Calc!$I$2:$I$1601,$AH1499)&amp;" - "&amp;INDEX(Calc!$D$2:$D$1601,$AH1499)&amp;" koli")</f>
        <v/>
      </c>
      <c r="Z1499">
        <f>IF($AG1499="","",Config!$B$21)</f>
        <v/>
      </c>
      <c r="AA1499">
        <f>IF($AG1499="","",Config!$B$22)</f>
        <v/>
      </c>
      <c r="AB1499">
        <f>IF($AH1499="","",INDEX(Calc!$D$2:$D$1601,$AH1499))</f>
        <v/>
      </c>
      <c r="AC1499">
        <f>IF($AH1499="","",INDEX(Calc!$G$2:$G$1601,$AH1499))</f>
        <v/>
      </c>
      <c r="AD1499">
        <f>IF($AG1499="","",Config!$B$23)</f>
        <v/>
      </c>
      <c r="AE1499">
        <f>IF($AG1499="","",Config!$B$28)</f>
        <v/>
      </c>
      <c r="AG1499">
        <f>IFERROR(MATCH(ROW()-1,Calc!$J$2:$J$1601,0),"")</f>
        <v/>
      </c>
      <c r="AH1499">
        <f>IFERROR(MATCH(ROW()-1,Calc!$K$2:$K$1601,0),"")</f>
        <v/>
      </c>
      <c r="AI1499">
        <f>IF($AG1499="","",SUMIF($AG$2:$AG1499,$AG1499,$AH$2:$AH1499))</f>
        <v/>
      </c>
      <c r="AJ1499">
        <f>IF('TMP Paste'!$F1499="","",IF('TMP Paste'!$B1499="",$AJ1498,'TMP Paste'!$B1499))</f>
        <v/>
      </c>
      <c r="AK1499">
        <f>IF('TMP Paste'!$F1499="","",N('TMP Paste'!$G1499))</f>
        <v/>
      </c>
      <c r="AL1499">
        <f>IF('TMP Paste'!$F1499="","",IF('TMP Paste'!$M1499="",$AL1498,'TMP Paste'!$M1499))</f>
        <v/>
      </c>
      <c r="AM1499">
        <f>IF('TMP Paste'!$F1499="","",IF('TMP Paste'!$N1499="",$AM1498,'TMP Paste'!$N1499))</f>
        <v/>
      </c>
      <c r="AN1499">
        <f>IF('TMP Paste'!$F1499="","",IF('TMP Paste'!$O1499="",$AN1498,'TMP Paste'!$O1499))</f>
        <v/>
      </c>
      <c r="AO1499">
        <f>IF('TMP Paste'!$F1499="","",IF('TMP Paste'!$P1499="",$AO1498,'TMP Paste'!$P1499))</f>
        <v/>
      </c>
      <c r="AP1499">
        <f>IF($AG1499="","",LEN($R1499))</f>
        <v/>
      </c>
      <c r="AQ1499">
        <f>IF($AG1499="","",TRIM(IF(COUNTIFS(Calc!$B$2:$B$1601,ROW()-1,Calc!$C$2:$C$1601,"&lt;1")&gt;0,"Ada PO tanpa Koli - cek TMP. ","")&amp;IF(LEN($R1499)&gt;500,"R &gt; 500 karakter.","")))</f>
        <v/>
      </c>
    </row>
    <row r="1500">
      <c r="A1500">
        <f>IF($AG1500="","",INDEX('TMP Paste'!$B$2:$B$1601,$AG1500))</f>
        <v/>
      </c>
      <c r="B1500">
        <f>IF($AG1500="","",Config!$B$14)</f>
        <v/>
      </c>
      <c r="C1500">
        <f>IF($AG1500="","",Config!$B$15)</f>
        <v/>
      </c>
      <c r="D1500">
        <f>IF($AG1500="","",INDEX('TMP Paste'!$B$2:$B$1601,$AG1500))</f>
        <v/>
      </c>
      <c r="E1500">
        <f>IF($AG1500="","",Config!$B$27)</f>
        <v/>
      </c>
      <c r="F1500">
        <f>IF($AG1500="","",Config!$B$9)</f>
        <v/>
      </c>
      <c r="G1500">
        <f>IF($AG1500="","",Config!$B$10)</f>
        <v/>
      </c>
      <c r="H1500">
        <f>IF($AG1500="","",Config!$B$11)</f>
        <v/>
      </c>
      <c r="I1500">
        <f>IF($AG1500="","",Config!$B$16)</f>
        <v/>
      </c>
      <c r="J1500">
        <f>IF($AG1500="","",INDEX('TMP Paste'!$A$2:$A$1601,$AG1500))</f>
        <v/>
      </c>
      <c r="K1500">
        <f>IF($AG1500="","",INDEX('TMP Paste'!$L$2:$L$1601,$AG1500))</f>
        <v/>
      </c>
      <c r="L1500">
        <f>IF($AG1500="","",INDEX('TMP Paste'!$I$2:$I$1601,$AG1500))</f>
        <v/>
      </c>
      <c r="M1500">
        <f>IF($AG1500="","",Config!$B$16)</f>
        <v/>
      </c>
      <c r="N1500">
        <f>IF($AG1500="","","")</f>
        <v/>
      </c>
      <c r="O1500">
        <f>IF($AG1500="","",INDEX('TMP Paste'!$K$2:$K$1601,$AG1500))</f>
        <v/>
      </c>
      <c r="P1500">
        <f>IF($AG1500="","","")</f>
        <v/>
      </c>
      <c r="Q1500">
        <f>IF($AG1500="","",INDEX('TMP Paste'!$J$2:$J$1601,$AG1500))</f>
        <v/>
      </c>
      <c r="R1500">
        <f>IF($AG1500="","",Config!$B$24)</f>
        <v/>
      </c>
      <c r="S1500">
        <f>IF($AG1500="","",TEXT(Config!$B$4,"yyyy-mm-dd"))</f>
        <v/>
      </c>
      <c r="T1500">
        <f>IF($AG1500="","",Config!$B$17)</f>
        <v/>
      </c>
      <c r="U1500">
        <f>IF($AG1500="","",Config!$B$18)</f>
        <v/>
      </c>
      <c r="V1500">
        <f>IF($AG1500="","",Config!$B$19)</f>
        <v/>
      </c>
      <c r="W1500">
        <f>IF($AG1500="","",INDEX('TMP Paste'!$C$2:$C$1601,$AG1500))</f>
        <v/>
      </c>
      <c r="X1500">
        <f>IF($AG1500="","",Config!$B$29)</f>
        <v/>
      </c>
      <c r="Y1500">
        <f>IF($AH1500="","",INDEX(Calc!$I$2:$I$1601,$AH1500)&amp;" - "&amp;INDEX(Calc!$D$2:$D$1601,$AH1500)&amp;" koli")</f>
        <v/>
      </c>
      <c r="Z1500">
        <f>IF($AG1500="","",Config!$B$21)</f>
        <v/>
      </c>
      <c r="AA1500">
        <f>IF($AG1500="","",Config!$B$22)</f>
        <v/>
      </c>
      <c r="AB1500">
        <f>IF($AH1500="","",INDEX(Calc!$D$2:$D$1601,$AH1500))</f>
        <v/>
      </c>
      <c r="AC1500">
        <f>IF($AH1500="","",INDEX(Calc!$G$2:$G$1601,$AH1500))</f>
        <v/>
      </c>
      <c r="AD1500">
        <f>IF($AG1500="","",Config!$B$23)</f>
        <v/>
      </c>
      <c r="AE1500">
        <f>IF($AG1500="","",Config!$B$28)</f>
        <v/>
      </c>
      <c r="AG1500">
        <f>IFERROR(MATCH(ROW()-1,Calc!$J$2:$J$1601,0),"")</f>
        <v/>
      </c>
      <c r="AH1500">
        <f>IFERROR(MATCH(ROW()-1,Calc!$K$2:$K$1601,0),"")</f>
        <v/>
      </c>
      <c r="AI1500">
        <f>IF($AG1500="","",SUMIF($AG$2:$AG1500,$AG1500,$AH$2:$AH1500))</f>
        <v/>
      </c>
      <c r="AJ1500">
        <f>IF('TMP Paste'!$F1500="","",IF('TMP Paste'!$B1500="",$AJ1499,'TMP Paste'!$B1500))</f>
        <v/>
      </c>
      <c r="AK1500">
        <f>IF('TMP Paste'!$F1500="","",N('TMP Paste'!$G1500))</f>
        <v/>
      </c>
      <c r="AL1500">
        <f>IF('TMP Paste'!$F1500="","",IF('TMP Paste'!$M1500="",$AL1499,'TMP Paste'!$M1500))</f>
        <v/>
      </c>
      <c r="AM1500">
        <f>IF('TMP Paste'!$F1500="","",IF('TMP Paste'!$N1500="",$AM1499,'TMP Paste'!$N1500))</f>
        <v/>
      </c>
      <c r="AN1500">
        <f>IF('TMP Paste'!$F1500="","",IF('TMP Paste'!$O1500="",$AN1499,'TMP Paste'!$O1500))</f>
        <v/>
      </c>
      <c r="AO1500">
        <f>IF('TMP Paste'!$F1500="","",IF('TMP Paste'!$P1500="",$AO1499,'TMP Paste'!$P1500))</f>
        <v/>
      </c>
      <c r="AP1500">
        <f>IF($AG1500="","",LEN($R1500))</f>
        <v/>
      </c>
      <c r="AQ1500">
        <f>IF($AG1500="","",TRIM(IF(COUNTIFS(Calc!$B$2:$B$1601,ROW()-1,Calc!$C$2:$C$1601,"&lt;1")&gt;0,"Ada PO tanpa Koli - cek TMP. ","")&amp;IF(LEN($R1500)&gt;500,"R &gt; 500 karakter.","")))</f>
        <v/>
      </c>
    </row>
    <row r="1501">
      <c r="A1501">
        <f>IF($AG1501="","",INDEX('TMP Paste'!$B$2:$B$1601,$AG1501))</f>
        <v/>
      </c>
      <c r="B1501">
        <f>IF($AG1501="","",Config!$B$14)</f>
        <v/>
      </c>
      <c r="C1501">
        <f>IF($AG1501="","",Config!$B$15)</f>
        <v/>
      </c>
      <c r="D1501">
        <f>IF($AG1501="","",INDEX('TMP Paste'!$B$2:$B$1601,$AG1501))</f>
        <v/>
      </c>
      <c r="E1501">
        <f>IF($AG1501="","",Config!$B$27)</f>
        <v/>
      </c>
      <c r="F1501">
        <f>IF($AG1501="","",Config!$B$9)</f>
        <v/>
      </c>
      <c r="G1501">
        <f>IF($AG1501="","",Config!$B$10)</f>
        <v/>
      </c>
      <c r="H1501">
        <f>IF($AG1501="","",Config!$B$11)</f>
        <v/>
      </c>
      <c r="I1501">
        <f>IF($AG1501="","",Config!$B$16)</f>
        <v/>
      </c>
      <c r="J1501">
        <f>IF($AG1501="","",INDEX('TMP Paste'!$A$2:$A$1601,$AG1501))</f>
        <v/>
      </c>
      <c r="K1501">
        <f>IF($AG1501="","",INDEX('TMP Paste'!$L$2:$L$1601,$AG1501))</f>
        <v/>
      </c>
      <c r="L1501">
        <f>IF($AG1501="","",INDEX('TMP Paste'!$I$2:$I$1601,$AG1501))</f>
        <v/>
      </c>
      <c r="M1501">
        <f>IF($AG1501="","",Config!$B$16)</f>
        <v/>
      </c>
      <c r="N1501">
        <f>IF($AG1501="","","")</f>
        <v/>
      </c>
      <c r="O1501">
        <f>IF($AG1501="","",INDEX('TMP Paste'!$K$2:$K$1601,$AG1501))</f>
        <v/>
      </c>
      <c r="P1501">
        <f>IF($AG1501="","","")</f>
        <v/>
      </c>
      <c r="Q1501">
        <f>IF($AG1501="","",INDEX('TMP Paste'!$J$2:$J$1601,$AG1501))</f>
        <v/>
      </c>
      <c r="R1501">
        <f>IF($AG1501="","",Config!$B$24)</f>
        <v/>
      </c>
      <c r="S1501">
        <f>IF($AG1501="","",TEXT(Config!$B$4,"yyyy-mm-dd"))</f>
        <v/>
      </c>
      <c r="T1501">
        <f>IF($AG1501="","",Config!$B$17)</f>
        <v/>
      </c>
      <c r="U1501">
        <f>IF($AG1501="","",Config!$B$18)</f>
        <v/>
      </c>
      <c r="V1501">
        <f>IF($AG1501="","",Config!$B$19)</f>
        <v/>
      </c>
      <c r="W1501">
        <f>IF($AG1501="","",INDEX('TMP Paste'!$C$2:$C$1601,$AG1501))</f>
        <v/>
      </c>
      <c r="X1501">
        <f>IF($AG1501="","",Config!$B$29)</f>
        <v/>
      </c>
      <c r="Y1501">
        <f>IF($AH1501="","",INDEX(Calc!$I$2:$I$1601,$AH1501)&amp;" - "&amp;INDEX(Calc!$D$2:$D$1601,$AH1501)&amp;" koli")</f>
        <v/>
      </c>
      <c r="Z1501">
        <f>IF($AG1501="","",Config!$B$21)</f>
        <v/>
      </c>
      <c r="AA1501">
        <f>IF($AG1501="","",Config!$B$22)</f>
        <v/>
      </c>
      <c r="AB1501">
        <f>IF($AH1501="","",INDEX(Calc!$D$2:$D$1601,$AH1501))</f>
        <v/>
      </c>
      <c r="AC1501">
        <f>IF($AH1501="","",INDEX(Calc!$G$2:$G$1601,$AH1501))</f>
        <v/>
      </c>
      <c r="AD1501">
        <f>IF($AG1501="","",Config!$B$23)</f>
        <v/>
      </c>
      <c r="AE1501">
        <f>IF($AG1501="","",Config!$B$28)</f>
        <v/>
      </c>
      <c r="AG1501">
        <f>IFERROR(MATCH(ROW()-1,Calc!$J$2:$J$1601,0),"")</f>
        <v/>
      </c>
      <c r="AH1501">
        <f>IFERROR(MATCH(ROW()-1,Calc!$K$2:$K$1601,0),"")</f>
        <v/>
      </c>
      <c r="AI1501">
        <f>IF($AG1501="","",SUMIF($AG$2:$AG1501,$AG1501,$AH$2:$AH1501))</f>
        <v/>
      </c>
      <c r="AJ1501">
        <f>IF('TMP Paste'!$F1501="","",IF('TMP Paste'!$B1501="",$AJ1500,'TMP Paste'!$B1501))</f>
        <v/>
      </c>
      <c r="AK1501">
        <f>IF('TMP Paste'!$F1501="","",N('TMP Paste'!$G1501))</f>
        <v/>
      </c>
      <c r="AL1501">
        <f>IF('TMP Paste'!$F1501="","",IF('TMP Paste'!$M1501="",$AL1500,'TMP Paste'!$M1501))</f>
        <v/>
      </c>
      <c r="AM1501">
        <f>IF('TMP Paste'!$F1501="","",IF('TMP Paste'!$N1501="",$AM1500,'TMP Paste'!$N1501))</f>
        <v/>
      </c>
      <c r="AN1501">
        <f>IF('TMP Paste'!$F1501="","",IF('TMP Paste'!$O1501="",$AN1500,'TMP Paste'!$O1501))</f>
        <v/>
      </c>
      <c r="AO1501">
        <f>IF('TMP Paste'!$F1501="","",IF('TMP Paste'!$P1501="",$AO1500,'TMP Paste'!$P1501))</f>
        <v/>
      </c>
      <c r="AP1501">
        <f>IF($AG1501="","",LEN($R1501))</f>
        <v/>
      </c>
      <c r="AQ1501">
        <f>IF($AG1501="","",TRIM(IF(COUNTIFS(Calc!$B$2:$B$1601,ROW()-1,Calc!$C$2:$C$1601,"&lt;1")&gt;0,"Ada PO tanpa Koli - cek TMP. ","")&amp;IF(LEN($R1501)&gt;500,"R &gt; 500 karakter.","")))</f>
        <v/>
      </c>
    </row>
    <row r="1502">
      <c r="A1502">
        <f>IF($AG1502="","",INDEX('TMP Paste'!$B$2:$B$1601,$AG1502))</f>
        <v/>
      </c>
      <c r="B1502">
        <f>IF($AG1502="","",Config!$B$14)</f>
        <v/>
      </c>
      <c r="C1502">
        <f>IF($AG1502="","",Config!$B$15)</f>
        <v/>
      </c>
      <c r="D1502">
        <f>IF($AG1502="","",INDEX('TMP Paste'!$B$2:$B$1601,$AG1502))</f>
        <v/>
      </c>
      <c r="E1502">
        <f>IF($AG1502="","",Config!$B$27)</f>
        <v/>
      </c>
      <c r="F1502">
        <f>IF($AG1502="","",Config!$B$9)</f>
        <v/>
      </c>
      <c r="G1502">
        <f>IF($AG1502="","",Config!$B$10)</f>
        <v/>
      </c>
      <c r="H1502">
        <f>IF($AG1502="","",Config!$B$11)</f>
        <v/>
      </c>
      <c r="I1502">
        <f>IF($AG1502="","",Config!$B$16)</f>
        <v/>
      </c>
      <c r="J1502">
        <f>IF($AG1502="","",INDEX('TMP Paste'!$A$2:$A$1601,$AG1502))</f>
        <v/>
      </c>
      <c r="K1502">
        <f>IF($AG1502="","",INDEX('TMP Paste'!$L$2:$L$1601,$AG1502))</f>
        <v/>
      </c>
      <c r="L1502">
        <f>IF($AG1502="","",INDEX('TMP Paste'!$I$2:$I$1601,$AG1502))</f>
        <v/>
      </c>
      <c r="M1502">
        <f>IF($AG1502="","",Config!$B$16)</f>
        <v/>
      </c>
      <c r="N1502">
        <f>IF($AG1502="","","")</f>
        <v/>
      </c>
      <c r="O1502">
        <f>IF($AG1502="","",INDEX('TMP Paste'!$K$2:$K$1601,$AG1502))</f>
        <v/>
      </c>
      <c r="P1502">
        <f>IF($AG1502="","","")</f>
        <v/>
      </c>
      <c r="Q1502">
        <f>IF($AG1502="","",INDEX('TMP Paste'!$J$2:$J$1601,$AG1502))</f>
        <v/>
      </c>
      <c r="R1502">
        <f>IF($AG1502="","",Config!$B$24)</f>
        <v/>
      </c>
      <c r="S1502">
        <f>IF($AG1502="","",TEXT(Config!$B$4,"yyyy-mm-dd"))</f>
        <v/>
      </c>
      <c r="T1502">
        <f>IF($AG1502="","",Config!$B$17)</f>
        <v/>
      </c>
      <c r="U1502">
        <f>IF($AG1502="","",Config!$B$18)</f>
        <v/>
      </c>
      <c r="V1502">
        <f>IF($AG1502="","",Config!$B$19)</f>
        <v/>
      </c>
      <c r="W1502">
        <f>IF($AG1502="","",INDEX('TMP Paste'!$C$2:$C$1601,$AG1502))</f>
        <v/>
      </c>
      <c r="X1502">
        <f>IF($AG1502="","",Config!$B$29)</f>
        <v/>
      </c>
      <c r="Y1502">
        <f>IF($AH1502="","",INDEX(Calc!$I$2:$I$1601,$AH1502)&amp;" - "&amp;INDEX(Calc!$D$2:$D$1601,$AH1502)&amp;" koli")</f>
        <v/>
      </c>
      <c r="Z1502">
        <f>IF($AG1502="","",Config!$B$21)</f>
        <v/>
      </c>
      <c r="AA1502">
        <f>IF($AG1502="","",Config!$B$22)</f>
        <v/>
      </c>
      <c r="AB1502">
        <f>IF($AH1502="","",INDEX(Calc!$D$2:$D$1601,$AH1502))</f>
        <v/>
      </c>
      <c r="AC1502">
        <f>IF($AH1502="","",INDEX(Calc!$G$2:$G$1601,$AH1502))</f>
        <v/>
      </c>
      <c r="AD1502">
        <f>IF($AG1502="","",Config!$B$23)</f>
        <v/>
      </c>
      <c r="AE1502">
        <f>IF($AG1502="","",Config!$B$28)</f>
        <v/>
      </c>
      <c r="AG1502">
        <f>IFERROR(MATCH(ROW()-1,Calc!$J$2:$J$1601,0),"")</f>
        <v/>
      </c>
      <c r="AH1502">
        <f>IFERROR(MATCH(ROW()-1,Calc!$K$2:$K$1601,0),"")</f>
        <v/>
      </c>
      <c r="AQ1502">
        <f>IF($AG1502="","",TRIM(IF(COUNTIFS(Calc!$B$2:$B$1601,ROW()-1,Calc!$C$2:$C$1601,"&lt;1")&gt;0,"Ada PO tanpa Koli - cek TMP. ","")&amp;IF(LEN($R1502)&gt;500,"R &gt; 500 karakter.","")))</f>
        <v/>
      </c>
    </row>
    <row r="1503">
      <c r="A1503">
        <f>IF($AG1503="","",INDEX('TMP Paste'!$B$2:$B$1601,$AG1503))</f>
        <v/>
      </c>
      <c r="B1503">
        <f>IF($AG1503="","",Config!$B$14)</f>
        <v/>
      </c>
      <c r="C1503">
        <f>IF($AG1503="","",Config!$B$15)</f>
        <v/>
      </c>
      <c r="D1503">
        <f>IF($AG1503="","",INDEX('TMP Paste'!$B$2:$B$1601,$AG1503))</f>
        <v/>
      </c>
      <c r="E1503">
        <f>IF($AG1503="","",Config!$B$27)</f>
        <v/>
      </c>
      <c r="F1503">
        <f>IF($AG1503="","",Config!$B$9)</f>
        <v/>
      </c>
      <c r="G1503">
        <f>IF($AG1503="","",Config!$B$10)</f>
        <v/>
      </c>
      <c r="H1503">
        <f>IF($AG1503="","",Config!$B$11)</f>
        <v/>
      </c>
      <c r="I1503">
        <f>IF($AG1503="","",Config!$B$16)</f>
        <v/>
      </c>
      <c r="J1503">
        <f>IF($AG1503="","",INDEX('TMP Paste'!$A$2:$A$1601,$AG1503))</f>
        <v/>
      </c>
      <c r="K1503">
        <f>IF($AG1503="","",INDEX('TMP Paste'!$L$2:$L$1601,$AG1503))</f>
        <v/>
      </c>
      <c r="L1503">
        <f>IF($AG1503="","",INDEX('TMP Paste'!$I$2:$I$1601,$AG1503))</f>
        <v/>
      </c>
      <c r="M1503">
        <f>IF($AG1503="","",Config!$B$16)</f>
        <v/>
      </c>
      <c r="N1503">
        <f>IF($AG1503="","","")</f>
        <v/>
      </c>
      <c r="O1503">
        <f>IF($AG1503="","",INDEX('TMP Paste'!$K$2:$K$1601,$AG1503))</f>
        <v/>
      </c>
      <c r="P1503">
        <f>IF($AG1503="","","")</f>
        <v/>
      </c>
      <c r="Q1503">
        <f>IF($AG1503="","",INDEX('TMP Paste'!$J$2:$J$1601,$AG1503))</f>
        <v/>
      </c>
      <c r="R1503">
        <f>IF($AG1503="","",Config!$B$24)</f>
        <v/>
      </c>
      <c r="S1503">
        <f>IF($AG1503="","",TEXT(Config!$B$4,"yyyy-mm-dd"))</f>
        <v/>
      </c>
      <c r="T1503">
        <f>IF($AG1503="","",Config!$B$17)</f>
        <v/>
      </c>
      <c r="U1503">
        <f>IF($AG1503="","",Config!$B$18)</f>
        <v/>
      </c>
      <c r="V1503">
        <f>IF($AG1503="","",Config!$B$19)</f>
        <v/>
      </c>
      <c r="W1503">
        <f>IF($AG1503="","",INDEX('TMP Paste'!$C$2:$C$1601,$AG1503))</f>
        <v/>
      </c>
      <c r="X1503">
        <f>IF($AG1503="","",Config!$B$29)</f>
        <v/>
      </c>
      <c r="Y1503">
        <f>IF($AH1503="","",INDEX(Calc!$I$2:$I$1601,$AH1503)&amp;" - "&amp;INDEX(Calc!$D$2:$D$1601,$AH1503)&amp;" koli")</f>
        <v/>
      </c>
      <c r="Z1503">
        <f>IF($AG1503="","",Config!$B$21)</f>
        <v/>
      </c>
      <c r="AA1503">
        <f>IF($AG1503="","",Config!$B$22)</f>
        <v/>
      </c>
      <c r="AB1503">
        <f>IF($AH1503="","",INDEX(Calc!$D$2:$D$1601,$AH1503))</f>
        <v/>
      </c>
      <c r="AC1503">
        <f>IF($AH1503="","",INDEX(Calc!$G$2:$G$1601,$AH1503))</f>
        <v/>
      </c>
      <c r="AD1503">
        <f>IF($AG1503="","",Config!$B$23)</f>
        <v/>
      </c>
      <c r="AE1503">
        <f>IF($AG1503="","",Config!$B$28)</f>
        <v/>
      </c>
      <c r="AG1503">
        <f>IFERROR(MATCH(ROW()-1,Calc!$J$2:$J$1601,0),"")</f>
        <v/>
      </c>
      <c r="AH1503">
        <f>IFERROR(MATCH(ROW()-1,Calc!$K$2:$K$1601,0),"")</f>
        <v/>
      </c>
      <c r="AQ1503">
        <f>IF($AG1503="","",TRIM(IF(COUNTIFS(Calc!$B$2:$B$1601,ROW()-1,Calc!$C$2:$C$1601,"&lt;1")&gt;0,"Ada PO tanpa Koli - cek TMP. ","")&amp;IF(LEN($R1503)&gt;500,"R &gt; 500 karakter.","")))</f>
        <v/>
      </c>
    </row>
    <row r="1504">
      <c r="A1504">
        <f>IF($AG1504="","",INDEX('TMP Paste'!$B$2:$B$1601,$AG1504))</f>
        <v/>
      </c>
      <c r="B1504">
        <f>IF($AG1504="","",Config!$B$14)</f>
        <v/>
      </c>
      <c r="C1504">
        <f>IF($AG1504="","",Config!$B$15)</f>
        <v/>
      </c>
      <c r="D1504">
        <f>IF($AG1504="","",INDEX('TMP Paste'!$B$2:$B$1601,$AG1504))</f>
        <v/>
      </c>
      <c r="E1504">
        <f>IF($AG1504="","",Config!$B$27)</f>
        <v/>
      </c>
      <c r="F1504">
        <f>IF($AG1504="","",Config!$B$9)</f>
        <v/>
      </c>
      <c r="G1504">
        <f>IF($AG1504="","",Config!$B$10)</f>
        <v/>
      </c>
      <c r="H1504">
        <f>IF($AG1504="","",Config!$B$11)</f>
        <v/>
      </c>
      <c r="I1504">
        <f>IF($AG1504="","",Config!$B$16)</f>
        <v/>
      </c>
      <c r="J1504">
        <f>IF($AG1504="","",INDEX('TMP Paste'!$A$2:$A$1601,$AG1504))</f>
        <v/>
      </c>
      <c r="K1504">
        <f>IF($AG1504="","",INDEX('TMP Paste'!$L$2:$L$1601,$AG1504))</f>
        <v/>
      </c>
      <c r="L1504">
        <f>IF($AG1504="","",INDEX('TMP Paste'!$I$2:$I$1601,$AG1504))</f>
        <v/>
      </c>
      <c r="M1504">
        <f>IF($AG1504="","",Config!$B$16)</f>
        <v/>
      </c>
      <c r="N1504">
        <f>IF($AG1504="","","")</f>
        <v/>
      </c>
      <c r="O1504">
        <f>IF($AG1504="","",INDEX('TMP Paste'!$K$2:$K$1601,$AG1504))</f>
        <v/>
      </c>
      <c r="P1504">
        <f>IF($AG1504="","","")</f>
        <v/>
      </c>
      <c r="Q1504">
        <f>IF($AG1504="","",INDEX('TMP Paste'!$J$2:$J$1601,$AG1504))</f>
        <v/>
      </c>
      <c r="R1504">
        <f>IF($AG1504="","",Config!$B$24)</f>
        <v/>
      </c>
      <c r="S1504">
        <f>IF($AG1504="","",TEXT(Config!$B$4,"yyyy-mm-dd"))</f>
        <v/>
      </c>
      <c r="T1504">
        <f>IF($AG1504="","",Config!$B$17)</f>
        <v/>
      </c>
      <c r="U1504">
        <f>IF($AG1504="","",Config!$B$18)</f>
        <v/>
      </c>
      <c r="V1504">
        <f>IF($AG1504="","",Config!$B$19)</f>
        <v/>
      </c>
      <c r="W1504">
        <f>IF($AG1504="","",INDEX('TMP Paste'!$C$2:$C$1601,$AG1504))</f>
        <v/>
      </c>
      <c r="X1504">
        <f>IF($AG1504="","",Config!$B$29)</f>
        <v/>
      </c>
      <c r="Y1504">
        <f>IF($AH1504="","",INDEX(Calc!$I$2:$I$1601,$AH1504)&amp;" - "&amp;INDEX(Calc!$D$2:$D$1601,$AH1504)&amp;" koli")</f>
        <v/>
      </c>
      <c r="Z1504">
        <f>IF($AG1504="","",Config!$B$21)</f>
        <v/>
      </c>
      <c r="AA1504">
        <f>IF($AG1504="","",Config!$B$22)</f>
        <v/>
      </c>
      <c r="AB1504">
        <f>IF($AH1504="","",INDEX(Calc!$D$2:$D$1601,$AH1504))</f>
        <v/>
      </c>
      <c r="AC1504">
        <f>IF($AH1504="","",INDEX(Calc!$G$2:$G$1601,$AH1504))</f>
        <v/>
      </c>
      <c r="AD1504">
        <f>IF($AG1504="","",Config!$B$23)</f>
        <v/>
      </c>
      <c r="AE1504">
        <f>IF($AG1504="","",Config!$B$28)</f>
        <v/>
      </c>
      <c r="AG1504">
        <f>IFERROR(MATCH(ROW()-1,Calc!$J$2:$J$1601,0),"")</f>
        <v/>
      </c>
      <c r="AH1504">
        <f>IFERROR(MATCH(ROW()-1,Calc!$K$2:$K$1601,0),"")</f>
        <v/>
      </c>
      <c r="AQ1504">
        <f>IF($AG1504="","",TRIM(IF(COUNTIFS(Calc!$B$2:$B$1601,ROW()-1,Calc!$C$2:$C$1601,"&lt;1")&gt;0,"Ada PO tanpa Koli - cek TMP. ","")&amp;IF(LEN($R1504)&gt;500,"R &gt; 500 karakter.","")))</f>
        <v/>
      </c>
    </row>
    <row r="1505">
      <c r="A1505">
        <f>IF($AG1505="","",INDEX('TMP Paste'!$B$2:$B$1601,$AG1505))</f>
        <v/>
      </c>
      <c r="B1505">
        <f>IF($AG1505="","",Config!$B$14)</f>
        <v/>
      </c>
      <c r="C1505">
        <f>IF($AG1505="","",Config!$B$15)</f>
        <v/>
      </c>
      <c r="D1505">
        <f>IF($AG1505="","",INDEX('TMP Paste'!$B$2:$B$1601,$AG1505))</f>
        <v/>
      </c>
      <c r="E1505">
        <f>IF($AG1505="","",Config!$B$27)</f>
        <v/>
      </c>
      <c r="F1505">
        <f>IF($AG1505="","",Config!$B$9)</f>
        <v/>
      </c>
      <c r="G1505">
        <f>IF($AG1505="","",Config!$B$10)</f>
        <v/>
      </c>
      <c r="H1505">
        <f>IF($AG1505="","",Config!$B$11)</f>
        <v/>
      </c>
      <c r="I1505">
        <f>IF($AG1505="","",Config!$B$16)</f>
        <v/>
      </c>
      <c r="J1505">
        <f>IF($AG1505="","",INDEX('TMP Paste'!$A$2:$A$1601,$AG1505))</f>
        <v/>
      </c>
      <c r="K1505">
        <f>IF($AG1505="","",INDEX('TMP Paste'!$L$2:$L$1601,$AG1505))</f>
        <v/>
      </c>
      <c r="L1505">
        <f>IF($AG1505="","",INDEX('TMP Paste'!$I$2:$I$1601,$AG1505))</f>
        <v/>
      </c>
      <c r="M1505">
        <f>IF($AG1505="","",Config!$B$16)</f>
        <v/>
      </c>
      <c r="N1505">
        <f>IF($AG1505="","","")</f>
        <v/>
      </c>
      <c r="O1505">
        <f>IF($AG1505="","",INDEX('TMP Paste'!$K$2:$K$1601,$AG1505))</f>
        <v/>
      </c>
      <c r="P1505">
        <f>IF($AG1505="","","")</f>
        <v/>
      </c>
      <c r="Q1505">
        <f>IF($AG1505="","",INDEX('TMP Paste'!$J$2:$J$1601,$AG1505))</f>
        <v/>
      </c>
      <c r="R1505">
        <f>IF($AG1505="","",Config!$B$24)</f>
        <v/>
      </c>
      <c r="S1505">
        <f>IF($AG1505="","",TEXT(Config!$B$4,"yyyy-mm-dd"))</f>
        <v/>
      </c>
      <c r="T1505">
        <f>IF($AG1505="","",Config!$B$17)</f>
        <v/>
      </c>
      <c r="U1505">
        <f>IF($AG1505="","",Config!$B$18)</f>
        <v/>
      </c>
      <c r="V1505">
        <f>IF($AG1505="","",Config!$B$19)</f>
        <v/>
      </c>
      <c r="W1505">
        <f>IF($AG1505="","",INDEX('TMP Paste'!$C$2:$C$1601,$AG1505))</f>
        <v/>
      </c>
      <c r="X1505">
        <f>IF($AG1505="","",Config!$B$29)</f>
        <v/>
      </c>
      <c r="Y1505">
        <f>IF($AH1505="","",INDEX(Calc!$I$2:$I$1601,$AH1505)&amp;" - "&amp;INDEX(Calc!$D$2:$D$1601,$AH1505)&amp;" koli")</f>
        <v/>
      </c>
      <c r="Z1505">
        <f>IF($AG1505="","",Config!$B$21)</f>
        <v/>
      </c>
      <c r="AA1505">
        <f>IF($AG1505="","",Config!$B$22)</f>
        <v/>
      </c>
      <c r="AB1505">
        <f>IF($AH1505="","",INDEX(Calc!$D$2:$D$1601,$AH1505))</f>
        <v/>
      </c>
      <c r="AC1505">
        <f>IF($AH1505="","",INDEX(Calc!$G$2:$G$1601,$AH1505))</f>
        <v/>
      </c>
      <c r="AD1505">
        <f>IF($AG1505="","",Config!$B$23)</f>
        <v/>
      </c>
      <c r="AE1505">
        <f>IF($AG1505="","",Config!$B$28)</f>
        <v/>
      </c>
      <c r="AG1505">
        <f>IFERROR(MATCH(ROW()-1,Calc!$J$2:$J$1601,0),"")</f>
        <v/>
      </c>
      <c r="AH1505">
        <f>IFERROR(MATCH(ROW()-1,Calc!$K$2:$K$1601,0),"")</f>
        <v/>
      </c>
      <c r="AQ1505">
        <f>IF($AG1505="","",TRIM(IF(COUNTIFS(Calc!$B$2:$B$1601,ROW()-1,Calc!$C$2:$C$1601,"&lt;1")&gt;0,"Ada PO tanpa Koli - cek TMP. ","")&amp;IF(LEN($R1505)&gt;500,"R &gt; 500 karakter.","")))</f>
        <v/>
      </c>
    </row>
    <row r="1506">
      <c r="A1506">
        <f>IF($AG1506="","",INDEX('TMP Paste'!$B$2:$B$1601,$AG1506))</f>
        <v/>
      </c>
      <c r="B1506">
        <f>IF($AG1506="","",Config!$B$14)</f>
        <v/>
      </c>
      <c r="C1506">
        <f>IF($AG1506="","",Config!$B$15)</f>
        <v/>
      </c>
      <c r="D1506">
        <f>IF($AG1506="","",INDEX('TMP Paste'!$B$2:$B$1601,$AG1506))</f>
        <v/>
      </c>
      <c r="E1506">
        <f>IF($AG1506="","",Config!$B$27)</f>
        <v/>
      </c>
      <c r="F1506">
        <f>IF($AG1506="","",Config!$B$9)</f>
        <v/>
      </c>
      <c r="G1506">
        <f>IF($AG1506="","",Config!$B$10)</f>
        <v/>
      </c>
      <c r="H1506">
        <f>IF($AG1506="","",Config!$B$11)</f>
        <v/>
      </c>
      <c r="I1506">
        <f>IF($AG1506="","",Config!$B$16)</f>
        <v/>
      </c>
      <c r="J1506">
        <f>IF($AG1506="","",INDEX('TMP Paste'!$A$2:$A$1601,$AG1506))</f>
        <v/>
      </c>
      <c r="K1506">
        <f>IF($AG1506="","",INDEX('TMP Paste'!$L$2:$L$1601,$AG1506))</f>
        <v/>
      </c>
      <c r="L1506">
        <f>IF($AG1506="","",INDEX('TMP Paste'!$I$2:$I$1601,$AG1506))</f>
        <v/>
      </c>
      <c r="M1506">
        <f>IF($AG1506="","",Config!$B$16)</f>
        <v/>
      </c>
      <c r="N1506">
        <f>IF($AG1506="","","")</f>
        <v/>
      </c>
      <c r="O1506">
        <f>IF($AG1506="","",INDEX('TMP Paste'!$K$2:$K$1601,$AG1506))</f>
        <v/>
      </c>
      <c r="P1506">
        <f>IF($AG1506="","","")</f>
        <v/>
      </c>
      <c r="Q1506">
        <f>IF($AG1506="","",INDEX('TMP Paste'!$J$2:$J$1601,$AG1506))</f>
        <v/>
      </c>
      <c r="R1506">
        <f>IF($AG1506="","",Config!$B$24)</f>
        <v/>
      </c>
      <c r="S1506">
        <f>IF($AG1506="","",TEXT(Config!$B$4,"yyyy-mm-dd"))</f>
        <v/>
      </c>
      <c r="T1506">
        <f>IF($AG1506="","",Config!$B$17)</f>
        <v/>
      </c>
      <c r="U1506">
        <f>IF($AG1506="","",Config!$B$18)</f>
        <v/>
      </c>
      <c r="V1506">
        <f>IF($AG1506="","",Config!$B$19)</f>
        <v/>
      </c>
      <c r="W1506">
        <f>IF($AG1506="","",INDEX('TMP Paste'!$C$2:$C$1601,$AG1506))</f>
        <v/>
      </c>
      <c r="X1506">
        <f>IF($AG1506="","",Config!$B$29)</f>
        <v/>
      </c>
      <c r="Y1506">
        <f>IF($AH1506="","",INDEX(Calc!$I$2:$I$1601,$AH1506)&amp;" - "&amp;INDEX(Calc!$D$2:$D$1601,$AH1506)&amp;" koli")</f>
        <v/>
      </c>
      <c r="Z1506">
        <f>IF($AG1506="","",Config!$B$21)</f>
        <v/>
      </c>
      <c r="AA1506">
        <f>IF($AG1506="","",Config!$B$22)</f>
        <v/>
      </c>
      <c r="AB1506">
        <f>IF($AH1506="","",INDEX(Calc!$D$2:$D$1601,$AH1506))</f>
        <v/>
      </c>
      <c r="AC1506">
        <f>IF($AH1506="","",INDEX(Calc!$G$2:$G$1601,$AH1506))</f>
        <v/>
      </c>
      <c r="AD1506">
        <f>IF($AG1506="","",Config!$B$23)</f>
        <v/>
      </c>
      <c r="AE1506">
        <f>IF($AG1506="","",Config!$B$28)</f>
        <v/>
      </c>
      <c r="AG1506">
        <f>IFERROR(MATCH(ROW()-1,Calc!$J$2:$J$1601,0),"")</f>
        <v/>
      </c>
      <c r="AH1506">
        <f>IFERROR(MATCH(ROW()-1,Calc!$K$2:$K$1601,0),"")</f>
        <v/>
      </c>
      <c r="AQ1506">
        <f>IF($AG1506="","",TRIM(IF(COUNTIFS(Calc!$B$2:$B$1601,ROW()-1,Calc!$C$2:$C$1601,"&lt;1")&gt;0,"Ada PO tanpa Koli - cek TMP. ","")&amp;IF(LEN($R1506)&gt;500,"R &gt; 500 karakter.","")))</f>
        <v/>
      </c>
    </row>
    <row r="1507">
      <c r="A1507">
        <f>IF($AG1507="","",INDEX('TMP Paste'!$B$2:$B$1601,$AG1507))</f>
        <v/>
      </c>
      <c r="B1507">
        <f>IF($AG1507="","",Config!$B$14)</f>
        <v/>
      </c>
      <c r="C1507">
        <f>IF($AG1507="","",Config!$B$15)</f>
        <v/>
      </c>
      <c r="D1507">
        <f>IF($AG1507="","",INDEX('TMP Paste'!$B$2:$B$1601,$AG1507))</f>
        <v/>
      </c>
      <c r="E1507">
        <f>IF($AG1507="","",Config!$B$27)</f>
        <v/>
      </c>
      <c r="F1507">
        <f>IF($AG1507="","",Config!$B$9)</f>
        <v/>
      </c>
      <c r="G1507">
        <f>IF($AG1507="","",Config!$B$10)</f>
        <v/>
      </c>
      <c r="H1507">
        <f>IF($AG1507="","",Config!$B$11)</f>
        <v/>
      </c>
      <c r="I1507">
        <f>IF($AG1507="","",Config!$B$16)</f>
        <v/>
      </c>
      <c r="J1507">
        <f>IF($AG1507="","",INDEX('TMP Paste'!$A$2:$A$1601,$AG1507))</f>
        <v/>
      </c>
      <c r="K1507">
        <f>IF($AG1507="","",INDEX('TMP Paste'!$L$2:$L$1601,$AG1507))</f>
        <v/>
      </c>
      <c r="L1507">
        <f>IF($AG1507="","",INDEX('TMP Paste'!$I$2:$I$1601,$AG1507))</f>
        <v/>
      </c>
      <c r="M1507">
        <f>IF($AG1507="","",Config!$B$16)</f>
        <v/>
      </c>
      <c r="N1507">
        <f>IF($AG1507="","","")</f>
        <v/>
      </c>
      <c r="O1507">
        <f>IF($AG1507="","",INDEX('TMP Paste'!$K$2:$K$1601,$AG1507))</f>
        <v/>
      </c>
      <c r="P1507">
        <f>IF($AG1507="","","")</f>
        <v/>
      </c>
      <c r="Q1507">
        <f>IF($AG1507="","",INDEX('TMP Paste'!$J$2:$J$1601,$AG1507))</f>
        <v/>
      </c>
      <c r="R1507">
        <f>IF($AG1507="","",Config!$B$24)</f>
        <v/>
      </c>
      <c r="S1507">
        <f>IF($AG1507="","",TEXT(Config!$B$4,"yyyy-mm-dd"))</f>
        <v/>
      </c>
      <c r="T1507">
        <f>IF($AG1507="","",Config!$B$17)</f>
        <v/>
      </c>
      <c r="U1507">
        <f>IF($AG1507="","",Config!$B$18)</f>
        <v/>
      </c>
      <c r="V1507">
        <f>IF($AG1507="","",Config!$B$19)</f>
        <v/>
      </c>
      <c r="W1507">
        <f>IF($AG1507="","",INDEX('TMP Paste'!$C$2:$C$1601,$AG1507))</f>
        <v/>
      </c>
      <c r="X1507">
        <f>IF($AG1507="","",Config!$B$29)</f>
        <v/>
      </c>
      <c r="Y1507">
        <f>IF($AH1507="","",INDEX(Calc!$I$2:$I$1601,$AH1507)&amp;" - "&amp;INDEX(Calc!$D$2:$D$1601,$AH1507)&amp;" koli")</f>
        <v/>
      </c>
      <c r="Z1507">
        <f>IF($AG1507="","",Config!$B$21)</f>
        <v/>
      </c>
      <c r="AA1507">
        <f>IF($AG1507="","",Config!$B$22)</f>
        <v/>
      </c>
      <c r="AB1507">
        <f>IF($AH1507="","",INDEX(Calc!$D$2:$D$1601,$AH1507))</f>
        <v/>
      </c>
      <c r="AC1507">
        <f>IF($AH1507="","",INDEX(Calc!$G$2:$G$1601,$AH1507))</f>
        <v/>
      </c>
      <c r="AD1507">
        <f>IF($AG1507="","",Config!$B$23)</f>
        <v/>
      </c>
      <c r="AE1507">
        <f>IF($AG1507="","",Config!$B$28)</f>
        <v/>
      </c>
      <c r="AG1507">
        <f>IFERROR(MATCH(ROW()-1,Calc!$J$2:$J$1601,0),"")</f>
        <v/>
      </c>
      <c r="AH1507">
        <f>IFERROR(MATCH(ROW()-1,Calc!$K$2:$K$1601,0),"")</f>
        <v/>
      </c>
      <c r="AQ1507">
        <f>IF($AG1507="","",TRIM(IF(COUNTIFS(Calc!$B$2:$B$1601,ROW()-1,Calc!$C$2:$C$1601,"&lt;1")&gt;0,"Ada PO tanpa Koli - cek TMP. ","")&amp;IF(LEN($R1507)&gt;500,"R &gt; 500 karakter.","")))</f>
        <v/>
      </c>
    </row>
    <row r="1508">
      <c r="A1508">
        <f>IF($AG1508="","",INDEX('TMP Paste'!$B$2:$B$1601,$AG1508))</f>
        <v/>
      </c>
      <c r="B1508">
        <f>IF($AG1508="","",Config!$B$14)</f>
        <v/>
      </c>
      <c r="C1508">
        <f>IF($AG1508="","",Config!$B$15)</f>
        <v/>
      </c>
      <c r="D1508">
        <f>IF($AG1508="","",INDEX('TMP Paste'!$B$2:$B$1601,$AG1508))</f>
        <v/>
      </c>
      <c r="E1508">
        <f>IF($AG1508="","",Config!$B$27)</f>
        <v/>
      </c>
      <c r="F1508">
        <f>IF($AG1508="","",Config!$B$9)</f>
        <v/>
      </c>
      <c r="G1508">
        <f>IF($AG1508="","",Config!$B$10)</f>
        <v/>
      </c>
      <c r="H1508">
        <f>IF($AG1508="","",Config!$B$11)</f>
        <v/>
      </c>
      <c r="I1508">
        <f>IF($AG1508="","",Config!$B$16)</f>
        <v/>
      </c>
      <c r="J1508">
        <f>IF($AG1508="","",INDEX('TMP Paste'!$A$2:$A$1601,$AG1508))</f>
        <v/>
      </c>
      <c r="K1508">
        <f>IF($AG1508="","",INDEX('TMP Paste'!$L$2:$L$1601,$AG1508))</f>
        <v/>
      </c>
      <c r="L1508">
        <f>IF($AG1508="","",INDEX('TMP Paste'!$I$2:$I$1601,$AG1508))</f>
        <v/>
      </c>
      <c r="M1508">
        <f>IF($AG1508="","",Config!$B$16)</f>
        <v/>
      </c>
      <c r="N1508">
        <f>IF($AG1508="","","")</f>
        <v/>
      </c>
      <c r="O1508">
        <f>IF($AG1508="","",INDEX('TMP Paste'!$K$2:$K$1601,$AG1508))</f>
        <v/>
      </c>
      <c r="P1508">
        <f>IF($AG1508="","","")</f>
        <v/>
      </c>
      <c r="Q1508">
        <f>IF($AG1508="","",INDEX('TMP Paste'!$J$2:$J$1601,$AG1508))</f>
        <v/>
      </c>
      <c r="R1508">
        <f>IF($AG1508="","",Config!$B$24)</f>
        <v/>
      </c>
      <c r="S1508">
        <f>IF($AG1508="","",TEXT(Config!$B$4,"yyyy-mm-dd"))</f>
        <v/>
      </c>
      <c r="T1508">
        <f>IF($AG1508="","",Config!$B$17)</f>
        <v/>
      </c>
      <c r="U1508">
        <f>IF($AG1508="","",Config!$B$18)</f>
        <v/>
      </c>
      <c r="V1508">
        <f>IF($AG1508="","",Config!$B$19)</f>
        <v/>
      </c>
      <c r="W1508">
        <f>IF($AG1508="","",INDEX('TMP Paste'!$C$2:$C$1601,$AG1508))</f>
        <v/>
      </c>
      <c r="X1508">
        <f>IF($AG1508="","",Config!$B$29)</f>
        <v/>
      </c>
      <c r="Y1508">
        <f>IF($AH1508="","",INDEX(Calc!$I$2:$I$1601,$AH1508)&amp;" - "&amp;INDEX(Calc!$D$2:$D$1601,$AH1508)&amp;" koli")</f>
        <v/>
      </c>
      <c r="Z1508">
        <f>IF($AG1508="","",Config!$B$21)</f>
        <v/>
      </c>
      <c r="AA1508">
        <f>IF($AG1508="","",Config!$B$22)</f>
        <v/>
      </c>
      <c r="AB1508">
        <f>IF($AH1508="","",INDEX(Calc!$D$2:$D$1601,$AH1508))</f>
        <v/>
      </c>
      <c r="AC1508">
        <f>IF($AH1508="","",INDEX(Calc!$G$2:$G$1601,$AH1508))</f>
        <v/>
      </c>
      <c r="AD1508">
        <f>IF($AG1508="","",Config!$B$23)</f>
        <v/>
      </c>
      <c r="AE1508">
        <f>IF($AG1508="","",Config!$B$28)</f>
        <v/>
      </c>
      <c r="AG1508">
        <f>IFERROR(MATCH(ROW()-1,Calc!$J$2:$J$1601,0),"")</f>
        <v/>
      </c>
      <c r="AH1508">
        <f>IFERROR(MATCH(ROW()-1,Calc!$K$2:$K$1601,0),"")</f>
        <v/>
      </c>
      <c r="AQ1508">
        <f>IF($AG1508="","",TRIM(IF(COUNTIFS(Calc!$B$2:$B$1601,ROW()-1,Calc!$C$2:$C$1601,"&lt;1")&gt;0,"Ada PO tanpa Koli - cek TMP. ","")&amp;IF(LEN($R1508)&gt;500,"R &gt; 500 karakter.","")))</f>
        <v/>
      </c>
    </row>
    <row r="1509">
      <c r="A1509">
        <f>IF($AG1509="","",INDEX('TMP Paste'!$B$2:$B$1601,$AG1509))</f>
        <v/>
      </c>
      <c r="B1509">
        <f>IF($AG1509="","",Config!$B$14)</f>
        <v/>
      </c>
      <c r="C1509">
        <f>IF($AG1509="","",Config!$B$15)</f>
        <v/>
      </c>
      <c r="D1509">
        <f>IF($AG1509="","",INDEX('TMP Paste'!$B$2:$B$1601,$AG1509))</f>
        <v/>
      </c>
      <c r="E1509">
        <f>IF($AG1509="","",Config!$B$27)</f>
        <v/>
      </c>
      <c r="F1509">
        <f>IF($AG1509="","",Config!$B$9)</f>
        <v/>
      </c>
      <c r="G1509">
        <f>IF($AG1509="","",Config!$B$10)</f>
        <v/>
      </c>
      <c r="H1509">
        <f>IF($AG1509="","",Config!$B$11)</f>
        <v/>
      </c>
      <c r="I1509">
        <f>IF($AG1509="","",Config!$B$16)</f>
        <v/>
      </c>
      <c r="J1509">
        <f>IF($AG1509="","",INDEX('TMP Paste'!$A$2:$A$1601,$AG1509))</f>
        <v/>
      </c>
      <c r="K1509">
        <f>IF($AG1509="","",INDEX('TMP Paste'!$L$2:$L$1601,$AG1509))</f>
        <v/>
      </c>
      <c r="L1509">
        <f>IF($AG1509="","",INDEX('TMP Paste'!$I$2:$I$1601,$AG1509))</f>
        <v/>
      </c>
      <c r="M1509">
        <f>IF($AG1509="","",Config!$B$16)</f>
        <v/>
      </c>
      <c r="N1509">
        <f>IF($AG1509="","","")</f>
        <v/>
      </c>
      <c r="O1509">
        <f>IF($AG1509="","",INDEX('TMP Paste'!$K$2:$K$1601,$AG1509))</f>
        <v/>
      </c>
      <c r="P1509">
        <f>IF($AG1509="","","")</f>
        <v/>
      </c>
      <c r="Q1509">
        <f>IF($AG1509="","",INDEX('TMP Paste'!$J$2:$J$1601,$AG1509))</f>
        <v/>
      </c>
      <c r="R1509">
        <f>IF($AG1509="","",Config!$B$24)</f>
        <v/>
      </c>
      <c r="S1509">
        <f>IF($AG1509="","",TEXT(Config!$B$4,"yyyy-mm-dd"))</f>
        <v/>
      </c>
      <c r="T1509">
        <f>IF($AG1509="","",Config!$B$17)</f>
        <v/>
      </c>
      <c r="U1509">
        <f>IF($AG1509="","",Config!$B$18)</f>
        <v/>
      </c>
      <c r="V1509">
        <f>IF($AG1509="","",Config!$B$19)</f>
        <v/>
      </c>
      <c r="W1509">
        <f>IF($AG1509="","",INDEX('TMP Paste'!$C$2:$C$1601,$AG1509))</f>
        <v/>
      </c>
      <c r="X1509">
        <f>IF($AG1509="","",Config!$B$29)</f>
        <v/>
      </c>
      <c r="Y1509">
        <f>IF($AH1509="","",INDEX(Calc!$I$2:$I$1601,$AH1509)&amp;" - "&amp;INDEX(Calc!$D$2:$D$1601,$AH1509)&amp;" koli")</f>
        <v/>
      </c>
      <c r="Z1509">
        <f>IF($AG1509="","",Config!$B$21)</f>
        <v/>
      </c>
      <c r="AA1509">
        <f>IF($AG1509="","",Config!$B$22)</f>
        <v/>
      </c>
      <c r="AB1509">
        <f>IF($AH1509="","",INDEX(Calc!$D$2:$D$1601,$AH1509))</f>
        <v/>
      </c>
      <c r="AC1509">
        <f>IF($AH1509="","",INDEX(Calc!$G$2:$G$1601,$AH1509))</f>
        <v/>
      </c>
      <c r="AD1509">
        <f>IF($AG1509="","",Config!$B$23)</f>
        <v/>
      </c>
      <c r="AE1509">
        <f>IF($AG1509="","",Config!$B$28)</f>
        <v/>
      </c>
      <c r="AG1509">
        <f>IFERROR(MATCH(ROW()-1,Calc!$J$2:$J$1601,0),"")</f>
        <v/>
      </c>
      <c r="AH1509">
        <f>IFERROR(MATCH(ROW()-1,Calc!$K$2:$K$1601,0),"")</f>
        <v/>
      </c>
      <c r="AQ1509">
        <f>IF($AG1509="","",TRIM(IF(COUNTIFS(Calc!$B$2:$B$1601,ROW()-1,Calc!$C$2:$C$1601,"&lt;1")&gt;0,"Ada PO tanpa Koli - cek TMP. ","")&amp;IF(LEN($R1509)&gt;500,"R &gt; 500 karakter.","")))</f>
        <v/>
      </c>
    </row>
    <row r="1510">
      <c r="A1510">
        <f>IF($AG1510="","",INDEX('TMP Paste'!$B$2:$B$1601,$AG1510))</f>
        <v/>
      </c>
      <c r="B1510">
        <f>IF($AG1510="","",Config!$B$14)</f>
        <v/>
      </c>
      <c r="C1510">
        <f>IF($AG1510="","",Config!$B$15)</f>
        <v/>
      </c>
      <c r="D1510">
        <f>IF($AG1510="","",INDEX('TMP Paste'!$B$2:$B$1601,$AG1510))</f>
        <v/>
      </c>
      <c r="E1510">
        <f>IF($AG1510="","",Config!$B$27)</f>
        <v/>
      </c>
      <c r="F1510">
        <f>IF($AG1510="","",Config!$B$9)</f>
        <v/>
      </c>
      <c r="G1510">
        <f>IF($AG1510="","",Config!$B$10)</f>
        <v/>
      </c>
      <c r="H1510">
        <f>IF($AG1510="","",Config!$B$11)</f>
        <v/>
      </c>
      <c r="I1510">
        <f>IF($AG1510="","",Config!$B$16)</f>
        <v/>
      </c>
      <c r="J1510">
        <f>IF($AG1510="","",INDEX('TMP Paste'!$A$2:$A$1601,$AG1510))</f>
        <v/>
      </c>
      <c r="K1510">
        <f>IF($AG1510="","",INDEX('TMP Paste'!$L$2:$L$1601,$AG1510))</f>
        <v/>
      </c>
      <c r="L1510">
        <f>IF($AG1510="","",INDEX('TMP Paste'!$I$2:$I$1601,$AG1510))</f>
        <v/>
      </c>
      <c r="M1510">
        <f>IF($AG1510="","",Config!$B$16)</f>
        <v/>
      </c>
      <c r="N1510">
        <f>IF($AG1510="","","")</f>
        <v/>
      </c>
      <c r="O1510">
        <f>IF($AG1510="","",INDEX('TMP Paste'!$K$2:$K$1601,$AG1510))</f>
        <v/>
      </c>
      <c r="P1510">
        <f>IF($AG1510="","","")</f>
        <v/>
      </c>
      <c r="Q1510">
        <f>IF($AG1510="","",INDEX('TMP Paste'!$J$2:$J$1601,$AG1510))</f>
        <v/>
      </c>
      <c r="R1510">
        <f>IF($AG1510="","",Config!$B$24)</f>
        <v/>
      </c>
      <c r="S1510">
        <f>IF($AG1510="","",TEXT(Config!$B$4,"yyyy-mm-dd"))</f>
        <v/>
      </c>
      <c r="T1510">
        <f>IF($AG1510="","",Config!$B$17)</f>
        <v/>
      </c>
      <c r="U1510">
        <f>IF($AG1510="","",Config!$B$18)</f>
        <v/>
      </c>
      <c r="V1510">
        <f>IF($AG1510="","",Config!$B$19)</f>
        <v/>
      </c>
      <c r="W1510">
        <f>IF($AG1510="","",INDEX('TMP Paste'!$C$2:$C$1601,$AG1510))</f>
        <v/>
      </c>
      <c r="X1510">
        <f>IF($AG1510="","",Config!$B$29)</f>
        <v/>
      </c>
      <c r="Y1510">
        <f>IF($AH1510="","",INDEX(Calc!$I$2:$I$1601,$AH1510)&amp;" - "&amp;INDEX(Calc!$D$2:$D$1601,$AH1510)&amp;" koli")</f>
        <v/>
      </c>
      <c r="Z1510">
        <f>IF($AG1510="","",Config!$B$21)</f>
        <v/>
      </c>
      <c r="AA1510">
        <f>IF($AG1510="","",Config!$B$22)</f>
        <v/>
      </c>
      <c r="AB1510">
        <f>IF($AH1510="","",INDEX(Calc!$D$2:$D$1601,$AH1510))</f>
        <v/>
      </c>
      <c r="AC1510">
        <f>IF($AH1510="","",INDEX(Calc!$G$2:$G$1601,$AH1510))</f>
        <v/>
      </c>
      <c r="AD1510">
        <f>IF($AG1510="","",Config!$B$23)</f>
        <v/>
      </c>
      <c r="AE1510">
        <f>IF($AG1510="","",Config!$B$28)</f>
        <v/>
      </c>
      <c r="AG1510">
        <f>IFERROR(MATCH(ROW()-1,Calc!$J$2:$J$1601,0),"")</f>
        <v/>
      </c>
      <c r="AH1510">
        <f>IFERROR(MATCH(ROW()-1,Calc!$K$2:$K$1601,0),"")</f>
        <v/>
      </c>
      <c r="AQ1510">
        <f>IF($AG1510="","",TRIM(IF(COUNTIFS(Calc!$B$2:$B$1601,ROW()-1,Calc!$C$2:$C$1601,"&lt;1")&gt;0,"Ada PO tanpa Koli - cek TMP. ","")&amp;IF(LEN($R1510)&gt;500,"R &gt; 500 karakter.","")))</f>
        <v/>
      </c>
    </row>
    <row r="1511">
      <c r="A1511">
        <f>IF($AG1511="","",INDEX('TMP Paste'!$B$2:$B$1601,$AG1511))</f>
        <v/>
      </c>
      <c r="B1511">
        <f>IF($AG1511="","",Config!$B$14)</f>
        <v/>
      </c>
      <c r="C1511">
        <f>IF($AG1511="","",Config!$B$15)</f>
        <v/>
      </c>
      <c r="D1511">
        <f>IF($AG1511="","",INDEX('TMP Paste'!$B$2:$B$1601,$AG1511))</f>
        <v/>
      </c>
      <c r="E1511">
        <f>IF($AG1511="","",Config!$B$27)</f>
        <v/>
      </c>
      <c r="F1511">
        <f>IF($AG1511="","",Config!$B$9)</f>
        <v/>
      </c>
      <c r="G1511">
        <f>IF($AG1511="","",Config!$B$10)</f>
        <v/>
      </c>
      <c r="H1511">
        <f>IF($AG1511="","",Config!$B$11)</f>
        <v/>
      </c>
      <c r="I1511">
        <f>IF($AG1511="","",Config!$B$16)</f>
        <v/>
      </c>
      <c r="J1511">
        <f>IF($AG1511="","",INDEX('TMP Paste'!$A$2:$A$1601,$AG1511))</f>
        <v/>
      </c>
      <c r="K1511">
        <f>IF($AG1511="","",INDEX('TMP Paste'!$L$2:$L$1601,$AG1511))</f>
        <v/>
      </c>
      <c r="L1511">
        <f>IF($AG1511="","",INDEX('TMP Paste'!$I$2:$I$1601,$AG1511))</f>
        <v/>
      </c>
      <c r="M1511">
        <f>IF($AG1511="","",Config!$B$16)</f>
        <v/>
      </c>
      <c r="N1511">
        <f>IF($AG1511="","","")</f>
        <v/>
      </c>
      <c r="O1511">
        <f>IF($AG1511="","",INDEX('TMP Paste'!$K$2:$K$1601,$AG1511))</f>
        <v/>
      </c>
      <c r="P1511">
        <f>IF($AG1511="","","")</f>
        <v/>
      </c>
      <c r="Q1511">
        <f>IF($AG1511="","",INDEX('TMP Paste'!$J$2:$J$1601,$AG1511))</f>
        <v/>
      </c>
      <c r="R1511">
        <f>IF($AG1511="","",Config!$B$24)</f>
        <v/>
      </c>
      <c r="S1511">
        <f>IF($AG1511="","",TEXT(Config!$B$4,"yyyy-mm-dd"))</f>
        <v/>
      </c>
      <c r="T1511">
        <f>IF($AG1511="","",Config!$B$17)</f>
        <v/>
      </c>
      <c r="U1511">
        <f>IF($AG1511="","",Config!$B$18)</f>
        <v/>
      </c>
      <c r="V1511">
        <f>IF($AG1511="","",Config!$B$19)</f>
        <v/>
      </c>
      <c r="W1511">
        <f>IF($AG1511="","",INDEX('TMP Paste'!$C$2:$C$1601,$AG1511))</f>
        <v/>
      </c>
      <c r="X1511">
        <f>IF($AG1511="","",Config!$B$29)</f>
        <v/>
      </c>
      <c r="Y1511">
        <f>IF($AH1511="","",INDEX(Calc!$I$2:$I$1601,$AH1511)&amp;" - "&amp;INDEX(Calc!$D$2:$D$1601,$AH1511)&amp;" koli")</f>
        <v/>
      </c>
      <c r="Z1511">
        <f>IF($AG1511="","",Config!$B$21)</f>
        <v/>
      </c>
      <c r="AA1511">
        <f>IF($AG1511="","",Config!$B$22)</f>
        <v/>
      </c>
      <c r="AB1511">
        <f>IF($AH1511="","",INDEX(Calc!$D$2:$D$1601,$AH1511))</f>
        <v/>
      </c>
      <c r="AC1511">
        <f>IF($AH1511="","",INDEX(Calc!$G$2:$G$1601,$AH1511))</f>
        <v/>
      </c>
      <c r="AD1511">
        <f>IF($AG1511="","",Config!$B$23)</f>
        <v/>
      </c>
      <c r="AE1511">
        <f>IF($AG1511="","",Config!$B$28)</f>
        <v/>
      </c>
      <c r="AG1511">
        <f>IFERROR(MATCH(ROW()-1,Calc!$J$2:$J$1601,0),"")</f>
        <v/>
      </c>
      <c r="AH1511">
        <f>IFERROR(MATCH(ROW()-1,Calc!$K$2:$K$1601,0),"")</f>
        <v/>
      </c>
      <c r="AQ1511">
        <f>IF($AG1511="","",TRIM(IF(COUNTIFS(Calc!$B$2:$B$1601,ROW()-1,Calc!$C$2:$C$1601,"&lt;1")&gt;0,"Ada PO tanpa Koli - cek TMP. ","")&amp;IF(LEN($R1511)&gt;500,"R &gt; 500 karakter.","")))</f>
        <v/>
      </c>
    </row>
    <row r="1512">
      <c r="A1512">
        <f>IF($AG1512="","",INDEX('TMP Paste'!$B$2:$B$1601,$AG1512))</f>
        <v/>
      </c>
      <c r="B1512">
        <f>IF($AG1512="","",Config!$B$14)</f>
        <v/>
      </c>
      <c r="C1512">
        <f>IF($AG1512="","",Config!$B$15)</f>
        <v/>
      </c>
      <c r="D1512">
        <f>IF($AG1512="","",INDEX('TMP Paste'!$B$2:$B$1601,$AG1512))</f>
        <v/>
      </c>
      <c r="E1512">
        <f>IF($AG1512="","",Config!$B$27)</f>
        <v/>
      </c>
      <c r="F1512">
        <f>IF($AG1512="","",Config!$B$9)</f>
        <v/>
      </c>
      <c r="G1512">
        <f>IF($AG1512="","",Config!$B$10)</f>
        <v/>
      </c>
      <c r="H1512">
        <f>IF($AG1512="","",Config!$B$11)</f>
        <v/>
      </c>
      <c r="I1512">
        <f>IF($AG1512="","",Config!$B$16)</f>
        <v/>
      </c>
      <c r="J1512">
        <f>IF($AG1512="","",INDEX('TMP Paste'!$A$2:$A$1601,$AG1512))</f>
        <v/>
      </c>
      <c r="K1512">
        <f>IF($AG1512="","",INDEX('TMP Paste'!$L$2:$L$1601,$AG1512))</f>
        <v/>
      </c>
      <c r="L1512">
        <f>IF($AG1512="","",INDEX('TMP Paste'!$I$2:$I$1601,$AG1512))</f>
        <v/>
      </c>
      <c r="M1512">
        <f>IF($AG1512="","",Config!$B$16)</f>
        <v/>
      </c>
      <c r="N1512">
        <f>IF($AG1512="","","")</f>
        <v/>
      </c>
      <c r="O1512">
        <f>IF($AG1512="","",INDEX('TMP Paste'!$K$2:$K$1601,$AG1512))</f>
        <v/>
      </c>
      <c r="P1512">
        <f>IF($AG1512="","","")</f>
        <v/>
      </c>
      <c r="Q1512">
        <f>IF($AG1512="","",INDEX('TMP Paste'!$J$2:$J$1601,$AG1512))</f>
        <v/>
      </c>
      <c r="R1512">
        <f>IF($AG1512="","",Config!$B$24)</f>
        <v/>
      </c>
      <c r="S1512">
        <f>IF($AG1512="","",TEXT(Config!$B$4,"yyyy-mm-dd"))</f>
        <v/>
      </c>
      <c r="T1512">
        <f>IF($AG1512="","",Config!$B$17)</f>
        <v/>
      </c>
      <c r="U1512">
        <f>IF($AG1512="","",Config!$B$18)</f>
        <v/>
      </c>
      <c r="V1512">
        <f>IF($AG1512="","",Config!$B$19)</f>
        <v/>
      </c>
      <c r="W1512">
        <f>IF($AG1512="","",INDEX('TMP Paste'!$C$2:$C$1601,$AG1512))</f>
        <v/>
      </c>
      <c r="X1512">
        <f>IF($AG1512="","",Config!$B$29)</f>
        <v/>
      </c>
      <c r="Y1512">
        <f>IF($AH1512="","",INDEX(Calc!$I$2:$I$1601,$AH1512)&amp;" - "&amp;INDEX(Calc!$D$2:$D$1601,$AH1512)&amp;" koli")</f>
        <v/>
      </c>
      <c r="Z1512">
        <f>IF($AG1512="","",Config!$B$21)</f>
        <v/>
      </c>
      <c r="AA1512">
        <f>IF($AG1512="","",Config!$B$22)</f>
        <v/>
      </c>
      <c r="AB1512">
        <f>IF($AH1512="","",INDEX(Calc!$D$2:$D$1601,$AH1512))</f>
        <v/>
      </c>
      <c r="AC1512">
        <f>IF($AH1512="","",INDEX(Calc!$G$2:$G$1601,$AH1512))</f>
        <v/>
      </c>
      <c r="AD1512">
        <f>IF($AG1512="","",Config!$B$23)</f>
        <v/>
      </c>
      <c r="AE1512">
        <f>IF($AG1512="","",Config!$B$28)</f>
        <v/>
      </c>
      <c r="AG1512">
        <f>IFERROR(MATCH(ROW()-1,Calc!$J$2:$J$1601,0),"")</f>
        <v/>
      </c>
      <c r="AH1512">
        <f>IFERROR(MATCH(ROW()-1,Calc!$K$2:$K$1601,0),"")</f>
        <v/>
      </c>
      <c r="AQ1512">
        <f>IF($AG1512="","",TRIM(IF(COUNTIFS(Calc!$B$2:$B$1601,ROW()-1,Calc!$C$2:$C$1601,"&lt;1")&gt;0,"Ada PO tanpa Koli - cek TMP. ","")&amp;IF(LEN($R1512)&gt;500,"R &gt; 500 karakter.","")))</f>
        <v/>
      </c>
    </row>
    <row r="1513">
      <c r="A1513">
        <f>IF($AG1513="","",INDEX('TMP Paste'!$B$2:$B$1601,$AG1513))</f>
        <v/>
      </c>
      <c r="B1513">
        <f>IF($AG1513="","",Config!$B$14)</f>
        <v/>
      </c>
      <c r="C1513">
        <f>IF($AG1513="","",Config!$B$15)</f>
        <v/>
      </c>
      <c r="D1513">
        <f>IF($AG1513="","",INDEX('TMP Paste'!$B$2:$B$1601,$AG1513))</f>
        <v/>
      </c>
      <c r="E1513">
        <f>IF($AG1513="","",Config!$B$27)</f>
        <v/>
      </c>
      <c r="F1513">
        <f>IF($AG1513="","",Config!$B$9)</f>
        <v/>
      </c>
      <c r="G1513">
        <f>IF($AG1513="","",Config!$B$10)</f>
        <v/>
      </c>
      <c r="H1513">
        <f>IF($AG1513="","",Config!$B$11)</f>
        <v/>
      </c>
      <c r="I1513">
        <f>IF($AG1513="","",Config!$B$16)</f>
        <v/>
      </c>
      <c r="J1513">
        <f>IF($AG1513="","",INDEX('TMP Paste'!$A$2:$A$1601,$AG1513))</f>
        <v/>
      </c>
      <c r="K1513">
        <f>IF($AG1513="","",INDEX('TMP Paste'!$L$2:$L$1601,$AG1513))</f>
        <v/>
      </c>
      <c r="L1513">
        <f>IF($AG1513="","",INDEX('TMP Paste'!$I$2:$I$1601,$AG1513))</f>
        <v/>
      </c>
      <c r="M1513">
        <f>IF($AG1513="","",Config!$B$16)</f>
        <v/>
      </c>
      <c r="N1513">
        <f>IF($AG1513="","","")</f>
        <v/>
      </c>
      <c r="O1513">
        <f>IF($AG1513="","",INDEX('TMP Paste'!$K$2:$K$1601,$AG1513))</f>
        <v/>
      </c>
      <c r="P1513">
        <f>IF($AG1513="","","")</f>
        <v/>
      </c>
      <c r="Q1513">
        <f>IF($AG1513="","",INDEX('TMP Paste'!$J$2:$J$1601,$AG1513))</f>
        <v/>
      </c>
      <c r="R1513">
        <f>IF($AG1513="","",Config!$B$24)</f>
        <v/>
      </c>
      <c r="S1513">
        <f>IF($AG1513="","",TEXT(Config!$B$4,"yyyy-mm-dd"))</f>
        <v/>
      </c>
      <c r="T1513">
        <f>IF($AG1513="","",Config!$B$17)</f>
        <v/>
      </c>
      <c r="U1513">
        <f>IF($AG1513="","",Config!$B$18)</f>
        <v/>
      </c>
      <c r="V1513">
        <f>IF($AG1513="","",Config!$B$19)</f>
        <v/>
      </c>
      <c r="W1513">
        <f>IF($AG1513="","",INDEX('TMP Paste'!$C$2:$C$1601,$AG1513))</f>
        <v/>
      </c>
      <c r="X1513">
        <f>IF($AG1513="","",Config!$B$29)</f>
        <v/>
      </c>
      <c r="Y1513">
        <f>IF($AH1513="","",INDEX(Calc!$I$2:$I$1601,$AH1513)&amp;" - "&amp;INDEX(Calc!$D$2:$D$1601,$AH1513)&amp;" koli")</f>
        <v/>
      </c>
      <c r="Z1513">
        <f>IF($AG1513="","",Config!$B$21)</f>
        <v/>
      </c>
      <c r="AA1513">
        <f>IF($AG1513="","",Config!$B$22)</f>
        <v/>
      </c>
      <c r="AB1513">
        <f>IF($AH1513="","",INDEX(Calc!$D$2:$D$1601,$AH1513))</f>
        <v/>
      </c>
      <c r="AC1513">
        <f>IF($AH1513="","",INDEX(Calc!$G$2:$G$1601,$AH1513))</f>
        <v/>
      </c>
      <c r="AD1513">
        <f>IF($AG1513="","",Config!$B$23)</f>
        <v/>
      </c>
      <c r="AE1513">
        <f>IF($AG1513="","",Config!$B$28)</f>
        <v/>
      </c>
      <c r="AG1513">
        <f>IFERROR(MATCH(ROW()-1,Calc!$J$2:$J$1601,0),"")</f>
        <v/>
      </c>
      <c r="AH1513">
        <f>IFERROR(MATCH(ROW()-1,Calc!$K$2:$K$1601,0),"")</f>
        <v/>
      </c>
      <c r="AQ1513">
        <f>IF($AG1513="","",TRIM(IF(COUNTIFS(Calc!$B$2:$B$1601,ROW()-1,Calc!$C$2:$C$1601,"&lt;1")&gt;0,"Ada PO tanpa Koli - cek TMP. ","")&amp;IF(LEN($R1513)&gt;500,"R &gt; 500 karakter.","")))</f>
        <v/>
      </c>
    </row>
    <row r="1514">
      <c r="A1514">
        <f>IF($AG1514="","",INDEX('TMP Paste'!$B$2:$B$1601,$AG1514))</f>
        <v/>
      </c>
      <c r="B1514">
        <f>IF($AG1514="","",Config!$B$14)</f>
        <v/>
      </c>
      <c r="C1514">
        <f>IF($AG1514="","",Config!$B$15)</f>
        <v/>
      </c>
      <c r="D1514">
        <f>IF($AG1514="","",INDEX('TMP Paste'!$B$2:$B$1601,$AG1514))</f>
        <v/>
      </c>
      <c r="E1514">
        <f>IF($AG1514="","",Config!$B$27)</f>
        <v/>
      </c>
      <c r="F1514">
        <f>IF($AG1514="","",Config!$B$9)</f>
        <v/>
      </c>
      <c r="G1514">
        <f>IF($AG1514="","",Config!$B$10)</f>
        <v/>
      </c>
      <c r="H1514">
        <f>IF($AG1514="","",Config!$B$11)</f>
        <v/>
      </c>
      <c r="I1514">
        <f>IF($AG1514="","",Config!$B$16)</f>
        <v/>
      </c>
      <c r="J1514">
        <f>IF($AG1514="","",INDEX('TMP Paste'!$A$2:$A$1601,$AG1514))</f>
        <v/>
      </c>
      <c r="K1514">
        <f>IF($AG1514="","",INDEX('TMP Paste'!$L$2:$L$1601,$AG1514))</f>
        <v/>
      </c>
      <c r="L1514">
        <f>IF($AG1514="","",INDEX('TMP Paste'!$I$2:$I$1601,$AG1514))</f>
        <v/>
      </c>
      <c r="M1514">
        <f>IF($AG1514="","",Config!$B$16)</f>
        <v/>
      </c>
      <c r="N1514">
        <f>IF($AG1514="","","")</f>
        <v/>
      </c>
      <c r="O1514">
        <f>IF($AG1514="","",INDEX('TMP Paste'!$K$2:$K$1601,$AG1514))</f>
        <v/>
      </c>
      <c r="P1514">
        <f>IF($AG1514="","","")</f>
        <v/>
      </c>
      <c r="Q1514">
        <f>IF($AG1514="","",INDEX('TMP Paste'!$J$2:$J$1601,$AG1514))</f>
        <v/>
      </c>
      <c r="R1514">
        <f>IF($AG1514="","",Config!$B$24)</f>
        <v/>
      </c>
      <c r="S1514">
        <f>IF($AG1514="","",TEXT(Config!$B$4,"yyyy-mm-dd"))</f>
        <v/>
      </c>
      <c r="T1514">
        <f>IF($AG1514="","",Config!$B$17)</f>
        <v/>
      </c>
      <c r="U1514">
        <f>IF($AG1514="","",Config!$B$18)</f>
        <v/>
      </c>
      <c r="V1514">
        <f>IF($AG1514="","",Config!$B$19)</f>
        <v/>
      </c>
      <c r="W1514">
        <f>IF($AG1514="","",INDEX('TMP Paste'!$C$2:$C$1601,$AG1514))</f>
        <v/>
      </c>
      <c r="X1514">
        <f>IF($AG1514="","",Config!$B$29)</f>
        <v/>
      </c>
      <c r="Y1514">
        <f>IF($AH1514="","",INDEX(Calc!$I$2:$I$1601,$AH1514)&amp;" - "&amp;INDEX(Calc!$D$2:$D$1601,$AH1514)&amp;" koli")</f>
        <v/>
      </c>
      <c r="Z1514">
        <f>IF($AG1514="","",Config!$B$21)</f>
        <v/>
      </c>
      <c r="AA1514">
        <f>IF($AG1514="","",Config!$B$22)</f>
        <v/>
      </c>
      <c r="AB1514">
        <f>IF($AH1514="","",INDEX(Calc!$D$2:$D$1601,$AH1514))</f>
        <v/>
      </c>
      <c r="AC1514">
        <f>IF($AH1514="","",INDEX(Calc!$G$2:$G$1601,$AH1514))</f>
        <v/>
      </c>
      <c r="AD1514">
        <f>IF($AG1514="","",Config!$B$23)</f>
        <v/>
      </c>
      <c r="AE1514">
        <f>IF($AG1514="","",Config!$B$28)</f>
        <v/>
      </c>
      <c r="AG1514">
        <f>IFERROR(MATCH(ROW()-1,Calc!$J$2:$J$1601,0),"")</f>
        <v/>
      </c>
      <c r="AH1514">
        <f>IFERROR(MATCH(ROW()-1,Calc!$K$2:$K$1601,0),"")</f>
        <v/>
      </c>
      <c r="AQ1514">
        <f>IF($AG1514="","",TRIM(IF(COUNTIFS(Calc!$B$2:$B$1601,ROW()-1,Calc!$C$2:$C$1601,"&lt;1")&gt;0,"Ada PO tanpa Koli - cek TMP. ","")&amp;IF(LEN($R1514)&gt;500,"R &gt; 500 karakter.","")))</f>
        <v/>
      </c>
    </row>
    <row r="1515">
      <c r="A1515">
        <f>IF($AG1515="","",INDEX('TMP Paste'!$B$2:$B$1601,$AG1515))</f>
        <v/>
      </c>
      <c r="B1515">
        <f>IF($AG1515="","",Config!$B$14)</f>
        <v/>
      </c>
      <c r="C1515">
        <f>IF($AG1515="","",Config!$B$15)</f>
        <v/>
      </c>
      <c r="D1515">
        <f>IF($AG1515="","",INDEX('TMP Paste'!$B$2:$B$1601,$AG1515))</f>
        <v/>
      </c>
      <c r="E1515">
        <f>IF($AG1515="","",Config!$B$27)</f>
        <v/>
      </c>
      <c r="F1515">
        <f>IF($AG1515="","",Config!$B$9)</f>
        <v/>
      </c>
      <c r="G1515">
        <f>IF($AG1515="","",Config!$B$10)</f>
        <v/>
      </c>
      <c r="H1515">
        <f>IF($AG1515="","",Config!$B$11)</f>
        <v/>
      </c>
      <c r="I1515">
        <f>IF($AG1515="","",Config!$B$16)</f>
        <v/>
      </c>
      <c r="J1515">
        <f>IF($AG1515="","",INDEX('TMP Paste'!$A$2:$A$1601,$AG1515))</f>
        <v/>
      </c>
      <c r="K1515">
        <f>IF($AG1515="","",INDEX('TMP Paste'!$L$2:$L$1601,$AG1515))</f>
        <v/>
      </c>
      <c r="L1515">
        <f>IF($AG1515="","",INDEX('TMP Paste'!$I$2:$I$1601,$AG1515))</f>
        <v/>
      </c>
      <c r="M1515">
        <f>IF($AG1515="","",Config!$B$16)</f>
        <v/>
      </c>
      <c r="N1515">
        <f>IF($AG1515="","","")</f>
        <v/>
      </c>
      <c r="O1515">
        <f>IF($AG1515="","",INDEX('TMP Paste'!$K$2:$K$1601,$AG1515))</f>
        <v/>
      </c>
      <c r="P1515">
        <f>IF($AG1515="","","")</f>
        <v/>
      </c>
      <c r="Q1515">
        <f>IF($AG1515="","",INDEX('TMP Paste'!$J$2:$J$1601,$AG1515))</f>
        <v/>
      </c>
      <c r="R1515">
        <f>IF($AG1515="","",Config!$B$24)</f>
        <v/>
      </c>
      <c r="S1515">
        <f>IF($AG1515="","",TEXT(Config!$B$4,"yyyy-mm-dd"))</f>
        <v/>
      </c>
      <c r="T1515">
        <f>IF($AG1515="","",Config!$B$17)</f>
        <v/>
      </c>
      <c r="U1515">
        <f>IF($AG1515="","",Config!$B$18)</f>
        <v/>
      </c>
      <c r="V1515">
        <f>IF($AG1515="","",Config!$B$19)</f>
        <v/>
      </c>
      <c r="W1515">
        <f>IF($AG1515="","",INDEX('TMP Paste'!$C$2:$C$1601,$AG1515))</f>
        <v/>
      </c>
      <c r="X1515">
        <f>IF($AG1515="","",Config!$B$29)</f>
        <v/>
      </c>
      <c r="Y1515">
        <f>IF($AH1515="","",INDEX(Calc!$I$2:$I$1601,$AH1515)&amp;" - "&amp;INDEX(Calc!$D$2:$D$1601,$AH1515)&amp;" koli")</f>
        <v/>
      </c>
      <c r="Z1515">
        <f>IF($AG1515="","",Config!$B$21)</f>
        <v/>
      </c>
      <c r="AA1515">
        <f>IF($AG1515="","",Config!$B$22)</f>
        <v/>
      </c>
      <c r="AB1515">
        <f>IF($AH1515="","",INDEX(Calc!$D$2:$D$1601,$AH1515))</f>
        <v/>
      </c>
      <c r="AC1515">
        <f>IF($AH1515="","",INDEX(Calc!$G$2:$G$1601,$AH1515))</f>
        <v/>
      </c>
      <c r="AD1515">
        <f>IF($AG1515="","",Config!$B$23)</f>
        <v/>
      </c>
      <c r="AE1515">
        <f>IF($AG1515="","",Config!$B$28)</f>
        <v/>
      </c>
      <c r="AG1515">
        <f>IFERROR(MATCH(ROW()-1,Calc!$J$2:$J$1601,0),"")</f>
        <v/>
      </c>
      <c r="AH1515">
        <f>IFERROR(MATCH(ROW()-1,Calc!$K$2:$K$1601,0),"")</f>
        <v/>
      </c>
      <c r="AQ1515">
        <f>IF($AG1515="","",TRIM(IF(COUNTIFS(Calc!$B$2:$B$1601,ROW()-1,Calc!$C$2:$C$1601,"&lt;1")&gt;0,"Ada PO tanpa Koli - cek TMP. ","")&amp;IF(LEN($R1515)&gt;500,"R &gt; 500 karakter.","")))</f>
        <v/>
      </c>
    </row>
    <row r="1516">
      <c r="A1516">
        <f>IF($AG1516="","",INDEX('TMP Paste'!$B$2:$B$1601,$AG1516))</f>
        <v/>
      </c>
      <c r="B1516">
        <f>IF($AG1516="","",Config!$B$14)</f>
        <v/>
      </c>
      <c r="C1516">
        <f>IF($AG1516="","",Config!$B$15)</f>
        <v/>
      </c>
      <c r="D1516">
        <f>IF($AG1516="","",INDEX('TMP Paste'!$B$2:$B$1601,$AG1516))</f>
        <v/>
      </c>
      <c r="E1516">
        <f>IF($AG1516="","",Config!$B$27)</f>
        <v/>
      </c>
      <c r="F1516">
        <f>IF($AG1516="","",Config!$B$9)</f>
        <v/>
      </c>
      <c r="G1516">
        <f>IF($AG1516="","",Config!$B$10)</f>
        <v/>
      </c>
      <c r="H1516">
        <f>IF($AG1516="","",Config!$B$11)</f>
        <v/>
      </c>
      <c r="I1516">
        <f>IF($AG1516="","",Config!$B$16)</f>
        <v/>
      </c>
      <c r="J1516">
        <f>IF($AG1516="","",INDEX('TMP Paste'!$A$2:$A$1601,$AG1516))</f>
        <v/>
      </c>
      <c r="K1516">
        <f>IF($AG1516="","",INDEX('TMP Paste'!$L$2:$L$1601,$AG1516))</f>
        <v/>
      </c>
      <c r="L1516">
        <f>IF($AG1516="","",INDEX('TMP Paste'!$I$2:$I$1601,$AG1516))</f>
        <v/>
      </c>
      <c r="M1516">
        <f>IF($AG1516="","",Config!$B$16)</f>
        <v/>
      </c>
      <c r="N1516">
        <f>IF($AG1516="","","")</f>
        <v/>
      </c>
      <c r="O1516">
        <f>IF($AG1516="","",INDEX('TMP Paste'!$K$2:$K$1601,$AG1516))</f>
        <v/>
      </c>
      <c r="P1516">
        <f>IF($AG1516="","","")</f>
        <v/>
      </c>
      <c r="Q1516">
        <f>IF($AG1516="","",INDEX('TMP Paste'!$J$2:$J$1601,$AG1516))</f>
        <v/>
      </c>
      <c r="R1516">
        <f>IF($AG1516="","",Config!$B$24)</f>
        <v/>
      </c>
      <c r="S1516">
        <f>IF($AG1516="","",TEXT(Config!$B$4,"yyyy-mm-dd"))</f>
        <v/>
      </c>
      <c r="T1516">
        <f>IF($AG1516="","",Config!$B$17)</f>
        <v/>
      </c>
      <c r="U1516">
        <f>IF($AG1516="","",Config!$B$18)</f>
        <v/>
      </c>
      <c r="V1516">
        <f>IF($AG1516="","",Config!$B$19)</f>
        <v/>
      </c>
      <c r="W1516">
        <f>IF($AG1516="","",INDEX('TMP Paste'!$C$2:$C$1601,$AG1516))</f>
        <v/>
      </c>
      <c r="X1516">
        <f>IF($AG1516="","",Config!$B$29)</f>
        <v/>
      </c>
      <c r="Y1516">
        <f>IF($AH1516="","",INDEX(Calc!$I$2:$I$1601,$AH1516)&amp;" - "&amp;INDEX(Calc!$D$2:$D$1601,$AH1516)&amp;" koli")</f>
        <v/>
      </c>
      <c r="Z1516">
        <f>IF($AG1516="","",Config!$B$21)</f>
        <v/>
      </c>
      <c r="AA1516">
        <f>IF($AG1516="","",Config!$B$22)</f>
        <v/>
      </c>
      <c r="AB1516">
        <f>IF($AH1516="","",INDEX(Calc!$D$2:$D$1601,$AH1516))</f>
        <v/>
      </c>
      <c r="AC1516">
        <f>IF($AH1516="","",INDEX(Calc!$G$2:$G$1601,$AH1516))</f>
        <v/>
      </c>
      <c r="AD1516">
        <f>IF($AG1516="","",Config!$B$23)</f>
        <v/>
      </c>
      <c r="AE1516">
        <f>IF($AG1516="","",Config!$B$28)</f>
        <v/>
      </c>
      <c r="AG1516">
        <f>IFERROR(MATCH(ROW()-1,Calc!$J$2:$J$1601,0),"")</f>
        <v/>
      </c>
      <c r="AH1516">
        <f>IFERROR(MATCH(ROW()-1,Calc!$K$2:$K$1601,0),"")</f>
        <v/>
      </c>
      <c r="AQ1516">
        <f>IF($AG1516="","",TRIM(IF(COUNTIFS(Calc!$B$2:$B$1601,ROW()-1,Calc!$C$2:$C$1601,"&lt;1")&gt;0,"Ada PO tanpa Koli - cek TMP. ","")&amp;IF(LEN($R1516)&gt;500,"R &gt; 500 karakter.","")))</f>
        <v/>
      </c>
    </row>
    <row r="1517">
      <c r="A1517">
        <f>IF($AG1517="","",INDEX('TMP Paste'!$B$2:$B$1601,$AG1517))</f>
        <v/>
      </c>
      <c r="B1517">
        <f>IF($AG1517="","",Config!$B$14)</f>
        <v/>
      </c>
      <c r="C1517">
        <f>IF($AG1517="","",Config!$B$15)</f>
        <v/>
      </c>
      <c r="D1517">
        <f>IF($AG1517="","",INDEX('TMP Paste'!$B$2:$B$1601,$AG1517))</f>
        <v/>
      </c>
      <c r="E1517">
        <f>IF($AG1517="","",Config!$B$27)</f>
        <v/>
      </c>
      <c r="F1517">
        <f>IF($AG1517="","",Config!$B$9)</f>
        <v/>
      </c>
      <c r="G1517">
        <f>IF($AG1517="","",Config!$B$10)</f>
        <v/>
      </c>
      <c r="H1517">
        <f>IF($AG1517="","",Config!$B$11)</f>
        <v/>
      </c>
      <c r="I1517">
        <f>IF($AG1517="","",Config!$B$16)</f>
        <v/>
      </c>
      <c r="J1517">
        <f>IF($AG1517="","",INDEX('TMP Paste'!$A$2:$A$1601,$AG1517))</f>
        <v/>
      </c>
      <c r="K1517">
        <f>IF($AG1517="","",INDEX('TMP Paste'!$L$2:$L$1601,$AG1517))</f>
        <v/>
      </c>
      <c r="L1517">
        <f>IF($AG1517="","",INDEX('TMP Paste'!$I$2:$I$1601,$AG1517))</f>
        <v/>
      </c>
      <c r="M1517">
        <f>IF($AG1517="","",Config!$B$16)</f>
        <v/>
      </c>
      <c r="N1517">
        <f>IF($AG1517="","","")</f>
        <v/>
      </c>
      <c r="O1517">
        <f>IF($AG1517="","",INDEX('TMP Paste'!$K$2:$K$1601,$AG1517))</f>
        <v/>
      </c>
      <c r="P1517">
        <f>IF($AG1517="","","")</f>
        <v/>
      </c>
      <c r="Q1517">
        <f>IF($AG1517="","",INDEX('TMP Paste'!$J$2:$J$1601,$AG1517))</f>
        <v/>
      </c>
      <c r="R1517">
        <f>IF($AG1517="","",Config!$B$24)</f>
        <v/>
      </c>
      <c r="S1517">
        <f>IF($AG1517="","",TEXT(Config!$B$4,"yyyy-mm-dd"))</f>
        <v/>
      </c>
      <c r="T1517">
        <f>IF($AG1517="","",Config!$B$17)</f>
        <v/>
      </c>
      <c r="U1517">
        <f>IF($AG1517="","",Config!$B$18)</f>
        <v/>
      </c>
      <c r="V1517">
        <f>IF($AG1517="","",Config!$B$19)</f>
        <v/>
      </c>
      <c r="W1517">
        <f>IF($AG1517="","",INDEX('TMP Paste'!$C$2:$C$1601,$AG1517))</f>
        <v/>
      </c>
      <c r="X1517">
        <f>IF($AG1517="","",Config!$B$29)</f>
        <v/>
      </c>
      <c r="Y1517">
        <f>IF($AH1517="","",INDEX(Calc!$I$2:$I$1601,$AH1517)&amp;" - "&amp;INDEX(Calc!$D$2:$D$1601,$AH1517)&amp;" koli")</f>
        <v/>
      </c>
      <c r="Z1517">
        <f>IF($AG1517="","",Config!$B$21)</f>
        <v/>
      </c>
      <c r="AA1517">
        <f>IF($AG1517="","",Config!$B$22)</f>
        <v/>
      </c>
      <c r="AB1517">
        <f>IF($AH1517="","",INDEX(Calc!$D$2:$D$1601,$AH1517))</f>
        <v/>
      </c>
      <c r="AC1517">
        <f>IF($AH1517="","",INDEX(Calc!$G$2:$G$1601,$AH1517))</f>
        <v/>
      </c>
      <c r="AD1517">
        <f>IF($AG1517="","",Config!$B$23)</f>
        <v/>
      </c>
      <c r="AE1517">
        <f>IF($AG1517="","",Config!$B$28)</f>
        <v/>
      </c>
      <c r="AG1517">
        <f>IFERROR(MATCH(ROW()-1,Calc!$J$2:$J$1601,0),"")</f>
        <v/>
      </c>
      <c r="AH1517">
        <f>IFERROR(MATCH(ROW()-1,Calc!$K$2:$K$1601,0),"")</f>
        <v/>
      </c>
      <c r="AQ1517">
        <f>IF($AG1517="","",TRIM(IF(COUNTIFS(Calc!$B$2:$B$1601,ROW()-1,Calc!$C$2:$C$1601,"&lt;1")&gt;0,"Ada PO tanpa Koli - cek TMP. ","")&amp;IF(LEN($R1517)&gt;500,"R &gt; 500 karakter.","")))</f>
        <v/>
      </c>
    </row>
    <row r="1518">
      <c r="A1518">
        <f>IF($AG1518="","",INDEX('TMP Paste'!$B$2:$B$1601,$AG1518))</f>
        <v/>
      </c>
      <c r="B1518">
        <f>IF($AG1518="","",Config!$B$14)</f>
        <v/>
      </c>
      <c r="C1518">
        <f>IF($AG1518="","",Config!$B$15)</f>
        <v/>
      </c>
      <c r="D1518">
        <f>IF($AG1518="","",INDEX('TMP Paste'!$B$2:$B$1601,$AG1518))</f>
        <v/>
      </c>
      <c r="E1518">
        <f>IF($AG1518="","",Config!$B$27)</f>
        <v/>
      </c>
      <c r="F1518">
        <f>IF($AG1518="","",Config!$B$9)</f>
        <v/>
      </c>
      <c r="G1518">
        <f>IF($AG1518="","",Config!$B$10)</f>
        <v/>
      </c>
      <c r="H1518">
        <f>IF($AG1518="","",Config!$B$11)</f>
        <v/>
      </c>
      <c r="I1518">
        <f>IF($AG1518="","",Config!$B$16)</f>
        <v/>
      </c>
      <c r="J1518">
        <f>IF($AG1518="","",INDEX('TMP Paste'!$A$2:$A$1601,$AG1518))</f>
        <v/>
      </c>
      <c r="K1518">
        <f>IF($AG1518="","",INDEX('TMP Paste'!$L$2:$L$1601,$AG1518))</f>
        <v/>
      </c>
      <c r="L1518">
        <f>IF($AG1518="","",INDEX('TMP Paste'!$I$2:$I$1601,$AG1518))</f>
        <v/>
      </c>
      <c r="M1518">
        <f>IF($AG1518="","",Config!$B$16)</f>
        <v/>
      </c>
      <c r="N1518">
        <f>IF($AG1518="","","")</f>
        <v/>
      </c>
      <c r="O1518">
        <f>IF($AG1518="","",INDEX('TMP Paste'!$K$2:$K$1601,$AG1518))</f>
        <v/>
      </c>
      <c r="P1518">
        <f>IF($AG1518="","","")</f>
        <v/>
      </c>
      <c r="Q1518">
        <f>IF($AG1518="","",INDEX('TMP Paste'!$J$2:$J$1601,$AG1518))</f>
        <v/>
      </c>
      <c r="R1518">
        <f>IF($AG1518="","",Config!$B$24)</f>
        <v/>
      </c>
      <c r="S1518">
        <f>IF($AG1518="","",TEXT(Config!$B$4,"yyyy-mm-dd"))</f>
        <v/>
      </c>
      <c r="T1518">
        <f>IF($AG1518="","",Config!$B$17)</f>
        <v/>
      </c>
      <c r="U1518">
        <f>IF($AG1518="","",Config!$B$18)</f>
        <v/>
      </c>
      <c r="V1518">
        <f>IF($AG1518="","",Config!$B$19)</f>
        <v/>
      </c>
      <c r="W1518">
        <f>IF($AG1518="","",INDEX('TMP Paste'!$C$2:$C$1601,$AG1518))</f>
        <v/>
      </c>
      <c r="X1518">
        <f>IF($AG1518="","",Config!$B$29)</f>
        <v/>
      </c>
      <c r="Y1518">
        <f>IF($AH1518="","",INDEX(Calc!$I$2:$I$1601,$AH1518)&amp;" - "&amp;INDEX(Calc!$D$2:$D$1601,$AH1518)&amp;" koli")</f>
        <v/>
      </c>
      <c r="Z1518">
        <f>IF($AG1518="","",Config!$B$21)</f>
        <v/>
      </c>
      <c r="AA1518">
        <f>IF($AG1518="","",Config!$B$22)</f>
        <v/>
      </c>
      <c r="AB1518">
        <f>IF($AH1518="","",INDEX(Calc!$D$2:$D$1601,$AH1518))</f>
        <v/>
      </c>
      <c r="AC1518">
        <f>IF($AH1518="","",INDEX(Calc!$G$2:$G$1601,$AH1518))</f>
        <v/>
      </c>
      <c r="AD1518">
        <f>IF($AG1518="","",Config!$B$23)</f>
        <v/>
      </c>
      <c r="AE1518">
        <f>IF($AG1518="","",Config!$B$28)</f>
        <v/>
      </c>
      <c r="AG1518">
        <f>IFERROR(MATCH(ROW()-1,Calc!$J$2:$J$1601,0),"")</f>
        <v/>
      </c>
      <c r="AH1518">
        <f>IFERROR(MATCH(ROW()-1,Calc!$K$2:$K$1601,0),"")</f>
        <v/>
      </c>
      <c r="AQ1518">
        <f>IF($AG1518="","",TRIM(IF(COUNTIFS(Calc!$B$2:$B$1601,ROW()-1,Calc!$C$2:$C$1601,"&lt;1")&gt;0,"Ada PO tanpa Koli - cek TMP. ","")&amp;IF(LEN($R1518)&gt;500,"R &gt; 500 karakter.","")))</f>
        <v/>
      </c>
    </row>
    <row r="1519">
      <c r="A1519">
        <f>IF($AG1519="","",INDEX('TMP Paste'!$B$2:$B$1601,$AG1519))</f>
        <v/>
      </c>
      <c r="B1519">
        <f>IF($AG1519="","",Config!$B$14)</f>
        <v/>
      </c>
      <c r="C1519">
        <f>IF($AG1519="","",Config!$B$15)</f>
        <v/>
      </c>
      <c r="D1519">
        <f>IF($AG1519="","",INDEX('TMP Paste'!$B$2:$B$1601,$AG1519))</f>
        <v/>
      </c>
      <c r="E1519">
        <f>IF($AG1519="","",Config!$B$27)</f>
        <v/>
      </c>
      <c r="F1519">
        <f>IF($AG1519="","",Config!$B$9)</f>
        <v/>
      </c>
      <c r="G1519">
        <f>IF($AG1519="","",Config!$B$10)</f>
        <v/>
      </c>
      <c r="H1519">
        <f>IF($AG1519="","",Config!$B$11)</f>
        <v/>
      </c>
      <c r="I1519">
        <f>IF($AG1519="","",Config!$B$16)</f>
        <v/>
      </c>
      <c r="J1519">
        <f>IF($AG1519="","",INDEX('TMP Paste'!$A$2:$A$1601,$AG1519))</f>
        <v/>
      </c>
      <c r="K1519">
        <f>IF($AG1519="","",INDEX('TMP Paste'!$L$2:$L$1601,$AG1519))</f>
        <v/>
      </c>
      <c r="L1519">
        <f>IF($AG1519="","",INDEX('TMP Paste'!$I$2:$I$1601,$AG1519))</f>
        <v/>
      </c>
      <c r="M1519">
        <f>IF($AG1519="","",Config!$B$16)</f>
        <v/>
      </c>
      <c r="N1519">
        <f>IF($AG1519="","","")</f>
        <v/>
      </c>
      <c r="O1519">
        <f>IF($AG1519="","",INDEX('TMP Paste'!$K$2:$K$1601,$AG1519))</f>
        <v/>
      </c>
      <c r="P1519">
        <f>IF($AG1519="","","")</f>
        <v/>
      </c>
      <c r="Q1519">
        <f>IF($AG1519="","",INDEX('TMP Paste'!$J$2:$J$1601,$AG1519))</f>
        <v/>
      </c>
      <c r="R1519">
        <f>IF($AG1519="","",Config!$B$24)</f>
        <v/>
      </c>
      <c r="S1519">
        <f>IF($AG1519="","",TEXT(Config!$B$4,"yyyy-mm-dd"))</f>
        <v/>
      </c>
      <c r="T1519">
        <f>IF($AG1519="","",Config!$B$17)</f>
        <v/>
      </c>
      <c r="U1519">
        <f>IF($AG1519="","",Config!$B$18)</f>
        <v/>
      </c>
      <c r="V1519">
        <f>IF($AG1519="","",Config!$B$19)</f>
        <v/>
      </c>
      <c r="W1519">
        <f>IF($AG1519="","",INDEX('TMP Paste'!$C$2:$C$1601,$AG1519))</f>
        <v/>
      </c>
      <c r="X1519">
        <f>IF($AG1519="","",Config!$B$29)</f>
        <v/>
      </c>
      <c r="Y1519">
        <f>IF($AH1519="","",INDEX(Calc!$I$2:$I$1601,$AH1519)&amp;" - "&amp;INDEX(Calc!$D$2:$D$1601,$AH1519)&amp;" koli")</f>
        <v/>
      </c>
      <c r="Z1519">
        <f>IF($AG1519="","",Config!$B$21)</f>
        <v/>
      </c>
      <c r="AA1519">
        <f>IF($AG1519="","",Config!$B$22)</f>
        <v/>
      </c>
      <c r="AB1519">
        <f>IF($AH1519="","",INDEX(Calc!$D$2:$D$1601,$AH1519))</f>
        <v/>
      </c>
      <c r="AC1519">
        <f>IF($AH1519="","",INDEX(Calc!$G$2:$G$1601,$AH1519))</f>
        <v/>
      </c>
      <c r="AD1519">
        <f>IF($AG1519="","",Config!$B$23)</f>
        <v/>
      </c>
      <c r="AE1519">
        <f>IF($AG1519="","",Config!$B$28)</f>
        <v/>
      </c>
      <c r="AG1519">
        <f>IFERROR(MATCH(ROW()-1,Calc!$J$2:$J$1601,0),"")</f>
        <v/>
      </c>
      <c r="AH1519">
        <f>IFERROR(MATCH(ROW()-1,Calc!$K$2:$K$1601,0),"")</f>
        <v/>
      </c>
      <c r="AQ1519">
        <f>IF($AG1519="","",TRIM(IF(COUNTIFS(Calc!$B$2:$B$1601,ROW()-1,Calc!$C$2:$C$1601,"&lt;1")&gt;0,"Ada PO tanpa Koli - cek TMP. ","")&amp;IF(LEN($R1519)&gt;500,"R &gt; 500 karakter.","")))</f>
        <v/>
      </c>
    </row>
    <row r="1520">
      <c r="A1520">
        <f>IF($AG1520="","",INDEX('TMP Paste'!$B$2:$B$1601,$AG1520))</f>
        <v/>
      </c>
      <c r="B1520">
        <f>IF($AG1520="","",Config!$B$14)</f>
        <v/>
      </c>
      <c r="C1520">
        <f>IF($AG1520="","",Config!$B$15)</f>
        <v/>
      </c>
      <c r="D1520">
        <f>IF($AG1520="","",INDEX('TMP Paste'!$B$2:$B$1601,$AG1520))</f>
        <v/>
      </c>
      <c r="E1520">
        <f>IF($AG1520="","",Config!$B$27)</f>
        <v/>
      </c>
      <c r="F1520">
        <f>IF($AG1520="","",Config!$B$9)</f>
        <v/>
      </c>
      <c r="G1520">
        <f>IF($AG1520="","",Config!$B$10)</f>
        <v/>
      </c>
      <c r="H1520">
        <f>IF($AG1520="","",Config!$B$11)</f>
        <v/>
      </c>
      <c r="I1520">
        <f>IF($AG1520="","",Config!$B$16)</f>
        <v/>
      </c>
      <c r="J1520">
        <f>IF($AG1520="","",INDEX('TMP Paste'!$A$2:$A$1601,$AG1520))</f>
        <v/>
      </c>
      <c r="K1520">
        <f>IF($AG1520="","",INDEX('TMP Paste'!$L$2:$L$1601,$AG1520))</f>
        <v/>
      </c>
      <c r="L1520">
        <f>IF($AG1520="","",INDEX('TMP Paste'!$I$2:$I$1601,$AG1520))</f>
        <v/>
      </c>
      <c r="M1520">
        <f>IF($AG1520="","",Config!$B$16)</f>
        <v/>
      </c>
      <c r="N1520">
        <f>IF($AG1520="","","")</f>
        <v/>
      </c>
      <c r="O1520">
        <f>IF($AG1520="","",INDEX('TMP Paste'!$K$2:$K$1601,$AG1520))</f>
        <v/>
      </c>
      <c r="P1520">
        <f>IF($AG1520="","","")</f>
        <v/>
      </c>
      <c r="Q1520">
        <f>IF($AG1520="","",INDEX('TMP Paste'!$J$2:$J$1601,$AG1520))</f>
        <v/>
      </c>
      <c r="R1520">
        <f>IF($AG1520="","",Config!$B$24)</f>
        <v/>
      </c>
      <c r="S1520">
        <f>IF($AG1520="","",TEXT(Config!$B$4,"yyyy-mm-dd"))</f>
        <v/>
      </c>
      <c r="T1520">
        <f>IF($AG1520="","",Config!$B$17)</f>
        <v/>
      </c>
      <c r="U1520">
        <f>IF($AG1520="","",Config!$B$18)</f>
        <v/>
      </c>
      <c r="V1520">
        <f>IF($AG1520="","",Config!$B$19)</f>
        <v/>
      </c>
      <c r="W1520">
        <f>IF($AG1520="","",INDEX('TMP Paste'!$C$2:$C$1601,$AG1520))</f>
        <v/>
      </c>
      <c r="X1520">
        <f>IF($AG1520="","",Config!$B$29)</f>
        <v/>
      </c>
      <c r="Y1520">
        <f>IF($AH1520="","",INDEX(Calc!$I$2:$I$1601,$AH1520)&amp;" - "&amp;INDEX(Calc!$D$2:$D$1601,$AH1520)&amp;" koli")</f>
        <v/>
      </c>
      <c r="Z1520">
        <f>IF($AG1520="","",Config!$B$21)</f>
        <v/>
      </c>
      <c r="AA1520">
        <f>IF($AG1520="","",Config!$B$22)</f>
        <v/>
      </c>
      <c r="AB1520">
        <f>IF($AH1520="","",INDEX(Calc!$D$2:$D$1601,$AH1520))</f>
        <v/>
      </c>
      <c r="AC1520">
        <f>IF($AH1520="","",INDEX(Calc!$G$2:$G$1601,$AH1520))</f>
        <v/>
      </c>
      <c r="AD1520">
        <f>IF($AG1520="","",Config!$B$23)</f>
        <v/>
      </c>
      <c r="AE1520">
        <f>IF($AG1520="","",Config!$B$28)</f>
        <v/>
      </c>
      <c r="AG1520">
        <f>IFERROR(MATCH(ROW()-1,Calc!$J$2:$J$1601,0),"")</f>
        <v/>
      </c>
      <c r="AH1520">
        <f>IFERROR(MATCH(ROW()-1,Calc!$K$2:$K$1601,0),"")</f>
        <v/>
      </c>
      <c r="AQ1520">
        <f>IF($AG1520="","",TRIM(IF(COUNTIFS(Calc!$B$2:$B$1601,ROW()-1,Calc!$C$2:$C$1601,"&lt;1")&gt;0,"Ada PO tanpa Koli - cek TMP. ","")&amp;IF(LEN($R1520)&gt;500,"R &gt; 500 karakter.","")))</f>
        <v/>
      </c>
    </row>
    <row r="1521">
      <c r="A1521">
        <f>IF($AG1521="","",INDEX('TMP Paste'!$B$2:$B$1601,$AG1521))</f>
        <v/>
      </c>
      <c r="B1521">
        <f>IF($AG1521="","",Config!$B$14)</f>
        <v/>
      </c>
      <c r="C1521">
        <f>IF($AG1521="","",Config!$B$15)</f>
        <v/>
      </c>
      <c r="D1521">
        <f>IF($AG1521="","",INDEX('TMP Paste'!$B$2:$B$1601,$AG1521))</f>
        <v/>
      </c>
      <c r="E1521">
        <f>IF($AG1521="","",Config!$B$27)</f>
        <v/>
      </c>
      <c r="F1521">
        <f>IF($AG1521="","",Config!$B$9)</f>
        <v/>
      </c>
      <c r="G1521">
        <f>IF($AG1521="","",Config!$B$10)</f>
        <v/>
      </c>
      <c r="H1521">
        <f>IF($AG1521="","",Config!$B$11)</f>
        <v/>
      </c>
      <c r="I1521">
        <f>IF($AG1521="","",Config!$B$16)</f>
        <v/>
      </c>
      <c r="J1521">
        <f>IF($AG1521="","",INDEX('TMP Paste'!$A$2:$A$1601,$AG1521))</f>
        <v/>
      </c>
      <c r="K1521">
        <f>IF($AG1521="","",INDEX('TMP Paste'!$L$2:$L$1601,$AG1521))</f>
        <v/>
      </c>
      <c r="L1521">
        <f>IF($AG1521="","",INDEX('TMP Paste'!$I$2:$I$1601,$AG1521))</f>
        <v/>
      </c>
      <c r="M1521">
        <f>IF($AG1521="","",Config!$B$16)</f>
        <v/>
      </c>
      <c r="N1521">
        <f>IF($AG1521="","","")</f>
        <v/>
      </c>
      <c r="O1521">
        <f>IF($AG1521="","",INDEX('TMP Paste'!$K$2:$K$1601,$AG1521))</f>
        <v/>
      </c>
      <c r="P1521">
        <f>IF($AG1521="","","")</f>
        <v/>
      </c>
      <c r="Q1521">
        <f>IF($AG1521="","",INDEX('TMP Paste'!$J$2:$J$1601,$AG1521))</f>
        <v/>
      </c>
      <c r="R1521">
        <f>IF($AG1521="","",Config!$B$24)</f>
        <v/>
      </c>
      <c r="S1521">
        <f>IF($AG1521="","",TEXT(Config!$B$4,"yyyy-mm-dd"))</f>
        <v/>
      </c>
      <c r="T1521">
        <f>IF($AG1521="","",Config!$B$17)</f>
        <v/>
      </c>
      <c r="U1521">
        <f>IF($AG1521="","",Config!$B$18)</f>
        <v/>
      </c>
      <c r="V1521">
        <f>IF($AG1521="","",Config!$B$19)</f>
        <v/>
      </c>
      <c r="W1521">
        <f>IF($AG1521="","",INDEX('TMP Paste'!$C$2:$C$1601,$AG1521))</f>
        <v/>
      </c>
      <c r="X1521">
        <f>IF($AG1521="","",Config!$B$29)</f>
        <v/>
      </c>
      <c r="Y1521">
        <f>IF($AH1521="","",INDEX(Calc!$I$2:$I$1601,$AH1521)&amp;" - "&amp;INDEX(Calc!$D$2:$D$1601,$AH1521)&amp;" koli")</f>
        <v/>
      </c>
      <c r="Z1521">
        <f>IF($AG1521="","",Config!$B$21)</f>
        <v/>
      </c>
      <c r="AA1521">
        <f>IF($AG1521="","",Config!$B$22)</f>
        <v/>
      </c>
      <c r="AB1521">
        <f>IF($AH1521="","",INDEX(Calc!$D$2:$D$1601,$AH1521))</f>
        <v/>
      </c>
      <c r="AC1521">
        <f>IF($AH1521="","",INDEX(Calc!$G$2:$G$1601,$AH1521))</f>
        <v/>
      </c>
      <c r="AD1521">
        <f>IF($AG1521="","",Config!$B$23)</f>
        <v/>
      </c>
      <c r="AE1521">
        <f>IF($AG1521="","",Config!$B$28)</f>
        <v/>
      </c>
      <c r="AG1521">
        <f>IFERROR(MATCH(ROW()-1,Calc!$J$2:$J$1601,0),"")</f>
        <v/>
      </c>
      <c r="AH1521">
        <f>IFERROR(MATCH(ROW()-1,Calc!$K$2:$K$1601,0),"")</f>
        <v/>
      </c>
      <c r="AQ1521">
        <f>IF($AG1521="","",TRIM(IF(COUNTIFS(Calc!$B$2:$B$1601,ROW()-1,Calc!$C$2:$C$1601,"&lt;1")&gt;0,"Ada PO tanpa Koli - cek TMP. ","")&amp;IF(LEN($R1521)&gt;500,"R &gt; 500 karakter.","")))</f>
        <v/>
      </c>
    </row>
    <row r="1522">
      <c r="A1522">
        <f>IF($AG1522="","",INDEX('TMP Paste'!$B$2:$B$1601,$AG1522))</f>
        <v/>
      </c>
      <c r="B1522">
        <f>IF($AG1522="","",Config!$B$14)</f>
        <v/>
      </c>
      <c r="C1522">
        <f>IF($AG1522="","",Config!$B$15)</f>
        <v/>
      </c>
      <c r="D1522">
        <f>IF($AG1522="","",INDEX('TMP Paste'!$B$2:$B$1601,$AG1522))</f>
        <v/>
      </c>
      <c r="E1522">
        <f>IF($AG1522="","",Config!$B$27)</f>
        <v/>
      </c>
      <c r="F1522">
        <f>IF($AG1522="","",Config!$B$9)</f>
        <v/>
      </c>
      <c r="G1522">
        <f>IF($AG1522="","",Config!$B$10)</f>
        <v/>
      </c>
      <c r="H1522">
        <f>IF($AG1522="","",Config!$B$11)</f>
        <v/>
      </c>
      <c r="I1522">
        <f>IF($AG1522="","",Config!$B$16)</f>
        <v/>
      </c>
      <c r="J1522">
        <f>IF($AG1522="","",INDEX('TMP Paste'!$A$2:$A$1601,$AG1522))</f>
        <v/>
      </c>
      <c r="K1522">
        <f>IF($AG1522="","",INDEX('TMP Paste'!$L$2:$L$1601,$AG1522))</f>
        <v/>
      </c>
      <c r="L1522">
        <f>IF($AG1522="","",INDEX('TMP Paste'!$I$2:$I$1601,$AG1522))</f>
        <v/>
      </c>
      <c r="M1522">
        <f>IF($AG1522="","",Config!$B$16)</f>
        <v/>
      </c>
      <c r="N1522">
        <f>IF($AG1522="","","")</f>
        <v/>
      </c>
      <c r="O1522">
        <f>IF($AG1522="","",INDEX('TMP Paste'!$K$2:$K$1601,$AG1522))</f>
        <v/>
      </c>
      <c r="P1522">
        <f>IF($AG1522="","","")</f>
        <v/>
      </c>
      <c r="Q1522">
        <f>IF($AG1522="","",INDEX('TMP Paste'!$J$2:$J$1601,$AG1522))</f>
        <v/>
      </c>
      <c r="R1522">
        <f>IF($AG1522="","",Config!$B$24)</f>
        <v/>
      </c>
      <c r="S1522">
        <f>IF($AG1522="","",TEXT(Config!$B$4,"yyyy-mm-dd"))</f>
        <v/>
      </c>
      <c r="T1522">
        <f>IF($AG1522="","",Config!$B$17)</f>
        <v/>
      </c>
      <c r="U1522">
        <f>IF($AG1522="","",Config!$B$18)</f>
        <v/>
      </c>
      <c r="V1522">
        <f>IF($AG1522="","",Config!$B$19)</f>
        <v/>
      </c>
      <c r="W1522">
        <f>IF($AG1522="","",INDEX('TMP Paste'!$C$2:$C$1601,$AG1522))</f>
        <v/>
      </c>
      <c r="X1522">
        <f>IF($AG1522="","",Config!$B$29)</f>
        <v/>
      </c>
      <c r="Y1522">
        <f>IF($AH1522="","",INDEX(Calc!$I$2:$I$1601,$AH1522)&amp;" - "&amp;INDEX(Calc!$D$2:$D$1601,$AH1522)&amp;" koli")</f>
        <v/>
      </c>
      <c r="Z1522">
        <f>IF($AG1522="","",Config!$B$21)</f>
        <v/>
      </c>
      <c r="AA1522">
        <f>IF($AG1522="","",Config!$B$22)</f>
        <v/>
      </c>
      <c r="AB1522">
        <f>IF($AH1522="","",INDEX(Calc!$D$2:$D$1601,$AH1522))</f>
        <v/>
      </c>
      <c r="AC1522">
        <f>IF($AH1522="","",INDEX(Calc!$G$2:$G$1601,$AH1522))</f>
        <v/>
      </c>
      <c r="AD1522">
        <f>IF($AG1522="","",Config!$B$23)</f>
        <v/>
      </c>
      <c r="AE1522">
        <f>IF($AG1522="","",Config!$B$28)</f>
        <v/>
      </c>
      <c r="AG1522">
        <f>IFERROR(MATCH(ROW()-1,Calc!$J$2:$J$1601,0),"")</f>
        <v/>
      </c>
      <c r="AH1522">
        <f>IFERROR(MATCH(ROW()-1,Calc!$K$2:$K$1601,0),"")</f>
        <v/>
      </c>
      <c r="AQ1522">
        <f>IF($AG1522="","",TRIM(IF(COUNTIFS(Calc!$B$2:$B$1601,ROW()-1,Calc!$C$2:$C$1601,"&lt;1")&gt;0,"Ada PO tanpa Koli - cek TMP. ","")&amp;IF(LEN($R1522)&gt;500,"R &gt; 500 karakter.","")))</f>
        <v/>
      </c>
    </row>
    <row r="1523">
      <c r="A1523">
        <f>IF($AG1523="","",INDEX('TMP Paste'!$B$2:$B$1601,$AG1523))</f>
        <v/>
      </c>
      <c r="B1523">
        <f>IF($AG1523="","",Config!$B$14)</f>
        <v/>
      </c>
      <c r="C1523">
        <f>IF($AG1523="","",Config!$B$15)</f>
        <v/>
      </c>
      <c r="D1523">
        <f>IF($AG1523="","",INDEX('TMP Paste'!$B$2:$B$1601,$AG1523))</f>
        <v/>
      </c>
      <c r="E1523">
        <f>IF($AG1523="","",Config!$B$27)</f>
        <v/>
      </c>
      <c r="F1523">
        <f>IF($AG1523="","",Config!$B$9)</f>
        <v/>
      </c>
      <c r="G1523">
        <f>IF($AG1523="","",Config!$B$10)</f>
        <v/>
      </c>
      <c r="H1523">
        <f>IF($AG1523="","",Config!$B$11)</f>
        <v/>
      </c>
      <c r="I1523">
        <f>IF($AG1523="","",Config!$B$16)</f>
        <v/>
      </c>
      <c r="J1523">
        <f>IF($AG1523="","",INDEX('TMP Paste'!$A$2:$A$1601,$AG1523))</f>
        <v/>
      </c>
      <c r="K1523">
        <f>IF($AG1523="","",INDEX('TMP Paste'!$L$2:$L$1601,$AG1523))</f>
        <v/>
      </c>
      <c r="L1523">
        <f>IF($AG1523="","",INDEX('TMP Paste'!$I$2:$I$1601,$AG1523))</f>
        <v/>
      </c>
      <c r="M1523">
        <f>IF($AG1523="","",Config!$B$16)</f>
        <v/>
      </c>
      <c r="N1523">
        <f>IF($AG1523="","","")</f>
        <v/>
      </c>
      <c r="O1523">
        <f>IF($AG1523="","",INDEX('TMP Paste'!$K$2:$K$1601,$AG1523))</f>
        <v/>
      </c>
      <c r="P1523">
        <f>IF($AG1523="","","")</f>
        <v/>
      </c>
      <c r="Q1523">
        <f>IF($AG1523="","",INDEX('TMP Paste'!$J$2:$J$1601,$AG1523))</f>
        <v/>
      </c>
      <c r="R1523">
        <f>IF($AG1523="","",Config!$B$24)</f>
        <v/>
      </c>
      <c r="S1523">
        <f>IF($AG1523="","",TEXT(Config!$B$4,"yyyy-mm-dd"))</f>
        <v/>
      </c>
      <c r="T1523">
        <f>IF($AG1523="","",Config!$B$17)</f>
        <v/>
      </c>
      <c r="U1523">
        <f>IF($AG1523="","",Config!$B$18)</f>
        <v/>
      </c>
      <c r="V1523">
        <f>IF($AG1523="","",Config!$B$19)</f>
        <v/>
      </c>
      <c r="W1523">
        <f>IF($AG1523="","",INDEX('TMP Paste'!$C$2:$C$1601,$AG1523))</f>
        <v/>
      </c>
      <c r="X1523">
        <f>IF($AG1523="","",Config!$B$29)</f>
        <v/>
      </c>
      <c r="Y1523">
        <f>IF($AH1523="","",INDEX(Calc!$I$2:$I$1601,$AH1523)&amp;" - "&amp;INDEX(Calc!$D$2:$D$1601,$AH1523)&amp;" koli")</f>
        <v/>
      </c>
      <c r="Z1523">
        <f>IF($AG1523="","",Config!$B$21)</f>
        <v/>
      </c>
      <c r="AA1523">
        <f>IF($AG1523="","",Config!$B$22)</f>
        <v/>
      </c>
      <c r="AB1523">
        <f>IF($AH1523="","",INDEX(Calc!$D$2:$D$1601,$AH1523))</f>
        <v/>
      </c>
      <c r="AC1523">
        <f>IF($AH1523="","",INDEX(Calc!$G$2:$G$1601,$AH1523))</f>
        <v/>
      </c>
      <c r="AD1523">
        <f>IF($AG1523="","",Config!$B$23)</f>
        <v/>
      </c>
      <c r="AE1523">
        <f>IF($AG1523="","",Config!$B$28)</f>
        <v/>
      </c>
      <c r="AG1523">
        <f>IFERROR(MATCH(ROW()-1,Calc!$J$2:$J$1601,0),"")</f>
        <v/>
      </c>
      <c r="AH1523">
        <f>IFERROR(MATCH(ROW()-1,Calc!$K$2:$K$1601,0),"")</f>
        <v/>
      </c>
      <c r="AQ1523">
        <f>IF($AG1523="","",TRIM(IF(COUNTIFS(Calc!$B$2:$B$1601,ROW()-1,Calc!$C$2:$C$1601,"&lt;1")&gt;0,"Ada PO tanpa Koli - cek TMP. ","")&amp;IF(LEN($R1523)&gt;500,"R &gt; 500 karakter.","")))</f>
        <v/>
      </c>
    </row>
    <row r="1524">
      <c r="A1524">
        <f>IF($AG1524="","",INDEX('TMP Paste'!$B$2:$B$1601,$AG1524))</f>
        <v/>
      </c>
      <c r="B1524">
        <f>IF($AG1524="","",Config!$B$14)</f>
        <v/>
      </c>
      <c r="C1524">
        <f>IF($AG1524="","",Config!$B$15)</f>
        <v/>
      </c>
      <c r="D1524">
        <f>IF($AG1524="","",INDEX('TMP Paste'!$B$2:$B$1601,$AG1524))</f>
        <v/>
      </c>
      <c r="E1524">
        <f>IF($AG1524="","",Config!$B$27)</f>
        <v/>
      </c>
      <c r="F1524">
        <f>IF($AG1524="","",Config!$B$9)</f>
        <v/>
      </c>
      <c r="G1524">
        <f>IF($AG1524="","",Config!$B$10)</f>
        <v/>
      </c>
      <c r="H1524">
        <f>IF($AG1524="","",Config!$B$11)</f>
        <v/>
      </c>
      <c r="I1524">
        <f>IF($AG1524="","",Config!$B$16)</f>
        <v/>
      </c>
      <c r="J1524">
        <f>IF($AG1524="","",INDEX('TMP Paste'!$A$2:$A$1601,$AG1524))</f>
        <v/>
      </c>
      <c r="K1524">
        <f>IF($AG1524="","",INDEX('TMP Paste'!$L$2:$L$1601,$AG1524))</f>
        <v/>
      </c>
      <c r="L1524">
        <f>IF($AG1524="","",INDEX('TMP Paste'!$I$2:$I$1601,$AG1524))</f>
        <v/>
      </c>
      <c r="M1524">
        <f>IF($AG1524="","",Config!$B$16)</f>
        <v/>
      </c>
      <c r="N1524">
        <f>IF($AG1524="","","")</f>
        <v/>
      </c>
      <c r="O1524">
        <f>IF($AG1524="","",INDEX('TMP Paste'!$K$2:$K$1601,$AG1524))</f>
        <v/>
      </c>
      <c r="P1524">
        <f>IF($AG1524="","","")</f>
        <v/>
      </c>
      <c r="Q1524">
        <f>IF($AG1524="","",INDEX('TMP Paste'!$J$2:$J$1601,$AG1524))</f>
        <v/>
      </c>
      <c r="R1524">
        <f>IF($AG1524="","",Config!$B$24)</f>
        <v/>
      </c>
      <c r="S1524">
        <f>IF($AG1524="","",TEXT(Config!$B$4,"yyyy-mm-dd"))</f>
        <v/>
      </c>
      <c r="T1524">
        <f>IF($AG1524="","",Config!$B$17)</f>
        <v/>
      </c>
      <c r="U1524">
        <f>IF($AG1524="","",Config!$B$18)</f>
        <v/>
      </c>
      <c r="V1524">
        <f>IF($AG1524="","",Config!$B$19)</f>
        <v/>
      </c>
      <c r="W1524">
        <f>IF($AG1524="","",INDEX('TMP Paste'!$C$2:$C$1601,$AG1524))</f>
        <v/>
      </c>
      <c r="X1524">
        <f>IF($AG1524="","",Config!$B$29)</f>
        <v/>
      </c>
      <c r="Y1524">
        <f>IF($AH1524="","",INDEX(Calc!$I$2:$I$1601,$AH1524)&amp;" - "&amp;INDEX(Calc!$D$2:$D$1601,$AH1524)&amp;" koli")</f>
        <v/>
      </c>
      <c r="Z1524">
        <f>IF($AG1524="","",Config!$B$21)</f>
        <v/>
      </c>
      <c r="AA1524">
        <f>IF($AG1524="","",Config!$B$22)</f>
        <v/>
      </c>
      <c r="AB1524">
        <f>IF($AH1524="","",INDEX(Calc!$D$2:$D$1601,$AH1524))</f>
        <v/>
      </c>
      <c r="AC1524">
        <f>IF($AH1524="","",INDEX(Calc!$G$2:$G$1601,$AH1524))</f>
        <v/>
      </c>
      <c r="AD1524">
        <f>IF($AG1524="","",Config!$B$23)</f>
        <v/>
      </c>
      <c r="AE1524">
        <f>IF($AG1524="","",Config!$B$28)</f>
        <v/>
      </c>
      <c r="AG1524">
        <f>IFERROR(MATCH(ROW()-1,Calc!$J$2:$J$1601,0),"")</f>
        <v/>
      </c>
      <c r="AH1524">
        <f>IFERROR(MATCH(ROW()-1,Calc!$K$2:$K$1601,0),"")</f>
        <v/>
      </c>
      <c r="AQ1524">
        <f>IF($AG1524="","",TRIM(IF(COUNTIFS(Calc!$B$2:$B$1601,ROW()-1,Calc!$C$2:$C$1601,"&lt;1")&gt;0,"Ada PO tanpa Koli - cek TMP. ","")&amp;IF(LEN($R1524)&gt;500,"R &gt; 500 karakter.","")))</f>
        <v/>
      </c>
    </row>
    <row r="1525">
      <c r="A1525">
        <f>IF($AG1525="","",INDEX('TMP Paste'!$B$2:$B$1601,$AG1525))</f>
        <v/>
      </c>
      <c r="B1525">
        <f>IF($AG1525="","",Config!$B$14)</f>
        <v/>
      </c>
      <c r="C1525">
        <f>IF($AG1525="","",Config!$B$15)</f>
        <v/>
      </c>
      <c r="D1525">
        <f>IF($AG1525="","",INDEX('TMP Paste'!$B$2:$B$1601,$AG1525))</f>
        <v/>
      </c>
      <c r="E1525">
        <f>IF($AG1525="","",Config!$B$27)</f>
        <v/>
      </c>
      <c r="F1525">
        <f>IF($AG1525="","",Config!$B$9)</f>
        <v/>
      </c>
      <c r="G1525">
        <f>IF($AG1525="","",Config!$B$10)</f>
        <v/>
      </c>
      <c r="H1525">
        <f>IF($AG1525="","",Config!$B$11)</f>
        <v/>
      </c>
      <c r="I1525">
        <f>IF($AG1525="","",Config!$B$16)</f>
        <v/>
      </c>
      <c r="J1525">
        <f>IF($AG1525="","",INDEX('TMP Paste'!$A$2:$A$1601,$AG1525))</f>
        <v/>
      </c>
      <c r="K1525">
        <f>IF($AG1525="","",INDEX('TMP Paste'!$L$2:$L$1601,$AG1525))</f>
        <v/>
      </c>
      <c r="L1525">
        <f>IF($AG1525="","",INDEX('TMP Paste'!$I$2:$I$1601,$AG1525))</f>
        <v/>
      </c>
      <c r="M1525">
        <f>IF($AG1525="","",Config!$B$16)</f>
        <v/>
      </c>
      <c r="N1525">
        <f>IF($AG1525="","","")</f>
        <v/>
      </c>
      <c r="O1525">
        <f>IF($AG1525="","",INDEX('TMP Paste'!$K$2:$K$1601,$AG1525))</f>
        <v/>
      </c>
      <c r="P1525">
        <f>IF($AG1525="","","")</f>
        <v/>
      </c>
      <c r="Q1525">
        <f>IF($AG1525="","",INDEX('TMP Paste'!$J$2:$J$1601,$AG1525))</f>
        <v/>
      </c>
      <c r="R1525">
        <f>IF($AG1525="","",Config!$B$24)</f>
        <v/>
      </c>
      <c r="S1525">
        <f>IF($AG1525="","",TEXT(Config!$B$4,"yyyy-mm-dd"))</f>
        <v/>
      </c>
      <c r="T1525">
        <f>IF($AG1525="","",Config!$B$17)</f>
        <v/>
      </c>
      <c r="U1525">
        <f>IF($AG1525="","",Config!$B$18)</f>
        <v/>
      </c>
      <c r="V1525">
        <f>IF($AG1525="","",Config!$B$19)</f>
        <v/>
      </c>
      <c r="W1525">
        <f>IF($AG1525="","",INDEX('TMP Paste'!$C$2:$C$1601,$AG1525))</f>
        <v/>
      </c>
      <c r="X1525">
        <f>IF($AG1525="","",Config!$B$29)</f>
        <v/>
      </c>
      <c r="Y1525">
        <f>IF($AH1525="","",INDEX(Calc!$I$2:$I$1601,$AH1525)&amp;" - "&amp;INDEX(Calc!$D$2:$D$1601,$AH1525)&amp;" koli")</f>
        <v/>
      </c>
      <c r="Z1525">
        <f>IF($AG1525="","",Config!$B$21)</f>
        <v/>
      </c>
      <c r="AA1525">
        <f>IF($AG1525="","",Config!$B$22)</f>
        <v/>
      </c>
      <c r="AB1525">
        <f>IF($AH1525="","",INDEX(Calc!$D$2:$D$1601,$AH1525))</f>
        <v/>
      </c>
      <c r="AC1525">
        <f>IF($AH1525="","",INDEX(Calc!$G$2:$G$1601,$AH1525))</f>
        <v/>
      </c>
      <c r="AD1525">
        <f>IF($AG1525="","",Config!$B$23)</f>
        <v/>
      </c>
      <c r="AE1525">
        <f>IF($AG1525="","",Config!$B$28)</f>
        <v/>
      </c>
      <c r="AG1525">
        <f>IFERROR(MATCH(ROW()-1,Calc!$J$2:$J$1601,0),"")</f>
        <v/>
      </c>
      <c r="AH1525">
        <f>IFERROR(MATCH(ROW()-1,Calc!$K$2:$K$1601,0),"")</f>
        <v/>
      </c>
      <c r="AQ1525">
        <f>IF($AG1525="","",TRIM(IF(COUNTIFS(Calc!$B$2:$B$1601,ROW()-1,Calc!$C$2:$C$1601,"&lt;1")&gt;0,"Ada PO tanpa Koli - cek TMP. ","")&amp;IF(LEN($R1525)&gt;500,"R &gt; 500 karakter.","")))</f>
        <v/>
      </c>
    </row>
    <row r="1526">
      <c r="A1526">
        <f>IF($AG1526="","",INDEX('TMP Paste'!$B$2:$B$1601,$AG1526))</f>
        <v/>
      </c>
      <c r="B1526">
        <f>IF($AG1526="","",Config!$B$14)</f>
        <v/>
      </c>
      <c r="C1526">
        <f>IF($AG1526="","",Config!$B$15)</f>
        <v/>
      </c>
      <c r="D1526">
        <f>IF($AG1526="","",INDEX('TMP Paste'!$B$2:$B$1601,$AG1526))</f>
        <v/>
      </c>
      <c r="E1526">
        <f>IF($AG1526="","",Config!$B$27)</f>
        <v/>
      </c>
      <c r="F1526">
        <f>IF($AG1526="","",Config!$B$9)</f>
        <v/>
      </c>
      <c r="G1526">
        <f>IF($AG1526="","",Config!$B$10)</f>
        <v/>
      </c>
      <c r="H1526">
        <f>IF($AG1526="","",Config!$B$11)</f>
        <v/>
      </c>
      <c r="I1526">
        <f>IF($AG1526="","",Config!$B$16)</f>
        <v/>
      </c>
      <c r="J1526">
        <f>IF($AG1526="","",INDEX('TMP Paste'!$A$2:$A$1601,$AG1526))</f>
        <v/>
      </c>
      <c r="K1526">
        <f>IF($AG1526="","",INDEX('TMP Paste'!$L$2:$L$1601,$AG1526))</f>
        <v/>
      </c>
      <c r="L1526">
        <f>IF($AG1526="","",INDEX('TMP Paste'!$I$2:$I$1601,$AG1526))</f>
        <v/>
      </c>
      <c r="M1526">
        <f>IF($AG1526="","",Config!$B$16)</f>
        <v/>
      </c>
      <c r="N1526">
        <f>IF($AG1526="","","")</f>
        <v/>
      </c>
      <c r="O1526">
        <f>IF($AG1526="","",INDEX('TMP Paste'!$K$2:$K$1601,$AG1526))</f>
        <v/>
      </c>
      <c r="P1526">
        <f>IF($AG1526="","","")</f>
        <v/>
      </c>
      <c r="Q1526">
        <f>IF($AG1526="","",INDEX('TMP Paste'!$J$2:$J$1601,$AG1526))</f>
        <v/>
      </c>
      <c r="R1526">
        <f>IF($AG1526="","",Config!$B$24)</f>
        <v/>
      </c>
      <c r="S1526">
        <f>IF($AG1526="","",TEXT(Config!$B$4,"yyyy-mm-dd"))</f>
        <v/>
      </c>
      <c r="T1526">
        <f>IF($AG1526="","",Config!$B$17)</f>
        <v/>
      </c>
      <c r="U1526">
        <f>IF($AG1526="","",Config!$B$18)</f>
        <v/>
      </c>
      <c r="V1526">
        <f>IF($AG1526="","",Config!$B$19)</f>
        <v/>
      </c>
      <c r="W1526">
        <f>IF($AG1526="","",INDEX('TMP Paste'!$C$2:$C$1601,$AG1526))</f>
        <v/>
      </c>
      <c r="X1526">
        <f>IF($AG1526="","",Config!$B$29)</f>
        <v/>
      </c>
      <c r="Y1526">
        <f>IF($AH1526="","",INDEX(Calc!$I$2:$I$1601,$AH1526)&amp;" - "&amp;INDEX(Calc!$D$2:$D$1601,$AH1526)&amp;" koli")</f>
        <v/>
      </c>
      <c r="Z1526">
        <f>IF($AG1526="","",Config!$B$21)</f>
        <v/>
      </c>
      <c r="AA1526">
        <f>IF($AG1526="","",Config!$B$22)</f>
        <v/>
      </c>
      <c r="AB1526">
        <f>IF($AH1526="","",INDEX(Calc!$D$2:$D$1601,$AH1526))</f>
        <v/>
      </c>
      <c r="AC1526">
        <f>IF($AH1526="","",INDEX(Calc!$G$2:$G$1601,$AH1526))</f>
        <v/>
      </c>
      <c r="AD1526">
        <f>IF($AG1526="","",Config!$B$23)</f>
        <v/>
      </c>
      <c r="AE1526">
        <f>IF($AG1526="","",Config!$B$28)</f>
        <v/>
      </c>
      <c r="AG1526">
        <f>IFERROR(MATCH(ROW()-1,Calc!$J$2:$J$1601,0),"")</f>
        <v/>
      </c>
      <c r="AH1526">
        <f>IFERROR(MATCH(ROW()-1,Calc!$K$2:$K$1601,0),"")</f>
        <v/>
      </c>
      <c r="AQ1526">
        <f>IF($AG1526="","",TRIM(IF(COUNTIFS(Calc!$B$2:$B$1601,ROW()-1,Calc!$C$2:$C$1601,"&lt;1")&gt;0,"Ada PO tanpa Koli - cek TMP. ","")&amp;IF(LEN($R1526)&gt;500,"R &gt; 500 karakter.","")))</f>
        <v/>
      </c>
    </row>
    <row r="1527">
      <c r="A1527">
        <f>IF($AG1527="","",INDEX('TMP Paste'!$B$2:$B$1601,$AG1527))</f>
        <v/>
      </c>
      <c r="B1527">
        <f>IF($AG1527="","",Config!$B$14)</f>
        <v/>
      </c>
      <c r="C1527">
        <f>IF($AG1527="","",Config!$B$15)</f>
        <v/>
      </c>
      <c r="D1527">
        <f>IF($AG1527="","",INDEX('TMP Paste'!$B$2:$B$1601,$AG1527))</f>
        <v/>
      </c>
      <c r="E1527">
        <f>IF($AG1527="","",Config!$B$27)</f>
        <v/>
      </c>
      <c r="F1527">
        <f>IF($AG1527="","",Config!$B$9)</f>
        <v/>
      </c>
      <c r="G1527">
        <f>IF($AG1527="","",Config!$B$10)</f>
        <v/>
      </c>
      <c r="H1527">
        <f>IF($AG1527="","",Config!$B$11)</f>
        <v/>
      </c>
      <c r="I1527">
        <f>IF($AG1527="","",Config!$B$16)</f>
        <v/>
      </c>
      <c r="J1527">
        <f>IF($AG1527="","",INDEX('TMP Paste'!$A$2:$A$1601,$AG1527))</f>
        <v/>
      </c>
      <c r="K1527">
        <f>IF($AG1527="","",INDEX('TMP Paste'!$L$2:$L$1601,$AG1527))</f>
        <v/>
      </c>
      <c r="L1527">
        <f>IF($AG1527="","",INDEX('TMP Paste'!$I$2:$I$1601,$AG1527))</f>
        <v/>
      </c>
      <c r="M1527">
        <f>IF($AG1527="","",Config!$B$16)</f>
        <v/>
      </c>
      <c r="N1527">
        <f>IF($AG1527="","","")</f>
        <v/>
      </c>
      <c r="O1527">
        <f>IF($AG1527="","",INDEX('TMP Paste'!$K$2:$K$1601,$AG1527))</f>
        <v/>
      </c>
      <c r="P1527">
        <f>IF($AG1527="","","")</f>
        <v/>
      </c>
      <c r="Q1527">
        <f>IF($AG1527="","",INDEX('TMP Paste'!$J$2:$J$1601,$AG1527))</f>
        <v/>
      </c>
      <c r="R1527">
        <f>IF($AG1527="","",Config!$B$24)</f>
        <v/>
      </c>
      <c r="S1527">
        <f>IF($AG1527="","",TEXT(Config!$B$4,"yyyy-mm-dd"))</f>
        <v/>
      </c>
      <c r="T1527">
        <f>IF($AG1527="","",Config!$B$17)</f>
        <v/>
      </c>
      <c r="U1527">
        <f>IF($AG1527="","",Config!$B$18)</f>
        <v/>
      </c>
      <c r="V1527">
        <f>IF($AG1527="","",Config!$B$19)</f>
        <v/>
      </c>
      <c r="W1527">
        <f>IF($AG1527="","",INDEX('TMP Paste'!$C$2:$C$1601,$AG1527))</f>
        <v/>
      </c>
      <c r="X1527">
        <f>IF($AG1527="","",Config!$B$29)</f>
        <v/>
      </c>
      <c r="Y1527">
        <f>IF($AH1527="","",INDEX(Calc!$I$2:$I$1601,$AH1527)&amp;" - "&amp;INDEX(Calc!$D$2:$D$1601,$AH1527)&amp;" koli")</f>
        <v/>
      </c>
      <c r="Z1527">
        <f>IF($AG1527="","",Config!$B$21)</f>
        <v/>
      </c>
      <c r="AA1527">
        <f>IF($AG1527="","",Config!$B$22)</f>
        <v/>
      </c>
      <c r="AB1527">
        <f>IF($AH1527="","",INDEX(Calc!$D$2:$D$1601,$AH1527))</f>
        <v/>
      </c>
      <c r="AC1527">
        <f>IF($AH1527="","",INDEX(Calc!$G$2:$G$1601,$AH1527))</f>
        <v/>
      </c>
      <c r="AD1527">
        <f>IF($AG1527="","",Config!$B$23)</f>
        <v/>
      </c>
      <c r="AE1527">
        <f>IF($AG1527="","",Config!$B$28)</f>
        <v/>
      </c>
      <c r="AG1527">
        <f>IFERROR(MATCH(ROW()-1,Calc!$J$2:$J$1601,0),"")</f>
        <v/>
      </c>
      <c r="AH1527">
        <f>IFERROR(MATCH(ROW()-1,Calc!$K$2:$K$1601,0),"")</f>
        <v/>
      </c>
      <c r="AQ1527">
        <f>IF($AG1527="","",TRIM(IF(COUNTIFS(Calc!$B$2:$B$1601,ROW()-1,Calc!$C$2:$C$1601,"&lt;1")&gt;0,"Ada PO tanpa Koli - cek TMP. ","")&amp;IF(LEN($R1527)&gt;500,"R &gt; 500 karakter.","")))</f>
        <v/>
      </c>
    </row>
    <row r="1528">
      <c r="A1528">
        <f>IF($AG1528="","",INDEX('TMP Paste'!$B$2:$B$1601,$AG1528))</f>
        <v/>
      </c>
      <c r="B1528">
        <f>IF($AG1528="","",Config!$B$14)</f>
        <v/>
      </c>
      <c r="C1528">
        <f>IF($AG1528="","",Config!$B$15)</f>
        <v/>
      </c>
      <c r="D1528">
        <f>IF($AG1528="","",INDEX('TMP Paste'!$B$2:$B$1601,$AG1528))</f>
        <v/>
      </c>
      <c r="E1528">
        <f>IF($AG1528="","",Config!$B$27)</f>
        <v/>
      </c>
      <c r="F1528">
        <f>IF($AG1528="","",Config!$B$9)</f>
        <v/>
      </c>
      <c r="G1528">
        <f>IF($AG1528="","",Config!$B$10)</f>
        <v/>
      </c>
      <c r="H1528">
        <f>IF($AG1528="","",Config!$B$11)</f>
        <v/>
      </c>
      <c r="I1528">
        <f>IF($AG1528="","",Config!$B$16)</f>
        <v/>
      </c>
      <c r="J1528">
        <f>IF($AG1528="","",INDEX('TMP Paste'!$A$2:$A$1601,$AG1528))</f>
        <v/>
      </c>
      <c r="K1528">
        <f>IF($AG1528="","",INDEX('TMP Paste'!$L$2:$L$1601,$AG1528))</f>
        <v/>
      </c>
      <c r="L1528">
        <f>IF($AG1528="","",INDEX('TMP Paste'!$I$2:$I$1601,$AG1528))</f>
        <v/>
      </c>
      <c r="M1528">
        <f>IF($AG1528="","",Config!$B$16)</f>
        <v/>
      </c>
      <c r="N1528">
        <f>IF($AG1528="","","")</f>
        <v/>
      </c>
      <c r="O1528">
        <f>IF($AG1528="","",INDEX('TMP Paste'!$K$2:$K$1601,$AG1528))</f>
        <v/>
      </c>
      <c r="P1528">
        <f>IF($AG1528="","","")</f>
        <v/>
      </c>
      <c r="Q1528">
        <f>IF($AG1528="","",INDEX('TMP Paste'!$J$2:$J$1601,$AG1528))</f>
        <v/>
      </c>
      <c r="R1528">
        <f>IF($AG1528="","",Config!$B$24)</f>
        <v/>
      </c>
      <c r="S1528">
        <f>IF($AG1528="","",TEXT(Config!$B$4,"yyyy-mm-dd"))</f>
        <v/>
      </c>
      <c r="T1528">
        <f>IF($AG1528="","",Config!$B$17)</f>
        <v/>
      </c>
      <c r="U1528">
        <f>IF($AG1528="","",Config!$B$18)</f>
        <v/>
      </c>
      <c r="V1528">
        <f>IF($AG1528="","",Config!$B$19)</f>
        <v/>
      </c>
      <c r="W1528">
        <f>IF($AG1528="","",INDEX('TMP Paste'!$C$2:$C$1601,$AG1528))</f>
        <v/>
      </c>
      <c r="X1528">
        <f>IF($AG1528="","",Config!$B$29)</f>
        <v/>
      </c>
      <c r="Y1528">
        <f>IF($AH1528="","",INDEX(Calc!$I$2:$I$1601,$AH1528)&amp;" - "&amp;INDEX(Calc!$D$2:$D$1601,$AH1528)&amp;" koli")</f>
        <v/>
      </c>
      <c r="Z1528">
        <f>IF($AG1528="","",Config!$B$21)</f>
        <v/>
      </c>
      <c r="AA1528">
        <f>IF($AG1528="","",Config!$B$22)</f>
        <v/>
      </c>
      <c r="AB1528">
        <f>IF($AH1528="","",INDEX(Calc!$D$2:$D$1601,$AH1528))</f>
        <v/>
      </c>
      <c r="AC1528">
        <f>IF($AH1528="","",INDEX(Calc!$G$2:$G$1601,$AH1528))</f>
        <v/>
      </c>
      <c r="AD1528">
        <f>IF($AG1528="","",Config!$B$23)</f>
        <v/>
      </c>
      <c r="AE1528">
        <f>IF($AG1528="","",Config!$B$28)</f>
        <v/>
      </c>
      <c r="AG1528">
        <f>IFERROR(MATCH(ROW()-1,Calc!$J$2:$J$1601,0),"")</f>
        <v/>
      </c>
      <c r="AH1528">
        <f>IFERROR(MATCH(ROW()-1,Calc!$K$2:$K$1601,0),"")</f>
        <v/>
      </c>
      <c r="AQ1528">
        <f>IF($AG1528="","",TRIM(IF(COUNTIFS(Calc!$B$2:$B$1601,ROW()-1,Calc!$C$2:$C$1601,"&lt;1")&gt;0,"Ada PO tanpa Koli - cek TMP. ","")&amp;IF(LEN($R1528)&gt;500,"R &gt; 500 karakter.","")))</f>
        <v/>
      </c>
    </row>
    <row r="1529">
      <c r="A1529">
        <f>IF($AG1529="","",INDEX('TMP Paste'!$B$2:$B$1601,$AG1529))</f>
        <v/>
      </c>
      <c r="B1529">
        <f>IF($AG1529="","",Config!$B$14)</f>
        <v/>
      </c>
      <c r="C1529">
        <f>IF($AG1529="","",Config!$B$15)</f>
        <v/>
      </c>
      <c r="D1529">
        <f>IF($AG1529="","",INDEX('TMP Paste'!$B$2:$B$1601,$AG1529))</f>
        <v/>
      </c>
      <c r="E1529">
        <f>IF($AG1529="","",Config!$B$27)</f>
        <v/>
      </c>
      <c r="F1529">
        <f>IF($AG1529="","",Config!$B$9)</f>
        <v/>
      </c>
      <c r="G1529">
        <f>IF($AG1529="","",Config!$B$10)</f>
        <v/>
      </c>
      <c r="H1529">
        <f>IF($AG1529="","",Config!$B$11)</f>
        <v/>
      </c>
      <c r="I1529">
        <f>IF($AG1529="","",Config!$B$16)</f>
        <v/>
      </c>
      <c r="J1529">
        <f>IF($AG1529="","",INDEX('TMP Paste'!$A$2:$A$1601,$AG1529))</f>
        <v/>
      </c>
      <c r="K1529">
        <f>IF($AG1529="","",INDEX('TMP Paste'!$L$2:$L$1601,$AG1529))</f>
        <v/>
      </c>
      <c r="L1529">
        <f>IF($AG1529="","",INDEX('TMP Paste'!$I$2:$I$1601,$AG1529))</f>
        <v/>
      </c>
      <c r="M1529">
        <f>IF($AG1529="","",Config!$B$16)</f>
        <v/>
      </c>
      <c r="N1529">
        <f>IF($AG1529="","","")</f>
        <v/>
      </c>
      <c r="O1529">
        <f>IF($AG1529="","",INDEX('TMP Paste'!$K$2:$K$1601,$AG1529))</f>
        <v/>
      </c>
      <c r="P1529">
        <f>IF($AG1529="","","")</f>
        <v/>
      </c>
      <c r="Q1529">
        <f>IF($AG1529="","",INDEX('TMP Paste'!$J$2:$J$1601,$AG1529))</f>
        <v/>
      </c>
      <c r="R1529">
        <f>IF($AG1529="","",Config!$B$24)</f>
        <v/>
      </c>
      <c r="S1529">
        <f>IF($AG1529="","",TEXT(Config!$B$4,"yyyy-mm-dd"))</f>
        <v/>
      </c>
      <c r="T1529">
        <f>IF($AG1529="","",Config!$B$17)</f>
        <v/>
      </c>
      <c r="U1529">
        <f>IF($AG1529="","",Config!$B$18)</f>
        <v/>
      </c>
      <c r="V1529">
        <f>IF($AG1529="","",Config!$B$19)</f>
        <v/>
      </c>
      <c r="W1529">
        <f>IF($AG1529="","",INDEX('TMP Paste'!$C$2:$C$1601,$AG1529))</f>
        <v/>
      </c>
      <c r="X1529">
        <f>IF($AG1529="","",Config!$B$29)</f>
        <v/>
      </c>
      <c r="Y1529">
        <f>IF($AH1529="","",INDEX(Calc!$I$2:$I$1601,$AH1529)&amp;" - "&amp;INDEX(Calc!$D$2:$D$1601,$AH1529)&amp;" koli")</f>
        <v/>
      </c>
      <c r="Z1529">
        <f>IF($AG1529="","",Config!$B$21)</f>
        <v/>
      </c>
      <c r="AA1529">
        <f>IF($AG1529="","",Config!$B$22)</f>
        <v/>
      </c>
      <c r="AB1529">
        <f>IF($AH1529="","",INDEX(Calc!$D$2:$D$1601,$AH1529))</f>
        <v/>
      </c>
      <c r="AC1529">
        <f>IF($AH1529="","",INDEX(Calc!$G$2:$G$1601,$AH1529))</f>
        <v/>
      </c>
      <c r="AD1529">
        <f>IF($AG1529="","",Config!$B$23)</f>
        <v/>
      </c>
      <c r="AE1529">
        <f>IF($AG1529="","",Config!$B$28)</f>
        <v/>
      </c>
      <c r="AG1529">
        <f>IFERROR(MATCH(ROW()-1,Calc!$J$2:$J$1601,0),"")</f>
        <v/>
      </c>
      <c r="AH1529">
        <f>IFERROR(MATCH(ROW()-1,Calc!$K$2:$K$1601,0),"")</f>
        <v/>
      </c>
      <c r="AQ1529">
        <f>IF($AG1529="","",TRIM(IF(COUNTIFS(Calc!$B$2:$B$1601,ROW()-1,Calc!$C$2:$C$1601,"&lt;1")&gt;0,"Ada PO tanpa Koli - cek TMP. ","")&amp;IF(LEN($R1529)&gt;500,"R &gt; 500 karakter.","")))</f>
        <v/>
      </c>
    </row>
    <row r="1530">
      <c r="A1530">
        <f>IF($AG1530="","",INDEX('TMP Paste'!$B$2:$B$1601,$AG1530))</f>
        <v/>
      </c>
      <c r="B1530">
        <f>IF($AG1530="","",Config!$B$14)</f>
        <v/>
      </c>
      <c r="C1530">
        <f>IF($AG1530="","",Config!$B$15)</f>
        <v/>
      </c>
      <c r="D1530">
        <f>IF($AG1530="","",INDEX('TMP Paste'!$B$2:$B$1601,$AG1530))</f>
        <v/>
      </c>
      <c r="E1530">
        <f>IF($AG1530="","",Config!$B$27)</f>
        <v/>
      </c>
      <c r="F1530">
        <f>IF($AG1530="","",Config!$B$9)</f>
        <v/>
      </c>
      <c r="G1530">
        <f>IF($AG1530="","",Config!$B$10)</f>
        <v/>
      </c>
      <c r="H1530">
        <f>IF($AG1530="","",Config!$B$11)</f>
        <v/>
      </c>
      <c r="I1530">
        <f>IF($AG1530="","",Config!$B$16)</f>
        <v/>
      </c>
      <c r="J1530">
        <f>IF($AG1530="","",INDEX('TMP Paste'!$A$2:$A$1601,$AG1530))</f>
        <v/>
      </c>
      <c r="K1530">
        <f>IF($AG1530="","",INDEX('TMP Paste'!$L$2:$L$1601,$AG1530))</f>
        <v/>
      </c>
      <c r="L1530">
        <f>IF($AG1530="","",INDEX('TMP Paste'!$I$2:$I$1601,$AG1530))</f>
        <v/>
      </c>
      <c r="M1530">
        <f>IF($AG1530="","",Config!$B$16)</f>
        <v/>
      </c>
      <c r="N1530">
        <f>IF($AG1530="","","")</f>
        <v/>
      </c>
      <c r="O1530">
        <f>IF($AG1530="","",INDEX('TMP Paste'!$K$2:$K$1601,$AG1530))</f>
        <v/>
      </c>
      <c r="P1530">
        <f>IF($AG1530="","","")</f>
        <v/>
      </c>
      <c r="Q1530">
        <f>IF($AG1530="","",INDEX('TMP Paste'!$J$2:$J$1601,$AG1530))</f>
        <v/>
      </c>
      <c r="R1530">
        <f>IF($AG1530="","",Config!$B$24)</f>
        <v/>
      </c>
      <c r="S1530">
        <f>IF($AG1530="","",TEXT(Config!$B$4,"yyyy-mm-dd"))</f>
        <v/>
      </c>
      <c r="T1530">
        <f>IF($AG1530="","",Config!$B$17)</f>
        <v/>
      </c>
      <c r="U1530">
        <f>IF($AG1530="","",Config!$B$18)</f>
        <v/>
      </c>
      <c r="V1530">
        <f>IF($AG1530="","",Config!$B$19)</f>
        <v/>
      </c>
      <c r="W1530">
        <f>IF($AG1530="","",INDEX('TMP Paste'!$C$2:$C$1601,$AG1530))</f>
        <v/>
      </c>
      <c r="X1530">
        <f>IF($AG1530="","",Config!$B$29)</f>
        <v/>
      </c>
      <c r="Y1530">
        <f>IF($AH1530="","",INDEX(Calc!$I$2:$I$1601,$AH1530)&amp;" - "&amp;INDEX(Calc!$D$2:$D$1601,$AH1530)&amp;" koli")</f>
        <v/>
      </c>
      <c r="Z1530">
        <f>IF($AG1530="","",Config!$B$21)</f>
        <v/>
      </c>
      <c r="AA1530">
        <f>IF($AG1530="","",Config!$B$22)</f>
        <v/>
      </c>
      <c r="AB1530">
        <f>IF($AH1530="","",INDEX(Calc!$D$2:$D$1601,$AH1530))</f>
        <v/>
      </c>
      <c r="AC1530">
        <f>IF($AH1530="","",INDEX(Calc!$G$2:$G$1601,$AH1530))</f>
        <v/>
      </c>
      <c r="AD1530">
        <f>IF($AG1530="","",Config!$B$23)</f>
        <v/>
      </c>
      <c r="AE1530">
        <f>IF($AG1530="","",Config!$B$28)</f>
        <v/>
      </c>
      <c r="AG1530">
        <f>IFERROR(MATCH(ROW()-1,Calc!$J$2:$J$1601,0),"")</f>
        <v/>
      </c>
      <c r="AH1530">
        <f>IFERROR(MATCH(ROW()-1,Calc!$K$2:$K$1601,0),"")</f>
        <v/>
      </c>
      <c r="AQ1530">
        <f>IF($AG1530="","",TRIM(IF(COUNTIFS(Calc!$B$2:$B$1601,ROW()-1,Calc!$C$2:$C$1601,"&lt;1")&gt;0,"Ada PO tanpa Koli - cek TMP. ","")&amp;IF(LEN($R1530)&gt;500,"R &gt; 500 karakter.","")))</f>
        <v/>
      </c>
    </row>
    <row r="1531">
      <c r="A1531">
        <f>IF($AG1531="","",INDEX('TMP Paste'!$B$2:$B$1601,$AG1531))</f>
        <v/>
      </c>
      <c r="B1531">
        <f>IF($AG1531="","",Config!$B$14)</f>
        <v/>
      </c>
      <c r="C1531">
        <f>IF($AG1531="","",Config!$B$15)</f>
        <v/>
      </c>
      <c r="D1531">
        <f>IF($AG1531="","",INDEX('TMP Paste'!$B$2:$B$1601,$AG1531))</f>
        <v/>
      </c>
      <c r="E1531">
        <f>IF($AG1531="","",Config!$B$27)</f>
        <v/>
      </c>
      <c r="F1531">
        <f>IF($AG1531="","",Config!$B$9)</f>
        <v/>
      </c>
      <c r="G1531">
        <f>IF($AG1531="","",Config!$B$10)</f>
        <v/>
      </c>
      <c r="H1531">
        <f>IF($AG1531="","",Config!$B$11)</f>
        <v/>
      </c>
      <c r="I1531">
        <f>IF($AG1531="","",Config!$B$16)</f>
        <v/>
      </c>
      <c r="J1531">
        <f>IF($AG1531="","",INDEX('TMP Paste'!$A$2:$A$1601,$AG1531))</f>
        <v/>
      </c>
      <c r="K1531">
        <f>IF($AG1531="","",INDEX('TMP Paste'!$L$2:$L$1601,$AG1531))</f>
        <v/>
      </c>
      <c r="L1531">
        <f>IF($AG1531="","",INDEX('TMP Paste'!$I$2:$I$1601,$AG1531))</f>
        <v/>
      </c>
      <c r="M1531">
        <f>IF($AG1531="","",Config!$B$16)</f>
        <v/>
      </c>
      <c r="N1531">
        <f>IF($AG1531="","","")</f>
        <v/>
      </c>
      <c r="O1531">
        <f>IF($AG1531="","",INDEX('TMP Paste'!$K$2:$K$1601,$AG1531))</f>
        <v/>
      </c>
      <c r="P1531">
        <f>IF($AG1531="","","")</f>
        <v/>
      </c>
      <c r="Q1531">
        <f>IF($AG1531="","",INDEX('TMP Paste'!$J$2:$J$1601,$AG1531))</f>
        <v/>
      </c>
      <c r="R1531">
        <f>IF($AG1531="","",Config!$B$24)</f>
        <v/>
      </c>
      <c r="S1531">
        <f>IF($AG1531="","",TEXT(Config!$B$4,"yyyy-mm-dd"))</f>
        <v/>
      </c>
      <c r="T1531">
        <f>IF($AG1531="","",Config!$B$17)</f>
        <v/>
      </c>
      <c r="U1531">
        <f>IF($AG1531="","",Config!$B$18)</f>
        <v/>
      </c>
      <c r="V1531">
        <f>IF($AG1531="","",Config!$B$19)</f>
        <v/>
      </c>
      <c r="W1531">
        <f>IF($AG1531="","",INDEX('TMP Paste'!$C$2:$C$1601,$AG1531))</f>
        <v/>
      </c>
      <c r="X1531">
        <f>IF($AG1531="","",Config!$B$29)</f>
        <v/>
      </c>
      <c r="Y1531">
        <f>IF($AH1531="","",INDEX(Calc!$I$2:$I$1601,$AH1531)&amp;" - "&amp;INDEX(Calc!$D$2:$D$1601,$AH1531)&amp;" koli")</f>
        <v/>
      </c>
      <c r="Z1531">
        <f>IF($AG1531="","",Config!$B$21)</f>
        <v/>
      </c>
      <c r="AA1531">
        <f>IF($AG1531="","",Config!$B$22)</f>
        <v/>
      </c>
      <c r="AB1531">
        <f>IF($AH1531="","",INDEX(Calc!$D$2:$D$1601,$AH1531))</f>
        <v/>
      </c>
      <c r="AC1531">
        <f>IF($AH1531="","",INDEX(Calc!$G$2:$G$1601,$AH1531))</f>
        <v/>
      </c>
      <c r="AD1531">
        <f>IF($AG1531="","",Config!$B$23)</f>
        <v/>
      </c>
      <c r="AE1531">
        <f>IF($AG1531="","",Config!$B$28)</f>
        <v/>
      </c>
      <c r="AG1531">
        <f>IFERROR(MATCH(ROW()-1,Calc!$J$2:$J$1601,0),"")</f>
        <v/>
      </c>
      <c r="AH1531">
        <f>IFERROR(MATCH(ROW()-1,Calc!$K$2:$K$1601,0),"")</f>
        <v/>
      </c>
      <c r="AQ1531">
        <f>IF($AG1531="","",TRIM(IF(COUNTIFS(Calc!$B$2:$B$1601,ROW()-1,Calc!$C$2:$C$1601,"&lt;1")&gt;0,"Ada PO tanpa Koli - cek TMP. ","")&amp;IF(LEN($R1531)&gt;500,"R &gt; 500 karakter.","")))</f>
        <v/>
      </c>
    </row>
    <row r="1532">
      <c r="A1532">
        <f>IF($AG1532="","",INDEX('TMP Paste'!$B$2:$B$1601,$AG1532))</f>
        <v/>
      </c>
      <c r="B1532">
        <f>IF($AG1532="","",Config!$B$14)</f>
        <v/>
      </c>
      <c r="C1532">
        <f>IF($AG1532="","",Config!$B$15)</f>
        <v/>
      </c>
      <c r="D1532">
        <f>IF($AG1532="","",INDEX('TMP Paste'!$B$2:$B$1601,$AG1532))</f>
        <v/>
      </c>
      <c r="E1532">
        <f>IF($AG1532="","",Config!$B$27)</f>
        <v/>
      </c>
      <c r="F1532">
        <f>IF($AG1532="","",Config!$B$9)</f>
        <v/>
      </c>
      <c r="G1532">
        <f>IF($AG1532="","",Config!$B$10)</f>
        <v/>
      </c>
      <c r="H1532">
        <f>IF($AG1532="","",Config!$B$11)</f>
        <v/>
      </c>
      <c r="I1532">
        <f>IF($AG1532="","",Config!$B$16)</f>
        <v/>
      </c>
      <c r="J1532">
        <f>IF($AG1532="","",INDEX('TMP Paste'!$A$2:$A$1601,$AG1532))</f>
        <v/>
      </c>
      <c r="K1532">
        <f>IF($AG1532="","",INDEX('TMP Paste'!$L$2:$L$1601,$AG1532))</f>
        <v/>
      </c>
      <c r="L1532">
        <f>IF($AG1532="","",INDEX('TMP Paste'!$I$2:$I$1601,$AG1532))</f>
        <v/>
      </c>
      <c r="M1532">
        <f>IF($AG1532="","",Config!$B$16)</f>
        <v/>
      </c>
      <c r="N1532">
        <f>IF($AG1532="","","")</f>
        <v/>
      </c>
      <c r="O1532">
        <f>IF($AG1532="","",INDEX('TMP Paste'!$K$2:$K$1601,$AG1532))</f>
        <v/>
      </c>
      <c r="P1532">
        <f>IF($AG1532="","","")</f>
        <v/>
      </c>
      <c r="Q1532">
        <f>IF($AG1532="","",INDEX('TMP Paste'!$J$2:$J$1601,$AG1532))</f>
        <v/>
      </c>
      <c r="R1532">
        <f>IF($AG1532="","",Config!$B$24)</f>
        <v/>
      </c>
      <c r="S1532">
        <f>IF($AG1532="","",TEXT(Config!$B$4,"yyyy-mm-dd"))</f>
        <v/>
      </c>
      <c r="T1532">
        <f>IF($AG1532="","",Config!$B$17)</f>
        <v/>
      </c>
      <c r="U1532">
        <f>IF($AG1532="","",Config!$B$18)</f>
        <v/>
      </c>
      <c r="V1532">
        <f>IF($AG1532="","",Config!$B$19)</f>
        <v/>
      </c>
      <c r="W1532">
        <f>IF($AG1532="","",INDEX('TMP Paste'!$C$2:$C$1601,$AG1532))</f>
        <v/>
      </c>
      <c r="X1532">
        <f>IF($AG1532="","",Config!$B$29)</f>
        <v/>
      </c>
      <c r="Y1532">
        <f>IF($AH1532="","",INDEX(Calc!$I$2:$I$1601,$AH1532)&amp;" - "&amp;INDEX(Calc!$D$2:$D$1601,$AH1532)&amp;" koli")</f>
        <v/>
      </c>
      <c r="Z1532">
        <f>IF($AG1532="","",Config!$B$21)</f>
        <v/>
      </c>
      <c r="AA1532">
        <f>IF($AG1532="","",Config!$B$22)</f>
        <v/>
      </c>
      <c r="AB1532">
        <f>IF($AH1532="","",INDEX(Calc!$D$2:$D$1601,$AH1532))</f>
        <v/>
      </c>
      <c r="AC1532">
        <f>IF($AH1532="","",INDEX(Calc!$G$2:$G$1601,$AH1532))</f>
        <v/>
      </c>
      <c r="AD1532">
        <f>IF($AG1532="","",Config!$B$23)</f>
        <v/>
      </c>
      <c r="AE1532">
        <f>IF($AG1532="","",Config!$B$28)</f>
        <v/>
      </c>
      <c r="AG1532">
        <f>IFERROR(MATCH(ROW()-1,Calc!$J$2:$J$1601,0),"")</f>
        <v/>
      </c>
      <c r="AH1532">
        <f>IFERROR(MATCH(ROW()-1,Calc!$K$2:$K$1601,0),"")</f>
        <v/>
      </c>
      <c r="AQ1532">
        <f>IF($AG1532="","",TRIM(IF(COUNTIFS(Calc!$B$2:$B$1601,ROW()-1,Calc!$C$2:$C$1601,"&lt;1")&gt;0,"Ada PO tanpa Koli - cek TMP. ","")&amp;IF(LEN($R1532)&gt;500,"R &gt; 500 karakter.","")))</f>
        <v/>
      </c>
    </row>
    <row r="1533">
      <c r="A1533">
        <f>IF($AG1533="","",INDEX('TMP Paste'!$B$2:$B$1601,$AG1533))</f>
        <v/>
      </c>
      <c r="B1533">
        <f>IF($AG1533="","",Config!$B$14)</f>
        <v/>
      </c>
      <c r="C1533">
        <f>IF($AG1533="","",Config!$B$15)</f>
        <v/>
      </c>
      <c r="D1533">
        <f>IF($AG1533="","",INDEX('TMP Paste'!$B$2:$B$1601,$AG1533))</f>
        <v/>
      </c>
      <c r="E1533">
        <f>IF($AG1533="","",Config!$B$27)</f>
        <v/>
      </c>
      <c r="F1533">
        <f>IF($AG1533="","",Config!$B$9)</f>
        <v/>
      </c>
      <c r="G1533">
        <f>IF($AG1533="","",Config!$B$10)</f>
        <v/>
      </c>
      <c r="H1533">
        <f>IF($AG1533="","",Config!$B$11)</f>
        <v/>
      </c>
      <c r="I1533">
        <f>IF($AG1533="","",Config!$B$16)</f>
        <v/>
      </c>
      <c r="J1533">
        <f>IF($AG1533="","",INDEX('TMP Paste'!$A$2:$A$1601,$AG1533))</f>
        <v/>
      </c>
      <c r="K1533">
        <f>IF($AG1533="","",INDEX('TMP Paste'!$L$2:$L$1601,$AG1533))</f>
        <v/>
      </c>
      <c r="L1533">
        <f>IF($AG1533="","",INDEX('TMP Paste'!$I$2:$I$1601,$AG1533))</f>
        <v/>
      </c>
      <c r="M1533">
        <f>IF($AG1533="","",Config!$B$16)</f>
        <v/>
      </c>
      <c r="N1533">
        <f>IF($AG1533="","","")</f>
        <v/>
      </c>
      <c r="O1533">
        <f>IF($AG1533="","",INDEX('TMP Paste'!$K$2:$K$1601,$AG1533))</f>
        <v/>
      </c>
      <c r="P1533">
        <f>IF($AG1533="","","")</f>
        <v/>
      </c>
      <c r="Q1533">
        <f>IF($AG1533="","",INDEX('TMP Paste'!$J$2:$J$1601,$AG1533))</f>
        <v/>
      </c>
      <c r="R1533">
        <f>IF($AG1533="","",Config!$B$24)</f>
        <v/>
      </c>
      <c r="S1533">
        <f>IF($AG1533="","",TEXT(Config!$B$4,"yyyy-mm-dd"))</f>
        <v/>
      </c>
      <c r="T1533">
        <f>IF($AG1533="","",Config!$B$17)</f>
        <v/>
      </c>
      <c r="U1533">
        <f>IF($AG1533="","",Config!$B$18)</f>
        <v/>
      </c>
      <c r="V1533">
        <f>IF($AG1533="","",Config!$B$19)</f>
        <v/>
      </c>
      <c r="W1533">
        <f>IF($AG1533="","",INDEX('TMP Paste'!$C$2:$C$1601,$AG1533))</f>
        <v/>
      </c>
      <c r="X1533">
        <f>IF($AG1533="","",Config!$B$29)</f>
        <v/>
      </c>
      <c r="Y1533">
        <f>IF($AH1533="","",INDEX(Calc!$I$2:$I$1601,$AH1533)&amp;" - "&amp;INDEX(Calc!$D$2:$D$1601,$AH1533)&amp;" koli")</f>
        <v/>
      </c>
      <c r="Z1533">
        <f>IF($AG1533="","",Config!$B$21)</f>
        <v/>
      </c>
      <c r="AA1533">
        <f>IF($AG1533="","",Config!$B$22)</f>
        <v/>
      </c>
      <c r="AB1533">
        <f>IF($AH1533="","",INDEX(Calc!$D$2:$D$1601,$AH1533))</f>
        <v/>
      </c>
      <c r="AC1533">
        <f>IF($AH1533="","",INDEX(Calc!$G$2:$G$1601,$AH1533))</f>
        <v/>
      </c>
      <c r="AD1533">
        <f>IF($AG1533="","",Config!$B$23)</f>
        <v/>
      </c>
      <c r="AE1533">
        <f>IF($AG1533="","",Config!$B$28)</f>
        <v/>
      </c>
      <c r="AG1533">
        <f>IFERROR(MATCH(ROW()-1,Calc!$J$2:$J$1601,0),"")</f>
        <v/>
      </c>
      <c r="AH1533">
        <f>IFERROR(MATCH(ROW()-1,Calc!$K$2:$K$1601,0),"")</f>
        <v/>
      </c>
      <c r="AQ1533">
        <f>IF($AG1533="","",TRIM(IF(COUNTIFS(Calc!$B$2:$B$1601,ROW()-1,Calc!$C$2:$C$1601,"&lt;1")&gt;0,"Ada PO tanpa Koli - cek TMP. ","")&amp;IF(LEN($R1533)&gt;500,"R &gt; 500 karakter.","")))</f>
        <v/>
      </c>
    </row>
    <row r="1534">
      <c r="A1534">
        <f>IF($AG1534="","",INDEX('TMP Paste'!$B$2:$B$1601,$AG1534))</f>
        <v/>
      </c>
      <c r="B1534">
        <f>IF($AG1534="","",Config!$B$14)</f>
        <v/>
      </c>
      <c r="C1534">
        <f>IF($AG1534="","",Config!$B$15)</f>
        <v/>
      </c>
      <c r="D1534">
        <f>IF($AG1534="","",INDEX('TMP Paste'!$B$2:$B$1601,$AG1534))</f>
        <v/>
      </c>
      <c r="E1534">
        <f>IF($AG1534="","",Config!$B$27)</f>
        <v/>
      </c>
      <c r="F1534">
        <f>IF($AG1534="","",Config!$B$9)</f>
        <v/>
      </c>
      <c r="G1534">
        <f>IF($AG1534="","",Config!$B$10)</f>
        <v/>
      </c>
      <c r="H1534">
        <f>IF($AG1534="","",Config!$B$11)</f>
        <v/>
      </c>
      <c r="I1534">
        <f>IF($AG1534="","",Config!$B$16)</f>
        <v/>
      </c>
      <c r="J1534">
        <f>IF($AG1534="","",INDEX('TMP Paste'!$A$2:$A$1601,$AG1534))</f>
        <v/>
      </c>
      <c r="K1534">
        <f>IF($AG1534="","",INDEX('TMP Paste'!$L$2:$L$1601,$AG1534))</f>
        <v/>
      </c>
      <c r="L1534">
        <f>IF($AG1534="","",INDEX('TMP Paste'!$I$2:$I$1601,$AG1534))</f>
        <v/>
      </c>
      <c r="M1534">
        <f>IF($AG1534="","",Config!$B$16)</f>
        <v/>
      </c>
      <c r="N1534">
        <f>IF($AG1534="","","")</f>
        <v/>
      </c>
      <c r="O1534">
        <f>IF($AG1534="","",INDEX('TMP Paste'!$K$2:$K$1601,$AG1534))</f>
        <v/>
      </c>
      <c r="P1534">
        <f>IF($AG1534="","","")</f>
        <v/>
      </c>
      <c r="Q1534">
        <f>IF($AG1534="","",INDEX('TMP Paste'!$J$2:$J$1601,$AG1534))</f>
        <v/>
      </c>
      <c r="R1534">
        <f>IF($AG1534="","",Config!$B$24)</f>
        <v/>
      </c>
      <c r="S1534">
        <f>IF($AG1534="","",TEXT(Config!$B$4,"yyyy-mm-dd"))</f>
        <v/>
      </c>
      <c r="T1534">
        <f>IF($AG1534="","",Config!$B$17)</f>
        <v/>
      </c>
      <c r="U1534">
        <f>IF($AG1534="","",Config!$B$18)</f>
        <v/>
      </c>
      <c r="V1534">
        <f>IF($AG1534="","",Config!$B$19)</f>
        <v/>
      </c>
      <c r="W1534">
        <f>IF($AG1534="","",INDEX('TMP Paste'!$C$2:$C$1601,$AG1534))</f>
        <v/>
      </c>
      <c r="X1534">
        <f>IF($AG1534="","",Config!$B$29)</f>
        <v/>
      </c>
      <c r="Y1534">
        <f>IF($AH1534="","",INDEX(Calc!$I$2:$I$1601,$AH1534)&amp;" - "&amp;INDEX(Calc!$D$2:$D$1601,$AH1534)&amp;" koli")</f>
        <v/>
      </c>
      <c r="Z1534">
        <f>IF($AG1534="","",Config!$B$21)</f>
        <v/>
      </c>
      <c r="AA1534">
        <f>IF($AG1534="","",Config!$B$22)</f>
        <v/>
      </c>
      <c r="AB1534">
        <f>IF($AH1534="","",INDEX(Calc!$D$2:$D$1601,$AH1534))</f>
        <v/>
      </c>
      <c r="AC1534">
        <f>IF($AH1534="","",INDEX(Calc!$G$2:$G$1601,$AH1534))</f>
        <v/>
      </c>
      <c r="AD1534">
        <f>IF($AG1534="","",Config!$B$23)</f>
        <v/>
      </c>
      <c r="AE1534">
        <f>IF($AG1534="","",Config!$B$28)</f>
        <v/>
      </c>
      <c r="AG1534">
        <f>IFERROR(MATCH(ROW()-1,Calc!$J$2:$J$1601,0),"")</f>
        <v/>
      </c>
      <c r="AH1534">
        <f>IFERROR(MATCH(ROW()-1,Calc!$K$2:$K$1601,0),"")</f>
        <v/>
      </c>
      <c r="AQ1534">
        <f>IF($AG1534="","",TRIM(IF(COUNTIFS(Calc!$B$2:$B$1601,ROW()-1,Calc!$C$2:$C$1601,"&lt;1")&gt;0,"Ada PO tanpa Koli - cek TMP. ","")&amp;IF(LEN($R1534)&gt;500,"R &gt; 500 karakter.","")))</f>
        <v/>
      </c>
    </row>
    <row r="1535">
      <c r="A1535">
        <f>IF($AG1535="","",INDEX('TMP Paste'!$B$2:$B$1601,$AG1535))</f>
        <v/>
      </c>
      <c r="B1535">
        <f>IF($AG1535="","",Config!$B$14)</f>
        <v/>
      </c>
      <c r="C1535">
        <f>IF($AG1535="","",Config!$B$15)</f>
        <v/>
      </c>
      <c r="D1535">
        <f>IF($AG1535="","",INDEX('TMP Paste'!$B$2:$B$1601,$AG1535))</f>
        <v/>
      </c>
      <c r="E1535">
        <f>IF($AG1535="","",Config!$B$27)</f>
        <v/>
      </c>
      <c r="F1535">
        <f>IF($AG1535="","",Config!$B$9)</f>
        <v/>
      </c>
      <c r="G1535">
        <f>IF($AG1535="","",Config!$B$10)</f>
        <v/>
      </c>
      <c r="H1535">
        <f>IF($AG1535="","",Config!$B$11)</f>
        <v/>
      </c>
      <c r="I1535">
        <f>IF($AG1535="","",Config!$B$16)</f>
        <v/>
      </c>
      <c r="J1535">
        <f>IF($AG1535="","",INDEX('TMP Paste'!$A$2:$A$1601,$AG1535))</f>
        <v/>
      </c>
      <c r="K1535">
        <f>IF($AG1535="","",INDEX('TMP Paste'!$L$2:$L$1601,$AG1535))</f>
        <v/>
      </c>
      <c r="L1535">
        <f>IF($AG1535="","",INDEX('TMP Paste'!$I$2:$I$1601,$AG1535))</f>
        <v/>
      </c>
      <c r="M1535">
        <f>IF($AG1535="","",Config!$B$16)</f>
        <v/>
      </c>
      <c r="N1535">
        <f>IF($AG1535="","","")</f>
        <v/>
      </c>
      <c r="O1535">
        <f>IF($AG1535="","",INDEX('TMP Paste'!$K$2:$K$1601,$AG1535))</f>
        <v/>
      </c>
      <c r="P1535">
        <f>IF($AG1535="","","")</f>
        <v/>
      </c>
      <c r="Q1535">
        <f>IF($AG1535="","",INDEX('TMP Paste'!$J$2:$J$1601,$AG1535))</f>
        <v/>
      </c>
      <c r="R1535">
        <f>IF($AG1535="","",Config!$B$24)</f>
        <v/>
      </c>
      <c r="S1535">
        <f>IF($AG1535="","",TEXT(Config!$B$4,"yyyy-mm-dd"))</f>
        <v/>
      </c>
      <c r="T1535">
        <f>IF($AG1535="","",Config!$B$17)</f>
        <v/>
      </c>
      <c r="U1535">
        <f>IF($AG1535="","",Config!$B$18)</f>
        <v/>
      </c>
      <c r="V1535">
        <f>IF($AG1535="","",Config!$B$19)</f>
        <v/>
      </c>
      <c r="W1535">
        <f>IF($AG1535="","",INDEX('TMP Paste'!$C$2:$C$1601,$AG1535))</f>
        <v/>
      </c>
      <c r="X1535">
        <f>IF($AG1535="","",Config!$B$29)</f>
        <v/>
      </c>
      <c r="Y1535">
        <f>IF($AH1535="","",INDEX(Calc!$I$2:$I$1601,$AH1535)&amp;" - "&amp;INDEX(Calc!$D$2:$D$1601,$AH1535)&amp;" koli")</f>
        <v/>
      </c>
      <c r="Z1535">
        <f>IF($AG1535="","",Config!$B$21)</f>
        <v/>
      </c>
      <c r="AA1535">
        <f>IF($AG1535="","",Config!$B$22)</f>
        <v/>
      </c>
      <c r="AB1535">
        <f>IF($AH1535="","",INDEX(Calc!$D$2:$D$1601,$AH1535))</f>
        <v/>
      </c>
      <c r="AC1535">
        <f>IF($AH1535="","",INDEX(Calc!$G$2:$G$1601,$AH1535))</f>
        <v/>
      </c>
      <c r="AD1535">
        <f>IF($AG1535="","",Config!$B$23)</f>
        <v/>
      </c>
      <c r="AE1535">
        <f>IF($AG1535="","",Config!$B$28)</f>
        <v/>
      </c>
      <c r="AG1535">
        <f>IFERROR(MATCH(ROW()-1,Calc!$J$2:$J$1601,0),"")</f>
        <v/>
      </c>
      <c r="AH1535">
        <f>IFERROR(MATCH(ROW()-1,Calc!$K$2:$K$1601,0),"")</f>
        <v/>
      </c>
      <c r="AQ1535">
        <f>IF($AG1535="","",TRIM(IF(COUNTIFS(Calc!$B$2:$B$1601,ROW()-1,Calc!$C$2:$C$1601,"&lt;1")&gt;0,"Ada PO tanpa Koli - cek TMP. ","")&amp;IF(LEN($R1535)&gt;500,"R &gt; 500 karakter.","")))</f>
        <v/>
      </c>
    </row>
    <row r="1536">
      <c r="A1536">
        <f>IF($AG1536="","",INDEX('TMP Paste'!$B$2:$B$1601,$AG1536))</f>
        <v/>
      </c>
      <c r="B1536">
        <f>IF($AG1536="","",Config!$B$14)</f>
        <v/>
      </c>
      <c r="C1536">
        <f>IF($AG1536="","",Config!$B$15)</f>
        <v/>
      </c>
      <c r="D1536">
        <f>IF($AG1536="","",INDEX('TMP Paste'!$B$2:$B$1601,$AG1536))</f>
        <v/>
      </c>
      <c r="E1536">
        <f>IF($AG1536="","",Config!$B$27)</f>
        <v/>
      </c>
      <c r="F1536">
        <f>IF($AG1536="","",Config!$B$9)</f>
        <v/>
      </c>
      <c r="G1536">
        <f>IF($AG1536="","",Config!$B$10)</f>
        <v/>
      </c>
      <c r="H1536">
        <f>IF($AG1536="","",Config!$B$11)</f>
        <v/>
      </c>
      <c r="I1536">
        <f>IF($AG1536="","",Config!$B$16)</f>
        <v/>
      </c>
      <c r="J1536">
        <f>IF($AG1536="","",INDEX('TMP Paste'!$A$2:$A$1601,$AG1536))</f>
        <v/>
      </c>
      <c r="K1536">
        <f>IF($AG1536="","",INDEX('TMP Paste'!$L$2:$L$1601,$AG1536))</f>
        <v/>
      </c>
      <c r="L1536">
        <f>IF($AG1536="","",INDEX('TMP Paste'!$I$2:$I$1601,$AG1536))</f>
        <v/>
      </c>
      <c r="M1536">
        <f>IF($AG1536="","",Config!$B$16)</f>
        <v/>
      </c>
      <c r="N1536">
        <f>IF($AG1536="","","")</f>
        <v/>
      </c>
      <c r="O1536">
        <f>IF($AG1536="","",INDEX('TMP Paste'!$K$2:$K$1601,$AG1536))</f>
        <v/>
      </c>
      <c r="P1536">
        <f>IF($AG1536="","","")</f>
        <v/>
      </c>
      <c r="Q1536">
        <f>IF($AG1536="","",INDEX('TMP Paste'!$J$2:$J$1601,$AG1536))</f>
        <v/>
      </c>
      <c r="R1536">
        <f>IF($AG1536="","",Config!$B$24)</f>
        <v/>
      </c>
      <c r="S1536">
        <f>IF($AG1536="","",TEXT(Config!$B$4,"yyyy-mm-dd"))</f>
        <v/>
      </c>
      <c r="T1536">
        <f>IF($AG1536="","",Config!$B$17)</f>
        <v/>
      </c>
      <c r="U1536">
        <f>IF($AG1536="","",Config!$B$18)</f>
        <v/>
      </c>
      <c r="V1536">
        <f>IF($AG1536="","",Config!$B$19)</f>
        <v/>
      </c>
      <c r="W1536">
        <f>IF($AG1536="","",INDEX('TMP Paste'!$C$2:$C$1601,$AG1536))</f>
        <v/>
      </c>
      <c r="X1536">
        <f>IF($AG1536="","",Config!$B$29)</f>
        <v/>
      </c>
      <c r="Y1536">
        <f>IF($AH1536="","",INDEX(Calc!$I$2:$I$1601,$AH1536)&amp;" - "&amp;INDEX(Calc!$D$2:$D$1601,$AH1536)&amp;" koli")</f>
        <v/>
      </c>
      <c r="Z1536">
        <f>IF($AG1536="","",Config!$B$21)</f>
        <v/>
      </c>
      <c r="AA1536">
        <f>IF($AG1536="","",Config!$B$22)</f>
        <v/>
      </c>
      <c r="AB1536">
        <f>IF($AH1536="","",INDEX(Calc!$D$2:$D$1601,$AH1536))</f>
        <v/>
      </c>
      <c r="AC1536">
        <f>IF($AH1536="","",INDEX(Calc!$G$2:$G$1601,$AH1536))</f>
        <v/>
      </c>
      <c r="AD1536">
        <f>IF($AG1536="","",Config!$B$23)</f>
        <v/>
      </c>
      <c r="AE1536">
        <f>IF($AG1536="","",Config!$B$28)</f>
        <v/>
      </c>
      <c r="AG1536">
        <f>IFERROR(MATCH(ROW()-1,Calc!$J$2:$J$1601,0),"")</f>
        <v/>
      </c>
      <c r="AH1536">
        <f>IFERROR(MATCH(ROW()-1,Calc!$K$2:$K$1601,0),"")</f>
        <v/>
      </c>
      <c r="AQ1536">
        <f>IF($AG1536="","",TRIM(IF(COUNTIFS(Calc!$B$2:$B$1601,ROW()-1,Calc!$C$2:$C$1601,"&lt;1")&gt;0,"Ada PO tanpa Koli - cek TMP. ","")&amp;IF(LEN($R1536)&gt;500,"R &gt; 500 karakter.","")))</f>
        <v/>
      </c>
    </row>
    <row r="1537">
      <c r="A1537">
        <f>IF($AG1537="","",INDEX('TMP Paste'!$B$2:$B$1601,$AG1537))</f>
        <v/>
      </c>
      <c r="B1537">
        <f>IF($AG1537="","",Config!$B$14)</f>
        <v/>
      </c>
      <c r="C1537">
        <f>IF($AG1537="","",Config!$B$15)</f>
        <v/>
      </c>
      <c r="D1537">
        <f>IF($AG1537="","",INDEX('TMP Paste'!$B$2:$B$1601,$AG1537))</f>
        <v/>
      </c>
      <c r="E1537">
        <f>IF($AG1537="","",Config!$B$27)</f>
        <v/>
      </c>
      <c r="F1537">
        <f>IF($AG1537="","",Config!$B$9)</f>
        <v/>
      </c>
      <c r="G1537">
        <f>IF($AG1537="","",Config!$B$10)</f>
        <v/>
      </c>
      <c r="H1537">
        <f>IF($AG1537="","",Config!$B$11)</f>
        <v/>
      </c>
      <c r="I1537">
        <f>IF($AG1537="","",Config!$B$16)</f>
        <v/>
      </c>
      <c r="J1537">
        <f>IF($AG1537="","",INDEX('TMP Paste'!$A$2:$A$1601,$AG1537))</f>
        <v/>
      </c>
      <c r="K1537">
        <f>IF($AG1537="","",INDEX('TMP Paste'!$L$2:$L$1601,$AG1537))</f>
        <v/>
      </c>
      <c r="L1537">
        <f>IF($AG1537="","",INDEX('TMP Paste'!$I$2:$I$1601,$AG1537))</f>
        <v/>
      </c>
      <c r="M1537">
        <f>IF($AG1537="","",Config!$B$16)</f>
        <v/>
      </c>
      <c r="N1537">
        <f>IF($AG1537="","","")</f>
        <v/>
      </c>
      <c r="O1537">
        <f>IF($AG1537="","",INDEX('TMP Paste'!$K$2:$K$1601,$AG1537))</f>
        <v/>
      </c>
      <c r="P1537">
        <f>IF($AG1537="","","")</f>
        <v/>
      </c>
      <c r="Q1537">
        <f>IF($AG1537="","",INDEX('TMP Paste'!$J$2:$J$1601,$AG1537))</f>
        <v/>
      </c>
      <c r="R1537">
        <f>IF($AG1537="","",Config!$B$24)</f>
        <v/>
      </c>
      <c r="S1537">
        <f>IF($AG1537="","",TEXT(Config!$B$4,"yyyy-mm-dd"))</f>
        <v/>
      </c>
      <c r="T1537">
        <f>IF($AG1537="","",Config!$B$17)</f>
        <v/>
      </c>
      <c r="U1537">
        <f>IF($AG1537="","",Config!$B$18)</f>
        <v/>
      </c>
      <c r="V1537">
        <f>IF($AG1537="","",Config!$B$19)</f>
        <v/>
      </c>
      <c r="W1537">
        <f>IF($AG1537="","",INDEX('TMP Paste'!$C$2:$C$1601,$AG1537))</f>
        <v/>
      </c>
      <c r="X1537">
        <f>IF($AG1537="","",Config!$B$29)</f>
        <v/>
      </c>
      <c r="Y1537">
        <f>IF($AH1537="","",INDEX(Calc!$I$2:$I$1601,$AH1537)&amp;" - "&amp;INDEX(Calc!$D$2:$D$1601,$AH1537)&amp;" koli")</f>
        <v/>
      </c>
      <c r="Z1537">
        <f>IF($AG1537="","",Config!$B$21)</f>
        <v/>
      </c>
      <c r="AA1537">
        <f>IF($AG1537="","",Config!$B$22)</f>
        <v/>
      </c>
      <c r="AB1537">
        <f>IF($AH1537="","",INDEX(Calc!$D$2:$D$1601,$AH1537))</f>
        <v/>
      </c>
      <c r="AC1537">
        <f>IF($AH1537="","",INDEX(Calc!$G$2:$G$1601,$AH1537))</f>
        <v/>
      </c>
      <c r="AD1537">
        <f>IF($AG1537="","",Config!$B$23)</f>
        <v/>
      </c>
      <c r="AE1537">
        <f>IF($AG1537="","",Config!$B$28)</f>
        <v/>
      </c>
      <c r="AG1537">
        <f>IFERROR(MATCH(ROW()-1,Calc!$J$2:$J$1601,0),"")</f>
        <v/>
      </c>
      <c r="AH1537">
        <f>IFERROR(MATCH(ROW()-1,Calc!$K$2:$K$1601,0),"")</f>
        <v/>
      </c>
      <c r="AQ1537">
        <f>IF($AG1537="","",TRIM(IF(COUNTIFS(Calc!$B$2:$B$1601,ROW()-1,Calc!$C$2:$C$1601,"&lt;1")&gt;0,"Ada PO tanpa Koli - cek TMP. ","")&amp;IF(LEN($R1537)&gt;500,"R &gt; 500 karakter.","")))</f>
        <v/>
      </c>
    </row>
    <row r="1538">
      <c r="A1538">
        <f>IF($AG1538="","",INDEX('TMP Paste'!$B$2:$B$1601,$AG1538))</f>
        <v/>
      </c>
      <c r="B1538">
        <f>IF($AG1538="","",Config!$B$14)</f>
        <v/>
      </c>
      <c r="C1538">
        <f>IF($AG1538="","",Config!$B$15)</f>
        <v/>
      </c>
      <c r="D1538">
        <f>IF($AG1538="","",INDEX('TMP Paste'!$B$2:$B$1601,$AG1538))</f>
        <v/>
      </c>
      <c r="E1538">
        <f>IF($AG1538="","",Config!$B$27)</f>
        <v/>
      </c>
      <c r="F1538">
        <f>IF($AG1538="","",Config!$B$9)</f>
        <v/>
      </c>
      <c r="G1538">
        <f>IF($AG1538="","",Config!$B$10)</f>
        <v/>
      </c>
      <c r="H1538">
        <f>IF($AG1538="","",Config!$B$11)</f>
        <v/>
      </c>
      <c r="I1538">
        <f>IF($AG1538="","",Config!$B$16)</f>
        <v/>
      </c>
      <c r="J1538">
        <f>IF($AG1538="","",INDEX('TMP Paste'!$A$2:$A$1601,$AG1538))</f>
        <v/>
      </c>
      <c r="K1538">
        <f>IF($AG1538="","",INDEX('TMP Paste'!$L$2:$L$1601,$AG1538))</f>
        <v/>
      </c>
      <c r="L1538">
        <f>IF($AG1538="","",INDEX('TMP Paste'!$I$2:$I$1601,$AG1538))</f>
        <v/>
      </c>
      <c r="M1538">
        <f>IF($AG1538="","",Config!$B$16)</f>
        <v/>
      </c>
      <c r="N1538">
        <f>IF($AG1538="","","")</f>
        <v/>
      </c>
      <c r="O1538">
        <f>IF($AG1538="","",INDEX('TMP Paste'!$K$2:$K$1601,$AG1538))</f>
        <v/>
      </c>
      <c r="P1538">
        <f>IF($AG1538="","","")</f>
        <v/>
      </c>
      <c r="Q1538">
        <f>IF($AG1538="","",INDEX('TMP Paste'!$J$2:$J$1601,$AG1538))</f>
        <v/>
      </c>
      <c r="R1538">
        <f>IF($AG1538="","",Config!$B$24)</f>
        <v/>
      </c>
      <c r="S1538">
        <f>IF($AG1538="","",TEXT(Config!$B$4,"yyyy-mm-dd"))</f>
        <v/>
      </c>
      <c r="T1538">
        <f>IF($AG1538="","",Config!$B$17)</f>
        <v/>
      </c>
      <c r="U1538">
        <f>IF($AG1538="","",Config!$B$18)</f>
        <v/>
      </c>
      <c r="V1538">
        <f>IF($AG1538="","",Config!$B$19)</f>
        <v/>
      </c>
      <c r="W1538">
        <f>IF($AG1538="","",INDEX('TMP Paste'!$C$2:$C$1601,$AG1538))</f>
        <v/>
      </c>
      <c r="X1538">
        <f>IF($AG1538="","",Config!$B$29)</f>
        <v/>
      </c>
      <c r="Y1538">
        <f>IF($AH1538="","",INDEX(Calc!$I$2:$I$1601,$AH1538)&amp;" - "&amp;INDEX(Calc!$D$2:$D$1601,$AH1538)&amp;" koli")</f>
        <v/>
      </c>
      <c r="Z1538">
        <f>IF($AG1538="","",Config!$B$21)</f>
        <v/>
      </c>
      <c r="AA1538">
        <f>IF($AG1538="","",Config!$B$22)</f>
        <v/>
      </c>
      <c r="AB1538">
        <f>IF($AH1538="","",INDEX(Calc!$D$2:$D$1601,$AH1538))</f>
        <v/>
      </c>
      <c r="AC1538">
        <f>IF($AH1538="","",INDEX(Calc!$G$2:$G$1601,$AH1538))</f>
        <v/>
      </c>
      <c r="AD1538">
        <f>IF($AG1538="","",Config!$B$23)</f>
        <v/>
      </c>
      <c r="AE1538">
        <f>IF($AG1538="","",Config!$B$28)</f>
        <v/>
      </c>
      <c r="AG1538">
        <f>IFERROR(MATCH(ROW()-1,Calc!$J$2:$J$1601,0),"")</f>
        <v/>
      </c>
      <c r="AH1538">
        <f>IFERROR(MATCH(ROW()-1,Calc!$K$2:$K$1601,0),"")</f>
        <v/>
      </c>
      <c r="AQ1538">
        <f>IF($AG1538="","",TRIM(IF(COUNTIFS(Calc!$B$2:$B$1601,ROW()-1,Calc!$C$2:$C$1601,"&lt;1")&gt;0,"Ada PO tanpa Koli - cek TMP. ","")&amp;IF(LEN($R1538)&gt;500,"R &gt; 500 karakter.","")))</f>
        <v/>
      </c>
    </row>
    <row r="1539">
      <c r="A1539">
        <f>IF($AG1539="","",INDEX('TMP Paste'!$B$2:$B$1601,$AG1539))</f>
        <v/>
      </c>
      <c r="B1539">
        <f>IF($AG1539="","",Config!$B$14)</f>
        <v/>
      </c>
      <c r="C1539">
        <f>IF($AG1539="","",Config!$B$15)</f>
        <v/>
      </c>
      <c r="D1539">
        <f>IF($AG1539="","",INDEX('TMP Paste'!$B$2:$B$1601,$AG1539))</f>
        <v/>
      </c>
      <c r="E1539">
        <f>IF($AG1539="","",Config!$B$27)</f>
        <v/>
      </c>
      <c r="F1539">
        <f>IF($AG1539="","",Config!$B$9)</f>
        <v/>
      </c>
      <c r="G1539">
        <f>IF($AG1539="","",Config!$B$10)</f>
        <v/>
      </c>
      <c r="H1539">
        <f>IF($AG1539="","",Config!$B$11)</f>
        <v/>
      </c>
      <c r="I1539">
        <f>IF($AG1539="","",Config!$B$16)</f>
        <v/>
      </c>
      <c r="J1539">
        <f>IF($AG1539="","",INDEX('TMP Paste'!$A$2:$A$1601,$AG1539))</f>
        <v/>
      </c>
      <c r="K1539">
        <f>IF($AG1539="","",INDEX('TMP Paste'!$L$2:$L$1601,$AG1539))</f>
        <v/>
      </c>
      <c r="L1539">
        <f>IF($AG1539="","",INDEX('TMP Paste'!$I$2:$I$1601,$AG1539))</f>
        <v/>
      </c>
      <c r="M1539">
        <f>IF($AG1539="","",Config!$B$16)</f>
        <v/>
      </c>
      <c r="N1539">
        <f>IF($AG1539="","","")</f>
        <v/>
      </c>
      <c r="O1539">
        <f>IF($AG1539="","",INDEX('TMP Paste'!$K$2:$K$1601,$AG1539))</f>
        <v/>
      </c>
      <c r="P1539">
        <f>IF($AG1539="","","")</f>
        <v/>
      </c>
      <c r="Q1539">
        <f>IF($AG1539="","",INDEX('TMP Paste'!$J$2:$J$1601,$AG1539))</f>
        <v/>
      </c>
      <c r="R1539">
        <f>IF($AG1539="","",Config!$B$24)</f>
        <v/>
      </c>
      <c r="S1539">
        <f>IF($AG1539="","",TEXT(Config!$B$4,"yyyy-mm-dd"))</f>
        <v/>
      </c>
      <c r="T1539">
        <f>IF($AG1539="","",Config!$B$17)</f>
        <v/>
      </c>
      <c r="U1539">
        <f>IF($AG1539="","",Config!$B$18)</f>
        <v/>
      </c>
      <c r="V1539">
        <f>IF($AG1539="","",Config!$B$19)</f>
        <v/>
      </c>
      <c r="W1539">
        <f>IF($AG1539="","",INDEX('TMP Paste'!$C$2:$C$1601,$AG1539))</f>
        <v/>
      </c>
      <c r="X1539">
        <f>IF($AG1539="","",Config!$B$29)</f>
        <v/>
      </c>
      <c r="Y1539">
        <f>IF($AH1539="","",INDEX(Calc!$I$2:$I$1601,$AH1539)&amp;" - "&amp;INDEX(Calc!$D$2:$D$1601,$AH1539)&amp;" koli")</f>
        <v/>
      </c>
      <c r="Z1539">
        <f>IF($AG1539="","",Config!$B$21)</f>
        <v/>
      </c>
      <c r="AA1539">
        <f>IF($AG1539="","",Config!$B$22)</f>
        <v/>
      </c>
      <c r="AB1539">
        <f>IF($AH1539="","",INDEX(Calc!$D$2:$D$1601,$AH1539))</f>
        <v/>
      </c>
      <c r="AC1539">
        <f>IF($AH1539="","",INDEX(Calc!$G$2:$G$1601,$AH1539))</f>
        <v/>
      </c>
      <c r="AD1539">
        <f>IF($AG1539="","",Config!$B$23)</f>
        <v/>
      </c>
      <c r="AE1539">
        <f>IF($AG1539="","",Config!$B$28)</f>
        <v/>
      </c>
      <c r="AG1539">
        <f>IFERROR(MATCH(ROW()-1,Calc!$J$2:$J$1601,0),"")</f>
        <v/>
      </c>
      <c r="AH1539">
        <f>IFERROR(MATCH(ROW()-1,Calc!$K$2:$K$1601,0),"")</f>
        <v/>
      </c>
      <c r="AQ1539">
        <f>IF($AG1539="","",TRIM(IF(COUNTIFS(Calc!$B$2:$B$1601,ROW()-1,Calc!$C$2:$C$1601,"&lt;1")&gt;0,"Ada PO tanpa Koli - cek TMP. ","")&amp;IF(LEN($R1539)&gt;500,"R &gt; 500 karakter.","")))</f>
        <v/>
      </c>
    </row>
    <row r="1540">
      <c r="A1540">
        <f>IF($AG1540="","",INDEX('TMP Paste'!$B$2:$B$1601,$AG1540))</f>
        <v/>
      </c>
      <c r="B1540">
        <f>IF($AG1540="","",Config!$B$14)</f>
        <v/>
      </c>
      <c r="C1540">
        <f>IF($AG1540="","",Config!$B$15)</f>
        <v/>
      </c>
      <c r="D1540">
        <f>IF($AG1540="","",INDEX('TMP Paste'!$B$2:$B$1601,$AG1540))</f>
        <v/>
      </c>
      <c r="E1540">
        <f>IF($AG1540="","",Config!$B$27)</f>
        <v/>
      </c>
      <c r="F1540">
        <f>IF($AG1540="","",Config!$B$9)</f>
        <v/>
      </c>
      <c r="G1540">
        <f>IF($AG1540="","",Config!$B$10)</f>
        <v/>
      </c>
      <c r="H1540">
        <f>IF($AG1540="","",Config!$B$11)</f>
        <v/>
      </c>
      <c r="I1540">
        <f>IF($AG1540="","",Config!$B$16)</f>
        <v/>
      </c>
      <c r="J1540">
        <f>IF($AG1540="","",INDEX('TMP Paste'!$A$2:$A$1601,$AG1540))</f>
        <v/>
      </c>
      <c r="K1540">
        <f>IF($AG1540="","",INDEX('TMP Paste'!$L$2:$L$1601,$AG1540))</f>
        <v/>
      </c>
      <c r="L1540">
        <f>IF($AG1540="","",INDEX('TMP Paste'!$I$2:$I$1601,$AG1540))</f>
        <v/>
      </c>
      <c r="M1540">
        <f>IF($AG1540="","",Config!$B$16)</f>
        <v/>
      </c>
      <c r="N1540">
        <f>IF($AG1540="","","")</f>
        <v/>
      </c>
      <c r="O1540">
        <f>IF($AG1540="","",INDEX('TMP Paste'!$K$2:$K$1601,$AG1540))</f>
        <v/>
      </c>
      <c r="P1540">
        <f>IF($AG1540="","","")</f>
        <v/>
      </c>
      <c r="Q1540">
        <f>IF($AG1540="","",INDEX('TMP Paste'!$J$2:$J$1601,$AG1540))</f>
        <v/>
      </c>
      <c r="R1540">
        <f>IF($AG1540="","",Config!$B$24)</f>
        <v/>
      </c>
      <c r="S1540">
        <f>IF($AG1540="","",TEXT(Config!$B$4,"yyyy-mm-dd"))</f>
        <v/>
      </c>
      <c r="T1540">
        <f>IF($AG1540="","",Config!$B$17)</f>
        <v/>
      </c>
      <c r="U1540">
        <f>IF($AG1540="","",Config!$B$18)</f>
        <v/>
      </c>
      <c r="V1540">
        <f>IF($AG1540="","",Config!$B$19)</f>
        <v/>
      </c>
      <c r="W1540">
        <f>IF($AG1540="","",INDEX('TMP Paste'!$C$2:$C$1601,$AG1540))</f>
        <v/>
      </c>
      <c r="X1540">
        <f>IF($AG1540="","",Config!$B$29)</f>
        <v/>
      </c>
      <c r="Y1540">
        <f>IF($AH1540="","",INDEX(Calc!$I$2:$I$1601,$AH1540)&amp;" - "&amp;INDEX(Calc!$D$2:$D$1601,$AH1540)&amp;" koli")</f>
        <v/>
      </c>
      <c r="Z1540">
        <f>IF($AG1540="","",Config!$B$21)</f>
        <v/>
      </c>
      <c r="AA1540">
        <f>IF($AG1540="","",Config!$B$22)</f>
        <v/>
      </c>
      <c r="AB1540">
        <f>IF($AH1540="","",INDEX(Calc!$D$2:$D$1601,$AH1540))</f>
        <v/>
      </c>
      <c r="AC1540">
        <f>IF($AH1540="","",INDEX(Calc!$G$2:$G$1601,$AH1540))</f>
        <v/>
      </c>
      <c r="AD1540">
        <f>IF($AG1540="","",Config!$B$23)</f>
        <v/>
      </c>
      <c r="AE1540">
        <f>IF($AG1540="","",Config!$B$28)</f>
        <v/>
      </c>
      <c r="AG1540">
        <f>IFERROR(MATCH(ROW()-1,Calc!$J$2:$J$1601,0),"")</f>
        <v/>
      </c>
      <c r="AH1540">
        <f>IFERROR(MATCH(ROW()-1,Calc!$K$2:$K$1601,0),"")</f>
        <v/>
      </c>
      <c r="AQ1540">
        <f>IF($AG1540="","",TRIM(IF(COUNTIFS(Calc!$B$2:$B$1601,ROW()-1,Calc!$C$2:$C$1601,"&lt;1")&gt;0,"Ada PO tanpa Koli - cek TMP. ","")&amp;IF(LEN($R1540)&gt;500,"R &gt; 500 karakter.","")))</f>
        <v/>
      </c>
    </row>
    <row r="1541">
      <c r="A1541">
        <f>IF($AG1541="","",INDEX('TMP Paste'!$B$2:$B$1601,$AG1541))</f>
        <v/>
      </c>
      <c r="B1541">
        <f>IF($AG1541="","",Config!$B$14)</f>
        <v/>
      </c>
      <c r="C1541">
        <f>IF($AG1541="","",Config!$B$15)</f>
        <v/>
      </c>
      <c r="D1541">
        <f>IF($AG1541="","",INDEX('TMP Paste'!$B$2:$B$1601,$AG1541))</f>
        <v/>
      </c>
      <c r="E1541">
        <f>IF($AG1541="","",Config!$B$27)</f>
        <v/>
      </c>
      <c r="F1541">
        <f>IF($AG1541="","",Config!$B$9)</f>
        <v/>
      </c>
      <c r="G1541">
        <f>IF($AG1541="","",Config!$B$10)</f>
        <v/>
      </c>
      <c r="H1541">
        <f>IF($AG1541="","",Config!$B$11)</f>
        <v/>
      </c>
      <c r="I1541">
        <f>IF($AG1541="","",Config!$B$16)</f>
        <v/>
      </c>
      <c r="J1541">
        <f>IF($AG1541="","",INDEX('TMP Paste'!$A$2:$A$1601,$AG1541))</f>
        <v/>
      </c>
      <c r="K1541">
        <f>IF($AG1541="","",INDEX('TMP Paste'!$L$2:$L$1601,$AG1541))</f>
        <v/>
      </c>
      <c r="L1541">
        <f>IF($AG1541="","",INDEX('TMP Paste'!$I$2:$I$1601,$AG1541))</f>
        <v/>
      </c>
      <c r="M1541">
        <f>IF($AG1541="","",Config!$B$16)</f>
        <v/>
      </c>
      <c r="N1541">
        <f>IF($AG1541="","","")</f>
        <v/>
      </c>
      <c r="O1541">
        <f>IF($AG1541="","",INDEX('TMP Paste'!$K$2:$K$1601,$AG1541))</f>
        <v/>
      </c>
      <c r="P1541">
        <f>IF($AG1541="","","")</f>
        <v/>
      </c>
      <c r="Q1541">
        <f>IF($AG1541="","",INDEX('TMP Paste'!$J$2:$J$1601,$AG1541))</f>
        <v/>
      </c>
      <c r="R1541">
        <f>IF($AG1541="","",Config!$B$24)</f>
        <v/>
      </c>
      <c r="S1541">
        <f>IF($AG1541="","",TEXT(Config!$B$4,"yyyy-mm-dd"))</f>
        <v/>
      </c>
      <c r="T1541">
        <f>IF($AG1541="","",Config!$B$17)</f>
        <v/>
      </c>
      <c r="U1541">
        <f>IF($AG1541="","",Config!$B$18)</f>
        <v/>
      </c>
      <c r="V1541">
        <f>IF($AG1541="","",Config!$B$19)</f>
        <v/>
      </c>
      <c r="W1541">
        <f>IF($AG1541="","",INDEX('TMP Paste'!$C$2:$C$1601,$AG1541))</f>
        <v/>
      </c>
      <c r="X1541">
        <f>IF($AG1541="","",Config!$B$29)</f>
        <v/>
      </c>
      <c r="Y1541">
        <f>IF($AH1541="","",INDEX(Calc!$I$2:$I$1601,$AH1541)&amp;" - "&amp;INDEX(Calc!$D$2:$D$1601,$AH1541)&amp;" koli")</f>
        <v/>
      </c>
      <c r="Z1541">
        <f>IF($AG1541="","",Config!$B$21)</f>
        <v/>
      </c>
      <c r="AA1541">
        <f>IF($AG1541="","",Config!$B$22)</f>
        <v/>
      </c>
      <c r="AB1541">
        <f>IF($AH1541="","",INDEX(Calc!$D$2:$D$1601,$AH1541))</f>
        <v/>
      </c>
      <c r="AC1541">
        <f>IF($AH1541="","",INDEX(Calc!$G$2:$G$1601,$AH1541))</f>
        <v/>
      </c>
      <c r="AD1541">
        <f>IF($AG1541="","",Config!$B$23)</f>
        <v/>
      </c>
      <c r="AE1541">
        <f>IF($AG1541="","",Config!$B$28)</f>
        <v/>
      </c>
      <c r="AG1541">
        <f>IFERROR(MATCH(ROW()-1,Calc!$J$2:$J$1601,0),"")</f>
        <v/>
      </c>
      <c r="AH1541">
        <f>IFERROR(MATCH(ROW()-1,Calc!$K$2:$K$1601,0),"")</f>
        <v/>
      </c>
      <c r="AQ1541">
        <f>IF($AG1541="","",TRIM(IF(COUNTIFS(Calc!$B$2:$B$1601,ROW()-1,Calc!$C$2:$C$1601,"&lt;1")&gt;0,"Ada PO tanpa Koli - cek TMP. ","")&amp;IF(LEN($R1541)&gt;500,"R &gt; 500 karakter.","")))</f>
        <v/>
      </c>
    </row>
    <row r="1542">
      <c r="A1542">
        <f>IF($AG1542="","",INDEX('TMP Paste'!$B$2:$B$1601,$AG1542))</f>
        <v/>
      </c>
      <c r="B1542">
        <f>IF($AG1542="","",Config!$B$14)</f>
        <v/>
      </c>
      <c r="C1542">
        <f>IF($AG1542="","",Config!$B$15)</f>
        <v/>
      </c>
      <c r="D1542">
        <f>IF($AG1542="","",INDEX('TMP Paste'!$B$2:$B$1601,$AG1542))</f>
        <v/>
      </c>
      <c r="E1542">
        <f>IF($AG1542="","",Config!$B$27)</f>
        <v/>
      </c>
      <c r="F1542">
        <f>IF($AG1542="","",Config!$B$9)</f>
        <v/>
      </c>
      <c r="G1542">
        <f>IF($AG1542="","",Config!$B$10)</f>
        <v/>
      </c>
      <c r="H1542">
        <f>IF($AG1542="","",Config!$B$11)</f>
        <v/>
      </c>
      <c r="I1542">
        <f>IF($AG1542="","",Config!$B$16)</f>
        <v/>
      </c>
      <c r="J1542">
        <f>IF($AG1542="","",INDEX('TMP Paste'!$A$2:$A$1601,$AG1542))</f>
        <v/>
      </c>
      <c r="K1542">
        <f>IF($AG1542="","",INDEX('TMP Paste'!$L$2:$L$1601,$AG1542))</f>
        <v/>
      </c>
      <c r="L1542">
        <f>IF($AG1542="","",INDEX('TMP Paste'!$I$2:$I$1601,$AG1542))</f>
        <v/>
      </c>
      <c r="M1542">
        <f>IF($AG1542="","",Config!$B$16)</f>
        <v/>
      </c>
      <c r="N1542">
        <f>IF($AG1542="","","")</f>
        <v/>
      </c>
      <c r="O1542">
        <f>IF($AG1542="","",INDEX('TMP Paste'!$K$2:$K$1601,$AG1542))</f>
        <v/>
      </c>
      <c r="P1542">
        <f>IF($AG1542="","","")</f>
        <v/>
      </c>
      <c r="Q1542">
        <f>IF($AG1542="","",INDEX('TMP Paste'!$J$2:$J$1601,$AG1542))</f>
        <v/>
      </c>
      <c r="R1542">
        <f>IF($AG1542="","",Config!$B$24)</f>
        <v/>
      </c>
      <c r="S1542">
        <f>IF($AG1542="","",TEXT(Config!$B$4,"yyyy-mm-dd"))</f>
        <v/>
      </c>
      <c r="T1542">
        <f>IF($AG1542="","",Config!$B$17)</f>
        <v/>
      </c>
      <c r="U1542">
        <f>IF($AG1542="","",Config!$B$18)</f>
        <v/>
      </c>
      <c r="V1542">
        <f>IF($AG1542="","",Config!$B$19)</f>
        <v/>
      </c>
      <c r="W1542">
        <f>IF($AG1542="","",INDEX('TMP Paste'!$C$2:$C$1601,$AG1542))</f>
        <v/>
      </c>
      <c r="X1542">
        <f>IF($AG1542="","",Config!$B$29)</f>
        <v/>
      </c>
      <c r="Y1542">
        <f>IF($AH1542="","",INDEX(Calc!$I$2:$I$1601,$AH1542)&amp;" - "&amp;INDEX(Calc!$D$2:$D$1601,$AH1542)&amp;" koli")</f>
        <v/>
      </c>
      <c r="Z1542">
        <f>IF($AG1542="","",Config!$B$21)</f>
        <v/>
      </c>
      <c r="AA1542">
        <f>IF($AG1542="","",Config!$B$22)</f>
        <v/>
      </c>
      <c r="AB1542">
        <f>IF($AH1542="","",INDEX(Calc!$D$2:$D$1601,$AH1542))</f>
        <v/>
      </c>
      <c r="AC1542">
        <f>IF($AH1542="","",INDEX(Calc!$G$2:$G$1601,$AH1542))</f>
        <v/>
      </c>
      <c r="AD1542">
        <f>IF($AG1542="","",Config!$B$23)</f>
        <v/>
      </c>
      <c r="AE1542">
        <f>IF($AG1542="","",Config!$B$28)</f>
        <v/>
      </c>
      <c r="AG1542">
        <f>IFERROR(MATCH(ROW()-1,Calc!$J$2:$J$1601,0),"")</f>
        <v/>
      </c>
      <c r="AH1542">
        <f>IFERROR(MATCH(ROW()-1,Calc!$K$2:$K$1601,0),"")</f>
        <v/>
      </c>
      <c r="AQ1542">
        <f>IF($AG1542="","",TRIM(IF(COUNTIFS(Calc!$B$2:$B$1601,ROW()-1,Calc!$C$2:$C$1601,"&lt;1")&gt;0,"Ada PO tanpa Koli - cek TMP. ","")&amp;IF(LEN($R1542)&gt;500,"R &gt; 500 karakter.","")))</f>
        <v/>
      </c>
    </row>
    <row r="1543">
      <c r="A1543">
        <f>IF($AG1543="","",INDEX('TMP Paste'!$B$2:$B$1601,$AG1543))</f>
        <v/>
      </c>
      <c r="B1543">
        <f>IF($AG1543="","",Config!$B$14)</f>
        <v/>
      </c>
      <c r="C1543">
        <f>IF($AG1543="","",Config!$B$15)</f>
        <v/>
      </c>
      <c r="D1543">
        <f>IF($AG1543="","",INDEX('TMP Paste'!$B$2:$B$1601,$AG1543))</f>
        <v/>
      </c>
      <c r="E1543">
        <f>IF($AG1543="","",Config!$B$27)</f>
        <v/>
      </c>
      <c r="F1543">
        <f>IF($AG1543="","",Config!$B$9)</f>
        <v/>
      </c>
      <c r="G1543">
        <f>IF($AG1543="","",Config!$B$10)</f>
        <v/>
      </c>
      <c r="H1543">
        <f>IF($AG1543="","",Config!$B$11)</f>
        <v/>
      </c>
      <c r="I1543">
        <f>IF($AG1543="","",Config!$B$16)</f>
        <v/>
      </c>
      <c r="J1543">
        <f>IF($AG1543="","",INDEX('TMP Paste'!$A$2:$A$1601,$AG1543))</f>
        <v/>
      </c>
      <c r="K1543">
        <f>IF($AG1543="","",INDEX('TMP Paste'!$L$2:$L$1601,$AG1543))</f>
        <v/>
      </c>
      <c r="L1543">
        <f>IF($AG1543="","",INDEX('TMP Paste'!$I$2:$I$1601,$AG1543))</f>
        <v/>
      </c>
      <c r="M1543">
        <f>IF($AG1543="","",Config!$B$16)</f>
        <v/>
      </c>
      <c r="N1543">
        <f>IF($AG1543="","","")</f>
        <v/>
      </c>
      <c r="O1543">
        <f>IF($AG1543="","",INDEX('TMP Paste'!$K$2:$K$1601,$AG1543))</f>
        <v/>
      </c>
      <c r="P1543">
        <f>IF($AG1543="","","")</f>
        <v/>
      </c>
      <c r="Q1543">
        <f>IF($AG1543="","",INDEX('TMP Paste'!$J$2:$J$1601,$AG1543))</f>
        <v/>
      </c>
      <c r="R1543">
        <f>IF($AG1543="","",Config!$B$24)</f>
        <v/>
      </c>
      <c r="S1543">
        <f>IF($AG1543="","",TEXT(Config!$B$4,"yyyy-mm-dd"))</f>
        <v/>
      </c>
      <c r="T1543">
        <f>IF($AG1543="","",Config!$B$17)</f>
        <v/>
      </c>
      <c r="U1543">
        <f>IF($AG1543="","",Config!$B$18)</f>
        <v/>
      </c>
      <c r="V1543">
        <f>IF($AG1543="","",Config!$B$19)</f>
        <v/>
      </c>
      <c r="W1543">
        <f>IF($AG1543="","",INDEX('TMP Paste'!$C$2:$C$1601,$AG1543))</f>
        <v/>
      </c>
      <c r="X1543">
        <f>IF($AG1543="","",Config!$B$29)</f>
        <v/>
      </c>
      <c r="Y1543">
        <f>IF($AH1543="","",INDEX(Calc!$I$2:$I$1601,$AH1543)&amp;" - "&amp;INDEX(Calc!$D$2:$D$1601,$AH1543)&amp;" koli")</f>
        <v/>
      </c>
      <c r="Z1543">
        <f>IF($AG1543="","",Config!$B$21)</f>
        <v/>
      </c>
      <c r="AA1543">
        <f>IF($AG1543="","",Config!$B$22)</f>
        <v/>
      </c>
      <c r="AB1543">
        <f>IF($AH1543="","",INDEX(Calc!$D$2:$D$1601,$AH1543))</f>
        <v/>
      </c>
      <c r="AC1543">
        <f>IF($AH1543="","",INDEX(Calc!$G$2:$G$1601,$AH1543))</f>
        <v/>
      </c>
      <c r="AD1543">
        <f>IF($AG1543="","",Config!$B$23)</f>
        <v/>
      </c>
      <c r="AE1543">
        <f>IF($AG1543="","",Config!$B$28)</f>
        <v/>
      </c>
      <c r="AG1543">
        <f>IFERROR(MATCH(ROW()-1,Calc!$J$2:$J$1601,0),"")</f>
        <v/>
      </c>
      <c r="AH1543">
        <f>IFERROR(MATCH(ROW()-1,Calc!$K$2:$K$1601,0),"")</f>
        <v/>
      </c>
      <c r="AQ1543">
        <f>IF($AG1543="","",TRIM(IF(COUNTIFS(Calc!$B$2:$B$1601,ROW()-1,Calc!$C$2:$C$1601,"&lt;1")&gt;0,"Ada PO tanpa Koli - cek TMP. ","")&amp;IF(LEN($R1543)&gt;500,"R &gt; 500 karakter.","")))</f>
        <v/>
      </c>
    </row>
    <row r="1544">
      <c r="A1544">
        <f>IF($AG1544="","",INDEX('TMP Paste'!$B$2:$B$1601,$AG1544))</f>
        <v/>
      </c>
      <c r="B1544">
        <f>IF($AG1544="","",Config!$B$14)</f>
        <v/>
      </c>
      <c r="C1544">
        <f>IF($AG1544="","",Config!$B$15)</f>
        <v/>
      </c>
      <c r="D1544">
        <f>IF($AG1544="","",INDEX('TMP Paste'!$B$2:$B$1601,$AG1544))</f>
        <v/>
      </c>
      <c r="E1544">
        <f>IF($AG1544="","",Config!$B$27)</f>
        <v/>
      </c>
      <c r="F1544">
        <f>IF($AG1544="","",Config!$B$9)</f>
        <v/>
      </c>
      <c r="G1544">
        <f>IF($AG1544="","",Config!$B$10)</f>
        <v/>
      </c>
      <c r="H1544">
        <f>IF($AG1544="","",Config!$B$11)</f>
        <v/>
      </c>
      <c r="I1544">
        <f>IF($AG1544="","",Config!$B$16)</f>
        <v/>
      </c>
      <c r="J1544">
        <f>IF($AG1544="","",INDEX('TMP Paste'!$A$2:$A$1601,$AG1544))</f>
        <v/>
      </c>
      <c r="K1544">
        <f>IF($AG1544="","",INDEX('TMP Paste'!$L$2:$L$1601,$AG1544))</f>
        <v/>
      </c>
      <c r="L1544">
        <f>IF($AG1544="","",INDEX('TMP Paste'!$I$2:$I$1601,$AG1544))</f>
        <v/>
      </c>
      <c r="M1544">
        <f>IF($AG1544="","",Config!$B$16)</f>
        <v/>
      </c>
      <c r="N1544">
        <f>IF($AG1544="","","")</f>
        <v/>
      </c>
      <c r="O1544">
        <f>IF($AG1544="","",INDEX('TMP Paste'!$K$2:$K$1601,$AG1544))</f>
        <v/>
      </c>
      <c r="P1544">
        <f>IF($AG1544="","","")</f>
        <v/>
      </c>
      <c r="Q1544">
        <f>IF($AG1544="","",INDEX('TMP Paste'!$J$2:$J$1601,$AG1544))</f>
        <v/>
      </c>
      <c r="R1544">
        <f>IF($AG1544="","",Config!$B$24)</f>
        <v/>
      </c>
      <c r="S1544">
        <f>IF($AG1544="","",TEXT(Config!$B$4,"yyyy-mm-dd"))</f>
        <v/>
      </c>
      <c r="T1544">
        <f>IF($AG1544="","",Config!$B$17)</f>
        <v/>
      </c>
      <c r="U1544">
        <f>IF($AG1544="","",Config!$B$18)</f>
        <v/>
      </c>
      <c r="V1544">
        <f>IF($AG1544="","",Config!$B$19)</f>
        <v/>
      </c>
      <c r="W1544">
        <f>IF($AG1544="","",INDEX('TMP Paste'!$C$2:$C$1601,$AG1544))</f>
        <v/>
      </c>
      <c r="X1544">
        <f>IF($AG1544="","",Config!$B$29)</f>
        <v/>
      </c>
      <c r="Y1544">
        <f>IF($AH1544="","",INDEX(Calc!$I$2:$I$1601,$AH1544)&amp;" - "&amp;INDEX(Calc!$D$2:$D$1601,$AH1544)&amp;" koli")</f>
        <v/>
      </c>
      <c r="Z1544">
        <f>IF($AG1544="","",Config!$B$21)</f>
        <v/>
      </c>
      <c r="AA1544">
        <f>IF($AG1544="","",Config!$B$22)</f>
        <v/>
      </c>
      <c r="AB1544">
        <f>IF($AH1544="","",INDEX(Calc!$D$2:$D$1601,$AH1544))</f>
        <v/>
      </c>
      <c r="AC1544">
        <f>IF($AH1544="","",INDEX(Calc!$G$2:$G$1601,$AH1544))</f>
        <v/>
      </c>
      <c r="AD1544">
        <f>IF($AG1544="","",Config!$B$23)</f>
        <v/>
      </c>
      <c r="AE1544">
        <f>IF($AG1544="","",Config!$B$28)</f>
        <v/>
      </c>
      <c r="AG1544">
        <f>IFERROR(MATCH(ROW()-1,Calc!$J$2:$J$1601,0),"")</f>
        <v/>
      </c>
      <c r="AH1544">
        <f>IFERROR(MATCH(ROW()-1,Calc!$K$2:$K$1601,0),"")</f>
        <v/>
      </c>
      <c r="AQ1544">
        <f>IF($AG1544="","",TRIM(IF(COUNTIFS(Calc!$B$2:$B$1601,ROW()-1,Calc!$C$2:$C$1601,"&lt;1")&gt;0,"Ada PO tanpa Koli - cek TMP. ","")&amp;IF(LEN($R1544)&gt;500,"R &gt; 500 karakter.","")))</f>
        <v/>
      </c>
    </row>
    <row r="1545">
      <c r="A1545">
        <f>IF($AG1545="","",INDEX('TMP Paste'!$B$2:$B$1601,$AG1545))</f>
        <v/>
      </c>
      <c r="B1545">
        <f>IF($AG1545="","",Config!$B$14)</f>
        <v/>
      </c>
      <c r="C1545">
        <f>IF($AG1545="","",Config!$B$15)</f>
        <v/>
      </c>
      <c r="D1545">
        <f>IF($AG1545="","",INDEX('TMP Paste'!$B$2:$B$1601,$AG1545))</f>
        <v/>
      </c>
      <c r="E1545">
        <f>IF($AG1545="","",Config!$B$27)</f>
        <v/>
      </c>
      <c r="F1545">
        <f>IF($AG1545="","",Config!$B$9)</f>
        <v/>
      </c>
      <c r="G1545">
        <f>IF($AG1545="","",Config!$B$10)</f>
        <v/>
      </c>
      <c r="H1545">
        <f>IF($AG1545="","",Config!$B$11)</f>
        <v/>
      </c>
      <c r="I1545">
        <f>IF($AG1545="","",Config!$B$16)</f>
        <v/>
      </c>
      <c r="J1545">
        <f>IF($AG1545="","",INDEX('TMP Paste'!$A$2:$A$1601,$AG1545))</f>
        <v/>
      </c>
      <c r="K1545">
        <f>IF($AG1545="","",INDEX('TMP Paste'!$L$2:$L$1601,$AG1545))</f>
        <v/>
      </c>
      <c r="L1545">
        <f>IF($AG1545="","",INDEX('TMP Paste'!$I$2:$I$1601,$AG1545))</f>
        <v/>
      </c>
      <c r="M1545">
        <f>IF($AG1545="","",Config!$B$16)</f>
        <v/>
      </c>
      <c r="N1545">
        <f>IF($AG1545="","","")</f>
        <v/>
      </c>
      <c r="O1545">
        <f>IF($AG1545="","",INDEX('TMP Paste'!$K$2:$K$1601,$AG1545))</f>
        <v/>
      </c>
      <c r="P1545">
        <f>IF($AG1545="","","")</f>
        <v/>
      </c>
      <c r="Q1545">
        <f>IF($AG1545="","",INDEX('TMP Paste'!$J$2:$J$1601,$AG1545))</f>
        <v/>
      </c>
      <c r="R1545">
        <f>IF($AG1545="","",Config!$B$24)</f>
        <v/>
      </c>
      <c r="S1545">
        <f>IF($AG1545="","",TEXT(Config!$B$4,"yyyy-mm-dd"))</f>
        <v/>
      </c>
      <c r="T1545">
        <f>IF($AG1545="","",Config!$B$17)</f>
        <v/>
      </c>
      <c r="U1545">
        <f>IF($AG1545="","",Config!$B$18)</f>
        <v/>
      </c>
      <c r="V1545">
        <f>IF($AG1545="","",Config!$B$19)</f>
        <v/>
      </c>
      <c r="W1545">
        <f>IF($AG1545="","",INDEX('TMP Paste'!$C$2:$C$1601,$AG1545))</f>
        <v/>
      </c>
      <c r="X1545">
        <f>IF($AG1545="","",Config!$B$29)</f>
        <v/>
      </c>
      <c r="Y1545">
        <f>IF($AH1545="","",INDEX(Calc!$I$2:$I$1601,$AH1545)&amp;" - "&amp;INDEX(Calc!$D$2:$D$1601,$AH1545)&amp;" koli")</f>
        <v/>
      </c>
      <c r="Z1545">
        <f>IF($AG1545="","",Config!$B$21)</f>
        <v/>
      </c>
      <c r="AA1545">
        <f>IF($AG1545="","",Config!$B$22)</f>
        <v/>
      </c>
      <c r="AB1545">
        <f>IF($AH1545="","",INDEX(Calc!$D$2:$D$1601,$AH1545))</f>
        <v/>
      </c>
      <c r="AC1545">
        <f>IF($AH1545="","",INDEX(Calc!$G$2:$G$1601,$AH1545))</f>
        <v/>
      </c>
      <c r="AD1545">
        <f>IF($AG1545="","",Config!$B$23)</f>
        <v/>
      </c>
      <c r="AE1545">
        <f>IF($AG1545="","",Config!$B$28)</f>
        <v/>
      </c>
      <c r="AG1545">
        <f>IFERROR(MATCH(ROW()-1,Calc!$J$2:$J$1601,0),"")</f>
        <v/>
      </c>
      <c r="AH1545">
        <f>IFERROR(MATCH(ROW()-1,Calc!$K$2:$K$1601,0),"")</f>
        <v/>
      </c>
      <c r="AQ1545">
        <f>IF($AG1545="","",TRIM(IF(COUNTIFS(Calc!$B$2:$B$1601,ROW()-1,Calc!$C$2:$C$1601,"&lt;1")&gt;0,"Ada PO tanpa Koli - cek TMP. ","")&amp;IF(LEN($R1545)&gt;500,"R &gt; 500 karakter.","")))</f>
        <v/>
      </c>
    </row>
    <row r="1546">
      <c r="A1546">
        <f>IF($AG1546="","",INDEX('TMP Paste'!$B$2:$B$1601,$AG1546))</f>
        <v/>
      </c>
      <c r="B1546">
        <f>IF($AG1546="","",Config!$B$14)</f>
        <v/>
      </c>
      <c r="C1546">
        <f>IF($AG1546="","",Config!$B$15)</f>
        <v/>
      </c>
      <c r="D1546">
        <f>IF($AG1546="","",INDEX('TMP Paste'!$B$2:$B$1601,$AG1546))</f>
        <v/>
      </c>
      <c r="E1546">
        <f>IF($AG1546="","",Config!$B$27)</f>
        <v/>
      </c>
      <c r="F1546">
        <f>IF($AG1546="","",Config!$B$9)</f>
        <v/>
      </c>
      <c r="G1546">
        <f>IF($AG1546="","",Config!$B$10)</f>
        <v/>
      </c>
      <c r="H1546">
        <f>IF($AG1546="","",Config!$B$11)</f>
        <v/>
      </c>
      <c r="I1546">
        <f>IF($AG1546="","",Config!$B$16)</f>
        <v/>
      </c>
      <c r="J1546">
        <f>IF($AG1546="","",INDEX('TMP Paste'!$A$2:$A$1601,$AG1546))</f>
        <v/>
      </c>
      <c r="K1546">
        <f>IF($AG1546="","",INDEX('TMP Paste'!$L$2:$L$1601,$AG1546))</f>
        <v/>
      </c>
      <c r="L1546">
        <f>IF($AG1546="","",INDEX('TMP Paste'!$I$2:$I$1601,$AG1546))</f>
        <v/>
      </c>
      <c r="M1546">
        <f>IF($AG1546="","",Config!$B$16)</f>
        <v/>
      </c>
      <c r="N1546">
        <f>IF($AG1546="","","")</f>
        <v/>
      </c>
      <c r="O1546">
        <f>IF($AG1546="","",INDEX('TMP Paste'!$K$2:$K$1601,$AG1546))</f>
        <v/>
      </c>
      <c r="P1546">
        <f>IF($AG1546="","","")</f>
        <v/>
      </c>
      <c r="Q1546">
        <f>IF($AG1546="","",INDEX('TMP Paste'!$J$2:$J$1601,$AG1546))</f>
        <v/>
      </c>
      <c r="R1546">
        <f>IF($AG1546="","",Config!$B$24)</f>
        <v/>
      </c>
      <c r="S1546">
        <f>IF($AG1546="","",TEXT(Config!$B$4,"yyyy-mm-dd"))</f>
        <v/>
      </c>
      <c r="T1546">
        <f>IF($AG1546="","",Config!$B$17)</f>
        <v/>
      </c>
      <c r="U1546">
        <f>IF($AG1546="","",Config!$B$18)</f>
        <v/>
      </c>
      <c r="V1546">
        <f>IF($AG1546="","",Config!$B$19)</f>
        <v/>
      </c>
      <c r="W1546">
        <f>IF($AG1546="","",INDEX('TMP Paste'!$C$2:$C$1601,$AG1546))</f>
        <v/>
      </c>
      <c r="X1546">
        <f>IF($AG1546="","",Config!$B$29)</f>
        <v/>
      </c>
      <c r="Y1546">
        <f>IF($AH1546="","",INDEX(Calc!$I$2:$I$1601,$AH1546)&amp;" - "&amp;INDEX(Calc!$D$2:$D$1601,$AH1546)&amp;" koli")</f>
        <v/>
      </c>
      <c r="Z1546">
        <f>IF($AG1546="","",Config!$B$21)</f>
        <v/>
      </c>
      <c r="AA1546">
        <f>IF($AG1546="","",Config!$B$22)</f>
        <v/>
      </c>
      <c r="AB1546">
        <f>IF($AH1546="","",INDEX(Calc!$D$2:$D$1601,$AH1546))</f>
        <v/>
      </c>
      <c r="AC1546">
        <f>IF($AH1546="","",INDEX(Calc!$G$2:$G$1601,$AH1546))</f>
        <v/>
      </c>
      <c r="AD1546">
        <f>IF($AG1546="","",Config!$B$23)</f>
        <v/>
      </c>
      <c r="AE1546">
        <f>IF($AG1546="","",Config!$B$28)</f>
        <v/>
      </c>
      <c r="AG1546">
        <f>IFERROR(MATCH(ROW()-1,Calc!$J$2:$J$1601,0),"")</f>
        <v/>
      </c>
      <c r="AH1546">
        <f>IFERROR(MATCH(ROW()-1,Calc!$K$2:$K$1601,0),"")</f>
        <v/>
      </c>
      <c r="AQ1546">
        <f>IF($AG1546="","",TRIM(IF(COUNTIFS(Calc!$B$2:$B$1601,ROW()-1,Calc!$C$2:$C$1601,"&lt;1")&gt;0,"Ada PO tanpa Koli - cek TMP. ","")&amp;IF(LEN($R1546)&gt;500,"R &gt; 500 karakter.","")))</f>
        <v/>
      </c>
    </row>
    <row r="1547">
      <c r="A1547">
        <f>IF($AG1547="","",INDEX('TMP Paste'!$B$2:$B$1601,$AG1547))</f>
        <v/>
      </c>
      <c r="B1547">
        <f>IF($AG1547="","",Config!$B$14)</f>
        <v/>
      </c>
      <c r="C1547">
        <f>IF($AG1547="","",Config!$B$15)</f>
        <v/>
      </c>
      <c r="D1547">
        <f>IF($AG1547="","",INDEX('TMP Paste'!$B$2:$B$1601,$AG1547))</f>
        <v/>
      </c>
      <c r="E1547">
        <f>IF($AG1547="","",Config!$B$27)</f>
        <v/>
      </c>
      <c r="F1547">
        <f>IF($AG1547="","",Config!$B$9)</f>
        <v/>
      </c>
      <c r="G1547">
        <f>IF($AG1547="","",Config!$B$10)</f>
        <v/>
      </c>
      <c r="H1547">
        <f>IF($AG1547="","",Config!$B$11)</f>
        <v/>
      </c>
      <c r="I1547">
        <f>IF($AG1547="","",Config!$B$16)</f>
        <v/>
      </c>
      <c r="J1547">
        <f>IF($AG1547="","",INDEX('TMP Paste'!$A$2:$A$1601,$AG1547))</f>
        <v/>
      </c>
      <c r="K1547">
        <f>IF($AG1547="","",INDEX('TMP Paste'!$L$2:$L$1601,$AG1547))</f>
        <v/>
      </c>
      <c r="L1547">
        <f>IF($AG1547="","",INDEX('TMP Paste'!$I$2:$I$1601,$AG1547))</f>
        <v/>
      </c>
      <c r="M1547">
        <f>IF($AG1547="","",Config!$B$16)</f>
        <v/>
      </c>
      <c r="N1547">
        <f>IF($AG1547="","","")</f>
        <v/>
      </c>
      <c r="O1547">
        <f>IF($AG1547="","",INDEX('TMP Paste'!$K$2:$K$1601,$AG1547))</f>
        <v/>
      </c>
      <c r="P1547">
        <f>IF($AG1547="","","")</f>
        <v/>
      </c>
      <c r="Q1547">
        <f>IF($AG1547="","",INDEX('TMP Paste'!$J$2:$J$1601,$AG1547))</f>
        <v/>
      </c>
      <c r="R1547">
        <f>IF($AG1547="","",Config!$B$24)</f>
        <v/>
      </c>
      <c r="S1547">
        <f>IF($AG1547="","",TEXT(Config!$B$4,"yyyy-mm-dd"))</f>
        <v/>
      </c>
      <c r="T1547">
        <f>IF($AG1547="","",Config!$B$17)</f>
        <v/>
      </c>
      <c r="U1547">
        <f>IF($AG1547="","",Config!$B$18)</f>
        <v/>
      </c>
      <c r="V1547">
        <f>IF($AG1547="","",Config!$B$19)</f>
        <v/>
      </c>
      <c r="W1547">
        <f>IF($AG1547="","",INDEX('TMP Paste'!$C$2:$C$1601,$AG1547))</f>
        <v/>
      </c>
      <c r="X1547">
        <f>IF($AG1547="","",Config!$B$29)</f>
        <v/>
      </c>
      <c r="Y1547">
        <f>IF($AH1547="","",INDEX(Calc!$I$2:$I$1601,$AH1547)&amp;" - "&amp;INDEX(Calc!$D$2:$D$1601,$AH1547)&amp;" koli")</f>
        <v/>
      </c>
      <c r="Z1547">
        <f>IF($AG1547="","",Config!$B$21)</f>
        <v/>
      </c>
      <c r="AA1547">
        <f>IF($AG1547="","",Config!$B$22)</f>
        <v/>
      </c>
      <c r="AB1547">
        <f>IF($AH1547="","",INDEX(Calc!$D$2:$D$1601,$AH1547))</f>
        <v/>
      </c>
      <c r="AC1547">
        <f>IF($AH1547="","",INDEX(Calc!$G$2:$G$1601,$AH1547))</f>
        <v/>
      </c>
      <c r="AD1547">
        <f>IF($AG1547="","",Config!$B$23)</f>
        <v/>
      </c>
      <c r="AE1547">
        <f>IF($AG1547="","",Config!$B$28)</f>
        <v/>
      </c>
      <c r="AG1547">
        <f>IFERROR(MATCH(ROW()-1,Calc!$J$2:$J$1601,0),"")</f>
        <v/>
      </c>
      <c r="AH1547">
        <f>IFERROR(MATCH(ROW()-1,Calc!$K$2:$K$1601,0),"")</f>
        <v/>
      </c>
      <c r="AQ1547">
        <f>IF($AG1547="","",TRIM(IF(COUNTIFS(Calc!$B$2:$B$1601,ROW()-1,Calc!$C$2:$C$1601,"&lt;1")&gt;0,"Ada PO tanpa Koli - cek TMP. ","")&amp;IF(LEN($R1547)&gt;500,"R &gt; 500 karakter.","")))</f>
        <v/>
      </c>
    </row>
    <row r="1548">
      <c r="A1548">
        <f>IF($AG1548="","",INDEX('TMP Paste'!$B$2:$B$1601,$AG1548))</f>
        <v/>
      </c>
      <c r="B1548">
        <f>IF($AG1548="","",Config!$B$14)</f>
        <v/>
      </c>
      <c r="C1548">
        <f>IF($AG1548="","",Config!$B$15)</f>
        <v/>
      </c>
      <c r="D1548">
        <f>IF($AG1548="","",INDEX('TMP Paste'!$B$2:$B$1601,$AG1548))</f>
        <v/>
      </c>
      <c r="E1548">
        <f>IF($AG1548="","",Config!$B$27)</f>
        <v/>
      </c>
      <c r="F1548">
        <f>IF($AG1548="","",Config!$B$9)</f>
        <v/>
      </c>
      <c r="G1548">
        <f>IF($AG1548="","",Config!$B$10)</f>
        <v/>
      </c>
      <c r="H1548">
        <f>IF($AG1548="","",Config!$B$11)</f>
        <v/>
      </c>
      <c r="I1548">
        <f>IF($AG1548="","",Config!$B$16)</f>
        <v/>
      </c>
      <c r="J1548">
        <f>IF($AG1548="","",INDEX('TMP Paste'!$A$2:$A$1601,$AG1548))</f>
        <v/>
      </c>
      <c r="K1548">
        <f>IF($AG1548="","",INDEX('TMP Paste'!$L$2:$L$1601,$AG1548))</f>
        <v/>
      </c>
      <c r="L1548">
        <f>IF($AG1548="","",INDEX('TMP Paste'!$I$2:$I$1601,$AG1548))</f>
        <v/>
      </c>
      <c r="M1548">
        <f>IF($AG1548="","",Config!$B$16)</f>
        <v/>
      </c>
      <c r="N1548">
        <f>IF($AG1548="","","")</f>
        <v/>
      </c>
      <c r="O1548">
        <f>IF($AG1548="","",INDEX('TMP Paste'!$K$2:$K$1601,$AG1548))</f>
        <v/>
      </c>
      <c r="P1548">
        <f>IF($AG1548="","","")</f>
        <v/>
      </c>
      <c r="Q1548">
        <f>IF($AG1548="","",INDEX('TMP Paste'!$J$2:$J$1601,$AG1548))</f>
        <v/>
      </c>
      <c r="R1548">
        <f>IF($AG1548="","",Config!$B$24)</f>
        <v/>
      </c>
      <c r="S1548">
        <f>IF($AG1548="","",TEXT(Config!$B$4,"yyyy-mm-dd"))</f>
        <v/>
      </c>
      <c r="T1548">
        <f>IF($AG1548="","",Config!$B$17)</f>
        <v/>
      </c>
      <c r="U1548">
        <f>IF($AG1548="","",Config!$B$18)</f>
        <v/>
      </c>
      <c r="V1548">
        <f>IF($AG1548="","",Config!$B$19)</f>
        <v/>
      </c>
      <c r="W1548">
        <f>IF($AG1548="","",INDEX('TMP Paste'!$C$2:$C$1601,$AG1548))</f>
        <v/>
      </c>
      <c r="X1548">
        <f>IF($AG1548="","",Config!$B$29)</f>
        <v/>
      </c>
      <c r="Y1548">
        <f>IF($AH1548="","",INDEX(Calc!$I$2:$I$1601,$AH1548)&amp;" - "&amp;INDEX(Calc!$D$2:$D$1601,$AH1548)&amp;" koli")</f>
        <v/>
      </c>
      <c r="Z1548">
        <f>IF($AG1548="","",Config!$B$21)</f>
        <v/>
      </c>
      <c r="AA1548">
        <f>IF($AG1548="","",Config!$B$22)</f>
        <v/>
      </c>
      <c r="AB1548">
        <f>IF($AH1548="","",INDEX(Calc!$D$2:$D$1601,$AH1548))</f>
        <v/>
      </c>
      <c r="AC1548">
        <f>IF($AH1548="","",INDEX(Calc!$G$2:$G$1601,$AH1548))</f>
        <v/>
      </c>
      <c r="AD1548">
        <f>IF($AG1548="","",Config!$B$23)</f>
        <v/>
      </c>
      <c r="AE1548">
        <f>IF($AG1548="","",Config!$B$28)</f>
        <v/>
      </c>
      <c r="AG1548">
        <f>IFERROR(MATCH(ROW()-1,Calc!$J$2:$J$1601,0),"")</f>
        <v/>
      </c>
      <c r="AH1548">
        <f>IFERROR(MATCH(ROW()-1,Calc!$K$2:$K$1601,0),"")</f>
        <v/>
      </c>
      <c r="AQ1548">
        <f>IF($AG1548="","",TRIM(IF(COUNTIFS(Calc!$B$2:$B$1601,ROW()-1,Calc!$C$2:$C$1601,"&lt;1")&gt;0,"Ada PO tanpa Koli - cek TMP. ","")&amp;IF(LEN($R1548)&gt;500,"R &gt; 500 karakter.","")))</f>
        <v/>
      </c>
    </row>
    <row r="1549">
      <c r="A1549">
        <f>IF($AG1549="","",INDEX('TMP Paste'!$B$2:$B$1601,$AG1549))</f>
        <v/>
      </c>
      <c r="B1549">
        <f>IF($AG1549="","",Config!$B$14)</f>
        <v/>
      </c>
      <c r="C1549">
        <f>IF($AG1549="","",Config!$B$15)</f>
        <v/>
      </c>
      <c r="D1549">
        <f>IF($AG1549="","",INDEX('TMP Paste'!$B$2:$B$1601,$AG1549))</f>
        <v/>
      </c>
      <c r="E1549">
        <f>IF($AG1549="","",Config!$B$27)</f>
        <v/>
      </c>
      <c r="F1549">
        <f>IF($AG1549="","",Config!$B$9)</f>
        <v/>
      </c>
      <c r="G1549">
        <f>IF($AG1549="","",Config!$B$10)</f>
        <v/>
      </c>
      <c r="H1549">
        <f>IF($AG1549="","",Config!$B$11)</f>
        <v/>
      </c>
      <c r="I1549">
        <f>IF($AG1549="","",Config!$B$16)</f>
        <v/>
      </c>
      <c r="J1549">
        <f>IF($AG1549="","",INDEX('TMP Paste'!$A$2:$A$1601,$AG1549))</f>
        <v/>
      </c>
      <c r="K1549">
        <f>IF($AG1549="","",INDEX('TMP Paste'!$L$2:$L$1601,$AG1549))</f>
        <v/>
      </c>
      <c r="L1549">
        <f>IF($AG1549="","",INDEX('TMP Paste'!$I$2:$I$1601,$AG1549))</f>
        <v/>
      </c>
      <c r="M1549">
        <f>IF($AG1549="","",Config!$B$16)</f>
        <v/>
      </c>
      <c r="N1549">
        <f>IF($AG1549="","","")</f>
        <v/>
      </c>
      <c r="O1549">
        <f>IF($AG1549="","",INDEX('TMP Paste'!$K$2:$K$1601,$AG1549))</f>
        <v/>
      </c>
      <c r="P1549">
        <f>IF($AG1549="","","")</f>
        <v/>
      </c>
      <c r="Q1549">
        <f>IF($AG1549="","",INDEX('TMP Paste'!$J$2:$J$1601,$AG1549))</f>
        <v/>
      </c>
      <c r="R1549">
        <f>IF($AG1549="","",Config!$B$24)</f>
        <v/>
      </c>
      <c r="S1549">
        <f>IF($AG1549="","",TEXT(Config!$B$4,"yyyy-mm-dd"))</f>
        <v/>
      </c>
      <c r="T1549">
        <f>IF($AG1549="","",Config!$B$17)</f>
        <v/>
      </c>
      <c r="U1549">
        <f>IF($AG1549="","",Config!$B$18)</f>
        <v/>
      </c>
      <c r="V1549">
        <f>IF($AG1549="","",Config!$B$19)</f>
        <v/>
      </c>
      <c r="W1549">
        <f>IF($AG1549="","",INDEX('TMP Paste'!$C$2:$C$1601,$AG1549))</f>
        <v/>
      </c>
      <c r="X1549">
        <f>IF($AG1549="","",Config!$B$29)</f>
        <v/>
      </c>
      <c r="Y1549">
        <f>IF($AH1549="","",INDEX(Calc!$I$2:$I$1601,$AH1549)&amp;" - "&amp;INDEX(Calc!$D$2:$D$1601,$AH1549)&amp;" koli")</f>
        <v/>
      </c>
      <c r="Z1549">
        <f>IF($AG1549="","",Config!$B$21)</f>
        <v/>
      </c>
      <c r="AA1549">
        <f>IF($AG1549="","",Config!$B$22)</f>
        <v/>
      </c>
      <c r="AB1549">
        <f>IF($AH1549="","",INDEX(Calc!$D$2:$D$1601,$AH1549))</f>
        <v/>
      </c>
      <c r="AC1549">
        <f>IF($AH1549="","",INDEX(Calc!$G$2:$G$1601,$AH1549))</f>
        <v/>
      </c>
      <c r="AD1549">
        <f>IF($AG1549="","",Config!$B$23)</f>
        <v/>
      </c>
      <c r="AE1549">
        <f>IF($AG1549="","",Config!$B$28)</f>
        <v/>
      </c>
      <c r="AG1549">
        <f>IFERROR(MATCH(ROW()-1,Calc!$J$2:$J$1601,0),"")</f>
        <v/>
      </c>
      <c r="AH1549">
        <f>IFERROR(MATCH(ROW()-1,Calc!$K$2:$K$1601,0),"")</f>
        <v/>
      </c>
      <c r="AQ1549">
        <f>IF($AG1549="","",TRIM(IF(COUNTIFS(Calc!$B$2:$B$1601,ROW()-1,Calc!$C$2:$C$1601,"&lt;1")&gt;0,"Ada PO tanpa Koli - cek TMP. ","")&amp;IF(LEN($R1549)&gt;500,"R &gt; 500 karakter.","")))</f>
        <v/>
      </c>
    </row>
    <row r="1550">
      <c r="A1550">
        <f>IF($AG1550="","",INDEX('TMP Paste'!$B$2:$B$1601,$AG1550))</f>
        <v/>
      </c>
      <c r="B1550">
        <f>IF($AG1550="","",Config!$B$14)</f>
        <v/>
      </c>
      <c r="C1550">
        <f>IF($AG1550="","",Config!$B$15)</f>
        <v/>
      </c>
      <c r="D1550">
        <f>IF($AG1550="","",INDEX('TMP Paste'!$B$2:$B$1601,$AG1550))</f>
        <v/>
      </c>
      <c r="E1550">
        <f>IF($AG1550="","",Config!$B$27)</f>
        <v/>
      </c>
      <c r="F1550">
        <f>IF($AG1550="","",Config!$B$9)</f>
        <v/>
      </c>
      <c r="G1550">
        <f>IF($AG1550="","",Config!$B$10)</f>
        <v/>
      </c>
      <c r="H1550">
        <f>IF($AG1550="","",Config!$B$11)</f>
        <v/>
      </c>
      <c r="I1550">
        <f>IF($AG1550="","",Config!$B$16)</f>
        <v/>
      </c>
      <c r="J1550">
        <f>IF($AG1550="","",INDEX('TMP Paste'!$A$2:$A$1601,$AG1550))</f>
        <v/>
      </c>
      <c r="K1550">
        <f>IF($AG1550="","",INDEX('TMP Paste'!$L$2:$L$1601,$AG1550))</f>
        <v/>
      </c>
      <c r="L1550">
        <f>IF($AG1550="","",INDEX('TMP Paste'!$I$2:$I$1601,$AG1550))</f>
        <v/>
      </c>
      <c r="M1550">
        <f>IF($AG1550="","",Config!$B$16)</f>
        <v/>
      </c>
      <c r="N1550">
        <f>IF($AG1550="","","")</f>
        <v/>
      </c>
      <c r="O1550">
        <f>IF($AG1550="","",INDEX('TMP Paste'!$K$2:$K$1601,$AG1550))</f>
        <v/>
      </c>
      <c r="P1550">
        <f>IF($AG1550="","","")</f>
        <v/>
      </c>
      <c r="Q1550">
        <f>IF($AG1550="","",INDEX('TMP Paste'!$J$2:$J$1601,$AG1550))</f>
        <v/>
      </c>
      <c r="R1550">
        <f>IF($AG1550="","",Config!$B$24)</f>
        <v/>
      </c>
      <c r="S1550">
        <f>IF($AG1550="","",TEXT(Config!$B$4,"yyyy-mm-dd"))</f>
        <v/>
      </c>
      <c r="T1550">
        <f>IF($AG1550="","",Config!$B$17)</f>
        <v/>
      </c>
      <c r="U1550">
        <f>IF($AG1550="","",Config!$B$18)</f>
        <v/>
      </c>
      <c r="V1550">
        <f>IF($AG1550="","",Config!$B$19)</f>
        <v/>
      </c>
      <c r="W1550">
        <f>IF($AG1550="","",INDEX('TMP Paste'!$C$2:$C$1601,$AG1550))</f>
        <v/>
      </c>
      <c r="X1550">
        <f>IF($AG1550="","",Config!$B$29)</f>
        <v/>
      </c>
      <c r="Y1550">
        <f>IF($AH1550="","",INDEX(Calc!$I$2:$I$1601,$AH1550)&amp;" - "&amp;INDEX(Calc!$D$2:$D$1601,$AH1550)&amp;" koli")</f>
        <v/>
      </c>
      <c r="Z1550">
        <f>IF($AG1550="","",Config!$B$21)</f>
        <v/>
      </c>
      <c r="AA1550">
        <f>IF($AG1550="","",Config!$B$22)</f>
        <v/>
      </c>
      <c r="AB1550">
        <f>IF($AH1550="","",INDEX(Calc!$D$2:$D$1601,$AH1550))</f>
        <v/>
      </c>
      <c r="AC1550">
        <f>IF($AH1550="","",INDEX(Calc!$G$2:$G$1601,$AH1550))</f>
        <v/>
      </c>
      <c r="AD1550">
        <f>IF($AG1550="","",Config!$B$23)</f>
        <v/>
      </c>
      <c r="AE1550">
        <f>IF($AG1550="","",Config!$B$28)</f>
        <v/>
      </c>
      <c r="AG1550">
        <f>IFERROR(MATCH(ROW()-1,Calc!$J$2:$J$1601,0),"")</f>
        <v/>
      </c>
      <c r="AH1550">
        <f>IFERROR(MATCH(ROW()-1,Calc!$K$2:$K$1601,0),"")</f>
        <v/>
      </c>
      <c r="AQ1550">
        <f>IF($AG1550="","",TRIM(IF(COUNTIFS(Calc!$B$2:$B$1601,ROW()-1,Calc!$C$2:$C$1601,"&lt;1")&gt;0,"Ada PO tanpa Koli - cek TMP. ","")&amp;IF(LEN($R1550)&gt;500,"R &gt; 500 karakter.","")))</f>
        <v/>
      </c>
    </row>
    <row r="1551">
      <c r="A1551">
        <f>IF($AG1551="","",INDEX('TMP Paste'!$B$2:$B$1601,$AG1551))</f>
        <v/>
      </c>
      <c r="B1551">
        <f>IF($AG1551="","",Config!$B$14)</f>
        <v/>
      </c>
      <c r="C1551">
        <f>IF($AG1551="","",Config!$B$15)</f>
        <v/>
      </c>
      <c r="D1551">
        <f>IF($AG1551="","",INDEX('TMP Paste'!$B$2:$B$1601,$AG1551))</f>
        <v/>
      </c>
      <c r="E1551">
        <f>IF($AG1551="","",Config!$B$27)</f>
        <v/>
      </c>
      <c r="F1551">
        <f>IF($AG1551="","",Config!$B$9)</f>
        <v/>
      </c>
      <c r="G1551">
        <f>IF($AG1551="","",Config!$B$10)</f>
        <v/>
      </c>
      <c r="H1551">
        <f>IF($AG1551="","",Config!$B$11)</f>
        <v/>
      </c>
      <c r="I1551">
        <f>IF($AG1551="","",Config!$B$16)</f>
        <v/>
      </c>
      <c r="J1551">
        <f>IF($AG1551="","",INDEX('TMP Paste'!$A$2:$A$1601,$AG1551))</f>
        <v/>
      </c>
      <c r="K1551">
        <f>IF($AG1551="","",INDEX('TMP Paste'!$L$2:$L$1601,$AG1551))</f>
        <v/>
      </c>
      <c r="L1551">
        <f>IF($AG1551="","",INDEX('TMP Paste'!$I$2:$I$1601,$AG1551))</f>
        <v/>
      </c>
      <c r="M1551">
        <f>IF($AG1551="","",Config!$B$16)</f>
        <v/>
      </c>
      <c r="N1551">
        <f>IF($AG1551="","","")</f>
        <v/>
      </c>
      <c r="O1551">
        <f>IF($AG1551="","",INDEX('TMP Paste'!$K$2:$K$1601,$AG1551))</f>
        <v/>
      </c>
      <c r="P1551">
        <f>IF($AG1551="","","")</f>
        <v/>
      </c>
      <c r="Q1551">
        <f>IF($AG1551="","",INDEX('TMP Paste'!$J$2:$J$1601,$AG1551))</f>
        <v/>
      </c>
      <c r="R1551">
        <f>IF($AG1551="","",Config!$B$24)</f>
        <v/>
      </c>
      <c r="S1551">
        <f>IF($AG1551="","",TEXT(Config!$B$4,"yyyy-mm-dd"))</f>
        <v/>
      </c>
      <c r="T1551">
        <f>IF($AG1551="","",Config!$B$17)</f>
        <v/>
      </c>
      <c r="U1551">
        <f>IF($AG1551="","",Config!$B$18)</f>
        <v/>
      </c>
      <c r="V1551">
        <f>IF($AG1551="","",Config!$B$19)</f>
        <v/>
      </c>
      <c r="W1551">
        <f>IF($AG1551="","",INDEX('TMP Paste'!$C$2:$C$1601,$AG1551))</f>
        <v/>
      </c>
      <c r="X1551">
        <f>IF($AG1551="","",Config!$B$29)</f>
        <v/>
      </c>
      <c r="Y1551">
        <f>IF($AH1551="","",INDEX(Calc!$I$2:$I$1601,$AH1551)&amp;" - "&amp;INDEX(Calc!$D$2:$D$1601,$AH1551)&amp;" koli")</f>
        <v/>
      </c>
      <c r="Z1551">
        <f>IF($AG1551="","",Config!$B$21)</f>
        <v/>
      </c>
      <c r="AA1551">
        <f>IF($AG1551="","",Config!$B$22)</f>
        <v/>
      </c>
      <c r="AB1551">
        <f>IF($AH1551="","",INDEX(Calc!$D$2:$D$1601,$AH1551))</f>
        <v/>
      </c>
      <c r="AC1551">
        <f>IF($AH1551="","",INDEX(Calc!$G$2:$G$1601,$AH1551))</f>
        <v/>
      </c>
      <c r="AD1551">
        <f>IF($AG1551="","",Config!$B$23)</f>
        <v/>
      </c>
      <c r="AE1551">
        <f>IF($AG1551="","",Config!$B$28)</f>
        <v/>
      </c>
      <c r="AG1551">
        <f>IFERROR(MATCH(ROW()-1,Calc!$J$2:$J$1601,0),"")</f>
        <v/>
      </c>
      <c r="AH1551">
        <f>IFERROR(MATCH(ROW()-1,Calc!$K$2:$K$1601,0),"")</f>
        <v/>
      </c>
      <c r="AQ1551">
        <f>IF($AG1551="","",TRIM(IF(COUNTIFS(Calc!$B$2:$B$1601,ROW()-1,Calc!$C$2:$C$1601,"&lt;1")&gt;0,"Ada PO tanpa Koli - cek TMP. ","")&amp;IF(LEN($R1551)&gt;500,"R &gt; 500 karakter.","")))</f>
        <v/>
      </c>
    </row>
    <row r="1552">
      <c r="A1552">
        <f>IF($AG1552="","",INDEX('TMP Paste'!$B$2:$B$1601,$AG1552))</f>
        <v/>
      </c>
      <c r="B1552">
        <f>IF($AG1552="","",Config!$B$14)</f>
        <v/>
      </c>
      <c r="C1552">
        <f>IF($AG1552="","",Config!$B$15)</f>
        <v/>
      </c>
      <c r="D1552">
        <f>IF($AG1552="","",INDEX('TMP Paste'!$B$2:$B$1601,$AG1552))</f>
        <v/>
      </c>
      <c r="E1552">
        <f>IF($AG1552="","",Config!$B$27)</f>
        <v/>
      </c>
      <c r="F1552">
        <f>IF($AG1552="","",Config!$B$9)</f>
        <v/>
      </c>
      <c r="G1552">
        <f>IF($AG1552="","",Config!$B$10)</f>
        <v/>
      </c>
      <c r="H1552">
        <f>IF($AG1552="","",Config!$B$11)</f>
        <v/>
      </c>
      <c r="I1552">
        <f>IF($AG1552="","",Config!$B$16)</f>
        <v/>
      </c>
      <c r="J1552">
        <f>IF($AG1552="","",INDEX('TMP Paste'!$A$2:$A$1601,$AG1552))</f>
        <v/>
      </c>
      <c r="K1552">
        <f>IF($AG1552="","",INDEX('TMP Paste'!$L$2:$L$1601,$AG1552))</f>
        <v/>
      </c>
      <c r="L1552">
        <f>IF($AG1552="","",INDEX('TMP Paste'!$I$2:$I$1601,$AG1552))</f>
        <v/>
      </c>
      <c r="M1552">
        <f>IF($AG1552="","",Config!$B$16)</f>
        <v/>
      </c>
      <c r="N1552">
        <f>IF($AG1552="","","")</f>
        <v/>
      </c>
      <c r="O1552">
        <f>IF($AG1552="","",INDEX('TMP Paste'!$K$2:$K$1601,$AG1552))</f>
        <v/>
      </c>
      <c r="P1552">
        <f>IF($AG1552="","","")</f>
        <v/>
      </c>
      <c r="Q1552">
        <f>IF($AG1552="","",INDEX('TMP Paste'!$J$2:$J$1601,$AG1552))</f>
        <v/>
      </c>
      <c r="R1552">
        <f>IF($AG1552="","",Config!$B$24)</f>
        <v/>
      </c>
      <c r="S1552">
        <f>IF($AG1552="","",TEXT(Config!$B$4,"yyyy-mm-dd"))</f>
        <v/>
      </c>
      <c r="T1552">
        <f>IF($AG1552="","",Config!$B$17)</f>
        <v/>
      </c>
      <c r="U1552">
        <f>IF($AG1552="","",Config!$B$18)</f>
        <v/>
      </c>
      <c r="V1552">
        <f>IF($AG1552="","",Config!$B$19)</f>
        <v/>
      </c>
      <c r="W1552">
        <f>IF($AG1552="","",INDEX('TMP Paste'!$C$2:$C$1601,$AG1552))</f>
        <v/>
      </c>
      <c r="X1552">
        <f>IF($AG1552="","",Config!$B$29)</f>
        <v/>
      </c>
      <c r="Y1552">
        <f>IF($AH1552="","",INDEX(Calc!$I$2:$I$1601,$AH1552)&amp;" - "&amp;INDEX(Calc!$D$2:$D$1601,$AH1552)&amp;" koli")</f>
        <v/>
      </c>
      <c r="Z1552">
        <f>IF($AG1552="","",Config!$B$21)</f>
        <v/>
      </c>
      <c r="AA1552">
        <f>IF($AG1552="","",Config!$B$22)</f>
        <v/>
      </c>
      <c r="AB1552">
        <f>IF($AH1552="","",INDEX(Calc!$D$2:$D$1601,$AH1552))</f>
        <v/>
      </c>
      <c r="AC1552">
        <f>IF($AH1552="","",INDEX(Calc!$G$2:$G$1601,$AH1552))</f>
        <v/>
      </c>
      <c r="AD1552">
        <f>IF($AG1552="","",Config!$B$23)</f>
        <v/>
      </c>
      <c r="AE1552">
        <f>IF($AG1552="","",Config!$B$28)</f>
        <v/>
      </c>
      <c r="AG1552">
        <f>IFERROR(MATCH(ROW()-1,Calc!$J$2:$J$1601,0),"")</f>
        <v/>
      </c>
      <c r="AH1552">
        <f>IFERROR(MATCH(ROW()-1,Calc!$K$2:$K$1601,0),"")</f>
        <v/>
      </c>
      <c r="AQ1552">
        <f>IF($AG1552="","",TRIM(IF(COUNTIFS(Calc!$B$2:$B$1601,ROW()-1,Calc!$C$2:$C$1601,"&lt;1")&gt;0,"Ada PO tanpa Koli - cek TMP. ","")&amp;IF(LEN($R1552)&gt;500,"R &gt; 500 karakter.","")))</f>
        <v/>
      </c>
    </row>
    <row r="1553">
      <c r="A1553">
        <f>IF($AG1553="","",INDEX('TMP Paste'!$B$2:$B$1601,$AG1553))</f>
        <v/>
      </c>
      <c r="B1553">
        <f>IF($AG1553="","",Config!$B$14)</f>
        <v/>
      </c>
      <c r="C1553">
        <f>IF($AG1553="","",Config!$B$15)</f>
        <v/>
      </c>
      <c r="D1553">
        <f>IF($AG1553="","",INDEX('TMP Paste'!$B$2:$B$1601,$AG1553))</f>
        <v/>
      </c>
      <c r="E1553">
        <f>IF($AG1553="","",Config!$B$27)</f>
        <v/>
      </c>
      <c r="F1553">
        <f>IF($AG1553="","",Config!$B$9)</f>
        <v/>
      </c>
      <c r="G1553">
        <f>IF($AG1553="","",Config!$B$10)</f>
        <v/>
      </c>
      <c r="H1553">
        <f>IF($AG1553="","",Config!$B$11)</f>
        <v/>
      </c>
      <c r="I1553">
        <f>IF($AG1553="","",Config!$B$16)</f>
        <v/>
      </c>
      <c r="J1553">
        <f>IF($AG1553="","",INDEX('TMP Paste'!$A$2:$A$1601,$AG1553))</f>
        <v/>
      </c>
      <c r="K1553">
        <f>IF($AG1553="","",INDEX('TMP Paste'!$L$2:$L$1601,$AG1553))</f>
        <v/>
      </c>
      <c r="L1553">
        <f>IF($AG1553="","",INDEX('TMP Paste'!$I$2:$I$1601,$AG1553))</f>
        <v/>
      </c>
      <c r="M1553">
        <f>IF($AG1553="","",Config!$B$16)</f>
        <v/>
      </c>
      <c r="N1553">
        <f>IF($AG1553="","","")</f>
        <v/>
      </c>
      <c r="O1553">
        <f>IF($AG1553="","",INDEX('TMP Paste'!$K$2:$K$1601,$AG1553))</f>
        <v/>
      </c>
      <c r="P1553">
        <f>IF($AG1553="","","")</f>
        <v/>
      </c>
      <c r="Q1553">
        <f>IF($AG1553="","",INDEX('TMP Paste'!$J$2:$J$1601,$AG1553))</f>
        <v/>
      </c>
      <c r="R1553">
        <f>IF($AG1553="","",Config!$B$24)</f>
        <v/>
      </c>
      <c r="S1553">
        <f>IF($AG1553="","",TEXT(Config!$B$4,"yyyy-mm-dd"))</f>
        <v/>
      </c>
      <c r="T1553">
        <f>IF($AG1553="","",Config!$B$17)</f>
        <v/>
      </c>
      <c r="U1553">
        <f>IF($AG1553="","",Config!$B$18)</f>
        <v/>
      </c>
      <c r="V1553">
        <f>IF($AG1553="","",Config!$B$19)</f>
        <v/>
      </c>
      <c r="W1553">
        <f>IF($AG1553="","",INDEX('TMP Paste'!$C$2:$C$1601,$AG1553))</f>
        <v/>
      </c>
      <c r="X1553">
        <f>IF($AG1553="","",Config!$B$29)</f>
        <v/>
      </c>
      <c r="Y1553">
        <f>IF($AH1553="","",INDEX(Calc!$I$2:$I$1601,$AH1553)&amp;" - "&amp;INDEX(Calc!$D$2:$D$1601,$AH1553)&amp;" koli")</f>
        <v/>
      </c>
      <c r="Z1553">
        <f>IF($AG1553="","",Config!$B$21)</f>
        <v/>
      </c>
      <c r="AA1553">
        <f>IF($AG1553="","",Config!$B$22)</f>
        <v/>
      </c>
      <c r="AB1553">
        <f>IF($AH1553="","",INDEX(Calc!$D$2:$D$1601,$AH1553))</f>
        <v/>
      </c>
      <c r="AC1553">
        <f>IF($AH1553="","",INDEX(Calc!$G$2:$G$1601,$AH1553))</f>
        <v/>
      </c>
      <c r="AD1553">
        <f>IF($AG1553="","",Config!$B$23)</f>
        <v/>
      </c>
      <c r="AE1553">
        <f>IF($AG1553="","",Config!$B$28)</f>
        <v/>
      </c>
      <c r="AG1553">
        <f>IFERROR(MATCH(ROW()-1,Calc!$J$2:$J$1601,0),"")</f>
        <v/>
      </c>
      <c r="AH1553">
        <f>IFERROR(MATCH(ROW()-1,Calc!$K$2:$K$1601,0),"")</f>
        <v/>
      </c>
      <c r="AQ1553">
        <f>IF($AG1553="","",TRIM(IF(COUNTIFS(Calc!$B$2:$B$1601,ROW()-1,Calc!$C$2:$C$1601,"&lt;1")&gt;0,"Ada PO tanpa Koli - cek TMP. ","")&amp;IF(LEN($R1553)&gt;500,"R &gt; 500 karakter.","")))</f>
        <v/>
      </c>
    </row>
    <row r="1554">
      <c r="A1554">
        <f>IF($AG1554="","",INDEX('TMP Paste'!$B$2:$B$1601,$AG1554))</f>
        <v/>
      </c>
      <c r="B1554">
        <f>IF($AG1554="","",Config!$B$14)</f>
        <v/>
      </c>
      <c r="C1554">
        <f>IF($AG1554="","",Config!$B$15)</f>
        <v/>
      </c>
      <c r="D1554">
        <f>IF($AG1554="","",INDEX('TMP Paste'!$B$2:$B$1601,$AG1554))</f>
        <v/>
      </c>
      <c r="E1554">
        <f>IF($AG1554="","",Config!$B$27)</f>
        <v/>
      </c>
      <c r="F1554">
        <f>IF($AG1554="","",Config!$B$9)</f>
        <v/>
      </c>
      <c r="G1554">
        <f>IF($AG1554="","",Config!$B$10)</f>
        <v/>
      </c>
      <c r="H1554">
        <f>IF($AG1554="","",Config!$B$11)</f>
        <v/>
      </c>
      <c r="I1554">
        <f>IF($AG1554="","",Config!$B$16)</f>
        <v/>
      </c>
      <c r="J1554">
        <f>IF($AG1554="","",INDEX('TMP Paste'!$A$2:$A$1601,$AG1554))</f>
        <v/>
      </c>
      <c r="K1554">
        <f>IF($AG1554="","",INDEX('TMP Paste'!$L$2:$L$1601,$AG1554))</f>
        <v/>
      </c>
      <c r="L1554">
        <f>IF($AG1554="","",INDEX('TMP Paste'!$I$2:$I$1601,$AG1554))</f>
        <v/>
      </c>
      <c r="M1554">
        <f>IF($AG1554="","",Config!$B$16)</f>
        <v/>
      </c>
      <c r="N1554">
        <f>IF($AG1554="","","")</f>
        <v/>
      </c>
      <c r="O1554">
        <f>IF($AG1554="","",INDEX('TMP Paste'!$K$2:$K$1601,$AG1554))</f>
        <v/>
      </c>
      <c r="P1554">
        <f>IF($AG1554="","","")</f>
        <v/>
      </c>
      <c r="Q1554">
        <f>IF($AG1554="","",INDEX('TMP Paste'!$J$2:$J$1601,$AG1554))</f>
        <v/>
      </c>
      <c r="R1554">
        <f>IF($AG1554="","",Config!$B$24)</f>
        <v/>
      </c>
      <c r="S1554">
        <f>IF($AG1554="","",TEXT(Config!$B$4,"yyyy-mm-dd"))</f>
        <v/>
      </c>
      <c r="T1554">
        <f>IF($AG1554="","",Config!$B$17)</f>
        <v/>
      </c>
      <c r="U1554">
        <f>IF($AG1554="","",Config!$B$18)</f>
        <v/>
      </c>
      <c r="V1554">
        <f>IF($AG1554="","",Config!$B$19)</f>
        <v/>
      </c>
      <c r="W1554">
        <f>IF($AG1554="","",INDEX('TMP Paste'!$C$2:$C$1601,$AG1554))</f>
        <v/>
      </c>
      <c r="X1554">
        <f>IF($AG1554="","",Config!$B$29)</f>
        <v/>
      </c>
      <c r="Y1554">
        <f>IF($AH1554="","",INDEX(Calc!$I$2:$I$1601,$AH1554)&amp;" - "&amp;INDEX(Calc!$D$2:$D$1601,$AH1554)&amp;" koli")</f>
        <v/>
      </c>
      <c r="Z1554">
        <f>IF($AG1554="","",Config!$B$21)</f>
        <v/>
      </c>
      <c r="AA1554">
        <f>IF($AG1554="","",Config!$B$22)</f>
        <v/>
      </c>
      <c r="AB1554">
        <f>IF($AH1554="","",INDEX(Calc!$D$2:$D$1601,$AH1554))</f>
        <v/>
      </c>
      <c r="AC1554">
        <f>IF($AH1554="","",INDEX(Calc!$G$2:$G$1601,$AH1554))</f>
        <v/>
      </c>
      <c r="AD1554">
        <f>IF($AG1554="","",Config!$B$23)</f>
        <v/>
      </c>
      <c r="AE1554">
        <f>IF($AG1554="","",Config!$B$28)</f>
        <v/>
      </c>
      <c r="AG1554">
        <f>IFERROR(MATCH(ROW()-1,Calc!$J$2:$J$1601,0),"")</f>
        <v/>
      </c>
      <c r="AH1554">
        <f>IFERROR(MATCH(ROW()-1,Calc!$K$2:$K$1601,0),"")</f>
        <v/>
      </c>
      <c r="AQ1554">
        <f>IF($AG1554="","",TRIM(IF(COUNTIFS(Calc!$B$2:$B$1601,ROW()-1,Calc!$C$2:$C$1601,"&lt;1")&gt;0,"Ada PO tanpa Koli - cek TMP. ","")&amp;IF(LEN($R1554)&gt;500,"R &gt; 500 karakter.","")))</f>
        <v/>
      </c>
    </row>
    <row r="1555">
      <c r="A1555">
        <f>IF($AG1555="","",INDEX('TMP Paste'!$B$2:$B$1601,$AG1555))</f>
        <v/>
      </c>
      <c r="B1555">
        <f>IF($AG1555="","",Config!$B$14)</f>
        <v/>
      </c>
      <c r="C1555">
        <f>IF($AG1555="","",Config!$B$15)</f>
        <v/>
      </c>
      <c r="D1555">
        <f>IF($AG1555="","",INDEX('TMP Paste'!$B$2:$B$1601,$AG1555))</f>
        <v/>
      </c>
      <c r="E1555">
        <f>IF($AG1555="","",Config!$B$27)</f>
        <v/>
      </c>
      <c r="F1555">
        <f>IF($AG1555="","",Config!$B$9)</f>
        <v/>
      </c>
      <c r="G1555">
        <f>IF($AG1555="","",Config!$B$10)</f>
        <v/>
      </c>
      <c r="H1555">
        <f>IF($AG1555="","",Config!$B$11)</f>
        <v/>
      </c>
      <c r="I1555">
        <f>IF($AG1555="","",Config!$B$16)</f>
        <v/>
      </c>
      <c r="J1555">
        <f>IF($AG1555="","",INDEX('TMP Paste'!$A$2:$A$1601,$AG1555))</f>
        <v/>
      </c>
      <c r="K1555">
        <f>IF($AG1555="","",INDEX('TMP Paste'!$L$2:$L$1601,$AG1555))</f>
        <v/>
      </c>
      <c r="L1555">
        <f>IF($AG1555="","",INDEX('TMP Paste'!$I$2:$I$1601,$AG1555))</f>
        <v/>
      </c>
      <c r="M1555">
        <f>IF($AG1555="","",Config!$B$16)</f>
        <v/>
      </c>
      <c r="N1555">
        <f>IF($AG1555="","","")</f>
        <v/>
      </c>
      <c r="O1555">
        <f>IF($AG1555="","",INDEX('TMP Paste'!$K$2:$K$1601,$AG1555))</f>
        <v/>
      </c>
      <c r="P1555">
        <f>IF($AG1555="","","")</f>
        <v/>
      </c>
      <c r="Q1555">
        <f>IF($AG1555="","",INDEX('TMP Paste'!$J$2:$J$1601,$AG1555))</f>
        <v/>
      </c>
      <c r="R1555">
        <f>IF($AG1555="","",Config!$B$24)</f>
        <v/>
      </c>
      <c r="S1555">
        <f>IF($AG1555="","",TEXT(Config!$B$4,"yyyy-mm-dd"))</f>
        <v/>
      </c>
      <c r="T1555">
        <f>IF($AG1555="","",Config!$B$17)</f>
        <v/>
      </c>
      <c r="U1555">
        <f>IF($AG1555="","",Config!$B$18)</f>
        <v/>
      </c>
      <c r="V1555">
        <f>IF($AG1555="","",Config!$B$19)</f>
        <v/>
      </c>
      <c r="W1555">
        <f>IF($AG1555="","",INDEX('TMP Paste'!$C$2:$C$1601,$AG1555))</f>
        <v/>
      </c>
      <c r="X1555">
        <f>IF($AG1555="","",Config!$B$29)</f>
        <v/>
      </c>
      <c r="Y1555">
        <f>IF($AH1555="","",INDEX(Calc!$I$2:$I$1601,$AH1555)&amp;" - "&amp;INDEX(Calc!$D$2:$D$1601,$AH1555)&amp;" koli")</f>
        <v/>
      </c>
      <c r="Z1555">
        <f>IF($AG1555="","",Config!$B$21)</f>
        <v/>
      </c>
      <c r="AA1555">
        <f>IF($AG1555="","",Config!$B$22)</f>
        <v/>
      </c>
      <c r="AB1555">
        <f>IF($AH1555="","",INDEX(Calc!$D$2:$D$1601,$AH1555))</f>
        <v/>
      </c>
      <c r="AC1555">
        <f>IF($AH1555="","",INDEX(Calc!$G$2:$G$1601,$AH1555))</f>
        <v/>
      </c>
      <c r="AD1555">
        <f>IF($AG1555="","",Config!$B$23)</f>
        <v/>
      </c>
      <c r="AE1555">
        <f>IF($AG1555="","",Config!$B$28)</f>
        <v/>
      </c>
      <c r="AG1555">
        <f>IFERROR(MATCH(ROW()-1,Calc!$J$2:$J$1601,0),"")</f>
        <v/>
      </c>
      <c r="AH1555">
        <f>IFERROR(MATCH(ROW()-1,Calc!$K$2:$K$1601,0),"")</f>
        <v/>
      </c>
      <c r="AQ1555">
        <f>IF($AG1555="","",TRIM(IF(COUNTIFS(Calc!$B$2:$B$1601,ROW()-1,Calc!$C$2:$C$1601,"&lt;1")&gt;0,"Ada PO tanpa Koli - cek TMP. ","")&amp;IF(LEN($R1555)&gt;500,"R &gt; 500 karakter.","")))</f>
        <v/>
      </c>
    </row>
    <row r="1556">
      <c r="A1556">
        <f>IF($AG1556="","",INDEX('TMP Paste'!$B$2:$B$1601,$AG1556))</f>
        <v/>
      </c>
      <c r="B1556">
        <f>IF($AG1556="","",Config!$B$14)</f>
        <v/>
      </c>
      <c r="C1556">
        <f>IF($AG1556="","",Config!$B$15)</f>
        <v/>
      </c>
      <c r="D1556">
        <f>IF($AG1556="","",INDEX('TMP Paste'!$B$2:$B$1601,$AG1556))</f>
        <v/>
      </c>
      <c r="E1556">
        <f>IF($AG1556="","",Config!$B$27)</f>
        <v/>
      </c>
      <c r="F1556">
        <f>IF($AG1556="","",Config!$B$9)</f>
        <v/>
      </c>
      <c r="G1556">
        <f>IF($AG1556="","",Config!$B$10)</f>
        <v/>
      </c>
      <c r="H1556">
        <f>IF($AG1556="","",Config!$B$11)</f>
        <v/>
      </c>
      <c r="I1556">
        <f>IF($AG1556="","",Config!$B$16)</f>
        <v/>
      </c>
      <c r="J1556">
        <f>IF($AG1556="","",INDEX('TMP Paste'!$A$2:$A$1601,$AG1556))</f>
        <v/>
      </c>
      <c r="K1556">
        <f>IF($AG1556="","",INDEX('TMP Paste'!$L$2:$L$1601,$AG1556))</f>
        <v/>
      </c>
      <c r="L1556">
        <f>IF($AG1556="","",INDEX('TMP Paste'!$I$2:$I$1601,$AG1556))</f>
        <v/>
      </c>
      <c r="M1556">
        <f>IF($AG1556="","",Config!$B$16)</f>
        <v/>
      </c>
      <c r="N1556">
        <f>IF($AG1556="","","")</f>
        <v/>
      </c>
      <c r="O1556">
        <f>IF($AG1556="","",INDEX('TMP Paste'!$K$2:$K$1601,$AG1556))</f>
        <v/>
      </c>
      <c r="P1556">
        <f>IF($AG1556="","","")</f>
        <v/>
      </c>
      <c r="Q1556">
        <f>IF($AG1556="","",INDEX('TMP Paste'!$J$2:$J$1601,$AG1556))</f>
        <v/>
      </c>
      <c r="R1556">
        <f>IF($AG1556="","",Config!$B$24)</f>
        <v/>
      </c>
      <c r="S1556">
        <f>IF($AG1556="","",TEXT(Config!$B$4,"yyyy-mm-dd"))</f>
        <v/>
      </c>
      <c r="T1556">
        <f>IF($AG1556="","",Config!$B$17)</f>
        <v/>
      </c>
      <c r="U1556">
        <f>IF($AG1556="","",Config!$B$18)</f>
        <v/>
      </c>
      <c r="V1556">
        <f>IF($AG1556="","",Config!$B$19)</f>
        <v/>
      </c>
      <c r="W1556">
        <f>IF($AG1556="","",INDEX('TMP Paste'!$C$2:$C$1601,$AG1556))</f>
        <v/>
      </c>
      <c r="X1556">
        <f>IF($AG1556="","",Config!$B$29)</f>
        <v/>
      </c>
      <c r="Y1556">
        <f>IF($AH1556="","",INDEX(Calc!$I$2:$I$1601,$AH1556)&amp;" - "&amp;INDEX(Calc!$D$2:$D$1601,$AH1556)&amp;" koli")</f>
        <v/>
      </c>
      <c r="Z1556">
        <f>IF($AG1556="","",Config!$B$21)</f>
        <v/>
      </c>
      <c r="AA1556">
        <f>IF($AG1556="","",Config!$B$22)</f>
        <v/>
      </c>
      <c r="AB1556">
        <f>IF($AH1556="","",INDEX(Calc!$D$2:$D$1601,$AH1556))</f>
        <v/>
      </c>
      <c r="AC1556">
        <f>IF($AH1556="","",INDEX(Calc!$G$2:$G$1601,$AH1556))</f>
        <v/>
      </c>
      <c r="AD1556">
        <f>IF($AG1556="","",Config!$B$23)</f>
        <v/>
      </c>
      <c r="AE1556">
        <f>IF($AG1556="","",Config!$B$28)</f>
        <v/>
      </c>
      <c r="AG1556">
        <f>IFERROR(MATCH(ROW()-1,Calc!$J$2:$J$1601,0),"")</f>
        <v/>
      </c>
      <c r="AH1556">
        <f>IFERROR(MATCH(ROW()-1,Calc!$K$2:$K$1601,0),"")</f>
        <v/>
      </c>
      <c r="AQ1556">
        <f>IF($AG1556="","",TRIM(IF(COUNTIFS(Calc!$B$2:$B$1601,ROW()-1,Calc!$C$2:$C$1601,"&lt;1")&gt;0,"Ada PO tanpa Koli - cek TMP. ","")&amp;IF(LEN($R1556)&gt;500,"R &gt; 500 karakter.","")))</f>
        <v/>
      </c>
    </row>
    <row r="1557">
      <c r="A1557">
        <f>IF($AG1557="","",INDEX('TMP Paste'!$B$2:$B$1601,$AG1557))</f>
        <v/>
      </c>
      <c r="B1557">
        <f>IF($AG1557="","",Config!$B$14)</f>
        <v/>
      </c>
      <c r="C1557">
        <f>IF($AG1557="","",Config!$B$15)</f>
        <v/>
      </c>
      <c r="D1557">
        <f>IF($AG1557="","",INDEX('TMP Paste'!$B$2:$B$1601,$AG1557))</f>
        <v/>
      </c>
      <c r="E1557">
        <f>IF($AG1557="","",Config!$B$27)</f>
        <v/>
      </c>
      <c r="F1557">
        <f>IF($AG1557="","",Config!$B$9)</f>
        <v/>
      </c>
      <c r="G1557">
        <f>IF($AG1557="","",Config!$B$10)</f>
        <v/>
      </c>
      <c r="H1557">
        <f>IF($AG1557="","",Config!$B$11)</f>
        <v/>
      </c>
      <c r="I1557">
        <f>IF($AG1557="","",Config!$B$16)</f>
        <v/>
      </c>
      <c r="J1557">
        <f>IF($AG1557="","",INDEX('TMP Paste'!$A$2:$A$1601,$AG1557))</f>
        <v/>
      </c>
      <c r="K1557">
        <f>IF($AG1557="","",INDEX('TMP Paste'!$L$2:$L$1601,$AG1557))</f>
        <v/>
      </c>
      <c r="L1557">
        <f>IF($AG1557="","",INDEX('TMP Paste'!$I$2:$I$1601,$AG1557))</f>
        <v/>
      </c>
      <c r="M1557">
        <f>IF($AG1557="","",Config!$B$16)</f>
        <v/>
      </c>
      <c r="N1557">
        <f>IF($AG1557="","","")</f>
        <v/>
      </c>
      <c r="O1557">
        <f>IF($AG1557="","",INDEX('TMP Paste'!$K$2:$K$1601,$AG1557))</f>
        <v/>
      </c>
      <c r="P1557">
        <f>IF($AG1557="","","")</f>
        <v/>
      </c>
      <c r="Q1557">
        <f>IF($AG1557="","",INDEX('TMP Paste'!$J$2:$J$1601,$AG1557))</f>
        <v/>
      </c>
      <c r="R1557">
        <f>IF($AG1557="","",Config!$B$24)</f>
        <v/>
      </c>
      <c r="S1557">
        <f>IF($AG1557="","",TEXT(Config!$B$4,"yyyy-mm-dd"))</f>
        <v/>
      </c>
      <c r="T1557">
        <f>IF($AG1557="","",Config!$B$17)</f>
        <v/>
      </c>
      <c r="U1557">
        <f>IF($AG1557="","",Config!$B$18)</f>
        <v/>
      </c>
      <c r="V1557">
        <f>IF($AG1557="","",Config!$B$19)</f>
        <v/>
      </c>
      <c r="W1557">
        <f>IF($AG1557="","",INDEX('TMP Paste'!$C$2:$C$1601,$AG1557))</f>
        <v/>
      </c>
      <c r="X1557">
        <f>IF($AG1557="","",Config!$B$29)</f>
        <v/>
      </c>
      <c r="Y1557">
        <f>IF($AH1557="","",INDEX(Calc!$I$2:$I$1601,$AH1557)&amp;" - "&amp;INDEX(Calc!$D$2:$D$1601,$AH1557)&amp;" koli")</f>
        <v/>
      </c>
      <c r="Z1557">
        <f>IF($AG1557="","",Config!$B$21)</f>
        <v/>
      </c>
      <c r="AA1557">
        <f>IF($AG1557="","",Config!$B$22)</f>
        <v/>
      </c>
      <c r="AB1557">
        <f>IF($AH1557="","",INDEX(Calc!$D$2:$D$1601,$AH1557))</f>
        <v/>
      </c>
      <c r="AC1557">
        <f>IF($AH1557="","",INDEX(Calc!$G$2:$G$1601,$AH1557))</f>
        <v/>
      </c>
      <c r="AD1557">
        <f>IF($AG1557="","",Config!$B$23)</f>
        <v/>
      </c>
      <c r="AE1557">
        <f>IF($AG1557="","",Config!$B$28)</f>
        <v/>
      </c>
      <c r="AG1557">
        <f>IFERROR(MATCH(ROW()-1,Calc!$J$2:$J$1601,0),"")</f>
        <v/>
      </c>
      <c r="AH1557">
        <f>IFERROR(MATCH(ROW()-1,Calc!$K$2:$K$1601,0),"")</f>
        <v/>
      </c>
      <c r="AQ1557">
        <f>IF($AG1557="","",TRIM(IF(COUNTIFS(Calc!$B$2:$B$1601,ROW()-1,Calc!$C$2:$C$1601,"&lt;1")&gt;0,"Ada PO tanpa Koli - cek TMP. ","")&amp;IF(LEN($R1557)&gt;500,"R &gt; 500 karakter.","")))</f>
        <v/>
      </c>
    </row>
    <row r="1558">
      <c r="A1558">
        <f>IF($AG1558="","",INDEX('TMP Paste'!$B$2:$B$1601,$AG1558))</f>
        <v/>
      </c>
      <c r="B1558">
        <f>IF($AG1558="","",Config!$B$14)</f>
        <v/>
      </c>
      <c r="C1558">
        <f>IF($AG1558="","",Config!$B$15)</f>
        <v/>
      </c>
      <c r="D1558">
        <f>IF($AG1558="","",INDEX('TMP Paste'!$B$2:$B$1601,$AG1558))</f>
        <v/>
      </c>
      <c r="E1558">
        <f>IF($AG1558="","",Config!$B$27)</f>
        <v/>
      </c>
      <c r="F1558">
        <f>IF($AG1558="","",Config!$B$9)</f>
        <v/>
      </c>
      <c r="G1558">
        <f>IF($AG1558="","",Config!$B$10)</f>
        <v/>
      </c>
      <c r="H1558">
        <f>IF($AG1558="","",Config!$B$11)</f>
        <v/>
      </c>
      <c r="I1558">
        <f>IF($AG1558="","",Config!$B$16)</f>
        <v/>
      </c>
      <c r="J1558">
        <f>IF($AG1558="","",INDEX('TMP Paste'!$A$2:$A$1601,$AG1558))</f>
        <v/>
      </c>
      <c r="K1558">
        <f>IF($AG1558="","",INDEX('TMP Paste'!$L$2:$L$1601,$AG1558))</f>
        <v/>
      </c>
      <c r="L1558">
        <f>IF($AG1558="","",INDEX('TMP Paste'!$I$2:$I$1601,$AG1558))</f>
        <v/>
      </c>
      <c r="M1558">
        <f>IF($AG1558="","",Config!$B$16)</f>
        <v/>
      </c>
      <c r="N1558">
        <f>IF($AG1558="","","")</f>
        <v/>
      </c>
      <c r="O1558">
        <f>IF($AG1558="","",INDEX('TMP Paste'!$K$2:$K$1601,$AG1558))</f>
        <v/>
      </c>
      <c r="P1558">
        <f>IF($AG1558="","","")</f>
        <v/>
      </c>
      <c r="Q1558">
        <f>IF($AG1558="","",INDEX('TMP Paste'!$J$2:$J$1601,$AG1558))</f>
        <v/>
      </c>
      <c r="R1558">
        <f>IF($AG1558="","",Config!$B$24)</f>
        <v/>
      </c>
      <c r="S1558">
        <f>IF($AG1558="","",TEXT(Config!$B$4,"yyyy-mm-dd"))</f>
        <v/>
      </c>
      <c r="T1558">
        <f>IF($AG1558="","",Config!$B$17)</f>
        <v/>
      </c>
      <c r="U1558">
        <f>IF($AG1558="","",Config!$B$18)</f>
        <v/>
      </c>
      <c r="V1558">
        <f>IF($AG1558="","",Config!$B$19)</f>
        <v/>
      </c>
      <c r="W1558">
        <f>IF($AG1558="","",INDEX('TMP Paste'!$C$2:$C$1601,$AG1558))</f>
        <v/>
      </c>
      <c r="X1558">
        <f>IF($AG1558="","",Config!$B$29)</f>
        <v/>
      </c>
      <c r="Y1558">
        <f>IF($AH1558="","",INDEX(Calc!$I$2:$I$1601,$AH1558)&amp;" - "&amp;INDEX(Calc!$D$2:$D$1601,$AH1558)&amp;" koli")</f>
        <v/>
      </c>
      <c r="Z1558">
        <f>IF($AG1558="","",Config!$B$21)</f>
        <v/>
      </c>
      <c r="AA1558">
        <f>IF($AG1558="","",Config!$B$22)</f>
        <v/>
      </c>
      <c r="AB1558">
        <f>IF($AH1558="","",INDEX(Calc!$D$2:$D$1601,$AH1558))</f>
        <v/>
      </c>
      <c r="AC1558">
        <f>IF($AH1558="","",INDEX(Calc!$G$2:$G$1601,$AH1558))</f>
        <v/>
      </c>
      <c r="AD1558">
        <f>IF($AG1558="","",Config!$B$23)</f>
        <v/>
      </c>
      <c r="AE1558">
        <f>IF($AG1558="","",Config!$B$28)</f>
        <v/>
      </c>
      <c r="AG1558">
        <f>IFERROR(MATCH(ROW()-1,Calc!$J$2:$J$1601,0),"")</f>
        <v/>
      </c>
      <c r="AH1558">
        <f>IFERROR(MATCH(ROW()-1,Calc!$K$2:$K$1601,0),"")</f>
        <v/>
      </c>
      <c r="AQ1558">
        <f>IF($AG1558="","",TRIM(IF(COUNTIFS(Calc!$B$2:$B$1601,ROW()-1,Calc!$C$2:$C$1601,"&lt;1")&gt;0,"Ada PO tanpa Koli - cek TMP. ","")&amp;IF(LEN($R1558)&gt;500,"R &gt; 500 karakter.","")))</f>
        <v/>
      </c>
    </row>
    <row r="1559">
      <c r="A1559">
        <f>IF($AG1559="","",INDEX('TMP Paste'!$B$2:$B$1601,$AG1559))</f>
        <v/>
      </c>
      <c r="B1559">
        <f>IF($AG1559="","",Config!$B$14)</f>
        <v/>
      </c>
      <c r="C1559">
        <f>IF($AG1559="","",Config!$B$15)</f>
        <v/>
      </c>
      <c r="D1559">
        <f>IF($AG1559="","",INDEX('TMP Paste'!$B$2:$B$1601,$AG1559))</f>
        <v/>
      </c>
      <c r="E1559">
        <f>IF($AG1559="","",Config!$B$27)</f>
        <v/>
      </c>
      <c r="F1559">
        <f>IF($AG1559="","",Config!$B$9)</f>
        <v/>
      </c>
      <c r="G1559">
        <f>IF($AG1559="","",Config!$B$10)</f>
        <v/>
      </c>
      <c r="H1559">
        <f>IF($AG1559="","",Config!$B$11)</f>
        <v/>
      </c>
      <c r="I1559">
        <f>IF($AG1559="","",Config!$B$16)</f>
        <v/>
      </c>
      <c r="J1559">
        <f>IF($AG1559="","",INDEX('TMP Paste'!$A$2:$A$1601,$AG1559))</f>
        <v/>
      </c>
      <c r="K1559">
        <f>IF($AG1559="","",INDEX('TMP Paste'!$L$2:$L$1601,$AG1559))</f>
        <v/>
      </c>
      <c r="L1559">
        <f>IF($AG1559="","",INDEX('TMP Paste'!$I$2:$I$1601,$AG1559))</f>
        <v/>
      </c>
      <c r="M1559">
        <f>IF($AG1559="","",Config!$B$16)</f>
        <v/>
      </c>
      <c r="N1559">
        <f>IF($AG1559="","","")</f>
        <v/>
      </c>
      <c r="O1559">
        <f>IF($AG1559="","",INDEX('TMP Paste'!$K$2:$K$1601,$AG1559))</f>
        <v/>
      </c>
      <c r="P1559">
        <f>IF($AG1559="","","")</f>
        <v/>
      </c>
      <c r="Q1559">
        <f>IF($AG1559="","",INDEX('TMP Paste'!$J$2:$J$1601,$AG1559))</f>
        <v/>
      </c>
      <c r="R1559">
        <f>IF($AG1559="","",Config!$B$24)</f>
        <v/>
      </c>
      <c r="S1559">
        <f>IF($AG1559="","",TEXT(Config!$B$4,"yyyy-mm-dd"))</f>
        <v/>
      </c>
      <c r="T1559">
        <f>IF($AG1559="","",Config!$B$17)</f>
        <v/>
      </c>
      <c r="U1559">
        <f>IF($AG1559="","",Config!$B$18)</f>
        <v/>
      </c>
      <c r="V1559">
        <f>IF($AG1559="","",Config!$B$19)</f>
        <v/>
      </c>
      <c r="W1559">
        <f>IF($AG1559="","",INDEX('TMP Paste'!$C$2:$C$1601,$AG1559))</f>
        <v/>
      </c>
      <c r="X1559">
        <f>IF($AG1559="","",Config!$B$29)</f>
        <v/>
      </c>
      <c r="Y1559">
        <f>IF($AH1559="","",INDEX(Calc!$I$2:$I$1601,$AH1559)&amp;" - "&amp;INDEX(Calc!$D$2:$D$1601,$AH1559)&amp;" koli")</f>
        <v/>
      </c>
      <c r="Z1559">
        <f>IF($AG1559="","",Config!$B$21)</f>
        <v/>
      </c>
      <c r="AA1559">
        <f>IF($AG1559="","",Config!$B$22)</f>
        <v/>
      </c>
      <c r="AB1559">
        <f>IF($AH1559="","",INDEX(Calc!$D$2:$D$1601,$AH1559))</f>
        <v/>
      </c>
      <c r="AC1559">
        <f>IF($AH1559="","",INDEX(Calc!$G$2:$G$1601,$AH1559))</f>
        <v/>
      </c>
      <c r="AD1559">
        <f>IF($AG1559="","",Config!$B$23)</f>
        <v/>
      </c>
      <c r="AE1559">
        <f>IF($AG1559="","",Config!$B$28)</f>
        <v/>
      </c>
      <c r="AG1559">
        <f>IFERROR(MATCH(ROW()-1,Calc!$J$2:$J$1601,0),"")</f>
        <v/>
      </c>
      <c r="AH1559">
        <f>IFERROR(MATCH(ROW()-1,Calc!$K$2:$K$1601,0),"")</f>
        <v/>
      </c>
      <c r="AQ1559">
        <f>IF($AG1559="","",TRIM(IF(COUNTIFS(Calc!$B$2:$B$1601,ROW()-1,Calc!$C$2:$C$1601,"&lt;1")&gt;0,"Ada PO tanpa Koli - cek TMP. ","")&amp;IF(LEN($R1559)&gt;500,"R &gt; 500 karakter.","")))</f>
        <v/>
      </c>
    </row>
    <row r="1560">
      <c r="A1560">
        <f>IF($AG1560="","",INDEX('TMP Paste'!$B$2:$B$1601,$AG1560))</f>
        <v/>
      </c>
      <c r="B1560">
        <f>IF($AG1560="","",Config!$B$14)</f>
        <v/>
      </c>
      <c r="C1560">
        <f>IF($AG1560="","",Config!$B$15)</f>
        <v/>
      </c>
      <c r="D1560">
        <f>IF($AG1560="","",INDEX('TMP Paste'!$B$2:$B$1601,$AG1560))</f>
        <v/>
      </c>
      <c r="E1560">
        <f>IF($AG1560="","",Config!$B$27)</f>
        <v/>
      </c>
      <c r="F1560">
        <f>IF($AG1560="","",Config!$B$9)</f>
        <v/>
      </c>
      <c r="G1560">
        <f>IF($AG1560="","",Config!$B$10)</f>
        <v/>
      </c>
      <c r="H1560">
        <f>IF($AG1560="","",Config!$B$11)</f>
        <v/>
      </c>
      <c r="I1560">
        <f>IF($AG1560="","",Config!$B$16)</f>
        <v/>
      </c>
      <c r="J1560">
        <f>IF($AG1560="","",INDEX('TMP Paste'!$A$2:$A$1601,$AG1560))</f>
        <v/>
      </c>
      <c r="K1560">
        <f>IF($AG1560="","",INDEX('TMP Paste'!$L$2:$L$1601,$AG1560))</f>
        <v/>
      </c>
      <c r="L1560">
        <f>IF($AG1560="","",INDEX('TMP Paste'!$I$2:$I$1601,$AG1560))</f>
        <v/>
      </c>
      <c r="M1560">
        <f>IF($AG1560="","",Config!$B$16)</f>
        <v/>
      </c>
      <c r="N1560">
        <f>IF($AG1560="","","")</f>
        <v/>
      </c>
      <c r="O1560">
        <f>IF($AG1560="","",INDEX('TMP Paste'!$K$2:$K$1601,$AG1560))</f>
        <v/>
      </c>
      <c r="P1560">
        <f>IF($AG1560="","","")</f>
        <v/>
      </c>
      <c r="Q1560">
        <f>IF($AG1560="","",INDEX('TMP Paste'!$J$2:$J$1601,$AG1560))</f>
        <v/>
      </c>
      <c r="R1560">
        <f>IF($AG1560="","",Config!$B$24)</f>
        <v/>
      </c>
      <c r="S1560">
        <f>IF($AG1560="","",TEXT(Config!$B$4,"yyyy-mm-dd"))</f>
        <v/>
      </c>
      <c r="T1560">
        <f>IF($AG1560="","",Config!$B$17)</f>
        <v/>
      </c>
      <c r="U1560">
        <f>IF($AG1560="","",Config!$B$18)</f>
        <v/>
      </c>
      <c r="V1560">
        <f>IF($AG1560="","",Config!$B$19)</f>
        <v/>
      </c>
      <c r="W1560">
        <f>IF($AG1560="","",INDEX('TMP Paste'!$C$2:$C$1601,$AG1560))</f>
        <v/>
      </c>
      <c r="X1560">
        <f>IF($AG1560="","",Config!$B$29)</f>
        <v/>
      </c>
      <c r="Y1560">
        <f>IF($AH1560="","",INDEX(Calc!$I$2:$I$1601,$AH1560)&amp;" - "&amp;INDEX(Calc!$D$2:$D$1601,$AH1560)&amp;" koli")</f>
        <v/>
      </c>
      <c r="Z1560">
        <f>IF($AG1560="","",Config!$B$21)</f>
        <v/>
      </c>
      <c r="AA1560">
        <f>IF($AG1560="","",Config!$B$22)</f>
        <v/>
      </c>
      <c r="AB1560">
        <f>IF($AH1560="","",INDEX(Calc!$D$2:$D$1601,$AH1560))</f>
        <v/>
      </c>
      <c r="AC1560">
        <f>IF($AH1560="","",INDEX(Calc!$G$2:$G$1601,$AH1560))</f>
        <v/>
      </c>
      <c r="AD1560">
        <f>IF($AG1560="","",Config!$B$23)</f>
        <v/>
      </c>
      <c r="AE1560">
        <f>IF($AG1560="","",Config!$B$28)</f>
        <v/>
      </c>
      <c r="AG1560">
        <f>IFERROR(MATCH(ROW()-1,Calc!$J$2:$J$1601,0),"")</f>
        <v/>
      </c>
      <c r="AH1560">
        <f>IFERROR(MATCH(ROW()-1,Calc!$K$2:$K$1601,0),"")</f>
        <v/>
      </c>
      <c r="AQ1560">
        <f>IF($AG1560="","",TRIM(IF(COUNTIFS(Calc!$B$2:$B$1601,ROW()-1,Calc!$C$2:$C$1601,"&lt;1")&gt;0,"Ada PO tanpa Koli - cek TMP. ","")&amp;IF(LEN($R1560)&gt;500,"R &gt; 500 karakter.","")))</f>
        <v/>
      </c>
    </row>
    <row r="1561">
      <c r="A1561">
        <f>IF($AG1561="","",INDEX('TMP Paste'!$B$2:$B$1601,$AG1561))</f>
        <v/>
      </c>
      <c r="B1561">
        <f>IF($AG1561="","",Config!$B$14)</f>
        <v/>
      </c>
      <c r="C1561">
        <f>IF($AG1561="","",Config!$B$15)</f>
        <v/>
      </c>
      <c r="D1561">
        <f>IF($AG1561="","",INDEX('TMP Paste'!$B$2:$B$1601,$AG1561))</f>
        <v/>
      </c>
      <c r="E1561">
        <f>IF($AG1561="","",Config!$B$27)</f>
        <v/>
      </c>
      <c r="F1561">
        <f>IF($AG1561="","",Config!$B$9)</f>
        <v/>
      </c>
      <c r="G1561">
        <f>IF($AG1561="","",Config!$B$10)</f>
        <v/>
      </c>
      <c r="H1561">
        <f>IF($AG1561="","",Config!$B$11)</f>
        <v/>
      </c>
      <c r="I1561">
        <f>IF($AG1561="","",Config!$B$16)</f>
        <v/>
      </c>
      <c r="J1561">
        <f>IF($AG1561="","",INDEX('TMP Paste'!$A$2:$A$1601,$AG1561))</f>
        <v/>
      </c>
      <c r="K1561">
        <f>IF($AG1561="","",INDEX('TMP Paste'!$L$2:$L$1601,$AG1561))</f>
        <v/>
      </c>
      <c r="L1561">
        <f>IF($AG1561="","",INDEX('TMP Paste'!$I$2:$I$1601,$AG1561))</f>
        <v/>
      </c>
      <c r="M1561">
        <f>IF($AG1561="","",Config!$B$16)</f>
        <v/>
      </c>
      <c r="N1561">
        <f>IF($AG1561="","","")</f>
        <v/>
      </c>
      <c r="O1561">
        <f>IF($AG1561="","",INDEX('TMP Paste'!$K$2:$K$1601,$AG1561))</f>
        <v/>
      </c>
      <c r="P1561">
        <f>IF($AG1561="","","")</f>
        <v/>
      </c>
      <c r="Q1561">
        <f>IF($AG1561="","",INDEX('TMP Paste'!$J$2:$J$1601,$AG1561))</f>
        <v/>
      </c>
      <c r="R1561">
        <f>IF($AG1561="","",Config!$B$24)</f>
        <v/>
      </c>
      <c r="S1561">
        <f>IF($AG1561="","",TEXT(Config!$B$4,"yyyy-mm-dd"))</f>
        <v/>
      </c>
      <c r="T1561">
        <f>IF($AG1561="","",Config!$B$17)</f>
        <v/>
      </c>
      <c r="U1561">
        <f>IF($AG1561="","",Config!$B$18)</f>
        <v/>
      </c>
      <c r="V1561">
        <f>IF($AG1561="","",Config!$B$19)</f>
        <v/>
      </c>
      <c r="W1561">
        <f>IF($AG1561="","",INDEX('TMP Paste'!$C$2:$C$1601,$AG1561))</f>
        <v/>
      </c>
      <c r="X1561">
        <f>IF($AG1561="","",Config!$B$29)</f>
        <v/>
      </c>
      <c r="Y1561">
        <f>IF($AH1561="","",INDEX(Calc!$I$2:$I$1601,$AH1561)&amp;" - "&amp;INDEX(Calc!$D$2:$D$1601,$AH1561)&amp;" koli")</f>
        <v/>
      </c>
      <c r="Z1561">
        <f>IF($AG1561="","",Config!$B$21)</f>
        <v/>
      </c>
      <c r="AA1561">
        <f>IF($AG1561="","",Config!$B$22)</f>
        <v/>
      </c>
      <c r="AB1561">
        <f>IF($AH1561="","",INDEX(Calc!$D$2:$D$1601,$AH1561))</f>
        <v/>
      </c>
      <c r="AC1561">
        <f>IF($AH1561="","",INDEX(Calc!$G$2:$G$1601,$AH1561))</f>
        <v/>
      </c>
      <c r="AD1561">
        <f>IF($AG1561="","",Config!$B$23)</f>
        <v/>
      </c>
      <c r="AE1561">
        <f>IF($AG1561="","",Config!$B$28)</f>
        <v/>
      </c>
      <c r="AG1561">
        <f>IFERROR(MATCH(ROW()-1,Calc!$J$2:$J$1601,0),"")</f>
        <v/>
      </c>
      <c r="AH1561">
        <f>IFERROR(MATCH(ROW()-1,Calc!$K$2:$K$1601,0),"")</f>
        <v/>
      </c>
      <c r="AQ1561">
        <f>IF($AG1561="","",TRIM(IF(COUNTIFS(Calc!$B$2:$B$1601,ROW()-1,Calc!$C$2:$C$1601,"&lt;1")&gt;0,"Ada PO tanpa Koli - cek TMP. ","")&amp;IF(LEN($R1561)&gt;500,"R &gt; 500 karakter.","")))</f>
        <v/>
      </c>
    </row>
    <row r="1562">
      <c r="A1562">
        <f>IF($AG1562="","",INDEX('TMP Paste'!$B$2:$B$1601,$AG1562))</f>
        <v/>
      </c>
      <c r="B1562">
        <f>IF($AG1562="","",Config!$B$14)</f>
        <v/>
      </c>
      <c r="C1562">
        <f>IF($AG1562="","",Config!$B$15)</f>
        <v/>
      </c>
      <c r="D1562">
        <f>IF($AG1562="","",INDEX('TMP Paste'!$B$2:$B$1601,$AG1562))</f>
        <v/>
      </c>
      <c r="E1562">
        <f>IF($AG1562="","",Config!$B$27)</f>
        <v/>
      </c>
      <c r="F1562">
        <f>IF($AG1562="","",Config!$B$9)</f>
        <v/>
      </c>
      <c r="G1562">
        <f>IF($AG1562="","",Config!$B$10)</f>
        <v/>
      </c>
      <c r="H1562">
        <f>IF($AG1562="","",Config!$B$11)</f>
        <v/>
      </c>
      <c r="I1562">
        <f>IF($AG1562="","",Config!$B$16)</f>
        <v/>
      </c>
      <c r="J1562">
        <f>IF($AG1562="","",INDEX('TMP Paste'!$A$2:$A$1601,$AG1562))</f>
        <v/>
      </c>
      <c r="K1562">
        <f>IF($AG1562="","",INDEX('TMP Paste'!$L$2:$L$1601,$AG1562))</f>
        <v/>
      </c>
      <c r="L1562">
        <f>IF($AG1562="","",INDEX('TMP Paste'!$I$2:$I$1601,$AG1562))</f>
        <v/>
      </c>
      <c r="M1562">
        <f>IF($AG1562="","",Config!$B$16)</f>
        <v/>
      </c>
      <c r="N1562">
        <f>IF($AG1562="","","")</f>
        <v/>
      </c>
      <c r="O1562">
        <f>IF($AG1562="","",INDEX('TMP Paste'!$K$2:$K$1601,$AG1562))</f>
        <v/>
      </c>
      <c r="P1562">
        <f>IF($AG1562="","","")</f>
        <v/>
      </c>
      <c r="Q1562">
        <f>IF($AG1562="","",INDEX('TMP Paste'!$J$2:$J$1601,$AG1562))</f>
        <v/>
      </c>
      <c r="R1562">
        <f>IF($AG1562="","",Config!$B$24)</f>
        <v/>
      </c>
      <c r="S1562">
        <f>IF($AG1562="","",TEXT(Config!$B$4,"yyyy-mm-dd"))</f>
        <v/>
      </c>
      <c r="T1562">
        <f>IF($AG1562="","",Config!$B$17)</f>
        <v/>
      </c>
      <c r="U1562">
        <f>IF($AG1562="","",Config!$B$18)</f>
        <v/>
      </c>
      <c r="V1562">
        <f>IF($AG1562="","",Config!$B$19)</f>
        <v/>
      </c>
      <c r="W1562">
        <f>IF($AG1562="","",INDEX('TMP Paste'!$C$2:$C$1601,$AG1562))</f>
        <v/>
      </c>
      <c r="X1562">
        <f>IF($AG1562="","",Config!$B$29)</f>
        <v/>
      </c>
      <c r="Y1562">
        <f>IF($AH1562="","",INDEX(Calc!$I$2:$I$1601,$AH1562)&amp;" - "&amp;INDEX(Calc!$D$2:$D$1601,$AH1562)&amp;" koli")</f>
        <v/>
      </c>
      <c r="Z1562">
        <f>IF($AG1562="","",Config!$B$21)</f>
        <v/>
      </c>
      <c r="AA1562">
        <f>IF($AG1562="","",Config!$B$22)</f>
        <v/>
      </c>
      <c r="AB1562">
        <f>IF($AH1562="","",INDEX(Calc!$D$2:$D$1601,$AH1562))</f>
        <v/>
      </c>
      <c r="AC1562">
        <f>IF($AH1562="","",INDEX(Calc!$G$2:$G$1601,$AH1562))</f>
        <v/>
      </c>
      <c r="AD1562">
        <f>IF($AG1562="","",Config!$B$23)</f>
        <v/>
      </c>
      <c r="AE1562">
        <f>IF($AG1562="","",Config!$B$28)</f>
        <v/>
      </c>
      <c r="AG1562">
        <f>IFERROR(MATCH(ROW()-1,Calc!$J$2:$J$1601,0),"")</f>
        <v/>
      </c>
      <c r="AH1562">
        <f>IFERROR(MATCH(ROW()-1,Calc!$K$2:$K$1601,0),"")</f>
        <v/>
      </c>
      <c r="AQ1562">
        <f>IF($AG1562="","",TRIM(IF(COUNTIFS(Calc!$B$2:$B$1601,ROW()-1,Calc!$C$2:$C$1601,"&lt;1")&gt;0,"Ada PO tanpa Koli - cek TMP. ","")&amp;IF(LEN($R1562)&gt;500,"R &gt; 500 karakter.","")))</f>
        <v/>
      </c>
    </row>
    <row r="1563">
      <c r="A1563">
        <f>IF($AG1563="","",INDEX('TMP Paste'!$B$2:$B$1601,$AG1563))</f>
        <v/>
      </c>
      <c r="B1563">
        <f>IF($AG1563="","",Config!$B$14)</f>
        <v/>
      </c>
      <c r="C1563">
        <f>IF($AG1563="","",Config!$B$15)</f>
        <v/>
      </c>
      <c r="D1563">
        <f>IF($AG1563="","",INDEX('TMP Paste'!$B$2:$B$1601,$AG1563))</f>
        <v/>
      </c>
      <c r="E1563">
        <f>IF($AG1563="","",Config!$B$27)</f>
        <v/>
      </c>
      <c r="F1563">
        <f>IF($AG1563="","",Config!$B$9)</f>
        <v/>
      </c>
      <c r="G1563">
        <f>IF($AG1563="","",Config!$B$10)</f>
        <v/>
      </c>
      <c r="H1563">
        <f>IF($AG1563="","",Config!$B$11)</f>
        <v/>
      </c>
      <c r="I1563">
        <f>IF($AG1563="","",Config!$B$16)</f>
        <v/>
      </c>
      <c r="J1563">
        <f>IF($AG1563="","",INDEX('TMP Paste'!$A$2:$A$1601,$AG1563))</f>
        <v/>
      </c>
      <c r="K1563">
        <f>IF($AG1563="","",INDEX('TMP Paste'!$L$2:$L$1601,$AG1563))</f>
        <v/>
      </c>
      <c r="L1563">
        <f>IF($AG1563="","",INDEX('TMP Paste'!$I$2:$I$1601,$AG1563))</f>
        <v/>
      </c>
      <c r="M1563">
        <f>IF($AG1563="","",Config!$B$16)</f>
        <v/>
      </c>
      <c r="N1563">
        <f>IF($AG1563="","","")</f>
        <v/>
      </c>
      <c r="O1563">
        <f>IF($AG1563="","",INDEX('TMP Paste'!$K$2:$K$1601,$AG1563))</f>
        <v/>
      </c>
      <c r="P1563">
        <f>IF($AG1563="","","")</f>
        <v/>
      </c>
      <c r="Q1563">
        <f>IF($AG1563="","",INDEX('TMP Paste'!$J$2:$J$1601,$AG1563))</f>
        <v/>
      </c>
      <c r="R1563">
        <f>IF($AG1563="","",Config!$B$24)</f>
        <v/>
      </c>
      <c r="S1563">
        <f>IF($AG1563="","",TEXT(Config!$B$4,"yyyy-mm-dd"))</f>
        <v/>
      </c>
      <c r="T1563">
        <f>IF($AG1563="","",Config!$B$17)</f>
        <v/>
      </c>
      <c r="U1563">
        <f>IF($AG1563="","",Config!$B$18)</f>
        <v/>
      </c>
      <c r="V1563">
        <f>IF($AG1563="","",Config!$B$19)</f>
        <v/>
      </c>
      <c r="W1563">
        <f>IF($AG1563="","",INDEX('TMP Paste'!$C$2:$C$1601,$AG1563))</f>
        <v/>
      </c>
      <c r="X1563">
        <f>IF($AG1563="","",Config!$B$29)</f>
        <v/>
      </c>
      <c r="Y1563">
        <f>IF($AH1563="","",INDEX(Calc!$I$2:$I$1601,$AH1563)&amp;" - "&amp;INDEX(Calc!$D$2:$D$1601,$AH1563)&amp;" koli")</f>
        <v/>
      </c>
      <c r="Z1563">
        <f>IF($AG1563="","",Config!$B$21)</f>
        <v/>
      </c>
      <c r="AA1563">
        <f>IF($AG1563="","",Config!$B$22)</f>
        <v/>
      </c>
      <c r="AB1563">
        <f>IF($AH1563="","",INDEX(Calc!$D$2:$D$1601,$AH1563))</f>
        <v/>
      </c>
      <c r="AC1563">
        <f>IF($AH1563="","",INDEX(Calc!$G$2:$G$1601,$AH1563))</f>
        <v/>
      </c>
      <c r="AD1563">
        <f>IF($AG1563="","",Config!$B$23)</f>
        <v/>
      </c>
      <c r="AE1563">
        <f>IF($AG1563="","",Config!$B$28)</f>
        <v/>
      </c>
      <c r="AG1563">
        <f>IFERROR(MATCH(ROW()-1,Calc!$J$2:$J$1601,0),"")</f>
        <v/>
      </c>
      <c r="AH1563">
        <f>IFERROR(MATCH(ROW()-1,Calc!$K$2:$K$1601,0),"")</f>
        <v/>
      </c>
      <c r="AQ1563">
        <f>IF($AG1563="","",TRIM(IF(COUNTIFS(Calc!$B$2:$B$1601,ROW()-1,Calc!$C$2:$C$1601,"&lt;1")&gt;0,"Ada PO tanpa Koli - cek TMP. ","")&amp;IF(LEN($R1563)&gt;500,"R &gt; 500 karakter.","")))</f>
        <v/>
      </c>
    </row>
    <row r="1564">
      <c r="A1564">
        <f>IF($AG1564="","",INDEX('TMP Paste'!$B$2:$B$1601,$AG1564))</f>
        <v/>
      </c>
      <c r="B1564">
        <f>IF($AG1564="","",Config!$B$14)</f>
        <v/>
      </c>
      <c r="C1564">
        <f>IF($AG1564="","",Config!$B$15)</f>
        <v/>
      </c>
      <c r="D1564">
        <f>IF($AG1564="","",INDEX('TMP Paste'!$B$2:$B$1601,$AG1564))</f>
        <v/>
      </c>
      <c r="E1564">
        <f>IF($AG1564="","",Config!$B$27)</f>
        <v/>
      </c>
      <c r="F1564">
        <f>IF($AG1564="","",Config!$B$9)</f>
        <v/>
      </c>
      <c r="G1564">
        <f>IF($AG1564="","",Config!$B$10)</f>
        <v/>
      </c>
      <c r="H1564">
        <f>IF($AG1564="","",Config!$B$11)</f>
        <v/>
      </c>
      <c r="I1564">
        <f>IF($AG1564="","",Config!$B$16)</f>
        <v/>
      </c>
      <c r="J1564">
        <f>IF($AG1564="","",INDEX('TMP Paste'!$A$2:$A$1601,$AG1564))</f>
        <v/>
      </c>
      <c r="K1564">
        <f>IF($AG1564="","",INDEX('TMP Paste'!$L$2:$L$1601,$AG1564))</f>
        <v/>
      </c>
      <c r="L1564">
        <f>IF($AG1564="","",INDEX('TMP Paste'!$I$2:$I$1601,$AG1564))</f>
        <v/>
      </c>
      <c r="M1564">
        <f>IF($AG1564="","",Config!$B$16)</f>
        <v/>
      </c>
      <c r="N1564">
        <f>IF($AG1564="","","")</f>
        <v/>
      </c>
      <c r="O1564">
        <f>IF($AG1564="","",INDEX('TMP Paste'!$K$2:$K$1601,$AG1564))</f>
        <v/>
      </c>
      <c r="P1564">
        <f>IF($AG1564="","","")</f>
        <v/>
      </c>
      <c r="Q1564">
        <f>IF($AG1564="","",INDEX('TMP Paste'!$J$2:$J$1601,$AG1564))</f>
        <v/>
      </c>
      <c r="R1564">
        <f>IF($AG1564="","",Config!$B$24)</f>
        <v/>
      </c>
      <c r="S1564">
        <f>IF($AG1564="","",TEXT(Config!$B$4,"yyyy-mm-dd"))</f>
        <v/>
      </c>
      <c r="T1564">
        <f>IF($AG1564="","",Config!$B$17)</f>
        <v/>
      </c>
      <c r="U1564">
        <f>IF($AG1564="","",Config!$B$18)</f>
        <v/>
      </c>
      <c r="V1564">
        <f>IF($AG1564="","",Config!$B$19)</f>
        <v/>
      </c>
      <c r="W1564">
        <f>IF($AG1564="","",INDEX('TMP Paste'!$C$2:$C$1601,$AG1564))</f>
        <v/>
      </c>
      <c r="X1564">
        <f>IF($AG1564="","",Config!$B$29)</f>
        <v/>
      </c>
      <c r="Y1564">
        <f>IF($AH1564="","",INDEX(Calc!$I$2:$I$1601,$AH1564)&amp;" - "&amp;INDEX(Calc!$D$2:$D$1601,$AH1564)&amp;" koli")</f>
        <v/>
      </c>
      <c r="Z1564">
        <f>IF($AG1564="","",Config!$B$21)</f>
        <v/>
      </c>
      <c r="AA1564">
        <f>IF($AG1564="","",Config!$B$22)</f>
        <v/>
      </c>
      <c r="AB1564">
        <f>IF($AH1564="","",INDEX(Calc!$D$2:$D$1601,$AH1564))</f>
        <v/>
      </c>
      <c r="AC1564">
        <f>IF($AH1564="","",INDEX(Calc!$G$2:$G$1601,$AH1564))</f>
        <v/>
      </c>
      <c r="AD1564">
        <f>IF($AG1564="","",Config!$B$23)</f>
        <v/>
      </c>
      <c r="AE1564">
        <f>IF($AG1564="","",Config!$B$28)</f>
        <v/>
      </c>
      <c r="AG1564">
        <f>IFERROR(MATCH(ROW()-1,Calc!$J$2:$J$1601,0),"")</f>
        <v/>
      </c>
      <c r="AH1564">
        <f>IFERROR(MATCH(ROW()-1,Calc!$K$2:$K$1601,0),"")</f>
        <v/>
      </c>
      <c r="AQ1564">
        <f>IF($AG1564="","",TRIM(IF(COUNTIFS(Calc!$B$2:$B$1601,ROW()-1,Calc!$C$2:$C$1601,"&lt;1")&gt;0,"Ada PO tanpa Koli - cek TMP. ","")&amp;IF(LEN($R1564)&gt;500,"R &gt; 500 karakter.","")))</f>
        <v/>
      </c>
    </row>
    <row r="1565">
      <c r="A1565">
        <f>IF($AG1565="","",INDEX('TMP Paste'!$B$2:$B$1601,$AG1565))</f>
        <v/>
      </c>
      <c r="B1565">
        <f>IF($AG1565="","",Config!$B$14)</f>
        <v/>
      </c>
      <c r="C1565">
        <f>IF($AG1565="","",Config!$B$15)</f>
        <v/>
      </c>
      <c r="D1565">
        <f>IF($AG1565="","",INDEX('TMP Paste'!$B$2:$B$1601,$AG1565))</f>
        <v/>
      </c>
      <c r="E1565">
        <f>IF($AG1565="","",Config!$B$27)</f>
        <v/>
      </c>
      <c r="F1565">
        <f>IF($AG1565="","",Config!$B$9)</f>
        <v/>
      </c>
      <c r="G1565">
        <f>IF($AG1565="","",Config!$B$10)</f>
        <v/>
      </c>
      <c r="H1565">
        <f>IF($AG1565="","",Config!$B$11)</f>
        <v/>
      </c>
      <c r="I1565">
        <f>IF($AG1565="","",Config!$B$16)</f>
        <v/>
      </c>
      <c r="J1565">
        <f>IF($AG1565="","",INDEX('TMP Paste'!$A$2:$A$1601,$AG1565))</f>
        <v/>
      </c>
      <c r="K1565">
        <f>IF($AG1565="","",INDEX('TMP Paste'!$L$2:$L$1601,$AG1565))</f>
        <v/>
      </c>
      <c r="L1565">
        <f>IF($AG1565="","",INDEX('TMP Paste'!$I$2:$I$1601,$AG1565))</f>
        <v/>
      </c>
      <c r="M1565">
        <f>IF($AG1565="","",Config!$B$16)</f>
        <v/>
      </c>
      <c r="N1565">
        <f>IF($AG1565="","","")</f>
        <v/>
      </c>
      <c r="O1565">
        <f>IF($AG1565="","",INDEX('TMP Paste'!$K$2:$K$1601,$AG1565))</f>
        <v/>
      </c>
      <c r="P1565">
        <f>IF($AG1565="","","")</f>
        <v/>
      </c>
      <c r="Q1565">
        <f>IF($AG1565="","",INDEX('TMP Paste'!$J$2:$J$1601,$AG1565))</f>
        <v/>
      </c>
      <c r="R1565">
        <f>IF($AG1565="","",Config!$B$24)</f>
        <v/>
      </c>
      <c r="S1565">
        <f>IF($AG1565="","",TEXT(Config!$B$4,"yyyy-mm-dd"))</f>
        <v/>
      </c>
      <c r="T1565">
        <f>IF($AG1565="","",Config!$B$17)</f>
        <v/>
      </c>
      <c r="U1565">
        <f>IF($AG1565="","",Config!$B$18)</f>
        <v/>
      </c>
      <c r="V1565">
        <f>IF($AG1565="","",Config!$B$19)</f>
        <v/>
      </c>
      <c r="W1565">
        <f>IF($AG1565="","",INDEX('TMP Paste'!$C$2:$C$1601,$AG1565))</f>
        <v/>
      </c>
      <c r="X1565">
        <f>IF($AG1565="","",Config!$B$29)</f>
        <v/>
      </c>
      <c r="Y1565">
        <f>IF($AH1565="","",INDEX(Calc!$I$2:$I$1601,$AH1565)&amp;" - "&amp;INDEX(Calc!$D$2:$D$1601,$AH1565)&amp;" koli")</f>
        <v/>
      </c>
      <c r="Z1565">
        <f>IF($AG1565="","",Config!$B$21)</f>
        <v/>
      </c>
      <c r="AA1565">
        <f>IF($AG1565="","",Config!$B$22)</f>
        <v/>
      </c>
      <c r="AB1565">
        <f>IF($AH1565="","",INDEX(Calc!$D$2:$D$1601,$AH1565))</f>
        <v/>
      </c>
      <c r="AC1565">
        <f>IF($AH1565="","",INDEX(Calc!$G$2:$G$1601,$AH1565))</f>
        <v/>
      </c>
      <c r="AD1565">
        <f>IF($AG1565="","",Config!$B$23)</f>
        <v/>
      </c>
      <c r="AE1565">
        <f>IF($AG1565="","",Config!$B$28)</f>
        <v/>
      </c>
      <c r="AG1565">
        <f>IFERROR(MATCH(ROW()-1,Calc!$J$2:$J$1601,0),"")</f>
        <v/>
      </c>
      <c r="AH1565">
        <f>IFERROR(MATCH(ROW()-1,Calc!$K$2:$K$1601,0),"")</f>
        <v/>
      </c>
      <c r="AQ1565">
        <f>IF($AG1565="","",TRIM(IF(COUNTIFS(Calc!$B$2:$B$1601,ROW()-1,Calc!$C$2:$C$1601,"&lt;1")&gt;0,"Ada PO tanpa Koli - cek TMP. ","")&amp;IF(LEN($R1565)&gt;500,"R &gt; 500 karakter.","")))</f>
        <v/>
      </c>
    </row>
    <row r="1566">
      <c r="A1566">
        <f>IF($AG1566="","",INDEX('TMP Paste'!$B$2:$B$1601,$AG1566))</f>
        <v/>
      </c>
      <c r="B1566">
        <f>IF($AG1566="","",Config!$B$14)</f>
        <v/>
      </c>
      <c r="C1566">
        <f>IF($AG1566="","",Config!$B$15)</f>
        <v/>
      </c>
      <c r="D1566">
        <f>IF($AG1566="","",INDEX('TMP Paste'!$B$2:$B$1601,$AG1566))</f>
        <v/>
      </c>
      <c r="E1566">
        <f>IF($AG1566="","",Config!$B$27)</f>
        <v/>
      </c>
      <c r="F1566">
        <f>IF($AG1566="","",Config!$B$9)</f>
        <v/>
      </c>
      <c r="G1566">
        <f>IF($AG1566="","",Config!$B$10)</f>
        <v/>
      </c>
      <c r="H1566">
        <f>IF($AG1566="","",Config!$B$11)</f>
        <v/>
      </c>
      <c r="I1566">
        <f>IF($AG1566="","",Config!$B$16)</f>
        <v/>
      </c>
      <c r="J1566">
        <f>IF($AG1566="","",INDEX('TMP Paste'!$A$2:$A$1601,$AG1566))</f>
        <v/>
      </c>
      <c r="K1566">
        <f>IF($AG1566="","",INDEX('TMP Paste'!$L$2:$L$1601,$AG1566))</f>
        <v/>
      </c>
      <c r="L1566">
        <f>IF($AG1566="","",INDEX('TMP Paste'!$I$2:$I$1601,$AG1566))</f>
        <v/>
      </c>
      <c r="M1566">
        <f>IF($AG1566="","",Config!$B$16)</f>
        <v/>
      </c>
      <c r="N1566">
        <f>IF($AG1566="","","")</f>
        <v/>
      </c>
      <c r="O1566">
        <f>IF($AG1566="","",INDEX('TMP Paste'!$K$2:$K$1601,$AG1566))</f>
        <v/>
      </c>
      <c r="P1566">
        <f>IF($AG1566="","","")</f>
        <v/>
      </c>
      <c r="Q1566">
        <f>IF($AG1566="","",INDEX('TMP Paste'!$J$2:$J$1601,$AG1566))</f>
        <v/>
      </c>
      <c r="R1566">
        <f>IF($AG1566="","",Config!$B$24)</f>
        <v/>
      </c>
      <c r="S1566">
        <f>IF($AG1566="","",TEXT(Config!$B$4,"yyyy-mm-dd"))</f>
        <v/>
      </c>
      <c r="T1566">
        <f>IF($AG1566="","",Config!$B$17)</f>
        <v/>
      </c>
      <c r="U1566">
        <f>IF($AG1566="","",Config!$B$18)</f>
        <v/>
      </c>
      <c r="V1566">
        <f>IF($AG1566="","",Config!$B$19)</f>
        <v/>
      </c>
      <c r="W1566">
        <f>IF($AG1566="","",INDEX('TMP Paste'!$C$2:$C$1601,$AG1566))</f>
        <v/>
      </c>
      <c r="X1566">
        <f>IF($AG1566="","",Config!$B$29)</f>
        <v/>
      </c>
      <c r="Y1566">
        <f>IF($AH1566="","",INDEX(Calc!$I$2:$I$1601,$AH1566)&amp;" - "&amp;INDEX(Calc!$D$2:$D$1601,$AH1566)&amp;" koli")</f>
        <v/>
      </c>
      <c r="Z1566">
        <f>IF($AG1566="","",Config!$B$21)</f>
        <v/>
      </c>
      <c r="AA1566">
        <f>IF($AG1566="","",Config!$B$22)</f>
        <v/>
      </c>
      <c r="AB1566">
        <f>IF($AH1566="","",INDEX(Calc!$D$2:$D$1601,$AH1566))</f>
        <v/>
      </c>
      <c r="AC1566">
        <f>IF($AH1566="","",INDEX(Calc!$G$2:$G$1601,$AH1566))</f>
        <v/>
      </c>
      <c r="AD1566">
        <f>IF($AG1566="","",Config!$B$23)</f>
        <v/>
      </c>
      <c r="AE1566">
        <f>IF($AG1566="","",Config!$B$28)</f>
        <v/>
      </c>
      <c r="AG1566">
        <f>IFERROR(MATCH(ROW()-1,Calc!$J$2:$J$1601,0),"")</f>
        <v/>
      </c>
      <c r="AH1566">
        <f>IFERROR(MATCH(ROW()-1,Calc!$K$2:$K$1601,0),"")</f>
        <v/>
      </c>
      <c r="AQ1566">
        <f>IF($AG1566="","",TRIM(IF(COUNTIFS(Calc!$B$2:$B$1601,ROW()-1,Calc!$C$2:$C$1601,"&lt;1")&gt;0,"Ada PO tanpa Koli - cek TMP. ","")&amp;IF(LEN($R1566)&gt;500,"R &gt; 500 karakter.","")))</f>
        <v/>
      </c>
    </row>
    <row r="1567">
      <c r="A1567">
        <f>IF($AG1567="","",INDEX('TMP Paste'!$B$2:$B$1601,$AG1567))</f>
        <v/>
      </c>
      <c r="B1567">
        <f>IF($AG1567="","",Config!$B$14)</f>
        <v/>
      </c>
      <c r="C1567">
        <f>IF($AG1567="","",Config!$B$15)</f>
        <v/>
      </c>
      <c r="D1567">
        <f>IF($AG1567="","",INDEX('TMP Paste'!$B$2:$B$1601,$AG1567))</f>
        <v/>
      </c>
      <c r="E1567">
        <f>IF($AG1567="","",Config!$B$27)</f>
        <v/>
      </c>
      <c r="F1567">
        <f>IF($AG1567="","",Config!$B$9)</f>
        <v/>
      </c>
      <c r="G1567">
        <f>IF($AG1567="","",Config!$B$10)</f>
        <v/>
      </c>
      <c r="H1567">
        <f>IF($AG1567="","",Config!$B$11)</f>
        <v/>
      </c>
      <c r="I1567">
        <f>IF($AG1567="","",Config!$B$16)</f>
        <v/>
      </c>
      <c r="J1567">
        <f>IF($AG1567="","",INDEX('TMP Paste'!$A$2:$A$1601,$AG1567))</f>
        <v/>
      </c>
      <c r="K1567">
        <f>IF($AG1567="","",INDEX('TMP Paste'!$L$2:$L$1601,$AG1567))</f>
        <v/>
      </c>
      <c r="L1567">
        <f>IF($AG1567="","",INDEX('TMP Paste'!$I$2:$I$1601,$AG1567))</f>
        <v/>
      </c>
      <c r="M1567">
        <f>IF($AG1567="","",Config!$B$16)</f>
        <v/>
      </c>
      <c r="N1567">
        <f>IF($AG1567="","","")</f>
        <v/>
      </c>
      <c r="O1567">
        <f>IF($AG1567="","",INDEX('TMP Paste'!$K$2:$K$1601,$AG1567))</f>
        <v/>
      </c>
      <c r="P1567">
        <f>IF($AG1567="","","")</f>
        <v/>
      </c>
      <c r="Q1567">
        <f>IF($AG1567="","",INDEX('TMP Paste'!$J$2:$J$1601,$AG1567))</f>
        <v/>
      </c>
      <c r="R1567">
        <f>IF($AG1567="","",Config!$B$24)</f>
        <v/>
      </c>
      <c r="S1567">
        <f>IF($AG1567="","",TEXT(Config!$B$4,"yyyy-mm-dd"))</f>
        <v/>
      </c>
      <c r="T1567">
        <f>IF($AG1567="","",Config!$B$17)</f>
        <v/>
      </c>
      <c r="U1567">
        <f>IF($AG1567="","",Config!$B$18)</f>
        <v/>
      </c>
      <c r="V1567">
        <f>IF($AG1567="","",Config!$B$19)</f>
        <v/>
      </c>
      <c r="W1567">
        <f>IF($AG1567="","",INDEX('TMP Paste'!$C$2:$C$1601,$AG1567))</f>
        <v/>
      </c>
      <c r="X1567">
        <f>IF($AG1567="","",Config!$B$29)</f>
        <v/>
      </c>
      <c r="Y1567">
        <f>IF($AH1567="","",INDEX(Calc!$I$2:$I$1601,$AH1567)&amp;" - "&amp;INDEX(Calc!$D$2:$D$1601,$AH1567)&amp;" koli")</f>
        <v/>
      </c>
      <c r="Z1567">
        <f>IF($AG1567="","",Config!$B$21)</f>
        <v/>
      </c>
      <c r="AA1567">
        <f>IF($AG1567="","",Config!$B$22)</f>
        <v/>
      </c>
      <c r="AB1567">
        <f>IF($AH1567="","",INDEX(Calc!$D$2:$D$1601,$AH1567))</f>
        <v/>
      </c>
      <c r="AC1567">
        <f>IF($AH1567="","",INDEX(Calc!$G$2:$G$1601,$AH1567))</f>
        <v/>
      </c>
      <c r="AD1567">
        <f>IF($AG1567="","",Config!$B$23)</f>
        <v/>
      </c>
      <c r="AE1567">
        <f>IF($AG1567="","",Config!$B$28)</f>
        <v/>
      </c>
      <c r="AG1567">
        <f>IFERROR(MATCH(ROW()-1,Calc!$J$2:$J$1601,0),"")</f>
        <v/>
      </c>
      <c r="AH1567">
        <f>IFERROR(MATCH(ROW()-1,Calc!$K$2:$K$1601,0),"")</f>
        <v/>
      </c>
      <c r="AQ1567">
        <f>IF($AG1567="","",TRIM(IF(COUNTIFS(Calc!$B$2:$B$1601,ROW()-1,Calc!$C$2:$C$1601,"&lt;1")&gt;0,"Ada PO tanpa Koli - cek TMP. ","")&amp;IF(LEN($R1567)&gt;500,"R &gt; 500 karakter.","")))</f>
        <v/>
      </c>
    </row>
    <row r="1568">
      <c r="A1568">
        <f>IF($AG1568="","",INDEX('TMP Paste'!$B$2:$B$1601,$AG1568))</f>
        <v/>
      </c>
      <c r="B1568">
        <f>IF($AG1568="","",Config!$B$14)</f>
        <v/>
      </c>
      <c r="C1568">
        <f>IF($AG1568="","",Config!$B$15)</f>
        <v/>
      </c>
      <c r="D1568">
        <f>IF($AG1568="","",INDEX('TMP Paste'!$B$2:$B$1601,$AG1568))</f>
        <v/>
      </c>
      <c r="E1568">
        <f>IF($AG1568="","",Config!$B$27)</f>
        <v/>
      </c>
      <c r="F1568">
        <f>IF($AG1568="","",Config!$B$9)</f>
        <v/>
      </c>
      <c r="G1568">
        <f>IF($AG1568="","",Config!$B$10)</f>
        <v/>
      </c>
      <c r="H1568">
        <f>IF($AG1568="","",Config!$B$11)</f>
        <v/>
      </c>
      <c r="I1568">
        <f>IF($AG1568="","",Config!$B$16)</f>
        <v/>
      </c>
      <c r="J1568">
        <f>IF($AG1568="","",INDEX('TMP Paste'!$A$2:$A$1601,$AG1568))</f>
        <v/>
      </c>
      <c r="K1568">
        <f>IF($AG1568="","",INDEX('TMP Paste'!$L$2:$L$1601,$AG1568))</f>
        <v/>
      </c>
      <c r="L1568">
        <f>IF($AG1568="","",INDEX('TMP Paste'!$I$2:$I$1601,$AG1568))</f>
        <v/>
      </c>
      <c r="M1568">
        <f>IF($AG1568="","",Config!$B$16)</f>
        <v/>
      </c>
      <c r="N1568">
        <f>IF($AG1568="","","")</f>
        <v/>
      </c>
      <c r="O1568">
        <f>IF($AG1568="","",INDEX('TMP Paste'!$K$2:$K$1601,$AG1568))</f>
        <v/>
      </c>
      <c r="P1568">
        <f>IF($AG1568="","","")</f>
        <v/>
      </c>
      <c r="Q1568">
        <f>IF($AG1568="","",INDEX('TMP Paste'!$J$2:$J$1601,$AG1568))</f>
        <v/>
      </c>
      <c r="R1568">
        <f>IF($AG1568="","",Config!$B$24)</f>
        <v/>
      </c>
      <c r="S1568">
        <f>IF($AG1568="","",TEXT(Config!$B$4,"yyyy-mm-dd"))</f>
        <v/>
      </c>
      <c r="T1568">
        <f>IF($AG1568="","",Config!$B$17)</f>
        <v/>
      </c>
      <c r="U1568">
        <f>IF($AG1568="","",Config!$B$18)</f>
        <v/>
      </c>
      <c r="V1568">
        <f>IF($AG1568="","",Config!$B$19)</f>
        <v/>
      </c>
      <c r="W1568">
        <f>IF($AG1568="","",INDEX('TMP Paste'!$C$2:$C$1601,$AG1568))</f>
        <v/>
      </c>
      <c r="X1568">
        <f>IF($AG1568="","",Config!$B$29)</f>
        <v/>
      </c>
      <c r="Y1568">
        <f>IF($AH1568="","",INDEX(Calc!$I$2:$I$1601,$AH1568)&amp;" - "&amp;INDEX(Calc!$D$2:$D$1601,$AH1568)&amp;" koli")</f>
        <v/>
      </c>
      <c r="Z1568">
        <f>IF($AG1568="","",Config!$B$21)</f>
        <v/>
      </c>
      <c r="AA1568">
        <f>IF($AG1568="","",Config!$B$22)</f>
        <v/>
      </c>
      <c r="AB1568">
        <f>IF($AH1568="","",INDEX(Calc!$D$2:$D$1601,$AH1568))</f>
        <v/>
      </c>
      <c r="AC1568">
        <f>IF($AH1568="","",INDEX(Calc!$G$2:$G$1601,$AH1568))</f>
        <v/>
      </c>
      <c r="AD1568">
        <f>IF($AG1568="","",Config!$B$23)</f>
        <v/>
      </c>
      <c r="AE1568">
        <f>IF($AG1568="","",Config!$B$28)</f>
        <v/>
      </c>
      <c r="AG1568">
        <f>IFERROR(MATCH(ROW()-1,Calc!$J$2:$J$1601,0),"")</f>
        <v/>
      </c>
      <c r="AH1568">
        <f>IFERROR(MATCH(ROW()-1,Calc!$K$2:$K$1601,0),"")</f>
        <v/>
      </c>
      <c r="AQ1568">
        <f>IF($AG1568="","",TRIM(IF(COUNTIFS(Calc!$B$2:$B$1601,ROW()-1,Calc!$C$2:$C$1601,"&lt;1")&gt;0,"Ada PO tanpa Koli - cek TMP. ","")&amp;IF(LEN($R1568)&gt;500,"R &gt; 500 karakter.","")))</f>
        <v/>
      </c>
    </row>
    <row r="1569">
      <c r="A1569">
        <f>IF($AG1569="","",INDEX('TMP Paste'!$B$2:$B$1601,$AG1569))</f>
        <v/>
      </c>
      <c r="B1569">
        <f>IF($AG1569="","",Config!$B$14)</f>
        <v/>
      </c>
      <c r="C1569">
        <f>IF($AG1569="","",Config!$B$15)</f>
        <v/>
      </c>
      <c r="D1569">
        <f>IF($AG1569="","",INDEX('TMP Paste'!$B$2:$B$1601,$AG1569))</f>
        <v/>
      </c>
      <c r="E1569">
        <f>IF($AG1569="","",Config!$B$27)</f>
        <v/>
      </c>
      <c r="F1569">
        <f>IF($AG1569="","",Config!$B$9)</f>
        <v/>
      </c>
      <c r="G1569">
        <f>IF($AG1569="","",Config!$B$10)</f>
        <v/>
      </c>
      <c r="H1569">
        <f>IF($AG1569="","",Config!$B$11)</f>
        <v/>
      </c>
      <c r="I1569">
        <f>IF($AG1569="","",Config!$B$16)</f>
        <v/>
      </c>
      <c r="J1569">
        <f>IF($AG1569="","",INDEX('TMP Paste'!$A$2:$A$1601,$AG1569))</f>
        <v/>
      </c>
      <c r="K1569">
        <f>IF($AG1569="","",INDEX('TMP Paste'!$L$2:$L$1601,$AG1569))</f>
        <v/>
      </c>
      <c r="L1569">
        <f>IF($AG1569="","",INDEX('TMP Paste'!$I$2:$I$1601,$AG1569))</f>
        <v/>
      </c>
      <c r="M1569">
        <f>IF($AG1569="","",Config!$B$16)</f>
        <v/>
      </c>
      <c r="N1569">
        <f>IF($AG1569="","","")</f>
        <v/>
      </c>
      <c r="O1569">
        <f>IF($AG1569="","",INDEX('TMP Paste'!$K$2:$K$1601,$AG1569))</f>
        <v/>
      </c>
      <c r="P1569">
        <f>IF($AG1569="","","")</f>
        <v/>
      </c>
      <c r="Q1569">
        <f>IF($AG1569="","",INDEX('TMP Paste'!$J$2:$J$1601,$AG1569))</f>
        <v/>
      </c>
      <c r="R1569">
        <f>IF($AG1569="","",Config!$B$24)</f>
        <v/>
      </c>
      <c r="S1569">
        <f>IF($AG1569="","",TEXT(Config!$B$4,"yyyy-mm-dd"))</f>
        <v/>
      </c>
      <c r="T1569">
        <f>IF($AG1569="","",Config!$B$17)</f>
        <v/>
      </c>
      <c r="U1569">
        <f>IF($AG1569="","",Config!$B$18)</f>
        <v/>
      </c>
      <c r="V1569">
        <f>IF($AG1569="","",Config!$B$19)</f>
        <v/>
      </c>
      <c r="W1569">
        <f>IF($AG1569="","",INDEX('TMP Paste'!$C$2:$C$1601,$AG1569))</f>
        <v/>
      </c>
      <c r="X1569">
        <f>IF($AG1569="","",Config!$B$29)</f>
        <v/>
      </c>
      <c r="Y1569">
        <f>IF($AH1569="","",INDEX(Calc!$I$2:$I$1601,$AH1569)&amp;" - "&amp;INDEX(Calc!$D$2:$D$1601,$AH1569)&amp;" koli")</f>
        <v/>
      </c>
      <c r="Z1569">
        <f>IF($AG1569="","",Config!$B$21)</f>
        <v/>
      </c>
      <c r="AA1569">
        <f>IF($AG1569="","",Config!$B$22)</f>
        <v/>
      </c>
      <c r="AB1569">
        <f>IF($AH1569="","",INDEX(Calc!$D$2:$D$1601,$AH1569))</f>
        <v/>
      </c>
      <c r="AC1569">
        <f>IF($AH1569="","",INDEX(Calc!$G$2:$G$1601,$AH1569))</f>
        <v/>
      </c>
      <c r="AD1569">
        <f>IF($AG1569="","",Config!$B$23)</f>
        <v/>
      </c>
      <c r="AE1569">
        <f>IF($AG1569="","",Config!$B$28)</f>
        <v/>
      </c>
      <c r="AG1569">
        <f>IFERROR(MATCH(ROW()-1,Calc!$J$2:$J$1601,0),"")</f>
        <v/>
      </c>
      <c r="AH1569">
        <f>IFERROR(MATCH(ROW()-1,Calc!$K$2:$K$1601,0),"")</f>
        <v/>
      </c>
      <c r="AQ1569">
        <f>IF($AG1569="","",TRIM(IF(COUNTIFS(Calc!$B$2:$B$1601,ROW()-1,Calc!$C$2:$C$1601,"&lt;1")&gt;0,"Ada PO tanpa Koli - cek TMP. ","")&amp;IF(LEN($R1569)&gt;500,"R &gt; 500 karakter.","")))</f>
        <v/>
      </c>
    </row>
    <row r="1570">
      <c r="A1570">
        <f>IF($AG1570="","",INDEX('TMP Paste'!$B$2:$B$1601,$AG1570))</f>
        <v/>
      </c>
      <c r="B1570">
        <f>IF($AG1570="","",Config!$B$14)</f>
        <v/>
      </c>
      <c r="C1570">
        <f>IF($AG1570="","",Config!$B$15)</f>
        <v/>
      </c>
      <c r="D1570">
        <f>IF($AG1570="","",INDEX('TMP Paste'!$B$2:$B$1601,$AG1570))</f>
        <v/>
      </c>
      <c r="E1570">
        <f>IF($AG1570="","",Config!$B$27)</f>
        <v/>
      </c>
      <c r="F1570">
        <f>IF($AG1570="","",Config!$B$9)</f>
        <v/>
      </c>
      <c r="G1570">
        <f>IF($AG1570="","",Config!$B$10)</f>
        <v/>
      </c>
      <c r="H1570">
        <f>IF($AG1570="","",Config!$B$11)</f>
        <v/>
      </c>
      <c r="I1570">
        <f>IF($AG1570="","",Config!$B$16)</f>
        <v/>
      </c>
      <c r="J1570">
        <f>IF($AG1570="","",INDEX('TMP Paste'!$A$2:$A$1601,$AG1570))</f>
        <v/>
      </c>
      <c r="K1570">
        <f>IF($AG1570="","",INDEX('TMP Paste'!$L$2:$L$1601,$AG1570))</f>
        <v/>
      </c>
      <c r="L1570">
        <f>IF($AG1570="","",INDEX('TMP Paste'!$I$2:$I$1601,$AG1570))</f>
        <v/>
      </c>
      <c r="M1570">
        <f>IF($AG1570="","",Config!$B$16)</f>
        <v/>
      </c>
      <c r="N1570">
        <f>IF($AG1570="","","")</f>
        <v/>
      </c>
      <c r="O1570">
        <f>IF($AG1570="","",INDEX('TMP Paste'!$K$2:$K$1601,$AG1570))</f>
        <v/>
      </c>
      <c r="P1570">
        <f>IF($AG1570="","","")</f>
        <v/>
      </c>
      <c r="Q1570">
        <f>IF($AG1570="","",INDEX('TMP Paste'!$J$2:$J$1601,$AG1570))</f>
        <v/>
      </c>
      <c r="R1570">
        <f>IF($AG1570="","",Config!$B$24)</f>
        <v/>
      </c>
      <c r="S1570">
        <f>IF($AG1570="","",TEXT(Config!$B$4,"yyyy-mm-dd"))</f>
        <v/>
      </c>
      <c r="T1570">
        <f>IF($AG1570="","",Config!$B$17)</f>
        <v/>
      </c>
      <c r="U1570">
        <f>IF($AG1570="","",Config!$B$18)</f>
        <v/>
      </c>
      <c r="V1570">
        <f>IF($AG1570="","",Config!$B$19)</f>
        <v/>
      </c>
      <c r="W1570">
        <f>IF($AG1570="","",INDEX('TMP Paste'!$C$2:$C$1601,$AG1570))</f>
        <v/>
      </c>
      <c r="X1570">
        <f>IF($AG1570="","",Config!$B$29)</f>
        <v/>
      </c>
      <c r="Y1570">
        <f>IF($AH1570="","",INDEX(Calc!$I$2:$I$1601,$AH1570)&amp;" - "&amp;INDEX(Calc!$D$2:$D$1601,$AH1570)&amp;" koli")</f>
        <v/>
      </c>
      <c r="Z1570">
        <f>IF($AG1570="","",Config!$B$21)</f>
        <v/>
      </c>
      <c r="AA1570">
        <f>IF($AG1570="","",Config!$B$22)</f>
        <v/>
      </c>
      <c r="AB1570">
        <f>IF($AH1570="","",INDEX(Calc!$D$2:$D$1601,$AH1570))</f>
        <v/>
      </c>
      <c r="AC1570">
        <f>IF($AH1570="","",INDEX(Calc!$G$2:$G$1601,$AH1570))</f>
        <v/>
      </c>
      <c r="AD1570">
        <f>IF($AG1570="","",Config!$B$23)</f>
        <v/>
      </c>
      <c r="AE1570">
        <f>IF($AG1570="","",Config!$B$28)</f>
        <v/>
      </c>
      <c r="AG1570">
        <f>IFERROR(MATCH(ROW()-1,Calc!$J$2:$J$1601,0),"")</f>
        <v/>
      </c>
      <c r="AH1570">
        <f>IFERROR(MATCH(ROW()-1,Calc!$K$2:$K$1601,0),"")</f>
        <v/>
      </c>
      <c r="AQ1570">
        <f>IF($AG1570="","",TRIM(IF(COUNTIFS(Calc!$B$2:$B$1601,ROW()-1,Calc!$C$2:$C$1601,"&lt;1")&gt;0,"Ada PO tanpa Koli - cek TMP. ","")&amp;IF(LEN($R1570)&gt;500,"R &gt; 500 karakter.","")))</f>
        <v/>
      </c>
    </row>
    <row r="1571">
      <c r="A1571">
        <f>IF($AG1571="","",INDEX('TMP Paste'!$B$2:$B$1601,$AG1571))</f>
        <v/>
      </c>
      <c r="B1571">
        <f>IF($AG1571="","",Config!$B$14)</f>
        <v/>
      </c>
      <c r="C1571">
        <f>IF($AG1571="","",Config!$B$15)</f>
        <v/>
      </c>
      <c r="D1571">
        <f>IF($AG1571="","",INDEX('TMP Paste'!$B$2:$B$1601,$AG1571))</f>
        <v/>
      </c>
      <c r="E1571">
        <f>IF($AG1571="","",Config!$B$27)</f>
        <v/>
      </c>
      <c r="F1571">
        <f>IF($AG1571="","",Config!$B$9)</f>
        <v/>
      </c>
      <c r="G1571">
        <f>IF($AG1571="","",Config!$B$10)</f>
        <v/>
      </c>
      <c r="H1571">
        <f>IF($AG1571="","",Config!$B$11)</f>
        <v/>
      </c>
      <c r="I1571">
        <f>IF($AG1571="","",Config!$B$16)</f>
        <v/>
      </c>
      <c r="J1571">
        <f>IF($AG1571="","",INDEX('TMP Paste'!$A$2:$A$1601,$AG1571))</f>
        <v/>
      </c>
      <c r="K1571">
        <f>IF($AG1571="","",INDEX('TMP Paste'!$L$2:$L$1601,$AG1571))</f>
        <v/>
      </c>
      <c r="L1571">
        <f>IF($AG1571="","",INDEX('TMP Paste'!$I$2:$I$1601,$AG1571))</f>
        <v/>
      </c>
      <c r="M1571">
        <f>IF($AG1571="","",Config!$B$16)</f>
        <v/>
      </c>
      <c r="N1571">
        <f>IF($AG1571="","","")</f>
        <v/>
      </c>
      <c r="O1571">
        <f>IF($AG1571="","",INDEX('TMP Paste'!$K$2:$K$1601,$AG1571))</f>
        <v/>
      </c>
      <c r="P1571">
        <f>IF($AG1571="","","")</f>
        <v/>
      </c>
      <c r="Q1571">
        <f>IF($AG1571="","",INDEX('TMP Paste'!$J$2:$J$1601,$AG1571))</f>
        <v/>
      </c>
      <c r="R1571">
        <f>IF($AG1571="","",Config!$B$24)</f>
        <v/>
      </c>
      <c r="S1571">
        <f>IF($AG1571="","",TEXT(Config!$B$4,"yyyy-mm-dd"))</f>
        <v/>
      </c>
      <c r="T1571">
        <f>IF($AG1571="","",Config!$B$17)</f>
        <v/>
      </c>
      <c r="U1571">
        <f>IF($AG1571="","",Config!$B$18)</f>
        <v/>
      </c>
      <c r="V1571">
        <f>IF($AG1571="","",Config!$B$19)</f>
        <v/>
      </c>
      <c r="W1571">
        <f>IF($AG1571="","",INDEX('TMP Paste'!$C$2:$C$1601,$AG1571))</f>
        <v/>
      </c>
      <c r="X1571">
        <f>IF($AG1571="","",Config!$B$29)</f>
        <v/>
      </c>
      <c r="Y1571">
        <f>IF($AH1571="","",INDEX(Calc!$I$2:$I$1601,$AH1571)&amp;" - "&amp;INDEX(Calc!$D$2:$D$1601,$AH1571)&amp;" koli")</f>
        <v/>
      </c>
      <c r="Z1571">
        <f>IF($AG1571="","",Config!$B$21)</f>
        <v/>
      </c>
      <c r="AA1571">
        <f>IF($AG1571="","",Config!$B$22)</f>
        <v/>
      </c>
      <c r="AB1571">
        <f>IF($AH1571="","",INDEX(Calc!$D$2:$D$1601,$AH1571))</f>
        <v/>
      </c>
      <c r="AC1571">
        <f>IF($AH1571="","",INDEX(Calc!$G$2:$G$1601,$AH1571))</f>
        <v/>
      </c>
      <c r="AD1571">
        <f>IF($AG1571="","",Config!$B$23)</f>
        <v/>
      </c>
      <c r="AE1571">
        <f>IF($AG1571="","",Config!$B$28)</f>
        <v/>
      </c>
      <c r="AG1571">
        <f>IFERROR(MATCH(ROW()-1,Calc!$J$2:$J$1601,0),"")</f>
        <v/>
      </c>
      <c r="AH1571">
        <f>IFERROR(MATCH(ROW()-1,Calc!$K$2:$K$1601,0),"")</f>
        <v/>
      </c>
      <c r="AQ1571">
        <f>IF($AG1571="","",TRIM(IF(COUNTIFS(Calc!$B$2:$B$1601,ROW()-1,Calc!$C$2:$C$1601,"&lt;1")&gt;0,"Ada PO tanpa Koli - cek TMP. ","")&amp;IF(LEN($R1571)&gt;500,"R &gt; 500 karakter.","")))</f>
        <v/>
      </c>
    </row>
    <row r="1572">
      <c r="A1572">
        <f>IF($AG1572="","",INDEX('TMP Paste'!$B$2:$B$1601,$AG1572))</f>
        <v/>
      </c>
      <c r="B1572">
        <f>IF($AG1572="","",Config!$B$14)</f>
        <v/>
      </c>
      <c r="C1572">
        <f>IF($AG1572="","",Config!$B$15)</f>
        <v/>
      </c>
      <c r="D1572">
        <f>IF($AG1572="","",INDEX('TMP Paste'!$B$2:$B$1601,$AG1572))</f>
        <v/>
      </c>
      <c r="E1572">
        <f>IF($AG1572="","",Config!$B$27)</f>
        <v/>
      </c>
      <c r="F1572">
        <f>IF($AG1572="","",Config!$B$9)</f>
        <v/>
      </c>
      <c r="G1572">
        <f>IF($AG1572="","",Config!$B$10)</f>
        <v/>
      </c>
      <c r="H1572">
        <f>IF($AG1572="","",Config!$B$11)</f>
        <v/>
      </c>
      <c r="I1572">
        <f>IF($AG1572="","",Config!$B$16)</f>
        <v/>
      </c>
      <c r="J1572">
        <f>IF($AG1572="","",INDEX('TMP Paste'!$A$2:$A$1601,$AG1572))</f>
        <v/>
      </c>
      <c r="K1572">
        <f>IF($AG1572="","",INDEX('TMP Paste'!$L$2:$L$1601,$AG1572))</f>
        <v/>
      </c>
      <c r="L1572">
        <f>IF($AG1572="","",INDEX('TMP Paste'!$I$2:$I$1601,$AG1572))</f>
        <v/>
      </c>
      <c r="M1572">
        <f>IF($AG1572="","",Config!$B$16)</f>
        <v/>
      </c>
      <c r="N1572">
        <f>IF($AG1572="","","")</f>
        <v/>
      </c>
      <c r="O1572">
        <f>IF($AG1572="","",INDEX('TMP Paste'!$K$2:$K$1601,$AG1572))</f>
        <v/>
      </c>
      <c r="P1572">
        <f>IF($AG1572="","","")</f>
        <v/>
      </c>
      <c r="Q1572">
        <f>IF($AG1572="","",INDEX('TMP Paste'!$J$2:$J$1601,$AG1572))</f>
        <v/>
      </c>
      <c r="R1572">
        <f>IF($AG1572="","",Config!$B$24)</f>
        <v/>
      </c>
      <c r="S1572">
        <f>IF($AG1572="","",TEXT(Config!$B$4,"yyyy-mm-dd"))</f>
        <v/>
      </c>
      <c r="T1572">
        <f>IF($AG1572="","",Config!$B$17)</f>
        <v/>
      </c>
      <c r="U1572">
        <f>IF($AG1572="","",Config!$B$18)</f>
        <v/>
      </c>
      <c r="V1572">
        <f>IF($AG1572="","",Config!$B$19)</f>
        <v/>
      </c>
      <c r="W1572">
        <f>IF($AG1572="","",INDEX('TMP Paste'!$C$2:$C$1601,$AG1572))</f>
        <v/>
      </c>
      <c r="X1572">
        <f>IF($AG1572="","",Config!$B$29)</f>
        <v/>
      </c>
      <c r="Y1572">
        <f>IF($AH1572="","",INDEX(Calc!$I$2:$I$1601,$AH1572)&amp;" - "&amp;INDEX(Calc!$D$2:$D$1601,$AH1572)&amp;" koli")</f>
        <v/>
      </c>
      <c r="Z1572">
        <f>IF($AG1572="","",Config!$B$21)</f>
        <v/>
      </c>
      <c r="AA1572">
        <f>IF($AG1572="","",Config!$B$22)</f>
        <v/>
      </c>
      <c r="AB1572">
        <f>IF($AH1572="","",INDEX(Calc!$D$2:$D$1601,$AH1572))</f>
        <v/>
      </c>
      <c r="AC1572">
        <f>IF($AH1572="","",INDEX(Calc!$G$2:$G$1601,$AH1572))</f>
        <v/>
      </c>
      <c r="AD1572">
        <f>IF($AG1572="","",Config!$B$23)</f>
        <v/>
      </c>
      <c r="AE1572">
        <f>IF($AG1572="","",Config!$B$28)</f>
        <v/>
      </c>
      <c r="AG1572">
        <f>IFERROR(MATCH(ROW()-1,Calc!$J$2:$J$1601,0),"")</f>
        <v/>
      </c>
      <c r="AH1572">
        <f>IFERROR(MATCH(ROW()-1,Calc!$K$2:$K$1601,0),"")</f>
        <v/>
      </c>
      <c r="AQ1572">
        <f>IF($AG1572="","",TRIM(IF(COUNTIFS(Calc!$B$2:$B$1601,ROW()-1,Calc!$C$2:$C$1601,"&lt;1")&gt;0,"Ada PO tanpa Koli - cek TMP. ","")&amp;IF(LEN($R1572)&gt;500,"R &gt; 500 karakter.","")))</f>
        <v/>
      </c>
    </row>
    <row r="1573">
      <c r="A1573">
        <f>IF($AG1573="","",INDEX('TMP Paste'!$B$2:$B$1601,$AG1573))</f>
        <v/>
      </c>
      <c r="B1573">
        <f>IF($AG1573="","",Config!$B$14)</f>
        <v/>
      </c>
      <c r="C1573">
        <f>IF($AG1573="","",Config!$B$15)</f>
        <v/>
      </c>
      <c r="D1573">
        <f>IF($AG1573="","",INDEX('TMP Paste'!$B$2:$B$1601,$AG1573))</f>
        <v/>
      </c>
      <c r="E1573">
        <f>IF($AG1573="","",Config!$B$27)</f>
        <v/>
      </c>
      <c r="F1573">
        <f>IF($AG1573="","",Config!$B$9)</f>
        <v/>
      </c>
      <c r="G1573">
        <f>IF($AG1573="","",Config!$B$10)</f>
        <v/>
      </c>
      <c r="H1573">
        <f>IF($AG1573="","",Config!$B$11)</f>
        <v/>
      </c>
      <c r="I1573">
        <f>IF($AG1573="","",Config!$B$16)</f>
        <v/>
      </c>
      <c r="J1573">
        <f>IF($AG1573="","",INDEX('TMP Paste'!$A$2:$A$1601,$AG1573))</f>
        <v/>
      </c>
      <c r="K1573">
        <f>IF($AG1573="","",INDEX('TMP Paste'!$L$2:$L$1601,$AG1573))</f>
        <v/>
      </c>
      <c r="L1573">
        <f>IF($AG1573="","",INDEX('TMP Paste'!$I$2:$I$1601,$AG1573))</f>
        <v/>
      </c>
      <c r="M1573">
        <f>IF($AG1573="","",Config!$B$16)</f>
        <v/>
      </c>
      <c r="N1573">
        <f>IF($AG1573="","","")</f>
        <v/>
      </c>
      <c r="O1573">
        <f>IF($AG1573="","",INDEX('TMP Paste'!$K$2:$K$1601,$AG1573))</f>
        <v/>
      </c>
      <c r="P1573">
        <f>IF($AG1573="","","")</f>
        <v/>
      </c>
      <c r="Q1573">
        <f>IF($AG1573="","",INDEX('TMP Paste'!$J$2:$J$1601,$AG1573))</f>
        <v/>
      </c>
      <c r="R1573">
        <f>IF($AG1573="","",Config!$B$24)</f>
        <v/>
      </c>
      <c r="S1573">
        <f>IF($AG1573="","",TEXT(Config!$B$4,"yyyy-mm-dd"))</f>
        <v/>
      </c>
      <c r="T1573">
        <f>IF($AG1573="","",Config!$B$17)</f>
        <v/>
      </c>
      <c r="U1573">
        <f>IF($AG1573="","",Config!$B$18)</f>
        <v/>
      </c>
      <c r="V1573">
        <f>IF($AG1573="","",Config!$B$19)</f>
        <v/>
      </c>
      <c r="W1573">
        <f>IF($AG1573="","",INDEX('TMP Paste'!$C$2:$C$1601,$AG1573))</f>
        <v/>
      </c>
      <c r="X1573">
        <f>IF($AG1573="","",Config!$B$29)</f>
        <v/>
      </c>
      <c r="Y1573">
        <f>IF($AH1573="","",INDEX(Calc!$I$2:$I$1601,$AH1573)&amp;" - "&amp;INDEX(Calc!$D$2:$D$1601,$AH1573)&amp;" koli")</f>
        <v/>
      </c>
      <c r="Z1573">
        <f>IF($AG1573="","",Config!$B$21)</f>
        <v/>
      </c>
      <c r="AA1573">
        <f>IF($AG1573="","",Config!$B$22)</f>
        <v/>
      </c>
      <c r="AB1573">
        <f>IF($AH1573="","",INDEX(Calc!$D$2:$D$1601,$AH1573))</f>
        <v/>
      </c>
      <c r="AC1573">
        <f>IF($AH1573="","",INDEX(Calc!$G$2:$G$1601,$AH1573))</f>
        <v/>
      </c>
      <c r="AD1573">
        <f>IF($AG1573="","",Config!$B$23)</f>
        <v/>
      </c>
      <c r="AE1573">
        <f>IF($AG1573="","",Config!$B$28)</f>
        <v/>
      </c>
      <c r="AG1573">
        <f>IFERROR(MATCH(ROW()-1,Calc!$J$2:$J$1601,0),"")</f>
        <v/>
      </c>
      <c r="AH1573">
        <f>IFERROR(MATCH(ROW()-1,Calc!$K$2:$K$1601,0),"")</f>
        <v/>
      </c>
      <c r="AQ1573">
        <f>IF($AG1573="","",TRIM(IF(COUNTIFS(Calc!$B$2:$B$1601,ROW()-1,Calc!$C$2:$C$1601,"&lt;1")&gt;0,"Ada PO tanpa Koli - cek TMP. ","")&amp;IF(LEN($R1573)&gt;500,"R &gt; 500 karakter.","")))</f>
        <v/>
      </c>
    </row>
    <row r="1574">
      <c r="A1574">
        <f>IF($AG1574="","",INDEX('TMP Paste'!$B$2:$B$1601,$AG1574))</f>
        <v/>
      </c>
      <c r="B1574">
        <f>IF($AG1574="","",Config!$B$14)</f>
        <v/>
      </c>
      <c r="C1574">
        <f>IF($AG1574="","",Config!$B$15)</f>
        <v/>
      </c>
      <c r="D1574">
        <f>IF($AG1574="","",INDEX('TMP Paste'!$B$2:$B$1601,$AG1574))</f>
        <v/>
      </c>
      <c r="E1574">
        <f>IF($AG1574="","",Config!$B$27)</f>
        <v/>
      </c>
      <c r="F1574">
        <f>IF($AG1574="","",Config!$B$9)</f>
        <v/>
      </c>
      <c r="G1574">
        <f>IF($AG1574="","",Config!$B$10)</f>
        <v/>
      </c>
      <c r="H1574">
        <f>IF($AG1574="","",Config!$B$11)</f>
        <v/>
      </c>
      <c r="I1574">
        <f>IF($AG1574="","",Config!$B$16)</f>
        <v/>
      </c>
      <c r="J1574">
        <f>IF($AG1574="","",INDEX('TMP Paste'!$A$2:$A$1601,$AG1574))</f>
        <v/>
      </c>
      <c r="K1574">
        <f>IF($AG1574="","",INDEX('TMP Paste'!$L$2:$L$1601,$AG1574))</f>
        <v/>
      </c>
      <c r="L1574">
        <f>IF($AG1574="","",INDEX('TMP Paste'!$I$2:$I$1601,$AG1574))</f>
        <v/>
      </c>
      <c r="M1574">
        <f>IF($AG1574="","",Config!$B$16)</f>
        <v/>
      </c>
      <c r="N1574">
        <f>IF($AG1574="","","")</f>
        <v/>
      </c>
      <c r="O1574">
        <f>IF($AG1574="","",INDEX('TMP Paste'!$K$2:$K$1601,$AG1574))</f>
        <v/>
      </c>
      <c r="P1574">
        <f>IF($AG1574="","","")</f>
        <v/>
      </c>
      <c r="Q1574">
        <f>IF($AG1574="","",INDEX('TMP Paste'!$J$2:$J$1601,$AG1574))</f>
        <v/>
      </c>
      <c r="R1574">
        <f>IF($AG1574="","",Config!$B$24)</f>
        <v/>
      </c>
      <c r="S1574">
        <f>IF($AG1574="","",TEXT(Config!$B$4,"yyyy-mm-dd"))</f>
        <v/>
      </c>
      <c r="T1574">
        <f>IF($AG1574="","",Config!$B$17)</f>
        <v/>
      </c>
      <c r="U1574">
        <f>IF($AG1574="","",Config!$B$18)</f>
        <v/>
      </c>
      <c r="V1574">
        <f>IF($AG1574="","",Config!$B$19)</f>
        <v/>
      </c>
      <c r="W1574">
        <f>IF($AG1574="","",INDEX('TMP Paste'!$C$2:$C$1601,$AG1574))</f>
        <v/>
      </c>
      <c r="X1574">
        <f>IF($AG1574="","",Config!$B$29)</f>
        <v/>
      </c>
      <c r="Y1574">
        <f>IF($AH1574="","",INDEX(Calc!$I$2:$I$1601,$AH1574)&amp;" - "&amp;INDEX(Calc!$D$2:$D$1601,$AH1574)&amp;" koli")</f>
        <v/>
      </c>
      <c r="Z1574">
        <f>IF($AG1574="","",Config!$B$21)</f>
        <v/>
      </c>
      <c r="AA1574">
        <f>IF($AG1574="","",Config!$B$22)</f>
        <v/>
      </c>
      <c r="AB1574">
        <f>IF($AH1574="","",INDEX(Calc!$D$2:$D$1601,$AH1574))</f>
        <v/>
      </c>
      <c r="AC1574">
        <f>IF($AH1574="","",INDEX(Calc!$G$2:$G$1601,$AH1574))</f>
        <v/>
      </c>
      <c r="AD1574">
        <f>IF($AG1574="","",Config!$B$23)</f>
        <v/>
      </c>
      <c r="AE1574">
        <f>IF($AG1574="","",Config!$B$28)</f>
        <v/>
      </c>
      <c r="AG1574">
        <f>IFERROR(MATCH(ROW()-1,Calc!$J$2:$J$1601,0),"")</f>
        <v/>
      </c>
      <c r="AH1574">
        <f>IFERROR(MATCH(ROW()-1,Calc!$K$2:$K$1601,0),"")</f>
        <v/>
      </c>
      <c r="AQ1574">
        <f>IF($AG1574="","",TRIM(IF(COUNTIFS(Calc!$B$2:$B$1601,ROW()-1,Calc!$C$2:$C$1601,"&lt;1")&gt;0,"Ada PO tanpa Koli - cek TMP. ","")&amp;IF(LEN($R1574)&gt;500,"R &gt; 500 karakter.","")))</f>
        <v/>
      </c>
    </row>
    <row r="1575">
      <c r="A1575">
        <f>IF($AG1575="","",INDEX('TMP Paste'!$B$2:$B$1601,$AG1575))</f>
        <v/>
      </c>
      <c r="B1575">
        <f>IF($AG1575="","",Config!$B$14)</f>
        <v/>
      </c>
      <c r="C1575">
        <f>IF($AG1575="","",Config!$B$15)</f>
        <v/>
      </c>
      <c r="D1575">
        <f>IF($AG1575="","",INDEX('TMP Paste'!$B$2:$B$1601,$AG1575))</f>
        <v/>
      </c>
      <c r="E1575">
        <f>IF($AG1575="","",Config!$B$27)</f>
        <v/>
      </c>
      <c r="F1575">
        <f>IF($AG1575="","",Config!$B$9)</f>
        <v/>
      </c>
      <c r="G1575">
        <f>IF($AG1575="","",Config!$B$10)</f>
        <v/>
      </c>
      <c r="H1575">
        <f>IF($AG1575="","",Config!$B$11)</f>
        <v/>
      </c>
      <c r="I1575">
        <f>IF($AG1575="","",Config!$B$16)</f>
        <v/>
      </c>
      <c r="J1575">
        <f>IF($AG1575="","",INDEX('TMP Paste'!$A$2:$A$1601,$AG1575))</f>
        <v/>
      </c>
      <c r="K1575">
        <f>IF($AG1575="","",INDEX('TMP Paste'!$L$2:$L$1601,$AG1575))</f>
        <v/>
      </c>
      <c r="L1575">
        <f>IF($AG1575="","",INDEX('TMP Paste'!$I$2:$I$1601,$AG1575))</f>
        <v/>
      </c>
      <c r="M1575">
        <f>IF($AG1575="","",Config!$B$16)</f>
        <v/>
      </c>
      <c r="N1575">
        <f>IF($AG1575="","","")</f>
        <v/>
      </c>
      <c r="O1575">
        <f>IF($AG1575="","",INDEX('TMP Paste'!$K$2:$K$1601,$AG1575))</f>
        <v/>
      </c>
      <c r="P1575">
        <f>IF($AG1575="","","")</f>
        <v/>
      </c>
      <c r="Q1575">
        <f>IF($AG1575="","",INDEX('TMP Paste'!$J$2:$J$1601,$AG1575))</f>
        <v/>
      </c>
      <c r="R1575">
        <f>IF($AG1575="","",Config!$B$24)</f>
        <v/>
      </c>
      <c r="S1575">
        <f>IF($AG1575="","",TEXT(Config!$B$4,"yyyy-mm-dd"))</f>
        <v/>
      </c>
      <c r="T1575">
        <f>IF($AG1575="","",Config!$B$17)</f>
        <v/>
      </c>
      <c r="U1575">
        <f>IF($AG1575="","",Config!$B$18)</f>
        <v/>
      </c>
      <c r="V1575">
        <f>IF($AG1575="","",Config!$B$19)</f>
        <v/>
      </c>
      <c r="W1575">
        <f>IF($AG1575="","",INDEX('TMP Paste'!$C$2:$C$1601,$AG1575))</f>
        <v/>
      </c>
      <c r="X1575">
        <f>IF($AG1575="","",Config!$B$29)</f>
        <v/>
      </c>
      <c r="Y1575">
        <f>IF($AH1575="","",INDEX(Calc!$I$2:$I$1601,$AH1575)&amp;" - "&amp;INDEX(Calc!$D$2:$D$1601,$AH1575)&amp;" koli")</f>
        <v/>
      </c>
      <c r="Z1575">
        <f>IF($AG1575="","",Config!$B$21)</f>
        <v/>
      </c>
      <c r="AA1575">
        <f>IF($AG1575="","",Config!$B$22)</f>
        <v/>
      </c>
      <c r="AB1575">
        <f>IF($AH1575="","",INDEX(Calc!$D$2:$D$1601,$AH1575))</f>
        <v/>
      </c>
      <c r="AC1575">
        <f>IF($AH1575="","",INDEX(Calc!$G$2:$G$1601,$AH1575))</f>
        <v/>
      </c>
      <c r="AD1575">
        <f>IF($AG1575="","",Config!$B$23)</f>
        <v/>
      </c>
      <c r="AE1575">
        <f>IF($AG1575="","",Config!$B$28)</f>
        <v/>
      </c>
      <c r="AG1575">
        <f>IFERROR(MATCH(ROW()-1,Calc!$J$2:$J$1601,0),"")</f>
        <v/>
      </c>
      <c r="AH1575">
        <f>IFERROR(MATCH(ROW()-1,Calc!$K$2:$K$1601,0),"")</f>
        <v/>
      </c>
      <c r="AQ1575">
        <f>IF($AG1575="","",TRIM(IF(COUNTIFS(Calc!$B$2:$B$1601,ROW()-1,Calc!$C$2:$C$1601,"&lt;1")&gt;0,"Ada PO tanpa Koli - cek TMP. ","")&amp;IF(LEN($R1575)&gt;500,"R &gt; 500 karakter.","")))</f>
        <v/>
      </c>
    </row>
    <row r="1576">
      <c r="A1576">
        <f>IF($AG1576="","",INDEX('TMP Paste'!$B$2:$B$1601,$AG1576))</f>
        <v/>
      </c>
      <c r="B1576">
        <f>IF($AG1576="","",Config!$B$14)</f>
        <v/>
      </c>
      <c r="C1576">
        <f>IF($AG1576="","",Config!$B$15)</f>
        <v/>
      </c>
      <c r="D1576">
        <f>IF($AG1576="","",INDEX('TMP Paste'!$B$2:$B$1601,$AG1576))</f>
        <v/>
      </c>
      <c r="E1576">
        <f>IF($AG1576="","",Config!$B$27)</f>
        <v/>
      </c>
      <c r="F1576">
        <f>IF($AG1576="","",Config!$B$9)</f>
        <v/>
      </c>
      <c r="G1576">
        <f>IF($AG1576="","",Config!$B$10)</f>
        <v/>
      </c>
      <c r="H1576">
        <f>IF($AG1576="","",Config!$B$11)</f>
        <v/>
      </c>
      <c r="I1576">
        <f>IF($AG1576="","",Config!$B$16)</f>
        <v/>
      </c>
      <c r="J1576">
        <f>IF($AG1576="","",INDEX('TMP Paste'!$A$2:$A$1601,$AG1576))</f>
        <v/>
      </c>
      <c r="K1576">
        <f>IF($AG1576="","",INDEX('TMP Paste'!$L$2:$L$1601,$AG1576))</f>
        <v/>
      </c>
      <c r="L1576">
        <f>IF($AG1576="","",INDEX('TMP Paste'!$I$2:$I$1601,$AG1576))</f>
        <v/>
      </c>
      <c r="M1576">
        <f>IF($AG1576="","",Config!$B$16)</f>
        <v/>
      </c>
      <c r="N1576">
        <f>IF($AG1576="","","")</f>
        <v/>
      </c>
      <c r="O1576">
        <f>IF($AG1576="","",INDEX('TMP Paste'!$K$2:$K$1601,$AG1576))</f>
        <v/>
      </c>
      <c r="P1576">
        <f>IF($AG1576="","","")</f>
        <v/>
      </c>
      <c r="Q1576">
        <f>IF($AG1576="","",INDEX('TMP Paste'!$J$2:$J$1601,$AG1576))</f>
        <v/>
      </c>
      <c r="R1576">
        <f>IF($AG1576="","",Config!$B$24)</f>
        <v/>
      </c>
      <c r="S1576">
        <f>IF($AG1576="","",TEXT(Config!$B$4,"yyyy-mm-dd"))</f>
        <v/>
      </c>
      <c r="T1576">
        <f>IF($AG1576="","",Config!$B$17)</f>
        <v/>
      </c>
      <c r="U1576">
        <f>IF($AG1576="","",Config!$B$18)</f>
        <v/>
      </c>
      <c r="V1576">
        <f>IF($AG1576="","",Config!$B$19)</f>
        <v/>
      </c>
      <c r="W1576">
        <f>IF($AG1576="","",INDEX('TMP Paste'!$C$2:$C$1601,$AG1576))</f>
        <v/>
      </c>
      <c r="X1576">
        <f>IF($AG1576="","",Config!$B$29)</f>
        <v/>
      </c>
      <c r="Y1576">
        <f>IF($AH1576="","",INDEX(Calc!$I$2:$I$1601,$AH1576)&amp;" - "&amp;INDEX(Calc!$D$2:$D$1601,$AH1576)&amp;" koli")</f>
        <v/>
      </c>
      <c r="Z1576">
        <f>IF($AG1576="","",Config!$B$21)</f>
        <v/>
      </c>
      <c r="AA1576">
        <f>IF($AG1576="","",Config!$B$22)</f>
        <v/>
      </c>
      <c r="AB1576">
        <f>IF($AH1576="","",INDEX(Calc!$D$2:$D$1601,$AH1576))</f>
        <v/>
      </c>
      <c r="AC1576">
        <f>IF($AH1576="","",INDEX(Calc!$G$2:$G$1601,$AH1576))</f>
        <v/>
      </c>
      <c r="AD1576">
        <f>IF($AG1576="","",Config!$B$23)</f>
        <v/>
      </c>
      <c r="AE1576">
        <f>IF($AG1576="","",Config!$B$28)</f>
        <v/>
      </c>
      <c r="AG1576">
        <f>IFERROR(MATCH(ROW()-1,Calc!$J$2:$J$1601,0),"")</f>
        <v/>
      </c>
      <c r="AH1576">
        <f>IFERROR(MATCH(ROW()-1,Calc!$K$2:$K$1601,0),"")</f>
        <v/>
      </c>
      <c r="AQ1576">
        <f>IF($AG1576="","",TRIM(IF(COUNTIFS(Calc!$B$2:$B$1601,ROW()-1,Calc!$C$2:$C$1601,"&lt;1")&gt;0,"Ada PO tanpa Koli - cek TMP. ","")&amp;IF(LEN($R1576)&gt;500,"R &gt; 500 karakter.","")))</f>
        <v/>
      </c>
    </row>
    <row r="1577">
      <c r="A1577">
        <f>IF($AG1577="","",INDEX('TMP Paste'!$B$2:$B$1601,$AG1577))</f>
        <v/>
      </c>
      <c r="B1577">
        <f>IF($AG1577="","",Config!$B$14)</f>
        <v/>
      </c>
      <c r="C1577">
        <f>IF($AG1577="","",Config!$B$15)</f>
        <v/>
      </c>
      <c r="D1577">
        <f>IF($AG1577="","",INDEX('TMP Paste'!$B$2:$B$1601,$AG1577))</f>
        <v/>
      </c>
      <c r="E1577">
        <f>IF($AG1577="","",Config!$B$27)</f>
        <v/>
      </c>
      <c r="F1577">
        <f>IF($AG1577="","",Config!$B$9)</f>
        <v/>
      </c>
      <c r="G1577">
        <f>IF($AG1577="","",Config!$B$10)</f>
        <v/>
      </c>
      <c r="H1577">
        <f>IF($AG1577="","",Config!$B$11)</f>
        <v/>
      </c>
      <c r="I1577">
        <f>IF($AG1577="","",Config!$B$16)</f>
        <v/>
      </c>
      <c r="J1577">
        <f>IF($AG1577="","",INDEX('TMP Paste'!$A$2:$A$1601,$AG1577))</f>
        <v/>
      </c>
      <c r="K1577">
        <f>IF($AG1577="","",INDEX('TMP Paste'!$L$2:$L$1601,$AG1577))</f>
        <v/>
      </c>
      <c r="L1577">
        <f>IF($AG1577="","",INDEX('TMP Paste'!$I$2:$I$1601,$AG1577))</f>
        <v/>
      </c>
      <c r="M1577">
        <f>IF($AG1577="","",Config!$B$16)</f>
        <v/>
      </c>
      <c r="N1577">
        <f>IF($AG1577="","","")</f>
        <v/>
      </c>
      <c r="O1577">
        <f>IF($AG1577="","",INDEX('TMP Paste'!$K$2:$K$1601,$AG1577))</f>
        <v/>
      </c>
      <c r="P1577">
        <f>IF($AG1577="","","")</f>
        <v/>
      </c>
      <c r="Q1577">
        <f>IF($AG1577="","",INDEX('TMP Paste'!$J$2:$J$1601,$AG1577))</f>
        <v/>
      </c>
      <c r="R1577">
        <f>IF($AG1577="","",Config!$B$24)</f>
        <v/>
      </c>
      <c r="S1577">
        <f>IF($AG1577="","",TEXT(Config!$B$4,"yyyy-mm-dd"))</f>
        <v/>
      </c>
      <c r="T1577">
        <f>IF($AG1577="","",Config!$B$17)</f>
        <v/>
      </c>
      <c r="U1577">
        <f>IF($AG1577="","",Config!$B$18)</f>
        <v/>
      </c>
      <c r="V1577">
        <f>IF($AG1577="","",Config!$B$19)</f>
        <v/>
      </c>
      <c r="W1577">
        <f>IF($AG1577="","",INDEX('TMP Paste'!$C$2:$C$1601,$AG1577))</f>
        <v/>
      </c>
      <c r="X1577">
        <f>IF($AG1577="","",Config!$B$29)</f>
        <v/>
      </c>
      <c r="Y1577">
        <f>IF($AH1577="","",INDEX(Calc!$I$2:$I$1601,$AH1577)&amp;" - "&amp;INDEX(Calc!$D$2:$D$1601,$AH1577)&amp;" koli")</f>
        <v/>
      </c>
      <c r="Z1577">
        <f>IF($AG1577="","",Config!$B$21)</f>
        <v/>
      </c>
      <c r="AA1577">
        <f>IF($AG1577="","",Config!$B$22)</f>
        <v/>
      </c>
      <c r="AB1577">
        <f>IF($AH1577="","",INDEX(Calc!$D$2:$D$1601,$AH1577))</f>
        <v/>
      </c>
      <c r="AC1577">
        <f>IF($AH1577="","",INDEX(Calc!$G$2:$G$1601,$AH1577))</f>
        <v/>
      </c>
      <c r="AD1577">
        <f>IF($AG1577="","",Config!$B$23)</f>
        <v/>
      </c>
      <c r="AE1577">
        <f>IF($AG1577="","",Config!$B$28)</f>
        <v/>
      </c>
      <c r="AG1577">
        <f>IFERROR(MATCH(ROW()-1,Calc!$J$2:$J$1601,0),"")</f>
        <v/>
      </c>
      <c r="AH1577">
        <f>IFERROR(MATCH(ROW()-1,Calc!$K$2:$K$1601,0),"")</f>
        <v/>
      </c>
      <c r="AQ1577">
        <f>IF($AG1577="","",TRIM(IF(COUNTIFS(Calc!$B$2:$B$1601,ROW()-1,Calc!$C$2:$C$1601,"&lt;1")&gt;0,"Ada PO tanpa Koli - cek TMP. ","")&amp;IF(LEN($R1577)&gt;500,"R &gt; 500 karakter.","")))</f>
        <v/>
      </c>
    </row>
    <row r="1578">
      <c r="A1578">
        <f>IF($AG1578="","",INDEX('TMP Paste'!$B$2:$B$1601,$AG1578))</f>
        <v/>
      </c>
      <c r="B1578">
        <f>IF($AG1578="","",Config!$B$14)</f>
        <v/>
      </c>
      <c r="C1578">
        <f>IF($AG1578="","",Config!$B$15)</f>
        <v/>
      </c>
      <c r="D1578">
        <f>IF($AG1578="","",INDEX('TMP Paste'!$B$2:$B$1601,$AG1578))</f>
        <v/>
      </c>
      <c r="E1578">
        <f>IF($AG1578="","",Config!$B$27)</f>
        <v/>
      </c>
      <c r="F1578">
        <f>IF($AG1578="","",Config!$B$9)</f>
        <v/>
      </c>
      <c r="G1578">
        <f>IF($AG1578="","",Config!$B$10)</f>
        <v/>
      </c>
      <c r="H1578">
        <f>IF($AG1578="","",Config!$B$11)</f>
        <v/>
      </c>
      <c r="I1578">
        <f>IF($AG1578="","",Config!$B$16)</f>
        <v/>
      </c>
      <c r="J1578">
        <f>IF($AG1578="","",INDEX('TMP Paste'!$A$2:$A$1601,$AG1578))</f>
        <v/>
      </c>
      <c r="K1578">
        <f>IF($AG1578="","",INDEX('TMP Paste'!$L$2:$L$1601,$AG1578))</f>
        <v/>
      </c>
      <c r="L1578">
        <f>IF($AG1578="","",INDEX('TMP Paste'!$I$2:$I$1601,$AG1578))</f>
        <v/>
      </c>
      <c r="M1578">
        <f>IF($AG1578="","",Config!$B$16)</f>
        <v/>
      </c>
      <c r="N1578">
        <f>IF($AG1578="","","")</f>
        <v/>
      </c>
      <c r="O1578">
        <f>IF($AG1578="","",INDEX('TMP Paste'!$K$2:$K$1601,$AG1578))</f>
        <v/>
      </c>
      <c r="P1578">
        <f>IF($AG1578="","","")</f>
        <v/>
      </c>
      <c r="Q1578">
        <f>IF($AG1578="","",INDEX('TMP Paste'!$J$2:$J$1601,$AG1578))</f>
        <v/>
      </c>
      <c r="R1578">
        <f>IF($AG1578="","",Config!$B$24)</f>
        <v/>
      </c>
      <c r="S1578">
        <f>IF($AG1578="","",TEXT(Config!$B$4,"yyyy-mm-dd"))</f>
        <v/>
      </c>
      <c r="T1578">
        <f>IF($AG1578="","",Config!$B$17)</f>
        <v/>
      </c>
      <c r="U1578">
        <f>IF($AG1578="","",Config!$B$18)</f>
        <v/>
      </c>
      <c r="V1578">
        <f>IF($AG1578="","",Config!$B$19)</f>
        <v/>
      </c>
      <c r="W1578">
        <f>IF($AG1578="","",INDEX('TMP Paste'!$C$2:$C$1601,$AG1578))</f>
        <v/>
      </c>
      <c r="X1578">
        <f>IF($AG1578="","",Config!$B$29)</f>
        <v/>
      </c>
      <c r="Y1578">
        <f>IF($AH1578="","",INDEX(Calc!$I$2:$I$1601,$AH1578)&amp;" - "&amp;INDEX(Calc!$D$2:$D$1601,$AH1578)&amp;" koli")</f>
        <v/>
      </c>
      <c r="Z1578">
        <f>IF($AG1578="","",Config!$B$21)</f>
        <v/>
      </c>
      <c r="AA1578">
        <f>IF($AG1578="","",Config!$B$22)</f>
        <v/>
      </c>
      <c r="AB1578">
        <f>IF($AH1578="","",INDEX(Calc!$D$2:$D$1601,$AH1578))</f>
        <v/>
      </c>
      <c r="AC1578">
        <f>IF($AH1578="","",INDEX(Calc!$G$2:$G$1601,$AH1578))</f>
        <v/>
      </c>
      <c r="AD1578">
        <f>IF($AG1578="","",Config!$B$23)</f>
        <v/>
      </c>
      <c r="AE1578">
        <f>IF($AG1578="","",Config!$B$28)</f>
        <v/>
      </c>
      <c r="AG1578">
        <f>IFERROR(MATCH(ROW()-1,Calc!$J$2:$J$1601,0),"")</f>
        <v/>
      </c>
      <c r="AH1578">
        <f>IFERROR(MATCH(ROW()-1,Calc!$K$2:$K$1601,0),"")</f>
        <v/>
      </c>
      <c r="AQ1578">
        <f>IF($AG1578="","",TRIM(IF(COUNTIFS(Calc!$B$2:$B$1601,ROW()-1,Calc!$C$2:$C$1601,"&lt;1")&gt;0,"Ada PO tanpa Koli - cek TMP. ","")&amp;IF(LEN($R1578)&gt;500,"R &gt; 500 karakter.","")))</f>
        <v/>
      </c>
    </row>
    <row r="1579">
      <c r="A1579">
        <f>IF($AG1579="","",INDEX('TMP Paste'!$B$2:$B$1601,$AG1579))</f>
        <v/>
      </c>
      <c r="B1579">
        <f>IF($AG1579="","",Config!$B$14)</f>
        <v/>
      </c>
      <c r="C1579">
        <f>IF($AG1579="","",Config!$B$15)</f>
        <v/>
      </c>
      <c r="D1579">
        <f>IF($AG1579="","",INDEX('TMP Paste'!$B$2:$B$1601,$AG1579))</f>
        <v/>
      </c>
      <c r="E1579">
        <f>IF($AG1579="","",Config!$B$27)</f>
        <v/>
      </c>
      <c r="F1579">
        <f>IF($AG1579="","",Config!$B$9)</f>
        <v/>
      </c>
      <c r="G1579">
        <f>IF($AG1579="","",Config!$B$10)</f>
        <v/>
      </c>
      <c r="H1579">
        <f>IF($AG1579="","",Config!$B$11)</f>
        <v/>
      </c>
      <c r="I1579">
        <f>IF($AG1579="","",Config!$B$16)</f>
        <v/>
      </c>
      <c r="J1579">
        <f>IF($AG1579="","",INDEX('TMP Paste'!$A$2:$A$1601,$AG1579))</f>
        <v/>
      </c>
      <c r="K1579">
        <f>IF($AG1579="","",INDEX('TMP Paste'!$L$2:$L$1601,$AG1579))</f>
        <v/>
      </c>
      <c r="L1579">
        <f>IF($AG1579="","",INDEX('TMP Paste'!$I$2:$I$1601,$AG1579))</f>
        <v/>
      </c>
      <c r="M1579">
        <f>IF($AG1579="","",Config!$B$16)</f>
        <v/>
      </c>
      <c r="N1579">
        <f>IF($AG1579="","","")</f>
        <v/>
      </c>
      <c r="O1579">
        <f>IF($AG1579="","",INDEX('TMP Paste'!$K$2:$K$1601,$AG1579))</f>
        <v/>
      </c>
      <c r="P1579">
        <f>IF($AG1579="","","")</f>
        <v/>
      </c>
      <c r="Q1579">
        <f>IF($AG1579="","",INDEX('TMP Paste'!$J$2:$J$1601,$AG1579))</f>
        <v/>
      </c>
      <c r="R1579">
        <f>IF($AG1579="","",Config!$B$24)</f>
        <v/>
      </c>
      <c r="S1579">
        <f>IF($AG1579="","",TEXT(Config!$B$4,"yyyy-mm-dd"))</f>
        <v/>
      </c>
      <c r="T1579">
        <f>IF($AG1579="","",Config!$B$17)</f>
        <v/>
      </c>
      <c r="U1579">
        <f>IF($AG1579="","",Config!$B$18)</f>
        <v/>
      </c>
      <c r="V1579">
        <f>IF($AG1579="","",Config!$B$19)</f>
        <v/>
      </c>
      <c r="W1579">
        <f>IF($AG1579="","",INDEX('TMP Paste'!$C$2:$C$1601,$AG1579))</f>
        <v/>
      </c>
      <c r="X1579">
        <f>IF($AG1579="","",Config!$B$29)</f>
        <v/>
      </c>
      <c r="Y1579">
        <f>IF($AH1579="","",INDEX(Calc!$I$2:$I$1601,$AH1579)&amp;" - "&amp;INDEX(Calc!$D$2:$D$1601,$AH1579)&amp;" koli")</f>
        <v/>
      </c>
      <c r="Z1579">
        <f>IF($AG1579="","",Config!$B$21)</f>
        <v/>
      </c>
      <c r="AA1579">
        <f>IF($AG1579="","",Config!$B$22)</f>
        <v/>
      </c>
      <c r="AB1579">
        <f>IF($AH1579="","",INDEX(Calc!$D$2:$D$1601,$AH1579))</f>
        <v/>
      </c>
      <c r="AC1579">
        <f>IF($AH1579="","",INDEX(Calc!$G$2:$G$1601,$AH1579))</f>
        <v/>
      </c>
      <c r="AD1579">
        <f>IF($AG1579="","",Config!$B$23)</f>
        <v/>
      </c>
      <c r="AE1579">
        <f>IF($AG1579="","",Config!$B$28)</f>
        <v/>
      </c>
      <c r="AG1579">
        <f>IFERROR(MATCH(ROW()-1,Calc!$J$2:$J$1601,0),"")</f>
        <v/>
      </c>
      <c r="AH1579">
        <f>IFERROR(MATCH(ROW()-1,Calc!$K$2:$K$1601,0),"")</f>
        <v/>
      </c>
      <c r="AQ1579">
        <f>IF($AG1579="","",TRIM(IF(COUNTIFS(Calc!$B$2:$B$1601,ROW()-1,Calc!$C$2:$C$1601,"&lt;1")&gt;0,"Ada PO tanpa Koli - cek TMP. ","")&amp;IF(LEN($R1579)&gt;500,"R &gt; 500 karakter.","")))</f>
        <v/>
      </c>
    </row>
    <row r="1580">
      <c r="A1580">
        <f>IF($AG1580="","",INDEX('TMP Paste'!$B$2:$B$1601,$AG1580))</f>
        <v/>
      </c>
      <c r="B1580">
        <f>IF($AG1580="","",Config!$B$14)</f>
        <v/>
      </c>
      <c r="C1580">
        <f>IF($AG1580="","",Config!$B$15)</f>
        <v/>
      </c>
      <c r="D1580">
        <f>IF($AG1580="","",INDEX('TMP Paste'!$B$2:$B$1601,$AG1580))</f>
        <v/>
      </c>
      <c r="E1580">
        <f>IF($AG1580="","",Config!$B$27)</f>
        <v/>
      </c>
      <c r="F1580">
        <f>IF($AG1580="","",Config!$B$9)</f>
        <v/>
      </c>
      <c r="G1580">
        <f>IF($AG1580="","",Config!$B$10)</f>
        <v/>
      </c>
      <c r="H1580">
        <f>IF($AG1580="","",Config!$B$11)</f>
        <v/>
      </c>
      <c r="I1580">
        <f>IF($AG1580="","",Config!$B$16)</f>
        <v/>
      </c>
      <c r="J1580">
        <f>IF($AG1580="","",INDEX('TMP Paste'!$A$2:$A$1601,$AG1580))</f>
        <v/>
      </c>
      <c r="K1580">
        <f>IF($AG1580="","",INDEX('TMP Paste'!$L$2:$L$1601,$AG1580))</f>
        <v/>
      </c>
      <c r="L1580">
        <f>IF($AG1580="","",INDEX('TMP Paste'!$I$2:$I$1601,$AG1580))</f>
        <v/>
      </c>
      <c r="M1580">
        <f>IF($AG1580="","",Config!$B$16)</f>
        <v/>
      </c>
      <c r="N1580">
        <f>IF($AG1580="","","")</f>
        <v/>
      </c>
      <c r="O1580">
        <f>IF($AG1580="","",INDEX('TMP Paste'!$K$2:$K$1601,$AG1580))</f>
        <v/>
      </c>
      <c r="P1580">
        <f>IF($AG1580="","","")</f>
        <v/>
      </c>
      <c r="Q1580">
        <f>IF($AG1580="","",INDEX('TMP Paste'!$J$2:$J$1601,$AG1580))</f>
        <v/>
      </c>
      <c r="R1580">
        <f>IF($AG1580="","",Config!$B$24)</f>
        <v/>
      </c>
      <c r="S1580">
        <f>IF($AG1580="","",TEXT(Config!$B$4,"yyyy-mm-dd"))</f>
        <v/>
      </c>
      <c r="T1580">
        <f>IF($AG1580="","",Config!$B$17)</f>
        <v/>
      </c>
      <c r="U1580">
        <f>IF($AG1580="","",Config!$B$18)</f>
        <v/>
      </c>
      <c r="V1580">
        <f>IF($AG1580="","",Config!$B$19)</f>
        <v/>
      </c>
      <c r="W1580">
        <f>IF($AG1580="","",INDEX('TMP Paste'!$C$2:$C$1601,$AG1580))</f>
        <v/>
      </c>
      <c r="X1580">
        <f>IF($AG1580="","",Config!$B$29)</f>
        <v/>
      </c>
      <c r="Y1580">
        <f>IF($AH1580="","",INDEX(Calc!$I$2:$I$1601,$AH1580)&amp;" - "&amp;INDEX(Calc!$D$2:$D$1601,$AH1580)&amp;" koli")</f>
        <v/>
      </c>
      <c r="Z1580">
        <f>IF($AG1580="","",Config!$B$21)</f>
        <v/>
      </c>
      <c r="AA1580">
        <f>IF($AG1580="","",Config!$B$22)</f>
        <v/>
      </c>
      <c r="AB1580">
        <f>IF($AH1580="","",INDEX(Calc!$D$2:$D$1601,$AH1580))</f>
        <v/>
      </c>
      <c r="AC1580">
        <f>IF($AH1580="","",INDEX(Calc!$G$2:$G$1601,$AH1580))</f>
        <v/>
      </c>
      <c r="AD1580">
        <f>IF($AG1580="","",Config!$B$23)</f>
        <v/>
      </c>
      <c r="AE1580">
        <f>IF($AG1580="","",Config!$B$28)</f>
        <v/>
      </c>
      <c r="AG1580">
        <f>IFERROR(MATCH(ROW()-1,Calc!$J$2:$J$1601,0),"")</f>
        <v/>
      </c>
      <c r="AH1580">
        <f>IFERROR(MATCH(ROW()-1,Calc!$K$2:$K$1601,0),"")</f>
        <v/>
      </c>
      <c r="AQ1580">
        <f>IF($AG1580="","",TRIM(IF(COUNTIFS(Calc!$B$2:$B$1601,ROW()-1,Calc!$C$2:$C$1601,"&lt;1")&gt;0,"Ada PO tanpa Koli - cek TMP. ","")&amp;IF(LEN($R1580)&gt;500,"R &gt; 500 karakter.","")))</f>
        <v/>
      </c>
    </row>
    <row r="1581">
      <c r="A1581">
        <f>IF($AG1581="","",INDEX('TMP Paste'!$B$2:$B$1601,$AG1581))</f>
        <v/>
      </c>
      <c r="B1581">
        <f>IF($AG1581="","",Config!$B$14)</f>
        <v/>
      </c>
      <c r="C1581">
        <f>IF($AG1581="","",Config!$B$15)</f>
        <v/>
      </c>
      <c r="D1581">
        <f>IF($AG1581="","",INDEX('TMP Paste'!$B$2:$B$1601,$AG1581))</f>
        <v/>
      </c>
      <c r="E1581">
        <f>IF($AG1581="","",Config!$B$27)</f>
        <v/>
      </c>
      <c r="F1581">
        <f>IF($AG1581="","",Config!$B$9)</f>
        <v/>
      </c>
      <c r="G1581">
        <f>IF($AG1581="","",Config!$B$10)</f>
        <v/>
      </c>
      <c r="H1581">
        <f>IF($AG1581="","",Config!$B$11)</f>
        <v/>
      </c>
      <c r="I1581">
        <f>IF($AG1581="","",Config!$B$16)</f>
        <v/>
      </c>
      <c r="J1581">
        <f>IF($AG1581="","",INDEX('TMP Paste'!$A$2:$A$1601,$AG1581))</f>
        <v/>
      </c>
      <c r="K1581">
        <f>IF($AG1581="","",INDEX('TMP Paste'!$L$2:$L$1601,$AG1581))</f>
        <v/>
      </c>
      <c r="L1581">
        <f>IF($AG1581="","",INDEX('TMP Paste'!$I$2:$I$1601,$AG1581))</f>
        <v/>
      </c>
      <c r="M1581">
        <f>IF($AG1581="","",Config!$B$16)</f>
        <v/>
      </c>
      <c r="N1581">
        <f>IF($AG1581="","","")</f>
        <v/>
      </c>
      <c r="O1581">
        <f>IF($AG1581="","",INDEX('TMP Paste'!$K$2:$K$1601,$AG1581))</f>
        <v/>
      </c>
      <c r="P1581">
        <f>IF($AG1581="","","")</f>
        <v/>
      </c>
      <c r="Q1581">
        <f>IF($AG1581="","",INDEX('TMP Paste'!$J$2:$J$1601,$AG1581))</f>
        <v/>
      </c>
      <c r="R1581">
        <f>IF($AG1581="","",Config!$B$24)</f>
        <v/>
      </c>
      <c r="S1581">
        <f>IF($AG1581="","",TEXT(Config!$B$4,"yyyy-mm-dd"))</f>
        <v/>
      </c>
      <c r="T1581">
        <f>IF($AG1581="","",Config!$B$17)</f>
        <v/>
      </c>
      <c r="U1581">
        <f>IF($AG1581="","",Config!$B$18)</f>
        <v/>
      </c>
      <c r="V1581">
        <f>IF($AG1581="","",Config!$B$19)</f>
        <v/>
      </c>
      <c r="W1581">
        <f>IF($AG1581="","",INDEX('TMP Paste'!$C$2:$C$1601,$AG1581))</f>
        <v/>
      </c>
      <c r="X1581">
        <f>IF($AG1581="","",Config!$B$29)</f>
        <v/>
      </c>
      <c r="Y1581">
        <f>IF($AH1581="","",INDEX(Calc!$I$2:$I$1601,$AH1581)&amp;" - "&amp;INDEX(Calc!$D$2:$D$1601,$AH1581)&amp;" koli")</f>
        <v/>
      </c>
      <c r="Z1581">
        <f>IF($AG1581="","",Config!$B$21)</f>
        <v/>
      </c>
      <c r="AA1581">
        <f>IF($AG1581="","",Config!$B$22)</f>
        <v/>
      </c>
      <c r="AB1581">
        <f>IF($AH1581="","",INDEX(Calc!$D$2:$D$1601,$AH1581))</f>
        <v/>
      </c>
      <c r="AC1581">
        <f>IF($AH1581="","",INDEX(Calc!$G$2:$G$1601,$AH1581))</f>
        <v/>
      </c>
      <c r="AD1581">
        <f>IF($AG1581="","",Config!$B$23)</f>
        <v/>
      </c>
      <c r="AE1581">
        <f>IF($AG1581="","",Config!$B$28)</f>
        <v/>
      </c>
      <c r="AG1581">
        <f>IFERROR(MATCH(ROW()-1,Calc!$J$2:$J$1601,0),"")</f>
        <v/>
      </c>
      <c r="AH1581">
        <f>IFERROR(MATCH(ROW()-1,Calc!$K$2:$K$1601,0),"")</f>
        <v/>
      </c>
      <c r="AQ1581">
        <f>IF($AG1581="","",TRIM(IF(COUNTIFS(Calc!$B$2:$B$1601,ROW()-1,Calc!$C$2:$C$1601,"&lt;1")&gt;0,"Ada PO tanpa Koli - cek TMP. ","")&amp;IF(LEN($R1581)&gt;500,"R &gt; 500 karakter.","")))</f>
        <v/>
      </c>
    </row>
    <row r="1582">
      <c r="A1582">
        <f>IF($AG1582="","",INDEX('TMP Paste'!$B$2:$B$1601,$AG1582))</f>
        <v/>
      </c>
      <c r="B1582">
        <f>IF($AG1582="","",Config!$B$14)</f>
        <v/>
      </c>
      <c r="C1582">
        <f>IF($AG1582="","",Config!$B$15)</f>
        <v/>
      </c>
      <c r="D1582">
        <f>IF($AG1582="","",INDEX('TMP Paste'!$B$2:$B$1601,$AG1582))</f>
        <v/>
      </c>
      <c r="E1582">
        <f>IF($AG1582="","",Config!$B$27)</f>
        <v/>
      </c>
      <c r="F1582">
        <f>IF($AG1582="","",Config!$B$9)</f>
        <v/>
      </c>
      <c r="G1582">
        <f>IF($AG1582="","",Config!$B$10)</f>
        <v/>
      </c>
      <c r="H1582">
        <f>IF($AG1582="","",Config!$B$11)</f>
        <v/>
      </c>
      <c r="I1582">
        <f>IF($AG1582="","",Config!$B$16)</f>
        <v/>
      </c>
      <c r="J1582">
        <f>IF($AG1582="","",INDEX('TMP Paste'!$A$2:$A$1601,$AG1582))</f>
        <v/>
      </c>
      <c r="K1582">
        <f>IF($AG1582="","",INDEX('TMP Paste'!$L$2:$L$1601,$AG1582))</f>
        <v/>
      </c>
      <c r="L1582">
        <f>IF($AG1582="","",INDEX('TMP Paste'!$I$2:$I$1601,$AG1582))</f>
        <v/>
      </c>
      <c r="M1582">
        <f>IF($AG1582="","",Config!$B$16)</f>
        <v/>
      </c>
      <c r="N1582">
        <f>IF($AG1582="","","")</f>
        <v/>
      </c>
      <c r="O1582">
        <f>IF($AG1582="","",INDEX('TMP Paste'!$K$2:$K$1601,$AG1582))</f>
        <v/>
      </c>
      <c r="P1582">
        <f>IF($AG1582="","","")</f>
        <v/>
      </c>
      <c r="Q1582">
        <f>IF($AG1582="","",INDEX('TMP Paste'!$J$2:$J$1601,$AG1582))</f>
        <v/>
      </c>
      <c r="R1582">
        <f>IF($AG1582="","",Config!$B$24)</f>
        <v/>
      </c>
      <c r="S1582">
        <f>IF($AG1582="","",TEXT(Config!$B$4,"yyyy-mm-dd"))</f>
        <v/>
      </c>
      <c r="T1582">
        <f>IF($AG1582="","",Config!$B$17)</f>
        <v/>
      </c>
      <c r="U1582">
        <f>IF($AG1582="","",Config!$B$18)</f>
        <v/>
      </c>
      <c r="V1582">
        <f>IF($AG1582="","",Config!$B$19)</f>
        <v/>
      </c>
      <c r="W1582">
        <f>IF($AG1582="","",INDEX('TMP Paste'!$C$2:$C$1601,$AG1582))</f>
        <v/>
      </c>
      <c r="X1582">
        <f>IF($AG1582="","",Config!$B$29)</f>
        <v/>
      </c>
      <c r="Y1582">
        <f>IF($AH1582="","",INDEX(Calc!$I$2:$I$1601,$AH1582)&amp;" - "&amp;INDEX(Calc!$D$2:$D$1601,$AH1582)&amp;" koli")</f>
        <v/>
      </c>
      <c r="Z1582">
        <f>IF($AG1582="","",Config!$B$21)</f>
        <v/>
      </c>
      <c r="AA1582">
        <f>IF($AG1582="","",Config!$B$22)</f>
        <v/>
      </c>
      <c r="AB1582">
        <f>IF($AH1582="","",INDEX(Calc!$D$2:$D$1601,$AH1582))</f>
        <v/>
      </c>
      <c r="AC1582">
        <f>IF($AH1582="","",INDEX(Calc!$G$2:$G$1601,$AH1582))</f>
        <v/>
      </c>
      <c r="AD1582">
        <f>IF($AG1582="","",Config!$B$23)</f>
        <v/>
      </c>
      <c r="AE1582">
        <f>IF($AG1582="","",Config!$B$28)</f>
        <v/>
      </c>
      <c r="AG1582">
        <f>IFERROR(MATCH(ROW()-1,Calc!$J$2:$J$1601,0),"")</f>
        <v/>
      </c>
      <c r="AH1582">
        <f>IFERROR(MATCH(ROW()-1,Calc!$K$2:$K$1601,0),"")</f>
        <v/>
      </c>
      <c r="AQ1582">
        <f>IF($AG1582="","",TRIM(IF(COUNTIFS(Calc!$B$2:$B$1601,ROW()-1,Calc!$C$2:$C$1601,"&lt;1")&gt;0,"Ada PO tanpa Koli - cek TMP. ","")&amp;IF(LEN($R1582)&gt;500,"R &gt; 500 karakter.","")))</f>
        <v/>
      </c>
    </row>
    <row r="1583">
      <c r="A1583">
        <f>IF($AG1583="","",INDEX('TMP Paste'!$B$2:$B$1601,$AG1583))</f>
        <v/>
      </c>
      <c r="B1583">
        <f>IF($AG1583="","",Config!$B$14)</f>
        <v/>
      </c>
      <c r="C1583">
        <f>IF($AG1583="","",Config!$B$15)</f>
        <v/>
      </c>
      <c r="D1583">
        <f>IF($AG1583="","",INDEX('TMP Paste'!$B$2:$B$1601,$AG1583))</f>
        <v/>
      </c>
      <c r="E1583">
        <f>IF($AG1583="","",Config!$B$27)</f>
        <v/>
      </c>
      <c r="F1583">
        <f>IF($AG1583="","",Config!$B$9)</f>
        <v/>
      </c>
      <c r="G1583">
        <f>IF($AG1583="","",Config!$B$10)</f>
        <v/>
      </c>
      <c r="H1583">
        <f>IF($AG1583="","",Config!$B$11)</f>
        <v/>
      </c>
      <c r="I1583">
        <f>IF($AG1583="","",Config!$B$16)</f>
        <v/>
      </c>
      <c r="J1583">
        <f>IF($AG1583="","",INDEX('TMP Paste'!$A$2:$A$1601,$AG1583))</f>
        <v/>
      </c>
      <c r="K1583">
        <f>IF($AG1583="","",INDEX('TMP Paste'!$L$2:$L$1601,$AG1583))</f>
        <v/>
      </c>
      <c r="L1583">
        <f>IF($AG1583="","",INDEX('TMP Paste'!$I$2:$I$1601,$AG1583))</f>
        <v/>
      </c>
      <c r="M1583">
        <f>IF($AG1583="","",Config!$B$16)</f>
        <v/>
      </c>
      <c r="N1583">
        <f>IF($AG1583="","","")</f>
        <v/>
      </c>
      <c r="O1583">
        <f>IF($AG1583="","",INDEX('TMP Paste'!$K$2:$K$1601,$AG1583))</f>
        <v/>
      </c>
      <c r="P1583">
        <f>IF($AG1583="","","")</f>
        <v/>
      </c>
      <c r="Q1583">
        <f>IF($AG1583="","",INDEX('TMP Paste'!$J$2:$J$1601,$AG1583))</f>
        <v/>
      </c>
      <c r="R1583">
        <f>IF($AG1583="","",Config!$B$24)</f>
        <v/>
      </c>
      <c r="S1583">
        <f>IF($AG1583="","",TEXT(Config!$B$4,"yyyy-mm-dd"))</f>
        <v/>
      </c>
      <c r="T1583">
        <f>IF($AG1583="","",Config!$B$17)</f>
        <v/>
      </c>
      <c r="U1583">
        <f>IF($AG1583="","",Config!$B$18)</f>
        <v/>
      </c>
      <c r="V1583">
        <f>IF($AG1583="","",Config!$B$19)</f>
        <v/>
      </c>
      <c r="W1583">
        <f>IF($AG1583="","",INDEX('TMP Paste'!$C$2:$C$1601,$AG1583))</f>
        <v/>
      </c>
      <c r="X1583">
        <f>IF($AG1583="","",Config!$B$29)</f>
        <v/>
      </c>
      <c r="Y1583">
        <f>IF($AH1583="","",INDEX(Calc!$I$2:$I$1601,$AH1583)&amp;" - "&amp;INDEX(Calc!$D$2:$D$1601,$AH1583)&amp;" koli")</f>
        <v/>
      </c>
      <c r="Z1583">
        <f>IF($AG1583="","",Config!$B$21)</f>
        <v/>
      </c>
      <c r="AA1583">
        <f>IF($AG1583="","",Config!$B$22)</f>
        <v/>
      </c>
      <c r="AB1583">
        <f>IF($AH1583="","",INDEX(Calc!$D$2:$D$1601,$AH1583))</f>
        <v/>
      </c>
      <c r="AC1583">
        <f>IF($AH1583="","",INDEX(Calc!$G$2:$G$1601,$AH1583))</f>
        <v/>
      </c>
      <c r="AD1583">
        <f>IF($AG1583="","",Config!$B$23)</f>
        <v/>
      </c>
      <c r="AE1583">
        <f>IF($AG1583="","",Config!$B$28)</f>
        <v/>
      </c>
      <c r="AG1583">
        <f>IFERROR(MATCH(ROW()-1,Calc!$J$2:$J$1601,0),"")</f>
        <v/>
      </c>
      <c r="AH1583">
        <f>IFERROR(MATCH(ROW()-1,Calc!$K$2:$K$1601,0),"")</f>
        <v/>
      </c>
      <c r="AQ1583">
        <f>IF($AG1583="","",TRIM(IF(COUNTIFS(Calc!$B$2:$B$1601,ROW()-1,Calc!$C$2:$C$1601,"&lt;1")&gt;0,"Ada PO tanpa Koli - cek TMP. ","")&amp;IF(LEN($R1583)&gt;500,"R &gt; 500 karakter.","")))</f>
        <v/>
      </c>
    </row>
    <row r="1584">
      <c r="A1584">
        <f>IF($AG1584="","",INDEX('TMP Paste'!$B$2:$B$1601,$AG1584))</f>
        <v/>
      </c>
      <c r="B1584">
        <f>IF($AG1584="","",Config!$B$14)</f>
        <v/>
      </c>
      <c r="C1584">
        <f>IF($AG1584="","",Config!$B$15)</f>
        <v/>
      </c>
      <c r="D1584">
        <f>IF($AG1584="","",INDEX('TMP Paste'!$B$2:$B$1601,$AG1584))</f>
        <v/>
      </c>
      <c r="E1584">
        <f>IF($AG1584="","",Config!$B$27)</f>
        <v/>
      </c>
      <c r="F1584">
        <f>IF($AG1584="","",Config!$B$9)</f>
        <v/>
      </c>
      <c r="G1584">
        <f>IF($AG1584="","",Config!$B$10)</f>
        <v/>
      </c>
      <c r="H1584">
        <f>IF($AG1584="","",Config!$B$11)</f>
        <v/>
      </c>
      <c r="I1584">
        <f>IF($AG1584="","",Config!$B$16)</f>
        <v/>
      </c>
      <c r="J1584">
        <f>IF($AG1584="","",INDEX('TMP Paste'!$A$2:$A$1601,$AG1584))</f>
        <v/>
      </c>
      <c r="K1584">
        <f>IF($AG1584="","",INDEX('TMP Paste'!$L$2:$L$1601,$AG1584))</f>
        <v/>
      </c>
      <c r="L1584">
        <f>IF($AG1584="","",INDEX('TMP Paste'!$I$2:$I$1601,$AG1584))</f>
        <v/>
      </c>
      <c r="M1584">
        <f>IF($AG1584="","",Config!$B$16)</f>
        <v/>
      </c>
      <c r="N1584">
        <f>IF($AG1584="","","")</f>
        <v/>
      </c>
      <c r="O1584">
        <f>IF($AG1584="","",INDEX('TMP Paste'!$K$2:$K$1601,$AG1584))</f>
        <v/>
      </c>
      <c r="P1584">
        <f>IF($AG1584="","","")</f>
        <v/>
      </c>
      <c r="Q1584">
        <f>IF($AG1584="","",INDEX('TMP Paste'!$J$2:$J$1601,$AG1584))</f>
        <v/>
      </c>
      <c r="R1584">
        <f>IF($AG1584="","",Config!$B$24)</f>
        <v/>
      </c>
      <c r="S1584">
        <f>IF($AG1584="","",TEXT(Config!$B$4,"yyyy-mm-dd"))</f>
        <v/>
      </c>
      <c r="T1584">
        <f>IF($AG1584="","",Config!$B$17)</f>
        <v/>
      </c>
      <c r="U1584">
        <f>IF($AG1584="","",Config!$B$18)</f>
        <v/>
      </c>
      <c r="V1584">
        <f>IF($AG1584="","",Config!$B$19)</f>
        <v/>
      </c>
      <c r="W1584">
        <f>IF($AG1584="","",INDEX('TMP Paste'!$C$2:$C$1601,$AG1584))</f>
        <v/>
      </c>
      <c r="X1584">
        <f>IF($AG1584="","",Config!$B$29)</f>
        <v/>
      </c>
      <c r="Y1584">
        <f>IF($AH1584="","",INDEX(Calc!$I$2:$I$1601,$AH1584)&amp;" - "&amp;INDEX(Calc!$D$2:$D$1601,$AH1584)&amp;" koli")</f>
        <v/>
      </c>
      <c r="Z1584">
        <f>IF($AG1584="","",Config!$B$21)</f>
        <v/>
      </c>
      <c r="AA1584">
        <f>IF($AG1584="","",Config!$B$22)</f>
        <v/>
      </c>
      <c r="AB1584">
        <f>IF($AH1584="","",INDEX(Calc!$D$2:$D$1601,$AH1584))</f>
        <v/>
      </c>
      <c r="AC1584">
        <f>IF($AH1584="","",INDEX(Calc!$G$2:$G$1601,$AH1584))</f>
        <v/>
      </c>
      <c r="AD1584">
        <f>IF($AG1584="","",Config!$B$23)</f>
        <v/>
      </c>
      <c r="AE1584">
        <f>IF($AG1584="","",Config!$B$28)</f>
        <v/>
      </c>
      <c r="AG1584">
        <f>IFERROR(MATCH(ROW()-1,Calc!$J$2:$J$1601,0),"")</f>
        <v/>
      </c>
      <c r="AH1584">
        <f>IFERROR(MATCH(ROW()-1,Calc!$K$2:$K$1601,0),"")</f>
        <v/>
      </c>
      <c r="AQ1584">
        <f>IF($AG1584="","",TRIM(IF(COUNTIFS(Calc!$B$2:$B$1601,ROW()-1,Calc!$C$2:$C$1601,"&lt;1")&gt;0,"Ada PO tanpa Koli - cek TMP. ","")&amp;IF(LEN($R1584)&gt;500,"R &gt; 500 karakter.","")))</f>
        <v/>
      </c>
    </row>
    <row r="1585">
      <c r="A1585">
        <f>IF($AG1585="","",INDEX('TMP Paste'!$B$2:$B$1601,$AG1585))</f>
        <v/>
      </c>
      <c r="B1585">
        <f>IF($AG1585="","",Config!$B$14)</f>
        <v/>
      </c>
      <c r="C1585">
        <f>IF($AG1585="","",Config!$B$15)</f>
        <v/>
      </c>
      <c r="D1585">
        <f>IF($AG1585="","",INDEX('TMP Paste'!$B$2:$B$1601,$AG1585))</f>
        <v/>
      </c>
      <c r="E1585">
        <f>IF($AG1585="","",Config!$B$27)</f>
        <v/>
      </c>
      <c r="F1585">
        <f>IF($AG1585="","",Config!$B$9)</f>
        <v/>
      </c>
      <c r="G1585">
        <f>IF($AG1585="","",Config!$B$10)</f>
        <v/>
      </c>
      <c r="H1585">
        <f>IF($AG1585="","",Config!$B$11)</f>
        <v/>
      </c>
      <c r="I1585">
        <f>IF($AG1585="","",Config!$B$16)</f>
        <v/>
      </c>
      <c r="J1585">
        <f>IF($AG1585="","",INDEX('TMP Paste'!$A$2:$A$1601,$AG1585))</f>
        <v/>
      </c>
      <c r="K1585">
        <f>IF($AG1585="","",INDEX('TMP Paste'!$L$2:$L$1601,$AG1585))</f>
        <v/>
      </c>
      <c r="L1585">
        <f>IF($AG1585="","",INDEX('TMP Paste'!$I$2:$I$1601,$AG1585))</f>
        <v/>
      </c>
      <c r="M1585">
        <f>IF($AG1585="","",Config!$B$16)</f>
        <v/>
      </c>
      <c r="N1585">
        <f>IF($AG1585="","","")</f>
        <v/>
      </c>
      <c r="O1585">
        <f>IF($AG1585="","",INDEX('TMP Paste'!$K$2:$K$1601,$AG1585))</f>
        <v/>
      </c>
      <c r="P1585">
        <f>IF($AG1585="","","")</f>
        <v/>
      </c>
      <c r="Q1585">
        <f>IF($AG1585="","",INDEX('TMP Paste'!$J$2:$J$1601,$AG1585))</f>
        <v/>
      </c>
      <c r="R1585">
        <f>IF($AG1585="","",Config!$B$24)</f>
        <v/>
      </c>
      <c r="S1585">
        <f>IF($AG1585="","",TEXT(Config!$B$4,"yyyy-mm-dd"))</f>
        <v/>
      </c>
      <c r="T1585">
        <f>IF($AG1585="","",Config!$B$17)</f>
        <v/>
      </c>
      <c r="U1585">
        <f>IF($AG1585="","",Config!$B$18)</f>
        <v/>
      </c>
      <c r="V1585">
        <f>IF($AG1585="","",Config!$B$19)</f>
        <v/>
      </c>
      <c r="W1585">
        <f>IF($AG1585="","",INDEX('TMP Paste'!$C$2:$C$1601,$AG1585))</f>
        <v/>
      </c>
      <c r="X1585">
        <f>IF($AG1585="","",Config!$B$29)</f>
        <v/>
      </c>
      <c r="Y1585">
        <f>IF($AH1585="","",INDEX(Calc!$I$2:$I$1601,$AH1585)&amp;" - "&amp;INDEX(Calc!$D$2:$D$1601,$AH1585)&amp;" koli")</f>
        <v/>
      </c>
      <c r="Z1585">
        <f>IF($AG1585="","",Config!$B$21)</f>
        <v/>
      </c>
      <c r="AA1585">
        <f>IF($AG1585="","",Config!$B$22)</f>
        <v/>
      </c>
      <c r="AB1585">
        <f>IF($AH1585="","",INDEX(Calc!$D$2:$D$1601,$AH1585))</f>
        <v/>
      </c>
      <c r="AC1585">
        <f>IF($AH1585="","",INDEX(Calc!$G$2:$G$1601,$AH1585))</f>
        <v/>
      </c>
      <c r="AD1585">
        <f>IF($AG1585="","",Config!$B$23)</f>
        <v/>
      </c>
      <c r="AE1585">
        <f>IF($AG1585="","",Config!$B$28)</f>
        <v/>
      </c>
      <c r="AG1585">
        <f>IFERROR(MATCH(ROW()-1,Calc!$J$2:$J$1601,0),"")</f>
        <v/>
      </c>
      <c r="AH1585">
        <f>IFERROR(MATCH(ROW()-1,Calc!$K$2:$K$1601,0),"")</f>
        <v/>
      </c>
      <c r="AQ1585">
        <f>IF($AG1585="","",TRIM(IF(COUNTIFS(Calc!$B$2:$B$1601,ROW()-1,Calc!$C$2:$C$1601,"&lt;1")&gt;0,"Ada PO tanpa Koli - cek TMP. ","")&amp;IF(LEN($R1585)&gt;500,"R &gt; 500 karakter.","")))</f>
        <v/>
      </c>
    </row>
    <row r="1586">
      <c r="A1586">
        <f>IF($AG1586="","",INDEX('TMP Paste'!$B$2:$B$1601,$AG1586))</f>
        <v/>
      </c>
      <c r="B1586">
        <f>IF($AG1586="","",Config!$B$14)</f>
        <v/>
      </c>
      <c r="C1586">
        <f>IF($AG1586="","",Config!$B$15)</f>
        <v/>
      </c>
      <c r="D1586">
        <f>IF($AG1586="","",INDEX('TMP Paste'!$B$2:$B$1601,$AG1586))</f>
        <v/>
      </c>
      <c r="E1586">
        <f>IF($AG1586="","",Config!$B$27)</f>
        <v/>
      </c>
      <c r="F1586">
        <f>IF($AG1586="","",Config!$B$9)</f>
        <v/>
      </c>
      <c r="G1586">
        <f>IF($AG1586="","",Config!$B$10)</f>
        <v/>
      </c>
      <c r="H1586">
        <f>IF($AG1586="","",Config!$B$11)</f>
        <v/>
      </c>
      <c r="I1586">
        <f>IF($AG1586="","",Config!$B$16)</f>
        <v/>
      </c>
      <c r="J1586">
        <f>IF($AG1586="","",INDEX('TMP Paste'!$A$2:$A$1601,$AG1586))</f>
        <v/>
      </c>
      <c r="K1586">
        <f>IF($AG1586="","",INDEX('TMP Paste'!$L$2:$L$1601,$AG1586))</f>
        <v/>
      </c>
      <c r="L1586">
        <f>IF($AG1586="","",INDEX('TMP Paste'!$I$2:$I$1601,$AG1586))</f>
        <v/>
      </c>
      <c r="M1586">
        <f>IF($AG1586="","",Config!$B$16)</f>
        <v/>
      </c>
      <c r="N1586">
        <f>IF($AG1586="","","")</f>
        <v/>
      </c>
      <c r="O1586">
        <f>IF($AG1586="","",INDEX('TMP Paste'!$K$2:$K$1601,$AG1586))</f>
        <v/>
      </c>
      <c r="P1586">
        <f>IF($AG1586="","","")</f>
        <v/>
      </c>
      <c r="Q1586">
        <f>IF($AG1586="","",INDEX('TMP Paste'!$J$2:$J$1601,$AG1586))</f>
        <v/>
      </c>
      <c r="R1586">
        <f>IF($AG1586="","",Config!$B$24)</f>
        <v/>
      </c>
      <c r="S1586">
        <f>IF($AG1586="","",TEXT(Config!$B$4,"yyyy-mm-dd"))</f>
        <v/>
      </c>
      <c r="T1586">
        <f>IF($AG1586="","",Config!$B$17)</f>
        <v/>
      </c>
      <c r="U1586">
        <f>IF($AG1586="","",Config!$B$18)</f>
        <v/>
      </c>
      <c r="V1586">
        <f>IF($AG1586="","",Config!$B$19)</f>
        <v/>
      </c>
      <c r="W1586">
        <f>IF($AG1586="","",INDEX('TMP Paste'!$C$2:$C$1601,$AG1586))</f>
        <v/>
      </c>
      <c r="X1586">
        <f>IF($AG1586="","",Config!$B$29)</f>
        <v/>
      </c>
      <c r="Y1586">
        <f>IF($AH1586="","",INDEX(Calc!$I$2:$I$1601,$AH1586)&amp;" - "&amp;INDEX(Calc!$D$2:$D$1601,$AH1586)&amp;" koli")</f>
        <v/>
      </c>
      <c r="Z1586">
        <f>IF($AG1586="","",Config!$B$21)</f>
        <v/>
      </c>
      <c r="AA1586">
        <f>IF($AG1586="","",Config!$B$22)</f>
        <v/>
      </c>
      <c r="AB1586">
        <f>IF($AH1586="","",INDEX(Calc!$D$2:$D$1601,$AH1586))</f>
        <v/>
      </c>
      <c r="AC1586">
        <f>IF($AH1586="","",INDEX(Calc!$G$2:$G$1601,$AH1586))</f>
        <v/>
      </c>
      <c r="AD1586">
        <f>IF($AG1586="","",Config!$B$23)</f>
        <v/>
      </c>
      <c r="AE1586">
        <f>IF($AG1586="","",Config!$B$28)</f>
        <v/>
      </c>
      <c r="AG1586">
        <f>IFERROR(MATCH(ROW()-1,Calc!$J$2:$J$1601,0),"")</f>
        <v/>
      </c>
      <c r="AH1586">
        <f>IFERROR(MATCH(ROW()-1,Calc!$K$2:$K$1601,0),"")</f>
        <v/>
      </c>
      <c r="AQ1586">
        <f>IF($AG1586="","",TRIM(IF(COUNTIFS(Calc!$B$2:$B$1601,ROW()-1,Calc!$C$2:$C$1601,"&lt;1")&gt;0,"Ada PO tanpa Koli - cek TMP. ","")&amp;IF(LEN($R1586)&gt;500,"R &gt; 500 karakter.","")))</f>
        <v/>
      </c>
    </row>
    <row r="1587">
      <c r="A1587">
        <f>IF($AG1587="","",INDEX('TMP Paste'!$B$2:$B$1601,$AG1587))</f>
        <v/>
      </c>
      <c r="B1587">
        <f>IF($AG1587="","",Config!$B$14)</f>
        <v/>
      </c>
      <c r="C1587">
        <f>IF($AG1587="","",Config!$B$15)</f>
        <v/>
      </c>
      <c r="D1587">
        <f>IF($AG1587="","",INDEX('TMP Paste'!$B$2:$B$1601,$AG1587))</f>
        <v/>
      </c>
      <c r="E1587">
        <f>IF($AG1587="","",Config!$B$27)</f>
        <v/>
      </c>
      <c r="F1587">
        <f>IF($AG1587="","",Config!$B$9)</f>
        <v/>
      </c>
      <c r="G1587">
        <f>IF($AG1587="","",Config!$B$10)</f>
        <v/>
      </c>
      <c r="H1587">
        <f>IF($AG1587="","",Config!$B$11)</f>
        <v/>
      </c>
      <c r="I1587">
        <f>IF($AG1587="","",Config!$B$16)</f>
        <v/>
      </c>
      <c r="J1587">
        <f>IF($AG1587="","",INDEX('TMP Paste'!$A$2:$A$1601,$AG1587))</f>
        <v/>
      </c>
      <c r="K1587">
        <f>IF($AG1587="","",INDEX('TMP Paste'!$L$2:$L$1601,$AG1587))</f>
        <v/>
      </c>
      <c r="L1587">
        <f>IF($AG1587="","",INDEX('TMP Paste'!$I$2:$I$1601,$AG1587))</f>
        <v/>
      </c>
      <c r="M1587">
        <f>IF($AG1587="","",Config!$B$16)</f>
        <v/>
      </c>
      <c r="N1587">
        <f>IF($AG1587="","","")</f>
        <v/>
      </c>
      <c r="O1587">
        <f>IF($AG1587="","",INDEX('TMP Paste'!$K$2:$K$1601,$AG1587))</f>
        <v/>
      </c>
      <c r="P1587">
        <f>IF($AG1587="","","")</f>
        <v/>
      </c>
      <c r="Q1587">
        <f>IF($AG1587="","",INDEX('TMP Paste'!$J$2:$J$1601,$AG1587))</f>
        <v/>
      </c>
      <c r="R1587">
        <f>IF($AG1587="","",Config!$B$24)</f>
        <v/>
      </c>
      <c r="S1587">
        <f>IF($AG1587="","",TEXT(Config!$B$4,"yyyy-mm-dd"))</f>
        <v/>
      </c>
      <c r="T1587">
        <f>IF($AG1587="","",Config!$B$17)</f>
        <v/>
      </c>
      <c r="U1587">
        <f>IF($AG1587="","",Config!$B$18)</f>
        <v/>
      </c>
      <c r="V1587">
        <f>IF($AG1587="","",Config!$B$19)</f>
        <v/>
      </c>
      <c r="W1587">
        <f>IF($AG1587="","",INDEX('TMP Paste'!$C$2:$C$1601,$AG1587))</f>
        <v/>
      </c>
      <c r="X1587">
        <f>IF($AG1587="","",Config!$B$29)</f>
        <v/>
      </c>
      <c r="Y1587">
        <f>IF($AH1587="","",INDEX(Calc!$I$2:$I$1601,$AH1587)&amp;" - "&amp;INDEX(Calc!$D$2:$D$1601,$AH1587)&amp;" koli")</f>
        <v/>
      </c>
      <c r="Z1587">
        <f>IF($AG1587="","",Config!$B$21)</f>
        <v/>
      </c>
      <c r="AA1587">
        <f>IF($AG1587="","",Config!$B$22)</f>
        <v/>
      </c>
      <c r="AB1587">
        <f>IF($AH1587="","",INDEX(Calc!$D$2:$D$1601,$AH1587))</f>
        <v/>
      </c>
      <c r="AC1587">
        <f>IF($AH1587="","",INDEX(Calc!$G$2:$G$1601,$AH1587))</f>
        <v/>
      </c>
      <c r="AD1587">
        <f>IF($AG1587="","",Config!$B$23)</f>
        <v/>
      </c>
      <c r="AE1587">
        <f>IF($AG1587="","",Config!$B$28)</f>
        <v/>
      </c>
      <c r="AG1587">
        <f>IFERROR(MATCH(ROW()-1,Calc!$J$2:$J$1601,0),"")</f>
        <v/>
      </c>
      <c r="AH1587">
        <f>IFERROR(MATCH(ROW()-1,Calc!$K$2:$K$1601,0),"")</f>
        <v/>
      </c>
      <c r="AQ1587">
        <f>IF($AG1587="","",TRIM(IF(COUNTIFS(Calc!$B$2:$B$1601,ROW()-1,Calc!$C$2:$C$1601,"&lt;1")&gt;0,"Ada PO tanpa Koli - cek TMP. ","")&amp;IF(LEN($R1587)&gt;500,"R &gt; 500 karakter.","")))</f>
        <v/>
      </c>
    </row>
    <row r="1588">
      <c r="A1588">
        <f>IF($AG1588="","",INDEX('TMP Paste'!$B$2:$B$1601,$AG1588))</f>
        <v/>
      </c>
      <c r="B1588">
        <f>IF($AG1588="","",Config!$B$14)</f>
        <v/>
      </c>
      <c r="C1588">
        <f>IF($AG1588="","",Config!$B$15)</f>
        <v/>
      </c>
      <c r="D1588">
        <f>IF($AG1588="","",INDEX('TMP Paste'!$B$2:$B$1601,$AG1588))</f>
        <v/>
      </c>
      <c r="E1588">
        <f>IF($AG1588="","",Config!$B$27)</f>
        <v/>
      </c>
      <c r="F1588">
        <f>IF($AG1588="","",Config!$B$9)</f>
        <v/>
      </c>
      <c r="G1588">
        <f>IF($AG1588="","",Config!$B$10)</f>
        <v/>
      </c>
      <c r="H1588">
        <f>IF($AG1588="","",Config!$B$11)</f>
        <v/>
      </c>
      <c r="I1588">
        <f>IF($AG1588="","",Config!$B$16)</f>
        <v/>
      </c>
      <c r="J1588">
        <f>IF($AG1588="","",INDEX('TMP Paste'!$A$2:$A$1601,$AG1588))</f>
        <v/>
      </c>
      <c r="K1588">
        <f>IF($AG1588="","",INDEX('TMP Paste'!$L$2:$L$1601,$AG1588))</f>
        <v/>
      </c>
      <c r="L1588">
        <f>IF($AG1588="","",INDEX('TMP Paste'!$I$2:$I$1601,$AG1588))</f>
        <v/>
      </c>
      <c r="M1588">
        <f>IF($AG1588="","",Config!$B$16)</f>
        <v/>
      </c>
      <c r="N1588">
        <f>IF($AG1588="","","")</f>
        <v/>
      </c>
      <c r="O1588">
        <f>IF($AG1588="","",INDEX('TMP Paste'!$K$2:$K$1601,$AG1588))</f>
        <v/>
      </c>
      <c r="P1588">
        <f>IF($AG1588="","","")</f>
        <v/>
      </c>
      <c r="Q1588">
        <f>IF($AG1588="","",INDEX('TMP Paste'!$J$2:$J$1601,$AG1588))</f>
        <v/>
      </c>
      <c r="R1588">
        <f>IF($AG1588="","",Config!$B$24)</f>
        <v/>
      </c>
      <c r="S1588">
        <f>IF($AG1588="","",TEXT(Config!$B$4,"yyyy-mm-dd"))</f>
        <v/>
      </c>
      <c r="T1588">
        <f>IF($AG1588="","",Config!$B$17)</f>
        <v/>
      </c>
      <c r="U1588">
        <f>IF($AG1588="","",Config!$B$18)</f>
        <v/>
      </c>
      <c r="V1588">
        <f>IF($AG1588="","",Config!$B$19)</f>
        <v/>
      </c>
      <c r="W1588">
        <f>IF($AG1588="","",INDEX('TMP Paste'!$C$2:$C$1601,$AG1588))</f>
        <v/>
      </c>
      <c r="X1588">
        <f>IF($AG1588="","",Config!$B$29)</f>
        <v/>
      </c>
      <c r="Y1588">
        <f>IF($AH1588="","",INDEX(Calc!$I$2:$I$1601,$AH1588)&amp;" - "&amp;INDEX(Calc!$D$2:$D$1601,$AH1588)&amp;" koli")</f>
        <v/>
      </c>
      <c r="Z1588">
        <f>IF($AG1588="","",Config!$B$21)</f>
        <v/>
      </c>
      <c r="AA1588">
        <f>IF($AG1588="","",Config!$B$22)</f>
        <v/>
      </c>
      <c r="AB1588">
        <f>IF($AH1588="","",INDEX(Calc!$D$2:$D$1601,$AH1588))</f>
        <v/>
      </c>
      <c r="AC1588">
        <f>IF($AH1588="","",INDEX(Calc!$G$2:$G$1601,$AH1588))</f>
        <v/>
      </c>
      <c r="AD1588">
        <f>IF($AG1588="","",Config!$B$23)</f>
        <v/>
      </c>
      <c r="AE1588">
        <f>IF($AG1588="","",Config!$B$28)</f>
        <v/>
      </c>
      <c r="AG1588">
        <f>IFERROR(MATCH(ROW()-1,Calc!$J$2:$J$1601,0),"")</f>
        <v/>
      </c>
      <c r="AH1588">
        <f>IFERROR(MATCH(ROW()-1,Calc!$K$2:$K$1601,0),"")</f>
        <v/>
      </c>
      <c r="AQ1588">
        <f>IF($AG1588="","",TRIM(IF(COUNTIFS(Calc!$B$2:$B$1601,ROW()-1,Calc!$C$2:$C$1601,"&lt;1")&gt;0,"Ada PO tanpa Koli - cek TMP. ","")&amp;IF(LEN($R1588)&gt;500,"R &gt; 500 karakter.","")))</f>
        <v/>
      </c>
    </row>
    <row r="1589">
      <c r="A1589">
        <f>IF($AG1589="","",INDEX('TMP Paste'!$B$2:$B$1601,$AG1589))</f>
        <v/>
      </c>
      <c r="B1589">
        <f>IF($AG1589="","",Config!$B$14)</f>
        <v/>
      </c>
      <c r="C1589">
        <f>IF($AG1589="","",Config!$B$15)</f>
        <v/>
      </c>
      <c r="D1589">
        <f>IF($AG1589="","",INDEX('TMP Paste'!$B$2:$B$1601,$AG1589))</f>
        <v/>
      </c>
      <c r="E1589">
        <f>IF($AG1589="","",Config!$B$27)</f>
        <v/>
      </c>
      <c r="F1589">
        <f>IF($AG1589="","",Config!$B$9)</f>
        <v/>
      </c>
      <c r="G1589">
        <f>IF($AG1589="","",Config!$B$10)</f>
        <v/>
      </c>
      <c r="H1589">
        <f>IF($AG1589="","",Config!$B$11)</f>
        <v/>
      </c>
      <c r="I1589">
        <f>IF($AG1589="","",Config!$B$16)</f>
        <v/>
      </c>
      <c r="J1589">
        <f>IF($AG1589="","",INDEX('TMP Paste'!$A$2:$A$1601,$AG1589))</f>
        <v/>
      </c>
      <c r="K1589">
        <f>IF($AG1589="","",INDEX('TMP Paste'!$L$2:$L$1601,$AG1589))</f>
        <v/>
      </c>
      <c r="L1589">
        <f>IF($AG1589="","",INDEX('TMP Paste'!$I$2:$I$1601,$AG1589))</f>
        <v/>
      </c>
      <c r="M1589">
        <f>IF($AG1589="","",Config!$B$16)</f>
        <v/>
      </c>
      <c r="N1589">
        <f>IF($AG1589="","","")</f>
        <v/>
      </c>
      <c r="O1589">
        <f>IF($AG1589="","",INDEX('TMP Paste'!$K$2:$K$1601,$AG1589))</f>
        <v/>
      </c>
      <c r="P1589">
        <f>IF($AG1589="","","")</f>
        <v/>
      </c>
      <c r="Q1589">
        <f>IF($AG1589="","",INDEX('TMP Paste'!$J$2:$J$1601,$AG1589))</f>
        <v/>
      </c>
      <c r="R1589">
        <f>IF($AG1589="","",Config!$B$24)</f>
        <v/>
      </c>
      <c r="S1589">
        <f>IF($AG1589="","",TEXT(Config!$B$4,"yyyy-mm-dd"))</f>
        <v/>
      </c>
      <c r="T1589">
        <f>IF($AG1589="","",Config!$B$17)</f>
        <v/>
      </c>
      <c r="U1589">
        <f>IF($AG1589="","",Config!$B$18)</f>
        <v/>
      </c>
      <c r="V1589">
        <f>IF($AG1589="","",Config!$B$19)</f>
        <v/>
      </c>
      <c r="W1589">
        <f>IF($AG1589="","",INDEX('TMP Paste'!$C$2:$C$1601,$AG1589))</f>
        <v/>
      </c>
      <c r="X1589">
        <f>IF($AG1589="","",Config!$B$29)</f>
        <v/>
      </c>
      <c r="Y1589">
        <f>IF($AH1589="","",INDEX(Calc!$I$2:$I$1601,$AH1589)&amp;" - "&amp;INDEX(Calc!$D$2:$D$1601,$AH1589)&amp;" koli")</f>
        <v/>
      </c>
      <c r="Z1589">
        <f>IF($AG1589="","",Config!$B$21)</f>
        <v/>
      </c>
      <c r="AA1589">
        <f>IF($AG1589="","",Config!$B$22)</f>
        <v/>
      </c>
      <c r="AB1589">
        <f>IF($AH1589="","",INDEX(Calc!$D$2:$D$1601,$AH1589))</f>
        <v/>
      </c>
      <c r="AC1589">
        <f>IF($AH1589="","",INDEX(Calc!$G$2:$G$1601,$AH1589))</f>
        <v/>
      </c>
      <c r="AD1589">
        <f>IF($AG1589="","",Config!$B$23)</f>
        <v/>
      </c>
      <c r="AE1589">
        <f>IF($AG1589="","",Config!$B$28)</f>
        <v/>
      </c>
      <c r="AG1589">
        <f>IFERROR(MATCH(ROW()-1,Calc!$J$2:$J$1601,0),"")</f>
        <v/>
      </c>
      <c r="AH1589">
        <f>IFERROR(MATCH(ROW()-1,Calc!$K$2:$K$1601,0),"")</f>
        <v/>
      </c>
      <c r="AQ1589">
        <f>IF($AG1589="","",TRIM(IF(COUNTIFS(Calc!$B$2:$B$1601,ROW()-1,Calc!$C$2:$C$1601,"&lt;1")&gt;0,"Ada PO tanpa Koli - cek TMP. ","")&amp;IF(LEN($R1589)&gt;500,"R &gt; 500 karakter.","")))</f>
        <v/>
      </c>
    </row>
    <row r="1590">
      <c r="A1590">
        <f>IF($AG1590="","",INDEX('TMP Paste'!$B$2:$B$1601,$AG1590))</f>
        <v/>
      </c>
      <c r="B1590">
        <f>IF($AG1590="","",Config!$B$14)</f>
        <v/>
      </c>
      <c r="C1590">
        <f>IF($AG1590="","",Config!$B$15)</f>
        <v/>
      </c>
      <c r="D1590">
        <f>IF($AG1590="","",INDEX('TMP Paste'!$B$2:$B$1601,$AG1590))</f>
        <v/>
      </c>
      <c r="E1590">
        <f>IF($AG1590="","",Config!$B$27)</f>
        <v/>
      </c>
      <c r="F1590">
        <f>IF($AG1590="","",Config!$B$9)</f>
        <v/>
      </c>
      <c r="G1590">
        <f>IF($AG1590="","",Config!$B$10)</f>
        <v/>
      </c>
      <c r="H1590">
        <f>IF($AG1590="","",Config!$B$11)</f>
        <v/>
      </c>
      <c r="I1590">
        <f>IF($AG1590="","",Config!$B$16)</f>
        <v/>
      </c>
      <c r="J1590">
        <f>IF($AG1590="","",INDEX('TMP Paste'!$A$2:$A$1601,$AG1590))</f>
        <v/>
      </c>
      <c r="K1590">
        <f>IF($AG1590="","",INDEX('TMP Paste'!$L$2:$L$1601,$AG1590))</f>
        <v/>
      </c>
      <c r="L1590">
        <f>IF($AG1590="","",INDEX('TMP Paste'!$I$2:$I$1601,$AG1590))</f>
        <v/>
      </c>
      <c r="M1590">
        <f>IF($AG1590="","",Config!$B$16)</f>
        <v/>
      </c>
      <c r="N1590">
        <f>IF($AG1590="","","")</f>
        <v/>
      </c>
      <c r="O1590">
        <f>IF($AG1590="","",INDEX('TMP Paste'!$K$2:$K$1601,$AG1590))</f>
        <v/>
      </c>
      <c r="P1590">
        <f>IF($AG1590="","","")</f>
        <v/>
      </c>
      <c r="Q1590">
        <f>IF($AG1590="","",INDEX('TMP Paste'!$J$2:$J$1601,$AG1590))</f>
        <v/>
      </c>
      <c r="R1590">
        <f>IF($AG1590="","",Config!$B$24)</f>
        <v/>
      </c>
      <c r="S1590">
        <f>IF($AG1590="","",TEXT(Config!$B$4,"yyyy-mm-dd"))</f>
        <v/>
      </c>
      <c r="T1590">
        <f>IF($AG1590="","",Config!$B$17)</f>
        <v/>
      </c>
      <c r="U1590">
        <f>IF($AG1590="","",Config!$B$18)</f>
        <v/>
      </c>
      <c r="V1590">
        <f>IF($AG1590="","",Config!$B$19)</f>
        <v/>
      </c>
      <c r="W1590">
        <f>IF($AG1590="","",INDEX('TMP Paste'!$C$2:$C$1601,$AG1590))</f>
        <v/>
      </c>
      <c r="X1590">
        <f>IF($AG1590="","",Config!$B$29)</f>
        <v/>
      </c>
      <c r="Y1590">
        <f>IF($AH1590="","",INDEX(Calc!$I$2:$I$1601,$AH1590)&amp;" - "&amp;INDEX(Calc!$D$2:$D$1601,$AH1590)&amp;" koli")</f>
        <v/>
      </c>
      <c r="Z1590">
        <f>IF($AG1590="","",Config!$B$21)</f>
        <v/>
      </c>
      <c r="AA1590">
        <f>IF($AG1590="","",Config!$B$22)</f>
        <v/>
      </c>
      <c r="AB1590">
        <f>IF($AH1590="","",INDEX(Calc!$D$2:$D$1601,$AH1590))</f>
        <v/>
      </c>
      <c r="AC1590">
        <f>IF($AH1590="","",INDEX(Calc!$G$2:$G$1601,$AH1590))</f>
        <v/>
      </c>
      <c r="AD1590">
        <f>IF($AG1590="","",Config!$B$23)</f>
        <v/>
      </c>
      <c r="AE1590">
        <f>IF($AG1590="","",Config!$B$28)</f>
        <v/>
      </c>
      <c r="AG1590">
        <f>IFERROR(MATCH(ROW()-1,Calc!$J$2:$J$1601,0),"")</f>
        <v/>
      </c>
      <c r="AH1590">
        <f>IFERROR(MATCH(ROW()-1,Calc!$K$2:$K$1601,0),"")</f>
        <v/>
      </c>
      <c r="AQ1590">
        <f>IF($AG1590="","",TRIM(IF(COUNTIFS(Calc!$B$2:$B$1601,ROW()-1,Calc!$C$2:$C$1601,"&lt;1")&gt;0,"Ada PO tanpa Koli - cek TMP. ","")&amp;IF(LEN($R1590)&gt;500,"R &gt; 500 karakter.","")))</f>
        <v/>
      </c>
    </row>
    <row r="1591">
      <c r="A1591">
        <f>IF($AG1591="","",INDEX('TMP Paste'!$B$2:$B$1601,$AG1591))</f>
        <v/>
      </c>
      <c r="B1591">
        <f>IF($AG1591="","",Config!$B$14)</f>
        <v/>
      </c>
      <c r="C1591">
        <f>IF($AG1591="","",Config!$B$15)</f>
        <v/>
      </c>
      <c r="D1591">
        <f>IF($AG1591="","",INDEX('TMP Paste'!$B$2:$B$1601,$AG1591))</f>
        <v/>
      </c>
      <c r="E1591">
        <f>IF($AG1591="","",Config!$B$27)</f>
        <v/>
      </c>
      <c r="F1591">
        <f>IF($AG1591="","",Config!$B$9)</f>
        <v/>
      </c>
      <c r="G1591">
        <f>IF($AG1591="","",Config!$B$10)</f>
        <v/>
      </c>
      <c r="H1591">
        <f>IF($AG1591="","",Config!$B$11)</f>
        <v/>
      </c>
      <c r="I1591">
        <f>IF($AG1591="","",Config!$B$16)</f>
        <v/>
      </c>
      <c r="J1591">
        <f>IF($AG1591="","",INDEX('TMP Paste'!$A$2:$A$1601,$AG1591))</f>
        <v/>
      </c>
      <c r="K1591">
        <f>IF($AG1591="","",INDEX('TMP Paste'!$L$2:$L$1601,$AG1591))</f>
        <v/>
      </c>
      <c r="L1591">
        <f>IF($AG1591="","",INDEX('TMP Paste'!$I$2:$I$1601,$AG1591))</f>
        <v/>
      </c>
      <c r="M1591">
        <f>IF($AG1591="","",Config!$B$16)</f>
        <v/>
      </c>
      <c r="N1591">
        <f>IF($AG1591="","","")</f>
        <v/>
      </c>
      <c r="O1591">
        <f>IF($AG1591="","",INDEX('TMP Paste'!$K$2:$K$1601,$AG1591))</f>
        <v/>
      </c>
      <c r="P1591">
        <f>IF($AG1591="","","")</f>
        <v/>
      </c>
      <c r="Q1591">
        <f>IF($AG1591="","",INDEX('TMP Paste'!$J$2:$J$1601,$AG1591))</f>
        <v/>
      </c>
      <c r="R1591">
        <f>IF($AG1591="","",Config!$B$24)</f>
        <v/>
      </c>
      <c r="S1591">
        <f>IF($AG1591="","",TEXT(Config!$B$4,"yyyy-mm-dd"))</f>
        <v/>
      </c>
      <c r="T1591">
        <f>IF($AG1591="","",Config!$B$17)</f>
        <v/>
      </c>
      <c r="U1591">
        <f>IF($AG1591="","",Config!$B$18)</f>
        <v/>
      </c>
      <c r="V1591">
        <f>IF($AG1591="","",Config!$B$19)</f>
        <v/>
      </c>
      <c r="W1591">
        <f>IF($AG1591="","",INDEX('TMP Paste'!$C$2:$C$1601,$AG1591))</f>
        <v/>
      </c>
      <c r="X1591">
        <f>IF($AG1591="","",Config!$B$29)</f>
        <v/>
      </c>
      <c r="Y1591">
        <f>IF($AH1591="","",INDEX(Calc!$I$2:$I$1601,$AH1591)&amp;" - "&amp;INDEX(Calc!$D$2:$D$1601,$AH1591)&amp;" koli")</f>
        <v/>
      </c>
      <c r="Z1591">
        <f>IF($AG1591="","",Config!$B$21)</f>
        <v/>
      </c>
      <c r="AA1591">
        <f>IF($AG1591="","",Config!$B$22)</f>
        <v/>
      </c>
      <c r="AB1591">
        <f>IF($AH1591="","",INDEX(Calc!$D$2:$D$1601,$AH1591))</f>
        <v/>
      </c>
      <c r="AC1591">
        <f>IF($AH1591="","",INDEX(Calc!$G$2:$G$1601,$AH1591))</f>
        <v/>
      </c>
      <c r="AD1591">
        <f>IF($AG1591="","",Config!$B$23)</f>
        <v/>
      </c>
      <c r="AE1591">
        <f>IF($AG1591="","",Config!$B$28)</f>
        <v/>
      </c>
      <c r="AG1591">
        <f>IFERROR(MATCH(ROW()-1,Calc!$J$2:$J$1601,0),"")</f>
        <v/>
      </c>
      <c r="AH1591">
        <f>IFERROR(MATCH(ROW()-1,Calc!$K$2:$K$1601,0),"")</f>
        <v/>
      </c>
      <c r="AQ1591">
        <f>IF($AG1591="","",TRIM(IF(COUNTIFS(Calc!$B$2:$B$1601,ROW()-1,Calc!$C$2:$C$1601,"&lt;1")&gt;0,"Ada PO tanpa Koli - cek TMP. ","")&amp;IF(LEN($R1591)&gt;500,"R &gt; 500 karakter.","")))</f>
        <v/>
      </c>
    </row>
    <row r="1592">
      <c r="A1592">
        <f>IF($AG1592="","",INDEX('TMP Paste'!$B$2:$B$1601,$AG1592))</f>
        <v/>
      </c>
      <c r="B1592">
        <f>IF($AG1592="","",Config!$B$14)</f>
        <v/>
      </c>
      <c r="C1592">
        <f>IF($AG1592="","",Config!$B$15)</f>
        <v/>
      </c>
      <c r="D1592">
        <f>IF($AG1592="","",INDEX('TMP Paste'!$B$2:$B$1601,$AG1592))</f>
        <v/>
      </c>
      <c r="E1592">
        <f>IF($AG1592="","",Config!$B$27)</f>
        <v/>
      </c>
      <c r="F1592">
        <f>IF($AG1592="","",Config!$B$9)</f>
        <v/>
      </c>
      <c r="G1592">
        <f>IF($AG1592="","",Config!$B$10)</f>
        <v/>
      </c>
      <c r="H1592">
        <f>IF($AG1592="","",Config!$B$11)</f>
        <v/>
      </c>
      <c r="I1592">
        <f>IF($AG1592="","",Config!$B$16)</f>
        <v/>
      </c>
      <c r="J1592">
        <f>IF($AG1592="","",INDEX('TMP Paste'!$A$2:$A$1601,$AG1592))</f>
        <v/>
      </c>
      <c r="K1592">
        <f>IF($AG1592="","",INDEX('TMP Paste'!$L$2:$L$1601,$AG1592))</f>
        <v/>
      </c>
      <c r="L1592">
        <f>IF($AG1592="","",INDEX('TMP Paste'!$I$2:$I$1601,$AG1592))</f>
        <v/>
      </c>
      <c r="M1592">
        <f>IF($AG1592="","",Config!$B$16)</f>
        <v/>
      </c>
      <c r="N1592">
        <f>IF($AG1592="","","")</f>
        <v/>
      </c>
      <c r="O1592">
        <f>IF($AG1592="","",INDEX('TMP Paste'!$K$2:$K$1601,$AG1592))</f>
        <v/>
      </c>
      <c r="P1592">
        <f>IF($AG1592="","","")</f>
        <v/>
      </c>
      <c r="Q1592">
        <f>IF($AG1592="","",INDEX('TMP Paste'!$J$2:$J$1601,$AG1592))</f>
        <v/>
      </c>
      <c r="R1592">
        <f>IF($AG1592="","",Config!$B$24)</f>
        <v/>
      </c>
      <c r="S1592">
        <f>IF($AG1592="","",TEXT(Config!$B$4,"yyyy-mm-dd"))</f>
        <v/>
      </c>
      <c r="T1592">
        <f>IF($AG1592="","",Config!$B$17)</f>
        <v/>
      </c>
      <c r="U1592">
        <f>IF($AG1592="","",Config!$B$18)</f>
        <v/>
      </c>
      <c r="V1592">
        <f>IF($AG1592="","",Config!$B$19)</f>
        <v/>
      </c>
      <c r="W1592">
        <f>IF($AG1592="","",INDEX('TMP Paste'!$C$2:$C$1601,$AG1592))</f>
        <v/>
      </c>
      <c r="X1592">
        <f>IF($AG1592="","",Config!$B$29)</f>
        <v/>
      </c>
      <c r="Y1592">
        <f>IF($AH1592="","",INDEX(Calc!$I$2:$I$1601,$AH1592)&amp;" - "&amp;INDEX(Calc!$D$2:$D$1601,$AH1592)&amp;" koli")</f>
        <v/>
      </c>
      <c r="Z1592">
        <f>IF($AG1592="","",Config!$B$21)</f>
        <v/>
      </c>
      <c r="AA1592">
        <f>IF($AG1592="","",Config!$B$22)</f>
        <v/>
      </c>
      <c r="AB1592">
        <f>IF($AH1592="","",INDEX(Calc!$D$2:$D$1601,$AH1592))</f>
        <v/>
      </c>
      <c r="AC1592">
        <f>IF($AH1592="","",INDEX(Calc!$G$2:$G$1601,$AH1592))</f>
        <v/>
      </c>
      <c r="AD1592">
        <f>IF($AG1592="","",Config!$B$23)</f>
        <v/>
      </c>
      <c r="AE1592">
        <f>IF($AG1592="","",Config!$B$28)</f>
        <v/>
      </c>
      <c r="AG1592">
        <f>IFERROR(MATCH(ROW()-1,Calc!$J$2:$J$1601,0),"")</f>
        <v/>
      </c>
      <c r="AH1592">
        <f>IFERROR(MATCH(ROW()-1,Calc!$K$2:$K$1601,0),"")</f>
        <v/>
      </c>
      <c r="AQ1592">
        <f>IF($AG1592="","",TRIM(IF(COUNTIFS(Calc!$B$2:$B$1601,ROW()-1,Calc!$C$2:$C$1601,"&lt;1")&gt;0,"Ada PO tanpa Koli - cek TMP. ","")&amp;IF(LEN($R1592)&gt;500,"R &gt; 500 karakter.","")))</f>
        <v/>
      </c>
    </row>
    <row r="1593">
      <c r="A1593">
        <f>IF($AG1593="","",INDEX('TMP Paste'!$B$2:$B$1601,$AG1593))</f>
        <v/>
      </c>
      <c r="B1593">
        <f>IF($AG1593="","",Config!$B$14)</f>
        <v/>
      </c>
      <c r="C1593">
        <f>IF($AG1593="","",Config!$B$15)</f>
        <v/>
      </c>
      <c r="D1593">
        <f>IF($AG1593="","",INDEX('TMP Paste'!$B$2:$B$1601,$AG1593))</f>
        <v/>
      </c>
      <c r="E1593">
        <f>IF($AG1593="","",Config!$B$27)</f>
        <v/>
      </c>
      <c r="F1593">
        <f>IF($AG1593="","",Config!$B$9)</f>
        <v/>
      </c>
      <c r="G1593">
        <f>IF($AG1593="","",Config!$B$10)</f>
        <v/>
      </c>
      <c r="H1593">
        <f>IF($AG1593="","",Config!$B$11)</f>
        <v/>
      </c>
      <c r="I1593">
        <f>IF($AG1593="","",Config!$B$16)</f>
        <v/>
      </c>
      <c r="J1593">
        <f>IF($AG1593="","",INDEX('TMP Paste'!$A$2:$A$1601,$AG1593))</f>
        <v/>
      </c>
      <c r="K1593">
        <f>IF($AG1593="","",INDEX('TMP Paste'!$L$2:$L$1601,$AG1593))</f>
        <v/>
      </c>
      <c r="L1593">
        <f>IF($AG1593="","",INDEX('TMP Paste'!$I$2:$I$1601,$AG1593))</f>
        <v/>
      </c>
      <c r="M1593">
        <f>IF($AG1593="","",Config!$B$16)</f>
        <v/>
      </c>
      <c r="N1593">
        <f>IF($AG1593="","","")</f>
        <v/>
      </c>
      <c r="O1593">
        <f>IF($AG1593="","",INDEX('TMP Paste'!$K$2:$K$1601,$AG1593))</f>
        <v/>
      </c>
      <c r="P1593">
        <f>IF($AG1593="","","")</f>
        <v/>
      </c>
      <c r="Q1593">
        <f>IF($AG1593="","",INDEX('TMP Paste'!$J$2:$J$1601,$AG1593))</f>
        <v/>
      </c>
      <c r="R1593">
        <f>IF($AG1593="","",Config!$B$24)</f>
        <v/>
      </c>
      <c r="S1593">
        <f>IF($AG1593="","",TEXT(Config!$B$4,"yyyy-mm-dd"))</f>
        <v/>
      </c>
      <c r="T1593">
        <f>IF($AG1593="","",Config!$B$17)</f>
        <v/>
      </c>
      <c r="U1593">
        <f>IF($AG1593="","",Config!$B$18)</f>
        <v/>
      </c>
      <c r="V1593">
        <f>IF($AG1593="","",Config!$B$19)</f>
        <v/>
      </c>
      <c r="W1593">
        <f>IF($AG1593="","",INDEX('TMP Paste'!$C$2:$C$1601,$AG1593))</f>
        <v/>
      </c>
      <c r="X1593">
        <f>IF($AG1593="","",Config!$B$29)</f>
        <v/>
      </c>
      <c r="Y1593">
        <f>IF($AH1593="","",INDEX(Calc!$I$2:$I$1601,$AH1593)&amp;" - "&amp;INDEX(Calc!$D$2:$D$1601,$AH1593)&amp;" koli")</f>
        <v/>
      </c>
      <c r="Z1593">
        <f>IF($AG1593="","",Config!$B$21)</f>
        <v/>
      </c>
      <c r="AA1593">
        <f>IF($AG1593="","",Config!$B$22)</f>
        <v/>
      </c>
      <c r="AB1593">
        <f>IF($AH1593="","",INDEX(Calc!$D$2:$D$1601,$AH1593))</f>
        <v/>
      </c>
      <c r="AC1593">
        <f>IF($AH1593="","",INDEX(Calc!$G$2:$G$1601,$AH1593))</f>
        <v/>
      </c>
      <c r="AD1593">
        <f>IF($AG1593="","",Config!$B$23)</f>
        <v/>
      </c>
      <c r="AE1593">
        <f>IF($AG1593="","",Config!$B$28)</f>
        <v/>
      </c>
      <c r="AG1593">
        <f>IFERROR(MATCH(ROW()-1,Calc!$J$2:$J$1601,0),"")</f>
        <v/>
      </c>
      <c r="AH1593">
        <f>IFERROR(MATCH(ROW()-1,Calc!$K$2:$K$1601,0),"")</f>
        <v/>
      </c>
      <c r="AQ1593">
        <f>IF($AG1593="","",TRIM(IF(COUNTIFS(Calc!$B$2:$B$1601,ROW()-1,Calc!$C$2:$C$1601,"&lt;1")&gt;0,"Ada PO tanpa Koli - cek TMP. ","")&amp;IF(LEN($R1593)&gt;500,"R &gt; 500 karakter.","")))</f>
        <v/>
      </c>
    </row>
    <row r="1594">
      <c r="A1594">
        <f>IF($AG1594="","",INDEX('TMP Paste'!$B$2:$B$1601,$AG1594))</f>
        <v/>
      </c>
      <c r="B1594">
        <f>IF($AG1594="","",Config!$B$14)</f>
        <v/>
      </c>
      <c r="C1594">
        <f>IF($AG1594="","",Config!$B$15)</f>
        <v/>
      </c>
      <c r="D1594">
        <f>IF($AG1594="","",INDEX('TMP Paste'!$B$2:$B$1601,$AG1594))</f>
        <v/>
      </c>
      <c r="E1594">
        <f>IF($AG1594="","",Config!$B$27)</f>
        <v/>
      </c>
      <c r="F1594">
        <f>IF($AG1594="","",Config!$B$9)</f>
        <v/>
      </c>
      <c r="G1594">
        <f>IF($AG1594="","",Config!$B$10)</f>
        <v/>
      </c>
      <c r="H1594">
        <f>IF($AG1594="","",Config!$B$11)</f>
        <v/>
      </c>
      <c r="I1594">
        <f>IF($AG1594="","",Config!$B$16)</f>
        <v/>
      </c>
      <c r="J1594">
        <f>IF($AG1594="","",INDEX('TMP Paste'!$A$2:$A$1601,$AG1594))</f>
        <v/>
      </c>
      <c r="K1594">
        <f>IF($AG1594="","",INDEX('TMP Paste'!$L$2:$L$1601,$AG1594))</f>
        <v/>
      </c>
      <c r="L1594">
        <f>IF($AG1594="","",INDEX('TMP Paste'!$I$2:$I$1601,$AG1594))</f>
        <v/>
      </c>
      <c r="M1594">
        <f>IF($AG1594="","",Config!$B$16)</f>
        <v/>
      </c>
      <c r="N1594">
        <f>IF($AG1594="","","")</f>
        <v/>
      </c>
      <c r="O1594">
        <f>IF($AG1594="","",INDEX('TMP Paste'!$K$2:$K$1601,$AG1594))</f>
        <v/>
      </c>
      <c r="P1594">
        <f>IF($AG1594="","","")</f>
        <v/>
      </c>
      <c r="Q1594">
        <f>IF($AG1594="","",INDEX('TMP Paste'!$J$2:$J$1601,$AG1594))</f>
        <v/>
      </c>
      <c r="R1594">
        <f>IF($AG1594="","",Config!$B$24)</f>
        <v/>
      </c>
      <c r="S1594">
        <f>IF($AG1594="","",TEXT(Config!$B$4,"yyyy-mm-dd"))</f>
        <v/>
      </c>
      <c r="T1594">
        <f>IF($AG1594="","",Config!$B$17)</f>
        <v/>
      </c>
      <c r="U1594">
        <f>IF($AG1594="","",Config!$B$18)</f>
        <v/>
      </c>
      <c r="V1594">
        <f>IF($AG1594="","",Config!$B$19)</f>
        <v/>
      </c>
      <c r="W1594">
        <f>IF($AG1594="","",INDEX('TMP Paste'!$C$2:$C$1601,$AG1594))</f>
        <v/>
      </c>
      <c r="X1594">
        <f>IF($AG1594="","",Config!$B$29)</f>
        <v/>
      </c>
      <c r="Y1594">
        <f>IF($AH1594="","",INDEX(Calc!$I$2:$I$1601,$AH1594)&amp;" - "&amp;INDEX(Calc!$D$2:$D$1601,$AH1594)&amp;" koli")</f>
        <v/>
      </c>
      <c r="Z1594">
        <f>IF($AG1594="","",Config!$B$21)</f>
        <v/>
      </c>
      <c r="AA1594">
        <f>IF($AG1594="","",Config!$B$22)</f>
        <v/>
      </c>
      <c r="AB1594">
        <f>IF($AH1594="","",INDEX(Calc!$D$2:$D$1601,$AH1594))</f>
        <v/>
      </c>
      <c r="AC1594">
        <f>IF($AH1594="","",INDEX(Calc!$G$2:$G$1601,$AH1594))</f>
        <v/>
      </c>
      <c r="AD1594">
        <f>IF($AG1594="","",Config!$B$23)</f>
        <v/>
      </c>
      <c r="AE1594">
        <f>IF($AG1594="","",Config!$B$28)</f>
        <v/>
      </c>
      <c r="AG1594">
        <f>IFERROR(MATCH(ROW()-1,Calc!$J$2:$J$1601,0),"")</f>
        <v/>
      </c>
      <c r="AH1594">
        <f>IFERROR(MATCH(ROW()-1,Calc!$K$2:$K$1601,0),"")</f>
        <v/>
      </c>
      <c r="AQ1594">
        <f>IF($AG1594="","",TRIM(IF(COUNTIFS(Calc!$B$2:$B$1601,ROW()-1,Calc!$C$2:$C$1601,"&lt;1")&gt;0,"Ada PO tanpa Koli - cek TMP. ","")&amp;IF(LEN($R1594)&gt;500,"R &gt; 500 karakter.","")))</f>
        <v/>
      </c>
    </row>
    <row r="1595">
      <c r="A1595">
        <f>IF($AG1595="","",INDEX('TMP Paste'!$B$2:$B$1601,$AG1595))</f>
        <v/>
      </c>
      <c r="B1595">
        <f>IF($AG1595="","",Config!$B$14)</f>
        <v/>
      </c>
      <c r="C1595">
        <f>IF($AG1595="","",Config!$B$15)</f>
        <v/>
      </c>
      <c r="D1595">
        <f>IF($AG1595="","",INDEX('TMP Paste'!$B$2:$B$1601,$AG1595))</f>
        <v/>
      </c>
      <c r="E1595">
        <f>IF($AG1595="","",Config!$B$27)</f>
        <v/>
      </c>
      <c r="F1595">
        <f>IF($AG1595="","",Config!$B$9)</f>
        <v/>
      </c>
      <c r="G1595">
        <f>IF($AG1595="","",Config!$B$10)</f>
        <v/>
      </c>
      <c r="H1595">
        <f>IF($AG1595="","",Config!$B$11)</f>
        <v/>
      </c>
      <c r="I1595">
        <f>IF($AG1595="","",Config!$B$16)</f>
        <v/>
      </c>
      <c r="J1595">
        <f>IF($AG1595="","",INDEX('TMP Paste'!$A$2:$A$1601,$AG1595))</f>
        <v/>
      </c>
      <c r="K1595">
        <f>IF($AG1595="","",INDEX('TMP Paste'!$L$2:$L$1601,$AG1595))</f>
        <v/>
      </c>
      <c r="L1595">
        <f>IF($AG1595="","",INDEX('TMP Paste'!$I$2:$I$1601,$AG1595))</f>
        <v/>
      </c>
      <c r="M1595">
        <f>IF($AG1595="","",Config!$B$16)</f>
        <v/>
      </c>
      <c r="N1595">
        <f>IF($AG1595="","","")</f>
        <v/>
      </c>
      <c r="O1595">
        <f>IF($AG1595="","",INDEX('TMP Paste'!$K$2:$K$1601,$AG1595))</f>
        <v/>
      </c>
      <c r="P1595">
        <f>IF($AG1595="","","")</f>
        <v/>
      </c>
      <c r="Q1595">
        <f>IF($AG1595="","",INDEX('TMP Paste'!$J$2:$J$1601,$AG1595))</f>
        <v/>
      </c>
      <c r="R1595">
        <f>IF($AG1595="","",Config!$B$24)</f>
        <v/>
      </c>
      <c r="S1595">
        <f>IF($AG1595="","",TEXT(Config!$B$4,"yyyy-mm-dd"))</f>
        <v/>
      </c>
      <c r="T1595">
        <f>IF($AG1595="","",Config!$B$17)</f>
        <v/>
      </c>
      <c r="U1595">
        <f>IF($AG1595="","",Config!$B$18)</f>
        <v/>
      </c>
      <c r="V1595">
        <f>IF($AG1595="","",Config!$B$19)</f>
        <v/>
      </c>
      <c r="W1595">
        <f>IF($AG1595="","",INDEX('TMP Paste'!$C$2:$C$1601,$AG1595))</f>
        <v/>
      </c>
      <c r="X1595">
        <f>IF($AG1595="","",Config!$B$29)</f>
        <v/>
      </c>
      <c r="Y1595">
        <f>IF($AH1595="","",INDEX(Calc!$I$2:$I$1601,$AH1595)&amp;" - "&amp;INDEX(Calc!$D$2:$D$1601,$AH1595)&amp;" koli")</f>
        <v/>
      </c>
      <c r="Z1595">
        <f>IF($AG1595="","",Config!$B$21)</f>
        <v/>
      </c>
      <c r="AA1595">
        <f>IF($AG1595="","",Config!$B$22)</f>
        <v/>
      </c>
      <c r="AB1595">
        <f>IF($AH1595="","",INDEX(Calc!$D$2:$D$1601,$AH1595))</f>
        <v/>
      </c>
      <c r="AC1595">
        <f>IF($AH1595="","",INDEX(Calc!$G$2:$G$1601,$AH1595))</f>
        <v/>
      </c>
      <c r="AD1595">
        <f>IF($AG1595="","",Config!$B$23)</f>
        <v/>
      </c>
      <c r="AE1595">
        <f>IF($AG1595="","",Config!$B$28)</f>
        <v/>
      </c>
      <c r="AG1595">
        <f>IFERROR(MATCH(ROW()-1,Calc!$J$2:$J$1601,0),"")</f>
        <v/>
      </c>
      <c r="AH1595">
        <f>IFERROR(MATCH(ROW()-1,Calc!$K$2:$K$1601,0),"")</f>
        <v/>
      </c>
      <c r="AQ1595">
        <f>IF($AG1595="","",TRIM(IF(COUNTIFS(Calc!$B$2:$B$1601,ROW()-1,Calc!$C$2:$C$1601,"&lt;1")&gt;0,"Ada PO tanpa Koli - cek TMP. ","")&amp;IF(LEN($R1595)&gt;500,"R &gt; 500 karakter.","")))</f>
        <v/>
      </c>
    </row>
    <row r="1596">
      <c r="A1596">
        <f>IF($AG1596="","",INDEX('TMP Paste'!$B$2:$B$1601,$AG1596))</f>
        <v/>
      </c>
      <c r="B1596">
        <f>IF($AG1596="","",Config!$B$14)</f>
        <v/>
      </c>
      <c r="C1596">
        <f>IF($AG1596="","",Config!$B$15)</f>
        <v/>
      </c>
      <c r="D1596">
        <f>IF($AG1596="","",INDEX('TMP Paste'!$B$2:$B$1601,$AG1596))</f>
        <v/>
      </c>
      <c r="E1596">
        <f>IF($AG1596="","",Config!$B$27)</f>
        <v/>
      </c>
      <c r="F1596">
        <f>IF($AG1596="","",Config!$B$9)</f>
        <v/>
      </c>
      <c r="G1596">
        <f>IF($AG1596="","",Config!$B$10)</f>
        <v/>
      </c>
      <c r="H1596">
        <f>IF($AG1596="","",Config!$B$11)</f>
        <v/>
      </c>
      <c r="I1596">
        <f>IF($AG1596="","",Config!$B$16)</f>
        <v/>
      </c>
      <c r="J1596">
        <f>IF($AG1596="","",INDEX('TMP Paste'!$A$2:$A$1601,$AG1596))</f>
        <v/>
      </c>
      <c r="K1596">
        <f>IF($AG1596="","",INDEX('TMP Paste'!$L$2:$L$1601,$AG1596))</f>
        <v/>
      </c>
      <c r="L1596">
        <f>IF($AG1596="","",INDEX('TMP Paste'!$I$2:$I$1601,$AG1596))</f>
        <v/>
      </c>
      <c r="M1596">
        <f>IF($AG1596="","",Config!$B$16)</f>
        <v/>
      </c>
      <c r="N1596">
        <f>IF($AG1596="","","")</f>
        <v/>
      </c>
      <c r="O1596">
        <f>IF($AG1596="","",INDEX('TMP Paste'!$K$2:$K$1601,$AG1596))</f>
        <v/>
      </c>
      <c r="P1596">
        <f>IF($AG1596="","","")</f>
        <v/>
      </c>
      <c r="Q1596">
        <f>IF($AG1596="","",INDEX('TMP Paste'!$J$2:$J$1601,$AG1596))</f>
        <v/>
      </c>
      <c r="R1596">
        <f>IF($AG1596="","",Config!$B$24)</f>
        <v/>
      </c>
      <c r="S1596">
        <f>IF($AG1596="","",TEXT(Config!$B$4,"yyyy-mm-dd"))</f>
        <v/>
      </c>
      <c r="T1596">
        <f>IF($AG1596="","",Config!$B$17)</f>
        <v/>
      </c>
      <c r="U1596">
        <f>IF($AG1596="","",Config!$B$18)</f>
        <v/>
      </c>
      <c r="V1596">
        <f>IF($AG1596="","",Config!$B$19)</f>
        <v/>
      </c>
      <c r="W1596">
        <f>IF($AG1596="","",INDEX('TMP Paste'!$C$2:$C$1601,$AG1596))</f>
        <v/>
      </c>
      <c r="X1596">
        <f>IF($AG1596="","",Config!$B$29)</f>
        <v/>
      </c>
      <c r="Y1596">
        <f>IF($AH1596="","",INDEX(Calc!$I$2:$I$1601,$AH1596)&amp;" - "&amp;INDEX(Calc!$D$2:$D$1601,$AH1596)&amp;" koli")</f>
        <v/>
      </c>
      <c r="Z1596">
        <f>IF($AG1596="","",Config!$B$21)</f>
        <v/>
      </c>
      <c r="AA1596">
        <f>IF($AG1596="","",Config!$B$22)</f>
        <v/>
      </c>
      <c r="AB1596">
        <f>IF($AH1596="","",INDEX(Calc!$D$2:$D$1601,$AH1596))</f>
        <v/>
      </c>
      <c r="AC1596">
        <f>IF($AH1596="","",INDEX(Calc!$G$2:$G$1601,$AH1596))</f>
        <v/>
      </c>
      <c r="AD1596">
        <f>IF($AG1596="","",Config!$B$23)</f>
        <v/>
      </c>
      <c r="AE1596">
        <f>IF($AG1596="","",Config!$B$28)</f>
        <v/>
      </c>
      <c r="AG1596">
        <f>IFERROR(MATCH(ROW()-1,Calc!$J$2:$J$1601,0),"")</f>
        <v/>
      </c>
      <c r="AH1596">
        <f>IFERROR(MATCH(ROW()-1,Calc!$K$2:$K$1601,0),"")</f>
        <v/>
      </c>
      <c r="AQ1596">
        <f>IF($AG1596="","",TRIM(IF(COUNTIFS(Calc!$B$2:$B$1601,ROW()-1,Calc!$C$2:$C$1601,"&lt;1")&gt;0,"Ada PO tanpa Koli - cek TMP. ","")&amp;IF(LEN($R1596)&gt;500,"R &gt; 500 karakter.","")))</f>
        <v/>
      </c>
    </row>
    <row r="1597">
      <c r="A1597">
        <f>IF($AG1597="","",INDEX('TMP Paste'!$B$2:$B$1601,$AG1597))</f>
        <v/>
      </c>
      <c r="B1597">
        <f>IF($AG1597="","",Config!$B$14)</f>
        <v/>
      </c>
      <c r="C1597">
        <f>IF($AG1597="","",Config!$B$15)</f>
        <v/>
      </c>
      <c r="D1597">
        <f>IF($AG1597="","",INDEX('TMP Paste'!$B$2:$B$1601,$AG1597))</f>
        <v/>
      </c>
      <c r="E1597">
        <f>IF($AG1597="","",Config!$B$27)</f>
        <v/>
      </c>
      <c r="F1597">
        <f>IF($AG1597="","",Config!$B$9)</f>
        <v/>
      </c>
      <c r="G1597">
        <f>IF($AG1597="","",Config!$B$10)</f>
        <v/>
      </c>
      <c r="H1597">
        <f>IF($AG1597="","",Config!$B$11)</f>
        <v/>
      </c>
      <c r="I1597">
        <f>IF($AG1597="","",Config!$B$16)</f>
        <v/>
      </c>
      <c r="J1597">
        <f>IF($AG1597="","",INDEX('TMP Paste'!$A$2:$A$1601,$AG1597))</f>
        <v/>
      </c>
      <c r="K1597">
        <f>IF($AG1597="","",INDEX('TMP Paste'!$L$2:$L$1601,$AG1597))</f>
        <v/>
      </c>
      <c r="L1597">
        <f>IF($AG1597="","",INDEX('TMP Paste'!$I$2:$I$1601,$AG1597))</f>
        <v/>
      </c>
      <c r="M1597">
        <f>IF($AG1597="","",Config!$B$16)</f>
        <v/>
      </c>
      <c r="N1597">
        <f>IF($AG1597="","","")</f>
        <v/>
      </c>
      <c r="O1597">
        <f>IF($AG1597="","",INDEX('TMP Paste'!$K$2:$K$1601,$AG1597))</f>
        <v/>
      </c>
      <c r="P1597">
        <f>IF($AG1597="","","")</f>
        <v/>
      </c>
      <c r="Q1597">
        <f>IF($AG1597="","",INDEX('TMP Paste'!$J$2:$J$1601,$AG1597))</f>
        <v/>
      </c>
      <c r="R1597">
        <f>IF($AG1597="","",Config!$B$24)</f>
        <v/>
      </c>
      <c r="S1597">
        <f>IF($AG1597="","",TEXT(Config!$B$4,"yyyy-mm-dd"))</f>
        <v/>
      </c>
      <c r="T1597">
        <f>IF($AG1597="","",Config!$B$17)</f>
        <v/>
      </c>
      <c r="U1597">
        <f>IF($AG1597="","",Config!$B$18)</f>
        <v/>
      </c>
      <c r="V1597">
        <f>IF($AG1597="","",Config!$B$19)</f>
        <v/>
      </c>
      <c r="W1597">
        <f>IF($AG1597="","",INDEX('TMP Paste'!$C$2:$C$1601,$AG1597))</f>
        <v/>
      </c>
      <c r="X1597">
        <f>IF($AG1597="","",Config!$B$29)</f>
        <v/>
      </c>
      <c r="Y1597">
        <f>IF($AH1597="","",INDEX(Calc!$I$2:$I$1601,$AH1597)&amp;" - "&amp;INDEX(Calc!$D$2:$D$1601,$AH1597)&amp;" koli")</f>
        <v/>
      </c>
      <c r="Z1597">
        <f>IF($AG1597="","",Config!$B$21)</f>
        <v/>
      </c>
      <c r="AA1597">
        <f>IF($AG1597="","",Config!$B$22)</f>
        <v/>
      </c>
      <c r="AB1597">
        <f>IF($AH1597="","",INDEX(Calc!$D$2:$D$1601,$AH1597))</f>
        <v/>
      </c>
      <c r="AC1597">
        <f>IF($AH1597="","",INDEX(Calc!$G$2:$G$1601,$AH1597))</f>
        <v/>
      </c>
      <c r="AD1597">
        <f>IF($AG1597="","",Config!$B$23)</f>
        <v/>
      </c>
      <c r="AE1597">
        <f>IF($AG1597="","",Config!$B$28)</f>
        <v/>
      </c>
      <c r="AG1597">
        <f>IFERROR(MATCH(ROW()-1,Calc!$J$2:$J$1601,0),"")</f>
        <v/>
      </c>
      <c r="AH1597">
        <f>IFERROR(MATCH(ROW()-1,Calc!$K$2:$K$1601,0),"")</f>
        <v/>
      </c>
      <c r="AQ1597">
        <f>IF($AG1597="","",TRIM(IF(COUNTIFS(Calc!$B$2:$B$1601,ROW()-1,Calc!$C$2:$C$1601,"&lt;1")&gt;0,"Ada PO tanpa Koli - cek TMP. ","")&amp;IF(LEN($R1597)&gt;500,"R &gt; 500 karakter.","")))</f>
        <v/>
      </c>
    </row>
    <row r="1598">
      <c r="A1598">
        <f>IF($AG1598="","",INDEX('TMP Paste'!$B$2:$B$1601,$AG1598))</f>
        <v/>
      </c>
      <c r="B1598">
        <f>IF($AG1598="","",Config!$B$14)</f>
        <v/>
      </c>
      <c r="C1598">
        <f>IF($AG1598="","",Config!$B$15)</f>
        <v/>
      </c>
      <c r="D1598">
        <f>IF($AG1598="","",INDEX('TMP Paste'!$B$2:$B$1601,$AG1598))</f>
        <v/>
      </c>
      <c r="E1598">
        <f>IF($AG1598="","",Config!$B$27)</f>
        <v/>
      </c>
      <c r="F1598">
        <f>IF($AG1598="","",Config!$B$9)</f>
        <v/>
      </c>
      <c r="G1598">
        <f>IF($AG1598="","",Config!$B$10)</f>
        <v/>
      </c>
      <c r="H1598">
        <f>IF($AG1598="","",Config!$B$11)</f>
        <v/>
      </c>
      <c r="I1598">
        <f>IF($AG1598="","",Config!$B$16)</f>
        <v/>
      </c>
      <c r="J1598">
        <f>IF($AG1598="","",INDEX('TMP Paste'!$A$2:$A$1601,$AG1598))</f>
        <v/>
      </c>
      <c r="K1598">
        <f>IF($AG1598="","",INDEX('TMP Paste'!$L$2:$L$1601,$AG1598))</f>
        <v/>
      </c>
      <c r="L1598">
        <f>IF($AG1598="","",INDEX('TMP Paste'!$I$2:$I$1601,$AG1598))</f>
        <v/>
      </c>
      <c r="M1598">
        <f>IF($AG1598="","",Config!$B$16)</f>
        <v/>
      </c>
      <c r="N1598">
        <f>IF($AG1598="","","")</f>
        <v/>
      </c>
      <c r="O1598">
        <f>IF($AG1598="","",INDEX('TMP Paste'!$K$2:$K$1601,$AG1598))</f>
        <v/>
      </c>
      <c r="P1598">
        <f>IF($AG1598="","","")</f>
        <v/>
      </c>
      <c r="Q1598">
        <f>IF($AG1598="","",INDEX('TMP Paste'!$J$2:$J$1601,$AG1598))</f>
        <v/>
      </c>
      <c r="R1598">
        <f>IF($AG1598="","",Config!$B$24)</f>
        <v/>
      </c>
      <c r="S1598">
        <f>IF($AG1598="","",TEXT(Config!$B$4,"yyyy-mm-dd"))</f>
        <v/>
      </c>
      <c r="T1598">
        <f>IF($AG1598="","",Config!$B$17)</f>
        <v/>
      </c>
      <c r="U1598">
        <f>IF($AG1598="","",Config!$B$18)</f>
        <v/>
      </c>
      <c r="V1598">
        <f>IF($AG1598="","",Config!$B$19)</f>
        <v/>
      </c>
      <c r="W1598">
        <f>IF($AG1598="","",INDEX('TMP Paste'!$C$2:$C$1601,$AG1598))</f>
        <v/>
      </c>
      <c r="X1598">
        <f>IF($AG1598="","",Config!$B$29)</f>
        <v/>
      </c>
      <c r="Y1598">
        <f>IF($AH1598="","",INDEX(Calc!$I$2:$I$1601,$AH1598)&amp;" - "&amp;INDEX(Calc!$D$2:$D$1601,$AH1598)&amp;" koli")</f>
        <v/>
      </c>
      <c r="Z1598">
        <f>IF($AG1598="","",Config!$B$21)</f>
        <v/>
      </c>
      <c r="AA1598">
        <f>IF($AG1598="","",Config!$B$22)</f>
        <v/>
      </c>
      <c r="AB1598">
        <f>IF($AH1598="","",INDEX(Calc!$D$2:$D$1601,$AH1598))</f>
        <v/>
      </c>
      <c r="AC1598">
        <f>IF($AH1598="","",INDEX(Calc!$G$2:$G$1601,$AH1598))</f>
        <v/>
      </c>
      <c r="AD1598">
        <f>IF($AG1598="","",Config!$B$23)</f>
        <v/>
      </c>
      <c r="AE1598">
        <f>IF($AG1598="","",Config!$B$28)</f>
        <v/>
      </c>
      <c r="AG1598">
        <f>IFERROR(MATCH(ROW()-1,Calc!$J$2:$J$1601,0),"")</f>
        <v/>
      </c>
      <c r="AH1598">
        <f>IFERROR(MATCH(ROW()-1,Calc!$K$2:$K$1601,0),"")</f>
        <v/>
      </c>
      <c r="AQ1598">
        <f>IF($AG1598="","",TRIM(IF(COUNTIFS(Calc!$B$2:$B$1601,ROW()-1,Calc!$C$2:$C$1601,"&lt;1")&gt;0,"Ada PO tanpa Koli - cek TMP. ","")&amp;IF(LEN($R1598)&gt;500,"R &gt; 500 karakter.","")))</f>
        <v/>
      </c>
    </row>
    <row r="1599">
      <c r="A1599">
        <f>IF($AG1599="","",INDEX('TMP Paste'!$B$2:$B$1601,$AG1599))</f>
        <v/>
      </c>
      <c r="B1599">
        <f>IF($AG1599="","",Config!$B$14)</f>
        <v/>
      </c>
      <c r="C1599">
        <f>IF($AG1599="","",Config!$B$15)</f>
        <v/>
      </c>
      <c r="D1599">
        <f>IF($AG1599="","",INDEX('TMP Paste'!$B$2:$B$1601,$AG1599))</f>
        <v/>
      </c>
      <c r="E1599">
        <f>IF($AG1599="","",Config!$B$27)</f>
        <v/>
      </c>
      <c r="F1599">
        <f>IF($AG1599="","",Config!$B$9)</f>
        <v/>
      </c>
      <c r="G1599">
        <f>IF($AG1599="","",Config!$B$10)</f>
        <v/>
      </c>
      <c r="H1599">
        <f>IF($AG1599="","",Config!$B$11)</f>
        <v/>
      </c>
      <c r="I1599">
        <f>IF($AG1599="","",Config!$B$16)</f>
        <v/>
      </c>
      <c r="J1599">
        <f>IF($AG1599="","",INDEX('TMP Paste'!$A$2:$A$1601,$AG1599))</f>
        <v/>
      </c>
      <c r="K1599">
        <f>IF($AG1599="","",INDEX('TMP Paste'!$L$2:$L$1601,$AG1599))</f>
        <v/>
      </c>
      <c r="L1599">
        <f>IF($AG1599="","",INDEX('TMP Paste'!$I$2:$I$1601,$AG1599))</f>
        <v/>
      </c>
      <c r="M1599">
        <f>IF($AG1599="","",Config!$B$16)</f>
        <v/>
      </c>
      <c r="N1599">
        <f>IF($AG1599="","","")</f>
        <v/>
      </c>
      <c r="O1599">
        <f>IF($AG1599="","",INDEX('TMP Paste'!$K$2:$K$1601,$AG1599))</f>
        <v/>
      </c>
      <c r="P1599">
        <f>IF($AG1599="","","")</f>
        <v/>
      </c>
      <c r="Q1599">
        <f>IF($AG1599="","",INDEX('TMP Paste'!$J$2:$J$1601,$AG1599))</f>
        <v/>
      </c>
      <c r="R1599">
        <f>IF($AG1599="","",Config!$B$24)</f>
        <v/>
      </c>
      <c r="S1599">
        <f>IF($AG1599="","",TEXT(Config!$B$4,"yyyy-mm-dd"))</f>
        <v/>
      </c>
      <c r="T1599">
        <f>IF($AG1599="","",Config!$B$17)</f>
        <v/>
      </c>
      <c r="U1599">
        <f>IF($AG1599="","",Config!$B$18)</f>
        <v/>
      </c>
      <c r="V1599">
        <f>IF($AG1599="","",Config!$B$19)</f>
        <v/>
      </c>
      <c r="W1599">
        <f>IF($AG1599="","",INDEX('TMP Paste'!$C$2:$C$1601,$AG1599))</f>
        <v/>
      </c>
      <c r="X1599">
        <f>IF($AG1599="","",Config!$B$29)</f>
        <v/>
      </c>
      <c r="Y1599">
        <f>IF($AH1599="","",INDEX(Calc!$I$2:$I$1601,$AH1599)&amp;" - "&amp;INDEX(Calc!$D$2:$D$1601,$AH1599)&amp;" koli")</f>
        <v/>
      </c>
      <c r="Z1599">
        <f>IF($AG1599="","",Config!$B$21)</f>
        <v/>
      </c>
      <c r="AA1599">
        <f>IF($AG1599="","",Config!$B$22)</f>
        <v/>
      </c>
      <c r="AB1599">
        <f>IF($AH1599="","",INDEX(Calc!$D$2:$D$1601,$AH1599))</f>
        <v/>
      </c>
      <c r="AC1599">
        <f>IF($AH1599="","",INDEX(Calc!$G$2:$G$1601,$AH1599))</f>
        <v/>
      </c>
      <c r="AD1599">
        <f>IF($AG1599="","",Config!$B$23)</f>
        <v/>
      </c>
      <c r="AE1599">
        <f>IF($AG1599="","",Config!$B$28)</f>
        <v/>
      </c>
      <c r="AG1599">
        <f>IFERROR(MATCH(ROW()-1,Calc!$J$2:$J$1601,0),"")</f>
        <v/>
      </c>
      <c r="AH1599">
        <f>IFERROR(MATCH(ROW()-1,Calc!$K$2:$K$1601,0),"")</f>
        <v/>
      </c>
      <c r="AQ1599">
        <f>IF($AG1599="","",TRIM(IF(COUNTIFS(Calc!$B$2:$B$1601,ROW()-1,Calc!$C$2:$C$1601,"&lt;1")&gt;0,"Ada PO tanpa Koli - cek TMP. ","")&amp;IF(LEN($R1599)&gt;500,"R &gt; 500 karakter.","")))</f>
        <v/>
      </c>
    </row>
    <row r="1600">
      <c r="A1600">
        <f>IF($AG1600="","",INDEX('TMP Paste'!$B$2:$B$1601,$AG1600))</f>
        <v/>
      </c>
      <c r="B1600">
        <f>IF($AG1600="","",Config!$B$14)</f>
        <v/>
      </c>
      <c r="C1600">
        <f>IF($AG1600="","",Config!$B$15)</f>
        <v/>
      </c>
      <c r="D1600">
        <f>IF($AG1600="","",INDEX('TMP Paste'!$B$2:$B$1601,$AG1600))</f>
        <v/>
      </c>
      <c r="E1600">
        <f>IF($AG1600="","",Config!$B$27)</f>
        <v/>
      </c>
      <c r="F1600">
        <f>IF($AG1600="","",Config!$B$9)</f>
        <v/>
      </c>
      <c r="G1600">
        <f>IF($AG1600="","",Config!$B$10)</f>
        <v/>
      </c>
      <c r="H1600">
        <f>IF($AG1600="","",Config!$B$11)</f>
        <v/>
      </c>
      <c r="I1600">
        <f>IF($AG1600="","",Config!$B$16)</f>
        <v/>
      </c>
      <c r="J1600">
        <f>IF($AG1600="","",INDEX('TMP Paste'!$A$2:$A$1601,$AG1600))</f>
        <v/>
      </c>
      <c r="K1600">
        <f>IF($AG1600="","",INDEX('TMP Paste'!$L$2:$L$1601,$AG1600))</f>
        <v/>
      </c>
      <c r="L1600">
        <f>IF($AG1600="","",INDEX('TMP Paste'!$I$2:$I$1601,$AG1600))</f>
        <v/>
      </c>
      <c r="M1600">
        <f>IF($AG1600="","",Config!$B$16)</f>
        <v/>
      </c>
      <c r="N1600">
        <f>IF($AG1600="","","")</f>
        <v/>
      </c>
      <c r="O1600">
        <f>IF($AG1600="","",INDEX('TMP Paste'!$K$2:$K$1601,$AG1600))</f>
        <v/>
      </c>
      <c r="P1600">
        <f>IF($AG1600="","","")</f>
        <v/>
      </c>
      <c r="Q1600">
        <f>IF($AG1600="","",INDEX('TMP Paste'!$J$2:$J$1601,$AG1600))</f>
        <v/>
      </c>
      <c r="R1600">
        <f>IF($AG1600="","",Config!$B$24)</f>
        <v/>
      </c>
      <c r="S1600">
        <f>IF($AG1600="","",TEXT(Config!$B$4,"yyyy-mm-dd"))</f>
        <v/>
      </c>
      <c r="T1600">
        <f>IF($AG1600="","",Config!$B$17)</f>
        <v/>
      </c>
      <c r="U1600">
        <f>IF($AG1600="","",Config!$B$18)</f>
        <v/>
      </c>
      <c r="V1600">
        <f>IF($AG1600="","",Config!$B$19)</f>
        <v/>
      </c>
      <c r="W1600">
        <f>IF($AG1600="","",INDEX('TMP Paste'!$C$2:$C$1601,$AG1600))</f>
        <v/>
      </c>
      <c r="X1600">
        <f>IF($AG1600="","",Config!$B$29)</f>
        <v/>
      </c>
      <c r="Y1600">
        <f>IF($AH1600="","",INDEX(Calc!$I$2:$I$1601,$AH1600)&amp;" - "&amp;INDEX(Calc!$D$2:$D$1601,$AH1600)&amp;" koli")</f>
        <v/>
      </c>
      <c r="Z1600">
        <f>IF($AG1600="","",Config!$B$21)</f>
        <v/>
      </c>
      <c r="AA1600">
        <f>IF($AG1600="","",Config!$B$22)</f>
        <v/>
      </c>
      <c r="AB1600">
        <f>IF($AH1600="","",INDEX(Calc!$D$2:$D$1601,$AH1600))</f>
        <v/>
      </c>
      <c r="AC1600">
        <f>IF($AH1600="","",INDEX(Calc!$G$2:$G$1601,$AH1600))</f>
        <v/>
      </c>
      <c r="AD1600">
        <f>IF($AG1600="","",Config!$B$23)</f>
        <v/>
      </c>
      <c r="AE1600">
        <f>IF($AG1600="","",Config!$B$28)</f>
        <v/>
      </c>
      <c r="AG1600">
        <f>IFERROR(MATCH(ROW()-1,Calc!$J$2:$J$1601,0),"")</f>
        <v/>
      </c>
      <c r="AH1600">
        <f>IFERROR(MATCH(ROW()-1,Calc!$K$2:$K$1601,0),"")</f>
        <v/>
      </c>
      <c r="AQ1600">
        <f>IF($AG1600="","",TRIM(IF(COUNTIFS(Calc!$B$2:$B$1601,ROW()-1,Calc!$C$2:$C$1601,"&lt;1")&gt;0,"Ada PO tanpa Koli - cek TMP. ","")&amp;IF(LEN($R1600)&gt;500,"R &gt; 500 karakter.","")))</f>
        <v/>
      </c>
    </row>
    <row r="1601">
      <c r="A1601">
        <f>IF($AG1601="","",INDEX('TMP Paste'!$B$2:$B$1601,$AG1601))</f>
        <v/>
      </c>
      <c r="B1601">
        <f>IF($AG1601="","",Config!$B$14)</f>
        <v/>
      </c>
      <c r="C1601">
        <f>IF($AG1601="","",Config!$B$15)</f>
        <v/>
      </c>
      <c r="D1601">
        <f>IF($AG1601="","",INDEX('TMP Paste'!$B$2:$B$1601,$AG1601))</f>
        <v/>
      </c>
      <c r="E1601">
        <f>IF($AG1601="","",Config!$B$27)</f>
        <v/>
      </c>
      <c r="F1601">
        <f>IF($AG1601="","",Config!$B$9)</f>
        <v/>
      </c>
      <c r="G1601">
        <f>IF($AG1601="","",Config!$B$10)</f>
        <v/>
      </c>
      <c r="H1601">
        <f>IF($AG1601="","",Config!$B$11)</f>
        <v/>
      </c>
      <c r="I1601">
        <f>IF($AG1601="","",Config!$B$16)</f>
        <v/>
      </c>
      <c r="J1601">
        <f>IF($AG1601="","",INDEX('TMP Paste'!$A$2:$A$1601,$AG1601))</f>
        <v/>
      </c>
      <c r="K1601">
        <f>IF($AG1601="","",INDEX('TMP Paste'!$L$2:$L$1601,$AG1601))</f>
        <v/>
      </c>
      <c r="L1601">
        <f>IF($AG1601="","",INDEX('TMP Paste'!$I$2:$I$1601,$AG1601))</f>
        <v/>
      </c>
      <c r="M1601">
        <f>IF($AG1601="","",Config!$B$16)</f>
        <v/>
      </c>
      <c r="N1601">
        <f>IF($AG1601="","","")</f>
        <v/>
      </c>
      <c r="O1601">
        <f>IF($AG1601="","",INDEX('TMP Paste'!$K$2:$K$1601,$AG1601))</f>
        <v/>
      </c>
      <c r="P1601">
        <f>IF($AG1601="","","")</f>
        <v/>
      </c>
      <c r="Q1601">
        <f>IF($AG1601="","",INDEX('TMP Paste'!$J$2:$J$1601,$AG1601))</f>
        <v/>
      </c>
      <c r="R1601">
        <f>IF($AG1601="","",Config!$B$24)</f>
        <v/>
      </c>
      <c r="S1601">
        <f>IF($AG1601="","",TEXT(Config!$B$4,"yyyy-mm-dd"))</f>
        <v/>
      </c>
      <c r="T1601">
        <f>IF($AG1601="","",Config!$B$17)</f>
        <v/>
      </c>
      <c r="U1601">
        <f>IF($AG1601="","",Config!$B$18)</f>
        <v/>
      </c>
      <c r="V1601">
        <f>IF($AG1601="","",Config!$B$19)</f>
        <v/>
      </c>
      <c r="W1601">
        <f>IF($AG1601="","",INDEX('TMP Paste'!$C$2:$C$1601,$AG1601))</f>
        <v/>
      </c>
      <c r="X1601">
        <f>IF($AG1601="","",Config!$B$29)</f>
        <v/>
      </c>
      <c r="Y1601">
        <f>IF($AH1601="","",INDEX(Calc!$I$2:$I$1601,$AH1601)&amp;" - "&amp;INDEX(Calc!$D$2:$D$1601,$AH1601)&amp;" koli")</f>
        <v/>
      </c>
      <c r="Z1601">
        <f>IF($AG1601="","",Config!$B$21)</f>
        <v/>
      </c>
      <c r="AA1601">
        <f>IF($AG1601="","",Config!$B$22)</f>
        <v/>
      </c>
      <c r="AB1601">
        <f>IF($AH1601="","",INDEX(Calc!$D$2:$D$1601,$AH1601))</f>
        <v/>
      </c>
      <c r="AC1601">
        <f>IF($AH1601="","",INDEX(Calc!$G$2:$G$1601,$AH1601))</f>
        <v/>
      </c>
      <c r="AD1601">
        <f>IF($AG1601="","",Config!$B$23)</f>
        <v/>
      </c>
      <c r="AE1601">
        <f>IF($AG1601="","",Config!$B$28)</f>
        <v/>
      </c>
      <c r="AG1601">
        <f>IFERROR(MATCH(ROW()-1,Calc!$J$2:$J$1601,0),"")</f>
        <v/>
      </c>
      <c r="AH1601">
        <f>IFERROR(MATCH(ROW()-1,Calc!$K$2:$K$1601,0),"")</f>
        <v/>
      </c>
      <c r="AQ1601">
        <f>IF($AG1601="","",TRIM(IF(COUNTIFS(Calc!$B$2:$B$1601,ROW()-1,Calc!$C$2:$C$1601,"&lt;1")&gt;0,"Ada PO tanpa Koli - cek TMP. ","")&amp;IF(LEN($R1601)&gt;500,"R &gt; 500 karakter.","")))</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601"/>
  <sheetViews>
    <sheetView workbookViewId="0">
      <selection activeCell="A1" sqref="A1"/>
    </sheetView>
  </sheetViews>
  <sheetFormatPr baseColWidth="8" defaultRowHeight="15"/>
  <sheetData>
    <row r="1">
      <c r="A1" s="43" t="inlineStr">
        <is>
          <t>po</t>
        </is>
      </c>
      <c r="B1" s="43" t="inlineStr">
        <is>
          <t>ord</t>
        </is>
      </c>
      <c r="C1" s="43" t="inlineStr">
        <is>
          <t>koli</t>
        </is>
      </c>
      <c r="D1" s="43" t="inlineStr">
        <is>
          <t>runIncl</t>
        </is>
      </c>
      <c r="E1" s="43" t="inlineStr">
        <is>
          <t>isFirst</t>
        </is>
      </c>
      <c r="F1" s="43" t="inlineStr">
        <is>
          <t>childSeg</t>
        </is>
      </c>
      <c r="G1" s="43" t="inlineStr">
        <is>
          <t>childCum</t>
        </is>
      </c>
      <c r="H1" s="43" t="inlineStr">
        <is>
          <t>poSeg</t>
        </is>
      </c>
      <c r="I1" s="43" t="inlineStr">
        <is>
          <t>poCum</t>
        </is>
      </c>
      <c r="J1" s="43" t="inlineStr">
        <is>
          <t>firstIdx</t>
        </is>
      </c>
      <c r="K1" s="43" t="inlineStr">
        <is>
          <t>lastIdx</t>
        </is>
      </c>
    </row>
    <row r="2">
      <c r="A2">
        <f>IF('TMP Paste'!$E2="","",'TMP Paste'!$E2)</f>
        <v/>
      </c>
      <c r="B2">
        <f>IF($A2="","",COUNTIF('TMP Paste'!$B$2:$B2,"?*"))</f>
        <v/>
      </c>
      <c r="C2">
        <f>IF($A2="","",IFERROR('TMP Paste'!$M2*1,0))</f>
        <v/>
      </c>
      <c r="D2">
        <f>IF($A2="","",SUMIF($B$2:$B2,$B2,$C$2:$C2))</f>
        <v/>
      </c>
      <c r="E2">
        <f>IF($A2="",0,IF('TMP Paste'!$B2="",0,1))</f>
        <v/>
      </c>
      <c r="F2">
        <f>IF(OR($A2="",$C2&lt;1),"",$A2&amp;"-"&amp;TEXT(($D2-$C2+1),"00")&amp;IF($C2&gt;=2,", "&amp;$A2&amp;"-"&amp;TEXT(($D2-$C2+1)+1,"00"),"")&amp;IF($C2&gt;=3,", "&amp;$A2&amp;"-"&amp;TEXT(($D2-$C2+1)+2,"00"),"")&amp;IF($C2&gt;=4,", "&amp;$A2&amp;"-"&amp;TEXT(($D2-$C2+1)+3,"00"),"")&amp;IF($C2&gt;=5,", "&amp;$A2&amp;"-"&amp;TEXT(($D2-$C2+1)+4,"00"),"")&amp;IF($C2&gt;=6,", "&amp;$A2&amp;"-"&amp;TEXT(($D2-$C2+1)+5,"00"),"")&amp;IF($C2&gt;=7,", "&amp;$A2&amp;"-"&amp;TEXT(($D2-$C2+1)+6,"00"),"")&amp;IF($C2&gt;=8,", "&amp;$A2&amp;"-"&amp;TEXT(($D2-$C2+1)+7,"00"),"")&amp;IF($C2&gt;=9,", "&amp;$A2&amp;"-"&amp;TEXT(($D2-$C2+1)+8,"00"),"")&amp;IF($C2&gt;=10,", "&amp;$A2&amp;"-"&amp;TEXT(($D2-$C2+1)+9,"00"),"")&amp;IF($C2&gt;=11,", "&amp;$A2&amp;"-"&amp;TEXT(($D2-$C2+1)+10,"00"),"")&amp;IF($C2&gt;=12,", "&amp;$A2&amp;"-"&amp;TEXT(($D2-$C2+1)+11,"00"),"")&amp;IF($C2&gt;=13,", "&amp;$A2&amp;"-"&amp;TEXT(($D2-$C2+1)+12,"00"),"")&amp;IF($C2&gt;=14,", "&amp;$A2&amp;"-"&amp;TEXT(($D2-$C2+1)+13,"00"),"")&amp;IF($C2&gt;=15,", "&amp;$A2&amp;"-"&amp;TEXT(($D2-$C2+1)+14,"00"),"")&amp;IF($C2&gt;=16,", "&amp;$A2&amp;"-"&amp;TEXT(($D2-$C2+1)+15,"00"),"")&amp;IF($C2&gt;=17,", "&amp;$A2&amp;"-"&amp;TEXT(($D2-$C2+1)+16,"00"),"")&amp;IF($C2&gt;=18,", "&amp;$A2&amp;"-"&amp;TEXT(($D2-$C2+1)+17,"00"),"")&amp;IF($C2&gt;=19,", "&amp;$A2&amp;"-"&amp;TEXT(($D2-$C2+1)+18,"00"),"")&amp;IF($C2&gt;=20,", "&amp;$A2&amp;"-"&amp;TEXT(($D2-$C2+1)+19,"00"),"")&amp;IF($C2&gt;=21,", "&amp;$A2&amp;"-"&amp;TEXT(($D2-$C2+1)+20,"00"),"")&amp;IF($C2&gt;=22,", "&amp;$A2&amp;"-"&amp;TEXT(($D2-$C2+1)+21,"00"),"")&amp;IF($C2&gt;=23,", "&amp;$A2&amp;"-"&amp;TEXT(($D2-$C2+1)+22,"00"),"")&amp;IF($C2&gt;=24,", "&amp;$A2&amp;"-"&amp;TEXT(($D2-$C2+1)+23,"00"),"")&amp;IF($C2&gt;=25,", "&amp;$A2&amp;"-"&amp;TEXT(($D2-$C2+1)+24,"00"),""))</f>
        <v/>
      </c>
      <c r="G2">
        <f>IF($A2="","",IF($E2=1,$F2,IF($F2="",$G1,IF($G1="",$F2,$G1&amp;", "&amp;$F2))))</f>
        <v/>
      </c>
      <c r="H2">
        <f>IF($A2="","",$A2&amp;" ("&amp;$C2&amp;")")</f>
        <v/>
      </c>
      <c r="I2">
        <f>IF($A2="","",IF($E2=1,$H2,$I1&amp;", "&amp;$H2))</f>
        <v/>
      </c>
      <c r="J2">
        <f>IF($A2="","",IF($E2=1,$B2,""))</f>
        <v/>
      </c>
      <c r="K2">
        <f>IF($A2="","",IF(COUNTIF($B$2:$B2,$B2)=COUNTIF($B$2:$B$1601,$B2),$B2,""))</f>
        <v/>
      </c>
    </row>
    <row r="3">
      <c r="A3">
        <f>IF('TMP Paste'!$E3="","",'TMP Paste'!$E3)</f>
        <v/>
      </c>
      <c r="B3">
        <f>IF($A3="","",COUNTIF('TMP Paste'!$B$2:$B3,"?*"))</f>
        <v/>
      </c>
      <c r="C3">
        <f>IF($A3="","",IFERROR('TMP Paste'!$M3*1,0))</f>
        <v/>
      </c>
      <c r="D3">
        <f>IF($A3="","",SUMIF($B$2:$B3,$B3,$C$2:$C3))</f>
        <v/>
      </c>
      <c r="E3">
        <f>IF($A3="",0,IF('TMP Paste'!$B3="",0,1))</f>
        <v/>
      </c>
      <c r="F3">
        <f>IF(OR($A3="",$C3&lt;1),"",$A3&amp;"-"&amp;TEXT(($D3-$C3+1),"00")&amp;IF($C3&gt;=2,", "&amp;$A3&amp;"-"&amp;TEXT(($D3-$C3+1)+1,"00"),"")&amp;IF($C3&gt;=3,", "&amp;$A3&amp;"-"&amp;TEXT(($D3-$C3+1)+2,"00"),"")&amp;IF($C3&gt;=4,", "&amp;$A3&amp;"-"&amp;TEXT(($D3-$C3+1)+3,"00"),"")&amp;IF($C3&gt;=5,", "&amp;$A3&amp;"-"&amp;TEXT(($D3-$C3+1)+4,"00"),"")&amp;IF($C3&gt;=6,", "&amp;$A3&amp;"-"&amp;TEXT(($D3-$C3+1)+5,"00"),"")&amp;IF($C3&gt;=7,", "&amp;$A3&amp;"-"&amp;TEXT(($D3-$C3+1)+6,"00"),"")&amp;IF($C3&gt;=8,", "&amp;$A3&amp;"-"&amp;TEXT(($D3-$C3+1)+7,"00"),"")&amp;IF($C3&gt;=9,", "&amp;$A3&amp;"-"&amp;TEXT(($D3-$C3+1)+8,"00"),"")&amp;IF($C3&gt;=10,", "&amp;$A3&amp;"-"&amp;TEXT(($D3-$C3+1)+9,"00"),"")&amp;IF($C3&gt;=11,", "&amp;$A3&amp;"-"&amp;TEXT(($D3-$C3+1)+10,"00"),"")&amp;IF($C3&gt;=12,", "&amp;$A3&amp;"-"&amp;TEXT(($D3-$C3+1)+11,"00"),"")&amp;IF($C3&gt;=13,", "&amp;$A3&amp;"-"&amp;TEXT(($D3-$C3+1)+12,"00"),"")&amp;IF($C3&gt;=14,", "&amp;$A3&amp;"-"&amp;TEXT(($D3-$C3+1)+13,"00"),"")&amp;IF($C3&gt;=15,", "&amp;$A3&amp;"-"&amp;TEXT(($D3-$C3+1)+14,"00"),"")&amp;IF($C3&gt;=16,", "&amp;$A3&amp;"-"&amp;TEXT(($D3-$C3+1)+15,"00"),"")&amp;IF($C3&gt;=17,", "&amp;$A3&amp;"-"&amp;TEXT(($D3-$C3+1)+16,"00"),"")&amp;IF($C3&gt;=18,", "&amp;$A3&amp;"-"&amp;TEXT(($D3-$C3+1)+17,"00"),"")&amp;IF($C3&gt;=19,", "&amp;$A3&amp;"-"&amp;TEXT(($D3-$C3+1)+18,"00"),"")&amp;IF($C3&gt;=20,", "&amp;$A3&amp;"-"&amp;TEXT(($D3-$C3+1)+19,"00"),"")&amp;IF($C3&gt;=21,", "&amp;$A3&amp;"-"&amp;TEXT(($D3-$C3+1)+20,"00"),"")&amp;IF($C3&gt;=22,", "&amp;$A3&amp;"-"&amp;TEXT(($D3-$C3+1)+21,"00"),"")&amp;IF($C3&gt;=23,", "&amp;$A3&amp;"-"&amp;TEXT(($D3-$C3+1)+22,"00"),"")&amp;IF($C3&gt;=24,", "&amp;$A3&amp;"-"&amp;TEXT(($D3-$C3+1)+23,"00"),"")&amp;IF($C3&gt;=25,", "&amp;$A3&amp;"-"&amp;TEXT(($D3-$C3+1)+24,"00"),""))</f>
        <v/>
      </c>
      <c r="G3">
        <f>IF($A3="","",IF($E3=1,$F3,IF($F3="",$G2,IF($G2="",$F3,$G2&amp;", "&amp;$F3))))</f>
        <v/>
      </c>
      <c r="H3">
        <f>IF($A3="","",$A3&amp;" ("&amp;$C3&amp;")")</f>
        <v/>
      </c>
      <c r="I3">
        <f>IF($A3="","",IF($E3=1,$H3,$I2&amp;", "&amp;$H3))</f>
        <v/>
      </c>
      <c r="J3">
        <f>IF($A3="","",IF($E3=1,$B3,""))</f>
        <v/>
      </c>
      <c r="K3">
        <f>IF($A3="","",IF(COUNTIF($B$2:$B3,$B3)=COUNTIF($B$2:$B$1601,$B3),$B3,""))</f>
        <v/>
      </c>
    </row>
    <row r="4">
      <c r="A4">
        <f>IF('TMP Paste'!$E4="","",'TMP Paste'!$E4)</f>
        <v/>
      </c>
      <c r="B4">
        <f>IF($A4="","",COUNTIF('TMP Paste'!$B$2:$B4,"?*"))</f>
        <v/>
      </c>
      <c r="C4">
        <f>IF($A4="","",IFERROR('TMP Paste'!$M4*1,0))</f>
        <v/>
      </c>
      <c r="D4">
        <f>IF($A4="","",SUMIF($B$2:$B4,$B4,$C$2:$C4))</f>
        <v/>
      </c>
      <c r="E4">
        <f>IF($A4="",0,IF('TMP Paste'!$B4="",0,1))</f>
        <v/>
      </c>
      <c r="F4">
        <f>IF(OR($A4="",$C4&lt;1),"",$A4&amp;"-"&amp;TEXT(($D4-$C4+1),"00")&amp;IF($C4&gt;=2,", "&amp;$A4&amp;"-"&amp;TEXT(($D4-$C4+1)+1,"00"),"")&amp;IF($C4&gt;=3,", "&amp;$A4&amp;"-"&amp;TEXT(($D4-$C4+1)+2,"00"),"")&amp;IF($C4&gt;=4,", "&amp;$A4&amp;"-"&amp;TEXT(($D4-$C4+1)+3,"00"),"")&amp;IF($C4&gt;=5,", "&amp;$A4&amp;"-"&amp;TEXT(($D4-$C4+1)+4,"00"),"")&amp;IF($C4&gt;=6,", "&amp;$A4&amp;"-"&amp;TEXT(($D4-$C4+1)+5,"00"),"")&amp;IF($C4&gt;=7,", "&amp;$A4&amp;"-"&amp;TEXT(($D4-$C4+1)+6,"00"),"")&amp;IF($C4&gt;=8,", "&amp;$A4&amp;"-"&amp;TEXT(($D4-$C4+1)+7,"00"),"")&amp;IF($C4&gt;=9,", "&amp;$A4&amp;"-"&amp;TEXT(($D4-$C4+1)+8,"00"),"")&amp;IF($C4&gt;=10,", "&amp;$A4&amp;"-"&amp;TEXT(($D4-$C4+1)+9,"00"),"")&amp;IF($C4&gt;=11,", "&amp;$A4&amp;"-"&amp;TEXT(($D4-$C4+1)+10,"00"),"")&amp;IF($C4&gt;=12,", "&amp;$A4&amp;"-"&amp;TEXT(($D4-$C4+1)+11,"00"),"")&amp;IF($C4&gt;=13,", "&amp;$A4&amp;"-"&amp;TEXT(($D4-$C4+1)+12,"00"),"")&amp;IF($C4&gt;=14,", "&amp;$A4&amp;"-"&amp;TEXT(($D4-$C4+1)+13,"00"),"")&amp;IF($C4&gt;=15,", "&amp;$A4&amp;"-"&amp;TEXT(($D4-$C4+1)+14,"00"),"")&amp;IF($C4&gt;=16,", "&amp;$A4&amp;"-"&amp;TEXT(($D4-$C4+1)+15,"00"),"")&amp;IF($C4&gt;=17,", "&amp;$A4&amp;"-"&amp;TEXT(($D4-$C4+1)+16,"00"),"")&amp;IF($C4&gt;=18,", "&amp;$A4&amp;"-"&amp;TEXT(($D4-$C4+1)+17,"00"),"")&amp;IF($C4&gt;=19,", "&amp;$A4&amp;"-"&amp;TEXT(($D4-$C4+1)+18,"00"),"")&amp;IF($C4&gt;=20,", "&amp;$A4&amp;"-"&amp;TEXT(($D4-$C4+1)+19,"00"),"")&amp;IF($C4&gt;=21,", "&amp;$A4&amp;"-"&amp;TEXT(($D4-$C4+1)+20,"00"),"")&amp;IF($C4&gt;=22,", "&amp;$A4&amp;"-"&amp;TEXT(($D4-$C4+1)+21,"00"),"")&amp;IF($C4&gt;=23,", "&amp;$A4&amp;"-"&amp;TEXT(($D4-$C4+1)+22,"00"),"")&amp;IF($C4&gt;=24,", "&amp;$A4&amp;"-"&amp;TEXT(($D4-$C4+1)+23,"00"),"")&amp;IF($C4&gt;=25,", "&amp;$A4&amp;"-"&amp;TEXT(($D4-$C4+1)+24,"00"),""))</f>
        <v/>
      </c>
      <c r="G4">
        <f>IF($A4="","",IF($E4=1,$F4,IF($F4="",$G3,IF($G3="",$F4,$G3&amp;", "&amp;$F4))))</f>
        <v/>
      </c>
      <c r="H4">
        <f>IF($A4="","",$A4&amp;" ("&amp;$C4&amp;")")</f>
        <v/>
      </c>
      <c r="I4">
        <f>IF($A4="","",IF($E4=1,$H4,$I3&amp;", "&amp;$H4))</f>
        <v/>
      </c>
      <c r="J4">
        <f>IF($A4="","",IF($E4=1,$B4,""))</f>
        <v/>
      </c>
      <c r="K4">
        <f>IF($A4="","",IF(COUNTIF($B$2:$B4,$B4)=COUNTIF($B$2:$B$1601,$B4),$B4,""))</f>
        <v/>
      </c>
    </row>
    <row r="5">
      <c r="A5">
        <f>IF('TMP Paste'!$E5="","",'TMP Paste'!$E5)</f>
        <v/>
      </c>
      <c r="B5">
        <f>IF($A5="","",COUNTIF('TMP Paste'!$B$2:$B5,"?*"))</f>
        <v/>
      </c>
      <c r="C5">
        <f>IF($A5="","",IFERROR('TMP Paste'!$M5*1,0))</f>
        <v/>
      </c>
      <c r="D5">
        <f>IF($A5="","",SUMIF($B$2:$B5,$B5,$C$2:$C5))</f>
        <v/>
      </c>
      <c r="E5">
        <f>IF($A5="",0,IF('TMP Paste'!$B5="",0,1))</f>
        <v/>
      </c>
      <c r="F5">
        <f>IF(OR($A5="",$C5&lt;1),"",$A5&amp;"-"&amp;TEXT(($D5-$C5+1),"00")&amp;IF($C5&gt;=2,", "&amp;$A5&amp;"-"&amp;TEXT(($D5-$C5+1)+1,"00"),"")&amp;IF($C5&gt;=3,", "&amp;$A5&amp;"-"&amp;TEXT(($D5-$C5+1)+2,"00"),"")&amp;IF($C5&gt;=4,", "&amp;$A5&amp;"-"&amp;TEXT(($D5-$C5+1)+3,"00"),"")&amp;IF($C5&gt;=5,", "&amp;$A5&amp;"-"&amp;TEXT(($D5-$C5+1)+4,"00"),"")&amp;IF($C5&gt;=6,", "&amp;$A5&amp;"-"&amp;TEXT(($D5-$C5+1)+5,"00"),"")&amp;IF($C5&gt;=7,", "&amp;$A5&amp;"-"&amp;TEXT(($D5-$C5+1)+6,"00"),"")&amp;IF($C5&gt;=8,", "&amp;$A5&amp;"-"&amp;TEXT(($D5-$C5+1)+7,"00"),"")&amp;IF($C5&gt;=9,", "&amp;$A5&amp;"-"&amp;TEXT(($D5-$C5+1)+8,"00"),"")&amp;IF($C5&gt;=10,", "&amp;$A5&amp;"-"&amp;TEXT(($D5-$C5+1)+9,"00"),"")&amp;IF($C5&gt;=11,", "&amp;$A5&amp;"-"&amp;TEXT(($D5-$C5+1)+10,"00"),"")&amp;IF($C5&gt;=12,", "&amp;$A5&amp;"-"&amp;TEXT(($D5-$C5+1)+11,"00"),"")&amp;IF($C5&gt;=13,", "&amp;$A5&amp;"-"&amp;TEXT(($D5-$C5+1)+12,"00"),"")&amp;IF($C5&gt;=14,", "&amp;$A5&amp;"-"&amp;TEXT(($D5-$C5+1)+13,"00"),"")&amp;IF($C5&gt;=15,", "&amp;$A5&amp;"-"&amp;TEXT(($D5-$C5+1)+14,"00"),"")&amp;IF($C5&gt;=16,", "&amp;$A5&amp;"-"&amp;TEXT(($D5-$C5+1)+15,"00"),"")&amp;IF($C5&gt;=17,", "&amp;$A5&amp;"-"&amp;TEXT(($D5-$C5+1)+16,"00"),"")&amp;IF($C5&gt;=18,", "&amp;$A5&amp;"-"&amp;TEXT(($D5-$C5+1)+17,"00"),"")&amp;IF($C5&gt;=19,", "&amp;$A5&amp;"-"&amp;TEXT(($D5-$C5+1)+18,"00"),"")&amp;IF($C5&gt;=20,", "&amp;$A5&amp;"-"&amp;TEXT(($D5-$C5+1)+19,"00"),"")&amp;IF($C5&gt;=21,", "&amp;$A5&amp;"-"&amp;TEXT(($D5-$C5+1)+20,"00"),"")&amp;IF($C5&gt;=22,", "&amp;$A5&amp;"-"&amp;TEXT(($D5-$C5+1)+21,"00"),"")&amp;IF($C5&gt;=23,", "&amp;$A5&amp;"-"&amp;TEXT(($D5-$C5+1)+22,"00"),"")&amp;IF($C5&gt;=24,", "&amp;$A5&amp;"-"&amp;TEXT(($D5-$C5+1)+23,"00"),"")&amp;IF($C5&gt;=25,", "&amp;$A5&amp;"-"&amp;TEXT(($D5-$C5+1)+24,"00"),""))</f>
        <v/>
      </c>
      <c r="G5">
        <f>IF($A5="","",IF($E5=1,$F5,IF($F5="",$G4,IF($G4="",$F5,$G4&amp;", "&amp;$F5))))</f>
        <v/>
      </c>
      <c r="H5">
        <f>IF($A5="","",$A5&amp;" ("&amp;$C5&amp;")")</f>
        <v/>
      </c>
      <c r="I5">
        <f>IF($A5="","",IF($E5=1,$H5,$I4&amp;", "&amp;$H5))</f>
        <v/>
      </c>
      <c r="J5">
        <f>IF($A5="","",IF($E5=1,$B5,""))</f>
        <v/>
      </c>
      <c r="K5">
        <f>IF($A5="","",IF(COUNTIF($B$2:$B5,$B5)=COUNTIF($B$2:$B$1601,$B5),$B5,""))</f>
        <v/>
      </c>
    </row>
    <row r="6">
      <c r="A6">
        <f>IF('TMP Paste'!$E6="","",'TMP Paste'!$E6)</f>
        <v/>
      </c>
      <c r="B6">
        <f>IF($A6="","",COUNTIF('TMP Paste'!$B$2:$B6,"?*"))</f>
        <v/>
      </c>
      <c r="C6">
        <f>IF($A6="","",IFERROR('TMP Paste'!$M6*1,0))</f>
        <v/>
      </c>
      <c r="D6">
        <f>IF($A6="","",SUMIF($B$2:$B6,$B6,$C$2:$C6))</f>
        <v/>
      </c>
      <c r="E6">
        <f>IF($A6="",0,IF('TMP Paste'!$B6="",0,1))</f>
        <v/>
      </c>
      <c r="F6">
        <f>IF(OR($A6="",$C6&lt;1),"",$A6&amp;"-"&amp;TEXT(($D6-$C6+1),"00")&amp;IF($C6&gt;=2,", "&amp;$A6&amp;"-"&amp;TEXT(($D6-$C6+1)+1,"00"),"")&amp;IF($C6&gt;=3,", "&amp;$A6&amp;"-"&amp;TEXT(($D6-$C6+1)+2,"00"),"")&amp;IF($C6&gt;=4,", "&amp;$A6&amp;"-"&amp;TEXT(($D6-$C6+1)+3,"00"),"")&amp;IF($C6&gt;=5,", "&amp;$A6&amp;"-"&amp;TEXT(($D6-$C6+1)+4,"00"),"")&amp;IF($C6&gt;=6,", "&amp;$A6&amp;"-"&amp;TEXT(($D6-$C6+1)+5,"00"),"")&amp;IF($C6&gt;=7,", "&amp;$A6&amp;"-"&amp;TEXT(($D6-$C6+1)+6,"00"),"")&amp;IF($C6&gt;=8,", "&amp;$A6&amp;"-"&amp;TEXT(($D6-$C6+1)+7,"00"),"")&amp;IF($C6&gt;=9,", "&amp;$A6&amp;"-"&amp;TEXT(($D6-$C6+1)+8,"00"),"")&amp;IF($C6&gt;=10,", "&amp;$A6&amp;"-"&amp;TEXT(($D6-$C6+1)+9,"00"),"")&amp;IF($C6&gt;=11,", "&amp;$A6&amp;"-"&amp;TEXT(($D6-$C6+1)+10,"00"),"")&amp;IF($C6&gt;=12,", "&amp;$A6&amp;"-"&amp;TEXT(($D6-$C6+1)+11,"00"),"")&amp;IF($C6&gt;=13,", "&amp;$A6&amp;"-"&amp;TEXT(($D6-$C6+1)+12,"00"),"")&amp;IF($C6&gt;=14,", "&amp;$A6&amp;"-"&amp;TEXT(($D6-$C6+1)+13,"00"),"")&amp;IF($C6&gt;=15,", "&amp;$A6&amp;"-"&amp;TEXT(($D6-$C6+1)+14,"00"),"")&amp;IF($C6&gt;=16,", "&amp;$A6&amp;"-"&amp;TEXT(($D6-$C6+1)+15,"00"),"")&amp;IF($C6&gt;=17,", "&amp;$A6&amp;"-"&amp;TEXT(($D6-$C6+1)+16,"00"),"")&amp;IF($C6&gt;=18,", "&amp;$A6&amp;"-"&amp;TEXT(($D6-$C6+1)+17,"00"),"")&amp;IF($C6&gt;=19,", "&amp;$A6&amp;"-"&amp;TEXT(($D6-$C6+1)+18,"00"),"")&amp;IF($C6&gt;=20,", "&amp;$A6&amp;"-"&amp;TEXT(($D6-$C6+1)+19,"00"),"")&amp;IF($C6&gt;=21,", "&amp;$A6&amp;"-"&amp;TEXT(($D6-$C6+1)+20,"00"),"")&amp;IF($C6&gt;=22,", "&amp;$A6&amp;"-"&amp;TEXT(($D6-$C6+1)+21,"00"),"")&amp;IF($C6&gt;=23,", "&amp;$A6&amp;"-"&amp;TEXT(($D6-$C6+1)+22,"00"),"")&amp;IF($C6&gt;=24,", "&amp;$A6&amp;"-"&amp;TEXT(($D6-$C6+1)+23,"00"),"")&amp;IF($C6&gt;=25,", "&amp;$A6&amp;"-"&amp;TEXT(($D6-$C6+1)+24,"00"),""))</f>
        <v/>
      </c>
      <c r="G6">
        <f>IF($A6="","",IF($E6=1,$F6,IF($F6="",$G5,IF($G5="",$F6,$G5&amp;", "&amp;$F6))))</f>
        <v/>
      </c>
      <c r="H6">
        <f>IF($A6="","",$A6&amp;" ("&amp;$C6&amp;")")</f>
        <v/>
      </c>
      <c r="I6">
        <f>IF($A6="","",IF($E6=1,$H6,$I5&amp;", "&amp;$H6))</f>
        <v/>
      </c>
      <c r="J6">
        <f>IF($A6="","",IF($E6=1,$B6,""))</f>
        <v/>
      </c>
      <c r="K6">
        <f>IF($A6="","",IF(COUNTIF($B$2:$B6,$B6)=COUNTIF($B$2:$B$1601,$B6),$B6,""))</f>
        <v/>
      </c>
    </row>
    <row r="7">
      <c r="A7">
        <f>IF('TMP Paste'!$E7="","",'TMP Paste'!$E7)</f>
        <v/>
      </c>
      <c r="B7">
        <f>IF($A7="","",COUNTIF('TMP Paste'!$B$2:$B7,"?*"))</f>
        <v/>
      </c>
      <c r="C7">
        <f>IF($A7="","",IFERROR('TMP Paste'!$M7*1,0))</f>
        <v/>
      </c>
      <c r="D7">
        <f>IF($A7="","",SUMIF($B$2:$B7,$B7,$C$2:$C7))</f>
        <v/>
      </c>
      <c r="E7">
        <f>IF($A7="",0,IF('TMP Paste'!$B7="",0,1))</f>
        <v/>
      </c>
      <c r="F7">
        <f>IF(OR($A7="",$C7&lt;1),"",$A7&amp;"-"&amp;TEXT(($D7-$C7+1),"00")&amp;IF($C7&gt;=2,", "&amp;$A7&amp;"-"&amp;TEXT(($D7-$C7+1)+1,"00"),"")&amp;IF($C7&gt;=3,", "&amp;$A7&amp;"-"&amp;TEXT(($D7-$C7+1)+2,"00"),"")&amp;IF($C7&gt;=4,", "&amp;$A7&amp;"-"&amp;TEXT(($D7-$C7+1)+3,"00"),"")&amp;IF($C7&gt;=5,", "&amp;$A7&amp;"-"&amp;TEXT(($D7-$C7+1)+4,"00"),"")&amp;IF($C7&gt;=6,", "&amp;$A7&amp;"-"&amp;TEXT(($D7-$C7+1)+5,"00"),"")&amp;IF($C7&gt;=7,", "&amp;$A7&amp;"-"&amp;TEXT(($D7-$C7+1)+6,"00"),"")&amp;IF($C7&gt;=8,", "&amp;$A7&amp;"-"&amp;TEXT(($D7-$C7+1)+7,"00"),"")&amp;IF($C7&gt;=9,", "&amp;$A7&amp;"-"&amp;TEXT(($D7-$C7+1)+8,"00"),"")&amp;IF($C7&gt;=10,", "&amp;$A7&amp;"-"&amp;TEXT(($D7-$C7+1)+9,"00"),"")&amp;IF($C7&gt;=11,", "&amp;$A7&amp;"-"&amp;TEXT(($D7-$C7+1)+10,"00"),"")&amp;IF($C7&gt;=12,", "&amp;$A7&amp;"-"&amp;TEXT(($D7-$C7+1)+11,"00"),"")&amp;IF($C7&gt;=13,", "&amp;$A7&amp;"-"&amp;TEXT(($D7-$C7+1)+12,"00"),"")&amp;IF($C7&gt;=14,", "&amp;$A7&amp;"-"&amp;TEXT(($D7-$C7+1)+13,"00"),"")&amp;IF($C7&gt;=15,", "&amp;$A7&amp;"-"&amp;TEXT(($D7-$C7+1)+14,"00"),"")&amp;IF($C7&gt;=16,", "&amp;$A7&amp;"-"&amp;TEXT(($D7-$C7+1)+15,"00"),"")&amp;IF($C7&gt;=17,", "&amp;$A7&amp;"-"&amp;TEXT(($D7-$C7+1)+16,"00"),"")&amp;IF($C7&gt;=18,", "&amp;$A7&amp;"-"&amp;TEXT(($D7-$C7+1)+17,"00"),"")&amp;IF($C7&gt;=19,", "&amp;$A7&amp;"-"&amp;TEXT(($D7-$C7+1)+18,"00"),"")&amp;IF($C7&gt;=20,", "&amp;$A7&amp;"-"&amp;TEXT(($D7-$C7+1)+19,"00"),"")&amp;IF($C7&gt;=21,", "&amp;$A7&amp;"-"&amp;TEXT(($D7-$C7+1)+20,"00"),"")&amp;IF($C7&gt;=22,", "&amp;$A7&amp;"-"&amp;TEXT(($D7-$C7+1)+21,"00"),"")&amp;IF($C7&gt;=23,", "&amp;$A7&amp;"-"&amp;TEXT(($D7-$C7+1)+22,"00"),"")&amp;IF($C7&gt;=24,", "&amp;$A7&amp;"-"&amp;TEXT(($D7-$C7+1)+23,"00"),"")&amp;IF($C7&gt;=25,", "&amp;$A7&amp;"-"&amp;TEXT(($D7-$C7+1)+24,"00"),""))</f>
        <v/>
      </c>
      <c r="G7">
        <f>IF($A7="","",IF($E7=1,$F7,IF($F7="",$G6,IF($G6="",$F7,$G6&amp;", "&amp;$F7))))</f>
        <v/>
      </c>
      <c r="H7">
        <f>IF($A7="","",$A7&amp;" ("&amp;$C7&amp;")")</f>
        <v/>
      </c>
      <c r="I7">
        <f>IF($A7="","",IF($E7=1,$H7,$I6&amp;", "&amp;$H7))</f>
        <v/>
      </c>
      <c r="J7">
        <f>IF($A7="","",IF($E7=1,$B7,""))</f>
        <v/>
      </c>
      <c r="K7">
        <f>IF($A7="","",IF(COUNTIF($B$2:$B7,$B7)=COUNTIF($B$2:$B$1601,$B7),$B7,""))</f>
        <v/>
      </c>
    </row>
    <row r="8">
      <c r="A8">
        <f>IF('TMP Paste'!$E8="","",'TMP Paste'!$E8)</f>
        <v/>
      </c>
      <c r="B8">
        <f>IF($A8="","",COUNTIF('TMP Paste'!$B$2:$B8,"?*"))</f>
        <v/>
      </c>
      <c r="C8">
        <f>IF($A8="","",IFERROR('TMP Paste'!$M8*1,0))</f>
        <v/>
      </c>
      <c r="D8">
        <f>IF($A8="","",SUMIF($B$2:$B8,$B8,$C$2:$C8))</f>
        <v/>
      </c>
      <c r="E8">
        <f>IF($A8="",0,IF('TMP Paste'!$B8="",0,1))</f>
        <v/>
      </c>
      <c r="F8">
        <f>IF(OR($A8="",$C8&lt;1),"",$A8&amp;"-"&amp;TEXT(($D8-$C8+1),"00")&amp;IF($C8&gt;=2,", "&amp;$A8&amp;"-"&amp;TEXT(($D8-$C8+1)+1,"00"),"")&amp;IF($C8&gt;=3,", "&amp;$A8&amp;"-"&amp;TEXT(($D8-$C8+1)+2,"00"),"")&amp;IF($C8&gt;=4,", "&amp;$A8&amp;"-"&amp;TEXT(($D8-$C8+1)+3,"00"),"")&amp;IF($C8&gt;=5,", "&amp;$A8&amp;"-"&amp;TEXT(($D8-$C8+1)+4,"00"),"")&amp;IF($C8&gt;=6,", "&amp;$A8&amp;"-"&amp;TEXT(($D8-$C8+1)+5,"00"),"")&amp;IF($C8&gt;=7,", "&amp;$A8&amp;"-"&amp;TEXT(($D8-$C8+1)+6,"00"),"")&amp;IF($C8&gt;=8,", "&amp;$A8&amp;"-"&amp;TEXT(($D8-$C8+1)+7,"00"),"")&amp;IF($C8&gt;=9,", "&amp;$A8&amp;"-"&amp;TEXT(($D8-$C8+1)+8,"00"),"")&amp;IF($C8&gt;=10,", "&amp;$A8&amp;"-"&amp;TEXT(($D8-$C8+1)+9,"00"),"")&amp;IF($C8&gt;=11,", "&amp;$A8&amp;"-"&amp;TEXT(($D8-$C8+1)+10,"00"),"")&amp;IF($C8&gt;=12,", "&amp;$A8&amp;"-"&amp;TEXT(($D8-$C8+1)+11,"00"),"")&amp;IF($C8&gt;=13,", "&amp;$A8&amp;"-"&amp;TEXT(($D8-$C8+1)+12,"00"),"")&amp;IF($C8&gt;=14,", "&amp;$A8&amp;"-"&amp;TEXT(($D8-$C8+1)+13,"00"),"")&amp;IF($C8&gt;=15,", "&amp;$A8&amp;"-"&amp;TEXT(($D8-$C8+1)+14,"00"),"")&amp;IF($C8&gt;=16,", "&amp;$A8&amp;"-"&amp;TEXT(($D8-$C8+1)+15,"00"),"")&amp;IF($C8&gt;=17,", "&amp;$A8&amp;"-"&amp;TEXT(($D8-$C8+1)+16,"00"),"")&amp;IF($C8&gt;=18,", "&amp;$A8&amp;"-"&amp;TEXT(($D8-$C8+1)+17,"00"),"")&amp;IF($C8&gt;=19,", "&amp;$A8&amp;"-"&amp;TEXT(($D8-$C8+1)+18,"00"),"")&amp;IF($C8&gt;=20,", "&amp;$A8&amp;"-"&amp;TEXT(($D8-$C8+1)+19,"00"),"")&amp;IF($C8&gt;=21,", "&amp;$A8&amp;"-"&amp;TEXT(($D8-$C8+1)+20,"00"),"")&amp;IF($C8&gt;=22,", "&amp;$A8&amp;"-"&amp;TEXT(($D8-$C8+1)+21,"00"),"")&amp;IF($C8&gt;=23,", "&amp;$A8&amp;"-"&amp;TEXT(($D8-$C8+1)+22,"00"),"")&amp;IF($C8&gt;=24,", "&amp;$A8&amp;"-"&amp;TEXT(($D8-$C8+1)+23,"00"),"")&amp;IF($C8&gt;=25,", "&amp;$A8&amp;"-"&amp;TEXT(($D8-$C8+1)+24,"00"),""))</f>
        <v/>
      </c>
      <c r="G8">
        <f>IF($A8="","",IF($E8=1,$F8,IF($F8="",$G7,IF($G7="",$F8,$G7&amp;", "&amp;$F8))))</f>
        <v/>
      </c>
      <c r="H8">
        <f>IF($A8="","",$A8&amp;" ("&amp;$C8&amp;")")</f>
        <v/>
      </c>
      <c r="I8">
        <f>IF($A8="","",IF($E8=1,$H8,$I7&amp;", "&amp;$H8))</f>
        <v/>
      </c>
      <c r="J8">
        <f>IF($A8="","",IF($E8=1,$B8,""))</f>
        <v/>
      </c>
      <c r="K8">
        <f>IF($A8="","",IF(COUNTIF($B$2:$B8,$B8)=COUNTIF($B$2:$B$1601,$B8),$B8,""))</f>
        <v/>
      </c>
    </row>
    <row r="9">
      <c r="A9">
        <f>IF('TMP Paste'!$E9="","",'TMP Paste'!$E9)</f>
        <v/>
      </c>
      <c r="B9">
        <f>IF($A9="","",COUNTIF('TMP Paste'!$B$2:$B9,"?*"))</f>
        <v/>
      </c>
      <c r="C9">
        <f>IF($A9="","",IFERROR('TMP Paste'!$M9*1,0))</f>
        <v/>
      </c>
      <c r="D9">
        <f>IF($A9="","",SUMIF($B$2:$B9,$B9,$C$2:$C9))</f>
        <v/>
      </c>
      <c r="E9">
        <f>IF($A9="",0,IF('TMP Paste'!$B9="",0,1))</f>
        <v/>
      </c>
      <c r="F9">
        <f>IF(OR($A9="",$C9&lt;1),"",$A9&amp;"-"&amp;TEXT(($D9-$C9+1),"00")&amp;IF($C9&gt;=2,", "&amp;$A9&amp;"-"&amp;TEXT(($D9-$C9+1)+1,"00"),"")&amp;IF($C9&gt;=3,", "&amp;$A9&amp;"-"&amp;TEXT(($D9-$C9+1)+2,"00"),"")&amp;IF($C9&gt;=4,", "&amp;$A9&amp;"-"&amp;TEXT(($D9-$C9+1)+3,"00"),"")&amp;IF($C9&gt;=5,", "&amp;$A9&amp;"-"&amp;TEXT(($D9-$C9+1)+4,"00"),"")&amp;IF($C9&gt;=6,", "&amp;$A9&amp;"-"&amp;TEXT(($D9-$C9+1)+5,"00"),"")&amp;IF($C9&gt;=7,", "&amp;$A9&amp;"-"&amp;TEXT(($D9-$C9+1)+6,"00"),"")&amp;IF($C9&gt;=8,", "&amp;$A9&amp;"-"&amp;TEXT(($D9-$C9+1)+7,"00"),"")&amp;IF($C9&gt;=9,", "&amp;$A9&amp;"-"&amp;TEXT(($D9-$C9+1)+8,"00"),"")&amp;IF($C9&gt;=10,", "&amp;$A9&amp;"-"&amp;TEXT(($D9-$C9+1)+9,"00"),"")&amp;IF($C9&gt;=11,", "&amp;$A9&amp;"-"&amp;TEXT(($D9-$C9+1)+10,"00"),"")&amp;IF($C9&gt;=12,", "&amp;$A9&amp;"-"&amp;TEXT(($D9-$C9+1)+11,"00"),"")&amp;IF($C9&gt;=13,", "&amp;$A9&amp;"-"&amp;TEXT(($D9-$C9+1)+12,"00"),"")&amp;IF($C9&gt;=14,", "&amp;$A9&amp;"-"&amp;TEXT(($D9-$C9+1)+13,"00"),"")&amp;IF($C9&gt;=15,", "&amp;$A9&amp;"-"&amp;TEXT(($D9-$C9+1)+14,"00"),"")&amp;IF($C9&gt;=16,", "&amp;$A9&amp;"-"&amp;TEXT(($D9-$C9+1)+15,"00"),"")&amp;IF($C9&gt;=17,", "&amp;$A9&amp;"-"&amp;TEXT(($D9-$C9+1)+16,"00"),"")&amp;IF($C9&gt;=18,", "&amp;$A9&amp;"-"&amp;TEXT(($D9-$C9+1)+17,"00"),"")&amp;IF($C9&gt;=19,", "&amp;$A9&amp;"-"&amp;TEXT(($D9-$C9+1)+18,"00"),"")&amp;IF($C9&gt;=20,", "&amp;$A9&amp;"-"&amp;TEXT(($D9-$C9+1)+19,"00"),"")&amp;IF($C9&gt;=21,", "&amp;$A9&amp;"-"&amp;TEXT(($D9-$C9+1)+20,"00"),"")&amp;IF($C9&gt;=22,", "&amp;$A9&amp;"-"&amp;TEXT(($D9-$C9+1)+21,"00"),"")&amp;IF($C9&gt;=23,", "&amp;$A9&amp;"-"&amp;TEXT(($D9-$C9+1)+22,"00"),"")&amp;IF($C9&gt;=24,", "&amp;$A9&amp;"-"&amp;TEXT(($D9-$C9+1)+23,"00"),"")&amp;IF($C9&gt;=25,", "&amp;$A9&amp;"-"&amp;TEXT(($D9-$C9+1)+24,"00"),""))</f>
        <v/>
      </c>
      <c r="G9">
        <f>IF($A9="","",IF($E9=1,$F9,IF($F9="",$G8,IF($G8="",$F9,$G8&amp;", "&amp;$F9))))</f>
        <v/>
      </c>
      <c r="H9">
        <f>IF($A9="","",$A9&amp;" ("&amp;$C9&amp;")")</f>
        <v/>
      </c>
      <c r="I9">
        <f>IF($A9="","",IF($E9=1,$H9,$I8&amp;", "&amp;$H9))</f>
        <v/>
      </c>
      <c r="J9">
        <f>IF($A9="","",IF($E9=1,$B9,""))</f>
        <v/>
      </c>
      <c r="K9">
        <f>IF($A9="","",IF(COUNTIF($B$2:$B9,$B9)=COUNTIF($B$2:$B$1601,$B9),$B9,""))</f>
        <v/>
      </c>
    </row>
    <row r="10">
      <c r="A10">
        <f>IF('TMP Paste'!$E10="","",'TMP Paste'!$E10)</f>
        <v/>
      </c>
      <c r="B10">
        <f>IF($A10="","",COUNTIF('TMP Paste'!$B$2:$B10,"?*"))</f>
        <v/>
      </c>
      <c r="C10">
        <f>IF($A10="","",IFERROR('TMP Paste'!$M10*1,0))</f>
        <v/>
      </c>
      <c r="D10">
        <f>IF($A10="","",SUMIF($B$2:$B10,$B10,$C$2:$C10))</f>
        <v/>
      </c>
      <c r="E10">
        <f>IF($A10="",0,IF('TMP Paste'!$B10="",0,1))</f>
        <v/>
      </c>
      <c r="F10">
        <f>IF(OR($A10="",$C10&lt;1),"",$A10&amp;"-"&amp;TEXT(($D10-$C10+1),"00")&amp;IF($C10&gt;=2,", "&amp;$A10&amp;"-"&amp;TEXT(($D10-$C10+1)+1,"00"),"")&amp;IF($C10&gt;=3,", "&amp;$A10&amp;"-"&amp;TEXT(($D10-$C10+1)+2,"00"),"")&amp;IF($C10&gt;=4,", "&amp;$A10&amp;"-"&amp;TEXT(($D10-$C10+1)+3,"00"),"")&amp;IF($C10&gt;=5,", "&amp;$A10&amp;"-"&amp;TEXT(($D10-$C10+1)+4,"00"),"")&amp;IF($C10&gt;=6,", "&amp;$A10&amp;"-"&amp;TEXT(($D10-$C10+1)+5,"00"),"")&amp;IF($C10&gt;=7,", "&amp;$A10&amp;"-"&amp;TEXT(($D10-$C10+1)+6,"00"),"")&amp;IF($C10&gt;=8,", "&amp;$A10&amp;"-"&amp;TEXT(($D10-$C10+1)+7,"00"),"")&amp;IF($C10&gt;=9,", "&amp;$A10&amp;"-"&amp;TEXT(($D10-$C10+1)+8,"00"),"")&amp;IF($C10&gt;=10,", "&amp;$A10&amp;"-"&amp;TEXT(($D10-$C10+1)+9,"00"),"")&amp;IF($C10&gt;=11,", "&amp;$A10&amp;"-"&amp;TEXT(($D10-$C10+1)+10,"00"),"")&amp;IF($C10&gt;=12,", "&amp;$A10&amp;"-"&amp;TEXT(($D10-$C10+1)+11,"00"),"")&amp;IF($C10&gt;=13,", "&amp;$A10&amp;"-"&amp;TEXT(($D10-$C10+1)+12,"00"),"")&amp;IF($C10&gt;=14,", "&amp;$A10&amp;"-"&amp;TEXT(($D10-$C10+1)+13,"00"),"")&amp;IF($C10&gt;=15,", "&amp;$A10&amp;"-"&amp;TEXT(($D10-$C10+1)+14,"00"),"")&amp;IF($C10&gt;=16,", "&amp;$A10&amp;"-"&amp;TEXT(($D10-$C10+1)+15,"00"),"")&amp;IF($C10&gt;=17,", "&amp;$A10&amp;"-"&amp;TEXT(($D10-$C10+1)+16,"00"),"")&amp;IF($C10&gt;=18,", "&amp;$A10&amp;"-"&amp;TEXT(($D10-$C10+1)+17,"00"),"")&amp;IF($C10&gt;=19,", "&amp;$A10&amp;"-"&amp;TEXT(($D10-$C10+1)+18,"00"),"")&amp;IF($C10&gt;=20,", "&amp;$A10&amp;"-"&amp;TEXT(($D10-$C10+1)+19,"00"),"")&amp;IF($C10&gt;=21,", "&amp;$A10&amp;"-"&amp;TEXT(($D10-$C10+1)+20,"00"),"")&amp;IF($C10&gt;=22,", "&amp;$A10&amp;"-"&amp;TEXT(($D10-$C10+1)+21,"00"),"")&amp;IF($C10&gt;=23,", "&amp;$A10&amp;"-"&amp;TEXT(($D10-$C10+1)+22,"00"),"")&amp;IF($C10&gt;=24,", "&amp;$A10&amp;"-"&amp;TEXT(($D10-$C10+1)+23,"00"),"")&amp;IF($C10&gt;=25,", "&amp;$A10&amp;"-"&amp;TEXT(($D10-$C10+1)+24,"00"),""))</f>
        <v/>
      </c>
      <c r="G10">
        <f>IF($A10="","",IF($E10=1,$F10,IF($F10="",$G9,IF($G9="",$F10,$G9&amp;", "&amp;$F10))))</f>
        <v/>
      </c>
      <c r="H10">
        <f>IF($A10="","",$A10&amp;" ("&amp;$C10&amp;")")</f>
        <v/>
      </c>
      <c r="I10">
        <f>IF($A10="","",IF($E10=1,$H10,$I9&amp;", "&amp;$H10))</f>
        <v/>
      </c>
      <c r="J10">
        <f>IF($A10="","",IF($E10=1,$B10,""))</f>
        <v/>
      </c>
      <c r="K10">
        <f>IF($A10="","",IF(COUNTIF($B$2:$B10,$B10)=COUNTIF($B$2:$B$1601,$B10),$B10,""))</f>
        <v/>
      </c>
    </row>
    <row r="11">
      <c r="A11">
        <f>IF('TMP Paste'!$E11="","",'TMP Paste'!$E11)</f>
        <v/>
      </c>
      <c r="B11">
        <f>IF($A11="","",COUNTIF('TMP Paste'!$B$2:$B11,"?*"))</f>
        <v/>
      </c>
      <c r="C11">
        <f>IF($A11="","",IFERROR('TMP Paste'!$M11*1,0))</f>
        <v/>
      </c>
      <c r="D11">
        <f>IF($A11="","",SUMIF($B$2:$B11,$B11,$C$2:$C11))</f>
        <v/>
      </c>
      <c r="E11">
        <f>IF($A11="",0,IF('TMP Paste'!$B11="",0,1))</f>
        <v/>
      </c>
      <c r="F11">
        <f>IF(OR($A11="",$C11&lt;1),"",$A11&amp;"-"&amp;TEXT(($D11-$C11+1),"00")&amp;IF($C11&gt;=2,", "&amp;$A11&amp;"-"&amp;TEXT(($D11-$C11+1)+1,"00"),"")&amp;IF($C11&gt;=3,", "&amp;$A11&amp;"-"&amp;TEXT(($D11-$C11+1)+2,"00"),"")&amp;IF($C11&gt;=4,", "&amp;$A11&amp;"-"&amp;TEXT(($D11-$C11+1)+3,"00"),"")&amp;IF($C11&gt;=5,", "&amp;$A11&amp;"-"&amp;TEXT(($D11-$C11+1)+4,"00"),"")&amp;IF($C11&gt;=6,", "&amp;$A11&amp;"-"&amp;TEXT(($D11-$C11+1)+5,"00"),"")&amp;IF($C11&gt;=7,", "&amp;$A11&amp;"-"&amp;TEXT(($D11-$C11+1)+6,"00"),"")&amp;IF($C11&gt;=8,", "&amp;$A11&amp;"-"&amp;TEXT(($D11-$C11+1)+7,"00"),"")&amp;IF($C11&gt;=9,", "&amp;$A11&amp;"-"&amp;TEXT(($D11-$C11+1)+8,"00"),"")&amp;IF($C11&gt;=10,", "&amp;$A11&amp;"-"&amp;TEXT(($D11-$C11+1)+9,"00"),"")&amp;IF($C11&gt;=11,", "&amp;$A11&amp;"-"&amp;TEXT(($D11-$C11+1)+10,"00"),"")&amp;IF($C11&gt;=12,", "&amp;$A11&amp;"-"&amp;TEXT(($D11-$C11+1)+11,"00"),"")&amp;IF($C11&gt;=13,", "&amp;$A11&amp;"-"&amp;TEXT(($D11-$C11+1)+12,"00"),"")&amp;IF($C11&gt;=14,", "&amp;$A11&amp;"-"&amp;TEXT(($D11-$C11+1)+13,"00"),"")&amp;IF($C11&gt;=15,", "&amp;$A11&amp;"-"&amp;TEXT(($D11-$C11+1)+14,"00"),"")&amp;IF($C11&gt;=16,", "&amp;$A11&amp;"-"&amp;TEXT(($D11-$C11+1)+15,"00"),"")&amp;IF($C11&gt;=17,", "&amp;$A11&amp;"-"&amp;TEXT(($D11-$C11+1)+16,"00"),"")&amp;IF($C11&gt;=18,", "&amp;$A11&amp;"-"&amp;TEXT(($D11-$C11+1)+17,"00"),"")&amp;IF($C11&gt;=19,", "&amp;$A11&amp;"-"&amp;TEXT(($D11-$C11+1)+18,"00"),"")&amp;IF($C11&gt;=20,", "&amp;$A11&amp;"-"&amp;TEXT(($D11-$C11+1)+19,"00"),"")&amp;IF($C11&gt;=21,", "&amp;$A11&amp;"-"&amp;TEXT(($D11-$C11+1)+20,"00"),"")&amp;IF($C11&gt;=22,", "&amp;$A11&amp;"-"&amp;TEXT(($D11-$C11+1)+21,"00"),"")&amp;IF($C11&gt;=23,", "&amp;$A11&amp;"-"&amp;TEXT(($D11-$C11+1)+22,"00"),"")&amp;IF($C11&gt;=24,", "&amp;$A11&amp;"-"&amp;TEXT(($D11-$C11+1)+23,"00"),"")&amp;IF($C11&gt;=25,", "&amp;$A11&amp;"-"&amp;TEXT(($D11-$C11+1)+24,"00"),""))</f>
        <v/>
      </c>
      <c r="G11">
        <f>IF($A11="","",IF($E11=1,$F11,IF($F11="",$G10,IF($G10="",$F11,$G10&amp;", "&amp;$F11))))</f>
        <v/>
      </c>
      <c r="H11">
        <f>IF($A11="","",$A11&amp;" ("&amp;$C11&amp;")")</f>
        <v/>
      </c>
      <c r="I11">
        <f>IF($A11="","",IF($E11=1,$H11,$I10&amp;", "&amp;$H11))</f>
        <v/>
      </c>
      <c r="J11">
        <f>IF($A11="","",IF($E11=1,$B11,""))</f>
        <v/>
      </c>
      <c r="K11">
        <f>IF($A11="","",IF(COUNTIF($B$2:$B11,$B11)=COUNTIF($B$2:$B$1601,$B11),$B11,""))</f>
        <v/>
      </c>
    </row>
    <row r="12">
      <c r="A12">
        <f>IF('TMP Paste'!$E12="","",'TMP Paste'!$E12)</f>
        <v/>
      </c>
      <c r="B12">
        <f>IF($A12="","",COUNTIF('TMP Paste'!$B$2:$B12,"?*"))</f>
        <v/>
      </c>
      <c r="C12">
        <f>IF($A12="","",IFERROR('TMP Paste'!$M12*1,0))</f>
        <v/>
      </c>
      <c r="D12">
        <f>IF($A12="","",SUMIF($B$2:$B12,$B12,$C$2:$C12))</f>
        <v/>
      </c>
      <c r="E12">
        <f>IF($A12="",0,IF('TMP Paste'!$B12="",0,1))</f>
        <v/>
      </c>
      <c r="F12">
        <f>IF(OR($A12="",$C12&lt;1),"",$A12&amp;"-"&amp;TEXT(($D12-$C12+1),"00")&amp;IF($C12&gt;=2,", "&amp;$A12&amp;"-"&amp;TEXT(($D12-$C12+1)+1,"00"),"")&amp;IF($C12&gt;=3,", "&amp;$A12&amp;"-"&amp;TEXT(($D12-$C12+1)+2,"00"),"")&amp;IF($C12&gt;=4,", "&amp;$A12&amp;"-"&amp;TEXT(($D12-$C12+1)+3,"00"),"")&amp;IF($C12&gt;=5,", "&amp;$A12&amp;"-"&amp;TEXT(($D12-$C12+1)+4,"00"),"")&amp;IF($C12&gt;=6,", "&amp;$A12&amp;"-"&amp;TEXT(($D12-$C12+1)+5,"00"),"")&amp;IF($C12&gt;=7,", "&amp;$A12&amp;"-"&amp;TEXT(($D12-$C12+1)+6,"00"),"")&amp;IF($C12&gt;=8,", "&amp;$A12&amp;"-"&amp;TEXT(($D12-$C12+1)+7,"00"),"")&amp;IF($C12&gt;=9,", "&amp;$A12&amp;"-"&amp;TEXT(($D12-$C12+1)+8,"00"),"")&amp;IF($C12&gt;=10,", "&amp;$A12&amp;"-"&amp;TEXT(($D12-$C12+1)+9,"00"),"")&amp;IF($C12&gt;=11,", "&amp;$A12&amp;"-"&amp;TEXT(($D12-$C12+1)+10,"00"),"")&amp;IF($C12&gt;=12,", "&amp;$A12&amp;"-"&amp;TEXT(($D12-$C12+1)+11,"00"),"")&amp;IF($C12&gt;=13,", "&amp;$A12&amp;"-"&amp;TEXT(($D12-$C12+1)+12,"00"),"")&amp;IF($C12&gt;=14,", "&amp;$A12&amp;"-"&amp;TEXT(($D12-$C12+1)+13,"00"),"")&amp;IF($C12&gt;=15,", "&amp;$A12&amp;"-"&amp;TEXT(($D12-$C12+1)+14,"00"),"")&amp;IF($C12&gt;=16,", "&amp;$A12&amp;"-"&amp;TEXT(($D12-$C12+1)+15,"00"),"")&amp;IF($C12&gt;=17,", "&amp;$A12&amp;"-"&amp;TEXT(($D12-$C12+1)+16,"00"),"")&amp;IF($C12&gt;=18,", "&amp;$A12&amp;"-"&amp;TEXT(($D12-$C12+1)+17,"00"),"")&amp;IF($C12&gt;=19,", "&amp;$A12&amp;"-"&amp;TEXT(($D12-$C12+1)+18,"00"),"")&amp;IF($C12&gt;=20,", "&amp;$A12&amp;"-"&amp;TEXT(($D12-$C12+1)+19,"00"),"")&amp;IF($C12&gt;=21,", "&amp;$A12&amp;"-"&amp;TEXT(($D12-$C12+1)+20,"00"),"")&amp;IF($C12&gt;=22,", "&amp;$A12&amp;"-"&amp;TEXT(($D12-$C12+1)+21,"00"),"")&amp;IF($C12&gt;=23,", "&amp;$A12&amp;"-"&amp;TEXT(($D12-$C12+1)+22,"00"),"")&amp;IF($C12&gt;=24,", "&amp;$A12&amp;"-"&amp;TEXT(($D12-$C12+1)+23,"00"),"")&amp;IF($C12&gt;=25,", "&amp;$A12&amp;"-"&amp;TEXT(($D12-$C12+1)+24,"00"),""))</f>
        <v/>
      </c>
      <c r="G12">
        <f>IF($A12="","",IF($E12=1,$F12,IF($F12="",$G11,IF($G11="",$F12,$G11&amp;", "&amp;$F12))))</f>
        <v/>
      </c>
      <c r="H12">
        <f>IF($A12="","",$A12&amp;" ("&amp;$C12&amp;")")</f>
        <v/>
      </c>
      <c r="I12">
        <f>IF($A12="","",IF($E12=1,$H12,$I11&amp;", "&amp;$H12))</f>
        <v/>
      </c>
      <c r="J12">
        <f>IF($A12="","",IF($E12=1,$B12,""))</f>
        <v/>
      </c>
      <c r="K12">
        <f>IF($A12="","",IF(COUNTIF($B$2:$B12,$B12)=COUNTIF($B$2:$B$1601,$B12),$B12,""))</f>
        <v/>
      </c>
    </row>
    <row r="13">
      <c r="A13">
        <f>IF('TMP Paste'!$E13="","",'TMP Paste'!$E13)</f>
        <v/>
      </c>
      <c r="B13">
        <f>IF($A13="","",COUNTIF('TMP Paste'!$B$2:$B13,"?*"))</f>
        <v/>
      </c>
      <c r="C13">
        <f>IF($A13="","",IFERROR('TMP Paste'!$M13*1,0))</f>
        <v/>
      </c>
      <c r="D13">
        <f>IF($A13="","",SUMIF($B$2:$B13,$B13,$C$2:$C13))</f>
        <v/>
      </c>
      <c r="E13">
        <f>IF($A13="",0,IF('TMP Paste'!$B13="",0,1))</f>
        <v/>
      </c>
      <c r="F13">
        <f>IF(OR($A13="",$C13&lt;1),"",$A13&amp;"-"&amp;TEXT(($D13-$C13+1),"00")&amp;IF($C13&gt;=2,", "&amp;$A13&amp;"-"&amp;TEXT(($D13-$C13+1)+1,"00"),"")&amp;IF($C13&gt;=3,", "&amp;$A13&amp;"-"&amp;TEXT(($D13-$C13+1)+2,"00"),"")&amp;IF($C13&gt;=4,", "&amp;$A13&amp;"-"&amp;TEXT(($D13-$C13+1)+3,"00"),"")&amp;IF($C13&gt;=5,", "&amp;$A13&amp;"-"&amp;TEXT(($D13-$C13+1)+4,"00"),"")&amp;IF($C13&gt;=6,", "&amp;$A13&amp;"-"&amp;TEXT(($D13-$C13+1)+5,"00"),"")&amp;IF($C13&gt;=7,", "&amp;$A13&amp;"-"&amp;TEXT(($D13-$C13+1)+6,"00"),"")&amp;IF($C13&gt;=8,", "&amp;$A13&amp;"-"&amp;TEXT(($D13-$C13+1)+7,"00"),"")&amp;IF($C13&gt;=9,", "&amp;$A13&amp;"-"&amp;TEXT(($D13-$C13+1)+8,"00"),"")&amp;IF($C13&gt;=10,", "&amp;$A13&amp;"-"&amp;TEXT(($D13-$C13+1)+9,"00"),"")&amp;IF($C13&gt;=11,", "&amp;$A13&amp;"-"&amp;TEXT(($D13-$C13+1)+10,"00"),"")&amp;IF($C13&gt;=12,", "&amp;$A13&amp;"-"&amp;TEXT(($D13-$C13+1)+11,"00"),"")&amp;IF($C13&gt;=13,", "&amp;$A13&amp;"-"&amp;TEXT(($D13-$C13+1)+12,"00"),"")&amp;IF($C13&gt;=14,", "&amp;$A13&amp;"-"&amp;TEXT(($D13-$C13+1)+13,"00"),"")&amp;IF($C13&gt;=15,", "&amp;$A13&amp;"-"&amp;TEXT(($D13-$C13+1)+14,"00"),"")&amp;IF($C13&gt;=16,", "&amp;$A13&amp;"-"&amp;TEXT(($D13-$C13+1)+15,"00"),"")&amp;IF($C13&gt;=17,", "&amp;$A13&amp;"-"&amp;TEXT(($D13-$C13+1)+16,"00"),"")&amp;IF($C13&gt;=18,", "&amp;$A13&amp;"-"&amp;TEXT(($D13-$C13+1)+17,"00"),"")&amp;IF($C13&gt;=19,", "&amp;$A13&amp;"-"&amp;TEXT(($D13-$C13+1)+18,"00"),"")&amp;IF($C13&gt;=20,", "&amp;$A13&amp;"-"&amp;TEXT(($D13-$C13+1)+19,"00"),"")&amp;IF($C13&gt;=21,", "&amp;$A13&amp;"-"&amp;TEXT(($D13-$C13+1)+20,"00"),"")&amp;IF($C13&gt;=22,", "&amp;$A13&amp;"-"&amp;TEXT(($D13-$C13+1)+21,"00"),"")&amp;IF($C13&gt;=23,", "&amp;$A13&amp;"-"&amp;TEXT(($D13-$C13+1)+22,"00"),"")&amp;IF($C13&gt;=24,", "&amp;$A13&amp;"-"&amp;TEXT(($D13-$C13+1)+23,"00"),"")&amp;IF($C13&gt;=25,", "&amp;$A13&amp;"-"&amp;TEXT(($D13-$C13+1)+24,"00"),""))</f>
        <v/>
      </c>
      <c r="G13">
        <f>IF($A13="","",IF($E13=1,$F13,IF($F13="",$G12,IF($G12="",$F13,$G12&amp;", "&amp;$F13))))</f>
        <v/>
      </c>
      <c r="H13">
        <f>IF($A13="","",$A13&amp;" ("&amp;$C13&amp;")")</f>
        <v/>
      </c>
      <c r="I13">
        <f>IF($A13="","",IF($E13=1,$H13,$I12&amp;", "&amp;$H13))</f>
        <v/>
      </c>
      <c r="J13">
        <f>IF($A13="","",IF($E13=1,$B13,""))</f>
        <v/>
      </c>
      <c r="K13">
        <f>IF($A13="","",IF(COUNTIF($B$2:$B13,$B13)=COUNTIF($B$2:$B$1601,$B13),$B13,""))</f>
        <v/>
      </c>
    </row>
    <row r="14">
      <c r="A14">
        <f>IF('TMP Paste'!$E14="","",'TMP Paste'!$E14)</f>
        <v/>
      </c>
      <c r="B14">
        <f>IF($A14="","",COUNTIF('TMP Paste'!$B$2:$B14,"?*"))</f>
        <v/>
      </c>
      <c r="C14">
        <f>IF($A14="","",IFERROR('TMP Paste'!$M14*1,0))</f>
        <v/>
      </c>
      <c r="D14">
        <f>IF($A14="","",SUMIF($B$2:$B14,$B14,$C$2:$C14))</f>
        <v/>
      </c>
      <c r="E14">
        <f>IF($A14="",0,IF('TMP Paste'!$B14="",0,1))</f>
        <v/>
      </c>
      <c r="F14">
        <f>IF(OR($A14="",$C14&lt;1),"",$A14&amp;"-"&amp;TEXT(($D14-$C14+1),"00")&amp;IF($C14&gt;=2,", "&amp;$A14&amp;"-"&amp;TEXT(($D14-$C14+1)+1,"00"),"")&amp;IF($C14&gt;=3,", "&amp;$A14&amp;"-"&amp;TEXT(($D14-$C14+1)+2,"00"),"")&amp;IF($C14&gt;=4,", "&amp;$A14&amp;"-"&amp;TEXT(($D14-$C14+1)+3,"00"),"")&amp;IF($C14&gt;=5,", "&amp;$A14&amp;"-"&amp;TEXT(($D14-$C14+1)+4,"00"),"")&amp;IF($C14&gt;=6,", "&amp;$A14&amp;"-"&amp;TEXT(($D14-$C14+1)+5,"00"),"")&amp;IF($C14&gt;=7,", "&amp;$A14&amp;"-"&amp;TEXT(($D14-$C14+1)+6,"00"),"")&amp;IF($C14&gt;=8,", "&amp;$A14&amp;"-"&amp;TEXT(($D14-$C14+1)+7,"00"),"")&amp;IF($C14&gt;=9,", "&amp;$A14&amp;"-"&amp;TEXT(($D14-$C14+1)+8,"00"),"")&amp;IF($C14&gt;=10,", "&amp;$A14&amp;"-"&amp;TEXT(($D14-$C14+1)+9,"00"),"")&amp;IF($C14&gt;=11,", "&amp;$A14&amp;"-"&amp;TEXT(($D14-$C14+1)+10,"00"),"")&amp;IF($C14&gt;=12,", "&amp;$A14&amp;"-"&amp;TEXT(($D14-$C14+1)+11,"00"),"")&amp;IF($C14&gt;=13,", "&amp;$A14&amp;"-"&amp;TEXT(($D14-$C14+1)+12,"00"),"")&amp;IF($C14&gt;=14,", "&amp;$A14&amp;"-"&amp;TEXT(($D14-$C14+1)+13,"00"),"")&amp;IF($C14&gt;=15,", "&amp;$A14&amp;"-"&amp;TEXT(($D14-$C14+1)+14,"00"),"")&amp;IF($C14&gt;=16,", "&amp;$A14&amp;"-"&amp;TEXT(($D14-$C14+1)+15,"00"),"")&amp;IF($C14&gt;=17,", "&amp;$A14&amp;"-"&amp;TEXT(($D14-$C14+1)+16,"00"),"")&amp;IF($C14&gt;=18,", "&amp;$A14&amp;"-"&amp;TEXT(($D14-$C14+1)+17,"00"),"")&amp;IF($C14&gt;=19,", "&amp;$A14&amp;"-"&amp;TEXT(($D14-$C14+1)+18,"00"),"")&amp;IF($C14&gt;=20,", "&amp;$A14&amp;"-"&amp;TEXT(($D14-$C14+1)+19,"00"),"")&amp;IF($C14&gt;=21,", "&amp;$A14&amp;"-"&amp;TEXT(($D14-$C14+1)+20,"00"),"")&amp;IF($C14&gt;=22,", "&amp;$A14&amp;"-"&amp;TEXT(($D14-$C14+1)+21,"00"),"")&amp;IF($C14&gt;=23,", "&amp;$A14&amp;"-"&amp;TEXT(($D14-$C14+1)+22,"00"),"")&amp;IF($C14&gt;=24,", "&amp;$A14&amp;"-"&amp;TEXT(($D14-$C14+1)+23,"00"),"")&amp;IF($C14&gt;=25,", "&amp;$A14&amp;"-"&amp;TEXT(($D14-$C14+1)+24,"00"),""))</f>
        <v/>
      </c>
      <c r="G14">
        <f>IF($A14="","",IF($E14=1,$F14,IF($F14="",$G13,IF($G13="",$F14,$G13&amp;", "&amp;$F14))))</f>
        <v/>
      </c>
      <c r="H14">
        <f>IF($A14="","",$A14&amp;" ("&amp;$C14&amp;")")</f>
        <v/>
      </c>
      <c r="I14">
        <f>IF($A14="","",IF($E14=1,$H14,$I13&amp;", "&amp;$H14))</f>
        <v/>
      </c>
      <c r="J14">
        <f>IF($A14="","",IF($E14=1,$B14,""))</f>
        <v/>
      </c>
      <c r="K14">
        <f>IF($A14="","",IF(COUNTIF($B$2:$B14,$B14)=COUNTIF($B$2:$B$1601,$B14),$B14,""))</f>
        <v/>
      </c>
    </row>
    <row r="15">
      <c r="A15">
        <f>IF('TMP Paste'!$E15="","",'TMP Paste'!$E15)</f>
        <v/>
      </c>
      <c r="B15">
        <f>IF($A15="","",COUNTIF('TMP Paste'!$B$2:$B15,"?*"))</f>
        <v/>
      </c>
      <c r="C15">
        <f>IF($A15="","",IFERROR('TMP Paste'!$M15*1,0))</f>
        <v/>
      </c>
      <c r="D15">
        <f>IF($A15="","",SUMIF($B$2:$B15,$B15,$C$2:$C15))</f>
        <v/>
      </c>
      <c r="E15">
        <f>IF($A15="",0,IF('TMP Paste'!$B15="",0,1))</f>
        <v/>
      </c>
      <c r="F15">
        <f>IF(OR($A15="",$C15&lt;1),"",$A15&amp;"-"&amp;TEXT(($D15-$C15+1),"00")&amp;IF($C15&gt;=2,", "&amp;$A15&amp;"-"&amp;TEXT(($D15-$C15+1)+1,"00"),"")&amp;IF($C15&gt;=3,", "&amp;$A15&amp;"-"&amp;TEXT(($D15-$C15+1)+2,"00"),"")&amp;IF($C15&gt;=4,", "&amp;$A15&amp;"-"&amp;TEXT(($D15-$C15+1)+3,"00"),"")&amp;IF($C15&gt;=5,", "&amp;$A15&amp;"-"&amp;TEXT(($D15-$C15+1)+4,"00"),"")&amp;IF($C15&gt;=6,", "&amp;$A15&amp;"-"&amp;TEXT(($D15-$C15+1)+5,"00"),"")&amp;IF($C15&gt;=7,", "&amp;$A15&amp;"-"&amp;TEXT(($D15-$C15+1)+6,"00"),"")&amp;IF($C15&gt;=8,", "&amp;$A15&amp;"-"&amp;TEXT(($D15-$C15+1)+7,"00"),"")&amp;IF($C15&gt;=9,", "&amp;$A15&amp;"-"&amp;TEXT(($D15-$C15+1)+8,"00"),"")&amp;IF($C15&gt;=10,", "&amp;$A15&amp;"-"&amp;TEXT(($D15-$C15+1)+9,"00"),"")&amp;IF($C15&gt;=11,", "&amp;$A15&amp;"-"&amp;TEXT(($D15-$C15+1)+10,"00"),"")&amp;IF($C15&gt;=12,", "&amp;$A15&amp;"-"&amp;TEXT(($D15-$C15+1)+11,"00"),"")&amp;IF($C15&gt;=13,", "&amp;$A15&amp;"-"&amp;TEXT(($D15-$C15+1)+12,"00"),"")&amp;IF($C15&gt;=14,", "&amp;$A15&amp;"-"&amp;TEXT(($D15-$C15+1)+13,"00"),"")&amp;IF($C15&gt;=15,", "&amp;$A15&amp;"-"&amp;TEXT(($D15-$C15+1)+14,"00"),"")&amp;IF($C15&gt;=16,", "&amp;$A15&amp;"-"&amp;TEXT(($D15-$C15+1)+15,"00"),"")&amp;IF($C15&gt;=17,", "&amp;$A15&amp;"-"&amp;TEXT(($D15-$C15+1)+16,"00"),"")&amp;IF($C15&gt;=18,", "&amp;$A15&amp;"-"&amp;TEXT(($D15-$C15+1)+17,"00"),"")&amp;IF($C15&gt;=19,", "&amp;$A15&amp;"-"&amp;TEXT(($D15-$C15+1)+18,"00"),"")&amp;IF($C15&gt;=20,", "&amp;$A15&amp;"-"&amp;TEXT(($D15-$C15+1)+19,"00"),"")&amp;IF($C15&gt;=21,", "&amp;$A15&amp;"-"&amp;TEXT(($D15-$C15+1)+20,"00"),"")&amp;IF($C15&gt;=22,", "&amp;$A15&amp;"-"&amp;TEXT(($D15-$C15+1)+21,"00"),"")&amp;IF($C15&gt;=23,", "&amp;$A15&amp;"-"&amp;TEXT(($D15-$C15+1)+22,"00"),"")&amp;IF($C15&gt;=24,", "&amp;$A15&amp;"-"&amp;TEXT(($D15-$C15+1)+23,"00"),"")&amp;IF($C15&gt;=25,", "&amp;$A15&amp;"-"&amp;TEXT(($D15-$C15+1)+24,"00"),""))</f>
        <v/>
      </c>
      <c r="G15">
        <f>IF($A15="","",IF($E15=1,$F15,IF($F15="",$G14,IF($G14="",$F15,$G14&amp;", "&amp;$F15))))</f>
        <v/>
      </c>
      <c r="H15">
        <f>IF($A15="","",$A15&amp;" ("&amp;$C15&amp;")")</f>
        <v/>
      </c>
      <c r="I15">
        <f>IF($A15="","",IF($E15=1,$H15,$I14&amp;", "&amp;$H15))</f>
        <v/>
      </c>
      <c r="J15">
        <f>IF($A15="","",IF($E15=1,$B15,""))</f>
        <v/>
      </c>
      <c r="K15">
        <f>IF($A15="","",IF(COUNTIF($B$2:$B15,$B15)=COUNTIF($B$2:$B$1601,$B15),$B15,""))</f>
        <v/>
      </c>
    </row>
    <row r="16">
      <c r="A16">
        <f>IF('TMP Paste'!$E16="","",'TMP Paste'!$E16)</f>
        <v/>
      </c>
      <c r="B16">
        <f>IF($A16="","",COUNTIF('TMP Paste'!$B$2:$B16,"?*"))</f>
        <v/>
      </c>
      <c r="C16">
        <f>IF($A16="","",IFERROR('TMP Paste'!$M16*1,0))</f>
        <v/>
      </c>
      <c r="D16">
        <f>IF($A16="","",SUMIF($B$2:$B16,$B16,$C$2:$C16))</f>
        <v/>
      </c>
      <c r="E16">
        <f>IF($A16="",0,IF('TMP Paste'!$B16="",0,1))</f>
        <v/>
      </c>
      <c r="F16">
        <f>IF(OR($A16="",$C16&lt;1),"",$A16&amp;"-"&amp;TEXT(($D16-$C16+1),"00")&amp;IF($C16&gt;=2,", "&amp;$A16&amp;"-"&amp;TEXT(($D16-$C16+1)+1,"00"),"")&amp;IF($C16&gt;=3,", "&amp;$A16&amp;"-"&amp;TEXT(($D16-$C16+1)+2,"00"),"")&amp;IF($C16&gt;=4,", "&amp;$A16&amp;"-"&amp;TEXT(($D16-$C16+1)+3,"00"),"")&amp;IF($C16&gt;=5,", "&amp;$A16&amp;"-"&amp;TEXT(($D16-$C16+1)+4,"00"),"")&amp;IF($C16&gt;=6,", "&amp;$A16&amp;"-"&amp;TEXT(($D16-$C16+1)+5,"00"),"")&amp;IF($C16&gt;=7,", "&amp;$A16&amp;"-"&amp;TEXT(($D16-$C16+1)+6,"00"),"")&amp;IF($C16&gt;=8,", "&amp;$A16&amp;"-"&amp;TEXT(($D16-$C16+1)+7,"00"),"")&amp;IF($C16&gt;=9,", "&amp;$A16&amp;"-"&amp;TEXT(($D16-$C16+1)+8,"00"),"")&amp;IF($C16&gt;=10,", "&amp;$A16&amp;"-"&amp;TEXT(($D16-$C16+1)+9,"00"),"")&amp;IF($C16&gt;=11,", "&amp;$A16&amp;"-"&amp;TEXT(($D16-$C16+1)+10,"00"),"")&amp;IF($C16&gt;=12,", "&amp;$A16&amp;"-"&amp;TEXT(($D16-$C16+1)+11,"00"),"")&amp;IF($C16&gt;=13,", "&amp;$A16&amp;"-"&amp;TEXT(($D16-$C16+1)+12,"00"),"")&amp;IF($C16&gt;=14,", "&amp;$A16&amp;"-"&amp;TEXT(($D16-$C16+1)+13,"00"),"")&amp;IF($C16&gt;=15,", "&amp;$A16&amp;"-"&amp;TEXT(($D16-$C16+1)+14,"00"),"")&amp;IF($C16&gt;=16,", "&amp;$A16&amp;"-"&amp;TEXT(($D16-$C16+1)+15,"00"),"")&amp;IF($C16&gt;=17,", "&amp;$A16&amp;"-"&amp;TEXT(($D16-$C16+1)+16,"00"),"")&amp;IF($C16&gt;=18,", "&amp;$A16&amp;"-"&amp;TEXT(($D16-$C16+1)+17,"00"),"")&amp;IF($C16&gt;=19,", "&amp;$A16&amp;"-"&amp;TEXT(($D16-$C16+1)+18,"00"),"")&amp;IF($C16&gt;=20,", "&amp;$A16&amp;"-"&amp;TEXT(($D16-$C16+1)+19,"00"),"")&amp;IF($C16&gt;=21,", "&amp;$A16&amp;"-"&amp;TEXT(($D16-$C16+1)+20,"00"),"")&amp;IF($C16&gt;=22,", "&amp;$A16&amp;"-"&amp;TEXT(($D16-$C16+1)+21,"00"),"")&amp;IF($C16&gt;=23,", "&amp;$A16&amp;"-"&amp;TEXT(($D16-$C16+1)+22,"00"),"")&amp;IF($C16&gt;=24,", "&amp;$A16&amp;"-"&amp;TEXT(($D16-$C16+1)+23,"00"),"")&amp;IF($C16&gt;=25,", "&amp;$A16&amp;"-"&amp;TEXT(($D16-$C16+1)+24,"00"),""))</f>
        <v/>
      </c>
      <c r="G16">
        <f>IF($A16="","",IF($E16=1,$F16,IF($F16="",$G15,IF($G15="",$F16,$G15&amp;", "&amp;$F16))))</f>
        <v/>
      </c>
      <c r="H16">
        <f>IF($A16="","",$A16&amp;" ("&amp;$C16&amp;")")</f>
        <v/>
      </c>
      <c r="I16">
        <f>IF($A16="","",IF($E16=1,$H16,$I15&amp;", "&amp;$H16))</f>
        <v/>
      </c>
      <c r="J16">
        <f>IF($A16="","",IF($E16=1,$B16,""))</f>
        <v/>
      </c>
      <c r="K16">
        <f>IF($A16="","",IF(COUNTIF($B$2:$B16,$B16)=COUNTIF($B$2:$B$1601,$B16),$B16,""))</f>
        <v/>
      </c>
    </row>
    <row r="17">
      <c r="A17">
        <f>IF('TMP Paste'!$E17="","",'TMP Paste'!$E17)</f>
        <v/>
      </c>
      <c r="B17">
        <f>IF($A17="","",COUNTIF('TMP Paste'!$B$2:$B17,"?*"))</f>
        <v/>
      </c>
      <c r="C17">
        <f>IF($A17="","",IFERROR('TMP Paste'!$M17*1,0))</f>
        <v/>
      </c>
      <c r="D17">
        <f>IF($A17="","",SUMIF($B$2:$B17,$B17,$C$2:$C17))</f>
        <v/>
      </c>
      <c r="E17">
        <f>IF($A17="",0,IF('TMP Paste'!$B17="",0,1))</f>
        <v/>
      </c>
      <c r="F17">
        <f>IF(OR($A17="",$C17&lt;1),"",$A17&amp;"-"&amp;TEXT(($D17-$C17+1),"00")&amp;IF($C17&gt;=2,", "&amp;$A17&amp;"-"&amp;TEXT(($D17-$C17+1)+1,"00"),"")&amp;IF($C17&gt;=3,", "&amp;$A17&amp;"-"&amp;TEXT(($D17-$C17+1)+2,"00"),"")&amp;IF($C17&gt;=4,", "&amp;$A17&amp;"-"&amp;TEXT(($D17-$C17+1)+3,"00"),"")&amp;IF($C17&gt;=5,", "&amp;$A17&amp;"-"&amp;TEXT(($D17-$C17+1)+4,"00"),"")&amp;IF($C17&gt;=6,", "&amp;$A17&amp;"-"&amp;TEXT(($D17-$C17+1)+5,"00"),"")&amp;IF($C17&gt;=7,", "&amp;$A17&amp;"-"&amp;TEXT(($D17-$C17+1)+6,"00"),"")&amp;IF($C17&gt;=8,", "&amp;$A17&amp;"-"&amp;TEXT(($D17-$C17+1)+7,"00"),"")&amp;IF($C17&gt;=9,", "&amp;$A17&amp;"-"&amp;TEXT(($D17-$C17+1)+8,"00"),"")&amp;IF($C17&gt;=10,", "&amp;$A17&amp;"-"&amp;TEXT(($D17-$C17+1)+9,"00"),"")&amp;IF($C17&gt;=11,", "&amp;$A17&amp;"-"&amp;TEXT(($D17-$C17+1)+10,"00"),"")&amp;IF($C17&gt;=12,", "&amp;$A17&amp;"-"&amp;TEXT(($D17-$C17+1)+11,"00"),"")&amp;IF($C17&gt;=13,", "&amp;$A17&amp;"-"&amp;TEXT(($D17-$C17+1)+12,"00"),"")&amp;IF($C17&gt;=14,", "&amp;$A17&amp;"-"&amp;TEXT(($D17-$C17+1)+13,"00"),"")&amp;IF($C17&gt;=15,", "&amp;$A17&amp;"-"&amp;TEXT(($D17-$C17+1)+14,"00"),"")&amp;IF($C17&gt;=16,", "&amp;$A17&amp;"-"&amp;TEXT(($D17-$C17+1)+15,"00"),"")&amp;IF($C17&gt;=17,", "&amp;$A17&amp;"-"&amp;TEXT(($D17-$C17+1)+16,"00"),"")&amp;IF($C17&gt;=18,", "&amp;$A17&amp;"-"&amp;TEXT(($D17-$C17+1)+17,"00"),"")&amp;IF($C17&gt;=19,", "&amp;$A17&amp;"-"&amp;TEXT(($D17-$C17+1)+18,"00"),"")&amp;IF($C17&gt;=20,", "&amp;$A17&amp;"-"&amp;TEXT(($D17-$C17+1)+19,"00"),"")&amp;IF($C17&gt;=21,", "&amp;$A17&amp;"-"&amp;TEXT(($D17-$C17+1)+20,"00"),"")&amp;IF($C17&gt;=22,", "&amp;$A17&amp;"-"&amp;TEXT(($D17-$C17+1)+21,"00"),"")&amp;IF($C17&gt;=23,", "&amp;$A17&amp;"-"&amp;TEXT(($D17-$C17+1)+22,"00"),"")&amp;IF($C17&gt;=24,", "&amp;$A17&amp;"-"&amp;TEXT(($D17-$C17+1)+23,"00"),"")&amp;IF($C17&gt;=25,", "&amp;$A17&amp;"-"&amp;TEXT(($D17-$C17+1)+24,"00"),""))</f>
        <v/>
      </c>
      <c r="G17">
        <f>IF($A17="","",IF($E17=1,$F17,IF($F17="",$G16,IF($G16="",$F17,$G16&amp;", "&amp;$F17))))</f>
        <v/>
      </c>
      <c r="H17">
        <f>IF($A17="","",$A17&amp;" ("&amp;$C17&amp;")")</f>
        <v/>
      </c>
      <c r="I17">
        <f>IF($A17="","",IF($E17=1,$H17,$I16&amp;", "&amp;$H17))</f>
        <v/>
      </c>
      <c r="J17">
        <f>IF($A17="","",IF($E17=1,$B17,""))</f>
        <v/>
      </c>
      <c r="K17">
        <f>IF($A17="","",IF(COUNTIF($B$2:$B17,$B17)=COUNTIF($B$2:$B$1601,$B17),$B17,""))</f>
        <v/>
      </c>
    </row>
    <row r="18">
      <c r="A18">
        <f>IF('TMP Paste'!$E18="","",'TMP Paste'!$E18)</f>
        <v/>
      </c>
      <c r="B18">
        <f>IF($A18="","",COUNTIF('TMP Paste'!$B$2:$B18,"?*"))</f>
        <v/>
      </c>
      <c r="C18">
        <f>IF($A18="","",IFERROR('TMP Paste'!$M18*1,0))</f>
        <v/>
      </c>
      <c r="D18">
        <f>IF($A18="","",SUMIF($B$2:$B18,$B18,$C$2:$C18))</f>
        <v/>
      </c>
      <c r="E18">
        <f>IF($A18="",0,IF('TMP Paste'!$B18="",0,1))</f>
        <v/>
      </c>
      <c r="F18">
        <f>IF(OR($A18="",$C18&lt;1),"",$A18&amp;"-"&amp;TEXT(($D18-$C18+1),"00")&amp;IF($C18&gt;=2,", "&amp;$A18&amp;"-"&amp;TEXT(($D18-$C18+1)+1,"00"),"")&amp;IF($C18&gt;=3,", "&amp;$A18&amp;"-"&amp;TEXT(($D18-$C18+1)+2,"00"),"")&amp;IF($C18&gt;=4,", "&amp;$A18&amp;"-"&amp;TEXT(($D18-$C18+1)+3,"00"),"")&amp;IF($C18&gt;=5,", "&amp;$A18&amp;"-"&amp;TEXT(($D18-$C18+1)+4,"00"),"")&amp;IF($C18&gt;=6,", "&amp;$A18&amp;"-"&amp;TEXT(($D18-$C18+1)+5,"00"),"")&amp;IF($C18&gt;=7,", "&amp;$A18&amp;"-"&amp;TEXT(($D18-$C18+1)+6,"00"),"")&amp;IF($C18&gt;=8,", "&amp;$A18&amp;"-"&amp;TEXT(($D18-$C18+1)+7,"00"),"")&amp;IF($C18&gt;=9,", "&amp;$A18&amp;"-"&amp;TEXT(($D18-$C18+1)+8,"00"),"")&amp;IF($C18&gt;=10,", "&amp;$A18&amp;"-"&amp;TEXT(($D18-$C18+1)+9,"00"),"")&amp;IF($C18&gt;=11,", "&amp;$A18&amp;"-"&amp;TEXT(($D18-$C18+1)+10,"00"),"")&amp;IF($C18&gt;=12,", "&amp;$A18&amp;"-"&amp;TEXT(($D18-$C18+1)+11,"00"),"")&amp;IF($C18&gt;=13,", "&amp;$A18&amp;"-"&amp;TEXT(($D18-$C18+1)+12,"00"),"")&amp;IF($C18&gt;=14,", "&amp;$A18&amp;"-"&amp;TEXT(($D18-$C18+1)+13,"00"),"")&amp;IF($C18&gt;=15,", "&amp;$A18&amp;"-"&amp;TEXT(($D18-$C18+1)+14,"00"),"")&amp;IF($C18&gt;=16,", "&amp;$A18&amp;"-"&amp;TEXT(($D18-$C18+1)+15,"00"),"")&amp;IF($C18&gt;=17,", "&amp;$A18&amp;"-"&amp;TEXT(($D18-$C18+1)+16,"00"),"")&amp;IF($C18&gt;=18,", "&amp;$A18&amp;"-"&amp;TEXT(($D18-$C18+1)+17,"00"),"")&amp;IF($C18&gt;=19,", "&amp;$A18&amp;"-"&amp;TEXT(($D18-$C18+1)+18,"00"),"")&amp;IF($C18&gt;=20,", "&amp;$A18&amp;"-"&amp;TEXT(($D18-$C18+1)+19,"00"),"")&amp;IF($C18&gt;=21,", "&amp;$A18&amp;"-"&amp;TEXT(($D18-$C18+1)+20,"00"),"")&amp;IF($C18&gt;=22,", "&amp;$A18&amp;"-"&amp;TEXT(($D18-$C18+1)+21,"00"),"")&amp;IF($C18&gt;=23,", "&amp;$A18&amp;"-"&amp;TEXT(($D18-$C18+1)+22,"00"),"")&amp;IF($C18&gt;=24,", "&amp;$A18&amp;"-"&amp;TEXT(($D18-$C18+1)+23,"00"),"")&amp;IF($C18&gt;=25,", "&amp;$A18&amp;"-"&amp;TEXT(($D18-$C18+1)+24,"00"),""))</f>
        <v/>
      </c>
      <c r="G18">
        <f>IF($A18="","",IF($E18=1,$F18,IF($F18="",$G17,IF($G17="",$F18,$G17&amp;", "&amp;$F18))))</f>
        <v/>
      </c>
      <c r="H18">
        <f>IF($A18="","",$A18&amp;" ("&amp;$C18&amp;")")</f>
        <v/>
      </c>
      <c r="I18">
        <f>IF($A18="","",IF($E18=1,$H18,$I17&amp;", "&amp;$H18))</f>
        <v/>
      </c>
      <c r="J18">
        <f>IF($A18="","",IF($E18=1,$B18,""))</f>
        <v/>
      </c>
      <c r="K18">
        <f>IF($A18="","",IF(COUNTIF($B$2:$B18,$B18)=COUNTIF($B$2:$B$1601,$B18),$B18,""))</f>
        <v/>
      </c>
    </row>
    <row r="19">
      <c r="A19">
        <f>IF('TMP Paste'!$E19="","",'TMP Paste'!$E19)</f>
        <v/>
      </c>
      <c r="B19">
        <f>IF($A19="","",COUNTIF('TMP Paste'!$B$2:$B19,"?*"))</f>
        <v/>
      </c>
      <c r="C19">
        <f>IF($A19="","",IFERROR('TMP Paste'!$M19*1,0))</f>
        <v/>
      </c>
      <c r="D19">
        <f>IF($A19="","",SUMIF($B$2:$B19,$B19,$C$2:$C19))</f>
        <v/>
      </c>
      <c r="E19">
        <f>IF($A19="",0,IF('TMP Paste'!$B19="",0,1))</f>
        <v/>
      </c>
      <c r="F19">
        <f>IF(OR($A19="",$C19&lt;1),"",$A19&amp;"-"&amp;TEXT(($D19-$C19+1),"00")&amp;IF($C19&gt;=2,", "&amp;$A19&amp;"-"&amp;TEXT(($D19-$C19+1)+1,"00"),"")&amp;IF($C19&gt;=3,", "&amp;$A19&amp;"-"&amp;TEXT(($D19-$C19+1)+2,"00"),"")&amp;IF($C19&gt;=4,", "&amp;$A19&amp;"-"&amp;TEXT(($D19-$C19+1)+3,"00"),"")&amp;IF($C19&gt;=5,", "&amp;$A19&amp;"-"&amp;TEXT(($D19-$C19+1)+4,"00"),"")&amp;IF($C19&gt;=6,", "&amp;$A19&amp;"-"&amp;TEXT(($D19-$C19+1)+5,"00"),"")&amp;IF($C19&gt;=7,", "&amp;$A19&amp;"-"&amp;TEXT(($D19-$C19+1)+6,"00"),"")&amp;IF($C19&gt;=8,", "&amp;$A19&amp;"-"&amp;TEXT(($D19-$C19+1)+7,"00"),"")&amp;IF($C19&gt;=9,", "&amp;$A19&amp;"-"&amp;TEXT(($D19-$C19+1)+8,"00"),"")&amp;IF($C19&gt;=10,", "&amp;$A19&amp;"-"&amp;TEXT(($D19-$C19+1)+9,"00"),"")&amp;IF($C19&gt;=11,", "&amp;$A19&amp;"-"&amp;TEXT(($D19-$C19+1)+10,"00"),"")&amp;IF($C19&gt;=12,", "&amp;$A19&amp;"-"&amp;TEXT(($D19-$C19+1)+11,"00"),"")&amp;IF($C19&gt;=13,", "&amp;$A19&amp;"-"&amp;TEXT(($D19-$C19+1)+12,"00"),"")&amp;IF($C19&gt;=14,", "&amp;$A19&amp;"-"&amp;TEXT(($D19-$C19+1)+13,"00"),"")&amp;IF($C19&gt;=15,", "&amp;$A19&amp;"-"&amp;TEXT(($D19-$C19+1)+14,"00"),"")&amp;IF($C19&gt;=16,", "&amp;$A19&amp;"-"&amp;TEXT(($D19-$C19+1)+15,"00"),"")&amp;IF($C19&gt;=17,", "&amp;$A19&amp;"-"&amp;TEXT(($D19-$C19+1)+16,"00"),"")&amp;IF($C19&gt;=18,", "&amp;$A19&amp;"-"&amp;TEXT(($D19-$C19+1)+17,"00"),"")&amp;IF($C19&gt;=19,", "&amp;$A19&amp;"-"&amp;TEXT(($D19-$C19+1)+18,"00"),"")&amp;IF($C19&gt;=20,", "&amp;$A19&amp;"-"&amp;TEXT(($D19-$C19+1)+19,"00"),"")&amp;IF($C19&gt;=21,", "&amp;$A19&amp;"-"&amp;TEXT(($D19-$C19+1)+20,"00"),"")&amp;IF($C19&gt;=22,", "&amp;$A19&amp;"-"&amp;TEXT(($D19-$C19+1)+21,"00"),"")&amp;IF($C19&gt;=23,", "&amp;$A19&amp;"-"&amp;TEXT(($D19-$C19+1)+22,"00"),"")&amp;IF($C19&gt;=24,", "&amp;$A19&amp;"-"&amp;TEXT(($D19-$C19+1)+23,"00"),"")&amp;IF($C19&gt;=25,", "&amp;$A19&amp;"-"&amp;TEXT(($D19-$C19+1)+24,"00"),""))</f>
        <v/>
      </c>
      <c r="G19">
        <f>IF($A19="","",IF($E19=1,$F19,IF($F19="",$G18,IF($G18="",$F19,$G18&amp;", "&amp;$F19))))</f>
        <v/>
      </c>
      <c r="H19">
        <f>IF($A19="","",$A19&amp;" ("&amp;$C19&amp;")")</f>
        <v/>
      </c>
      <c r="I19">
        <f>IF($A19="","",IF($E19=1,$H19,$I18&amp;", "&amp;$H19))</f>
        <v/>
      </c>
      <c r="J19">
        <f>IF($A19="","",IF($E19=1,$B19,""))</f>
        <v/>
      </c>
      <c r="K19">
        <f>IF($A19="","",IF(COUNTIF($B$2:$B19,$B19)=COUNTIF($B$2:$B$1601,$B19),$B19,""))</f>
        <v/>
      </c>
    </row>
    <row r="20">
      <c r="A20">
        <f>IF('TMP Paste'!$E20="","",'TMP Paste'!$E20)</f>
        <v/>
      </c>
      <c r="B20">
        <f>IF($A20="","",COUNTIF('TMP Paste'!$B$2:$B20,"?*"))</f>
        <v/>
      </c>
      <c r="C20">
        <f>IF($A20="","",IFERROR('TMP Paste'!$M20*1,0))</f>
        <v/>
      </c>
      <c r="D20">
        <f>IF($A20="","",SUMIF($B$2:$B20,$B20,$C$2:$C20))</f>
        <v/>
      </c>
      <c r="E20">
        <f>IF($A20="",0,IF('TMP Paste'!$B20="",0,1))</f>
        <v/>
      </c>
      <c r="F20">
        <f>IF(OR($A20="",$C20&lt;1),"",$A20&amp;"-"&amp;TEXT(($D20-$C20+1),"00")&amp;IF($C20&gt;=2,", "&amp;$A20&amp;"-"&amp;TEXT(($D20-$C20+1)+1,"00"),"")&amp;IF($C20&gt;=3,", "&amp;$A20&amp;"-"&amp;TEXT(($D20-$C20+1)+2,"00"),"")&amp;IF($C20&gt;=4,", "&amp;$A20&amp;"-"&amp;TEXT(($D20-$C20+1)+3,"00"),"")&amp;IF($C20&gt;=5,", "&amp;$A20&amp;"-"&amp;TEXT(($D20-$C20+1)+4,"00"),"")&amp;IF($C20&gt;=6,", "&amp;$A20&amp;"-"&amp;TEXT(($D20-$C20+1)+5,"00"),"")&amp;IF($C20&gt;=7,", "&amp;$A20&amp;"-"&amp;TEXT(($D20-$C20+1)+6,"00"),"")&amp;IF($C20&gt;=8,", "&amp;$A20&amp;"-"&amp;TEXT(($D20-$C20+1)+7,"00"),"")&amp;IF($C20&gt;=9,", "&amp;$A20&amp;"-"&amp;TEXT(($D20-$C20+1)+8,"00"),"")&amp;IF($C20&gt;=10,", "&amp;$A20&amp;"-"&amp;TEXT(($D20-$C20+1)+9,"00"),"")&amp;IF($C20&gt;=11,", "&amp;$A20&amp;"-"&amp;TEXT(($D20-$C20+1)+10,"00"),"")&amp;IF($C20&gt;=12,", "&amp;$A20&amp;"-"&amp;TEXT(($D20-$C20+1)+11,"00"),"")&amp;IF($C20&gt;=13,", "&amp;$A20&amp;"-"&amp;TEXT(($D20-$C20+1)+12,"00"),"")&amp;IF($C20&gt;=14,", "&amp;$A20&amp;"-"&amp;TEXT(($D20-$C20+1)+13,"00"),"")&amp;IF($C20&gt;=15,", "&amp;$A20&amp;"-"&amp;TEXT(($D20-$C20+1)+14,"00"),"")&amp;IF($C20&gt;=16,", "&amp;$A20&amp;"-"&amp;TEXT(($D20-$C20+1)+15,"00"),"")&amp;IF($C20&gt;=17,", "&amp;$A20&amp;"-"&amp;TEXT(($D20-$C20+1)+16,"00"),"")&amp;IF($C20&gt;=18,", "&amp;$A20&amp;"-"&amp;TEXT(($D20-$C20+1)+17,"00"),"")&amp;IF($C20&gt;=19,", "&amp;$A20&amp;"-"&amp;TEXT(($D20-$C20+1)+18,"00"),"")&amp;IF($C20&gt;=20,", "&amp;$A20&amp;"-"&amp;TEXT(($D20-$C20+1)+19,"00"),"")&amp;IF($C20&gt;=21,", "&amp;$A20&amp;"-"&amp;TEXT(($D20-$C20+1)+20,"00"),"")&amp;IF($C20&gt;=22,", "&amp;$A20&amp;"-"&amp;TEXT(($D20-$C20+1)+21,"00"),"")&amp;IF($C20&gt;=23,", "&amp;$A20&amp;"-"&amp;TEXT(($D20-$C20+1)+22,"00"),"")&amp;IF($C20&gt;=24,", "&amp;$A20&amp;"-"&amp;TEXT(($D20-$C20+1)+23,"00"),"")&amp;IF($C20&gt;=25,", "&amp;$A20&amp;"-"&amp;TEXT(($D20-$C20+1)+24,"00"),""))</f>
        <v/>
      </c>
      <c r="G20">
        <f>IF($A20="","",IF($E20=1,$F20,IF($F20="",$G19,IF($G19="",$F20,$G19&amp;", "&amp;$F20))))</f>
        <v/>
      </c>
      <c r="H20">
        <f>IF($A20="","",$A20&amp;" ("&amp;$C20&amp;")")</f>
        <v/>
      </c>
      <c r="I20">
        <f>IF($A20="","",IF($E20=1,$H20,$I19&amp;", "&amp;$H20))</f>
        <v/>
      </c>
      <c r="J20">
        <f>IF($A20="","",IF($E20=1,$B20,""))</f>
        <v/>
      </c>
      <c r="K20">
        <f>IF($A20="","",IF(COUNTIF($B$2:$B20,$B20)=COUNTIF($B$2:$B$1601,$B20),$B20,""))</f>
        <v/>
      </c>
    </row>
    <row r="21">
      <c r="A21">
        <f>IF('TMP Paste'!$E21="","",'TMP Paste'!$E21)</f>
        <v/>
      </c>
      <c r="B21">
        <f>IF($A21="","",COUNTIF('TMP Paste'!$B$2:$B21,"?*"))</f>
        <v/>
      </c>
      <c r="C21">
        <f>IF($A21="","",IFERROR('TMP Paste'!$M21*1,0))</f>
        <v/>
      </c>
      <c r="D21">
        <f>IF($A21="","",SUMIF($B$2:$B21,$B21,$C$2:$C21))</f>
        <v/>
      </c>
      <c r="E21">
        <f>IF($A21="",0,IF('TMP Paste'!$B21="",0,1))</f>
        <v/>
      </c>
      <c r="F21">
        <f>IF(OR($A21="",$C21&lt;1),"",$A21&amp;"-"&amp;TEXT(($D21-$C21+1),"00")&amp;IF($C21&gt;=2,", "&amp;$A21&amp;"-"&amp;TEXT(($D21-$C21+1)+1,"00"),"")&amp;IF($C21&gt;=3,", "&amp;$A21&amp;"-"&amp;TEXT(($D21-$C21+1)+2,"00"),"")&amp;IF($C21&gt;=4,", "&amp;$A21&amp;"-"&amp;TEXT(($D21-$C21+1)+3,"00"),"")&amp;IF($C21&gt;=5,", "&amp;$A21&amp;"-"&amp;TEXT(($D21-$C21+1)+4,"00"),"")&amp;IF($C21&gt;=6,", "&amp;$A21&amp;"-"&amp;TEXT(($D21-$C21+1)+5,"00"),"")&amp;IF($C21&gt;=7,", "&amp;$A21&amp;"-"&amp;TEXT(($D21-$C21+1)+6,"00"),"")&amp;IF($C21&gt;=8,", "&amp;$A21&amp;"-"&amp;TEXT(($D21-$C21+1)+7,"00"),"")&amp;IF($C21&gt;=9,", "&amp;$A21&amp;"-"&amp;TEXT(($D21-$C21+1)+8,"00"),"")&amp;IF($C21&gt;=10,", "&amp;$A21&amp;"-"&amp;TEXT(($D21-$C21+1)+9,"00"),"")&amp;IF($C21&gt;=11,", "&amp;$A21&amp;"-"&amp;TEXT(($D21-$C21+1)+10,"00"),"")&amp;IF($C21&gt;=12,", "&amp;$A21&amp;"-"&amp;TEXT(($D21-$C21+1)+11,"00"),"")&amp;IF($C21&gt;=13,", "&amp;$A21&amp;"-"&amp;TEXT(($D21-$C21+1)+12,"00"),"")&amp;IF($C21&gt;=14,", "&amp;$A21&amp;"-"&amp;TEXT(($D21-$C21+1)+13,"00"),"")&amp;IF($C21&gt;=15,", "&amp;$A21&amp;"-"&amp;TEXT(($D21-$C21+1)+14,"00"),"")&amp;IF($C21&gt;=16,", "&amp;$A21&amp;"-"&amp;TEXT(($D21-$C21+1)+15,"00"),"")&amp;IF($C21&gt;=17,", "&amp;$A21&amp;"-"&amp;TEXT(($D21-$C21+1)+16,"00"),"")&amp;IF($C21&gt;=18,", "&amp;$A21&amp;"-"&amp;TEXT(($D21-$C21+1)+17,"00"),"")&amp;IF($C21&gt;=19,", "&amp;$A21&amp;"-"&amp;TEXT(($D21-$C21+1)+18,"00"),"")&amp;IF($C21&gt;=20,", "&amp;$A21&amp;"-"&amp;TEXT(($D21-$C21+1)+19,"00"),"")&amp;IF($C21&gt;=21,", "&amp;$A21&amp;"-"&amp;TEXT(($D21-$C21+1)+20,"00"),"")&amp;IF($C21&gt;=22,", "&amp;$A21&amp;"-"&amp;TEXT(($D21-$C21+1)+21,"00"),"")&amp;IF($C21&gt;=23,", "&amp;$A21&amp;"-"&amp;TEXT(($D21-$C21+1)+22,"00"),"")&amp;IF($C21&gt;=24,", "&amp;$A21&amp;"-"&amp;TEXT(($D21-$C21+1)+23,"00"),"")&amp;IF($C21&gt;=25,", "&amp;$A21&amp;"-"&amp;TEXT(($D21-$C21+1)+24,"00"),""))</f>
        <v/>
      </c>
      <c r="G21">
        <f>IF($A21="","",IF($E21=1,$F21,IF($F21="",$G20,IF($G20="",$F21,$G20&amp;", "&amp;$F21))))</f>
        <v/>
      </c>
      <c r="H21">
        <f>IF($A21="","",$A21&amp;" ("&amp;$C21&amp;")")</f>
        <v/>
      </c>
      <c r="I21">
        <f>IF($A21="","",IF($E21=1,$H21,$I20&amp;", "&amp;$H21))</f>
        <v/>
      </c>
      <c r="J21">
        <f>IF($A21="","",IF($E21=1,$B21,""))</f>
        <v/>
      </c>
      <c r="K21">
        <f>IF($A21="","",IF(COUNTIF($B$2:$B21,$B21)=COUNTIF($B$2:$B$1601,$B21),$B21,""))</f>
        <v/>
      </c>
    </row>
    <row r="22">
      <c r="A22">
        <f>IF('TMP Paste'!$E22="","",'TMP Paste'!$E22)</f>
        <v/>
      </c>
      <c r="B22">
        <f>IF($A22="","",COUNTIF('TMP Paste'!$B$2:$B22,"?*"))</f>
        <v/>
      </c>
      <c r="C22">
        <f>IF($A22="","",IFERROR('TMP Paste'!$M22*1,0))</f>
        <v/>
      </c>
      <c r="D22">
        <f>IF($A22="","",SUMIF($B$2:$B22,$B22,$C$2:$C22))</f>
        <v/>
      </c>
      <c r="E22">
        <f>IF($A22="",0,IF('TMP Paste'!$B22="",0,1))</f>
        <v/>
      </c>
      <c r="F22">
        <f>IF(OR($A22="",$C22&lt;1),"",$A22&amp;"-"&amp;TEXT(($D22-$C22+1),"00")&amp;IF($C22&gt;=2,", "&amp;$A22&amp;"-"&amp;TEXT(($D22-$C22+1)+1,"00"),"")&amp;IF($C22&gt;=3,", "&amp;$A22&amp;"-"&amp;TEXT(($D22-$C22+1)+2,"00"),"")&amp;IF($C22&gt;=4,", "&amp;$A22&amp;"-"&amp;TEXT(($D22-$C22+1)+3,"00"),"")&amp;IF($C22&gt;=5,", "&amp;$A22&amp;"-"&amp;TEXT(($D22-$C22+1)+4,"00"),"")&amp;IF($C22&gt;=6,", "&amp;$A22&amp;"-"&amp;TEXT(($D22-$C22+1)+5,"00"),"")&amp;IF($C22&gt;=7,", "&amp;$A22&amp;"-"&amp;TEXT(($D22-$C22+1)+6,"00"),"")&amp;IF($C22&gt;=8,", "&amp;$A22&amp;"-"&amp;TEXT(($D22-$C22+1)+7,"00"),"")&amp;IF($C22&gt;=9,", "&amp;$A22&amp;"-"&amp;TEXT(($D22-$C22+1)+8,"00"),"")&amp;IF($C22&gt;=10,", "&amp;$A22&amp;"-"&amp;TEXT(($D22-$C22+1)+9,"00"),"")&amp;IF($C22&gt;=11,", "&amp;$A22&amp;"-"&amp;TEXT(($D22-$C22+1)+10,"00"),"")&amp;IF($C22&gt;=12,", "&amp;$A22&amp;"-"&amp;TEXT(($D22-$C22+1)+11,"00"),"")&amp;IF($C22&gt;=13,", "&amp;$A22&amp;"-"&amp;TEXT(($D22-$C22+1)+12,"00"),"")&amp;IF($C22&gt;=14,", "&amp;$A22&amp;"-"&amp;TEXT(($D22-$C22+1)+13,"00"),"")&amp;IF($C22&gt;=15,", "&amp;$A22&amp;"-"&amp;TEXT(($D22-$C22+1)+14,"00"),"")&amp;IF($C22&gt;=16,", "&amp;$A22&amp;"-"&amp;TEXT(($D22-$C22+1)+15,"00"),"")&amp;IF($C22&gt;=17,", "&amp;$A22&amp;"-"&amp;TEXT(($D22-$C22+1)+16,"00"),"")&amp;IF($C22&gt;=18,", "&amp;$A22&amp;"-"&amp;TEXT(($D22-$C22+1)+17,"00"),"")&amp;IF($C22&gt;=19,", "&amp;$A22&amp;"-"&amp;TEXT(($D22-$C22+1)+18,"00"),"")&amp;IF($C22&gt;=20,", "&amp;$A22&amp;"-"&amp;TEXT(($D22-$C22+1)+19,"00"),"")&amp;IF($C22&gt;=21,", "&amp;$A22&amp;"-"&amp;TEXT(($D22-$C22+1)+20,"00"),"")&amp;IF($C22&gt;=22,", "&amp;$A22&amp;"-"&amp;TEXT(($D22-$C22+1)+21,"00"),"")&amp;IF($C22&gt;=23,", "&amp;$A22&amp;"-"&amp;TEXT(($D22-$C22+1)+22,"00"),"")&amp;IF($C22&gt;=24,", "&amp;$A22&amp;"-"&amp;TEXT(($D22-$C22+1)+23,"00"),"")&amp;IF($C22&gt;=25,", "&amp;$A22&amp;"-"&amp;TEXT(($D22-$C22+1)+24,"00"),""))</f>
        <v/>
      </c>
      <c r="G22">
        <f>IF($A22="","",IF($E22=1,$F22,IF($F22="",$G21,IF($G21="",$F22,$G21&amp;", "&amp;$F22))))</f>
        <v/>
      </c>
      <c r="H22">
        <f>IF($A22="","",$A22&amp;" ("&amp;$C22&amp;")")</f>
        <v/>
      </c>
      <c r="I22">
        <f>IF($A22="","",IF($E22=1,$H22,$I21&amp;", "&amp;$H22))</f>
        <v/>
      </c>
      <c r="J22">
        <f>IF($A22="","",IF($E22=1,$B22,""))</f>
        <v/>
      </c>
      <c r="K22">
        <f>IF($A22="","",IF(COUNTIF($B$2:$B22,$B22)=COUNTIF($B$2:$B$1601,$B22),$B22,""))</f>
        <v/>
      </c>
    </row>
    <row r="23">
      <c r="A23">
        <f>IF('TMP Paste'!$E23="","",'TMP Paste'!$E23)</f>
        <v/>
      </c>
      <c r="B23">
        <f>IF($A23="","",COUNTIF('TMP Paste'!$B$2:$B23,"?*"))</f>
        <v/>
      </c>
      <c r="C23">
        <f>IF($A23="","",IFERROR('TMP Paste'!$M23*1,0))</f>
        <v/>
      </c>
      <c r="D23">
        <f>IF($A23="","",SUMIF($B$2:$B23,$B23,$C$2:$C23))</f>
        <v/>
      </c>
      <c r="E23">
        <f>IF($A23="",0,IF('TMP Paste'!$B23="",0,1))</f>
        <v/>
      </c>
      <c r="F23">
        <f>IF(OR($A23="",$C23&lt;1),"",$A23&amp;"-"&amp;TEXT(($D23-$C23+1),"00")&amp;IF($C23&gt;=2,", "&amp;$A23&amp;"-"&amp;TEXT(($D23-$C23+1)+1,"00"),"")&amp;IF($C23&gt;=3,", "&amp;$A23&amp;"-"&amp;TEXT(($D23-$C23+1)+2,"00"),"")&amp;IF($C23&gt;=4,", "&amp;$A23&amp;"-"&amp;TEXT(($D23-$C23+1)+3,"00"),"")&amp;IF($C23&gt;=5,", "&amp;$A23&amp;"-"&amp;TEXT(($D23-$C23+1)+4,"00"),"")&amp;IF($C23&gt;=6,", "&amp;$A23&amp;"-"&amp;TEXT(($D23-$C23+1)+5,"00"),"")&amp;IF($C23&gt;=7,", "&amp;$A23&amp;"-"&amp;TEXT(($D23-$C23+1)+6,"00"),"")&amp;IF($C23&gt;=8,", "&amp;$A23&amp;"-"&amp;TEXT(($D23-$C23+1)+7,"00"),"")&amp;IF($C23&gt;=9,", "&amp;$A23&amp;"-"&amp;TEXT(($D23-$C23+1)+8,"00"),"")&amp;IF($C23&gt;=10,", "&amp;$A23&amp;"-"&amp;TEXT(($D23-$C23+1)+9,"00"),"")&amp;IF($C23&gt;=11,", "&amp;$A23&amp;"-"&amp;TEXT(($D23-$C23+1)+10,"00"),"")&amp;IF($C23&gt;=12,", "&amp;$A23&amp;"-"&amp;TEXT(($D23-$C23+1)+11,"00"),"")&amp;IF($C23&gt;=13,", "&amp;$A23&amp;"-"&amp;TEXT(($D23-$C23+1)+12,"00"),"")&amp;IF($C23&gt;=14,", "&amp;$A23&amp;"-"&amp;TEXT(($D23-$C23+1)+13,"00"),"")&amp;IF($C23&gt;=15,", "&amp;$A23&amp;"-"&amp;TEXT(($D23-$C23+1)+14,"00"),"")&amp;IF($C23&gt;=16,", "&amp;$A23&amp;"-"&amp;TEXT(($D23-$C23+1)+15,"00"),"")&amp;IF($C23&gt;=17,", "&amp;$A23&amp;"-"&amp;TEXT(($D23-$C23+1)+16,"00"),"")&amp;IF($C23&gt;=18,", "&amp;$A23&amp;"-"&amp;TEXT(($D23-$C23+1)+17,"00"),"")&amp;IF($C23&gt;=19,", "&amp;$A23&amp;"-"&amp;TEXT(($D23-$C23+1)+18,"00"),"")&amp;IF($C23&gt;=20,", "&amp;$A23&amp;"-"&amp;TEXT(($D23-$C23+1)+19,"00"),"")&amp;IF($C23&gt;=21,", "&amp;$A23&amp;"-"&amp;TEXT(($D23-$C23+1)+20,"00"),"")&amp;IF($C23&gt;=22,", "&amp;$A23&amp;"-"&amp;TEXT(($D23-$C23+1)+21,"00"),"")&amp;IF($C23&gt;=23,", "&amp;$A23&amp;"-"&amp;TEXT(($D23-$C23+1)+22,"00"),"")&amp;IF($C23&gt;=24,", "&amp;$A23&amp;"-"&amp;TEXT(($D23-$C23+1)+23,"00"),"")&amp;IF($C23&gt;=25,", "&amp;$A23&amp;"-"&amp;TEXT(($D23-$C23+1)+24,"00"),""))</f>
        <v/>
      </c>
      <c r="G23">
        <f>IF($A23="","",IF($E23=1,$F23,IF($F23="",$G22,IF($G22="",$F23,$G22&amp;", "&amp;$F23))))</f>
        <v/>
      </c>
      <c r="H23">
        <f>IF($A23="","",$A23&amp;" ("&amp;$C23&amp;")")</f>
        <v/>
      </c>
      <c r="I23">
        <f>IF($A23="","",IF($E23=1,$H23,$I22&amp;", "&amp;$H23))</f>
        <v/>
      </c>
      <c r="J23">
        <f>IF($A23="","",IF($E23=1,$B23,""))</f>
        <v/>
      </c>
      <c r="K23">
        <f>IF($A23="","",IF(COUNTIF($B$2:$B23,$B23)=COUNTIF($B$2:$B$1601,$B23),$B23,""))</f>
        <v/>
      </c>
    </row>
    <row r="24">
      <c r="A24">
        <f>IF('TMP Paste'!$E24="","",'TMP Paste'!$E24)</f>
        <v/>
      </c>
      <c r="B24">
        <f>IF($A24="","",COUNTIF('TMP Paste'!$B$2:$B24,"?*"))</f>
        <v/>
      </c>
      <c r="C24">
        <f>IF($A24="","",IFERROR('TMP Paste'!$M24*1,0))</f>
        <v/>
      </c>
      <c r="D24">
        <f>IF($A24="","",SUMIF($B$2:$B24,$B24,$C$2:$C24))</f>
        <v/>
      </c>
      <c r="E24">
        <f>IF($A24="",0,IF('TMP Paste'!$B24="",0,1))</f>
        <v/>
      </c>
      <c r="F24">
        <f>IF(OR($A24="",$C24&lt;1),"",$A24&amp;"-"&amp;TEXT(($D24-$C24+1),"00")&amp;IF($C24&gt;=2,", "&amp;$A24&amp;"-"&amp;TEXT(($D24-$C24+1)+1,"00"),"")&amp;IF($C24&gt;=3,", "&amp;$A24&amp;"-"&amp;TEXT(($D24-$C24+1)+2,"00"),"")&amp;IF($C24&gt;=4,", "&amp;$A24&amp;"-"&amp;TEXT(($D24-$C24+1)+3,"00"),"")&amp;IF($C24&gt;=5,", "&amp;$A24&amp;"-"&amp;TEXT(($D24-$C24+1)+4,"00"),"")&amp;IF($C24&gt;=6,", "&amp;$A24&amp;"-"&amp;TEXT(($D24-$C24+1)+5,"00"),"")&amp;IF($C24&gt;=7,", "&amp;$A24&amp;"-"&amp;TEXT(($D24-$C24+1)+6,"00"),"")&amp;IF($C24&gt;=8,", "&amp;$A24&amp;"-"&amp;TEXT(($D24-$C24+1)+7,"00"),"")&amp;IF($C24&gt;=9,", "&amp;$A24&amp;"-"&amp;TEXT(($D24-$C24+1)+8,"00"),"")&amp;IF($C24&gt;=10,", "&amp;$A24&amp;"-"&amp;TEXT(($D24-$C24+1)+9,"00"),"")&amp;IF($C24&gt;=11,", "&amp;$A24&amp;"-"&amp;TEXT(($D24-$C24+1)+10,"00"),"")&amp;IF($C24&gt;=12,", "&amp;$A24&amp;"-"&amp;TEXT(($D24-$C24+1)+11,"00"),"")&amp;IF($C24&gt;=13,", "&amp;$A24&amp;"-"&amp;TEXT(($D24-$C24+1)+12,"00"),"")&amp;IF($C24&gt;=14,", "&amp;$A24&amp;"-"&amp;TEXT(($D24-$C24+1)+13,"00"),"")&amp;IF($C24&gt;=15,", "&amp;$A24&amp;"-"&amp;TEXT(($D24-$C24+1)+14,"00"),"")&amp;IF($C24&gt;=16,", "&amp;$A24&amp;"-"&amp;TEXT(($D24-$C24+1)+15,"00"),"")&amp;IF($C24&gt;=17,", "&amp;$A24&amp;"-"&amp;TEXT(($D24-$C24+1)+16,"00"),"")&amp;IF($C24&gt;=18,", "&amp;$A24&amp;"-"&amp;TEXT(($D24-$C24+1)+17,"00"),"")&amp;IF($C24&gt;=19,", "&amp;$A24&amp;"-"&amp;TEXT(($D24-$C24+1)+18,"00"),"")&amp;IF($C24&gt;=20,", "&amp;$A24&amp;"-"&amp;TEXT(($D24-$C24+1)+19,"00"),"")&amp;IF($C24&gt;=21,", "&amp;$A24&amp;"-"&amp;TEXT(($D24-$C24+1)+20,"00"),"")&amp;IF($C24&gt;=22,", "&amp;$A24&amp;"-"&amp;TEXT(($D24-$C24+1)+21,"00"),"")&amp;IF($C24&gt;=23,", "&amp;$A24&amp;"-"&amp;TEXT(($D24-$C24+1)+22,"00"),"")&amp;IF($C24&gt;=24,", "&amp;$A24&amp;"-"&amp;TEXT(($D24-$C24+1)+23,"00"),"")&amp;IF($C24&gt;=25,", "&amp;$A24&amp;"-"&amp;TEXT(($D24-$C24+1)+24,"00"),""))</f>
        <v/>
      </c>
      <c r="G24">
        <f>IF($A24="","",IF($E24=1,$F24,IF($F24="",$G23,IF($G23="",$F24,$G23&amp;", "&amp;$F24))))</f>
        <v/>
      </c>
      <c r="H24">
        <f>IF($A24="","",$A24&amp;" ("&amp;$C24&amp;")")</f>
        <v/>
      </c>
      <c r="I24">
        <f>IF($A24="","",IF($E24=1,$H24,$I23&amp;", "&amp;$H24))</f>
        <v/>
      </c>
      <c r="J24">
        <f>IF($A24="","",IF($E24=1,$B24,""))</f>
        <v/>
      </c>
      <c r="K24">
        <f>IF($A24="","",IF(COUNTIF($B$2:$B24,$B24)=COUNTIF($B$2:$B$1601,$B24),$B24,""))</f>
        <v/>
      </c>
    </row>
    <row r="25">
      <c r="A25">
        <f>IF('TMP Paste'!$E25="","",'TMP Paste'!$E25)</f>
        <v/>
      </c>
      <c r="B25">
        <f>IF($A25="","",COUNTIF('TMP Paste'!$B$2:$B25,"?*"))</f>
        <v/>
      </c>
      <c r="C25">
        <f>IF($A25="","",IFERROR('TMP Paste'!$M25*1,0))</f>
        <v/>
      </c>
      <c r="D25">
        <f>IF($A25="","",SUMIF($B$2:$B25,$B25,$C$2:$C25))</f>
        <v/>
      </c>
      <c r="E25">
        <f>IF($A25="",0,IF('TMP Paste'!$B25="",0,1))</f>
        <v/>
      </c>
      <c r="F25">
        <f>IF(OR($A25="",$C25&lt;1),"",$A25&amp;"-"&amp;TEXT(($D25-$C25+1),"00")&amp;IF($C25&gt;=2,", "&amp;$A25&amp;"-"&amp;TEXT(($D25-$C25+1)+1,"00"),"")&amp;IF($C25&gt;=3,", "&amp;$A25&amp;"-"&amp;TEXT(($D25-$C25+1)+2,"00"),"")&amp;IF($C25&gt;=4,", "&amp;$A25&amp;"-"&amp;TEXT(($D25-$C25+1)+3,"00"),"")&amp;IF($C25&gt;=5,", "&amp;$A25&amp;"-"&amp;TEXT(($D25-$C25+1)+4,"00"),"")&amp;IF($C25&gt;=6,", "&amp;$A25&amp;"-"&amp;TEXT(($D25-$C25+1)+5,"00"),"")&amp;IF($C25&gt;=7,", "&amp;$A25&amp;"-"&amp;TEXT(($D25-$C25+1)+6,"00"),"")&amp;IF($C25&gt;=8,", "&amp;$A25&amp;"-"&amp;TEXT(($D25-$C25+1)+7,"00"),"")&amp;IF($C25&gt;=9,", "&amp;$A25&amp;"-"&amp;TEXT(($D25-$C25+1)+8,"00"),"")&amp;IF($C25&gt;=10,", "&amp;$A25&amp;"-"&amp;TEXT(($D25-$C25+1)+9,"00"),"")&amp;IF($C25&gt;=11,", "&amp;$A25&amp;"-"&amp;TEXT(($D25-$C25+1)+10,"00"),"")&amp;IF($C25&gt;=12,", "&amp;$A25&amp;"-"&amp;TEXT(($D25-$C25+1)+11,"00"),"")&amp;IF($C25&gt;=13,", "&amp;$A25&amp;"-"&amp;TEXT(($D25-$C25+1)+12,"00"),"")&amp;IF($C25&gt;=14,", "&amp;$A25&amp;"-"&amp;TEXT(($D25-$C25+1)+13,"00"),"")&amp;IF($C25&gt;=15,", "&amp;$A25&amp;"-"&amp;TEXT(($D25-$C25+1)+14,"00"),"")&amp;IF($C25&gt;=16,", "&amp;$A25&amp;"-"&amp;TEXT(($D25-$C25+1)+15,"00"),"")&amp;IF($C25&gt;=17,", "&amp;$A25&amp;"-"&amp;TEXT(($D25-$C25+1)+16,"00"),"")&amp;IF($C25&gt;=18,", "&amp;$A25&amp;"-"&amp;TEXT(($D25-$C25+1)+17,"00"),"")&amp;IF($C25&gt;=19,", "&amp;$A25&amp;"-"&amp;TEXT(($D25-$C25+1)+18,"00"),"")&amp;IF($C25&gt;=20,", "&amp;$A25&amp;"-"&amp;TEXT(($D25-$C25+1)+19,"00"),"")&amp;IF($C25&gt;=21,", "&amp;$A25&amp;"-"&amp;TEXT(($D25-$C25+1)+20,"00"),"")&amp;IF($C25&gt;=22,", "&amp;$A25&amp;"-"&amp;TEXT(($D25-$C25+1)+21,"00"),"")&amp;IF($C25&gt;=23,", "&amp;$A25&amp;"-"&amp;TEXT(($D25-$C25+1)+22,"00"),"")&amp;IF($C25&gt;=24,", "&amp;$A25&amp;"-"&amp;TEXT(($D25-$C25+1)+23,"00"),"")&amp;IF($C25&gt;=25,", "&amp;$A25&amp;"-"&amp;TEXT(($D25-$C25+1)+24,"00"),""))</f>
        <v/>
      </c>
      <c r="G25">
        <f>IF($A25="","",IF($E25=1,$F25,IF($F25="",$G24,IF($G24="",$F25,$G24&amp;", "&amp;$F25))))</f>
        <v/>
      </c>
      <c r="H25">
        <f>IF($A25="","",$A25&amp;" ("&amp;$C25&amp;")")</f>
        <v/>
      </c>
      <c r="I25">
        <f>IF($A25="","",IF($E25=1,$H25,$I24&amp;", "&amp;$H25))</f>
        <v/>
      </c>
      <c r="J25">
        <f>IF($A25="","",IF($E25=1,$B25,""))</f>
        <v/>
      </c>
      <c r="K25">
        <f>IF($A25="","",IF(COUNTIF($B$2:$B25,$B25)=COUNTIF($B$2:$B$1601,$B25),$B25,""))</f>
        <v/>
      </c>
    </row>
    <row r="26">
      <c r="A26">
        <f>IF('TMP Paste'!$E26="","",'TMP Paste'!$E26)</f>
        <v/>
      </c>
      <c r="B26">
        <f>IF($A26="","",COUNTIF('TMP Paste'!$B$2:$B26,"?*"))</f>
        <v/>
      </c>
      <c r="C26">
        <f>IF($A26="","",IFERROR('TMP Paste'!$M26*1,0))</f>
        <v/>
      </c>
      <c r="D26">
        <f>IF($A26="","",SUMIF($B$2:$B26,$B26,$C$2:$C26))</f>
        <v/>
      </c>
      <c r="E26">
        <f>IF($A26="",0,IF('TMP Paste'!$B26="",0,1))</f>
        <v/>
      </c>
      <c r="F26">
        <f>IF(OR($A26="",$C26&lt;1),"",$A26&amp;"-"&amp;TEXT(($D26-$C26+1),"00")&amp;IF($C26&gt;=2,", "&amp;$A26&amp;"-"&amp;TEXT(($D26-$C26+1)+1,"00"),"")&amp;IF($C26&gt;=3,", "&amp;$A26&amp;"-"&amp;TEXT(($D26-$C26+1)+2,"00"),"")&amp;IF($C26&gt;=4,", "&amp;$A26&amp;"-"&amp;TEXT(($D26-$C26+1)+3,"00"),"")&amp;IF($C26&gt;=5,", "&amp;$A26&amp;"-"&amp;TEXT(($D26-$C26+1)+4,"00"),"")&amp;IF($C26&gt;=6,", "&amp;$A26&amp;"-"&amp;TEXT(($D26-$C26+1)+5,"00"),"")&amp;IF($C26&gt;=7,", "&amp;$A26&amp;"-"&amp;TEXT(($D26-$C26+1)+6,"00"),"")&amp;IF($C26&gt;=8,", "&amp;$A26&amp;"-"&amp;TEXT(($D26-$C26+1)+7,"00"),"")&amp;IF($C26&gt;=9,", "&amp;$A26&amp;"-"&amp;TEXT(($D26-$C26+1)+8,"00"),"")&amp;IF($C26&gt;=10,", "&amp;$A26&amp;"-"&amp;TEXT(($D26-$C26+1)+9,"00"),"")&amp;IF($C26&gt;=11,", "&amp;$A26&amp;"-"&amp;TEXT(($D26-$C26+1)+10,"00"),"")&amp;IF($C26&gt;=12,", "&amp;$A26&amp;"-"&amp;TEXT(($D26-$C26+1)+11,"00"),"")&amp;IF($C26&gt;=13,", "&amp;$A26&amp;"-"&amp;TEXT(($D26-$C26+1)+12,"00"),"")&amp;IF($C26&gt;=14,", "&amp;$A26&amp;"-"&amp;TEXT(($D26-$C26+1)+13,"00"),"")&amp;IF($C26&gt;=15,", "&amp;$A26&amp;"-"&amp;TEXT(($D26-$C26+1)+14,"00"),"")&amp;IF($C26&gt;=16,", "&amp;$A26&amp;"-"&amp;TEXT(($D26-$C26+1)+15,"00"),"")&amp;IF($C26&gt;=17,", "&amp;$A26&amp;"-"&amp;TEXT(($D26-$C26+1)+16,"00"),"")&amp;IF($C26&gt;=18,", "&amp;$A26&amp;"-"&amp;TEXT(($D26-$C26+1)+17,"00"),"")&amp;IF($C26&gt;=19,", "&amp;$A26&amp;"-"&amp;TEXT(($D26-$C26+1)+18,"00"),"")&amp;IF($C26&gt;=20,", "&amp;$A26&amp;"-"&amp;TEXT(($D26-$C26+1)+19,"00"),"")&amp;IF($C26&gt;=21,", "&amp;$A26&amp;"-"&amp;TEXT(($D26-$C26+1)+20,"00"),"")&amp;IF($C26&gt;=22,", "&amp;$A26&amp;"-"&amp;TEXT(($D26-$C26+1)+21,"00"),"")&amp;IF($C26&gt;=23,", "&amp;$A26&amp;"-"&amp;TEXT(($D26-$C26+1)+22,"00"),"")&amp;IF($C26&gt;=24,", "&amp;$A26&amp;"-"&amp;TEXT(($D26-$C26+1)+23,"00"),"")&amp;IF($C26&gt;=25,", "&amp;$A26&amp;"-"&amp;TEXT(($D26-$C26+1)+24,"00"),""))</f>
        <v/>
      </c>
      <c r="G26">
        <f>IF($A26="","",IF($E26=1,$F26,IF($F26="",$G25,IF($G25="",$F26,$G25&amp;", "&amp;$F26))))</f>
        <v/>
      </c>
      <c r="H26">
        <f>IF($A26="","",$A26&amp;" ("&amp;$C26&amp;")")</f>
        <v/>
      </c>
      <c r="I26">
        <f>IF($A26="","",IF($E26=1,$H26,$I25&amp;", "&amp;$H26))</f>
        <v/>
      </c>
      <c r="J26">
        <f>IF($A26="","",IF($E26=1,$B26,""))</f>
        <v/>
      </c>
      <c r="K26">
        <f>IF($A26="","",IF(COUNTIF($B$2:$B26,$B26)=COUNTIF($B$2:$B$1601,$B26),$B26,""))</f>
        <v/>
      </c>
    </row>
    <row r="27">
      <c r="A27">
        <f>IF('TMP Paste'!$E27="","",'TMP Paste'!$E27)</f>
        <v/>
      </c>
      <c r="B27">
        <f>IF($A27="","",COUNTIF('TMP Paste'!$B$2:$B27,"?*"))</f>
        <v/>
      </c>
      <c r="C27">
        <f>IF($A27="","",IFERROR('TMP Paste'!$M27*1,0))</f>
        <v/>
      </c>
      <c r="D27">
        <f>IF($A27="","",SUMIF($B$2:$B27,$B27,$C$2:$C27))</f>
        <v/>
      </c>
      <c r="E27">
        <f>IF($A27="",0,IF('TMP Paste'!$B27="",0,1))</f>
        <v/>
      </c>
      <c r="F27">
        <f>IF(OR($A27="",$C27&lt;1),"",$A27&amp;"-"&amp;TEXT(($D27-$C27+1),"00")&amp;IF($C27&gt;=2,", "&amp;$A27&amp;"-"&amp;TEXT(($D27-$C27+1)+1,"00"),"")&amp;IF($C27&gt;=3,", "&amp;$A27&amp;"-"&amp;TEXT(($D27-$C27+1)+2,"00"),"")&amp;IF($C27&gt;=4,", "&amp;$A27&amp;"-"&amp;TEXT(($D27-$C27+1)+3,"00"),"")&amp;IF($C27&gt;=5,", "&amp;$A27&amp;"-"&amp;TEXT(($D27-$C27+1)+4,"00"),"")&amp;IF($C27&gt;=6,", "&amp;$A27&amp;"-"&amp;TEXT(($D27-$C27+1)+5,"00"),"")&amp;IF($C27&gt;=7,", "&amp;$A27&amp;"-"&amp;TEXT(($D27-$C27+1)+6,"00"),"")&amp;IF($C27&gt;=8,", "&amp;$A27&amp;"-"&amp;TEXT(($D27-$C27+1)+7,"00"),"")&amp;IF($C27&gt;=9,", "&amp;$A27&amp;"-"&amp;TEXT(($D27-$C27+1)+8,"00"),"")&amp;IF($C27&gt;=10,", "&amp;$A27&amp;"-"&amp;TEXT(($D27-$C27+1)+9,"00"),"")&amp;IF($C27&gt;=11,", "&amp;$A27&amp;"-"&amp;TEXT(($D27-$C27+1)+10,"00"),"")&amp;IF($C27&gt;=12,", "&amp;$A27&amp;"-"&amp;TEXT(($D27-$C27+1)+11,"00"),"")&amp;IF($C27&gt;=13,", "&amp;$A27&amp;"-"&amp;TEXT(($D27-$C27+1)+12,"00"),"")&amp;IF($C27&gt;=14,", "&amp;$A27&amp;"-"&amp;TEXT(($D27-$C27+1)+13,"00"),"")&amp;IF($C27&gt;=15,", "&amp;$A27&amp;"-"&amp;TEXT(($D27-$C27+1)+14,"00"),"")&amp;IF($C27&gt;=16,", "&amp;$A27&amp;"-"&amp;TEXT(($D27-$C27+1)+15,"00"),"")&amp;IF($C27&gt;=17,", "&amp;$A27&amp;"-"&amp;TEXT(($D27-$C27+1)+16,"00"),"")&amp;IF($C27&gt;=18,", "&amp;$A27&amp;"-"&amp;TEXT(($D27-$C27+1)+17,"00"),"")&amp;IF($C27&gt;=19,", "&amp;$A27&amp;"-"&amp;TEXT(($D27-$C27+1)+18,"00"),"")&amp;IF($C27&gt;=20,", "&amp;$A27&amp;"-"&amp;TEXT(($D27-$C27+1)+19,"00"),"")&amp;IF($C27&gt;=21,", "&amp;$A27&amp;"-"&amp;TEXT(($D27-$C27+1)+20,"00"),"")&amp;IF($C27&gt;=22,", "&amp;$A27&amp;"-"&amp;TEXT(($D27-$C27+1)+21,"00"),"")&amp;IF($C27&gt;=23,", "&amp;$A27&amp;"-"&amp;TEXT(($D27-$C27+1)+22,"00"),"")&amp;IF($C27&gt;=24,", "&amp;$A27&amp;"-"&amp;TEXT(($D27-$C27+1)+23,"00"),"")&amp;IF($C27&gt;=25,", "&amp;$A27&amp;"-"&amp;TEXT(($D27-$C27+1)+24,"00"),""))</f>
        <v/>
      </c>
      <c r="G27">
        <f>IF($A27="","",IF($E27=1,$F27,IF($F27="",$G26,IF($G26="",$F27,$G26&amp;", "&amp;$F27))))</f>
        <v/>
      </c>
      <c r="H27">
        <f>IF($A27="","",$A27&amp;" ("&amp;$C27&amp;")")</f>
        <v/>
      </c>
      <c r="I27">
        <f>IF($A27="","",IF($E27=1,$H27,$I26&amp;", "&amp;$H27))</f>
        <v/>
      </c>
      <c r="J27">
        <f>IF($A27="","",IF($E27=1,$B27,""))</f>
        <v/>
      </c>
      <c r="K27">
        <f>IF($A27="","",IF(COUNTIF($B$2:$B27,$B27)=COUNTIF($B$2:$B$1601,$B27),$B27,""))</f>
        <v/>
      </c>
    </row>
    <row r="28">
      <c r="A28">
        <f>IF('TMP Paste'!$E28="","",'TMP Paste'!$E28)</f>
        <v/>
      </c>
      <c r="B28">
        <f>IF($A28="","",COUNTIF('TMP Paste'!$B$2:$B28,"?*"))</f>
        <v/>
      </c>
      <c r="C28">
        <f>IF($A28="","",IFERROR('TMP Paste'!$M28*1,0))</f>
        <v/>
      </c>
      <c r="D28">
        <f>IF($A28="","",SUMIF($B$2:$B28,$B28,$C$2:$C28))</f>
        <v/>
      </c>
      <c r="E28">
        <f>IF($A28="",0,IF('TMP Paste'!$B28="",0,1))</f>
        <v/>
      </c>
      <c r="F28">
        <f>IF(OR($A28="",$C28&lt;1),"",$A28&amp;"-"&amp;TEXT(($D28-$C28+1),"00")&amp;IF($C28&gt;=2,", "&amp;$A28&amp;"-"&amp;TEXT(($D28-$C28+1)+1,"00"),"")&amp;IF($C28&gt;=3,", "&amp;$A28&amp;"-"&amp;TEXT(($D28-$C28+1)+2,"00"),"")&amp;IF($C28&gt;=4,", "&amp;$A28&amp;"-"&amp;TEXT(($D28-$C28+1)+3,"00"),"")&amp;IF($C28&gt;=5,", "&amp;$A28&amp;"-"&amp;TEXT(($D28-$C28+1)+4,"00"),"")&amp;IF($C28&gt;=6,", "&amp;$A28&amp;"-"&amp;TEXT(($D28-$C28+1)+5,"00"),"")&amp;IF($C28&gt;=7,", "&amp;$A28&amp;"-"&amp;TEXT(($D28-$C28+1)+6,"00"),"")&amp;IF($C28&gt;=8,", "&amp;$A28&amp;"-"&amp;TEXT(($D28-$C28+1)+7,"00"),"")&amp;IF($C28&gt;=9,", "&amp;$A28&amp;"-"&amp;TEXT(($D28-$C28+1)+8,"00"),"")&amp;IF($C28&gt;=10,", "&amp;$A28&amp;"-"&amp;TEXT(($D28-$C28+1)+9,"00"),"")&amp;IF($C28&gt;=11,", "&amp;$A28&amp;"-"&amp;TEXT(($D28-$C28+1)+10,"00"),"")&amp;IF($C28&gt;=12,", "&amp;$A28&amp;"-"&amp;TEXT(($D28-$C28+1)+11,"00"),"")&amp;IF($C28&gt;=13,", "&amp;$A28&amp;"-"&amp;TEXT(($D28-$C28+1)+12,"00"),"")&amp;IF($C28&gt;=14,", "&amp;$A28&amp;"-"&amp;TEXT(($D28-$C28+1)+13,"00"),"")&amp;IF($C28&gt;=15,", "&amp;$A28&amp;"-"&amp;TEXT(($D28-$C28+1)+14,"00"),"")&amp;IF($C28&gt;=16,", "&amp;$A28&amp;"-"&amp;TEXT(($D28-$C28+1)+15,"00"),"")&amp;IF($C28&gt;=17,", "&amp;$A28&amp;"-"&amp;TEXT(($D28-$C28+1)+16,"00"),"")&amp;IF($C28&gt;=18,", "&amp;$A28&amp;"-"&amp;TEXT(($D28-$C28+1)+17,"00"),"")&amp;IF($C28&gt;=19,", "&amp;$A28&amp;"-"&amp;TEXT(($D28-$C28+1)+18,"00"),"")&amp;IF($C28&gt;=20,", "&amp;$A28&amp;"-"&amp;TEXT(($D28-$C28+1)+19,"00"),"")&amp;IF($C28&gt;=21,", "&amp;$A28&amp;"-"&amp;TEXT(($D28-$C28+1)+20,"00"),"")&amp;IF($C28&gt;=22,", "&amp;$A28&amp;"-"&amp;TEXT(($D28-$C28+1)+21,"00"),"")&amp;IF($C28&gt;=23,", "&amp;$A28&amp;"-"&amp;TEXT(($D28-$C28+1)+22,"00"),"")&amp;IF($C28&gt;=24,", "&amp;$A28&amp;"-"&amp;TEXT(($D28-$C28+1)+23,"00"),"")&amp;IF($C28&gt;=25,", "&amp;$A28&amp;"-"&amp;TEXT(($D28-$C28+1)+24,"00"),""))</f>
        <v/>
      </c>
      <c r="G28">
        <f>IF($A28="","",IF($E28=1,$F28,IF($F28="",$G27,IF($G27="",$F28,$G27&amp;", "&amp;$F28))))</f>
        <v/>
      </c>
      <c r="H28">
        <f>IF($A28="","",$A28&amp;" ("&amp;$C28&amp;")")</f>
        <v/>
      </c>
      <c r="I28">
        <f>IF($A28="","",IF($E28=1,$H28,$I27&amp;", "&amp;$H28))</f>
        <v/>
      </c>
      <c r="J28">
        <f>IF($A28="","",IF($E28=1,$B28,""))</f>
        <v/>
      </c>
      <c r="K28">
        <f>IF($A28="","",IF(COUNTIF($B$2:$B28,$B28)=COUNTIF($B$2:$B$1601,$B28),$B28,""))</f>
        <v/>
      </c>
    </row>
    <row r="29">
      <c r="A29">
        <f>IF('TMP Paste'!$E29="","",'TMP Paste'!$E29)</f>
        <v/>
      </c>
      <c r="B29">
        <f>IF($A29="","",COUNTIF('TMP Paste'!$B$2:$B29,"?*"))</f>
        <v/>
      </c>
      <c r="C29">
        <f>IF($A29="","",IFERROR('TMP Paste'!$M29*1,0))</f>
        <v/>
      </c>
      <c r="D29">
        <f>IF($A29="","",SUMIF($B$2:$B29,$B29,$C$2:$C29))</f>
        <v/>
      </c>
      <c r="E29">
        <f>IF($A29="",0,IF('TMP Paste'!$B29="",0,1))</f>
        <v/>
      </c>
      <c r="F29">
        <f>IF(OR($A29="",$C29&lt;1),"",$A29&amp;"-"&amp;TEXT(($D29-$C29+1),"00")&amp;IF($C29&gt;=2,", "&amp;$A29&amp;"-"&amp;TEXT(($D29-$C29+1)+1,"00"),"")&amp;IF($C29&gt;=3,", "&amp;$A29&amp;"-"&amp;TEXT(($D29-$C29+1)+2,"00"),"")&amp;IF($C29&gt;=4,", "&amp;$A29&amp;"-"&amp;TEXT(($D29-$C29+1)+3,"00"),"")&amp;IF($C29&gt;=5,", "&amp;$A29&amp;"-"&amp;TEXT(($D29-$C29+1)+4,"00"),"")&amp;IF($C29&gt;=6,", "&amp;$A29&amp;"-"&amp;TEXT(($D29-$C29+1)+5,"00"),"")&amp;IF($C29&gt;=7,", "&amp;$A29&amp;"-"&amp;TEXT(($D29-$C29+1)+6,"00"),"")&amp;IF($C29&gt;=8,", "&amp;$A29&amp;"-"&amp;TEXT(($D29-$C29+1)+7,"00"),"")&amp;IF($C29&gt;=9,", "&amp;$A29&amp;"-"&amp;TEXT(($D29-$C29+1)+8,"00"),"")&amp;IF($C29&gt;=10,", "&amp;$A29&amp;"-"&amp;TEXT(($D29-$C29+1)+9,"00"),"")&amp;IF($C29&gt;=11,", "&amp;$A29&amp;"-"&amp;TEXT(($D29-$C29+1)+10,"00"),"")&amp;IF($C29&gt;=12,", "&amp;$A29&amp;"-"&amp;TEXT(($D29-$C29+1)+11,"00"),"")&amp;IF($C29&gt;=13,", "&amp;$A29&amp;"-"&amp;TEXT(($D29-$C29+1)+12,"00"),"")&amp;IF($C29&gt;=14,", "&amp;$A29&amp;"-"&amp;TEXT(($D29-$C29+1)+13,"00"),"")&amp;IF($C29&gt;=15,", "&amp;$A29&amp;"-"&amp;TEXT(($D29-$C29+1)+14,"00"),"")&amp;IF($C29&gt;=16,", "&amp;$A29&amp;"-"&amp;TEXT(($D29-$C29+1)+15,"00"),"")&amp;IF($C29&gt;=17,", "&amp;$A29&amp;"-"&amp;TEXT(($D29-$C29+1)+16,"00"),"")&amp;IF($C29&gt;=18,", "&amp;$A29&amp;"-"&amp;TEXT(($D29-$C29+1)+17,"00"),"")&amp;IF($C29&gt;=19,", "&amp;$A29&amp;"-"&amp;TEXT(($D29-$C29+1)+18,"00"),"")&amp;IF($C29&gt;=20,", "&amp;$A29&amp;"-"&amp;TEXT(($D29-$C29+1)+19,"00"),"")&amp;IF($C29&gt;=21,", "&amp;$A29&amp;"-"&amp;TEXT(($D29-$C29+1)+20,"00"),"")&amp;IF($C29&gt;=22,", "&amp;$A29&amp;"-"&amp;TEXT(($D29-$C29+1)+21,"00"),"")&amp;IF($C29&gt;=23,", "&amp;$A29&amp;"-"&amp;TEXT(($D29-$C29+1)+22,"00"),"")&amp;IF($C29&gt;=24,", "&amp;$A29&amp;"-"&amp;TEXT(($D29-$C29+1)+23,"00"),"")&amp;IF($C29&gt;=25,", "&amp;$A29&amp;"-"&amp;TEXT(($D29-$C29+1)+24,"00"),""))</f>
        <v/>
      </c>
      <c r="G29">
        <f>IF($A29="","",IF($E29=1,$F29,IF($F29="",$G28,IF($G28="",$F29,$G28&amp;", "&amp;$F29))))</f>
        <v/>
      </c>
      <c r="H29">
        <f>IF($A29="","",$A29&amp;" ("&amp;$C29&amp;")")</f>
        <v/>
      </c>
      <c r="I29">
        <f>IF($A29="","",IF($E29=1,$H29,$I28&amp;", "&amp;$H29))</f>
        <v/>
      </c>
      <c r="J29">
        <f>IF($A29="","",IF($E29=1,$B29,""))</f>
        <v/>
      </c>
      <c r="K29">
        <f>IF($A29="","",IF(COUNTIF($B$2:$B29,$B29)=COUNTIF($B$2:$B$1601,$B29),$B29,""))</f>
        <v/>
      </c>
    </row>
    <row r="30">
      <c r="A30">
        <f>IF('TMP Paste'!$E30="","",'TMP Paste'!$E30)</f>
        <v/>
      </c>
      <c r="B30">
        <f>IF($A30="","",COUNTIF('TMP Paste'!$B$2:$B30,"?*"))</f>
        <v/>
      </c>
      <c r="C30">
        <f>IF($A30="","",IFERROR('TMP Paste'!$M30*1,0))</f>
        <v/>
      </c>
      <c r="D30">
        <f>IF($A30="","",SUMIF($B$2:$B30,$B30,$C$2:$C30))</f>
        <v/>
      </c>
      <c r="E30">
        <f>IF($A30="",0,IF('TMP Paste'!$B30="",0,1))</f>
        <v/>
      </c>
      <c r="F30">
        <f>IF(OR($A30="",$C30&lt;1),"",$A30&amp;"-"&amp;TEXT(($D30-$C30+1),"00")&amp;IF($C30&gt;=2,", "&amp;$A30&amp;"-"&amp;TEXT(($D30-$C30+1)+1,"00"),"")&amp;IF($C30&gt;=3,", "&amp;$A30&amp;"-"&amp;TEXT(($D30-$C30+1)+2,"00"),"")&amp;IF($C30&gt;=4,", "&amp;$A30&amp;"-"&amp;TEXT(($D30-$C30+1)+3,"00"),"")&amp;IF($C30&gt;=5,", "&amp;$A30&amp;"-"&amp;TEXT(($D30-$C30+1)+4,"00"),"")&amp;IF($C30&gt;=6,", "&amp;$A30&amp;"-"&amp;TEXT(($D30-$C30+1)+5,"00"),"")&amp;IF($C30&gt;=7,", "&amp;$A30&amp;"-"&amp;TEXT(($D30-$C30+1)+6,"00"),"")&amp;IF($C30&gt;=8,", "&amp;$A30&amp;"-"&amp;TEXT(($D30-$C30+1)+7,"00"),"")&amp;IF($C30&gt;=9,", "&amp;$A30&amp;"-"&amp;TEXT(($D30-$C30+1)+8,"00"),"")&amp;IF($C30&gt;=10,", "&amp;$A30&amp;"-"&amp;TEXT(($D30-$C30+1)+9,"00"),"")&amp;IF($C30&gt;=11,", "&amp;$A30&amp;"-"&amp;TEXT(($D30-$C30+1)+10,"00"),"")&amp;IF($C30&gt;=12,", "&amp;$A30&amp;"-"&amp;TEXT(($D30-$C30+1)+11,"00"),"")&amp;IF($C30&gt;=13,", "&amp;$A30&amp;"-"&amp;TEXT(($D30-$C30+1)+12,"00"),"")&amp;IF($C30&gt;=14,", "&amp;$A30&amp;"-"&amp;TEXT(($D30-$C30+1)+13,"00"),"")&amp;IF($C30&gt;=15,", "&amp;$A30&amp;"-"&amp;TEXT(($D30-$C30+1)+14,"00"),"")&amp;IF($C30&gt;=16,", "&amp;$A30&amp;"-"&amp;TEXT(($D30-$C30+1)+15,"00"),"")&amp;IF($C30&gt;=17,", "&amp;$A30&amp;"-"&amp;TEXT(($D30-$C30+1)+16,"00"),"")&amp;IF($C30&gt;=18,", "&amp;$A30&amp;"-"&amp;TEXT(($D30-$C30+1)+17,"00"),"")&amp;IF($C30&gt;=19,", "&amp;$A30&amp;"-"&amp;TEXT(($D30-$C30+1)+18,"00"),"")&amp;IF($C30&gt;=20,", "&amp;$A30&amp;"-"&amp;TEXT(($D30-$C30+1)+19,"00"),"")&amp;IF($C30&gt;=21,", "&amp;$A30&amp;"-"&amp;TEXT(($D30-$C30+1)+20,"00"),"")&amp;IF($C30&gt;=22,", "&amp;$A30&amp;"-"&amp;TEXT(($D30-$C30+1)+21,"00"),"")&amp;IF($C30&gt;=23,", "&amp;$A30&amp;"-"&amp;TEXT(($D30-$C30+1)+22,"00"),"")&amp;IF($C30&gt;=24,", "&amp;$A30&amp;"-"&amp;TEXT(($D30-$C30+1)+23,"00"),"")&amp;IF($C30&gt;=25,", "&amp;$A30&amp;"-"&amp;TEXT(($D30-$C30+1)+24,"00"),""))</f>
        <v/>
      </c>
      <c r="G30">
        <f>IF($A30="","",IF($E30=1,$F30,IF($F30="",$G29,IF($G29="",$F30,$G29&amp;", "&amp;$F30))))</f>
        <v/>
      </c>
      <c r="H30">
        <f>IF($A30="","",$A30&amp;" ("&amp;$C30&amp;")")</f>
        <v/>
      </c>
      <c r="I30">
        <f>IF($A30="","",IF($E30=1,$H30,$I29&amp;", "&amp;$H30))</f>
        <v/>
      </c>
      <c r="J30">
        <f>IF($A30="","",IF($E30=1,$B30,""))</f>
        <v/>
      </c>
      <c r="K30">
        <f>IF($A30="","",IF(COUNTIF($B$2:$B30,$B30)=COUNTIF($B$2:$B$1601,$B30),$B30,""))</f>
        <v/>
      </c>
    </row>
    <row r="31">
      <c r="A31">
        <f>IF('TMP Paste'!$E31="","",'TMP Paste'!$E31)</f>
        <v/>
      </c>
      <c r="B31">
        <f>IF($A31="","",COUNTIF('TMP Paste'!$B$2:$B31,"?*"))</f>
        <v/>
      </c>
      <c r="C31">
        <f>IF($A31="","",IFERROR('TMP Paste'!$M31*1,0))</f>
        <v/>
      </c>
      <c r="D31">
        <f>IF($A31="","",SUMIF($B$2:$B31,$B31,$C$2:$C31))</f>
        <v/>
      </c>
      <c r="E31">
        <f>IF($A31="",0,IF('TMP Paste'!$B31="",0,1))</f>
        <v/>
      </c>
      <c r="F31">
        <f>IF(OR($A31="",$C31&lt;1),"",$A31&amp;"-"&amp;TEXT(($D31-$C31+1),"00")&amp;IF($C31&gt;=2,", "&amp;$A31&amp;"-"&amp;TEXT(($D31-$C31+1)+1,"00"),"")&amp;IF($C31&gt;=3,", "&amp;$A31&amp;"-"&amp;TEXT(($D31-$C31+1)+2,"00"),"")&amp;IF($C31&gt;=4,", "&amp;$A31&amp;"-"&amp;TEXT(($D31-$C31+1)+3,"00"),"")&amp;IF($C31&gt;=5,", "&amp;$A31&amp;"-"&amp;TEXT(($D31-$C31+1)+4,"00"),"")&amp;IF($C31&gt;=6,", "&amp;$A31&amp;"-"&amp;TEXT(($D31-$C31+1)+5,"00"),"")&amp;IF($C31&gt;=7,", "&amp;$A31&amp;"-"&amp;TEXT(($D31-$C31+1)+6,"00"),"")&amp;IF($C31&gt;=8,", "&amp;$A31&amp;"-"&amp;TEXT(($D31-$C31+1)+7,"00"),"")&amp;IF($C31&gt;=9,", "&amp;$A31&amp;"-"&amp;TEXT(($D31-$C31+1)+8,"00"),"")&amp;IF($C31&gt;=10,", "&amp;$A31&amp;"-"&amp;TEXT(($D31-$C31+1)+9,"00"),"")&amp;IF($C31&gt;=11,", "&amp;$A31&amp;"-"&amp;TEXT(($D31-$C31+1)+10,"00"),"")&amp;IF($C31&gt;=12,", "&amp;$A31&amp;"-"&amp;TEXT(($D31-$C31+1)+11,"00"),"")&amp;IF($C31&gt;=13,", "&amp;$A31&amp;"-"&amp;TEXT(($D31-$C31+1)+12,"00"),"")&amp;IF($C31&gt;=14,", "&amp;$A31&amp;"-"&amp;TEXT(($D31-$C31+1)+13,"00"),"")&amp;IF($C31&gt;=15,", "&amp;$A31&amp;"-"&amp;TEXT(($D31-$C31+1)+14,"00"),"")&amp;IF($C31&gt;=16,", "&amp;$A31&amp;"-"&amp;TEXT(($D31-$C31+1)+15,"00"),"")&amp;IF($C31&gt;=17,", "&amp;$A31&amp;"-"&amp;TEXT(($D31-$C31+1)+16,"00"),"")&amp;IF($C31&gt;=18,", "&amp;$A31&amp;"-"&amp;TEXT(($D31-$C31+1)+17,"00"),"")&amp;IF($C31&gt;=19,", "&amp;$A31&amp;"-"&amp;TEXT(($D31-$C31+1)+18,"00"),"")&amp;IF($C31&gt;=20,", "&amp;$A31&amp;"-"&amp;TEXT(($D31-$C31+1)+19,"00"),"")&amp;IF($C31&gt;=21,", "&amp;$A31&amp;"-"&amp;TEXT(($D31-$C31+1)+20,"00"),"")&amp;IF($C31&gt;=22,", "&amp;$A31&amp;"-"&amp;TEXT(($D31-$C31+1)+21,"00"),"")&amp;IF($C31&gt;=23,", "&amp;$A31&amp;"-"&amp;TEXT(($D31-$C31+1)+22,"00"),"")&amp;IF($C31&gt;=24,", "&amp;$A31&amp;"-"&amp;TEXT(($D31-$C31+1)+23,"00"),"")&amp;IF($C31&gt;=25,", "&amp;$A31&amp;"-"&amp;TEXT(($D31-$C31+1)+24,"00"),""))</f>
        <v/>
      </c>
      <c r="G31">
        <f>IF($A31="","",IF($E31=1,$F31,IF($F31="",$G30,IF($G30="",$F31,$G30&amp;", "&amp;$F31))))</f>
        <v/>
      </c>
      <c r="H31">
        <f>IF($A31="","",$A31&amp;" ("&amp;$C31&amp;")")</f>
        <v/>
      </c>
      <c r="I31">
        <f>IF($A31="","",IF($E31=1,$H31,$I30&amp;", "&amp;$H31))</f>
        <v/>
      </c>
      <c r="J31">
        <f>IF($A31="","",IF($E31=1,$B31,""))</f>
        <v/>
      </c>
      <c r="K31">
        <f>IF($A31="","",IF(COUNTIF($B$2:$B31,$B31)=COUNTIF($B$2:$B$1601,$B31),$B31,""))</f>
        <v/>
      </c>
    </row>
    <row r="32">
      <c r="A32">
        <f>IF('TMP Paste'!$E32="","",'TMP Paste'!$E32)</f>
        <v/>
      </c>
      <c r="B32">
        <f>IF($A32="","",COUNTIF('TMP Paste'!$B$2:$B32,"?*"))</f>
        <v/>
      </c>
      <c r="C32">
        <f>IF($A32="","",IFERROR('TMP Paste'!$M32*1,0))</f>
        <v/>
      </c>
      <c r="D32">
        <f>IF($A32="","",SUMIF($B$2:$B32,$B32,$C$2:$C32))</f>
        <v/>
      </c>
      <c r="E32">
        <f>IF($A32="",0,IF('TMP Paste'!$B32="",0,1))</f>
        <v/>
      </c>
      <c r="F32">
        <f>IF(OR($A32="",$C32&lt;1),"",$A32&amp;"-"&amp;TEXT(($D32-$C32+1),"00")&amp;IF($C32&gt;=2,", "&amp;$A32&amp;"-"&amp;TEXT(($D32-$C32+1)+1,"00"),"")&amp;IF($C32&gt;=3,", "&amp;$A32&amp;"-"&amp;TEXT(($D32-$C32+1)+2,"00"),"")&amp;IF($C32&gt;=4,", "&amp;$A32&amp;"-"&amp;TEXT(($D32-$C32+1)+3,"00"),"")&amp;IF($C32&gt;=5,", "&amp;$A32&amp;"-"&amp;TEXT(($D32-$C32+1)+4,"00"),"")&amp;IF($C32&gt;=6,", "&amp;$A32&amp;"-"&amp;TEXT(($D32-$C32+1)+5,"00"),"")&amp;IF($C32&gt;=7,", "&amp;$A32&amp;"-"&amp;TEXT(($D32-$C32+1)+6,"00"),"")&amp;IF($C32&gt;=8,", "&amp;$A32&amp;"-"&amp;TEXT(($D32-$C32+1)+7,"00"),"")&amp;IF($C32&gt;=9,", "&amp;$A32&amp;"-"&amp;TEXT(($D32-$C32+1)+8,"00"),"")&amp;IF($C32&gt;=10,", "&amp;$A32&amp;"-"&amp;TEXT(($D32-$C32+1)+9,"00"),"")&amp;IF($C32&gt;=11,", "&amp;$A32&amp;"-"&amp;TEXT(($D32-$C32+1)+10,"00"),"")&amp;IF($C32&gt;=12,", "&amp;$A32&amp;"-"&amp;TEXT(($D32-$C32+1)+11,"00"),"")&amp;IF($C32&gt;=13,", "&amp;$A32&amp;"-"&amp;TEXT(($D32-$C32+1)+12,"00"),"")&amp;IF($C32&gt;=14,", "&amp;$A32&amp;"-"&amp;TEXT(($D32-$C32+1)+13,"00"),"")&amp;IF($C32&gt;=15,", "&amp;$A32&amp;"-"&amp;TEXT(($D32-$C32+1)+14,"00"),"")&amp;IF($C32&gt;=16,", "&amp;$A32&amp;"-"&amp;TEXT(($D32-$C32+1)+15,"00"),"")&amp;IF($C32&gt;=17,", "&amp;$A32&amp;"-"&amp;TEXT(($D32-$C32+1)+16,"00"),"")&amp;IF($C32&gt;=18,", "&amp;$A32&amp;"-"&amp;TEXT(($D32-$C32+1)+17,"00"),"")&amp;IF($C32&gt;=19,", "&amp;$A32&amp;"-"&amp;TEXT(($D32-$C32+1)+18,"00"),"")&amp;IF($C32&gt;=20,", "&amp;$A32&amp;"-"&amp;TEXT(($D32-$C32+1)+19,"00"),"")&amp;IF($C32&gt;=21,", "&amp;$A32&amp;"-"&amp;TEXT(($D32-$C32+1)+20,"00"),"")&amp;IF($C32&gt;=22,", "&amp;$A32&amp;"-"&amp;TEXT(($D32-$C32+1)+21,"00"),"")&amp;IF($C32&gt;=23,", "&amp;$A32&amp;"-"&amp;TEXT(($D32-$C32+1)+22,"00"),"")&amp;IF($C32&gt;=24,", "&amp;$A32&amp;"-"&amp;TEXT(($D32-$C32+1)+23,"00"),"")&amp;IF($C32&gt;=25,", "&amp;$A32&amp;"-"&amp;TEXT(($D32-$C32+1)+24,"00"),""))</f>
        <v/>
      </c>
      <c r="G32">
        <f>IF($A32="","",IF($E32=1,$F32,IF($F32="",$G31,IF($G31="",$F32,$G31&amp;", "&amp;$F32))))</f>
        <v/>
      </c>
      <c r="H32">
        <f>IF($A32="","",$A32&amp;" ("&amp;$C32&amp;")")</f>
        <v/>
      </c>
      <c r="I32">
        <f>IF($A32="","",IF($E32=1,$H32,$I31&amp;", "&amp;$H32))</f>
        <v/>
      </c>
      <c r="J32">
        <f>IF($A32="","",IF($E32=1,$B32,""))</f>
        <v/>
      </c>
      <c r="K32">
        <f>IF($A32="","",IF(COUNTIF($B$2:$B32,$B32)=COUNTIF($B$2:$B$1601,$B32),$B32,""))</f>
        <v/>
      </c>
    </row>
    <row r="33">
      <c r="A33">
        <f>IF('TMP Paste'!$E33="","",'TMP Paste'!$E33)</f>
        <v/>
      </c>
      <c r="B33">
        <f>IF($A33="","",COUNTIF('TMP Paste'!$B$2:$B33,"?*"))</f>
        <v/>
      </c>
      <c r="C33">
        <f>IF($A33="","",IFERROR('TMP Paste'!$M33*1,0))</f>
        <v/>
      </c>
      <c r="D33">
        <f>IF($A33="","",SUMIF($B$2:$B33,$B33,$C$2:$C33))</f>
        <v/>
      </c>
      <c r="E33">
        <f>IF($A33="",0,IF('TMP Paste'!$B33="",0,1))</f>
        <v/>
      </c>
      <c r="F33">
        <f>IF(OR($A33="",$C33&lt;1),"",$A33&amp;"-"&amp;TEXT(($D33-$C33+1),"00")&amp;IF($C33&gt;=2,", "&amp;$A33&amp;"-"&amp;TEXT(($D33-$C33+1)+1,"00"),"")&amp;IF($C33&gt;=3,", "&amp;$A33&amp;"-"&amp;TEXT(($D33-$C33+1)+2,"00"),"")&amp;IF($C33&gt;=4,", "&amp;$A33&amp;"-"&amp;TEXT(($D33-$C33+1)+3,"00"),"")&amp;IF($C33&gt;=5,", "&amp;$A33&amp;"-"&amp;TEXT(($D33-$C33+1)+4,"00"),"")&amp;IF($C33&gt;=6,", "&amp;$A33&amp;"-"&amp;TEXT(($D33-$C33+1)+5,"00"),"")&amp;IF($C33&gt;=7,", "&amp;$A33&amp;"-"&amp;TEXT(($D33-$C33+1)+6,"00"),"")&amp;IF($C33&gt;=8,", "&amp;$A33&amp;"-"&amp;TEXT(($D33-$C33+1)+7,"00"),"")&amp;IF($C33&gt;=9,", "&amp;$A33&amp;"-"&amp;TEXT(($D33-$C33+1)+8,"00"),"")&amp;IF($C33&gt;=10,", "&amp;$A33&amp;"-"&amp;TEXT(($D33-$C33+1)+9,"00"),"")&amp;IF($C33&gt;=11,", "&amp;$A33&amp;"-"&amp;TEXT(($D33-$C33+1)+10,"00"),"")&amp;IF($C33&gt;=12,", "&amp;$A33&amp;"-"&amp;TEXT(($D33-$C33+1)+11,"00"),"")&amp;IF($C33&gt;=13,", "&amp;$A33&amp;"-"&amp;TEXT(($D33-$C33+1)+12,"00"),"")&amp;IF($C33&gt;=14,", "&amp;$A33&amp;"-"&amp;TEXT(($D33-$C33+1)+13,"00"),"")&amp;IF($C33&gt;=15,", "&amp;$A33&amp;"-"&amp;TEXT(($D33-$C33+1)+14,"00"),"")&amp;IF($C33&gt;=16,", "&amp;$A33&amp;"-"&amp;TEXT(($D33-$C33+1)+15,"00"),"")&amp;IF($C33&gt;=17,", "&amp;$A33&amp;"-"&amp;TEXT(($D33-$C33+1)+16,"00"),"")&amp;IF($C33&gt;=18,", "&amp;$A33&amp;"-"&amp;TEXT(($D33-$C33+1)+17,"00"),"")&amp;IF($C33&gt;=19,", "&amp;$A33&amp;"-"&amp;TEXT(($D33-$C33+1)+18,"00"),"")&amp;IF($C33&gt;=20,", "&amp;$A33&amp;"-"&amp;TEXT(($D33-$C33+1)+19,"00"),"")&amp;IF($C33&gt;=21,", "&amp;$A33&amp;"-"&amp;TEXT(($D33-$C33+1)+20,"00"),"")&amp;IF($C33&gt;=22,", "&amp;$A33&amp;"-"&amp;TEXT(($D33-$C33+1)+21,"00"),"")&amp;IF($C33&gt;=23,", "&amp;$A33&amp;"-"&amp;TEXT(($D33-$C33+1)+22,"00"),"")&amp;IF($C33&gt;=24,", "&amp;$A33&amp;"-"&amp;TEXT(($D33-$C33+1)+23,"00"),"")&amp;IF($C33&gt;=25,", "&amp;$A33&amp;"-"&amp;TEXT(($D33-$C33+1)+24,"00"),""))</f>
        <v/>
      </c>
      <c r="G33">
        <f>IF($A33="","",IF($E33=1,$F33,IF($F33="",$G32,IF($G32="",$F33,$G32&amp;", "&amp;$F33))))</f>
        <v/>
      </c>
      <c r="H33">
        <f>IF($A33="","",$A33&amp;" ("&amp;$C33&amp;")")</f>
        <v/>
      </c>
      <c r="I33">
        <f>IF($A33="","",IF($E33=1,$H33,$I32&amp;", "&amp;$H33))</f>
        <v/>
      </c>
      <c r="J33">
        <f>IF($A33="","",IF($E33=1,$B33,""))</f>
        <v/>
      </c>
      <c r="K33">
        <f>IF($A33="","",IF(COUNTIF($B$2:$B33,$B33)=COUNTIF($B$2:$B$1601,$B33),$B33,""))</f>
        <v/>
      </c>
    </row>
    <row r="34">
      <c r="A34">
        <f>IF('TMP Paste'!$E34="","",'TMP Paste'!$E34)</f>
        <v/>
      </c>
      <c r="B34">
        <f>IF($A34="","",COUNTIF('TMP Paste'!$B$2:$B34,"?*"))</f>
        <v/>
      </c>
      <c r="C34">
        <f>IF($A34="","",IFERROR('TMP Paste'!$M34*1,0))</f>
        <v/>
      </c>
      <c r="D34">
        <f>IF($A34="","",SUMIF($B$2:$B34,$B34,$C$2:$C34))</f>
        <v/>
      </c>
      <c r="E34">
        <f>IF($A34="",0,IF('TMP Paste'!$B34="",0,1))</f>
        <v/>
      </c>
      <c r="F34">
        <f>IF(OR($A34="",$C34&lt;1),"",$A34&amp;"-"&amp;TEXT(($D34-$C34+1),"00")&amp;IF($C34&gt;=2,", "&amp;$A34&amp;"-"&amp;TEXT(($D34-$C34+1)+1,"00"),"")&amp;IF($C34&gt;=3,", "&amp;$A34&amp;"-"&amp;TEXT(($D34-$C34+1)+2,"00"),"")&amp;IF($C34&gt;=4,", "&amp;$A34&amp;"-"&amp;TEXT(($D34-$C34+1)+3,"00"),"")&amp;IF($C34&gt;=5,", "&amp;$A34&amp;"-"&amp;TEXT(($D34-$C34+1)+4,"00"),"")&amp;IF($C34&gt;=6,", "&amp;$A34&amp;"-"&amp;TEXT(($D34-$C34+1)+5,"00"),"")&amp;IF($C34&gt;=7,", "&amp;$A34&amp;"-"&amp;TEXT(($D34-$C34+1)+6,"00"),"")&amp;IF($C34&gt;=8,", "&amp;$A34&amp;"-"&amp;TEXT(($D34-$C34+1)+7,"00"),"")&amp;IF($C34&gt;=9,", "&amp;$A34&amp;"-"&amp;TEXT(($D34-$C34+1)+8,"00"),"")&amp;IF($C34&gt;=10,", "&amp;$A34&amp;"-"&amp;TEXT(($D34-$C34+1)+9,"00"),"")&amp;IF($C34&gt;=11,", "&amp;$A34&amp;"-"&amp;TEXT(($D34-$C34+1)+10,"00"),"")&amp;IF($C34&gt;=12,", "&amp;$A34&amp;"-"&amp;TEXT(($D34-$C34+1)+11,"00"),"")&amp;IF($C34&gt;=13,", "&amp;$A34&amp;"-"&amp;TEXT(($D34-$C34+1)+12,"00"),"")&amp;IF($C34&gt;=14,", "&amp;$A34&amp;"-"&amp;TEXT(($D34-$C34+1)+13,"00"),"")&amp;IF($C34&gt;=15,", "&amp;$A34&amp;"-"&amp;TEXT(($D34-$C34+1)+14,"00"),"")&amp;IF($C34&gt;=16,", "&amp;$A34&amp;"-"&amp;TEXT(($D34-$C34+1)+15,"00"),"")&amp;IF($C34&gt;=17,", "&amp;$A34&amp;"-"&amp;TEXT(($D34-$C34+1)+16,"00"),"")&amp;IF($C34&gt;=18,", "&amp;$A34&amp;"-"&amp;TEXT(($D34-$C34+1)+17,"00"),"")&amp;IF($C34&gt;=19,", "&amp;$A34&amp;"-"&amp;TEXT(($D34-$C34+1)+18,"00"),"")&amp;IF($C34&gt;=20,", "&amp;$A34&amp;"-"&amp;TEXT(($D34-$C34+1)+19,"00"),"")&amp;IF($C34&gt;=21,", "&amp;$A34&amp;"-"&amp;TEXT(($D34-$C34+1)+20,"00"),"")&amp;IF($C34&gt;=22,", "&amp;$A34&amp;"-"&amp;TEXT(($D34-$C34+1)+21,"00"),"")&amp;IF($C34&gt;=23,", "&amp;$A34&amp;"-"&amp;TEXT(($D34-$C34+1)+22,"00"),"")&amp;IF($C34&gt;=24,", "&amp;$A34&amp;"-"&amp;TEXT(($D34-$C34+1)+23,"00"),"")&amp;IF($C34&gt;=25,", "&amp;$A34&amp;"-"&amp;TEXT(($D34-$C34+1)+24,"00"),""))</f>
        <v/>
      </c>
      <c r="G34">
        <f>IF($A34="","",IF($E34=1,$F34,IF($F34="",$G33,IF($G33="",$F34,$G33&amp;", "&amp;$F34))))</f>
        <v/>
      </c>
      <c r="H34">
        <f>IF($A34="","",$A34&amp;" ("&amp;$C34&amp;")")</f>
        <v/>
      </c>
      <c r="I34">
        <f>IF($A34="","",IF($E34=1,$H34,$I33&amp;", "&amp;$H34))</f>
        <v/>
      </c>
      <c r="J34">
        <f>IF($A34="","",IF($E34=1,$B34,""))</f>
        <v/>
      </c>
      <c r="K34">
        <f>IF($A34="","",IF(COUNTIF($B$2:$B34,$B34)=COUNTIF($B$2:$B$1601,$B34),$B34,""))</f>
        <v/>
      </c>
    </row>
    <row r="35">
      <c r="A35">
        <f>IF('TMP Paste'!$E35="","",'TMP Paste'!$E35)</f>
        <v/>
      </c>
      <c r="B35">
        <f>IF($A35="","",COUNTIF('TMP Paste'!$B$2:$B35,"?*"))</f>
        <v/>
      </c>
      <c r="C35">
        <f>IF($A35="","",IFERROR('TMP Paste'!$M35*1,0))</f>
        <v/>
      </c>
      <c r="D35">
        <f>IF($A35="","",SUMIF($B$2:$B35,$B35,$C$2:$C35))</f>
        <v/>
      </c>
      <c r="E35">
        <f>IF($A35="",0,IF('TMP Paste'!$B35="",0,1))</f>
        <v/>
      </c>
      <c r="F35">
        <f>IF(OR($A35="",$C35&lt;1),"",$A35&amp;"-"&amp;TEXT(($D35-$C35+1),"00")&amp;IF($C35&gt;=2,", "&amp;$A35&amp;"-"&amp;TEXT(($D35-$C35+1)+1,"00"),"")&amp;IF($C35&gt;=3,", "&amp;$A35&amp;"-"&amp;TEXT(($D35-$C35+1)+2,"00"),"")&amp;IF($C35&gt;=4,", "&amp;$A35&amp;"-"&amp;TEXT(($D35-$C35+1)+3,"00"),"")&amp;IF($C35&gt;=5,", "&amp;$A35&amp;"-"&amp;TEXT(($D35-$C35+1)+4,"00"),"")&amp;IF($C35&gt;=6,", "&amp;$A35&amp;"-"&amp;TEXT(($D35-$C35+1)+5,"00"),"")&amp;IF($C35&gt;=7,", "&amp;$A35&amp;"-"&amp;TEXT(($D35-$C35+1)+6,"00"),"")&amp;IF($C35&gt;=8,", "&amp;$A35&amp;"-"&amp;TEXT(($D35-$C35+1)+7,"00"),"")&amp;IF($C35&gt;=9,", "&amp;$A35&amp;"-"&amp;TEXT(($D35-$C35+1)+8,"00"),"")&amp;IF($C35&gt;=10,", "&amp;$A35&amp;"-"&amp;TEXT(($D35-$C35+1)+9,"00"),"")&amp;IF($C35&gt;=11,", "&amp;$A35&amp;"-"&amp;TEXT(($D35-$C35+1)+10,"00"),"")&amp;IF($C35&gt;=12,", "&amp;$A35&amp;"-"&amp;TEXT(($D35-$C35+1)+11,"00"),"")&amp;IF($C35&gt;=13,", "&amp;$A35&amp;"-"&amp;TEXT(($D35-$C35+1)+12,"00"),"")&amp;IF($C35&gt;=14,", "&amp;$A35&amp;"-"&amp;TEXT(($D35-$C35+1)+13,"00"),"")&amp;IF($C35&gt;=15,", "&amp;$A35&amp;"-"&amp;TEXT(($D35-$C35+1)+14,"00"),"")&amp;IF($C35&gt;=16,", "&amp;$A35&amp;"-"&amp;TEXT(($D35-$C35+1)+15,"00"),"")&amp;IF($C35&gt;=17,", "&amp;$A35&amp;"-"&amp;TEXT(($D35-$C35+1)+16,"00"),"")&amp;IF($C35&gt;=18,", "&amp;$A35&amp;"-"&amp;TEXT(($D35-$C35+1)+17,"00"),"")&amp;IF($C35&gt;=19,", "&amp;$A35&amp;"-"&amp;TEXT(($D35-$C35+1)+18,"00"),"")&amp;IF($C35&gt;=20,", "&amp;$A35&amp;"-"&amp;TEXT(($D35-$C35+1)+19,"00"),"")&amp;IF($C35&gt;=21,", "&amp;$A35&amp;"-"&amp;TEXT(($D35-$C35+1)+20,"00"),"")&amp;IF($C35&gt;=22,", "&amp;$A35&amp;"-"&amp;TEXT(($D35-$C35+1)+21,"00"),"")&amp;IF($C35&gt;=23,", "&amp;$A35&amp;"-"&amp;TEXT(($D35-$C35+1)+22,"00"),"")&amp;IF($C35&gt;=24,", "&amp;$A35&amp;"-"&amp;TEXT(($D35-$C35+1)+23,"00"),"")&amp;IF($C35&gt;=25,", "&amp;$A35&amp;"-"&amp;TEXT(($D35-$C35+1)+24,"00"),""))</f>
        <v/>
      </c>
      <c r="G35">
        <f>IF($A35="","",IF($E35=1,$F35,IF($F35="",$G34,IF($G34="",$F35,$G34&amp;", "&amp;$F35))))</f>
        <v/>
      </c>
      <c r="H35">
        <f>IF($A35="","",$A35&amp;" ("&amp;$C35&amp;")")</f>
        <v/>
      </c>
      <c r="I35">
        <f>IF($A35="","",IF($E35=1,$H35,$I34&amp;", "&amp;$H35))</f>
        <v/>
      </c>
      <c r="J35">
        <f>IF($A35="","",IF($E35=1,$B35,""))</f>
        <v/>
      </c>
      <c r="K35">
        <f>IF($A35="","",IF(COUNTIF($B$2:$B35,$B35)=COUNTIF($B$2:$B$1601,$B35),$B35,""))</f>
        <v/>
      </c>
    </row>
    <row r="36">
      <c r="A36">
        <f>IF('TMP Paste'!$E36="","",'TMP Paste'!$E36)</f>
        <v/>
      </c>
      <c r="B36">
        <f>IF($A36="","",COUNTIF('TMP Paste'!$B$2:$B36,"?*"))</f>
        <v/>
      </c>
      <c r="C36">
        <f>IF($A36="","",IFERROR('TMP Paste'!$M36*1,0))</f>
        <v/>
      </c>
      <c r="D36">
        <f>IF($A36="","",SUMIF($B$2:$B36,$B36,$C$2:$C36))</f>
        <v/>
      </c>
      <c r="E36">
        <f>IF($A36="",0,IF('TMP Paste'!$B36="",0,1))</f>
        <v/>
      </c>
      <c r="F36">
        <f>IF(OR($A36="",$C36&lt;1),"",$A36&amp;"-"&amp;TEXT(($D36-$C36+1),"00")&amp;IF($C36&gt;=2,", "&amp;$A36&amp;"-"&amp;TEXT(($D36-$C36+1)+1,"00"),"")&amp;IF($C36&gt;=3,", "&amp;$A36&amp;"-"&amp;TEXT(($D36-$C36+1)+2,"00"),"")&amp;IF($C36&gt;=4,", "&amp;$A36&amp;"-"&amp;TEXT(($D36-$C36+1)+3,"00"),"")&amp;IF($C36&gt;=5,", "&amp;$A36&amp;"-"&amp;TEXT(($D36-$C36+1)+4,"00"),"")&amp;IF($C36&gt;=6,", "&amp;$A36&amp;"-"&amp;TEXT(($D36-$C36+1)+5,"00"),"")&amp;IF($C36&gt;=7,", "&amp;$A36&amp;"-"&amp;TEXT(($D36-$C36+1)+6,"00"),"")&amp;IF($C36&gt;=8,", "&amp;$A36&amp;"-"&amp;TEXT(($D36-$C36+1)+7,"00"),"")&amp;IF($C36&gt;=9,", "&amp;$A36&amp;"-"&amp;TEXT(($D36-$C36+1)+8,"00"),"")&amp;IF($C36&gt;=10,", "&amp;$A36&amp;"-"&amp;TEXT(($D36-$C36+1)+9,"00"),"")&amp;IF($C36&gt;=11,", "&amp;$A36&amp;"-"&amp;TEXT(($D36-$C36+1)+10,"00"),"")&amp;IF($C36&gt;=12,", "&amp;$A36&amp;"-"&amp;TEXT(($D36-$C36+1)+11,"00"),"")&amp;IF($C36&gt;=13,", "&amp;$A36&amp;"-"&amp;TEXT(($D36-$C36+1)+12,"00"),"")&amp;IF($C36&gt;=14,", "&amp;$A36&amp;"-"&amp;TEXT(($D36-$C36+1)+13,"00"),"")&amp;IF($C36&gt;=15,", "&amp;$A36&amp;"-"&amp;TEXT(($D36-$C36+1)+14,"00"),"")&amp;IF($C36&gt;=16,", "&amp;$A36&amp;"-"&amp;TEXT(($D36-$C36+1)+15,"00"),"")&amp;IF($C36&gt;=17,", "&amp;$A36&amp;"-"&amp;TEXT(($D36-$C36+1)+16,"00"),"")&amp;IF($C36&gt;=18,", "&amp;$A36&amp;"-"&amp;TEXT(($D36-$C36+1)+17,"00"),"")&amp;IF($C36&gt;=19,", "&amp;$A36&amp;"-"&amp;TEXT(($D36-$C36+1)+18,"00"),"")&amp;IF($C36&gt;=20,", "&amp;$A36&amp;"-"&amp;TEXT(($D36-$C36+1)+19,"00"),"")&amp;IF($C36&gt;=21,", "&amp;$A36&amp;"-"&amp;TEXT(($D36-$C36+1)+20,"00"),"")&amp;IF($C36&gt;=22,", "&amp;$A36&amp;"-"&amp;TEXT(($D36-$C36+1)+21,"00"),"")&amp;IF($C36&gt;=23,", "&amp;$A36&amp;"-"&amp;TEXT(($D36-$C36+1)+22,"00"),"")&amp;IF($C36&gt;=24,", "&amp;$A36&amp;"-"&amp;TEXT(($D36-$C36+1)+23,"00"),"")&amp;IF($C36&gt;=25,", "&amp;$A36&amp;"-"&amp;TEXT(($D36-$C36+1)+24,"00"),""))</f>
        <v/>
      </c>
      <c r="G36">
        <f>IF($A36="","",IF($E36=1,$F36,IF($F36="",$G35,IF($G35="",$F36,$G35&amp;", "&amp;$F36))))</f>
        <v/>
      </c>
      <c r="H36">
        <f>IF($A36="","",$A36&amp;" ("&amp;$C36&amp;")")</f>
        <v/>
      </c>
      <c r="I36">
        <f>IF($A36="","",IF($E36=1,$H36,$I35&amp;", "&amp;$H36))</f>
        <v/>
      </c>
      <c r="J36">
        <f>IF($A36="","",IF($E36=1,$B36,""))</f>
        <v/>
      </c>
      <c r="K36">
        <f>IF($A36="","",IF(COUNTIF($B$2:$B36,$B36)=COUNTIF($B$2:$B$1601,$B36),$B36,""))</f>
        <v/>
      </c>
    </row>
    <row r="37">
      <c r="A37">
        <f>IF('TMP Paste'!$E37="","",'TMP Paste'!$E37)</f>
        <v/>
      </c>
      <c r="B37">
        <f>IF($A37="","",COUNTIF('TMP Paste'!$B$2:$B37,"?*"))</f>
        <v/>
      </c>
      <c r="C37">
        <f>IF($A37="","",IFERROR('TMP Paste'!$M37*1,0))</f>
        <v/>
      </c>
      <c r="D37">
        <f>IF($A37="","",SUMIF($B$2:$B37,$B37,$C$2:$C37))</f>
        <v/>
      </c>
      <c r="E37">
        <f>IF($A37="",0,IF('TMP Paste'!$B37="",0,1))</f>
        <v/>
      </c>
      <c r="F37">
        <f>IF(OR($A37="",$C37&lt;1),"",$A37&amp;"-"&amp;TEXT(($D37-$C37+1),"00")&amp;IF($C37&gt;=2,", "&amp;$A37&amp;"-"&amp;TEXT(($D37-$C37+1)+1,"00"),"")&amp;IF($C37&gt;=3,", "&amp;$A37&amp;"-"&amp;TEXT(($D37-$C37+1)+2,"00"),"")&amp;IF($C37&gt;=4,", "&amp;$A37&amp;"-"&amp;TEXT(($D37-$C37+1)+3,"00"),"")&amp;IF($C37&gt;=5,", "&amp;$A37&amp;"-"&amp;TEXT(($D37-$C37+1)+4,"00"),"")&amp;IF($C37&gt;=6,", "&amp;$A37&amp;"-"&amp;TEXT(($D37-$C37+1)+5,"00"),"")&amp;IF($C37&gt;=7,", "&amp;$A37&amp;"-"&amp;TEXT(($D37-$C37+1)+6,"00"),"")&amp;IF($C37&gt;=8,", "&amp;$A37&amp;"-"&amp;TEXT(($D37-$C37+1)+7,"00"),"")&amp;IF($C37&gt;=9,", "&amp;$A37&amp;"-"&amp;TEXT(($D37-$C37+1)+8,"00"),"")&amp;IF($C37&gt;=10,", "&amp;$A37&amp;"-"&amp;TEXT(($D37-$C37+1)+9,"00"),"")&amp;IF($C37&gt;=11,", "&amp;$A37&amp;"-"&amp;TEXT(($D37-$C37+1)+10,"00"),"")&amp;IF($C37&gt;=12,", "&amp;$A37&amp;"-"&amp;TEXT(($D37-$C37+1)+11,"00"),"")&amp;IF($C37&gt;=13,", "&amp;$A37&amp;"-"&amp;TEXT(($D37-$C37+1)+12,"00"),"")&amp;IF($C37&gt;=14,", "&amp;$A37&amp;"-"&amp;TEXT(($D37-$C37+1)+13,"00"),"")&amp;IF($C37&gt;=15,", "&amp;$A37&amp;"-"&amp;TEXT(($D37-$C37+1)+14,"00"),"")&amp;IF($C37&gt;=16,", "&amp;$A37&amp;"-"&amp;TEXT(($D37-$C37+1)+15,"00"),"")&amp;IF($C37&gt;=17,", "&amp;$A37&amp;"-"&amp;TEXT(($D37-$C37+1)+16,"00"),"")&amp;IF($C37&gt;=18,", "&amp;$A37&amp;"-"&amp;TEXT(($D37-$C37+1)+17,"00"),"")&amp;IF($C37&gt;=19,", "&amp;$A37&amp;"-"&amp;TEXT(($D37-$C37+1)+18,"00"),"")&amp;IF($C37&gt;=20,", "&amp;$A37&amp;"-"&amp;TEXT(($D37-$C37+1)+19,"00"),"")&amp;IF($C37&gt;=21,", "&amp;$A37&amp;"-"&amp;TEXT(($D37-$C37+1)+20,"00"),"")&amp;IF($C37&gt;=22,", "&amp;$A37&amp;"-"&amp;TEXT(($D37-$C37+1)+21,"00"),"")&amp;IF($C37&gt;=23,", "&amp;$A37&amp;"-"&amp;TEXT(($D37-$C37+1)+22,"00"),"")&amp;IF($C37&gt;=24,", "&amp;$A37&amp;"-"&amp;TEXT(($D37-$C37+1)+23,"00"),"")&amp;IF($C37&gt;=25,", "&amp;$A37&amp;"-"&amp;TEXT(($D37-$C37+1)+24,"00"),""))</f>
        <v/>
      </c>
      <c r="G37">
        <f>IF($A37="","",IF($E37=1,$F37,IF($F37="",$G36,IF($G36="",$F37,$G36&amp;", "&amp;$F37))))</f>
        <v/>
      </c>
      <c r="H37">
        <f>IF($A37="","",$A37&amp;" ("&amp;$C37&amp;")")</f>
        <v/>
      </c>
      <c r="I37">
        <f>IF($A37="","",IF($E37=1,$H37,$I36&amp;", "&amp;$H37))</f>
        <v/>
      </c>
      <c r="J37">
        <f>IF($A37="","",IF($E37=1,$B37,""))</f>
        <v/>
      </c>
      <c r="K37">
        <f>IF($A37="","",IF(COUNTIF($B$2:$B37,$B37)=COUNTIF($B$2:$B$1601,$B37),$B37,""))</f>
        <v/>
      </c>
    </row>
    <row r="38">
      <c r="A38">
        <f>IF('TMP Paste'!$E38="","",'TMP Paste'!$E38)</f>
        <v/>
      </c>
      <c r="B38">
        <f>IF($A38="","",COUNTIF('TMP Paste'!$B$2:$B38,"?*"))</f>
        <v/>
      </c>
      <c r="C38">
        <f>IF($A38="","",IFERROR('TMP Paste'!$M38*1,0))</f>
        <v/>
      </c>
      <c r="D38">
        <f>IF($A38="","",SUMIF($B$2:$B38,$B38,$C$2:$C38))</f>
        <v/>
      </c>
      <c r="E38">
        <f>IF($A38="",0,IF('TMP Paste'!$B38="",0,1))</f>
        <v/>
      </c>
      <c r="F38">
        <f>IF(OR($A38="",$C38&lt;1),"",$A38&amp;"-"&amp;TEXT(($D38-$C38+1),"00")&amp;IF($C38&gt;=2,", "&amp;$A38&amp;"-"&amp;TEXT(($D38-$C38+1)+1,"00"),"")&amp;IF($C38&gt;=3,", "&amp;$A38&amp;"-"&amp;TEXT(($D38-$C38+1)+2,"00"),"")&amp;IF($C38&gt;=4,", "&amp;$A38&amp;"-"&amp;TEXT(($D38-$C38+1)+3,"00"),"")&amp;IF($C38&gt;=5,", "&amp;$A38&amp;"-"&amp;TEXT(($D38-$C38+1)+4,"00"),"")&amp;IF($C38&gt;=6,", "&amp;$A38&amp;"-"&amp;TEXT(($D38-$C38+1)+5,"00"),"")&amp;IF($C38&gt;=7,", "&amp;$A38&amp;"-"&amp;TEXT(($D38-$C38+1)+6,"00"),"")&amp;IF($C38&gt;=8,", "&amp;$A38&amp;"-"&amp;TEXT(($D38-$C38+1)+7,"00"),"")&amp;IF($C38&gt;=9,", "&amp;$A38&amp;"-"&amp;TEXT(($D38-$C38+1)+8,"00"),"")&amp;IF($C38&gt;=10,", "&amp;$A38&amp;"-"&amp;TEXT(($D38-$C38+1)+9,"00"),"")&amp;IF($C38&gt;=11,", "&amp;$A38&amp;"-"&amp;TEXT(($D38-$C38+1)+10,"00"),"")&amp;IF($C38&gt;=12,", "&amp;$A38&amp;"-"&amp;TEXT(($D38-$C38+1)+11,"00"),"")&amp;IF($C38&gt;=13,", "&amp;$A38&amp;"-"&amp;TEXT(($D38-$C38+1)+12,"00"),"")&amp;IF($C38&gt;=14,", "&amp;$A38&amp;"-"&amp;TEXT(($D38-$C38+1)+13,"00"),"")&amp;IF($C38&gt;=15,", "&amp;$A38&amp;"-"&amp;TEXT(($D38-$C38+1)+14,"00"),"")&amp;IF($C38&gt;=16,", "&amp;$A38&amp;"-"&amp;TEXT(($D38-$C38+1)+15,"00"),"")&amp;IF($C38&gt;=17,", "&amp;$A38&amp;"-"&amp;TEXT(($D38-$C38+1)+16,"00"),"")&amp;IF($C38&gt;=18,", "&amp;$A38&amp;"-"&amp;TEXT(($D38-$C38+1)+17,"00"),"")&amp;IF($C38&gt;=19,", "&amp;$A38&amp;"-"&amp;TEXT(($D38-$C38+1)+18,"00"),"")&amp;IF($C38&gt;=20,", "&amp;$A38&amp;"-"&amp;TEXT(($D38-$C38+1)+19,"00"),"")&amp;IF($C38&gt;=21,", "&amp;$A38&amp;"-"&amp;TEXT(($D38-$C38+1)+20,"00"),"")&amp;IF($C38&gt;=22,", "&amp;$A38&amp;"-"&amp;TEXT(($D38-$C38+1)+21,"00"),"")&amp;IF($C38&gt;=23,", "&amp;$A38&amp;"-"&amp;TEXT(($D38-$C38+1)+22,"00"),"")&amp;IF($C38&gt;=24,", "&amp;$A38&amp;"-"&amp;TEXT(($D38-$C38+1)+23,"00"),"")&amp;IF($C38&gt;=25,", "&amp;$A38&amp;"-"&amp;TEXT(($D38-$C38+1)+24,"00"),""))</f>
        <v/>
      </c>
      <c r="G38">
        <f>IF($A38="","",IF($E38=1,$F38,IF($F38="",$G37,IF($G37="",$F38,$G37&amp;", "&amp;$F38))))</f>
        <v/>
      </c>
      <c r="H38">
        <f>IF($A38="","",$A38&amp;" ("&amp;$C38&amp;")")</f>
        <v/>
      </c>
      <c r="I38">
        <f>IF($A38="","",IF($E38=1,$H38,$I37&amp;", "&amp;$H38))</f>
        <v/>
      </c>
      <c r="J38">
        <f>IF($A38="","",IF($E38=1,$B38,""))</f>
        <v/>
      </c>
      <c r="K38">
        <f>IF($A38="","",IF(COUNTIF($B$2:$B38,$B38)=COUNTIF($B$2:$B$1601,$B38),$B38,""))</f>
        <v/>
      </c>
    </row>
    <row r="39">
      <c r="A39">
        <f>IF('TMP Paste'!$E39="","",'TMP Paste'!$E39)</f>
        <v/>
      </c>
      <c r="B39">
        <f>IF($A39="","",COUNTIF('TMP Paste'!$B$2:$B39,"?*"))</f>
        <v/>
      </c>
      <c r="C39">
        <f>IF($A39="","",IFERROR('TMP Paste'!$M39*1,0))</f>
        <v/>
      </c>
      <c r="D39">
        <f>IF($A39="","",SUMIF($B$2:$B39,$B39,$C$2:$C39))</f>
        <v/>
      </c>
      <c r="E39">
        <f>IF($A39="",0,IF('TMP Paste'!$B39="",0,1))</f>
        <v/>
      </c>
      <c r="F39">
        <f>IF(OR($A39="",$C39&lt;1),"",$A39&amp;"-"&amp;TEXT(($D39-$C39+1),"00")&amp;IF($C39&gt;=2,", "&amp;$A39&amp;"-"&amp;TEXT(($D39-$C39+1)+1,"00"),"")&amp;IF($C39&gt;=3,", "&amp;$A39&amp;"-"&amp;TEXT(($D39-$C39+1)+2,"00"),"")&amp;IF($C39&gt;=4,", "&amp;$A39&amp;"-"&amp;TEXT(($D39-$C39+1)+3,"00"),"")&amp;IF($C39&gt;=5,", "&amp;$A39&amp;"-"&amp;TEXT(($D39-$C39+1)+4,"00"),"")&amp;IF($C39&gt;=6,", "&amp;$A39&amp;"-"&amp;TEXT(($D39-$C39+1)+5,"00"),"")&amp;IF($C39&gt;=7,", "&amp;$A39&amp;"-"&amp;TEXT(($D39-$C39+1)+6,"00"),"")&amp;IF($C39&gt;=8,", "&amp;$A39&amp;"-"&amp;TEXT(($D39-$C39+1)+7,"00"),"")&amp;IF($C39&gt;=9,", "&amp;$A39&amp;"-"&amp;TEXT(($D39-$C39+1)+8,"00"),"")&amp;IF($C39&gt;=10,", "&amp;$A39&amp;"-"&amp;TEXT(($D39-$C39+1)+9,"00"),"")&amp;IF($C39&gt;=11,", "&amp;$A39&amp;"-"&amp;TEXT(($D39-$C39+1)+10,"00"),"")&amp;IF($C39&gt;=12,", "&amp;$A39&amp;"-"&amp;TEXT(($D39-$C39+1)+11,"00"),"")&amp;IF($C39&gt;=13,", "&amp;$A39&amp;"-"&amp;TEXT(($D39-$C39+1)+12,"00"),"")&amp;IF($C39&gt;=14,", "&amp;$A39&amp;"-"&amp;TEXT(($D39-$C39+1)+13,"00"),"")&amp;IF($C39&gt;=15,", "&amp;$A39&amp;"-"&amp;TEXT(($D39-$C39+1)+14,"00"),"")&amp;IF($C39&gt;=16,", "&amp;$A39&amp;"-"&amp;TEXT(($D39-$C39+1)+15,"00"),"")&amp;IF($C39&gt;=17,", "&amp;$A39&amp;"-"&amp;TEXT(($D39-$C39+1)+16,"00"),"")&amp;IF($C39&gt;=18,", "&amp;$A39&amp;"-"&amp;TEXT(($D39-$C39+1)+17,"00"),"")&amp;IF($C39&gt;=19,", "&amp;$A39&amp;"-"&amp;TEXT(($D39-$C39+1)+18,"00"),"")&amp;IF($C39&gt;=20,", "&amp;$A39&amp;"-"&amp;TEXT(($D39-$C39+1)+19,"00"),"")&amp;IF($C39&gt;=21,", "&amp;$A39&amp;"-"&amp;TEXT(($D39-$C39+1)+20,"00"),"")&amp;IF($C39&gt;=22,", "&amp;$A39&amp;"-"&amp;TEXT(($D39-$C39+1)+21,"00"),"")&amp;IF($C39&gt;=23,", "&amp;$A39&amp;"-"&amp;TEXT(($D39-$C39+1)+22,"00"),"")&amp;IF($C39&gt;=24,", "&amp;$A39&amp;"-"&amp;TEXT(($D39-$C39+1)+23,"00"),"")&amp;IF($C39&gt;=25,", "&amp;$A39&amp;"-"&amp;TEXT(($D39-$C39+1)+24,"00"),""))</f>
        <v/>
      </c>
      <c r="G39">
        <f>IF($A39="","",IF($E39=1,$F39,IF($F39="",$G38,IF($G38="",$F39,$G38&amp;", "&amp;$F39))))</f>
        <v/>
      </c>
      <c r="H39">
        <f>IF($A39="","",$A39&amp;" ("&amp;$C39&amp;")")</f>
        <v/>
      </c>
      <c r="I39">
        <f>IF($A39="","",IF($E39=1,$H39,$I38&amp;", "&amp;$H39))</f>
        <v/>
      </c>
      <c r="J39">
        <f>IF($A39="","",IF($E39=1,$B39,""))</f>
        <v/>
      </c>
      <c r="K39">
        <f>IF($A39="","",IF(COUNTIF($B$2:$B39,$B39)=COUNTIF($B$2:$B$1601,$B39),$B39,""))</f>
        <v/>
      </c>
    </row>
    <row r="40">
      <c r="A40">
        <f>IF('TMP Paste'!$E40="","",'TMP Paste'!$E40)</f>
        <v/>
      </c>
      <c r="B40">
        <f>IF($A40="","",COUNTIF('TMP Paste'!$B$2:$B40,"?*"))</f>
        <v/>
      </c>
      <c r="C40">
        <f>IF($A40="","",IFERROR('TMP Paste'!$M40*1,0))</f>
        <v/>
      </c>
      <c r="D40">
        <f>IF($A40="","",SUMIF($B$2:$B40,$B40,$C$2:$C40))</f>
        <v/>
      </c>
      <c r="E40">
        <f>IF($A40="",0,IF('TMP Paste'!$B40="",0,1))</f>
        <v/>
      </c>
      <c r="F40">
        <f>IF(OR($A40="",$C40&lt;1),"",$A40&amp;"-"&amp;TEXT(($D40-$C40+1),"00")&amp;IF($C40&gt;=2,", "&amp;$A40&amp;"-"&amp;TEXT(($D40-$C40+1)+1,"00"),"")&amp;IF($C40&gt;=3,", "&amp;$A40&amp;"-"&amp;TEXT(($D40-$C40+1)+2,"00"),"")&amp;IF($C40&gt;=4,", "&amp;$A40&amp;"-"&amp;TEXT(($D40-$C40+1)+3,"00"),"")&amp;IF($C40&gt;=5,", "&amp;$A40&amp;"-"&amp;TEXT(($D40-$C40+1)+4,"00"),"")&amp;IF($C40&gt;=6,", "&amp;$A40&amp;"-"&amp;TEXT(($D40-$C40+1)+5,"00"),"")&amp;IF($C40&gt;=7,", "&amp;$A40&amp;"-"&amp;TEXT(($D40-$C40+1)+6,"00"),"")&amp;IF($C40&gt;=8,", "&amp;$A40&amp;"-"&amp;TEXT(($D40-$C40+1)+7,"00"),"")&amp;IF($C40&gt;=9,", "&amp;$A40&amp;"-"&amp;TEXT(($D40-$C40+1)+8,"00"),"")&amp;IF($C40&gt;=10,", "&amp;$A40&amp;"-"&amp;TEXT(($D40-$C40+1)+9,"00"),"")&amp;IF($C40&gt;=11,", "&amp;$A40&amp;"-"&amp;TEXT(($D40-$C40+1)+10,"00"),"")&amp;IF($C40&gt;=12,", "&amp;$A40&amp;"-"&amp;TEXT(($D40-$C40+1)+11,"00"),"")&amp;IF($C40&gt;=13,", "&amp;$A40&amp;"-"&amp;TEXT(($D40-$C40+1)+12,"00"),"")&amp;IF($C40&gt;=14,", "&amp;$A40&amp;"-"&amp;TEXT(($D40-$C40+1)+13,"00"),"")&amp;IF($C40&gt;=15,", "&amp;$A40&amp;"-"&amp;TEXT(($D40-$C40+1)+14,"00"),"")&amp;IF($C40&gt;=16,", "&amp;$A40&amp;"-"&amp;TEXT(($D40-$C40+1)+15,"00"),"")&amp;IF($C40&gt;=17,", "&amp;$A40&amp;"-"&amp;TEXT(($D40-$C40+1)+16,"00"),"")&amp;IF($C40&gt;=18,", "&amp;$A40&amp;"-"&amp;TEXT(($D40-$C40+1)+17,"00"),"")&amp;IF($C40&gt;=19,", "&amp;$A40&amp;"-"&amp;TEXT(($D40-$C40+1)+18,"00"),"")&amp;IF($C40&gt;=20,", "&amp;$A40&amp;"-"&amp;TEXT(($D40-$C40+1)+19,"00"),"")&amp;IF($C40&gt;=21,", "&amp;$A40&amp;"-"&amp;TEXT(($D40-$C40+1)+20,"00"),"")&amp;IF($C40&gt;=22,", "&amp;$A40&amp;"-"&amp;TEXT(($D40-$C40+1)+21,"00"),"")&amp;IF($C40&gt;=23,", "&amp;$A40&amp;"-"&amp;TEXT(($D40-$C40+1)+22,"00"),"")&amp;IF($C40&gt;=24,", "&amp;$A40&amp;"-"&amp;TEXT(($D40-$C40+1)+23,"00"),"")&amp;IF($C40&gt;=25,", "&amp;$A40&amp;"-"&amp;TEXT(($D40-$C40+1)+24,"00"),""))</f>
        <v/>
      </c>
      <c r="G40">
        <f>IF($A40="","",IF($E40=1,$F40,IF($F40="",$G39,IF($G39="",$F40,$G39&amp;", "&amp;$F40))))</f>
        <v/>
      </c>
      <c r="H40">
        <f>IF($A40="","",$A40&amp;" ("&amp;$C40&amp;")")</f>
        <v/>
      </c>
      <c r="I40">
        <f>IF($A40="","",IF($E40=1,$H40,$I39&amp;", "&amp;$H40))</f>
        <v/>
      </c>
      <c r="J40">
        <f>IF($A40="","",IF($E40=1,$B40,""))</f>
        <v/>
      </c>
      <c r="K40">
        <f>IF($A40="","",IF(COUNTIF($B$2:$B40,$B40)=COUNTIF($B$2:$B$1601,$B40),$B40,""))</f>
        <v/>
      </c>
    </row>
    <row r="41">
      <c r="A41">
        <f>IF('TMP Paste'!$E41="","",'TMP Paste'!$E41)</f>
        <v/>
      </c>
      <c r="B41">
        <f>IF($A41="","",COUNTIF('TMP Paste'!$B$2:$B41,"?*"))</f>
        <v/>
      </c>
      <c r="C41">
        <f>IF($A41="","",IFERROR('TMP Paste'!$M41*1,0))</f>
        <v/>
      </c>
      <c r="D41">
        <f>IF($A41="","",SUMIF($B$2:$B41,$B41,$C$2:$C41))</f>
        <v/>
      </c>
      <c r="E41">
        <f>IF($A41="",0,IF('TMP Paste'!$B41="",0,1))</f>
        <v/>
      </c>
      <c r="F41">
        <f>IF(OR($A41="",$C41&lt;1),"",$A41&amp;"-"&amp;TEXT(($D41-$C41+1),"00")&amp;IF($C41&gt;=2,", "&amp;$A41&amp;"-"&amp;TEXT(($D41-$C41+1)+1,"00"),"")&amp;IF($C41&gt;=3,", "&amp;$A41&amp;"-"&amp;TEXT(($D41-$C41+1)+2,"00"),"")&amp;IF($C41&gt;=4,", "&amp;$A41&amp;"-"&amp;TEXT(($D41-$C41+1)+3,"00"),"")&amp;IF($C41&gt;=5,", "&amp;$A41&amp;"-"&amp;TEXT(($D41-$C41+1)+4,"00"),"")&amp;IF($C41&gt;=6,", "&amp;$A41&amp;"-"&amp;TEXT(($D41-$C41+1)+5,"00"),"")&amp;IF($C41&gt;=7,", "&amp;$A41&amp;"-"&amp;TEXT(($D41-$C41+1)+6,"00"),"")&amp;IF($C41&gt;=8,", "&amp;$A41&amp;"-"&amp;TEXT(($D41-$C41+1)+7,"00"),"")&amp;IF($C41&gt;=9,", "&amp;$A41&amp;"-"&amp;TEXT(($D41-$C41+1)+8,"00"),"")&amp;IF($C41&gt;=10,", "&amp;$A41&amp;"-"&amp;TEXT(($D41-$C41+1)+9,"00"),"")&amp;IF($C41&gt;=11,", "&amp;$A41&amp;"-"&amp;TEXT(($D41-$C41+1)+10,"00"),"")&amp;IF($C41&gt;=12,", "&amp;$A41&amp;"-"&amp;TEXT(($D41-$C41+1)+11,"00"),"")&amp;IF($C41&gt;=13,", "&amp;$A41&amp;"-"&amp;TEXT(($D41-$C41+1)+12,"00"),"")&amp;IF($C41&gt;=14,", "&amp;$A41&amp;"-"&amp;TEXT(($D41-$C41+1)+13,"00"),"")&amp;IF($C41&gt;=15,", "&amp;$A41&amp;"-"&amp;TEXT(($D41-$C41+1)+14,"00"),"")&amp;IF($C41&gt;=16,", "&amp;$A41&amp;"-"&amp;TEXT(($D41-$C41+1)+15,"00"),"")&amp;IF($C41&gt;=17,", "&amp;$A41&amp;"-"&amp;TEXT(($D41-$C41+1)+16,"00"),"")&amp;IF($C41&gt;=18,", "&amp;$A41&amp;"-"&amp;TEXT(($D41-$C41+1)+17,"00"),"")&amp;IF($C41&gt;=19,", "&amp;$A41&amp;"-"&amp;TEXT(($D41-$C41+1)+18,"00"),"")&amp;IF($C41&gt;=20,", "&amp;$A41&amp;"-"&amp;TEXT(($D41-$C41+1)+19,"00"),"")&amp;IF($C41&gt;=21,", "&amp;$A41&amp;"-"&amp;TEXT(($D41-$C41+1)+20,"00"),"")&amp;IF($C41&gt;=22,", "&amp;$A41&amp;"-"&amp;TEXT(($D41-$C41+1)+21,"00"),"")&amp;IF($C41&gt;=23,", "&amp;$A41&amp;"-"&amp;TEXT(($D41-$C41+1)+22,"00"),"")&amp;IF($C41&gt;=24,", "&amp;$A41&amp;"-"&amp;TEXT(($D41-$C41+1)+23,"00"),"")&amp;IF($C41&gt;=25,", "&amp;$A41&amp;"-"&amp;TEXT(($D41-$C41+1)+24,"00"),""))</f>
        <v/>
      </c>
      <c r="G41">
        <f>IF($A41="","",IF($E41=1,$F41,IF($F41="",$G40,IF($G40="",$F41,$G40&amp;", "&amp;$F41))))</f>
        <v/>
      </c>
      <c r="H41">
        <f>IF($A41="","",$A41&amp;" ("&amp;$C41&amp;")")</f>
        <v/>
      </c>
      <c r="I41">
        <f>IF($A41="","",IF($E41=1,$H41,$I40&amp;", "&amp;$H41))</f>
        <v/>
      </c>
      <c r="J41">
        <f>IF($A41="","",IF($E41=1,$B41,""))</f>
        <v/>
      </c>
      <c r="K41">
        <f>IF($A41="","",IF(COUNTIF($B$2:$B41,$B41)=COUNTIF($B$2:$B$1601,$B41),$B41,""))</f>
        <v/>
      </c>
    </row>
    <row r="42">
      <c r="A42">
        <f>IF('TMP Paste'!$E42="","",'TMP Paste'!$E42)</f>
        <v/>
      </c>
      <c r="B42">
        <f>IF($A42="","",COUNTIF('TMP Paste'!$B$2:$B42,"?*"))</f>
        <v/>
      </c>
      <c r="C42">
        <f>IF($A42="","",IFERROR('TMP Paste'!$M42*1,0))</f>
        <v/>
      </c>
      <c r="D42">
        <f>IF($A42="","",SUMIF($B$2:$B42,$B42,$C$2:$C42))</f>
        <v/>
      </c>
      <c r="E42">
        <f>IF($A42="",0,IF('TMP Paste'!$B42="",0,1))</f>
        <v/>
      </c>
      <c r="F42">
        <f>IF(OR($A42="",$C42&lt;1),"",$A42&amp;"-"&amp;TEXT(($D42-$C42+1),"00")&amp;IF($C42&gt;=2,", "&amp;$A42&amp;"-"&amp;TEXT(($D42-$C42+1)+1,"00"),"")&amp;IF($C42&gt;=3,", "&amp;$A42&amp;"-"&amp;TEXT(($D42-$C42+1)+2,"00"),"")&amp;IF($C42&gt;=4,", "&amp;$A42&amp;"-"&amp;TEXT(($D42-$C42+1)+3,"00"),"")&amp;IF($C42&gt;=5,", "&amp;$A42&amp;"-"&amp;TEXT(($D42-$C42+1)+4,"00"),"")&amp;IF($C42&gt;=6,", "&amp;$A42&amp;"-"&amp;TEXT(($D42-$C42+1)+5,"00"),"")&amp;IF($C42&gt;=7,", "&amp;$A42&amp;"-"&amp;TEXT(($D42-$C42+1)+6,"00"),"")&amp;IF($C42&gt;=8,", "&amp;$A42&amp;"-"&amp;TEXT(($D42-$C42+1)+7,"00"),"")&amp;IF($C42&gt;=9,", "&amp;$A42&amp;"-"&amp;TEXT(($D42-$C42+1)+8,"00"),"")&amp;IF($C42&gt;=10,", "&amp;$A42&amp;"-"&amp;TEXT(($D42-$C42+1)+9,"00"),"")&amp;IF($C42&gt;=11,", "&amp;$A42&amp;"-"&amp;TEXT(($D42-$C42+1)+10,"00"),"")&amp;IF($C42&gt;=12,", "&amp;$A42&amp;"-"&amp;TEXT(($D42-$C42+1)+11,"00"),"")&amp;IF($C42&gt;=13,", "&amp;$A42&amp;"-"&amp;TEXT(($D42-$C42+1)+12,"00"),"")&amp;IF($C42&gt;=14,", "&amp;$A42&amp;"-"&amp;TEXT(($D42-$C42+1)+13,"00"),"")&amp;IF($C42&gt;=15,", "&amp;$A42&amp;"-"&amp;TEXT(($D42-$C42+1)+14,"00"),"")&amp;IF($C42&gt;=16,", "&amp;$A42&amp;"-"&amp;TEXT(($D42-$C42+1)+15,"00"),"")&amp;IF($C42&gt;=17,", "&amp;$A42&amp;"-"&amp;TEXT(($D42-$C42+1)+16,"00"),"")&amp;IF($C42&gt;=18,", "&amp;$A42&amp;"-"&amp;TEXT(($D42-$C42+1)+17,"00"),"")&amp;IF($C42&gt;=19,", "&amp;$A42&amp;"-"&amp;TEXT(($D42-$C42+1)+18,"00"),"")&amp;IF($C42&gt;=20,", "&amp;$A42&amp;"-"&amp;TEXT(($D42-$C42+1)+19,"00"),"")&amp;IF($C42&gt;=21,", "&amp;$A42&amp;"-"&amp;TEXT(($D42-$C42+1)+20,"00"),"")&amp;IF($C42&gt;=22,", "&amp;$A42&amp;"-"&amp;TEXT(($D42-$C42+1)+21,"00"),"")&amp;IF($C42&gt;=23,", "&amp;$A42&amp;"-"&amp;TEXT(($D42-$C42+1)+22,"00"),"")&amp;IF($C42&gt;=24,", "&amp;$A42&amp;"-"&amp;TEXT(($D42-$C42+1)+23,"00"),"")&amp;IF($C42&gt;=25,", "&amp;$A42&amp;"-"&amp;TEXT(($D42-$C42+1)+24,"00"),""))</f>
        <v/>
      </c>
      <c r="G42">
        <f>IF($A42="","",IF($E42=1,$F42,IF($F42="",$G41,IF($G41="",$F42,$G41&amp;", "&amp;$F42))))</f>
        <v/>
      </c>
      <c r="H42">
        <f>IF($A42="","",$A42&amp;" ("&amp;$C42&amp;")")</f>
        <v/>
      </c>
      <c r="I42">
        <f>IF($A42="","",IF($E42=1,$H42,$I41&amp;", "&amp;$H42))</f>
        <v/>
      </c>
      <c r="J42">
        <f>IF($A42="","",IF($E42=1,$B42,""))</f>
        <v/>
      </c>
      <c r="K42">
        <f>IF($A42="","",IF(COUNTIF($B$2:$B42,$B42)=COUNTIF($B$2:$B$1601,$B42),$B42,""))</f>
        <v/>
      </c>
    </row>
    <row r="43">
      <c r="A43">
        <f>IF('TMP Paste'!$E43="","",'TMP Paste'!$E43)</f>
        <v/>
      </c>
      <c r="B43">
        <f>IF($A43="","",COUNTIF('TMP Paste'!$B$2:$B43,"?*"))</f>
        <v/>
      </c>
      <c r="C43">
        <f>IF($A43="","",IFERROR('TMP Paste'!$M43*1,0))</f>
        <v/>
      </c>
      <c r="D43">
        <f>IF($A43="","",SUMIF($B$2:$B43,$B43,$C$2:$C43))</f>
        <v/>
      </c>
      <c r="E43">
        <f>IF($A43="",0,IF('TMP Paste'!$B43="",0,1))</f>
        <v/>
      </c>
      <c r="F43">
        <f>IF(OR($A43="",$C43&lt;1),"",$A43&amp;"-"&amp;TEXT(($D43-$C43+1),"00")&amp;IF($C43&gt;=2,", "&amp;$A43&amp;"-"&amp;TEXT(($D43-$C43+1)+1,"00"),"")&amp;IF($C43&gt;=3,", "&amp;$A43&amp;"-"&amp;TEXT(($D43-$C43+1)+2,"00"),"")&amp;IF($C43&gt;=4,", "&amp;$A43&amp;"-"&amp;TEXT(($D43-$C43+1)+3,"00"),"")&amp;IF($C43&gt;=5,", "&amp;$A43&amp;"-"&amp;TEXT(($D43-$C43+1)+4,"00"),"")&amp;IF($C43&gt;=6,", "&amp;$A43&amp;"-"&amp;TEXT(($D43-$C43+1)+5,"00"),"")&amp;IF($C43&gt;=7,", "&amp;$A43&amp;"-"&amp;TEXT(($D43-$C43+1)+6,"00"),"")&amp;IF($C43&gt;=8,", "&amp;$A43&amp;"-"&amp;TEXT(($D43-$C43+1)+7,"00"),"")&amp;IF($C43&gt;=9,", "&amp;$A43&amp;"-"&amp;TEXT(($D43-$C43+1)+8,"00"),"")&amp;IF($C43&gt;=10,", "&amp;$A43&amp;"-"&amp;TEXT(($D43-$C43+1)+9,"00"),"")&amp;IF($C43&gt;=11,", "&amp;$A43&amp;"-"&amp;TEXT(($D43-$C43+1)+10,"00"),"")&amp;IF($C43&gt;=12,", "&amp;$A43&amp;"-"&amp;TEXT(($D43-$C43+1)+11,"00"),"")&amp;IF($C43&gt;=13,", "&amp;$A43&amp;"-"&amp;TEXT(($D43-$C43+1)+12,"00"),"")&amp;IF($C43&gt;=14,", "&amp;$A43&amp;"-"&amp;TEXT(($D43-$C43+1)+13,"00"),"")&amp;IF($C43&gt;=15,", "&amp;$A43&amp;"-"&amp;TEXT(($D43-$C43+1)+14,"00"),"")&amp;IF($C43&gt;=16,", "&amp;$A43&amp;"-"&amp;TEXT(($D43-$C43+1)+15,"00"),"")&amp;IF($C43&gt;=17,", "&amp;$A43&amp;"-"&amp;TEXT(($D43-$C43+1)+16,"00"),"")&amp;IF($C43&gt;=18,", "&amp;$A43&amp;"-"&amp;TEXT(($D43-$C43+1)+17,"00"),"")&amp;IF($C43&gt;=19,", "&amp;$A43&amp;"-"&amp;TEXT(($D43-$C43+1)+18,"00"),"")&amp;IF($C43&gt;=20,", "&amp;$A43&amp;"-"&amp;TEXT(($D43-$C43+1)+19,"00"),"")&amp;IF($C43&gt;=21,", "&amp;$A43&amp;"-"&amp;TEXT(($D43-$C43+1)+20,"00"),"")&amp;IF($C43&gt;=22,", "&amp;$A43&amp;"-"&amp;TEXT(($D43-$C43+1)+21,"00"),"")&amp;IF($C43&gt;=23,", "&amp;$A43&amp;"-"&amp;TEXT(($D43-$C43+1)+22,"00"),"")&amp;IF($C43&gt;=24,", "&amp;$A43&amp;"-"&amp;TEXT(($D43-$C43+1)+23,"00"),"")&amp;IF($C43&gt;=25,", "&amp;$A43&amp;"-"&amp;TEXT(($D43-$C43+1)+24,"00"),""))</f>
        <v/>
      </c>
      <c r="G43">
        <f>IF($A43="","",IF($E43=1,$F43,IF($F43="",$G42,IF($G42="",$F43,$G42&amp;", "&amp;$F43))))</f>
        <v/>
      </c>
      <c r="H43">
        <f>IF($A43="","",$A43&amp;" ("&amp;$C43&amp;")")</f>
        <v/>
      </c>
      <c r="I43">
        <f>IF($A43="","",IF($E43=1,$H43,$I42&amp;", "&amp;$H43))</f>
        <v/>
      </c>
      <c r="J43">
        <f>IF($A43="","",IF($E43=1,$B43,""))</f>
        <v/>
      </c>
      <c r="K43">
        <f>IF($A43="","",IF(COUNTIF($B$2:$B43,$B43)=COUNTIF($B$2:$B$1601,$B43),$B43,""))</f>
        <v/>
      </c>
    </row>
    <row r="44">
      <c r="A44">
        <f>IF('TMP Paste'!$E44="","",'TMP Paste'!$E44)</f>
        <v/>
      </c>
      <c r="B44">
        <f>IF($A44="","",COUNTIF('TMP Paste'!$B$2:$B44,"?*"))</f>
        <v/>
      </c>
      <c r="C44">
        <f>IF($A44="","",IFERROR('TMP Paste'!$M44*1,0))</f>
        <v/>
      </c>
      <c r="D44">
        <f>IF($A44="","",SUMIF($B$2:$B44,$B44,$C$2:$C44))</f>
        <v/>
      </c>
      <c r="E44">
        <f>IF($A44="",0,IF('TMP Paste'!$B44="",0,1))</f>
        <v/>
      </c>
      <c r="F44">
        <f>IF(OR($A44="",$C44&lt;1),"",$A44&amp;"-"&amp;TEXT(($D44-$C44+1),"00")&amp;IF($C44&gt;=2,", "&amp;$A44&amp;"-"&amp;TEXT(($D44-$C44+1)+1,"00"),"")&amp;IF($C44&gt;=3,", "&amp;$A44&amp;"-"&amp;TEXT(($D44-$C44+1)+2,"00"),"")&amp;IF($C44&gt;=4,", "&amp;$A44&amp;"-"&amp;TEXT(($D44-$C44+1)+3,"00"),"")&amp;IF($C44&gt;=5,", "&amp;$A44&amp;"-"&amp;TEXT(($D44-$C44+1)+4,"00"),"")&amp;IF($C44&gt;=6,", "&amp;$A44&amp;"-"&amp;TEXT(($D44-$C44+1)+5,"00"),"")&amp;IF($C44&gt;=7,", "&amp;$A44&amp;"-"&amp;TEXT(($D44-$C44+1)+6,"00"),"")&amp;IF($C44&gt;=8,", "&amp;$A44&amp;"-"&amp;TEXT(($D44-$C44+1)+7,"00"),"")&amp;IF($C44&gt;=9,", "&amp;$A44&amp;"-"&amp;TEXT(($D44-$C44+1)+8,"00"),"")&amp;IF($C44&gt;=10,", "&amp;$A44&amp;"-"&amp;TEXT(($D44-$C44+1)+9,"00"),"")&amp;IF($C44&gt;=11,", "&amp;$A44&amp;"-"&amp;TEXT(($D44-$C44+1)+10,"00"),"")&amp;IF($C44&gt;=12,", "&amp;$A44&amp;"-"&amp;TEXT(($D44-$C44+1)+11,"00"),"")&amp;IF($C44&gt;=13,", "&amp;$A44&amp;"-"&amp;TEXT(($D44-$C44+1)+12,"00"),"")&amp;IF($C44&gt;=14,", "&amp;$A44&amp;"-"&amp;TEXT(($D44-$C44+1)+13,"00"),"")&amp;IF($C44&gt;=15,", "&amp;$A44&amp;"-"&amp;TEXT(($D44-$C44+1)+14,"00"),"")&amp;IF($C44&gt;=16,", "&amp;$A44&amp;"-"&amp;TEXT(($D44-$C44+1)+15,"00"),"")&amp;IF($C44&gt;=17,", "&amp;$A44&amp;"-"&amp;TEXT(($D44-$C44+1)+16,"00"),"")&amp;IF($C44&gt;=18,", "&amp;$A44&amp;"-"&amp;TEXT(($D44-$C44+1)+17,"00"),"")&amp;IF($C44&gt;=19,", "&amp;$A44&amp;"-"&amp;TEXT(($D44-$C44+1)+18,"00"),"")&amp;IF($C44&gt;=20,", "&amp;$A44&amp;"-"&amp;TEXT(($D44-$C44+1)+19,"00"),"")&amp;IF($C44&gt;=21,", "&amp;$A44&amp;"-"&amp;TEXT(($D44-$C44+1)+20,"00"),"")&amp;IF($C44&gt;=22,", "&amp;$A44&amp;"-"&amp;TEXT(($D44-$C44+1)+21,"00"),"")&amp;IF($C44&gt;=23,", "&amp;$A44&amp;"-"&amp;TEXT(($D44-$C44+1)+22,"00"),"")&amp;IF($C44&gt;=24,", "&amp;$A44&amp;"-"&amp;TEXT(($D44-$C44+1)+23,"00"),"")&amp;IF($C44&gt;=25,", "&amp;$A44&amp;"-"&amp;TEXT(($D44-$C44+1)+24,"00"),""))</f>
        <v/>
      </c>
      <c r="G44">
        <f>IF($A44="","",IF($E44=1,$F44,IF($F44="",$G43,IF($G43="",$F44,$G43&amp;", "&amp;$F44))))</f>
        <v/>
      </c>
      <c r="H44">
        <f>IF($A44="","",$A44&amp;" ("&amp;$C44&amp;")")</f>
        <v/>
      </c>
      <c r="I44">
        <f>IF($A44="","",IF($E44=1,$H44,$I43&amp;", "&amp;$H44))</f>
        <v/>
      </c>
      <c r="J44">
        <f>IF($A44="","",IF($E44=1,$B44,""))</f>
        <v/>
      </c>
      <c r="K44">
        <f>IF($A44="","",IF(COUNTIF($B$2:$B44,$B44)=COUNTIF($B$2:$B$1601,$B44),$B44,""))</f>
        <v/>
      </c>
    </row>
    <row r="45">
      <c r="A45">
        <f>IF('TMP Paste'!$E45="","",'TMP Paste'!$E45)</f>
        <v/>
      </c>
      <c r="B45">
        <f>IF($A45="","",COUNTIF('TMP Paste'!$B$2:$B45,"?*"))</f>
        <v/>
      </c>
      <c r="C45">
        <f>IF($A45="","",IFERROR('TMP Paste'!$M45*1,0))</f>
        <v/>
      </c>
      <c r="D45">
        <f>IF($A45="","",SUMIF($B$2:$B45,$B45,$C$2:$C45))</f>
        <v/>
      </c>
      <c r="E45">
        <f>IF($A45="",0,IF('TMP Paste'!$B45="",0,1))</f>
        <v/>
      </c>
      <c r="F45">
        <f>IF(OR($A45="",$C45&lt;1),"",$A45&amp;"-"&amp;TEXT(($D45-$C45+1),"00")&amp;IF($C45&gt;=2,", "&amp;$A45&amp;"-"&amp;TEXT(($D45-$C45+1)+1,"00"),"")&amp;IF($C45&gt;=3,", "&amp;$A45&amp;"-"&amp;TEXT(($D45-$C45+1)+2,"00"),"")&amp;IF($C45&gt;=4,", "&amp;$A45&amp;"-"&amp;TEXT(($D45-$C45+1)+3,"00"),"")&amp;IF($C45&gt;=5,", "&amp;$A45&amp;"-"&amp;TEXT(($D45-$C45+1)+4,"00"),"")&amp;IF($C45&gt;=6,", "&amp;$A45&amp;"-"&amp;TEXT(($D45-$C45+1)+5,"00"),"")&amp;IF($C45&gt;=7,", "&amp;$A45&amp;"-"&amp;TEXT(($D45-$C45+1)+6,"00"),"")&amp;IF($C45&gt;=8,", "&amp;$A45&amp;"-"&amp;TEXT(($D45-$C45+1)+7,"00"),"")&amp;IF($C45&gt;=9,", "&amp;$A45&amp;"-"&amp;TEXT(($D45-$C45+1)+8,"00"),"")&amp;IF($C45&gt;=10,", "&amp;$A45&amp;"-"&amp;TEXT(($D45-$C45+1)+9,"00"),"")&amp;IF($C45&gt;=11,", "&amp;$A45&amp;"-"&amp;TEXT(($D45-$C45+1)+10,"00"),"")&amp;IF($C45&gt;=12,", "&amp;$A45&amp;"-"&amp;TEXT(($D45-$C45+1)+11,"00"),"")&amp;IF($C45&gt;=13,", "&amp;$A45&amp;"-"&amp;TEXT(($D45-$C45+1)+12,"00"),"")&amp;IF($C45&gt;=14,", "&amp;$A45&amp;"-"&amp;TEXT(($D45-$C45+1)+13,"00"),"")&amp;IF($C45&gt;=15,", "&amp;$A45&amp;"-"&amp;TEXT(($D45-$C45+1)+14,"00"),"")&amp;IF($C45&gt;=16,", "&amp;$A45&amp;"-"&amp;TEXT(($D45-$C45+1)+15,"00"),"")&amp;IF($C45&gt;=17,", "&amp;$A45&amp;"-"&amp;TEXT(($D45-$C45+1)+16,"00"),"")&amp;IF($C45&gt;=18,", "&amp;$A45&amp;"-"&amp;TEXT(($D45-$C45+1)+17,"00"),"")&amp;IF($C45&gt;=19,", "&amp;$A45&amp;"-"&amp;TEXT(($D45-$C45+1)+18,"00"),"")&amp;IF($C45&gt;=20,", "&amp;$A45&amp;"-"&amp;TEXT(($D45-$C45+1)+19,"00"),"")&amp;IF($C45&gt;=21,", "&amp;$A45&amp;"-"&amp;TEXT(($D45-$C45+1)+20,"00"),"")&amp;IF($C45&gt;=22,", "&amp;$A45&amp;"-"&amp;TEXT(($D45-$C45+1)+21,"00"),"")&amp;IF($C45&gt;=23,", "&amp;$A45&amp;"-"&amp;TEXT(($D45-$C45+1)+22,"00"),"")&amp;IF($C45&gt;=24,", "&amp;$A45&amp;"-"&amp;TEXT(($D45-$C45+1)+23,"00"),"")&amp;IF($C45&gt;=25,", "&amp;$A45&amp;"-"&amp;TEXT(($D45-$C45+1)+24,"00"),""))</f>
        <v/>
      </c>
      <c r="G45">
        <f>IF($A45="","",IF($E45=1,$F45,IF($F45="",$G44,IF($G44="",$F45,$G44&amp;", "&amp;$F45))))</f>
        <v/>
      </c>
      <c r="H45">
        <f>IF($A45="","",$A45&amp;" ("&amp;$C45&amp;")")</f>
        <v/>
      </c>
      <c r="I45">
        <f>IF($A45="","",IF($E45=1,$H45,$I44&amp;", "&amp;$H45))</f>
        <v/>
      </c>
      <c r="J45">
        <f>IF($A45="","",IF($E45=1,$B45,""))</f>
        <v/>
      </c>
      <c r="K45">
        <f>IF($A45="","",IF(COUNTIF($B$2:$B45,$B45)=COUNTIF($B$2:$B$1601,$B45),$B45,""))</f>
        <v/>
      </c>
    </row>
    <row r="46">
      <c r="A46">
        <f>IF('TMP Paste'!$E46="","",'TMP Paste'!$E46)</f>
        <v/>
      </c>
      <c r="B46">
        <f>IF($A46="","",COUNTIF('TMP Paste'!$B$2:$B46,"?*"))</f>
        <v/>
      </c>
      <c r="C46">
        <f>IF($A46="","",IFERROR('TMP Paste'!$M46*1,0))</f>
        <v/>
      </c>
      <c r="D46">
        <f>IF($A46="","",SUMIF($B$2:$B46,$B46,$C$2:$C46))</f>
        <v/>
      </c>
      <c r="E46">
        <f>IF($A46="",0,IF('TMP Paste'!$B46="",0,1))</f>
        <v/>
      </c>
      <c r="F46">
        <f>IF(OR($A46="",$C46&lt;1),"",$A46&amp;"-"&amp;TEXT(($D46-$C46+1),"00")&amp;IF($C46&gt;=2,", "&amp;$A46&amp;"-"&amp;TEXT(($D46-$C46+1)+1,"00"),"")&amp;IF($C46&gt;=3,", "&amp;$A46&amp;"-"&amp;TEXT(($D46-$C46+1)+2,"00"),"")&amp;IF($C46&gt;=4,", "&amp;$A46&amp;"-"&amp;TEXT(($D46-$C46+1)+3,"00"),"")&amp;IF($C46&gt;=5,", "&amp;$A46&amp;"-"&amp;TEXT(($D46-$C46+1)+4,"00"),"")&amp;IF($C46&gt;=6,", "&amp;$A46&amp;"-"&amp;TEXT(($D46-$C46+1)+5,"00"),"")&amp;IF($C46&gt;=7,", "&amp;$A46&amp;"-"&amp;TEXT(($D46-$C46+1)+6,"00"),"")&amp;IF($C46&gt;=8,", "&amp;$A46&amp;"-"&amp;TEXT(($D46-$C46+1)+7,"00"),"")&amp;IF($C46&gt;=9,", "&amp;$A46&amp;"-"&amp;TEXT(($D46-$C46+1)+8,"00"),"")&amp;IF($C46&gt;=10,", "&amp;$A46&amp;"-"&amp;TEXT(($D46-$C46+1)+9,"00"),"")&amp;IF($C46&gt;=11,", "&amp;$A46&amp;"-"&amp;TEXT(($D46-$C46+1)+10,"00"),"")&amp;IF($C46&gt;=12,", "&amp;$A46&amp;"-"&amp;TEXT(($D46-$C46+1)+11,"00"),"")&amp;IF($C46&gt;=13,", "&amp;$A46&amp;"-"&amp;TEXT(($D46-$C46+1)+12,"00"),"")&amp;IF($C46&gt;=14,", "&amp;$A46&amp;"-"&amp;TEXT(($D46-$C46+1)+13,"00"),"")&amp;IF($C46&gt;=15,", "&amp;$A46&amp;"-"&amp;TEXT(($D46-$C46+1)+14,"00"),"")&amp;IF($C46&gt;=16,", "&amp;$A46&amp;"-"&amp;TEXT(($D46-$C46+1)+15,"00"),"")&amp;IF($C46&gt;=17,", "&amp;$A46&amp;"-"&amp;TEXT(($D46-$C46+1)+16,"00"),"")&amp;IF($C46&gt;=18,", "&amp;$A46&amp;"-"&amp;TEXT(($D46-$C46+1)+17,"00"),"")&amp;IF($C46&gt;=19,", "&amp;$A46&amp;"-"&amp;TEXT(($D46-$C46+1)+18,"00"),"")&amp;IF($C46&gt;=20,", "&amp;$A46&amp;"-"&amp;TEXT(($D46-$C46+1)+19,"00"),"")&amp;IF($C46&gt;=21,", "&amp;$A46&amp;"-"&amp;TEXT(($D46-$C46+1)+20,"00"),"")&amp;IF($C46&gt;=22,", "&amp;$A46&amp;"-"&amp;TEXT(($D46-$C46+1)+21,"00"),"")&amp;IF($C46&gt;=23,", "&amp;$A46&amp;"-"&amp;TEXT(($D46-$C46+1)+22,"00"),"")&amp;IF($C46&gt;=24,", "&amp;$A46&amp;"-"&amp;TEXT(($D46-$C46+1)+23,"00"),"")&amp;IF($C46&gt;=25,", "&amp;$A46&amp;"-"&amp;TEXT(($D46-$C46+1)+24,"00"),""))</f>
        <v/>
      </c>
      <c r="G46">
        <f>IF($A46="","",IF($E46=1,$F46,IF($F46="",$G45,IF($G45="",$F46,$G45&amp;", "&amp;$F46))))</f>
        <v/>
      </c>
      <c r="H46">
        <f>IF($A46="","",$A46&amp;" ("&amp;$C46&amp;")")</f>
        <v/>
      </c>
      <c r="I46">
        <f>IF($A46="","",IF($E46=1,$H46,$I45&amp;", "&amp;$H46))</f>
        <v/>
      </c>
      <c r="J46">
        <f>IF($A46="","",IF($E46=1,$B46,""))</f>
        <v/>
      </c>
      <c r="K46">
        <f>IF($A46="","",IF(COUNTIF($B$2:$B46,$B46)=COUNTIF($B$2:$B$1601,$B46),$B46,""))</f>
        <v/>
      </c>
    </row>
    <row r="47">
      <c r="A47">
        <f>IF('TMP Paste'!$E47="","",'TMP Paste'!$E47)</f>
        <v/>
      </c>
      <c r="B47">
        <f>IF($A47="","",COUNTIF('TMP Paste'!$B$2:$B47,"?*"))</f>
        <v/>
      </c>
      <c r="C47">
        <f>IF($A47="","",IFERROR('TMP Paste'!$M47*1,0))</f>
        <v/>
      </c>
      <c r="D47">
        <f>IF($A47="","",SUMIF($B$2:$B47,$B47,$C$2:$C47))</f>
        <v/>
      </c>
      <c r="E47">
        <f>IF($A47="",0,IF('TMP Paste'!$B47="",0,1))</f>
        <v/>
      </c>
      <c r="F47">
        <f>IF(OR($A47="",$C47&lt;1),"",$A47&amp;"-"&amp;TEXT(($D47-$C47+1),"00")&amp;IF($C47&gt;=2,", "&amp;$A47&amp;"-"&amp;TEXT(($D47-$C47+1)+1,"00"),"")&amp;IF($C47&gt;=3,", "&amp;$A47&amp;"-"&amp;TEXT(($D47-$C47+1)+2,"00"),"")&amp;IF($C47&gt;=4,", "&amp;$A47&amp;"-"&amp;TEXT(($D47-$C47+1)+3,"00"),"")&amp;IF($C47&gt;=5,", "&amp;$A47&amp;"-"&amp;TEXT(($D47-$C47+1)+4,"00"),"")&amp;IF($C47&gt;=6,", "&amp;$A47&amp;"-"&amp;TEXT(($D47-$C47+1)+5,"00"),"")&amp;IF($C47&gt;=7,", "&amp;$A47&amp;"-"&amp;TEXT(($D47-$C47+1)+6,"00"),"")&amp;IF($C47&gt;=8,", "&amp;$A47&amp;"-"&amp;TEXT(($D47-$C47+1)+7,"00"),"")&amp;IF($C47&gt;=9,", "&amp;$A47&amp;"-"&amp;TEXT(($D47-$C47+1)+8,"00"),"")&amp;IF($C47&gt;=10,", "&amp;$A47&amp;"-"&amp;TEXT(($D47-$C47+1)+9,"00"),"")&amp;IF($C47&gt;=11,", "&amp;$A47&amp;"-"&amp;TEXT(($D47-$C47+1)+10,"00"),"")&amp;IF($C47&gt;=12,", "&amp;$A47&amp;"-"&amp;TEXT(($D47-$C47+1)+11,"00"),"")&amp;IF($C47&gt;=13,", "&amp;$A47&amp;"-"&amp;TEXT(($D47-$C47+1)+12,"00"),"")&amp;IF($C47&gt;=14,", "&amp;$A47&amp;"-"&amp;TEXT(($D47-$C47+1)+13,"00"),"")&amp;IF($C47&gt;=15,", "&amp;$A47&amp;"-"&amp;TEXT(($D47-$C47+1)+14,"00"),"")&amp;IF($C47&gt;=16,", "&amp;$A47&amp;"-"&amp;TEXT(($D47-$C47+1)+15,"00"),"")&amp;IF($C47&gt;=17,", "&amp;$A47&amp;"-"&amp;TEXT(($D47-$C47+1)+16,"00"),"")&amp;IF($C47&gt;=18,", "&amp;$A47&amp;"-"&amp;TEXT(($D47-$C47+1)+17,"00"),"")&amp;IF($C47&gt;=19,", "&amp;$A47&amp;"-"&amp;TEXT(($D47-$C47+1)+18,"00"),"")&amp;IF($C47&gt;=20,", "&amp;$A47&amp;"-"&amp;TEXT(($D47-$C47+1)+19,"00"),"")&amp;IF($C47&gt;=21,", "&amp;$A47&amp;"-"&amp;TEXT(($D47-$C47+1)+20,"00"),"")&amp;IF($C47&gt;=22,", "&amp;$A47&amp;"-"&amp;TEXT(($D47-$C47+1)+21,"00"),"")&amp;IF($C47&gt;=23,", "&amp;$A47&amp;"-"&amp;TEXT(($D47-$C47+1)+22,"00"),"")&amp;IF($C47&gt;=24,", "&amp;$A47&amp;"-"&amp;TEXT(($D47-$C47+1)+23,"00"),"")&amp;IF($C47&gt;=25,", "&amp;$A47&amp;"-"&amp;TEXT(($D47-$C47+1)+24,"00"),""))</f>
        <v/>
      </c>
      <c r="G47">
        <f>IF($A47="","",IF($E47=1,$F47,IF($F47="",$G46,IF($G46="",$F47,$G46&amp;", "&amp;$F47))))</f>
        <v/>
      </c>
      <c r="H47">
        <f>IF($A47="","",$A47&amp;" ("&amp;$C47&amp;")")</f>
        <v/>
      </c>
      <c r="I47">
        <f>IF($A47="","",IF($E47=1,$H47,$I46&amp;", "&amp;$H47))</f>
        <v/>
      </c>
      <c r="J47">
        <f>IF($A47="","",IF($E47=1,$B47,""))</f>
        <v/>
      </c>
      <c r="K47">
        <f>IF($A47="","",IF(COUNTIF($B$2:$B47,$B47)=COUNTIF($B$2:$B$1601,$B47),$B47,""))</f>
        <v/>
      </c>
    </row>
    <row r="48">
      <c r="A48">
        <f>IF('TMP Paste'!$E48="","",'TMP Paste'!$E48)</f>
        <v/>
      </c>
      <c r="B48">
        <f>IF($A48="","",COUNTIF('TMP Paste'!$B$2:$B48,"?*"))</f>
        <v/>
      </c>
      <c r="C48">
        <f>IF($A48="","",IFERROR('TMP Paste'!$M48*1,0))</f>
        <v/>
      </c>
      <c r="D48">
        <f>IF($A48="","",SUMIF($B$2:$B48,$B48,$C$2:$C48))</f>
        <v/>
      </c>
      <c r="E48">
        <f>IF($A48="",0,IF('TMP Paste'!$B48="",0,1))</f>
        <v/>
      </c>
      <c r="F48">
        <f>IF(OR($A48="",$C48&lt;1),"",$A48&amp;"-"&amp;TEXT(($D48-$C48+1),"00")&amp;IF($C48&gt;=2,", "&amp;$A48&amp;"-"&amp;TEXT(($D48-$C48+1)+1,"00"),"")&amp;IF($C48&gt;=3,", "&amp;$A48&amp;"-"&amp;TEXT(($D48-$C48+1)+2,"00"),"")&amp;IF($C48&gt;=4,", "&amp;$A48&amp;"-"&amp;TEXT(($D48-$C48+1)+3,"00"),"")&amp;IF($C48&gt;=5,", "&amp;$A48&amp;"-"&amp;TEXT(($D48-$C48+1)+4,"00"),"")&amp;IF($C48&gt;=6,", "&amp;$A48&amp;"-"&amp;TEXT(($D48-$C48+1)+5,"00"),"")&amp;IF($C48&gt;=7,", "&amp;$A48&amp;"-"&amp;TEXT(($D48-$C48+1)+6,"00"),"")&amp;IF($C48&gt;=8,", "&amp;$A48&amp;"-"&amp;TEXT(($D48-$C48+1)+7,"00"),"")&amp;IF($C48&gt;=9,", "&amp;$A48&amp;"-"&amp;TEXT(($D48-$C48+1)+8,"00"),"")&amp;IF($C48&gt;=10,", "&amp;$A48&amp;"-"&amp;TEXT(($D48-$C48+1)+9,"00"),"")&amp;IF($C48&gt;=11,", "&amp;$A48&amp;"-"&amp;TEXT(($D48-$C48+1)+10,"00"),"")&amp;IF($C48&gt;=12,", "&amp;$A48&amp;"-"&amp;TEXT(($D48-$C48+1)+11,"00"),"")&amp;IF($C48&gt;=13,", "&amp;$A48&amp;"-"&amp;TEXT(($D48-$C48+1)+12,"00"),"")&amp;IF($C48&gt;=14,", "&amp;$A48&amp;"-"&amp;TEXT(($D48-$C48+1)+13,"00"),"")&amp;IF($C48&gt;=15,", "&amp;$A48&amp;"-"&amp;TEXT(($D48-$C48+1)+14,"00"),"")&amp;IF($C48&gt;=16,", "&amp;$A48&amp;"-"&amp;TEXT(($D48-$C48+1)+15,"00"),"")&amp;IF($C48&gt;=17,", "&amp;$A48&amp;"-"&amp;TEXT(($D48-$C48+1)+16,"00"),"")&amp;IF($C48&gt;=18,", "&amp;$A48&amp;"-"&amp;TEXT(($D48-$C48+1)+17,"00"),"")&amp;IF($C48&gt;=19,", "&amp;$A48&amp;"-"&amp;TEXT(($D48-$C48+1)+18,"00"),"")&amp;IF($C48&gt;=20,", "&amp;$A48&amp;"-"&amp;TEXT(($D48-$C48+1)+19,"00"),"")&amp;IF($C48&gt;=21,", "&amp;$A48&amp;"-"&amp;TEXT(($D48-$C48+1)+20,"00"),"")&amp;IF($C48&gt;=22,", "&amp;$A48&amp;"-"&amp;TEXT(($D48-$C48+1)+21,"00"),"")&amp;IF($C48&gt;=23,", "&amp;$A48&amp;"-"&amp;TEXT(($D48-$C48+1)+22,"00"),"")&amp;IF($C48&gt;=24,", "&amp;$A48&amp;"-"&amp;TEXT(($D48-$C48+1)+23,"00"),"")&amp;IF($C48&gt;=25,", "&amp;$A48&amp;"-"&amp;TEXT(($D48-$C48+1)+24,"00"),""))</f>
        <v/>
      </c>
      <c r="G48">
        <f>IF($A48="","",IF($E48=1,$F48,IF($F48="",$G47,IF($G47="",$F48,$G47&amp;", "&amp;$F48))))</f>
        <v/>
      </c>
      <c r="H48">
        <f>IF($A48="","",$A48&amp;" ("&amp;$C48&amp;")")</f>
        <v/>
      </c>
      <c r="I48">
        <f>IF($A48="","",IF($E48=1,$H48,$I47&amp;", "&amp;$H48))</f>
        <v/>
      </c>
      <c r="J48">
        <f>IF($A48="","",IF($E48=1,$B48,""))</f>
        <v/>
      </c>
      <c r="K48">
        <f>IF($A48="","",IF(COUNTIF($B$2:$B48,$B48)=COUNTIF($B$2:$B$1601,$B48),$B48,""))</f>
        <v/>
      </c>
    </row>
    <row r="49">
      <c r="A49">
        <f>IF('TMP Paste'!$E49="","",'TMP Paste'!$E49)</f>
        <v/>
      </c>
      <c r="B49">
        <f>IF($A49="","",COUNTIF('TMP Paste'!$B$2:$B49,"?*"))</f>
        <v/>
      </c>
      <c r="C49">
        <f>IF($A49="","",IFERROR('TMP Paste'!$M49*1,0))</f>
        <v/>
      </c>
      <c r="D49">
        <f>IF($A49="","",SUMIF($B$2:$B49,$B49,$C$2:$C49))</f>
        <v/>
      </c>
      <c r="E49">
        <f>IF($A49="",0,IF('TMP Paste'!$B49="",0,1))</f>
        <v/>
      </c>
      <c r="F49">
        <f>IF(OR($A49="",$C49&lt;1),"",$A49&amp;"-"&amp;TEXT(($D49-$C49+1),"00")&amp;IF($C49&gt;=2,", "&amp;$A49&amp;"-"&amp;TEXT(($D49-$C49+1)+1,"00"),"")&amp;IF($C49&gt;=3,", "&amp;$A49&amp;"-"&amp;TEXT(($D49-$C49+1)+2,"00"),"")&amp;IF($C49&gt;=4,", "&amp;$A49&amp;"-"&amp;TEXT(($D49-$C49+1)+3,"00"),"")&amp;IF($C49&gt;=5,", "&amp;$A49&amp;"-"&amp;TEXT(($D49-$C49+1)+4,"00"),"")&amp;IF($C49&gt;=6,", "&amp;$A49&amp;"-"&amp;TEXT(($D49-$C49+1)+5,"00"),"")&amp;IF($C49&gt;=7,", "&amp;$A49&amp;"-"&amp;TEXT(($D49-$C49+1)+6,"00"),"")&amp;IF($C49&gt;=8,", "&amp;$A49&amp;"-"&amp;TEXT(($D49-$C49+1)+7,"00"),"")&amp;IF($C49&gt;=9,", "&amp;$A49&amp;"-"&amp;TEXT(($D49-$C49+1)+8,"00"),"")&amp;IF($C49&gt;=10,", "&amp;$A49&amp;"-"&amp;TEXT(($D49-$C49+1)+9,"00"),"")&amp;IF($C49&gt;=11,", "&amp;$A49&amp;"-"&amp;TEXT(($D49-$C49+1)+10,"00"),"")&amp;IF($C49&gt;=12,", "&amp;$A49&amp;"-"&amp;TEXT(($D49-$C49+1)+11,"00"),"")&amp;IF($C49&gt;=13,", "&amp;$A49&amp;"-"&amp;TEXT(($D49-$C49+1)+12,"00"),"")&amp;IF($C49&gt;=14,", "&amp;$A49&amp;"-"&amp;TEXT(($D49-$C49+1)+13,"00"),"")&amp;IF($C49&gt;=15,", "&amp;$A49&amp;"-"&amp;TEXT(($D49-$C49+1)+14,"00"),"")&amp;IF($C49&gt;=16,", "&amp;$A49&amp;"-"&amp;TEXT(($D49-$C49+1)+15,"00"),"")&amp;IF($C49&gt;=17,", "&amp;$A49&amp;"-"&amp;TEXT(($D49-$C49+1)+16,"00"),"")&amp;IF($C49&gt;=18,", "&amp;$A49&amp;"-"&amp;TEXT(($D49-$C49+1)+17,"00"),"")&amp;IF($C49&gt;=19,", "&amp;$A49&amp;"-"&amp;TEXT(($D49-$C49+1)+18,"00"),"")&amp;IF($C49&gt;=20,", "&amp;$A49&amp;"-"&amp;TEXT(($D49-$C49+1)+19,"00"),"")&amp;IF($C49&gt;=21,", "&amp;$A49&amp;"-"&amp;TEXT(($D49-$C49+1)+20,"00"),"")&amp;IF($C49&gt;=22,", "&amp;$A49&amp;"-"&amp;TEXT(($D49-$C49+1)+21,"00"),"")&amp;IF($C49&gt;=23,", "&amp;$A49&amp;"-"&amp;TEXT(($D49-$C49+1)+22,"00"),"")&amp;IF($C49&gt;=24,", "&amp;$A49&amp;"-"&amp;TEXT(($D49-$C49+1)+23,"00"),"")&amp;IF($C49&gt;=25,", "&amp;$A49&amp;"-"&amp;TEXT(($D49-$C49+1)+24,"00"),""))</f>
        <v/>
      </c>
      <c r="G49">
        <f>IF($A49="","",IF($E49=1,$F49,IF($F49="",$G48,IF($G48="",$F49,$G48&amp;", "&amp;$F49))))</f>
        <v/>
      </c>
      <c r="H49">
        <f>IF($A49="","",$A49&amp;" ("&amp;$C49&amp;")")</f>
        <v/>
      </c>
      <c r="I49">
        <f>IF($A49="","",IF($E49=1,$H49,$I48&amp;", "&amp;$H49))</f>
        <v/>
      </c>
      <c r="J49">
        <f>IF($A49="","",IF($E49=1,$B49,""))</f>
        <v/>
      </c>
      <c r="K49">
        <f>IF($A49="","",IF(COUNTIF($B$2:$B49,$B49)=COUNTIF($B$2:$B$1601,$B49),$B49,""))</f>
        <v/>
      </c>
    </row>
    <row r="50">
      <c r="A50">
        <f>IF('TMP Paste'!$E50="","",'TMP Paste'!$E50)</f>
        <v/>
      </c>
      <c r="B50">
        <f>IF($A50="","",COUNTIF('TMP Paste'!$B$2:$B50,"?*"))</f>
        <v/>
      </c>
      <c r="C50">
        <f>IF($A50="","",IFERROR('TMP Paste'!$M50*1,0))</f>
        <v/>
      </c>
      <c r="D50">
        <f>IF($A50="","",SUMIF($B$2:$B50,$B50,$C$2:$C50))</f>
        <v/>
      </c>
      <c r="E50">
        <f>IF($A50="",0,IF('TMP Paste'!$B50="",0,1))</f>
        <v/>
      </c>
      <c r="F50">
        <f>IF(OR($A50="",$C50&lt;1),"",$A50&amp;"-"&amp;TEXT(($D50-$C50+1),"00")&amp;IF($C50&gt;=2,", "&amp;$A50&amp;"-"&amp;TEXT(($D50-$C50+1)+1,"00"),"")&amp;IF($C50&gt;=3,", "&amp;$A50&amp;"-"&amp;TEXT(($D50-$C50+1)+2,"00"),"")&amp;IF($C50&gt;=4,", "&amp;$A50&amp;"-"&amp;TEXT(($D50-$C50+1)+3,"00"),"")&amp;IF($C50&gt;=5,", "&amp;$A50&amp;"-"&amp;TEXT(($D50-$C50+1)+4,"00"),"")&amp;IF($C50&gt;=6,", "&amp;$A50&amp;"-"&amp;TEXT(($D50-$C50+1)+5,"00"),"")&amp;IF($C50&gt;=7,", "&amp;$A50&amp;"-"&amp;TEXT(($D50-$C50+1)+6,"00"),"")&amp;IF($C50&gt;=8,", "&amp;$A50&amp;"-"&amp;TEXT(($D50-$C50+1)+7,"00"),"")&amp;IF($C50&gt;=9,", "&amp;$A50&amp;"-"&amp;TEXT(($D50-$C50+1)+8,"00"),"")&amp;IF($C50&gt;=10,", "&amp;$A50&amp;"-"&amp;TEXT(($D50-$C50+1)+9,"00"),"")&amp;IF($C50&gt;=11,", "&amp;$A50&amp;"-"&amp;TEXT(($D50-$C50+1)+10,"00"),"")&amp;IF($C50&gt;=12,", "&amp;$A50&amp;"-"&amp;TEXT(($D50-$C50+1)+11,"00"),"")&amp;IF($C50&gt;=13,", "&amp;$A50&amp;"-"&amp;TEXT(($D50-$C50+1)+12,"00"),"")&amp;IF($C50&gt;=14,", "&amp;$A50&amp;"-"&amp;TEXT(($D50-$C50+1)+13,"00"),"")&amp;IF($C50&gt;=15,", "&amp;$A50&amp;"-"&amp;TEXT(($D50-$C50+1)+14,"00"),"")&amp;IF($C50&gt;=16,", "&amp;$A50&amp;"-"&amp;TEXT(($D50-$C50+1)+15,"00"),"")&amp;IF($C50&gt;=17,", "&amp;$A50&amp;"-"&amp;TEXT(($D50-$C50+1)+16,"00"),"")&amp;IF($C50&gt;=18,", "&amp;$A50&amp;"-"&amp;TEXT(($D50-$C50+1)+17,"00"),"")&amp;IF($C50&gt;=19,", "&amp;$A50&amp;"-"&amp;TEXT(($D50-$C50+1)+18,"00"),"")&amp;IF($C50&gt;=20,", "&amp;$A50&amp;"-"&amp;TEXT(($D50-$C50+1)+19,"00"),"")&amp;IF($C50&gt;=21,", "&amp;$A50&amp;"-"&amp;TEXT(($D50-$C50+1)+20,"00"),"")&amp;IF($C50&gt;=22,", "&amp;$A50&amp;"-"&amp;TEXT(($D50-$C50+1)+21,"00"),"")&amp;IF($C50&gt;=23,", "&amp;$A50&amp;"-"&amp;TEXT(($D50-$C50+1)+22,"00"),"")&amp;IF($C50&gt;=24,", "&amp;$A50&amp;"-"&amp;TEXT(($D50-$C50+1)+23,"00"),"")&amp;IF($C50&gt;=25,", "&amp;$A50&amp;"-"&amp;TEXT(($D50-$C50+1)+24,"00"),""))</f>
        <v/>
      </c>
      <c r="G50">
        <f>IF($A50="","",IF($E50=1,$F50,IF($F50="",$G49,IF($G49="",$F50,$G49&amp;", "&amp;$F50))))</f>
        <v/>
      </c>
      <c r="H50">
        <f>IF($A50="","",$A50&amp;" ("&amp;$C50&amp;")")</f>
        <v/>
      </c>
      <c r="I50">
        <f>IF($A50="","",IF($E50=1,$H50,$I49&amp;", "&amp;$H50))</f>
        <v/>
      </c>
      <c r="J50">
        <f>IF($A50="","",IF($E50=1,$B50,""))</f>
        <v/>
      </c>
      <c r="K50">
        <f>IF($A50="","",IF(COUNTIF($B$2:$B50,$B50)=COUNTIF($B$2:$B$1601,$B50),$B50,""))</f>
        <v/>
      </c>
    </row>
    <row r="51">
      <c r="A51">
        <f>IF('TMP Paste'!$E51="","",'TMP Paste'!$E51)</f>
        <v/>
      </c>
      <c r="B51">
        <f>IF($A51="","",COUNTIF('TMP Paste'!$B$2:$B51,"?*"))</f>
        <v/>
      </c>
      <c r="C51">
        <f>IF($A51="","",IFERROR('TMP Paste'!$M51*1,0))</f>
        <v/>
      </c>
      <c r="D51">
        <f>IF($A51="","",SUMIF($B$2:$B51,$B51,$C$2:$C51))</f>
        <v/>
      </c>
      <c r="E51">
        <f>IF($A51="",0,IF('TMP Paste'!$B51="",0,1))</f>
        <v/>
      </c>
      <c r="F51">
        <f>IF(OR($A51="",$C51&lt;1),"",$A51&amp;"-"&amp;TEXT(($D51-$C51+1),"00")&amp;IF($C51&gt;=2,", "&amp;$A51&amp;"-"&amp;TEXT(($D51-$C51+1)+1,"00"),"")&amp;IF($C51&gt;=3,", "&amp;$A51&amp;"-"&amp;TEXT(($D51-$C51+1)+2,"00"),"")&amp;IF($C51&gt;=4,", "&amp;$A51&amp;"-"&amp;TEXT(($D51-$C51+1)+3,"00"),"")&amp;IF($C51&gt;=5,", "&amp;$A51&amp;"-"&amp;TEXT(($D51-$C51+1)+4,"00"),"")&amp;IF($C51&gt;=6,", "&amp;$A51&amp;"-"&amp;TEXT(($D51-$C51+1)+5,"00"),"")&amp;IF($C51&gt;=7,", "&amp;$A51&amp;"-"&amp;TEXT(($D51-$C51+1)+6,"00"),"")&amp;IF($C51&gt;=8,", "&amp;$A51&amp;"-"&amp;TEXT(($D51-$C51+1)+7,"00"),"")&amp;IF($C51&gt;=9,", "&amp;$A51&amp;"-"&amp;TEXT(($D51-$C51+1)+8,"00"),"")&amp;IF($C51&gt;=10,", "&amp;$A51&amp;"-"&amp;TEXT(($D51-$C51+1)+9,"00"),"")&amp;IF($C51&gt;=11,", "&amp;$A51&amp;"-"&amp;TEXT(($D51-$C51+1)+10,"00"),"")&amp;IF($C51&gt;=12,", "&amp;$A51&amp;"-"&amp;TEXT(($D51-$C51+1)+11,"00"),"")&amp;IF($C51&gt;=13,", "&amp;$A51&amp;"-"&amp;TEXT(($D51-$C51+1)+12,"00"),"")&amp;IF($C51&gt;=14,", "&amp;$A51&amp;"-"&amp;TEXT(($D51-$C51+1)+13,"00"),"")&amp;IF($C51&gt;=15,", "&amp;$A51&amp;"-"&amp;TEXT(($D51-$C51+1)+14,"00"),"")&amp;IF($C51&gt;=16,", "&amp;$A51&amp;"-"&amp;TEXT(($D51-$C51+1)+15,"00"),"")&amp;IF($C51&gt;=17,", "&amp;$A51&amp;"-"&amp;TEXT(($D51-$C51+1)+16,"00"),"")&amp;IF($C51&gt;=18,", "&amp;$A51&amp;"-"&amp;TEXT(($D51-$C51+1)+17,"00"),"")&amp;IF($C51&gt;=19,", "&amp;$A51&amp;"-"&amp;TEXT(($D51-$C51+1)+18,"00"),"")&amp;IF($C51&gt;=20,", "&amp;$A51&amp;"-"&amp;TEXT(($D51-$C51+1)+19,"00"),"")&amp;IF($C51&gt;=21,", "&amp;$A51&amp;"-"&amp;TEXT(($D51-$C51+1)+20,"00"),"")&amp;IF($C51&gt;=22,", "&amp;$A51&amp;"-"&amp;TEXT(($D51-$C51+1)+21,"00"),"")&amp;IF($C51&gt;=23,", "&amp;$A51&amp;"-"&amp;TEXT(($D51-$C51+1)+22,"00"),"")&amp;IF($C51&gt;=24,", "&amp;$A51&amp;"-"&amp;TEXT(($D51-$C51+1)+23,"00"),"")&amp;IF($C51&gt;=25,", "&amp;$A51&amp;"-"&amp;TEXT(($D51-$C51+1)+24,"00"),""))</f>
        <v/>
      </c>
      <c r="G51">
        <f>IF($A51="","",IF($E51=1,$F51,IF($F51="",$G50,IF($G50="",$F51,$G50&amp;", "&amp;$F51))))</f>
        <v/>
      </c>
      <c r="H51">
        <f>IF($A51="","",$A51&amp;" ("&amp;$C51&amp;")")</f>
        <v/>
      </c>
      <c r="I51">
        <f>IF($A51="","",IF($E51=1,$H51,$I50&amp;", "&amp;$H51))</f>
        <v/>
      </c>
      <c r="J51">
        <f>IF($A51="","",IF($E51=1,$B51,""))</f>
        <v/>
      </c>
      <c r="K51">
        <f>IF($A51="","",IF(COUNTIF($B$2:$B51,$B51)=COUNTIF($B$2:$B$1601,$B51),$B51,""))</f>
        <v/>
      </c>
    </row>
    <row r="52">
      <c r="A52">
        <f>IF('TMP Paste'!$E52="","",'TMP Paste'!$E52)</f>
        <v/>
      </c>
      <c r="B52">
        <f>IF($A52="","",COUNTIF('TMP Paste'!$B$2:$B52,"?*"))</f>
        <v/>
      </c>
      <c r="C52">
        <f>IF($A52="","",IFERROR('TMP Paste'!$M52*1,0))</f>
        <v/>
      </c>
      <c r="D52">
        <f>IF($A52="","",SUMIF($B$2:$B52,$B52,$C$2:$C52))</f>
        <v/>
      </c>
      <c r="E52">
        <f>IF($A52="",0,IF('TMP Paste'!$B52="",0,1))</f>
        <v/>
      </c>
      <c r="F52">
        <f>IF(OR($A52="",$C52&lt;1),"",$A52&amp;"-"&amp;TEXT(($D52-$C52+1),"00")&amp;IF($C52&gt;=2,", "&amp;$A52&amp;"-"&amp;TEXT(($D52-$C52+1)+1,"00"),"")&amp;IF($C52&gt;=3,", "&amp;$A52&amp;"-"&amp;TEXT(($D52-$C52+1)+2,"00"),"")&amp;IF($C52&gt;=4,", "&amp;$A52&amp;"-"&amp;TEXT(($D52-$C52+1)+3,"00"),"")&amp;IF($C52&gt;=5,", "&amp;$A52&amp;"-"&amp;TEXT(($D52-$C52+1)+4,"00"),"")&amp;IF($C52&gt;=6,", "&amp;$A52&amp;"-"&amp;TEXT(($D52-$C52+1)+5,"00"),"")&amp;IF($C52&gt;=7,", "&amp;$A52&amp;"-"&amp;TEXT(($D52-$C52+1)+6,"00"),"")&amp;IF($C52&gt;=8,", "&amp;$A52&amp;"-"&amp;TEXT(($D52-$C52+1)+7,"00"),"")&amp;IF($C52&gt;=9,", "&amp;$A52&amp;"-"&amp;TEXT(($D52-$C52+1)+8,"00"),"")&amp;IF($C52&gt;=10,", "&amp;$A52&amp;"-"&amp;TEXT(($D52-$C52+1)+9,"00"),"")&amp;IF($C52&gt;=11,", "&amp;$A52&amp;"-"&amp;TEXT(($D52-$C52+1)+10,"00"),"")&amp;IF($C52&gt;=12,", "&amp;$A52&amp;"-"&amp;TEXT(($D52-$C52+1)+11,"00"),"")&amp;IF($C52&gt;=13,", "&amp;$A52&amp;"-"&amp;TEXT(($D52-$C52+1)+12,"00"),"")&amp;IF($C52&gt;=14,", "&amp;$A52&amp;"-"&amp;TEXT(($D52-$C52+1)+13,"00"),"")&amp;IF($C52&gt;=15,", "&amp;$A52&amp;"-"&amp;TEXT(($D52-$C52+1)+14,"00"),"")&amp;IF($C52&gt;=16,", "&amp;$A52&amp;"-"&amp;TEXT(($D52-$C52+1)+15,"00"),"")&amp;IF($C52&gt;=17,", "&amp;$A52&amp;"-"&amp;TEXT(($D52-$C52+1)+16,"00"),"")&amp;IF($C52&gt;=18,", "&amp;$A52&amp;"-"&amp;TEXT(($D52-$C52+1)+17,"00"),"")&amp;IF($C52&gt;=19,", "&amp;$A52&amp;"-"&amp;TEXT(($D52-$C52+1)+18,"00"),"")&amp;IF($C52&gt;=20,", "&amp;$A52&amp;"-"&amp;TEXT(($D52-$C52+1)+19,"00"),"")&amp;IF($C52&gt;=21,", "&amp;$A52&amp;"-"&amp;TEXT(($D52-$C52+1)+20,"00"),"")&amp;IF($C52&gt;=22,", "&amp;$A52&amp;"-"&amp;TEXT(($D52-$C52+1)+21,"00"),"")&amp;IF($C52&gt;=23,", "&amp;$A52&amp;"-"&amp;TEXT(($D52-$C52+1)+22,"00"),"")&amp;IF($C52&gt;=24,", "&amp;$A52&amp;"-"&amp;TEXT(($D52-$C52+1)+23,"00"),"")&amp;IF($C52&gt;=25,", "&amp;$A52&amp;"-"&amp;TEXT(($D52-$C52+1)+24,"00"),""))</f>
        <v/>
      </c>
      <c r="G52">
        <f>IF($A52="","",IF($E52=1,$F52,IF($F52="",$G51,IF($G51="",$F52,$G51&amp;", "&amp;$F52))))</f>
        <v/>
      </c>
      <c r="H52">
        <f>IF($A52="","",$A52&amp;" ("&amp;$C52&amp;")")</f>
        <v/>
      </c>
      <c r="I52">
        <f>IF($A52="","",IF($E52=1,$H52,$I51&amp;", "&amp;$H52))</f>
        <v/>
      </c>
      <c r="J52">
        <f>IF($A52="","",IF($E52=1,$B52,""))</f>
        <v/>
      </c>
      <c r="K52">
        <f>IF($A52="","",IF(COUNTIF($B$2:$B52,$B52)=COUNTIF($B$2:$B$1601,$B52),$B52,""))</f>
        <v/>
      </c>
    </row>
    <row r="53">
      <c r="A53">
        <f>IF('TMP Paste'!$E53="","",'TMP Paste'!$E53)</f>
        <v/>
      </c>
      <c r="B53">
        <f>IF($A53="","",COUNTIF('TMP Paste'!$B$2:$B53,"?*"))</f>
        <v/>
      </c>
      <c r="C53">
        <f>IF($A53="","",IFERROR('TMP Paste'!$M53*1,0))</f>
        <v/>
      </c>
      <c r="D53">
        <f>IF($A53="","",SUMIF($B$2:$B53,$B53,$C$2:$C53))</f>
        <v/>
      </c>
      <c r="E53">
        <f>IF($A53="",0,IF('TMP Paste'!$B53="",0,1))</f>
        <v/>
      </c>
      <c r="F53">
        <f>IF(OR($A53="",$C53&lt;1),"",$A53&amp;"-"&amp;TEXT(($D53-$C53+1),"00")&amp;IF($C53&gt;=2,", "&amp;$A53&amp;"-"&amp;TEXT(($D53-$C53+1)+1,"00"),"")&amp;IF($C53&gt;=3,", "&amp;$A53&amp;"-"&amp;TEXT(($D53-$C53+1)+2,"00"),"")&amp;IF($C53&gt;=4,", "&amp;$A53&amp;"-"&amp;TEXT(($D53-$C53+1)+3,"00"),"")&amp;IF($C53&gt;=5,", "&amp;$A53&amp;"-"&amp;TEXT(($D53-$C53+1)+4,"00"),"")&amp;IF($C53&gt;=6,", "&amp;$A53&amp;"-"&amp;TEXT(($D53-$C53+1)+5,"00"),"")&amp;IF($C53&gt;=7,", "&amp;$A53&amp;"-"&amp;TEXT(($D53-$C53+1)+6,"00"),"")&amp;IF($C53&gt;=8,", "&amp;$A53&amp;"-"&amp;TEXT(($D53-$C53+1)+7,"00"),"")&amp;IF($C53&gt;=9,", "&amp;$A53&amp;"-"&amp;TEXT(($D53-$C53+1)+8,"00"),"")&amp;IF($C53&gt;=10,", "&amp;$A53&amp;"-"&amp;TEXT(($D53-$C53+1)+9,"00"),"")&amp;IF($C53&gt;=11,", "&amp;$A53&amp;"-"&amp;TEXT(($D53-$C53+1)+10,"00"),"")&amp;IF($C53&gt;=12,", "&amp;$A53&amp;"-"&amp;TEXT(($D53-$C53+1)+11,"00"),"")&amp;IF($C53&gt;=13,", "&amp;$A53&amp;"-"&amp;TEXT(($D53-$C53+1)+12,"00"),"")&amp;IF($C53&gt;=14,", "&amp;$A53&amp;"-"&amp;TEXT(($D53-$C53+1)+13,"00"),"")&amp;IF($C53&gt;=15,", "&amp;$A53&amp;"-"&amp;TEXT(($D53-$C53+1)+14,"00"),"")&amp;IF($C53&gt;=16,", "&amp;$A53&amp;"-"&amp;TEXT(($D53-$C53+1)+15,"00"),"")&amp;IF($C53&gt;=17,", "&amp;$A53&amp;"-"&amp;TEXT(($D53-$C53+1)+16,"00"),"")&amp;IF($C53&gt;=18,", "&amp;$A53&amp;"-"&amp;TEXT(($D53-$C53+1)+17,"00"),"")&amp;IF($C53&gt;=19,", "&amp;$A53&amp;"-"&amp;TEXT(($D53-$C53+1)+18,"00"),"")&amp;IF($C53&gt;=20,", "&amp;$A53&amp;"-"&amp;TEXT(($D53-$C53+1)+19,"00"),"")&amp;IF($C53&gt;=21,", "&amp;$A53&amp;"-"&amp;TEXT(($D53-$C53+1)+20,"00"),"")&amp;IF($C53&gt;=22,", "&amp;$A53&amp;"-"&amp;TEXT(($D53-$C53+1)+21,"00"),"")&amp;IF($C53&gt;=23,", "&amp;$A53&amp;"-"&amp;TEXT(($D53-$C53+1)+22,"00"),"")&amp;IF($C53&gt;=24,", "&amp;$A53&amp;"-"&amp;TEXT(($D53-$C53+1)+23,"00"),"")&amp;IF($C53&gt;=25,", "&amp;$A53&amp;"-"&amp;TEXT(($D53-$C53+1)+24,"00"),""))</f>
        <v/>
      </c>
      <c r="G53">
        <f>IF($A53="","",IF($E53=1,$F53,IF($F53="",$G52,IF($G52="",$F53,$G52&amp;", "&amp;$F53))))</f>
        <v/>
      </c>
      <c r="H53">
        <f>IF($A53="","",$A53&amp;" ("&amp;$C53&amp;")")</f>
        <v/>
      </c>
      <c r="I53">
        <f>IF($A53="","",IF($E53=1,$H53,$I52&amp;", "&amp;$H53))</f>
        <v/>
      </c>
      <c r="J53">
        <f>IF($A53="","",IF($E53=1,$B53,""))</f>
        <v/>
      </c>
      <c r="K53">
        <f>IF($A53="","",IF(COUNTIF($B$2:$B53,$B53)=COUNTIF($B$2:$B$1601,$B53),$B53,""))</f>
        <v/>
      </c>
    </row>
    <row r="54">
      <c r="A54">
        <f>IF('TMP Paste'!$E54="","",'TMP Paste'!$E54)</f>
        <v/>
      </c>
      <c r="B54">
        <f>IF($A54="","",COUNTIF('TMP Paste'!$B$2:$B54,"?*"))</f>
        <v/>
      </c>
      <c r="C54">
        <f>IF($A54="","",IFERROR('TMP Paste'!$M54*1,0))</f>
        <v/>
      </c>
      <c r="D54">
        <f>IF($A54="","",SUMIF($B$2:$B54,$B54,$C$2:$C54))</f>
        <v/>
      </c>
      <c r="E54">
        <f>IF($A54="",0,IF('TMP Paste'!$B54="",0,1))</f>
        <v/>
      </c>
      <c r="F54">
        <f>IF(OR($A54="",$C54&lt;1),"",$A54&amp;"-"&amp;TEXT(($D54-$C54+1),"00")&amp;IF($C54&gt;=2,", "&amp;$A54&amp;"-"&amp;TEXT(($D54-$C54+1)+1,"00"),"")&amp;IF($C54&gt;=3,", "&amp;$A54&amp;"-"&amp;TEXT(($D54-$C54+1)+2,"00"),"")&amp;IF($C54&gt;=4,", "&amp;$A54&amp;"-"&amp;TEXT(($D54-$C54+1)+3,"00"),"")&amp;IF($C54&gt;=5,", "&amp;$A54&amp;"-"&amp;TEXT(($D54-$C54+1)+4,"00"),"")&amp;IF($C54&gt;=6,", "&amp;$A54&amp;"-"&amp;TEXT(($D54-$C54+1)+5,"00"),"")&amp;IF($C54&gt;=7,", "&amp;$A54&amp;"-"&amp;TEXT(($D54-$C54+1)+6,"00"),"")&amp;IF($C54&gt;=8,", "&amp;$A54&amp;"-"&amp;TEXT(($D54-$C54+1)+7,"00"),"")&amp;IF($C54&gt;=9,", "&amp;$A54&amp;"-"&amp;TEXT(($D54-$C54+1)+8,"00"),"")&amp;IF($C54&gt;=10,", "&amp;$A54&amp;"-"&amp;TEXT(($D54-$C54+1)+9,"00"),"")&amp;IF($C54&gt;=11,", "&amp;$A54&amp;"-"&amp;TEXT(($D54-$C54+1)+10,"00"),"")&amp;IF($C54&gt;=12,", "&amp;$A54&amp;"-"&amp;TEXT(($D54-$C54+1)+11,"00"),"")&amp;IF($C54&gt;=13,", "&amp;$A54&amp;"-"&amp;TEXT(($D54-$C54+1)+12,"00"),"")&amp;IF($C54&gt;=14,", "&amp;$A54&amp;"-"&amp;TEXT(($D54-$C54+1)+13,"00"),"")&amp;IF($C54&gt;=15,", "&amp;$A54&amp;"-"&amp;TEXT(($D54-$C54+1)+14,"00"),"")&amp;IF($C54&gt;=16,", "&amp;$A54&amp;"-"&amp;TEXT(($D54-$C54+1)+15,"00"),"")&amp;IF($C54&gt;=17,", "&amp;$A54&amp;"-"&amp;TEXT(($D54-$C54+1)+16,"00"),"")&amp;IF($C54&gt;=18,", "&amp;$A54&amp;"-"&amp;TEXT(($D54-$C54+1)+17,"00"),"")&amp;IF($C54&gt;=19,", "&amp;$A54&amp;"-"&amp;TEXT(($D54-$C54+1)+18,"00"),"")&amp;IF($C54&gt;=20,", "&amp;$A54&amp;"-"&amp;TEXT(($D54-$C54+1)+19,"00"),"")&amp;IF($C54&gt;=21,", "&amp;$A54&amp;"-"&amp;TEXT(($D54-$C54+1)+20,"00"),"")&amp;IF($C54&gt;=22,", "&amp;$A54&amp;"-"&amp;TEXT(($D54-$C54+1)+21,"00"),"")&amp;IF($C54&gt;=23,", "&amp;$A54&amp;"-"&amp;TEXT(($D54-$C54+1)+22,"00"),"")&amp;IF($C54&gt;=24,", "&amp;$A54&amp;"-"&amp;TEXT(($D54-$C54+1)+23,"00"),"")&amp;IF($C54&gt;=25,", "&amp;$A54&amp;"-"&amp;TEXT(($D54-$C54+1)+24,"00"),""))</f>
        <v/>
      </c>
      <c r="G54">
        <f>IF($A54="","",IF($E54=1,$F54,IF($F54="",$G53,IF($G53="",$F54,$G53&amp;", "&amp;$F54))))</f>
        <v/>
      </c>
      <c r="H54">
        <f>IF($A54="","",$A54&amp;" ("&amp;$C54&amp;")")</f>
        <v/>
      </c>
      <c r="I54">
        <f>IF($A54="","",IF($E54=1,$H54,$I53&amp;", "&amp;$H54))</f>
        <v/>
      </c>
      <c r="J54">
        <f>IF($A54="","",IF($E54=1,$B54,""))</f>
        <v/>
      </c>
      <c r="K54">
        <f>IF($A54="","",IF(COUNTIF($B$2:$B54,$B54)=COUNTIF($B$2:$B$1601,$B54),$B54,""))</f>
        <v/>
      </c>
    </row>
    <row r="55">
      <c r="A55">
        <f>IF('TMP Paste'!$E55="","",'TMP Paste'!$E55)</f>
        <v/>
      </c>
      <c r="B55">
        <f>IF($A55="","",COUNTIF('TMP Paste'!$B$2:$B55,"?*"))</f>
        <v/>
      </c>
      <c r="C55">
        <f>IF($A55="","",IFERROR('TMP Paste'!$M55*1,0))</f>
        <v/>
      </c>
      <c r="D55">
        <f>IF($A55="","",SUMIF($B$2:$B55,$B55,$C$2:$C55))</f>
        <v/>
      </c>
      <c r="E55">
        <f>IF($A55="",0,IF('TMP Paste'!$B55="",0,1))</f>
        <v/>
      </c>
      <c r="F55">
        <f>IF(OR($A55="",$C55&lt;1),"",$A55&amp;"-"&amp;TEXT(($D55-$C55+1),"00")&amp;IF($C55&gt;=2,", "&amp;$A55&amp;"-"&amp;TEXT(($D55-$C55+1)+1,"00"),"")&amp;IF($C55&gt;=3,", "&amp;$A55&amp;"-"&amp;TEXT(($D55-$C55+1)+2,"00"),"")&amp;IF($C55&gt;=4,", "&amp;$A55&amp;"-"&amp;TEXT(($D55-$C55+1)+3,"00"),"")&amp;IF($C55&gt;=5,", "&amp;$A55&amp;"-"&amp;TEXT(($D55-$C55+1)+4,"00"),"")&amp;IF($C55&gt;=6,", "&amp;$A55&amp;"-"&amp;TEXT(($D55-$C55+1)+5,"00"),"")&amp;IF($C55&gt;=7,", "&amp;$A55&amp;"-"&amp;TEXT(($D55-$C55+1)+6,"00"),"")&amp;IF($C55&gt;=8,", "&amp;$A55&amp;"-"&amp;TEXT(($D55-$C55+1)+7,"00"),"")&amp;IF($C55&gt;=9,", "&amp;$A55&amp;"-"&amp;TEXT(($D55-$C55+1)+8,"00"),"")&amp;IF($C55&gt;=10,", "&amp;$A55&amp;"-"&amp;TEXT(($D55-$C55+1)+9,"00"),"")&amp;IF($C55&gt;=11,", "&amp;$A55&amp;"-"&amp;TEXT(($D55-$C55+1)+10,"00"),"")&amp;IF($C55&gt;=12,", "&amp;$A55&amp;"-"&amp;TEXT(($D55-$C55+1)+11,"00"),"")&amp;IF($C55&gt;=13,", "&amp;$A55&amp;"-"&amp;TEXT(($D55-$C55+1)+12,"00"),"")&amp;IF($C55&gt;=14,", "&amp;$A55&amp;"-"&amp;TEXT(($D55-$C55+1)+13,"00"),"")&amp;IF($C55&gt;=15,", "&amp;$A55&amp;"-"&amp;TEXT(($D55-$C55+1)+14,"00"),"")&amp;IF($C55&gt;=16,", "&amp;$A55&amp;"-"&amp;TEXT(($D55-$C55+1)+15,"00"),"")&amp;IF($C55&gt;=17,", "&amp;$A55&amp;"-"&amp;TEXT(($D55-$C55+1)+16,"00"),"")&amp;IF($C55&gt;=18,", "&amp;$A55&amp;"-"&amp;TEXT(($D55-$C55+1)+17,"00"),"")&amp;IF($C55&gt;=19,", "&amp;$A55&amp;"-"&amp;TEXT(($D55-$C55+1)+18,"00"),"")&amp;IF($C55&gt;=20,", "&amp;$A55&amp;"-"&amp;TEXT(($D55-$C55+1)+19,"00"),"")&amp;IF($C55&gt;=21,", "&amp;$A55&amp;"-"&amp;TEXT(($D55-$C55+1)+20,"00"),"")&amp;IF($C55&gt;=22,", "&amp;$A55&amp;"-"&amp;TEXT(($D55-$C55+1)+21,"00"),"")&amp;IF($C55&gt;=23,", "&amp;$A55&amp;"-"&amp;TEXT(($D55-$C55+1)+22,"00"),"")&amp;IF($C55&gt;=24,", "&amp;$A55&amp;"-"&amp;TEXT(($D55-$C55+1)+23,"00"),"")&amp;IF($C55&gt;=25,", "&amp;$A55&amp;"-"&amp;TEXT(($D55-$C55+1)+24,"00"),""))</f>
        <v/>
      </c>
      <c r="G55">
        <f>IF($A55="","",IF($E55=1,$F55,IF($F55="",$G54,IF($G54="",$F55,$G54&amp;", "&amp;$F55))))</f>
        <v/>
      </c>
      <c r="H55">
        <f>IF($A55="","",$A55&amp;" ("&amp;$C55&amp;")")</f>
        <v/>
      </c>
      <c r="I55">
        <f>IF($A55="","",IF($E55=1,$H55,$I54&amp;", "&amp;$H55))</f>
        <v/>
      </c>
      <c r="J55">
        <f>IF($A55="","",IF($E55=1,$B55,""))</f>
        <v/>
      </c>
      <c r="K55">
        <f>IF($A55="","",IF(COUNTIF($B$2:$B55,$B55)=COUNTIF($B$2:$B$1601,$B55),$B55,""))</f>
        <v/>
      </c>
    </row>
    <row r="56">
      <c r="A56">
        <f>IF('TMP Paste'!$E56="","",'TMP Paste'!$E56)</f>
        <v/>
      </c>
      <c r="B56">
        <f>IF($A56="","",COUNTIF('TMP Paste'!$B$2:$B56,"?*"))</f>
        <v/>
      </c>
      <c r="C56">
        <f>IF($A56="","",IFERROR('TMP Paste'!$M56*1,0))</f>
        <v/>
      </c>
      <c r="D56">
        <f>IF($A56="","",SUMIF($B$2:$B56,$B56,$C$2:$C56))</f>
        <v/>
      </c>
      <c r="E56">
        <f>IF($A56="",0,IF('TMP Paste'!$B56="",0,1))</f>
        <v/>
      </c>
      <c r="F56">
        <f>IF(OR($A56="",$C56&lt;1),"",$A56&amp;"-"&amp;TEXT(($D56-$C56+1),"00")&amp;IF($C56&gt;=2,", "&amp;$A56&amp;"-"&amp;TEXT(($D56-$C56+1)+1,"00"),"")&amp;IF($C56&gt;=3,", "&amp;$A56&amp;"-"&amp;TEXT(($D56-$C56+1)+2,"00"),"")&amp;IF($C56&gt;=4,", "&amp;$A56&amp;"-"&amp;TEXT(($D56-$C56+1)+3,"00"),"")&amp;IF($C56&gt;=5,", "&amp;$A56&amp;"-"&amp;TEXT(($D56-$C56+1)+4,"00"),"")&amp;IF($C56&gt;=6,", "&amp;$A56&amp;"-"&amp;TEXT(($D56-$C56+1)+5,"00"),"")&amp;IF($C56&gt;=7,", "&amp;$A56&amp;"-"&amp;TEXT(($D56-$C56+1)+6,"00"),"")&amp;IF($C56&gt;=8,", "&amp;$A56&amp;"-"&amp;TEXT(($D56-$C56+1)+7,"00"),"")&amp;IF($C56&gt;=9,", "&amp;$A56&amp;"-"&amp;TEXT(($D56-$C56+1)+8,"00"),"")&amp;IF($C56&gt;=10,", "&amp;$A56&amp;"-"&amp;TEXT(($D56-$C56+1)+9,"00"),"")&amp;IF($C56&gt;=11,", "&amp;$A56&amp;"-"&amp;TEXT(($D56-$C56+1)+10,"00"),"")&amp;IF($C56&gt;=12,", "&amp;$A56&amp;"-"&amp;TEXT(($D56-$C56+1)+11,"00"),"")&amp;IF($C56&gt;=13,", "&amp;$A56&amp;"-"&amp;TEXT(($D56-$C56+1)+12,"00"),"")&amp;IF($C56&gt;=14,", "&amp;$A56&amp;"-"&amp;TEXT(($D56-$C56+1)+13,"00"),"")&amp;IF($C56&gt;=15,", "&amp;$A56&amp;"-"&amp;TEXT(($D56-$C56+1)+14,"00"),"")&amp;IF($C56&gt;=16,", "&amp;$A56&amp;"-"&amp;TEXT(($D56-$C56+1)+15,"00"),"")&amp;IF($C56&gt;=17,", "&amp;$A56&amp;"-"&amp;TEXT(($D56-$C56+1)+16,"00"),"")&amp;IF($C56&gt;=18,", "&amp;$A56&amp;"-"&amp;TEXT(($D56-$C56+1)+17,"00"),"")&amp;IF($C56&gt;=19,", "&amp;$A56&amp;"-"&amp;TEXT(($D56-$C56+1)+18,"00"),"")&amp;IF($C56&gt;=20,", "&amp;$A56&amp;"-"&amp;TEXT(($D56-$C56+1)+19,"00"),"")&amp;IF($C56&gt;=21,", "&amp;$A56&amp;"-"&amp;TEXT(($D56-$C56+1)+20,"00"),"")&amp;IF($C56&gt;=22,", "&amp;$A56&amp;"-"&amp;TEXT(($D56-$C56+1)+21,"00"),"")&amp;IF($C56&gt;=23,", "&amp;$A56&amp;"-"&amp;TEXT(($D56-$C56+1)+22,"00"),"")&amp;IF($C56&gt;=24,", "&amp;$A56&amp;"-"&amp;TEXT(($D56-$C56+1)+23,"00"),"")&amp;IF($C56&gt;=25,", "&amp;$A56&amp;"-"&amp;TEXT(($D56-$C56+1)+24,"00"),""))</f>
        <v/>
      </c>
      <c r="G56">
        <f>IF($A56="","",IF($E56=1,$F56,IF($F56="",$G55,IF($G55="",$F56,$G55&amp;", "&amp;$F56))))</f>
        <v/>
      </c>
      <c r="H56">
        <f>IF($A56="","",$A56&amp;" ("&amp;$C56&amp;")")</f>
        <v/>
      </c>
      <c r="I56">
        <f>IF($A56="","",IF($E56=1,$H56,$I55&amp;", "&amp;$H56))</f>
        <v/>
      </c>
      <c r="J56">
        <f>IF($A56="","",IF($E56=1,$B56,""))</f>
        <v/>
      </c>
      <c r="K56">
        <f>IF($A56="","",IF(COUNTIF($B$2:$B56,$B56)=COUNTIF($B$2:$B$1601,$B56),$B56,""))</f>
        <v/>
      </c>
    </row>
    <row r="57">
      <c r="A57">
        <f>IF('TMP Paste'!$E57="","",'TMP Paste'!$E57)</f>
        <v/>
      </c>
      <c r="B57">
        <f>IF($A57="","",COUNTIF('TMP Paste'!$B$2:$B57,"?*"))</f>
        <v/>
      </c>
      <c r="C57">
        <f>IF($A57="","",IFERROR('TMP Paste'!$M57*1,0))</f>
        <v/>
      </c>
      <c r="D57">
        <f>IF($A57="","",SUMIF($B$2:$B57,$B57,$C$2:$C57))</f>
        <v/>
      </c>
      <c r="E57">
        <f>IF($A57="",0,IF('TMP Paste'!$B57="",0,1))</f>
        <v/>
      </c>
      <c r="F57">
        <f>IF(OR($A57="",$C57&lt;1),"",$A57&amp;"-"&amp;TEXT(($D57-$C57+1),"00")&amp;IF($C57&gt;=2,", "&amp;$A57&amp;"-"&amp;TEXT(($D57-$C57+1)+1,"00"),"")&amp;IF($C57&gt;=3,", "&amp;$A57&amp;"-"&amp;TEXT(($D57-$C57+1)+2,"00"),"")&amp;IF($C57&gt;=4,", "&amp;$A57&amp;"-"&amp;TEXT(($D57-$C57+1)+3,"00"),"")&amp;IF($C57&gt;=5,", "&amp;$A57&amp;"-"&amp;TEXT(($D57-$C57+1)+4,"00"),"")&amp;IF($C57&gt;=6,", "&amp;$A57&amp;"-"&amp;TEXT(($D57-$C57+1)+5,"00"),"")&amp;IF($C57&gt;=7,", "&amp;$A57&amp;"-"&amp;TEXT(($D57-$C57+1)+6,"00"),"")&amp;IF($C57&gt;=8,", "&amp;$A57&amp;"-"&amp;TEXT(($D57-$C57+1)+7,"00"),"")&amp;IF($C57&gt;=9,", "&amp;$A57&amp;"-"&amp;TEXT(($D57-$C57+1)+8,"00"),"")&amp;IF($C57&gt;=10,", "&amp;$A57&amp;"-"&amp;TEXT(($D57-$C57+1)+9,"00"),"")&amp;IF($C57&gt;=11,", "&amp;$A57&amp;"-"&amp;TEXT(($D57-$C57+1)+10,"00"),"")&amp;IF($C57&gt;=12,", "&amp;$A57&amp;"-"&amp;TEXT(($D57-$C57+1)+11,"00"),"")&amp;IF($C57&gt;=13,", "&amp;$A57&amp;"-"&amp;TEXT(($D57-$C57+1)+12,"00"),"")&amp;IF($C57&gt;=14,", "&amp;$A57&amp;"-"&amp;TEXT(($D57-$C57+1)+13,"00"),"")&amp;IF($C57&gt;=15,", "&amp;$A57&amp;"-"&amp;TEXT(($D57-$C57+1)+14,"00"),"")&amp;IF($C57&gt;=16,", "&amp;$A57&amp;"-"&amp;TEXT(($D57-$C57+1)+15,"00"),"")&amp;IF($C57&gt;=17,", "&amp;$A57&amp;"-"&amp;TEXT(($D57-$C57+1)+16,"00"),"")&amp;IF($C57&gt;=18,", "&amp;$A57&amp;"-"&amp;TEXT(($D57-$C57+1)+17,"00"),"")&amp;IF($C57&gt;=19,", "&amp;$A57&amp;"-"&amp;TEXT(($D57-$C57+1)+18,"00"),"")&amp;IF($C57&gt;=20,", "&amp;$A57&amp;"-"&amp;TEXT(($D57-$C57+1)+19,"00"),"")&amp;IF($C57&gt;=21,", "&amp;$A57&amp;"-"&amp;TEXT(($D57-$C57+1)+20,"00"),"")&amp;IF($C57&gt;=22,", "&amp;$A57&amp;"-"&amp;TEXT(($D57-$C57+1)+21,"00"),"")&amp;IF($C57&gt;=23,", "&amp;$A57&amp;"-"&amp;TEXT(($D57-$C57+1)+22,"00"),"")&amp;IF($C57&gt;=24,", "&amp;$A57&amp;"-"&amp;TEXT(($D57-$C57+1)+23,"00"),"")&amp;IF($C57&gt;=25,", "&amp;$A57&amp;"-"&amp;TEXT(($D57-$C57+1)+24,"00"),""))</f>
        <v/>
      </c>
      <c r="G57">
        <f>IF($A57="","",IF($E57=1,$F57,IF($F57="",$G56,IF($G56="",$F57,$G56&amp;", "&amp;$F57))))</f>
        <v/>
      </c>
      <c r="H57">
        <f>IF($A57="","",$A57&amp;" ("&amp;$C57&amp;")")</f>
        <v/>
      </c>
      <c r="I57">
        <f>IF($A57="","",IF($E57=1,$H57,$I56&amp;", "&amp;$H57))</f>
        <v/>
      </c>
      <c r="J57">
        <f>IF($A57="","",IF($E57=1,$B57,""))</f>
        <v/>
      </c>
      <c r="K57">
        <f>IF($A57="","",IF(COUNTIF($B$2:$B57,$B57)=COUNTIF($B$2:$B$1601,$B57),$B57,""))</f>
        <v/>
      </c>
    </row>
    <row r="58">
      <c r="A58">
        <f>IF('TMP Paste'!$E58="","",'TMP Paste'!$E58)</f>
        <v/>
      </c>
      <c r="B58">
        <f>IF($A58="","",COUNTIF('TMP Paste'!$B$2:$B58,"?*"))</f>
        <v/>
      </c>
      <c r="C58">
        <f>IF($A58="","",IFERROR('TMP Paste'!$M58*1,0))</f>
        <v/>
      </c>
      <c r="D58">
        <f>IF($A58="","",SUMIF($B$2:$B58,$B58,$C$2:$C58))</f>
        <v/>
      </c>
      <c r="E58">
        <f>IF($A58="",0,IF('TMP Paste'!$B58="",0,1))</f>
        <v/>
      </c>
      <c r="F58">
        <f>IF(OR($A58="",$C58&lt;1),"",$A58&amp;"-"&amp;TEXT(($D58-$C58+1),"00")&amp;IF($C58&gt;=2,", "&amp;$A58&amp;"-"&amp;TEXT(($D58-$C58+1)+1,"00"),"")&amp;IF($C58&gt;=3,", "&amp;$A58&amp;"-"&amp;TEXT(($D58-$C58+1)+2,"00"),"")&amp;IF($C58&gt;=4,", "&amp;$A58&amp;"-"&amp;TEXT(($D58-$C58+1)+3,"00"),"")&amp;IF($C58&gt;=5,", "&amp;$A58&amp;"-"&amp;TEXT(($D58-$C58+1)+4,"00"),"")&amp;IF($C58&gt;=6,", "&amp;$A58&amp;"-"&amp;TEXT(($D58-$C58+1)+5,"00"),"")&amp;IF($C58&gt;=7,", "&amp;$A58&amp;"-"&amp;TEXT(($D58-$C58+1)+6,"00"),"")&amp;IF($C58&gt;=8,", "&amp;$A58&amp;"-"&amp;TEXT(($D58-$C58+1)+7,"00"),"")&amp;IF($C58&gt;=9,", "&amp;$A58&amp;"-"&amp;TEXT(($D58-$C58+1)+8,"00"),"")&amp;IF($C58&gt;=10,", "&amp;$A58&amp;"-"&amp;TEXT(($D58-$C58+1)+9,"00"),"")&amp;IF($C58&gt;=11,", "&amp;$A58&amp;"-"&amp;TEXT(($D58-$C58+1)+10,"00"),"")&amp;IF($C58&gt;=12,", "&amp;$A58&amp;"-"&amp;TEXT(($D58-$C58+1)+11,"00"),"")&amp;IF($C58&gt;=13,", "&amp;$A58&amp;"-"&amp;TEXT(($D58-$C58+1)+12,"00"),"")&amp;IF($C58&gt;=14,", "&amp;$A58&amp;"-"&amp;TEXT(($D58-$C58+1)+13,"00"),"")&amp;IF($C58&gt;=15,", "&amp;$A58&amp;"-"&amp;TEXT(($D58-$C58+1)+14,"00"),"")&amp;IF($C58&gt;=16,", "&amp;$A58&amp;"-"&amp;TEXT(($D58-$C58+1)+15,"00"),"")&amp;IF($C58&gt;=17,", "&amp;$A58&amp;"-"&amp;TEXT(($D58-$C58+1)+16,"00"),"")&amp;IF($C58&gt;=18,", "&amp;$A58&amp;"-"&amp;TEXT(($D58-$C58+1)+17,"00"),"")&amp;IF($C58&gt;=19,", "&amp;$A58&amp;"-"&amp;TEXT(($D58-$C58+1)+18,"00"),"")&amp;IF($C58&gt;=20,", "&amp;$A58&amp;"-"&amp;TEXT(($D58-$C58+1)+19,"00"),"")&amp;IF($C58&gt;=21,", "&amp;$A58&amp;"-"&amp;TEXT(($D58-$C58+1)+20,"00"),"")&amp;IF($C58&gt;=22,", "&amp;$A58&amp;"-"&amp;TEXT(($D58-$C58+1)+21,"00"),"")&amp;IF($C58&gt;=23,", "&amp;$A58&amp;"-"&amp;TEXT(($D58-$C58+1)+22,"00"),"")&amp;IF($C58&gt;=24,", "&amp;$A58&amp;"-"&amp;TEXT(($D58-$C58+1)+23,"00"),"")&amp;IF($C58&gt;=25,", "&amp;$A58&amp;"-"&amp;TEXT(($D58-$C58+1)+24,"00"),""))</f>
        <v/>
      </c>
      <c r="G58">
        <f>IF($A58="","",IF($E58=1,$F58,IF($F58="",$G57,IF($G57="",$F58,$G57&amp;", "&amp;$F58))))</f>
        <v/>
      </c>
      <c r="H58">
        <f>IF($A58="","",$A58&amp;" ("&amp;$C58&amp;")")</f>
        <v/>
      </c>
      <c r="I58">
        <f>IF($A58="","",IF($E58=1,$H58,$I57&amp;", "&amp;$H58))</f>
        <v/>
      </c>
      <c r="J58">
        <f>IF($A58="","",IF($E58=1,$B58,""))</f>
        <v/>
      </c>
      <c r="K58">
        <f>IF($A58="","",IF(COUNTIF($B$2:$B58,$B58)=COUNTIF($B$2:$B$1601,$B58),$B58,""))</f>
        <v/>
      </c>
    </row>
    <row r="59">
      <c r="A59">
        <f>IF('TMP Paste'!$E59="","",'TMP Paste'!$E59)</f>
        <v/>
      </c>
      <c r="B59">
        <f>IF($A59="","",COUNTIF('TMP Paste'!$B$2:$B59,"?*"))</f>
        <v/>
      </c>
      <c r="C59">
        <f>IF($A59="","",IFERROR('TMP Paste'!$M59*1,0))</f>
        <v/>
      </c>
      <c r="D59">
        <f>IF($A59="","",SUMIF($B$2:$B59,$B59,$C$2:$C59))</f>
        <v/>
      </c>
      <c r="E59">
        <f>IF($A59="",0,IF('TMP Paste'!$B59="",0,1))</f>
        <v/>
      </c>
      <c r="F59">
        <f>IF(OR($A59="",$C59&lt;1),"",$A59&amp;"-"&amp;TEXT(($D59-$C59+1),"00")&amp;IF($C59&gt;=2,", "&amp;$A59&amp;"-"&amp;TEXT(($D59-$C59+1)+1,"00"),"")&amp;IF($C59&gt;=3,", "&amp;$A59&amp;"-"&amp;TEXT(($D59-$C59+1)+2,"00"),"")&amp;IF($C59&gt;=4,", "&amp;$A59&amp;"-"&amp;TEXT(($D59-$C59+1)+3,"00"),"")&amp;IF($C59&gt;=5,", "&amp;$A59&amp;"-"&amp;TEXT(($D59-$C59+1)+4,"00"),"")&amp;IF($C59&gt;=6,", "&amp;$A59&amp;"-"&amp;TEXT(($D59-$C59+1)+5,"00"),"")&amp;IF($C59&gt;=7,", "&amp;$A59&amp;"-"&amp;TEXT(($D59-$C59+1)+6,"00"),"")&amp;IF($C59&gt;=8,", "&amp;$A59&amp;"-"&amp;TEXT(($D59-$C59+1)+7,"00"),"")&amp;IF($C59&gt;=9,", "&amp;$A59&amp;"-"&amp;TEXT(($D59-$C59+1)+8,"00"),"")&amp;IF($C59&gt;=10,", "&amp;$A59&amp;"-"&amp;TEXT(($D59-$C59+1)+9,"00"),"")&amp;IF($C59&gt;=11,", "&amp;$A59&amp;"-"&amp;TEXT(($D59-$C59+1)+10,"00"),"")&amp;IF($C59&gt;=12,", "&amp;$A59&amp;"-"&amp;TEXT(($D59-$C59+1)+11,"00"),"")&amp;IF($C59&gt;=13,", "&amp;$A59&amp;"-"&amp;TEXT(($D59-$C59+1)+12,"00"),"")&amp;IF($C59&gt;=14,", "&amp;$A59&amp;"-"&amp;TEXT(($D59-$C59+1)+13,"00"),"")&amp;IF($C59&gt;=15,", "&amp;$A59&amp;"-"&amp;TEXT(($D59-$C59+1)+14,"00"),"")&amp;IF($C59&gt;=16,", "&amp;$A59&amp;"-"&amp;TEXT(($D59-$C59+1)+15,"00"),"")&amp;IF($C59&gt;=17,", "&amp;$A59&amp;"-"&amp;TEXT(($D59-$C59+1)+16,"00"),"")&amp;IF($C59&gt;=18,", "&amp;$A59&amp;"-"&amp;TEXT(($D59-$C59+1)+17,"00"),"")&amp;IF($C59&gt;=19,", "&amp;$A59&amp;"-"&amp;TEXT(($D59-$C59+1)+18,"00"),"")&amp;IF($C59&gt;=20,", "&amp;$A59&amp;"-"&amp;TEXT(($D59-$C59+1)+19,"00"),"")&amp;IF($C59&gt;=21,", "&amp;$A59&amp;"-"&amp;TEXT(($D59-$C59+1)+20,"00"),"")&amp;IF($C59&gt;=22,", "&amp;$A59&amp;"-"&amp;TEXT(($D59-$C59+1)+21,"00"),"")&amp;IF($C59&gt;=23,", "&amp;$A59&amp;"-"&amp;TEXT(($D59-$C59+1)+22,"00"),"")&amp;IF($C59&gt;=24,", "&amp;$A59&amp;"-"&amp;TEXT(($D59-$C59+1)+23,"00"),"")&amp;IF($C59&gt;=25,", "&amp;$A59&amp;"-"&amp;TEXT(($D59-$C59+1)+24,"00"),""))</f>
        <v/>
      </c>
      <c r="G59">
        <f>IF($A59="","",IF($E59=1,$F59,IF($F59="",$G58,IF($G58="",$F59,$G58&amp;", "&amp;$F59))))</f>
        <v/>
      </c>
      <c r="H59">
        <f>IF($A59="","",$A59&amp;" ("&amp;$C59&amp;")")</f>
        <v/>
      </c>
      <c r="I59">
        <f>IF($A59="","",IF($E59=1,$H59,$I58&amp;", "&amp;$H59))</f>
        <v/>
      </c>
      <c r="J59">
        <f>IF($A59="","",IF($E59=1,$B59,""))</f>
        <v/>
      </c>
      <c r="K59">
        <f>IF($A59="","",IF(COUNTIF($B$2:$B59,$B59)=COUNTIF($B$2:$B$1601,$B59),$B59,""))</f>
        <v/>
      </c>
    </row>
    <row r="60">
      <c r="A60">
        <f>IF('TMP Paste'!$E60="","",'TMP Paste'!$E60)</f>
        <v/>
      </c>
      <c r="B60">
        <f>IF($A60="","",COUNTIF('TMP Paste'!$B$2:$B60,"?*"))</f>
        <v/>
      </c>
      <c r="C60">
        <f>IF($A60="","",IFERROR('TMP Paste'!$M60*1,0))</f>
        <v/>
      </c>
      <c r="D60">
        <f>IF($A60="","",SUMIF($B$2:$B60,$B60,$C$2:$C60))</f>
        <v/>
      </c>
      <c r="E60">
        <f>IF($A60="",0,IF('TMP Paste'!$B60="",0,1))</f>
        <v/>
      </c>
      <c r="F60">
        <f>IF(OR($A60="",$C60&lt;1),"",$A60&amp;"-"&amp;TEXT(($D60-$C60+1),"00")&amp;IF($C60&gt;=2,", "&amp;$A60&amp;"-"&amp;TEXT(($D60-$C60+1)+1,"00"),"")&amp;IF($C60&gt;=3,", "&amp;$A60&amp;"-"&amp;TEXT(($D60-$C60+1)+2,"00"),"")&amp;IF($C60&gt;=4,", "&amp;$A60&amp;"-"&amp;TEXT(($D60-$C60+1)+3,"00"),"")&amp;IF($C60&gt;=5,", "&amp;$A60&amp;"-"&amp;TEXT(($D60-$C60+1)+4,"00"),"")&amp;IF($C60&gt;=6,", "&amp;$A60&amp;"-"&amp;TEXT(($D60-$C60+1)+5,"00"),"")&amp;IF($C60&gt;=7,", "&amp;$A60&amp;"-"&amp;TEXT(($D60-$C60+1)+6,"00"),"")&amp;IF($C60&gt;=8,", "&amp;$A60&amp;"-"&amp;TEXT(($D60-$C60+1)+7,"00"),"")&amp;IF($C60&gt;=9,", "&amp;$A60&amp;"-"&amp;TEXT(($D60-$C60+1)+8,"00"),"")&amp;IF($C60&gt;=10,", "&amp;$A60&amp;"-"&amp;TEXT(($D60-$C60+1)+9,"00"),"")&amp;IF($C60&gt;=11,", "&amp;$A60&amp;"-"&amp;TEXT(($D60-$C60+1)+10,"00"),"")&amp;IF($C60&gt;=12,", "&amp;$A60&amp;"-"&amp;TEXT(($D60-$C60+1)+11,"00"),"")&amp;IF($C60&gt;=13,", "&amp;$A60&amp;"-"&amp;TEXT(($D60-$C60+1)+12,"00"),"")&amp;IF($C60&gt;=14,", "&amp;$A60&amp;"-"&amp;TEXT(($D60-$C60+1)+13,"00"),"")&amp;IF($C60&gt;=15,", "&amp;$A60&amp;"-"&amp;TEXT(($D60-$C60+1)+14,"00"),"")&amp;IF($C60&gt;=16,", "&amp;$A60&amp;"-"&amp;TEXT(($D60-$C60+1)+15,"00"),"")&amp;IF($C60&gt;=17,", "&amp;$A60&amp;"-"&amp;TEXT(($D60-$C60+1)+16,"00"),"")&amp;IF($C60&gt;=18,", "&amp;$A60&amp;"-"&amp;TEXT(($D60-$C60+1)+17,"00"),"")&amp;IF($C60&gt;=19,", "&amp;$A60&amp;"-"&amp;TEXT(($D60-$C60+1)+18,"00"),"")&amp;IF($C60&gt;=20,", "&amp;$A60&amp;"-"&amp;TEXT(($D60-$C60+1)+19,"00"),"")&amp;IF($C60&gt;=21,", "&amp;$A60&amp;"-"&amp;TEXT(($D60-$C60+1)+20,"00"),"")&amp;IF($C60&gt;=22,", "&amp;$A60&amp;"-"&amp;TEXT(($D60-$C60+1)+21,"00"),"")&amp;IF($C60&gt;=23,", "&amp;$A60&amp;"-"&amp;TEXT(($D60-$C60+1)+22,"00"),"")&amp;IF($C60&gt;=24,", "&amp;$A60&amp;"-"&amp;TEXT(($D60-$C60+1)+23,"00"),"")&amp;IF($C60&gt;=25,", "&amp;$A60&amp;"-"&amp;TEXT(($D60-$C60+1)+24,"00"),""))</f>
        <v/>
      </c>
      <c r="G60">
        <f>IF($A60="","",IF($E60=1,$F60,IF($F60="",$G59,IF($G59="",$F60,$G59&amp;", "&amp;$F60))))</f>
        <v/>
      </c>
      <c r="H60">
        <f>IF($A60="","",$A60&amp;" ("&amp;$C60&amp;")")</f>
        <v/>
      </c>
      <c r="I60">
        <f>IF($A60="","",IF($E60=1,$H60,$I59&amp;", "&amp;$H60))</f>
        <v/>
      </c>
      <c r="J60">
        <f>IF($A60="","",IF($E60=1,$B60,""))</f>
        <v/>
      </c>
      <c r="K60">
        <f>IF($A60="","",IF(COUNTIF($B$2:$B60,$B60)=COUNTIF($B$2:$B$1601,$B60),$B60,""))</f>
        <v/>
      </c>
    </row>
    <row r="61">
      <c r="A61">
        <f>IF('TMP Paste'!$E61="","",'TMP Paste'!$E61)</f>
        <v/>
      </c>
      <c r="B61">
        <f>IF($A61="","",COUNTIF('TMP Paste'!$B$2:$B61,"?*"))</f>
        <v/>
      </c>
      <c r="C61">
        <f>IF($A61="","",IFERROR('TMP Paste'!$M61*1,0))</f>
        <v/>
      </c>
      <c r="D61">
        <f>IF($A61="","",SUMIF($B$2:$B61,$B61,$C$2:$C61))</f>
        <v/>
      </c>
      <c r="E61">
        <f>IF($A61="",0,IF('TMP Paste'!$B61="",0,1))</f>
        <v/>
      </c>
      <c r="F61">
        <f>IF(OR($A61="",$C61&lt;1),"",$A61&amp;"-"&amp;TEXT(($D61-$C61+1),"00")&amp;IF($C61&gt;=2,", "&amp;$A61&amp;"-"&amp;TEXT(($D61-$C61+1)+1,"00"),"")&amp;IF($C61&gt;=3,", "&amp;$A61&amp;"-"&amp;TEXT(($D61-$C61+1)+2,"00"),"")&amp;IF($C61&gt;=4,", "&amp;$A61&amp;"-"&amp;TEXT(($D61-$C61+1)+3,"00"),"")&amp;IF($C61&gt;=5,", "&amp;$A61&amp;"-"&amp;TEXT(($D61-$C61+1)+4,"00"),"")&amp;IF($C61&gt;=6,", "&amp;$A61&amp;"-"&amp;TEXT(($D61-$C61+1)+5,"00"),"")&amp;IF($C61&gt;=7,", "&amp;$A61&amp;"-"&amp;TEXT(($D61-$C61+1)+6,"00"),"")&amp;IF($C61&gt;=8,", "&amp;$A61&amp;"-"&amp;TEXT(($D61-$C61+1)+7,"00"),"")&amp;IF($C61&gt;=9,", "&amp;$A61&amp;"-"&amp;TEXT(($D61-$C61+1)+8,"00"),"")&amp;IF($C61&gt;=10,", "&amp;$A61&amp;"-"&amp;TEXT(($D61-$C61+1)+9,"00"),"")&amp;IF($C61&gt;=11,", "&amp;$A61&amp;"-"&amp;TEXT(($D61-$C61+1)+10,"00"),"")&amp;IF($C61&gt;=12,", "&amp;$A61&amp;"-"&amp;TEXT(($D61-$C61+1)+11,"00"),"")&amp;IF($C61&gt;=13,", "&amp;$A61&amp;"-"&amp;TEXT(($D61-$C61+1)+12,"00"),"")&amp;IF($C61&gt;=14,", "&amp;$A61&amp;"-"&amp;TEXT(($D61-$C61+1)+13,"00"),"")&amp;IF($C61&gt;=15,", "&amp;$A61&amp;"-"&amp;TEXT(($D61-$C61+1)+14,"00"),"")&amp;IF($C61&gt;=16,", "&amp;$A61&amp;"-"&amp;TEXT(($D61-$C61+1)+15,"00"),"")&amp;IF($C61&gt;=17,", "&amp;$A61&amp;"-"&amp;TEXT(($D61-$C61+1)+16,"00"),"")&amp;IF($C61&gt;=18,", "&amp;$A61&amp;"-"&amp;TEXT(($D61-$C61+1)+17,"00"),"")&amp;IF($C61&gt;=19,", "&amp;$A61&amp;"-"&amp;TEXT(($D61-$C61+1)+18,"00"),"")&amp;IF($C61&gt;=20,", "&amp;$A61&amp;"-"&amp;TEXT(($D61-$C61+1)+19,"00"),"")&amp;IF($C61&gt;=21,", "&amp;$A61&amp;"-"&amp;TEXT(($D61-$C61+1)+20,"00"),"")&amp;IF($C61&gt;=22,", "&amp;$A61&amp;"-"&amp;TEXT(($D61-$C61+1)+21,"00"),"")&amp;IF($C61&gt;=23,", "&amp;$A61&amp;"-"&amp;TEXT(($D61-$C61+1)+22,"00"),"")&amp;IF($C61&gt;=24,", "&amp;$A61&amp;"-"&amp;TEXT(($D61-$C61+1)+23,"00"),"")&amp;IF($C61&gt;=25,", "&amp;$A61&amp;"-"&amp;TEXT(($D61-$C61+1)+24,"00"),""))</f>
        <v/>
      </c>
      <c r="G61">
        <f>IF($A61="","",IF($E61=1,$F61,IF($F61="",$G60,IF($G60="",$F61,$G60&amp;", "&amp;$F61))))</f>
        <v/>
      </c>
      <c r="H61">
        <f>IF($A61="","",$A61&amp;" ("&amp;$C61&amp;")")</f>
        <v/>
      </c>
      <c r="I61">
        <f>IF($A61="","",IF($E61=1,$H61,$I60&amp;", "&amp;$H61))</f>
        <v/>
      </c>
      <c r="J61">
        <f>IF($A61="","",IF($E61=1,$B61,""))</f>
        <v/>
      </c>
      <c r="K61">
        <f>IF($A61="","",IF(COUNTIF($B$2:$B61,$B61)=COUNTIF($B$2:$B$1601,$B61),$B61,""))</f>
        <v/>
      </c>
    </row>
    <row r="62">
      <c r="A62">
        <f>IF('TMP Paste'!$E62="","",'TMP Paste'!$E62)</f>
        <v/>
      </c>
      <c r="B62">
        <f>IF($A62="","",COUNTIF('TMP Paste'!$B$2:$B62,"?*"))</f>
        <v/>
      </c>
      <c r="C62">
        <f>IF($A62="","",IFERROR('TMP Paste'!$M62*1,0))</f>
        <v/>
      </c>
      <c r="D62">
        <f>IF($A62="","",SUMIF($B$2:$B62,$B62,$C$2:$C62))</f>
        <v/>
      </c>
      <c r="E62">
        <f>IF($A62="",0,IF('TMP Paste'!$B62="",0,1))</f>
        <v/>
      </c>
      <c r="F62">
        <f>IF(OR($A62="",$C62&lt;1),"",$A62&amp;"-"&amp;TEXT(($D62-$C62+1),"00")&amp;IF($C62&gt;=2,", "&amp;$A62&amp;"-"&amp;TEXT(($D62-$C62+1)+1,"00"),"")&amp;IF($C62&gt;=3,", "&amp;$A62&amp;"-"&amp;TEXT(($D62-$C62+1)+2,"00"),"")&amp;IF($C62&gt;=4,", "&amp;$A62&amp;"-"&amp;TEXT(($D62-$C62+1)+3,"00"),"")&amp;IF($C62&gt;=5,", "&amp;$A62&amp;"-"&amp;TEXT(($D62-$C62+1)+4,"00"),"")&amp;IF($C62&gt;=6,", "&amp;$A62&amp;"-"&amp;TEXT(($D62-$C62+1)+5,"00"),"")&amp;IF($C62&gt;=7,", "&amp;$A62&amp;"-"&amp;TEXT(($D62-$C62+1)+6,"00"),"")&amp;IF($C62&gt;=8,", "&amp;$A62&amp;"-"&amp;TEXT(($D62-$C62+1)+7,"00"),"")&amp;IF($C62&gt;=9,", "&amp;$A62&amp;"-"&amp;TEXT(($D62-$C62+1)+8,"00"),"")&amp;IF($C62&gt;=10,", "&amp;$A62&amp;"-"&amp;TEXT(($D62-$C62+1)+9,"00"),"")&amp;IF($C62&gt;=11,", "&amp;$A62&amp;"-"&amp;TEXT(($D62-$C62+1)+10,"00"),"")&amp;IF($C62&gt;=12,", "&amp;$A62&amp;"-"&amp;TEXT(($D62-$C62+1)+11,"00"),"")&amp;IF($C62&gt;=13,", "&amp;$A62&amp;"-"&amp;TEXT(($D62-$C62+1)+12,"00"),"")&amp;IF($C62&gt;=14,", "&amp;$A62&amp;"-"&amp;TEXT(($D62-$C62+1)+13,"00"),"")&amp;IF($C62&gt;=15,", "&amp;$A62&amp;"-"&amp;TEXT(($D62-$C62+1)+14,"00"),"")&amp;IF($C62&gt;=16,", "&amp;$A62&amp;"-"&amp;TEXT(($D62-$C62+1)+15,"00"),"")&amp;IF($C62&gt;=17,", "&amp;$A62&amp;"-"&amp;TEXT(($D62-$C62+1)+16,"00"),"")&amp;IF($C62&gt;=18,", "&amp;$A62&amp;"-"&amp;TEXT(($D62-$C62+1)+17,"00"),"")&amp;IF($C62&gt;=19,", "&amp;$A62&amp;"-"&amp;TEXT(($D62-$C62+1)+18,"00"),"")&amp;IF($C62&gt;=20,", "&amp;$A62&amp;"-"&amp;TEXT(($D62-$C62+1)+19,"00"),"")&amp;IF($C62&gt;=21,", "&amp;$A62&amp;"-"&amp;TEXT(($D62-$C62+1)+20,"00"),"")&amp;IF($C62&gt;=22,", "&amp;$A62&amp;"-"&amp;TEXT(($D62-$C62+1)+21,"00"),"")&amp;IF($C62&gt;=23,", "&amp;$A62&amp;"-"&amp;TEXT(($D62-$C62+1)+22,"00"),"")&amp;IF($C62&gt;=24,", "&amp;$A62&amp;"-"&amp;TEXT(($D62-$C62+1)+23,"00"),"")&amp;IF($C62&gt;=25,", "&amp;$A62&amp;"-"&amp;TEXT(($D62-$C62+1)+24,"00"),""))</f>
        <v/>
      </c>
      <c r="G62">
        <f>IF($A62="","",IF($E62=1,$F62,IF($F62="",$G61,IF($G61="",$F62,$G61&amp;", "&amp;$F62))))</f>
        <v/>
      </c>
      <c r="H62">
        <f>IF($A62="","",$A62&amp;" ("&amp;$C62&amp;")")</f>
        <v/>
      </c>
      <c r="I62">
        <f>IF($A62="","",IF($E62=1,$H62,$I61&amp;", "&amp;$H62))</f>
        <v/>
      </c>
      <c r="J62">
        <f>IF($A62="","",IF($E62=1,$B62,""))</f>
        <v/>
      </c>
      <c r="K62">
        <f>IF($A62="","",IF(COUNTIF($B$2:$B62,$B62)=COUNTIF($B$2:$B$1601,$B62),$B62,""))</f>
        <v/>
      </c>
    </row>
    <row r="63">
      <c r="A63">
        <f>IF('TMP Paste'!$E63="","",'TMP Paste'!$E63)</f>
        <v/>
      </c>
      <c r="B63">
        <f>IF($A63="","",COUNTIF('TMP Paste'!$B$2:$B63,"?*"))</f>
        <v/>
      </c>
      <c r="C63">
        <f>IF($A63="","",IFERROR('TMP Paste'!$M63*1,0))</f>
        <v/>
      </c>
      <c r="D63">
        <f>IF($A63="","",SUMIF($B$2:$B63,$B63,$C$2:$C63))</f>
        <v/>
      </c>
      <c r="E63">
        <f>IF($A63="",0,IF('TMP Paste'!$B63="",0,1))</f>
        <v/>
      </c>
      <c r="F63">
        <f>IF(OR($A63="",$C63&lt;1),"",$A63&amp;"-"&amp;TEXT(($D63-$C63+1),"00")&amp;IF($C63&gt;=2,", "&amp;$A63&amp;"-"&amp;TEXT(($D63-$C63+1)+1,"00"),"")&amp;IF($C63&gt;=3,", "&amp;$A63&amp;"-"&amp;TEXT(($D63-$C63+1)+2,"00"),"")&amp;IF($C63&gt;=4,", "&amp;$A63&amp;"-"&amp;TEXT(($D63-$C63+1)+3,"00"),"")&amp;IF($C63&gt;=5,", "&amp;$A63&amp;"-"&amp;TEXT(($D63-$C63+1)+4,"00"),"")&amp;IF($C63&gt;=6,", "&amp;$A63&amp;"-"&amp;TEXT(($D63-$C63+1)+5,"00"),"")&amp;IF($C63&gt;=7,", "&amp;$A63&amp;"-"&amp;TEXT(($D63-$C63+1)+6,"00"),"")&amp;IF($C63&gt;=8,", "&amp;$A63&amp;"-"&amp;TEXT(($D63-$C63+1)+7,"00"),"")&amp;IF($C63&gt;=9,", "&amp;$A63&amp;"-"&amp;TEXT(($D63-$C63+1)+8,"00"),"")&amp;IF($C63&gt;=10,", "&amp;$A63&amp;"-"&amp;TEXT(($D63-$C63+1)+9,"00"),"")&amp;IF($C63&gt;=11,", "&amp;$A63&amp;"-"&amp;TEXT(($D63-$C63+1)+10,"00"),"")&amp;IF($C63&gt;=12,", "&amp;$A63&amp;"-"&amp;TEXT(($D63-$C63+1)+11,"00"),"")&amp;IF($C63&gt;=13,", "&amp;$A63&amp;"-"&amp;TEXT(($D63-$C63+1)+12,"00"),"")&amp;IF($C63&gt;=14,", "&amp;$A63&amp;"-"&amp;TEXT(($D63-$C63+1)+13,"00"),"")&amp;IF($C63&gt;=15,", "&amp;$A63&amp;"-"&amp;TEXT(($D63-$C63+1)+14,"00"),"")&amp;IF($C63&gt;=16,", "&amp;$A63&amp;"-"&amp;TEXT(($D63-$C63+1)+15,"00"),"")&amp;IF($C63&gt;=17,", "&amp;$A63&amp;"-"&amp;TEXT(($D63-$C63+1)+16,"00"),"")&amp;IF($C63&gt;=18,", "&amp;$A63&amp;"-"&amp;TEXT(($D63-$C63+1)+17,"00"),"")&amp;IF($C63&gt;=19,", "&amp;$A63&amp;"-"&amp;TEXT(($D63-$C63+1)+18,"00"),"")&amp;IF($C63&gt;=20,", "&amp;$A63&amp;"-"&amp;TEXT(($D63-$C63+1)+19,"00"),"")&amp;IF($C63&gt;=21,", "&amp;$A63&amp;"-"&amp;TEXT(($D63-$C63+1)+20,"00"),"")&amp;IF($C63&gt;=22,", "&amp;$A63&amp;"-"&amp;TEXT(($D63-$C63+1)+21,"00"),"")&amp;IF($C63&gt;=23,", "&amp;$A63&amp;"-"&amp;TEXT(($D63-$C63+1)+22,"00"),"")&amp;IF($C63&gt;=24,", "&amp;$A63&amp;"-"&amp;TEXT(($D63-$C63+1)+23,"00"),"")&amp;IF($C63&gt;=25,", "&amp;$A63&amp;"-"&amp;TEXT(($D63-$C63+1)+24,"00"),""))</f>
        <v/>
      </c>
      <c r="G63">
        <f>IF($A63="","",IF($E63=1,$F63,IF($F63="",$G62,IF($G62="",$F63,$G62&amp;", "&amp;$F63))))</f>
        <v/>
      </c>
      <c r="H63">
        <f>IF($A63="","",$A63&amp;" ("&amp;$C63&amp;")")</f>
        <v/>
      </c>
      <c r="I63">
        <f>IF($A63="","",IF($E63=1,$H63,$I62&amp;", "&amp;$H63))</f>
        <v/>
      </c>
      <c r="J63">
        <f>IF($A63="","",IF($E63=1,$B63,""))</f>
        <v/>
      </c>
      <c r="K63">
        <f>IF($A63="","",IF(COUNTIF($B$2:$B63,$B63)=COUNTIF($B$2:$B$1601,$B63),$B63,""))</f>
        <v/>
      </c>
    </row>
    <row r="64">
      <c r="A64">
        <f>IF('TMP Paste'!$E64="","",'TMP Paste'!$E64)</f>
        <v/>
      </c>
      <c r="B64">
        <f>IF($A64="","",COUNTIF('TMP Paste'!$B$2:$B64,"?*"))</f>
        <v/>
      </c>
      <c r="C64">
        <f>IF($A64="","",IFERROR('TMP Paste'!$M64*1,0))</f>
        <v/>
      </c>
      <c r="D64">
        <f>IF($A64="","",SUMIF($B$2:$B64,$B64,$C$2:$C64))</f>
        <v/>
      </c>
      <c r="E64">
        <f>IF($A64="",0,IF('TMP Paste'!$B64="",0,1))</f>
        <v/>
      </c>
      <c r="F64">
        <f>IF(OR($A64="",$C64&lt;1),"",$A64&amp;"-"&amp;TEXT(($D64-$C64+1),"00")&amp;IF($C64&gt;=2,", "&amp;$A64&amp;"-"&amp;TEXT(($D64-$C64+1)+1,"00"),"")&amp;IF($C64&gt;=3,", "&amp;$A64&amp;"-"&amp;TEXT(($D64-$C64+1)+2,"00"),"")&amp;IF($C64&gt;=4,", "&amp;$A64&amp;"-"&amp;TEXT(($D64-$C64+1)+3,"00"),"")&amp;IF($C64&gt;=5,", "&amp;$A64&amp;"-"&amp;TEXT(($D64-$C64+1)+4,"00"),"")&amp;IF($C64&gt;=6,", "&amp;$A64&amp;"-"&amp;TEXT(($D64-$C64+1)+5,"00"),"")&amp;IF($C64&gt;=7,", "&amp;$A64&amp;"-"&amp;TEXT(($D64-$C64+1)+6,"00"),"")&amp;IF($C64&gt;=8,", "&amp;$A64&amp;"-"&amp;TEXT(($D64-$C64+1)+7,"00"),"")&amp;IF($C64&gt;=9,", "&amp;$A64&amp;"-"&amp;TEXT(($D64-$C64+1)+8,"00"),"")&amp;IF($C64&gt;=10,", "&amp;$A64&amp;"-"&amp;TEXT(($D64-$C64+1)+9,"00"),"")&amp;IF($C64&gt;=11,", "&amp;$A64&amp;"-"&amp;TEXT(($D64-$C64+1)+10,"00"),"")&amp;IF($C64&gt;=12,", "&amp;$A64&amp;"-"&amp;TEXT(($D64-$C64+1)+11,"00"),"")&amp;IF($C64&gt;=13,", "&amp;$A64&amp;"-"&amp;TEXT(($D64-$C64+1)+12,"00"),"")&amp;IF($C64&gt;=14,", "&amp;$A64&amp;"-"&amp;TEXT(($D64-$C64+1)+13,"00"),"")&amp;IF($C64&gt;=15,", "&amp;$A64&amp;"-"&amp;TEXT(($D64-$C64+1)+14,"00"),"")&amp;IF($C64&gt;=16,", "&amp;$A64&amp;"-"&amp;TEXT(($D64-$C64+1)+15,"00"),"")&amp;IF($C64&gt;=17,", "&amp;$A64&amp;"-"&amp;TEXT(($D64-$C64+1)+16,"00"),"")&amp;IF($C64&gt;=18,", "&amp;$A64&amp;"-"&amp;TEXT(($D64-$C64+1)+17,"00"),"")&amp;IF($C64&gt;=19,", "&amp;$A64&amp;"-"&amp;TEXT(($D64-$C64+1)+18,"00"),"")&amp;IF($C64&gt;=20,", "&amp;$A64&amp;"-"&amp;TEXT(($D64-$C64+1)+19,"00"),"")&amp;IF($C64&gt;=21,", "&amp;$A64&amp;"-"&amp;TEXT(($D64-$C64+1)+20,"00"),"")&amp;IF($C64&gt;=22,", "&amp;$A64&amp;"-"&amp;TEXT(($D64-$C64+1)+21,"00"),"")&amp;IF($C64&gt;=23,", "&amp;$A64&amp;"-"&amp;TEXT(($D64-$C64+1)+22,"00"),"")&amp;IF($C64&gt;=24,", "&amp;$A64&amp;"-"&amp;TEXT(($D64-$C64+1)+23,"00"),"")&amp;IF($C64&gt;=25,", "&amp;$A64&amp;"-"&amp;TEXT(($D64-$C64+1)+24,"00"),""))</f>
        <v/>
      </c>
      <c r="G64">
        <f>IF($A64="","",IF($E64=1,$F64,IF($F64="",$G63,IF($G63="",$F64,$G63&amp;", "&amp;$F64))))</f>
        <v/>
      </c>
      <c r="H64">
        <f>IF($A64="","",$A64&amp;" ("&amp;$C64&amp;")")</f>
        <v/>
      </c>
      <c r="I64">
        <f>IF($A64="","",IF($E64=1,$H64,$I63&amp;", "&amp;$H64))</f>
        <v/>
      </c>
      <c r="J64">
        <f>IF($A64="","",IF($E64=1,$B64,""))</f>
        <v/>
      </c>
      <c r="K64">
        <f>IF($A64="","",IF(COUNTIF($B$2:$B64,$B64)=COUNTIF($B$2:$B$1601,$B64),$B64,""))</f>
        <v/>
      </c>
    </row>
    <row r="65">
      <c r="A65">
        <f>IF('TMP Paste'!$E65="","",'TMP Paste'!$E65)</f>
        <v/>
      </c>
      <c r="B65">
        <f>IF($A65="","",COUNTIF('TMP Paste'!$B$2:$B65,"?*"))</f>
        <v/>
      </c>
      <c r="C65">
        <f>IF($A65="","",IFERROR('TMP Paste'!$M65*1,0))</f>
        <v/>
      </c>
      <c r="D65">
        <f>IF($A65="","",SUMIF($B$2:$B65,$B65,$C$2:$C65))</f>
        <v/>
      </c>
      <c r="E65">
        <f>IF($A65="",0,IF('TMP Paste'!$B65="",0,1))</f>
        <v/>
      </c>
      <c r="F65">
        <f>IF(OR($A65="",$C65&lt;1),"",$A65&amp;"-"&amp;TEXT(($D65-$C65+1),"00")&amp;IF($C65&gt;=2,", "&amp;$A65&amp;"-"&amp;TEXT(($D65-$C65+1)+1,"00"),"")&amp;IF($C65&gt;=3,", "&amp;$A65&amp;"-"&amp;TEXT(($D65-$C65+1)+2,"00"),"")&amp;IF($C65&gt;=4,", "&amp;$A65&amp;"-"&amp;TEXT(($D65-$C65+1)+3,"00"),"")&amp;IF($C65&gt;=5,", "&amp;$A65&amp;"-"&amp;TEXT(($D65-$C65+1)+4,"00"),"")&amp;IF($C65&gt;=6,", "&amp;$A65&amp;"-"&amp;TEXT(($D65-$C65+1)+5,"00"),"")&amp;IF($C65&gt;=7,", "&amp;$A65&amp;"-"&amp;TEXT(($D65-$C65+1)+6,"00"),"")&amp;IF($C65&gt;=8,", "&amp;$A65&amp;"-"&amp;TEXT(($D65-$C65+1)+7,"00"),"")&amp;IF($C65&gt;=9,", "&amp;$A65&amp;"-"&amp;TEXT(($D65-$C65+1)+8,"00"),"")&amp;IF($C65&gt;=10,", "&amp;$A65&amp;"-"&amp;TEXT(($D65-$C65+1)+9,"00"),"")&amp;IF($C65&gt;=11,", "&amp;$A65&amp;"-"&amp;TEXT(($D65-$C65+1)+10,"00"),"")&amp;IF($C65&gt;=12,", "&amp;$A65&amp;"-"&amp;TEXT(($D65-$C65+1)+11,"00"),"")&amp;IF($C65&gt;=13,", "&amp;$A65&amp;"-"&amp;TEXT(($D65-$C65+1)+12,"00"),"")&amp;IF($C65&gt;=14,", "&amp;$A65&amp;"-"&amp;TEXT(($D65-$C65+1)+13,"00"),"")&amp;IF($C65&gt;=15,", "&amp;$A65&amp;"-"&amp;TEXT(($D65-$C65+1)+14,"00"),"")&amp;IF($C65&gt;=16,", "&amp;$A65&amp;"-"&amp;TEXT(($D65-$C65+1)+15,"00"),"")&amp;IF($C65&gt;=17,", "&amp;$A65&amp;"-"&amp;TEXT(($D65-$C65+1)+16,"00"),"")&amp;IF($C65&gt;=18,", "&amp;$A65&amp;"-"&amp;TEXT(($D65-$C65+1)+17,"00"),"")&amp;IF($C65&gt;=19,", "&amp;$A65&amp;"-"&amp;TEXT(($D65-$C65+1)+18,"00"),"")&amp;IF($C65&gt;=20,", "&amp;$A65&amp;"-"&amp;TEXT(($D65-$C65+1)+19,"00"),"")&amp;IF($C65&gt;=21,", "&amp;$A65&amp;"-"&amp;TEXT(($D65-$C65+1)+20,"00"),"")&amp;IF($C65&gt;=22,", "&amp;$A65&amp;"-"&amp;TEXT(($D65-$C65+1)+21,"00"),"")&amp;IF($C65&gt;=23,", "&amp;$A65&amp;"-"&amp;TEXT(($D65-$C65+1)+22,"00"),"")&amp;IF($C65&gt;=24,", "&amp;$A65&amp;"-"&amp;TEXT(($D65-$C65+1)+23,"00"),"")&amp;IF($C65&gt;=25,", "&amp;$A65&amp;"-"&amp;TEXT(($D65-$C65+1)+24,"00"),""))</f>
        <v/>
      </c>
      <c r="G65">
        <f>IF($A65="","",IF($E65=1,$F65,IF($F65="",$G64,IF($G64="",$F65,$G64&amp;", "&amp;$F65))))</f>
        <v/>
      </c>
      <c r="H65">
        <f>IF($A65="","",$A65&amp;" ("&amp;$C65&amp;")")</f>
        <v/>
      </c>
      <c r="I65">
        <f>IF($A65="","",IF($E65=1,$H65,$I64&amp;", "&amp;$H65))</f>
        <v/>
      </c>
      <c r="J65">
        <f>IF($A65="","",IF($E65=1,$B65,""))</f>
        <v/>
      </c>
      <c r="K65">
        <f>IF($A65="","",IF(COUNTIF($B$2:$B65,$B65)=COUNTIF($B$2:$B$1601,$B65),$B65,""))</f>
        <v/>
      </c>
    </row>
    <row r="66">
      <c r="A66">
        <f>IF('TMP Paste'!$E66="","",'TMP Paste'!$E66)</f>
        <v/>
      </c>
      <c r="B66">
        <f>IF($A66="","",COUNTIF('TMP Paste'!$B$2:$B66,"?*"))</f>
        <v/>
      </c>
      <c r="C66">
        <f>IF($A66="","",IFERROR('TMP Paste'!$M66*1,0))</f>
        <v/>
      </c>
      <c r="D66">
        <f>IF($A66="","",SUMIF($B$2:$B66,$B66,$C$2:$C66))</f>
        <v/>
      </c>
      <c r="E66">
        <f>IF($A66="",0,IF('TMP Paste'!$B66="",0,1))</f>
        <v/>
      </c>
      <c r="F66">
        <f>IF(OR($A66="",$C66&lt;1),"",$A66&amp;"-"&amp;TEXT(($D66-$C66+1),"00")&amp;IF($C66&gt;=2,", "&amp;$A66&amp;"-"&amp;TEXT(($D66-$C66+1)+1,"00"),"")&amp;IF($C66&gt;=3,", "&amp;$A66&amp;"-"&amp;TEXT(($D66-$C66+1)+2,"00"),"")&amp;IF($C66&gt;=4,", "&amp;$A66&amp;"-"&amp;TEXT(($D66-$C66+1)+3,"00"),"")&amp;IF($C66&gt;=5,", "&amp;$A66&amp;"-"&amp;TEXT(($D66-$C66+1)+4,"00"),"")&amp;IF($C66&gt;=6,", "&amp;$A66&amp;"-"&amp;TEXT(($D66-$C66+1)+5,"00"),"")&amp;IF($C66&gt;=7,", "&amp;$A66&amp;"-"&amp;TEXT(($D66-$C66+1)+6,"00"),"")&amp;IF($C66&gt;=8,", "&amp;$A66&amp;"-"&amp;TEXT(($D66-$C66+1)+7,"00"),"")&amp;IF($C66&gt;=9,", "&amp;$A66&amp;"-"&amp;TEXT(($D66-$C66+1)+8,"00"),"")&amp;IF($C66&gt;=10,", "&amp;$A66&amp;"-"&amp;TEXT(($D66-$C66+1)+9,"00"),"")&amp;IF($C66&gt;=11,", "&amp;$A66&amp;"-"&amp;TEXT(($D66-$C66+1)+10,"00"),"")&amp;IF($C66&gt;=12,", "&amp;$A66&amp;"-"&amp;TEXT(($D66-$C66+1)+11,"00"),"")&amp;IF($C66&gt;=13,", "&amp;$A66&amp;"-"&amp;TEXT(($D66-$C66+1)+12,"00"),"")&amp;IF($C66&gt;=14,", "&amp;$A66&amp;"-"&amp;TEXT(($D66-$C66+1)+13,"00"),"")&amp;IF($C66&gt;=15,", "&amp;$A66&amp;"-"&amp;TEXT(($D66-$C66+1)+14,"00"),"")&amp;IF($C66&gt;=16,", "&amp;$A66&amp;"-"&amp;TEXT(($D66-$C66+1)+15,"00"),"")&amp;IF($C66&gt;=17,", "&amp;$A66&amp;"-"&amp;TEXT(($D66-$C66+1)+16,"00"),"")&amp;IF($C66&gt;=18,", "&amp;$A66&amp;"-"&amp;TEXT(($D66-$C66+1)+17,"00"),"")&amp;IF($C66&gt;=19,", "&amp;$A66&amp;"-"&amp;TEXT(($D66-$C66+1)+18,"00"),"")&amp;IF($C66&gt;=20,", "&amp;$A66&amp;"-"&amp;TEXT(($D66-$C66+1)+19,"00"),"")&amp;IF($C66&gt;=21,", "&amp;$A66&amp;"-"&amp;TEXT(($D66-$C66+1)+20,"00"),"")&amp;IF($C66&gt;=22,", "&amp;$A66&amp;"-"&amp;TEXT(($D66-$C66+1)+21,"00"),"")&amp;IF($C66&gt;=23,", "&amp;$A66&amp;"-"&amp;TEXT(($D66-$C66+1)+22,"00"),"")&amp;IF($C66&gt;=24,", "&amp;$A66&amp;"-"&amp;TEXT(($D66-$C66+1)+23,"00"),"")&amp;IF($C66&gt;=25,", "&amp;$A66&amp;"-"&amp;TEXT(($D66-$C66+1)+24,"00"),""))</f>
        <v/>
      </c>
      <c r="G66">
        <f>IF($A66="","",IF($E66=1,$F66,IF($F66="",$G65,IF($G65="",$F66,$G65&amp;", "&amp;$F66))))</f>
        <v/>
      </c>
      <c r="H66">
        <f>IF($A66="","",$A66&amp;" ("&amp;$C66&amp;")")</f>
        <v/>
      </c>
      <c r="I66">
        <f>IF($A66="","",IF($E66=1,$H66,$I65&amp;", "&amp;$H66))</f>
        <v/>
      </c>
      <c r="J66">
        <f>IF($A66="","",IF($E66=1,$B66,""))</f>
        <v/>
      </c>
      <c r="K66">
        <f>IF($A66="","",IF(COUNTIF($B$2:$B66,$B66)=COUNTIF($B$2:$B$1601,$B66),$B66,""))</f>
        <v/>
      </c>
    </row>
    <row r="67">
      <c r="A67">
        <f>IF('TMP Paste'!$E67="","",'TMP Paste'!$E67)</f>
        <v/>
      </c>
      <c r="B67">
        <f>IF($A67="","",COUNTIF('TMP Paste'!$B$2:$B67,"?*"))</f>
        <v/>
      </c>
      <c r="C67">
        <f>IF($A67="","",IFERROR('TMP Paste'!$M67*1,0))</f>
        <v/>
      </c>
      <c r="D67">
        <f>IF($A67="","",SUMIF($B$2:$B67,$B67,$C$2:$C67))</f>
        <v/>
      </c>
      <c r="E67">
        <f>IF($A67="",0,IF('TMP Paste'!$B67="",0,1))</f>
        <v/>
      </c>
      <c r="F67">
        <f>IF(OR($A67="",$C67&lt;1),"",$A67&amp;"-"&amp;TEXT(($D67-$C67+1),"00")&amp;IF($C67&gt;=2,", "&amp;$A67&amp;"-"&amp;TEXT(($D67-$C67+1)+1,"00"),"")&amp;IF($C67&gt;=3,", "&amp;$A67&amp;"-"&amp;TEXT(($D67-$C67+1)+2,"00"),"")&amp;IF($C67&gt;=4,", "&amp;$A67&amp;"-"&amp;TEXT(($D67-$C67+1)+3,"00"),"")&amp;IF($C67&gt;=5,", "&amp;$A67&amp;"-"&amp;TEXT(($D67-$C67+1)+4,"00"),"")&amp;IF($C67&gt;=6,", "&amp;$A67&amp;"-"&amp;TEXT(($D67-$C67+1)+5,"00"),"")&amp;IF($C67&gt;=7,", "&amp;$A67&amp;"-"&amp;TEXT(($D67-$C67+1)+6,"00"),"")&amp;IF($C67&gt;=8,", "&amp;$A67&amp;"-"&amp;TEXT(($D67-$C67+1)+7,"00"),"")&amp;IF($C67&gt;=9,", "&amp;$A67&amp;"-"&amp;TEXT(($D67-$C67+1)+8,"00"),"")&amp;IF($C67&gt;=10,", "&amp;$A67&amp;"-"&amp;TEXT(($D67-$C67+1)+9,"00"),"")&amp;IF($C67&gt;=11,", "&amp;$A67&amp;"-"&amp;TEXT(($D67-$C67+1)+10,"00"),"")&amp;IF($C67&gt;=12,", "&amp;$A67&amp;"-"&amp;TEXT(($D67-$C67+1)+11,"00"),"")&amp;IF($C67&gt;=13,", "&amp;$A67&amp;"-"&amp;TEXT(($D67-$C67+1)+12,"00"),"")&amp;IF($C67&gt;=14,", "&amp;$A67&amp;"-"&amp;TEXT(($D67-$C67+1)+13,"00"),"")&amp;IF($C67&gt;=15,", "&amp;$A67&amp;"-"&amp;TEXT(($D67-$C67+1)+14,"00"),"")&amp;IF($C67&gt;=16,", "&amp;$A67&amp;"-"&amp;TEXT(($D67-$C67+1)+15,"00"),"")&amp;IF($C67&gt;=17,", "&amp;$A67&amp;"-"&amp;TEXT(($D67-$C67+1)+16,"00"),"")&amp;IF($C67&gt;=18,", "&amp;$A67&amp;"-"&amp;TEXT(($D67-$C67+1)+17,"00"),"")&amp;IF($C67&gt;=19,", "&amp;$A67&amp;"-"&amp;TEXT(($D67-$C67+1)+18,"00"),"")&amp;IF($C67&gt;=20,", "&amp;$A67&amp;"-"&amp;TEXT(($D67-$C67+1)+19,"00"),"")&amp;IF($C67&gt;=21,", "&amp;$A67&amp;"-"&amp;TEXT(($D67-$C67+1)+20,"00"),"")&amp;IF($C67&gt;=22,", "&amp;$A67&amp;"-"&amp;TEXT(($D67-$C67+1)+21,"00"),"")&amp;IF($C67&gt;=23,", "&amp;$A67&amp;"-"&amp;TEXT(($D67-$C67+1)+22,"00"),"")&amp;IF($C67&gt;=24,", "&amp;$A67&amp;"-"&amp;TEXT(($D67-$C67+1)+23,"00"),"")&amp;IF($C67&gt;=25,", "&amp;$A67&amp;"-"&amp;TEXT(($D67-$C67+1)+24,"00"),""))</f>
        <v/>
      </c>
      <c r="G67">
        <f>IF($A67="","",IF($E67=1,$F67,IF($F67="",$G66,IF($G66="",$F67,$G66&amp;", "&amp;$F67))))</f>
        <v/>
      </c>
      <c r="H67">
        <f>IF($A67="","",$A67&amp;" ("&amp;$C67&amp;")")</f>
        <v/>
      </c>
      <c r="I67">
        <f>IF($A67="","",IF($E67=1,$H67,$I66&amp;", "&amp;$H67))</f>
        <v/>
      </c>
      <c r="J67">
        <f>IF($A67="","",IF($E67=1,$B67,""))</f>
        <v/>
      </c>
      <c r="K67">
        <f>IF($A67="","",IF(COUNTIF($B$2:$B67,$B67)=COUNTIF($B$2:$B$1601,$B67),$B67,""))</f>
        <v/>
      </c>
    </row>
    <row r="68">
      <c r="A68">
        <f>IF('TMP Paste'!$E68="","",'TMP Paste'!$E68)</f>
        <v/>
      </c>
      <c r="B68">
        <f>IF($A68="","",COUNTIF('TMP Paste'!$B$2:$B68,"?*"))</f>
        <v/>
      </c>
      <c r="C68">
        <f>IF($A68="","",IFERROR('TMP Paste'!$M68*1,0))</f>
        <v/>
      </c>
      <c r="D68">
        <f>IF($A68="","",SUMIF($B$2:$B68,$B68,$C$2:$C68))</f>
        <v/>
      </c>
      <c r="E68">
        <f>IF($A68="",0,IF('TMP Paste'!$B68="",0,1))</f>
        <v/>
      </c>
      <c r="F68">
        <f>IF(OR($A68="",$C68&lt;1),"",$A68&amp;"-"&amp;TEXT(($D68-$C68+1),"00")&amp;IF($C68&gt;=2,", "&amp;$A68&amp;"-"&amp;TEXT(($D68-$C68+1)+1,"00"),"")&amp;IF($C68&gt;=3,", "&amp;$A68&amp;"-"&amp;TEXT(($D68-$C68+1)+2,"00"),"")&amp;IF($C68&gt;=4,", "&amp;$A68&amp;"-"&amp;TEXT(($D68-$C68+1)+3,"00"),"")&amp;IF($C68&gt;=5,", "&amp;$A68&amp;"-"&amp;TEXT(($D68-$C68+1)+4,"00"),"")&amp;IF($C68&gt;=6,", "&amp;$A68&amp;"-"&amp;TEXT(($D68-$C68+1)+5,"00"),"")&amp;IF($C68&gt;=7,", "&amp;$A68&amp;"-"&amp;TEXT(($D68-$C68+1)+6,"00"),"")&amp;IF($C68&gt;=8,", "&amp;$A68&amp;"-"&amp;TEXT(($D68-$C68+1)+7,"00"),"")&amp;IF($C68&gt;=9,", "&amp;$A68&amp;"-"&amp;TEXT(($D68-$C68+1)+8,"00"),"")&amp;IF($C68&gt;=10,", "&amp;$A68&amp;"-"&amp;TEXT(($D68-$C68+1)+9,"00"),"")&amp;IF($C68&gt;=11,", "&amp;$A68&amp;"-"&amp;TEXT(($D68-$C68+1)+10,"00"),"")&amp;IF($C68&gt;=12,", "&amp;$A68&amp;"-"&amp;TEXT(($D68-$C68+1)+11,"00"),"")&amp;IF($C68&gt;=13,", "&amp;$A68&amp;"-"&amp;TEXT(($D68-$C68+1)+12,"00"),"")&amp;IF($C68&gt;=14,", "&amp;$A68&amp;"-"&amp;TEXT(($D68-$C68+1)+13,"00"),"")&amp;IF($C68&gt;=15,", "&amp;$A68&amp;"-"&amp;TEXT(($D68-$C68+1)+14,"00"),"")&amp;IF($C68&gt;=16,", "&amp;$A68&amp;"-"&amp;TEXT(($D68-$C68+1)+15,"00"),"")&amp;IF($C68&gt;=17,", "&amp;$A68&amp;"-"&amp;TEXT(($D68-$C68+1)+16,"00"),"")&amp;IF($C68&gt;=18,", "&amp;$A68&amp;"-"&amp;TEXT(($D68-$C68+1)+17,"00"),"")&amp;IF($C68&gt;=19,", "&amp;$A68&amp;"-"&amp;TEXT(($D68-$C68+1)+18,"00"),"")&amp;IF($C68&gt;=20,", "&amp;$A68&amp;"-"&amp;TEXT(($D68-$C68+1)+19,"00"),"")&amp;IF($C68&gt;=21,", "&amp;$A68&amp;"-"&amp;TEXT(($D68-$C68+1)+20,"00"),"")&amp;IF($C68&gt;=22,", "&amp;$A68&amp;"-"&amp;TEXT(($D68-$C68+1)+21,"00"),"")&amp;IF($C68&gt;=23,", "&amp;$A68&amp;"-"&amp;TEXT(($D68-$C68+1)+22,"00"),"")&amp;IF($C68&gt;=24,", "&amp;$A68&amp;"-"&amp;TEXT(($D68-$C68+1)+23,"00"),"")&amp;IF($C68&gt;=25,", "&amp;$A68&amp;"-"&amp;TEXT(($D68-$C68+1)+24,"00"),""))</f>
        <v/>
      </c>
      <c r="G68">
        <f>IF($A68="","",IF($E68=1,$F68,IF($F68="",$G67,IF($G67="",$F68,$G67&amp;", "&amp;$F68))))</f>
        <v/>
      </c>
      <c r="H68">
        <f>IF($A68="","",$A68&amp;" ("&amp;$C68&amp;")")</f>
        <v/>
      </c>
      <c r="I68">
        <f>IF($A68="","",IF($E68=1,$H68,$I67&amp;", "&amp;$H68))</f>
        <v/>
      </c>
      <c r="J68">
        <f>IF($A68="","",IF($E68=1,$B68,""))</f>
        <v/>
      </c>
      <c r="K68">
        <f>IF($A68="","",IF(COUNTIF($B$2:$B68,$B68)=COUNTIF($B$2:$B$1601,$B68),$B68,""))</f>
        <v/>
      </c>
    </row>
    <row r="69">
      <c r="A69">
        <f>IF('TMP Paste'!$E69="","",'TMP Paste'!$E69)</f>
        <v/>
      </c>
      <c r="B69">
        <f>IF($A69="","",COUNTIF('TMP Paste'!$B$2:$B69,"?*"))</f>
        <v/>
      </c>
      <c r="C69">
        <f>IF($A69="","",IFERROR('TMP Paste'!$M69*1,0))</f>
        <v/>
      </c>
      <c r="D69">
        <f>IF($A69="","",SUMIF($B$2:$B69,$B69,$C$2:$C69))</f>
        <v/>
      </c>
      <c r="E69">
        <f>IF($A69="",0,IF('TMP Paste'!$B69="",0,1))</f>
        <v/>
      </c>
      <c r="F69">
        <f>IF(OR($A69="",$C69&lt;1),"",$A69&amp;"-"&amp;TEXT(($D69-$C69+1),"00")&amp;IF($C69&gt;=2,", "&amp;$A69&amp;"-"&amp;TEXT(($D69-$C69+1)+1,"00"),"")&amp;IF($C69&gt;=3,", "&amp;$A69&amp;"-"&amp;TEXT(($D69-$C69+1)+2,"00"),"")&amp;IF($C69&gt;=4,", "&amp;$A69&amp;"-"&amp;TEXT(($D69-$C69+1)+3,"00"),"")&amp;IF($C69&gt;=5,", "&amp;$A69&amp;"-"&amp;TEXT(($D69-$C69+1)+4,"00"),"")&amp;IF($C69&gt;=6,", "&amp;$A69&amp;"-"&amp;TEXT(($D69-$C69+1)+5,"00"),"")&amp;IF($C69&gt;=7,", "&amp;$A69&amp;"-"&amp;TEXT(($D69-$C69+1)+6,"00"),"")&amp;IF($C69&gt;=8,", "&amp;$A69&amp;"-"&amp;TEXT(($D69-$C69+1)+7,"00"),"")&amp;IF($C69&gt;=9,", "&amp;$A69&amp;"-"&amp;TEXT(($D69-$C69+1)+8,"00"),"")&amp;IF($C69&gt;=10,", "&amp;$A69&amp;"-"&amp;TEXT(($D69-$C69+1)+9,"00"),"")&amp;IF($C69&gt;=11,", "&amp;$A69&amp;"-"&amp;TEXT(($D69-$C69+1)+10,"00"),"")&amp;IF($C69&gt;=12,", "&amp;$A69&amp;"-"&amp;TEXT(($D69-$C69+1)+11,"00"),"")&amp;IF($C69&gt;=13,", "&amp;$A69&amp;"-"&amp;TEXT(($D69-$C69+1)+12,"00"),"")&amp;IF($C69&gt;=14,", "&amp;$A69&amp;"-"&amp;TEXT(($D69-$C69+1)+13,"00"),"")&amp;IF($C69&gt;=15,", "&amp;$A69&amp;"-"&amp;TEXT(($D69-$C69+1)+14,"00"),"")&amp;IF($C69&gt;=16,", "&amp;$A69&amp;"-"&amp;TEXT(($D69-$C69+1)+15,"00"),"")&amp;IF($C69&gt;=17,", "&amp;$A69&amp;"-"&amp;TEXT(($D69-$C69+1)+16,"00"),"")&amp;IF($C69&gt;=18,", "&amp;$A69&amp;"-"&amp;TEXT(($D69-$C69+1)+17,"00"),"")&amp;IF($C69&gt;=19,", "&amp;$A69&amp;"-"&amp;TEXT(($D69-$C69+1)+18,"00"),"")&amp;IF($C69&gt;=20,", "&amp;$A69&amp;"-"&amp;TEXT(($D69-$C69+1)+19,"00"),"")&amp;IF($C69&gt;=21,", "&amp;$A69&amp;"-"&amp;TEXT(($D69-$C69+1)+20,"00"),"")&amp;IF($C69&gt;=22,", "&amp;$A69&amp;"-"&amp;TEXT(($D69-$C69+1)+21,"00"),"")&amp;IF($C69&gt;=23,", "&amp;$A69&amp;"-"&amp;TEXT(($D69-$C69+1)+22,"00"),"")&amp;IF($C69&gt;=24,", "&amp;$A69&amp;"-"&amp;TEXT(($D69-$C69+1)+23,"00"),"")&amp;IF($C69&gt;=25,", "&amp;$A69&amp;"-"&amp;TEXT(($D69-$C69+1)+24,"00"),""))</f>
        <v/>
      </c>
      <c r="G69">
        <f>IF($A69="","",IF($E69=1,$F69,IF($F69="",$G68,IF($G68="",$F69,$G68&amp;", "&amp;$F69))))</f>
        <v/>
      </c>
      <c r="H69">
        <f>IF($A69="","",$A69&amp;" ("&amp;$C69&amp;")")</f>
        <v/>
      </c>
      <c r="I69">
        <f>IF($A69="","",IF($E69=1,$H69,$I68&amp;", "&amp;$H69))</f>
        <v/>
      </c>
      <c r="J69">
        <f>IF($A69="","",IF($E69=1,$B69,""))</f>
        <v/>
      </c>
      <c r="K69">
        <f>IF($A69="","",IF(COUNTIF($B$2:$B69,$B69)=COUNTIF($B$2:$B$1601,$B69),$B69,""))</f>
        <v/>
      </c>
    </row>
    <row r="70">
      <c r="A70">
        <f>IF('TMP Paste'!$E70="","",'TMP Paste'!$E70)</f>
        <v/>
      </c>
      <c r="B70">
        <f>IF($A70="","",COUNTIF('TMP Paste'!$B$2:$B70,"?*"))</f>
        <v/>
      </c>
      <c r="C70">
        <f>IF($A70="","",IFERROR('TMP Paste'!$M70*1,0))</f>
        <v/>
      </c>
      <c r="D70">
        <f>IF($A70="","",SUMIF($B$2:$B70,$B70,$C$2:$C70))</f>
        <v/>
      </c>
      <c r="E70">
        <f>IF($A70="",0,IF('TMP Paste'!$B70="",0,1))</f>
        <v/>
      </c>
      <c r="F70">
        <f>IF(OR($A70="",$C70&lt;1),"",$A70&amp;"-"&amp;TEXT(($D70-$C70+1),"00")&amp;IF($C70&gt;=2,", "&amp;$A70&amp;"-"&amp;TEXT(($D70-$C70+1)+1,"00"),"")&amp;IF($C70&gt;=3,", "&amp;$A70&amp;"-"&amp;TEXT(($D70-$C70+1)+2,"00"),"")&amp;IF($C70&gt;=4,", "&amp;$A70&amp;"-"&amp;TEXT(($D70-$C70+1)+3,"00"),"")&amp;IF($C70&gt;=5,", "&amp;$A70&amp;"-"&amp;TEXT(($D70-$C70+1)+4,"00"),"")&amp;IF($C70&gt;=6,", "&amp;$A70&amp;"-"&amp;TEXT(($D70-$C70+1)+5,"00"),"")&amp;IF($C70&gt;=7,", "&amp;$A70&amp;"-"&amp;TEXT(($D70-$C70+1)+6,"00"),"")&amp;IF($C70&gt;=8,", "&amp;$A70&amp;"-"&amp;TEXT(($D70-$C70+1)+7,"00"),"")&amp;IF($C70&gt;=9,", "&amp;$A70&amp;"-"&amp;TEXT(($D70-$C70+1)+8,"00"),"")&amp;IF($C70&gt;=10,", "&amp;$A70&amp;"-"&amp;TEXT(($D70-$C70+1)+9,"00"),"")&amp;IF($C70&gt;=11,", "&amp;$A70&amp;"-"&amp;TEXT(($D70-$C70+1)+10,"00"),"")&amp;IF($C70&gt;=12,", "&amp;$A70&amp;"-"&amp;TEXT(($D70-$C70+1)+11,"00"),"")&amp;IF($C70&gt;=13,", "&amp;$A70&amp;"-"&amp;TEXT(($D70-$C70+1)+12,"00"),"")&amp;IF($C70&gt;=14,", "&amp;$A70&amp;"-"&amp;TEXT(($D70-$C70+1)+13,"00"),"")&amp;IF($C70&gt;=15,", "&amp;$A70&amp;"-"&amp;TEXT(($D70-$C70+1)+14,"00"),"")&amp;IF($C70&gt;=16,", "&amp;$A70&amp;"-"&amp;TEXT(($D70-$C70+1)+15,"00"),"")&amp;IF($C70&gt;=17,", "&amp;$A70&amp;"-"&amp;TEXT(($D70-$C70+1)+16,"00"),"")&amp;IF($C70&gt;=18,", "&amp;$A70&amp;"-"&amp;TEXT(($D70-$C70+1)+17,"00"),"")&amp;IF($C70&gt;=19,", "&amp;$A70&amp;"-"&amp;TEXT(($D70-$C70+1)+18,"00"),"")&amp;IF($C70&gt;=20,", "&amp;$A70&amp;"-"&amp;TEXT(($D70-$C70+1)+19,"00"),"")&amp;IF($C70&gt;=21,", "&amp;$A70&amp;"-"&amp;TEXT(($D70-$C70+1)+20,"00"),"")&amp;IF($C70&gt;=22,", "&amp;$A70&amp;"-"&amp;TEXT(($D70-$C70+1)+21,"00"),"")&amp;IF($C70&gt;=23,", "&amp;$A70&amp;"-"&amp;TEXT(($D70-$C70+1)+22,"00"),"")&amp;IF($C70&gt;=24,", "&amp;$A70&amp;"-"&amp;TEXT(($D70-$C70+1)+23,"00"),"")&amp;IF($C70&gt;=25,", "&amp;$A70&amp;"-"&amp;TEXT(($D70-$C70+1)+24,"00"),""))</f>
        <v/>
      </c>
      <c r="G70">
        <f>IF($A70="","",IF($E70=1,$F70,IF($F70="",$G69,IF($G69="",$F70,$G69&amp;", "&amp;$F70))))</f>
        <v/>
      </c>
      <c r="H70">
        <f>IF($A70="","",$A70&amp;" ("&amp;$C70&amp;")")</f>
        <v/>
      </c>
      <c r="I70">
        <f>IF($A70="","",IF($E70=1,$H70,$I69&amp;", "&amp;$H70))</f>
        <v/>
      </c>
      <c r="J70">
        <f>IF($A70="","",IF($E70=1,$B70,""))</f>
        <v/>
      </c>
      <c r="K70">
        <f>IF($A70="","",IF(COUNTIF($B$2:$B70,$B70)=COUNTIF($B$2:$B$1601,$B70),$B70,""))</f>
        <v/>
      </c>
    </row>
    <row r="71">
      <c r="A71">
        <f>IF('TMP Paste'!$E71="","",'TMP Paste'!$E71)</f>
        <v/>
      </c>
      <c r="B71">
        <f>IF($A71="","",COUNTIF('TMP Paste'!$B$2:$B71,"?*"))</f>
        <v/>
      </c>
      <c r="C71">
        <f>IF($A71="","",IFERROR('TMP Paste'!$M71*1,0))</f>
        <v/>
      </c>
      <c r="D71">
        <f>IF($A71="","",SUMIF($B$2:$B71,$B71,$C$2:$C71))</f>
        <v/>
      </c>
      <c r="E71">
        <f>IF($A71="",0,IF('TMP Paste'!$B71="",0,1))</f>
        <v/>
      </c>
      <c r="F71">
        <f>IF(OR($A71="",$C71&lt;1),"",$A71&amp;"-"&amp;TEXT(($D71-$C71+1),"00")&amp;IF($C71&gt;=2,", "&amp;$A71&amp;"-"&amp;TEXT(($D71-$C71+1)+1,"00"),"")&amp;IF($C71&gt;=3,", "&amp;$A71&amp;"-"&amp;TEXT(($D71-$C71+1)+2,"00"),"")&amp;IF($C71&gt;=4,", "&amp;$A71&amp;"-"&amp;TEXT(($D71-$C71+1)+3,"00"),"")&amp;IF($C71&gt;=5,", "&amp;$A71&amp;"-"&amp;TEXT(($D71-$C71+1)+4,"00"),"")&amp;IF($C71&gt;=6,", "&amp;$A71&amp;"-"&amp;TEXT(($D71-$C71+1)+5,"00"),"")&amp;IF($C71&gt;=7,", "&amp;$A71&amp;"-"&amp;TEXT(($D71-$C71+1)+6,"00"),"")&amp;IF($C71&gt;=8,", "&amp;$A71&amp;"-"&amp;TEXT(($D71-$C71+1)+7,"00"),"")&amp;IF($C71&gt;=9,", "&amp;$A71&amp;"-"&amp;TEXT(($D71-$C71+1)+8,"00"),"")&amp;IF($C71&gt;=10,", "&amp;$A71&amp;"-"&amp;TEXT(($D71-$C71+1)+9,"00"),"")&amp;IF($C71&gt;=11,", "&amp;$A71&amp;"-"&amp;TEXT(($D71-$C71+1)+10,"00"),"")&amp;IF($C71&gt;=12,", "&amp;$A71&amp;"-"&amp;TEXT(($D71-$C71+1)+11,"00"),"")&amp;IF($C71&gt;=13,", "&amp;$A71&amp;"-"&amp;TEXT(($D71-$C71+1)+12,"00"),"")&amp;IF($C71&gt;=14,", "&amp;$A71&amp;"-"&amp;TEXT(($D71-$C71+1)+13,"00"),"")&amp;IF($C71&gt;=15,", "&amp;$A71&amp;"-"&amp;TEXT(($D71-$C71+1)+14,"00"),"")&amp;IF($C71&gt;=16,", "&amp;$A71&amp;"-"&amp;TEXT(($D71-$C71+1)+15,"00"),"")&amp;IF($C71&gt;=17,", "&amp;$A71&amp;"-"&amp;TEXT(($D71-$C71+1)+16,"00"),"")&amp;IF($C71&gt;=18,", "&amp;$A71&amp;"-"&amp;TEXT(($D71-$C71+1)+17,"00"),"")&amp;IF($C71&gt;=19,", "&amp;$A71&amp;"-"&amp;TEXT(($D71-$C71+1)+18,"00"),"")&amp;IF($C71&gt;=20,", "&amp;$A71&amp;"-"&amp;TEXT(($D71-$C71+1)+19,"00"),"")&amp;IF($C71&gt;=21,", "&amp;$A71&amp;"-"&amp;TEXT(($D71-$C71+1)+20,"00"),"")&amp;IF($C71&gt;=22,", "&amp;$A71&amp;"-"&amp;TEXT(($D71-$C71+1)+21,"00"),"")&amp;IF($C71&gt;=23,", "&amp;$A71&amp;"-"&amp;TEXT(($D71-$C71+1)+22,"00"),"")&amp;IF($C71&gt;=24,", "&amp;$A71&amp;"-"&amp;TEXT(($D71-$C71+1)+23,"00"),"")&amp;IF($C71&gt;=25,", "&amp;$A71&amp;"-"&amp;TEXT(($D71-$C71+1)+24,"00"),""))</f>
        <v/>
      </c>
      <c r="G71">
        <f>IF($A71="","",IF($E71=1,$F71,IF($F71="",$G70,IF($G70="",$F71,$G70&amp;", "&amp;$F71))))</f>
        <v/>
      </c>
      <c r="H71">
        <f>IF($A71="","",$A71&amp;" ("&amp;$C71&amp;")")</f>
        <v/>
      </c>
      <c r="I71">
        <f>IF($A71="","",IF($E71=1,$H71,$I70&amp;", "&amp;$H71))</f>
        <v/>
      </c>
      <c r="J71">
        <f>IF($A71="","",IF($E71=1,$B71,""))</f>
        <v/>
      </c>
      <c r="K71">
        <f>IF($A71="","",IF(COUNTIF($B$2:$B71,$B71)=COUNTIF($B$2:$B$1601,$B71),$B71,""))</f>
        <v/>
      </c>
    </row>
    <row r="72">
      <c r="A72">
        <f>IF('TMP Paste'!$E72="","",'TMP Paste'!$E72)</f>
        <v/>
      </c>
      <c r="B72">
        <f>IF($A72="","",COUNTIF('TMP Paste'!$B$2:$B72,"?*"))</f>
        <v/>
      </c>
      <c r="C72">
        <f>IF($A72="","",IFERROR('TMP Paste'!$M72*1,0))</f>
        <v/>
      </c>
      <c r="D72">
        <f>IF($A72="","",SUMIF($B$2:$B72,$B72,$C$2:$C72))</f>
        <v/>
      </c>
      <c r="E72">
        <f>IF($A72="",0,IF('TMP Paste'!$B72="",0,1))</f>
        <v/>
      </c>
      <c r="F72">
        <f>IF(OR($A72="",$C72&lt;1),"",$A72&amp;"-"&amp;TEXT(($D72-$C72+1),"00")&amp;IF($C72&gt;=2,", "&amp;$A72&amp;"-"&amp;TEXT(($D72-$C72+1)+1,"00"),"")&amp;IF($C72&gt;=3,", "&amp;$A72&amp;"-"&amp;TEXT(($D72-$C72+1)+2,"00"),"")&amp;IF($C72&gt;=4,", "&amp;$A72&amp;"-"&amp;TEXT(($D72-$C72+1)+3,"00"),"")&amp;IF($C72&gt;=5,", "&amp;$A72&amp;"-"&amp;TEXT(($D72-$C72+1)+4,"00"),"")&amp;IF($C72&gt;=6,", "&amp;$A72&amp;"-"&amp;TEXT(($D72-$C72+1)+5,"00"),"")&amp;IF($C72&gt;=7,", "&amp;$A72&amp;"-"&amp;TEXT(($D72-$C72+1)+6,"00"),"")&amp;IF($C72&gt;=8,", "&amp;$A72&amp;"-"&amp;TEXT(($D72-$C72+1)+7,"00"),"")&amp;IF($C72&gt;=9,", "&amp;$A72&amp;"-"&amp;TEXT(($D72-$C72+1)+8,"00"),"")&amp;IF($C72&gt;=10,", "&amp;$A72&amp;"-"&amp;TEXT(($D72-$C72+1)+9,"00"),"")&amp;IF($C72&gt;=11,", "&amp;$A72&amp;"-"&amp;TEXT(($D72-$C72+1)+10,"00"),"")&amp;IF($C72&gt;=12,", "&amp;$A72&amp;"-"&amp;TEXT(($D72-$C72+1)+11,"00"),"")&amp;IF($C72&gt;=13,", "&amp;$A72&amp;"-"&amp;TEXT(($D72-$C72+1)+12,"00"),"")&amp;IF($C72&gt;=14,", "&amp;$A72&amp;"-"&amp;TEXT(($D72-$C72+1)+13,"00"),"")&amp;IF($C72&gt;=15,", "&amp;$A72&amp;"-"&amp;TEXT(($D72-$C72+1)+14,"00"),"")&amp;IF($C72&gt;=16,", "&amp;$A72&amp;"-"&amp;TEXT(($D72-$C72+1)+15,"00"),"")&amp;IF($C72&gt;=17,", "&amp;$A72&amp;"-"&amp;TEXT(($D72-$C72+1)+16,"00"),"")&amp;IF($C72&gt;=18,", "&amp;$A72&amp;"-"&amp;TEXT(($D72-$C72+1)+17,"00"),"")&amp;IF($C72&gt;=19,", "&amp;$A72&amp;"-"&amp;TEXT(($D72-$C72+1)+18,"00"),"")&amp;IF($C72&gt;=20,", "&amp;$A72&amp;"-"&amp;TEXT(($D72-$C72+1)+19,"00"),"")&amp;IF($C72&gt;=21,", "&amp;$A72&amp;"-"&amp;TEXT(($D72-$C72+1)+20,"00"),"")&amp;IF($C72&gt;=22,", "&amp;$A72&amp;"-"&amp;TEXT(($D72-$C72+1)+21,"00"),"")&amp;IF($C72&gt;=23,", "&amp;$A72&amp;"-"&amp;TEXT(($D72-$C72+1)+22,"00"),"")&amp;IF($C72&gt;=24,", "&amp;$A72&amp;"-"&amp;TEXT(($D72-$C72+1)+23,"00"),"")&amp;IF($C72&gt;=25,", "&amp;$A72&amp;"-"&amp;TEXT(($D72-$C72+1)+24,"00"),""))</f>
        <v/>
      </c>
      <c r="G72">
        <f>IF($A72="","",IF($E72=1,$F72,IF($F72="",$G71,IF($G71="",$F72,$G71&amp;", "&amp;$F72))))</f>
        <v/>
      </c>
      <c r="H72">
        <f>IF($A72="","",$A72&amp;" ("&amp;$C72&amp;")")</f>
        <v/>
      </c>
      <c r="I72">
        <f>IF($A72="","",IF($E72=1,$H72,$I71&amp;", "&amp;$H72))</f>
        <v/>
      </c>
      <c r="J72">
        <f>IF($A72="","",IF($E72=1,$B72,""))</f>
        <v/>
      </c>
      <c r="K72">
        <f>IF($A72="","",IF(COUNTIF($B$2:$B72,$B72)=COUNTIF($B$2:$B$1601,$B72),$B72,""))</f>
        <v/>
      </c>
    </row>
    <row r="73">
      <c r="A73">
        <f>IF('TMP Paste'!$E73="","",'TMP Paste'!$E73)</f>
        <v/>
      </c>
      <c r="B73">
        <f>IF($A73="","",COUNTIF('TMP Paste'!$B$2:$B73,"?*"))</f>
        <v/>
      </c>
      <c r="C73">
        <f>IF($A73="","",IFERROR('TMP Paste'!$M73*1,0))</f>
        <v/>
      </c>
      <c r="D73">
        <f>IF($A73="","",SUMIF($B$2:$B73,$B73,$C$2:$C73))</f>
        <v/>
      </c>
      <c r="E73">
        <f>IF($A73="",0,IF('TMP Paste'!$B73="",0,1))</f>
        <v/>
      </c>
      <c r="F73">
        <f>IF(OR($A73="",$C73&lt;1),"",$A73&amp;"-"&amp;TEXT(($D73-$C73+1),"00")&amp;IF($C73&gt;=2,", "&amp;$A73&amp;"-"&amp;TEXT(($D73-$C73+1)+1,"00"),"")&amp;IF($C73&gt;=3,", "&amp;$A73&amp;"-"&amp;TEXT(($D73-$C73+1)+2,"00"),"")&amp;IF($C73&gt;=4,", "&amp;$A73&amp;"-"&amp;TEXT(($D73-$C73+1)+3,"00"),"")&amp;IF($C73&gt;=5,", "&amp;$A73&amp;"-"&amp;TEXT(($D73-$C73+1)+4,"00"),"")&amp;IF($C73&gt;=6,", "&amp;$A73&amp;"-"&amp;TEXT(($D73-$C73+1)+5,"00"),"")&amp;IF($C73&gt;=7,", "&amp;$A73&amp;"-"&amp;TEXT(($D73-$C73+1)+6,"00"),"")&amp;IF($C73&gt;=8,", "&amp;$A73&amp;"-"&amp;TEXT(($D73-$C73+1)+7,"00"),"")&amp;IF($C73&gt;=9,", "&amp;$A73&amp;"-"&amp;TEXT(($D73-$C73+1)+8,"00"),"")&amp;IF($C73&gt;=10,", "&amp;$A73&amp;"-"&amp;TEXT(($D73-$C73+1)+9,"00"),"")&amp;IF($C73&gt;=11,", "&amp;$A73&amp;"-"&amp;TEXT(($D73-$C73+1)+10,"00"),"")&amp;IF($C73&gt;=12,", "&amp;$A73&amp;"-"&amp;TEXT(($D73-$C73+1)+11,"00"),"")&amp;IF($C73&gt;=13,", "&amp;$A73&amp;"-"&amp;TEXT(($D73-$C73+1)+12,"00"),"")&amp;IF($C73&gt;=14,", "&amp;$A73&amp;"-"&amp;TEXT(($D73-$C73+1)+13,"00"),"")&amp;IF($C73&gt;=15,", "&amp;$A73&amp;"-"&amp;TEXT(($D73-$C73+1)+14,"00"),"")&amp;IF($C73&gt;=16,", "&amp;$A73&amp;"-"&amp;TEXT(($D73-$C73+1)+15,"00"),"")&amp;IF($C73&gt;=17,", "&amp;$A73&amp;"-"&amp;TEXT(($D73-$C73+1)+16,"00"),"")&amp;IF($C73&gt;=18,", "&amp;$A73&amp;"-"&amp;TEXT(($D73-$C73+1)+17,"00"),"")&amp;IF($C73&gt;=19,", "&amp;$A73&amp;"-"&amp;TEXT(($D73-$C73+1)+18,"00"),"")&amp;IF($C73&gt;=20,", "&amp;$A73&amp;"-"&amp;TEXT(($D73-$C73+1)+19,"00"),"")&amp;IF($C73&gt;=21,", "&amp;$A73&amp;"-"&amp;TEXT(($D73-$C73+1)+20,"00"),"")&amp;IF($C73&gt;=22,", "&amp;$A73&amp;"-"&amp;TEXT(($D73-$C73+1)+21,"00"),"")&amp;IF($C73&gt;=23,", "&amp;$A73&amp;"-"&amp;TEXT(($D73-$C73+1)+22,"00"),"")&amp;IF($C73&gt;=24,", "&amp;$A73&amp;"-"&amp;TEXT(($D73-$C73+1)+23,"00"),"")&amp;IF($C73&gt;=25,", "&amp;$A73&amp;"-"&amp;TEXT(($D73-$C73+1)+24,"00"),""))</f>
        <v/>
      </c>
      <c r="G73">
        <f>IF($A73="","",IF($E73=1,$F73,IF($F73="",$G72,IF($G72="",$F73,$G72&amp;", "&amp;$F73))))</f>
        <v/>
      </c>
      <c r="H73">
        <f>IF($A73="","",$A73&amp;" ("&amp;$C73&amp;")")</f>
        <v/>
      </c>
      <c r="I73">
        <f>IF($A73="","",IF($E73=1,$H73,$I72&amp;", "&amp;$H73))</f>
        <v/>
      </c>
      <c r="J73">
        <f>IF($A73="","",IF($E73=1,$B73,""))</f>
        <v/>
      </c>
      <c r="K73">
        <f>IF($A73="","",IF(COUNTIF($B$2:$B73,$B73)=COUNTIF($B$2:$B$1601,$B73),$B73,""))</f>
        <v/>
      </c>
    </row>
    <row r="74">
      <c r="A74">
        <f>IF('TMP Paste'!$E74="","",'TMP Paste'!$E74)</f>
        <v/>
      </c>
      <c r="B74">
        <f>IF($A74="","",COUNTIF('TMP Paste'!$B$2:$B74,"?*"))</f>
        <v/>
      </c>
      <c r="C74">
        <f>IF($A74="","",IFERROR('TMP Paste'!$M74*1,0))</f>
        <v/>
      </c>
      <c r="D74">
        <f>IF($A74="","",SUMIF($B$2:$B74,$B74,$C$2:$C74))</f>
        <v/>
      </c>
      <c r="E74">
        <f>IF($A74="",0,IF('TMP Paste'!$B74="",0,1))</f>
        <v/>
      </c>
      <c r="F74">
        <f>IF(OR($A74="",$C74&lt;1),"",$A74&amp;"-"&amp;TEXT(($D74-$C74+1),"00")&amp;IF($C74&gt;=2,", "&amp;$A74&amp;"-"&amp;TEXT(($D74-$C74+1)+1,"00"),"")&amp;IF($C74&gt;=3,", "&amp;$A74&amp;"-"&amp;TEXT(($D74-$C74+1)+2,"00"),"")&amp;IF($C74&gt;=4,", "&amp;$A74&amp;"-"&amp;TEXT(($D74-$C74+1)+3,"00"),"")&amp;IF($C74&gt;=5,", "&amp;$A74&amp;"-"&amp;TEXT(($D74-$C74+1)+4,"00"),"")&amp;IF($C74&gt;=6,", "&amp;$A74&amp;"-"&amp;TEXT(($D74-$C74+1)+5,"00"),"")&amp;IF($C74&gt;=7,", "&amp;$A74&amp;"-"&amp;TEXT(($D74-$C74+1)+6,"00"),"")&amp;IF($C74&gt;=8,", "&amp;$A74&amp;"-"&amp;TEXT(($D74-$C74+1)+7,"00"),"")&amp;IF($C74&gt;=9,", "&amp;$A74&amp;"-"&amp;TEXT(($D74-$C74+1)+8,"00"),"")&amp;IF($C74&gt;=10,", "&amp;$A74&amp;"-"&amp;TEXT(($D74-$C74+1)+9,"00"),"")&amp;IF($C74&gt;=11,", "&amp;$A74&amp;"-"&amp;TEXT(($D74-$C74+1)+10,"00"),"")&amp;IF($C74&gt;=12,", "&amp;$A74&amp;"-"&amp;TEXT(($D74-$C74+1)+11,"00"),"")&amp;IF($C74&gt;=13,", "&amp;$A74&amp;"-"&amp;TEXT(($D74-$C74+1)+12,"00"),"")&amp;IF($C74&gt;=14,", "&amp;$A74&amp;"-"&amp;TEXT(($D74-$C74+1)+13,"00"),"")&amp;IF($C74&gt;=15,", "&amp;$A74&amp;"-"&amp;TEXT(($D74-$C74+1)+14,"00"),"")&amp;IF($C74&gt;=16,", "&amp;$A74&amp;"-"&amp;TEXT(($D74-$C74+1)+15,"00"),"")&amp;IF($C74&gt;=17,", "&amp;$A74&amp;"-"&amp;TEXT(($D74-$C74+1)+16,"00"),"")&amp;IF($C74&gt;=18,", "&amp;$A74&amp;"-"&amp;TEXT(($D74-$C74+1)+17,"00"),"")&amp;IF($C74&gt;=19,", "&amp;$A74&amp;"-"&amp;TEXT(($D74-$C74+1)+18,"00"),"")&amp;IF($C74&gt;=20,", "&amp;$A74&amp;"-"&amp;TEXT(($D74-$C74+1)+19,"00"),"")&amp;IF($C74&gt;=21,", "&amp;$A74&amp;"-"&amp;TEXT(($D74-$C74+1)+20,"00"),"")&amp;IF($C74&gt;=22,", "&amp;$A74&amp;"-"&amp;TEXT(($D74-$C74+1)+21,"00"),"")&amp;IF($C74&gt;=23,", "&amp;$A74&amp;"-"&amp;TEXT(($D74-$C74+1)+22,"00"),"")&amp;IF($C74&gt;=24,", "&amp;$A74&amp;"-"&amp;TEXT(($D74-$C74+1)+23,"00"),"")&amp;IF($C74&gt;=25,", "&amp;$A74&amp;"-"&amp;TEXT(($D74-$C74+1)+24,"00"),""))</f>
        <v/>
      </c>
      <c r="G74">
        <f>IF($A74="","",IF($E74=1,$F74,IF($F74="",$G73,IF($G73="",$F74,$G73&amp;", "&amp;$F74))))</f>
        <v/>
      </c>
      <c r="H74">
        <f>IF($A74="","",$A74&amp;" ("&amp;$C74&amp;")")</f>
        <v/>
      </c>
      <c r="I74">
        <f>IF($A74="","",IF($E74=1,$H74,$I73&amp;", "&amp;$H74))</f>
        <v/>
      </c>
      <c r="J74">
        <f>IF($A74="","",IF($E74=1,$B74,""))</f>
        <v/>
      </c>
      <c r="K74">
        <f>IF($A74="","",IF(COUNTIF($B$2:$B74,$B74)=COUNTIF($B$2:$B$1601,$B74),$B74,""))</f>
        <v/>
      </c>
    </row>
    <row r="75">
      <c r="A75">
        <f>IF('TMP Paste'!$E75="","",'TMP Paste'!$E75)</f>
        <v/>
      </c>
      <c r="B75">
        <f>IF($A75="","",COUNTIF('TMP Paste'!$B$2:$B75,"?*"))</f>
        <v/>
      </c>
      <c r="C75">
        <f>IF($A75="","",IFERROR('TMP Paste'!$M75*1,0))</f>
        <v/>
      </c>
      <c r="D75">
        <f>IF($A75="","",SUMIF($B$2:$B75,$B75,$C$2:$C75))</f>
        <v/>
      </c>
      <c r="E75">
        <f>IF($A75="",0,IF('TMP Paste'!$B75="",0,1))</f>
        <v/>
      </c>
      <c r="F75">
        <f>IF(OR($A75="",$C75&lt;1),"",$A75&amp;"-"&amp;TEXT(($D75-$C75+1),"00")&amp;IF($C75&gt;=2,", "&amp;$A75&amp;"-"&amp;TEXT(($D75-$C75+1)+1,"00"),"")&amp;IF($C75&gt;=3,", "&amp;$A75&amp;"-"&amp;TEXT(($D75-$C75+1)+2,"00"),"")&amp;IF($C75&gt;=4,", "&amp;$A75&amp;"-"&amp;TEXT(($D75-$C75+1)+3,"00"),"")&amp;IF($C75&gt;=5,", "&amp;$A75&amp;"-"&amp;TEXT(($D75-$C75+1)+4,"00"),"")&amp;IF($C75&gt;=6,", "&amp;$A75&amp;"-"&amp;TEXT(($D75-$C75+1)+5,"00"),"")&amp;IF($C75&gt;=7,", "&amp;$A75&amp;"-"&amp;TEXT(($D75-$C75+1)+6,"00"),"")&amp;IF($C75&gt;=8,", "&amp;$A75&amp;"-"&amp;TEXT(($D75-$C75+1)+7,"00"),"")&amp;IF($C75&gt;=9,", "&amp;$A75&amp;"-"&amp;TEXT(($D75-$C75+1)+8,"00"),"")&amp;IF($C75&gt;=10,", "&amp;$A75&amp;"-"&amp;TEXT(($D75-$C75+1)+9,"00"),"")&amp;IF($C75&gt;=11,", "&amp;$A75&amp;"-"&amp;TEXT(($D75-$C75+1)+10,"00"),"")&amp;IF($C75&gt;=12,", "&amp;$A75&amp;"-"&amp;TEXT(($D75-$C75+1)+11,"00"),"")&amp;IF($C75&gt;=13,", "&amp;$A75&amp;"-"&amp;TEXT(($D75-$C75+1)+12,"00"),"")&amp;IF($C75&gt;=14,", "&amp;$A75&amp;"-"&amp;TEXT(($D75-$C75+1)+13,"00"),"")&amp;IF($C75&gt;=15,", "&amp;$A75&amp;"-"&amp;TEXT(($D75-$C75+1)+14,"00"),"")&amp;IF($C75&gt;=16,", "&amp;$A75&amp;"-"&amp;TEXT(($D75-$C75+1)+15,"00"),"")&amp;IF($C75&gt;=17,", "&amp;$A75&amp;"-"&amp;TEXT(($D75-$C75+1)+16,"00"),"")&amp;IF($C75&gt;=18,", "&amp;$A75&amp;"-"&amp;TEXT(($D75-$C75+1)+17,"00"),"")&amp;IF($C75&gt;=19,", "&amp;$A75&amp;"-"&amp;TEXT(($D75-$C75+1)+18,"00"),"")&amp;IF($C75&gt;=20,", "&amp;$A75&amp;"-"&amp;TEXT(($D75-$C75+1)+19,"00"),"")&amp;IF($C75&gt;=21,", "&amp;$A75&amp;"-"&amp;TEXT(($D75-$C75+1)+20,"00"),"")&amp;IF($C75&gt;=22,", "&amp;$A75&amp;"-"&amp;TEXT(($D75-$C75+1)+21,"00"),"")&amp;IF($C75&gt;=23,", "&amp;$A75&amp;"-"&amp;TEXT(($D75-$C75+1)+22,"00"),"")&amp;IF($C75&gt;=24,", "&amp;$A75&amp;"-"&amp;TEXT(($D75-$C75+1)+23,"00"),"")&amp;IF($C75&gt;=25,", "&amp;$A75&amp;"-"&amp;TEXT(($D75-$C75+1)+24,"00"),""))</f>
        <v/>
      </c>
      <c r="G75">
        <f>IF($A75="","",IF($E75=1,$F75,IF($F75="",$G74,IF($G74="",$F75,$G74&amp;", "&amp;$F75))))</f>
        <v/>
      </c>
      <c r="H75">
        <f>IF($A75="","",$A75&amp;" ("&amp;$C75&amp;")")</f>
        <v/>
      </c>
      <c r="I75">
        <f>IF($A75="","",IF($E75=1,$H75,$I74&amp;", "&amp;$H75))</f>
        <v/>
      </c>
      <c r="J75">
        <f>IF($A75="","",IF($E75=1,$B75,""))</f>
        <v/>
      </c>
      <c r="K75">
        <f>IF($A75="","",IF(COUNTIF($B$2:$B75,$B75)=COUNTIF($B$2:$B$1601,$B75),$B75,""))</f>
        <v/>
      </c>
    </row>
    <row r="76">
      <c r="A76">
        <f>IF('TMP Paste'!$E76="","",'TMP Paste'!$E76)</f>
        <v/>
      </c>
      <c r="B76">
        <f>IF($A76="","",COUNTIF('TMP Paste'!$B$2:$B76,"?*"))</f>
        <v/>
      </c>
      <c r="C76">
        <f>IF($A76="","",IFERROR('TMP Paste'!$M76*1,0))</f>
        <v/>
      </c>
      <c r="D76">
        <f>IF($A76="","",SUMIF($B$2:$B76,$B76,$C$2:$C76))</f>
        <v/>
      </c>
      <c r="E76">
        <f>IF($A76="",0,IF('TMP Paste'!$B76="",0,1))</f>
        <v/>
      </c>
      <c r="F76">
        <f>IF(OR($A76="",$C76&lt;1),"",$A76&amp;"-"&amp;TEXT(($D76-$C76+1),"00")&amp;IF($C76&gt;=2,", "&amp;$A76&amp;"-"&amp;TEXT(($D76-$C76+1)+1,"00"),"")&amp;IF($C76&gt;=3,", "&amp;$A76&amp;"-"&amp;TEXT(($D76-$C76+1)+2,"00"),"")&amp;IF($C76&gt;=4,", "&amp;$A76&amp;"-"&amp;TEXT(($D76-$C76+1)+3,"00"),"")&amp;IF($C76&gt;=5,", "&amp;$A76&amp;"-"&amp;TEXT(($D76-$C76+1)+4,"00"),"")&amp;IF($C76&gt;=6,", "&amp;$A76&amp;"-"&amp;TEXT(($D76-$C76+1)+5,"00"),"")&amp;IF($C76&gt;=7,", "&amp;$A76&amp;"-"&amp;TEXT(($D76-$C76+1)+6,"00"),"")&amp;IF($C76&gt;=8,", "&amp;$A76&amp;"-"&amp;TEXT(($D76-$C76+1)+7,"00"),"")&amp;IF($C76&gt;=9,", "&amp;$A76&amp;"-"&amp;TEXT(($D76-$C76+1)+8,"00"),"")&amp;IF($C76&gt;=10,", "&amp;$A76&amp;"-"&amp;TEXT(($D76-$C76+1)+9,"00"),"")&amp;IF($C76&gt;=11,", "&amp;$A76&amp;"-"&amp;TEXT(($D76-$C76+1)+10,"00"),"")&amp;IF($C76&gt;=12,", "&amp;$A76&amp;"-"&amp;TEXT(($D76-$C76+1)+11,"00"),"")&amp;IF($C76&gt;=13,", "&amp;$A76&amp;"-"&amp;TEXT(($D76-$C76+1)+12,"00"),"")&amp;IF($C76&gt;=14,", "&amp;$A76&amp;"-"&amp;TEXT(($D76-$C76+1)+13,"00"),"")&amp;IF($C76&gt;=15,", "&amp;$A76&amp;"-"&amp;TEXT(($D76-$C76+1)+14,"00"),"")&amp;IF($C76&gt;=16,", "&amp;$A76&amp;"-"&amp;TEXT(($D76-$C76+1)+15,"00"),"")&amp;IF($C76&gt;=17,", "&amp;$A76&amp;"-"&amp;TEXT(($D76-$C76+1)+16,"00"),"")&amp;IF($C76&gt;=18,", "&amp;$A76&amp;"-"&amp;TEXT(($D76-$C76+1)+17,"00"),"")&amp;IF($C76&gt;=19,", "&amp;$A76&amp;"-"&amp;TEXT(($D76-$C76+1)+18,"00"),"")&amp;IF($C76&gt;=20,", "&amp;$A76&amp;"-"&amp;TEXT(($D76-$C76+1)+19,"00"),"")&amp;IF($C76&gt;=21,", "&amp;$A76&amp;"-"&amp;TEXT(($D76-$C76+1)+20,"00"),"")&amp;IF($C76&gt;=22,", "&amp;$A76&amp;"-"&amp;TEXT(($D76-$C76+1)+21,"00"),"")&amp;IF($C76&gt;=23,", "&amp;$A76&amp;"-"&amp;TEXT(($D76-$C76+1)+22,"00"),"")&amp;IF($C76&gt;=24,", "&amp;$A76&amp;"-"&amp;TEXT(($D76-$C76+1)+23,"00"),"")&amp;IF($C76&gt;=25,", "&amp;$A76&amp;"-"&amp;TEXT(($D76-$C76+1)+24,"00"),""))</f>
        <v/>
      </c>
      <c r="G76">
        <f>IF($A76="","",IF($E76=1,$F76,IF($F76="",$G75,IF($G75="",$F76,$G75&amp;", "&amp;$F76))))</f>
        <v/>
      </c>
      <c r="H76">
        <f>IF($A76="","",$A76&amp;" ("&amp;$C76&amp;")")</f>
        <v/>
      </c>
      <c r="I76">
        <f>IF($A76="","",IF($E76=1,$H76,$I75&amp;", "&amp;$H76))</f>
        <v/>
      </c>
      <c r="J76">
        <f>IF($A76="","",IF($E76=1,$B76,""))</f>
        <v/>
      </c>
      <c r="K76">
        <f>IF($A76="","",IF(COUNTIF($B$2:$B76,$B76)=COUNTIF($B$2:$B$1601,$B76),$B76,""))</f>
        <v/>
      </c>
    </row>
    <row r="77">
      <c r="A77">
        <f>IF('TMP Paste'!$E77="","",'TMP Paste'!$E77)</f>
        <v/>
      </c>
      <c r="B77">
        <f>IF($A77="","",COUNTIF('TMP Paste'!$B$2:$B77,"?*"))</f>
        <v/>
      </c>
      <c r="C77">
        <f>IF($A77="","",IFERROR('TMP Paste'!$M77*1,0))</f>
        <v/>
      </c>
      <c r="D77">
        <f>IF($A77="","",SUMIF($B$2:$B77,$B77,$C$2:$C77))</f>
        <v/>
      </c>
      <c r="E77">
        <f>IF($A77="",0,IF('TMP Paste'!$B77="",0,1))</f>
        <v/>
      </c>
      <c r="F77">
        <f>IF(OR($A77="",$C77&lt;1),"",$A77&amp;"-"&amp;TEXT(($D77-$C77+1),"00")&amp;IF($C77&gt;=2,", "&amp;$A77&amp;"-"&amp;TEXT(($D77-$C77+1)+1,"00"),"")&amp;IF($C77&gt;=3,", "&amp;$A77&amp;"-"&amp;TEXT(($D77-$C77+1)+2,"00"),"")&amp;IF($C77&gt;=4,", "&amp;$A77&amp;"-"&amp;TEXT(($D77-$C77+1)+3,"00"),"")&amp;IF($C77&gt;=5,", "&amp;$A77&amp;"-"&amp;TEXT(($D77-$C77+1)+4,"00"),"")&amp;IF($C77&gt;=6,", "&amp;$A77&amp;"-"&amp;TEXT(($D77-$C77+1)+5,"00"),"")&amp;IF($C77&gt;=7,", "&amp;$A77&amp;"-"&amp;TEXT(($D77-$C77+1)+6,"00"),"")&amp;IF($C77&gt;=8,", "&amp;$A77&amp;"-"&amp;TEXT(($D77-$C77+1)+7,"00"),"")&amp;IF($C77&gt;=9,", "&amp;$A77&amp;"-"&amp;TEXT(($D77-$C77+1)+8,"00"),"")&amp;IF($C77&gt;=10,", "&amp;$A77&amp;"-"&amp;TEXT(($D77-$C77+1)+9,"00"),"")&amp;IF($C77&gt;=11,", "&amp;$A77&amp;"-"&amp;TEXT(($D77-$C77+1)+10,"00"),"")&amp;IF($C77&gt;=12,", "&amp;$A77&amp;"-"&amp;TEXT(($D77-$C77+1)+11,"00"),"")&amp;IF($C77&gt;=13,", "&amp;$A77&amp;"-"&amp;TEXT(($D77-$C77+1)+12,"00"),"")&amp;IF($C77&gt;=14,", "&amp;$A77&amp;"-"&amp;TEXT(($D77-$C77+1)+13,"00"),"")&amp;IF($C77&gt;=15,", "&amp;$A77&amp;"-"&amp;TEXT(($D77-$C77+1)+14,"00"),"")&amp;IF($C77&gt;=16,", "&amp;$A77&amp;"-"&amp;TEXT(($D77-$C77+1)+15,"00"),"")&amp;IF($C77&gt;=17,", "&amp;$A77&amp;"-"&amp;TEXT(($D77-$C77+1)+16,"00"),"")&amp;IF($C77&gt;=18,", "&amp;$A77&amp;"-"&amp;TEXT(($D77-$C77+1)+17,"00"),"")&amp;IF($C77&gt;=19,", "&amp;$A77&amp;"-"&amp;TEXT(($D77-$C77+1)+18,"00"),"")&amp;IF($C77&gt;=20,", "&amp;$A77&amp;"-"&amp;TEXT(($D77-$C77+1)+19,"00"),"")&amp;IF($C77&gt;=21,", "&amp;$A77&amp;"-"&amp;TEXT(($D77-$C77+1)+20,"00"),"")&amp;IF($C77&gt;=22,", "&amp;$A77&amp;"-"&amp;TEXT(($D77-$C77+1)+21,"00"),"")&amp;IF($C77&gt;=23,", "&amp;$A77&amp;"-"&amp;TEXT(($D77-$C77+1)+22,"00"),"")&amp;IF($C77&gt;=24,", "&amp;$A77&amp;"-"&amp;TEXT(($D77-$C77+1)+23,"00"),"")&amp;IF($C77&gt;=25,", "&amp;$A77&amp;"-"&amp;TEXT(($D77-$C77+1)+24,"00"),""))</f>
        <v/>
      </c>
      <c r="G77">
        <f>IF($A77="","",IF($E77=1,$F77,IF($F77="",$G76,IF($G76="",$F77,$G76&amp;", "&amp;$F77))))</f>
        <v/>
      </c>
      <c r="H77">
        <f>IF($A77="","",$A77&amp;" ("&amp;$C77&amp;")")</f>
        <v/>
      </c>
      <c r="I77">
        <f>IF($A77="","",IF($E77=1,$H77,$I76&amp;", "&amp;$H77))</f>
        <v/>
      </c>
      <c r="J77">
        <f>IF($A77="","",IF($E77=1,$B77,""))</f>
        <v/>
      </c>
      <c r="K77">
        <f>IF($A77="","",IF(COUNTIF($B$2:$B77,$B77)=COUNTIF($B$2:$B$1601,$B77),$B77,""))</f>
        <v/>
      </c>
    </row>
    <row r="78">
      <c r="A78">
        <f>IF('TMP Paste'!$E78="","",'TMP Paste'!$E78)</f>
        <v/>
      </c>
      <c r="B78">
        <f>IF($A78="","",COUNTIF('TMP Paste'!$B$2:$B78,"?*"))</f>
        <v/>
      </c>
      <c r="C78">
        <f>IF($A78="","",IFERROR('TMP Paste'!$M78*1,0))</f>
        <v/>
      </c>
      <c r="D78">
        <f>IF($A78="","",SUMIF($B$2:$B78,$B78,$C$2:$C78))</f>
        <v/>
      </c>
      <c r="E78">
        <f>IF($A78="",0,IF('TMP Paste'!$B78="",0,1))</f>
        <v/>
      </c>
      <c r="F78">
        <f>IF(OR($A78="",$C78&lt;1),"",$A78&amp;"-"&amp;TEXT(($D78-$C78+1),"00")&amp;IF($C78&gt;=2,", "&amp;$A78&amp;"-"&amp;TEXT(($D78-$C78+1)+1,"00"),"")&amp;IF($C78&gt;=3,", "&amp;$A78&amp;"-"&amp;TEXT(($D78-$C78+1)+2,"00"),"")&amp;IF($C78&gt;=4,", "&amp;$A78&amp;"-"&amp;TEXT(($D78-$C78+1)+3,"00"),"")&amp;IF($C78&gt;=5,", "&amp;$A78&amp;"-"&amp;TEXT(($D78-$C78+1)+4,"00"),"")&amp;IF($C78&gt;=6,", "&amp;$A78&amp;"-"&amp;TEXT(($D78-$C78+1)+5,"00"),"")&amp;IF($C78&gt;=7,", "&amp;$A78&amp;"-"&amp;TEXT(($D78-$C78+1)+6,"00"),"")&amp;IF($C78&gt;=8,", "&amp;$A78&amp;"-"&amp;TEXT(($D78-$C78+1)+7,"00"),"")&amp;IF($C78&gt;=9,", "&amp;$A78&amp;"-"&amp;TEXT(($D78-$C78+1)+8,"00"),"")&amp;IF($C78&gt;=10,", "&amp;$A78&amp;"-"&amp;TEXT(($D78-$C78+1)+9,"00"),"")&amp;IF($C78&gt;=11,", "&amp;$A78&amp;"-"&amp;TEXT(($D78-$C78+1)+10,"00"),"")&amp;IF($C78&gt;=12,", "&amp;$A78&amp;"-"&amp;TEXT(($D78-$C78+1)+11,"00"),"")&amp;IF($C78&gt;=13,", "&amp;$A78&amp;"-"&amp;TEXT(($D78-$C78+1)+12,"00"),"")&amp;IF($C78&gt;=14,", "&amp;$A78&amp;"-"&amp;TEXT(($D78-$C78+1)+13,"00"),"")&amp;IF($C78&gt;=15,", "&amp;$A78&amp;"-"&amp;TEXT(($D78-$C78+1)+14,"00"),"")&amp;IF($C78&gt;=16,", "&amp;$A78&amp;"-"&amp;TEXT(($D78-$C78+1)+15,"00"),"")&amp;IF($C78&gt;=17,", "&amp;$A78&amp;"-"&amp;TEXT(($D78-$C78+1)+16,"00"),"")&amp;IF($C78&gt;=18,", "&amp;$A78&amp;"-"&amp;TEXT(($D78-$C78+1)+17,"00"),"")&amp;IF($C78&gt;=19,", "&amp;$A78&amp;"-"&amp;TEXT(($D78-$C78+1)+18,"00"),"")&amp;IF($C78&gt;=20,", "&amp;$A78&amp;"-"&amp;TEXT(($D78-$C78+1)+19,"00"),"")&amp;IF($C78&gt;=21,", "&amp;$A78&amp;"-"&amp;TEXT(($D78-$C78+1)+20,"00"),"")&amp;IF($C78&gt;=22,", "&amp;$A78&amp;"-"&amp;TEXT(($D78-$C78+1)+21,"00"),"")&amp;IF($C78&gt;=23,", "&amp;$A78&amp;"-"&amp;TEXT(($D78-$C78+1)+22,"00"),"")&amp;IF($C78&gt;=24,", "&amp;$A78&amp;"-"&amp;TEXT(($D78-$C78+1)+23,"00"),"")&amp;IF($C78&gt;=25,", "&amp;$A78&amp;"-"&amp;TEXT(($D78-$C78+1)+24,"00"),""))</f>
        <v/>
      </c>
      <c r="G78">
        <f>IF($A78="","",IF($E78=1,$F78,IF($F78="",$G77,IF($G77="",$F78,$G77&amp;", "&amp;$F78))))</f>
        <v/>
      </c>
      <c r="H78">
        <f>IF($A78="","",$A78&amp;" ("&amp;$C78&amp;")")</f>
        <v/>
      </c>
      <c r="I78">
        <f>IF($A78="","",IF($E78=1,$H78,$I77&amp;", "&amp;$H78))</f>
        <v/>
      </c>
      <c r="J78">
        <f>IF($A78="","",IF($E78=1,$B78,""))</f>
        <v/>
      </c>
      <c r="K78">
        <f>IF($A78="","",IF(COUNTIF($B$2:$B78,$B78)=COUNTIF($B$2:$B$1601,$B78),$B78,""))</f>
        <v/>
      </c>
    </row>
    <row r="79">
      <c r="A79">
        <f>IF('TMP Paste'!$E79="","",'TMP Paste'!$E79)</f>
        <v/>
      </c>
      <c r="B79">
        <f>IF($A79="","",COUNTIF('TMP Paste'!$B$2:$B79,"?*"))</f>
        <v/>
      </c>
      <c r="C79">
        <f>IF($A79="","",IFERROR('TMP Paste'!$M79*1,0))</f>
        <v/>
      </c>
      <c r="D79">
        <f>IF($A79="","",SUMIF($B$2:$B79,$B79,$C$2:$C79))</f>
        <v/>
      </c>
      <c r="E79">
        <f>IF($A79="",0,IF('TMP Paste'!$B79="",0,1))</f>
        <v/>
      </c>
      <c r="F79">
        <f>IF(OR($A79="",$C79&lt;1),"",$A79&amp;"-"&amp;TEXT(($D79-$C79+1),"00")&amp;IF($C79&gt;=2,", "&amp;$A79&amp;"-"&amp;TEXT(($D79-$C79+1)+1,"00"),"")&amp;IF($C79&gt;=3,", "&amp;$A79&amp;"-"&amp;TEXT(($D79-$C79+1)+2,"00"),"")&amp;IF($C79&gt;=4,", "&amp;$A79&amp;"-"&amp;TEXT(($D79-$C79+1)+3,"00"),"")&amp;IF($C79&gt;=5,", "&amp;$A79&amp;"-"&amp;TEXT(($D79-$C79+1)+4,"00"),"")&amp;IF($C79&gt;=6,", "&amp;$A79&amp;"-"&amp;TEXT(($D79-$C79+1)+5,"00"),"")&amp;IF($C79&gt;=7,", "&amp;$A79&amp;"-"&amp;TEXT(($D79-$C79+1)+6,"00"),"")&amp;IF($C79&gt;=8,", "&amp;$A79&amp;"-"&amp;TEXT(($D79-$C79+1)+7,"00"),"")&amp;IF($C79&gt;=9,", "&amp;$A79&amp;"-"&amp;TEXT(($D79-$C79+1)+8,"00"),"")&amp;IF($C79&gt;=10,", "&amp;$A79&amp;"-"&amp;TEXT(($D79-$C79+1)+9,"00"),"")&amp;IF($C79&gt;=11,", "&amp;$A79&amp;"-"&amp;TEXT(($D79-$C79+1)+10,"00"),"")&amp;IF($C79&gt;=12,", "&amp;$A79&amp;"-"&amp;TEXT(($D79-$C79+1)+11,"00"),"")&amp;IF($C79&gt;=13,", "&amp;$A79&amp;"-"&amp;TEXT(($D79-$C79+1)+12,"00"),"")&amp;IF($C79&gt;=14,", "&amp;$A79&amp;"-"&amp;TEXT(($D79-$C79+1)+13,"00"),"")&amp;IF($C79&gt;=15,", "&amp;$A79&amp;"-"&amp;TEXT(($D79-$C79+1)+14,"00"),"")&amp;IF($C79&gt;=16,", "&amp;$A79&amp;"-"&amp;TEXT(($D79-$C79+1)+15,"00"),"")&amp;IF($C79&gt;=17,", "&amp;$A79&amp;"-"&amp;TEXT(($D79-$C79+1)+16,"00"),"")&amp;IF($C79&gt;=18,", "&amp;$A79&amp;"-"&amp;TEXT(($D79-$C79+1)+17,"00"),"")&amp;IF($C79&gt;=19,", "&amp;$A79&amp;"-"&amp;TEXT(($D79-$C79+1)+18,"00"),"")&amp;IF($C79&gt;=20,", "&amp;$A79&amp;"-"&amp;TEXT(($D79-$C79+1)+19,"00"),"")&amp;IF($C79&gt;=21,", "&amp;$A79&amp;"-"&amp;TEXT(($D79-$C79+1)+20,"00"),"")&amp;IF($C79&gt;=22,", "&amp;$A79&amp;"-"&amp;TEXT(($D79-$C79+1)+21,"00"),"")&amp;IF($C79&gt;=23,", "&amp;$A79&amp;"-"&amp;TEXT(($D79-$C79+1)+22,"00"),"")&amp;IF($C79&gt;=24,", "&amp;$A79&amp;"-"&amp;TEXT(($D79-$C79+1)+23,"00"),"")&amp;IF($C79&gt;=25,", "&amp;$A79&amp;"-"&amp;TEXT(($D79-$C79+1)+24,"00"),""))</f>
        <v/>
      </c>
      <c r="G79">
        <f>IF($A79="","",IF($E79=1,$F79,IF($F79="",$G78,IF($G78="",$F79,$G78&amp;", "&amp;$F79))))</f>
        <v/>
      </c>
      <c r="H79">
        <f>IF($A79="","",$A79&amp;" ("&amp;$C79&amp;")")</f>
        <v/>
      </c>
      <c r="I79">
        <f>IF($A79="","",IF($E79=1,$H79,$I78&amp;", "&amp;$H79))</f>
        <v/>
      </c>
      <c r="J79">
        <f>IF($A79="","",IF($E79=1,$B79,""))</f>
        <v/>
      </c>
      <c r="K79">
        <f>IF($A79="","",IF(COUNTIF($B$2:$B79,$B79)=COUNTIF($B$2:$B$1601,$B79),$B79,""))</f>
        <v/>
      </c>
    </row>
    <row r="80">
      <c r="A80">
        <f>IF('TMP Paste'!$E80="","",'TMP Paste'!$E80)</f>
        <v/>
      </c>
      <c r="B80">
        <f>IF($A80="","",COUNTIF('TMP Paste'!$B$2:$B80,"?*"))</f>
        <v/>
      </c>
      <c r="C80">
        <f>IF($A80="","",IFERROR('TMP Paste'!$M80*1,0))</f>
        <v/>
      </c>
      <c r="D80">
        <f>IF($A80="","",SUMIF($B$2:$B80,$B80,$C$2:$C80))</f>
        <v/>
      </c>
      <c r="E80">
        <f>IF($A80="",0,IF('TMP Paste'!$B80="",0,1))</f>
        <v/>
      </c>
      <c r="F80">
        <f>IF(OR($A80="",$C80&lt;1),"",$A80&amp;"-"&amp;TEXT(($D80-$C80+1),"00")&amp;IF($C80&gt;=2,", "&amp;$A80&amp;"-"&amp;TEXT(($D80-$C80+1)+1,"00"),"")&amp;IF($C80&gt;=3,", "&amp;$A80&amp;"-"&amp;TEXT(($D80-$C80+1)+2,"00"),"")&amp;IF($C80&gt;=4,", "&amp;$A80&amp;"-"&amp;TEXT(($D80-$C80+1)+3,"00"),"")&amp;IF($C80&gt;=5,", "&amp;$A80&amp;"-"&amp;TEXT(($D80-$C80+1)+4,"00"),"")&amp;IF($C80&gt;=6,", "&amp;$A80&amp;"-"&amp;TEXT(($D80-$C80+1)+5,"00"),"")&amp;IF($C80&gt;=7,", "&amp;$A80&amp;"-"&amp;TEXT(($D80-$C80+1)+6,"00"),"")&amp;IF($C80&gt;=8,", "&amp;$A80&amp;"-"&amp;TEXT(($D80-$C80+1)+7,"00"),"")&amp;IF($C80&gt;=9,", "&amp;$A80&amp;"-"&amp;TEXT(($D80-$C80+1)+8,"00"),"")&amp;IF($C80&gt;=10,", "&amp;$A80&amp;"-"&amp;TEXT(($D80-$C80+1)+9,"00"),"")&amp;IF($C80&gt;=11,", "&amp;$A80&amp;"-"&amp;TEXT(($D80-$C80+1)+10,"00"),"")&amp;IF($C80&gt;=12,", "&amp;$A80&amp;"-"&amp;TEXT(($D80-$C80+1)+11,"00"),"")&amp;IF($C80&gt;=13,", "&amp;$A80&amp;"-"&amp;TEXT(($D80-$C80+1)+12,"00"),"")&amp;IF($C80&gt;=14,", "&amp;$A80&amp;"-"&amp;TEXT(($D80-$C80+1)+13,"00"),"")&amp;IF($C80&gt;=15,", "&amp;$A80&amp;"-"&amp;TEXT(($D80-$C80+1)+14,"00"),"")&amp;IF($C80&gt;=16,", "&amp;$A80&amp;"-"&amp;TEXT(($D80-$C80+1)+15,"00"),"")&amp;IF($C80&gt;=17,", "&amp;$A80&amp;"-"&amp;TEXT(($D80-$C80+1)+16,"00"),"")&amp;IF($C80&gt;=18,", "&amp;$A80&amp;"-"&amp;TEXT(($D80-$C80+1)+17,"00"),"")&amp;IF($C80&gt;=19,", "&amp;$A80&amp;"-"&amp;TEXT(($D80-$C80+1)+18,"00"),"")&amp;IF($C80&gt;=20,", "&amp;$A80&amp;"-"&amp;TEXT(($D80-$C80+1)+19,"00"),"")&amp;IF($C80&gt;=21,", "&amp;$A80&amp;"-"&amp;TEXT(($D80-$C80+1)+20,"00"),"")&amp;IF($C80&gt;=22,", "&amp;$A80&amp;"-"&amp;TEXT(($D80-$C80+1)+21,"00"),"")&amp;IF($C80&gt;=23,", "&amp;$A80&amp;"-"&amp;TEXT(($D80-$C80+1)+22,"00"),"")&amp;IF($C80&gt;=24,", "&amp;$A80&amp;"-"&amp;TEXT(($D80-$C80+1)+23,"00"),"")&amp;IF($C80&gt;=25,", "&amp;$A80&amp;"-"&amp;TEXT(($D80-$C80+1)+24,"00"),""))</f>
        <v/>
      </c>
      <c r="G80">
        <f>IF($A80="","",IF($E80=1,$F80,IF($F80="",$G79,IF($G79="",$F80,$G79&amp;", "&amp;$F80))))</f>
        <v/>
      </c>
      <c r="H80">
        <f>IF($A80="","",$A80&amp;" ("&amp;$C80&amp;")")</f>
        <v/>
      </c>
      <c r="I80">
        <f>IF($A80="","",IF($E80=1,$H80,$I79&amp;", "&amp;$H80))</f>
        <v/>
      </c>
      <c r="J80">
        <f>IF($A80="","",IF($E80=1,$B80,""))</f>
        <v/>
      </c>
      <c r="K80">
        <f>IF($A80="","",IF(COUNTIF($B$2:$B80,$B80)=COUNTIF($B$2:$B$1601,$B80),$B80,""))</f>
        <v/>
      </c>
    </row>
    <row r="81">
      <c r="A81">
        <f>IF('TMP Paste'!$E81="","",'TMP Paste'!$E81)</f>
        <v/>
      </c>
      <c r="B81">
        <f>IF($A81="","",COUNTIF('TMP Paste'!$B$2:$B81,"?*"))</f>
        <v/>
      </c>
      <c r="C81">
        <f>IF($A81="","",IFERROR('TMP Paste'!$M81*1,0))</f>
        <v/>
      </c>
      <c r="D81">
        <f>IF($A81="","",SUMIF($B$2:$B81,$B81,$C$2:$C81))</f>
        <v/>
      </c>
      <c r="E81">
        <f>IF($A81="",0,IF('TMP Paste'!$B81="",0,1))</f>
        <v/>
      </c>
      <c r="F81">
        <f>IF(OR($A81="",$C81&lt;1),"",$A81&amp;"-"&amp;TEXT(($D81-$C81+1),"00")&amp;IF($C81&gt;=2,", "&amp;$A81&amp;"-"&amp;TEXT(($D81-$C81+1)+1,"00"),"")&amp;IF($C81&gt;=3,", "&amp;$A81&amp;"-"&amp;TEXT(($D81-$C81+1)+2,"00"),"")&amp;IF($C81&gt;=4,", "&amp;$A81&amp;"-"&amp;TEXT(($D81-$C81+1)+3,"00"),"")&amp;IF($C81&gt;=5,", "&amp;$A81&amp;"-"&amp;TEXT(($D81-$C81+1)+4,"00"),"")&amp;IF($C81&gt;=6,", "&amp;$A81&amp;"-"&amp;TEXT(($D81-$C81+1)+5,"00"),"")&amp;IF($C81&gt;=7,", "&amp;$A81&amp;"-"&amp;TEXT(($D81-$C81+1)+6,"00"),"")&amp;IF($C81&gt;=8,", "&amp;$A81&amp;"-"&amp;TEXT(($D81-$C81+1)+7,"00"),"")&amp;IF($C81&gt;=9,", "&amp;$A81&amp;"-"&amp;TEXT(($D81-$C81+1)+8,"00"),"")&amp;IF($C81&gt;=10,", "&amp;$A81&amp;"-"&amp;TEXT(($D81-$C81+1)+9,"00"),"")&amp;IF($C81&gt;=11,", "&amp;$A81&amp;"-"&amp;TEXT(($D81-$C81+1)+10,"00"),"")&amp;IF($C81&gt;=12,", "&amp;$A81&amp;"-"&amp;TEXT(($D81-$C81+1)+11,"00"),"")&amp;IF($C81&gt;=13,", "&amp;$A81&amp;"-"&amp;TEXT(($D81-$C81+1)+12,"00"),"")&amp;IF($C81&gt;=14,", "&amp;$A81&amp;"-"&amp;TEXT(($D81-$C81+1)+13,"00"),"")&amp;IF($C81&gt;=15,", "&amp;$A81&amp;"-"&amp;TEXT(($D81-$C81+1)+14,"00"),"")&amp;IF($C81&gt;=16,", "&amp;$A81&amp;"-"&amp;TEXT(($D81-$C81+1)+15,"00"),"")&amp;IF($C81&gt;=17,", "&amp;$A81&amp;"-"&amp;TEXT(($D81-$C81+1)+16,"00"),"")&amp;IF($C81&gt;=18,", "&amp;$A81&amp;"-"&amp;TEXT(($D81-$C81+1)+17,"00"),"")&amp;IF($C81&gt;=19,", "&amp;$A81&amp;"-"&amp;TEXT(($D81-$C81+1)+18,"00"),"")&amp;IF($C81&gt;=20,", "&amp;$A81&amp;"-"&amp;TEXT(($D81-$C81+1)+19,"00"),"")&amp;IF($C81&gt;=21,", "&amp;$A81&amp;"-"&amp;TEXT(($D81-$C81+1)+20,"00"),"")&amp;IF($C81&gt;=22,", "&amp;$A81&amp;"-"&amp;TEXT(($D81-$C81+1)+21,"00"),"")&amp;IF($C81&gt;=23,", "&amp;$A81&amp;"-"&amp;TEXT(($D81-$C81+1)+22,"00"),"")&amp;IF($C81&gt;=24,", "&amp;$A81&amp;"-"&amp;TEXT(($D81-$C81+1)+23,"00"),"")&amp;IF($C81&gt;=25,", "&amp;$A81&amp;"-"&amp;TEXT(($D81-$C81+1)+24,"00"),""))</f>
        <v/>
      </c>
      <c r="G81">
        <f>IF($A81="","",IF($E81=1,$F81,IF($F81="",$G80,IF($G80="",$F81,$G80&amp;", "&amp;$F81))))</f>
        <v/>
      </c>
      <c r="H81">
        <f>IF($A81="","",$A81&amp;" ("&amp;$C81&amp;")")</f>
        <v/>
      </c>
      <c r="I81">
        <f>IF($A81="","",IF($E81=1,$H81,$I80&amp;", "&amp;$H81))</f>
        <v/>
      </c>
      <c r="J81">
        <f>IF($A81="","",IF($E81=1,$B81,""))</f>
        <v/>
      </c>
      <c r="K81">
        <f>IF($A81="","",IF(COUNTIF($B$2:$B81,$B81)=COUNTIF($B$2:$B$1601,$B81),$B81,""))</f>
        <v/>
      </c>
    </row>
    <row r="82">
      <c r="A82">
        <f>IF('TMP Paste'!$E82="","",'TMP Paste'!$E82)</f>
        <v/>
      </c>
      <c r="B82">
        <f>IF($A82="","",COUNTIF('TMP Paste'!$B$2:$B82,"?*"))</f>
        <v/>
      </c>
      <c r="C82">
        <f>IF($A82="","",IFERROR('TMP Paste'!$M82*1,0))</f>
        <v/>
      </c>
      <c r="D82">
        <f>IF($A82="","",SUMIF($B$2:$B82,$B82,$C$2:$C82))</f>
        <v/>
      </c>
      <c r="E82">
        <f>IF($A82="",0,IF('TMP Paste'!$B82="",0,1))</f>
        <v/>
      </c>
      <c r="F82">
        <f>IF(OR($A82="",$C82&lt;1),"",$A82&amp;"-"&amp;TEXT(($D82-$C82+1),"00")&amp;IF($C82&gt;=2,", "&amp;$A82&amp;"-"&amp;TEXT(($D82-$C82+1)+1,"00"),"")&amp;IF($C82&gt;=3,", "&amp;$A82&amp;"-"&amp;TEXT(($D82-$C82+1)+2,"00"),"")&amp;IF($C82&gt;=4,", "&amp;$A82&amp;"-"&amp;TEXT(($D82-$C82+1)+3,"00"),"")&amp;IF($C82&gt;=5,", "&amp;$A82&amp;"-"&amp;TEXT(($D82-$C82+1)+4,"00"),"")&amp;IF($C82&gt;=6,", "&amp;$A82&amp;"-"&amp;TEXT(($D82-$C82+1)+5,"00"),"")&amp;IF($C82&gt;=7,", "&amp;$A82&amp;"-"&amp;TEXT(($D82-$C82+1)+6,"00"),"")&amp;IF($C82&gt;=8,", "&amp;$A82&amp;"-"&amp;TEXT(($D82-$C82+1)+7,"00"),"")&amp;IF($C82&gt;=9,", "&amp;$A82&amp;"-"&amp;TEXT(($D82-$C82+1)+8,"00"),"")&amp;IF($C82&gt;=10,", "&amp;$A82&amp;"-"&amp;TEXT(($D82-$C82+1)+9,"00"),"")&amp;IF($C82&gt;=11,", "&amp;$A82&amp;"-"&amp;TEXT(($D82-$C82+1)+10,"00"),"")&amp;IF($C82&gt;=12,", "&amp;$A82&amp;"-"&amp;TEXT(($D82-$C82+1)+11,"00"),"")&amp;IF($C82&gt;=13,", "&amp;$A82&amp;"-"&amp;TEXT(($D82-$C82+1)+12,"00"),"")&amp;IF($C82&gt;=14,", "&amp;$A82&amp;"-"&amp;TEXT(($D82-$C82+1)+13,"00"),"")&amp;IF($C82&gt;=15,", "&amp;$A82&amp;"-"&amp;TEXT(($D82-$C82+1)+14,"00"),"")&amp;IF($C82&gt;=16,", "&amp;$A82&amp;"-"&amp;TEXT(($D82-$C82+1)+15,"00"),"")&amp;IF($C82&gt;=17,", "&amp;$A82&amp;"-"&amp;TEXT(($D82-$C82+1)+16,"00"),"")&amp;IF($C82&gt;=18,", "&amp;$A82&amp;"-"&amp;TEXT(($D82-$C82+1)+17,"00"),"")&amp;IF($C82&gt;=19,", "&amp;$A82&amp;"-"&amp;TEXT(($D82-$C82+1)+18,"00"),"")&amp;IF($C82&gt;=20,", "&amp;$A82&amp;"-"&amp;TEXT(($D82-$C82+1)+19,"00"),"")&amp;IF($C82&gt;=21,", "&amp;$A82&amp;"-"&amp;TEXT(($D82-$C82+1)+20,"00"),"")&amp;IF($C82&gt;=22,", "&amp;$A82&amp;"-"&amp;TEXT(($D82-$C82+1)+21,"00"),"")&amp;IF($C82&gt;=23,", "&amp;$A82&amp;"-"&amp;TEXT(($D82-$C82+1)+22,"00"),"")&amp;IF($C82&gt;=24,", "&amp;$A82&amp;"-"&amp;TEXT(($D82-$C82+1)+23,"00"),"")&amp;IF($C82&gt;=25,", "&amp;$A82&amp;"-"&amp;TEXT(($D82-$C82+1)+24,"00"),""))</f>
        <v/>
      </c>
      <c r="G82">
        <f>IF($A82="","",IF($E82=1,$F82,IF($F82="",$G81,IF($G81="",$F82,$G81&amp;", "&amp;$F82))))</f>
        <v/>
      </c>
      <c r="H82">
        <f>IF($A82="","",$A82&amp;" ("&amp;$C82&amp;")")</f>
        <v/>
      </c>
      <c r="I82">
        <f>IF($A82="","",IF($E82=1,$H82,$I81&amp;", "&amp;$H82))</f>
        <v/>
      </c>
      <c r="J82">
        <f>IF($A82="","",IF($E82=1,$B82,""))</f>
        <v/>
      </c>
      <c r="K82">
        <f>IF($A82="","",IF(COUNTIF($B$2:$B82,$B82)=COUNTIF($B$2:$B$1601,$B82),$B82,""))</f>
        <v/>
      </c>
    </row>
    <row r="83">
      <c r="A83">
        <f>IF('TMP Paste'!$E83="","",'TMP Paste'!$E83)</f>
        <v/>
      </c>
      <c r="B83">
        <f>IF($A83="","",COUNTIF('TMP Paste'!$B$2:$B83,"?*"))</f>
        <v/>
      </c>
      <c r="C83">
        <f>IF($A83="","",IFERROR('TMP Paste'!$M83*1,0))</f>
        <v/>
      </c>
      <c r="D83">
        <f>IF($A83="","",SUMIF($B$2:$B83,$B83,$C$2:$C83))</f>
        <v/>
      </c>
      <c r="E83">
        <f>IF($A83="",0,IF('TMP Paste'!$B83="",0,1))</f>
        <v/>
      </c>
      <c r="F83">
        <f>IF(OR($A83="",$C83&lt;1),"",$A83&amp;"-"&amp;TEXT(($D83-$C83+1),"00")&amp;IF($C83&gt;=2,", "&amp;$A83&amp;"-"&amp;TEXT(($D83-$C83+1)+1,"00"),"")&amp;IF($C83&gt;=3,", "&amp;$A83&amp;"-"&amp;TEXT(($D83-$C83+1)+2,"00"),"")&amp;IF($C83&gt;=4,", "&amp;$A83&amp;"-"&amp;TEXT(($D83-$C83+1)+3,"00"),"")&amp;IF($C83&gt;=5,", "&amp;$A83&amp;"-"&amp;TEXT(($D83-$C83+1)+4,"00"),"")&amp;IF($C83&gt;=6,", "&amp;$A83&amp;"-"&amp;TEXT(($D83-$C83+1)+5,"00"),"")&amp;IF($C83&gt;=7,", "&amp;$A83&amp;"-"&amp;TEXT(($D83-$C83+1)+6,"00"),"")&amp;IF($C83&gt;=8,", "&amp;$A83&amp;"-"&amp;TEXT(($D83-$C83+1)+7,"00"),"")&amp;IF($C83&gt;=9,", "&amp;$A83&amp;"-"&amp;TEXT(($D83-$C83+1)+8,"00"),"")&amp;IF($C83&gt;=10,", "&amp;$A83&amp;"-"&amp;TEXT(($D83-$C83+1)+9,"00"),"")&amp;IF($C83&gt;=11,", "&amp;$A83&amp;"-"&amp;TEXT(($D83-$C83+1)+10,"00"),"")&amp;IF($C83&gt;=12,", "&amp;$A83&amp;"-"&amp;TEXT(($D83-$C83+1)+11,"00"),"")&amp;IF($C83&gt;=13,", "&amp;$A83&amp;"-"&amp;TEXT(($D83-$C83+1)+12,"00"),"")&amp;IF($C83&gt;=14,", "&amp;$A83&amp;"-"&amp;TEXT(($D83-$C83+1)+13,"00"),"")&amp;IF($C83&gt;=15,", "&amp;$A83&amp;"-"&amp;TEXT(($D83-$C83+1)+14,"00"),"")&amp;IF($C83&gt;=16,", "&amp;$A83&amp;"-"&amp;TEXT(($D83-$C83+1)+15,"00"),"")&amp;IF($C83&gt;=17,", "&amp;$A83&amp;"-"&amp;TEXT(($D83-$C83+1)+16,"00"),"")&amp;IF($C83&gt;=18,", "&amp;$A83&amp;"-"&amp;TEXT(($D83-$C83+1)+17,"00"),"")&amp;IF($C83&gt;=19,", "&amp;$A83&amp;"-"&amp;TEXT(($D83-$C83+1)+18,"00"),"")&amp;IF($C83&gt;=20,", "&amp;$A83&amp;"-"&amp;TEXT(($D83-$C83+1)+19,"00"),"")&amp;IF($C83&gt;=21,", "&amp;$A83&amp;"-"&amp;TEXT(($D83-$C83+1)+20,"00"),"")&amp;IF($C83&gt;=22,", "&amp;$A83&amp;"-"&amp;TEXT(($D83-$C83+1)+21,"00"),"")&amp;IF($C83&gt;=23,", "&amp;$A83&amp;"-"&amp;TEXT(($D83-$C83+1)+22,"00"),"")&amp;IF($C83&gt;=24,", "&amp;$A83&amp;"-"&amp;TEXT(($D83-$C83+1)+23,"00"),"")&amp;IF($C83&gt;=25,", "&amp;$A83&amp;"-"&amp;TEXT(($D83-$C83+1)+24,"00"),""))</f>
        <v/>
      </c>
      <c r="G83">
        <f>IF($A83="","",IF($E83=1,$F83,IF($F83="",$G82,IF($G82="",$F83,$G82&amp;", "&amp;$F83))))</f>
        <v/>
      </c>
      <c r="H83">
        <f>IF($A83="","",$A83&amp;" ("&amp;$C83&amp;")")</f>
        <v/>
      </c>
      <c r="I83">
        <f>IF($A83="","",IF($E83=1,$H83,$I82&amp;", "&amp;$H83))</f>
        <v/>
      </c>
      <c r="J83">
        <f>IF($A83="","",IF($E83=1,$B83,""))</f>
        <v/>
      </c>
      <c r="K83">
        <f>IF($A83="","",IF(COUNTIF($B$2:$B83,$B83)=COUNTIF($B$2:$B$1601,$B83),$B83,""))</f>
        <v/>
      </c>
    </row>
    <row r="84">
      <c r="A84">
        <f>IF('TMP Paste'!$E84="","",'TMP Paste'!$E84)</f>
        <v/>
      </c>
      <c r="B84">
        <f>IF($A84="","",COUNTIF('TMP Paste'!$B$2:$B84,"?*"))</f>
        <v/>
      </c>
      <c r="C84">
        <f>IF($A84="","",IFERROR('TMP Paste'!$M84*1,0))</f>
        <v/>
      </c>
      <c r="D84">
        <f>IF($A84="","",SUMIF($B$2:$B84,$B84,$C$2:$C84))</f>
        <v/>
      </c>
      <c r="E84">
        <f>IF($A84="",0,IF('TMP Paste'!$B84="",0,1))</f>
        <v/>
      </c>
      <c r="F84">
        <f>IF(OR($A84="",$C84&lt;1),"",$A84&amp;"-"&amp;TEXT(($D84-$C84+1),"00")&amp;IF($C84&gt;=2,", "&amp;$A84&amp;"-"&amp;TEXT(($D84-$C84+1)+1,"00"),"")&amp;IF($C84&gt;=3,", "&amp;$A84&amp;"-"&amp;TEXT(($D84-$C84+1)+2,"00"),"")&amp;IF($C84&gt;=4,", "&amp;$A84&amp;"-"&amp;TEXT(($D84-$C84+1)+3,"00"),"")&amp;IF($C84&gt;=5,", "&amp;$A84&amp;"-"&amp;TEXT(($D84-$C84+1)+4,"00"),"")&amp;IF($C84&gt;=6,", "&amp;$A84&amp;"-"&amp;TEXT(($D84-$C84+1)+5,"00"),"")&amp;IF($C84&gt;=7,", "&amp;$A84&amp;"-"&amp;TEXT(($D84-$C84+1)+6,"00"),"")&amp;IF($C84&gt;=8,", "&amp;$A84&amp;"-"&amp;TEXT(($D84-$C84+1)+7,"00"),"")&amp;IF($C84&gt;=9,", "&amp;$A84&amp;"-"&amp;TEXT(($D84-$C84+1)+8,"00"),"")&amp;IF($C84&gt;=10,", "&amp;$A84&amp;"-"&amp;TEXT(($D84-$C84+1)+9,"00"),"")&amp;IF($C84&gt;=11,", "&amp;$A84&amp;"-"&amp;TEXT(($D84-$C84+1)+10,"00"),"")&amp;IF($C84&gt;=12,", "&amp;$A84&amp;"-"&amp;TEXT(($D84-$C84+1)+11,"00"),"")&amp;IF($C84&gt;=13,", "&amp;$A84&amp;"-"&amp;TEXT(($D84-$C84+1)+12,"00"),"")&amp;IF($C84&gt;=14,", "&amp;$A84&amp;"-"&amp;TEXT(($D84-$C84+1)+13,"00"),"")&amp;IF($C84&gt;=15,", "&amp;$A84&amp;"-"&amp;TEXT(($D84-$C84+1)+14,"00"),"")&amp;IF($C84&gt;=16,", "&amp;$A84&amp;"-"&amp;TEXT(($D84-$C84+1)+15,"00"),"")&amp;IF($C84&gt;=17,", "&amp;$A84&amp;"-"&amp;TEXT(($D84-$C84+1)+16,"00"),"")&amp;IF($C84&gt;=18,", "&amp;$A84&amp;"-"&amp;TEXT(($D84-$C84+1)+17,"00"),"")&amp;IF($C84&gt;=19,", "&amp;$A84&amp;"-"&amp;TEXT(($D84-$C84+1)+18,"00"),"")&amp;IF($C84&gt;=20,", "&amp;$A84&amp;"-"&amp;TEXT(($D84-$C84+1)+19,"00"),"")&amp;IF($C84&gt;=21,", "&amp;$A84&amp;"-"&amp;TEXT(($D84-$C84+1)+20,"00"),"")&amp;IF($C84&gt;=22,", "&amp;$A84&amp;"-"&amp;TEXT(($D84-$C84+1)+21,"00"),"")&amp;IF($C84&gt;=23,", "&amp;$A84&amp;"-"&amp;TEXT(($D84-$C84+1)+22,"00"),"")&amp;IF($C84&gt;=24,", "&amp;$A84&amp;"-"&amp;TEXT(($D84-$C84+1)+23,"00"),"")&amp;IF($C84&gt;=25,", "&amp;$A84&amp;"-"&amp;TEXT(($D84-$C84+1)+24,"00"),""))</f>
        <v/>
      </c>
      <c r="G84">
        <f>IF($A84="","",IF($E84=1,$F84,IF($F84="",$G83,IF($G83="",$F84,$G83&amp;", "&amp;$F84))))</f>
        <v/>
      </c>
      <c r="H84">
        <f>IF($A84="","",$A84&amp;" ("&amp;$C84&amp;")")</f>
        <v/>
      </c>
      <c r="I84">
        <f>IF($A84="","",IF($E84=1,$H84,$I83&amp;", "&amp;$H84))</f>
        <v/>
      </c>
      <c r="J84">
        <f>IF($A84="","",IF($E84=1,$B84,""))</f>
        <v/>
      </c>
      <c r="K84">
        <f>IF($A84="","",IF(COUNTIF($B$2:$B84,$B84)=COUNTIF($B$2:$B$1601,$B84),$B84,""))</f>
        <v/>
      </c>
    </row>
    <row r="85">
      <c r="A85">
        <f>IF('TMP Paste'!$E85="","",'TMP Paste'!$E85)</f>
        <v/>
      </c>
      <c r="B85">
        <f>IF($A85="","",COUNTIF('TMP Paste'!$B$2:$B85,"?*"))</f>
        <v/>
      </c>
      <c r="C85">
        <f>IF($A85="","",IFERROR('TMP Paste'!$M85*1,0))</f>
        <v/>
      </c>
      <c r="D85">
        <f>IF($A85="","",SUMIF($B$2:$B85,$B85,$C$2:$C85))</f>
        <v/>
      </c>
      <c r="E85">
        <f>IF($A85="",0,IF('TMP Paste'!$B85="",0,1))</f>
        <v/>
      </c>
      <c r="F85">
        <f>IF(OR($A85="",$C85&lt;1),"",$A85&amp;"-"&amp;TEXT(($D85-$C85+1),"00")&amp;IF($C85&gt;=2,", "&amp;$A85&amp;"-"&amp;TEXT(($D85-$C85+1)+1,"00"),"")&amp;IF($C85&gt;=3,", "&amp;$A85&amp;"-"&amp;TEXT(($D85-$C85+1)+2,"00"),"")&amp;IF($C85&gt;=4,", "&amp;$A85&amp;"-"&amp;TEXT(($D85-$C85+1)+3,"00"),"")&amp;IF($C85&gt;=5,", "&amp;$A85&amp;"-"&amp;TEXT(($D85-$C85+1)+4,"00"),"")&amp;IF($C85&gt;=6,", "&amp;$A85&amp;"-"&amp;TEXT(($D85-$C85+1)+5,"00"),"")&amp;IF($C85&gt;=7,", "&amp;$A85&amp;"-"&amp;TEXT(($D85-$C85+1)+6,"00"),"")&amp;IF($C85&gt;=8,", "&amp;$A85&amp;"-"&amp;TEXT(($D85-$C85+1)+7,"00"),"")&amp;IF($C85&gt;=9,", "&amp;$A85&amp;"-"&amp;TEXT(($D85-$C85+1)+8,"00"),"")&amp;IF($C85&gt;=10,", "&amp;$A85&amp;"-"&amp;TEXT(($D85-$C85+1)+9,"00"),"")&amp;IF($C85&gt;=11,", "&amp;$A85&amp;"-"&amp;TEXT(($D85-$C85+1)+10,"00"),"")&amp;IF($C85&gt;=12,", "&amp;$A85&amp;"-"&amp;TEXT(($D85-$C85+1)+11,"00"),"")&amp;IF($C85&gt;=13,", "&amp;$A85&amp;"-"&amp;TEXT(($D85-$C85+1)+12,"00"),"")&amp;IF($C85&gt;=14,", "&amp;$A85&amp;"-"&amp;TEXT(($D85-$C85+1)+13,"00"),"")&amp;IF($C85&gt;=15,", "&amp;$A85&amp;"-"&amp;TEXT(($D85-$C85+1)+14,"00"),"")&amp;IF($C85&gt;=16,", "&amp;$A85&amp;"-"&amp;TEXT(($D85-$C85+1)+15,"00"),"")&amp;IF($C85&gt;=17,", "&amp;$A85&amp;"-"&amp;TEXT(($D85-$C85+1)+16,"00"),"")&amp;IF($C85&gt;=18,", "&amp;$A85&amp;"-"&amp;TEXT(($D85-$C85+1)+17,"00"),"")&amp;IF($C85&gt;=19,", "&amp;$A85&amp;"-"&amp;TEXT(($D85-$C85+1)+18,"00"),"")&amp;IF($C85&gt;=20,", "&amp;$A85&amp;"-"&amp;TEXT(($D85-$C85+1)+19,"00"),"")&amp;IF($C85&gt;=21,", "&amp;$A85&amp;"-"&amp;TEXT(($D85-$C85+1)+20,"00"),"")&amp;IF($C85&gt;=22,", "&amp;$A85&amp;"-"&amp;TEXT(($D85-$C85+1)+21,"00"),"")&amp;IF($C85&gt;=23,", "&amp;$A85&amp;"-"&amp;TEXT(($D85-$C85+1)+22,"00"),"")&amp;IF($C85&gt;=24,", "&amp;$A85&amp;"-"&amp;TEXT(($D85-$C85+1)+23,"00"),"")&amp;IF($C85&gt;=25,", "&amp;$A85&amp;"-"&amp;TEXT(($D85-$C85+1)+24,"00"),""))</f>
        <v/>
      </c>
      <c r="G85">
        <f>IF($A85="","",IF($E85=1,$F85,IF($F85="",$G84,IF($G84="",$F85,$G84&amp;", "&amp;$F85))))</f>
        <v/>
      </c>
      <c r="H85">
        <f>IF($A85="","",$A85&amp;" ("&amp;$C85&amp;")")</f>
        <v/>
      </c>
      <c r="I85">
        <f>IF($A85="","",IF($E85=1,$H85,$I84&amp;", "&amp;$H85))</f>
        <v/>
      </c>
      <c r="J85">
        <f>IF($A85="","",IF($E85=1,$B85,""))</f>
        <v/>
      </c>
      <c r="K85">
        <f>IF($A85="","",IF(COUNTIF($B$2:$B85,$B85)=COUNTIF($B$2:$B$1601,$B85),$B85,""))</f>
        <v/>
      </c>
    </row>
    <row r="86">
      <c r="A86">
        <f>IF('TMP Paste'!$E86="","",'TMP Paste'!$E86)</f>
        <v/>
      </c>
      <c r="B86">
        <f>IF($A86="","",COUNTIF('TMP Paste'!$B$2:$B86,"?*"))</f>
        <v/>
      </c>
      <c r="C86">
        <f>IF($A86="","",IFERROR('TMP Paste'!$M86*1,0))</f>
        <v/>
      </c>
      <c r="D86">
        <f>IF($A86="","",SUMIF($B$2:$B86,$B86,$C$2:$C86))</f>
        <v/>
      </c>
      <c r="E86">
        <f>IF($A86="",0,IF('TMP Paste'!$B86="",0,1))</f>
        <v/>
      </c>
      <c r="F86">
        <f>IF(OR($A86="",$C86&lt;1),"",$A86&amp;"-"&amp;TEXT(($D86-$C86+1),"00")&amp;IF($C86&gt;=2,", "&amp;$A86&amp;"-"&amp;TEXT(($D86-$C86+1)+1,"00"),"")&amp;IF($C86&gt;=3,", "&amp;$A86&amp;"-"&amp;TEXT(($D86-$C86+1)+2,"00"),"")&amp;IF($C86&gt;=4,", "&amp;$A86&amp;"-"&amp;TEXT(($D86-$C86+1)+3,"00"),"")&amp;IF($C86&gt;=5,", "&amp;$A86&amp;"-"&amp;TEXT(($D86-$C86+1)+4,"00"),"")&amp;IF($C86&gt;=6,", "&amp;$A86&amp;"-"&amp;TEXT(($D86-$C86+1)+5,"00"),"")&amp;IF($C86&gt;=7,", "&amp;$A86&amp;"-"&amp;TEXT(($D86-$C86+1)+6,"00"),"")&amp;IF($C86&gt;=8,", "&amp;$A86&amp;"-"&amp;TEXT(($D86-$C86+1)+7,"00"),"")&amp;IF($C86&gt;=9,", "&amp;$A86&amp;"-"&amp;TEXT(($D86-$C86+1)+8,"00"),"")&amp;IF($C86&gt;=10,", "&amp;$A86&amp;"-"&amp;TEXT(($D86-$C86+1)+9,"00"),"")&amp;IF($C86&gt;=11,", "&amp;$A86&amp;"-"&amp;TEXT(($D86-$C86+1)+10,"00"),"")&amp;IF($C86&gt;=12,", "&amp;$A86&amp;"-"&amp;TEXT(($D86-$C86+1)+11,"00"),"")&amp;IF($C86&gt;=13,", "&amp;$A86&amp;"-"&amp;TEXT(($D86-$C86+1)+12,"00"),"")&amp;IF($C86&gt;=14,", "&amp;$A86&amp;"-"&amp;TEXT(($D86-$C86+1)+13,"00"),"")&amp;IF($C86&gt;=15,", "&amp;$A86&amp;"-"&amp;TEXT(($D86-$C86+1)+14,"00"),"")&amp;IF($C86&gt;=16,", "&amp;$A86&amp;"-"&amp;TEXT(($D86-$C86+1)+15,"00"),"")&amp;IF($C86&gt;=17,", "&amp;$A86&amp;"-"&amp;TEXT(($D86-$C86+1)+16,"00"),"")&amp;IF($C86&gt;=18,", "&amp;$A86&amp;"-"&amp;TEXT(($D86-$C86+1)+17,"00"),"")&amp;IF($C86&gt;=19,", "&amp;$A86&amp;"-"&amp;TEXT(($D86-$C86+1)+18,"00"),"")&amp;IF($C86&gt;=20,", "&amp;$A86&amp;"-"&amp;TEXT(($D86-$C86+1)+19,"00"),"")&amp;IF($C86&gt;=21,", "&amp;$A86&amp;"-"&amp;TEXT(($D86-$C86+1)+20,"00"),"")&amp;IF($C86&gt;=22,", "&amp;$A86&amp;"-"&amp;TEXT(($D86-$C86+1)+21,"00"),"")&amp;IF($C86&gt;=23,", "&amp;$A86&amp;"-"&amp;TEXT(($D86-$C86+1)+22,"00"),"")&amp;IF($C86&gt;=24,", "&amp;$A86&amp;"-"&amp;TEXT(($D86-$C86+1)+23,"00"),"")&amp;IF($C86&gt;=25,", "&amp;$A86&amp;"-"&amp;TEXT(($D86-$C86+1)+24,"00"),""))</f>
        <v/>
      </c>
      <c r="G86">
        <f>IF($A86="","",IF($E86=1,$F86,IF($F86="",$G85,IF($G85="",$F86,$G85&amp;", "&amp;$F86))))</f>
        <v/>
      </c>
      <c r="H86">
        <f>IF($A86="","",$A86&amp;" ("&amp;$C86&amp;")")</f>
        <v/>
      </c>
      <c r="I86">
        <f>IF($A86="","",IF($E86=1,$H86,$I85&amp;", "&amp;$H86))</f>
        <v/>
      </c>
      <c r="J86">
        <f>IF($A86="","",IF($E86=1,$B86,""))</f>
        <v/>
      </c>
      <c r="K86">
        <f>IF($A86="","",IF(COUNTIF($B$2:$B86,$B86)=COUNTIF($B$2:$B$1601,$B86),$B86,""))</f>
        <v/>
      </c>
    </row>
    <row r="87">
      <c r="A87">
        <f>IF('TMP Paste'!$E87="","",'TMP Paste'!$E87)</f>
        <v/>
      </c>
      <c r="B87">
        <f>IF($A87="","",COUNTIF('TMP Paste'!$B$2:$B87,"?*"))</f>
        <v/>
      </c>
      <c r="C87">
        <f>IF($A87="","",IFERROR('TMP Paste'!$M87*1,0))</f>
        <v/>
      </c>
      <c r="D87">
        <f>IF($A87="","",SUMIF($B$2:$B87,$B87,$C$2:$C87))</f>
        <v/>
      </c>
      <c r="E87">
        <f>IF($A87="",0,IF('TMP Paste'!$B87="",0,1))</f>
        <v/>
      </c>
      <c r="F87">
        <f>IF(OR($A87="",$C87&lt;1),"",$A87&amp;"-"&amp;TEXT(($D87-$C87+1),"00")&amp;IF($C87&gt;=2,", "&amp;$A87&amp;"-"&amp;TEXT(($D87-$C87+1)+1,"00"),"")&amp;IF($C87&gt;=3,", "&amp;$A87&amp;"-"&amp;TEXT(($D87-$C87+1)+2,"00"),"")&amp;IF($C87&gt;=4,", "&amp;$A87&amp;"-"&amp;TEXT(($D87-$C87+1)+3,"00"),"")&amp;IF($C87&gt;=5,", "&amp;$A87&amp;"-"&amp;TEXT(($D87-$C87+1)+4,"00"),"")&amp;IF($C87&gt;=6,", "&amp;$A87&amp;"-"&amp;TEXT(($D87-$C87+1)+5,"00"),"")&amp;IF($C87&gt;=7,", "&amp;$A87&amp;"-"&amp;TEXT(($D87-$C87+1)+6,"00"),"")&amp;IF($C87&gt;=8,", "&amp;$A87&amp;"-"&amp;TEXT(($D87-$C87+1)+7,"00"),"")&amp;IF($C87&gt;=9,", "&amp;$A87&amp;"-"&amp;TEXT(($D87-$C87+1)+8,"00"),"")&amp;IF($C87&gt;=10,", "&amp;$A87&amp;"-"&amp;TEXT(($D87-$C87+1)+9,"00"),"")&amp;IF($C87&gt;=11,", "&amp;$A87&amp;"-"&amp;TEXT(($D87-$C87+1)+10,"00"),"")&amp;IF($C87&gt;=12,", "&amp;$A87&amp;"-"&amp;TEXT(($D87-$C87+1)+11,"00"),"")&amp;IF($C87&gt;=13,", "&amp;$A87&amp;"-"&amp;TEXT(($D87-$C87+1)+12,"00"),"")&amp;IF($C87&gt;=14,", "&amp;$A87&amp;"-"&amp;TEXT(($D87-$C87+1)+13,"00"),"")&amp;IF($C87&gt;=15,", "&amp;$A87&amp;"-"&amp;TEXT(($D87-$C87+1)+14,"00"),"")&amp;IF($C87&gt;=16,", "&amp;$A87&amp;"-"&amp;TEXT(($D87-$C87+1)+15,"00"),"")&amp;IF($C87&gt;=17,", "&amp;$A87&amp;"-"&amp;TEXT(($D87-$C87+1)+16,"00"),"")&amp;IF($C87&gt;=18,", "&amp;$A87&amp;"-"&amp;TEXT(($D87-$C87+1)+17,"00"),"")&amp;IF($C87&gt;=19,", "&amp;$A87&amp;"-"&amp;TEXT(($D87-$C87+1)+18,"00"),"")&amp;IF($C87&gt;=20,", "&amp;$A87&amp;"-"&amp;TEXT(($D87-$C87+1)+19,"00"),"")&amp;IF($C87&gt;=21,", "&amp;$A87&amp;"-"&amp;TEXT(($D87-$C87+1)+20,"00"),"")&amp;IF($C87&gt;=22,", "&amp;$A87&amp;"-"&amp;TEXT(($D87-$C87+1)+21,"00"),"")&amp;IF($C87&gt;=23,", "&amp;$A87&amp;"-"&amp;TEXT(($D87-$C87+1)+22,"00"),"")&amp;IF($C87&gt;=24,", "&amp;$A87&amp;"-"&amp;TEXT(($D87-$C87+1)+23,"00"),"")&amp;IF($C87&gt;=25,", "&amp;$A87&amp;"-"&amp;TEXT(($D87-$C87+1)+24,"00"),""))</f>
        <v/>
      </c>
      <c r="G87">
        <f>IF($A87="","",IF($E87=1,$F87,IF($F87="",$G86,IF($G86="",$F87,$G86&amp;", "&amp;$F87))))</f>
        <v/>
      </c>
      <c r="H87">
        <f>IF($A87="","",$A87&amp;" ("&amp;$C87&amp;")")</f>
        <v/>
      </c>
      <c r="I87">
        <f>IF($A87="","",IF($E87=1,$H87,$I86&amp;", "&amp;$H87))</f>
        <v/>
      </c>
      <c r="J87">
        <f>IF($A87="","",IF($E87=1,$B87,""))</f>
        <v/>
      </c>
      <c r="K87">
        <f>IF($A87="","",IF(COUNTIF($B$2:$B87,$B87)=COUNTIF($B$2:$B$1601,$B87),$B87,""))</f>
        <v/>
      </c>
    </row>
    <row r="88">
      <c r="A88">
        <f>IF('TMP Paste'!$E88="","",'TMP Paste'!$E88)</f>
        <v/>
      </c>
      <c r="B88">
        <f>IF($A88="","",COUNTIF('TMP Paste'!$B$2:$B88,"?*"))</f>
        <v/>
      </c>
      <c r="C88">
        <f>IF($A88="","",IFERROR('TMP Paste'!$M88*1,0))</f>
        <v/>
      </c>
      <c r="D88">
        <f>IF($A88="","",SUMIF($B$2:$B88,$B88,$C$2:$C88))</f>
        <v/>
      </c>
      <c r="E88">
        <f>IF($A88="",0,IF('TMP Paste'!$B88="",0,1))</f>
        <v/>
      </c>
      <c r="F88">
        <f>IF(OR($A88="",$C88&lt;1),"",$A88&amp;"-"&amp;TEXT(($D88-$C88+1),"00")&amp;IF($C88&gt;=2,", "&amp;$A88&amp;"-"&amp;TEXT(($D88-$C88+1)+1,"00"),"")&amp;IF($C88&gt;=3,", "&amp;$A88&amp;"-"&amp;TEXT(($D88-$C88+1)+2,"00"),"")&amp;IF($C88&gt;=4,", "&amp;$A88&amp;"-"&amp;TEXT(($D88-$C88+1)+3,"00"),"")&amp;IF($C88&gt;=5,", "&amp;$A88&amp;"-"&amp;TEXT(($D88-$C88+1)+4,"00"),"")&amp;IF($C88&gt;=6,", "&amp;$A88&amp;"-"&amp;TEXT(($D88-$C88+1)+5,"00"),"")&amp;IF($C88&gt;=7,", "&amp;$A88&amp;"-"&amp;TEXT(($D88-$C88+1)+6,"00"),"")&amp;IF($C88&gt;=8,", "&amp;$A88&amp;"-"&amp;TEXT(($D88-$C88+1)+7,"00"),"")&amp;IF($C88&gt;=9,", "&amp;$A88&amp;"-"&amp;TEXT(($D88-$C88+1)+8,"00"),"")&amp;IF($C88&gt;=10,", "&amp;$A88&amp;"-"&amp;TEXT(($D88-$C88+1)+9,"00"),"")&amp;IF($C88&gt;=11,", "&amp;$A88&amp;"-"&amp;TEXT(($D88-$C88+1)+10,"00"),"")&amp;IF($C88&gt;=12,", "&amp;$A88&amp;"-"&amp;TEXT(($D88-$C88+1)+11,"00"),"")&amp;IF($C88&gt;=13,", "&amp;$A88&amp;"-"&amp;TEXT(($D88-$C88+1)+12,"00"),"")&amp;IF($C88&gt;=14,", "&amp;$A88&amp;"-"&amp;TEXT(($D88-$C88+1)+13,"00"),"")&amp;IF($C88&gt;=15,", "&amp;$A88&amp;"-"&amp;TEXT(($D88-$C88+1)+14,"00"),"")&amp;IF($C88&gt;=16,", "&amp;$A88&amp;"-"&amp;TEXT(($D88-$C88+1)+15,"00"),"")&amp;IF($C88&gt;=17,", "&amp;$A88&amp;"-"&amp;TEXT(($D88-$C88+1)+16,"00"),"")&amp;IF($C88&gt;=18,", "&amp;$A88&amp;"-"&amp;TEXT(($D88-$C88+1)+17,"00"),"")&amp;IF($C88&gt;=19,", "&amp;$A88&amp;"-"&amp;TEXT(($D88-$C88+1)+18,"00"),"")&amp;IF($C88&gt;=20,", "&amp;$A88&amp;"-"&amp;TEXT(($D88-$C88+1)+19,"00"),"")&amp;IF($C88&gt;=21,", "&amp;$A88&amp;"-"&amp;TEXT(($D88-$C88+1)+20,"00"),"")&amp;IF($C88&gt;=22,", "&amp;$A88&amp;"-"&amp;TEXT(($D88-$C88+1)+21,"00"),"")&amp;IF($C88&gt;=23,", "&amp;$A88&amp;"-"&amp;TEXT(($D88-$C88+1)+22,"00"),"")&amp;IF($C88&gt;=24,", "&amp;$A88&amp;"-"&amp;TEXT(($D88-$C88+1)+23,"00"),"")&amp;IF($C88&gt;=25,", "&amp;$A88&amp;"-"&amp;TEXT(($D88-$C88+1)+24,"00"),""))</f>
        <v/>
      </c>
      <c r="G88">
        <f>IF($A88="","",IF($E88=1,$F88,IF($F88="",$G87,IF($G87="",$F88,$G87&amp;", "&amp;$F88))))</f>
        <v/>
      </c>
      <c r="H88">
        <f>IF($A88="","",$A88&amp;" ("&amp;$C88&amp;")")</f>
        <v/>
      </c>
      <c r="I88">
        <f>IF($A88="","",IF($E88=1,$H88,$I87&amp;", "&amp;$H88))</f>
        <v/>
      </c>
      <c r="J88">
        <f>IF($A88="","",IF($E88=1,$B88,""))</f>
        <v/>
      </c>
      <c r="K88">
        <f>IF($A88="","",IF(COUNTIF($B$2:$B88,$B88)=COUNTIF($B$2:$B$1601,$B88),$B88,""))</f>
        <v/>
      </c>
    </row>
    <row r="89">
      <c r="A89">
        <f>IF('TMP Paste'!$E89="","",'TMP Paste'!$E89)</f>
        <v/>
      </c>
      <c r="B89">
        <f>IF($A89="","",COUNTIF('TMP Paste'!$B$2:$B89,"?*"))</f>
        <v/>
      </c>
      <c r="C89">
        <f>IF($A89="","",IFERROR('TMP Paste'!$M89*1,0))</f>
        <v/>
      </c>
      <c r="D89">
        <f>IF($A89="","",SUMIF($B$2:$B89,$B89,$C$2:$C89))</f>
        <v/>
      </c>
      <c r="E89">
        <f>IF($A89="",0,IF('TMP Paste'!$B89="",0,1))</f>
        <v/>
      </c>
      <c r="F89">
        <f>IF(OR($A89="",$C89&lt;1),"",$A89&amp;"-"&amp;TEXT(($D89-$C89+1),"00")&amp;IF($C89&gt;=2,", "&amp;$A89&amp;"-"&amp;TEXT(($D89-$C89+1)+1,"00"),"")&amp;IF($C89&gt;=3,", "&amp;$A89&amp;"-"&amp;TEXT(($D89-$C89+1)+2,"00"),"")&amp;IF($C89&gt;=4,", "&amp;$A89&amp;"-"&amp;TEXT(($D89-$C89+1)+3,"00"),"")&amp;IF($C89&gt;=5,", "&amp;$A89&amp;"-"&amp;TEXT(($D89-$C89+1)+4,"00"),"")&amp;IF($C89&gt;=6,", "&amp;$A89&amp;"-"&amp;TEXT(($D89-$C89+1)+5,"00"),"")&amp;IF($C89&gt;=7,", "&amp;$A89&amp;"-"&amp;TEXT(($D89-$C89+1)+6,"00"),"")&amp;IF($C89&gt;=8,", "&amp;$A89&amp;"-"&amp;TEXT(($D89-$C89+1)+7,"00"),"")&amp;IF($C89&gt;=9,", "&amp;$A89&amp;"-"&amp;TEXT(($D89-$C89+1)+8,"00"),"")&amp;IF($C89&gt;=10,", "&amp;$A89&amp;"-"&amp;TEXT(($D89-$C89+1)+9,"00"),"")&amp;IF($C89&gt;=11,", "&amp;$A89&amp;"-"&amp;TEXT(($D89-$C89+1)+10,"00"),"")&amp;IF($C89&gt;=12,", "&amp;$A89&amp;"-"&amp;TEXT(($D89-$C89+1)+11,"00"),"")&amp;IF($C89&gt;=13,", "&amp;$A89&amp;"-"&amp;TEXT(($D89-$C89+1)+12,"00"),"")&amp;IF($C89&gt;=14,", "&amp;$A89&amp;"-"&amp;TEXT(($D89-$C89+1)+13,"00"),"")&amp;IF($C89&gt;=15,", "&amp;$A89&amp;"-"&amp;TEXT(($D89-$C89+1)+14,"00"),"")&amp;IF($C89&gt;=16,", "&amp;$A89&amp;"-"&amp;TEXT(($D89-$C89+1)+15,"00"),"")&amp;IF($C89&gt;=17,", "&amp;$A89&amp;"-"&amp;TEXT(($D89-$C89+1)+16,"00"),"")&amp;IF($C89&gt;=18,", "&amp;$A89&amp;"-"&amp;TEXT(($D89-$C89+1)+17,"00"),"")&amp;IF($C89&gt;=19,", "&amp;$A89&amp;"-"&amp;TEXT(($D89-$C89+1)+18,"00"),"")&amp;IF($C89&gt;=20,", "&amp;$A89&amp;"-"&amp;TEXT(($D89-$C89+1)+19,"00"),"")&amp;IF($C89&gt;=21,", "&amp;$A89&amp;"-"&amp;TEXT(($D89-$C89+1)+20,"00"),"")&amp;IF($C89&gt;=22,", "&amp;$A89&amp;"-"&amp;TEXT(($D89-$C89+1)+21,"00"),"")&amp;IF($C89&gt;=23,", "&amp;$A89&amp;"-"&amp;TEXT(($D89-$C89+1)+22,"00"),"")&amp;IF($C89&gt;=24,", "&amp;$A89&amp;"-"&amp;TEXT(($D89-$C89+1)+23,"00"),"")&amp;IF($C89&gt;=25,", "&amp;$A89&amp;"-"&amp;TEXT(($D89-$C89+1)+24,"00"),""))</f>
        <v/>
      </c>
      <c r="G89">
        <f>IF($A89="","",IF($E89=1,$F89,IF($F89="",$G88,IF($G88="",$F89,$G88&amp;", "&amp;$F89))))</f>
        <v/>
      </c>
      <c r="H89">
        <f>IF($A89="","",$A89&amp;" ("&amp;$C89&amp;")")</f>
        <v/>
      </c>
      <c r="I89">
        <f>IF($A89="","",IF($E89=1,$H89,$I88&amp;", "&amp;$H89))</f>
        <v/>
      </c>
      <c r="J89">
        <f>IF($A89="","",IF($E89=1,$B89,""))</f>
        <v/>
      </c>
      <c r="K89">
        <f>IF($A89="","",IF(COUNTIF($B$2:$B89,$B89)=COUNTIF($B$2:$B$1601,$B89),$B89,""))</f>
        <v/>
      </c>
    </row>
    <row r="90">
      <c r="A90">
        <f>IF('TMP Paste'!$E90="","",'TMP Paste'!$E90)</f>
        <v/>
      </c>
      <c r="B90">
        <f>IF($A90="","",COUNTIF('TMP Paste'!$B$2:$B90,"?*"))</f>
        <v/>
      </c>
      <c r="C90">
        <f>IF($A90="","",IFERROR('TMP Paste'!$M90*1,0))</f>
        <v/>
      </c>
      <c r="D90">
        <f>IF($A90="","",SUMIF($B$2:$B90,$B90,$C$2:$C90))</f>
        <v/>
      </c>
      <c r="E90">
        <f>IF($A90="",0,IF('TMP Paste'!$B90="",0,1))</f>
        <v/>
      </c>
      <c r="F90">
        <f>IF(OR($A90="",$C90&lt;1),"",$A90&amp;"-"&amp;TEXT(($D90-$C90+1),"00")&amp;IF($C90&gt;=2,", "&amp;$A90&amp;"-"&amp;TEXT(($D90-$C90+1)+1,"00"),"")&amp;IF($C90&gt;=3,", "&amp;$A90&amp;"-"&amp;TEXT(($D90-$C90+1)+2,"00"),"")&amp;IF($C90&gt;=4,", "&amp;$A90&amp;"-"&amp;TEXT(($D90-$C90+1)+3,"00"),"")&amp;IF($C90&gt;=5,", "&amp;$A90&amp;"-"&amp;TEXT(($D90-$C90+1)+4,"00"),"")&amp;IF($C90&gt;=6,", "&amp;$A90&amp;"-"&amp;TEXT(($D90-$C90+1)+5,"00"),"")&amp;IF($C90&gt;=7,", "&amp;$A90&amp;"-"&amp;TEXT(($D90-$C90+1)+6,"00"),"")&amp;IF($C90&gt;=8,", "&amp;$A90&amp;"-"&amp;TEXT(($D90-$C90+1)+7,"00"),"")&amp;IF($C90&gt;=9,", "&amp;$A90&amp;"-"&amp;TEXT(($D90-$C90+1)+8,"00"),"")&amp;IF($C90&gt;=10,", "&amp;$A90&amp;"-"&amp;TEXT(($D90-$C90+1)+9,"00"),"")&amp;IF($C90&gt;=11,", "&amp;$A90&amp;"-"&amp;TEXT(($D90-$C90+1)+10,"00"),"")&amp;IF($C90&gt;=12,", "&amp;$A90&amp;"-"&amp;TEXT(($D90-$C90+1)+11,"00"),"")&amp;IF($C90&gt;=13,", "&amp;$A90&amp;"-"&amp;TEXT(($D90-$C90+1)+12,"00"),"")&amp;IF($C90&gt;=14,", "&amp;$A90&amp;"-"&amp;TEXT(($D90-$C90+1)+13,"00"),"")&amp;IF($C90&gt;=15,", "&amp;$A90&amp;"-"&amp;TEXT(($D90-$C90+1)+14,"00"),"")&amp;IF($C90&gt;=16,", "&amp;$A90&amp;"-"&amp;TEXT(($D90-$C90+1)+15,"00"),"")&amp;IF($C90&gt;=17,", "&amp;$A90&amp;"-"&amp;TEXT(($D90-$C90+1)+16,"00"),"")&amp;IF($C90&gt;=18,", "&amp;$A90&amp;"-"&amp;TEXT(($D90-$C90+1)+17,"00"),"")&amp;IF($C90&gt;=19,", "&amp;$A90&amp;"-"&amp;TEXT(($D90-$C90+1)+18,"00"),"")&amp;IF($C90&gt;=20,", "&amp;$A90&amp;"-"&amp;TEXT(($D90-$C90+1)+19,"00"),"")&amp;IF($C90&gt;=21,", "&amp;$A90&amp;"-"&amp;TEXT(($D90-$C90+1)+20,"00"),"")&amp;IF($C90&gt;=22,", "&amp;$A90&amp;"-"&amp;TEXT(($D90-$C90+1)+21,"00"),"")&amp;IF($C90&gt;=23,", "&amp;$A90&amp;"-"&amp;TEXT(($D90-$C90+1)+22,"00"),"")&amp;IF($C90&gt;=24,", "&amp;$A90&amp;"-"&amp;TEXT(($D90-$C90+1)+23,"00"),"")&amp;IF($C90&gt;=25,", "&amp;$A90&amp;"-"&amp;TEXT(($D90-$C90+1)+24,"00"),""))</f>
        <v/>
      </c>
      <c r="G90">
        <f>IF($A90="","",IF($E90=1,$F90,IF($F90="",$G89,IF($G89="",$F90,$G89&amp;", "&amp;$F90))))</f>
        <v/>
      </c>
      <c r="H90">
        <f>IF($A90="","",$A90&amp;" ("&amp;$C90&amp;")")</f>
        <v/>
      </c>
      <c r="I90">
        <f>IF($A90="","",IF($E90=1,$H90,$I89&amp;", "&amp;$H90))</f>
        <v/>
      </c>
      <c r="J90">
        <f>IF($A90="","",IF($E90=1,$B90,""))</f>
        <v/>
      </c>
      <c r="K90">
        <f>IF($A90="","",IF(COUNTIF($B$2:$B90,$B90)=COUNTIF($B$2:$B$1601,$B90),$B90,""))</f>
        <v/>
      </c>
    </row>
    <row r="91">
      <c r="A91">
        <f>IF('TMP Paste'!$E91="","",'TMP Paste'!$E91)</f>
        <v/>
      </c>
      <c r="B91">
        <f>IF($A91="","",COUNTIF('TMP Paste'!$B$2:$B91,"?*"))</f>
        <v/>
      </c>
      <c r="C91">
        <f>IF($A91="","",IFERROR('TMP Paste'!$M91*1,0))</f>
        <v/>
      </c>
      <c r="D91">
        <f>IF($A91="","",SUMIF($B$2:$B91,$B91,$C$2:$C91))</f>
        <v/>
      </c>
      <c r="E91">
        <f>IF($A91="",0,IF('TMP Paste'!$B91="",0,1))</f>
        <v/>
      </c>
      <c r="F91">
        <f>IF(OR($A91="",$C91&lt;1),"",$A91&amp;"-"&amp;TEXT(($D91-$C91+1),"00")&amp;IF($C91&gt;=2,", "&amp;$A91&amp;"-"&amp;TEXT(($D91-$C91+1)+1,"00"),"")&amp;IF($C91&gt;=3,", "&amp;$A91&amp;"-"&amp;TEXT(($D91-$C91+1)+2,"00"),"")&amp;IF($C91&gt;=4,", "&amp;$A91&amp;"-"&amp;TEXT(($D91-$C91+1)+3,"00"),"")&amp;IF($C91&gt;=5,", "&amp;$A91&amp;"-"&amp;TEXT(($D91-$C91+1)+4,"00"),"")&amp;IF($C91&gt;=6,", "&amp;$A91&amp;"-"&amp;TEXT(($D91-$C91+1)+5,"00"),"")&amp;IF($C91&gt;=7,", "&amp;$A91&amp;"-"&amp;TEXT(($D91-$C91+1)+6,"00"),"")&amp;IF($C91&gt;=8,", "&amp;$A91&amp;"-"&amp;TEXT(($D91-$C91+1)+7,"00"),"")&amp;IF($C91&gt;=9,", "&amp;$A91&amp;"-"&amp;TEXT(($D91-$C91+1)+8,"00"),"")&amp;IF($C91&gt;=10,", "&amp;$A91&amp;"-"&amp;TEXT(($D91-$C91+1)+9,"00"),"")&amp;IF($C91&gt;=11,", "&amp;$A91&amp;"-"&amp;TEXT(($D91-$C91+1)+10,"00"),"")&amp;IF($C91&gt;=12,", "&amp;$A91&amp;"-"&amp;TEXT(($D91-$C91+1)+11,"00"),"")&amp;IF($C91&gt;=13,", "&amp;$A91&amp;"-"&amp;TEXT(($D91-$C91+1)+12,"00"),"")&amp;IF($C91&gt;=14,", "&amp;$A91&amp;"-"&amp;TEXT(($D91-$C91+1)+13,"00"),"")&amp;IF($C91&gt;=15,", "&amp;$A91&amp;"-"&amp;TEXT(($D91-$C91+1)+14,"00"),"")&amp;IF($C91&gt;=16,", "&amp;$A91&amp;"-"&amp;TEXT(($D91-$C91+1)+15,"00"),"")&amp;IF($C91&gt;=17,", "&amp;$A91&amp;"-"&amp;TEXT(($D91-$C91+1)+16,"00"),"")&amp;IF($C91&gt;=18,", "&amp;$A91&amp;"-"&amp;TEXT(($D91-$C91+1)+17,"00"),"")&amp;IF($C91&gt;=19,", "&amp;$A91&amp;"-"&amp;TEXT(($D91-$C91+1)+18,"00"),"")&amp;IF($C91&gt;=20,", "&amp;$A91&amp;"-"&amp;TEXT(($D91-$C91+1)+19,"00"),"")&amp;IF($C91&gt;=21,", "&amp;$A91&amp;"-"&amp;TEXT(($D91-$C91+1)+20,"00"),"")&amp;IF($C91&gt;=22,", "&amp;$A91&amp;"-"&amp;TEXT(($D91-$C91+1)+21,"00"),"")&amp;IF($C91&gt;=23,", "&amp;$A91&amp;"-"&amp;TEXT(($D91-$C91+1)+22,"00"),"")&amp;IF($C91&gt;=24,", "&amp;$A91&amp;"-"&amp;TEXT(($D91-$C91+1)+23,"00"),"")&amp;IF($C91&gt;=25,", "&amp;$A91&amp;"-"&amp;TEXT(($D91-$C91+1)+24,"00"),""))</f>
        <v/>
      </c>
      <c r="G91">
        <f>IF($A91="","",IF($E91=1,$F91,IF($F91="",$G90,IF($G90="",$F91,$G90&amp;", "&amp;$F91))))</f>
        <v/>
      </c>
      <c r="H91">
        <f>IF($A91="","",$A91&amp;" ("&amp;$C91&amp;")")</f>
        <v/>
      </c>
      <c r="I91">
        <f>IF($A91="","",IF($E91=1,$H91,$I90&amp;", "&amp;$H91))</f>
        <v/>
      </c>
      <c r="J91">
        <f>IF($A91="","",IF($E91=1,$B91,""))</f>
        <v/>
      </c>
      <c r="K91">
        <f>IF($A91="","",IF(COUNTIF($B$2:$B91,$B91)=COUNTIF($B$2:$B$1601,$B91),$B91,""))</f>
        <v/>
      </c>
    </row>
    <row r="92">
      <c r="A92">
        <f>IF('TMP Paste'!$E92="","",'TMP Paste'!$E92)</f>
        <v/>
      </c>
      <c r="B92">
        <f>IF($A92="","",COUNTIF('TMP Paste'!$B$2:$B92,"?*"))</f>
        <v/>
      </c>
      <c r="C92">
        <f>IF($A92="","",IFERROR('TMP Paste'!$M92*1,0))</f>
        <v/>
      </c>
      <c r="D92">
        <f>IF($A92="","",SUMIF($B$2:$B92,$B92,$C$2:$C92))</f>
        <v/>
      </c>
      <c r="E92">
        <f>IF($A92="",0,IF('TMP Paste'!$B92="",0,1))</f>
        <v/>
      </c>
      <c r="F92">
        <f>IF(OR($A92="",$C92&lt;1),"",$A92&amp;"-"&amp;TEXT(($D92-$C92+1),"00")&amp;IF($C92&gt;=2,", "&amp;$A92&amp;"-"&amp;TEXT(($D92-$C92+1)+1,"00"),"")&amp;IF($C92&gt;=3,", "&amp;$A92&amp;"-"&amp;TEXT(($D92-$C92+1)+2,"00"),"")&amp;IF($C92&gt;=4,", "&amp;$A92&amp;"-"&amp;TEXT(($D92-$C92+1)+3,"00"),"")&amp;IF($C92&gt;=5,", "&amp;$A92&amp;"-"&amp;TEXT(($D92-$C92+1)+4,"00"),"")&amp;IF($C92&gt;=6,", "&amp;$A92&amp;"-"&amp;TEXT(($D92-$C92+1)+5,"00"),"")&amp;IF($C92&gt;=7,", "&amp;$A92&amp;"-"&amp;TEXT(($D92-$C92+1)+6,"00"),"")&amp;IF($C92&gt;=8,", "&amp;$A92&amp;"-"&amp;TEXT(($D92-$C92+1)+7,"00"),"")&amp;IF($C92&gt;=9,", "&amp;$A92&amp;"-"&amp;TEXT(($D92-$C92+1)+8,"00"),"")&amp;IF($C92&gt;=10,", "&amp;$A92&amp;"-"&amp;TEXT(($D92-$C92+1)+9,"00"),"")&amp;IF($C92&gt;=11,", "&amp;$A92&amp;"-"&amp;TEXT(($D92-$C92+1)+10,"00"),"")&amp;IF($C92&gt;=12,", "&amp;$A92&amp;"-"&amp;TEXT(($D92-$C92+1)+11,"00"),"")&amp;IF($C92&gt;=13,", "&amp;$A92&amp;"-"&amp;TEXT(($D92-$C92+1)+12,"00"),"")&amp;IF($C92&gt;=14,", "&amp;$A92&amp;"-"&amp;TEXT(($D92-$C92+1)+13,"00"),"")&amp;IF($C92&gt;=15,", "&amp;$A92&amp;"-"&amp;TEXT(($D92-$C92+1)+14,"00"),"")&amp;IF($C92&gt;=16,", "&amp;$A92&amp;"-"&amp;TEXT(($D92-$C92+1)+15,"00"),"")&amp;IF($C92&gt;=17,", "&amp;$A92&amp;"-"&amp;TEXT(($D92-$C92+1)+16,"00"),"")&amp;IF($C92&gt;=18,", "&amp;$A92&amp;"-"&amp;TEXT(($D92-$C92+1)+17,"00"),"")&amp;IF($C92&gt;=19,", "&amp;$A92&amp;"-"&amp;TEXT(($D92-$C92+1)+18,"00"),"")&amp;IF($C92&gt;=20,", "&amp;$A92&amp;"-"&amp;TEXT(($D92-$C92+1)+19,"00"),"")&amp;IF($C92&gt;=21,", "&amp;$A92&amp;"-"&amp;TEXT(($D92-$C92+1)+20,"00"),"")&amp;IF($C92&gt;=22,", "&amp;$A92&amp;"-"&amp;TEXT(($D92-$C92+1)+21,"00"),"")&amp;IF($C92&gt;=23,", "&amp;$A92&amp;"-"&amp;TEXT(($D92-$C92+1)+22,"00"),"")&amp;IF($C92&gt;=24,", "&amp;$A92&amp;"-"&amp;TEXT(($D92-$C92+1)+23,"00"),"")&amp;IF($C92&gt;=25,", "&amp;$A92&amp;"-"&amp;TEXT(($D92-$C92+1)+24,"00"),""))</f>
        <v/>
      </c>
      <c r="G92">
        <f>IF($A92="","",IF($E92=1,$F92,IF($F92="",$G91,IF($G91="",$F92,$G91&amp;", "&amp;$F92))))</f>
        <v/>
      </c>
      <c r="H92">
        <f>IF($A92="","",$A92&amp;" ("&amp;$C92&amp;")")</f>
        <v/>
      </c>
      <c r="I92">
        <f>IF($A92="","",IF($E92=1,$H92,$I91&amp;", "&amp;$H92))</f>
        <v/>
      </c>
      <c r="J92">
        <f>IF($A92="","",IF($E92=1,$B92,""))</f>
        <v/>
      </c>
      <c r="K92">
        <f>IF($A92="","",IF(COUNTIF($B$2:$B92,$B92)=COUNTIF($B$2:$B$1601,$B92),$B92,""))</f>
        <v/>
      </c>
    </row>
    <row r="93">
      <c r="A93">
        <f>IF('TMP Paste'!$E93="","",'TMP Paste'!$E93)</f>
        <v/>
      </c>
      <c r="B93">
        <f>IF($A93="","",COUNTIF('TMP Paste'!$B$2:$B93,"?*"))</f>
        <v/>
      </c>
      <c r="C93">
        <f>IF($A93="","",IFERROR('TMP Paste'!$M93*1,0))</f>
        <v/>
      </c>
      <c r="D93">
        <f>IF($A93="","",SUMIF($B$2:$B93,$B93,$C$2:$C93))</f>
        <v/>
      </c>
      <c r="E93">
        <f>IF($A93="",0,IF('TMP Paste'!$B93="",0,1))</f>
        <v/>
      </c>
      <c r="F93">
        <f>IF(OR($A93="",$C93&lt;1),"",$A93&amp;"-"&amp;TEXT(($D93-$C93+1),"00")&amp;IF($C93&gt;=2,", "&amp;$A93&amp;"-"&amp;TEXT(($D93-$C93+1)+1,"00"),"")&amp;IF($C93&gt;=3,", "&amp;$A93&amp;"-"&amp;TEXT(($D93-$C93+1)+2,"00"),"")&amp;IF($C93&gt;=4,", "&amp;$A93&amp;"-"&amp;TEXT(($D93-$C93+1)+3,"00"),"")&amp;IF($C93&gt;=5,", "&amp;$A93&amp;"-"&amp;TEXT(($D93-$C93+1)+4,"00"),"")&amp;IF($C93&gt;=6,", "&amp;$A93&amp;"-"&amp;TEXT(($D93-$C93+1)+5,"00"),"")&amp;IF($C93&gt;=7,", "&amp;$A93&amp;"-"&amp;TEXT(($D93-$C93+1)+6,"00"),"")&amp;IF($C93&gt;=8,", "&amp;$A93&amp;"-"&amp;TEXT(($D93-$C93+1)+7,"00"),"")&amp;IF($C93&gt;=9,", "&amp;$A93&amp;"-"&amp;TEXT(($D93-$C93+1)+8,"00"),"")&amp;IF($C93&gt;=10,", "&amp;$A93&amp;"-"&amp;TEXT(($D93-$C93+1)+9,"00"),"")&amp;IF($C93&gt;=11,", "&amp;$A93&amp;"-"&amp;TEXT(($D93-$C93+1)+10,"00"),"")&amp;IF($C93&gt;=12,", "&amp;$A93&amp;"-"&amp;TEXT(($D93-$C93+1)+11,"00"),"")&amp;IF($C93&gt;=13,", "&amp;$A93&amp;"-"&amp;TEXT(($D93-$C93+1)+12,"00"),"")&amp;IF($C93&gt;=14,", "&amp;$A93&amp;"-"&amp;TEXT(($D93-$C93+1)+13,"00"),"")&amp;IF($C93&gt;=15,", "&amp;$A93&amp;"-"&amp;TEXT(($D93-$C93+1)+14,"00"),"")&amp;IF($C93&gt;=16,", "&amp;$A93&amp;"-"&amp;TEXT(($D93-$C93+1)+15,"00"),"")&amp;IF($C93&gt;=17,", "&amp;$A93&amp;"-"&amp;TEXT(($D93-$C93+1)+16,"00"),"")&amp;IF($C93&gt;=18,", "&amp;$A93&amp;"-"&amp;TEXT(($D93-$C93+1)+17,"00"),"")&amp;IF($C93&gt;=19,", "&amp;$A93&amp;"-"&amp;TEXT(($D93-$C93+1)+18,"00"),"")&amp;IF($C93&gt;=20,", "&amp;$A93&amp;"-"&amp;TEXT(($D93-$C93+1)+19,"00"),"")&amp;IF($C93&gt;=21,", "&amp;$A93&amp;"-"&amp;TEXT(($D93-$C93+1)+20,"00"),"")&amp;IF($C93&gt;=22,", "&amp;$A93&amp;"-"&amp;TEXT(($D93-$C93+1)+21,"00"),"")&amp;IF($C93&gt;=23,", "&amp;$A93&amp;"-"&amp;TEXT(($D93-$C93+1)+22,"00"),"")&amp;IF($C93&gt;=24,", "&amp;$A93&amp;"-"&amp;TEXT(($D93-$C93+1)+23,"00"),"")&amp;IF($C93&gt;=25,", "&amp;$A93&amp;"-"&amp;TEXT(($D93-$C93+1)+24,"00"),""))</f>
        <v/>
      </c>
      <c r="G93">
        <f>IF($A93="","",IF($E93=1,$F93,IF($F93="",$G92,IF($G92="",$F93,$G92&amp;", "&amp;$F93))))</f>
        <v/>
      </c>
      <c r="H93">
        <f>IF($A93="","",$A93&amp;" ("&amp;$C93&amp;")")</f>
        <v/>
      </c>
      <c r="I93">
        <f>IF($A93="","",IF($E93=1,$H93,$I92&amp;", "&amp;$H93))</f>
        <v/>
      </c>
      <c r="J93">
        <f>IF($A93="","",IF($E93=1,$B93,""))</f>
        <v/>
      </c>
      <c r="K93">
        <f>IF($A93="","",IF(COUNTIF($B$2:$B93,$B93)=COUNTIF($B$2:$B$1601,$B93),$B93,""))</f>
        <v/>
      </c>
    </row>
    <row r="94">
      <c r="A94">
        <f>IF('TMP Paste'!$E94="","",'TMP Paste'!$E94)</f>
        <v/>
      </c>
      <c r="B94">
        <f>IF($A94="","",COUNTIF('TMP Paste'!$B$2:$B94,"?*"))</f>
        <v/>
      </c>
      <c r="C94">
        <f>IF($A94="","",IFERROR('TMP Paste'!$M94*1,0))</f>
        <v/>
      </c>
      <c r="D94">
        <f>IF($A94="","",SUMIF($B$2:$B94,$B94,$C$2:$C94))</f>
        <v/>
      </c>
      <c r="E94">
        <f>IF($A94="",0,IF('TMP Paste'!$B94="",0,1))</f>
        <v/>
      </c>
      <c r="F94">
        <f>IF(OR($A94="",$C94&lt;1),"",$A94&amp;"-"&amp;TEXT(($D94-$C94+1),"00")&amp;IF($C94&gt;=2,", "&amp;$A94&amp;"-"&amp;TEXT(($D94-$C94+1)+1,"00"),"")&amp;IF($C94&gt;=3,", "&amp;$A94&amp;"-"&amp;TEXT(($D94-$C94+1)+2,"00"),"")&amp;IF($C94&gt;=4,", "&amp;$A94&amp;"-"&amp;TEXT(($D94-$C94+1)+3,"00"),"")&amp;IF($C94&gt;=5,", "&amp;$A94&amp;"-"&amp;TEXT(($D94-$C94+1)+4,"00"),"")&amp;IF($C94&gt;=6,", "&amp;$A94&amp;"-"&amp;TEXT(($D94-$C94+1)+5,"00"),"")&amp;IF($C94&gt;=7,", "&amp;$A94&amp;"-"&amp;TEXT(($D94-$C94+1)+6,"00"),"")&amp;IF($C94&gt;=8,", "&amp;$A94&amp;"-"&amp;TEXT(($D94-$C94+1)+7,"00"),"")&amp;IF($C94&gt;=9,", "&amp;$A94&amp;"-"&amp;TEXT(($D94-$C94+1)+8,"00"),"")&amp;IF($C94&gt;=10,", "&amp;$A94&amp;"-"&amp;TEXT(($D94-$C94+1)+9,"00"),"")&amp;IF($C94&gt;=11,", "&amp;$A94&amp;"-"&amp;TEXT(($D94-$C94+1)+10,"00"),"")&amp;IF($C94&gt;=12,", "&amp;$A94&amp;"-"&amp;TEXT(($D94-$C94+1)+11,"00"),"")&amp;IF($C94&gt;=13,", "&amp;$A94&amp;"-"&amp;TEXT(($D94-$C94+1)+12,"00"),"")&amp;IF($C94&gt;=14,", "&amp;$A94&amp;"-"&amp;TEXT(($D94-$C94+1)+13,"00"),"")&amp;IF($C94&gt;=15,", "&amp;$A94&amp;"-"&amp;TEXT(($D94-$C94+1)+14,"00"),"")&amp;IF($C94&gt;=16,", "&amp;$A94&amp;"-"&amp;TEXT(($D94-$C94+1)+15,"00"),"")&amp;IF($C94&gt;=17,", "&amp;$A94&amp;"-"&amp;TEXT(($D94-$C94+1)+16,"00"),"")&amp;IF($C94&gt;=18,", "&amp;$A94&amp;"-"&amp;TEXT(($D94-$C94+1)+17,"00"),"")&amp;IF($C94&gt;=19,", "&amp;$A94&amp;"-"&amp;TEXT(($D94-$C94+1)+18,"00"),"")&amp;IF($C94&gt;=20,", "&amp;$A94&amp;"-"&amp;TEXT(($D94-$C94+1)+19,"00"),"")&amp;IF($C94&gt;=21,", "&amp;$A94&amp;"-"&amp;TEXT(($D94-$C94+1)+20,"00"),"")&amp;IF($C94&gt;=22,", "&amp;$A94&amp;"-"&amp;TEXT(($D94-$C94+1)+21,"00"),"")&amp;IF($C94&gt;=23,", "&amp;$A94&amp;"-"&amp;TEXT(($D94-$C94+1)+22,"00"),"")&amp;IF($C94&gt;=24,", "&amp;$A94&amp;"-"&amp;TEXT(($D94-$C94+1)+23,"00"),"")&amp;IF($C94&gt;=25,", "&amp;$A94&amp;"-"&amp;TEXT(($D94-$C94+1)+24,"00"),""))</f>
        <v/>
      </c>
      <c r="G94">
        <f>IF($A94="","",IF($E94=1,$F94,IF($F94="",$G93,IF($G93="",$F94,$G93&amp;", "&amp;$F94))))</f>
        <v/>
      </c>
      <c r="H94">
        <f>IF($A94="","",$A94&amp;" ("&amp;$C94&amp;")")</f>
        <v/>
      </c>
      <c r="I94">
        <f>IF($A94="","",IF($E94=1,$H94,$I93&amp;", "&amp;$H94))</f>
        <v/>
      </c>
      <c r="J94">
        <f>IF($A94="","",IF($E94=1,$B94,""))</f>
        <v/>
      </c>
      <c r="K94">
        <f>IF($A94="","",IF(COUNTIF($B$2:$B94,$B94)=COUNTIF($B$2:$B$1601,$B94),$B94,""))</f>
        <v/>
      </c>
    </row>
    <row r="95">
      <c r="A95">
        <f>IF('TMP Paste'!$E95="","",'TMP Paste'!$E95)</f>
        <v/>
      </c>
      <c r="B95">
        <f>IF($A95="","",COUNTIF('TMP Paste'!$B$2:$B95,"?*"))</f>
        <v/>
      </c>
      <c r="C95">
        <f>IF($A95="","",IFERROR('TMP Paste'!$M95*1,0))</f>
        <v/>
      </c>
      <c r="D95">
        <f>IF($A95="","",SUMIF($B$2:$B95,$B95,$C$2:$C95))</f>
        <v/>
      </c>
      <c r="E95">
        <f>IF($A95="",0,IF('TMP Paste'!$B95="",0,1))</f>
        <v/>
      </c>
      <c r="F95">
        <f>IF(OR($A95="",$C95&lt;1),"",$A95&amp;"-"&amp;TEXT(($D95-$C95+1),"00")&amp;IF($C95&gt;=2,", "&amp;$A95&amp;"-"&amp;TEXT(($D95-$C95+1)+1,"00"),"")&amp;IF($C95&gt;=3,", "&amp;$A95&amp;"-"&amp;TEXT(($D95-$C95+1)+2,"00"),"")&amp;IF($C95&gt;=4,", "&amp;$A95&amp;"-"&amp;TEXT(($D95-$C95+1)+3,"00"),"")&amp;IF($C95&gt;=5,", "&amp;$A95&amp;"-"&amp;TEXT(($D95-$C95+1)+4,"00"),"")&amp;IF($C95&gt;=6,", "&amp;$A95&amp;"-"&amp;TEXT(($D95-$C95+1)+5,"00"),"")&amp;IF($C95&gt;=7,", "&amp;$A95&amp;"-"&amp;TEXT(($D95-$C95+1)+6,"00"),"")&amp;IF($C95&gt;=8,", "&amp;$A95&amp;"-"&amp;TEXT(($D95-$C95+1)+7,"00"),"")&amp;IF($C95&gt;=9,", "&amp;$A95&amp;"-"&amp;TEXT(($D95-$C95+1)+8,"00"),"")&amp;IF($C95&gt;=10,", "&amp;$A95&amp;"-"&amp;TEXT(($D95-$C95+1)+9,"00"),"")&amp;IF($C95&gt;=11,", "&amp;$A95&amp;"-"&amp;TEXT(($D95-$C95+1)+10,"00"),"")&amp;IF($C95&gt;=12,", "&amp;$A95&amp;"-"&amp;TEXT(($D95-$C95+1)+11,"00"),"")&amp;IF($C95&gt;=13,", "&amp;$A95&amp;"-"&amp;TEXT(($D95-$C95+1)+12,"00"),"")&amp;IF($C95&gt;=14,", "&amp;$A95&amp;"-"&amp;TEXT(($D95-$C95+1)+13,"00"),"")&amp;IF($C95&gt;=15,", "&amp;$A95&amp;"-"&amp;TEXT(($D95-$C95+1)+14,"00"),"")&amp;IF($C95&gt;=16,", "&amp;$A95&amp;"-"&amp;TEXT(($D95-$C95+1)+15,"00"),"")&amp;IF($C95&gt;=17,", "&amp;$A95&amp;"-"&amp;TEXT(($D95-$C95+1)+16,"00"),"")&amp;IF($C95&gt;=18,", "&amp;$A95&amp;"-"&amp;TEXT(($D95-$C95+1)+17,"00"),"")&amp;IF($C95&gt;=19,", "&amp;$A95&amp;"-"&amp;TEXT(($D95-$C95+1)+18,"00"),"")&amp;IF($C95&gt;=20,", "&amp;$A95&amp;"-"&amp;TEXT(($D95-$C95+1)+19,"00"),"")&amp;IF($C95&gt;=21,", "&amp;$A95&amp;"-"&amp;TEXT(($D95-$C95+1)+20,"00"),"")&amp;IF($C95&gt;=22,", "&amp;$A95&amp;"-"&amp;TEXT(($D95-$C95+1)+21,"00"),"")&amp;IF($C95&gt;=23,", "&amp;$A95&amp;"-"&amp;TEXT(($D95-$C95+1)+22,"00"),"")&amp;IF($C95&gt;=24,", "&amp;$A95&amp;"-"&amp;TEXT(($D95-$C95+1)+23,"00"),"")&amp;IF($C95&gt;=25,", "&amp;$A95&amp;"-"&amp;TEXT(($D95-$C95+1)+24,"00"),""))</f>
        <v/>
      </c>
      <c r="G95">
        <f>IF($A95="","",IF($E95=1,$F95,IF($F95="",$G94,IF($G94="",$F95,$G94&amp;", "&amp;$F95))))</f>
        <v/>
      </c>
      <c r="H95">
        <f>IF($A95="","",$A95&amp;" ("&amp;$C95&amp;")")</f>
        <v/>
      </c>
      <c r="I95">
        <f>IF($A95="","",IF($E95=1,$H95,$I94&amp;", "&amp;$H95))</f>
        <v/>
      </c>
      <c r="J95">
        <f>IF($A95="","",IF($E95=1,$B95,""))</f>
        <v/>
      </c>
      <c r="K95">
        <f>IF($A95="","",IF(COUNTIF($B$2:$B95,$B95)=COUNTIF($B$2:$B$1601,$B95),$B95,""))</f>
        <v/>
      </c>
    </row>
    <row r="96">
      <c r="A96">
        <f>IF('TMP Paste'!$E96="","",'TMP Paste'!$E96)</f>
        <v/>
      </c>
      <c r="B96">
        <f>IF($A96="","",COUNTIF('TMP Paste'!$B$2:$B96,"?*"))</f>
        <v/>
      </c>
      <c r="C96">
        <f>IF($A96="","",IFERROR('TMP Paste'!$M96*1,0))</f>
        <v/>
      </c>
      <c r="D96">
        <f>IF($A96="","",SUMIF($B$2:$B96,$B96,$C$2:$C96))</f>
        <v/>
      </c>
      <c r="E96">
        <f>IF($A96="",0,IF('TMP Paste'!$B96="",0,1))</f>
        <v/>
      </c>
      <c r="F96">
        <f>IF(OR($A96="",$C96&lt;1),"",$A96&amp;"-"&amp;TEXT(($D96-$C96+1),"00")&amp;IF($C96&gt;=2,", "&amp;$A96&amp;"-"&amp;TEXT(($D96-$C96+1)+1,"00"),"")&amp;IF($C96&gt;=3,", "&amp;$A96&amp;"-"&amp;TEXT(($D96-$C96+1)+2,"00"),"")&amp;IF($C96&gt;=4,", "&amp;$A96&amp;"-"&amp;TEXT(($D96-$C96+1)+3,"00"),"")&amp;IF($C96&gt;=5,", "&amp;$A96&amp;"-"&amp;TEXT(($D96-$C96+1)+4,"00"),"")&amp;IF($C96&gt;=6,", "&amp;$A96&amp;"-"&amp;TEXT(($D96-$C96+1)+5,"00"),"")&amp;IF($C96&gt;=7,", "&amp;$A96&amp;"-"&amp;TEXT(($D96-$C96+1)+6,"00"),"")&amp;IF($C96&gt;=8,", "&amp;$A96&amp;"-"&amp;TEXT(($D96-$C96+1)+7,"00"),"")&amp;IF($C96&gt;=9,", "&amp;$A96&amp;"-"&amp;TEXT(($D96-$C96+1)+8,"00"),"")&amp;IF($C96&gt;=10,", "&amp;$A96&amp;"-"&amp;TEXT(($D96-$C96+1)+9,"00"),"")&amp;IF($C96&gt;=11,", "&amp;$A96&amp;"-"&amp;TEXT(($D96-$C96+1)+10,"00"),"")&amp;IF($C96&gt;=12,", "&amp;$A96&amp;"-"&amp;TEXT(($D96-$C96+1)+11,"00"),"")&amp;IF($C96&gt;=13,", "&amp;$A96&amp;"-"&amp;TEXT(($D96-$C96+1)+12,"00"),"")&amp;IF($C96&gt;=14,", "&amp;$A96&amp;"-"&amp;TEXT(($D96-$C96+1)+13,"00"),"")&amp;IF($C96&gt;=15,", "&amp;$A96&amp;"-"&amp;TEXT(($D96-$C96+1)+14,"00"),"")&amp;IF($C96&gt;=16,", "&amp;$A96&amp;"-"&amp;TEXT(($D96-$C96+1)+15,"00"),"")&amp;IF($C96&gt;=17,", "&amp;$A96&amp;"-"&amp;TEXT(($D96-$C96+1)+16,"00"),"")&amp;IF($C96&gt;=18,", "&amp;$A96&amp;"-"&amp;TEXT(($D96-$C96+1)+17,"00"),"")&amp;IF($C96&gt;=19,", "&amp;$A96&amp;"-"&amp;TEXT(($D96-$C96+1)+18,"00"),"")&amp;IF($C96&gt;=20,", "&amp;$A96&amp;"-"&amp;TEXT(($D96-$C96+1)+19,"00"),"")&amp;IF($C96&gt;=21,", "&amp;$A96&amp;"-"&amp;TEXT(($D96-$C96+1)+20,"00"),"")&amp;IF($C96&gt;=22,", "&amp;$A96&amp;"-"&amp;TEXT(($D96-$C96+1)+21,"00"),"")&amp;IF($C96&gt;=23,", "&amp;$A96&amp;"-"&amp;TEXT(($D96-$C96+1)+22,"00"),"")&amp;IF($C96&gt;=24,", "&amp;$A96&amp;"-"&amp;TEXT(($D96-$C96+1)+23,"00"),"")&amp;IF($C96&gt;=25,", "&amp;$A96&amp;"-"&amp;TEXT(($D96-$C96+1)+24,"00"),""))</f>
        <v/>
      </c>
      <c r="G96">
        <f>IF($A96="","",IF($E96=1,$F96,IF($F96="",$G95,IF($G95="",$F96,$G95&amp;", "&amp;$F96))))</f>
        <v/>
      </c>
      <c r="H96">
        <f>IF($A96="","",$A96&amp;" ("&amp;$C96&amp;")")</f>
        <v/>
      </c>
      <c r="I96">
        <f>IF($A96="","",IF($E96=1,$H96,$I95&amp;", "&amp;$H96))</f>
        <v/>
      </c>
      <c r="J96">
        <f>IF($A96="","",IF($E96=1,$B96,""))</f>
        <v/>
      </c>
      <c r="K96">
        <f>IF($A96="","",IF(COUNTIF($B$2:$B96,$B96)=COUNTIF($B$2:$B$1601,$B96),$B96,""))</f>
        <v/>
      </c>
    </row>
    <row r="97">
      <c r="A97">
        <f>IF('TMP Paste'!$E97="","",'TMP Paste'!$E97)</f>
        <v/>
      </c>
      <c r="B97">
        <f>IF($A97="","",COUNTIF('TMP Paste'!$B$2:$B97,"?*"))</f>
        <v/>
      </c>
      <c r="C97">
        <f>IF($A97="","",IFERROR('TMP Paste'!$M97*1,0))</f>
        <v/>
      </c>
      <c r="D97">
        <f>IF($A97="","",SUMIF($B$2:$B97,$B97,$C$2:$C97))</f>
        <v/>
      </c>
      <c r="E97">
        <f>IF($A97="",0,IF('TMP Paste'!$B97="",0,1))</f>
        <v/>
      </c>
      <c r="F97">
        <f>IF(OR($A97="",$C97&lt;1),"",$A97&amp;"-"&amp;TEXT(($D97-$C97+1),"00")&amp;IF($C97&gt;=2,", "&amp;$A97&amp;"-"&amp;TEXT(($D97-$C97+1)+1,"00"),"")&amp;IF($C97&gt;=3,", "&amp;$A97&amp;"-"&amp;TEXT(($D97-$C97+1)+2,"00"),"")&amp;IF($C97&gt;=4,", "&amp;$A97&amp;"-"&amp;TEXT(($D97-$C97+1)+3,"00"),"")&amp;IF($C97&gt;=5,", "&amp;$A97&amp;"-"&amp;TEXT(($D97-$C97+1)+4,"00"),"")&amp;IF($C97&gt;=6,", "&amp;$A97&amp;"-"&amp;TEXT(($D97-$C97+1)+5,"00"),"")&amp;IF($C97&gt;=7,", "&amp;$A97&amp;"-"&amp;TEXT(($D97-$C97+1)+6,"00"),"")&amp;IF($C97&gt;=8,", "&amp;$A97&amp;"-"&amp;TEXT(($D97-$C97+1)+7,"00"),"")&amp;IF($C97&gt;=9,", "&amp;$A97&amp;"-"&amp;TEXT(($D97-$C97+1)+8,"00"),"")&amp;IF($C97&gt;=10,", "&amp;$A97&amp;"-"&amp;TEXT(($D97-$C97+1)+9,"00"),"")&amp;IF($C97&gt;=11,", "&amp;$A97&amp;"-"&amp;TEXT(($D97-$C97+1)+10,"00"),"")&amp;IF($C97&gt;=12,", "&amp;$A97&amp;"-"&amp;TEXT(($D97-$C97+1)+11,"00"),"")&amp;IF($C97&gt;=13,", "&amp;$A97&amp;"-"&amp;TEXT(($D97-$C97+1)+12,"00"),"")&amp;IF($C97&gt;=14,", "&amp;$A97&amp;"-"&amp;TEXT(($D97-$C97+1)+13,"00"),"")&amp;IF($C97&gt;=15,", "&amp;$A97&amp;"-"&amp;TEXT(($D97-$C97+1)+14,"00"),"")&amp;IF($C97&gt;=16,", "&amp;$A97&amp;"-"&amp;TEXT(($D97-$C97+1)+15,"00"),"")&amp;IF($C97&gt;=17,", "&amp;$A97&amp;"-"&amp;TEXT(($D97-$C97+1)+16,"00"),"")&amp;IF($C97&gt;=18,", "&amp;$A97&amp;"-"&amp;TEXT(($D97-$C97+1)+17,"00"),"")&amp;IF($C97&gt;=19,", "&amp;$A97&amp;"-"&amp;TEXT(($D97-$C97+1)+18,"00"),"")&amp;IF($C97&gt;=20,", "&amp;$A97&amp;"-"&amp;TEXT(($D97-$C97+1)+19,"00"),"")&amp;IF($C97&gt;=21,", "&amp;$A97&amp;"-"&amp;TEXT(($D97-$C97+1)+20,"00"),"")&amp;IF($C97&gt;=22,", "&amp;$A97&amp;"-"&amp;TEXT(($D97-$C97+1)+21,"00"),"")&amp;IF($C97&gt;=23,", "&amp;$A97&amp;"-"&amp;TEXT(($D97-$C97+1)+22,"00"),"")&amp;IF($C97&gt;=24,", "&amp;$A97&amp;"-"&amp;TEXT(($D97-$C97+1)+23,"00"),"")&amp;IF($C97&gt;=25,", "&amp;$A97&amp;"-"&amp;TEXT(($D97-$C97+1)+24,"00"),""))</f>
        <v/>
      </c>
      <c r="G97">
        <f>IF($A97="","",IF($E97=1,$F97,IF($F97="",$G96,IF($G96="",$F97,$G96&amp;", "&amp;$F97))))</f>
        <v/>
      </c>
      <c r="H97">
        <f>IF($A97="","",$A97&amp;" ("&amp;$C97&amp;")")</f>
        <v/>
      </c>
      <c r="I97">
        <f>IF($A97="","",IF($E97=1,$H97,$I96&amp;", "&amp;$H97))</f>
        <v/>
      </c>
      <c r="J97">
        <f>IF($A97="","",IF($E97=1,$B97,""))</f>
        <v/>
      </c>
      <c r="K97">
        <f>IF($A97="","",IF(COUNTIF($B$2:$B97,$B97)=COUNTIF($B$2:$B$1601,$B97),$B97,""))</f>
        <v/>
      </c>
    </row>
    <row r="98">
      <c r="A98">
        <f>IF('TMP Paste'!$E98="","",'TMP Paste'!$E98)</f>
        <v/>
      </c>
      <c r="B98">
        <f>IF($A98="","",COUNTIF('TMP Paste'!$B$2:$B98,"?*"))</f>
        <v/>
      </c>
      <c r="C98">
        <f>IF($A98="","",IFERROR('TMP Paste'!$M98*1,0))</f>
        <v/>
      </c>
      <c r="D98">
        <f>IF($A98="","",SUMIF($B$2:$B98,$B98,$C$2:$C98))</f>
        <v/>
      </c>
      <c r="E98">
        <f>IF($A98="",0,IF('TMP Paste'!$B98="",0,1))</f>
        <v/>
      </c>
      <c r="F98">
        <f>IF(OR($A98="",$C98&lt;1),"",$A98&amp;"-"&amp;TEXT(($D98-$C98+1),"00")&amp;IF($C98&gt;=2,", "&amp;$A98&amp;"-"&amp;TEXT(($D98-$C98+1)+1,"00"),"")&amp;IF($C98&gt;=3,", "&amp;$A98&amp;"-"&amp;TEXT(($D98-$C98+1)+2,"00"),"")&amp;IF($C98&gt;=4,", "&amp;$A98&amp;"-"&amp;TEXT(($D98-$C98+1)+3,"00"),"")&amp;IF($C98&gt;=5,", "&amp;$A98&amp;"-"&amp;TEXT(($D98-$C98+1)+4,"00"),"")&amp;IF($C98&gt;=6,", "&amp;$A98&amp;"-"&amp;TEXT(($D98-$C98+1)+5,"00"),"")&amp;IF($C98&gt;=7,", "&amp;$A98&amp;"-"&amp;TEXT(($D98-$C98+1)+6,"00"),"")&amp;IF($C98&gt;=8,", "&amp;$A98&amp;"-"&amp;TEXT(($D98-$C98+1)+7,"00"),"")&amp;IF($C98&gt;=9,", "&amp;$A98&amp;"-"&amp;TEXT(($D98-$C98+1)+8,"00"),"")&amp;IF($C98&gt;=10,", "&amp;$A98&amp;"-"&amp;TEXT(($D98-$C98+1)+9,"00"),"")&amp;IF($C98&gt;=11,", "&amp;$A98&amp;"-"&amp;TEXT(($D98-$C98+1)+10,"00"),"")&amp;IF($C98&gt;=12,", "&amp;$A98&amp;"-"&amp;TEXT(($D98-$C98+1)+11,"00"),"")&amp;IF($C98&gt;=13,", "&amp;$A98&amp;"-"&amp;TEXT(($D98-$C98+1)+12,"00"),"")&amp;IF($C98&gt;=14,", "&amp;$A98&amp;"-"&amp;TEXT(($D98-$C98+1)+13,"00"),"")&amp;IF($C98&gt;=15,", "&amp;$A98&amp;"-"&amp;TEXT(($D98-$C98+1)+14,"00"),"")&amp;IF($C98&gt;=16,", "&amp;$A98&amp;"-"&amp;TEXT(($D98-$C98+1)+15,"00"),"")&amp;IF($C98&gt;=17,", "&amp;$A98&amp;"-"&amp;TEXT(($D98-$C98+1)+16,"00"),"")&amp;IF($C98&gt;=18,", "&amp;$A98&amp;"-"&amp;TEXT(($D98-$C98+1)+17,"00"),"")&amp;IF($C98&gt;=19,", "&amp;$A98&amp;"-"&amp;TEXT(($D98-$C98+1)+18,"00"),"")&amp;IF($C98&gt;=20,", "&amp;$A98&amp;"-"&amp;TEXT(($D98-$C98+1)+19,"00"),"")&amp;IF($C98&gt;=21,", "&amp;$A98&amp;"-"&amp;TEXT(($D98-$C98+1)+20,"00"),"")&amp;IF($C98&gt;=22,", "&amp;$A98&amp;"-"&amp;TEXT(($D98-$C98+1)+21,"00"),"")&amp;IF($C98&gt;=23,", "&amp;$A98&amp;"-"&amp;TEXT(($D98-$C98+1)+22,"00"),"")&amp;IF($C98&gt;=24,", "&amp;$A98&amp;"-"&amp;TEXT(($D98-$C98+1)+23,"00"),"")&amp;IF($C98&gt;=25,", "&amp;$A98&amp;"-"&amp;TEXT(($D98-$C98+1)+24,"00"),""))</f>
        <v/>
      </c>
      <c r="G98">
        <f>IF($A98="","",IF($E98=1,$F98,IF($F98="",$G97,IF($G97="",$F98,$G97&amp;", "&amp;$F98))))</f>
        <v/>
      </c>
      <c r="H98">
        <f>IF($A98="","",$A98&amp;" ("&amp;$C98&amp;")")</f>
        <v/>
      </c>
      <c r="I98">
        <f>IF($A98="","",IF($E98=1,$H98,$I97&amp;", "&amp;$H98))</f>
        <v/>
      </c>
      <c r="J98">
        <f>IF($A98="","",IF($E98=1,$B98,""))</f>
        <v/>
      </c>
      <c r="K98">
        <f>IF($A98="","",IF(COUNTIF($B$2:$B98,$B98)=COUNTIF($B$2:$B$1601,$B98),$B98,""))</f>
        <v/>
      </c>
    </row>
    <row r="99">
      <c r="A99">
        <f>IF('TMP Paste'!$E99="","",'TMP Paste'!$E99)</f>
        <v/>
      </c>
      <c r="B99">
        <f>IF($A99="","",COUNTIF('TMP Paste'!$B$2:$B99,"?*"))</f>
        <v/>
      </c>
      <c r="C99">
        <f>IF($A99="","",IFERROR('TMP Paste'!$M99*1,0))</f>
        <v/>
      </c>
      <c r="D99">
        <f>IF($A99="","",SUMIF($B$2:$B99,$B99,$C$2:$C99))</f>
        <v/>
      </c>
      <c r="E99">
        <f>IF($A99="",0,IF('TMP Paste'!$B99="",0,1))</f>
        <v/>
      </c>
      <c r="F99">
        <f>IF(OR($A99="",$C99&lt;1),"",$A99&amp;"-"&amp;TEXT(($D99-$C99+1),"00")&amp;IF($C99&gt;=2,", "&amp;$A99&amp;"-"&amp;TEXT(($D99-$C99+1)+1,"00"),"")&amp;IF($C99&gt;=3,", "&amp;$A99&amp;"-"&amp;TEXT(($D99-$C99+1)+2,"00"),"")&amp;IF($C99&gt;=4,", "&amp;$A99&amp;"-"&amp;TEXT(($D99-$C99+1)+3,"00"),"")&amp;IF($C99&gt;=5,", "&amp;$A99&amp;"-"&amp;TEXT(($D99-$C99+1)+4,"00"),"")&amp;IF($C99&gt;=6,", "&amp;$A99&amp;"-"&amp;TEXT(($D99-$C99+1)+5,"00"),"")&amp;IF($C99&gt;=7,", "&amp;$A99&amp;"-"&amp;TEXT(($D99-$C99+1)+6,"00"),"")&amp;IF($C99&gt;=8,", "&amp;$A99&amp;"-"&amp;TEXT(($D99-$C99+1)+7,"00"),"")&amp;IF($C99&gt;=9,", "&amp;$A99&amp;"-"&amp;TEXT(($D99-$C99+1)+8,"00"),"")&amp;IF($C99&gt;=10,", "&amp;$A99&amp;"-"&amp;TEXT(($D99-$C99+1)+9,"00"),"")&amp;IF($C99&gt;=11,", "&amp;$A99&amp;"-"&amp;TEXT(($D99-$C99+1)+10,"00"),"")&amp;IF($C99&gt;=12,", "&amp;$A99&amp;"-"&amp;TEXT(($D99-$C99+1)+11,"00"),"")&amp;IF($C99&gt;=13,", "&amp;$A99&amp;"-"&amp;TEXT(($D99-$C99+1)+12,"00"),"")&amp;IF($C99&gt;=14,", "&amp;$A99&amp;"-"&amp;TEXT(($D99-$C99+1)+13,"00"),"")&amp;IF($C99&gt;=15,", "&amp;$A99&amp;"-"&amp;TEXT(($D99-$C99+1)+14,"00"),"")&amp;IF($C99&gt;=16,", "&amp;$A99&amp;"-"&amp;TEXT(($D99-$C99+1)+15,"00"),"")&amp;IF($C99&gt;=17,", "&amp;$A99&amp;"-"&amp;TEXT(($D99-$C99+1)+16,"00"),"")&amp;IF($C99&gt;=18,", "&amp;$A99&amp;"-"&amp;TEXT(($D99-$C99+1)+17,"00"),"")&amp;IF($C99&gt;=19,", "&amp;$A99&amp;"-"&amp;TEXT(($D99-$C99+1)+18,"00"),"")&amp;IF($C99&gt;=20,", "&amp;$A99&amp;"-"&amp;TEXT(($D99-$C99+1)+19,"00"),"")&amp;IF($C99&gt;=21,", "&amp;$A99&amp;"-"&amp;TEXT(($D99-$C99+1)+20,"00"),"")&amp;IF($C99&gt;=22,", "&amp;$A99&amp;"-"&amp;TEXT(($D99-$C99+1)+21,"00"),"")&amp;IF($C99&gt;=23,", "&amp;$A99&amp;"-"&amp;TEXT(($D99-$C99+1)+22,"00"),"")&amp;IF($C99&gt;=24,", "&amp;$A99&amp;"-"&amp;TEXT(($D99-$C99+1)+23,"00"),"")&amp;IF($C99&gt;=25,", "&amp;$A99&amp;"-"&amp;TEXT(($D99-$C99+1)+24,"00"),""))</f>
        <v/>
      </c>
      <c r="G99">
        <f>IF($A99="","",IF($E99=1,$F99,IF($F99="",$G98,IF($G98="",$F99,$G98&amp;", "&amp;$F99))))</f>
        <v/>
      </c>
      <c r="H99">
        <f>IF($A99="","",$A99&amp;" ("&amp;$C99&amp;")")</f>
        <v/>
      </c>
      <c r="I99">
        <f>IF($A99="","",IF($E99=1,$H99,$I98&amp;", "&amp;$H99))</f>
        <v/>
      </c>
      <c r="J99">
        <f>IF($A99="","",IF($E99=1,$B99,""))</f>
        <v/>
      </c>
      <c r="K99">
        <f>IF($A99="","",IF(COUNTIF($B$2:$B99,$B99)=COUNTIF($B$2:$B$1601,$B99),$B99,""))</f>
        <v/>
      </c>
    </row>
    <row r="100">
      <c r="A100">
        <f>IF('TMP Paste'!$E100="","",'TMP Paste'!$E100)</f>
        <v/>
      </c>
      <c r="B100">
        <f>IF($A100="","",COUNTIF('TMP Paste'!$B$2:$B100,"?*"))</f>
        <v/>
      </c>
      <c r="C100">
        <f>IF($A100="","",IFERROR('TMP Paste'!$M100*1,0))</f>
        <v/>
      </c>
      <c r="D100">
        <f>IF($A100="","",SUMIF($B$2:$B100,$B100,$C$2:$C100))</f>
        <v/>
      </c>
      <c r="E100">
        <f>IF($A100="",0,IF('TMP Paste'!$B100="",0,1))</f>
        <v/>
      </c>
      <c r="F100">
        <f>IF(OR($A100="",$C100&lt;1),"",$A100&amp;"-"&amp;TEXT(($D100-$C100+1),"00")&amp;IF($C100&gt;=2,", "&amp;$A100&amp;"-"&amp;TEXT(($D100-$C100+1)+1,"00"),"")&amp;IF($C100&gt;=3,", "&amp;$A100&amp;"-"&amp;TEXT(($D100-$C100+1)+2,"00"),"")&amp;IF($C100&gt;=4,", "&amp;$A100&amp;"-"&amp;TEXT(($D100-$C100+1)+3,"00"),"")&amp;IF($C100&gt;=5,", "&amp;$A100&amp;"-"&amp;TEXT(($D100-$C100+1)+4,"00"),"")&amp;IF($C100&gt;=6,", "&amp;$A100&amp;"-"&amp;TEXT(($D100-$C100+1)+5,"00"),"")&amp;IF($C100&gt;=7,", "&amp;$A100&amp;"-"&amp;TEXT(($D100-$C100+1)+6,"00"),"")&amp;IF($C100&gt;=8,", "&amp;$A100&amp;"-"&amp;TEXT(($D100-$C100+1)+7,"00"),"")&amp;IF($C100&gt;=9,", "&amp;$A100&amp;"-"&amp;TEXT(($D100-$C100+1)+8,"00"),"")&amp;IF($C100&gt;=10,", "&amp;$A100&amp;"-"&amp;TEXT(($D100-$C100+1)+9,"00"),"")&amp;IF($C100&gt;=11,", "&amp;$A100&amp;"-"&amp;TEXT(($D100-$C100+1)+10,"00"),"")&amp;IF($C100&gt;=12,", "&amp;$A100&amp;"-"&amp;TEXT(($D100-$C100+1)+11,"00"),"")&amp;IF($C100&gt;=13,", "&amp;$A100&amp;"-"&amp;TEXT(($D100-$C100+1)+12,"00"),"")&amp;IF($C100&gt;=14,", "&amp;$A100&amp;"-"&amp;TEXT(($D100-$C100+1)+13,"00"),"")&amp;IF($C100&gt;=15,", "&amp;$A100&amp;"-"&amp;TEXT(($D100-$C100+1)+14,"00"),"")&amp;IF($C100&gt;=16,", "&amp;$A100&amp;"-"&amp;TEXT(($D100-$C100+1)+15,"00"),"")&amp;IF($C100&gt;=17,", "&amp;$A100&amp;"-"&amp;TEXT(($D100-$C100+1)+16,"00"),"")&amp;IF($C100&gt;=18,", "&amp;$A100&amp;"-"&amp;TEXT(($D100-$C100+1)+17,"00"),"")&amp;IF($C100&gt;=19,", "&amp;$A100&amp;"-"&amp;TEXT(($D100-$C100+1)+18,"00"),"")&amp;IF($C100&gt;=20,", "&amp;$A100&amp;"-"&amp;TEXT(($D100-$C100+1)+19,"00"),"")&amp;IF($C100&gt;=21,", "&amp;$A100&amp;"-"&amp;TEXT(($D100-$C100+1)+20,"00"),"")&amp;IF($C100&gt;=22,", "&amp;$A100&amp;"-"&amp;TEXT(($D100-$C100+1)+21,"00"),"")&amp;IF($C100&gt;=23,", "&amp;$A100&amp;"-"&amp;TEXT(($D100-$C100+1)+22,"00"),"")&amp;IF($C100&gt;=24,", "&amp;$A100&amp;"-"&amp;TEXT(($D100-$C100+1)+23,"00"),"")&amp;IF($C100&gt;=25,", "&amp;$A100&amp;"-"&amp;TEXT(($D100-$C100+1)+24,"00"),""))</f>
        <v/>
      </c>
      <c r="G100">
        <f>IF($A100="","",IF($E100=1,$F100,IF($F100="",$G99,IF($G99="",$F100,$G99&amp;", "&amp;$F100))))</f>
        <v/>
      </c>
      <c r="H100">
        <f>IF($A100="","",$A100&amp;" ("&amp;$C100&amp;")")</f>
        <v/>
      </c>
      <c r="I100">
        <f>IF($A100="","",IF($E100=1,$H100,$I99&amp;", "&amp;$H100))</f>
        <v/>
      </c>
      <c r="J100">
        <f>IF($A100="","",IF($E100=1,$B100,""))</f>
        <v/>
      </c>
      <c r="K100">
        <f>IF($A100="","",IF(COUNTIF($B$2:$B100,$B100)=COUNTIF($B$2:$B$1601,$B100),$B100,""))</f>
        <v/>
      </c>
    </row>
    <row r="101">
      <c r="A101">
        <f>IF('TMP Paste'!$E101="","",'TMP Paste'!$E101)</f>
        <v/>
      </c>
      <c r="B101">
        <f>IF($A101="","",COUNTIF('TMP Paste'!$B$2:$B101,"?*"))</f>
        <v/>
      </c>
      <c r="C101">
        <f>IF($A101="","",IFERROR('TMP Paste'!$M101*1,0))</f>
        <v/>
      </c>
      <c r="D101">
        <f>IF($A101="","",SUMIF($B$2:$B101,$B101,$C$2:$C101))</f>
        <v/>
      </c>
      <c r="E101">
        <f>IF($A101="",0,IF('TMP Paste'!$B101="",0,1))</f>
        <v/>
      </c>
      <c r="F101">
        <f>IF(OR($A101="",$C101&lt;1),"",$A101&amp;"-"&amp;TEXT(($D101-$C101+1),"00")&amp;IF($C101&gt;=2,", "&amp;$A101&amp;"-"&amp;TEXT(($D101-$C101+1)+1,"00"),"")&amp;IF($C101&gt;=3,", "&amp;$A101&amp;"-"&amp;TEXT(($D101-$C101+1)+2,"00"),"")&amp;IF($C101&gt;=4,", "&amp;$A101&amp;"-"&amp;TEXT(($D101-$C101+1)+3,"00"),"")&amp;IF($C101&gt;=5,", "&amp;$A101&amp;"-"&amp;TEXT(($D101-$C101+1)+4,"00"),"")&amp;IF($C101&gt;=6,", "&amp;$A101&amp;"-"&amp;TEXT(($D101-$C101+1)+5,"00"),"")&amp;IF($C101&gt;=7,", "&amp;$A101&amp;"-"&amp;TEXT(($D101-$C101+1)+6,"00"),"")&amp;IF($C101&gt;=8,", "&amp;$A101&amp;"-"&amp;TEXT(($D101-$C101+1)+7,"00"),"")&amp;IF($C101&gt;=9,", "&amp;$A101&amp;"-"&amp;TEXT(($D101-$C101+1)+8,"00"),"")&amp;IF($C101&gt;=10,", "&amp;$A101&amp;"-"&amp;TEXT(($D101-$C101+1)+9,"00"),"")&amp;IF($C101&gt;=11,", "&amp;$A101&amp;"-"&amp;TEXT(($D101-$C101+1)+10,"00"),"")&amp;IF($C101&gt;=12,", "&amp;$A101&amp;"-"&amp;TEXT(($D101-$C101+1)+11,"00"),"")&amp;IF($C101&gt;=13,", "&amp;$A101&amp;"-"&amp;TEXT(($D101-$C101+1)+12,"00"),"")&amp;IF($C101&gt;=14,", "&amp;$A101&amp;"-"&amp;TEXT(($D101-$C101+1)+13,"00"),"")&amp;IF($C101&gt;=15,", "&amp;$A101&amp;"-"&amp;TEXT(($D101-$C101+1)+14,"00"),"")&amp;IF($C101&gt;=16,", "&amp;$A101&amp;"-"&amp;TEXT(($D101-$C101+1)+15,"00"),"")&amp;IF($C101&gt;=17,", "&amp;$A101&amp;"-"&amp;TEXT(($D101-$C101+1)+16,"00"),"")&amp;IF($C101&gt;=18,", "&amp;$A101&amp;"-"&amp;TEXT(($D101-$C101+1)+17,"00"),"")&amp;IF($C101&gt;=19,", "&amp;$A101&amp;"-"&amp;TEXT(($D101-$C101+1)+18,"00"),"")&amp;IF($C101&gt;=20,", "&amp;$A101&amp;"-"&amp;TEXT(($D101-$C101+1)+19,"00"),"")&amp;IF($C101&gt;=21,", "&amp;$A101&amp;"-"&amp;TEXT(($D101-$C101+1)+20,"00"),"")&amp;IF($C101&gt;=22,", "&amp;$A101&amp;"-"&amp;TEXT(($D101-$C101+1)+21,"00"),"")&amp;IF($C101&gt;=23,", "&amp;$A101&amp;"-"&amp;TEXT(($D101-$C101+1)+22,"00"),"")&amp;IF($C101&gt;=24,", "&amp;$A101&amp;"-"&amp;TEXT(($D101-$C101+1)+23,"00"),"")&amp;IF($C101&gt;=25,", "&amp;$A101&amp;"-"&amp;TEXT(($D101-$C101+1)+24,"00"),""))</f>
        <v/>
      </c>
      <c r="G101">
        <f>IF($A101="","",IF($E101=1,$F101,IF($F101="",$G100,IF($G100="",$F101,$G100&amp;", "&amp;$F101))))</f>
        <v/>
      </c>
      <c r="H101">
        <f>IF($A101="","",$A101&amp;" ("&amp;$C101&amp;")")</f>
        <v/>
      </c>
      <c r="I101">
        <f>IF($A101="","",IF($E101=1,$H101,$I100&amp;", "&amp;$H101))</f>
        <v/>
      </c>
      <c r="J101">
        <f>IF($A101="","",IF($E101=1,$B101,""))</f>
        <v/>
      </c>
      <c r="K101">
        <f>IF($A101="","",IF(COUNTIF($B$2:$B101,$B101)=COUNTIF($B$2:$B$1601,$B101),$B101,""))</f>
        <v/>
      </c>
    </row>
    <row r="102">
      <c r="A102">
        <f>IF('TMP Paste'!$E102="","",'TMP Paste'!$E102)</f>
        <v/>
      </c>
      <c r="B102">
        <f>IF($A102="","",COUNTIF('TMP Paste'!$B$2:$B102,"?*"))</f>
        <v/>
      </c>
      <c r="C102">
        <f>IF($A102="","",IFERROR('TMP Paste'!$M102*1,0))</f>
        <v/>
      </c>
      <c r="D102">
        <f>IF($A102="","",SUMIF($B$2:$B102,$B102,$C$2:$C102))</f>
        <v/>
      </c>
      <c r="E102">
        <f>IF($A102="",0,IF('TMP Paste'!$B102="",0,1))</f>
        <v/>
      </c>
      <c r="F102">
        <f>IF(OR($A102="",$C102&lt;1),"",$A102&amp;"-"&amp;TEXT(($D102-$C102+1),"00")&amp;IF($C102&gt;=2,", "&amp;$A102&amp;"-"&amp;TEXT(($D102-$C102+1)+1,"00"),"")&amp;IF($C102&gt;=3,", "&amp;$A102&amp;"-"&amp;TEXT(($D102-$C102+1)+2,"00"),"")&amp;IF($C102&gt;=4,", "&amp;$A102&amp;"-"&amp;TEXT(($D102-$C102+1)+3,"00"),"")&amp;IF($C102&gt;=5,", "&amp;$A102&amp;"-"&amp;TEXT(($D102-$C102+1)+4,"00"),"")&amp;IF($C102&gt;=6,", "&amp;$A102&amp;"-"&amp;TEXT(($D102-$C102+1)+5,"00"),"")&amp;IF($C102&gt;=7,", "&amp;$A102&amp;"-"&amp;TEXT(($D102-$C102+1)+6,"00"),"")&amp;IF($C102&gt;=8,", "&amp;$A102&amp;"-"&amp;TEXT(($D102-$C102+1)+7,"00"),"")&amp;IF($C102&gt;=9,", "&amp;$A102&amp;"-"&amp;TEXT(($D102-$C102+1)+8,"00"),"")&amp;IF($C102&gt;=10,", "&amp;$A102&amp;"-"&amp;TEXT(($D102-$C102+1)+9,"00"),"")&amp;IF($C102&gt;=11,", "&amp;$A102&amp;"-"&amp;TEXT(($D102-$C102+1)+10,"00"),"")&amp;IF($C102&gt;=12,", "&amp;$A102&amp;"-"&amp;TEXT(($D102-$C102+1)+11,"00"),"")&amp;IF($C102&gt;=13,", "&amp;$A102&amp;"-"&amp;TEXT(($D102-$C102+1)+12,"00"),"")&amp;IF($C102&gt;=14,", "&amp;$A102&amp;"-"&amp;TEXT(($D102-$C102+1)+13,"00"),"")&amp;IF($C102&gt;=15,", "&amp;$A102&amp;"-"&amp;TEXT(($D102-$C102+1)+14,"00"),"")&amp;IF($C102&gt;=16,", "&amp;$A102&amp;"-"&amp;TEXT(($D102-$C102+1)+15,"00"),"")&amp;IF($C102&gt;=17,", "&amp;$A102&amp;"-"&amp;TEXT(($D102-$C102+1)+16,"00"),"")&amp;IF($C102&gt;=18,", "&amp;$A102&amp;"-"&amp;TEXT(($D102-$C102+1)+17,"00"),"")&amp;IF($C102&gt;=19,", "&amp;$A102&amp;"-"&amp;TEXT(($D102-$C102+1)+18,"00"),"")&amp;IF($C102&gt;=20,", "&amp;$A102&amp;"-"&amp;TEXT(($D102-$C102+1)+19,"00"),"")&amp;IF($C102&gt;=21,", "&amp;$A102&amp;"-"&amp;TEXT(($D102-$C102+1)+20,"00"),"")&amp;IF($C102&gt;=22,", "&amp;$A102&amp;"-"&amp;TEXT(($D102-$C102+1)+21,"00"),"")&amp;IF($C102&gt;=23,", "&amp;$A102&amp;"-"&amp;TEXT(($D102-$C102+1)+22,"00"),"")&amp;IF($C102&gt;=24,", "&amp;$A102&amp;"-"&amp;TEXT(($D102-$C102+1)+23,"00"),"")&amp;IF($C102&gt;=25,", "&amp;$A102&amp;"-"&amp;TEXT(($D102-$C102+1)+24,"00"),""))</f>
        <v/>
      </c>
      <c r="G102">
        <f>IF($A102="","",IF($E102=1,$F102,IF($F102="",$G101,IF($G101="",$F102,$G101&amp;", "&amp;$F102))))</f>
        <v/>
      </c>
      <c r="H102">
        <f>IF($A102="","",$A102&amp;" ("&amp;$C102&amp;")")</f>
        <v/>
      </c>
      <c r="I102">
        <f>IF($A102="","",IF($E102=1,$H102,$I101&amp;", "&amp;$H102))</f>
        <v/>
      </c>
      <c r="J102">
        <f>IF($A102="","",IF($E102=1,$B102,""))</f>
        <v/>
      </c>
      <c r="K102">
        <f>IF($A102="","",IF(COUNTIF($B$2:$B102,$B102)=COUNTIF($B$2:$B$1601,$B102),$B102,""))</f>
        <v/>
      </c>
    </row>
    <row r="103">
      <c r="A103">
        <f>IF('TMP Paste'!$E103="","",'TMP Paste'!$E103)</f>
        <v/>
      </c>
      <c r="B103">
        <f>IF($A103="","",COUNTIF('TMP Paste'!$B$2:$B103,"?*"))</f>
        <v/>
      </c>
      <c r="C103">
        <f>IF($A103="","",IFERROR('TMP Paste'!$M103*1,0))</f>
        <v/>
      </c>
      <c r="D103">
        <f>IF($A103="","",SUMIF($B$2:$B103,$B103,$C$2:$C103))</f>
        <v/>
      </c>
      <c r="E103">
        <f>IF($A103="",0,IF('TMP Paste'!$B103="",0,1))</f>
        <v/>
      </c>
      <c r="F103">
        <f>IF(OR($A103="",$C103&lt;1),"",$A103&amp;"-"&amp;TEXT(($D103-$C103+1),"00")&amp;IF($C103&gt;=2,", "&amp;$A103&amp;"-"&amp;TEXT(($D103-$C103+1)+1,"00"),"")&amp;IF($C103&gt;=3,", "&amp;$A103&amp;"-"&amp;TEXT(($D103-$C103+1)+2,"00"),"")&amp;IF($C103&gt;=4,", "&amp;$A103&amp;"-"&amp;TEXT(($D103-$C103+1)+3,"00"),"")&amp;IF($C103&gt;=5,", "&amp;$A103&amp;"-"&amp;TEXT(($D103-$C103+1)+4,"00"),"")&amp;IF($C103&gt;=6,", "&amp;$A103&amp;"-"&amp;TEXT(($D103-$C103+1)+5,"00"),"")&amp;IF($C103&gt;=7,", "&amp;$A103&amp;"-"&amp;TEXT(($D103-$C103+1)+6,"00"),"")&amp;IF($C103&gt;=8,", "&amp;$A103&amp;"-"&amp;TEXT(($D103-$C103+1)+7,"00"),"")&amp;IF($C103&gt;=9,", "&amp;$A103&amp;"-"&amp;TEXT(($D103-$C103+1)+8,"00"),"")&amp;IF($C103&gt;=10,", "&amp;$A103&amp;"-"&amp;TEXT(($D103-$C103+1)+9,"00"),"")&amp;IF($C103&gt;=11,", "&amp;$A103&amp;"-"&amp;TEXT(($D103-$C103+1)+10,"00"),"")&amp;IF($C103&gt;=12,", "&amp;$A103&amp;"-"&amp;TEXT(($D103-$C103+1)+11,"00"),"")&amp;IF($C103&gt;=13,", "&amp;$A103&amp;"-"&amp;TEXT(($D103-$C103+1)+12,"00"),"")&amp;IF($C103&gt;=14,", "&amp;$A103&amp;"-"&amp;TEXT(($D103-$C103+1)+13,"00"),"")&amp;IF($C103&gt;=15,", "&amp;$A103&amp;"-"&amp;TEXT(($D103-$C103+1)+14,"00"),"")&amp;IF($C103&gt;=16,", "&amp;$A103&amp;"-"&amp;TEXT(($D103-$C103+1)+15,"00"),"")&amp;IF($C103&gt;=17,", "&amp;$A103&amp;"-"&amp;TEXT(($D103-$C103+1)+16,"00"),"")&amp;IF($C103&gt;=18,", "&amp;$A103&amp;"-"&amp;TEXT(($D103-$C103+1)+17,"00"),"")&amp;IF($C103&gt;=19,", "&amp;$A103&amp;"-"&amp;TEXT(($D103-$C103+1)+18,"00"),"")&amp;IF($C103&gt;=20,", "&amp;$A103&amp;"-"&amp;TEXT(($D103-$C103+1)+19,"00"),"")&amp;IF($C103&gt;=21,", "&amp;$A103&amp;"-"&amp;TEXT(($D103-$C103+1)+20,"00"),"")&amp;IF($C103&gt;=22,", "&amp;$A103&amp;"-"&amp;TEXT(($D103-$C103+1)+21,"00"),"")&amp;IF($C103&gt;=23,", "&amp;$A103&amp;"-"&amp;TEXT(($D103-$C103+1)+22,"00"),"")&amp;IF($C103&gt;=24,", "&amp;$A103&amp;"-"&amp;TEXT(($D103-$C103+1)+23,"00"),"")&amp;IF($C103&gt;=25,", "&amp;$A103&amp;"-"&amp;TEXT(($D103-$C103+1)+24,"00"),""))</f>
        <v/>
      </c>
      <c r="G103">
        <f>IF($A103="","",IF($E103=1,$F103,IF($F103="",$G102,IF($G102="",$F103,$G102&amp;", "&amp;$F103))))</f>
        <v/>
      </c>
      <c r="H103">
        <f>IF($A103="","",$A103&amp;" ("&amp;$C103&amp;")")</f>
        <v/>
      </c>
      <c r="I103">
        <f>IF($A103="","",IF($E103=1,$H103,$I102&amp;", "&amp;$H103))</f>
        <v/>
      </c>
      <c r="J103">
        <f>IF($A103="","",IF($E103=1,$B103,""))</f>
        <v/>
      </c>
      <c r="K103">
        <f>IF($A103="","",IF(COUNTIF($B$2:$B103,$B103)=COUNTIF($B$2:$B$1601,$B103),$B103,""))</f>
        <v/>
      </c>
    </row>
    <row r="104">
      <c r="A104">
        <f>IF('TMP Paste'!$E104="","",'TMP Paste'!$E104)</f>
        <v/>
      </c>
      <c r="B104">
        <f>IF($A104="","",COUNTIF('TMP Paste'!$B$2:$B104,"?*"))</f>
        <v/>
      </c>
      <c r="C104">
        <f>IF($A104="","",IFERROR('TMP Paste'!$M104*1,0))</f>
        <v/>
      </c>
      <c r="D104">
        <f>IF($A104="","",SUMIF($B$2:$B104,$B104,$C$2:$C104))</f>
        <v/>
      </c>
      <c r="E104">
        <f>IF($A104="",0,IF('TMP Paste'!$B104="",0,1))</f>
        <v/>
      </c>
      <c r="F104">
        <f>IF(OR($A104="",$C104&lt;1),"",$A104&amp;"-"&amp;TEXT(($D104-$C104+1),"00")&amp;IF($C104&gt;=2,", "&amp;$A104&amp;"-"&amp;TEXT(($D104-$C104+1)+1,"00"),"")&amp;IF($C104&gt;=3,", "&amp;$A104&amp;"-"&amp;TEXT(($D104-$C104+1)+2,"00"),"")&amp;IF($C104&gt;=4,", "&amp;$A104&amp;"-"&amp;TEXT(($D104-$C104+1)+3,"00"),"")&amp;IF($C104&gt;=5,", "&amp;$A104&amp;"-"&amp;TEXT(($D104-$C104+1)+4,"00"),"")&amp;IF($C104&gt;=6,", "&amp;$A104&amp;"-"&amp;TEXT(($D104-$C104+1)+5,"00"),"")&amp;IF($C104&gt;=7,", "&amp;$A104&amp;"-"&amp;TEXT(($D104-$C104+1)+6,"00"),"")&amp;IF($C104&gt;=8,", "&amp;$A104&amp;"-"&amp;TEXT(($D104-$C104+1)+7,"00"),"")&amp;IF($C104&gt;=9,", "&amp;$A104&amp;"-"&amp;TEXT(($D104-$C104+1)+8,"00"),"")&amp;IF($C104&gt;=10,", "&amp;$A104&amp;"-"&amp;TEXT(($D104-$C104+1)+9,"00"),"")&amp;IF($C104&gt;=11,", "&amp;$A104&amp;"-"&amp;TEXT(($D104-$C104+1)+10,"00"),"")&amp;IF($C104&gt;=12,", "&amp;$A104&amp;"-"&amp;TEXT(($D104-$C104+1)+11,"00"),"")&amp;IF($C104&gt;=13,", "&amp;$A104&amp;"-"&amp;TEXT(($D104-$C104+1)+12,"00"),"")&amp;IF($C104&gt;=14,", "&amp;$A104&amp;"-"&amp;TEXT(($D104-$C104+1)+13,"00"),"")&amp;IF($C104&gt;=15,", "&amp;$A104&amp;"-"&amp;TEXT(($D104-$C104+1)+14,"00"),"")&amp;IF($C104&gt;=16,", "&amp;$A104&amp;"-"&amp;TEXT(($D104-$C104+1)+15,"00"),"")&amp;IF($C104&gt;=17,", "&amp;$A104&amp;"-"&amp;TEXT(($D104-$C104+1)+16,"00"),"")&amp;IF($C104&gt;=18,", "&amp;$A104&amp;"-"&amp;TEXT(($D104-$C104+1)+17,"00"),"")&amp;IF($C104&gt;=19,", "&amp;$A104&amp;"-"&amp;TEXT(($D104-$C104+1)+18,"00"),"")&amp;IF($C104&gt;=20,", "&amp;$A104&amp;"-"&amp;TEXT(($D104-$C104+1)+19,"00"),"")&amp;IF($C104&gt;=21,", "&amp;$A104&amp;"-"&amp;TEXT(($D104-$C104+1)+20,"00"),"")&amp;IF($C104&gt;=22,", "&amp;$A104&amp;"-"&amp;TEXT(($D104-$C104+1)+21,"00"),"")&amp;IF($C104&gt;=23,", "&amp;$A104&amp;"-"&amp;TEXT(($D104-$C104+1)+22,"00"),"")&amp;IF($C104&gt;=24,", "&amp;$A104&amp;"-"&amp;TEXT(($D104-$C104+1)+23,"00"),"")&amp;IF($C104&gt;=25,", "&amp;$A104&amp;"-"&amp;TEXT(($D104-$C104+1)+24,"00"),""))</f>
        <v/>
      </c>
      <c r="G104">
        <f>IF($A104="","",IF($E104=1,$F104,IF($F104="",$G103,IF($G103="",$F104,$G103&amp;", "&amp;$F104))))</f>
        <v/>
      </c>
      <c r="H104">
        <f>IF($A104="","",$A104&amp;" ("&amp;$C104&amp;")")</f>
        <v/>
      </c>
      <c r="I104">
        <f>IF($A104="","",IF($E104=1,$H104,$I103&amp;", "&amp;$H104))</f>
        <v/>
      </c>
      <c r="J104">
        <f>IF($A104="","",IF($E104=1,$B104,""))</f>
        <v/>
      </c>
      <c r="K104">
        <f>IF($A104="","",IF(COUNTIF($B$2:$B104,$B104)=COUNTIF($B$2:$B$1601,$B104),$B104,""))</f>
        <v/>
      </c>
    </row>
    <row r="105">
      <c r="A105">
        <f>IF('TMP Paste'!$E105="","",'TMP Paste'!$E105)</f>
        <v/>
      </c>
      <c r="B105">
        <f>IF($A105="","",COUNTIF('TMP Paste'!$B$2:$B105,"?*"))</f>
        <v/>
      </c>
      <c r="C105">
        <f>IF($A105="","",IFERROR('TMP Paste'!$M105*1,0))</f>
        <v/>
      </c>
      <c r="D105">
        <f>IF($A105="","",SUMIF($B$2:$B105,$B105,$C$2:$C105))</f>
        <v/>
      </c>
      <c r="E105">
        <f>IF($A105="",0,IF('TMP Paste'!$B105="",0,1))</f>
        <v/>
      </c>
      <c r="F105">
        <f>IF(OR($A105="",$C105&lt;1),"",$A105&amp;"-"&amp;TEXT(($D105-$C105+1),"00")&amp;IF($C105&gt;=2,", "&amp;$A105&amp;"-"&amp;TEXT(($D105-$C105+1)+1,"00"),"")&amp;IF($C105&gt;=3,", "&amp;$A105&amp;"-"&amp;TEXT(($D105-$C105+1)+2,"00"),"")&amp;IF($C105&gt;=4,", "&amp;$A105&amp;"-"&amp;TEXT(($D105-$C105+1)+3,"00"),"")&amp;IF($C105&gt;=5,", "&amp;$A105&amp;"-"&amp;TEXT(($D105-$C105+1)+4,"00"),"")&amp;IF($C105&gt;=6,", "&amp;$A105&amp;"-"&amp;TEXT(($D105-$C105+1)+5,"00"),"")&amp;IF($C105&gt;=7,", "&amp;$A105&amp;"-"&amp;TEXT(($D105-$C105+1)+6,"00"),"")&amp;IF($C105&gt;=8,", "&amp;$A105&amp;"-"&amp;TEXT(($D105-$C105+1)+7,"00"),"")&amp;IF($C105&gt;=9,", "&amp;$A105&amp;"-"&amp;TEXT(($D105-$C105+1)+8,"00"),"")&amp;IF($C105&gt;=10,", "&amp;$A105&amp;"-"&amp;TEXT(($D105-$C105+1)+9,"00"),"")&amp;IF($C105&gt;=11,", "&amp;$A105&amp;"-"&amp;TEXT(($D105-$C105+1)+10,"00"),"")&amp;IF($C105&gt;=12,", "&amp;$A105&amp;"-"&amp;TEXT(($D105-$C105+1)+11,"00"),"")&amp;IF($C105&gt;=13,", "&amp;$A105&amp;"-"&amp;TEXT(($D105-$C105+1)+12,"00"),"")&amp;IF($C105&gt;=14,", "&amp;$A105&amp;"-"&amp;TEXT(($D105-$C105+1)+13,"00"),"")&amp;IF($C105&gt;=15,", "&amp;$A105&amp;"-"&amp;TEXT(($D105-$C105+1)+14,"00"),"")&amp;IF($C105&gt;=16,", "&amp;$A105&amp;"-"&amp;TEXT(($D105-$C105+1)+15,"00"),"")&amp;IF($C105&gt;=17,", "&amp;$A105&amp;"-"&amp;TEXT(($D105-$C105+1)+16,"00"),"")&amp;IF($C105&gt;=18,", "&amp;$A105&amp;"-"&amp;TEXT(($D105-$C105+1)+17,"00"),"")&amp;IF($C105&gt;=19,", "&amp;$A105&amp;"-"&amp;TEXT(($D105-$C105+1)+18,"00"),"")&amp;IF($C105&gt;=20,", "&amp;$A105&amp;"-"&amp;TEXT(($D105-$C105+1)+19,"00"),"")&amp;IF($C105&gt;=21,", "&amp;$A105&amp;"-"&amp;TEXT(($D105-$C105+1)+20,"00"),"")&amp;IF($C105&gt;=22,", "&amp;$A105&amp;"-"&amp;TEXT(($D105-$C105+1)+21,"00"),"")&amp;IF($C105&gt;=23,", "&amp;$A105&amp;"-"&amp;TEXT(($D105-$C105+1)+22,"00"),"")&amp;IF($C105&gt;=24,", "&amp;$A105&amp;"-"&amp;TEXT(($D105-$C105+1)+23,"00"),"")&amp;IF($C105&gt;=25,", "&amp;$A105&amp;"-"&amp;TEXT(($D105-$C105+1)+24,"00"),""))</f>
        <v/>
      </c>
      <c r="G105">
        <f>IF($A105="","",IF($E105=1,$F105,IF($F105="",$G104,IF($G104="",$F105,$G104&amp;", "&amp;$F105))))</f>
        <v/>
      </c>
      <c r="H105">
        <f>IF($A105="","",$A105&amp;" ("&amp;$C105&amp;")")</f>
        <v/>
      </c>
      <c r="I105">
        <f>IF($A105="","",IF($E105=1,$H105,$I104&amp;", "&amp;$H105))</f>
        <v/>
      </c>
      <c r="J105">
        <f>IF($A105="","",IF($E105=1,$B105,""))</f>
        <v/>
      </c>
      <c r="K105">
        <f>IF($A105="","",IF(COUNTIF($B$2:$B105,$B105)=COUNTIF($B$2:$B$1601,$B105),$B105,""))</f>
        <v/>
      </c>
    </row>
    <row r="106">
      <c r="A106">
        <f>IF('TMP Paste'!$E106="","",'TMP Paste'!$E106)</f>
        <v/>
      </c>
      <c r="B106">
        <f>IF($A106="","",COUNTIF('TMP Paste'!$B$2:$B106,"?*"))</f>
        <v/>
      </c>
      <c r="C106">
        <f>IF($A106="","",IFERROR('TMP Paste'!$M106*1,0))</f>
        <v/>
      </c>
      <c r="D106">
        <f>IF($A106="","",SUMIF($B$2:$B106,$B106,$C$2:$C106))</f>
        <v/>
      </c>
      <c r="E106">
        <f>IF($A106="",0,IF('TMP Paste'!$B106="",0,1))</f>
        <v/>
      </c>
      <c r="F106">
        <f>IF(OR($A106="",$C106&lt;1),"",$A106&amp;"-"&amp;TEXT(($D106-$C106+1),"00")&amp;IF($C106&gt;=2,", "&amp;$A106&amp;"-"&amp;TEXT(($D106-$C106+1)+1,"00"),"")&amp;IF($C106&gt;=3,", "&amp;$A106&amp;"-"&amp;TEXT(($D106-$C106+1)+2,"00"),"")&amp;IF($C106&gt;=4,", "&amp;$A106&amp;"-"&amp;TEXT(($D106-$C106+1)+3,"00"),"")&amp;IF($C106&gt;=5,", "&amp;$A106&amp;"-"&amp;TEXT(($D106-$C106+1)+4,"00"),"")&amp;IF($C106&gt;=6,", "&amp;$A106&amp;"-"&amp;TEXT(($D106-$C106+1)+5,"00"),"")&amp;IF($C106&gt;=7,", "&amp;$A106&amp;"-"&amp;TEXT(($D106-$C106+1)+6,"00"),"")&amp;IF($C106&gt;=8,", "&amp;$A106&amp;"-"&amp;TEXT(($D106-$C106+1)+7,"00"),"")&amp;IF($C106&gt;=9,", "&amp;$A106&amp;"-"&amp;TEXT(($D106-$C106+1)+8,"00"),"")&amp;IF($C106&gt;=10,", "&amp;$A106&amp;"-"&amp;TEXT(($D106-$C106+1)+9,"00"),"")&amp;IF($C106&gt;=11,", "&amp;$A106&amp;"-"&amp;TEXT(($D106-$C106+1)+10,"00"),"")&amp;IF($C106&gt;=12,", "&amp;$A106&amp;"-"&amp;TEXT(($D106-$C106+1)+11,"00"),"")&amp;IF($C106&gt;=13,", "&amp;$A106&amp;"-"&amp;TEXT(($D106-$C106+1)+12,"00"),"")&amp;IF($C106&gt;=14,", "&amp;$A106&amp;"-"&amp;TEXT(($D106-$C106+1)+13,"00"),"")&amp;IF($C106&gt;=15,", "&amp;$A106&amp;"-"&amp;TEXT(($D106-$C106+1)+14,"00"),"")&amp;IF($C106&gt;=16,", "&amp;$A106&amp;"-"&amp;TEXT(($D106-$C106+1)+15,"00"),"")&amp;IF($C106&gt;=17,", "&amp;$A106&amp;"-"&amp;TEXT(($D106-$C106+1)+16,"00"),"")&amp;IF($C106&gt;=18,", "&amp;$A106&amp;"-"&amp;TEXT(($D106-$C106+1)+17,"00"),"")&amp;IF($C106&gt;=19,", "&amp;$A106&amp;"-"&amp;TEXT(($D106-$C106+1)+18,"00"),"")&amp;IF($C106&gt;=20,", "&amp;$A106&amp;"-"&amp;TEXT(($D106-$C106+1)+19,"00"),"")&amp;IF($C106&gt;=21,", "&amp;$A106&amp;"-"&amp;TEXT(($D106-$C106+1)+20,"00"),"")&amp;IF($C106&gt;=22,", "&amp;$A106&amp;"-"&amp;TEXT(($D106-$C106+1)+21,"00"),"")&amp;IF($C106&gt;=23,", "&amp;$A106&amp;"-"&amp;TEXT(($D106-$C106+1)+22,"00"),"")&amp;IF($C106&gt;=24,", "&amp;$A106&amp;"-"&amp;TEXT(($D106-$C106+1)+23,"00"),"")&amp;IF($C106&gt;=25,", "&amp;$A106&amp;"-"&amp;TEXT(($D106-$C106+1)+24,"00"),""))</f>
        <v/>
      </c>
      <c r="G106">
        <f>IF($A106="","",IF($E106=1,$F106,IF($F106="",$G105,IF($G105="",$F106,$G105&amp;", "&amp;$F106))))</f>
        <v/>
      </c>
      <c r="H106">
        <f>IF($A106="","",$A106&amp;" ("&amp;$C106&amp;")")</f>
        <v/>
      </c>
      <c r="I106">
        <f>IF($A106="","",IF($E106=1,$H106,$I105&amp;", "&amp;$H106))</f>
        <v/>
      </c>
      <c r="J106">
        <f>IF($A106="","",IF($E106=1,$B106,""))</f>
        <v/>
      </c>
      <c r="K106">
        <f>IF($A106="","",IF(COUNTIF($B$2:$B106,$B106)=COUNTIF($B$2:$B$1601,$B106),$B106,""))</f>
        <v/>
      </c>
    </row>
    <row r="107">
      <c r="A107">
        <f>IF('TMP Paste'!$E107="","",'TMP Paste'!$E107)</f>
        <v/>
      </c>
      <c r="B107">
        <f>IF($A107="","",COUNTIF('TMP Paste'!$B$2:$B107,"?*"))</f>
        <v/>
      </c>
      <c r="C107">
        <f>IF($A107="","",IFERROR('TMP Paste'!$M107*1,0))</f>
        <v/>
      </c>
      <c r="D107">
        <f>IF($A107="","",SUMIF($B$2:$B107,$B107,$C$2:$C107))</f>
        <v/>
      </c>
      <c r="E107">
        <f>IF($A107="",0,IF('TMP Paste'!$B107="",0,1))</f>
        <v/>
      </c>
      <c r="F107">
        <f>IF(OR($A107="",$C107&lt;1),"",$A107&amp;"-"&amp;TEXT(($D107-$C107+1),"00")&amp;IF($C107&gt;=2,", "&amp;$A107&amp;"-"&amp;TEXT(($D107-$C107+1)+1,"00"),"")&amp;IF($C107&gt;=3,", "&amp;$A107&amp;"-"&amp;TEXT(($D107-$C107+1)+2,"00"),"")&amp;IF($C107&gt;=4,", "&amp;$A107&amp;"-"&amp;TEXT(($D107-$C107+1)+3,"00"),"")&amp;IF($C107&gt;=5,", "&amp;$A107&amp;"-"&amp;TEXT(($D107-$C107+1)+4,"00"),"")&amp;IF($C107&gt;=6,", "&amp;$A107&amp;"-"&amp;TEXT(($D107-$C107+1)+5,"00"),"")&amp;IF($C107&gt;=7,", "&amp;$A107&amp;"-"&amp;TEXT(($D107-$C107+1)+6,"00"),"")&amp;IF($C107&gt;=8,", "&amp;$A107&amp;"-"&amp;TEXT(($D107-$C107+1)+7,"00"),"")&amp;IF($C107&gt;=9,", "&amp;$A107&amp;"-"&amp;TEXT(($D107-$C107+1)+8,"00"),"")&amp;IF($C107&gt;=10,", "&amp;$A107&amp;"-"&amp;TEXT(($D107-$C107+1)+9,"00"),"")&amp;IF($C107&gt;=11,", "&amp;$A107&amp;"-"&amp;TEXT(($D107-$C107+1)+10,"00"),"")&amp;IF($C107&gt;=12,", "&amp;$A107&amp;"-"&amp;TEXT(($D107-$C107+1)+11,"00"),"")&amp;IF($C107&gt;=13,", "&amp;$A107&amp;"-"&amp;TEXT(($D107-$C107+1)+12,"00"),"")&amp;IF($C107&gt;=14,", "&amp;$A107&amp;"-"&amp;TEXT(($D107-$C107+1)+13,"00"),"")&amp;IF($C107&gt;=15,", "&amp;$A107&amp;"-"&amp;TEXT(($D107-$C107+1)+14,"00"),"")&amp;IF($C107&gt;=16,", "&amp;$A107&amp;"-"&amp;TEXT(($D107-$C107+1)+15,"00"),"")&amp;IF($C107&gt;=17,", "&amp;$A107&amp;"-"&amp;TEXT(($D107-$C107+1)+16,"00"),"")&amp;IF($C107&gt;=18,", "&amp;$A107&amp;"-"&amp;TEXT(($D107-$C107+1)+17,"00"),"")&amp;IF($C107&gt;=19,", "&amp;$A107&amp;"-"&amp;TEXT(($D107-$C107+1)+18,"00"),"")&amp;IF($C107&gt;=20,", "&amp;$A107&amp;"-"&amp;TEXT(($D107-$C107+1)+19,"00"),"")&amp;IF($C107&gt;=21,", "&amp;$A107&amp;"-"&amp;TEXT(($D107-$C107+1)+20,"00"),"")&amp;IF($C107&gt;=22,", "&amp;$A107&amp;"-"&amp;TEXT(($D107-$C107+1)+21,"00"),"")&amp;IF($C107&gt;=23,", "&amp;$A107&amp;"-"&amp;TEXT(($D107-$C107+1)+22,"00"),"")&amp;IF($C107&gt;=24,", "&amp;$A107&amp;"-"&amp;TEXT(($D107-$C107+1)+23,"00"),"")&amp;IF($C107&gt;=25,", "&amp;$A107&amp;"-"&amp;TEXT(($D107-$C107+1)+24,"00"),""))</f>
        <v/>
      </c>
      <c r="G107">
        <f>IF($A107="","",IF($E107=1,$F107,IF($F107="",$G106,IF($G106="",$F107,$G106&amp;", "&amp;$F107))))</f>
        <v/>
      </c>
      <c r="H107">
        <f>IF($A107="","",$A107&amp;" ("&amp;$C107&amp;")")</f>
        <v/>
      </c>
      <c r="I107">
        <f>IF($A107="","",IF($E107=1,$H107,$I106&amp;", "&amp;$H107))</f>
        <v/>
      </c>
      <c r="J107">
        <f>IF($A107="","",IF($E107=1,$B107,""))</f>
        <v/>
      </c>
      <c r="K107">
        <f>IF($A107="","",IF(COUNTIF($B$2:$B107,$B107)=COUNTIF($B$2:$B$1601,$B107),$B107,""))</f>
        <v/>
      </c>
    </row>
    <row r="108">
      <c r="A108">
        <f>IF('TMP Paste'!$E108="","",'TMP Paste'!$E108)</f>
        <v/>
      </c>
      <c r="B108">
        <f>IF($A108="","",COUNTIF('TMP Paste'!$B$2:$B108,"?*"))</f>
        <v/>
      </c>
      <c r="C108">
        <f>IF($A108="","",IFERROR('TMP Paste'!$M108*1,0))</f>
        <v/>
      </c>
      <c r="D108">
        <f>IF($A108="","",SUMIF($B$2:$B108,$B108,$C$2:$C108))</f>
        <v/>
      </c>
      <c r="E108">
        <f>IF($A108="",0,IF('TMP Paste'!$B108="",0,1))</f>
        <v/>
      </c>
      <c r="F108">
        <f>IF(OR($A108="",$C108&lt;1),"",$A108&amp;"-"&amp;TEXT(($D108-$C108+1),"00")&amp;IF($C108&gt;=2,", "&amp;$A108&amp;"-"&amp;TEXT(($D108-$C108+1)+1,"00"),"")&amp;IF($C108&gt;=3,", "&amp;$A108&amp;"-"&amp;TEXT(($D108-$C108+1)+2,"00"),"")&amp;IF($C108&gt;=4,", "&amp;$A108&amp;"-"&amp;TEXT(($D108-$C108+1)+3,"00"),"")&amp;IF($C108&gt;=5,", "&amp;$A108&amp;"-"&amp;TEXT(($D108-$C108+1)+4,"00"),"")&amp;IF($C108&gt;=6,", "&amp;$A108&amp;"-"&amp;TEXT(($D108-$C108+1)+5,"00"),"")&amp;IF($C108&gt;=7,", "&amp;$A108&amp;"-"&amp;TEXT(($D108-$C108+1)+6,"00"),"")&amp;IF($C108&gt;=8,", "&amp;$A108&amp;"-"&amp;TEXT(($D108-$C108+1)+7,"00"),"")&amp;IF($C108&gt;=9,", "&amp;$A108&amp;"-"&amp;TEXT(($D108-$C108+1)+8,"00"),"")&amp;IF($C108&gt;=10,", "&amp;$A108&amp;"-"&amp;TEXT(($D108-$C108+1)+9,"00"),"")&amp;IF($C108&gt;=11,", "&amp;$A108&amp;"-"&amp;TEXT(($D108-$C108+1)+10,"00"),"")&amp;IF($C108&gt;=12,", "&amp;$A108&amp;"-"&amp;TEXT(($D108-$C108+1)+11,"00"),"")&amp;IF($C108&gt;=13,", "&amp;$A108&amp;"-"&amp;TEXT(($D108-$C108+1)+12,"00"),"")&amp;IF($C108&gt;=14,", "&amp;$A108&amp;"-"&amp;TEXT(($D108-$C108+1)+13,"00"),"")&amp;IF($C108&gt;=15,", "&amp;$A108&amp;"-"&amp;TEXT(($D108-$C108+1)+14,"00"),"")&amp;IF($C108&gt;=16,", "&amp;$A108&amp;"-"&amp;TEXT(($D108-$C108+1)+15,"00"),"")&amp;IF($C108&gt;=17,", "&amp;$A108&amp;"-"&amp;TEXT(($D108-$C108+1)+16,"00"),"")&amp;IF($C108&gt;=18,", "&amp;$A108&amp;"-"&amp;TEXT(($D108-$C108+1)+17,"00"),"")&amp;IF($C108&gt;=19,", "&amp;$A108&amp;"-"&amp;TEXT(($D108-$C108+1)+18,"00"),"")&amp;IF($C108&gt;=20,", "&amp;$A108&amp;"-"&amp;TEXT(($D108-$C108+1)+19,"00"),"")&amp;IF($C108&gt;=21,", "&amp;$A108&amp;"-"&amp;TEXT(($D108-$C108+1)+20,"00"),"")&amp;IF($C108&gt;=22,", "&amp;$A108&amp;"-"&amp;TEXT(($D108-$C108+1)+21,"00"),"")&amp;IF($C108&gt;=23,", "&amp;$A108&amp;"-"&amp;TEXT(($D108-$C108+1)+22,"00"),"")&amp;IF($C108&gt;=24,", "&amp;$A108&amp;"-"&amp;TEXT(($D108-$C108+1)+23,"00"),"")&amp;IF($C108&gt;=25,", "&amp;$A108&amp;"-"&amp;TEXT(($D108-$C108+1)+24,"00"),""))</f>
        <v/>
      </c>
      <c r="G108">
        <f>IF($A108="","",IF($E108=1,$F108,IF($F108="",$G107,IF($G107="",$F108,$G107&amp;", "&amp;$F108))))</f>
        <v/>
      </c>
      <c r="H108">
        <f>IF($A108="","",$A108&amp;" ("&amp;$C108&amp;")")</f>
        <v/>
      </c>
      <c r="I108">
        <f>IF($A108="","",IF($E108=1,$H108,$I107&amp;", "&amp;$H108))</f>
        <v/>
      </c>
      <c r="J108">
        <f>IF($A108="","",IF($E108=1,$B108,""))</f>
        <v/>
      </c>
      <c r="K108">
        <f>IF($A108="","",IF(COUNTIF($B$2:$B108,$B108)=COUNTIF($B$2:$B$1601,$B108),$B108,""))</f>
        <v/>
      </c>
    </row>
    <row r="109">
      <c r="A109">
        <f>IF('TMP Paste'!$E109="","",'TMP Paste'!$E109)</f>
        <v/>
      </c>
      <c r="B109">
        <f>IF($A109="","",COUNTIF('TMP Paste'!$B$2:$B109,"?*"))</f>
        <v/>
      </c>
      <c r="C109">
        <f>IF($A109="","",IFERROR('TMP Paste'!$M109*1,0))</f>
        <v/>
      </c>
      <c r="D109">
        <f>IF($A109="","",SUMIF($B$2:$B109,$B109,$C$2:$C109))</f>
        <v/>
      </c>
      <c r="E109">
        <f>IF($A109="",0,IF('TMP Paste'!$B109="",0,1))</f>
        <v/>
      </c>
      <c r="F109">
        <f>IF(OR($A109="",$C109&lt;1),"",$A109&amp;"-"&amp;TEXT(($D109-$C109+1),"00")&amp;IF($C109&gt;=2,", "&amp;$A109&amp;"-"&amp;TEXT(($D109-$C109+1)+1,"00"),"")&amp;IF($C109&gt;=3,", "&amp;$A109&amp;"-"&amp;TEXT(($D109-$C109+1)+2,"00"),"")&amp;IF($C109&gt;=4,", "&amp;$A109&amp;"-"&amp;TEXT(($D109-$C109+1)+3,"00"),"")&amp;IF($C109&gt;=5,", "&amp;$A109&amp;"-"&amp;TEXT(($D109-$C109+1)+4,"00"),"")&amp;IF($C109&gt;=6,", "&amp;$A109&amp;"-"&amp;TEXT(($D109-$C109+1)+5,"00"),"")&amp;IF($C109&gt;=7,", "&amp;$A109&amp;"-"&amp;TEXT(($D109-$C109+1)+6,"00"),"")&amp;IF($C109&gt;=8,", "&amp;$A109&amp;"-"&amp;TEXT(($D109-$C109+1)+7,"00"),"")&amp;IF($C109&gt;=9,", "&amp;$A109&amp;"-"&amp;TEXT(($D109-$C109+1)+8,"00"),"")&amp;IF($C109&gt;=10,", "&amp;$A109&amp;"-"&amp;TEXT(($D109-$C109+1)+9,"00"),"")&amp;IF($C109&gt;=11,", "&amp;$A109&amp;"-"&amp;TEXT(($D109-$C109+1)+10,"00"),"")&amp;IF($C109&gt;=12,", "&amp;$A109&amp;"-"&amp;TEXT(($D109-$C109+1)+11,"00"),"")&amp;IF($C109&gt;=13,", "&amp;$A109&amp;"-"&amp;TEXT(($D109-$C109+1)+12,"00"),"")&amp;IF($C109&gt;=14,", "&amp;$A109&amp;"-"&amp;TEXT(($D109-$C109+1)+13,"00"),"")&amp;IF($C109&gt;=15,", "&amp;$A109&amp;"-"&amp;TEXT(($D109-$C109+1)+14,"00"),"")&amp;IF($C109&gt;=16,", "&amp;$A109&amp;"-"&amp;TEXT(($D109-$C109+1)+15,"00"),"")&amp;IF($C109&gt;=17,", "&amp;$A109&amp;"-"&amp;TEXT(($D109-$C109+1)+16,"00"),"")&amp;IF($C109&gt;=18,", "&amp;$A109&amp;"-"&amp;TEXT(($D109-$C109+1)+17,"00"),"")&amp;IF($C109&gt;=19,", "&amp;$A109&amp;"-"&amp;TEXT(($D109-$C109+1)+18,"00"),"")&amp;IF($C109&gt;=20,", "&amp;$A109&amp;"-"&amp;TEXT(($D109-$C109+1)+19,"00"),"")&amp;IF($C109&gt;=21,", "&amp;$A109&amp;"-"&amp;TEXT(($D109-$C109+1)+20,"00"),"")&amp;IF($C109&gt;=22,", "&amp;$A109&amp;"-"&amp;TEXT(($D109-$C109+1)+21,"00"),"")&amp;IF($C109&gt;=23,", "&amp;$A109&amp;"-"&amp;TEXT(($D109-$C109+1)+22,"00"),"")&amp;IF($C109&gt;=24,", "&amp;$A109&amp;"-"&amp;TEXT(($D109-$C109+1)+23,"00"),"")&amp;IF($C109&gt;=25,", "&amp;$A109&amp;"-"&amp;TEXT(($D109-$C109+1)+24,"00"),""))</f>
        <v/>
      </c>
      <c r="G109">
        <f>IF($A109="","",IF($E109=1,$F109,IF($F109="",$G108,IF($G108="",$F109,$G108&amp;", "&amp;$F109))))</f>
        <v/>
      </c>
      <c r="H109">
        <f>IF($A109="","",$A109&amp;" ("&amp;$C109&amp;")")</f>
        <v/>
      </c>
      <c r="I109">
        <f>IF($A109="","",IF($E109=1,$H109,$I108&amp;", "&amp;$H109))</f>
        <v/>
      </c>
      <c r="J109">
        <f>IF($A109="","",IF($E109=1,$B109,""))</f>
        <v/>
      </c>
      <c r="K109">
        <f>IF($A109="","",IF(COUNTIF($B$2:$B109,$B109)=COUNTIF($B$2:$B$1601,$B109),$B109,""))</f>
        <v/>
      </c>
    </row>
    <row r="110">
      <c r="A110">
        <f>IF('TMP Paste'!$E110="","",'TMP Paste'!$E110)</f>
        <v/>
      </c>
      <c r="B110">
        <f>IF($A110="","",COUNTIF('TMP Paste'!$B$2:$B110,"?*"))</f>
        <v/>
      </c>
      <c r="C110">
        <f>IF($A110="","",IFERROR('TMP Paste'!$M110*1,0))</f>
        <v/>
      </c>
      <c r="D110">
        <f>IF($A110="","",SUMIF($B$2:$B110,$B110,$C$2:$C110))</f>
        <v/>
      </c>
      <c r="E110">
        <f>IF($A110="",0,IF('TMP Paste'!$B110="",0,1))</f>
        <v/>
      </c>
      <c r="F110">
        <f>IF(OR($A110="",$C110&lt;1),"",$A110&amp;"-"&amp;TEXT(($D110-$C110+1),"00")&amp;IF($C110&gt;=2,", "&amp;$A110&amp;"-"&amp;TEXT(($D110-$C110+1)+1,"00"),"")&amp;IF($C110&gt;=3,", "&amp;$A110&amp;"-"&amp;TEXT(($D110-$C110+1)+2,"00"),"")&amp;IF($C110&gt;=4,", "&amp;$A110&amp;"-"&amp;TEXT(($D110-$C110+1)+3,"00"),"")&amp;IF($C110&gt;=5,", "&amp;$A110&amp;"-"&amp;TEXT(($D110-$C110+1)+4,"00"),"")&amp;IF($C110&gt;=6,", "&amp;$A110&amp;"-"&amp;TEXT(($D110-$C110+1)+5,"00"),"")&amp;IF($C110&gt;=7,", "&amp;$A110&amp;"-"&amp;TEXT(($D110-$C110+1)+6,"00"),"")&amp;IF($C110&gt;=8,", "&amp;$A110&amp;"-"&amp;TEXT(($D110-$C110+1)+7,"00"),"")&amp;IF($C110&gt;=9,", "&amp;$A110&amp;"-"&amp;TEXT(($D110-$C110+1)+8,"00"),"")&amp;IF($C110&gt;=10,", "&amp;$A110&amp;"-"&amp;TEXT(($D110-$C110+1)+9,"00"),"")&amp;IF($C110&gt;=11,", "&amp;$A110&amp;"-"&amp;TEXT(($D110-$C110+1)+10,"00"),"")&amp;IF($C110&gt;=12,", "&amp;$A110&amp;"-"&amp;TEXT(($D110-$C110+1)+11,"00"),"")&amp;IF($C110&gt;=13,", "&amp;$A110&amp;"-"&amp;TEXT(($D110-$C110+1)+12,"00"),"")&amp;IF($C110&gt;=14,", "&amp;$A110&amp;"-"&amp;TEXT(($D110-$C110+1)+13,"00"),"")&amp;IF($C110&gt;=15,", "&amp;$A110&amp;"-"&amp;TEXT(($D110-$C110+1)+14,"00"),"")&amp;IF($C110&gt;=16,", "&amp;$A110&amp;"-"&amp;TEXT(($D110-$C110+1)+15,"00"),"")&amp;IF($C110&gt;=17,", "&amp;$A110&amp;"-"&amp;TEXT(($D110-$C110+1)+16,"00"),"")&amp;IF($C110&gt;=18,", "&amp;$A110&amp;"-"&amp;TEXT(($D110-$C110+1)+17,"00"),"")&amp;IF($C110&gt;=19,", "&amp;$A110&amp;"-"&amp;TEXT(($D110-$C110+1)+18,"00"),"")&amp;IF($C110&gt;=20,", "&amp;$A110&amp;"-"&amp;TEXT(($D110-$C110+1)+19,"00"),"")&amp;IF($C110&gt;=21,", "&amp;$A110&amp;"-"&amp;TEXT(($D110-$C110+1)+20,"00"),"")&amp;IF($C110&gt;=22,", "&amp;$A110&amp;"-"&amp;TEXT(($D110-$C110+1)+21,"00"),"")&amp;IF($C110&gt;=23,", "&amp;$A110&amp;"-"&amp;TEXT(($D110-$C110+1)+22,"00"),"")&amp;IF($C110&gt;=24,", "&amp;$A110&amp;"-"&amp;TEXT(($D110-$C110+1)+23,"00"),"")&amp;IF($C110&gt;=25,", "&amp;$A110&amp;"-"&amp;TEXT(($D110-$C110+1)+24,"00"),""))</f>
        <v/>
      </c>
      <c r="G110">
        <f>IF($A110="","",IF($E110=1,$F110,IF($F110="",$G109,IF($G109="",$F110,$G109&amp;", "&amp;$F110))))</f>
        <v/>
      </c>
      <c r="H110">
        <f>IF($A110="","",$A110&amp;" ("&amp;$C110&amp;")")</f>
        <v/>
      </c>
      <c r="I110">
        <f>IF($A110="","",IF($E110=1,$H110,$I109&amp;", "&amp;$H110))</f>
        <v/>
      </c>
      <c r="J110">
        <f>IF($A110="","",IF($E110=1,$B110,""))</f>
        <v/>
      </c>
      <c r="K110">
        <f>IF($A110="","",IF(COUNTIF($B$2:$B110,$B110)=COUNTIF($B$2:$B$1601,$B110),$B110,""))</f>
        <v/>
      </c>
    </row>
    <row r="111">
      <c r="A111">
        <f>IF('TMP Paste'!$E111="","",'TMP Paste'!$E111)</f>
        <v/>
      </c>
      <c r="B111">
        <f>IF($A111="","",COUNTIF('TMP Paste'!$B$2:$B111,"?*"))</f>
        <v/>
      </c>
      <c r="C111">
        <f>IF($A111="","",IFERROR('TMP Paste'!$M111*1,0))</f>
        <v/>
      </c>
      <c r="D111">
        <f>IF($A111="","",SUMIF($B$2:$B111,$B111,$C$2:$C111))</f>
        <v/>
      </c>
      <c r="E111">
        <f>IF($A111="",0,IF('TMP Paste'!$B111="",0,1))</f>
        <v/>
      </c>
      <c r="F111">
        <f>IF(OR($A111="",$C111&lt;1),"",$A111&amp;"-"&amp;TEXT(($D111-$C111+1),"00")&amp;IF($C111&gt;=2,", "&amp;$A111&amp;"-"&amp;TEXT(($D111-$C111+1)+1,"00"),"")&amp;IF($C111&gt;=3,", "&amp;$A111&amp;"-"&amp;TEXT(($D111-$C111+1)+2,"00"),"")&amp;IF($C111&gt;=4,", "&amp;$A111&amp;"-"&amp;TEXT(($D111-$C111+1)+3,"00"),"")&amp;IF($C111&gt;=5,", "&amp;$A111&amp;"-"&amp;TEXT(($D111-$C111+1)+4,"00"),"")&amp;IF($C111&gt;=6,", "&amp;$A111&amp;"-"&amp;TEXT(($D111-$C111+1)+5,"00"),"")&amp;IF($C111&gt;=7,", "&amp;$A111&amp;"-"&amp;TEXT(($D111-$C111+1)+6,"00"),"")&amp;IF($C111&gt;=8,", "&amp;$A111&amp;"-"&amp;TEXT(($D111-$C111+1)+7,"00"),"")&amp;IF($C111&gt;=9,", "&amp;$A111&amp;"-"&amp;TEXT(($D111-$C111+1)+8,"00"),"")&amp;IF($C111&gt;=10,", "&amp;$A111&amp;"-"&amp;TEXT(($D111-$C111+1)+9,"00"),"")&amp;IF($C111&gt;=11,", "&amp;$A111&amp;"-"&amp;TEXT(($D111-$C111+1)+10,"00"),"")&amp;IF($C111&gt;=12,", "&amp;$A111&amp;"-"&amp;TEXT(($D111-$C111+1)+11,"00"),"")&amp;IF($C111&gt;=13,", "&amp;$A111&amp;"-"&amp;TEXT(($D111-$C111+1)+12,"00"),"")&amp;IF($C111&gt;=14,", "&amp;$A111&amp;"-"&amp;TEXT(($D111-$C111+1)+13,"00"),"")&amp;IF($C111&gt;=15,", "&amp;$A111&amp;"-"&amp;TEXT(($D111-$C111+1)+14,"00"),"")&amp;IF($C111&gt;=16,", "&amp;$A111&amp;"-"&amp;TEXT(($D111-$C111+1)+15,"00"),"")&amp;IF($C111&gt;=17,", "&amp;$A111&amp;"-"&amp;TEXT(($D111-$C111+1)+16,"00"),"")&amp;IF($C111&gt;=18,", "&amp;$A111&amp;"-"&amp;TEXT(($D111-$C111+1)+17,"00"),"")&amp;IF($C111&gt;=19,", "&amp;$A111&amp;"-"&amp;TEXT(($D111-$C111+1)+18,"00"),"")&amp;IF($C111&gt;=20,", "&amp;$A111&amp;"-"&amp;TEXT(($D111-$C111+1)+19,"00"),"")&amp;IF($C111&gt;=21,", "&amp;$A111&amp;"-"&amp;TEXT(($D111-$C111+1)+20,"00"),"")&amp;IF($C111&gt;=22,", "&amp;$A111&amp;"-"&amp;TEXT(($D111-$C111+1)+21,"00"),"")&amp;IF($C111&gt;=23,", "&amp;$A111&amp;"-"&amp;TEXT(($D111-$C111+1)+22,"00"),"")&amp;IF($C111&gt;=24,", "&amp;$A111&amp;"-"&amp;TEXT(($D111-$C111+1)+23,"00"),"")&amp;IF($C111&gt;=25,", "&amp;$A111&amp;"-"&amp;TEXT(($D111-$C111+1)+24,"00"),""))</f>
        <v/>
      </c>
      <c r="G111">
        <f>IF($A111="","",IF($E111=1,$F111,IF($F111="",$G110,IF($G110="",$F111,$G110&amp;", "&amp;$F111))))</f>
        <v/>
      </c>
      <c r="H111">
        <f>IF($A111="","",$A111&amp;" ("&amp;$C111&amp;")")</f>
        <v/>
      </c>
      <c r="I111">
        <f>IF($A111="","",IF($E111=1,$H111,$I110&amp;", "&amp;$H111))</f>
        <v/>
      </c>
      <c r="J111">
        <f>IF($A111="","",IF($E111=1,$B111,""))</f>
        <v/>
      </c>
      <c r="K111">
        <f>IF($A111="","",IF(COUNTIF($B$2:$B111,$B111)=COUNTIF($B$2:$B$1601,$B111),$B111,""))</f>
        <v/>
      </c>
    </row>
    <row r="112">
      <c r="A112">
        <f>IF('TMP Paste'!$E112="","",'TMP Paste'!$E112)</f>
        <v/>
      </c>
      <c r="B112">
        <f>IF($A112="","",COUNTIF('TMP Paste'!$B$2:$B112,"?*"))</f>
        <v/>
      </c>
      <c r="C112">
        <f>IF($A112="","",IFERROR('TMP Paste'!$M112*1,0))</f>
        <v/>
      </c>
      <c r="D112">
        <f>IF($A112="","",SUMIF($B$2:$B112,$B112,$C$2:$C112))</f>
        <v/>
      </c>
      <c r="E112">
        <f>IF($A112="",0,IF('TMP Paste'!$B112="",0,1))</f>
        <v/>
      </c>
      <c r="F112">
        <f>IF(OR($A112="",$C112&lt;1),"",$A112&amp;"-"&amp;TEXT(($D112-$C112+1),"00")&amp;IF($C112&gt;=2,", "&amp;$A112&amp;"-"&amp;TEXT(($D112-$C112+1)+1,"00"),"")&amp;IF($C112&gt;=3,", "&amp;$A112&amp;"-"&amp;TEXT(($D112-$C112+1)+2,"00"),"")&amp;IF($C112&gt;=4,", "&amp;$A112&amp;"-"&amp;TEXT(($D112-$C112+1)+3,"00"),"")&amp;IF($C112&gt;=5,", "&amp;$A112&amp;"-"&amp;TEXT(($D112-$C112+1)+4,"00"),"")&amp;IF($C112&gt;=6,", "&amp;$A112&amp;"-"&amp;TEXT(($D112-$C112+1)+5,"00"),"")&amp;IF($C112&gt;=7,", "&amp;$A112&amp;"-"&amp;TEXT(($D112-$C112+1)+6,"00"),"")&amp;IF($C112&gt;=8,", "&amp;$A112&amp;"-"&amp;TEXT(($D112-$C112+1)+7,"00"),"")&amp;IF($C112&gt;=9,", "&amp;$A112&amp;"-"&amp;TEXT(($D112-$C112+1)+8,"00"),"")&amp;IF($C112&gt;=10,", "&amp;$A112&amp;"-"&amp;TEXT(($D112-$C112+1)+9,"00"),"")&amp;IF($C112&gt;=11,", "&amp;$A112&amp;"-"&amp;TEXT(($D112-$C112+1)+10,"00"),"")&amp;IF($C112&gt;=12,", "&amp;$A112&amp;"-"&amp;TEXT(($D112-$C112+1)+11,"00"),"")&amp;IF($C112&gt;=13,", "&amp;$A112&amp;"-"&amp;TEXT(($D112-$C112+1)+12,"00"),"")&amp;IF($C112&gt;=14,", "&amp;$A112&amp;"-"&amp;TEXT(($D112-$C112+1)+13,"00"),"")&amp;IF($C112&gt;=15,", "&amp;$A112&amp;"-"&amp;TEXT(($D112-$C112+1)+14,"00"),"")&amp;IF($C112&gt;=16,", "&amp;$A112&amp;"-"&amp;TEXT(($D112-$C112+1)+15,"00"),"")&amp;IF($C112&gt;=17,", "&amp;$A112&amp;"-"&amp;TEXT(($D112-$C112+1)+16,"00"),"")&amp;IF($C112&gt;=18,", "&amp;$A112&amp;"-"&amp;TEXT(($D112-$C112+1)+17,"00"),"")&amp;IF($C112&gt;=19,", "&amp;$A112&amp;"-"&amp;TEXT(($D112-$C112+1)+18,"00"),"")&amp;IF($C112&gt;=20,", "&amp;$A112&amp;"-"&amp;TEXT(($D112-$C112+1)+19,"00"),"")&amp;IF($C112&gt;=21,", "&amp;$A112&amp;"-"&amp;TEXT(($D112-$C112+1)+20,"00"),"")&amp;IF($C112&gt;=22,", "&amp;$A112&amp;"-"&amp;TEXT(($D112-$C112+1)+21,"00"),"")&amp;IF($C112&gt;=23,", "&amp;$A112&amp;"-"&amp;TEXT(($D112-$C112+1)+22,"00"),"")&amp;IF($C112&gt;=24,", "&amp;$A112&amp;"-"&amp;TEXT(($D112-$C112+1)+23,"00"),"")&amp;IF($C112&gt;=25,", "&amp;$A112&amp;"-"&amp;TEXT(($D112-$C112+1)+24,"00"),""))</f>
        <v/>
      </c>
      <c r="G112">
        <f>IF($A112="","",IF($E112=1,$F112,IF($F112="",$G111,IF($G111="",$F112,$G111&amp;", "&amp;$F112))))</f>
        <v/>
      </c>
      <c r="H112">
        <f>IF($A112="","",$A112&amp;" ("&amp;$C112&amp;")")</f>
        <v/>
      </c>
      <c r="I112">
        <f>IF($A112="","",IF($E112=1,$H112,$I111&amp;", "&amp;$H112))</f>
        <v/>
      </c>
      <c r="J112">
        <f>IF($A112="","",IF($E112=1,$B112,""))</f>
        <v/>
      </c>
      <c r="K112">
        <f>IF($A112="","",IF(COUNTIF($B$2:$B112,$B112)=COUNTIF($B$2:$B$1601,$B112),$B112,""))</f>
        <v/>
      </c>
    </row>
    <row r="113">
      <c r="A113">
        <f>IF('TMP Paste'!$E113="","",'TMP Paste'!$E113)</f>
        <v/>
      </c>
      <c r="B113">
        <f>IF($A113="","",COUNTIF('TMP Paste'!$B$2:$B113,"?*"))</f>
        <v/>
      </c>
      <c r="C113">
        <f>IF($A113="","",IFERROR('TMP Paste'!$M113*1,0))</f>
        <v/>
      </c>
      <c r="D113">
        <f>IF($A113="","",SUMIF($B$2:$B113,$B113,$C$2:$C113))</f>
        <v/>
      </c>
      <c r="E113">
        <f>IF($A113="",0,IF('TMP Paste'!$B113="",0,1))</f>
        <v/>
      </c>
      <c r="F113">
        <f>IF(OR($A113="",$C113&lt;1),"",$A113&amp;"-"&amp;TEXT(($D113-$C113+1),"00")&amp;IF($C113&gt;=2,", "&amp;$A113&amp;"-"&amp;TEXT(($D113-$C113+1)+1,"00"),"")&amp;IF($C113&gt;=3,", "&amp;$A113&amp;"-"&amp;TEXT(($D113-$C113+1)+2,"00"),"")&amp;IF($C113&gt;=4,", "&amp;$A113&amp;"-"&amp;TEXT(($D113-$C113+1)+3,"00"),"")&amp;IF($C113&gt;=5,", "&amp;$A113&amp;"-"&amp;TEXT(($D113-$C113+1)+4,"00"),"")&amp;IF($C113&gt;=6,", "&amp;$A113&amp;"-"&amp;TEXT(($D113-$C113+1)+5,"00"),"")&amp;IF($C113&gt;=7,", "&amp;$A113&amp;"-"&amp;TEXT(($D113-$C113+1)+6,"00"),"")&amp;IF($C113&gt;=8,", "&amp;$A113&amp;"-"&amp;TEXT(($D113-$C113+1)+7,"00"),"")&amp;IF($C113&gt;=9,", "&amp;$A113&amp;"-"&amp;TEXT(($D113-$C113+1)+8,"00"),"")&amp;IF($C113&gt;=10,", "&amp;$A113&amp;"-"&amp;TEXT(($D113-$C113+1)+9,"00"),"")&amp;IF($C113&gt;=11,", "&amp;$A113&amp;"-"&amp;TEXT(($D113-$C113+1)+10,"00"),"")&amp;IF($C113&gt;=12,", "&amp;$A113&amp;"-"&amp;TEXT(($D113-$C113+1)+11,"00"),"")&amp;IF($C113&gt;=13,", "&amp;$A113&amp;"-"&amp;TEXT(($D113-$C113+1)+12,"00"),"")&amp;IF($C113&gt;=14,", "&amp;$A113&amp;"-"&amp;TEXT(($D113-$C113+1)+13,"00"),"")&amp;IF($C113&gt;=15,", "&amp;$A113&amp;"-"&amp;TEXT(($D113-$C113+1)+14,"00"),"")&amp;IF($C113&gt;=16,", "&amp;$A113&amp;"-"&amp;TEXT(($D113-$C113+1)+15,"00"),"")&amp;IF($C113&gt;=17,", "&amp;$A113&amp;"-"&amp;TEXT(($D113-$C113+1)+16,"00"),"")&amp;IF($C113&gt;=18,", "&amp;$A113&amp;"-"&amp;TEXT(($D113-$C113+1)+17,"00"),"")&amp;IF($C113&gt;=19,", "&amp;$A113&amp;"-"&amp;TEXT(($D113-$C113+1)+18,"00"),"")&amp;IF($C113&gt;=20,", "&amp;$A113&amp;"-"&amp;TEXT(($D113-$C113+1)+19,"00"),"")&amp;IF($C113&gt;=21,", "&amp;$A113&amp;"-"&amp;TEXT(($D113-$C113+1)+20,"00"),"")&amp;IF($C113&gt;=22,", "&amp;$A113&amp;"-"&amp;TEXT(($D113-$C113+1)+21,"00"),"")&amp;IF($C113&gt;=23,", "&amp;$A113&amp;"-"&amp;TEXT(($D113-$C113+1)+22,"00"),"")&amp;IF($C113&gt;=24,", "&amp;$A113&amp;"-"&amp;TEXT(($D113-$C113+1)+23,"00"),"")&amp;IF($C113&gt;=25,", "&amp;$A113&amp;"-"&amp;TEXT(($D113-$C113+1)+24,"00"),""))</f>
        <v/>
      </c>
      <c r="G113">
        <f>IF($A113="","",IF($E113=1,$F113,IF($F113="",$G112,IF($G112="",$F113,$G112&amp;", "&amp;$F113))))</f>
        <v/>
      </c>
      <c r="H113">
        <f>IF($A113="","",$A113&amp;" ("&amp;$C113&amp;")")</f>
        <v/>
      </c>
      <c r="I113">
        <f>IF($A113="","",IF($E113=1,$H113,$I112&amp;", "&amp;$H113))</f>
        <v/>
      </c>
      <c r="J113">
        <f>IF($A113="","",IF($E113=1,$B113,""))</f>
        <v/>
      </c>
      <c r="K113">
        <f>IF($A113="","",IF(COUNTIF($B$2:$B113,$B113)=COUNTIF($B$2:$B$1601,$B113),$B113,""))</f>
        <v/>
      </c>
    </row>
    <row r="114">
      <c r="A114">
        <f>IF('TMP Paste'!$E114="","",'TMP Paste'!$E114)</f>
        <v/>
      </c>
      <c r="B114">
        <f>IF($A114="","",COUNTIF('TMP Paste'!$B$2:$B114,"?*"))</f>
        <v/>
      </c>
      <c r="C114">
        <f>IF($A114="","",IFERROR('TMP Paste'!$M114*1,0))</f>
        <v/>
      </c>
      <c r="D114">
        <f>IF($A114="","",SUMIF($B$2:$B114,$B114,$C$2:$C114))</f>
        <v/>
      </c>
      <c r="E114">
        <f>IF($A114="",0,IF('TMP Paste'!$B114="",0,1))</f>
        <v/>
      </c>
      <c r="F114">
        <f>IF(OR($A114="",$C114&lt;1),"",$A114&amp;"-"&amp;TEXT(($D114-$C114+1),"00")&amp;IF($C114&gt;=2,", "&amp;$A114&amp;"-"&amp;TEXT(($D114-$C114+1)+1,"00"),"")&amp;IF($C114&gt;=3,", "&amp;$A114&amp;"-"&amp;TEXT(($D114-$C114+1)+2,"00"),"")&amp;IF($C114&gt;=4,", "&amp;$A114&amp;"-"&amp;TEXT(($D114-$C114+1)+3,"00"),"")&amp;IF($C114&gt;=5,", "&amp;$A114&amp;"-"&amp;TEXT(($D114-$C114+1)+4,"00"),"")&amp;IF($C114&gt;=6,", "&amp;$A114&amp;"-"&amp;TEXT(($D114-$C114+1)+5,"00"),"")&amp;IF($C114&gt;=7,", "&amp;$A114&amp;"-"&amp;TEXT(($D114-$C114+1)+6,"00"),"")&amp;IF($C114&gt;=8,", "&amp;$A114&amp;"-"&amp;TEXT(($D114-$C114+1)+7,"00"),"")&amp;IF($C114&gt;=9,", "&amp;$A114&amp;"-"&amp;TEXT(($D114-$C114+1)+8,"00"),"")&amp;IF($C114&gt;=10,", "&amp;$A114&amp;"-"&amp;TEXT(($D114-$C114+1)+9,"00"),"")&amp;IF($C114&gt;=11,", "&amp;$A114&amp;"-"&amp;TEXT(($D114-$C114+1)+10,"00"),"")&amp;IF($C114&gt;=12,", "&amp;$A114&amp;"-"&amp;TEXT(($D114-$C114+1)+11,"00"),"")&amp;IF($C114&gt;=13,", "&amp;$A114&amp;"-"&amp;TEXT(($D114-$C114+1)+12,"00"),"")&amp;IF($C114&gt;=14,", "&amp;$A114&amp;"-"&amp;TEXT(($D114-$C114+1)+13,"00"),"")&amp;IF($C114&gt;=15,", "&amp;$A114&amp;"-"&amp;TEXT(($D114-$C114+1)+14,"00"),"")&amp;IF($C114&gt;=16,", "&amp;$A114&amp;"-"&amp;TEXT(($D114-$C114+1)+15,"00"),"")&amp;IF($C114&gt;=17,", "&amp;$A114&amp;"-"&amp;TEXT(($D114-$C114+1)+16,"00"),"")&amp;IF($C114&gt;=18,", "&amp;$A114&amp;"-"&amp;TEXT(($D114-$C114+1)+17,"00"),"")&amp;IF($C114&gt;=19,", "&amp;$A114&amp;"-"&amp;TEXT(($D114-$C114+1)+18,"00"),"")&amp;IF($C114&gt;=20,", "&amp;$A114&amp;"-"&amp;TEXT(($D114-$C114+1)+19,"00"),"")&amp;IF($C114&gt;=21,", "&amp;$A114&amp;"-"&amp;TEXT(($D114-$C114+1)+20,"00"),"")&amp;IF($C114&gt;=22,", "&amp;$A114&amp;"-"&amp;TEXT(($D114-$C114+1)+21,"00"),"")&amp;IF($C114&gt;=23,", "&amp;$A114&amp;"-"&amp;TEXT(($D114-$C114+1)+22,"00"),"")&amp;IF($C114&gt;=24,", "&amp;$A114&amp;"-"&amp;TEXT(($D114-$C114+1)+23,"00"),"")&amp;IF($C114&gt;=25,", "&amp;$A114&amp;"-"&amp;TEXT(($D114-$C114+1)+24,"00"),""))</f>
        <v/>
      </c>
      <c r="G114">
        <f>IF($A114="","",IF($E114=1,$F114,IF($F114="",$G113,IF($G113="",$F114,$G113&amp;", "&amp;$F114))))</f>
        <v/>
      </c>
      <c r="H114">
        <f>IF($A114="","",$A114&amp;" ("&amp;$C114&amp;")")</f>
        <v/>
      </c>
      <c r="I114">
        <f>IF($A114="","",IF($E114=1,$H114,$I113&amp;", "&amp;$H114))</f>
        <v/>
      </c>
      <c r="J114">
        <f>IF($A114="","",IF($E114=1,$B114,""))</f>
        <v/>
      </c>
      <c r="K114">
        <f>IF($A114="","",IF(COUNTIF($B$2:$B114,$B114)=COUNTIF($B$2:$B$1601,$B114),$B114,""))</f>
        <v/>
      </c>
    </row>
    <row r="115">
      <c r="A115">
        <f>IF('TMP Paste'!$E115="","",'TMP Paste'!$E115)</f>
        <v/>
      </c>
      <c r="B115">
        <f>IF($A115="","",COUNTIF('TMP Paste'!$B$2:$B115,"?*"))</f>
        <v/>
      </c>
      <c r="C115">
        <f>IF($A115="","",IFERROR('TMP Paste'!$M115*1,0))</f>
        <v/>
      </c>
      <c r="D115">
        <f>IF($A115="","",SUMIF($B$2:$B115,$B115,$C$2:$C115))</f>
        <v/>
      </c>
      <c r="E115">
        <f>IF($A115="",0,IF('TMP Paste'!$B115="",0,1))</f>
        <v/>
      </c>
      <c r="F115">
        <f>IF(OR($A115="",$C115&lt;1),"",$A115&amp;"-"&amp;TEXT(($D115-$C115+1),"00")&amp;IF($C115&gt;=2,", "&amp;$A115&amp;"-"&amp;TEXT(($D115-$C115+1)+1,"00"),"")&amp;IF($C115&gt;=3,", "&amp;$A115&amp;"-"&amp;TEXT(($D115-$C115+1)+2,"00"),"")&amp;IF($C115&gt;=4,", "&amp;$A115&amp;"-"&amp;TEXT(($D115-$C115+1)+3,"00"),"")&amp;IF($C115&gt;=5,", "&amp;$A115&amp;"-"&amp;TEXT(($D115-$C115+1)+4,"00"),"")&amp;IF($C115&gt;=6,", "&amp;$A115&amp;"-"&amp;TEXT(($D115-$C115+1)+5,"00"),"")&amp;IF($C115&gt;=7,", "&amp;$A115&amp;"-"&amp;TEXT(($D115-$C115+1)+6,"00"),"")&amp;IF($C115&gt;=8,", "&amp;$A115&amp;"-"&amp;TEXT(($D115-$C115+1)+7,"00"),"")&amp;IF($C115&gt;=9,", "&amp;$A115&amp;"-"&amp;TEXT(($D115-$C115+1)+8,"00"),"")&amp;IF($C115&gt;=10,", "&amp;$A115&amp;"-"&amp;TEXT(($D115-$C115+1)+9,"00"),"")&amp;IF($C115&gt;=11,", "&amp;$A115&amp;"-"&amp;TEXT(($D115-$C115+1)+10,"00"),"")&amp;IF($C115&gt;=12,", "&amp;$A115&amp;"-"&amp;TEXT(($D115-$C115+1)+11,"00"),"")&amp;IF($C115&gt;=13,", "&amp;$A115&amp;"-"&amp;TEXT(($D115-$C115+1)+12,"00"),"")&amp;IF($C115&gt;=14,", "&amp;$A115&amp;"-"&amp;TEXT(($D115-$C115+1)+13,"00"),"")&amp;IF($C115&gt;=15,", "&amp;$A115&amp;"-"&amp;TEXT(($D115-$C115+1)+14,"00"),"")&amp;IF($C115&gt;=16,", "&amp;$A115&amp;"-"&amp;TEXT(($D115-$C115+1)+15,"00"),"")&amp;IF($C115&gt;=17,", "&amp;$A115&amp;"-"&amp;TEXT(($D115-$C115+1)+16,"00"),"")&amp;IF($C115&gt;=18,", "&amp;$A115&amp;"-"&amp;TEXT(($D115-$C115+1)+17,"00"),"")&amp;IF($C115&gt;=19,", "&amp;$A115&amp;"-"&amp;TEXT(($D115-$C115+1)+18,"00"),"")&amp;IF($C115&gt;=20,", "&amp;$A115&amp;"-"&amp;TEXT(($D115-$C115+1)+19,"00"),"")&amp;IF($C115&gt;=21,", "&amp;$A115&amp;"-"&amp;TEXT(($D115-$C115+1)+20,"00"),"")&amp;IF($C115&gt;=22,", "&amp;$A115&amp;"-"&amp;TEXT(($D115-$C115+1)+21,"00"),"")&amp;IF($C115&gt;=23,", "&amp;$A115&amp;"-"&amp;TEXT(($D115-$C115+1)+22,"00"),"")&amp;IF($C115&gt;=24,", "&amp;$A115&amp;"-"&amp;TEXT(($D115-$C115+1)+23,"00"),"")&amp;IF($C115&gt;=25,", "&amp;$A115&amp;"-"&amp;TEXT(($D115-$C115+1)+24,"00"),""))</f>
        <v/>
      </c>
      <c r="G115">
        <f>IF($A115="","",IF($E115=1,$F115,IF($F115="",$G114,IF($G114="",$F115,$G114&amp;", "&amp;$F115))))</f>
        <v/>
      </c>
      <c r="H115">
        <f>IF($A115="","",$A115&amp;" ("&amp;$C115&amp;")")</f>
        <v/>
      </c>
      <c r="I115">
        <f>IF($A115="","",IF($E115=1,$H115,$I114&amp;", "&amp;$H115))</f>
        <v/>
      </c>
      <c r="J115">
        <f>IF($A115="","",IF($E115=1,$B115,""))</f>
        <v/>
      </c>
      <c r="K115">
        <f>IF($A115="","",IF(COUNTIF($B$2:$B115,$B115)=COUNTIF($B$2:$B$1601,$B115),$B115,""))</f>
        <v/>
      </c>
    </row>
    <row r="116">
      <c r="A116">
        <f>IF('TMP Paste'!$E116="","",'TMP Paste'!$E116)</f>
        <v/>
      </c>
      <c r="B116">
        <f>IF($A116="","",COUNTIF('TMP Paste'!$B$2:$B116,"?*"))</f>
        <v/>
      </c>
      <c r="C116">
        <f>IF($A116="","",IFERROR('TMP Paste'!$M116*1,0))</f>
        <v/>
      </c>
      <c r="D116">
        <f>IF($A116="","",SUMIF($B$2:$B116,$B116,$C$2:$C116))</f>
        <v/>
      </c>
      <c r="E116">
        <f>IF($A116="",0,IF('TMP Paste'!$B116="",0,1))</f>
        <v/>
      </c>
      <c r="F116">
        <f>IF(OR($A116="",$C116&lt;1),"",$A116&amp;"-"&amp;TEXT(($D116-$C116+1),"00")&amp;IF($C116&gt;=2,", "&amp;$A116&amp;"-"&amp;TEXT(($D116-$C116+1)+1,"00"),"")&amp;IF($C116&gt;=3,", "&amp;$A116&amp;"-"&amp;TEXT(($D116-$C116+1)+2,"00"),"")&amp;IF($C116&gt;=4,", "&amp;$A116&amp;"-"&amp;TEXT(($D116-$C116+1)+3,"00"),"")&amp;IF($C116&gt;=5,", "&amp;$A116&amp;"-"&amp;TEXT(($D116-$C116+1)+4,"00"),"")&amp;IF($C116&gt;=6,", "&amp;$A116&amp;"-"&amp;TEXT(($D116-$C116+1)+5,"00"),"")&amp;IF($C116&gt;=7,", "&amp;$A116&amp;"-"&amp;TEXT(($D116-$C116+1)+6,"00"),"")&amp;IF($C116&gt;=8,", "&amp;$A116&amp;"-"&amp;TEXT(($D116-$C116+1)+7,"00"),"")&amp;IF($C116&gt;=9,", "&amp;$A116&amp;"-"&amp;TEXT(($D116-$C116+1)+8,"00"),"")&amp;IF($C116&gt;=10,", "&amp;$A116&amp;"-"&amp;TEXT(($D116-$C116+1)+9,"00"),"")&amp;IF($C116&gt;=11,", "&amp;$A116&amp;"-"&amp;TEXT(($D116-$C116+1)+10,"00"),"")&amp;IF($C116&gt;=12,", "&amp;$A116&amp;"-"&amp;TEXT(($D116-$C116+1)+11,"00"),"")&amp;IF($C116&gt;=13,", "&amp;$A116&amp;"-"&amp;TEXT(($D116-$C116+1)+12,"00"),"")&amp;IF($C116&gt;=14,", "&amp;$A116&amp;"-"&amp;TEXT(($D116-$C116+1)+13,"00"),"")&amp;IF($C116&gt;=15,", "&amp;$A116&amp;"-"&amp;TEXT(($D116-$C116+1)+14,"00"),"")&amp;IF($C116&gt;=16,", "&amp;$A116&amp;"-"&amp;TEXT(($D116-$C116+1)+15,"00"),"")&amp;IF($C116&gt;=17,", "&amp;$A116&amp;"-"&amp;TEXT(($D116-$C116+1)+16,"00"),"")&amp;IF($C116&gt;=18,", "&amp;$A116&amp;"-"&amp;TEXT(($D116-$C116+1)+17,"00"),"")&amp;IF($C116&gt;=19,", "&amp;$A116&amp;"-"&amp;TEXT(($D116-$C116+1)+18,"00"),"")&amp;IF($C116&gt;=20,", "&amp;$A116&amp;"-"&amp;TEXT(($D116-$C116+1)+19,"00"),"")&amp;IF($C116&gt;=21,", "&amp;$A116&amp;"-"&amp;TEXT(($D116-$C116+1)+20,"00"),"")&amp;IF($C116&gt;=22,", "&amp;$A116&amp;"-"&amp;TEXT(($D116-$C116+1)+21,"00"),"")&amp;IF($C116&gt;=23,", "&amp;$A116&amp;"-"&amp;TEXT(($D116-$C116+1)+22,"00"),"")&amp;IF($C116&gt;=24,", "&amp;$A116&amp;"-"&amp;TEXT(($D116-$C116+1)+23,"00"),"")&amp;IF($C116&gt;=25,", "&amp;$A116&amp;"-"&amp;TEXT(($D116-$C116+1)+24,"00"),""))</f>
        <v/>
      </c>
      <c r="G116">
        <f>IF($A116="","",IF($E116=1,$F116,IF($F116="",$G115,IF($G115="",$F116,$G115&amp;", "&amp;$F116))))</f>
        <v/>
      </c>
      <c r="H116">
        <f>IF($A116="","",$A116&amp;" ("&amp;$C116&amp;")")</f>
        <v/>
      </c>
      <c r="I116">
        <f>IF($A116="","",IF($E116=1,$H116,$I115&amp;", "&amp;$H116))</f>
        <v/>
      </c>
      <c r="J116">
        <f>IF($A116="","",IF($E116=1,$B116,""))</f>
        <v/>
      </c>
      <c r="K116">
        <f>IF($A116="","",IF(COUNTIF($B$2:$B116,$B116)=COUNTIF($B$2:$B$1601,$B116),$B116,""))</f>
        <v/>
      </c>
    </row>
    <row r="117">
      <c r="A117">
        <f>IF('TMP Paste'!$E117="","",'TMP Paste'!$E117)</f>
        <v/>
      </c>
      <c r="B117">
        <f>IF($A117="","",COUNTIF('TMP Paste'!$B$2:$B117,"?*"))</f>
        <v/>
      </c>
      <c r="C117">
        <f>IF($A117="","",IFERROR('TMP Paste'!$M117*1,0))</f>
        <v/>
      </c>
      <c r="D117">
        <f>IF($A117="","",SUMIF($B$2:$B117,$B117,$C$2:$C117))</f>
        <v/>
      </c>
      <c r="E117">
        <f>IF($A117="",0,IF('TMP Paste'!$B117="",0,1))</f>
        <v/>
      </c>
      <c r="F117">
        <f>IF(OR($A117="",$C117&lt;1),"",$A117&amp;"-"&amp;TEXT(($D117-$C117+1),"00")&amp;IF($C117&gt;=2,", "&amp;$A117&amp;"-"&amp;TEXT(($D117-$C117+1)+1,"00"),"")&amp;IF($C117&gt;=3,", "&amp;$A117&amp;"-"&amp;TEXT(($D117-$C117+1)+2,"00"),"")&amp;IF($C117&gt;=4,", "&amp;$A117&amp;"-"&amp;TEXT(($D117-$C117+1)+3,"00"),"")&amp;IF($C117&gt;=5,", "&amp;$A117&amp;"-"&amp;TEXT(($D117-$C117+1)+4,"00"),"")&amp;IF($C117&gt;=6,", "&amp;$A117&amp;"-"&amp;TEXT(($D117-$C117+1)+5,"00"),"")&amp;IF($C117&gt;=7,", "&amp;$A117&amp;"-"&amp;TEXT(($D117-$C117+1)+6,"00"),"")&amp;IF($C117&gt;=8,", "&amp;$A117&amp;"-"&amp;TEXT(($D117-$C117+1)+7,"00"),"")&amp;IF($C117&gt;=9,", "&amp;$A117&amp;"-"&amp;TEXT(($D117-$C117+1)+8,"00"),"")&amp;IF($C117&gt;=10,", "&amp;$A117&amp;"-"&amp;TEXT(($D117-$C117+1)+9,"00"),"")&amp;IF($C117&gt;=11,", "&amp;$A117&amp;"-"&amp;TEXT(($D117-$C117+1)+10,"00"),"")&amp;IF($C117&gt;=12,", "&amp;$A117&amp;"-"&amp;TEXT(($D117-$C117+1)+11,"00"),"")&amp;IF($C117&gt;=13,", "&amp;$A117&amp;"-"&amp;TEXT(($D117-$C117+1)+12,"00"),"")&amp;IF($C117&gt;=14,", "&amp;$A117&amp;"-"&amp;TEXT(($D117-$C117+1)+13,"00"),"")&amp;IF($C117&gt;=15,", "&amp;$A117&amp;"-"&amp;TEXT(($D117-$C117+1)+14,"00"),"")&amp;IF($C117&gt;=16,", "&amp;$A117&amp;"-"&amp;TEXT(($D117-$C117+1)+15,"00"),"")&amp;IF($C117&gt;=17,", "&amp;$A117&amp;"-"&amp;TEXT(($D117-$C117+1)+16,"00"),"")&amp;IF($C117&gt;=18,", "&amp;$A117&amp;"-"&amp;TEXT(($D117-$C117+1)+17,"00"),"")&amp;IF($C117&gt;=19,", "&amp;$A117&amp;"-"&amp;TEXT(($D117-$C117+1)+18,"00"),"")&amp;IF($C117&gt;=20,", "&amp;$A117&amp;"-"&amp;TEXT(($D117-$C117+1)+19,"00"),"")&amp;IF($C117&gt;=21,", "&amp;$A117&amp;"-"&amp;TEXT(($D117-$C117+1)+20,"00"),"")&amp;IF($C117&gt;=22,", "&amp;$A117&amp;"-"&amp;TEXT(($D117-$C117+1)+21,"00"),"")&amp;IF($C117&gt;=23,", "&amp;$A117&amp;"-"&amp;TEXT(($D117-$C117+1)+22,"00"),"")&amp;IF($C117&gt;=24,", "&amp;$A117&amp;"-"&amp;TEXT(($D117-$C117+1)+23,"00"),"")&amp;IF($C117&gt;=25,", "&amp;$A117&amp;"-"&amp;TEXT(($D117-$C117+1)+24,"00"),""))</f>
        <v/>
      </c>
      <c r="G117">
        <f>IF($A117="","",IF($E117=1,$F117,IF($F117="",$G116,IF($G116="",$F117,$G116&amp;", "&amp;$F117))))</f>
        <v/>
      </c>
      <c r="H117">
        <f>IF($A117="","",$A117&amp;" ("&amp;$C117&amp;")")</f>
        <v/>
      </c>
      <c r="I117">
        <f>IF($A117="","",IF($E117=1,$H117,$I116&amp;", "&amp;$H117))</f>
        <v/>
      </c>
      <c r="J117">
        <f>IF($A117="","",IF($E117=1,$B117,""))</f>
        <v/>
      </c>
      <c r="K117">
        <f>IF($A117="","",IF(COUNTIF($B$2:$B117,$B117)=COUNTIF($B$2:$B$1601,$B117),$B117,""))</f>
        <v/>
      </c>
    </row>
    <row r="118">
      <c r="A118">
        <f>IF('TMP Paste'!$E118="","",'TMP Paste'!$E118)</f>
        <v/>
      </c>
      <c r="B118">
        <f>IF($A118="","",COUNTIF('TMP Paste'!$B$2:$B118,"?*"))</f>
        <v/>
      </c>
      <c r="C118">
        <f>IF($A118="","",IFERROR('TMP Paste'!$M118*1,0))</f>
        <v/>
      </c>
      <c r="D118">
        <f>IF($A118="","",SUMIF($B$2:$B118,$B118,$C$2:$C118))</f>
        <v/>
      </c>
      <c r="E118">
        <f>IF($A118="",0,IF('TMP Paste'!$B118="",0,1))</f>
        <v/>
      </c>
      <c r="F118">
        <f>IF(OR($A118="",$C118&lt;1),"",$A118&amp;"-"&amp;TEXT(($D118-$C118+1),"00")&amp;IF($C118&gt;=2,", "&amp;$A118&amp;"-"&amp;TEXT(($D118-$C118+1)+1,"00"),"")&amp;IF($C118&gt;=3,", "&amp;$A118&amp;"-"&amp;TEXT(($D118-$C118+1)+2,"00"),"")&amp;IF($C118&gt;=4,", "&amp;$A118&amp;"-"&amp;TEXT(($D118-$C118+1)+3,"00"),"")&amp;IF($C118&gt;=5,", "&amp;$A118&amp;"-"&amp;TEXT(($D118-$C118+1)+4,"00"),"")&amp;IF($C118&gt;=6,", "&amp;$A118&amp;"-"&amp;TEXT(($D118-$C118+1)+5,"00"),"")&amp;IF($C118&gt;=7,", "&amp;$A118&amp;"-"&amp;TEXT(($D118-$C118+1)+6,"00"),"")&amp;IF($C118&gt;=8,", "&amp;$A118&amp;"-"&amp;TEXT(($D118-$C118+1)+7,"00"),"")&amp;IF($C118&gt;=9,", "&amp;$A118&amp;"-"&amp;TEXT(($D118-$C118+1)+8,"00"),"")&amp;IF($C118&gt;=10,", "&amp;$A118&amp;"-"&amp;TEXT(($D118-$C118+1)+9,"00"),"")&amp;IF($C118&gt;=11,", "&amp;$A118&amp;"-"&amp;TEXT(($D118-$C118+1)+10,"00"),"")&amp;IF($C118&gt;=12,", "&amp;$A118&amp;"-"&amp;TEXT(($D118-$C118+1)+11,"00"),"")&amp;IF($C118&gt;=13,", "&amp;$A118&amp;"-"&amp;TEXT(($D118-$C118+1)+12,"00"),"")&amp;IF($C118&gt;=14,", "&amp;$A118&amp;"-"&amp;TEXT(($D118-$C118+1)+13,"00"),"")&amp;IF($C118&gt;=15,", "&amp;$A118&amp;"-"&amp;TEXT(($D118-$C118+1)+14,"00"),"")&amp;IF($C118&gt;=16,", "&amp;$A118&amp;"-"&amp;TEXT(($D118-$C118+1)+15,"00"),"")&amp;IF($C118&gt;=17,", "&amp;$A118&amp;"-"&amp;TEXT(($D118-$C118+1)+16,"00"),"")&amp;IF($C118&gt;=18,", "&amp;$A118&amp;"-"&amp;TEXT(($D118-$C118+1)+17,"00"),"")&amp;IF($C118&gt;=19,", "&amp;$A118&amp;"-"&amp;TEXT(($D118-$C118+1)+18,"00"),"")&amp;IF($C118&gt;=20,", "&amp;$A118&amp;"-"&amp;TEXT(($D118-$C118+1)+19,"00"),"")&amp;IF($C118&gt;=21,", "&amp;$A118&amp;"-"&amp;TEXT(($D118-$C118+1)+20,"00"),"")&amp;IF($C118&gt;=22,", "&amp;$A118&amp;"-"&amp;TEXT(($D118-$C118+1)+21,"00"),"")&amp;IF($C118&gt;=23,", "&amp;$A118&amp;"-"&amp;TEXT(($D118-$C118+1)+22,"00"),"")&amp;IF($C118&gt;=24,", "&amp;$A118&amp;"-"&amp;TEXT(($D118-$C118+1)+23,"00"),"")&amp;IF($C118&gt;=25,", "&amp;$A118&amp;"-"&amp;TEXT(($D118-$C118+1)+24,"00"),""))</f>
        <v/>
      </c>
      <c r="G118">
        <f>IF($A118="","",IF($E118=1,$F118,IF($F118="",$G117,IF($G117="",$F118,$G117&amp;", "&amp;$F118))))</f>
        <v/>
      </c>
      <c r="H118">
        <f>IF($A118="","",$A118&amp;" ("&amp;$C118&amp;")")</f>
        <v/>
      </c>
      <c r="I118">
        <f>IF($A118="","",IF($E118=1,$H118,$I117&amp;", "&amp;$H118))</f>
        <v/>
      </c>
      <c r="J118">
        <f>IF($A118="","",IF($E118=1,$B118,""))</f>
        <v/>
      </c>
      <c r="K118">
        <f>IF($A118="","",IF(COUNTIF($B$2:$B118,$B118)=COUNTIF($B$2:$B$1601,$B118),$B118,""))</f>
        <v/>
      </c>
    </row>
    <row r="119">
      <c r="A119">
        <f>IF('TMP Paste'!$E119="","",'TMP Paste'!$E119)</f>
        <v/>
      </c>
      <c r="B119">
        <f>IF($A119="","",COUNTIF('TMP Paste'!$B$2:$B119,"?*"))</f>
        <v/>
      </c>
      <c r="C119">
        <f>IF($A119="","",IFERROR('TMP Paste'!$M119*1,0))</f>
        <v/>
      </c>
      <c r="D119">
        <f>IF($A119="","",SUMIF($B$2:$B119,$B119,$C$2:$C119))</f>
        <v/>
      </c>
      <c r="E119">
        <f>IF($A119="",0,IF('TMP Paste'!$B119="",0,1))</f>
        <v/>
      </c>
      <c r="F119">
        <f>IF(OR($A119="",$C119&lt;1),"",$A119&amp;"-"&amp;TEXT(($D119-$C119+1),"00")&amp;IF($C119&gt;=2,", "&amp;$A119&amp;"-"&amp;TEXT(($D119-$C119+1)+1,"00"),"")&amp;IF($C119&gt;=3,", "&amp;$A119&amp;"-"&amp;TEXT(($D119-$C119+1)+2,"00"),"")&amp;IF($C119&gt;=4,", "&amp;$A119&amp;"-"&amp;TEXT(($D119-$C119+1)+3,"00"),"")&amp;IF($C119&gt;=5,", "&amp;$A119&amp;"-"&amp;TEXT(($D119-$C119+1)+4,"00"),"")&amp;IF($C119&gt;=6,", "&amp;$A119&amp;"-"&amp;TEXT(($D119-$C119+1)+5,"00"),"")&amp;IF($C119&gt;=7,", "&amp;$A119&amp;"-"&amp;TEXT(($D119-$C119+1)+6,"00"),"")&amp;IF($C119&gt;=8,", "&amp;$A119&amp;"-"&amp;TEXT(($D119-$C119+1)+7,"00"),"")&amp;IF($C119&gt;=9,", "&amp;$A119&amp;"-"&amp;TEXT(($D119-$C119+1)+8,"00"),"")&amp;IF($C119&gt;=10,", "&amp;$A119&amp;"-"&amp;TEXT(($D119-$C119+1)+9,"00"),"")&amp;IF($C119&gt;=11,", "&amp;$A119&amp;"-"&amp;TEXT(($D119-$C119+1)+10,"00"),"")&amp;IF($C119&gt;=12,", "&amp;$A119&amp;"-"&amp;TEXT(($D119-$C119+1)+11,"00"),"")&amp;IF($C119&gt;=13,", "&amp;$A119&amp;"-"&amp;TEXT(($D119-$C119+1)+12,"00"),"")&amp;IF($C119&gt;=14,", "&amp;$A119&amp;"-"&amp;TEXT(($D119-$C119+1)+13,"00"),"")&amp;IF($C119&gt;=15,", "&amp;$A119&amp;"-"&amp;TEXT(($D119-$C119+1)+14,"00"),"")&amp;IF($C119&gt;=16,", "&amp;$A119&amp;"-"&amp;TEXT(($D119-$C119+1)+15,"00"),"")&amp;IF($C119&gt;=17,", "&amp;$A119&amp;"-"&amp;TEXT(($D119-$C119+1)+16,"00"),"")&amp;IF($C119&gt;=18,", "&amp;$A119&amp;"-"&amp;TEXT(($D119-$C119+1)+17,"00"),"")&amp;IF($C119&gt;=19,", "&amp;$A119&amp;"-"&amp;TEXT(($D119-$C119+1)+18,"00"),"")&amp;IF($C119&gt;=20,", "&amp;$A119&amp;"-"&amp;TEXT(($D119-$C119+1)+19,"00"),"")&amp;IF($C119&gt;=21,", "&amp;$A119&amp;"-"&amp;TEXT(($D119-$C119+1)+20,"00"),"")&amp;IF($C119&gt;=22,", "&amp;$A119&amp;"-"&amp;TEXT(($D119-$C119+1)+21,"00"),"")&amp;IF($C119&gt;=23,", "&amp;$A119&amp;"-"&amp;TEXT(($D119-$C119+1)+22,"00"),"")&amp;IF($C119&gt;=24,", "&amp;$A119&amp;"-"&amp;TEXT(($D119-$C119+1)+23,"00"),"")&amp;IF($C119&gt;=25,", "&amp;$A119&amp;"-"&amp;TEXT(($D119-$C119+1)+24,"00"),""))</f>
        <v/>
      </c>
      <c r="G119">
        <f>IF($A119="","",IF($E119=1,$F119,IF($F119="",$G118,IF($G118="",$F119,$G118&amp;", "&amp;$F119))))</f>
        <v/>
      </c>
      <c r="H119">
        <f>IF($A119="","",$A119&amp;" ("&amp;$C119&amp;")")</f>
        <v/>
      </c>
      <c r="I119">
        <f>IF($A119="","",IF($E119=1,$H119,$I118&amp;", "&amp;$H119))</f>
        <v/>
      </c>
      <c r="J119">
        <f>IF($A119="","",IF($E119=1,$B119,""))</f>
        <v/>
      </c>
      <c r="K119">
        <f>IF($A119="","",IF(COUNTIF($B$2:$B119,$B119)=COUNTIF($B$2:$B$1601,$B119),$B119,""))</f>
        <v/>
      </c>
    </row>
    <row r="120">
      <c r="A120">
        <f>IF('TMP Paste'!$E120="","",'TMP Paste'!$E120)</f>
        <v/>
      </c>
      <c r="B120">
        <f>IF($A120="","",COUNTIF('TMP Paste'!$B$2:$B120,"?*"))</f>
        <v/>
      </c>
      <c r="C120">
        <f>IF($A120="","",IFERROR('TMP Paste'!$M120*1,0))</f>
        <v/>
      </c>
      <c r="D120">
        <f>IF($A120="","",SUMIF($B$2:$B120,$B120,$C$2:$C120))</f>
        <v/>
      </c>
      <c r="E120">
        <f>IF($A120="",0,IF('TMP Paste'!$B120="",0,1))</f>
        <v/>
      </c>
      <c r="F120">
        <f>IF(OR($A120="",$C120&lt;1),"",$A120&amp;"-"&amp;TEXT(($D120-$C120+1),"00")&amp;IF($C120&gt;=2,", "&amp;$A120&amp;"-"&amp;TEXT(($D120-$C120+1)+1,"00"),"")&amp;IF($C120&gt;=3,", "&amp;$A120&amp;"-"&amp;TEXT(($D120-$C120+1)+2,"00"),"")&amp;IF($C120&gt;=4,", "&amp;$A120&amp;"-"&amp;TEXT(($D120-$C120+1)+3,"00"),"")&amp;IF($C120&gt;=5,", "&amp;$A120&amp;"-"&amp;TEXT(($D120-$C120+1)+4,"00"),"")&amp;IF($C120&gt;=6,", "&amp;$A120&amp;"-"&amp;TEXT(($D120-$C120+1)+5,"00"),"")&amp;IF($C120&gt;=7,", "&amp;$A120&amp;"-"&amp;TEXT(($D120-$C120+1)+6,"00"),"")&amp;IF($C120&gt;=8,", "&amp;$A120&amp;"-"&amp;TEXT(($D120-$C120+1)+7,"00"),"")&amp;IF($C120&gt;=9,", "&amp;$A120&amp;"-"&amp;TEXT(($D120-$C120+1)+8,"00"),"")&amp;IF($C120&gt;=10,", "&amp;$A120&amp;"-"&amp;TEXT(($D120-$C120+1)+9,"00"),"")&amp;IF($C120&gt;=11,", "&amp;$A120&amp;"-"&amp;TEXT(($D120-$C120+1)+10,"00"),"")&amp;IF($C120&gt;=12,", "&amp;$A120&amp;"-"&amp;TEXT(($D120-$C120+1)+11,"00"),"")&amp;IF($C120&gt;=13,", "&amp;$A120&amp;"-"&amp;TEXT(($D120-$C120+1)+12,"00"),"")&amp;IF($C120&gt;=14,", "&amp;$A120&amp;"-"&amp;TEXT(($D120-$C120+1)+13,"00"),"")&amp;IF($C120&gt;=15,", "&amp;$A120&amp;"-"&amp;TEXT(($D120-$C120+1)+14,"00"),"")&amp;IF($C120&gt;=16,", "&amp;$A120&amp;"-"&amp;TEXT(($D120-$C120+1)+15,"00"),"")&amp;IF($C120&gt;=17,", "&amp;$A120&amp;"-"&amp;TEXT(($D120-$C120+1)+16,"00"),"")&amp;IF($C120&gt;=18,", "&amp;$A120&amp;"-"&amp;TEXT(($D120-$C120+1)+17,"00"),"")&amp;IF($C120&gt;=19,", "&amp;$A120&amp;"-"&amp;TEXT(($D120-$C120+1)+18,"00"),"")&amp;IF($C120&gt;=20,", "&amp;$A120&amp;"-"&amp;TEXT(($D120-$C120+1)+19,"00"),"")&amp;IF($C120&gt;=21,", "&amp;$A120&amp;"-"&amp;TEXT(($D120-$C120+1)+20,"00"),"")&amp;IF($C120&gt;=22,", "&amp;$A120&amp;"-"&amp;TEXT(($D120-$C120+1)+21,"00"),"")&amp;IF($C120&gt;=23,", "&amp;$A120&amp;"-"&amp;TEXT(($D120-$C120+1)+22,"00"),"")&amp;IF($C120&gt;=24,", "&amp;$A120&amp;"-"&amp;TEXT(($D120-$C120+1)+23,"00"),"")&amp;IF($C120&gt;=25,", "&amp;$A120&amp;"-"&amp;TEXT(($D120-$C120+1)+24,"00"),""))</f>
        <v/>
      </c>
      <c r="G120">
        <f>IF($A120="","",IF($E120=1,$F120,IF($F120="",$G119,IF($G119="",$F120,$G119&amp;", "&amp;$F120))))</f>
        <v/>
      </c>
      <c r="H120">
        <f>IF($A120="","",$A120&amp;" ("&amp;$C120&amp;")")</f>
        <v/>
      </c>
      <c r="I120">
        <f>IF($A120="","",IF($E120=1,$H120,$I119&amp;", "&amp;$H120))</f>
        <v/>
      </c>
      <c r="J120">
        <f>IF($A120="","",IF($E120=1,$B120,""))</f>
        <v/>
      </c>
      <c r="K120">
        <f>IF($A120="","",IF(COUNTIF($B$2:$B120,$B120)=COUNTIF($B$2:$B$1601,$B120),$B120,""))</f>
        <v/>
      </c>
    </row>
    <row r="121">
      <c r="A121">
        <f>IF('TMP Paste'!$E121="","",'TMP Paste'!$E121)</f>
        <v/>
      </c>
      <c r="B121">
        <f>IF($A121="","",COUNTIF('TMP Paste'!$B$2:$B121,"?*"))</f>
        <v/>
      </c>
      <c r="C121">
        <f>IF($A121="","",IFERROR('TMP Paste'!$M121*1,0))</f>
        <v/>
      </c>
      <c r="D121">
        <f>IF($A121="","",SUMIF($B$2:$B121,$B121,$C$2:$C121))</f>
        <v/>
      </c>
      <c r="E121">
        <f>IF($A121="",0,IF('TMP Paste'!$B121="",0,1))</f>
        <v/>
      </c>
      <c r="F121">
        <f>IF(OR($A121="",$C121&lt;1),"",$A121&amp;"-"&amp;TEXT(($D121-$C121+1),"00")&amp;IF($C121&gt;=2,", "&amp;$A121&amp;"-"&amp;TEXT(($D121-$C121+1)+1,"00"),"")&amp;IF($C121&gt;=3,", "&amp;$A121&amp;"-"&amp;TEXT(($D121-$C121+1)+2,"00"),"")&amp;IF($C121&gt;=4,", "&amp;$A121&amp;"-"&amp;TEXT(($D121-$C121+1)+3,"00"),"")&amp;IF($C121&gt;=5,", "&amp;$A121&amp;"-"&amp;TEXT(($D121-$C121+1)+4,"00"),"")&amp;IF($C121&gt;=6,", "&amp;$A121&amp;"-"&amp;TEXT(($D121-$C121+1)+5,"00"),"")&amp;IF($C121&gt;=7,", "&amp;$A121&amp;"-"&amp;TEXT(($D121-$C121+1)+6,"00"),"")&amp;IF($C121&gt;=8,", "&amp;$A121&amp;"-"&amp;TEXT(($D121-$C121+1)+7,"00"),"")&amp;IF($C121&gt;=9,", "&amp;$A121&amp;"-"&amp;TEXT(($D121-$C121+1)+8,"00"),"")&amp;IF($C121&gt;=10,", "&amp;$A121&amp;"-"&amp;TEXT(($D121-$C121+1)+9,"00"),"")&amp;IF($C121&gt;=11,", "&amp;$A121&amp;"-"&amp;TEXT(($D121-$C121+1)+10,"00"),"")&amp;IF($C121&gt;=12,", "&amp;$A121&amp;"-"&amp;TEXT(($D121-$C121+1)+11,"00"),"")&amp;IF($C121&gt;=13,", "&amp;$A121&amp;"-"&amp;TEXT(($D121-$C121+1)+12,"00"),"")&amp;IF($C121&gt;=14,", "&amp;$A121&amp;"-"&amp;TEXT(($D121-$C121+1)+13,"00"),"")&amp;IF($C121&gt;=15,", "&amp;$A121&amp;"-"&amp;TEXT(($D121-$C121+1)+14,"00"),"")&amp;IF($C121&gt;=16,", "&amp;$A121&amp;"-"&amp;TEXT(($D121-$C121+1)+15,"00"),"")&amp;IF($C121&gt;=17,", "&amp;$A121&amp;"-"&amp;TEXT(($D121-$C121+1)+16,"00"),"")&amp;IF($C121&gt;=18,", "&amp;$A121&amp;"-"&amp;TEXT(($D121-$C121+1)+17,"00"),"")&amp;IF($C121&gt;=19,", "&amp;$A121&amp;"-"&amp;TEXT(($D121-$C121+1)+18,"00"),"")&amp;IF($C121&gt;=20,", "&amp;$A121&amp;"-"&amp;TEXT(($D121-$C121+1)+19,"00"),"")&amp;IF($C121&gt;=21,", "&amp;$A121&amp;"-"&amp;TEXT(($D121-$C121+1)+20,"00"),"")&amp;IF($C121&gt;=22,", "&amp;$A121&amp;"-"&amp;TEXT(($D121-$C121+1)+21,"00"),"")&amp;IF($C121&gt;=23,", "&amp;$A121&amp;"-"&amp;TEXT(($D121-$C121+1)+22,"00"),"")&amp;IF($C121&gt;=24,", "&amp;$A121&amp;"-"&amp;TEXT(($D121-$C121+1)+23,"00"),"")&amp;IF($C121&gt;=25,", "&amp;$A121&amp;"-"&amp;TEXT(($D121-$C121+1)+24,"00"),""))</f>
        <v/>
      </c>
      <c r="G121">
        <f>IF($A121="","",IF($E121=1,$F121,IF($F121="",$G120,IF($G120="",$F121,$G120&amp;", "&amp;$F121))))</f>
        <v/>
      </c>
      <c r="H121">
        <f>IF($A121="","",$A121&amp;" ("&amp;$C121&amp;")")</f>
        <v/>
      </c>
      <c r="I121">
        <f>IF($A121="","",IF($E121=1,$H121,$I120&amp;", "&amp;$H121))</f>
        <v/>
      </c>
      <c r="J121">
        <f>IF($A121="","",IF($E121=1,$B121,""))</f>
        <v/>
      </c>
      <c r="K121">
        <f>IF($A121="","",IF(COUNTIF($B$2:$B121,$B121)=COUNTIF($B$2:$B$1601,$B121),$B121,""))</f>
        <v/>
      </c>
    </row>
    <row r="122">
      <c r="A122">
        <f>IF('TMP Paste'!$E122="","",'TMP Paste'!$E122)</f>
        <v/>
      </c>
      <c r="B122">
        <f>IF($A122="","",COUNTIF('TMP Paste'!$B$2:$B122,"?*"))</f>
        <v/>
      </c>
      <c r="C122">
        <f>IF($A122="","",IFERROR('TMP Paste'!$M122*1,0))</f>
        <v/>
      </c>
      <c r="D122">
        <f>IF($A122="","",SUMIF($B$2:$B122,$B122,$C$2:$C122))</f>
        <v/>
      </c>
      <c r="E122">
        <f>IF($A122="",0,IF('TMP Paste'!$B122="",0,1))</f>
        <v/>
      </c>
      <c r="F122">
        <f>IF(OR($A122="",$C122&lt;1),"",$A122&amp;"-"&amp;TEXT(($D122-$C122+1),"00")&amp;IF($C122&gt;=2,", "&amp;$A122&amp;"-"&amp;TEXT(($D122-$C122+1)+1,"00"),"")&amp;IF($C122&gt;=3,", "&amp;$A122&amp;"-"&amp;TEXT(($D122-$C122+1)+2,"00"),"")&amp;IF($C122&gt;=4,", "&amp;$A122&amp;"-"&amp;TEXT(($D122-$C122+1)+3,"00"),"")&amp;IF($C122&gt;=5,", "&amp;$A122&amp;"-"&amp;TEXT(($D122-$C122+1)+4,"00"),"")&amp;IF($C122&gt;=6,", "&amp;$A122&amp;"-"&amp;TEXT(($D122-$C122+1)+5,"00"),"")&amp;IF($C122&gt;=7,", "&amp;$A122&amp;"-"&amp;TEXT(($D122-$C122+1)+6,"00"),"")&amp;IF($C122&gt;=8,", "&amp;$A122&amp;"-"&amp;TEXT(($D122-$C122+1)+7,"00"),"")&amp;IF($C122&gt;=9,", "&amp;$A122&amp;"-"&amp;TEXT(($D122-$C122+1)+8,"00"),"")&amp;IF($C122&gt;=10,", "&amp;$A122&amp;"-"&amp;TEXT(($D122-$C122+1)+9,"00"),"")&amp;IF($C122&gt;=11,", "&amp;$A122&amp;"-"&amp;TEXT(($D122-$C122+1)+10,"00"),"")&amp;IF($C122&gt;=12,", "&amp;$A122&amp;"-"&amp;TEXT(($D122-$C122+1)+11,"00"),"")&amp;IF($C122&gt;=13,", "&amp;$A122&amp;"-"&amp;TEXT(($D122-$C122+1)+12,"00"),"")&amp;IF($C122&gt;=14,", "&amp;$A122&amp;"-"&amp;TEXT(($D122-$C122+1)+13,"00"),"")&amp;IF($C122&gt;=15,", "&amp;$A122&amp;"-"&amp;TEXT(($D122-$C122+1)+14,"00"),"")&amp;IF($C122&gt;=16,", "&amp;$A122&amp;"-"&amp;TEXT(($D122-$C122+1)+15,"00"),"")&amp;IF($C122&gt;=17,", "&amp;$A122&amp;"-"&amp;TEXT(($D122-$C122+1)+16,"00"),"")&amp;IF($C122&gt;=18,", "&amp;$A122&amp;"-"&amp;TEXT(($D122-$C122+1)+17,"00"),"")&amp;IF($C122&gt;=19,", "&amp;$A122&amp;"-"&amp;TEXT(($D122-$C122+1)+18,"00"),"")&amp;IF($C122&gt;=20,", "&amp;$A122&amp;"-"&amp;TEXT(($D122-$C122+1)+19,"00"),"")&amp;IF($C122&gt;=21,", "&amp;$A122&amp;"-"&amp;TEXT(($D122-$C122+1)+20,"00"),"")&amp;IF($C122&gt;=22,", "&amp;$A122&amp;"-"&amp;TEXT(($D122-$C122+1)+21,"00"),"")&amp;IF($C122&gt;=23,", "&amp;$A122&amp;"-"&amp;TEXT(($D122-$C122+1)+22,"00"),"")&amp;IF($C122&gt;=24,", "&amp;$A122&amp;"-"&amp;TEXT(($D122-$C122+1)+23,"00"),"")&amp;IF($C122&gt;=25,", "&amp;$A122&amp;"-"&amp;TEXT(($D122-$C122+1)+24,"00"),""))</f>
        <v/>
      </c>
      <c r="G122">
        <f>IF($A122="","",IF($E122=1,$F122,IF($F122="",$G121,IF($G121="",$F122,$G121&amp;", "&amp;$F122))))</f>
        <v/>
      </c>
      <c r="H122">
        <f>IF($A122="","",$A122&amp;" ("&amp;$C122&amp;")")</f>
        <v/>
      </c>
      <c r="I122">
        <f>IF($A122="","",IF($E122=1,$H122,$I121&amp;", "&amp;$H122))</f>
        <v/>
      </c>
      <c r="J122">
        <f>IF($A122="","",IF($E122=1,$B122,""))</f>
        <v/>
      </c>
      <c r="K122">
        <f>IF($A122="","",IF(COUNTIF($B$2:$B122,$B122)=COUNTIF($B$2:$B$1601,$B122),$B122,""))</f>
        <v/>
      </c>
    </row>
    <row r="123">
      <c r="A123">
        <f>IF('TMP Paste'!$E123="","",'TMP Paste'!$E123)</f>
        <v/>
      </c>
      <c r="B123">
        <f>IF($A123="","",COUNTIF('TMP Paste'!$B$2:$B123,"?*"))</f>
        <v/>
      </c>
      <c r="C123">
        <f>IF($A123="","",IFERROR('TMP Paste'!$M123*1,0))</f>
        <v/>
      </c>
      <c r="D123">
        <f>IF($A123="","",SUMIF($B$2:$B123,$B123,$C$2:$C123))</f>
        <v/>
      </c>
      <c r="E123">
        <f>IF($A123="",0,IF('TMP Paste'!$B123="",0,1))</f>
        <v/>
      </c>
      <c r="F123">
        <f>IF(OR($A123="",$C123&lt;1),"",$A123&amp;"-"&amp;TEXT(($D123-$C123+1),"00")&amp;IF($C123&gt;=2,", "&amp;$A123&amp;"-"&amp;TEXT(($D123-$C123+1)+1,"00"),"")&amp;IF($C123&gt;=3,", "&amp;$A123&amp;"-"&amp;TEXT(($D123-$C123+1)+2,"00"),"")&amp;IF($C123&gt;=4,", "&amp;$A123&amp;"-"&amp;TEXT(($D123-$C123+1)+3,"00"),"")&amp;IF($C123&gt;=5,", "&amp;$A123&amp;"-"&amp;TEXT(($D123-$C123+1)+4,"00"),"")&amp;IF($C123&gt;=6,", "&amp;$A123&amp;"-"&amp;TEXT(($D123-$C123+1)+5,"00"),"")&amp;IF($C123&gt;=7,", "&amp;$A123&amp;"-"&amp;TEXT(($D123-$C123+1)+6,"00"),"")&amp;IF($C123&gt;=8,", "&amp;$A123&amp;"-"&amp;TEXT(($D123-$C123+1)+7,"00"),"")&amp;IF($C123&gt;=9,", "&amp;$A123&amp;"-"&amp;TEXT(($D123-$C123+1)+8,"00"),"")&amp;IF($C123&gt;=10,", "&amp;$A123&amp;"-"&amp;TEXT(($D123-$C123+1)+9,"00"),"")&amp;IF($C123&gt;=11,", "&amp;$A123&amp;"-"&amp;TEXT(($D123-$C123+1)+10,"00"),"")&amp;IF($C123&gt;=12,", "&amp;$A123&amp;"-"&amp;TEXT(($D123-$C123+1)+11,"00"),"")&amp;IF($C123&gt;=13,", "&amp;$A123&amp;"-"&amp;TEXT(($D123-$C123+1)+12,"00"),"")&amp;IF($C123&gt;=14,", "&amp;$A123&amp;"-"&amp;TEXT(($D123-$C123+1)+13,"00"),"")&amp;IF($C123&gt;=15,", "&amp;$A123&amp;"-"&amp;TEXT(($D123-$C123+1)+14,"00"),"")&amp;IF($C123&gt;=16,", "&amp;$A123&amp;"-"&amp;TEXT(($D123-$C123+1)+15,"00"),"")&amp;IF($C123&gt;=17,", "&amp;$A123&amp;"-"&amp;TEXT(($D123-$C123+1)+16,"00"),"")&amp;IF($C123&gt;=18,", "&amp;$A123&amp;"-"&amp;TEXT(($D123-$C123+1)+17,"00"),"")&amp;IF($C123&gt;=19,", "&amp;$A123&amp;"-"&amp;TEXT(($D123-$C123+1)+18,"00"),"")&amp;IF($C123&gt;=20,", "&amp;$A123&amp;"-"&amp;TEXT(($D123-$C123+1)+19,"00"),"")&amp;IF($C123&gt;=21,", "&amp;$A123&amp;"-"&amp;TEXT(($D123-$C123+1)+20,"00"),"")&amp;IF($C123&gt;=22,", "&amp;$A123&amp;"-"&amp;TEXT(($D123-$C123+1)+21,"00"),"")&amp;IF($C123&gt;=23,", "&amp;$A123&amp;"-"&amp;TEXT(($D123-$C123+1)+22,"00"),"")&amp;IF($C123&gt;=24,", "&amp;$A123&amp;"-"&amp;TEXT(($D123-$C123+1)+23,"00"),"")&amp;IF($C123&gt;=25,", "&amp;$A123&amp;"-"&amp;TEXT(($D123-$C123+1)+24,"00"),""))</f>
        <v/>
      </c>
      <c r="G123">
        <f>IF($A123="","",IF($E123=1,$F123,IF($F123="",$G122,IF($G122="",$F123,$G122&amp;", "&amp;$F123))))</f>
        <v/>
      </c>
      <c r="H123">
        <f>IF($A123="","",$A123&amp;" ("&amp;$C123&amp;")")</f>
        <v/>
      </c>
      <c r="I123">
        <f>IF($A123="","",IF($E123=1,$H123,$I122&amp;", "&amp;$H123))</f>
        <v/>
      </c>
      <c r="J123">
        <f>IF($A123="","",IF($E123=1,$B123,""))</f>
        <v/>
      </c>
      <c r="K123">
        <f>IF($A123="","",IF(COUNTIF($B$2:$B123,$B123)=COUNTIF($B$2:$B$1601,$B123),$B123,""))</f>
        <v/>
      </c>
    </row>
    <row r="124">
      <c r="A124">
        <f>IF('TMP Paste'!$E124="","",'TMP Paste'!$E124)</f>
        <v/>
      </c>
      <c r="B124">
        <f>IF($A124="","",COUNTIF('TMP Paste'!$B$2:$B124,"?*"))</f>
        <v/>
      </c>
      <c r="C124">
        <f>IF($A124="","",IFERROR('TMP Paste'!$M124*1,0))</f>
        <v/>
      </c>
      <c r="D124">
        <f>IF($A124="","",SUMIF($B$2:$B124,$B124,$C$2:$C124))</f>
        <v/>
      </c>
      <c r="E124">
        <f>IF($A124="",0,IF('TMP Paste'!$B124="",0,1))</f>
        <v/>
      </c>
      <c r="F124">
        <f>IF(OR($A124="",$C124&lt;1),"",$A124&amp;"-"&amp;TEXT(($D124-$C124+1),"00")&amp;IF($C124&gt;=2,", "&amp;$A124&amp;"-"&amp;TEXT(($D124-$C124+1)+1,"00"),"")&amp;IF($C124&gt;=3,", "&amp;$A124&amp;"-"&amp;TEXT(($D124-$C124+1)+2,"00"),"")&amp;IF($C124&gt;=4,", "&amp;$A124&amp;"-"&amp;TEXT(($D124-$C124+1)+3,"00"),"")&amp;IF($C124&gt;=5,", "&amp;$A124&amp;"-"&amp;TEXT(($D124-$C124+1)+4,"00"),"")&amp;IF($C124&gt;=6,", "&amp;$A124&amp;"-"&amp;TEXT(($D124-$C124+1)+5,"00"),"")&amp;IF($C124&gt;=7,", "&amp;$A124&amp;"-"&amp;TEXT(($D124-$C124+1)+6,"00"),"")&amp;IF($C124&gt;=8,", "&amp;$A124&amp;"-"&amp;TEXT(($D124-$C124+1)+7,"00"),"")&amp;IF($C124&gt;=9,", "&amp;$A124&amp;"-"&amp;TEXT(($D124-$C124+1)+8,"00"),"")&amp;IF($C124&gt;=10,", "&amp;$A124&amp;"-"&amp;TEXT(($D124-$C124+1)+9,"00"),"")&amp;IF($C124&gt;=11,", "&amp;$A124&amp;"-"&amp;TEXT(($D124-$C124+1)+10,"00"),"")&amp;IF($C124&gt;=12,", "&amp;$A124&amp;"-"&amp;TEXT(($D124-$C124+1)+11,"00"),"")&amp;IF($C124&gt;=13,", "&amp;$A124&amp;"-"&amp;TEXT(($D124-$C124+1)+12,"00"),"")&amp;IF($C124&gt;=14,", "&amp;$A124&amp;"-"&amp;TEXT(($D124-$C124+1)+13,"00"),"")&amp;IF($C124&gt;=15,", "&amp;$A124&amp;"-"&amp;TEXT(($D124-$C124+1)+14,"00"),"")&amp;IF($C124&gt;=16,", "&amp;$A124&amp;"-"&amp;TEXT(($D124-$C124+1)+15,"00"),"")&amp;IF($C124&gt;=17,", "&amp;$A124&amp;"-"&amp;TEXT(($D124-$C124+1)+16,"00"),"")&amp;IF($C124&gt;=18,", "&amp;$A124&amp;"-"&amp;TEXT(($D124-$C124+1)+17,"00"),"")&amp;IF($C124&gt;=19,", "&amp;$A124&amp;"-"&amp;TEXT(($D124-$C124+1)+18,"00"),"")&amp;IF($C124&gt;=20,", "&amp;$A124&amp;"-"&amp;TEXT(($D124-$C124+1)+19,"00"),"")&amp;IF($C124&gt;=21,", "&amp;$A124&amp;"-"&amp;TEXT(($D124-$C124+1)+20,"00"),"")&amp;IF($C124&gt;=22,", "&amp;$A124&amp;"-"&amp;TEXT(($D124-$C124+1)+21,"00"),"")&amp;IF($C124&gt;=23,", "&amp;$A124&amp;"-"&amp;TEXT(($D124-$C124+1)+22,"00"),"")&amp;IF($C124&gt;=24,", "&amp;$A124&amp;"-"&amp;TEXT(($D124-$C124+1)+23,"00"),"")&amp;IF($C124&gt;=25,", "&amp;$A124&amp;"-"&amp;TEXT(($D124-$C124+1)+24,"00"),""))</f>
        <v/>
      </c>
      <c r="G124">
        <f>IF($A124="","",IF($E124=1,$F124,IF($F124="",$G123,IF($G123="",$F124,$G123&amp;", "&amp;$F124))))</f>
        <v/>
      </c>
      <c r="H124">
        <f>IF($A124="","",$A124&amp;" ("&amp;$C124&amp;")")</f>
        <v/>
      </c>
      <c r="I124">
        <f>IF($A124="","",IF($E124=1,$H124,$I123&amp;", "&amp;$H124))</f>
        <v/>
      </c>
      <c r="J124">
        <f>IF($A124="","",IF($E124=1,$B124,""))</f>
        <v/>
      </c>
      <c r="K124">
        <f>IF($A124="","",IF(COUNTIF($B$2:$B124,$B124)=COUNTIF($B$2:$B$1601,$B124),$B124,""))</f>
        <v/>
      </c>
    </row>
    <row r="125">
      <c r="A125">
        <f>IF('TMP Paste'!$E125="","",'TMP Paste'!$E125)</f>
        <v/>
      </c>
      <c r="B125">
        <f>IF($A125="","",COUNTIF('TMP Paste'!$B$2:$B125,"?*"))</f>
        <v/>
      </c>
      <c r="C125">
        <f>IF($A125="","",IFERROR('TMP Paste'!$M125*1,0))</f>
        <v/>
      </c>
      <c r="D125">
        <f>IF($A125="","",SUMIF($B$2:$B125,$B125,$C$2:$C125))</f>
        <v/>
      </c>
      <c r="E125">
        <f>IF($A125="",0,IF('TMP Paste'!$B125="",0,1))</f>
        <v/>
      </c>
      <c r="F125">
        <f>IF(OR($A125="",$C125&lt;1),"",$A125&amp;"-"&amp;TEXT(($D125-$C125+1),"00")&amp;IF($C125&gt;=2,", "&amp;$A125&amp;"-"&amp;TEXT(($D125-$C125+1)+1,"00"),"")&amp;IF($C125&gt;=3,", "&amp;$A125&amp;"-"&amp;TEXT(($D125-$C125+1)+2,"00"),"")&amp;IF($C125&gt;=4,", "&amp;$A125&amp;"-"&amp;TEXT(($D125-$C125+1)+3,"00"),"")&amp;IF($C125&gt;=5,", "&amp;$A125&amp;"-"&amp;TEXT(($D125-$C125+1)+4,"00"),"")&amp;IF($C125&gt;=6,", "&amp;$A125&amp;"-"&amp;TEXT(($D125-$C125+1)+5,"00"),"")&amp;IF($C125&gt;=7,", "&amp;$A125&amp;"-"&amp;TEXT(($D125-$C125+1)+6,"00"),"")&amp;IF($C125&gt;=8,", "&amp;$A125&amp;"-"&amp;TEXT(($D125-$C125+1)+7,"00"),"")&amp;IF($C125&gt;=9,", "&amp;$A125&amp;"-"&amp;TEXT(($D125-$C125+1)+8,"00"),"")&amp;IF($C125&gt;=10,", "&amp;$A125&amp;"-"&amp;TEXT(($D125-$C125+1)+9,"00"),"")&amp;IF($C125&gt;=11,", "&amp;$A125&amp;"-"&amp;TEXT(($D125-$C125+1)+10,"00"),"")&amp;IF($C125&gt;=12,", "&amp;$A125&amp;"-"&amp;TEXT(($D125-$C125+1)+11,"00"),"")&amp;IF($C125&gt;=13,", "&amp;$A125&amp;"-"&amp;TEXT(($D125-$C125+1)+12,"00"),"")&amp;IF($C125&gt;=14,", "&amp;$A125&amp;"-"&amp;TEXT(($D125-$C125+1)+13,"00"),"")&amp;IF($C125&gt;=15,", "&amp;$A125&amp;"-"&amp;TEXT(($D125-$C125+1)+14,"00"),"")&amp;IF($C125&gt;=16,", "&amp;$A125&amp;"-"&amp;TEXT(($D125-$C125+1)+15,"00"),"")&amp;IF($C125&gt;=17,", "&amp;$A125&amp;"-"&amp;TEXT(($D125-$C125+1)+16,"00"),"")&amp;IF($C125&gt;=18,", "&amp;$A125&amp;"-"&amp;TEXT(($D125-$C125+1)+17,"00"),"")&amp;IF($C125&gt;=19,", "&amp;$A125&amp;"-"&amp;TEXT(($D125-$C125+1)+18,"00"),"")&amp;IF($C125&gt;=20,", "&amp;$A125&amp;"-"&amp;TEXT(($D125-$C125+1)+19,"00"),"")&amp;IF($C125&gt;=21,", "&amp;$A125&amp;"-"&amp;TEXT(($D125-$C125+1)+20,"00"),"")&amp;IF($C125&gt;=22,", "&amp;$A125&amp;"-"&amp;TEXT(($D125-$C125+1)+21,"00"),"")&amp;IF($C125&gt;=23,", "&amp;$A125&amp;"-"&amp;TEXT(($D125-$C125+1)+22,"00"),"")&amp;IF($C125&gt;=24,", "&amp;$A125&amp;"-"&amp;TEXT(($D125-$C125+1)+23,"00"),"")&amp;IF($C125&gt;=25,", "&amp;$A125&amp;"-"&amp;TEXT(($D125-$C125+1)+24,"00"),""))</f>
        <v/>
      </c>
      <c r="G125">
        <f>IF($A125="","",IF($E125=1,$F125,IF($F125="",$G124,IF($G124="",$F125,$G124&amp;", "&amp;$F125))))</f>
        <v/>
      </c>
      <c r="H125">
        <f>IF($A125="","",$A125&amp;" ("&amp;$C125&amp;")")</f>
        <v/>
      </c>
      <c r="I125">
        <f>IF($A125="","",IF($E125=1,$H125,$I124&amp;", "&amp;$H125))</f>
        <v/>
      </c>
      <c r="J125">
        <f>IF($A125="","",IF($E125=1,$B125,""))</f>
        <v/>
      </c>
      <c r="K125">
        <f>IF($A125="","",IF(COUNTIF($B$2:$B125,$B125)=COUNTIF($B$2:$B$1601,$B125),$B125,""))</f>
        <v/>
      </c>
    </row>
    <row r="126">
      <c r="A126">
        <f>IF('TMP Paste'!$E126="","",'TMP Paste'!$E126)</f>
        <v/>
      </c>
      <c r="B126">
        <f>IF($A126="","",COUNTIF('TMP Paste'!$B$2:$B126,"?*"))</f>
        <v/>
      </c>
      <c r="C126">
        <f>IF($A126="","",IFERROR('TMP Paste'!$M126*1,0))</f>
        <v/>
      </c>
      <c r="D126">
        <f>IF($A126="","",SUMIF($B$2:$B126,$B126,$C$2:$C126))</f>
        <v/>
      </c>
      <c r="E126">
        <f>IF($A126="",0,IF('TMP Paste'!$B126="",0,1))</f>
        <v/>
      </c>
      <c r="F126">
        <f>IF(OR($A126="",$C126&lt;1),"",$A126&amp;"-"&amp;TEXT(($D126-$C126+1),"00")&amp;IF($C126&gt;=2,", "&amp;$A126&amp;"-"&amp;TEXT(($D126-$C126+1)+1,"00"),"")&amp;IF($C126&gt;=3,", "&amp;$A126&amp;"-"&amp;TEXT(($D126-$C126+1)+2,"00"),"")&amp;IF($C126&gt;=4,", "&amp;$A126&amp;"-"&amp;TEXT(($D126-$C126+1)+3,"00"),"")&amp;IF($C126&gt;=5,", "&amp;$A126&amp;"-"&amp;TEXT(($D126-$C126+1)+4,"00"),"")&amp;IF($C126&gt;=6,", "&amp;$A126&amp;"-"&amp;TEXT(($D126-$C126+1)+5,"00"),"")&amp;IF($C126&gt;=7,", "&amp;$A126&amp;"-"&amp;TEXT(($D126-$C126+1)+6,"00"),"")&amp;IF($C126&gt;=8,", "&amp;$A126&amp;"-"&amp;TEXT(($D126-$C126+1)+7,"00"),"")&amp;IF($C126&gt;=9,", "&amp;$A126&amp;"-"&amp;TEXT(($D126-$C126+1)+8,"00"),"")&amp;IF($C126&gt;=10,", "&amp;$A126&amp;"-"&amp;TEXT(($D126-$C126+1)+9,"00"),"")&amp;IF($C126&gt;=11,", "&amp;$A126&amp;"-"&amp;TEXT(($D126-$C126+1)+10,"00"),"")&amp;IF($C126&gt;=12,", "&amp;$A126&amp;"-"&amp;TEXT(($D126-$C126+1)+11,"00"),"")&amp;IF($C126&gt;=13,", "&amp;$A126&amp;"-"&amp;TEXT(($D126-$C126+1)+12,"00"),"")&amp;IF($C126&gt;=14,", "&amp;$A126&amp;"-"&amp;TEXT(($D126-$C126+1)+13,"00"),"")&amp;IF($C126&gt;=15,", "&amp;$A126&amp;"-"&amp;TEXT(($D126-$C126+1)+14,"00"),"")&amp;IF($C126&gt;=16,", "&amp;$A126&amp;"-"&amp;TEXT(($D126-$C126+1)+15,"00"),"")&amp;IF($C126&gt;=17,", "&amp;$A126&amp;"-"&amp;TEXT(($D126-$C126+1)+16,"00"),"")&amp;IF($C126&gt;=18,", "&amp;$A126&amp;"-"&amp;TEXT(($D126-$C126+1)+17,"00"),"")&amp;IF($C126&gt;=19,", "&amp;$A126&amp;"-"&amp;TEXT(($D126-$C126+1)+18,"00"),"")&amp;IF($C126&gt;=20,", "&amp;$A126&amp;"-"&amp;TEXT(($D126-$C126+1)+19,"00"),"")&amp;IF($C126&gt;=21,", "&amp;$A126&amp;"-"&amp;TEXT(($D126-$C126+1)+20,"00"),"")&amp;IF($C126&gt;=22,", "&amp;$A126&amp;"-"&amp;TEXT(($D126-$C126+1)+21,"00"),"")&amp;IF($C126&gt;=23,", "&amp;$A126&amp;"-"&amp;TEXT(($D126-$C126+1)+22,"00"),"")&amp;IF($C126&gt;=24,", "&amp;$A126&amp;"-"&amp;TEXT(($D126-$C126+1)+23,"00"),"")&amp;IF($C126&gt;=25,", "&amp;$A126&amp;"-"&amp;TEXT(($D126-$C126+1)+24,"00"),""))</f>
        <v/>
      </c>
      <c r="G126">
        <f>IF($A126="","",IF($E126=1,$F126,IF($F126="",$G125,IF($G125="",$F126,$G125&amp;", "&amp;$F126))))</f>
        <v/>
      </c>
      <c r="H126">
        <f>IF($A126="","",$A126&amp;" ("&amp;$C126&amp;")")</f>
        <v/>
      </c>
      <c r="I126">
        <f>IF($A126="","",IF($E126=1,$H126,$I125&amp;", "&amp;$H126))</f>
        <v/>
      </c>
      <c r="J126">
        <f>IF($A126="","",IF($E126=1,$B126,""))</f>
        <v/>
      </c>
      <c r="K126">
        <f>IF($A126="","",IF(COUNTIF($B$2:$B126,$B126)=COUNTIF($B$2:$B$1601,$B126),$B126,""))</f>
        <v/>
      </c>
    </row>
    <row r="127">
      <c r="A127">
        <f>IF('TMP Paste'!$E127="","",'TMP Paste'!$E127)</f>
        <v/>
      </c>
      <c r="B127">
        <f>IF($A127="","",COUNTIF('TMP Paste'!$B$2:$B127,"?*"))</f>
        <v/>
      </c>
      <c r="C127">
        <f>IF($A127="","",IFERROR('TMP Paste'!$M127*1,0))</f>
        <v/>
      </c>
      <c r="D127">
        <f>IF($A127="","",SUMIF($B$2:$B127,$B127,$C$2:$C127))</f>
        <v/>
      </c>
      <c r="E127">
        <f>IF($A127="",0,IF('TMP Paste'!$B127="",0,1))</f>
        <v/>
      </c>
      <c r="F127">
        <f>IF(OR($A127="",$C127&lt;1),"",$A127&amp;"-"&amp;TEXT(($D127-$C127+1),"00")&amp;IF($C127&gt;=2,", "&amp;$A127&amp;"-"&amp;TEXT(($D127-$C127+1)+1,"00"),"")&amp;IF($C127&gt;=3,", "&amp;$A127&amp;"-"&amp;TEXT(($D127-$C127+1)+2,"00"),"")&amp;IF($C127&gt;=4,", "&amp;$A127&amp;"-"&amp;TEXT(($D127-$C127+1)+3,"00"),"")&amp;IF($C127&gt;=5,", "&amp;$A127&amp;"-"&amp;TEXT(($D127-$C127+1)+4,"00"),"")&amp;IF($C127&gt;=6,", "&amp;$A127&amp;"-"&amp;TEXT(($D127-$C127+1)+5,"00"),"")&amp;IF($C127&gt;=7,", "&amp;$A127&amp;"-"&amp;TEXT(($D127-$C127+1)+6,"00"),"")&amp;IF($C127&gt;=8,", "&amp;$A127&amp;"-"&amp;TEXT(($D127-$C127+1)+7,"00"),"")&amp;IF($C127&gt;=9,", "&amp;$A127&amp;"-"&amp;TEXT(($D127-$C127+1)+8,"00"),"")&amp;IF($C127&gt;=10,", "&amp;$A127&amp;"-"&amp;TEXT(($D127-$C127+1)+9,"00"),"")&amp;IF($C127&gt;=11,", "&amp;$A127&amp;"-"&amp;TEXT(($D127-$C127+1)+10,"00"),"")&amp;IF($C127&gt;=12,", "&amp;$A127&amp;"-"&amp;TEXT(($D127-$C127+1)+11,"00"),"")&amp;IF($C127&gt;=13,", "&amp;$A127&amp;"-"&amp;TEXT(($D127-$C127+1)+12,"00"),"")&amp;IF($C127&gt;=14,", "&amp;$A127&amp;"-"&amp;TEXT(($D127-$C127+1)+13,"00"),"")&amp;IF($C127&gt;=15,", "&amp;$A127&amp;"-"&amp;TEXT(($D127-$C127+1)+14,"00"),"")&amp;IF($C127&gt;=16,", "&amp;$A127&amp;"-"&amp;TEXT(($D127-$C127+1)+15,"00"),"")&amp;IF($C127&gt;=17,", "&amp;$A127&amp;"-"&amp;TEXT(($D127-$C127+1)+16,"00"),"")&amp;IF($C127&gt;=18,", "&amp;$A127&amp;"-"&amp;TEXT(($D127-$C127+1)+17,"00"),"")&amp;IF($C127&gt;=19,", "&amp;$A127&amp;"-"&amp;TEXT(($D127-$C127+1)+18,"00"),"")&amp;IF($C127&gt;=20,", "&amp;$A127&amp;"-"&amp;TEXT(($D127-$C127+1)+19,"00"),"")&amp;IF($C127&gt;=21,", "&amp;$A127&amp;"-"&amp;TEXT(($D127-$C127+1)+20,"00"),"")&amp;IF($C127&gt;=22,", "&amp;$A127&amp;"-"&amp;TEXT(($D127-$C127+1)+21,"00"),"")&amp;IF($C127&gt;=23,", "&amp;$A127&amp;"-"&amp;TEXT(($D127-$C127+1)+22,"00"),"")&amp;IF($C127&gt;=24,", "&amp;$A127&amp;"-"&amp;TEXT(($D127-$C127+1)+23,"00"),"")&amp;IF($C127&gt;=25,", "&amp;$A127&amp;"-"&amp;TEXT(($D127-$C127+1)+24,"00"),""))</f>
        <v/>
      </c>
      <c r="G127">
        <f>IF($A127="","",IF($E127=1,$F127,IF($F127="",$G126,IF($G126="",$F127,$G126&amp;", "&amp;$F127))))</f>
        <v/>
      </c>
      <c r="H127">
        <f>IF($A127="","",$A127&amp;" ("&amp;$C127&amp;")")</f>
        <v/>
      </c>
      <c r="I127">
        <f>IF($A127="","",IF($E127=1,$H127,$I126&amp;", "&amp;$H127))</f>
        <v/>
      </c>
      <c r="J127">
        <f>IF($A127="","",IF($E127=1,$B127,""))</f>
        <v/>
      </c>
      <c r="K127">
        <f>IF($A127="","",IF(COUNTIF($B$2:$B127,$B127)=COUNTIF($B$2:$B$1601,$B127),$B127,""))</f>
        <v/>
      </c>
    </row>
    <row r="128">
      <c r="A128">
        <f>IF('TMP Paste'!$E128="","",'TMP Paste'!$E128)</f>
        <v/>
      </c>
      <c r="B128">
        <f>IF($A128="","",COUNTIF('TMP Paste'!$B$2:$B128,"?*"))</f>
        <v/>
      </c>
      <c r="C128">
        <f>IF($A128="","",IFERROR('TMP Paste'!$M128*1,0))</f>
        <v/>
      </c>
      <c r="D128">
        <f>IF($A128="","",SUMIF($B$2:$B128,$B128,$C$2:$C128))</f>
        <v/>
      </c>
      <c r="E128">
        <f>IF($A128="",0,IF('TMP Paste'!$B128="",0,1))</f>
        <v/>
      </c>
      <c r="F128">
        <f>IF(OR($A128="",$C128&lt;1),"",$A128&amp;"-"&amp;TEXT(($D128-$C128+1),"00")&amp;IF($C128&gt;=2,", "&amp;$A128&amp;"-"&amp;TEXT(($D128-$C128+1)+1,"00"),"")&amp;IF($C128&gt;=3,", "&amp;$A128&amp;"-"&amp;TEXT(($D128-$C128+1)+2,"00"),"")&amp;IF($C128&gt;=4,", "&amp;$A128&amp;"-"&amp;TEXT(($D128-$C128+1)+3,"00"),"")&amp;IF($C128&gt;=5,", "&amp;$A128&amp;"-"&amp;TEXT(($D128-$C128+1)+4,"00"),"")&amp;IF($C128&gt;=6,", "&amp;$A128&amp;"-"&amp;TEXT(($D128-$C128+1)+5,"00"),"")&amp;IF($C128&gt;=7,", "&amp;$A128&amp;"-"&amp;TEXT(($D128-$C128+1)+6,"00"),"")&amp;IF($C128&gt;=8,", "&amp;$A128&amp;"-"&amp;TEXT(($D128-$C128+1)+7,"00"),"")&amp;IF($C128&gt;=9,", "&amp;$A128&amp;"-"&amp;TEXT(($D128-$C128+1)+8,"00"),"")&amp;IF($C128&gt;=10,", "&amp;$A128&amp;"-"&amp;TEXT(($D128-$C128+1)+9,"00"),"")&amp;IF($C128&gt;=11,", "&amp;$A128&amp;"-"&amp;TEXT(($D128-$C128+1)+10,"00"),"")&amp;IF($C128&gt;=12,", "&amp;$A128&amp;"-"&amp;TEXT(($D128-$C128+1)+11,"00"),"")&amp;IF($C128&gt;=13,", "&amp;$A128&amp;"-"&amp;TEXT(($D128-$C128+1)+12,"00"),"")&amp;IF($C128&gt;=14,", "&amp;$A128&amp;"-"&amp;TEXT(($D128-$C128+1)+13,"00"),"")&amp;IF($C128&gt;=15,", "&amp;$A128&amp;"-"&amp;TEXT(($D128-$C128+1)+14,"00"),"")&amp;IF($C128&gt;=16,", "&amp;$A128&amp;"-"&amp;TEXT(($D128-$C128+1)+15,"00"),"")&amp;IF($C128&gt;=17,", "&amp;$A128&amp;"-"&amp;TEXT(($D128-$C128+1)+16,"00"),"")&amp;IF($C128&gt;=18,", "&amp;$A128&amp;"-"&amp;TEXT(($D128-$C128+1)+17,"00"),"")&amp;IF($C128&gt;=19,", "&amp;$A128&amp;"-"&amp;TEXT(($D128-$C128+1)+18,"00"),"")&amp;IF($C128&gt;=20,", "&amp;$A128&amp;"-"&amp;TEXT(($D128-$C128+1)+19,"00"),"")&amp;IF($C128&gt;=21,", "&amp;$A128&amp;"-"&amp;TEXT(($D128-$C128+1)+20,"00"),"")&amp;IF($C128&gt;=22,", "&amp;$A128&amp;"-"&amp;TEXT(($D128-$C128+1)+21,"00"),"")&amp;IF($C128&gt;=23,", "&amp;$A128&amp;"-"&amp;TEXT(($D128-$C128+1)+22,"00"),"")&amp;IF($C128&gt;=24,", "&amp;$A128&amp;"-"&amp;TEXT(($D128-$C128+1)+23,"00"),"")&amp;IF($C128&gt;=25,", "&amp;$A128&amp;"-"&amp;TEXT(($D128-$C128+1)+24,"00"),""))</f>
        <v/>
      </c>
      <c r="G128">
        <f>IF($A128="","",IF($E128=1,$F128,IF($F128="",$G127,IF($G127="",$F128,$G127&amp;", "&amp;$F128))))</f>
        <v/>
      </c>
      <c r="H128">
        <f>IF($A128="","",$A128&amp;" ("&amp;$C128&amp;")")</f>
        <v/>
      </c>
      <c r="I128">
        <f>IF($A128="","",IF($E128=1,$H128,$I127&amp;", "&amp;$H128))</f>
        <v/>
      </c>
      <c r="J128">
        <f>IF($A128="","",IF($E128=1,$B128,""))</f>
        <v/>
      </c>
      <c r="K128">
        <f>IF($A128="","",IF(COUNTIF($B$2:$B128,$B128)=COUNTIF($B$2:$B$1601,$B128),$B128,""))</f>
        <v/>
      </c>
    </row>
    <row r="129">
      <c r="A129">
        <f>IF('TMP Paste'!$E129="","",'TMP Paste'!$E129)</f>
        <v/>
      </c>
      <c r="B129">
        <f>IF($A129="","",COUNTIF('TMP Paste'!$B$2:$B129,"?*"))</f>
        <v/>
      </c>
      <c r="C129">
        <f>IF($A129="","",IFERROR('TMP Paste'!$M129*1,0))</f>
        <v/>
      </c>
      <c r="D129">
        <f>IF($A129="","",SUMIF($B$2:$B129,$B129,$C$2:$C129))</f>
        <v/>
      </c>
      <c r="E129">
        <f>IF($A129="",0,IF('TMP Paste'!$B129="",0,1))</f>
        <v/>
      </c>
      <c r="F129">
        <f>IF(OR($A129="",$C129&lt;1),"",$A129&amp;"-"&amp;TEXT(($D129-$C129+1),"00")&amp;IF($C129&gt;=2,", "&amp;$A129&amp;"-"&amp;TEXT(($D129-$C129+1)+1,"00"),"")&amp;IF($C129&gt;=3,", "&amp;$A129&amp;"-"&amp;TEXT(($D129-$C129+1)+2,"00"),"")&amp;IF($C129&gt;=4,", "&amp;$A129&amp;"-"&amp;TEXT(($D129-$C129+1)+3,"00"),"")&amp;IF($C129&gt;=5,", "&amp;$A129&amp;"-"&amp;TEXT(($D129-$C129+1)+4,"00"),"")&amp;IF($C129&gt;=6,", "&amp;$A129&amp;"-"&amp;TEXT(($D129-$C129+1)+5,"00"),"")&amp;IF($C129&gt;=7,", "&amp;$A129&amp;"-"&amp;TEXT(($D129-$C129+1)+6,"00"),"")&amp;IF($C129&gt;=8,", "&amp;$A129&amp;"-"&amp;TEXT(($D129-$C129+1)+7,"00"),"")&amp;IF($C129&gt;=9,", "&amp;$A129&amp;"-"&amp;TEXT(($D129-$C129+1)+8,"00"),"")&amp;IF($C129&gt;=10,", "&amp;$A129&amp;"-"&amp;TEXT(($D129-$C129+1)+9,"00"),"")&amp;IF($C129&gt;=11,", "&amp;$A129&amp;"-"&amp;TEXT(($D129-$C129+1)+10,"00"),"")&amp;IF($C129&gt;=12,", "&amp;$A129&amp;"-"&amp;TEXT(($D129-$C129+1)+11,"00"),"")&amp;IF($C129&gt;=13,", "&amp;$A129&amp;"-"&amp;TEXT(($D129-$C129+1)+12,"00"),"")&amp;IF($C129&gt;=14,", "&amp;$A129&amp;"-"&amp;TEXT(($D129-$C129+1)+13,"00"),"")&amp;IF($C129&gt;=15,", "&amp;$A129&amp;"-"&amp;TEXT(($D129-$C129+1)+14,"00"),"")&amp;IF($C129&gt;=16,", "&amp;$A129&amp;"-"&amp;TEXT(($D129-$C129+1)+15,"00"),"")&amp;IF($C129&gt;=17,", "&amp;$A129&amp;"-"&amp;TEXT(($D129-$C129+1)+16,"00"),"")&amp;IF($C129&gt;=18,", "&amp;$A129&amp;"-"&amp;TEXT(($D129-$C129+1)+17,"00"),"")&amp;IF($C129&gt;=19,", "&amp;$A129&amp;"-"&amp;TEXT(($D129-$C129+1)+18,"00"),"")&amp;IF($C129&gt;=20,", "&amp;$A129&amp;"-"&amp;TEXT(($D129-$C129+1)+19,"00"),"")&amp;IF($C129&gt;=21,", "&amp;$A129&amp;"-"&amp;TEXT(($D129-$C129+1)+20,"00"),"")&amp;IF($C129&gt;=22,", "&amp;$A129&amp;"-"&amp;TEXT(($D129-$C129+1)+21,"00"),"")&amp;IF($C129&gt;=23,", "&amp;$A129&amp;"-"&amp;TEXT(($D129-$C129+1)+22,"00"),"")&amp;IF($C129&gt;=24,", "&amp;$A129&amp;"-"&amp;TEXT(($D129-$C129+1)+23,"00"),"")&amp;IF($C129&gt;=25,", "&amp;$A129&amp;"-"&amp;TEXT(($D129-$C129+1)+24,"00"),""))</f>
        <v/>
      </c>
      <c r="G129">
        <f>IF($A129="","",IF($E129=1,$F129,IF($F129="",$G128,IF($G128="",$F129,$G128&amp;", "&amp;$F129))))</f>
        <v/>
      </c>
      <c r="H129">
        <f>IF($A129="","",$A129&amp;" ("&amp;$C129&amp;")")</f>
        <v/>
      </c>
      <c r="I129">
        <f>IF($A129="","",IF($E129=1,$H129,$I128&amp;", "&amp;$H129))</f>
        <v/>
      </c>
      <c r="J129">
        <f>IF($A129="","",IF($E129=1,$B129,""))</f>
        <v/>
      </c>
      <c r="K129">
        <f>IF($A129="","",IF(COUNTIF($B$2:$B129,$B129)=COUNTIF($B$2:$B$1601,$B129),$B129,""))</f>
        <v/>
      </c>
    </row>
    <row r="130">
      <c r="A130">
        <f>IF('TMP Paste'!$E130="","",'TMP Paste'!$E130)</f>
        <v/>
      </c>
      <c r="B130">
        <f>IF($A130="","",COUNTIF('TMP Paste'!$B$2:$B130,"?*"))</f>
        <v/>
      </c>
      <c r="C130">
        <f>IF($A130="","",IFERROR('TMP Paste'!$M130*1,0))</f>
        <v/>
      </c>
      <c r="D130">
        <f>IF($A130="","",SUMIF($B$2:$B130,$B130,$C$2:$C130))</f>
        <v/>
      </c>
      <c r="E130">
        <f>IF($A130="",0,IF('TMP Paste'!$B130="",0,1))</f>
        <v/>
      </c>
      <c r="F130">
        <f>IF(OR($A130="",$C130&lt;1),"",$A130&amp;"-"&amp;TEXT(($D130-$C130+1),"00")&amp;IF($C130&gt;=2,", "&amp;$A130&amp;"-"&amp;TEXT(($D130-$C130+1)+1,"00"),"")&amp;IF($C130&gt;=3,", "&amp;$A130&amp;"-"&amp;TEXT(($D130-$C130+1)+2,"00"),"")&amp;IF($C130&gt;=4,", "&amp;$A130&amp;"-"&amp;TEXT(($D130-$C130+1)+3,"00"),"")&amp;IF($C130&gt;=5,", "&amp;$A130&amp;"-"&amp;TEXT(($D130-$C130+1)+4,"00"),"")&amp;IF($C130&gt;=6,", "&amp;$A130&amp;"-"&amp;TEXT(($D130-$C130+1)+5,"00"),"")&amp;IF($C130&gt;=7,", "&amp;$A130&amp;"-"&amp;TEXT(($D130-$C130+1)+6,"00"),"")&amp;IF($C130&gt;=8,", "&amp;$A130&amp;"-"&amp;TEXT(($D130-$C130+1)+7,"00"),"")&amp;IF($C130&gt;=9,", "&amp;$A130&amp;"-"&amp;TEXT(($D130-$C130+1)+8,"00"),"")&amp;IF($C130&gt;=10,", "&amp;$A130&amp;"-"&amp;TEXT(($D130-$C130+1)+9,"00"),"")&amp;IF($C130&gt;=11,", "&amp;$A130&amp;"-"&amp;TEXT(($D130-$C130+1)+10,"00"),"")&amp;IF($C130&gt;=12,", "&amp;$A130&amp;"-"&amp;TEXT(($D130-$C130+1)+11,"00"),"")&amp;IF($C130&gt;=13,", "&amp;$A130&amp;"-"&amp;TEXT(($D130-$C130+1)+12,"00"),"")&amp;IF($C130&gt;=14,", "&amp;$A130&amp;"-"&amp;TEXT(($D130-$C130+1)+13,"00"),"")&amp;IF($C130&gt;=15,", "&amp;$A130&amp;"-"&amp;TEXT(($D130-$C130+1)+14,"00"),"")&amp;IF($C130&gt;=16,", "&amp;$A130&amp;"-"&amp;TEXT(($D130-$C130+1)+15,"00"),"")&amp;IF($C130&gt;=17,", "&amp;$A130&amp;"-"&amp;TEXT(($D130-$C130+1)+16,"00"),"")&amp;IF($C130&gt;=18,", "&amp;$A130&amp;"-"&amp;TEXT(($D130-$C130+1)+17,"00"),"")&amp;IF($C130&gt;=19,", "&amp;$A130&amp;"-"&amp;TEXT(($D130-$C130+1)+18,"00"),"")&amp;IF($C130&gt;=20,", "&amp;$A130&amp;"-"&amp;TEXT(($D130-$C130+1)+19,"00"),"")&amp;IF($C130&gt;=21,", "&amp;$A130&amp;"-"&amp;TEXT(($D130-$C130+1)+20,"00"),"")&amp;IF($C130&gt;=22,", "&amp;$A130&amp;"-"&amp;TEXT(($D130-$C130+1)+21,"00"),"")&amp;IF($C130&gt;=23,", "&amp;$A130&amp;"-"&amp;TEXT(($D130-$C130+1)+22,"00"),"")&amp;IF($C130&gt;=24,", "&amp;$A130&amp;"-"&amp;TEXT(($D130-$C130+1)+23,"00"),"")&amp;IF($C130&gt;=25,", "&amp;$A130&amp;"-"&amp;TEXT(($D130-$C130+1)+24,"00"),""))</f>
        <v/>
      </c>
      <c r="G130">
        <f>IF($A130="","",IF($E130=1,$F130,IF($F130="",$G129,IF($G129="",$F130,$G129&amp;", "&amp;$F130))))</f>
        <v/>
      </c>
      <c r="H130">
        <f>IF($A130="","",$A130&amp;" ("&amp;$C130&amp;")")</f>
        <v/>
      </c>
      <c r="I130">
        <f>IF($A130="","",IF($E130=1,$H130,$I129&amp;", "&amp;$H130))</f>
        <v/>
      </c>
      <c r="J130">
        <f>IF($A130="","",IF($E130=1,$B130,""))</f>
        <v/>
      </c>
      <c r="K130">
        <f>IF($A130="","",IF(COUNTIF($B$2:$B130,$B130)=COUNTIF($B$2:$B$1601,$B130),$B130,""))</f>
        <v/>
      </c>
    </row>
    <row r="131">
      <c r="A131">
        <f>IF('TMP Paste'!$E131="","",'TMP Paste'!$E131)</f>
        <v/>
      </c>
      <c r="B131">
        <f>IF($A131="","",COUNTIF('TMP Paste'!$B$2:$B131,"?*"))</f>
        <v/>
      </c>
      <c r="C131">
        <f>IF($A131="","",IFERROR('TMP Paste'!$M131*1,0))</f>
        <v/>
      </c>
      <c r="D131">
        <f>IF($A131="","",SUMIF($B$2:$B131,$B131,$C$2:$C131))</f>
        <v/>
      </c>
      <c r="E131">
        <f>IF($A131="",0,IF('TMP Paste'!$B131="",0,1))</f>
        <v/>
      </c>
      <c r="F131">
        <f>IF(OR($A131="",$C131&lt;1),"",$A131&amp;"-"&amp;TEXT(($D131-$C131+1),"00")&amp;IF($C131&gt;=2,", "&amp;$A131&amp;"-"&amp;TEXT(($D131-$C131+1)+1,"00"),"")&amp;IF($C131&gt;=3,", "&amp;$A131&amp;"-"&amp;TEXT(($D131-$C131+1)+2,"00"),"")&amp;IF($C131&gt;=4,", "&amp;$A131&amp;"-"&amp;TEXT(($D131-$C131+1)+3,"00"),"")&amp;IF($C131&gt;=5,", "&amp;$A131&amp;"-"&amp;TEXT(($D131-$C131+1)+4,"00"),"")&amp;IF($C131&gt;=6,", "&amp;$A131&amp;"-"&amp;TEXT(($D131-$C131+1)+5,"00"),"")&amp;IF($C131&gt;=7,", "&amp;$A131&amp;"-"&amp;TEXT(($D131-$C131+1)+6,"00"),"")&amp;IF($C131&gt;=8,", "&amp;$A131&amp;"-"&amp;TEXT(($D131-$C131+1)+7,"00"),"")&amp;IF($C131&gt;=9,", "&amp;$A131&amp;"-"&amp;TEXT(($D131-$C131+1)+8,"00"),"")&amp;IF($C131&gt;=10,", "&amp;$A131&amp;"-"&amp;TEXT(($D131-$C131+1)+9,"00"),"")&amp;IF($C131&gt;=11,", "&amp;$A131&amp;"-"&amp;TEXT(($D131-$C131+1)+10,"00"),"")&amp;IF($C131&gt;=12,", "&amp;$A131&amp;"-"&amp;TEXT(($D131-$C131+1)+11,"00"),"")&amp;IF($C131&gt;=13,", "&amp;$A131&amp;"-"&amp;TEXT(($D131-$C131+1)+12,"00"),"")&amp;IF($C131&gt;=14,", "&amp;$A131&amp;"-"&amp;TEXT(($D131-$C131+1)+13,"00"),"")&amp;IF($C131&gt;=15,", "&amp;$A131&amp;"-"&amp;TEXT(($D131-$C131+1)+14,"00"),"")&amp;IF($C131&gt;=16,", "&amp;$A131&amp;"-"&amp;TEXT(($D131-$C131+1)+15,"00"),"")&amp;IF($C131&gt;=17,", "&amp;$A131&amp;"-"&amp;TEXT(($D131-$C131+1)+16,"00"),"")&amp;IF($C131&gt;=18,", "&amp;$A131&amp;"-"&amp;TEXT(($D131-$C131+1)+17,"00"),"")&amp;IF($C131&gt;=19,", "&amp;$A131&amp;"-"&amp;TEXT(($D131-$C131+1)+18,"00"),"")&amp;IF($C131&gt;=20,", "&amp;$A131&amp;"-"&amp;TEXT(($D131-$C131+1)+19,"00"),"")&amp;IF($C131&gt;=21,", "&amp;$A131&amp;"-"&amp;TEXT(($D131-$C131+1)+20,"00"),"")&amp;IF($C131&gt;=22,", "&amp;$A131&amp;"-"&amp;TEXT(($D131-$C131+1)+21,"00"),"")&amp;IF($C131&gt;=23,", "&amp;$A131&amp;"-"&amp;TEXT(($D131-$C131+1)+22,"00"),"")&amp;IF($C131&gt;=24,", "&amp;$A131&amp;"-"&amp;TEXT(($D131-$C131+1)+23,"00"),"")&amp;IF($C131&gt;=25,", "&amp;$A131&amp;"-"&amp;TEXT(($D131-$C131+1)+24,"00"),""))</f>
        <v/>
      </c>
      <c r="G131">
        <f>IF($A131="","",IF($E131=1,$F131,IF($F131="",$G130,IF($G130="",$F131,$G130&amp;", "&amp;$F131))))</f>
        <v/>
      </c>
      <c r="H131">
        <f>IF($A131="","",$A131&amp;" ("&amp;$C131&amp;")")</f>
        <v/>
      </c>
      <c r="I131">
        <f>IF($A131="","",IF($E131=1,$H131,$I130&amp;", "&amp;$H131))</f>
        <v/>
      </c>
      <c r="J131">
        <f>IF($A131="","",IF($E131=1,$B131,""))</f>
        <v/>
      </c>
      <c r="K131">
        <f>IF($A131="","",IF(COUNTIF($B$2:$B131,$B131)=COUNTIF($B$2:$B$1601,$B131),$B131,""))</f>
        <v/>
      </c>
    </row>
    <row r="132">
      <c r="A132">
        <f>IF('TMP Paste'!$E132="","",'TMP Paste'!$E132)</f>
        <v/>
      </c>
      <c r="B132">
        <f>IF($A132="","",COUNTIF('TMP Paste'!$B$2:$B132,"?*"))</f>
        <v/>
      </c>
      <c r="C132">
        <f>IF($A132="","",IFERROR('TMP Paste'!$M132*1,0))</f>
        <v/>
      </c>
      <c r="D132">
        <f>IF($A132="","",SUMIF($B$2:$B132,$B132,$C$2:$C132))</f>
        <v/>
      </c>
      <c r="E132">
        <f>IF($A132="",0,IF('TMP Paste'!$B132="",0,1))</f>
        <v/>
      </c>
      <c r="F132">
        <f>IF(OR($A132="",$C132&lt;1),"",$A132&amp;"-"&amp;TEXT(($D132-$C132+1),"00")&amp;IF($C132&gt;=2,", "&amp;$A132&amp;"-"&amp;TEXT(($D132-$C132+1)+1,"00"),"")&amp;IF($C132&gt;=3,", "&amp;$A132&amp;"-"&amp;TEXT(($D132-$C132+1)+2,"00"),"")&amp;IF($C132&gt;=4,", "&amp;$A132&amp;"-"&amp;TEXT(($D132-$C132+1)+3,"00"),"")&amp;IF($C132&gt;=5,", "&amp;$A132&amp;"-"&amp;TEXT(($D132-$C132+1)+4,"00"),"")&amp;IF($C132&gt;=6,", "&amp;$A132&amp;"-"&amp;TEXT(($D132-$C132+1)+5,"00"),"")&amp;IF($C132&gt;=7,", "&amp;$A132&amp;"-"&amp;TEXT(($D132-$C132+1)+6,"00"),"")&amp;IF($C132&gt;=8,", "&amp;$A132&amp;"-"&amp;TEXT(($D132-$C132+1)+7,"00"),"")&amp;IF($C132&gt;=9,", "&amp;$A132&amp;"-"&amp;TEXT(($D132-$C132+1)+8,"00"),"")&amp;IF($C132&gt;=10,", "&amp;$A132&amp;"-"&amp;TEXT(($D132-$C132+1)+9,"00"),"")&amp;IF($C132&gt;=11,", "&amp;$A132&amp;"-"&amp;TEXT(($D132-$C132+1)+10,"00"),"")&amp;IF($C132&gt;=12,", "&amp;$A132&amp;"-"&amp;TEXT(($D132-$C132+1)+11,"00"),"")&amp;IF($C132&gt;=13,", "&amp;$A132&amp;"-"&amp;TEXT(($D132-$C132+1)+12,"00"),"")&amp;IF($C132&gt;=14,", "&amp;$A132&amp;"-"&amp;TEXT(($D132-$C132+1)+13,"00"),"")&amp;IF($C132&gt;=15,", "&amp;$A132&amp;"-"&amp;TEXT(($D132-$C132+1)+14,"00"),"")&amp;IF($C132&gt;=16,", "&amp;$A132&amp;"-"&amp;TEXT(($D132-$C132+1)+15,"00"),"")&amp;IF($C132&gt;=17,", "&amp;$A132&amp;"-"&amp;TEXT(($D132-$C132+1)+16,"00"),"")&amp;IF($C132&gt;=18,", "&amp;$A132&amp;"-"&amp;TEXT(($D132-$C132+1)+17,"00"),"")&amp;IF($C132&gt;=19,", "&amp;$A132&amp;"-"&amp;TEXT(($D132-$C132+1)+18,"00"),"")&amp;IF($C132&gt;=20,", "&amp;$A132&amp;"-"&amp;TEXT(($D132-$C132+1)+19,"00"),"")&amp;IF($C132&gt;=21,", "&amp;$A132&amp;"-"&amp;TEXT(($D132-$C132+1)+20,"00"),"")&amp;IF($C132&gt;=22,", "&amp;$A132&amp;"-"&amp;TEXT(($D132-$C132+1)+21,"00"),"")&amp;IF($C132&gt;=23,", "&amp;$A132&amp;"-"&amp;TEXT(($D132-$C132+1)+22,"00"),"")&amp;IF($C132&gt;=24,", "&amp;$A132&amp;"-"&amp;TEXT(($D132-$C132+1)+23,"00"),"")&amp;IF($C132&gt;=25,", "&amp;$A132&amp;"-"&amp;TEXT(($D132-$C132+1)+24,"00"),""))</f>
        <v/>
      </c>
      <c r="G132">
        <f>IF($A132="","",IF($E132=1,$F132,IF($F132="",$G131,IF($G131="",$F132,$G131&amp;", "&amp;$F132))))</f>
        <v/>
      </c>
      <c r="H132">
        <f>IF($A132="","",$A132&amp;" ("&amp;$C132&amp;")")</f>
        <v/>
      </c>
      <c r="I132">
        <f>IF($A132="","",IF($E132=1,$H132,$I131&amp;", "&amp;$H132))</f>
        <v/>
      </c>
      <c r="J132">
        <f>IF($A132="","",IF($E132=1,$B132,""))</f>
        <v/>
      </c>
      <c r="K132">
        <f>IF($A132="","",IF(COUNTIF($B$2:$B132,$B132)=COUNTIF($B$2:$B$1601,$B132),$B132,""))</f>
        <v/>
      </c>
    </row>
    <row r="133">
      <c r="A133">
        <f>IF('TMP Paste'!$E133="","",'TMP Paste'!$E133)</f>
        <v/>
      </c>
      <c r="B133">
        <f>IF($A133="","",COUNTIF('TMP Paste'!$B$2:$B133,"?*"))</f>
        <v/>
      </c>
      <c r="C133">
        <f>IF($A133="","",IFERROR('TMP Paste'!$M133*1,0))</f>
        <v/>
      </c>
      <c r="D133">
        <f>IF($A133="","",SUMIF($B$2:$B133,$B133,$C$2:$C133))</f>
        <v/>
      </c>
      <c r="E133">
        <f>IF($A133="",0,IF('TMP Paste'!$B133="",0,1))</f>
        <v/>
      </c>
      <c r="F133">
        <f>IF(OR($A133="",$C133&lt;1),"",$A133&amp;"-"&amp;TEXT(($D133-$C133+1),"00")&amp;IF($C133&gt;=2,", "&amp;$A133&amp;"-"&amp;TEXT(($D133-$C133+1)+1,"00"),"")&amp;IF($C133&gt;=3,", "&amp;$A133&amp;"-"&amp;TEXT(($D133-$C133+1)+2,"00"),"")&amp;IF($C133&gt;=4,", "&amp;$A133&amp;"-"&amp;TEXT(($D133-$C133+1)+3,"00"),"")&amp;IF($C133&gt;=5,", "&amp;$A133&amp;"-"&amp;TEXT(($D133-$C133+1)+4,"00"),"")&amp;IF($C133&gt;=6,", "&amp;$A133&amp;"-"&amp;TEXT(($D133-$C133+1)+5,"00"),"")&amp;IF($C133&gt;=7,", "&amp;$A133&amp;"-"&amp;TEXT(($D133-$C133+1)+6,"00"),"")&amp;IF($C133&gt;=8,", "&amp;$A133&amp;"-"&amp;TEXT(($D133-$C133+1)+7,"00"),"")&amp;IF($C133&gt;=9,", "&amp;$A133&amp;"-"&amp;TEXT(($D133-$C133+1)+8,"00"),"")&amp;IF($C133&gt;=10,", "&amp;$A133&amp;"-"&amp;TEXT(($D133-$C133+1)+9,"00"),"")&amp;IF($C133&gt;=11,", "&amp;$A133&amp;"-"&amp;TEXT(($D133-$C133+1)+10,"00"),"")&amp;IF($C133&gt;=12,", "&amp;$A133&amp;"-"&amp;TEXT(($D133-$C133+1)+11,"00"),"")&amp;IF($C133&gt;=13,", "&amp;$A133&amp;"-"&amp;TEXT(($D133-$C133+1)+12,"00"),"")&amp;IF($C133&gt;=14,", "&amp;$A133&amp;"-"&amp;TEXT(($D133-$C133+1)+13,"00"),"")&amp;IF($C133&gt;=15,", "&amp;$A133&amp;"-"&amp;TEXT(($D133-$C133+1)+14,"00"),"")&amp;IF($C133&gt;=16,", "&amp;$A133&amp;"-"&amp;TEXT(($D133-$C133+1)+15,"00"),"")&amp;IF($C133&gt;=17,", "&amp;$A133&amp;"-"&amp;TEXT(($D133-$C133+1)+16,"00"),"")&amp;IF($C133&gt;=18,", "&amp;$A133&amp;"-"&amp;TEXT(($D133-$C133+1)+17,"00"),"")&amp;IF($C133&gt;=19,", "&amp;$A133&amp;"-"&amp;TEXT(($D133-$C133+1)+18,"00"),"")&amp;IF($C133&gt;=20,", "&amp;$A133&amp;"-"&amp;TEXT(($D133-$C133+1)+19,"00"),"")&amp;IF($C133&gt;=21,", "&amp;$A133&amp;"-"&amp;TEXT(($D133-$C133+1)+20,"00"),"")&amp;IF($C133&gt;=22,", "&amp;$A133&amp;"-"&amp;TEXT(($D133-$C133+1)+21,"00"),"")&amp;IF($C133&gt;=23,", "&amp;$A133&amp;"-"&amp;TEXT(($D133-$C133+1)+22,"00"),"")&amp;IF($C133&gt;=24,", "&amp;$A133&amp;"-"&amp;TEXT(($D133-$C133+1)+23,"00"),"")&amp;IF($C133&gt;=25,", "&amp;$A133&amp;"-"&amp;TEXT(($D133-$C133+1)+24,"00"),""))</f>
        <v/>
      </c>
      <c r="G133">
        <f>IF($A133="","",IF($E133=1,$F133,IF($F133="",$G132,IF($G132="",$F133,$G132&amp;", "&amp;$F133))))</f>
        <v/>
      </c>
      <c r="H133">
        <f>IF($A133="","",$A133&amp;" ("&amp;$C133&amp;")")</f>
        <v/>
      </c>
      <c r="I133">
        <f>IF($A133="","",IF($E133=1,$H133,$I132&amp;", "&amp;$H133))</f>
        <v/>
      </c>
      <c r="J133">
        <f>IF($A133="","",IF($E133=1,$B133,""))</f>
        <v/>
      </c>
      <c r="K133">
        <f>IF($A133="","",IF(COUNTIF($B$2:$B133,$B133)=COUNTIF($B$2:$B$1601,$B133),$B133,""))</f>
        <v/>
      </c>
    </row>
    <row r="134">
      <c r="A134">
        <f>IF('TMP Paste'!$E134="","",'TMP Paste'!$E134)</f>
        <v/>
      </c>
      <c r="B134">
        <f>IF($A134="","",COUNTIF('TMP Paste'!$B$2:$B134,"?*"))</f>
        <v/>
      </c>
      <c r="C134">
        <f>IF($A134="","",IFERROR('TMP Paste'!$M134*1,0))</f>
        <v/>
      </c>
      <c r="D134">
        <f>IF($A134="","",SUMIF($B$2:$B134,$B134,$C$2:$C134))</f>
        <v/>
      </c>
      <c r="E134">
        <f>IF($A134="",0,IF('TMP Paste'!$B134="",0,1))</f>
        <v/>
      </c>
      <c r="F134">
        <f>IF(OR($A134="",$C134&lt;1),"",$A134&amp;"-"&amp;TEXT(($D134-$C134+1),"00")&amp;IF($C134&gt;=2,", "&amp;$A134&amp;"-"&amp;TEXT(($D134-$C134+1)+1,"00"),"")&amp;IF($C134&gt;=3,", "&amp;$A134&amp;"-"&amp;TEXT(($D134-$C134+1)+2,"00"),"")&amp;IF($C134&gt;=4,", "&amp;$A134&amp;"-"&amp;TEXT(($D134-$C134+1)+3,"00"),"")&amp;IF($C134&gt;=5,", "&amp;$A134&amp;"-"&amp;TEXT(($D134-$C134+1)+4,"00"),"")&amp;IF($C134&gt;=6,", "&amp;$A134&amp;"-"&amp;TEXT(($D134-$C134+1)+5,"00"),"")&amp;IF($C134&gt;=7,", "&amp;$A134&amp;"-"&amp;TEXT(($D134-$C134+1)+6,"00"),"")&amp;IF($C134&gt;=8,", "&amp;$A134&amp;"-"&amp;TEXT(($D134-$C134+1)+7,"00"),"")&amp;IF($C134&gt;=9,", "&amp;$A134&amp;"-"&amp;TEXT(($D134-$C134+1)+8,"00"),"")&amp;IF($C134&gt;=10,", "&amp;$A134&amp;"-"&amp;TEXT(($D134-$C134+1)+9,"00"),"")&amp;IF($C134&gt;=11,", "&amp;$A134&amp;"-"&amp;TEXT(($D134-$C134+1)+10,"00"),"")&amp;IF($C134&gt;=12,", "&amp;$A134&amp;"-"&amp;TEXT(($D134-$C134+1)+11,"00"),"")&amp;IF($C134&gt;=13,", "&amp;$A134&amp;"-"&amp;TEXT(($D134-$C134+1)+12,"00"),"")&amp;IF($C134&gt;=14,", "&amp;$A134&amp;"-"&amp;TEXT(($D134-$C134+1)+13,"00"),"")&amp;IF($C134&gt;=15,", "&amp;$A134&amp;"-"&amp;TEXT(($D134-$C134+1)+14,"00"),"")&amp;IF($C134&gt;=16,", "&amp;$A134&amp;"-"&amp;TEXT(($D134-$C134+1)+15,"00"),"")&amp;IF($C134&gt;=17,", "&amp;$A134&amp;"-"&amp;TEXT(($D134-$C134+1)+16,"00"),"")&amp;IF($C134&gt;=18,", "&amp;$A134&amp;"-"&amp;TEXT(($D134-$C134+1)+17,"00"),"")&amp;IF($C134&gt;=19,", "&amp;$A134&amp;"-"&amp;TEXT(($D134-$C134+1)+18,"00"),"")&amp;IF($C134&gt;=20,", "&amp;$A134&amp;"-"&amp;TEXT(($D134-$C134+1)+19,"00"),"")&amp;IF($C134&gt;=21,", "&amp;$A134&amp;"-"&amp;TEXT(($D134-$C134+1)+20,"00"),"")&amp;IF($C134&gt;=22,", "&amp;$A134&amp;"-"&amp;TEXT(($D134-$C134+1)+21,"00"),"")&amp;IF($C134&gt;=23,", "&amp;$A134&amp;"-"&amp;TEXT(($D134-$C134+1)+22,"00"),"")&amp;IF($C134&gt;=24,", "&amp;$A134&amp;"-"&amp;TEXT(($D134-$C134+1)+23,"00"),"")&amp;IF($C134&gt;=25,", "&amp;$A134&amp;"-"&amp;TEXT(($D134-$C134+1)+24,"00"),""))</f>
        <v/>
      </c>
      <c r="G134">
        <f>IF($A134="","",IF($E134=1,$F134,IF($F134="",$G133,IF($G133="",$F134,$G133&amp;", "&amp;$F134))))</f>
        <v/>
      </c>
      <c r="H134">
        <f>IF($A134="","",$A134&amp;" ("&amp;$C134&amp;")")</f>
        <v/>
      </c>
      <c r="I134">
        <f>IF($A134="","",IF($E134=1,$H134,$I133&amp;", "&amp;$H134))</f>
        <v/>
      </c>
      <c r="J134">
        <f>IF($A134="","",IF($E134=1,$B134,""))</f>
        <v/>
      </c>
      <c r="K134">
        <f>IF($A134="","",IF(COUNTIF($B$2:$B134,$B134)=COUNTIF($B$2:$B$1601,$B134),$B134,""))</f>
        <v/>
      </c>
    </row>
    <row r="135">
      <c r="A135">
        <f>IF('TMP Paste'!$E135="","",'TMP Paste'!$E135)</f>
        <v/>
      </c>
      <c r="B135">
        <f>IF($A135="","",COUNTIF('TMP Paste'!$B$2:$B135,"?*"))</f>
        <v/>
      </c>
      <c r="C135">
        <f>IF($A135="","",IFERROR('TMP Paste'!$M135*1,0))</f>
        <v/>
      </c>
      <c r="D135">
        <f>IF($A135="","",SUMIF($B$2:$B135,$B135,$C$2:$C135))</f>
        <v/>
      </c>
      <c r="E135">
        <f>IF($A135="",0,IF('TMP Paste'!$B135="",0,1))</f>
        <v/>
      </c>
      <c r="F135">
        <f>IF(OR($A135="",$C135&lt;1),"",$A135&amp;"-"&amp;TEXT(($D135-$C135+1),"00")&amp;IF($C135&gt;=2,", "&amp;$A135&amp;"-"&amp;TEXT(($D135-$C135+1)+1,"00"),"")&amp;IF($C135&gt;=3,", "&amp;$A135&amp;"-"&amp;TEXT(($D135-$C135+1)+2,"00"),"")&amp;IF($C135&gt;=4,", "&amp;$A135&amp;"-"&amp;TEXT(($D135-$C135+1)+3,"00"),"")&amp;IF($C135&gt;=5,", "&amp;$A135&amp;"-"&amp;TEXT(($D135-$C135+1)+4,"00"),"")&amp;IF($C135&gt;=6,", "&amp;$A135&amp;"-"&amp;TEXT(($D135-$C135+1)+5,"00"),"")&amp;IF($C135&gt;=7,", "&amp;$A135&amp;"-"&amp;TEXT(($D135-$C135+1)+6,"00"),"")&amp;IF($C135&gt;=8,", "&amp;$A135&amp;"-"&amp;TEXT(($D135-$C135+1)+7,"00"),"")&amp;IF($C135&gt;=9,", "&amp;$A135&amp;"-"&amp;TEXT(($D135-$C135+1)+8,"00"),"")&amp;IF($C135&gt;=10,", "&amp;$A135&amp;"-"&amp;TEXT(($D135-$C135+1)+9,"00"),"")&amp;IF($C135&gt;=11,", "&amp;$A135&amp;"-"&amp;TEXT(($D135-$C135+1)+10,"00"),"")&amp;IF($C135&gt;=12,", "&amp;$A135&amp;"-"&amp;TEXT(($D135-$C135+1)+11,"00"),"")&amp;IF($C135&gt;=13,", "&amp;$A135&amp;"-"&amp;TEXT(($D135-$C135+1)+12,"00"),"")&amp;IF($C135&gt;=14,", "&amp;$A135&amp;"-"&amp;TEXT(($D135-$C135+1)+13,"00"),"")&amp;IF($C135&gt;=15,", "&amp;$A135&amp;"-"&amp;TEXT(($D135-$C135+1)+14,"00"),"")&amp;IF($C135&gt;=16,", "&amp;$A135&amp;"-"&amp;TEXT(($D135-$C135+1)+15,"00"),"")&amp;IF($C135&gt;=17,", "&amp;$A135&amp;"-"&amp;TEXT(($D135-$C135+1)+16,"00"),"")&amp;IF($C135&gt;=18,", "&amp;$A135&amp;"-"&amp;TEXT(($D135-$C135+1)+17,"00"),"")&amp;IF($C135&gt;=19,", "&amp;$A135&amp;"-"&amp;TEXT(($D135-$C135+1)+18,"00"),"")&amp;IF($C135&gt;=20,", "&amp;$A135&amp;"-"&amp;TEXT(($D135-$C135+1)+19,"00"),"")&amp;IF($C135&gt;=21,", "&amp;$A135&amp;"-"&amp;TEXT(($D135-$C135+1)+20,"00"),"")&amp;IF($C135&gt;=22,", "&amp;$A135&amp;"-"&amp;TEXT(($D135-$C135+1)+21,"00"),"")&amp;IF($C135&gt;=23,", "&amp;$A135&amp;"-"&amp;TEXT(($D135-$C135+1)+22,"00"),"")&amp;IF($C135&gt;=24,", "&amp;$A135&amp;"-"&amp;TEXT(($D135-$C135+1)+23,"00"),"")&amp;IF($C135&gt;=25,", "&amp;$A135&amp;"-"&amp;TEXT(($D135-$C135+1)+24,"00"),""))</f>
        <v/>
      </c>
      <c r="G135">
        <f>IF($A135="","",IF($E135=1,$F135,IF($F135="",$G134,IF($G134="",$F135,$G134&amp;", "&amp;$F135))))</f>
        <v/>
      </c>
      <c r="H135">
        <f>IF($A135="","",$A135&amp;" ("&amp;$C135&amp;")")</f>
        <v/>
      </c>
      <c r="I135">
        <f>IF($A135="","",IF($E135=1,$H135,$I134&amp;", "&amp;$H135))</f>
        <v/>
      </c>
      <c r="J135">
        <f>IF($A135="","",IF($E135=1,$B135,""))</f>
        <v/>
      </c>
      <c r="K135">
        <f>IF($A135="","",IF(COUNTIF($B$2:$B135,$B135)=COUNTIF($B$2:$B$1601,$B135),$B135,""))</f>
        <v/>
      </c>
    </row>
    <row r="136">
      <c r="A136">
        <f>IF('TMP Paste'!$E136="","",'TMP Paste'!$E136)</f>
        <v/>
      </c>
      <c r="B136">
        <f>IF($A136="","",COUNTIF('TMP Paste'!$B$2:$B136,"?*"))</f>
        <v/>
      </c>
      <c r="C136">
        <f>IF($A136="","",IFERROR('TMP Paste'!$M136*1,0))</f>
        <v/>
      </c>
      <c r="D136">
        <f>IF($A136="","",SUMIF($B$2:$B136,$B136,$C$2:$C136))</f>
        <v/>
      </c>
      <c r="E136">
        <f>IF($A136="",0,IF('TMP Paste'!$B136="",0,1))</f>
        <v/>
      </c>
      <c r="F136">
        <f>IF(OR($A136="",$C136&lt;1),"",$A136&amp;"-"&amp;TEXT(($D136-$C136+1),"00")&amp;IF($C136&gt;=2,", "&amp;$A136&amp;"-"&amp;TEXT(($D136-$C136+1)+1,"00"),"")&amp;IF($C136&gt;=3,", "&amp;$A136&amp;"-"&amp;TEXT(($D136-$C136+1)+2,"00"),"")&amp;IF($C136&gt;=4,", "&amp;$A136&amp;"-"&amp;TEXT(($D136-$C136+1)+3,"00"),"")&amp;IF($C136&gt;=5,", "&amp;$A136&amp;"-"&amp;TEXT(($D136-$C136+1)+4,"00"),"")&amp;IF($C136&gt;=6,", "&amp;$A136&amp;"-"&amp;TEXT(($D136-$C136+1)+5,"00"),"")&amp;IF($C136&gt;=7,", "&amp;$A136&amp;"-"&amp;TEXT(($D136-$C136+1)+6,"00"),"")&amp;IF($C136&gt;=8,", "&amp;$A136&amp;"-"&amp;TEXT(($D136-$C136+1)+7,"00"),"")&amp;IF($C136&gt;=9,", "&amp;$A136&amp;"-"&amp;TEXT(($D136-$C136+1)+8,"00"),"")&amp;IF($C136&gt;=10,", "&amp;$A136&amp;"-"&amp;TEXT(($D136-$C136+1)+9,"00"),"")&amp;IF($C136&gt;=11,", "&amp;$A136&amp;"-"&amp;TEXT(($D136-$C136+1)+10,"00"),"")&amp;IF($C136&gt;=12,", "&amp;$A136&amp;"-"&amp;TEXT(($D136-$C136+1)+11,"00"),"")&amp;IF($C136&gt;=13,", "&amp;$A136&amp;"-"&amp;TEXT(($D136-$C136+1)+12,"00"),"")&amp;IF($C136&gt;=14,", "&amp;$A136&amp;"-"&amp;TEXT(($D136-$C136+1)+13,"00"),"")&amp;IF($C136&gt;=15,", "&amp;$A136&amp;"-"&amp;TEXT(($D136-$C136+1)+14,"00"),"")&amp;IF($C136&gt;=16,", "&amp;$A136&amp;"-"&amp;TEXT(($D136-$C136+1)+15,"00"),"")&amp;IF($C136&gt;=17,", "&amp;$A136&amp;"-"&amp;TEXT(($D136-$C136+1)+16,"00"),"")&amp;IF($C136&gt;=18,", "&amp;$A136&amp;"-"&amp;TEXT(($D136-$C136+1)+17,"00"),"")&amp;IF($C136&gt;=19,", "&amp;$A136&amp;"-"&amp;TEXT(($D136-$C136+1)+18,"00"),"")&amp;IF($C136&gt;=20,", "&amp;$A136&amp;"-"&amp;TEXT(($D136-$C136+1)+19,"00"),"")&amp;IF($C136&gt;=21,", "&amp;$A136&amp;"-"&amp;TEXT(($D136-$C136+1)+20,"00"),"")&amp;IF($C136&gt;=22,", "&amp;$A136&amp;"-"&amp;TEXT(($D136-$C136+1)+21,"00"),"")&amp;IF($C136&gt;=23,", "&amp;$A136&amp;"-"&amp;TEXT(($D136-$C136+1)+22,"00"),"")&amp;IF($C136&gt;=24,", "&amp;$A136&amp;"-"&amp;TEXT(($D136-$C136+1)+23,"00"),"")&amp;IF($C136&gt;=25,", "&amp;$A136&amp;"-"&amp;TEXT(($D136-$C136+1)+24,"00"),""))</f>
        <v/>
      </c>
      <c r="G136">
        <f>IF($A136="","",IF($E136=1,$F136,IF($F136="",$G135,IF($G135="",$F136,$G135&amp;", "&amp;$F136))))</f>
        <v/>
      </c>
      <c r="H136">
        <f>IF($A136="","",$A136&amp;" ("&amp;$C136&amp;")")</f>
        <v/>
      </c>
      <c r="I136">
        <f>IF($A136="","",IF($E136=1,$H136,$I135&amp;", "&amp;$H136))</f>
        <v/>
      </c>
      <c r="J136">
        <f>IF($A136="","",IF($E136=1,$B136,""))</f>
        <v/>
      </c>
      <c r="K136">
        <f>IF($A136="","",IF(COUNTIF($B$2:$B136,$B136)=COUNTIF($B$2:$B$1601,$B136),$B136,""))</f>
        <v/>
      </c>
    </row>
    <row r="137">
      <c r="A137">
        <f>IF('TMP Paste'!$E137="","",'TMP Paste'!$E137)</f>
        <v/>
      </c>
      <c r="B137">
        <f>IF($A137="","",COUNTIF('TMP Paste'!$B$2:$B137,"?*"))</f>
        <v/>
      </c>
      <c r="C137">
        <f>IF($A137="","",IFERROR('TMP Paste'!$M137*1,0))</f>
        <v/>
      </c>
      <c r="D137">
        <f>IF($A137="","",SUMIF($B$2:$B137,$B137,$C$2:$C137))</f>
        <v/>
      </c>
      <c r="E137">
        <f>IF($A137="",0,IF('TMP Paste'!$B137="",0,1))</f>
        <v/>
      </c>
      <c r="F137">
        <f>IF(OR($A137="",$C137&lt;1),"",$A137&amp;"-"&amp;TEXT(($D137-$C137+1),"00")&amp;IF($C137&gt;=2,", "&amp;$A137&amp;"-"&amp;TEXT(($D137-$C137+1)+1,"00"),"")&amp;IF($C137&gt;=3,", "&amp;$A137&amp;"-"&amp;TEXT(($D137-$C137+1)+2,"00"),"")&amp;IF($C137&gt;=4,", "&amp;$A137&amp;"-"&amp;TEXT(($D137-$C137+1)+3,"00"),"")&amp;IF($C137&gt;=5,", "&amp;$A137&amp;"-"&amp;TEXT(($D137-$C137+1)+4,"00"),"")&amp;IF($C137&gt;=6,", "&amp;$A137&amp;"-"&amp;TEXT(($D137-$C137+1)+5,"00"),"")&amp;IF($C137&gt;=7,", "&amp;$A137&amp;"-"&amp;TEXT(($D137-$C137+1)+6,"00"),"")&amp;IF($C137&gt;=8,", "&amp;$A137&amp;"-"&amp;TEXT(($D137-$C137+1)+7,"00"),"")&amp;IF($C137&gt;=9,", "&amp;$A137&amp;"-"&amp;TEXT(($D137-$C137+1)+8,"00"),"")&amp;IF($C137&gt;=10,", "&amp;$A137&amp;"-"&amp;TEXT(($D137-$C137+1)+9,"00"),"")&amp;IF($C137&gt;=11,", "&amp;$A137&amp;"-"&amp;TEXT(($D137-$C137+1)+10,"00"),"")&amp;IF($C137&gt;=12,", "&amp;$A137&amp;"-"&amp;TEXT(($D137-$C137+1)+11,"00"),"")&amp;IF($C137&gt;=13,", "&amp;$A137&amp;"-"&amp;TEXT(($D137-$C137+1)+12,"00"),"")&amp;IF($C137&gt;=14,", "&amp;$A137&amp;"-"&amp;TEXT(($D137-$C137+1)+13,"00"),"")&amp;IF($C137&gt;=15,", "&amp;$A137&amp;"-"&amp;TEXT(($D137-$C137+1)+14,"00"),"")&amp;IF($C137&gt;=16,", "&amp;$A137&amp;"-"&amp;TEXT(($D137-$C137+1)+15,"00"),"")&amp;IF($C137&gt;=17,", "&amp;$A137&amp;"-"&amp;TEXT(($D137-$C137+1)+16,"00"),"")&amp;IF($C137&gt;=18,", "&amp;$A137&amp;"-"&amp;TEXT(($D137-$C137+1)+17,"00"),"")&amp;IF($C137&gt;=19,", "&amp;$A137&amp;"-"&amp;TEXT(($D137-$C137+1)+18,"00"),"")&amp;IF($C137&gt;=20,", "&amp;$A137&amp;"-"&amp;TEXT(($D137-$C137+1)+19,"00"),"")&amp;IF($C137&gt;=21,", "&amp;$A137&amp;"-"&amp;TEXT(($D137-$C137+1)+20,"00"),"")&amp;IF($C137&gt;=22,", "&amp;$A137&amp;"-"&amp;TEXT(($D137-$C137+1)+21,"00"),"")&amp;IF($C137&gt;=23,", "&amp;$A137&amp;"-"&amp;TEXT(($D137-$C137+1)+22,"00"),"")&amp;IF($C137&gt;=24,", "&amp;$A137&amp;"-"&amp;TEXT(($D137-$C137+1)+23,"00"),"")&amp;IF($C137&gt;=25,", "&amp;$A137&amp;"-"&amp;TEXT(($D137-$C137+1)+24,"00"),""))</f>
        <v/>
      </c>
      <c r="G137">
        <f>IF($A137="","",IF($E137=1,$F137,IF($F137="",$G136,IF($G136="",$F137,$G136&amp;", "&amp;$F137))))</f>
        <v/>
      </c>
      <c r="H137">
        <f>IF($A137="","",$A137&amp;" ("&amp;$C137&amp;")")</f>
        <v/>
      </c>
      <c r="I137">
        <f>IF($A137="","",IF($E137=1,$H137,$I136&amp;", "&amp;$H137))</f>
        <v/>
      </c>
      <c r="J137">
        <f>IF($A137="","",IF($E137=1,$B137,""))</f>
        <v/>
      </c>
      <c r="K137">
        <f>IF($A137="","",IF(COUNTIF($B$2:$B137,$B137)=COUNTIF($B$2:$B$1601,$B137),$B137,""))</f>
        <v/>
      </c>
    </row>
    <row r="138">
      <c r="A138">
        <f>IF('TMP Paste'!$E138="","",'TMP Paste'!$E138)</f>
        <v/>
      </c>
      <c r="B138">
        <f>IF($A138="","",COUNTIF('TMP Paste'!$B$2:$B138,"?*"))</f>
        <v/>
      </c>
      <c r="C138">
        <f>IF($A138="","",IFERROR('TMP Paste'!$M138*1,0))</f>
        <v/>
      </c>
      <c r="D138">
        <f>IF($A138="","",SUMIF($B$2:$B138,$B138,$C$2:$C138))</f>
        <v/>
      </c>
      <c r="E138">
        <f>IF($A138="",0,IF('TMP Paste'!$B138="",0,1))</f>
        <v/>
      </c>
      <c r="F138">
        <f>IF(OR($A138="",$C138&lt;1),"",$A138&amp;"-"&amp;TEXT(($D138-$C138+1),"00")&amp;IF($C138&gt;=2,", "&amp;$A138&amp;"-"&amp;TEXT(($D138-$C138+1)+1,"00"),"")&amp;IF($C138&gt;=3,", "&amp;$A138&amp;"-"&amp;TEXT(($D138-$C138+1)+2,"00"),"")&amp;IF($C138&gt;=4,", "&amp;$A138&amp;"-"&amp;TEXT(($D138-$C138+1)+3,"00"),"")&amp;IF($C138&gt;=5,", "&amp;$A138&amp;"-"&amp;TEXT(($D138-$C138+1)+4,"00"),"")&amp;IF($C138&gt;=6,", "&amp;$A138&amp;"-"&amp;TEXT(($D138-$C138+1)+5,"00"),"")&amp;IF($C138&gt;=7,", "&amp;$A138&amp;"-"&amp;TEXT(($D138-$C138+1)+6,"00"),"")&amp;IF($C138&gt;=8,", "&amp;$A138&amp;"-"&amp;TEXT(($D138-$C138+1)+7,"00"),"")&amp;IF($C138&gt;=9,", "&amp;$A138&amp;"-"&amp;TEXT(($D138-$C138+1)+8,"00"),"")&amp;IF($C138&gt;=10,", "&amp;$A138&amp;"-"&amp;TEXT(($D138-$C138+1)+9,"00"),"")&amp;IF($C138&gt;=11,", "&amp;$A138&amp;"-"&amp;TEXT(($D138-$C138+1)+10,"00"),"")&amp;IF($C138&gt;=12,", "&amp;$A138&amp;"-"&amp;TEXT(($D138-$C138+1)+11,"00"),"")&amp;IF($C138&gt;=13,", "&amp;$A138&amp;"-"&amp;TEXT(($D138-$C138+1)+12,"00"),"")&amp;IF($C138&gt;=14,", "&amp;$A138&amp;"-"&amp;TEXT(($D138-$C138+1)+13,"00"),"")&amp;IF($C138&gt;=15,", "&amp;$A138&amp;"-"&amp;TEXT(($D138-$C138+1)+14,"00"),"")&amp;IF($C138&gt;=16,", "&amp;$A138&amp;"-"&amp;TEXT(($D138-$C138+1)+15,"00"),"")&amp;IF($C138&gt;=17,", "&amp;$A138&amp;"-"&amp;TEXT(($D138-$C138+1)+16,"00"),"")&amp;IF($C138&gt;=18,", "&amp;$A138&amp;"-"&amp;TEXT(($D138-$C138+1)+17,"00"),"")&amp;IF($C138&gt;=19,", "&amp;$A138&amp;"-"&amp;TEXT(($D138-$C138+1)+18,"00"),"")&amp;IF($C138&gt;=20,", "&amp;$A138&amp;"-"&amp;TEXT(($D138-$C138+1)+19,"00"),"")&amp;IF($C138&gt;=21,", "&amp;$A138&amp;"-"&amp;TEXT(($D138-$C138+1)+20,"00"),"")&amp;IF($C138&gt;=22,", "&amp;$A138&amp;"-"&amp;TEXT(($D138-$C138+1)+21,"00"),"")&amp;IF($C138&gt;=23,", "&amp;$A138&amp;"-"&amp;TEXT(($D138-$C138+1)+22,"00"),"")&amp;IF($C138&gt;=24,", "&amp;$A138&amp;"-"&amp;TEXT(($D138-$C138+1)+23,"00"),"")&amp;IF($C138&gt;=25,", "&amp;$A138&amp;"-"&amp;TEXT(($D138-$C138+1)+24,"00"),""))</f>
        <v/>
      </c>
      <c r="G138">
        <f>IF($A138="","",IF($E138=1,$F138,IF($F138="",$G137,IF($G137="",$F138,$G137&amp;", "&amp;$F138))))</f>
        <v/>
      </c>
      <c r="H138">
        <f>IF($A138="","",$A138&amp;" ("&amp;$C138&amp;")")</f>
        <v/>
      </c>
      <c r="I138">
        <f>IF($A138="","",IF($E138=1,$H138,$I137&amp;", "&amp;$H138))</f>
        <v/>
      </c>
      <c r="J138">
        <f>IF($A138="","",IF($E138=1,$B138,""))</f>
        <v/>
      </c>
      <c r="K138">
        <f>IF($A138="","",IF(COUNTIF($B$2:$B138,$B138)=COUNTIF($B$2:$B$1601,$B138),$B138,""))</f>
        <v/>
      </c>
    </row>
    <row r="139">
      <c r="A139">
        <f>IF('TMP Paste'!$E139="","",'TMP Paste'!$E139)</f>
        <v/>
      </c>
      <c r="B139">
        <f>IF($A139="","",COUNTIF('TMP Paste'!$B$2:$B139,"?*"))</f>
        <v/>
      </c>
      <c r="C139">
        <f>IF($A139="","",IFERROR('TMP Paste'!$M139*1,0))</f>
        <v/>
      </c>
      <c r="D139">
        <f>IF($A139="","",SUMIF($B$2:$B139,$B139,$C$2:$C139))</f>
        <v/>
      </c>
      <c r="E139">
        <f>IF($A139="",0,IF('TMP Paste'!$B139="",0,1))</f>
        <v/>
      </c>
      <c r="F139">
        <f>IF(OR($A139="",$C139&lt;1),"",$A139&amp;"-"&amp;TEXT(($D139-$C139+1),"00")&amp;IF($C139&gt;=2,", "&amp;$A139&amp;"-"&amp;TEXT(($D139-$C139+1)+1,"00"),"")&amp;IF($C139&gt;=3,", "&amp;$A139&amp;"-"&amp;TEXT(($D139-$C139+1)+2,"00"),"")&amp;IF($C139&gt;=4,", "&amp;$A139&amp;"-"&amp;TEXT(($D139-$C139+1)+3,"00"),"")&amp;IF($C139&gt;=5,", "&amp;$A139&amp;"-"&amp;TEXT(($D139-$C139+1)+4,"00"),"")&amp;IF($C139&gt;=6,", "&amp;$A139&amp;"-"&amp;TEXT(($D139-$C139+1)+5,"00"),"")&amp;IF($C139&gt;=7,", "&amp;$A139&amp;"-"&amp;TEXT(($D139-$C139+1)+6,"00"),"")&amp;IF($C139&gt;=8,", "&amp;$A139&amp;"-"&amp;TEXT(($D139-$C139+1)+7,"00"),"")&amp;IF($C139&gt;=9,", "&amp;$A139&amp;"-"&amp;TEXT(($D139-$C139+1)+8,"00"),"")&amp;IF($C139&gt;=10,", "&amp;$A139&amp;"-"&amp;TEXT(($D139-$C139+1)+9,"00"),"")&amp;IF($C139&gt;=11,", "&amp;$A139&amp;"-"&amp;TEXT(($D139-$C139+1)+10,"00"),"")&amp;IF($C139&gt;=12,", "&amp;$A139&amp;"-"&amp;TEXT(($D139-$C139+1)+11,"00"),"")&amp;IF($C139&gt;=13,", "&amp;$A139&amp;"-"&amp;TEXT(($D139-$C139+1)+12,"00"),"")&amp;IF($C139&gt;=14,", "&amp;$A139&amp;"-"&amp;TEXT(($D139-$C139+1)+13,"00"),"")&amp;IF($C139&gt;=15,", "&amp;$A139&amp;"-"&amp;TEXT(($D139-$C139+1)+14,"00"),"")&amp;IF($C139&gt;=16,", "&amp;$A139&amp;"-"&amp;TEXT(($D139-$C139+1)+15,"00"),"")&amp;IF($C139&gt;=17,", "&amp;$A139&amp;"-"&amp;TEXT(($D139-$C139+1)+16,"00"),"")&amp;IF($C139&gt;=18,", "&amp;$A139&amp;"-"&amp;TEXT(($D139-$C139+1)+17,"00"),"")&amp;IF($C139&gt;=19,", "&amp;$A139&amp;"-"&amp;TEXT(($D139-$C139+1)+18,"00"),"")&amp;IF($C139&gt;=20,", "&amp;$A139&amp;"-"&amp;TEXT(($D139-$C139+1)+19,"00"),"")&amp;IF($C139&gt;=21,", "&amp;$A139&amp;"-"&amp;TEXT(($D139-$C139+1)+20,"00"),"")&amp;IF($C139&gt;=22,", "&amp;$A139&amp;"-"&amp;TEXT(($D139-$C139+1)+21,"00"),"")&amp;IF($C139&gt;=23,", "&amp;$A139&amp;"-"&amp;TEXT(($D139-$C139+1)+22,"00"),"")&amp;IF($C139&gt;=24,", "&amp;$A139&amp;"-"&amp;TEXT(($D139-$C139+1)+23,"00"),"")&amp;IF($C139&gt;=25,", "&amp;$A139&amp;"-"&amp;TEXT(($D139-$C139+1)+24,"00"),""))</f>
        <v/>
      </c>
      <c r="G139">
        <f>IF($A139="","",IF($E139=1,$F139,IF($F139="",$G138,IF($G138="",$F139,$G138&amp;", "&amp;$F139))))</f>
        <v/>
      </c>
      <c r="H139">
        <f>IF($A139="","",$A139&amp;" ("&amp;$C139&amp;")")</f>
        <v/>
      </c>
      <c r="I139">
        <f>IF($A139="","",IF($E139=1,$H139,$I138&amp;", "&amp;$H139))</f>
        <v/>
      </c>
      <c r="J139">
        <f>IF($A139="","",IF($E139=1,$B139,""))</f>
        <v/>
      </c>
      <c r="K139">
        <f>IF($A139="","",IF(COUNTIF($B$2:$B139,$B139)=COUNTIF($B$2:$B$1601,$B139),$B139,""))</f>
        <v/>
      </c>
    </row>
    <row r="140">
      <c r="A140">
        <f>IF('TMP Paste'!$E140="","",'TMP Paste'!$E140)</f>
        <v/>
      </c>
      <c r="B140">
        <f>IF($A140="","",COUNTIF('TMP Paste'!$B$2:$B140,"?*"))</f>
        <v/>
      </c>
      <c r="C140">
        <f>IF($A140="","",IFERROR('TMP Paste'!$M140*1,0))</f>
        <v/>
      </c>
      <c r="D140">
        <f>IF($A140="","",SUMIF($B$2:$B140,$B140,$C$2:$C140))</f>
        <v/>
      </c>
      <c r="E140">
        <f>IF($A140="",0,IF('TMP Paste'!$B140="",0,1))</f>
        <v/>
      </c>
      <c r="F140">
        <f>IF(OR($A140="",$C140&lt;1),"",$A140&amp;"-"&amp;TEXT(($D140-$C140+1),"00")&amp;IF($C140&gt;=2,", "&amp;$A140&amp;"-"&amp;TEXT(($D140-$C140+1)+1,"00"),"")&amp;IF($C140&gt;=3,", "&amp;$A140&amp;"-"&amp;TEXT(($D140-$C140+1)+2,"00"),"")&amp;IF($C140&gt;=4,", "&amp;$A140&amp;"-"&amp;TEXT(($D140-$C140+1)+3,"00"),"")&amp;IF($C140&gt;=5,", "&amp;$A140&amp;"-"&amp;TEXT(($D140-$C140+1)+4,"00"),"")&amp;IF($C140&gt;=6,", "&amp;$A140&amp;"-"&amp;TEXT(($D140-$C140+1)+5,"00"),"")&amp;IF($C140&gt;=7,", "&amp;$A140&amp;"-"&amp;TEXT(($D140-$C140+1)+6,"00"),"")&amp;IF($C140&gt;=8,", "&amp;$A140&amp;"-"&amp;TEXT(($D140-$C140+1)+7,"00"),"")&amp;IF($C140&gt;=9,", "&amp;$A140&amp;"-"&amp;TEXT(($D140-$C140+1)+8,"00"),"")&amp;IF($C140&gt;=10,", "&amp;$A140&amp;"-"&amp;TEXT(($D140-$C140+1)+9,"00"),"")&amp;IF($C140&gt;=11,", "&amp;$A140&amp;"-"&amp;TEXT(($D140-$C140+1)+10,"00"),"")&amp;IF($C140&gt;=12,", "&amp;$A140&amp;"-"&amp;TEXT(($D140-$C140+1)+11,"00"),"")&amp;IF($C140&gt;=13,", "&amp;$A140&amp;"-"&amp;TEXT(($D140-$C140+1)+12,"00"),"")&amp;IF($C140&gt;=14,", "&amp;$A140&amp;"-"&amp;TEXT(($D140-$C140+1)+13,"00"),"")&amp;IF($C140&gt;=15,", "&amp;$A140&amp;"-"&amp;TEXT(($D140-$C140+1)+14,"00"),"")&amp;IF($C140&gt;=16,", "&amp;$A140&amp;"-"&amp;TEXT(($D140-$C140+1)+15,"00"),"")&amp;IF($C140&gt;=17,", "&amp;$A140&amp;"-"&amp;TEXT(($D140-$C140+1)+16,"00"),"")&amp;IF($C140&gt;=18,", "&amp;$A140&amp;"-"&amp;TEXT(($D140-$C140+1)+17,"00"),"")&amp;IF($C140&gt;=19,", "&amp;$A140&amp;"-"&amp;TEXT(($D140-$C140+1)+18,"00"),"")&amp;IF($C140&gt;=20,", "&amp;$A140&amp;"-"&amp;TEXT(($D140-$C140+1)+19,"00"),"")&amp;IF($C140&gt;=21,", "&amp;$A140&amp;"-"&amp;TEXT(($D140-$C140+1)+20,"00"),"")&amp;IF($C140&gt;=22,", "&amp;$A140&amp;"-"&amp;TEXT(($D140-$C140+1)+21,"00"),"")&amp;IF($C140&gt;=23,", "&amp;$A140&amp;"-"&amp;TEXT(($D140-$C140+1)+22,"00"),"")&amp;IF($C140&gt;=24,", "&amp;$A140&amp;"-"&amp;TEXT(($D140-$C140+1)+23,"00"),"")&amp;IF($C140&gt;=25,", "&amp;$A140&amp;"-"&amp;TEXT(($D140-$C140+1)+24,"00"),""))</f>
        <v/>
      </c>
      <c r="G140">
        <f>IF($A140="","",IF($E140=1,$F140,IF($F140="",$G139,IF($G139="",$F140,$G139&amp;", "&amp;$F140))))</f>
        <v/>
      </c>
      <c r="H140">
        <f>IF($A140="","",$A140&amp;" ("&amp;$C140&amp;")")</f>
        <v/>
      </c>
      <c r="I140">
        <f>IF($A140="","",IF($E140=1,$H140,$I139&amp;", "&amp;$H140))</f>
        <v/>
      </c>
      <c r="J140">
        <f>IF($A140="","",IF($E140=1,$B140,""))</f>
        <v/>
      </c>
      <c r="K140">
        <f>IF($A140="","",IF(COUNTIF($B$2:$B140,$B140)=COUNTIF($B$2:$B$1601,$B140),$B140,""))</f>
        <v/>
      </c>
    </row>
    <row r="141">
      <c r="A141">
        <f>IF('TMP Paste'!$E141="","",'TMP Paste'!$E141)</f>
        <v/>
      </c>
      <c r="B141">
        <f>IF($A141="","",COUNTIF('TMP Paste'!$B$2:$B141,"?*"))</f>
        <v/>
      </c>
      <c r="C141">
        <f>IF($A141="","",IFERROR('TMP Paste'!$M141*1,0))</f>
        <v/>
      </c>
      <c r="D141">
        <f>IF($A141="","",SUMIF($B$2:$B141,$B141,$C$2:$C141))</f>
        <v/>
      </c>
      <c r="E141">
        <f>IF($A141="",0,IF('TMP Paste'!$B141="",0,1))</f>
        <v/>
      </c>
      <c r="F141">
        <f>IF(OR($A141="",$C141&lt;1),"",$A141&amp;"-"&amp;TEXT(($D141-$C141+1),"00")&amp;IF($C141&gt;=2,", "&amp;$A141&amp;"-"&amp;TEXT(($D141-$C141+1)+1,"00"),"")&amp;IF($C141&gt;=3,", "&amp;$A141&amp;"-"&amp;TEXT(($D141-$C141+1)+2,"00"),"")&amp;IF($C141&gt;=4,", "&amp;$A141&amp;"-"&amp;TEXT(($D141-$C141+1)+3,"00"),"")&amp;IF($C141&gt;=5,", "&amp;$A141&amp;"-"&amp;TEXT(($D141-$C141+1)+4,"00"),"")&amp;IF($C141&gt;=6,", "&amp;$A141&amp;"-"&amp;TEXT(($D141-$C141+1)+5,"00"),"")&amp;IF($C141&gt;=7,", "&amp;$A141&amp;"-"&amp;TEXT(($D141-$C141+1)+6,"00"),"")&amp;IF($C141&gt;=8,", "&amp;$A141&amp;"-"&amp;TEXT(($D141-$C141+1)+7,"00"),"")&amp;IF($C141&gt;=9,", "&amp;$A141&amp;"-"&amp;TEXT(($D141-$C141+1)+8,"00"),"")&amp;IF($C141&gt;=10,", "&amp;$A141&amp;"-"&amp;TEXT(($D141-$C141+1)+9,"00"),"")&amp;IF($C141&gt;=11,", "&amp;$A141&amp;"-"&amp;TEXT(($D141-$C141+1)+10,"00"),"")&amp;IF($C141&gt;=12,", "&amp;$A141&amp;"-"&amp;TEXT(($D141-$C141+1)+11,"00"),"")&amp;IF($C141&gt;=13,", "&amp;$A141&amp;"-"&amp;TEXT(($D141-$C141+1)+12,"00"),"")&amp;IF($C141&gt;=14,", "&amp;$A141&amp;"-"&amp;TEXT(($D141-$C141+1)+13,"00"),"")&amp;IF($C141&gt;=15,", "&amp;$A141&amp;"-"&amp;TEXT(($D141-$C141+1)+14,"00"),"")&amp;IF($C141&gt;=16,", "&amp;$A141&amp;"-"&amp;TEXT(($D141-$C141+1)+15,"00"),"")&amp;IF($C141&gt;=17,", "&amp;$A141&amp;"-"&amp;TEXT(($D141-$C141+1)+16,"00"),"")&amp;IF($C141&gt;=18,", "&amp;$A141&amp;"-"&amp;TEXT(($D141-$C141+1)+17,"00"),"")&amp;IF($C141&gt;=19,", "&amp;$A141&amp;"-"&amp;TEXT(($D141-$C141+1)+18,"00"),"")&amp;IF($C141&gt;=20,", "&amp;$A141&amp;"-"&amp;TEXT(($D141-$C141+1)+19,"00"),"")&amp;IF($C141&gt;=21,", "&amp;$A141&amp;"-"&amp;TEXT(($D141-$C141+1)+20,"00"),"")&amp;IF($C141&gt;=22,", "&amp;$A141&amp;"-"&amp;TEXT(($D141-$C141+1)+21,"00"),"")&amp;IF($C141&gt;=23,", "&amp;$A141&amp;"-"&amp;TEXT(($D141-$C141+1)+22,"00"),"")&amp;IF($C141&gt;=24,", "&amp;$A141&amp;"-"&amp;TEXT(($D141-$C141+1)+23,"00"),"")&amp;IF($C141&gt;=25,", "&amp;$A141&amp;"-"&amp;TEXT(($D141-$C141+1)+24,"00"),""))</f>
        <v/>
      </c>
      <c r="G141">
        <f>IF($A141="","",IF($E141=1,$F141,IF($F141="",$G140,IF($G140="",$F141,$G140&amp;", "&amp;$F141))))</f>
        <v/>
      </c>
      <c r="H141">
        <f>IF($A141="","",$A141&amp;" ("&amp;$C141&amp;")")</f>
        <v/>
      </c>
      <c r="I141">
        <f>IF($A141="","",IF($E141=1,$H141,$I140&amp;", "&amp;$H141))</f>
        <v/>
      </c>
      <c r="J141">
        <f>IF($A141="","",IF($E141=1,$B141,""))</f>
        <v/>
      </c>
      <c r="K141">
        <f>IF($A141="","",IF(COUNTIF($B$2:$B141,$B141)=COUNTIF($B$2:$B$1601,$B141),$B141,""))</f>
        <v/>
      </c>
    </row>
    <row r="142">
      <c r="A142">
        <f>IF('TMP Paste'!$E142="","",'TMP Paste'!$E142)</f>
        <v/>
      </c>
      <c r="B142">
        <f>IF($A142="","",COUNTIF('TMP Paste'!$B$2:$B142,"?*"))</f>
        <v/>
      </c>
      <c r="C142">
        <f>IF($A142="","",IFERROR('TMP Paste'!$M142*1,0))</f>
        <v/>
      </c>
      <c r="D142">
        <f>IF($A142="","",SUMIF($B$2:$B142,$B142,$C$2:$C142))</f>
        <v/>
      </c>
      <c r="E142">
        <f>IF($A142="",0,IF('TMP Paste'!$B142="",0,1))</f>
        <v/>
      </c>
      <c r="F142">
        <f>IF(OR($A142="",$C142&lt;1),"",$A142&amp;"-"&amp;TEXT(($D142-$C142+1),"00")&amp;IF($C142&gt;=2,", "&amp;$A142&amp;"-"&amp;TEXT(($D142-$C142+1)+1,"00"),"")&amp;IF($C142&gt;=3,", "&amp;$A142&amp;"-"&amp;TEXT(($D142-$C142+1)+2,"00"),"")&amp;IF($C142&gt;=4,", "&amp;$A142&amp;"-"&amp;TEXT(($D142-$C142+1)+3,"00"),"")&amp;IF($C142&gt;=5,", "&amp;$A142&amp;"-"&amp;TEXT(($D142-$C142+1)+4,"00"),"")&amp;IF($C142&gt;=6,", "&amp;$A142&amp;"-"&amp;TEXT(($D142-$C142+1)+5,"00"),"")&amp;IF($C142&gt;=7,", "&amp;$A142&amp;"-"&amp;TEXT(($D142-$C142+1)+6,"00"),"")&amp;IF($C142&gt;=8,", "&amp;$A142&amp;"-"&amp;TEXT(($D142-$C142+1)+7,"00"),"")&amp;IF($C142&gt;=9,", "&amp;$A142&amp;"-"&amp;TEXT(($D142-$C142+1)+8,"00"),"")&amp;IF($C142&gt;=10,", "&amp;$A142&amp;"-"&amp;TEXT(($D142-$C142+1)+9,"00"),"")&amp;IF($C142&gt;=11,", "&amp;$A142&amp;"-"&amp;TEXT(($D142-$C142+1)+10,"00"),"")&amp;IF($C142&gt;=12,", "&amp;$A142&amp;"-"&amp;TEXT(($D142-$C142+1)+11,"00"),"")&amp;IF($C142&gt;=13,", "&amp;$A142&amp;"-"&amp;TEXT(($D142-$C142+1)+12,"00"),"")&amp;IF($C142&gt;=14,", "&amp;$A142&amp;"-"&amp;TEXT(($D142-$C142+1)+13,"00"),"")&amp;IF($C142&gt;=15,", "&amp;$A142&amp;"-"&amp;TEXT(($D142-$C142+1)+14,"00"),"")&amp;IF($C142&gt;=16,", "&amp;$A142&amp;"-"&amp;TEXT(($D142-$C142+1)+15,"00"),"")&amp;IF($C142&gt;=17,", "&amp;$A142&amp;"-"&amp;TEXT(($D142-$C142+1)+16,"00"),"")&amp;IF($C142&gt;=18,", "&amp;$A142&amp;"-"&amp;TEXT(($D142-$C142+1)+17,"00"),"")&amp;IF($C142&gt;=19,", "&amp;$A142&amp;"-"&amp;TEXT(($D142-$C142+1)+18,"00"),"")&amp;IF($C142&gt;=20,", "&amp;$A142&amp;"-"&amp;TEXT(($D142-$C142+1)+19,"00"),"")&amp;IF($C142&gt;=21,", "&amp;$A142&amp;"-"&amp;TEXT(($D142-$C142+1)+20,"00"),"")&amp;IF($C142&gt;=22,", "&amp;$A142&amp;"-"&amp;TEXT(($D142-$C142+1)+21,"00"),"")&amp;IF($C142&gt;=23,", "&amp;$A142&amp;"-"&amp;TEXT(($D142-$C142+1)+22,"00"),"")&amp;IF($C142&gt;=24,", "&amp;$A142&amp;"-"&amp;TEXT(($D142-$C142+1)+23,"00"),"")&amp;IF($C142&gt;=25,", "&amp;$A142&amp;"-"&amp;TEXT(($D142-$C142+1)+24,"00"),""))</f>
        <v/>
      </c>
      <c r="G142">
        <f>IF($A142="","",IF($E142=1,$F142,IF($F142="",$G141,IF($G141="",$F142,$G141&amp;", "&amp;$F142))))</f>
        <v/>
      </c>
      <c r="H142">
        <f>IF($A142="","",$A142&amp;" ("&amp;$C142&amp;")")</f>
        <v/>
      </c>
      <c r="I142">
        <f>IF($A142="","",IF($E142=1,$H142,$I141&amp;", "&amp;$H142))</f>
        <v/>
      </c>
      <c r="J142">
        <f>IF($A142="","",IF($E142=1,$B142,""))</f>
        <v/>
      </c>
      <c r="K142">
        <f>IF($A142="","",IF(COUNTIF($B$2:$B142,$B142)=COUNTIF($B$2:$B$1601,$B142),$B142,""))</f>
        <v/>
      </c>
    </row>
    <row r="143">
      <c r="A143">
        <f>IF('TMP Paste'!$E143="","",'TMP Paste'!$E143)</f>
        <v/>
      </c>
      <c r="B143">
        <f>IF($A143="","",COUNTIF('TMP Paste'!$B$2:$B143,"?*"))</f>
        <v/>
      </c>
      <c r="C143">
        <f>IF($A143="","",IFERROR('TMP Paste'!$M143*1,0))</f>
        <v/>
      </c>
      <c r="D143">
        <f>IF($A143="","",SUMIF($B$2:$B143,$B143,$C$2:$C143))</f>
        <v/>
      </c>
      <c r="E143">
        <f>IF($A143="",0,IF('TMP Paste'!$B143="",0,1))</f>
        <v/>
      </c>
      <c r="F143">
        <f>IF(OR($A143="",$C143&lt;1),"",$A143&amp;"-"&amp;TEXT(($D143-$C143+1),"00")&amp;IF($C143&gt;=2,", "&amp;$A143&amp;"-"&amp;TEXT(($D143-$C143+1)+1,"00"),"")&amp;IF($C143&gt;=3,", "&amp;$A143&amp;"-"&amp;TEXT(($D143-$C143+1)+2,"00"),"")&amp;IF($C143&gt;=4,", "&amp;$A143&amp;"-"&amp;TEXT(($D143-$C143+1)+3,"00"),"")&amp;IF($C143&gt;=5,", "&amp;$A143&amp;"-"&amp;TEXT(($D143-$C143+1)+4,"00"),"")&amp;IF($C143&gt;=6,", "&amp;$A143&amp;"-"&amp;TEXT(($D143-$C143+1)+5,"00"),"")&amp;IF($C143&gt;=7,", "&amp;$A143&amp;"-"&amp;TEXT(($D143-$C143+1)+6,"00"),"")&amp;IF($C143&gt;=8,", "&amp;$A143&amp;"-"&amp;TEXT(($D143-$C143+1)+7,"00"),"")&amp;IF($C143&gt;=9,", "&amp;$A143&amp;"-"&amp;TEXT(($D143-$C143+1)+8,"00"),"")&amp;IF($C143&gt;=10,", "&amp;$A143&amp;"-"&amp;TEXT(($D143-$C143+1)+9,"00"),"")&amp;IF($C143&gt;=11,", "&amp;$A143&amp;"-"&amp;TEXT(($D143-$C143+1)+10,"00"),"")&amp;IF($C143&gt;=12,", "&amp;$A143&amp;"-"&amp;TEXT(($D143-$C143+1)+11,"00"),"")&amp;IF($C143&gt;=13,", "&amp;$A143&amp;"-"&amp;TEXT(($D143-$C143+1)+12,"00"),"")&amp;IF($C143&gt;=14,", "&amp;$A143&amp;"-"&amp;TEXT(($D143-$C143+1)+13,"00"),"")&amp;IF($C143&gt;=15,", "&amp;$A143&amp;"-"&amp;TEXT(($D143-$C143+1)+14,"00"),"")&amp;IF($C143&gt;=16,", "&amp;$A143&amp;"-"&amp;TEXT(($D143-$C143+1)+15,"00"),"")&amp;IF($C143&gt;=17,", "&amp;$A143&amp;"-"&amp;TEXT(($D143-$C143+1)+16,"00"),"")&amp;IF($C143&gt;=18,", "&amp;$A143&amp;"-"&amp;TEXT(($D143-$C143+1)+17,"00"),"")&amp;IF($C143&gt;=19,", "&amp;$A143&amp;"-"&amp;TEXT(($D143-$C143+1)+18,"00"),"")&amp;IF($C143&gt;=20,", "&amp;$A143&amp;"-"&amp;TEXT(($D143-$C143+1)+19,"00"),"")&amp;IF($C143&gt;=21,", "&amp;$A143&amp;"-"&amp;TEXT(($D143-$C143+1)+20,"00"),"")&amp;IF($C143&gt;=22,", "&amp;$A143&amp;"-"&amp;TEXT(($D143-$C143+1)+21,"00"),"")&amp;IF($C143&gt;=23,", "&amp;$A143&amp;"-"&amp;TEXT(($D143-$C143+1)+22,"00"),"")&amp;IF($C143&gt;=24,", "&amp;$A143&amp;"-"&amp;TEXT(($D143-$C143+1)+23,"00"),"")&amp;IF($C143&gt;=25,", "&amp;$A143&amp;"-"&amp;TEXT(($D143-$C143+1)+24,"00"),""))</f>
        <v/>
      </c>
      <c r="G143">
        <f>IF($A143="","",IF($E143=1,$F143,IF($F143="",$G142,IF($G142="",$F143,$G142&amp;", "&amp;$F143))))</f>
        <v/>
      </c>
      <c r="H143">
        <f>IF($A143="","",$A143&amp;" ("&amp;$C143&amp;")")</f>
        <v/>
      </c>
      <c r="I143">
        <f>IF($A143="","",IF($E143=1,$H143,$I142&amp;", "&amp;$H143))</f>
        <v/>
      </c>
      <c r="J143">
        <f>IF($A143="","",IF($E143=1,$B143,""))</f>
        <v/>
      </c>
      <c r="K143">
        <f>IF($A143="","",IF(COUNTIF($B$2:$B143,$B143)=COUNTIF($B$2:$B$1601,$B143),$B143,""))</f>
        <v/>
      </c>
    </row>
    <row r="144">
      <c r="A144">
        <f>IF('TMP Paste'!$E144="","",'TMP Paste'!$E144)</f>
        <v/>
      </c>
      <c r="B144">
        <f>IF($A144="","",COUNTIF('TMP Paste'!$B$2:$B144,"?*"))</f>
        <v/>
      </c>
      <c r="C144">
        <f>IF($A144="","",IFERROR('TMP Paste'!$M144*1,0))</f>
        <v/>
      </c>
      <c r="D144">
        <f>IF($A144="","",SUMIF($B$2:$B144,$B144,$C$2:$C144))</f>
        <v/>
      </c>
      <c r="E144">
        <f>IF($A144="",0,IF('TMP Paste'!$B144="",0,1))</f>
        <v/>
      </c>
      <c r="F144">
        <f>IF(OR($A144="",$C144&lt;1),"",$A144&amp;"-"&amp;TEXT(($D144-$C144+1),"00")&amp;IF($C144&gt;=2,", "&amp;$A144&amp;"-"&amp;TEXT(($D144-$C144+1)+1,"00"),"")&amp;IF($C144&gt;=3,", "&amp;$A144&amp;"-"&amp;TEXT(($D144-$C144+1)+2,"00"),"")&amp;IF($C144&gt;=4,", "&amp;$A144&amp;"-"&amp;TEXT(($D144-$C144+1)+3,"00"),"")&amp;IF($C144&gt;=5,", "&amp;$A144&amp;"-"&amp;TEXT(($D144-$C144+1)+4,"00"),"")&amp;IF($C144&gt;=6,", "&amp;$A144&amp;"-"&amp;TEXT(($D144-$C144+1)+5,"00"),"")&amp;IF($C144&gt;=7,", "&amp;$A144&amp;"-"&amp;TEXT(($D144-$C144+1)+6,"00"),"")&amp;IF($C144&gt;=8,", "&amp;$A144&amp;"-"&amp;TEXT(($D144-$C144+1)+7,"00"),"")&amp;IF($C144&gt;=9,", "&amp;$A144&amp;"-"&amp;TEXT(($D144-$C144+1)+8,"00"),"")&amp;IF($C144&gt;=10,", "&amp;$A144&amp;"-"&amp;TEXT(($D144-$C144+1)+9,"00"),"")&amp;IF($C144&gt;=11,", "&amp;$A144&amp;"-"&amp;TEXT(($D144-$C144+1)+10,"00"),"")&amp;IF($C144&gt;=12,", "&amp;$A144&amp;"-"&amp;TEXT(($D144-$C144+1)+11,"00"),"")&amp;IF($C144&gt;=13,", "&amp;$A144&amp;"-"&amp;TEXT(($D144-$C144+1)+12,"00"),"")&amp;IF($C144&gt;=14,", "&amp;$A144&amp;"-"&amp;TEXT(($D144-$C144+1)+13,"00"),"")&amp;IF($C144&gt;=15,", "&amp;$A144&amp;"-"&amp;TEXT(($D144-$C144+1)+14,"00"),"")&amp;IF($C144&gt;=16,", "&amp;$A144&amp;"-"&amp;TEXT(($D144-$C144+1)+15,"00"),"")&amp;IF($C144&gt;=17,", "&amp;$A144&amp;"-"&amp;TEXT(($D144-$C144+1)+16,"00"),"")&amp;IF($C144&gt;=18,", "&amp;$A144&amp;"-"&amp;TEXT(($D144-$C144+1)+17,"00"),"")&amp;IF($C144&gt;=19,", "&amp;$A144&amp;"-"&amp;TEXT(($D144-$C144+1)+18,"00"),"")&amp;IF($C144&gt;=20,", "&amp;$A144&amp;"-"&amp;TEXT(($D144-$C144+1)+19,"00"),"")&amp;IF($C144&gt;=21,", "&amp;$A144&amp;"-"&amp;TEXT(($D144-$C144+1)+20,"00"),"")&amp;IF($C144&gt;=22,", "&amp;$A144&amp;"-"&amp;TEXT(($D144-$C144+1)+21,"00"),"")&amp;IF($C144&gt;=23,", "&amp;$A144&amp;"-"&amp;TEXT(($D144-$C144+1)+22,"00"),"")&amp;IF($C144&gt;=24,", "&amp;$A144&amp;"-"&amp;TEXT(($D144-$C144+1)+23,"00"),"")&amp;IF($C144&gt;=25,", "&amp;$A144&amp;"-"&amp;TEXT(($D144-$C144+1)+24,"00"),""))</f>
        <v/>
      </c>
      <c r="G144">
        <f>IF($A144="","",IF($E144=1,$F144,IF($F144="",$G143,IF($G143="",$F144,$G143&amp;", "&amp;$F144))))</f>
        <v/>
      </c>
      <c r="H144">
        <f>IF($A144="","",$A144&amp;" ("&amp;$C144&amp;")")</f>
        <v/>
      </c>
      <c r="I144">
        <f>IF($A144="","",IF($E144=1,$H144,$I143&amp;", "&amp;$H144))</f>
        <v/>
      </c>
      <c r="J144">
        <f>IF($A144="","",IF($E144=1,$B144,""))</f>
        <v/>
      </c>
      <c r="K144">
        <f>IF($A144="","",IF(COUNTIF($B$2:$B144,$B144)=COUNTIF($B$2:$B$1601,$B144),$B144,""))</f>
        <v/>
      </c>
    </row>
    <row r="145">
      <c r="A145">
        <f>IF('TMP Paste'!$E145="","",'TMP Paste'!$E145)</f>
        <v/>
      </c>
      <c r="B145">
        <f>IF($A145="","",COUNTIF('TMP Paste'!$B$2:$B145,"?*"))</f>
        <v/>
      </c>
      <c r="C145">
        <f>IF($A145="","",IFERROR('TMP Paste'!$M145*1,0))</f>
        <v/>
      </c>
      <c r="D145">
        <f>IF($A145="","",SUMIF($B$2:$B145,$B145,$C$2:$C145))</f>
        <v/>
      </c>
      <c r="E145">
        <f>IF($A145="",0,IF('TMP Paste'!$B145="",0,1))</f>
        <v/>
      </c>
      <c r="F145">
        <f>IF(OR($A145="",$C145&lt;1),"",$A145&amp;"-"&amp;TEXT(($D145-$C145+1),"00")&amp;IF($C145&gt;=2,", "&amp;$A145&amp;"-"&amp;TEXT(($D145-$C145+1)+1,"00"),"")&amp;IF($C145&gt;=3,", "&amp;$A145&amp;"-"&amp;TEXT(($D145-$C145+1)+2,"00"),"")&amp;IF($C145&gt;=4,", "&amp;$A145&amp;"-"&amp;TEXT(($D145-$C145+1)+3,"00"),"")&amp;IF($C145&gt;=5,", "&amp;$A145&amp;"-"&amp;TEXT(($D145-$C145+1)+4,"00"),"")&amp;IF($C145&gt;=6,", "&amp;$A145&amp;"-"&amp;TEXT(($D145-$C145+1)+5,"00"),"")&amp;IF($C145&gt;=7,", "&amp;$A145&amp;"-"&amp;TEXT(($D145-$C145+1)+6,"00"),"")&amp;IF($C145&gt;=8,", "&amp;$A145&amp;"-"&amp;TEXT(($D145-$C145+1)+7,"00"),"")&amp;IF($C145&gt;=9,", "&amp;$A145&amp;"-"&amp;TEXT(($D145-$C145+1)+8,"00"),"")&amp;IF($C145&gt;=10,", "&amp;$A145&amp;"-"&amp;TEXT(($D145-$C145+1)+9,"00"),"")&amp;IF($C145&gt;=11,", "&amp;$A145&amp;"-"&amp;TEXT(($D145-$C145+1)+10,"00"),"")&amp;IF($C145&gt;=12,", "&amp;$A145&amp;"-"&amp;TEXT(($D145-$C145+1)+11,"00"),"")&amp;IF($C145&gt;=13,", "&amp;$A145&amp;"-"&amp;TEXT(($D145-$C145+1)+12,"00"),"")&amp;IF($C145&gt;=14,", "&amp;$A145&amp;"-"&amp;TEXT(($D145-$C145+1)+13,"00"),"")&amp;IF($C145&gt;=15,", "&amp;$A145&amp;"-"&amp;TEXT(($D145-$C145+1)+14,"00"),"")&amp;IF($C145&gt;=16,", "&amp;$A145&amp;"-"&amp;TEXT(($D145-$C145+1)+15,"00"),"")&amp;IF($C145&gt;=17,", "&amp;$A145&amp;"-"&amp;TEXT(($D145-$C145+1)+16,"00"),"")&amp;IF($C145&gt;=18,", "&amp;$A145&amp;"-"&amp;TEXT(($D145-$C145+1)+17,"00"),"")&amp;IF($C145&gt;=19,", "&amp;$A145&amp;"-"&amp;TEXT(($D145-$C145+1)+18,"00"),"")&amp;IF($C145&gt;=20,", "&amp;$A145&amp;"-"&amp;TEXT(($D145-$C145+1)+19,"00"),"")&amp;IF($C145&gt;=21,", "&amp;$A145&amp;"-"&amp;TEXT(($D145-$C145+1)+20,"00"),"")&amp;IF($C145&gt;=22,", "&amp;$A145&amp;"-"&amp;TEXT(($D145-$C145+1)+21,"00"),"")&amp;IF($C145&gt;=23,", "&amp;$A145&amp;"-"&amp;TEXT(($D145-$C145+1)+22,"00"),"")&amp;IF($C145&gt;=24,", "&amp;$A145&amp;"-"&amp;TEXT(($D145-$C145+1)+23,"00"),"")&amp;IF($C145&gt;=25,", "&amp;$A145&amp;"-"&amp;TEXT(($D145-$C145+1)+24,"00"),""))</f>
        <v/>
      </c>
      <c r="G145">
        <f>IF($A145="","",IF($E145=1,$F145,IF($F145="",$G144,IF($G144="",$F145,$G144&amp;", "&amp;$F145))))</f>
        <v/>
      </c>
      <c r="H145">
        <f>IF($A145="","",$A145&amp;" ("&amp;$C145&amp;")")</f>
        <v/>
      </c>
      <c r="I145">
        <f>IF($A145="","",IF($E145=1,$H145,$I144&amp;", "&amp;$H145))</f>
        <v/>
      </c>
      <c r="J145">
        <f>IF($A145="","",IF($E145=1,$B145,""))</f>
        <v/>
      </c>
      <c r="K145">
        <f>IF($A145="","",IF(COUNTIF($B$2:$B145,$B145)=COUNTIF($B$2:$B$1601,$B145),$B145,""))</f>
        <v/>
      </c>
    </row>
    <row r="146">
      <c r="A146">
        <f>IF('TMP Paste'!$E146="","",'TMP Paste'!$E146)</f>
        <v/>
      </c>
      <c r="B146">
        <f>IF($A146="","",COUNTIF('TMP Paste'!$B$2:$B146,"?*"))</f>
        <v/>
      </c>
      <c r="C146">
        <f>IF($A146="","",IFERROR('TMP Paste'!$M146*1,0))</f>
        <v/>
      </c>
      <c r="D146">
        <f>IF($A146="","",SUMIF($B$2:$B146,$B146,$C$2:$C146))</f>
        <v/>
      </c>
      <c r="E146">
        <f>IF($A146="",0,IF('TMP Paste'!$B146="",0,1))</f>
        <v/>
      </c>
      <c r="F146">
        <f>IF(OR($A146="",$C146&lt;1),"",$A146&amp;"-"&amp;TEXT(($D146-$C146+1),"00")&amp;IF($C146&gt;=2,", "&amp;$A146&amp;"-"&amp;TEXT(($D146-$C146+1)+1,"00"),"")&amp;IF($C146&gt;=3,", "&amp;$A146&amp;"-"&amp;TEXT(($D146-$C146+1)+2,"00"),"")&amp;IF($C146&gt;=4,", "&amp;$A146&amp;"-"&amp;TEXT(($D146-$C146+1)+3,"00"),"")&amp;IF($C146&gt;=5,", "&amp;$A146&amp;"-"&amp;TEXT(($D146-$C146+1)+4,"00"),"")&amp;IF($C146&gt;=6,", "&amp;$A146&amp;"-"&amp;TEXT(($D146-$C146+1)+5,"00"),"")&amp;IF($C146&gt;=7,", "&amp;$A146&amp;"-"&amp;TEXT(($D146-$C146+1)+6,"00"),"")&amp;IF($C146&gt;=8,", "&amp;$A146&amp;"-"&amp;TEXT(($D146-$C146+1)+7,"00"),"")&amp;IF($C146&gt;=9,", "&amp;$A146&amp;"-"&amp;TEXT(($D146-$C146+1)+8,"00"),"")&amp;IF($C146&gt;=10,", "&amp;$A146&amp;"-"&amp;TEXT(($D146-$C146+1)+9,"00"),"")&amp;IF($C146&gt;=11,", "&amp;$A146&amp;"-"&amp;TEXT(($D146-$C146+1)+10,"00"),"")&amp;IF($C146&gt;=12,", "&amp;$A146&amp;"-"&amp;TEXT(($D146-$C146+1)+11,"00"),"")&amp;IF($C146&gt;=13,", "&amp;$A146&amp;"-"&amp;TEXT(($D146-$C146+1)+12,"00"),"")&amp;IF($C146&gt;=14,", "&amp;$A146&amp;"-"&amp;TEXT(($D146-$C146+1)+13,"00"),"")&amp;IF($C146&gt;=15,", "&amp;$A146&amp;"-"&amp;TEXT(($D146-$C146+1)+14,"00"),"")&amp;IF($C146&gt;=16,", "&amp;$A146&amp;"-"&amp;TEXT(($D146-$C146+1)+15,"00"),"")&amp;IF($C146&gt;=17,", "&amp;$A146&amp;"-"&amp;TEXT(($D146-$C146+1)+16,"00"),"")&amp;IF($C146&gt;=18,", "&amp;$A146&amp;"-"&amp;TEXT(($D146-$C146+1)+17,"00"),"")&amp;IF($C146&gt;=19,", "&amp;$A146&amp;"-"&amp;TEXT(($D146-$C146+1)+18,"00"),"")&amp;IF($C146&gt;=20,", "&amp;$A146&amp;"-"&amp;TEXT(($D146-$C146+1)+19,"00"),"")&amp;IF($C146&gt;=21,", "&amp;$A146&amp;"-"&amp;TEXT(($D146-$C146+1)+20,"00"),"")&amp;IF($C146&gt;=22,", "&amp;$A146&amp;"-"&amp;TEXT(($D146-$C146+1)+21,"00"),"")&amp;IF($C146&gt;=23,", "&amp;$A146&amp;"-"&amp;TEXT(($D146-$C146+1)+22,"00"),"")&amp;IF($C146&gt;=24,", "&amp;$A146&amp;"-"&amp;TEXT(($D146-$C146+1)+23,"00"),"")&amp;IF($C146&gt;=25,", "&amp;$A146&amp;"-"&amp;TEXT(($D146-$C146+1)+24,"00"),""))</f>
        <v/>
      </c>
      <c r="G146">
        <f>IF($A146="","",IF($E146=1,$F146,IF($F146="",$G145,IF($G145="",$F146,$G145&amp;", "&amp;$F146))))</f>
        <v/>
      </c>
      <c r="H146">
        <f>IF($A146="","",$A146&amp;" ("&amp;$C146&amp;")")</f>
        <v/>
      </c>
      <c r="I146">
        <f>IF($A146="","",IF($E146=1,$H146,$I145&amp;", "&amp;$H146))</f>
        <v/>
      </c>
      <c r="J146">
        <f>IF($A146="","",IF($E146=1,$B146,""))</f>
        <v/>
      </c>
      <c r="K146">
        <f>IF($A146="","",IF(COUNTIF($B$2:$B146,$B146)=COUNTIF($B$2:$B$1601,$B146),$B146,""))</f>
        <v/>
      </c>
    </row>
    <row r="147">
      <c r="A147">
        <f>IF('TMP Paste'!$E147="","",'TMP Paste'!$E147)</f>
        <v/>
      </c>
      <c r="B147">
        <f>IF($A147="","",COUNTIF('TMP Paste'!$B$2:$B147,"?*"))</f>
        <v/>
      </c>
      <c r="C147">
        <f>IF($A147="","",IFERROR('TMP Paste'!$M147*1,0))</f>
        <v/>
      </c>
      <c r="D147">
        <f>IF($A147="","",SUMIF($B$2:$B147,$B147,$C$2:$C147))</f>
        <v/>
      </c>
      <c r="E147">
        <f>IF($A147="",0,IF('TMP Paste'!$B147="",0,1))</f>
        <v/>
      </c>
      <c r="F147">
        <f>IF(OR($A147="",$C147&lt;1),"",$A147&amp;"-"&amp;TEXT(($D147-$C147+1),"00")&amp;IF($C147&gt;=2,", "&amp;$A147&amp;"-"&amp;TEXT(($D147-$C147+1)+1,"00"),"")&amp;IF($C147&gt;=3,", "&amp;$A147&amp;"-"&amp;TEXT(($D147-$C147+1)+2,"00"),"")&amp;IF($C147&gt;=4,", "&amp;$A147&amp;"-"&amp;TEXT(($D147-$C147+1)+3,"00"),"")&amp;IF($C147&gt;=5,", "&amp;$A147&amp;"-"&amp;TEXT(($D147-$C147+1)+4,"00"),"")&amp;IF($C147&gt;=6,", "&amp;$A147&amp;"-"&amp;TEXT(($D147-$C147+1)+5,"00"),"")&amp;IF($C147&gt;=7,", "&amp;$A147&amp;"-"&amp;TEXT(($D147-$C147+1)+6,"00"),"")&amp;IF($C147&gt;=8,", "&amp;$A147&amp;"-"&amp;TEXT(($D147-$C147+1)+7,"00"),"")&amp;IF($C147&gt;=9,", "&amp;$A147&amp;"-"&amp;TEXT(($D147-$C147+1)+8,"00"),"")&amp;IF($C147&gt;=10,", "&amp;$A147&amp;"-"&amp;TEXT(($D147-$C147+1)+9,"00"),"")&amp;IF($C147&gt;=11,", "&amp;$A147&amp;"-"&amp;TEXT(($D147-$C147+1)+10,"00"),"")&amp;IF($C147&gt;=12,", "&amp;$A147&amp;"-"&amp;TEXT(($D147-$C147+1)+11,"00"),"")&amp;IF($C147&gt;=13,", "&amp;$A147&amp;"-"&amp;TEXT(($D147-$C147+1)+12,"00"),"")&amp;IF($C147&gt;=14,", "&amp;$A147&amp;"-"&amp;TEXT(($D147-$C147+1)+13,"00"),"")&amp;IF($C147&gt;=15,", "&amp;$A147&amp;"-"&amp;TEXT(($D147-$C147+1)+14,"00"),"")&amp;IF($C147&gt;=16,", "&amp;$A147&amp;"-"&amp;TEXT(($D147-$C147+1)+15,"00"),"")&amp;IF($C147&gt;=17,", "&amp;$A147&amp;"-"&amp;TEXT(($D147-$C147+1)+16,"00"),"")&amp;IF($C147&gt;=18,", "&amp;$A147&amp;"-"&amp;TEXT(($D147-$C147+1)+17,"00"),"")&amp;IF($C147&gt;=19,", "&amp;$A147&amp;"-"&amp;TEXT(($D147-$C147+1)+18,"00"),"")&amp;IF($C147&gt;=20,", "&amp;$A147&amp;"-"&amp;TEXT(($D147-$C147+1)+19,"00"),"")&amp;IF($C147&gt;=21,", "&amp;$A147&amp;"-"&amp;TEXT(($D147-$C147+1)+20,"00"),"")&amp;IF($C147&gt;=22,", "&amp;$A147&amp;"-"&amp;TEXT(($D147-$C147+1)+21,"00"),"")&amp;IF($C147&gt;=23,", "&amp;$A147&amp;"-"&amp;TEXT(($D147-$C147+1)+22,"00"),"")&amp;IF($C147&gt;=24,", "&amp;$A147&amp;"-"&amp;TEXT(($D147-$C147+1)+23,"00"),"")&amp;IF($C147&gt;=25,", "&amp;$A147&amp;"-"&amp;TEXT(($D147-$C147+1)+24,"00"),""))</f>
        <v/>
      </c>
      <c r="G147">
        <f>IF($A147="","",IF($E147=1,$F147,IF($F147="",$G146,IF($G146="",$F147,$G146&amp;", "&amp;$F147))))</f>
        <v/>
      </c>
      <c r="H147">
        <f>IF($A147="","",$A147&amp;" ("&amp;$C147&amp;")")</f>
        <v/>
      </c>
      <c r="I147">
        <f>IF($A147="","",IF($E147=1,$H147,$I146&amp;", "&amp;$H147))</f>
        <v/>
      </c>
      <c r="J147">
        <f>IF($A147="","",IF($E147=1,$B147,""))</f>
        <v/>
      </c>
      <c r="K147">
        <f>IF($A147="","",IF(COUNTIF($B$2:$B147,$B147)=COUNTIF($B$2:$B$1601,$B147),$B147,""))</f>
        <v/>
      </c>
    </row>
    <row r="148">
      <c r="A148">
        <f>IF('TMP Paste'!$E148="","",'TMP Paste'!$E148)</f>
        <v/>
      </c>
      <c r="B148">
        <f>IF($A148="","",COUNTIF('TMP Paste'!$B$2:$B148,"?*"))</f>
        <v/>
      </c>
      <c r="C148">
        <f>IF($A148="","",IFERROR('TMP Paste'!$M148*1,0))</f>
        <v/>
      </c>
      <c r="D148">
        <f>IF($A148="","",SUMIF($B$2:$B148,$B148,$C$2:$C148))</f>
        <v/>
      </c>
      <c r="E148">
        <f>IF($A148="",0,IF('TMP Paste'!$B148="",0,1))</f>
        <v/>
      </c>
      <c r="F148">
        <f>IF(OR($A148="",$C148&lt;1),"",$A148&amp;"-"&amp;TEXT(($D148-$C148+1),"00")&amp;IF($C148&gt;=2,", "&amp;$A148&amp;"-"&amp;TEXT(($D148-$C148+1)+1,"00"),"")&amp;IF($C148&gt;=3,", "&amp;$A148&amp;"-"&amp;TEXT(($D148-$C148+1)+2,"00"),"")&amp;IF($C148&gt;=4,", "&amp;$A148&amp;"-"&amp;TEXT(($D148-$C148+1)+3,"00"),"")&amp;IF($C148&gt;=5,", "&amp;$A148&amp;"-"&amp;TEXT(($D148-$C148+1)+4,"00"),"")&amp;IF($C148&gt;=6,", "&amp;$A148&amp;"-"&amp;TEXT(($D148-$C148+1)+5,"00"),"")&amp;IF($C148&gt;=7,", "&amp;$A148&amp;"-"&amp;TEXT(($D148-$C148+1)+6,"00"),"")&amp;IF($C148&gt;=8,", "&amp;$A148&amp;"-"&amp;TEXT(($D148-$C148+1)+7,"00"),"")&amp;IF($C148&gt;=9,", "&amp;$A148&amp;"-"&amp;TEXT(($D148-$C148+1)+8,"00"),"")&amp;IF($C148&gt;=10,", "&amp;$A148&amp;"-"&amp;TEXT(($D148-$C148+1)+9,"00"),"")&amp;IF($C148&gt;=11,", "&amp;$A148&amp;"-"&amp;TEXT(($D148-$C148+1)+10,"00"),"")&amp;IF($C148&gt;=12,", "&amp;$A148&amp;"-"&amp;TEXT(($D148-$C148+1)+11,"00"),"")&amp;IF($C148&gt;=13,", "&amp;$A148&amp;"-"&amp;TEXT(($D148-$C148+1)+12,"00"),"")&amp;IF($C148&gt;=14,", "&amp;$A148&amp;"-"&amp;TEXT(($D148-$C148+1)+13,"00"),"")&amp;IF($C148&gt;=15,", "&amp;$A148&amp;"-"&amp;TEXT(($D148-$C148+1)+14,"00"),"")&amp;IF($C148&gt;=16,", "&amp;$A148&amp;"-"&amp;TEXT(($D148-$C148+1)+15,"00"),"")&amp;IF($C148&gt;=17,", "&amp;$A148&amp;"-"&amp;TEXT(($D148-$C148+1)+16,"00"),"")&amp;IF($C148&gt;=18,", "&amp;$A148&amp;"-"&amp;TEXT(($D148-$C148+1)+17,"00"),"")&amp;IF($C148&gt;=19,", "&amp;$A148&amp;"-"&amp;TEXT(($D148-$C148+1)+18,"00"),"")&amp;IF($C148&gt;=20,", "&amp;$A148&amp;"-"&amp;TEXT(($D148-$C148+1)+19,"00"),"")&amp;IF($C148&gt;=21,", "&amp;$A148&amp;"-"&amp;TEXT(($D148-$C148+1)+20,"00"),"")&amp;IF($C148&gt;=22,", "&amp;$A148&amp;"-"&amp;TEXT(($D148-$C148+1)+21,"00"),"")&amp;IF($C148&gt;=23,", "&amp;$A148&amp;"-"&amp;TEXT(($D148-$C148+1)+22,"00"),"")&amp;IF($C148&gt;=24,", "&amp;$A148&amp;"-"&amp;TEXT(($D148-$C148+1)+23,"00"),"")&amp;IF($C148&gt;=25,", "&amp;$A148&amp;"-"&amp;TEXT(($D148-$C148+1)+24,"00"),""))</f>
        <v/>
      </c>
      <c r="G148">
        <f>IF($A148="","",IF($E148=1,$F148,IF($F148="",$G147,IF($G147="",$F148,$G147&amp;", "&amp;$F148))))</f>
        <v/>
      </c>
      <c r="H148">
        <f>IF($A148="","",$A148&amp;" ("&amp;$C148&amp;")")</f>
        <v/>
      </c>
      <c r="I148">
        <f>IF($A148="","",IF($E148=1,$H148,$I147&amp;", "&amp;$H148))</f>
        <v/>
      </c>
      <c r="J148">
        <f>IF($A148="","",IF($E148=1,$B148,""))</f>
        <v/>
      </c>
      <c r="K148">
        <f>IF($A148="","",IF(COUNTIF($B$2:$B148,$B148)=COUNTIF($B$2:$B$1601,$B148),$B148,""))</f>
        <v/>
      </c>
    </row>
    <row r="149">
      <c r="A149">
        <f>IF('TMP Paste'!$E149="","",'TMP Paste'!$E149)</f>
        <v/>
      </c>
      <c r="B149">
        <f>IF($A149="","",COUNTIF('TMP Paste'!$B$2:$B149,"?*"))</f>
        <v/>
      </c>
      <c r="C149">
        <f>IF($A149="","",IFERROR('TMP Paste'!$M149*1,0))</f>
        <v/>
      </c>
      <c r="D149">
        <f>IF($A149="","",SUMIF($B$2:$B149,$B149,$C$2:$C149))</f>
        <v/>
      </c>
      <c r="E149">
        <f>IF($A149="",0,IF('TMP Paste'!$B149="",0,1))</f>
        <v/>
      </c>
      <c r="F149">
        <f>IF(OR($A149="",$C149&lt;1),"",$A149&amp;"-"&amp;TEXT(($D149-$C149+1),"00")&amp;IF($C149&gt;=2,", "&amp;$A149&amp;"-"&amp;TEXT(($D149-$C149+1)+1,"00"),"")&amp;IF($C149&gt;=3,", "&amp;$A149&amp;"-"&amp;TEXT(($D149-$C149+1)+2,"00"),"")&amp;IF($C149&gt;=4,", "&amp;$A149&amp;"-"&amp;TEXT(($D149-$C149+1)+3,"00"),"")&amp;IF($C149&gt;=5,", "&amp;$A149&amp;"-"&amp;TEXT(($D149-$C149+1)+4,"00"),"")&amp;IF($C149&gt;=6,", "&amp;$A149&amp;"-"&amp;TEXT(($D149-$C149+1)+5,"00"),"")&amp;IF($C149&gt;=7,", "&amp;$A149&amp;"-"&amp;TEXT(($D149-$C149+1)+6,"00"),"")&amp;IF($C149&gt;=8,", "&amp;$A149&amp;"-"&amp;TEXT(($D149-$C149+1)+7,"00"),"")&amp;IF($C149&gt;=9,", "&amp;$A149&amp;"-"&amp;TEXT(($D149-$C149+1)+8,"00"),"")&amp;IF($C149&gt;=10,", "&amp;$A149&amp;"-"&amp;TEXT(($D149-$C149+1)+9,"00"),"")&amp;IF($C149&gt;=11,", "&amp;$A149&amp;"-"&amp;TEXT(($D149-$C149+1)+10,"00"),"")&amp;IF($C149&gt;=12,", "&amp;$A149&amp;"-"&amp;TEXT(($D149-$C149+1)+11,"00"),"")&amp;IF($C149&gt;=13,", "&amp;$A149&amp;"-"&amp;TEXT(($D149-$C149+1)+12,"00"),"")&amp;IF($C149&gt;=14,", "&amp;$A149&amp;"-"&amp;TEXT(($D149-$C149+1)+13,"00"),"")&amp;IF($C149&gt;=15,", "&amp;$A149&amp;"-"&amp;TEXT(($D149-$C149+1)+14,"00"),"")&amp;IF($C149&gt;=16,", "&amp;$A149&amp;"-"&amp;TEXT(($D149-$C149+1)+15,"00"),"")&amp;IF($C149&gt;=17,", "&amp;$A149&amp;"-"&amp;TEXT(($D149-$C149+1)+16,"00"),"")&amp;IF($C149&gt;=18,", "&amp;$A149&amp;"-"&amp;TEXT(($D149-$C149+1)+17,"00"),"")&amp;IF($C149&gt;=19,", "&amp;$A149&amp;"-"&amp;TEXT(($D149-$C149+1)+18,"00"),"")&amp;IF($C149&gt;=20,", "&amp;$A149&amp;"-"&amp;TEXT(($D149-$C149+1)+19,"00"),"")&amp;IF($C149&gt;=21,", "&amp;$A149&amp;"-"&amp;TEXT(($D149-$C149+1)+20,"00"),"")&amp;IF($C149&gt;=22,", "&amp;$A149&amp;"-"&amp;TEXT(($D149-$C149+1)+21,"00"),"")&amp;IF($C149&gt;=23,", "&amp;$A149&amp;"-"&amp;TEXT(($D149-$C149+1)+22,"00"),"")&amp;IF($C149&gt;=24,", "&amp;$A149&amp;"-"&amp;TEXT(($D149-$C149+1)+23,"00"),"")&amp;IF($C149&gt;=25,", "&amp;$A149&amp;"-"&amp;TEXT(($D149-$C149+1)+24,"00"),""))</f>
        <v/>
      </c>
      <c r="G149">
        <f>IF($A149="","",IF($E149=1,$F149,IF($F149="",$G148,IF($G148="",$F149,$G148&amp;", "&amp;$F149))))</f>
        <v/>
      </c>
      <c r="H149">
        <f>IF($A149="","",$A149&amp;" ("&amp;$C149&amp;")")</f>
        <v/>
      </c>
      <c r="I149">
        <f>IF($A149="","",IF($E149=1,$H149,$I148&amp;", "&amp;$H149))</f>
        <v/>
      </c>
      <c r="J149">
        <f>IF($A149="","",IF($E149=1,$B149,""))</f>
        <v/>
      </c>
      <c r="K149">
        <f>IF($A149="","",IF(COUNTIF($B$2:$B149,$B149)=COUNTIF($B$2:$B$1601,$B149),$B149,""))</f>
        <v/>
      </c>
    </row>
    <row r="150">
      <c r="A150">
        <f>IF('TMP Paste'!$E150="","",'TMP Paste'!$E150)</f>
        <v/>
      </c>
      <c r="B150">
        <f>IF($A150="","",COUNTIF('TMP Paste'!$B$2:$B150,"?*"))</f>
        <v/>
      </c>
      <c r="C150">
        <f>IF($A150="","",IFERROR('TMP Paste'!$M150*1,0))</f>
        <v/>
      </c>
      <c r="D150">
        <f>IF($A150="","",SUMIF($B$2:$B150,$B150,$C$2:$C150))</f>
        <v/>
      </c>
      <c r="E150">
        <f>IF($A150="",0,IF('TMP Paste'!$B150="",0,1))</f>
        <v/>
      </c>
      <c r="F150">
        <f>IF(OR($A150="",$C150&lt;1),"",$A150&amp;"-"&amp;TEXT(($D150-$C150+1),"00")&amp;IF($C150&gt;=2,", "&amp;$A150&amp;"-"&amp;TEXT(($D150-$C150+1)+1,"00"),"")&amp;IF($C150&gt;=3,", "&amp;$A150&amp;"-"&amp;TEXT(($D150-$C150+1)+2,"00"),"")&amp;IF($C150&gt;=4,", "&amp;$A150&amp;"-"&amp;TEXT(($D150-$C150+1)+3,"00"),"")&amp;IF($C150&gt;=5,", "&amp;$A150&amp;"-"&amp;TEXT(($D150-$C150+1)+4,"00"),"")&amp;IF($C150&gt;=6,", "&amp;$A150&amp;"-"&amp;TEXT(($D150-$C150+1)+5,"00"),"")&amp;IF($C150&gt;=7,", "&amp;$A150&amp;"-"&amp;TEXT(($D150-$C150+1)+6,"00"),"")&amp;IF($C150&gt;=8,", "&amp;$A150&amp;"-"&amp;TEXT(($D150-$C150+1)+7,"00"),"")&amp;IF($C150&gt;=9,", "&amp;$A150&amp;"-"&amp;TEXT(($D150-$C150+1)+8,"00"),"")&amp;IF($C150&gt;=10,", "&amp;$A150&amp;"-"&amp;TEXT(($D150-$C150+1)+9,"00"),"")&amp;IF($C150&gt;=11,", "&amp;$A150&amp;"-"&amp;TEXT(($D150-$C150+1)+10,"00"),"")&amp;IF($C150&gt;=12,", "&amp;$A150&amp;"-"&amp;TEXT(($D150-$C150+1)+11,"00"),"")&amp;IF($C150&gt;=13,", "&amp;$A150&amp;"-"&amp;TEXT(($D150-$C150+1)+12,"00"),"")&amp;IF($C150&gt;=14,", "&amp;$A150&amp;"-"&amp;TEXT(($D150-$C150+1)+13,"00"),"")&amp;IF($C150&gt;=15,", "&amp;$A150&amp;"-"&amp;TEXT(($D150-$C150+1)+14,"00"),"")&amp;IF($C150&gt;=16,", "&amp;$A150&amp;"-"&amp;TEXT(($D150-$C150+1)+15,"00"),"")&amp;IF($C150&gt;=17,", "&amp;$A150&amp;"-"&amp;TEXT(($D150-$C150+1)+16,"00"),"")&amp;IF($C150&gt;=18,", "&amp;$A150&amp;"-"&amp;TEXT(($D150-$C150+1)+17,"00"),"")&amp;IF($C150&gt;=19,", "&amp;$A150&amp;"-"&amp;TEXT(($D150-$C150+1)+18,"00"),"")&amp;IF($C150&gt;=20,", "&amp;$A150&amp;"-"&amp;TEXT(($D150-$C150+1)+19,"00"),"")&amp;IF($C150&gt;=21,", "&amp;$A150&amp;"-"&amp;TEXT(($D150-$C150+1)+20,"00"),"")&amp;IF($C150&gt;=22,", "&amp;$A150&amp;"-"&amp;TEXT(($D150-$C150+1)+21,"00"),"")&amp;IF($C150&gt;=23,", "&amp;$A150&amp;"-"&amp;TEXT(($D150-$C150+1)+22,"00"),"")&amp;IF($C150&gt;=24,", "&amp;$A150&amp;"-"&amp;TEXT(($D150-$C150+1)+23,"00"),"")&amp;IF($C150&gt;=25,", "&amp;$A150&amp;"-"&amp;TEXT(($D150-$C150+1)+24,"00"),""))</f>
        <v/>
      </c>
      <c r="G150">
        <f>IF($A150="","",IF($E150=1,$F150,IF($F150="",$G149,IF($G149="",$F150,$G149&amp;", "&amp;$F150))))</f>
        <v/>
      </c>
      <c r="H150">
        <f>IF($A150="","",$A150&amp;" ("&amp;$C150&amp;")")</f>
        <v/>
      </c>
      <c r="I150">
        <f>IF($A150="","",IF($E150=1,$H150,$I149&amp;", "&amp;$H150))</f>
        <v/>
      </c>
      <c r="J150">
        <f>IF($A150="","",IF($E150=1,$B150,""))</f>
        <v/>
      </c>
      <c r="K150">
        <f>IF($A150="","",IF(COUNTIF($B$2:$B150,$B150)=COUNTIF($B$2:$B$1601,$B150),$B150,""))</f>
        <v/>
      </c>
    </row>
    <row r="151">
      <c r="A151">
        <f>IF('TMP Paste'!$E151="","",'TMP Paste'!$E151)</f>
        <v/>
      </c>
      <c r="B151">
        <f>IF($A151="","",COUNTIF('TMP Paste'!$B$2:$B151,"?*"))</f>
        <v/>
      </c>
      <c r="C151">
        <f>IF($A151="","",IFERROR('TMP Paste'!$M151*1,0))</f>
        <v/>
      </c>
      <c r="D151">
        <f>IF($A151="","",SUMIF($B$2:$B151,$B151,$C$2:$C151))</f>
        <v/>
      </c>
      <c r="E151">
        <f>IF($A151="",0,IF('TMP Paste'!$B151="",0,1))</f>
        <v/>
      </c>
      <c r="F151">
        <f>IF(OR($A151="",$C151&lt;1),"",$A151&amp;"-"&amp;TEXT(($D151-$C151+1),"00")&amp;IF($C151&gt;=2,", "&amp;$A151&amp;"-"&amp;TEXT(($D151-$C151+1)+1,"00"),"")&amp;IF($C151&gt;=3,", "&amp;$A151&amp;"-"&amp;TEXT(($D151-$C151+1)+2,"00"),"")&amp;IF($C151&gt;=4,", "&amp;$A151&amp;"-"&amp;TEXT(($D151-$C151+1)+3,"00"),"")&amp;IF($C151&gt;=5,", "&amp;$A151&amp;"-"&amp;TEXT(($D151-$C151+1)+4,"00"),"")&amp;IF($C151&gt;=6,", "&amp;$A151&amp;"-"&amp;TEXT(($D151-$C151+1)+5,"00"),"")&amp;IF($C151&gt;=7,", "&amp;$A151&amp;"-"&amp;TEXT(($D151-$C151+1)+6,"00"),"")&amp;IF($C151&gt;=8,", "&amp;$A151&amp;"-"&amp;TEXT(($D151-$C151+1)+7,"00"),"")&amp;IF($C151&gt;=9,", "&amp;$A151&amp;"-"&amp;TEXT(($D151-$C151+1)+8,"00"),"")&amp;IF($C151&gt;=10,", "&amp;$A151&amp;"-"&amp;TEXT(($D151-$C151+1)+9,"00"),"")&amp;IF($C151&gt;=11,", "&amp;$A151&amp;"-"&amp;TEXT(($D151-$C151+1)+10,"00"),"")&amp;IF($C151&gt;=12,", "&amp;$A151&amp;"-"&amp;TEXT(($D151-$C151+1)+11,"00"),"")&amp;IF($C151&gt;=13,", "&amp;$A151&amp;"-"&amp;TEXT(($D151-$C151+1)+12,"00"),"")&amp;IF($C151&gt;=14,", "&amp;$A151&amp;"-"&amp;TEXT(($D151-$C151+1)+13,"00"),"")&amp;IF($C151&gt;=15,", "&amp;$A151&amp;"-"&amp;TEXT(($D151-$C151+1)+14,"00"),"")&amp;IF($C151&gt;=16,", "&amp;$A151&amp;"-"&amp;TEXT(($D151-$C151+1)+15,"00"),"")&amp;IF($C151&gt;=17,", "&amp;$A151&amp;"-"&amp;TEXT(($D151-$C151+1)+16,"00"),"")&amp;IF($C151&gt;=18,", "&amp;$A151&amp;"-"&amp;TEXT(($D151-$C151+1)+17,"00"),"")&amp;IF($C151&gt;=19,", "&amp;$A151&amp;"-"&amp;TEXT(($D151-$C151+1)+18,"00"),"")&amp;IF($C151&gt;=20,", "&amp;$A151&amp;"-"&amp;TEXT(($D151-$C151+1)+19,"00"),"")&amp;IF($C151&gt;=21,", "&amp;$A151&amp;"-"&amp;TEXT(($D151-$C151+1)+20,"00"),"")&amp;IF($C151&gt;=22,", "&amp;$A151&amp;"-"&amp;TEXT(($D151-$C151+1)+21,"00"),"")&amp;IF($C151&gt;=23,", "&amp;$A151&amp;"-"&amp;TEXT(($D151-$C151+1)+22,"00"),"")&amp;IF($C151&gt;=24,", "&amp;$A151&amp;"-"&amp;TEXT(($D151-$C151+1)+23,"00"),"")&amp;IF($C151&gt;=25,", "&amp;$A151&amp;"-"&amp;TEXT(($D151-$C151+1)+24,"00"),""))</f>
        <v/>
      </c>
      <c r="G151">
        <f>IF($A151="","",IF($E151=1,$F151,IF($F151="",$G150,IF($G150="",$F151,$G150&amp;", "&amp;$F151))))</f>
        <v/>
      </c>
      <c r="H151">
        <f>IF($A151="","",$A151&amp;" ("&amp;$C151&amp;")")</f>
        <v/>
      </c>
      <c r="I151">
        <f>IF($A151="","",IF($E151=1,$H151,$I150&amp;", "&amp;$H151))</f>
        <v/>
      </c>
      <c r="J151">
        <f>IF($A151="","",IF($E151=1,$B151,""))</f>
        <v/>
      </c>
      <c r="K151">
        <f>IF($A151="","",IF(COUNTIF($B$2:$B151,$B151)=COUNTIF($B$2:$B$1601,$B151),$B151,""))</f>
        <v/>
      </c>
    </row>
    <row r="152">
      <c r="A152">
        <f>IF('TMP Paste'!$E152="","",'TMP Paste'!$E152)</f>
        <v/>
      </c>
      <c r="B152">
        <f>IF($A152="","",COUNTIF('TMP Paste'!$B$2:$B152,"?*"))</f>
        <v/>
      </c>
      <c r="C152">
        <f>IF($A152="","",IFERROR('TMP Paste'!$M152*1,0))</f>
        <v/>
      </c>
      <c r="D152">
        <f>IF($A152="","",SUMIF($B$2:$B152,$B152,$C$2:$C152))</f>
        <v/>
      </c>
      <c r="E152">
        <f>IF($A152="",0,IF('TMP Paste'!$B152="",0,1))</f>
        <v/>
      </c>
      <c r="F152">
        <f>IF(OR($A152="",$C152&lt;1),"",$A152&amp;"-"&amp;TEXT(($D152-$C152+1),"00")&amp;IF($C152&gt;=2,", "&amp;$A152&amp;"-"&amp;TEXT(($D152-$C152+1)+1,"00"),"")&amp;IF($C152&gt;=3,", "&amp;$A152&amp;"-"&amp;TEXT(($D152-$C152+1)+2,"00"),"")&amp;IF($C152&gt;=4,", "&amp;$A152&amp;"-"&amp;TEXT(($D152-$C152+1)+3,"00"),"")&amp;IF($C152&gt;=5,", "&amp;$A152&amp;"-"&amp;TEXT(($D152-$C152+1)+4,"00"),"")&amp;IF($C152&gt;=6,", "&amp;$A152&amp;"-"&amp;TEXT(($D152-$C152+1)+5,"00"),"")&amp;IF($C152&gt;=7,", "&amp;$A152&amp;"-"&amp;TEXT(($D152-$C152+1)+6,"00"),"")&amp;IF($C152&gt;=8,", "&amp;$A152&amp;"-"&amp;TEXT(($D152-$C152+1)+7,"00"),"")&amp;IF($C152&gt;=9,", "&amp;$A152&amp;"-"&amp;TEXT(($D152-$C152+1)+8,"00"),"")&amp;IF($C152&gt;=10,", "&amp;$A152&amp;"-"&amp;TEXT(($D152-$C152+1)+9,"00"),"")&amp;IF($C152&gt;=11,", "&amp;$A152&amp;"-"&amp;TEXT(($D152-$C152+1)+10,"00"),"")&amp;IF($C152&gt;=12,", "&amp;$A152&amp;"-"&amp;TEXT(($D152-$C152+1)+11,"00"),"")&amp;IF($C152&gt;=13,", "&amp;$A152&amp;"-"&amp;TEXT(($D152-$C152+1)+12,"00"),"")&amp;IF($C152&gt;=14,", "&amp;$A152&amp;"-"&amp;TEXT(($D152-$C152+1)+13,"00"),"")&amp;IF($C152&gt;=15,", "&amp;$A152&amp;"-"&amp;TEXT(($D152-$C152+1)+14,"00"),"")&amp;IF($C152&gt;=16,", "&amp;$A152&amp;"-"&amp;TEXT(($D152-$C152+1)+15,"00"),"")&amp;IF($C152&gt;=17,", "&amp;$A152&amp;"-"&amp;TEXT(($D152-$C152+1)+16,"00"),"")&amp;IF($C152&gt;=18,", "&amp;$A152&amp;"-"&amp;TEXT(($D152-$C152+1)+17,"00"),"")&amp;IF($C152&gt;=19,", "&amp;$A152&amp;"-"&amp;TEXT(($D152-$C152+1)+18,"00"),"")&amp;IF($C152&gt;=20,", "&amp;$A152&amp;"-"&amp;TEXT(($D152-$C152+1)+19,"00"),"")&amp;IF($C152&gt;=21,", "&amp;$A152&amp;"-"&amp;TEXT(($D152-$C152+1)+20,"00"),"")&amp;IF($C152&gt;=22,", "&amp;$A152&amp;"-"&amp;TEXT(($D152-$C152+1)+21,"00"),"")&amp;IF($C152&gt;=23,", "&amp;$A152&amp;"-"&amp;TEXT(($D152-$C152+1)+22,"00"),"")&amp;IF($C152&gt;=24,", "&amp;$A152&amp;"-"&amp;TEXT(($D152-$C152+1)+23,"00"),"")&amp;IF($C152&gt;=25,", "&amp;$A152&amp;"-"&amp;TEXT(($D152-$C152+1)+24,"00"),""))</f>
        <v/>
      </c>
      <c r="G152">
        <f>IF($A152="","",IF($E152=1,$F152,IF($F152="",$G151,IF($G151="",$F152,$G151&amp;", "&amp;$F152))))</f>
        <v/>
      </c>
      <c r="H152">
        <f>IF($A152="","",$A152&amp;" ("&amp;$C152&amp;")")</f>
        <v/>
      </c>
      <c r="I152">
        <f>IF($A152="","",IF($E152=1,$H152,$I151&amp;", "&amp;$H152))</f>
        <v/>
      </c>
      <c r="J152">
        <f>IF($A152="","",IF($E152=1,$B152,""))</f>
        <v/>
      </c>
      <c r="K152">
        <f>IF($A152="","",IF(COUNTIF($B$2:$B152,$B152)=COUNTIF($B$2:$B$1601,$B152),$B152,""))</f>
        <v/>
      </c>
    </row>
    <row r="153">
      <c r="A153">
        <f>IF('TMP Paste'!$E153="","",'TMP Paste'!$E153)</f>
        <v/>
      </c>
      <c r="B153">
        <f>IF($A153="","",COUNTIF('TMP Paste'!$B$2:$B153,"?*"))</f>
        <v/>
      </c>
      <c r="C153">
        <f>IF($A153="","",IFERROR('TMP Paste'!$M153*1,0))</f>
        <v/>
      </c>
      <c r="D153">
        <f>IF($A153="","",SUMIF($B$2:$B153,$B153,$C$2:$C153))</f>
        <v/>
      </c>
      <c r="E153">
        <f>IF($A153="",0,IF('TMP Paste'!$B153="",0,1))</f>
        <v/>
      </c>
      <c r="F153">
        <f>IF(OR($A153="",$C153&lt;1),"",$A153&amp;"-"&amp;TEXT(($D153-$C153+1),"00")&amp;IF($C153&gt;=2,", "&amp;$A153&amp;"-"&amp;TEXT(($D153-$C153+1)+1,"00"),"")&amp;IF($C153&gt;=3,", "&amp;$A153&amp;"-"&amp;TEXT(($D153-$C153+1)+2,"00"),"")&amp;IF($C153&gt;=4,", "&amp;$A153&amp;"-"&amp;TEXT(($D153-$C153+1)+3,"00"),"")&amp;IF($C153&gt;=5,", "&amp;$A153&amp;"-"&amp;TEXT(($D153-$C153+1)+4,"00"),"")&amp;IF($C153&gt;=6,", "&amp;$A153&amp;"-"&amp;TEXT(($D153-$C153+1)+5,"00"),"")&amp;IF($C153&gt;=7,", "&amp;$A153&amp;"-"&amp;TEXT(($D153-$C153+1)+6,"00"),"")&amp;IF($C153&gt;=8,", "&amp;$A153&amp;"-"&amp;TEXT(($D153-$C153+1)+7,"00"),"")&amp;IF($C153&gt;=9,", "&amp;$A153&amp;"-"&amp;TEXT(($D153-$C153+1)+8,"00"),"")&amp;IF($C153&gt;=10,", "&amp;$A153&amp;"-"&amp;TEXT(($D153-$C153+1)+9,"00"),"")&amp;IF($C153&gt;=11,", "&amp;$A153&amp;"-"&amp;TEXT(($D153-$C153+1)+10,"00"),"")&amp;IF($C153&gt;=12,", "&amp;$A153&amp;"-"&amp;TEXT(($D153-$C153+1)+11,"00"),"")&amp;IF($C153&gt;=13,", "&amp;$A153&amp;"-"&amp;TEXT(($D153-$C153+1)+12,"00"),"")&amp;IF($C153&gt;=14,", "&amp;$A153&amp;"-"&amp;TEXT(($D153-$C153+1)+13,"00"),"")&amp;IF($C153&gt;=15,", "&amp;$A153&amp;"-"&amp;TEXT(($D153-$C153+1)+14,"00"),"")&amp;IF($C153&gt;=16,", "&amp;$A153&amp;"-"&amp;TEXT(($D153-$C153+1)+15,"00"),"")&amp;IF($C153&gt;=17,", "&amp;$A153&amp;"-"&amp;TEXT(($D153-$C153+1)+16,"00"),"")&amp;IF($C153&gt;=18,", "&amp;$A153&amp;"-"&amp;TEXT(($D153-$C153+1)+17,"00"),"")&amp;IF($C153&gt;=19,", "&amp;$A153&amp;"-"&amp;TEXT(($D153-$C153+1)+18,"00"),"")&amp;IF($C153&gt;=20,", "&amp;$A153&amp;"-"&amp;TEXT(($D153-$C153+1)+19,"00"),"")&amp;IF($C153&gt;=21,", "&amp;$A153&amp;"-"&amp;TEXT(($D153-$C153+1)+20,"00"),"")&amp;IF($C153&gt;=22,", "&amp;$A153&amp;"-"&amp;TEXT(($D153-$C153+1)+21,"00"),"")&amp;IF($C153&gt;=23,", "&amp;$A153&amp;"-"&amp;TEXT(($D153-$C153+1)+22,"00"),"")&amp;IF($C153&gt;=24,", "&amp;$A153&amp;"-"&amp;TEXT(($D153-$C153+1)+23,"00"),"")&amp;IF($C153&gt;=25,", "&amp;$A153&amp;"-"&amp;TEXT(($D153-$C153+1)+24,"00"),""))</f>
        <v/>
      </c>
      <c r="G153">
        <f>IF($A153="","",IF($E153=1,$F153,IF($F153="",$G152,IF($G152="",$F153,$G152&amp;", "&amp;$F153))))</f>
        <v/>
      </c>
      <c r="H153">
        <f>IF($A153="","",$A153&amp;" ("&amp;$C153&amp;")")</f>
        <v/>
      </c>
      <c r="I153">
        <f>IF($A153="","",IF($E153=1,$H153,$I152&amp;", "&amp;$H153))</f>
        <v/>
      </c>
      <c r="J153">
        <f>IF($A153="","",IF($E153=1,$B153,""))</f>
        <v/>
      </c>
      <c r="K153">
        <f>IF($A153="","",IF(COUNTIF($B$2:$B153,$B153)=COUNTIF($B$2:$B$1601,$B153),$B153,""))</f>
        <v/>
      </c>
    </row>
    <row r="154">
      <c r="A154">
        <f>IF('TMP Paste'!$E154="","",'TMP Paste'!$E154)</f>
        <v/>
      </c>
      <c r="B154">
        <f>IF($A154="","",COUNTIF('TMP Paste'!$B$2:$B154,"?*"))</f>
        <v/>
      </c>
      <c r="C154">
        <f>IF($A154="","",IFERROR('TMP Paste'!$M154*1,0))</f>
        <v/>
      </c>
      <c r="D154">
        <f>IF($A154="","",SUMIF($B$2:$B154,$B154,$C$2:$C154))</f>
        <v/>
      </c>
      <c r="E154">
        <f>IF($A154="",0,IF('TMP Paste'!$B154="",0,1))</f>
        <v/>
      </c>
      <c r="F154">
        <f>IF(OR($A154="",$C154&lt;1),"",$A154&amp;"-"&amp;TEXT(($D154-$C154+1),"00")&amp;IF($C154&gt;=2,", "&amp;$A154&amp;"-"&amp;TEXT(($D154-$C154+1)+1,"00"),"")&amp;IF($C154&gt;=3,", "&amp;$A154&amp;"-"&amp;TEXT(($D154-$C154+1)+2,"00"),"")&amp;IF($C154&gt;=4,", "&amp;$A154&amp;"-"&amp;TEXT(($D154-$C154+1)+3,"00"),"")&amp;IF($C154&gt;=5,", "&amp;$A154&amp;"-"&amp;TEXT(($D154-$C154+1)+4,"00"),"")&amp;IF($C154&gt;=6,", "&amp;$A154&amp;"-"&amp;TEXT(($D154-$C154+1)+5,"00"),"")&amp;IF($C154&gt;=7,", "&amp;$A154&amp;"-"&amp;TEXT(($D154-$C154+1)+6,"00"),"")&amp;IF($C154&gt;=8,", "&amp;$A154&amp;"-"&amp;TEXT(($D154-$C154+1)+7,"00"),"")&amp;IF($C154&gt;=9,", "&amp;$A154&amp;"-"&amp;TEXT(($D154-$C154+1)+8,"00"),"")&amp;IF($C154&gt;=10,", "&amp;$A154&amp;"-"&amp;TEXT(($D154-$C154+1)+9,"00"),"")&amp;IF($C154&gt;=11,", "&amp;$A154&amp;"-"&amp;TEXT(($D154-$C154+1)+10,"00"),"")&amp;IF($C154&gt;=12,", "&amp;$A154&amp;"-"&amp;TEXT(($D154-$C154+1)+11,"00"),"")&amp;IF($C154&gt;=13,", "&amp;$A154&amp;"-"&amp;TEXT(($D154-$C154+1)+12,"00"),"")&amp;IF($C154&gt;=14,", "&amp;$A154&amp;"-"&amp;TEXT(($D154-$C154+1)+13,"00"),"")&amp;IF($C154&gt;=15,", "&amp;$A154&amp;"-"&amp;TEXT(($D154-$C154+1)+14,"00"),"")&amp;IF($C154&gt;=16,", "&amp;$A154&amp;"-"&amp;TEXT(($D154-$C154+1)+15,"00"),"")&amp;IF($C154&gt;=17,", "&amp;$A154&amp;"-"&amp;TEXT(($D154-$C154+1)+16,"00"),"")&amp;IF($C154&gt;=18,", "&amp;$A154&amp;"-"&amp;TEXT(($D154-$C154+1)+17,"00"),"")&amp;IF($C154&gt;=19,", "&amp;$A154&amp;"-"&amp;TEXT(($D154-$C154+1)+18,"00"),"")&amp;IF($C154&gt;=20,", "&amp;$A154&amp;"-"&amp;TEXT(($D154-$C154+1)+19,"00"),"")&amp;IF($C154&gt;=21,", "&amp;$A154&amp;"-"&amp;TEXT(($D154-$C154+1)+20,"00"),"")&amp;IF($C154&gt;=22,", "&amp;$A154&amp;"-"&amp;TEXT(($D154-$C154+1)+21,"00"),"")&amp;IF($C154&gt;=23,", "&amp;$A154&amp;"-"&amp;TEXT(($D154-$C154+1)+22,"00"),"")&amp;IF($C154&gt;=24,", "&amp;$A154&amp;"-"&amp;TEXT(($D154-$C154+1)+23,"00"),"")&amp;IF($C154&gt;=25,", "&amp;$A154&amp;"-"&amp;TEXT(($D154-$C154+1)+24,"00"),""))</f>
        <v/>
      </c>
      <c r="G154">
        <f>IF($A154="","",IF($E154=1,$F154,IF($F154="",$G153,IF($G153="",$F154,$G153&amp;", "&amp;$F154))))</f>
        <v/>
      </c>
      <c r="H154">
        <f>IF($A154="","",$A154&amp;" ("&amp;$C154&amp;")")</f>
        <v/>
      </c>
      <c r="I154">
        <f>IF($A154="","",IF($E154=1,$H154,$I153&amp;", "&amp;$H154))</f>
        <v/>
      </c>
      <c r="J154">
        <f>IF($A154="","",IF($E154=1,$B154,""))</f>
        <v/>
      </c>
      <c r="K154">
        <f>IF($A154="","",IF(COUNTIF($B$2:$B154,$B154)=COUNTIF($B$2:$B$1601,$B154),$B154,""))</f>
        <v/>
      </c>
    </row>
    <row r="155">
      <c r="A155">
        <f>IF('TMP Paste'!$E155="","",'TMP Paste'!$E155)</f>
        <v/>
      </c>
      <c r="B155">
        <f>IF($A155="","",COUNTIF('TMP Paste'!$B$2:$B155,"?*"))</f>
        <v/>
      </c>
      <c r="C155">
        <f>IF($A155="","",IFERROR('TMP Paste'!$M155*1,0))</f>
        <v/>
      </c>
      <c r="D155">
        <f>IF($A155="","",SUMIF($B$2:$B155,$B155,$C$2:$C155))</f>
        <v/>
      </c>
      <c r="E155">
        <f>IF($A155="",0,IF('TMP Paste'!$B155="",0,1))</f>
        <v/>
      </c>
      <c r="F155">
        <f>IF(OR($A155="",$C155&lt;1),"",$A155&amp;"-"&amp;TEXT(($D155-$C155+1),"00")&amp;IF($C155&gt;=2,", "&amp;$A155&amp;"-"&amp;TEXT(($D155-$C155+1)+1,"00"),"")&amp;IF($C155&gt;=3,", "&amp;$A155&amp;"-"&amp;TEXT(($D155-$C155+1)+2,"00"),"")&amp;IF($C155&gt;=4,", "&amp;$A155&amp;"-"&amp;TEXT(($D155-$C155+1)+3,"00"),"")&amp;IF($C155&gt;=5,", "&amp;$A155&amp;"-"&amp;TEXT(($D155-$C155+1)+4,"00"),"")&amp;IF($C155&gt;=6,", "&amp;$A155&amp;"-"&amp;TEXT(($D155-$C155+1)+5,"00"),"")&amp;IF($C155&gt;=7,", "&amp;$A155&amp;"-"&amp;TEXT(($D155-$C155+1)+6,"00"),"")&amp;IF($C155&gt;=8,", "&amp;$A155&amp;"-"&amp;TEXT(($D155-$C155+1)+7,"00"),"")&amp;IF($C155&gt;=9,", "&amp;$A155&amp;"-"&amp;TEXT(($D155-$C155+1)+8,"00"),"")&amp;IF($C155&gt;=10,", "&amp;$A155&amp;"-"&amp;TEXT(($D155-$C155+1)+9,"00"),"")&amp;IF($C155&gt;=11,", "&amp;$A155&amp;"-"&amp;TEXT(($D155-$C155+1)+10,"00"),"")&amp;IF($C155&gt;=12,", "&amp;$A155&amp;"-"&amp;TEXT(($D155-$C155+1)+11,"00"),"")&amp;IF($C155&gt;=13,", "&amp;$A155&amp;"-"&amp;TEXT(($D155-$C155+1)+12,"00"),"")&amp;IF($C155&gt;=14,", "&amp;$A155&amp;"-"&amp;TEXT(($D155-$C155+1)+13,"00"),"")&amp;IF($C155&gt;=15,", "&amp;$A155&amp;"-"&amp;TEXT(($D155-$C155+1)+14,"00"),"")&amp;IF($C155&gt;=16,", "&amp;$A155&amp;"-"&amp;TEXT(($D155-$C155+1)+15,"00"),"")&amp;IF($C155&gt;=17,", "&amp;$A155&amp;"-"&amp;TEXT(($D155-$C155+1)+16,"00"),"")&amp;IF($C155&gt;=18,", "&amp;$A155&amp;"-"&amp;TEXT(($D155-$C155+1)+17,"00"),"")&amp;IF($C155&gt;=19,", "&amp;$A155&amp;"-"&amp;TEXT(($D155-$C155+1)+18,"00"),"")&amp;IF($C155&gt;=20,", "&amp;$A155&amp;"-"&amp;TEXT(($D155-$C155+1)+19,"00"),"")&amp;IF($C155&gt;=21,", "&amp;$A155&amp;"-"&amp;TEXT(($D155-$C155+1)+20,"00"),"")&amp;IF($C155&gt;=22,", "&amp;$A155&amp;"-"&amp;TEXT(($D155-$C155+1)+21,"00"),"")&amp;IF($C155&gt;=23,", "&amp;$A155&amp;"-"&amp;TEXT(($D155-$C155+1)+22,"00"),"")&amp;IF($C155&gt;=24,", "&amp;$A155&amp;"-"&amp;TEXT(($D155-$C155+1)+23,"00"),"")&amp;IF($C155&gt;=25,", "&amp;$A155&amp;"-"&amp;TEXT(($D155-$C155+1)+24,"00"),""))</f>
        <v/>
      </c>
      <c r="G155">
        <f>IF($A155="","",IF($E155=1,$F155,IF($F155="",$G154,IF($G154="",$F155,$G154&amp;", "&amp;$F155))))</f>
        <v/>
      </c>
      <c r="H155">
        <f>IF($A155="","",$A155&amp;" ("&amp;$C155&amp;")")</f>
        <v/>
      </c>
      <c r="I155">
        <f>IF($A155="","",IF($E155=1,$H155,$I154&amp;", "&amp;$H155))</f>
        <v/>
      </c>
      <c r="J155">
        <f>IF($A155="","",IF($E155=1,$B155,""))</f>
        <v/>
      </c>
      <c r="K155">
        <f>IF($A155="","",IF(COUNTIF($B$2:$B155,$B155)=COUNTIF($B$2:$B$1601,$B155),$B155,""))</f>
        <v/>
      </c>
    </row>
    <row r="156">
      <c r="A156">
        <f>IF('TMP Paste'!$E156="","",'TMP Paste'!$E156)</f>
        <v/>
      </c>
      <c r="B156">
        <f>IF($A156="","",COUNTIF('TMP Paste'!$B$2:$B156,"?*"))</f>
        <v/>
      </c>
      <c r="C156">
        <f>IF($A156="","",IFERROR('TMP Paste'!$M156*1,0))</f>
        <v/>
      </c>
      <c r="D156">
        <f>IF($A156="","",SUMIF($B$2:$B156,$B156,$C$2:$C156))</f>
        <v/>
      </c>
      <c r="E156">
        <f>IF($A156="",0,IF('TMP Paste'!$B156="",0,1))</f>
        <v/>
      </c>
      <c r="F156">
        <f>IF(OR($A156="",$C156&lt;1),"",$A156&amp;"-"&amp;TEXT(($D156-$C156+1),"00")&amp;IF($C156&gt;=2,", "&amp;$A156&amp;"-"&amp;TEXT(($D156-$C156+1)+1,"00"),"")&amp;IF($C156&gt;=3,", "&amp;$A156&amp;"-"&amp;TEXT(($D156-$C156+1)+2,"00"),"")&amp;IF($C156&gt;=4,", "&amp;$A156&amp;"-"&amp;TEXT(($D156-$C156+1)+3,"00"),"")&amp;IF($C156&gt;=5,", "&amp;$A156&amp;"-"&amp;TEXT(($D156-$C156+1)+4,"00"),"")&amp;IF($C156&gt;=6,", "&amp;$A156&amp;"-"&amp;TEXT(($D156-$C156+1)+5,"00"),"")&amp;IF($C156&gt;=7,", "&amp;$A156&amp;"-"&amp;TEXT(($D156-$C156+1)+6,"00"),"")&amp;IF($C156&gt;=8,", "&amp;$A156&amp;"-"&amp;TEXT(($D156-$C156+1)+7,"00"),"")&amp;IF($C156&gt;=9,", "&amp;$A156&amp;"-"&amp;TEXT(($D156-$C156+1)+8,"00"),"")&amp;IF($C156&gt;=10,", "&amp;$A156&amp;"-"&amp;TEXT(($D156-$C156+1)+9,"00"),"")&amp;IF($C156&gt;=11,", "&amp;$A156&amp;"-"&amp;TEXT(($D156-$C156+1)+10,"00"),"")&amp;IF($C156&gt;=12,", "&amp;$A156&amp;"-"&amp;TEXT(($D156-$C156+1)+11,"00"),"")&amp;IF($C156&gt;=13,", "&amp;$A156&amp;"-"&amp;TEXT(($D156-$C156+1)+12,"00"),"")&amp;IF($C156&gt;=14,", "&amp;$A156&amp;"-"&amp;TEXT(($D156-$C156+1)+13,"00"),"")&amp;IF($C156&gt;=15,", "&amp;$A156&amp;"-"&amp;TEXT(($D156-$C156+1)+14,"00"),"")&amp;IF($C156&gt;=16,", "&amp;$A156&amp;"-"&amp;TEXT(($D156-$C156+1)+15,"00"),"")&amp;IF($C156&gt;=17,", "&amp;$A156&amp;"-"&amp;TEXT(($D156-$C156+1)+16,"00"),"")&amp;IF($C156&gt;=18,", "&amp;$A156&amp;"-"&amp;TEXT(($D156-$C156+1)+17,"00"),"")&amp;IF($C156&gt;=19,", "&amp;$A156&amp;"-"&amp;TEXT(($D156-$C156+1)+18,"00"),"")&amp;IF($C156&gt;=20,", "&amp;$A156&amp;"-"&amp;TEXT(($D156-$C156+1)+19,"00"),"")&amp;IF($C156&gt;=21,", "&amp;$A156&amp;"-"&amp;TEXT(($D156-$C156+1)+20,"00"),"")&amp;IF($C156&gt;=22,", "&amp;$A156&amp;"-"&amp;TEXT(($D156-$C156+1)+21,"00"),"")&amp;IF($C156&gt;=23,", "&amp;$A156&amp;"-"&amp;TEXT(($D156-$C156+1)+22,"00"),"")&amp;IF($C156&gt;=24,", "&amp;$A156&amp;"-"&amp;TEXT(($D156-$C156+1)+23,"00"),"")&amp;IF($C156&gt;=25,", "&amp;$A156&amp;"-"&amp;TEXT(($D156-$C156+1)+24,"00"),""))</f>
        <v/>
      </c>
      <c r="G156">
        <f>IF($A156="","",IF($E156=1,$F156,IF($F156="",$G155,IF($G155="",$F156,$G155&amp;", "&amp;$F156))))</f>
        <v/>
      </c>
      <c r="H156">
        <f>IF($A156="","",$A156&amp;" ("&amp;$C156&amp;")")</f>
        <v/>
      </c>
      <c r="I156">
        <f>IF($A156="","",IF($E156=1,$H156,$I155&amp;", "&amp;$H156))</f>
        <v/>
      </c>
      <c r="J156">
        <f>IF($A156="","",IF($E156=1,$B156,""))</f>
        <v/>
      </c>
      <c r="K156">
        <f>IF($A156="","",IF(COUNTIF($B$2:$B156,$B156)=COUNTIF($B$2:$B$1601,$B156),$B156,""))</f>
        <v/>
      </c>
    </row>
    <row r="157">
      <c r="A157">
        <f>IF('TMP Paste'!$E157="","",'TMP Paste'!$E157)</f>
        <v/>
      </c>
      <c r="B157">
        <f>IF($A157="","",COUNTIF('TMP Paste'!$B$2:$B157,"?*"))</f>
        <v/>
      </c>
      <c r="C157">
        <f>IF($A157="","",IFERROR('TMP Paste'!$M157*1,0))</f>
        <v/>
      </c>
      <c r="D157">
        <f>IF($A157="","",SUMIF($B$2:$B157,$B157,$C$2:$C157))</f>
        <v/>
      </c>
      <c r="E157">
        <f>IF($A157="",0,IF('TMP Paste'!$B157="",0,1))</f>
        <v/>
      </c>
      <c r="F157">
        <f>IF(OR($A157="",$C157&lt;1),"",$A157&amp;"-"&amp;TEXT(($D157-$C157+1),"00")&amp;IF($C157&gt;=2,", "&amp;$A157&amp;"-"&amp;TEXT(($D157-$C157+1)+1,"00"),"")&amp;IF($C157&gt;=3,", "&amp;$A157&amp;"-"&amp;TEXT(($D157-$C157+1)+2,"00"),"")&amp;IF($C157&gt;=4,", "&amp;$A157&amp;"-"&amp;TEXT(($D157-$C157+1)+3,"00"),"")&amp;IF($C157&gt;=5,", "&amp;$A157&amp;"-"&amp;TEXT(($D157-$C157+1)+4,"00"),"")&amp;IF($C157&gt;=6,", "&amp;$A157&amp;"-"&amp;TEXT(($D157-$C157+1)+5,"00"),"")&amp;IF($C157&gt;=7,", "&amp;$A157&amp;"-"&amp;TEXT(($D157-$C157+1)+6,"00"),"")&amp;IF($C157&gt;=8,", "&amp;$A157&amp;"-"&amp;TEXT(($D157-$C157+1)+7,"00"),"")&amp;IF($C157&gt;=9,", "&amp;$A157&amp;"-"&amp;TEXT(($D157-$C157+1)+8,"00"),"")&amp;IF($C157&gt;=10,", "&amp;$A157&amp;"-"&amp;TEXT(($D157-$C157+1)+9,"00"),"")&amp;IF($C157&gt;=11,", "&amp;$A157&amp;"-"&amp;TEXT(($D157-$C157+1)+10,"00"),"")&amp;IF($C157&gt;=12,", "&amp;$A157&amp;"-"&amp;TEXT(($D157-$C157+1)+11,"00"),"")&amp;IF($C157&gt;=13,", "&amp;$A157&amp;"-"&amp;TEXT(($D157-$C157+1)+12,"00"),"")&amp;IF($C157&gt;=14,", "&amp;$A157&amp;"-"&amp;TEXT(($D157-$C157+1)+13,"00"),"")&amp;IF($C157&gt;=15,", "&amp;$A157&amp;"-"&amp;TEXT(($D157-$C157+1)+14,"00"),"")&amp;IF($C157&gt;=16,", "&amp;$A157&amp;"-"&amp;TEXT(($D157-$C157+1)+15,"00"),"")&amp;IF($C157&gt;=17,", "&amp;$A157&amp;"-"&amp;TEXT(($D157-$C157+1)+16,"00"),"")&amp;IF($C157&gt;=18,", "&amp;$A157&amp;"-"&amp;TEXT(($D157-$C157+1)+17,"00"),"")&amp;IF($C157&gt;=19,", "&amp;$A157&amp;"-"&amp;TEXT(($D157-$C157+1)+18,"00"),"")&amp;IF($C157&gt;=20,", "&amp;$A157&amp;"-"&amp;TEXT(($D157-$C157+1)+19,"00"),"")&amp;IF($C157&gt;=21,", "&amp;$A157&amp;"-"&amp;TEXT(($D157-$C157+1)+20,"00"),"")&amp;IF($C157&gt;=22,", "&amp;$A157&amp;"-"&amp;TEXT(($D157-$C157+1)+21,"00"),"")&amp;IF($C157&gt;=23,", "&amp;$A157&amp;"-"&amp;TEXT(($D157-$C157+1)+22,"00"),"")&amp;IF($C157&gt;=24,", "&amp;$A157&amp;"-"&amp;TEXT(($D157-$C157+1)+23,"00"),"")&amp;IF($C157&gt;=25,", "&amp;$A157&amp;"-"&amp;TEXT(($D157-$C157+1)+24,"00"),""))</f>
        <v/>
      </c>
      <c r="G157">
        <f>IF($A157="","",IF($E157=1,$F157,IF($F157="",$G156,IF($G156="",$F157,$G156&amp;", "&amp;$F157))))</f>
        <v/>
      </c>
      <c r="H157">
        <f>IF($A157="","",$A157&amp;" ("&amp;$C157&amp;")")</f>
        <v/>
      </c>
      <c r="I157">
        <f>IF($A157="","",IF($E157=1,$H157,$I156&amp;", "&amp;$H157))</f>
        <v/>
      </c>
      <c r="J157">
        <f>IF($A157="","",IF($E157=1,$B157,""))</f>
        <v/>
      </c>
      <c r="K157">
        <f>IF($A157="","",IF(COUNTIF($B$2:$B157,$B157)=COUNTIF($B$2:$B$1601,$B157),$B157,""))</f>
        <v/>
      </c>
    </row>
    <row r="158">
      <c r="A158">
        <f>IF('TMP Paste'!$E158="","",'TMP Paste'!$E158)</f>
        <v/>
      </c>
      <c r="B158">
        <f>IF($A158="","",COUNTIF('TMP Paste'!$B$2:$B158,"?*"))</f>
        <v/>
      </c>
      <c r="C158">
        <f>IF($A158="","",IFERROR('TMP Paste'!$M158*1,0))</f>
        <v/>
      </c>
      <c r="D158">
        <f>IF($A158="","",SUMIF($B$2:$B158,$B158,$C$2:$C158))</f>
        <v/>
      </c>
      <c r="E158">
        <f>IF($A158="",0,IF('TMP Paste'!$B158="",0,1))</f>
        <v/>
      </c>
      <c r="F158">
        <f>IF(OR($A158="",$C158&lt;1),"",$A158&amp;"-"&amp;TEXT(($D158-$C158+1),"00")&amp;IF($C158&gt;=2,", "&amp;$A158&amp;"-"&amp;TEXT(($D158-$C158+1)+1,"00"),"")&amp;IF($C158&gt;=3,", "&amp;$A158&amp;"-"&amp;TEXT(($D158-$C158+1)+2,"00"),"")&amp;IF($C158&gt;=4,", "&amp;$A158&amp;"-"&amp;TEXT(($D158-$C158+1)+3,"00"),"")&amp;IF($C158&gt;=5,", "&amp;$A158&amp;"-"&amp;TEXT(($D158-$C158+1)+4,"00"),"")&amp;IF($C158&gt;=6,", "&amp;$A158&amp;"-"&amp;TEXT(($D158-$C158+1)+5,"00"),"")&amp;IF($C158&gt;=7,", "&amp;$A158&amp;"-"&amp;TEXT(($D158-$C158+1)+6,"00"),"")&amp;IF($C158&gt;=8,", "&amp;$A158&amp;"-"&amp;TEXT(($D158-$C158+1)+7,"00"),"")&amp;IF($C158&gt;=9,", "&amp;$A158&amp;"-"&amp;TEXT(($D158-$C158+1)+8,"00"),"")&amp;IF($C158&gt;=10,", "&amp;$A158&amp;"-"&amp;TEXT(($D158-$C158+1)+9,"00"),"")&amp;IF($C158&gt;=11,", "&amp;$A158&amp;"-"&amp;TEXT(($D158-$C158+1)+10,"00"),"")&amp;IF($C158&gt;=12,", "&amp;$A158&amp;"-"&amp;TEXT(($D158-$C158+1)+11,"00"),"")&amp;IF($C158&gt;=13,", "&amp;$A158&amp;"-"&amp;TEXT(($D158-$C158+1)+12,"00"),"")&amp;IF($C158&gt;=14,", "&amp;$A158&amp;"-"&amp;TEXT(($D158-$C158+1)+13,"00"),"")&amp;IF($C158&gt;=15,", "&amp;$A158&amp;"-"&amp;TEXT(($D158-$C158+1)+14,"00"),"")&amp;IF($C158&gt;=16,", "&amp;$A158&amp;"-"&amp;TEXT(($D158-$C158+1)+15,"00"),"")&amp;IF($C158&gt;=17,", "&amp;$A158&amp;"-"&amp;TEXT(($D158-$C158+1)+16,"00"),"")&amp;IF($C158&gt;=18,", "&amp;$A158&amp;"-"&amp;TEXT(($D158-$C158+1)+17,"00"),"")&amp;IF($C158&gt;=19,", "&amp;$A158&amp;"-"&amp;TEXT(($D158-$C158+1)+18,"00"),"")&amp;IF($C158&gt;=20,", "&amp;$A158&amp;"-"&amp;TEXT(($D158-$C158+1)+19,"00"),"")&amp;IF($C158&gt;=21,", "&amp;$A158&amp;"-"&amp;TEXT(($D158-$C158+1)+20,"00"),"")&amp;IF($C158&gt;=22,", "&amp;$A158&amp;"-"&amp;TEXT(($D158-$C158+1)+21,"00"),"")&amp;IF($C158&gt;=23,", "&amp;$A158&amp;"-"&amp;TEXT(($D158-$C158+1)+22,"00"),"")&amp;IF($C158&gt;=24,", "&amp;$A158&amp;"-"&amp;TEXT(($D158-$C158+1)+23,"00"),"")&amp;IF($C158&gt;=25,", "&amp;$A158&amp;"-"&amp;TEXT(($D158-$C158+1)+24,"00"),""))</f>
        <v/>
      </c>
      <c r="G158">
        <f>IF($A158="","",IF($E158=1,$F158,IF($F158="",$G157,IF($G157="",$F158,$G157&amp;", "&amp;$F158))))</f>
        <v/>
      </c>
      <c r="H158">
        <f>IF($A158="","",$A158&amp;" ("&amp;$C158&amp;")")</f>
        <v/>
      </c>
      <c r="I158">
        <f>IF($A158="","",IF($E158=1,$H158,$I157&amp;", "&amp;$H158))</f>
        <v/>
      </c>
      <c r="J158">
        <f>IF($A158="","",IF($E158=1,$B158,""))</f>
        <v/>
      </c>
      <c r="K158">
        <f>IF($A158="","",IF(COUNTIF($B$2:$B158,$B158)=COUNTIF($B$2:$B$1601,$B158),$B158,""))</f>
        <v/>
      </c>
    </row>
    <row r="159">
      <c r="A159">
        <f>IF('TMP Paste'!$E159="","",'TMP Paste'!$E159)</f>
        <v/>
      </c>
      <c r="B159">
        <f>IF($A159="","",COUNTIF('TMP Paste'!$B$2:$B159,"?*"))</f>
        <v/>
      </c>
      <c r="C159">
        <f>IF($A159="","",IFERROR('TMP Paste'!$M159*1,0))</f>
        <v/>
      </c>
      <c r="D159">
        <f>IF($A159="","",SUMIF($B$2:$B159,$B159,$C$2:$C159))</f>
        <v/>
      </c>
      <c r="E159">
        <f>IF($A159="",0,IF('TMP Paste'!$B159="",0,1))</f>
        <v/>
      </c>
      <c r="F159">
        <f>IF(OR($A159="",$C159&lt;1),"",$A159&amp;"-"&amp;TEXT(($D159-$C159+1),"00")&amp;IF($C159&gt;=2,", "&amp;$A159&amp;"-"&amp;TEXT(($D159-$C159+1)+1,"00"),"")&amp;IF($C159&gt;=3,", "&amp;$A159&amp;"-"&amp;TEXT(($D159-$C159+1)+2,"00"),"")&amp;IF($C159&gt;=4,", "&amp;$A159&amp;"-"&amp;TEXT(($D159-$C159+1)+3,"00"),"")&amp;IF($C159&gt;=5,", "&amp;$A159&amp;"-"&amp;TEXT(($D159-$C159+1)+4,"00"),"")&amp;IF($C159&gt;=6,", "&amp;$A159&amp;"-"&amp;TEXT(($D159-$C159+1)+5,"00"),"")&amp;IF($C159&gt;=7,", "&amp;$A159&amp;"-"&amp;TEXT(($D159-$C159+1)+6,"00"),"")&amp;IF($C159&gt;=8,", "&amp;$A159&amp;"-"&amp;TEXT(($D159-$C159+1)+7,"00"),"")&amp;IF($C159&gt;=9,", "&amp;$A159&amp;"-"&amp;TEXT(($D159-$C159+1)+8,"00"),"")&amp;IF($C159&gt;=10,", "&amp;$A159&amp;"-"&amp;TEXT(($D159-$C159+1)+9,"00"),"")&amp;IF($C159&gt;=11,", "&amp;$A159&amp;"-"&amp;TEXT(($D159-$C159+1)+10,"00"),"")&amp;IF($C159&gt;=12,", "&amp;$A159&amp;"-"&amp;TEXT(($D159-$C159+1)+11,"00"),"")&amp;IF($C159&gt;=13,", "&amp;$A159&amp;"-"&amp;TEXT(($D159-$C159+1)+12,"00"),"")&amp;IF($C159&gt;=14,", "&amp;$A159&amp;"-"&amp;TEXT(($D159-$C159+1)+13,"00"),"")&amp;IF($C159&gt;=15,", "&amp;$A159&amp;"-"&amp;TEXT(($D159-$C159+1)+14,"00"),"")&amp;IF($C159&gt;=16,", "&amp;$A159&amp;"-"&amp;TEXT(($D159-$C159+1)+15,"00"),"")&amp;IF($C159&gt;=17,", "&amp;$A159&amp;"-"&amp;TEXT(($D159-$C159+1)+16,"00"),"")&amp;IF($C159&gt;=18,", "&amp;$A159&amp;"-"&amp;TEXT(($D159-$C159+1)+17,"00"),"")&amp;IF($C159&gt;=19,", "&amp;$A159&amp;"-"&amp;TEXT(($D159-$C159+1)+18,"00"),"")&amp;IF($C159&gt;=20,", "&amp;$A159&amp;"-"&amp;TEXT(($D159-$C159+1)+19,"00"),"")&amp;IF($C159&gt;=21,", "&amp;$A159&amp;"-"&amp;TEXT(($D159-$C159+1)+20,"00"),"")&amp;IF($C159&gt;=22,", "&amp;$A159&amp;"-"&amp;TEXT(($D159-$C159+1)+21,"00"),"")&amp;IF($C159&gt;=23,", "&amp;$A159&amp;"-"&amp;TEXT(($D159-$C159+1)+22,"00"),"")&amp;IF($C159&gt;=24,", "&amp;$A159&amp;"-"&amp;TEXT(($D159-$C159+1)+23,"00"),"")&amp;IF($C159&gt;=25,", "&amp;$A159&amp;"-"&amp;TEXT(($D159-$C159+1)+24,"00"),""))</f>
        <v/>
      </c>
      <c r="G159">
        <f>IF($A159="","",IF($E159=1,$F159,IF($F159="",$G158,IF($G158="",$F159,$G158&amp;", "&amp;$F159))))</f>
        <v/>
      </c>
      <c r="H159">
        <f>IF($A159="","",$A159&amp;" ("&amp;$C159&amp;")")</f>
        <v/>
      </c>
      <c r="I159">
        <f>IF($A159="","",IF($E159=1,$H159,$I158&amp;", "&amp;$H159))</f>
        <v/>
      </c>
      <c r="J159">
        <f>IF($A159="","",IF($E159=1,$B159,""))</f>
        <v/>
      </c>
      <c r="K159">
        <f>IF($A159="","",IF(COUNTIF($B$2:$B159,$B159)=COUNTIF($B$2:$B$1601,$B159),$B159,""))</f>
        <v/>
      </c>
    </row>
    <row r="160">
      <c r="A160">
        <f>IF('TMP Paste'!$E160="","",'TMP Paste'!$E160)</f>
        <v/>
      </c>
      <c r="B160">
        <f>IF($A160="","",COUNTIF('TMP Paste'!$B$2:$B160,"?*"))</f>
        <v/>
      </c>
      <c r="C160">
        <f>IF($A160="","",IFERROR('TMP Paste'!$M160*1,0))</f>
        <v/>
      </c>
      <c r="D160">
        <f>IF($A160="","",SUMIF($B$2:$B160,$B160,$C$2:$C160))</f>
        <v/>
      </c>
      <c r="E160">
        <f>IF($A160="",0,IF('TMP Paste'!$B160="",0,1))</f>
        <v/>
      </c>
      <c r="F160">
        <f>IF(OR($A160="",$C160&lt;1),"",$A160&amp;"-"&amp;TEXT(($D160-$C160+1),"00")&amp;IF($C160&gt;=2,", "&amp;$A160&amp;"-"&amp;TEXT(($D160-$C160+1)+1,"00"),"")&amp;IF($C160&gt;=3,", "&amp;$A160&amp;"-"&amp;TEXT(($D160-$C160+1)+2,"00"),"")&amp;IF($C160&gt;=4,", "&amp;$A160&amp;"-"&amp;TEXT(($D160-$C160+1)+3,"00"),"")&amp;IF($C160&gt;=5,", "&amp;$A160&amp;"-"&amp;TEXT(($D160-$C160+1)+4,"00"),"")&amp;IF($C160&gt;=6,", "&amp;$A160&amp;"-"&amp;TEXT(($D160-$C160+1)+5,"00"),"")&amp;IF($C160&gt;=7,", "&amp;$A160&amp;"-"&amp;TEXT(($D160-$C160+1)+6,"00"),"")&amp;IF($C160&gt;=8,", "&amp;$A160&amp;"-"&amp;TEXT(($D160-$C160+1)+7,"00"),"")&amp;IF($C160&gt;=9,", "&amp;$A160&amp;"-"&amp;TEXT(($D160-$C160+1)+8,"00"),"")&amp;IF($C160&gt;=10,", "&amp;$A160&amp;"-"&amp;TEXT(($D160-$C160+1)+9,"00"),"")&amp;IF($C160&gt;=11,", "&amp;$A160&amp;"-"&amp;TEXT(($D160-$C160+1)+10,"00"),"")&amp;IF($C160&gt;=12,", "&amp;$A160&amp;"-"&amp;TEXT(($D160-$C160+1)+11,"00"),"")&amp;IF($C160&gt;=13,", "&amp;$A160&amp;"-"&amp;TEXT(($D160-$C160+1)+12,"00"),"")&amp;IF($C160&gt;=14,", "&amp;$A160&amp;"-"&amp;TEXT(($D160-$C160+1)+13,"00"),"")&amp;IF($C160&gt;=15,", "&amp;$A160&amp;"-"&amp;TEXT(($D160-$C160+1)+14,"00"),"")&amp;IF($C160&gt;=16,", "&amp;$A160&amp;"-"&amp;TEXT(($D160-$C160+1)+15,"00"),"")&amp;IF($C160&gt;=17,", "&amp;$A160&amp;"-"&amp;TEXT(($D160-$C160+1)+16,"00"),"")&amp;IF($C160&gt;=18,", "&amp;$A160&amp;"-"&amp;TEXT(($D160-$C160+1)+17,"00"),"")&amp;IF($C160&gt;=19,", "&amp;$A160&amp;"-"&amp;TEXT(($D160-$C160+1)+18,"00"),"")&amp;IF($C160&gt;=20,", "&amp;$A160&amp;"-"&amp;TEXT(($D160-$C160+1)+19,"00"),"")&amp;IF($C160&gt;=21,", "&amp;$A160&amp;"-"&amp;TEXT(($D160-$C160+1)+20,"00"),"")&amp;IF($C160&gt;=22,", "&amp;$A160&amp;"-"&amp;TEXT(($D160-$C160+1)+21,"00"),"")&amp;IF($C160&gt;=23,", "&amp;$A160&amp;"-"&amp;TEXT(($D160-$C160+1)+22,"00"),"")&amp;IF($C160&gt;=24,", "&amp;$A160&amp;"-"&amp;TEXT(($D160-$C160+1)+23,"00"),"")&amp;IF($C160&gt;=25,", "&amp;$A160&amp;"-"&amp;TEXT(($D160-$C160+1)+24,"00"),""))</f>
        <v/>
      </c>
      <c r="G160">
        <f>IF($A160="","",IF($E160=1,$F160,IF($F160="",$G159,IF($G159="",$F160,$G159&amp;", "&amp;$F160))))</f>
        <v/>
      </c>
      <c r="H160">
        <f>IF($A160="","",$A160&amp;" ("&amp;$C160&amp;")")</f>
        <v/>
      </c>
      <c r="I160">
        <f>IF($A160="","",IF($E160=1,$H160,$I159&amp;", "&amp;$H160))</f>
        <v/>
      </c>
      <c r="J160">
        <f>IF($A160="","",IF($E160=1,$B160,""))</f>
        <v/>
      </c>
      <c r="K160">
        <f>IF($A160="","",IF(COUNTIF($B$2:$B160,$B160)=COUNTIF($B$2:$B$1601,$B160),$B160,""))</f>
        <v/>
      </c>
    </row>
    <row r="161">
      <c r="A161">
        <f>IF('TMP Paste'!$E161="","",'TMP Paste'!$E161)</f>
        <v/>
      </c>
      <c r="B161">
        <f>IF($A161="","",COUNTIF('TMP Paste'!$B$2:$B161,"?*"))</f>
        <v/>
      </c>
      <c r="C161">
        <f>IF($A161="","",IFERROR('TMP Paste'!$M161*1,0))</f>
        <v/>
      </c>
      <c r="D161">
        <f>IF($A161="","",SUMIF($B$2:$B161,$B161,$C$2:$C161))</f>
        <v/>
      </c>
      <c r="E161">
        <f>IF($A161="",0,IF('TMP Paste'!$B161="",0,1))</f>
        <v/>
      </c>
      <c r="F161">
        <f>IF(OR($A161="",$C161&lt;1),"",$A161&amp;"-"&amp;TEXT(($D161-$C161+1),"00")&amp;IF($C161&gt;=2,", "&amp;$A161&amp;"-"&amp;TEXT(($D161-$C161+1)+1,"00"),"")&amp;IF($C161&gt;=3,", "&amp;$A161&amp;"-"&amp;TEXT(($D161-$C161+1)+2,"00"),"")&amp;IF($C161&gt;=4,", "&amp;$A161&amp;"-"&amp;TEXT(($D161-$C161+1)+3,"00"),"")&amp;IF($C161&gt;=5,", "&amp;$A161&amp;"-"&amp;TEXT(($D161-$C161+1)+4,"00"),"")&amp;IF($C161&gt;=6,", "&amp;$A161&amp;"-"&amp;TEXT(($D161-$C161+1)+5,"00"),"")&amp;IF($C161&gt;=7,", "&amp;$A161&amp;"-"&amp;TEXT(($D161-$C161+1)+6,"00"),"")&amp;IF($C161&gt;=8,", "&amp;$A161&amp;"-"&amp;TEXT(($D161-$C161+1)+7,"00"),"")&amp;IF($C161&gt;=9,", "&amp;$A161&amp;"-"&amp;TEXT(($D161-$C161+1)+8,"00"),"")&amp;IF($C161&gt;=10,", "&amp;$A161&amp;"-"&amp;TEXT(($D161-$C161+1)+9,"00"),"")&amp;IF($C161&gt;=11,", "&amp;$A161&amp;"-"&amp;TEXT(($D161-$C161+1)+10,"00"),"")&amp;IF($C161&gt;=12,", "&amp;$A161&amp;"-"&amp;TEXT(($D161-$C161+1)+11,"00"),"")&amp;IF($C161&gt;=13,", "&amp;$A161&amp;"-"&amp;TEXT(($D161-$C161+1)+12,"00"),"")&amp;IF($C161&gt;=14,", "&amp;$A161&amp;"-"&amp;TEXT(($D161-$C161+1)+13,"00"),"")&amp;IF($C161&gt;=15,", "&amp;$A161&amp;"-"&amp;TEXT(($D161-$C161+1)+14,"00"),"")&amp;IF($C161&gt;=16,", "&amp;$A161&amp;"-"&amp;TEXT(($D161-$C161+1)+15,"00"),"")&amp;IF($C161&gt;=17,", "&amp;$A161&amp;"-"&amp;TEXT(($D161-$C161+1)+16,"00"),"")&amp;IF($C161&gt;=18,", "&amp;$A161&amp;"-"&amp;TEXT(($D161-$C161+1)+17,"00"),"")&amp;IF($C161&gt;=19,", "&amp;$A161&amp;"-"&amp;TEXT(($D161-$C161+1)+18,"00"),"")&amp;IF($C161&gt;=20,", "&amp;$A161&amp;"-"&amp;TEXT(($D161-$C161+1)+19,"00"),"")&amp;IF($C161&gt;=21,", "&amp;$A161&amp;"-"&amp;TEXT(($D161-$C161+1)+20,"00"),"")&amp;IF($C161&gt;=22,", "&amp;$A161&amp;"-"&amp;TEXT(($D161-$C161+1)+21,"00"),"")&amp;IF($C161&gt;=23,", "&amp;$A161&amp;"-"&amp;TEXT(($D161-$C161+1)+22,"00"),"")&amp;IF($C161&gt;=24,", "&amp;$A161&amp;"-"&amp;TEXT(($D161-$C161+1)+23,"00"),"")&amp;IF($C161&gt;=25,", "&amp;$A161&amp;"-"&amp;TEXT(($D161-$C161+1)+24,"00"),""))</f>
        <v/>
      </c>
      <c r="G161">
        <f>IF($A161="","",IF($E161=1,$F161,IF($F161="",$G160,IF($G160="",$F161,$G160&amp;", "&amp;$F161))))</f>
        <v/>
      </c>
      <c r="H161">
        <f>IF($A161="","",$A161&amp;" ("&amp;$C161&amp;")")</f>
        <v/>
      </c>
      <c r="I161">
        <f>IF($A161="","",IF($E161=1,$H161,$I160&amp;", "&amp;$H161))</f>
        <v/>
      </c>
      <c r="J161">
        <f>IF($A161="","",IF($E161=1,$B161,""))</f>
        <v/>
      </c>
      <c r="K161">
        <f>IF($A161="","",IF(COUNTIF($B$2:$B161,$B161)=COUNTIF($B$2:$B$1601,$B161),$B161,""))</f>
        <v/>
      </c>
    </row>
    <row r="162">
      <c r="A162">
        <f>IF('TMP Paste'!$E162="","",'TMP Paste'!$E162)</f>
        <v/>
      </c>
      <c r="B162">
        <f>IF($A162="","",COUNTIF('TMP Paste'!$B$2:$B162,"?*"))</f>
        <v/>
      </c>
      <c r="C162">
        <f>IF($A162="","",IFERROR('TMP Paste'!$M162*1,0))</f>
        <v/>
      </c>
      <c r="D162">
        <f>IF($A162="","",SUMIF($B$2:$B162,$B162,$C$2:$C162))</f>
        <v/>
      </c>
      <c r="E162">
        <f>IF($A162="",0,IF('TMP Paste'!$B162="",0,1))</f>
        <v/>
      </c>
      <c r="F162">
        <f>IF(OR($A162="",$C162&lt;1),"",$A162&amp;"-"&amp;TEXT(($D162-$C162+1),"00")&amp;IF($C162&gt;=2,", "&amp;$A162&amp;"-"&amp;TEXT(($D162-$C162+1)+1,"00"),"")&amp;IF($C162&gt;=3,", "&amp;$A162&amp;"-"&amp;TEXT(($D162-$C162+1)+2,"00"),"")&amp;IF($C162&gt;=4,", "&amp;$A162&amp;"-"&amp;TEXT(($D162-$C162+1)+3,"00"),"")&amp;IF($C162&gt;=5,", "&amp;$A162&amp;"-"&amp;TEXT(($D162-$C162+1)+4,"00"),"")&amp;IF($C162&gt;=6,", "&amp;$A162&amp;"-"&amp;TEXT(($D162-$C162+1)+5,"00"),"")&amp;IF($C162&gt;=7,", "&amp;$A162&amp;"-"&amp;TEXT(($D162-$C162+1)+6,"00"),"")&amp;IF($C162&gt;=8,", "&amp;$A162&amp;"-"&amp;TEXT(($D162-$C162+1)+7,"00"),"")&amp;IF($C162&gt;=9,", "&amp;$A162&amp;"-"&amp;TEXT(($D162-$C162+1)+8,"00"),"")&amp;IF($C162&gt;=10,", "&amp;$A162&amp;"-"&amp;TEXT(($D162-$C162+1)+9,"00"),"")&amp;IF($C162&gt;=11,", "&amp;$A162&amp;"-"&amp;TEXT(($D162-$C162+1)+10,"00"),"")&amp;IF($C162&gt;=12,", "&amp;$A162&amp;"-"&amp;TEXT(($D162-$C162+1)+11,"00"),"")&amp;IF($C162&gt;=13,", "&amp;$A162&amp;"-"&amp;TEXT(($D162-$C162+1)+12,"00"),"")&amp;IF($C162&gt;=14,", "&amp;$A162&amp;"-"&amp;TEXT(($D162-$C162+1)+13,"00"),"")&amp;IF($C162&gt;=15,", "&amp;$A162&amp;"-"&amp;TEXT(($D162-$C162+1)+14,"00"),"")&amp;IF($C162&gt;=16,", "&amp;$A162&amp;"-"&amp;TEXT(($D162-$C162+1)+15,"00"),"")&amp;IF($C162&gt;=17,", "&amp;$A162&amp;"-"&amp;TEXT(($D162-$C162+1)+16,"00"),"")&amp;IF($C162&gt;=18,", "&amp;$A162&amp;"-"&amp;TEXT(($D162-$C162+1)+17,"00"),"")&amp;IF($C162&gt;=19,", "&amp;$A162&amp;"-"&amp;TEXT(($D162-$C162+1)+18,"00"),"")&amp;IF($C162&gt;=20,", "&amp;$A162&amp;"-"&amp;TEXT(($D162-$C162+1)+19,"00"),"")&amp;IF($C162&gt;=21,", "&amp;$A162&amp;"-"&amp;TEXT(($D162-$C162+1)+20,"00"),"")&amp;IF($C162&gt;=22,", "&amp;$A162&amp;"-"&amp;TEXT(($D162-$C162+1)+21,"00"),"")&amp;IF($C162&gt;=23,", "&amp;$A162&amp;"-"&amp;TEXT(($D162-$C162+1)+22,"00"),"")&amp;IF($C162&gt;=24,", "&amp;$A162&amp;"-"&amp;TEXT(($D162-$C162+1)+23,"00"),"")&amp;IF($C162&gt;=25,", "&amp;$A162&amp;"-"&amp;TEXT(($D162-$C162+1)+24,"00"),""))</f>
        <v/>
      </c>
      <c r="G162">
        <f>IF($A162="","",IF($E162=1,$F162,IF($F162="",$G161,IF($G161="",$F162,$G161&amp;", "&amp;$F162))))</f>
        <v/>
      </c>
      <c r="H162">
        <f>IF($A162="","",$A162&amp;" ("&amp;$C162&amp;")")</f>
        <v/>
      </c>
      <c r="I162">
        <f>IF($A162="","",IF($E162=1,$H162,$I161&amp;", "&amp;$H162))</f>
        <v/>
      </c>
      <c r="J162">
        <f>IF($A162="","",IF($E162=1,$B162,""))</f>
        <v/>
      </c>
      <c r="K162">
        <f>IF($A162="","",IF(COUNTIF($B$2:$B162,$B162)=COUNTIF($B$2:$B$1601,$B162),$B162,""))</f>
        <v/>
      </c>
    </row>
    <row r="163">
      <c r="A163">
        <f>IF('TMP Paste'!$E163="","",'TMP Paste'!$E163)</f>
        <v/>
      </c>
      <c r="B163">
        <f>IF($A163="","",COUNTIF('TMP Paste'!$B$2:$B163,"?*"))</f>
        <v/>
      </c>
      <c r="C163">
        <f>IF($A163="","",IFERROR('TMP Paste'!$M163*1,0))</f>
        <v/>
      </c>
      <c r="D163">
        <f>IF($A163="","",SUMIF($B$2:$B163,$B163,$C$2:$C163))</f>
        <v/>
      </c>
      <c r="E163">
        <f>IF($A163="",0,IF('TMP Paste'!$B163="",0,1))</f>
        <v/>
      </c>
      <c r="F163">
        <f>IF(OR($A163="",$C163&lt;1),"",$A163&amp;"-"&amp;TEXT(($D163-$C163+1),"00")&amp;IF($C163&gt;=2,", "&amp;$A163&amp;"-"&amp;TEXT(($D163-$C163+1)+1,"00"),"")&amp;IF($C163&gt;=3,", "&amp;$A163&amp;"-"&amp;TEXT(($D163-$C163+1)+2,"00"),"")&amp;IF($C163&gt;=4,", "&amp;$A163&amp;"-"&amp;TEXT(($D163-$C163+1)+3,"00"),"")&amp;IF($C163&gt;=5,", "&amp;$A163&amp;"-"&amp;TEXT(($D163-$C163+1)+4,"00"),"")&amp;IF($C163&gt;=6,", "&amp;$A163&amp;"-"&amp;TEXT(($D163-$C163+1)+5,"00"),"")&amp;IF($C163&gt;=7,", "&amp;$A163&amp;"-"&amp;TEXT(($D163-$C163+1)+6,"00"),"")&amp;IF($C163&gt;=8,", "&amp;$A163&amp;"-"&amp;TEXT(($D163-$C163+1)+7,"00"),"")&amp;IF($C163&gt;=9,", "&amp;$A163&amp;"-"&amp;TEXT(($D163-$C163+1)+8,"00"),"")&amp;IF($C163&gt;=10,", "&amp;$A163&amp;"-"&amp;TEXT(($D163-$C163+1)+9,"00"),"")&amp;IF($C163&gt;=11,", "&amp;$A163&amp;"-"&amp;TEXT(($D163-$C163+1)+10,"00"),"")&amp;IF($C163&gt;=12,", "&amp;$A163&amp;"-"&amp;TEXT(($D163-$C163+1)+11,"00"),"")&amp;IF($C163&gt;=13,", "&amp;$A163&amp;"-"&amp;TEXT(($D163-$C163+1)+12,"00"),"")&amp;IF($C163&gt;=14,", "&amp;$A163&amp;"-"&amp;TEXT(($D163-$C163+1)+13,"00"),"")&amp;IF($C163&gt;=15,", "&amp;$A163&amp;"-"&amp;TEXT(($D163-$C163+1)+14,"00"),"")&amp;IF($C163&gt;=16,", "&amp;$A163&amp;"-"&amp;TEXT(($D163-$C163+1)+15,"00"),"")&amp;IF($C163&gt;=17,", "&amp;$A163&amp;"-"&amp;TEXT(($D163-$C163+1)+16,"00"),"")&amp;IF($C163&gt;=18,", "&amp;$A163&amp;"-"&amp;TEXT(($D163-$C163+1)+17,"00"),"")&amp;IF($C163&gt;=19,", "&amp;$A163&amp;"-"&amp;TEXT(($D163-$C163+1)+18,"00"),"")&amp;IF($C163&gt;=20,", "&amp;$A163&amp;"-"&amp;TEXT(($D163-$C163+1)+19,"00"),"")&amp;IF($C163&gt;=21,", "&amp;$A163&amp;"-"&amp;TEXT(($D163-$C163+1)+20,"00"),"")&amp;IF($C163&gt;=22,", "&amp;$A163&amp;"-"&amp;TEXT(($D163-$C163+1)+21,"00"),"")&amp;IF($C163&gt;=23,", "&amp;$A163&amp;"-"&amp;TEXT(($D163-$C163+1)+22,"00"),"")&amp;IF($C163&gt;=24,", "&amp;$A163&amp;"-"&amp;TEXT(($D163-$C163+1)+23,"00"),"")&amp;IF($C163&gt;=25,", "&amp;$A163&amp;"-"&amp;TEXT(($D163-$C163+1)+24,"00"),""))</f>
        <v/>
      </c>
      <c r="G163">
        <f>IF($A163="","",IF($E163=1,$F163,IF($F163="",$G162,IF($G162="",$F163,$G162&amp;", "&amp;$F163))))</f>
        <v/>
      </c>
      <c r="H163">
        <f>IF($A163="","",$A163&amp;" ("&amp;$C163&amp;")")</f>
        <v/>
      </c>
      <c r="I163">
        <f>IF($A163="","",IF($E163=1,$H163,$I162&amp;", "&amp;$H163))</f>
        <v/>
      </c>
      <c r="J163">
        <f>IF($A163="","",IF($E163=1,$B163,""))</f>
        <v/>
      </c>
      <c r="K163">
        <f>IF($A163="","",IF(COUNTIF($B$2:$B163,$B163)=COUNTIF($B$2:$B$1601,$B163),$B163,""))</f>
        <v/>
      </c>
    </row>
    <row r="164">
      <c r="A164">
        <f>IF('TMP Paste'!$E164="","",'TMP Paste'!$E164)</f>
        <v/>
      </c>
      <c r="B164">
        <f>IF($A164="","",COUNTIF('TMP Paste'!$B$2:$B164,"?*"))</f>
        <v/>
      </c>
      <c r="C164">
        <f>IF($A164="","",IFERROR('TMP Paste'!$M164*1,0))</f>
        <v/>
      </c>
      <c r="D164">
        <f>IF($A164="","",SUMIF($B$2:$B164,$B164,$C$2:$C164))</f>
        <v/>
      </c>
      <c r="E164">
        <f>IF($A164="",0,IF('TMP Paste'!$B164="",0,1))</f>
        <v/>
      </c>
      <c r="F164">
        <f>IF(OR($A164="",$C164&lt;1),"",$A164&amp;"-"&amp;TEXT(($D164-$C164+1),"00")&amp;IF($C164&gt;=2,", "&amp;$A164&amp;"-"&amp;TEXT(($D164-$C164+1)+1,"00"),"")&amp;IF($C164&gt;=3,", "&amp;$A164&amp;"-"&amp;TEXT(($D164-$C164+1)+2,"00"),"")&amp;IF($C164&gt;=4,", "&amp;$A164&amp;"-"&amp;TEXT(($D164-$C164+1)+3,"00"),"")&amp;IF($C164&gt;=5,", "&amp;$A164&amp;"-"&amp;TEXT(($D164-$C164+1)+4,"00"),"")&amp;IF($C164&gt;=6,", "&amp;$A164&amp;"-"&amp;TEXT(($D164-$C164+1)+5,"00"),"")&amp;IF($C164&gt;=7,", "&amp;$A164&amp;"-"&amp;TEXT(($D164-$C164+1)+6,"00"),"")&amp;IF($C164&gt;=8,", "&amp;$A164&amp;"-"&amp;TEXT(($D164-$C164+1)+7,"00"),"")&amp;IF($C164&gt;=9,", "&amp;$A164&amp;"-"&amp;TEXT(($D164-$C164+1)+8,"00"),"")&amp;IF($C164&gt;=10,", "&amp;$A164&amp;"-"&amp;TEXT(($D164-$C164+1)+9,"00"),"")&amp;IF($C164&gt;=11,", "&amp;$A164&amp;"-"&amp;TEXT(($D164-$C164+1)+10,"00"),"")&amp;IF($C164&gt;=12,", "&amp;$A164&amp;"-"&amp;TEXT(($D164-$C164+1)+11,"00"),"")&amp;IF($C164&gt;=13,", "&amp;$A164&amp;"-"&amp;TEXT(($D164-$C164+1)+12,"00"),"")&amp;IF($C164&gt;=14,", "&amp;$A164&amp;"-"&amp;TEXT(($D164-$C164+1)+13,"00"),"")&amp;IF($C164&gt;=15,", "&amp;$A164&amp;"-"&amp;TEXT(($D164-$C164+1)+14,"00"),"")&amp;IF($C164&gt;=16,", "&amp;$A164&amp;"-"&amp;TEXT(($D164-$C164+1)+15,"00"),"")&amp;IF($C164&gt;=17,", "&amp;$A164&amp;"-"&amp;TEXT(($D164-$C164+1)+16,"00"),"")&amp;IF($C164&gt;=18,", "&amp;$A164&amp;"-"&amp;TEXT(($D164-$C164+1)+17,"00"),"")&amp;IF($C164&gt;=19,", "&amp;$A164&amp;"-"&amp;TEXT(($D164-$C164+1)+18,"00"),"")&amp;IF($C164&gt;=20,", "&amp;$A164&amp;"-"&amp;TEXT(($D164-$C164+1)+19,"00"),"")&amp;IF($C164&gt;=21,", "&amp;$A164&amp;"-"&amp;TEXT(($D164-$C164+1)+20,"00"),"")&amp;IF($C164&gt;=22,", "&amp;$A164&amp;"-"&amp;TEXT(($D164-$C164+1)+21,"00"),"")&amp;IF($C164&gt;=23,", "&amp;$A164&amp;"-"&amp;TEXT(($D164-$C164+1)+22,"00"),"")&amp;IF($C164&gt;=24,", "&amp;$A164&amp;"-"&amp;TEXT(($D164-$C164+1)+23,"00"),"")&amp;IF($C164&gt;=25,", "&amp;$A164&amp;"-"&amp;TEXT(($D164-$C164+1)+24,"00"),""))</f>
        <v/>
      </c>
      <c r="G164">
        <f>IF($A164="","",IF($E164=1,$F164,IF($F164="",$G163,IF($G163="",$F164,$G163&amp;", "&amp;$F164))))</f>
        <v/>
      </c>
      <c r="H164">
        <f>IF($A164="","",$A164&amp;" ("&amp;$C164&amp;")")</f>
        <v/>
      </c>
      <c r="I164">
        <f>IF($A164="","",IF($E164=1,$H164,$I163&amp;", "&amp;$H164))</f>
        <v/>
      </c>
      <c r="J164">
        <f>IF($A164="","",IF($E164=1,$B164,""))</f>
        <v/>
      </c>
      <c r="K164">
        <f>IF($A164="","",IF(COUNTIF($B$2:$B164,$B164)=COUNTIF($B$2:$B$1601,$B164),$B164,""))</f>
        <v/>
      </c>
    </row>
    <row r="165">
      <c r="A165">
        <f>IF('TMP Paste'!$E165="","",'TMP Paste'!$E165)</f>
        <v/>
      </c>
      <c r="B165">
        <f>IF($A165="","",COUNTIF('TMP Paste'!$B$2:$B165,"?*"))</f>
        <v/>
      </c>
      <c r="C165">
        <f>IF($A165="","",IFERROR('TMP Paste'!$M165*1,0))</f>
        <v/>
      </c>
      <c r="D165">
        <f>IF($A165="","",SUMIF($B$2:$B165,$B165,$C$2:$C165))</f>
        <v/>
      </c>
      <c r="E165">
        <f>IF($A165="",0,IF('TMP Paste'!$B165="",0,1))</f>
        <v/>
      </c>
      <c r="F165">
        <f>IF(OR($A165="",$C165&lt;1),"",$A165&amp;"-"&amp;TEXT(($D165-$C165+1),"00")&amp;IF($C165&gt;=2,", "&amp;$A165&amp;"-"&amp;TEXT(($D165-$C165+1)+1,"00"),"")&amp;IF($C165&gt;=3,", "&amp;$A165&amp;"-"&amp;TEXT(($D165-$C165+1)+2,"00"),"")&amp;IF($C165&gt;=4,", "&amp;$A165&amp;"-"&amp;TEXT(($D165-$C165+1)+3,"00"),"")&amp;IF($C165&gt;=5,", "&amp;$A165&amp;"-"&amp;TEXT(($D165-$C165+1)+4,"00"),"")&amp;IF($C165&gt;=6,", "&amp;$A165&amp;"-"&amp;TEXT(($D165-$C165+1)+5,"00"),"")&amp;IF($C165&gt;=7,", "&amp;$A165&amp;"-"&amp;TEXT(($D165-$C165+1)+6,"00"),"")&amp;IF($C165&gt;=8,", "&amp;$A165&amp;"-"&amp;TEXT(($D165-$C165+1)+7,"00"),"")&amp;IF($C165&gt;=9,", "&amp;$A165&amp;"-"&amp;TEXT(($D165-$C165+1)+8,"00"),"")&amp;IF($C165&gt;=10,", "&amp;$A165&amp;"-"&amp;TEXT(($D165-$C165+1)+9,"00"),"")&amp;IF($C165&gt;=11,", "&amp;$A165&amp;"-"&amp;TEXT(($D165-$C165+1)+10,"00"),"")&amp;IF($C165&gt;=12,", "&amp;$A165&amp;"-"&amp;TEXT(($D165-$C165+1)+11,"00"),"")&amp;IF($C165&gt;=13,", "&amp;$A165&amp;"-"&amp;TEXT(($D165-$C165+1)+12,"00"),"")&amp;IF($C165&gt;=14,", "&amp;$A165&amp;"-"&amp;TEXT(($D165-$C165+1)+13,"00"),"")&amp;IF($C165&gt;=15,", "&amp;$A165&amp;"-"&amp;TEXT(($D165-$C165+1)+14,"00"),"")&amp;IF($C165&gt;=16,", "&amp;$A165&amp;"-"&amp;TEXT(($D165-$C165+1)+15,"00"),"")&amp;IF($C165&gt;=17,", "&amp;$A165&amp;"-"&amp;TEXT(($D165-$C165+1)+16,"00"),"")&amp;IF($C165&gt;=18,", "&amp;$A165&amp;"-"&amp;TEXT(($D165-$C165+1)+17,"00"),"")&amp;IF($C165&gt;=19,", "&amp;$A165&amp;"-"&amp;TEXT(($D165-$C165+1)+18,"00"),"")&amp;IF($C165&gt;=20,", "&amp;$A165&amp;"-"&amp;TEXT(($D165-$C165+1)+19,"00"),"")&amp;IF($C165&gt;=21,", "&amp;$A165&amp;"-"&amp;TEXT(($D165-$C165+1)+20,"00"),"")&amp;IF($C165&gt;=22,", "&amp;$A165&amp;"-"&amp;TEXT(($D165-$C165+1)+21,"00"),"")&amp;IF($C165&gt;=23,", "&amp;$A165&amp;"-"&amp;TEXT(($D165-$C165+1)+22,"00"),"")&amp;IF($C165&gt;=24,", "&amp;$A165&amp;"-"&amp;TEXT(($D165-$C165+1)+23,"00"),"")&amp;IF($C165&gt;=25,", "&amp;$A165&amp;"-"&amp;TEXT(($D165-$C165+1)+24,"00"),""))</f>
        <v/>
      </c>
      <c r="G165">
        <f>IF($A165="","",IF($E165=1,$F165,IF($F165="",$G164,IF($G164="",$F165,$G164&amp;", "&amp;$F165))))</f>
        <v/>
      </c>
      <c r="H165">
        <f>IF($A165="","",$A165&amp;" ("&amp;$C165&amp;")")</f>
        <v/>
      </c>
      <c r="I165">
        <f>IF($A165="","",IF($E165=1,$H165,$I164&amp;", "&amp;$H165))</f>
        <v/>
      </c>
      <c r="J165">
        <f>IF($A165="","",IF($E165=1,$B165,""))</f>
        <v/>
      </c>
      <c r="K165">
        <f>IF($A165="","",IF(COUNTIF($B$2:$B165,$B165)=COUNTIF($B$2:$B$1601,$B165),$B165,""))</f>
        <v/>
      </c>
    </row>
    <row r="166">
      <c r="A166">
        <f>IF('TMP Paste'!$E166="","",'TMP Paste'!$E166)</f>
        <v/>
      </c>
      <c r="B166">
        <f>IF($A166="","",COUNTIF('TMP Paste'!$B$2:$B166,"?*"))</f>
        <v/>
      </c>
      <c r="C166">
        <f>IF($A166="","",IFERROR('TMP Paste'!$M166*1,0))</f>
        <v/>
      </c>
      <c r="D166">
        <f>IF($A166="","",SUMIF($B$2:$B166,$B166,$C$2:$C166))</f>
        <v/>
      </c>
      <c r="E166">
        <f>IF($A166="",0,IF('TMP Paste'!$B166="",0,1))</f>
        <v/>
      </c>
      <c r="F166">
        <f>IF(OR($A166="",$C166&lt;1),"",$A166&amp;"-"&amp;TEXT(($D166-$C166+1),"00")&amp;IF($C166&gt;=2,", "&amp;$A166&amp;"-"&amp;TEXT(($D166-$C166+1)+1,"00"),"")&amp;IF($C166&gt;=3,", "&amp;$A166&amp;"-"&amp;TEXT(($D166-$C166+1)+2,"00"),"")&amp;IF($C166&gt;=4,", "&amp;$A166&amp;"-"&amp;TEXT(($D166-$C166+1)+3,"00"),"")&amp;IF($C166&gt;=5,", "&amp;$A166&amp;"-"&amp;TEXT(($D166-$C166+1)+4,"00"),"")&amp;IF($C166&gt;=6,", "&amp;$A166&amp;"-"&amp;TEXT(($D166-$C166+1)+5,"00"),"")&amp;IF($C166&gt;=7,", "&amp;$A166&amp;"-"&amp;TEXT(($D166-$C166+1)+6,"00"),"")&amp;IF($C166&gt;=8,", "&amp;$A166&amp;"-"&amp;TEXT(($D166-$C166+1)+7,"00"),"")&amp;IF($C166&gt;=9,", "&amp;$A166&amp;"-"&amp;TEXT(($D166-$C166+1)+8,"00"),"")&amp;IF($C166&gt;=10,", "&amp;$A166&amp;"-"&amp;TEXT(($D166-$C166+1)+9,"00"),"")&amp;IF($C166&gt;=11,", "&amp;$A166&amp;"-"&amp;TEXT(($D166-$C166+1)+10,"00"),"")&amp;IF($C166&gt;=12,", "&amp;$A166&amp;"-"&amp;TEXT(($D166-$C166+1)+11,"00"),"")&amp;IF($C166&gt;=13,", "&amp;$A166&amp;"-"&amp;TEXT(($D166-$C166+1)+12,"00"),"")&amp;IF($C166&gt;=14,", "&amp;$A166&amp;"-"&amp;TEXT(($D166-$C166+1)+13,"00"),"")&amp;IF($C166&gt;=15,", "&amp;$A166&amp;"-"&amp;TEXT(($D166-$C166+1)+14,"00"),"")&amp;IF($C166&gt;=16,", "&amp;$A166&amp;"-"&amp;TEXT(($D166-$C166+1)+15,"00"),"")&amp;IF($C166&gt;=17,", "&amp;$A166&amp;"-"&amp;TEXT(($D166-$C166+1)+16,"00"),"")&amp;IF($C166&gt;=18,", "&amp;$A166&amp;"-"&amp;TEXT(($D166-$C166+1)+17,"00"),"")&amp;IF($C166&gt;=19,", "&amp;$A166&amp;"-"&amp;TEXT(($D166-$C166+1)+18,"00"),"")&amp;IF($C166&gt;=20,", "&amp;$A166&amp;"-"&amp;TEXT(($D166-$C166+1)+19,"00"),"")&amp;IF($C166&gt;=21,", "&amp;$A166&amp;"-"&amp;TEXT(($D166-$C166+1)+20,"00"),"")&amp;IF($C166&gt;=22,", "&amp;$A166&amp;"-"&amp;TEXT(($D166-$C166+1)+21,"00"),"")&amp;IF($C166&gt;=23,", "&amp;$A166&amp;"-"&amp;TEXT(($D166-$C166+1)+22,"00"),"")&amp;IF($C166&gt;=24,", "&amp;$A166&amp;"-"&amp;TEXT(($D166-$C166+1)+23,"00"),"")&amp;IF($C166&gt;=25,", "&amp;$A166&amp;"-"&amp;TEXT(($D166-$C166+1)+24,"00"),""))</f>
        <v/>
      </c>
      <c r="G166">
        <f>IF($A166="","",IF($E166=1,$F166,IF($F166="",$G165,IF($G165="",$F166,$G165&amp;", "&amp;$F166))))</f>
        <v/>
      </c>
      <c r="H166">
        <f>IF($A166="","",$A166&amp;" ("&amp;$C166&amp;")")</f>
        <v/>
      </c>
      <c r="I166">
        <f>IF($A166="","",IF($E166=1,$H166,$I165&amp;", "&amp;$H166))</f>
        <v/>
      </c>
      <c r="J166">
        <f>IF($A166="","",IF($E166=1,$B166,""))</f>
        <v/>
      </c>
      <c r="K166">
        <f>IF($A166="","",IF(COUNTIF($B$2:$B166,$B166)=COUNTIF($B$2:$B$1601,$B166),$B166,""))</f>
        <v/>
      </c>
    </row>
    <row r="167">
      <c r="A167">
        <f>IF('TMP Paste'!$E167="","",'TMP Paste'!$E167)</f>
        <v/>
      </c>
      <c r="B167">
        <f>IF($A167="","",COUNTIF('TMP Paste'!$B$2:$B167,"?*"))</f>
        <v/>
      </c>
      <c r="C167">
        <f>IF($A167="","",IFERROR('TMP Paste'!$M167*1,0))</f>
        <v/>
      </c>
      <c r="D167">
        <f>IF($A167="","",SUMIF($B$2:$B167,$B167,$C$2:$C167))</f>
        <v/>
      </c>
      <c r="E167">
        <f>IF($A167="",0,IF('TMP Paste'!$B167="",0,1))</f>
        <v/>
      </c>
      <c r="F167">
        <f>IF(OR($A167="",$C167&lt;1),"",$A167&amp;"-"&amp;TEXT(($D167-$C167+1),"00")&amp;IF($C167&gt;=2,", "&amp;$A167&amp;"-"&amp;TEXT(($D167-$C167+1)+1,"00"),"")&amp;IF($C167&gt;=3,", "&amp;$A167&amp;"-"&amp;TEXT(($D167-$C167+1)+2,"00"),"")&amp;IF($C167&gt;=4,", "&amp;$A167&amp;"-"&amp;TEXT(($D167-$C167+1)+3,"00"),"")&amp;IF($C167&gt;=5,", "&amp;$A167&amp;"-"&amp;TEXT(($D167-$C167+1)+4,"00"),"")&amp;IF($C167&gt;=6,", "&amp;$A167&amp;"-"&amp;TEXT(($D167-$C167+1)+5,"00"),"")&amp;IF($C167&gt;=7,", "&amp;$A167&amp;"-"&amp;TEXT(($D167-$C167+1)+6,"00"),"")&amp;IF($C167&gt;=8,", "&amp;$A167&amp;"-"&amp;TEXT(($D167-$C167+1)+7,"00"),"")&amp;IF($C167&gt;=9,", "&amp;$A167&amp;"-"&amp;TEXT(($D167-$C167+1)+8,"00"),"")&amp;IF($C167&gt;=10,", "&amp;$A167&amp;"-"&amp;TEXT(($D167-$C167+1)+9,"00"),"")&amp;IF($C167&gt;=11,", "&amp;$A167&amp;"-"&amp;TEXT(($D167-$C167+1)+10,"00"),"")&amp;IF($C167&gt;=12,", "&amp;$A167&amp;"-"&amp;TEXT(($D167-$C167+1)+11,"00"),"")&amp;IF($C167&gt;=13,", "&amp;$A167&amp;"-"&amp;TEXT(($D167-$C167+1)+12,"00"),"")&amp;IF($C167&gt;=14,", "&amp;$A167&amp;"-"&amp;TEXT(($D167-$C167+1)+13,"00"),"")&amp;IF($C167&gt;=15,", "&amp;$A167&amp;"-"&amp;TEXT(($D167-$C167+1)+14,"00"),"")&amp;IF($C167&gt;=16,", "&amp;$A167&amp;"-"&amp;TEXT(($D167-$C167+1)+15,"00"),"")&amp;IF($C167&gt;=17,", "&amp;$A167&amp;"-"&amp;TEXT(($D167-$C167+1)+16,"00"),"")&amp;IF($C167&gt;=18,", "&amp;$A167&amp;"-"&amp;TEXT(($D167-$C167+1)+17,"00"),"")&amp;IF($C167&gt;=19,", "&amp;$A167&amp;"-"&amp;TEXT(($D167-$C167+1)+18,"00"),"")&amp;IF($C167&gt;=20,", "&amp;$A167&amp;"-"&amp;TEXT(($D167-$C167+1)+19,"00"),"")&amp;IF($C167&gt;=21,", "&amp;$A167&amp;"-"&amp;TEXT(($D167-$C167+1)+20,"00"),"")&amp;IF($C167&gt;=22,", "&amp;$A167&amp;"-"&amp;TEXT(($D167-$C167+1)+21,"00"),"")&amp;IF($C167&gt;=23,", "&amp;$A167&amp;"-"&amp;TEXT(($D167-$C167+1)+22,"00"),"")&amp;IF($C167&gt;=24,", "&amp;$A167&amp;"-"&amp;TEXT(($D167-$C167+1)+23,"00"),"")&amp;IF($C167&gt;=25,", "&amp;$A167&amp;"-"&amp;TEXT(($D167-$C167+1)+24,"00"),""))</f>
        <v/>
      </c>
      <c r="G167">
        <f>IF($A167="","",IF($E167=1,$F167,IF($F167="",$G166,IF($G166="",$F167,$G166&amp;", "&amp;$F167))))</f>
        <v/>
      </c>
      <c r="H167">
        <f>IF($A167="","",$A167&amp;" ("&amp;$C167&amp;")")</f>
        <v/>
      </c>
      <c r="I167">
        <f>IF($A167="","",IF($E167=1,$H167,$I166&amp;", "&amp;$H167))</f>
        <v/>
      </c>
      <c r="J167">
        <f>IF($A167="","",IF($E167=1,$B167,""))</f>
        <v/>
      </c>
      <c r="K167">
        <f>IF($A167="","",IF(COUNTIF($B$2:$B167,$B167)=COUNTIF($B$2:$B$1601,$B167),$B167,""))</f>
        <v/>
      </c>
    </row>
    <row r="168">
      <c r="A168">
        <f>IF('TMP Paste'!$E168="","",'TMP Paste'!$E168)</f>
        <v/>
      </c>
      <c r="B168">
        <f>IF($A168="","",COUNTIF('TMP Paste'!$B$2:$B168,"?*"))</f>
        <v/>
      </c>
      <c r="C168">
        <f>IF($A168="","",IFERROR('TMP Paste'!$M168*1,0))</f>
        <v/>
      </c>
      <c r="D168">
        <f>IF($A168="","",SUMIF($B$2:$B168,$B168,$C$2:$C168))</f>
        <v/>
      </c>
      <c r="E168">
        <f>IF($A168="",0,IF('TMP Paste'!$B168="",0,1))</f>
        <v/>
      </c>
      <c r="F168">
        <f>IF(OR($A168="",$C168&lt;1),"",$A168&amp;"-"&amp;TEXT(($D168-$C168+1),"00")&amp;IF($C168&gt;=2,", "&amp;$A168&amp;"-"&amp;TEXT(($D168-$C168+1)+1,"00"),"")&amp;IF($C168&gt;=3,", "&amp;$A168&amp;"-"&amp;TEXT(($D168-$C168+1)+2,"00"),"")&amp;IF($C168&gt;=4,", "&amp;$A168&amp;"-"&amp;TEXT(($D168-$C168+1)+3,"00"),"")&amp;IF($C168&gt;=5,", "&amp;$A168&amp;"-"&amp;TEXT(($D168-$C168+1)+4,"00"),"")&amp;IF($C168&gt;=6,", "&amp;$A168&amp;"-"&amp;TEXT(($D168-$C168+1)+5,"00"),"")&amp;IF($C168&gt;=7,", "&amp;$A168&amp;"-"&amp;TEXT(($D168-$C168+1)+6,"00"),"")&amp;IF($C168&gt;=8,", "&amp;$A168&amp;"-"&amp;TEXT(($D168-$C168+1)+7,"00"),"")&amp;IF($C168&gt;=9,", "&amp;$A168&amp;"-"&amp;TEXT(($D168-$C168+1)+8,"00"),"")&amp;IF($C168&gt;=10,", "&amp;$A168&amp;"-"&amp;TEXT(($D168-$C168+1)+9,"00"),"")&amp;IF($C168&gt;=11,", "&amp;$A168&amp;"-"&amp;TEXT(($D168-$C168+1)+10,"00"),"")&amp;IF($C168&gt;=12,", "&amp;$A168&amp;"-"&amp;TEXT(($D168-$C168+1)+11,"00"),"")&amp;IF($C168&gt;=13,", "&amp;$A168&amp;"-"&amp;TEXT(($D168-$C168+1)+12,"00"),"")&amp;IF($C168&gt;=14,", "&amp;$A168&amp;"-"&amp;TEXT(($D168-$C168+1)+13,"00"),"")&amp;IF($C168&gt;=15,", "&amp;$A168&amp;"-"&amp;TEXT(($D168-$C168+1)+14,"00"),"")&amp;IF($C168&gt;=16,", "&amp;$A168&amp;"-"&amp;TEXT(($D168-$C168+1)+15,"00"),"")&amp;IF($C168&gt;=17,", "&amp;$A168&amp;"-"&amp;TEXT(($D168-$C168+1)+16,"00"),"")&amp;IF($C168&gt;=18,", "&amp;$A168&amp;"-"&amp;TEXT(($D168-$C168+1)+17,"00"),"")&amp;IF($C168&gt;=19,", "&amp;$A168&amp;"-"&amp;TEXT(($D168-$C168+1)+18,"00"),"")&amp;IF($C168&gt;=20,", "&amp;$A168&amp;"-"&amp;TEXT(($D168-$C168+1)+19,"00"),"")&amp;IF($C168&gt;=21,", "&amp;$A168&amp;"-"&amp;TEXT(($D168-$C168+1)+20,"00"),"")&amp;IF($C168&gt;=22,", "&amp;$A168&amp;"-"&amp;TEXT(($D168-$C168+1)+21,"00"),"")&amp;IF($C168&gt;=23,", "&amp;$A168&amp;"-"&amp;TEXT(($D168-$C168+1)+22,"00"),"")&amp;IF($C168&gt;=24,", "&amp;$A168&amp;"-"&amp;TEXT(($D168-$C168+1)+23,"00"),"")&amp;IF($C168&gt;=25,", "&amp;$A168&amp;"-"&amp;TEXT(($D168-$C168+1)+24,"00"),""))</f>
        <v/>
      </c>
      <c r="G168">
        <f>IF($A168="","",IF($E168=1,$F168,IF($F168="",$G167,IF($G167="",$F168,$G167&amp;", "&amp;$F168))))</f>
        <v/>
      </c>
      <c r="H168">
        <f>IF($A168="","",$A168&amp;" ("&amp;$C168&amp;")")</f>
        <v/>
      </c>
      <c r="I168">
        <f>IF($A168="","",IF($E168=1,$H168,$I167&amp;", "&amp;$H168))</f>
        <v/>
      </c>
      <c r="J168">
        <f>IF($A168="","",IF($E168=1,$B168,""))</f>
        <v/>
      </c>
      <c r="K168">
        <f>IF($A168="","",IF(COUNTIF($B$2:$B168,$B168)=COUNTIF($B$2:$B$1601,$B168),$B168,""))</f>
        <v/>
      </c>
    </row>
    <row r="169">
      <c r="A169">
        <f>IF('TMP Paste'!$E169="","",'TMP Paste'!$E169)</f>
        <v/>
      </c>
      <c r="B169">
        <f>IF($A169="","",COUNTIF('TMP Paste'!$B$2:$B169,"?*"))</f>
        <v/>
      </c>
      <c r="C169">
        <f>IF($A169="","",IFERROR('TMP Paste'!$M169*1,0))</f>
        <v/>
      </c>
      <c r="D169">
        <f>IF($A169="","",SUMIF($B$2:$B169,$B169,$C$2:$C169))</f>
        <v/>
      </c>
      <c r="E169">
        <f>IF($A169="",0,IF('TMP Paste'!$B169="",0,1))</f>
        <v/>
      </c>
      <c r="F169">
        <f>IF(OR($A169="",$C169&lt;1),"",$A169&amp;"-"&amp;TEXT(($D169-$C169+1),"00")&amp;IF($C169&gt;=2,", "&amp;$A169&amp;"-"&amp;TEXT(($D169-$C169+1)+1,"00"),"")&amp;IF($C169&gt;=3,", "&amp;$A169&amp;"-"&amp;TEXT(($D169-$C169+1)+2,"00"),"")&amp;IF($C169&gt;=4,", "&amp;$A169&amp;"-"&amp;TEXT(($D169-$C169+1)+3,"00"),"")&amp;IF($C169&gt;=5,", "&amp;$A169&amp;"-"&amp;TEXT(($D169-$C169+1)+4,"00"),"")&amp;IF($C169&gt;=6,", "&amp;$A169&amp;"-"&amp;TEXT(($D169-$C169+1)+5,"00"),"")&amp;IF($C169&gt;=7,", "&amp;$A169&amp;"-"&amp;TEXT(($D169-$C169+1)+6,"00"),"")&amp;IF($C169&gt;=8,", "&amp;$A169&amp;"-"&amp;TEXT(($D169-$C169+1)+7,"00"),"")&amp;IF($C169&gt;=9,", "&amp;$A169&amp;"-"&amp;TEXT(($D169-$C169+1)+8,"00"),"")&amp;IF($C169&gt;=10,", "&amp;$A169&amp;"-"&amp;TEXT(($D169-$C169+1)+9,"00"),"")&amp;IF($C169&gt;=11,", "&amp;$A169&amp;"-"&amp;TEXT(($D169-$C169+1)+10,"00"),"")&amp;IF($C169&gt;=12,", "&amp;$A169&amp;"-"&amp;TEXT(($D169-$C169+1)+11,"00"),"")&amp;IF($C169&gt;=13,", "&amp;$A169&amp;"-"&amp;TEXT(($D169-$C169+1)+12,"00"),"")&amp;IF($C169&gt;=14,", "&amp;$A169&amp;"-"&amp;TEXT(($D169-$C169+1)+13,"00"),"")&amp;IF($C169&gt;=15,", "&amp;$A169&amp;"-"&amp;TEXT(($D169-$C169+1)+14,"00"),"")&amp;IF($C169&gt;=16,", "&amp;$A169&amp;"-"&amp;TEXT(($D169-$C169+1)+15,"00"),"")&amp;IF($C169&gt;=17,", "&amp;$A169&amp;"-"&amp;TEXT(($D169-$C169+1)+16,"00"),"")&amp;IF($C169&gt;=18,", "&amp;$A169&amp;"-"&amp;TEXT(($D169-$C169+1)+17,"00"),"")&amp;IF($C169&gt;=19,", "&amp;$A169&amp;"-"&amp;TEXT(($D169-$C169+1)+18,"00"),"")&amp;IF($C169&gt;=20,", "&amp;$A169&amp;"-"&amp;TEXT(($D169-$C169+1)+19,"00"),"")&amp;IF($C169&gt;=21,", "&amp;$A169&amp;"-"&amp;TEXT(($D169-$C169+1)+20,"00"),"")&amp;IF($C169&gt;=22,", "&amp;$A169&amp;"-"&amp;TEXT(($D169-$C169+1)+21,"00"),"")&amp;IF($C169&gt;=23,", "&amp;$A169&amp;"-"&amp;TEXT(($D169-$C169+1)+22,"00"),"")&amp;IF($C169&gt;=24,", "&amp;$A169&amp;"-"&amp;TEXT(($D169-$C169+1)+23,"00"),"")&amp;IF($C169&gt;=25,", "&amp;$A169&amp;"-"&amp;TEXT(($D169-$C169+1)+24,"00"),""))</f>
        <v/>
      </c>
      <c r="G169">
        <f>IF($A169="","",IF($E169=1,$F169,IF($F169="",$G168,IF($G168="",$F169,$G168&amp;", "&amp;$F169))))</f>
        <v/>
      </c>
      <c r="H169">
        <f>IF($A169="","",$A169&amp;" ("&amp;$C169&amp;")")</f>
        <v/>
      </c>
      <c r="I169">
        <f>IF($A169="","",IF($E169=1,$H169,$I168&amp;", "&amp;$H169))</f>
        <v/>
      </c>
      <c r="J169">
        <f>IF($A169="","",IF($E169=1,$B169,""))</f>
        <v/>
      </c>
      <c r="K169">
        <f>IF($A169="","",IF(COUNTIF($B$2:$B169,$B169)=COUNTIF($B$2:$B$1601,$B169),$B169,""))</f>
        <v/>
      </c>
    </row>
    <row r="170">
      <c r="A170">
        <f>IF('TMP Paste'!$E170="","",'TMP Paste'!$E170)</f>
        <v/>
      </c>
      <c r="B170">
        <f>IF($A170="","",COUNTIF('TMP Paste'!$B$2:$B170,"?*"))</f>
        <v/>
      </c>
      <c r="C170">
        <f>IF($A170="","",IFERROR('TMP Paste'!$M170*1,0))</f>
        <v/>
      </c>
      <c r="D170">
        <f>IF($A170="","",SUMIF($B$2:$B170,$B170,$C$2:$C170))</f>
        <v/>
      </c>
      <c r="E170">
        <f>IF($A170="",0,IF('TMP Paste'!$B170="",0,1))</f>
        <v/>
      </c>
      <c r="F170">
        <f>IF(OR($A170="",$C170&lt;1),"",$A170&amp;"-"&amp;TEXT(($D170-$C170+1),"00")&amp;IF($C170&gt;=2,", "&amp;$A170&amp;"-"&amp;TEXT(($D170-$C170+1)+1,"00"),"")&amp;IF($C170&gt;=3,", "&amp;$A170&amp;"-"&amp;TEXT(($D170-$C170+1)+2,"00"),"")&amp;IF($C170&gt;=4,", "&amp;$A170&amp;"-"&amp;TEXT(($D170-$C170+1)+3,"00"),"")&amp;IF($C170&gt;=5,", "&amp;$A170&amp;"-"&amp;TEXT(($D170-$C170+1)+4,"00"),"")&amp;IF($C170&gt;=6,", "&amp;$A170&amp;"-"&amp;TEXT(($D170-$C170+1)+5,"00"),"")&amp;IF($C170&gt;=7,", "&amp;$A170&amp;"-"&amp;TEXT(($D170-$C170+1)+6,"00"),"")&amp;IF($C170&gt;=8,", "&amp;$A170&amp;"-"&amp;TEXT(($D170-$C170+1)+7,"00"),"")&amp;IF($C170&gt;=9,", "&amp;$A170&amp;"-"&amp;TEXT(($D170-$C170+1)+8,"00"),"")&amp;IF($C170&gt;=10,", "&amp;$A170&amp;"-"&amp;TEXT(($D170-$C170+1)+9,"00"),"")&amp;IF($C170&gt;=11,", "&amp;$A170&amp;"-"&amp;TEXT(($D170-$C170+1)+10,"00"),"")&amp;IF($C170&gt;=12,", "&amp;$A170&amp;"-"&amp;TEXT(($D170-$C170+1)+11,"00"),"")&amp;IF($C170&gt;=13,", "&amp;$A170&amp;"-"&amp;TEXT(($D170-$C170+1)+12,"00"),"")&amp;IF($C170&gt;=14,", "&amp;$A170&amp;"-"&amp;TEXT(($D170-$C170+1)+13,"00"),"")&amp;IF($C170&gt;=15,", "&amp;$A170&amp;"-"&amp;TEXT(($D170-$C170+1)+14,"00"),"")&amp;IF($C170&gt;=16,", "&amp;$A170&amp;"-"&amp;TEXT(($D170-$C170+1)+15,"00"),"")&amp;IF($C170&gt;=17,", "&amp;$A170&amp;"-"&amp;TEXT(($D170-$C170+1)+16,"00"),"")&amp;IF($C170&gt;=18,", "&amp;$A170&amp;"-"&amp;TEXT(($D170-$C170+1)+17,"00"),"")&amp;IF($C170&gt;=19,", "&amp;$A170&amp;"-"&amp;TEXT(($D170-$C170+1)+18,"00"),"")&amp;IF($C170&gt;=20,", "&amp;$A170&amp;"-"&amp;TEXT(($D170-$C170+1)+19,"00"),"")&amp;IF($C170&gt;=21,", "&amp;$A170&amp;"-"&amp;TEXT(($D170-$C170+1)+20,"00"),"")&amp;IF($C170&gt;=22,", "&amp;$A170&amp;"-"&amp;TEXT(($D170-$C170+1)+21,"00"),"")&amp;IF($C170&gt;=23,", "&amp;$A170&amp;"-"&amp;TEXT(($D170-$C170+1)+22,"00"),"")&amp;IF($C170&gt;=24,", "&amp;$A170&amp;"-"&amp;TEXT(($D170-$C170+1)+23,"00"),"")&amp;IF($C170&gt;=25,", "&amp;$A170&amp;"-"&amp;TEXT(($D170-$C170+1)+24,"00"),""))</f>
        <v/>
      </c>
      <c r="G170">
        <f>IF($A170="","",IF($E170=1,$F170,IF($F170="",$G169,IF($G169="",$F170,$G169&amp;", "&amp;$F170))))</f>
        <v/>
      </c>
      <c r="H170">
        <f>IF($A170="","",$A170&amp;" ("&amp;$C170&amp;")")</f>
        <v/>
      </c>
      <c r="I170">
        <f>IF($A170="","",IF($E170=1,$H170,$I169&amp;", "&amp;$H170))</f>
        <v/>
      </c>
      <c r="J170">
        <f>IF($A170="","",IF($E170=1,$B170,""))</f>
        <v/>
      </c>
      <c r="K170">
        <f>IF($A170="","",IF(COUNTIF($B$2:$B170,$B170)=COUNTIF($B$2:$B$1601,$B170),$B170,""))</f>
        <v/>
      </c>
    </row>
    <row r="171">
      <c r="A171">
        <f>IF('TMP Paste'!$E171="","",'TMP Paste'!$E171)</f>
        <v/>
      </c>
      <c r="B171">
        <f>IF($A171="","",COUNTIF('TMP Paste'!$B$2:$B171,"?*"))</f>
        <v/>
      </c>
      <c r="C171">
        <f>IF($A171="","",IFERROR('TMP Paste'!$M171*1,0))</f>
        <v/>
      </c>
      <c r="D171">
        <f>IF($A171="","",SUMIF($B$2:$B171,$B171,$C$2:$C171))</f>
        <v/>
      </c>
      <c r="E171">
        <f>IF($A171="",0,IF('TMP Paste'!$B171="",0,1))</f>
        <v/>
      </c>
      <c r="F171">
        <f>IF(OR($A171="",$C171&lt;1),"",$A171&amp;"-"&amp;TEXT(($D171-$C171+1),"00")&amp;IF($C171&gt;=2,", "&amp;$A171&amp;"-"&amp;TEXT(($D171-$C171+1)+1,"00"),"")&amp;IF($C171&gt;=3,", "&amp;$A171&amp;"-"&amp;TEXT(($D171-$C171+1)+2,"00"),"")&amp;IF($C171&gt;=4,", "&amp;$A171&amp;"-"&amp;TEXT(($D171-$C171+1)+3,"00"),"")&amp;IF($C171&gt;=5,", "&amp;$A171&amp;"-"&amp;TEXT(($D171-$C171+1)+4,"00"),"")&amp;IF($C171&gt;=6,", "&amp;$A171&amp;"-"&amp;TEXT(($D171-$C171+1)+5,"00"),"")&amp;IF($C171&gt;=7,", "&amp;$A171&amp;"-"&amp;TEXT(($D171-$C171+1)+6,"00"),"")&amp;IF($C171&gt;=8,", "&amp;$A171&amp;"-"&amp;TEXT(($D171-$C171+1)+7,"00"),"")&amp;IF($C171&gt;=9,", "&amp;$A171&amp;"-"&amp;TEXT(($D171-$C171+1)+8,"00"),"")&amp;IF($C171&gt;=10,", "&amp;$A171&amp;"-"&amp;TEXT(($D171-$C171+1)+9,"00"),"")&amp;IF($C171&gt;=11,", "&amp;$A171&amp;"-"&amp;TEXT(($D171-$C171+1)+10,"00"),"")&amp;IF($C171&gt;=12,", "&amp;$A171&amp;"-"&amp;TEXT(($D171-$C171+1)+11,"00"),"")&amp;IF($C171&gt;=13,", "&amp;$A171&amp;"-"&amp;TEXT(($D171-$C171+1)+12,"00"),"")&amp;IF($C171&gt;=14,", "&amp;$A171&amp;"-"&amp;TEXT(($D171-$C171+1)+13,"00"),"")&amp;IF($C171&gt;=15,", "&amp;$A171&amp;"-"&amp;TEXT(($D171-$C171+1)+14,"00"),"")&amp;IF($C171&gt;=16,", "&amp;$A171&amp;"-"&amp;TEXT(($D171-$C171+1)+15,"00"),"")&amp;IF($C171&gt;=17,", "&amp;$A171&amp;"-"&amp;TEXT(($D171-$C171+1)+16,"00"),"")&amp;IF($C171&gt;=18,", "&amp;$A171&amp;"-"&amp;TEXT(($D171-$C171+1)+17,"00"),"")&amp;IF($C171&gt;=19,", "&amp;$A171&amp;"-"&amp;TEXT(($D171-$C171+1)+18,"00"),"")&amp;IF($C171&gt;=20,", "&amp;$A171&amp;"-"&amp;TEXT(($D171-$C171+1)+19,"00"),"")&amp;IF($C171&gt;=21,", "&amp;$A171&amp;"-"&amp;TEXT(($D171-$C171+1)+20,"00"),"")&amp;IF($C171&gt;=22,", "&amp;$A171&amp;"-"&amp;TEXT(($D171-$C171+1)+21,"00"),"")&amp;IF($C171&gt;=23,", "&amp;$A171&amp;"-"&amp;TEXT(($D171-$C171+1)+22,"00"),"")&amp;IF($C171&gt;=24,", "&amp;$A171&amp;"-"&amp;TEXT(($D171-$C171+1)+23,"00"),"")&amp;IF($C171&gt;=25,", "&amp;$A171&amp;"-"&amp;TEXT(($D171-$C171+1)+24,"00"),""))</f>
        <v/>
      </c>
      <c r="G171">
        <f>IF($A171="","",IF($E171=1,$F171,IF($F171="",$G170,IF($G170="",$F171,$G170&amp;", "&amp;$F171))))</f>
        <v/>
      </c>
      <c r="H171">
        <f>IF($A171="","",$A171&amp;" ("&amp;$C171&amp;")")</f>
        <v/>
      </c>
      <c r="I171">
        <f>IF($A171="","",IF($E171=1,$H171,$I170&amp;", "&amp;$H171))</f>
        <v/>
      </c>
      <c r="J171">
        <f>IF($A171="","",IF($E171=1,$B171,""))</f>
        <v/>
      </c>
      <c r="K171">
        <f>IF($A171="","",IF(COUNTIF($B$2:$B171,$B171)=COUNTIF($B$2:$B$1601,$B171),$B171,""))</f>
        <v/>
      </c>
    </row>
    <row r="172">
      <c r="A172">
        <f>IF('TMP Paste'!$E172="","",'TMP Paste'!$E172)</f>
        <v/>
      </c>
      <c r="B172">
        <f>IF($A172="","",COUNTIF('TMP Paste'!$B$2:$B172,"?*"))</f>
        <v/>
      </c>
      <c r="C172">
        <f>IF($A172="","",IFERROR('TMP Paste'!$M172*1,0))</f>
        <v/>
      </c>
      <c r="D172">
        <f>IF($A172="","",SUMIF($B$2:$B172,$B172,$C$2:$C172))</f>
        <v/>
      </c>
      <c r="E172">
        <f>IF($A172="",0,IF('TMP Paste'!$B172="",0,1))</f>
        <v/>
      </c>
      <c r="F172">
        <f>IF(OR($A172="",$C172&lt;1),"",$A172&amp;"-"&amp;TEXT(($D172-$C172+1),"00")&amp;IF($C172&gt;=2,", "&amp;$A172&amp;"-"&amp;TEXT(($D172-$C172+1)+1,"00"),"")&amp;IF($C172&gt;=3,", "&amp;$A172&amp;"-"&amp;TEXT(($D172-$C172+1)+2,"00"),"")&amp;IF($C172&gt;=4,", "&amp;$A172&amp;"-"&amp;TEXT(($D172-$C172+1)+3,"00"),"")&amp;IF($C172&gt;=5,", "&amp;$A172&amp;"-"&amp;TEXT(($D172-$C172+1)+4,"00"),"")&amp;IF($C172&gt;=6,", "&amp;$A172&amp;"-"&amp;TEXT(($D172-$C172+1)+5,"00"),"")&amp;IF($C172&gt;=7,", "&amp;$A172&amp;"-"&amp;TEXT(($D172-$C172+1)+6,"00"),"")&amp;IF($C172&gt;=8,", "&amp;$A172&amp;"-"&amp;TEXT(($D172-$C172+1)+7,"00"),"")&amp;IF($C172&gt;=9,", "&amp;$A172&amp;"-"&amp;TEXT(($D172-$C172+1)+8,"00"),"")&amp;IF($C172&gt;=10,", "&amp;$A172&amp;"-"&amp;TEXT(($D172-$C172+1)+9,"00"),"")&amp;IF($C172&gt;=11,", "&amp;$A172&amp;"-"&amp;TEXT(($D172-$C172+1)+10,"00"),"")&amp;IF($C172&gt;=12,", "&amp;$A172&amp;"-"&amp;TEXT(($D172-$C172+1)+11,"00"),"")&amp;IF($C172&gt;=13,", "&amp;$A172&amp;"-"&amp;TEXT(($D172-$C172+1)+12,"00"),"")&amp;IF($C172&gt;=14,", "&amp;$A172&amp;"-"&amp;TEXT(($D172-$C172+1)+13,"00"),"")&amp;IF($C172&gt;=15,", "&amp;$A172&amp;"-"&amp;TEXT(($D172-$C172+1)+14,"00"),"")&amp;IF($C172&gt;=16,", "&amp;$A172&amp;"-"&amp;TEXT(($D172-$C172+1)+15,"00"),"")&amp;IF($C172&gt;=17,", "&amp;$A172&amp;"-"&amp;TEXT(($D172-$C172+1)+16,"00"),"")&amp;IF($C172&gt;=18,", "&amp;$A172&amp;"-"&amp;TEXT(($D172-$C172+1)+17,"00"),"")&amp;IF($C172&gt;=19,", "&amp;$A172&amp;"-"&amp;TEXT(($D172-$C172+1)+18,"00"),"")&amp;IF($C172&gt;=20,", "&amp;$A172&amp;"-"&amp;TEXT(($D172-$C172+1)+19,"00"),"")&amp;IF($C172&gt;=21,", "&amp;$A172&amp;"-"&amp;TEXT(($D172-$C172+1)+20,"00"),"")&amp;IF($C172&gt;=22,", "&amp;$A172&amp;"-"&amp;TEXT(($D172-$C172+1)+21,"00"),"")&amp;IF($C172&gt;=23,", "&amp;$A172&amp;"-"&amp;TEXT(($D172-$C172+1)+22,"00"),"")&amp;IF($C172&gt;=24,", "&amp;$A172&amp;"-"&amp;TEXT(($D172-$C172+1)+23,"00"),"")&amp;IF($C172&gt;=25,", "&amp;$A172&amp;"-"&amp;TEXT(($D172-$C172+1)+24,"00"),""))</f>
        <v/>
      </c>
      <c r="G172">
        <f>IF($A172="","",IF($E172=1,$F172,IF($F172="",$G171,IF($G171="",$F172,$G171&amp;", "&amp;$F172))))</f>
        <v/>
      </c>
      <c r="H172">
        <f>IF($A172="","",$A172&amp;" ("&amp;$C172&amp;")")</f>
        <v/>
      </c>
      <c r="I172">
        <f>IF($A172="","",IF($E172=1,$H172,$I171&amp;", "&amp;$H172))</f>
        <v/>
      </c>
      <c r="J172">
        <f>IF($A172="","",IF($E172=1,$B172,""))</f>
        <v/>
      </c>
      <c r="K172">
        <f>IF($A172="","",IF(COUNTIF($B$2:$B172,$B172)=COUNTIF($B$2:$B$1601,$B172),$B172,""))</f>
        <v/>
      </c>
    </row>
    <row r="173">
      <c r="A173">
        <f>IF('TMP Paste'!$E173="","",'TMP Paste'!$E173)</f>
        <v/>
      </c>
      <c r="B173">
        <f>IF($A173="","",COUNTIF('TMP Paste'!$B$2:$B173,"?*"))</f>
        <v/>
      </c>
      <c r="C173">
        <f>IF($A173="","",IFERROR('TMP Paste'!$M173*1,0))</f>
        <v/>
      </c>
      <c r="D173">
        <f>IF($A173="","",SUMIF($B$2:$B173,$B173,$C$2:$C173))</f>
        <v/>
      </c>
      <c r="E173">
        <f>IF($A173="",0,IF('TMP Paste'!$B173="",0,1))</f>
        <v/>
      </c>
      <c r="F173">
        <f>IF(OR($A173="",$C173&lt;1),"",$A173&amp;"-"&amp;TEXT(($D173-$C173+1),"00")&amp;IF($C173&gt;=2,", "&amp;$A173&amp;"-"&amp;TEXT(($D173-$C173+1)+1,"00"),"")&amp;IF($C173&gt;=3,", "&amp;$A173&amp;"-"&amp;TEXT(($D173-$C173+1)+2,"00"),"")&amp;IF($C173&gt;=4,", "&amp;$A173&amp;"-"&amp;TEXT(($D173-$C173+1)+3,"00"),"")&amp;IF($C173&gt;=5,", "&amp;$A173&amp;"-"&amp;TEXT(($D173-$C173+1)+4,"00"),"")&amp;IF($C173&gt;=6,", "&amp;$A173&amp;"-"&amp;TEXT(($D173-$C173+1)+5,"00"),"")&amp;IF($C173&gt;=7,", "&amp;$A173&amp;"-"&amp;TEXT(($D173-$C173+1)+6,"00"),"")&amp;IF($C173&gt;=8,", "&amp;$A173&amp;"-"&amp;TEXT(($D173-$C173+1)+7,"00"),"")&amp;IF($C173&gt;=9,", "&amp;$A173&amp;"-"&amp;TEXT(($D173-$C173+1)+8,"00"),"")&amp;IF($C173&gt;=10,", "&amp;$A173&amp;"-"&amp;TEXT(($D173-$C173+1)+9,"00"),"")&amp;IF($C173&gt;=11,", "&amp;$A173&amp;"-"&amp;TEXT(($D173-$C173+1)+10,"00"),"")&amp;IF($C173&gt;=12,", "&amp;$A173&amp;"-"&amp;TEXT(($D173-$C173+1)+11,"00"),"")&amp;IF($C173&gt;=13,", "&amp;$A173&amp;"-"&amp;TEXT(($D173-$C173+1)+12,"00"),"")&amp;IF($C173&gt;=14,", "&amp;$A173&amp;"-"&amp;TEXT(($D173-$C173+1)+13,"00"),"")&amp;IF($C173&gt;=15,", "&amp;$A173&amp;"-"&amp;TEXT(($D173-$C173+1)+14,"00"),"")&amp;IF($C173&gt;=16,", "&amp;$A173&amp;"-"&amp;TEXT(($D173-$C173+1)+15,"00"),"")&amp;IF($C173&gt;=17,", "&amp;$A173&amp;"-"&amp;TEXT(($D173-$C173+1)+16,"00"),"")&amp;IF($C173&gt;=18,", "&amp;$A173&amp;"-"&amp;TEXT(($D173-$C173+1)+17,"00"),"")&amp;IF($C173&gt;=19,", "&amp;$A173&amp;"-"&amp;TEXT(($D173-$C173+1)+18,"00"),"")&amp;IF($C173&gt;=20,", "&amp;$A173&amp;"-"&amp;TEXT(($D173-$C173+1)+19,"00"),"")&amp;IF($C173&gt;=21,", "&amp;$A173&amp;"-"&amp;TEXT(($D173-$C173+1)+20,"00"),"")&amp;IF($C173&gt;=22,", "&amp;$A173&amp;"-"&amp;TEXT(($D173-$C173+1)+21,"00"),"")&amp;IF($C173&gt;=23,", "&amp;$A173&amp;"-"&amp;TEXT(($D173-$C173+1)+22,"00"),"")&amp;IF($C173&gt;=24,", "&amp;$A173&amp;"-"&amp;TEXT(($D173-$C173+1)+23,"00"),"")&amp;IF($C173&gt;=25,", "&amp;$A173&amp;"-"&amp;TEXT(($D173-$C173+1)+24,"00"),""))</f>
        <v/>
      </c>
      <c r="G173">
        <f>IF($A173="","",IF($E173=1,$F173,IF($F173="",$G172,IF($G172="",$F173,$G172&amp;", "&amp;$F173))))</f>
        <v/>
      </c>
      <c r="H173">
        <f>IF($A173="","",$A173&amp;" ("&amp;$C173&amp;")")</f>
        <v/>
      </c>
      <c r="I173">
        <f>IF($A173="","",IF($E173=1,$H173,$I172&amp;", "&amp;$H173))</f>
        <v/>
      </c>
      <c r="J173">
        <f>IF($A173="","",IF($E173=1,$B173,""))</f>
        <v/>
      </c>
      <c r="K173">
        <f>IF($A173="","",IF(COUNTIF($B$2:$B173,$B173)=COUNTIF($B$2:$B$1601,$B173),$B173,""))</f>
        <v/>
      </c>
    </row>
    <row r="174">
      <c r="A174">
        <f>IF('TMP Paste'!$E174="","",'TMP Paste'!$E174)</f>
        <v/>
      </c>
      <c r="B174">
        <f>IF($A174="","",COUNTIF('TMP Paste'!$B$2:$B174,"?*"))</f>
        <v/>
      </c>
      <c r="C174">
        <f>IF($A174="","",IFERROR('TMP Paste'!$M174*1,0))</f>
        <v/>
      </c>
      <c r="D174">
        <f>IF($A174="","",SUMIF($B$2:$B174,$B174,$C$2:$C174))</f>
        <v/>
      </c>
      <c r="E174">
        <f>IF($A174="",0,IF('TMP Paste'!$B174="",0,1))</f>
        <v/>
      </c>
      <c r="F174">
        <f>IF(OR($A174="",$C174&lt;1),"",$A174&amp;"-"&amp;TEXT(($D174-$C174+1),"00")&amp;IF($C174&gt;=2,", "&amp;$A174&amp;"-"&amp;TEXT(($D174-$C174+1)+1,"00"),"")&amp;IF($C174&gt;=3,", "&amp;$A174&amp;"-"&amp;TEXT(($D174-$C174+1)+2,"00"),"")&amp;IF($C174&gt;=4,", "&amp;$A174&amp;"-"&amp;TEXT(($D174-$C174+1)+3,"00"),"")&amp;IF($C174&gt;=5,", "&amp;$A174&amp;"-"&amp;TEXT(($D174-$C174+1)+4,"00"),"")&amp;IF($C174&gt;=6,", "&amp;$A174&amp;"-"&amp;TEXT(($D174-$C174+1)+5,"00"),"")&amp;IF($C174&gt;=7,", "&amp;$A174&amp;"-"&amp;TEXT(($D174-$C174+1)+6,"00"),"")&amp;IF($C174&gt;=8,", "&amp;$A174&amp;"-"&amp;TEXT(($D174-$C174+1)+7,"00"),"")&amp;IF($C174&gt;=9,", "&amp;$A174&amp;"-"&amp;TEXT(($D174-$C174+1)+8,"00"),"")&amp;IF($C174&gt;=10,", "&amp;$A174&amp;"-"&amp;TEXT(($D174-$C174+1)+9,"00"),"")&amp;IF($C174&gt;=11,", "&amp;$A174&amp;"-"&amp;TEXT(($D174-$C174+1)+10,"00"),"")&amp;IF($C174&gt;=12,", "&amp;$A174&amp;"-"&amp;TEXT(($D174-$C174+1)+11,"00"),"")&amp;IF($C174&gt;=13,", "&amp;$A174&amp;"-"&amp;TEXT(($D174-$C174+1)+12,"00"),"")&amp;IF($C174&gt;=14,", "&amp;$A174&amp;"-"&amp;TEXT(($D174-$C174+1)+13,"00"),"")&amp;IF($C174&gt;=15,", "&amp;$A174&amp;"-"&amp;TEXT(($D174-$C174+1)+14,"00"),"")&amp;IF($C174&gt;=16,", "&amp;$A174&amp;"-"&amp;TEXT(($D174-$C174+1)+15,"00"),"")&amp;IF($C174&gt;=17,", "&amp;$A174&amp;"-"&amp;TEXT(($D174-$C174+1)+16,"00"),"")&amp;IF($C174&gt;=18,", "&amp;$A174&amp;"-"&amp;TEXT(($D174-$C174+1)+17,"00"),"")&amp;IF($C174&gt;=19,", "&amp;$A174&amp;"-"&amp;TEXT(($D174-$C174+1)+18,"00"),"")&amp;IF($C174&gt;=20,", "&amp;$A174&amp;"-"&amp;TEXT(($D174-$C174+1)+19,"00"),"")&amp;IF($C174&gt;=21,", "&amp;$A174&amp;"-"&amp;TEXT(($D174-$C174+1)+20,"00"),"")&amp;IF($C174&gt;=22,", "&amp;$A174&amp;"-"&amp;TEXT(($D174-$C174+1)+21,"00"),"")&amp;IF($C174&gt;=23,", "&amp;$A174&amp;"-"&amp;TEXT(($D174-$C174+1)+22,"00"),"")&amp;IF($C174&gt;=24,", "&amp;$A174&amp;"-"&amp;TEXT(($D174-$C174+1)+23,"00"),"")&amp;IF($C174&gt;=25,", "&amp;$A174&amp;"-"&amp;TEXT(($D174-$C174+1)+24,"00"),""))</f>
        <v/>
      </c>
      <c r="G174">
        <f>IF($A174="","",IF($E174=1,$F174,IF($F174="",$G173,IF($G173="",$F174,$G173&amp;", "&amp;$F174))))</f>
        <v/>
      </c>
      <c r="H174">
        <f>IF($A174="","",$A174&amp;" ("&amp;$C174&amp;")")</f>
        <v/>
      </c>
      <c r="I174">
        <f>IF($A174="","",IF($E174=1,$H174,$I173&amp;", "&amp;$H174))</f>
        <v/>
      </c>
      <c r="J174">
        <f>IF($A174="","",IF($E174=1,$B174,""))</f>
        <v/>
      </c>
      <c r="K174">
        <f>IF($A174="","",IF(COUNTIF($B$2:$B174,$B174)=COUNTIF($B$2:$B$1601,$B174),$B174,""))</f>
        <v/>
      </c>
    </row>
    <row r="175">
      <c r="A175">
        <f>IF('TMP Paste'!$E175="","",'TMP Paste'!$E175)</f>
        <v/>
      </c>
      <c r="B175">
        <f>IF($A175="","",COUNTIF('TMP Paste'!$B$2:$B175,"?*"))</f>
        <v/>
      </c>
      <c r="C175">
        <f>IF($A175="","",IFERROR('TMP Paste'!$M175*1,0))</f>
        <v/>
      </c>
      <c r="D175">
        <f>IF($A175="","",SUMIF($B$2:$B175,$B175,$C$2:$C175))</f>
        <v/>
      </c>
      <c r="E175">
        <f>IF($A175="",0,IF('TMP Paste'!$B175="",0,1))</f>
        <v/>
      </c>
      <c r="F175">
        <f>IF(OR($A175="",$C175&lt;1),"",$A175&amp;"-"&amp;TEXT(($D175-$C175+1),"00")&amp;IF($C175&gt;=2,", "&amp;$A175&amp;"-"&amp;TEXT(($D175-$C175+1)+1,"00"),"")&amp;IF($C175&gt;=3,", "&amp;$A175&amp;"-"&amp;TEXT(($D175-$C175+1)+2,"00"),"")&amp;IF($C175&gt;=4,", "&amp;$A175&amp;"-"&amp;TEXT(($D175-$C175+1)+3,"00"),"")&amp;IF($C175&gt;=5,", "&amp;$A175&amp;"-"&amp;TEXT(($D175-$C175+1)+4,"00"),"")&amp;IF($C175&gt;=6,", "&amp;$A175&amp;"-"&amp;TEXT(($D175-$C175+1)+5,"00"),"")&amp;IF($C175&gt;=7,", "&amp;$A175&amp;"-"&amp;TEXT(($D175-$C175+1)+6,"00"),"")&amp;IF($C175&gt;=8,", "&amp;$A175&amp;"-"&amp;TEXT(($D175-$C175+1)+7,"00"),"")&amp;IF($C175&gt;=9,", "&amp;$A175&amp;"-"&amp;TEXT(($D175-$C175+1)+8,"00"),"")&amp;IF($C175&gt;=10,", "&amp;$A175&amp;"-"&amp;TEXT(($D175-$C175+1)+9,"00"),"")&amp;IF($C175&gt;=11,", "&amp;$A175&amp;"-"&amp;TEXT(($D175-$C175+1)+10,"00"),"")&amp;IF($C175&gt;=12,", "&amp;$A175&amp;"-"&amp;TEXT(($D175-$C175+1)+11,"00"),"")&amp;IF($C175&gt;=13,", "&amp;$A175&amp;"-"&amp;TEXT(($D175-$C175+1)+12,"00"),"")&amp;IF($C175&gt;=14,", "&amp;$A175&amp;"-"&amp;TEXT(($D175-$C175+1)+13,"00"),"")&amp;IF($C175&gt;=15,", "&amp;$A175&amp;"-"&amp;TEXT(($D175-$C175+1)+14,"00"),"")&amp;IF($C175&gt;=16,", "&amp;$A175&amp;"-"&amp;TEXT(($D175-$C175+1)+15,"00"),"")&amp;IF($C175&gt;=17,", "&amp;$A175&amp;"-"&amp;TEXT(($D175-$C175+1)+16,"00"),"")&amp;IF($C175&gt;=18,", "&amp;$A175&amp;"-"&amp;TEXT(($D175-$C175+1)+17,"00"),"")&amp;IF($C175&gt;=19,", "&amp;$A175&amp;"-"&amp;TEXT(($D175-$C175+1)+18,"00"),"")&amp;IF($C175&gt;=20,", "&amp;$A175&amp;"-"&amp;TEXT(($D175-$C175+1)+19,"00"),"")&amp;IF($C175&gt;=21,", "&amp;$A175&amp;"-"&amp;TEXT(($D175-$C175+1)+20,"00"),"")&amp;IF($C175&gt;=22,", "&amp;$A175&amp;"-"&amp;TEXT(($D175-$C175+1)+21,"00"),"")&amp;IF($C175&gt;=23,", "&amp;$A175&amp;"-"&amp;TEXT(($D175-$C175+1)+22,"00"),"")&amp;IF($C175&gt;=24,", "&amp;$A175&amp;"-"&amp;TEXT(($D175-$C175+1)+23,"00"),"")&amp;IF($C175&gt;=25,", "&amp;$A175&amp;"-"&amp;TEXT(($D175-$C175+1)+24,"00"),""))</f>
        <v/>
      </c>
      <c r="G175">
        <f>IF($A175="","",IF($E175=1,$F175,IF($F175="",$G174,IF($G174="",$F175,$G174&amp;", "&amp;$F175))))</f>
        <v/>
      </c>
      <c r="H175">
        <f>IF($A175="","",$A175&amp;" ("&amp;$C175&amp;")")</f>
        <v/>
      </c>
      <c r="I175">
        <f>IF($A175="","",IF($E175=1,$H175,$I174&amp;", "&amp;$H175))</f>
        <v/>
      </c>
      <c r="J175">
        <f>IF($A175="","",IF($E175=1,$B175,""))</f>
        <v/>
      </c>
      <c r="K175">
        <f>IF($A175="","",IF(COUNTIF($B$2:$B175,$B175)=COUNTIF($B$2:$B$1601,$B175),$B175,""))</f>
        <v/>
      </c>
    </row>
    <row r="176">
      <c r="A176">
        <f>IF('TMP Paste'!$E176="","",'TMP Paste'!$E176)</f>
        <v/>
      </c>
      <c r="B176">
        <f>IF($A176="","",COUNTIF('TMP Paste'!$B$2:$B176,"?*"))</f>
        <v/>
      </c>
      <c r="C176">
        <f>IF($A176="","",IFERROR('TMP Paste'!$M176*1,0))</f>
        <v/>
      </c>
      <c r="D176">
        <f>IF($A176="","",SUMIF($B$2:$B176,$B176,$C$2:$C176))</f>
        <v/>
      </c>
      <c r="E176">
        <f>IF($A176="",0,IF('TMP Paste'!$B176="",0,1))</f>
        <v/>
      </c>
      <c r="F176">
        <f>IF(OR($A176="",$C176&lt;1),"",$A176&amp;"-"&amp;TEXT(($D176-$C176+1),"00")&amp;IF($C176&gt;=2,", "&amp;$A176&amp;"-"&amp;TEXT(($D176-$C176+1)+1,"00"),"")&amp;IF($C176&gt;=3,", "&amp;$A176&amp;"-"&amp;TEXT(($D176-$C176+1)+2,"00"),"")&amp;IF($C176&gt;=4,", "&amp;$A176&amp;"-"&amp;TEXT(($D176-$C176+1)+3,"00"),"")&amp;IF($C176&gt;=5,", "&amp;$A176&amp;"-"&amp;TEXT(($D176-$C176+1)+4,"00"),"")&amp;IF($C176&gt;=6,", "&amp;$A176&amp;"-"&amp;TEXT(($D176-$C176+1)+5,"00"),"")&amp;IF($C176&gt;=7,", "&amp;$A176&amp;"-"&amp;TEXT(($D176-$C176+1)+6,"00"),"")&amp;IF($C176&gt;=8,", "&amp;$A176&amp;"-"&amp;TEXT(($D176-$C176+1)+7,"00"),"")&amp;IF($C176&gt;=9,", "&amp;$A176&amp;"-"&amp;TEXT(($D176-$C176+1)+8,"00"),"")&amp;IF($C176&gt;=10,", "&amp;$A176&amp;"-"&amp;TEXT(($D176-$C176+1)+9,"00"),"")&amp;IF($C176&gt;=11,", "&amp;$A176&amp;"-"&amp;TEXT(($D176-$C176+1)+10,"00"),"")&amp;IF($C176&gt;=12,", "&amp;$A176&amp;"-"&amp;TEXT(($D176-$C176+1)+11,"00"),"")&amp;IF($C176&gt;=13,", "&amp;$A176&amp;"-"&amp;TEXT(($D176-$C176+1)+12,"00"),"")&amp;IF($C176&gt;=14,", "&amp;$A176&amp;"-"&amp;TEXT(($D176-$C176+1)+13,"00"),"")&amp;IF($C176&gt;=15,", "&amp;$A176&amp;"-"&amp;TEXT(($D176-$C176+1)+14,"00"),"")&amp;IF($C176&gt;=16,", "&amp;$A176&amp;"-"&amp;TEXT(($D176-$C176+1)+15,"00"),"")&amp;IF($C176&gt;=17,", "&amp;$A176&amp;"-"&amp;TEXT(($D176-$C176+1)+16,"00"),"")&amp;IF($C176&gt;=18,", "&amp;$A176&amp;"-"&amp;TEXT(($D176-$C176+1)+17,"00"),"")&amp;IF($C176&gt;=19,", "&amp;$A176&amp;"-"&amp;TEXT(($D176-$C176+1)+18,"00"),"")&amp;IF($C176&gt;=20,", "&amp;$A176&amp;"-"&amp;TEXT(($D176-$C176+1)+19,"00"),"")&amp;IF($C176&gt;=21,", "&amp;$A176&amp;"-"&amp;TEXT(($D176-$C176+1)+20,"00"),"")&amp;IF($C176&gt;=22,", "&amp;$A176&amp;"-"&amp;TEXT(($D176-$C176+1)+21,"00"),"")&amp;IF($C176&gt;=23,", "&amp;$A176&amp;"-"&amp;TEXT(($D176-$C176+1)+22,"00"),"")&amp;IF($C176&gt;=24,", "&amp;$A176&amp;"-"&amp;TEXT(($D176-$C176+1)+23,"00"),"")&amp;IF($C176&gt;=25,", "&amp;$A176&amp;"-"&amp;TEXT(($D176-$C176+1)+24,"00"),""))</f>
        <v/>
      </c>
      <c r="G176">
        <f>IF($A176="","",IF($E176=1,$F176,IF($F176="",$G175,IF($G175="",$F176,$G175&amp;", "&amp;$F176))))</f>
        <v/>
      </c>
      <c r="H176">
        <f>IF($A176="","",$A176&amp;" ("&amp;$C176&amp;")")</f>
        <v/>
      </c>
      <c r="I176">
        <f>IF($A176="","",IF($E176=1,$H176,$I175&amp;", "&amp;$H176))</f>
        <v/>
      </c>
      <c r="J176">
        <f>IF($A176="","",IF($E176=1,$B176,""))</f>
        <v/>
      </c>
      <c r="K176">
        <f>IF($A176="","",IF(COUNTIF($B$2:$B176,$B176)=COUNTIF($B$2:$B$1601,$B176),$B176,""))</f>
        <v/>
      </c>
    </row>
    <row r="177">
      <c r="A177">
        <f>IF('TMP Paste'!$E177="","",'TMP Paste'!$E177)</f>
        <v/>
      </c>
      <c r="B177">
        <f>IF($A177="","",COUNTIF('TMP Paste'!$B$2:$B177,"?*"))</f>
        <v/>
      </c>
      <c r="C177">
        <f>IF($A177="","",IFERROR('TMP Paste'!$M177*1,0))</f>
        <v/>
      </c>
      <c r="D177">
        <f>IF($A177="","",SUMIF($B$2:$B177,$B177,$C$2:$C177))</f>
        <v/>
      </c>
      <c r="E177">
        <f>IF($A177="",0,IF('TMP Paste'!$B177="",0,1))</f>
        <v/>
      </c>
      <c r="F177">
        <f>IF(OR($A177="",$C177&lt;1),"",$A177&amp;"-"&amp;TEXT(($D177-$C177+1),"00")&amp;IF($C177&gt;=2,", "&amp;$A177&amp;"-"&amp;TEXT(($D177-$C177+1)+1,"00"),"")&amp;IF($C177&gt;=3,", "&amp;$A177&amp;"-"&amp;TEXT(($D177-$C177+1)+2,"00"),"")&amp;IF($C177&gt;=4,", "&amp;$A177&amp;"-"&amp;TEXT(($D177-$C177+1)+3,"00"),"")&amp;IF($C177&gt;=5,", "&amp;$A177&amp;"-"&amp;TEXT(($D177-$C177+1)+4,"00"),"")&amp;IF($C177&gt;=6,", "&amp;$A177&amp;"-"&amp;TEXT(($D177-$C177+1)+5,"00"),"")&amp;IF($C177&gt;=7,", "&amp;$A177&amp;"-"&amp;TEXT(($D177-$C177+1)+6,"00"),"")&amp;IF($C177&gt;=8,", "&amp;$A177&amp;"-"&amp;TEXT(($D177-$C177+1)+7,"00"),"")&amp;IF($C177&gt;=9,", "&amp;$A177&amp;"-"&amp;TEXT(($D177-$C177+1)+8,"00"),"")&amp;IF($C177&gt;=10,", "&amp;$A177&amp;"-"&amp;TEXT(($D177-$C177+1)+9,"00"),"")&amp;IF($C177&gt;=11,", "&amp;$A177&amp;"-"&amp;TEXT(($D177-$C177+1)+10,"00"),"")&amp;IF($C177&gt;=12,", "&amp;$A177&amp;"-"&amp;TEXT(($D177-$C177+1)+11,"00"),"")&amp;IF($C177&gt;=13,", "&amp;$A177&amp;"-"&amp;TEXT(($D177-$C177+1)+12,"00"),"")&amp;IF($C177&gt;=14,", "&amp;$A177&amp;"-"&amp;TEXT(($D177-$C177+1)+13,"00"),"")&amp;IF($C177&gt;=15,", "&amp;$A177&amp;"-"&amp;TEXT(($D177-$C177+1)+14,"00"),"")&amp;IF($C177&gt;=16,", "&amp;$A177&amp;"-"&amp;TEXT(($D177-$C177+1)+15,"00"),"")&amp;IF($C177&gt;=17,", "&amp;$A177&amp;"-"&amp;TEXT(($D177-$C177+1)+16,"00"),"")&amp;IF($C177&gt;=18,", "&amp;$A177&amp;"-"&amp;TEXT(($D177-$C177+1)+17,"00"),"")&amp;IF($C177&gt;=19,", "&amp;$A177&amp;"-"&amp;TEXT(($D177-$C177+1)+18,"00"),"")&amp;IF($C177&gt;=20,", "&amp;$A177&amp;"-"&amp;TEXT(($D177-$C177+1)+19,"00"),"")&amp;IF($C177&gt;=21,", "&amp;$A177&amp;"-"&amp;TEXT(($D177-$C177+1)+20,"00"),"")&amp;IF($C177&gt;=22,", "&amp;$A177&amp;"-"&amp;TEXT(($D177-$C177+1)+21,"00"),"")&amp;IF($C177&gt;=23,", "&amp;$A177&amp;"-"&amp;TEXT(($D177-$C177+1)+22,"00"),"")&amp;IF($C177&gt;=24,", "&amp;$A177&amp;"-"&amp;TEXT(($D177-$C177+1)+23,"00"),"")&amp;IF($C177&gt;=25,", "&amp;$A177&amp;"-"&amp;TEXT(($D177-$C177+1)+24,"00"),""))</f>
        <v/>
      </c>
      <c r="G177">
        <f>IF($A177="","",IF($E177=1,$F177,IF($F177="",$G176,IF($G176="",$F177,$G176&amp;", "&amp;$F177))))</f>
        <v/>
      </c>
      <c r="H177">
        <f>IF($A177="","",$A177&amp;" ("&amp;$C177&amp;")")</f>
        <v/>
      </c>
      <c r="I177">
        <f>IF($A177="","",IF($E177=1,$H177,$I176&amp;", "&amp;$H177))</f>
        <v/>
      </c>
      <c r="J177">
        <f>IF($A177="","",IF($E177=1,$B177,""))</f>
        <v/>
      </c>
      <c r="K177">
        <f>IF($A177="","",IF(COUNTIF($B$2:$B177,$B177)=COUNTIF($B$2:$B$1601,$B177),$B177,""))</f>
        <v/>
      </c>
    </row>
    <row r="178">
      <c r="A178">
        <f>IF('TMP Paste'!$E178="","",'TMP Paste'!$E178)</f>
        <v/>
      </c>
      <c r="B178">
        <f>IF($A178="","",COUNTIF('TMP Paste'!$B$2:$B178,"?*"))</f>
        <v/>
      </c>
      <c r="C178">
        <f>IF($A178="","",IFERROR('TMP Paste'!$M178*1,0))</f>
        <v/>
      </c>
      <c r="D178">
        <f>IF($A178="","",SUMIF($B$2:$B178,$B178,$C$2:$C178))</f>
        <v/>
      </c>
      <c r="E178">
        <f>IF($A178="",0,IF('TMP Paste'!$B178="",0,1))</f>
        <v/>
      </c>
      <c r="F178">
        <f>IF(OR($A178="",$C178&lt;1),"",$A178&amp;"-"&amp;TEXT(($D178-$C178+1),"00")&amp;IF($C178&gt;=2,", "&amp;$A178&amp;"-"&amp;TEXT(($D178-$C178+1)+1,"00"),"")&amp;IF($C178&gt;=3,", "&amp;$A178&amp;"-"&amp;TEXT(($D178-$C178+1)+2,"00"),"")&amp;IF($C178&gt;=4,", "&amp;$A178&amp;"-"&amp;TEXT(($D178-$C178+1)+3,"00"),"")&amp;IF($C178&gt;=5,", "&amp;$A178&amp;"-"&amp;TEXT(($D178-$C178+1)+4,"00"),"")&amp;IF($C178&gt;=6,", "&amp;$A178&amp;"-"&amp;TEXT(($D178-$C178+1)+5,"00"),"")&amp;IF($C178&gt;=7,", "&amp;$A178&amp;"-"&amp;TEXT(($D178-$C178+1)+6,"00"),"")&amp;IF($C178&gt;=8,", "&amp;$A178&amp;"-"&amp;TEXT(($D178-$C178+1)+7,"00"),"")&amp;IF($C178&gt;=9,", "&amp;$A178&amp;"-"&amp;TEXT(($D178-$C178+1)+8,"00"),"")&amp;IF($C178&gt;=10,", "&amp;$A178&amp;"-"&amp;TEXT(($D178-$C178+1)+9,"00"),"")&amp;IF($C178&gt;=11,", "&amp;$A178&amp;"-"&amp;TEXT(($D178-$C178+1)+10,"00"),"")&amp;IF($C178&gt;=12,", "&amp;$A178&amp;"-"&amp;TEXT(($D178-$C178+1)+11,"00"),"")&amp;IF($C178&gt;=13,", "&amp;$A178&amp;"-"&amp;TEXT(($D178-$C178+1)+12,"00"),"")&amp;IF($C178&gt;=14,", "&amp;$A178&amp;"-"&amp;TEXT(($D178-$C178+1)+13,"00"),"")&amp;IF($C178&gt;=15,", "&amp;$A178&amp;"-"&amp;TEXT(($D178-$C178+1)+14,"00"),"")&amp;IF($C178&gt;=16,", "&amp;$A178&amp;"-"&amp;TEXT(($D178-$C178+1)+15,"00"),"")&amp;IF($C178&gt;=17,", "&amp;$A178&amp;"-"&amp;TEXT(($D178-$C178+1)+16,"00"),"")&amp;IF($C178&gt;=18,", "&amp;$A178&amp;"-"&amp;TEXT(($D178-$C178+1)+17,"00"),"")&amp;IF($C178&gt;=19,", "&amp;$A178&amp;"-"&amp;TEXT(($D178-$C178+1)+18,"00"),"")&amp;IF($C178&gt;=20,", "&amp;$A178&amp;"-"&amp;TEXT(($D178-$C178+1)+19,"00"),"")&amp;IF($C178&gt;=21,", "&amp;$A178&amp;"-"&amp;TEXT(($D178-$C178+1)+20,"00"),"")&amp;IF($C178&gt;=22,", "&amp;$A178&amp;"-"&amp;TEXT(($D178-$C178+1)+21,"00"),"")&amp;IF($C178&gt;=23,", "&amp;$A178&amp;"-"&amp;TEXT(($D178-$C178+1)+22,"00"),"")&amp;IF($C178&gt;=24,", "&amp;$A178&amp;"-"&amp;TEXT(($D178-$C178+1)+23,"00"),"")&amp;IF($C178&gt;=25,", "&amp;$A178&amp;"-"&amp;TEXT(($D178-$C178+1)+24,"00"),""))</f>
        <v/>
      </c>
      <c r="G178">
        <f>IF($A178="","",IF($E178=1,$F178,IF($F178="",$G177,IF($G177="",$F178,$G177&amp;", "&amp;$F178))))</f>
        <v/>
      </c>
      <c r="H178">
        <f>IF($A178="","",$A178&amp;" ("&amp;$C178&amp;")")</f>
        <v/>
      </c>
      <c r="I178">
        <f>IF($A178="","",IF($E178=1,$H178,$I177&amp;", "&amp;$H178))</f>
        <v/>
      </c>
      <c r="J178">
        <f>IF($A178="","",IF($E178=1,$B178,""))</f>
        <v/>
      </c>
      <c r="K178">
        <f>IF($A178="","",IF(COUNTIF($B$2:$B178,$B178)=COUNTIF($B$2:$B$1601,$B178),$B178,""))</f>
        <v/>
      </c>
    </row>
    <row r="179">
      <c r="A179">
        <f>IF('TMP Paste'!$E179="","",'TMP Paste'!$E179)</f>
        <v/>
      </c>
      <c r="B179">
        <f>IF($A179="","",COUNTIF('TMP Paste'!$B$2:$B179,"?*"))</f>
        <v/>
      </c>
      <c r="C179">
        <f>IF($A179="","",IFERROR('TMP Paste'!$M179*1,0))</f>
        <v/>
      </c>
      <c r="D179">
        <f>IF($A179="","",SUMIF($B$2:$B179,$B179,$C$2:$C179))</f>
        <v/>
      </c>
      <c r="E179">
        <f>IF($A179="",0,IF('TMP Paste'!$B179="",0,1))</f>
        <v/>
      </c>
      <c r="F179">
        <f>IF(OR($A179="",$C179&lt;1),"",$A179&amp;"-"&amp;TEXT(($D179-$C179+1),"00")&amp;IF($C179&gt;=2,", "&amp;$A179&amp;"-"&amp;TEXT(($D179-$C179+1)+1,"00"),"")&amp;IF($C179&gt;=3,", "&amp;$A179&amp;"-"&amp;TEXT(($D179-$C179+1)+2,"00"),"")&amp;IF($C179&gt;=4,", "&amp;$A179&amp;"-"&amp;TEXT(($D179-$C179+1)+3,"00"),"")&amp;IF($C179&gt;=5,", "&amp;$A179&amp;"-"&amp;TEXT(($D179-$C179+1)+4,"00"),"")&amp;IF($C179&gt;=6,", "&amp;$A179&amp;"-"&amp;TEXT(($D179-$C179+1)+5,"00"),"")&amp;IF($C179&gt;=7,", "&amp;$A179&amp;"-"&amp;TEXT(($D179-$C179+1)+6,"00"),"")&amp;IF($C179&gt;=8,", "&amp;$A179&amp;"-"&amp;TEXT(($D179-$C179+1)+7,"00"),"")&amp;IF($C179&gt;=9,", "&amp;$A179&amp;"-"&amp;TEXT(($D179-$C179+1)+8,"00"),"")&amp;IF($C179&gt;=10,", "&amp;$A179&amp;"-"&amp;TEXT(($D179-$C179+1)+9,"00"),"")&amp;IF($C179&gt;=11,", "&amp;$A179&amp;"-"&amp;TEXT(($D179-$C179+1)+10,"00"),"")&amp;IF($C179&gt;=12,", "&amp;$A179&amp;"-"&amp;TEXT(($D179-$C179+1)+11,"00"),"")&amp;IF($C179&gt;=13,", "&amp;$A179&amp;"-"&amp;TEXT(($D179-$C179+1)+12,"00"),"")&amp;IF($C179&gt;=14,", "&amp;$A179&amp;"-"&amp;TEXT(($D179-$C179+1)+13,"00"),"")&amp;IF($C179&gt;=15,", "&amp;$A179&amp;"-"&amp;TEXT(($D179-$C179+1)+14,"00"),"")&amp;IF($C179&gt;=16,", "&amp;$A179&amp;"-"&amp;TEXT(($D179-$C179+1)+15,"00"),"")&amp;IF($C179&gt;=17,", "&amp;$A179&amp;"-"&amp;TEXT(($D179-$C179+1)+16,"00"),"")&amp;IF($C179&gt;=18,", "&amp;$A179&amp;"-"&amp;TEXT(($D179-$C179+1)+17,"00"),"")&amp;IF($C179&gt;=19,", "&amp;$A179&amp;"-"&amp;TEXT(($D179-$C179+1)+18,"00"),"")&amp;IF($C179&gt;=20,", "&amp;$A179&amp;"-"&amp;TEXT(($D179-$C179+1)+19,"00"),"")&amp;IF($C179&gt;=21,", "&amp;$A179&amp;"-"&amp;TEXT(($D179-$C179+1)+20,"00"),"")&amp;IF($C179&gt;=22,", "&amp;$A179&amp;"-"&amp;TEXT(($D179-$C179+1)+21,"00"),"")&amp;IF($C179&gt;=23,", "&amp;$A179&amp;"-"&amp;TEXT(($D179-$C179+1)+22,"00"),"")&amp;IF($C179&gt;=24,", "&amp;$A179&amp;"-"&amp;TEXT(($D179-$C179+1)+23,"00"),"")&amp;IF($C179&gt;=25,", "&amp;$A179&amp;"-"&amp;TEXT(($D179-$C179+1)+24,"00"),""))</f>
        <v/>
      </c>
      <c r="G179">
        <f>IF($A179="","",IF($E179=1,$F179,IF($F179="",$G178,IF($G178="",$F179,$G178&amp;", "&amp;$F179))))</f>
        <v/>
      </c>
      <c r="H179">
        <f>IF($A179="","",$A179&amp;" ("&amp;$C179&amp;")")</f>
        <v/>
      </c>
      <c r="I179">
        <f>IF($A179="","",IF($E179=1,$H179,$I178&amp;", "&amp;$H179))</f>
        <v/>
      </c>
      <c r="J179">
        <f>IF($A179="","",IF($E179=1,$B179,""))</f>
        <v/>
      </c>
      <c r="K179">
        <f>IF($A179="","",IF(COUNTIF($B$2:$B179,$B179)=COUNTIF($B$2:$B$1601,$B179),$B179,""))</f>
        <v/>
      </c>
    </row>
    <row r="180">
      <c r="A180">
        <f>IF('TMP Paste'!$E180="","",'TMP Paste'!$E180)</f>
        <v/>
      </c>
      <c r="B180">
        <f>IF($A180="","",COUNTIF('TMP Paste'!$B$2:$B180,"?*"))</f>
        <v/>
      </c>
      <c r="C180">
        <f>IF($A180="","",IFERROR('TMP Paste'!$M180*1,0))</f>
        <v/>
      </c>
      <c r="D180">
        <f>IF($A180="","",SUMIF($B$2:$B180,$B180,$C$2:$C180))</f>
        <v/>
      </c>
      <c r="E180">
        <f>IF($A180="",0,IF('TMP Paste'!$B180="",0,1))</f>
        <v/>
      </c>
      <c r="F180">
        <f>IF(OR($A180="",$C180&lt;1),"",$A180&amp;"-"&amp;TEXT(($D180-$C180+1),"00")&amp;IF($C180&gt;=2,", "&amp;$A180&amp;"-"&amp;TEXT(($D180-$C180+1)+1,"00"),"")&amp;IF($C180&gt;=3,", "&amp;$A180&amp;"-"&amp;TEXT(($D180-$C180+1)+2,"00"),"")&amp;IF($C180&gt;=4,", "&amp;$A180&amp;"-"&amp;TEXT(($D180-$C180+1)+3,"00"),"")&amp;IF($C180&gt;=5,", "&amp;$A180&amp;"-"&amp;TEXT(($D180-$C180+1)+4,"00"),"")&amp;IF($C180&gt;=6,", "&amp;$A180&amp;"-"&amp;TEXT(($D180-$C180+1)+5,"00"),"")&amp;IF($C180&gt;=7,", "&amp;$A180&amp;"-"&amp;TEXT(($D180-$C180+1)+6,"00"),"")&amp;IF($C180&gt;=8,", "&amp;$A180&amp;"-"&amp;TEXT(($D180-$C180+1)+7,"00"),"")&amp;IF($C180&gt;=9,", "&amp;$A180&amp;"-"&amp;TEXT(($D180-$C180+1)+8,"00"),"")&amp;IF($C180&gt;=10,", "&amp;$A180&amp;"-"&amp;TEXT(($D180-$C180+1)+9,"00"),"")&amp;IF($C180&gt;=11,", "&amp;$A180&amp;"-"&amp;TEXT(($D180-$C180+1)+10,"00"),"")&amp;IF($C180&gt;=12,", "&amp;$A180&amp;"-"&amp;TEXT(($D180-$C180+1)+11,"00"),"")&amp;IF($C180&gt;=13,", "&amp;$A180&amp;"-"&amp;TEXT(($D180-$C180+1)+12,"00"),"")&amp;IF($C180&gt;=14,", "&amp;$A180&amp;"-"&amp;TEXT(($D180-$C180+1)+13,"00"),"")&amp;IF($C180&gt;=15,", "&amp;$A180&amp;"-"&amp;TEXT(($D180-$C180+1)+14,"00"),"")&amp;IF($C180&gt;=16,", "&amp;$A180&amp;"-"&amp;TEXT(($D180-$C180+1)+15,"00"),"")&amp;IF($C180&gt;=17,", "&amp;$A180&amp;"-"&amp;TEXT(($D180-$C180+1)+16,"00"),"")&amp;IF($C180&gt;=18,", "&amp;$A180&amp;"-"&amp;TEXT(($D180-$C180+1)+17,"00"),"")&amp;IF($C180&gt;=19,", "&amp;$A180&amp;"-"&amp;TEXT(($D180-$C180+1)+18,"00"),"")&amp;IF($C180&gt;=20,", "&amp;$A180&amp;"-"&amp;TEXT(($D180-$C180+1)+19,"00"),"")&amp;IF($C180&gt;=21,", "&amp;$A180&amp;"-"&amp;TEXT(($D180-$C180+1)+20,"00"),"")&amp;IF($C180&gt;=22,", "&amp;$A180&amp;"-"&amp;TEXT(($D180-$C180+1)+21,"00"),"")&amp;IF($C180&gt;=23,", "&amp;$A180&amp;"-"&amp;TEXT(($D180-$C180+1)+22,"00"),"")&amp;IF($C180&gt;=24,", "&amp;$A180&amp;"-"&amp;TEXT(($D180-$C180+1)+23,"00"),"")&amp;IF($C180&gt;=25,", "&amp;$A180&amp;"-"&amp;TEXT(($D180-$C180+1)+24,"00"),""))</f>
        <v/>
      </c>
      <c r="G180">
        <f>IF($A180="","",IF($E180=1,$F180,IF($F180="",$G179,IF($G179="",$F180,$G179&amp;", "&amp;$F180))))</f>
        <v/>
      </c>
      <c r="H180">
        <f>IF($A180="","",$A180&amp;" ("&amp;$C180&amp;")")</f>
        <v/>
      </c>
      <c r="I180">
        <f>IF($A180="","",IF($E180=1,$H180,$I179&amp;", "&amp;$H180))</f>
        <v/>
      </c>
      <c r="J180">
        <f>IF($A180="","",IF($E180=1,$B180,""))</f>
        <v/>
      </c>
      <c r="K180">
        <f>IF($A180="","",IF(COUNTIF($B$2:$B180,$B180)=COUNTIF($B$2:$B$1601,$B180),$B180,""))</f>
        <v/>
      </c>
    </row>
    <row r="181">
      <c r="A181">
        <f>IF('TMP Paste'!$E181="","",'TMP Paste'!$E181)</f>
        <v/>
      </c>
      <c r="B181">
        <f>IF($A181="","",COUNTIF('TMP Paste'!$B$2:$B181,"?*"))</f>
        <v/>
      </c>
      <c r="C181">
        <f>IF($A181="","",IFERROR('TMP Paste'!$M181*1,0))</f>
        <v/>
      </c>
      <c r="D181">
        <f>IF($A181="","",SUMIF($B$2:$B181,$B181,$C$2:$C181))</f>
        <v/>
      </c>
      <c r="E181">
        <f>IF($A181="",0,IF('TMP Paste'!$B181="",0,1))</f>
        <v/>
      </c>
      <c r="F181">
        <f>IF(OR($A181="",$C181&lt;1),"",$A181&amp;"-"&amp;TEXT(($D181-$C181+1),"00")&amp;IF($C181&gt;=2,", "&amp;$A181&amp;"-"&amp;TEXT(($D181-$C181+1)+1,"00"),"")&amp;IF($C181&gt;=3,", "&amp;$A181&amp;"-"&amp;TEXT(($D181-$C181+1)+2,"00"),"")&amp;IF($C181&gt;=4,", "&amp;$A181&amp;"-"&amp;TEXT(($D181-$C181+1)+3,"00"),"")&amp;IF($C181&gt;=5,", "&amp;$A181&amp;"-"&amp;TEXT(($D181-$C181+1)+4,"00"),"")&amp;IF($C181&gt;=6,", "&amp;$A181&amp;"-"&amp;TEXT(($D181-$C181+1)+5,"00"),"")&amp;IF($C181&gt;=7,", "&amp;$A181&amp;"-"&amp;TEXT(($D181-$C181+1)+6,"00"),"")&amp;IF($C181&gt;=8,", "&amp;$A181&amp;"-"&amp;TEXT(($D181-$C181+1)+7,"00"),"")&amp;IF($C181&gt;=9,", "&amp;$A181&amp;"-"&amp;TEXT(($D181-$C181+1)+8,"00"),"")&amp;IF($C181&gt;=10,", "&amp;$A181&amp;"-"&amp;TEXT(($D181-$C181+1)+9,"00"),"")&amp;IF($C181&gt;=11,", "&amp;$A181&amp;"-"&amp;TEXT(($D181-$C181+1)+10,"00"),"")&amp;IF($C181&gt;=12,", "&amp;$A181&amp;"-"&amp;TEXT(($D181-$C181+1)+11,"00"),"")&amp;IF($C181&gt;=13,", "&amp;$A181&amp;"-"&amp;TEXT(($D181-$C181+1)+12,"00"),"")&amp;IF($C181&gt;=14,", "&amp;$A181&amp;"-"&amp;TEXT(($D181-$C181+1)+13,"00"),"")&amp;IF($C181&gt;=15,", "&amp;$A181&amp;"-"&amp;TEXT(($D181-$C181+1)+14,"00"),"")&amp;IF($C181&gt;=16,", "&amp;$A181&amp;"-"&amp;TEXT(($D181-$C181+1)+15,"00"),"")&amp;IF($C181&gt;=17,", "&amp;$A181&amp;"-"&amp;TEXT(($D181-$C181+1)+16,"00"),"")&amp;IF($C181&gt;=18,", "&amp;$A181&amp;"-"&amp;TEXT(($D181-$C181+1)+17,"00"),"")&amp;IF($C181&gt;=19,", "&amp;$A181&amp;"-"&amp;TEXT(($D181-$C181+1)+18,"00"),"")&amp;IF($C181&gt;=20,", "&amp;$A181&amp;"-"&amp;TEXT(($D181-$C181+1)+19,"00"),"")&amp;IF($C181&gt;=21,", "&amp;$A181&amp;"-"&amp;TEXT(($D181-$C181+1)+20,"00"),"")&amp;IF($C181&gt;=22,", "&amp;$A181&amp;"-"&amp;TEXT(($D181-$C181+1)+21,"00"),"")&amp;IF($C181&gt;=23,", "&amp;$A181&amp;"-"&amp;TEXT(($D181-$C181+1)+22,"00"),"")&amp;IF($C181&gt;=24,", "&amp;$A181&amp;"-"&amp;TEXT(($D181-$C181+1)+23,"00"),"")&amp;IF($C181&gt;=25,", "&amp;$A181&amp;"-"&amp;TEXT(($D181-$C181+1)+24,"00"),""))</f>
        <v/>
      </c>
      <c r="G181">
        <f>IF($A181="","",IF($E181=1,$F181,IF($F181="",$G180,IF($G180="",$F181,$G180&amp;", "&amp;$F181))))</f>
        <v/>
      </c>
      <c r="H181">
        <f>IF($A181="","",$A181&amp;" ("&amp;$C181&amp;")")</f>
        <v/>
      </c>
      <c r="I181">
        <f>IF($A181="","",IF($E181=1,$H181,$I180&amp;", "&amp;$H181))</f>
        <v/>
      </c>
      <c r="J181">
        <f>IF($A181="","",IF($E181=1,$B181,""))</f>
        <v/>
      </c>
      <c r="K181">
        <f>IF($A181="","",IF(COUNTIF($B$2:$B181,$B181)=COUNTIF($B$2:$B$1601,$B181),$B181,""))</f>
        <v/>
      </c>
    </row>
    <row r="182">
      <c r="A182">
        <f>IF('TMP Paste'!$E182="","",'TMP Paste'!$E182)</f>
        <v/>
      </c>
      <c r="B182">
        <f>IF($A182="","",COUNTIF('TMP Paste'!$B$2:$B182,"?*"))</f>
        <v/>
      </c>
      <c r="C182">
        <f>IF($A182="","",IFERROR('TMP Paste'!$M182*1,0))</f>
        <v/>
      </c>
      <c r="D182">
        <f>IF($A182="","",SUMIF($B$2:$B182,$B182,$C$2:$C182))</f>
        <v/>
      </c>
      <c r="E182">
        <f>IF($A182="",0,IF('TMP Paste'!$B182="",0,1))</f>
        <v/>
      </c>
      <c r="F182">
        <f>IF(OR($A182="",$C182&lt;1),"",$A182&amp;"-"&amp;TEXT(($D182-$C182+1),"00")&amp;IF($C182&gt;=2,", "&amp;$A182&amp;"-"&amp;TEXT(($D182-$C182+1)+1,"00"),"")&amp;IF($C182&gt;=3,", "&amp;$A182&amp;"-"&amp;TEXT(($D182-$C182+1)+2,"00"),"")&amp;IF($C182&gt;=4,", "&amp;$A182&amp;"-"&amp;TEXT(($D182-$C182+1)+3,"00"),"")&amp;IF($C182&gt;=5,", "&amp;$A182&amp;"-"&amp;TEXT(($D182-$C182+1)+4,"00"),"")&amp;IF($C182&gt;=6,", "&amp;$A182&amp;"-"&amp;TEXT(($D182-$C182+1)+5,"00"),"")&amp;IF($C182&gt;=7,", "&amp;$A182&amp;"-"&amp;TEXT(($D182-$C182+1)+6,"00"),"")&amp;IF($C182&gt;=8,", "&amp;$A182&amp;"-"&amp;TEXT(($D182-$C182+1)+7,"00"),"")&amp;IF($C182&gt;=9,", "&amp;$A182&amp;"-"&amp;TEXT(($D182-$C182+1)+8,"00"),"")&amp;IF($C182&gt;=10,", "&amp;$A182&amp;"-"&amp;TEXT(($D182-$C182+1)+9,"00"),"")&amp;IF($C182&gt;=11,", "&amp;$A182&amp;"-"&amp;TEXT(($D182-$C182+1)+10,"00"),"")&amp;IF($C182&gt;=12,", "&amp;$A182&amp;"-"&amp;TEXT(($D182-$C182+1)+11,"00"),"")&amp;IF($C182&gt;=13,", "&amp;$A182&amp;"-"&amp;TEXT(($D182-$C182+1)+12,"00"),"")&amp;IF($C182&gt;=14,", "&amp;$A182&amp;"-"&amp;TEXT(($D182-$C182+1)+13,"00"),"")&amp;IF($C182&gt;=15,", "&amp;$A182&amp;"-"&amp;TEXT(($D182-$C182+1)+14,"00"),"")&amp;IF($C182&gt;=16,", "&amp;$A182&amp;"-"&amp;TEXT(($D182-$C182+1)+15,"00"),"")&amp;IF($C182&gt;=17,", "&amp;$A182&amp;"-"&amp;TEXT(($D182-$C182+1)+16,"00"),"")&amp;IF($C182&gt;=18,", "&amp;$A182&amp;"-"&amp;TEXT(($D182-$C182+1)+17,"00"),"")&amp;IF($C182&gt;=19,", "&amp;$A182&amp;"-"&amp;TEXT(($D182-$C182+1)+18,"00"),"")&amp;IF($C182&gt;=20,", "&amp;$A182&amp;"-"&amp;TEXT(($D182-$C182+1)+19,"00"),"")&amp;IF($C182&gt;=21,", "&amp;$A182&amp;"-"&amp;TEXT(($D182-$C182+1)+20,"00"),"")&amp;IF($C182&gt;=22,", "&amp;$A182&amp;"-"&amp;TEXT(($D182-$C182+1)+21,"00"),"")&amp;IF($C182&gt;=23,", "&amp;$A182&amp;"-"&amp;TEXT(($D182-$C182+1)+22,"00"),"")&amp;IF($C182&gt;=24,", "&amp;$A182&amp;"-"&amp;TEXT(($D182-$C182+1)+23,"00"),"")&amp;IF($C182&gt;=25,", "&amp;$A182&amp;"-"&amp;TEXT(($D182-$C182+1)+24,"00"),""))</f>
        <v/>
      </c>
      <c r="G182">
        <f>IF($A182="","",IF($E182=1,$F182,IF($F182="",$G181,IF($G181="",$F182,$G181&amp;", "&amp;$F182))))</f>
        <v/>
      </c>
      <c r="H182">
        <f>IF($A182="","",$A182&amp;" ("&amp;$C182&amp;")")</f>
        <v/>
      </c>
      <c r="I182">
        <f>IF($A182="","",IF($E182=1,$H182,$I181&amp;", "&amp;$H182))</f>
        <v/>
      </c>
      <c r="J182">
        <f>IF($A182="","",IF($E182=1,$B182,""))</f>
        <v/>
      </c>
      <c r="K182">
        <f>IF($A182="","",IF(COUNTIF($B$2:$B182,$B182)=COUNTIF($B$2:$B$1601,$B182),$B182,""))</f>
        <v/>
      </c>
    </row>
    <row r="183">
      <c r="A183">
        <f>IF('TMP Paste'!$E183="","",'TMP Paste'!$E183)</f>
        <v/>
      </c>
      <c r="B183">
        <f>IF($A183="","",COUNTIF('TMP Paste'!$B$2:$B183,"?*"))</f>
        <v/>
      </c>
      <c r="C183">
        <f>IF($A183="","",IFERROR('TMP Paste'!$M183*1,0))</f>
        <v/>
      </c>
      <c r="D183">
        <f>IF($A183="","",SUMIF($B$2:$B183,$B183,$C$2:$C183))</f>
        <v/>
      </c>
      <c r="E183">
        <f>IF($A183="",0,IF('TMP Paste'!$B183="",0,1))</f>
        <v/>
      </c>
      <c r="F183">
        <f>IF(OR($A183="",$C183&lt;1),"",$A183&amp;"-"&amp;TEXT(($D183-$C183+1),"00")&amp;IF($C183&gt;=2,", "&amp;$A183&amp;"-"&amp;TEXT(($D183-$C183+1)+1,"00"),"")&amp;IF($C183&gt;=3,", "&amp;$A183&amp;"-"&amp;TEXT(($D183-$C183+1)+2,"00"),"")&amp;IF($C183&gt;=4,", "&amp;$A183&amp;"-"&amp;TEXT(($D183-$C183+1)+3,"00"),"")&amp;IF($C183&gt;=5,", "&amp;$A183&amp;"-"&amp;TEXT(($D183-$C183+1)+4,"00"),"")&amp;IF($C183&gt;=6,", "&amp;$A183&amp;"-"&amp;TEXT(($D183-$C183+1)+5,"00"),"")&amp;IF($C183&gt;=7,", "&amp;$A183&amp;"-"&amp;TEXT(($D183-$C183+1)+6,"00"),"")&amp;IF($C183&gt;=8,", "&amp;$A183&amp;"-"&amp;TEXT(($D183-$C183+1)+7,"00"),"")&amp;IF($C183&gt;=9,", "&amp;$A183&amp;"-"&amp;TEXT(($D183-$C183+1)+8,"00"),"")&amp;IF($C183&gt;=10,", "&amp;$A183&amp;"-"&amp;TEXT(($D183-$C183+1)+9,"00"),"")&amp;IF($C183&gt;=11,", "&amp;$A183&amp;"-"&amp;TEXT(($D183-$C183+1)+10,"00"),"")&amp;IF($C183&gt;=12,", "&amp;$A183&amp;"-"&amp;TEXT(($D183-$C183+1)+11,"00"),"")&amp;IF($C183&gt;=13,", "&amp;$A183&amp;"-"&amp;TEXT(($D183-$C183+1)+12,"00"),"")&amp;IF($C183&gt;=14,", "&amp;$A183&amp;"-"&amp;TEXT(($D183-$C183+1)+13,"00"),"")&amp;IF($C183&gt;=15,", "&amp;$A183&amp;"-"&amp;TEXT(($D183-$C183+1)+14,"00"),"")&amp;IF($C183&gt;=16,", "&amp;$A183&amp;"-"&amp;TEXT(($D183-$C183+1)+15,"00"),"")&amp;IF($C183&gt;=17,", "&amp;$A183&amp;"-"&amp;TEXT(($D183-$C183+1)+16,"00"),"")&amp;IF($C183&gt;=18,", "&amp;$A183&amp;"-"&amp;TEXT(($D183-$C183+1)+17,"00"),"")&amp;IF($C183&gt;=19,", "&amp;$A183&amp;"-"&amp;TEXT(($D183-$C183+1)+18,"00"),"")&amp;IF($C183&gt;=20,", "&amp;$A183&amp;"-"&amp;TEXT(($D183-$C183+1)+19,"00"),"")&amp;IF($C183&gt;=21,", "&amp;$A183&amp;"-"&amp;TEXT(($D183-$C183+1)+20,"00"),"")&amp;IF($C183&gt;=22,", "&amp;$A183&amp;"-"&amp;TEXT(($D183-$C183+1)+21,"00"),"")&amp;IF($C183&gt;=23,", "&amp;$A183&amp;"-"&amp;TEXT(($D183-$C183+1)+22,"00"),"")&amp;IF($C183&gt;=24,", "&amp;$A183&amp;"-"&amp;TEXT(($D183-$C183+1)+23,"00"),"")&amp;IF($C183&gt;=25,", "&amp;$A183&amp;"-"&amp;TEXT(($D183-$C183+1)+24,"00"),""))</f>
        <v/>
      </c>
      <c r="G183">
        <f>IF($A183="","",IF($E183=1,$F183,IF($F183="",$G182,IF($G182="",$F183,$G182&amp;", "&amp;$F183))))</f>
        <v/>
      </c>
      <c r="H183">
        <f>IF($A183="","",$A183&amp;" ("&amp;$C183&amp;")")</f>
        <v/>
      </c>
      <c r="I183">
        <f>IF($A183="","",IF($E183=1,$H183,$I182&amp;", "&amp;$H183))</f>
        <v/>
      </c>
      <c r="J183">
        <f>IF($A183="","",IF($E183=1,$B183,""))</f>
        <v/>
      </c>
      <c r="K183">
        <f>IF($A183="","",IF(COUNTIF($B$2:$B183,$B183)=COUNTIF($B$2:$B$1601,$B183),$B183,""))</f>
        <v/>
      </c>
    </row>
    <row r="184">
      <c r="A184">
        <f>IF('TMP Paste'!$E184="","",'TMP Paste'!$E184)</f>
        <v/>
      </c>
      <c r="B184">
        <f>IF($A184="","",COUNTIF('TMP Paste'!$B$2:$B184,"?*"))</f>
        <v/>
      </c>
      <c r="C184">
        <f>IF($A184="","",IFERROR('TMP Paste'!$M184*1,0))</f>
        <v/>
      </c>
      <c r="D184">
        <f>IF($A184="","",SUMIF($B$2:$B184,$B184,$C$2:$C184))</f>
        <v/>
      </c>
      <c r="E184">
        <f>IF($A184="",0,IF('TMP Paste'!$B184="",0,1))</f>
        <v/>
      </c>
      <c r="F184">
        <f>IF(OR($A184="",$C184&lt;1),"",$A184&amp;"-"&amp;TEXT(($D184-$C184+1),"00")&amp;IF($C184&gt;=2,", "&amp;$A184&amp;"-"&amp;TEXT(($D184-$C184+1)+1,"00"),"")&amp;IF($C184&gt;=3,", "&amp;$A184&amp;"-"&amp;TEXT(($D184-$C184+1)+2,"00"),"")&amp;IF($C184&gt;=4,", "&amp;$A184&amp;"-"&amp;TEXT(($D184-$C184+1)+3,"00"),"")&amp;IF($C184&gt;=5,", "&amp;$A184&amp;"-"&amp;TEXT(($D184-$C184+1)+4,"00"),"")&amp;IF($C184&gt;=6,", "&amp;$A184&amp;"-"&amp;TEXT(($D184-$C184+1)+5,"00"),"")&amp;IF($C184&gt;=7,", "&amp;$A184&amp;"-"&amp;TEXT(($D184-$C184+1)+6,"00"),"")&amp;IF($C184&gt;=8,", "&amp;$A184&amp;"-"&amp;TEXT(($D184-$C184+1)+7,"00"),"")&amp;IF($C184&gt;=9,", "&amp;$A184&amp;"-"&amp;TEXT(($D184-$C184+1)+8,"00"),"")&amp;IF($C184&gt;=10,", "&amp;$A184&amp;"-"&amp;TEXT(($D184-$C184+1)+9,"00"),"")&amp;IF($C184&gt;=11,", "&amp;$A184&amp;"-"&amp;TEXT(($D184-$C184+1)+10,"00"),"")&amp;IF($C184&gt;=12,", "&amp;$A184&amp;"-"&amp;TEXT(($D184-$C184+1)+11,"00"),"")&amp;IF($C184&gt;=13,", "&amp;$A184&amp;"-"&amp;TEXT(($D184-$C184+1)+12,"00"),"")&amp;IF($C184&gt;=14,", "&amp;$A184&amp;"-"&amp;TEXT(($D184-$C184+1)+13,"00"),"")&amp;IF($C184&gt;=15,", "&amp;$A184&amp;"-"&amp;TEXT(($D184-$C184+1)+14,"00"),"")&amp;IF($C184&gt;=16,", "&amp;$A184&amp;"-"&amp;TEXT(($D184-$C184+1)+15,"00"),"")&amp;IF($C184&gt;=17,", "&amp;$A184&amp;"-"&amp;TEXT(($D184-$C184+1)+16,"00"),"")&amp;IF($C184&gt;=18,", "&amp;$A184&amp;"-"&amp;TEXT(($D184-$C184+1)+17,"00"),"")&amp;IF($C184&gt;=19,", "&amp;$A184&amp;"-"&amp;TEXT(($D184-$C184+1)+18,"00"),"")&amp;IF($C184&gt;=20,", "&amp;$A184&amp;"-"&amp;TEXT(($D184-$C184+1)+19,"00"),"")&amp;IF($C184&gt;=21,", "&amp;$A184&amp;"-"&amp;TEXT(($D184-$C184+1)+20,"00"),"")&amp;IF($C184&gt;=22,", "&amp;$A184&amp;"-"&amp;TEXT(($D184-$C184+1)+21,"00"),"")&amp;IF($C184&gt;=23,", "&amp;$A184&amp;"-"&amp;TEXT(($D184-$C184+1)+22,"00"),"")&amp;IF($C184&gt;=24,", "&amp;$A184&amp;"-"&amp;TEXT(($D184-$C184+1)+23,"00"),"")&amp;IF($C184&gt;=25,", "&amp;$A184&amp;"-"&amp;TEXT(($D184-$C184+1)+24,"00"),""))</f>
        <v/>
      </c>
      <c r="G184">
        <f>IF($A184="","",IF($E184=1,$F184,IF($F184="",$G183,IF($G183="",$F184,$G183&amp;", "&amp;$F184))))</f>
        <v/>
      </c>
      <c r="H184">
        <f>IF($A184="","",$A184&amp;" ("&amp;$C184&amp;")")</f>
        <v/>
      </c>
      <c r="I184">
        <f>IF($A184="","",IF($E184=1,$H184,$I183&amp;", "&amp;$H184))</f>
        <v/>
      </c>
      <c r="J184">
        <f>IF($A184="","",IF($E184=1,$B184,""))</f>
        <v/>
      </c>
      <c r="K184">
        <f>IF($A184="","",IF(COUNTIF($B$2:$B184,$B184)=COUNTIF($B$2:$B$1601,$B184),$B184,""))</f>
        <v/>
      </c>
    </row>
    <row r="185">
      <c r="A185">
        <f>IF('TMP Paste'!$E185="","",'TMP Paste'!$E185)</f>
        <v/>
      </c>
      <c r="B185">
        <f>IF($A185="","",COUNTIF('TMP Paste'!$B$2:$B185,"?*"))</f>
        <v/>
      </c>
      <c r="C185">
        <f>IF($A185="","",IFERROR('TMP Paste'!$M185*1,0))</f>
        <v/>
      </c>
      <c r="D185">
        <f>IF($A185="","",SUMIF($B$2:$B185,$B185,$C$2:$C185))</f>
        <v/>
      </c>
      <c r="E185">
        <f>IF($A185="",0,IF('TMP Paste'!$B185="",0,1))</f>
        <v/>
      </c>
      <c r="F185">
        <f>IF(OR($A185="",$C185&lt;1),"",$A185&amp;"-"&amp;TEXT(($D185-$C185+1),"00")&amp;IF($C185&gt;=2,", "&amp;$A185&amp;"-"&amp;TEXT(($D185-$C185+1)+1,"00"),"")&amp;IF($C185&gt;=3,", "&amp;$A185&amp;"-"&amp;TEXT(($D185-$C185+1)+2,"00"),"")&amp;IF($C185&gt;=4,", "&amp;$A185&amp;"-"&amp;TEXT(($D185-$C185+1)+3,"00"),"")&amp;IF($C185&gt;=5,", "&amp;$A185&amp;"-"&amp;TEXT(($D185-$C185+1)+4,"00"),"")&amp;IF($C185&gt;=6,", "&amp;$A185&amp;"-"&amp;TEXT(($D185-$C185+1)+5,"00"),"")&amp;IF($C185&gt;=7,", "&amp;$A185&amp;"-"&amp;TEXT(($D185-$C185+1)+6,"00"),"")&amp;IF($C185&gt;=8,", "&amp;$A185&amp;"-"&amp;TEXT(($D185-$C185+1)+7,"00"),"")&amp;IF($C185&gt;=9,", "&amp;$A185&amp;"-"&amp;TEXT(($D185-$C185+1)+8,"00"),"")&amp;IF($C185&gt;=10,", "&amp;$A185&amp;"-"&amp;TEXT(($D185-$C185+1)+9,"00"),"")&amp;IF($C185&gt;=11,", "&amp;$A185&amp;"-"&amp;TEXT(($D185-$C185+1)+10,"00"),"")&amp;IF($C185&gt;=12,", "&amp;$A185&amp;"-"&amp;TEXT(($D185-$C185+1)+11,"00"),"")&amp;IF($C185&gt;=13,", "&amp;$A185&amp;"-"&amp;TEXT(($D185-$C185+1)+12,"00"),"")&amp;IF($C185&gt;=14,", "&amp;$A185&amp;"-"&amp;TEXT(($D185-$C185+1)+13,"00"),"")&amp;IF($C185&gt;=15,", "&amp;$A185&amp;"-"&amp;TEXT(($D185-$C185+1)+14,"00"),"")&amp;IF($C185&gt;=16,", "&amp;$A185&amp;"-"&amp;TEXT(($D185-$C185+1)+15,"00"),"")&amp;IF($C185&gt;=17,", "&amp;$A185&amp;"-"&amp;TEXT(($D185-$C185+1)+16,"00"),"")&amp;IF($C185&gt;=18,", "&amp;$A185&amp;"-"&amp;TEXT(($D185-$C185+1)+17,"00"),"")&amp;IF($C185&gt;=19,", "&amp;$A185&amp;"-"&amp;TEXT(($D185-$C185+1)+18,"00"),"")&amp;IF($C185&gt;=20,", "&amp;$A185&amp;"-"&amp;TEXT(($D185-$C185+1)+19,"00"),"")&amp;IF($C185&gt;=21,", "&amp;$A185&amp;"-"&amp;TEXT(($D185-$C185+1)+20,"00"),"")&amp;IF($C185&gt;=22,", "&amp;$A185&amp;"-"&amp;TEXT(($D185-$C185+1)+21,"00"),"")&amp;IF($C185&gt;=23,", "&amp;$A185&amp;"-"&amp;TEXT(($D185-$C185+1)+22,"00"),"")&amp;IF($C185&gt;=24,", "&amp;$A185&amp;"-"&amp;TEXT(($D185-$C185+1)+23,"00"),"")&amp;IF($C185&gt;=25,", "&amp;$A185&amp;"-"&amp;TEXT(($D185-$C185+1)+24,"00"),""))</f>
        <v/>
      </c>
      <c r="G185">
        <f>IF($A185="","",IF($E185=1,$F185,IF($F185="",$G184,IF($G184="",$F185,$G184&amp;", "&amp;$F185))))</f>
        <v/>
      </c>
      <c r="H185">
        <f>IF($A185="","",$A185&amp;" ("&amp;$C185&amp;")")</f>
        <v/>
      </c>
      <c r="I185">
        <f>IF($A185="","",IF($E185=1,$H185,$I184&amp;", "&amp;$H185))</f>
        <v/>
      </c>
      <c r="J185">
        <f>IF($A185="","",IF($E185=1,$B185,""))</f>
        <v/>
      </c>
      <c r="K185">
        <f>IF($A185="","",IF(COUNTIF($B$2:$B185,$B185)=COUNTIF($B$2:$B$1601,$B185),$B185,""))</f>
        <v/>
      </c>
    </row>
    <row r="186">
      <c r="A186">
        <f>IF('TMP Paste'!$E186="","",'TMP Paste'!$E186)</f>
        <v/>
      </c>
      <c r="B186">
        <f>IF($A186="","",COUNTIF('TMP Paste'!$B$2:$B186,"?*"))</f>
        <v/>
      </c>
      <c r="C186">
        <f>IF($A186="","",IFERROR('TMP Paste'!$M186*1,0))</f>
        <v/>
      </c>
      <c r="D186">
        <f>IF($A186="","",SUMIF($B$2:$B186,$B186,$C$2:$C186))</f>
        <v/>
      </c>
      <c r="E186">
        <f>IF($A186="",0,IF('TMP Paste'!$B186="",0,1))</f>
        <v/>
      </c>
      <c r="F186">
        <f>IF(OR($A186="",$C186&lt;1),"",$A186&amp;"-"&amp;TEXT(($D186-$C186+1),"00")&amp;IF($C186&gt;=2,", "&amp;$A186&amp;"-"&amp;TEXT(($D186-$C186+1)+1,"00"),"")&amp;IF($C186&gt;=3,", "&amp;$A186&amp;"-"&amp;TEXT(($D186-$C186+1)+2,"00"),"")&amp;IF($C186&gt;=4,", "&amp;$A186&amp;"-"&amp;TEXT(($D186-$C186+1)+3,"00"),"")&amp;IF($C186&gt;=5,", "&amp;$A186&amp;"-"&amp;TEXT(($D186-$C186+1)+4,"00"),"")&amp;IF($C186&gt;=6,", "&amp;$A186&amp;"-"&amp;TEXT(($D186-$C186+1)+5,"00"),"")&amp;IF($C186&gt;=7,", "&amp;$A186&amp;"-"&amp;TEXT(($D186-$C186+1)+6,"00"),"")&amp;IF($C186&gt;=8,", "&amp;$A186&amp;"-"&amp;TEXT(($D186-$C186+1)+7,"00"),"")&amp;IF($C186&gt;=9,", "&amp;$A186&amp;"-"&amp;TEXT(($D186-$C186+1)+8,"00"),"")&amp;IF($C186&gt;=10,", "&amp;$A186&amp;"-"&amp;TEXT(($D186-$C186+1)+9,"00"),"")&amp;IF($C186&gt;=11,", "&amp;$A186&amp;"-"&amp;TEXT(($D186-$C186+1)+10,"00"),"")&amp;IF($C186&gt;=12,", "&amp;$A186&amp;"-"&amp;TEXT(($D186-$C186+1)+11,"00"),"")&amp;IF($C186&gt;=13,", "&amp;$A186&amp;"-"&amp;TEXT(($D186-$C186+1)+12,"00"),"")&amp;IF($C186&gt;=14,", "&amp;$A186&amp;"-"&amp;TEXT(($D186-$C186+1)+13,"00"),"")&amp;IF($C186&gt;=15,", "&amp;$A186&amp;"-"&amp;TEXT(($D186-$C186+1)+14,"00"),"")&amp;IF($C186&gt;=16,", "&amp;$A186&amp;"-"&amp;TEXT(($D186-$C186+1)+15,"00"),"")&amp;IF($C186&gt;=17,", "&amp;$A186&amp;"-"&amp;TEXT(($D186-$C186+1)+16,"00"),"")&amp;IF($C186&gt;=18,", "&amp;$A186&amp;"-"&amp;TEXT(($D186-$C186+1)+17,"00"),"")&amp;IF($C186&gt;=19,", "&amp;$A186&amp;"-"&amp;TEXT(($D186-$C186+1)+18,"00"),"")&amp;IF($C186&gt;=20,", "&amp;$A186&amp;"-"&amp;TEXT(($D186-$C186+1)+19,"00"),"")&amp;IF($C186&gt;=21,", "&amp;$A186&amp;"-"&amp;TEXT(($D186-$C186+1)+20,"00"),"")&amp;IF($C186&gt;=22,", "&amp;$A186&amp;"-"&amp;TEXT(($D186-$C186+1)+21,"00"),"")&amp;IF($C186&gt;=23,", "&amp;$A186&amp;"-"&amp;TEXT(($D186-$C186+1)+22,"00"),"")&amp;IF($C186&gt;=24,", "&amp;$A186&amp;"-"&amp;TEXT(($D186-$C186+1)+23,"00"),"")&amp;IF($C186&gt;=25,", "&amp;$A186&amp;"-"&amp;TEXT(($D186-$C186+1)+24,"00"),""))</f>
        <v/>
      </c>
      <c r="G186">
        <f>IF($A186="","",IF($E186=1,$F186,IF($F186="",$G185,IF($G185="",$F186,$G185&amp;", "&amp;$F186))))</f>
        <v/>
      </c>
      <c r="H186">
        <f>IF($A186="","",$A186&amp;" ("&amp;$C186&amp;")")</f>
        <v/>
      </c>
      <c r="I186">
        <f>IF($A186="","",IF($E186=1,$H186,$I185&amp;", "&amp;$H186))</f>
        <v/>
      </c>
      <c r="J186">
        <f>IF($A186="","",IF($E186=1,$B186,""))</f>
        <v/>
      </c>
      <c r="K186">
        <f>IF($A186="","",IF(COUNTIF($B$2:$B186,$B186)=COUNTIF($B$2:$B$1601,$B186),$B186,""))</f>
        <v/>
      </c>
    </row>
    <row r="187">
      <c r="A187">
        <f>IF('TMP Paste'!$E187="","",'TMP Paste'!$E187)</f>
        <v/>
      </c>
      <c r="B187">
        <f>IF($A187="","",COUNTIF('TMP Paste'!$B$2:$B187,"?*"))</f>
        <v/>
      </c>
      <c r="C187">
        <f>IF($A187="","",IFERROR('TMP Paste'!$M187*1,0))</f>
        <v/>
      </c>
      <c r="D187">
        <f>IF($A187="","",SUMIF($B$2:$B187,$B187,$C$2:$C187))</f>
        <v/>
      </c>
      <c r="E187">
        <f>IF($A187="",0,IF('TMP Paste'!$B187="",0,1))</f>
        <v/>
      </c>
      <c r="F187">
        <f>IF(OR($A187="",$C187&lt;1),"",$A187&amp;"-"&amp;TEXT(($D187-$C187+1),"00")&amp;IF($C187&gt;=2,", "&amp;$A187&amp;"-"&amp;TEXT(($D187-$C187+1)+1,"00"),"")&amp;IF($C187&gt;=3,", "&amp;$A187&amp;"-"&amp;TEXT(($D187-$C187+1)+2,"00"),"")&amp;IF($C187&gt;=4,", "&amp;$A187&amp;"-"&amp;TEXT(($D187-$C187+1)+3,"00"),"")&amp;IF($C187&gt;=5,", "&amp;$A187&amp;"-"&amp;TEXT(($D187-$C187+1)+4,"00"),"")&amp;IF($C187&gt;=6,", "&amp;$A187&amp;"-"&amp;TEXT(($D187-$C187+1)+5,"00"),"")&amp;IF($C187&gt;=7,", "&amp;$A187&amp;"-"&amp;TEXT(($D187-$C187+1)+6,"00"),"")&amp;IF($C187&gt;=8,", "&amp;$A187&amp;"-"&amp;TEXT(($D187-$C187+1)+7,"00"),"")&amp;IF($C187&gt;=9,", "&amp;$A187&amp;"-"&amp;TEXT(($D187-$C187+1)+8,"00"),"")&amp;IF($C187&gt;=10,", "&amp;$A187&amp;"-"&amp;TEXT(($D187-$C187+1)+9,"00"),"")&amp;IF($C187&gt;=11,", "&amp;$A187&amp;"-"&amp;TEXT(($D187-$C187+1)+10,"00"),"")&amp;IF($C187&gt;=12,", "&amp;$A187&amp;"-"&amp;TEXT(($D187-$C187+1)+11,"00"),"")&amp;IF($C187&gt;=13,", "&amp;$A187&amp;"-"&amp;TEXT(($D187-$C187+1)+12,"00"),"")&amp;IF($C187&gt;=14,", "&amp;$A187&amp;"-"&amp;TEXT(($D187-$C187+1)+13,"00"),"")&amp;IF($C187&gt;=15,", "&amp;$A187&amp;"-"&amp;TEXT(($D187-$C187+1)+14,"00"),"")&amp;IF($C187&gt;=16,", "&amp;$A187&amp;"-"&amp;TEXT(($D187-$C187+1)+15,"00"),"")&amp;IF($C187&gt;=17,", "&amp;$A187&amp;"-"&amp;TEXT(($D187-$C187+1)+16,"00"),"")&amp;IF($C187&gt;=18,", "&amp;$A187&amp;"-"&amp;TEXT(($D187-$C187+1)+17,"00"),"")&amp;IF($C187&gt;=19,", "&amp;$A187&amp;"-"&amp;TEXT(($D187-$C187+1)+18,"00"),"")&amp;IF($C187&gt;=20,", "&amp;$A187&amp;"-"&amp;TEXT(($D187-$C187+1)+19,"00"),"")&amp;IF($C187&gt;=21,", "&amp;$A187&amp;"-"&amp;TEXT(($D187-$C187+1)+20,"00"),"")&amp;IF($C187&gt;=22,", "&amp;$A187&amp;"-"&amp;TEXT(($D187-$C187+1)+21,"00"),"")&amp;IF($C187&gt;=23,", "&amp;$A187&amp;"-"&amp;TEXT(($D187-$C187+1)+22,"00"),"")&amp;IF($C187&gt;=24,", "&amp;$A187&amp;"-"&amp;TEXT(($D187-$C187+1)+23,"00"),"")&amp;IF($C187&gt;=25,", "&amp;$A187&amp;"-"&amp;TEXT(($D187-$C187+1)+24,"00"),""))</f>
        <v/>
      </c>
      <c r="G187">
        <f>IF($A187="","",IF($E187=1,$F187,IF($F187="",$G186,IF($G186="",$F187,$G186&amp;", "&amp;$F187))))</f>
        <v/>
      </c>
      <c r="H187">
        <f>IF($A187="","",$A187&amp;" ("&amp;$C187&amp;")")</f>
        <v/>
      </c>
      <c r="I187">
        <f>IF($A187="","",IF($E187=1,$H187,$I186&amp;", "&amp;$H187))</f>
        <v/>
      </c>
      <c r="J187">
        <f>IF($A187="","",IF($E187=1,$B187,""))</f>
        <v/>
      </c>
      <c r="K187">
        <f>IF($A187="","",IF(COUNTIF($B$2:$B187,$B187)=COUNTIF($B$2:$B$1601,$B187),$B187,""))</f>
        <v/>
      </c>
    </row>
    <row r="188">
      <c r="A188">
        <f>IF('TMP Paste'!$E188="","",'TMP Paste'!$E188)</f>
        <v/>
      </c>
      <c r="B188">
        <f>IF($A188="","",COUNTIF('TMP Paste'!$B$2:$B188,"?*"))</f>
        <v/>
      </c>
      <c r="C188">
        <f>IF($A188="","",IFERROR('TMP Paste'!$M188*1,0))</f>
        <v/>
      </c>
      <c r="D188">
        <f>IF($A188="","",SUMIF($B$2:$B188,$B188,$C$2:$C188))</f>
        <v/>
      </c>
      <c r="E188">
        <f>IF($A188="",0,IF('TMP Paste'!$B188="",0,1))</f>
        <v/>
      </c>
      <c r="F188">
        <f>IF(OR($A188="",$C188&lt;1),"",$A188&amp;"-"&amp;TEXT(($D188-$C188+1),"00")&amp;IF($C188&gt;=2,", "&amp;$A188&amp;"-"&amp;TEXT(($D188-$C188+1)+1,"00"),"")&amp;IF($C188&gt;=3,", "&amp;$A188&amp;"-"&amp;TEXT(($D188-$C188+1)+2,"00"),"")&amp;IF($C188&gt;=4,", "&amp;$A188&amp;"-"&amp;TEXT(($D188-$C188+1)+3,"00"),"")&amp;IF($C188&gt;=5,", "&amp;$A188&amp;"-"&amp;TEXT(($D188-$C188+1)+4,"00"),"")&amp;IF($C188&gt;=6,", "&amp;$A188&amp;"-"&amp;TEXT(($D188-$C188+1)+5,"00"),"")&amp;IF($C188&gt;=7,", "&amp;$A188&amp;"-"&amp;TEXT(($D188-$C188+1)+6,"00"),"")&amp;IF($C188&gt;=8,", "&amp;$A188&amp;"-"&amp;TEXT(($D188-$C188+1)+7,"00"),"")&amp;IF($C188&gt;=9,", "&amp;$A188&amp;"-"&amp;TEXT(($D188-$C188+1)+8,"00"),"")&amp;IF($C188&gt;=10,", "&amp;$A188&amp;"-"&amp;TEXT(($D188-$C188+1)+9,"00"),"")&amp;IF($C188&gt;=11,", "&amp;$A188&amp;"-"&amp;TEXT(($D188-$C188+1)+10,"00"),"")&amp;IF($C188&gt;=12,", "&amp;$A188&amp;"-"&amp;TEXT(($D188-$C188+1)+11,"00"),"")&amp;IF($C188&gt;=13,", "&amp;$A188&amp;"-"&amp;TEXT(($D188-$C188+1)+12,"00"),"")&amp;IF($C188&gt;=14,", "&amp;$A188&amp;"-"&amp;TEXT(($D188-$C188+1)+13,"00"),"")&amp;IF($C188&gt;=15,", "&amp;$A188&amp;"-"&amp;TEXT(($D188-$C188+1)+14,"00"),"")&amp;IF($C188&gt;=16,", "&amp;$A188&amp;"-"&amp;TEXT(($D188-$C188+1)+15,"00"),"")&amp;IF($C188&gt;=17,", "&amp;$A188&amp;"-"&amp;TEXT(($D188-$C188+1)+16,"00"),"")&amp;IF($C188&gt;=18,", "&amp;$A188&amp;"-"&amp;TEXT(($D188-$C188+1)+17,"00"),"")&amp;IF($C188&gt;=19,", "&amp;$A188&amp;"-"&amp;TEXT(($D188-$C188+1)+18,"00"),"")&amp;IF($C188&gt;=20,", "&amp;$A188&amp;"-"&amp;TEXT(($D188-$C188+1)+19,"00"),"")&amp;IF($C188&gt;=21,", "&amp;$A188&amp;"-"&amp;TEXT(($D188-$C188+1)+20,"00"),"")&amp;IF($C188&gt;=22,", "&amp;$A188&amp;"-"&amp;TEXT(($D188-$C188+1)+21,"00"),"")&amp;IF($C188&gt;=23,", "&amp;$A188&amp;"-"&amp;TEXT(($D188-$C188+1)+22,"00"),"")&amp;IF($C188&gt;=24,", "&amp;$A188&amp;"-"&amp;TEXT(($D188-$C188+1)+23,"00"),"")&amp;IF($C188&gt;=25,", "&amp;$A188&amp;"-"&amp;TEXT(($D188-$C188+1)+24,"00"),""))</f>
        <v/>
      </c>
      <c r="G188">
        <f>IF($A188="","",IF($E188=1,$F188,IF($F188="",$G187,IF($G187="",$F188,$G187&amp;", "&amp;$F188))))</f>
        <v/>
      </c>
      <c r="H188">
        <f>IF($A188="","",$A188&amp;" ("&amp;$C188&amp;")")</f>
        <v/>
      </c>
      <c r="I188">
        <f>IF($A188="","",IF($E188=1,$H188,$I187&amp;", "&amp;$H188))</f>
        <v/>
      </c>
      <c r="J188">
        <f>IF($A188="","",IF($E188=1,$B188,""))</f>
        <v/>
      </c>
      <c r="K188">
        <f>IF($A188="","",IF(COUNTIF($B$2:$B188,$B188)=COUNTIF($B$2:$B$1601,$B188),$B188,""))</f>
        <v/>
      </c>
    </row>
    <row r="189">
      <c r="A189">
        <f>IF('TMP Paste'!$E189="","",'TMP Paste'!$E189)</f>
        <v/>
      </c>
      <c r="B189">
        <f>IF($A189="","",COUNTIF('TMP Paste'!$B$2:$B189,"?*"))</f>
        <v/>
      </c>
      <c r="C189">
        <f>IF($A189="","",IFERROR('TMP Paste'!$M189*1,0))</f>
        <v/>
      </c>
      <c r="D189">
        <f>IF($A189="","",SUMIF($B$2:$B189,$B189,$C$2:$C189))</f>
        <v/>
      </c>
      <c r="E189">
        <f>IF($A189="",0,IF('TMP Paste'!$B189="",0,1))</f>
        <v/>
      </c>
      <c r="F189">
        <f>IF(OR($A189="",$C189&lt;1),"",$A189&amp;"-"&amp;TEXT(($D189-$C189+1),"00")&amp;IF($C189&gt;=2,", "&amp;$A189&amp;"-"&amp;TEXT(($D189-$C189+1)+1,"00"),"")&amp;IF($C189&gt;=3,", "&amp;$A189&amp;"-"&amp;TEXT(($D189-$C189+1)+2,"00"),"")&amp;IF($C189&gt;=4,", "&amp;$A189&amp;"-"&amp;TEXT(($D189-$C189+1)+3,"00"),"")&amp;IF($C189&gt;=5,", "&amp;$A189&amp;"-"&amp;TEXT(($D189-$C189+1)+4,"00"),"")&amp;IF($C189&gt;=6,", "&amp;$A189&amp;"-"&amp;TEXT(($D189-$C189+1)+5,"00"),"")&amp;IF($C189&gt;=7,", "&amp;$A189&amp;"-"&amp;TEXT(($D189-$C189+1)+6,"00"),"")&amp;IF($C189&gt;=8,", "&amp;$A189&amp;"-"&amp;TEXT(($D189-$C189+1)+7,"00"),"")&amp;IF($C189&gt;=9,", "&amp;$A189&amp;"-"&amp;TEXT(($D189-$C189+1)+8,"00"),"")&amp;IF($C189&gt;=10,", "&amp;$A189&amp;"-"&amp;TEXT(($D189-$C189+1)+9,"00"),"")&amp;IF($C189&gt;=11,", "&amp;$A189&amp;"-"&amp;TEXT(($D189-$C189+1)+10,"00"),"")&amp;IF($C189&gt;=12,", "&amp;$A189&amp;"-"&amp;TEXT(($D189-$C189+1)+11,"00"),"")&amp;IF($C189&gt;=13,", "&amp;$A189&amp;"-"&amp;TEXT(($D189-$C189+1)+12,"00"),"")&amp;IF($C189&gt;=14,", "&amp;$A189&amp;"-"&amp;TEXT(($D189-$C189+1)+13,"00"),"")&amp;IF($C189&gt;=15,", "&amp;$A189&amp;"-"&amp;TEXT(($D189-$C189+1)+14,"00"),"")&amp;IF($C189&gt;=16,", "&amp;$A189&amp;"-"&amp;TEXT(($D189-$C189+1)+15,"00"),"")&amp;IF($C189&gt;=17,", "&amp;$A189&amp;"-"&amp;TEXT(($D189-$C189+1)+16,"00"),"")&amp;IF($C189&gt;=18,", "&amp;$A189&amp;"-"&amp;TEXT(($D189-$C189+1)+17,"00"),"")&amp;IF($C189&gt;=19,", "&amp;$A189&amp;"-"&amp;TEXT(($D189-$C189+1)+18,"00"),"")&amp;IF($C189&gt;=20,", "&amp;$A189&amp;"-"&amp;TEXT(($D189-$C189+1)+19,"00"),"")&amp;IF($C189&gt;=21,", "&amp;$A189&amp;"-"&amp;TEXT(($D189-$C189+1)+20,"00"),"")&amp;IF($C189&gt;=22,", "&amp;$A189&amp;"-"&amp;TEXT(($D189-$C189+1)+21,"00"),"")&amp;IF($C189&gt;=23,", "&amp;$A189&amp;"-"&amp;TEXT(($D189-$C189+1)+22,"00"),"")&amp;IF($C189&gt;=24,", "&amp;$A189&amp;"-"&amp;TEXT(($D189-$C189+1)+23,"00"),"")&amp;IF($C189&gt;=25,", "&amp;$A189&amp;"-"&amp;TEXT(($D189-$C189+1)+24,"00"),""))</f>
        <v/>
      </c>
      <c r="G189">
        <f>IF($A189="","",IF($E189=1,$F189,IF($F189="",$G188,IF($G188="",$F189,$G188&amp;", "&amp;$F189))))</f>
        <v/>
      </c>
      <c r="H189">
        <f>IF($A189="","",$A189&amp;" ("&amp;$C189&amp;")")</f>
        <v/>
      </c>
      <c r="I189">
        <f>IF($A189="","",IF($E189=1,$H189,$I188&amp;", "&amp;$H189))</f>
        <v/>
      </c>
      <c r="J189">
        <f>IF($A189="","",IF($E189=1,$B189,""))</f>
        <v/>
      </c>
      <c r="K189">
        <f>IF($A189="","",IF(COUNTIF($B$2:$B189,$B189)=COUNTIF($B$2:$B$1601,$B189),$B189,""))</f>
        <v/>
      </c>
    </row>
    <row r="190">
      <c r="A190">
        <f>IF('TMP Paste'!$E190="","",'TMP Paste'!$E190)</f>
        <v/>
      </c>
      <c r="B190">
        <f>IF($A190="","",COUNTIF('TMP Paste'!$B$2:$B190,"?*"))</f>
        <v/>
      </c>
      <c r="C190">
        <f>IF($A190="","",IFERROR('TMP Paste'!$M190*1,0))</f>
        <v/>
      </c>
      <c r="D190">
        <f>IF($A190="","",SUMIF($B$2:$B190,$B190,$C$2:$C190))</f>
        <v/>
      </c>
      <c r="E190">
        <f>IF($A190="",0,IF('TMP Paste'!$B190="",0,1))</f>
        <v/>
      </c>
      <c r="F190">
        <f>IF(OR($A190="",$C190&lt;1),"",$A190&amp;"-"&amp;TEXT(($D190-$C190+1),"00")&amp;IF($C190&gt;=2,", "&amp;$A190&amp;"-"&amp;TEXT(($D190-$C190+1)+1,"00"),"")&amp;IF($C190&gt;=3,", "&amp;$A190&amp;"-"&amp;TEXT(($D190-$C190+1)+2,"00"),"")&amp;IF($C190&gt;=4,", "&amp;$A190&amp;"-"&amp;TEXT(($D190-$C190+1)+3,"00"),"")&amp;IF($C190&gt;=5,", "&amp;$A190&amp;"-"&amp;TEXT(($D190-$C190+1)+4,"00"),"")&amp;IF($C190&gt;=6,", "&amp;$A190&amp;"-"&amp;TEXT(($D190-$C190+1)+5,"00"),"")&amp;IF($C190&gt;=7,", "&amp;$A190&amp;"-"&amp;TEXT(($D190-$C190+1)+6,"00"),"")&amp;IF($C190&gt;=8,", "&amp;$A190&amp;"-"&amp;TEXT(($D190-$C190+1)+7,"00"),"")&amp;IF($C190&gt;=9,", "&amp;$A190&amp;"-"&amp;TEXT(($D190-$C190+1)+8,"00"),"")&amp;IF($C190&gt;=10,", "&amp;$A190&amp;"-"&amp;TEXT(($D190-$C190+1)+9,"00"),"")&amp;IF($C190&gt;=11,", "&amp;$A190&amp;"-"&amp;TEXT(($D190-$C190+1)+10,"00"),"")&amp;IF($C190&gt;=12,", "&amp;$A190&amp;"-"&amp;TEXT(($D190-$C190+1)+11,"00"),"")&amp;IF($C190&gt;=13,", "&amp;$A190&amp;"-"&amp;TEXT(($D190-$C190+1)+12,"00"),"")&amp;IF($C190&gt;=14,", "&amp;$A190&amp;"-"&amp;TEXT(($D190-$C190+1)+13,"00"),"")&amp;IF($C190&gt;=15,", "&amp;$A190&amp;"-"&amp;TEXT(($D190-$C190+1)+14,"00"),"")&amp;IF($C190&gt;=16,", "&amp;$A190&amp;"-"&amp;TEXT(($D190-$C190+1)+15,"00"),"")&amp;IF($C190&gt;=17,", "&amp;$A190&amp;"-"&amp;TEXT(($D190-$C190+1)+16,"00"),"")&amp;IF($C190&gt;=18,", "&amp;$A190&amp;"-"&amp;TEXT(($D190-$C190+1)+17,"00"),"")&amp;IF($C190&gt;=19,", "&amp;$A190&amp;"-"&amp;TEXT(($D190-$C190+1)+18,"00"),"")&amp;IF($C190&gt;=20,", "&amp;$A190&amp;"-"&amp;TEXT(($D190-$C190+1)+19,"00"),"")&amp;IF($C190&gt;=21,", "&amp;$A190&amp;"-"&amp;TEXT(($D190-$C190+1)+20,"00"),"")&amp;IF($C190&gt;=22,", "&amp;$A190&amp;"-"&amp;TEXT(($D190-$C190+1)+21,"00"),"")&amp;IF($C190&gt;=23,", "&amp;$A190&amp;"-"&amp;TEXT(($D190-$C190+1)+22,"00"),"")&amp;IF($C190&gt;=24,", "&amp;$A190&amp;"-"&amp;TEXT(($D190-$C190+1)+23,"00"),"")&amp;IF($C190&gt;=25,", "&amp;$A190&amp;"-"&amp;TEXT(($D190-$C190+1)+24,"00"),""))</f>
        <v/>
      </c>
      <c r="G190">
        <f>IF($A190="","",IF($E190=1,$F190,IF($F190="",$G189,IF($G189="",$F190,$G189&amp;", "&amp;$F190))))</f>
        <v/>
      </c>
      <c r="H190">
        <f>IF($A190="","",$A190&amp;" ("&amp;$C190&amp;")")</f>
        <v/>
      </c>
      <c r="I190">
        <f>IF($A190="","",IF($E190=1,$H190,$I189&amp;", "&amp;$H190))</f>
        <v/>
      </c>
      <c r="J190">
        <f>IF($A190="","",IF($E190=1,$B190,""))</f>
        <v/>
      </c>
      <c r="K190">
        <f>IF($A190="","",IF(COUNTIF($B$2:$B190,$B190)=COUNTIF($B$2:$B$1601,$B190),$B190,""))</f>
        <v/>
      </c>
    </row>
    <row r="191">
      <c r="A191">
        <f>IF('TMP Paste'!$E191="","",'TMP Paste'!$E191)</f>
        <v/>
      </c>
      <c r="B191">
        <f>IF($A191="","",COUNTIF('TMP Paste'!$B$2:$B191,"?*"))</f>
        <v/>
      </c>
      <c r="C191">
        <f>IF($A191="","",IFERROR('TMP Paste'!$M191*1,0))</f>
        <v/>
      </c>
      <c r="D191">
        <f>IF($A191="","",SUMIF($B$2:$B191,$B191,$C$2:$C191))</f>
        <v/>
      </c>
      <c r="E191">
        <f>IF($A191="",0,IF('TMP Paste'!$B191="",0,1))</f>
        <v/>
      </c>
      <c r="F191">
        <f>IF(OR($A191="",$C191&lt;1),"",$A191&amp;"-"&amp;TEXT(($D191-$C191+1),"00")&amp;IF($C191&gt;=2,", "&amp;$A191&amp;"-"&amp;TEXT(($D191-$C191+1)+1,"00"),"")&amp;IF($C191&gt;=3,", "&amp;$A191&amp;"-"&amp;TEXT(($D191-$C191+1)+2,"00"),"")&amp;IF($C191&gt;=4,", "&amp;$A191&amp;"-"&amp;TEXT(($D191-$C191+1)+3,"00"),"")&amp;IF($C191&gt;=5,", "&amp;$A191&amp;"-"&amp;TEXT(($D191-$C191+1)+4,"00"),"")&amp;IF($C191&gt;=6,", "&amp;$A191&amp;"-"&amp;TEXT(($D191-$C191+1)+5,"00"),"")&amp;IF($C191&gt;=7,", "&amp;$A191&amp;"-"&amp;TEXT(($D191-$C191+1)+6,"00"),"")&amp;IF($C191&gt;=8,", "&amp;$A191&amp;"-"&amp;TEXT(($D191-$C191+1)+7,"00"),"")&amp;IF($C191&gt;=9,", "&amp;$A191&amp;"-"&amp;TEXT(($D191-$C191+1)+8,"00"),"")&amp;IF($C191&gt;=10,", "&amp;$A191&amp;"-"&amp;TEXT(($D191-$C191+1)+9,"00"),"")&amp;IF($C191&gt;=11,", "&amp;$A191&amp;"-"&amp;TEXT(($D191-$C191+1)+10,"00"),"")&amp;IF($C191&gt;=12,", "&amp;$A191&amp;"-"&amp;TEXT(($D191-$C191+1)+11,"00"),"")&amp;IF($C191&gt;=13,", "&amp;$A191&amp;"-"&amp;TEXT(($D191-$C191+1)+12,"00"),"")&amp;IF($C191&gt;=14,", "&amp;$A191&amp;"-"&amp;TEXT(($D191-$C191+1)+13,"00"),"")&amp;IF($C191&gt;=15,", "&amp;$A191&amp;"-"&amp;TEXT(($D191-$C191+1)+14,"00"),"")&amp;IF($C191&gt;=16,", "&amp;$A191&amp;"-"&amp;TEXT(($D191-$C191+1)+15,"00"),"")&amp;IF($C191&gt;=17,", "&amp;$A191&amp;"-"&amp;TEXT(($D191-$C191+1)+16,"00"),"")&amp;IF($C191&gt;=18,", "&amp;$A191&amp;"-"&amp;TEXT(($D191-$C191+1)+17,"00"),"")&amp;IF($C191&gt;=19,", "&amp;$A191&amp;"-"&amp;TEXT(($D191-$C191+1)+18,"00"),"")&amp;IF($C191&gt;=20,", "&amp;$A191&amp;"-"&amp;TEXT(($D191-$C191+1)+19,"00"),"")&amp;IF($C191&gt;=21,", "&amp;$A191&amp;"-"&amp;TEXT(($D191-$C191+1)+20,"00"),"")&amp;IF($C191&gt;=22,", "&amp;$A191&amp;"-"&amp;TEXT(($D191-$C191+1)+21,"00"),"")&amp;IF($C191&gt;=23,", "&amp;$A191&amp;"-"&amp;TEXT(($D191-$C191+1)+22,"00"),"")&amp;IF($C191&gt;=24,", "&amp;$A191&amp;"-"&amp;TEXT(($D191-$C191+1)+23,"00"),"")&amp;IF($C191&gt;=25,", "&amp;$A191&amp;"-"&amp;TEXT(($D191-$C191+1)+24,"00"),""))</f>
        <v/>
      </c>
      <c r="G191">
        <f>IF($A191="","",IF($E191=1,$F191,IF($F191="",$G190,IF($G190="",$F191,$G190&amp;", "&amp;$F191))))</f>
        <v/>
      </c>
      <c r="H191">
        <f>IF($A191="","",$A191&amp;" ("&amp;$C191&amp;")")</f>
        <v/>
      </c>
      <c r="I191">
        <f>IF($A191="","",IF($E191=1,$H191,$I190&amp;", "&amp;$H191))</f>
        <v/>
      </c>
      <c r="J191">
        <f>IF($A191="","",IF($E191=1,$B191,""))</f>
        <v/>
      </c>
      <c r="K191">
        <f>IF($A191="","",IF(COUNTIF($B$2:$B191,$B191)=COUNTIF($B$2:$B$1601,$B191),$B191,""))</f>
        <v/>
      </c>
    </row>
    <row r="192">
      <c r="A192">
        <f>IF('TMP Paste'!$E192="","",'TMP Paste'!$E192)</f>
        <v/>
      </c>
      <c r="B192">
        <f>IF($A192="","",COUNTIF('TMP Paste'!$B$2:$B192,"?*"))</f>
        <v/>
      </c>
      <c r="C192">
        <f>IF($A192="","",IFERROR('TMP Paste'!$M192*1,0))</f>
        <v/>
      </c>
      <c r="D192">
        <f>IF($A192="","",SUMIF($B$2:$B192,$B192,$C$2:$C192))</f>
        <v/>
      </c>
      <c r="E192">
        <f>IF($A192="",0,IF('TMP Paste'!$B192="",0,1))</f>
        <v/>
      </c>
      <c r="F192">
        <f>IF(OR($A192="",$C192&lt;1),"",$A192&amp;"-"&amp;TEXT(($D192-$C192+1),"00")&amp;IF($C192&gt;=2,", "&amp;$A192&amp;"-"&amp;TEXT(($D192-$C192+1)+1,"00"),"")&amp;IF($C192&gt;=3,", "&amp;$A192&amp;"-"&amp;TEXT(($D192-$C192+1)+2,"00"),"")&amp;IF($C192&gt;=4,", "&amp;$A192&amp;"-"&amp;TEXT(($D192-$C192+1)+3,"00"),"")&amp;IF($C192&gt;=5,", "&amp;$A192&amp;"-"&amp;TEXT(($D192-$C192+1)+4,"00"),"")&amp;IF($C192&gt;=6,", "&amp;$A192&amp;"-"&amp;TEXT(($D192-$C192+1)+5,"00"),"")&amp;IF($C192&gt;=7,", "&amp;$A192&amp;"-"&amp;TEXT(($D192-$C192+1)+6,"00"),"")&amp;IF($C192&gt;=8,", "&amp;$A192&amp;"-"&amp;TEXT(($D192-$C192+1)+7,"00"),"")&amp;IF($C192&gt;=9,", "&amp;$A192&amp;"-"&amp;TEXT(($D192-$C192+1)+8,"00"),"")&amp;IF($C192&gt;=10,", "&amp;$A192&amp;"-"&amp;TEXT(($D192-$C192+1)+9,"00"),"")&amp;IF($C192&gt;=11,", "&amp;$A192&amp;"-"&amp;TEXT(($D192-$C192+1)+10,"00"),"")&amp;IF($C192&gt;=12,", "&amp;$A192&amp;"-"&amp;TEXT(($D192-$C192+1)+11,"00"),"")&amp;IF($C192&gt;=13,", "&amp;$A192&amp;"-"&amp;TEXT(($D192-$C192+1)+12,"00"),"")&amp;IF($C192&gt;=14,", "&amp;$A192&amp;"-"&amp;TEXT(($D192-$C192+1)+13,"00"),"")&amp;IF($C192&gt;=15,", "&amp;$A192&amp;"-"&amp;TEXT(($D192-$C192+1)+14,"00"),"")&amp;IF($C192&gt;=16,", "&amp;$A192&amp;"-"&amp;TEXT(($D192-$C192+1)+15,"00"),"")&amp;IF($C192&gt;=17,", "&amp;$A192&amp;"-"&amp;TEXT(($D192-$C192+1)+16,"00"),"")&amp;IF($C192&gt;=18,", "&amp;$A192&amp;"-"&amp;TEXT(($D192-$C192+1)+17,"00"),"")&amp;IF($C192&gt;=19,", "&amp;$A192&amp;"-"&amp;TEXT(($D192-$C192+1)+18,"00"),"")&amp;IF($C192&gt;=20,", "&amp;$A192&amp;"-"&amp;TEXT(($D192-$C192+1)+19,"00"),"")&amp;IF($C192&gt;=21,", "&amp;$A192&amp;"-"&amp;TEXT(($D192-$C192+1)+20,"00"),"")&amp;IF($C192&gt;=22,", "&amp;$A192&amp;"-"&amp;TEXT(($D192-$C192+1)+21,"00"),"")&amp;IF($C192&gt;=23,", "&amp;$A192&amp;"-"&amp;TEXT(($D192-$C192+1)+22,"00"),"")&amp;IF($C192&gt;=24,", "&amp;$A192&amp;"-"&amp;TEXT(($D192-$C192+1)+23,"00"),"")&amp;IF($C192&gt;=25,", "&amp;$A192&amp;"-"&amp;TEXT(($D192-$C192+1)+24,"00"),""))</f>
        <v/>
      </c>
      <c r="G192">
        <f>IF($A192="","",IF($E192=1,$F192,IF($F192="",$G191,IF($G191="",$F192,$G191&amp;", "&amp;$F192))))</f>
        <v/>
      </c>
      <c r="H192">
        <f>IF($A192="","",$A192&amp;" ("&amp;$C192&amp;")")</f>
        <v/>
      </c>
      <c r="I192">
        <f>IF($A192="","",IF($E192=1,$H192,$I191&amp;", "&amp;$H192))</f>
        <v/>
      </c>
      <c r="J192">
        <f>IF($A192="","",IF($E192=1,$B192,""))</f>
        <v/>
      </c>
      <c r="K192">
        <f>IF($A192="","",IF(COUNTIF($B$2:$B192,$B192)=COUNTIF($B$2:$B$1601,$B192),$B192,""))</f>
        <v/>
      </c>
    </row>
    <row r="193">
      <c r="A193">
        <f>IF('TMP Paste'!$E193="","",'TMP Paste'!$E193)</f>
        <v/>
      </c>
      <c r="B193">
        <f>IF($A193="","",COUNTIF('TMP Paste'!$B$2:$B193,"?*"))</f>
        <v/>
      </c>
      <c r="C193">
        <f>IF($A193="","",IFERROR('TMP Paste'!$M193*1,0))</f>
        <v/>
      </c>
      <c r="D193">
        <f>IF($A193="","",SUMIF($B$2:$B193,$B193,$C$2:$C193))</f>
        <v/>
      </c>
      <c r="E193">
        <f>IF($A193="",0,IF('TMP Paste'!$B193="",0,1))</f>
        <v/>
      </c>
      <c r="F193">
        <f>IF(OR($A193="",$C193&lt;1),"",$A193&amp;"-"&amp;TEXT(($D193-$C193+1),"00")&amp;IF($C193&gt;=2,", "&amp;$A193&amp;"-"&amp;TEXT(($D193-$C193+1)+1,"00"),"")&amp;IF($C193&gt;=3,", "&amp;$A193&amp;"-"&amp;TEXT(($D193-$C193+1)+2,"00"),"")&amp;IF($C193&gt;=4,", "&amp;$A193&amp;"-"&amp;TEXT(($D193-$C193+1)+3,"00"),"")&amp;IF($C193&gt;=5,", "&amp;$A193&amp;"-"&amp;TEXT(($D193-$C193+1)+4,"00"),"")&amp;IF($C193&gt;=6,", "&amp;$A193&amp;"-"&amp;TEXT(($D193-$C193+1)+5,"00"),"")&amp;IF($C193&gt;=7,", "&amp;$A193&amp;"-"&amp;TEXT(($D193-$C193+1)+6,"00"),"")&amp;IF($C193&gt;=8,", "&amp;$A193&amp;"-"&amp;TEXT(($D193-$C193+1)+7,"00"),"")&amp;IF($C193&gt;=9,", "&amp;$A193&amp;"-"&amp;TEXT(($D193-$C193+1)+8,"00"),"")&amp;IF($C193&gt;=10,", "&amp;$A193&amp;"-"&amp;TEXT(($D193-$C193+1)+9,"00"),"")&amp;IF($C193&gt;=11,", "&amp;$A193&amp;"-"&amp;TEXT(($D193-$C193+1)+10,"00"),"")&amp;IF($C193&gt;=12,", "&amp;$A193&amp;"-"&amp;TEXT(($D193-$C193+1)+11,"00"),"")&amp;IF($C193&gt;=13,", "&amp;$A193&amp;"-"&amp;TEXT(($D193-$C193+1)+12,"00"),"")&amp;IF($C193&gt;=14,", "&amp;$A193&amp;"-"&amp;TEXT(($D193-$C193+1)+13,"00"),"")&amp;IF($C193&gt;=15,", "&amp;$A193&amp;"-"&amp;TEXT(($D193-$C193+1)+14,"00"),"")&amp;IF($C193&gt;=16,", "&amp;$A193&amp;"-"&amp;TEXT(($D193-$C193+1)+15,"00"),"")&amp;IF($C193&gt;=17,", "&amp;$A193&amp;"-"&amp;TEXT(($D193-$C193+1)+16,"00"),"")&amp;IF($C193&gt;=18,", "&amp;$A193&amp;"-"&amp;TEXT(($D193-$C193+1)+17,"00"),"")&amp;IF($C193&gt;=19,", "&amp;$A193&amp;"-"&amp;TEXT(($D193-$C193+1)+18,"00"),"")&amp;IF($C193&gt;=20,", "&amp;$A193&amp;"-"&amp;TEXT(($D193-$C193+1)+19,"00"),"")&amp;IF($C193&gt;=21,", "&amp;$A193&amp;"-"&amp;TEXT(($D193-$C193+1)+20,"00"),"")&amp;IF($C193&gt;=22,", "&amp;$A193&amp;"-"&amp;TEXT(($D193-$C193+1)+21,"00"),"")&amp;IF($C193&gt;=23,", "&amp;$A193&amp;"-"&amp;TEXT(($D193-$C193+1)+22,"00"),"")&amp;IF($C193&gt;=24,", "&amp;$A193&amp;"-"&amp;TEXT(($D193-$C193+1)+23,"00"),"")&amp;IF($C193&gt;=25,", "&amp;$A193&amp;"-"&amp;TEXT(($D193-$C193+1)+24,"00"),""))</f>
        <v/>
      </c>
      <c r="G193">
        <f>IF($A193="","",IF($E193=1,$F193,IF($F193="",$G192,IF($G192="",$F193,$G192&amp;", "&amp;$F193))))</f>
        <v/>
      </c>
      <c r="H193">
        <f>IF($A193="","",$A193&amp;" ("&amp;$C193&amp;")")</f>
        <v/>
      </c>
      <c r="I193">
        <f>IF($A193="","",IF($E193=1,$H193,$I192&amp;", "&amp;$H193))</f>
        <v/>
      </c>
      <c r="J193">
        <f>IF($A193="","",IF($E193=1,$B193,""))</f>
        <v/>
      </c>
      <c r="K193">
        <f>IF($A193="","",IF(COUNTIF($B$2:$B193,$B193)=COUNTIF($B$2:$B$1601,$B193),$B193,""))</f>
        <v/>
      </c>
    </row>
    <row r="194">
      <c r="A194">
        <f>IF('TMP Paste'!$E194="","",'TMP Paste'!$E194)</f>
        <v/>
      </c>
      <c r="B194">
        <f>IF($A194="","",COUNTIF('TMP Paste'!$B$2:$B194,"?*"))</f>
        <v/>
      </c>
      <c r="C194">
        <f>IF($A194="","",IFERROR('TMP Paste'!$M194*1,0))</f>
        <v/>
      </c>
      <c r="D194">
        <f>IF($A194="","",SUMIF($B$2:$B194,$B194,$C$2:$C194))</f>
        <v/>
      </c>
      <c r="E194">
        <f>IF($A194="",0,IF('TMP Paste'!$B194="",0,1))</f>
        <v/>
      </c>
      <c r="F194">
        <f>IF(OR($A194="",$C194&lt;1),"",$A194&amp;"-"&amp;TEXT(($D194-$C194+1),"00")&amp;IF($C194&gt;=2,", "&amp;$A194&amp;"-"&amp;TEXT(($D194-$C194+1)+1,"00"),"")&amp;IF($C194&gt;=3,", "&amp;$A194&amp;"-"&amp;TEXT(($D194-$C194+1)+2,"00"),"")&amp;IF($C194&gt;=4,", "&amp;$A194&amp;"-"&amp;TEXT(($D194-$C194+1)+3,"00"),"")&amp;IF($C194&gt;=5,", "&amp;$A194&amp;"-"&amp;TEXT(($D194-$C194+1)+4,"00"),"")&amp;IF($C194&gt;=6,", "&amp;$A194&amp;"-"&amp;TEXT(($D194-$C194+1)+5,"00"),"")&amp;IF($C194&gt;=7,", "&amp;$A194&amp;"-"&amp;TEXT(($D194-$C194+1)+6,"00"),"")&amp;IF($C194&gt;=8,", "&amp;$A194&amp;"-"&amp;TEXT(($D194-$C194+1)+7,"00"),"")&amp;IF($C194&gt;=9,", "&amp;$A194&amp;"-"&amp;TEXT(($D194-$C194+1)+8,"00"),"")&amp;IF($C194&gt;=10,", "&amp;$A194&amp;"-"&amp;TEXT(($D194-$C194+1)+9,"00"),"")&amp;IF($C194&gt;=11,", "&amp;$A194&amp;"-"&amp;TEXT(($D194-$C194+1)+10,"00"),"")&amp;IF($C194&gt;=12,", "&amp;$A194&amp;"-"&amp;TEXT(($D194-$C194+1)+11,"00"),"")&amp;IF($C194&gt;=13,", "&amp;$A194&amp;"-"&amp;TEXT(($D194-$C194+1)+12,"00"),"")&amp;IF($C194&gt;=14,", "&amp;$A194&amp;"-"&amp;TEXT(($D194-$C194+1)+13,"00"),"")&amp;IF($C194&gt;=15,", "&amp;$A194&amp;"-"&amp;TEXT(($D194-$C194+1)+14,"00"),"")&amp;IF($C194&gt;=16,", "&amp;$A194&amp;"-"&amp;TEXT(($D194-$C194+1)+15,"00"),"")&amp;IF($C194&gt;=17,", "&amp;$A194&amp;"-"&amp;TEXT(($D194-$C194+1)+16,"00"),"")&amp;IF($C194&gt;=18,", "&amp;$A194&amp;"-"&amp;TEXT(($D194-$C194+1)+17,"00"),"")&amp;IF($C194&gt;=19,", "&amp;$A194&amp;"-"&amp;TEXT(($D194-$C194+1)+18,"00"),"")&amp;IF($C194&gt;=20,", "&amp;$A194&amp;"-"&amp;TEXT(($D194-$C194+1)+19,"00"),"")&amp;IF($C194&gt;=21,", "&amp;$A194&amp;"-"&amp;TEXT(($D194-$C194+1)+20,"00"),"")&amp;IF($C194&gt;=22,", "&amp;$A194&amp;"-"&amp;TEXT(($D194-$C194+1)+21,"00"),"")&amp;IF($C194&gt;=23,", "&amp;$A194&amp;"-"&amp;TEXT(($D194-$C194+1)+22,"00"),"")&amp;IF($C194&gt;=24,", "&amp;$A194&amp;"-"&amp;TEXT(($D194-$C194+1)+23,"00"),"")&amp;IF($C194&gt;=25,", "&amp;$A194&amp;"-"&amp;TEXT(($D194-$C194+1)+24,"00"),""))</f>
        <v/>
      </c>
      <c r="G194">
        <f>IF($A194="","",IF($E194=1,$F194,IF($F194="",$G193,IF($G193="",$F194,$G193&amp;", "&amp;$F194))))</f>
        <v/>
      </c>
      <c r="H194">
        <f>IF($A194="","",$A194&amp;" ("&amp;$C194&amp;")")</f>
        <v/>
      </c>
      <c r="I194">
        <f>IF($A194="","",IF($E194=1,$H194,$I193&amp;", "&amp;$H194))</f>
        <v/>
      </c>
      <c r="J194">
        <f>IF($A194="","",IF($E194=1,$B194,""))</f>
        <v/>
      </c>
      <c r="K194">
        <f>IF($A194="","",IF(COUNTIF($B$2:$B194,$B194)=COUNTIF($B$2:$B$1601,$B194),$B194,""))</f>
        <v/>
      </c>
    </row>
    <row r="195">
      <c r="A195">
        <f>IF('TMP Paste'!$E195="","",'TMP Paste'!$E195)</f>
        <v/>
      </c>
      <c r="B195">
        <f>IF($A195="","",COUNTIF('TMP Paste'!$B$2:$B195,"?*"))</f>
        <v/>
      </c>
      <c r="C195">
        <f>IF($A195="","",IFERROR('TMP Paste'!$M195*1,0))</f>
        <v/>
      </c>
      <c r="D195">
        <f>IF($A195="","",SUMIF($B$2:$B195,$B195,$C$2:$C195))</f>
        <v/>
      </c>
      <c r="E195">
        <f>IF($A195="",0,IF('TMP Paste'!$B195="",0,1))</f>
        <v/>
      </c>
      <c r="F195">
        <f>IF(OR($A195="",$C195&lt;1),"",$A195&amp;"-"&amp;TEXT(($D195-$C195+1),"00")&amp;IF($C195&gt;=2,", "&amp;$A195&amp;"-"&amp;TEXT(($D195-$C195+1)+1,"00"),"")&amp;IF($C195&gt;=3,", "&amp;$A195&amp;"-"&amp;TEXT(($D195-$C195+1)+2,"00"),"")&amp;IF($C195&gt;=4,", "&amp;$A195&amp;"-"&amp;TEXT(($D195-$C195+1)+3,"00"),"")&amp;IF($C195&gt;=5,", "&amp;$A195&amp;"-"&amp;TEXT(($D195-$C195+1)+4,"00"),"")&amp;IF($C195&gt;=6,", "&amp;$A195&amp;"-"&amp;TEXT(($D195-$C195+1)+5,"00"),"")&amp;IF($C195&gt;=7,", "&amp;$A195&amp;"-"&amp;TEXT(($D195-$C195+1)+6,"00"),"")&amp;IF($C195&gt;=8,", "&amp;$A195&amp;"-"&amp;TEXT(($D195-$C195+1)+7,"00"),"")&amp;IF($C195&gt;=9,", "&amp;$A195&amp;"-"&amp;TEXT(($D195-$C195+1)+8,"00"),"")&amp;IF($C195&gt;=10,", "&amp;$A195&amp;"-"&amp;TEXT(($D195-$C195+1)+9,"00"),"")&amp;IF($C195&gt;=11,", "&amp;$A195&amp;"-"&amp;TEXT(($D195-$C195+1)+10,"00"),"")&amp;IF($C195&gt;=12,", "&amp;$A195&amp;"-"&amp;TEXT(($D195-$C195+1)+11,"00"),"")&amp;IF($C195&gt;=13,", "&amp;$A195&amp;"-"&amp;TEXT(($D195-$C195+1)+12,"00"),"")&amp;IF($C195&gt;=14,", "&amp;$A195&amp;"-"&amp;TEXT(($D195-$C195+1)+13,"00"),"")&amp;IF($C195&gt;=15,", "&amp;$A195&amp;"-"&amp;TEXT(($D195-$C195+1)+14,"00"),"")&amp;IF($C195&gt;=16,", "&amp;$A195&amp;"-"&amp;TEXT(($D195-$C195+1)+15,"00"),"")&amp;IF($C195&gt;=17,", "&amp;$A195&amp;"-"&amp;TEXT(($D195-$C195+1)+16,"00"),"")&amp;IF($C195&gt;=18,", "&amp;$A195&amp;"-"&amp;TEXT(($D195-$C195+1)+17,"00"),"")&amp;IF($C195&gt;=19,", "&amp;$A195&amp;"-"&amp;TEXT(($D195-$C195+1)+18,"00"),"")&amp;IF($C195&gt;=20,", "&amp;$A195&amp;"-"&amp;TEXT(($D195-$C195+1)+19,"00"),"")&amp;IF($C195&gt;=21,", "&amp;$A195&amp;"-"&amp;TEXT(($D195-$C195+1)+20,"00"),"")&amp;IF($C195&gt;=22,", "&amp;$A195&amp;"-"&amp;TEXT(($D195-$C195+1)+21,"00"),"")&amp;IF($C195&gt;=23,", "&amp;$A195&amp;"-"&amp;TEXT(($D195-$C195+1)+22,"00"),"")&amp;IF($C195&gt;=24,", "&amp;$A195&amp;"-"&amp;TEXT(($D195-$C195+1)+23,"00"),"")&amp;IF($C195&gt;=25,", "&amp;$A195&amp;"-"&amp;TEXT(($D195-$C195+1)+24,"00"),""))</f>
        <v/>
      </c>
      <c r="G195">
        <f>IF($A195="","",IF($E195=1,$F195,IF($F195="",$G194,IF($G194="",$F195,$G194&amp;", "&amp;$F195))))</f>
        <v/>
      </c>
      <c r="H195">
        <f>IF($A195="","",$A195&amp;" ("&amp;$C195&amp;")")</f>
        <v/>
      </c>
      <c r="I195">
        <f>IF($A195="","",IF($E195=1,$H195,$I194&amp;", "&amp;$H195))</f>
        <v/>
      </c>
      <c r="J195">
        <f>IF($A195="","",IF($E195=1,$B195,""))</f>
        <v/>
      </c>
      <c r="K195">
        <f>IF($A195="","",IF(COUNTIF($B$2:$B195,$B195)=COUNTIF($B$2:$B$1601,$B195),$B195,""))</f>
        <v/>
      </c>
    </row>
    <row r="196">
      <c r="A196">
        <f>IF('TMP Paste'!$E196="","",'TMP Paste'!$E196)</f>
        <v/>
      </c>
      <c r="B196">
        <f>IF($A196="","",COUNTIF('TMP Paste'!$B$2:$B196,"?*"))</f>
        <v/>
      </c>
      <c r="C196">
        <f>IF($A196="","",IFERROR('TMP Paste'!$M196*1,0))</f>
        <v/>
      </c>
      <c r="D196">
        <f>IF($A196="","",SUMIF($B$2:$B196,$B196,$C$2:$C196))</f>
        <v/>
      </c>
      <c r="E196">
        <f>IF($A196="",0,IF('TMP Paste'!$B196="",0,1))</f>
        <v/>
      </c>
      <c r="F196">
        <f>IF(OR($A196="",$C196&lt;1),"",$A196&amp;"-"&amp;TEXT(($D196-$C196+1),"00")&amp;IF($C196&gt;=2,", "&amp;$A196&amp;"-"&amp;TEXT(($D196-$C196+1)+1,"00"),"")&amp;IF($C196&gt;=3,", "&amp;$A196&amp;"-"&amp;TEXT(($D196-$C196+1)+2,"00"),"")&amp;IF($C196&gt;=4,", "&amp;$A196&amp;"-"&amp;TEXT(($D196-$C196+1)+3,"00"),"")&amp;IF($C196&gt;=5,", "&amp;$A196&amp;"-"&amp;TEXT(($D196-$C196+1)+4,"00"),"")&amp;IF($C196&gt;=6,", "&amp;$A196&amp;"-"&amp;TEXT(($D196-$C196+1)+5,"00"),"")&amp;IF($C196&gt;=7,", "&amp;$A196&amp;"-"&amp;TEXT(($D196-$C196+1)+6,"00"),"")&amp;IF($C196&gt;=8,", "&amp;$A196&amp;"-"&amp;TEXT(($D196-$C196+1)+7,"00"),"")&amp;IF($C196&gt;=9,", "&amp;$A196&amp;"-"&amp;TEXT(($D196-$C196+1)+8,"00"),"")&amp;IF($C196&gt;=10,", "&amp;$A196&amp;"-"&amp;TEXT(($D196-$C196+1)+9,"00"),"")&amp;IF($C196&gt;=11,", "&amp;$A196&amp;"-"&amp;TEXT(($D196-$C196+1)+10,"00"),"")&amp;IF($C196&gt;=12,", "&amp;$A196&amp;"-"&amp;TEXT(($D196-$C196+1)+11,"00"),"")&amp;IF($C196&gt;=13,", "&amp;$A196&amp;"-"&amp;TEXT(($D196-$C196+1)+12,"00"),"")&amp;IF($C196&gt;=14,", "&amp;$A196&amp;"-"&amp;TEXT(($D196-$C196+1)+13,"00"),"")&amp;IF($C196&gt;=15,", "&amp;$A196&amp;"-"&amp;TEXT(($D196-$C196+1)+14,"00"),"")&amp;IF($C196&gt;=16,", "&amp;$A196&amp;"-"&amp;TEXT(($D196-$C196+1)+15,"00"),"")&amp;IF($C196&gt;=17,", "&amp;$A196&amp;"-"&amp;TEXT(($D196-$C196+1)+16,"00"),"")&amp;IF($C196&gt;=18,", "&amp;$A196&amp;"-"&amp;TEXT(($D196-$C196+1)+17,"00"),"")&amp;IF($C196&gt;=19,", "&amp;$A196&amp;"-"&amp;TEXT(($D196-$C196+1)+18,"00"),"")&amp;IF($C196&gt;=20,", "&amp;$A196&amp;"-"&amp;TEXT(($D196-$C196+1)+19,"00"),"")&amp;IF($C196&gt;=21,", "&amp;$A196&amp;"-"&amp;TEXT(($D196-$C196+1)+20,"00"),"")&amp;IF($C196&gt;=22,", "&amp;$A196&amp;"-"&amp;TEXT(($D196-$C196+1)+21,"00"),"")&amp;IF($C196&gt;=23,", "&amp;$A196&amp;"-"&amp;TEXT(($D196-$C196+1)+22,"00"),"")&amp;IF($C196&gt;=24,", "&amp;$A196&amp;"-"&amp;TEXT(($D196-$C196+1)+23,"00"),"")&amp;IF($C196&gt;=25,", "&amp;$A196&amp;"-"&amp;TEXT(($D196-$C196+1)+24,"00"),""))</f>
        <v/>
      </c>
      <c r="G196">
        <f>IF($A196="","",IF($E196=1,$F196,IF($F196="",$G195,IF($G195="",$F196,$G195&amp;", "&amp;$F196))))</f>
        <v/>
      </c>
      <c r="H196">
        <f>IF($A196="","",$A196&amp;" ("&amp;$C196&amp;")")</f>
        <v/>
      </c>
      <c r="I196">
        <f>IF($A196="","",IF($E196=1,$H196,$I195&amp;", "&amp;$H196))</f>
        <v/>
      </c>
      <c r="J196">
        <f>IF($A196="","",IF($E196=1,$B196,""))</f>
        <v/>
      </c>
      <c r="K196">
        <f>IF($A196="","",IF(COUNTIF($B$2:$B196,$B196)=COUNTIF($B$2:$B$1601,$B196),$B196,""))</f>
        <v/>
      </c>
    </row>
    <row r="197">
      <c r="A197">
        <f>IF('TMP Paste'!$E197="","",'TMP Paste'!$E197)</f>
        <v/>
      </c>
      <c r="B197">
        <f>IF($A197="","",COUNTIF('TMP Paste'!$B$2:$B197,"?*"))</f>
        <v/>
      </c>
      <c r="C197">
        <f>IF($A197="","",IFERROR('TMP Paste'!$M197*1,0))</f>
        <v/>
      </c>
      <c r="D197">
        <f>IF($A197="","",SUMIF($B$2:$B197,$B197,$C$2:$C197))</f>
        <v/>
      </c>
      <c r="E197">
        <f>IF($A197="",0,IF('TMP Paste'!$B197="",0,1))</f>
        <v/>
      </c>
      <c r="F197">
        <f>IF(OR($A197="",$C197&lt;1),"",$A197&amp;"-"&amp;TEXT(($D197-$C197+1),"00")&amp;IF($C197&gt;=2,", "&amp;$A197&amp;"-"&amp;TEXT(($D197-$C197+1)+1,"00"),"")&amp;IF($C197&gt;=3,", "&amp;$A197&amp;"-"&amp;TEXT(($D197-$C197+1)+2,"00"),"")&amp;IF($C197&gt;=4,", "&amp;$A197&amp;"-"&amp;TEXT(($D197-$C197+1)+3,"00"),"")&amp;IF($C197&gt;=5,", "&amp;$A197&amp;"-"&amp;TEXT(($D197-$C197+1)+4,"00"),"")&amp;IF($C197&gt;=6,", "&amp;$A197&amp;"-"&amp;TEXT(($D197-$C197+1)+5,"00"),"")&amp;IF($C197&gt;=7,", "&amp;$A197&amp;"-"&amp;TEXT(($D197-$C197+1)+6,"00"),"")&amp;IF($C197&gt;=8,", "&amp;$A197&amp;"-"&amp;TEXT(($D197-$C197+1)+7,"00"),"")&amp;IF($C197&gt;=9,", "&amp;$A197&amp;"-"&amp;TEXT(($D197-$C197+1)+8,"00"),"")&amp;IF($C197&gt;=10,", "&amp;$A197&amp;"-"&amp;TEXT(($D197-$C197+1)+9,"00"),"")&amp;IF($C197&gt;=11,", "&amp;$A197&amp;"-"&amp;TEXT(($D197-$C197+1)+10,"00"),"")&amp;IF($C197&gt;=12,", "&amp;$A197&amp;"-"&amp;TEXT(($D197-$C197+1)+11,"00"),"")&amp;IF($C197&gt;=13,", "&amp;$A197&amp;"-"&amp;TEXT(($D197-$C197+1)+12,"00"),"")&amp;IF($C197&gt;=14,", "&amp;$A197&amp;"-"&amp;TEXT(($D197-$C197+1)+13,"00"),"")&amp;IF($C197&gt;=15,", "&amp;$A197&amp;"-"&amp;TEXT(($D197-$C197+1)+14,"00"),"")&amp;IF($C197&gt;=16,", "&amp;$A197&amp;"-"&amp;TEXT(($D197-$C197+1)+15,"00"),"")&amp;IF($C197&gt;=17,", "&amp;$A197&amp;"-"&amp;TEXT(($D197-$C197+1)+16,"00"),"")&amp;IF($C197&gt;=18,", "&amp;$A197&amp;"-"&amp;TEXT(($D197-$C197+1)+17,"00"),"")&amp;IF($C197&gt;=19,", "&amp;$A197&amp;"-"&amp;TEXT(($D197-$C197+1)+18,"00"),"")&amp;IF($C197&gt;=20,", "&amp;$A197&amp;"-"&amp;TEXT(($D197-$C197+1)+19,"00"),"")&amp;IF($C197&gt;=21,", "&amp;$A197&amp;"-"&amp;TEXT(($D197-$C197+1)+20,"00"),"")&amp;IF($C197&gt;=22,", "&amp;$A197&amp;"-"&amp;TEXT(($D197-$C197+1)+21,"00"),"")&amp;IF($C197&gt;=23,", "&amp;$A197&amp;"-"&amp;TEXT(($D197-$C197+1)+22,"00"),"")&amp;IF($C197&gt;=24,", "&amp;$A197&amp;"-"&amp;TEXT(($D197-$C197+1)+23,"00"),"")&amp;IF($C197&gt;=25,", "&amp;$A197&amp;"-"&amp;TEXT(($D197-$C197+1)+24,"00"),""))</f>
        <v/>
      </c>
      <c r="G197">
        <f>IF($A197="","",IF($E197=1,$F197,IF($F197="",$G196,IF($G196="",$F197,$G196&amp;", "&amp;$F197))))</f>
        <v/>
      </c>
      <c r="H197">
        <f>IF($A197="","",$A197&amp;" ("&amp;$C197&amp;")")</f>
        <v/>
      </c>
      <c r="I197">
        <f>IF($A197="","",IF($E197=1,$H197,$I196&amp;", "&amp;$H197))</f>
        <v/>
      </c>
      <c r="J197">
        <f>IF($A197="","",IF($E197=1,$B197,""))</f>
        <v/>
      </c>
      <c r="K197">
        <f>IF($A197="","",IF(COUNTIF($B$2:$B197,$B197)=COUNTIF($B$2:$B$1601,$B197),$B197,""))</f>
        <v/>
      </c>
    </row>
    <row r="198">
      <c r="A198">
        <f>IF('TMP Paste'!$E198="","",'TMP Paste'!$E198)</f>
        <v/>
      </c>
      <c r="B198">
        <f>IF($A198="","",COUNTIF('TMP Paste'!$B$2:$B198,"?*"))</f>
        <v/>
      </c>
      <c r="C198">
        <f>IF($A198="","",IFERROR('TMP Paste'!$M198*1,0))</f>
        <v/>
      </c>
      <c r="D198">
        <f>IF($A198="","",SUMIF($B$2:$B198,$B198,$C$2:$C198))</f>
        <v/>
      </c>
      <c r="E198">
        <f>IF($A198="",0,IF('TMP Paste'!$B198="",0,1))</f>
        <v/>
      </c>
      <c r="F198">
        <f>IF(OR($A198="",$C198&lt;1),"",$A198&amp;"-"&amp;TEXT(($D198-$C198+1),"00")&amp;IF($C198&gt;=2,", "&amp;$A198&amp;"-"&amp;TEXT(($D198-$C198+1)+1,"00"),"")&amp;IF($C198&gt;=3,", "&amp;$A198&amp;"-"&amp;TEXT(($D198-$C198+1)+2,"00"),"")&amp;IF($C198&gt;=4,", "&amp;$A198&amp;"-"&amp;TEXT(($D198-$C198+1)+3,"00"),"")&amp;IF($C198&gt;=5,", "&amp;$A198&amp;"-"&amp;TEXT(($D198-$C198+1)+4,"00"),"")&amp;IF($C198&gt;=6,", "&amp;$A198&amp;"-"&amp;TEXT(($D198-$C198+1)+5,"00"),"")&amp;IF($C198&gt;=7,", "&amp;$A198&amp;"-"&amp;TEXT(($D198-$C198+1)+6,"00"),"")&amp;IF($C198&gt;=8,", "&amp;$A198&amp;"-"&amp;TEXT(($D198-$C198+1)+7,"00"),"")&amp;IF($C198&gt;=9,", "&amp;$A198&amp;"-"&amp;TEXT(($D198-$C198+1)+8,"00"),"")&amp;IF($C198&gt;=10,", "&amp;$A198&amp;"-"&amp;TEXT(($D198-$C198+1)+9,"00"),"")&amp;IF($C198&gt;=11,", "&amp;$A198&amp;"-"&amp;TEXT(($D198-$C198+1)+10,"00"),"")&amp;IF($C198&gt;=12,", "&amp;$A198&amp;"-"&amp;TEXT(($D198-$C198+1)+11,"00"),"")&amp;IF($C198&gt;=13,", "&amp;$A198&amp;"-"&amp;TEXT(($D198-$C198+1)+12,"00"),"")&amp;IF($C198&gt;=14,", "&amp;$A198&amp;"-"&amp;TEXT(($D198-$C198+1)+13,"00"),"")&amp;IF($C198&gt;=15,", "&amp;$A198&amp;"-"&amp;TEXT(($D198-$C198+1)+14,"00"),"")&amp;IF($C198&gt;=16,", "&amp;$A198&amp;"-"&amp;TEXT(($D198-$C198+1)+15,"00"),"")&amp;IF($C198&gt;=17,", "&amp;$A198&amp;"-"&amp;TEXT(($D198-$C198+1)+16,"00"),"")&amp;IF($C198&gt;=18,", "&amp;$A198&amp;"-"&amp;TEXT(($D198-$C198+1)+17,"00"),"")&amp;IF($C198&gt;=19,", "&amp;$A198&amp;"-"&amp;TEXT(($D198-$C198+1)+18,"00"),"")&amp;IF($C198&gt;=20,", "&amp;$A198&amp;"-"&amp;TEXT(($D198-$C198+1)+19,"00"),"")&amp;IF($C198&gt;=21,", "&amp;$A198&amp;"-"&amp;TEXT(($D198-$C198+1)+20,"00"),"")&amp;IF($C198&gt;=22,", "&amp;$A198&amp;"-"&amp;TEXT(($D198-$C198+1)+21,"00"),"")&amp;IF($C198&gt;=23,", "&amp;$A198&amp;"-"&amp;TEXT(($D198-$C198+1)+22,"00"),"")&amp;IF($C198&gt;=24,", "&amp;$A198&amp;"-"&amp;TEXT(($D198-$C198+1)+23,"00"),"")&amp;IF($C198&gt;=25,", "&amp;$A198&amp;"-"&amp;TEXT(($D198-$C198+1)+24,"00"),""))</f>
        <v/>
      </c>
      <c r="G198">
        <f>IF($A198="","",IF($E198=1,$F198,IF($F198="",$G197,IF($G197="",$F198,$G197&amp;", "&amp;$F198))))</f>
        <v/>
      </c>
      <c r="H198">
        <f>IF($A198="","",$A198&amp;" ("&amp;$C198&amp;")")</f>
        <v/>
      </c>
      <c r="I198">
        <f>IF($A198="","",IF($E198=1,$H198,$I197&amp;", "&amp;$H198))</f>
        <v/>
      </c>
      <c r="J198">
        <f>IF($A198="","",IF($E198=1,$B198,""))</f>
        <v/>
      </c>
      <c r="K198">
        <f>IF($A198="","",IF(COUNTIF($B$2:$B198,$B198)=COUNTIF($B$2:$B$1601,$B198),$B198,""))</f>
        <v/>
      </c>
    </row>
    <row r="199">
      <c r="A199">
        <f>IF('TMP Paste'!$E199="","",'TMP Paste'!$E199)</f>
        <v/>
      </c>
      <c r="B199">
        <f>IF($A199="","",COUNTIF('TMP Paste'!$B$2:$B199,"?*"))</f>
        <v/>
      </c>
      <c r="C199">
        <f>IF($A199="","",IFERROR('TMP Paste'!$M199*1,0))</f>
        <v/>
      </c>
      <c r="D199">
        <f>IF($A199="","",SUMIF($B$2:$B199,$B199,$C$2:$C199))</f>
        <v/>
      </c>
      <c r="E199">
        <f>IF($A199="",0,IF('TMP Paste'!$B199="",0,1))</f>
        <v/>
      </c>
      <c r="F199">
        <f>IF(OR($A199="",$C199&lt;1),"",$A199&amp;"-"&amp;TEXT(($D199-$C199+1),"00")&amp;IF($C199&gt;=2,", "&amp;$A199&amp;"-"&amp;TEXT(($D199-$C199+1)+1,"00"),"")&amp;IF($C199&gt;=3,", "&amp;$A199&amp;"-"&amp;TEXT(($D199-$C199+1)+2,"00"),"")&amp;IF($C199&gt;=4,", "&amp;$A199&amp;"-"&amp;TEXT(($D199-$C199+1)+3,"00"),"")&amp;IF($C199&gt;=5,", "&amp;$A199&amp;"-"&amp;TEXT(($D199-$C199+1)+4,"00"),"")&amp;IF($C199&gt;=6,", "&amp;$A199&amp;"-"&amp;TEXT(($D199-$C199+1)+5,"00"),"")&amp;IF($C199&gt;=7,", "&amp;$A199&amp;"-"&amp;TEXT(($D199-$C199+1)+6,"00"),"")&amp;IF($C199&gt;=8,", "&amp;$A199&amp;"-"&amp;TEXT(($D199-$C199+1)+7,"00"),"")&amp;IF($C199&gt;=9,", "&amp;$A199&amp;"-"&amp;TEXT(($D199-$C199+1)+8,"00"),"")&amp;IF($C199&gt;=10,", "&amp;$A199&amp;"-"&amp;TEXT(($D199-$C199+1)+9,"00"),"")&amp;IF($C199&gt;=11,", "&amp;$A199&amp;"-"&amp;TEXT(($D199-$C199+1)+10,"00"),"")&amp;IF($C199&gt;=12,", "&amp;$A199&amp;"-"&amp;TEXT(($D199-$C199+1)+11,"00"),"")&amp;IF($C199&gt;=13,", "&amp;$A199&amp;"-"&amp;TEXT(($D199-$C199+1)+12,"00"),"")&amp;IF($C199&gt;=14,", "&amp;$A199&amp;"-"&amp;TEXT(($D199-$C199+1)+13,"00"),"")&amp;IF($C199&gt;=15,", "&amp;$A199&amp;"-"&amp;TEXT(($D199-$C199+1)+14,"00"),"")&amp;IF($C199&gt;=16,", "&amp;$A199&amp;"-"&amp;TEXT(($D199-$C199+1)+15,"00"),"")&amp;IF($C199&gt;=17,", "&amp;$A199&amp;"-"&amp;TEXT(($D199-$C199+1)+16,"00"),"")&amp;IF($C199&gt;=18,", "&amp;$A199&amp;"-"&amp;TEXT(($D199-$C199+1)+17,"00"),"")&amp;IF($C199&gt;=19,", "&amp;$A199&amp;"-"&amp;TEXT(($D199-$C199+1)+18,"00"),"")&amp;IF($C199&gt;=20,", "&amp;$A199&amp;"-"&amp;TEXT(($D199-$C199+1)+19,"00"),"")&amp;IF($C199&gt;=21,", "&amp;$A199&amp;"-"&amp;TEXT(($D199-$C199+1)+20,"00"),"")&amp;IF($C199&gt;=22,", "&amp;$A199&amp;"-"&amp;TEXT(($D199-$C199+1)+21,"00"),"")&amp;IF($C199&gt;=23,", "&amp;$A199&amp;"-"&amp;TEXT(($D199-$C199+1)+22,"00"),"")&amp;IF($C199&gt;=24,", "&amp;$A199&amp;"-"&amp;TEXT(($D199-$C199+1)+23,"00"),"")&amp;IF($C199&gt;=25,", "&amp;$A199&amp;"-"&amp;TEXT(($D199-$C199+1)+24,"00"),""))</f>
        <v/>
      </c>
      <c r="G199">
        <f>IF($A199="","",IF($E199=1,$F199,IF($F199="",$G198,IF($G198="",$F199,$G198&amp;", "&amp;$F199))))</f>
        <v/>
      </c>
      <c r="H199">
        <f>IF($A199="","",$A199&amp;" ("&amp;$C199&amp;")")</f>
        <v/>
      </c>
      <c r="I199">
        <f>IF($A199="","",IF($E199=1,$H199,$I198&amp;", "&amp;$H199))</f>
        <v/>
      </c>
      <c r="J199">
        <f>IF($A199="","",IF($E199=1,$B199,""))</f>
        <v/>
      </c>
      <c r="K199">
        <f>IF($A199="","",IF(COUNTIF($B$2:$B199,$B199)=COUNTIF($B$2:$B$1601,$B199),$B199,""))</f>
        <v/>
      </c>
    </row>
    <row r="200">
      <c r="A200">
        <f>IF('TMP Paste'!$E200="","",'TMP Paste'!$E200)</f>
        <v/>
      </c>
      <c r="B200">
        <f>IF($A200="","",COUNTIF('TMP Paste'!$B$2:$B200,"?*"))</f>
        <v/>
      </c>
      <c r="C200">
        <f>IF($A200="","",IFERROR('TMP Paste'!$M200*1,0))</f>
        <v/>
      </c>
      <c r="D200">
        <f>IF($A200="","",SUMIF($B$2:$B200,$B200,$C$2:$C200))</f>
        <v/>
      </c>
      <c r="E200">
        <f>IF($A200="",0,IF('TMP Paste'!$B200="",0,1))</f>
        <v/>
      </c>
      <c r="F200">
        <f>IF(OR($A200="",$C200&lt;1),"",$A200&amp;"-"&amp;TEXT(($D200-$C200+1),"00")&amp;IF($C200&gt;=2,", "&amp;$A200&amp;"-"&amp;TEXT(($D200-$C200+1)+1,"00"),"")&amp;IF($C200&gt;=3,", "&amp;$A200&amp;"-"&amp;TEXT(($D200-$C200+1)+2,"00"),"")&amp;IF($C200&gt;=4,", "&amp;$A200&amp;"-"&amp;TEXT(($D200-$C200+1)+3,"00"),"")&amp;IF($C200&gt;=5,", "&amp;$A200&amp;"-"&amp;TEXT(($D200-$C200+1)+4,"00"),"")&amp;IF($C200&gt;=6,", "&amp;$A200&amp;"-"&amp;TEXT(($D200-$C200+1)+5,"00"),"")&amp;IF($C200&gt;=7,", "&amp;$A200&amp;"-"&amp;TEXT(($D200-$C200+1)+6,"00"),"")&amp;IF($C200&gt;=8,", "&amp;$A200&amp;"-"&amp;TEXT(($D200-$C200+1)+7,"00"),"")&amp;IF($C200&gt;=9,", "&amp;$A200&amp;"-"&amp;TEXT(($D200-$C200+1)+8,"00"),"")&amp;IF($C200&gt;=10,", "&amp;$A200&amp;"-"&amp;TEXT(($D200-$C200+1)+9,"00"),"")&amp;IF($C200&gt;=11,", "&amp;$A200&amp;"-"&amp;TEXT(($D200-$C200+1)+10,"00"),"")&amp;IF($C200&gt;=12,", "&amp;$A200&amp;"-"&amp;TEXT(($D200-$C200+1)+11,"00"),"")&amp;IF($C200&gt;=13,", "&amp;$A200&amp;"-"&amp;TEXT(($D200-$C200+1)+12,"00"),"")&amp;IF($C200&gt;=14,", "&amp;$A200&amp;"-"&amp;TEXT(($D200-$C200+1)+13,"00"),"")&amp;IF($C200&gt;=15,", "&amp;$A200&amp;"-"&amp;TEXT(($D200-$C200+1)+14,"00"),"")&amp;IF($C200&gt;=16,", "&amp;$A200&amp;"-"&amp;TEXT(($D200-$C200+1)+15,"00"),"")&amp;IF($C200&gt;=17,", "&amp;$A200&amp;"-"&amp;TEXT(($D200-$C200+1)+16,"00"),"")&amp;IF($C200&gt;=18,", "&amp;$A200&amp;"-"&amp;TEXT(($D200-$C200+1)+17,"00"),"")&amp;IF($C200&gt;=19,", "&amp;$A200&amp;"-"&amp;TEXT(($D200-$C200+1)+18,"00"),"")&amp;IF($C200&gt;=20,", "&amp;$A200&amp;"-"&amp;TEXT(($D200-$C200+1)+19,"00"),"")&amp;IF($C200&gt;=21,", "&amp;$A200&amp;"-"&amp;TEXT(($D200-$C200+1)+20,"00"),"")&amp;IF($C200&gt;=22,", "&amp;$A200&amp;"-"&amp;TEXT(($D200-$C200+1)+21,"00"),"")&amp;IF($C200&gt;=23,", "&amp;$A200&amp;"-"&amp;TEXT(($D200-$C200+1)+22,"00"),"")&amp;IF($C200&gt;=24,", "&amp;$A200&amp;"-"&amp;TEXT(($D200-$C200+1)+23,"00"),"")&amp;IF($C200&gt;=25,", "&amp;$A200&amp;"-"&amp;TEXT(($D200-$C200+1)+24,"00"),""))</f>
        <v/>
      </c>
      <c r="G200">
        <f>IF($A200="","",IF($E200=1,$F200,IF($F200="",$G199,IF($G199="",$F200,$G199&amp;", "&amp;$F200))))</f>
        <v/>
      </c>
      <c r="H200">
        <f>IF($A200="","",$A200&amp;" ("&amp;$C200&amp;")")</f>
        <v/>
      </c>
      <c r="I200">
        <f>IF($A200="","",IF($E200=1,$H200,$I199&amp;", "&amp;$H200))</f>
        <v/>
      </c>
      <c r="J200">
        <f>IF($A200="","",IF($E200=1,$B200,""))</f>
        <v/>
      </c>
      <c r="K200">
        <f>IF($A200="","",IF(COUNTIF($B$2:$B200,$B200)=COUNTIF($B$2:$B$1601,$B200),$B200,""))</f>
        <v/>
      </c>
    </row>
    <row r="201">
      <c r="A201">
        <f>IF('TMP Paste'!$E201="","",'TMP Paste'!$E201)</f>
        <v/>
      </c>
      <c r="B201">
        <f>IF($A201="","",COUNTIF('TMP Paste'!$B$2:$B201,"?*"))</f>
        <v/>
      </c>
      <c r="C201">
        <f>IF($A201="","",IFERROR('TMP Paste'!$M201*1,0))</f>
        <v/>
      </c>
      <c r="D201">
        <f>IF($A201="","",SUMIF($B$2:$B201,$B201,$C$2:$C201))</f>
        <v/>
      </c>
      <c r="E201">
        <f>IF($A201="",0,IF('TMP Paste'!$B201="",0,1))</f>
        <v/>
      </c>
      <c r="F201">
        <f>IF(OR($A201="",$C201&lt;1),"",$A201&amp;"-"&amp;TEXT(($D201-$C201+1),"00")&amp;IF($C201&gt;=2,", "&amp;$A201&amp;"-"&amp;TEXT(($D201-$C201+1)+1,"00"),"")&amp;IF($C201&gt;=3,", "&amp;$A201&amp;"-"&amp;TEXT(($D201-$C201+1)+2,"00"),"")&amp;IF($C201&gt;=4,", "&amp;$A201&amp;"-"&amp;TEXT(($D201-$C201+1)+3,"00"),"")&amp;IF($C201&gt;=5,", "&amp;$A201&amp;"-"&amp;TEXT(($D201-$C201+1)+4,"00"),"")&amp;IF($C201&gt;=6,", "&amp;$A201&amp;"-"&amp;TEXT(($D201-$C201+1)+5,"00"),"")&amp;IF($C201&gt;=7,", "&amp;$A201&amp;"-"&amp;TEXT(($D201-$C201+1)+6,"00"),"")&amp;IF($C201&gt;=8,", "&amp;$A201&amp;"-"&amp;TEXT(($D201-$C201+1)+7,"00"),"")&amp;IF($C201&gt;=9,", "&amp;$A201&amp;"-"&amp;TEXT(($D201-$C201+1)+8,"00"),"")&amp;IF($C201&gt;=10,", "&amp;$A201&amp;"-"&amp;TEXT(($D201-$C201+1)+9,"00"),"")&amp;IF($C201&gt;=11,", "&amp;$A201&amp;"-"&amp;TEXT(($D201-$C201+1)+10,"00"),"")&amp;IF($C201&gt;=12,", "&amp;$A201&amp;"-"&amp;TEXT(($D201-$C201+1)+11,"00"),"")&amp;IF($C201&gt;=13,", "&amp;$A201&amp;"-"&amp;TEXT(($D201-$C201+1)+12,"00"),"")&amp;IF($C201&gt;=14,", "&amp;$A201&amp;"-"&amp;TEXT(($D201-$C201+1)+13,"00"),"")&amp;IF($C201&gt;=15,", "&amp;$A201&amp;"-"&amp;TEXT(($D201-$C201+1)+14,"00"),"")&amp;IF($C201&gt;=16,", "&amp;$A201&amp;"-"&amp;TEXT(($D201-$C201+1)+15,"00"),"")&amp;IF($C201&gt;=17,", "&amp;$A201&amp;"-"&amp;TEXT(($D201-$C201+1)+16,"00"),"")&amp;IF($C201&gt;=18,", "&amp;$A201&amp;"-"&amp;TEXT(($D201-$C201+1)+17,"00"),"")&amp;IF($C201&gt;=19,", "&amp;$A201&amp;"-"&amp;TEXT(($D201-$C201+1)+18,"00"),"")&amp;IF($C201&gt;=20,", "&amp;$A201&amp;"-"&amp;TEXT(($D201-$C201+1)+19,"00"),"")&amp;IF($C201&gt;=21,", "&amp;$A201&amp;"-"&amp;TEXT(($D201-$C201+1)+20,"00"),"")&amp;IF($C201&gt;=22,", "&amp;$A201&amp;"-"&amp;TEXT(($D201-$C201+1)+21,"00"),"")&amp;IF($C201&gt;=23,", "&amp;$A201&amp;"-"&amp;TEXT(($D201-$C201+1)+22,"00"),"")&amp;IF($C201&gt;=24,", "&amp;$A201&amp;"-"&amp;TEXT(($D201-$C201+1)+23,"00"),"")&amp;IF($C201&gt;=25,", "&amp;$A201&amp;"-"&amp;TEXT(($D201-$C201+1)+24,"00"),""))</f>
        <v/>
      </c>
      <c r="G201">
        <f>IF($A201="","",IF($E201=1,$F201,IF($F201="",$G200,IF($G200="",$F201,$G200&amp;", "&amp;$F201))))</f>
        <v/>
      </c>
      <c r="H201">
        <f>IF($A201="","",$A201&amp;" ("&amp;$C201&amp;")")</f>
        <v/>
      </c>
      <c r="I201">
        <f>IF($A201="","",IF($E201=1,$H201,$I200&amp;", "&amp;$H201))</f>
        <v/>
      </c>
      <c r="J201">
        <f>IF($A201="","",IF($E201=1,$B201,""))</f>
        <v/>
      </c>
      <c r="K201">
        <f>IF($A201="","",IF(COUNTIF($B$2:$B201,$B201)=COUNTIF($B$2:$B$1601,$B201),$B201,""))</f>
        <v/>
      </c>
    </row>
    <row r="202">
      <c r="A202">
        <f>IF('TMP Paste'!$E202="","",'TMP Paste'!$E202)</f>
        <v/>
      </c>
      <c r="B202">
        <f>IF($A202="","",COUNTIF('TMP Paste'!$B$2:$B202,"?*"))</f>
        <v/>
      </c>
      <c r="C202">
        <f>IF($A202="","",IFERROR('TMP Paste'!$M202*1,0))</f>
        <v/>
      </c>
      <c r="D202">
        <f>IF($A202="","",SUMIF($B$2:$B202,$B202,$C$2:$C202))</f>
        <v/>
      </c>
      <c r="E202">
        <f>IF($A202="",0,IF('TMP Paste'!$B202="",0,1))</f>
        <v/>
      </c>
      <c r="F202">
        <f>IF(OR($A202="",$C202&lt;1),"",$A202&amp;"-"&amp;TEXT(($D202-$C202+1),"00")&amp;IF($C202&gt;=2,", "&amp;$A202&amp;"-"&amp;TEXT(($D202-$C202+1)+1,"00"),"")&amp;IF($C202&gt;=3,", "&amp;$A202&amp;"-"&amp;TEXT(($D202-$C202+1)+2,"00"),"")&amp;IF($C202&gt;=4,", "&amp;$A202&amp;"-"&amp;TEXT(($D202-$C202+1)+3,"00"),"")&amp;IF($C202&gt;=5,", "&amp;$A202&amp;"-"&amp;TEXT(($D202-$C202+1)+4,"00"),"")&amp;IF($C202&gt;=6,", "&amp;$A202&amp;"-"&amp;TEXT(($D202-$C202+1)+5,"00"),"")&amp;IF($C202&gt;=7,", "&amp;$A202&amp;"-"&amp;TEXT(($D202-$C202+1)+6,"00"),"")&amp;IF($C202&gt;=8,", "&amp;$A202&amp;"-"&amp;TEXT(($D202-$C202+1)+7,"00"),"")&amp;IF($C202&gt;=9,", "&amp;$A202&amp;"-"&amp;TEXT(($D202-$C202+1)+8,"00"),"")&amp;IF($C202&gt;=10,", "&amp;$A202&amp;"-"&amp;TEXT(($D202-$C202+1)+9,"00"),"")&amp;IF($C202&gt;=11,", "&amp;$A202&amp;"-"&amp;TEXT(($D202-$C202+1)+10,"00"),"")&amp;IF($C202&gt;=12,", "&amp;$A202&amp;"-"&amp;TEXT(($D202-$C202+1)+11,"00"),"")&amp;IF($C202&gt;=13,", "&amp;$A202&amp;"-"&amp;TEXT(($D202-$C202+1)+12,"00"),"")&amp;IF($C202&gt;=14,", "&amp;$A202&amp;"-"&amp;TEXT(($D202-$C202+1)+13,"00"),"")&amp;IF($C202&gt;=15,", "&amp;$A202&amp;"-"&amp;TEXT(($D202-$C202+1)+14,"00"),"")&amp;IF($C202&gt;=16,", "&amp;$A202&amp;"-"&amp;TEXT(($D202-$C202+1)+15,"00"),"")&amp;IF($C202&gt;=17,", "&amp;$A202&amp;"-"&amp;TEXT(($D202-$C202+1)+16,"00"),"")&amp;IF($C202&gt;=18,", "&amp;$A202&amp;"-"&amp;TEXT(($D202-$C202+1)+17,"00"),"")&amp;IF($C202&gt;=19,", "&amp;$A202&amp;"-"&amp;TEXT(($D202-$C202+1)+18,"00"),"")&amp;IF($C202&gt;=20,", "&amp;$A202&amp;"-"&amp;TEXT(($D202-$C202+1)+19,"00"),"")&amp;IF($C202&gt;=21,", "&amp;$A202&amp;"-"&amp;TEXT(($D202-$C202+1)+20,"00"),"")&amp;IF($C202&gt;=22,", "&amp;$A202&amp;"-"&amp;TEXT(($D202-$C202+1)+21,"00"),"")&amp;IF($C202&gt;=23,", "&amp;$A202&amp;"-"&amp;TEXT(($D202-$C202+1)+22,"00"),"")&amp;IF($C202&gt;=24,", "&amp;$A202&amp;"-"&amp;TEXT(($D202-$C202+1)+23,"00"),"")&amp;IF($C202&gt;=25,", "&amp;$A202&amp;"-"&amp;TEXT(($D202-$C202+1)+24,"00"),""))</f>
        <v/>
      </c>
      <c r="G202">
        <f>IF($A202="","",IF($E202=1,$F202,IF($F202="",$G201,IF($G201="",$F202,$G201&amp;", "&amp;$F202))))</f>
        <v/>
      </c>
      <c r="H202">
        <f>IF($A202="","",$A202&amp;" ("&amp;$C202&amp;")")</f>
        <v/>
      </c>
      <c r="I202">
        <f>IF($A202="","",IF($E202=1,$H202,$I201&amp;", "&amp;$H202))</f>
        <v/>
      </c>
      <c r="J202">
        <f>IF($A202="","",IF($E202=1,$B202,""))</f>
        <v/>
      </c>
      <c r="K202">
        <f>IF($A202="","",IF(COUNTIF($B$2:$B202,$B202)=COUNTIF($B$2:$B$1601,$B202),$B202,""))</f>
        <v/>
      </c>
    </row>
    <row r="203">
      <c r="A203">
        <f>IF('TMP Paste'!$E203="","",'TMP Paste'!$E203)</f>
        <v/>
      </c>
      <c r="B203">
        <f>IF($A203="","",COUNTIF('TMP Paste'!$B$2:$B203,"?*"))</f>
        <v/>
      </c>
      <c r="C203">
        <f>IF($A203="","",IFERROR('TMP Paste'!$M203*1,0))</f>
        <v/>
      </c>
      <c r="D203">
        <f>IF($A203="","",SUMIF($B$2:$B203,$B203,$C$2:$C203))</f>
        <v/>
      </c>
      <c r="E203">
        <f>IF($A203="",0,IF('TMP Paste'!$B203="",0,1))</f>
        <v/>
      </c>
      <c r="F203">
        <f>IF(OR($A203="",$C203&lt;1),"",$A203&amp;"-"&amp;TEXT(($D203-$C203+1),"00")&amp;IF($C203&gt;=2,", "&amp;$A203&amp;"-"&amp;TEXT(($D203-$C203+1)+1,"00"),"")&amp;IF($C203&gt;=3,", "&amp;$A203&amp;"-"&amp;TEXT(($D203-$C203+1)+2,"00"),"")&amp;IF($C203&gt;=4,", "&amp;$A203&amp;"-"&amp;TEXT(($D203-$C203+1)+3,"00"),"")&amp;IF($C203&gt;=5,", "&amp;$A203&amp;"-"&amp;TEXT(($D203-$C203+1)+4,"00"),"")&amp;IF($C203&gt;=6,", "&amp;$A203&amp;"-"&amp;TEXT(($D203-$C203+1)+5,"00"),"")&amp;IF($C203&gt;=7,", "&amp;$A203&amp;"-"&amp;TEXT(($D203-$C203+1)+6,"00"),"")&amp;IF($C203&gt;=8,", "&amp;$A203&amp;"-"&amp;TEXT(($D203-$C203+1)+7,"00"),"")&amp;IF($C203&gt;=9,", "&amp;$A203&amp;"-"&amp;TEXT(($D203-$C203+1)+8,"00"),"")&amp;IF($C203&gt;=10,", "&amp;$A203&amp;"-"&amp;TEXT(($D203-$C203+1)+9,"00"),"")&amp;IF($C203&gt;=11,", "&amp;$A203&amp;"-"&amp;TEXT(($D203-$C203+1)+10,"00"),"")&amp;IF($C203&gt;=12,", "&amp;$A203&amp;"-"&amp;TEXT(($D203-$C203+1)+11,"00"),"")&amp;IF($C203&gt;=13,", "&amp;$A203&amp;"-"&amp;TEXT(($D203-$C203+1)+12,"00"),"")&amp;IF($C203&gt;=14,", "&amp;$A203&amp;"-"&amp;TEXT(($D203-$C203+1)+13,"00"),"")&amp;IF($C203&gt;=15,", "&amp;$A203&amp;"-"&amp;TEXT(($D203-$C203+1)+14,"00"),"")&amp;IF($C203&gt;=16,", "&amp;$A203&amp;"-"&amp;TEXT(($D203-$C203+1)+15,"00"),"")&amp;IF($C203&gt;=17,", "&amp;$A203&amp;"-"&amp;TEXT(($D203-$C203+1)+16,"00"),"")&amp;IF($C203&gt;=18,", "&amp;$A203&amp;"-"&amp;TEXT(($D203-$C203+1)+17,"00"),"")&amp;IF($C203&gt;=19,", "&amp;$A203&amp;"-"&amp;TEXT(($D203-$C203+1)+18,"00"),"")&amp;IF($C203&gt;=20,", "&amp;$A203&amp;"-"&amp;TEXT(($D203-$C203+1)+19,"00"),"")&amp;IF($C203&gt;=21,", "&amp;$A203&amp;"-"&amp;TEXT(($D203-$C203+1)+20,"00"),"")&amp;IF($C203&gt;=22,", "&amp;$A203&amp;"-"&amp;TEXT(($D203-$C203+1)+21,"00"),"")&amp;IF($C203&gt;=23,", "&amp;$A203&amp;"-"&amp;TEXT(($D203-$C203+1)+22,"00"),"")&amp;IF($C203&gt;=24,", "&amp;$A203&amp;"-"&amp;TEXT(($D203-$C203+1)+23,"00"),"")&amp;IF($C203&gt;=25,", "&amp;$A203&amp;"-"&amp;TEXT(($D203-$C203+1)+24,"00"),""))</f>
        <v/>
      </c>
      <c r="G203">
        <f>IF($A203="","",IF($E203=1,$F203,IF($F203="",$G202,IF($G202="",$F203,$G202&amp;", "&amp;$F203))))</f>
        <v/>
      </c>
      <c r="H203">
        <f>IF($A203="","",$A203&amp;" ("&amp;$C203&amp;")")</f>
        <v/>
      </c>
      <c r="I203">
        <f>IF($A203="","",IF($E203=1,$H203,$I202&amp;", "&amp;$H203))</f>
        <v/>
      </c>
      <c r="J203">
        <f>IF($A203="","",IF($E203=1,$B203,""))</f>
        <v/>
      </c>
      <c r="K203">
        <f>IF($A203="","",IF(COUNTIF($B$2:$B203,$B203)=COUNTIF($B$2:$B$1601,$B203),$B203,""))</f>
        <v/>
      </c>
    </row>
    <row r="204">
      <c r="A204">
        <f>IF('TMP Paste'!$E204="","",'TMP Paste'!$E204)</f>
        <v/>
      </c>
      <c r="B204">
        <f>IF($A204="","",COUNTIF('TMP Paste'!$B$2:$B204,"?*"))</f>
        <v/>
      </c>
      <c r="C204">
        <f>IF($A204="","",IFERROR('TMP Paste'!$M204*1,0))</f>
        <v/>
      </c>
      <c r="D204">
        <f>IF($A204="","",SUMIF($B$2:$B204,$B204,$C$2:$C204))</f>
        <v/>
      </c>
      <c r="E204">
        <f>IF($A204="",0,IF('TMP Paste'!$B204="",0,1))</f>
        <v/>
      </c>
      <c r="F204">
        <f>IF(OR($A204="",$C204&lt;1),"",$A204&amp;"-"&amp;TEXT(($D204-$C204+1),"00")&amp;IF($C204&gt;=2,", "&amp;$A204&amp;"-"&amp;TEXT(($D204-$C204+1)+1,"00"),"")&amp;IF($C204&gt;=3,", "&amp;$A204&amp;"-"&amp;TEXT(($D204-$C204+1)+2,"00"),"")&amp;IF($C204&gt;=4,", "&amp;$A204&amp;"-"&amp;TEXT(($D204-$C204+1)+3,"00"),"")&amp;IF($C204&gt;=5,", "&amp;$A204&amp;"-"&amp;TEXT(($D204-$C204+1)+4,"00"),"")&amp;IF($C204&gt;=6,", "&amp;$A204&amp;"-"&amp;TEXT(($D204-$C204+1)+5,"00"),"")&amp;IF($C204&gt;=7,", "&amp;$A204&amp;"-"&amp;TEXT(($D204-$C204+1)+6,"00"),"")&amp;IF($C204&gt;=8,", "&amp;$A204&amp;"-"&amp;TEXT(($D204-$C204+1)+7,"00"),"")&amp;IF($C204&gt;=9,", "&amp;$A204&amp;"-"&amp;TEXT(($D204-$C204+1)+8,"00"),"")&amp;IF($C204&gt;=10,", "&amp;$A204&amp;"-"&amp;TEXT(($D204-$C204+1)+9,"00"),"")&amp;IF($C204&gt;=11,", "&amp;$A204&amp;"-"&amp;TEXT(($D204-$C204+1)+10,"00"),"")&amp;IF($C204&gt;=12,", "&amp;$A204&amp;"-"&amp;TEXT(($D204-$C204+1)+11,"00"),"")&amp;IF($C204&gt;=13,", "&amp;$A204&amp;"-"&amp;TEXT(($D204-$C204+1)+12,"00"),"")&amp;IF($C204&gt;=14,", "&amp;$A204&amp;"-"&amp;TEXT(($D204-$C204+1)+13,"00"),"")&amp;IF($C204&gt;=15,", "&amp;$A204&amp;"-"&amp;TEXT(($D204-$C204+1)+14,"00"),"")&amp;IF($C204&gt;=16,", "&amp;$A204&amp;"-"&amp;TEXT(($D204-$C204+1)+15,"00"),"")&amp;IF($C204&gt;=17,", "&amp;$A204&amp;"-"&amp;TEXT(($D204-$C204+1)+16,"00"),"")&amp;IF($C204&gt;=18,", "&amp;$A204&amp;"-"&amp;TEXT(($D204-$C204+1)+17,"00"),"")&amp;IF($C204&gt;=19,", "&amp;$A204&amp;"-"&amp;TEXT(($D204-$C204+1)+18,"00"),"")&amp;IF($C204&gt;=20,", "&amp;$A204&amp;"-"&amp;TEXT(($D204-$C204+1)+19,"00"),"")&amp;IF($C204&gt;=21,", "&amp;$A204&amp;"-"&amp;TEXT(($D204-$C204+1)+20,"00"),"")&amp;IF($C204&gt;=22,", "&amp;$A204&amp;"-"&amp;TEXT(($D204-$C204+1)+21,"00"),"")&amp;IF($C204&gt;=23,", "&amp;$A204&amp;"-"&amp;TEXT(($D204-$C204+1)+22,"00"),"")&amp;IF($C204&gt;=24,", "&amp;$A204&amp;"-"&amp;TEXT(($D204-$C204+1)+23,"00"),"")&amp;IF($C204&gt;=25,", "&amp;$A204&amp;"-"&amp;TEXT(($D204-$C204+1)+24,"00"),""))</f>
        <v/>
      </c>
      <c r="G204">
        <f>IF($A204="","",IF($E204=1,$F204,IF($F204="",$G203,IF($G203="",$F204,$G203&amp;", "&amp;$F204))))</f>
        <v/>
      </c>
      <c r="H204">
        <f>IF($A204="","",$A204&amp;" ("&amp;$C204&amp;")")</f>
        <v/>
      </c>
      <c r="I204">
        <f>IF($A204="","",IF($E204=1,$H204,$I203&amp;", "&amp;$H204))</f>
        <v/>
      </c>
      <c r="J204">
        <f>IF($A204="","",IF($E204=1,$B204,""))</f>
        <v/>
      </c>
      <c r="K204">
        <f>IF($A204="","",IF(COUNTIF($B$2:$B204,$B204)=COUNTIF($B$2:$B$1601,$B204),$B204,""))</f>
        <v/>
      </c>
    </row>
    <row r="205">
      <c r="A205">
        <f>IF('TMP Paste'!$E205="","",'TMP Paste'!$E205)</f>
        <v/>
      </c>
      <c r="B205">
        <f>IF($A205="","",COUNTIF('TMP Paste'!$B$2:$B205,"?*"))</f>
        <v/>
      </c>
      <c r="C205">
        <f>IF($A205="","",IFERROR('TMP Paste'!$M205*1,0))</f>
        <v/>
      </c>
      <c r="D205">
        <f>IF($A205="","",SUMIF($B$2:$B205,$B205,$C$2:$C205))</f>
        <v/>
      </c>
      <c r="E205">
        <f>IF($A205="",0,IF('TMP Paste'!$B205="",0,1))</f>
        <v/>
      </c>
      <c r="F205">
        <f>IF(OR($A205="",$C205&lt;1),"",$A205&amp;"-"&amp;TEXT(($D205-$C205+1),"00")&amp;IF($C205&gt;=2,", "&amp;$A205&amp;"-"&amp;TEXT(($D205-$C205+1)+1,"00"),"")&amp;IF($C205&gt;=3,", "&amp;$A205&amp;"-"&amp;TEXT(($D205-$C205+1)+2,"00"),"")&amp;IF($C205&gt;=4,", "&amp;$A205&amp;"-"&amp;TEXT(($D205-$C205+1)+3,"00"),"")&amp;IF($C205&gt;=5,", "&amp;$A205&amp;"-"&amp;TEXT(($D205-$C205+1)+4,"00"),"")&amp;IF($C205&gt;=6,", "&amp;$A205&amp;"-"&amp;TEXT(($D205-$C205+1)+5,"00"),"")&amp;IF($C205&gt;=7,", "&amp;$A205&amp;"-"&amp;TEXT(($D205-$C205+1)+6,"00"),"")&amp;IF($C205&gt;=8,", "&amp;$A205&amp;"-"&amp;TEXT(($D205-$C205+1)+7,"00"),"")&amp;IF($C205&gt;=9,", "&amp;$A205&amp;"-"&amp;TEXT(($D205-$C205+1)+8,"00"),"")&amp;IF($C205&gt;=10,", "&amp;$A205&amp;"-"&amp;TEXT(($D205-$C205+1)+9,"00"),"")&amp;IF($C205&gt;=11,", "&amp;$A205&amp;"-"&amp;TEXT(($D205-$C205+1)+10,"00"),"")&amp;IF($C205&gt;=12,", "&amp;$A205&amp;"-"&amp;TEXT(($D205-$C205+1)+11,"00"),"")&amp;IF($C205&gt;=13,", "&amp;$A205&amp;"-"&amp;TEXT(($D205-$C205+1)+12,"00"),"")&amp;IF($C205&gt;=14,", "&amp;$A205&amp;"-"&amp;TEXT(($D205-$C205+1)+13,"00"),"")&amp;IF($C205&gt;=15,", "&amp;$A205&amp;"-"&amp;TEXT(($D205-$C205+1)+14,"00"),"")&amp;IF($C205&gt;=16,", "&amp;$A205&amp;"-"&amp;TEXT(($D205-$C205+1)+15,"00"),"")&amp;IF($C205&gt;=17,", "&amp;$A205&amp;"-"&amp;TEXT(($D205-$C205+1)+16,"00"),"")&amp;IF($C205&gt;=18,", "&amp;$A205&amp;"-"&amp;TEXT(($D205-$C205+1)+17,"00"),"")&amp;IF($C205&gt;=19,", "&amp;$A205&amp;"-"&amp;TEXT(($D205-$C205+1)+18,"00"),"")&amp;IF($C205&gt;=20,", "&amp;$A205&amp;"-"&amp;TEXT(($D205-$C205+1)+19,"00"),"")&amp;IF($C205&gt;=21,", "&amp;$A205&amp;"-"&amp;TEXT(($D205-$C205+1)+20,"00"),"")&amp;IF($C205&gt;=22,", "&amp;$A205&amp;"-"&amp;TEXT(($D205-$C205+1)+21,"00"),"")&amp;IF($C205&gt;=23,", "&amp;$A205&amp;"-"&amp;TEXT(($D205-$C205+1)+22,"00"),"")&amp;IF($C205&gt;=24,", "&amp;$A205&amp;"-"&amp;TEXT(($D205-$C205+1)+23,"00"),"")&amp;IF($C205&gt;=25,", "&amp;$A205&amp;"-"&amp;TEXT(($D205-$C205+1)+24,"00"),""))</f>
        <v/>
      </c>
      <c r="G205">
        <f>IF($A205="","",IF($E205=1,$F205,IF($F205="",$G204,IF($G204="",$F205,$G204&amp;", "&amp;$F205))))</f>
        <v/>
      </c>
      <c r="H205">
        <f>IF($A205="","",$A205&amp;" ("&amp;$C205&amp;")")</f>
        <v/>
      </c>
      <c r="I205">
        <f>IF($A205="","",IF($E205=1,$H205,$I204&amp;", "&amp;$H205))</f>
        <v/>
      </c>
      <c r="J205">
        <f>IF($A205="","",IF($E205=1,$B205,""))</f>
        <v/>
      </c>
      <c r="K205">
        <f>IF($A205="","",IF(COUNTIF($B$2:$B205,$B205)=COUNTIF($B$2:$B$1601,$B205),$B205,""))</f>
        <v/>
      </c>
    </row>
    <row r="206">
      <c r="A206">
        <f>IF('TMP Paste'!$E206="","",'TMP Paste'!$E206)</f>
        <v/>
      </c>
      <c r="B206">
        <f>IF($A206="","",COUNTIF('TMP Paste'!$B$2:$B206,"?*"))</f>
        <v/>
      </c>
      <c r="C206">
        <f>IF($A206="","",IFERROR('TMP Paste'!$M206*1,0))</f>
        <v/>
      </c>
      <c r="D206">
        <f>IF($A206="","",SUMIF($B$2:$B206,$B206,$C$2:$C206))</f>
        <v/>
      </c>
      <c r="E206">
        <f>IF($A206="",0,IF('TMP Paste'!$B206="",0,1))</f>
        <v/>
      </c>
      <c r="F206">
        <f>IF(OR($A206="",$C206&lt;1),"",$A206&amp;"-"&amp;TEXT(($D206-$C206+1),"00")&amp;IF($C206&gt;=2,", "&amp;$A206&amp;"-"&amp;TEXT(($D206-$C206+1)+1,"00"),"")&amp;IF($C206&gt;=3,", "&amp;$A206&amp;"-"&amp;TEXT(($D206-$C206+1)+2,"00"),"")&amp;IF($C206&gt;=4,", "&amp;$A206&amp;"-"&amp;TEXT(($D206-$C206+1)+3,"00"),"")&amp;IF($C206&gt;=5,", "&amp;$A206&amp;"-"&amp;TEXT(($D206-$C206+1)+4,"00"),"")&amp;IF($C206&gt;=6,", "&amp;$A206&amp;"-"&amp;TEXT(($D206-$C206+1)+5,"00"),"")&amp;IF($C206&gt;=7,", "&amp;$A206&amp;"-"&amp;TEXT(($D206-$C206+1)+6,"00"),"")&amp;IF($C206&gt;=8,", "&amp;$A206&amp;"-"&amp;TEXT(($D206-$C206+1)+7,"00"),"")&amp;IF($C206&gt;=9,", "&amp;$A206&amp;"-"&amp;TEXT(($D206-$C206+1)+8,"00"),"")&amp;IF($C206&gt;=10,", "&amp;$A206&amp;"-"&amp;TEXT(($D206-$C206+1)+9,"00"),"")&amp;IF($C206&gt;=11,", "&amp;$A206&amp;"-"&amp;TEXT(($D206-$C206+1)+10,"00"),"")&amp;IF($C206&gt;=12,", "&amp;$A206&amp;"-"&amp;TEXT(($D206-$C206+1)+11,"00"),"")&amp;IF($C206&gt;=13,", "&amp;$A206&amp;"-"&amp;TEXT(($D206-$C206+1)+12,"00"),"")&amp;IF($C206&gt;=14,", "&amp;$A206&amp;"-"&amp;TEXT(($D206-$C206+1)+13,"00"),"")&amp;IF($C206&gt;=15,", "&amp;$A206&amp;"-"&amp;TEXT(($D206-$C206+1)+14,"00"),"")&amp;IF($C206&gt;=16,", "&amp;$A206&amp;"-"&amp;TEXT(($D206-$C206+1)+15,"00"),"")&amp;IF($C206&gt;=17,", "&amp;$A206&amp;"-"&amp;TEXT(($D206-$C206+1)+16,"00"),"")&amp;IF($C206&gt;=18,", "&amp;$A206&amp;"-"&amp;TEXT(($D206-$C206+1)+17,"00"),"")&amp;IF($C206&gt;=19,", "&amp;$A206&amp;"-"&amp;TEXT(($D206-$C206+1)+18,"00"),"")&amp;IF($C206&gt;=20,", "&amp;$A206&amp;"-"&amp;TEXT(($D206-$C206+1)+19,"00"),"")&amp;IF($C206&gt;=21,", "&amp;$A206&amp;"-"&amp;TEXT(($D206-$C206+1)+20,"00"),"")&amp;IF($C206&gt;=22,", "&amp;$A206&amp;"-"&amp;TEXT(($D206-$C206+1)+21,"00"),"")&amp;IF($C206&gt;=23,", "&amp;$A206&amp;"-"&amp;TEXT(($D206-$C206+1)+22,"00"),"")&amp;IF($C206&gt;=24,", "&amp;$A206&amp;"-"&amp;TEXT(($D206-$C206+1)+23,"00"),"")&amp;IF($C206&gt;=25,", "&amp;$A206&amp;"-"&amp;TEXT(($D206-$C206+1)+24,"00"),""))</f>
        <v/>
      </c>
      <c r="G206">
        <f>IF($A206="","",IF($E206=1,$F206,IF($F206="",$G205,IF($G205="",$F206,$G205&amp;", "&amp;$F206))))</f>
        <v/>
      </c>
      <c r="H206">
        <f>IF($A206="","",$A206&amp;" ("&amp;$C206&amp;")")</f>
        <v/>
      </c>
      <c r="I206">
        <f>IF($A206="","",IF($E206=1,$H206,$I205&amp;", "&amp;$H206))</f>
        <v/>
      </c>
      <c r="J206">
        <f>IF($A206="","",IF($E206=1,$B206,""))</f>
        <v/>
      </c>
      <c r="K206">
        <f>IF($A206="","",IF(COUNTIF($B$2:$B206,$B206)=COUNTIF($B$2:$B$1601,$B206),$B206,""))</f>
        <v/>
      </c>
    </row>
    <row r="207">
      <c r="A207">
        <f>IF('TMP Paste'!$E207="","",'TMP Paste'!$E207)</f>
        <v/>
      </c>
      <c r="B207">
        <f>IF($A207="","",COUNTIF('TMP Paste'!$B$2:$B207,"?*"))</f>
        <v/>
      </c>
      <c r="C207">
        <f>IF($A207="","",IFERROR('TMP Paste'!$M207*1,0))</f>
        <v/>
      </c>
      <c r="D207">
        <f>IF($A207="","",SUMIF($B$2:$B207,$B207,$C$2:$C207))</f>
        <v/>
      </c>
      <c r="E207">
        <f>IF($A207="",0,IF('TMP Paste'!$B207="",0,1))</f>
        <v/>
      </c>
      <c r="F207">
        <f>IF(OR($A207="",$C207&lt;1),"",$A207&amp;"-"&amp;TEXT(($D207-$C207+1),"00")&amp;IF($C207&gt;=2,", "&amp;$A207&amp;"-"&amp;TEXT(($D207-$C207+1)+1,"00"),"")&amp;IF($C207&gt;=3,", "&amp;$A207&amp;"-"&amp;TEXT(($D207-$C207+1)+2,"00"),"")&amp;IF($C207&gt;=4,", "&amp;$A207&amp;"-"&amp;TEXT(($D207-$C207+1)+3,"00"),"")&amp;IF($C207&gt;=5,", "&amp;$A207&amp;"-"&amp;TEXT(($D207-$C207+1)+4,"00"),"")&amp;IF($C207&gt;=6,", "&amp;$A207&amp;"-"&amp;TEXT(($D207-$C207+1)+5,"00"),"")&amp;IF($C207&gt;=7,", "&amp;$A207&amp;"-"&amp;TEXT(($D207-$C207+1)+6,"00"),"")&amp;IF($C207&gt;=8,", "&amp;$A207&amp;"-"&amp;TEXT(($D207-$C207+1)+7,"00"),"")&amp;IF($C207&gt;=9,", "&amp;$A207&amp;"-"&amp;TEXT(($D207-$C207+1)+8,"00"),"")&amp;IF($C207&gt;=10,", "&amp;$A207&amp;"-"&amp;TEXT(($D207-$C207+1)+9,"00"),"")&amp;IF($C207&gt;=11,", "&amp;$A207&amp;"-"&amp;TEXT(($D207-$C207+1)+10,"00"),"")&amp;IF($C207&gt;=12,", "&amp;$A207&amp;"-"&amp;TEXT(($D207-$C207+1)+11,"00"),"")&amp;IF($C207&gt;=13,", "&amp;$A207&amp;"-"&amp;TEXT(($D207-$C207+1)+12,"00"),"")&amp;IF($C207&gt;=14,", "&amp;$A207&amp;"-"&amp;TEXT(($D207-$C207+1)+13,"00"),"")&amp;IF($C207&gt;=15,", "&amp;$A207&amp;"-"&amp;TEXT(($D207-$C207+1)+14,"00"),"")&amp;IF($C207&gt;=16,", "&amp;$A207&amp;"-"&amp;TEXT(($D207-$C207+1)+15,"00"),"")&amp;IF($C207&gt;=17,", "&amp;$A207&amp;"-"&amp;TEXT(($D207-$C207+1)+16,"00"),"")&amp;IF($C207&gt;=18,", "&amp;$A207&amp;"-"&amp;TEXT(($D207-$C207+1)+17,"00"),"")&amp;IF($C207&gt;=19,", "&amp;$A207&amp;"-"&amp;TEXT(($D207-$C207+1)+18,"00"),"")&amp;IF($C207&gt;=20,", "&amp;$A207&amp;"-"&amp;TEXT(($D207-$C207+1)+19,"00"),"")&amp;IF($C207&gt;=21,", "&amp;$A207&amp;"-"&amp;TEXT(($D207-$C207+1)+20,"00"),"")&amp;IF($C207&gt;=22,", "&amp;$A207&amp;"-"&amp;TEXT(($D207-$C207+1)+21,"00"),"")&amp;IF($C207&gt;=23,", "&amp;$A207&amp;"-"&amp;TEXT(($D207-$C207+1)+22,"00"),"")&amp;IF($C207&gt;=24,", "&amp;$A207&amp;"-"&amp;TEXT(($D207-$C207+1)+23,"00"),"")&amp;IF($C207&gt;=25,", "&amp;$A207&amp;"-"&amp;TEXT(($D207-$C207+1)+24,"00"),""))</f>
        <v/>
      </c>
      <c r="G207">
        <f>IF($A207="","",IF($E207=1,$F207,IF($F207="",$G206,IF($G206="",$F207,$G206&amp;", "&amp;$F207))))</f>
        <v/>
      </c>
      <c r="H207">
        <f>IF($A207="","",$A207&amp;" ("&amp;$C207&amp;")")</f>
        <v/>
      </c>
      <c r="I207">
        <f>IF($A207="","",IF($E207=1,$H207,$I206&amp;", "&amp;$H207))</f>
        <v/>
      </c>
      <c r="J207">
        <f>IF($A207="","",IF($E207=1,$B207,""))</f>
        <v/>
      </c>
      <c r="K207">
        <f>IF($A207="","",IF(COUNTIF($B$2:$B207,$B207)=COUNTIF($B$2:$B$1601,$B207),$B207,""))</f>
        <v/>
      </c>
    </row>
    <row r="208">
      <c r="A208">
        <f>IF('TMP Paste'!$E208="","",'TMP Paste'!$E208)</f>
        <v/>
      </c>
      <c r="B208">
        <f>IF($A208="","",COUNTIF('TMP Paste'!$B$2:$B208,"?*"))</f>
        <v/>
      </c>
      <c r="C208">
        <f>IF($A208="","",IFERROR('TMP Paste'!$M208*1,0))</f>
        <v/>
      </c>
      <c r="D208">
        <f>IF($A208="","",SUMIF($B$2:$B208,$B208,$C$2:$C208))</f>
        <v/>
      </c>
      <c r="E208">
        <f>IF($A208="",0,IF('TMP Paste'!$B208="",0,1))</f>
        <v/>
      </c>
      <c r="F208">
        <f>IF(OR($A208="",$C208&lt;1),"",$A208&amp;"-"&amp;TEXT(($D208-$C208+1),"00")&amp;IF($C208&gt;=2,", "&amp;$A208&amp;"-"&amp;TEXT(($D208-$C208+1)+1,"00"),"")&amp;IF($C208&gt;=3,", "&amp;$A208&amp;"-"&amp;TEXT(($D208-$C208+1)+2,"00"),"")&amp;IF($C208&gt;=4,", "&amp;$A208&amp;"-"&amp;TEXT(($D208-$C208+1)+3,"00"),"")&amp;IF($C208&gt;=5,", "&amp;$A208&amp;"-"&amp;TEXT(($D208-$C208+1)+4,"00"),"")&amp;IF($C208&gt;=6,", "&amp;$A208&amp;"-"&amp;TEXT(($D208-$C208+1)+5,"00"),"")&amp;IF($C208&gt;=7,", "&amp;$A208&amp;"-"&amp;TEXT(($D208-$C208+1)+6,"00"),"")&amp;IF($C208&gt;=8,", "&amp;$A208&amp;"-"&amp;TEXT(($D208-$C208+1)+7,"00"),"")&amp;IF($C208&gt;=9,", "&amp;$A208&amp;"-"&amp;TEXT(($D208-$C208+1)+8,"00"),"")&amp;IF($C208&gt;=10,", "&amp;$A208&amp;"-"&amp;TEXT(($D208-$C208+1)+9,"00"),"")&amp;IF($C208&gt;=11,", "&amp;$A208&amp;"-"&amp;TEXT(($D208-$C208+1)+10,"00"),"")&amp;IF($C208&gt;=12,", "&amp;$A208&amp;"-"&amp;TEXT(($D208-$C208+1)+11,"00"),"")&amp;IF($C208&gt;=13,", "&amp;$A208&amp;"-"&amp;TEXT(($D208-$C208+1)+12,"00"),"")&amp;IF($C208&gt;=14,", "&amp;$A208&amp;"-"&amp;TEXT(($D208-$C208+1)+13,"00"),"")&amp;IF($C208&gt;=15,", "&amp;$A208&amp;"-"&amp;TEXT(($D208-$C208+1)+14,"00"),"")&amp;IF($C208&gt;=16,", "&amp;$A208&amp;"-"&amp;TEXT(($D208-$C208+1)+15,"00"),"")&amp;IF($C208&gt;=17,", "&amp;$A208&amp;"-"&amp;TEXT(($D208-$C208+1)+16,"00"),"")&amp;IF($C208&gt;=18,", "&amp;$A208&amp;"-"&amp;TEXT(($D208-$C208+1)+17,"00"),"")&amp;IF($C208&gt;=19,", "&amp;$A208&amp;"-"&amp;TEXT(($D208-$C208+1)+18,"00"),"")&amp;IF($C208&gt;=20,", "&amp;$A208&amp;"-"&amp;TEXT(($D208-$C208+1)+19,"00"),"")&amp;IF($C208&gt;=21,", "&amp;$A208&amp;"-"&amp;TEXT(($D208-$C208+1)+20,"00"),"")&amp;IF($C208&gt;=22,", "&amp;$A208&amp;"-"&amp;TEXT(($D208-$C208+1)+21,"00"),"")&amp;IF($C208&gt;=23,", "&amp;$A208&amp;"-"&amp;TEXT(($D208-$C208+1)+22,"00"),"")&amp;IF($C208&gt;=24,", "&amp;$A208&amp;"-"&amp;TEXT(($D208-$C208+1)+23,"00"),"")&amp;IF($C208&gt;=25,", "&amp;$A208&amp;"-"&amp;TEXT(($D208-$C208+1)+24,"00"),""))</f>
        <v/>
      </c>
      <c r="G208">
        <f>IF($A208="","",IF($E208=1,$F208,IF($F208="",$G207,IF($G207="",$F208,$G207&amp;", "&amp;$F208))))</f>
        <v/>
      </c>
      <c r="H208">
        <f>IF($A208="","",$A208&amp;" ("&amp;$C208&amp;")")</f>
        <v/>
      </c>
      <c r="I208">
        <f>IF($A208="","",IF($E208=1,$H208,$I207&amp;", "&amp;$H208))</f>
        <v/>
      </c>
      <c r="J208">
        <f>IF($A208="","",IF($E208=1,$B208,""))</f>
        <v/>
      </c>
      <c r="K208">
        <f>IF($A208="","",IF(COUNTIF($B$2:$B208,$B208)=COUNTIF($B$2:$B$1601,$B208),$B208,""))</f>
        <v/>
      </c>
    </row>
    <row r="209">
      <c r="A209">
        <f>IF('TMP Paste'!$E209="","",'TMP Paste'!$E209)</f>
        <v/>
      </c>
      <c r="B209">
        <f>IF($A209="","",COUNTIF('TMP Paste'!$B$2:$B209,"?*"))</f>
        <v/>
      </c>
      <c r="C209">
        <f>IF($A209="","",IFERROR('TMP Paste'!$M209*1,0))</f>
        <v/>
      </c>
      <c r="D209">
        <f>IF($A209="","",SUMIF($B$2:$B209,$B209,$C$2:$C209))</f>
        <v/>
      </c>
      <c r="E209">
        <f>IF($A209="",0,IF('TMP Paste'!$B209="",0,1))</f>
        <v/>
      </c>
      <c r="F209">
        <f>IF(OR($A209="",$C209&lt;1),"",$A209&amp;"-"&amp;TEXT(($D209-$C209+1),"00")&amp;IF($C209&gt;=2,", "&amp;$A209&amp;"-"&amp;TEXT(($D209-$C209+1)+1,"00"),"")&amp;IF($C209&gt;=3,", "&amp;$A209&amp;"-"&amp;TEXT(($D209-$C209+1)+2,"00"),"")&amp;IF($C209&gt;=4,", "&amp;$A209&amp;"-"&amp;TEXT(($D209-$C209+1)+3,"00"),"")&amp;IF($C209&gt;=5,", "&amp;$A209&amp;"-"&amp;TEXT(($D209-$C209+1)+4,"00"),"")&amp;IF($C209&gt;=6,", "&amp;$A209&amp;"-"&amp;TEXT(($D209-$C209+1)+5,"00"),"")&amp;IF($C209&gt;=7,", "&amp;$A209&amp;"-"&amp;TEXT(($D209-$C209+1)+6,"00"),"")&amp;IF($C209&gt;=8,", "&amp;$A209&amp;"-"&amp;TEXT(($D209-$C209+1)+7,"00"),"")&amp;IF($C209&gt;=9,", "&amp;$A209&amp;"-"&amp;TEXT(($D209-$C209+1)+8,"00"),"")&amp;IF($C209&gt;=10,", "&amp;$A209&amp;"-"&amp;TEXT(($D209-$C209+1)+9,"00"),"")&amp;IF($C209&gt;=11,", "&amp;$A209&amp;"-"&amp;TEXT(($D209-$C209+1)+10,"00"),"")&amp;IF($C209&gt;=12,", "&amp;$A209&amp;"-"&amp;TEXT(($D209-$C209+1)+11,"00"),"")&amp;IF($C209&gt;=13,", "&amp;$A209&amp;"-"&amp;TEXT(($D209-$C209+1)+12,"00"),"")&amp;IF($C209&gt;=14,", "&amp;$A209&amp;"-"&amp;TEXT(($D209-$C209+1)+13,"00"),"")&amp;IF($C209&gt;=15,", "&amp;$A209&amp;"-"&amp;TEXT(($D209-$C209+1)+14,"00"),"")&amp;IF($C209&gt;=16,", "&amp;$A209&amp;"-"&amp;TEXT(($D209-$C209+1)+15,"00"),"")&amp;IF($C209&gt;=17,", "&amp;$A209&amp;"-"&amp;TEXT(($D209-$C209+1)+16,"00"),"")&amp;IF($C209&gt;=18,", "&amp;$A209&amp;"-"&amp;TEXT(($D209-$C209+1)+17,"00"),"")&amp;IF($C209&gt;=19,", "&amp;$A209&amp;"-"&amp;TEXT(($D209-$C209+1)+18,"00"),"")&amp;IF($C209&gt;=20,", "&amp;$A209&amp;"-"&amp;TEXT(($D209-$C209+1)+19,"00"),"")&amp;IF($C209&gt;=21,", "&amp;$A209&amp;"-"&amp;TEXT(($D209-$C209+1)+20,"00"),"")&amp;IF($C209&gt;=22,", "&amp;$A209&amp;"-"&amp;TEXT(($D209-$C209+1)+21,"00"),"")&amp;IF($C209&gt;=23,", "&amp;$A209&amp;"-"&amp;TEXT(($D209-$C209+1)+22,"00"),"")&amp;IF($C209&gt;=24,", "&amp;$A209&amp;"-"&amp;TEXT(($D209-$C209+1)+23,"00"),"")&amp;IF($C209&gt;=25,", "&amp;$A209&amp;"-"&amp;TEXT(($D209-$C209+1)+24,"00"),""))</f>
        <v/>
      </c>
      <c r="G209">
        <f>IF($A209="","",IF($E209=1,$F209,IF($F209="",$G208,IF($G208="",$F209,$G208&amp;", "&amp;$F209))))</f>
        <v/>
      </c>
      <c r="H209">
        <f>IF($A209="","",$A209&amp;" ("&amp;$C209&amp;")")</f>
        <v/>
      </c>
      <c r="I209">
        <f>IF($A209="","",IF($E209=1,$H209,$I208&amp;", "&amp;$H209))</f>
        <v/>
      </c>
      <c r="J209">
        <f>IF($A209="","",IF($E209=1,$B209,""))</f>
        <v/>
      </c>
      <c r="K209">
        <f>IF($A209="","",IF(COUNTIF($B$2:$B209,$B209)=COUNTIF($B$2:$B$1601,$B209),$B209,""))</f>
        <v/>
      </c>
    </row>
    <row r="210">
      <c r="A210">
        <f>IF('TMP Paste'!$E210="","",'TMP Paste'!$E210)</f>
        <v/>
      </c>
      <c r="B210">
        <f>IF($A210="","",COUNTIF('TMP Paste'!$B$2:$B210,"?*"))</f>
        <v/>
      </c>
      <c r="C210">
        <f>IF($A210="","",IFERROR('TMP Paste'!$M210*1,0))</f>
        <v/>
      </c>
      <c r="D210">
        <f>IF($A210="","",SUMIF($B$2:$B210,$B210,$C$2:$C210))</f>
        <v/>
      </c>
      <c r="E210">
        <f>IF($A210="",0,IF('TMP Paste'!$B210="",0,1))</f>
        <v/>
      </c>
      <c r="F210">
        <f>IF(OR($A210="",$C210&lt;1),"",$A210&amp;"-"&amp;TEXT(($D210-$C210+1),"00")&amp;IF($C210&gt;=2,", "&amp;$A210&amp;"-"&amp;TEXT(($D210-$C210+1)+1,"00"),"")&amp;IF($C210&gt;=3,", "&amp;$A210&amp;"-"&amp;TEXT(($D210-$C210+1)+2,"00"),"")&amp;IF($C210&gt;=4,", "&amp;$A210&amp;"-"&amp;TEXT(($D210-$C210+1)+3,"00"),"")&amp;IF($C210&gt;=5,", "&amp;$A210&amp;"-"&amp;TEXT(($D210-$C210+1)+4,"00"),"")&amp;IF($C210&gt;=6,", "&amp;$A210&amp;"-"&amp;TEXT(($D210-$C210+1)+5,"00"),"")&amp;IF($C210&gt;=7,", "&amp;$A210&amp;"-"&amp;TEXT(($D210-$C210+1)+6,"00"),"")&amp;IF($C210&gt;=8,", "&amp;$A210&amp;"-"&amp;TEXT(($D210-$C210+1)+7,"00"),"")&amp;IF($C210&gt;=9,", "&amp;$A210&amp;"-"&amp;TEXT(($D210-$C210+1)+8,"00"),"")&amp;IF($C210&gt;=10,", "&amp;$A210&amp;"-"&amp;TEXT(($D210-$C210+1)+9,"00"),"")&amp;IF($C210&gt;=11,", "&amp;$A210&amp;"-"&amp;TEXT(($D210-$C210+1)+10,"00"),"")&amp;IF($C210&gt;=12,", "&amp;$A210&amp;"-"&amp;TEXT(($D210-$C210+1)+11,"00"),"")&amp;IF($C210&gt;=13,", "&amp;$A210&amp;"-"&amp;TEXT(($D210-$C210+1)+12,"00"),"")&amp;IF($C210&gt;=14,", "&amp;$A210&amp;"-"&amp;TEXT(($D210-$C210+1)+13,"00"),"")&amp;IF($C210&gt;=15,", "&amp;$A210&amp;"-"&amp;TEXT(($D210-$C210+1)+14,"00"),"")&amp;IF($C210&gt;=16,", "&amp;$A210&amp;"-"&amp;TEXT(($D210-$C210+1)+15,"00"),"")&amp;IF($C210&gt;=17,", "&amp;$A210&amp;"-"&amp;TEXT(($D210-$C210+1)+16,"00"),"")&amp;IF($C210&gt;=18,", "&amp;$A210&amp;"-"&amp;TEXT(($D210-$C210+1)+17,"00"),"")&amp;IF($C210&gt;=19,", "&amp;$A210&amp;"-"&amp;TEXT(($D210-$C210+1)+18,"00"),"")&amp;IF($C210&gt;=20,", "&amp;$A210&amp;"-"&amp;TEXT(($D210-$C210+1)+19,"00"),"")&amp;IF($C210&gt;=21,", "&amp;$A210&amp;"-"&amp;TEXT(($D210-$C210+1)+20,"00"),"")&amp;IF($C210&gt;=22,", "&amp;$A210&amp;"-"&amp;TEXT(($D210-$C210+1)+21,"00"),"")&amp;IF($C210&gt;=23,", "&amp;$A210&amp;"-"&amp;TEXT(($D210-$C210+1)+22,"00"),"")&amp;IF($C210&gt;=24,", "&amp;$A210&amp;"-"&amp;TEXT(($D210-$C210+1)+23,"00"),"")&amp;IF($C210&gt;=25,", "&amp;$A210&amp;"-"&amp;TEXT(($D210-$C210+1)+24,"00"),""))</f>
        <v/>
      </c>
      <c r="G210">
        <f>IF($A210="","",IF($E210=1,$F210,IF($F210="",$G209,IF($G209="",$F210,$G209&amp;", "&amp;$F210))))</f>
        <v/>
      </c>
      <c r="H210">
        <f>IF($A210="","",$A210&amp;" ("&amp;$C210&amp;")")</f>
        <v/>
      </c>
      <c r="I210">
        <f>IF($A210="","",IF($E210=1,$H210,$I209&amp;", "&amp;$H210))</f>
        <v/>
      </c>
      <c r="J210">
        <f>IF($A210="","",IF($E210=1,$B210,""))</f>
        <v/>
      </c>
      <c r="K210">
        <f>IF($A210="","",IF(COUNTIF($B$2:$B210,$B210)=COUNTIF($B$2:$B$1601,$B210),$B210,""))</f>
        <v/>
      </c>
    </row>
    <row r="211">
      <c r="A211">
        <f>IF('TMP Paste'!$E211="","",'TMP Paste'!$E211)</f>
        <v/>
      </c>
      <c r="B211">
        <f>IF($A211="","",COUNTIF('TMP Paste'!$B$2:$B211,"?*"))</f>
        <v/>
      </c>
      <c r="C211">
        <f>IF($A211="","",IFERROR('TMP Paste'!$M211*1,0))</f>
        <v/>
      </c>
      <c r="D211">
        <f>IF($A211="","",SUMIF($B$2:$B211,$B211,$C$2:$C211))</f>
        <v/>
      </c>
      <c r="E211">
        <f>IF($A211="",0,IF('TMP Paste'!$B211="",0,1))</f>
        <v/>
      </c>
      <c r="F211">
        <f>IF(OR($A211="",$C211&lt;1),"",$A211&amp;"-"&amp;TEXT(($D211-$C211+1),"00")&amp;IF($C211&gt;=2,", "&amp;$A211&amp;"-"&amp;TEXT(($D211-$C211+1)+1,"00"),"")&amp;IF($C211&gt;=3,", "&amp;$A211&amp;"-"&amp;TEXT(($D211-$C211+1)+2,"00"),"")&amp;IF($C211&gt;=4,", "&amp;$A211&amp;"-"&amp;TEXT(($D211-$C211+1)+3,"00"),"")&amp;IF($C211&gt;=5,", "&amp;$A211&amp;"-"&amp;TEXT(($D211-$C211+1)+4,"00"),"")&amp;IF($C211&gt;=6,", "&amp;$A211&amp;"-"&amp;TEXT(($D211-$C211+1)+5,"00"),"")&amp;IF($C211&gt;=7,", "&amp;$A211&amp;"-"&amp;TEXT(($D211-$C211+1)+6,"00"),"")&amp;IF($C211&gt;=8,", "&amp;$A211&amp;"-"&amp;TEXT(($D211-$C211+1)+7,"00"),"")&amp;IF($C211&gt;=9,", "&amp;$A211&amp;"-"&amp;TEXT(($D211-$C211+1)+8,"00"),"")&amp;IF($C211&gt;=10,", "&amp;$A211&amp;"-"&amp;TEXT(($D211-$C211+1)+9,"00"),"")&amp;IF($C211&gt;=11,", "&amp;$A211&amp;"-"&amp;TEXT(($D211-$C211+1)+10,"00"),"")&amp;IF($C211&gt;=12,", "&amp;$A211&amp;"-"&amp;TEXT(($D211-$C211+1)+11,"00"),"")&amp;IF($C211&gt;=13,", "&amp;$A211&amp;"-"&amp;TEXT(($D211-$C211+1)+12,"00"),"")&amp;IF($C211&gt;=14,", "&amp;$A211&amp;"-"&amp;TEXT(($D211-$C211+1)+13,"00"),"")&amp;IF($C211&gt;=15,", "&amp;$A211&amp;"-"&amp;TEXT(($D211-$C211+1)+14,"00"),"")&amp;IF($C211&gt;=16,", "&amp;$A211&amp;"-"&amp;TEXT(($D211-$C211+1)+15,"00"),"")&amp;IF($C211&gt;=17,", "&amp;$A211&amp;"-"&amp;TEXT(($D211-$C211+1)+16,"00"),"")&amp;IF($C211&gt;=18,", "&amp;$A211&amp;"-"&amp;TEXT(($D211-$C211+1)+17,"00"),"")&amp;IF($C211&gt;=19,", "&amp;$A211&amp;"-"&amp;TEXT(($D211-$C211+1)+18,"00"),"")&amp;IF($C211&gt;=20,", "&amp;$A211&amp;"-"&amp;TEXT(($D211-$C211+1)+19,"00"),"")&amp;IF($C211&gt;=21,", "&amp;$A211&amp;"-"&amp;TEXT(($D211-$C211+1)+20,"00"),"")&amp;IF($C211&gt;=22,", "&amp;$A211&amp;"-"&amp;TEXT(($D211-$C211+1)+21,"00"),"")&amp;IF($C211&gt;=23,", "&amp;$A211&amp;"-"&amp;TEXT(($D211-$C211+1)+22,"00"),"")&amp;IF($C211&gt;=24,", "&amp;$A211&amp;"-"&amp;TEXT(($D211-$C211+1)+23,"00"),"")&amp;IF($C211&gt;=25,", "&amp;$A211&amp;"-"&amp;TEXT(($D211-$C211+1)+24,"00"),""))</f>
        <v/>
      </c>
      <c r="G211">
        <f>IF($A211="","",IF($E211=1,$F211,IF($F211="",$G210,IF($G210="",$F211,$G210&amp;", "&amp;$F211))))</f>
        <v/>
      </c>
      <c r="H211">
        <f>IF($A211="","",$A211&amp;" ("&amp;$C211&amp;")")</f>
        <v/>
      </c>
      <c r="I211">
        <f>IF($A211="","",IF($E211=1,$H211,$I210&amp;", "&amp;$H211))</f>
        <v/>
      </c>
      <c r="J211">
        <f>IF($A211="","",IF($E211=1,$B211,""))</f>
        <v/>
      </c>
      <c r="K211">
        <f>IF($A211="","",IF(COUNTIF($B$2:$B211,$B211)=COUNTIF($B$2:$B$1601,$B211),$B211,""))</f>
        <v/>
      </c>
    </row>
    <row r="212">
      <c r="A212">
        <f>IF('TMP Paste'!$E212="","",'TMP Paste'!$E212)</f>
        <v/>
      </c>
      <c r="B212">
        <f>IF($A212="","",COUNTIF('TMP Paste'!$B$2:$B212,"?*"))</f>
        <v/>
      </c>
      <c r="C212">
        <f>IF($A212="","",IFERROR('TMP Paste'!$M212*1,0))</f>
        <v/>
      </c>
      <c r="D212">
        <f>IF($A212="","",SUMIF($B$2:$B212,$B212,$C$2:$C212))</f>
        <v/>
      </c>
      <c r="E212">
        <f>IF($A212="",0,IF('TMP Paste'!$B212="",0,1))</f>
        <v/>
      </c>
      <c r="F212">
        <f>IF(OR($A212="",$C212&lt;1),"",$A212&amp;"-"&amp;TEXT(($D212-$C212+1),"00")&amp;IF($C212&gt;=2,", "&amp;$A212&amp;"-"&amp;TEXT(($D212-$C212+1)+1,"00"),"")&amp;IF($C212&gt;=3,", "&amp;$A212&amp;"-"&amp;TEXT(($D212-$C212+1)+2,"00"),"")&amp;IF($C212&gt;=4,", "&amp;$A212&amp;"-"&amp;TEXT(($D212-$C212+1)+3,"00"),"")&amp;IF($C212&gt;=5,", "&amp;$A212&amp;"-"&amp;TEXT(($D212-$C212+1)+4,"00"),"")&amp;IF($C212&gt;=6,", "&amp;$A212&amp;"-"&amp;TEXT(($D212-$C212+1)+5,"00"),"")&amp;IF($C212&gt;=7,", "&amp;$A212&amp;"-"&amp;TEXT(($D212-$C212+1)+6,"00"),"")&amp;IF($C212&gt;=8,", "&amp;$A212&amp;"-"&amp;TEXT(($D212-$C212+1)+7,"00"),"")&amp;IF($C212&gt;=9,", "&amp;$A212&amp;"-"&amp;TEXT(($D212-$C212+1)+8,"00"),"")&amp;IF($C212&gt;=10,", "&amp;$A212&amp;"-"&amp;TEXT(($D212-$C212+1)+9,"00"),"")&amp;IF($C212&gt;=11,", "&amp;$A212&amp;"-"&amp;TEXT(($D212-$C212+1)+10,"00"),"")&amp;IF($C212&gt;=12,", "&amp;$A212&amp;"-"&amp;TEXT(($D212-$C212+1)+11,"00"),"")&amp;IF($C212&gt;=13,", "&amp;$A212&amp;"-"&amp;TEXT(($D212-$C212+1)+12,"00"),"")&amp;IF($C212&gt;=14,", "&amp;$A212&amp;"-"&amp;TEXT(($D212-$C212+1)+13,"00"),"")&amp;IF($C212&gt;=15,", "&amp;$A212&amp;"-"&amp;TEXT(($D212-$C212+1)+14,"00"),"")&amp;IF($C212&gt;=16,", "&amp;$A212&amp;"-"&amp;TEXT(($D212-$C212+1)+15,"00"),"")&amp;IF($C212&gt;=17,", "&amp;$A212&amp;"-"&amp;TEXT(($D212-$C212+1)+16,"00"),"")&amp;IF($C212&gt;=18,", "&amp;$A212&amp;"-"&amp;TEXT(($D212-$C212+1)+17,"00"),"")&amp;IF($C212&gt;=19,", "&amp;$A212&amp;"-"&amp;TEXT(($D212-$C212+1)+18,"00"),"")&amp;IF($C212&gt;=20,", "&amp;$A212&amp;"-"&amp;TEXT(($D212-$C212+1)+19,"00"),"")&amp;IF($C212&gt;=21,", "&amp;$A212&amp;"-"&amp;TEXT(($D212-$C212+1)+20,"00"),"")&amp;IF($C212&gt;=22,", "&amp;$A212&amp;"-"&amp;TEXT(($D212-$C212+1)+21,"00"),"")&amp;IF($C212&gt;=23,", "&amp;$A212&amp;"-"&amp;TEXT(($D212-$C212+1)+22,"00"),"")&amp;IF($C212&gt;=24,", "&amp;$A212&amp;"-"&amp;TEXT(($D212-$C212+1)+23,"00"),"")&amp;IF($C212&gt;=25,", "&amp;$A212&amp;"-"&amp;TEXT(($D212-$C212+1)+24,"00"),""))</f>
        <v/>
      </c>
      <c r="G212">
        <f>IF($A212="","",IF($E212=1,$F212,IF($F212="",$G211,IF($G211="",$F212,$G211&amp;", "&amp;$F212))))</f>
        <v/>
      </c>
      <c r="H212">
        <f>IF($A212="","",$A212&amp;" ("&amp;$C212&amp;")")</f>
        <v/>
      </c>
      <c r="I212">
        <f>IF($A212="","",IF($E212=1,$H212,$I211&amp;", "&amp;$H212))</f>
        <v/>
      </c>
      <c r="J212">
        <f>IF($A212="","",IF($E212=1,$B212,""))</f>
        <v/>
      </c>
      <c r="K212">
        <f>IF($A212="","",IF(COUNTIF($B$2:$B212,$B212)=COUNTIF($B$2:$B$1601,$B212),$B212,""))</f>
        <v/>
      </c>
    </row>
    <row r="213">
      <c r="A213">
        <f>IF('TMP Paste'!$E213="","",'TMP Paste'!$E213)</f>
        <v/>
      </c>
      <c r="B213">
        <f>IF($A213="","",COUNTIF('TMP Paste'!$B$2:$B213,"?*"))</f>
        <v/>
      </c>
      <c r="C213">
        <f>IF($A213="","",IFERROR('TMP Paste'!$M213*1,0))</f>
        <v/>
      </c>
      <c r="D213">
        <f>IF($A213="","",SUMIF($B$2:$B213,$B213,$C$2:$C213))</f>
        <v/>
      </c>
      <c r="E213">
        <f>IF($A213="",0,IF('TMP Paste'!$B213="",0,1))</f>
        <v/>
      </c>
      <c r="F213">
        <f>IF(OR($A213="",$C213&lt;1),"",$A213&amp;"-"&amp;TEXT(($D213-$C213+1),"00")&amp;IF($C213&gt;=2,", "&amp;$A213&amp;"-"&amp;TEXT(($D213-$C213+1)+1,"00"),"")&amp;IF($C213&gt;=3,", "&amp;$A213&amp;"-"&amp;TEXT(($D213-$C213+1)+2,"00"),"")&amp;IF($C213&gt;=4,", "&amp;$A213&amp;"-"&amp;TEXT(($D213-$C213+1)+3,"00"),"")&amp;IF($C213&gt;=5,", "&amp;$A213&amp;"-"&amp;TEXT(($D213-$C213+1)+4,"00"),"")&amp;IF($C213&gt;=6,", "&amp;$A213&amp;"-"&amp;TEXT(($D213-$C213+1)+5,"00"),"")&amp;IF($C213&gt;=7,", "&amp;$A213&amp;"-"&amp;TEXT(($D213-$C213+1)+6,"00"),"")&amp;IF($C213&gt;=8,", "&amp;$A213&amp;"-"&amp;TEXT(($D213-$C213+1)+7,"00"),"")&amp;IF($C213&gt;=9,", "&amp;$A213&amp;"-"&amp;TEXT(($D213-$C213+1)+8,"00"),"")&amp;IF($C213&gt;=10,", "&amp;$A213&amp;"-"&amp;TEXT(($D213-$C213+1)+9,"00"),"")&amp;IF($C213&gt;=11,", "&amp;$A213&amp;"-"&amp;TEXT(($D213-$C213+1)+10,"00"),"")&amp;IF($C213&gt;=12,", "&amp;$A213&amp;"-"&amp;TEXT(($D213-$C213+1)+11,"00"),"")&amp;IF($C213&gt;=13,", "&amp;$A213&amp;"-"&amp;TEXT(($D213-$C213+1)+12,"00"),"")&amp;IF($C213&gt;=14,", "&amp;$A213&amp;"-"&amp;TEXT(($D213-$C213+1)+13,"00"),"")&amp;IF($C213&gt;=15,", "&amp;$A213&amp;"-"&amp;TEXT(($D213-$C213+1)+14,"00"),"")&amp;IF($C213&gt;=16,", "&amp;$A213&amp;"-"&amp;TEXT(($D213-$C213+1)+15,"00"),"")&amp;IF($C213&gt;=17,", "&amp;$A213&amp;"-"&amp;TEXT(($D213-$C213+1)+16,"00"),"")&amp;IF($C213&gt;=18,", "&amp;$A213&amp;"-"&amp;TEXT(($D213-$C213+1)+17,"00"),"")&amp;IF($C213&gt;=19,", "&amp;$A213&amp;"-"&amp;TEXT(($D213-$C213+1)+18,"00"),"")&amp;IF($C213&gt;=20,", "&amp;$A213&amp;"-"&amp;TEXT(($D213-$C213+1)+19,"00"),"")&amp;IF($C213&gt;=21,", "&amp;$A213&amp;"-"&amp;TEXT(($D213-$C213+1)+20,"00"),"")&amp;IF($C213&gt;=22,", "&amp;$A213&amp;"-"&amp;TEXT(($D213-$C213+1)+21,"00"),"")&amp;IF($C213&gt;=23,", "&amp;$A213&amp;"-"&amp;TEXT(($D213-$C213+1)+22,"00"),"")&amp;IF($C213&gt;=24,", "&amp;$A213&amp;"-"&amp;TEXT(($D213-$C213+1)+23,"00"),"")&amp;IF($C213&gt;=25,", "&amp;$A213&amp;"-"&amp;TEXT(($D213-$C213+1)+24,"00"),""))</f>
        <v/>
      </c>
      <c r="G213">
        <f>IF($A213="","",IF($E213=1,$F213,IF($F213="",$G212,IF($G212="",$F213,$G212&amp;", "&amp;$F213))))</f>
        <v/>
      </c>
      <c r="H213">
        <f>IF($A213="","",$A213&amp;" ("&amp;$C213&amp;")")</f>
        <v/>
      </c>
      <c r="I213">
        <f>IF($A213="","",IF($E213=1,$H213,$I212&amp;", "&amp;$H213))</f>
        <v/>
      </c>
      <c r="J213">
        <f>IF($A213="","",IF($E213=1,$B213,""))</f>
        <v/>
      </c>
      <c r="K213">
        <f>IF($A213="","",IF(COUNTIF($B$2:$B213,$B213)=COUNTIF($B$2:$B$1601,$B213),$B213,""))</f>
        <v/>
      </c>
    </row>
    <row r="214">
      <c r="A214">
        <f>IF('TMP Paste'!$E214="","",'TMP Paste'!$E214)</f>
        <v/>
      </c>
      <c r="B214">
        <f>IF($A214="","",COUNTIF('TMP Paste'!$B$2:$B214,"?*"))</f>
        <v/>
      </c>
      <c r="C214">
        <f>IF($A214="","",IFERROR('TMP Paste'!$M214*1,0))</f>
        <v/>
      </c>
      <c r="D214">
        <f>IF($A214="","",SUMIF($B$2:$B214,$B214,$C$2:$C214))</f>
        <v/>
      </c>
      <c r="E214">
        <f>IF($A214="",0,IF('TMP Paste'!$B214="",0,1))</f>
        <v/>
      </c>
      <c r="F214">
        <f>IF(OR($A214="",$C214&lt;1),"",$A214&amp;"-"&amp;TEXT(($D214-$C214+1),"00")&amp;IF($C214&gt;=2,", "&amp;$A214&amp;"-"&amp;TEXT(($D214-$C214+1)+1,"00"),"")&amp;IF($C214&gt;=3,", "&amp;$A214&amp;"-"&amp;TEXT(($D214-$C214+1)+2,"00"),"")&amp;IF($C214&gt;=4,", "&amp;$A214&amp;"-"&amp;TEXT(($D214-$C214+1)+3,"00"),"")&amp;IF($C214&gt;=5,", "&amp;$A214&amp;"-"&amp;TEXT(($D214-$C214+1)+4,"00"),"")&amp;IF($C214&gt;=6,", "&amp;$A214&amp;"-"&amp;TEXT(($D214-$C214+1)+5,"00"),"")&amp;IF($C214&gt;=7,", "&amp;$A214&amp;"-"&amp;TEXT(($D214-$C214+1)+6,"00"),"")&amp;IF($C214&gt;=8,", "&amp;$A214&amp;"-"&amp;TEXT(($D214-$C214+1)+7,"00"),"")&amp;IF($C214&gt;=9,", "&amp;$A214&amp;"-"&amp;TEXT(($D214-$C214+1)+8,"00"),"")&amp;IF($C214&gt;=10,", "&amp;$A214&amp;"-"&amp;TEXT(($D214-$C214+1)+9,"00"),"")&amp;IF($C214&gt;=11,", "&amp;$A214&amp;"-"&amp;TEXT(($D214-$C214+1)+10,"00"),"")&amp;IF($C214&gt;=12,", "&amp;$A214&amp;"-"&amp;TEXT(($D214-$C214+1)+11,"00"),"")&amp;IF($C214&gt;=13,", "&amp;$A214&amp;"-"&amp;TEXT(($D214-$C214+1)+12,"00"),"")&amp;IF($C214&gt;=14,", "&amp;$A214&amp;"-"&amp;TEXT(($D214-$C214+1)+13,"00"),"")&amp;IF($C214&gt;=15,", "&amp;$A214&amp;"-"&amp;TEXT(($D214-$C214+1)+14,"00"),"")&amp;IF($C214&gt;=16,", "&amp;$A214&amp;"-"&amp;TEXT(($D214-$C214+1)+15,"00"),"")&amp;IF($C214&gt;=17,", "&amp;$A214&amp;"-"&amp;TEXT(($D214-$C214+1)+16,"00"),"")&amp;IF($C214&gt;=18,", "&amp;$A214&amp;"-"&amp;TEXT(($D214-$C214+1)+17,"00"),"")&amp;IF($C214&gt;=19,", "&amp;$A214&amp;"-"&amp;TEXT(($D214-$C214+1)+18,"00"),"")&amp;IF($C214&gt;=20,", "&amp;$A214&amp;"-"&amp;TEXT(($D214-$C214+1)+19,"00"),"")&amp;IF($C214&gt;=21,", "&amp;$A214&amp;"-"&amp;TEXT(($D214-$C214+1)+20,"00"),"")&amp;IF($C214&gt;=22,", "&amp;$A214&amp;"-"&amp;TEXT(($D214-$C214+1)+21,"00"),"")&amp;IF($C214&gt;=23,", "&amp;$A214&amp;"-"&amp;TEXT(($D214-$C214+1)+22,"00"),"")&amp;IF($C214&gt;=24,", "&amp;$A214&amp;"-"&amp;TEXT(($D214-$C214+1)+23,"00"),"")&amp;IF($C214&gt;=25,", "&amp;$A214&amp;"-"&amp;TEXT(($D214-$C214+1)+24,"00"),""))</f>
        <v/>
      </c>
      <c r="G214">
        <f>IF($A214="","",IF($E214=1,$F214,IF($F214="",$G213,IF($G213="",$F214,$G213&amp;", "&amp;$F214))))</f>
        <v/>
      </c>
      <c r="H214">
        <f>IF($A214="","",$A214&amp;" ("&amp;$C214&amp;")")</f>
        <v/>
      </c>
      <c r="I214">
        <f>IF($A214="","",IF($E214=1,$H214,$I213&amp;", "&amp;$H214))</f>
        <v/>
      </c>
      <c r="J214">
        <f>IF($A214="","",IF($E214=1,$B214,""))</f>
        <v/>
      </c>
      <c r="K214">
        <f>IF($A214="","",IF(COUNTIF($B$2:$B214,$B214)=COUNTIF($B$2:$B$1601,$B214),$B214,""))</f>
        <v/>
      </c>
    </row>
    <row r="215">
      <c r="A215">
        <f>IF('TMP Paste'!$E215="","",'TMP Paste'!$E215)</f>
        <v/>
      </c>
      <c r="B215">
        <f>IF($A215="","",COUNTIF('TMP Paste'!$B$2:$B215,"?*"))</f>
        <v/>
      </c>
      <c r="C215">
        <f>IF($A215="","",IFERROR('TMP Paste'!$M215*1,0))</f>
        <v/>
      </c>
      <c r="D215">
        <f>IF($A215="","",SUMIF($B$2:$B215,$B215,$C$2:$C215))</f>
        <v/>
      </c>
      <c r="E215">
        <f>IF($A215="",0,IF('TMP Paste'!$B215="",0,1))</f>
        <v/>
      </c>
      <c r="F215">
        <f>IF(OR($A215="",$C215&lt;1),"",$A215&amp;"-"&amp;TEXT(($D215-$C215+1),"00")&amp;IF($C215&gt;=2,", "&amp;$A215&amp;"-"&amp;TEXT(($D215-$C215+1)+1,"00"),"")&amp;IF($C215&gt;=3,", "&amp;$A215&amp;"-"&amp;TEXT(($D215-$C215+1)+2,"00"),"")&amp;IF($C215&gt;=4,", "&amp;$A215&amp;"-"&amp;TEXT(($D215-$C215+1)+3,"00"),"")&amp;IF($C215&gt;=5,", "&amp;$A215&amp;"-"&amp;TEXT(($D215-$C215+1)+4,"00"),"")&amp;IF($C215&gt;=6,", "&amp;$A215&amp;"-"&amp;TEXT(($D215-$C215+1)+5,"00"),"")&amp;IF($C215&gt;=7,", "&amp;$A215&amp;"-"&amp;TEXT(($D215-$C215+1)+6,"00"),"")&amp;IF($C215&gt;=8,", "&amp;$A215&amp;"-"&amp;TEXT(($D215-$C215+1)+7,"00"),"")&amp;IF($C215&gt;=9,", "&amp;$A215&amp;"-"&amp;TEXT(($D215-$C215+1)+8,"00"),"")&amp;IF($C215&gt;=10,", "&amp;$A215&amp;"-"&amp;TEXT(($D215-$C215+1)+9,"00"),"")&amp;IF($C215&gt;=11,", "&amp;$A215&amp;"-"&amp;TEXT(($D215-$C215+1)+10,"00"),"")&amp;IF($C215&gt;=12,", "&amp;$A215&amp;"-"&amp;TEXT(($D215-$C215+1)+11,"00"),"")&amp;IF($C215&gt;=13,", "&amp;$A215&amp;"-"&amp;TEXT(($D215-$C215+1)+12,"00"),"")&amp;IF($C215&gt;=14,", "&amp;$A215&amp;"-"&amp;TEXT(($D215-$C215+1)+13,"00"),"")&amp;IF($C215&gt;=15,", "&amp;$A215&amp;"-"&amp;TEXT(($D215-$C215+1)+14,"00"),"")&amp;IF($C215&gt;=16,", "&amp;$A215&amp;"-"&amp;TEXT(($D215-$C215+1)+15,"00"),"")&amp;IF($C215&gt;=17,", "&amp;$A215&amp;"-"&amp;TEXT(($D215-$C215+1)+16,"00"),"")&amp;IF($C215&gt;=18,", "&amp;$A215&amp;"-"&amp;TEXT(($D215-$C215+1)+17,"00"),"")&amp;IF($C215&gt;=19,", "&amp;$A215&amp;"-"&amp;TEXT(($D215-$C215+1)+18,"00"),"")&amp;IF($C215&gt;=20,", "&amp;$A215&amp;"-"&amp;TEXT(($D215-$C215+1)+19,"00"),"")&amp;IF($C215&gt;=21,", "&amp;$A215&amp;"-"&amp;TEXT(($D215-$C215+1)+20,"00"),"")&amp;IF($C215&gt;=22,", "&amp;$A215&amp;"-"&amp;TEXT(($D215-$C215+1)+21,"00"),"")&amp;IF($C215&gt;=23,", "&amp;$A215&amp;"-"&amp;TEXT(($D215-$C215+1)+22,"00"),"")&amp;IF($C215&gt;=24,", "&amp;$A215&amp;"-"&amp;TEXT(($D215-$C215+1)+23,"00"),"")&amp;IF($C215&gt;=25,", "&amp;$A215&amp;"-"&amp;TEXT(($D215-$C215+1)+24,"00"),""))</f>
        <v/>
      </c>
      <c r="G215">
        <f>IF($A215="","",IF($E215=1,$F215,IF($F215="",$G214,IF($G214="",$F215,$G214&amp;", "&amp;$F215))))</f>
        <v/>
      </c>
      <c r="H215">
        <f>IF($A215="","",$A215&amp;" ("&amp;$C215&amp;")")</f>
        <v/>
      </c>
      <c r="I215">
        <f>IF($A215="","",IF($E215=1,$H215,$I214&amp;", "&amp;$H215))</f>
        <v/>
      </c>
      <c r="J215">
        <f>IF($A215="","",IF($E215=1,$B215,""))</f>
        <v/>
      </c>
      <c r="K215">
        <f>IF($A215="","",IF(COUNTIF($B$2:$B215,$B215)=COUNTIF($B$2:$B$1601,$B215),$B215,""))</f>
        <v/>
      </c>
    </row>
    <row r="216">
      <c r="A216">
        <f>IF('TMP Paste'!$E216="","",'TMP Paste'!$E216)</f>
        <v/>
      </c>
      <c r="B216">
        <f>IF($A216="","",COUNTIF('TMP Paste'!$B$2:$B216,"?*"))</f>
        <v/>
      </c>
      <c r="C216">
        <f>IF($A216="","",IFERROR('TMP Paste'!$M216*1,0))</f>
        <v/>
      </c>
      <c r="D216">
        <f>IF($A216="","",SUMIF($B$2:$B216,$B216,$C$2:$C216))</f>
        <v/>
      </c>
      <c r="E216">
        <f>IF($A216="",0,IF('TMP Paste'!$B216="",0,1))</f>
        <v/>
      </c>
      <c r="F216">
        <f>IF(OR($A216="",$C216&lt;1),"",$A216&amp;"-"&amp;TEXT(($D216-$C216+1),"00")&amp;IF($C216&gt;=2,", "&amp;$A216&amp;"-"&amp;TEXT(($D216-$C216+1)+1,"00"),"")&amp;IF($C216&gt;=3,", "&amp;$A216&amp;"-"&amp;TEXT(($D216-$C216+1)+2,"00"),"")&amp;IF($C216&gt;=4,", "&amp;$A216&amp;"-"&amp;TEXT(($D216-$C216+1)+3,"00"),"")&amp;IF($C216&gt;=5,", "&amp;$A216&amp;"-"&amp;TEXT(($D216-$C216+1)+4,"00"),"")&amp;IF($C216&gt;=6,", "&amp;$A216&amp;"-"&amp;TEXT(($D216-$C216+1)+5,"00"),"")&amp;IF($C216&gt;=7,", "&amp;$A216&amp;"-"&amp;TEXT(($D216-$C216+1)+6,"00"),"")&amp;IF($C216&gt;=8,", "&amp;$A216&amp;"-"&amp;TEXT(($D216-$C216+1)+7,"00"),"")&amp;IF($C216&gt;=9,", "&amp;$A216&amp;"-"&amp;TEXT(($D216-$C216+1)+8,"00"),"")&amp;IF($C216&gt;=10,", "&amp;$A216&amp;"-"&amp;TEXT(($D216-$C216+1)+9,"00"),"")&amp;IF($C216&gt;=11,", "&amp;$A216&amp;"-"&amp;TEXT(($D216-$C216+1)+10,"00"),"")&amp;IF($C216&gt;=12,", "&amp;$A216&amp;"-"&amp;TEXT(($D216-$C216+1)+11,"00"),"")&amp;IF($C216&gt;=13,", "&amp;$A216&amp;"-"&amp;TEXT(($D216-$C216+1)+12,"00"),"")&amp;IF($C216&gt;=14,", "&amp;$A216&amp;"-"&amp;TEXT(($D216-$C216+1)+13,"00"),"")&amp;IF($C216&gt;=15,", "&amp;$A216&amp;"-"&amp;TEXT(($D216-$C216+1)+14,"00"),"")&amp;IF($C216&gt;=16,", "&amp;$A216&amp;"-"&amp;TEXT(($D216-$C216+1)+15,"00"),"")&amp;IF($C216&gt;=17,", "&amp;$A216&amp;"-"&amp;TEXT(($D216-$C216+1)+16,"00"),"")&amp;IF($C216&gt;=18,", "&amp;$A216&amp;"-"&amp;TEXT(($D216-$C216+1)+17,"00"),"")&amp;IF($C216&gt;=19,", "&amp;$A216&amp;"-"&amp;TEXT(($D216-$C216+1)+18,"00"),"")&amp;IF($C216&gt;=20,", "&amp;$A216&amp;"-"&amp;TEXT(($D216-$C216+1)+19,"00"),"")&amp;IF($C216&gt;=21,", "&amp;$A216&amp;"-"&amp;TEXT(($D216-$C216+1)+20,"00"),"")&amp;IF($C216&gt;=22,", "&amp;$A216&amp;"-"&amp;TEXT(($D216-$C216+1)+21,"00"),"")&amp;IF($C216&gt;=23,", "&amp;$A216&amp;"-"&amp;TEXT(($D216-$C216+1)+22,"00"),"")&amp;IF($C216&gt;=24,", "&amp;$A216&amp;"-"&amp;TEXT(($D216-$C216+1)+23,"00"),"")&amp;IF($C216&gt;=25,", "&amp;$A216&amp;"-"&amp;TEXT(($D216-$C216+1)+24,"00"),""))</f>
        <v/>
      </c>
      <c r="G216">
        <f>IF($A216="","",IF($E216=1,$F216,IF($F216="",$G215,IF($G215="",$F216,$G215&amp;", "&amp;$F216))))</f>
        <v/>
      </c>
      <c r="H216">
        <f>IF($A216="","",$A216&amp;" ("&amp;$C216&amp;")")</f>
        <v/>
      </c>
      <c r="I216">
        <f>IF($A216="","",IF($E216=1,$H216,$I215&amp;", "&amp;$H216))</f>
        <v/>
      </c>
      <c r="J216">
        <f>IF($A216="","",IF($E216=1,$B216,""))</f>
        <v/>
      </c>
      <c r="K216">
        <f>IF($A216="","",IF(COUNTIF($B$2:$B216,$B216)=COUNTIF($B$2:$B$1601,$B216),$B216,""))</f>
        <v/>
      </c>
    </row>
    <row r="217">
      <c r="A217">
        <f>IF('TMP Paste'!$E217="","",'TMP Paste'!$E217)</f>
        <v/>
      </c>
      <c r="B217">
        <f>IF($A217="","",COUNTIF('TMP Paste'!$B$2:$B217,"?*"))</f>
        <v/>
      </c>
      <c r="C217">
        <f>IF($A217="","",IFERROR('TMP Paste'!$M217*1,0))</f>
        <v/>
      </c>
      <c r="D217">
        <f>IF($A217="","",SUMIF($B$2:$B217,$B217,$C$2:$C217))</f>
        <v/>
      </c>
      <c r="E217">
        <f>IF($A217="",0,IF('TMP Paste'!$B217="",0,1))</f>
        <v/>
      </c>
      <c r="F217">
        <f>IF(OR($A217="",$C217&lt;1),"",$A217&amp;"-"&amp;TEXT(($D217-$C217+1),"00")&amp;IF($C217&gt;=2,", "&amp;$A217&amp;"-"&amp;TEXT(($D217-$C217+1)+1,"00"),"")&amp;IF($C217&gt;=3,", "&amp;$A217&amp;"-"&amp;TEXT(($D217-$C217+1)+2,"00"),"")&amp;IF($C217&gt;=4,", "&amp;$A217&amp;"-"&amp;TEXT(($D217-$C217+1)+3,"00"),"")&amp;IF($C217&gt;=5,", "&amp;$A217&amp;"-"&amp;TEXT(($D217-$C217+1)+4,"00"),"")&amp;IF($C217&gt;=6,", "&amp;$A217&amp;"-"&amp;TEXT(($D217-$C217+1)+5,"00"),"")&amp;IF($C217&gt;=7,", "&amp;$A217&amp;"-"&amp;TEXT(($D217-$C217+1)+6,"00"),"")&amp;IF($C217&gt;=8,", "&amp;$A217&amp;"-"&amp;TEXT(($D217-$C217+1)+7,"00"),"")&amp;IF($C217&gt;=9,", "&amp;$A217&amp;"-"&amp;TEXT(($D217-$C217+1)+8,"00"),"")&amp;IF($C217&gt;=10,", "&amp;$A217&amp;"-"&amp;TEXT(($D217-$C217+1)+9,"00"),"")&amp;IF($C217&gt;=11,", "&amp;$A217&amp;"-"&amp;TEXT(($D217-$C217+1)+10,"00"),"")&amp;IF($C217&gt;=12,", "&amp;$A217&amp;"-"&amp;TEXT(($D217-$C217+1)+11,"00"),"")&amp;IF($C217&gt;=13,", "&amp;$A217&amp;"-"&amp;TEXT(($D217-$C217+1)+12,"00"),"")&amp;IF($C217&gt;=14,", "&amp;$A217&amp;"-"&amp;TEXT(($D217-$C217+1)+13,"00"),"")&amp;IF($C217&gt;=15,", "&amp;$A217&amp;"-"&amp;TEXT(($D217-$C217+1)+14,"00"),"")&amp;IF($C217&gt;=16,", "&amp;$A217&amp;"-"&amp;TEXT(($D217-$C217+1)+15,"00"),"")&amp;IF($C217&gt;=17,", "&amp;$A217&amp;"-"&amp;TEXT(($D217-$C217+1)+16,"00"),"")&amp;IF($C217&gt;=18,", "&amp;$A217&amp;"-"&amp;TEXT(($D217-$C217+1)+17,"00"),"")&amp;IF($C217&gt;=19,", "&amp;$A217&amp;"-"&amp;TEXT(($D217-$C217+1)+18,"00"),"")&amp;IF($C217&gt;=20,", "&amp;$A217&amp;"-"&amp;TEXT(($D217-$C217+1)+19,"00"),"")&amp;IF($C217&gt;=21,", "&amp;$A217&amp;"-"&amp;TEXT(($D217-$C217+1)+20,"00"),"")&amp;IF($C217&gt;=22,", "&amp;$A217&amp;"-"&amp;TEXT(($D217-$C217+1)+21,"00"),"")&amp;IF($C217&gt;=23,", "&amp;$A217&amp;"-"&amp;TEXT(($D217-$C217+1)+22,"00"),"")&amp;IF($C217&gt;=24,", "&amp;$A217&amp;"-"&amp;TEXT(($D217-$C217+1)+23,"00"),"")&amp;IF($C217&gt;=25,", "&amp;$A217&amp;"-"&amp;TEXT(($D217-$C217+1)+24,"00"),""))</f>
        <v/>
      </c>
      <c r="G217">
        <f>IF($A217="","",IF($E217=1,$F217,IF($F217="",$G216,IF($G216="",$F217,$G216&amp;", "&amp;$F217))))</f>
        <v/>
      </c>
      <c r="H217">
        <f>IF($A217="","",$A217&amp;" ("&amp;$C217&amp;")")</f>
        <v/>
      </c>
      <c r="I217">
        <f>IF($A217="","",IF($E217=1,$H217,$I216&amp;", "&amp;$H217))</f>
        <v/>
      </c>
      <c r="J217">
        <f>IF($A217="","",IF($E217=1,$B217,""))</f>
        <v/>
      </c>
      <c r="K217">
        <f>IF($A217="","",IF(COUNTIF($B$2:$B217,$B217)=COUNTIF($B$2:$B$1601,$B217),$B217,""))</f>
        <v/>
      </c>
    </row>
    <row r="218">
      <c r="A218">
        <f>IF('TMP Paste'!$E218="","",'TMP Paste'!$E218)</f>
        <v/>
      </c>
      <c r="B218">
        <f>IF($A218="","",COUNTIF('TMP Paste'!$B$2:$B218,"?*"))</f>
        <v/>
      </c>
      <c r="C218">
        <f>IF($A218="","",IFERROR('TMP Paste'!$M218*1,0))</f>
        <v/>
      </c>
      <c r="D218">
        <f>IF($A218="","",SUMIF($B$2:$B218,$B218,$C$2:$C218))</f>
        <v/>
      </c>
      <c r="E218">
        <f>IF($A218="",0,IF('TMP Paste'!$B218="",0,1))</f>
        <v/>
      </c>
      <c r="F218">
        <f>IF(OR($A218="",$C218&lt;1),"",$A218&amp;"-"&amp;TEXT(($D218-$C218+1),"00")&amp;IF($C218&gt;=2,", "&amp;$A218&amp;"-"&amp;TEXT(($D218-$C218+1)+1,"00"),"")&amp;IF($C218&gt;=3,", "&amp;$A218&amp;"-"&amp;TEXT(($D218-$C218+1)+2,"00"),"")&amp;IF($C218&gt;=4,", "&amp;$A218&amp;"-"&amp;TEXT(($D218-$C218+1)+3,"00"),"")&amp;IF($C218&gt;=5,", "&amp;$A218&amp;"-"&amp;TEXT(($D218-$C218+1)+4,"00"),"")&amp;IF($C218&gt;=6,", "&amp;$A218&amp;"-"&amp;TEXT(($D218-$C218+1)+5,"00"),"")&amp;IF($C218&gt;=7,", "&amp;$A218&amp;"-"&amp;TEXT(($D218-$C218+1)+6,"00"),"")&amp;IF($C218&gt;=8,", "&amp;$A218&amp;"-"&amp;TEXT(($D218-$C218+1)+7,"00"),"")&amp;IF($C218&gt;=9,", "&amp;$A218&amp;"-"&amp;TEXT(($D218-$C218+1)+8,"00"),"")&amp;IF($C218&gt;=10,", "&amp;$A218&amp;"-"&amp;TEXT(($D218-$C218+1)+9,"00"),"")&amp;IF($C218&gt;=11,", "&amp;$A218&amp;"-"&amp;TEXT(($D218-$C218+1)+10,"00"),"")&amp;IF($C218&gt;=12,", "&amp;$A218&amp;"-"&amp;TEXT(($D218-$C218+1)+11,"00"),"")&amp;IF($C218&gt;=13,", "&amp;$A218&amp;"-"&amp;TEXT(($D218-$C218+1)+12,"00"),"")&amp;IF($C218&gt;=14,", "&amp;$A218&amp;"-"&amp;TEXT(($D218-$C218+1)+13,"00"),"")&amp;IF($C218&gt;=15,", "&amp;$A218&amp;"-"&amp;TEXT(($D218-$C218+1)+14,"00"),"")&amp;IF($C218&gt;=16,", "&amp;$A218&amp;"-"&amp;TEXT(($D218-$C218+1)+15,"00"),"")&amp;IF($C218&gt;=17,", "&amp;$A218&amp;"-"&amp;TEXT(($D218-$C218+1)+16,"00"),"")&amp;IF($C218&gt;=18,", "&amp;$A218&amp;"-"&amp;TEXT(($D218-$C218+1)+17,"00"),"")&amp;IF($C218&gt;=19,", "&amp;$A218&amp;"-"&amp;TEXT(($D218-$C218+1)+18,"00"),"")&amp;IF($C218&gt;=20,", "&amp;$A218&amp;"-"&amp;TEXT(($D218-$C218+1)+19,"00"),"")&amp;IF($C218&gt;=21,", "&amp;$A218&amp;"-"&amp;TEXT(($D218-$C218+1)+20,"00"),"")&amp;IF($C218&gt;=22,", "&amp;$A218&amp;"-"&amp;TEXT(($D218-$C218+1)+21,"00"),"")&amp;IF($C218&gt;=23,", "&amp;$A218&amp;"-"&amp;TEXT(($D218-$C218+1)+22,"00"),"")&amp;IF($C218&gt;=24,", "&amp;$A218&amp;"-"&amp;TEXT(($D218-$C218+1)+23,"00"),"")&amp;IF($C218&gt;=25,", "&amp;$A218&amp;"-"&amp;TEXT(($D218-$C218+1)+24,"00"),""))</f>
        <v/>
      </c>
      <c r="G218">
        <f>IF($A218="","",IF($E218=1,$F218,IF($F218="",$G217,IF($G217="",$F218,$G217&amp;", "&amp;$F218))))</f>
        <v/>
      </c>
      <c r="H218">
        <f>IF($A218="","",$A218&amp;" ("&amp;$C218&amp;")")</f>
        <v/>
      </c>
      <c r="I218">
        <f>IF($A218="","",IF($E218=1,$H218,$I217&amp;", "&amp;$H218))</f>
        <v/>
      </c>
      <c r="J218">
        <f>IF($A218="","",IF($E218=1,$B218,""))</f>
        <v/>
      </c>
      <c r="K218">
        <f>IF($A218="","",IF(COUNTIF($B$2:$B218,$B218)=COUNTIF($B$2:$B$1601,$B218),$B218,""))</f>
        <v/>
      </c>
    </row>
    <row r="219">
      <c r="A219">
        <f>IF('TMP Paste'!$E219="","",'TMP Paste'!$E219)</f>
        <v/>
      </c>
      <c r="B219">
        <f>IF($A219="","",COUNTIF('TMP Paste'!$B$2:$B219,"?*"))</f>
        <v/>
      </c>
      <c r="C219">
        <f>IF($A219="","",IFERROR('TMP Paste'!$M219*1,0))</f>
        <v/>
      </c>
      <c r="D219">
        <f>IF($A219="","",SUMIF($B$2:$B219,$B219,$C$2:$C219))</f>
        <v/>
      </c>
      <c r="E219">
        <f>IF($A219="",0,IF('TMP Paste'!$B219="",0,1))</f>
        <v/>
      </c>
      <c r="F219">
        <f>IF(OR($A219="",$C219&lt;1),"",$A219&amp;"-"&amp;TEXT(($D219-$C219+1),"00")&amp;IF($C219&gt;=2,", "&amp;$A219&amp;"-"&amp;TEXT(($D219-$C219+1)+1,"00"),"")&amp;IF($C219&gt;=3,", "&amp;$A219&amp;"-"&amp;TEXT(($D219-$C219+1)+2,"00"),"")&amp;IF($C219&gt;=4,", "&amp;$A219&amp;"-"&amp;TEXT(($D219-$C219+1)+3,"00"),"")&amp;IF($C219&gt;=5,", "&amp;$A219&amp;"-"&amp;TEXT(($D219-$C219+1)+4,"00"),"")&amp;IF($C219&gt;=6,", "&amp;$A219&amp;"-"&amp;TEXT(($D219-$C219+1)+5,"00"),"")&amp;IF($C219&gt;=7,", "&amp;$A219&amp;"-"&amp;TEXT(($D219-$C219+1)+6,"00"),"")&amp;IF($C219&gt;=8,", "&amp;$A219&amp;"-"&amp;TEXT(($D219-$C219+1)+7,"00"),"")&amp;IF($C219&gt;=9,", "&amp;$A219&amp;"-"&amp;TEXT(($D219-$C219+1)+8,"00"),"")&amp;IF($C219&gt;=10,", "&amp;$A219&amp;"-"&amp;TEXT(($D219-$C219+1)+9,"00"),"")&amp;IF($C219&gt;=11,", "&amp;$A219&amp;"-"&amp;TEXT(($D219-$C219+1)+10,"00"),"")&amp;IF($C219&gt;=12,", "&amp;$A219&amp;"-"&amp;TEXT(($D219-$C219+1)+11,"00"),"")&amp;IF($C219&gt;=13,", "&amp;$A219&amp;"-"&amp;TEXT(($D219-$C219+1)+12,"00"),"")&amp;IF($C219&gt;=14,", "&amp;$A219&amp;"-"&amp;TEXT(($D219-$C219+1)+13,"00"),"")&amp;IF($C219&gt;=15,", "&amp;$A219&amp;"-"&amp;TEXT(($D219-$C219+1)+14,"00"),"")&amp;IF($C219&gt;=16,", "&amp;$A219&amp;"-"&amp;TEXT(($D219-$C219+1)+15,"00"),"")&amp;IF($C219&gt;=17,", "&amp;$A219&amp;"-"&amp;TEXT(($D219-$C219+1)+16,"00"),"")&amp;IF($C219&gt;=18,", "&amp;$A219&amp;"-"&amp;TEXT(($D219-$C219+1)+17,"00"),"")&amp;IF($C219&gt;=19,", "&amp;$A219&amp;"-"&amp;TEXT(($D219-$C219+1)+18,"00"),"")&amp;IF($C219&gt;=20,", "&amp;$A219&amp;"-"&amp;TEXT(($D219-$C219+1)+19,"00"),"")&amp;IF($C219&gt;=21,", "&amp;$A219&amp;"-"&amp;TEXT(($D219-$C219+1)+20,"00"),"")&amp;IF($C219&gt;=22,", "&amp;$A219&amp;"-"&amp;TEXT(($D219-$C219+1)+21,"00"),"")&amp;IF($C219&gt;=23,", "&amp;$A219&amp;"-"&amp;TEXT(($D219-$C219+1)+22,"00"),"")&amp;IF($C219&gt;=24,", "&amp;$A219&amp;"-"&amp;TEXT(($D219-$C219+1)+23,"00"),"")&amp;IF($C219&gt;=25,", "&amp;$A219&amp;"-"&amp;TEXT(($D219-$C219+1)+24,"00"),""))</f>
        <v/>
      </c>
      <c r="G219">
        <f>IF($A219="","",IF($E219=1,$F219,IF($F219="",$G218,IF($G218="",$F219,$G218&amp;", "&amp;$F219))))</f>
        <v/>
      </c>
      <c r="H219">
        <f>IF($A219="","",$A219&amp;" ("&amp;$C219&amp;")")</f>
        <v/>
      </c>
      <c r="I219">
        <f>IF($A219="","",IF($E219=1,$H219,$I218&amp;", "&amp;$H219))</f>
        <v/>
      </c>
      <c r="J219">
        <f>IF($A219="","",IF($E219=1,$B219,""))</f>
        <v/>
      </c>
      <c r="K219">
        <f>IF($A219="","",IF(COUNTIF($B$2:$B219,$B219)=COUNTIF($B$2:$B$1601,$B219),$B219,""))</f>
        <v/>
      </c>
    </row>
    <row r="220">
      <c r="A220">
        <f>IF('TMP Paste'!$E220="","",'TMP Paste'!$E220)</f>
        <v/>
      </c>
      <c r="B220">
        <f>IF($A220="","",COUNTIF('TMP Paste'!$B$2:$B220,"?*"))</f>
        <v/>
      </c>
      <c r="C220">
        <f>IF($A220="","",IFERROR('TMP Paste'!$M220*1,0))</f>
        <v/>
      </c>
      <c r="D220">
        <f>IF($A220="","",SUMIF($B$2:$B220,$B220,$C$2:$C220))</f>
        <v/>
      </c>
      <c r="E220">
        <f>IF($A220="",0,IF('TMP Paste'!$B220="",0,1))</f>
        <v/>
      </c>
      <c r="F220">
        <f>IF(OR($A220="",$C220&lt;1),"",$A220&amp;"-"&amp;TEXT(($D220-$C220+1),"00")&amp;IF($C220&gt;=2,", "&amp;$A220&amp;"-"&amp;TEXT(($D220-$C220+1)+1,"00"),"")&amp;IF($C220&gt;=3,", "&amp;$A220&amp;"-"&amp;TEXT(($D220-$C220+1)+2,"00"),"")&amp;IF($C220&gt;=4,", "&amp;$A220&amp;"-"&amp;TEXT(($D220-$C220+1)+3,"00"),"")&amp;IF($C220&gt;=5,", "&amp;$A220&amp;"-"&amp;TEXT(($D220-$C220+1)+4,"00"),"")&amp;IF($C220&gt;=6,", "&amp;$A220&amp;"-"&amp;TEXT(($D220-$C220+1)+5,"00"),"")&amp;IF($C220&gt;=7,", "&amp;$A220&amp;"-"&amp;TEXT(($D220-$C220+1)+6,"00"),"")&amp;IF($C220&gt;=8,", "&amp;$A220&amp;"-"&amp;TEXT(($D220-$C220+1)+7,"00"),"")&amp;IF($C220&gt;=9,", "&amp;$A220&amp;"-"&amp;TEXT(($D220-$C220+1)+8,"00"),"")&amp;IF($C220&gt;=10,", "&amp;$A220&amp;"-"&amp;TEXT(($D220-$C220+1)+9,"00"),"")&amp;IF($C220&gt;=11,", "&amp;$A220&amp;"-"&amp;TEXT(($D220-$C220+1)+10,"00"),"")&amp;IF($C220&gt;=12,", "&amp;$A220&amp;"-"&amp;TEXT(($D220-$C220+1)+11,"00"),"")&amp;IF($C220&gt;=13,", "&amp;$A220&amp;"-"&amp;TEXT(($D220-$C220+1)+12,"00"),"")&amp;IF($C220&gt;=14,", "&amp;$A220&amp;"-"&amp;TEXT(($D220-$C220+1)+13,"00"),"")&amp;IF($C220&gt;=15,", "&amp;$A220&amp;"-"&amp;TEXT(($D220-$C220+1)+14,"00"),"")&amp;IF($C220&gt;=16,", "&amp;$A220&amp;"-"&amp;TEXT(($D220-$C220+1)+15,"00"),"")&amp;IF($C220&gt;=17,", "&amp;$A220&amp;"-"&amp;TEXT(($D220-$C220+1)+16,"00"),"")&amp;IF($C220&gt;=18,", "&amp;$A220&amp;"-"&amp;TEXT(($D220-$C220+1)+17,"00"),"")&amp;IF($C220&gt;=19,", "&amp;$A220&amp;"-"&amp;TEXT(($D220-$C220+1)+18,"00"),"")&amp;IF($C220&gt;=20,", "&amp;$A220&amp;"-"&amp;TEXT(($D220-$C220+1)+19,"00"),"")&amp;IF($C220&gt;=21,", "&amp;$A220&amp;"-"&amp;TEXT(($D220-$C220+1)+20,"00"),"")&amp;IF($C220&gt;=22,", "&amp;$A220&amp;"-"&amp;TEXT(($D220-$C220+1)+21,"00"),"")&amp;IF($C220&gt;=23,", "&amp;$A220&amp;"-"&amp;TEXT(($D220-$C220+1)+22,"00"),"")&amp;IF($C220&gt;=24,", "&amp;$A220&amp;"-"&amp;TEXT(($D220-$C220+1)+23,"00"),"")&amp;IF($C220&gt;=25,", "&amp;$A220&amp;"-"&amp;TEXT(($D220-$C220+1)+24,"00"),""))</f>
        <v/>
      </c>
      <c r="G220">
        <f>IF($A220="","",IF($E220=1,$F220,IF($F220="",$G219,IF($G219="",$F220,$G219&amp;", "&amp;$F220))))</f>
        <v/>
      </c>
      <c r="H220">
        <f>IF($A220="","",$A220&amp;" ("&amp;$C220&amp;")")</f>
        <v/>
      </c>
      <c r="I220">
        <f>IF($A220="","",IF($E220=1,$H220,$I219&amp;", "&amp;$H220))</f>
        <v/>
      </c>
      <c r="J220">
        <f>IF($A220="","",IF($E220=1,$B220,""))</f>
        <v/>
      </c>
      <c r="K220">
        <f>IF($A220="","",IF(COUNTIF($B$2:$B220,$B220)=COUNTIF($B$2:$B$1601,$B220),$B220,""))</f>
        <v/>
      </c>
    </row>
    <row r="221">
      <c r="A221">
        <f>IF('TMP Paste'!$E221="","",'TMP Paste'!$E221)</f>
        <v/>
      </c>
      <c r="B221">
        <f>IF($A221="","",COUNTIF('TMP Paste'!$B$2:$B221,"?*"))</f>
        <v/>
      </c>
      <c r="C221">
        <f>IF($A221="","",IFERROR('TMP Paste'!$M221*1,0))</f>
        <v/>
      </c>
      <c r="D221">
        <f>IF($A221="","",SUMIF($B$2:$B221,$B221,$C$2:$C221))</f>
        <v/>
      </c>
      <c r="E221">
        <f>IF($A221="",0,IF('TMP Paste'!$B221="",0,1))</f>
        <v/>
      </c>
      <c r="F221">
        <f>IF(OR($A221="",$C221&lt;1),"",$A221&amp;"-"&amp;TEXT(($D221-$C221+1),"00")&amp;IF($C221&gt;=2,", "&amp;$A221&amp;"-"&amp;TEXT(($D221-$C221+1)+1,"00"),"")&amp;IF($C221&gt;=3,", "&amp;$A221&amp;"-"&amp;TEXT(($D221-$C221+1)+2,"00"),"")&amp;IF($C221&gt;=4,", "&amp;$A221&amp;"-"&amp;TEXT(($D221-$C221+1)+3,"00"),"")&amp;IF($C221&gt;=5,", "&amp;$A221&amp;"-"&amp;TEXT(($D221-$C221+1)+4,"00"),"")&amp;IF($C221&gt;=6,", "&amp;$A221&amp;"-"&amp;TEXT(($D221-$C221+1)+5,"00"),"")&amp;IF($C221&gt;=7,", "&amp;$A221&amp;"-"&amp;TEXT(($D221-$C221+1)+6,"00"),"")&amp;IF($C221&gt;=8,", "&amp;$A221&amp;"-"&amp;TEXT(($D221-$C221+1)+7,"00"),"")&amp;IF($C221&gt;=9,", "&amp;$A221&amp;"-"&amp;TEXT(($D221-$C221+1)+8,"00"),"")&amp;IF($C221&gt;=10,", "&amp;$A221&amp;"-"&amp;TEXT(($D221-$C221+1)+9,"00"),"")&amp;IF($C221&gt;=11,", "&amp;$A221&amp;"-"&amp;TEXT(($D221-$C221+1)+10,"00"),"")&amp;IF($C221&gt;=12,", "&amp;$A221&amp;"-"&amp;TEXT(($D221-$C221+1)+11,"00"),"")&amp;IF($C221&gt;=13,", "&amp;$A221&amp;"-"&amp;TEXT(($D221-$C221+1)+12,"00"),"")&amp;IF($C221&gt;=14,", "&amp;$A221&amp;"-"&amp;TEXT(($D221-$C221+1)+13,"00"),"")&amp;IF($C221&gt;=15,", "&amp;$A221&amp;"-"&amp;TEXT(($D221-$C221+1)+14,"00"),"")&amp;IF($C221&gt;=16,", "&amp;$A221&amp;"-"&amp;TEXT(($D221-$C221+1)+15,"00"),"")&amp;IF($C221&gt;=17,", "&amp;$A221&amp;"-"&amp;TEXT(($D221-$C221+1)+16,"00"),"")&amp;IF($C221&gt;=18,", "&amp;$A221&amp;"-"&amp;TEXT(($D221-$C221+1)+17,"00"),"")&amp;IF($C221&gt;=19,", "&amp;$A221&amp;"-"&amp;TEXT(($D221-$C221+1)+18,"00"),"")&amp;IF($C221&gt;=20,", "&amp;$A221&amp;"-"&amp;TEXT(($D221-$C221+1)+19,"00"),"")&amp;IF($C221&gt;=21,", "&amp;$A221&amp;"-"&amp;TEXT(($D221-$C221+1)+20,"00"),"")&amp;IF($C221&gt;=22,", "&amp;$A221&amp;"-"&amp;TEXT(($D221-$C221+1)+21,"00"),"")&amp;IF($C221&gt;=23,", "&amp;$A221&amp;"-"&amp;TEXT(($D221-$C221+1)+22,"00"),"")&amp;IF($C221&gt;=24,", "&amp;$A221&amp;"-"&amp;TEXT(($D221-$C221+1)+23,"00"),"")&amp;IF($C221&gt;=25,", "&amp;$A221&amp;"-"&amp;TEXT(($D221-$C221+1)+24,"00"),""))</f>
        <v/>
      </c>
      <c r="G221">
        <f>IF($A221="","",IF($E221=1,$F221,IF($F221="",$G220,IF($G220="",$F221,$G220&amp;", "&amp;$F221))))</f>
        <v/>
      </c>
      <c r="H221">
        <f>IF($A221="","",$A221&amp;" ("&amp;$C221&amp;")")</f>
        <v/>
      </c>
      <c r="I221">
        <f>IF($A221="","",IF($E221=1,$H221,$I220&amp;", "&amp;$H221))</f>
        <v/>
      </c>
      <c r="J221">
        <f>IF($A221="","",IF($E221=1,$B221,""))</f>
        <v/>
      </c>
      <c r="K221">
        <f>IF($A221="","",IF(COUNTIF($B$2:$B221,$B221)=COUNTIF($B$2:$B$1601,$B221),$B221,""))</f>
        <v/>
      </c>
    </row>
    <row r="222">
      <c r="A222">
        <f>IF('TMP Paste'!$E222="","",'TMP Paste'!$E222)</f>
        <v/>
      </c>
      <c r="B222">
        <f>IF($A222="","",COUNTIF('TMP Paste'!$B$2:$B222,"?*"))</f>
        <v/>
      </c>
      <c r="C222">
        <f>IF($A222="","",IFERROR('TMP Paste'!$M222*1,0))</f>
        <v/>
      </c>
      <c r="D222">
        <f>IF($A222="","",SUMIF($B$2:$B222,$B222,$C$2:$C222))</f>
        <v/>
      </c>
      <c r="E222">
        <f>IF($A222="",0,IF('TMP Paste'!$B222="",0,1))</f>
        <v/>
      </c>
      <c r="F222">
        <f>IF(OR($A222="",$C222&lt;1),"",$A222&amp;"-"&amp;TEXT(($D222-$C222+1),"00")&amp;IF($C222&gt;=2,", "&amp;$A222&amp;"-"&amp;TEXT(($D222-$C222+1)+1,"00"),"")&amp;IF($C222&gt;=3,", "&amp;$A222&amp;"-"&amp;TEXT(($D222-$C222+1)+2,"00"),"")&amp;IF($C222&gt;=4,", "&amp;$A222&amp;"-"&amp;TEXT(($D222-$C222+1)+3,"00"),"")&amp;IF($C222&gt;=5,", "&amp;$A222&amp;"-"&amp;TEXT(($D222-$C222+1)+4,"00"),"")&amp;IF($C222&gt;=6,", "&amp;$A222&amp;"-"&amp;TEXT(($D222-$C222+1)+5,"00"),"")&amp;IF($C222&gt;=7,", "&amp;$A222&amp;"-"&amp;TEXT(($D222-$C222+1)+6,"00"),"")&amp;IF($C222&gt;=8,", "&amp;$A222&amp;"-"&amp;TEXT(($D222-$C222+1)+7,"00"),"")&amp;IF($C222&gt;=9,", "&amp;$A222&amp;"-"&amp;TEXT(($D222-$C222+1)+8,"00"),"")&amp;IF($C222&gt;=10,", "&amp;$A222&amp;"-"&amp;TEXT(($D222-$C222+1)+9,"00"),"")&amp;IF($C222&gt;=11,", "&amp;$A222&amp;"-"&amp;TEXT(($D222-$C222+1)+10,"00"),"")&amp;IF($C222&gt;=12,", "&amp;$A222&amp;"-"&amp;TEXT(($D222-$C222+1)+11,"00"),"")&amp;IF($C222&gt;=13,", "&amp;$A222&amp;"-"&amp;TEXT(($D222-$C222+1)+12,"00"),"")&amp;IF($C222&gt;=14,", "&amp;$A222&amp;"-"&amp;TEXT(($D222-$C222+1)+13,"00"),"")&amp;IF($C222&gt;=15,", "&amp;$A222&amp;"-"&amp;TEXT(($D222-$C222+1)+14,"00"),"")&amp;IF($C222&gt;=16,", "&amp;$A222&amp;"-"&amp;TEXT(($D222-$C222+1)+15,"00"),"")&amp;IF($C222&gt;=17,", "&amp;$A222&amp;"-"&amp;TEXT(($D222-$C222+1)+16,"00"),"")&amp;IF($C222&gt;=18,", "&amp;$A222&amp;"-"&amp;TEXT(($D222-$C222+1)+17,"00"),"")&amp;IF($C222&gt;=19,", "&amp;$A222&amp;"-"&amp;TEXT(($D222-$C222+1)+18,"00"),"")&amp;IF($C222&gt;=20,", "&amp;$A222&amp;"-"&amp;TEXT(($D222-$C222+1)+19,"00"),"")&amp;IF($C222&gt;=21,", "&amp;$A222&amp;"-"&amp;TEXT(($D222-$C222+1)+20,"00"),"")&amp;IF($C222&gt;=22,", "&amp;$A222&amp;"-"&amp;TEXT(($D222-$C222+1)+21,"00"),"")&amp;IF($C222&gt;=23,", "&amp;$A222&amp;"-"&amp;TEXT(($D222-$C222+1)+22,"00"),"")&amp;IF($C222&gt;=24,", "&amp;$A222&amp;"-"&amp;TEXT(($D222-$C222+1)+23,"00"),"")&amp;IF($C222&gt;=25,", "&amp;$A222&amp;"-"&amp;TEXT(($D222-$C222+1)+24,"00"),""))</f>
        <v/>
      </c>
      <c r="G222">
        <f>IF($A222="","",IF($E222=1,$F222,IF($F222="",$G221,IF($G221="",$F222,$G221&amp;", "&amp;$F222))))</f>
        <v/>
      </c>
      <c r="H222">
        <f>IF($A222="","",$A222&amp;" ("&amp;$C222&amp;")")</f>
        <v/>
      </c>
      <c r="I222">
        <f>IF($A222="","",IF($E222=1,$H222,$I221&amp;", "&amp;$H222))</f>
        <v/>
      </c>
      <c r="J222">
        <f>IF($A222="","",IF($E222=1,$B222,""))</f>
        <v/>
      </c>
      <c r="K222">
        <f>IF($A222="","",IF(COUNTIF($B$2:$B222,$B222)=COUNTIF($B$2:$B$1601,$B222),$B222,""))</f>
        <v/>
      </c>
    </row>
    <row r="223">
      <c r="A223">
        <f>IF('TMP Paste'!$E223="","",'TMP Paste'!$E223)</f>
        <v/>
      </c>
      <c r="B223">
        <f>IF($A223="","",COUNTIF('TMP Paste'!$B$2:$B223,"?*"))</f>
        <v/>
      </c>
      <c r="C223">
        <f>IF($A223="","",IFERROR('TMP Paste'!$M223*1,0))</f>
        <v/>
      </c>
      <c r="D223">
        <f>IF($A223="","",SUMIF($B$2:$B223,$B223,$C$2:$C223))</f>
        <v/>
      </c>
      <c r="E223">
        <f>IF($A223="",0,IF('TMP Paste'!$B223="",0,1))</f>
        <v/>
      </c>
      <c r="F223">
        <f>IF(OR($A223="",$C223&lt;1),"",$A223&amp;"-"&amp;TEXT(($D223-$C223+1),"00")&amp;IF($C223&gt;=2,", "&amp;$A223&amp;"-"&amp;TEXT(($D223-$C223+1)+1,"00"),"")&amp;IF($C223&gt;=3,", "&amp;$A223&amp;"-"&amp;TEXT(($D223-$C223+1)+2,"00"),"")&amp;IF($C223&gt;=4,", "&amp;$A223&amp;"-"&amp;TEXT(($D223-$C223+1)+3,"00"),"")&amp;IF($C223&gt;=5,", "&amp;$A223&amp;"-"&amp;TEXT(($D223-$C223+1)+4,"00"),"")&amp;IF($C223&gt;=6,", "&amp;$A223&amp;"-"&amp;TEXT(($D223-$C223+1)+5,"00"),"")&amp;IF($C223&gt;=7,", "&amp;$A223&amp;"-"&amp;TEXT(($D223-$C223+1)+6,"00"),"")&amp;IF($C223&gt;=8,", "&amp;$A223&amp;"-"&amp;TEXT(($D223-$C223+1)+7,"00"),"")&amp;IF($C223&gt;=9,", "&amp;$A223&amp;"-"&amp;TEXT(($D223-$C223+1)+8,"00"),"")&amp;IF($C223&gt;=10,", "&amp;$A223&amp;"-"&amp;TEXT(($D223-$C223+1)+9,"00"),"")&amp;IF($C223&gt;=11,", "&amp;$A223&amp;"-"&amp;TEXT(($D223-$C223+1)+10,"00"),"")&amp;IF($C223&gt;=12,", "&amp;$A223&amp;"-"&amp;TEXT(($D223-$C223+1)+11,"00"),"")&amp;IF($C223&gt;=13,", "&amp;$A223&amp;"-"&amp;TEXT(($D223-$C223+1)+12,"00"),"")&amp;IF($C223&gt;=14,", "&amp;$A223&amp;"-"&amp;TEXT(($D223-$C223+1)+13,"00"),"")&amp;IF($C223&gt;=15,", "&amp;$A223&amp;"-"&amp;TEXT(($D223-$C223+1)+14,"00"),"")&amp;IF($C223&gt;=16,", "&amp;$A223&amp;"-"&amp;TEXT(($D223-$C223+1)+15,"00"),"")&amp;IF($C223&gt;=17,", "&amp;$A223&amp;"-"&amp;TEXT(($D223-$C223+1)+16,"00"),"")&amp;IF($C223&gt;=18,", "&amp;$A223&amp;"-"&amp;TEXT(($D223-$C223+1)+17,"00"),"")&amp;IF($C223&gt;=19,", "&amp;$A223&amp;"-"&amp;TEXT(($D223-$C223+1)+18,"00"),"")&amp;IF($C223&gt;=20,", "&amp;$A223&amp;"-"&amp;TEXT(($D223-$C223+1)+19,"00"),"")&amp;IF($C223&gt;=21,", "&amp;$A223&amp;"-"&amp;TEXT(($D223-$C223+1)+20,"00"),"")&amp;IF($C223&gt;=22,", "&amp;$A223&amp;"-"&amp;TEXT(($D223-$C223+1)+21,"00"),"")&amp;IF($C223&gt;=23,", "&amp;$A223&amp;"-"&amp;TEXT(($D223-$C223+1)+22,"00"),"")&amp;IF($C223&gt;=24,", "&amp;$A223&amp;"-"&amp;TEXT(($D223-$C223+1)+23,"00"),"")&amp;IF($C223&gt;=25,", "&amp;$A223&amp;"-"&amp;TEXT(($D223-$C223+1)+24,"00"),""))</f>
        <v/>
      </c>
      <c r="G223">
        <f>IF($A223="","",IF($E223=1,$F223,IF($F223="",$G222,IF($G222="",$F223,$G222&amp;", "&amp;$F223))))</f>
        <v/>
      </c>
      <c r="H223">
        <f>IF($A223="","",$A223&amp;" ("&amp;$C223&amp;")")</f>
        <v/>
      </c>
      <c r="I223">
        <f>IF($A223="","",IF($E223=1,$H223,$I222&amp;", "&amp;$H223))</f>
        <v/>
      </c>
      <c r="J223">
        <f>IF($A223="","",IF($E223=1,$B223,""))</f>
        <v/>
      </c>
      <c r="K223">
        <f>IF($A223="","",IF(COUNTIF($B$2:$B223,$B223)=COUNTIF($B$2:$B$1601,$B223),$B223,""))</f>
        <v/>
      </c>
    </row>
    <row r="224">
      <c r="A224">
        <f>IF('TMP Paste'!$E224="","",'TMP Paste'!$E224)</f>
        <v/>
      </c>
      <c r="B224">
        <f>IF($A224="","",COUNTIF('TMP Paste'!$B$2:$B224,"?*"))</f>
        <v/>
      </c>
      <c r="C224">
        <f>IF($A224="","",IFERROR('TMP Paste'!$M224*1,0))</f>
        <v/>
      </c>
      <c r="D224">
        <f>IF($A224="","",SUMIF($B$2:$B224,$B224,$C$2:$C224))</f>
        <v/>
      </c>
      <c r="E224">
        <f>IF($A224="",0,IF('TMP Paste'!$B224="",0,1))</f>
        <v/>
      </c>
      <c r="F224">
        <f>IF(OR($A224="",$C224&lt;1),"",$A224&amp;"-"&amp;TEXT(($D224-$C224+1),"00")&amp;IF($C224&gt;=2,", "&amp;$A224&amp;"-"&amp;TEXT(($D224-$C224+1)+1,"00"),"")&amp;IF($C224&gt;=3,", "&amp;$A224&amp;"-"&amp;TEXT(($D224-$C224+1)+2,"00"),"")&amp;IF($C224&gt;=4,", "&amp;$A224&amp;"-"&amp;TEXT(($D224-$C224+1)+3,"00"),"")&amp;IF($C224&gt;=5,", "&amp;$A224&amp;"-"&amp;TEXT(($D224-$C224+1)+4,"00"),"")&amp;IF($C224&gt;=6,", "&amp;$A224&amp;"-"&amp;TEXT(($D224-$C224+1)+5,"00"),"")&amp;IF($C224&gt;=7,", "&amp;$A224&amp;"-"&amp;TEXT(($D224-$C224+1)+6,"00"),"")&amp;IF($C224&gt;=8,", "&amp;$A224&amp;"-"&amp;TEXT(($D224-$C224+1)+7,"00"),"")&amp;IF($C224&gt;=9,", "&amp;$A224&amp;"-"&amp;TEXT(($D224-$C224+1)+8,"00"),"")&amp;IF($C224&gt;=10,", "&amp;$A224&amp;"-"&amp;TEXT(($D224-$C224+1)+9,"00"),"")&amp;IF($C224&gt;=11,", "&amp;$A224&amp;"-"&amp;TEXT(($D224-$C224+1)+10,"00"),"")&amp;IF($C224&gt;=12,", "&amp;$A224&amp;"-"&amp;TEXT(($D224-$C224+1)+11,"00"),"")&amp;IF($C224&gt;=13,", "&amp;$A224&amp;"-"&amp;TEXT(($D224-$C224+1)+12,"00"),"")&amp;IF($C224&gt;=14,", "&amp;$A224&amp;"-"&amp;TEXT(($D224-$C224+1)+13,"00"),"")&amp;IF($C224&gt;=15,", "&amp;$A224&amp;"-"&amp;TEXT(($D224-$C224+1)+14,"00"),"")&amp;IF($C224&gt;=16,", "&amp;$A224&amp;"-"&amp;TEXT(($D224-$C224+1)+15,"00"),"")&amp;IF($C224&gt;=17,", "&amp;$A224&amp;"-"&amp;TEXT(($D224-$C224+1)+16,"00"),"")&amp;IF($C224&gt;=18,", "&amp;$A224&amp;"-"&amp;TEXT(($D224-$C224+1)+17,"00"),"")&amp;IF($C224&gt;=19,", "&amp;$A224&amp;"-"&amp;TEXT(($D224-$C224+1)+18,"00"),"")&amp;IF($C224&gt;=20,", "&amp;$A224&amp;"-"&amp;TEXT(($D224-$C224+1)+19,"00"),"")&amp;IF($C224&gt;=21,", "&amp;$A224&amp;"-"&amp;TEXT(($D224-$C224+1)+20,"00"),"")&amp;IF($C224&gt;=22,", "&amp;$A224&amp;"-"&amp;TEXT(($D224-$C224+1)+21,"00"),"")&amp;IF($C224&gt;=23,", "&amp;$A224&amp;"-"&amp;TEXT(($D224-$C224+1)+22,"00"),"")&amp;IF($C224&gt;=24,", "&amp;$A224&amp;"-"&amp;TEXT(($D224-$C224+1)+23,"00"),"")&amp;IF($C224&gt;=25,", "&amp;$A224&amp;"-"&amp;TEXT(($D224-$C224+1)+24,"00"),""))</f>
        <v/>
      </c>
      <c r="G224">
        <f>IF($A224="","",IF($E224=1,$F224,IF($F224="",$G223,IF($G223="",$F224,$G223&amp;", "&amp;$F224))))</f>
        <v/>
      </c>
      <c r="H224">
        <f>IF($A224="","",$A224&amp;" ("&amp;$C224&amp;")")</f>
        <v/>
      </c>
      <c r="I224">
        <f>IF($A224="","",IF($E224=1,$H224,$I223&amp;", "&amp;$H224))</f>
        <v/>
      </c>
      <c r="J224">
        <f>IF($A224="","",IF($E224=1,$B224,""))</f>
        <v/>
      </c>
      <c r="K224">
        <f>IF($A224="","",IF(COUNTIF($B$2:$B224,$B224)=COUNTIF($B$2:$B$1601,$B224),$B224,""))</f>
        <v/>
      </c>
    </row>
    <row r="225">
      <c r="A225">
        <f>IF('TMP Paste'!$E225="","",'TMP Paste'!$E225)</f>
        <v/>
      </c>
      <c r="B225">
        <f>IF($A225="","",COUNTIF('TMP Paste'!$B$2:$B225,"?*"))</f>
        <v/>
      </c>
      <c r="C225">
        <f>IF($A225="","",IFERROR('TMP Paste'!$M225*1,0))</f>
        <v/>
      </c>
      <c r="D225">
        <f>IF($A225="","",SUMIF($B$2:$B225,$B225,$C$2:$C225))</f>
        <v/>
      </c>
      <c r="E225">
        <f>IF($A225="",0,IF('TMP Paste'!$B225="",0,1))</f>
        <v/>
      </c>
      <c r="F225">
        <f>IF(OR($A225="",$C225&lt;1),"",$A225&amp;"-"&amp;TEXT(($D225-$C225+1),"00")&amp;IF($C225&gt;=2,", "&amp;$A225&amp;"-"&amp;TEXT(($D225-$C225+1)+1,"00"),"")&amp;IF($C225&gt;=3,", "&amp;$A225&amp;"-"&amp;TEXT(($D225-$C225+1)+2,"00"),"")&amp;IF($C225&gt;=4,", "&amp;$A225&amp;"-"&amp;TEXT(($D225-$C225+1)+3,"00"),"")&amp;IF($C225&gt;=5,", "&amp;$A225&amp;"-"&amp;TEXT(($D225-$C225+1)+4,"00"),"")&amp;IF($C225&gt;=6,", "&amp;$A225&amp;"-"&amp;TEXT(($D225-$C225+1)+5,"00"),"")&amp;IF($C225&gt;=7,", "&amp;$A225&amp;"-"&amp;TEXT(($D225-$C225+1)+6,"00"),"")&amp;IF($C225&gt;=8,", "&amp;$A225&amp;"-"&amp;TEXT(($D225-$C225+1)+7,"00"),"")&amp;IF($C225&gt;=9,", "&amp;$A225&amp;"-"&amp;TEXT(($D225-$C225+1)+8,"00"),"")&amp;IF($C225&gt;=10,", "&amp;$A225&amp;"-"&amp;TEXT(($D225-$C225+1)+9,"00"),"")&amp;IF($C225&gt;=11,", "&amp;$A225&amp;"-"&amp;TEXT(($D225-$C225+1)+10,"00"),"")&amp;IF($C225&gt;=12,", "&amp;$A225&amp;"-"&amp;TEXT(($D225-$C225+1)+11,"00"),"")&amp;IF($C225&gt;=13,", "&amp;$A225&amp;"-"&amp;TEXT(($D225-$C225+1)+12,"00"),"")&amp;IF($C225&gt;=14,", "&amp;$A225&amp;"-"&amp;TEXT(($D225-$C225+1)+13,"00"),"")&amp;IF($C225&gt;=15,", "&amp;$A225&amp;"-"&amp;TEXT(($D225-$C225+1)+14,"00"),"")&amp;IF($C225&gt;=16,", "&amp;$A225&amp;"-"&amp;TEXT(($D225-$C225+1)+15,"00"),"")&amp;IF($C225&gt;=17,", "&amp;$A225&amp;"-"&amp;TEXT(($D225-$C225+1)+16,"00"),"")&amp;IF($C225&gt;=18,", "&amp;$A225&amp;"-"&amp;TEXT(($D225-$C225+1)+17,"00"),"")&amp;IF($C225&gt;=19,", "&amp;$A225&amp;"-"&amp;TEXT(($D225-$C225+1)+18,"00"),"")&amp;IF($C225&gt;=20,", "&amp;$A225&amp;"-"&amp;TEXT(($D225-$C225+1)+19,"00"),"")&amp;IF($C225&gt;=21,", "&amp;$A225&amp;"-"&amp;TEXT(($D225-$C225+1)+20,"00"),"")&amp;IF($C225&gt;=22,", "&amp;$A225&amp;"-"&amp;TEXT(($D225-$C225+1)+21,"00"),"")&amp;IF($C225&gt;=23,", "&amp;$A225&amp;"-"&amp;TEXT(($D225-$C225+1)+22,"00"),"")&amp;IF($C225&gt;=24,", "&amp;$A225&amp;"-"&amp;TEXT(($D225-$C225+1)+23,"00"),"")&amp;IF($C225&gt;=25,", "&amp;$A225&amp;"-"&amp;TEXT(($D225-$C225+1)+24,"00"),""))</f>
        <v/>
      </c>
      <c r="G225">
        <f>IF($A225="","",IF($E225=1,$F225,IF($F225="",$G224,IF($G224="",$F225,$G224&amp;", "&amp;$F225))))</f>
        <v/>
      </c>
      <c r="H225">
        <f>IF($A225="","",$A225&amp;" ("&amp;$C225&amp;")")</f>
        <v/>
      </c>
      <c r="I225">
        <f>IF($A225="","",IF($E225=1,$H225,$I224&amp;", "&amp;$H225))</f>
        <v/>
      </c>
      <c r="J225">
        <f>IF($A225="","",IF($E225=1,$B225,""))</f>
        <v/>
      </c>
      <c r="K225">
        <f>IF($A225="","",IF(COUNTIF($B$2:$B225,$B225)=COUNTIF($B$2:$B$1601,$B225),$B225,""))</f>
        <v/>
      </c>
    </row>
    <row r="226">
      <c r="A226">
        <f>IF('TMP Paste'!$E226="","",'TMP Paste'!$E226)</f>
        <v/>
      </c>
      <c r="B226">
        <f>IF($A226="","",COUNTIF('TMP Paste'!$B$2:$B226,"?*"))</f>
        <v/>
      </c>
      <c r="C226">
        <f>IF($A226="","",IFERROR('TMP Paste'!$M226*1,0))</f>
        <v/>
      </c>
      <c r="D226">
        <f>IF($A226="","",SUMIF($B$2:$B226,$B226,$C$2:$C226))</f>
        <v/>
      </c>
      <c r="E226">
        <f>IF($A226="",0,IF('TMP Paste'!$B226="",0,1))</f>
        <v/>
      </c>
      <c r="F226">
        <f>IF(OR($A226="",$C226&lt;1),"",$A226&amp;"-"&amp;TEXT(($D226-$C226+1),"00")&amp;IF($C226&gt;=2,", "&amp;$A226&amp;"-"&amp;TEXT(($D226-$C226+1)+1,"00"),"")&amp;IF($C226&gt;=3,", "&amp;$A226&amp;"-"&amp;TEXT(($D226-$C226+1)+2,"00"),"")&amp;IF($C226&gt;=4,", "&amp;$A226&amp;"-"&amp;TEXT(($D226-$C226+1)+3,"00"),"")&amp;IF($C226&gt;=5,", "&amp;$A226&amp;"-"&amp;TEXT(($D226-$C226+1)+4,"00"),"")&amp;IF($C226&gt;=6,", "&amp;$A226&amp;"-"&amp;TEXT(($D226-$C226+1)+5,"00"),"")&amp;IF($C226&gt;=7,", "&amp;$A226&amp;"-"&amp;TEXT(($D226-$C226+1)+6,"00"),"")&amp;IF($C226&gt;=8,", "&amp;$A226&amp;"-"&amp;TEXT(($D226-$C226+1)+7,"00"),"")&amp;IF($C226&gt;=9,", "&amp;$A226&amp;"-"&amp;TEXT(($D226-$C226+1)+8,"00"),"")&amp;IF($C226&gt;=10,", "&amp;$A226&amp;"-"&amp;TEXT(($D226-$C226+1)+9,"00"),"")&amp;IF($C226&gt;=11,", "&amp;$A226&amp;"-"&amp;TEXT(($D226-$C226+1)+10,"00"),"")&amp;IF($C226&gt;=12,", "&amp;$A226&amp;"-"&amp;TEXT(($D226-$C226+1)+11,"00"),"")&amp;IF($C226&gt;=13,", "&amp;$A226&amp;"-"&amp;TEXT(($D226-$C226+1)+12,"00"),"")&amp;IF($C226&gt;=14,", "&amp;$A226&amp;"-"&amp;TEXT(($D226-$C226+1)+13,"00"),"")&amp;IF($C226&gt;=15,", "&amp;$A226&amp;"-"&amp;TEXT(($D226-$C226+1)+14,"00"),"")&amp;IF($C226&gt;=16,", "&amp;$A226&amp;"-"&amp;TEXT(($D226-$C226+1)+15,"00"),"")&amp;IF($C226&gt;=17,", "&amp;$A226&amp;"-"&amp;TEXT(($D226-$C226+1)+16,"00"),"")&amp;IF($C226&gt;=18,", "&amp;$A226&amp;"-"&amp;TEXT(($D226-$C226+1)+17,"00"),"")&amp;IF($C226&gt;=19,", "&amp;$A226&amp;"-"&amp;TEXT(($D226-$C226+1)+18,"00"),"")&amp;IF($C226&gt;=20,", "&amp;$A226&amp;"-"&amp;TEXT(($D226-$C226+1)+19,"00"),"")&amp;IF($C226&gt;=21,", "&amp;$A226&amp;"-"&amp;TEXT(($D226-$C226+1)+20,"00"),"")&amp;IF($C226&gt;=22,", "&amp;$A226&amp;"-"&amp;TEXT(($D226-$C226+1)+21,"00"),"")&amp;IF($C226&gt;=23,", "&amp;$A226&amp;"-"&amp;TEXT(($D226-$C226+1)+22,"00"),"")&amp;IF($C226&gt;=24,", "&amp;$A226&amp;"-"&amp;TEXT(($D226-$C226+1)+23,"00"),"")&amp;IF($C226&gt;=25,", "&amp;$A226&amp;"-"&amp;TEXT(($D226-$C226+1)+24,"00"),""))</f>
        <v/>
      </c>
      <c r="G226">
        <f>IF($A226="","",IF($E226=1,$F226,IF($F226="",$G225,IF($G225="",$F226,$G225&amp;", "&amp;$F226))))</f>
        <v/>
      </c>
      <c r="H226">
        <f>IF($A226="","",$A226&amp;" ("&amp;$C226&amp;")")</f>
        <v/>
      </c>
      <c r="I226">
        <f>IF($A226="","",IF($E226=1,$H226,$I225&amp;", "&amp;$H226))</f>
        <v/>
      </c>
      <c r="J226">
        <f>IF($A226="","",IF($E226=1,$B226,""))</f>
        <v/>
      </c>
      <c r="K226">
        <f>IF($A226="","",IF(COUNTIF($B$2:$B226,$B226)=COUNTIF($B$2:$B$1601,$B226),$B226,""))</f>
        <v/>
      </c>
    </row>
    <row r="227">
      <c r="A227">
        <f>IF('TMP Paste'!$E227="","",'TMP Paste'!$E227)</f>
        <v/>
      </c>
      <c r="B227">
        <f>IF($A227="","",COUNTIF('TMP Paste'!$B$2:$B227,"?*"))</f>
        <v/>
      </c>
      <c r="C227">
        <f>IF($A227="","",IFERROR('TMP Paste'!$M227*1,0))</f>
        <v/>
      </c>
      <c r="D227">
        <f>IF($A227="","",SUMIF($B$2:$B227,$B227,$C$2:$C227))</f>
        <v/>
      </c>
      <c r="E227">
        <f>IF($A227="",0,IF('TMP Paste'!$B227="",0,1))</f>
        <v/>
      </c>
      <c r="F227">
        <f>IF(OR($A227="",$C227&lt;1),"",$A227&amp;"-"&amp;TEXT(($D227-$C227+1),"00")&amp;IF($C227&gt;=2,", "&amp;$A227&amp;"-"&amp;TEXT(($D227-$C227+1)+1,"00"),"")&amp;IF($C227&gt;=3,", "&amp;$A227&amp;"-"&amp;TEXT(($D227-$C227+1)+2,"00"),"")&amp;IF($C227&gt;=4,", "&amp;$A227&amp;"-"&amp;TEXT(($D227-$C227+1)+3,"00"),"")&amp;IF($C227&gt;=5,", "&amp;$A227&amp;"-"&amp;TEXT(($D227-$C227+1)+4,"00"),"")&amp;IF($C227&gt;=6,", "&amp;$A227&amp;"-"&amp;TEXT(($D227-$C227+1)+5,"00"),"")&amp;IF($C227&gt;=7,", "&amp;$A227&amp;"-"&amp;TEXT(($D227-$C227+1)+6,"00"),"")&amp;IF($C227&gt;=8,", "&amp;$A227&amp;"-"&amp;TEXT(($D227-$C227+1)+7,"00"),"")&amp;IF($C227&gt;=9,", "&amp;$A227&amp;"-"&amp;TEXT(($D227-$C227+1)+8,"00"),"")&amp;IF($C227&gt;=10,", "&amp;$A227&amp;"-"&amp;TEXT(($D227-$C227+1)+9,"00"),"")&amp;IF($C227&gt;=11,", "&amp;$A227&amp;"-"&amp;TEXT(($D227-$C227+1)+10,"00"),"")&amp;IF($C227&gt;=12,", "&amp;$A227&amp;"-"&amp;TEXT(($D227-$C227+1)+11,"00"),"")&amp;IF($C227&gt;=13,", "&amp;$A227&amp;"-"&amp;TEXT(($D227-$C227+1)+12,"00"),"")&amp;IF($C227&gt;=14,", "&amp;$A227&amp;"-"&amp;TEXT(($D227-$C227+1)+13,"00"),"")&amp;IF($C227&gt;=15,", "&amp;$A227&amp;"-"&amp;TEXT(($D227-$C227+1)+14,"00"),"")&amp;IF($C227&gt;=16,", "&amp;$A227&amp;"-"&amp;TEXT(($D227-$C227+1)+15,"00"),"")&amp;IF($C227&gt;=17,", "&amp;$A227&amp;"-"&amp;TEXT(($D227-$C227+1)+16,"00"),"")&amp;IF($C227&gt;=18,", "&amp;$A227&amp;"-"&amp;TEXT(($D227-$C227+1)+17,"00"),"")&amp;IF($C227&gt;=19,", "&amp;$A227&amp;"-"&amp;TEXT(($D227-$C227+1)+18,"00"),"")&amp;IF($C227&gt;=20,", "&amp;$A227&amp;"-"&amp;TEXT(($D227-$C227+1)+19,"00"),"")&amp;IF($C227&gt;=21,", "&amp;$A227&amp;"-"&amp;TEXT(($D227-$C227+1)+20,"00"),"")&amp;IF($C227&gt;=22,", "&amp;$A227&amp;"-"&amp;TEXT(($D227-$C227+1)+21,"00"),"")&amp;IF($C227&gt;=23,", "&amp;$A227&amp;"-"&amp;TEXT(($D227-$C227+1)+22,"00"),"")&amp;IF($C227&gt;=24,", "&amp;$A227&amp;"-"&amp;TEXT(($D227-$C227+1)+23,"00"),"")&amp;IF($C227&gt;=25,", "&amp;$A227&amp;"-"&amp;TEXT(($D227-$C227+1)+24,"00"),""))</f>
        <v/>
      </c>
      <c r="G227">
        <f>IF($A227="","",IF($E227=1,$F227,IF($F227="",$G226,IF($G226="",$F227,$G226&amp;", "&amp;$F227))))</f>
        <v/>
      </c>
      <c r="H227">
        <f>IF($A227="","",$A227&amp;" ("&amp;$C227&amp;")")</f>
        <v/>
      </c>
      <c r="I227">
        <f>IF($A227="","",IF($E227=1,$H227,$I226&amp;", "&amp;$H227))</f>
        <v/>
      </c>
      <c r="J227">
        <f>IF($A227="","",IF($E227=1,$B227,""))</f>
        <v/>
      </c>
      <c r="K227">
        <f>IF($A227="","",IF(COUNTIF($B$2:$B227,$B227)=COUNTIF($B$2:$B$1601,$B227),$B227,""))</f>
        <v/>
      </c>
    </row>
    <row r="228">
      <c r="A228">
        <f>IF('TMP Paste'!$E228="","",'TMP Paste'!$E228)</f>
        <v/>
      </c>
      <c r="B228">
        <f>IF($A228="","",COUNTIF('TMP Paste'!$B$2:$B228,"?*"))</f>
        <v/>
      </c>
      <c r="C228">
        <f>IF($A228="","",IFERROR('TMP Paste'!$M228*1,0))</f>
        <v/>
      </c>
      <c r="D228">
        <f>IF($A228="","",SUMIF($B$2:$B228,$B228,$C$2:$C228))</f>
        <v/>
      </c>
      <c r="E228">
        <f>IF($A228="",0,IF('TMP Paste'!$B228="",0,1))</f>
        <v/>
      </c>
      <c r="F228">
        <f>IF(OR($A228="",$C228&lt;1),"",$A228&amp;"-"&amp;TEXT(($D228-$C228+1),"00")&amp;IF($C228&gt;=2,", "&amp;$A228&amp;"-"&amp;TEXT(($D228-$C228+1)+1,"00"),"")&amp;IF($C228&gt;=3,", "&amp;$A228&amp;"-"&amp;TEXT(($D228-$C228+1)+2,"00"),"")&amp;IF($C228&gt;=4,", "&amp;$A228&amp;"-"&amp;TEXT(($D228-$C228+1)+3,"00"),"")&amp;IF($C228&gt;=5,", "&amp;$A228&amp;"-"&amp;TEXT(($D228-$C228+1)+4,"00"),"")&amp;IF($C228&gt;=6,", "&amp;$A228&amp;"-"&amp;TEXT(($D228-$C228+1)+5,"00"),"")&amp;IF($C228&gt;=7,", "&amp;$A228&amp;"-"&amp;TEXT(($D228-$C228+1)+6,"00"),"")&amp;IF($C228&gt;=8,", "&amp;$A228&amp;"-"&amp;TEXT(($D228-$C228+1)+7,"00"),"")&amp;IF($C228&gt;=9,", "&amp;$A228&amp;"-"&amp;TEXT(($D228-$C228+1)+8,"00"),"")&amp;IF($C228&gt;=10,", "&amp;$A228&amp;"-"&amp;TEXT(($D228-$C228+1)+9,"00"),"")&amp;IF($C228&gt;=11,", "&amp;$A228&amp;"-"&amp;TEXT(($D228-$C228+1)+10,"00"),"")&amp;IF($C228&gt;=12,", "&amp;$A228&amp;"-"&amp;TEXT(($D228-$C228+1)+11,"00"),"")&amp;IF($C228&gt;=13,", "&amp;$A228&amp;"-"&amp;TEXT(($D228-$C228+1)+12,"00"),"")&amp;IF($C228&gt;=14,", "&amp;$A228&amp;"-"&amp;TEXT(($D228-$C228+1)+13,"00"),"")&amp;IF($C228&gt;=15,", "&amp;$A228&amp;"-"&amp;TEXT(($D228-$C228+1)+14,"00"),"")&amp;IF($C228&gt;=16,", "&amp;$A228&amp;"-"&amp;TEXT(($D228-$C228+1)+15,"00"),"")&amp;IF($C228&gt;=17,", "&amp;$A228&amp;"-"&amp;TEXT(($D228-$C228+1)+16,"00"),"")&amp;IF($C228&gt;=18,", "&amp;$A228&amp;"-"&amp;TEXT(($D228-$C228+1)+17,"00"),"")&amp;IF($C228&gt;=19,", "&amp;$A228&amp;"-"&amp;TEXT(($D228-$C228+1)+18,"00"),"")&amp;IF($C228&gt;=20,", "&amp;$A228&amp;"-"&amp;TEXT(($D228-$C228+1)+19,"00"),"")&amp;IF($C228&gt;=21,", "&amp;$A228&amp;"-"&amp;TEXT(($D228-$C228+1)+20,"00"),"")&amp;IF($C228&gt;=22,", "&amp;$A228&amp;"-"&amp;TEXT(($D228-$C228+1)+21,"00"),"")&amp;IF($C228&gt;=23,", "&amp;$A228&amp;"-"&amp;TEXT(($D228-$C228+1)+22,"00"),"")&amp;IF($C228&gt;=24,", "&amp;$A228&amp;"-"&amp;TEXT(($D228-$C228+1)+23,"00"),"")&amp;IF($C228&gt;=25,", "&amp;$A228&amp;"-"&amp;TEXT(($D228-$C228+1)+24,"00"),""))</f>
        <v/>
      </c>
      <c r="G228">
        <f>IF($A228="","",IF($E228=1,$F228,IF($F228="",$G227,IF($G227="",$F228,$G227&amp;", "&amp;$F228))))</f>
        <v/>
      </c>
      <c r="H228">
        <f>IF($A228="","",$A228&amp;" ("&amp;$C228&amp;")")</f>
        <v/>
      </c>
      <c r="I228">
        <f>IF($A228="","",IF($E228=1,$H228,$I227&amp;", "&amp;$H228))</f>
        <v/>
      </c>
      <c r="J228">
        <f>IF($A228="","",IF($E228=1,$B228,""))</f>
        <v/>
      </c>
      <c r="K228">
        <f>IF($A228="","",IF(COUNTIF($B$2:$B228,$B228)=COUNTIF($B$2:$B$1601,$B228),$B228,""))</f>
        <v/>
      </c>
    </row>
    <row r="229">
      <c r="A229">
        <f>IF('TMP Paste'!$E229="","",'TMP Paste'!$E229)</f>
        <v/>
      </c>
      <c r="B229">
        <f>IF($A229="","",COUNTIF('TMP Paste'!$B$2:$B229,"?*"))</f>
        <v/>
      </c>
      <c r="C229">
        <f>IF($A229="","",IFERROR('TMP Paste'!$M229*1,0))</f>
        <v/>
      </c>
      <c r="D229">
        <f>IF($A229="","",SUMIF($B$2:$B229,$B229,$C$2:$C229))</f>
        <v/>
      </c>
      <c r="E229">
        <f>IF($A229="",0,IF('TMP Paste'!$B229="",0,1))</f>
        <v/>
      </c>
      <c r="F229">
        <f>IF(OR($A229="",$C229&lt;1),"",$A229&amp;"-"&amp;TEXT(($D229-$C229+1),"00")&amp;IF($C229&gt;=2,", "&amp;$A229&amp;"-"&amp;TEXT(($D229-$C229+1)+1,"00"),"")&amp;IF($C229&gt;=3,", "&amp;$A229&amp;"-"&amp;TEXT(($D229-$C229+1)+2,"00"),"")&amp;IF($C229&gt;=4,", "&amp;$A229&amp;"-"&amp;TEXT(($D229-$C229+1)+3,"00"),"")&amp;IF($C229&gt;=5,", "&amp;$A229&amp;"-"&amp;TEXT(($D229-$C229+1)+4,"00"),"")&amp;IF($C229&gt;=6,", "&amp;$A229&amp;"-"&amp;TEXT(($D229-$C229+1)+5,"00"),"")&amp;IF($C229&gt;=7,", "&amp;$A229&amp;"-"&amp;TEXT(($D229-$C229+1)+6,"00"),"")&amp;IF($C229&gt;=8,", "&amp;$A229&amp;"-"&amp;TEXT(($D229-$C229+1)+7,"00"),"")&amp;IF($C229&gt;=9,", "&amp;$A229&amp;"-"&amp;TEXT(($D229-$C229+1)+8,"00"),"")&amp;IF($C229&gt;=10,", "&amp;$A229&amp;"-"&amp;TEXT(($D229-$C229+1)+9,"00"),"")&amp;IF($C229&gt;=11,", "&amp;$A229&amp;"-"&amp;TEXT(($D229-$C229+1)+10,"00"),"")&amp;IF($C229&gt;=12,", "&amp;$A229&amp;"-"&amp;TEXT(($D229-$C229+1)+11,"00"),"")&amp;IF($C229&gt;=13,", "&amp;$A229&amp;"-"&amp;TEXT(($D229-$C229+1)+12,"00"),"")&amp;IF($C229&gt;=14,", "&amp;$A229&amp;"-"&amp;TEXT(($D229-$C229+1)+13,"00"),"")&amp;IF($C229&gt;=15,", "&amp;$A229&amp;"-"&amp;TEXT(($D229-$C229+1)+14,"00"),"")&amp;IF($C229&gt;=16,", "&amp;$A229&amp;"-"&amp;TEXT(($D229-$C229+1)+15,"00"),"")&amp;IF($C229&gt;=17,", "&amp;$A229&amp;"-"&amp;TEXT(($D229-$C229+1)+16,"00"),"")&amp;IF($C229&gt;=18,", "&amp;$A229&amp;"-"&amp;TEXT(($D229-$C229+1)+17,"00"),"")&amp;IF($C229&gt;=19,", "&amp;$A229&amp;"-"&amp;TEXT(($D229-$C229+1)+18,"00"),"")&amp;IF($C229&gt;=20,", "&amp;$A229&amp;"-"&amp;TEXT(($D229-$C229+1)+19,"00"),"")&amp;IF($C229&gt;=21,", "&amp;$A229&amp;"-"&amp;TEXT(($D229-$C229+1)+20,"00"),"")&amp;IF($C229&gt;=22,", "&amp;$A229&amp;"-"&amp;TEXT(($D229-$C229+1)+21,"00"),"")&amp;IF($C229&gt;=23,", "&amp;$A229&amp;"-"&amp;TEXT(($D229-$C229+1)+22,"00"),"")&amp;IF($C229&gt;=24,", "&amp;$A229&amp;"-"&amp;TEXT(($D229-$C229+1)+23,"00"),"")&amp;IF($C229&gt;=25,", "&amp;$A229&amp;"-"&amp;TEXT(($D229-$C229+1)+24,"00"),""))</f>
        <v/>
      </c>
      <c r="G229">
        <f>IF($A229="","",IF($E229=1,$F229,IF($F229="",$G228,IF($G228="",$F229,$G228&amp;", "&amp;$F229))))</f>
        <v/>
      </c>
      <c r="H229">
        <f>IF($A229="","",$A229&amp;" ("&amp;$C229&amp;")")</f>
        <v/>
      </c>
      <c r="I229">
        <f>IF($A229="","",IF($E229=1,$H229,$I228&amp;", "&amp;$H229))</f>
        <v/>
      </c>
      <c r="J229">
        <f>IF($A229="","",IF($E229=1,$B229,""))</f>
        <v/>
      </c>
      <c r="K229">
        <f>IF($A229="","",IF(COUNTIF($B$2:$B229,$B229)=COUNTIF($B$2:$B$1601,$B229),$B229,""))</f>
        <v/>
      </c>
    </row>
    <row r="230">
      <c r="A230">
        <f>IF('TMP Paste'!$E230="","",'TMP Paste'!$E230)</f>
        <v/>
      </c>
      <c r="B230">
        <f>IF($A230="","",COUNTIF('TMP Paste'!$B$2:$B230,"?*"))</f>
        <v/>
      </c>
      <c r="C230">
        <f>IF($A230="","",IFERROR('TMP Paste'!$M230*1,0))</f>
        <v/>
      </c>
      <c r="D230">
        <f>IF($A230="","",SUMIF($B$2:$B230,$B230,$C$2:$C230))</f>
        <v/>
      </c>
      <c r="E230">
        <f>IF($A230="",0,IF('TMP Paste'!$B230="",0,1))</f>
        <v/>
      </c>
      <c r="F230">
        <f>IF(OR($A230="",$C230&lt;1),"",$A230&amp;"-"&amp;TEXT(($D230-$C230+1),"00")&amp;IF($C230&gt;=2,", "&amp;$A230&amp;"-"&amp;TEXT(($D230-$C230+1)+1,"00"),"")&amp;IF($C230&gt;=3,", "&amp;$A230&amp;"-"&amp;TEXT(($D230-$C230+1)+2,"00"),"")&amp;IF($C230&gt;=4,", "&amp;$A230&amp;"-"&amp;TEXT(($D230-$C230+1)+3,"00"),"")&amp;IF($C230&gt;=5,", "&amp;$A230&amp;"-"&amp;TEXT(($D230-$C230+1)+4,"00"),"")&amp;IF($C230&gt;=6,", "&amp;$A230&amp;"-"&amp;TEXT(($D230-$C230+1)+5,"00"),"")&amp;IF($C230&gt;=7,", "&amp;$A230&amp;"-"&amp;TEXT(($D230-$C230+1)+6,"00"),"")&amp;IF($C230&gt;=8,", "&amp;$A230&amp;"-"&amp;TEXT(($D230-$C230+1)+7,"00"),"")&amp;IF($C230&gt;=9,", "&amp;$A230&amp;"-"&amp;TEXT(($D230-$C230+1)+8,"00"),"")&amp;IF($C230&gt;=10,", "&amp;$A230&amp;"-"&amp;TEXT(($D230-$C230+1)+9,"00"),"")&amp;IF($C230&gt;=11,", "&amp;$A230&amp;"-"&amp;TEXT(($D230-$C230+1)+10,"00"),"")&amp;IF($C230&gt;=12,", "&amp;$A230&amp;"-"&amp;TEXT(($D230-$C230+1)+11,"00"),"")&amp;IF($C230&gt;=13,", "&amp;$A230&amp;"-"&amp;TEXT(($D230-$C230+1)+12,"00"),"")&amp;IF($C230&gt;=14,", "&amp;$A230&amp;"-"&amp;TEXT(($D230-$C230+1)+13,"00"),"")&amp;IF($C230&gt;=15,", "&amp;$A230&amp;"-"&amp;TEXT(($D230-$C230+1)+14,"00"),"")&amp;IF($C230&gt;=16,", "&amp;$A230&amp;"-"&amp;TEXT(($D230-$C230+1)+15,"00"),"")&amp;IF($C230&gt;=17,", "&amp;$A230&amp;"-"&amp;TEXT(($D230-$C230+1)+16,"00"),"")&amp;IF($C230&gt;=18,", "&amp;$A230&amp;"-"&amp;TEXT(($D230-$C230+1)+17,"00"),"")&amp;IF($C230&gt;=19,", "&amp;$A230&amp;"-"&amp;TEXT(($D230-$C230+1)+18,"00"),"")&amp;IF($C230&gt;=20,", "&amp;$A230&amp;"-"&amp;TEXT(($D230-$C230+1)+19,"00"),"")&amp;IF($C230&gt;=21,", "&amp;$A230&amp;"-"&amp;TEXT(($D230-$C230+1)+20,"00"),"")&amp;IF($C230&gt;=22,", "&amp;$A230&amp;"-"&amp;TEXT(($D230-$C230+1)+21,"00"),"")&amp;IF($C230&gt;=23,", "&amp;$A230&amp;"-"&amp;TEXT(($D230-$C230+1)+22,"00"),"")&amp;IF($C230&gt;=24,", "&amp;$A230&amp;"-"&amp;TEXT(($D230-$C230+1)+23,"00"),"")&amp;IF($C230&gt;=25,", "&amp;$A230&amp;"-"&amp;TEXT(($D230-$C230+1)+24,"00"),""))</f>
        <v/>
      </c>
      <c r="G230">
        <f>IF($A230="","",IF($E230=1,$F230,IF($F230="",$G229,IF($G229="",$F230,$G229&amp;", "&amp;$F230))))</f>
        <v/>
      </c>
      <c r="H230">
        <f>IF($A230="","",$A230&amp;" ("&amp;$C230&amp;")")</f>
        <v/>
      </c>
      <c r="I230">
        <f>IF($A230="","",IF($E230=1,$H230,$I229&amp;", "&amp;$H230))</f>
        <v/>
      </c>
      <c r="J230">
        <f>IF($A230="","",IF($E230=1,$B230,""))</f>
        <v/>
      </c>
      <c r="K230">
        <f>IF($A230="","",IF(COUNTIF($B$2:$B230,$B230)=COUNTIF($B$2:$B$1601,$B230),$B230,""))</f>
        <v/>
      </c>
    </row>
    <row r="231">
      <c r="A231">
        <f>IF('TMP Paste'!$E231="","",'TMP Paste'!$E231)</f>
        <v/>
      </c>
      <c r="B231">
        <f>IF($A231="","",COUNTIF('TMP Paste'!$B$2:$B231,"?*"))</f>
        <v/>
      </c>
      <c r="C231">
        <f>IF($A231="","",IFERROR('TMP Paste'!$M231*1,0))</f>
        <v/>
      </c>
      <c r="D231">
        <f>IF($A231="","",SUMIF($B$2:$B231,$B231,$C$2:$C231))</f>
        <v/>
      </c>
      <c r="E231">
        <f>IF($A231="",0,IF('TMP Paste'!$B231="",0,1))</f>
        <v/>
      </c>
      <c r="F231">
        <f>IF(OR($A231="",$C231&lt;1),"",$A231&amp;"-"&amp;TEXT(($D231-$C231+1),"00")&amp;IF($C231&gt;=2,", "&amp;$A231&amp;"-"&amp;TEXT(($D231-$C231+1)+1,"00"),"")&amp;IF($C231&gt;=3,", "&amp;$A231&amp;"-"&amp;TEXT(($D231-$C231+1)+2,"00"),"")&amp;IF($C231&gt;=4,", "&amp;$A231&amp;"-"&amp;TEXT(($D231-$C231+1)+3,"00"),"")&amp;IF($C231&gt;=5,", "&amp;$A231&amp;"-"&amp;TEXT(($D231-$C231+1)+4,"00"),"")&amp;IF($C231&gt;=6,", "&amp;$A231&amp;"-"&amp;TEXT(($D231-$C231+1)+5,"00"),"")&amp;IF($C231&gt;=7,", "&amp;$A231&amp;"-"&amp;TEXT(($D231-$C231+1)+6,"00"),"")&amp;IF($C231&gt;=8,", "&amp;$A231&amp;"-"&amp;TEXT(($D231-$C231+1)+7,"00"),"")&amp;IF($C231&gt;=9,", "&amp;$A231&amp;"-"&amp;TEXT(($D231-$C231+1)+8,"00"),"")&amp;IF($C231&gt;=10,", "&amp;$A231&amp;"-"&amp;TEXT(($D231-$C231+1)+9,"00"),"")&amp;IF($C231&gt;=11,", "&amp;$A231&amp;"-"&amp;TEXT(($D231-$C231+1)+10,"00"),"")&amp;IF($C231&gt;=12,", "&amp;$A231&amp;"-"&amp;TEXT(($D231-$C231+1)+11,"00"),"")&amp;IF($C231&gt;=13,", "&amp;$A231&amp;"-"&amp;TEXT(($D231-$C231+1)+12,"00"),"")&amp;IF($C231&gt;=14,", "&amp;$A231&amp;"-"&amp;TEXT(($D231-$C231+1)+13,"00"),"")&amp;IF($C231&gt;=15,", "&amp;$A231&amp;"-"&amp;TEXT(($D231-$C231+1)+14,"00"),"")&amp;IF($C231&gt;=16,", "&amp;$A231&amp;"-"&amp;TEXT(($D231-$C231+1)+15,"00"),"")&amp;IF($C231&gt;=17,", "&amp;$A231&amp;"-"&amp;TEXT(($D231-$C231+1)+16,"00"),"")&amp;IF($C231&gt;=18,", "&amp;$A231&amp;"-"&amp;TEXT(($D231-$C231+1)+17,"00"),"")&amp;IF($C231&gt;=19,", "&amp;$A231&amp;"-"&amp;TEXT(($D231-$C231+1)+18,"00"),"")&amp;IF($C231&gt;=20,", "&amp;$A231&amp;"-"&amp;TEXT(($D231-$C231+1)+19,"00"),"")&amp;IF($C231&gt;=21,", "&amp;$A231&amp;"-"&amp;TEXT(($D231-$C231+1)+20,"00"),"")&amp;IF($C231&gt;=22,", "&amp;$A231&amp;"-"&amp;TEXT(($D231-$C231+1)+21,"00"),"")&amp;IF($C231&gt;=23,", "&amp;$A231&amp;"-"&amp;TEXT(($D231-$C231+1)+22,"00"),"")&amp;IF($C231&gt;=24,", "&amp;$A231&amp;"-"&amp;TEXT(($D231-$C231+1)+23,"00"),"")&amp;IF($C231&gt;=25,", "&amp;$A231&amp;"-"&amp;TEXT(($D231-$C231+1)+24,"00"),""))</f>
        <v/>
      </c>
      <c r="G231">
        <f>IF($A231="","",IF($E231=1,$F231,IF($F231="",$G230,IF($G230="",$F231,$G230&amp;", "&amp;$F231))))</f>
        <v/>
      </c>
      <c r="H231">
        <f>IF($A231="","",$A231&amp;" ("&amp;$C231&amp;")")</f>
        <v/>
      </c>
      <c r="I231">
        <f>IF($A231="","",IF($E231=1,$H231,$I230&amp;", "&amp;$H231))</f>
        <v/>
      </c>
      <c r="J231">
        <f>IF($A231="","",IF($E231=1,$B231,""))</f>
        <v/>
      </c>
      <c r="K231">
        <f>IF($A231="","",IF(COUNTIF($B$2:$B231,$B231)=COUNTIF($B$2:$B$1601,$B231),$B231,""))</f>
        <v/>
      </c>
    </row>
    <row r="232">
      <c r="A232">
        <f>IF('TMP Paste'!$E232="","",'TMP Paste'!$E232)</f>
        <v/>
      </c>
      <c r="B232">
        <f>IF($A232="","",COUNTIF('TMP Paste'!$B$2:$B232,"?*"))</f>
        <v/>
      </c>
      <c r="C232">
        <f>IF($A232="","",IFERROR('TMP Paste'!$M232*1,0))</f>
        <v/>
      </c>
      <c r="D232">
        <f>IF($A232="","",SUMIF($B$2:$B232,$B232,$C$2:$C232))</f>
        <v/>
      </c>
      <c r="E232">
        <f>IF($A232="",0,IF('TMP Paste'!$B232="",0,1))</f>
        <v/>
      </c>
      <c r="F232">
        <f>IF(OR($A232="",$C232&lt;1),"",$A232&amp;"-"&amp;TEXT(($D232-$C232+1),"00")&amp;IF($C232&gt;=2,", "&amp;$A232&amp;"-"&amp;TEXT(($D232-$C232+1)+1,"00"),"")&amp;IF($C232&gt;=3,", "&amp;$A232&amp;"-"&amp;TEXT(($D232-$C232+1)+2,"00"),"")&amp;IF($C232&gt;=4,", "&amp;$A232&amp;"-"&amp;TEXT(($D232-$C232+1)+3,"00"),"")&amp;IF($C232&gt;=5,", "&amp;$A232&amp;"-"&amp;TEXT(($D232-$C232+1)+4,"00"),"")&amp;IF($C232&gt;=6,", "&amp;$A232&amp;"-"&amp;TEXT(($D232-$C232+1)+5,"00"),"")&amp;IF($C232&gt;=7,", "&amp;$A232&amp;"-"&amp;TEXT(($D232-$C232+1)+6,"00"),"")&amp;IF($C232&gt;=8,", "&amp;$A232&amp;"-"&amp;TEXT(($D232-$C232+1)+7,"00"),"")&amp;IF($C232&gt;=9,", "&amp;$A232&amp;"-"&amp;TEXT(($D232-$C232+1)+8,"00"),"")&amp;IF($C232&gt;=10,", "&amp;$A232&amp;"-"&amp;TEXT(($D232-$C232+1)+9,"00"),"")&amp;IF($C232&gt;=11,", "&amp;$A232&amp;"-"&amp;TEXT(($D232-$C232+1)+10,"00"),"")&amp;IF($C232&gt;=12,", "&amp;$A232&amp;"-"&amp;TEXT(($D232-$C232+1)+11,"00"),"")&amp;IF($C232&gt;=13,", "&amp;$A232&amp;"-"&amp;TEXT(($D232-$C232+1)+12,"00"),"")&amp;IF($C232&gt;=14,", "&amp;$A232&amp;"-"&amp;TEXT(($D232-$C232+1)+13,"00"),"")&amp;IF($C232&gt;=15,", "&amp;$A232&amp;"-"&amp;TEXT(($D232-$C232+1)+14,"00"),"")&amp;IF($C232&gt;=16,", "&amp;$A232&amp;"-"&amp;TEXT(($D232-$C232+1)+15,"00"),"")&amp;IF($C232&gt;=17,", "&amp;$A232&amp;"-"&amp;TEXT(($D232-$C232+1)+16,"00"),"")&amp;IF($C232&gt;=18,", "&amp;$A232&amp;"-"&amp;TEXT(($D232-$C232+1)+17,"00"),"")&amp;IF($C232&gt;=19,", "&amp;$A232&amp;"-"&amp;TEXT(($D232-$C232+1)+18,"00"),"")&amp;IF($C232&gt;=20,", "&amp;$A232&amp;"-"&amp;TEXT(($D232-$C232+1)+19,"00"),"")&amp;IF($C232&gt;=21,", "&amp;$A232&amp;"-"&amp;TEXT(($D232-$C232+1)+20,"00"),"")&amp;IF($C232&gt;=22,", "&amp;$A232&amp;"-"&amp;TEXT(($D232-$C232+1)+21,"00"),"")&amp;IF($C232&gt;=23,", "&amp;$A232&amp;"-"&amp;TEXT(($D232-$C232+1)+22,"00"),"")&amp;IF($C232&gt;=24,", "&amp;$A232&amp;"-"&amp;TEXT(($D232-$C232+1)+23,"00"),"")&amp;IF($C232&gt;=25,", "&amp;$A232&amp;"-"&amp;TEXT(($D232-$C232+1)+24,"00"),""))</f>
        <v/>
      </c>
      <c r="G232">
        <f>IF($A232="","",IF($E232=1,$F232,IF($F232="",$G231,IF($G231="",$F232,$G231&amp;", "&amp;$F232))))</f>
        <v/>
      </c>
      <c r="H232">
        <f>IF($A232="","",$A232&amp;" ("&amp;$C232&amp;")")</f>
        <v/>
      </c>
      <c r="I232">
        <f>IF($A232="","",IF($E232=1,$H232,$I231&amp;", "&amp;$H232))</f>
        <v/>
      </c>
      <c r="J232">
        <f>IF($A232="","",IF($E232=1,$B232,""))</f>
        <v/>
      </c>
      <c r="K232">
        <f>IF($A232="","",IF(COUNTIF($B$2:$B232,$B232)=COUNTIF($B$2:$B$1601,$B232),$B232,""))</f>
        <v/>
      </c>
    </row>
    <row r="233">
      <c r="A233">
        <f>IF('TMP Paste'!$E233="","",'TMP Paste'!$E233)</f>
        <v/>
      </c>
      <c r="B233">
        <f>IF($A233="","",COUNTIF('TMP Paste'!$B$2:$B233,"?*"))</f>
        <v/>
      </c>
      <c r="C233">
        <f>IF($A233="","",IFERROR('TMP Paste'!$M233*1,0))</f>
        <v/>
      </c>
      <c r="D233">
        <f>IF($A233="","",SUMIF($B$2:$B233,$B233,$C$2:$C233))</f>
        <v/>
      </c>
      <c r="E233">
        <f>IF($A233="",0,IF('TMP Paste'!$B233="",0,1))</f>
        <v/>
      </c>
      <c r="F233">
        <f>IF(OR($A233="",$C233&lt;1),"",$A233&amp;"-"&amp;TEXT(($D233-$C233+1),"00")&amp;IF($C233&gt;=2,", "&amp;$A233&amp;"-"&amp;TEXT(($D233-$C233+1)+1,"00"),"")&amp;IF($C233&gt;=3,", "&amp;$A233&amp;"-"&amp;TEXT(($D233-$C233+1)+2,"00"),"")&amp;IF($C233&gt;=4,", "&amp;$A233&amp;"-"&amp;TEXT(($D233-$C233+1)+3,"00"),"")&amp;IF($C233&gt;=5,", "&amp;$A233&amp;"-"&amp;TEXT(($D233-$C233+1)+4,"00"),"")&amp;IF($C233&gt;=6,", "&amp;$A233&amp;"-"&amp;TEXT(($D233-$C233+1)+5,"00"),"")&amp;IF($C233&gt;=7,", "&amp;$A233&amp;"-"&amp;TEXT(($D233-$C233+1)+6,"00"),"")&amp;IF($C233&gt;=8,", "&amp;$A233&amp;"-"&amp;TEXT(($D233-$C233+1)+7,"00"),"")&amp;IF($C233&gt;=9,", "&amp;$A233&amp;"-"&amp;TEXT(($D233-$C233+1)+8,"00"),"")&amp;IF($C233&gt;=10,", "&amp;$A233&amp;"-"&amp;TEXT(($D233-$C233+1)+9,"00"),"")&amp;IF($C233&gt;=11,", "&amp;$A233&amp;"-"&amp;TEXT(($D233-$C233+1)+10,"00"),"")&amp;IF($C233&gt;=12,", "&amp;$A233&amp;"-"&amp;TEXT(($D233-$C233+1)+11,"00"),"")&amp;IF($C233&gt;=13,", "&amp;$A233&amp;"-"&amp;TEXT(($D233-$C233+1)+12,"00"),"")&amp;IF($C233&gt;=14,", "&amp;$A233&amp;"-"&amp;TEXT(($D233-$C233+1)+13,"00"),"")&amp;IF($C233&gt;=15,", "&amp;$A233&amp;"-"&amp;TEXT(($D233-$C233+1)+14,"00"),"")&amp;IF($C233&gt;=16,", "&amp;$A233&amp;"-"&amp;TEXT(($D233-$C233+1)+15,"00"),"")&amp;IF($C233&gt;=17,", "&amp;$A233&amp;"-"&amp;TEXT(($D233-$C233+1)+16,"00"),"")&amp;IF($C233&gt;=18,", "&amp;$A233&amp;"-"&amp;TEXT(($D233-$C233+1)+17,"00"),"")&amp;IF($C233&gt;=19,", "&amp;$A233&amp;"-"&amp;TEXT(($D233-$C233+1)+18,"00"),"")&amp;IF($C233&gt;=20,", "&amp;$A233&amp;"-"&amp;TEXT(($D233-$C233+1)+19,"00"),"")&amp;IF($C233&gt;=21,", "&amp;$A233&amp;"-"&amp;TEXT(($D233-$C233+1)+20,"00"),"")&amp;IF($C233&gt;=22,", "&amp;$A233&amp;"-"&amp;TEXT(($D233-$C233+1)+21,"00"),"")&amp;IF($C233&gt;=23,", "&amp;$A233&amp;"-"&amp;TEXT(($D233-$C233+1)+22,"00"),"")&amp;IF($C233&gt;=24,", "&amp;$A233&amp;"-"&amp;TEXT(($D233-$C233+1)+23,"00"),"")&amp;IF($C233&gt;=25,", "&amp;$A233&amp;"-"&amp;TEXT(($D233-$C233+1)+24,"00"),""))</f>
        <v/>
      </c>
      <c r="G233">
        <f>IF($A233="","",IF($E233=1,$F233,IF($F233="",$G232,IF($G232="",$F233,$G232&amp;", "&amp;$F233))))</f>
        <v/>
      </c>
      <c r="H233">
        <f>IF($A233="","",$A233&amp;" ("&amp;$C233&amp;")")</f>
        <v/>
      </c>
      <c r="I233">
        <f>IF($A233="","",IF($E233=1,$H233,$I232&amp;", "&amp;$H233))</f>
        <v/>
      </c>
      <c r="J233">
        <f>IF($A233="","",IF($E233=1,$B233,""))</f>
        <v/>
      </c>
      <c r="K233">
        <f>IF($A233="","",IF(COUNTIF($B$2:$B233,$B233)=COUNTIF($B$2:$B$1601,$B233),$B233,""))</f>
        <v/>
      </c>
    </row>
    <row r="234">
      <c r="A234">
        <f>IF('TMP Paste'!$E234="","",'TMP Paste'!$E234)</f>
        <v/>
      </c>
      <c r="B234">
        <f>IF($A234="","",COUNTIF('TMP Paste'!$B$2:$B234,"?*"))</f>
        <v/>
      </c>
      <c r="C234">
        <f>IF($A234="","",IFERROR('TMP Paste'!$M234*1,0))</f>
        <v/>
      </c>
      <c r="D234">
        <f>IF($A234="","",SUMIF($B$2:$B234,$B234,$C$2:$C234))</f>
        <v/>
      </c>
      <c r="E234">
        <f>IF($A234="",0,IF('TMP Paste'!$B234="",0,1))</f>
        <v/>
      </c>
      <c r="F234">
        <f>IF(OR($A234="",$C234&lt;1),"",$A234&amp;"-"&amp;TEXT(($D234-$C234+1),"00")&amp;IF($C234&gt;=2,", "&amp;$A234&amp;"-"&amp;TEXT(($D234-$C234+1)+1,"00"),"")&amp;IF($C234&gt;=3,", "&amp;$A234&amp;"-"&amp;TEXT(($D234-$C234+1)+2,"00"),"")&amp;IF($C234&gt;=4,", "&amp;$A234&amp;"-"&amp;TEXT(($D234-$C234+1)+3,"00"),"")&amp;IF($C234&gt;=5,", "&amp;$A234&amp;"-"&amp;TEXT(($D234-$C234+1)+4,"00"),"")&amp;IF($C234&gt;=6,", "&amp;$A234&amp;"-"&amp;TEXT(($D234-$C234+1)+5,"00"),"")&amp;IF($C234&gt;=7,", "&amp;$A234&amp;"-"&amp;TEXT(($D234-$C234+1)+6,"00"),"")&amp;IF($C234&gt;=8,", "&amp;$A234&amp;"-"&amp;TEXT(($D234-$C234+1)+7,"00"),"")&amp;IF($C234&gt;=9,", "&amp;$A234&amp;"-"&amp;TEXT(($D234-$C234+1)+8,"00"),"")&amp;IF($C234&gt;=10,", "&amp;$A234&amp;"-"&amp;TEXT(($D234-$C234+1)+9,"00"),"")&amp;IF($C234&gt;=11,", "&amp;$A234&amp;"-"&amp;TEXT(($D234-$C234+1)+10,"00"),"")&amp;IF($C234&gt;=12,", "&amp;$A234&amp;"-"&amp;TEXT(($D234-$C234+1)+11,"00"),"")&amp;IF($C234&gt;=13,", "&amp;$A234&amp;"-"&amp;TEXT(($D234-$C234+1)+12,"00"),"")&amp;IF($C234&gt;=14,", "&amp;$A234&amp;"-"&amp;TEXT(($D234-$C234+1)+13,"00"),"")&amp;IF($C234&gt;=15,", "&amp;$A234&amp;"-"&amp;TEXT(($D234-$C234+1)+14,"00"),"")&amp;IF($C234&gt;=16,", "&amp;$A234&amp;"-"&amp;TEXT(($D234-$C234+1)+15,"00"),"")&amp;IF($C234&gt;=17,", "&amp;$A234&amp;"-"&amp;TEXT(($D234-$C234+1)+16,"00"),"")&amp;IF($C234&gt;=18,", "&amp;$A234&amp;"-"&amp;TEXT(($D234-$C234+1)+17,"00"),"")&amp;IF($C234&gt;=19,", "&amp;$A234&amp;"-"&amp;TEXT(($D234-$C234+1)+18,"00"),"")&amp;IF($C234&gt;=20,", "&amp;$A234&amp;"-"&amp;TEXT(($D234-$C234+1)+19,"00"),"")&amp;IF($C234&gt;=21,", "&amp;$A234&amp;"-"&amp;TEXT(($D234-$C234+1)+20,"00"),"")&amp;IF($C234&gt;=22,", "&amp;$A234&amp;"-"&amp;TEXT(($D234-$C234+1)+21,"00"),"")&amp;IF($C234&gt;=23,", "&amp;$A234&amp;"-"&amp;TEXT(($D234-$C234+1)+22,"00"),"")&amp;IF($C234&gt;=24,", "&amp;$A234&amp;"-"&amp;TEXT(($D234-$C234+1)+23,"00"),"")&amp;IF($C234&gt;=25,", "&amp;$A234&amp;"-"&amp;TEXT(($D234-$C234+1)+24,"00"),""))</f>
        <v/>
      </c>
      <c r="G234">
        <f>IF($A234="","",IF($E234=1,$F234,IF($F234="",$G233,IF($G233="",$F234,$G233&amp;", "&amp;$F234))))</f>
        <v/>
      </c>
      <c r="H234">
        <f>IF($A234="","",$A234&amp;" ("&amp;$C234&amp;")")</f>
        <v/>
      </c>
      <c r="I234">
        <f>IF($A234="","",IF($E234=1,$H234,$I233&amp;", "&amp;$H234))</f>
        <v/>
      </c>
      <c r="J234">
        <f>IF($A234="","",IF($E234=1,$B234,""))</f>
        <v/>
      </c>
      <c r="K234">
        <f>IF($A234="","",IF(COUNTIF($B$2:$B234,$B234)=COUNTIF($B$2:$B$1601,$B234),$B234,""))</f>
        <v/>
      </c>
    </row>
    <row r="235">
      <c r="A235">
        <f>IF('TMP Paste'!$E235="","",'TMP Paste'!$E235)</f>
        <v/>
      </c>
      <c r="B235">
        <f>IF($A235="","",COUNTIF('TMP Paste'!$B$2:$B235,"?*"))</f>
        <v/>
      </c>
      <c r="C235">
        <f>IF($A235="","",IFERROR('TMP Paste'!$M235*1,0))</f>
        <v/>
      </c>
      <c r="D235">
        <f>IF($A235="","",SUMIF($B$2:$B235,$B235,$C$2:$C235))</f>
        <v/>
      </c>
      <c r="E235">
        <f>IF($A235="",0,IF('TMP Paste'!$B235="",0,1))</f>
        <v/>
      </c>
      <c r="F235">
        <f>IF(OR($A235="",$C235&lt;1),"",$A235&amp;"-"&amp;TEXT(($D235-$C235+1),"00")&amp;IF($C235&gt;=2,", "&amp;$A235&amp;"-"&amp;TEXT(($D235-$C235+1)+1,"00"),"")&amp;IF($C235&gt;=3,", "&amp;$A235&amp;"-"&amp;TEXT(($D235-$C235+1)+2,"00"),"")&amp;IF($C235&gt;=4,", "&amp;$A235&amp;"-"&amp;TEXT(($D235-$C235+1)+3,"00"),"")&amp;IF($C235&gt;=5,", "&amp;$A235&amp;"-"&amp;TEXT(($D235-$C235+1)+4,"00"),"")&amp;IF($C235&gt;=6,", "&amp;$A235&amp;"-"&amp;TEXT(($D235-$C235+1)+5,"00"),"")&amp;IF($C235&gt;=7,", "&amp;$A235&amp;"-"&amp;TEXT(($D235-$C235+1)+6,"00"),"")&amp;IF($C235&gt;=8,", "&amp;$A235&amp;"-"&amp;TEXT(($D235-$C235+1)+7,"00"),"")&amp;IF($C235&gt;=9,", "&amp;$A235&amp;"-"&amp;TEXT(($D235-$C235+1)+8,"00"),"")&amp;IF($C235&gt;=10,", "&amp;$A235&amp;"-"&amp;TEXT(($D235-$C235+1)+9,"00"),"")&amp;IF($C235&gt;=11,", "&amp;$A235&amp;"-"&amp;TEXT(($D235-$C235+1)+10,"00"),"")&amp;IF($C235&gt;=12,", "&amp;$A235&amp;"-"&amp;TEXT(($D235-$C235+1)+11,"00"),"")&amp;IF($C235&gt;=13,", "&amp;$A235&amp;"-"&amp;TEXT(($D235-$C235+1)+12,"00"),"")&amp;IF($C235&gt;=14,", "&amp;$A235&amp;"-"&amp;TEXT(($D235-$C235+1)+13,"00"),"")&amp;IF($C235&gt;=15,", "&amp;$A235&amp;"-"&amp;TEXT(($D235-$C235+1)+14,"00"),"")&amp;IF($C235&gt;=16,", "&amp;$A235&amp;"-"&amp;TEXT(($D235-$C235+1)+15,"00"),"")&amp;IF($C235&gt;=17,", "&amp;$A235&amp;"-"&amp;TEXT(($D235-$C235+1)+16,"00"),"")&amp;IF($C235&gt;=18,", "&amp;$A235&amp;"-"&amp;TEXT(($D235-$C235+1)+17,"00"),"")&amp;IF($C235&gt;=19,", "&amp;$A235&amp;"-"&amp;TEXT(($D235-$C235+1)+18,"00"),"")&amp;IF($C235&gt;=20,", "&amp;$A235&amp;"-"&amp;TEXT(($D235-$C235+1)+19,"00"),"")&amp;IF($C235&gt;=21,", "&amp;$A235&amp;"-"&amp;TEXT(($D235-$C235+1)+20,"00"),"")&amp;IF($C235&gt;=22,", "&amp;$A235&amp;"-"&amp;TEXT(($D235-$C235+1)+21,"00"),"")&amp;IF($C235&gt;=23,", "&amp;$A235&amp;"-"&amp;TEXT(($D235-$C235+1)+22,"00"),"")&amp;IF($C235&gt;=24,", "&amp;$A235&amp;"-"&amp;TEXT(($D235-$C235+1)+23,"00"),"")&amp;IF($C235&gt;=25,", "&amp;$A235&amp;"-"&amp;TEXT(($D235-$C235+1)+24,"00"),""))</f>
        <v/>
      </c>
      <c r="G235">
        <f>IF($A235="","",IF($E235=1,$F235,IF($F235="",$G234,IF($G234="",$F235,$G234&amp;", "&amp;$F235))))</f>
        <v/>
      </c>
      <c r="H235">
        <f>IF($A235="","",$A235&amp;" ("&amp;$C235&amp;")")</f>
        <v/>
      </c>
      <c r="I235">
        <f>IF($A235="","",IF($E235=1,$H235,$I234&amp;", "&amp;$H235))</f>
        <v/>
      </c>
      <c r="J235">
        <f>IF($A235="","",IF($E235=1,$B235,""))</f>
        <v/>
      </c>
      <c r="K235">
        <f>IF($A235="","",IF(COUNTIF($B$2:$B235,$B235)=COUNTIF($B$2:$B$1601,$B235),$B235,""))</f>
        <v/>
      </c>
    </row>
    <row r="236">
      <c r="A236">
        <f>IF('TMP Paste'!$E236="","",'TMP Paste'!$E236)</f>
        <v/>
      </c>
      <c r="B236">
        <f>IF($A236="","",COUNTIF('TMP Paste'!$B$2:$B236,"?*"))</f>
        <v/>
      </c>
      <c r="C236">
        <f>IF($A236="","",IFERROR('TMP Paste'!$M236*1,0))</f>
        <v/>
      </c>
      <c r="D236">
        <f>IF($A236="","",SUMIF($B$2:$B236,$B236,$C$2:$C236))</f>
        <v/>
      </c>
      <c r="E236">
        <f>IF($A236="",0,IF('TMP Paste'!$B236="",0,1))</f>
        <v/>
      </c>
      <c r="F236">
        <f>IF(OR($A236="",$C236&lt;1),"",$A236&amp;"-"&amp;TEXT(($D236-$C236+1),"00")&amp;IF($C236&gt;=2,", "&amp;$A236&amp;"-"&amp;TEXT(($D236-$C236+1)+1,"00"),"")&amp;IF($C236&gt;=3,", "&amp;$A236&amp;"-"&amp;TEXT(($D236-$C236+1)+2,"00"),"")&amp;IF($C236&gt;=4,", "&amp;$A236&amp;"-"&amp;TEXT(($D236-$C236+1)+3,"00"),"")&amp;IF($C236&gt;=5,", "&amp;$A236&amp;"-"&amp;TEXT(($D236-$C236+1)+4,"00"),"")&amp;IF($C236&gt;=6,", "&amp;$A236&amp;"-"&amp;TEXT(($D236-$C236+1)+5,"00"),"")&amp;IF($C236&gt;=7,", "&amp;$A236&amp;"-"&amp;TEXT(($D236-$C236+1)+6,"00"),"")&amp;IF($C236&gt;=8,", "&amp;$A236&amp;"-"&amp;TEXT(($D236-$C236+1)+7,"00"),"")&amp;IF($C236&gt;=9,", "&amp;$A236&amp;"-"&amp;TEXT(($D236-$C236+1)+8,"00"),"")&amp;IF($C236&gt;=10,", "&amp;$A236&amp;"-"&amp;TEXT(($D236-$C236+1)+9,"00"),"")&amp;IF($C236&gt;=11,", "&amp;$A236&amp;"-"&amp;TEXT(($D236-$C236+1)+10,"00"),"")&amp;IF($C236&gt;=12,", "&amp;$A236&amp;"-"&amp;TEXT(($D236-$C236+1)+11,"00"),"")&amp;IF($C236&gt;=13,", "&amp;$A236&amp;"-"&amp;TEXT(($D236-$C236+1)+12,"00"),"")&amp;IF($C236&gt;=14,", "&amp;$A236&amp;"-"&amp;TEXT(($D236-$C236+1)+13,"00"),"")&amp;IF($C236&gt;=15,", "&amp;$A236&amp;"-"&amp;TEXT(($D236-$C236+1)+14,"00"),"")&amp;IF($C236&gt;=16,", "&amp;$A236&amp;"-"&amp;TEXT(($D236-$C236+1)+15,"00"),"")&amp;IF($C236&gt;=17,", "&amp;$A236&amp;"-"&amp;TEXT(($D236-$C236+1)+16,"00"),"")&amp;IF($C236&gt;=18,", "&amp;$A236&amp;"-"&amp;TEXT(($D236-$C236+1)+17,"00"),"")&amp;IF($C236&gt;=19,", "&amp;$A236&amp;"-"&amp;TEXT(($D236-$C236+1)+18,"00"),"")&amp;IF($C236&gt;=20,", "&amp;$A236&amp;"-"&amp;TEXT(($D236-$C236+1)+19,"00"),"")&amp;IF($C236&gt;=21,", "&amp;$A236&amp;"-"&amp;TEXT(($D236-$C236+1)+20,"00"),"")&amp;IF($C236&gt;=22,", "&amp;$A236&amp;"-"&amp;TEXT(($D236-$C236+1)+21,"00"),"")&amp;IF($C236&gt;=23,", "&amp;$A236&amp;"-"&amp;TEXT(($D236-$C236+1)+22,"00"),"")&amp;IF($C236&gt;=24,", "&amp;$A236&amp;"-"&amp;TEXT(($D236-$C236+1)+23,"00"),"")&amp;IF($C236&gt;=25,", "&amp;$A236&amp;"-"&amp;TEXT(($D236-$C236+1)+24,"00"),""))</f>
        <v/>
      </c>
      <c r="G236">
        <f>IF($A236="","",IF($E236=1,$F236,IF($F236="",$G235,IF($G235="",$F236,$G235&amp;", "&amp;$F236))))</f>
        <v/>
      </c>
      <c r="H236">
        <f>IF($A236="","",$A236&amp;" ("&amp;$C236&amp;")")</f>
        <v/>
      </c>
      <c r="I236">
        <f>IF($A236="","",IF($E236=1,$H236,$I235&amp;", "&amp;$H236))</f>
        <v/>
      </c>
      <c r="J236">
        <f>IF($A236="","",IF($E236=1,$B236,""))</f>
        <v/>
      </c>
      <c r="K236">
        <f>IF($A236="","",IF(COUNTIF($B$2:$B236,$B236)=COUNTIF($B$2:$B$1601,$B236),$B236,""))</f>
        <v/>
      </c>
    </row>
    <row r="237">
      <c r="A237">
        <f>IF('TMP Paste'!$E237="","",'TMP Paste'!$E237)</f>
        <v/>
      </c>
      <c r="B237">
        <f>IF($A237="","",COUNTIF('TMP Paste'!$B$2:$B237,"?*"))</f>
        <v/>
      </c>
      <c r="C237">
        <f>IF($A237="","",IFERROR('TMP Paste'!$M237*1,0))</f>
        <v/>
      </c>
      <c r="D237">
        <f>IF($A237="","",SUMIF($B$2:$B237,$B237,$C$2:$C237))</f>
        <v/>
      </c>
      <c r="E237">
        <f>IF($A237="",0,IF('TMP Paste'!$B237="",0,1))</f>
        <v/>
      </c>
      <c r="F237">
        <f>IF(OR($A237="",$C237&lt;1),"",$A237&amp;"-"&amp;TEXT(($D237-$C237+1),"00")&amp;IF($C237&gt;=2,", "&amp;$A237&amp;"-"&amp;TEXT(($D237-$C237+1)+1,"00"),"")&amp;IF($C237&gt;=3,", "&amp;$A237&amp;"-"&amp;TEXT(($D237-$C237+1)+2,"00"),"")&amp;IF($C237&gt;=4,", "&amp;$A237&amp;"-"&amp;TEXT(($D237-$C237+1)+3,"00"),"")&amp;IF($C237&gt;=5,", "&amp;$A237&amp;"-"&amp;TEXT(($D237-$C237+1)+4,"00"),"")&amp;IF($C237&gt;=6,", "&amp;$A237&amp;"-"&amp;TEXT(($D237-$C237+1)+5,"00"),"")&amp;IF($C237&gt;=7,", "&amp;$A237&amp;"-"&amp;TEXT(($D237-$C237+1)+6,"00"),"")&amp;IF($C237&gt;=8,", "&amp;$A237&amp;"-"&amp;TEXT(($D237-$C237+1)+7,"00"),"")&amp;IF($C237&gt;=9,", "&amp;$A237&amp;"-"&amp;TEXT(($D237-$C237+1)+8,"00"),"")&amp;IF($C237&gt;=10,", "&amp;$A237&amp;"-"&amp;TEXT(($D237-$C237+1)+9,"00"),"")&amp;IF($C237&gt;=11,", "&amp;$A237&amp;"-"&amp;TEXT(($D237-$C237+1)+10,"00"),"")&amp;IF($C237&gt;=12,", "&amp;$A237&amp;"-"&amp;TEXT(($D237-$C237+1)+11,"00"),"")&amp;IF($C237&gt;=13,", "&amp;$A237&amp;"-"&amp;TEXT(($D237-$C237+1)+12,"00"),"")&amp;IF($C237&gt;=14,", "&amp;$A237&amp;"-"&amp;TEXT(($D237-$C237+1)+13,"00"),"")&amp;IF($C237&gt;=15,", "&amp;$A237&amp;"-"&amp;TEXT(($D237-$C237+1)+14,"00"),"")&amp;IF($C237&gt;=16,", "&amp;$A237&amp;"-"&amp;TEXT(($D237-$C237+1)+15,"00"),"")&amp;IF($C237&gt;=17,", "&amp;$A237&amp;"-"&amp;TEXT(($D237-$C237+1)+16,"00"),"")&amp;IF($C237&gt;=18,", "&amp;$A237&amp;"-"&amp;TEXT(($D237-$C237+1)+17,"00"),"")&amp;IF($C237&gt;=19,", "&amp;$A237&amp;"-"&amp;TEXT(($D237-$C237+1)+18,"00"),"")&amp;IF($C237&gt;=20,", "&amp;$A237&amp;"-"&amp;TEXT(($D237-$C237+1)+19,"00"),"")&amp;IF($C237&gt;=21,", "&amp;$A237&amp;"-"&amp;TEXT(($D237-$C237+1)+20,"00"),"")&amp;IF($C237&gt;=22,", "&amp;$A237&amp;"-"&amp;TEXT(($D237-$C237+1)+21,"00"),"")&amp;IF($C237&gt;=23,", "&amp;$A237&amp;"-"&amp;TEXT(($D237-$C237+1)+22,"00"),"")&amp;IF($C237&gt;=24,", "&amp;$A237&amp;"-"&amp;TEXT(($D237-$C237+1)+23,"00"),"")&amp;IF($C237&gt;=25,", "&amp;$A237&amp;"-"&amp;TEXT(($D237-$C237+1)+24,"00"),""))</f>
        <v/>
      </c>
      <c r="G237">
        <f>IF($A237="","",IF($E237=1,$F237,IF($F237="",$G236,IF($G236="",$F237,$G236&amp;", "&amp;$F237))))</f>
        <v/>
      </c>
      <c r="H237">
        <f>IF($A237="","",$A237&amp;" ("&amp;$C237&amp;")")</f>
        <v/>
      </c>
      <c r="I237">
        <f>IF($A237="","",IF($E237=1,$H237,$I236&amp;", "&amp;$H237))</f>
        <v/>
      </c>
      <c r="J237">
        <f>IF($A237="","",IF($E237=1,$B237,""))</f>
        <v/>
      </c>
      <c r="K237">
        <f>IF($A237="","",IF(COUNTIF($B$2:$B237,$B237)=COUNTIF($B$2:$B$1601,$B237),$B237,""))</f>
        <v/>
      </c>
    </row>
    <row r="238">
      <c r="A238">
        <f>IF('TMP Paste'!$E238="","",'TMP Paste'!$E238)</f>
        <v/>
      </c>
      <c r="B238">
        <f>IF($A238="","",COUNTIF('TMP Paste'!$B$2:$B238,"?*"))</f>
        <v/>
      </c>
      <c r="C238">
        <f>IF($A238="","",IFERROR('TMP Paste'!$M238*1,0))</f>
        <v/>
      </c>
      <c r="D238">
        <f>IF($A238="","",SUMIF($B$2:$B238,$B238,$C$2:$C238))</f>
        <v/>
      </c>
      <c r="E238">
        <f>IF($A238="",0,IF('TMP Paste'!$B238="",0,1))</f>
        <v/>
      </c>
      <c r="F238">
        <f>IF(OR($A238="",$C238&lt;1),"",$A238&amp;"-"&amp;TEXT(($D238-$C238+1),"00")&amp;IF($C238&gt;=2,", "&amp;$A238&amp;"-"&amp;TEXT(($D238-$C238+1)+1,"00"),"")&amp;IF($C238&gt;=3,", "&amp;$A238&amp;"-"&amp;TEXT(($D238-$C238+1)+2,"00"),"")&amp;IF($C238&gt;=4,", "&amp;$A238&amp;"-"&amp;TEXT(($D238-$C238+1)+3,"00"),"")&amp;IF($C238&gt;=5,", "&amp;$A238&amp;"-"&amp;TEXT(($D238-$C238+1)+4,"00"),"")&amp;IF($C238&gt;=6,", "&amp;$A238&amp;"-"&amp;TEXT(($D238-$C238+1)+5,"00"),"")&amp;IF($C238&gt;=7,", "&amp;$A238&amp;"-"&amp;TEXT(($D238-$C238+1)+6,"00"),"")&amp;IF($C238&gt;=8,", "&amp;$A238&amp;"-"&amp;TEXT(($D238-$C238+1)+7,"00"),"")&amp;IF($C238&gt;=9,", "&amp;$A238&amp;"-"&amp;TEXT(($D238-$C238+1)+8,"00"),"")&amp;IF($C238&gt;=10,", "&amp;$A238&amp;"-"&amp;TEXT(($D238-$C238+1)+9,"00"),"")&amp;IF($C238&gt;=11,", "&amp;$A238&amp;"-"&amp;TEXT(($D238-$C238+1)+10,"00"),"")&amp;IF($C238&gt;=12,", "&amp;$A238&amp;"-"&amp;TEXT(($D238-$C238+1)+11,"00"),"")&amp;IF($C238&gt;=13,", "&amp;$A238&amp;"-"&amp;TEXT(($D238-$C238+1)+12,"00"),"")&amp;IF($C238&gt;=14,", "&amp;$A238&amp;"-"&amp;TEXT(($D238-$C238+1)+13,"00"),"")&amp;IF($C238&gt;=15,", "&amp;$A238&amp;"-"&amp;TEXT(($D238-$C238+1)+14,"00"),"")&amp;IF($C238&gt;=16,", "&amp;$A238&amp;"-"&amp;TEXT(($D238-$C238+1)+15,"00"),"")&amp;IF($C238&gt;=17,", "&amp;$A238&amp;"-"&amp;TEXT(($D238-$C238+1)+16,"00"),"")&amp;IF($C238&gt;=18,", "&amp;$A238&amp;"-"&amp;TEXT(($D238-$C238+1)+17,"00"),"")&amp;IF($C238&gt;=19,", "&amp;$A238&amp;"-"&amp;TEXT(($D238-$C238+1)+18,"00"),"")&amp;IF($C238&gt;=20,", "&amp;$A238&amp;"-"&amp;TEXT(($D238-$C238+1)+19,"00"),"")&amp;IF($C238&gt;=21,", "&amp;$A238&amp;"-"&amp;TEXT(($D238-$C238+1)+20,"00"),"")&amp;IF($C238&gt;=22,", "&amp;$A238&amp;"-"&amp;TEXT(($D238-$C238+1)+21,"00"),"")&amp;IF($C238&gt;=23,", "&amp;$A238&amp;"-"&amp;TEXT(($D238-$C238+1)+22,"00"),"")&amp;IF($C238&gt;=24,", "&amp;$A238&amp;"-"&amp;TEXT(($D238-$C238+1)+23,"00"),"")&amp;IF($C238&gt;=25,", "&amp;$A238&amp;"-"&amp;TEXT(($D238-$C238+1)+24,"00"),""))</f>
        <v/>
      </c>
      <c r="G238">
        <f>IF($A238="","",IF($E238=1,$F238,IF($F238="",$G237,IF($G237="",$F238,$G237&amp;", "&amp;$F238))))</f>
        <v/>
      </c>
      <c r="H238">
        <f>IF($A238="","",$A238&amp;" ("&amp;$C238&amp;")")</f>
        <v/>
      </c>
      <c r="I238">
        <f>IF($A238="","",IF($E238=1,$H238,$I237&amp;", "&amp;$H238))</f>
        <v/>
      </c>
      <c r="J238">
        <f>IF($A238="","",IF($E238=1,$B238,""))</f>
        <v/>
      </c>
      <c r="K238">
        <f>IF($A238="","",IF(COUNTIF($B$2:$B238,$B238)=COUNTIF($B$2:$B$1601,$B238),$B238,""))</f>
        <v/>
      </c>
    </row>
    <row r="239">
      <c r="A239">
        <f>IF('TMP Paste'!$E239="","",'TMP Paste'!$E239)</f>
        <v/>
      </c>
      <c r="B239">
        <f>IF($A239="","",COUNTIF('TMP Paste'!$B$2:$B239,"?*"))</f>
        <v/>
      </c>
      <c r="C239">
        <f>IF($A239="","",IFERROR('TMP Paste'!$M239*1,0))</f>
        <v/>
      </c>
      <c r="D239">
        <f>IF($A239="","",SUMIF($B$2:$B239,$B239,$C$2:$C239))</f>
        <v/>
      </c>
      <c r="E239">
        <f>IF($A239="",0,IF('TMP Paste'!$B239="",0,1))</f>
        <v/>
      </c>
      <c r="F239">
        <f>IF(OR($A239="",$C239&lt;1),"",$A239&amp;"-"&amp;TEXT(($D239-$C239+1),"00")&amp;IF($C239&gt;=2,", "&amp;$A239&amp;"-"&amp;TEXT(($D239-$C239+1)+1,"00"),"")&amp;IF($C239&gt;=3,", "&amp;$A239&amp;"-"&amp;TEXT(($D239-$C239+1)+2,"00"),"")&amp;IF($C239&gt;=4,", "&amp;$A239&amp;"-"&amp;TEXT(($D239-$C239+1)+3,"00"),"")&amp;IF($C239&gt;=5,", "&amp;$A239&amp;"-"&amp;TEXT(($D239-$C239+1)+4,"00"),"")&amp;IF($C239&gt;=6,", "&amp;$A239&amp;"-"&amp;TEXT(($D239-$C239+1)+5,"00"),"")&amp;IF($C239&gt;=7,", "&amp;$A239&amp;"-"&amp;TEXT(($D239-$C239+1)+6,"00"),"")&amp;IF($C239&gt;=8,", "&amp;$A239&amp;"-"&amp;TEXT(($D239-$C239+1)+7,"00"),"")&amp;IF($C239&gt;=9,", "&amp;$A239&amp;"-"&amp;TEXT(($D239-$C239+1)+8,"00"),"")&amp;IF($C239&gt;=10,", "&amp;$A239&amp;"-"&amp;TEXT(($D239-$C239+1)+9,"00"),"")&amp;IF($C239&gt;=11,", "&amp;$A239&amp;"-"&amp;TEXT(($D239-$C239+1)+10,"00"),"")&amp;IF($C239&gt;=12,", "&amp;$A239&amp;"-"&amp;TEXT(($D239-$C239+1)+11,"00"),"")&amp;IF($C239&gt;=13,", "&amp;$A239&amp;"-"&amp;TEXT(($D239-$C239+1)+12,"00"),"")&amp;IF($C239&gt;=14,", "&amp;$A239&amp;"-"&amp;TEXT(($D239-$C239+1)+13,"00"),"")&amp;IF($C239&gt;=15,", "&amp;$A239&amp;"-"&amp;TEXT(($D239-$C239+1)+14,"00"),"")&amp;IF($C239&gt;=16,", "&amp;$A239&amp;"-"&amp;TEXT(($D239-$C239+1)+15,"00"),"")&amp;IF($C239&gt;=17,", "&amp;$A239&amp;"-"&amp;TEXT(($D239-$C239+1)+16,"00"),"")&amp;IF($C239&gt;=18,", "&amp;$A239&amp;"-"&amp;TEXT(($D239-$C239+1)+17,"00"),"")&amp;IF($C239&gt;=19,", "&amp;$A239&amp;"-"&amp;TEXT(($D239-$C239+1)+18,"00"),"")&amp;IF($C239&gt;=20,", "&amp;$A239&amp;"-"&amp;TEXT(($D239-$C239+1)+19,"00"),"")&amp;IF($C239&gt;=21,", "&amp;$A239&amp;"-"&amp;TEXT(($D239-$C239+1)+20,"00"),"")&amp;IF($C239&gt;=22,", "&amp;$A239&amp;"-"&amp;TEXT(($D239-$C239+1)+21,"00"),"")&amp;IF($C239&gt;=23,", "&amp;$A239&amp;"-"&amp;TEXT(($D239-$C239+1)+22,"00"),"")&amp;IF($C239&gt;=24,", "&amp;$A239&amp;"-"&amp;TEXT(($D239-$C239+1)+23,"00"),"")&amp;IF($C239&gt;=25,", "&amp;$A239&amp;"-"&amp;TEXT(($D239-$C239+1)+24,"00"),""))</f>
        <v/>
      </c>
      <c r="G239">
        <f>IF($A239="","",IF($E239=1,$F239,IF($F239="",$G238,IF($G238="",$F239,$G238&amp;", "&amp;$F239))))</f>
        <v/>
      </c>
      <c r="H239">
        <f>IF($A239="","",$A239&amp;" ("&amp;$C239&amp;")")</f>
        <v/>
      </c>
      <c r="I239">
        <f>IF($A239="","",IF($E239=1,$H239,$I238&amp;", "&amp;$H239))</f>
        <v/>
      </c>
      <c r="J239">
        <f>IF($A239="","",IF($E239=1,$B239,""))</f>
        <v/>
      </c>
      <c r="K239">
        <f>IF($A239="","",IF(COUNTIF($B$2:$B239,$B239)=COUNTIF($B$2:$B$1601,$B239),$B239,""))</f>
        <v/>
      </c>
    </row>
    <row r="240">
      <c r="A240">
        <f>IF('TMP Paste'!$E240="","",'TMP Paste'!$E240)</f>
        <v/>
      </c>
      <c r="B240">
        <f>IF($A240="","",COUNTIF('TMP Paste'!$B$2:$B240,"?*"))</f>
        <v/>
      </c>
      <c r="C240">
        <f>IF($A240="","",IFERROR('TMP Paste'!$M240*1,0))</f>
        <v/>
      </c>
      <c r="D240">
        <f>IF($A240="","",SUMIF($B$2:$B240,$B240,$C$2:$C240))</f>
        <v/>
      </c>
      <c r="E240">
        <f>IF($A240="",0,IF('TMP Paste'!$B240="",0,1))</f>
        <v/>
      </c>
      <c r="F240">
        <f>IF(OR($A240="",$C240&lt;1),"",$A240&amp;"-"&amp;TEXT(($D240-$C240+1),"00")&amp;IF($C240&gt;=2,", "&amp;$A240&amp;"-"&amp;TEXT(($D240-$C240+1)+1,"00"),"")&amp;IF($C240&gt;=3,", "&amp;$A240&amp;"-"&amp;TEXT(($D240-$C240+1)+2,"00"),"")&amp;IF($C240&gt;=4,", "&amp;$A240&amp;"-"&amp;TEXT(($D240-$C240+1)+3,"00"),"")&amp;IF($C240&gt;=5,", "&amp;$A240&amp;"-"&amp;TEXT(($D240-$C240+1)+4,"00"),"")&amp;IF($C240&gt;=6,", "&amp;$A240&amp;"-"&amp;TEXT(($D240-$C240+1)+5,"00"),"")&amp;IF($C240&gt;=7,", "&amp;$A240&amp;"-"&amp;TEXT(($D240-$C240+1)+6,"00"),"")&amp;IF($C240&gt;=8,", "&amp;$A240&amp;"-"&amp;TEXT(($D240-$C240+1)+7,"00"),"")&amp;IF($C240&gt;=9,", "&amp;$A240&amp;"-"&amp;TEXT(($D240-$C240+1)+8,"00"),"")&amp;IF($C240&gt;=10,", "&amp;$A240&amp;"-"&amp;TEXT(($D240-$C240+1)+9,"00"),"")&amp;IF($C240&gt;=11,", "&amp;$A240&amp;"-"&amp;TEXT(($D240-$C240+1)+10,"00"),"")&amp;IF($C240&gt;=12,", "&amp;$A240&amp;"-"&amp;TEXT(($D240-$C240+1)+11,"00"),"")&amp;IF($C240&gt;=13,", "&amp;$A240&amp;"-"&amp;TEXT(($D240-$C240+1)+12,"00"),"")&amp;IF($C240&gt;=14,", "&amp;$A240&amp;"-"&amp;TEXT(($D240-$C240+1)+13,"00"),"")&amp;IF($C240&gt;=15,", "&amp;$A240&amp;"-"&amp;TEXT(($D240-$C240+1)+14,"00"),"")&amp;IF($C240&gt;=16,", "&amp;$A240&amp;"-"&amp;TEXT(($D240-$C240+1)+15,"00"),"")&amp;IF($C240&gt;=17,", "&amp;$A240&amp;"-"&amp;TEXT(($D240-$C240+1)+16,"00"),"")&amp;IF($C240&gt;=18,", "&amp;$A240&amp;"-"&amp;TEXT(($D240-$C240+1)+17,"00"),"")&amp;IF($C240&gt;=19,", "&amp;$A240&amp;"-"&amp;TEXT(($D240-$C240+1)+18,"00"),"")&amp;IF($C240&gt;=20,", "&amp;$A240&amp;"-"&amp;TEXT(($D240-$C240+1)+19,"00"),"")&amp;IF($C240&gt;=21,", "&amp;$A240&amp;"-"&amp;TEXT(($D240-$C240+1)+20,"00"),"")&amp;IF($C240&gt;=22,", "&amp;$A240&amp;"-"&amp;TEXT(($D240-$C240+1)+21,"00"),"")&amp;IF($C240&gt;=23,", "&amp;$A240&amp;"-"&amp;TEXT(($D240-$C240+1)+22,"00"),"")&amp;IF($C240&gt;=24,", "&amp;$A240&amp;"-"&amp;TEXT(($D240-$C240+1)+23,"00"),"")&amp;IF($C240&gt;=25,", "&amp;$A240&amp;"-"&amp;TEXT(($D240-$C240+1)+24,"00"),""))</f>
        <v/>
      </c>
      <c r="G240">
        <f>IF($A240="","",IF($E240=1,$F240,IF($F240="",$G239,IF($G239="",$F240,$G239&amp;", "&amp;$F240))))</f>
        <v/>
      </c>
      <c r="H240">
        <f>IF($A240="","",$A240&amp;" ("&amp;$C240&amp;")")</f>
        <v/>
      </c>
      <c r="I240">
        <f>IF($A240="","",IF($E240=1,$H240,$I239&amp;", "&amp;$H240))</f>
        <v/>
      </c>
      <c r="J240">
        <f>IF($A240="","",IF($E240=1,$B240,""))</f>
        <v/>
      </c>
      <c r="K240">
        <f>IF($A240="","",IF(COUNTIF($B$2:$B240,$B240)=COUNTIF($B$2:$B$1601,$B240),$B240,""))</f>
        <v/>
      </c>
    </row>
    <row r="241">
      <c r="A241">
        <f>IF('TMP Paste'!$E241="","",'TMP Paste'!$E241)</f>
        <v/>
      </c>
      <c r="B241">
        <f>IF($A241="","",COUNTIF('TMP Paste'!$B$2:$B241,"?*"))</f>
        <v/>
      </c>
      <c r="C241">
        <f>IF($A241="","",IFERROR('TMP Paste'!$M241*1,0))</f>
        <v/>
      </c>
      <c r="D241">
        <f>IF($A241="","",SUMIF($B$2:$B241,$B241,$C$2:$C241))</f>
        <v/>
      </c>
      <c r="E241">
        <f>IF($A241="",0,IF('TMP Paste'!$B241="",0,1))</f>
        <v/>
      </c>
      <c r="F241">
        <f>IF(OR($A241="",$C241&lt;1),"",$A241&amp;"-"&amp;TEXT(($D241-$C241+1),"00")&amp;IF($C241&gt;=2,", "&amp;$A241&amp;"-"&amp;TEXT(($D241-$C241+1)+1,"00"),"")&amp;IF($C241&gt;=3,", "&amp;$A241&amp;"-"&amp;TEXT(($D241-$C241+1)+2,"00"),"")&amp;IF($C241&gt;=4,", "&amp;$A241&amp;"-"&amp;TEXT(($D241-$C241+1)+3,"00"),"")&amp;IF($C241&gt;=5,", "&amp;$A241&amp;"-"&amp;TEXT(($D241-$C241+1)+4,"00"),"")&amp;IF($C241&gt;=6,", "&amp;$A241&amp;"-"&amp;TEXT(($D241-$C241+1)+5,"00"),"")&amp;IF($C241&gt;=7,", "&amp;$A241&amp;"-"&amp;TEXT(($D241-$C241+1)+6,"00"),"")&amp;IF($C241&gt;=8,", "&amp;$A241&amp;"-"&amp;TEXT(($D241-$C241+1)+7,"00"),"")&amp;IF($C241&gt;=9,", "&amp;$A241&amp;"-"&amp;TEXT(($D241-$C241+1)+8,"00"),"")&amp;IF($C241&gt;=10,", "&amp;$A241&amp;"-"&amp;TEXT(($D241-$C241+1)+9,"00"),"")&amp;IF($C241&gt;=11,", "&amp;$A241&amp;"-"&amp;TEXT(($D241-$C241+1)+10,"00"),"")&amp;IF($C241&gt;=12,", "&amp;$A241&amp;"-"&amp;TEXT(($D241-$C241+1)+11,"00"),"")&amp;IF($C241&gt;=13,", "&amp;$A241&amp;"-"&amp;TEXT(($D241-$C241+1)+12,"00"),"")&amp;IF($C241&gt;=14,", "&amp;$A241&amp;"-"&amp;TEXT(($D241-$C241+1)+13,"00"),"")&amp;IF($C241&gt;=15,", "&amp;$A241&amp;"-"&amp;TEXT(($D241-$C241+1)+14,"00"),"")&amp;IF($C241&gt;=16,", "&amp;$A241&amp;"-"&amp;TEXT(($D241-$C241+1)+15,"00"),"")&amp;IF($C241&gt;=17,", "&amp;$A241&amp;"-"&amp;TEXT(($D241-$C241+1)+16,"00"),"")&amp;IF($C241&gt;=18,", "&amp;$A241&amp;"-"&amp;TEXT(($D241-$C241+1)+17,"00"),"")&amp;IF($C241&gt;=19,", "&amp;$A241&amp;"-"&amp;TEXT(($D241-$C241+1)+18,"00"),"")&amp;IF($C241&gt;=20,", "&amp;$A241&amp;"-"&amp;TEXT(($D241-$C241+1)+19,"00"),"")&amp;IF($C241&gt;=21,", "&amp;$A241&amp;"-"&amp;TEXT(($D241-$C241+1)+20,"00"),"")&amp;IF($C241&gt;=22,", "&amp;$A241&amp;"-"&amp;TEXT(($D241-$C241+1)+21,"00"),"")&amp;IF($C241&gt;=23,", "&amp;$A241&amp;"-"&amp;TEXT(($D241-$C241+1)+22,"00"),"")&amp;IF($C241&gt;=24,", "&amp;$A241&amp;"-"&amp;TEXT(($D241-$C241+1)+23,"00"),"")&amp;IF($C241&gt;=25,", "&amp;$A241&amp;"-"&amp;TEXT(($D241-$C241+1)+24,"00"),""))</f>
        <v/>
      </c>
      <c r="G241">
        <f>IF($A241="","",IF($E241=1,$F241,IF($F241="",$G240,IF($G240="",$F241,$G240&amp;", "&amp;$F241))))</f>
        <v/>
      </c>
      <c r="H241">
        <f>IF($A241="","",$A241&amp;" ("&amp;$C241&amp;")")</f>
        <v/>
      </c>
      <c r="I241">
        <f>IF($A241="","",IF($E241=1,$H241,$I240&amp;", "&amp;$H241))</f>
        <v/>
      </c>
      <c r="J241">
        <f>IF($A241="","",IF($E241=1,$B241,""))</f>
        <v/>
      </c>
      <c r="K241">
        <f>IF($A241="","",IF(COUNTIF($B$2:$B241,$B241)=COUNTIF($B$2:$B$1601,$B241),$B241,""))</f>
        <v/>
      </c>
    </row>
    <row r="242">
      <c r="A242">
        <f>IF('TMP Paste'!$E242="","",'TMP Paste'!$E242)</f>
        <v/>
      </c>
      <c r="B242">
        <f>IF($A242="","",COUNTIF('TMP Paste'!$B$2:$B242,"?*"))</f>
        <v/>
      </c>
      <c r="C242">
        <f>IF($A242="","",IFERROR('TMP Paste'!$M242*1,0))</f>
        <v/>
      </c>
      <c r="D242">
        <f>IF($A242="","",SUMIF($B$2:$B242,$B242,$C$2:$C242))</f>
        <v/>
      </c>
      <c r="E242">
        <f>IF($A242="",0,IF('TMP Paste'!$B242="",0,1))</f>
        <v/>
      </c>
      <c r="F242">
        <f>IF(OR($A242="",$C242&lt;1),"",$A242&amp;"-"&amp;TEXT(($D242-$C242+1),"00")&amp;IF($C242&gt;=2,", "&amp;$A242&amp;"-"&amp;TEXT(($D242-$C242+1)+1,"00"),"")&amp;IF($C242&gt;=3,", "&amp;$A242&amp;"-"&amp;TEXT(($D242-$C242+1)+2,"00"),"")&amp;IF($C242&gt;=4,", "&amp;$A242&amp;"-"&amp;TEXT(($D242-$C242+1)+3,"00"),"")&amp;IF($C242&gt;=5,", "&amp;$A242&amp;"-"&amp;TEXT(($D242-$C242+1)+4,"00"),"")&amp;IF($C242&gt;=6,", "&amp;$A242&amp;"-"&amp;TEXT(($D242-$C242+1)+5,"00"),"")&amp;IF($C242&gt;=7,", "&amp;$A242&amp;"-"&amp;TEXT(($D242-$C242+1)+6,"00"),"")&amp;IF($C242&gt;=8,", "&amp;$A242&amp;"-"&amp;TEXT(($D242-$C242+1)+7,"00"),"")&amp;IF($C242&gt;=9,", "&amp;$A242&amp;"-"&amp;TEXT(($D242-$C242+1)+8,"00"),"")&amp;IF($C242&gt;=10,", "&amp;$A242&amp;"-"&amp;TEXT(($D242-$C242+1)+9,"00"),"")&amp;IF($C242&gt;=11,", "&amp;$A242&amp;"-"&amp;TEXT(($D242-$C242+1)+10,"00"),"")&amp;IF($C242&gt;=12,", "&amp;$A242&amp;"-"&amp;TEXT(($D242-$C242+1)+11,"00"),"")&amp;IF($C242&gt;=13,", "&amp;$A242&amp;"-"&amp;TEXT(($D242-$C242+1)+12,"00"),"")&amp;IF($C242&gt;=14,", "&amp;$A242&amp;"-"&amp;TEXT(($D242-$C242+1)+13,"00"),"")&amp;IF($C242&gt;=15,", "&amp;$A242&amp;"-"&amp;TEXT(($D242-$C242+1)+14,"00"),"")&amp;IF($C242&gt;=16,", "&amp;$A242&amp;"-"&amp;TEXT(($D242-$C242+1)+15,"00"),"")&amp;IF($C242&gt;=17,", "&amp;$A242&amp;"-"&amp;TEXT(($D242-$C242+1)+16,"00"),"")&amp;IF($C242&gt;=18,", "&amp;$A242&amp;"-"&amp;TEXT(($D242-$C242+1)+17,"00"),"")&amp;IF($C242&gt;=19,", "&amp;$A242&amp;"-"&amp;TEXT(($D242-$C242+1)+18,"00"),"")&amp;IF($C242&gt;=20,", "&amp;$A242&amp;"-"&amp;TEXT(($D242-$C242+1)+19,"00"),"")&amp;IF($C242&gt;=21,", "&amp;$A242&amp;"-"&amp;TEXT(($D242-$C242+1)+20,"00"),"")&amp;IF($C242&gt;=22,", "&amp;$A242&amp;"-"&amp;TEXT(($D242-$C242+1)+21,"00"),"")&amp;IF($C242&gt;=23,", "&amp;$A242&amp;"-"&amp;TEXT(($D242-$C242+1)+22,"00"),"")&amp;IF($C242&gt;=24,", "&amp;$A242&amp;"-"&amp;TEXT(($D242-$C242+1)+23,"00"),"")&amp;IF($C242&gt;=25,", "&amp;$A242&amp;"-"&amp;TEXT(($D242-$C242+1)+24,"00"),""))</f>
        <v/>
      </c>
      <c r="G242">
        <f>IF($A242="","",IF($E242=1,$F242,IF($F242="",$G241,IF($G241="",$F242,$G241&amp;", "&amp;$F242))))</f>
        <v/>
      </c>
      <c r="H242">
        <f>IF($A242="","",$A242&amp;" ("&amp;$C242&amp;")")</f>
        <v/>
      </c>
      <c r="I242">
        <f>IF($A242="","",IF($E242=1,$H242,$I241&amp;", "&amp;$H242))</f>
        <v/>
      </c>
      <c r="J242">
        <f>IF($A242="","",IF($E242=1,$B242,""))</f>
        <v/>
      </c>
      <c r="K242">
        <f>IF($A242="","",IF(COUNTIF($B$2:$B242,$B242)=COUNTIF($B$2:$B$1601,$B242),$B242,""))</f>
        <v/>
      </c>
    </row>
    <row r="243">
      <c r="A243">
        <f>IF('TMP Paste'!$E243="","",'TMP Paste'!$E243)</f>
        <v/>
      </c>
      <c r="B243">
        <f>IF($A243="","",COUNTIF('TMP Paste'!$B$2:$B243,"?*"))</f>
        <v/>
      </c>
      <c r="C243">
        <f>IF($A243="","",IFERROR('TMP Paste'!$M243*1,0))</f>
        <v/>
      </c>
      <c r="D243">
        <f>IF($A243="","",SUMIF($B$2:$B243,$B243,$C$2:$C243))</f>
        <v/>
      </c>
      <c r="E243">
        <f>IF($A243="",0,IF('TMP Paste'!$B243="",0,1))</f>
        <v/>
      </c>
      <c r="F243">
        <f>IF(OR($A243="",$C243&lt;1),"",$A243&amp;"-"&amp;TEXT(($D243-$C243+1),"00")&amp;IF($C243&gt;=2,", "&amp;$A243&amp;"-"&amp;TEXT(($D243-$C243+1)+1,"00"),"")&amp;IF($C243&gt;=3,", "&amp;$A243&amp;"-"&amp;TEXT(($D243-$C243+1)+2,"00"),"")&amp;IF($C243&gt;=4,", "&amp;$A243&amp;"-"&amp;TEXT(($D243-$C243+1)+3,"00"),"")&amp;IF($C243&gt;=5,", "&amp;$A243&amp;"-"&amp;TEXT(($D243-$C243+1)+4,"00"),"")&amp;IF($C243&gt;=6,", "&amp;$A243&amp;"-"&amp;TEXT(($D243-$C243+1)+5,"00"),"")&amp;IF($C243&gt;=7,", "&amp;$A243&amp;"-"&amp;TEXT(($D243-$C243+1)+6,"00"),"")&amp;IF($C243&gt;=8,", "&amp;$A243&amp;"-"&amp;TEXT(($D243-$C243+1)+7,"00"),"")&amp;IF($C243&gt;=9,", "&amp;$A243&amp;"-"&amp;TEXT(($D243-$C243+1)+8,"00"),"")&amp;IF($C243&gt;=10,", "&amp;$A243&amp;"-"&amp;TEXT(($D243-$C243+1)+9,"00"),"")&amp;IF($C243&gt;=11,", "&amp;$A243&amp;"-"&amp;TEXT(($D243-$C243+1)+10,"00"),"")&amp;IF($C243&gt;=12,", "&amp;$A243&amp;"-"&amp;TEXT(($D243-$C243+1)+11,"00"),"")&amp;IF($C243&gt;=13,", "&amp;$A243&amp;"-"&amp;TEXT(($D243-$C243+1)+12,"00"),"")&amp;IF($C243&gt;=14,", "&amp;$A243&amp;"-"&amp;TEXT(($D243-$C243+1)+13,"00"),"")&amp;IF($C243&gt;=15,", "&amp;$A243&amp;"-"&amp;TEXT(($D243-$C243+1)+14,"00"),"")&amp;IF($C243&gt;=16,", "&amp;$A243&amp;"-"&amp;TEXT(($D243-$C243+1)+15,"00"),"")&amp;IF($C243&gt;=17,", "&amp;$A243&amp;"-"&amp;TEXT(($D243-$C243+1)+16,"00"),"")&amp;IF($C243&gt;=18,", "&amp;$A243&amp;"-"&amp;TEXT(($D243-$C243+1)+17,"00"),"")&amp;IF($C243&gt;=19,", "&amp;$A243&amp;"-"&amp;TEXT(($D243-$C243+1)+18,"00"),"")&amp;IF($C243&gt;=20,", "&amp;$A243&amp;"-"&amp;TEXT(($D243-$C243+1)+19,"00"),"")&amp;IF($C243&gt;=21,", "&amp;$A243&amp;"-"&amp;TEXT(($D243-$C243+1)+20,"00"),"")&amp;IF($C243&gt;=22,", "&amp;$A243&amp;"-"&amp;TEXT(($D243-$C243+1)+21,"00"),"")&amp;IF($C243&gt;=23,", "&amp;$A243&amp;"-"&amp;TEXT(($D243-$C243+1)+22,"00"),"")&amp;IF($C243&gt;=24,", "&amp;$A243&amp;"-"&amp;TEXT(($D243-$C243+1)+23,"00"),"")&amp;IF($C243&gt;=25,", "&amp;$A243&amp;"-"&amp;TEXT(($D243-$C243+1)+24,"00"),""))</f>
        <v/>
      </c>
      <c r="G243">
        <f>IF($A243="","",IF($E243=1,$F243,IF($F243="",$G242,IF($G242="",$F243,$G242&amp;", "&amp;$F243))))</f>
        <v/>
      </c>
      <c r="H243">
        <f>IF($A243="","",$A243&amp;" ("&amp;$C243&amp;")")</f>
        <v/>
      </c>
      <c r="I243">
        <f>IF($A243="","",IF($E243=1,$H243,$I242&amp;", "&amp;$H243))</f>
        <v/>
      </c>
      <c r="J243">
        <f>IF($A243="","",IF($E243=1,$B243,""))</f>
        <v/>
      </c>
      <c r="K243">
        <f>IF($A243="","",IF(COUNTIF($B$2:$B243,$B243)=COUNTIF($B$2:$B$1601,$B243),$B243,""))</f>
        <v/>
      </c>
    </row>
    <row r="244">
      <c r="A244">
        <f>IF('TMP Paste'!$E244="","",'TMP Paste'!$E244)</f>
        <v/>
      </c>
      <c r="B244">
        <f>IF($A244="","",COUNTIF('TMP Paste'!$B$2:$B244,"?*"))</f>
        <v/>
      </c>
      <c r="C244">
        <f>IF($A244="","",IFERROR('TMP Paste'!$M244*1,0))</f>
        <v/>
      </c>
      <c r="D244">
        <f>IF($A244="","",SUMIF($B$2:$B244,$B244,$C$2:$C244))</f>
        <v/>
      </c>
      <c r="E244">
        <f>IF($A244="",0,IF('TMP Paste'!$B244="",0,1))</f>
        <v/>
      </c>
      <c r="F244">
        <f>IF(OR($A244="",$C244&lt;1),"",$A244&amp;"-"&amp;TEXT(($D244-$C244+1),"00")&amp;IF($C244&gt;=2,", "&amp;$A244&amp;"-"&amp;TEXT(($D244-$C244+1)+1,"00"),"")&amp;IF($C244&gt;=3,", "&amp;$A244&amp;"-"&amp;TEXT(($D244-$C244+1)+2,"00"),"")&amp;IF($C244&gt;=4,", "&amp;$A244&amp;"-"&amp;TEXT(($D244-$C244+1)+3,"00"),"")&amp;IF($C244&gt;=5,", "&amp;$A244&amp;"-"&amp;TEXT(($D244-$C244+1)+4,"00"),"")&amp;IF($C244&gt;=6,", "&amp;$A244&amp;"-"&amp;TEXT(($D244-$C244+1)+5,"00"),"")&amp;IF($C244&gt;=7,", "&amp;$A244&amp;"-"&amp;TEXT(($D244-$C244+1)+6,"00"),"")&amp;IF($C244&gt;=8,", "&amp;$A244&amp;"-"&amp;TEXT(($D244-$C244+1)+7,"00"),"")&amp;IF($C244&gt;=9,", "&amp;$A244&amp;"-"&amp;TEXT(($D244-$C244+1)+8,"00"),"")&amp;IF($C244&gt;=10,", "&amp;$A244&amp;"-"&amp;TEXT(($D244-$C244+1)+9,"00"),"")&amp;IF($C244&gt;=11,", "&amp;$A244&amp;"-"&amp;TEXT(($D244-$C244+1)+10,"00"),"")&amp;IF($C244&gt;=12,", "&amp;$A244&amp;"-"&amp;TEXT(($D244-$C244+1)+11,"00"),"")&amp;IF($C244&gt;=13,", "&amp;$A244&amp;"-"&amp;TEXT(($D244-$C244+1)+12,"00"),"")&amp;IF($C244&gt;=14,", "&amp;$A244&amp;"-"&amp;TEXT(($D244-$C244+1)+13,"00"),"")&amp;IF($C244&gt;=15,", "&amp;$A244&amp;"-"&amp;TEXT(($D244-$C244+1)+14,"00"),"")&amp;IF($C244&gt;=16,", "&amp;$A244&amp;"-"&amp;TEXT(($D244-$C244+1)+15,"00"),"")&amp;IF($C244&gt;=17,", "&amp;$A244&amp;"-"&amp;TEXT(($D244-$C244+1)+16,"00"),"")&amp;IF($C244&gt;=18,", "&amp;$A244&amp;"-"&amp;TEXT(($D244-$C244+1)+17,"00"),"")&amp;IF($C244&gt;=19,", "&amp;$A244&amp;"-"&amp;TEXT(($D244-$C244+1)+18,"00"),"")&amp;IF($C244&gt;=20,", "&amp;$A244&amp;"-"&amp;TEXT(($D244-$C244+1)+19,"00"),"")&amp;IF($C244&gt;=21,", "&amp;$A244&amp;"-"&amp;TEXT(($D244-$C244+1)+20,"00"),"")&amp;IF($C244&gt;=22,", "&amp;$A244&amp;"-"&amp;TEXT(($D244-$C244+1)+21,"00"),"")&amp;IF($C244&gt;=23,", "&amp;$A244&amp;"-"&amp;TEXT(($D244-$C244+1)+22,"00"),"")&amp;IF($C244&gt;=24,", "&amp;$A244&amp;"-"&amp;TEXT(($D244-$C244+1)+23,"00"),"")&amp;IF($C244&gt;=25,", "&amp;$A244&amp;"-"&amp;TEXT(($D244-$C244+1)+24,"00"),""))</f>
        <v/>
      </c>
      <c r="G244">
        <f>IF($A244="","",IF($E244=1,$F244,IF($F244="",$G243,IF($G243="",$F244,$G243&amp;", "&amp;$F244))))</f>
        <v/>
      </c>
      <c r="H244">
        <f>IF($A244="","",$A244&amp;" ("&amp;$C244&amp;")")</f>
        <v/>
      </c>
      <c r="I244">
        <f>IF($A244="","",IF($E244=1,$H244,$I243&amp;", "&amp;$H244))</f>
        <v/>
      </c>
      <c r="J244">
        <f>IF($A244="","",IF($E244=1,$B244,""))</f>
        <v/>
      </c>
      <c r="K244">
        <f>IF($A244="","",IF(COUNTIF($B$2:$B244,$B244)=COUNTIF($B$2:$B$1601,$B244),$B244,""))</f>
        <v/>
      </c>
    </row>
    <row r="245">
      <c r="A245">
        <f>IF('TMP Paste'!$E245="","",'TMP Paste'!$E245)</f>
        <v/>
      </c>
      <c r="B245">
        <f>IF($A245="","",COUNTIF('TMP Paste'!$B$2:$B245,"?*"))</f>
        <v/>
      </c>
      <c r="C245">
        <f>IF($A245="","",IFERROR('TMP Paste'!$M245*1,0))</f>
        <v/>
      </c>
      <c r="D245">
        <f>IF($A245="","",SUMIF($B$2:$B245,$B245,$C$2:$C245))</f>
        <v/>
      </c>
      <c r="E245">
        <f>IF($A245="",0,IF('TMP Paste'!$B245="",0,1))</f>
        <v/>
      </c>
      <c r="F245">
        <f>IF(OR($A245="",$C245&lt;1),"",$A245&amp;"-"&amp;TEXT(($D245-$C245+1),"00")&amp;IF($C245&gt;=2,", "&amp;$A245&amp;"-"&amp;TEXT(($D245-$C245+1)+1,"00"),"")&amp;IF($C245&gt;=3,", "&amp;$A245&amp;"-"&amp;TEXT(($D245-$C245+1)+2,"00"),"")&amp;IF($C245&gt;=4,", "&amp;$A245&amp;"-"&amp;TEXT(($D245-$C245+1)+3,"00"),"")&amp;IF($C245&gt;=5,", "&amp;$A245&amp;"-"&amp;TEXT(($D245-$C245+1)+4,"00"),"")&amp;IF($C245&gt;=6,", "&amp;$A245&amp;"-"&amp;TEXT(($D245-$C245+1)+5,"00"),"")&amp;IF($C245&gt;=7,", "&amp;$A245&amp;"-"&amp;TEXT(($D245-$C245+1)+6,"00"),"")&amp;IF($C245&gt;=8,", "&amp;$A245&amp;"-"&amp;TEXT(($D245-$C245+1)+7,"00"),"")&amp;IF($C245&gt;=9,", "&amp;$A245&amp;"-"&amp;TEXT(($D245-$C245+1)+8,"00"),"")&amp;IF($C245&gt;=10,", "&amp;$A245&amp;"-"&amp;TEXT(($D245-$C245+1)+9,"00"),"")&amp;IF($C245&gt;=11,", "&amp;$A245&amp;"-"&amp;TEXT(($D245-$C245+1)+10,"00"),"")&amp;IF($C245&gt;=12,", "&amp;$A245&amp;"-"&amp;TEXT(($D245-$C245+1)+11,"00"),"")&amp;IF($C245&gt;=13,", "&amp;$A245&amp;"-"&amp;TEXT(($D245-$C245+1)+12,"00"),"")&amp;IF($C245&gt;=14,", "&amp;$A245&amp;"-"&amp;TEXT(($D245-$C245+1)+13,"00"),"")&amp;IF($C245&gt;=15,", "&amp;$A245&amp;"-"&amp;TEXT(($D245-$C245+1)+14,"00"),"")&amp;IF($C245&gt;=16,", "&amp;$A245&amp;"-"&amp;TEXT(($D245-$C245+1)+15,"00"),"")&amp;IF($C245&gt;=17,", "&amp;$A245&amp;"-"&amp;TEXT(($D245-$C245+1)+16,"00"),"")&amp;IF($C245&gt;=18,", "&amp;$A245&amp;"-"&amp;TEXT(($D245-$C245+1)+17,"00"),"")&amp;IF($C245&gt;=19,", "&amp;$A245&amp;"-"&amp;TEXT(($D245-$C245+1)+18,"00"),"")&amp;IF($C245&gt;=20,", "&amp;$A245&amp;"-"&amp;TEXT(($D245-$C245+1)+19,"00"),"")&amp;IF($C245&gt;=21,", "&amp;$A245&amp;"-"&amp;TEXT(($D245-$C245+1)+20,"00"),"")&amp;IF($C245&gt;=22,", "&amp;$A245&amp;"-"&amp;TEXT(($D245-$C245+1)+21,"00"),"")&amp;IF($C245&gt;=23,", "&amp;$A245&amp;"-"&amp;TEXT(($D245-$C245+1)+22,"00"),"")&amp;IF($C245&gt;=24,", "&amp;$A245&amp;"-"&amp;TEXT(($D245-$C245+1)+23,"00"),"")&amp;IF($C245&gt;=25,", "&amp;$A245&amp;"-"&amp;TEXT(($D245-$C245+1)+24,"00"),""))</f>
        <v/>
      </c>
      <c r="G245">
        <f>IF($A245="","",IF($E245=1,$F245,IF($F245="",$G244,IF($G244="",$F245,$G244&amp;", "&amp;$F245))))</f>
        <v/>
      </c>
      <c r="H245">
        <f>IF($A245="","",$A245&amp;" ("&amp;$C245&amp;")")</f>
        <v/>
      </c>
      <c r="I245">
        <f>IF($A245="","",IF($E245=1,$H245,$I244&amp;", "&amp;$H245))</f>
        <v/>
      </c>
      <c r="J245">
        <f>IF($A245="","",IF($E245=1,$B245,""))</f>
        <v/>
      </c>
      <c r="K245">
        <f>IF($A245="","",IF(COUNTIF($B$2:$B245,$B245)=COUNTIF($B$2:$B$1601,$B245),$B245,""))</f>
        <v/>
      </c>
    </row>
    <row r="246">
      <c r="A246">
        <f>IF('TMP Paste'!$E246="","",'TMP Paste'!$E246)</f>
        <v/>
      </c>
      <c r="B246">
        <f>IF($A246="","",COUNTIF('TMP Paste'!$B$2:$B246,"?*"))</f>
        <v/>
      </c>
      <c r="C246">
        <f>IF($A246="","",IFERROR('TMP Paste'!$M246*1,0))</f>
        <v/>
      </c>
      <c r="D246">
        <f>IF($A246="","",SUMIF($B$2:$B246,$B246,$C$2:$C246))</f>
        <v/>
      </c>
      <c r="E246">
        <f>IF($A246="",0,IF('TMP Paste'!$B246="",0,1))</f>
        <v/>
      </c>
      <c r="F246">
        <f>IF(OR($A246="",$C246&lt;1),"",$A246&amp;"-"&amp;TEXT(($D246-$C246+1),"00")&amp;IF($C246&gt;=2,", "&amp;$A246&amp;"-"&amp;TEXT(($D246-$C246+1)+1,"00"),"")&amp;IF($C246&gt;=3,", "&amp;$A246&amp;"-"&amp;TEXT(($D246-$C246+1)+2,"00"),"")&amp;IF($C246&gt;=4,", "&amp;$A246&amp;"-"&amp;TEXT(($D246-$C246+1)+3,"00"),"")&amp;IF($C246&gt;=5,", "&amp;$A246&amp;"-"&amp;TEXT(($D246-$C246+1)+4,"00"),"")&amp;IF($C246&gt;=6,", "&amp;$A246&amp;"-"&amp;TEXT(($D246-$C246+1)+5,"00"),"")&amp;IF($C246&gt;=7,", "&amp;$A246&amp;"-"&amp;TEXT(($D246-$C246+1)+6,"00"),"")&amp;IF($C246&gt;=8,", "&amp;$A246&amp;"-"&amp;TEXT(($D246-$C246+1)+7,"00"),"")&amp;IF($C246&gt;=9,", "&amp;$A246&amp;"-"&amp;TEXT(($D246-$C246+1)+8,"00"),"")&amp;IF($C246&gt;=10,", "&amp;$A246&amp;"-"&amp;TEXT(($D246-$C246+1)+9,"00"),"")&amp;IF($C246&gt;=11,", "&amp;$A246&amp;"-"&amp;TEXT(($D246-$C246+1)+10,"00"),"")&amp;IF($C246&gt;=12,", "&amp;$A246&amp;"-"&amp;TEXT(($D246-$C246+1)+11,"00"),"")&amp;IF($C246&gt;=13,", "&amp;$A246&amp;"-"&amp;TEXT(($D246-$C246+1)+12,"00"),"")&amp;IF($C246&gt;=14,", "&amp;$A246&amp;"-"&amp;TEXT(($D246-$C246+1)+13,"00"),"")&amp;IF($C246&gt;=15,", "&amp;$A246&amp;"-"&amp;TEXT(($D246-$C246+1)+14,"00"),"")&amp;IF($C246&gt;=16,", "&amp;$A246&amp;"-"&amp;TEXT(($D246-$C246+1)+15,"00"),"")&amp;IF($C246&gt;=17,", "&amp;$A246&amp;"-"&amp;TEXT(($D246-$C246+1)+16,"00"),"")&amp;IF($C246&gt;=18,", "&amp;$A246&amp;"-"&amp;TEXT(($D246-$C246+1)+17,"00"),"")&amp;IF($C246&gt;=19,", "&amp;$A246&amp;"-"&amp;TEXT(($D246-$C246+1)+18,"00"),"")&amp;IF($C246&gt;=20,", "&amp;$A246&amp;"-"&amp;TEXT(($D246-$C246+1)+19,"00"),"")&amp;IF($C246&gt;=21,", "&amp;$A246&amp;"-"&amp;TEXT(($D246-$C246+1)+20,"00"),"")&amp;IF($C246&gt;=22,", "&amp;$A246&amp;"-"&amp;TEXT(($D246-$C246+1)+21,"00"),"")&amp;IF($C246&gt;=23,", "&amp;$A246&amp;"-"&amp;TEXT(($D246-$C246+1)+22,"00"),"")&amp;IF($C246&gt;=24,", "&amp;$A246&amp;"-"&amp;TEXT(($D246-$C246+1)+23,"00"),"")&amp;IF($C246&gt;=25,", "&amp;$A246&amp;"-"&amp;TEXT(($D246-$C246+1)+24,"00"),""))</f>
        <v/>
      </c>
      <c r="G246">
        <f>IF($A246="","",IF($E246=1,$F246,IF($F246="",$G245,IF($G245="",$F246,$G245&amp;", "&amp;$F246))))</f>
        <v/>
      </c>
      <c r="H246">
        <f>IF($A246="","",$A246&amp;" ("&amp;$C246&amp;")")</f>
        <v/>
      </c>
      <c r="I246">
        <f>IF($A246="","",IF($E246=1,$H246,$I245&amp;", "&amp;$H246))</f>
        <v/>
      </c>
      <c r="J246">
        <f>IF($A246="","",IF($E246=1,$B246,""))</f>
        <v/>
      </c>
      <c r="K246">
        <f>IF($A246="","",IF(COUNTIF($B$2:$B246,$B246)=COUNTIF($B$2:$B$1601,$B246),$B246,""))</f>
        <v/>
      </c>
    </row>
    <row r="247">
      <c r="A247">
        <f>IF('TMP Paste'!$E247="","",'TMP Paste'!$E247)</f>
        <v/>
      </c>
      <c r="B247">
        <f>IF($A247="","",COUNTIF('TMP Paste'!$B$2:$B247,"?*"))</f>
        <v/>
      </c>
      <c r="C247">
        <f>IF($A247="","",IFERROR('TMP Paste'!$M247*1,0))</f>
        <v/>
      </c>
      <c r="D247">
        <f>IF($A247="","",SUMIF($B$2:$B247,$B247,$C$2:$C247))</f>
        <v/>
      </c>
      <c r="E247">
        <f>IF($A247="",0,IF('TMP Paste'!$B247="",0,1))</f>
        <v/>
      </c>
      <c r="F247">
        <f>IF(OR($A247="",$C247&lt;1),"",$A247&amp;"-"&amp;TEXT(($D247-$C247+1),"00")&amp;IF($C247&gt;=2,", "&amp;$A247&amp;"-"&amp;TEXT(($D247-$C247+1)+1,"00"),"")&amp;IF($C247&gt;=3,", "&amp;$A247&amp;"-"&amp;TEXT(($D247-$C247+1)+2,"00"),"")&amp;IF($C247&gt;=4,", "&amp;$A247&amp;"-"&amp;TEXT(($D247-$C247+1)+3,"00"),"")&amp;IF($C247&gt;=5,", "&amp;$A247&amp;"-"&amp;TEXT(($D247-$C247+1)+4,"00"),"")&amp;IF($C247&gt;=6,", "&amp;$A247&amp;"-"&amp;TEXT(($D247-$C247+1)+5,"00"),"")&amp;IF($C247&gt;=7,", "&amp;$A247&amp;"-"&amp;TEXT(($D247-$C247+1)+6,"00"),"")&amp;IF($C247&gt;=8,", "&amp;$A247&amp;"-"&amp;TEXT(($D247-$C247+1)+7,"00"),"")&amp;IF($C247&gt;=9,", "&amp;$A247&amp;"-"&amp;TEXT(($D247-$C247+1)+8,"00"),"")&amp;IF($C247&gt;=10,", "&amp;$A247&amp;"-"&amp;TEXT(($D247-$C247+1)+9,"00"),"")&amp;IF($C247&gt;=11,", "&amp;$A247&amp;"-"&amp;TEXT(($D247-$C247+1)+10,"00"),"")&amp;IF($C247&gt;=12,", "&amp;$A247&amp;"-"&amp;TEXT(($D247-$C247+1)+11,"00"),"")&amp;IF($C247&gt;=13,", "&amp;$A247&amp;"-"&amp;TEXT(($D247-$C247+1)+12,"00"),"")&amp;IF($C247&gt;=14,", "&amp;$A247&amp;"-"&amp;TEXT(($D247-$C247+1)+13,"00"),"")&amp;IF($C247&gt;=15,", "&amp;$A247&amp;"-"&amp;TEXT(($D247-$C247+1)+14,"00"),"")&amp;IF($C247&gt;=16,", "&amp;$A247&amp;"-"&amp;TEXT(($D247-$C247+1)+15,"00"),"")&amp;IF($C247&gt;=17,", "&amp;$A247&amp;"-"&amp;TEXT(($D247-$C247+1)+16,"00"),"")&amp;IF($C247&gt;=18,", "&amp;$A247&amp;"-"&amp;TEXT(($D247-$C247+1)+17,"00"),"")&amp;IF($C247&gt;=19,", "&amp;$A247&amp;"-"&amp;TEXT(($D247-$C247+1)+18,"00"),"")&amp;IF($C247&gt;=20,", "&amp;$A247&amp;"-"&amp;TEXT(($D247-$C247+1)+19,"00"),"")&amp;IF($C247&gt;=21,", "&amp;$A247&amp;"-"&amp;TEXT(($D247-$C247+1)+20,"00"),"")&amp;IF($C247&gt;=22,", "&amp;$A247&amp;"-"&amp;TEXT(($D247-$C247+1)+21,"00"),"")&amp;IF($C247&gt;=23,", "&amp;$A247&amp;"-"&amp;TEXT(($D247-$C247+1)+22,"00"),"")&amp;IF($C247&gt;=24,", "&amp;$A247&amp;"-"&amp;TEXT(($D247-$C247+1)+23,"00"),"")&amp;IF($C247&gt;=25,", "&amp;$A247&amp;"-"&amp;TEXT(($D247-$C247+1)+24,"00"),""))</f>
        <v/>
      </c>
      <c r="G247">
        <f>IF($A247="","",IF($E247=1,$F247,IF($F247="",$G246,IF($G246="",$F247,$G246&amp;", "&amp;$F247))))</f>
        <v/>
      </c>
      <c r="H247">
        <f>IF($A247="","",$A247&amp;" ("&amp;$C247&amp;")")</f>
        <v/>
      </c>
      <c r="I247">
        <f>IF($A247="","",IF($E247=1,$H247,$I246&amp;", "&amp;$H247))</f>
        <v/>
      </c>
      <c r="J247">
        <f>IF($A247="","",IF($E247=1,$B247,""))</f>
        <v/>
      </c>
      <c r="K247">
        <f>IF($A247="","",IF(COUNTIF($B$2:$B247,$B247)=COUNTIF($B$2:$B$1601,$B247),$B247,""))</f>
        <v/>
      </c>
    </row>
    <row r="248">
      <c r="A248">
        <f>IF('TMP Paste'!$E248="","",'TMP Paste'!$E248)</f>
        <v/>
      </c>
      <c r="B248">
        <f>IF($A248="","",COUNTIF('TMP Paste'!$B$2:$B248,"?*"))</f>
        <v/>
      </c>
      <c r="C248">
        <f>IF($A248="","",IFERROR('TMP Paste'!$M248*1,0))</f>
        <v/>
      </c>
      <c r="D248">
        <f>IF($A248="","",SUMIF($B$2:$B248,$B248,$C$2:$C248))</f>
        <v/>
      </c>
      <c r="E248">
        <f>IF($A248="",0,IF('TMP Paste'!$B248="",0,1))</f>
        <v/>
      </c>
      <c r="F248">
        <f>IF(OR($A248="",$C248&lt;1),"",$A248&amp;"-"&amp;TEXT(($D248-$C248+1),"00")&amp;IF($C248&gt;=2,", "&amp;$A248&amp;"-"&amp;TEXT(($D248-$C248+1)+1,"00"),"")&amp;IF($C248&gt;=3,", "&amp;$A248&amp;"-"&amp;TEXT(($D248-$C248+1)+2,"00"),"")&amp;IF($C248&gt;=4,", "&amp;$A248&amp;"-"&amp;TEXT(($D248-$C248+1)+3,"00"),"")&amp;IF($C248&gt;=5,", "&amp;$A248&amp;"-"&amp;TEXT(($D248-$C248+1)+4,"00"),"")&amp;IF($C248&gt;=6,", "&amp;$A248&amp;"-"&amp;TEXT(($D248-$C248+1)+5,"00"),"")&amp;IF($C248&gt;=7,", "&amp;$A248&amp;"-"&amp;TEXT(($D248-$C248+1)+6,"00"),"")&amp;IF($C248&gt;=8,", "&amp;$A248&amp;"-"&amp;TEXT(($D248-$C248+1)+7,"00"),"")&amp;IF($C248&gt;=9,", "&amp;$A248&amp;"-"&amp;TEXT(($D248-$C248+1)+8,"00"),"")&amp;IF($C248&gt;=10,", "&amp;$A248&amp;"-"&amp;TEXT(($D248-$C248+1)+9,"00"),"")&amp;IF($C248&gt;=11,", "&amp;$A248&amp;"-"&amp;TEXT(($D248-$C248+1)+10,"00"),"")&amp;IF($C248&gt;=12,", "&amp;$A248&amp;"-"&amp;TEXT(($D248-$C248+1)+11,"00"),"")&amp;IF($C248&gt;=13,", "&amp;$A248&amp;"-"&amp;TEXT(($D248-$C248+1)+12,"00"),"")&amp;IF($C248&gt;=14,", "&amp;$A248&amp;"-"&amp;TEXT(($D248-$C248+1)+13,"00"),"")&amp;IF($C248&gt;=15,", "&amp;$A248&amp;"-"&amp;TEXT(($D248-$C248+1)+14,"00"),"")&amp;IF($C248&gt;=16,", "&amp;$A248&amp;"-"&amp;TEXT(($D248-$C248+1)+15,"00"),"")&amp;IF($C248&gt;=17,", "&amp;$A248&amp;"-"&amp;TEXT(($D248-$C248+1)+16,"00"),"")&amp;IF($C248&gt;=18,", "&amp;$A248&amp;"-"&amp;TEXT(($D248-$C248+1)+17,"00"),"")&amp;IF($C248&gt;=19,", "&amp;$A248&amp;"-"&amp;TEXT(($D248-$C248+1)+18,"00"),"")&amp;IF($C248&gt;=20,", "&amp;$A248&amp;"-"&amp;TEXT(($D248-$C248+1)+19,"00"),"")&amp;IF($C248&gt;=21,", "&amp;$A248&amp;"-"&amp;TEXT(($D248-$C248+1)+20,"00"),"")&amp;IF($C248&gt;=22,", "&amp;$A248&amp;"-"&amp;TEXT(($D248-$C248+1)+21,"00"),"")&amp;IF($C248&gt;=23,", "&amp;$A248&amp;"-"&amp;TEXT(($D248-$C248+1)+22,"00"),"")&amp;IF($C248&gt;=24,", "&amp;$A248&amp;"-"&amp;TEXT(($D248-$C248+1)+23,"00"),"")&amp;IF($C248&gt;=25,", "&amp;$A248&amp;"-"&amp;TEXT(($D248-$C248+1)+24,"00"),""))</f>
        <v/>
      </c>
      <c r="G248">
        <f>IF($A248="","",IF($E248=1,$F248,IF($F248="",$G247,IF($G247="",$F248,$G247&amp;", "&amp;$F248))))</f>
        <v/>
      </c>
      <c r="H248">
        <f>IF($A248="","",$A248&amp;" ("&amp;$C248&amp;")")</f>
        <v/>
      </c>
      <c r="I248">
        <f>IF($A248="","",IF($E248=1,$H248,$I247&amp;", "&amp;$H248))</f>
        <v/>
      </c>
      <c r="J248">
        <f>IF($A248="","",IF($E248=1,$B248,""))</f>
        <v/>
      </c>
      <c r="K248">
        <f>IF($A248="","",IF(COUNTIF($B$2:$B248,$B248)=COUNTIF($B$2:$B$1601,$B248),$B248,""))</f>
        <v/>
      </c>
    </row>
    <row r="249">
      <c r="A249">
        <f>IF('TMP Paste'!$E249="","",'TMP Paste'!$E249)</f>
        <v/>
      </c>
      <c r="B249">
        <f>IF($A249="","",COUNTIF('TMP Paste'!$B$2:$B249,"?*"))</f>
        <v/>
      </c>
      <c r="C249">
        <f>IF($A249="","",IFERROR('TMP Paste'!$M249*1,0))</f>
        <v/>
      </c>
      <c r="D249">
        <f>IF($A249="","",SUMIF($B$2:$B249,$B249,$C$2:$C249))</f>
        <v/>
      </c>
      <c r="E249">
        <f>IF($A249="",0,IF('TMP Paste'!$B249="",0,1))</f>
        <v/>
      </c>
      <c r="F249">
        <f>IF(OR($A249="",$C249&lt;1),"",$A249&amp;"-"&amp;TEXT(($D249-$C249+1),"00")&amp;IF($C249&gt;=2,", "&amp;$A249&amp;"-"&amp;TEXT(($D249-$C249+1)+1,"00"),"")&amp;IF($C249&gt;=3,", "&amp;$A249&amp;"-"&amp;TEXT(($D249-$C249+1)+2,"00"),"")&amp;IF($C249&gt;=4,", "&amp;$A249&amp;"-"&amp;TEXT(($D249-$C249+1)+3,"00"),"")&amp;IF($C249&gt;=5,", "&amp;$A249&amp;"-"&amp;TEXT(($D249-$C249+1)+4,"00"),"")&amp;IF($C249&gt;=6,", "&amp;$A249&amp;"-"&amp;TEXT(($D249-$C249+1)+5,"00"),"")&amp;IF($C249&gt;=7,", "&amp;$A249&amp;"-"&amp;TEXT(($D249-$C249+1)+6,"00"),"")&amp;IF($C249&gt;=8,", "&amp;$A249&amp;"-"&amp;TEXT(($D249-$C249+1)+7,"00"),"")&amp;IF($C249&gt;=9,", "&amp;$A249&amp;"-"&amp;TEXT(($D249-$C249+1)+8,"00"),"")&amp;IF($C249&gt;=10,", "&amp;$A249&amp;"-"&amp;TEXT(($D249-$C249+1)+9,"00"),"")&amp;IF($C249&gt;=11,", "&amp;$A249&amp;"-"&amp;TEXT(($D249-$C249+1)+10,"00"),"")&amp;IF($C249&gt;=12,", "&amp;$A249&amp;"-"&amp;TEXT(($D249-$C249+1)+11,"00"),"")&amp;IF($C249&gt;=13,", "&amp;$A249&amp;"-"&amp;TEXT(($D249-$C249+1)+12,"00"),"")&amp;IF($C249&gt;=14,", "&amp;$A249&amp;"-"&amp;TEXT(($D249-$C249+1)+13,"00"),"")&amp;IF($C249&gt;=15,", "&amp;$A249&amp;"-"&amp;TEXT(($D249-$C249+1)+14,"00"),"")&amp;IF($C249&gt;=16,", "&amp;$A249&amp;"-"&amp;TEXT(($D249-$C249+1)+15,"00"),"")&amp;IF($C249&gt;=17,", "&amp;$A249&amp;"-"&amp;TEXT(($D249-$C249+1)+16,"00"),"")&amp;IF($C249&gt;=18,", "&amp;$A249&amp;"-"&amp;TEXT(($D249-$C249+1)+17,"00"),"")&amp;IF($C249&gt;=19,", "&amp;$A249&amp;"-"&amp;TEXT(($D249-$C249+1)+18,"00"),"")&amp;IF($C249&gt;=20,", "&amp;$A249&amp;"-"&amp;TEXT(($D249-$C249+1)+19,"00"),"")&amp;IF($C249&gt;=21,", "&amp;$A249&amp;"-"&amp;TEXT(($D249-$C249+1)+20,"00"),"")&amp;IF($C249&gt;=22,", "&amp;$A249&amp;"-"&amp;TEXT(($D249-$C249+1)+21,"00"),"")&amp;IF($C249&gt;=23,", "&amp;$A249&amp;"-"&amp;TEXT(($D249-$C249+1)+22,"00"),"")&amp;IF($C249&gt;=24,", "&amp;$A249&amp;"-"&amp;TEXT(($D249-$C249+1)+23,"00"),"")&amp;IF($C249&gt;=25,", "&amp;$A249&amp;"-"&amp;TEXT(($D249-$C249+1)+24,"00"),""))</f>
        <v/>
      </c>
      <c r="G249">
        <f>IF($A249="","",IF($E249=1,$F249,IF($F249="",$G248,IF($G248="",$F249,$G248&amp;", "&amp;$F249))))</f>
        <v/>
      </c>
      <c r="H249">
        <f>IF($A249="","",$A249&amp;" ("&amp;$C249&amp;")")</f>
        <v/>
      </c>
      <c r="I249">
        <f>IF($A249="","",IF($E249=1,$H249,$I248&amp;", "&amp;$H249))</f>
        <v/>
      </c>
      <c r="J249">
        <f>IF($A249="","",IF($E249=1,$B249,""))</f>
        <v/>
      </c>
      <c r="K249">
        <f>IF($A249="","",IF(COUNTIF($B$2:$B249,$B249)=COUNTIF($B$2:$B$1601,$B249),$B249,""))</f>
        <v/>
      </c>
    </row>
    <row r="250">
      <c r="A250">
        <f>IF('TMP Paste'!$E250="","",'TMP Paste'!$E250)</f>
        <v/>
      </c>
      <c r="B250">
        <f>IF($A250="","",COUNTIF('TMP Paste'!$B$2:$B250,"?*"))</f>
        <v/>
      </c>
      <c r="C250">
        <f>IF($A250="","",IFERROR('TMP Paste'!$M250*1,0))</f>
        <v/>
      </c>
      <c r="D250">
        <f>IF($A250="","",SUMIF($B$2:$B250,$B250,$C$2:$C250))</f>
        <v/>
      </c>
      <c r="E250">
        <f>IF($A250="",0,IF('TMP Paste'!$B250="",0,1))</f>
        <v/>
      </c>
      <c r="F250">
        <f>IF(OR($A250="",$C250&lt;1),"",$A250&amp;"-"&amp;TEXT(($D250-$C250+1),"00")&amp;IF($C250&gt;=2,", "&amp;$A250&amp;"-"&amp;TEXT(($D250-$C250+1)+1,"00"),"")&amp;IF($C250&gt;=3,", "&amp;$A250&amp;"-"&amp;TEXT(($D250-$C250+1)+2,"00"),"")&amp;IF($C250&gt;=4,", "&amp;$A250&amp;"-"&amp;TEXT(($D250-$C250+1)+3,"00"),"")&amp;IF($C250&gt;=5,", "&amp;$A250&amp;"-"&amp;TEXT(($D250-$C250+1)+4,"00"),"")&amp;IF($C250&gt;=6,", "&amp;$A250&amp;"-"&amp;TEXT(($D250-$C250+1)+5,"00"),"")&amp;IF($C250&gt;=7,", "&amp;$A250&amp;"-"&amp;TEXT(($D250-$C250+1)+6,"00"),"")&amp;IF($C250&gt;=8,", "&amp;$A250&amp;"-"&amp;TEXT(($D250-$C250+1)+7,"00"),"")&amp;IF($C250&gt;=9,", "&amp;$A250&amp;"-"&amp;TEXT(($D250-$C250+1)+8,"00"),"")&amp;IF($C250&gt;=10,", "&amp;$A250&amp;"-"&amp;TEXT(($D250-$C250+1)+9,"00"),"")&amp;IF($C250&gt;=11,", "&amp;$A250&amp;"-"&amp;TEXT(($D250-$C250+1)+10,"00"),"")&amp;IF($C250&gt;=12,", "&amp;$A250&amp;"-"&amp;TEXT(($D250-$C250+1)+11,"00"),"")&amp;IF($C250&gt;=13,", "&amp;$A250&amp;"-"&amp;TEXT(($D250-$C250+1)+12,"00"),"")&amp;IF($C250&gt;=14,", "&amp;$A250&amp;"-"&amp;TEXT(($D250-$C250+1)+13,"00"),"")&amp;IF($C250&gt;=15,", "&amp;$A250&amp;"-"&amp;TEXT(($D250-$C250+1)+14,"00"),"")&amp;IF($C250&gt;=16,", "&amp;$A250&amp;"-"&amp;TEXT(($D250-$C250+1)+15,"00"),"")&amp;IF($C250&gt;=17,", "&amp;$A250&amp;"-"&amp;TEXT(($D250-$C250+1)+16,"00"),"")&amp;IF($C250&gt;=18,", "&amp;$A250&amp;"-"&amp;TEXT(($D250-$C250+1)+17,"00"),"")&amp;IF($C250&gt;=19,", "&amp;$A250&amp;"-"&amp;TEXT(($D250-$C250+1)+18,"00"),"")&amp;IF($C250&gt;=20,", "&amp;$A250&amp;"-"&amp;TEXT(($D250-$C250+1)+19,"00"),"")&amp;IF($C250&gt;=21,", "&amp;$A250&amp;"-"&amp;TEXT(($D250-$C250+1)+20,"00"),"")&amp;IF($C250&gt;=22,", "&amp;$A250&amp;"-"&amp;TEXT(($D250-$C250+1)+21,"00"),"")&amp;IF($C250&gt;=23,", "&amp;$A250&amp;"-"&amp;TEXT(($D250-$C250+1)+22,"00"),"")&amp;IF($C250&gt;=24,", "&amp;$A250&amp;"-"&amp;TEXT(($D250-$C250+1)+23,"00"),"")&amp;IF($C250&gt;=25,", "&amp;$A250&amp;"-"&amp;TEXT(($D250-$C250+1)+24,"00"),""))</f>
        <v/>
      </c>
      <c r="G250">
        <f>IF($A250="","",IF($E250=1,$F250,IF($F250="",$G249,IF($G249="",$F250,$G249&amp;", "&amp;$F250))))</f>
        <v/>
      </c>
      <c r="H250">
        <f>IF($A250="","",$A250&amp;" ("&amp;$C250&amp;")")</f>
        <v/>
      </c>
      <c r="I250">
        <f>IF($A250="","",IF($E250=1,$H250,$I249&amp;", "&amp;$H250))</f>
        <v/>
      </c>
      <c r="J250">
        <f>IF($A250="","",IF($E250=1,$B250,""))</f>
        <v/>
      </c>
      <c r="K250">
        <f>IF($A250="","",IF(COUNTIF($B$2:$B250,$B250)=COUNTIF($B$2:$B$1601,$B250),$B250,""))</f>
        <v/>
      </c>
    </row>
    <row r="251">
      <c r="A251">
        <f>IF('TMP Paste'!$E251="","",'TMP Paste'!$E251)</f>
        <v/>
      </c>
      <c r="B251">
        <f>IF($A251="","",COUNTIF('TMP Paste'!$B$2:$B251,"?*"))</f>
        <v/>
      </c>
      <c r="C251">
        <f>IF($A251="","",IFERROR('TMP Paste'!$M251*1,0))</f>
        <v/>
      </c>
      <c r="D251">
        <f>IF($A251="","",SUMIF($B$2:$B251,$B251,$C$2:$C251))</f>
        <v/>
      </c>
      <c r="E251">
        <f>IF($A251="",0,IF('TMP Paste'!$B251="",0,1))</f>
        <v/>
      </c>
      <c r="F251">
        <f>IF(OR($A251="",$C251&lt;1),"",$A251&amp;"-"&amp;TEXT(($D251-$C251+1),"00")&amp;IF($C251&gt;=2,", "&amp;$A251&amp;"-"&amp;TEXT(($D251-$C251+1)+1,"00"),"")&amp;IF($C251&gt;=3,", "&amp;$A251&amp;"-"&amp;TEXT(($D251-$C251+1)+2,"00"),"")&amp;IF($C251&gt;=4,", "&amp;$A251&amp;"-"&amp;TEXT(($D251-$C251+1)+3,"00"),"")&amp;IF($C251&gt;=5,", "&amp;$A251&amp;"-"&amp;TEXT(($D251-$C251+1)+4,"00"),"")&amp;IF($C251&gt;=6,", "&amp;$A251&amp;"-"&amp;TEXT(($D251-$C251+1)+5,"00"),"")&amp;IF($C251&gt;=7,", "&amp;$A251&amp;"-"&amp;TEXT(($D251-$C251+1)+6,"00"),"")&amp;IF($C251&gt;=8,", "&amp;$A251&amp;"-"&amp;TEXT(($D251-$C251+1)+7,"00"),"")&amp;IF($C251&gt;=9,", "&amp;$A251&amp;"-"&amp;TEXT(($D251-$C251+1)+8,"00"),"")&amp;IF($C251&gt;=10,", "&amp;$A251&amp;"-"&amp;TEXT(($D251-$C251+1)+9,"00"),"")&amp;IF($C251&gt;=11,", "&amp;$A251&amp;"-"&amp;TEXT(($D251-$C251+1)+10,"00"),"")&amp;IF($C251&gt;=12,", "&amp;$A251&amp;"-"&amp;TEXT(($D251-$C251+1)+11,"00"),"")&amp;IF($C251&gt;=13,", "&amp;$A251&amp;"-"&amp;TEXT(($D251-$C251+1)+12,"00"),"")&amp;IF($C251&gt;=14,", "&amp;$A251&amp;"-"&amp;TEXT(($D251-$C251+1)+13,"00"),"")&amp;IF($C251&gt;=15,", "&amp;$A251&amp;"-"&amp;TEXT(($D251-$C251+1)+14,"00"),"")&amp;IF($C251&gt;=16,", "&amp;$A251&amp;"-"&amp;TEXT(($D251-$C251+1)+15,"00"),"")&amp;IF($C251&gt;=17,", "&amp;$A251&amp;"-"&amp;TEXT(($D251-$C251+1)+16,"00"),"")&amp;IF($C251&gt;=18,", "&amp;$A251&amp;"-"&amp;TEXT(($D251-$C251+1)+17,"00"),"")&amp;IF($C251&gt;=19,", "&amp;$A251&amp;"-"&amp;TEXT(($D251-$C251+1)+18,"00"),"")&amp;IF($C251&gt;=20,", "&amp;$A251&amp;"-"&amp;TEXT(($D251-$C251+1)+19,"00"),"")&amp;IF($C251&gt;=21,", "&amp;$A251&amp;"-"&amp;TEXT(($D251-$C251+1)+20,"00"),"")&amp;IF($C251&gt;=22,", "&amp;$A251&amp;"-"&amp;TEXT(($D251-$C251+1)+21,"00"),"")&amp;IF($C251&gt;=23,", "&amp;$A251&amp;"-"&amp;TEXT(($D251-$C251+1)+22,"00"),"")&amp;IF($C251&gt;=24,", "&amp;$A251&amp;"-"&amp;TEXT(($D251-$C251+1)+23,"00"),"")&amp;IF($C251&gt;=25,", "&amp;$A251&amp;"-"&amp;TEXT(($D251-$C251+1)+24,"00"),""))</f>
        <v/>
      </c>
      <c r="G251">
        <f>IF($A251="","",IF($E251=1,$F251,IF($F251="",$G250,IF($G250="",$F251,$G250&amp;", "&amp;$F251))))</f>
        <v/>
      </c>
      <c r="H251">
        <f>IF($A251="","",$A251&amp;" ("&amp;$C251&amp;")")</f>
        <v/>
      </c>
      <c r="I251">
        <f>IF($A251="","",IF($E251=1,$H251,$I250&amp;", "&amp;$H251))</f>
        <v/>
      </c>
      <c r="J251">
        <f>IF($A251="","",IF($E251=1,$B251,""))</f>
        <v/>
      </c>
      <c r="K251">
        <f>IF($A251="","",IF(COUNTIF($B$2:$B251,$B251)=COUNTIF($B$2:$B$1601,$B251),$B251,""))</f>
        <v/>
      </c>
    </row>
    <row r="252">
      <c r="A252">
        <f>IF('TMP Paste'!$E252="","",'TMP Paste'!$E252)</f>
        <v/>
      </c>
      <c r="B252">
        <f>IF($A252="","",COUNTIF('TMP Paste'!$B$2:$B252,"?*"))</f>
        <v/>
      </c>
      <c r="C252">
        <f>IF($A252="","",IFERROR('TMP Paste'!$M252*1,0))</f>
        <v/>
      </c>
      <c r="D252">
        <f>IF($A252="","",SUMIF($B$2:$B252,$B252,$C$2:$C252))</f>
        <v/>
      </c>
      <c r="E252">
        <f>IF($A252="",0,IF('TMP Paste'!$B252="",0,1))</f>
        <v/>
      </c>
      <c r="F252">
        <f>IF(OR($A252="",$C252&lt;1),"",$A252&amp;"-"&amp;TEXT(($D252-$C252+1),"00")&amp;IF($C252&gt;=2,", "&amp;$A252&amp;"-"&amp;TEXT(($D252-$C252+1)+1,"00"),"")&amp;IF($C252&gt;=3,", "&amp;$A252&amp;"-"&amp;TEXT(($D252-$C252+1)+2,"00"),"")&amp;IF($C252&gt;=4,", "&amp;$A252&amp;"-"&amp;TEXT(($D252-$C252+1)+3,"00"),"")&amp;IF($C252&gt;=5,", "&amp;$A252&amp;"-"&amp;TEXT(($D252-$C252+1)+4,"00"),"")&amp;IF($C252&gt;=6,", "&amp;$A252&amp;"-"&amp;TEXT(($D252-$C252+1)+5,"00"),"")&amp;IF($C252&gt;=7,", "&amp;$A252&amp;"-"&amp;TEXT(($D252-$C252+1)+6,"00"),"")&amp;IF($C252&gt;=8,", "&amp;$A252&amp;"-"&amp;TEXT(($D252-$C252+1)+7,"00"),"")&amp;IF($C252&gt;=9,", "&amp;$A252&amp;"-"&amp;TEXT(($D252-$C252+1)+8,"00"),"")&amp;IF($C252&gt;=10,", "&amp;$A252&amp;"-"&amp;TEXT(($D252-$C252+1)+9,"00"),"")&amp;IF($C252&gt;=11,", "&amp;$A252&amp;"-"&amp;TEXT(($D252-$C252+1)+10,"00"),"")&amp;IF($C252&gt;=12,", "&amp;$A252&amp;"-"&amp;TEXT(($D252-$C252+1)+11,"00"),"")&amp;IF($C252&gt;=13,", "&amp;$A252&amp;"-"&amp;TEXT(($D252-$C252+1)+12,"00"),"")&amp;IF($C252&gt;=14,", "&amp;$A252&amp;"-"&amp;TEXT(($D252-$C252+1)+13,"00"),"")&amp;IF($C252&gt;=15,", "&amp;$A252&amp;"-"&amp;TEXT(($D252-$C252+1)+14,"00"),"")&amp;IF($C252&gt;=16,", "&amp;$A252&amp;"-"&amp;TEXT(($D252-$C252+1)+15,"00"),"")&amp;IF($C252&gt;=17,", "&amp;$A252&amp;"-"&amp;TEXT(($D252-$C252+1)+16,"00"),"")&amp;IF($C252&gt;=18,", "&amp;$A252&amp;"-"&amp;TEXT(($D252-$C252+1)+17,"00"),"")&amp;IF($C252&gt;=19,", "&amp;$A252&amp;"-"&amp;TEXT(($D252-$C252+1)+18,"00"),"")&amp;IF($C252&gt;=20,", "&amp;$A252&amp;"-"&amp;TEXT(($D252-$C252+1)+19,"00"),"")&amp;IF($C252&gt;=21,", "&amp;$A252&amp;"-"&amp;TEXT(($D252-$C252+1)+20,"00"),"")&amp;IF($C252&gt;=22,", "&amp;$A252&amp;"-"&amp;TEXT(($D252-$C252+1)+21,"00"),"")&amp;IF($C252&gt;=23,", "&amp;$A252&amp;"-"&amp;TEXT(($D252-$C252+1)+22,"00"),"")&amp;IF($C252&gt;=24,", "&amp;$A252&amp;"-"&amp;TEXT(($D252-$C252+1)+23,"00"),"")&amp;IF($C252&gt;=25,", "&amp;$A252&amp;"-"&amp;TEXT(($D252-$C252+1)+24,"00"),""))</f>
        <v/>
      </c>
      <c r="G252">
        <f>IF($A252="","",IF($E252=1,$F252,IF($F252="",$G251,IF($G251="",$F252,$G251&amp;", "&amp;$F252))))</f>
        <v/>
      </c>
      <c r="H252">
        <f>IF($A252="","",$A252&amp;" ("&amp;$C252&amp;")")</f>
        <v/>
      </c>
      <c r="I252">
        <f>IF($A252="","",IF($E252=1,$H252,$I251&amp;", "&amp;$H252))</f>
        <v/>
      </c>
      <c r="J252">
        <f>IF($A252="","",IF($E252=1,$B252,""))</f>
        <v/>
      </c>
      <c r="K252">
        <f>IF($A252="","",IF(COUNTIF($B$2:$B252,$B252)=COUNTIF($B$2:$B$1601,$B252),$B252,""))</f>
        <v/>
      </c>
    </row>
    <row r="253">
      <c r="A253">
        <f>IF('TMP Paste'!$E253="","",'TMP Paste'!$E253)</f>
        <v/>
      </c>
      <c r="B253">
        <f>IF($A253="","",COUNTIF('TMP Paste'!$B$2:$B253,"?*"))</f>
        <v/>
      </c>
      <c r="C253">
        <f>IF($A253="","",IFERROR('TMP Paste'!$M253*1,0))</f>
        <v/>
      </c>
      <c r="D253">
        <f>IF($A253="","",SUMIF($B$2:$B253,$B253,$C$2:$C253))</f>
        <v/>
      </c>
      <c r="E253">
        <f>IF($A253="",0,IF('TMP Paste'!$B253="",0,1))</f>
        <v/>
      </c>
      <c r="F253">
        <f>IF(OR($A253="",$C253&lt;1),"",$A253&amp;"-"&amp;TEXT(($D253-$C253+1),"00")&amp;IF($C253&gt;=2,", "&amp;$A253&amp;"-"&amp;TEXT(($D253-$C253+1)+1,"00"),"")&amp;IF($C253&gt;=3,", "&amp;$A253&amp;"-"&amp;TEXT(($D253-$C253+1)+2,"00"),"")&amp;IF($C253&gt;=4,", "&amp;$A253&amp;"-"&amp;TEXT(($D253-$C253+1)+3,"00"),"")&amp;IF($C253&gt;=5,", "&amp;$A253&amp;"-"&amp;TEXT(($D253-$C253+1)+4,"00"),"")&amp;IF($C253&gt;=6,", "&amp;$A253&amp;"-"&amp;TEXT(($D253-$C253+1)+5,"00"),"")&amp;IF($C253&gt;=7,", "&amp;$A253&amp;"-"&amp;TEXT(($D253-$C253+1)+6,"00"),"")&amp;IF($C253&gt;=8,", "&amp;$A253&amp;"-"&amp;TEXT(($D253-$C253+1)+7,"00"),"")&amp;IF($C253&gt;=9,", "&amp;$A253&amp;"-"&amp;TEXT(($D253-$C253+1)+8,"00"),"")&amp;IF($C253&gt;=10,", "&amp;$A253&amp;"-"&amp;TEXT(($D253-$C253+1)+9,"00"),"")&amp;IF($C253&gt;=11,", "&amp;$A253&amp;"-"&amp;TEXT(($D253-$C253+1)+10,"00"),"")&amp;IF($C253&gt;=12,", "&amp;$A253&amp;"-"&amp;TEXT(($D253-$C253+1)+11,"00"),"")&amp;IF($C253&gt;=13,", "&amp;$A253&amp;"-"&amp;TEXT(($D253-$C253+1)+12,"00"),"")&amp;IF($C253&gt;=14,", "&amp;$A253&amp;"-"&amp;TEXT(($D253-$C253+1)+13,"00"),"")&amp;IF($C253&gt;=15,", "&amp;$A253&amp;"-"&amp;TEXT(($D253-$C253+1)+14,"00"),"")&amp;IF($C253&gt;=16,", "&amp;$A253&amp;"-"&amp;TEXT(($D253-$C253+1)+15,"00"),"")&amp;IF($C253&gt;=17,", "&amp;$A253&amp;"-"&amp;TEXT(($D253-$C253+1)+16,"00"),"")&amp;IF($C253&gt;=18,", "&amp;$A253&amp;"-"&amp;TEXT(($D253-$C253+1)+17,"00"),"")&amp;IF($C253&gt;=19,", "&amp;$A253&amp;"-"&amp;TEXT(($D253-$C253+1)+18,"00"),"")&amp;IF($C253&gt;=20,", "&amp;$A253&amp;"-"&amp;TEXT(($D253-$C253+1)+19,"00"),"")&amp;IF($C253&gt;=21,", "&amp;$A253&amp;"-"&amp;TEXT(($D253-$C253+1)+20,"00"),"")&amp;IF($C253&gt;=22,", "&amp;$A253&amp;"-"&amp;TEXT(($D253-$C253+1)+21,"00"),"")&amp;IF($C253&gt;=23,", "&amp;$A253&amp;"-"&amp;TEXT(($D253-$C253+1)+22,"00"),"")&amp;IF($C253&gt;=24,", "&amp;$A253&amp;"-"&amp;TEXT(($D253-$C253+1)+23,"00"),"")&amp;IF($C253&gt;=25,", "&amp;$A253&amp;"-"&amp;TEXT(($D253-$C253+1)+24,"00"),""))</f>
        <v/>
      </c>
      <c r="G253">
        <f>IF($A253="","",IF($E253=1,$F253,IF($F253="",$G252,IF($G252="",$F253,$G252&amp;", "&amp;$F253))))</f>
        <v/>
      </c>
      <c r="H253">
        <f>IF($A253="","",$A253&amp;" ("&amp;$C253&amp;")")</f>
        <v/>
      </c>
      <c r="I253">
        <f>IF($A253="","",IF($E253=1,$H253,$I252&amp;", "&amp;$H253))</f>
        <v/>
      </c>
      <c r="J253">
        <f>IF($A253="","",IF($E253=1,$B253,""))</f>
        <v/>
      </c>
      <c r="K253">
        <f>IF($A253="","",IF(COUNTIF($B$2:$B253,$B253)=COUNTIF($B$2:$B$1601,$B253),$B253,""))</f>
        <v/>
      </c>
    </row>
    <row r="254">
      <c r="A254">
        <f>IF('TMP Paste'!$E254="","",'TMP Paste'!$E254)</f>
        <v/>
      </c>
      <c r="B254">
        <f>IF($A254="","",COUNTIF('TMP Paste'!$B$2:$B254,"?*"))</f>
        <v/>
      </c>
      <c r="C254">
        <f>IF($A254="","",IFERROR('TMP Paste'!$M254*1,0))</f>
        <v/>
      </c>
      <c r="D254">
        <f>IF($A254="","",SUMIF($B$2:$B254,$B254,$C$2:$C254))</f>
        <v/>
      </c>
      <c r="E254">
        <f>IF($A254="",0,IF('TMP Paste'!$B254="",0,1))</f>
        <v/>
      </c>
      <c r="F254">
        <f>IF(OR($A254="",$C254&lt;1),"",$A254&amp;"-"&amp;TEXT(($D254-$C254+1),"00")&amp;IF($C254&gt;=2,", "&amp;$A254&amp;"-"&amp;TEXT(($D254-$C254+1)+1,"00"),"")&amp;IF($C254&gt;=3,", "&amp;$A254&amp;"-"&amp;TEXT(($D254-$C254+1)+2,"00"),"")&amp;IF($C254&gt;=4,", "&amp;$A254&amp;"-"&amp;TEXT(($D254-$C254+1)+3,"00"),"")&amp;IF($C254&gt;=5,", "&amp;$A254&amp;"-"&amp;TEXT(($D254-$C254+1)+4,"00"),"")&amp;IF($C254&gt;=6,", "&amp;$A254&amp;"-"&amp;TEXT(($D254-$C254+1)+5,"00"),"")&amp;IF($C254&gt;=7,", "&amp;$A254&amp;"-"&amp;TEXT(($D254-$C254+1)+6,"00"),"")&amp;IF($C254&gt;=8,", "&amp;$A254&amp;"-"&amp;TEXT(($D254-$C254+1)+7,"00"),"")&amp;IF($C254&gt;=9,", "&amp;$A254&amp;"-"&amp;TEXT(($D254-$C254+1)+8,"00"),"")&amp;IF($C254&gt;=10,", "&amp;$A254&amp;"-"&amp;TEXT(($D254-$C254+1)+9,"00"),"")&amp;IF($C254&gt;=11,", "&amp;$A254&amp;"-"&amp;TEXT(($D254-$C254+1)+10,"00"),"")&amp;IF($C254&gt;=12,", "&amp;$A254&amp;"-"&amp;TEXT(($D254-$C254+1)+11,"00"),"")&amp;IF($C254&gt;=13,", "&amp;$A254&amp;"-"&amp;TEXT(($D254-$C254+1)+12,"00"),"")&amp;IF($C254&gt;=14,", "&amp;$A254&amp;"-"&amp;TEXT(($D254-$C254+1)+13,"00"),"")&amp;IF($C254&gt;=15,", "&amp;$A254&amp;"-"&amp;TEXT(($D254-$C254+1)+14,"00"),"")&amp;IF($C254&gt;=16,", "&amp;$A254&amp;"-"&amp;TEXT(($D254-$C254+1)+15,"00"),"")&amp;IF($C254&gt;=17,", "&amp;$A254&amp;"-"&amp;TEXT(($D254-$C254+1)+16,"00"),"")&amp;IF($C254&gt;=18,", "&amp;$A254&amp;"-"&amp;TEXT(($D254-$C254+1)+17,"00"),"")&amp;IF($C254&gt;=19,", "&amp;$A254&amp;"-"&amp;TEXT(($D254-$C254+1)+18,"00"),"")&amp;IF($C254&gt;=20,", "&amp;$A254&amp;"-"&amp;TEXT(($D254-$C254+1)+19,"00"),"")&amp;IF($C254&gt;=21,", "&amp;$A254&amp;"-"&amp;TEXT(($D254-$C254+1)+20,"00"),"")&amp;IF($C254&gt;=22,", "&amp;$A254&amp;"-"&amp;TEXT(($D254-$C254+1)+21,"00"),"")&amp;IF($C254&gt;=23,", "&amp;$A254&amp;"-"&amp;TEXT(($D254-$C254+1)+22,"00"),"")&amp;IF($C254&gt;=24,", "&amp;$A254&amp;"-"&amp;TEXT(($D254-$C254+1)+23,"00"),"")&amp;IF($C254&gt;=25,", "&amp;$A254&amp;"-"&amp;TEXT(($D254-$C254+1)+24,"00"),""))</f>
        <v/>
      </c>
      <c r="G254">
        <f>IF($A254="","",IF($E254=1,$F254,IF($F254="",$G253,IF($G253="",$F254,$G253&amp;", "&amp;$F254))))</f>
        <v/>
      </c>
      <c r="H254">
        <f>IF($A254="","",$A254&amp;" ("&amp;$C254&amp;")")</f>
        <v/>
      </c>
      <c r="I254">
        <f>IF($A254="","",IF($E254=1,$H254,$I253&amp;", "&amp;$H254))</f>
        <v/>
      </c>
      <c r="J254">
        <f>IF($A254="","",IF($E254=1,$B254,""))</f>
        <v/>
      </c>
      <c r="K254">
        <f>IF($A254="","",IF(COUNTIF($B$2:$B254,$B254)=COUNTIF($B$2:$B$1601,$B254),$B254,""))</f>
        <v/>
      </c>
    </row>
    <row r="255">
      <c r="A255">
        <f>IF('TMP Paste'!$E255="","",'TMP Paste'!$E255)</f>
        <v/>
      </c>
      <c r="B255">
        <f>IF($A255="","",COUNTIF('TMP Paste'!$B$2:$B255,"?*"))</f>
        <v/>
      </c>
      <c r="C255">
        <f>IF($A255="","",IFERROR('TMP Paste'!$M255*1,0))</f>
        <v/>
      </c>
      <c r="D255">
        <f>IF($A255="","",SUMIF($B$2:$B255,$B255,$C$2:$C255))</f>
        <v/>
      </c>
      <c r="E255">
        <f>IF($A255="",0,IF('TMP Paste'!$B255="",0,1))</f>
        <v/>
      </c>
      <c r="F255">
        <f>IF(OR($A255="",$C255&lt;1),"",$A255&amp;"-"&amp;TEXT(($D255-$C255+1),"00")&amp;IF($C255&gt;=2,", "&amp;$A255&amp;"-"&amp;TEXT(($D255-$C255+1)+1,"00"),"")&amp;IF($C255&gt;=3,", "&amp;$A255&amp;"-"&amp;TEXT(($D255-$C255+1)+2,"00"),"")&amp;IF($C255&gt;=4,", "&amp;$A255&amp;"-"&amp;TEXT(($D255-$C255+1)+3,"00"),"")&amp;IF($C255&gt;=5,", "&amp;$A255&amp;"-"&amp;TEXT(($D255-$C255+1)+4,"00"),"")&amp;IF($C255&gt;=6,", "&amp;$A255&amp;"-"&amp;TEXT(($D255-$C255+1)+5,"00"),"")&amp;IF($C255&gt;=7,", "&amp;$A255&amp;"-"&amp;TEXT(($D255-$C255+1)+6,"00"),"")&amp;IF($C255&gt;=8,", "&amp;$A255&amp;"-"&amp;TEXT(($D255-$C255+1)+7,"00"),"")&amp;IF($C255&gt;=9,", "&amp;$A255&amp;"-"&amp;TEXT(($D255-$C255+1)+8,"00"),"")&amp;IF($C255&gt;=10,", "&amp;$A255&amp;"-"&amp;TEXT(($D255-$C255+1)+9,"00"),"")&amp;IF($C255&gt;=11,", "&amp;$A255&amp;"-"&amp;TEXT(($D255-$C255+1)+10,"00"),"")&amp;IF($C255&gt;=12,", "&amp;$A255&amp;"-"&amp;TEXT(($D255-$C255+1)+11,"00"),"")&amp;IF($C255&gt;=13,", "&amp;$A255&amp;"-"&amp;TEXT(($D255-$C255+1)+12,"00"),"")&amp;IF($C255&gt;=14,", "&amp;$A255&amp;"-"&amp;TEXT(($D255-$C255+1)+13,"00"),"")&amp;IF($C255&gt;=15,", "&amp;$A255&amp;"-"&amp;TEXT(($D255-$C255+1)+14,"00"),"")&amp;IF($C255&gt;=16,", "&amp;$A255&amp;"-"&amp;TEXT(($D255-$C255+1)+15,"00"),"")&amp;IF($C255&gt;=17,", "&amp;$A255&amp;"-"&amp;TEXT(($D255-$C255+1)+16,"00"),"")&amp;IF($C255&gt;=18,", "&amp;$A255&amp;"-"&amp;TEXT(($D255-$C255+1)+17,"00"),"")&amp;IF($C255&gt;=19,", "&amp;$A255&amp;"-"&amp;TEXT(($D255-$C255+1)+18,"00"),"")&amp;IF($C255&gt;=20,", "&amp;$A255&amp;"-"&amp;TEXT(($D255-$C255+1)+19,"00"),"")&amp;IF($C255&gt;=21,", "&amp;$A255&amp;"-"&amp;TEXT(($D255-$C255+1)+20,"00"),"")&amp;IF($C255&gt;=22,", "&amp;$A255&amp;"-"&amp;TEXT(($D255-$C255+1)+21,"00"),"")&amp;IF($C255&gt;=23,", "&amp;$A255&amp;"-"&amp;TEXT(($D255-$C255+1)+22,"00"),"")&amp;IF($C255&gt;=24,", "&amp;$A255&amp;"-"&amp;TEXT(($D255-$C255+1)+23,"00"),"")&amp;IF($C255&gt;=25,", "&amp;$A255&amp;"-"&amp;TEXT(($D255-$C255+1)+24,"00"),""))</f>
        <v/>
      </c>
      <c r="G255">
        <f>IF($A255="","",IF($E255=1,$F255,IF($F255="",$G254,IF($G254="",$F255,$G254&amp;", "&amp;$F255))))</f>
        <v/>
      </c>
      <c r="H255">
        <f>IF($A255="","",$A255&amp;" ("&amp;$C255&amp;")")</f>
        <v/>
      </c>
      <c r="I255">
        <f>IF($A255="","",IF($E255=1,$H255,$I254&amp;", "&amp;$H255))</f>
        <v/>
      </c>
      <c r="J255">
        <f>IF($A255="","",IF($E255=1,$B255,""))</f>
        <v/>
      </c>
      <c r="K255">
        <f>IF($A255="","",IF(COUNTIF($B$2:$B255,$B255)=COUNTIF($B$2:$B$1601,$B255),$B255,""))</f>
        <v/>
      </c>
    </row>
    <row r="256">
      <c r="A256">
        <f>IF('TMP Paste'!$E256="","",'TMP Paste'!$E256)</f>
        <v/>
      </c>
      <c r="B256">
        <f>IF($A256="","",COUNTIF('TMP Paste'!$B$2:$B256,"?*"))</f>
        <v/>
      </c>
      <c r="C256">
        <f>IF($A256="","",IFERROR('TMP Paste'!$M256*1,0))</f>
        <v/>
      </c>
      <c r="D256">
        <f>IF($A256="","",SUMIF($B$2:$B256,$B256,$C$2:$C256))</f>
        <v/>
      </c>
      <c r="E256">
        <f>IF($A256="",0,IF('TMP Paste'!$B256="",0,1))</f>
        <v/>
      </c>
      <c r="F256">
        <f>IF(OR($A256="",$C256&lt;1),"",$A256&amp;"-"&amp;TEXT(($D256-$C256+1),"00")&amp;IF($C256&gt;=2,", "&amp;$A256&amp;"-"&amp;TEXT(($D256-$C256+1)+1,"00"),"")&amp;IF($C256&gt;=3,", "&amp;$A256&amp;"-"&amp;TEXT(($D256-$C256+1)+2,"00"),"")&amp;IF($C256&gt;=4,", "&amp;$A256&amp;"-"&amp;TEXT(($D256-$C256+1)+3,"00"),"")&amp;IF($C256&gt;=5,", "&amp;$A256&amp;"-"&amp;TEXT(($D256-$C256+1)+4,"00"),"")&amp;IF($C256&gt;=6,", "&amp;$A256&amp;"-"&amp;TEXT(($D256-$C256+1)+5,"00"),"")&amp;IF($C256&gt;=7,", "&amp;$A256&amp;"-"&amp;TEXT(($D256-$C256+1)+6,"00"),"")&amp;IF($C256&gt;=8,", "&amp;$A256&amp;"-"&amp;TEXT(($D256-$C256+1)+7,"00"),"")&amp;IF($C256&gt;=9,", "&amp;$A256&amp;"-"&amp;TEXT(($D256-$C256+1)+8,"00"),"")&amp;IF($C256&gt;=10,", "&amp;$A256&amp;"-"&amp;TEXT(($D256-$C256+1)+9,"00"),"")&amp;IF($C256&gt;=11,", "&amp;$A256&amp;"-"&amp;TEXT(($D256-$C256+1)+10,"00"),"")&amp;IF($C256&gt;=12,", "&amp;$A256&amp;"-"&amp;TEXT(($D256-$C256+1)+11,"00"),"")&amp;IF($C256&gt;=13,", "&amp;$A256&amp;"-"&amp;TEXT(($D256-$C256+1)+12,"00"),"")&amp;IF($C256&gt;=14,", "&amp;$A256&amp;"-"&amp;TEXT(($D256-$C256+1)+13,"00"),"")&amp;IF($C256&gt;=15,", "&amp;$A256&amp;"-"&amp;TEXT(($D256-$C256+1)+14,"00"),"")&amp;IF($C256&gt;=16,", "&amp;$A256&amp;"-"&amp;TEXT(($D256-$C256+1)+15,"00"),"")&amp;IF($C256&gt;=17,", "&amp;$A256&amp;"-"&amp;TEXT(($D256-$C256+1)+16,"00"),"")&amp;IF($C256&gt;=18,", "&amp;$A256&amp;"-"&amp;TEXT(($D256-$C256+1)+17,"00"),"")&amp;IF($C256&gt;=19,", "&amp;$A256&amp;"-"&amp;TEXT(($D256-$C256+1)+18,"00"),"")&amp;IF($C256&gt;=20,", "&amp;$A256&amp;"-"&amp;TEXT(($D256-$C256+1)+19,"00"),"")&amp;IF($C256&gt;=21,", "&amp;$A256&amp;"-"&amp;TEXT(($D256-$C256+1)+20,"00"),"")&amp;IF($C256&gt;=22,", "&amp;$A256&amp;"-"&amp;TEXT(($D256-$C256+1)+21,"00"),"")&amp;IF($C256&gt;=23,", "&amp;$A256&amp;"-"&amp;TEXT(($D256-$C256+1)+22,"00"),"")&amp;IF($C256&gt;=24,", "&amp;$A256&amp;"-"&amp;TEXT(($D256-$C256+1)+23,"00"),"")&amp;IF($C256&gt;=25,", "&amp;$A256&amp;"-"&amp;TEXT(($D256-$C256+1)+24,"00"),""))</f>
        <v/>
      </c>
      <c r="G256">
        <f>IF($A256="","",IF($E256=1,$F256,IF($F256="",$G255,IF($G255="",$F256,$G255&amp;", "&amp;$F256))))</f>
        <v/>
      </c>
      <c r="H256">
        <f>IF($A256="","",$A256&amp;" ("&amp;$C256&amp;")")</f>
        <v/>
      </c>
      <c r="I256">
        <f>IF($A256="","",IF($E256=1,$H256,$I255&amp;", "&amp;$H256))</f>
        <v/>
      </c>
      <c r="J256">
        <f>IF($A256="","",IF($E256=1,$B256,""))</f>
        <v/>
      </c>
      <c r="K256">
        <f>IF($A256="","",IF(COUNTIF($B$2:$B256,$B256)=COUNTIF($B$2:$B$1601,$B256),$B256,""))</f>
        <v/>
      </c>
    </row>
    <row r="257">
      <c r="A257">
        <f>IF('TMP Paste'!$E257="","",'TMP Paste'!$E257)</f>
        <v/>
      </c>
      <c r="B257">
        <f>IF($A257="","",COUNTIF('TMP Paste'!$B$2:$B257,"?*"))</f>
        <v/>
      </c>
      <c r="C257">
        <f>IF($A257="","",IFERROR('TMP Paste'!$M257*1,0))</f>
        <v/>
      </c>
      <c r="D257">
        <f>IF($A257="","",SUMIF($B$2:$B257,$B257,$C$2:$C257))</f>
        <v/>
      </c>
      <c r="E257">
        <f>IF($A257="",0,IF('TMP Paste'!$B257="",0,1))</f>
        <v/>
      </c>
      <c r="F257">
        <f>IF(OR($A257="",$C257&lt;1),"",$A257&amp;"-"&amp;TEXT(($D257-$C257+1),"00")&amp;IF($C257&gt;=2,", "&amp;$A257&amp;"-"&amp;TEXT(($D257-$C257+1)+1,"00"),"")&amp;IF($C257&gt;=3,", "&amp;$A257&amp;"-"&amp;TEXT(($D257-$C257+1)+2,"00"),"")&amp;IF($C257&gt;=4,", "&amp;$A257&amp;"-"&amp;TEXT(($D257-$C257+1)+3,"00"),"")&amp;IF($C257&gt;=5,", "&amp;$A257&amp;"-"&amp;TEXT(($D257-$C257+1)+4,"00"),"")&amp;IF($C257&gt;=6,", "&amp;$A257&amp;"-"&amp;TEXT(($D257-$C257+1)+5,"00"),"")&amp;IF($C257&gt;=7,", "&amp;$A257&amp;"-"&amp;TEXT(($D257-$C257+1)+6,"00"),"")&amp;IF($C257&gt;=8,", "&amp;$A257&amp;"-"&amp;TEXT(($D257-$C257+1)+7,"00"),"")&amp;IF($C257&gt;=9,", "&amp;$A257&amp;"-"&amp;TEXT(($D257-$C257+1)+8,"00"),"")&amp;IF($C257&gt;=10,", "&amp;$A257&amp;"-"&amp;TEXT(($D257-$C257+1)+9,"00"),"")&amp;IF($C257&gt;=11,", "&amp;$A257&amp;"-"&amp;TEXT(($D257-$C257+1)+10,"00"),"")&amp;IF($C257&gt;=12,", "&amp;$A257&amp;"-"&amp;TEXT(($D257-$C257+1)+11,"00"),"")&amp;IF($C257&gt;=13,", "&amp;$A257&amp;"-"&amp;TEXT(($D257-$C257+1)+12,"00"),"")&amp;IF($C257&gt;=14,", "&amp;$A257&amp;"-"&amp;TEXT(($D257-$C257+1)+13,"00"),"")&amp;IF($C257&gt;=15,", "&amp;$A257&amp;"-"&amp;TEXT(($D257-$C257+1)+14,"00"),"")&amp;IF($C257&gt;=16,", "&amp;$A257&amp;"-"&amp;TEXT(($D257-$C257+1)+15,"00"),"")&amp;IF($C257&gt;=17,", "&amp;$A257&amp;"-"&amp;TEXT(($D257-$C257+1)+16,"00"),"")&amp;IF($C257&gt;=18,", "&amp;$A257&amp;"-"&amp;TEXT(($D257-$C257+1)+17,"00"),"")&amp;IF($C257&gt;=19,", "&amp;$A257&amp;"-"&amp;TEXT(($D257-$C257+1)+18,"00"),"")&amp;IF($C257&gt;=20,", "&amp;$A257&amp;"-"&amp;TEXT(($D257-$C257+1)+19,"00"),"")&amp;IF($C257&gt;=21,", "&amp;$A257&amp;"-"&amp;TEXT(($D257-$C257+1)+20,"00"),"")&amp;IF($C257&gt;=22,", "&amp;$A257&amp;"-"&amp;TEXT(($D257-$C257+1)+21,"00"),"")&amp;IF($C257&gt;=23,", "&amp;$A257&amp;"-"&amp;TEXT(($D257-$C257+1)+22,"00"),"")&amp;IF($C257&gt;=24,", "&amp;$A257&amp;"-"&amp;TEXT(($D257-$C257+1)+23,"00"),"")&amp;IF($C257&gt;=25,", "&amp;$A257&amp;"-"&amp;TEXT(($D257-$C257+1)+24,"00"),""))</f>
        <v/>
      </c>
      <c r="G257">
        <f>IF($A257="","",IF($E257=1,$F257,IF($F257="",$G256,IF($G256="",$F257,$G256&amp;", "&amp;$F257))))</f>
        <v/>
      </c>
      <c r="H257">
        <f>IF($A257="","",$A257&amp;" ("&amp;$C257&amp;")")</f>
        <v/>
      </c>
      <c r="I257">
        <f>IF($A257="","",IF($E257=1,$H257,$I256&amp;", "&amp;$H257))</f>
        <v/>
      </c>
      <c r="J257">
        <f>IF($A257="","",IF($E257=1,$B257,""))</f>
        <v/>
      </c>
      <c r="K257">
        <f>IF($A257="","",IF(COUNTIF($B$2:$B257,$B257)=COUNTIF($B$2:$B$1601,$B257),$B257,""))</f>
        <v/>
      </c>
    </row>
    <row r="258">
      <c r="A258">
        <f>IF('TMP Paste'!$E258="","",'TMP Paste'!$E258)</f>
        <v/>
      </c>
      <c r="B258">
        <f>IF($A258="","",COUNTIF('TMP Paste'!$B$2:$B258,"?*"))</f>
        <v/>
      </c>
      <c r="C258">
        <f>IF($A258="","",IFERROR('TMP Paste'!$M258*1,0))</f>
        <v/>
      </c>
      <c r="D258">
        <f>IF($A258="","",SUMIF($B$2:$B258,$B258,$C$2:$C258))</f>
        <v/>
      </c>
      <c r="E258">
        <f>IF($A258="",0,IF('TMP Paste'!$B258="",0,1))</f>
        <v/>
      </c>
      <c r="F258">
        <f>IF(OR($A258="",$C258&lt;1),"",$A258&amp;"-"&amp;TEXT(($D258-$C258+1),"00")&amp;IF($C258&gt;=2,", "&amp;$A258&amp;"-"&amp;TEXT(($D258-$C258+1)+1,"00"),"")&amp;IF($C258&gt;=3,", "&amp;$A258&amp;"-"&amp;TEXT(($D258-$C258+1)+2,"00"),"")&amp;IF($C258&gt;=4,", "&amp;$A258&amp;"-"&amp;TEXT(($D258-$C258+1)+3,"00"),"")&amp;IF($C258&gt;=5,", "&amp;$A258&amp;"-"&amp;TEXT(($D258-$C258+1)+4,"00"),"")&amp;IF($C258&gt;=6,", "&amp;$A258&amp;"-"&amp;TEXT(($D258-$C258+1)+5,"00"),"")&amp;IF($C258&gt;=7,", "&amp;$A258&amp;"-"&amp;TEXT(($D258-$C258+1)+6,"00"),"")&amp;IF($C258&gt;=8,", "&amp;$A258&amp;"-"&amp;TEXT(($D258-$C258+1)+7,"00"),"")&amp;IF($C258&gt;=9,", "&amp;$A258&amp;"-"&amp;TEXT(($D258-$C258+1)+8,"00"),"")&amp;IF($C258&gt;=10,", "&amp;$A258&amp;"-"&amp;TEXT(($D258-$C258+1)+9,"00"),"")&amp;IF($C258&gt;=11,", "&amp;$A258&amp;"-"&amp;TEXT(($D258-$C258+1)+10,"00"),"")&amp;IF($C258&gt;=12,", "&amp;$A258&amp;"-"&amp;TEXT(($D258-$C258+1)+11,"00"),"")&amp;IF($C258&gt;=13,", "&amp;$A258&amp;"-"&amp;TEXT(($D258-$C258+1)+12,"00"),"")&amp;IF($C258&gt;=14,", "&amp;$A258&amp;"-"&amp;TEXT(($D258-$C258+1)+13,"00"),"")&amp;IF($C258&gt;=15,", "&amp;$A258&amp;"-"&amp;TEXT(($D258-$C258+1)+14,"00"),"")&amp;IF($C258&gt;=16,", "&amp;$A258&amp;"-"&amp;TEXT(($D258-$C258+1)+15,"00"),"")&amp;IF($C258&gt;=17,", "&amp;$A258&amp;"-"&amp;TEXT(($D258-$C258+1)+16,"00"),"")&amp;IF($C258&gt;=18,", "&amp;$A258&amp;"-"&amp;TEXT(($D258-$C258+1)+17,"00"),"")&amp;IF($C258&gt;=19,", "&amp;$A258&amp;"-"&amp;TEXT(($D258-$C258+1)+18,"00"),"")&amp;IF($C258&gt;=20,", "&amp;$A258&amp;"-"&amp;TEXT(($D258-$C258+1)+19,"00"),"")&amp;IF($C258&gt;=21,", "&amp;$A258&amp;"-"&amp;TEXT(($D258-$C258+1)+20,"00"),"")&amp;IF($C258&gt;=22,", "&amp;$A258&amp;"-"&amp;TEXT(($D258-$C258+1)+21,"00"),"")&amp;IF($C258&gt;=23,", "&amp;$A258&amp;"-"&amp;TEXT(($D258-$C258+1)+22,"00"),"")&amp;IF($C258&gt;=24,", "&amp;$A258&amp;"-"&amp;TEXT(($D258-$C258+1)+23,"00"),"")&amp;IF($C258&gt;=25,", "&amp;$A258&amp;"-"&amp;TEXT(($D258-$C258+1)+24,"00"),""))</f>
        <v/>
      </c>
      <c r="G258">
        <f>IF($A258="","",IF($E258=1,$F258,IF($F258="",$G257,IF($G257="",$F258,$G257&amp;", "&amp;$F258))))</f>
        <v/>
      </c>
      <c r="H258">
        <f>IF($A258="","",$A258&amp;" ("&amp;$C258&amp;")")</f>
        <v/>
      </c>
      <c r="I258">
        <f>IF($A258="","",IF($E258=1,$H258,$I257&amp;", "&amp;$H258))</f>
        <v/>
      </c>
      <c r="J258">
        <f>IF($A258="","",IF($E258=1,$B258,""))</f>
        <v/>
      </c>
      <c r="K258">
        <f>IF($A258="","",IF(COUNTIF($B$2:$B258,$B258)=COUNTIF($B$2:$B$1601,$B258),$B258,""))</f>
        <v/>
      </c>
    </row>
    <row r="259">
      <c r="A259">
        <f>IF('TMP Paste'!$E259="","",'TMP Paste'!$E259)</f>
        <v/>
      </c>
      <c r="B259">
        <f>IF($A259="","",COUNTIF('TMP Paste'!$B$2:$B259,"?*"))</f>
        <v/>
      </c>
      <c r="C259">
        <f>IF($A259="","",IFERROR('TMP Paste'!$M259*1,0))</f>
        <v/>
      </c>
      <c r="D259">
        <f>IF($A259="","",SUMIF($B$2:$B259,$B259,$C$2:$C259))</f>
        <v/>
      </c>
      <c r="E259">
        <f>IF($A259="",0,IF('TMP Paste'!$B259="",0,1))</f>
        <v/>
      </c>
      <c r="F259">
        <f>IF(OR($A259="",$C259&lt;1),"",$A259&amp;"-"&amp;TEXT(($D259-$C259+1),"00")&amp;IF($C259&gt;=2,", "&amp;$A259&amp;"-"&amp;TEXT(($D259-$C259+1)+1,"00"),"")&amp;IF($C259&gt;=3,", "&amp;$A259&amp;"-"&amp;TEXT(($D259-$C259+1)+2,"00"),"")&amp;IF($C259&gt;=4,", "&amp;$A259&amp;"-"&amp;TEXT(($D259-$C259+1)+3,"00"),"")&amp;IF($C259&gt;=5,", "&amp;$A259&amp;"-"&amp;TEXT(($D259-$C259+1)+4,"00"),"")&amp;IF($C259&gt;=6,", "&amp;$A259&amp;"-"&amp;TEXT(($D259-$C259+1)+5,"00"),"")&amp;IF($C259&gt;=7,", "&amp;$A259&amp;"-"&amp;TEXT(($D259-$C259+1)+6,"00"),"")&amp;IF($C259&gt;=8,", "&amp;$A259&amp;"-"&amp;TEXT(($D259-$C259+1)+7,"00"),"")&amp;IF($C259&gt;=9,", "&amp;$A259&amp;"-"&amp;TEXT(($D259-$C259+1)+8,"00"),"")&amp;IF($C259&gt;=10,", "&amp;$A259&amp;"-"&amp;TEXT(($D259-$C259+1)+9,"00"),"")&amp;IF($C259&gt;=11,", "&amp;$A259&amp;"-"&amp;TEXT(($D259-$C259+1)+10,"00"),"")&amp;IF($C259&gt;=12,", "&amp;$A259&amp;"-"&amp;TEXT(($D259-$C259+1)+11,"00"),"")&amp;IF($C259&gt;=13,", "&amp;$A259&amp;"-"&amp;TEXT(($D259-$C259+1)+12,"00"),"")&amp;IF($C259&gt;=14,", "&amp;$A259&amp;"-"&amp;TEXT(($D259-$C259+1)+13,"00"),"")&amp;IF($C259&gt;=15,", "&amp;$A259&amp;"-"&amp;TEXT(($D259-$C259+1)+14,"00"),"")&amp;IF($C259&gt;=16,", "&amp;$A259&amp;"-"&amp;TEXT(($D259-$C259+1)+15,"00"),"")&amp;IF($C259&gt;=17,", "&amp;$A259&amp;"-"&amp;TEXT(($D259-$C259+1)+16,"00"),"")&amp;IF($C259&gt;=18,", "&amp;$A259&amp;"-"&amp;TEXT(($D259-$C259+1)+17,"00"),"")&amp;IF($C259&gt;=19,", "&amp;$A259&amp;"-"&amp;TEXT(($D259-$C259+1)+18,"00"),"")&amp;IF($C259&gt;=20,", "&amp;$A259&amp;"-"&amp;TEXT(($D259-$C259+1)+19,"00"),"")&amp;IF($C259&gt;=21,", "&amp;$A259&amp;"-"&amp;TEXT(($D259-$C259+1)+20,"00"),"")&amp;IF($C259&gt;=22,", "&amp;$A259&amp;"-"&amp;TEXT(($D259-$C259+1)+21,"00"),"")&amp;IF($C259&gt;=23,", "&amp;$A259&amp;"-"&amp;TEXT(($D259-$C259+1)+22,"00"),"")&amp;IF($C259&gt;=24,", "&amp;$A259&amp;"-"&amp;TEXT(($D259-$C259+1)+23,"00"),"")&amp;IF($C259&gt;=25,", "&amp;$A259&amp;"-"&amp;TEXT(($D259-$C259+1)+24,"00"),""))</f>
        <v/>
      </c>
      <c r="G259">
        <f>IF($A259="","",IF($E259=1,$F259,IF($F259="",$G258,IF($G258="",$F259,$G258&amp;", "&amp;$F259))))</f>
        <v/>
      </c>
      <c r="H259">
        <f>IF($A259="","",$A259&amp;" ("&amp;$C259&amp;")")</f>
        <v/>
      </c>
      <c r="I259">
        <f>IF($A259="","",IF($E259=1,$H259,$I258&amp;", "&amp;$H259))</f>
        <v/>
      </c>
      <c r="J259">
        <f>IF($A259="","",IF($E259=1,$B259,""))</f>
        <v/>
      </c>
      <c r="K259">
        <f>IF($A259="","",IF(COUNTIF($B$2:$B259,$B259)=COUNTIF($B$2:$B$1601,$B259),$B259,""))</f>
        <v/>
      </c>
    </row>
    <row r="260">
      <c r="A260">
        <f>IF('TMP Paste'!$E260="","",'TMP Paste'!$E260)</f>
        <v/>
      </c>
      <c r="B260">
        <f>IF($A260="","",COUNTIF('TMP Paste'!$B$2:$B260,"?*"))</f>
        <v/>
      </c>
      <c r="C260">
        <f>IF($A260="","",IFERROR('TMP Paste'!$M260*1,0))</f>
        <v/>
      </c>
      <c r="D260">
        <f>IF($A260="","",SUMIF($B$2:$B260,$B260,$C$2:$C260))</f>
        <v/>
      </c>
      <c r="E260">
        <f>IF($A260="",0,IF('TMP Paste'!$B260="",0,1))</f>
        <v/>
      </c>
      <c r="F260">
        <f>IF(OR($A260="",$C260&lt;1),"",$A260&amp;"-"&amp;TEXT(($D260-$C260+1),"00")&amp;IF($C260&gt;=2,", "&amp;$A260&amp;"-"&amp;TEXT(($D260-$C260+1)+1,"00"),"")&amp;IF($C260&gt;=3,", "&amp;$A260&amp;"-"&amp;TEXT(($D260-$C260+1)+2,"00"),"")&amp;IF($C260&gt;=4,", "&amp;$A260&amp;"-"&amp;TEXT(($D260-$C260+1)+3,"00"),"")&amp;IF($C260&gt;=5,", "&amp;$A260&amp;"-"&amp;TEXT(($D260-$C260+1)+4,"00"),"")&amp;IF($C260&gt;=6,", "&amp;$A260&amp;"-"&amp;TEXT(($D260-$C260+1)+5,"00"),"")&amp;IF($C260&gt;=7,", "&amp;$A260&amp;"-"&amp;TEXT(($D260-$C260+1)+6,"00"),"")&amp;IF($C260&gt;=8,", "&amp;$A260&amp;"-"&amp;TEXT(($D260-$C260+1)+7,"00"),"")&amp;IF($C260&gt;=9,", "&amp;$A260&amp;"-"&amp;TEXT(($D260-$C260+1)+8,"00"),"")&amp;IF($C260&gt;=10,", "&amp;$A260&amp;"-"&amp;TEXT(($D260-$C260+1)+9,"00"),"")&amp;IF($C260&gt;=11,", "&amp;$A260&amp;"-"&amp;TEXT(($D260-$C260+1)+10,"00"),"")&amp;IF($C260&gt;=12,", "&amp;$A260&amp;"-"&amp;TEXT(($D260-$C260+1)+11,"00"),"")&amp;IF($C260&gt;=13,", "&amp;$A260&amp;"-"&amp;TEXT(($D260-$C260+1)+12,"00"),"")&amp;IF($C260&gt;=14,", "&amp;$A260&amp;"-"&amp;TEXT(($D260-$C260+1)+13,"00"),"")&amp;IF($C260&gt;=15,", "&amp;$A260&amp;"-"&amp;TEXT(($D260-$C260+1)+14,"00"),"")&amp;IF($C260&gt;=16,", "&amp;$A260&amp;"-"&amp;TEXT(($D260-$C260+1)+15,"00"),"")&amp;IF($C260&gt;=17,", "&amp;$A260&amp;"-"&amp;TEXT(($D260-$C260+1)+16,"00"),"")&amp;IF($C260&gt;=18,", "&amp;$A260&amp;"-"&amp;TEXT(($D260-$C260+1)+17,"00"),"")&amp;IF($C260&gt;=19,", "&amp;$A260&amp;"-"&amp;TEXT(($D260-$C260+1)+18,"00"),"")&amp;IF($C260&gt;=20,", "&amp;$A260&amp;"-"&amp;TEXT(($D260-$C260+1)+19,"00"),"")&amp;IF($C260&gt;=21,", "&amp;$A260&amp;"-"&amp;TEXT(($D260-$C260+1)+20,"00"),"")&amp;IF($C260&gt;=22,", "&amp;$A260&amp;"-"&amp;TEXT(($D260-$C260+1)+21,"00"),"")&amp;IF($C260&gt;=23,", "&amp;$A260&amp;"-"&amp;TEXT(($D260-$C260+1)+22,"00"),"")&amp;IF($C260&gt;=24,", "&amp;$A260&amp;"-"&amp;TEXT(($D260-$C260+1)+23,"00"),"")&amp;IF($C260&gt;=25,", "&amp;$A260&amp;"-"&amp;TEXT(($D260-$C260+1)+24,"00"),""))</f>
        <v/>
      </c>
      <c r="G260">
        <f>IF($A260="","",IF($E260=1,$F260,IF($F260="",$G259,IF($G259="",$F260,$G259&amp;", "&amp;$F260))))</f>
        <v/>
      </c>
      <c r="H260">
        <f>IF($A260="","",$A260&amp;" ("&amp;$C260&amp;")")</f>
        <v/>
      </c>
      <c r="I260">
        <f>IF($A260="","",IF($E260=1,$H260,$I259&amp;", "&amp;$H260))</f>
        <v/>
      </c>
      <c r="J260">
        <f>IF($A260="","",IF($E260=1,$B260,""))</f>
        <v/>
      </c>
      <c r="K260">
        <f>IF($A260="","",IF(COUNTIF($B$2:$B260,$B260)=COUNTIF($B$2:$B$1601,$B260),$B260,""))</f>
        <v/>
      </c>
    </row>
    <row r="261">
      <c r="A261">
        <f>IF('TMP Paste'!$E261="","",'TMP Paste'!$E261)</f>
        <v/>
      </c>
      <c r="B261">
        <f>IF($A261="","",COUNTIF('TMP Paste'!$B$2:$B261,"?*"))</f>
        <v/>
      </c>
      <c r="C261">
        <f>IF($A261="","",IFERROR('TMP Paste'!$M261*1,0))</f>
        <v/>
      </c>
      <c r="D261">
        <f>IF($A261="","",SUMIF($B$2:$B261,$B261,$C$2:$C261))</f>
        <v/>
      </c>
      <c r="E261">
        <f>IF($A261="",0,IF('TMP Paste'!$B261="",0,1))</f>
        <v/>
      </c>
      <c r="F261">
        <f>IF(OR($A261="",$C261&lt;1),"",$A261&amp;"-"&amp;TEXT(($D261-$C261+1),"00")&amp;IF($C261&gt;=2,", "&amp;$A261&amp;"-"&amp;TEXT(($D261-$C261+1)+1,"00"),"")&amp;IF($C261&gt;=3,", "&amp;$A261&amp;"-"&amp;TEXT(($D261-$C261+1)+2,"00"),"")&amp;IF($C261&gt;=4,", "&amp;$A261&amp;"-"&amp;TEXT(($D261-$C261+1)+3,"00"),"")&amp;IF($C261&gt;=5,", "&amp;$A261&amp;"-"&amp;TEXT(($D261-$C261+1)+4,"00"),"")&amp;IF($C261&gt;=6,", "&amp;$A261&amp;"-"&amp;TEXT(($D261-$C261+1)+5,"00"),"")&amp;IF($C261&gt;=7,", "&amp;$A261&amp;"-"&amp;TEXT(($D261-$C261+1)+6,"00"),"")&amp;IF($C261&gt;=8,", "&amp;$A261&amp;"-"&amp;TEXT(($D261-$C261+1)+7,"00"),"")&amp;IF($C261&gt;=9,", "&amp;$A261&amp;"-"&amp;TEXT(($D261-$C261+1)+8,"00"),"")&amp;IF($C261&gt;=10,", "&amp;$A261&amp;"-"&amp;TEXT(($D261-$C261+1)+9,"00"),"")&amp;IF($C261&gt;=11,", "&amp;$A261&amp;"-"&amp;TEXT(($D261-$C261+1)+10,"00"),"")&amp;IF($C261&gt;=12,", "&amp;$A261&amp;"-"&amp;TEXT(($D261-$C261+1)+11,"00"),"")&amp;IF($C261&gt;=13,", "&amp;$A261&amp;"-"&amp;TEXT(($D261-$C261+1)+12,"00"),"")&amp;IF($C261&gt;=14,", "&amp;$A261&amp;"-"&amp;TEXT(($D261-$C261+1)+13,"00"),"")&amp;IF($C261&gt;=15,", "&amp;$A261&amp;"-"&amp;TEXT(($D261-$C261+1)+14,"00"),"")&amp;IF($C261&gt;=16,", "&amp;$A261&amp;"-"&amp;TEXT(($D261-$C261+1)+15,"00"),"")&amp;IF($C261&gt;=17,", "&amp;$A261&amp;"-"&amp;TEXT(($D261-$C261+1)+16,"00"),"")&amp;IF($C261&gt;=18,", "&amp;$A261&amp;"-"&amp;TEXT(($D261-$C261+1)+17,"00"),"")&amp;IF($C261&gt;=19,", "&amp;$A261&amp;"-"&amp;TEXT(($D261-$C261+1)+18,"00"),"")&amp;IF($C261&gt;=20,", "&amp;$A261&amp;"-"&amp;TEXT(($D261-$C261+1)+19,"00"),"")&amp;IF($C261&gt;=21,", "&amp;$A261&amp;"-"&amp;TEXT(($D261-$C261+1)+20,"00"),"")&amp;IF($C261&gt;=22,", "&amp;$A261&amp;"-"&amp;TEXT(($D261-$C261+1)+21,"00"),"")&amp;IF($C261&gt;=23,", "&amp;$A261&amp;"-"&amp;TEXT(($D261-$C261+1)+22,"00"),"")&amp;IF($C261&gt;=24,", "&amp;$A261&amp;"-"&amp;TEXT(($D261-$C261+1)+23,"00"),"")&amp;IF($C261&gt;=25,", "&amp;$A261&amp;"-"&amp;TEXT(($D261-$C261+1)+24,"00"),""))</f>
        <v/>
      </c>
      <c r="G261">
        <f>IF($A261="","",IF($E261=1,$F261,IF($F261="",$G260,IF($G260="",$F261,$G260&amp;", "&amp;$F261))))</f>
        <v/>
      </c>
      <c r="H261">
        <f>IF($A261="","",$A261&amp;" ("&amp;$C261&amp;")")</f>
        <v/>
      </c>
      <c r="I261">
        <f>IF($A261="","",IF($E261=1,$H261,$I260&amp;", "&amp;$H261))</f>
        <v/>
      </c>
      <c r="J261">
        <f>IF($A261="","",IF($E261=1,$B261,""))</f>
        <v/>
      </c>
      <c r="K261">
        <f>IF($A261="","",IF(COUNTIF($B$2:$B261,$B261)=COUNTIF($B$2:$B$1601,$B261),$B261,""))</f>
        <v/>
      </c>
    </row>
    <row r="262">
      <c r="A262">
        <f>IF('TMP Paste'!$E262="","",'TMP Paste'!$E262)</f>
        <v/>
      </c>
      <c r="B262">
        <f>IF($A262="","",COUNTIF('TMP Paste'!$B$2:$B262,"?*"))</f>
        <v/>
      </c>
      <c r="C262">
        <f>IF($A262="","",IFERROR('TMP Paste'!$M262*1,0))</f>
        <v/>
      </c>
      <c r="D262">
        <f>IF($A262="","",SUMIF($B$2:$B262,$B262,$C$2:$C262))</f>
        <v/>
      </c>
      <c r="E262">
        <f>IF($A262="",0,IF('TMP Paste'!$B262="",0,1))</f>
        <v/>
      </c>
      <c r="F262">
        <f>IF(OR($A262="",$C262&lt;1),"",$A262&amp;"-"&amp;TEXT(($D262-$C262+1),"00")&amp;IF($C262&gt;=2,", "&amp;$A262&amp;"-"&amp;TEXT(($D262-$C262+1)+1,"00"),"")&amp;IF($C262&gt;=3,", "&amp;$A262&amp;"-"&amp;TEXT(($D262-$C262+1)+2,"00"),"")&amp;IF($C262&gt;=4,", "&amp;$A262&amp;"-"&amp;TEXT(($D262-$C262+1)+3,"00"),"")&amp;IF($C262&gt;=5,", "&amp;$A262&amp;"-"&amp;TEXT(($D262-$C262+1)+4,"00"),"")&amp;IF($C262&gt;=6,", "&amp;$A262&amp;"-"&amp;TEXT(($D262-$C262+1)+5,"00"),"")&amp;IF($C262&gt;=7,", "&amp;$A262&amp;"-"&amp;TEXT(($D262-$C262+1)+6,"00"),"")&amp;IF($C262&gt;=8,", "&amp;$A262&amp;"-"&amp;TEXT(($D262-$C262+1)+7,"00"),"")&amp;IF($C262&gt;=9,", "&amp;$A262&amp;"-"&amp;TEXT(($D262-$C262+1)+8,"00"),"")&amp;IF($C262&gt;=10,", "&amp;$A262&amp;"-"&amp;TEXT(($D262-$C262+1)+9,"00"),"")&amp;IF($C262&gt;=11,", "&amp;$A262&amp;"-"&amp;TEXT(($D262-$C262+1)+10,"00"),"")&amp;IF($C262&gt;=12,", "&amp;$A262&amp;"-"&amp;TEXT(($D262-$C262+1)+11,"00"),"")&amp;IF($C262&gt;=13,", "&amp;$A262&amp;"-"&amp;TEXT(($D262-$C262+1)+12,"00"),"")&amp;IF($C262&gt;=14,", "&amp;$A262&amp;"-"&amp;TEXT(($D262-$C262+1)+13,"00"),"")&amp;IF($C262&gt;=15,", "&amp;$A262&amp;"-"&amp;TEXT(($D262-$C262+1)+14,"00"),"")&amp;IF($C262&gt;=16,", "&amp;$A262&amp;"-"&amp;TEXT(($D262-$C262+1)+15,"00"),"")&amp;IF($C262&gt;=17,", "&amp;$A262&amp;"-"&amp;TEXT(($D262-$C262+1)+16,"00"),"")&amp;IF($C262&gt;=18,", "&amp;$A262&amp;"-"&amp;TEXT(($D262-$C262+1)+17,"00"),"")&amp;IF($C262&gt;=19,", "&amp;$A262&amp;"-"&amp;TEXT(($D262-$C262+1)+18,"00"),"")&amp;IF($C262&gt;=20,", "&amp;$A262&amp;"-"&amp;TEXT(($D262-$C262+1)+19,"00"),"")&amp;IF($C262&gt;=21,", "&amp;$A262&amp;"-"&amp;TEXT(($D262-$C262+1)+20,"00"),"")&amp;IF($C262&gt;=22,", "&amp;$A262&amp;"-"&amp;TEXT(($D262-$C262+1)+21,"00"),"")&amp;IF($C262&gt;=23,", "&amp;$A262&amp;"-"&amp;TEXT(($D262-$C262+1)+22,"00"),"")&amp;IF($C262&gt;=24,", "&amp;$A262&amp;"-"&amp;TEXT(($D262-$C262+1)+23,"00"),"")&amp;IF($C262&gt;=25,", "&amp;$A262&amp;"-"&amp;TEXT(($D262-$C262+1)+24,"00"),""))</f>
        <v/>
      </c>
      <c r="G262">
        <f>IF($A262="","",IF($E262=1,$F262,IF($F262="",$G261,IF($G261="",$F262,$G261&amp;", "&amp;$F262))))</f>
        <v/>
      </c>
      <c r="H262">
        <f>IF($A262="","",$A262&amp;" ("&amp;$C262&amp;")")</f>
        <v/>
      </c>
      <c r="I262">
        <f>IF($A262="","",IF($E262=1,$H262,$I261&amp;", "&amp;$H262))</f>
        <v/>
      </c>
      <c r="J262">
        <f>IF($A262="","",IF($E262=1,$B262,""))</f>
        <v/>
      </c>
      <c r="K262">
        <f>IF($A262="","",IF(COUNTIF($B$2:$B262,$B262)=COUNTIF($B$2:$B$1601,$B262),$B262,""))</f>
        <v/>
      </c>
    </row>
    <row r="263">
      <c r="A263">
        <f>IF('TMP Paste'!$E263="","",'TMP Paste'!$E263)</f>
        <v/>
      </c>
      <c r="B263">
        <f>IF($A263="","",COUNTIF('TMP Paste'!$B$2:$B263,"?*"))</f>
        <v/>
      </c>
      <c r="C263">
        <f>IF($A263="","",IFERROR('TMP Paste'!$M263*1,0))</f>
        <v/>
      </c>
      <c r="D263">
        <f>IF($A263="","",SUMIF($B$2:$B263,$B263,$C$2:$C263))</f>
        <v/>
      </c>
      <c r="E263">
        <f>IF($A263="",0,IF('TMP Paste'!$B263="",0,1))</f>
        <v/>
      </c>
      <c r="F263">
        <f>IF(OR($A263="",$C263&lt;1),"",$A263&amp;"-"&amp;TEXT(($D263-$C263+1),"00")&amp;IF($C263&gt;=2,", "&amp;$A263&amp;"-"&amp;TEXT(($D263-$C263+1)+1,"00"),"")&amp;IF($C263&gt;=3,", "&amp;$A263&amp;"-"&amp;TEXT(($D263-$C263+1)+2,"00"),"")&amp;IF($C263&gt;=4,", "&amp;$A263&amp;"-"&amp;TEXT(($D263-$C263+1)+3,"00"),"")&amp;IF($C263&gt;=5,", "&amp;$A263&amp;"-"&amp;TEXT(($D263-$C263+1)+4,"00"),"")&amp;IF($C263&gt;=6,", "&amp;$A263&amp;"-"&amp;TEXT(($D263-$C263+1)+5,"00"),"")&amp;IF($C263&gt;=7,", "&amp;$A263&amp;"-"&amp;TEXT(($D263-$C263+1)+6,"00"),"")&amp;IF($C263&gt;=8,", "&amp;$A263&amp;"-"&amp;TEXT(($D263-$C263+1)+7,"00"),"")&amp;IF($C263&gt;=9,", "&amp;$A263&amp;"-"&amp;TEXT(($D263-$C263+1)+8,"00"),"")&amp;IF($C263&gt;=10,", "&amp;$A263&amp;"-"&amp;TEXT(($D263-$C263+1)+9,"00"),"")&amp;IF($C263&gt;=11,", "&amp;$A263&amp;"-"&amp;TEXT(($D263-$C263+1)+10,"00"),"")&amp;IF($C263&gt;=12,", "&amp;$A263&amp;"-"&amp;TEXT(($D263-$C263+1)+11,"00"),"")&amp;IF($C263&gt;=13,", "&amp;$A263&amp;"-"&amp;TEXT(($D263-$C263+1)+12,"00"),"")&amp;IF($C263&gt;=14,", "&amp;$A263&amp;"-"&amp;TEXT(($D263-$C263+1)+13,"00"),"")&amp;IF($C263&gt;=15,", "&amp;$A263&amp;"-"&amp;TEXT(($D263-$C263+1)+14,"00"),"")&amp;IF($C263&gt;=16,", "&amp;$A263&amp;"-"&amp;TEXT(($D263-$C263+1)+15,"00"),"")&amp;IF($C263&gt;=17,", "&amp;$A263&amp;"-"&amp;TEXT(($D263-$C263+1)+16,"00"),"")&amp;IF($C263&gt;=18,", "&amp;$A263&amp;"-"&amp;TEXT(($D263-$C263+1)+17,"00"),"")&amp;IF($C263&gt;=19,", "&amp;$A263&amp;"-"&amp;TEXT(($D263-$C263+1)+18,"00"),"")&amp;IF($C263&gt;=20,", "&amp;$A263&amp;"-"&amp;TEXT(($D263-$C263+1)+19,"00"),"")&amp;IF($C263&gt;=21,", "&amp;$A263&amp;"-"&amp;TEXT(($D263-$C263+1)+20,"00"),"")&amp;IF($C263&gt;=22,", "&amp;$A263&amp;"-"&amp;TEXT(($D263-$C263+1)+21,"00"),"")&amp;IF($C263&gt;=23,", "&amp;$A263&amp;"-"&amp;TEXT(($D263-$C263+1)+22,"00"),"")&amp;IF($C263&gt;=24,", "&amp;$A263&amp;"-"&amp;TEXT(($D263-$C263+1)+23,"00"),"")&amp;IF($C263&gt;=25,", "&amp;$A263&amp;"-"&amp;TEXT(($D263-$C263+1)+24,"00"),""))</f>
        <v/>
      </c>
      <c r="G263">
        <f>IF($A263="","",IF($E263=1,$F263,IF($F263="",$G262,IF($G262="",$F263,$G262&amp;", "&amp;$F263))))</f>
        <v/>
      </c>
      <c r="H263">
        <f>IF($A263="","",$A263&amp;" ("&amp;$C263&amp;")")</f>
        <v/>
      </c>
      <c r="I263">
        <f>IF($A263="","",IF($E263=1,$H263,$I262&amp;", "&amp;$H263))</f>
        <v/>
      </c>
      <c r="J263">
        <f>IF($A263="","",IF($E263=1,$B263,""))</f>
        <v/>
      </c>
      <c r="K263">
        <f>IF($A263="","",IF(COUNTIF($B$2:$B263,$B263)=COUNTIF($B$2:$B$1601,$B263),$B263,""))</f>
        <v/>
      </c>
    </row>
    <row r="264">
      <c r="A264">
        <f>IF('TMP Paste'!$E264="","",'TMP Paste'!$E264)</f>
        <v/>
      </c>
      <c r="B264">
        <f>IF($A264="","",COUNTIF('TMP Paste'!$B$2:$B264,"?*"))</f>
        <v/>
      </c>
      <c r="C264">
        <f>IF($A264="","",IFERROR('TMP Paste'!$M264*1,0))</f>
        <v/>
      </c>
      <c r="D264">
        <f>IF($A264="","",SUMIF($B$2:$B264,$B264,$C$2:$C264))</f>
        <v/>
      </c>
      <c r="E264">
        <f>IF($A264="",0,IF('TMP Paste'!$B264="",0,1))</f>
        <v/>
      </c>
      <c r="F264">
        <f>IF(OR($A264="",$C264&lt;1),"",$A264&amp;"-"&amp;TEXT(($D264-$C264+1),"00")&amp;IF($C264&gt;=2,", "&amp;$A264&amp;"-"&amp;TEXT(($D264-$C264+1)+1,"00"),"")&amp;IF($C264&gt;=3,", "&amp;$A264&amp;"-"&amp;TEXT(($D264-$C264+1)+2,"00"),"")&amp;IF($C264&gt;=4,", "&amp;$A264&amp;"-"&amp;TEXT(($D264-$C264+1)+3,"00"),"")&amp;IF($C264&gt;=5,", "&amp;$A264&amp;"-"&amp;TEXT(($D264-$C264+1)+4,"00"),"")&amp;IF($C264&gt;=6,", "&amp;$A264&amp;"-"&amp;TEXT(($D264-$C264+1)+5,"00"),"")&amp;IF($C264&gt;=7,", "&amp;$A264&amp;"-"&amp;TEXT(($D264-$C264+1)+6,"00"),"")&amp;IF($C264&gt;=8,", "&amp;$A264&amp;"-"&amp;TEXT(($D264-$C264+1)+7,"00"),"")&amp;IF($C264&gt;=9,", "&amp;$A264&amp;"-"&amp;TEXT(($D264-$C264+1)+8,"00"),"")&amp;IF($C264&gt;=10,", "&amp;$A264&amp;"-"&amp;TEXT(($D264-$C264+1)+9,"00"),"")&amp;IF($C264&gt;=11,", "&amp;$A264&amp;"-"&amp;TEXT(($D264-$C264+1)+10,"00"),"")&amp;IF($C264&gt;=12,", "&amp;$A264&amp;"-"&amp;TEXT(($D264-$C264+1)+11,"00"),"")&amp;IF($C264&gt;=13,", "&amp;$A264&amp;"-"&amp;TEXT(($D264-$C264+1)+12,"00"),"")&amp;IF($C264&gt;=14,", "&amp;$A264&amp;"-"&amp;TEXT(($D264-$C264+1)+13,"00"),"")&amp;IF($C264&gt;=15,", "&amp;$A264&amp;"-"&amp;TEXT(($D264-$C264+1)+14,"00"),"")&amp;IF($C264&gt;=16,", "&amp;$A264&amp;"-"&amp;TEXT(($D264-$C264+1)+15,"00"),"")&amp;IF($C264&gt;=17,", "&amp;$A264&amp;"-"&amp;TEXT(($D264-$C264+1)+16,"00"),"")&amp;IF($C264&gt;=18,", "&amp;$A264&amp;"-"&amp;TEXT(($D264-$C264+1)+17,"00"),"")&amp;IF($C264&gt;=19,", "&amp;$A264&amp;"-"&amp;TEXT(($D264-$C264+1)+18,"00"),"")&amp;IF($C264&gt;=20,", "&amp;$A264&amp;"-"&amp;TEXT(($D264-$C264+1)+19,"00"),"")&amp;IF($C264&gt;=21,", "&amp;$A264&amp;"-"&amp;TEXT(($D264-$C264+1)+20,"00"),"")&amp;IF($C264&gt;=22,", "&amp;$A264&amp;"-"&amp;TEXT(($D264-$C264+1)+21,"00"),"")&amp;IF($C264&gt;=23,", "&amp;$A264&amp;"-"&amp;TEXT(($D264-$C264+1)+22,"00"),"")&amp;IF($C264&gt;=24,", "&amp;$A264&amp;"-"&amp;TEXT(($D264-$C264+1)+23,"00"),"")&amp;IF($C264&gt;=25,", "&amp;$A264&amp;"-"&amp;TEXT(($D264-$C264+1)+24,"00"),""))</f>
        <v/>
      </c>
      <c r="G264">
        <f>IF($A264="","",IF($E264=1,$F264,IF($F264="",$G263,IF($G263="",$F264,$G263&amp;", "&amp;$F264))))</f>
        <v/>
      </c>
      <c r="H264">
        <f>IF($A264="","",$A264&amp;" ("&amp;$C264&amp;")")</f>
        <v/>
      </c>
      <c r="I264">
        <f>IF($A264="","",IF($E264=1,$H264,$I263&amp;", "&amp;$H264))</f>
        <v/>
      </c>
      <c r="J264">
        <f>IF($A264="","",IF($E264=1,$B264,""))</f>
        <v/>
      </c>
      <c r="K264">
        <f>IF($A264="","",IF(COUNTIF($B$2:$B264,$B264)=COUNTIF($B$2:$B$1601,$B264),$B264,""))</f>
        <v/>
      </c>
    </row>
    <row r="265">
      <c r="A265">
        <f>IF('TMP Paste'!$E265="","",'TMP Paste'!$E265)</f>
        <v/>
      </c>
      <c r="B265">
        <f>IF($A265="","",COUNTIF('TMP Paste'!$B$2:$B265,"?*"))</f>
        <v/>
      </c>
      <c r="C265">
        <f>IF($A265="","",IFERROR('TMP Paste'!$M265*1,0))</f>
        <v/>
      </c>
      <c r="D265">
        <f>IF($A265="","",SUMIF($B$2:$B265,$B265,$C$2:$C265))</f>
        <v/>
      </c>
      <c r="E265">
        <f>IF($A265="",0,IF('TMP Paste'!$B265="",0,1))</f>
        <v/>
      </c>
      <c r="F265">
        <f>IF(OR($A265="",$C265&lt;1),"",$A265&amp;"-"&amp;TEXT(($D265-$C265+1),"00")&amp;IF($C265&gt;=2,", "&amp;$A265&amp;"-"&amp;TEXT(($D265-$C265+1)+1,"00"),"")&amp;IF($C265&gt;=3,", "&amp;$A265&amp;"-"&amp;TEXT(($D265-$C265+1)+2,"00"),"")&amp;IF($C265&gt;=4,", "&amp;$A265&amp;"-"&amp;TEXT(($D265-$C265+1)+3,"00"),"")&amp;IF($C265&gt;=5,", "&amp;$A265&amp;"-"&amp;TEXT(($D265-$C265+1)+4,"00"),"")&amp;IF($C265&gt;=6,", "&amp;$A265&amp;"-"&amp;TEXT(($D265-$C265+1)+5,"00"),"")&amp;IF($C265&gt;=7,", "&amp;$A265&amp;"-"&amp;TEXT(($D265-$C265+1)+6,"00"),"")&amp;IF($C265&gt;=8,", "&amp;$A265&amp;"-"&amp;TEXT(($D265-$C265+1)+7,"00"),"")&amp;IF($C265&gt;=9,", "&amp;$A265&amp;"-"&amp;TEXT(($D265-$C265+1)+8,"00"),"")&amp;IF($C265&gt;=10,", "&amp;$A265&amp;"-"&amp;TEXT(($D265-$C265+1)+9,"00"),"")&amp;IF($C265&gt;=11,", "&amp;$A265&amp;"-"&amp;TEXT(($D265-$C265+1)+10,"00"),"")&amp;IF($C265&gt;=12,", "&amp;$A265&amp;"-"&amp;TEXT(($D265-$C265+1)+11,"00"),"")&amp;IF($C265&gt;=13,", "&amp;$A265&amp;"-"&amp;TEXT(($D265-$C265+1)+12,"00"),"")&amp;IF($C265&gt;=14,", "&amp;$A265&amp;"-"&amp;TEXT(($D265-$C265+1)+13,"00"),"")&amp;IF($C265&gt;=15,", "&amp;$A265&amp;"-"&amp;TEXT(($D265-$C265+1)+14,"00"),"")&amp;IF($C265&gt;=16,", "&amp;$A265&amp;"-"&amp;TEXT(($D265-$C265+1)+15,"00"),"")&amp;IF($C265&gt;=17,", "&amp;$A265&amp;"-"&amp;TEXT(($D265-$C265+1)+16,"00"),"")&amp;IF($C265&gt;=18,", "&amp;$A265&amp;"-"&amp;TEXT(($D265-$C265+1)+17,"00"),"")&amp;IF($C265&gt;=19,", "&amp;$A265&amp;"-"&amp;TEXT(($D265-$C265+1)+18,"00"),"")&amp;IF($C265&gt;=20,", "&amp;$A265&amp;"-"&amp;TEXT(($D265-$C265+1)+19,"00"),"")&amp;IF($C265&gt;=21,", "&amp;$A265&amp;"-"&amp;TEXT(($D265-$C265+1)+20,"00"),"")&amp;IF($C265&gt;=22,", "&amp;$A265&amp;"-"&amp;TEXT(($D265-$C265+1)+21,"00"),"")&amp;IF($C265&gt;=23,", "&amp;$A265&amp;"-"&amp;TEXT(($D265-$C265+1)+22,"00"),"")&amp;IF($C265&gt;=24,", "&amp;$A265&amp;"-"&amp;TEXT(($D265-$C265+1)+23,"00"),"")&amp;IF($C265&gt;=25,", "&amp;$A265&amp;"-"&amp;TEXT(($D265-$C265+1)+24,"00"),""))</f>
        <v/>
      </c>
      <c r="G265">
        <f>IF($A265="","",IF($E265=1,$F265,IF($F265="",$G264,IF($G264="",$F265,$G264&amp;", "&amp;$F265))))</f>
        <v/>
      </c>
      <c r="H265">
        <f>IF($A265="","",$A265&amp;" ("&amp;$C265&amp;")")</f>
        <v/>
      </c>
      <c r="I265">
        <f>IF($A265="","",IF($E265=1,$H265,$I264&amp;", "&amp;$H265))</f>
        <v/>
      </c>
      <c r="J265">
        <f>IF($A265="","",IF($E265=1,$B265,""))</f>
        <v/>
      </c>
      <c r="K265">
        <f>IF($A265="","",IF(COUNTIF($B$2:$B265,$B265)=COUNTIF($B$2:$B$1601,$B265),$B265,""))</f>
        <v/>
      </c>
    </row>
    <row r="266">
      <c r="A266">
        <f>IF('TMP Paste'!$E266="","",'TMP Paste'!$E266)</f>
        <v/>
      </c>
      <c r="B266">
        <f>IF($A266="","",COUNTIF('TMP Paste'!$B$2:$B266,"?*"))</f>
        <v/>
      </c>
      <c r="C266">
        <f>IF($A266="","",IFERROR('TMP Paste'!$M266*1,0))</f>
        <v/>
      </c>
      <c r="D266">
        <f>IF($A266="","",SUMIF($B$2:$B266,$B266,$C$2:$C266))</f>
        <v/>
      </c>
      <c r="E266">
        <f>IF($A266="",0,IF('TMP Paste'!$B266="",0,1))</f>
        <v/>
      </c>
      <c r="F266">
        <f>IF(OR($A266="",$C266&lt;1),"",$A266&amp;"-"&amp;TEXT(($D266-$C266+1),"00")&amp;IF($C266&gt;=2,", "&amp;$A266&amp;"-"&amp;TEXT(($D266-$C266+1)+1,"00"),"")&amp;IF($C266&gt;=3,", "&amp;$A266&amp;"-"&amp;TEXT(($D266-$C266+1)+2,"00"),"")&amp;IF($C266&gt;=4,", "&amp;$A266&amp;"-"&amp;TEXT(($D266-$C266+1)+3,"00"),"")&amp;IF($C266&gt;=5,", "&amp;$A266&amp;"-"&amp;TEXT(($D266-$C266+1)+4,"00"),"")&amp;IF($C266&gt;=6,", "&amp;$A266&amp;"-"&amp;TEXT(($D266-$C266+1)+5,"00"),"")&amp;IF($C266&gt;=7,", "&amp;$A266&amp;"-"&amp;TEXT(($D266-$C266+1)+6,"00"),"")&amp;IF($C266&gt;=8,", "&amp;$A266&amp;"-"&amp;TEXT(($D266-$C266+1)+7,"00"),"")&amp;IF($C266&gt;=9,", "&amp;$A266&amp;"-"&amp;TEXT(($D266-$C266+1)+8,"00"),"")&amp;IF($C266&gt;=10,", "&amp;$A266&amp;"-"&amp;TEXT(($D266-$C266+1)+9,"00"),"")&amp;IF($C266&gt;=11,", "&amp;$A266&amp;"-"&amp;TEXT(($D266-$C266+1)+10,"00"),"")&amp;IF($C266&gt;=12,", "&amp;$A266&amp;"-"&amp;TEXT(($D266-$C266+1)+11,"00"),"")&amp;IF($C266&gt;=13,", "&amp;$A266&amp;"-"&amp;TEXT(($D266-$C266+1)+12,"00"),"")&amp;IF($C266&gt;=14,", "&amp;$A266&amp;"-"&amp;TEXT(($D266-$C266+1)+13,"00"),"")&amp;IF($C266&gt;=15,", "&amp;$A266&amp;"-"&amp;TEXT(($D266-$C266+1)+14,"00"),"")&amp;IF($C266&gt;=16,", "&amp;$A266&amp;"-"&amp;TEXT(($D266-$C266+1)+15,"00"),"")&amp;IF($C266&gt;=17,", "&amp;$A266&amp;"-"&amp;TEXT(($D266-$C266+1)+16,"00"),"")&amp;IF($C266&gt;=18,", "&amp;$A266&amp;"-"&amp;TEXT(($D266-$C266+1)+17,"00"),"")&amp;IF($C266&gt;=19,", "&amp;$A266&amp;"-"&amp;TEXT(($D266-$C266+1)+18,"00"),"")&amp;IF($C266&gt;=20,", "&amp;$A266&amp;"-"&amp;TEXT(($D266-$C266+1)+19,"00"),"")&amp;IF($C266&gt;=21,", "&amp;$A266&amp;"-"&amp;TEXT(($D266-$C266+1)+20,"00"),"")&amp;IF($C266&gt;=22,", "&amp;$A266&amp;"-"&amp;TEXT(($D266-$C266+1)+21,"00"),"")&amp;IF($C266&gt;=23,", "&amp;$A266&amp;"-"&amp;TEXT(($D266-$C266+1)+22,"00"),"")&amp;IF($C266&gt;=24,", "&amp;$A266&amp;"-"&amp;TEXT(($D266-$C266+1)+23,"00"),"")&amp;IF($C266&gt;=25,", "&amp;$A266&amp;"-"&amp;TEXT(($D266-$C266+1)+24,"00"),""))</f>
        <v/>
      </c>
      <c r="G266">
        <f>IF($A266="","",IF($E266=1,$F266,IF($F266="",$G265,IF($G265="",$F266,$G265&amp;", "&amp;$F266))))</f>
        <v/>
      </c>
      <c r="H266">
        <f>IF($A266="","",$A266&amp;" ("&amp;$C266&amp;")")</f>
        <v/>
      </c>
      <c r="I266">
        <f>IF($A266="","",IF($E266=1,$H266,$I265&amp;", "&amp;$H266))</f>
        <v/>
      </c>
      <c r="J266">
        <f>IF($A266="","",IF($E266=1,$B266,""))</f>
        <v/>
      </c>
      <c r="K266">
        <f>IF($A266="","",IF(COUNTIF($B$2:$B266,$B266)=COUNTIF($B$2:$B$1601,$B266),$B266,""))</f>
        <v/>
      </c>
    </row>
    <row r="267">
      <c r="A267">
        <f>IF('TMP Paste'!$E267="","",'TMP Paste'!$E267)</f>
        <v/>
      </c>
      <c r="B267">
        <f>IF($A267="","",COUNTIF('TMP Paste'!$B$2:$B267,"?*"))</f>
        <v/>
      </c>
      <c r="C267">
        <f>IF($A267="","",IFERROR('TMP Paste'!$M267*1,0))</f>
        <v/>
      </c>
      <c r="D267">
        <f>IF($A267="","",SUMIF($B$2:$B267,$B267,$C$2:$C267))</f>
        <v/>
      </c>
      <c r="E267">
        <f>IF($A267="",0,IF('TMP Paste'!$B267="",0,1))</f>
        <v/>
      </c>
      <c r="F267">
        <f>IF(OR($A267="",$C267&lt;1),"",$A267&amp;"-"&amp;TEXT(($D267-$C267+1),"00")&amp;IF($C267&gt;=2,", "&amp;$A267&amp;"-"&amp;TEXT(($D267-$C267+1)+1,"00"),"")&amp;IF($C267&gt;=3,", "&amp;$A267&amp;"-"&amp;TEXT(($D267-$C267+1)+2,"00"),"")&amp;IF($C267&gt;=4,", "&amp;$A267&amp;"-"&amp;TEXT(($D267-$C267+1)+3,"00"),"")&amp;IF($C267&gt;=5,", "&amp;$A267&amp;"-"&amp;TEXT(($D267-$C267+1)+4,"00"),"")&amp;IF($C267&gt;=6,", "&amp;$A267&amp;"-"&amp;TEXT(($D267-$C267+1)+5,"00"),"")&amp;IF($C267&gt;=7,", "&amp;$A267&amp;"-"&amp;TEXT(($D267-$C267+1)+6,"00"),"")&amp;IF($C267&gt;=8,", "&amp;$A267&amp;"-"&amp;TEXT(($D267-$C267+1)+7,"00"),"")&amp;IF($C267&gt;=9,", "&amp;$A267&amp;"-"&amp;TEXT(($D267-$C267+1)+8,"00"),"")&amp;IF($C267&gt;=10,", "&amp;$A267&amp;"-"&amp;TEXT(($D267-$C267+1)+9,"00"),"")&amp;IF($C267&gt;=11,", "&amp;$A267&amp;"-"&amp;TEXT(($D267-$C267+1)+10,"00"),"")&amp;IF($C267&gt;=12,", "&amp;$A267&amp;"-"&amp;TEXT(($D267-$C267+1)+11,"00"),"")&amp;IF($C267&gt;=13,", "&amp;$A267&amp;"-"&amp;TEXT(($D267-$C267+1)+12,"00"),"")&amp;IF($C267&gt;=14,", "&amp;$A267&amp;"-"&amp;TEXT(($D267-$C267+1)+13,"00"),"")&amp;IF($C267&gt;=15,", "&amp;$A267&amp;"-"&amp;TEXT(($D267-$C267+1)+14,"00"),"")&amp;IF($C267&gt;=16,", "&amp;$A267&amp;"-"&amp;TEXT(($D267-$C267+1)+15,"00"),"")&amp;IF($C267&gt;=17,", "&amp;$A267&amp;"-"&amp;TEXT(($D267-$C267+1)+16,"00"),"")&amp;IF($C267&gt;=18,", "&amp;$A267&amp;"-"&amp;TEXT(($D267-$C267+1)+17,"00"),"")&amp;IF($C267&gt;=19,", "&amp;$A267&amp;"-"&amp;TEXT(($D267-$C267+1)+18,"00"),"")&amp;IF($C267&gt;=20,", "&amp;$A267&amp;"-"&amp;TEXT(($D267-$C267+1)+19,"00"),"")&amp;IF($C267&gt;=21,", "&amp;$A267&amp;"-"&amp;TEXT(($D267-$C267+1)+20,"00"),"")&amp;IF($C267&gt;=22,", "&amp;$A267&amp;"-"&amp;TEXT(($D267-$C267+1)+21,"00"),"")&amp;IF($C267&gt;=23,", "&amp;$A267&amp;"-"&amp;TEXT(($D267-$C267+1)+22,"00"),"")&amp;IF($C267&gt;=24,", "&amp;$A267&amp;"-"&amp;TEXT(($D267-$C267+1)+23,"00"),"")&amp;IF($C267&gt;=25,", "&amp;$A267&amp;"-"&amp;TEXT(($D267-$C267+1)+24,"00"),""))</f>
        <v/>
      </c>
      <c r="G267">
        <f>IF($A267="","",IF($E267=1,$F267,IF($F267="",$G266,IF($G266="",$F267,$G266&amp;", "&amp;$F267))))</f>
        <v/>
      </c>
      <c r="H267">
        <f>IF($A267="","",$A267&amp;" ("&amp;$C267&amp;")")</f>
        <v/>
      </c>
      <c r="I267">
        <f>IF($A267="","",IF($E267=1,$H267,$I266&amp;", "&amp;$H267))</f>
        <v/>
      </c>
      <c r="J267">
        <f>IF($A267="","",IF($E267=1,$B267,""))</f>
        <v/>
      </c>
      <c r="K267">
        <f>IF($A267="","",IF(COUNTIF($B$2:$B267,$B267)=COUNTIF($B$2:$B$1601,$B267),$B267,""))</f>
        <v/>
      </c>
    </row>
    <row r="268">
      <c r="A268">
        <f>IF('TMP Paste'!$E268="","",'TMP Paste'!$E268)</f>
        <v/>
      </c>
      <c r="B268">
        <f>IF($A268="","",COUNTIF('TMP Paste'!$B$2:$B268,"?*"))</f>
        <v/>
      </c>
      <c r="C268">
        <f>IF($A268="","",IFERROR('TMP Paste'!$M268*1,0))</f>
        <v/>
      </c>
      <c r="D268">
        <f>IF($A268="","",SUMIF($B$2:$B268,$B268,$C$2:$C268))</f>
        <v/>
      </c>
      <c r="E268">
        <f>IF($A268="",0,IF('TMP Paste'!$B268="",0,1))</f>
        <v/>
      </c>
      <c r="F268">
        <f>IF(OR($A268="",$C268&lt;1),"",$A268&amp;"-"&amp;TEXT(($D268-$C268+1),"00")&amp;IF($C268&gt;=2,", "&amp;$A268&amp;"-"&amp;TEXT(($D268-$C268+1)+1,"00"),"")&amp;IF($C268&gt;=3,", "&amp;$A268&amp;"-"&amp;TEXT(($D268-$C268+1)+2,"00"),"")&amp;IF($C268&gt;=4,", "&amp;$A268&amp;"-"&amp;TEXT(($D268-$C268+1)+3,"00"),"")&amp;IF($C268&gt;=5,", "&amp;$A268&amp;"-"&amp;TEXT(($D268-$C268+1)+4,"00"),"")&amp;IF($C268&gt;=6,", "&amp;$A268&amp;"-"&amp;TEXT(($D268-$C268+1)+5,"00"),"")&amp;IF($C268&gt;=7,", "&amp;$A268&amp;"-"&amp;TEXT(($D268-$C268+1)+6,"00"),"")&amp;IF($C268&gt;=8,", "&amp;$A268&amp;"-"&amp;TEXT(($D268-$C268+1)+7,"00"),"")&amp;IF($C268&gt;=9,", "&amp;$A268&amp;"-"&amp;TEXT(($D268-$C268+1)+8,"00"),"")&amp;IF($C268&gt;=10,", "&amp;$A268&amp;"-"&amp;TEXT(($D268-$C268+1)+9,"00"),"")&amp;IF($C268&gt;=11,", "&amp;$A268&amp;"-"&amp;TEXT(($D268-$C268+1)+10,"00"),"")&amp;IF($C268&gt;=12,", "&amp;$A268&amp;"-"&amp;TEXT(($D268-$C268+1)+11,"00"),"")&amp;IF($C268&gt;=13,", "&amp;$A268&amp;"-"&amp;TEXT(($D268-$C268+1)+12,"00"),"")&amp;IF($C268&gt;=14,", "&amp;$A268&amp;"-"&amp;TEXT(($D268-$C268+1)+13,"00"),"")&amp;IF($C268&gt;=15,", "&amp;$A268&amp;"-"&amp;TEXT(($D268-$C268+1)+14,"00"),"")&amp;IF($C268&gt;=16,", "&amp;$A268&amp;"-"&amp;TEXT(($D268-$C268+1)+15,"00"),"")&amp;IF($C268&gt;=17,", "&amp;$A268&amp;"-"&amp;TEXT(($D268-$C268+1)+16,"00"),"")&amp;IF($C268&gt;=18,", "&amp;$A268&amp;"-"&amp;TEXT(($D268-$C268+1)+17,"00"),"")&amp;IF($C268&gt;=19,", "&amp;$A268&amp;"-"&amp;TEXT(($D268-$C268+1)+18,"00"),"")&amp;IF($C268&gt;=20,", "&amp;$A268&amp;"-"&amp;TEXT(($D268-$C268+1)+19,"00"),"")&amp;IF($C268&gt;=21,", "&amp;$A268&amp;"-"&amp;TEXT(($D268-$C268+1)+20,"00"),"")&amp;IF($C268&gt;=22,", "&amp;$A268&amp;"-"&amp;TEXT(($D268-$C268+1)+21,"00"),"")&amp;IF($C268&gt;=23,", "&amp;$A268&amp;"-"&amp;TEXT(($D268-$C268+1)+22,"00"),"")&amp;IF($C268&gt;=24,", "&amp;$A268&amp;"-"&amp;TEXT(($D268-$C268+1)+23,"00"),"")&amp;IF($C268&gt;=25,", "&amp;$A268&amp;"-"&amp;TEXT(($D268-$C268+1)+24,"00"),""))</f>
        <v/>
      </c>
      <c r="G268">
        <f>IF($A268="","",IF($E268=1,$F268,IF($F268="",$G267,IF($G267="",$F268,$G267&amp;", "&amp;$F268))))</f>
        <v/>
      </c>
      <c r="H268">
        <f>IF($A268="","",$A268&amp;" ("&amp;$C268&amp;")")</f>
        <v/>
      </c>
      <c r="I268">
        <f>IF($A268="","",IF($E268=1,$H268,$I267&amp;", "&amp;$H268))</f>
        <v/>
      </c>
      <c r="J268">
        <f>IF($A268="","",IF($E268=1,$B268,""))</f>
        <v/>
      </c>
      <c r="K268">
        <f>IF($A268="","",IF(COUNTIF($B$2:$B268,$B268)=COUNTIF($B$2:$B$1601,$B268),$B268,""))</f>
        <v/>
      </c>
    </row>
    <row r="269">
      <c r="A269">
        <f>IF('TMP Paste'!$E269="","",'TMP Paste'!$E269)</f>
        <v/>
      </c>
      <c r="B269">
        <f>IF($A269="","",COUNTIF('TMP Paste'!$B$2:$B269,"?*"))</f>
        <v/>
      </c>
      <c r="C269">
        <f>IF($A269="","",IFERROR('TMP Paste'!$M269*1,0))</f>
        <v/>
      </c>
      <c r="D269">
        <f>IF($A269="","",SUMIF($B$2:$B269,$B269,$C$2:$C269))</f>
        <v/>
      </c>
      <c r="E269">
        <f>IF($A269="",0,IF('TMP Paste'!$B269="",0,1))</f>
        <v/>
      </c>
      <c r="F269">
        <f>IF(OR($A269="",$C269&lt;1),"",$A269&amp;"-"&amp;TEXT(($D269-$C269+1),"00")&amp;IF($C269&gt;=2,", "&amp;$A269&amp;"-"&amp;TEXT(($D269-$C269+1)+1,"00"),"")&amp;IF($C269&gt;=3,", "&amp;$A269&amp;"-"&amp;TEXT(($D269-$C269+1)+2,"00"),"")&amp;IF($C269&gt;=4,", "&amp;$A269&amp;"-"&amp;TEXT(($D269-$C269+1)+3,"00"),"")&amp;IF($C269&gt;=5,", "&amp;$A269&amp;"-"&amp;TEXT(($D269-$C269+1)+4,"00"),"")&amp;IF($C269&gt;=6,", "&amp;$A269&amp;"-"&amp;TEXT(($D269-$C269+1)+5,"00"),"")&amp;IF($C269&gt;=7,", "&amp;$A269&amp;"-"&amp;TEXT(($D269-$C269+1)+6,"00"),"")&amp;IF($C269&gt;=8,", "&amp;$A269&amp;"-"&amp;TEXT(($D269-$C269+1)+7,"00"),"")&amp;IF($C269&gt;=9,", "&amp;$A269&amp;"-"&amp;TEXT(($D269-$C269+1)+8,"00"),"")&amp;IF($C269&gt;=10,", "&amp;$A269&amp;"-"&amp;TEXT(($D269-$C269+1)+9,"00"),"")&amp;IF($C269&gt;=11,", "&amp;$A269&amp;"-"&amp;TEXT(($D269-$C269+1)+10,"00"),"")&amp;IF($C269&gt;=12,", "&amp;$A269&amp;"-"&amp;TEXT(($D269-$C269+1)+11,"00"),"")&amp;IF($C269&gt;=13,", "&amp;$A269&amp;"-"&amp;TEXT(($D269-$C269+1)+12,"00"),"")&amp;IF($C269&gt;=14,", "&amp;$A269&amp;"-"&amp;TEXT(($D269-$C269+1)+13,"00"),"")&amp;IF($C269&gt;=15,", "&amp;$A269&amp;"-"&amp;TEXT(($D269-$C269+1)+14,"00"),"")&amp;IF($C269&gt;=16,", "&amp;$A269&amp;"-"&amp;TEXT(($D269-$C269+1)+15,"00"),"")&amp;IF($C269&gt;=17,", "&amp;$A269&amp;"-"&amp;TEXT(($D269-$C269+1)+16,"00"),"")&amp;IF($C269&gt;=18,", "&amp;$A269&amp;"-"&amp;TEXT(($D269-$C269+1)+17,"00"),"")&amp;IF($C269&gt;=19,", "&amp;$A269&amp;"-"&amp;TEXT(($D269-$C269+1)+18,"00"),"")&amp;IF($C269&gt;=20,", "&amp;$A269&amp;"-"&amp;TEXT(($D269-$C269+1)+19,"00"),"")&amp;IF($C269&gt;=21,", "&amp;$A269&amp;"-"&amp;TEXT(($D269-$C269+1)+20,"00"),"")&amp;IF($C269&gt;=22,", "&amp;$A269&amp;"-"&amp;TEXT(($D269-$C269+1)+21,"00"),"")&amp;IF($C269&gt;=23,", "&amp;$A269&amp;"-"&amp;TEXT(($D269-$C269+1)+22,"00"),"")&amp;IF($C269&gt;=24,", "&amp;$A269&amp;"-"&amp;TEXT(($D269-$C269+1)+23,"00"),"")&amp;IF($C269&gt;=25,", "&amp;$A269&amp;"-"&amp;TEXT(($D269-$C269+1)+24,"00"),""))</f>
        <v/>
      </c>
      <c r="G269">
        <f>IF($A269="","",IF($E269=1,$F269,IF($F269="",$G268,IF($G268="",$F269,$G268&amp;", "&amp;$F269))))</f>
        <v/>
      </c>
      <c r="H269">
        <f>IF($A269="","",$A269&amp;" ("&amp;$C269&amp;")")</f>
        <v/>
      </c>
      <c r="I269">
        <f>IF($A269="","",IF($E269=1,$H269,$I268&amp;", "&amp;$H269))</f>
        <v/>
      </c>
      <c r="J269">
        <f>IF($A269="","",IF($E269=1,$B269,""))</f>
        <v/>
      </c>
      <c r="K269">
        <f>IF($A269="","",IF(COUNTIF($B$2:$B269,$B269)=COUNTIF($B$2:$B$1601,$B269),$B269,""))</f>
        <v/>
      </c>
    </row>
    <row r="270">
      <c r="A270">
        <f>IF('TMP Paste'!$E270="","",'TMP Paste'!$E270)</f>
        <v/>
      </c>
      <c r="B270">
        <f>IF($A270="","",COUNTIF('TMP Paste'!$B$2:$B270,"?*"))</f>
        <v/>
      </c>
      <c r="C270">
        <f>IF($A270="","",IFERROR('TMP Paste'!$M270*1,0))</f>
        <v/>
      </c>
      <c r="D270">
        <f>IF($A270="","",SUMIF($B$2:$B270,$B270,$C$2:$C270))</f>
        <v/>
      </c>
      <c r="E270">
        <f>IF($A270="",0,IF('TMP Paste'!$B270="",0,1))</f>
        <v/>
      </c>
      <c r="F270">
        <f>IF(OR($A270="",$C270&lt;1),"",$A270&amp;"-"&amp;TEXT(($D270-$C270+1),"00")&amp;IF($C270&gt;=2,", "&amp;$A270&amp;"-"&amp;TEXT(($D270-$C270+1)+1,"00"),"")&amp;IF($C270&gt;=3,", "&amp;$A270&amp;"-"&amp;TEXT(($D270-$C270+1)+2,"00"),"")&amp;IF($C270&gt;=4,", "&amp;$A270&amp;"-"&amp;TEXT(($D270-$C270+1)+3,"00"),"")&amp;IF($C270&gt;=5,", "&amp;$A270&amp;"-"&amp;TEXT(($D270-$C270+1)+4,"00"),"")&amp;IF($C270&gt;=6,", "&amp;$A270&amp;"-"&amp;TEXT(($D270-$C270+1)+5,"00"),"")&amp;IF($C270&gt;=7,", "&amp;$A270&amp;"-"&amp;TEXT(($D270-$C270+1)+6,"00"),"")&amp;IF($C270&gt;=8,", "&amp;$A270&amp;"-"&amp;TEXT(($D270-$C270+1)+7,"00"),"")&amp;IF($C270&gt;=9,", "&amp;$A270&amp;"-"&amp;TEXT(($D270-$C270+1)+8,"00"),"")&amp;IF($C270&gt;=10,", "&amp;$A270&amp;"-"&amp;TEXT(($D270-$C270+1)+9,"00"),"")&amp;IF($C270&gt;=11,", "&amp;$A270&amp;"-"&amp;TEXT(($D270-$C270+1)+10,"00"),"")&amp;IF($C270&gt;=12,", "&amp;$A270&amp;"-"&amp;TEXT(($D270-$C270+1)+11,"00"),"")&amp;IF($C270&gt;=13,", "&amp;$A270&amp;"-"&amp;TEXT(($D270-$C270+1)+12,"00"),"")&amp;IF($C270&gt;=14,", "&amp;$A270&amp;"-"&amp;TEXT(($D270-$C270+1)+13,"00"),"")&amp;IF($C270&gt;=15,", "&amp;$A270&amp;"-"&amp;TEXT(($D270-$C270+1)+14,"00"),"")&amp;IF($C270&gt;=16,", "&amp;$A270&amp;"-"&amp;TEXT(($D270-$C270+1)+15,"00"),"")&amp;IF($C270&gt;=17,", "&amp;$A270&amp;"-"&amp;TEXT(($D270-$C270+1)+16,"00"),"")&amp;IF($C270&gt;=18,", "&amp;$A270&amp;"-"&amp;TEXT(($D270-$C270+1)+17,"00"),"")&amp;IF($C270&gt;=19,", "&amp;$A270&amp;"-"&amp;TEXT(($D270-$C270+1)+18,"00"),"")&amp;IF($C270&gt;=20,", "&amp;$A270&amp;"-"&amp;TEXT(($D270-$C270+1)+19,"00"),"")&amp;IF($C270&gt;=21,", "&amp;$A270&amp;"-"&amp;TEXT(($D270-$C270+1)+20,"00"),"")&amp;IF($C270&gt;=22,", "&amp;$A270&amp;"-"&amp;TEXT(($D270-$C270+1)+21,"00"),"")&amp;IF($C270&gt;=23,", "&amp;$A270&amp;"-"&amp;TEXT(($D270-$C270+1)+22,"00"),"")&amp;IF($C270&gt;=24,", "&amp;$A270&amp;"-"&amp;TEXT(($D270-$C270+1)+23,"00"),"")&amp;IF($C270&gt;=25,", "&amp;$A270&amp;"-"&amp;TEXT(($D270-$C270+1)+24,"00"),""))</f>
        <v/>
      </c>
      <c r="G270">
        <f>IF($A270="","",IF($E270=1,$F270,IF($F270="",$G269,IF($G269="",$F270,$G269&amp;", "&amp;$F270))))</f>
        <v/>
      </c>
      <c r="H270">
        <f>IF($A270="","",$A270&amp;" ("&amp;$C270&amp;")")</f>
        <v/>
      </c>
      <c r="I270">
        <f>IF($A270="","",IF($E270=1,$H270,$I269&amp;", "&amp;$H270))</f>
        <v/>
      </c>
      <c r="J270">
        <f>IF($A270="","",IF($E270=1,$B270,""))</f>
        <v/>
      </c>
      <c r="K270">
        <f>IF($A270="","",IF(COUNTIF($B$2:$B270,$B270)=COUNTIF($B$2:$B$1601,$B270),$B270,""))</f>
        <v/>
      </c>
    </row>
    <row r="271">
      <c r="A271">
        <f>IF('TMP Paste'!$E271="","",'TMP Paste'!$E271)</f>
        <v/>
      </c>
      <c r="B271">
        <f>IF($A271="","",COUNTIF('TMP Paste'!$B$2:$B271,"?*"))</f>
        <v/>
      </c>
      <c r="C271">
        <f>IF($A271="","",IFERROR('TMP Paste'!$M271*1,0))</f>
        <v/>
      </c>
      <c r="D271">
        <f>IF($A271="","",SUMIF($B$2:$B271,$B271,$C$2:$C271))</f>
        <v/>
      </c>
      <c r="E271">
        <f>IF($A271="",0,IF('TMP Paste'!$B271="",0,1))</f>
        <v/>
      </c>
      <c r="F271">
        <f>IF(OR($A271="",$C271&lt;1),"",$A271&amp;"-"&amp;TEXT(($D271-$C271+1),"00")&amp;IF($C271&gt;=2,", "&amp;$A271&amp;"-"&amp;TEXT(($D271-$C271+1)+1,"00"),"")&amp;IF($C271&gt;=3,", "&amp;$A271&amp;"-"&amp;TEXT(($D271-$C271+1)+2,"00"),"")&amp;IF($C271&gt;=4,", "&amp;$A271&amp;"-"&amp;TEXT(($D271-$C271+1)+3,"00"),"")&amp;IF($C271&gt;=5,", "&amp;$A271&amp;"-"&amp;TEXT(($D271-$C271+1)+4,"00"),"")&amp;IF($C271&gt;=6,", "&amp;$A271&amp;"-"&amp;TEXT(($D271-$C271+1)+5,"00"),"")&amp;IF($C271&gt;=7,", "&amp;$A271&amp;"-"&amp;TEXT(($D271-$C271+1)+6,"00"),"")&amp;IF($C271&gt;=8,", "&amp;$A271&amp;"-"&amp;TEXT(($D271-$C271+1)+7,"00"),"")&amp;IF($C271&gt;=9,", "&amp;$A271&amp;"-"&amp;TEXT(($D271-$C271+1)+8,"00"),"")&amp;IF($C271&gt;=10,", "&amp;$A271&amp;"-"&amp;TEXT(($D271-$C271+1)+9,"00"),"")&amp;IF($C271&gt;=11,", "&amp;$A271&amp;"-"&amp;TEXT(($D271-$C271+1)+10,"00"),"")&amp;IF($C271&gt;=12,", "&amp;$A271&amp;"-"&amp;TEXT(($D271-$C271+1)+11,"00"),"")&amp;IF($C271&gt;=13,", "&amp;$A271&amp;"-"&amp;TEXT(($D271-$C271+1)+12,"00"),"")&amp;IF($C271&gt;=14,", "&amp;$A271&amp;"-"&amp;TEXT(($D271-$C271+1)+13,"00"),"")&amp;IF($C271&gt;=15,", "&amp;$A271&amp;"-"&amp;TEXT(($D271-$C271+1)+14,"00"),"")&amp;IF($C271&gt;=16,", "&amp;$A271&amp;"-"&amp;TEXT(($D271-$C271+1)+15,"00"),"")&amp;IF($C271&gt;=17,", "&amp;$A271&amp;"-"&amp;TEXT(($D271-$C271+1)+16,"00"),"")&amp;IF($C271&gt;=18,", "&amp;$A271&amp;"-"&amp;TEXT(($D271-$C271+1)+17,"00"),"")&amp;IF($C271&gt;=19,", "&amp;$A271&amp;"-"&amp;TEXT(($D271-$C271+1)+18,"00"),"")&amp;IF($C271&gt;=20,", "&amp;$A271&amp;"-"&amp;TEXT(($D271-$C271+1)+19,"00"),"")&amp;IF($C271&gt;=21,", "&amp;$A271&amp;"-"&amp;TEXT(($D271-$C271+1)+20,"00"),"")&amp;IF($C271&gt;=22,", "&amp;$A271&amp;"-"&amp;TEXT(($D271-$C271+1)+21,"00"),"")&amp;IF($C271&gt;=23,", "&amp;$A271&amp;"-"&amp;TEXT(($D271-$C271+1)+22,"00"),"")&amp;IF($C271&gt;=24,", "&amp;$A271&amp;"-"&amp;TEXT(($D271-$C271+1)+23,"00"),"")&amp;IF($C271&gt;=25,", "&amp;$A271&amp;"-"&amp;TEXT(($D271-$C271+1)+24,"00"),""))</f>
        <v/>
      </c>
      <c r="G271">
        <f>IF($A271="","",IF($E271=1,$F271,IF($F271="",$G270,IF($G270="",$F271,$G270&amp;", "&amp;$F271))))</f>
        <v/>
      </c>
      <c r="H271">
        <f>IF($A271="","",$A271&amp;" ("&amp;$C271&amp;")")</f>
        <v/>
      </c>
      <c r="I271">
        <f>IF($A271="","",IF($E271=1,$H271,$I270&amp;", "&amp;$H271))</f>
        <v/>
      </c>
      <c r="J271">
        <f>IF($A271="","",IF($E271=1,$B271,""))</f>
        <v/>
      </c>
      <c r="K271">
        <f>IF($A271="","",IF(COUNTIF($B$2:$B271,$B271)=COUNTIF($B$2:$B$1601,$B271),$B271,""))</f>
        <v/>
      </c>
    </row>
    <row r="272">
      <c r="A272">
        <f>IF('TMP Paste'!$E272="","",'TMP Paste'!$E272)</f>
        <v/>
      </c>
      <c r="B272">
        <f>IF($A272="","",COUNTIF('TMP Paste'!$B$2:$B272,"?*"))</f>
        <v/>
      </c>
      <c r="C272">
        <f>IF($A272="","",IFERROR('TMP Paste'!$M272*1,0))</f>
        <v/>
      </c>
      <c r="D272">
        <f>IF($A272="","",SUMIF($B$2:$B272,$B272,$C$2:$C272))</f>
        <v/>
      </c>
      <c r="E272">
        <f>IF($A272="",0,IF('TMP Paste'!$B272="",0,1))</f>
        <v/>
      </c>
      <c r="F272">
        <f>IF(OR($A272="",$C272&lt;1),"",$A272&amp;"-"&amp;TEXT(($D272-$C272+1),"00")&amp;IF($C272&gt;=2,", "&amp;$A272&amp;"-"&amp;TEXT(($D272-$C272+1)+1,"00"),"")&amp;IF($C272&gt;=3,", "&amp;$A272&amp;"-"&amp;TEXT(($D272-$C272+1)+2,"00"),"")&amp;IF($C272&gt;=4,", "&amp;$A272&amp;"-"&amp;TEXT(($D272-$C272+1)+3,"00"),"")&amp;IF($C272&gt;=5,", "&amp;$A272&amp;"-"&amp;TEXT(($D272-$C272+1)+4,"00"),"")&amp;IF($C272&gt;=6,", "&amp;$A272&amp;"-"&amp;TEXT(($D272-$C272+1)+5,"00"),"")&amp;IF($C272&gt;=7,", "&amp;$A272&amp;"-"&amp;TEXT(($D272-$C272+1)+6,"00"),"")&amp;IF($C272&gt;=8,", "&amp;$A272&amp;"-"&amp;TEXT(($D272-$C272+1)+7,"00"),"")&amp;IF($C272&gt;=9,", "&amp;$A272&amp;"-"&amp;TEXT(($D272-$C272+1)+8,"00"),"")&amp;IF($C272&gt;=10,", "&amp;$A272&amp;"-"&amp;TEXT(($D272-$C272+1)+9,"00"),"")&amp;IF($C272&gt;=11,", "&amp;$A272&amp;"-"&amp;TEXT(($D272-$C272+1)+10,"00"),"")&amp;IF($C272&gt;=12,", "&amp;$A272&amp;"-"&amp;TEXT(($D272-$C272+1)+11,"00"),"")&amp;IF($C272&gt;=13,", "&amp;$A272&amp;"-"&amp;TEXT(($D272-$C272+1)+12,"00"),"")&amp;IF($C272&gt;=14,", "&amp;$A272&amp;"-"&amp;TEXT(($D272-$C272+1)+13,"00"),"")&amp;IF($C272&gt;=15,", "&amp;$A272&amp;"-"&amp;TEXT(($D272-$C272+1)+14,"00"),"")&amp;IF($C272&gt;=16,", "&amp;$A272&amp;"-"&amp;TEXT(($D272-$C272+1)+15,"00"),"")&amp;IF($C272&gt;=17,", "&amp;$A272&amp;"-"&amp;TEXT(($D272-$C272+1)+16,"00"),"")&amp;IF($C272&gt;=18,", "&amp;$A272&amp;"-"&amp;TEXT(($D272-$C272+1)+17,"00"),"")&amp;IF($C272&gt;=19,", "&amp;$A272&amp;"-"&amp;TEXT(($D272-$C272+1)+18,"00"),"")&amp;IF($C272&gt;=20,", "&amp;$A272&amp;"-"&amp;TEXT(($D272-$C272+1)+19,"00"),"")&amp;IF($C272&gt;=21,", "&amp;$A272&amp;"-"&amp;TEXT(($D272-$C272+1)+20,"00"),"")&amp;IF($C272&gt;=22,", "&amp;$A272&amp;"-"&amp;TEXT(($D272-$C272+1)+21,"00"),"")&amp;IF($C272&gt;=23,", "&amp;$A272&amp;"-"&amp;TEXT(($D272-$C272+1)+22,"00"),"")&amp;IF($C272&gt;=24,", "&amp;$A272&amp;"-"&amp;TEXT(($D272-$C272+1)+23,"00"),"")&amp;IF($C272&gt;=25,", "&amp;$A272&amp;"-"&amp;TEXT(($D272-$C272+1)+24,"00"),""))</f>
        <v/>
      </c>
      <c r="G272">
        <f>IF($A272="","",IF($E272=1,$F272,IF($F272="",$G271,IF($G271="",$F272,$G271&amp;", "&amp;$F272))))</f>
        <v/>
      </c>
      <c r="H272">
        <f>IF($A272="","",$A272&amp;" ("&amp;$C272&amp;")")</f>
        <v/>
      </c>
      <c r="I272">
        <f>IF($A272="","",IF($E272=1,$H272,$I271&amp;", "&amp;$H272))</f>
        <v/>
      </c>
      <c r="J272">
        <f>IF($A272="","",IF($E272=1,$B272,""))</f>
        <v/>
      </c>
      <c r="K272">
        <f>IF($A272="","",IF(COUNTIF($B$2:$B272,$B272)=COUNTIF($B$2:$B$1601,$B272),$B272,""))</f>
        <v/>
      </c>
    </row>
    <row r="273">
      <c r="A273">
        <f>IF('TMP Paste'!$E273="","",'TMP Paste'!$E273)</f>
        <v/>
      </c>
      <c r="B273">
        <f>IF($A273="","",COUNTIF('TMP Paste'!$B$2:$B273,"?*"))</f>
        <v/>
      </c>
      <c r="C273">
        <f>IF($A273="","",IFERROR('TMP Paste'!$M273*1,0))</f>
        <v/>
      </c>
      <c r="D273">
        <f>IF($A273="","",SUMIF($B$2:$B273,$B273,$C$2:$C273))</f>
        <v/>
      </c>
      <c r="E273">
        <f>IF($A273="",0,IF('TMP Paste'!$B273="",0,1))</f>
        <v/>
      </c>
      <c r="F273">
        <f>IF(OR($A273="",$C273&lt;1),"",$A273&amp;"-"&amp;TEXT(($D273-$C273+1),"00")&amp;IF($C273&gt;=2,", "&amp;$A273&amp;"-"&amp;TEXT(($D273-$C273+1)+1,"00"),"")&amp;IF($C273&gt;=3,", "&amp;$A273&amp;"-"&amp;TEXT(($D273-$C273+1)+2,"00"),"")&amp;IF($C273&gt;=4,", "&amp;$A273&amp;"-"&amp;TEXT(($D273-$C273+1)+3,"00"),"")&amp;IF($C273&gt;=5,", "&amp;$A273&amp;"-"&amp;TEXT(($D273-$C273+1)+4,"00"),"")&amp;IF($C273&gt;=6,", "&amp;$A273&amp;"-"&amp;TEXT(($D273-$C273+1)+5,"00"),"")&amp;IF($C273&gt;=7,", "&amp;$A273&amp;"-"&amp;TEXT(($D273-$C273+1)+6,"00"),"")&amp;IF($C273&gt;=8,", "&amp;$A273&amp;"-"&amp;TEXT(($D273-$C273+1)+7,"00"),"")&amp;IF($C273&gt;=9,", "&amp;$A273&amp;"-"&amp;TEXT(($D273-$C273+1)+8,"00"),"")&amp;IF($C273&gt;=10,", "&amp;$A273&amp;"-"&amp;TEXT(($D273-$C273+1)+9,"00"),"")&amp;IF($C273&gt;=11,", "&amp;$A273&amp;"-"&amp;TEXT(($D273-$C273+1)+10,"00"),"")&amp;IF($C273&gt;=12,", "&amp;$A273&amp;"-"&amp;TEXT(($D273-$C273+1)+11,"00"),"")&amp;IF($C273&gt;=13,", "&amp;$A273&amp;"-"&amp;TEXT(($D273-$C273+1)+12,"00"),"")&amp;IF($C273&gt;=14,", "&amp;$A273&amp;"-"&amp;TEXT(($D273-$C273+1)+13,"00"),"")&amp;IF($C273&gt;=15,", "&amp;$A273&amp;"-"&amp;TEXT(($D273-$C273+1)+14,"00"),"")&amp;IF($C273&gt;=16,", "&amp;$A273&amp;"-"&amp;TEXT(($D273-$C273+1)+15,"00"),"")&amp;IF($C273&gt;=17,", "&amp;$A273&amp;"-"&amp;TEXT(($D273-$C273+1)+16,"00"),"")&amp;IF($C273&gt;=18,", "&amp;$A273&amp;"-"&amp;TEXT(($D273-$C273+1)+17,"00"),"")&amp;IF($C273&gt;=19,", "&amp;$A273&amp;"-"&amp;TEXT(($D273-$C273+1)+18,"00"),"")&amp;IF($C273&gt;=20,", "&amp;$A273&amp;"-"&amp;TEXT(($D273-$C273+1)+19,"00"),"")&amp;IF($C273&gt;=21,", "&amp;$A273&amp;"-"&amp;TEXT(($D273-$C273+1)+20,"00"),"")&amp;IF($C273&gt;=22,", "&amp;$A273&amp;"-"&amp;TEXT(($D273-$C273+1)+21,"00"),"")&amp;IF($C273&gt;=23,", "&amp;$A273&amp;"-"&amp;TEXT(($D273-$C273+1)+22,"00"),"")&amp;IF($C273&gt;=24,", "&amp;$A273&amp;"-"&amp;TEXT(($D273-$C273+1)+23,"00"),"")&amp;IF($C273&gt;=25,", "&amp;$A273&amp;"-"&amp;TEXT(($D273-$C273+1)+24,"00"),""))</f>
        <v/>
      </c>
      <c r="G273">
        <f>IF($A273="","",IF($E273=1,$F273,IF($F273="",$G272,IF($G272="",$F273,$G272&amp;", "&amp;$F273))))</f>
        <v/>
      </c>
      <c r="H273">
        <f>IF($A273="","",$A273&amp;" ("&amp;$C273&amp;")")</f>
        <v/>
      </c>
      <c r="I273">
        <f>IF($A273="","",IF($E273=1,$H273,$I272&amp;", "&amp;$H273))</f>
        <v/>
      </c>
      <c r="J273">
        <f>IF($A273="","",IF($E273=1,$B273,""))</f>
        <v/>
      </c>
      <c r="K273">
        <f>IF($A273="","",IF(COUNTIF($B$2:$B273,$B273)=COUNTIF($B$2:$B$1601,$B273),$B273,""))</f>
        <v/>
      </c>
    </row>
    <row r="274">
      <c r="A274">
        <f>IF('TMP Paste'!$E274="","",'TMP Paste'!$E274)</f>
        <v/>
      </c>
      <c r="B274">
        <f>IF($A274="","",COUNTIF('TMP Paste'!$B$2:$B274,"?*"))</f>
        <v/>
      </c>
      <c r="C274">
        <f>IF($A274="","",IFERROR('TMP Paste'!$M274*1,0))</f>
        <v/>
      </c>
      <c r="D274">
        <f>IF($A274="","",SUMIF($B$2:$B274,$B274,$C$2:$C274))</f>
        <v/>
      </c>
      <c r="E274">
        <f>IF($A274="",0,IF('TMP Paste'!$B274="",0,1))</f>
        <v/>
      </c>
      <c r="F274">
        <f>IF(OR($A274="",$C274&lt;1),"",$A274&amp;"-"&amp;TEXT(($D274-$C274+1),"00")&amp;IF($C274&gt;=2,", "&amp;$A274&amp;"-"&amp;TEXT(($D274-$C274+1)+1,"00"),"")&amp;IF($C274&gt;=3,", "&amp;$A274&amp;"-"&amp;TEXT(($D274-$C274+1)+2,"00"),"")&amp;IF($C274&gt;=4,", "&amp;$A274&amp;"-"&amp;TEXT(($D274-$C274+1)+3,"00"),"")&amp;IF($C274&gt;=5,", "&amp;$A274&amp;"-"&amp;TEXT(($D274-$C274+1)+4,"00"),"")&amp;IF($C274&gt;=6,", "&amp;$A274&amp;"-"&amp;TEXT(($D274-$C274+1)+5,"00"),"")&amp;IF($C274&gt;=7,", "&amp;$A274&amp;"-"&amp;TEXT(($D274-$C274+1)+6,"00"),"")&amp;IF($C274&gt;=8,", "&amp;$A274&amp;"-"&amp;TEXT(($D274-$C274+1)+7,"00"),"")&amp;IF($C274&gt;=9,", "&amp;$A274&amp;"-"&amp;TEXT(($D274-$C274+1)+8,"00"),"")&amp;IF($C274&gt;=10,", "&amp;$A274&amp;"-"&amp;TEXT(($D274-$C274+1)+9,"00"),"")&amp;IF($C274&gt;=11,", "&amp;$A274&amp;"-"&amp;TEXT(($D274-$C274+1)+10,"00"),"")&amp;IF($C274&gt;=12,", "&amp;$A274&amp;"-"&amp;TEXT(($D274-$C274+1)+11,"00"),"")&amp;IF($C274&gt;=13,", "&amp;$A274&amp;"-"&amp;TEXT(($D274-$C274+1)+12,"00"),"")&amp;IF($C274&gt;=14,", "&amp;$A274&amp;"-"&amp;TEXT(($D274-$C274+1)+13,"00"),"")&amp;IF($C274&gt;=15,", "&amp;$A274&amp;"-"&amp;TEXT(($D274-$C274+1)+14,"00"),"")&amp;IF($C274&gt;=16,", "&amp;$A274&amp;"-"&amp;TEXT(($D274-$C274+1)+15,"00"),"")&amp;IF($C274&gt;=17,", "&amp;$A274&amp;"-"&amp;TEXT(($D274-$C274+1)+16,"00"),"")&amp;IF($C274&gt;=18,", "&amp;$A274&amp;"-"&amp;TEXT(($D274-$C274+1)+17,"00"),"")&amp;IF($C274&gt;=19,", "&amp;$A274&amp;"-"&amp;TEXT(($D274-$C274+1)+18,"00"),"")&amp;IF($C274&gt;=20,", "&amp;$A274&amp;"-"&amp;TEXT(($D274-$C274+1)+19,"00"),"")&amp;IF($C274&gt;=21,", "&amp;$A274&amp;"-"&amp;TEXT(($D274-$C274+1)+20,"00"),"")&amp;IF($C274&gt;=22,", "&amp;$A274&amp;"-"&amp;TEXT(($D274-$C274+1)+21,"00"),"")&amp;IF($C274&gt;=23,", "&amp;$A274&amp;"-"&amp;TEXT(($D274-$C274+1)+22,"00"),"")&amp;IF($C274&gt;=24,", "&amp;$A274&amp;"-"&amp;TEXT(($D274-$C274+1)+23,"00"),"")&amp;IF($C274&gt;=25,", "&amp;$A274&amp;"-"&amp;TEXT(($D274-$C274+1)+24,"00"),""))</f>
        <v/>
      </c>
      <c r="G274">
        <f>IF($A274="","",IF($E274=1,$F274,IF($F274="",$G273,IF($G273="",$F274,$G273&amp;", "&amp;$F274))))</f>
        <v/>
      </c>
      <c r="H274">
        <f>IF($A274="","",$A274&amp;" ("&amp;$C274&amp;")")</f>
        <v/>
      </c>
      <c r="I274">
        <f>IF($A274="","",IF($E274=1,$H274,$I273&amp;", "&amp;$H274))</f>
        <v/>
      </c>
      <c r="J274">
        <f>IF($A274="","",IF($E274=1,$B274,""))</f>
        <v/>
      </c>
      <c r="K274">
        <f>IF($A274="","",IF(COUNTIF($B$2:$B274,$B274)=COUNTIF($B$2:$B$1601,$B274),$B274,""))</f>
        <v/>
      </c>
    </row>
    <row r="275">
      <c r="A275">
        <f>IF('TMP Paste'!$E275="","",'TMP Paste'!$E275)</f>
        <v/>
      </c>
      <c r="B275">
        <f>IF($A275="","",COUNTIF('TMP Paste'!$B$2:$B275,"?*"))</f>
        <v/>
      </c>
      <c r="C275">
        <f>IF($A275="","",IFERROR('TMP Paste'!$M275*1,0))</f>
        <v/>
      </c>
      <c r="D275">
        <f>IF($A275="","",SUMIF($B$2:$B275,$B275,$C$2:$C275))</f>
        <v/>
      </c>
      <c r="E275">
        <f>IF($A275="",0,IF('TMP Paste'!$B275="",0,1))</f>
        <v/>
      </c>
      <c r="F275">
        <f>IF(OR($A275="",$C275&lt;1),"",$A275&amp;"-"&amp;TEXT(($D275-$C275+1),"00")&amp;IF($C275&gt;=2,", "&amp;$A275&amp;"-"&amp;TEXT(($D275-$C275+1)+1,"00"),"")&amp;IF($C275&gt;=3,", "&amp;$A275&amp;"-"&amp;TEXT(($D275-$C275+1)+2,"00"),"")&amp;IF($C275&gt;=4,", "&amp;$A275&amp;"-"&amp;TEXT(($D275-$C275+1)+3,"00"),"")&amp;IF($C275&gt;=5,", "&amp;$A275&amp;"-"&amp;TEXT(($D275-$C275+1)+4,"00"),"")&amp;IF($C275&gt;=6,", "&amp;$A275&amp;"-"&amp;TEXT(($D275-$C275+1)+5,"00"),"")&amp;IF($C275&gt;=7,", "&amp;$A275&amp;"-"&amp;TEXT(($D275-$C275+1)+6,"00"),"")&amp;IF($C275&gt;=8,", "&amp;$A275&amp;"-"&amp;TEXT(($D275-$C275+1)+7,"00"),"")&amp;IF($C275&gt;=9,", "&amp;$A275&amp;"-"&amp;TEXT(($D275-$C275+1)+8,"00"),"")&amp;IF($C275&gt;=10,", "&amp;$A275&amp;"-"&amp;TEXT(($D275-$C275+1)+9,"00"),"")&amp;IF($C275&gt;=11,", "&amp;$A275&amp;"-"&amp;TEXT(($D275-$C275+1)+10,"00"),"")&amp;IF($C275&gt;=12,", "&amp;$A275&amp;"-"&amp;TEXT(($D275-$C275+1)+11,"00"),"")&amp;IF($C275&gt;=13,", "&amp;$A275&amp;"-"&amp;TEXT(($D275-$C275+1)+12,"00"),"")&amp;IF($C275&gt;=14,", "&amp;$A275&amp;"-"&amp;TEXT(($D275-$C275+1)+13,"00"),"")&amp;IF($C275&gt;=15,", "&amp;$A275&amp;"-"&amp;TEXT(($D275-$C275+1)+14,"00"),"")&amp;IF($C275&gt;=16,", "&amp;$A275&amp;"-"&amp;TEXT(($D275-$C275+1)+15,"00"),"")&amp;IF($C275&gt;=17,", "&amp;$A275&amp;"-"&amp;TEXT(($D275-$C275+1)+16,"00"),"")&amp;IF($C275&gt;=18,", "&amp;$A275&amp;"-"&amp;TEXT(($D275-$C275+1)+17,"00"),"")&amp;IF($C275&gt;=19,", "&amp;$A275&amp;"-"&amp;TEXT(($D275-$C275+1)+18,"00"),"")&amp;IF($C275&gt;=20,", "&amp;$A275&amp;"-"&amp;TEXT(($D275-$C275+1)+19,"00"),"")&amp;IF($C275&gt;=21,", "&amp;$A275&amp;"-"&amp;TEXT(($D275-$C275+1)+20,"00"),"")&amp;IF($C275&gt;=22,", "&amp;$A275&amp;"-"&amp;TEXT(($D275-$C275+1)+21,"00"),"")&amp;IF($C275&gt;=23,", "&amp;$A275&amp;"-"&amp;TEXT(($D275-$C275+1)+22,"00"),"")&amp;IF($C275&gt;=24,", "&amp;$A275&amp;"-"&amp;TEXT(($D275-$C275+1)+23,"00"),"")&amp;IF($C275&gt;=25,", "&amp;$A275&amp;"-"&amp;TEXT(($D275-$C275+1)+24,"00"),""))</f>
        <v/>
      </c>
      <c r="G275">
        <f>IF($A275="","",IF($E275=1,$F275,IF($F275="",$G274,IF($G274="",$F275,$G274&amp;", "&amp;$F275))))</f>
        <v/>
      </c>
      <c r="H275">
        <f>IF($A275="","",$A275&amp;" ("&amp;$C275&amp;")")</f>
        <v/>
      </c>
      <c r="I275">
        <f>IF($A275="","",IF($E275=1,$H275,$I274&amp;", "&amp;$H275))</f>
        <v/>
      </c>
      <c r="J275">
        <f>IF($A275="","",IF($E275=1,$B275,""))</f>
        <v/>
      </c>
      <c r="K275">
        <f>IF($A275="","",IF(COUNTIF($B$2:$B275,$B275)=COUNTIF($B$2:$B$1601,$B275),$B275,""))</f>
        <v/>
      </c>
    </row>
    <row r="276">
      <c r="A276">
        <f>IF('TMP Paste'!$E276="","",'TMP Paste'!$E276)</f>
        <v/>
      </c>
      <c r="B276">
        <f>IF($A276="","",COUNTIF('TMP Paste'!$B$2:$B276,"?*"))</f>
        <v/>
      </c>
      <c r="C276">
        <f>IF($A276="","",IFERROR('TMP Paste'!$M276*1,0))</f>
        <v/>
      </c>
      <c r="D276">
        <f>IF($A276="","",SUMIF($B$2:$B276,$B276,$C$2:$C276))</f>
        <v/>
      </c>
      <c r="E276">
        <f>IF($A276="",0,IF('TMP Paste'!$B276="",0,1))</f>
        <v/>
      </c>
      <c r="F276">
        <f>IF(OR($A276="",$C276&lt;1),"",$A276&amp;"-"&amp;TEXT(($D276-$C276+1),"00")&amp;IF($C276&gt;=2,", "&amp;$A276&amp;"-"&amp;TEXT(($D276-$C276+1)+1,"00"),"")&amp;IF($C276&gt;=3,", "&amp;$A276&amp;"-"&amp;TEXT(($D276-$C276+1)+2,"00"),"")&amp;IF($C276&gt;=4,", "&amp;$A276&amp;"-"&amp;TEXT(($D276-$C276+1)+3,"00"),"")&amp;IF($C276&gt;=5,", "&amp;$A276&amp;"-"&amp;TEXT(($D276-$C276+1)+4,"00"),"")&amp;IF($C276&gt;=6,", "&amp;$A276&amp;"-"&amp;TEXT(($D276-$C276+1)+5,"00"),"")&amp;IF($C276&gt;=7,", "&amp;$A276&amp;"-"&amp;TEXT(($D276-$C276+1)+6,"00"),"")&amp;IF($C276&gt;=8,", "&amp;$A276&amp;"-"&amp;TEXT(($D276-$C276+1)+7,"00"),"")&amp;IF($C276&gt;=9,", "&amp;$A276&amp;"-"&amp;TEXT(($D276-$C276+1)+8,"00"),"")&amp;IF($C276&gt;=10,", "&amp;$A276&amp;"-"&amp;TEXT(($D276-$C276+1)+9,"00"),"")&amp;IF($C276&gt;=11,", "&amp;$A276&amp;"-"&amp;TEXT(($D276-$C276+1)+10,"00"),"")&amp;IF($C276&gt;=12,", "&amp;$A276&amp;"-"&amp;TEXT(($D276-$C276+1)+11,"00"),"")&amp;IF($C276&gt;=13,", "&amp;$A276&amp;"-"&amp;TEXT(($D276-$C276+1)+12,"00"),"")&amp;IF($C276&gt;=14,", "&amp;$A276&amp;"-"&amp;TEXT(($D276-$C276+1)+13,"00"),"")&amp;IF($C276&gt;=15,", "&amp;$A276&amp;"-"&amp;TEXT(($D276-$C276+1)+14,"00"),"")&amp;IF($C276&gt;=16,", "&amp;$A276&amp;"-"&amp;TEXT(($D276-$C276+1)+15,"00"),"")&amp;IF($C276&gt;=17,", "&amp;$A276&amp;"-"&amp;TEXT(($D276-$C276+1)+16,"00"),"")&amp;IF($C276&gt;=18,", "&amp;$A276&amp;"-"&amp;TEXT(($D276-$C276+1)+17,"00"),"")&amp;IF($C276&gt;=19,", "&amp;$A276&amp;"-"&amp;TEXT(($D276-$C276+1)+18,"00"),"")&amp;IF($C276&gt;=20,", "&amp;$A276&amp;"-"&amp;TEXT(($D276-$C276+1)+19,"00"),"")&amp;IF($C276&gt;=21,", "&amp;$A276&amp;"-"&amp;TEXT(($D276-$C276+1)+20,"00"),"")&amp;IF($C276&gt;=22,", "&amp;$A276&amp;"-"&amp;TEXT(($D276-$C276+1)+21,"00"),"")&amp;IF($C276&gt;=23,", "&amp;$A276&amp;"-"&amp;TEXT(($D276-$C276+1)+22,"00"),"")&amp;IF($C276&gt;=24,", "&amp;$A276&amp;"-"&amp;TEXT(($D276-$C276+1)+23,"00"),"")&amp;IF($C276&gt;=25,", "&amp;$A276&amp;"-"&amp;TEXT(($D276-$C276+1)+24,"00"),""))</f>
        <v/>
      </c>
      <c r="G276">
        <f>IF($A276="","",IF($E276=1,$F276,IF($F276="",$G275,IF($G275="",$F276,$G275&amp;", "&amp;$F276))))</f>
        <v/>
      </c>
      <c r="H276">
        <f>IF($A276="","",$A276&amp;" ("&amp;$C276&amp;")")</f>
        <v/>
      </c>
      <c r="I276">
        <f>IF($A276="","",IF($E276=1,$H276,$I275&amp;", "&amp;$H276))</f>
        <v/>
      </c>
      <c r="J276">
        <f>IF($A276="","",IF($E276=1,$B276,""))</f>
        <v/>
      </c>
      <c r="K276">
        <f>IF($A276="","",IF(COUNTIF($B$2:$B276,$B276)=COUNTIF($B$2:$B$1601,$B276),$B276,""))</f>
        <v/>
      </c>
    </row>
    <row r="277">
      <c r="A277">
        <f>IF('TMP Paste'!$E277="","",'TMP Paste'!$E277)</f>
        <v/>
      </c>
      <c r="B277">
        <f>IF($A277="","",COUNTIF('TMP Paste'!$B$2:$B277,"?*"))</f>
        <v/>
      </c>
      <c r="C277">
        <f>IF($A277="","",IFERROR('TMP Paste'!$M277*1,0))</f>
        <v/>
      </c>
      <c r="D277">
        <f>IF($A277="","",SUMIF($B$2:$B277,$B277,$C$2:$C277))</f>
        <v/>
      </c>
      <c r="E277">
        <f>IF($A277="",0,IF('TMP Paste'!$B277="",0,1))</f>
        <v/>
      </c>
      <c r="F277">
        <f>IF(OR($A277="",$C277&lt;1),"",$A277&amp;"-"&amp;TEXT(($D277-$C277+1),"00")&amp;IF($C277&gt;=2,", "&amp;$A277&amp;"-"&amp;TEXT(($D277-$C277+1)+1,"00"),"")&amp;IF($C277&gt;=3,", "&amp;$A277&amp;"-"&amp;TEXT(($D277-$C277+1)+2,"00"),"")&amp;IF($C277&gt;=4,", "&amp;$A277&amp;"-"&amp;TEXT(($D277-$C277+1)+3,"00"),"")&amp;IF($C277&gt;=5,", "&amp;$A277&amp;"-"&amp;TEXT(($D277-$C277+1)+4,"00"),"")&amp;IF($C277&gt;=6,", "&amp;$A277&amp;"-"&amp;TEXT(($D277-$C277+1)+5,"00"),"")&amp;IF($C277&gt;=7,", "&amp;$A277&amp;"-"&amp;TEXT(($D277-$C277+1)+6,"00"),"")&amp;IF($C277&gt;=8,", "&amp;$A277&amp;"-"&amp;TEXT(($D277-$C277+1)+7,"00"),"")&amp;IF($C277&gt;=9,", "&amp;$A277&amp;"-"&amp;TEXT(($D277-$C277+1)+8,"00"),"")&amp;IF($C277&gt;=10,", "&amp;$A277&amp;"-"&amp;TEXT(($D277-$C277+1)+9,"00"),"")&amp;IF($C277&gt;=11,", "&amp;$A277&amp;"-"&amp;TEXT(($D277-$C277+1)+10,"00"),"")&amp;IF($C277&gt;=12,", "&amp;$A277&amp;"-"&amp;TEXT(($D277-$C277+1)+11,"00"),"")&amp;IF($C277&gt;=13,", "&amp;$A277&amp;"-"&amp;TEXT(($D277-$C277+1)+12,"00"),"")&amp;IF($C277&gt;=14,", "&amp;$A277&amp;"-"&amp;TEXT(($D277-$C277+1)+13,"00"),"")&amp;IF($C277&gt;=15,", "&amp;$A277&amp;"-"&amp;TEXT(($D277-$C277+1)+14,"00"),"")&amp;IF($C277&gt;=16,", "&amp;$A277&amp;"-"&amp;TEXT(($D277-$C277+1)+15,"00"),"")&amp;IF($C277&gt;=17,", "&amp;$A277&amp;"-"&amp;TEXT(($D277-$C277+1)+16,"00"),"")&amp;IF($C277&gt;=18,", "&amp;$A277&amp;"-"&amp;TEXT(($D277-$C277+1)+17,"00"),"")&amp;IF($C277&gt;=19,", "&amp;$A277&amp;"-"&amp;TEXT(($D277-$C277+1)+18,"00"),"")&amp;IF($C277&gt;=20,", "&amp;$A277&amp;"-"&amp;TEXT(($D277-$C277+1)+19,"00"),"")&amp;IF($C277&gt;=21,", "&amp;$A277&amp;"-"&amp;TEXT(($D277-$C277+1)+20,"00"),"")&amp;IF($C277&gt;=22,", "&amp;$A277&amp;"-"&amp;TEXT(($D277-$C277+1)+21,"00"),"")&amp;IF($C277&gt;=23,", "&amp;$A277&amp;"-"&amp;TEXT(($D277-$C277+1)+22,"00"),"")&amp;IF($C277&gt;=24,", "&amp;$A277&amp;"-"&amp;TEXT(($D277-$C277+1)+23,"00"),"")&amp;IF($C277&gt;=25,", "&amp;$A277&amp;"-"&amp;TEXT(($D277-$C277+1)+24,"00"),""))</f>
        <v/>
      </c>
      <c r="G277">
        <f>IF($A277="","",IF($E277=1,$F277,IF($F277="",$G276,IF($G276="",$F277,$G276&amp;", "&amp;$F277))))</f>
        <v/>
      </c>
      <c r="H277">
        <f>IF($A277="","",$A277&amp;" ("&amp;$C277&amp;")")</f>
        <v/>
      </c>
      <c r="I277">
        <f>IF($A277="","",IF($E277=1,$H277,$I276&amp;", "&amp;$H277))</f>
        <v/>
      </c>
      <c r="J277">
        <f>IF($A277="","",IF($E277=1,$B277,""))</f>
        <v/>
      </c>
      <c r="K277">
        <f>IF($A277="","",IF(COUNTIF($B$2:$B277,$B277)=COUNTIF($B$2:$B$1601,$B277),$B277,""))</f>
        <v/>
      </c>
    </row>
    <row r="278">
      <c r="A278">
        <f>IF('TMP Paste'!$E278="","",'TMP Paste'!$E278)</f>
        <v/>
      </c>
      <c r="B278">
        <f>IF($A278="","",COUNTIF('TMP Paste'!$B$2:$B278,"?*"))</f>
        <v/>
      </c>
      <c r="C278">
        <f>IF($A278="","",IFERROR('TMP Paste'!$M278*1,0))</f>
        <v/>
      </c>
      <c r="D278">
        <f>IF($A278="","",SUMIF($B$2:$B278,$B278,$C$2:$C278))</f>
        <v/>
      </c>
      <c r="E278">
        <f>IF($A278="",0,IF('TMP Paste'!$B278="",0,1))</f>
        <v/>
      </c>
      <c r="F278">
        <f>IF(OR($A278="",$C278&lt;1),"",$A278&amp;"-"&amp;TEXT(($D278-$C278+1),"00")&amp;IF($C278&gt;=2,", "&amp;$A278&amp;"-"&amp;TEXT(($D278-$C278+1)+1,"00"),"")&amp;IF($C278&gt;=3,", "&amp;$A278&amp;"-"&amp;TEXT(($D278-$C278+1)+2,"00"),"")&amp;IF($C278&gt;=4,", "&amp;$A278&amp;"-"&amp;TEXT(($D278-$C278+1)+3,"00"),"")&amp;IF($C278&gt;=5,", "&amp;$A278&amp;"-"&amp;TEXT(($D278-$C278+1)+4,"00"),"")&amp;IF($C278&gt;=6,", "&amp;$A278&amp;"-"&amp;TEXT(($D278-$C278+1)+5,"00"),"")&amp;IF($C278&gt;=7,", "&amp;$A278&amp;"-"&amp;TEXT(($D278-$C278+1)+6,"00"),"")&amp;IF($C278&gt;=8,", "&amp;$A278&amp;"-"&amp;TEXT(($D278-$C278+1)+7,"00"),"")&amp;IF($C278&gt;=9,", "&amp;$A278&amp;"-"&amp;TEXT(($D278-$C278+1)+8,"00"),"")&amp;IF($C278&gt;=10,", "&amp;$A278&amp;"-"&amp;TEXT(($D278-$C278+1)+9,"00"),"")&amp;IF($C278&gt;=11,", "&amp;$A278&amp;"-"&amp;TEXT(($D278-$C278+1)+10,"00"),"")&amp;IF($C278&gt;=12,", "&amp;$A278&amp;"-"&amp;TEXT(($D278-$C278+1)+11,"00"),"")&amp;IF($C278&gt;=13,", "&amp;$A278&amp;"-"&amp;TEXT(($D278-$C278+1)+12,"00"),"")&amp;IF($C278&gt;=14,", "&amp;$A278&amp;"-"&amp;TEXT(($D278-$C278+1)+13,"00"),"")&amp;IF($C278&gt;=15,", "&amp;$A278&amp;"-"&amp;TEXT(($D278-$C278+1)+14,"00"),"")&amp;IF($C278&gt;=16,", "&amp;$A278&amp;"-"&amp;TEXT(($D278-$C278+1)+15,"00"),"")&amp;IF($C278&gt;=17,", "&amp;$A278&amp;"-"&amp;TEXT(($D278-$C278+1)+16,"00"),"")&amp;IF($C278&gt;=18,", "&amp;$A278&amp;"-"&amp;TEXT(($D278-$C278+1)+17,"00"),"")&amp;IF($C278&gt;=19,", "&amp;$A278&amp;"-"&amp;TEXT(($D278-$C278+1)+18,"00"),"")&amp;IF($C278&gt;=20,", "&amp;$A278&amp;"-"&amp;TEXT(($D278-$C278+1)+19,"00"),"")&amp;IF($C278&gt;=21,", "&amp;$A278&amp;"-"&amp;TEXT(($D278-$C278+1)+20,"00"),"")&amp;IF($C278&gt;=22,", "&amp;$A278&amp;"-"&amp;TEXT(($D278-$C278+1)+21,"00"),"")&amp;IF($C278&gt;=23,", "&amp;$A278&amp;"-"&amp;TEXT(($D278-$C278+1)+22,"00"),"")&amp;IF($C278&gt;=24,", "&amp;$A278&amp;"-"&amp;TEXT(($D278-$C278+1)+23,"00"),"")&amp;IF($C278&gt;=25,", "&amp;$A278&amp;"-"&amp;TEXT(($D278-$C278+1)+24,"00"),""))</f>
        <v/>
      </c>
      <c r="G278">
        <f>IF($A278="","",IF($E278=1,$F278,IF($F278="",$G277,IF($G277="",$F278,$G277&amp;", "&amp;$F278))))</f>
        <v/>
      </c>
      <c r="H278">
        <f>IF($A278="","",$A278&amp;" ("&amp;$C278&amp;")")</f>
        <v/>
      </c>
      <c r="I278">
        <f>IF($A278="","",IF($E278=1,$H278,$I277&amp;", "&amp;$H278))</f>
        <v/>
      </c>
      <c r="J278">
        <f>IF($A278="","",IF($E278=1,$B278,""))</f>
        <v/>
      </c>
      <c r="K278">
        <f>IF($A278="","",IF(COUNTIF($B$2:$B278,$B278)=COUNTIF($B$2:$B$1601,$B278),$B278,""))</f>
        <v/>
      </c>
    </row>
    <row r="279">
      <c r="A279">
        <f>IF('TMP Paste'!$E279="","",'TMP Paste'!$E279)</f>
        <v/>
      </c>
      <c r="B279">
        <f>IF($A279="","",COUNTIF('TMP Paste'!$B$2:$B279,"?*"))</f>
        <v/>
      </c>
      <c r="C279">
        <f>IF($A279="","",IFERROR('TMP Paste'!$M279*1,0))</f>
        <v/>
      </c>
      <c r="D279">
        <f>IF($A279="","",SUMIF($B$2:$B279,$B279,$C$2:$C279))</f>
        <v/>
      </c>
      <c r="E279">
        <f>IF($A279="",0,IF('TMP Paste'!$B279="",0,1))</f>
        <v/>
      </c>
      <c r="F279">
        <f>IF(OR($A279="",$C279&lt;1),"",$A279&amp;"-"&amp;TEXT(($D279-$C279+1),"00")&amp;IF($C279&gt;=2,", "&amp;$A279&amp;"-"&amp;TEXT(($D279-$C279+1)+1,"00"),"")&amp;IF($C279&gt;=3,", "&amp;$A279&amp;"-"&amp;TEXT(($D279-$C279+1)+2,"00"),"")&amp;IF($C279&gt;=4,", "&amp;$A279&amp;"-"&amp;TEXT(($D279-$C279+1)+3,"00"),"")&amp;IF($C279&gt;=5,", "&amp;$A279&amp;"-"&amp;TEXT(($D279-$C279+1)+4,"00"),"")&amp;IF($C279&gt;=6,", "&amp;$A279&amp;"-"&amp;TEXT(($D279-$C279+1)+5,"00"),"")&amp;IF($C279&gt;=7,", "&amp;$A279&amp;"-"&amp;TEXT(($D279-$C279+1)+6,"00"),"")&amp;IF($C279&gt;=8,", "&amp;$A279&amp;"-"&amp;TEXT(($D279-$C279+1)+7,"00"),"")&amp;IF($C279&gt;=9,", "&amp;$A279&amp;"-"&amp;TEXT(($D279-$C279+1)+8,"00"),"")&amp;IF($C279&gt;=10,", "&amp;$A279&amp;"-"&amp;TEXT(($D279-$C279+1)+9,"00"),"")&amp;IF($C279&gt;=11,", "&amp;$A279&amp;"-"&amp;TEXT(($D279-$C279+1)+10,"00"),"")&amp;IF($C279&gt;=12,", "&amp;$A279&amp;"-"&amp;TEXT(($D279-$C279+1)+11,"00"),"")&amp;IF($C279&gt;=13,", "&amp;$A279&amp;"-"&amp;TEXT(($D279-$C279+1)+12,"00"),"")&amp;IF($C279&gt;=14,", "&amp;$A279&amp;"-"&amp;TEXT(($D279-$C279+1)+13,"00"),"")&amp;IF($C279&gt;=15,", "&amp;$A279&amp;"-"&amp;TEXT(($D279-$C279+1)+14,"00"),"")&amp;IF($C279&gt;=16,", "&amp;$A279&amp;"-"&amp;TEXT(($D279-$C279+1)+15,"00"),"")&amp;IF($C279&gt;=17,", "&amp;$A279&amp;"-"&amp;TEXT(($D279-$C279+1)+16,"00"),"")&amp;IF($C279&gt;=18,", "&amp;$A279&amp;"-"&amp;TEXT(($D279-$C279+1)+17,"00"),"")&amp;IF($C279&gt;=19,", "&amp;$A279&amp;"-"&amp;TEXT(($D279-$C279+1)+18,"00"),"")&amp;IF($C279&gt;=20,", "&amp;$A279&amp;"-"&amp;TEXT(($D279-$C279+1)+19,"00"),"")&amp;IF($C279&gt;=21,", "&amp;$A279&amp;"-"&amp;TEXT(($D279-$C279+1)+20,"00"),"")&amp;IF($C279&gt;=22,", "&amp;$A279&amp;"-"&amp;TEXT(($D279-$C279+1)+21,"00"),"")&amp;IF($C279&gt;=23,", "&amp;$A279&amp;"-"&amp;TEXT(($D279-$C279+1)+22,"00"),"")&amp;IF($C279&gt;=24,", "&amp;$A279&amp;"-"&amp;TEXT(($D279-$C279+1)+23,"00"),"")&amp;IF($C279&gt;=25,", "&amp;$A279&amp;"-"&amp;TEXT(($D279-$C279+1)+24,"00"),""))</f>
        <v/>
      </c>
      <c r="G279">
        <f>IF($A279="","",IF($E279=1,$F279,IF($F279="",$G278,IF($G278="",$F279,$G278&amp;", "&amp;$F279))))</f>
        <v/>
      </c>
      <c r="H279">
        <f>IF($A279="","",$A279&amp;" ("&amp;$C279&amp;")")</f>
        <v/>
      </c>
      <c r="I279">
        <f>IF($A279="","",IF($E279=1,$H279,$I278&amp;", "&amp;$H279))</f>
        <v/>
      </c>
      <c r="J279">
        <f>IF($A279="","",IF($E279=1,$B279,""))</f>
        <v/>
      </c>
      <c r="K279">
        <f>IF($A279="","",IF(COUNTIF($B$2:$B279,$B279)=COUNTIF($B$2:$B$1601,$B279),$B279,""))</f>
        <v/>
      </c>
    </row>
    <row r="280">
      <c r="A280">
        <f>IF('TMP Paste'!$E280="","",'TMP Paste'!$E280)</f>
        <v/>
      </c>
      <c r="B280">
        <f>IF($A280="","",COUNTIF('TMP Paste'!$B$2:$B280,"?*"))</f>
        <v/>
      </c>
      <c r="C280">
        <f>IF($A280="","",IFERROR('TMP Paste'!$M280*1,0))</f>
        <v/>
      </c>
      <c r="D280">
        <f>IF($A280="","",SUMIF($B$2:$B280,$B280,$C$2:$C280))</f>
        <v/>
      </c>
      <c r="E280">
        <f>IF($A280="",0,IF('TMP Paste'!$B280="",0,1))</f>
        <v/>
      </c>
      <c r="F280">
        <f>IF(OR($A280="",$C280&lt;1),"",$A280&amp;"-"&amp;TEXT(($D280-$C280+1),"00")&amp;IF($C280&gt;=2,", "&amp;$A280&amp;"-"&amp;TEXT(($D280-$C280+1)+1,"00"),"")&amp;IF($C280&gt;=3,", "&amp;$A280&amp;"-"&amp;TEXT(($D280-$C280+1)+2,"00"),"")&amp;IF($C280&gt;=4,", "&amp;$A280&amp;"-"&amp;TEXT(($D280-$C280+1)+3,"00"),"")&amp;IF($C280&gt;=5,", "&amp;$A280&amp;"-"&amp;TEXT(($D280-$C280+1)+4,"00"),"")&amp;IF($C280&gt;=6,", "&amp;$A280&amp;"-"&amp;TEXT(($D280-$C280+1)+5,"00"),"")&amp;IF($C280&gt;=7,", "&amp;$A280&amp;"-"&amp;TEXT(($D280-$C280+1)+6,"00"),"")&amp;IF($C280&gt;=8,", "&amp;$A280&amp;"-"&amp;TEXT(($D280-$C280+1)+7,"00"),"")&amp;IF($C280&gt;=9,", "&amp;$A280&amp;"-"&amp;TEXT(($D280-$C280+1)+8,"00"),"")&amp;IF($C280&gt;=10,", "&amp;$A280&amp;"-"&amp;TEXT(($D280-$C280+1)+9,"00"),"")&amp;IF($C280&gt;=11,", "&amp;$A280&amp;"-"&amp;TEXT(($D280-$C280+1)+10,"00"),"")&amp;IF($C280&gt;=12,", "&amp;$A280&amp;"-"&amp;TEXT(($D280-$C280+1)+11,"00"),"")&amp;IF($C280&gt;=13,", "&amp;$A280&amp;"-"&amp;TEXT(($D280-$C280+1)+12,"00"),"")&amp;IF($C280&gt;=14,", "&amp;$A280&amp;"-"&amp;TEXT(($D280-$C280+1)+13,"00"),"")&amp;IF($C280&gt;=15,", "&amp;$A280&amp;"-"&amp;TEXT(($D280-$C280+1)+14,"00"),"")&amp;IF($C280&gt;=16,", "&amp;$A280&amp;"-"&amp;TEXT(($D280-$C280+1)+15,"00"),"")&amp;IF($C280&gt;=17,", "&amp;$A280&amp;"-"&amp;TEXT(($D280-$C280+1)+16,"00"),"")&amp;IF($C280&gt;=18,", "&amp;$A280&amp;"-"&amp;TEXT(($D280-$C280+1)+17,"00"),"")&amp;IF($C280&gt;=19,", "&amp;$A280&amp;"-"&amp;TEXT(($D280-$C280+1)+18,"00"),"")&amp;IF($C280&gt;=20,", "&amp;$A280&amp;"-"&amp;TEXT(($D280-$C280+1)+19,"00"),"")&amp;IF($C280&gt;=21,", "&amp;$A280&amp;"-"&amp;TEXT(($D280-$C280+1)+20,"00"),"")&amp;IF($C280&gt;=22,", "&amp;$A280&amp;"-"&amp;TEXT(($D280-$C280+1)+21,"00"),"")&amp;IF($C280&gt;=23,", "&amp;$A280&amp;"-"&amp;TEXT(($D280-$C280+1)+22,"00"),"")&amp;IF($C280&gt;=24,", "&amp;$A280&amp;"-"&amp;TEXT(($D280-$C280+1)+23,"00"),"")&amp;IF($C280&gt;=25,", "&amp;$A280&amp;"-"&amp;TEXT(($D280-$C280+1)+24,"00"),""))</f>
        <v/>
      </c>
      <c r="G280">
        <f>IF($A280="","",IF($E280=1,$F280,IF($F280="",$G279,IF($G279="",$F280,$G279&amp;", "&amp;$F280))))</f>
        <v/>
      </c>
      <c r="H280">
        <f>IF($A280="","",$A280&amp;" ("&amp;$C280&amp;")")</f>
        <v/>
      </c>
      <c r="I280">
        <f>IF($A280="","",IF($E280=1,$H280,$I279&amp;", "&amp;$H280))</f>
        <v/>
      </c>
      <c r="J280">
        <f>IF($A280="","",IF($E280=1,$B280,""))</f>
        <v/>
      </c>
      <c r="K280">
        <f>IF($A280="","",IF(COUNTIF($B$2:$B280,$B280)=COUNTIF($B$2:$B$1601,$B280),$B280,""))</f>
        <v/>
      </c>
    </row>
    <row r="281">
      <c r="A281">
        <f>IF('TMP Paste'!$E281="","",'TMP Paste'!$E281)</f>
        <v/>
      </c>
      <c r="B281">
        <f>IF($A281="","",COUNTIF('TMP Paste'!$B$2:$B281,"?*"))</f>
        <v/>
      </c>
      <c r="C281">
        <f>IF($A281="","",IFERROR('TMP Paste'!$M281*1,0))</f>
        <v/>
      </c>
      <c r="D281">
        <f>IF($A281="","",SUMIF($B$2:$B281,$B281,$C$2:$C281))</f>
        <v/>
      </c>
      <c r="E281">
        <f>IF($A281="",0,IF('TMP Paste'!$B281="",0,1))</f>
        <v/>
      </c>
      <c r="F281">
        <f>IF(OR($A281="",$C281&lt;1),"",$A281&amp;"-"&amp;TEXT(($D281-$C281+1),"00")&amp;IF($C281&gt;=2,", "&amp;$A281&amp;"-"&amp;TEXT(($D281-$C281+1)+1,"00"),"")&amp;IF($C281&gt;=3,", "&amp;$A281&amp;"-"&amp;TEXT(($D281-$C281+1)+2,"00"),"")&amp;IF($C281&gt;=4,", "&amp;$A281&amp;"-"&amp;TEXT(($D281-$C281+1)+3,"00"),"")&amp;IF($C281&gt;=5,", "&amp;$A281&amp;"-"&amp;TEXT(($D281-$C281+1)+4,"00"),"")&amp;IF($C281&gt;=6,", "&amp;$A281&amp;"-"&amp;TEXT(($D281-$C281+1)+5,"00"),"")&amp;IF($C281&gt;=7,", "&amp;$A281&amp;"-"&amp;TEXT(($D281-$C281+1)+6,"00"),"")&amp;IF($C281&gt;=8,", "&amp;$A281&amp;"-"&amp;TEXT(($D281-$C281+1)+7,"00"),"")&amp;IF($C281&gt;=9,", "&amp;$A281&amp;"-"&amp;TEXT(($D281-$C281+1)+8,"00"),"")&amp;IF($C281&gt;=10,", "&amp;$A281&amp;"-"&amp;TEXT(($D281-$C281+1)+9,"00"),"")&amp;IF($C281&gt;=11,", "&amp;$A281&amp;"-"&amp;TEXT(($D281-$C281+1)+10,"00"),"")&amp;IF($C281&gt;=12,", "&amp;$A281&amp;"-"&amp;TEXT(($D281-$C281+1)+11,"00"),"")&amp;IF($C281&gt;=13,", "&amp;$A281&amp;"-"&amp;TEXT(($D281-$C281+1)+12,"00"),"")&amp;IF($C281&gt;=14,", "&amp;$A281&amp;"-"&amp;TEXT(($D281-$C281+1)+13,"00"),"")&amp;IF($C281&gt;=15,", "&amp;$A281&amp;"-"&amp;TEXT(($D281-$C281+1)+14,"00"),"")&amp;IF($C281&gt;=16,", "&amp;$A281&amp;"-"&amp;TEXT(($D281-$C281+1)+15,"00"),"")&amp;IF($C281&gt;=17,", "&amp;$A281&amp;"-"&amp;TEXT(($D281-$C281+1)+16,"00"),"")&amp;IF($C281&gt;=18,", "&amp;$A281&amp;"-"&amp;TEXT(($D281-$C281+1)+17,"00"),"")&amp;IF($C281&gt;=19,", "&amp;$A281&amp;"-"&amp;TEXT(($D281-$C281+1)+18,"00"),"")&amp;IF($C281&gt;=20,", "&amp;$A281&amp;"-"&amp;TEXT(($D281-$C281+1)+19,"00"),"")&amp;IF($C281&gt;=21,", "&amp;$A281&amp;"-"&amp;TEXT(($D281-$C281+1)+20,"00"),"")&amp;IF($C281&gt;=22,", "&amp;$A281&amp;"-"&amp;TEXT(($D281-$C281+1)+21,"00"),"")&amp;IF($C281&gt;=23,", "&amp;$A281&amp;"-"&amp;TEXT(($D281-$C281+1)+22,"00"),"")&amp;IF($C281&gt;=24,", "&amp;$A281&amp;"-"&amp;TEXT(($D281-$C281+1)+23,"00"),"")&amp;IF($C281&gt;=25,", "&amp;$A281&amp;"-"&amp;TEXT(($D281-$C281+1)+24,"00"),""))</f>
        <v/>
      </c>
      <c r="G281">
        <f>IF($A281="","",IF($E281=1,$F281,IF($F281="",$G280,IF($G280="",$F281,$G280&amp;", "&amp;$F281))))</f>
        <v/>
      </c>
      <c r="H281">
        <f>IF($A281="","",$A281&amp;" ("&amp;$C281&amp;")")</f>
        <v/>
      </c>
      <c r="I281">
        <f>IF($A281="","",IF($E281=1,$H281,$I280&amp;", "&amp;$H281))</f>
        <v/>
      </c>
      <c r="J281">
        <f>IF($A281="","",IF($E281=1,$B281,""))</f>
        <v/>
      </c>
      <c r="K281">
        <f>IF($A281="","",IF(COUNTIF($B$2:$B281,$B281)=COUNTIF($B$2:$B$1601,$B281),$B281,""))</f>
        <v/>
      </c>
    </row>
    <row r="282">
      <c r="A282">
        <f>IF('TMP Paste'!$E282="","",'TMP Paste'!$E282)</f>
        <v/>
      </c>
      <c r="B282">
        <f>IF($A282="","",COUNTIF('TMP Paste'!$B$2:$B282,"?*"))</f>
        <v/>
      </c>
      <c r="C282">
        <f>IF($A282="","",IFERROR('TMP Paste'!$M282*1,0))</f>
        <v/>
      </c>
      <c r="D282">
        <f>IF($A282="","",SUMIF($B$2:$B282,$B282,$C$2:$C282))</f>
        <v/>
      </c>
      <c r="E282">
        <f>IF($A282="",0,IF('TMP Paste'!$B282="",0,1))</f>
        <v/>
      </c>
      <c r="F282">
        <f>IF(OR($A282="",$C282&lt;1),"",$A282&amp;"-"&amp;TEXT(($D282-$C282+1),"00")&amp;IF($C282&gt;=2,", "&amp;$A282&amp;"-"&amp;TEXT(($D282-$C282+1)+1,"00"),"")&amp;IF($C282&gt;=3,", "&amp;$A282&amp;"-"&amp;TEXT(($D282-$C282+1)+2,"00"),"")&amp;IF($C282&gt;=4,", "&amp;$A282&amp;"-"&amp;TEXT(($D282-$C282+1)+3,"00"),"")&amp;IF($C282&gt;=5,", "&amp;$A282&amp;"-"&amp;TEXT(($D282-$C282+1)+4,"00"),"")&amp;IF($C282&gt;=6,", "&amp;$A282&amp;"-"&amp;TEXT(($D282-$C282+1)+5,"00"),"")&amp;IF($C282&gt;=7,", "&amp;$A282&amp;"-"&amp;TEXT(($D282-$C282+1)+6,"00"),"")&amp;IF($C282&gt;=8,", "&amp;$A282&amp;"-"&amp;TEXT(($D282-$C282+1)+7,"00"),"")&amp;IF($C282&gt;=9,", "&amp;$A282&amp;"-"&amp;TEXT(($D282-$C282+1)+8,"00"),"")&amp;IF($C282&gt;=10,", "&amp;$A282&amp;"-"&amp;TEXT(($D282-$C282+1)+9,"00"),"")&amp;IF($C282&gt;=11,", "&amp;$A282&amp;"-"&amp;TEXT(($D282-$C282+1)+10,"00"),"")&amp;IF($C282&gt;=12,", "&amp;$A282&amp;"-"&amp;TEXT(($D282-$C282+1)+11,"00"),"")&amp;IF($C282&gt;=13,", "&amp;$A282&amp;"-"&amp;TEXT(($D282-$C282+1)+12,"00"),"")&amp;IF($C282&gt;=14,", "&amp;$A282&amp;"-"&amp;TEXT(($D282-$C282+1)+13,"00"),"")&amp;IF($C282&gt;=15,", "&amp;$A282&amp;"-"&amp;TEXT(($D282-$C282+1)+14,"00"),"")&amp;IF($C282&gt;=16,", "&amp;$A282&amp;"-"&amp;TEXT(($D282-$C282+1)+15,"00"),"")&amp;IF($C282&gt;=17,", "&amp;$A282&amp;"-"&amp;TEXT(($D282-$C282+1)+16,"00"),"")&amp;IF($C282&gt;=18,", "&amp;$A282&amp;"-"&amp;TEXT(($D282-$C282+1)+17,"00"),"")&amp;IF($C282&gt;=19,", "&amp;$A282&amp;"-"&amp;TEXT(($D282-$C282+1)+18,"00"),"")&amp;IF($C282&gt;=20,", "&amp;$A282&amp;"-"&amp;TEXT(($D282-$C282+1)+19,"00"),"")&amp;IF($C282&gt;=21,", "&amp;$A282&amp;"-"&amp;TEXT(($D282-$C282+1)+20,"00"),"")&amp;IF($C282&gt;=22,", "&amp;$A282&amp;"-"&amp;TEXT(($D282-$C282+1)+21,"00"),"")&amp;IF($C282&gt;=23,", "&amp;$A282&amp;"-"&amp;TEXT(($D282-$C282+1)+22,"00"),"")&amp;IF($C282&gt;=24,", "&amp;$A282&amp;"-"&amp;TEXT(($D282-$C282+1)+23,"00"),"")&amp;IF($C282&gt;=25,", "&amp;$A282&amp;"-"&amp;TEXT(($D282-$C282+1)+24,"00"),""))</f>
        <v/>
      </c>
      <c r="G282">
        <f>IF($A282="","",IF($E282=1,$F282,IF($F282="",$G281,IF($G281="",$F282,$G281&amp;", "&amp;$F282))))</f>
        <v/>
      </c>
      <c r="H282">
        <f>IF($A282="","",$A282&amp;" ("&amp;$C282&amp;")")</f>
        <v/>
      </c>
      <c r="I282">
        <f>IF($A282="","",IF($E282=1,$H282,$I281&amp;", "&amp;$H282))</f>
        <v/>
      </c>
      <c r="J282">
        <f>IF($A282="","",IF($E282=1,$B282,""))</f>
        <v/>
      </c>
      <c r="K282">
        <f>IF($A282="","",IF(COUNTIF($B$2:$B282,$B282)=COUNTIF($B$2:$B$1601,$B282),$B282,""))</f>
        <v/>
      </c>
    </row>
    <row r="283">
      <c r="A283">
        <f>IF('TMP Paste'!$E283="","",'TMP Paste'!$E283)</f>
        <v/>
      </c>
      <c r="B283">
        <f>IF($A283="","",COUNTIF('TMP Paste'!$B$2:$B283,"?*"))</f>
        <v/>
      </c>
      <c r="C283">
        <f>IF($A283="","",IFERROR('TMP Paste'!$M283*1,0))</f>
        <v/>
      </c>
      <c r="D283">
        <f>IF($A283="","",SUMIF($B$2:$B283,$B283,$C$2:$C283))</f>
        <v/>
      </c>
      <c r="E283">
        <f>IF($A283="",0,IF('TMP Paste'!$B283="",0,1))</f>
        <v/>
      </c>
      <c r="F283">
        <f>IF(OR($A283="",$C283&lt;1),"",$A283&amp;"-"&amp;TEXT(($D283-$C283+1),"00")&amp;IF($C283&gt;=2,", "&amp;$A283&amp;"-"&amp;TEXT(($D283-$C283+1)+1,"00"),"")&amp;IF($C283&gt;=3,", "&amp;$A283&amp;"-"&amp;TEXT(($D283-$C283+1)+2,"00"),"")&amp;IF($C283&gt;=4,", "&amp;$A283&amp;"-"&amp;TEXT(($D283-$C283+1)+3,"00"),"")&amp;IF($C283&gt;=5,", "&amp;$A283&amp;"-"&amp;TEXT(($D283-$C283+1)+4,"00"),"")&amp;IF($C283&gt;=6,", "&amp;$A283&amp;"-"&amp;TEXT(($D283-$C283+1)+5,"00"),"")&amp;IF($C283&gt;=7,", "&amp;$A283&amp;"-"&amp;TEXT(($D283-$C283+1)+6,"00"),"")&amp;IF($C283&gt;=8,", "&amp;$A283&amp;"-"&amp;TEXT(($D283-$C283+1)+7,"00"),"")&amp;IF($C283&gt;=9,", "&amp;$A283&amp;"-"&amp;TEXT(($D283-$C283+1)+8,"00"),"")&amp;IF($C283&gt;=10,", "&amp;$A283&amp;"-"&amp;TEXT(($D283-$C283+1)+9,"00"),"")&amp;IF($C283&gt;=11,", "&amp;$A283&amp;"-"&amp;TEXT(($D283-$C283+1)+10,"00"),"")&amp;IF($C283&gt;=12,", "&amp;$A283&amp;"-"&amp;TEXT(($D283-$C283+1)+11,"00"),"")&amp;IF($C283&gt;=13,", "&amp;$A283&amp;"-"&amp;TEXT(($D283-$C283+1)+12,"00"),"")&amp;IF($C283&gt;=14,", "&amp;$A283&amp;"-"&amp;TEXT(($D283-$C283+1)+13,"00"),"")&amp;IF($C283&gt;=15,", "&amp;$A283&amp;"-"&amp;TEXT(($D283-$C283+1)+14,"00"),"")&amp;IF($C283&gt;=16,", "&amp;$A283&amp;"-"&amp;TEXT(($D283-$C283+1)+15,"00"),"")&amp;IF($C283&gt;=17,", "&amp;$A283&amp;"-"&amp;TEXT(($D283-$C283+1)+16,"00"),"")&amp;IF($C283&gt;=18,", "&amp;$A283&amp;"-"&amp;TEXT(($D283-$C283+1)+17,"00"),"")&amp;IF($C283&gt;=19,", "&amp;$A283&amp;"-"&amp;TEXT(($D283-$C283+1)+18,"00"),"")&amp;IF($C283&gt;=20,", "&amp;$A283&amp;"-"&amp;TEXT(($D283-$C283+1)+19,"00"),"")&amp;IF($C283&gt;=21,", "&amp;$A283&amp;"-"&amp;TEXT(($D283-$C283+1)+20,"00"),"")&amp;IF($C283&gt;=22,", "&amp;$A283&amp;"-"&amp;TEXT(($D283-$C283+1)+21,"00"),"")&amp;IF($C283&gt;=23,", "&amp;$A283&amp;"-"&amp;TEXT(($D283-$C283+1)+22,"00"),"")&amp;IF($C283&gt;=24,", "&amp;$A283&amp;"-"&amp;TEXT(($D283-$C283+1)+23,"00"),"")&amp;IF($C283&gt;=25,", "&amp;$A283&amp;"-"&amp;TEXT(($D283-$C283+1)+24,"00"),""))</f>
        <v/>
      </c>
      <c r="G283">
        <f>IF($A283="","",IF($E283=1,$F283,IF($F283="",$G282,IF($G282="",$F283,$G282&amp;", "&amp;$F283))))</f>
        <v/>
      </c>
      <c r="H283">
        <f>IF($A283="","",$A283&amp;" ("&amp;$C283&amp;")")</f>
        <v/>
      </c>
      <c r="I283">
        <f>IF($A283="","",IF($E283=1,$H283,$I282&amp;", "&amp;$H283))</f>
        <v/>
      </c>
      <c r="J283">
        <f>IF($A283="","",IF($E283=1,$B283,""))</f>
        <v/>
      </c>
      <c r="K283">
        <f>IF($A283="","",IF(COUNTIF($B$2:$B283,$B283)=COUNTIF($B$2:$B$1601,$B283),$B283,""))</f>
        <v/>
      </c>
    </row>
    <row r="284">
      <c r="A284">
        <f>IF('TMP Paste'!$E284="","",'TMP Paste'!$E284)</f>
        <v/>
      </c>
      <c r="B284">
        <f>IF($A284="","",COUNTIF('TMP Paste'!$B$2:$B284,"?*"))</f>
        <v/>
      </c>
      <c r="C284">
        <f>IF($A284="","",IFERROR('TMP Paste'!$M284*1,0))</f>
        <v/>
      </c>
      <c r="D284">
        <f>IF($A284="","",SUMIF($B$2:$B284,$B284,$C$2:$C284))</f>
        <v/>
      </c>
      <c r="E284">
        <f>IF($A284="",0,IF('TMP Paste'!$B284="",0,1))</f>
        <v/>
      </c>
      <c r="F284">
        <f>IF(OR($A284="",$C284&lt;1),"",$A284&amp;"-"&amp;TEXT(($D284-$C284+1),"00")&amp;IF($C284&gt;=2,", "&amp;$A284&amp;"-"&amp;TEXT(($D284-$C284+1)+1,"00"),"")&amp;IF($C284&gt;=3,", "&amp;$A284&amp;"-"&amp;TEXT(($D284-$C284+1)+2,"00"),"")&amp;IF($C284&gt;=4,", "&amp;$A284&amp;"-"&amp;TEXT(($D284-$C284+1)+3,"00"),"")&amp;IF($C284&gt;=5,", "&amp;$A284&amp;"-"&amp;TEXT(($D284-$C284+1)+4,"00"),"")&amp;IF($C284&gt;=6,", "&amp;$A284&amp;"-"&amp;TEXT(($D284-$C284+1)+5,"00"),"")&amp;IF($C284&gt;=7,", "&amp;$A284&amp;"-"&amp;TEXT(($D284-$C284+1)+6,"00"),"")&amp;IF($C284&gt;=8,", "&amp;$A284&amp;"-"&amp;TEXT(($D284-$C284+1)+7,"00"),"")&amp;IF($C284&gt;=9,", "&amp;$A284&amp;"-"&amp;TEXT(($D284-$C284+1)+8,"00"),"")&amp;IF($C284&gt;=10,", "&amp;$A284&amp;"-"&amp;TEXT(($D284-$C284+1)+9,"00"),"")&amp;IF($C284&gt;=11,", "&amp;$A284&amp;"-"&amp;TEXT(($D284-$C284+1)+10,"00"),"")&amp;IF($C284&gt;=12,", "&amp;$A284&amp;"-"&amp;TEXT(($D284-$C284+1)+11,"00"),"")&amp;IF($C284&gt;=13,", "&amp;$A284&amp;"-"&amp;TEXT(($D284-$C284+1)+12,"00"),"")&amp;IF($C284&gt;=14,", "&amp;$A284&amp;"-"&amp;TEXT(($D284-$C284+1)+13,"00"),"")&amp;IF($C284&gt;=15,", "&amp;$A284&amp;"-"&amp;TEXT(($D284-$C284+1)+14,"00"),"")&amp;IF($C284&gt;=16,", "&amp;$A284&amp;"-"&amp;TEXT(($D284-$C284+1)+15,"00"),"")&amp;IF($C284&gt;=17,", "&amp;$A284&amp;"-"&amp;TEXT(($D284-$C284+1)+16,"00"),"")&amp;IF($C284&gt;=18,", "&amp;$A284&amp;"-"&amp;TEXT(($D284-$C284+1)+17,"00"),"")&amp;IF($C284&gt;=19,", "&amp;$A284&amp;"-"&amp;TEXT(($D284-$C284+1)+18,"00"),"")&amp;IF($C284&gt;=20,", "&amp;$A284&amp;"-"&amp;TEXT(($D284-$C284+1)+19,"00"),"")&amp;IF($C284&gt;=21,", "&amp;$A284&amp;"-"&amp;TEXT(($D284-$C284+1)+20,"00"),"")&amp;IF($C284&gt;=22,", "&amp;$A284&amp;"-"&amp;TEXT(($D284-$C284+1)+21,"00"),"")&amp;IF($C284&gt;=23,", "&amp;$A284&amp;"-"&amp;TEXT(($D284-$C284+1)+22,"00"),"")&amp;IF($C284&gt;=24,", "&amp;$A284&amp;"-"&amp;TEXT(($D284-$C284+1)+23,"00"),"")&amp;IF($C284&gt;=25,", "&amp;$A284&amp;"-"&amp;TEXT(($D284-$C284+1)+24,"00"),""))</f>
        <v/>
      </c>
      <c r="G284">
        <f>IF($A284="","",IF($E284=1,$F284,IF($F284="",$G283,IF($G283="",$F284,$G283&amp;", "&amp;$F284))))</f>
        <v/>
      </c>
      <c r="H284">
        <f>IF($A284="","",$A284&amp;" ("&amp;$C284&amp;")")</f>
        <v/>
      </c>
      <c r="I284">
        <f>IF($A284="","",IF($E284=1,$H284,$I283&amp;", "&amp;$H284))</f>
        <v/>
      </c>
      <c r="J284">
        <f>IF($A284="","",IF($E284=1,$B284,""))</f>
        <v/>
      </c>
      <c r="K284">
        <f>IF($A284="","",IF(COUNTIF($B$2:$B284,$B284)=COUNTIF($B$2:$B$1601,$B284),$B284,""))</f>
        <v/>
      </c>
    </row>
    <row r="285">
      <c r="A285">
        <f>IF('TMP Paste'!$E285="","",'TMP Paste'!$E285)</f>
        <v/>
      </c>
      <c r="B285">
        <f>IF($A285="","",COUNTIF('TMP Paste'!$B$2:$B285,"?*"))</f>
        <v/>
      </c>
      <c r="C285">
        <f>IF($A285="","",IFERROR('TMP Paste'!$M285*1,0))</f>
        <v/>
      </c>
      <c r="D285">
        <f>IF($A285="","",SUMIF($B$2:$B285,$B285,$C$2:$C285))</f>
        <v/>
      </c>
      <c r="E285">
        <f>IF($A285="",0,IF('TMP Paste'!$B285="",0,1))</f>
        <v/>
      </c>
      <c r="F285">
        <f>IF(OR($A285="",$C285&lt;1),"",$A285&amp;"-"&amp;TEXT(($D285-$C285+1),"00")&amp;IF($C285&gt;=2,", "&amp;$A285&amp;"-"&amp;TEXT(($D285-$C285+1)+1,"00"),"")&amp;IF($C285&gt;=3,", "&amp;$A285&amp;"-"&amp;TEXT(($D285-$C285+1)+2,"00"),"")&amp;IF($C285&gt;=4,", "&amp;$A285&amp;"-"&amp;TEXT(($D285-$C285+1)+3,"00"),"")&amp;IF($C285&gt;=5,", "&amp;$A285&amp;"-"&amp;TEXT(($D285-$C285+1)+4,"00"),"")&amp;IF($C285&gt;=6,", "&amp;$A285&amp;"-"&amp;TEXT(($D285-$C285+1)+5,"00"),"")&amp;IF($C285&gt;=7,", "&amp;$A285&amp;"-"&amp;TEXT(($D285-$C285+1)+6,"00"),"")&amp;IF($C285&gt;=8,", "&amp;$A285&amp;"-"&amp;TEXT(($D285-$C285+1)+7,"00"),"")&amp;IF($C285&gt;=9,", "&amp;$A285&amp;"-"&amp;TEXT(($D285-$C285+1)+8,"00"),"")&amp;IF($C285&gt;=10,", "&amp;$A285&amp;"-"&amp;TEXT(($D285-$C285+1)+9,"00"),"")&amp;IF($C285&gt;=11,", "&amp;$A285&amp;"-"&amp;TEXT(($D285-$C285+1)+10,"00"),"")&amp;IF($C285&gt;=12,", "&amp;$A285&amp;"-"&amp;TEXT(($D285-$C285+1)+11,"00"),"")&amp;IF($C285&gt;=13,", "&amp;$A285&amp;"-"&amp;TEXT(($D285-$C285+1)+12,"00"),"")&amp;IF($C285&gt;=14,", "&amp;$A285&amp;"-"&amp;TEXT(($D285-$C285+1)+13,"00"),"")&amp;IF($C285&gt;=15,", "&amp;$A285&amp;"-"&amp;TEXT(($D285-$C285+1)+14,"00"),"")&amp;IF($C285&gt;=16,", "&amp;$A285&amp;"-"&amp;TEXT(($D285-$C285+1)+15,"00"),"")&amp;IF($C285&gt;=17,", "&amp;$A285&amp;"-"&amp;TEXT(($D285-$C285+1)+16,"00"),"")&amp;IF($C285&gt;=18,", "&amp;$A285&amp;"-"&amp;TEXT(($D285-$C285+1)+17,"00"),"")&amp;IF($C285&gt;=19,", "&amp;$A285&amp;"-"&amp;TEXT(($D285-$C285+1)+18,"00"),"")&amp;IF($C285&gt;=20,", "&amp;$A285&amp;"-"&amp;TEXT(($D285-$C285+1)+19,"00"),"")&amp;IF($C285&gt;=21,", "&amp;$A285&amp;"-"&amp;TEXT(($D285-$C285+1)+20,"00"),"")&amp;IF($C285&gt;=22,", "&amp;$A285&amp;"-"&amp;TEXT(($D285-$C285+1)+21,"00"),"")&amp;IF($C285&gt;=23,", "&amp;$A285&amp;"-"&amp;TEXT(($D285-$C285+1)+22,"00"),"")&amp;IF($C285&gt;=24,", "&amp;$A285&amp;"-"&amp;TEXT(($D285-$C285+1)+23,"00"),"")&amp;IF($C285&gt;=25,", "&amp;$A285&amp;"-"&amp;TEXT(($D285-$C285+1)+24,"00"),""))</f>
        <v/>
      </c>
      <c r="G285">
        <f>IF($A285="","",IF($E285=1,$F285,IF($F285="",$G284,IF($G284="",$F285,$G284&amp;", "&amp;$F285))))</f>
        <v/>
      </c>
      <c r="H285">
        <f>IF($A285="","",$A285&amp;" ("&amp;$C285&amp;")")</f>
        <v/>
      </c>
      <c r="I285">
        <f>IF($A285="","",IF($E285=1,$H285,$I284&amp;", "&amp;$H285))</f>
        <v/>
      </c>
      <c r="J285">
        <f>IF($A285="","",IF($E285=1,$B285,""))</f>
        <v/>
      </c>
      <c r="K285">
        <f>IF($A285="","",IF(COUNTIF($B$2:$B285,$B285)=COUNTIF($B$2:$B$1601,$B285),$B285,""))</f>
        <v/>
      </c>
    </row>
    <row r="286">
      <c r="A286">
        <f>IF('TMP Paste'!$E286="","",'TMP Paste'!$E286)</f>
        <v/>
      </c>
      <c r="B286">
        <f>IF($A286="","",COUNTIF('TMP Paste'!$B$2:$B286,"?*"))</f>
        <v/>
      </c>
      <c r="C286">
        <f>IF($A286="","",IFERROR('TMP Paste'!$M286*1,0))</f>
        <v/>
      </c>
      <c r="D286">
        <f>IF($A286="","",SUMIF($B$2:$B286,$B286,$C$2:$C286))</f>
        <v/>
      </c>
      <c r="E286">
        <f>IF($A286="",0,IF('TMP Paste'!$B286="",0,1))</f>
        <v/>
      </c>
      <c r="F286">
        <f>IF(OR($A286="",$C286&lt;1),"",$A286&amp;"-"&amp;TEXT(($D286-$C286+1),"00")&amp;IF($C286&gt;=2,", "&amp;$A286&amp;"-"&amp;TEXT(($D286-$C286+1)+1,"00"),"")&amp;IF($C286&gt;=3,", "&amp;$A286&amp;"-"&amp;TEXT(($D286-$C286+1)+2,"00"),"")&amp;IF($C286&gt;=4,", "&amp;$A286&amp;"-"&amp;TEXT(($D286-$C286+1)+3,"00"),"")&amp;IF($C286&gt;=5,", "&amp;$A286&amp;"-"&amp;TEXT(($D286-$C286+1)+4,"00"),"")&amp;IF($C286&gt;=6,", "&amp;$A286&amp;"-"&amp;TEXT(($D286-$C286+1)+5,"00"),"")&amp;IF($C286&gt;=7,", "&amp;$A286&amp;"-"&amp;TEXT(($D286-$C286+1)+6,"00"),"")&amp;IF($C286&gt;=8,", "&amp;$A286&amp;"-"&amp;TEXT(($D286-$C286+1)+7,"00"),"")&amp;IF($C286&gt;=9,", "&amp;$A286&amp;"-"&amp;TEXT(($D286-$C286+1)+8,"00"),"")&amp;IF($C286&gt;=10,", "&amp;$A286&amp;"-"&amp;TEXT(($D286-$C286+1)+9,"00"),"")&amp;IF($C286&gt;=11,", "&amp;$A286&amp;"-"&amp;TEXT(($D286-$C286+1)+10,"00"),"")&amp;IF($C286&gt;=12,", "&amp;$A286&amp;"-"&amp;TEXT(($D286-$C286+1)+11,"00"),"")&amp;IF($C286&gt;=13,", "&amp;$A286&amp;"-"&amp;TEXT(($D286-$C286+1)+12,"00"),"")&amp;IF($C286&gt;=14,", "&amp;$A286&amp;"-"&amp;TEXT(($D286-$C286+1)+13,"00"),"")&amp;IF($C286&gt;=15,", "&amp;$A286&amp;"-"&amp;TEXT(($D286-$C286+1)+14,"00"),"")&amp;IF($C286&gt;=16,", "&amp;$A286&amp;"-"&amp;TEXT(($D286-$C286+1)+15,"00"),"")&amp;IF($C286&gt;=17,", "&amp;$A286&amp;"-"&amp;TEXT(($D286-$C286+1)+16,"00"),"")&amp;IF($C286&gt;=18,", "&amp;$A286&amp;"-"&amp;TEXT(($D286-$C286+1)+17,"00"),"")&amp;IF($C286&gt;=19,", "&amp;$A286&amp;"-"&amp;TEXT(($D286-$C286+1)+18,"00"),"")&amp;IF($C286&gt;=20,", "&amp;$A286&amp;"-"&amp;TEXT(($D286-$C286+1)+19,"00"),"")&amp;IF($C286&gt;=21,", "&amp;$A286&amp;"-"&amp;TEXT(($D286-$C286+1)+20,"00"),"")&amp;IF($C286&gt;=22,", "&amp;$A286&amp;"-"&amp;TEXT(($D286-$C286+1)+21,"00"),"")&amp;IF($C286&gt;=23,", "&amp;$A286&amp;"-"&amp;TEXT(($D286-$C286+1)+22,"00"),"")&amp;IF($C286&gt;=24,", "&amp;$A286&amp;"-"&amp;TEXT(($D286-$C286+1)+23,"00"),"")&amp;IF($C286&gt;=25,", "&amp;$A286&amp;"-"&amp;TEXT(($D286-$C286+1)+24,"00"),""))</f>
        <v/>
      </c>
      <c r="G286">
        <f>IF($A286="","",IF($E286=1,$F286,IF($F286="",$G285,IF($G285="",$F286,$G285&amp;", "&amp;$F286))))</f>
        <v/>
      </c>
      <c r="H286">
        <f>IF($A286="","",$A286&amp;" ("&amp;$C286&amp;")")</f>
        <v/>
      </c>
      <c r="I286">
        <f>IF($A286="","",IF($E286=1,$H286,$I285&amp;", "&amp;$H286))</f>
        <v/>
      </c>
      <c r="J286">
        <f>IF($A286="","",IF($E286=1,$B286,""))</f>
        <v/>
      </c>
      <c r="K286">
        <f>IF($A286="","",IF(COUNTIF($B$2:$B286,$B286)=COUNTIF($B$2:$B$1601,$B286),$B286,""))</f>
        <v/>
      </c>
    </row>
    <row r="287">
      <c r="A287">
        <f>IF('TMP Paste'!$E287="","",'TMP Paste'!$E287)</f>
        <v/>
      </c>
      <c r="B287">
        <f>IF($A287="","",COUNTIF('TMP Paste'!$B$2:$B287,"?*"))</f>
        <v/>
      </c>
      <c r="C287">
        <f>IF($A287="","",IFERROR('TMP Paste'!$M287*1,0))</f>
        <v/>
      </c>
      <c r="D287">
        <f>IF($A287="","",SUMIF($B$2:$B287,$B287,$C$2:$C287))</f>
        <v/>
      </c>
      <c r="E287">
        <f>IF($A287="",0,IF('TMP Paste'!$B287="",0,1))</f>
        <v/>
      </c>
      <c r="F287">
        <f>IF(OR($A287="",$C287&lt;1),"",$A287&amp;"-"&amp;TEXT(($D287-$C287+1),"00")&amp;IF($C287&gt;=2,", "&amp;$A287&amp;"-"&amp;TEXT(($D287-$C287+1)+1,"00"),"")&amp;IF($C287&gt;=3,", "&amp;$A287&amp;"-"&amp;TEXT(($D287-$C287+1)+2,"00"),"")&amp;IF($C287&gt;=4,", "&amp;$A287&amp;"-"&amp;TEXT(($D287-$C287+1)+3,"00"),"")&amp;IF($C287&gt;=5,", "&amp;$A287&amp;"-"&amp;TEXT(($D287-$C287+1)+4,"00"),"")&amp;IF($C287&gt;=6,", "&amp;$A287&amp;"-"&amp;TEXT(($D287-$C287+1)+5,"00"),"")&amp;IF($C287&gt;=7,", "&amp;$A287&amp;"-"&amp;TEXT(($D287-$C287+1)+6,"00"),"")&amp;IF($C287&gt;=8,", "&amp;$A287&amp;"-"&amp;TEXT(($D287-$C287+1)+7,"00"),"")&amp;IF($C287&gt;=9,", "&amp;$A287&amp;"-"&amp;TEXT(($D287-$C287+1)+8,"00"),"")&amp;IF($C287&gt;=10,", "&amp;$A287&amp;"-"&amp;TEXT(($D287-$C287+1)+9,"00"),"")&amp;IF($C287&gt;=11,", "&amp;$A287&amp;"-"&amp;TEXT(($D287-$C287+1)+10,"00"),"")&amp;IF($C287&gt;=12,", "&amp;$A287&amp;"-"&amp;TEXT(($D287-$C287+1)+11,"00"),"")&amp;IF($C287&gt;=13,", "&amp;$A287&amp;"-"&amp;TEXT(($D287-$C287+1)+12,"00"),"")&amp;IF($C287&gt;=14,", "&amp;$A287&amp;"-"&amp;TEXT(($D287-$C287+1)+13,"00"),"")&amp;IF($C287&gt;=15,", "&amp;$A287&amp;"-"&amp;TEXT(($D287-$C287+1)+14,"00"),"")&amp;IF($C287&gt;=16,", "&amp;$A287&amp;"-"&amp;TEXT(($D287-$C287+1)+15,"00"),"")&amp;IF($C287&gt;=17,", "&amp;$A287&amp;"-"&amp;TEXT(($D287-$C287+1)+16,"00"),"")&amp;IF($C287&gt;=18,", "&amp;$A287&amp;"-"&amp;TEXT(($D287-$C287+1)+17,"00"),"")&amp;IF($C287&gt;=19,", "&amp;$A287&amp;"-"&amp;TEXT(($D287-$C287+1)+18,"00"),"")&amp;IF($C287&gt;=20,", "&amp;$A287&amp;"-"&amp;TEXT(($D287-$C287+1)+19,"00"),"")&amp;IF($C287&gt;=21,", "&amp;$A287&amp;"-"&amp;TEXT(($D287-$C287+1)+20,"00"),"")&amp;IF($C287&gt;=22,", "&amp;$A287&amp;"-"&amp;TEXT(($D287-$C287+1)+21,"00"),"")&amp;IF($C287&gt;=23,", "&amp;$A287&amp;"-"&amp;TEXT(($D287-$C287+1)+22,"00"),"")&amp;IF($C287&gt;=24,", "&amp;$A287&amp;"-"&amp;TEXT(($D287-$C287+1)+23,"00"),"")&amp;IF($C287&gt;=25,", "&amp;$A287&amp;"-"&amp;TEXT(($D287-$C287+1)+24,"00"),""))</f>
        <v/>
      </c>
      <c r="G287">
        <f>IF($A287="","",IF($E287=1,$F287,IF($F287="",$G286,IF($G286="",$F287,$G286&amp;", "&amp;$F287))))</f>
        <v/>
      </c>
      <c r="H287">
        <f>IF($A287="","",$A287&amp;" ("&amp;$C287&amp;")")</f>
        <v/>
      </c>
      <c r="I287">
        <f>IF($A287="","",IF($E287=1,$H287,$I286&amp;", "&amp;$H287))</f>
        <v/>
      </c>
      <c r="J287">
        <f>IF($A287="","",IF($E287=1,$B287,""))</f>
        <v/>
      </c>
      <c r="K287">
        <f>IF($A287="","",IF(COUNTIF($B$2:$B287,$B287)=COUNTIF($B$2:$B$1601,$B287),$B287,""))</f>
        <v/>
      </c>
    </row>
    <row r="288">
      <c r="A288">
        <f>IF('TMP Paste'!$E288="","",'TMP Paste'!$E288)</f>
        <v/>
      </c>
      <c r="B288">
        <f>IF($A288="","",COUNTIF('TMP Paste'!$B$2:$B288,"?*"))</f>
        <v/>
      </c>
      <c r="C288">
        <f>IF($A288="","",IFERROR('TMP Paste'!$M288*1,0))</f>
        <v/>
      </c>
      <c r="D288">
        <f>IF($A288="","",SUMIF($B$2:$B288,$B288,$C$2:$C288))</f>
        <v/>
      </c>
      <c r="E288">
        <f>IF($A288="",0,IF('TMP Paste'!$B288="",0,1))</f>
        <v/>
      </c>
      <c r="F288">
        <f>IF(OR($A288="",$C288&lt;1),"",$A288&amp;"-"&amp;TEXT(($D288-$C288+1),"00")&amp;IF($C288&gt;=2,", "&amp;$A288&amp;"-"&amp;TEXT(($D288-$C288+1)+1,"00"),"")&amp;IF($C288&gt;=3,", "&amp;$A288&amp;"-"&amp;TEXT(($D288-$C288+1)+2,"00"),"")&amp;IF($C288&gt;=4,", "&amp;$A288&amp;"-"&amp;TEXT(($D288-$C288+1)+3,"00"),"")&amp;IF($C288&gt;=5,", "&amp;$A288&amp;"-"&amp;TEXT(($D288-$C288+1)+4,"00"),"")&amp;IF($C288&gt;=6,", "&amp;$A288&amp;"-"&amp;TEXT(($D288-$C288+1)+5,"00"),"")&amp;IF($C288&gt;=7,", "&amp;$A288&amp;"-"&amp;TEXT(($D288-$C288+1)+6,"00"),"")&amp;IF($C288&gt;=8,", "&amp;$A288&amp;"-"&amp;TEXT(($D288-$C288+1)+7,"00"),"")&amp;IF($C288&gt;=9,", "&amp;$A288&amp;"-"&amp;TEXT(($D288-$C288+1)+8,"00"),"")&amp;IF($C288&gt;=10,", "&amp;$A288&amp;"-"&amp;TEXT(($D288-$C288+1)+9,"00"),"")&amp;IF($C288&gt;=11,", "&amp;$A288&amp;"-"&amp;TEXT(($D288-$C288+1)+10,"00"),"")&amp;IF($C288&gt;=12,", "&amp;$A288&amp;"-"&amp;TEXT(($D288-$C288+1)+11,"00"),"")&amp;IF($C288&gt;=13,", "&amp;$A288&amp;"-"&amp;TEXT(($D288-$C288+1)+12,"00"),"")&amp;IF($C288&gt;=14,", "&amp;$A288&amp;"-"&amp;TEXT(($D288-$C288+1)+13,"00"),"")&amp;IF($C288&gt;=15,", "&amp;$A288&amp;"-"&amp;TEXT(($D288-$C288+1)+14,"00"),"")&amp;IF($C288&gt;=16,", "&amp;$A288&amp;"-"&amp;TEXT(($D288-$C288+1)+15,"00"),"")&amp;IF($C288&gt;=17,", "&amp;$A288&amp;"-"&amp;TEXT(($D288-$C288+1)+16,"00"),"")&amp;IF($C288&gt;=18,", "&amp;$A288&amp;"-"&amp;TEXT(($D288-$C288+1)+17,"00"),"")&amp;IF($C288&gt;=19,", "&amp;$A288&amp;"-"&amp;TEXT(($D288-$C288+1)+18,"00"),"")&amp;IF($C288&gt;=20,", "&amp;$A288&amp;"-"&amp;TEXT(($D288-$C288+1)+19,"00"),"")&amp;IF($C288&gt;=21,", "&amp;$A288&amp;"-"&amp;TEXT(($D288-$C288+1)+20,"00"),"")&amp;IF($C288&gt;=22,", "&amp;$A288&amp;"-"&amp;TEXT(($D288-$C288+1)+21,"00"),"")&amp;IF($C288&gt;=23,", "&amp;$A288&amp;"-"&amp;TEXT(($D288-$C288+1)+22,"00"),"")&amp;IF($C288&gt;=24,", "&amp;$A288&amp;"-"&amp;TEXT(($D288-$C288+1)+23,"00"),"")&amp;IF($C288&gt;=25,", "&amp;$A288&amp;"-"&amp;TEXT(($D288-$C288+1)+24,"00"),""))</f>
        <v/>
      </c>
      <c r="G288">
        <f>IF($A288="","",IF($E288=1,$F288,IF($F288="",$G287,IF($G287="",$F288,$G287&amp;", "&amp;$F288))))</f>
        <v/>
      </c>
      <c r="H288">
        <f>IF($A288="","",$A288&amp;" ("&amp;$C288&amp;")")</f>
        <v/>
      </c>
      <c r="I288">
        <f>IF($A288="","",IF($E288=1,$H288,$I287&amp;", "&amp;$H288))</f>
        <v/>
      </c>
      <c r="J288">
        <f>IF($A288="","",IF($E288=1,$B288,""))</f>
        <v/>
      </c>
      <c r="K288">
        <f>IF($A288="","",IF(COUNTIF($B$2:$B288,$B288)=COUNTIF($B$2:$B$1601,$B288),$B288,""))</f>
        <v/>
      </c>
    </row>
    <row r="289">
      <c r="A289">
        <f>IF('TMP Paste'!$E289="","",'TMP Paste'!$E289)</f>
        <v/>
      </c>
      <c r="B289">
        <f>IF($A289="","",COUNTIF('TMP Paste'!$B$2:$B289,"?*"))</f>
        <v/>
      </c>
      <c r="C289">
        <f>IF($A289="","",IFERROR('TMP Paste'!$M289*1,0))</f>
        <v/>
      </c>
      <c r="D289">
        <f>IF($A289="","",SUMIF($B$2:$B289,$B289,$C$2:$C289))</f>
        <v/>
      </c>
      <c r="E289">
        <f>IF($A289="",0,IF('TMP Paste'!$B289="",0,1))</f>
        <v/>
      </c>
      <c r="F289">
        <f>IF(OR($A289="",$C289&lt;1),"",$A289&amp;"-"&amp;TEXT(($D289-$C289+1),"00")&amp;IF($C289&gt;=2,", "&amp;$A289&amp;"-"&amp;TEXT(($D289-$C289+1)+1,"00"),"")&amp;IF($C289&gt;=3,", "&amp;$A289&amp;"-"&amp;TEXT(($D289-$C289+1)+2,"00"),"")&amp;IF($C289&gt;=4,", "&amp;$A289&amp;"-"&amp;TEXT(($D289-$C289+1)+3,"00"),"")&amp;IF($C289&gt;=5,", "&amp;$A289&amp;"-"&amp;TEXT(($D289-$C289+1)+4,"00"),"")&amp;IF($C289&gt;=6,", "&amp;$A289&amp;"-"&amp;TEXT(($D289-$C289+1)+5,"00"),"")&amp;IF($C289&gt;=7,", "&amp;$A289&amp;"-"&amp;TEXT(($D289-$C289+1)+6,"00"),"")&amp;IF($C289&gt;=8,", "&amp;$A289&amp;"-"&amp;TEXT(($D289-$C289+1)+7,"00"),"")&amp;IF($C289&gt;=9,", "&amp;$A289&amp;"-"&amp;TEXT(($D289-$C289+1)+8,"00"),"")&amp;IF($C289&gt;=10,", "&amp;$A289&amp;"-"&amp;TEXT(($D289-$C289+1)+9,"00"),"")&amp;IF($C289&gt;=11,", "&amp;$A289&amp;"-"&amp;TEXT(($D289-$C289+1)+10,"00"),"")&amp;IF($C289&gt;=12,", "&amp;$A289&amp;"-"&amp;TEXT(($D289-$C289+1)+11,"00"),"")&amp;IF($C289&gt;=13,", "&amp;$A289&amp;"-"&amp;TEXT(($D289-$C289+1)+12,"00"),"")&amp;IF($C289&gt;=14,", "&amp;$A289&amp;"-"&amp;TEXT(($D289-$C289+1)+13,"00"),"")&amp;IF($C289&gt;=15,", "&amp;$A289&amp;"-"&amp;TEXT(($D289-$C289+1)+14,"00"),"")&amp;IF($C289&gt;=16,", "&amp;$A289&amp;"-"&amp;TEXT(($D289-$C289+1)+15,"00"),"")&amp;IF($C289&gt;=17,", "&amp;$A289&amp;"-"&amp;TEXT(($D289-$C289+1)+16,"00"),"")&amp;IF($C289&gt;=18,", "&amp;$A289&amp;"-"&amp;TEXT(($D289-$C289+1)+17,"00"),"")&amp;IF($C289&gt;=19,", "&amp;$A289&amp;"-"&amp;TEXT(($D289-$C289+1)+18,"00"),"")&amp;IF($C289&gt;=20,", "&amp;$A289&amp;"-"&amp;TEXT(($D289-$C289+1)+19,"00"),"")&amp;IF($C289&gt;=21,", "&amp;$A289&amp;"-"&amp;TEXT(($D289-$C289+1)+20,"00"),"")&amp;IF($C289&gt;=22,", "&amp;$A289&amp;"-"&amp;TEXT(($D289-$C289+1)+21,"00"),"")&amp;IF($C289&gt;=23,", "&amp;$A289&amp;"-"&amp;TEXT(($D289-$C289+1)+22,"00"),"")&amp;IF($C289&gt;=24,", "&amp;$A289&amp;"-"&amp;TEXT(($D289-$C289+1)+23,"00"),"")&amp;IF($C289&gt;=25,", "&amp;$A289&amp;"-"&amp;TEXT(($D289-$C289+1)+24,"00"),""))</f>
        <v/>
      </c>
      <c r="G289">
        <f>IF($A289="","",IF($E289=1,$F289,IF($F289="",$G288,IF($G288="",$F289,$G288&amp;", "&amp;$F289))))</f>
        <v/>
      </c>
      <c r="H289">
        <f>IF($A289="","",$A289&amp;" ("&amp;$C289&amp;")")</f>
        <v/>
      </c>
      <c r="I289">
        <f>IF($A289="","",IF($E289=1,$H289,$I288&amp;", "&amp;$H289))</f>
        <v/>
      </c>
      <c r="J289">
        <f>IF($A289="","",IF($E289=1,$B289,""))</f>
        <v/>
      </c>
      <c r="K289">
        <f>IF($A289="","",IF(COUNTIF($B$2:$B289,$B289)=COUNTIF($B$2:$B$1601,$B289),$B289,""))</f>
        <v/>
      </c>
    </row>
    <row r="290">
      <c r="A290">
        <f>IF('TMP Paste'!$E290="","",'TMP Paste'!$E290)</f>
        <v/>
      </c>
      <c r="B290">
        <f>IF($A290="","",COUNTIF('TMP Paste'!$B$2:$B290,"?*"))</f>
        <v/>
      </c>
      <c r="C290">
        <f>IF($A290="","",IFERROR('TMP Paste'!$M290*1,0))</f>
        <v/>
      </c>
      <c r="D290">
        <f>IF($A290="","",SUMIF($B$2:$B290,$B290,$C$2:$C290))</f>
        <v/>
      </c>
      <c r="E290">
        <f>IF($A290="",0,IF('TMP Paste'!$B290="",0,1))</f>
        <v/>
      </c>
      <c r="F290">
        <f>IF(OR($A290="",$C290&lt;1),"",$A290&amp;"-"&amp;TEXT(($D290-$C290+1),"00")&amp;IF($C290&gt;=2,", "&amp;$A290&amp;"-"&amp;TEXT(($D290-$C290+1)+1,"00"),"")&amp;IF($C290&gt;=3,", "&amp;$A290&amp;"-"&amp;TEXT(($D290-$C290+1)+2,"00"),"")&amp;IF($C290&gt;=4,", "&amp;$A290&amp;"-"&amp;TEXT(($D290-$C290+1)+3,"00"),"")&amp;IF($C290&gt;=5,", "&amp;$A290&amp;"-"&amp;TEXT(($D290-$C290+1)+4,"00"),"")&amp;IF($C290&gt;=6,", "&amp;$A290&amp;"-"&amp;TEXT(($D290-$C290+1)+5,"00"),"")&amp;IF($C290&gt;=7,", "&amp;$A290&amp;"-"&amp;TEXT(($D290-$C290+1)+6,"00"),"")&amp;IF($C290&gt;=8,", "&amp;$A290&amp;"-"&amp;TEXT(($D290-$C290+1)+7,"00"),"")&amp;IF($C290&gt;=9,", "&amp;$A290&amp;"-"&amp;TEXT(($D290-$C290+1)+8,"00"),"")&amp;IF($C290&gt;=10,", "&amp;$A290&amp;"-"&amp;TEXT(($D290-$C290+1)+9,"00"),"")&amp;IF($C290&gt;=11,", "&amp;$A290&amp;"-"&amp;TEXT(($D290-$C290+1)+10,"00"),"")&amp;IF($C290&gt;=12,", "&amp;$A290&amp;"-"&amp;TEXT(($D290-$C290+1)+11,"00"),"")&amp;IF($C290&gt;=13,", "&amp;$A290&amp;"-"&amp;TEXT(($D290-$C290+1)+12,"00"),"")&amp;IF($C290&gt;=14,", "&amp;$A290&amp;"-"&amp;TEXT(($D290-$C290+1)+13,"00"),"")&amp;IF($C290&gt;=15,", "&amp;$A290&amp;"-"&amp;TEXT(($D290-$C290+1)+14,"00"),"")&amp;IF($C290&gt;=16,", "&amp;$A290&amp;"-"&amp;TEXT(($D290-$C290+1)+15,"00"),"")&amp;IF($C290&gt;=17,", "&amp;$A290&amp;"-"&amp;TEXT(($D290-$C290+1)+16,"00"),"")&amp;IF($C290&gt;=18,", "&amp;$A290&amp;"-"&amp;TEXT(($D290-$C290+1)+17,"00"),"")&amp;IF($C290&gt;=19,", "&amp;$A290&amp;"-"&amp;TEXT(($D290-$C290+1)+18,"00"),"")&amp;IF($C290&gt;=20,", "&amp;$A290&amp;"-"&amp;TEXT(($D290-$C290+1)+19,"00"),"")&amp;IF($C290&gt;=21,", "&amp;$A290&amp;"-"&amp;TEXT(($D290-$C290+1)+20,"00"),"")&amp;IF($C290&gt;=22,", "&amp;$A290&amp;"-"&amp;TEXT(($D290-$C290+1)+21,"00"),"")&amp;IF($C290&gt;=23,", "&amp;$A290&amp;"-"&amp;TEXT(($D290-$C290+1)+22,"00"),"")&amp;IF($C290&gt;=24,", "&amp;$A290&amp;"-"&amp;TEXT(($D290-$C290+1)+23,"00"),"")&amp;IF($C290&gt;=25,", "&amp;$A290&amp;"-"&amp;TEXT(($D290-$C290+1)+24,"00"),""))</f>
        <v/>
      </c>
      <c r="G290">
        <f>IF($A290="","",IF($E290=1,$F290,IF($F290="",$G289,IF($G289="",$F290,$G289&amp;", "&amp;$F290))))</f>
        <v/>
      </c>
      <c r="H290">
        <f>IF($A290="","",$A290&amp;" ("&amp;$C290&amp;")")</f>
        <v/>
      </c>
      <c r="I290">
        <f>IF($A290="","",IF($E290=1,$H290,$I289&amp;", "&amp;$H290))</f>
        <v/>
      </c>
      <c r="J290">
        <f>IF($A290="","",IF($E290=1,$B290,""))</f>
        <v/>
      </c>
      <c r="K290">
        <f>IF($A290="","",IF(COUNTIF($B$2:$B290,$B290)=COUNTIF($B$2:$B$1601,$B290),$B290,""))</f>
        <v/>
      </c>
    </row>
    <row r="291">
      <c r="A291">
        <f>IF('TMP Paste'!$E291="","",'TMP Paste'!$E291)</f>
        <v/>
      </c>
      <c r="B291">
        <f>IF($A291="","",COUNTIF('TMP Paste'!$B$2:$B291,"?*"))</f>
        <v/>
      </c>
      <c r="C291">
        <f>IF($A291="","",IFERROR('TMP Paste'!$M291*1,0))</f>
        <v/>
      </c>
      <c r="D291">
        <f>IF($A291="","",SUMIF($B$2:$B291,$B291,$C$2:$C291))</f>
        <v/>
      </c>
      <c r="E291">
        <f>IF($A291="",0,IF('TMP Paste'!$B291="",0,1))</f>
        <v/>
      </c>
      <c r="F291">
        <f>IF(OR($A291="",$C291&lt;1),"",$A291&amp;"-"&amp;TEXT(($D291-$C291+1),"00")&amp;IF($C291&gt;=2,", "&amp;$A291&amp;"-"&amp;TEXT(($D291-$C291+1)+1,"00"),"")&amp;IF($C291&gt;=3,", "&amp;$A291&amp;"-"&amp;TEXT(($D291-$C291+1)+2,"00"),"")&amp;IF($C291&gt;=4,", "&amp;$A291&amp;"-"&amp;TEXT(($D291-$C291+1)+3,"00"),"")&amp;IF($C291&gt;=5,", "&amp;$A291&amp;"-"&amp;TEXT(($D291-$C291+1)+4,"00"),"")&amp;IF($C291&gt;=6,", "&amp;$A291&amp;"-"&amp;TEXT(($D291-$C291+1)+5,"00"),"")&amp;IF($C291&gt;=7,", "&amp;$A291&amp;"-"&amp;TEXT(($D291-$C291+1)+6,"00"),"")&amp;IF($C291&gt;=8,", "&amp;$A291&amp;"-"&amp;TEXT(($D291-$C291+1)+7,"00"),"")&amp;IF($C291&gt;=9,", "&amp;$A291&amp;"-"&amp;TEXT(($D291-$C291+1)+8,"00"),"")&amp;IF($C291&gt;=10,", "&amp;$A291&amp;"-"&amp;TEXT(($D291-$C291+1)+9,"00"),"")&amp;IF($C291&gt;=11,", "&amp;$A291&amp;"-"&amp;TEXT(($D291-$C291+1)+10,"00"),"")&amp;IF($C291&gt;=12,", "&amp;$A291&amp;"-"&amp;TEXT(($D291-$C291+1)+11,"00"),"")&amp;IF($C291&gt;=13,", "&amp;$A291&amp;"-"&amp;TEXT(($D291-$C291+1)+12,"00"),"")&amp;IF($C291&gt;=14,", "&amp;$A291&amp;"-"&amp;TEXT(($D291-$C291+1)+13,"00"),"")&amp;IF($C291&gt;=15,", "&amp;$A291&amp;"-"&amp;TEXT(($D291-$C291+1)+14,"00"),"")&amp;IF($C291&gt;=16,", "&amp;$A291&amp;"-"&amp;TEXT(($D291-$C291+1)+15,"00"),"")&amp;IF($C291&gt;=17,", "&amp;$A291&amp;"-"&amp;TEXT(($D291-$C291+1)+16,"00"),"")&amp;IF($C291&gt;=18,", "&amp;$A291&amp;"-"&amp;TEXT(($D291-$C291+1)+17,"00"),"")&amp;IF($C291&gt;=19,", "&amp;$A291&amp;"-"&amp;TEXT(($D291-$C291+1)+18,"00"),"")&amp;IF($C291&gt;=20,", "&amp;$A291&amp;"-"&amp;TEXT(($D291-$C291+1)+19,"00"),"")&amp;IF($C291&gt;=21,", "&amp;$A291&amp;"-"&amp;TEXT(($D291-$C291+1)+20,"00"),"")&amp;IF($C291&gt;=22,", "&amp;$A291&amp;"-"&amp;TEXT(($D291-$C291+1)+21,"00"),"")&amp;IF($C291&gt;=23,", "&amp;$A291&amp;"-"&amp;TEXT(($D291-$C291+1)+22,"00"),"")&amp;IF($C291&gt;=24,", "&amp;$A291&amp;"-"&amp;TEXT(($D291-$C291+1)+23,"00"),"")&amp;IF($C291&gt;=25,", "&amp;$A291&amp;"-"&amp;TEXT(($D291-$C291+1)+24,"00"),""))</f>
        <v/>
      </c>
      <c r="G291">
        <f>IF($A291="","",IF($E291=1,$F291,IF($F291="",$G290,IF($G290="",$F291,$G290&amp;", "&amp;$F291))))</f>
        <v/>
      </c>
      <c r="H291">
        <f>IF($A291="","",$A291&amp;" ("&amp;$C291&amp;")")</f>
        <v/>
      </c>
      <c r="I291">
        <f>IF($A291="","",IF($E291=1,$H291,$I290&amp;", "&amp;$H291))</f>
        <v/>
      </c>
      <c r="J291">
        <f>IF($A291="","",IF($E291=1,$B291,""))</f>
        <v/>
      </c>
      <c r="K291">
        <f>IF($A291="","",IF(COUNTIF($B$2:$B291,$B291)=COUNTIF($B$2:$B$1601,$B291),$B291,""))</f>
        <v/>
      </c>
    </row>
    <row r="292">
      <c r="A292">
        <f>IF('TMP Paste'!$E292="","",'TMP Paste'!$E292)</f>
        <v/>
      </c>
      <c r="B292">
        <f>IF($A292="","",COUNTIF('TMP Paste'!$B$2:$B292,"?*"))</f>
        <v/>
      </c>
      <c r="C292">
        <f>IF($A292="","",IFERROR('TMP Paste'!$M292*1,0))</f>
        <v/>
      </c>
      <c r="D292">
        <f>IF($A292="","",SUMIF($B$2:$B292,$B292,$C$2:$C292))</f>
        <v/>
      </c>
      <c r="E292">
        <f>IF($A292="",0,IF('TMP Paste'!$B292="",0,1))</f>
        <v/>
      </c>
      <c r="F292">
        <f>IF(OR($A292="",$C292&lt;1),"",$A292&amp;"-"&amp;TEXT(($D292-$C292+1),"00")&amp;IF($C292&gt;=2,", "&amp;$A292&amp;"-"&amp;TEXT(($D292-$C292+1)+1,"00"),"")&amp;IF($C292&gt;=3,", "&amp;$A292&amp;"-"&amp;TEXT(($D292-$C292+1)+2,"00"),"")&amp;IF($C292&gt;=4,", "&amp;$A292&amp;"-"&amp;TEXT(($D292-$C292+1)+3,"00"),"")&amp;IF($C292&gt;=5,", "&amp;$A292&amp;"-"&amp;TEXT(($D292-$C292+1)+4,"00"),"")&amp;IF($C292&gt;=6,", "&amp;$A292&amp;"-"&amp;TEXT(($D292-$C292+1)+5,"00"),"")&amp;IF($C292&gt;=7,", "&amp;$A292&amp;"-"&amp;TEXT(($D292-$C292+1)+6,"00"),"")&amp;IF($C292&gt;=8,", "&amp;$A292&amp;"-"&amp;TEXT(($D292-$C292+1)+7,"00"),"")&amp;IF($C292&gt;=9,", "&amp;$A292&amp;"-"&amp;TEXT(($D292-$C292+1)+8,"00"),"")&amp;IF($C292&gt;=10,", "&amp;$A292&amp;"-"&amp;TEXT(($D292-$C292+1)+9,"00"),"")&amp;IF($C292&gt;=11,", "&amp;$A292&amp;"-"&amp;TEXT(($D292-$C292+1)+10,"00"),"")&amp;IF($C292&gt;=12,", "&amp;$A292&amp;"-"&amp;TEXT(($D292-$C292+1)+11,"00"),"")&amp;IF($C292&gt;=13,", "&amp;$A292&amp;"-"&amp;TEXT(($D292-$C292+1)+12,"00"),"")&amp;IF($C292&gt;=14,", "&amp;$A292&amp;"-"&amp;TEXT(($D292-$C292+1)+13,"00"),"")&amp;IF($C292&gt;=15,", "&amp;$A292&amp;"-"&amp;TEXT(($D292-$C292+1)+14,"00"),"")&amp;IF($C292&gt;=16,", "&amp;$A292&amp;"-"&amp;TEXT(($D292-$C292+1)+15,"00"),"")&amp;IF($C292&gt;=17,", "&amp;$A292&amp;"-"&amp;TEXT(($D292-$C292+1)+16,"00"),"")&amp;IF($C292&gt;=18,", "&amp;$A292&amp;"-"&amp;TEXT(($D292-$C292+1)+17,"00"),"")&amp;IF($C292&gt;=19,", "&amp;$A292&amp;"-"&amp;TEXT(($D292-$C292+1)+18,"00"),"")&amp;IF($C292&gt;=20,", "&amp;$A292&amp;"-"&amp;TEXT(($D292-$C292+1)+19,"00"),"")&amp;IF($C292&gt;=21,", "&amp;$A292&amp;"-"&amp;TEXT(($D292-$C292+1)+20,"00"),"")&amp;IF($C292&gt;=22,", "&amp;$A292&amp;"-"&amp;TEXT(($D292-$C292+1)+21,"00"),"")&amp;IF($C292&gt;=23,", "&amp;$A292&amp;"-"&amp;TEXT(($D292-$C292+1)+22,"00"),"")&amp;IF($C292&gt;=24,", "&amp;$A292&amp;"-"&amp;TEXT(($D292-$C292+1)+23,"00"),"")&amp;IF($C292&gt;=25,", "&amp;$A292&amp;"-"&amp;TEXT(($D292-$C292+1)+24,"00"),""))</f>
        <v/>
      </c>
      <c r="G292">
        <f>IF($A292="","",IF($E292=1,$F292,IF($F292="",$G291,IF($G291="",$F292,$G291&amp;", "&amp;$F292))))</f>
        <v/>
      </c>
      <c r="H292">
        <f>IF($A292="","",$A292&amp;" ("&amp;$C292&amp;")")</f>
        <v/>
      </c>
      <c r="I292">
        <f>IF($A292="","",IF($E292=1,$H292,$I291&amp;", "&amp;$H292))</f>
        <v/>
      </c>
      <c r="J292">
        <f>IF($A292="","",IF($E292=1,$B292,""))</f>
        <v/>
      </c>
      <c r="K292">
        <f>IF($A292="","",IF(COUNTIF($B$2:$B292,$B292)=COUNTIF($B$2:$B$1601,$B292),$B292,""))</f>
        <v/>
      </c>
    </row>
    <row r="293">
      <c r="A293">
        <f>IF('TMP Paste'!$E293="","",'TMP Paste'!$E293)</f>
        <v/>
      </c>
      <c r="B293">
        <f>IF($A293="","",COUNTIF('TMP Paste'!$B$2:$B293,"?*"))</f>
        <v/>
      </c>
      <c r="C293">
        <f>IF($A293="","",IFERROR('TMP Paste'!$M293*1,0))</f>
        <v/>
      </c>
      <c r="D293">
        <f>IF($A293="","",SUMIF($B$2:$B293,$B293,$C$2:$C293))</f>
        <v/>
      </c>
      <c r="E293">
        <f>IF($A293="",0,IF('TMP Paste'!$B293="",0,1))</f>
        <v/>
      </c>
      <c r="F293">
        <f>IF(OR($A293="",$C293&lt;1),"",$A293&amp;"-"&amp;TEXT(($D293-$C293+1),"00")&amp;IF($C293&gt;=2,", "&amp;$A293&amp;"-"&amp;TEXT(($D293-$C293+1)+1,"00"),"")&amp;IF($C293&gt;=3,", "&amp;$A293&amp;"-"&amp;TEXT(($D293-$C293+1)+2,"00"),"")&amp;IF($C293&gt;=4,", "&amp;$A293&amp;"-"&amp;TEXT(($D293-$C293+1)+3,"00"),"")&amp;IF($C293&gt;=5,", "&amp;$A293&amp;"-"&amp;TEXT(($D293-$C293+1)+4,"00"),"")&amp;IF($C293&gt;=6,", "&amp;$A293&amp;"-"&amp;TEXT(($D293-$C293+1)+5,"00"),"")&amp;IF($C293&gt;=7,", "&amp;$A293&amp;"-"&amp;TEXT(($D293-$C293+1)+6,"00"),"")&amp;IF($C293&gt;=8,", "&amp;$A293&amp;"-"&amp;TEXT(($D293-$C293+1)+7,"00"),"")&amp;IF($C293&gt;=9,", "&amp;$A293&amp;"-"&amp;TEXT(($D293-$C293+1)+8,"00"),"")&amp;IF($C293&gt;=10,", "&amp;$A293&amp;"-"&amp;TEXT(($D293-$C293+1)+9,"00"),"")&amp;IF($C293&gt;=11,", "&amp;$A293&amp;"-"&amp;TEXT(($D293-$C293+1)+10,"00"),"")&amp;IF($C293&gt;=12,", "&amp;$A293&amp;"-"&amp;TEXT(($D293-$C293+1)+11,"00"),"")&amp;IF($C293&gt;=13,", "&amp;$A293&amp;"-"&amp;TEXT(($D293-$C293+1)+12,"00"),"")&amp;IF($C293&gt;=14,", "&amp;$A293&amp;"-"&amp;TEXT(($D293-$C293+1)+13,"00"),"")&amp;IF($C293&gt;=15,", "&amp;$A293&amp;"-"&amp;TEXT(($D293-$C293+1)+14,"00"),"")&amp;IF($C293&gt;=16,", "&amp;$A293&amp;"-"&amp;TEXT(($D293-$C293+1)+15,"00"),"")&amp;IF($C293&gt;=17,", "&amp;$A293&amp;"-"&amp;TEXT(($D293-$C293+1)+16,"00"),"")&amp;IF($C293&gt;=18,", "&amp;$A293&amp;"-"&amp;TEXT(($D293-$C293+1)+17,"00"),"")&amp;IF($C293&gt;=19,", "&amp;$A293&amp;"-"&amp;TEXT(($D293-$C293+1)+18,"00"),"")&amp;IF($C293&gt;=20,", "&amp;$A293&amp;"-"&amp;TEXT(($D293-$C293+1)+19,"00"),"")&amp;IF($C293&gt;=21,", "&amp;$A293&amp;"-"&amp;TEXT(($D293-$C293+1)+20,"00"),"")&amp;IF($C293&gt;=22,", "&amp;$A293&amp;"-"&amp;TEXT(($D293-$C293+1)+21,"00"),"")&amp;IF($C293&gt;=23,", "&amp;$A293&amp;"-"&amp;TEXT(($D293-$C293+1)+22,"00"),"")&amp;IF($C293&gt;=24,", "&amp;$A293&amp;"-"&amp;TEXT(($D293-$C293+1)+23,"00"),"")&amp;IF($C293&gt;=25,", "&amp;$A293&amp;"-"&amp;TEXT(($D293-$C293+1)+24,"00"),""))</f>
        <v/>
      </c>
      <c r="G293">
        <f>IF($A293="","",IF($E293=1,$F293,IF($F293="",$G292,IF($G292="",$F293,$G292&amp;", "&amp;$F293))))</f>
        <v/>
      </c>
      <c r="H293">
        <f>IF($A293="","",$A293&amp;" ("&amp;$C293&amp;")")</f>
        <v/>
      </c>
      <c r="I293">
        <f>IF($A293="","",IF($E293=1,$H293,$I292&amp;", "&amp;$H293))</f>
        <v/>
      </c>
      <c r="J293">
        <f>IF($A293="","",IF($E293=1,$B293,""))</f>
        <v/>
      </c>
      <c r="K293">
        <f>IF($A293="","",IF(COUNTIF($B$2:$B293,$B293)=COUNTIF($B$2:$B$1601,$B293),$B293,""))</f>
        <v/>
      </c>
    </row>
    <row r="294">
      <c r="A294">
        <f>IF('TMP Paste'!$E294="","",'TMP Paste'!$E294)</f>
        <v/>
      </c>
      <c r="B294">
        <f>IF($A294="","",COUNTIF('TMP Paste'!$B$2:$B294,"?*"))</f>
        <v/>
      </c>
      <c r="C294">
        <f>IF($A294="","",IFERROR('TMP Paste'!$M294*1,0))</f>
        <v/>
      </c>
      <c r="D294">
        <f>IF($A294="","",SUMIF($B$2:$B294,$B294,$C$2:$C294))</f>
        <v/>
      </c>
      <c r="E294">
        <f>IF($A294="",0,IF('TMP Paste'!$B294="",0,1))</f>
        <v/>
      </c>
      <c r="F294">
        <f>IF(OR($A294="",$C294&lt;1),"",$A294&amp;"-"&amp;TEXT(($D294-$C294+1),"00")&amp;IF($C294&gt;=2,", "&amp;$A294&amp;"-"&amp;TEXT(($D294-$C294+1)+1,"00"),"")&amp;IF($C294&gt;=3,", "&amp;$A294&amp;"-"&amp;TEXT(($D294-$C294+1)+2,"00"),"")&amp;IF($C294&gt;=4,", "&amp;$A294&amp;"-"&amp;TEXT(($D294-$C294+1)+3,"00"),"")&amp;IF($C294&gt;=5,", "&amp;$A294&amp;"-"&amp;TEXT(($D294-$C294+1)+4,"00"),"")&amp;IF($C294&gt;=6,", "&amp;$A294&amp;"-"&amp;TEXT(($D294-$C294+1)+5,"00"),"")&amp;IF($C294&gt;=7,", "&amp;$A294&amp;"-"&amp;TEXT(($D294-$C294+1)+6,"00"),"")&amp;IF($C294&gt;=8,", "&amp;$A294&amp;"-"&amp;TEXT(($D294-$C294+1)+7,"00"),"")&amp;IF($C294&gt;=9,", "&amp;$A294&amp;"-"&amp;TEXT(($D294-$C294+1)+8,"00"),"")&amp;IF($C294&gt;=10,", "&amp;$A294&amp;"-"&amp;TEXT(($D294-$C294+1)+9,"00"),"")&amp;IF($C294&gt;=11,", "&amp;$A294&amp;"-"&amp;TEXT(($D294-$C294+1)+10,"00"),"")&amp;IF($C294&gt;=12,", "&amp;$A294&amp;"-"&amp;TEXT(($D294-$C294+1)+11,"00"),"")&amp;IF($C294&gt;=13,", "&amp;$A294&amp;"-"&amp;TEXT(($D294-$C294+1)+12,"00"),"")&amp;IF($C294&gt;=14,", "&amp;$A294&amp;"-"&amp;TEXT(($D294-$C294+1)+13,"00"),"")&amp;IF($C294&gt;=15,", "&amp;$A294&amp;"-"&amp;TEXT(($D294-$C294+1)+14,"00"),"")&amp;IF($C294&gt;=16,", "&amp;$A294&amp;"-"&amp;TEXT(($D294-$C294+1)+15,"00"),"")&amp;IF($C294&gt;=17,", "&amp;$A294&amp;"-"&amp;TEXT(($D294-$C294+1)+16,"00"),"")&amp;IF($C294&gt;=18,", "&amp;$A294&amp;"-"&amp;TEXT(($D294-$C294+1)+17,"00"),"")&amp;IF($C294&gt;=19,", "&amp;$A294&amp;"-"&amp;TEXT(($D294-$C294+1)+18,"00"),"")&amp;IF($C294&gt;=20,", "&amp;$A294&amp;"-"&amp;TEXT(($D294-$C294+1)+19,"00"),"")&amp;IF($C294&gt;=21,", "&amp;$A294&amp;"-"&amp;TEXT(($D294-$C294+1)+20,"00"),"")&amp;IF($C294&gt;=22,", "&amp;$A294&amp;"-"&amp;TEXT(($D294-$C294+1)+21,"00"),"")&amp;IF($C294&gt;=23,", "&amp;$A294&amp;"-"&amp;TEXT(($D294-$C294+1)+22,"00"),"")&amp;IF($C294&gt;=24,", "&amp;$A294&amp;"-"&amp;TEXT(($D294-$C294+1)+23,"00"),"")&amp;IF($C294&gt;=25,", "&amp;$A294&amp;"-"&amp;TEXT(($D294-$C294+1)+24,"00"),""))</f>
        <v/>
      </c>
      <c r="G294">
        <f>IF($A294="","",IF($E294=1,$F294,IF($F294="",$G293,IF($G293="",$F294,$G293&amp;", "&amp;$F294))))</f>
        <v/>
      </c>
      <c r="H294">
        <f>IF($A294="","",$A294&amp;" ("&amp;$C294&amp;")")</f>
        <v/>
      </c>
      <c r="I294">
        <f>IF($A294="","",IF($E294=1,$H294,$I293&amp;", "&amp;$H294))</f>
        <v/>
      </c>
      <c r="J294">
        <f>IF($A294="","",IF($E294=1,$B294,""))</f>
        <v/>
      </c>
      <c r="K294">
        <f>IF($A294="","",IF(COUNTIF($B$2:$B294,$B294)=COUNTIF($B$2:$B$1601,$B294),$B294,""))</f>
        <v/>
      </c>
    </row>
    <row r="295">
      <c r="A295">
        <f>IF('TMP Paste'!$E295="","",'TMP Paste'!$E295)</f>
        <v/>
      </c>
      <c r="B295">
        <f>IF($A295="","",COUNTIF('TMP Paste'!$B$2:$B295,"?*"))</f>
        <v/>
      </c>
      <c r="C295">
        <f>IF($A295="","",IFERROR('TMP Paste'!$M295*1,0))</f>
        <v/>
      </c>
      <c r="D295">
        <f>IF($A295="","",SUMIF($B$2:$B295,$B295,$C$2:$C295))</f>
        <v/>
      </c>
      <c r="E295">
        <f>IF($A295="",0,IF('TMP Paste'!$B295="",0,1))</f>
        <v/>
      </c>
      <c r="F295">
        <f>IF(OR($A295="",$C295&lt;1),"",$A295&amp;"-"&amp;TEXT(($D295-$C295+1),"00")&amp;IF($C295&gt;=2,", "&amp;$A295&amp;"-"&amp;TEXT(($D295-$C295+1)+1,"00"),"")&amp;IF($C295&gt;=3,", "&amp;$A295&amp;"-"&amp;TEXT(($D295-$C295+1)+2,"00"),"")&amp;IF($C295&gt;=4,", "&amp;$A295&amp;"-"&amp;TEXT(($D295-$C295+1)+3,"00"),"")&amp;IF($C295&gt;=5,", "&amp;$A295&amp;"-"&amp;TEXT(($D295-$C295+1)+4,"00"),"")&amp;IF($C295&gt;=6,", "&amp;$A295&amp;"-"&amp;TEXT(($D295-$C295+1)+5,"00"),"")&amp;IF($C295&gt;=7,", "&amp;$A295&amp;"-"&amp;TEXT(($D295-$C295+1)+6,"00"),"")&amp;IF($C295&gt;=8,", "&amp;$A295&amp;"-"&amp;TEXT(($D295-$C295+1)+7,"00"),"")&amp;IF($C295&gt;=9,", "&amp;$A295&amp;"-"&amp;TEXT(($D295-$C295+1)+8,"00"),"")&amp;IF($C295&gt;=10,", "&amp;$A295&amp;"-"&amp;TEXT(($D295-$C295+1)+9,"00"),"")&amp;IF($C295&gt;=11,", "&amp;$A295&amp;"-"&amp;TEXT(($D295-$C295+1)+10,"00"),"")&amp;IF($C295&gt;=12,", "&amp;$A295&amp;"-"&amp;TEXT(($D295-$C295+1)+11,"00"),"")&amp;IF($C295&gt;=13,", "&amp;$A295&amp;"-"&amp;TEXT(($D295-$C295+1)+12,"00"),"")&amp;IF($C295&gt;=14,", "&amp;$A295&amp;"-"&amp;TEXT(($D295-$C295+1)+13,"00"),"")&amp;IF($C295&gt;=15,", "&amp;$A295&amp;"-"&amp;TEXT(($D295-$C295+1)+14,"00"),"")&amp;IF($C295&gt;=16,", "&amp;$A295&amp;"-"&amp;TEXT(($D295-$C295+1)+15,"00"),"")&amp;IF($C295&gt;=17,", "&amp;$A295&amp;"-"&amp;TEXT(($D295-$C295+1)+16,"00"),"")&amp;IF($C295&gt;=18,", "&amp;$A295&amp;"-"&amp;TEXT(($D295-$C295+1)+17,"00"),"")&amp;IF($C295&gt;=19,", "&amp;$A295&amp;"-"&amp;TEXT(($D295-$C295+1)+18,"00"),"")&amp;IF($C295&gt;=20,", "&amp;$A295&amp;"-"&amp;TEXT(($D295-$C295+1)+19,"00"),"")&amp;IF($C295&gt;=21,", "&amp;$A295&amp;"-"&amp;TEXT(($D295-$C295+1)+20,"00"),"")&amp;IF($C295&gt;=22,", "&amp;$A295&amp;"-"&amp;TEXT(($D295-$C295+1)+21,"00"),"")&amp;IF($C295&gt;=23,", "&amp;$A295&amp;"-"&amp;TEXT(($D295-$C295+1)+22,"00"),"")&amp;IF($C295&gt;=24,", "&amp;$A295&amp;"-"&amp;TEXT(($D295-$C295+1)+23,"00"),"")&amp;IF($C295&gt;=25,", "&amp;$A295&amp;"-"&amp;TEXT(($D295-$C295+1)+24,"00"),""))</f>
        <v/>
      </c>
      <c r="G295">
        <f>IF($A295="","",IF($E295=1,$F295,IF($F295="",$G294,IF($G294="",$F295,$G294&amp;", "&amp;$F295))))</f>
        <v/>
      </c>
      <c r="H295">
        <f>IF($A295="","",$A295&amp;" ("&amp;$C295&amp;")")</f>
        <v/>
      </c>
      <c r="I295">
        <f>IF($A295="","",IF($E295=1,$H295,$I294&amp;", "&amp;$H295))</f>
        <v/>
      </c>
      <c r="J295">
        <f>IF($A295="","",IF($E295=1,$B295,""))</f>
        <v/>
      </c>
      <c r="K295">
        <f>IF($A295="","",IF(COUNTIF($B$2:$B295,$B295)=COUNTIF($B$2:$B$1601,$B295),$B295,""))</f>
        <v/>
      </c>
    </row>
    <row r="296">
      <c r="A296">
        <f>IF('TMP Paste'!$E296="","",'TMP Paste'!$E296)</f>
        <v/>
      </c>
      <c r="B296">
        <f>IF($A296="","",COUNTIF('TMP Paste'!$B$2:$B296,"?*"))</f>
        <v/>
      </c>
      <c r="C296">
        <f>IF($A296="","",IFERROR('TMP Paste'!$M296*1,0))</f>
        <v/>
      </c>
      <c r="D296">
        <f>IF($A296="","",SUMIF($B$2:$B296,$B296,$C$2:$C296))</f>
        <v/>
      </c>
      <c r="E296">
        <f>IF($A296="",0,IF('TMP Paste'!$B296="",0,1))</f>
        <v/>
      </c>
      <c r="F296">
        <f>IF(OR($A296="",$C296&lt;1),"",$A296&amp;"-"&amp;TEXT(($D296-$C296+1),"00")&amp;IF($C296&gt;=2,", "&amp;$A296&amp;"-"&amp;TEXT(($D296-$C296+1)+1,"00"),"")&amp;IF($C296&gt;=3,", "&amp;$A296&amp;"-"&amp;TEXT(($D296-$C296+1)+2,"00"),"")&amp;IF($C296&gt;=4,", "&amp;$A296&amp;"-"&amp;TEXT(($D296-$C296+1)+3,"00"),"")&amp;IF($C296&gt;=5,", "&amp;$A296&amp;"-"&amp;TEXT(($D296-$C296+1)+4,"00"),"")&amp;IF($C296&gt;=6,", "&amp;$A296&amp;"-"&amp;TEXT(($D296-$C296+1)+5,"00"),"")&amp;IF($C296&gt;=7,", "&amp;$A296&amp;"-"&amp;TEXT(($D296-$C296+1)+6,"00"),"")&amp;IF($C296&gt;=8,", "&amp;$A296&amp;"-"&amp;TEXT(($D296-$C296+1)+7,"00"),"")&amp;IF($C296&gt;=9,", "&amp;$A296&amp;"-"&amp;TEXT(($D296-$C296+1)+8,"00"),"")&amp;IF($C296&gt;=10,", "&amp;$A296&amp;"-"&amp;TEXT(($D296-$C296+1)+9,"00"),"")&amp;IF($C296&gt;=11,", "&amp;$A296&amp;"-"&amp;TEXT(($D296-$C296+1)+10,"00"),"")&amp;IF($C296&gt;=12,", "&amp;$A296&amp;"-"&amp;TEXT(($D296-$C296+1)+11,"00"),"")&amp;IF($C296&gt;=13,", "&amp;$A296&amp;"-"&amp;TEXT(($D296-$C296+1)+12,"00"),"")&amp;IF($C296&gt;=14,", "&amp;$A296&amp;"-"&amp;TEXT(($D296-$C296+1)+13,"00"),"")&amp;IF($C296&gt;=15,", "&amp;$A296&amp;"-"&amp;TEXT(($D296-$C296+1)+14,"00"),"")&amp;IF($C296&gt;=16,", "&amp;$A296&amp;"-"&amp;TEXT(($D296-$C296+1)+15,"00"),"")&amp;IF($C296&gt;=17,", "&amp;$A296&amp;"-"&amp;TEXT(($D296-$C296+1)+16,"00"),"")&amp;IF($C296&gt;=18,", "&amp;$A296&amp;"-"&amp;TEXT(($D296-$C296+1)+17,"00"),"")&amp;IF($C296&gt;=19,", "&amp;$A296&amp;"-"&amp;TEXT(($D296-$C296+1)+18,"00"),"")&amp;IF($C296&gt;=20,", "&amp;$A296&amp;"-"&amp;TEXT(($D296-$C296+1)+19,"00"),"")&amp;IF($C296&gt;=21,", "&amp;$A296&amp;"-"&amp;TEXT(($D296-$C296+1)+20,"00"),"")&amp;IF($C296&gt;=22,", "&amp;$A296&amp;"-"&amp;TEXT(($D296-$C296+1)+21,"00"),"")&amp;IF($C296&gt;=23,", "&amp;$A296&amp;"-"&amp;TEXT(($D296-$C296+1)+22,"00"),"")&amp;IF($C296&gt;=24,", "&amp;$A296&amp;"-"&amp;TEXT(($D296-$C296+1)+23,"00"),"")&amp;IF($C296&gt;=25,", "&amp;$A296&amp;"-"&amp;TEXT(($D296-$C296+1)+24,"00"),""))</f>
        <v/>
      </c>
      <c r="G296">
        <f>IF($A296="","",IF($E296=1,$F296,IF($F296="",$G295,IF($G295="",$F296,$G295&amp;", "&amp;$F296))))</f>
        <v/>
      </c>
      <c r="H296">
        <f>IF($A296="","",$A296&amp;" ("&amp;$C296&amp;")")</f>
        <v/>
      </c>
      <c r="I296">
        <f>IF($A296="","",IF($E296=1,$H296,$I295&amp;", "&amp;$H296))</f>
        <v/>
      </c>
      <c r="J296">
        <f>IF($A296="","",IF($E296=1,$B296,""))</f>
        <v/>
      </c>
      <c r="K296">
        <f>IF($A296="","",IF(COUNTIF($B$2:$B296,$B296)=COUNTIF($B$2:$B$1601,$B296),$B296,""))</f>
        <v/>
      </c>
    </row>
    <row r="297">
      <c r="A297">
        <f>IF('TMP Paste'!$E297="","",'TMP Paste'!$E297)</f>
        <v/>
      </c>
      <c r="B297">
        <f>IF($A297="","",COUNTIF('TMP Paste'!$B$2:$B297,"?*"))</f>
        <v/>
      </c>
      <c r="C297">
        <f>IF($A297="","",IFERROR('TMP Paste'!$M297*1,0))</f>
        <v/>
      </c>
      <c r="D297">
        <f>IF($A297="","",SUMIF($B$2:$B297,$B297,$C$2:$C297))</f>
        <v/>
      </c>
      <c r="E297">
        <f>IF($A297="",0,IF('TMP Paste'!$B297="",0,1))</f>
        <v/>
      </c>
      <c r="F297">
        <f>IF(OR($A297="",$C297&lt;1),"",$A297&amp;"-"&amp;TEXT(($D297-$C297+1),"00")&amp;IF($C297&gt;=2,", "&amp;$A297&amp;"-"&amp;TEXT(($D297-$C297+1)+1,"00"),"")&amp;IF($C297&gt;=3,", "&amp;$A297&amp;"-"&amp;TEXT(($D297-$C297+1)+2,"00"),"")&amp;IF($C297&gt;=4,", "&amp;$A297&amp;"-"&amp;TEXT(($D297-$C297+1)+3,"00"),"")&amp;IF($C297&gt;=5,", "&amp;$A297&amp;"-"&amp;TEXT(($D297-$C297+1)+4,"00"),"")&amp;IF($C297&gt;=6,", "&amp;$A297&amp;"-"&amp;TEXT(($D297-$C297+1)+5,"00"),"")&amp;IF($C297&gt;=7,", "&amp;$A297&amp;"-"&amp;TEXT(($D297-$C297+1)+6,"00"),"")&amp;IF($C297&gt;=8,", "&amp;$A297&amp;"-"&amp;TEXT(($D297-$C297+1)+7,"00"),"")&amp;IF($C297&gt;=9,", "&amp;$A297&amp;"-"&amp;TEXT(($D297-$C297+1)+8,"00"),"")&amp;IF($C297&gt;=10,", "&amp;$A297&amp;"-"&amp;TEXT(($D297-$C297+1)+9,"00"),"")&amp;IF($C297&gt;=11,", "&amp;$A297&amp;"-"&amp;TEXT(($D297-$C297+1)+10,"00"),"")&amp;IF($C297&gt;=12,", "&amp;$A297&amp;"-"&amp;TEXT(($D297-$C297+1)+11,"00"),"")&amp;IF($C297&gt;=13,", "&amp;$A297&amp;"-"&amp;TEXT(($D297-$C297+1)+12,"00"),"")&amp;IF($C297&gt;=14,", "&amp;$A297&amp;"-"&amp;TEXT(($D297-$C297+1)+13,"00"),"")&amp;IF($C297&gt;=15,", "&amp;$A297&amp;"-"&amp;TEXT(($D297-$C297+1)+14,"00"),"")&amp;IF($C297&gt;=16,", "&amp;$A297&amp;"-"&amp;TEXT(($D297-$C297+1)+15,"00"),"")&amp;IF($C297&gt;=17,", "&amp;$A297&amp;"-"&amp;TEXT(($D297-$C297+1)+16,"00"),"")&amp;IF($C297&gt;=18,", "&amp;$A297&amp;"-"&amp;TEXT(($D297-$C297+1)+17,"00"),"")&amp;IF($C297&gt;=19,", "&amp;$A297&amp;"-"&amp;TEXT(($D297-$C297+1)+18,"00"),"")&amp;IF($C297&gt;=20,", "&amp;$A297&amp;"-"&amp;TEXT(($D297-$C297+1)+19,"00"),"")&amp;IF($C297&gt;=21,", "&amp;$A297&amp;"-"&amp;TEXT(($D297-$C297+1)+20,"00"),"")&amp;IF($C297&gt;=22,", "&amp;$A297&amp;"-"&amp;TEXT(($D297-$C297+1)+21,"00"),"")&amp;IF($C297&gt;=23,", "&amp;$A297&amp;"-"&amp;TEXT(($D297-$C297+1)+22,"00"),"")&amp;IF($C297&gt;=24,", "&amp;$A297&amp;"-"&amp;TEXT(($D297-$C297+1)+23,"00"),"")&amp;IF($C297&gt;=25,", "&amp;$A297&amp;"-"&amp;TEXT(($D297-$C297+1)+24,"00"),""))</f>
        <v/>
      </c>
      <c r="G297">
        <f>IF($A297="","",IF($E297=1,$F297,IF($F297="",$G296,IF($G296="",$F297,$G296&amp;", "&amp;$F297))))</f>
        <v/>
      </c>
      <c r="H297">
        <f>IF($A297="","",$A297&amp;" ("&amp;$C297&amp;")")</f>
        <v/>
      </c>
      <c r="I297">
        <f>IF($A297="","",IF($E297=1,$H297,$I296&amp;", "&amp;$H297))</f>
        <v/>
      </c>
      <c r="J297">
        <f>IF($A297="","",IF($E297=1,$B297,""))</f>
        <v/>
      </c>
      <c r="K297">
        <f>IF($A297="","",IF(COUNTIF($B$2:$B297,$B297)=COUNTIF($B$2:$B$1601,$B297),$B297,""))</f>
        <v/>
      </c>
    </row>
    <row r="298">
      <c r="A298">
        <f>IF('TMP Paste'!$E298="","",'TMP Paste'!$E298)</f>
        <v/>
      </c>
      <c r="B298">
        <f>IF($A298="","",COUNTIF('TMP Paste'!$B$2:$B298,"?*"))</f>
        <v/>
      </c>
      <c r="C298">
        <f>IF($A298="","",IFERROR('TMP Paste'!$M298*1,0))</f>
        <v/>
      </c>
      <c r="D298">
        <f>IF($A298="","",SUMIF($B$2:$B298,$B298,$C$2:$C298))</f>
        <v/>
      </c>
      <c r="E298">
        <f>IF($A298="",0,IF('TMP Paste'!$B298="",0,1))</f>
        <v/>
      </c>
      <c r="F298">
        <f>IF(OR($A298="",$C298&lt;1),"",$A298&amp;"-"&amp;TEXT(($D298-$C298+1),"00")&amp;IF($C298&gt;=2,", "&amp;$A298&amp;"-"&amp;TEXT(($D298-$C298+1)+1,"00"),"")&amp;IF($C298&gt;=3,", "&amp;$A298&amp;"-"&amp;TEXT(($D298-$C298+1)+2,"00"),"")&amp;IF($C298&gt;=4,", "&amp;$A298&amp;"-"&amp;TEXT(($D298-$C298+1)+3,"00"),"")&amp;IF($C298&gt;=5,", "&amp;$A298&amp;"-"&amp;TEXT(($D298-$C298+1)+4,"00"),"")&amp;IF($C298&gt;=6,", "&amp;$A298&amp;"-"&amp;TEXT(($D298-$C298+1)+5,"00"),"")&amp;IF($C298&gt;=7,", "&amp;$A298&amp;"-"&amp;TEXT(($D298-$C298+1)+6,"00"),"")&amp;IF($C298&gt;=8,", "&amp;$A298&amp;"-"&amp;TEXT(($D298-$C298+1)+7,"00"),"")&amp;IF($C298&gt;=9,", "&amp;$A298&amp;"-"&amp;TEXT(($D298-$C298+1)+8,"00"),"")&amp;IF($C298&gt;=10,", "&amp;$A298&amp;"-"&amp;TEXT(($D298-$C298+1)+9,"00"),"")&amp;IF($C298&gt;=11,", "&amp;$A298&amp;"-"&amp;TEXT(($D298-$C298+1)+10,"00"),"")&amp;IF($C298&gt;=12,", "&amp;$A298&amp;"-"&amp;TEXT(($D298-$C298+1)+11,"00"),"")&amp;IF($C298&gt;=13,", "&amp;$A298&amp;"-"&amp;TEXT(($D298-$C298+1)+12,"00"),"")&amp;IF($C298&gt;=14,", "&amp;$A298&amp;"-"&amp;TEXT(($D298-$C298+1)+13,"00"),"")&amp;IF($C298&gt;=15,", "&amp;$A298&amp;"-"&amp;TEXT(($D298-$C298+1)+14,"00"),"")&amp;IF($C298&gt;=16,", "&amp;$A298&amp;"-"&amp;TEXT(($D298-$C298+1)+15,"00"),"")&amp;IF($C298&gt;=17,", "&amp;$A298&amp;"-"&amp;TEXT(($D298-$C298+1)+16,"00"),"")&amp;IF($C298&gt;=18,", "&amp;$A298&amp;"-"&amp;TEXT(($D298-$C298+1)+17,"00"),"")&amp;IF($C298&gt;=19,", "&amp;$A298&amp;"-"&amp;TEXT(($D298-$C298+1)+18,"00"),"")&amp;IF($C298&gt;=20,", "&amp;$A298&amp;"-"&amp;TEXT(($D298-$C298+1)+19,"00"),"")&amp;IF($C298&gt;=21,", "&amp;$A298&amp;"-"&amp;TEXT(($D298-$C298+1)+20,"00"),"")&amp;IF($C298&gt;=22,", "&amp;$A298&amp;"-"&amp;TEXT(($D298-$C298+1)+21,"00"),"")&amp;IF($C298&gt;=23,", "&amp;$A298&amp;"-"&amp;TEXT(($D298-$C298+1)+22,"00"),"")&amp;IF($C298&gt;=24,", "&amp;$A298&amp;"-"&amp;TEXT(($D298-$C298+1)+23,"00"),"")&amp;IF($C298&gt;=25,", "&amp;$A298&amp;"-"&amp;TEXT(($D298-$C298+1)+24,"00"),""))</f>
        <v/>
      </c>
      <c r="G298">
        <f>IF($A298="","",IF($E298=1,$F298,IF($F298="",$G297,IF($G297="",$F298,$G297&amp;", "&amp;$F298))))</f>
        <v/>
      </c>
      <c r="H298">
        <f>IF($A298="","",$A298&amp;" ("&amp;$C298&amp;")")</f>
        <v/>
      </c>
      <c r="I298">
        <f>IF($A298="","",IF($E298=1,$H298,$I297&amp;", "&amp;$H298))</f>
        <v/>
      </c>
      <c r="J298">
        <f>IF($A298="","",IF($E298=1,$B298,""))</f>
        <v/>
      </c>
      <c r="K298">
        <f>IF($A298="","",IF(COUNTIF($B$2:$B298,$B298)=COUNTIF($B$2:$B$1601,$B298),$B298,""))</f>
        <v/>
      </c>
    </row>
    <row r="299">
      <c r="A299">
        <f>IF('TMP Paste'!$E299="","",'TMP Paste'!$E299)</f>
        <v/>
      </c>
      <c r="B299">
        <f>IF($A299="","",COUNTIF('TMP Paste'!$B$2:$B299,"?*"))</f>
        <v/>
      </c>
      <c r="C299">
        <f>IF($A299="","",IFERROR('TMP Paste'!$M299*1,0))</f>
        <v/>
      </c>
      <c r="D299">
        <f>IF($A299="","",SUMIF($B$2:$B299,$B299,$C$2:$C299))</f>
        <v/>
      </c>
      <c r="E299">
        <f>IF($A299="",0,IF('TMP Paste'!$B299="",0,1))</f>
        <v/>
      </c>
      <c r="F299">
        <f>IF(OR($A299="",$C299&lt;1),"",$A299&amp;"-"&amp;TEXT(($D299-$C299+1),"00")&amp;IF($C299&gt;=2,", "&amp;$A299&amp;"-"&amp;TEXT(($D299-$C299+1)+1,"00"),"")&amp;IF($C299&gt;=3,", "&amp;$A299&amp;"-"&amp;TEXT(($D299-$C299+1)+2,"00"),"")&amp;IF($C299&gt;=4,", "&amp;$A299&amp;"-"&amp;TEXT(($D299-$C299+1)+3,"00"),"")&amp;IF($C299&gt;=5,", "&amp;$A299&amp;"-"&amp;TEXT(($D299-$C299+1)+4,"00"),"")&amp;IF($C299&gt;=6,", "&amp;$A299&amp;"-"&amp;TEXT(($D299-$C299+1)+5,"00"),"")&amp;IF($C299&gt;=7,", "&amp;$A299&amp;"-"&amp;TEXT(($D299-$C299+1)+6,"00"),"")&amp;IF($C299&gt;=8,", "&amp;$A299&amp;"-"&amp;TEXT(($D299-$C299+1)+7,"00"),"")&amp;IF($C299&gt;=9,", "&amp;$A299&amp;"-"&amp;TEXT(($D299-$C299+1)+8,"00"),"")&amp;IF($C299&gt;=10,", "&amp;$A299&amp;"-"&amp;TEXT(($D299-$C299+1)+9,"00"),"")&amp;IF($C299&gt;=11,", "&amp;$A299&amp;"-"&amp;TEXT(($D299-$C299+1)+10,"00"),"")&amp;IF($C299&gt;=12,", "&amp;$A299&amp;"-"&amp;TEXT(($D299-$C299+1)+11,"00"),"")&amp;IF($C299&gt;=13,", "&amp;$A299&amp;"-"&amp;TEXT(($D299-$C299+1)+12,"00"),"")&amp;IF($C299&gt;=14,", "&amp;$A299&amp;"-"&amp;TEXT(($D299-$C299+1)+13,"00"),"")&amp;IF($C299&gt;=15,", "&amp;$A299&amp;"-"&amp;TEXT(($D299-$C299+1)+14,"00"),"")&amp;IF($C299&gt;=16,", "&amp;$A299&amp;"-"&amp;TEXT(($D299-$C299+1)+15,"00"),"")&amp;IF($C299&gt;=17,", "&amp;$A299&amp;"-"&amp;TEXT(($D299-$C299+1)+16,"00"),"")&amp;IF($C299&gt;=18,", "&amp;$A299&amp;"-"&amp;TEXT(($D299-$C299+1)+17,"00"),"")&amp;IF($C299&gt;=19,", "&amp;$A299&amp;"-"&amp;TEXT(($D299-$C299+1)+18,"00"),"")&amp;IF($C299&gt;=20,", "&amp;$A299&amp;"-"&amp;TEXT(($D299-$C299+1)+19,"00"),"")&amp;IF($C299&gt;=21,", "&amp;$A299&amp;"-"&amp;TEXT(($D299-$C299+1)+20,"00"),"")&amp;IF($C299&gt;=22,", "&amp;$A299&amp;"-"&amp;TEXT(($D299-$C299+1)+21,"00"),"")&amp;IF($C299&gt;=23,", "&amp;$A299&amp;"-"&amp;TEXT(($D299-$C299+1)+22,"00"),"")&amp;IF($C299&gt;=24,", "&amp;$A299&amp;"-"&amp;TEXT(($D299-$C299+1)+23,"00"),"")&amp;IF($C299&gt;=25,", "&amp;$A299&amp;"-"&amp;TEXT(($D299-$C299+1)+24,"00"),""))</f>
        <v/>
      </c>
      <c r="G299">
        <f>IF($A299="","",IF($E299=1,$F299,IF($F299="",$G298,IF($G298="",$F299,$G298&amp;", "&amp;$F299))))</f>
        <v/>
      </c>
      <c r="H299">
        <f>IF($A299="","",$A299&amp;" ("&amp;$C299&amp;")")</f>
        <v/>
      </c>
      <c r="I299">
        <f>IF($A299="","",IF($E299=1,$H299,$I298&amp;", "&amp;$H299))</f>
        <v/>
      </c>
      <c r="J299">
        <f>IF($A299="","",IF($E299=1,$B299,""))</f>
        <v/>
      </c>
      <c r="K299">
        <f>IF($A299="","",IF(COUNTIF($B$2:$B299,$B299)=COUNTIF($B$2:$B$1601,$B299),$B299,""))</f>
        <v/>
      </c>
    </row>
    <row r="300">
      <c r="A300">
        <f>IF('TMP Paste'!$E300="","",'TMP Paste'!$E300)</f>
        <v/>
      </c>
      <c r="B300">
        <f>IF($A300="","",COUNTIF('TMP Paste'!$B$2:$B300,"?*"))</f>
        <v/>
      </c>
      <c r="C300">
        <f>IF($A300="","",IFERROR('TMP Paste'!$M300*1,0))</f>
        <v/>
      </c>
      <c r="D300">
        <f>IF($A300="","",SUMIF($B$2:$B300,$B300,$C$2:$C300))</f>
        <v/>
      </c>
      <c r="E300">
        <f>IF($A300="",0,IF('TMP Paste'!$B300="",0,1))</f>
        <v/>
      </c>
      <c r="F300">
        <f>IF(OR($A300="",$C300&lt;1),"",$A300&amp;"-"&amp;TEXT(($D300-$C300+1),"00")&amp;IF($C300&gt;=2,", "&amp;$A300&amp;"-"&amp;TEXT(($D300-$C300+1)+1,"00"),"")&amp;IF($C300&gt;=3,", "&amp;$A300&amp;"-"&amp;TEXT(($D300-$C300+1)+2,"00"),"")&amp;IF($C300&gt;=4,", "&amp;$A300&amp;"-"&amp;TEXT(($D300-$C300+1)+3,"00"),"")&amp;IF($C300&gt;=5,", "&amp;$A300&amp;"-"&amp;TEXT(($D300-$C300+1)+4,"00"),"")&amp;IF($C300&gt;=6,", "&amp;$A300&amp;"-"&amp;TEXT(($D300-$C300+1)+5,"00"),"")&amp;IF($C300&gt;=7,", "&amp;$A300&amp;"-"&amp;TEXT(($D300-$C300+1)+6,"00"),"")&amp;IF($C300&gt;=8,", "&amp;$A300&amp;"-"&amp;TEXT(($D300-$C300+1)+7,"00"),"")&amp;IF($C300&gt;=9,", "&amp;$A300&amp;"-"&amp;TEXT(($D300-$C300+1)+8,"00"),"")&amp;IF($C300&gt;=10,", "&amp;$A300&amp;"-"&amp;TEXT(($D300-$C300+1)+9,"00"),"")&amp;IF($C300&gt;=11,", "&amp;$A300&amp;"-"&amp;TEXT(($D300-$C300+1)+10,"00"),"")&amp;IF($C300&gt;=12,", "&amp;$A300&amp;"-"&amp;TEXT(($D300-$C300+1)+11,"00"),"")&amp;IF($C300&gt;=13,", "&amp;$A300&amp;"-"&amp;TEXT(($D300-$C300+1)+12,"00"),"")&amp;IF($C300&gt;=14,", "&amp;$A300&amp;"-"&amp;TEXT(($D300-$C300+1)+13,"00"),"")&amp;IF($C300&gt;=15,", "&amp;$A300&amp;"-"&amp;TEXT(($D300-$C300+1)+14,"00"),"")&amp;IF($C300&gt;=16,", "&amp;$A300&amp;"-"&amp;TEXT(($D300-$C300+1)+15,"00"),"")&amp;IF($C300&gt;=17,", "&amp;$A300&amp;"-"&amp;TEXT(($D300-$C300+1)+16,"00"),"")&amp;IF($C300&gt;=18,", "&amp;$A300&amp;"-"&amp;TEXT(($D300-$C300+1)+17,"00"),"")&amp;IF($C300&gt;=19,", "&amp;$A300&amp;"-"&amp;TEXT(($D300-$C300+1)+18,"00"),"")&amp;IF($C300&gt;=20,", "&amp;$A300&amp;"-"&amp;TEXT(($D300-$C300+1)+19,"00"),"")&amp;IF($C300&gt;=21,", "&amp;$A300&amp;"-"&amp;TEXT(($D300-$C300+1)+20,"00"),"")&amp;IF($C300&gt;=22,", "&amp;$A300&amp;"-"&amp;TEXT(($D300-$C300+1)+21,"00"),"")&amp;IF($C300&gt;=23,", "&amp;$A300&amp;"-"&amp;TEXT(($D300-$C300+1)+22,"00"),"")&amp;IF($C300&gt;=24,", "&amp;$A300&amp;"-"&amp;TEXT(($D300-$C300+1)+23,"00"),"")&amp;IF($C300&gt;=25,", "&amp;$A300&amp;"-"&amp;TEXT(($D300-$C300+1)+24,"00"),""))</f>
        <v/>
      </c>
      <c r="G300">
        <f>IF($A300="","",IF($E300=1,$F300,IF($F300="",$G299,IF($G299="",$F300,$G299&amp;", "&amp;$F300))))</f>
        <v/>
      </c>
      <c r="H300">
        <f>IF($A300="","",$A300&amp;" ("&amp;$C300&amp;")")</f>
        <v/>
      </c>
      <c r="I300">
        <f>IF($A300="","",IF($E300=1,$H300,$I299&amp;", "&amp;$H300))</f>
        <v/>
      </c>
      <c r="J300">
        <f>IF($A300="","",IF($E300=1,$B300,""))</f>
        <v/>
      </c>
      <c r="K300">
        <f>IF($A300="","",IF(COUNTIF($B$2:$B300,$B300)=COUNTIF($B$2:$B$1601,$B300),$B300,""))</f>
        <v/>
      </c>
    </row>
    <row r="301">
      <c r="A301">
        <f>IF('TMP Paste'!$E301="","",'TMP Paste'!$E301)</f>
        <v/>
      </c>
      <c r="B301">
        <f>IF($A301="","",COUNTIF('TMP Paste'!$B$2:$B301,"?*"))</f>
        <v/>
      </c>
      <c r="C301">
        <f>IF($A301="","",IFERROR('TMP Paste'!$M301*1,0))</f>
        <v/>
      </c>
      <c r="D301">
        <f>IF($A301="","",SUMIF($B$2:$B301,$B301,$C$2:$C301))</f>
        <v/>
      </c>
      <c r="E301">
        <f>IF($A301="",0,IF('TMP Paste'!$B301="",0,1))</f>
        <v/>
      </c>
      <c r="F301">
        <f>IF(OR($A301="",$C301&lt;1),"",$A301&amp;"-"&amp;TEXT(($D301-$C301+1),"00")&amp;IF($C301&gt;=2,", "&amp;$A301&amp;"-"&amp;TEXT(($D301-$C301+1)+1,"00"),"")&amp;IF($C301&gt;=3,", "&amp;$A301&amp;"-"&amp;TEXT(($D301-$C301+1)+2,"00"),"")&amp;IF($C301&gt;=4,", "&amp;$A301&amp;"-"&amp;TEXT(($D301-$C301+1)+3,"00"),"")&amp;IF($C301&gt;=5,", "&amp;$A301&amp;"-"&amp;TEXT(($D301-$C301+1)+4,"00"),"")&amp;IF($C301&gt;=6,", "&amp;$A301&amp;"-"&amp;TEXT(($D301-$C301+1)+5,"00"),"")&amp;IF($C301&gt;=7,", "&amp;$A301&amp;"-"&amp;TEXT(($D301-$C301+1)+6,"00"),"")&amp;IF($C301&gt;=8,", "&amp;$A301&amp;"-"&amp;TEXT(($D301-$C301+1)+7,"00"),"")&amp;IF($C301&gt;=9,", "&amp;$A301&amp;"-"&amp;TEXT(($D301-$C301+1)+8,"00"),"")&amp;IF($C301&gt;=10,", "&amp;$A301&amp;"-"&amp;TEXT(($D301-$C301+1)+9,"00"),"")&amp;IF($C301&gt;=11,", "&amp;$A301&amp;"-"&amp;TEXT(($D301-$C301+1)+10,"00"),"")&amp;IF($C301&gt;=12,", "&amp;$A301&amp;"-"&amp;TEXT(($D301-$C301+1)+11,"00"),"")&amp;IF($C301&gt;=13,", "&amp;$A301&amp;"-"&amp;TEXT(($D301-$C301+1)+12,"00"),"")&amp;IF($C301&gt;=14,", "&amp;$A301&amp;"-"&amp;TEXT(($D301-$C301+1)+13,"00"),"")&amp;IF($C301&gt;=15,", "&amp;$A301&amp;"-"&amp;TEXT(($D301-$C301+1)+14,"00"),"")&amp;IF($C301&gt;=16,", "&amp;$A301&amp;"-"&amp;TEXT(($D301-$C301+1)+15,"00"),"")&amp;IF($C301&gt;=17,", "&amp;$A301&amp;"-"&amp;TEXT(($D301-$C301+1)+16,"00"),"")&amp;IF($C301&gt;=18,", "&amp;$A301&amp;"-"&amp;TEXT(($D301-$C301+1)+17,"00"),"")&amp;IF($C301&gt;=19,", "&amp;$A301&amp;"-"&amp;TEXT(($D301-$C301+1)+18,"00"),"")&amp;IF($C301&gt;=20,", "&amp;$A301&amp;"-"&amp;TEXT(($D301-$C301+1)+19,"00"),"")&amp;IF($C301&gt;=21,", "&amp;$A301&amp;"-"&amp;TEXT(($D301-$C301+1)+20,"00"),"")&amp;IF($C301&gt;=22,", "&amp;$A301&amp;"-"&amp;TEXT(($D301-$C301+1)+21,"00"),"")&amp;IF($C301&gt;=23,", "&amp;$A301&amp;"-"&amp;TEXT(($D301-$C301+1)+22,"00"),"")&amp;IF($C301&gt;=24,", "&amp;$A301&amp;"-"&amp;TEXT(($D301-$C301+1)+23,"00"),"")&amp;IF($C301&gt;=25,", "&amp;$A301&amp;"-"&amp;TEXT(($D301-$C301+1)+24,"00"),""))</f>
        <v/>
      </c>
      <c r="G301">
        <f>IF($A301="","",IF($E301=1,$F301,IF($F301="",$G300,IF($G300="",$F301,$G300&amp;", "&amp;$F301))))</f>
        <v/>
      </c>
      <c r="H301">
        <f>IF($A301="","",$A301&amp;" ("&amp;$C301&amp;")")</f>
        <v/>
      </c>
      <c r="I301">
        <f>IF($A301="","",IF($E301=1,$H301,$I300&amp;", "&amp;$H301))</f>
        <v/>
      </c>
      <c r="J301">
        <f>IF($A301="","",IF($E301=1,$B301,""))</f>
        <v/>
      </c>
      <c r="K301">
        <f>IF($A301="","",IF(COUNTIF($B$2:$B301,$B301)=COUNTIF($B$2:$B$1601,$B301),$B301,""))</f>
        <v/>
      </c>
    </row>
    <row r="302">
      <c r="A302">
        <f>IF('TMP Paste'!$E302="","",'TMP Paste'!$E302)</f>
        <v/>
      </c>
      <c r="B302">
        <f>IF($A302="","",COUNTIF('TMP Paste'!$B$2:$B302,"?*"))</f>
        <v/>
      </c>
      <c r="C302">
        <f>IF($A302="","",IFERROR('TMP Paste'!$M302*1,0))</f>
        <v/>
      </c>
      <c r="D302">
        <f>IF($A302="","",SUMIF($B$2:$B302,$B302,$C$2:$C302))</f>
        <v/>
      </c>
      <c r="E302">
        <f>IF($A302="",0,IF('TMP Paste'!$B302="",0,1))</f>
        <v/>
      </c>
      <c r="F302">
        <f>IF(OR($A302="",$C302&lt;1),"",$A302&amp;"-"&amp;TEXT(($D302-$C302+1),"00")&amp;IF($C302&gt;=2,", "&amp;$A302&amp;"-"&amp;TEXT(($D302-$C302+1)+1,"00"),"")&amp;IF($C302&gt;=3,", "&amp;$A302&amp;"-"&amp;TEXT(($D302-$C302+1)+2,"00"),"")&amp;IF($C302&gt;=4,", "&amp;$A302&amp;"-"&amp;TEXT(($D302-$C302+1)+3,"00"),"")&amp;IF($C302&gt;=5,", "&amp;$A302&amp;"-"&amp;TEXT(($D302-$C302+1)+4,"00"),"")&amp;IF($C302&gt;=6,", "&amp;$A302&amp;"-"&amp;TEXT(($D302-$C302+1)+5,"00"),"")&amp;IF($C302&gt;=7,", "&amp;$A302&amp;"-"&amp;TEXT(($D302-$C302+1)+6,"00"),"")&amp;IF($C302&gt;=8,", "&amp;$A302&amp;"-"&amp;TEXT(($D302-$C302+1)+7,"00"),"")&amp;IF($C302&gt;=9,", "&amp;$A302&amp;"-"&amp;TEXT(($D302-$C302+1)+8,"00"),"")&amp;IF($C302&gt;=10,", "&amp;$A302&amp;"-"&amp;TEXT(($D302-$C302+1)+9,"00"),"")&amp;IF($C302&gt;=11,", "&amp;$A302&amp;"-"&amp;TEXT(($D302-$C302+1)+10,"00"),"")&amp;IF($C302&gt;=12,", "&amp;$A302&amp;"-"&amp;TEXT(($D302-$C302+1)+11,"00"),"")&amp;IF($C302&gt;=13,", "&amp;$A302&amp;"-"&amp;TEXT(($D302-$C302+1)+12,"00"),"")&amp;IF($C302&gt;=14,", "&amp;$A302&amp;"-"&amp;TEXT(($D302-$C302+1)+13,"00"),"")&amp;IF($C302&gt;=15,", "&amp;$A302&amp;"-"&amp;TEXT(($D302-$C302+1)+14,"00"),"")&amp;IF($C302&gt;=16,", "&amp;$A302&amp;"-"&amp;TEXT(($D302-$C302+1)+15,"00"),"")&amp;IF($C302&gt;=17,", "&amp;$A302&amp;"-"&amp;TEXT(($D302-$C302+1)+16,"00"),"")&amp;IF($C302&gt;=18,", "&amp;$A302&amp;"-"&amp;TEXT(($D302-$C302+1)+17,"00"),"")&amp;IF($C302&gt;=19,", "&amp;$A302&amp;"-"&amp;TEXT(($D302-$C302+1)+18,"00"),"")&amp;IF($C302&gt;=20,", "&amp;$A302&amp;"-"&amp;TEXT(($D302-$C302+1)+19,"00"),"")&amp;IF($C302&gt;=21,", "&amp;$A302&amp;"-"&amp;TEXT(($D302-$C302+1)+20,"00"),"")&amp;IF($C302&gt;=22,", "&amp;$A302&amp;"-"&amp;TEXT(($D302-$C302+1)+21,"00"),"")&amp;IF($C302&gt;=23,", "&amp;$A302&amp;"-"&amp;TEXT(($D302-$C302+1)+22,"00"),"")&amp;IF($C302&gt;=24,", "&amp;$A302&amp;"-"&amp;TEXT(($D302-$C302+1)+23,"00"),"")&amp;IF($C302&gt;=25,", "&amp;$A302&amp;"-"&amp;TEXT(($D302-$C302+1)+24,"00"),""))</f>
        <v/>
      </c>
      <c r="G302">
        <f>IF($A302="","",IF($E302=1,$F302,IF($F302="",$G301,IF($G301="",$F302,$G301&amp;", "&amp;$F302))))</f>
        <v/>
      </c>
      <c r="H302">
        <f>IF($A302="","",$A302&amp;" ("&amp;$C302&amp;")")</f>
        <v/>
      </c>
      <c r="I302">
        <f>IF($A302="","",IF($E302=1,$H302,$I301&amp;", "&amp;$H302))</f>
        <v/>
      </c>
      <c r="J302">
        <f>IF($A302="","",IF($E302=1,$B302,""))</f>
        <v/>
      </c>
      <c r="K302">
        <f>IF($A302="","",IF(COUNTIF($B$2:$B302,$B302)=COUNTIF($B$2:$B$1601,$B302),$B302,""))</f>
        <v/>
      </c>
    </row>
    <row r="303">
      <c r="A303">
        <f>IF('TMP Paste'!$E303="","",'TMP Paste'!$E303)</f>
        <v/>
      </c>
      <c r="B303">
        <f>IF($A303="","",COUNTIF('TMP Paste'!$B$2:$B303,"?*"))</f>
        <v/>
      </c>
      <c r="C303">
        <f>IF($A303="","",IFERROR('TMP Paste'!$M303*1,0))</f>
        <v/>
      </c>
      <c r="D303">
        <f>IF($A303="","",SUMIF($B$2:$B303,$B303,$C$2:$C303))</f>
        <v/>
      </c>
      <c r="E303">
        <f>IF($A303="",0,IF('TMP Paste'!$B303="",0,1))</f>
        <v/>
      </c>
      <c r="F303">
        <f>IF(OR($A303="",$C303&lt;1),"",$A303&amp;"-"&amp;TEXT(($D303-$C303+1),"00")&amp;IF($C303&gt;=2,", "&amp;$A303&amp;"-"&amp;TEXT(($D303-$C303+1)+1,"00"),"")&amp;IF($C303&gt;=3,", "&amp;$A303&amp;"-"&amp;TEXT(($D303-$C303+1)+2,"00"),"")&amp;IF($C303&gt;=4,", "&amp;$A303&amp;"-"&amp;TEXT(($D303-$C303+1)+3,"00"),"")&amp;IF($C303&gt;=5,", "&amp;$A303&amp;"-"&amp;TEXT(($D303-$C303+1)+4,"00"),"")&amp;IF($C303&gt;=6,", "&amp;$A303&amp;"-"&amp;TEXT(($D303-$C303+1)+5,"00"),"")&amp;IF($C303&gt;=7,", "&amp;$A303&amp;"-"&amp;TEXT(($D303-$C303+1)+6,"00"),"")&amp;IF($C303&gt;=8,", "&amp;$A303&amp;"-"&amp;TEXT(($D303-$C303+1)+7,"00"),"")&amp;IF($C303&gt;=9,", "&amp;$A303&amp;"-"&amp;TEXT(($D303-$C303+1)+8,"00"),"")&amp;IF($C303&gt;=10,", "&amp;$A303&amp;"-"&amp;TEXT(($D303-$C303+1)+9,"00"),"")&amp;IF($C303&gt;=11,", "&amp;$A303&amp;"-"&amp;TEXT(($D303-$C303+1)+10,"00"),"")&amp;IF($C303&gt;=12,", "&amp;$A303&amp;"-"&amp;TEXT(($D303-$C303+1)+11,"00"),"")&amp;IF($C303&gt;=13,", "&amp;$A303&amp;"-"&amp;TEXT(($D303-$C303+1)+12,"00"),"")&amp;IF($C303&gt;=14,", "&amp;$A303&amp;"-"&amp;TEXT(($D303-$C303+1)+13,"00"),"")&amp;IF($C303&gt;=15,", "&amp;$A303&amp;"-"&amp;TEXT(($D303-$C303+1)+14,"00"),"")&amp;IF($C303&gt;=16,", "&amp;$A303&amp;"-"&amp;TEXT(($D303-$C303+1)+15,"00"),"")&amp;IF($C303&gt;=17,", "&amp;$A303&amp;"-"&amp;TEXT(($D303-$C303+1)+16,"00"),"")&amp;IF($C303&gt;=18,", "&amp;$A303&amp;"-"&amp;TEXT(($D303-$C303+1)+17,"00"),"")&amp;IF($C303&gt;=19,", "&amp;$A303&amp;"-"&amp;TEXT(($D303-$C303+1)+18,"00"),"")&amp;IF($C303&gt;=20,", "&amp;$A303&amp;"-"&amp;TEXT(($D303-$C303+1)+19,"00"),"")&amp;IF($C303&gt;=21,", "&amp;$A303&amp;"-"&amp;TEXT(($D303-$C303+1)+20,"00"),"")&amp;IF($C303&gt;=22,", "&amp;$A303&amp;"-"&amp;TEXT(($D303-$C303+1)+21,"00"),"")&amp;IF($C303&gt;=23,", "&amp;$A303&amp;"-"&amp;TEXT(($D303-$C303+1)+22,"00"),"")&amp;IF($C303&gt;=24,", "&amp;$A303&amp;"-"&amp;TEXT(($D303-$C303+1)+23,"00"),"")&amp;IF($C303&gt;=25,", "&amp;$A303&amp;"-"&amp;TEXT(($D303-$C303+1)+24,"00"),""))</f>
        <v/>
      </c>
      <c r="G303">
        <f>IF($A303="","",IF($E303=1,$F303,IF($F303="",$G302,IF($G302="",$F303,$G302&amp;", "&amp;$F303))))</f>
        <v/>
      </c>
      <c r="H303">
        <f>IF($A303="","",$A303&amp;" ("&amp;$C303&amp;")")</f>
        <v/>
      </c>
      <c r="I303">
        <f>IF($A303="","",IF($E303=1,$H303,$I302&amp;", "&amp;$H303))</f>
        <v/>
      </c>
      <c r="J303">
        <f>IF($A303="","",IF($E303=1,$B303,""))</f>
        <v/>
      </c>
      <c r="K303">
        <f>IF($A303="","",IF(COUNTIF($B$2:$B303,$B303)=COUNTIF($B$2:$B$1601,$B303),$B303,""))</f>
        <v/>
      </c>
    </row>
    <row r="304">
      <c r="A304">
        <f>IF('TMP Paste'!$E304="","",'TMP Paste'!$E304)</f>
        <v/>
      </c>
      <c r="B304">
        <f>IF($A304="","",COUNTIF('TMP Paste'!$B$2:$B304,"?*"))</f>
        <v/>
      </c>
      <c r="C304">
        <f>IF($A304="","",IFERROR('TMP Paste'!$M304*1,0))</f>
        <v/>
      </c>
      <c r="D304">
        <f>IF($A304="","",SUMIF($B$2:$B304,$B304,$C$2:$C304))</f>
        <v/>
      </c>
      <c r="E304">
        <f>IF($A304="",0,IF('TMP Paste'!$B304="",0,1))</f>
        <v/>
      </c>
      <c r="F304">
        <f>IF(OR($A304="",$C304&lt;1),"",$A304&amp;"-"&amp;TEXT(($D304-$C304+1),"00")&amp;IF($C304&gt;=2,", "&amp;$A304&amp;"-"&amp;TEXT(($D304-$C304+1)+1,"00"),"")&amp;IF($C304&gt;=3,", "&amp;$A304&amp;"-"&amp;TEXT(($D304-$C304+1)+2,"00"),"")&amp;IF($C304&gt;=4,", "&amp;$A304&amp;"-"&amp;TEXT(($D304-$C304+1)+3,"00"),"")&amp;IF($C304&gt;=5,", "&amp;$A304&amp;"-"&amp;TEXT(($D304-$C304+1)+4,"00"),"")&amp;IF($C304&gt;=6,", "&amp;$A304&amp;"-"&amp;TEXT(($D304-$C304+1)+5,"00"),"")&amp;IF($C304&gt;=7,", "&amp;$A304&amp;"-"&amp;TEXT(($D304-$C304+1)+6,"00"),"")&amp;IF($C304&gt;=8,", "&amp;$A304&amp;"-"&amp;TEXT(($D304-$C304+1)+7,"00"),"")&amp;IF($C304&gt;=9,", "&amp;$A304&amp;"-"&amp;TEXT(($D304-$C304+1)+8,"00"),"")&amp;IF($C304&gt;=10,", "&amp;$A304&amp;"-"&amp;TEXT(($D304-$C304+1)+9,"00"),"")&amp;IF($C304&gt;=11,", "&amp;$A304&amp;"-"&amp;TEXT(($D304-$C304+1)+10,"00"),"")&amp;IF($C304&gt;=12,", "&amp;$A304&amp;"-"&amp;TEXT(($D304-$C304+1)+11,"00"),"")&amp;IF($C304&gt;=13,", "&amp;$A304&amp;"-"&amp;TEXT(($D304-$C304+1)+12,"00"),"")&amp;IF($C304&gt;=14,", "&amp;$A304&amp;"-"&amp;TEXT(($D304-$C304+1)+13,"00"),"")&amp;IF($C304&gt;=15,", "&amp;$A304&amp;"-"&amp;TEXT(($D304-$C304+1)+14,"00"),"")&amp;IF($C304&gt;=16,", "&amp;$A304&amp;"-"&amp;TEXT(($D304-$C304+1)+15,"00"),"")&amp;IF($C304&gt;=17,", "&amp;$A304&amp;"-"&amp;TEXT(($D304-$C304+1)+16,"00"),"")&amp;IF($C304&gt;=18,", "&amp;$A304&amp;"-"&amp;TEXT(($D304-$C304+1)+17,"00"),"")&amp;IF($C304&gt;=19,", "&amp;$A304&amp;"-"&amp;TEXT(($D304-$C304+1)+18,"00"),"")&amp;IF($C304&gt;=20,", "&amp;$A304&amp;"-"&amp;TEXT(($D304-$C304+1)+19,"00"),"")&amp;IF($C304&gt;=21,", "&amp;$A304&amp;"-"&amp;TEXT(($D304-$C304+1)+20,"00"),"")&amp;IF($C304&gt;=22,", "&amp;$A304&amp;"-"&amp;TEXT(($D304-$C304+1)+21,"00"),"")&amp;IF($C304&gt;=23,", "&amp;$A304&amp;"-"&amp;TEXT(($D304-$C304+1)+22,"00"),"")&amp;IF($C304&gt;=24,", "&amp;$A304&amp;"-"&amp;TEXT(($D304-$C304+1)+23,"00"),"")&amp;IF($C304&gt;=25,", "&amp;$A304&amp;"-"&amp;TEXT(($D304-$C304+1)+24,"00"),""))</f>
        <v/>
      </c>
      <c r="G304">
        <f>IF($A304="","",IF($E304=1,$F304,IF($F304="",$G303,IF($G303="",$F304,$G303&amp;", "&amp;$F304))))</f>
        <v/>
      </c>
      <c r="H304">
        <f>IF($A304="","",$A304&amp;" ("&amp;$C304&amp;")")</f>
        <v/>
      </c>
      <c r="I304">
        <f>IF($A304="","",IF($E304=1,$H304,$I303&amp;", "&amp;$H304))</f>
        <v/>
      </c>
      <c r="J304">
        <f>IF($A304="","",IF($E304=1,$B304,""))</f>
        <v/>
      </c>
      <c r="K304">
        <f>IF($A304="","",IF(COUNTIF($B$2:$B304,$B304)=COUNTIF($B$2:$B$1601,$B304),$B304,""))</f>
        <v/>
      </c>
    </row>
    <row r="305">
      <c r="A305">
        <f>IF('TMP Paste'!$E305="","",'TMP Paste'!$E305)</f>
        <v/>
      </c>
      <c r="B305">
        <f>IF($A305="","",COUNTIF('TMP Paste'!$B$2:$B305,"?*"))</f>
        <v/>
      </c>
      <c r="C305">
        <f>IF($A305="","",IFERROR('TMP Paste'!$M305*1,0))</f>
        <v/>
      </c>
      <c r="D305">
        <f>IF($A305="","",SUMIF($B$2:$B305,$B305,$C$2:$C305))</f>
        <v/>
      </c>
      <c r="E305">
        <f>IF($A305="",0,IF('TMP Paste'!$B305="",0,1))</f>
        <v/>
      </c>
      <c r="F305">
        <f>IF(OR($A305="",$C305&lt;1),"",$A305&amp;"-"&amp;TEXT(($D305-$C305+1),"00")&amp;IF($C305&gt;=2,", "&amp;$A305&amp;"-"&amp;TEXT(($D305-$C305+1)+1,"00"),"")&amp;IF($C305&gt;=3,", "&amp;$A305&amp;"-"&amp;TEXT(($D305-$C305+1)+2,"00"),"")&amp;IF($C305&gt;=4,", "&amp;$A305&amp;"-"&amp;TEXT(($D305-$C305+1)+3,"00"),"")&amp;IF($C305&gt;=5,", "&amp;$A305&amp;"-"&amp;TEXT(($D305-$C305+1)+4,"00"),"")&amp;IF($C305&gt;=6,", "&amp;$A305&amp;"-"&amp;TEXT(($D305-$C305+1)+5,"00"),"")&amp;IF($C305&gt;=7,", "&amp;$A305&amp;"-"&amp;TEXT(($D305-$C305+1)+6,"00"),"")&amp;IF($C305&gt;=8,", "&amp;$A305&amp;"-"&amp;TEXT(($D305-$C305+1)+7,"00"),"")&amp;IF($C305&gt;=9,", "&amp;$A305&amp;"-"&amp;TEXT(($D305-$C305+1)+8,"00"),"")&amp;IF($C305&gt;=10,", "&amp;$A305&amp;"-"&amp;TEXT(($D305-$C305+1)+9,"00"),"")&amp;IF($C305&gt;=11,", "&amp;$A305&amp;"-"&amp;TEXT(($D305-$C305+1)+10,"00"),"")&amp;IF($C305&gt;=12,", "&amp;$A305&amp;"-"&amp;TEXT(($D305-$C305+1)+11,"00"),"")&amp;IF($C305&gt;=13,", "&amp;$A305&amp;"-"&amp;TEXT(($D305-$C305+1)+12,"00"),"")&amp;IF($C305&gt;=14,", "&amp;$A305&amp;"-"&amp;TEXT(($D305-$C305+1)+13,"00"),"")&amp;IF($C305&gt;=15,", "&amp;$A305&amp;"-"&amp;TEXT(($D305-$C305+1)+14,"00"),"")&amp;IF($C305&gt;=16,", "&amp;$A305&amp;"-"&amp;TEXT(($D305-$C305+1)+15,"00"),"")&amp;IF($C305&gt;=17,", "&amp;$A305&amp;"-"&amp;TEXT(($D305-$C305+1)+16,"00"),"")&amp;IF($C305&gt;=18,", "&amp;$A305&amp;"-"&amp;TEXT(($D305-$C305+1)+17,"00"),"")&amp;IF($C305&gt;=19,", "&amp;$A305&amp;"-"&amp;TEXT(($D305-$C305+1)+18,"00"),"")&amp;IF($C305&gt;=20,", "&amp;$A305&amp;"-"&amp;TEXT(($D305-$C305+1)+19,"00"),"")&amp;IF($C305&gt;=21,", "&amp;$A305&amp;"-"&amp;TEXT(($D305-$C305+1)+20,"00"),"")&amp;IF($C305&gt;=22,", "&amp;$A305&amp;"-"&amp;TEXT(($D305-$C305+1)+21,"00"),"")&amp;IF($C305&gt;=23,", "&amp;$A305&amp;"-"&amp;TEXT(($D305-$C305+1)+22,"00"),"")&amp;IF($C305&gt;=24,", "&amp;$A305&amp;"-"&amp;TEXT(($D305-$C305+1)+23,"00"),"")&amp;IF($C305&gt;=25,", "&amp;$A305&amp;"-"&amp;TEXT(($D305-$C305+1)+24,"00"),""))</f>
        <v/>
      </c>
      <c r="G305">
        <f>IF($A305="","",IF($E305=1,$F305,IF($F305="",$G304,IF($G304="",$F305,$G304&amp;", "&amp;$F305))))</f>
        <v/>
      </c>
      <c r="H305">
        <f>IF($A305="","",$A305&amp;" ("&amp;$C305&amp;")")</f>
        <v/>
      </c>
      <c r="I305">
        <f>IF($A305="","",IF($E305=1,$H305,$I304&amp;", "&amp;$H305))</f>
        <v/>
      </c>
      <c r="J305">
        <f>IF($A305="","",IF($E305=1,$B305,""))</f>
        <v/>
      </c>
      <c r="K305">
        <f>IF($A305="","",IF(COUNTIF($B$2:$B305,$B305)=COUNTIF($B$2:$B$1601,$B305),$B305,""))</f>
        <v/>
      </c>
    </row>
    <row r="306">
      <c r="A306">
        <f>IF('TMP Paste'!$E306="","",'TMP Paste'!$E306)</f>
        <v/>
      </c>
      <c r="B306">
        <f>IF($A306="","",COUNTIF('TMP Paste'!$B$2:$B306,"?*"))</f>
        <v/>
      </c>
      <c r="C306">
        <f>IF($A306="","",IFERROR('TMP Paste'!$M306*1,0))</f>
        <v/>
      </c>
      <c r="D306">
        <f>IF($A306="","",SUMIF($B$2:$B306,$B306,$C$2:$C306))</f>
        <v/>
      </c>
      <c r="E306">
        <f>IF($A306="",0,IF('TMP Paste'!$B306="",0,1))</f>
        <v/>
      </c>
      <c r="F306">
        <f>IF(OR($A306="",$C306&lt;1),"",$A306&amp;"-"&amp;TEXT(($D306-$C306+1),"00")&amp;IF($C306&gt;=2,", "&amp;$A306&amp;"-"&amp;TEXT(($D306-$C306+1)+1,"00"),"")&amp;IF($C306&gt;=3,", "&amp;$A306&amp;"-"&amp;TEXT(($D306-$C306+1)+2,"00"),"")&amp;IF($C306&gt;=4,", "&amp;$A306&amp;"-"&amp;TEXT(($D306-$C306+1)+3,"00"),"")&amp;IF($C306&gt;=5,", "&amp;$A306&amp;"-"&amp;TEXT(($D306-$C306+1)+4,"00"),"")&amp;IF($C306&gt;=6,", "&amp;$A306&amp;"-"&amp;TEXT(($D306-$C306+1)+5,"00"),"")&amp;IF($C306&gt;=7,", "&amp;$A306&amp;"-"&amp;TEXT(($D306-$C306+1)+6,"00"),"")&amp;IF($C306&gt;=8,", "&amp;$A306&amp;"-"&amp;TEXT(($D306-$C306+1)+7,"00"),"")&amp;IF($C306&gt;=9,", "&amp;$A306&amp;"-"&amp;TEXT(($D306-$C306+1)+8,"00"),"")&amp;IF($C306&gt;=10,", "&amp;$A306&amp;"-"&amp;TEXT(($D306-$C306+1)+9,"00"),"")&amp;IF($C306&gt;=11,", "&amp;$A306&amp;"-"&amp;TEXT(($D306-$C306+1)+10,"00"),"")&amp;IF($C306&gt;=12,", "&amp;$A306&amp;"-"&amp;TEXT(($D306-$C306+1)+11,"00"),"")&amp;IF($C306&gt;=13,", "&amp;$A306&amp;"-"&amp;TEXT(($D306-$C306+1)+12,"00"),"")&amp;IF($C306&gt;=14,", "&amp;$A306&amp;"-"&amp;TEXT(($D306-$C306+1)+13,"00"),"")&amp;IF($C306&gt;=15,", "&amp;$A306&amp;"-"&amp;TEXT(($D306-$C306+1)+14,"00"),"")&amp;IF($C306&gt;=16,", "&amp;$A306&amp;"-"&amp;TEXT(($D306-$C306+1)+15,"00"),"")&amp;IF($C306&gt;=17,", "&amp;$A306&amp;"-"&amp;TEXT(($D306-$C306+1)+16,"00"),"")&amp;IF($C306&gt;=18,", "&amp;$A306&amp;"-"&amp;TEXT(($D306-$C306+1)+17,"00"),"")&amp;IF($C306&gt;=19,", "&amp;$A306&amp;"-"&amp;TEXT(($D306-$C306+1)+18,"00"),"")&amp;IF($C306&gt;=20,", "&amp;$A306&amp;"-"&amp;TEXT(($D306-$C306+1)+19,"00"),"")&amp;IF($C306&gt;=21,", "&amp;$A306&amp;"-"&amp;TEXT(($D306-$C306+1)+20,"00"),"")&amp;IF($C306&gt;=22,", "&amp;$A306&amp;"-"&amp;TEXT(($D306-$C306+1)+21,"00"),"")&amp;IF($C306&gt;=23,", "&amp;$A306&amp;"-"&amp;TEXT(($D306-$C306+1)+22,"00"),"")&amp;IF($C306&gt;=24,", "&amp;$A306&amp;"-"&amp;TEXT(($D306-$C306+1)+23,"00"),"")&amp;IF($C306&gt;=25,", "&amp;$A306&amp;"-"&amp;TEXT(($D306-$C306+1)+24,"00"),""))</f>
        <v/>
      </c>
      <c r="G306">
        <f>IF($A306="","",IF($E306=1,$F306,IF($F306="",$G305,IF($G305="",$F306,$G305&amp;", "&amp;$F306))))</f>
        <v/>
      </c>
      <c r="H306">
        <f>IF($A306="","",$A306&amp;" ("&amp;$C306&amp;")")</f>
        <v/>
      </c>
      <c r="I306">
        <f>IF($A306="","",IF($E306=1,$H306,$I305&amp;", "&amp;$H306))</f>
        <v/>
      </c>
      <c r="J306">
        <f>IF($A306="","",IF($E306=1,$B306,""))</f>
        <v/>
      </c>
      <c r="K306">
        <f>IF($A306="","",IF(COUNTIF($B$2:$B306,$B306)=COUNTIF($B$2:$B$1601,$B306),$B306,""))</f>
        <v/>
      </c>
    </row>
    <row r="307">
      <c r="A307">
        <f>IF('TMP Paste'!$E307="","",'TMP Paste'!$E307)</f>
        <v/>
      </c>
      <c r="B307">
        <f>IF($A307="","",COUNTIF('TMP Paste'!$B$2:$B307,"?*"))</f>
        <v/>
      </c>
      <c r="C307">
        <f>IF($A307="","",IFERROR('TMP Paste'!$M307*1,0))</f>
        <v/>
      </c>
      <c r="D307">
        <f>IF($A307="","",SUMIF($B$2:$B307,$B307,$C$2:$C307))</f>
        <v/>
      </c>
      <c r="E307">
        <f>IF($A307="",0,IF('TMP Paste'!$B307="",0,1))</f>
        <v/>
      </c>
      <c r="F307">
        <f>IF(OR($A307="",$C307&lt;1),"",$A307&amp;"-"&amp;TEXT(($D307-$C307+1),"00")&amp;IF($C307&gt;=2,", "&amp;$A307&amp;"-"&amp;TEXT(($D307-$C307+1)+1,"00"),"")&amp;IF($C307&gt;=3,", "&amp;$A307&amp;"-"&amp;TEXT(($D307-$C307+1)+2,"00"),"")&amp;IF($C307&gt;=4,", "&amp;$A307&amp;"-"&amp;TEXT(($D307-$C307+1)+3,"00"),"")&amp;IF($C307&gt;=5,", "&amp;$A307&amp;"-"&amp;TEXT(($D307-$C307+1)+4,"00"),"")&amp;IF($C307&gt;=6,", "&amp;$A307&amp;"-"&amp;TEXT(($D307-$C307+1)+5,"00"),"")&amp;IF($C307&gt;=7,", "&amp;$A307&amp;"-"&amp;TEXT(($D307-$C307+1)+6,"00"),"")&amp;IF($C307&gt;=8,", "&amp;$A307&amp;"-"&amp;TEXT(($D307-$C307+1)+7,"00"),"")&amp;IF($C307&gt;=9,", "&amp;$A307&amp;"-"&amp;TEXT(($D307-$C307+1)+8,"00"),"")&amp;IF($C307&gt;=10,", "&amp;$A307&amp;"-"&amp;TEXT(($D307-$C307+1)+9,"00"),"")&amp;IF($C307&gt;=11,", "&amp;$A307&amp;"-"&amp;TEXT(($D307-$C307+1)+10,"00"),"")&amp;IF($C307&gt;=12,", "&amp;$A307&amp;"-"&amp;TEXT(($D307-$C307+1)+11,"00"),"")&amp;IF($C307&gt;=13,", "&amp;$A307&amp;"-"&amp;TEXT(($D307-$C307+1)+12,"00"),"")&amp;IF($C307&gt;=14,", "&amp;$A307&amp;"-"&amp;TEXT(($D307-$C307+1)+13,"00"),"")&amp;IF($C307&gt;=15,", "&amp;$A307&amp;"-"&amp;TEXT(($D307-$C307+1)+14,"00"),"")&amp;IF($C307&gt;=16,", "&amp;$A307&amp;"-"&amp;TEXT(($D307-$C307+1)+15,"00"),"")&amp;IF($C307&gt;=17,", "&amp;$A307&amp;"-"&amp;TEXT(($D307-$C307+1)+16,"00"),"")&amp;IF($C307&gt;=18,", "&amp;$A307&amp;"-"&amp;TEXT(($D307-$C307+1)+17,"00"),"")&amp;IF($C307&gt;=19,", "&amp;$A307&amp;"-"&amp;TEXT(($D307-$C307+1)+18,"00"),"")&amp;IF($C307&gt;=20,", "&amp;$A307&amp;"-"&amp;TEXT(($D307-$C307+1)+19,"00"),"")&amp;IF($C307&gt;=21,", "&amp;$A307&amp;"-"&amp;TEXT(($D307-$C307+1)+20,"00"),"")&amp;IF($C307&gt;=22,", "&amp;$A307&amp;"-"&amp;TEXT(($D307-$C307+1)+21,"00"),"")&amp;IF($C307&gt;=23,", "&amp;$A307&amp;"-"&amp;TEXT(($D307-$C307+1)+22,"00"),"")&amp;IF($C307&gt;=24,", "&amp;$A307&amp;"-"&amp;TEXT(($D307-$C307+1)+23,"00"),"")&amp;IF($C307&gt;=25,", "&amp;$A307&amp;"-"&amp;TEXT(($D307-$C307+1)+24,"00"),""))</f>
        <v/>
      </c>
      <c r="G307">
        <f>IF($A307="","",IF($E307=1,$F307,IF($F307="",$G306,IF($G306="",$F307,$G306&amp;", "&amp;$F307))))</f>
        <v/>
      </c>
      <c r="H307">
        <f>IF($A307="","",$A307&amp;" ("&amp;$C307&amp;")")</f>
        <v/>
      </c>
      <c r="I307">
        <f>IF($A307="","",IF($E307=1,$H307,$I306&amp;", "&amp;$H307))</f>
        <v/>
      </c>
      <c r="J307">
        <f>IF($A307="","",IF($E307=1,$B307,""))</f>
        <v/>
      </c>
      <c r="K307">
        <f>IF($A307="","",IF(COUNTIF($B$2:$B307,$B307)=COUNTIF($B$2:$B$1601,$B307),$B307,""))</f>
        <v/>
      </c>
    </row>
    <row r="308">
      <c r="A308">
        <f>IF('TMP Paste'!$E308="","",'TMP Paste'!$E308)</f>
        <v/>
      </c>
      <c r="B308">
        <f>IF($A308="","",COUNTIF('TMP Paste'!$B$2:$B308,"?*"))</f>
        <v/>
      </c>
      <c r="C308">
        <f>IF($A308="","",IFERROR('TMP Paste'!$M308*1,0))</f>
        <v/>
      </c>
      <c r="D308">
        <f>IF($A308="","",SUMIF($B$2:$B308,$B308,$C$2:$C308))</f>
        <v/>
      </c>
      <c r="E308">
        <f>IF($A308="",0,IF('TMP Paste'!$B308="",0,1))</f>
        <v/>
      </c>
      <c r="F308">
        <f>IF(OR($A308="",$C308&lt;1),"",$A308&amp;"-"&amp;TEXT(($D308-$C308+1),"00")&amp;IF($C308&gt;=2,", "&amp;$A308&amp;"-"&amp;TEXT(($D308-$C308+1)+1,"00"),"")&amp;IF($C308&gt;=3,", "&amp;$A308&amp;"-"&amp;TEXT(($D308-$C308+1)+2,"00"),"")&amp;IF($C308&gt;=4,", "&amp;$A308&amp;"-"&amp;TEXT(($D308-$C308+1)+3,"00"),"")&amp;IF($C308&gt;=5,", "&amp;$A308&amp;"-"&amp;TEXT(($D308-$C308+1)+4,"00"),"")&amp;IF($C308&gt;=6,", "&amp;$A308&amp;"-"&amp;TEXT(($D308-$C308+1)+5,"00"),"")&amp;IF($C308&gt;=7,", "&amp;$A308&amp;"-"&amp;TEXT(($D308-$C308+1)+6,"00"),"")&amp;IF($C308&gt;=8,", "&amp;$A308&amp;"-"&amp;TEXT(($D308-$C308+1)+7,"00"),"")&amp;IF($C308&gt;=9,", "&amp;$A308&amp;"-"&amp;TEXT(($D308-$C308+1)+8,"00"),"")&amp;IF($C308&gt;=10,", "&amp;$A308&amp;"-"&amp;TEXT(($D308-$C308+1)+9,"00"),"")&amp;IF($C308&gt;=11,", "&amp;$A308&amp;"-"&amp;TEXT(($D308-$C308+1)+10,"00"),"")&amp;IF($C308&gt;=12,", "&amp;$A308&amp;"-"&amp;TEXT(($D308-$C308+1)+11,"00"),"")&amp;IF($C308&gt;=13,", "&amp;$A308&amp;"-"&amp;TEXT(($D308-$C308+1)+12,"00"),"")&amp;IF($C308&gt;=14,", "&amp;$A308&amp;"-"&amp;TEXT(($D308-$C308+1)+13,"00"),"")&amp;IF($C308&gt;=15,", "&amp;$A308&amp;"-"&amp;TEXT(($D308-$C308+1)+14,"00"),"")&amp;IF($C308&gt;=16,", "&amp;$A308&amp;"-"&amp;TEXT(($D308-$C308+1)+15,"00"),"")&amp;IF($C308&gt;=17,", "&amp;$A308&amp;"-"&amp;TEXT(($D308-$C308+1)+16,"00"),"")&amp;IF($C308&gt;=18,", "&amp;$A308&amp;"-"&amp;TEXT(($D308-$C308+1)+17,"00"),"")&amp;IF($C308&gt;=19,", "&amp;$A308&amp;"-"&amp;TEXT(($D308-$C308+1)+18,"00"),"")&amp;IF($C308&gt;=20,", "&amp;$A308&amp;"-"&amp;TEXT(($D308-$C308+1)+19,"00"),"")&amp;IF($C308&gt;=21,", "&amp;$A308&amp;"-"&amp;TEXT(($D308-$C308+1)+20,"00"),"")&amp;IF($C308&gt;=22,", "&amp;$A308&amp;"-"&amp;TEXT(($D308-$C308+1)+21,"00"),"")&amp;IF($C308&gt;=23,", "&amp;$A308&amp;"-"&amp;TEXT(($D308-$C308+1)+22,"00"),"")&amp;IF($C308&gt;=24,", "&amp;$A308&amp;"-"&amp;TEXT(($D308-$C308+1)+23,"00"),"")&amp;IF($C308&gt;=25,", "&amp;$A308&amp;"-"&amp;TEXT(($D308-$C308+1)+24,"00"),""))</f>
        <v/>
      </c>
      <c r="G308">
        <f>IF($A308="","",IF($E308=1,$F308,IF($F308="",$G307,IF($G307="",$F308,$G307&amp;", "&amp;$F308))))</f>
        <v/>
      </c>
      <c r="H308">
        <f>IF($A308="","",$A308&amp;" ("&amp;$C308&amp;")")</f>
        <v/>
      </c>
      <c r="I308">
        <f>IF($A308="","",IF($E308=1,$H308,$I307&amp;", "&amp;$H308))</f>
        <v/>
      </c>
      <c r="J308">
        <f>IF($A308="","",IF($E308=1,$B308,""))</f>
        <v/>
      </c>
      <c r="K308">
        <f>IF($A308="","",IF(COUNTIF($B$2:$B308,$B308)=COUNTIF($B$2:$B$1601,$B308),$B308,""))</f>
        <v/>
      </c>
    </row>
    <row r="309">
      <c r="A309">
        <f>IF('TMP Paste'!$E309="","",'TMP Paste'!$E309)</f>
        <v/>
      </c>
      <c r="B309">
        <f>IF($A309="","",COUNTIF('TMP Paste'!$B$2:$B309,"?*"))</f>
        <v/>
      </c>
      <c r="C309">
        <f>IF($A309="","",IFERROR('TMP Paste'!$M309*1,0))</f>
        <v/>
      </c>
      <c r="D309">
        <f>IF($A309="","",SUMIF($B$2:$B309,$B309,$C$2:$C309))</f>
        <v/>
      </c>
      <c r="E309">
        <f>IF($A309="",0,IF('TMP Paste'!$B309="",0,1))</f>
        <v/>
      </c>
      <c r="F309">
        <f>IF(OR($A309="",$C309&lt;1),"",$A309&amp;"-"&amp;TEXT(($D309-$C309+1),"00")&amp;IF($C309&gt;=2,", "&amp;$A309&amp;"-"&amp;TEXT(($D309-$C309+1)+1,"00"),"")&amp;IF($C309&gt;=3,", "&amp;$A309&amp;"-"&amp;TEXT(($D309-$C309+1)+2,"00"),"")&amp;IF($C309&gt;=4,", "&amp;$A309&amp;"-"&amp;TEXT(($D309-$C309+1)+3,"00"),"")&amp;IF($C309&gt;=5,", "&amp;$A309&amp;"-"&amp;TEXT(($D309-$C309+1)+4,"00"),"")&amp;IF($C309&gt;=6,", "&amp;$A309&amp;"-"&amp;TEXT(($D309-$C309+1)+5,"00"),"")&amp;IF($C309&gt;=7,", "&amp;$A309&amp;"-"&amp;TEXT(($D309-$C309+1)+6,"00"),"")&amp;IF($C309&gt;=8,", "&amp;$A309&amp;"-"&amp;TEXT(($D309-$C309+1)+7,"00"),"")&amp;IF($C309&gt;=9,", "&amp;$A309&amp;"-"&amp;TEXT(($D309-$C309+1)+8,"00"),"")&amp;IF($C309&gt;=10,", "&amp;$A309&amp;"-"&amp;TEXT(($D309-$C309+1)+9,"00"),"")&amp;IF($C309&gt;=11,", "&amp;$A309&amp;"-"&amp;TEXT(($D309-$C309+1)+10,"00"),"")&amp;IF($C309&gt;=12,", "&amp;$A309&amp;"-"&amp;TEXT(($D309-$C309+1)+11,"00"),"")&amp;IF($C309&gt;=13,", "&amp;$A309&amp;"-"&amp;TEXT(($D309-$C309+1)+12,"00"),"")&amp;IF($C309&gt;=14,", "&amp;$A309&amp;"-"&amp;TEXT(($D309-$C309+1)+13,"00"),"")&amp;IF($C309&gt;=15,", "&amp;$A309&amp;"-"&amp;TEXT(($D309-$C309+1)+14,"00"),"")&amp;IF($C309&gt;=16,", "&amp;$A309&amp;"-"&amp;TEXT(($D309-$C309+1)+15,"00"),"")&amp;IF($C309&gt;=17,", "&amp;$A309&amp;"-"&amp;TEXT(($D309-$C309+1)+16,"00"),"")&amp;IF($C309&gt;=18,", "&amp;$A309&amp;"-"&amp;TEXT(($D309-$C309+1)+17,"00"),"")&amp;IF($C309&gt;=19,", "&amp;$A309&amp;"-"&amp;TEXT(($D309-$C309+1)+18,"00"),"")&amp;IF($C309&gt;=20,", "&amp;$A309&amp;"-"&amp;TEXT(($D309-$C309+1)+19,"00"),"")&amp;IF($C309&gt;=21,", "&amp;$A309&amp;"-"&amp;TEXT(($D309-$C309+1)+20,"00"),"")&amp;IF($C309&gt;=22,", "&amp;$A309&amp;"-"&amp;TEXT(($D309-$C309+1)+21,"00"),"")&amp;IF($C309&gt;=23,", "&amp;$A309&amp;"-"&amp;TEXT(($D309-$C309+1)+22,"00"),"")&amp;IF($C309&gt;=24,", "&amp;$A309&amp;"-"&amp;TEXT(($D309-$C309+1)+23,"00"),"")&amp;IF($C309&gt;=25,", "&amp;$A309&amp;"-"&amp;TEXT(($D309-$C309+1)+24,"00"),""))</f>
        <v/>
      </c>
      <c r="G309">
        <f>IF($A309="","",IF($E309=1,$F309,IF($F309="",$G308,IF($G308="",$F309,$G308&amp;", "&amp;$F309))))</f>
        <v/>
      </c>
      <c r="H309">
        <f>IF($A309="","",$A309&amp;" ("&amp;$C309&amp;")")</f>
        <v/>
      </c>
      <c r="I309">
        <f>IF($A309="","",IF($E309=1,$H309,$I308&amp;", "&amp;$H309))</f>
        <v/>
      </c>
      <c r="J309">
        <f>IF($A309="","",IF($E309=1,$B309,""))</f>
        <v/>
      </c>
      <c r="K309">
        <f>IF($A309="","",IF(COUNTIF($B$2:$B309,$B309)=COUNTIF($B$2:$B$1601,$B309),$B309,""))</f>
        <v/>
      </c>
    </row>
    <row r="310">
      <c r="A310">
        <f>IF('TMP Paste'!$E310="","",'TMP Paste'!$E310)</f>
        <v/>
      </c>
      <c r="B310">
        <f>IF($A310="","",COUNTIF('TMP Paste'!$B$2:$B310,"?*"))</f>
        <v/>
      </c>
      <c r="C310">
        <f>IF($A310="","",IFERROR('TMP Paste'!$M310*1,0))</f>
        <v/>
      </c>
      <c r="D310">
        <f>IF($A310="","",SUMIF($B$2:$B310,$B310,$C$2:$C310))</f>
        <v/>
      </c>
      <c r="E310">
        <f>IF($A310="",0,IF('TMP Paste'!$B310="",0,1))</f>
        <v/>
      </c>
      <c r="F310">
        <f>IF(OR($A310="",$C310&lt;1),"",$A310&amp;"-"&amp;TEXT(($D310-$C310+1),"00")&amp;IF($C310&gt;=2,", "&amp;$A310&amp;"-"&amp;TEXT(($D310-$C310+1)+1,"00"),"")&amp;IF($C310&gt;=3,", "&amp;$A310&amp;"-"&amp;TEXT(($D310-$C310+1)+2,"00"),"")&amp;IF($C310&gt;=4,", "&amp;$A310&amp;"-"&amp;TEXT(($D310-$C310+1)+3,"00"),"")&amp;IF($C310&gt;=5,", "&amp;$A310&amp;"-"&amp;TEXT(($D310-$C310+1)+4,"00"),"")&amp;IF($C310&gt;=6,", "&amp;$A310&amp;"-"&amp;TEXT(($D310-$C310+1)+5,"00"),"")&amp;IF($C310&gt;=7,", "&amp;$A310&amp;"-"&amp;TEXT(($D310-$C310+1)+6,"00"),"")&amp;IF($C310&gt;=8,", "&amp;$A310&amp;"-"&amp;TEXT(($D310-$C310+1)+7,"00"),"")&amp;IF($C310&gt;=9,", "&amp;$A310&amp;"-"&amp;TEXT(($D310-$C310+1)+8,"00"),"")&amp;IF($C310&gt;=10,", "&amp;$A310&amp;"-"&amp;TEXT(($D310-$C310+1)+9,"00"),"")&amp;IF($C310&gt;=11,", "&amp;$A310&amp;"-"&amp;TEXT(($D310-$C310+1)+10,"00"),"")&amp;IF($C310&gt;=12,", "&amp;$A310&amp;"-"&amp;TEXT(($D310-$C310+1)+11,"00"),"")&amp;IF($C310&gt;=13,", "&amp;$A310&amp;"-"&amp;TEXT(($D310-$C310+1)+12,"00"),"")&amp;IF($C310&gt;=14,", "&amp;$A310&amp;"-"&amp;TEXT(($D310-$C310+1)+13,"00"),"")&amp;IF($C310&gt;=15,", "&amp;$A310&amp;"-"&amp;TEXT(($D310-$C310+1)+14,"00"),"")&amp;IF($C310&gt;=16,", "&amp;$A310&amp;"-"&amp;TEXT(($D310-$C310+1)+15,"00"),"")&amp;IF($C310&gt;=17,", "&amp;$A310&amp;"-"&amp;TEXT(($D310-$C310+1)+16,"00"),"")&amp;IF($C310&gt;=18,", "&amp;$A310&amp;"-"&amp;TEXT(($D310-$C310+1)+17,"00"),"")&amp;IF($C310&gt;=19,", "&amp;$A310&amp;"-"&amp;TEXT(($D310-$C310+1)+18,"00"),"")&amp;IF($C310&gt;=20,", "&amp;$A310&amp;"-"&amp;TEXT(($D310-$C310+1)+19,"00"),"")&amp;IF($C310&gt;=21,", "&amp;$A310&amp;"-"&amp;TEXT(($D310-$C310+1)+20,"00"),"")&amp;IF($C310&gt;=22,", "&amp;$A310&amp;"-"&amp;TEXT(($D310-$C310+1)+21,"00"),"")&amp;IF($C310&gt;=23,", "&amp;$A310&amp;"-"&amp;TEXT(($D310-$C310+1)+22,"00"),"")&amp;IF($C310&gt;=24,", "&amp;$A310&amp;"-"&amp;TEXT(($D310-$C310+1)+23,"00"),"")&amp;IF($C310&gt;=25,", "&amp;$A310&amp;"-"&amp;TEXT(($D310-$C310+1)+24,"00"),""))</f>
        <v/>
      </c>
      <c r="G310">
        <f>IF($A310="","",IF($E310=1,$F310,IF($F310="",$G309,IF($G309="",$F310,$G309&amp;", "&amp;$F310))))</f>
        <v/>
      </c>
      <c r="H310">
        <f>IF($A310="","",$A310&amp;" ("&amp;$C310&amp;")")</f>
        <v/>
      </c>
      <c r="I310">
        <f>IF($A310="","",IF($E310=1,$H310,$I309&amp;", "&amp;$H310))</f>
        <v/>
      </c>
      <c r="J310">
        <f>IF($A310="","",IF($E310=1,$B310,""))</f>
        <v/>
      </c>
      <c r="K310">
        <f>IF($A310="","",IF(COUNTIF($B$2:$B310,$B310)=COUNTIF($B$2:$B$1601,$B310),$B310,""))</f>
        <v/>
      </c>
    </row>
    <row r="311">
      <c r="A311">
        <f>IF('TMP Paste'!$E311="","",'TMP Paste'!$E311)</f>
        <v/>
      </c>
      <c r="B311">
        <f>IF($A311="","",COUNTIF('TMP Paste'!$B$2:$B311,"?*"))</f>
        <v/>
      </c>
      <c r="C311">
        <f>IF($A311="","",IFERROR('TMP Paste'!$M311*1,0))</f>
        <v/>
      </c>
      <c r="D311">
        <f>IF($A311="","",SUMIF($B$2:$B311,$B311,$C$2:$C311))</f>
        <v/>
      </c>
      <c r="E311">
        <f>IF($A311="",0,IF('TMP Paste'!$B311="",0,1))</f>
        <v/>
      </c>
      <c r="F311">
        <f>IF(OR($A311="",$C311&lt;1),"",$A311&amp;"-"&amp;TEXT(($D311-$C311+1),"00")&amp;IF($C311&gt;=2,", "&amp;$A311&amp;"-"&amp;TEXT(($D311-$C311+1)+1,"00"),"")&amp;IF($C311&gt;=3,", "&amp;$A311&amp;"-"&amp;TEXT(($D311-$C311+1)+2,"00"),"")&amp;IF($C311&gt;=4,", "&amp;$A311&amp;"-"&amp;TEXT(($D311-$C311+1)+3,"00"),"")&amp;IF($C311&gt;=5,", "&amp;$A311&amp;"-"&amp;TEXT(($D311-$C311+1)+4,"00"),"")&amp;IF($C311&gt;=6,", "&amp;$A311&amp;"-"&amp;TEXT(($D311-$C311+1)+5,"00"),"")&amp;IF($C311&gt;=7,", "&amp;$A311&amp;"-"&amp;TEXT(($D311-$C311+1)+6,"00"),"")&amp;IF($C311&gt;=8,", "&amp;$A311&amp;"-"&amp;TEXT(($D311-$C311+1)+7,"00"),"")&amp;IF($C311&gt;=9,", "&amp;$A311&amp;"-"&amp;TEXT(($D311-$C311+1)+8,"00"),"")&amp;IF($C311&gt;=10,", "&amp;$A311&amp;"-"&amp;TEXT(($D311-$C311+1)+9,"00"),"")&amp;IF($C311&gt;=11,", "&amp;$A311&amp;"-"&amp;TEXT(($D311-$C311+1)+10,"00"),"")&amp;IF($C311&gt;=12,", "&amp;$A311&amp;"-"&amp;TEXT(($D311-$C311+1)+11,"00"),"")&amp;IF($C311&gt;=13,", "&amp;$A311&amp;"-"&amp;TEXT(($D311-$C311+1)+12,"00"),"")&amp;IF($C311&gt;=14,", "&amp;$A311&amp;"-"&amp;TEXT(($D311-$C311+1)+13,"00"),"")&amp;IF($C311&gt;=15,", "&amp;$A311&amp;"-"&amp;TEXT(($D311-$C311+1)+14,"00"),"")&amp;IF($C311&gt;=16,", "&amp;$A311&amp;"-"&amp;TEXT(($D311-$C311+1)+15,"00"),"")&amp;IF($C311&gt;=17,", "&amp;$A311&amp;"-"&amp;TEXT(($D311-$C311+1)+16,"00"),"")&amp;IF($C311&gt;=18,", "&amp;$A311&amp;"-"&amp;TEXT(($D311-$C311+1)+17,"00"),"")&amp;IF($C311&gt;=19,", "&amp;$A311&amp;"-"&amp;TEXT(($D311-$C311+1)+18,"00"),"")&amp;IF($C311&gt;=20,", "&amp;$A311&amp;"-"&amp;TEXT(($D311-$C311+1)+19,"00"),"")&amp;IF($C311&gt;=21,", "&amp;$A311&amp;"-"&amp;TEXT(($D311-$C311+1)+20,"00"),"")&amp;IF($C311&gt;=22,", "&amp;$A311&amp;"-"&amp;TEXT(($D311-$C311+1)+21,"00"),"")&amp;IF($C311&gt;=23,", "&amp;$A311&amp;"-"&amp;TEXT(($D311-$C311+1)+22,"00"),"")&amp;IF($C311&gt;=24,", "&amp;$A311&amp;"-"&amp;TEXT(($D311-$C311+1)+23,"00"),"")&amp;IF($C311&gt;=25,", "&amp;$A311&amp;"-"&amp;TEXT(($D311-$C311+1)+24,"00"),""))</f>
        <v/>
      </c>
      <c r="G311">
        <f>IF($A311="","",IF($E311=1,$F311,IF($F311="",$G310,IF($G310="",$F311,$G310&amp;", "&amp;$F311))))</f>
        <v/>
      </c>
      <c r="H311">
        <f>IF($A311="","",$A311&amp;" ("&amp;$C311&amp;")")</f>
        <v/>
      </c>
      <c r="I311">
        <f>IF($A311="","",IF($E311=1,$H311,$I310&amp;", "&amp;$H311))</f>
        <v/>
      </c>
      <c r="J311">
        <f>IF($A311="","",IF($E311=1,$B311,""))</f>
        <v/>
      </c>
      <c r="K311">
        <f>IF($A311="","",IF(COUNTIF($B$2:$B311,$B311)=COUNTIF($B$2:$B$1601,$B311),$B311,""))</f>
        <v/>
      </c>
    </row>
    <row r="312">
      <c r="A312">
        <f>IF('TMP Paste'!$E312="","",'TMP Paste'!$E312)</f>
        <v/>
      </c>
      <c r="B312">
        <f>IF($A312="","",COUNTIF('TMP Paste'!$B$2:$B312,"?*"))</f>
        <v/>
      </c>
      <c r="C312">
        <f>IF($A312="","",IFERROR('TMP Paste'!$M312*1,0))</f>
        <v/>
      </c>
      <c r="D312">
        <f>IF($A312="","",SUMIF($B$2:$B312,$B312,$C$2:$C312))</f>
        <v/>
      </c>
      <c r="E312">
        <f>IF($A312="",0,IF('TMP Paste'!$B312="",0,1))</f>
        <v/>
      </c>
      <c r="F312">
        <f>IF(OR($A312="",$C312&lt;1),"",$A312&amp;"-"&amp;TEXT(($D312-$C312+1),"00")&amp;IF($C312&gt;=2,", "&amp;$A312&amp;"-"&amp;TEXT(($D312-$C312+1)+1,"00"),"")&amp;IF($C312&gt;=3,", "&amp;$A312&amp;"-"&amp;TEXT(($D312-$C312+1)+2,"00"),"")&amp;IF($C312&gt;=4,", "&amp;$A312&amp;"-"&amp;TEXT(($D312-$C312+1)+3,"00"),"")&amp;IF($C312&gt;=5,", "&amp;$A312&amp;"-"&amp;TEXT(($D312-$C312+1)+4,"00"),"")&amp;IF($C312&gt;=6,", "&amp;$A312&amp;"-"&amp;TEXT(($D312-$C312+1)+5,"00"),"")&amp;IF($C312&gt;=7,", "&amp;$A312&amp;"-"&amp;TEXT(($D312-$C312+1)+6,"00"),"")&amp;IF($C312&gt;=8,", "&amp;$A312&amp;"-"&amp;TEXT(($D312-$C312+1)+7,"00"),"")&amp;IF($C312&gt;=9,", "&amp;$A312&amp;"-"&amp;TEXT(($D312-$C312+1)+8,"00"),"")&amp;IF($C312&gt;=10,", "&amp;$A312&amp;"-"&amp;TEXT(($D312-$C312+1)+9,"00"),"")&amp;IF($C312&gt;=11,", "&amp;$A312&amp;"-"&amp;TEXT(($D312-$C312+1)+10,"00"),"")&amp;IF($C312&gt;=12,", "&amp;$A312&amp;"-"&amp;TEXT(($D312-$C312+1)+11,"00"),"")&amp;IF($C312&gt;=13,", "&amp;$A312&amp;"-"&amp;TEXT(($D312-$C312+1)+12,"00"),"")&amp;IF($C312&gt;=14,", "&amp;$A312&amp;"-"&amp;TEXT(($D312-$C312+1)+13,"00"),"")&amp;IF($C312&gt;=15,", "&amp;$A312&amp;"-"&amp;TEXT(($D312-$C312+1)+14,"00"),"")&amp;IF($C312&gt;=16,", "&amp;$A312&amp;"-"&amp;TEXT(($D312-$C312+1)+15,"00"),"")&amp;IF($C312&gt;=17,", "&amp;$A312&amp;"-"&amp;TEXT(($D312-$C312+1)+16,"00"),"")&amp;IF($C312&gt;=18,", "&amp;$A312&amp;"-"&amp;TEXT(($D312-$C312+1)+17,"00"),"")&amp;IF($C312&gt;=19,", "&amp;$A312&amp;"-"&amp;TEXT(($D312-$C312+1)+18,"00"),"")&amp;IF($C312&gt;=20,", "&amp;$A312&amp;"-"&amp;TEXT(($D312-$C312+1)+19,"00"),"")&amp;IF($C312&gt;=21,", "&amp;$A312&amp;"-"&amp;TEXT(($D312-$C312+1)+20,"00"),"")&amp;IF($C312&gt;=22,", "&amp;$A312&amp;"-"&amp;TEXT(($D312-$C312+1)+21,"00"),"")&amp;IF($C312&gt;=23,", "&amp;$A312&amp;"-"&amp;TEXT(($D312-$C312+1)+22,"00"),"")&amp;IF($C312&gt;=24,", "&amp;$A312&amp;"-"&amp;TEXT(($D312-$C312+1)+23,"00"),"")&amp;IF($C312&gt;=25,", "&amp;$A312&amp;"-"&amp;TEXT(($D312-$C312+1)+24,"00"),""))</f>
        <v/>
      </c>
      <c r="G312">
        <f>IF($A312="","",IF($E312=1,$F312,IF($F312="",$G311,IF($G311="",$F312,$G311&amp;", "&amp;$F312))))</f>
        <v/>
      </c>
      <c r="H312">
        <f>IF($A312="","",$A312&amp;" ("&amp;$C312&amp;")")</f>
        <v/>
      </c>
      <c r="I312">
        <f>IF($A312="","",IF($E312=1,$H312,$I311&amp;", "&amp;$H312))</f>
        <v/>
      </c>
      <c r="J312">
        <f>IF($A312="","",IF($E312=1,$B312,""))</f>
        <v/>
      </c>
      <c r="K312">
        <f>IF($A312="","",IF(COUNTIF($B$2:$B312,$B312)=COUNTIF($B$2:$B$1601,$B312),$B312,""))</f>
        <v/>
      </c>
    </row>
    <row r="313">
      <c r="A313">
        <f>IF('TMP Paste'!$E313="","",'TMP Paste'!$E313)</f>
        <v/>
      </c>
      <c r="B313">
        <f>IF($A313="","",COUNTIF('TMP Paste'!$B$2:$B313,"?*"))</f>
        <v/>
      </c>
      <c r="C313">
        <f>IF($A313="","",IFERROR('TMP Paste'!$M313*1,0))</f>
        <v/>
      </c>
      <c r="D313">
        <f>IF($A313="","",SUMIF($B$2:$B313,$B313,$C$2:$C313))</f>
        <v/>
      </c>
      <c r="E313">
        <f>IF($A313="",0,IF('TMP Paste'!$B313="",0,1))</f>
        <v/>
      </c>
      <c r="F313">
        <f>IF(OR($A313="",$C313&lt;1),"",$A313&amp;"-"&amp;TEXT(($D313-$C313+1),"00")&amp;IF($C313&gt;=2,", "&amp;$A313&amp;"-"&amp;TEXT(($D313-$C313+1)+1,"00"),"")&amp;IF($C313&gt;=3,", "&amp;$A313&amp;"-"&amp;TEXT(($D313-$C313+1)+2,"00"),"")&amp;IF($C313&gt;=4,", "&amp;$A313&amp;"-"&amp;TEXT(($D313-$C313+1)+3,"00"),"")&amp;IF($C313&gt;=5,", "&amp;$A313&amp;"-"&amp;TEXT(($D313-$C313+1)+4,"00"),"")&amp;IF($C313&gt;=6,", "&amp;$A313&amp;"-"&amp;TEXT(($D313-$C313+1)+5,"00"),"")&amp;IF($C313&gt;=7,", "&amp;$A313&amp;"-"&amp;TEXT(($D313-$C313+1)+6,"00"),"")&amp;IF($C313&gt;=8,", "&amp;$A313&amp;"-"&amp;TEXT(($D313-$C313+1)+7,"00"),"")&amp;IF($C313&gt;=9,", "&amp;$A313&amp;"-"&amp;TEXT(($D313-$C313+1)+8,"00"),"")&amp;IF($C313&gt;=10,", "&amp;$A313&amp;"-"&amp;TEXT(($D313-$C313+1)+9,"00"),"")&amp;IF($C313&gt;=11,", "&amp;$A313&amp;"-"&amp;TEXT(($D313-$C313+1)+10,"00"),"")&amp;IF($C313&gt;=12,", "&amp;$A313&amp;"-"&amp;TEXT(($D313-$C313+1)+11,"00"),"")&amp;IF($C313&gt;=13,", "&amp;$A313&amp;"-"&amp;TEXT(($D313-$C313+1)+12,"00"),"")&amp;IF($C313&gt;=14,", "&amp;$A313&amp;"-"&amp;TEXT(($D313-$C313+1)+13,"00"),"")&amp;IF($C313&gt;=15,", "&amp;$A313&amp;"-"&amp;TEXT(($D313-$C313+1)+14,"00"),"")&amp;IF($C313&gt;=16,", "&amp;$A313&amp;"-"&amp;TEXT(($D313-$C313+1)+15,"00"),"")&amp;IF($C313&gt;=17,", "&amp;$A313&amp;"-"&amp;TEXT(($D313-$C313+1)+16,"00"),"")&amp;IF($C313&gt;=18,", "&amp;$A313&amp;"-"&amp;TEXT(($D313-$C313+1)+17,"00"),"")&amp;IF($C313&gt;=19,", "&amp;$A313&amp;"-"&amp;TEXT(($D313-$C313+1)+18,"00"),"")&amp;IF($C313&gt;=20,", "&amp;$A313&amp;"-"&amp;TEXT(($D313-$C313+1)+19,"00"),"")&amp;IF($C313&gt;=21,", "&amp;$A313&amp;"-"&amp;TEXT(($D313-$C313+1)+20,"00"),"")&amp;IF($C313&gt;=22,", "&amp;$A313&amp;"-"&amp;TEXT(($D313-$C313+1)+21,"00"),"")&amp;IF($C313&gt;=23,", "&amp;$A313&amp;"-"&amp;TEXT(($D313-$C313+1)+22,"00"),"")&amp;IF($C313&gt;=24,", "&amp;$A313&amp;"-"&amp;TEXT(($D313-$C313+1)+23,"00"),"")&amp;IF($C313&gt;=25,", "&amp;$A313&amp;"-"&amp;TEXT(($D313-$C313+1)+24,"00"),""))</f>
        <v/>
      </c>
      <c r="G313">
        <f>IF($A313="","",IF($E313=1,$F313,IF($F313="",$G312,IF($G312="",$F313,$G312&amp;", "&amp;$F313))))</f>
        <v/>
      </c>
      <c r="H313">
        <f>IF($A313="","",$A313&amp;" ("&amp;$C313&amp;")")</f>
        <v/>
      </c>
      <c r="I313">
        <f>IF($A313="","",IF($E313=1,$H313,$I312&amp;", "&amp;$H313))</f>
        <v/>
      </c>
      <c r="J313">
        <f>IF($A313="","",IF($E313=1,$B313,""))</f>
        <v/>
      </c>
      <c r="K313">
        <f>IF($A313="","",IF(COUNTIF($B$2:$B313,$B313)=COUNTIF($B$2:$B$1601,$B313),$B313,""))</f>
        <v/>
      </c>
    </row>
    <row r="314">
      <c r="A314">
        <f>IF('TMP Paste'!$E314="","",'TMP Paste'!$E314)</f>
        <v/>
      </c>
      <c r="B314">
        <f>IF($A314="","",COUNTIF('TMP Paste'!$B$2:$B314,"?*"))</f>
        <v/>
      </c>
      <c r="C314">
        <f>IF($A314="","",IFERROR('TMP Paste'!$M314*1,0))</f>
        <v/>
      </c>
      <c r="D314">
        <f>IF($A314="","",SUMIF($B$2:$B314,$B314,$C$2:$C314))</f>
        <v/>
      </c>
      <c r="E314">
        <f>IF($A314="",0,IF('TMP Paste'!$B314="",0,1))</f>
        <v/>
      </c>
      <c r="F314">
        <f>IF(OR($A314="",$C314&lt;1),"",$A314&amp;"-"&amp;TEXT(($D314-$C314+1),"00")&amp;IF($C314&gt;=2,", "&amp;$A314&amp;"-"&amp;TEXT(($D314-$C314+1)+1,"00"),"")&amp;IF($C314&gt;=3,", "&amp;$A314&amp;"-"&amp;TEXT(($D314-$C314+1)+2,"00"),"")&amp;IF($C314&gt;=4,", "&amp;$A314&amp;"-"&amp;TEXT(($D314-$C314+1)+3,"00"),"")&amp;IF($C314&gt;=5,", "&amp;$A314&amp;"-"&amp;TEXT(($D314-$C314+1)+4,"00"),"")&amp;IF($C314&gt;=6,", "&amp;$A314&amp;"-"&amp;TEXT(($D314-$C314+1)+5,"00"),"")&amp;IF($C314&gt;=7,", "&amp;$A314&amp;"-"&amp;TEXT(($D314-$C314+1)+6,"00"),"")&amp;IF($C314&gt;=8,", "&amp;$A314&amp;"-"&amp;TEXT(($D314-$C314+1)+7,"00"),"")&amp;IF($C314&gt;=9,", "&amp;$A314&amp;"-"&amp;TEXT(($D314-$C314+1)+8,"00"),"")&amp;IF($C314&gt;=10,", "&amp;$A314&amp;"-"&amp;TEXT(($D314-$C314+1)+9,"00"),"")&amp;IF($C314&gt;=11,", "&amp;$A314&amp;"-"&amp;TEXT(($D314-$C314+1)+10,"00"),"")&amp;IF($C314&gt;=12,", "&amp;$A314&amp;"-"&amp;TEXT(($D314-$C314+1)+11,"00"),"")&amp;IF($C314&gt;=13,", "&amp;$A314&amp;"-"&amp;TEXT(($D314-$C314+1)+12,"00"),"")&amp;IF($C314&gt;=14,", "&amp;$A314&amp;"-"&amp;TEXT(($D314-$C314+1)+13,"00"),"")&amp;IF($C314&gt;=15,", "&amp;$A314&amp;"-"&amp;TEXT(($D314-$C314+1)+14,"00"),"")&amp;IF($C314&gt;=16,", "&amp;$A314&amp;"-"&amp;TEXT(($D314-$C314+1)+15,"00"),"")&amp;IF($C314&gt;=17,", "&amp;$A314&amp;"-"&amp;TEXT(($D314-$C314+1)+16,"00"),"")&amp;IF($C314&gt;=18,", "&amp;$A314&amp;"-"&amp;TEXT(($D314-$C314+1)+17,"00"),"")&amp;IF($C314&gt;=19,", "&amp;$A314&amp;"-"&amp;TEXT(($D314-$C314+1)+18,"00"),"")&amp;IF($C314&gt;=20,", "&amp;$A314&amp;"-"&amp;TEXT(($D314-$C314+1)+19,"00"),"")&amp;IF($C314&gt;=21,", "&amp;$A314&amp;"-"&amp;TEXT(($D314-$C314+1)+20,"00"),"")&amp;IF($C314&gt;=22,", "&amp;$A314&amp;"-"&amp;TEXT(($D314-$C314+1)+21,"00"),"")&amp;IF($C314&gt;=23,", "&amp;$A314&amp;"-"&amp;TEXT(($D314-$C314+1)+22,"00"),"")&amp;IF($C314&gt;=24,", "&amp;$A314&amp;"-"&amp;TEXT(($D314-$C314+1)+23,"00"),"")&amp;IF($C314&gt;=25,", "&amp;$A314&amp;"-"&amp;TEXT(($D314-$C314+1)+24,"00"),""))</f>
        <v/>
      </c>
      <c r="G314">
        <f>IF($A314="","",IF($E314=1,$F314,IF($F314="",$G313,IF($G313="",$F314,$G313&amp;", "&amp;$F314))))</f>
        <v/>
      </c>
      <c r="H314">
        <f>IF($A314="","",$A314&amp;" ("&amp;$C314&amp;")")</f>
        <v/>
      </c>
      <c r="I314">
        <f>IF($A314="","",IF($E314=1,$H314,$I313&amp;", "&amp;$H314))</f>
        <v/>
      </c>
      <c r="J314">
        <f>IF($A314="","",IF($E314=1,$B314,""))</f>
        <v/>
      </c>
      <c r="K314">
        <f>IF($A314="","",IF(COUNTIF($B$2:$B314,$B314)=COUNTIF($B$2:$B$1601,$B314),$B314,""))</f>
        <v/>
      </c>
    </row>
    <row r="315">
      <c r="A315">
        <f>IF('TMP Paste'!$E315="","",'TMP Paste'!$E315)</f>
        <v/>
      </c>
      <c r="B315">
        <f>IF($A315="","",COUNTIF('TMP Paste'!$B$2:$B315,"?*"))</f>
        <v/>
      </c>
      <c r="C315">
        <f>IF($A315="","",IFERROR('TMP Paste'!$M315*1,0))</f>
        <v/>
      </c>
      <c r="D315">
        <f>IF($A315="","",SUMIF($B$2:$B315,$B315,$C$2:$C315))</f>
        <v/>
      </c>
      <c r="E315">
        <f>IF($A315="",0,IF('TMP Paste'!$B315="",0,1))</f>
        <v/>
      </c>
      <c r="F315">
        <f>IF(OR($A315="",$C315&lt;1),"",$A315&amp;"-"&amp;TEXT(($D315-$C315+1),"00")&amp;IF($C315&gt;=2,", "&amp;$A315&amp;"-"&amp;TEXT(($D315-$C315+1)+1,"00"),"")&amp;IF($C315&gt;=3,", "&amp;$A315&amp;"-"&amp;TEXT(($D315-$C315+1)+2,"00"),"")&amp;IF($C315&gt;=4,", "&amp;$A315&amp;"-"&amp;TEXT(($D315-$C315+1)+3,"00"),"")&amp;IF($C315&gt;=5,", "&amp;$A315&amp;"-"&amp;TEXT(($D315-$C315+1)+4,"00"),"")&amp;IF($C315&gt;=6,", "&amp;$A315&amp;"-"&amp;TEXT(($D315-$C315+1)+5,"00"),"")&amp;IF($C315&gt;=7,", "&amp;$A315&amp;"-"&amp;TEXT(($D315-$C315+1)+6,"00"),"")&amp;IF($C315&gt;=8,", "&amp;$A315&amp;"-"&amp;TEXT(($D315-$C315+1)+7,"00"),"")&amp;IF($C315&gt;=9,", "&amp;$A315&amp;"-"&amp;TEXT(($D315-$C315+1)+8,"00"),"")&amp;IF($C315&gt;=10,", "&amp;$A315&amp;"-"&amp;TEXT(($D315-$C315+1)+9,"00"),"")&amp;IF($C315&gt;=11,", "&amp;$A315&amp;"-"&amp;TEXT(($D315-$C315+1)+10,"00"),"")&amp;IF($C315&gt;=12,", "&amp;$A315&amp;"-"&amp;TEXT(($D315-$C315+1)+11,"00"),"")&amp;IF($C315&gt;=13,", "&amp;$A315&amp;"-"&amp;TEXT(($D315-$C315+1)+12,"00"),"")&amp;IF($C315&gt;=14,", "&amp;$A315&amp;"-"&amp;TEXT(($D315-$C315+1)+13,"00"),"")&amp;IF($C315&gt;=15,", "&amp;$A315&amp;"-"&amp;TEXT(($D315-$C315+1)+14,"00"),"")&amp;IF($C315&gt;=16,", "&amp;$A315&amp;"-"&amp;TEXT(($D315-$C315+1)+15,"00"),"")&amp;IF($C315&gt;=17,", "&amp;$A315&amp;"-"&amp;TEXT(($D315-$C315+1)+16,"00"),"")&amp;IF($C315&gt;=18,", "&amp;$A315&amp;"-"&amp;TEXT(($D315-$C315+1)+17,"00"),"")&amp;IF($C315&gt;=19,", "&amp;$A315&amp;"-"&amp;TEXT(($D315-$C315+1)+18,"00"),"")&amp;IF($C315&gt;=20,", "&amp;$A315&amp;"-"&amp;TEXT(($D315-$C315+1)+19,"00"),"")&amp;IF($C315&gt;=21,", "&amp;$A315&amp;"-"&amp;TEXT(($D315-$C315+1)+20,"00"),"")&amp;IF($C315&gt;=22,", "&amp;$A315&amp;"-"&amp;TEXT(($D315-$C315+1)+21,"00"),"")&amp;IF($C315&gt;=23,", "&amp;$A315&amp;"-"&amp;TEXT(($D315-$C315+1)+22,"00"),"")&amp;IF($C315&gt;=24,", "&amp;$A315&amp;"-"&amp;TEXT(($D315-$C315+1)+23,"00"),"")&amp;IF($C315&gt;=25,", "&amp;$A315&amp;"-"&amp;TEXT(($D315-$C315+1)+24,"00"),""))</f>
        <v/>
      </c>
      <c r="G315">
        <f>IF($A315="","",IF($E315=1,$F315,IF($F315="",$G314,IF($G314="",$F315,$G314&amp;", "&amp;$F315))))</f>
        <v/>
      </c>
      <c r="H315">
        <f>IF($A315="","",$A315&amp;" ("&amp;$C315&amp;")")</f>
        <v/>
      </c>
      <c r="I315">
        <f>IF($A315="","",IF($E315=1,$H315,$I314&amp;", "&amp;$H315))</f>
        <v/>
      </c>
      <c r="J315">
        <f>IF($A315="","",IF($E315=1,$B315,""))</f>
        <v/>
      </c>
      <c r="K315">
        <f>IF($A315="","",IF(COUNTIF($B$2:$B315,$B315)=COUNTIF($B$2:$B$1601,$B315),$B315,""))</f>
        <v/>
      </c>
    </row>
    <row r="316">
      <c r="A316">
        <f>IF('TMP Paste'!$E316="","",'TMP Paste'!$E316)</f>
        <v/>
      </c>
      <c r="B316">
        <f>IF($A316="","",COUNTIF('TMP Paste'!$B$2:$B316,"?*"))</f>
        <v/>
      </c>
      <c r="C316">
        <f>IF($A316="","",IFERROR('TMP Paste'!$M316*1,0))</f>
        <v/>
      </c>
      <c r="D316">
        <f>IF($A316="","",SUMIF($B$2:$B316,$B316,$C$2:$C316))</f>
        <v/>
      </c>
      <c r="E316">
        <f>IF($A316="",0,IF('TMP Paste'!$B316="",0,1))</f>
        <v/>
      </c>
      <c r="F316">
        <f>IF(OR($A316="",$C316&lt;1),"",$A316&amp;"-"&amp;TEXT(($D316-$C316+1),"00")&amp;IF($C316&gt;=2,", "&amp;$A316&amp;"-"&amp;TEXT(($D316-$C316+1)+1,"00"),"")&amp;IF($C316&gt;=3,", "&amp;$A316&amp;"-"&amp;TEXT(($D316-$C316+1)+2,"00"),"")&amp;IF($C316&gt;=4,", "&amp;$A316&amp;"-"&amp;TEXT(($D316-$C316+1)+3,"00"),"")&amp;IF($C316&gt;=5,", "&amp;$A316&amp;"-"&amp;TEXT(($D316-$C316+1)+4,"00"),"")&amp;IF($C316&gt;=6,", "&amp;$A316&amp;"-"&amp;TEXT(($D316-$C316+1)+5,"00"),"")&amp;IF($C316&gt;=7,", "&amp;$A316&amp;"-"&amp;TEXT(($D316-$C316+1)+6,"00"),"")&amp;IF($C316&gt;=8,", "&amp;$A316&amp;"-"&amp;TEXT(($D316-$C316+1)+7,"00"),"")&amp;IF($C316&gt;=9,", "&amp;$A316&amp;"-"&amp;TEXT(($D316-$C316+1)+8,"00"),"")&amp;IF($C316&gt;=10,", "&amp;$A316&amp;"-"&amp;TEXT(($D316-$C316+1)+9,"00"),"")&amp;IF($C316&gt;=11,", "&amp;$A316&amp;"-"&amp;TEXT(($D316-$C316+1)+10,"00"),"")&amp;IF($C316&gt;=12,", "&amp;$A316&amp;"-"&amp;TEXT(($D316-$C316+1)+11,"00"),"")&amp;IF($C316&gt;=13,", "&amp;$A316&amp;"-"&amp;TEXT(($D316-$C316+1)+12,"00"),"")&amp;IF($C316&gt;=14,", "&amp;$A316&amp;"-"&amp;TEXT(($D316-$C316+1)+13,"00"),"")&amp;IF($C316&gt;=15,", "&amp;$A316&amp;"-"&amp;TEXT(($D316-$C316+1)+14,"00"),"")&amp;IF($C316&gt;=16,", "&amp;$A316&amp;"-"&amp;TEXT(($D316-$C316+1)+15,"00"),"")&amp;IF($C316&gt;=17,", "&amp;$A316&amp;"-"&amp;TEXT(($D316-$C316+1)+16,"00"),"")&amp;IF($C316&gt;=18,", "&amp;$A316&amp;"-"&amp;TEXT(($D316-$C316+1)+17,"00"),"")&amp;IF($C316&gt;=19,", "&amp;$A316&amp;"-"&amp;TEXT(($D316-$C316+1)+18,"00"),"")&amp;IF($C316&gt;=20,", "&amp;$A316&amp;"-"&amp;TEXT(($D316-$C316+1)+19,"00"),"")&amp;IF($C316&gt;=21,", "&amp;$A316&amp;"-"&amp;TEXT(($D316-$C316+1)+20,"00"),"")&amp;IF($C316&gt;=22,", "&amp;$A316&amp;"-"&amp;TEXT(($D316-$C316+1)+21,"00"),"")&amp;IF($C316&gt;=23,", "&amp;$A316&amp;"-"&amp;TEXT(($D316-$C316+1)+22,"00"),"")&amp;IF($C316&gt;=24,", "&amp;$A316&amp;"-"&amp;TEXT(($D316-$C316+1)+23,"00"),"")&amp;IF($C316&gt;=25,", "&amp;$A316&amp;"-"&amp;TEXT(($D316-$C316+1)+24,"00"),""))</f>
        <v/>
      </c>
      <c r="G316">
        <f>IF($A316="","",IF($E316=1,$F316,IF($F316="",$G315,IF($G315="",$F316,$G315&amp;", "&amp;$F316))))</f>
        <v/>
      </c>
      <c r="H316">
        <f>IF($A316="","",$A316&amp;" ("&amp;$C316&amp;")")</f>
        <v/>
      </c>
      <c r="I316">
        <f>IF($A316="","",IF($E316=1,$H316,$I315&amp;", "&amp;$H316))</f>
        <v/>
      </c>
      <c r="J316">
        <f>IF($A316="","",IF($E316=1,$B316,""))</f>
        <v/>
      </c>
      <c r="K316">
        <f>IF($A316="","",IF(COUNTIF($B$2:$B316,$B316)=COUNTIF($B$2:$B$1601,$B316),$B316,""))</f>
        <v/>
      </c>
    </row>
    <row r="317">
      <c r="A317">
        <f>IF('TMP Paste'!$E317="","",'TMP Paste'!$E317)</f>
        <v/>
      </c>
      <c r="B317">
        <f>IF($A317="","",COUNTIF('TMP Paste'!$B$2:$B317,"?*"))</f>
        <v/>
      </c>
      <c r="C317">
        <f>IF($A317="","",IFERROR('TMP Paste'!$M317*1,0))</f>
        <v/>
      </c>
      <c r="D317">
        <f>IF($A317="","",SUMIF($B$2:$B317,$B317,$C$2:$C317))</f>
        <v/>
      </c>
      <c r="E317">
        <f>IF($A317="",0,IF('TMP Paste'!$B317="",0,1))</f>
        <v/>
      </c>
      <c r="F317">
        <f>IF(OR($A317="",$C317&lt;1),"",$A317&amp;"-"&amp;TEXT(($D317-$C317+1),"00")&amp;IF($C317&gt;=2,", "&amp;$A317&amp;"-"&amp;TEXT(($D317-$C317+1)+1,"00"),"")&amp;IF($C317&gt;=3,", "&amp;$A317&amp;"-"&amp;TEXT(($D317-$C317+1)+2,"00"),"")&amp;IF($C317&gt;=4,", "&amp;$A317&amp;"-"&amp;TEXT(($D317-$C317+1)+3,"00"),"")&amp;IF($C317&gt;=5,", "&amp;$A317&amp;"-"&amp;TEXT(($D317-$C317+1)+4,"00"),"")&amp;IF($C317&gt;=6,", "&amp;$A317&amp;"-"&amp;TEXT(($D317-$C317+1)+5,"00"),"")&amp;IF($C317&gt;=7,", "&amp;$A317&amp;"-"&amp;TEXT(($D317-$C317+1)+6,"00"),"")&amp;IF($C317&gt;=8,", "&amp;$A317&amp;"-"&amp;TEXT(($D317-$C317+1)+7,"00"),"")&amp;IF($C317&gt;=9,", "&amp;$A317&amp;"-"&amp;TEXT(($D317-$C317+1)+8,"00"),"")&amp;IF($C317&gt;=10,", "&amp;$A317&amp;"-"&amp;TEXT(($D317-$C317+1)+9,"00"),"")&amp;IF($C317&gt;=11,", "&amp;$A317&amp;"-"&amp;TEXT(($D317-$C317+1)+10,"00"),"")&amp;IF($C317&gt;=12,", "&amp;$A317&amp;"-"&amp;TEXT(($D317-$C317+1)+11,"00"),"")&amp;IF($C317&gt;=13,", "&amp;$A317&amp;"-"&amp;TEXT(($D317-$C317+1)+12,"00"),"")&amp;IF($C317&gt;=14,", "&amp;$A317&amp;"-"&amp;TEXT(($D317-$C317+1)+13,"00"),"")&amp;IF($C317&gt;=15,", "&amp;$A317&amp;"-"&amp;TEXT(($D317-$C317+1)+14,"00"),"")&amp;IF($C317&gt;=16,", "&amp;$A317&amp;"-"&amp;TEXT(($D317-$C317+1)+15,"00"),"")&amp;IF($C317&gt;=17,", "&amp;$A317&amp;"-"&amp;TEXT(($D317-$C317+1)+16,"00"),"")&amp;IF($C317&gt;=18,", "&amp;$A317&amp;"-"&amp;TEXT(($D317-$C317+1)+17,"00"),"")&amp;IF($C317&gt;=19,", "&amp;$A317&amp;"-"&amp;TEXT(($D317-$C317+1)+18,"00"),"")&amp;IF($C317&gt;=20,", "&amp;$A317&amp;"-"&amp;TEXT(($D317-$C317+1)+19,"00"),"")&amp;IF($C317&gt;=21,", "&amp;$A317&amp;"-"&amp;TEXT(($D317-$C317+1)+20,"00"),"")&amp;IF($C317&gt;=22,", "&amp;$A317&amp;"-"&amp;TEXT(($D317-$C317+1)+21,"00"),"")&amp;IF($C317&gt;=23,", "&amp;$A317&amp;"-"&amp;TEXT(($D317-$C317+1)+22,"00"),"")&amp;IF($C317&gt;=24,", "&amp;$A317&amp;"-"&amp;TEXT(($D317-$C317+1)+23,"00"),"")&amp;IF($C317&gt;=25,", "&amp;$A317&amp;"-"&amp;TEXT(($D317-$C317+1)+24,"00"),""))</f>
        <v/>
      </c>
      <c r="G317">
        <f>IF($A317="","",IF($E317=1,$F317,IF($F317="",$G316,IF($G316="",$F317,$G316&amp;", "&amp;$F317))))</f>
        <v/>
      </c>
      <c r="H317">
        <f>IF($A317="","",$A317&amp;" ("&amp;$C317&amp;")")</f>
        <v/>
      </c>
      <c r="I317">
        <f>IF($A317="","",IF($E317=1,$H317,$I316&amp;", "&amp;$H317))</f>
        <v/>
      </c>
      <c r="J317">
        <f>IF($A317="","",IF($E317=1,$B317,""))</f>
        <v/>
      </c>
      <c r="K317">
        <f>IF($A317="","",IF(COUNTIF($B$2:$B317,$B317)=COUNTIF($B$2:$B$1601,$B317),$B317,""))</f>
        <v/>
      </c>
    </row>
    <row r="318">
      <c r="A318">
        <f>IF('TMP Paste'!$E318="","",'TMP Paste'!$E318)</f>
        <v/>
      </c>
      <c r="B318">
        <f>IF($A318="","",COUNTIF('TMP Paste'!$B$2:$B318,"?*"))</f>
        <v/>
      </c>
      <c r="C318">
        <f>IF($A318="","",IFERROR('TMP Paste'!$M318*1,0))</f>
        <v/>
      </c>
      <c r="D318">
        <f>IF($A318="","",SUMIF($B$2:$B318,$B318,$C$2:$C318))</f>
        <v/>
      </c>
      <c r="E318">
        <f>IF($A318="",0,IF('TMP Paste'!$B318="",0,1))</f>
        <v/>
      </c>
      <c r="F318">
        <f>IF(OR($A318="",$C318&lt;1),"",$A318&amp;"-"&amp;TEXT(($D318-$C318+1),"00")&amp;IF($C318&gt;=2,", "&amp;$A318&amp;"-"&amp;TEXT(($D318-$C318+1)+1,"00"),"")&amp;IF($C318&gt;=3,", "&amp;$A318&amp;"-"&amp;TEXT(($D318-$C318+1)+2,"00"),"")&amp;IF($C318&gt;=4,", "&amp;$A318&amp;"-"&amp;TEXT(($D318-$C318+1)+3,"00"),"")&amp;IF($C318&gt;=5,", "&amp;$A318&amp;"-"&amp;TEXT(($D318-$C318+1)+4,"00"),"")&amp;IF($C318&gt;=6,", "&amp;$A318&amp;"-"&amp;TEXT(($D318-$C318+1)+5,"00"),"")&amp;IF($C318&gt;=7,", "&amp;$A318&amp;"-"&amp;TEXT(($D318-$C318+1)+6,"00"),"")&amp;IF($C318&gt;=8,", "&amp;$A318&amp;"-"&amp;TEXT(($D318-$C318+1)+7,"00"),"")&amp;IF($C318&gt;=9,", "&amp;$A318&amp;"-"&amp;TEXT(($D318-$C318+1)+8,"00"),"")&amp;IF($C318&gt;=10,", "&amp;$A318&amp;"-"&amp;TEXT(($D318-$C318+1)+9,"00"),"")&amp;IF($C318&gt;=11,", "&amp;$A318&amp;"-"&amp;TEXT(($D318-$C318+1)+10,"00"),"")&amp;IF($C318&gt;=12,", "&amp;$A318&amp;"-"&amp;TEXT(($D318-$C318+1)+11,"00"),"")&amp;IF($C318&gt;=13,", "&amp;$A318&amp;"-"&amp;TEXT(($D318-$C318+1)+12,"00"),"")&amp;IF($C318&gt;=14,", "&amp;$A318&amp;"-"&amp;TEXT(($D318-$C318+1)+13,"00"),"")&amp;IF($C318&gt;=15,", "&amp;$A318&amp;"-"&amp;TEXT(($D318-$C318+1)+14,"00"),"")&amp;IF($C318&gt;=16,", "&amp;$A318&amp;"-"&amp;TEXT(($D318-$C318+1)+15,"00"),"")&amp;IF($C318&gt;=17,", "&amp;$A318&amp;"-"&amp;TEXT(($D318-$C318+1)+16,"00"),"")&amp;IF($C318&gt;=18,", "&amp;$A318&amp;"-"&amp;TEXT(($D318-$C318+1)+17,"00"),"")&amp;IF($C318&gt;=19,", "&amp;$A318&amp;"-"&amp;TEXT(($D318-$C318+1)+18,"00"),"")&amp;IF($C318&gt;=20,", "&amp;$A318&amp;"-"&amp;TEXT(($D318-$C318+1)+19,"00"),"")&amp;IF($C318&gt;=21,", "&amp;$A318&amp;"-"&amp;TEXT(($D318-$C318+1)+20,"00"),"")&amp;IF($C318&gt;=22,", "&amp;$A318&amp;"-"&amp;TEXT(($D318-$C318+1)+21,"00"),"")&amp;IF($C318&gt;=23,", "&amp;$A318&amp;"-"&amp;TEXT(($D318-$C318+1)+22,"00"),"")&amp;IF($C318&gt;=24,", "&amp;$A318&amp;"-"&amp;TEXT(($D318-$C318+1)+23,"00"),"")&amp;IF($C318&gt;=25,", "&amp;$A318&amp;"-"&amp;TEXT(($D318-$C318+1)+24,"00"),""))</f>
        <v/>
      </c>
      <c r="G318">
        <f>IF($A318="","",IF($E318=1,$F318,IF($F318="",$G317,IF($G317="",$F318,$G317&amp;", "&amp;$F318))))</f>
        <v/>
      </c>
      <c r="H318">
        <f>IF($A318="","",$A318&amp;" ("&amp;$C318&amp;")")</f>
        <v/>
      </c>
      <c r="I318">
        <f>IF($A318="","",IF($E318=1,$H318,$I317&amp;", "&amp;$H318))</f>
        <v/>
      </c>
      <c r="J318">
        <f>IF($A318="","",IF($E318=1,$B318,""))</f>
        <v/>
      </c>
      <c r="K318">
        <f>IF($A318="","",IF(COUNTIF($B$2:$B318,$B318)=COUNTIF($B$2:$B$1601,$B318),$B318,""))</f>
        <v/>
      </c>
    </row>
    <row r="319">
      <c r="A319">
        <f>IF('TMP Paste'!$E319="","",'TMP Paste'!$E319)</f>
        <v/>
      </c>
      <c r="B319">
        <f>IF($A319="","",COUNTIF('TMP Paste'!$B$2:$B319,"?*"))</f>
        <v/>
      </c>
      <c r="C319">
        <f>IF($A319="","",IFERROR('TMP Paste'!$M319*1,0))</f>
        <v/>
      </c>
      <c r="D319">
        <f>IF($A319="","",SUMIF($B$2:$B319,$B319,$C$2:$C319))</f>
        <v/>
      </c>
      <c r="E319">
        <f>IF($A319="",0,IF('TMP Paste'!$B319="",0,1))</f>
        <v/>
      </c>
      <c r="F319">
        <f>IF(OR($A319="",$C319&lt;1),"",$A319&amp;"-"&amp;TEXT(($D319-$C319+1),"00")&amp;IF($C319&gt;=2,", "&amp;$A319&amp;"-"&amp;TEXT(($D319-$C319+1)+1,"00"),"")&amp;IF($C319&gt;=3,", "&amp;$A319&amp;"-"&amp;TEXT(($D319-$C319+1)+2,"00"),"")&amp;IF($C319&gt;=4,", "&amp;$A319&amp;"-"&amp;TEXT(($D319-$C319+1)+3,"00"),"")&amp;IF($C319&gt;=5,", "&amp;$A319&amp;"-"&amp;TEXT(($D319-$C319+1)+4,"00"),"")&amp;IF($C319&gt;=6,", "&amp;$A319&amp;"-"&amp;TEXT(($D319-$C319+1)+5,"00"),"")&amp;IF($C319&gt;=7,", "&amp;$A319&amp;"-"&amp;TEXT(($D319-$C319+1)+6,"00"),"")&amp;IF($C319&gt;=8,", "&amp;$A319&amp;"-"&amp;TEXT(($D319-$C319+1)+7,"00"),"")&amp;IF($C319&gt;=9,", "&amp;$A319&amp;"-"&amp;TEXT(($D319-$C319+1)+8,"00"),"")&amp;IF($C319&gt;=10,", "&amp;$A319&amp;"-"&amp;TEXT(($D319-$C319+1)+9,"00"),"")&amp;IF($C319&gt;=11,", "&amp;$A319&amp;"-"&amp;TEXT(($D319-$C319+1)+10,"00"),"")&amp;IF($C319&gt;=12,", "&amp;$A319&amp;"-"&amp;TEXT(($D319-$C319+1)+11,"00"),"")&amp;IF($C319&gt;=13,", "&amp;$A319&amp;"-"&amp;TEXT(($D319-$C319+1)+12,"00"),"")&amp;IF($C319&gt;=14,", "&amp;$A319&amp;"-"&amp;TEXT(($D319-$C319+1)+13,"00"),"")&amp;IF($C319&gt;=15,", "&amp;$A319&amp;"-"&amp;TEXT(($D319-$C319+1)+14,"00"),"")&amp;IF($C319&gt;=16,", "&amp;$A319&amp;"-"&amp;TEXT(($D319-$C319+1)+15,"00"),"")&amp;IF($C319&gt;=17,", "&amp;$A319&amp;"-"&amp;TEXT(($D319-$C319+1)+16,"00"),"")&amp;IF($C319&gt;=18,", "&amp;$A319&amp;"-"&amp;TEXT(($D319-$C319+1)+17,"00"),"")&amp;IF($C319&gt;=19,", "&amp;$A319&amp;"-"&amp;TEXT(($D319-$C319+1)+18,"00"),"")&amp;IF($C319&gt;=20,", "&amp;$A319&amp;"-"&amp;TEXT(($D319-$C319+1)+19,"00"),"")&amp;IF($C319&gt;=21,", "&amp;$A319&amp;"-"&amp;TEXT(($D319-$C319+1)+20,"00"),"")&amp;IF($C319&gt;=22,", "&amp;$A319&amp;"-"&amp;TEXT(($D319-$C319+1)+21,"00"),"")&amp;IF($C319&gt;=23,", "&amp;$A319&amp;"-"&amp;TEXT(($D319-$C319+1)+22,"00"),"")&amp;IF($C319&gt;=24,", "&amp;$A319&amp;"-"&amp;TEXT(($D319-$C319+1)+23,"00"),"")&amp;IF($C319&gt;=25,", "&amp;$A319&amp;"-"&amp;TEXT(($D319-$C319+1)+24,"00"),""))</f>
        <v/>
      </c>
      <c r="G319">
        <f>IF($A319="","",IF($E319=1,$F319,IF($F319="",$G318,IF($G318="",$F319,$G318&amp;", "&amp;$F319))))</f>
        <v/>
      </c>
      <c r="H319">
        <f>IF($A319="","",$A319&amp;" ("&amp;$C319&amp;")")</f>
        <v/>
      </c>
      <c r="I319">
        <f>IF($A319="","",IF($E319=1,$H319,$I318&amp;", "&amp;$H319))</f>
        <v/>
      </c>
      <c r="J319">
        <f>IF($A319="","",IF($E319=1,$B319,""))</f>
        <v/>
      </c>
      <c r="K319">
        <f>IF($A319="","",IF(COUNTIF($B$2:$B319,$B319)=COUNTIF($B$2:$B$1601,$B319),$B319,""))</f>
        <v/>
      </c>
    </row>
    <row r="320">
      <c r="A320">
        <f>IF('TMP Paste'!$E320="","",'TMP Paste'!$E320)</f>
        <v/>
      </c>
      <c r="B320">
        <f>IF($A320="","",COUNTIF('TMP Paste'!$B$2:$B320,"?*"))</f>
        <v/>
      </c>
      <c r="C320">
        <f>IF($A320="","",IFERROR('TMP Paste'!$M320*1,0))</f>
        <v/>
      </c>
      <c r="D320">
        <f>IF($A320="","",SUMIF($B$2:$B320,$B320,$C$2:$C320))</f>
        <v/>
      </c>
      <c r="E320">
        <f>IF($A320="",0,IF('TMP Paste'!$B320="",0,1))</f>
        <v/>
      </c>
      <c r="F320">
        <f>IF(OR($A320="",$C320&lt;1),"",$A320&amp;"-"&amp;TEXT(($D320-$C320+1),"00")&amp;IF($C320&gt;=2,", "&amp;$A320&amp;"-"&amp;TEXT(($D320-$C320+1)+1,"00"),"")&amp;IF($C320&gt;=3,", "&amp;$A320&amp;"-"&amp;TEXT(($D320-$C320+1)+2,"00"),"")&amp;IF($C320&gt;=4,", "&amp;$A320&amp;"-"&amp;TEXT(($D320-$C320+1)+3,"00"),"")&amp;IF($C320&gt;=5,", "&amp;$A320&amp;"-"&amp;TEXT(($D320-$C320+1)+4,"00"),"")&amp;IF($C320&gt;=6,", "&amp;$A320&amp;"-"&amp;TEXT(($D320-$C320+1)+5,"00"),"")&amp;IF($C320&gt;=7,", "&amp;$A320&amp;"-"&amp;TEXT(($D320-$C320+1)+6,"00"),"")&amp;IF($C320&gt;=8,", "&amp;$A320&amp;"-"&amp;TEXT(($D320-$C320+1)+7,"00"),"")&amp;IF($C320&gt;=9,", "&amp;$A320&amp;"-"&amp;TEXT(($D320-$C320+1)+8,"00"),"")&amp;IF($C320&gt;=10,", "&amp;$A320&amp;"-"&amp;TEXT(($D320-$C320+1)+9,"00"),"")&amp;IF($C320&gt;=11,", "&amp;$A320&amp;"-"&amp;TEXT(($D320-$C320+1)+10,"00"),"")&amp;IF($C320&gt;=12,", "&amp;$A320&amp;"-"&amp;TEXT(($D320-$C320+1)+11,"00"),"")&amp;IF($C320&gt;=13,", "&amp;$A320&amp;"-"&amp;TEXT(($D320-$C320+1)+12,"00"),"")&amp;IF($C320&gt;=14,", "&amp;$A320&amp;"-"&amp;TEXT(($D320-$C320+1)+13,"00"),"")&amp;IF($C320&gt;=15,", "&amp;$A320&amp;"-"&amp;TEXT(($D320-$C320+1)+14,"00"),"")&amp;IF($C320&gt;=16,", "&amp;$A320&amp;"-"&amp;TEXT(($D320-$C320+1)+15,"00"),"")&amp;IF($C320&gt;=17,", "&amp;$A320&amp;"-"&amp;TEXT(($D320-$C320+1)+16,"00"),"")&amp;IF($C320&gt;=18,", "&amp;$A320&amp;"-"&amp;TEXT(($D320-$C320+1)+17,"00"),"")&amp;IF($C320&gt;=19,", "&amp;$A320&amp;"-"&amp;TEXT(($D320-$C320+1)+18,"00"),"")&amp;IF($C320&gt;=20,", "&amp;$A320&amp;"-"&amp;TEXT(($D320-$C320+1)+19,"00"),"")&amp;IF($C320&gt;=21,", "&amp;$A320&amp;"-"&amp;TEXT(($D320-$C320+1)+20,"00"),"")&amp;IF($C320&gt;=22,", "&amp;$A320&amp;"-"&amp;TEXT(($D320-$C320+1)+21,"00"),"")&amp;IF($C320&gt;=23,", "&amp;$A320&amp;"-"&amp;TEXT(($D320-$C320+1)+22,"00"),"")&amp;IF($C320&gt;=24,", "&amp;$A320&amp;"-"&amp;TEXT(($D320-$C320+1)+23,"00"),"")&amp;IF($C320&gt;=25,", "&amp;$A320&amp;"-"&amp;TEXT(($D320-$C320+1)+24,"00"),""))</f>
        <v/>
      </c>
      <c r="G320">
        <f>IF($A320="","",IF($E320=1,$F320,IF($F320="",$G319,IF($G319="",$F320,$G319&amp;", "&amp;$F320))))</f>
        <v/>
      </c>
      <c r="H320">
        <f>IF($A320="","",$A320&amp;" ("&amp;$C320&amp;")")</f>
        <v/>
      </c>
      <c r="I320">
        <f>IF($A320="","",IF($E320=1,$H320,$I319&amp;", "&amp;$H320))</f>
        <v/>
      </c>
      <c r="J320">
        <f>IF($A320="","",IF($E320=1,$B320,""))</f>
        <v/>
      </c>
      <c r="K320">
        <f>IF($A320="","",IF(COUNTIF($B$2:$B320,$B320)=COUNTIF($B$2:$B$1601,$B320),$B320,""))</f>
        <v/>
      </c>
    </row>
    <row r="321">
      <c r="A321">
        <f>IF('TMP Paste'!$E321="","",'TMP Paste'!$E321)</f>
        <v/>
      </c>
      <c r="B321">
        <f>IF($A321="","",COUNTIF('TMP Paste'!$B$2:$B321,"?*"))</f>
        <v/>
      </c>
      <c r="C321">
        <f>IF($A321="","",IFERROR('TMP Paste'!$M321*1,0))</f>
        <v/>
      </c>
      <c r="D321">
        <f>IF($A321="","",SUMIF($B$2:$B321,$B321,$C$2:$C321))</f>
        <v/>
      </c>
      <c r="E321">
        <f>IF($A321="",0,IF('TMP Paste'!$B321="",0,1))</f>
        <v/>
      </c>
      <c r="F321">
        <f>IF(OR($A321="",$C321&lt;1),"",$A321&amp;"-"&amp;TEXT(($D321-$C321+1),"00")&amp;IF($C321&gt;=2,", "&amp;$A321&amp;"-"&amp;TEXT(($D321-$C321+1)+1,"00"),"")&amp;IF($C321&gt;=3,", "&amp;$A321&amp;"-"&amp;TEXT(($D321-$C321+1)+2,"00"),"")&amp;IF($C321&gt;=4,", "&amp;$A321&amp;"-"&amp;TEXT(($D321-$C321+1)+3,"00"),"")&amp;IF($C321&gt;=5,", "&amp;$A321&amp;"-"&amp;TEXT(($D321-$C321+1)+4,"00"),"")&amp;IF($C321&gt;=6,", "&amp;$A321&amp;"-"&amp;TEXT(($D321-$C321+1)+5,"00"),"")&amp;IF($C321&gt;=7,", "&amp;$A321&amp;"-"&amp;TEXT(($D321-$C321+1)+6,"00"),"")&amp;IF($C321&gt;=8,", "&amp;$A321&amp;"-"&amp;TEXT(($D321-$C321+1)+7,"00"),"")&amp;IF($C321&gt;=9,", "&amp;$A321&amp;"-"&amp;TEXT(($D321-$C321+1)+8,"00"),"")&amp;IF($C321&gt;=10,", "&amp;$A321&amp;"-"&amp;TEXT(($D321-$C321+1)+9,"00"),"")&amp;IF($C321&gt;=11,", "&amp;$A321&amp;"-"&amp;TEXT(($D321-$C321+1)+10,"00"),"")&amp;IF($C321&gt;=12,", "&amp;$A321&amp;"-"&amp;TEXT(($D321-$C321+1)+11,"00"),"")&amp;IF($C321&gt;=13,", "&amp;$A321&amp;"-"&amp;TEXT(($D321-$C321+1)+12,"00"),"")&amp;IF($C321&gt;=14,", "&amp;$A321&amp;"-"&amp;TEXT(($D321-$C321+1)+13,"00"),"")&amp;IF($C321&gt;=15,", "&amp;$A321&amp;"-"&amp;TEXT(($D321-$C321+1)+14,"00"),"")&amp;IF($C321&gt;=16,", "&amp;$A321&amp;"-"&amp;TEXT(($D321-$C321+1)+15,"00"),"")&amp;IF($C321&gt;=17,", "&amp;$A321&amp;"-"&amp;TEXT(($D321-$C321+1)+16,"00"),"")&amp;IF($C321&gt;=18,", "&amp;$A321&amp;"-"&amp;TEXT(($D321-$C321+1)+17,"00"),"")&amp;IF($C321&gt;=19,", "&amp;$A321&amp;"-"&amp;TEXT(($D321-$C321+1)+18,"00"),"")&amp;IF($C321&gt;=20,", "&amp;$A321&amp;"-"&amp;TEXT(($D321-$C321+1)+19,"00"),"")&amp;IF($C321&gt;=21,", "&amp;$A321&amp;"-"&amp;TEXT(($D321-$C321+1)+20,"00"),"")&amp;IF($C321&gt;=22,", "&amp;$A321&amp;"-"&amp;TEXT(($D321-$C321+1)+21,"00"),"")&amp;IF($C321&gt;=23,", "&amp;$A321&amp;"-"&amp;TEXT(($D321-$C321+1)+22,"00"),"")&amp;IF($C321&gt;=24,", "&amp;$A321&amp;"-"&amp;TEXT(($D321-$C321+1)+23,"00"),"")&amp;IF($C321&gt;=25,", "&amp;$A321&amp;"-"&amp;TEXT(($D321-$C321+1)+24,"00"),""))</f>
        <v/>
      </c>
      <c r="G321">
        <f>IF($A321="","",IF($E321=1,$F321,IF($F321="",$G320,IF($G320="",$F321,$G320&amp;", "&amp;$F321))))</f>
        <v/>
      </c>
      <c r="H321">
        <f>IF($A321="","",$A321&amp;" ("&amp;$C321&amp;")")</f>
        <v/>
      </c>
      <c r="I321">
        <f>IF($A321="","",IF($E321=1,$H321,$I320&amp;", "&amp;$H321))</f>
        <v/>
      </c>
      <c r="J321">
        <f>IF($A321="","",IF($E321=1,$B321,""))</f>
        <v/>
      </c>
      <c r="K321">
        <f>IF($A321="","",IF(COUNTIF($B$2:$B321,$B321)=COUNTIF($B$2:$B$1601,$B321),$B321,""))</f>
        <v/>
      </c>
    </row>
    <row r="322">
      <c r="A322">
        <f>IF('TMP Paste'!$E322="","",'TMP Paste'!$E322)</f>
        <v/>
      </c>
      <c r="B322">
        <f>IF($A322="","",COUNTIF('TMP Paste'!$B$2:$B322,"?*"))</f>
        <v/>
      </c>
      <c r="C322">
        <f>IF($A322="","",IFERROR('TMP Paste'!$M322*1,0))</f>
        <v/>
      </c>
      <c r="D322">
        <f>IF($A322="","",SUMIF($B$2:$B322,$B322,$C$2:$C322))</f>
        <v/>
      </c>
      <c r="E322">
        <f>IF($A322="",0,IF('TMP Paste'!$B322="",0,1))</f>
        <v/>
      </c>
      <c r="F322">
        <f>IF(OR($A322="",$C322&lt;1),"",$A322&amp;"-"&amp;TEXT(($D322-$C322+1),"00")&amp;IF($C322&gt;=2,", "&amp;$A322&amp;"-"&amp;TEXT(($D322-$C322+1)+1,"00"),"")&amp;IF($C322&gt;=3,", "&amp;$A322&amp;"-"&amp;TEXT(($D322-$C322+1)+2,"00"),"")&amp;IF($C322&gt;=4,", "&amp;$A322&amp;"-"&amp;TEXT(($D322-$C322+1)+3,"00"),"")&amp;IF($C322&gt;=5,", "&amp;$A322&amp;"-"&amp;TEXT(($D322-$C322+1)+4,"00"),"")&amp;IF($C322&gt;=6,", "&amp;$A322&amp;"-"&amp;TEXT(($D322-$C322+1)+5,"00"),"")&amp;IF($C322&gt;=7,", "&amp;$A322&amp;"-"&amp;TEXT(($D322-$C322+1)+6,"00"),"")&amp;IF($C322&gt;=8,", "&amp;$A322&amp;"-"&amp;TEXT(($D322-$C322+1)+7,"00"),"")&amp;IF($C322&gt;=9,", "&amp;$A322&amp;"-"&amp;TEXT(($D322-$C322+1)+8,"00"),"")&amp;IF($C322&gt;=10,", "&amp;$A322&amp;"-"&amp;TEXT(($D322-$C322+1)+9,"00"),"")&amp;IF($C322&gt;=11,", "&amp;$A322&amp;"-"&amp;TEXT(($D322-$C322+1)+10,"00"),"")&amp;IF($C322&gt;=12,", "&amp;$A322&amp;"-"&amp;TEXT(($D322-$C322+1)+11,"00"),"")&amp;IF($C322&gt;=13,", "&amp;$A322&amp;"-"&amp;TEXT(($D322-$C322+1)+12,"00"),"")&amp;IF($C322&gt;=14,", "&amp;$A322&amp;"-"&amp;TEXT(($D322-$C322+1)+13,"00"),"")&amp;IF($C322&gt;=15,", "&amp;$A322&amp;"-"&amp;TEXT(($D322-$C322+1)+14,"00"),"")&amp;IF($C322&gt;=16,", "&amp;$A322&amp;"-"&amp;TEXT(($D322-$C322+1)+15,"00"),"")&amp;IF($C322&gt;=17,", "&amp;$A322&amp;"-"&amp;TEXT(($D322-$C322+1)+16,"00"),"")&amp;IF($C322&gt;=18,", "&amp;$A322&amp;"-"&amp;TEXT(($D322-$C322+1)+17,"00"),"")&amp;IF($C322&gt;=19,", "&amp;$A322&amp;"-"&amp;TEXT(($D322-$C322+1)+18,"00"),"")&amp;IF($C322&gt;=20,", "&amp;$A322&amp;"-"&amp;TEXT(($D322-$C322+1)+19,"00"),"")&amp;IF($C322&gt;=21,", "&amp;$A322&amp;"-"&amp;TEXT(($D322-$C322+1)+20,"00"),"")&amp;IF($C322&gt;=22,", "&amp;$A322&amp;"-"&amp;TEXT(($D322-$C322+1)+21,"00"),"")&amp;IF($C322&gt;=23,", "&amp;$A322&amp;"-"&amp;TEXT(($D322-$C322+1)+22,"00"),"")&amp;IF($C322&gt;=24,", "&amp;$A322&amp;"-"&amp;TEXT(($D322-$C322+1)+23,"00"),"")&amp;IF($C322&gt;=25,", "&amp;$A322&amp;"-"&amp;TEXT(($D322-$C322+1)+24,"00"),""))</f>
        <v/>
      </c>
      <c r="G322">
        <f>IF($A322="","",IF($E322=1,$F322,IF($F322="",$G321,IF($G321="",$F322,$G321&amp;", "&amp;$F322))))</f>
        <v/>
      </c>
      <c r="H322">
        <f>IF($A322="","",$A322&amp;" ("&amp;$C322&amp;")")</f>
        <v/>
      </c>
      <c r="I322">
        <f>IF($A322="","",IF($E322=1,$H322,$I321&amp;", "&amp;$H322))</f>
        <v/>
      </c>
      <c r="J322">
        <f>IF($A322="","",IF($E322=1,$B322,""))</f>
        <v/>
      </c>
      <c r="K322">
        <f>IF($A322="","",IF(COUNTIF($B$2:$B322,$B322)=COUNTIF($B$2:$B$1601,$B322),$B322,""))</f>
        <v/>
      </c>
    </row>
    <row r="323">
      <c r="A323">
        <f>IF('TMP Paste'!$E323="","",'TMP Paste'!$E323)</f>
        <v/>
      </c>
      <c r="B323">
        <f>IF($A323="","",COUNTIF('TMP Paste'!$B$2:$B323,"?*"))</f>
        <v/>
      </c>
      <c r="C323">
        <f>IF($A323="","",IFERROR('TMP Paste'!$M323*1,0))</f>
        <v/>
      </c>
      <c r="D323">
        <f>IF($A323="","",SUMIF($B$2:$B323,$B323,$C$2:$C323))</f>
        <v/>
      </c>
      <c r="E323">
        <f>IF($A323="",0,IF('TMP Paste'!$B323="",0,1))</f>
        <v/>
      </c>
      <c r="F323">
        <f>IF(OR($A323="",$C323&lt;1),"",$A323&amp;"-"&amp;TEXT(($D323-$C323+1),"00")&amp;IF($C323&gt;=2,", "&amp;$A323&amp;"-"&amp;TEXT(($D323-$C323+1)+1,"00"),"")&amp;IF($C323&gt;=3,", "&amp;$A323&amp;"-"&amp;TEXT(($D323-$C323+1)+2,"00"),"")&amp;IF($C323&gt;=4,", "&amp;$A323&amp;"-"&amp;TEXT(($D323-$C323+1)+3,"00"),"")&amp;IF($C323&gt;=5,", "&amp;$A323&amp;"-"&amp;TEXT(($D323-$C323+1)+4,"00"),"")&amp;IF($C323&gt;=6,", "&amp;$A323&amp;"-"&amp;TEXT(($D323-$C323+1)+5,"00"),"")&amp;IF($C323&gt;=7,", "&amp;$A323&amp;"-"&amp;TEXT(($D323-$C323+1)+6,"00"),"")&amp;IF($C323&gt;=8,", "&amp;$A323&amp;"-"&amp;TEXT(($D323-$C323+1)+7,"00"),"")&amp;IF($C323&gt;=9,", "&amp;$A323&amp;"-"&amp;TEXT(($D323-$C323+1)+8,"00"),"")&amp;IF($C323&gt;=10,", "&amp;$A323&amp;"-"&amp;TEXT(($D323-$C323+1)+9,"00"),"")&amp;IF($C323&gt;=11,", "&amp;$A323&amp;"-"&amp;TEXT(($D323-$C323+1)+10,"00"),"")&amp;IF($C323&gt;=12,", "&amp;$A323&amp;"-"&amp;TEXT(($D323-$C323+1)+11,"00"),"")&amp;IF($C323&gt;=13,", "&amp;$A323&amp;"-"&amp;TEXT(($D323-$C323+1)+12,"00"),"")&amp;IF($C323&gt;=14,", "&amp;$A323&amp;"-"&amp;TEXT(($D323-$C323+1)+13,"00"),"")&amp;IF($C323&gt;=15,", "&amp;$A323&amp;"-"&amp;TEXT(($D323-$C323+1)+14,"00"),"")&amp;IF($C323&gt;=16,", "&amp;$A323&amp;"-"&amp;TEXT(($D323-$C323+1)+15,"00"),"")&amp;IF($C323&gt;=17,", "&amp;$A323&amp;"-"&amp;TEXT(($D323-$C323+1)+16,"00"),"")&amp;IF($C323&gt;=18,", "&amp;$A323&amp;"-"&amp;TEXT(($D323-$C323+1)+17,"00"),"")&amp;IF($C323&gt;=19,", "&amp;$A323&amp;"-"&amp;TEXT(($D323-$C323+1)+18,"00"),"")&amp;IF($C323&gt;=20,", "&amp;$A323&amp;"-"&amp;TEXT(($D323-$C323+1)+19,"00"),"")&amp;IF($C323&gt;=21,", "&amp;$A323&amp;"-"&amp;TEXT(($D323-$C323+1)+20,"00"),"")&amp;IF($C323&gt;=22,", "&amp;$A323&amp;"-"&amp;TEXT(($D323-$C323+1)+21,"00"),"")&amp;IF($C323&gt;=23,", "&amp;$A323&amp;"-"&amp;TEXT(($D323-$C323+1)+22,"00"),"")&amp;IF($C323&gt;=24,", "&amp;$A323&amp;"-"&amp;TEXT(($D323-$C323+1)+23,"00"),"")&amp;IF($C323&gt;=25,", "&amp;$A323&amp;"-"&amp;TEXT(($D323-$C323+1)+24,"00"),""))</f>
        <v/>
      </c>
      <c r="G323">
        <f>IF($A323="","",IF($E323=1,$F323,IF($F323="",$G322,IF($G322="",$F323,$G322&amp;", "&amp;$F323))))</f>
        <v/>
      </c>
      <c r="H323">
        <f>IF($A323="","",$A323&amp;" ("&amp;$C323&amp;")")</f>
        <v/>
      </c>
      <c r="I323">
        <f>IF($A323="","",IF($E323=1,$H323,$I322&amp;", "&amp;$H323))</f>
        <v/>
      </c>
      <c r="J323">
        <f>IF($A323="","",IF($E323=1,$B323,""))</f>
        <v/>
      </c>
      <c r="K323">
        <f>IF($A323="","",IF(COUNTIF($B$2:$B323,$B323)=COUNTIF($B$2:$B$1601,$B323),$B323,""))</f>
        <v/>
      </c>
    </row>
    <row r="324">
      <c r="A324">
        <f>IF('TMP Paste'!$E324="","",'TMP Paste'!$E324)</f>
        <v/>
      </c>
      <c r="B324">
        <f>IF($A324="","",COUNTIF('TMP Paste'!$B$2:$B324,"?*"))</f>
        <v/>
      </c>
      <c r="C324">
        <f>IF($A324="","",IFERROR('TMP Paste'!$M324*1,0))</f>
        <v/>
      </c>
      <c r="D324">
        <f>IF($A324="","",SUMIF($B$2:$B324,$B324,$C$2:$C324))</f>
        <v/>
      </c>
      <c r="E324">
        <f>IF($A324="",0,IF('TMP Paste'!$B324="",0,1))</f>
        <v/>
      </c>
      <c r="F324">
        <f>IF(OR($A324="",$C324&lt;1),"",$A324&amp;"-"&amp;TEXT(($D324-$C324+1),"00")&amp;IF($C324&gt;=2,", "&amp;$A324&amp;"-"&amp;TEXT(($D324-$C324+1)+1,"00"),"")&amp;IF($C324&gt;=3,", "&amp;$A324&amp;"-"&amp;TEXT(($D324-$C324+1)+2,"00"),"")&amp;IF($C324&gt;=4,", "&amp;$A324&amp;"-"&amp;TEXT(($D324-$C324+1)+3,"00"),"")&amp;IF($C324&gt;=5,", "&amp;$A324&amp;"-"&amp;TEXT(($D324-$C324+1)+4,"00"),"")&amp;IF($C324&gt;=6,", "&amp;$A324&amp;"-"&amp;TEXT(($D324-$C324+1)+5,"00"),"")&amp;IF($C324&gt;=7,", "&amp;$A324&amp;"-"&amp;TEXT(($D324-$C324+1)+6,"00"),"")&amp;IF($C324&gt;=8,", "&amp;$A324&amp;"-"&amp;TEXT(($D324-$C324+1)+7,"00"),"")&amp;IF($C324&gt;=9,", "&amp;$A324&amp;"-"&amp;TEXT(($D324-$C324+1)+8,"00"),"")&amp;IF($C324&gt;=10,", "&amp;$A324&amp;"-"&amp;TEXT(($D324-$C324+1)+9,"00"),"")&amp;IF($C324&gt;=11,", "&amp;$A324&amp;"-"&amp;TEXT(($D324-$C324+1)+10,"00"),"")&amp;IF($C324&gt;=12,", "&amp;$A324&amp;"-"&amp;TEXT(($D324-$C324+1)+11,"00"),"")&amp;IF($C324&gt;=13,", "&amp;$A324&amp;"-"&amp;TEXT(($D324-$C324+1)+12,"00"),"")&amp;IF($C324&gt;=14,", "&amp;$A324&amp;"-"&amp;TEXT(($D324-$C324+1)+13,"00"),"")&amp;IF($C324&gt;=15,", "&amp;$A324&amp;"-"&amp;TEXT(($D324-$C324+1)+14,"00"),"")&amp;IF($C324&gt;=16,", "&amp;$A324&amp;"-"&amp;TEXT(($D324-$C324+1)+15,"00"),"")&amp;IF($C324&gt;=17,", "&amp;$A324&amp;"-"&amp;TEXT(($D324-$C324+1)+16,"00"),"")&amp;IF($C324&gt;=18,", "&amp;$A324&amp;"-"&amp;TEXT(($D324-$C324+1)+17,"00"),"")&amp;IF($C324&gt;=19,", "&amp;$A324&amp;"-"&amp;TEXT(($D324-$C324+1)+18,"00"),"")&amp;IF($C324&gt;=20,", "&amp;$A324&amp;"-"&amp;TEXT(($D324-$C324+1)+19,"00"),"")&amp;IF($C324&gt;=21,", "&amp;$A324&amp;"-"&amp;TEXT(($D324-$C324+1)+20,"00"),"")&amp;IF($C324&gt;=22,", "&amp;$A324&amp;"-"&amp;TEXT(($D324-$C324+1)+21,"00"),"")&amp;IF($C324&gt;=23,", "&amp;$A324&amp;"-"&amp;TEXT(($D324-$C324+1)+22,"00"),"")&amp;IF($C324&gt;=24,", "&amp;$A324&amp;"-"&amp;TEXT(($D324-$C324+1)+23,"00"),"")&amp;IF($C324&gt;=25,", "&amp;$A324&amp;"-"&amp;TEXT(($D324-$C324+1)+24,"00"),""))</f>
        <v/>
      </c>
      <c r="G324">
        <f>IF($A324="","",IF($E324=1,$F324,IF($F324="",$G323,IF($G323="",$F324,$G323&amp;", "&amp;$F324))))</f>
        <v/>
      </c>
      <c r="H324">
        <f>IF($A324="","",$A324&amp;" ("&amp;$C324&amp;")")</f>
        <v/>
      </c>
      <c r="I324">
        <f>IF($A324="","",IF($E324=1,$H324,$I323&amp;", "&amp;$H324))</f>
        <v/>
      </c>
      <c r="J324">
        <f>IF($A324="","",IF($E324=1,$B324,""))</f>
        <v/>
      </c>
      <c r="K324">
        <f>IF($A324="","",IF(COUNTIF($B$2:$B324,$B324)=COUNTIF($B$2:$B$1601,$B324),$B324,""))</f>
        <v/>
      </c>
    </row>
    <row r="325">
      <c r="A325">
        <f>IF('TMP Paste'!$E325="","",'TMP Paste'!$E325)</f>
        <v/>
      </c>
      <c r="B325">
        <f>IF($A325="","",COUNTIF('TMP Paste'!$B$2:$B325,"?*"))</f>
        <v/>
      </c>
      <c r="C325">
        <f>IF($A325="","",IFERROR('TMP Paste'!$M325*1,0))</f>
        <v/>
      </c>
      <c r="D325">
        <f>IF($A325="","",SUMIF($B$2:$B325,$B325,$C$2:$C325))</f>
        <v/>
      </c>
      <c r="E325">
        <f>IF($A325="",0,IF('TMP Paste'!$B325="",0,1))</f>
        <v/>
      </c>
      <c r="F325">
        <f>IF(OR($A325="",$C325&lt;1),"",$A325&amp;"-"&amp;TEXT(($D325-$C325+1),"00")&amp;IF($C325&gt;=2,", "&amp;$A325&amp;"-"&amp;TEXT(($D325-$C325+1)+1,"00"),"")&amp;IF($C325&gt;=3,", "&amp;$A325&amp;"-"&amp;TEXT(($D325-$C325+1)+2,"00"),"")&amp;IF($C325&gt;=4,", "&amp;$A325&amp;"-"&amp;TEXT(($D325-$C325+1)+3,"00"),"")&amp;IF($C325&gt;=5,", "&amp;$A325&amp;"-"&amp;TEXT(($D325-$C325+1)+4,"00"),"")&amp;IF($C325&gt;=6,", "&amp;$A325&amp;"-"&amp;TEXT(($D325-$C325+1)+5,"00"),"")&amp;IF($C325&gt;=7,", "&amp;$A325&amp;"-"&amp;TEXT(($D325-$C325+1)+6,"00"),"")&amp;IF($C325&gt;=8,", "&amp;$A325&amp;"-"&amp;TEXT(($D325-$C325+1)+7,"00"),"")&amp;IF($C325&gt;=9,", "&amp;$A325&amp;"-"&amp;TEXT(($D325-$C325+1)+8,"00"),"")&amp;IF($C325&gt;=10,", "&amp;$A325&amp;"-"&amp;TEXT(($D325-$C325+1)+9,"00"),"")&amp;IF($C325&gt;=11,", "&amp;$A325&amp;"-"&amp;TEXT(($D325-$C325+1)+10,"00"),"")&amp;IF($C325&gt;=12,", "&amp;$A325&amp;"-"&amp;TEXT(($D325-$C325+1)+11,"00"),"")&amp;IF($C325&gt;=13,", "&amp;$A325&amp;"-"&amp;TEXT(($D325-$C325+1)+12,"00"),"")&amp;IF($C325&gt;=14,", "&amp;$A325&amp;"-"&amp;TEXT(($D325-$C325+1)+13,"00"),"")&amp;IF($C325&gt;=15,", "&amp;$A325&amp;"-"&amp;TEXT(($D325-$C325+1)+14,"00"),"")&amp;IF($C325&gt;=16,", "&amp;$A325&amp;"-"&amp;TEXT(($D325-$C325+1)+15,"00"),"")&amp;IF($C325&gt;=17,", "&amp;$A325&amp;"-"&amp;TEXT(($D325-$C325+1)+16,"00"),"")&amp;IF($C325&gt;=18,", "&amp;$A325&amp;"-"&amp;TEXT(($D325-$C325+1)+17,"00"),"")&amp;IF($C325&gt;=19,", "&amp;$A325&amp;"-"&amp;TEXT(($D325-$C325+1)+18,"00"),"")&amp;IF($C325&gt;=20,", "&amp;$A325&amp;"-"&amp;TEXT(($D325-$C325+1)+19,"00"),"")&amp;IF($C325&gt;=21,", "&amp;$A325&amp;"-"&amp;TEXT(($D325-$C325+1)+20,"00"),"")&amp;IF($C325&gt;=22,", "&amp;$A325&amp;"-"&amp;TEXT(($D325-$C325+1)+21,"00"),"")&amp;IF($C325&gt;=23,", "&amp;$A325&amp;"-"&amp;TEXT(($D325-$C325+1)+22,"00"),"")&amp;IF($C325&gt;=24,", "&amp;$A325&amp;"-"&amp;TEXT(($D325-$C325+1)+23,"00"),"")&amp;IF($C325&gt;=25,", "&amp;$A325&amp;"-"&amp;TEXT(($D325-$C325+1)+24,"00"),""))</f>
        <v/>
      </c>
      <c r="G325">
        <f>IF($A325="","",IF($E325=1,$F325,IF($F325="",$G324,IF($G324="",$F325,$G324&amp;", "&amp;$F325))))</f>
        <v/>
      </c>
      <c r="H325">
        <f>IF($A325="","",$A325&amp;" ("&amp;$C325&amp;")")</f>
        <v/>
      </c>
      <c r="I325">
        <f>IF($A325="","",IF($E325=1,$H325,$I324&amp;", "&amp;$H325))</f>
        <v/>
      </c>
      <c r="J325">
        <f>IF($A325="","",IF($E325=1,$B325,""))</f>
        <v/>
      </c>
      <c r="K325">
        <f>IF($A325="","",IF(COUNTIF($B$2:$B325,$B325)=COUNTIF($B$2:$B$1601,$B325),$B325,""))</f>
        <v/>
      </c>
    </row>
    <row r="326">
      <c r="A326">
        <f>IF('TMP Paste'!$E326="","",'TMP Paste'!$E326)</f>
        <v/>
      </c>
      <c r="B326">
        <f>IF($A326="","",COUNTIF('TMP Paste'!$B$2:$B326,"?*"))</f>
        <v/>
      </c>
      <c r="C326">
        <f>IF($A326="","",IFERROR('TMP Paste'!$M326*1,0))</f>
        <v/>
      </c>
      <c r="D326">
        <f>IF($A326="","",SUMIF($B$2:$B326,$B326,$C$2:$C326))</f>
        <v/>
      </c>
      <c r="E326">
        <f>IF($A326="",0,IF('TMP Paste'!$B326="",0,1))</f>
        <v/>
      </c>
      <c r="F326">
        <f>IF(OR($A326="",$C326&lt;1),"",$A326&amp;"-"&amp;TEXT(($D326-$C326+1),"00")&amp;IF($C326&gt;=2,", "&amp;$A326&amp;"-"&amp;TEXT(($D326-$C326+1)+1,"00"),"")&amp;IF($C326&gt;=3,", "&amp;$A326&amp;"-"&amp;TEXT(($D326-$C326+1)+2,"00"),"")&amp;IF($C326&gt;=4,", "&amp;$A326&amp;"-"&amp;TEXT(($D326-$C326+1)+3,"00"),"")&amp;IF($C326&gt;=5,", "&amp;$A326&amp;"-"&amp;TEXT(($D326-$C326+1)+4,"00"),"")&amp;IF($C326&gt;=6,", "&amp;$A326&amp;"-"&amp;TEXT(($D326-$C326+1)+5,"00"),"")&amp;IF($C326&gt;=7,", "&amp;$A326&amp;"-"&amp;TEXT(($D326-$C326+1)+6,"00"),"")&amp;IF($C326&gt;=8,", "&amp;$A326&amp;"-"&amp;TEXT(($D326-$C326+1)+7,"00"),"")&amp;IF($C326&gt;=9,", "&amp;$A326&amp;"-"&amp;TEXT(($D326-$C326+1)+8,"00"),"")&amp;IF($C326&gt;=10,", "&amp;$A326&amp;"-"&amp;TEXT(($D326-$C326+1)+9,"00"),"")&amp;IF($C326&gt;=11,", "&amp;$A326&amp;"-"&amp;TEXT(($D326-$C326+1)+10,"00"),"")&amp;IF($C326&gt;=12,", "&amp;$A326&amp;"-"&amp;TEXT(($D326-$C326+1)+11,"00"),"")&amp;IF($C326&gt;=13,", "&amp;$A326&amp;"-"&amp;TEXT(($D326-$C326+1)+12,"00"),"")&amp;IF($C326&gt;=14,", "&amp;$A326&amp;"-"&amp;TEXT(($D326-$C326+1)+13,"00"),"")&amp;IF($C326&gt;=15,", "&amp;$A326&amp;"-"&amp;TEXT(($D326-$C326+1)+14,"00"),"")&amp;IF($C326&gt;=16,", "&amp;$A326&amp;"-"&amp;TEXT(($D326-$C326+1)+15,"00"),"")&amp;IF($C326&gt;=17,", "&amp;$A326&amp;"-"&amp;TEXT(($D326-$C326+1)+16,"00"),"")&amp;IF($C326&gt;=18,", "&amp;$A326&amp;"-"&amp;TEXT(($D326-$C326+1)+17,"00"),"")&amp;IF($C326&gt;=19,", "&amp;$A326&amp;"-"&amp;TEXT(($D326-$C326+1)+18,"00"),"")&amp;IF($C326&gt;=20,", "&amp;$A326&amp;"-"&amp;TEXT(($D326-$C326+1)+19,"00"),"")&amp;IF($C326&gt;=21,", "&amp;$A326&amp;"-"&amp;TEXT(($D326-$C326+1)+20,"00"),"")&amp;IF($C326&gt;=22,", "&amp;$A326&amp;"-"&amp;TEXT(($D326-$C326+1)+21,"00"),"")&amp;IF($C326&gt;=23,", "&amp;$A326&amp;"-"&amp;TEXT(($D326-$C326+1)+22,"00"),"")&amp;IF($C326&gt;=24,", "&amp;$A326&amp;"-"&amp;TEXT(($D326-$C326+1)+23,"00"),"")&amp;IF($C326&gt;=25,", "&amp;$A326&amp;"-"&amp;TEXT(($D326-$C326+1)+24,"00"),""))</f>
        <v/>
      </c>
      <c r="G326">
        <f>IF($A326="","",IF($E326=1,$F326,IF($F326="",$G325,IF($G325="",$F326,$G325&amp;", "&amp;$F326))))</f>
        <v/>
      </c>
      <c r="H326">
        <f>IF($A326="","",$A326&amp;" ("&amp;$C326&amp;")")</f>
        <v/>
      </c>
      <c r="I326">
        <f>IF($A326="","",IF($E326=1,$H326,$I325&amp;", "&amp;$H326))</f>
        <v/>
      </c>
      <c r="J326">
        <f>IF($A326="","",IF($E326=1,$B326,""))</f>
        <v/>
      </c>
      <c r="K326">
        <f>IF($A326="","",IF(COUNTIF($B$2:$B326,$B326)=COUNTIF($B$2:$B$1601,$B326),$B326,""))</f>
        <v/>
      </c>
    </row>
    <row r="327">
      <c r="A327">
        <f>IF('TMP Paste'!$E327="","",'TMP Paste'!$E327)</f>
        <v/>
      </c>
      <c r="B327">
        <f>IF($A327="","",COUNTIF('TMP Paste'!$B$2:$B327,"?*"))</f>
        <v/>
      </c>
      <c r="C327">
        <f>IF($A327="","",IFERROR('TMP Paste'!$M327*1,0))</f>
        <v/>
      </c>
      <c r="D327">
        <f>IF($A327="","",SUMIF($B$2:$B327,$B327,$C$2:$C327))</f>
        <v/>
      </c>
      <c r="E327">
        <f>IF($A327="",0,IF('TMP Paste'!$B327="",0,1))</f>
        <v/>
      </c>
      <c r="F327">
        <f>IF(OR($A327="",$C327&lt;1),"",$A327&amp;"-"&amp;TEXT(($D327-$C327+1),"00")&amp;IF($C327&gt;=2,", "&amp;$A327&amp;"-"&amp;TEXT(($D327-$C327+1)+1,"00"),"")&amp;IF($C327&gt;=3,", "&amp;$A327&amp;"-"&amp;TEXT(($D327-$C327+1)+2,"00"),"")&amp;IF($C327&gt;=4,", "&amp;$A327&amp;"-"&amp;TEXT(($D327-$C327+1)+3,"00"),"")&amp;IF($C327&gt;=5,", "&amp;$A327&amp;"-"&amp;TEXT(($D327-$C327+1)+4,"00"),"")&amp;IF($C327&gt;=6,", "&amp;$A327&amp;"-"&amp;TEXT(($D327-$C327+1)+5,"00"),"")&amp;IF($C327&gt;=7,", "&amp;$A327&amp;"-"&amp;TEXT(($D327-$C327+1)+6,"00"),"")&amp;IF($C327&gt;=8,", "&amp;$A327&amp;"-"&amp;TEXT(($D327-$C327+1)+7,"00"),"")&amp;IF($C327&gt;=9,", "&amp;$A327&amp;"-"&amp;TEXT(($D327-$C327+1)+8,"00"),"")&amp;IF($C327&gt;=10,", "&amp;$A327&amp;"-"&amp;TEXT(($D327-$C327+1)+9,"00"),"")&amp;IF($C327&gt;=11,", "&amp;$A327&amp;"-"&amp;TEXT(($D327-$C327+1)+10,"00"),"")&amp;IF($C327&gt;=12,", "&amp;$A327&amp;"-"&amp;TEXT(($D327-$C327+1)+11,"00"),"")&amp;IF($C327&gt;=13,", "&amp;$A327&amp;"-"&amp;TEXT(($D327-$C327+1)+12,"00"),"")&amp;IF($C327&gt;=14,", "&amp;$A327&amp;"-"&amp;TEXT(($D327-$C327+1)+13,"00"),"")&amp;IF($C327&gt;=15,", "&amp;$A327&amp;"-"&amp;TEXT(($D327-$C327+1)+14,"00"),"")&amp;IF($C327&gt;=16,", "&amp;$A327&amp;"-"&amp;TEXT(($D327-$C327+1)+15,"00"),"")&amp;IF($C327&gt;=17,", "&amp;$A327&amp;"-"&amp;TEXT(($D327-$C327+1)+16,"00"),"")&amp;IF($C327&gt;=18,", "&amp;$A327&amp;"-"&amp;TEXT(($D327-$C327+1)+17,"00"),"")&amp;IF($C327&gt;=19,", "&amp;$A327&amp;"-"&amp;TEXT(($D327-$C327+1)+18,"00"),"")&amp;IF($C327&gt;=20,", "&amp;$A327&amp;"-"&amp;TEXT(($D327-$C327+1)+19,"00"),"")&amp;IF($C327&gt;=21,", "&amp;$A327&amp;"-"&amp;TEXT(($D327-$C327+1)+20,"00"),"")&amp;IF($C327&gt;=22,", "&amp;$A327&amp;"-"&amp;TEXT(($D327-$C327+1)+21,"00"),"")&amp;IF($C327&gt;=23,", "&amp;$A327&amp;"-"&amp;TEXT(($D327-$C327+1)+22,"00"),"")&amp;IF($C327&gt;=24,", "&amp;$A327&amp;"-"&amp;TEXT(($D327-$C327+1)+23,"00"),"")&amp;IF($C327&gt;=25,", "&amp;$A327&amp;"-"&amp;TEXT(($D327-$C327+1)+24,"00"),""))</f>
        <v/>
      </c>
      <c r="G327">
        <f>IF($A327="","",IF($E327=1,$F327,IF($F327="",$G326,IF($G326="",$F327,$G326&amp;", "&amp;$F327))))</f>
        <v/>
      </c>
      <c r="H327">
        <f>IF($A327="","",$A327&amp;" ("&amp;$C327&amp;")")</f>
        <v/>
      </c>
      <c r="I327">
        <f>IF($A327="","",IF($E327=1,$H327,$I326&amp;", "&amp;$H327))</f>
        <v/>
      </c>
      <c r="J327">
        <f>IF($A327="","",IF($E327=1,$B327,""))</f>
        <v/>
      </c>
      <c r="K327">
        <f>IF($A327="","",IF(COUNTIF($B$2:$B327,$B327)=COUNTIF($B$2:$B$1601,$B327),$B327,""))</f>
        <v/>
      </c>
    </row>
    <row r="328">
      <c r="A328">
        <f>IF('TMP Paste'!$E328="","",'TMP Paste'!$E328)</f>
        <v/>
      </c>
      <c r="B328">
        <f>IF($A328="","",COUNTIF('TMP Paste'!$B$2:$B328,"?*"))</f>
        <v/>
      </c>
      <c r="C328">
        <f>IF($A328="","",IFERROR('TMP Paste'!$M328*1,0))</f>
        <v/>
      </c>
      <c r="D328">
        <f>IF($A328="","",SUMIF($B$2:$B328,$B328,$C$2:$C328))</f>
        <v/>
      </c>
      <c r="E328">
        <f>IF($A328="",0,IF('TMP Paste'!$B328="",0,1))</f>
        <v/>
      </c>
      <c r="F328">
        <f>IF(OR($A328="",$C328&lt;1),"",$A328&amp;"-"&amp;TEXT(($D328-$C328+1),"00")&amp;IF($C328&gt;=2,", "&amp;$A328&amp;"-"&amp;TEXT(($D328-$C328+1)+1,"00"),"")&amp;IF($C328&gt;=3,", "&amp;$A328&amp;"-"&amp;TEXT(($D328-$C328+1)+2,"00"),"")&amp;IF($C328&gt;=4,", "&amp;$A328&amp;"-"&amp;TEXT(($D328-$C328+1)+3,"00"),"")&amp;IF($C328&gt;=5,", "&amp;$A328&amp;"-"&amp;TEXT(($D328-$C328+1)+4,"00"),"")&amp;IF($C328&gt;=6,", "&amp;$A328&amp;"-"&amp;TEXT(($D328-$C328+1)+5,"00"),"")&amp;IF($C328&gt;=7,", "&amp;$A328&amp;"-"&amp;TEXT(($D328-$C328+1)+6,"00"),"")&amp;IF($C328&gt;=8,", "&amp;$A328&amp;"-"&amp;TEXT(($D328-$C328+1)+7,"00"),"")&amp;IF($C328&gt;=9,", "&amp;$A328&amp;"-"&amp;TEXT(($D328-$C328+1)+8,"00"),"")&amp;IF($C328&gt;=10,", "&amp;$A328&amp;"-"&amp;TEXT(($D328-$C328+1)+9,"00"),"")&amp;IF($C328&gt;=11,", "&amp;$A328&amp;"-"&amp;TEXT(($D328-$C328+1)+10,"00"),"")&amp;IF($C328&gt;=12,", "&amp;$A328&amp;"-"&amp;TEXT(($D328-$C328+1)+11,"00"),"")&amp;IF($C328&gt;=13,", "&amp;$A328&amp;"-"&amp;TEXT(($D328-$C328+1)+12,"00"),"")&amp;IF($C328&gt;=14,", "&amp;$A328&amp;"-"&amp;TEXT(($D328-$C328+1)+13,"00"),"")&amp;IF($C328&gt;=15,", "&amp;$A328&amp;"-"&amp;TEXT(($D328-$C328+1)+14,"00"),"")&amp;IF($C328&gt;=16,", "&amp;$A328&amp;"-"&amp;TEXT(($D328-$C328+1)+15,"00"),"")&amp;IF($C328&gt;=17,", "&amp;$A328&amp;"-"&amp;TEXT(($D328-$C328+1)+16,"00"),"")&amp;IF($C328&gt;=18,", "&amp;$A328&amp;"-"&amp;TEXT(($D328-$C328+1)+17,"00"),"")&amp;IF($C328&gt;=19,", "&amp;$A328&amp;"-"&amp;TEXT(($D328-$C328+1)+18,"00"),"")&amp;IF($C328&gt;=20,", "&amp;$A328&amp;"-"&amp;TEXT(($D328-$C328+1)+19,"00"),"")&amp;IF($C328&gt;=21,", "&amp;$A328&amp;"-"&amp;TEXT(($D328-$C328+1)+20,"00"),"")&amp;IF($C328&gt;=22,", "&amp;$A328&amp;"-"&amp;TEXT(($D328-$C328+1)+21,"00"),"")&amp;IF($C328&gt;=23,", "&amp;$A328&amp;"-"&amp;TEXT(($D328-$C328+1)+22,"00"),"")&amp;IF($C328&gt;=24,", "&amp;$A328&amp;"-"&amp;TEXT(($D328-$C328+1)+23,"00"),"")&amp;IF($C328&gt;=25,", "&amp;$A328&amp;"-"&amp;TEXT(($D328-$C328+1)+24,"00"),""))</f>
        <v/>
      </c>
      <c r="G328">
        <f>IF($A328="","",IF($E328=1,$F328,IF($F328="",$G327,IF($G327="",$F328,$G327&amp;", "&amp;$F328))))</f>
        <v/>
      </c>
      <c r="H328">
        <f>IF($A328="","",$A328&amp;" ("&amp;$C328&amp;")")</f>
        <v/>
      </c>
      <c r="I328">
        <f>IF($A328="","",IF($E328=1,$H328,$I327&amp;", "&amp;$H328))</f>
        <v/>
      </c>
      <c r="J328">
        <f>IF($A328="","",IF($E328=1,$B328,""))</f>
        <v/>
      </c>
      <c r="K328">
        <f>IF($A328="","",IF(COUNTIF($B$2:$B328,$B328)=COUNTIF($B$2:$B$1601,$B328),$B328,""))</f>
        <v/>
      </c>
    </row>
    <row r="329">
      <c r="A329">
        <f>IF('TMP Paste'!$E329="","",'TMP Paste'!$E329)</f>
        <v/>
      </c>
      <c r="B329">
        <f>IF($A329="","",COUNTIF('TMP Paste'!$B$2:$B329,"?*"))</f>
        <v/>
      </c>
      <c r="C329">
        <f>IF($A329="","",IFERROR('TMP Paste'!$M329*1,0))</f>
        <v/>
      </c>
      <c r="D329">
        <f>IF($A329="","",SUMIF($B$2:$B329,$B329,$C$2:$C329))</f>
        <v/>
      </c>
      <c r="E329">
        <f>IF($A329="",0,IF('TMP Paste'!$B329="",0,1))</f>
        <v/>
      </c>
      <c r="F329">
        <f>IF(OR($A329="",$C329&lt;1),"",$A329&amp;"-"&amp;TEXT(($D329-$C329+1),"00")&amp;IF($C329&gt;=2,", "&amp;$A329&amp;"-"&amp;TEXT(($D329-$C329+1)+1,"00"),"")&amp;IF($C329&gt;=3,", "&amp;$A329&amp;"-"&amp;TEXT(($D329-$C329+1)+2,"00"),"")&amp;IF($C329&gt;=4,", "&amp;$A329&amp;"-"&amp;TEXT(($D329-$C329+1)+3,"00"),"")&amp;IF($C329&gt;=5,", "&amp;$A329&amp;"-"&amp;TEXT(($D329-$C329+1)+4,"00"),"")&amp;IF($C329&gt;=6,", "&amp;$A329&amp;"-"&amp;TEXT(($D329-$C329+1)+5,"00"),"")&amp;IF($C329&gt;=7,", "&amp;$A329&amp;"-"&amp;TEXT(($D329-$C329+1)+6,"00"),"")&amp;IF($C329&gt;=8,", "&amp;$A329&amp;"-"&amp;TEXT(($D329-$C329+1)+7,"00"),"")&amp;IF($C329&gt;=9,", "&amp;$A329&amp;"-"&amp;TEXT(($D329-$C329+1)+8,"00"),"")&amp;IF($C329&gt;=10,", "&amp;$A329&amp;"-"&amp;TEXT(($D329-$C329+1)+9,"00"),"")&amp;IF($C329&gt;=11,", "&amp;$A329&amp;"-"&amp;TEXT(($D329-$C329+1)+10,"00"),"")&amp;IF($C329&gt;=12,", "&amp;$A329&amp;"-"&amp;TEXT(($D329-$C329+1)+11,"00"),"")&amp;IF($C329&gt;=13,", "&amp;$A329&amp;"-"&amp;TEXT(($D329-$C329+1)+12,"00"),"")&amp;IF($C329&gt;=14,", "&amp;$A329&amp;"-"&amp;TEXT(($D329-$C329+1)+13,"00"),"")&amp;IF($C329&gt;=15,", "&amp;$A329&amp;"-"&amp;TEXT(($D329-$C329+1)+14,"00"),"")&amp;IF($C329&gt;=16,", "&amp;$A329&amp;"-"&amp;TEXT(($D329-$C329+1)+15,"00"),"")&amp;IF($C329&gt;=17,", "&amp;$A329&amp;"-"&amp;TEXT(($D329-$C329+1)+16,"00"),"")&amp;IF($C329&gt;=18,", "&amp;$A329&amp;"-"&amp;TEXT(($D329-$C329+1)+17,"00"),"")&amp;IF($C329&gt;=19,", "&amp;$A329&amp;"-"&amp;TEXT(($D329-$C329+1)+18,"00"),"")&amp;IF($C329&gt;=20,", "&amp;$A329&amp;"-"&amp;TEXT(($D329-$C329+1)+19,"00"),"")&amp;IF($C329&gt;=21,", "&amp;$A329&amp;"-"&amp;TEXT(($D329-$C329+1)+20,"00"),"")&amp;IF($C329&gt;=22,", "&amp;$A329&amp;"-"&amp;TEXT(($D329-$C329+1)+21,"00"),"")&amp;IF($C329&gt;=23,", "&amp;$A329&amp;"-"&amp;TEXT(($D329-$C329+1)+22,"00"),"")&amp;IF($C329&gt;=24,", "&amp;$A329&amp;"-"&amp;TEXT(($D329-$C329+1)+23,"00"),"")&amp;IF($C329&gt;=25,", "&amp;$A329&amp;"-"&amp;TEXT(($D329-$C329+1)+24,"00"),""))</f>
        <v/>
      </c>
      <c r="G329">
        <f>IF($A329="","",IF($E329=1,$F329,IF($F329="",$G328,IF($G328="",$F329,$G328&amp;", "&amp;$F329))))</f>
        <v/>
      </c>
      <c r="H329">
        <f>IF($A329="","",$A329&amp;" ("&amp;$C329&amp;")")</f>
        <v/>
      </c>
      <c r="I329">
        <f>IF($A329="","",IF($E329=1,$H329,$I328&amp;", "&amp;$H329))</f>
        <v/>
      </c>
      <c r="J329">
        <f>IF($A329="","",IF($E329=1,$B329,""))</f>
        <v/>
      </c>
      <c r="K329">
        <f>IF($A329="","",IF(COUNTIF($B$2:$B329,$B329)=COUNTIF($B$2:$B$1601,$B329),$B329,""))</f>
        <v/>
      </c>
    </row>
    <row r="330">
      <c r="A330">
        <f>IF('TMP Paste'!$E330="","",'TMP Paste'!$E330)</f>
        <v/>
      </c>
      <c r="B330">
        <f>IF($A330="","",COUNTIF('TMP Paste'!$B$2:$B330,"?*"))</f>
        <v/>
      </c>
      <c r="C330">
        <f>IF($A330="","",IFERROR('TMP Paste'!$M330*1,0))</f>
        <v/>
      </c>
      <c r="D330">
        <f>IF($A330="","",SUMIF($B$2:$B330,$B330,$C$2:$C330))</f>
        <v/>
      </c>
      <c r="E330">
        <f>IF($A330="",0,IF('TMP Paste'!$B330="",0,1))</f>
        <v/>
      </c>
      <c r="F330">
        <f>IF(OR($A330="",$C330&lt;1),"",$A330&amp;"-"&amp;TEXT(($D330-$C330+1),"00")&amp;IF($C330&gt;=2,", "&amp;$A330&amp;"-"&amp;TEXT(($D330-$C330+1)+1,"00"),"")&amp;IF($C330&gt;=3,", "&amp;$A330&amp;"-"&amp;TEXT(($D330-$C330+1)+2,"00"),"")&amp;IF($C330&gt;=4,", "&amp;$A330&amp;"-"&amp;TEXT(($D330-$C330+1)+3,"00"),"")&amp;IF($C330&gt;=5,", "&amp;$A330&amp;"-"&amp;TEXT(($D330-$C330+1)+4,"00"),"")&amp;IF($C330&gt;=6,", "&amp;$A330&amp;"-"&amp;TEXT(($D330-$C330+1)+5,"00"),"")&amp;IF($C330&gt;=7,", "&amp;$A330&amp;"-"&amp;TEXT(($D330-$C330+1)+6,"00"),"")&amp;IF($C330&gt;=8,", "&amp;$A330&amp;"-"&amp;TEXT(($D330-$C330+1)+7,"00"),"")&amp;IF($C330&gt;=9,", "&amp;$A330&amp;"-"&amp;TEXT(($D330-$C330+1)+8,"00"),"")&amp;IF($C330&gt;=10,", "&amp;$A330&amp;"-"&amp;TEXT(($D330-$C330+1)+9,"00"),"")&amp;IF($C330&gt;=11,", "&amp;$A330&amp;"-"&amp;TEXT(($D330-$C330+1)+10,"00"),"")&amp;IF($C330&gt;=12,", "&amp;$A330&amp;"-"&amp;TEXT(($D330-$C330+1)+11,"00"),"")&amp;IF($C330&gt;=13,", "&amp;$A330&amp;"-"&amp;TEXT(($D330-$C330+1)+12,"00"),"")&amp;IF($C330&gt;=14,", "&amp;$A330&amp;"-"&amp;TEXT(($D330-$C330+1)+13,"00"),"")&amp;IF($C330&gt;=15,", "&amp;$A330&amp;"-"&amp;TEXT(($D330-$C330+1)+14,"00"),"")&amp;IF($C330&gt;=16,", "&amp;$A330&amp;"-"&amp;TEXT(($D330-$C330+1)+15,"00"),"")&amp;IF($C330&gt;=17,", "&amp;$A330&amp;"-"&amp;TEXT(($D330-$C330+1)+16,"00"),"")&amp;IF($C330&gt;=18,", "&amp;$A330&amp;"-"&amp;TEXT(($D330-$C330+1)+17,"00"),"")&amp;IF($C330&gt;=19,", "&amp;$A330&amp;"-"&amp;TEXT(($D330-$C330+1)+18,"00"),"")&amp;IF($C330&gt;=20,", "&amp;$A330&amp;"-"&amp;TEXT(($D330-$C330+1)+19,"00"),"")&amp;IF($C330&gt;=21,", "&amp;$A330&amp;"-"&amp;TEXT(($D330-$C330+1)+20,"00"),"")&amp;IF($C330&gt;=22,", "&amp;$A330&amp;"-"&amp;TEXT(($D330-$C330+1)+21,"00"),"")&amp;IF($C330&gt;=23,", "&amp;$A330&amp;"-"&amp;TEXT(($D330-$C330+1)+22,"00"),"")&amp;IF($C330&gt;=24,", "&amp;$A330&amp;"-"&amp;TEXT(($D330-$C330+1)+23,"00"),"")&amp;IF($C330&gt;=25,", "&amp;$A330&amp;"-"&amp;TEXT(($D330-$C330+1)+24,"00"),""))</f>
        <v/>
      </c>
      <c r="G330">
        <f>IF($A330="","",IF($E330=1,$F330,IF($F330="",$G329,IF($G329="",$F330,$G329&amp;", "&amp;$F330))))</f>
        <v/>
      </c>
      <c r="H330">
        <f>IF($A330="","",$A330&amp;" ("&amp;$C330&amp;")")</f>
        <v/>
      </c>
      <c r="I330">
        <f>IF($A330="","",IF($E330=1,$H330,$I329&amp;", "&amp;$H330))</f>
        <v/>
      </c>
      <c r="J330">
        <f>IF($A330="","",IF($E330=1,$B330,""))</f>
        <v/>
      </c>
      <c r="K330">
        <f>IF($A330="","",IF(COUNTIF($B$2:$B330,$B330)=COUNTIF($B$2:$B$1601,$B330),$B330,""))</f>
        <v/>
      </c>
    </row>
    <row r="331">
      <c r="A331">
        <f>IF('TMP Paste'!$E331="","",'TMP Paste'!$E331)</f>
        <v/>
      </c>
      <c r="B331">
        <f>IF($A331="","",COUNTIF('TMP Paste'!$B$2:$B331,"?*"))</f>
        <v/>
      </c>
      <c r="C331">
        <f>IF($A331="","",IFERROR('TMP Paste'!$M331*1,0))</f>
        <v/>
      </c>
      <c r="D331">
        <f>IF($A331="","",SUMIF($B$2:$B331,$B331,$C$2:$C331))</f>
        <v/>
      </c>
      <c r="E331">
        <f>IF($A331="",0,IF('TMP Paste'!$B331="",0,1))</f>
        <v/>
      </c>
      <c r="F331">
        <f>IF(OR($A331="",$C331&lt;1),"",$A331&amp;"-"&amp;TEXT(($D331-$C331+1),"00")&amp;IF($C331&gt;=2,", "&amp;$A331&amp;"-"&amp;TEXT(($D331-$C331+1)+1,"00"),"")&amp;IF($C331&gt;=3,", "&amp;$A331&amp;"-"&amp;TEXT(($D331-$C331+1)+2,"00"),"")&amp;IF($C331&gt;=4,", "&amp;$A331&amp;"-"&amp;TEXT(($D331-$C331+1)+3,"00"),"")&amp;IF($C331&gt;=5,", "&amp;$A331&amp;"-"&amp;TEXT(($D331-$C331+1)+4,"00"),"")&amp;IF($C331&gt;=6,", "&amp;$A331&amp;"-"&amp;TEXT(($D331-$C331+1)+5,"00"),"")&amp;IF($C331&gt;=7,", "&amp;$A331&amp;"-"&amp;TEXT(($D331-$C331+1)+6,"00"),"")&amp;IF($C331&gt;=8,", "&amp;$A331&amp;"-"&amp;TEXT(($D331-$C331+1)+7,"00"),"")&amp;IF($C331&gt;=9,", "&amp;$A331&amp;"-"&amp;TEXT(($D331-$C331+1)+8,"00"),"")&amp;IF($C331&gt;=10,", "&amp;$A331&amp;"-"&amp;TEXT(($D331-$C331+1)+9,"00"),"")&amp;IF($C331&gt;=11,", "&amp;$A331&amp;"-"&amp;TEXT(($D331-$C331+1)+10,"00"),"")&amp;IF($C331&gt;=12,", "&amp;$A331&amp;"-"&amp;TEXT(($D331-$C331+1)+11,"00"),"")&amp;IF($C331&gt;=13,", "&amp;$A331&amp;"-"&amp;TEXT(($D331-$C331+1)+12,"00"),"")&amp;IF($C331&gt;=14,", "&amp;$A331&amp;"-"&amp;TEXT(($D331-$C331+1)+13,"00"),"")&amp;IF($C331&gt;=15,", "&amp;$A331&amp;"-"&amp;TEXT(($D331-$C331+1)+14,"00"),"")&amp;IF($C331&gt;=16,", "&amp;$A331&amp;"-"&amp;TEXT(($D331-$C331+1)+15,"00"),"")&amp;IF($C331&gt;=17,", "&amp;$A331&amp;"-"&amp;TEXT(($D331-$C331+1)+16,"00"),"")&amp;IF($C331&gt;=18,", "&amp;$A331&amp;"-"&amp;TEXT(($D331-$C331+1)+17,"00"),"")&amp;IF($C331&gt;=19,", "&amp;$A331&amp;"-"&amp;TEXT(($D331-$C331+1)+18,"00"),"")&amp;IF($C331&gt;=20,", "&amp;$A331&amp;"-"&amp;TEXT(($D331-$C331+1)+19,"00"),"")&amp;IF($C331&gt;=21,", "&amp;$A331&amp;"-"&amp;TEXT(($D331-$C331+1)+20,"00"),"")&amp;IF($C331&gt;=22,", "&amp;$A331&amp;"-"&amp;TEXT(($D331-$C331+1)+21,"00"),"")&amp;IF($C331&gt;=23,", "&amp;$A331&amp;"-"&amp;TEXT(($D331-$C331+1)+22,"00"),"")&amp;IF($C331&gt;=24,", "&amp;$A331&amp;"-"&amp;TEXT(($D331-$C331+1)+23,"00"),"")&amp;IF($C331&gt;=25,", "&amp;$A331&amp;"-"&amp;TEXT(($D331-$C331+1)+24,"00"),""))</f>
        <v/>
      </c>
      <c r="G331">
        <f>IF($A331="","",IF($E331=1,$F331,IF($F331="",$G330,IF($G330="",$F331,$G330&amp;", "&amp;$F331))))</f>
        <v/>
      </c>
      <c r="H331">
        <f>IF($A331="","",$A331&amp;" ("&amp;$C331&amp;")")</f>
        <v/>
      </c>
      <c r="I331">
        <f>IF($A331="","",IF($E331=1,$H331,$I330&amp;", "&amp;$H331))</f>
        <v/>
      </c>
      <c r="J331">
        <f>IF($A331="","",IF($E331=1,$B331,""))</f>
        <v/>
      </c>
      <c r="K331">
        <f>IF($A331="","",IF(COUNTIF($B$2:$B331,$B331)=COUNTIF($B$2:$B$1601,$B331),$B331,""))</f>
        <v/>
      </c>
    </row>
    <row r="332">
      <c r="A332">
        <f>IF('TMP Paste'!$E332="","",'TMP Paste'!$E332)</f>
        <v/>
      </c>
      <c r="B332">
        <f>IF($A332="","",COUNTIF('TMP Paste'!$B$2:$B332,"?*"))</f>
        <v/>
      </c>
      <c r="C332">
        <f>IF($A332="","",IFERROR('TMP Paste'!$M332*1,0))</f>
        <v/>
      </c>
      <c r="D332">
        <f>IF($A332="","",SUMIF($B$2:$B332,$B332,$C$2:$C332))</f>
        <v/>
      </c>
      <c r="E332">
        <f>IF($A332="",0,IF('TMP Paste'!$B332="",0,1))</f>
        <v/>
      </c>
      <c r="F332">
        <f>IF(OR($A332="",$C332&lt;1),"",$A332&amp;"-"&amp;TEXT(($D332-$C332+1),"00")&amp;IF($C332&gt;=2,", "&amp;$A332&amp;"-"&amp;TEXT(($D332-$C332+1)+1,"00"),"")&amp;IF($C332&gt;=3,", "&amp;$A332&amp;"-"&amp;TEXT(($D332-$C332+1)+2,"00"),"")&amp;IF($C332&gt;=4,", "&amp;$A332&amp;"-"&amp;TEXT(($D332-$C332+1)+3,"00"),"")&amp;IF($C332&gt;=5,", "&amp;$A332&amp;"-"&amp;TEXT(($D332-$C332+1)+4,"00"),"")&amp;IF($C332&gt;=6,", "&amp;$A332&amp;"-"&amp;TEXT(($D332-$C332+1)+5,"00"),"")&amp;IF($C332&gt;=7,", "&amp;$A332&amp;"-"&amp;TEXT(($D332-$C332+1)+6,"00"),"")&amp;IF($C332&gt;=8,", "&amp;$A332&amp;"-"&amp;TEXT(($D332-$C332+1)+7,"00"),"")&amp;IF($C332&gt;=9,", "&amp;$A332&amp;"-"&amp;TEXT(($D332-$C332+1)+8,"00"),"")&amp;IF($C332&gt;=10,", "&amp;$A332&amp;"-"&amp;TEXT(($D332-$C332+1)+9,"00"),"")&amp;IF($C332&gt;=11,", "&amp;$A332&amp;"-"&amp;TEXT(($D332-$C332+1)+10,"00"),"")&amp;IF($C332&gt;=12,", "&amp;$A332&amp;"-"&amp;TEXT(($D332-$C332+1)+11,"00"),"")&amp;IF($C332&gt;=13,", "&amp;$A332&amp;"-"&amp;TEXT(($D332-$C332+1)+12,"00"),"")&amp;IF($C332&gt;=14,", "&amp;$A332&amp;"-"&amp;TEXT(($D332-$C332+1)+13,"00"),"")&amp;IF($C332&gt;=15,", "&amp;$A332&amp;"-"&amp;TEXT(($D332-$C332+1)+14,"00"),"")&amp;IF($C332&gt;=16,", "&amp;$A332&amp;"-"&amp;TEXT(($D332-$C332+1)+15,"00"),"")&amp;IF($C332&gt;=17,", "&amp;$A332&amp;"-"&amp;TEXT(($D332-$C332+1)+16,"00"),"")&amp;IF($C332&gt;=18,", "&amp;$A332&amp;"-"&amp;TEXT(($D332-$C332+1)+17,"00"),"")&amp;IF($C332&gt;=19,", "&amp;$A332&amp;"-"&amp;TEXT(($D332-$C332+1)+18,"00"),"")&amp;IF($C332&gt;=20,", "&amp;$A332&amp;"-"&amp;TEXT(($D332-$C332+1)+19,"00"),"")&amp;IF($C332&gt;=21,", "&amp;$A332&amp;"-"&amp;TEXT(($D332-$C332+1)+20,"00"),"")&amp;IF($C332&gt;=22,", "&amp;$A332&amp;"-"&amp;TEXT(($D332-$C332+1)+21,"00"),"")&amp;IF($C332&gt;=23,", "&amp;$A332&amp;"-"&amp;TEXT(($D332-$C332+1)+22,"00"),"")&amp;IF($C332&gt;=24,", "&amp;$A332&amp;"-"&amp;TEXT(($D332-$C332+1)+23,"00"),"")&amp;IF($C332&gt;=25,", "&amp;$A332&amp;"-"&amp;TEXT(($D332-$C332+1)+24,"00"),""))</f>
        <v/>
      </c>
      <c r="G332">
        <f>IF($A332="","",IF($E332=1,$F332,IF($F332="",$G331,IF($G331="",$F332,$G331&amp;", "&amp;$F332))))</f>
        <v/>
      </c>
      <c r="H332">
        <f>IF($A332="","",$A332&amp;" ("&amp;$C332&amp;")")</f>
        <v/>
      </c>
      <c r="I332">
        <f>IF($A332="","",IF($E332=1,$H332,$I331&amp;", "&amp;$H332))</f>
        <v/>
      </c>
      <c r="J332">
        <f>IF($A332="","",IF($E332=1,$B332,""))</f>
        <v/>
      </c>
      <c r="K332">
        <f>IF($A332="","",IF(COUNTIF($B$2:$B332,$B332)=COUNTIF($B$2:$B$1601,$B332),$B332,""))</f>
        <v/>
      </c>
    </row>
    <row r="333">
      <c r="A333">
        <f>IF('TMP Paste'!$E333="","",'TMP Paste'!$E333)</f>
        <v/>
      </c>
      <c r="B333">
        <f>IF($A333="","",COUNTIF('TMP Paste'!$B$2:$B333,"?*"))</f>
        <v/>
      </c>
      <c r="C333">
        <f>IF($A333="","",IFERROR('TMP Paste'!$M333*1,0))</f>
        <v/>
      </c>
      <c r="D333">
        <f>IF($A333="","",SUMIF($B$2:$B333,$B333,$C$2:$C333))</f>
        <v/>
      </c>
      <c r="E333">
        <f>IF($A333="",0,IF('TMP Paste'!$B333="",0,1))</f>
        <v/>
      </c>
      <c r="F333">
        <f>IF(OR($A333="",$C333&lt;1),"",$A333&amp;"-"&amp;TEXT(($D333-$C333+1),"00")&amp;IF($C333&gt;=2,", "&amp;$A333&amp;"-"&amp;TEXT(($D333-$C333+1)+1,"00"),"")&amp;IF($C333&gt;=3,", "&amp;$A333&amp;"-"&amp;TEXT(($D333-$C333+1)+2,"00"),"")&amp;IF($C333&gt;=4,", "&amp;$A333&amp;"-"&amp;TEXT(($D333-$C333+1)+3,"00"),"")&amp;IF($C333&gt;=5,", "&amp;$A333&amp;"-"&amp;TEXT(($D333-$C333+1)+4,"00"),"")&amp;IF($C333&gt;=6,", "&amp;$A333&amp;"-"&amp;TEXT(($D333-$C333+1)+5,"00"),"")&amp;IF($C333&gt;=7,", "&amp;$A333&amp;"-"&amp;TEXT(($D333-$C333+1)+6,"00"),"")&amp;IF($C333&gt;=8,", "&amp;$A333&amp;"-"&amp;TEXT(($D333-$C333+1)+7,"00"),"")&amp;IF($C333&gt;=9,", "&amp;$A333&amp;"-"&amp;TEXT(($D333-$C333+1)+8,"00"),"")&amp;IF($C333&gt;=10,", "&amp;$A333&amp;"-"&amp;TEXT(($D333-$C333+1)+9,"00"),"")&amp;IF($C333&gt;=11,", "&amp;$A333&amp;"-"&amp;TEXT(($D333-$C333+1)+10,"00"),"")&amp;IF($C333&gt;=12,", "&amp;$A333&amp;"-"&amp;TEXT(($D333-$C333+1)+11,"00"),"")&amp;IF($C333&gt;=13,", "&amp;$A333&amp;"-"&amp;TEXT(($D333-$C333+1)+12,"00"),"")&amp;IF($C333&gt;=14,", "&amp;$A333&amp;"-"&amp;TEXT(($D333-$C333+1)+13,"00"),"")&amp;IF($C333&gt;=15,", "&amp;$A333&amp;"-"&amp;TEXT(($D333-$C333+1)+14,"00"),"")&amp;IF($C333&gt;=16,", "&amp;$A333&amp;"-"&amp;TEXT(($D333-$C333+1)+15,"00"),"")&amp;IF($C333&gt;=17,", "&amp;$A333&amp;"-"&amp;TEXT(($D333-$C333+1)+16,"00"),"")&amp;IF($C333&gt;=18,", "&amp;$A333&amp;"-"&amp;TEXT(($D333-$C333+1)+17,"00"),"")&amp;IF($C333&gt;=19,", "&amp;$A333&amp;"-"&amp;TEXT(($D333-$C333+1)+18,"00"),"")&amp;IF($C333&gt;=20,", "&amp;$A333&amp;"-"&amp;TEXT(($D333-$C333+1)+19,"00"),"")&amp;IF($C333&gt;=21,", "&amp;$A333&amp;"-"&amp;TEXT(($D333-$C333+1)+20,"00"),"")&amp;IF($C333&gt;=22,", "&amp;$A333&amp;"-"&amp;TEXT(($D333-$C333+1)+21,"00"),"")&amp;IF($C333&gt;=23,", "&amp;$A333&amp;"-"&amp;TEXT(($D333-$C333+1)+22,"00"),"")&amp;IF($C333&gt;=24,", "&amp;$A333&amp;"-"&amp;TEXT(($D333-$C333+1)+23,"00"),"")&amp;IF($C333&gt;=25,", "&amp;$A333&amp;"-"&amp;TEXT(($D333-$C333+1)+24,"00"),""))</f>
        <v/>
      </c>
      <c r="G333">
        <f>IF($A333="","",IF($E333=1,$F333,IF($F333="",$G332,IF($G332="",$F333,$G332&amp;", "&amp;$F333))))</f>
        <v/>
      </c>
      <c r="H333">
        <f>IF($A333="","",$A333&amp;" ("&amp;$C333&amp;")")</f>
        <v/>
      </c>
      <c r="I333">
        <f>IF($A333="","",IF($E333=1,$H333,$I332&amp;", "&amp;$H333))</f>
        <v/>
      </c>
      <c r="J333">
        <f>IF($A333="","",IF($E333=1,$B333,""))</f>
        <v/>
      </c>
      <c r="K333">
        <f>IF($A333="","",IF(COUNTIF($B$2:$B333,$B333)=COUNTIF($B$2:$B$1601,$B333),$B333,""))</f>
        <v/>
      </c>
    </row>
    <row r="334">
      <c r="A334">
        <f>IF('TMP Paste'!$E334="","",'TMP Paste'!$E334)</f>
        <v/>
      </c>
      <c r="B334">
        <f>IF($A334="","",COUNTIF('TMP Paste'!$B$2:$B334,"?*"))</f>
        <v/>
      </c>
      <c r="C334">
        <f>IF($A334="","",IFERROR('TMP Paste'!$M334*1,0))</f>
        <v/>
      </c>
      <c r="D334">
        <f>IF($A334="","",SUMIF($B$2:$B334,$B334,$C$2:$C334))</f>
        <v/>
      </c>
      <c r="E334">
        <f>IF($A334="",0,IF('TMP Paste'!$B334="",0,1))</f>
        <v/>
      </c>
      <c r="F334">
        <f>IF(OR($A334="",$C334&lt;1),"",$A334&amp;"-"&amp;TEXT(($D334-$C334+1),"00")&amp;IF($C334&gt;=2,", "&amp;$A334&amp;"-"&amp;TEXT(($D334-$C334+1)+1,"00"),"")&amp;IF($C334&gt;=3,", "&amp;$A334&amp;"-"&amp;TEXT(($D334-$C334+1)+2,"00"),"")&amp;IF($C334&gt;=4,", "&amp;$A334&amp;"-"&amp;TEXT(($D334-$C334+1)+3,"00"),"")&amp;IF($C334&gt;=5,", "&amp;$A334&amp;"-"&amp;TEXT(($D334-$C334+1)+4,"00"),"")&amp;IF($C334&gt;=6,", "&amp;$A334&amp;"-"&amp;TEXT(($D334-$C334+1)+5,"00"),"")&amp;IF($C334&gt;=7,", "&amp;$A334&amp;"-"&amp;TEXT(($D334-$C334+1)+6,"00"),"")&amp;IF($C334&gt;=8,", "&amp;$A334&amp;"-"&amp;TEXT(($D334-$C334+1)+7,"00"),"")&amp;IF($C334&gt;=9,", "&amp;$A334&amp;"-"&amp;TEXT(($D334-$C334+1)+8,"00"),"")&amp;IF($C334&gt;=10,", "&amp;$A334&amp;"-"&amp;TEXT(($D334-$C334+1)+9,"00"),"")&amp;IF($C334&gt;=11,", "&amp;$A334&amp;"-"&amp;TEXT(($D334-$C334+1)+10,"00"),"")&amp;IF($C334&gt;=12,", "&amp;$A334&amp;"-"&amp;TEXT(($D334-$C334+1)+11,"00"),"")&amp;IF($C334&gt;=13,", "&amp;$A334&amp;"-"&amp;TEXT(($D334-$C334+1)+12,"00"),"")&amp;IF($C334&gt;=14,", "&amp;$A334&amp;"-"&amp;TEXT(($D334-$C334+1)+13,"00"),"")&amp;IF($C334&gt;=15,", "&amp;$A334&amp;"-"&amp;TEXT(($D334-$C334+1)+14,"00"),"")&amp;IF($C334&gt;=16,", "&amp;$A334&amp;"-"&amp;TEXT(($D334-$C334+1)+15,"00"),"")&amp;IF($C334&gt;=17,", "&amp;$A334&amp;"-"&amp;TEXT(($D334-$C334+1)+16,"00"),"")&amp;IF($C334&gt;=18,", "&amp;$A334&amp;"-"&amp;TEXT(($D334-$C334+1)+17,"00"),"")&amp;IF($C334&gt;=19,", "&amp;$A334&amp;"-"&amp;TEXT(($D334-$C334+1)+18,"00"),"")&amp;IF($C334&gt;=20,", "&amp;$A334&amp;"-"&amp;TEXT(($D334-$C334+1)+19,"00"),"")&amp;IF($C334&gt;=21,", "&amp;$A334&amp;"-"&amp;TEXT(($D334-$C334+1)+20,"00"),"")&amp;IF($C334&gt;=22,", "&amp;$A334&amp;"-"&amp;TEXT(($D334-$C334+1)+21,"00"),"")&amp;IF($C334&gt;=23,", "&amp;$A334&amp;"-"&amp;TEXT(($D334-$C334+1)+22,"00"),"")&amp;IF($C334&gt;=24,", "&amp;$A334&amp;"-"&amp;TEXT(($D334-$C334+1)+23,"00"),"")&amp;IF($C334&gt;=25,", "&amp;$A334&amp;"-"&amp;TEXT(($D334-$C334+1)+24,"00"),""))</f>
        <v/>
      </c>
      <c r="G334">
        <f>IF($A334="","",IF($E334=1,$F334,IF($F334="",$G333,IF($G333="",$F334,$G333&amp;", "&amp;$F334))))</f>
        <v/>
      </c>
      <c r="H334">
        <f>IF($A334="","",$A334&amp;" ("&amp;$C334&amp;")")</f>
        <v/>
      </c>
      <c r="I334">
        <f>IF($A334="","",IF($E334=1,$H334,$I333&amp;", "&amp;$H334))</f>
        <v/>
      </c>
      <c r="J334">
        <f>IF($A334="","",IF($E334=1,$B334,""))</f>
        <v/>
      </c>
      <c r="K334">
        <f>IF($A334="","",IF(COUNTIF($B$2:$B334,$B334)=COUNTIF($B$2:$B$1601,$B334),$B334,""))</f>
        <v/>
      </c>
    </row>
    <row r="335">
      <c r="A335">
        <f>IF('TMP Paste'!$E335="","",'TMP Paste'!$E335)</f>
        <v/>
      </c>
      <c r="B335">
        <f>IF($A335="","",COUNTIF('TMP Paste'!$B$2:$B335,"?*"))</f>
        <v/>
      </c>
      <c r="C335">
        <f>IF($A335="","",IFERROR('TMP Paste'!$M335*1,0))</f>
        <v/>
      </c>
      <c r="D335">
        <f>IF($A335="","",SUMIF($B$2:$B335,$B335,$C$2:$C335))</f>
        <v/>
      </c>
      <c r="E335">
        <f>IF($A335="",0,IF('TMP Paste'!$B335="",0,1))</f>
        <v/>
      </c>
      <c r="F335">
        <f>IF(OR($A335="",$C335&lt;1),"",$A335&amp;"-"&amp;TEXT(($D335-$C335+1),"00")&amp;IF($C335&gt;=2,", "&amp;$A335&amp;"-"&amp;TEXT(($D335-$C335+1)+1,"00"),"")&amp;IF($C335&gt;=3,", "&amp;$A335&amp;"-"&amp;TEXT(($D335-$C335+1)+2,"00"),"")&amp;IF($C335&gt;=4,", "&amp;$A335&amp;"-"&amp;TEXT(($D335-$C335+1)+3,"00"),"")&amp;IF($C335&gt;=5,", "&amp;$A335&amp;"-"&amp;TEXT(($D335-$C335+1)+4,"00"),"")&amp;IF($C335&gt;=6,", "&amp;$A335&amp;"-"&amp;TEXT(($D335-$C335+1)+5,"00"),"")&amp;IF($C335&gt;=7,", "&amp;$A335&amp;"-"&amp;TEXT(($D335-$C335+1)+6,"00"),"")&amp;IF($C335&gt;=8,", "&amp;$A335&amp;"-"&amp;TEXT(($D335-$C335+1)+7,"00"),"")&amp;IF($C335&gt;=9,", "&amp;$A335&amp;"-"&amp;TEXT(($D335-$C335+1)+8,"00"),"")&amp;IF($C335&gt;=10,", "&amp;$A335&amp;"-"&amp;TEXT(($D335-$C335+1)+9,"00"),"")&amp;IF($C335&gt;=11,", "&amp;$A335&amp;"-"&amp;TEXT(($D335-$C335+1)+10,"00"),"")&amp;IF($C335&gt;=12,", "&amp;$A335&amp;"-"&amp;TEXT(($D335-$C335+1)+11,"00"),"")&amp;IF($C335&gt;=13,", "&amp;$A335&amp;"-"&amp;TEXT(($D335-$C335+1)+12,"00"),"")&amp;IF($C335&gt;=14,", "&amp;$A335&amp;"-"&amp;TEXT(($D335-$C335+1)+13,"00"),"")&amp;IF($C335&gt;=15,", "&amp;$A335&amp;"-"&amp;TEXT(($D335-$C335+1)+14,"00"),"")&amp;IF($C335&gt;=16,", "&amp;$A335&amp;"-"&amp;TEXT(($D335-$C335+1)+15,"00"),"")&amp;IF($C335&gt;=17,", "&amp;$A335&amp;"-"&amp;TEXT(($D335-$C335+1)+16,"00"),"")&amp;IF($C335&gt;=18,", "&amp;$A335&amp;"-"&amp;TEXT(($D335-$C335+1)+17,"00"),"")&amp;IF($C335&gt;=19,", "&amp;$A335&amp;"-"&amp;TEXT(($D335-$C335+1)+18,"00"),"")&amp;IF($C335&gt;=20,", "&amp;$A335&amp;"-"&amp;TEXT(($D335-$C335+1)+19,"00"),"")&amp;IF($C335&gt;=21,", "&amp;$A335&amp;"-"&amp;TEXT(($D335-$C335+1)+20,"00"),"")&amp;IF($C335&gt;=22,", "&amp;$A335&amp;"-"&amp;TEXT(($D335-$C335+1)+21,"00"),"")&amp;IF($C335&gt;=23,", "&amp;$A335&amp;"-"&amp;TEXT(($D335-$C335+1)+22,"00"),"")&amp;IF($C335&gt;=24,", "&amp;$A335&amp;"-"&amp;TEXT(($D335-$C335+1)+23,"00"),"")&amp;IF($C335&gt;=25,", "&amp;$A335&amp;"-"&amp;TEXT(($D335-$C335+1)+24,"00"),""))</f>
        <v/>
      </c>
      <c r="G335">
        <f>IF($A335="","",IF($E335=1,$F335,IF($F335="",$G334,IF($G334="",$F335,$G334&amp;", "&amp;$F335))))</f>
        <v/>
      </c>
      <c r="H335">
        <f>IF($A335="","",$A335&amp;" ("&amp;$C335&amp;")")</f>
        <v/>
      </c>
      <c r="I335">
        <f>IF($A335="","",IF($E335=1,$H335,$I334&amp;", "&amp;$H335))</f>
        <v/>
      </c>
      <c r="J335">
        <f>IF($A335="","",IF($E335=1,$B335,""))</f>
        <v/>
      </c>
      <c r="K335">
        <f>IF($A335="","",IF(COUNTIF($B$2:$B335,$B335)=COUNTIF($B$2:$B$1601,$B335),$B335,""))</f>
        <v/>
      </c>
    </row>
    <row r="336">
      <c r="A336">
        <f>IF('TMP Paste'!$E336="","",'TMP Paste'!$E336)</f>
        <v/>
      </c>
      <c r="B336">
        <f>IF($A336="","",COUNTIF('TMP Paste'!$B$2:$B336,"?*"))</f>
        <v/>
      </c>
      <c r="C336">
        <f>IF($A336="","",IFERROR('TMP Paste'!$M336*1,0))</f>
        <v/>
      </c>
      <c r="D336">
        <f>IF($A336="","",SUMIF($B$2:$B336,$B336,$C$2:$C336))</f>
        <v/>
      </c>
      <c r="E336">
        <f>IF($A336="",0,IF('TMP Paste'!$B336="",0,1))</f>
        <v/>
      </c>
      <c r="F336">
        <f>IF(OR($A336="",$C336&lt;1),"",$A336&amp;"-"&amp;TEXT(($D336-$C336+1),"00")&amp;IF($C336&gt;=2,", "&amp;$A336&amp;"-"&amp;TEXT(($D336-$C336+1)+1,"00"),"")&amp;IF($C336&gt;=3,", "&amp;$A336&amp;"-"&amp;TEXT(($D336-$C336+1)+2,"00"),"")&amp;IF($C336&gt;=4,", "&amp;$A336&amp;"-"&amp;TEXT(($D336-$C336+1)+3,"00"),"")&amp;IF($C336&gt;=5,", "&amp;$A336&amp;"-"&amp;TEXT(($D336-$C336+1)+4,"00"),"")&amp;IF($C336&gt;=6,", "&amp;$A336&amp;"-"&amp;TEXT(($D336-$C336+1)+5,"00"),"")&amp;IF($C336&gt;=7,", "&amp;$A336&amp;"-"&amp;TEXT(($D336-$C336+1)+6,"00"),"")&amp;IF($C336&gt;=8,", "&amp;$A336&amp;"-"&amp;TEXT(($D336-$C336+1)+7,"00"),"")&amp;IF($C336&gt;=9,", "&amp;$A336&amp;"-"&amp;TEXT(($D336-$C336+1)+8,"00"),"")&amp;IF($C336&gt;=10,", "&amp;$A336&amp;"-"&amp;TEXT(($D336-$C336+1)+9,"00"),"")&amp;IF($C336&gt;=11,", "&amp;$A336&amp;"-"&amp;TEXT(($D336-$C336+1)+10,"00"),"")&amp;IF($C336&gt;=12,", "&amp;$A336&amp;"-"&amp;TEXT(($D336-$C336+1)+11,"00"),"")&amp;IF($C336&gt;=13,", "&amp;$A336&amp;"-"&amp;TEXT(($D336-$C336+1)+12,"00"),"")&amp;IF($C336&gt;=14,", "&amp;$A336&amp;"-"&amp;TEXT(($D336-$C336+1)+13,"00"),"")&amp;IF($C336&gt;=15,", "&amp;$A336&amp;"-"&amp;TEXT(($D336-$C336+1)+14,"00"),"")&amp;IF($C336&gt;=16,", "&amp;$A336&amp;"-"&amp;TEXT(($D336-$C336+1)+15,"00"),"")&amp;IF($C336&gt;=17,", "&amp;$A336&amp;"-"&amp;TEXT(($D336-$C336+1)+16,"00"),"")&amp;IF($C336&gt;=18,", "&amp;$A336&amp;"-"&amp;TEXT(($D336-$C336+1)+17,"00"),"")&amp;IF($C336&gt;=19,", "&amp;$A336&amp;"-"&amp;TEXT(($D336-$C336+1)+18,"00"),"")&amp;IF($C336&gt;=20,", "&amp;$A336&amp;"-"&amp;TEXT(($D336-$C336+1)+19,"00"),"")&amp;IF($C336&gt;=21,", "&amp;$A336&amp;"-"&amp;TEXT(($D336-$C336+1)+20,"00"),"")&amp;IF($C336&gt;=22,", "&amp;$A336&amp;"-"&amp;TEXT(($D336-$C336+1)+21,"00"),"")&amp;IF($C336&gt;=23,", "&amp;$A336&amp;"-"&amp;TEXT(($D336-$C336+1)+22,"00"),"")&amp;IF($C336&gt;=24,", "&amp;$A336&amp;"-"&amp;TEXT(($D336-$C336+1)+23,"00"),"")&amp;IF($C336&gt;=25,", "&amp;$A336&amp;"-"&amp;TEXT(($D336-$C336+1)+24,"00"),""))</f>
        <v/>
      </c>
      <c r="G336">
        <f>IF($A336="","",IF($E336=1,$F336,IF($F336="",$G335,IF($G335="",$F336,$G335&amp;", "&amp;$F336))))</f>
        <v/>
      </c>
      <c r="H336">
        <f>IF($A336="","",$A336&amp;" ("&amp;$C336&amp;")")</f>
        <v/>
      </c>
      <c r="I336">
        <f>IF($A336="","",IF($E336=1,$H336,$I335&amp;", "&amp;$H336))</f>
        <v/>
      </c>
      <c r="J336">
        <f>IF($A336="","",IF($E336=1,$B336,""))</f>
        <v/>
      </c>
      <c r="K336">
        <f>IF($A336="","",IF(COUNTIF($B$2:$B336,$B336)=COUNTIF($B$2:$B$1601,$B336),$B336,""))</f>
        <v/>
      </c>
    </row>
    <row r="337">
      <c r="A337">
        <f>IF('TMP Paste'!$E337="","",'TMP Paste'!$E337)</f>
        <v/>
      </c>
      <c r="B337">
        <f>IF($A337="","",COUNTIF('TMP Paste'!$B$2:$B337,"?*"))</f>
        <v/>
      </c>
      <c r="C337">
        <f>IF($A337="","",IFERROR('TMP Paste'!$M337*1,0))</f>
        <v/>
      </c>
      <c r="D337">
        <f>IF($A337="","",SUMIF($B$2:$B337,$B337,$C$2:$C337))</f>
        <v/>
      </c>
      <c r="E337">
        <f>IF($A337="",0,IF('TMP Paste'!$B337="",0,1))</f>
        <v/>
      </c>
      <c r="F337">
        <f>IF(OR($A337="",$C337&lt;1),"",$A337&amp;"-"&amp;TEXT(($D337-$C337+1),"00")&amp;IF($C337&gt;=2,", "&amp;$A337&amp;"-"&amp;TEXT(($D337-$C337+1)+1,"00"),"")&amp;IF($C337&gt;=3,", "&amp;$A337&amp;"-"&amp;TEXT(($D337-$C337+1)+2,"00"),"")&amp;IF($C337&gt;=4,", "&amp;$A337&amp;"-"&amp;TEXT(($D337-$C337+1)+3,"00"),"")&amp;IF($C337&gt;=5,", "&amp;$A337&amp;"-"&amp;TEXT(($D337-$C337+1)+4,"00"),"")&amp;IF($C337&gt;=6,", "&amp;$A337&amp;"-"&amp;TEXT(($D337-$C337+1)+5,"00"),"")&amp;IF($C337&gt;=7,", "&amp;$A337&amp;"-"&amp;TEXT(($D337-$C337+1)+6,"00"),"")&amp;IF($C337&gt;=8,", "&amp;$A337&amp;"-"&amp;TEXT(($D337-$C337+1)+7,"00"),"")&amp;IF($C337&gt;=9,", "&amp;$A337&amp;"-"&amp;TEXT(($D337-$C337+1)+8,"00"),"")&amp;IF($C337&gt;=10,", "&amp;$A337&amp;"-"&amp;TEXT(($D337-$C337+1)+9,"00"),"")&amp;IF($C337&gt;=11,", "&amp;$A337&amp;"-"&amp;TEXT(($D337-$C337+1)+10,"00"),"")&amp;IF($C337&gt;=12,", "&amp;$A337&amp;"-"&amp;TEXT(($D337-$C337+1)+11,"00"),"")&amp;IF($C337&gt;=13,", "&amp;$A337&amp;"-"&amp;TEXT(($D337-$C337+1)+12,"00"),"")&amp;IF($C337&gt;=14,", "&amp;$A337&amp;"-"&amp;TEXT(($D337-$C337+1)+13,"00"),"")&amp;IF($C337&gt;=15,", "&amp;$A337&amp;"-"&amp;TEXT(($D337-$C337+1)+14,"00"),"")&amp;IF($C337&gt;=16,", "&amp;$A337&amp;"-"&amp;TEXT(($D337-$C337+1)+15,"00"),"")&amp;IF($C337&gt;=17,", "&amp;$A337&amp;"-"&amp;TEXT(($D337-$C337+1)+16,"00"),"")&amp;IF($C337&gt;=18,", "&amp;$A337&amp;"-"&amp;TEXT(($D337-$C337+1)+17,"00"),"")&amp;IF($C337&gt;=19,", "&amp;$A337&amp;"-"&amp;TEXT(($D337-$C337+1)+18,"00"),"")&amp;IF($C337&gt;=20,", "&amp;$A337&amp;"-"&amp;TEXT(($D337-$C337+1)+19,"00"),"")&amp;IF($C337&gt;=21,", "&amp;$A337&amp;"-"&amp;TEXT(($D337-$C337+1)+20,"00"),"")&amp;IF($C337&gt;=22,", "&amp;$A337&amp;"-"&amp;TEXT(($D337-$C337+1)+21,"00"),"")&amp;IF($C337&gt;=23,", "&amp;$A337&amp;"-"&amp;TEXT(($D337-$C337+1)+22,"00"),"")&amp;IF($C337&gt;=24,", "&amp;$A337&amp;"-"&amp;TEXT(($D337-$C337+1)+23,"00"),"")&amp;IF($C337&gt;=25,", "&amp;$A337&amp;"-"&amp;TEXT(($D337-$C337+1)+24,"00"),""))</f>
        <v/>
      </c>
      <c r="G337">
        <f>IF($A337="","",IF($E337=1,$F337,IF($F337="",$G336,IF($G336="",$F337,$G336&amp;", "&amp;$F337))))</f>
        <v/>
      </c>
      <c r="H337">
        <f>IF($A337="","",$A337&amp;" ("&amp;$C337&amp;")")</f>
        <v/>
      </c>
      <c r="I337">
        <f>IF($A337="","",IF($E337=1,$H337,$I336&amp;", "&amp;$H337))</f>
        <v/>
      </c>
      <c r="J337">
        <f>IF($A337="","",IF($E337=1,$B337,""))</f>
        <v/>
      </c>
      <c r="K337">
        <f>IF($A337="","",IF(COUNTIF($B$2:$B337,$B337)=COUNTIF($B$2:$B$1601,$B337),$B337,""))</f>
        <v/>
      </c>
    </row>
    <row r="338">
      <c r="A338">
        <f>IF('TMP Paste'!$E338="","",'TMP Paste'!$E338)</f>
        <v/>
      </c>
      <c r="B338">
        <f>IF($A338="","",COUNTIF('TMP Paste'!$B$2:$B338,"?*"))</f>
        <v/>
      </c>
      <c r="C338">
        <f>IF($A338="","",IFERROR('TMP Paste'!$M338*1,0))</f>
        <v/>
      </c>
      <c r="D338">
        <f>IF($A338="","",SUMIF($B$2:$B338,$B338,$C$2:$C338))</f>
        <v/>
      </c>
      <c r="E338">
        <f>IF($A338="",0,IF('TMP Paste'!$B338="",0,1))</f>
        <v/>
      </c>
      <c r="F338">
        <f>IF(OR($A338="",$C338&lt;1),"",$A338&amp;"-"&amp;TEXT(($D338-$C338+1),"00")&amp;IF($C338&gt;=2,", "&amp;$A338&amp;"-"&amp;TEXT(($D338-$C338+1)+1,"00"),"")&amp;IF($C338&gt;=3,", "&amp;$A338&amp;"-"&amp;TEXT(($D338-$C338+1)+2,"00"),"")&amp;IF($C338&gt;=4,", "&amp;$A338&amp;"-"&amp;TEXT(($D338-$C338+1)+3,"00"),"")&amp;IF($C338&gt;=5,", "&amp;$A338&amp;"-"&amp;TEXT(($D338-$C338+1)+4,"00"),"")&amp;IF($C338&gt;=6,", "&amp;$A338&amp;"-"&amp;TEXT(($D338-$C338+1)+5,"00"),"")&amp;IF($C338&gt;=7,", "&amp;$A338&amp;"-"&amp;TEXT(($D338-$C338+1)+6,"00"),"")&amp;IF($C338&gt;=8,", "&amp;$A338&amp;"-"&amp;TEXT(($D338-$C338+1)+7,"00"),"")&amp;IF($C338&gt;=9,", "&amp;$A338&amp;"-"&amp;TEXT(($D338-$C338+1)+8,"00"),"")&amp;IF($C338&gt;=10,", "&amp;$A338&amp;"-"&amp;TEXT(($D338-$C338+1)+9,"00"),"")&amp;IF($C338&gt;=11,", "&amp;$A338&amp;"-"&amp;TEXT(($D338-$C338+1)+10,"00"),"")&amp;IF($C338&gt;=12,", "&amp;$A338&amp;"-"&amp;TEXT(($D338-$C338+1)+11,"00"),"")&amp;IF($C338&gt;=13,", "&amp;$A338&amp;"-"&amp;TEXT(($D338-$C338+1)+12,"00"),"")&amp;IF($C338&gt;=14,", "&amp;$A338&amp;"-"&amp;TEXT(($D338-$C338+1)+13,"00"),"")&amp;IF($C338&gt;=15,", "&amp;$A338&amp;"-"&amp;TEXT(($D338-$C338+1)+14,"00"),"")&amp;IF($C338&gt;=16,", "&amp;$A338&amp;"-"&amp;TEXT(($D338-$C338+1)+15,"00"),"")&amp;IF($C338&gt;=17,", "&amp;$A338&amp;"-"&amp;TEXT(($D338-$C338+1)+16,"00"),"")&amp;IF($C338&gt;=18,", "&amp;$A338&amp;"-"&amp;TEXT(($D338-$C338+1)+17,"00"),"")&amp;IF($C338&gt;=19,", "&amp;$A338&amp;"-"&amp;TEXT(($D338-$C338+1)+18,"00"),"")&amp;IF($C338&gt;=20,", "&amp;$A338&amp;"-"&amp;TEXT(($D338-$C338+1)+19,"00"),"")&amp;IF($C338&gt;=21,", "&amp;$A338&amp;"-"&amp;TEXT(($D338-$C338+1)+20,"00"),"")&amp;IF($C338&gt;=22,", "&amp;$A338&amp;"-"&amp;TEXT(($D338-$C338+1)+21,"00"),"")&amp;IF($C338&gt;=23,", "&amp;$A338&amp;"-"&amp;TEXT(($D338-$C338+1)+22,"00"),"")&amp;IF($C338&gt;=24,", "&amp;$A338&amp;"-"&amp;TEXT(($D338-$C338+1)+23,"00"),"")&amp;IF($C338&gt;=25,", "&amp;$A338&amp;"-"&amp;TEXT(($D338-$C338+1)+24,"00"),""))</f>
        <v/>
      </c>
      <c r="G338">
        <f>IF($A338="","",IF($E338=1,$F338,IF($F338="",$G337,IF($G337="",$F338,$G337&amp;", "&amp;$F338))))</f>
        <v/>
      </c>
      <c r="H338">
        <f>IF($A338="","",$A338&amp;" ("&amp;$C338&amp;")")</f>
        <v/>
      </c>
      <c r="I338">
        <f>IF($A338="","",IF($E338=1,$H338,$I337&amp;", "&amp;$H338))</f>
        <v/>
      </c>
      <c r="J338">
        <f>IF($A338="","",IF($E338=1,$B338,""))</f>
        <v/>
      </c>
      <c r="K338">
        <f>IF($A338="","",IF(COUNTIF($B$2:$B338,$B338)=COUNTIF($B$2:$B$1601,$B338),$B338,""))</f>
        <v/>
      </c>
    </row>
    <row r="339">
      <c r="A339">
        <f>IF('TMP Paste'!$E339="","",'TMP Paste'!$E339)</f>
        <v/>
      </c>
      <c r="B339">
        <f>IF($A339="","",COUNTIF('TMP Paste'!$B$2:$B339,"?*"))</f>
        <v/>
      </c>
      <c r="C339">
        <f>IF($A339="","",IFERROR('TMP Paste'!$M339*1,0))</f>
        <v/>
      </c>
      <c r="D339">
        <f>IF($A339="","",SUMIF($B$2:$B339,$B339,$C$2:$C339))</f>
        <v/>
      </c>
      <c r="E339">
        <f>IF($A339="",0,IF('TMP Paste'!$B339="",0,1))</f>
        <v/>
      </c>
      <c r="F339">
        <f>IF(OR($A339="",$C339&lt;1),"",$A339&amp;"-"&amp;TEXT(($D339-$C339+1),"00")&amp;IF($C339&gt;=2,", "&amp;$A339&amp;"-"&amp;TEXT(($D339-$C339+1)+1,"00"),"")&amp;IF($C339&gt;=3,", "&amp;$A339&amp;"-"&amp;TEXT(($D339-$C339+1)+2,"00"),"")&amp;IF($C339&gt;=4,", "&amp;$A339&amp;"-"&amp;TEXT(($D339-$C339+1)+3,"00"),"")&amp;IF($C339&gt;=5,", "&amp;$A339&amp;"-"&amp;TEXT(($D339-$C339+1)+4,"00"),"")&amp;IF($C339&gt;=6,", "&amp;$A339&amp;"-"&amp;TEXT(($D339-$C339+1)+5,"00"),"")&amp;IF($C339&gt;=7,", "&amp;$A339&amp;"-"&amp;TEXT(($D339-$C339+1)+6,"00"),"")&amp;IF($C339&gt;=8,", "&amp;$A339&amp;"-"&amp;TEXT(($D339-$C339+1)+7,"00"),"")&amp;IF($C339&gt;=9,", "&amp;$A339&amp;"-"&amp;TEXT(($D339-$C339+1)+8,"00"),"")&amp;IF($C339&gt;=10,", "&amp;$A339&amp;"-"&amp;TEXT(($D339-$C339+1)+9,"00"),"")&amp;IF($C339&gt;=11,", "&amp;$A339&amp;"-"&amp;TEXT(($D339-$C339+1)+10,"00"),"")&amp;IF($C339&gt;=12,", "&amp;$A339&amp;"-"&amp;TEXT(($D339-$C339+1)+11,"00"),"")&amp;IF($C339&gt;=13,", "&amp;$A339&amp;"-"&amp;TEXT(($D339-$C339+1)+12,"00"),"")&amp;IF($C339&gt;=14,", "&amp;$A339&amp;"-"&amp;TEXT(($D339-$C339+1)+13,"00"),"")&amp;IF($C339&gt;=15,", "&amp;$A339&amp;"-"&amp;TEXT(($D339-$C339+1)+14,"00"),"")&amp;IF($C339&gt;=16,", "&amp;$A339&amp;"-"&amp;TEXT(($D339-$C339+1)+15,"00"),"")&amp;IF($C339&gt;=17,", "&amp;$A339&amp;"-"&amp;TEXT(($D339-$C339+1)+16,"00"),"")&amp;IF($C339&gt;=18,", "&amp;$A339&amp;"-"&amp;TEXT(($D339-$C339+1)+17,"00"),"")&amp;IF($C339&gt;=19,", "&amp;$A339&amp;"-"&amp;TEXT(($D339-$C339+1)+18,"00"),"")&amp;IF($C339&gt;=20,", "&amp;$A339&amp;"-"&amp;TEXT(($D339-$C339+1)+19,"00"),"")&amp;IF($C339&gt;=21,", "&amp;$A339&amp;"-"&amp;TEXT(($D339-$C339+1)+20,"00"),"")&amp;IF($C339&gt;=22,", "&amp;$A339&amp;"-"&amp;TEXT(($D339-$C339+1)+21,"00"),"")&amp;IF($C339&gt;=23,", "&amp;$A339&amp;"-"&amp;TEXT(($D339-$C339+1)+22,"00"),"")&amp;IF($C339&gt;=24,", "&amp;$A339&amp;"-"&amp;TEXT(($D339-$C339+1)+23,"00"),"")&amp;IF($C339&gt;=25,", "&amp;$A339&amp;"-"&amp;TEXT(($D339-$C339+1)+24,"00"),""))</f>
        <v/>
      </c>
      <c r="G339">
        <f>IF($A339="","",IF($E339=1,$F339,IF($F339="",$G338,IF($G338="",$F339,$G338&amp;", "&amp;$F339))))</f>
        <v/>
      </c>
      <c r="H339">
        <f>IF($A339="","",$A339&amp;" ("&amp;$C339&amp;")")</f>
        <v/>
      </c>
      <c r="I339">
        <f>IF($A339="","",IF($E339=1,$H339,$I338&amp;", "&amp;$H339))</f>
        <v/>
      </c>
      <c r="J339">
        <f>IF($A339="","",IF($E339=1,$B339,""))</f>
        <v/>
      </c>
      <c r="K339">
        <f>IF($A339="","",IF(COUNTIF($B$2:$B339,$B339)=COUNTIF($B$2:$B$1601,$B339),$B339,""))</f>
        <v/>
      </c>
    </row>
    <row r="340">
      <c r="A340">
        <f>IF('TMP Paste'!$E340="","",'TMP Paste'!$E340)</f>
        <v/>
      </c>
      <c r="B340">
        <f>IF($A340="","",COUNTIF('TMP Paste'!$B$2:$B340,"?*"))</f>
        <v/>
      </c>
      <c r="C340">
        <f>IF($A340="","",IFERROR('TMP Paste'!$M340*1,0))</f>
        <v/>
      </c>
      <c r="D340">
        <f>IF($A340="","",SUMIF($B$2:$B340,$B340,$C$2:$C340))</f>
        <v/>
      </c>
      <c r="E340">
        <f>IF($A340="",0,IF('TMP Paste'!$B340="",0,1))</f>
        <v/>
      </c>
      <c r="F340">
        <f>IF(OR($A340="",$C340&lt;1),"",$A340&amp;"-"&amp;TEXT(($D340-$C340+1),"00")&amp;IF($C340&gt;=2,", "&amp;$A340&amp;"-"&amp;TEXT(($D340-$C340+1)+1,"00"),"")&amp;IF($C340&gt;=3,", "&amp;$A340&amp;"-"&amp;TEXT(($D340-$C340+1)+2,"00"),"")&amp;IF($C340&gt;=4,", "&amp;$A340&amp;"-"&amp;TEXT(($D340-$C340+1)+3,"00"),"")&amp;IF($C340&gt;=5,", "&amp;$A340&amp;"-"&amp;TEXT(($D340-$C340+1)+4,"00"),"")&amp;IF($C340&gt;=6,", "&amp;$A340&amp;"-"&amp;TEXT(($D340-$C340+1)+5,"00"),"")&amp;IF($C340&gt;=7,", "&amp;$A340&amp;"-"&amp;TEXT(($D340-$C340+1)+6,"00"),"")&amp;IF($C340&gt;=8,", "&amp;$A340&amp;"-"&amp;TEXT(($D340-$C340+1)+7,"00"),"")&amp;IF($C340&gt;=9,", "&amp;$A340&amp;"-"&amp;TEXT(($D340-$C340+1)+8,"00"),"")&amp;IF($C340&gt;=10,", "&amp;$A340&amp;"-"&amp;TEXT(($D340-$C340+1)+9,"00"),"")&amp;IF($C340&gt;=11,", "&amp;$A340&amp;"-"&amp;TEXT(($D340-$C340+1)+10,"00"),"")&amp;IF($C340&gt;=12,", "&amp;$A340&amp;"-"&amp;TEXT(($D340-$C340+1)+11,"00"),"")&amp;IF($C340&gt;=13,", "&amp;$A340&amp;"-"&amp;TEXT(($D340-$C340+1)+12,"00"),"")&amp;IF($C340&gt;=14,", "&amp;$A340&amp;"-"&amp;TEXT(($D340-$C340+1)+13,"00"),"")&amp;IF($C340&gt;=15,", "&amp;$A340&amp;"-"&amp;TEXT(($D340-$C340+1)+14,"00"),"")&amp;IF($C340&gt;=16,", "&amp;$A340&amp;"-"&amp;TEXT(($D340-$C340+1)+15,"00"),"")&amp;IF($C340&gt;=17,", "&amp;$A340&amp;"-"&amp;TEXT(($D340-$C340+1)+16,"00"),"")&amp;IF($C340&gt;=18,", "&amp;$A340&amp;"-"&amp;TEXT(($D340-$C340+1)+17,"00"),"")&amp;IF($C340&gt;=19,", "&amp;$A340&amp;"-"&amp;TEXT(($D340-$C340+1)+18,"00"),"")&amp;IF($C340&gt;=20,", "&amp;$A340&amp;"-"&amp;TEXT(($D340-$C340+1)+19,"00"),"")&amp;IF($C340&gt;=21,", "&amp;$A340&amp;"-"&amp;TEXT(($D340-$C340+1)+20,"00"),"")&amp;IF($C340&gt;=22,", "&amp;$A340&amp;"-"&amp;TEXT(($D340-$C340+1)+21,"00"),"")&amp;IF($C340&gt;=23,", "&amp;$A340&amp;"-"&amp;TEXT(($D340-$C340+1)+22,"00"),"")&amp;IF($C340&gt;=24,", "&amp;$A340&amp;"-"&amp;TEXT(($D340-$C340+1)+23,"00"),"")&amp;IF($C340&gt;=25,", "&amp;$A340&amp;"-"&amp;TEXT(($D340-$C340+1)+24,"00"),""))</f>
        <v/>
      </c>
      <c r="G340">
        <f>IF($A340="","",IF($E340=1,$F340,IF($F340="",$G339,IF($G339="",$F340,$G339&amp;", "&amp;$F340))))</f>
        <v/>
      </c>
      <c r="H340">
        <f>IF($A340="","",$A340&amp;" ("&amp;$C340&amp;")")</f>
        <v/>
      </c>
      <c r="I340">
        <f>IF($A340="","",IF($E340=1,$H340,$I339&amp;", "&amp;$H340))</f>
        <v/>
      </c>
      <c r="J340">
        <f>IF($A340="","",IF($E340=1,$B340,""))</f>
        <v/>
      </c>
      <c r="K340">
        <f>IF($A340="","",IF(COUNTIF($B$2:$B340,$B340)=COUNTIF($B$2:$B$1601,$B340),$B340,""))</f>
        <v/>
      </c>
    </row>
    <row r="341">
      <c r="A341">
        <f>IF('TMP Paste'!$E341="","",'TMP Paste'!$E341)</f>
        <v/>
      </c>
      <c r="B341">
        <f>IF($A341="","",COUNTIF('TMP Paste'!$B$2:$B341,"?*"))</f>
        <v/>
      </c>
      <c r="C341">
        <f>IF($A341="","",IFERROR('TMP Paste'!$M341*1,0))</f>
        <v/>
      </c>
      <c r="D341">
        <f>IF($A341="","",SUMIF($B$2:$B341,$B341,$C$2:$C341))</f>
        <v/>
      </c>
      <c r="E341">
        <f>IF($A341="",0,IF('TMP Paste'!$B341="",0,1))</f>
        <v/>
      </c>
      <c r="F341">
        <f>IF(OR($A341="",$C341&lt;1),"",$A341&amp;"-"&amp;TEXT(($D341-$C341+1),"00")&amp;IF($C341&gt;=2,", "&amp;$A341&amp;"-"&amp;TEXT(($D341-$C341+1)+1,"00"),"")&amp;IF($C341&gt;=3,", "&amp;$A341&amp;"-"&amp;TEXT(($D341-$C341+1)+2,"00"),"")&amp;IF($C341&gt;=4,", "&amp;$A341&amp;"-"&amp;TEXT(($D341-$C341+1)+3,"00"),"")&amp;IF($C341&gt;=5,", "&amp;$A341&amp;"-"&amp;TEXT(($D341-$C341+1)+4,"00"),"")&amp;IF($C341&gt;=6,", "&amp;$A341&amp;"-"&amp;TEXT(($D341-$C341+1)+5,"00"),"")&amp;IF($C341&gt;=7,", "&amp;$A341&amp;"-"&amp;TEXT(($D341-$C341+1)+6,"00"),"")&amp;IF($C341&gt;=8,", "&amp;$A341&amp;"-"&amp;TEXT(($D341-$C341+1)+7,"00"),"")&amp;IF($C341&gt;=9,", "&amp;$A341&amp;"-"&amp;TEXT(($D341-$C341+1)+8,"00"),"")&amp;IF($C341&gt;=10,", "&amp;$A341&amp;"-"&amp;TEXT(($D341-$C341+1)+9,"00"),"")&amp;IF($C341&gt;=11,", "&amp;$A341&amp;"-"&amp;TEXT(($D341-$C341+1)+10,"00"),"")&amp;IF($C341&gt;=12,", "&amp;$A341&amp;"-"&amp;TEXT(($D341-$C341+1)+11,"00"),"")&amp;IF($C341&gt;=13,", "&amp;$A341&amp;"-"&amp;TEXT(($D341-$C341+1)+12,"00"),"")&amp;IF($C341&gt;=14,", "&amp;$A341&amp;"-"&amp;TEXT(($D341-$C341+1)+13,"00"),"")&amp;IF($C341&gt;=15,", "&amp;$A341&amp;"-"&amp;TEXT(($D341-$C341+1)+14,"00"),"")&amp;IF($C341&gt;=16,", "&amp;$A341&amp;"-"&amp;TEXT(($D341-$C341+1)+15,"00"),"")&amp;IF($C341&gt;=17,", "&amp;$A341&amp;"-"&amp;TEXT(($D341-$C341+1)+16,"00"),"")&amp;IF($C341&gt;=18,", "&amp;$A341&amp;"-"&amp;TEXT(($D341-$C341+1)+17,"00"),"")&amp;IF($C341&gt;=19,", "&amp;$A341&amp;"-"&amp;TEXT(($D341-$C341+1)+18,"00"),"")&amp;IF($C341&gt;=20,", "&amp;$A341&amp;"-"&amp;TEXT(($D341-$C341+1)+19,"00"),"")&amp;IF($C341&gt;=21,", "&amp;$A341&amp;"-"&amp;TEXT(($D341-$C341+1)+20,"00"),"")&amp;IF($C341&gt;=22,", "&amp;$A341&amp;"-"&amp;TEXT(($D341-$C341+1)+21,"00"),"")&amp;IF($C341&gt;=23,", "&amp;$A341&amp;"-"&amp;TEXT(($D341-$C341+1)+22,"00"),"")&amp;IF($C341&gt;=24,", "&amp;$A341&amp;"-"&amp;TEXT(($D341-$C341+1)+23,"00"),"")&amp;IF($C341&gt;=25,", "&amp;$A341&amp;"-"&amp;TEXT(($D341-$C341+1)+24,"00"),""))</f>
        <v/>
      </c>
      <c r="G341">
        <f>IF($A341="","",IF($E341=1,$F341,IF($F341="",$G340,IF($G340="",$F341,$G340&amp;", "&amp;$F341))))</f>
        <v/>
      </c>
      <c r="H341">
        <f>IF($A341="","",$A341&amp;" ("&amp;$C341&amp;")")</f>
        <v/>
      </c>
      <c r="I341">
        <f>IF($A341="","",IF($E341=1,$H341,$I340&amp;", "&amp;$H341))</f>
        <v/>
      </c>
      <c r="J341">
        <f>IF($A341="","",IF($E341=1,$B341,""))</f>
        <v/>
      </c>
      <c r="K341">
        <f>IF($A341="","",IF(COUNTIF($B$2:$B341,$B341)=COUNTIF($B$2:$B$1601,$B341),$B341,""))</f>
        <v/>
      </c>
    </row>
    <row r="342">
      <c r="A342">
        <f>IF('TMP Paste'!$E342="","",'TMP Paste'!$E342)</f>
        <v/>
      </c>
      <c r="B342">
        <f>IF($A342="","",COUNTIF('TMP Paste'!$B$2:$B342,"?*"))</f>
        <v/>
      </c>
      <c r="C342">
        <f>IF($A342="","",IFERROR('TMP Paste'!$M342*1,0))</f>
        <v/>
      </c>
      <c r="D342">
        <f>IF($A342="","",SUMIF($B$2:$B342,$B342,$C$2:$C342))</f>
        <v/>
      </c>
      <c r="E342">
        <f>IF($A342="",0,IF('TMP Paste'!$B342="",0,1))</f>
        <v/>
      </c>
      <c r="F342">
        <f>IF(OR($A342="",$C342&lt;1),"",$A342&amp;"-"&amp;TEXT(($D342-$C342+1),"00")&amp;IF($C342&gt;=2,", "&amp;$A342&amp;"-"&amp;TEXT(($D342-$C342+1)+1,"00"),"")&amp;IF($C342&gt;=3,", "&amp;$A342&amp;"-"&amp;TEXT(($D342-$C342+1)+2,"00"),"")&amp;IF($C342&gt;=4,", "&amp;$A342&amp;"-"&amp;TEXT(($D342-$C342+1)+3,"00"),"")&amp;IF($C342&gt;=5,", "&amp;$A342&amp;"-"&amp;TEXT(($D342-$C342+1)+4,"00"),"")&amp;IF($C342&gt;=6,", "&amp;$A342&amp;"-"&amp;TEXT(($D342-$C342+1)+5,"00"),"")&amp;IF($C342&gt;=7,", "&amp;$A342&amp;"-"&amp;TEXT(($D342-$C342+1)+6,"00"),"")&amp;IF($C342&gt;=8,", "&amp;$A342&amp;"-"&amp;TEXT(($D342-$C342+1)+7,"00"),"")&amp;IF($C342&gt;=9,", "&amp;$A342&amp;"-"&amp;TEXT(($D342-$C342+1)+8,"00"),"")&amp;IF($C342&gt;=10,", "&amp;$A342&amp;"-"&amp;TEXT(($D342-$C342+1)+9,"00"),"")&amp;IF($C342&gt;=11,", "&amp;$A342&amp;"-"&amp;TEXT(($D342-$C342+1)+10,"00"),"")&amp;IF($C342&gt;=12,", "&amp;$A342&amp;"-"&amp;TEXT(($D342-$C342+1)+11,"00"),"")&amp;IF($C342&gt;=13,", "&amp;$A342&amp;"-"&amp;TEXT(($D342-$C342+1)+12,"00"),"")&amp;IF($C342&gt;=14,", "&amp;$A342&amp;"-"&amp;TEXT(($D342-$C342+1)+13,"00"),"")&amp;IF($C342&gt;=15,", "&amp;$A342&amp;"-"&amp;TEXT(($D342-$C342+1)+14,"00"),"")&amp;IF($C342&gt;=16,", "&amp;$A342&amp;"-"&amp;TEXT(($D342-$C342+1)+15,"00"),"")&amp;IF($C342&gt;=17,", "&amp;$A342&amp;"-"&amp;TEXT(($D342-$C342+1)+16,"00"),"")&amp;IF($C342&gt;=18,", "&amp;$A342&amp;"-"&amp;TEXT(($D342-$C342+1)+17,"00"),"")&amp;IF($C342&gt;=19,", "&amp;$A342&amp;"-"&amp;TEXT(($D342-$C342+1)+18,"00"),"")&amp;IF($C342&gt;=20,", "&amp;$A342&amp;"-"&amp;TEXT(($D342-$C342+1)+19,"00"),"")&amp;IF($C342&gt;=21,", "&amp;$A342&amp;"-"&amp;TEXT(($D342-$C342+1)+20,"00"),"")&amp;IF($C342&gt;=22,", "&amp;$A342&amp;"-"&amp;TEXT(($D342-$C342+1)+21,"00"),"")&amp;IF($C342&gt;=23,", "&amp;$A342&amp;"-"&amp;TEXT(($D342-$C342+1)+22,"00"),"")&amp;IF($C342&gt;=24,", "&amp;$A342&amp;"-"&amp;TEXT(($D342-$C342+1)+23,"00"),"")&amp;IF($C342&gt;=25,", "&amp;$A342&amp;"-"&amp;TEXT(($D342-$C342+1)+24,"00"),""))</f>
        <v/>
      </c>
      <c r="G342">
        <f>IF($A342="","",IF($E342=1,$F342,IF($F342="",$G341,IF($G341="",$F342,$G341&amp;", "&amp;$F342))))</f>
        <v/>
      </c>
      <c r="H342">
        <f>IF($A342="","",$A342&amp;" ("&amp;$C342&amp;")")</f>
        <v/>
      </c>
      <c r="I342">
        <f>IF($A342="","",IF($E342=1,$H342,$I341&amp;", "&amp;$H342))</f>
        <v/>
      </c>
      <c r="J342">
        <f>IF($A342="","",IF($E342=1,$B342,""))</f>
        <v/>
      </c>
      <c r="K342">
        <f>IF($A342="","",IF(COUNTIF($B$2:$B342,$B342)=COUNTIF($B$2:$B$1601,$B342),$B342,""))</f>
        <v/>
      </c>
    </row>
    <row r="343">
      <c r="A343">
        <f>IF('TMP Paste'!$E343="","",'TMP Paste'!$E343)</f>
        <v/>
      </c>
      <c r="B343">
        <f>IF($A343="","",COUNTIF('TMP Paste'!$B$2:$B343,"?*"))</f>
        <v/>
      </c>
      <c r="C343">
        <f>IF($A343="","",IFERROR('TMP Paste'!$M343*1,0))</f>
        <v/>
      </c>
      <c r="D343">
        <f>IF($A343="","",SUMIF($B$2:$B343,$B343,$C$2:$C343))</f>
        <v/>
      </c>
      <c r="E343">
        <f>IF($A343="",0,IF('TMP Paste'!$B343="",0,1))</f>
        <v/>
      </c>
      <c r="F343">
        <f>IF(OR($A343="",$C343&lt;1),"",$A343&amp;"-"&amp;TEXT(($D343-$C343+1),"00")&amp;IF($C343&gt;=2,", "&amp;$A343&amp;"-"&amp;TEXT(($D343-$C343+1)+1,"00"),"")&amp;IF($C343&gt;=3,", "&amp;$A343&amp;"-"&amp;TEXT(($D343-$C343+1)+2,"00"),"")&amp;IF($C343&gt;=4,", "&amp;$A343&amp;"-"&amp;TEXT(($D343-$C343+1)+3,"00"),"")&amp;IF($C343&gt;=5,", "&amp;$A343&amp;"-"&amp;TEXT(($D343-$C343+1)+4,"00"),"")&amp;IF($C343&gt;=6,", "&amp;$A343&amp;"-"&amp;TEXT(($D343-$C343+1)+5,"00"),"")&amp;IF($C343&gt;=7,", "&amp;$A343&amp;"-"&amp;TEXT(($D343-$C343+1)+6,"00"),"")&amp;IF($C343&gt;=8,", "&amp;$A343&amp;"-"&amp;TEXT(($D343-$C343+1)+7,"00"),"")&amp;IF($C343&gt;=9,", "&amp;$A343&amp;"-"&amp;TEXT(($D343-$C343+1)+8,"00"),"")&amp;IF($C343&gt;=10,", "&amp;$A343&amp;"-"&amp;TEXT(($D343-$C343+1)+9,"00"),"")&amp;IF($C343&gt;=11,", "&amp;$A343&amp;"-"&amp;TEXT(($D343-$C343+1)+10,"00"),"")&amp;IF($C343&gt;=12,", "&amp;$A343&amp;"-"&amp;TEXT(($D343-$C343+1)+11,"00"),"")&amp;IF($C343&gt;=13,", "&amp;$A343&amp;"-"&amp;TEXT(($D343-$C343+1)+12,"00"),"")&amp;IF($C343&gt;=14,", "&amp;$A343&amp;"-"&amp;TEXT(($D343-$C343+1)+13,"00"),"")&amp;IF($C343&gt;=15,", "&amp;$A343&amp;"-"&amp;TEXT(($D343-$C343+1)+14,"00"),"")&amp;IF($C343&gt;=16,", "&amp;$A343&amp;"-"&amp;TEXT(($D343-$C343+1)+15,"00"),"")&amp;IF($C343&gt;=17,", "&amp;$A343&amp;"-"&amp;TEXT(($D343-$C343+1)+16,"00"),"")&amp;IF($C343&gt;=18,", "&amp;$A343&amp;"-"&amp;TEXT(($D343-$C343+1)+17,"00"),"")&amp;IF($C343&gt;=19,", "&amp;$A343&amp;"-"&amp;TEXT(($D343-$C343+1)+18,"00"),"")&amp;IF($C343&gt;=20,", "&amp;$A343&amp;"-"&amp;TEXT(($D343-$C343+1)+19,"00"),"")&amp;IF($C343&gt;=21,", "&amp;$A343&amp;"-"&amp;TEXT(($D343-$C343+1)+20,"00"),"")&amp;IF($C343&gt;=22,", "&amp;$A343&amp;"-"&amp;TEXT(($D343-$C343+1)+21,"00"),"")&amp;IF($C343&gt;=23,", "&amp;$A343&amp;"-"&amp;TEXT(($D343-$C343+1)+22,"00"),"")&amp;IF($C343&gt;=24,", "&amp;$A343&amp;"-"&amp;TEXT(($D343-$C343+1)+23,"00"),"")&amp;IF($C343&gt;=25,", "&amp;$A343&amp;"-"&amp;TEXT(($D343-$C343+1)+24,"00"),""))</f>
        <v/>
      </c>
      <c r="G343">
        <f>IF($A343="","",IF($E343=1,$F343,IF($F343="",$G342,IF($G342="",$F343,$G342&amp;", "&amp;$F343))))</f>
        <v/>
      </c>
      <c r="H343">
        <f>IF($A343="","",$A343&amp;" ("&amp;$C343&amp;")")</f>
        <v/>
      </c>
      <c r="I343">
        <f>IF($A343="","",IF($E343=1,$H343,$I342&amp;", "&amp;$H343))</f>
        <v/>
      </c>
      <c r="J343">
        <f>IF($A343="","",IF($E343=1,$B343,""))</f>
        <v/>
      </c>
      <c r="K343">
        <f>IF($A343="","",IF(COUNTIF($B$2:$B343,$B343)=COUNTIF($B$2:$B$1601,$B343),$B343,""))</f>
        <v/>
      </c>
    </row>
    <row r="344">
      <c r="A344">
        <f>IF('TMP Paste'!$E344="","",'TMP Paste'!$E344)</f>
        <v/>
      </c>
      <c r="B344">
        <f>IF($A344="","",COUNTIF('TMP Paste'!$B$2:$B344,"?*"))</f>
        <v/>
      </c>
      <c r="C344">
        <f>IF($A344="","",IFERROR('TMP Paste'!$M344*1,0))</f>
        <v/>
      </c>
      <c r="D344">
        <f>IF($A344="","",SUMIF($B$2:$B344,$B344,$C$2:$C344))</f>
        <v/>
      </c>
      <c r="E344">
        <f>IF($A344="",0,IF('TMP Paste'!$B344="",0,1))</f>
        <v/>
      </c>
      <c r="F344">
        <f>IF(OR($A344="",$C344&lt;1),"",$A344&amp;"-"&amp;TEXT(($D344-$C344+1),"00")&amp;IF($C344&gt;=2,", "&amp;$A344&amp;"-"&amp;TEXT(($D344-$C344+1)+1,"00"),"")&amp;IF($C344&gt;=3,", "&amp;$A344&amp;"-"&amp;TEXT(($D344-$C344+1)+2,"00"),"")&amp;IF($C344&gt;=4,", "&amp;$A344&amp;"-"&amp;TEXT(($D344-$C344+1)+3,"00"),"")&amp;IF($C344&gt;=5,", "&amp;$A344&amp;"-"&amp;TEXT(($D344-$C344+1)+4,"00"),"")&amp;IF($C344&gt;=6,", "&amp;$A344&amp;"-"&amp;TEXT(($D344-$C344+1)+5,"00"),"")&amp;IF($C344&gt;=7,", "&amp;$A344&amp;"-"&amp;TEXT(($D344-$C344+1)+6,"00"),"")&amp;IF($C344&gt;=8,", "&amp;$A344&amp;"-"&amp;TEXT(($D344-$C344+1)+7,"00"),"")&amp;IF($C344&gt;=9,", "&amp;$A344&amp;"-"&amp;TEXT(($D344-$C344+1)+8,"00"),"")&amp;IF($C344&gt;=10,", "&amp;$A344&amp;"-"&amp;TEXT(($D344-$C344+1)+9,"00"),"")&amp;IF($C344&gt;=11,", "&amp;$A344&amp;"-"&amp;TEXT(($D344-$C344+1)+10,"00"),"")&amp;IF($C344&gt;=12,", "&amp;$A344&amp;"-"&amp;TEXT(($D344-$C344+1)+11,"00"),"")&amp;IF($C344&gt;=13,", "&amp;$A344&amp;"-"&amp;TEXT(($D344-$C344+1)+12,"00"),"")&amp;IF($C344&gt;=14,", "&amp;$A344&amp;"-"&amp;TEXT(($D344-$C344+1)+13,"00"),"")&amp;IF($C344&gt;=15,", "&amp;$A344&amp;"-"&amp;TEXT(($D344-$C344+1)+14,"00"),"")&amp;IF($C344&gt;=16,", "&amp;$A344&amp;"-"&amp;TEXT(($D344-$C344+1)+15,"00"),"")&amp;IF($C344&gt;=17,", "&amp;$A344&amp;"-"&amp;TEXT(($D344-$C344+1)+16,"00"),"")&amp;IF($C344&gt;=18,", "&amp;$A344&amp;"-"&amp;TEXT(($D344-$C344+1)+17,"00"),"")&amp;IF($C344&gt;=19,", "&amp;$A344&amp;"-"&amp;TEXT(($D344-$C344+1)+18,"00"),"")&amp;IF($C344&gt;=20,", "&amp;$A344&amp;"-"&amp;TEXT(($D344-$C344+1)+19,"00"),"")&amp;IF($C344&gt;=21,", "&amp;$A344&amp;"-"&amp;TEXT(($D344-$C344+1)+20,"00"),"")&amp;IF($C344&gt;=22,", "&amp;$A344&amp;"-"&amp;TEXT(($D344-$C344+1)+21,"00"),"")&amp;IF($C344&gt;=23,", "&amp;$A344&amp;"-"&amp;TEXT(($D344-$C344+1)+22,"00"),"")&amp;IF($C344&gt;=24,", "&amp;$A344&amp;"-"&amp;TEXT(($D344-$C344+1)+23,"00"),"")&amp;IF($C344&gt;=25,", "&amp;$A344&amp;"-"&amp;TEXT(($D344-$C344+1)+24,"00"),""))</f>
        <v/>
      </c>
      <c r="G344">
        <f>IF($A344="","",IF($E344=1,$F344,IF($F344="",$G343,IF($G343="",$F344,$G343&amp;", "&amp;$F344))))</f>
        <v/>
      </c>
      <c r="H344">
        <f>IF($A344="","",$A344&amp;" ("&amp;$C344&amp;")")</f>
        <v/>
      </c>
      <c r="I344">
        <f>IF($A344="","",IF($E344=1,$H344,$I343&amp;", "&amp;$H344))</f>
        <v/>
      </c>
      <c r="J344">
        <f>IF($A344="","",IF($E344=1,$B344,""))</f>
        <v/>
      </c>
      <c r="K344">
        <f>IF($A344="","",IF(COUNTIF($B$2:$B344,$B344)=COUNTIF($B$2:$B$1601,$B344),$B344,""))</f>
        <v/>
      </c>
    </row>
    <row r="345">
      <c r="A345">
        <f>IF('TMP Paste'!$E345="","",'TMP Paste'!$E345)</f>
        <v/>
      </c>
      <c r="B345">
        <f>IF($A345="","",COUNTIF('TMP Paste'!$B$2:$B345,"?*"))</f>
        <v/>
      </c>
      <c r="C345">
        <f>IF($A345="","",IFERROR('TMP Paste'!$M345*1,0))</f>
        <v/>
      </c>
      <c r="D345">
        <f>IF($A345="","",SUMIF($B$2:$B345,$B345,$C$2:$C345))</f>
        <v/>
      </c>
      <c r="E345">
        <f>IF($A345="",0,IF('TMP Paste'!$B345="",0,1))</f>
        <v/>
      </c>
      <c r="F345">
        <f>IF(OR($A345="",$C345&lt;1),"",$A345&amp;"-"&amp;TEXT(($D345-$C345+1),"00")&amp;IF($C345&gt;=2,", "&amp;$A345&amp;"-"&amp;TEXT(($D345-$C345+1)+1,"00"),"")&amp;IF($C345&gt;=3,", "&amp;$A345&amp;"-"&amp;TEXT(($D345-$C345+1)+2,"00"),"")&amp;IF($C345&gt;=4,", "&amp;$A345&amp;"-"&amp;TEXT(($D345-$C345+1)+3,"00"),"")&amp;IF($C345&gt;=5,", "&amp;$A345&amp;"-"&amp;TEXT(($D345-$C345+1)+4,"00"),"")&amp;IF($C345&gt;=6,", "&amp;$A345&amp;"-"&amp;TEXT(($D345-$C345+1)+5,"00"),"")&amp;IF($C345&gt;=7,", "&amp;$A345&amp;"-"&amp;TEXT(($D345-$C345+1)+6,"00"),"")&amp;IF($C345&gt;=8,", "&amp;$A345&amp;"-"&amp;TEXT(($D345-$C345+1)+7,"00"),"")&amp;IF($C345&gt;=9,", "&amp;$A345&amp;"-"&amp;TEXT(($D345-$C345+1)+8,"00"),"")&amp;IF($C345&gt;=10,", "&amp;$A345&amp;"-"&amp;TEXT(($D345-$C345+1)+9,"00"),"")&amp;IF($C345&gt;=11,", "&amp;$A345&amp;"-"&amp;TEXT(($D345-$C345+1)+10,"00"),"")&amp;IF($C345&gt;=12,", "&amp;$A345&amp;"-"&amp;TEXT(($D345-$C345+1)+11,"00"),"")&amp;IF($C345&gt;=13,", "&amp;$A345&amp;"-"&amp;TEXT(($D345-$C345+1)+12,"00"),"")&amp;IF($C345&gt;=14,", "&amp;$A345&amp;"-"&amp;TEXT(($D345-$C345+1)+13,"00"),"")&amp;IF($C345&gt;=15,", "&amp;$A345&amp;"-"&amp;TEXT(($D345-$C345+1)+14,"00"),"")&amp;IF($C345&gt;=16,", "&amp;$A345&amp;"-"&amp;TEXT(($D345-$C345+1)+15,"00"),"")&amp;IF($C345&gt;=17,", "&amp;$A345&amp;"-"&amp;TEXT(($D345-$C345+1)+16,"00"),"")&amp;IF($C345&gt;=18,", "&amp;$A345&amp;"-"&amp;TEXT(($D345-$C345+1)+17,"00"),"")&amp;IF($C345&gt;=19,", "&amp;$A345&amp;"-"&amp;TEXT(($D345-$C345+1)+18,"00"),"")&amp;IF($C345&gt;=20,", "&amp;$A345&amp;"-"&amp;TEXT(($D345-$C345+1)+19,"00"),"")&amp;IF($C345&gt;=21,", "&amp;$A345&amp;"-"&amp;TEXT(($D345-$C345+1)+20,"00"),"")&amp;IF($C345&gt;=22,", "&amp;$A345&amp;"-"&amp;TEXT(($D345-$C345+1)+21,"00"),"")&amp;IF($C345&gt;=23,", "&amp;$A345&amp;"-"&amp;TEXT(($D345-$C345+1)+22,"00"),"")&amp;IF($C345&gt;=24,", "&amp;$A345&amp;"-"&amp;TEXT(($D345-$C345+1)+23,"00"),"")&amp;IF($C345&gt;=25,", "&amp;$A345&amp;"-"&amp;TEXT(($D345-$C345+1)+24,"00"),""))</f>
        <v/>
      </c>
      <c r="G345">
        <f>IF($A345="","",IF($E345=1,$F345,IF($F345="",$G344,IF($G344="",$F345,$G344&amp;", "&amp;$F345))))</f>
        <v/>
      </c>
      <c r="H345">
        <f>IF($A345="","",$A345&amp;" ("&amp;$C345&amp;")")</f>
        <v/>
      </c>
      <c r="I345">
        <f>IF($A345="","",IF($E345=1,$H345,$I344&amp;", "&amp;$H345))</f>
        <v/>
      </c>
      <c r="J345">
        <f>IF($A345="","",IF($E345=1,$B345,""))</f>
        <v/>
      </c>
      <c r="K345">
        <f>IF($A345="","",IF(COUNTIF($B$2:$B345,$B345)=COUNTIF($B$2:$B$1601,$B345),$B345,""))</f>
        <v/>
      </c>
    </row>
    <row r="346">
      <c r="A346">
        <f>IF('TMP Paste'!$E346="","",'TMP Paste'!$E346)</f>
        <v/>
      </c>
      <c r="B346">
        <f>IF($A346="","",COUNTIF('TMP Paste'!$B$2:$B346,"?*"))</f>
        <v/>
      </c>
      <c r="C346">
        <f>IF($A346="","",IFERROR('TMP Paste'!$M346*1,0))</f>
        <v/>
      </c>
      <c r="D346">
        <f>IF($A346="","",SUMIF($B$2:$B346,$B346,$C$2:$C346))</f>
        <v/>
      </c>
      <c r="E346">
        <f>IF($A346="",0,IF('TMP Paste'!$B346="",0,1))</f>
        <v/>
      </c>
      <c r="F346">
        <f>IF(OR($A346="",$C346&lt;1),"",$A346&amp;"-"&amp;TEXT(($D346-$C346+1),"00")&amp;IF($C346&gt;=2,", "&amp;$A346&amp;"-"&amp;TEXT(($D346-$C346+1)+1,"00"),"")&amp;IF($C346&gt;=3,", "&amp;$A346&amp;"-"&amp;TEXT(($D346-$C346+1)+2,"00"),"")&amp;IF($C346&gt;=4,", "&amp;$A346&amp;"-"&amp;TEXT(($D346-$C346+1)+3,"00"),"")&amp;IF($C346&gt;=5,", "&amp;$A346&amp;"-"&amp;TEXT(($D346-$C346+1)+4,"00"),"")&amp;IF($C346&gt;=6,", "&amp;$A346&amp;"-"&amp;TEXT(($D346-$C346+1)+5,"00"),"")&amp;IF($C346&gt;=7,", "&amp;$A346&amp;"-"&amp;TEXT(($D346-$C346+1)+6,"00"),"")&amp;IF($C346&gt;=8,", "&amp;$A346&amp;"-"&amp;TEXT(($D346-$C346+1)+7,"00"),"")&amp;IF($C346&gt;=9,", "&amp;$A346&amp;"-"&amp;TEXT(($D346-$C346+1)+8,"00"),"")&amp;IF($C346&gt;=10,", "&amp;$A346&amp;"-"&amp;TEXT(($D346-$C346+1)+9,"00"),"")&amp;IF($C346&gt;=11,", "&amp;$A346&amp;"-"&amp;TEXT(($D346-$C346+1)+10,"00"),"")&amp;IF($C346&gt;=12,", "&amp;$A346&amp;"-"&amp;TEXT(($D346-$C346+1)+11,"00"),"")&amp;IF($C346&gt;=13,", "&amp;$A346&amp;"-"&amp;TEXT(($D346-$C346+1)+12,"00"),"")&amp;IF($C346&gt;=14,", "&amp;$A346&amp;"-"&amp;TEXT(($D346-$C346+1)+13,"00"),"")&amp;IF($C346&gt;=15,", "&amp;$A346&amp;"-"&amp;TEXT(($D346-$C346+1)+14,"00"),"")&amp;IF($C346&gt;=16,", "&amp;$A346&amp;"-"&amp;TEXT(($D346-$C346+1)+15,"00"),"")&amp;IF($C346&gt;=17,", "&amp;$A346&amp;"-"&amp;TEXT(($D346-$C346+1)+16,"00"),"")&amp;IF($C346&gt;=18,", "&amp;$A346&amp;"-"&amp;TEXT(($D346-$C346+1)+17,"00"),"")&amp;IF($C346&gt;=19,", "&amp;$A346&amp;"-"&amp;TEXT(($D346-$C346+1)+18,"00"),"")&amp;IF($C346&gt;=20,", "&amp;$A346&amp;"-"&amp;TEXT(($D346-$C346+1)+19,"00"),"")&amp;IF($C346&gt;=21,", "&amp;$A346&amp;"-"&amp;TEXT(($D346-$C346+1)+20,"00"),"")&amp;IF($C346&gt;=22,", "&amp;$A346&amp;"-"&amp;TEXT(($D346-$C346+1)+21,"00"),"")&amp;IF($C346&gt;=23,", "&amp;$A346&amp;"-"&amp;TEXT(($D346-$C346+1)+22,"00"),"")&amp;IF($C346&gt;=24,", "&amp;$A346&amp;"-"&amp;TEXT(($D346-$C346+1)+23,"00"),"")&amp;IF($C346&gt;=25,", "&amp;$A346&amp;"-"&amp;TEXT(($D346-$C346+1)+24,"00"),""))</f>
        <v/>
      </c>
      <c r="G346">
        <f>IF($A346="","",IF($E346=1,$F346,IF($F346="",$G345,IF($G345="",$F346,$G345&amp;", "&amp;$F346))))</f>
        <v/>
      </c>
      <c r="H346">
        <f>IF($A346="","",$A346&amp;" ("&amp;$C346&amp;")")</f>
        <v/>
      </c>
      <c r="I346">
        <f>IF($A346="","",IF($E346=1,$H346,$I345&amp;", "&amp;$H346))</f>
        <v/>
      </c>
      <c r="J346">
        <f>IF($A346="","",IF($E346=1,$B346,""))</f>
        <v/>
      </c>
      <c r="K346">
        <f>IF($A346="","",IF(COUNTIF($B$2:$B346,$B346)=COUNTIF($B$2:$B$1601,$B346),$B346,""))</f>
        <v/>
      </c>
    </row>
    <row r="347">
      <c r="A347">
        <f>IF('TMP Paste'!$E347="","",'TMP Paste'!$E347)</f>
        <v/>
      </c>
      <c r="B347">
        <f>IF($A347="","",COUNTIF('TMP Paste'!$B$2:$B347,"?*"))</f>
        <v/>
      </c>
      <c r="C347">
        <f>IF($A347="","",IFERROR('TMP Paste'!$M347*1,0))</f>
        <v/>
      </c>
      <c r="D347">
        <f>IF($A347="","",SUMIF($B$2:$B347,$B347,$C$2:$C347))</f>
        <v/>
      </c>
      <c r="E347">
        <f>IF($A347="",0,IF('TMP Paste'!$B347="",0,1))</f>
        <v/>
      </c>
      <c r="F347">
        <f>IF(OR($A347="",$C347&lt;1),"",$A347&amp;"-"&amp;TEXT(($D347-$C347+1),"00")&amp;IF($C347&gt;=2,", "&amp;$A347&amp;"-"&amp;TEXT(($D347-$C347+1)+1,"00"),"")&amp;IF($C347&gt;=3,", "&amp;$A347&amp;"-"&amp;TEXT(($D347-$C347+1)+2,"00"),"")&amp;IF($C347&gt;=4,", "&amp;$A347&amp;"-"&amp;TEXT(($D347-$C347+1)+3,"00"),"")&amp;IF($C347&gt;=5,", "&amp;$A347&amp;"-"&amp;TEXT(($D347-$C347+1)+4,"00"),"")&amp;IF($C347&gt;=6,", "&amp;$A347&amp;"-"&amp;TEXT(($D347-$C347+1)+5,"00"),"")&amp;IF($C347&gt;=7,", "&amp;$A347&amp;"-"&amp;TEXT(($D347-$C347+1)+6,"00"),"")&amp;IF($C347&gt;=8,", "&amp;$A347&amp;"-"&amp;TEXT(($D347-$C347+1)+7,"00"),"")&amp;IF($C347&gt;=9,", "&amp;$A347&amp;"-"&amp;TEXT(($D347-$C347+1)+8,"00"),"")&amp;IF($C347&gt;=10,", "&amp;$A347&amp;"-"&amp;TEXT(($D347-$C347+1)+9,"00"),"")&amp;IF($C347&gt;=11,", "&amp;$A347&amp;"-"&amp;TEXT(($D347-$C347+1)+10,"00"),"")&amp;IF($C347&gt;=12,", "&amp;$A347&amp;"-"&amp;TEXT(($D347-$C347+1)+11,"00"),"")&amp;IF($C347&gt;=13,", "&amp;$A347&amp;"-"&amp;TEXT(($D347-$C347+1)+12,"00"),"")&amp;IF($C347&gt;=14,", "&amp;$A347&amp;"-"&amp;TEXT(($D347-$C347+1)+13,"00"),"")&amp;IF($C347&gt;=15,", "&amp;$A347&amp;"-"&amp;TEXT(($D347-$C347+1)+14,"00"),"")&amp;IF($C347&gt;=16,", "&amp;$A347&amp;"-"&amp;TEXT(($D347-$C347+1)+15,"00"),"")&amp;IF($C347&gt;=17,", "&amp;$A347&amp;"-"&amp;TEXT(($D347-$C347+1)+16,"00"),"")&amp;IF($C347&gt;=18,", "&amp;$A347&amp;"-"&amp;TEXT(($D347-$C347+1)+17,"00"),"")&amp;IF($C347&gt;=19,", "&amp;$A347&amp;"-"&amp;TEXT(($D347-$C347+1)+18,"00"),"")&amp;IF($C347&gt;=20,", "&amp;$A347&amp;"-"&amp;TEXT(($D347-$C347+1)+19,"00"),"")&amp;IF($C347&gt;=21,", "&amp;$A347&amp;"-"&amp;TEXT(($D347-$C347+1)+20,"00"),"")&amp;IF($C347&gt;=22,", "&amp;$A347&amp;"-"&amp;TEXT(($D347-$C347+1)+21,"00"),"")&amp;IF($C347&gt;=23,", "&amp;$A347&amp;"-"&amp;TEXT(($D347-$C347+1)+22,"00"),"")&amp;IF($C347&gt;=24,", "&amp;$A347&amp;"-"&amp;TEXT(($D347-$C347+1)+23,"00"),"")&amp;IF($C347&gt;=25,", "&amp;$A347&amp;"-"&amp;TEXT(($D347-$C347+1)+24,"00"),""))</f>
        <v/>
      </c>
      <c r="G347">
        <f>IF($A347="","",IF($E347=1,$F347,IF($F347="",$G346,IF($G346="",$F347,$G346&amp;", "&amp;$F347))))</f>
        <v/>
      </c>
      <c r="H347">
        <f>IF($A347="","",$A347&amp;" ("&amp;$C347&amp;")")</f>
        <v/>
      </c>
      <c r="I347">
        <f>IF($A347="","",IF($E347=1,$H347,$I346&amp;", "&amp;$H347))</f>
        <v/>
      </c>
      <c r="J347">
        <f>IF($A347="","",IF($E347=1,$B347,""))</f>
        <v/>
      </c>
      <c r="K347">
        <f>IF($A347="","",IF(COUNTIF($B$2:$B347,$B347)=COUNTIF($B$2:$B$1601,$B347),$B347,""))</f>
        <v/>
      </c>
    </row>
    <row r="348">
      <c r="A348">
        <f>IF('TMP Paste'!$E348="","",'TMP Paste'!$E348)</f>
        <v/>
      </c>
      <c r="B348">
        <f>IF($A348="","",COUNTIF('TMP Paste'!$B$2:$B348,"?*"))</f>
        <v/>
      </c>
      <c r="C348">
        <f>IF($A348="","",IFERROR('TMP Paste'!$M348*1,0))</f>
        <v/>
      </c>
      <c r="D348">
        <f>IF($A348="","",SUMIF($B$2:$B348,$B348,$C$2:$C348))</f>
        <v/>
      </c>
      <c r="E348">
        <f>IF($A348="",0,IF('TMP Paste'!$B348="",0,1))</f>
        <v/>
      </c>
      <c r="F348">
        <f>IF(OR($A348="",$C348&lt;1),"",$A348&amp;"-"&amp;TEXT(($D348-$C348+1),"00")&amp;IF($C348&gt;=2,", "&amp;$A348&amp;"-"&amp;TEXT(($D348-$C348+1)+1,"00"),"")&amp;IF($C348&gt;=3,", "&amp;$A348&amp;"-"&amp;TEXT(($D348-$C348+1)+2,"00"),"")&amp;IF($C348&gt;=4,", "&amp;$A348&amp;"-"&amp;TEXT(($D348-$C348+1)+3,"00"),"")&amp;IF($C348&gt;=5,", "&amp;$A348&amp;"-"&amp;TEXT(($D348-$C348+1)+4,"00"),"")&amp;IF($C348&gt;=6,", "&amp;$A348&amp;"-"&amp;TEXT(($D348-$C348+1)+5,"00"),"")&amp;IF($C348&gt;=7,", "&amp;$A348&amp;"-"&amp;TEXT(($D348-$C348+1)+6,"00"),"")&amp;IF($C348&gt;=8,", "&amp;$A348&amp;"-"&amp;TEXT(($D348-$C348+1)+7,"00"),"")&amp;IF($C348&gt;=9,", "&amp;$A348&amp;"-"&amp;TEXT(($D348-$C348+1)+8,"00"),"")&amp;IF($C348&gt;=10,", "&amp;$A348&amp;"-"&amp;TEXT(($D348-$C348+1)+9,"00"),"")&amp;IF($C348&gt;=11,", "&amp;$A348&amp;"-"&amp;TEXT(($D348-$C348+1)+10,"00"),"")&amp;IF($C348&gt;=12,", "&amp;$A348&amp;"-"&amp;TEXT(($D348-$C348+1)+11,"00"),"")&amp;IF($C348&gt;=13,", "&amp;$A348&amp;"-"&amp;TEXT(($D348-$C348+1)+12,"00"),"")&amp;IF($C348&gt;=14,", "&amp;$A348&amp;"-"&amp;TEXT(($D348-$C348+1)+13,"00"),"")&amp;IF($C348&gt;=15,", "&amp;$A348&amp;"-"&amp;TEXT(($D348-$C348+1)+14,"00"),"")&amp;IF($C348&gt;=16,", "&amp;$A348&amp;"-"&amp;TEXT(($D348-$C348+1)+15,"00"),"")&amp;IF($C348&gt;=17,", "&amp;$A348&amp;"-"&amp;TEXT(($D348-$C348+1)+16,"00"),"")&amp;IF($C348&gt;=18,", "&amp;$A348&amp;"-"&amp;TEXT(($D348-$C348+1)+17,"00"),"")&amp;IF($C348&gt;=19,", "&amp;$A348&amp;"-"&amp;TEXT(($D348-$C348+1)+18,"00"),"")&amp;IF($C348&gt;=20,", "&amp;$A348&amp;"-"&amp;TEXT(($D348-$C348+1)+19,"00"),"")&amp;IF($C348&gt;=21,", "&amp;$A348&amp;"-"&amp;TEXT(($D348-$C348+1)+20,"00"),"")&amp;IF($C348&gt;=22,", "&amp;$A348&amp;"-"&amp;TEXT(($D348-$C348+1)+21,"00"),"")&amp;IF($C348&gt;=23,", "&amp;$A348&amp;"-"&amp;TEXT(($D348-$C348+1)+22,"00"),"")&amp;IF($C348&gt;=24,", "&amp;$A348&amp;"-"&amp;TEXT(($D348-$C348+1)+23,"00"),"")&amp;IF($C348&gt;=25,", "&amp;$A348&amp;"-"&amp;TEXT(($D348-$C348+1)+24,"00"),""))</f>
        <v/>
      </c>
      <c r="G348">
        <f>IF($A348="","",IF($E348=1,$F348,IF($F348="",$G347,IF($G347="",$F348,$G347&amp;", "&amp;$F348))))</f>
        <v/>
      </c>
      <c r="H348">
        <f>IF($A348="","",$A348&amp;" ("&amp;$C348&amp;")")</f>
        <v/>
      </c>
      <c r="I348">
        <f>IF($A348="","",IF($E348=1,$H348,$I347&amp;", "&amp;$H348))</f>
        <v/>
      </c>
      <c r="J348">
        <f>IF($A348="","",IF($E348=1,$B348,""))</f>
        <v/>
      </c>
      <c r="K348">
        <f>IF($A348="","",IF(COUNTIF($B$2:$B348,$B348)=COUNTIF($B$2:$B$1601,$B348),$B348,""))</f>
        <v/>
      </c>
    </row>
    <row r="349">
      <c r="A349">
        <f>IF('TMP Paste'!$E349="","",'TMP Paste'!$E349)</f>
        <v/>
      </c>
      <c r="B349">
        <f>IF($A349="","",COUNTIF('TMP Paste'!$B$2:$B349,"?*"))</f>
        <v/>
      </c>
      <c r="C349">
        <f>IF($A349="","",IFERROR('TMP Paste'!$M349*1,0))</f>
        <v/>
      </c>
      <c r="D349">
        <f>IF($A349="","",SUMIF($B$2:$B349,$B349,$C$2:$C349))</f>
        <v/>
      </c>
      <c r="E349">
        <f>IF($A349="",0,IF('TMP Paste'!$B349="",0,1))</f>
        <v/>
      </c>
      <c r="F349">
        <f>IF(OR($A349="",$C349&lt;1),"",$A349&amp;"-"&amp;TEXT(($D349-$C349+1),"00")&amp;IF($C349&gt;=2,", "&amp;$A349&amp;"-"&amp;TEXT(($D349-$C349+1)+1,"00"),"")&amp;IF($C349&gt;=3,", "&amp;$A349&amp;"-"&amp;TEXT(($D349-$C349+1)+2,"00"),"")&amp;IF($C349&gt;=4,", "&amp;$A349&amp;"-"&amp;TEXT(($D349-$C349+1)+3,"00"),"")&amp;IF($C349&gt;=5,", "&amp;$A349&amp;"-"&amp;TEXT(($D349-$C349+1)+4,"00"),"")&amp;IF($C349&gt;=6,", "&amp;$A349&amp;"-"&amp;TEXT(($D349-$C349+1)+5,"00"),"")&amp;IF($C349&gt;=7,", "&amp;$A349&amp;"-"&amp;TEXT(($D349-$C349+1)+6,"00"),"")&amp;IF($C349&gt;=8,", "&amp;$A349&amp;"-"&amp;TEXT(($D349-$C349+1)+7,"00"),"")&amp;IF($C349&gt;=9,", "&amp;$A349&amp;"-"&amp;TEXT(($D349-$C349+1)+8,"00"),"")&amp;IF($C349&gt;=10,", "&amp;$A349&amp;"-"&amp;TEXT(($D349-$C349+1)+9,"00"),"")&amp;IF($C349&gt;=11,", "&amp;$A349&amp;"-"&amp;TEXT(($D349-$C349+1)+10,"00"),"")&amp;IF($C349&gt;=12,", "&amp;$A349&amp;"-"&amp;TEXT(($D349-$C349+1)+11,"00"),"")&amp;IF($C349&gt;=13,", "&amp;$A349&amp;"-"&amp;TEXT(($D349-$C349+1)+12,"00"),"")&amp;IF($C349&gt;=14,", "&amp;$A349&amp;"-"&amp;TEXT(($D349-$C349+1)+13,"00"),"")&amp;IF($C349&gt;=15,", "&amp;$A349&amp;"-"&amp;TEXT(($D349-$C349+1)+14,"00"),"")&amp;IF($C349&gt;=16,", "&amp;$A349&amp;"-"&amp;TEXT(($D349-$C349+1)+15,"00"),"")&amp;IF($C349&gt;=17,", "&amp;$A349&amp;"-"&amp;TEXT(($D349-$C349+1)+16,"00"),"")&amp;IF($C349&gt;=18,", "&amp;$A349&amp;"-"&amp;TEXT(($D349-$C349+1)+17,"00"),"")&amp;IF($C349&gt;=19,", "&amp;$A349&amp;"-"&amp;TEXT(($D349-$C349+1)+18,"00"),"")&amp;IF($C349&gt;=20,", "&amp;$A349&amp;"-"&amp;TEXT(($D349-$C349+1)+19,"00"),"")&amp;IF($C349&gt;=21,", "&amp;$A349&amp;"-"&amp;TEXT(($D349-$C349+1)+20,"00"),"")&amp;IF($C349&gt;=22,", "&amp;$A349&amp;"-"&amp;TEXT(($D349-$C349+1)+21,"00"),"")&amp;IF($C349&gt;=23,", "&amp;$A349&amp;"-"&amp;TEXT(($D349-$C349+1)+22,"00"),"")&amp;IF($C349&gt;=24,", "&amp;$A349&amp;"-"&amp;TEXT(($D349-$C349+1)+23,"00"),"")&amp;IF($C349&gt;=25,", "&amp;$A349&amp;"-"&amp;TEXT(($D349-$C349+1)+24,"00"),""))</f>
        <v/>
      </c>
      <c r="G349">
        <f>IF($A349="","",IF($E349=1,$F349,IF($F349="",$G348,IF($G348="",$F349,$G348&amp;", "&amp;$F349))))</f>
        <v/>
      </c>
      <c r="H349">
        <f>IF($A349="","",$A349&amp;" ("&amp;$C349&amp;")")</f>
        <v/>
      </c>
      <c r="I349">
        <f>IF($A349="","",IF($E349=1,$H349,$I348&amp;", "&amp;$H349))</f>
        <v/>
      </c>
      <c r="J349">
        <f>IF($A349="","",IF($E349=1,$B349,""))</f>
        <v/>
      </c>
      <c r="K349">
        <f>IF($A349="","",IF(COUNTIF($B$2:$B349,$B349)=COUNTIF($B$2:$B$1601,$B349),$B349,""))</f>
        <v/>
      </c>
    </row>
    <row r="350">
      <c r="A350">
        <f>IF('TMP Paste'!$E350="","",'TMP Paste'!$E350)</f>
        <v/>
      </c>
      <c r="B350">
        <f>IF($A350="","",COUNTIF('TMP Paste'!$B$2:$B350,"?*"))</f>
        <v/>
      </c>
      <c r="C350">
        <f>IF($A350="","",IFERROR('TMP Paste'!$M350*1,0))</f>
        <v/>
      </c>
      <c r="D350">
        <f>IF($A350="","",SUMIF($B$2:$B350,$B350,$C$2:$C350))</f>
        <v/>
      </c>
      <c r="E350">
        <f>IF($A350="",0,IF('TMP Paste'!$B350="",0,1))</f>
        <v/>
      </c>
      <c r="F350">
        <f>IF(OR($A350="",$C350&lt;1),"",$A350&amp;"-"&amp;TEXT(($D350-$C350+1),"00")&amp;IF($C350&gt;=2,", "&amp;$A350&amp;"-"&amp;TEXT(($D350-$C350+1)+1,"00"),"")&amp;IF($C350&gt;=3,", "&amp;$A350&amp;"-"&amp;TEXT(($D350-$C350+1)+2,"00"),"")&amp;IF($C350&gt;=4,", "&amp;$A350&amp;"-"&amp;TEXT(($D350-$C350+1)+3,"00"),"")&amp;IF($C350&gt;=5,", "&amp;$A350&amp;"-"&amp;TEXT(($D350-$C350+1)+4,"00"),"")&amp;IF($C350&gt;=6,", "&amp;$A350&amp;"-"&amp;TEXT(($D350-$C350+1)+5,"00"),"")&amp;IF($C350&gt;=7,", "&amp;$A350&amp;"-"&amp;TEXT(($D350-$C350+1)+6,"00"),"")&amp;IF($C350&gt;=8,", "&amp;$A350&amp;"-"&amp;TEXT(($D350-$C350+1)+7,"00"),"")&amp;IF($C350&gt;=9,", "&amp;$A350&amp;"-"&amp;TEXT(($D350-$C350+1)+8,"00"),"")&amp;IF($C350&gt;=10,", "&amp;$A350&amp;"-"&amp;TEXT(($D350-$C350+1)+9,"00"),"")&amp;IF($C350&gt;=11,", "&amp;$A350&amp;"-"&amp;TEXT(($D350-$C350+1)+10,"00"),"")&amp;IF($C350&gt;=12,", "&amp;$A350&amp;"-"&amp;TEXT(($D350-$C350+1)+11,"00"),"")&amp;IF($C350&gt;=13,", "&amp;$A350&amp;"-"&amp;TEXT(($D350-$C350+1)+12,"00"),"")&amp;IF($C350&gt;=14,", "&amp;$A350&amp;"-"&amp;TEXT(($D350-$C350+1)+13,"00"),"")&amp;IF($C350&gt;=15,", "&amp;$A350&amp;"-"&amp;TEXT(($D350-$C350+1)+14,"00"),"")&amp;IF($C350&gt;=16,", "&amp;$A350&amp;"-"&amp;TEXT(($D350-$C350+1)+15,"00"),"")&amp;IF($C350&gt;=17,", "&amp;$A350&amp;"-"&amp;TEXT(($D350-$C350+1)+16,"00"),"")&amp;IF($C350&gt;=18,", "&amp;$A350&amp;"-"&amp;TEXT(($D350-$C350+1)+17,"00"),"")&amp;IF($C350&gt;=19,", "&amp;$A350&amp;"-"&amp;TEXT(($D350-$C350+1)+18,"00"),"")&amp;IF($C350&gt;=20,", "&amp;$A350&amp;"-"&amp;TEXT(($D350-$C350+1)+19,"00"),"")&amp;IF($C350&gt;=21,", "&amp;$A350&amp;"-"&amp;TEXT(($D350-$C350+1)+20,"00"),"")&amp;IF($C350&gt;=22,", "&amp;$A350&amp;"-"&amp;TEXT(($D350-$C350+1)+21,"00"),"")&amp;IF($C350&gt;=23,", "&amp;$A350&amp;"-"&amp;TEXT(($D350-$C350+1)+22,"00"),"")&amp;IF($C350&gt;=24,", "&amp;$A350&amp;"-"&amp;TEXT(($D350-$C350+1)+23,"00"),"")&amp;IF($C350&gt;=25,", "&amp;$A350&amp;"-"&amp;TEXT(($D350-$C350+1)+24,"00"),""))</f>
        <v/>
      </c>
      <c r="G350">
        <f>IF($A350="","",IF($E350=1,$F350,IF($F350="",$G349,IF($G349="",$F350,$G349&amp;", "&amp;$F350))))</f>
        <v/>
      </c>
      <c r="H350">
        <f>IF($A350="","",$A350&amp;" ("&amp;$C350&amp;")")</f>
        <v/>
      </c>
      <c r="I350">
        <f>IF($A350="","",IF($E350=1,$H350,$I349&amp;", "&amp;$H350))</f>
        <v/>
      </c>
      <c r="J350">
        <f>IF($A350="","",IF($E350=1,$B350,""))</f>
        <v/>
      </c>
      <c r="K350">
        <f>IF($A350="","",IF(COUNTIF($B$2:$B350,$B350)=COUNTIF($B$2:$B$1601,$B350),$B350,""))</f>
        <v/>
      </c>
    </row>
    <row r="351">
      <c r="A351">
        <f>IF('TMP Paste'!$E351="","",'TMP Paste'!$E351)</f>
        <v/>
      </c>
      <c r="B351">
        <f>IF($A351="","",COUNTIF('TMP Paste'!$B$2:$B351,"?*"))</f>
        <v/>
      </c>
      <c r="C351">
        <f>IF($A351="","",IFERROR('TMP Paste'!$M351*1,0))</f>
        <v/>
      </c>
      <c r="D351">
        <f>IF($A351="","",SUMIF($B$2:$B351,$B351,$C$2:$C351))</f>
        <v/>
      </c>
      <c r="E351">
        <f>IF($A351="",0,IF('TMP Paste'!$B351="",0,1))</f>
        <v/>
      </c>
      <c r="F351">
        <f>IF(OR($A351="",$C351&lt;1),"",$A351&amp;"-"&amp;TEXT(($D351-$C351+1),"00")&amp;IF($C351&gt;=2,", "&amp;$A351&amp;"-"&amp;TEXT(($D351-$C351+1)+1,"00"),"")&amp;IF($C351&gt;=3,", "&amp;$A351&amp;"-"&amp;TEXT(($D351-$C351+1)+2,"00"),"")&amp;IF($C351&gt;=4,", "&amp;$A351&amp;"-"&amp;TEXT(($D351-$C351+1)+3,"00"),"")&amp;IF($C351&gt;=5,", "&amp;$A351&amp;"-"&amp;TEXT(($D351-$C351+1)+4,"00"),"")&amp;IF($C351&gt;=6,", "&amp;$A351&amp;"-"&amp;TEXT(($D351-$C351+1)+5,"00"),"")&amp;IF($C351&gt;=7,", "&amp;$A351&amp;"-"&amp;TEXT(($D351-$C351+1)+6,"00"),"")&amp;IF($C351&gt;=8,", "&amp;$A351&amp;"-"&amp;TEXT(($D351-$C351+1)+7,"00"),"")&amp;IF($C351&gt;=9,", "&amp;$A351&amp;"-"&amp;TEXT(($D351-$C351+1)+8,"00"),"")&amp;IF($C351&gt;=10,", "&amp;$A351&amp;"-"&amp;TEXT(($D351-$C351+1)+9,"00"),"")&amp;IF($C351&gt;=11,", "&amp;$A351&amp;"-"&amp;TEXT(($D351-$C351+1)+10,"00"),"")&amp;IF($C351&gt;=12,", "&amp;$A351&amp;"-"&amp;TEXT(($D351-$C351+1)+11,"00"),"")&amp;IF($C351&gt;=13,", "&amp;$A351&amp;"-"&amp;TEXT(($D351-$C351+1)+12,"00"),"")&amp;IF($C351&gt;=14,", "&amp;$A351&amp;"-"&amp;TEXT(($D351-$C351+1)+13,"00"),"")&amp;IF($C351&gt;=15,", "&amp;$A351&amp;"-"&amp;TEXT(($D351-$C351+1)+14,"00"),"")&amp;IF($C351&gt;=16,", "&amp;$A351&amp;"-"&amp;TEXT(($D351-$C351+1)+15,"00"),"")&amp;IF($C351&gt;=17,", "&amp;$A351&amp;"-"&amp;TEXT(($D351-$C351+1)+16,"00"),"")&amp;IF($C351&gt;=18,", "&amp;$A351&amp;"-"&amp;TEXT(($D351-$C351+1)+17,"00"),"")&amp;IF($C351&gt;=19,", "&amp;$A351&amp;"-"&amp;TEXT(($D351-$C351+1)+18,"00"),"")&amp;IF($C351&gt;=20,", "&amp;$A351&amp;"-"&amp;TEXT(($D351-$C351+1)+19,"00"),"")&amp;IF($C351&gt;=21,", "&amp;$A351&amp;"-"&amp;TEXT(($D351-$C351+1)+20,"00"),"")&amp;IF($C351&gt;=22,", "&amp;$A351&amp;"-"&amp;TEXT(($D351-$C351+1)+21,"00"),"")&amp;IF($C351&gt;=23,", "&amp;$A351&amp;"-"&amp;TEXT(($D351-$C351+1)+22,"00"),"")&amp;IF($C351&gt;=24,", "&amp;$A351&amp;"-"&amp;TEXT(($D351-$C351+1)+23,"00"),"")&amp;IF($C351&gt;=25,", "&amp;$A351&amp;"-"&amp;TEXT(($D351-$C351+1)+24,"00"),""))</f>
        <v/>
      </c>
      <c r="G351">
        <f>IF($A351="","",IF($E351=1,$F351,IF($F351="",$G350,IF($G350="",$F351,$G350&amp;", "&amp;$F351))))</f>
        <v/>
      </c>
      <c r="H351">
        <f>IF($A351="","",$A351&amp;" ("&amp;$C351&amp;")")</f>
        <v/>
      </c>
      <c r="I351">
        <f>IF($A351="","",IF($E351=1,$H351,$I350&amp;", "&amp;$H351))</f>
        <v/>
      </c>
      <c r="J351">
        <f>IF($A351="","",IF($E351=1,$B351,""))</f>
        <v/>
      </c>
      <c r="K351">
        <f>IF($A351="","",IF(COUNTIF($B$2:$B351,$B351)=COUNTIF($B$2:$B$1601,$B351),$B351,""))</f>
        <v/>
      </c>
    </row>
    <row r="352">
      <c r="A352">
        <f>IF('TMP Paste'!$E352="","",'TMP Paste'!$E352)</f>
        <v/>
      </c>
      <c r="B352">
        <f>IF($A352="","",COUNTIF('TMP Paste'!$B$2:$B352,"?*"))</f>
        <v/>
      </c>
      <c r="C352">
        <f>IF($A352="","",IFERROR('TMP Paste'!$M352*1,0))</f>
        <v/>
      </c>
      <c r="D352">
        <f>IF($A352="","",SUMIF($B$2:$B352,$B352,$C$2:$C352))</f>
        <v/>
      </c>
      <c r="E352">
        <f>IF($A352="",0,IF('TMP Paste'!$B352="",0,1))</f>
        <v/>
      </c>
      <c r="F352">
        <f>IF(OR($A352="",$C352&lt;1),"",$A352&amp;"-"&amp;TEXT(($D352-$C352+1),"00")&amp;IF($C352&gt;=2,", "&amp;$A352&amp;"-"&amp;TEXT(($D352-$C352+1)+1,"00"),"")&amp;IF($C352&gt;=3,", "&amp;$A352&amp;"-"&amp;TEXT(($D352-$C352+1)+2,"00"),"")&amp;IF($C352&gt;=4,", "&amp;$A352&amp;"-"&amp;TEXT(($D352-$C352+1)+3,"00"),"")&amp;IF($C352&gt;=5,", "&amp;$A352&amp;"-"&amp;TEXT(($D352-$C352+1)+4,"00"),"")&amp;IF($C352&gt;=6,", "&amp;$A352&amp;"-"&amp;TEXT(($D352-$C352+1)+5,"00"),"")&amp;IF($C352&gt;=7,", "&amp;$A352&amp;"-"&amp;TEXT(($D352-$C352+1)+6,"00"),"")&amp;IF($C352&gt;=8,", "&amp;$A352&amp;"-"&amp;TEXT(($D352-$C352+1)+7,"00"),"")&amp;IF($C352&gt;=9,", "&amp;$A352&amp;"-"&amp;TEXT(($D352-$C352+1)+8,"00"),"")&amp;IF($C352&gt;=10,", "&amp;$A352&amp;"-"&amp;TEXT(($D352-$C352+1)+9,"00"),"")&amp;IF($C352&gt;=11,", "&amp;$A352&amp;"-"&amp;TEXT(($D352-$C352+1)+10,"00"),"")&amp;IF($C352&gt;=12,", "&amp;$A352&amp;"-"&amp;TEXT(($D352-$C352+1)+11,"00"),"")&amp;IF($C352&gt;=13,", "&amp;$A352&amp;"-"&amp;TEXT(($D352-$C352+1)+12,"00"),"")&amp;IF($C352&gt;=14,", "&amp;$A352&amp;"-"&amp;TEXT(($D352-$C352+1)+13,"00"),"")&amp;IF($C352&gt;=15,", "&amp;$A352&amp;"-"&amp;TEXT(($D352-$C352+1)+14,"00"),"")&amp;IF($C352&gt;=16,", "&amp;$A352&amp;"-"&amp;TEXT(($D352-$C352+1)+15,"00"),"")&amp;IF($C352&gt;=17,", "&amp;$A352&amp;"-"&amp;TEXT(($D352-$C352+1)+16,"00"),"")&amp;IF($C352&gt;=18,", "&amp;$A352&amp;"-"&amp;TEXT(($D352-$C352+1)+17,"00"),"")&amp;IF($C352&gt;=19,", "&amp;$A352&amp;"-"&amp;TEXT(($D352-$C352+1)+18,"00"),"")&amp;IF($C352&gt;=20,", "&amp;$A352&amp;"-"&amp;TEXT(($D352-$C352+1)+19,"00"),"")&amp;IF($C352&gt;=21,", "&amp;$A352&amp;"-"&amp;TEXT(($D352-$C352+1)+20,"00"),"")&amp;IF($C352&gt;=22,", "&amp;$A352&amp;"-"&amp;TEXT(($D352-$C352+1)+21,"00"),"")&amp;IF($C352&gt;=23,", "&amp;$A352&amp;"-"&amp;TEXT(($D352-$C352+1)+22,"00"),"")&amp;IF($C352&gt;=24,", "&amp;$A352&amp;"-"&amp;TEXT(($D352-$C352+1)+23,"00"),"")&amp;IF($C352&gt;=25,", "&amp;$A352&amp;"-"&amp;TEXT(($D352-$C352+1)+24,"00"),""))</f>
        <v/>
      </c>
      <c r="G352">
        <f>IF($A352="","",IF($E352=1,$F352,IF($F352="",$G351,IF($G351="",$F352,$G351&amp;", "&amp;$F352))))</f>
        <v/>
      </c>
      <c r="H352">
        <f>IF($A352="","",$A352&amp;" ("&amp;$C352&amp;")")</f>
        <v/>
      </c>
      <c r="I352">
        <f>IF($A352="","",IF($E352=1,$H352,$I351&amp;", "&amp;$H352))</f>
        <v/>
      </c>
      <c r="J352">
        <f>IF($A352="","",IF($E352=1,$B352,""))</f>
        <v/>
      </c>
      <c r="K352">
        <f>IF($A352="","",IF(COUNTIF($B$2:$B352,$B352)=COUNTIF($B$2:$B$1601,$B352),$B352,""))</f>
        <v/>
      </c>
    </row>
    <row r="353">
      <c r="A353">
        <f>IF('TMP Paste'!$E353="","",'TMP Paste'!$E353)</f>
        <v/>
      </c>
      <c r="B353">
        <f>IF($A353="","",COUNTIF('TMP Paste'!$B$2:$B353,"?*"))</f>
        <v/>
      </c>
      <c r="C353">
        <f>IF($A353="","",IFERROR('TMP Paste'!$M353*1,0))</f>
        <v/>
      </c>
      <c r="D353">
        <f>IF($A353="","",SUMIF($B$2:$B353,$B353,$C$2:$C353))</f>
        <v/>
      </c>
      <c r="E353">
        <f>IF($A353="",0,IF('TMP Paste'!$B353="",0,1))</f>
        <v/>
      </c>
      <c r="F353">
        <f>IF(OR($A353="",$C353&lt;1),"",$A353&amp;"-"&amp;TEXT(($D353-$C353+1),"00")&amp;IF($C353&gt;=2,", "&amp;$A353&amp;"-"&amp;TEXT(($D353-$C353+1)+1,"00"),"")&amp;IF($C353&gt;=3,", "&amp;$A353&amp;"-"&amp;TEXT(($D353-$C353+1)+2,"00"),"")&amp;IF($C353&gt;=4,", "&amp;$A353&amp;"-"&amp;TEXT(($D353-$C353+1)+3,"00"),"")&amp;IF($C353&gt;=5,", "&amp;$A353&amp;"-"&amp;TEXT(($D353-$C353+1)+4,"00"),"")&amp;IF($C353&gt;=6,", "&amp;$A353&amp;"-"&amp;TEXT(($D353-$C353+1)+5,"00"),"")&amp;IF($C353&gt;=7,", "&amp;$A353&amp;"-"&amp;TEXT(($D353-$C353+1)+6,"00"),"")&amp;IF($C353&gt;=8,", "&amp;$A353&amp;"-"&amp;TEXT(($D353-$C353+1)+7,"00"),"")&amp;IF($C353&gt;=9,", "&amp;$A353&amp;"-"&amp;TEXT(($D353-$C353+1)+8,"00"),"")&amp;IF($C353&gt;=10,", "&amp;$A353&amp;"-"&amp;TEXT(($D353-$C353+1)+9,"00"),"")&amp;IF($C353&gt;=11,", "&amp;$A353&amp;"-"&amp;TEXT(($D353-$C353+1)+10,"00"),"")&amp;IF($C353&gt;=12,", "&amp;$A353&amp;"-"&amp;TEXT(($D353-$C353+1)+11,"00"),"")&amp;IF($C353&gt;=13,", "&amp;$A353&amp;"-"&amp;TEXT(($D353-$C353+1)+12,"00"),"")&amp;IF($C353&gt;=14,", "&amp;$A353&amp;"-"&amp;TEXT(($D353-$C353+1)+13,"00"),"")&amp;IF($C353&gt;=15,", "&amp;$A353&amp;"-"&amp;TEXT(($D353-$C353+1)+14,"00"),"")&amp;IF($C353&gt;=16,", "&amp;$A353&amp;"-"&amp;TEXT(($D353-$C353+1)+15,"00"),"")&amp;IF($C353&gt;=17,", "&amp;$A353&amp;"-"&amp;TEXT(($D353-$C353+1)+16,"00"),"")&amp;IF($C353&gt;=18,", "&amp;$A353&amp;"-"&amp;TEXT(($D353-$C353+1)+17,"00"),"")&amp;IF($C353&gt;=19,", "&amp;$A353&amp;"-"&amp;TEXT(($D353-$C353+1)+18,"00"),"")&amp;IF($C353&gt;=20,", "&amp;$A353&amp;"-"&amp;TEXT(($D353-$C353+1)+19,"00"),"")&amp;IF($C353&gt;=21,", "&amp;$A353&amp;"-"&amp;TEXT(($D353-$C353+1)+20,"00"),"")&amp;IF($C353&gt;=22,", "&amp;$A353&amp;"-"&amp;TEXT(($D353-$C353+1)+21,"00"),"")&amp;IF($C353&gt;=23,", "&amp;$A353&amp;"-"&amp;TEXT(($D353-$C353+1)+22,"00"),"")&amp;IF($C353&gt;=24,", "&amp;$A353&amp;"-"&amp;TEXT(($D353-$C353+1)+23,"00"),"")&amp;IF($C353&gt;=25,", "&amp;$A353&amp;"-"&amp;TEXT(($D353-$C353+1)+24,"00"),""))</f>
        <v/>
      </c>
      <c r="G353">
        <f>IF($A353="","",IF($E353=1,$F353,IF($F353="",$G352,IF($G352="",$F353,$G352&amp;", "&amp;$F353))))</f>
        <v/>
      </c>
      <c r="H353">
        <f>IF($A353="","",$A353&amp;" ("&amp;$C353&amp;")")</f>
        <v/>
      </c>
      <c r="I353">
        <f>IF($A353="","",IF($E353=1,$H353,$I352&amp;", "&amp;$H353))</f>
        <v/>
      </c>
      <c r="J353">
        <f>IF($A353="","",IF($E353=1,$B353,""))</f>
        <v/>
      </c>
      <c r="K353">
        <f>IF($A353="","",IF(COUNTIF($B$2:$B353,$B353)=COUNTIF($B$2:$B$1601,$B353),$B353,""))</f>
        <v/>
      </c>
    </row>
    <row r="354">
      <c r="A354">
        <f>IF('TMP Paste'!$E354="","",'TMP Paste'!$E354)</f>
        <v/>
      </c>
      <c r="B354">
        <f>IF($A354="","",COUNTIF('TMP Paste'!$B$2:$B354,"?*"))</f>
        <v/>
      </c>
      <c r="C354">
        <f>IF($A354="","",IFERROR('TMP Paste'!$M354*1,0))</f>
        <v/>
      </c>
      <c r="D354">
        <f>IF($A354="","",SUMIF($B$2:$B354,$B354,$C$2:$C354))</f>
        <v/>
      </c>
      <c r="E354">
        <f>IF($A354="",0,IF('TMP Paste'!$B354="",0,1))</f>
        <v/>
      </c>
      <c r="F354">
        <f>IF(OR($A354="",$C354&lt;1),"",$A354&amp;"-"&amp;TEXT(($D354-$C354+1),"00")&amp;IF($C354&gt;=2,", "&amp;$A354&amp;"-"&amp;TEXT(($D354-$C354+1)+1,"00"),"")&amp;IF($C354&gt;=3,", "&amp;$A354&amp;"-"&amp;TEXT(($D354-$C354+1)+2,"00"),"")&amp;IF($C354&gt;=4,", "&amp;$A354&amp;"-"&amp;TEXT(($D354-$C354+1)+3,"00"),"")&amp;IF($C354&gt;=5,", "&amp;$A354&amp;"-"&amp;TEXT(($D354-$C354+1)+4,"00"),"")&amp;IF($C354&gt;=6,", "&amp;$A354&amp;"-"&amp;TEXT(($D354-$C354+1)+5,"00"),"")&amp;IF($C354&gt;=7,", "&amp;$A354&amp;"-"&amp;TEXT(($D354-$C354+1)+6,"00"),"")&amp;IF($C354&gt;=8,", "&amp;$A354&amp;"-"&amp;TEXT(($D354-$C354+1)+7,"00"),"")&amp;IF($C354&gt;=9,", "&amp;$A354&amp;"-"&amp;TEXT(($D354-$C354+1)+8,"00"),"")&amp;IF($C354&gt;=10,", "&amp;$A354&amp;"-"&amp;TEXT(($D354-$C354+1)+9,"00"),"")&amp;IF($C354&gt;=11,", "&amp;$A354&amp;"-"&amp;TEXT(($D354-$C354+1)+10,"00"),"")&amp;IF($C354&gt;=12,", "&amp;$A354&amp;"-"&amp;TEXT(($D354-$C354+1)+11,"00"),"")&amp;IF($C354&gt;=13,", "&amp;$A354&amp;"-"&amp;TEXT(($D354-$C354+1)+12,"00"),"")&amp;IF($C354&gt;=14,", "&amp;$A354&amp;"-"&amp;TEXT(($D354-$C354+1)+13,"00"),"")&amp;IF($C354&gt;=15,", "&amp;$A354&amp;"-"&amp;TEXT(($D354-$C354+1)+14,"00"),"")&amp;IF($C354&gt;=16,", "&amp;$A354&amp;"-"&amp;TEXT(($D354-$C354+1)+15,"00"),"")&amp;IF($C354&gt;=17,", "&amp;$A354&amp;"-"&amp;TEXT(($D354-$C354+1)+16,"00"),"")&amp;IF($C354&gt;=18,", "&amp;$A354&amp;"-"&amp;TEXT(($D354-$C354+1)+17,"00"),"")&amp;IF($C354&gt;=19,", "&amp;$A354&amp;"-"&amp;TEXT(($D354-$C354+1)+18,"00"),"")&amp;IF($C354&gt;=20,", "&amp;$A354&amp;"-"&amp;TEXT(($D354-$C354+1)+19,"00"),"")&amp;IF($C354&gt;=21,", "&amp;$A354&amp;"-"&amp;TEXT(($D354-$C354+1)+20,"00"),"")&amp;IF($C354&gt;=22,", "&amp;$A354&amp;"-"&amp;TEXT(($D354-$C354+1)+21,"00"),"")&amp;IF($C354&gt;=23,", "&amp;$A354&amp;"-"&amp;TEXT(($D354-$C354+1)+22,"00"),"")&amp;IF($C354&gt;=24,", "&amp;$A354&amp;"-"&amp;TEXT(($D354-$C354+1)+23,"00"),"")&amp;IF($C354&gt;=25,", "&amp;$A354&amp;"-"&amp;TEXT(($D354-$C354+1)+24,"00"),""))</f>
        <v/>
      </c>
      <c r="G354">
        <f>IF($A354="","",IF($E354=1,$F354,IF($F354="",$G353,IF($G353="",$F354,$G353&amp;", "&amp;$F354))))</f>
        <v/>
      </c>
      <c r="H354">
        <f>IF($A354="","",$A354&amp;" ("&amp;$C354&amp;")")</f>
        <v/>
      </c>
      <c r="I354">
        <f>IF($A354="","",IF($E354=1,$H354,$I353&amp;", "&amp;$H354))</f>
        <v/>
      </c>
      <c r="J354">
        <f>IF($A354="","",IF($E354=1,$B354,""))</f>
        <v/>
      </c>
      <c r="K354">
        <f>IF($A354="","",IF(COUNTIF($B$2:$B354,$B354)=COUNTIF($B$2:$B$1601,$B354),$B354,""))</f>
        <v/>
      </c>
    </row>
    <row r="355">
      <c r="A355">
        <f>IF('TMP Paste'!$E355="","",'TMP Paste'!$E355)</f>
        <v/>
      </c>
      <c r="B355">
        <f>IF($A355="","",COUNTIF('TMP Paste'!$B$2:$B355,"?*"))</f>
        <v/>
      </c>
      <c r="C355">
        <f>IF($A355="","",IFERROR('TMP Paste'!$M355*1,0))</f>
        <v/>
      </c>
      <c r="D355">
        <f>IF($A355="","",SUMIF($B$2:$B355,$B355,$C$2:$C355))</f>
        <v/>
      </c>
      <c r="E355">
        <f>IF($A355="",0,IF('TMP Paste'!$B355="",0,1))</f>
        <v/>
      </c>
      <c r="F355">
        <f>IF(OR($A355="",$C355&lt;1),"",$A355&amp;"-"&amp;TEXT(($D355-$C355+1),"00")&amp;IF($C355&gt;=2,", "&amp;$A355&amp;"-"&amp;TEXT(($D355-$C355+1)+1,"00"),"")&amp;IF($C355&gt;=3,", "&amp;$A355&amp;"-"&amp;TEXT(($D355-$C355+1)+2,"00"),"")&amp;IF($C355&gt;=4,", "&amp;$A355&amp;"-"&amp;TEXT(($D355-$C355+1)+3,"00"),"")&amp;IF($C355&gt;=5,", "&amp;$A355&amp;"-"&amp;TEXT(($D355-$C355+1)+4,"00"),"")&amp;IF($C355&gt;=6,", "&amp;$A355&amp;"-"&amp;TEXT(($D355-$C355+1)+5,"00"),"")&amp;IF($C355&gt;=7,", "&amp;$A355&amp;"-"&amp;TEXT(($D355-$C355+1)+6,"00"),"")&amp;IF($C355&gt;=8,", "&amp;$A355&amp;"-"&amp;TEXT(($D355-$C355+1)+7,"00"),"")&amp;IF($C355&gt;=9,", "&amp;$A355&amp;"-"&amp;TEXT(($D355-$C355+1)+8,"00"),"")&amp;IF($C355&gt;=10,", "&amp;$A355&amp;"-"&amp;TEXT(($D355-$C355+1)+9,"00"),"")&amp;IF($C355&gt;=11,", "&amp;$A355&amp;"-"&amp;TEXT(($D355-$C355+1)+10,"00"),"")&amp;IF($C355&gt;=12,", "&amp;$A355&amp;"-"&amp;TEXT(($D355-$C355+1)+11,"00"),"")&amp;IF($C355&gt;=13,", "&amp;$A355&amp;"-"&amp;TEXT(($D355-$C355+1)+12,"00"),"")&amp;IF($C355&gt;=14,", "&amp;$A355&amp;"-"&amp;TEXT(($D355-$C355+1)+13,"00"),"")&amp;IF($C355&gt;=15,", "&amp;$A355&amp;"-"&amp;TEXT(($D355-$C355+1)+14,"00"),"")&amp;IF($C355&gt;=16,", "&amp;$A355&amp;"-"&amp;TEXT(($D355-$C355+1)+15,"00"),"")&amp;IF($C355&gt;=17,", "&amp;$A355&amp;"-"&amp;TEXT(($D355-$C355+1)+16,"00"),"")&amp;IF($C355&gt;=18,", "&amp;$A355&amp;"-"&amp;TEXT(($D355-$C355+1)+17,"00"),"")&amp;IF($C355&gt;=19,", "&amp;$A355&amp;"-"&amp;TEXT(($D355-$C355+1)+18,"00"),"")&amp;IF($C355&gt;=20,", "&amp;$A355&amp;"-"&amp;TEXT(($D355-$C355+1)+19,"00"),"")&amp;IF($C355&gt;=21,", "&amp;$A355&amp;"-"&amp;TEXT(($D355-$C355+1)+20,"00"),"")&amp;IF($C355&gt;=22,", "&amp;$A355&amp;"-"&amp;TEXT(($D355-$C355+1)+21,"00"),"")&amp;IF($C355&gt;=23,", "&amp;$A355&amp;"-"&amp;TEXT(($D355-$C355+1)+22,"00"),"")&amp;IF($C355&gt;=24,", "&amp;$A355&amp;"-"&amp;TEXT(($D355-$C355+1)+23,"00"),"")&amp;IF($C355&gt;=25,", "&amp;$A355&amp;"-"&amp;TEXT(($D355-$C355+1)+24,"00"),""))</f>
        <v/>
      </c>
      <c r="G355">
        <f>IF($A355="","",IF($E355=1,$F355,IF($F355="",$G354,IF($G354="",$F355,$G354&amp;", "&amp;$F355))))</f>
        <v/>
      </c>
      <c r="H355">
        <f>IF($A355="","",$A355&amp;" ("&amp;$C355&amp;")")</f>
        <v/>
      </c>
      <c r="I355">
        <f>IF($A355="","",IF($E355=1,$H355,$I354&amp;", "&amp;$H355))</f>
        <v/>
      </c>
      <c r="J355">
        <f>IF($A355="","",IF($E355=1,$B355,""))</f>
        <v/>
      </c>
      <c r="K355">
        <f>IF($A355="","",IF(COUNTIF($B$2:$B355,$B355)=COUNTIF($B$2:$B$1601,$B355),$B355,""))</f>
        <v/>
      </c>
    </row>
    <row r="356">
      <c r="A356">
        <f>IF('TMP Paste'!$E356="","",'TMP Paste'!$E356)</f>
        <v/>
      </c>
      <c r="B356">
        <f>IF($A356="","",COUNTIF('TMP Paste'!$B$2:$B356,"?*"))</f>
        <v/>
      </c>
      <c r="C356">
        <f>IF($A356="","",IFERROR('TMP Paste'!$M356*1,0))</f>
        <v/>
      </c>
      <c r="D356">
        <f>IF($A356="","",SUMIF($B$2:$B356,$B356,$C$2:$C356))</f>
        <v/>
      </c>
      <c r="E356">
        <f>IF($A356="",0,IF('TMP Paste'!$B356="",0,1))</f>
        <v/>
      </c>
      <c r="F356">
        <f>IF(OR($A356="",$C356&lt;1),"",$A356&amp;"-"&amp;TEXT(($D356-$C356+1),"00")&amp;IF($C356&gt;=2,", "&amp;$A356&amp;"-"&amp;TEXT(($D356-$C356+1)+1,"00"),"")&amp;IF($C356&gt;=3,", "&amp;$A356&amp;"-"&amp;TEXT(($D356-$C356+1)+2,"00"),"")&amp;IF($C356&gt;=4,", "&amp;$A356&amp;"-"&amp;TEXT(($D356-$C356+1)+3,"00"),"")&amp;IF($C356&gt;=5,", "&amp;$A356&amp;"-"&amp;TEXT(($D356-$C356+1)+4,"00"),"")&amp;IF($C356&gt;=6,", "&amp;$A356&amp;"-"&amp;TEXT(($D356-$C356+1)+5,"00"),"")&amp;IF($C356&gt;=7,", "&amp;$A356&amp;"-"&amp;TEXT(($D356-$C356+1)+6,"00"),"")&amp;IF($C356&gt;=8,", "&amp;$A356&amp;"-"&amp;TEXT(($D356-$C356+1)+7,"00"),"")&amp;IF($C356&gt;=9,", "&amp;$A356&amp;"-"&amp;TEXT(($D356-$C356+1)+8,"00"),"")&amp;IF($C356&gt;=10,", "&amp;$A356&amp;"-"&amp;TEXT(($D356-$C356+1)+9,"00"),"")&amp;IF($C356&gt;=11,", "&amp;$A356&amp;"-"&amp;TEXT(($D356-$C356+1)+10,"00"),"")&amp;IF($C356&gt;=12,", "&amp;$A356&amp;"-"&amp;TEXT(($D356-$C356+1)+11,"00"),"")&amp;IF($C356&gt;=13,", "&amp;$A356&amp;"-"&amp;TEXT(($D356-$C356+1)+12,"00"),"")&amp;IF($C356&gt;=14,", "&amp;$A356&amp;"-"&amp;TEXT(($D356-$C356+1)+13,"00"),"")&amp;IF($C356&gt;=15,", "&amp;$A356&amp;"-"&amp;TEXT(($D356-$C356+1)+14,"00"),"")&amp;IF($C356&gt;=16,", "&amp;$A356&amp;"-"&amp;TEXT(($D356-$C356+1)+15,"00"),"")&amp;IF($C356&gt;=17,", "&amp;$A356&amp;"-"&amp;TEXT(($D356-$C356+1)+16,"00"),"")&amp;IF($C356&gt;=18,", "&amp;$A356&amp;"-"&amp;TEXT(($D356-$C356+1)+17,"00"),"")&amp;IF($C356&gt;=19,", "&amp;$A356&amp;"-"&amp;TEXT(($D356-$C356+1)+18,"00"),"")&amp;IF($C356&gt;=20,", "&amp;$A356&amp;"-"&amp;TEXT(($D356-$C356+1)+19,"00"),"")&amp;IF($C356&gt;=21,", "&amp;$A356&amp;"-"&amp;TEXT(($D356-$C356+1)+20,"00"),"")&amp;IF($C356&gt;=22,", "&amp;$A356&amp;"-"&amp;TEXT(($D356-$C356+1)+21,"00"),"")&amp;IF($C356&gt;=23,", "&amp;$A356&amp;"-"&amp;TEXT(($D356-$C356+1)+22,"00"),"")&amp;IF($C356&gt;=24,", "&amp;$A356&amp;"-"&amp;TEXT(($D356-$C356+1)+23,"00"),"")&amp;IF($C356&gt;=25,", "&amp;$A356&amp;"-"&amp;TEXT(($D356-$C356+1)+24,"00"),""))</f>
        <v/>
      </c>
      <c r="G356">
        <f>IF($A356="","",IF($E356=1,$F356,IF($F356="",$G355,IF($G355="",$F356,$G355&amp;", "&amp;$F356))))</f>
        <v/>
      </c>
      <c r="H356">
        <f>IF($A356="","",$A356&amp;" ("&amp;$C356&amp;")")</f>
        <v/>
      </c>
      <c r="I356">
        <f>IF($A356="","",IF($E356=1,$H356,$I355&amp;", "&amp;$H356))</f>
        <v/>
      </c>
      <c r="J356">
        <f>IF($A356="","",IF($E356=1,$B356,""))</f>
        <v/>
      </c>
      <c r="K356">
        <f>IF($A356="","",IF(COUNTIF($B$2:$B356,$B356)=COUNTIF($B$2:$B$1601,$B356),$B356,""))</f>
        <v/>
      </c>
    </row>
    <row r="357">
      <c r="A357">
        <f>IF('TMP Paste'!$E357="","",'TMP Paste'!$E357)</f>
        <v/>
      </c>
      <c r="B357">
        <f>IF($A357="","",COUNTIF('TMP Paste'!$B$2:$B357,"?*"))</f>
        <v/>
      </c>
      <c r="C357">
        <f>IF($A357="","",IFERROR('TMP Paste'!$M357*1,0))</f>
        <v/>
      </c>
      <c r="D357">
        <f>IF($A357="","",SUMIF($B$2:$B357,$B357,$C$2:$C357))</f>
        <v/>
      </c>
      <c r="E357">
        <f>IF($A357="",0,IF('TMP Paste'!$B357="",0,1))</f>
        <v/>
      </c>
      <c r="F357">
        <f>IF(OR($A357="",$C357&lt;1),"",$A357&amp;"-"&amp;TEXT(($D357-$C357+1),"00")&amp;IF($C357&gt;=2,", "&amp;$A357&amp;"-"&amp;TEXT(($D357-$C357+1)+1,"00"),"")&amp;IF($C357&gt;=3,", "&amp;$A357&amp;"-"&amp;TEXT(($D357-$C357+1)+2,"00"),"")&amp;IF($C357&gt;=4,", "&amp;$A357&amp;"-"&amp;TEXT(($D357-$C357+1)+3,"00"),"")&amp;IF($C357&gt;=5,", "&amp;$A357&amp;"-"&amp;TEXT(($D357-$C357+1)+4,"00"),"")&amp;IF($C357&gt;=6,", "&amp;$A357&amp;"-"&amp;TEXT(($D357-$C357+1)+5,"00"),"")&amp;IF($C357&gt;=7,", "&amp;$A357&amp;"-"&amp;TEXT(($D357-$C357+1)+6,"00"),"")&amp;IF($C357&gt;=8,", "&amp;$A357&amp;"-"&amp;TEXT(($D357-$C357+1)+7,"00"),"")&amp;IF($C357&gt;=9,", "&amp;$A357&amp;"-"&amp;TEXT(($D357-$C357+1)+8,"00"),"")&amp;IF($C357&gt;=10,", "&amp;$A357&amp;"-"&amp;TEXT(($D357-$C357+1)+9,"00"),"")&amp;IF($C357&gt;=11,", "&amp;$A357&amp;"-"&amp;TEXT(($D357-$C357+1)+10,"00"),"")&amp;IF($C357&gt;=12,", "&amp;$A357&amp;"-"&amp;TEXT(($D357-$C357+1)+11,"00"),"")&amp;IF($C357&gt;=13,", "&amp;$A357&amp;"-"&amp;TEXT(($D357-$C357+1)+12,"00"),"")&amp;IF($C357&gt;=14,", "&amp;$A357&amp;"-"&amp;TEXT(($D357-$C357+1)+13,"00"),"")&amp;IF($C357&gt;=15,", "&amp;$A357&amp;"-"&amp;TEXT(($D357-$C357+1)+14,"00"),"")&amp;IF($C357&gt;=16,", "&amp;$A357&amp;"-"&amp;TEXT(($D357-$C357+1)+15,"00"),"")&amp;IF($C357&gt;=17,", "&amp;$A357&amp;"-"&amp;TEXT(($D357-$C357+1)+16,"00"),"")&amp;IF($C357&gt;=18,", "&amp;$A357&amp;"-"&amp;TEXT(($D357-$C357+1)+17,"00"),"")&amp;IF($C357&gt;=19,", "&amp;$A357&amp;"-"&amp;TEXT(($D357-$C357+1)+18,"00"),"")&amp;IF($C357&gt;=20,", "&amp;$A357&amp;"-"&amp;TEXT(($D357-$C357+1)+19,"00"),"")&amp;IF($C357&gt;=21,", "&amp;$A357&amp;"-"&amp;TEXT(($D357-$C357+1)+20,"00"),"")&amp;IF($C357&gt;=22,", "&amp;$A357&amp;"-"&amp;TEXT(($D357-$C357+1)+21,"00"),"")&amp;IF($C357&gt;=23,", "&amp;$A357&amp;"-"&amp;TEXT(($D357-$C357+1)+22,"00"),"")&amp;IF($C357&gt;=24,", "&amp;$A357&amp;"-"&amp;TEXT(($D357-$C357+1)+23,"00"),"")&amp;IF($C357&gt;=25,", "&amp;$A357&amp;"-"&amp;TEXT(($D357-$C357+1)+24,"00"),""))</f>
        <v/>
      </c>
      <c r="G357">
        <f>IF($A357="","",IF($E357=1,$F357,IF($F357="",$G356,IF($G356="",$F357,$G356&amp;", "&amp;$F357))))</f>
        <v/>
      </c>
      <c r="H357">
        <f>IF($A357="","",$A357&amp;" ("&amp;$C357&amp;")")</f>
        <v/>
      </c>
      <c r="I357">
        <f>IF($A357="","",IF($E357=1,$H357,$I356&amp;", "&amp;$H357))</f>
        <v/>
      </c>
      <c r="J357">
        <f>IF($A357="","",IF($E357=1,$B357,""))</f>
        <v/>
      </c>
      <c r="K357">
        <f>IF($A357="","",IF(COUNTIF($B$2:$B357,$B357)=COUNTIF($B$2:$B$1601,$B357),$B357,""))</f>
        <v/>
      </c>
    </row>
    <row r="358">
      <c r="A358">
        <f>IF('TMP Paste'!$E358="","",'TMP Paste'!$E358)</f>
        <v/>
      </c>
      <c r="B358">
        <f>IF($A358="","",COUNTIF('TMP Paste'!$B$2:$B358,"?*"))</f>
        <v/>
      </c>
      <c r="C358">
        <f>IF($A358="","",IFERROR('TMP Paste'!$M358*1,0))</f>
        <v/>
      </c>
      <c r="D358">
        <f>IF($A358="","",SUMIF($B$2:$B358,$B358,$C$2:$C358))</f>
        <v/>
      </c>
      <c r="E358">
        <f>IF($A358="",0,IF('TMP Paste'!$B358="",0,1))</f>
        <v/>
      </c>
      <c r="F358">
        <f>IF(OR($A358="",$C358&lt;1),"",$A358&amp;"-"&amp;TEXT(($D358-$C358+1),"00")&amp;IF($C358&gt;=2,", "&amp;$A358&amp;"-"&amp;TEXT(($D358-$C358+1)+1,"00"),"")&amp;IF($C358&gt;=3,", "&amp;$A358&amp;"-"&amp;TEXT(($D358-$C358+1)+2,"00"),"")&amp;IF($C358&gt;=4,", "&amp;$A358&amp;"-"&amp;TEXT(($D358-$C358+1)+3,"00"),"")&amp;IF($C358&gt;=5,", "&amp;$A358&amp;"-"&amp;TEXT(($D358-$C358+1)+4,"00"),"")&amp;IF($C358&gt;=6,", "&amp;$A358&amp;"-"&amp;TEXT(($D358-$C358+1)+5,"00"),"")&amp;IF($C358&gt;=7,", "&amp;$A358&amp;"-"&amp;TEXT(($D358-$C358+1)+6,"00"),"")&amp;IF($C358&gt;=8,", "&amp;$A358&amp;"-"&amp;TEXT(($D358-$C358+1)+7,"00"),"")&amp;IF($C358&gt;=9,", "&amp;$A358&amp;"-"&amp;TEXT(($D358-$C358+1)+8,"00"),"")&amp;IF($C358&gt;=10,", "&amp;$A358&amp;"-"&amp;TEXT(($D358-$C358+1)+9,"00"),"")&amp;IF($C358&gt;=11,", "&amp;$A358&amp;"-"&amp;TEXT(($D358-$C358+1)+10,"00"),"")&amp;IF($C358&gt;=12,", "&amp;$A358&amp;"-"&amp;TEXT(($D358-$C358+1)+11,"00"),"")&amp;IF($C358&gt;=13,", "&amp;$A358&amp;"-"&amp;TEXT(($D358-$C358+1)+12,"00"),"")&amp;IF($C358&gt;=14,", "&amp;$A358&amp;"-"&amp;TEXT(($D358-$C358+1)+13,"00"),"")&amp;IF($C358&gt;=15,", "&amp;$A358&amp;"-"&amp;TEXT(($D358-$C358+1)+14,"00"),"")&amp;IF($C358&gt;=16,", "&amp;$A358&amp;"-"&amp;TEXT(($D358-$C358+1)+15,"00"),"")&amp;IF($C358&gt;=17,", "&amp;$A358&amp;"-"&amp;TEXT(($D358-$C358+1)+16,"00"),"")&amp;IF($C358&gt;=18,", "&amp;$A358&amp;"-"&amp;TEXT(($D358-$C358+1)+17,"00"),"")&amp;IF($C358&gt;=19,", "&amp;$A358&amp;"-"&amp;TEXT(($D358-$C358+1)+18,"00"),"")&amp;IF($C358&gt;=20,", "&amp;$A358&amp;"-"&amp;TEXT(($D358-$C358+1)+19,"00"),"")&amp;IF($C358&gt;=21,", "&amp;$A358&amp;"-"&amp;TEXT(($D358-$C358+1)+20,"00"),"")&amp;IF($C358&gt;=22,", "&amp;$A358&amp;"-"&amp;TEXT(($D358-$C358+1)+21,"00"),"")&amp;IF($C358&gt;=23,", "&amp;$A358&amp;"-"&amp;TEXT(($D358-$C358+1)+22,"00"),"")&amp;IF($C358&gt;=24,", "&amp;$A358&amp;"-"&amp;TEXT(($D358-$C358+1)+23,"00"),"")&amp;IF($C358&gt;=25,", "&amp;$A358&amp;"-"&amp;TEXT(($D358-$C358+1)+24,"00"),""))</f>
        <v/>
      </c>
      <c r="G358">
        <f>IF($A358="","",IF($E358=1,$F358,IF($F358="",$G357,IF($G357="",$F358,$G357&amp;", "&amp;$F358))))</f>
        <v/>
      </c>
      <c r="H358">
        <f>IF($A358="","",$A358&amp;" ("&amp;$C358&amp;")")</f>
        <v/>
      </c>
      <c r="I358">
        <f>IF($A358="","",IF($E358=1,$H358,$I357&amp;", "&amp;$H358))</f>
        <v/>
      </c>
      <c r="J358">
        <f>IF($A358="","",IF($E358=1,$B358,""))</f>
        <v/>
      </c>
      <c r="K358">
        <f>IF($A358="","",IF(COUNTIF($B$2:$B358,$B358)=COUNTIF($B$2:$B$1601,$B358),$B358,""))</f>
        <v/>
      </c>
    </row>
    <row r="359">
      <c r="A359">
        <f>IF('TMP Paste'!$E359="","",'TMP Paste'!$E359)</f>
        <v/>
      </c>
      <c r="B359">
        <f>IF($A359="","",COUNTIF('TMP Paste'!$B$2:$B359,"?*"))</f>
        <v/>
      </c>
      <c r="C359">
        <f>IF($A359="","",IFERROR('TMP Paste'!$M359*1,0))</f>
        <v/>
      </c>
      <c r="D359">
        <f>IF($A359="","",SUMIF($B$2:$B359,$B359,$C$2:$C359))</f>
        <v/>
      </c>
      <c r="E359">
        <f>IF($A359="",0,IF('TMP Paste'!$B359="",0,1))</f>
        <v/>
      </c>
      <c r="F359">
        <f>IF(OR($A359="",$C359&lt;1),"",$A359&amp;"-"&amp;TEXT(($D359-$C359+1),"00")&amp;IF($C359&gt;=2,", "&amp;$A359&amp;"-"&amp;TEXT(($D359-$C359+1)+1,"00"),"")&amp;IF($C359&gt;=3,", "&amp;$A359&amp;"-"&amp;TEXT(($D359-$C359+1)+2,"00"),"")&amp;IF($C359&gt;=4,", "&amp;$A359&amp;"-"&amp;TEXT(($D359-$C359+1)+3,"00"),"")&amp;IF($C359&gt;=5,", "&amp;$A359&amp;"-"&amp;TEXT(($D359-$C359+1)+4,"00"),"")&amp;IF($C359&gt;=6,", "&amp;$A359&amp;"-"&amp;TEXT(($D359-$C359+1)+5,"00"),"")&amp;IF($C359&gt;=7,", "&amp;$A359&amp;"-"&amp;TEXT(($D359-$C359+1)+6,"00"),"")&amp;IF($C359&gt;=8,", "&amp;$A359&amp;"-"&amp;TEXT(($D359-$C359+1)+7,"00"),"")&amp;IF($C359&gt;=9,", "&amp;$A359&amp;"-"&amp;TEXT(($D359-$C359+1)+8,"00"),"")&amp;IF($C359&gt;=10,", "&amp;$A359&amp;"-"&amp;TEXT(($D359-$C359+1)+9,"00"),"")&amp;IF($C359&gt;=11,", "&amp;$A359&amp;"-"&amp;TEXT(($D359-$C359+1)+10,"00"),"")&amp;IF($C359&gt;=12,", "&amp;$A359&amp;"-"&amp;TEXT(($D359-$C359+1)+11,"00"),"")&amp;IF($C359&gt;=13,", "&amp;$A359&amp;"-"&amp;TEXT(($D359-$C359+1)+12,"00"),"")&amp;IF($C359&gt;=14,", "&amp;$A359&amp;"-"&amp;TEXT(($D359-$C359+1)+13,"00"),"")&amp;IF($C359&gt;=15,", "&amp;$A359&amp;"-"&amp;TEXT(($D359-$C359+1)+14,"00"),"")&amp;IF($C359&gt;=16,", "&amp;$A359&amp;"-"&amp;TEXT(($D359-$C359+1)+15,"00"),"")&amp;IF($C359&gt;=17,", "&amp;$A359&amp;"-"&amp;TEXT(($D359-$C359+1)+16,"00"),"")&amp;IF($C359&gt;=18,", "&amp;$A359&amp;"-"&amp;TEXT(($D359-$C359+1)+17,"00"),"")&amp;IF($C359&gt;=19,", "&amp;$A359&amp;"-"&amp;TEXT(($D359-$C359+1)+18,"00"),"")&amp;IF($C359&gt;=20,", "&amp;$A359&amp;"-"&amp;TEXT(($D359-$C359+1)+19,"00"),"")&amp;IF($C359&gt;=21,", "&amp;$A359&amp;"-"&amp;TEXT(($D359-$C359+1)+20,"00"),"")&amp;IF($C359&gt;=22,", "&amp;$A359&amp;"-"&amp;TEXT(($D359-$C359+1)+21,"00"),"")&amp;IF($C359&gt;=23,", "&amp;$A359&amp;"-"&amp;TEXT(($D359-$C359+1)+22,"00"),"")&amp;IF($C359&gt;=24,", "&amp;$A359&amp;"-"&amp;TEXT(($D359-$C359+1)+23,"00"),"")&amp;IF($C359&gt;=25,", "&amp;$A359&amp;"-"&amp;TEXT(($D359-$C359+1)+24,"00"),""))</f>
        <v/>
      </c>
      <c r="G359">
        <f>IF($A359="","",IF($E359=1,$F359,IF($F359="",$G358,IF($G358="",$F359,$G358&amp;", "&amp;$F359))))</f>
        <v/>
      </c>
      <c r="H359">
        <f>IF($A359="","",$A359&amp;" ("&amp;$C359&amp;")")</f>
        <v/>
      </c>
      <c r="I359">
        <f>IF($A359="","",IF($E359=1,$H359,$I358&amp;", "&amp;$H359))</f>
        <v/>
      </c>
      <c r="J359">
        <f>IF($A359="","",IF($E359=1,$B359,""))</f>
        <v/>
      </c>
      <c r="K359">
        <f>IF($A359="","",IF(COUNTIF($B$2:$B359,$B359)=COUNTIF($B$2:$B$1601,$B359),$B359,""))</f>
        <v/>
      </c>
    </row>
    <row r="360">
      <c r="A360">
        <f>IF('TMP Paste'!$E360="","",'TMP Paste'!$E360)</f>
        <v/>
      </c>
      <c r="B360">
        <f>IF($A360="","",COUNTIF('TMP Paste'!$B$2:$B360,"?*"))</f>
        <v/>
      </c>
      <c r="C360">
        <f>IF($A360="","",IFERROR('TMP Paste'!$M360*1,0))</f>
        <v/>
      </c>
      <c r="D360">
        <f>IF($A360="","",SUMIF($B$2:$B360,$B360,$C$2:$C360))</f>
        <v/>
      </c>
      <c r="E360">
        <f>IF($A360="",0,IF('TMP Paste'!$B360="",0,1))</f>
        <v/>
      </c>
      <c r="F360">
        <f>IF(OR($A360="",$C360&lt;1),"",$A360&amp;"-"&amp;TEXT(($D360-$C360+1),"00")&amp;IF($C360&gt;=2,", "&amp;$A360&amp;"-"&amp;TEXT(($D360-$C360+1)+1,"00"),"")&amp;IF($C360&gt;=3,", "&amp;$A360&amp;"-"&amp;TEXT(($D360-$C360+1)+2,"00"),"")&amp;IF($C360&gt;=4,", "&amp;$A360&amp;"-"&amp;TEXT(($D360-$C360+1)+3,"00"),"")&amp;IF($C360&gt;=5,", "&amp;$A360&amp;"-"&amp;TEXT(($D360-$C360+1)+4,"00"),"")&amp;IF($C360&gt;=6,", "&amp;$A360&amp;"-"&amp;TEXT(($D360-$C360+1)+5,"00"),"")&amp;IF($C360&gt;=7,", "&amp;$A360&amp;"-"&amp;TEXT(($D360-$C360+1)+6,"00"),"")&amp;IF($C360&gt;=8,", "&amp;$A360&amp;"-"&amp;TEXT(($D360-$C360+1)+7,"00"),"")&amp;IF($C360&gt;=9,", "&amp;$A360&amp;"-"&amp;TEXT(($D360-$C360+1)+8,"00"),"")&amp;IF($C360&gt;=10,", "&amp;$A360&amp;"-"&amp;TEXT(($D360-$C360+1)+9,"00"),"")&amp;IF($C360&gt;=11,", "&amp;$A360&amp;"-"&amp;TEXT(($D360-$C360+1)+10,"00"),"")&amp;IF($C360&gt;=12,", "&amp;$A360&amp;"-"&amp;TEXT(($D360-$C360+1)+11,"00"),"")&amp;IF($C360&gt;=13,", "&amp;$A360&amp;"-"&amp;TEXT(($D360-$C360+1)+12,"00"),"")&amp;IF($C360&gt;=14,", "&amp;$A360&amp;"-"&amp;TEXT(($D360-$C360+1)+13,"00"),"")&amp;IF($C360&gt;=15,", "&amp;$A360&amp;"-"&amp;TEXT(($D360-$C360+1)+14,"00"),"")&amp;IF($C360&gt;=16,", "&amp;$A360&amp;"-"&amp;TEXT(($D360-$C360+1)+15,"00"),"")&amp;IF($C360&gt;=17,", "&amp;$A360&amp;"-"&amp;TEXT(($D360-$C360+1)+16,"00"),"")&amp;IF($C360&gt;=18,", "&amp;$A360&amp;"-"&amp;TEXT(($D360-$C360+1)+17,"00"),"")&amp;IF($C360&gt;=19,", "&amp;$A360&amp;"-"&amp;TEXT(($D360-$C360+1)+18,"00"),"")&amp;IF($C360&gt;=20,", "&amp;$A360&amp;"-"&amp;TEXT(($D360-$C360+1)+19,"00"),"")&amp;IF($C360&gt;=21,", "&amp;$A360&amp;"-"&amp;TEXT(($D360-$C360+1)+20,"00"),"")&amp;IF($C360&gt;=22,", "&amp;$A360&amp;"-"&amp;TEXT(($D360-$C360+1)+21,"00"),"")&amp;IF($C360&gt;=23,", "&amp;$A360&amp;"-"&amp;TEXT(($D360-$C360+1)+22,"00"),"")&amp;IF($C360&gt;=24,", "&amp;$A360&amp;"-"&amp;TEXT(($D360-$C360+1)+23,"00"),"")&amp;IF($C360&gt;=25,", "&amp;$A360&amp;"-"&amp;TEXT(($D360-$C360+1)+24,"00"),""))</f>
        <v/>
      </c>
      <c r="G360">
        <f>IF($A360="","",IF($E360=1,$F360,IF($F360="",$G359,IF($G359="",$F360,$G359&amp;", "&amp;$F360))))</f>
        <v/>
      </c>
      <c r="H360">
        <f>IF($A360="","",$A360&amp;" ("&amp;$C360&amp;")")</f>
        <v/>
      </c>
      <c r="I360">
        <f>IF($A360="","",IF($E360=1,$H360,$I359&amp;", "&amp;$H360))</f>
        <v/>
      </c>
      <c r="J360">
        <f>IF($A360="","",IF($E360=1,$B360,""))</f>
        <v/>
      </c>
      <c r="K360">
        <f>IF($A360="","",IF(COUNTIF($B$2:$B360,$B360)=COUNTIF($B$2:$B$1601,$B360),$B360,""))</f>
        <v/>
      </c>
    </row>
    <row r="361">
      <c r="A361">
        <f>IF('TMP Paste'!$E361="","",'TMP Paste'!$E361)</f>
        <v/>
      </c>
      <c r="B361">
        <f>IF($A361="","",COUNTIF('TMP Paste'!$B$2:$B361,"?*"))</f>
        <v/>
      </c>
      <c r="C361">
        <f>IF($A361="","",IFERROR('TMP Paste'!$M361*1,0))</f>
        <v/>
      </c>
      <c r="D361">
        <f>IF($A361="","",SUMIF($B$2:$B361,$B361,$C$2:$C361))</f>
        <v/>
      </c>
      <c r="E361">
        <f>IF($A361="",0,IF('TMP Paste'!$B361="",0,1))</f>
        <v/>
      </c>
      <c r="F361">
        <f>IF(OR($A361="",$C361&lt;1),"",$A361&amp;"-"&amp;TEXT(($D361-$C361+1),"00")&amp;IF($C361&gt;=2,", "&amp;$A361&amp;"-"&amp;TEXT(($D361-$C361+1)+1,"00"),"")&amp;IF($C361&gt;=3,", "&amp;$A361&amp;"-"&amp;TEXT(($D361-$C361+1)+2,"00"),"")&amp;IF($C361&gt;=4,", "&amp;$A361&amp;"-"&amp;TEXT(($D361-$C361+1)+3,"00"),"")&amp;IF($C361&gt;=5,", "&amp;$A361&amp;"-"&amp;TEXT(($D361-$C361+1)+4,"00"),"")&amp;IF($C361&gt;=6,", "&amp;$A361&amp;"-"&amp;TEXT(($D361-$C361+1)+5,"00"),"")&amp;IF($C361&gt;=7,", "&amp;$A361&amp;"-"&amp;TEXT(($D361-$C361+1)+6,"00"),"")&amp;IF($C361&gt;=8,", "&amp;$A361&amp;"-"&amp;TEXT(($D361-$C361+1)+7,"00"),"")&amp;IF($C361&gt;=9,", "&amp;$A361&amp;"-"&amp;TEXT(($D361-$C361+1)+8,"00"),"")&amp;IF($C361&gt;=10,", "&amp;$A361&amp;"-"&amp;TEXT(($D361-$C361+1)+9,"00"),"")&amp;IF($C361&gt;=11,", "&amp;$A361&amp;"-"&amp;TEXT(($D361-$C361+1)+10,"00"),"")&amp;IF($C361&gt;=12,", "&amp;$A361&amp;"-"&amp;TEXT(($D361-$C361+1)+11,"00"),"")&amp;IF($C361&gt;=13,", "&amp;$A361&amp;"-"&amp;TEXT(($D361-$C361+1)+12,"00"),"")&amp;IF($C361&gt;=14,", "&amp;$A361&amp;"-"&amp;TEXT(($D361-$C361+1)+13,"00"),"")&amp;IF($C361&gt;=15,", "&amp;$A361&amp;"-"&amp;TEXT(($D361-$C361+1)+14,"00"),"")&amp;IF($C361&gt;=16,", "&amp;$A361&amp;"-"&amp;TEXT(($D361-$C361+1)+15,"00"),"")&amp;IF($C361&gt;=17,", "&amp;$A361&amp;"-"&amp;TEXT(($D361-$C361+1)+16,"00"),"")&amp;IF($C361&gt;=18,", "&amp;$A361&amp;"-"&amp;TEXT(($D361-$C361+1)+17,"00"),"")&amp;IF($C361&gt;=19,", "&amp;$A361&amp;"-"&amp;TEXT(($D361-$C361+1)+18,"00"),"")&amp;IF($C361&gt;=20,", "&amp;$A361&amp;"-"&amp;TEXT(($D361-$C361+1)+19,"00"),"")&amp;IF($C361&gt;=21,", "&amp;$A361&amp;"-"&amp;TEXT(($D361-$C361+1)+20,"00"),"")&amp;IF($C361&gt;=22,", "&amp;$A361&amp;"-"&amp;TEXT(($D361-$C361+1)+21,"00"),"")&amp;IF($C361&gt;=23,", "&amp;$A361&amp;"-"&amp;TEXT(($D361-$C361+1)+22,"00"),"")&amp;IF($C361&gt;=24,", "&amp;$A361&amp;"-"&amp;TEXT(($D361-$C361+1)+23,"00"),"")&amp;IF($C361&gt;=25,", "&amp;$A361&amp;"-"&amp;TEXT(($D361-$C361+1)+24,"00"),""))</f>
        <v/>
      </c>
      <c r="G361">
        <f>IF($A361="","",IF($E361=1,$F361,IF($F361="",$G360,IF($G360="",$F361,$G360&amp;", "&amp;$F361))))</f>
        <v/>
      </c>
      <c r="H361">
        <f>IF($A361="","",$A361&amp;" ("&amp;$C361&amp;")")</f>
        <v/>
      </c>
      <c r="I361">
        <f>IF($A361="","",IF($E361=1,$H361,$I360&amp;", "&amp;$H361))</f>
        <v/>
      </c>
      <c r="J361">
        <f>IF($A361="","",IF($E361=1,$B361,""))</f>
        <v/>
      </c>
      <c r="K361">
        <f>IF($A361="","",IF(COUNTIF($B$2:$B361,$B361)=COUNTIF($B$2:$B$1601,$B361),$B361,""))</f>
        <v/>
      </c>
    </row>
    <row r="362">
      <c r="A362">
        <f>IF('TMP Paste'!$E362="","",'TMP Paste'!$E362)</f>
        <v/>
      </c>
      <c r="B362">
        <f>IF($A362="","",COUNTIF('TMP Paste'!$B$2:$B362,"?*"))</f>
        <v/>
      </c>
      <c r="C362">
        <f>IF($A362="","",IFERROR('TMP Paste'!$M362*1,0))</f>
        <v/>
      </c>
      <c r="D362">
        <f>IF($A362="","",SUMIF($B$2:$B362,$B362,$C$2:$C362))</f>
        <v/>
      </c>
      <c r="E362">
        <f>IF($A362="",0,IF('TMP Paste'!$B362="",0,1))</f>
        <v/>
      </c>
      <c r="F362">
        <f>IF(OR($A362="",$C362&lt;1),"",$A362&amp;"-"&amp;TEXT(($D362-$C362+1),"00")&amp;IF($C362&gt;=2,", "&amp;$A362&amp;"-"&amp;TEXT(($D362-$C362+1)+1,"00"),"")&amp;IF($C362&gt;=3,", "&amp;$A362&amp;"-"&amp;TEXT(($D362-$C362+1)+2,"00"),"")&amp;IF($C362&gt;=4,", "&amp;$A362&amp;"-"&amp;TEXT(($D362-$C362+1)+3,"00"),"")&amp;IF($C362&gt;=5,", "&amp;$A362&amp;"-"&amp;TEXT(($D362-$C362+1)+4,"00"),"")&amp;IF($C362&gt;=6,", "&amp;$A362&amp;"-"&amp;TEXT(($D362-$C362+1)+5,"00"),"")&amp;IF($C362&gt;=7,", "&amp;$A362&amp;"-"&amp;TEXT(($D362-$C362+1)+6,"00"),"")&amp;IF($C362&gt;=8,", "&amp;$A362&amp;"-"&amp;TEXT(($D362-$C362+1)+7,"00"),"")&amp;IF($C362&gt;=9,", "&amp;$A362&amp;"-"&amp;TEXT(($D362-$C362+1)+8,"00"),"")&amp;IF($C362&gt;=10,", "&amp;$A362&amp;"-"&amp;TEXT(($D362-$C362+1)+9,"00"),"")&amp;IF($C362&gt;=11,", "&amp;$A362&amp;"-"&amp;TEXT(($D362-$C362+1)+10,"00"),"")&amp;IF($C362&gt;=12,", "&amp;$A362&amp;"-"&amp;TEXT(($D362-$C362+1)+11,"00"),"")&amp;IF($C362&gt;=13,", "&amp;$A362&amp;"-"&amp;TEXT(($D362-$C362+1)+12,"00"),"")&amp;IF($C362&gt;=14,", "&amp;$A362&amp;"-"&amp;TEXT(($D362-$C362+1)+13,"00"),"")&amp;IF($C362&gt;=15,", "&amp;$A362&amp;"-"&amp;TEXT(($D362-$C362+1)+14,"00"),"")&amp;IF($C362&gt;=16,", "&amp;$A362&amp;"-"&amp;TEXT(($D362-$C362+1)+15,"00"),"")&amp;IF($C362&gt;=17,", "&amp;$A362&amp;"-"&amp;TEXT(($D362-$C362+1)+16,"00"),"")&amp;IF($C362&gt;=18,", "&amp;$A362&amp;"-"&amp;TEXT(($D362-$C362+1)+17,"00"),"")&amp;IF($C362&gt;=19,", "&amp;$A362&amp;"-"&amp;TEXT(($D362-$C362+1)+18,"00"),"")&amp;IF($C362&gt;=20,", "&amp;$A362&amp;"-"&amp;TEXT(($D362-$C362+1)+19,"00"),"")&amp;IF($C362&gt;=21,", "&amp;$A362&amp;"-"&amp;TEXT(($D362-$C362+1)+20,"00"),"")&amp;IF($C362&gt;=22,", "&amp;$A362&amp;"-"&amp;TEXT(($D362-$C362+1)+21,"00"),"")&amp;IF($C362&gt;=23,", "&amp;$A362&amp;"-"&amp;TEXT(($D362-$C362+1)+22,"00"),"")&amp;IF($C362&gt;=24,", "&amp;$A362&amp;"-"&amp;TEXT(($D362-$C362+1)+23,"00"),"")&amp;IF($C362&gt;=25,", "&amp;$A362&amp;"-"&amp;TEXT(($D362-$C362+1)+24,"00"),""))</f>
        <v/>
      </c>
      <c r="G362">
        <f>IF($A362="","",IF($E362=1,$F362,IF($F362="",$G361,IF($G361="",$F362,$G361&amp;", "&amp;$F362))))</f>
        <v/>
      </c>
      <c r="H362">
        <f>IF($A362="","",$A362&amp;" ("&amp;$C362&amp;")")</f>
        <v/>
      </c>
      <c r="I362">
        <f>IF($A362="","",IF($E362=1,$H362,$I361&amp;", "&amp;$H362))</f>
        <v/>
      </c>
      <c r="J362">
        <f>IF($A362="","",IF($E362=1,$B362,""))</f>
        <v/>
      </c>
      <c r="K362">
        <f>IF($A362="","",IF(COUNTIF($B$2:$B362,$B362)=COUNTIF($B$2:$B$1601,$B362),$B362,""))</f>
        <v/>
      </c>
    </row>
    <row r="363">
      <c r="A363">
        <f>IF('TMP Paste'!$E363="","",'TMP Paste'!$E363)</f>
        <v/>
      </c>
      <c r="B363">
        <f>IF($A363="","",COUNTIF('TMP Paste'!$B$2:$B363,"?*"))</f>
        <v/>
      </c>
      <c r="C363">
        <f>IF($A363="","",IFERROR('TMP Paste'!$M363*1,0))</f>
        <v/>
      </c>
      <c r="D363">
        <f>IF($A363="","",SUMIF($B$2:$B363,$B363,$C$2:$C363))</f>
        <v/>
      </c>
      <c r="E363">
        <f>IF($A363="",0,IF('TMP Paste'!$B363="",0,1))</f>
        <v/>
      </c>
      <c r="F363">
        <f>IF(OR($A363="",$C363&lt;1),"",$A363&amp;"-"&amp;TEXT(($D363-$C363+1),"00")&amp;IF($C363&gt;=2,", "&amp;$A363&amp;"-"&amp;TEXT(($D363-$C363+1)+1,"00"),"")&amp;IF($C363&gt;=3,", "&amp;$A363&amp;"-"&amp;TEXT(($D363-$C363+1)+2,"00"),"")&amp;IF($C363&gt;=4,", "&amp;$A363&amp;"-"&amp;TEXT(($D363-$C363+1)+3,"00"),"")&amp;IF($C363&gt;=5,", "&amp;$A363&amp;"-"&amp;TEXT(($D363-$C363+1)+4,"00"),"")&amp;IF($C363&gt;=6,", "&amp;$A363&amp;"-"&amp;TEXT(($D363-$C363+1)+5,"00"),"")&amp;IF($C363&gt;=7,", "&amp;$A363&amp;"-"&amp;TEXT(($D363-$C363+1)+6,"00"),"")&amp;IF($C363&gt;=8,", "&amp;$A363&amp;"-"&amp;TEXT(($D363-$C363+1)+7,"00"),"")&amp;IF($C363&gt;=9,", "&amp;$A363&amp;"-"&amp;TEXT(($D363-$C363+1)+8,"00"),"")&amp;IF($C363&gt;=10,", "&amp;$A363&amp;"-"&amp;TEXT(($D363-$C363+1)+9,"00"),"")&amp;IF($C363&gt;=11,", "&amp;$A363&amp;"-"&amp;TEXT(($D363-$C363+1)+10,"00"),"")&amp;IF($C363&gt;=12,", "&amp;$A363&amp;"-"&amp;TEXT(($D363-$C363+1)+11,"00"),"")&amp;IF($C363&gt;=13,", "&amp;$A363&amp;"-"&amp;TEXT(($D363-$C363+1)+12,"00"),"")&amp;IF($C363&gt;=14,", "&amp;$A363&amp;"-"&amp;TEXT(($D363-$C363+1)+13,"00"),"")&amp;IF($C363&gt;=15,", "&amp;$A363&amp;"-"&amp;TEXT(($D363-$C363+1)+14,"00"),"")&amp;IF($C363&gt;=16,", "&amp;$A363&amp;"-"&amp;TEXT(($D363-$C363+1)+15,"00"),"")&amp;IF($C363&gt;=17,", "&amp;$A363&amp;"-"&amp;TEXT(($D363-$C363+1)+16,"00"),"")&amp;IF($C363&gt;=18,", "&amp;$A363&amp;"-"&amp;TEXT(($D363-$C363+1)+17,"00"),"")&amp;IF($C363&gt;=19,", "&amp;$A363&amp;"-"&amp;TEXT(($D363-$C363+1)+18,"00"),"")&amp;IF($C363&gt;=20,", "&amp;$A363&amp;"-"&amp;TEXT(($D363-$C363+1)+19,"00"),"")&amp;IF($C363&gt;=21,", "&amp;$A363&amp;"-"&amp;TEXT(($D363-$C363+1)+20,"00"),"")&amp;IF($C363&gt;=22,", "&amp;$A363&amp;"-"&amp;TEXT(($D363-$C363+1)+21,"00"),"")&amp;IF($C363&gt;=23,", "&amp;$A363&amp;"-"&amp;TEXT(($D363-$C363+1)+22,"00"),"")&amp;IF($C363&gt;=24,", "&amp;$A363&amp;"-"&amp;TEXT(($D363-$C363+1)+23,"00"),"")&amp;IF($C363&gt;=25,", "&amp;$A363&amp;"-"&amp;TEXT(($D363-$C363+1)+24,"00"),""))</f>
        <v/>
      </c>
      <c r="G363">
        <f>IF($A363="","",IF($E363=1,$F363,IF($F363="",$G362,IF($G362="",$F363,$G362&amp;", "&amp;$F363))))</f>
        <v/>
      </c>
      <c r="H363">
        <f>IF($A363="","",$A363&amp;" ("&amp;$C363&amp;")")</f>
        <v/>
      </c>
      <c r="I363">
        <f>IF($A363="","",IF($E363=1,$H363,$I362&amp;", "&amp;$H363))</f>
        <v/>
      </c>
      <c r="J363">
        <f>IF($A363="","",IF($E363=1,$B363,""))</f>
        <v/>
      </c>
      <c r="K363">
        <f>IF($A363="","",IF(COUNTIF($B$2:$B363,$B363)=COUNTIF($B$2:$B$1601,$B363),$B363,""))</f>
        <v/>
      </c>
    </row>
    <row r="364">
      <c r="A364">
        <f>IF('TMP Paste'!$E364="","",'TMP Paste'!$E364)</f>
        <v/>
      </c>
      <c r="B364">
        <f>IF($A364="","",COUNTIF('TMP Paste'!$B$2:$B364,"?*"))</f>
        <v/>
      </c>
      <c r="C364">
        <f>IF($A364="","",IFERROR('TMP Paste'!$M364*1,0))</f>
        <v/>
      </c>
      <c r="D364">
        <f>IF($A364="","",SUMIF($B$2:$B364,$B364,$C$2:$C364))</f>
        <v/>
      </c>
      <c r="E364">
        <f>IF($A364="",0,IF('TMP Paste'!$B364="",0,1))</f>
        <v/>
      </c>
      <c r="F364">
        <f>IF(OR($A364="",$C364&lt;1),"",$A364&amp;"-"&amp;TEXT(($D364-$C364+1),"00")&amp;IF($C364&gt;=2,", "&amp;$A364&amp;"-"&amp;TEXT(($D364-$C364+1)+1,"00"),"")&amp;IF($C364&gt;=3,", "&amp;$A364&amp;"-"&amp;TEXT(($D364-$C364+1)+2,"00"),"")&amp;IF($C364&gt;=4,", "&amp;$A364&amp;"-"&amp;TEXT(($D364-$C364+1)+3,"00"),"")&amp;IF($C364&gt;=5,", "&amp;$A364&amp;"-"&amp;TEXT(($D364-$C364+1)+4,"00"),"")&amp;IF($C364&gt;=6,", "&amp;$A364&amp;"-"&amp;TEXT(($D364-$C364+1)+5,"00"),"")&amp;IF($C364&gt;=7,", "&amp;$A364&amp;"-"&amp;TEXT(($D364-$C364+1)+6,"00"),"")&amp;IF($C364&gt;=8,", "&amp;$A364&amp;"-"&amp;TEXT(($D364-$C364+1)+7,"00"),"")&amp;IF($C364&gt;=9,", "&amp;$A364&amp;"-"&amp;TEXT(($D364-$C364+1)+8,"00"),"")&amp;IF($C364&gt;=10,", "&amp;$A364&amp;"-"&amp;TEXT(($D364-$C364+1)+9,"00"),"")&amp;IF($C364&gt;=11,", "&amp;$A364&amp;"-"&amp;TEXT(($D364-$C364+1)+10,"00"),"")&amp;IF($C364&gt;=12,", "&amp;$A364&amp;"-"&amp;TEXT(($D364-$C364+1)+11,"00"),"")&amp;IF($C364&gt;=13,", "&amp;$A364&amp;"-"&amp;TEXT(($D364-$C364+1)+12,"00"),"")&amp;IF($C364&gt;=14,", "&amp;$A364&amp;"-"&amp;TEXT(($D364-$C364+1)+13,"00"),"")&amp;IF($C364&gt;=15,", "&amp;$A364&amp;"-"&amp;TEXT(($D364-$C364+1)+14,"00"),"")&amp;IF($C364&gt;=16,", "&amp;$A364&amp;"-"&amp;TEXT(($D364-$C364+1)+15,"00"),"")&amp;IF($C364&gt;=17,", "&amp;$A364&amp;"-"&amp;TEXT(($D364-$C364+1)+16,"00"),"")&amp;IF($C364&gt;=18,", "&amp;$A364&amp;"-"&amp;TEXT(($D364-$C364+1)+17,"00"),"")&amp;IF($C364&gt;=19,", "&amp;$A364&amp;"-"&amp;TEXT(($D364-$C364+1)+18,"00"),"")&amp;IF($C364&gt;=20,", "&amp;$A364&amp;"-"&amp;TEXT(($D364-$C364+1)+19,"00"),"")&amp;IF($C364&gt;=21,", "&amp;$A364&amp;"-"&amp;TEXT(($D364-$C364+1)+20,"00"),"")&amp;IF($C364&gt;=22,", "&amp;$A364&amp;"-"&amp;TEXT(($D364-$C364+1)+21,"00"),"")&amp;IF($C364&gt;=23,", "&amp;$A364&amp;"-"&amp;TEXT(($D364-$C364+1)+22,"00"),"")&amp;IF($C364&gt;=24,", "&amp;$A364&amp;"-"&amp;TEXT(($D364-$C364+1)+23,"00"),"")&amp;IF($C364&gt;=25,", "&amp;$A364&amp;"-"&amp;TEXT(($D364-$C364+1)+24,"00"),""))</f>
        <v/>
      </c>
      <c r="G364">
        <f>IF($A364="","",IF($E364=1,$F364,IF($F364="",$G363,IF($G363="",$F364,$G363&amp;", "&amp;$F364))))</f>
        <v/>
      </c>
      <c r="H364">
        <f>IF($A364="","",$A364&amp;" ("&amp;$C364&amp;")")</f>
        <v/>
      </c>
      <c r="I364">
        <f>IF($A364="","",IF($E364=1,$H364,$I363&amp;", "&amp;$H364))</f>
        <v/>
      </c>
      <c r="J364">
        <f>IF($A364="","",IF($E364=1,$B364,""))</f>
        <v/>
      </c>
      <c r="K364">
        <f>IF($A364="","",IF(COUNTIF($B$2:$B364,$B364)=COUNTIF($B$2:$B$1601,$B364),$B364,""))</f>
        <v/>
      </c>
    </row>
    <row r="365">
      <c r="A365">
        <f>IF('TMP Paste'!$E365="","",'TMP Paste'!$E365)</f>
        <v/>
      </c>
      <c r="B365">
        <f>IF($A365="","",COUNTIF('TMP Paste'!$B$2:$B365,"?*"))</f>
        <v/>
      </c>
      <c r="C365">
        <f>IF($A365="","",IFERROR('TMP Paste'!$M365*1,0))</f>
        <v/>
      </c>
      <c r="D365">
        <f>IF($A365="","",SUMIF($B$2:$B365,$B365,$C$2:$C365))</f>
        <v/>
      </c>
      <c r="E365">
        <f>IF($A365="",0,IF('TMP Paste'!$B365="",0,1))</f>
        <v/>
      </c>
      <c r="F365">
        <f>IF(OR($A365="",$C365&lt;1),"",$A365&amp;"-"&amp;TEXT(($D365-$C365+1),"00")&amp;IF($C365&gt;=2,", "&amp;$A365&amp;"-"&amp;TEXT(($D365-$C365+1)+1,"00"),"")&amp;IF($C365&gt;=3,", "&amp;$A365&amp;"-"&amp;TEXT(($D365-$C365+1)+2,"00"),"")&amp;IF($C365&gt;=4,", "&amp;$A365&amp;"-"&amp;TEXT(($D365-$C365+1)+3,"00"),"")&amp;IF($C365&gt;=5,", "&amp;$A365&amp;"-"&amp;TEXT(($D365-$C365+1)+4,"00"),"")&amp;IF($C365&gt;=6,", "&amp;$A365&amp;"-"&amp;TEXT(($D365-$C365+1)+5,"00"),"")&amp;IF($C365&gt;=7,", "&amp;$A365&amp;"-"&amp;TEXT(($D365-$C365+1)+6,"00"),"")&amp;IF($C365&gt;=8,", "&amp;$A365&amp;"-"&amp;TEXT(($D365-$C365+1)+7,"00"),"")&amp;IF($C365&gt;=9,", "&amp;$A365&amp;"-"&amp;TEXT(($D365-$C365+1)+8,"00"),"")&amp;IF($C365&gt;=10,", "&amp;$A365&amp;"-"&amp;TEXT(($D365-$C365+1)+9,"00"),"")&amp;IF($C365&gt;=11,", "&amp;$A365&amp;"-"&amp;TEXT(($D365-$C365+1)+10,"00"),"")&amp;IF($C365&gt;=12,", "&amp;$A365&amp;"-"&amp;TEXT(($D365-$C365+1)+11,"00"),"")&amp;IF($C365&gt;=13,", "&amp;$A365&amp;"-"&amp;TEXT(($D365-$C365+1)+12,"00"),"")&amp;IF($C365&gt;=14,", "&amp;$A365&amp;"-"&amp;TEXT(($D365-$C365+1)+13,"00"),"")&amp;IF($C365&gt;=15,", "&amp;$A365&amp;"-"&amp;TEXT(($D365-$C365+1)+14,"00"),"")&amp;IF($C365&gt;=16,", "&amp;$A365&amp;"-"&amp;TEXT(($D365-$C365+1)+15,"00"),"")&amp;IF($C365&gt;=17,", "&amp;$A365&amp;"-"&amp;TEXT(($D365-$C365+1)+16,"00"),"")&amp;IF($C365&gt;=18,", "&amp;$A365&amp;"-"&amp;TEXT(($D365-$C365+1)+17,"00"),"")&amp;IF($C365&gt;=19,", "&amp;$A365&amp;"-"&amp;TEXT(($D365-$C365+1)+18,"00"),"")&amp;IF($C365&gt;=20,", "&amp;$A365&amp;"-"&amp;TEXT(($D365-$C365+1)+19,"00"),"")&amp;IF($C365&gt;=21,", "&amp;$A365&amp;"-"&amp;TEXT(($D365-$C365+1)+20,"00"),"")&amp;IF($C365&gt;=22,", "&amp;$A365&amp;"-"&amp;TEXT(($D365-$C365+1)+21,"00"),"")&amp;IF($C365&gt;=23,", "&amp;$A365&amp;"-"&amp;TEXT(($D365-$C365+1)+22,"00"),"")&amp;IF($C365&gt;=24,", "&amp;$A365&amp;"-"&amp;TEXT(($D365-$C365+1)+23,"00"),"")&amp;IF($C365&gt;=25,", "&amp;$A365&amp;"-"&amp;TEXT(($D365-$C365+1)+24,"00"),""))</f>
        <v/>
      </c>
      <c r="G365">
        <f>IF($A365="","",IF($E365=1,$F365,IF($F365="",$G364,IF($G364="",$F365,$G364&amp;", "&amp;$F365))))</f>
        <v/>
      </c>
      <c r="H365">
        <f>IF($A365="","",$A365&amp;" ("&amp;$C365&amp;")")</f>
        <v/>
      </c>
      <c r="I365">
        <f>IF($A365="","",IF($E365=1,$H365,$I364&amp;", "&amp;$H365))</f>
        <v/>
      </c>
      <c r="J365">
        <f>IF($A365="","",IF($E365=1,$B365,""))</f>
        <v/>
      </c>
      <c r="K365">
        <f>IF($A365="","",IF(COUNTIF($B$2:$B365,$B365)=COUNTIF($B$2:$B$1601,$B365),$B365,""))</f>
        <v/>
      </c>
    </row>
    <row r="366">
      <c r="A366">
        <f>IF('TMP Paste'!$E366="","",'TMP Paste'!$E366)</f>
        <v/>
      </c>
      <c r="B366">
        <f>IF($A366="","",COUNTIF('TMP Paste'!$B$2:$B366,"?*"))</f>
        <v/>
      </c>
      <c r="C366">
        <f>IF($A366="","",IFERROR('TMP Paste'!$M366*1,0))</f>
        <v/>
      </c>
      <c r="D366">
        <f>IF($A366="","",SUMIF($B$2:$B366,$B366,$C$2:$C366))</f>
        <v/>
      </c>
      <c r="E366">
        <f>IF($A366="",0,IF('TMP Paste'!$B366="",0,1))</f>
        <v/>
      </c>
      <c r="F366">
        <f>IF(OR($A366="",$C366&lt;1),"",$A366&amp;"-"&amp;TEXT(($D366-$C366+1),"00")&amp;IF($C366&gt;=2,", "&amp;$A366&amp;"-"&amp;TEXT(($D366-$C366+1)+1,"00"),"")&amp;IF($C366&gt;=3,", "&amp;$A366&amp;"-"&amp;TEXT(($D366-$C366+1)+2,"00"),"")&amp;IF($C366&gt;=4,", "&amp;$A366&amp;"-"&amp;TEXT(($D366-$C366+1)+3,"00"),"")&amp;IF($C366&gt;=5,", "&amp;$A366&amp;"-"&amp;TEXT(($D366-$C366+1)+4,"00"),"")&amp;IF($C366&gt;=6,", "&amp;$A366&amp;"-"&amp;TEXT(($D366-$C366+1)+5,"00"),"")&amp;IF($C366&gt;=7,", "&amp;$A366&amp;"-"&amp;TEXT(($D366-$C366+1)+6,"00"),"")&amp;IF($C366&gt;=8,", "&amp;$A366&amp;"-"&amp;TEXT(($D366-$C366+1)+7,"00"),"")&amp;IF($C366&gt;=9,", "&amp;$A366&amp;"-"&amp;TEXT(($D366-$C366+1)+8,"00"),"")&amp;IF($C366&gt;=10,", "&amp;$A366&amp;"-"&amp;TEXT(($D366-$C366+1)+9,"00"),"")&amp;IF($C366&gt;=11,", "&amp;$A366&amp;"-"&amp;TEXT(($D366-$C366+1)+10,"00"),"")&amp;IF($C366&gt;=12,", "&amp;$A366&amp;"-"&amp;TEXT(($D366-$C366+1)+11,"00"),"")&amp;IF($C366&gt;=13,", "&amp;$A366&amp;"-"&amp;TEXT(($D366-$C366+1)+12,"00"),"")&amp;IF($C366&gt;=14,", "&amp;$A366&amp;"-"&amp;TEXT(($D366-$C366+1)+13,"00"),"")&amp;IF($C366&gt;=15,", "&amp;$A366&amp;"-"&amp;TEXT(($D366-$C366+1)+14,"00"),"")&amp;IF($C366&gt;=16,", "&amp;$A366&amp;"-"&amp;TEXT(($D366-$C366+1)+15,"00"),"")&amp;IF($C366&gt;=17,", "&amp;$A366&amp;"-"&amp;TEXT(($D366-$C366+1)+16,"00"),"")&amp;IF($C366&gt;=18,", "&amp;$A366&amp;"-"&amp;TEXT(($D366-$C366+1)+17,"00"),"")&amp;IF($C366&gt;=19,", "&amp;$A366&amp;"-"&amp;TEXT(($D366-$C366+1)+18,"00"),"")&amp;IF($C366&gt;=20,", "&amp;$A366&amp;"-"&amp;TEXT(($D366-$C366+1)+19,"00"),"")&amp;IF($C366&gt;=21,", "&amp;$A366&amp;"-"&amp;TEXT(($D366-$C366+1)+20,"00"),"")&amp;IF($C366&gt;=22,", "&amp;$A366&amp;"-"&amp;TEXT(($D366-$C366+1)+21,"00"),"")&amp;IF($C366&gt;=23,", "&amp;$A366&amp;"-"&amp;TEXT(($D366-$C366+1)+22,"00"),"")&amp;IF($C366&gt;=24,", "&amp;$A366&amp;"-"&amp;TEXT(($D366-$C366+1)+23,"00"),"")&amp;IF($C366&gt;=25,", "&amp;$A366&amp;"-"&amp;TEXT(($D366-$C366+1)+24,"00"),""))</f>
        <v/>
      </c>
      <c r="G366">
        <f>IF($A366="","",IF($E366=1,$F366,IF($F366="",$G365,IF($G365="",$F366,$G365&amp;", "&amp;$F366))))</f>
        <v/>
      </c>
      <c r="H366">
        <f>IF($A366="","",$A366&amp;" ("&amp;$C366&amp;")")</f>
        <v/>
      </c>
      <c r="I366">
        <f>IF($A366="","",IF($E366=1,$H366,$I365&amp;", "&amp;$H366))</f>
        <v/>
      </c>
      <c r="J366">
        <f>IF($A366="","",IF($E366=1,$B366,""))</f>
        <v/>
      </c>
      <c r="K366">
        <f>IF($A366="","",IF(COUNTIF($B$2:$B366,$B366)=COUNTIF($B$2:$B$1601,$B366),$B366,""))</f>
        <v/>
      </c>
    </row>
    <row r="367">
      <c r="A367">
        <f>IF('TMP Paste'!$E367="","",'TMP Paste'!$E367)</f>
        <v/>
      </c>
      <c r="B367">
        <f>IF($A367="","",COUNTIF('TMP Paste'!$B$2:$B367,"?*"))</f>
        <v/>
      </c>
      <c r="C367">
        <f>IF($A367="","",IFERROR('TMP Paste'!$M367*1,0))</f>
        <v/>
      </c>
      <c r="D367">
        <f>IF($A367="","",SUMIF($B$2:$B367,$B367,$C$2:$C367))</f>
        <v/>
      </c>
      <c r="E367">
        <f>IF($A367="",0,IF('TMP Paste'!$B367="",0,1))</f>
        <v/>
      </c>
      <c r="F367">
        <f>IF(OR($A367="",$C367&lt;1),"",$A367&amp;"-"&amp;TEXT(($D367-$C367+1),"00")&amp;IF($C367&gt;=2,", "&amp;$A367&amp;"-"&amp;TEXT(($D367-$C367+1)+1,"00"),"")&amp;IF($C367&gt;=3,", "&amp;$A367&amp;"-"&amp;TEXT(($D367-$C367+1)+2,"00"),"")&amp;IF($C367&gt;=4,", "&amp;$A367&amp;"-"&amp;TEXT(($D367-$C367+1)+3,"00"),"")&amp;IF($C367&gt;=5,", "&amp;$A367&amp;"-"&amp;TEXT(($D367-$C367+1)+4,"00"),"")&amp;IF($C367&gt;=6,", "&amp;$A367&amp;"-"&amp;TEXT(($D367-$C367+1)+5,"00"),"")&amp;IF($C367&gt;=7,", "&amp;$A367&amp;"-"&amp;TEXT(($D367-$C367+1)+6,"00"),"")&amp;IF($C367&gt;=8,", "&amp;$A367&amp;"-"&amp;TEXT(($D367-$C367+1)+7,"00"),"")&amp;IF($C367&gt;=9,", "&amp;$A367&amp;"-"&amp;TEXT(($D367-$C367+1)+8,"00"),"")&amp;IF($C367&gt;=10,", "&amp;$A367&amp;"-"&amp;TEXT(($D367-$C367+1)+9,"00"),"")&amp;IF($C367&gt;=11,", "&amp;$A367&amp;"-"&amp;TEXT(($D367-$C367+1)+10,"00"),"")&amp;IF($C367&gt;=12,", "&amp;$A367&amp;"-"&amp;TEXT(($D367-$C367+1)+11,"00"),"")&amp;IF($C367&gt;=13,", "&amp;$A367&amp;"-"&amp;TEXT(($D367-$C367+1)+12,"00"),"")&amp;IF($C367&gt;=14,", "&amp;$A367&amp;"-"&amp;TEXT(($D367-$C367+1)+13,"00"),"")&amp;IF($C367&gt;=15,", "&amp;$A367&amp;"-"&amp;TEXT(($D367-$C367+1)+14,"00"),"")&amp;IF($C367&gt;=16,", "&amp;$A367&amp;"-"&amp;TEXT(($D367-$C367+1)+15,"00"),"")&amp;IF($C367&gt;=17,", "&amp;$A367&amp;"-"&amp;TEXT(($D367-$C367+1)+16,"00"),"")&amp;IF($C367&gt;=18,", "&amp;$A367&amp;"-"&amp;TEXT(($D367-$C367+1)+17,"00"),"")&amp;IF($C367&gt;=19,", "&amp;$A367&amp;"-"&amp;TEXT(($D367-$C367+1)+18,"00"),"")&amp;IF($C367&gt;=20,", "&amp;$A367&amp;"-"&amp;TEXT(($D367-$C367+1)+19,"00"),"")&amp;IF($C367&gt;=21,", "&amp;$A367&amp;"-"&amp;TEXT(($D367-$C367+1)+20,"00"),"")&amp;IF($C367&gt;=22,", "&amp;$A367&amp;"-"&amp;TEXT(($D367-$C367+1)+21,"00"),"")&amp;IF($C367&gt;=23,", "&amp;$A367&amp;"-"&amp;TEXT(($D367-$C367+1)+22,"00"),"")&amp;IF($C367&gt;=24,", "&amp;$A367&amp;"-"&amp;TEXT(($D367-$C367+1)+23,"00"),"")&amp;IF($C367&gt;=25,", "&amp;$A367&amp;"-"&amp;TEXT(($D367-$C367+1)+24,"00"),""))</f>
        <v/>
      </c>
      <c r="G367">
        <f>IF($A367="","",IF($E367=1,$F367,IF($F367="",$G366,IF($G366="",$F367,$G366&amp;", "&amp;$F367))))</f>
        <v/>
      </c>
      <c r="H367">
        <f>IF($A367="","",$A367&amp;" ("&amp;$C367&amp;")")</f>
        <v/>
      </c>
      <c r="I367">
        <f>IF($A367="","",IF($E367=1,$H367,$I366&amp;", "&amp;$H367))</f>
        <v/>
      </c>
      <c r="J367">
        <f>IF($A367="","",IF($E367=1,$B367,""))</f>
        <v/>
      </c>
      <c r="K367">
        <f>IF($A367="","",IF(COUNTIF($B$2:$B367,$B367)=COUNTIF($B$2:$B$1601,$B367),$B367,""))</f>
        <v/>
      </c>
    </row>
    <row r="368">
      <c r="A368">
        <f>IF('TMP Paste'!$E368="","",'TMP Paste'!$E368)</f>
        <v/>
      </c>
      <c r="B368">
        <f>IF($A368="","",COUNTIF('TMP Paste'!$B$2:$B368,"?*"))</f>
        <v/>
      </c>
      <c r="C368">
        <f>IF($A368="","",IFERROR('TMP Paste'!$M368*1,0))</f>
        <v/>
      </c>
      <c r="D368">
        <f>IF($A368="","",SUMIF($B$2:$B368,$B368,$C$2:$C368))</f>
        <v/>
      </c>
      <c r="E368">
        <f>IF($A368="",0,IF('TMP Paste'!$B368="",0,1))</f>
        <v/>
      </c>
      <c r="F368">
        <f>IF(OR($A368="",$C368&lt;1),"",$A368&amp;"-"&amp;TEXT(($D368-$C368+1),"00")&amp;IF($C368&gt;=2,", "&amp;$A368&amp;"-"&amp;TEXT(($D368-$C368+1)+1,"00"),"")&amp;IF($C368&gt;=3,", "&amp;$A368&amp;"-"&amp;TEXT(($D368-$C368+1)+2,"00"),"")&amp;IF($C368&gt;=4,", "&amp;$A368&amp;"-"&amp;TEXT(($D368-$C368+1)+3,"00"),"")&amp;IF($C368&gt;=5,", "&amp;$A368&amp;"-"&amp;TEXT(($D368-$C368+1)+4,"00"),"")&amp;IF($C368&gt;=6,", "&amp;$A368&amp;"-"&amp;TEXT(($D368-$C368+1)+5,"00"),"")&amp;IF($C368&gt;=7,", "&amp;$A368&amp;"-"&amp;TEXT(($D368-$C368+1)+6,"00"),"")&amp;IF($C368&gt;=8,", "&amp;$A368&amp;"-"&amp;TEXT(($D368-$C368+1)+7,"00"),"")&amp;IF($C368&gt;=9,", "&amp;$A368&amp;"-"&amp;TEXT(($D368-$C368+1)+8,"00"),"")&amp;IF($C368&gt;=10,", "&amp;$A368&amp;"-"&amp;TEXT(($D368-$C368+1)+9,"00"),"")&amp;IF($C368&gt;=11,", "&amp;$A368&amp;"-"&amp;TEXT(($D368-$C368+1)+10,"00"),"")&amp;IF($C368&gt;=12,", "&amp;$A368&amp;"-"&amp;TEXT(($D368-$C368+1)+11,"00"),"")&amp;IF($C368&gt;=13,", "&amp;$A368&amp;"-"&amp;TEXT(($D368-$C368+1)+12,"00"),"")&amp;IF($C368&gt;=14,", "&amp;$A368&amp;"-"&amp;TEXT(($D368-$C368+1)+13,"00"),"")&amp;IF($C368&gt;=15,", "&amp;$A368&amp;"-"&amp;TEXT(($D368-$C368+1)+14,"00"),"")&amp;IF($C368&gt;=16,", "&amp;$A368&amp;"-"&amp;TEXT(($D368-$C368+1)+15,"00"),"")&amp;IF($C368&gt;=17,", "&amp;$A368&amp;"-"&amp;TEXT(($D368-$C368+1)+16,"00"),"")&amp;IF($C368&gt;=18,", "&amp;$A368&amp;"-"&amp;TEXT(($D368-$C368+1)+17,"00"),"")&amp;IF($C368&gt;=19,", "&amp;$A368&amp;"-"&amp;TEXT(($D368-$C368+1)+18,"00"),"")&amp;IF($C368&gt;=20,", "&amp;$A368&amp;"-"&amp;TEXT(($D368-$C368+1)+19,"00"),"")&amp;IF($C368&gt;=21,", "&amp;$A368&amp;"-"&amp;TEXT(($D368-$C368+1)+20,"00"),"")&amp;IF($C368&gt;=22,", "&amp;$A368&amp;"-"&amp;TEXT(($D368-$C368+1)+21,"00"),"")&amp;IF($C368&gt;=23,", "&amp;$A368&amp;"-"&amp;TEXT(($D368-$C368+1)+22,"00"),"")&amp;IF($C368&gt;=24,", "&amp;$A368&amp;"-"&amp;TEXT(($D368-$C368+1)+23,"00"),"")&amp;IF($C368&gt;=25,", "&amp;$A368&amp;"-"&amp;TEXT(($D368-$C368+1)+24,"00"),""))</f>
        <v/>
      </c>
      <c r="G368">
        <f>IF($A368="","",IF($E368=1,$F368,IF($F368="",$G367,IF($G367="",$F368,$G367&amp;", "&amp;$F368))))</f>
        <v/>
      </c>
      <c r="H368">
        <f>IF($A368="","",$A368&amp;" ("&amp;$C368&amp;")")</f>
        <v/>
      </c>
      <c r="I368">
        <f>IF($A368="","",IF($E368=1,$H368,$I367&amp;", "&amp;$H368))</f>
        <v/>
      </c>
      <c r="J368">
        <f>IF($A368="","",IF($E368=1,$B368,""))</f>
        <v/>
      </c>
      <c r="K368">
        <f>IF($A368="","",IF(COUNTIF($B$2:$B368,$B368)=COUNTIF($B$2:$B$1601,$B368),$B368,""))</f>
        <v/>
      </c>
    </row>
    <row r="369">
      <c r="A369">
        <f>IF('TMP Paste'!$E369="","",'TMP Paste'!$E369)</f>
        <v/>
      </c>
      <c r="B369">
        <f>IF($A369="","",COUNTIF('TMP Paste'!$B$2:$B369,"?*"))</f>
        <v/>
      </c>
      <c r="C369">
        <f>IF($A369="","",IFERROR('TMP Paste'!$M369*1,0))</f>
        <v/>
      </c>
      <c r="D369">
        <f>IF($A369="","",SUMIF($B$2:$B369,$B369,$C$2:$C369))</f>
        <v/>
      </c>
      <c r="E369">
        <f>IF($A369="",0,IF('TMP Paste'!$B369="",0,1))</f>
        <v/>
      </c>
      <c r="F369">
        <f>IF(OR($A369="",$C369&lt;1),"",$A369&amp;"-"&amp;TEXT(($D369-$C369+1),"00")&amp;IF($C369&gt;=2,", "&amp;$A369&amp;"-"&amp;TEXT(($D369-$C369+1)+1,"00"),"")&amp;IF($C369&gt;=3,", "&amp;$A369&amp;"-"&amp;TEXT(($D369-$C369+1)+2,"00"),"")&amp;IF($C369&gt;=4,", "&amp;$A369&amp;"-"&amp;TEXT(($D369-$C369+1)+3,"00"),"")&amp;IF($C369&gt;=5,", "&amp;$A369&amp;"-"&amp;TEXT(($D369-$C369+1)+4,"00"),"")&amp;IF($C369&gt;=6,", "&amp;$A369&amp;"-"&amp;TEXT(($D369-$C369+1)+5,"00"),"")&amp;IF($C369&gt;=7,", "&amp;$A369&amp;"-"&amp;TEXT(($D369-$C369+1)+6,"00"),"")&amp;IF($C369&gt;=8,", "&amp;$A369&amp;"-"&amp;TEXT(($D369-$C369+1)+7,"00"),"")&amp;IF($C369&gt;=9,", "&amp;$A369&amp;"-"&amp;TEXT(($D369-$C369+1)+8,"00"),"")&amp;IF($C369&gt;=10,", "&amp;$A369&amp;"-"&amp;TEXT(($D369-$C369+1)+9,"00"),"")&amp;IF($C369&gt;=11,", "&amp;$A369&amp;"-"&amp;TEXT(($D369-$C369+1)+10,"00"),"")&amp;IF($C369&gt;=12,", "&amp;$A369&amp;"-"&amp;TEXT(($D369-$C369+1)+11,"00"),"")&amp;IF($C369&gt;=13,", "&amp;$A369&amp;"-"&amp;TEXT(($D369-$C369+1)+12,"00"),"")&amp;IF($C369&gt;=14,", "&amp;$A369&amp;"-"&amp;TEXT(($D369-$C369+1)+13,"00"),"")&amp;IF($C369&gt;=15,", "&amp;$A369&amp;"-"&amp;TEXT(($D369-$C369+1)+14,"00"),"")&amp;IF($C369&gt;=16,", "&amp;$A369&amp;"-"&amp;TEXT(($D369-$C369+1)+15,"00"),"")&amp;IF($C369&gt;=17,", "&amp;$A369&amp;"-"&amp;TEXT(($D369-$C369+1)+16,"00"),"")&amp;IF($C369&gt;=18,", "&amp;$A369&amp;"-"&amp;TEXT(($D369-$C369+1)+17,"00"),"")&amp;IF($C369&gt;=19,", "&amp;$A369&amp;"-"&amp;TEXT(($D369-$C369+1)+18,"00"),"")&amp;IF($C369&gt;=20,", "&amp;$A369&amp;"-"&amp;TEXT(($D369-$C369+1)+19,"00"),"")&amp;IF($C369&gt;=21,", "&amp;$A369&amp;"-"&amp;TEXT(($D369-$C369+1)+20,"00"),"")&amp;IF($C369&gt;=22,", "&amp;$A369&amp;"-"&amp;TEXT(($D369-$C369+1)+21,"00"),"")&amp;IF($C369&gt;=23,", "&amp;$A369&amp;"-"&amp;TEXT(($D369-$C369+1)+22,"00"),"")&amp;IF($C369&gt;=24,", "&amp;$A369&amp;"-"&amp;TEXT(($D369-$C369+1)+23,"00"),"")&amp;IF($C369&gt;=25,", "&amp;$A369&amp;"-"&amp;TEXT(($D369-$C369+1)+24,"00"),""))</f>
        <v/>
      </c>
      <c r="G369">
        <f>IF($A369="","",IF($E369=1,$F369,IF($F369="",$G368,IF($G368="",$F369,$G368&amp;", "&amp;$F369))))</f>
        <v/>
      </c>
      <c r="H369">
        <f>IF($A369="","",$A369&amp;" ("&amp;$C369&amp;")")</f>
        <v/>
      </c>
      <c r="I369">
        <f>IF($A369="","",IF($E369=1,$H369,$I368&amp;", "&amp;$H369))</f>
        <v/>
      </c>
      <c r="J369">
        <f>IF($A369="","",IF($E369=1,$B369,""))</f>
        <v/>
      </c>
      <c r="K369">
        <f>IF($A369="","",IF(COUNTIF($B$2:$B369,$B369)=COUNTIF($B$2:$B$1601,$B369),$B369,""))</f>
        <v/>
      </c>
    </row>
    <row r="370">
      <c r="A370">
        <f>IF('TMP Paste'!$E370="","",'TMP Paste'!$E370)</f>
        <v/>
      </c>
      <c r="B370">
        <f>IF($A370="","",COUNTIF('TMP Paste'!$B$2:$B370,"?*"))</f>
        <v/>
      </c>
      <c r="C370">
        <f>IF($A370="","",IFERROR('TMP Paste'!$M370*1,0))</f>
        <v/>
      </c>
      <c r="D370">
        <f>IF($A370="","",SUMIF($B$2:$B370,$B370,$C$2:$C370))</f>
        <v/>
      </c>
      <c r="E370">
        <f>IF($A370="",0,IF('TMP Paste'!$B370="",0,1))</f>
        <v/>
      </c>
      <c r="F370">
        <f>IF(OR($A370="",$C370&lt;1),"",$A370&amp;"-"&amp;TEXT(($D370-$C370+1),"00")&amp;IF($C370&gt;=2,", "&amp;$A370&amp;"-"&amp;TEXT(($D370-$C370+1)+1,"00"),"")&amp;IF($C370&gt;=3,", "&amp;$A370&amp;"-"&amp;TEXT(($D370-$C370+1)+2,"00"),"")&amp;IF($C370&gt;=4,", "&amp;$A370&amp;"-"&amp;TEXT(($D370-$C370+1)+3,"00"),"")&amp;IF($C370&gt;=5,", "&amp;$A370&amp;"-"&amp;TEXT(($D370-$C370+1)+4,"00"),"")&amp;IF($C370&gt;=6,", "&amp;$A370&amp;"-"&amp;TEXT(($D370-$C370+1)+5,"00"),"")&amp;IF($C370&gt;=7,", "&amp;$A370&amp;"-"&amp;TEXT(($D370-$C370+1)+6,"00"),"")&amp;IF($C370&gt;=8,", "&amp;$A370&amp;"-"&amp;TEXT(($D370-$C370+1)+7,"00"),"")&amp;IF($C370&gt;=9,", "&amp;$A370&amp;"-"&amp;TEXT(($D370-$C370+1)+8,"00"),"")&amp;IF($C370&gt;=10,", "&amp;$A370&amp;"-"&amp;TEXT(($D370-$C370+1)+9,"00"),"")&amp;IF($C370&gt;=11,", "&amp;$A370&amp;"-"&amp;TEXT(($D370-$C370+1)+10,"00"),"")&amp;IF($C370&gt;=12,", "&amp;$A370&amp;"-"&amp;TEXT(($D370-$C370+1)+11,"00"),"")&amp;IF($C370&gt;=13,", "&amp;$A370&amp;"-"&amp;TEXT(($D370-$C370+1)+12,"00"),"")&amp;IF($C370&gt;=14,", "&amp;$A370&amp;"-"&amp;TEXT(($D370-$C370+1)+13,"00"),"")&amp;IF($C370&gt;=15,", "&amp;$A370&amp;"-"&amp;TEXT(($D370-$C370+1)+14,"00"),"")&amp;IF($C370&gt;=16,", "&amp;$A370&amp;"-"&amp;TEXT(($D370-$C370+1)+15,"00"),"")&amp;IF($C370&gt;=17,", "&amp;$A370&amp;"-"&amp;TEXT(($D370-$C370+1)+16,"00"),"")&amp;IF($C370&gt;=18,", "&amp;$A370&amp;"-"&amp;TEXT(($D370-$C370+1)+17,"00"),"")&amp;IF($C370&gt;=19,", "&amp;$A370&amp;"-"&amp;TEXT(($D370-$C370+1)+18,"00"),"")&amp;IF($C370&gt;=20,", "&amp;$A370&amp;"-"&amp;TEXT(($D370-$C370+1)+19,"00"),"")&amp;IF($C370&gt;=21,", "&amp;$A370&amp;"-"&amp;TEXT(($D370-$C370+1)+20,"00"),"")&amp;IF($C370&gt;=22,", "&amp;$A370&amp;"-"&amp;TEXT(($D370-$C370+1)+21,"00"),"")&amp;IF($C370&gt;=23,", "&amp;$A370&amp;"-"&amp;TEXT(($D370-$C370+1)+22,"00"),"")&amp;IF($C370&gt;=24,", "&amp;$A370&amp;"-"&amp;TEXT(($D370-$C370+1)+23,"00"),"")&amp;IF($C370&gt;=25,", "&amp;$A370&amp;"-"&amp;TEXT(($D370-$C370+1)+24,"00"),""))</f>
        <v/>
      </c>
      <c r="G370">
        <f>IF($A370="","",IF($E370=1,$F370,IF($F370="",$G369,IF($G369="",$F370,$G369&amp;", "&amp;$F370))))</f>
        <v/>
      </c>
      <c r="H370">
        <f>IF($A370="","",$A370&amp;" ("&amp;$C370&amp;")")</f>
        <v/>
      </c>
      <c r="I370">
        <f>IF($A370="","",IF($E370=1,$H370,$I369&amp;", "&amp;$H370))</f>
        <v/>
      </c>
      <c r="J370">
        <f>IF($A370="","",IF($E370=1,$B370,""))</f>
        <v/>
      </c>
      <c r="K370">
        <f>IF($A370="","",IF(COUNTIF($B$2:$B370,$B370)=COUNTIF($B$2:$B$1601,$B370),$B370,""))</f>
        <v/>
      </c>
    </row>
    <row r="371">
      <c r="A371">
        <f>IF('TMP Paste'!$E371="","",'TMP Paste'!$E371)</f>
        <v/>
      </c>
      <c r="B371">
        <f>IF($A371="","",COUNTIF('TMP Paste'!$B$2:$B371,"?*"))</f>
        <v/>
      </c>
      <c r="C371">
        <f>IF($A371="","",IFERROR('TMP Paste'!$M371*1,0))</f>
        <v/>
      </c>
      <c r="D371">
        <f>IF($A371="","",SUMIF($B$2:$B371,$B371,$C$2:$C371))</f>
        <v/>
      </c>
      <c r="E371">
        <f>IF($A371="",0,IF('TMP Paste'!$B371="",0,1))</f>
        <v/>
      </c>
      <c r="F371">
        <f>IF(OR($A371="",$C371&lt;1),"",$A371&amp;"-"&amp;TEXT(($D371-$C371+1),"00")&amp;IF($C371&gt;=2,", "&amp;$A371&amp;"-"&amp;TEXT(($D371-$C371+1)+1,"00"),"")&amp;IF($C371&gt;=3,", "&amp;$A371&amp;"-"&amp;TEXT(($D371-$C371+1)+2,"00"),"")&amp;IF($C371&gt;=4,", "&amp;$A371&amp;"-"&amp;TEXT(($D371-$C371+1)+3,"00"),"")&amp;IF($C371&gt;=5,", "&amp;$A371&amp;"-"&amp;TEXT(($D371-$C371+1)+4,"00"),"")&amp;IF($C371&gt;=6,", "&amp;$A371&amp;"-"&amp;TEXT(($D371-$C371+1)+5,"00"),"")&amp;IF($C371&gt;=7,", "&amp;$A371&amp;"-"&amp;TEXT(($D371-$C371+1)+6,"00"),"")&amp;IF($C371&gt;=8,", "&amp;$A371&amp;"-"&amp;TEXT(($D371-$C371+1)+7,"00"),"")&amp;IF($C371&gt;=9,", "&amp;$A371&amp;"-"&amp;TEXT(($D371-$C371+1)+8,"00"),"")&amp;IF($C371&gt;=10,", "&amp;$A371&amp;"-"&amp;TEXT(($D371-$C371+1)+9,"00"),"")&amp;IF($C371&gt;=11,", "&amp;$A371&amp;"-"&amp;TEXT(($D371-$C371+1)+10,"00"),"")&amp;IF($C371&gt;=12,", "&amp;$A371&amp;"-"&amp;TEXT(($D371-$C371+1)+11,"00"),"")&amp;IF($C371&gt;=13,", "&amp;$A371&amp;"-"&amp;TEXT(($D371-$C371+1)+12,"00"),"")&amp;IF($C371&gt;=14,", "&amp;$A371&amp;"-"&amp;TEXT(($D371-$C371+1)+13,"00"),"")&amp;IF($C371&gt;=15,", "&amp;$A371&amp;"-"&amp;TEXT(($D371-$C371+1)+14,"00"),"")&amp;IF($C371&gt;=16,", "&amp;$A371&amp;"-"&amp;TEXT(($D371-$C371+1)+15,"00"),"")&amp;IF($C371&gt;=17,", "&amp;$A371&amp;"-"&amp;TEXT(($D371-$C371+1)+16,"00"),"")&amp;IF($C371&gt;=18,", "&amp;$A371&amp;"-"&amp;TEXT(($D371-$C371+1)+17,"00"),"")&amp;IF($C371&gt;=19,", "&amp;$A371&amp;"-"&amp;TEXT(($D371-$C371+1)+18,"00"),"")&amp;IF($C371&gt;=20,", "&amp;$A371&amp;"-"&amp;TEXT(($D371-$C371+1)+19,"00"),"")&amp;IF($C371&gt;=21,", "&amp;$A371&amp;"-"&amp;TEXT(($D371-$C371+1)+20,"00"),"")&amp;IF($C371&gt;=22,", "&amp;$A371&amp;"-"&amp;TEXT(($D371-$C371+1)+21,"00"),"")&amp;IF($C371&gt;=23,", "&amp;$A371&amp;"-"&amp;TEXT(($D371-$C371+1)+22,"00"),"")&amp;IF($C371&gt;=24,", "&amp;$A371&amp;"-"&amp;TEXT(($D371-$C371+1)+23,"00"),"")&amp;IF($C371&gt;=25,", "&amp;$A371&amp;"-"&amp;TEXT(($D371-$C371+1)+24,"00"),""))</f>
        <v/>
      </c>
      <c r="G371">
        <f>IF($A371="","",IF($E371=1,$F371,IF($F371="",$G370,IF($G370="",$F371,$G370&amp;", "&amp;$F371))))</f>
        <v/>
      </c>
      <c r="H371">
        <f>IF($A371="","",$A371&amp;" ("&amp;$C371&amp;")")</f>
        <v/>
      </c>
      <c r="I371">
        <f>IF($A371="","",IF($E371=1,$H371,$I370&amp;", "&amp;$H371))</f>
        <v/>
      </c>
      <c r="J371">
        <f>IF($A371="","",IF($E371=1,$B371,""))</f>
        <v/>
      </c>
      <c r="K371">
        <f>IF($A371="","",IF(COUNTIF($B$2:$B371,$B371)=COUNTIF($B$2:$B$1601,$B371),$B371,""))</f>
        <v/>
      </c>
    </row>
    <row r="372">
      <c r="A372">
        <f>IF('TMP Paste'!$E372="","",'TMP Paste'!$E372)</f>
        <v/>
      </c>
      <c r="B372">
        <f>IF($A372="","",COUNTIF('TMP Paste'!$B$2:$B372,"?*"))</f>
        <v/>
      </c>
      <c r="C372">
        <f>IF($A372="","",IFERROR('TMP Paste'!$M372*1,0))</f>
        <v/>
      </c>
      <c r="D372">
        <f>IF($A372="","",SUMIF($B$2:$B372,$B372,$C$2:$C372))</f>
        <v/>
      </c>
      <c r="E372">
        <f>IF($A372="",0,IF('TMP Paste'!$B372="",0,1))</f>
        <v/>
      </c>
      <c r="F372">
        <f>IF(OR($A372="",$C372&lt;1),"",$A372&amp;"-"&amp;TEXT(($D372-$C372+1),"00")&amp;IF($C372&gt;=2,", "&amp;$A372&amp;"-"&amp;TEXT(($D372-$C372+1)+1,"00"),"")&amp;IF($C372&gt;=3,", "&amp;$A372&amp;"-"&amp;TEXT(($D372-$C372+1)+2,"00"),"")&amp;IF($C372&gt;=4,", "&amp;$A372&amp;"-"&amp;TEXT(($D372-$C372+1)+3,"00"),"")&amp;IF($C372&gt;=5,", "&amp;$A372&amp;"-"&amp;TEXT(($D372-$C372+1)+4,"00"),"")&amp;IF($C372&gt;=6,", "&amp;$A372&amp;"-"&amp;TEXT(($D372-$C372+1)+5,"00"),"")&amp;IF($C372&gt;=7,", "&amp;$A372&amp;"-"&amp;TEXT(($D372-$C372+1)+6,"00"),"")&amp;IF($C372&gt;=8,", "&amp;$A372&amp;"-"&amp;TEXT(($D372-$C372+1)+7,"00"),"")&amp;IF($C372&gt;=9,", "&amp;$A372&amp;"-"&amp;TEXT(($D372-$C372+1)+8,"00"),"")&amp;IF($C372&gt;=10,", "&amp;$A372&amp;"-"&amp;TEXT(($D372-$C372+1)+9,"00"),"")&amp;IF($C372&gt;=11,", "&amp;$A372&amp;"-"&amp;TEXT(($D372-$C372+1)+10,"00"),"")&amp;IF($C372&gt;=12,", "&amp;$A372&amp;"-"&amp;TEXT(($D372-$C372+1)+11,"00"),"")&amp;IF($C372&gt;=13,", "&amp;$A372&amp;"-"&amp;TEXT(($D372-$C372+1)+12,"00"),"")&amp;IF($C372&gt;=14,", "&amp;$A372&amp;"-"&amp;TEXT(($D372-$C372+1)+13,"00"),"")&amp;IF($C372&gt;=15,", "&amp;$A372&amp;"-"&amp;TEXT(($D372-$C372+1)+14,"00"),"")&amp;IF($C372&gt;=16,", "&amp;$A372&amp;"-"&amp;TEXT(($D372-$C372+1)+15,"00"),"")&amp;IF($C372&gt;=17,", "&amp;$A372&amp;"-"&amp;TEXT(($D372-$C372+1)+16,"00"),"")&amp;IF($C372&gt;=18,", "&amp;$A372&amp;"-"&amp;TEXT(($D372-$C372+1)+17,"00"),"")&amp;IF($C372&gt;=19,", "&amp;$A372&amp;"-"&amp;TEXT(($D372-$C372+1)+18,"00"),"")&amp;IF($C372&gt;=20,", "&amp;$A372&amp;"-"&amp;TEXT(($D372-$C372+1)+19,"00"),"")&amp;IF($C372&gt;=21,", "&amp;$A372&amp;"-"&amp;TEXT(($D372-$C372+1)+20,"00"),"")&amp;IF($C372&gt;=22,", "&amp;$A372&amp;"-"&amp;TEXT(($D372-$C372+1)+21,"00"),"")&amp;IF($C372&gt;=23,", "&amp;$A372&amp;"-"&amp;TEXT(($D372-$C372+1)+22,"00"),"")&amp;IF($C372&gt;=24,", "&amp;$A372&amp;"-"&amp;TEXT(($D372-$C372+1)+23,"00"),"")&amp;IF($C372&gt;=25,", "&amp;$A372&amp;"-"&amp;TEXT(($D372-$C372+1)+24,"00"),""))</f>
        <v/>
      </c>
      <c r="G372">
        <f>IF($A372="","",IF($E372=1,$F372,IF($F372="",$G371,IF($G371="",$F372,$G371&amp;", "&amp;$F372))))</f>
        <v/>
      </c>
      <c r="H372">
        <f>IF($A372="","",$A372&amp;" ("&amp;$C372&amp;")")</f>
        <v/>
      </c>
      <c r="I372">
        <f>IF($A372="","",IF($E372=1,$H372,$I371&amp;", "&amp;$H372))</f>
        <v/>
      </c>
      <c r="J372">
        <f>IF($A372="","",IF($E372=1,$B372,""))</f>
        <v/>
      </c>
      <c r="K372">
        <f>IF($A372="","",IF(COUNTIF($B$2:$B372,$B372)=COUNTIF($B$2:$B$1601,$B372),$B372,""))</f>
        <v/>
      </c>
    </row>
    <row r="373">
      <c r="A373">
        <f>IF('TMP Paste'!$E373="","",'TMP Paste'!$E373)</f>
        <v/>
      </c>
      <c r="B373">
        <f>IF($A373="","",COUNTIF('TMP Paste'!$B$2:$B373,"?*"))</f>
        <v/>
      </c>
      <c r="C373">
        <f>IF($A373="","",IFERROR('TMP Paste'!$M373*1,0))</f>
        <v/>
      </c>
      <c r="D373">
        <f>IF($A373="","",SUMIF($B$2:$B373,$B373,$C$2:$C373))</f>
        <v/>
      </c>
      <c r="E373">
        <f>IF($A373="",0,IF('TMP Paste'!$B373="",0,1))</f>
        <v/>
      </c>
      <c r="F373">
        <f>IF(OR($A373="",$C373&lt;1),"",$A373&amp;"-"&amp;TEXT(($D373-$C373+1),"00")&amp;IF($C373&gt;=2,", "&amp;$A373&amp;"-"&amp;TEXT(($D373-$C373+1)+1,"00"),"")&amp;IF($C373&gt;=3,", "&amp;$A373&amp;"-"&amp;TEXT(($D373-$C373+1)+2,"00"),"")&amp;IF($C373&gt;=4,", "&amp;$A373&amp;"-"&amp;TEXT(($D373-$C373+1)+3,"00"),"")&amp;IF($C373&gt;=5,", "&amp;$A373&amp;"-"&amp;TEXT(($D373-$C373+1)+4,"00"),"")&amp;IF($C373&gt;=6,", "&amp;$A373&amp;"-"&amp;TEXT(($D373-$C373+1)+5,"00"),"")&amp;IF($C373&gt;=7,", "&amp;$A373&amp;"-"&amp;TEXT(($D373-$C373+1)+6,"00"),"")&amp;IF($C373&gt;=8,", "&amp;$A373&amp;"-"&amp;TEXT(($D373-$C373+1)+7,"00"),"")&amp;IF($C373&gt;=9,", "&amp;$A373&amp;"-"&amp;TEXT(($D373-$C373+1)+8,"00"),"")&amp;IF($C373&gt;=10,", "&amp;$A373&amp;"-"&amp;TEXT(($D373-$C373+1)+9,"00"),"")&amp;IF($C373&gt;=11,", "&amp;$A373&amp;"-"&amp;TEXT(($D373-$C373+1)+10,"00"),"")&amp;IF($C373&gt;=12,", "&amp;$A373&amp;"-"&amp;TEXT(($D373-$C373+1)+11,"00"),"")&amp;IF($C373&gt;=13,", "&amp;$A373&amp;"-"&amp;TEXT(($D373-$C373+1)+12,"00"),"")&amp;IF($C373&gt;=14,", "&amp;$A373&amp;"-"&amp;TEXT(($D373-$C373+1)+13,"00"),"")&amp;IF($C373&gt;=15,", "&amp;$A373&amp;"-"&amp;TEXT(($D373-$C373+1)+14,"00"),"")&amp;IF($C373&gt;=16,", "&amp;$A373&amp;"-"&amp;TEXT(($D373-$C373+1)+15,"00"),"")&amp;IF($C373&gt;=17,", "&amp;$A373&amp;"-"&amp;TEXT(($D373-$C373+1)+16,"00"),"")&amp;IF($C373&gt;=18,", "&amp;$A373&amp;"-"&amp;TEXT(($D373-$C373+1)+17,"00"),"")&amp;IF($C373&gt;=19,", "&amp;$A373&amp;"-"&amp;TEXT(($D373-$C373+1)+18,"00"),"")&amp;IF($C373&gt;=20,", "&amp;$A373&amp;"-"&amp;TEXT(($D373-$C373+1)+19,"00"),"")&amp;IF($C373&gt;=21,", "&amp;$A373&amp;"-"&amp;TEXT(($D373-$C373+1)+20,"00"),"")&amp;IF($C373&gt;=22,", "&amp;$A373&amp;"-"&amp;TEXT(($D373-$C373+1)+21,"00"),"")&amp;IF($C373&gt;=23,", "&amp;$A373&amp;"-"&amp;TEXT(($D373-$C373+1)+22,"00"),"")&amp;IF($C373&gt;=24,", "&amp;$A373&amp;"-"&amp;TEXT(($D373-$C373+1)+23,"00"),"")&amp;IF($C373&gt;=25,", "&amp;$A373&amp;"-"&amp;TEXT(($D373-$C373+1)+24,"00"),""))</f>
        <v/>
      </c>
      <c r="G373">
        <f>IF($A373="","",IF($E373=1,$F373,IF($F373="",$G372,IF($G372="",$F373,$G372&amp;", "&amp;$F373))))</f>
        <v/>
      </c>
      <c r="H373">
        <f>IF($A373="","",$A373&amp;" ("&amp;$C373&amp;")")</f>
        <v/>
      </c>
      <c r="I373">
        <f>IF($A373="","",IF($E373=1,$H373,$I372&amp;", "&amp;$H373))</f>
        <v/>
      </c>
      <c r="J373">
        <f>IF($A373="","",IF($E373=1,$B373,""))</f>
        <v/>
      </c>
      <c r="K373">
        <f>IF($A373="","",IF(COUNTIF($B$2:$B373,$B373)=COUNTIF($B$2:$B$1601,$B373),$B373,""))</f>
        <v/>
      </c>
    </row>
    <row r="374">
      <c r="A374">
        <f>IF('TMP Paste'!$E374="","",'TMP Paste'!$E374)</f>
        <v/>
      </c>
      <c r="B374">
        <f>IF($A374="","",COUNTIF('TMP Paste'!$B$2:$B374,"?*"))</f>
        <v/>
      </c>
      <c r="C374">
        <f>IF($A374="","",IFERROR('TMP Paste'!$M374*1,0))</f>
        <v/>
      </c>
      <c r="D374">
        <f>IF($A374="","",SUMIF($B$2:$B374,$B374,$C$2:$C374))</f>
        <v/>
      </c>
      <c r="E374">
        <f>IF($A374="",0,IF('TMP Paste'!$B374="",0,1))</f>
        <v/>
      </c>
      <c r="F374">
        <f>IF(OR($A374="",$C374&lt;1),"",$A374&amp;"-"&amp;TEXT(($D374-$C374+1),"00")&amp;IF($C374&gt;=2,", "&amp;$A374&amp;"-"&amp;TEXT(($D374-$C374+1)+1,"00"),"")&amp;IF($C374&gt;=3,", "&amp;$A374&amp;"-"&amp;TEXT(($D374-$C374+1)+2,"00"),"")&amp;IF($C374&gt;=4,", "&amp;$A374&amp;"-"&amp;TEXT(($D374-$C374+1)+3,"00"),"")&amp;IF($C374&gt;=5,", "&amp;$A374&amp;"-"&amp;TEXT(($D374-$C374+1)+4,"00"),"")&amp;IF($C374&gt;=6,", "&amp;$A374&amp;"-"&amp;TEXT(($D374-$C374+1)+5,"00"),"")&amp;IF($C374&gt;=7,", "&amp;$A374&amp;"-"&amp;TEXT(($D374-$C374+1)+6,"00"),"")&amp;IF($C374&gt;=8,", "&amp;$A374&amp;"-"&amp;TEXT(($D374-$C374+1)+7,"00"),"")&amp;IF($C374&gt;=9,", "&amp;$A374&amp;"-"&amp;TEXT(($D374-$C374+1)+8,"00"),"")&amp;IF($C374&gt;=10,", "&amp;$A374&amp;"-"&amp;TEXT(($D374-$C374+1)+9,"00"),"")&amp;IF($C374&gt;=11,", "&amp;$A374&amp;"-"&amp;TEXT(($D374-$C374+1)+10,"00"),"")&amp;IF($C374&gt;=12,", "&amp;$A374&amp;"-"&amp;TEXT(($D374-$C374+1)+11,"00"),"")&amp;IF($C374&gt;=13,", "&amp;$A374&amp;"-"&amp;TEXT(($D374-$C374+1)+12,"00"),"")&amp;IF($C374&gt;=14,", "&amp;$A374&amp;"-"&amp;TEXT(($D374-$C374+1)+13,"00"),"")&amp;IF($C374&gt;=15,", "&amp;$A374&amp;"-"&amp;TEXT(($D374-$C374+1)+14,"00"),"")&amp;IF($C374&gt;=16,", "&amp;$A374&amp;"-"&amp;TEXT(($D374-$C374+1)+15,"00"),"")&amp;IF($C374&gt;=17,", "&amp;$A374&amp;"-"&amp;TEXT(($D374-$C374+1)+16,"00"),"")&amp;IF($C374&gt;=18,", "&amp;$A374&amp;"-"&amp;TEXT(($D374-$C374+1)+17,"00"),"")&amp;IF($C374&gt;=19,", "&amp;$A374&amp;"-"&amp;TEXT(($D374-$C374+1)+18,"00"),"")&amp;IF($C374&gt;=20,", "&amp;$A374&amp;"-"&amp;TEXT(($D374-$C374+1)+19,"00"),"")&amp;IF($C374&gt;=21,", "&amp;$A374&amp;"-"&amp;TEXT(($D374-$C374+1)+20,"00"),"")&amp;IF($C374&gt;=22,", "&amp;$A374&amp;"-"&amp;TEXT(($D374-$C374+1)+21,"00"),"")&amp;IF($C374&gt;=23,", "&amp;$A374&amp;"-"&amp;TEXT(($D374-$C374+1)+22,"00"),"")&amp;IF($C374&gt;=24,", "&amp;$A374&amp;"-"&amp;TEXT(($D374-$C374+1)+23,"00"),"")&amp;IF($C374&gt;=25,", "&amp;$A374&amp;"-"&amp;TEXT(($D374-$C374+1)+24,"00"),""))</f>
        <v/>
      </c>
      <c r="G374">
        <f>IF($A374="","",IF($E374=1,$F374,IF($F374="",$G373,IF($G373="",$F374,$G373&amp;", "&amp;$F374))))</f>
        <v/>
      </c>
      <c r="H374">
        <f>IF($A374="","",$A374&amp;" ("&amp;$C374&amp;")")</f>
        <v/>
      </c>
      <c r="I374">
        <f>IF($A374="","",IF($E374=1,$H374,$I373&amp;", "&amp;$H374))</f>
        <v/>
      </c>
      <c r="J374">
        <f>IF($A374="","",IF($E374=1,$B374,""))</f>
        <v/>
      </c>
      <c r="K374">
        <f>IF($A374="","",IF(COUNTIF($B$2:$B374,$B374)=COUNTIF($B$2:$B$1601,$B374),$B374,""))</f>
        <v/>
      </c>
    </row>
    <row r="375">
      <c r="A375">
        <f>IF('TMP Paste'!$E375="","",'TMP Paste'!$E375)</f>
        <v/>
      </c>
      <c r="B375">
        <f>IF($A375="","",COUNTIF('TMP Paste'!$B$2:$B375,"?*"))</f>
        <v/>
      </c>
      <c r="C375">
        <f>IF($A375="","",IFERROR('TMP Paste'!$M375*1,0))</f>
        <v/>
      </c>
      <c r="D375">
        <f>IF($A375="","",SUMIF($B$2:$B375,$B375,$C$2:$C375))</f>
        <v/>
      </c>
      <c r="E375">
        <f>IF($A375="",0,IF('TMP Paste'!$B375="",0,1))</f>
        <v/>
      </c>
      <c r="F375">
        <f>IF(OR($A375="",$C375&lt;1),"",$A375&amp;"-"&amp;TEXT(($D375-$C375+1),"00")&amp;IF($C375&gt;=2,", "&amp;$A375&amp;"-"&amp;TEXT(($D375-$C375+1)+1,"00"),"")&amp;IF($C375&gt;=3,", "&amp;$A375&amp;"-"&amp;TEXT(($D375-$C375+1)+2,"00"),"")&amp;IF($C375&gt;=4,", "&amp;$A375&amp;"-"&amp;TEXT(($D375-$C375+1)+3,"00"),"")&amp;IF($C375&gt;=5,", "&amp;$A375&amp;"-"&amp;TEXT(($D375-$C375+1)+4,"00"),"")&amp;IF($C375&gt;=6,", "&amp;$A375&amp;"-"&amp;TEXT(($D375-$C375+1)+5,"00"),"")&amp;IF($C375&gt;=7,", "&amp;$A375&amp;"-"&amp;TEXT(($D375-$C375+1)+6,"00"),"")&amp;IF($C375&gt;=8,", "&amp;$A375&amp;"-"&amp;TEXT(($D375-$C375+1)+7,"00"),"")&amp;IF($C375&gt;=9,", "&amp;$A375&amp;"-"&amp;TEXT(($D375-$C375+1)+8,"00"),"")&amp;IF($C375&gt;=10,", "&amp;$A375&amp;"-"&amp;TEXT(($D375-$C375+1)+9,"00"),"")&amp;IF($C375&gt;=11,", "&amp;$A375&amp;"-"&amp;TEXT(($D375-$C375+1)+10,"00"),"")&amp;IF($C375&gt;=12,", "&amp;$A375&amp;"-"&amp;TEXT(($D375-$C375+1)+11,"00"),"")&amp;IF($C375&gt;=13,", "&amp;$A375&amp;"-"&amp;TEXT(($D375-$C375+1)+12,"00"),"")&amp;IF($C375&gt;=14,", "&amp;$A375&amp;"-"&amp;TEXT(($D375-$C375+1)+13,"00"),"")&amp;IF($C375&gt;=15,", "&amp;$A375&amp;"-"&amp;TEXT(($D375-$C375+1)+14,"00"),"")&amp;IF($C375&gt;=16,", "&amp;$A375&amp;"-"&amp;TEXT(($D375-$C375+1)+15,"00"),"")&amp;IF($C375&gt;=17,", "&amp;$A375&amp;"-"&amp;TEXT(($D375-$C375+1)+16,"00"),"")&amp;IF($C375&gt;=18,", "&amp;$A375&amp;"-"&amp;TEXT(($D375-$C375+1)+17,"00"),"")&amp;IF($C375&gt;=19,", "&amp;$A375&amp;"-"&amp;TEXT(($D375-$C375+1)+18,"00"),"")&amp;IF($C375&gt;=20,", "&amp;$A375&amp;"-"&amp;TEXT(($D375-$C375+1)+19,"00"),"")&amp;IF($C375&gt;=21,", "&amp;$A375&amp;"-"&amp;TEXT(($D375-$C375+1)+20,"00"),"")&amp;IF($C375&gt;=22,", "&amp;$A375&amp;"-"&amp;TEXT(($D375-$C375+1)+21,"00"),"")&amp;IF($C375&gt;=23,", "&amp;$A375&amp;"-"&amp;TEXT(($D375-$C375+1)+22,"00"),"")&amp;IF($C375&gt;=24,", "&amp;$A375&amp;"-"&amp;TEXT(($D375-$C375+1)+23,"00"),"")&amp;IF($C375&gt;=25,", "&amp;$A375&amp;"-"&amp;TEXT(($D375-$C375+1)+24,"00"),""))</f>
        <v/>
      </c>
      <c r="G375">
        <f>IF($A375="","",IF($E375=1,$F375,IF($F375="",$G374,IF($G374="",$F375,$G374&amp;", "&amp;$F375))))</f>
        <v/>
      </c>
      <c r="H375">
        <f>IF($A375="","",$A375&amp;" ("&amp;$C375&amp;")")</f>
        <v/>
      </c>
      <c r="I375">
        <f>IF($A375="","",IF($E375=1,$H375,$I374&amp;", "&amp;$H375))</f>
        <v/>
      </c>
      <c r="J375">
        <f>IF($A375="","",IF($E375=1,$B375,""))</f>
        <v/>
      </c>
      <c r="K375">
        <f>IF($A375="","",IF(COUNTIF($B$2:$B375,$B375)=COUNTIF($B$2:$B$1601,$B375),$B375,""))</f>
        <v/>
      </c>
    </row>
    <row r="376">
      <c r="A376">
        <f>IF('TMP Paste'!$E376="","",'TMP Paste'!$E376)</f>
        <v/>
      </c>
      <c r="B376">
        <f>IF($A376="","",COUNTIF('TMP Paste'!$B$2:$B376,"?*"))</f>
        <v/>
      </c>
      <c r="C376">
        <f>IF($A376="","",IFERROR('TMP Paste'!$M376*1,0))</f>
        <v/>
      </c>
      <c r="D376">
        <f>IF($A376="","",SUMIF($B$2:$B376,$B376,$C$2:$C376))</f>
        <v/>
      </c>
      <c r="E376">
        <f>IF($A376="",0,IF('TMP Paste'!$B376="",0,1))</f>
        <v/>
      </c>
      <c r="F376">
        <f>IF(OR($A376="",$C376&lt;1),"",$A376&amp;"-"&amp;TEXT(($D376-$C376+1),"00")&amp;IF($C376&gt;=2,", "&amp;$A376&amp;"-"&amp;TEXT(($D376-$C376+1)+1,"00"),"")&amp;IF($C376&gt;=3,", "&amp;$A376&amp;"-"&amp;TEXT(($D376-$C376+1)+2,"00"),"")&amp;IF($C376&gt;=4,", "&amp;$A376&amp;"-"&amp;TEXT(($D376-$C376+1)+3,"00"),"")&amp;IF($C376&gt;=5,", "&amp;$A376&amp;"-"&amp;TEXT(($D376-$C376+1)+4,"00"),"")&amp;IF($C376&gt;=6,", "&amp;$A376&amp;"-"&amp;TEXT(($D376-$C376+1)+5,"00"),"")&amp;IF($C376&gt;=7,", "&amp;$A376&amp;"-"&amp;TEXT(($D376-$C376+1)+6,"00"),"")&amp;IF($C376&gt;=8,", "&amp;$A376&amp;"-"&amp;TEXT(($D376-$C376+1)+7,"00"),"")&amp;IF($C376&gt;=9,", "&amp;$A376&amp;"-"&amp;TEXT(($D376-$C376+1)+8,"00"),"")&amp;IF($C376&gt;=10,", "&amp;$A376&amp;"-"&amp;TEXT(($D376-$C376+1)+9,"00"),"")&amp;IF($C376&gt;=11,", "&amp;$A376&amp;"-"&amp;TEXT(($D376-$C376+1)+10,"00"),"")&amp;IF($C376&gt;=12,", "&amp;$A376&amp;"-"&amp;TEXT(($D376-$C376+1)+11,"00"),"")&amp;IF($C376&gt;=13,", "&amp;$A376&amp;"-"&amp;TEXT(($D376-$C376+1)+12,"00"),"")&amp;IF($C376&gt;=14,", "&amp;$A376&amp;"-"&amp;TEXT(($D376-$C376+1)+13,"00"),"")&amp;IF($C376&gt;=15,", "&amp;$A376&amp;"-"&amp;TEXT(($D376-$C376+1)+14,"00"),"")&amp;IF($C376&gt;=16,", "&amp;$A376&amp;"-"&amp;TEXT(($D376-$C376+1)+15,"00"),"")&amp;IF($C376&gt;=17,", "&amp;$A376&amp;"-"&amp;TEXT(($D376-$C376+1)+16,"00"),"")&amp;IF($C376&gt;=18,", "&amp;$A376&amp;"-"&amp;TEXT(($D376-$C376+1)+17,"00"),"")&amp;IF($C376&gt;=19,", "&amp;$A376&amp;"-"&amp;TEXT(($D376-$C376+1)+18,"00"),"")&amp;IF($C376&gt;=20,", "&amp;$A376&amp;"-"&amp;TEXT(($D376-$C376+1)+19,"00"),"")&amp;IF($C376&gt;=21,", "&amp;$A376&amp;"-"&amp;TEXT(($D376-$C376+1)+20,"00"),"")&amp;IF($C376&gt;=22,", "&amp;$A376&amp;"-"&amp;TEXT(($D376-$C376+1)+21,"00"),"")&amp;IF($C376&gt;=23,", "&amp;$A376&amp;"-"&amp;TEXT(($D376-$C376+1)+22,"00"),"")&amp;IF($C376&gt;=24,", "&amp;$A376&amp;"-"&amp;TEXT(($D376-$C376+1)+23,"00"),"")&amp;IF($C376&gt;=25,", "&amp;$A376&amp;"-"&amp;TEXT(($D376-$C376+1)+24,"00"),""))</f>
        <v/>
      </c>
      <c r="G376">
        <f>IF($A376="","",IF($E376=1,$F376,IF($F376="",$G375,IF($G375="",$F376,$G375&amp;", "&amp;$F376))))</f>
        <v/>
      </c>
      <c r="H376">
        <f>IF($A376="","",$A376&amp;" ("&amp;$C376&amp;")")</f>
        <v/>
      </c>
      <c r="I376">
        <f>IF($A376="","",IF($E376=1,$H376,$I375&amp;", "&amp;$H376))</f>
        <v/>
      </c>
      <c r="J376">
        <f>IF($A376="","",IF($E376=1,$B376,""))</f>
        <v/>
      </c>
      <c r="K376">
        <f>IF($A376="","",IF(COUNTIF($B$2:$B376,$B376)=COUNTIF($B$2:$B$1601,$B376),$B376,""))</f>
        <v/>
      </c>
    </row>
    <row r="377">
      <c r="A377">
        <f>IF('TMP Paste'!$E377="","",'TMP Paste'!$E377)</f>
        <v/>
      </c>
      <c r="B377">
        <f>IF($A377="","",COUNTIF('TMP Paste'!$B$2:$B377,"?*"))</f>
        <v/>
      </c>
      <c r="C377">
        <f>IF($A377="","",IFERROR('TMP Paste'!$M377*1,0))</f>
        <v/>
      </c>
      <c r="D377">
        <f>IF($A377="","",SUMIF($B$2:$B377,$B377,$C$2:$C377))</f>
        <v/>
      </c>
      <c r="E377">
        <f>IF($A377="",0,IF('TMP Paste'!$B377="",0,1))</f>
        <v/>
      </c>
      <c r="F377">
        <f>IF(OR($A377="",$C377&lt;1),"",$A377&amp;"-"&amp;TEXT(($D377-$C377+1),"00")&amp;IF($C377&gt;=2,", "&amp;$A377&amp;"-"&amp;TEXT(($D377-$C377+1)+1,"00"),"")&amp;IF($C377&gt;=3,", "&amp;$A377&amp;"-"&amp;TEXT(($D377-$C377+1)+2,"00"),"")&amp;IF($C377&gt;=4,", "&amp;$A377&amp;"-"&amp;TEXT(($D377-$C377+1)+3,"00"),"")&amp;IF($C377&gt;=5,", "&amp;$A377&amp;"-"&amp;TEXT(($D377-$C377+1)+4,"00"),"")&amp;IF($C377&gt;=6,", "&amp;$A377&amp;"-"&amp;TEXT(($D377-$C377+1)+5,"00"),"")&amp;IF($C377&gt;=7,", "&amp;$A377&amp;"-"&amp;TEXT(($D377-$C377+1)+6,"00"),"")&amp;IF($C377&gt;=8,", "&amp;$A377&amp;"-"&amp;TEXT(($D377-$C377+1)+7,"00"),"")&amp;IF($C377&gt;=9,", "&amp;$A377&amp;"-"&amp;TEXT(($D377-$C377+1)+8,"00"),"")&amp;IF($C377&gt;=10,", "&amp;$A377&amp;"-"&amp;TEXT(($D377-$C377+1)+9,"00"),"")&amp;IF($C377&gt;=11,", "&amp;$A377&amp;"-"&amp;TEXT(($D377-$C377+1)+10,"00"),"")&amp;IF($C377&gt;=12,", "&amp;$A377&amp;"-"&amp;TEXT(($D377-$C377+1)+11,"00"),"")&amp;IF($C377&gt;=13,", "&amp;$A377&amp;"-"&amp;TEXT(($D377-$C377+1)+12,"00"),"")&amp;IF($C377&gt;=14,", "&amp;$A377&amp;"-"&amp;TEXT(($D377-$C377+1)+13,"00"),"")&amp;IF($C377&gt;=15,", "&amp;$A377&amp;"-"&amp;TEXT(($D377-$C377+1)+14,"00"),"")&amp;IF($C377&gt;=16,", "&amp;$A377&amp;"-"&amp;TEXT(($D377-$C377+1)+15,"00"),"")&amp;IF($C377&gt;=17,", "&amp;$A377&amp;"-"&amp;TEXT(($D377-$C377+1)+16,"00"),"")&amp;IF($C377&gt;=18,", "&amp;$A377&amp;"-"&amp;TEXT(($D377-$C377+1)+17,"00"),"")&amp;IF($C377&gt;=19,", "&amp;$A377&amp;"-"&amp;TEXT(($D377-$C377+1)+18,"00"),"")&amp;IF($C377&gt;=20,", "&amp;$A377&amp;"-"&amp;TEXT(($D377-$C377+1)+19,"00"),"")&amp;IF($C377&gt;=21,", "&amp;$A377&amp;"-"&amp;TEXT(($D377-$C377+1)+20,"00"),"")&amp;IF($C377&gt;=22,", "&amp;$A377&amp;"-"&amp;TEXT(($D377-$C377+1)+21,"00"),"")&amp;IF($C377&gt;=23,", "&amp;$A377&amp;"-"&amp;TEXT(($D377-$C377+1)+22,"00"),"")&amp;IF($C377&gt;=24,", "&amp;$A377&amp;"-"&amp;TEXT(($D377-$C377+1)+23,"00"),"")&amp;IF($C377&gt;=25,", "&amp;$A377&amp;"-"&amp;TEXT(($D377-$C377+1)+24,"00"),""))</f>
        <v/>
      </c>
      <c r="G377">
        <f>IF($A377="","",IF($E377=1,$F377,IF($F377="",$G376,IF($G376="",$F377,$G376&amp;", "&amp;$F377))))</f>
        <v/>
      </c>
      <c r="H377">
        <f>IF($A377="","",$A377&amp;" ("&amp;$C377&amp;")")</f>
        <v/>
      </c>
      <c r="I377">
        <f>IF($A377="","",IF($E377=1,$H377,$I376&amp;", "&amp;$H377))</f>
        <v/>
      </c>
      <c r="J377">
        <f>IF($A377="","",IF($E377=1,$B377,""))</f>
        <v/>
      </c>
      <c r="K377">
        <f>IF($A377="","",IF(COUNTIF($B$2:$B377,$B377)=COUNTIF($B$2:$B$1601,$B377),$B377,""))</f>
        <v/>
      </c>
    </row>
    <row r="378">
      <c r="A378">
        <f>IF('TMP Paste'!$E378="","",'TMP Paste'!$E378)</f>
        <v/>
      </c>
      <c r="B378">
        <f>IF($A378="","",COUNTIF('TMP Paste'!$B$2:$B378,"?*"))</f>
        <v/>
      </c>
      <c r="C378">
        <f>IF($A378="","",IFERROR('TMP Paste'!$M378*1,0))</f>
        <v/>
      </c>
      <c r="D378">
        <f>IF($A378="","",SUMIF($B$2:$B378,$B378,$C$2:$C378))</f>
        <v/>
      </c>
      <c r="E378">
        <f>IF($A378="",0,IF('TMP Paste'!$B378="",0,1))</f>
        <v/>
      </c>
      <c r="F378">
        <f>IF(OR($A378="",$C378&lt;1),"",$A378&amp;"-"&amp;TEXT(($D378-$C378+1),"00")&amp;IF($C378&gt;=2,", "&amp;$A378&amp;"-"&amp;TEXT(($D378-$C378+1)+1,"00"),"")&amp;IF($C378&gt;=3,", "&amp;$A378&amp;"-"&amp;TEXT(($D378-$C378+1)+2,"00"),"")&amp;IF($C378&gt;=4,", "&amp;$A378&amp;"-"&amp;TEXT(($D378-$C378+1)+3,"00"),"")&amp;IF($C378&gt;=5,", "&amp;$A378&amp;"-"&amp;TEXT(($D378-$C378+1)+4,"00"),"")&amp;IF($C378&gt;=6,", "&amp;$A378&amp;"-"&amp;TEXT(($D378-$C378+1)+5,"00"),"")&amp;IF($C378&gt;=7,", "&amp;$A378&amp;"-"&amp;TEXT(($D378-$C378+1)+6,"00"),"")&amp;IF($C378&gt;=8,", "&amp;$A378&amp;"-"&amp;TEXT(($D378-$C378+1)+7,"00"),"")&amp;IF($C378&gt;=9,", "&amp;$A378&amp;"-"&amp;TEXT(($D378-$C378+1)+8,"00"),"")&amp;IF($C378&gt;=10,", "&amp;$A378&amp;"-"&amp;TEXT(($D378-$C378+1)+9,"00"),"")&amp;IF($C378&gt;=11,", "&amp;$A378&amp;"-"&amp;TEXT(($D378-$C378+1)+10,"00"),"")&amp;IF($C378&gt;=12,", "&amp;$A378&amp;"-"&amp;TEXT(($D378-$C378+1)+11,"00"),"")&amp;IF($C378&gt;=13,", "&amp;$A378&amp;"-"&amp;TEXT(($D378-$C378+1)+12,"00"),"")&amp;IF($C378&gt;=14,", "&amp;$A378&amp;"-"&amp;TEXT(($D378-$C378+1)+13,"00"),"")&amp;IF($C378&gt;=15,", "&amp;$A378&amp;"-"&amp;TEXT(($D378-$C378+1)+14,"00"),"")&amp;IF($C378&gt;=16,", "&amp;$A378&amp;"-"&amp;TEXT(($D378-$C378+1)+15,"00"),"")&amp;IF($C378&gt;=17,", "&amp;$A378&amp;"-"&amp;TEXT(($D378-$C378+1)+16,"00"),"")&amp;IF($C378&gt;=18,", "&amp;$A378&amp;"-"&amp;TEXT(($D378-$C378+1)+17,"00"),"")&amp;IF($C378&gt;=19,", "&amp;$A378&amp;"-"&amp;TEXT(($D378-$C378+1)+18,"00"),"")&amp;IF($C378&gt;=20,", "&amp;$A378&amp;"-"&amp;TEXT(($D378-$C378+1)+19,"00"),"")&amp;IF($C378&gt;=21,", "&amp;$A378&amp;"-"&amp;TEXT(($D378-$C378+1)+20,"00"),"")&amp;IF($C378&gt;=22,", "&amp;$A378&amp;"-"&amp;TEXT(($D378-$C378+1)+21,"00"),"")&amp;IF($C378&gt;=23,", "&amp;$A378&amp;"-"&amp;TEXT(($D378-$C378+1)+22,"00"),"")&amp;IF($C378&gt;=24,", "&amp;$A378&amp;"-"&amp;TEXT(($D378-$C378+1)+23,"00"),"")&amp;IF($C378&gt;=25,", "&amp;$A378&amp;"-"&amp;TEXT(($D378-$C378+1)+24,"00"),""))</f>
        <v/>
      </c>
      <c r="G378">
        <f>IF($A378="","",IF($E378=1,$F378,IF($F378="",$G377,IF($G377="",$F378,$G377&amp;", "&amp;$F378))))</f>
        <v/>
      </c>
      <c r="H378">
        <f>IF($A378="","",$A378&amp;" ("&amp;$C378&amp;")")</f>
        <v/>
      </c>
      <c r="I378">
        <f>IF($A378="","",IF($E378=1,$H378,$I377&amp;", "&amp;$H378))</f>
        <v/>
      </c>
      <c r="J378">
        <f>IF($A378="","",IF($E378=1,$B378,""))</f>
        <v/>
      </c>
      <c r="K378">
        <f>IF($A378="","",IF(COUNTIF($B$2:$B378,$B378)=COUNTIF($B$2:$B$1601,$B378),$B378,""))</f>
        <v/>
      </c>
    </row>
    <row r="379">
      <c r="A379">
        <f>IF('TMP Paste'!$E379="","",'TMP Paste'!$E379)</f>
        <v/>
      </c>
      <c r="B379">
        <f>IF($A379="","",COUNTIF('TMP Paste'!$B$2:$B379,"?*"))</f>
        <v/>
      </c>
      <c r="C379">
        <f>IF($A379="","",IFERROR('TMP Paste'!$M379*1,0))</f>
        <v/>
      </c>
      <c r="D379">
        <f>IF($A379="","",SUMIF($B$2:$B379,$B379,$C$2:$C379))</f>
        <v/>
      </c>
      <c r="E379">
        <f>IF($A379="",0,IF('TMP Paste'!$B379="",0,1))</f>
        <v/>
      </c>
      <c r="F379">
        <f>IF(OR($A379="",$C379&lt;1),"",$A379&amp;"-"&amp;TEXT(($D379-$C379+1),"00")&amp;IF($C379&gt;=2,", "&amp;$A379&amp;"-"&amp;TEXT(($D379-$C379+1)+1,"00"),"")&amp;IF($C379&gt;=3,", "&amp;$A379&amp;"-"&amp;TEXT(($D379-$C379+1)+2,"00"),"")&amp;IF($C379&gt;=4,", "&amp;$A379&amp;"-"&amp;TEXT(($D379-$C379+1)+3,"00"),"")&amp;IF($C379&gt;=5,", "&amp;$A379&amp;"-"&amp;TEXT(($D379-$C379+1)+4,"00"),"")&amp;IF($C379&gt;=6,", "&amp;$A379&amp;"-"&amp;TEXT(($D379-$C379+1)+5,"00"),"")&amp;IF($C379&gt;=7,", "&amp;$A379&amp;"-"&amp;TEXT(($D379-$C379+1)+6,"00"),"")&amp;IF($C379&gt;=8,", "&amp;$A379&amp;"-"&amp;TEXT(($D379-$C379+1)+7,"00"),"")&amp;IF($C379&gt;=9,", "&amp;$A379&amp;"-"&amp;TEXT(($D379-$C379+1)+8,"00"),"")&amp;IF($C379&gt;=10,", "&amp;$A379&amp;"-"&amp;TEXT(($D379-$C379+1)+9,"00"),"")&amp;IF($C379&gt;=11,", "&amp;$A379&amp;"-"&amp;TEXT(($D379-$C379+1)+10,"00"),"")&amp;IF($C379&gt;=12,", "&amp;$A379&amp;"-"&amp;TEXT(($D379-$C379+1)+11,"00"),"")&amp;IF($C379&gt;=13,", "&amp;$A379&amp;"-"&amp;TEXT(($D379-$C379+1)+12,"00"),"")&amp;IF($C379&gt;=14,", "&amp;$A379&amp;"-"&amp;TEXT(($D379-$C379+1)+13,"00"),"")&amp;IF($C379&gt;=15,", "&amp;$A379&amp;"-"&amp;TEXT(($D379-$C379+1)+14,"00"),"")&amp;IF($C379&gt;=16,", "&amp;$A379&amp;"-"&amp;TEXT(($D379-$C379+1)+15,"00"),"")&amp;IF($C379&gt;=17,", "&amp;$A379&amp;"-"&amp;TEXT(($D379-$C379+1)+16,"00"),"")&amp;IF($C379&gt;=18,", "&amp;$A379&amp;"-"&amp;TEXT(($D379-$C379+1)+17,"00"),"")&amp;IF($C379&gt;=19,", "&amp;$A379&amp;"-"&amp;TEXT(($D379-$C379+1)+18,"00"),"")&amp;IF($C379&gt;=20,", "&amp;$A379&amp;"-"&amp;TEXT(($D379-$C379+1)+19,"00"),"")&amp;IF($C379&gt;=21,", "&amp;$A379&amp;"-"&amp;TEXT(($D379-$C379+1)+20,"00"),"")&amp;IF($C379&gt;=22,", "&amp;$A379&amp;"-"&amp;TEXT(($D379-$C379+1)+21,"00"),"")&amp;IF($C379&gt;=23,", "&amp;$A379&amp;"-"&amp;TEXT(($D379-$C379+1)+22,"00"),"")&amp;IF($C379&gt;=24,", "&amp;$A379&amp;"-"&amp;TEXT(($D379-$C379+1)+23,"00"),"")&amp;IF($C379&gt;=25,", "&amp;$A379&amp;"-"&amp;TEXT(($D379-$C379+1)+24,"00"),""))</f>
        <v/>
      </c>
      <c r="G379">
        <f>IF($A379="","",IF($E379=1,$F379,IF($F379="",$G378,IF($G378="",$F379,$G378&amp;", "&amp;$F379))))</f>
        <v/>
      </c>
      <c r="H379">
        <f>IF($A379="","",$A379&amp;" ("&amp;$C379&amp;")")</f>
        <v/>
      </c>
      <c r="I379">
        <f>IF($A379="","",IF($E379=1,$H379,$I378&amp;", "&amp;$H379))</f>
        <v/>
      </c>
      <c r="J379">
        <f>IF($A379="","",IF($E379=1,$B379,""))</f>
        <v/>
      </c>
      <c r="K379">
        <f>IF($A379="","",IF(COUNTIF($B$2:$B379,$B379)=COUNTIF($B$2:$B$1601,$B379),$B379,""))</f>
        <v/>
      </c>
    </row>
    <row r="380">
      <c r="A380">
        <f>IF('TMP Paste'!$E380="","",'TMP Paste'!$E380)</f>
        <v/>
      </c>
      <c r="B380">
        <f>IF($A380="","",COUNTIF('TMP Paste'!$B$2:$B380,"?*"))</f>
        <v/>
      </c>
      <c r="C380">
        <f>IF($A380="","",IFERROR('TMP Paste'!$M380*1,0))</f>
        <v/>
      </c>
      <c r="D380">
        <f>IF($A380="","",SUMIF($B$2:$B380,$B380,$C$2:$C380))</f>
        <v/>
      </c>
      <c r="E380">
        <f>IF($A380="",0,IF('TMP Paste'!$B380="",0,1))</f>
        <v/>
      </c>
      <c r="F380">
        <f>IF(OR($A380="",$C380&lt;1),"",$A380&amp;"-"&amp;TEXT(($D380-$C380+1),"00")&amp;IF($C380&gt;=2,", "&amp;$A380&amp;"-"&amp;TEXT(($D380-$C380+1)+1,"00"),"")&amp;IF($C380&gt;=3,", "&amp;$A380&amp;"-"&amp;TEXT(($D380-$C380+1)+2,"00"),"")&amp;IF($C380&gt;=4,", "&amp;$A380&amp;"-"&amp;TEXT(($D380-$C380+1)+3,"00"),"")&amp;IF($C380&gt;=5,", "&amp;$A380&amp;"-"&amp;TEXT(($D380-$C380+1)+4,"00"),"")&amp;IF($C380&gt;=6,", "&amp;$A380&amp;"-"&amp;TEXT(($D380-$C380+1)+5,"00"),"")&amp;IF($C380&gt;=7,", "&amp;$A380&amp;"-"&amp;TEXT(($D380-$C380+1)+6,"00"),"")&amp;IF($C380&gt;=8,", "&amp;$A380&amp;"-"&amp;TEXT(($D380-$C380+1)+7,"00"),"")&amp;IF($C380&gt;=9,", "&amp;$A380&amp;"-"&amp;TEXT(($D380-$C380+1)+8,"00"),"")&amp;IF($C380&gt;=10,", "&amp;$A380&amp;"-"&amp;TEXT(($D380-$C380+1)+9,"00"),"")&amp;IF($C380&gt;=11,", "&amp;$A380&amp;"-"&amp;TEXT(($D380-$C380+1)+10,"00"),"")&amp;IF($C380&gt;=12,", "&amp;$A380&amp;"-"&amp;TEXT(($D380-$C380+1)+11,"00"),"")&amp;IF($C380&gt;=13,", "&amp;$A380&amp;"-"&amp;TEXT(($D380-$C380+1)+12,"00"),"")&amp;IF($C380&gt;=14,", "&amp;$A380&amp;"-"&amp;TEXT(($D380-$C380+1)+13,"00"),"")&amp;IF($C380&gt;=15,", "&amp;$A380&amp;"-"&amp;TEXT(($D380-$C380+1)+14,"00"),"")&amp;IF($C380&gt;=16,", "&amp;$A380&amp;"-"&amp;TEXT(($D380-$C380+1)+15,"00"),"")&amp;IF($C380&gt;=17,", "&amp;$A380&amp;"-"&amp;TEXT(($D380-$C380+1)+16,"00"),"")&amp;IF($C380&gt;=18,", "&amp;$A380&amp;"-"&amp;TEXT(($D380-$C380+1)+17,"00"),"")&amp;IF($C380&gt;=19,", "&amp;$A380&amp;"-"&amp;TEXT(($D380-$C380+1)+18,"00"),"")&amp;IF($C380&gt;=20,", "&amp;$A380&amp;"-"&amp;TEXT(($D380-$C380+1)+19,"00"),"")&amp;IF($C380&gt;=21,", "&amp;$A380&amp;"-"&amp;TEXT(($D380-$C380+1)+20,"00"),"")&amp;IF($C380&gt;=22,", "&amp;$A380&amp;"-"&amp;TEXT(($D380-$C380+1)+21,"00"),"")&amp;IF($C380&gt;=23,", "&amp;$A380&amp;"-"&amp;TEXT(($D380-$C380+1)+22,"00"),"")&amp;IF($C380&gt;=24,", "&amp;$A380&amp;"-"&amp;TEXT(($D380-$C380+1)+23,"00"),"")&amp;IF($C380&gt;=25,", "&amp;$A380&amp;"-"&amp;TEXT(($D380-$C380+1)+24,"00"),""))</f>
        <v/>
      </c>
      <c r="G380">
        <f>IF($A380="","",IF($E380=1,$F380,IF($F380="",$G379,IF($G379="",$F380,$G379&amp;", "&amp;$F380))))</f>
        <v/>
      </c>
      <c r="H380">
        <f>IF($A380="","",$A380&amp;" ("&amp;$C380&amp;")")</f>
        <v/>
      </c>
      <c r="I380">
        <f>IF($A380="","",IF($E380=1,$H380,$I379&amp;", "&amp;$H380))</f>
        <v/>
      </c>
      <c r="J380">
        <f>IF($A380="","",IF($E380=1,$B380,""))</f>
        <v/>
      </c>
      <c r="K380">
        <f>IF($A380="","",IF(COUNTIF($B$2:$B380,$B380)=COUNTIF($B$2:$B$1601,$B380),$B380,""))</f>
        <v/>
      </c>
    </row>
    <row r="381">
      <c r="A381">
        <f>IF('TMP Paste'!$E381="","",'TMP Paste'!$E381)</f>
        <v/>
      </c>
      <c r="B381">
        <f>IF($A381="","",COUNTIF('TMP Paste'!$B$2:$B381,"?*"))</f>
        <v/>
      </c>
      <c r="C381">
        <f>IF($A381="","",IFERROR('TMP Paste'!$M381*1,0))</f>
        <v/>
      </c>
      <c r="D381">
        <f>IF($A381="","",SUMIF($B$2:$B381,$B381,$C$2:$C381))</f>
        <v/>
      </c>
      <c r="E381">
        <f>IF($A381="",0,IF('TMP Paste'!$B381="",0,1))</f>
        <v/>
      </c>
      <c r="F381">
        <f>IF(OR($A381="",$C381&lt;1),"",$A381&amp;"-"&amp;TEXT(($D381-$C381+1),"00")&amp;IF($C381&gt;=2,", "&amp;$A381&amp;"-"&amp;TEXT(($D381-$C381+1)+1,"00"),"")&amp;IF($C381&gt;=3,", "&amp;$A381&amp;"-"&amp;TEXT(($D381-$C381+1)+2,"00"),"")&amp;IF($C381&gt;=4,", "&amp;$A381&amp;"-"&amp;TEXT(($D381-$C381+1)+3,"00"),"")&amp;IF($C381&gt;=5,", "&amp;$A381&amp;"-"&amp;TEXT(($D381-$C381+1)+4,"00"),"")&amp;IF($C381&gt;=6,", "&amp;$A381&amp;"-"&amp;TEXT(($D381-$C381+1)+5,"00"),"")&amp;IF($C381&gt;=7,", "&amp;$A381&amp;"-"&amp;TEXT(($D381-$C381+1)+6,"00"),"")&amp;IF($C381&gt;=8,", "&amp;$A381&amp;"-"&amp;TEXT(($D381-$C381+1)+7,"00"),"")&amp;IF($C381&gt;=9,", "&amp;$A381&amp;"-"&amp;TEXT(($D381-$C381+1)+8,"00"),"")&amp;IF($C381&gt;=10,", "&amp;$A381&amp;"-"&amp;TEXT(($D381-$C381+1)+9,"00"),"")&amp;IF($C381&gt;=11,", "&amp;$A381&amp;"-"&amp;TEXT(($D381-$C381+1)+10,"00"),"")&amp;IF($C381&gt;=12,", "&amp;$A381&amp;"-"&amp;TEXT(($D381-$C381+1)+11,"00"),"")&amp;IF($C381&gt;=13,", "&amp;$A381&amp;"-"&amp;TEXT(($D381-$C381+1)+12,"00"),"")&amp;IF($C381&gt;=14,", "&amp;$A381&amp;"-"&amp;TEXT(($D381-$C381+1)+13,"00"),"")&amp;IF($C381&gt;=15,", "&amp;$A381&amp;"-"&amp;TEXT(($D381-$C381+1)+14,"00"),"")&amp;IF($C381&gt;=16,", "&amp;$A381&amp;"-"&amp;TEXT(($D381-$C381+1)+15,"00"),"")&amp;IF($C381&gt;=17,", "&amp;$A381&amp;"-"&amp;TEXT(($D381-$C381+1)+16,"00"),"")&amp;IF($C381&gt;=18,", "&amp;$A381&amp;"-"&amp;TEXT(($D381-$C381+1)+17,"00"),"")&amp;IF($C381&gt;=19,", "&amp;$A381&amp;"-"&amp;TEXT(($D381-$C381+1)+18,"00"),"")&amp;IF($C381&gt;=20,", "&amp;$A381&amp;"-"&amp;TEXT(($D381-$C381+1)+19,"00"),"")&amp;IF($C381&gt;=21,", "&amp;$A381&amp;"-"&amp;TEXT(($D381-$C381+1)+20,"00"),"")&amp;IF($C381&gt;=22,", "&amp;$A381&amp;"-"&amp;TEXT(($D381-$C381+1)+21,"00"),"")&amp;IF($C381&gt;=23,", "&amp;$A381&amp;"-"&amp;TEXT(($D381-$C381+1)+22,"00"),"")&amp;IF($C381&gt;=24,", "&amp;$A381&amp;"-"&amp;TEXT(($D381-$C381+1)+23,"00"),"")&amp;IF($C381&gt;=25,", "&amp;$A381&amp;"-"&amp;TEXT(($D381-$C381+1)+24,"00"),""))</f>
        <v/>
      </c>
      <c r="G381">
        <f>IF($A381="","",IF($E381=1,$F381,IF($F381="",$G380,IF($G380="",$F381,$G380&amp;", "&amp;$F381))))</f>
        <v/>
      </c>
      <c r="H381">
        <f>IF($A381="","",$A381&amp;" ("&amp;$C381&amp;")")</f>
        <v/>
      </c>
      <c r="I381">
        <f>IF($A381="","",IF($E381=1,$H381,$I380&amp;", "&amp;$H381))</f>
        <v/>
      </c>
      <c r="J381">
        <f>IF($A381="","",IF($E381=1,$B381,""))</f>
        <v/>
      </c>
      <c r="K381">
        <f>IF($A381="","",IF(COUNTIF($B$2:$B381,$B381)=COUNTIF($B$2:$B$1601,$B381),$B381,""))</f>
        <v/>
      </c>
    </row>
    <row r="382">
      <c r="A382">
        <f>IF('TMP Paste'!$E382="","",'TMP Paste'!$E382)</f>
        <v/>
      </c>
      <c r="B382">
        <f>IF($A382="","",COUNTIF('TMP Paste'!$B$2:$B382,"?*"))</f>
        <v/>
      </c>
      <c r="C382">
        <f>IF($A382="","",IFERROR('TMP Paste'!$M382*1,0))</f>
        <v/>
      </c>
      <c r="D382">
        <f>IF($A382="","",SUMIF($B$2:$B382,$B382,$C$2:$C382))</f>
        <v/>
      </c>
      <c r="E382">
        <f>IF($A382="",0,IF('TMP Paste'!$B382="",0,1))</f>
        <v/>
      </c>
      <c r="F382">
        <f>IF(OR($A382="",$C382&lt;1),"",$A382&amp;"-"&amp;TEXT(($D382-$C382+1),"00")&amp;IF($C382&gt;=2,", "&amp;$A382&amp;"-"&amp;TEXT(($D382-$C382+1)+1,"00"),"")&amp;IF($C382&gt;=3,", "&amp;$A382&amp;"-"&amp;TEXT(($D382-$C382+1)+2,"00"),"")&amp;IF($C382&gt;=4,", "&amp;$A382&amp;"-"&amp;TEXT(($D382-$C382+1)+3,"00"),"")&amp;IF($C382&gt;=5,", "&amp;$A382&amp;"-"&amp;TEXT(($D382-$C382+1)+4,"00"),"")&amp;IF($C382&gt;=6,", "&amp;$A382&amp;"-"&amp;TEXT(($D382-$C382+1)+5,"00"),"")&amp;IF($C382&gt;=7,", "&amp;$A382&amp;"-"&amp;TEXT(($D382-$C382+1)+6,"00"),"")&amp;IF($C382&gt;=8,", "&amp;$A382&amp;"-"&amp;TEXT(($D382-$C382+1)+7,"00"),"")&amp;IF($C382&gt;=9,", "&amp;$A382&amp;"-"&amp;TEXT(($D382-$C382+1)+8,"00"),"")&amp;IF($C382&gt;=10,", "&amp;$A382&amp;"-"&amp;TEXT(($D382-$C382+1)+9,"00"),"")&amp;IF($C382&gt;=11,", "&amp;$A382&amp;"-"&amp;TEXT(($D382-$C382+1)+10,"00"),"")&amp;IF($C382&gt;=12,", "&amp;$A382&amp;"-"&amp;TEXT(($D382-$C382+1)+11,"00"),"")&amp;IF($C382&gt;=13,", "&amp;$A382&amp;"-"&amp;TEXT(($D382-$C382+1)+12,"00"),"")&amp;IF($C382&gt;=14,", "&amp;$A382&amp;"-"&amp;TEXT(($D382-$C382+1)+13,"00"),"")&amp;IF($C382&gt;=15,", "&amp;$A382&amp;"-"&amp;TEXT(($D382-$C382+1)+14,"00"),"")&amp;IF($C382&gt;=16,", "&amp;$A382&amp;"-"&amp;TEXT(($D382-$C382+1)+15,"00"),"")&amp;IF($C382&gt;=17,", "&amp;$A382&amp;"-"&amp;TEXT(($D382-$C382+1)+16,"00"),"")&amp;IF($C382&gt;=18,", "&amp;$A382&amp;"-"&amp;TEXT(($D382-$C382+1)+17,"00"),"")&amp;IF($C382&gt;=19,", "&amp;$A382&amp;"-"&amp;TEXT(($D382-$C382+1)+18,"00"),"")&amp;IF($C382&gt;=20,", "&amp;$A382&amp;"-"&amp;TEXT(($D382-$C382+1)+19,"00"),"")&amp;IF($C382&gt;=21,", "&amp;$A382&amp;"-"&amp;TEXT(($D382-$C382+1)+20,"00"),"")&amp;IF($C382&gt;=22,", "&amp;$A382&amp;"-"&amp;TEXT(($D382-$C382+1)+21,"00"),"")&amp;IF($C382&gt;=23,", "&amp;$A382&amp;"-"&amp;TEXT(($D382-$C382+1)+22,"00"),"")&amp;IF($C382&gt;=24,", "&amp;$A382&amp;"-"&amp;TEXT(($D382-$C382+1)+23,"00"),"")&amp;IF($C382&gt;=25,", "&amp;$A382&amp;"-"&amp;TEXT(($D382-$C382+1)+24,"00"),""))</f>
        <v/>
      </c>
      <c r="G382">
        <f>IF($A382="","",IF($E382=1,$F382,IF($F382="",$G381,IF($G381="",$F382,$G381&amp;", "&amp;$F382))))</f>
        <v/>
      </c>
      <c r="H382">
        <f>IF($A382="","",$A382&amp;" ("&amp;$C382&amp;")")</f>
        <v/>
      </c>
      <c r="I382">
        <f>IF($A382="","",IF($E382=1,$H382,$I381&amp;", "&amp;$H382))</f>
        <v/>
      </c>
      <c r="J382">
        <f>IF($A382="","",IF($E382=1,$B382,""))</f>
        <v/>
      </c>
      <c r="K382">
        <f>IF($A382="","",IF(COUNTIF($B$2:$B382,$B382)=COUNTIF($B$2:$B$1601,$B382),$B382,""))</f>
        <v/>
      </c>
    </row>
    <row r="383">
      <c r="A383">
        <f>IF('TMP Paste'!$E383="","",'TMP Paste'!$E383)</f>
        <v/>
      </c>
      <c r="B383">
        <f>IF($A383="","",COUNTIF('TMP Paste'!$B$2:$B383,"?*"))</f>
        <v/>
      </c>
      <c r="C383">
        <f>IF($A383="","",IFERROR('TMP Paste'!$M383*1,0))</f>
        <v/>
      </c>
      <c r="D383">
        <f>IF($A383="","",SUMIF($B$2:$B383,$B383,$C$2:$C383))</f>
        <v/>
      </c>
      <c r="E383">
        <f>IF($A383="",0,IF('TMP Paste'!$B383="",0,1))</f>
        <v/>
      </c>
      <c r="F383">
        <f>IF(OR($A383="",$C383&lt;1),"",$A383&amp;"-"&amp;TEXT(($D383-$C383+1),"00")&amp;IF($C383&gt;=2,", "&amp;$A383&amp;"-"&amp;TEXT(($D383-$C383+1)+1,"00"),"")&amp;IF($C383&gt;=3,", "&amp;$A383&amp;"-"&amp;TEXT(($D383-$C383+1)+2,"00"),"")&amp;IF($C383&gt;=4,", "&amp;$A383&amp;"-"&amp;TEXT(($D383-$C383+1)+3,"00"),"")&amp;IF($C383&gt;=5,", "&amp;$A383&amp;"-"&amp;TEXT(($D383-$C383+1)+4,"00"),"")&amp;IF($C383&gt;=6,", "&amp;$A383&amp;"-"&amp;TEXT(($D383-$C383+1)+5,"00"),"")&amp;IF($C383&gt;=7,", "&amp;$A383&amp;"-"&amp;TEXT(($D383-$C383+1)+6,"00"),"")&amp;IF($C383&gt;=8,", "&amp;$A383&amp;"-"&amp;TEXT(($D383-$C383+1)+7,"00"),"")&amp;IF($C383&gt;=9,", "&amp;$A383&amp;"-"&amp;TEXT(($D383-$C383+1)+8,"00"),"")&amp;IF($C383&gt;=10,", "&amp;$A383&amp;"-"&amp;TEXT(($D383-$C383+1)+9,"00"),"")&amp;IF($C383&gt;=11,", "&amp;$A383&amp;"-"&amp;TEXT(($D383-$C383+1)+10,"00"),"")&amp;IF($C383&gt;=12,", "&amp;$A383&amp;"-"&amp;TEXT(($D383-$C383+1)+11,"00"),"")&amp;IF($C383&gt;=13,", "&amp;$A383&amp;"-"&amp;TEXT(($D383-$C383+1)+12,"00"),"")&amp;IF($C383&gt;=14,", "&amp;$A383&amp;"-"&amp;TEXT(($D383-$C383+1)+13,"00"),"")&amp;IF($C383&gt;=15,", "&amp;$A383&amp;"-"&amp;TEXT(($D383-$C383+1)+14,"00"),"")&amp;IF($C383&gt;=16,", "&amp;$A383&amp;"-"&amp;TEXT(($D383-$C383+1)+15,"00"),"")&amp;IF($C383&gt;=17,", "&amp;$A383&amp;"-"&amp;TEXT(($D383-$C383+1)+16,"00"),"")&amp;IF($C383&gt;=18,", "&amp;$A383&amp;"-"&amp;TEXT(($D383-$C383+1)+17,"00"),"")&amp;IF($C383&gt;=19,", "&amp;$A383&amp;"-"&amp;TEXT(($D383-$C383+1)+18,"00"),"")&amp;IF($C383&gt;=20,", "&amp;$A383&amp;"-"&amp;TEXT(($D383-$C383+1)+19,"00"),"")&amp;IF($C383&gt;=21,", "&amp;$A383&amp;"-"&amp;TEXT(($D383-$C383+1)+20,"00"),"")&amp;IF($C383&gt;=22,", "&amp;$A383&amp;"-"&amp;TEXT(($D383-$C383+1)+21,"00"),"")&amp;IF($C383&gt;=23,", "&amp;$A383&amp;"-"&amp;TEXT(($D383-$C383+1)+22,"00"),"")&amp;IF($C383&gt;=24,", "&amp;$A383&amp;"-"&amp;TEXT(($D383-$C383+1)+23,"00"),"")&amp;IF($C383&gt;=25,", "&amp;$A383&amp;"-"&amp;TEXT(($D383-$C383+1)+24,"00"),""))</f>
        <v/>
      </c>
      <c r="G383">
        <f>IF($A383="","",IF($E383=1,$F383,IF($F383="",$G382,IF($G382="",$F383,$G382&amp;", "&amp;$F383))))</f>
        <v/>
      </c>
      <c r="H383">
        <f>IF($A383="","",$A383&amp;" ("&amp;$C383&amp;")")</f>
        <v/>
      </c>
      <c r="I383">
        <f>IF($A383="","",IF($E383=1,$H383,$I382&amp;", "&amp;$H383))</f>
        <v/>
      </c>
      <c r="J383">
        <f>IF($A383="","",IF($E383=1,$B383,""))</f>
        <v/>
      </c>
      <c r="K383">
        <f>IF($A383="","",IF(COUNTIF($B$2:$B383,$B383)=COUNTIF($B$2:$B$1601,$B383),$B383,""))</f>
        <v/>
      </c>
    </row>
    <row r="384">
      <c r="A384">
        <f>IF('TMP Paste'!$E384="","",'TMP Paste'!$E384)</f>
        <v/>
      </c>
      <c r="B384">
        <f>IF($A384="","",COUNTIF('TMP Paste'!$B$2:$B384,"?*"))</f>
        <v/>
      </c>
      <c r="C384">
        <f>IF($A384="","",IFERROR('TMP Paste'!$M384*1,0))</f>
        <v/>
      </c>
      <c r="D384">
        <f>IF($A384="","",SUMIF($B$2:$B384,$B384,$C$2:$C384))</f>
        <v/>
      </c>
      <c r="E384">
        <f>IF($A384="",0,IF('TMP Paste'!$B384="",0,1))</f>
        <v/>
      </c>
      <c r="F384">
        <f>IF(OR($A384="",$C384&lt;1),"",$A384&amp;"-"&amp;TEXT(($D384-$C384+1),"00")&amp;IF($C384&gt;=2,", "&amp;$A384&amp;"-"&amp;TEXT(($D384-$C384+1)+1,"00"),"")&amp;IF($C384&gt;=3,", "&amp;$A384&amp;"-"&amp;TEXT(($D384-$C384+1)+2,"00"),"")&amp;IF($C384&gt;=4,", "&amp;$A384&amp;"-"&amp;TEXT(($D384-$C384+1)+3,"00"),"")&amp;IF($C384&gt;=5,", "&amp;$A384&amp;"-"&amp;TEXT(($D384-$C384+1)+4,"00"),"")&amp;IF($C384&gt;=6,", "&amp;$A384&amp;"-"&amp;TEXT(($D384-$C384+1)+5,"00"),"")&amp;IF($C384&gt;=7,", "&amp;$A384&amp;"-"&amp;TEXT(($D384-$C384+1)+6,"00"),"")&amp;IF($C384&gt;=8,", "&amp;$A384&amp;"-"&amp;TEXT(($D384-$C384+1)+7,"00"),"")&amp;IF($C384&gt;=9,", "&amp;$A384&amp;"-"&amp;TEXT(($D384-$C384+1)+8,"00"),"")&amp;IF($C384&gt;=10,", "&amp;$A384&amp;"-"&amp;TEXT(($D384-$C384+1)+9,"00"),"")&amp;IF($C384&gt;=11,", "&amp;$A384&amp;"-"&amp;TEXT(($D384-$C384+1)+10,"00"),"")&amp;IF($C384&gt;=12,", "&amp;$A384&amp;"-"&amp;TEXT(($D384-$C384+1)+11,"00"),"")&amp;IF($C384&gt;=13,", "&amp;$A384&amp;"-"&amp;TEXT(($D384-$C384+1)+12,"00"),"")&amp;IF($C384&gt;=14,", "&amp;$A384&amp;"-"&amp;TEXT(($D384-$C384+1)+13,"00"),"")&amp;IF($C384&gt;=15,", "&amp;$A384&amp;"-"&amp;TEXT(($D384-$C384+1)+14,"00"),"")&amp;IF($C384&gt;=16,", "&amp;$A384&amp;"-"&amp;TEXT(($D384-$C384+1)+15,"00"),"")&amp;IF($C384&gt;=17,", "&amp;$A384&amp;"-"&amp;TEXT(($D384-$C384+1)+16,"00"),"")&amp;IF($C384&gt;=18,", "&amp;$A384&amp;"-"&amp;TEXT(($D384-$C384+1)+17,"00"),"")&amp;IF($C384&gt;=19,", "&amp;$A384&amp;"-"&amp;TEXT(($D384-$C384+1)+18,"00"),"")&amp;IF($C384&gt;=20,", "&amp;$A384&amp;"-"&amp;TEXT(($D384-$C384+1)+19,"00"),"")&amp;IF($C384&gt;=21,", "&amp;$A384&amp;"-"&amp;TEXT(($D384-$C384+1)+20,"00"),"")&amp;IF($C384&gt;=22,", "&amp;$A384&amp;"-"&amp;TEXT(($D384-$C384+1)+21,"00"),"")&amp;IF($C384&gt;=23,", "&amp;$A384&amp;"-"&amp;TEXT(($D384-$C384+1)+22,"00"),"")&amp;IF($C384&gt;=24,", "&amp;$A384&amp;"-"&amp;TEXT(($D384-$C384+1)+23,"00"),"")&amp;IF($C384&gt;=25,", "&amp;$A384&amp;"-"&amp;TEXT(($D384-$C384+1)+24,"00"),""))</f>
        <v/>
      </c>
      <c r="G384">
        <f>IF($A384="","",IF($E384=1,$F384,IF($F384="",$G383,IF($G383="",$F384,$G383&amp;", "&amp;$F384))))</f>
        <v/>
      </c>
      <c r="H384">
        <f>IF($A384="","",$A384&amp;" ("&amp;$C384&amp;")")</f>
        <v/>
      </c>
      <c r="I384">
        <f>IF($A384="","",IF($E384=1,$H384,$I383&amp;", "&amp;$H384))</f>
        <v/>
      </c>
      <c r="J384">
        <f>IF($A384="","",IF($E384=1,$B384,""))</f>
        <v/>
      </c>
      <c r="K384">
        <f>IF($A384="","",IF(COUNTIF($B$2:$B384,$B384)=COUNTIF($B$2:$B$1601,$B384),$B384,""))</f>
        <v/>
      </c>
    </row>
    <row r="385">
      <c r="A385">
        <f>IF('TMP Paste'!$E385="","",'TMP Paste'!$E385)</f>
        <v/>
      </c>
      <c r="B385">
        <f>IF($A385="","",COUNTIF('TMP Paste'!$B$2:$B385,"?*"))</f>
        <v/>
      </c>
      <c r="C385">
        <f>IF($A385="","",IFERROR('TMP Paste'!$M385*1,0))</f>
        <v/>
      </c>
      <c r="D385">
        <f>IF($A385="","",SUMIF($B$2:$B385,$B385,$C$2:$C385))</f>
        <v/>
      </c>
      <c r="E385">
        <f>IF($A385="",0,IF('TMP Paste'!$B385="",0,1))</f>
        <v/>
      </c>
      <c r="F385">
        <f>IF(OR($A385="",$C385&lt;1),"",$A385&amp;"-"&amp;TEXT(($D385-$C385+1),"00")&amp;IF($C385&gt;=2,", "&amp;$A385&amp;"-"&amp;TEXT(($D385-$C385+1)+1,"00"),"")&amp;IF($C385&gt;=3,", "&amp;$A385&amp;"-"&amp;TEXT(($D385-$C385+1)+2,"00"),"")&amp;IF($C385&gt;=4,", "&amp;$A385&amp;"-"&amp;TEXT(($D385-$C385+1)+3,"00"),"")&amp;IF($C385&gt;=5,", "&amp;$A385&amp;"-"&amp;TEXT(($D385-$C385+1)+4,"00"),"")&amp;IF($C385&gt;=6,", "&amp;$A385&amp;"-"&amp;TEXT(($D385-$C385+1)+5,"00"),"")&amp;IF($C385&gt;=7,", "&amp;$A385&amp;"-"&amp;TEXT(($D385-$C385+1)+6,"00"),"")&amp;IF($C385&gt;=8,", "&amp;$A385&amp;"-"&amp;TEXT(($D385-$C385+1)+7,"00"),"")&amp;IF($C385&gt;=9,", "&amp;$A385&amp;"-"&amp;TEXT(($D385-$C385+1)+8,"00"),"")&amp;IF($C385&gt;=10,", "&amp;$A385&amp;"-"&amp;TEXT(($D385-$C385+1)+9,"00"),"")&amp;IF($C385&gt;=11,", "&amp;$A385&amp;"-"&amp;TEXT(($D385-$C385+1)+10,"00"),"")&amp;IF($C385&gt;=12,", "&amp;$A385&amp;"-"&amp;TEXT(($D385-$C385+1)+11,"00"),"")&amp;IF($C385&gt;=13,", "&amp;$A385&amp;"-"&amp;TEXT(($D385-$C385+1)+12,"00"),"")&amp;IF($C385&gt;=14,", "&amp;$A385&amp;"-"&amp;TEXT(($D385-$C385+1)+13,"00"),"")&amp;IF($C385&gt;=15,", "&amp;$A385&amp;"-"&amp;TEXT(($D385-$C385+1)+14,"00"),"")&amp;IF($C385&gt;=16,", "&amp;$A385&amp;"-"&amp;TEXT(($D385-$C385+1)+15,"00"),"")&amp;IF($C385&gt;=17,", "&amp;$A385&amp;"-"&amp;TEXT(($D385-$C385+1)+16,"00"),"")&amp;IF($C385&gt;=18,", "&amp;$A385&amp;"-"&amp;TEXT(($D385-$C385+1)+17,"00"),"")&amp;IF($C385&gt;=19,", "&amp;$A385&amp;"-"&amp;TEXT(($D385-$C385+1)+18,"00"),"")&amp;IF($C385&gt;=20,", "&amp;$A385&amp;"-"&amp;TEXT(($D385-$C385+1)+19,"00"),"")&amp;IF($C385&gt;=21,", "&amp;$A385&amp;"-"&amp;TEXT(($D385-$C385+1)+20,"00"),"")&amp;IF($C385&gt;=22,", "&amp;$A385&amp;"-"&amp;TEXT(($D385-$C385+1)+21,"00"),"")&amp;IF($C385&gt;=23,", "&amp;$A385&amp;"-"&amp;TEXT(($D385-$C385+1)+22,"00"),"")&amp;IF($C385&gt;=24,", "&amp;$A385&amp;"-"&amp;TEXT(($D385-$C385+1)+23,"00"),"")&amp;IF($C385&gt;=25,", "&amp;$A385&amp;"-"&amp;TEXT(($D385-$C385+1)+24,"00"),""))</f>
        <v/>
      </c>
      <c r="G385">
        <f>IF($A385="","",IF($E385=1,$F385,IF($F385="",$G384,IF($G384="",$F385,$G384&amp;", "&amp;$F385))))</f>
        <v/>
      </c>
      <c r="H385">
        <f>IF($A385="","",$A385&amp;" ("&amp;$C385&amp;")")</f>
        <v/>
      </c>
      <c r="I385">
        <f>IF($A385="","",IF($E385=1,$H385,$I384&amp;", "&amp;$H385))</f>
        <v/>
      </c>
      <c r="J385">
        <f>IF($A385="","",IF($E385=1,$B385,""))</f>
        <v/>
      </c>
      <c r="K385">
        <f>IF($A385="","",IF(COUNTIF($B$2:$B385,$B385)=COUNTIF($B$2:$B$1601,$B385),$B385,""))</f>
        <v/>
      </c>
    </row>
    <row r="386">
      <c r="A386">
        <f>IF('TMP Paste'!$E386="","",'TMP Paste'!$E386)</f>
        <v/>
      </c>
      <c r="B386">
        <f>IF($A386="","",COUNTIF('TMP Paste'!$B$2:$B386,"?*"))</f>
        <v/>
      </c>
      <c r="C386">
        <f>IF($A386="","",IFERROR('TMP Paste'!$M386*1,0))</f>
        <v/>
      </c>
      <c r="D386">
        <f>IF($A386="","",SUMIF($B$2:$B386,$B386,$C$2:$C386))</f>
        <v/>
      </c>
      <c r="E386">
        <f>IF($A386="",0,IF('TMP Paste'!$B386="",0,1))</f>
        <v/>
      </c>
      <c r="F386">
        <f>IF(OR($A386="",$C386&lt;1),"",$A386&amp;"-"&amp;TEXT(($D386-$C386+1),"00")&amp;IF($C386&gt;=2,", "&amp;$A386&amp;"-"&amp;TEXT(($D386-$C386+1)+1,"00"),"")&amp;IF($C386&gt;=3,", "&amp;$A386&amp;"-"&amp;TEXT(($D386-$C386+1)+2,"00"),"")&amp;IF($C386&gt;=4,", "&amp;$A386&amp;"-"&amp;TEXT(($D386-$C386+1)+3,"00"),"")&amp;IF($C386&gt;=5,", "&amp;$A386&amp;"-"&amp;TEXT(($D386-$C386+1)+4,"00"),"")&amp;IF($C386&gt;=6,", "&amp;$A386&amp;"-"&amp;TEXT(($D386-$C386+1)+5,"00"),"")&amp;IF($C386&gt;=7,", "&amp;$A386&amp;"-"&amp;TEXT(($D386-$C386+1)+6,"00"),"")&amp;IF($C386&gt;=8,", "&amp;$A386&amp;"-"&amp;TEXT(($D386-$C386+1)+7,"00"),"")&amp;IF($C386&gt;=9,", "&amp;$A386&amp;"-"&amp;TEXT(($D386-$C386+1)+8,"00"),"")&amp;IF($C386&gt;=10,", "&amp;$A386&amp;"-"&amp;TEXT(($D386-$C386+1)+9,"00"),"")&amp;IF($C386&gt;=11,", "&amp;$A386&amp;"-"&amp;TEXT(($D386-$C386+1)+10,"00"),"")&amp;IF($C386&gt;=12,", "&amp;$A386&amp;"-"&amp;TEXT(($D386-$C386+1)+11,"00"),"")&amp;IF($C386&gt;=13,", "&amp;$A386&amp;"-"&amp;TEXT(($D386-$C386+1)+12,"00"),"")&amp;IF($C386&gt;=14,", "&amp;$A386&amp;"-"&amp;TEXT(($D386-$C386+1)+13,"00"),"")&amp;IF($C386&gt;=15,", "&amp;$A386&amp;"-"&amp;TEXT(($D386-$C386+1)+14,"00"),"")&amp;IF($C386&gt;=16,", "&amp;$A386&amp;"-"&amp;TEXT(($D386-$C386+1)+15,"00"),"")&amp;IF($C386&gt;=17,", "&amp;$A386&amp;"-"&amp;TEXT(($D386-$C386+1)+16,"00"),"")&amp;IF($C386&gt;=18,", "&amp;$A386&amp;"-"&amp;TEXT(($D386-$C386+1)+17,"00"),"")&amp;IF($C386&gt;=19,", "&amp;$A386&amp;"-"&amp;TEXT(($D386-$C386+1)+18,"00"),"")&amp;IF($C386&gt;=20,", "&amp;$A386&amp;"-"&amp;TEXT(($D386-$C386+1)+19,"00"),"")&amp;IF($C386&gt;=21,", "&amp;$A386&amp;"-"&amp;TEXT(($D386-$C386+1)+20,"00"),"")&amp;IF($C386&gt;=22,", "&amp;$A386&amp;"-"&amp;TEXT(($D386-$C386+1)+21,"00"),"")&amp;IF($C386&gt;=23,", "&amp;$A386&amp;"-"&amp;TEXT(($D386-$C386+1)+22,"00"),"")&amp;IF($C386&gt;=24,", "&amp;$A386&amp;"-"&amp;TEXT(($D386-$C386+1)+23,"00"),"")&amp;IF($C386&gt;=25,", "&amp;$A386&amp;"-"&amp;TEXT(($D386-$C386+1)+24,"00"),""))</f>
        <v/>
      </c>
      <c r="G386">
        <f>IF($A386="","",IF($E386=1,$F386,IF($F386="",$G385,IF($G385="",$F386,$G385&amp;", "&amp;$F386))))</f>
        <v/>
      </c>
      <c r="H386">
        <f>IF($A386="","",$A386&amp;" ("&amp;$C386&amp;")")</f>
        <v/>
      </c>
      <c r="I386">
        <f>IF($A386="","",IF($E386=1,$H386,$I385&amp;", "&amp;$H386))</f>
        <v/>
      </c>
      <c r="J386">
        <f>IF($A386="","",IF($E386=1,$B386,""))</f>
        <v/>
      </c>
      <c r="K386">
        <f>IF($A386="","",IF(COUNTIF($B$2:$B386,$B386)=COUNTIF($B$2:$B$1601,$B386),$B386,""))</f>
        <v/>
      </c>
    </row>
    <row r="387">
      <c r="A387">
        <f>IF('TMP Paste'!$E387="","",'TMP Paste'!$E387)</f>
        <v/>
      </c>
      <c r="B387">
        <f>IF($A387="","",COUNTIF('TMP Paste'!$B$2:$B387,"?*"))</f>
        <v/>
      </c>
      <c r="C387">
        <f>IF($A387="","",IFERROR('TMP Paste'!$M387*1,0))</f>
        <v/>
      </c>
      <c r="D387">
        <f>IF($A387="","",SUMIF($B$2:$B387,$B387,$C$2:$C387))</f>
        <v/>
      </c>
      <c r="E387">
        <f>IF($A387="",0,IF('TMP Paste'!$B387="",0,1))</f>
        <v/>
      </c>
      <c r="F387">
        <f>IF(OR($A387="",$C387&lt;1),"",$A387&amp;"-"&amp;TEXT(($D387-$C387+1),"00")&amp;IF($C387&gt;=2,", "&amp;$A387&amp;"-"&amp;TEXT(($D387-$C387+1)+1,"00"),"")&amp;IF($C387&gt;=3,", "&amp;$A387&amp;"-"&amp;TEXT(($D387-$C387+1)+2,"00"),"")&amp;IF($C387&gt;=4,", "&amp;$A387&amp;"-"&amp;TEXT(($D387-$C387+1)+3,"00"),"")&amp;IF($C387&gt;=5,", "&amp;$A387&amp;"-"&amp;TEXT(($D387-$C387+1)+4,"00"),"")&amp;IF($C387&gt;=6,", "&amp;$A387&amp;"-"&amp;TEXT(($D387-$C387+1)+5,"00"),"")&amp;IF($C387&gt;=7,", "&amp;$A387&amp;"-"&amp;TEXT(($D387-$C387+1)+6,"00"),"")&amp;IF($C387&gt;=8,", "&amp;$A387&amp;"-"&amp;TEXT(($D387-$C387+1)+7,"00"),"")&amp;IF($C387&gt;=9,", "&amp;$A387&amp;"-"&amp;TEXT(($D387-$C387+1)+8,"00"),"")&amp;IF($C387&gt;=10,", "&amp;$A387&amp;"-"&amp;TEXT(($D387-$C387+1)+9,"00"),"")&amp;IF($C387&gt;=11,", "&amp;$A387&amp;"-"&amp;TEXT(($D387-$C387+1)+10,"00"),"")&amp;IF($C387&gt;=12,", "&amp;$A387&amp;"-"&amp;TEXT(($D387-$C387+1)+11,"00"),"")&amp;IF($C387&gt;=13,", "&amp;$A387&amp;"-"&amp;TEXT(($D387-$C387+1)+12,"00"),"")&amp;IF($C387&gt;=14,", "&amp;$A387&amp;"-"&amp;TEXT(($D387-$C387+1)+13,"00"),"")&amp;IF($C387&gt;=15,", "&amp;$A387&amp;"-"&amp;TEXT(($D387-$C387+1)+14,"00"),"")&amp;IF($C387&gt;=16,", "&amp;$A387&amp;"-"&amp;TEXT(($D387-$C387+1)+15,"00"),"")&amp;IF($C387&gt;=17,", "&amp;$A387&amp;"-"&amp;TEXT(($D387-$C387+1)+16,"00"),"")&amp;IF($C387&gt;=18,", "&amp;$A387&amp;"-"&amp;TEXT(($D387-$C387+1)+17,"00"),"")&amp;IF($C387&gt;=19,", "&amp;$A387&amp;"-"&amp;TEXT(($D387-$C387+1)+18,"00"),"")&amp;IF($C387&gt;=20,", "&amp;$A387&amp;"-"&amp;TEXT(($D387-$C387+1)+19,"00"),"")&amp;IF($C387&gt;=21,", "&amp;$A387&amp;"-"&amp;TEXT(($D387-$C387+1)+20,"00"),"")&amp;IF($C387&gt;=22,", "&amp;$A387&amp;"-"&amp;TEXT(($D387-$C387+1)+21,"00"),"")&amp;IF($C387&gt;=23,", "&amp;$A387&amp;"-"&amp;TEXT(($D387-$C387+1)+22,"00"),"")&amp;IF($C387&gt;=24,", "&amp;$A387&amp;"-"&amp;TEXT(($D387-$C387+1)+23,"00"),"")&amp;IF($C387&gt;=25,", "&amp;$A387&amp;"-"&amp;TEXT(($D387-$C387+1)+24,"00"),""))</f>
        <v/>
      </c>
      <c r="G387">
        <f>IF($A387="","",IF($E387=1,$F387,IF($F387="",$G386,IF($G386="",$F387,$G386&amp;", "&amp;$F387))))</f>
        <v/>
      </c>
      <c r="H387">
        <f>IF($A387="","",$A387&amp;" ("&amp;$C387&amp;")")</f>
        <v/>
      </c>
      <c r="I387">
        <f>IF($A387="","",IF($E387=1,$H387,$I386&amp;", "&amp;$H387))</f>
        <v/>
      </c>
      <c r="J387">
        <f>IF($A387="","",IF($E387=1,$B387,""))</f>
        <v/>
      </c>
      <c r="K387">
        <f>IF($A387="","",IF(COUNTIF($B$2:$B387,$B387)=COUNTIF($B$2:$B$1601,$B387),$B387,""))</f>
        <v/>
      </c>
    </row>
    <row r="388">
      <c r="A388">
        <f>IF('TMP Paste'!$E388="","",'TMP Paste'!$E388)</f>
        <v/>
      </c>
      <c r="B388">
        <f>IF($A388="","",COUNTIF('TMP Paste'!$B$2:$B388,"?*"))</f>
        <v/>
      </c>
      <c r="C388">
        <f>IF($A388="","",IFERROR('TMP Paste'!$M388*1,0))</f>
        <v/>
      </c>
      <c r="D388">
        <f>IF($A388="","",SUMIF($B$2:$B388,$B388,$C$2:$C388))</f>
        <v/>
      </c>
      <c r="E388">
        <f>IF($A388="",0,IF('TMP Paste'!$B388="",0,1))</f>
        <v/>
      </c>
      <c r="F388">
        <f>IF(OR($A388="",$C388&lt;1),"",$A388&amp;"-"&amp;TEXT(($D388-$C388+1),"00")&amp;IF($C388&gt;=2,", "&amp;$A388&amp;"-"&amp;TEXT(($D388-$C388+1)+1,"00"),"")&amp;IF($C388&gt;=3,", "&amp;$A388&amp;"-"&amp;TEXT(($D388-$C388+1)+2,"00"),"")&amp;IF($C388&gt;=4,", "&amp;$A388&amp;"-"&amp;TEXT(($D388-$C388+1)+3,"00"),"")&amp;IF($C388&gt;=5,", "&amp;$A388&amp;"-"&amp;TEXT(($D388-$C388+1)+4,"00"),"")&amp;IF($C388&gt;=6,", "&amp;$A388&amp;"-"&amp;TEXT(($D388-$C388+1)+5,"00"),"")&amp;IF($C388&gt;=7,", "&amp;$A388&amp;"-"&amp;TEXT(($D388-$C388+1)+6,"00"),"")&amp;IF($C388&gt;=8,", "&amp;$A388&amp;"-"&amp;TEXT(($D388-$C388+1)+7,"00"),"")&amp;IF($C388&gt;=9,", "&amp;$A388&amp;"-"&amp;TEXT(($D388-$C388+1)+8,"00"),"")&amp;IF($C388&gt;=10,", "&amp;$A388&amp;"-"&amp;TEXT(($D388-$C388+1)+9,"00"),"")&amp;IF($C388&gt;=11,", "&amp;$A388&amp;"-"&amp;TEXT(($D388-$C388+1)+10,"00"),"")&amp;IF($C388&gt;=12,", "&amp;$A388&amp;"-"&amp;TEXT(($D388-$C388+1)+11,"00"),"")&amp;IF($C388&gt;=13,", "&amp;$A388&amp;"-"&amp;TEXT(($D388-$C388+1)+12,"00"),"")&amp;IF($C388&gt;=14,", "&amp;$A388&amp;"-"&amp;TEXT(($D388-$C388+1)+13,"00"),"")&amp;IF($C388&gt;=15,", "&amp;$A388&amp;"-"&amp;TEXT(($D388-$C388+1)+14,"00"),"")&amp;IF($C388&gt;=16,", "&amp;$A388&amp;"-"&amp;TEXT(($D388-$C388+1)+15,"00"),"")&amp;IF($C388&gt;=17,", "&amp;$A388&amp;"-"&amp;TEXT(($D388-$C388+1)+16,"00"),"")&amp;IF($C388&gt;=18,", "&amp;$A388&amp;"-"&amp;TEXT(($D388-$C388+1)+17,"00"),"")&amp;IF($C388&gt;=19,", "&amp;$A388&amp;"-"&amp;TEXT(($D388-$C388+1)+18,"00"),"")&amp;IF($C388&gt;=20,", "&amp;$A388&amp;"-"&amp;TEXT(($D388-$C388+1)+19,"00"),"")&amp;IF($C388&gt;=21,", "&amp;$A388&amp;"-"&amp;TEXT(($D388-$C388+1)+20,"00"),"")&amp;IF($C388&gt;=22,", "&amp;$A388&amp;"-"&amp;TEXT(($D388-$C388+1)+21,"00"),"")&amp;IF($C388&gt;=23,", "&amp;$A388&amp;"-"&amp;TEXT(($D388-$C388+1)+22,"00"),"")&amp;IF($C388&gt;=24,", "&amp;$A388&amp;"-"&amp;TEXT(($D388-$C388+1)+23,"00"),"")&amp;IF($C388&gt;=25,", "&amp;$A388&amp;"-"&amp;TEXT(($D388-$C388+1)+24,"00"),""))</f>
        <v/>
      </c>
      <c r="G388">
        <f>IF($A388="","",IF($E388=1,$F388,IF($F388="",$G387,IF($G387="",$F388,$G387&amp;", "&amp;$F388))))</f>
        <v/>
      </c>
      <c r="H388">
        <f>IF($A388="","",$A388&amp;" ("&amp;$C388&amp;")")</f>
        <v/>
      </c>
      <c r="I388">
        <f>IF($A388="","",IF($E388=1,$H388,$I387&amp;", "&amp;$H388))</f>
        <v/>
      </c>
      <c r="J388">
        <f>IF($A388="","",IF($E388=1,$B388,""))</f>
        <v/>
      </c>
      <c r="K388">
        <f>IF($A388="","",IF(COUNTIF($B$2:$B388,$B388)=COUNTIF($B$2:$B$1601,$B388),$B388,""))</f>
        <v/>
      </c>
    </row>
    <row r="389">
      <c r="A389">
        <f>IF('TMP Paste'!$E389="","",'TMP Paste'!$E389)</f>
        <v/>
      </c>
      <c r="B389">
        <f>IF($A389="","",COUNTIF('TMP Paste'!$B$2:$B389,"?*"))</f>
        <v/>
      </c>
      <c r="C389">
        <f>IF($A389="","",IFERROR('TMP Paste'!$M389*1,0))</f>
        <v/>
      </c>
      <c r="D389">
        <f>IF($A389="","",SUMIF($B$2:$B389,$B389,$C$2:$C389))</f>
        <v/>
      </c>
      <c r="E389">
        <f>IF($A389="",0,IF('TMP Paste'!$B389="",0,1))</f>
        <v/>
      </c>
      <c r="F389">
        <f>IF(OR($A389="",$C389&lt;1),"",$A389&amp;"-"&amp;TEXT(($D389-$C389+1),"00")&amp;IF($C389&gt;=2,", "&amp;$A389&amp;"-"&amp;TEXT(($D389-$C389+1)+1,"00"),"")&amp;IF($C389&gt;=3,", "&amp;$A389&amp;"-"&amp;TEXT(($D389-$C389+1)+2,"00"),"")&amp;IF($C389&gt;=4,", "&amp;$A389&amp;"-"&amp;TEXT(($D389-$C389+1)+3,"00"),"")&amp;IF($C389&gt;=5,", "&amp;$A389&amp;"-"&amp;TEXT(($D389-$C389+1)+4,"00"),"")&amp;IF($C389&gt;=6,", "&amp;$A389&amp;"-"&amp;TEXT(($D389-$C389+1)+5,"00"),"")&amp;IF($C389&gt;=7,", "&amp;$A389&amp;"-"&amp;TEXT(($D389-$C389+1)+6,"00"),"")&amp;IF($C389&gt;=8,", "&amp;$A389&amp;"-"&amp;TEXT(($D389-$C389+1)+7,"00"),"")&amp;IF($C389&gt;=9,", "&amp;$A389&amp;"-"&amp;TEXT(($D389-$C389+1)+8,"00"),"")&amp;IF($C389&gt;=10,", "&amp;$A389&amp;"-"&amp;TEXT(($D389-$C389+1)+9,"00"),"")&amp;IF($C389&gt;=11,", "&amp;$A389&amp;"-"&amp;TEXT(($D389-$C389+1)+10,"00"),"")&amp;IF($C389&gt;=12,", "&amp;$A389&amp;"-"&amp;TEXT(($D389-$C389+1)+11,"00"),"")&amp;IF($C389&gt;=13,", "&amp;$A389&amp;"-"&amp;TEXT(($D389-$C389+1)+12,"00"),"")&amp;IF($C389&gt;=14,", "&amp;$A389&amp;"-"&amp;TEXT(($D389-$C389+1)+13,"00"),"")&amp;IF($C389&gt;=15,", "&amp;$A389&amp;"-"&amp;TEXT(($D389-$C389+1)+14,"00"),"")&amp;IF($C389&gt;=16,", "&amp;$A389&amp;"-"&amp;TEXT(($D389-$C389+1)+15,"00"),"")&amp;IF($C389&gt;=17,", "&amp;$A389&amp;"-"&amp;TEXT(($D389-$C389+1)+16,"00"),"")&amp;IF($C389&gt;=18,", "&amp;$A389&amp;"-"&amp;TEXT(($D389-$C389+1)+17,"00"),"")&amp;IF($C389&gt;=19,", "&amp;$A389&amp;"-"&amp;TEXT(($D389-$C389+1)+18,"00"),"")&amp;IF($C389&gt;=20,", "&amp;$A389&amp;"-"&amp;TEXT(($D389-$C389+1)+19,"00"),"")&amp;IF($C389&gt;=21,", "&amp;$A389&amp;"-"&amp;TEXT(($D389-$C389+1)+20,"00"),"")&amp;IF($C389&gt;=22,", "&amp;$A389&amp;"-"&amp;TEXT(($D389-$C389+1)+21,"00"),"")&amp;IF($C389&gt;=23,", "&amp;$A389&amp;"-"&amp;TEXT(($D389-$C389+1)+22,"00"),"")&amp;IF($C389&gt;=24,", "&amp;$A389&amp;"-"&amp;TEXT(($D389-$C389+1)+23,"00"),"")&amp;IF($C389&gt;=25,", "&amp;$A389&amp;"-"&amp;TEXT(($D389-$C389+1)+24,"00"),""))</f>
        <v/>
      </c>
      <c r="G389">
        <f>IF($A389="","",IF($E389=1,$F389,IF($F389="",$G388,IF($G388="",$F389,$G388&amp;", "&amp;$F389))))</f>
        <v/>
      </c>
      <c r="H389">
        <f>IF($A389="","",$A389&amp;" ("&amp;$C389&amp;")")</f>
        <v/>
      </c>
      <c r="I389">
        <f>IF($A389="","",IF($E389=1,$H389,$I388&amp;", "&amp;$H389))</f>
        <v/>
      </c>
      <c r="J389">
        <f>IF($A389="","",IF($E389=1,$B389,""))</f>
        <v/>
      </c>
      <c r="K389">
        <f>IF($A389="","",IF(COUNTIF($B$2:$B389,$B389)=COUNTIF($B$2:$B$1601,$B389),$B389,""))</f>
        <v/>
      </c>
    </row>
    <row r="390">
      <c r="A390">
        <f>IF('TMP Paste'!$E390="","",'TMP Paste'!$E390)</f>
        <v/>
      </c>
      <c r="B390">
        <f>IF($A390="","",COUNTIF('TMP Paste'!$B$2:$B390,"?*"))</f>
        <v/>
      </c>
      <c r="C390">
        <f>IF($A390="","",IFERROR('TMP Paste'!$M390*1,0))</f>
        <v/>
      </c>
      <c r="D390">
        <f>IF($A390="","",SUMIF($B$2:$B390,$B390,$C$2:$C390))</f>
        <v/>
      </c>
      <c r="E390">
        <f>IF($A390="",0,IF('TMP Paste'!$B390="",0,1))</f>
        <v/>
      </c>
      <c r="F390">
        <f>IF(OR($A390="",$C390&lt;1),"",$A390&amp;"-"&amp;TEXT(($D390-$C390+1),"00")&amp;IF($C390&gt;=2,", "&amp;$A390&amp;"-"&amp;TEXT(($D390-$C390+1)+1,"00"),"")&amp;IF($C390&gt;=3,", "&amp;$A390&amp;"-"&amp;TEXT(($D390-$C390+1)+2,"00"),"")&amp;IF($C390&gt;=4,", "&amp;$A390&amp;"-"&amp;TEXT(($D390-$C390+1)+3,"00"),"")&amp;IF($C390&gt;=5,", "&amp;$A390&amp;"-"&amp;TEXT(($D390-$C390+1)+4,"00"),"")&amp;IF($C390&gt;=6,", "&amp;$A390&amp;"-"&amp;TEXT(($D390-$C390+1)+5,"00"),"")&amp;IF($C390&gt;=7,", "&amp;$A390&amp;"-"&amp;TEXT(($D390-$C390+1)+6,"00"),"")&amp;IF($C390&gt;=8,", "&amp;$A390&amp;"-"&amp;TEXT(($D390-$C390+1)+7,"00"),"")&amp;IF($C390&gt;=9,", "&amp;$A390&amp;"-"&amp;TEXT(($D390-$C390+1)+8,"00"),"")&amp;IF($C390&gt;=10,", "&amp;$A390&amp;"-"&amp;TEXT(($D390-$C390+1)+9,"00"),"")&amp;IF($C390&gt;=11,", "&amp;$A390&amp;"-"&amp;TEXT(($D390-$C390+1)+10,"00"),"")&amp;IF($C390&gt;=12,", "&amp;$A390&amp;"-"&amp;TEXT(($D390-$C390+1)+11,"00"),"")&amp;IF($C390&gt;=13,", "&amp;$A390&amp;"-"&amp;TEXT(($D390-$C390+1)+12,"00"),"")&amp;IF($C390&gt;=14,", "&amp;$A390&amp;"-"&amp;TEXT(($D390-$C390+1)+13,"00"),"")&amp;IF($C390&gt;=15,", "&amp;$A390&amp;"-"&amp;TEXT(($D390-$C390+1)+14,"00"),"")&amp;IF($C390&gt;=16,", "&amp;$A390&amp;"-"&amp;TEXT(($D390-$C390+1)+15,"00"),"")&amp;IF($C390&gt;=17,", "&amp;$A390&amp;"-"&amp;TEXT(($D390-$C390+1)+16,"00"),"")&amp;IF($C390&gt;=18,", "&amp;$A390&amp;"-"&amp;TEXT(($D390-$C390+1)+17,"00"),"")&amp;IF($C390&gt;=19,", "&amp;$A390&amp;"-"&amp;TEXT(($D390-$C390+1)+18,"00"),"")&amp;IF($C390&gt;=20,", "&amp;$A390&amp;"-"&amp;TEXT(($D390-$C390+1)+19,"00"),"")&amp;IF($C390&gt;=21,", "&amp;$A390&amp;"-"&amp;TEXT(($D390-$C390+1)+20,"00"),"")&amp;IF($C390&gt;=22,", "&amp;$A390&amp;"-"&amp;TEXT(($D390-$C390+1)+21,"00"),"")&amp;IF($C390&gt;=23,", "&amp;$A390&amp;"-"&amp;TEXT(($D390-$C390+1)+22,"00"),"")&amp;IF($C390&gt;=24,", "&amp;$A390&amp;"-"&amp;TEXT(($D390-$C390+1)+23,"00"),"")&amp;IF($C390&gt;=25,", "&amp;$A390&amp;"-"&amp;TEXT(($D390-$C390+1)+24,"00"),""))</f>
        <v/>
      </c>
      <c r="G390">
        <f>IF($A390="","",IF($E390=1,$F390,IF($F390="",$G389,IF($G389="",$F390,$G389&amp;", "&amp;$F390))))</f>
        <v/>
      </c>
      <c r="H390">
        <f>IF($A390="","",$A390&amp;" ("&amp;$C390&amp;")")</f>
        <v/>
      </c>
      <c r="I390">
        <f>IF($A390="","",IF($E390=1,$H390,$I389&amp;", "&amp;$H390))</f>
        <v/>
      </c>
      <c r="J390">
        <f>IF($A390="","",IF($E390=1,$B390,""))</f>
        <v/>
      </c>
      <c r="K390">
        <f>IF($A390="","",IF(COUNTIF($B$2:$B390,$B390)=COUNTIF($B$2:$B$1601,$B390),$B390,""))</f>
        <v/>
      </c>
    </row>
    <row r="391">
      <c r="A391">
        <f>IF('TMP Paste'!$E391="","",'TMP Paste'!$E391)</f>
        <v/>
      </c>
      <c r="B391">
        <f>IF($A391="","",COUNTIF('TMP Paste'!$B$2:$B391,"?*"))</f>
        <v/>
      </c>
      <c r="C391">
        <f>IF($A391="","",IFERROR('TMP Paste'!$M391*1,0))</f>
        <v/>
      </c>
      <c r="D391">
        <f>IF($A391="","",SUMIF($B$2:$B391,$B391,$C$2:$C391))</f>
        <v/>
      </c>
      <c r="E391">
        <f>IF($A391="",0,IF('TMP Paste'!$B391="",0,1))</f>
        <v/>
      </c>
      <c r="F391">
        <f>IF(OR($A391="",$C391&lt;1),"",$A391&amp;"-"&amp;TEXT(($D391-$C391+1),"00")&amp;IF($C391&gt;=2,", "&amp;$A391&amp;"-"&amp;TEXT(($D391-$C391+1)+1,"00"),"")&amp;IF($C391&gt;=3,", "&amp;$A391&amp;"-"&amp;TEXT(($D391-$C391+1)+2,"00"),"")&amp;IF($C391&gt;=4,", "&amp;$A391&amp;"-"&amp;TEXT(($D391-$C391+1)+3,"00"),"")&amp;IF($C391&gt;=5,", "&amp;$A391&amp;"-"&amp;TEXT(($D391-$C391+1)+4,"00"),"")&amp;IF($C391&gt;=6,", "&amp;$A391&amp;"-"&amp;TEXT(($D391-$C391+1)+5,"00"),"")&amp;IF($C391&gt;=7,", "&amp;$A391&amp;"-"&amp;TEXT(($D391-$C391+1)+6,"00"),"")&amp;IF($C391&gt;=8,", "&amp;$A391&amp;"-"&amp;TEXT(($D391-$C391+1)+7,"00"),"")&amp;IF($C391&gt;=9,", "&amp;$A391&amp;"-"&amp;TEXT(($D391-$C391+1)+8,"00"),"")&amp;IF($C391&gt;=10,", "&amp;$A391&amp;"-"&amp;TEXT(($D391-$C391+1)+9,"00"),"")&amp;IF($C391&gt;=11,", "&amp;$A391&amp;"-"&amp;TEXT(($D391-$C391+1)+10,"00"),"")&amp;IF($C391&gt;=12,", "&amp;$A391&amp;"-"&amp;TEXT(($D391-$C391+1)+11,"00"),"")&amp;IF($C391&gt;=13,", "&amp;$A391&amp;"-"&amp;TEXT(($D391-$C391+1)+12,"00"),"")&amp;IF($C391&gt;=14,", "&amp;$A391&amp;"-"&amp;TEXT(($D391-$C391+1)+13,"00"),"")&amp;IF($C391&gt;=15,", "&amp;$A391&amp;"-"&amp;TEXT(($D391-$C391+1)+14,"00"),"")&amp;IF($C391&gt;=16,", "&amp;$A391&amp;"-"&amp;TEXT(($D391-$C391+1)+15,"00"),"")&amp;IF($C391&gt;=17,", "&amp;$A391&amp;"-"&amp;TEXT(($D391-$C391+1)+16,"00"),"")&amp;IF($C391&gt;=18,", "&amp;$A391&amp;"-"&amp;TEXT(($D391-$C391+1)+17,"00"),"")&amp;IF($C391&gt;=19,", "&amp;$A391&amp;"-"&amp;TEXT(($D391-$C391+1)+18,"00"),"")&amp;IF($C391&gt;=20,", "&amp;$A391&amp;"-"&amp;TEXT(($D391-$C391+1)+19,"00"),"")&amp;IF($C391&gt;=21,", "&amp;$A391&amp;"-"&amp;TEXT(($D391-$C391+1)+20,"00"),"")&amp;IF($C391&gt;=22,", "&amp;$A391&amp;"-"&amp;TEXT(($D391-$C391+1)+21,"00"),"")&amp;IF($C391&gt;=23,", "&amp;$A391&amp;"-"&amp;TEXT(($D391-$C391+1)+22,"00"),"")&amp;IF($C391&gt;=24,", "&amp;$A391&amp;"-"&amp;TEXT(($D391-$C391+1)+23,"00"),"")&amp;IF($C391&gt;=25,", "&amp;$A391&amp;"-"&amp;TEXT(($D391-$C391+1)+24,"00"),""))</f>
        <v/>
      </c>
      <c r="G391">
        <f>IF($A391="","",IF($E391=1,$F391,IF($F391="",$G390,IF($G390="",$F391,$G390&amp;", "&amp;$F391))))</f>
        <v/>
      </c>
      <c r="H391">
        <f>IF($A391="","",$A391&amp;" ("&amp;$C391&amp;")")</f>
        <v/>
      </c>
      <c r="I391">
        <f>IF($A391="","",IF($E391=1,$H391,$I390&amp;", "&amp;$H391))</f>
        <v/>
      </c>
      <c r="J391">
        <f>IF($A391="","",IF($E391=1,$B391,""))</f>
        <v/>
      </c>
      <c r="K391">
        <f>IF($A391="","",IF(COUNTIF($B$2:$B391,$B391)=COUNTIF($B$2:$B$1601,$B391),$B391,""))</f>
        <v/>
      </c>
    </row>
    <row r="392">
      <c r="A392">
        <f>IF('TMP Paste'!$E392="","",'TMP Paste'!$E392)</f>
        <v/>
      </c>
      <c r="B392">
        <f>IF($A392="","",COUNTIF('TMP Paste'!$B$2:$B392,"?*"))</f>
        <v/>
      </c>
      <c r="C392">
        <f>IF($A392="","",IFERROR('TMP Paste'!$M392*1,0))</f>
        <v/>
      </c>
      <c r="D392">
        <f>IF($A392="","",SUMIF($B$2:$B392,$B392,$C$2:$C392))</f>
        <v/>
      </c>
      <c r="E392">
        <f>IF($A392="",0,IF('TMP Paste'!$B392="",0,1))</f>
        <v/>
      </c>
      <c r="F392">
        <f>IF(OR($A392="",$C392&lt;1),"",$A392&amp;"-"&amp;TEXT(($D392-$C392+1),"00")&amp;IF($C392&gt;=2,", "&amp;$A392&amp;"-"&amp;TEXT(($D392-$C392+1)+1,"00"),"")&amp;IF($C392&gt;=3,", "&amp;$A392&amp;"-"&amp;TEXT(($D392-$C392+1)+2,"00"),"")&amp;IF($C392&gt;=4,", "&amp;$A392&amp;"-"&amp;TEXT(($D392-$C392+1)+3,"00"),"")&amp;IF($C392&gt;=5,", "&amp;$A392&amp;"-"&amp;TEXT(($D392-$C392+1)+4,"00"),"")&amp;IF($C392&gt;=6,", "&amp;$A392&amp;"-"&amp;TEXT(($D392-$C392+1)+5,"00"),"")&amp;IF($C392&gt;=7,", "&amp;$A392&amp;"-"&amp;TEXT(($D392-$C392+1)+6,"00"),"")&amp;IF($C392&gt;=8,", "&amp;$A392&amp;"-"&amp;TEXT(($D392-$C392+1)+7,"00"),"")&amp;IF($C392&gt;=9,", "&amp;$A392&amp;"-"&amp;TEXT(($D392-$C392+1)+8,"00"),"")&amp;IF($C392&gt;=10,", "&amp;$A392&amp;"-"&amp;TEXT(($D392-$C392+1)+9,"00"),"")&amp;IF($C392&gt;=11,", "&amp;$A392&amp;"-"&amp;TEXT(($D392-$C392+1)+10,"00"),"")&amp;IF($C392&gt;=12,", "&amp;$A392&amp;"-"&amp;TEXT(($D392-$C392+1)+11,"00"),"")&amp;IF($C392&gt;=13,", "&amp;$A392&amp;"-"&amp;TEXT(($D392-$C392+1)+12,"00"),"")&amp;IF($C392&gt;=14,", "&amp;$A392&amp;"-"&amp;TEXT(($D392-$C392+1)+13,"00"),"")&amp;IF($C392&gt;=15,", "&amp;$A392&amp;"-"&amp;TEXT(($D392-$C392+1)+14,"00"),"")&amp;IF($C392&gt;=16,", "&amp;$A392&amp;"-"&amp;TEXT(($D392-$C392+1)+15,"00"),"")&amp;IF($C392&gt;=17,", "&amp;$A392&amp;"-"&amp;TEXT(($D392-$C392+1)+16,"00"),"")&amp;IF($C392&gt;=18,", "&amp;$A392&amp;"-"&amp;TEXT(($D392-$C392+1)+17,"00"),"")&amp;IF($C392&gt;=19,", "&amp;$A392&amp;"-"&amp;TEXT(($D392-$C392+1)+18,"00"),"")&amp;IF($C392&gt;=20,", "&amp;$A392&amp;"-"&amp;TEXT(($D392-$C392+1)+19,"00"),"")&amp;IF($C392&gt;=21,", "&amp;$A392&amp;"-"&amp;TEXT(($D392-$C392+1)+20,"00"),"")&amp;IF($C392&gt;=22,", "&amp;$A392&amp;"-"&amp;TEXT(($D392-$C392+1)+21,"00"),"")&amp;IF($C392&gt;=23,", "&amp;$A392&amp;"-"&amp;TEXT(($D392-$C392+1)+22,"00"),"")&amp;IF($C392&gt;=24,", "&amp;$A392&amp;"-"&amp;TEXT(($D392-$C392+1)+23,"00"),"")&amp;IF($C392&gt;=25,", "&amp;$A392&amp;"-"&amp;TEXT(($D392-$C392+1)+24,"00"),""))</f>
        <v/>
      </c>
      <c r="G392">
        <f>IF($A392="","",IF($E392=1,$F392,IF($F392="",$G391,IF($G391="",$F392,$G391&amp;", "&amp;$F392))))</f>
        <v/>
      </c>
      <c r="H392">
        <f>IF($A392="","",$A392&amp;" ("&amp;$C392&amp;")")</f>
        <v/>
      </c>
      <c r="I392">
        <f>IF($A392="","",IF($E392=1,$H392,$I391&amp;", "&amp;$H392))</f>
        <v/>
      </c>
      <c r="J392">
        <f>IF($A392="","",IF($E392=1,$B392,""))</f>
        <v/>
      </c>
      <c r="K392">
        <f>IF($A392="","",IF(COUNTIF($B$2:$B392,$B392)=COUNTIF($B$2:$B$1601,$B392),$B392,""))</f>
        <v/>
      </c>
    </row>
    <row r="393">
      <c r="A393">
        <f>IF('TMP Paste'!$E393="","",'TMP Paste'!$E393)</f>
        <v/>
      </c>
      <c r="B393">
        <f>IF($A393="","",COUNTIF('TMP Paste'!$B$2:$B393,"?*"))</f>
        <v/>
      </c>
      <c r="C393">
        <f>IF($A393="","",IFERROR('TMP Paste'!$M393*1,0))</f>
        <v/>
      </c>
      <c r="D393">
        <f>IF($A393="","",SUMIF($B$2:$B393,$B393,$C$2:$C393))</f>
        <v/>
      </c>
      <c r="E393">
        <f>IF($A393="",0,IF('TMP Paste'!$B393="",0,1))</f>
        <v/>
      </c>
      <c r="F393">
        <f>IF(OR($A393="",$C393&lt;1),"",$A393&amp;"-"&amp;TEXT(($D393-$C393+1),"00")&amp;IF($C393&gt;=2,", "&amp;$A393&amp;"-"&amp;TEXT(($D393-$C393+1)+1,"00"),"")&amp;IF($C393&gt;=3,", "&amp;$A393&amp;"-"&amp;TEXT(($D393-$C393+1)+2,"00"),"")&amp;IF($C393&gt;=4,", "&amp;$A393&amp;"-"&amp;TEXT(($D393-$C393+1)+3,"00"),"")&amp;IF($C393&gt;=5,", "&amp;$A393&amp;"-"&amp;TEXT(($D393-$C393+1)+4,"00"),"")&amp;IF($C393&gt;=6,", "&amp;$A393&amp;"-"&amp;TEXT(($D393-$C393+1)+5,"00"),"")&amp;IF($C393&gt;=7,", "&amp;$A393&amp;"-"&amp;TEXT(($D393-$C393+1)+6,"00"),"")&amp;IF($C393&gt;=8,", "&amp;$A393&amp;"-"&amp;TEXT(($D393-$C393+1)+7,"00"),"")&amp;IF($C393&gt;=9,", "&amp;$A393&amp;"-"&amp;TEXT(($D393-$C393+1)+8,"00"),"")&amp;IF($C393&gt;=10,", "&amp;$A393&amp;"-"&amp;TEXT(($D393-$C393+1)+9,"00"),"")&amp;IF($C393&gt;=11,", "&amp;$A393&amp;"-"&amp;TEXT(($D393-$C393+1)+10,"00"),"")&amp;IF($C393&gt;=12,", "&amp;$A393&amp;"-"&amp;TEXT(($D393-$C393+1)+11,"00"),"")&amp;IF($C393&gt;=13,", "&amp;$A393&amp;"-"&amp;TEXT(($D393-$C393+1)+12,"00"),"")&amp;IF($C393&gt;=14,", "&amp;$A393&amp;"-"&amp;TEXT(($D393-$C393+1)+13,"00"),"")&amp;IF($C393&gt;=15,", "&amp;$A393&amp;"-"&amp;TEXT(($D393-$C393+1)+14,"00"),"")&amp;IF($C393&gt;=16,", "&amp;$A393&amp;"-"&amp;TEXT(($D393-$C393+1)+15,"00"),"")&amp;IF($C393&gt;=17,", "&amp;$A393&amp;"-"&amp;TEXT(($D393-$C393+1)+16,"00"),"")&amp;IF($C393&gt;=18,", "&amp;$A393&amp;"-"&amp;TEXT(($D393-$C393+1)+17,"00"),"")&amp;IF($C393&gt;=19,", "&amp;$A393&amp;"-"&amp;TEXT(($D393-$C393+1)+18,"00"),"")&amp;IF($C393&gt;=20,", "&amp;$A393&amp;"-"&amp;TEXT(($D393-$C393+1)+19,"00"),"")&amp;IF($C393&gt;=21,", "&amp;$A393&amp;"-"&amp;TEXT(($D393-$C393+1)+20,"00"),"")&amp;IF($C393&gt;=22,", "&amp;$A393&amp;"-"&amp;TEXT(($D393-$C393+1)+21,"00"),"")&amp;IF($C393&gt;=23,", "&amp;$A393&amp;"-"&amp;TEXT(($D393-$C393+1)+22,"00"),"")&amp;IF($C393&gt;=24,", "&amp;$A393&amp;"-"&amp;TEXT(($D393-$C393+1)+23,"00"),"")&amp;IF($C393&gt;=25,", "&amp;$A393&amp;"-"&amp;TEXT(($D393-$C393+1)+24,"00"),""))</f>
        <v/>
      </c>
      <c r="G393">
        <f>IF($A393="","",IF($E393=1,$F393,IF($F393="",$G392,IF($G392="",$F393,$G392&amp;", "&amp;$F393))))</f>
        <v/>
      </c>
      <c r="H393">
        <f>IF($A393="","",$A393&amp;" ("&amp;$C393&amp;")")</f>
        <v/>
      </c>
      <c r="I393">
        <f>IF($A393="","",IF($E393=1,$H393,$I392&amp;", "&amp;$H393))</f>
        <v/>
      </c>
      <c r="J393">
        <f>IF($A393="","",IF($E393=1,$B393,""))</f>
        <v/>
      </c>
      <c r="K393">
        <f>IF($A393="","",IF(COUNTIF($B$2:$B393,$B393)=COUNTIF($B$2:$B$1601,$B393),$B393,""))</f>
        <v/>
      </c>
    </row>
    <row r="394">
      <c r="A394">
        <f>IF('TMP Paste'!$E394="","",'TMP Paste'!$E394)</f>
        <v/>
      </c>
      <c r="B394">
        <f>IF($A394="","",COUNTIF('TMP Paste'!$B$2:$B394,"?*"))</f>
        <v/>
      </c>
      <c r="C394">
        <f>IF($A394="","",IFERROR('TMP Paste'!$M394*1,0))</f>
        <v/>
      </c>
      <c r="D394">
        <f>IF($A394="","",SUMIF($B$2:$B394,$B394,$C$2:$C394))</f>
        <v/>
      </c>
      <c r="E394">
        <f>IF($A394="",0,IF('TMP Paste'!$B394="",0,1))</f>
        <v/>
      </c>
      <c r="F394">
        <f>IF(OR($A394="",$C394&lt;1),"",$A394&amp;"-"&amp;TEXT(($D394-$C394+1),"00")&amp;IF($C394&gt;=2,", "&amp;$A394&amp;"-"&amp;TEXT(($D394-$C394+1)+1,"00"),"")&amp;IF($C394&gt;=3,", "&amp;$A394&amp;"-"&amp;TEXT(($D394-$C394+1)+2,"00"),"")&amp;IF($C394&gt;=4,", "&amp;$A394&amp;"-"&amp;TEXT(($D394-$C394+1)+3,"00"),"")&amp;IF($C394&gt;=5,", "&amp;$A394&amp;"-"&amp;TEXT(($D394-$C394+1)+4,"00"),"")&amp;IF($C394&gt;=6,", "&amp;$A394&amp;"-"&amp;TEXT(($D394-$C394+1)+5,"00"),"")&amp;IF($C394&gt;=7,", "&amp;$A394&amp;"-"&amp;TEXT(($D394-$C394+1)+6,"00"),"")&amp;IF($C394&gt;=8,", "&amp;$A394&amp;"-"&amp;TEXT(($D394-$C394+1)+7,"00"),"")&amp;IF($C394&gt;=9,", "&amp;$A394&amp;"-"&amp;TEXT(($D394-$C394+1)+8,"00"),"")&amp;IF($C394&gt;=10,", "&amp;$A394&amp;"-"&amp;TEXT(($D394-$C394+1)+9,"00"),"")&amp;IF($C394&gt;=11,", "&amp;$A394&amp;"-"&amp;TEXT(($D394-$C394+1)+10,"00"),"")&amp;IF($C394&gt;=12,", "&amp;$A394&amp;"-"&amp;TEXT(($D394-$C394+1)+11,"00"),"")&amp;IF($C394&gt;=13,", "&amp;$A394&amp;"-"&amp;TEXT(($D394-$C394+1)+12,"00"),"")&amp;IF($C394&gt;=14,", "&amp;$A394&amp;"-"&amp;TEXT(($D394-$C394+1)+13,"00"),"")&amp;IF($C394&gt;=15,", "&amp;$A394&amp;"-"&amp;TEXT(($D394-$C394+1)+14,"00"),"")&amp;IF($C394&gt;=16,", "&amp;$A394&amp;"-"&amp;TEXT(($D394-$C394+1)+15,"00"),"")&amp;IF($C394&gt;=17,", "&amp;$A394&amp;"-"&amp;TEXT(($D394-$C394+1)+16,"00"),"")&amp;IF($C394&gt;=18,", "&amp;$A394&amp;"-"&amp;TEXT(($D394-$C394+1)+17,"00"),"")&amp;IF($C394&gt;=19,", "&amp;$A394&amp;"-"&amp;TEXT(($D394-$C394+1)+18,"00"),"")&amp;IF($C394&gt;=20,", "&amp;$A394&amp;"-"&amp;TEXT(($D394-$C394+1)+19,"00"),"")&amp;IF($C394&gt;=21,", "&amp;$A394&amp;"-"&amp;TEXT(($D394-$C394+1)+20,"00"),"")&amp;IF($C394&gt;=22,", "&amp;$A394&amp;"-"&amp;TEXT(($D394-$C394+1)+21,"00"),"")&amp;IF($C394&gt;=23,", "&amp;$A394&amp;"-"&amp;TEXT(($D394-$C394+1)+22,"00"),"")&amp;IF($C394&gt;=24,", "&amp;$A394&amp;"-"&amp;TEXT(($D394-$C394+1)+23,"00"),"")&amp;IF($C394&gt;=25,", "&amp;$A394&amp;"-"&amp;TEXT(($D394-$C394+1)+24,"00"),""))</f>
        <v/>
      </c>
      <c r="G394">
        <f>IF($A394="","",IF($E394=1,$F394,IF($F394="",$G393,IF($G393="",$F394,$G393&amp;", "&amp;$F394))))</f>
        <v/>
      </c>
      <c r="H394">
        <f>IF($A394="","",$A394&amp;" ("&amp;$C394&amp;")")</f>
        <v/>
      </c>
      <c r="I394">
        <f>IF($A394="","",IF($E394=1,$H394,$I393&amp;", "&amp;$H394))</f>
        <v/>
      </c>
      <c r="J394">
        <f>IF($A394="","",IF($E394=1,$B394,""))</f>
        <v/>
      </c>
      <c r="K394">
        <f>IF($A394="","",IF(COUNTIF($B$2:$B394,$B394)=COUNTIF($B$2:$B$1601,$B394),$B394,""))</f>
        <v/>
      </c>
    </row>
    <row r="395">
      <c r="A395">
        <f>IF('TMP Paste'!$E395="","",'TMP Paste'!$E395)</f>
        <v/>
      </c>
      <c r="B395">
        <f>IF($A395="","",COUNTIF('TMP Paste'!$B$2:$B395,"?*"))</f>
        <v/>
      </c>
      <c r="C395">
        <f>IF($A395="","",IFERROR('TMP Paste'!$M395*1,0))</f>
        <v/>
      </c>
      <c r="D395">
        <f>IF($A395="","",SUMIF($B$2:$B395,$B395,$C$2:$C395))</f>
        <v/>
      </c>
      <c r="E395">
        <f>IF($A395="",0,IF('TMP Paste'!$B395="",0,1))</f>
        <v/>
      </c>
      <c r="F395">
        <f>IF(OR($A395="",$C395&lt;1),"",$A395&amp;"-"&amp;TEXT(($D395-$C395+1),"00")&amp;IF($C395&gt;=2,", "&amp;$A395&amp;"-"&amp;TEXT(($D395-$C395+1)+1,"00"),"")&amp;IF($C395&gt;=3,", "&amp;$A395&amp;"-"&amp;TEXT(($D395-$C395+1)+2,"00"),"")&amp;IF($C395&gt;=4,", "&amp;$A395&amp;"-"&amp;TEXT(($D395-$C395+1)+3,"00"),"")&amp;IF($C395&gt;=5,", "&amp;$A395&amp;"-"&amp;TEXT(($D395-$C395+1)+4,"00"),"")&amp;IF($C395&gt;=6,", "&amp;$A395&amp;"-"&amp;TEXT(($D395-$C395+1)+5,"00"),"")&amp;IF($C395&gt;=7,", "&amp;$A395&amp;"-"&amp;TEXT(($D395-$C395+1)+6,"00"),"")&amp;IF($C395&gt;=8,", "&amp;$A395&amp;"-"&amp;TEXT(($D395-$C395+1)+7,"00"),"")&amp;IF($C395&gt;=9,", "&amp;$A395&amp;"-"&amp;TEXT(($D395-$C395+1)+8,"00"),"")&amp;IF($C395&gt;=10,", "&amp;$A395&amp;"-"&amp;TEXT(($D395-$C395+1)+9,"00"),"")&amp;IF($C395&gt;=11,", "&amp;$A395&amp;"-"&amp;TEXT(($D395-$C395+1)+10,"00"),"")&amp;IF($C395&gt;=12,", "&amp;$A395&amp;"-"&amp;TEXT(($D395-$C395+1)+11,"00"),"")&amp;IF($C395&gt;=13,", "&amp;$A395&amp;"-"&amp;TEXT(($D395-$C395+1)+12,"00"),"")&amp;IF($C395&gt;=14,", "&amp;$A395&amp;"-"&amp;TEXT(($D395-$C395+1)+13,"00"),"")&amp;IF($C395&gt;=15,", "&amp;$A395&amp;"-"&amp;TEXT(($D395-$C395+1)+14,"00"),"")&amp;IF($C395&gt;=16,", "&amp;$A395&amp;"-"&amp;TEXT(($D395-$C395+1)+15,"00"),"")&amp;IF($C395&gt;=17,", "&amp;$A395&amp;"-"&amp;TEXT(($D395-$C395+1)+16,"00"),"")&amp;IF($C395&gt;=18,", "&amp;$A395&amp;"-"&amp;TEXT(($D395-$C395+1)+17,"00"),"")&amp;IF($C395&gt;=19,", "&amp;$A395&amp;"-"&amp;TEXT(($D395-$C395+1)+18,"00"),"")&amp;IF($C395&gt;=20,", "&amp;$A395&amp;"-"&amp;TEXT(($D395-$C395+1)+19,"00"),"")&amp;IF($C395&gt;=21,", "&amp;$A395&amp;"-"&amp;TEXT(($D395-$C395+1)+20,"00"),"")&amp;IF($C395&gt;=22,", "&amp;$A395&amp;"-"&amp;TEXT(($D395-$C395+1)+21,"00"),"")&amp;IF($C395&gt;=23,", "&amp;$A395&amp;"-"&amp;TEXT(($D395-$C395+1)+22,"00"),"")&amp;IF($C395&gt;=24,", "&amp;$A395&amp;"-"&amp;TEXT(($D395-$C395+1)+23,"00"),"")&amp;IF($C395&gt;=25,", "&amp;$A395&amp;"-"&amp;TEXT(($D395-$C395+1)+24,"00"),""))</f>
        <v/>
      </c>
      <c r="G395">
        <f>IF($A395="","",IF($E395=1,$F395,IF($F395="",$G394,IF($G394="",$F395,$G394&amp;", "&amp;$F395))))</f>
        <v/>
      </c>
      <c r="H395">
        <f>IF($A395="","",$A395&amp;" ("&amp;$C395&amp;")")</f>
        <v/>
      </c>
      <c r="I395">
        <f>IF($A395="","",IF($E395=1,$H395,$I394&amp;", "&amp;$H395))</f>
        <v/>
      </c>
      <c r="J395">
        <f>IF($A395="","",IF($E395=1,$B395,""))</f>
        <v/>
      </c>
      <c r="K395">
        <f>IF($A395="","",IF(COUNTIF($B$2:$B395,$B395)=COUNTIF($B$2:$B$1601,$B395),$B395,""))</f>
        <v/>
      </c>
    </row>
    <row r="396">
      <c r="A396">
        <f>IF('TMP Paste'!$E396="","",'TMP Paste'!$E396)</f>
        <v/>
      </c>
      <c r="B396">
        <f>IF($A396="","",COUNTIF('TMP Paste'!$B$2:$B396,"?*"))</f>
        <v/>
      </c>
      <c r="C396">
        <f>IF($A396="","",IFERROR('TMP Paste'!$M396*1,0))</f>
        <v/>
      </c>
      <c r="D396">
        <f>IF($A396="","",SUMIF($B$2:$B396,$B396,$C$2:$C396))</f>
        <v/>
      </c>
      <c r="E396">
        <f>IF($A396="",0,IF('TMP Paste'!$B396="",0,1))</f>
        <v/>
      </c>
      <c r="F396">
        <f>IF(OR($A396="",$C396&lt;1),"",$A396&amp;"-"&amp;TEXT(($D396-$C396+1),"00")&amp;IF($C396&gt;=2,", "&amp;$A396&amp;"-"&amp;TEXT(($D396-$C396+1)+1,"00"),"")&amp;IF($C396&gt;=3,", "&amp;$A396&amp;"-"&amp;TEXT(($D396-$C396+1)+2,"00"),"")&amp;IF($C396&gt;=4,", "&amp;$A396&amp;"-"&amp;TEXT(($D396-$C396+1)+3,"00"),"")&amp;IF($C396&gt;=5,", "&amp;$A396&amp;"-"&amp;TEXT(($D396-$C396+1)+4,"00"),"")&amp;IF($C396&gt;=6,", "&amp;$A396&amp;"-"&amp;TEXT(($D396-$C396+1)+5,"00"),"")&amp;IF($C396&gt;=7,", "&amp;$A396&amp;"-"&amp;TEXT(($D396-$C396+1)+6,"00"),"")&amp;IF($C396&gt;=8,", "&amp;$A396&amp;"-"&amp;TEXT(($D396-$C396+1)+7,"00"),"")&amp;IF($C396&gt;=9,", "&amp;$A396&amp;"-"&amp;TEXT(($D396-$C396+1)+8,"00"),"")&amp;IF($C396&gt;=10,", "&amp;$A396&amp;"-"&amp;TEXT(($D396-$C396+1)+9,"00"),"")&amp;IF($C396&gt;=11,", "&amp;$A396&amp;"-"&amp;TEXT(($D396-$C396+1)+10,"00"),"")&amp;IF($C396&gt;=12,", "&amp;$A396&amp;"-"&amp;TEXT(($D396-$C396+1)+11,"00"),"")&amp;IF($C396&gt;=13,", "&amp;$A396&amp;"-"&amp;TEXT(($D396-$C396+1)+12,"00"),"")&amp;IF($C396&gt;=14,", "&amp;$A396&amp;"-"&amp;TEXT(($D396-$C396+1)+13,"00"),"")&amp;IF($C396&gt;=15,", "&amp;$A396&amp;"-"&amp;TEXT(($D396-$C396+1)+14,"00"),"")&amp;IF($C396&gt;=16,", "&amp;$A396&amp;"-"&amp;TEXT(($D396-$C396+1)+15,"00"),"")&amp;IF($C396&gt;=17,", "&amp;$A396&amp;"-"&amp;TEXT(($D396-$C396+1)+16,"00"),"")&amp;IF($C396&gt;=18,", "&amp;$A396&amp;"-"&amp;TEXT(($D396-$C396+1)+17,"00"),"")&amp;IF($C396&gt;=19,", "&amp;$A396&amp;"-"&amp;TEXT(($D396-$C396+1)+18,"00"),"")&amp;IF($C396&gt;=20,", "&amp;$A396&amp;"-"&amp;TEXT(($D396-$C396+1)+19,"00"),"")&amp;IF($C396&gt;=21,", "&amp;$A396&amp;"-"&amp;TEXT(($D396-$C396+1)+20,"00"),"")&amp;IF($C396&gt;=22,", "&amp;$A396&amp;"-"&amp;TEXT(($D396-$C396+1)+21,"00"),"")&amp;IF($C396&gt;=23,", "&amp;$A396&amp;"-"&amp;TEXT(($D396-$C396+1)+22,"00"),"")&amp;IF($C396&gt;=24,", "&amp;$A396&amp;"-"&amp;TEXT(($D396-$C396+1)+23,"00"),"")&amp;IF($C396&gt;=25,", "&amp;$A396&amp;"-"&amp;TEXT(($D396-$C396+1)+24,"00"),""))</f>
        <v/>
      </c>
      <c r="G396">
        <f>IF($A396="","",IF($E396=1,$F396,IF($F396="",$G395,IF($G395="",$F396,$G395&amp;", "&amp;$F396))))</f>
        <v/>
      </c>
      <c r="H396">
        <f>IF($A396="","",$A396&amp;" ("&amp;$C396&amp;")")</f>
        <v/>
      </c>
      <c r="I396">
        <f>IF($A396="","",IF($E396=1,$H396,$I395&amp;", "&amp;$H396))</f>
        <v/>
      </c>
      <c r="J396">
        <f>IF($A396="","",IF($E396=1,$B396,""))</f>
        <v/>
      </c>
      <c r="K396">
        <f>IF($A396="","",IF(COUNTIF($B$2:$B396,$B396)=COUNTIF($B$2:$B$1601,$B396),$B396,""))</f>
        <v/>
      </c>
    </row>
    <row r="397">
      <c r="A397">
        <f>IF('TMP Paste'!$E397="","",'TMP Paste'!$E397)</f>
        <v/>
      </c>
      <c r="B397">
        <f>IF($A397="","",COUNTIF('TMP Paste'!$B$2:$B397,"?*"))</f>
        <v/>
      </c>
      <c r="C397">
        <f>IF($A397="","",IFERROR('TMP Paste'!$M397*1,0))</f>
        <v/>
      </c>
      <c r="D397">
        <f>IF($A397="","",SUMIF($B$2:$B397,$B397,$C$2:$C397))</f>
        <v/>
      </c>
      <c r="E397">
        <f>IF($A397="",0,IF('TMP Paste'!$B397="",0,1))</f>
        <v/>
      </c>
      <c r="F397">
        <f>IF(OR($A397="",$C397&lt;1),"",$A397&amp;"-"&amp;TEXT(($D397-$C397+1),"00")&amp;IF($C397&gt;=2,", "&amp;$A397&amp;"-"&amp;TEXT(($D397-$C397+1)+1,"00"),"")&amp;IF($C397&gt;=3,", "&amp;$A397&amp;"-"&amp;TEXT(($D397-$C397+1)+2,"00"),"")&amp;IF($C397&gt;=4,", "&amp;$A397&amp;"-"&amp;TEXT(($D397-$C397+1)+3,"00"),"")&amp;IF($C397&gt;=5,", "&amp;$A397&amp;"-"&amp;TEXT(($D397-$C397+1)+4,"00"),"")&amp;IF($C397&gt;=6,", "&amp;$A397&amp;"-"&amp;TEXT(($D397-$C397+1)+5,"00"),"")&amp;IF($C397&gt;=7,", "&amp;$A397&amp;"-"&amp;TEXT(($D397-$C397+1)+6,"00"),"")&amp;IF($C397&gt;=8,", "&amp;$A397&amp;"-"&amp;TEXT(($D397-$C397+1)+7,"00"),"")&amp;IF($C397&gt;=9,", "&amp;$A397&amp;"-"&amp;TEXT(($D397-$C397+1)+8,"00"),"")&amp;IF($C397&gt;=10,", "&amp;$A397&amp;"-"&amp;TEXT(($D397-$C397+1)+9,"00"),"")&amp;IF($C397&gt;=11,", "&amp;$A397&amp;"-"&amp;TEXT(($D397-$C397+1)+10,"00"),"")&amp;IF($C397&gt;=12,", "&amp;$A397&amp;"-"&amp;TEXT(($D397-$C397+1)+11,"00"),"")&amp;IF($C397&gt;=13,", "&amp;$A397&amp;"-"&amp;TEXT(($D397-$C397+1)+12,"00"),"")&amp;IF($C397&gt;=14,", "&amp;$A397&amp;"-"&amp;TEXT(($D397-$C397+1)+13,"00"),"")&amp;IF($C397&gt;=15,", "&amp;$A397&amp;"-"&amp;TEXT(($D397-$C397+1)+14,"00"),"")&amp;IF($C397&gt;=16,", "&amp;$A397&amp;"-"&amp;TEXT(($D397-$C397+1)+15,"00"),"")&amp;IF($C397&gt;=17,", "&amp;$A397&amp;"-"&amp;TEXT(($D397-$C397+1)+16,"00"),"")&amp;IF($C397&gt;=18,", "&amp;$A397&amp;"-"&amp;TEXT(($D397-$C397+1)+17,"00"),"")&amp;IF($C397&gt;=19,", "&amp;$A397&amp;"-"&amp;TEXT(($D397-$C397+1)+18,"00"),"")&amp;IF($C397&gt;=20,", "&amp;$A397&amp;"-"&amp;TEXT(($D397-$C397+1)+19,"00"),"")&amp;IF($C397&gt;=21,", "&amp;$A397&amp;"-"&amp;TEXT(($D397-$C397+1)+20,"00"),"")&amp;IF($C397&gt;=22,", "&amp;$A397&amp;"-"&amp;TEXT(($D397-$C397+1)+21,"00"),"")&amp;IF($C397&gt;=23,", "&amp;$A397&amp;"-"&amp;TEXT(($D397-$C397+1)+22,"00"),"")&amp;IF($C397&gt;=24,", "&amp;$A397&amp;"-"&amp;TEXT(($D397-$C397+1)+23,"00"),"")&amp;IF($C397&gt;=25,", "&amp;$A397&amp;"-"&amp;TEXT(($D397-$C397+1)+24,"00"),""))</f>
        <v/>
      </c>
      <c r="G397">
        <f>IF($A397="","",IF($E397=1,$F397,IF($F397="",$G396,IF($G396="",$F397,$G396&amp;", "&amp;$F397))))</f>
        <v/>
      </c>
      <c r="H397">
        <f>IF($A397="","",$A397&amp;" ("&amp;$C397&amp;")")</f>
        <v/>
      </c>
      <c r="I397">
        <f>IF($A397="","",IF($E397=1,$H397,$I396&amp;", "&amp;$H397))</f>
        <v/>
      </c>
      <c r="J397">
        <f>IF($A397="","",IF($E397=1,$B397,""))</f>
        <v/>
      </c>
      <c r="K397">
        <f>IF($A397="","",IF(COUNTIF($B$2:$B397,$B397)=COUNTIF($B$2:$B$1601,$B397),$B397,""))</f>
        <v/>
      </c>
    </row>
    <row r="398">
      <c r="A398">
        <f>IF('TMP Paste'!$E398="","",'TMP Paste'!$E398)</f>
        <v/>
      </c>
      <c r="B398">
        <f>IF($A398="","",COUNTIF('TMP Paste'!$B$2:$B398,"?*"))</f>
        <v/>
      </c>
      <c r="C398">
        <f>IF($A398="","",IFERROR('TMP Paste'!$M398*1,0))</f>
        <v/>
      </c>
      <c r="D398">
        <f>IF($A398="","",SUMIF($B$2:$B398,$B398,$C$2:$C398))</f>
        <v/>
      </c>
      <c r="E398">
        <f>IF($A398="",0,IF('TMP Paste'!$B398="",0,1))</f>
        <v/>
      </c>
      <c r="F398">
        <f>IF(OR($A398="",$C398&lt;1),"",$A398&amp;"-"&amp;TEXT(($D398-$C398+1),"00")&amp;IF($C398&gt;=2,", "&amp;$A398&amp;"-"&amp;TEXT(($D398-$C398+1)+1,"00"),"")&amp;IF($C398&gt;=3,", "&amp;$A398&amp;"-"&amp;TEXT(($D398-$C398+1)+2,"00"),"")&amp;IF($C398&gt;=4,", "&amp;$A398&amp;"-"&amp;TEXT(($D398-$C398+1)+3,"00"),"")&amp;IF($C398&gt;=5,", "&amp;$A398&amp;"-"&amp;TEXT(($D398-$C398+1)+4,"00"),"")&amp;IF($C398&gt;=6,", "&amp;$A398&amp;"-"&amp;TEXT(($D398-$C398+1)+5,"00"),"")&amp;IF($C398&gt;=7,", "&amp;$A398&amp;"-"&amp;TEXT(($D398-$C398+1)+6,"00"),"")&amp;IF($C398&gt;=8,", "&amp;$A398&amp;"-"&amp;TEXT(($D398-$C398+1)+7,"00"),"")&amp;IF($C398&gt;=9,", "&amp;$A398&amp;"-"&amp;TEXT(($D398-$C398+1)+8,"00"),"")&amp;IF($C398&gt;=10,", "&amp;$A398&amp;"-"&amp;TEXT(($D398-$C398+1)+9,"00"),"")&amp;IF($C398&gt;=11,", "&amp;$A398&amp;"-"&amp;TEXT(($D398-$C398+1)+10,"00"),"")&amp;IF($C398&gt;=12,", "&amp;$A398&amp;"-"&amp;TEXT(($D398-$C398+1)+11,"00"),"")&amp;IF($C398&gt;=13,", "&amp;$A398&amp;"-"&amp;TEXT(($D398-$C398+1)+12,"00"),"")&amp;IF($C398&gt;=14,", "&amp;$A398&amp;"-"&amp;TEXT(($D398-$C398+1)+13,"00"),"")&amp;IF($C398&gt;=15,", "&amp;$A398&amp;"-"&amp;TEXT(($D398-$C398+1)+14,"00"),"")&amp;IF($C398&gt;=16,", "&amp;$A398&amp;"-"&amp;TEXT(($D398-$C398+1)+15,"00"),"")&amp;IF($C398&gt;=17,", "&amp;$A398&amp;"-"&amp;TEXT(($D398-$C398+1)+16,"00"),"")&amp;IF($C398&gt;=18,", "&amp;$A398&amp;"-"&amp;TEXT(($D398-$C398+1)+17,"00"),"")&amp;IF($C398&gt;=19,", "&amp;$A398&amp;"-"&amp;TEXT(($D398-$C398+1)+18,"00"),"")&amp;IF($C398&gt;=20,", "&amp;$A398&amp;"-"&amp;TEXT(($D398-$C398+1)+19,"00"),"")&amp;IF($C398&gt;=21,", "&amp;$A398&amp;"-"&amp;TEXT(($D398-$C398+1)+20,"00"),"")&amp;IF($C398&gt;=22,", "&amp;$A398&amp;"-"&amp;TEXT(($D398-$C398+1)+21,"00"),"")&amp;IF($C398&gt;=23,", "&amp;$A398&amp;"-"&amp;TEXT(($D398-$C398+1)+22,"00"),"")&amp;IF($C398&gt;=24,", "&amp;$A398&amp;"-"&amp;TEXT(($D398-$C398+1)+23,"00"),"")&amp;IF($C398&gt;=25,", "&amp;$A398&amp;"-"&amp;TEXT(($D398-$C398+1)+24,"00"),""))</f>
        <v/>
      </c>
      <c r="G398">
        <f>IF($A398="","",IF($E398=1,$F398,IF($F398="",$G397,IF($G397="",$F398,$G397&amp;", "&amp;$F398))))</f>
        <v/>
      </c>
      <c r="H398">
        <f>IF($A398="","",$A398&amp;" ("&amp;$C398&amp;")")</f>
        <v/>
      </c>
      <c r="I398">
        <f>IF($A398="","",IF($E398=1,$H398,$I397&amp;", "&amp;$H398))</f>
        <v/>
      </c>
      <c r="J398">
        <f>IF($A398="","",IF($E398=1,$B398,""))</f>
        <v/>
      </c>
      <c r="K398">
        <f>IF($A398="","",IF(COUNTIF($B$2:$B398,$B398)=COUNTIF($B$2:$B$1601,$B398),$B398,""))</f>
        <v/>
      </c>
    </row>
    <row r="399">
      <c r="A399">
        <f>IF('TMP Paste'!$E399="","",'TMP Paste'!$E399)</f>
        <v/>
      </c>
      <c r="B399">
        <f>IF($A399="","",COUNTIF('TMP Paste'!$B$2:$B399,"?*"))</f>
        <v/>
      </c>
      <c r="C399">
        <f>IF($A399="","",IFERROR('TMP Paste'!$M399*1,0))</f>
        <v/>
      </c>
      <c r="D399">
        <f>IF($A399="","",SUMIF($B$2:$B399,$B399,$C$2:$C399))</f>
        <v/>
      </c>
      <c r="E399">
        <f>IF($A399="",0,IF('TMP Paste'!$B399="",0,1))</f>
        <v/>
      </c>
      <c r="F399">
        <f>IF(OR($A399="",$C399&lt;1),"",$A399&amp;"-"&amp;TEXT(($D399-$C399+1),"00")&amp;IF($C399&gt;=2,", "&amp;$A399&amp;"-"&amp;TEXT(($D399-$C399+1)+1,"00"),"")&amp;IF($C399&gt;=3,", "&amp;$A399&amp;"-"&amp;TEXT(($D399-$C399+1)+2,"00"),"")&amp;IF($C399&gt;=4,", "&amp;$A399&amp;"-"&amp;TEXT(($D399-$C399+1)+3,"00"),"")&amp;IF($C399&gt;=5,", "&amp;$A399&amp;"-"&amp;TEXT(($D399-$C399+1)+4,"00"),"")&amp;IF($C399&gt;=6,", "&amp;$A399&amp;"-"&amp;TEXT(($D399-$C399+1)+5,"00"),"")&amp;IF($C399&gt;=7,", "&amp;$A399&amp;"-"&amp;TEXT(($D399-$C399+1)+6,"00"),"")&amp;IF($C399&gt;=8,", "&amp;$A399&amp;"-"&amp;TEXT(($D399-$C399+1)+7,"00"),"")&amp;IF($C399&gt;=9,", "&amp;$A399&amp;"-"&amp;TEXT(($D399-$C399+1)+8,"00"),"")&amp;IF($C399&gt;=10,", "&amp;$A399&amp;"-"&amp;TEXT(($D399-$C399+1)+9,"00"),"")&amp;IF($C399&gt;=11,", "&amp;$A399&amp;"-"&amp;TEXT(($D399-$C399+1)+10,"00"),"")&amp;IF($C399&gt;=12,", "&amp;$A399&amp;"-"&amp;TEXT(($D399-$C399+1)+11,"00"),"")&amp;IF($C399&gt;=13,", "&amp;$A399&amp;"-"&amp;TEXT(($D399-$C399+1)+12,"00"),"")&amp;IF($C399&gt;=14,", "&amp;$A399&amp;"-"&amp;TEXT(($D399-$C399+1)+13,"00"),"")&amp;IF($C399&gt;=15,", "&amp;$A399&amp;"-"&amp;TEXT(($D399-$C399+1)+14,"00"),"")&amp;IF($C399&gt;=16,", "&amp;$A399&amp;"-"&amp;TEXT(($D399-$C399+1)+15,"00"),"")&amp;IF($C399&gt;=17,", "&amp;$A399&amp;"-"&amp;TEXT(($D399-$C399+1)+16,"00"),"")&amp;IF($C399&gt;=18,", "&amp;$A399&amp;"-"&amp;TEXT(($D399-$C399+1)+17,"00"),"")&amp;IF($C399&gt;=19,", "&amp;$A399&amp;"-"&amp;TEXT(($D399-$C399+1)+18,"00"),"")&amp;IF($C399&gt;=20,", "&amp;$A399&amp;"-"&amp;TEXT(($D399-$C399+1)+19,"00"),"")&amp;IF($C399&gt;=21,", "&amp;$A399&amp;"-"&amp;TEXT(($D399-$C399+1)+20,"00"),"")&amp;IF($C399&gt;=22,", "&amp;$A399&amp;"-"&amp;TEXT(($D399-$C399+1)+21,"00"),"")&amp;IF($C399&gt;=23,", "&amp;$A399&amp;"-"&amp;TEXT(($D399-$C399+1)+22,"00"),"")&amp;IF($C399&gt;=24,", "&amp;$A399&amp;"-"&amp;TEXT(($D399-$C399+1)+23,"00"),"")&amp;IF($C399&gt;=25,", "&amp;$A399&amp;"-"&amp;TEXT(($D399-$C399+1)+24,"00"),""))</f>
        <v/>
      </c>
      <c r="G399">
        <f>IF($A399="","",IF($E399=1,$F399,IF($F399="",$G398,IF($G398="",$F399,$G398&amp;", "&amp;$F399))))</f>
        <v/>
      </c>
      <c r="H399">
        <f>IF($A399="","",$A399&amp;" ("&amp;$C399&amp;")")</f>
        <v/>
      </c>
      <c r="I399">
        <f>IF($A399="","",IF($E399=1,$H399,$I398&amp;", "&amp;$H399))</f>
        <v/>
      </c>
      <c r="J399">
        <f>IF($A399="","",IF($E399=1,$B399,""))</f>
        <v/>
      </c>
      <c r="K399">
        <f>IF($A399="","",IF(COUNTIF($B$2:$B399,$B399)=COUNTIF($B$2:$B$1601,$B399),$B399,""))</f>
        <v/>
      </c>
    </row>
    <row r="400">
      <c r="A400">
        <f>IF('TMP Paste'!$E400="","",'TMP Paste'!$E400)</f>
        <v/>
      </c>
      <c r="B400">
        <f>IF($A400="","",COUNTIF('TMP Paste'!$B$2:$B400,"?*"))</f>
        <v/>
      </c>
      <c r="C400">
        <f>IF($A400="","",IFERROR('TMP Paste'!$M400*1,0))</f>
        <v/>
      </c>
      <c r="D400">
        <f>IF($A400="","",SUMIF($B$2:$B400,$B400,$C$2:$C400))</f>
        <v/>
      </c>
      <c r="E400">
        <f>IF($A400="",0,IF('TMP Paste'!$B400="",0,1))</f>
        <v/>
      </c>
      <c r="F400">
        <f>IF(OR($A400="",$C400&lt;1),"",$A400&amp;"-"&amp;TEXT(($D400-$C400+1),"00")&amp;IF($C400&gt;=2,", "&amp;$A400&amp;"-"&amp;TEXT(($D400-$C400+1)+1,"00"),"")&amp;IF($C400&gt;=3,", "&amp;$A400&amp;"-"&amp;TEXT(($D400-$C400+1)+2,"00"),"")&amp;IF($C400&gt;=4,", "&amp;$A400&amp;"-"&amp;TEXT(($D400-$C400+1)+3,"00"),"")&amp;IF($C400&gt;=5,", "&amp;$A400&amp;"-"&amp;TEXT(($D400-$C400+1)+4,"00"),"")&amp;IF($C400&gt;=6,", "&amp;$A400&amp;"-"&amp;TEXT(($D400-$C400+1)+5,"00"),"")&amp;IF($C400&gt;=7,", "&amp;$A400&amp;"-"&amp;TEXT(($D400-$C400+1)+6,"00"),"")&amp;IF($C400&gt;=8,", "&amp;$A400&amp;"-"&amp;TEXT(($D400-$C400+1)+7,"00"),"")&amp;IF($C400&gt;=9,", "&amp;$A400&amp;"-"&amp;TEXT(($D400-$C400+1)+8,"00"),"")&amp;IF($C400&gt;=10,", "&amp;$A400&amp;"-"&amp;TEXT(($D400-$C400+1)+9,"00"),"")&amp;IF($C400&gt;=11,", "&amp;$A400&amp;"-"&amp;TEXT(($D400-$C400+1)+10,"00"),"")&amp;IF($C400&gt;=12,", "&amp;$A400&amp;"-"&amp;TEXT(($D400-$C400+1)+11,"00"),"")&amp;IF($C400&gt;=13,", "&amp;$A400&amp;"-"&amp;TEXT(($D400-$C400+1)+12,"00"),"")&amp;IF($C400&gt;=14,", "&amp;$A400&amp;"-"&amp;TEXT(($D400-$C400+1)+13,"00"),"")&amp;IF($C400&gt;=15,", "&amp;$A400&amp;"-"&amp;TEXT(($D400-$C400+1)+14,"00"),"")&amp;IF($C400&gt;=16,", "&amp;$A400&amp;"-"&amp;TEXT(($D400-$C400+1)+15,"00"),"")&amp;IF($C400&gt;=17,", "&amp;$A400&amp;"-"&amp;TEXT(($D400-$C400+1)+16,"00"),"")&amp;IF($C400&gt;=18,", "&amp;$A400&amp;"-"&amp;TEXT(($D400-$C400+1)+17,"00"),"")&amp;IF($C400&gt;=19,", "&amp;$A400&amp;"-"&amp;TEXT(($D400-$C400+1)+18,"00"),"")&amp;IF($C400&gt;=20,", "&amp;$A400&amp;"-"&amp;TEXT(($D400-$C400+1)+19,"00"),"")&amp;IF($C400&gt;=21,", "&amp;$A400&amp;"-"&amp;TEXT(($D400-$C400+1)+20,"00"),"")&amp;IF($C400&gt;=22,", "&amp;$A400&amp;"-"&amp;TEXT(($D400-$C400+1)+21,"00"),"")&amp;IF($C400&gt;=23,", "&amp;$A400&amp;"-"&amp;TEXT(($D400-$C400+1)+22,"00"),"")&amp;IF($C400&gt;=24,", "&amp;$A400&amp;"-"&amp;TEXT(($D400-$C400+1)+23,"00"),"")&amp;IF($C400&gt;=25,", "&amp;$A400&amp;"-"&amp;TEXT(($D400-$C400+1)+24,"00"),""))</f>
        <v/>
      </c>
      <c r="G400">
        <f>IF($A400="","",IF($E400=1,$F400,IF($F400="",$G399,IF($G399="",$F400,$G399&amp;", "&amp;$F400))))</f>
        <v/>
      </c>
      <c r="H400">
        <f>IF($A400="","",$A400&amp;" ("&amp;$C400&amp;")")</f>
        <v/>
      </c>
      <c r="I400">
        <f>IF($A400="","",IF($E400=1,$H400,$I399&amp;", "&amp;$H400))</f>
        <v/>
      </c>
      <c r="J400">
        <f>IF($A400="","",IF($E400=1,$B400,""))</f>
        <v/>
      </c>
      <c r="K400">
        <f>IF($A400="","",IF(COUNTIF($B$2:$B400,$B400)=COUNTIF($B$2:$B$1601,$B400),$B400,""))</f>
        <v/>
      </c>
    </row>
    <row r="401">
      <c r="A401">
        <f>IF('TMP Paste'!$E401="","",'TMP Paste'!$E401)</f>
        <v/>
      </c>
      <c r="B401">
        <f>IF($A401="","",COUNTIF('TMP Paste'!$B$2:$B401,"?*"))</f>
        <v/>
      </c>
      <c r="C401">
        <f>IF($A401="","",IFERROR('TMP Paste'!$M401*1,0))</f>
        <v/>
      </c>
      <c r="D401">
        <f>IF($A401="","",SUMIF($B$2:$B401,$B401,$C$2:$C401))</f>
        <v/>
      </c>
      <c r="E401">
        <f>IF($A401="",0,IF('TMP Paste'!$B401="",0,1))</f>
        <v/>
      </c>
      <c r="F401">
        <f>IF(OR($A401="",$C401&lt;1),"",$A401&amp;"-"&amp;TEXT(($D401-$C401+1),"00")&amp;IF($C401&gt;=2,", "&amp;$A401&amp;"-"&amp;TEXT(($D401-$C401+1)+1,"00"),"")&amp;IF($C401&gt;=3,", "&amp;$A401&amp;"-"&amp;TEXT(($D401-$C401+1)+2,"00"),"")&amp;IF($C401&gt;=4,", "&amp;$A401&amp;"-"&amp;TEXT(($D401-$C401+1)+3,"00"),"")&amp;IF($C401&gt;=5,", "&amp;$A401&amp;"-"&amp;TEXT(($D401-$C401+1)+4,"00"),"")&amp;IF($C401&gt;=6,", "&amp;$A401&amp;"-"&amp;TEXT(($D401-$C401+1)+5,"00"),"")&amp;IF($C401&gt;=7,", "&amp;$A401&amp;"-"&amp;TEXT(($D401-$C401+1)+6,"00"),"")&amp;IF($C401&gt;=8,", "&amp;$A401&amp;"-"&amp;TEXT(($D401-$C401+1)+7,"00"),"")&amp;IF($C401&gt;=9,", "&amp;$A401&amp;"-"&amp;TEXT(($D401-$C401+1)+8,"00"),"")&amp;IF($C401&gt;=10,", "&amp;$A401&amp;"-"&amp;TEXT(($D401-$C401+1)+9,"00"),"")&amp;IF($C401&gt;=11,", "&amp;$A401&amp;"-"&amp;TEXT(($D401-$C401+1)+10,"00"),"")&amp;IF($C401&gt;=12,", "&amp;$A401&amp;"-"&amp;TEXT(($D401-$C401+1)+11,"00"),"")&amp;IF($C401&gt;=13,", "&amp;$A401&amp;"-"&amp;TEXT(($D401-$C401+1)+12,"00"),"")&amp;IF($C401&gt;=14,", "&amp;$A401&amp;"-"&amp;TEXT(($D401-$C401+1)+13,"00"),"")&amp;IF($C401&gt;=15,", "&amp;$A401&amp;"-"&amp;TEXT(($D401-$C401+1)+14,"00"),"")&amp;IF($C401&gt;=16,", "&amp;$A401&amp;"-"&amp;TEXT(($D401-$C401+1)+15,"00"),"")&amp;IF($C401&gt;=17,", "&amp;$A401&amp;"-"&amp;TEXT(($D401-$C401+1)+16,"00"),"")&amp;IF($C401&gt;=18,", "&amp;$A401&amp;"-"&amp;TEXT(($D401-$C401+1)+17,"00"),"")&amp;IF($C401&gt;=19,", "&amp;$A401&amp;"-"&amp;TEXT(($D401-$C401+1)+18,"00"),"")&amp;IF($C401&gt;=20,", "&amp;$A401&amp;"-"&amp;TEXT(($D401-$C401+1)+19,"00"),"")&amp;IF($C401&gt;=21,", "&amp;$A401&amp;"-"&amp;TEXT(($D401-$C401+1)+20,"00"),"")&amp;IF($C401&gt;=22,", "&amp;$A401&amp;"-"&amp;TEXT(($D401-$C401+1)+21,"00"),"")&amp;IF($C401&gt;=23,", "&amp;$A401&amp;"-"&amp;TEXT(($D401-$C401+1)+22,"00"),"")&amp;IF($C401&gt;=24,", "&amp;$A401&amp;"-"&amp;TEXT(($D401-$C401+1)+23,"00"),"")&amp;IF($C401&gt;=25,", "&amp;$A401&amp;"-"&amp;TEXT(($D401-$C401+1)+24,"00"),""))</f>
        <v/>
      </c>
      <c r="G401">
        <f>IF($A401="","",IF($E401=1,$F401,IF($F401="",$G400,IF($G400="",$F401,$G400&amp;", "&amp;$F401))))</f>
        <v/>
      </c>
      <c r="H401">
        <f>IF($A401="","",$A401&amp;" ("&amp;$C401&amp;")")</f>
        <v/>
      </c>
      <c r="I401">
        <f>IF($A401="","",IF($E401=1,$H401,$I400&amp;", "&amp;$H401))</f>
        <v/>
      </c>
      <c r="J401">
        <f>IF($A401="","",IF($E401=1,$B401,""))</f>
        <v/>
      </c>
      <c r="K401">
        <f>IF($A401="","",IF(COUNTIF($B$2:$B401,$B401)=COUNTIF($B$2:$B$1601,$B401),$B401,""))</f>
        <v/>
      </c>
    </row>
    <row r="402">
      <c r="A402">
        <f>IF('TMP Paste'!$E402="","",'TMP Paste'!$E402)</f>
        <v/>
      </c>
      <c r="B402">
        <f>IF($A402="","",COUNTIF('TMP Paste'!$B$2:$B402,"?*"))</f>
        <v/>
      </c>
      <c r="C402">
        <f>IF($A402="","",IFERROR('TMP Paste'!$M402*1,0))</f>
        <v/>
      </c>
      <c r="D402">
        <f>IF($A402="","",SUMIF($B$2:$B402,$B402,$C$2:$C402))</f>
        <v/>
      </c>
      <c r="E402">
        <f>IF($A402="",0,IF('TMP Paste'!$B402="",0,1))</f>
        <v/>
      </c>
      <c r="F402">
        <f>IF(OR($A402="",$C402&lt;1),"",$A402&amp;"-"&amp;TEXT(($D402-$C402+1),"00")&amp;IF($C402&gt;=2,", "&amp;$A402&amp;"-"&amp;TEXT(($D402-$C402+1)+1,"00"),"")&amp;IF($C402&gt;=3,", "&amp;$A402&amp;"-"&amp;TEXT(($D402-$C402+1)+2,"00"),"")&amp;IF($C402&gt;=4,", "&amp;$A402&amp;"-"&amp;TEXT(($D402-$C402+1)+3,"00"),"")&amp;IF($C402&gt;=5,", "&amp;$A402&amp;"-"&amp;TEXT(($D402-$C402+1)+4,"00"),"")&amp;IF($C402&gt;=6,", "&amp;$A402&amp;"-"&amp;TEXT(($D402-$C402+1)+5,"00"),"")&amp;IF($C402&gt;=7,", "&amp;$A402&amp;"-"&amp;TEXT(($D402-$C402+1)+6,"00"),"")&amp;IF($C402&gt;=8,", "&amp;$A402&amp;"-"&amp;TEXT(($D402-$C402+1)+7,"00"),"")&amp;IF($C402&gt;=9,", "&amp;$A402&amp;"-"&amp;TEXT(($D402-$C402+1)+8,"00"),"")&amp;IF($C402&gt;=10,", "&amp;$A402&amp;"-"&amp;TEXT(($D402-$C402+1)+9,"00"),"")&amp;IF($C402&gt;=11,", "&amp;$A402&amp;"-"&amp;TEXT(($D402-$C402+1)+10,"00"),"")&amp;IF($C402&gt;=12,", "&amp;$A402&amp;"-"&amp;TEXT(($D402-$C402+1)+11,"00"),"")&amp;IF($C402&gt;=13,", "&amp;$A402&amp;"-"&amp;TEXT(($D402-$C402+1)+12,"00"),"")&amp;IF($C402&gt;=14,", "&amp;$A402&amp;"-"&amp;TEXT(($D402-$C402+1)+13,"00"),"")&amp;IF($C402&gt;=15,", "&amp;$A402&amp;"-"&amp;TEXT(($D402-$C402+1)+14,"00"),"")&amp;IF($C402&gt;=16,", "&amp;$A402&amp;"-"&amp;TEXT(($D402-$C402+1)+15,"00"),"")&amp;IF($C402&gt;=17,", "&amp;$A402&amp;"-"&amp;TEXT(($D402-$C402+1)+16,"00"),"")&amp;IF($C402&gt;=18,", "&amp;$A402&amp;"-"&amp;TEXT(($D402-$C402+1)+17,"00"),"")&amp;IF($C402&gt;=19,", "&amp;$A402&amp;"-"&amp;TEXT(($D402-$C402+1)+18,"00"),"")&amp;IF($C402&gt;=20,", "&amp;$A402&amp;"-"&amp;TEXT(($D402-$C402+1)+19,"00"),"")&amp;IF($C402&gt;=21,", "&amp;$A402&amp;"-"&amp;TEXT(($D402-$C402+1)+20,"00"),"")&amp;IF($C402&gt;=22,", "&amp;$A402&amp;"-"&amp;TEXT(($D402-$C402+1)+21,"00"),"")&amp;IF($C402&gt;=23,", "&amp;$A402&amp;"-"&amp;TEXT(($D402-$C402+1)+22,"00"),"")&amp;IF($C402&gt;=24,", "&amp;$A402&amp;"-"&amp;TEXT(($D402-$C402+1)+23,"00"),"")&amp;IF($C402&gt;=25,", "&amp;$A402&amp;"-"&amp;TEXT(($D402-$C402+1)+24,"00"),""))</f>
        <v/>
      </c>
      <c r="G402">
        <f>IF($A402="","",IF($E402=1,$F402,IF($F402="",$G401,IF($G401="",$F402,$G401&amp;", "&amp;$F402))))</f>
        <v/>
      </c>
      <c r="H402">
        <f>IF($A402="","",$A402&amp;" ("&amp;$C402&amp;")")</f>
        <v/>
      </c>
      <c r="I402">
        <f>IF($A402="","",IF($E402=1,$H402,$I401&amp;", "&amp;$H402))</f>
        <v/>
      </c>
      <c r="J402">
        <f>IF($A402="","",IF($E402=1,$B402,""))</f>
        <v/>
      </c>
      <c r="K402">
        <f>IF($A402="","",IF(COUNTIF($B$2:$B402,$B402)=COUNTIF($B$2:$B$1601,$B402),$B402,""))</f>
        <v/>
      </c>
    </row>
    <row r="403">
      <c r="A403">
        <f>IF('TMP Paste'!$E403="","",'TMP Paste'!$E403)</f>
        <v/>
      </c>
      <c r="B403">
        <f>IF($A403="","",COUNTIF('TMP Paste'!$B$2:$B403,"?*"))</f>
        <v/>
      </c>
      <c r="C403">
        <f>IF($A403="","",IFERROR('TMP Paste'!$M403*1,0))</f>
        <v/>
      </c>
      <c r="D403">
        <f>IF($A403="","",SUMIF($B$2:$B403,$B403,$C$2:$C403))</f>
        <v/>
      </c>
      <c r="E403">
        <f>IF($A403="",0,IF('TMP Paste'!$B403="",0,1))</f>
        <v/>
      </c>
      <c r="F403">
        <f>IF(OR($A403="",$C403&lt;1),"",$A403&amp;"-"&amp;TEXT(($D403-$C403+1),"00")&amp;IF($C403&gt;=2,", "&amp;$A403&amp;"-"&amp;TEXT(($D403-$C403+1)+1,"00"),"")&amp;IF($C403&gt;=3,", "&amp;$A403&amp;"-"&amp;TEXT(($D403-$C403+1)+2,"00"),"")&amp;IF($C403&gt;=4,", "&amp;$A403&amp;"-"&amp;TEXT(($D403-$C403+1)+3,"00"),"")&amp;IF($C403&gt;=5,", "&amp;$A403&amp;"-"&amp;TEXT(($D403-$C403+1)+4,"00"),"")&amp;IF($C403&gt;=6,", "&amp;$A403&amp;"-"&amp;TEXT(($D403-$C403+1)+5,"00"),"")&amp;IF($C403&gt;=7,", "&amp;$A403&amp;"-"&amp;TEXT(($D403-$C403+1)+6,"00"),"")&amp;IF($C403&gt;=8,", "&amp;$A403&amp;"-"&amp;TEXT(($D403-$C403+1)+7,"00"),"")&amp;IF($C403&gt;=9,", "&amp;$A403&amp;"-"&amp;TEXT(($D403-$C403+1)+8,"00"),"")&amp;IF($C403&gt;=10,", "&amp;$A403&amp;"-"&amp;TEXT(($D403-$C403+1)+9,"00"),"")&amp;IF($C403&gt;=11,", "&amp;$A403&amp;"-"&amp;TEXT(($D403-$C403+1)+10,"00"),"")&amp;IF($C403&gt;=12,", "&amp;$A403&amp;"-"&amp;TEXT(($D403-$C403+1)+11,"00"),"")&amp;IF($C403&gt;=13,", "&amp;$A403&amp;"-"&amp;TEXT(($D403-$C403+1)+12,"00"),"")&amp;IF($C403&gt;=14,", "&amp;$A403&amp;"-"&amp;TEXT(($D403-$C403+1)+13,"00"),"")&amp;IF($C403&gt;=15,", "&amp;$A403&amp;"-"&amp;TEXT(($D403-$C403+1)+14,"00"),"")&amp;IF($C403&gt;=16,", "&amp;$A403&amp;"-"&amp;TEXT(($D403-$C403+1)+15,"00"),"")&amp;IF($C403&gt;=17,", "&amp;$A403&amp;"-"&amp;TEXT(($D403-$C403+1)+16,"00"),"")&amp;IF($C403&gt;=18,", "&amp;$A403&amp;"-"&amp;TEXT(($D403-$C403+1)+17,"00"),"")&amp;IF($C403&gt;=19,", "&amp;$A403&amp;"-"&amp;TEXT(($D403-$C403+1)+18,"00"),"")&amp;IF($C403&gt;=20,", "&amp;$A403&amp;"-"&amp;TEXT(($D403-$C403+1)+19,"00"),"")&amp;IF($C403&gt;=21,", "&amp;$A403&amp;"-"&amp;TEXT(($D403-$C403+1)+20,"00"),"")&amp;IF($C403&gt;=22,", "&amp;$A403&amp;"-"&amp;TEXT(($D403-$C403+1)+21,"00"),"")&amp;IF($C403&gt;=23,", "&amp;$A403&amp;"-"&amp;TEXT(($D403-$C403+1)+22,"00"),"")&amp;IF($C403&gt;=24,", "&amp;$A403&amp;"-"&amp;TEXT(($D403-$C403+1)+23,"00"),"")&amp;IF($C403&gt;=25,", "&amp;$A403&amp;"-"&amp;TEXT(($D403-$C403+1)+24,"00"),""))</f>
        <v/>
      </c>
      <c r="G403">
        <f>IF($A403="","",IF($E403=1,$F403,IF($F403="",$G402,IF($G402="",$F403,$G402&amp;", "&amp;$F403))))</f>
        <v/>
      </c>
      <c r="H403">
        <f>IF($A403="","",$A403&amp;" ("&amp;$C403&amp;")")</f>
        <v/>
      </c>
      <c r="I403">
        <f>IF($A403="","",IF($E403=1,$H403,$I402&amp;", "&amp;$H403))</f>
        <v/>
      </c>
      <c r="J403">
        <f>IF($A403="","",IF($E403=1,$B403,""))</f>
        <v/>
      </c>
      <c r="K403">
        <f>IF($A403="","",IF(COUNTIF($B$2:$B403,$B403)=COUNTIF($B$2:$B$1601,$B403),$B403,""))</f>
        <v/>
      </c>
    </row>
    <row r="404">
      <c r="A404">
        <f>IF('TMP Paste'!$E404="","",'TMP Paste'!$E404)</f>
        <v/>
      </c>
      <c r="B404">
        <f>IF($A404="","",COUNTIF('TMP Paste'!$B$2:$B404,"?*"))</f>
        <v/>
      </c>
      <c r="C404">
        <f>IF($A404="","",IFERROR('TMP Paste'!$M404*1,0))</f>
        <v/>
      </c>
      <c r="D404">
        <f>IF($A404="","",SUMIF($B$2:$B404,$B404,$C$2:$C404))</f>
        <v/>
      </c>
      <c r="E404">
        <f>IF($A404="",0,IF('TMP Paste'!$B404="",0,1))</f>
        <v/>
      </c>
      <c r="F404">
        <f>IF(OR($A404="",$C404&lt;1),"",$A404&amp;"-"&amp;TEXT(($D404-$C404+1),"00")&amp;IF($C404&gt;=2,", "&amp;$A404&amp;"-"&amp;TEXT(($D404-$C404+1)+1,"00"),"")&amp;IF($C404&gt;=3,", "&amp;$A404&amp;"-"&amp;TEXT(($D404-$C404+1)+2,"00"),"")&amp;IF($C404&gt;=4,", "&amp;$A404&amp;"-"&amp;TEXT(($D404-$C404+1)+3,"00"),"")&amp;IF($C404&gt;=5,", "&amp;$A404&amp;"-"&amp;TEXT(($D404-$C404+1)+4,"00"),"")&amp;IF($C404&gt;=6,", "&amp;$A404&amp;"-"&amp;TEXT(($D404-$C404+1)+5,"00"),"")&amp;IF($C404&gt;=7,", "&amp;$A404&amp;"-"&amp;TEXT(($D404-$C404+1)+6,"00"),"")&amp;IF($C404&gt;=8,", "&amp;$A404&amp;"-"&amp;TEXT(($D404-$C404+1)+7,"00"),"")&amp;IF($C404&gt;=9,", "&amp;$A404&amp;"-"&amp;TEXT(($D404-$C404+1)+8,"00"),"")&amp;IF($C404&gt;=10,", "&amp;$A404&amp;"-"&amp;TEXT(($D404-$C404+1)+9,"00"),"")&amp;IF($C404&gt;=11,", "&amp;$A404&amp;"-"&amp;TEXT(($D404-$C404+1)+10,"00"),"")&amp;IF($C404&gt;=12,", "&amp;$A404&amp;"-"&amp;TEXT(($D404-$C404+1)+11,"00"),"")&amp;IF($C404&gt;=13,", "&amp;$A404&amp;"-"&amp;TEXT(($D404-$C404+1)+12,"00"),"")&amp;IF($C404&gt;=14,", "&amp;$A404&amp;"-"&amp;TEXT(($D404-$C404+1)+13,"00"),"")&amp;IF($C404&gt;=15,", "&amp;$A404&amp;"-"&amp;TEXT(($D404-$C404+1)+14,"00"),"")&amp;IF($C404&gt;=16,", "&amp;$A404&amp;"-"&amp;TEXT(($D404-$C404+1)+15,"00"),"")&amp;IF($C404&gt;=17,", "&amp;$A404&amp;"-"&amp;TEXT(($D404-$C404+1)+16,"00"),"")&amp;IF($C404&gt;=18,", "&amp;$A404&amp;"-"&amp;TEXT(($D404-$C404+1)+17,"00"),"")&amp;IF($C404&gt;=19,", "&amp;$A404&amp;"-"&amp;TEXT(($D404-$C404+1)+18,"00"),"")&amp;IF($C404&gt;=20,", "&amp;$A404&amp;"-"&amp;TEXT(($D404-$C404+1)+19,"00"),"")&amp;IF($C404&gt;=21,", "&amp;$A404&amp;"-"&amp;TEXT(($D404-$C404+1)+20,"00"),"")&amp;IF($C404&gt;=22,", "&amp;$A404&amp;"-"&amp;TEXT(($D404-$C404+1)+21,"00"),"")&amp;IF($C404&gt;=23,", "&amp;$A404&amp;"-"&amp;TEXT(($D404-$C404+1)+22,"00"),"")&amp;IF($C404&gt;=24,", "&amp;$A404&amp;"-"&amp;TEXT(($D404-$C404+1)+23,"00"),"")&amp;IF($C404&gt;=25,", "&amp;$A404&amp;"-"&amp;TEXT(($D404-$C404+1)+24,"00"),""))</f>
        <v/>
      </c>
      <c r="G404">
        <f>IF($A404="","",IF($E404=1,$F404,IF($F404="",$G403,IF($G403="",$F404,$G403&amp;", "&amp;$F404))))</f>
        <v/>
      </c>
      <c r="H404">
        <f>IF($A404="","",$A404&amp;" ("&amp;$C404&amp;")")</f>
        <v/>
      </c>
      <c r="I404">
        <f>IF($A404="","",IF($E404=1,$H404,$I403&amp;", "&amp;$H404))</f>
        <v/>
      </c>
      <c r="J404">
        <f>IF($A404="","",IF($E404=1,$B404,""))</f>
        <v/>
      </c>
      <c r="K404">
        <f>IF($A404="","",IF(COUNTIF($B$2:$B404,$B404)=COUNTIF($B$2:$B$1601,$B404),$B404,""))</f>
        <v/>
      </c>
    </row>
    <row r="405">
      <c r="A405">
        <f>IF('TMP Paste'!$E405="","",'TMP Paste'!$E405)</f>
        <v/>
      </c>
      <c r="B405">
        <f>IF($A405="","",COUNTIF('TMP Paste'!$B$2:$B405,"?*"))</f>
        <v/>
      </c>
      <c r="C405">
        <f>IF($A405="","",IFERROR('TMP Paste'!$M405*1,0))</f>
        <v/>
      </c>
      <c r="D405">
        <f>IF($A405="","",SUMIF($B$2:$B405,$B405,$C$2:$C405))</f>
        <v/>
      </c>
      <c r="E405">
        <f>IF($A405="",0,IF('TMP Paste'!$B405="",0,1))</f>
        <v/>
      </c>
      <c r="F405">
        <f>IF(OR($A405="",$C405&lt;1),"",$A405&amp;"-"&amp;TEXT(($D405-$C405+1),"00")&amp;IF($C405&gt;=2,", "&amp;$A405&amp;"-"&amp;TEXT(($D405-$C405+1)+1,"00"),"")&amp;IF($C405&gt;=3,", "&amp;$A405&amp;"-"&amp;TEXT(($D405-$C405+1)+2,"00"),"")&amp;IF($C405&gt;=4,", "&amp;$A405&amp;"-"&amp;TEXT(($D405-$C405+1)+3,"00"),"")&amp;IF($C405&gt;=5,", "&amp;$A405&amp;"-"&amp;TEXT(($D405-$C405+1)+4,"00"),"")&amp;IF($C405&gt;=6,", "&amp;$A405&amp;"-"&amp;TEXT(($D405-$C405+1)+5,"00"),"")&amp;IF($C405&gt;=7,", "&amp;$A405&amp;"-"&amp;TEXT(($D405-$C405+1)+6,"00"),"")&amp;IF($C405&gt;=8,", "&amp;$A405&amp;"-"&amp;TEXT(($D405-$C405+1)+7,"00"),"")&amp;IF($C405&gt;=9,", "&amp;$A405&amp;"-"&amp;TEXT(($D405-$C405+1)+8,"00"),"")&amp;IF($C405&gt;=10,", "&amp;$A405&amp;"-"&amp;TEXT(($D405-$C405+1)+9,"00"),"")&amp;IF($C405&gt;=11,", "&amp;$A405&amp;"-"&amp;TEXT(($D405-$C405+1)+10,"00"),"")&amp;IF($C405&gt;=12,", "&amp;$A405&amp;"-"&amp;TEXT(($D405-$C405+1)+11,"00"),"")&amp;IF($C405&gt;=13,", "&amp;$A405&amp;"-"&amp;TEXT(($D405-$C405+1)+12,"00"),"")&amp;IF($C405&gt;=14,", "&amp;$A405&amp;"-"&amp;TEXT(($D405-$C405+1)+13,"00"),"")&amp;IF($C405&gt;=15,", "&amp;$A405&amp;"-"&amp;TEXT(($D405-$C405+1)+14,"00"),"")&amp;IF($C405&gt;=16,", "&amp;$A405&amp;"-"&amp;TEXT(($D405-$C405+1)+15,"00"),"")&amp;IF($C405&gt;=17,", "&amp;$A405&amp;"-"&amp;TEXT(($D405-$C405+1)+16,"00"),"")&amp;IF($C405&gt;=18,", "&amp;$A405&amp;"-"&amp;TEXT(($D405-$C405+1)+17,"00"),"")&amp;IF($C405&gt;=19,", "&amp;$A405&amp;"-"&amp;TEXT(($D405-$C405+1)+18,"00"),"")&amp;IF($C405&gt;=20,", "&amp;$A405&amp;"-"&amp;TEXT(($D405-$C405+1)+19,"00"),"")&amp;IF($C405&gt;=21,", "&amp;$A405&amp;"-"&amp;TEXT(($D405-$C405+1)+20,"00"),"")&amp;IF($C405&gt;=22,", "&amp;$A405&amp;"-"&amp;TEXT(($D405-$C405+1)+21,"00"),"")&amp;IF($C405&gt;=23,", "&amp;$A405&amp;"-"&amp;TEXT(($D405-$C405+1)+22,"00"),"")&amp;IF($C405&gt;=24,", "&amp;$A405&amp;"-"&amp;TEXT(($D405-$C405+1)+23,"00"),"")&amp;IF($C405&gt;=25,", "&amp;$A405&amp;"-"&amp;TEXT(($D405-$C405+1)+24,"00"),""))</f>
        <v/>
      </c>
      <c r="G405">
        <f>IF($A405="","",IF($E405=1,$F405,IF($F405="",$G404,IF($G404="",$F405,$G404&amp;", "&amp;$F405))))</f>
        <v/>
      </c>
      <c r="H405">
        <f>IF($A405="","",$A405&amp;" ("&amp;$C405&amp;")")</f>
        <v/>
      </c>
      <c r="I405">
        <f>IF($A405="","",IF($E405=1,$H405,$I404&amp;", "&amp;$H405))</f>
        <v/>
      </c>
      <c r="J405">
        <f>IF($A405="","",IF($E405=1,$B405,""))</f>
        <v/>
      </c>
      <c r="K405">
        <f>IF($A405="","",IF(COUNTIF($B$2:$B405,$B405)=COUNTIF($B$2:$B$1601,$B405),$B405,""))</f>
        <v/>
      </c>
    </row>
    <row r="406">
      <c r="A406">
        <f>IF('TMP Paste'!$E406="","",'TMP Paste'!$E406)</f>
        <v/>
      </c>
      <c r="B406">
        <f>IF($A406="","",COUNTIF('TMP Paste'!$B$2:$B406,"?*"))</f>
        <v/>
      </c>
      <c r="C406">
        <f>IF($A406="","",IFERROR('TMP Paste'!$M406*1,0))</f>
        <v/>
      </c>
      <c r="D406">
        <f>IF($A406="","",SUMIF($B$2:$B406,$B406,$C$2:$C406))</f>
        <v/>
      </c>
      <c r="E406">
        <f>IF($A406="",0,IF('TMP Paste'!$B406="",0,1))</f>
        <v/>
      </c>
      <c r="F406">
        <f>IF(OR($A406="",$C406&lt;1),"",$A406&amp;"-"&amp;TEXT(($D406-$C406+1),"00")&amp;IF($C406&gt;=2,", "&amp;$A406&amp;"-"&amp;TEXT(($D406-$C406+1)+1,"00"),"")&amp;IF($C406&gt;=3,", "&amp;$A406&amp;"-"&amp;TEXT(($D406-$C406+1)+2,"00"),"")&amp;IF($C406&gt;=4,", "&amp;$A406&amp;"-"&amp;TEXT(($D406-$C406+1)+3,"00"),"")&amp;IF($C406&gt;=5,", "&amp;$A406&amp;"-"&amp;TEXT(($D406-$C406+1)+4,"00"),"")&amp;IF($C406&gt;=6,", "&amp;$A406&amp;"-"&amp;TEXT(($D406-$C406+1)+5,"00"),"")&amp;IF($C406&gt;=7,", "&amp;$A406&amp;"-"&amp;TEXT(($D406-$C406+1)+6,"00"),"")&amp;IF($C406&gt;=8,", "&amp;$A406&amp;"-"&amp;TEXT(($D406-$C406+1)+7,"00"),"")&amp;IF($C406&gt;=9,", "&amp;$A406&amp;"-"&amp;TEXT(($D406-$C406+1)+8,"00"),"")&amp;IF($C406&gt;=10,", "&amp;$A406&amp;"-"&amp;TEXT(($D406-$C406+1)+9,"00"),"")&amp;IF($C406&gt;=11,", "&amp;$A406&amp;"-"&amp;TEXT(($D406-$C406+1)+10,"00"),"")&amp;IF($C406&gt;=12,", "&amp;$A406&amp;"-"&amp;TEXT(($D406-$C406+1)+11,"00"),"")&amp;IF($C406&gt;=13,", "&amp;$A406&amp;"-"&amp;TEXT(($D406-$C406+1)+12,"00"),"")&amp;IF($C406&gt;=14,", "&amp;$A406&amp;"-"&amp;TEXT(($D406-$C406+1)+13,"00"),"")&amp;IF($C406&gt;=15,", "&amp;$A406&amp;"-"&amp;TEXT(($D406-$C406+1)+14,"00"),"")&amp;IF($C406&gt;=16,", "&amp;$A406&amp;"-"&amp;TEXT(($D406-$C406+1)+15,"00"),"")&amp;IF($C406&gt;=17,", "&amp;$A406&amp;"-"&amp;TEXT(($D406-$C406+1)+16,"00"),"")&amp;IF($C406&gt;=18,", "&amp;$A406&amp;"-"&amp;TEXT(($D406-$C406+1)+17,"00"),"")&amp;IF($C406&gt;=19,", "&amp;$A406&amp;"-"&amp;TEXT(($D406-$C406+1)+18,"00"),"")&amp;IF($C406&gt;=20,", "&amp;$A406&amp;"-"&amp;TEXT(($D406-$C406+1)+19,"00"),"")&amp;IF($C406&gt;=21,", "&amp;$A406&amp;"-"&amp;TEXT(($D406-$C406+1)+20,"00"),"")&amp;IF($C406&gt;=22,", "&amp;$A406&amp;"-"&amp;TEXT(($D406-$C406+1)+21,"00"),"")&amp;IF($C406&gt;=23,", "&amp;$A406&amp;"-"&amp;TEXT(($D406-$C406+1)+22,"00"),"")&amp;IF($C406&gt;=24,", "&amp;$A406&amp;"-"&amp;TEXT(($D406-$C406+1)+23,"00"),"")&amp;IF($C406&gt;=25,", "&amp;$A406&amp;"-"&amp;TEXT(($D406-$C406+1)+24,"00"),""))</f>
        <v/>
      </c>
      <c r="G406">
        <f>IF($A406="","",IF($E406=1,$F406,IF($F406="",$G405,IF($G405="",$F406,$G405&amp;", "&amp;$F406))))</f>
        <v/>
      </c>
      <c r="H406">
        <f>IF($A406="","",$A406&amp;" ("&amp;$C406&amp;")")</f>
        <v/>
      </c>
      <c r="I406">
        <f>IF($A406="","",IF($E406=1,$H406,$I405&amp;", "&amp;$H406))</f>
        <v/>
      </c>
      <c r="J406">
        <f>IF($A406="","",IF($E406=1,$B406,""))</f>
        <v/>
      </c>
      <c r="K406">
        <f>IF($A406="","",IF(COUNTIF($B$2:$B406,$B406)=COUNTIF($B$2:$B$1601,$B406),$B406,""))</f>
        <v/>
      </c>
    </row>
    <row r="407">
      <c r="A407">
        <f>IF('TMP Paste'!$E407="","",'TMP Paste'!$E407)</f>
        <v/>
      </c>
      <c r="B407">
        <f>IF($A407="","",COUNTIF('TMP Paste'!$B$2:$B407,"?*"))</f>
        <v/>
      </c>
      <c r="C407">
        <f>IF($A407="","",IFERROR('TMP Paste'!$M407*1,0))</f>
        <v/>
      </c>
      <c r="D407">
        <f>IF($A407="","",SUMIF($B$2:$B407,$B407,$C$2:$C407))</f>
        <v/>
      </c>
      <c r="E407">
        <f>IF($A407="",0,IF('TMP Paste'!$B407="",0,1))</f>
        <v/>
      </c>
      <c r="F407">
        <f>IF(OR($A407="",$C407&lt;1),"",$A407&amp;"-"&amp;TEXT(($D407-$C407+1),"00")&amp;IF($C407&gt;=2,", "&amp;$A407&amp;"-"&amp;TEXT(($D407-$C407+1)+1,"00"),"")&amp;IF($C407&gt;=3,", "&amp;$A407&amp;"-"&amp;TEXT(($D407-$C407+1)+2,"00"),"")&amp;IF($C407&gt;=4,", "&amp;$A407&amp;"-"&amp;TEXT(($D407-$C407+1)+3,"00"),"")&amp;IF($C407&gt;=5,", "&amp;$A407&amp;"-"&amp;TEXT(($D407-$C407+1)+4,"00"),"")&amp;IF($C407&gt;=6,", "&amp;$A407&amp;"-"&amp;TEXT(($D407-$C407+1)+5,"00"),"")&amp;IF($C407&gt;=7,", "&amp;$A407&amp;"-"&amp;TEXT(($D407-$C407+1)+6,"00"),"")&amp;IF($C407&gt;=8,", "&amp;$A407&amp;"-"&amp;TEXT(($D407-$C407+1)+7,"00"),"")&amp;IF($C407&gt;=9,", "&amp;$A407&amp;"-"&amp;TEXT(($D407-$C407+1)+8,"00"),"")&amp;IF($C407&gt;=10,", "&amp;$A407&amp;"-"&amp;TEXT(($D407-$C407+1)+9,"00"),"")&amp;IF($C407&gt;=11,", "&amp;$A407&amp;"-"&amp;TEXT(($D407-$C407+1)+10,"00"),"")&amp;IF($C407&gt;=12,", "&amp;$A407&amp;"-"&amp;TEXT(($D407-$C407+1)+11,"00"),"")&amp;IF($C407&gt;=13,", "&amp;$A407&amp;"-"&amp;TEXT(($D407-$C407+1)+12,"00"),"")&amp;IF($C407&gt;=14,", "&amp;$A407&amp;"-"&amp;TEXT(($D407-$C407+1)+13,"00"),"")&amp;IF($C407&gt;=15,", "&amp;$A407&amp;"-"&amp;TEXT(($D407-$C407+1)+14,"00"),"")&amp;IF($C407&gt;=16,", "&amp;$A407&amp;"-"&amp;TEXT(($D407-$C407+1)+15,"00"),"")&amp;IF($C407&gt;=17,", "&amp;$A407&amp;"-"&amp;TEXT(($D407-$C407+1)+16,"00"),"")&amp;IF($C407&gt;=18,", "&amp;$A407&amp;"-"&amp;TEXT(($D407-$C407+1)+17,"00"),"")&amp;IF($C407&gt;=19,", "&amp;$A407&amp;"-"&amp;TEXT(($D407-$C407+1)+18,"00"),"")&amp;IF($C407&gt;=20,", "&amp;$A407&amp;"-"&amp;TEXT(($D407-$C407+1)+19,"00"),"")&amp;IF($C407&gt;=21,", "&amp;$A407&amp;"-"&amp;TEXT(($D407-$C407+1)+20,"00"),"")&amp;IF($C407&gt;=22,", "&amp;$A407&amp;"-"&amp;TEXT(($D407-$C407+1)+21,"00"),"")&amp;IF($C407&gt;=23,", "&amp;$A407&amp;"-"&amp;TEXT(($D407-$C407+1)+22,"00"),"")&amp;IF($C407&gt;=24,", "&amp;$A407&amp;"-"&amp;TEXT(($D407-$C407+1)+23,"00"),"")&amp;IF($C407&gt;=25,", "&amp;$A407&amp;"-"&amp;TEXT(($D407-$C407+1)+24,"00"),""))</f>
        <v/>
      </c>
      <c r="G407">
        <f>IF($A407="","",IF($E407=1,$F407,IF($F407="",$G406,IF($G406="",$F407,$G406&amp;", "&amp;$F407))))</f>
        <v/>
      </c>
      <c r="H407">
        <f>IF($A407="","",$A407&amp;" ("&amp;$C407&amp;")")</f>
        <v/>
      </c>
      <c r="I407">
        <f>IF($A407="","",IF($E407=1,$H407,$I406&amp;", "&amp;$H407))</f>
        <v/>
      </c>
      <c r="J407">
        <f>IF($A407="","",IF($E407=1,$B407,""))</f>
        <v/>
      </c>
      <c r="K407">
        <f>IF($A407="","",IF(COUNTIF($B$2:$B407,$B407)=COUNTIF($B$2:$B$1601,$B407),$B407,""))</f>
        <v/>
      </c>
    </row>
    <row r="408">
      <c r="A408">
        <f>IF('TMP Paste'!$E408="","",'TMP Paste'!$E408)</f>
        <v/>
      </c>
      <c r="B408">
        <f>IF($A408="","",COUNTIF('TMP Paste'!$B$2:$B408,"?*"))</f>
        <v/>
      </c>
      <c r="C408">
        <f>IF($A408="","",IFERROR('TMP Paste'!$M408*1,0))</f>
        <v/>
      </c>
      <c r="D408">
        <f>IF($A408="","",SUMIF($B$2:$B408,$B408,$C$2:$C408))</f>
        <v/>
      </c>
      <c r="E408">
        <f>IF($A408="",0,IF('TMP Paste'!$B408="",0,1))</f>
        <v/>
      </c>
      <c r="F408">
        <f>IF(OR($A408="",$C408&lt;1),"",$A408&amp;"-"&amp;TEXT(($D408-$C408+1),"00")&amp;IF($C408&gt;=2,", "&amp;$A408&amp;"-"&amp;TEXT(($D408-$C408+1)+1,"00"),"")&amp;IF($C408&gt;=3,", "&amp;$A408&amp;"-"&amp;TEXT(($D408-$C408+1)+2,"00"),"")&amp;IF($C408&gt;=4,", "&amp;$A408&amp;"-"&amp;TEXT(($D408-$C408+1)+3,"00"),"")&amp;IF($C408&gt;=5,", "&amp;$A408&amp;"-"&amp;TEXT(($D408-$C408+1)+4,"00"),"")&amp;IF($C408&gt;=6,", "&amp;$A408&amp;"-"&amp;TEXT(($D408-$C408+1)+5,"00"),"")&amp;IF($C408&gt;=7,", "&amp;$A408&amp;"-"&amp;TEXT(($D408-$C408+1)+6,"00"),"")&amp;IF($C408&gt;=8,", "&amp;$A408&amp;"-"&amp;TEXT(($D408-$C408+1)+7,"00"),"")&amp;IF($C408&gt;=9,", "&amp;$A408&amp;"-"&amp;TEXT(($D408-$C408+1)+8,"00"),"")&amp;IF($C408&gt;=10,", "&amp;$A408&amp;"-"&amp;TEXT(($D408-$C408+1)+9,"00"),"")&amp;IF($C408&gt;=11,", "&amp;$A408&amp;"-"&amp;TEXT(($D408-$C408+1)+10,"00"),"")&amp;IF($C408&gt;=12,", "&amp;$A408&amp;"-"&amp;TEXT(($D408-$C408+1)+11,"00"),"")&amp;IF($C408&gt;=13,", "&amp;$A408&amp;"-"&amp;TEXT(($D408-$C408+1)+12,"00"),"")&amp;IF($C408&gt;=14,", "&amp;$A408&amp;"-"&amp;TEXT(($D408-$C408+1)+13,"00"),"")&amp;IF($C408&gt;=15,", "&amp;$A408&amp;"-"&amp;TEXT(($D408-$C408+1)+14,"00"),"")&amp;IF($C408&gt;=16,", "&amp;$A408&amp;"-"&amp;TEXT(($D408-$C408+1)+15,"00"),"")&amp;IF($C408&gt;=17,", "&amp;$A408&amp;"-"&amp;TEXT(($D408-$C408+1)+16,"00"),"")&amp;IF($C408&gt;=18,", "&amp;$A408&amp;"-"&amp;TEXT(($D408-$C408+1)+17,"00"),"")&amp;IF($C408&gt;=19,", "&amp;$A408&amp;"-"&amp;TEXT(($D408-$C408+1)+18,"00"),"")&amp;IF($C408&gt;=20,", "&amp;$A408&amp;"-"&amp;TEXT(($D408-$C408+1)+19,"00"),"")&amp;IF($C408&gt;=21,", "&amp;$A408&amp;"-"&amp;TEXT(($D408-$C408+1)+20,"00"),"")&amp;IF($C408&gt;=22,", "&amp;$A408&amp;"-"&amp;TEXT(($D408-$C408+1)+21,"00"),"")&amp;IF($C408&gt;=23,", "&amp;$A408&amp;"-"&amp;TEXT(($D408-$C408+1)+22,"00"),"")&amp;IF($C408&gt;=24,", "&amp;$A408&amp;"-"&amp;TEXT(($D408-$C408+1)+23,"00"),"")&amp;IF($C408&gt;=25,", "&amp;$A408&amp;"-"&amp;TEXT(($D408-$C408+1)+24,"00"),""))</f>
        <v/>
      </c>
      <c r="G408">
        <f>IF($A408="","",IF($E408=1,$F408,IF($F408="",$G407,IF($G407="",$F408,$G407&amp;", "&amp;$F408))))</f>
        <v/>
      </c>
      <c r="H408">
        <f>IF($A408="","",$A408&amp;" ("&amp;$C408&amp;")")</f>
        <v/>
      </c>
      <c r="I408">
        <f>IF($A408="","",IF($E408=1,$H408,$I407&amp;", "&amp;$H408))</f>
        <v/>
      </c>
      <c r="J408">
        <f>IF($A408="","",IF($E408=1,$B408,""))</f>
        <v/>
      </c>
      <c r="K408">
        <f>IF($A408="","",IF(COUNTIF($B$2:$B408,$B408)=COUNTIF($B$2:$B$1601,$B408),$B408,""))</f>
        <v/>
      </c>
    </row>
    <row r="409">
      <c r="A409">
        <f>IF('TMP Paste'!$E409="","",'TMP Paste'!$E409)</f>
        <v/>
      </c>
      <c r="B409">
        <f>IF($A409="","",COUNTIF('TMP Paste'!$B$2:$B409,"?*"))</f>
        <v/>
      </c>
      <c r="C409">
        <f>IF($A409="","",IFERROR('TMP Paste'!$M409*1,0))</f>
        <v/>
      </c>
      <c r="D409">
        <f>IF($A409="","",SUMIF($B$2:$B409,$B409,$C$2:$C409))</f>
        <v/>
      </c>
      <c r="E409">
        <f>IF($A409="",0,IF('TMP Paste'!$B409="",0,1))</f>
        <v/>
      </c>
      <c r="F409">
        <f>IF(OR($A409="",$C409&lt;1),"",$A409&amp;"-"&amp;TEXT(($D409-$C409+1),"00")&amp;IF($C409&gt;=2,", "&amp;$A409&amp;"-"&amp;TEXT(($D409-$C409+1)+1,"00"),"")&amp;IF($C409&gt;=3,", "&amp;$A409&amp;"-"&amp;TEXT(($D409-$C409+1)+2,"00"),"")&amp;IF($C409&gt;=4,", "&amp;$A409&amp;"-"&amp;TEXT(($D409-$C409+1)+3,"00"),"")&amp;IF($C409&gt;=5,", "&amp;$A409&amp;"-"&amp;TEXT(($D409-$C409+1)+4,"00"),"")&amp;IF($C409&gt;=6,", "&amp;$A409&amp;"-"&amp;TEXT(($D409-$C409+1)+5,"00"),"")&amp;IF($C409&gt;=7,", "&amp;$A409&amp;"-"&amp;TEXT(($D409-$C409+1)+6,"00"),"")&amp;IF($C409&gt;=8,", "&amp;$A409&amp;"-"&amp;TEXT(($D409-$C409+1)+7,"00"),"")&amp;IF($C409&gt;=9,", "&amp;$A409&amp;"-"&amp;TEXT(($D409-$C409+1)+8,"00"),"")&amp;IF($C409&gt;=10,", "&amp;$A409&amp;"-"&amp;TEXT(($D409-$C409+1)+9,"00"),"")&amp;IF($C409&gt;=11,", "&amp;$A409&amp;"-"&amp;TEXT(($D409-$C409+1)+10,"00"),"")&amp;IF($C409&gt;=12,", "&amp;$A409&amp;"-"&amp;TEXT(($D409-$C409+1)+11,"00"),"")&amp;IF($C409&gt;=13,", "&amp;$A409&amp;"-"&amp;TEXT(($D409-$C409+1)+12,"00"),"")&amp;IF($C409&gt;=14,", "&amp;$A409&amp;"-"&amp;TEXT(($D409-$C409+1)+13,"00"),"")&amp;IF($C409&gt;=15,", "&amp;$A409&amp;"-"&amp;TEXT(($D409-$C409+1)+14,"00"),"")&amp;IF($C409&gt;=16,", "&amp;$A409&amp;"-"&amp;TEXT(($D409-$C409+1)+15,"00"),"")&amp;IF($C409&gt;=17,", "&amp;$A409&amp;"-"&amp;TEXT(($D409-$C409+1)+16,"00"),"")&amp;IF($C409&gt;=18,", "&amp;$A409&amp;"-"&amp;TEXT(($D409-$C409+1)+17,"00"),"")&amp;IF($C409&gt;=19,", "&amp;$A409&amp;"-"&amp;TEXT(($D409-$C409+1)+18,"00"),"")&amp;IF($C409&gt;=20,", "&amp;$A409&amp;"-"&amp;TEXT(($D409-$C409+1)+19,"00"),"")&amp;IF($C409&gt;=21,", "&amp;$A409&amp;"-"&amp;TEXT(($D409-$C409+1)+20,"00"),"")&amp;IF($C409&gt;=22,", "&amp;$A409&amp;"-"&amp;TEXT(($D409-$C409+1)+21,"00"),"")&amp;IF($C409&gt;=23,", "&amp;$A409&amp;"-"&amp;TEXT(($D409-$C409+1)+22,"00"),"")&amp;IF($C409&gt;=24,", "&amp;$A409&amp;"-"&amp;TEXT(($D409-$C409+1)+23,"00"),"")&amp;IF($C409&gt;=25,", "&amp;$A409&amp;"-"&amp;TEXT(($D409-$C409+1)+24,"00"),""))</f>
        <v/>
      </c>
      <c r="G409">
        <f>IF($A409="","",IF($E409=1,$F409,IF($F409="",$G408,IF($G408="",$F409,$G408&amp;", "&amp;$F409))))</f>
        <v/>
      </c>
      <c r="H409">
        <f>IF($A409="","",$A409&amp;" ("&amp;$C409&amp;")")</f>
        <v/>
      </c>
      <c r="I409">
        <f>IF($A409="","",IF($E409=1,$H409,$I408&amp;", "&amp;$H409))</f>
        <v/>
      </c>
      <c r="J409">
        <f>IF($A409="","",IF($E409=1,$B409,""))</f>
        <v/>
      </c>
      <c r="K409">
        <f>IF($A409="","",IF(COUNTIF($B$2:$B409,$B409)=COUNTIF($B$2:$B$1601,$B409),$B409,""))</f>
        <v/>
      </c>
    </row>
    <row r="410">
      <c r="A410">
        <f>IF('TMP Paste'!$E410="","",'TMP Paste'!$E410)</f>
        <v/>
      </c>
      <c r="B410">
        <f>IF($A410="","",COUNTIF('TMP Paste'!$B$2:$B410,"?*"))</f>
        <v/>
      </c>
      <c r="C410">
        <f>IF($A410="","",IFERROR('TMP Paste'!$M410*1,0))</f>
        <v/>
      </c>
      <c r="D410">
        <f>IF($A410="","",SUMIF($B$2:$B410,$B410,$C$2:$C410))</f>
        <v/>
      </c>
      <c r="E410">
        <f>IF($A410="",0,IF('TMP Paste'!$B410="",0,1))</f>
        <v/>
      </c>
      <c r="F410">
        <f>IF(OR($A410="",$C410&lt;1),"",$A410&amp;"-"&amp;TEXT(($D410-$C410+1),"00")&amp;IF($C410&gt;=2,", "&amp;$A410&amp;"-"&amp;TEXT(($D410-$C410+1)+1,"00"),"")&amp;IF($C410&gt;=3,", "&amp;$A410&amp;"-"&amp;TEXT(($D410-$C410+1)+2,"00"),"")&amp;IF($C410&gt;=4,", "&amp;$A410&amp;"-"&amp;TEXT(($D410-$C410+1)+3,"00"),"")&amp;IF($C410&gt;=5,", "&amp;$A410&amp;"-"&amp;TEXT(($D410-$C410+1)+4,"00"),"")&amp;IF($C410&gt;=6,", "&amp;$A410&amp;"-"&amp;TEXT(($D410-$C410+1)+5,"00"),"")&amp;IF($C410&gt;=7,", "&amp;$A410&amp;"-"&amp;TEXT(($D410-$C410+1)+6,"00"),"")&amp;IF($C410&gt;=8,", "&amp;$A410&amp;"-"&amp;TEXT(($D410-$C410+1)+7,"00"),"")&amp;IF($C410&gt;=9,", "&amp;$A410&amp;"-"&amp;TEXT(($D410-$C410+1)+8,"00"),"")&amp;IF($C410&gt;=10,", "&amp;$A410&amp;"-"&amp;TEXT(($D410-$C410+1)+9,"00"),"")&amp;IF($C410&gt;=11,", "&amp;$A410&amp;"-"&amp;TEXT(($D410-$C410+1)+10,"00"),"")&amp;IF($C410&gt;=12,", "&amp;$A410&amp;"-"&amp;TEXT(($D410-$C410+1)+11,"00"),"")&amp;IF($C410&gt;=13,", "&amp;$A410&amp;"-"&amp;TEXT(($D410-$C410+1)+12,"00"),"")&amp;IF($C410&gt;=14,", "&amp;$A410&amp;"-"&amp;TEXT(($D410-$C410+1)+13,"00"),"")&amp;IF($C410&gt;=15,", "&amp;$A410&amp;"-"&amp;TEXT(($D410-$C410+1)+14,"00"),"")&amp;IF($C410&gt;=16,", "&amp;$A410&amp;"-"&amp;TEXT(($D410-$C410+1)+15,"00"),"")&amp;IF($C410&gt;=17,", "&amp;$A410&amp;"-"&amp;TEXT(($D410-$C410+1)+16,"00"),"")&amp;IF($C410&gt;=18,", "&amp;$A410&amp;"-"&amp;TEXT(($D410-$C410+1)+17,"00"),"")&amp;IF($C410&gt;=19,", "&amp;$A410&amp;"-"&amp;TEXT(($D410-$C410+1)+18,"00"),"")&amp;IF($C410&gt;=20,", "&amp;$A410&amp;"-"&amp;TEXT(($D410-$C410+1)+19,"00"),"")&amp;IF($C410&gt;=21,", "&amp;$A410&amp;"-"&amp;TEXT(($D410-$C410+1)+20,"00"),"")&amp;IF($C410&gt;=22,", "&amp;$A410&amp;"-"&amp;TEXT(($D410-$C410+1)+21,"00"),"")&amp;IF($C410&gt;=23,", "&amp;$A410&amp;"-"&amp;TEXT(($D410-$C410+1)+22,"00"),"")&amp;IF($C410&gt;=24,", "&amp;$A410&amp;"-"&amp;TEXT(($D410-$C410+1)+23,"00"),"")&amp;IF($C410&gt;=25,", "&amp;$A410&amp;"-"&amp;TEXT(($D410-$C410+1)+24,"00"),""))</f>
        <v/>
      </c>
      <c r="G410">
        <f>IF($A410="","",IF($E410=1,$F410,IF($F410="",$G409,IF($G409="",$F410,$G409&amp;", "&amp;$F410))))</f>
        <v/>
      </c>
      <c r="H410">
        <f>IF($A410="","",$A410&amp;" ("&amp;$C410&amp;")")</f>
        <v/>
      </c>
      <c r="I410">
        <f>IF($A410="","",IF($E410=1,$H410,$I409&amp;", "&amp;$H410))</f>
        <v/>
      </c>
      <c r="J410">
        <f>IF($A410="","",IF($E410=1,$B410,""))</f>
        <v/>
      </c>
      <c r="K410">
        <f>IF($A410="","",IF(COUNTIF($B$2:$B410,$B410)=COUNTIF($B$2:$B$1601,$B410),$B410,""))</f>
        <v/>
      </c>
    </row>
    <row r="411">
      <c r="A411">
        <f>IF('TMP Paste'!$E411="","",'TMP Paste'!$E411)</f>
        <v/>
      </c>
      <c r="B411">
        <f>IF($A411="","",COUNTIF('TMP Paste'!$B$2:$B411,"?*"))</f>
        <v/>
      </c>
      <c r="C411">
        <f>IF($A411="","",IFERROR('TMP Paste'!$M411*1,0))</f>
        <v/>
      </c>
      <c r="D411">
        <f>IF($A411="","",SUMIF($B$2:$B411,$B411,$C$2:$C411))</f>
        <v/>
      </c>
      <c r="E411">
        <f>IF($A411="",0,IF('TMP Paste'!$B411="",0,1))</f>
        <v/>
      </c>
      <c r="F411">
        <f>IF(OR($A411="",$C411&lt;1),"",$A411&amp;"-"&amp;TEXT(($D411-$C411+1),"00")&amp;IF($C411&gt;=2,", "&amp;$A411&amp;"-"&amp;TEXT(($D411-$C411+1)+1,"00"),"")&amp;IF($C411&gt;=3,", "&amp;$A411&amp;"-"&amp;TEXT(($D411-$C411+1)+2,"00"),"")&amp;IF($C411&gt;=4,", "&amp;$A411&amp;"-"&amp;TEXT(($D411-$C411+1)+3,"00"),"")&amp;IF($C411&gt;=5,", "&amp;$A411&amp;"-"&amp;TEXT(($D411-$C411+1)+4,"00"),"")&amp;IF($C411&gt;=6,", "&amp;$A411&amp;"-"&amp;TEXT(($D411-$C411+1)+5,"00"),"")&amp;IF($C411&gt;=7,", "&amp;$A411&amp;"-"&amp;TEXT(($D411-$C411+1)+6,"00"),"")&amp;IF($C411&gt;=8,", "&amp;$A411&amp;"-"&amp;TEXT(($D411-$C411+1)+7,"00"),"")&amp;IF($C411&gt;=9,", "&amp;$A411&amp;"-"&amp;TEXT(($D411-$C411+1)+8,"00"),"")&amp;IF($C411&gt;=10,", "&amp;$A411&amp;"-"&amp;TEXT(($D411-$C411+1)+9,"00"),"")&amp;IF($C411&gt;=11,", "&amp;$A411&amp;"-"&amp;TEXT(($D411-$C411+1)+10,"00"),"")&amp;IF($C411&gt;=12,", "&amp;$A411&amp;"-"&amp;TEXT(($D411-$C411+1)+11,"00"),"")&amp;IF($C411&gt;=13,", "&amp;$A411&amp;"-"&amp;TEXT(($D411-$C411+1)+12,"00"),"")&amp;IF($C411&gt;=14,", "&amp;$A411&amp;"-"&amp;TEXT(($D411-$C411+1)+13,"00"),"")&amp;IF($C411&gt;=15,", "&amp;$A411&amp;"-"&amp;TEXT(($D411-$C411+1)+14,"00"),"")&amp;IF($C411&gt;=16,", "&amp;$A411&amp;"-"&amp;TEXT(($D411-$C411+1)+15,"00"),"")&amp;IF($C411&gt;=17,", "&amp;$A411&amp;"-"&amp;TEXT(($D411-$C411+1)+16,"00"),"")&amp;IF($C411&gt;=18,", "&amp;$A411&amp;"-"&amp;TEXT(($D411-$C411+1)+17,"00"),"")&amp;IF($C411&gt;=19,", "&amp;$A411&amp;"-"&amp;TEXT(($D411-$C411+1)+18,"00"),"")&amp;IF($C411&gt;=20,", "&amp;$A411&amp;"-"&amp;TEXT(($D411-$C411+1)+19,"00"),"")&amp;IF($C411&gt;=21,", "&amp;$A411&amp;"-"&amp;TEXT(($D411-$C411+1)+20,"00"),"")&amp;IF($C411&gt;=22,", "&amp;$A411&amp;"-"&amp;TEXT(($D411-$C411+1)+21,"00"),"")&amp;IF($C411&gt;=23,", "&amp;$A411&amp;"-"&amp;TEXT(($D411-$C411+1)+22,"00"),"")&amp;IF($C411&gt;=24,", "&amp;$A411&amp;"-"&amp;TEXT(($D411-$C411+1)+23,"00"),"")&amp;IF($C411&gt;=25,", "&amp;$A411&amp;"-"&amp;TEXT(($D411-$C411+1)+24,"00"),""))</f>
        <v/>
      </c>
      <c r="G411">
        <f>IF($A411="","",IF($E411=1,$F411,IF($F411="",$G410,IF($G410="",$F411,$G410&amp;", "&amp;$F411))))</f>
        <v/>
      </c>
      <c r="H411">
        <f>IF($A411="","",$A411&amp;" ("&amp;$C411&amp;")")</f>
        <v/>
      </c>
      <c r="I411">
        <f>IF($A411="","",IF($E411=1,$H411,$I410&amp;", "&amp;$H411))</f>
        <v/>
      </c>
      <c r="J411">
        <f>IF($A411="","",IF($E411=1,$B411,""))</f>
        <v/>
      </c>
      <c r="K411">
        <f>IF($A411="","",IF(COUNTIF($B$2:$B411,$B411)=COUNTIF($B$2:$B$1601,$B411),$B411,""))</f>
        <v/>
      </c>
    </row>
    <row r="412">
      <c r="A412">
        <f>IF('TMP Paste'!$E412="","",'TMP Paste'!$E412)</f>
        <v/>
      </c>
      <c r="B412">
        <f>IF($A412="","",COUNTIF('TMP Paste'!$B$2:$B412,"?*"))</f>
        <v/>
      </c>
      <c r="C412">
        <f>IF($A412="","",IFERROR('TMP Paste'!$M412*1,0))</f>
        <v/>
      </c>
      <c r="D412">
        <f>IF($A412="","",SUMIF($B$2:$B412,$B412,$C$2:$C412))</f>
        <v/>
      </c>
      <c r="E412">
        <f>IF($A412="",0,IF('TMP Paste'!$B412="",0,1))</f>
        <v/>
      </c>
      <c r="F412">
        <f>IF(OR($A412="",$C412&lt;1),"",$A412&amp;"-"&amp;TEXT(($D412-$C412+1),"00")&amp;IF($C412&gt;=2,", "&amp;$A412&amp;"-"&amp;TEXT(($D412-$C412+1)+1,"00"),"")&amp;IF($C412&gt;=3,", "&amp;$A412&amp;"-"&amp;TEXT(($D412-$C412+1)+2,"00"),"")&amp;IF($C412&gt;=4,", "&amp;$A412&amp;"-"&amp;TEXT(($D412-$C412+1)+3,"00"),"")&amp;IF($C412&gt;=5,", "&amp;$A412&amp;"-"&amp;TEXT(($D412-$C412+1)+4,"00"),"")&amp;IF($C412&gt;=6,", "&amp;$A412&amp;"-"&amp;TEXT(($D412-$C412+1)+5,"00"),"")&amp;IF($C412&gt;=7,", "&amp;$A412&amp;"-"&amp;TEXT(($D412-$C412+1)+6,"00"),"")&amp;IF($C412&gt;=8,", "&amp;$A412&amp;"-"&amp;TEXT(($D412-$C412+1)+7,"00"),"")&amp;IF($C412&gt;=9,", "&amp;$A412&amp;"-"&amp;TEXT(($D412-$C412+1)+8,"00"),"")&amp;IF($C412&gt;=10,", "&amp;$A412&amp;"-"&amp;TEXT(($D412-$C412+1)+9,"00"),"")&amp;IF($C412&gt;=11,", "&amp;$A412&amp;"-"&amp;TEXT(($D412-$C412+1)+10,"00"),"")&amp;IF($C412&gt;=12,", "&amp;$A412&amp;"-"&amp;TEXT(($D412-$C412+1)+11,"00"),"")&amp;IF($C412&gt;=13,", "&amp;$A412&amp;"-"&amp;TEXT(($D412-$C412+1)+12,"00"),"")&amp;IF($C412&gt;=14,", "&amp;$A412&amp;"-"&amp;TEXT(($D412-$C412+1)+13,"00"),"")&amp;IF($C412&gt;=15,", "&amp;$A412&amp;"-"&amp;TEXT(($D412-$C412+1)+14,"00"),"")&amp;IF($C412&gt;=16,", "&amp;$A412&amp;"-"&amp;TEXT(($D412-$C412+1)+15,"00"),"")&amp;IF($C412&gt;=17,", "&amp;$A412&amp;"-"&amp;TEXT(($D412-$C412+1)+16,"00"),"")&amp;IF($C412&gt;=18,", "&amp;$A412&amp;"-"&amp;TEXT(($D412-$C412+1)+17,"00"),"")&amp;IF($C412&gt;=19,", "&amp;$A412&amp;"-"&amp;TEXT(($D412-$C412+1)+18,"00"),"")&amp;IF($C412&gt;=20,", "&amp;$A412&amp;"-"&amp;TEXT(($D412-$C412+1)+19,"00"),"")&amp;IF($C412&gt;=21,", "&amp;$A412&amp;"-"&amp;TEXT(($D412-$C412+1)+20,"00"),"")&amp;IF($C412&gt;=22,", "&amp;$A412&amp;"-"&amp;TEXT(($D412-$C412+1)+21,"00"),"")&amp;IF($C412&gt;=23,", "&amp;$A412&amp;"-"&amp;TEXT(($D412-$C412+1)+22,"00"),"")&amp;IF($C412&gt;=24,", "&amp;$A412&amp;"-"&amp;TEXT(($D412-$C412+1)+23,"00"),"")&amp;IF($C412&gt;=25,", "&amp;$A412&amp;"-"&amp;TEXT(($D412-$C412+1)+24,"00"),""))</f>
        <v/>
      </c>
      <c r="G412">
        <f>IF($A412="","",IF($E412=1,$F412,IF($F412="",$G411,IF($G411="",$F412,$G411&amp;", "&amp;$F412))))</f>
        <v/>
      </c>
      <c r="H412">
        <f>IF($A412="","",$A412&amp;" ("&amp;$C412&amp;")")</f>
        <v/>
      </c>
      <c r="I412">
        <f>IF($A412="","",IF($E412=1,$H412,$I411&amp;", "&amp;$H412))</f>
        <v/>
      </c>
      <c r="J412">
        <f>IF($A412="","",IF($E412=1,$B412,""))</f>
        <v/>
      </c>
      <c r="K412">
        <f>IF($A412="","",IF(COUNTIF($B$2:$B412,$B412)=COUNTIF($B$2:$B$1601,$B412),$B412,""))</f>
        <v/>
      </c>
    </row>
    <row r="413">
      <c r="A413">
        <f>IF('TMP Paste'!$E413="","",'TMP Paste'!$E413)</f>
        <v/>
      </c>
      <c r="B413">
        <f>IF($A413="","",COUNTIF('TMP Paste'!$B$2:$B413,"?*"))</f>
        <v/>
      </c>
      <c r="C413">
        <f>IF($A413="","",IFERROR('TMP Paste'!$M413*1,0))</f>
        <v/>
      </c>
      <c r="D413">
        <f>IF($A413="","",SUMIF($B$2:$B413,$B413,$C$2:$C413))</f>
        <v/>
      </c>
      <c r="E413">
        <f>IF($A413="",0,IF('TMP Paste'!$B413="",0,1))</f>
        <v/>
      </c>
      <c r="F413">
        <f>IF(OR($A413="",$C413&lt;1),"",$A413&amp;"-"&amp;TEXT(($D413-$C413+1),"00")&amp;IF($C413&gt;=2,", "&amp;$A413&amp;"-"&amp;TEXT(($D413-$C413+1)+1,"00"),"")&amp;IF($C413&gt;=3,", "&amp;$A413&amp;"-"&amp;TEXT(($D413-$C413+1)+2,"00"),"")&amp;IF($C413&gt;=4,", "&amp;$A413&amp;"-"&amp;TEXT(($D413-$C413+1)+3,"00"),"")&amp;IF($C413&gt;=5,", "&amp;$A413&amp;"-"&amp;TEXT(($D413-$C413+1)+4,"00"),"")&amp;IF($C413&gt;=6,", "&amp;$A413&amp;"-"&amp;TEXT(($D413-$C413+1)+5,"00"),"")&amp;IF($C413&gt;=7,", "&amp;$A413&amp;"-"&amp;TEXT(($D413-$C413+1)+6,"00"),"")&amp;IF($C413&gt;=8,", "&amp;$A413&amp;"-"&amp;TEXT(($D413-$C413+1)+7,"00"),"")&amp;IF($C413&gt;=9,", "&amp;$A413&amp;"-"&amp;TEXT(($D413-$C413+1)+8,"00"),"")&amp;IF($C413&gt;=10,", "&amp;$A413&amp;"-"&amp;TEXT(($D413-$C413+1)+9,"00"),"")&amp;IF($C413&gt;=11,", "&amp;$A413&amp;"-"&amp;TEXT(($D413-$C413+1)+10,"00"),"")&amp;IF($C413&gt;=12,", "&amp;$A413&amp;"-"&amp;TEXT(($D413-$C413+1)+11,"00"),"")&amp;IF($C413&gt;=13,", "&amp;$A413&amp;"-"&amp;TEXT(($D413-$C413+1)+12,"00"),"")&amp;IF($C413&gt;=14,", "&amp;$A413&amp;"-"&amp;TEXT(($D413-$C413+1)+13,"00"),"")&amp;IF($C413&gt;=15,", "&amp;$A413&amp;"-"&amp;TEXT(($D413-$C413+1)+14,"00"),"")&amp;IF($C413&gt;=16,", "&amp;$A413&amp;"-"&amp;TEXT(($D413-$C413+1)+15,"00"),"")&amp;IF($C413&gt;=17,", "&amp;$A413&amp;"-"&amp;TEXT(($D413-$C413+1)+16,"00"),"")&amp;IF($C413&gt;=18,", "&amp;$A413&amp;"-"&amp;TEXT(($D413-$C413+1)+17,"00"),"")&amp;IF($C413&gt;=19,", "&amp;$A413&amp;"-"&amp;TEXT(($D413-$C413+1)+18,"00"),"")&amp;IF($C413&gt;=20,", "&amp;$A413&amp;"-"&amp;TEXT(($D413-$C413+1)+19,"00"),"")&amp;IF($C413&gt;=21,", "&amp;$A413&amp;"-"&amp;TEXT(($D413-$C413+1)+20,"00"),"")&amp;IF($C413&gt;=22,", "&amp;$A413&amp;"-"&amp;TEXT(($D413-$C413+1)+21,"00"),"")&amp;IF($C413&gt;=23,", "&amp;$A413&amp;"-"&amp;TEXT(($D413-$C413+1)+22,"00"),"")&amp;IF($C413&gt;=24,", "&amp;$A413&amp;"-"&amp;TEXT(($D413-$C413+1)+23,"00"),"")&amp;IF($C413&gt;=25,", "&amp;$A413&amp;"-"&amp;TEXT(($D413-$C413+1)+24,"00"),""))</f>
        <v/>
      </c>
      <c r="G413">
        <f>IF($A413="","",IF($E413=1,$F413,IF($F413="",$G412,IF($G412="",$F413,$G412&amp;", "&amp;$F413))))</f>
        <v/>
      </c>
      <c r="H413">
        <f>IF($A413="","",$A413&amp;" ("&amp;$C413&amp;")")</f>
        <v/>
      </c>
      <c r="I413">
        <f>IF($A413="","",IF($E413=1,$H413,$I412&amp;", "&amp;$H413))</f>
        <v/>
      </c>
      <c r="J413">
        <f>IF($A413="","",IF($E413=1,$B413,""))</f>
        <v/>
      </c>
      <c r="K413">
        <f>IF($A413="","",IF(COUNTIF($B$2:$B413,$B413)=COUNTIF($B$2:$B$1601,$B413),$B413,""))</f>
        <v/>
      </c>
    </row>
    <row r="414">
      <c r="A414">
        <f>IF('TMP Paste'!$E414="","",'TMP Paste'!$E414)</f>
        <v/>
      </c>
      <c r="B414">
        <f>IF($A414="","",COUNTIF('TMP Paste'!$B$2:$B414,"?*"))</f>
        <v/>
      </c>
      <c r="C414">
        <f>IF($A414="","",IFERROR('TMP Paste'!$M414*1,0))</f>
        <v/>
      </c>
      <c r="D414">
        <f>IF($A414="","",SUMIF($B$2:$B414,$B414,$C$2:$C414))</f>
        <v/>
      </c>
      <c r="E414">
        <f>IF($A414="",0,IF('TMP Paste'!$B414="",0,1))</f>
        <v/>
      </c>
      <c r="F414">
        <f>IF(OR($A414="",$C414&lt;1),"",$A414&amp;"-"&amp;TEXT(($D414-$C414+1),"00")&amp;IF($C414&gt;=2,", "&amp;$A414&amp;"-"&amp;TEXT(($D414-$C414+1)+1,"00"),"")&amp;IF($C414&gt;=3,", "&amp;$A414&amp;"-"&amp;TEXT(($D414-$C414+1)+2,"00"),"")&amp;IF($C414&gt;=4,", "&amp;$A414&amp;"-"&amp;TEXT(($D414-$C414+1)+3,"00"),"")&amp;IF($C414&gt;=5,", "&amp;$A414&amp;"-"&amp;TEXT(($D414-$C414+1)+4,"00"),"")&amp;IF($C414&gt;=6,", "&amp;$A414&amp;"-"&amp;TEXT(($D414-$C414+1)+5,"00"),"")&amp;IF($C414&gt;=7,", "&amp;$A414&amp;"-"&amp;TEXT(($D414-$C414+1)+6,"00"),"")&amp;IF($C414&gt;=8,", "&amp;$A414&amp;"-"&amp;TEXT(($D414-$C414+1)+7,"00"),"")&amp;IF($C414&gt;=9,", "&amp;$A414&amp;"-"&amp;TEXT(($D414-$C414+1)+8,"00"),"")&amp;IF($C414&gt;=10,", "&amp;$A414&amp;"-"&amp;TEXT(($D414-$C414+1)+9,"00"),"")&amp;IF($C414&gt;=11,", "&amp;$A414&amp;"-"&amp;TEXT(($D414-$C414+1)+10,"00"),"")&amp;IF($C414&gt;=12,", "&amp;$A414&amp;"-"&amp;TEXT(($D414-$C414+1)+11,"00"),"")&amp;IF($C414&gt;=13,", "&amp;$A414&amp;"-"&amp;TEXT(($D414-$C414+1)+12,"00"),"")&amp;IF($C414&gt;=14,", "&amp;$A414&amp;"-"&amp;TEXT(($D414-$C414+1)+13,"00"),"")&amp;IF($C414&gt;=15,", "&amp;$A414&amp;"-"&amp;TEXT(($D414-$C414+1)+14,"00"),"")&amp;IF($C414&gt;=16,", "&amp;$A414&amp;"-"&amp;TEXT(($D414-$C414+1)+15,"00"),"")&amp;IF($C414&gt;=17,", "&amp;$A414&amp;"-"&amp;TEXT(($D414-$C414+1)+16,"00"),"")&amp;IF($C414&gt;=18,", "&amp;$A414&amp;"-"&amp;TEXT(($D414-$C414+1)+17,"00"),"")&amp;IF($C414&gt;=19,", "&amp;$A414&amp;"-"&amp;TEXT(($D414-$C414+1)+18,"00"),"")&amp;IF($C414&gt;=20,", "&amp;$A414&amp;"-"&amp;TEXT(($D414-$C414+1)+19,"00"),"")&amp;IF($C414&gt;=21,", "&amp;$A414&amp;"-"&amp;TEXT(($D414-$C414+1)+20,"00"),"")&amp;IF($C414&gt;=22,", "&amp;$A414&amp;"-"&amp;TEXT(($D414-$C414+1)+21,"00"),"")&amp;IF($C414&gt;=23,", "&amp;$A414&amp;"-"&amp;TEXT(($D414-$C414+1)+22,"00"),"")&amp;IF($C414&gt;=24,", "&amp;$A414&amp;"-"&amp;TEXT(($D414-$C414+1)+23,"00"),"")&amp;IF($C414&gt;=25,", "&amp;$A414&amp;"-"&amp;TEXT(($D414-$C414+1)+24,"00"),""))</f>
        <v/>
      </c>
      <c r="G414">
        <f>IF($A414="","",IF($E414=1,$F414,IF($F414="",$G413,IF($G413="",$F414,$G413&amp;", "&amp;$F414))))</f>
        <v/>
      </c>
      <c r="H414">
        <f>IF($A414="","",$A414&amp;" ("&amp;$C414&amp;")")</f>
        <v/>
      </c>
      <c r="I414">
        <f>IF($A414="","",IF($E414=1,$H414,$I413&amp;", "&amp;$H414))</f>
        <v/>
      </c>
      <c r="J414">
        <f>IF($A414="","",IF($E414=1,$B414,""))</f>
        <v/>
      </c>
      <c r="K414">
        <f>IF($A414="","",IF(COUNTIF($B$2:$B414,$B414)=COUNTIF($B$2:$B$1601,$B414),$B414,""))</f>
        <v/>
      </c>
    </row>
    <row r="415">
      <c r="A415">
        <f>IF('TMP Paste'!$E415="","",'TMP Paste'!$E415)</f>
        <v/>
      </c>
      <c r="B415">
        <f>IF($A415="","",COUNTIF('TMP Paste'!$B$2:$B415,"?*"))</f>
        <v/>
      </c>
      <c r="C415">
        <f>IF($A415="","",IFERROR('TMP Paste'!$M415*1,0))</f>
        <v/>
      </c>
      <c r="D415">
        <f>IF($A415="","",SUMIF($B$2:$B415,$B415,$C$2:$C415))</f>
        <v/>
      </c>
      <c r="E415">
        <f>IF($A415="",0,IF('TMP Paste'!$B415="",0,1))</f>
        <v/>
      </c>
      <c r="F415">
        <f>IF(OR($A415="",$C415&lt;1),"",$A415&amp;"-"&amp;TEXT(($D415-$C415+1),"00")&amp;IF($C415&gt;=2,", "&amp;$A415&amp;"-"&amp;TEXT(($D415-$C415+1)+1,"00"),"")&amp;IF($C415&gt;=3,", "&amp;$A415&amp;"-"&amp;TEXT(($D415-$C415+1)+2,"00"),"")&amp;IF($C415&gt;=4,", "&amp;$A415&amp;"-"&amp;TEXT(($D415-$C415+1)+3,"00"),"")&amp;IF($C415&gt;=5,", "&amp;$A415&amp;"-"&amp;TEXT(($D415-$C415+1)+4,"00"),"")&amp;IF($C415&gt;=6,", "&amp;$A415&amp;"-"&amp;TEXT(($D415-$C415+1)+5,"00"),"")&amp;IF($C415&gt;=7,", "&amp;$A415&amp;"-"&amp;TEXT(($D415-$C415+1)+6,"00"),"")&amp;IF($C415&gt;=8,", "&amp;$A415&amp;"-"&amp;TEXT(($D415-$C415+1)+7,"00"),"")&amp;IF($C415&gt;=9,", "&amp;$A415&amp;"-"&amp;TEXT(($D415-$C415+1)+8,"00"),"")&amp;IF($C415&gt;=10,", "&amp;$A415&amp;"-"&amp;TEXT(($D415-$C415+1)+9,"00"),"")&amp;IF($C415&gt;=11,", "&amp;$A415&amp;"-"&amp;TEXT(($D415-$C415+1)+10,"00"),"")&amp;IF($C415&gt;=12,", "&amp;$A415&amp;"-"&amp;TEXT(($D415-$C415+1)+11,"00"),"")&amp;IF($C415&gt;=13,", "&amp;$A415&amp;"-"&amp;TEXT(($D415-$C415+1)+12,"00"),"")&amp;IF($C415&gt;=14,", "&amp;$A415&amp;"-"&amp;TEXT(($D415-$C415+1)+13,"00"),"")&amp;IF($C415&gt;=15,", "&amp;$A415&amp;"-"&amp;TEXT(($D415-$C415+1)+14,"00"),"")&amp;IF($C415&gt;=16,", "&amp;$A415&amp;"-"&amp;TEXT(($D415-$C415+1)+15,"00"),"")&amp;IF($C415&gt;=17,", "&amp;$A415&amp;"-"&amp;TEXT(($D415-$C415+1)+16,"00"),"")&amp;IF($C415&gt;=18,", "&amp;$A415&amp;"-"&amp;TEXT(($D415-$C415+1)+17,"00"),"")&amp;IF($C415&gt;=19,", "&amp;$A415&amp;"-"&amp;TEXT(($D415-$C415+1)+18,"00"),"")&amp;IF($C415&gt;=20,", "&amp;$A415&amp;"-"&amp;TEXT(($D415-$C415+1)+19,"00"),"")&amp;IF($C415&gt;=21,", "&amp;$A415&amp;"-"&amp;TEXT(($D415-$C415+1)+20,"00"),"")&amp;IF($C415&gt;=22,", "&amp;$A415&amp;"-"&amp;TEXT(($D415-$C415+1)+21,"00"),"")&amp;IF($C415&gt;=23,", "&amp;$A415&amp;"-"&amp;TEXT(($D415-$C415+1)+22,"00"),"")&amp;IF($C415&gt;=24,", "&amp;$A415&amp;"-"&amp;TEXT(($D415-$C415+1)+23,"00"),"")&amp;IF($C415&gt;=25,", "&amp;$A415&amp;"-"&amp;TEXT(($D415-$C415+1)+24,"00"),""))</f>
        <v/>
      </c>
      <c r="G415">
        <f>IF($A415="","",IF($E415=1,$F415,IF($F415="",$G414,IF($G414="",$F415,$G414&amp;", "&amp;$F415))))</f>
        <v/>
      </c>
      <c r="H415">
        <f>IF($A415="","",$A415&amp;" ("&amp;$C415&amp;")")</f>
        <v/>
      </c>
      <c r="I415">
        <f>IF($A415="","",IF($E415=1,$H415,$I414&amp;", "&amp;$H415))</f>
        <v/>
      </c>
      <c r="J415">
        <f>IF($A415="","",IF($E415=1,$B415,""))</f>
        <v/>
      </c>
      <c r="K415">
        <f>IF($A415="","",IF(COUNTIF($B$2:$B415,$B415)=COUNTIF($B$2:$B$1601,$B415),$B415,""))</f>
        <v/>
      </c>
    </row>
    <row r="416">
      <c r="A416">
        <f>IF('TMP Paste'!$E416="","",'TMP Paste'!$E416)</f>
        <v/>
      </c>
      <c r="B416">
        <f>IF($A416="","",COUNTIF('TMP Paste'!$B$2:$B416,"?*"))</f>
        <v/>
      </c>
      <c r="C416">
        <f>IF($A416="","",IFERROR('TMP Paste'!$M416*1,0))</f>
        <v/>
      </c>
      <c r="D416">
        <f>IF($A416="","",SUMIF($B$2:$B416,$B416,$C$2:$C416))</f>
        <v/>
      </c>
      <c r="E416">
        <f>IF($A416="",0,IF('TMP Paste'!$B416="",0,1))</f>
        <v/>
      </c>
      <c r="F416">
        <f>IF(OR($A416="",$C416&lt;1),"",$A416&amp;"-"&amp;TEXT(($D416-$C416+1),"00")&amp;IF($C416&gt;=2,", "&amp;$A416&amp;"-"&amp;TEXT(($D416-$C416+1)+1,"00"),"")&amp;IF($C416&gt;=3,", "&amp;$A416&amp;"-"&amp;TEXT(($D416-$C416+1)+2,"00"),"")&amp;IF($C416&gt;=4,", "&amp;$A416&amp;"-"&amp;TEXT(($D416-$C416+1)+3,"00"),"")&amp;IF($C416&gt;=5,", "&amp;$A416&amp;"-"&amp;TEXT(($D416-$C416+1)+4,"00"),"")&amp;IF($C416&gt;=6,", "&amp;$A416&amp;"-"&amp;TEXT(($D416-$C416+1)+5,"00"),"")&amp;IF($C416&gt;=7,", "&amp;$A416&amp;"-"&amp;TEXT(($D416-$C416+1)+6,"00"),"")&amp;IF($C416&gt;=8,", "&amp;$A416&amp;"-"&amp;TEXT(($D416-$C416+1)+7,"00"),"")&amp;IF($C416&gt;=9,", "&amp;$A416&amp;"-"&amp;TEXT(($D416-$C416+1)+8,"00"),"")&amp;IF($C416&gt;=10,", "&amp;$A416&amp;"-"&amp;TEXT(($D416-$C416+1)+9,"00"),"")&amp;IF($C416&gt;=11,", "&amp;$A416&amp;"-"&amp;TEXT(($D416-$C416+1)+10,"00"),"")&amp;IF($C416&gt;=12,", "&amp;$A416&amp;"-"&amp;TEXT(($D416-$C416+1)+11,"00"),"")&amp;IF($C416&gt;=13,", "&amp;$A416&amp;"-"&amp;TEXT(($D416-$C416+1)+12,"00"),"")&amp;IF($C416&gt;=14,", "&amp;$A416&amp;"-"&amp;TEXT(($D416-$C416+1)+13,"00"),"")&amp;IF($C416&gt;=15,", "&amp;$A416&amp;"-"&amp;TEXT(($D416-$C416+1)+14,"00"),"")&amp;IF($C416&gt;=16,", "&amp;$A416&amp;"-"&amp;TEXT(($D416-$C416+1)+15,"00"),"")&amp;IF($C416&gt;=17,", "&amp;$A416&amp;"-"&amp;TEXT(($D416-$C416+1)+16,"00"),"")&amp;IF($C416&gt;=18,", "&amp;$A416&amp;"-"&amp;TEXT(($D416-$C416+1)+17,"00"),"")&amp;IF($C416&gt;=19,", "&amp;$A416&amp;"-"&amp;TEXT(($D416-$C416+1)+18,"00"),"")&amp;IF($C416&gt;=20,", "&amp;$A416&amp;"-"&amp;TEXT(($D416-$C416+1)+19,"00"),"")&amp;IF($C416&gt;=21,", "&amp;$A416&amp;"-"&amp;TEXT(($D416-$C416+1)+20,"00"),"")&amp;IF($C416&gt;=22,", "&amp;$A416&amp;"-"&amp;TEXT(($D416-$C416+1)+21,"00"),"")&amp;IF($C416&gt;=23,", "&amp;$A416&amp;"-"&amp;TEXT(($D416-$C416+1)+22,"00"),"")&amp;IF($C416&gt;=24,", "&amp;$A416&amp;"-"&amp;TEXT(($D416-$C416+1)+23,"00"),"")&amp;IF($C416&gt;=25,", "&amp;$A416&amp;"-"&amp;TEXT(($D416-$C416+1)+24,"00"),""))</f>
        <v/>
      </c>
      <c r="G416">
        <f>IF($A416="","",IF($E416=1,$F416,IF($F416="",$G415,IF($G415="",$F416,$G415&amp;", "&amp;$F416))))</f>
        <v/>
      </c>
      <c r="H416">
        <f>IF($A416="","",$A416&amp;" ("&amp;$C416&amp;")")</f>
        <v/>
      </c>
      <c r="I416">
        <f>IF($A416="","",IF($E416=1,$H416,$I415&amp;", "&amp;$H416))</f>
        <v/>
      </c>
      <c r="J416">
        <f>IF($A416="","",IF($E416=1,$B416,""))</f>
        <v/>
      </c>
      <c r="K416">
        <f>IF($A416="","",IF(COUNTIF($B$2:$B416,$B416)=COUNTIF($B$2:$B$1601,$B416),$B416,""))</f>
        <v/>
      </c>
    </row>
    <row r="417">
      <c r="A417">
        <f>IF('TMP Paste'!$E417="","",'TMP Paste'!$E417)</f>
        <v/>
      </c>
      <c r="B417">
        <f>IF($A417="","",COUNTIF('TMP Paste'!$B$2:$B417,"?*"))</f>
        <v/>
      </c>
      <c r="C417">
        <f>IF($A417="","",IFERROR('TMP Paste'!$M417*1,0))</f>
        <v/>
      </c>
      <c r="D417">
        <f>IF($A417="","",SUMIF($B$2:$B417,$B417,$C$2:$C417))</f>
        <v/>
      </c>
      <c r="E417">
        <f>IF($A417="",0,IF('TMP Paste'!$B417="",0,1))</f>
        <v/>
      </c>
      <c r="F417">
        <f>IF(OR($A417="",$C417&lt;1),"",$A417&amp;"-"&amp;TEXT(($D417-$C417+1),"00")&amp;IF($C417&gt;=2,", "&amp;$A417&amp;"-"&amp;TEXT(($D417-$C417+1)+1,"00"),"")&amp;IF($C417&gt;=3,", "&amp;$A417&amp;"-"&amp;TEXT(($D417-$C417+1)+2,"00"),"")&amp;IF($C417&gt;=4,", "&amp;$A417&amp;"-"&amp;TEXT(($D417-$C417+1)+3,"00"),"")&amp;IF($C417&gt;=5,", "&amp;$A417&amp;"-"&amp;TEXT(($D417-$C417+1)+4,"00"),"")&amp;IF($C417&gt;=6,", "&amp;$A417&amp;"-"&amp;TEXT(($D417-$C417+1)+5,"00"),"")&amp;IF($C417&gt;=7,", "&amp;$A417&amp;"-"&amp;TEXT(($D417-$C417+1)+6,"00"),"")&amp;IF($C417&gt;=8,", "&amp;$A417&amp;"-"&amp;TEXT(($D417-$C417+1)+7,"00"),"")&amp;IF($C417&gt;=9,", "&amp;$A417&amp;"-"&amp;TEXT(($D417-$C417+1)+8,"00"),"")&amp;IF($C417&gt;=10,", "&amp;$A417&amp;"-"&amp;TEXT(($D417-$C417+1)+9,"00"),"")&amp;IF($C417&gt;=11,", "&amp;$A417&amp;"-"&amp;TEXT(($D417-$C417+1)+10,"00"),"")&amp;IF($C417&gt;=12,", "&amp;$A417&amp;"-"&amp;TEXT(($D417-$C417+1)+11,"00"),"")&amp;IF($C417&gt;=13,", "&amp;$A417&amp;"-"&amp;TEXT(($D417-$C417+1)+12,"00"),"")&amp;IF($C417&gt;=14,", "&amp;$A417&amp;"-"&amp;TEXT(($D417-$C417+1)+13,"00"),"")&amp;IF($C417&gt;=15,", "&amp;$A417&amp;"-"&amp;TEXT(($D417-$C417+1)+14,"00"),"")&amp;IF($C417&gt;=16,", "&amp;$A417&amp;"-"&amp;TEXT(($D417-$C417+1)+15,"00"),"")&amp;IF($C417&gt;=17,", "&amp;$A417&amp;"-"&amp;TEXT(($D417-$C417+1)+16,"00"),"")&amp;IF($C417&gt;=18,", "&amp;$A417&amp;"-"&amp;TEXT(($D417-$C417+1)+17,"00"),"")&amp;IF($C417&gt;=19,", "&amp;$A417&amp;"-"&amp;TEXT(($D417-$C417+1)+18,"00"),"")&amp;IF($C417&gt;=20,", "&amp;$A417&amp;"-"&amp;TEXT(($D417-$C417+1)+19,"00"),"")&amp;IF($C417&gt;=21,", "&amp;$A417&amp;"-"&amp;TEXT(($D417-$C417+1)+20,"00"),"")&amp;IF($C417&gt;=22,", "&amp;$A417&amp;"-"&amp;TEXT(($D417-$C417+1)+21,"00"),"")&amp;IF($C417&gt;=23,", "&amp;$A417&amp;"-"&amp;TEXT(($D417-$C417+1)+22,"00"),"")&amp;IF($C417&gt;=24,", "&amp;$A417&amp;"-"&amp;TEXT(($D417-$C417+1)+23,"00"),"")&amp;IF($C417&gt;=25,", "&amp;$A417&amp;"-"&amp;TEXT(($D417-$C417+1)+24,"00"),""))</f>
        <v/>
      </c>
      <c r="G417">
        <f>IF($A417="","",IF($E417=1,$F417,IF($F417="",$G416,IF($G416="",$F417,$G416&amp;", "&amp;$F417))))</f>
        <v/>
      </c>
      <c r="H417">
        <f>IF($A417="","",$A417&amp;" ("&amp;$C417&amp;")")</f>
        <v/>
      </c>
      <c r="I417">
        <f>IF($A417="","",IF($E417=1,$H417,$I416&amp;", "&amp;$H417))</f>
        <v/>
      </c>
      <c r="J417">
        <f>IF($A417="","",IF($E417=1,$B417,""))</f>
        <v/>
      </c>
      <c r="K417">
        <f>IF($A417="","",IF(COUNTIF($B$2:$B417,$B417)=COUNTIF($B$2:$B$1601,$B417),$B417,""))</f>
        <v/>
      </c>
    </row>
    <row r="418">
      <c r="A418">
        <f>IF('TMP Paste'!$E418="","",'TMP Paste'!$E418)</f>
        <v/>
      </c>
      <c r="B418">
        <f>IF($A418="","",COUNTIF('TMP Paste'!$B$2:$B418,"?*"))</f>
        <v/>
      </c>
      <c r="C418">
        <f>IF($A418="","",IFERROR('TMP Paste'!$M418*1,0))</f>
        <v/>
      </c>
      <c r="D418">
        <f>IF($A418="","",SUMIF($B$2:$B418,$B418,$C$2:$C418))</f>
        <v/>
      </c>
      <c r="E418">
        <f>IF($A418="",0,IF('TMP Paste'!$B418="",0,1))</f>
        <v/>
      </c>
      <c r="F418">
        <f>IF(OR($A418="",$C418&lt;1),"",$A418&amp;"-"&amp;TEXT(($D418-$C418+1),"00")&amp;IF($C418&gt;=2,", "&amp;$A418&amp;"-"&amp;TEXT(($D418-$C418+1)+1,"00"),"")&amp;IF($C418&gt;=3,", "&amp;$A418&amp;"-"&amp;TEXT(($D418-$C418+1)+2,"00"),"")&amp;IF($C418&gt;=4,", "&amp;$A418&amp;"-"&amp;TEXT(($D418-$C418+1)+3,"00"),"")&amp;IF($C418&gt;=5,", "&amp;$A418&amp;"-"&amp;TEXT(($D418-$C418+1)+4,"00"),"")&amp;IF($C418&gt;=6,", "&amp;$A418&amp;"-"&amp;TEXT(($D418-$C418+1)+5,"00"),"")&amp;IF($C418&gt;=7,", "&amp;$A418&amp;"-"&amp;TEXT(($D418-$C418+1)+6,"00"),"")&amp;IF($C418&gt;=8,", "&amp;$A418&amp;"-"&amp;TEXT(($D418-$C418+1)+7,"00"),"")&amp;IF($C418&gt;=9,", "&amp;$A418&amp;"-"&amp;TEXT(($D418-$C418+1)+8,"00"),"")&amp;IF($C418&gt;=10,", "&amp;$A418&amp;"-"&amp;TEXT(($D418-$C418+1)+9,"00"),"")&amp;IF($C418&gt;=11,", "&amp;$A418&amp;"-"&amp;TEXT(($D418-$C418+1)+10,"00"),"")&amp;IF($C418&gt;=12,", "&amp;$A418&amp;"-"&amp;TEXT(($D418-$C418+1)+11,"00"),"")&amp;IF($C418&gt;=13,", "&amp;$A418&amp;"-"&amp;TEXT(($D418-$C418+1)+12,"00"),"")&amp;IF($C418&gt;=14,", "&amp;$A418&amp;"-"&amp;TEXT(($D418-$C418+1)+13,"00"),"")&amp;IF($C418&gt;=15,", "&amp;$A418&amp;"-"&amp;TEXT(($D418-$C418+1)+14,"00"),"")&amp;IF($C418&gt;=16,", "&amp;$A418&amp;"-"&amp;TEXT(($D418-$C418+1)+15,"00"),"")&amp;IF($C418&gt;=17,", "&amp;$A418&amp;"-"&amp;TEXT(($D418-$C418+1)+16,"00"),"")&amp;IF($C418&gt;=18,", "&amp;$A418&amp;"-"&amp;TEXT(($D418-$C418+1)+17,"00"),"")&amp;IF($C418&gt;=19,", "&amp;$A418&amp;"-"&amp;TEXT(($D418-$C418+1)+18,"00"),"")&amp;IF($C418&gt;=20,", "&amp;$A418&amp;"-"&amp;TEXT(($D418-$C418+1)+19,"00"),"")&amp;IF($C418&gt;=21,", "&amp;$A418&amp;"-"&amp;TEXT(($D418-$C418+1)+20,"00"),"")&amp;IF($C418&gt;=22,", "&amp;$A418&amp;"-"&amp;TEXT(($D418-$C418+1)+21,"00"),"")&amp;IF($C418&gt;=23,", "&amp;$A418&amp;"-"&amp;TEXT(($D418-$C418+1)+22,"00"),"")&amp;IF($C418&gt;=24,", "&amp;$A418&amp;"-"&amp;TEXT(($D418-$C418+1)+23,"00"),"")&amp;IF($C418&gt;=25,", "&amp;$A418&amp;"-"&amp;TEXT(($D418-$C418+1)+24,"00"),""))</f>
        <v/>
      </c>
      <c r="G418">
        <f>IF($A418="","",IF($E418=1,$F418,IF($F418="",$G417,IF($G417="",$F418,$G417&amp;", "&amp;$F418))))</f>
        <v/>
      </c>
      <c r="H418">
        <f>IF($A418="","",$A418&amp;" ("&amp;$C418&amp;")")</f>
        <v/>
      </c>
      <c r="I418">
        <f>IF($A418="","",IF($E418=1,$H418,$I417&amp;", "&amp;$H418))</f>
        <v/>
      </c>
      <c r="J418">
        <f>IF($A418="","",IF($E418=1,$B418,""))</f>
        <v/>
      </c>
      <c r="K418">
        <f>IF($A418="","",IF(COUNTIF($B$2:$B418,$B418)=COUNTIF($B$2:$B$1601,$B418),$B418,""))</f>
        <v/>
      </c>
    </row>
    <row r="419">
      <c r="A419">
        <f>IF('TMP Paste'!$E419="","",'TMP Paste'!$E419)</f>
        <v/>
      </c>
      <c r="B419">
        <f>IF($A419="","",COUNTIF('TMP Paste'!$B$2:$B419,"?*"))</f>
        <v/>
      </c>
      <c r="C419">
        <f>IF($A419="","",IFERROR('TMP Paste'!$M419*1,0))</f>
        <v/>
      </c>
      <c r="D419">
        <f>IF($A419="","",SUMIF($B$2:$B419,$B419,$C$2:$C419))</f>
        <v/>
      </c>
      <c r="E419">
        <f>IF($A419="",0,IF('TMP Paste'!$B419="",0,1))</f>
        <v/>
      </c>
      <c r="F419">
        <f>IF(OR($A419="",$C419&lt;1),"",$A419&amp;"-"&amp;TEXT(($D419-$C419+1),"00")&amp;IF($C419&gt;=2,", "&amp;$A419&amp;"-"&amp;TEXT(($D419-$C419+1)+1,"00"),"")&amp;IF($C419&gt;=3,", "&amp;$A419&amp;"-"&amp;TEXT(($D419-$C419+1)+2,"00"),"")&amp;IF($C419&gt;=4,", "&amp;$A419&amp;"-"&amp;TEXT(($D419-$C419+1)+3,"00"),"")&amp;IF($C419&gt;=5,", "&amp;$A419&amp;"-"&amp;TEXT(($D419-$C419+1)+4,"00"),"")&amp;IF($C419&gt;=6,", "&amp;$A419&amp;"-"&amp;TEXT(($D419-$C419+1)+5,"00"),"")&amp;IF($C419&gt;=7,", "&amp;$A419&amp;"-"&amp;TEXT(($D419-$C419+1)+6,"00"),"")&amp;IF($C419&gt;=8,", "&amp;$A419&amp;"-"&amp;TEXT(($D419-$C419+1)+7,"00"),"")&amp;IF($C419&gt;=9,", "&amp;$A419&amp;"-"&amp;TEXT(($D419-$C419+1)+8,"00"),"")&amp;IF($C419&gt;=10,", "&amp;$A419&amp;"-"&amp;TEXT(($D419-$C419+1)+9,"00"),"")&amp;IF($C419&gt;=11,", "&amp;$A419&amp;"-"&amp;TEXT(($D419-$C419+1)+10,"00"),"")&amp;IF($C419&gt;=12,", "&amp;$A419&amp;"-"&amp;TEXT(($D419-$C419+1)+11,"00"),"")&amp;IF($C419&gt;=13,", "&amp;$A419&amp;"-"&amp;TEXT(($D419-$C419+1)+12,"00"),"")&amp;IF($C419&gt;=14,", "&amp;$A419&amp;"-"&amp;TEXT(($D419-$C419+1)+13,"00"),"")&amp;IF($C419&gt;=15,", "&amp;$A419&amp;"-"&amp;TEXT(($D419-$C419+1)+14,"00"),"")&amp;IF($C419&gt;=16,", "&amp;$A419&amp;"-"&amp;TEXT(($D419-$C419+1)+15,"00"),"")&amp;IF($C419&gt;=17,", "&amp;$A419&amp;"-"&amp;TEXT(($D419-$C419+1)+16,"00"),"")&amp;IF($C419&gt;=18,", "&amp;$A419&amp;"-"&amp;TEXT(($D419-$C419+1)+17,"00"),"")&amp;IF($C419&gt;=19,", "&amp;$A419&amp;"-"&amp;TEXT(($D419-$C419+1)+18,"00"),"")&amp;IF($C419&gt;=20,", "&amp;$A419&amp;"-"&amp;TEXT(($D419-$C419+1)+19,"00"),"")&amp;IF($C419&gt;=21,", "&amp;$A419&amp;"-"&amp;TEXT(($D419-$C419+1)+20,"00"),"")&amp;IF($C419&gt;=22,", "&amp;$A419&amp;"-"&amp;TEXT(($D419-$C419+1)+21,"00"),"")&amp;IF($C419&gt;=23,", "&amp;$A419&amp;"-"&amp;TEXT(($D419-$C419+1)+22,"00"),"")&amp;IF($C419&gt;=24,", "&amp;$A419&amp;"-"&amp;TEXT(($D419-$C419+1)+23,"00"),"")&amp;IF($C419&gt;=25,", "&amp;$A419&amp;"-"&amp;TEXT(($D419-$C419+1)+24,"00"),""))</f>
        <v/>
      </c>
      <c r="G419">
        <f>IF($A419="","",IF($E419=1,$F419,IF($F419="",$G418,IF($G418="",$F419,$G418&amp;", "&amp;$F419))))</f>
        <v/>
      </c>
      <c r="H419">
        <f>IF($A419="","",$A419&amp;" ("&amp;$C419&amp;")")</f>
        <v/>
      </c>
      <c r="I419">
        <f>IF($A419="","",IF($E419=1,$H419,$I418&amp;", "&amp;$H419))</f>
        <v/>
      </c>
      <c r="J419">
        <f>IF($A419="","",IF($E419=1,$B419,""))</f>
        <v/>
      </c>
      <c r="K419">
        <f>IF($A419="","",IF(COUNTIF($B$2:$B419,$B419)=COUNTIF($B$2:$B$1601,$B419),$B419,""))</f>
        <v/>
      </c>
    </row>
    <row r="420">
      <c r="A420">
        <f>IF('TMP Paste'!$E420="","",'TMP Paste'!$E420)</f>
        <v/>
      </c>
      <c r="B420">
        <f>IF($A420="","",COUNTIF('TMP Paste'!$B$2:$B420,"?*"))</f>
        <v/>
      </c>
      <c r="C420">
        <f>IF($A420="","",IFERROR('TMP Paste'!$M420*1,0))</f>
        <v/>
      </c>
      <c r="D420">
        <f>IF($A420="","",SUMIF($B$2:$B420,$B420,$C$2:$C420))</f>
        <v/>
      </c>
      <c r="E420">
        <f>IF($A420="",0,IF('TMP Paste'!$B420="",0,1))</f>
        <v/>
      </c>
      <c r="F420">
        <f>IF(OR($A420="",$C420&lt;1),"",$A420&amp;"-"&amp;TEXT(($D420-$C420+1),"00")&amp;IF($C420&gt;=2,", "&amp;$A420&amp;"-"&amp;TEXT(($D420-$C420+1)+1,"00"),"")&amp;IF($C420&gt;=3,", "&amp;$A420&amp;"-"&amp;TEXT(($D420-$C420+1)+2,"00"),"")&amp;IF($C420&gt;=4,", "&amp;$A420&amp;"-"&amp;TEXT(($D420-$C420+1)+3,"00"),"")&amp;IF($C420&gt;=5,", "&amp;$A420&amp;"-"&amp;TEXT(($D420-$C420+1)+4,"00"),"")&amp;IF($C420&gt;=6,", "&amp;$A420&amp;"-"&amp;TEXT(($D420-$C420+1)+5,"00"),"")&amp;IF($C420&gt;=7,", "&amp;$A420&amp;"-"&amp;TEXT(($D420-$C420+1)+6,"00"),"")&amp;IF($C420&gt;=8,", "&amp;$A420&amp;"-"&amp;TEXT(($D420-$C420+1)+7,"00"),"")&amp;IF($C420&gt;=9,", "&amp;$A420&amp;"-"&amp;TEXT(($D420-$C420+1)+8,"00"),"")&amp;IF($C420&gt;=10,", "&amp;$A420&amp;"-"&amp;TEXT(($D420-$C420+1)+9,"00"),"")&amp;IF($C420&gt;=11,", "&amp;$A420&amp;"-"&amp;TEXT(($D420-$C420+1)+10,"00"),"")&amp;IF($C420&gt;=12,", "&amp;$A420&amp;"-"&amp;TEXT(($D420-$C420+1)+11,"00"),"")&amp;IF($C420&gt;=13,", "&amp;$A420&amp;"-"&amp;TEXT(($D420-$C420+1)+12,"00"),"")&amp;IF($C420&gt;=14,", "&amp;$A420&amp;"-"&amp;TEXT(($D420-$C420+1)+13,"00"),"")&amp;IF($C420&gt;=15,", "&amp;$A420&amp;"-"&amp;TEXT(($D420-$C420+1)+14,"00"),"")&amp;IF($C420&gt;=16,", "&amp;$A420&amp;"-"&amp;TEXT(($D420-$C420+1)+15,"00"),"")&amp;IF($C420&gt;=17,", "&amp;$A420&amp;"-"&amp;TEXT(($D420-$C420+1)+16,"00"),"")&amp;IF($C420&gt;=18,", "&amp;$A420&amp;"-"&amp;TEXT(($D420-$C420+1)+17,"00"),"")&amp;IF($C420&gt;=19,", "&amp;$A420&amp;"-"&amp;TEXT(($D420-$C420+1)+18,"00"),"")&amp;IF($C420&gt;=20,", "&amp;$A420&amp;"-"&amp;TEXT(($D420-$C420+1)+19,"00"),"")&amp;IF($C420&gt;=21,", "&amp;$A420&amp;"-"&amp;TEXT(($D420-$C420+1)+20,"00"),"")&amp;IF($C420&gt;=22,", "&amp;$A420&amp;"-"&amp;TEXT(($D420-$C420+1)+21,"00"),"")&amp;IF($C420&gt;=23,", "&amp;$A420&amp;"-"&amp;TEXT(($D420-$C420+1)+22,"00"),"")&amp;IF($C420&gt;=24,", "&amp;$A420&amp;"-"&amp;TEXT(($D420-$C420+1)+23,"00"),"")&amp;IF($C420&gt;=25,", "&amp;$A420&amp;"-"&amp;TEXT(($D420-$C420+1)+24,"00"),""))</f>
        <v/>
      </c>
      <c r="G420">
        <f>IF($A420="","",IF($E420=1,$F420,IF($F420="",$G419,IF($G419="",$F420,$G419&amp;", "&amp;$F420))))</f>
        <v/>
      </c>
      <c r="H420">
        <f>IF($A420="","",$A420&amp;" ("&amp;$C420&amp;")")</f>
        <v/>
      </c>
      <c r="I420">
        <f>IF($A420="","",IF($E420=1,$H420,$I419&amp;", "&amp;$H420))</f>
        <v/>
      </c>
      <c r="J420">
        <f>IF($A420="","",IF($E420=1,$B420,""))</f>
        <v/>
      </c>
      <c r="K420">
        <f>IF($A420="","",IF(COUNTIF($B$2:$B420,$B420)=COUNTIF($B$2:$B$1601,$B420),$B420,""))</f>
        <v/>
      </c>
    </row>
    <row r="421">
      <c r="A421">
        <f>IF('TMP Paste'!$E421="","",'TMP Paste'!$E421)</f>
        <v/>
      </c>
      <c r="B421">
        <f>IF($A421="","",COUNTIF('TMP Paste'!$B$2:$B421,"?*"))</f>
        <v/>
      </c>
      <c r="C421">
        <f>IF($A421="","",IFERROR('TMP Paste'!$M421*1,0))</f>
        <v/>
      </c>
      <c r="D421">
        <f>IF($A421="","",SUMIF($B$2:$B421,$B421,$C$2:$C421))</f>
        <v/>
      </c>
      <c r="E421">
        <f>IF($A421="",0,IF('TMP Paste'!$B421="",0,1))</f>
        <v/>
      </c>
      <c r="F421">
        <f>IF(OR($A421="",$C421&lt;1),"",$A421&amp;"-"&amp;TEXT(($D421-$C421+1),"00")&amp;IF($C421&gt;=2,", "&amp;$A421&amp;"-"&amp;TEXT(($D421-$C421+1)+1,"00"),"")&amp;IF($C421&gt;=3,", "&amp;$A421&amp;"-"&amp;TEXT(($D421-$C421+1)+2,"00"),"")&amp;IF($C421&gt;=4,", "&amp;$A421&amp;"-"&amp;TEXT(($D421-$C421+1)+3,"00"),"")&amp;IF($C421&gt;=5,", "&amp;$A421&amp;"-"&amp;TEXT(($D421-$C421+1)+4,"00"),"")&amp;IF($C421&gt;=6,", "&amp;$A421&amp;"-"&amp;TEXT(($D421-$C421+1)+5,"00"),"")&amp;IF($C421&gt;=7,", "&amp;$A421&amp;"-"&amp;TEXT(($D421-$C421+1)+6,"00"),"")&amp;IF($C421&gt;=8,", "&amp;$A421&amp;"-"&amp;TEXT(($D421-$C421+1)+7,"00"),"")&amp;IF($C421&gt;=9,", "&amp;$A421&amp;"-"&amp;TEXT(($D421-$C421+1)+8,"00"),"")&amp;IF($C421&gt;=10,", "&amp;$A421&amp;"-"&amp;TEXT(($D421-$C421+1)+9,"00"),"")&amp;IF($C421&gt;=11,", "&amp;$A421&amp;"-"&amp;TEXT(($D421-$C421+1)+10,"00"),"")&amp;IF($C421&gt;=12,", "&amp;$A421&amp;"-"&amp;TEXT(($D421-$C421+1)+11,"00"),"")&amp;IF($C421&gt;=13,", "&amp;$A421&amp;"-"&amp;TEXT(($D421-$C421+1)+12,"00"),"")&amp;IF($C421&gt;=14,", "&amp;$A421&amp;"-"&amp;TEXT(($D421-$C421+1)+13,"00"),"")&amp;IF($C421&gt;=15,", "&amp;$A421&amp;"-"&amp;TEXT(($D421-$C421+1)+14,"00"),"")&amp;IF($C421&gt;=16,", "&amp;$A421&amp;"-"&amp;TEXT(($D421-$C421+1)+15,"00"),"")&amp;IF($C421&gt;=17,", "&amp;$A421&amp;"-"&amp;TEXT(($D421-$C421+1)+16,"00"),"")&amp;IF($C421&gt;=18,", "&amp;$A421&amp;"-"&amp;TEXT(($D421-$C421+1)+17,"00"),"")&amp;IF($C421&gt;=19,", "&amp;$A421&amp;"-"&amp;TEXT(($D421-$C421+1)+18,"00"),"")&amp;IF($C421&gt;=20,", "&amp;$A421&amp;"-"&amp;TEXT(($D421-$C421+1)+19,"00"),"")&amp;IF($C421&gt;=21,", "&amp;$A421&amp;"-"&amp;TEXT(($D421-$C421+1)+20,"00"),"")&amp;IF($C421&gt;=22,", "&amp;$A421&amp;"-"&amp;TEXT(($D421-$C421+1)+21,"00"),"")&amp;IF($C421&gt;=23,", "&amp;$A421&amp;"-"&amp;TEXT(($D421-$C421+1)+22,"00"),"")&amp;IF($C421&gt;=24,", "&amp;$A421&amp;"-"&amp;TEXT(($D421-$C421+1)+23,"00"),"")&amp;IF($C421&gt;=25,", "&amp;$A421&amp;"-"&amp;TEXT(($D421-$C421+1)+24,"00"),""))</f>
        <v/>
      </c>
      <c r="G421">
        <f>IF($A421="","",IF($E421=1,$F421,IF($F421="",$G420,IF($G420="",$F421,$G420&amp;", "&amp;$F421))))</f>
        <v/>
      </c>
      <c r="H421">
        <f>IF($A421="","",$A421&amp;" ("&amp;$C421&amp;")")</f>
        <v/>
      </c>
      <c r="I421">
        <f>IF($A421="","",IF($E421=1,$H421,$I420&amp;", "&amp;$H421))</f>
        <v/>
      </c>
      <c r="J421">
        <f>IF($A421="","",IF($E421=1,$B421,""))</f>
        <v/>
      </c>
      <c r="K421">
        <f>IF($A421="","",IF(COUNTIF($B$2:$B421,$B421)=COUNTIF($B$2:$B$1601,$B421),$B421,""))</f>
        <v/>
      </c>
    </row>
    <row r="422">
      <c r="A422">
        <f>IF('TMP Paste'!$E422="","",'TMP Paste'!$E422)</f>
        <v/>
      </c>
      <c r="B422">
        <f>IF($A422="","",COUNTIF('TMP Paste'!$B$2:$B422,"?*"))</f>
        <v/>
      </c>
      <c r="C422">
        <f>IF($A422="","",IFERROR('TMP Paste'!$M422*1,0))</f>
        <v/>
      </c>
      <c r="D422">
        <f>IF($A422="","",SUMIF($B$2:$B422,$B422,$C$2:$C422))</f>
        <v/>
      </c>
      <c r="E422">
        <f>IF($A422="",0,IF('TMP Paste'!$B422="",0,1))</f>
        <v/>
      </c>
      <c r="F422">
        <f>IF(OR($A422="",$C422&lt;1),"",$A422&amp;"-"&amp;TEXT(($D422-$C422+1),"00")&amp;IF($C422&gt;=2,", "&amp;$A422&amp;"-"&amp;TEXT(($D422-$C422+1)+1,"00"),"")&amp;IF($C422&gt;=3,", "&amp;$A422&amp;"-"&amp;TEXT(($D422-$C422+1)+2,"00"),"")&amp;IF($C422&gt;=4,", "&amp;$A422&amp;"-"&amp;TEXT(($D422-$C422+1)+3,"00"),"")&amp;IF($C422&gt;=5,", "&amp;$A422&amp;"-"&amp;TEXT(($D422-$C422+1)+4,"00"),"")&amp;IF($C422&gt;=6,", "&amp;$A422&amp;"-"&amp;TEXT(($D422-$C422+1)+5,"00"),"")&amp;IF($C422&gt;=7,", "&amp;$A422&amp;"-"&amp;TEXT(($D422-$C422+1)+6,"00"),"")&amp;IF($C422&gt;=8,", "&amp;$A422&amp;"-"&amp;TEXT(($D422-$C422+1)+7,"00"),"")&amp;IF($C422&gt;=9,", "&amp;$A422&amp;"-"&amp;TEXT(($D422-$C422+1)+8,"00"),"")&amp;IF($C422&gt;=10,", "&amp;$A422&amp;"-"&amp;TEXT(($D422-$C422+1)+9,"00"),"")&amp;IF($C422&gt;=11,", "&amp;$A422&amp;"-"&amp;TEXT(($D422-$C422+1)+10,"00"),"")&amp;IF($C422&gt;=12,", "&amp;$A422&amp;"-"&amp;TEXT(($D422-$C422+1)+11,"00"),"")&amp;IF($C422&gt;=13,", "&amp;$A422&amp;"-"&amp;TEXT(($D422-$C422+1)+12,"00"),"")&amp;IF($C422&gt;=14,", "&amp;$A422&amp;"-"&amp;TEXT(($D422-$C422+1)+13,"00"),"")&amp;IF($C422&gt;=15,", "&amp;$A422&amp;"-"&amp;TEXT(($D422-$C422+1)+14,"00"),"")&amp;IF($C422&gt;=16,", "&amp;$A422&amp;"-"&amp;TEXT(($D422-$C422+1)+15,"00"),"")&amp;IF($C422&gt;=17,", "&amp;$A422&amp;"-"&amp;TEXT(($D422-$C422+1)+16,"00"),"")&amp;IF($C422&gt;=18,", "&amp;$A422&amp;"-"&amp;TEXT(($D422-$C422+1)+17,"00"),"")&amp;IF($C422&gt;=19,", "&amp;$A422&amp;"-"&amp;TEXT(($D422-$C422+1)+18,"00"),"")&amp;IF($C422&gt;=20,", "&amp;$A422&amp;"-"&amp;TEXT(($D422-$C422+1)+19,"00"),"")&amp;IF($C422&gt;=21,", "&amp;$A422&amp;"-"&amp;TEXT(($D422-$C422+1)+20,"00"),"")&amp;IF($C422&gt;=22,", "&amp;$A422&amp;"-"&amp;TEXT(($D422-$C422+1)+21,"00"),"")&amp;IF($C422&gt;=23,", "&amp;$A422&amp;"-"&amp;TEXT(($D422-$C422+1)+22,"00"),"")&amp;IF($C422&gt;=24,", "&amp;$A422&amp;"-"&amp;TEXT(($D422-$C422+1)+23,"00"),"")&amp;IF($C422&gt;=25,", "&amp;$A422&amp;"-"&amp;TEXT(($D422-$C422+1)+24,"00"),""))</f>
        <v/>
      </c>
      <c r="G422">
        <f>IF($A422="","",IF($E422=1,$F422,IF($F422="",$G421,IF($G421="",$F422,$G421&amp;", "&amp;$F422))))</f>
        <v/>
      </c>
      <c r="H422">
        <f>IF($A422="","",$A422&amp;" ("&amp;$C422&amp;")")</f>
        <v/>
      </c>
      <c r="I422">
        <f>IF($A422="","",IF($E422=1,$H422,$I421&amp;", "&amp;$H422))</f>
        <v/>
      </c>
      <c r="J422">
        <f>IF($A422="","",IF($E422=1,$B422,""))</f>
        <v/>
      </c>
      <c r="K422">
        <f>IF($A422="","",IF(COUNTIF($B$2:$B422,$B422)=COUNTIF($B$2:$B$1601,$B422),$B422,""))</f>
        <v/>
      </c>
    </row>
    <row r="423">
      <c r="A423">
        <f>IF('TMP Paste'!$E423="","",'TMP Paste'!$E423)</f>
        <v/>
      </c>
      <c r="B423">
        <f>IF($A423="","",COUNTIF('TMP Paste'!$B$2:$B423,"?*"))</f>
        <v/>
      </c>
      <c r="C423">
        <f>IF($A423="","",IFERROR('TMP Paste'!$M423*1,0))</f>
        <v/>
      </c>
      <c r="D423">
        <f>IF($A423="","",SUMIF($B$2:$B423,$B423,$C$2:$C423))</f>
        <v/>
      </c>
      <c r="E423">
        <f>IF($A423="",0,IF('TMP Paste'!$B423="",0,1))</f>
        <v/>
      </c>
      <c r="F423">
        <f>IF(OR($A423="",$C423&lt;1),"",$A423&amp;"-"&amp;TEXT(($D423-$C423+1),"00")&amp;IF($C423&gt;=2,", "&amp;$A423&amp;"-"&amp;TEXT(($D423-$C423+1)+1,"00"),"")&amp;IF($C423&gt;=3,", "&amp;$A423&amp;"-"&amp;TEXT(($D423-$C423+1)+2,"00"),"")&amp;IF($C423&gt;=4,", "&amp;$A423&amp;"-"&amp;TEXT(($D423-$C423+1)+3,"00"),"")&amp;IF($C423&gt;=5,", "&amp;$A423&amp;"-"&amp;TEXT(($D423-$C423+1)+4,"00"),"")&amp;IF($C423&gt;=6,", "&amp;$A423&amp;"-"&amp;TEXT(($D423-$C423+1)+5,"00"),"")&amp;IF($C423&gt;=7,", "&amp;$A423&amp;"-"&amp;TEXT(($D423-$C423+1)+6,"00"),"")&amp;IF($C423&gt;=8,", "&amp;$A423&amp;"-"&amp;TEXT(($D423-$C423+1)+7,"00"),"")&amp;IF($C423&gt;=9,", "&amp;$A423&amp;"-"&amp;TEXT(($D423-$C423+1)+8,"00"),"")&amp;IF($C423&gt;=10,", "&amp;$A423&amp;"-"&amp;TEXT(($D423-$C423+1)+9,"00"),"")&amp;IF($C423&gt;=11,", "&amp;$A423&amp;"-"&amp;TEXT(($D423-$C423+1)+10,"00"),"")&amp;IF($C423&gt;=12,", "&amp;$A423&amp;"-"&amp;TEXT(($D423-$C423+1)+11,"00"),"")&amp;IF($C423&gt;=13,", "&amp;$A423&amp;"-"&amp;TEXT(($D423-$C423+1)+12,"00"),"")&amp;IF($C423&gt;=14,", "&amp;$A423&amp;"-"&amp;TEXT(($D423-$C423+1)+13,"00"),"")&amp;IF($C423&gt;=15,", "&amp;$A423&amp;"-"&amp;TEXT(($D423-$C423+1)+14,"00"),"")&amp;IF($C423&gt;=16,", "&amp;$A423&amp;"-"&amp;TEXT(($D423-$C423+1)+15,"00"),"")&amp;IF($C423&gt;=17,", "&amp;$A423&amp;"-"&amp;TEXT(($D423-$C423+1)+16,"00"),"")&amp;IF($C423&gt;=18,", "&amp;$A423&amp;"-"&amp;TEXT(($D423-$C423+1)+17,"00"),"")&amp;IF($C423&gt;=19,", "&amp;$A423&amp;"-"&amp;TEXT(($D423-$C423+1)+18,"00"),"")&amp;IF($C423&gt;=20,", "&amp;$A423&amp;"-"&amp;TEXT(($D423-$C423+1)+19,"00"),"")&amp;IF($C423&gt;=21,", "&amp;$A423&amp;"-"&amp;TEXT(($D423-$C423+1)+20,"00"),"")&amp;IF($C423&gt;=22,", "&amp;$A423&amp;"-"&amp;TEXT(($D423-$C423+1)+21,"00"),"")&amp;IF($C423&gt;=23,", "&amp;$A423&amp;"-"&amp;TEXT(($D423-$C423+1)+22,"00"),"")&amp;IF($C423&gt;=24,", "&amp;$A423&amp;"-"&amp;TEXT(($D423-$C423+1)+23,"00"),"")&amp;IF($C423&gt;=25,", "&amp;$A423&amp;"-"&amp;TEXT(($D423-$C423+1)+24,"00"),""))</f>
        <v/>
      </c>
      <c r="G423">
        <f>IF($A423="","",IF($E423=1,$F423,IF($F423="",$G422,IF($G422="",$F423,$G422&amp;", "&amp;$F423))))</f>
        <v/>
      </c>
      <c r="H423">
        <f>IF($A423="","",$A423&amp;" ("&amp;$C423&amp;")")</f>
        <v/>
      </c>
      <c r="I423">
        <f>IF($A423="","",IF($E423=1,$H423,$I422&amp;", "&amp;$H423))</f>
        <v/>
      </c>
      <c r="J423">
        <f>IF($A423="","",IF($E423=1,$B423,""))</f>
        <v/>
      </c>
      <c r="K423">
        <f>IF($A423="","",IF(COUNTIF($B$2:$B423,$B423)=COUNTIF($B$2:$B$1601,$B423),$B423,""))</f>
        <v/>
      </c>
    </row>
    <row r="424">
      <c r="A424">
        <f>IF('TMP Paste'!$E424="","",'TMP Paste'!$E424)</f>
        <v/>
      </c>
      <c r="B424">
        <f>IF($A424="","",COUNTIF('TMP Paste'!$B$2:$B424,"?*"))</f>
        <v/>
      </c>
      <c r="C424">
        <f>IF($A424="","",IFERROR('TMP Paste'!$M424*1,0))</f>
        <v/>
      </c>
      <c r="D424">
        <f>IF($A424="","",SUMIF($B$2:$B424,$B424,$C$2:$C424))</f>
        <v/>
      </c>
      <c r="E424">
        <f>IF($A424="",0,IF('TMP Paste'!$B424="",0,1))</f>
        <v/>
      </c>
      <c r="F424">
        <f>IF(OR($A424="",$C424&lt;1),"",$A424&amp;"-"&amp;TEXT(($D424-$C424+1),"00")&amp;IF($C424&gt;=2,", "&amp;$A424&amp;"-"&amp;TEXT(($D424-$C424+1)+1,"00"),"")&amp;IF($C424&gt;=3,", "&amp;$A424&amp;"-"&amp;TEXT(($D424-$C424+1)+2,"00"),"")&amp;IF($C424&gt;=4,", "&amp;$A424&amp;"-"&amp;TEXT(($D424-$C424+1)+3,"00"),"")&amp;IF($C424&gt;=5,", "&amp;$A424&amp;"-"&amp;TEXT(($D424-$C424+1)+4,"00"),"")&amp;IF($C424&gt;=6,", "&amp;$A424&amp;"-"&amp;TEXT(($D424-$C424+1)+5,"00"),"")&amp;IF($C424&gt;=7,", "&amp;$A424&amp;"-"&amp;TEXT(($D424-$C424+1)+6,"00"),"")&amp;IF($C424&gt;=8,", "&amp;$A424&amp;"-"&amp;TEXT(($D424-$C424+1)+7,"00"),"")&amp;IF($C424&gt;=9,", "&amp;$A424&amp;"-"&amp;TEXT(($D424-$C424+1)+8,"00"),"")&amp;IF($C424&gt;=10,", "&amp;$A424&amp;"-"&amp;TEXT(($D424-$C424+1)+9,"00"),"")&amp;IF($C424&gt;=11,", "&amp;$A424&amp;"-"&amp;TEXT(($D424-$C424+1)+10,"00"),"")&amp;IF($C424&gt;=12,", "&amp;$A424&amp;"-"&amp;TEXT(($D424-$C424+1)+11,"00"),"")&amp;IF($C424&gt;=13,", "&amp;$A424&amp;"-"&amp;TEXT(($D424-$C424+1)+12,"00"),"")&amp;IF($C424&gt;=14,", "&amp;$A424&amp;"-"&amp;TEXT(($D424-$C424+1)+13,"00"),"")&amp;IF($C424&gt;=15,", "&amp;$A424&amp;"-"&amp;TEXT(($D424-$C424+1)+14,"00"),"")&amp;IF($C424&gt;=16,", "&amp;$A424&amp;"-"&amp;TEXT(($D424-$C424+1)+15,"00"),"")&amp;IF($C424&gt;=17,", "&amp;$A424&amp;"-"&amp;TEXT(($D424-$C424+1)+16,"00"),"")&amp;IF($C424&gt;=18,", "&amp;$A424&amp;"-"&amp;TEXT(($D424-$C424+1)+17,"00"),"")&amp;IF($C424&gt;=19,", "&amp;$A424&amp;"-"&amp;TEXT(($D424-$C424+1)+18,"00"),"")&amp;IF($C424&gt;=20,", "&amp;$A424&amp;"-"&amp;TEXT(($D424-$C424+1)+19,"00"),"")&amp;IF($C424&gt;=21,", "&amp;$A424&amp;"-"&amp;TEXT(($D424-$C424+1)+20,"00"),"")&amp;IF($C424&gt;=22,", "&amp;$A424&amp;"-"&amp;TEXT(($D424-$C424+1)+21,"00"),"")&amp;IF($C424&gt;=23,", "&amp;$A424&amp;"-"&amp;TEXT(($D424-$C424+1)+22,"00"),"")&amp;IF($C424&gt;=24,", "&amp;$A424&amp;"-"&amp;TEXT(($D424-$C424+1)+23,"00"),"")&amp;IF($C424&gt;=25,", "&amp;$A424&amp;"-"&amp;TEXT(($D424-$C424+1)+24,"00"),""))</f>
        <v/>
      </c>
      <c r="G424">
        <f>IF($A424="","",IF($E424=1,$F424,IF($F424="",$G423,IF($G423="",$F424,$G423&amp;", "&amp;$F424))))</f>
        <v/>
      </c>
      <c r="H424">
        <f>IF($A424="","",$A424&amp;" ("&amp;$C424&amp;")")</f>
        <v/>
      </c>
      <c r="I424">
        <f>IF($A424="","",IF($E424=1,$H424,$I423&amp;", "&amp;$H424))</f>
        <v/>
      </c>
      <c r="J424">
        <f>IF($A424="","",IF($E424=1,$B424,""))</f>
        <v/>
      </c>
      <c r="K424">
        <f>IF($A424="","",IF(COUNTIF($B$2:$B424,$B424)=COUNTIF($B$2:$B$1601,$B424),$B424,""))</f>
        <v/>
      </c>
    </row>
    <row r="425">
      <c r="A425">
        <f>IF('TMP Paste'!$E425="","",'TMP Paste'!$E425)</f>
        <v/>
      </c>
      <c r="B425">
        <f>IF($A425="","",COUNTIF('TMP Paste'!$B$2:$B425,"?*"))</f>
        <v/>
      </c>
      <c r="C425">
        <f>IF($A425="","",IFERROR('TMP Paste'!$M425*1,0))</f>
        <v/>
      </c>
      <c r="D425">
        <f>IF($A425="","",SUMIF($B$2:$B425,$B425,$C$2:$C425))</f>
        <v/>
      </c>
      <c r="E425">
        <f>IF($A425="",0,IF('TMP Paste'!$B425="",0,1))</f>
        <v/>
      </c>
      <c r="F425">
        <f>IF(OR($A425="",$C425&lt;1),"",$A425&amp;"-"&amp;TEXT(($D425-$C425+1),"00")&amp;IF($C425&gt;=2,", "&amp;$A425&amp;"-"&amp;TEXT(($D425-$C425+1)+1,"00"),"")&amp;IF($C425&gt;=3,", "&amp;$A425&amp;"-"&amp;TEXT(($D425-$C425+1)+2,"00"),"")&amp;IF($C425&gt;=4,", "&amp;$A425&amp;"-"&amp;TEXT(($D425-$C425+1)+3,"00"),"")&amp;IF($C425&gt;=5,", "&amp;$A425&amp;"-"&amp;TEXT(($D425-$C425+1)+4,"00"),"")&amp;IF($C425&gt;=6,", "&amp;$A425&amp;"-"&amp;TEXT(($D425-$C425+1)+5,"00"),"")&amp;IF($C425&gt;=7,", "&amp;$A425&amp;"-"&amp;TEXT(($D425-$C425+1)+6,"00"),"")&amp;IF($C425&gt;=8,", "&amp;$A425&amp;"-"&amp;TEXT(($D425-$C425+1)+7,"00"),"")&amp;IF($C425&gt;=9,", "&amp;$A425&amp;"-"&amp;TEXT(($D425-$C425+1)+8,"00"),"")&amp;IF($C425&gt;=10,", "&amp;$A425&amp;"-"&amp;TEXT(($D425-$C425+1)+9,"00"),"")&amp;IF($C425&gt;=11,", "&amp;$A425&amp;"-"&amp;TEXT(($D425-$C425+1)+10,"00"),"")&amp;IF($C425&gt;=12,", "&amp;$A425&amp;"-"&amp;TEXT(($D425-$C425+1)+11,"00"),"")&amp;IF($C425&gt;=13,", "&amp;$A425&amp;"-"&amp;TEXT(($D425-$C425+1)+12,"00"),"")&amp;IF($C425&gt;=14,", "&amp;$A425&amp;"-"&amp;TEXT(($D425-$C425+1)+13,"00"),"")&amp;IF($C425&gt;=15,", "&amp;$A425&amp;"-"&amp;TEXT(($D425-$C425+1)+14,"00"),"")&amp;IF($C425&gt;=16,", "&amp;$A425&amp;"-"&amp;TEXT(($D425-$C425+1)+15,"00"),"")&amp;IF($C425&gt;=17,", "&amp;$A425&amp;"-"&amp;TEXT(($D425-$C425+1)+16,"00"),"")&amp;IF($C425&gt;=18,", "&amp;$A425&amp;"-"&amp;TEXT(($D425-$C425+1)+17,"00"),"")&amp;IF($C425&gt;=19,", "&amp;$A425&amp;"-"&amp;TEXT(($D425-$C425+1)+18,"00"),"")&amp;IF($C425&gt;=20,", "&amp;$A425&amp;"-"&amp;TEXT(($D425-$C425+1)+19,"00"),"")&amp;IF($C425&gt;=21,", "&amp;$A425&amp;"-"&amp;TEXT(($D425-$C425+1)+20,"00"),"")&amp;IF($C425&gt;=22,", "&amp;$A425&amp;"-"&amp;TEXT(($D425-$C425+1)+21,"00"),"")&amp;IF($C425&gt;=23,", "&amp;$A425&amp;"-"&amp;TEXT(($D425-$C425+1)+22,"00"),"")&amp;IF($C425&gt;=24,", "&amp;$A425&amp;"-"&amp;TEXT(($D425-$C425+1)+23,"00"),"")&amp;IF($C425&gt;=25,", "&amp;$A425&amp;"-"&amp;TEXT(($D425-$C425+1)+24,"00"),""))</f>
        <v/>
      </c>
      <c r="G425">
        <f>IF($A425="","",IF($E425=1,$F425,IF($F425="",$G424,IF($G424="",$F425,$G424&amp;", "&amp;$F425))))</f>
        <v/>
      </c>
      <c r="H425">
        <f>IF($A425="","",$A425&amp;" ("&amp;$C425&amp;")")</f>
        <v/>
      </c>
      <c r="I425">
        <f>IF($A425="","",IF($E425=1,$H425,$I424&amp;", "&amp;$H425))</f>
        <v/>
      </c>
      <c r="J425">
        <f>IF($A425="","",IF($E425=1,$B425,""))</f>
        <v/>
      </c>
      <c r="K425">
        <f>IF($A425="","",IF(COUNTIF($B$2:$B425,$B425)=COUNTIF($B$2:$B$1601,$B425),$B425,""))</f>
        <v/>
      </c>
    </row>
    <row r="426">
      <c r="A426">
        <f>IF('TMP Paste'!$E426="","",'TMP Paste'!$E426)</f>
        <v/>
      </c>
      <c r="B426">
        <f>IF($A426="","",COUNTIF('TMP Paste'!$B$2:$B426,"?*"))</f>
        <v/>
      </c>
      <c r="C426">
        <f>IF($A426="","",IFERROR('TMP Paste'!$M426*1,0))</f>
        <v/>
      </c>
      <c r="D426">
        <f>IF($A426="","",SUMIF($B$2:$B426,$B426,$C$2:$C426))</f>
        <v/>
      </c>
      <c r="E426">
        <f>IF($A426="",0,IF('TMP Paste'!$B426="",0,1))</f>
        <v/>
      </c>
      <c r="F426">
        <f>IF(OR($A426="",$C426&lt;1),"",$A426&amp;"-"&amp;TEXT(($D426-$C426+1),"00")&amp;IF($C426&gt;=2,", "&amp;$A426&amp;"-"&amp;TEXT(($D426-$C426+1)+1,"00"),"")&amp;IF($C426&gt;=3,", "&amp;$A426&amp;"-"&amp;TEXT(($D426-$C426+1)+2,"00"),"")&amp;IF($C426&gt;=4,", "&amp;$A426&amp;"-"&amp;TEXT(($D426-$C426+1)+3,"00"),"")&amp;IF($C426&gt;=5,", "&amp;$A426&amp;"-"&amp;TEXT(($D426-$C426+1)+4,"00"),"")&amp;IF($C426&gt;=6,", "&amp;$A426&amp;"-"&amp;TEXT(($D426-$C426+1)+5,"00"),"")&amp;IF($C426&gt;=7,", "&amp;$A426&amp;"-"&amp;TEXT(($D426-$C426+1)+6,"00"),"")&amp;IF($C426&gt;=8,", "&amp;$A426&amp;"-"&amp;TEXT(($D426-$C426+1)+7,"00"),"")&amp;IF($C426&gt;=9,", "&amp;$A426&amp;"-"&amp;TEXT(($D426-$C426+1)+8,"00"),"")&amp;IF($C426&gt;=10,", "&amp;$A426&amp;"-"&amp;TEXT(($D426-$C426+1)+9,"00"),"")&amp;IF($C426&gt;=11,", "&amp;$A426&amp;"-"&amp;TEXT(($D426-$C426+1)+10,"00"),"")&amp;IF($C426&gt;=12,", "&amp;$A426&amp;"-"&amp;TEXT(($D426-$C426+1)+11,"00"),"")&amp;IF($C426&gt;=13,", "&amp;$A426&amp;"-"&amp;TEXT(($D426-$C426+1)+12,"00"),"")&amp;IF($C426&gt;=14,", "&amp;$A426&amp;"-"&amp;TEXT(($D426-$C426+1)+13,"00"),"")&amp;IF($C426&gt;=15,", "&amp;$A426&amp;"-"&amp;TEXT(($D426-$C426+1)+14,"00"),"")&amp;IF($C426&gt;=16,", "&amp;$A426&amp;"-"&amp;TEXT(($D426-$C426+1)+15,"00"),"")&amp;IF($C426&gt;=17,", "&amp;$A426&amp;"-"&amp;TEXT(($D426-$C426+1)+16,"00"),"")&amp;IF($C426&gt;=18,", "&amp;$A426&amp;"-"&amp;TEXT(($D426-$C426+1)+17,"00"),"")&amp;IF($C426&gt;=19,", "&amp;$A426&amp;"-"&amp;TEXT(($D426-$C426+1)+18,"00"),"")&amp;IF($C426&gt;=20,", "&amp;$A426&amp;"-"&amp;TEXT(($D426-$C426+1)+19,"00"),"")&amp;IF($C426&gt;=21,", "&amp;$A426&amp;"-"&amp;TEXT(($D426-$C426+1)+20,"00"),"")&amp;IF($C426&gt;=22,", "&amp;$A426&amp;"-"&amp;TEXT(($D426-$C426+1)+21,"00"),"")&amp;IF($C426&gt;=23,", "&amp;$A426&amp;"-"&amp;TEXT(($D426-$C426+1)+22,"00"),"")&amp;IF($C426&gt;=24,", "&amp;$A426&amp;"-"&amp;TEXT(($D426-$C426+1)+23,"00"),"")&amp;IF($C426&gt;=25,", "&amp;$A426&amp;"-"&amp;TEXT(($D426-$C426+1)+24,"00"),""))</f>
        <v/>
      </c>
      <c r="G426">
        <f>IF($A426="","",IF($E426=1,$F426,IF($F426="",$G425,IF($G425="",$F426,$G425&amp;", "&amp;$F426))))</f>
        <v/>
      </c>
      <c r="H426">
        <f>IF($A426="","",$A426&amp;" ("&amp;$C426&amp;")")</f>
        <v/>
      </c>
      <c r="I426">
        <f>IF($A426="","",IF($E426=1,$H426,$I425&amp;", "&amp;$H426))</f>
        <v/>
      </c>
      <c r="J426">
        <f>IF($A426="","",IF($E426=1,$B426,""))</f>
        <v/>
      </c>
      <c r="K426">
        <f>IF($A426="","",IF(COUNTIF($B$2:$B426,$B426)=COUNTIF($B$2:$B$1601,$B426),$B426,""))</f>
        <v/>
      </c>
    </row>
    <row r="427">
      <c r="A427">
        <f>IF('TMP Paste'!$E427="","",'TMP Paste'!$E427)</f>
        <v/>
      </c>
      <c r="B427">
        <f>IF($A427="","",COUNTIF('TMP Paste'!$B$2:$B427,"?*"))</f>
        <v/>
      </c>
      <c r="C427">
        <f>IF($A427="","",IFERROR('TMP Paste'!$M427*1,0))</f>
        <v/>
      </c>
      <c r="D427">
        <f>IF($A427="","",SUMIF($B$2:$B427,$B427,$C$2:$C427))</f>
        <v/>
      </c>
      <c r="E427">
        <f>IF($A427="",0,IF('TMP Paste'!$B427="",0,1))</f>
        <v/>
      </c>
      <c r="F427">
        <f>IF(OR($A427="",$C427&lt;1),"",$A427&amp;"-"&amp;TEXT(($D427-$C427+1),"00")&amp;IF($C427&gt;=2,", "&amp;$A427&amp;"-"&amp;TEXT(($D427-$C427+1)+1,"00"),"")&amp;IF($C427&gt;=3,", "&amp;$A427&amp;"-"&amp;TEXT(($D427-$C427+1)+2,"00"),"")&amp;IF($C427&gt;=4,", "&amp;$A427&amp;"-"&amp;TEXT(($D427-$C427+1)+3,"00"),"")&amp;IF($C427&gt;=5,", "&amp;$A427&amp;"-"&amp;TEXT(($D427-$C427+1)+4,"00"),"")&amp;IF($C427&gt;=6,", "&amp;$A427&amp;"-"&amp;TEXT(($D427-$C427+1)+5,"00"),"")&amp;IF($C427&gt;=7,", "&amp;$A427&amp;"-"&amp;TEXT(($D427-$C427+1)+6,"00"),"")&amp;IF($C427&gt;=8,", "&amp;$A427&amp;"-"&amp;TEXT(($D427-$C427+1)+7,"00"),"")&amp;IF($C427&gt;=9,", "&amp;$A427&amp;"-"&amp;TEXT(($D427-$C427+1)+8,"00"),"")&amp;IF($C427&gt;=10,", "&amp;$A427&amp;"-"&amp;TEXT(($D427-$C427+1)+9,"00"),"")&amp;IF($C427&gt;=11,", "&amp;$A427&amp;"-"&amp;TEXT(($D427-$C427+1)+10,"00"),"")&amp;IF($C427&gt;=12,", "&amp;$A427&amp;"-"&amp;TEXT(($D427-$C427+1)+11,"00"),"")&amp;IF($C427&gt;=13,", "&amp;$A427&amp;"-"&amp;TEXT(($D427-$C427+1)+12,"00"),"")&amp;IF($C427&gt;=14,", "&amp;$A427&amp;"-"&amp;TEXT(($D427-$C427+1)+13,"00"),"")&amp;IF($C427&gt;=15,", "&amp;$A427&amp;"-"&amp;TEXT(($D427-$C427+1)+14,"00"),"")&amp;IF($C427&gt;=16,", "&amp;$A427&amp;"-"&amp;TEXT(($D427-$C427+1)+15,"00"),"")&amp;IF($C427&gt;=17,", "&amp;$A427&amp;"-"&amp;TEXT(($D427-$C427+1)+16,"00"),"")&amp;IF($C427&gt;=18,", "&amp;$A427&amp;"-"&amp;TEXT(($D427-$C427+1)+17,"00"),"")&amp;IF($C427&gt;=19,", "&amp;$A427&amp;"-"&amp;TEXT(($D427-$C427+1)+18,"00"),"")&amp;IF($C427&gt;=20,", "&amp;$A427&amp;"-"&amp;TEXT(($D427-$C427+1)+19,"00"),"")&amp;IF($C427&gt;=21,", "&amp;$A427&amp;"-"&amp;TEXT(($D427-$C427+1)+20,"00"),"")&amp;IF($C427&gt;=22,", "&amp;$A427&amp;"-"&amp;TEXT(($D427-$C427+1)+21,"00"),"")&amp;IF($C427&gt;=23,", "&amp;$A427&amp;"-"&amp;TEXT(($D427-$C427+1)+22,"00"),"")&amp;IF($C427&gt;=24,", "&amp;$A427&amp;"-"&amp;TEXT(($D427-$C427+1)+23,"00"),"")&amp;IF($C427&gt;=25,", "&amp;$A427&amp;"-"&amp;TEXT(($D427-$C427+1)+24,"00"),""))</f>
        <v/>
      </c>
      <c r="G427">
        <f>IF($A427="","",IF($E427=1,$F427,IF($F427="",$G426,IF($G426="",$F427,$G426&amp;", "&amp;$F427))))</f>
        <v/>
      </c>
      <c r="H427">
        <f>IF($A427="","",$A427&amp;" ("&amp;$C427&amp;")")</f>
        <v/>
      </c>
      <c r="I427">
        <f>IF($A427="","",IF($E427=1,$H427,$I426&amp;", "&amp;$H427))</f>
        <v/>
      </c>
      <c r="J427">
        <f>IF($A427="","",IF($E427=1,$B427,""))</f>
        <v/>
      </c>
      <c r="K427">
        <f>IF($A427="","",IF(COUNTIF($B$2:$B427,$B427)=COUNTIF($B$2:$B$1601,$B427),$B427,""))</f>
        <v/>
      </c>
    </row>
    <row r="428">
      <c r="A428">
        <f>IF('TMP Paste'!$E428="","",'TMP Paste'!$E428)</f>
        <v/>
      </c>
      <c r="B428">
        <f>IF($A428="","",COUNTIF('TMP Paste'!$B$2:$B428,"?*"))</f>
        <v/>
      </c>
      <c r="C428">
        <f>IF($A428="","",IFERROR('TMP Paste'!$M428*1,0))</f>
        <v/>
      </c>
      <c r="D428">
        <f>IF($A428="","",SUMIF($B$2:$B428,$B428,$C$2:$C428))</f>
        <v/>
      </c>
      <c r="E428">
        <f>IF($A428="",0,IF('TMP Paste'!$B428="",0,1))</f>
        <v/>
      </c>
      <c r="F428">
        <f>IF(OR($A428="",$C428&lt;1),"",$A428&amp;"-"&amp;TEXT(($D428-$C428+1),"00")&amp;IF($C428&gt;=2,", "&amp;$A428&amp;"-"&amp;TEXT(($D428-$C428+1)+1,"00"),"")&amp;IF($C428&gt;=3,", "&amp;$A428&amp;"-"&amp;TEXT(($D428-$C428+1)+2,"00"),"")&amp;IF($C428&gt;=4,", "&amp;$A428&amp;"-"&amp;TEXT(($D428-$C428+1)+3,"00"),"")&amp;IF($C428&gt;=5,", "&amp;$A428&amp;"-"&amp;TEXT(($D428-$C428+1)+4,"00"),"")&amp;IF($C428&gt;=6,", "&amp;$A428&amp;"-"&amp;TEXT(($D428-$C428+1)+5,"00"),"")&amp;IF($C428&gt;=7,", "&amp;$A428&amp;"-"&amp;TEXT(($D428-$C428+1)+6,"00"),"")&amp;IF($C428&gt;=8,", "&amp;$A428&amp;"-"&amp;TEXT(($D428-$C428+1)+7,"00"),"")&amp;IF($C428&gt;=9,", "&amp;$A428&amp;"-"&amp;TEXT(($D428-$C428+1)+8,"00"),"")&amp;IF($C428&gt;=10,", "&amp;$A428&amp;"-"&amp;TEXT(($D428-$C428+1)+9,"00"),"")&amp;IF($C428&gt;=11,", "&amp;$A428&amp;"-"&amp;TEXT(($D428-$C428+1)+10,"00"),"")&amp;IF($C428&gt;=12,", "&amp;$A428&amp;"-"&amp;TEXT(($D428-$C428+1)+11,"00"),"")&amp;IF($C428&gt;=13,", "&amp;$A428&amp;"-"&amp;TEXT(($D428-$C428+1)+12,"00"),"")&amp;IF($C428&gt;=14,", "&amp;$A428&amp;"-"&amp;TEXT(($D428-$C428+1)+13,"00"),"")&amp;IF($C428&gt;=15,", "&amp;$A428&amp;"-"&amp;TEXT(($D428-$C428+1)+14,"00"),"")&amp;IF($C428&gt;=16,", "&amp;$A428&amp;"-"&amp;TEXT(($D428-$C428+1)+15,"00"),"")&amp;IF($C428&gt;=17,", "&amp;$A428&amp;"-"&amp;TEXT(($D428-$C428+1)+16,"00"),"")&amp;IF($C428&gt;=18,", "&amp;$A428&amp;"-"&amp;TEXT(($D428-$C428+1)+17,"00"),"")&amp;IF($C428&gt;=19,", "&amp;$A428&amp;"-"&amp;TEXT(($D428-$C428+1)+18,"00"),"")&amp;IF($C428&gt;=20,", "&amp;$A428&amp;"-"&amp;TEXT(($D428-$C428+1)+19,"00"),"")&amp;IF($C428&gt;=21,", "&amp;$A428&amp;"-"&amp;TEXT(($D428-$C428+1)+20,"00"),"")&amp;IF($C428&gt;=22,", "&amp;$A428&amp;"-"&amp;TEXT(($D428-$C428+1)+21,"00"),"")&amp;IF($C428&gt;=23,", "&amp;$A428&amp;"-"&amp;TEXT(($D428-$C428+1)+22,"00"),"")&amp;IF($C428&gt;=24,", "&amp;$A428&amp;"-"&amp;TEXT(($D428-$C428+1)+23,"00"),"")&amp;IF($C428&gt;=25,", "&amp;$A428&amp;"-"&amp;TEXT(($D428-$C428+1)+24,"00"),""))</f>
        <v/>
      </c>
      <c r="G428">
        <f>IF($A428="","",IF($E428=1,$F428,IF($F428="",$G427,IF($G427="",$F428,$G427&amp;", "&amp;$F428))))</f>
        <v/>
      </c>
      <c r="H428">
        <f>IF($A428="","",$A428&amp;" ("&amp;$C428&amp;")")</f>
        <v/>
      </c>
      <c r="I428">
        <f>IF($A428="","",IF($E428=1,$H428,$I427&amp;", "&amp;$H428))</f>
        <v/>
      </c>
      <c r="J428">
        <f>IF($A428="","",IF($E428=1,$B428,""))</f>
        <v/>
      </c>
      <c r="K428">
        <f>IF($A428="","",IF(COUNTIF($B$2:$B428,$B428)=COUNTIF($B$2:$B$1601,$B428),$B428,""))</f>
        <v/>
      </c>
    </row>
    <row r="429">
      <c r="A429">
        <f>IF('TMP Paste'!$E429="","",'TMP Paste'!$E429)</f>
        <v/>
      </c>
      <c r="B429">
        <f>IF($A429="","",COUNTIF('TMP Paste'!$B$2:$B429,"?*"))</f>
        <v/>
      </c>
      <c r="C429">
        <f>IF($A429="","",IFERROR('TMP Paste'!$M429*1,0))</f>
        <v/>
      </c>
      <c r="D429">
        <f>IF($A429="","",SUMIF($B$2:$B429,$B429,$C$2:$C429))</f>
        <v/>
      </c>
      <c r="E429">
        <f>IF($A429="",0,IF('TMP Paste'!$B429="",0,1))</f>
        <v/>
      </c>
      <c r="F429">
        <f>IF(OR($A429="",$C429&lt;1),"",$A429&amp;"-"&amp;TEXT(($D429-$C429+1),"00")&amp;IF($C429&gt;=2,", "&amp;$A429&amp;"-"&amp;TEXT(($D429-$C429+1)+1,"00"),"")&amp;IF($C429&gt;=3,", "&amp;$A429&amp;"-"&amp;TEXT(($D429-$C429+1)+2,"00"),"")&amp;IF($C429&gt;=4,", "&amp;$A429&amp;"-"&amp;TEXT(($D429-$C429+1)+3,"00"),"")&amp;IF($C429&gt;=5,", "&amp;$A429&amp;"-"&amp;TEXT(($D429-$C429+1)+4,"00"),"")&amp;IF($C429&gt;=6,", "&amp;$A429&amp;"-"&amp;TEXT(($D429-$C429+1)+5,"00"),"")&amp;IF($C429&gt;=7,", "&amp;$A429&amp;"-"&amp;TEXT(($D429-$C429+1)+6,"00"),"")&amp;IF($C429&gt;=8,", "&amp;$A429&amp;"-"&amp;TEXT(($D429-$C429+1)+7,"00"),"")&amp;IF($C429&gt;=9,", "&amp;$A429&amp;"-"&amp;TEXT(($D429-$C429+1)+8,"00"),"")&amp;IF($C429&gt;=10,", "&amp;$A429&amp;"-"&amp;TEXT(($D429-$C429+1)+9,"00"),"")&amp;IF($C429&gt;=11,", "&amp;$A429&amp;"-"&amp;TEXT(($D429-$C429+1)+10,"00"),"")&amp;IF($C429&gt;=12,", "&amp;$A429&amp;"-"&amp;TEXT(($D429-$C429+1)+11,"00"),"")&amp;IF($C429&gt;=13,", "&amp;$A429&amp;"-"&amp;TEXT(($D429-$C429+1)+12,"00"),"")&amp;IF($C429&gt;=14,", "&amp;$A429&amp;"-"&amp;TEXT(($D429-$C429+1)+13,"00"),"")&amp;IF($C429&gt;=15,", "&amp;$A429&amp;"-"&amp;TEXT(($D429-$C429+1)+14,"00"),"")&amp;IF($C429&gt;=16,", "&amp;$A429&amp;"-"&amp;TEXT(($D429-$C429+1)+15,"00"),"")&amp;IF($C429&gt;=17,", "&amp;$A429&amp;"-"&amp;TEXT(($D429-$C429+1)+16,"00"),"")&amp;IF($C429&gt;=18,", "&amp;$A429&amp;"-"&amp;TEXT(($D429-$C429+1)+17,"00"),"")&amp;IF($C429&gt;=19,", "&amp;$A429&amp;"-"&amp;TEXT(($D429-$C429+1)+18,"00"),"")&amp;IF($C429&gt;=20,", "&amp;$A429&amp;"-"&amp;TEXT(($D429-$C429+1)+19,"00"),"")&amp;IF($C429&gt;=21,", "&amp;$A429&amp;"-"&amp;TEXT(($D429-$C429+1)+20,"00"),"")&amp;IF($C429&gt;=22,", "&amp;$A429&amp;"-"&amp;TEXT(($D429-$C429+1)+21,"00"),"")&amp;IF($C429&gt;=23,", "&amp;$A429&amp;"-"&amp;TEXT(($D429-$C429+1)+22,"00"),"")&amp;IF($C429&gt;=24,", "&amp;$A429&amp;"-"&amp;TEXT(($D429-$C429+1)+23,"00"),"")&amp;IF($C429&gt;=25,", "&amp;$A429&amp;"-"&amp;TEXT(($D429-$C429+1)+24,"00"),""))</f>
        <v/>
      </c>
      <c r="G429">
        <f>IF($A429="","",IF($E429=1,$F429,IF($F429="",$G428,IF($G428="",$F429,$G428&amp;", "&amp;$F429))))</f>
        <v/>
      </c>
      <c r="H429">
        <f>IF($A429="","",$A429&amp;" ("&amp;$C429&amp;")")</f>
        <v/>
      </c>
      <c r="I429">
        <f>IF($A429="","",IF($E429=1,$H429,$I428&amp;", "&amp;$H429))</f>
        <v/>
      </c>
      <c r="J429">
        <f>IF($A429="","",IF($E429=1,$B429,""))</f>
        <v/>
      </c>
      <c r="K429">
        <f>IF($A429="","",IF(COUNTIF($B$2:$B429,$B429)=COUNTIF($B$2:$B$1601,$B429),$B429,""))</f>
        <v/>
      </c>
    </row>
    <row r="430">
      <c r="A430">
        <f>IF('TMP Paste'!$E430="","",'TMP Paste'!$E430)</f>
        <v/>
      </c>
      <c r="B430">
        <f>IF($A430="","",COUNTIF('TMP Paste'!$B$2:$B430,"?*"))</f>
        <v/>
      </c>
      <c r="C430">
        <f>IF($A430="","",IFERROR('TMP Paste'!$M430*1,0))</f>
        <v/>
      </c>
      <c r="D430">
        <f>IF($A430="","",SUMIF($B$2:$B430,$B430,$C$2:$C430))</f>
        <v/>
      </c>
      <c r="E430">
        <f>IF($A430="",0,IF('TMP Paste'!$B430="",0,1))</f>
        <v/>
      </c>
      <c r="F430">
        <f>IF(OR($A430="",$C430&lt;1),"",$A430&amp;"-"&amp;TEXT(($D430-$C430+1),"00")&amp;IF($C430&gt;=2,", "&amp;$A430&amp;"-"&amp;TEXT(($D430-$C430+1)+1,"00"),"")&amp;IF($C430&gt;=3,", "&amp;$A430&amp;"-"&amp;TEXT(($D430-$C430+1)+2,"00"),"")&amp;IF($C430&gt;=4,", "&amp;$A430&amp;"-"&amp;TEXT(($D430-$C430+1)+3,"00"),"")&amp;IF($C430&gt;=5,", "&amp;$A430&amp;"-"&amp;TEXT(($D430-$C430+1)+4,"00"),"")&amp;IF($C430&gt;=6,", "&amp;$A430&amp;"-"&amp;TEXT(($D430-$C430+1)+5,"00"),"")&amp;IF($C430&gt;=7,", "&amp;$A430&amp;"-"&amp;TEXT(($D430-$C430+1)+6,"00"),"")&amp;IF($C430&gt;=8,", "&amp;$A430&amp;"-"&amp;TEXT(($D430-$C430+1)+7,"00"),"")&amp;IF($C430&gt;=9,", "&amp;$A430&amp;"-"&amp;TEXT(($D430-$C430+1)+8,"00"),"")&amp;IF($C430&gt;=10,", "&amp;$A430&amp;"-"&amp;TEXT(($D430-$C430+1)+9,"00"),"")&amp;IF($C430&gt;=11,", "&amp;$A430&amp;"-"&amp;TEXT(($D430-$C430+1)+10,"00"),"")&amp;IF($C430&gt;=12,", "&amp;$A430&amp;"-"&amp;TEXT(($D430-$C430+1)+11,"00"),"")&amp;IF($C430&gt;=13,", "&amp;$A430&amp;"-"&amp;TEXT(($D430-$C430+1)+12,"00"),"")&amp;IF($C430&gt;=14,", "&amp;$A430&amp;"-"&amp;TEXT(($D430-$C430+1)+13,"00"),"")&amp;IF($C430&gt;=15,", "&amp;$A430&amp;"-"&amp;TEXT(($D430-$C430+1)+14,"00"),"")&amp;IF($C430&gt;=16,", "&amp;$A430&amp;"-"&amp;TEXT(($D430-$C430+1)+15,"00"),"")&amp;IF($C430&gt;=17,", "&amp;$A430&amp;"-"&amp;TEXT(($D430-$C430+1)+16,"00"),"")&amp;IF($C430&gt;=18,", "&amp;$A430&amp;"-"&amp;TEXT(($D430-$C430+1)+17,"00"),"")&amp;IF($C430&gt;=19,", "&amp;$A430&amp;"-"&amp;TEXT(($D430-$C430+1)+18,"00"),"")&amp;IF($C430&gt;=20,", "&amp;$A430&amp;"-"&amp;TEXT(($D430-$C430+1)+19,"00"),"")&amp;IF($C430&gt;=21,", "&amp;$A430&amp;"-"&amp;TEXT(($D430-$C430+1)+20,"00"),"")&amp;IF($C430&gt;=22,", "&amp;$A430&amp;"-"&amp;TEXT(($D430-$C430+1)+21,"00"),"")&amp;IF($C430&gt;=23,", "&amp;$A430&amp;"-"&amp;TEXT(($D430-$C430+1)+22,"00"),"")&amp;IF($C430&gt;=24,", "&amp;$A430&amp;"-"&amp;TEXT(($D430-$C430+1)+23,"00"),"")&amp;IF($C430&gt;=25,", "&amp;$A430&amp;"-"&amp;TEXT(($D430-$C430+1)+24,"00"),""))</f>
        <v/>
      </c>
      <c r="G430">
        <f>IF($A430="","",IF($E430=1,$F430,IF($F430="",$G429,IF($G429="",$F430,$G429&amp;", "&amp;$F430))))</f>
        <v/>
      </c>
      <c r="H430">
        <f>IF($A430="","",$A430&amp;" ("&amp;$C430&amp;")")</f>
        <v/>
      </c>
      <c r="I430">
        <f>IF($A430="","",IF($E430=1,$H430,$I429&amp;", "&amp;$H430))</f>
        <v/>
      </c>
      <c r="J430">
        <f>IF($A430="","",IF($E430=1,$B430,""))</f>
        <v/>
      </c>
      <c r="K430">
        <f>IF($A430="","",IF(COUNTIF($B$2:$B430,$B430)=COUNTIF($B$2:$B$1601,$B430),$B430,""))</f>
        <v/>
      </c>
    </row>
    <row r="431">
      <c r="A431">
        <f>IF('TMP Paste'!$E431="","",'TMP Paste'!$E431)</f>
        <v/>
      </c>
      <c r="B431">
        <f>IF($A431="","",COUNTIF('TMP Paste'!$B$2:$B431,"?*"))</f>
        <v/>
      </c>
      <c r="C431">
        <f>IF($A431="","",IFERROR('TMP Paste'!$M431*1,0))</f>
        <v/>
      </c>
      <c r="D431">
        <f>IF($A431="","",SUMIF($B$2:$B431,$B431,$C$2:$C431))</f>
        <v/>
      </c>
      <c r="E431">
        <f>IF($A431="",0,IF('TMP Paste'!$B431="",0,1))</f>
        <v/>
      </c>
      <c r="F431">
        <f>IF(OR($A431="",$C431&lt;1),"",$A431&amp;"-"&amp;TEXT(($D431-$C431+1),"00")&amp;IF($C431&gt;=2,", "&amp;$A431&amp;"-"&amp;TEXT(($D431-$C431+1)+1,"00"),"")&amp;IF($C431&gt;=3,", "&amp;$A431&amp;"-"&amp;TEXT(($D431-$C431+1)+2,"00"),"")&amp;IF($C431&gt;=4,", "&amp;$A431&amp;"-"&amp;TEXT(($D431-$C431+1)+3,"00"),"")&amp;IF($C431&gt;=5,", "&amp;$A431&amp;"-"&amp;TEXT(($D431-$C431+1)+4,"00"),"")&amp;IF($C431&gt;=6,", "&amp;$A431&amp;"-"&amp;TEXT(($D431-$C431+1)+5,"00"),"")&amp;IF($C431&gt;=7,", "&amp;$A431&amp;"-"&amp;TEXT(($D431-$C431+1)+6,"00"),"")&amp;IF($C431&gt;=8,", "&amp;$A431&amp;"-"&amp;TEXT(($D431-$C431+1)+7,"00"),"")&amp;IF($C431&gt;=9,", "&amp;$A431&amp;"-"&amp;TEXT(($D431-$C431+1)+8,"00"),"")&amp;IF($C431&gt;=10,", "&amp;$A431&amp;"-"&amp;TEXT(($D431-$C431+1)+9,"00"),"")&amp;IF($C431&gt;=11,", "&amp;$A431&amp;"-"&amp;TEXT(($D431-$C431+1)+10,"00"),"")&amp;IF($C431&gt;=12,", "&amp;$A431&amp;"-"&amp;TEXT(($D431-$C431+1)+11,"00"),"")&amp;IF($C431&gt;=13,", "&amp;$A431&amp;"-"&amp;TEXT(($D431-$C431+1)+12,"00"),"")&amp;IF($C431&gt;=14,", "&amp;$A431&amp;"-"&amp;TEXT(($D431-$C431+1)+13,"00"),"")&amp;IF($C431&gt;=15,", "&amp;$A431&amp;"-"&amp;TEXT(($D431-$C431+1)+14,"00"),"")&amp;IF($C431&gt;=16,", "&amp;$A431&amp;"-"&amp;TEXT(($D431-$C431+1)+15,"00"),"")&amp;IF($C431&gt;=17,", "&amp;$A431&amp;"-"&amp;TEXT(($D431-$C431+1)+16,"00"),"")&amp;IF($C431&gt;=18,", "&amp;$A431&amp;"-"&amp;TEXT(($D431-$C431+1)+17,"00"),"")&amp;IF($C431&gt;=19,", "&amp;$A431&amp;"-"&amp;TEXT(($D431-$C431+1)+18,"00"),"")&amp;IF($C431&gt;=20,", "&amp;$A431&amp;"-"&amp;TEXT(($D431-$C431+1)+19,"00"),"")&amp;IF($C431&gt;=21,", "&amp;$A431&amp;"-"&amp;TEXT(($D431-$C431+1)+20,"00"),"")&amp;IF($C431&gt;=22,", "&amp;$A431&amp;"-"&amp;TEXT(($D431-$C431+1)+21,"00"),"")&amp;IF($C431&gt;=23,", "&amp;$A431&amp;"-"&amp;TEXT(($D431-$C431+1)+22,"00"),"")&amp;IF($C431&gt;=24,", "&amp;$A431&amp;"-"&amp;TEXT(($D431-$C431+1)+23,"00"),"")&amp;IF($C431&gt;=25,", "&amp;$A431&amp;"-"&amp;TEXT(($D431-$C431+1)+24,"00"),""))</f>
        <v/>
      </c>
      <c r="G431">
        <f>IF($A431="","",IF($E431=1,$F431,IF($F431="",$G430,IF($G430="",$F431,$G430&amp;", "&amp;$F431))))</f>
        <v/>
      </c>
      <c r="H431">
        <f>IF($A431="","",$A431&amp;" ("&amp;$C431&amp;")")</f>
        <v/>
      </c>
      <c r="I431">
        <f>IF($A431="","",IF($E431=1,$H431,$I430&amp;", "&amp;$H431))</f>
        <v/>
      </c>
      <c r="J431">
        <f>IF($A431="","",IF($E431=1,$B431,""))</f>
        <v/>
      </c>
      <c r="K431">
        <f>IF($A431="","",IF(COUNTIF($B$2:$B431,$B431)=COUNTIF($B$2:$B$1601,$B431),$B431,""))</f>
        <v/>
      </c>
    </row>
    <row r="432">
      <c r="A432">
        <f>IF('TMP Paste'!$E432="","",'TMP Paste'!$E432)</f>
        <v/>
      </c>
      <c r="B432">
        <f>IF($A432="","",COUNTIF('TMP Paste'!$B$2:$B432,"?*"))</f>
        <v/>
      </c>
      <c r="C432">
        <f>IF($A432="","",IFERROR('TMP Paste'!$M432*1,0))</f>
        <v/>
      </c>
      <c r="D432">
        <f>IF($A432="","",SUMIF($B$2:$B432,$B432,$C$2:$C432))</f>
        <v/>
      </c>
      <c r="E432">
        <f>IF($A432="",0,IF('TMP Paste'!$B432="",0,1))</f>
        <v/>
      </c>
      <c r="F432">
        <f>IF(OR($A432="",$C432&lt;1),"",$A432&amp;"-"&amp;TEXT(($D432-$C432+1),"00")&amp;IF($C432&gt;=2,", "&amp;$A432&amp;"-"&amp;TEXT(($D432-$C432+1)+1,"00"),"")&amp;IF($C432&gt;=3,", "&amp;$A432&amp;"-"&amp;TEXT(($D432-$C432+1)+2,"00"),"")&amp;IF($C432&gt;=4,", "&amp;$A432&amp;"-"&amp;TEXT(($D432-$C432+1)+3,"00"),"")&amp;IF($C432&gt;=5,", "&amp;$A432&amp;"-"&amp;TEXT(($D432-$C432+1)+4,"00"),"")&amp;IF($C432&gt;=6,", "&amp;$A432&amp;"-"&amp;TEXT(($D432-$C432+1)+5,"00"),"")&amp;IF($C432&gt;=7,", "&amp;$A432&amp;"-"&amp;TEXT(($D432-$C432+1)+6,"00"),"")&amp;IF($C432&gt;=8,", "&amp;$A432&amp;"-"&amp;TEXT(($D432-$C432+1)+7,"00"),"")&amp;IF($C432&gt;=9,", "&amp;$A432&amp;"-"&amp;TEXT(($D432-$C432+1)+8,"00"),"")&amp;IF($C432&gt;=10,", "&amp;$A432&amp;"-"&amp;TEXT(($D432-$C432+1)+9,"00"),"")&amp;IF($C432&gt;=11,", "&amp;$A432&amp;"-"&amp;TEXT(($D432-$C432+1)+10,"00"),"")&amp;IF($C432&gt;=12,", "&amp;$A432&amp;"-"&amp;TEXT(($D432-$C432+1)+11,"00"),"")&amp;IF($C432&gt;=13,", "&amp;$A432&amp;"-"&amp;TEXT(($D432-$C432+1)+12,"00"),"")&amp;IF($C432&gt;=14,", "&amp;$A432&amp;"-"&amp;TEXT(($D432-$C432+1)+13,"00"),"")&amp;IF($C432&gt;=15,", "&amp;$A432&amp;"-"&amp;TEXT(($D432-$C432+1)+14,"00"),"")&amp;IF($C432&gt;=16,", "&amp;$A432&amp;"-"&amp;TEXT(($D432-$C432+1)+15,"00"),"")&amp;IF($C432&gt;=17,", "&amp;$A432&amp;"-"&amp;TEXT(($D432-$C432+1)+16,"00"),"")&amp;IF($C432&gt;=18,", "&amp;$A432&amp;"-"&amp;TEXT(($D432-$C432+1)+17,"00"),"")&amp;IF($C432&gt;=19,", "&amp;$A432&amp;"-"&amp;TEXT(($D432-$C432+1)+18,"00"),"")&amp;IF($C432&gt;=20,", "&amp;$A432&amp;"-"&amp;TEXT(($D432-$C432+1)+19,"00"),"")&amp;IF($C432&gt;=21,", "&amp;$A432&amp;"-"&amp;TEXT(($D432-$C432+1)+20,"00"),"")&amp;IF($C432&gt;=22,", "&amp;$A432&amp;"-"&amp;TEXT(($D432-$C432+1)+21,"00"),"")&amp;IF($C432&gt;=23,", "&amp;$A432&amp;"-"&amp;TEXT(($D432-$C432+1)+22,"00"),"")&amp;IF($C432&gt;=24,", "&amp;$A432&amp;"-"&amp;TEXT(($D432-$C432+1)+23,"00"),"")&amp;IF($C432&gt;=25,", "&amp;$A432&amp;"-"&amp;TEXT(($D432-$C432+1)+24,"00"),""))</f>
        <v/>
      </c>
      <c r="G432">
        <f>IF($A432="","",IF($E432=1,$F432,IF($F432="",$G431,IF($G431="",$F432,$G431&amp;", "&amp;$F432))))</f>
        <v/>
      </c>
      <c r="H432">
        <f>IF($A432="","",$A432&amp;" ("&amp;$C432&amp;")")</f>
        <v/>
      </c>
      <c r="I432">
        <f>IF($A432="","",IF($E432=1,$H432,$I431&amp;", "&amp;$H432))</f>
        <v/>
      </c>
      <c r="J432">
        <f>IF($A432="","",IF($E432=1,$B432,""))</f>
        <v/>
      </c>
      <c r="K432">
        <f>IF($A432="","",IF(COUNTIF($B$2:$B432,$B432)=COUNTIF($B$2:$B$1601,$B432),$B432,""))</f>
        <v/>
      </c>
    </row>
    <row r="433">
      <c r="A433">
        <f>IF('TMP Paste'!$E433="","",'TMP Paste'!$E433)</f>
        <v/>
      </c>
      <c r="B433">
        <f>IF($A433="","",COUNTIF('TMP Paste'!$B$2:$B433,"?*"))</f>
        <v/>
      </c>
      <c r="C433">
        <f>IF($A433="","",IFERROR('TMP Paste'!$M433*1,0))</f>
        <v/>
      </c>
      <c r="D433">
        <f>IF($A433="","",SUMIF($B$2:$B433,$B433,$C$2:$C433))</f>
        <v/>
      </c>
      <c r="E433">
        <f>IF($A433="",0,IF('TMP Paste'!$B433="",0,1))</f>
        <v/>
      </c>
      <c r="F433">
        <f>IF(OR($A433="",$C433&lt;1),"",$A433&amp;"-"&amp;TEXT(($D433-$C433+1),"00")&amp;IF($C433&gt;=2,", "&amp;$A433&amp;"-"&amp;TEXT(($D433-$C433+1)+1,"00"),"")&amp;IF($C433&gt;=3,", "&amp;$A433&amp;"-"&amp;TEXT(($D433-$C433+1)+2,"00"),"")&amp;IF($C433&gt;=4,", "&amp;$A433&amp;"-"&amp;TEXT(($D433-$C433+1)+3,"00"),"")&amp;IF($C433&gt;=5,", "&amp;$A433&amp;"-"&amp;TEXT(($D433-$C433+1)+4,"00"),"")&amp;IF($C433&gt;=6,", "&amp;$A433&amp;"-"&amp;TEXT(($D433-$C433+1)+5,"00"),"")&amp;IF($C433&gt;=7,", "&amp;$A433&amp;"-"&amp;TEXT(($D433-$C433+1)+6,"00"),"")&amp;IF($C433&gt;=8,", "&amp;$A433&amp;"-"&amp;TEXT(($D433-$C433+1)+7,"00"),"")&amp;IF($C433&gt;=9,", "&amp;$A433&amp;"-"&amp;TEXT(($D433-$C433+1)+8,"00"),"")&amp;IF($C433&gt;=10,", "&amp;$A433&amp;"-"&amp;TEXT(($D433-$C433+1)+9,"00"),"")&amp;IF($C433&gt;=11,", "&amp;$A433&amp;"-"&amp;TEXT(($D433-$C433+1)+10,"00"),"")&amp;IF($C433&gt;=12,", "&amp;$A433&amp;"-"&amp;TEXT(($D433-$C433+1)+11,"00"),"")&amp;IF($C433&gt;=13,", "&amp;$A433&amp;"-"&amp;TEXT(($D433-$C433+1)+12,"00"),"")&amp;IF($C433&gt;=14,", "&amp;$A433&amp;"-"&amp;TEXT(($D433-$C433+1)+13,"00"),"")&amp;IF($C433&gt;=15,", "&amp;$A433&amp;"-"&amp;TEXT(($D433-$C433+1)+14,"00"),"")&amp;IF($C433&gt;=16,", "&amp;$A433&amp;"-"&amp;TEXT(($D433-$C433+1)+15,"00"),"")&amp;IF($C433&gt;=17,", "&amp;$A433&amp;"-"&amp;TEXT(($D433-$C433+1)+16,"00"),"")&amp;IF($C433&gt;=18,", "&amp;$A433&amp;"-"&amp;TEXT(($D433-$C433+1)+17,"00"),"")&amp;IF($C433&gt;=19,", "&amp;$A433&amp;"-"&amp;TEXT(($D433-$C433+1)+18,"00"),"")&amp;IF($C433&gt;=20,", "&amp;$A433&amp;"-"&amp;TEXT(($D433-$C433+1)+19,"00"),"")&amp;IF($C433&gt;=21,", "&amp;$A433&amp;"-"&amp;TEXT(($D433-$C433+1)+20,"00"),"")&amp;IF($C433&gt;=22,", "&amp;$A433&amp;"-"&amp;TEXT(($D433-$C433+1)+21,"00"),"")&amp;IF($C433&gt;=23,", "&amp;$A433&amp;"-"&amp;TEXT(($D433-$C433+1)+22,"00"),"")&amp;IF($C433&gt;=24,", "&amp;$A433&amp;"-"&amp;TEXT(($D433-$C433+1)+23,"00"),"")&amp;IF($C433&gt;=25,", "&amp;$A433&amp;"-"&amp;TEXT(($D433-$C433+1)+24,"00"),""))</f>
        <v/>
      </c>
      <c r="G433">
        <f>IF($A433="","",IF($E433=1,$F433,IF($F433="",$G432,IF($G432="",$F433,$G432&amp;", "&amp;$F433))))</f>
        <v/>
      </c>
      <c r="H433">
        <f>IF($A433="","",$A433&amp;" ("&amp;$C433&amp;")")</f>
        <v/>
      </c>
      <c r="I433">
        <f>IF($A433="","",IF($E433=1,$H433,$I432&amp;", "&amp;$H433))</f>
        <v/>
      </c>
      <c r="J433">
        <f>IF($A433="","",IF($E433=1,$B433,""))</f>
        <v/>
      </c>
      <c r="K433">
        <f>IF($A433="","",IF(COUNTIF($B$2:$B433,$B433)=COUNTIF($B$2:$B$1601,$B433),$B433,""))</f>
        <v/>
      </c>
    </row>
    <row r="434">
      <c r="A434">
        <f>IF('TMP Paste'!$E434="","",'TMP Paste'!$E434)</f>
        <v/>
      </c>
      <c r="B434">
        <f>IF($A434="","",COUNTIF('TMP Paste'!$B$2:$B434,"?*"))</f>
        <v/>
      </c>
      <c r="C434">
        <f>IF($A434="","",IFERROR('TMP Paste'!$M434*1,0))</f>
        <v/>
      </c>
      <c r="D434">
        <f>IF($A434="","",SUMIF($B$2:$B434,$B434,$C$2:$C434))</f>
        <v/>
      </c>
      <c r="E434">
        <f>IF($A434="",0,IF('TMP Paste'!$B434="",0,1))</f>
        <v/>
      </c>
      <c r="F434">
        <f>IF(OR($A434="",$C434&lt;1),"",$A434&amp;"-"&amp;TEXT(($D434-$C434+1),"00")&amp;IF($C434&gt;=2,", "&amp;$A434&amp;"-"&amp;TEXT(($D434-$C434+1)+1,"00"),"")&amp;IF($C434&gt;=3,", "&amp;$A434&amp;"-"&amp;TEXT(($D434-$C434+1)+2,"00"),"")&amp;IF($C434&gt;=4,", "&amp;$A434&amp;"-"&amp;TEXT(($D434-$C434+1)+3,"00"),"")&amp;IF($C434&gt;=5,", "&amp;$A434&amp;"-"&amp;TEXT(($D434-$C434+1)+4,"00"),"")&amp;IF($C434&gt;=6,", "&amp;$A434&amp;"-"&amp;TEXT(($D434-$C434+1)+5,"00"),"")&amp;IF($C434&gt;=7,", "&amp;$A434&amp;"-"&amp;TEXT(($D434-$C434+1)+6,"00"),"")&amp;IF($C434&gt;=8,", "&amp;$A434&amp;"-"&amp;TEXT(($D434-$C434+1)+7,"00"),"")&amp;IF($C434&gt;=9,", "&amp;$A434&amp;"-"&amp;TEXT(($D434-$C434+1)+8,"00"),"")&amp;IF($C434&gt;=10,", "&amp;$A434&amp;"-"&amp;TEXT(($D434-$C434+1)+9,"00"),"")&amp;IF($C434&gt;=11,", "&amp;$A434&amp;"-"&amp;TEXT(($D434-$C434+1)+10,"00"),"")&amp;IF($C434&gt;=12,", "&amp;$A434&amp;"-"&amp;TEXT(($D434-$C434+1)+11,"00"),"")&amp;IF($C434&gt;=13,", "&amp;$A434&amp;"-"&amp;TEXT(($D434-$C434+1)+12,"00"),"")&amp;IF($C434&gt;=14,", "&amp;$A434&amp;"-"&amp;TEXT(($D434-$C434+1)+13,"00"),"")&amp;IF($C434&gt;=15,", "&amp;$A434&amp;"-"&amp;TEXT(($D434-$C434+1)+14,"00"),"")&amp;IF($C434&gt;=16,", "&amp;$A434&amp;"-"&amp;TEXT(($D434-$C434+1)+15,"00"),"")&amp;IF($C434&gt;=17,", "&amp;$A434&amp;"-"&amp;TEXT(($D434-$C434+1)+16,"00"),"")&amp;IF($C434&gt;=18,", "&amp;$A434&amp;"-"&amp;TEXT(($D434-$C434+1)+17,"00"),"")&amp;IF($C434&gt;=19,", "&amp;$A434&amp;"-"&amp;TEXT(($D434-$C434+1)+18,"00"),"")&amp;IF($C434&gt;=20,", "&amp;$A434&amp;"-"&amp;TEXT(($D434-$C434+1)+19,"00"),"")&amp;IF($C434&gt;=21,", "&amp;$A434&amp;"-"&amp;TEXT(($D434-$C434+1)+20,"00"),"")&amp;IF($C434&gt;=22,", "&amp;$A434&amp;"-"&amp;TEXT(($D434-$C434+1)+21,"00"),"")&amp;IF($C434&gt;=23,", "&amp;$A434&amp;"-"&amp;TEXT(($D434-$C434+1)+22,"00"),"")&amp;IF($C434&gt;=24,", "&amp;$A434&amp;"-"&amp;TEXT(($D434-$C434+1)+23,"00"),"")&amp;IF($C434&gt;=25,", "&amp;$A434&amp;"-"&amp;TEXT(($D434-$C434+1)+24,"00"),""))</f>
        <v/>
      </c>
      <c r="G434">
        <f>IF($A434="","",IF($E434=1,$F434,IF($F434="",$G433,IF($G433="",$F434,$G433&amp;", "&amp;$F434))))</f>
        <v/>
      </c>
      <c r="H434">
        <f>IF($A434="","",$A434&amp;" ("&amp;$C434&amp;")")</f>
        <v/>
      </c>
      <c r="I434">
        <f>IF($A434="","",IF($E434=1,$H434,$I433&amp;", "&amp;$H434))</f>
        <v/>
      </c>
      <c r="J434">
        <f>IF($A434="","",IF($E434=1,$B434,""))</f>
        <v/>
      </c>
      <c r="K434">
        <f>IF($A434="","",IF(COUNTIF($B$2:$B434,$B434)=COUNTIF($B$2:$B$1601,$B434),$B434,""))</f>
        <v/>
      </c>
    </row>
    <row r="435">
      <c r="A435">
        <f>IF('TMP Paste'!$E435="","",'TMP Paste'!$E435)</f>
        <v/>
      </c>
      <c r="B435">
        <f>IF($A435="","",COUNTIF('TMP Paste'!$B$2:$B435,"?*"))</f>
        <v/>
      </c>
      <c r="C435">
        <f>IF($A435="","",IFERROR('TMP Paste'!$M435*1,0))</f>
        <v/>
      </c>
      <c r="D435">
        <f>IF($A435="","",SUMIF($B$2:$B435,$B435,$C$2:$C435))</f>
        <v/>
      </c>
      <c r="E435">
        <f>IF($A435="",0,IF('TMP Paste'!$B435="",0,1))</f>
        <v/>
      </c>
      <c r="F435">
        <f>IF(OR($A435="",$C435&lt;1),"",$A435&amp;"-"&amp;TEXT(($D435-$C435+1),"00")&amp;IF($C435&gt;=2,", "&amp;$A435&amp;"-"&amp;TEXT(($D435-$C435+1)+1,"00"),"")&amp;IF($C435&gt;=3,", "&amp;$A435&amp;"-"&amp;TEXT(($D435-$C435+1)+2,"00"),"")&amp;IF($C435&gt;=4,", "&amp;$A435&amp;"-"&amp;TEXT(($D435-$C435+1)+3,"00"),"")&amp;IF($C435&gt;=5,", "&amp;$A435&amp;"-"&amp;TEXT(($D435-$C435+1)+4,"00"),"")&amp;IF($C435&gt;=6,", "&amp;$A435&amp;"-"&amp;TEXT(($D435-$C435+1)+5,"00"),"")&amp;IF($C435&gt;=7,", "&amp;$A435&amp;"-"&amp;TEXT(($D435-$C435+1)+6,"00"),"")&amp;IF($C435&gt;=8,", "&amp;$A435&amp;"-"&amp;TEXT(($D435-$C435+1)+7,"00"),"")&amp;IF($C435&gt;=9,", "&amp;$A435&amp;"-"&amp;TEXT(($D435-$C435+1)+8,"00"),"")&amp;IF($C435&gt;=10,", "&amp;$A435&amp;"-"&amp;TEXT(($D435-$C435+1)+9,"00"),"")&amp;IF($C435&gt;=11,", "&amp;$A435&amp;"-"&amp;TEXT(($D435-$C435+1)+10,"00"),"")&amp;IF($C435&gt;=12,", "&amp;$A435&amp;"-"&amp;TEXT(($D435-$C435+1)+11,"00"),"")&amp;IF($C435&gt;=13,", "&amp;$A435&amp;"-"&amp;TEXT(($D435-$C435+1)+12,"00"),"")&amp;IF($C435&gt;=14,", "&amp;$A435&amp;"-"&amp;TEXT(($D435-$C435+1)+13,"00"),"")&amp;IF($C435&gt;=15,", "&amp;$A435&amp;"-"&amp;TEXT(($D435-$C435+1)+14,"00"),"")&amp;IF($C435&gt;=16,", "&amp;$A435&amp;"-"&amp;TEXT(($D435-$C435+1)+15,"00"),"")&amp;IF($C435&gt;=17,", "&amp;$A435&amp;"-"&amp;TEXT(($D435-$C435+1)+16,"00"),"")&amp;IF($C435&gt;=18,", "&amp;$A435&amp;"-"&amp;TEXT(($D435-$C435+1)+17,"00"),"")&amp;IF($C435&gt;=19,", "&amp;$A435&amp;"-"&amp;TEXT(($D435-$C435+1)+18,"00"),"")&amp;IF($C435&gt;=20,", "&amp;$A435&amp;"-"&amp;TEXT(($D435-$C435+1)+19,"00"),"")&amp;IF($C435&gt;=21,", "&amp;$A435&amp;"-"&amp;TEXT(($D435-$C435+1)+20,"00"),"")&amp;IF($C435&gt;=22,", "&amp;$A435&amp;"-"&amp;TEXT(($D435-$C435+1)+21,"00"),"")&amp;IF($C435&gt;=23,", "&amp;$A435&amp;"-"&amp;TEXT(($D435-$C435+1)+22,"00"),"")&amp;IF($C435&gt;=24,", "&amp;$A435&amp;"-"&amp;TEXT(($D435-$C435+1)+23,"00"),"")&amp;IF($C435&gt;=25,", "&amp;$A435&amp;"-"&amp;TEXT(($D435-$C435+1)+24,"00"),""))</f>
        <v/>
      </c>
      <c r="G435">
        <f>IF($A435="","",IF($E435=1,$F435,IF($F435="",$G434,IF($G434="",$F435,$G434&amp;", "&amp;$F435))))</f>
        <v/>
      </c>
      <c r="H435">
        <f>IF($A435="","",$A435&amp;" ("&amp;$C435&amp;")")</f>
        <v/>
      </c>
      <c r="I435">
        <f>IF($A435="","",IF($E435=1,$H435,$I434&amp;", "&amp;$H435))</f>
        <v/>
      </c>
      <c r="J435">
        <f>IF($A435="","",IF($E435=1,$B435,""))</f>
        <v/>
      </c>
      <c r="K435">
        <f>IF($A435="","",IF(COUNTIF($B$2:$B435,$B435)=COUNTIF($B$2:$B$1601,$B435),$B435,""))</f>
        <v/>
      </c>
    </row>
    <row r="436">
      <c r="A436">
        <f>IF('TMP Paste'!$E436="","",'TMP Paste'!$E436)</f>
        <v/>
      </c>
      <c r="B436">
        <f>IF($A436="","",COUNTIF('TMP Paste'!$B$2:$B436,"?*"))</f>
        <v/>
      </c>
      <c r="C436">
        <f>IF($A436="","",IFERROR('TMP Paste'!$M436*1,0))</f>
        <v/>
      </c>
      <c r="D436">
        <f>IF($A436="","",SUMIF($B$2:$B436,$B436,$C$2:$C436))</f>
        <v/>
      </c>
      <c r="E436">
        <f>IF($A436="",0,IF('TMP Paste'!$B436="",0,1))</f>
        <v/>
      </c>
      <c r="F436">
        <f>IF(OR($A436="",$C436&lt;1),"",$A436&amp;"-"&amp;TEXT(($D436-$C436+1),"00")&amp;IF($C436&gt;=2,", "&amp;$A436&amp;"-"&amp;TEXT(($D436-$C436+1)+1,"00"),"")&amp;IF($C436&gt;=3,", "&amp;$A436&amp;"-"&amp;TEXT(($D436-$C436+1)+2,"00"),"")&amp;IF($C436&gt;=4,", "&amp;$A436&amp;"-"&amp;TEXT(($D436-$C436+1)+3,"00"),"")&amp;IF($C436&gt;=5,", "&amp;$A436&amp;"-"&amp;TEXT(($D436-$C436+1)+4,"00"),"")&amp;IF($C436&gt;=6,", "&amp;$A436&amp;"-"&amp;TEXT(($D436-$C436+1)+5,"00"),"")&amp;IF($C436&gt;=7,", "&amp;$A436&amp;"-"&amp;TEXT(($D436-$C436+1)+6,"00"),"")&amp;IF($C436&gt;=8,", "&amp;$A436&amp;"-"&amp;TEXT(($D436-$C436+1)+7,"00"),"")&amp;IF($C436&gt;=9,", "&amp;$A436&amp;"-"&amp;TEXT(($D436-$C436+1)+8,"00"),"")&amp;IF($C436&gt;=10,", "&amp;$A436&amp;"-"&amp;TEXT(($D436-$C436+1)+9,"00"),"")&amp;IF($C436&gt;=11,", "&amp;$A436&amp;"-"&amp;TEXT(($D436-$C436+1)+10,"00"),"")&amp;IF($C436&gt;=12,", "&amp;$A436&amp;"-"&amp;TEXT(($D436-$C436+1)+11,"00"),"")&amp;IF($C436&gt;=13,", "&amp;$A436&amp;"-"&amp;TEXT(($D436-$C436+1)+12,"00"),"")&amp;IF($C436&gt;=14,", "&amp;$A436&amp;"-"&amp;TEXT(($D436-$C436+1)+13,"00"),"")&amp;IF($C436&gt;=15,", "&amp;$A436&amp;"-"&amp;TEXT(($D436-$C436+1)+14,"00"),"")&amp;IF($C436&gt;=16,", "&amp;$A436&amp;"-"&amp;TEXT(($D436-$C436+1)+15,"00"),"")&amp;IF($C436&gt;=17,", "&amp;$A436&amp;"-"&amp;TEXT(($D436-$C436+1)+16,"00"),"")&amp;IF($C436&gt;=18,", "&amp;$A436&amp;"-"&amp;TEXT(($D436-$C436+1)+17,"00"),"")&amp;IF($C436&gt;=19,", "&amp;$A436&amp;"-"&amp;TEXT(($D436-$C436+1)+18,"00"),"")&amp;IF($C436&gt;=20,", "&amp;$A436&amp;"-"&amp;TEXT(($D436-$C436+1)+19,"00"),"")&amp;IF($C436&gt;=21,", "&amp;$A436&amp;"-"&amp;TEXT(($D436-$C436+1)+20,"00"),"")&amp;IF($C436&gt;=22,", "&amp;$A436&amp;"-"&amp;TEXT(($D436-$C436+1)+21,"00"),"")&amp;IF($C436&gt;=23,", "&amp;$A436&amp;"-"&amp;TEXT(($D436-$C436+1)+22,"00"),"")&amp;IF($C436&gt;=24,", "&amp;$A436&amp;"-"&amp;TEXT(($D436-$C436+1)+23,"00"),"")&amp;IF($C436&gt;=25,", "&amp;$A436&amp;"-"&amp;TEXT(($D436-$C436+1)+24,"00"),""))</f>
        <v/>
      </c>
      <c r="G436">
        <f>IF($A436="","",IF($E436=1,$F436,IF($F436="",$G435,IF($G435="",$F436,$G435&amp;", "&amp;$F436))))</f>
        <v/>
      </c>
      <c r="H436">
        <f>IF($A436="","",$A436&amp;" ("&amp;$C436&amp;")")</f>
        <v/>
      </c>
      <c r="I436">
        <f>IF($A436="","",IF($E436=1,$H436,$I435&amp;", "&amp;$H436))</f>
        <v/>
      </c>
      <c r="J436">
        <f>IF($A436="","",IF($E436=1,$B436,""))</f>
        <v/>
      </c>
      <c r="K436">
        <f>IF($A436="","",IF(COUNTIF($B$2:$B436,$B436)=COUNTIF($B$2:$B$1601,$B436),$B436,""))</f>
        <v/>
      </c>
    </row>
    <row r="437">
      <c r="A437">
        <f>IF('TMP Paste'!$E437="","",'TMP Paste'!$E437)</f>
        <v/>
      </c>
      <c r="B437">
        <f>IF($A437="","",COUNTIF('TMP Paste'!$B$2:$B437,"?*"))</f>
        <v/>
      </c>
      <c r="C437">
        <f>IF($A437="","",IFERROR('TMP Paste'!$M437*1,0))</f>
        <v/>
      </c>
      <c r="D437">
        <f>IF($A437="","",SUMIF($B$2:$B437,$B437,$C$2:$C437))</f>
        <v/>
      </c>
      <c r="E437">
        <f>IF($A437="",0,IF('TMP Paste'!$B437="",0,1))</f>
        <v/>
      </c>
      <c r="F437">
        <f>IF(OR($A437="",$C437&lt;1),"",$A437&amp;"-"&amp;TEXT(($D437-$C437+1),"00")&amp;IF($C437&gt;=2,", "&amp;$A437&amp;"-"&amp;TEXT(($D437-$C437+1)+1,"00"),"")&amp;IF($C437&gt;=3,", "&amp;$A437&amp;"-"&amp;TEXT(($D437-$C437+1)+2,"00"),"")&amp;IF($C437&gt;=4,", "&amp;$A437&amp;"-"&amp;TEXT(($D437-$C437+1)+3,"00"),"")&amp;IF($C437&gt;=5,", "&amp;$A437&amp;"-"&amp;TEXT(($D437-$C437+1)+4,"00"),"")&amp;IF($C437&gt;=6,", "&amp;$A437&amp;"-"&amp;TEXT(($D437-$C437+1)+5,"00"),"")&amp;IF($C437&gt;=7,", "&amp;$A437&amp;"-"&amp;TEXT(($D437-$C437+1)+6,"00"),"")&amp;IF($C437&gt;=8,", "&amp;$A437&amp;"-"&amp;TEXT(($D437-$C437+1)+7,"00"),"")&amp;IF($C437&gt;=9,", "&amp;$A437&amp;"-"&amp;TEXT(($D437-$C437+1)+8,"00"),"")&amp;IF($C437&gt;=10,", "&amp;$A437&amp;"-"&amp;TEXT(($D437-$C437+1)+9,"00"),"")&amp;IF($C437&gt;=11,", "&amp;$A437&amp;"-"&amp;TEXT(($D437-$C437+1)+10,"00"),"")&amp;IF($C437&gt;=12,", "&amp;$A437&amp;"-"&amp;TEXT(($D437-$C437+1)+11,"00"),"")&amp;IF($C437&gt;=13,", "&amp;$A437&amp;"-"&amp;TEXT(($D437-$C437+1)+12,"00"),"")&amp;IF($C437&gt;=14,", "&amp;$A437&amp;"-"&amp;TEXT(($D437-$C437+1)+13,"00"),"")&amp;IF($C437&gt;=15,", "&amp;$A437&amp;"-"&amp;TEXT(($D437-$C437+1)+14,"00"),"")&amp;IF($C437&gt;=16,", "&amp;$A437&amp;"-"&amp;TEXT(($D437-$C437+1)+15,"00"),"")&amp;IF($C437&gt;=17,", "&amp;$A437&amp;"-"&amp;TEXT(($D437-$C437+1)+16,"00"),"")&amp;IF($C437&gt;=18,", "&amp;$A437&amp;"-"&amp;TEXT(($D437-$C437+1)+17,"00"),"")&amp;IF($C437&gt;=19,", "&amp;$A437&amp;"-"&amp;TEXT(($D437-$C437+1)+18,"00"),"")&amp;IF($C437&gt;=20,", "&amp;$A437&amp;"-"&amp;TEXT(($D437-$C437+1)+19,"00"),"")&amp;IF($C437&gt;=21,", "&amp;$A437&amp;"-"&amp;TEXT(($D437-$C437+1)+20,"00"),"")&amp;IF($C437&gt;=22,", "&amp;$A437&amp;"-"&amp;TEXT(($D437-$C437+1)+21,"00"),"")&amp;IF($C437&gt;=23,", "&amp;$A437&amp;"-"&amp;TEXT(($D437-$C437+1)+22,"00"),"")&amp;IF($C437&gt;=24,", "&amp;$A437&amp;"-"&amp;TEXT(($D437-$C437+1)+23,"00"),"")&amp;IF($C437&gt;=25,", "&amp;$A437&amp;"-"&amp;TEXT(($D437-$C437+1)+24,"00"),""))</f>
        <v/>
      </c>
      <c r="G437">
        <f>IF($A437="","",IF($E437=1,$F437,IF($F437="",$G436,IF($G436="",$F437,$G436&amp;", "&amp;$F437))))</f>
        <v/>
      </c>
      <c r="H437">
        <f>IF($A437="","",$A437&amp;" ("&amp;$C437&amp;")")</f>
        <v/>
      </c>
      <c r="I437">
        <f>IF($A437="","",IF($E437=1,$H437,$I436&amp;", "&amp;$H437))</f>
        <v/>
      </c>
      <c r="J437">
        <f>IF($A437="","",IF($E437=1,$B437,""))</f>
        <v/>
      </c>
      <c r="K437">
        <f>IF($A437="","",IF(COUNTIF($B$2:$B437,$B437)=COUNTIF($B$2:$B$1601,$B437),$B437,""))</f>
        <v/>
      </c>
    </row>
    <row r="438">
      <c r="A438">
        <f>IF('TMP Paste'!$E438="","",'TMP Paste'!$E438)</f>
        <v/>
      </c>
      <c r="B438">
        <f>IF($A438="","",COUNTIF('TMP Paste'!$B$2:$B438,"?*"))</f>
        <v/>
      </c>
      <c r="C438">
        <f>IF($A438="","",IFERROR('TMP Paste'!$M438*1,0))</f>
        <v/>
      </c>
      <c r="D438">
        <f>IF($A438="","",SUMIF($B$2:$B438,$B438,$C$2:$C438))</f>
        <v/>
      </c>
      <c r="E438">
        <f>IF($A438="",0,IF('TMP Paste'!$B438="",0,1))</f>
        <v/>
      </c>
      <c r="F438">
        <f>IF(OR($A438="",$C438&lt;1),"",$A438&amp;"-"&amp;TEXT(($D438-$C438+1),"00")&amp;IF($C438&gt;=2,", "&amp;$A438&amp;"-"&amp;TEXT(($D438-$C438+1)+1,"00"),"")&amp;IF($C438&gt;=3,", "&amp;$A438&amp;"-"&amp;TEXT(($D438-$C438+1)+2,"00"),"")&amp;IF($C438&gt;=4,", "&amp;$A438&amp;"-"&amp;TEXT(($D438-$C438+1)+3,"00"),"")&amp;IF($C438&gt;=5,", "&amp;$A438&amp;"-"&amp;TEXT(($D438-$C438+1)+4,"00"),"")&amp;IF($C438&gt;=6,", "&amp;$A438&amp;"-"&amp;TEXT(($D438-$C438+1)+5,"00"),"")&amp;IF($C438&gt;=7,", "&amp;$A438&amp;"-"&amp;TEXT(($D438-$C438+1)+6,"00"),"")&amp;IF($C438&gt;=8,", "&amp;$A438&amp;"-"&amp;TEXT(($D438-$C438+1)+7,"00"),"")&amp;IF($C438&gt;=9,", "&amp;$A438&amp;"-"&amp;TEXT(($D438-$C438+1)+8,"00"),"")&amp;IF($C438&gt;=10,", "&amp;$A438&amp;"-"&amp;TEXT(($D438-$C438+1)+9,"00"),"")&amp;IF($C438&gt;=11,", "&amp;$A438&amp;"-"&amp;TEXT(($D438-$C438+1)+10,"00"),"")&amp;IF($C438&gt;=12,", "&amp;$A438&amp;"-"&amp;TEXT(($D438-$C438+1)+11,"00"),"")&amp;IF($C438&gt;=13,", "&amp;$A438&amp;"-"&amp;TEXT(($D438-$C438+1)+12,"00"),"")&amp;IF($C438&gt;=14,", "&amp;$A438&amp;"-"&amp;TEXT(($D438-$C438+1)+13,"00"),"")&amp;IF($C438&gt;=15,", "&amp;$A438&amp;"-"&amp;TEXT(($D438-$C438+1)+14,"00"),"")&amp;IF($C438&gt;=16,", "&amp;$A438&amp;"-"&amp;TEXT(($D438-$C438+1)+15,"00"),"")&amp;IF($C438&gt;=17,", "&amp;$A438&amp;"-"&amp;TEXT(($D438-$C438+1)+16,"00"),"")&amp;IF($C438&gt;=18,", "&amp;$A438&amp;"-"&amp;TEXT(($D438-$C438+1)+17,"00"),"")&amp;IF($C438&gt;=19,", "&amp;$A438&amp;"-"&amp;TEXT(($D438-$C438+1)+18,"00"),"")&amp;IF($C438&gt;=20,", "&amp;$A438&amp;"-"&amp;TEXT(($D438-$C438+1)+19,"00"),"")&amp;IF($C438&gt;=21,", "&amp;$A438&amp;"-"&amp;TEXT(($D438-$C438+1)+20,"00"),"")&amp;IF($C438&gt;=22,", "&amp;$A438&amp;"-"&amp;TEXT(($D438-$C438+1)+21,"00"),"")&amp;IF($C438&gt;=23,", "&amp;$A438&amp;"-"&amp;TEXT(($D438-$C438+1)+22,"00"),"")&amp;IF($C438&gt;=24,", "&amp;$A438&amp;"-"&amp;TEXT(($D438-$C438+1)+23,"00"),"")&amp;IF($C438&gt;=25,", "&amp;$A438&amp;"-"&amp;TEXT(($D438-$C438+1)+24,"00"),""))</f>
        <v/>
      </c>
      <c r="G438">
        <f>IF($A438="","",IF($E438=1,$F438,IF($F438="",$G437,IF($G437="",$F438,$G437&amp;", "&amp;$F438))))</f>
        <v/>
      </c>
      <c r="H438">
        <f>IF($A438="","",$A438&amp;" ("&amp;$C438&amp;")")</f>
        <v/>
      </c>
      <c r="I438">
        <f>IF($A438="","",IF($E438=1,$H438,$I437&amp;", "&amp;$H438))</f>
        <v/>
      </c>
      <c r="J438">
        <f>IF($A438="","",IF($E438=1,$B438,""))</f>
        <v/>
      </c>
      <c r="K438">
        <f>IF($A438="","",IF(COUNTIF($B$2:$B438,$B438)=COUNTIF($B$2:$B$1601,$B438),$B438,""))</f>
        <v/>
      </c>
    </row>
    <row r="439">
      <c r="A439">
        <f>IF('TMP Paste'!$E439="","",'TMP Paste'!$E439)</f>
        <v/>
      </c>
      <c r="B439">
        <f>IF($A439="","",COUNTIF('TMP Paste'!$B$2:$B439,"?*"))</f>
        <v/>
      </c>
      <c r="C439">
        <f>IF($A439="","",IFERROR('TMP Paste'!$M439*1,0))</f>
        <v/>
      </c>
      <c r="D439">
        <f>IF($A439="","",SUMIF($B$2:$B439,$B439,$C$2:$C439))</f>
        <v/>
      </c>
      <c r="E439">
        <f>IF($A439="",0,IF('TMP Paste'!$B439="",0,1))</f>
        <v/>
      </c>
      <c r="F439">
        <f>IF(OR($A439="",$C439&lt;1),"",$A439&amp;"-"&amp;TEXT(($D439-$C439+1),"00")&amp;IF($C439&gt;=2,", "&amp;$A439&amp;"-"&amp;TEXT(($D439-$C439+1)+1,"00"),"")&amp;IF($C439&gt;=3,", "&amp;$A439&amp;"-"&amp;TEXT(($D439-$C439+1)+2,"00"),"")&amp;IF($C439&gt;=4,", "&amp;$A439&amp;"-"&amp;TEXT(($D439-$C439+1)+3,"00"),"")&amp;IF($C439&gt;=5,", "&amp;$A439&amp;"-"&amp;TEXT(($D439-$C439+1)+4,"00"),"")&amp;IF($C439&gt;=6,", "&amp;$A439&amp;"-"&amp;TEXT(($D439-$C439+1)+5,"00"),"")&amp;IF($C439&gt;=7,", "&amp;$A439&amp;"-"&amp;TEXT(($D439-$C439+1)+6,"00"),"")&amp;IF($C439&gt;=8,", "&amp;$A439&amp;"-"&amp;TEXT(($D439-$C439+1)+7,"00"),"")&amp;IF($C439&gt;=9,", "&amp;$A439&amp;"-"&amp;TEXT(($D439-$C439+1)+8,"00"),"")&amp;IF($C439&gt;=10,", "&amp;$A439&amp;"-"&amp;TEXT(($D439-$C439+1)+9,"00"),"")&amp;IF($C439&gt;=11,", "&amp;$A439&amp;"-"&amp;TEXT(($D439-$C439+1)+10,"00"),"")&amp;IF($C439&gt;=12,", "&amp;$A439&amp;"-"&amp;TEXT(($D439-$C439+1)+11,"00"),"")&amp;IF($C439&gt;=13,", "&amp;$A439&amp;"-"&amp;TEXT(($D439-$C439+1)+12,"00"),"")&amp;IF($C439&gt;=14,", "&amp;$A439&amp;"-"&amp;TEXT(($D439-$C439+1)+13,"00"),"")&amp;IF($C439&gt;=15,", "&amp;$A439&amp;"-"&amp;TEXT(($D439-$C439+1)+14,"00"),"")&amp;IF($C439&gt;=16,", "&amp;$A439&amp;"-"&amp;TEXT(($D439-$C439+1)+15,"00"),"")&amp;IF($C439&gt;=17,", "&amp;$A439&amp;"-"&amp;TEXT(($D439-$C439+1)+16,"00"),"")&amp;IF($C439&gt;=18,", "&amp;$A439&amp;"-"&amp;TEXT(($D439-$C439+1)+17,"00"),"")&amp;IF($C439&gt;=19,", "&amp;$A439&amp;"-"&amp;TEXT(($D439-$C439+1)+18,"00"),"")&amp;IF($C439&gt;=20,", "&amp;$A439&amp;"-"&amp;TEXT(($D439-$C439+1)+19,"00"),"")&amp;IF($C439&gt;=21,", "&amp;$A439&amp;"-"&amp;TEXT(($D439-$C439+1)+20,"00"),"")&amp;IF($C439&gt;=22,", "&amp;$A439&amp;"-"&amp;TEXT(($D439-$C439+1)+21,"00"),"")&amp;IF($C439&gt;=23,", "&amp;$A439&amp;"-"&amp;TEXT(($D439-$C439+1)+22,"00"),"")&amp;IF($C439&gt;=24,", "&amp;$A439&amp;"-"&amp;TEXT(($D439-$C439+1)+23,"00"),"")&amp;IF($C439&gt;=25,", "&amp;$A439&amp;"-"&amp;TEXT(($D439-$C439+1)+24,"00"),""))</f>
        <v/>
      </c>
      <c r="G439">
        <f>IF($A439="","",IF($E439=1,$F439,IF($F439="",$G438,IF($G438="",$F439,$G438&amp;", "&amp;$F439))))</f>
        <v/>
      </c>
      <c r="H439">
        <f>IF($A439="","",$A439&amp;" ("&amp;$C439&amp;")")</f>
        <v/>
      </c>
      <c r="I439">
        <f>IF($A439="","",IF($E439=1,$H439,$I438&amp;", "&amp;$H439))</f>
        <v/>
      </c>
      <c r="J439">
        <f>IF($A439="","",IF($E439=1,$B439,""))</f>
        <v/>
      </c>
      <c r="K439">
        <f>IF($A439="","",IF(COUNTIF($B$2:$B439,$B439)=COUNTIF($B$2:$B$1601,$B439),$B439,""))</f>
        <v/>
      </c>
    </row>
    <row r="440">
      <c r="A440">
        <f>IF('TMP Paste'!$E440="","",'TMP Paste'!$E440)</f>
        <v/>
      </c>
      <c r="B440">
        <f>IF($A440="","",COUNTIF('TMP Paste'!$B$2:$B440,"?*"))</f>
        <v/>
      </c>
      <c r="C440">
        <f>IF($A440="","",IFERROR('TMP Paste'!$M440*1,0))</f>
        <v/>
      </c>
      <c r="D440">
        <f>IF($A440="","",SUMIF($B$2:$B440,$B440,$C$2:$C440))</f>
        <v/>
      </c>
      <c r="E440">
        <f>IF($A440="",0,IF('TMP Paste'!$B440="",0,1))</f>
        <v/>
      </c>
      <c r="F440">
        <f>IF(OR($A440="",$C440&lt;1),"",$A440&amp;"-"&amp;TEXT(($D440-$C440+1),"00")&amp;IF($C440&gt;=2,", "&amp;$A440&amp;"-"&amp;TEXT(($D440-$C440+1)+1,"00"),"")&amp;IF($C440&gt;=3,", "&amp;$A440&amp;"-"&amp;TEXT(($D440-$C440+1)+2,"00"),"")&amp;IF($C440&gt;=4,", "&amp;$A440&amp;"-"&amp;TEXT(($D440-$C440+1)+3,"00"),"")&amp;IF($C440&gt;=5,", "&amp;$A440&amp;"-"&amp;TEXT(($D440-$C440+1)+4,"00"),"")&amp;IF($C440&gt;=6,", "&amp;$A440&amp;"-"&amp;TEXT(($D440-$C440+1)+5,"00"),"")&amp;IF($C440&gt;=7,", "&amp;$A440&amp;"-"&amp;TEXT(($D440-$C440+1)+6,"00"),"")&amp;IF($C440&gt;=8,", "&amp;$A440&amp;"-"&amp;TEXT(($D440-$C440+1)+7,"00"),"")&amp;IF($C440&gt;=9,", "&amp;$A440&amp;"-"&amp;TEXT(($D440-$C440+1)+8,"00"),"")&amp;IF($C440&gt;=10,", "&amp;$A440&amp;"-"&amp;TEXT(($D440-$C440+1)+9,"00"),"")&amp;IF($C440&gt;=11,", "&amp;$A440&amp;"-"&amp;TEXT(($D440-$C440+1)+10,"00"),"")&amp;IF($C440&gt;=12,", "&amp;$A440&amp;"-"&amp;TEXT(($D440-$C440+1)+11,"00"),"")&amp;IF($C440&gt;=13,", "&amp;$A440&amp;"-"&amp;TEXT(($D440-$C440+1)+12,"00"),"")&amp;IF($C440&gt;=14,", "&amp;$A440&amp;"-"&amp;TEXT(($D440-$C440+1)+13,"00"),"")&amp;IF($C440&gt;=15,", "&amp;$A440&amp;"-"&amp;TEXT(($D440-$C440+1)+14,"00"),"")&amp;IF($C440&gt;=16,", "&amp;$A440&amp;"-"&amp;TEXT(($D440-$C440+1)+15,"00"),"")&amp;IF($C440&gt;=17,", "&amp;$A440&amp;"-"&amp;TEXT(($D440-$C440+1)+16,"00"),"")&amp;IF($C440&gt;=18,", "&amp;$A440&amp;"-"&amp;TEXT(($D440-$C440+1)+17,"00"),"")&amp;IF($C440&gt;=19,", "&amp;$A440&amp;"-"&amp;TEXT(($D440-$C440+1)+18,"00"),"")&amp;IF($C440&gt;=20,", "&amp;$A440&amp;"-"&amp;TEXT(($D440-$C440+1)+19,"00"),"")&amp;IF($C440&gt;=21,", "&amp;$A440&amp;"-"&amp;TEXT(($D440-$C440+1)+20,"00"),"")&amp;IF($C440&gt;=22,", "&amp;$A440&amp;"-"&amp;TEXT(($D440-$C440+1)+21,"00"),"")&amp;IF($C440&gt;=23,", "&amp;$A440&amp;"-"&amp;TEXT(($D440-$C440+1)+22,"00"),"")&amp;IF($C440&gt;=24,", "&amp;$A440&amp;"-"&amp;TEXT(($D440-$C440+1)+23,"00"),"")&amp;IF($C440&gt;=25,", "&amp;$A440&amp;"-"&amp;TEXT(($D440-$C440+1)+24,"00"),""))</f>
        <v/>
      </c>
      <c r="G440">
        <f>IF($A440="","",IF($E440=1,$F440,IF($F440="",$G439,IF($G439="",$F440,$G439&amp;", "&amp;$F440))))</f>
        <v/>
      </c>
      <c r="H440">
        <f>IF($A440="","",$A440&amp;" ("&amp;$C440&amp;")")</f>
        <v/>
      </c>
      <c r="I440">
        <f>IF($A440="","",IF($E440=1,$H440,$I439&amp;", "&amp;$H440))</f>
        <v/>
      </c>
      <c r="J440">
        <f>IF($A440="","",IF($E440=1,$B440,""))</f>
        <v/>
      </c>
      <c r="K440">
        <f>IF($A440="","",IF(COUNTIF($B$2:$B440,$B440)=COUNTIF($B$2:$B$1601,$B440),$B440,""))</f>
        <v/>
      </c>
    </row>
    <row r="441">
      <c r="A441">
        <f>IF('TMP Paste'!$E441="","",'TMP Paste'!$E441)</f>
        <v/>
      </c>
      <c r="B441">
        <f>IF($A441="","",COUNTIF('TMP Paste'!$B$2:$B441,"?*"))</f>
        <v/>
      </c>
      <c r="C441">
        <f>IF($A441="","",IFERROR('TMP Paste'!$M441*1,0))</f>
        <v/>
      </c>
      <c r="D441">
        <f>IF($A441="","",SUMIF($B$2:$B441,$B441,$C$2:$C441))</f>
        <v/>
      </c>
      <c r="E441">
        <f>IF($A441="",0,IF('TMP Paste'!$B441="",0,1))</f>
        <v/>
      </c>
      <c r="F441">
        <f>IF(OR($A441="",$C441&lt;1),"",$A441&amp;"-"&amp;TEXT(($D441-$C441+1),"00")&amp;IF($C441&gt;=2,", "&amp;$A441&amp;"-"&amp;TEXT(($D441-$C441+1)+1,"00"),"")&amp;IF($C441&gt;=3,", "&amp;$A441&amp;"-"&amp;TEXT(($D441-$C441+1)+2,"00"),"")&amp;IF($C441&gt;=4,", "&amp;$A441&amp;"-"&amp;TEXT(($D441-$C441+1)+3,"00"),"")&amp;IF($C441&gt;=5,", "&amp;$A441&amp;"-"&amp;TEXT(($D441-$C441+1)+4,"00"),"")&amp;IF($C441&gt;=6,", "&amp;$A441&amp;"-"&amp;TEXT(($D441-$C441+1)+5,"00"),"")&amp;IF($C441&gt;=7,", "&amp;$A441&amp;"-"&amp;TEXT(($D441-$C441+1)+6,"00"),"")&amp;IF($C441&gt;=8,", "&amp;$A441&amp;"-"&amp;TEXT(($D441-$C441+1)+7,"00"),"")&amp;IF($C441&gt;=9,", "&amp;$A441&amp;"-"&amp;TEXT(($D441-$C441+1)+8,"00"),"")&amp;IF($C441&gt;=10,", "&amp;$A441&amp;"-"&amp;TEXT(($D441-$C441+1)+9,"00"),"")&amp;IF($C441&gt;=11,", "&amp;$A441&amp;"-"&amp;TEXT(($D441-$C441+1)+10,"00"),"")&amp;IF($C441&gt;=12,", "&amp;$A441&amp;"-"&amp;TEXT(($D441-$C441+1)+11,"00"),"")&amp;IF($C441&gt;=13,", "&amp;$A441&amp;"-"&amp;TEXT(($D441-$C441+1)+12,"00"),"")&amp;IF($C441&gt;=14,", "&amp;$A441&amp;"-"&amp;TEXT(($D441-$C441+1)+13,"00"),"")&amp;IF($C441&gt;=15,", "&amp;$A441&amp;"-"&amp;TEXT(($D441-$C441+1)+14,"00"),"")&amp;IF($C441&gt;=16,", "&amp;$A441&amp;"-"&amp;TEXT(($D441-$C441+1)+15,"00"),"")&amp;IF($C441&gt;=17,", "&amp;$A441&amp;"-"&amp;TEXT(($D441-$C441+1)+16,"00"),"")&amp;IF($C441&gt;=18,", "&amp;$A441&amp;"-"&amp;TEXT(($D441-$C441+1)+17,"00"),"")&amp;IF($C441&gt;=19,", "&amp;$A441&amp;"-"&amp;TEXT(($D441-$C441+1)+18,"00"),"")&amp;IF($C441&gt;=20,", "&amp;$A441&amp;"-"&amp;TEXT(($D441-$C441+1)+19,"00"),"")&amp;IF($C441&gt;=21,", "&amp;$A441&amp;"-"&amp;TEXT(($D441-$C441+1)+20,"00"),"")&amp;IF($C441&gt;=22,", "&amp;$A441&amp;"-"&amp;TEXT(($D441-$C441+1)+21,"00"),"")&amp;IF($C441&gt;=23,", "&amp;$A441&amp;"-"&amp;TEXT(($D441-$C441+1)+22,"00"),"")&amp;IF($C441&gt;=24,", "&amp;$A441&amp;"-"&amp;TEXT(($D441-$C441+1)+23,"00"),"")&amp;IF($C441&gt;=25,", "&amp;$A441&amp;"-"&amp;TEXT(($D441-$C441+1)+24,"00"),""))</f>
        <v/>
      </c>
      <c r="G441">
        <f>IF($A441="","",IF($E441=1,$F441,IF($F441="",$G440,IF($G440="",$F441,$G440&amp;", "&amp;$F441))))</f>
        <v/>
      </c>
      <c r="H441">
        <f>IF($A441="","",$A441&amp;" ("&amp;$C441&amp;")")</f>
        <v/>
      </c>
      <c r="I441">
        <f>IF($A441="","",IF($E441=1,$H441,$I440&amp;", "&amp;$H441))</f>
        <v/>
      </c>
      <c r="J441">
        <f>IF($A441="","",IF($E441=1,$B441,""))</f>
        <v/>
      </c>
      <c r="K441">
        <f>IF($A441="","",IF(COUNTIF($B$2:$B441,$B441)=COUNTIF($B$2:$B$1601,$B441),$B441,""))</f>
        <v/>
      </c>
    </row>
    <row r="442">
      <c r="A442">
        <f>IF('TMP Paste'!$E442="","",'TMP Paste'!$E442)</f>
        <v/>
      </c>
      <c r="B442">
        <f>IF($A442="","",COUNTIF('TMP Paste'!$B$2:$B442,"?*"))</f>
        <v/>
      </c>
      <c r="C442">
        <f>IF($A442="","",IFERROR('TMP Paste'!$M442*1,0))</f>
        <v/>
      </c>
      <c r="D442">
        <f>IF($A442="","",SUMIF($B$2:$B442,$B442,$C$2:$C442))</f>
        <v/>
      </c>
      <c r="E442">
        <f>IF($A442="",0,IF('TMP Paste'!$B442="",0,1))</f>
        <v/>
      </c>
      <c r="F442">
        <f>IF(OR($A442="",$C442&lt;1),"",$A442&amp;"-"&amp;TEXT(($D442-$C442+1),"00")&amp;IF($C442&gt;=2,", "&amp;$A442&amp;"-"&amp;TEXT(($D442-$C442+1)+1,"00"),"")&amp;IF($C442&gt;=3,", "&amp;$A442&amp;"-"&amp;TEXT(($D442-$C442+1)+2,"00"),"")&amp;IF($C442&gt;=4,", "&amp;$A442&amp;"-"&amp;TEXT(($D442-$C442+1)+3,"00"),"")&amp;IF($C442&gt;=5,", "&amp;$A442&amp;"-"&amp;TEXT(($D442-$C442+1)+4,"00"),"")&amp;IF($C442&gt;=6,", "&amp;$A442&amp;"-"&amp;TEXT(($D442-$C442+1)+5,"00"),"")&amp;IF($C442&gt;=7,", "&amp;$A442&amp;"-"&amp;TEXT(($D442-$C442+1)+6,"00"),"")&amp;IF($C442&gt;=8,", "&amp;$A442&amp;"-"&amp;TEXT(($D442-$C442+1)+7,"00"),"")&amp;IF($C442&gt;=9,", "&amp;$A442&amp;"-"&amp;TEXT(($D442-$C442+1)+8,"00"),"")&amp;IF($C442&gt;=10,", "&amp;$A442&amp;"-"&amp;TEXT(($D442-$C442+1)+9,"00"),"")&amp;IF($C442&gt;=11,", "&amp;$A442&amp;"-"&amp;TEXT(($D442-$C442+1)+10,"00"),"")&amp;IF($C442&gt;=12,", "&amp;$A442&amp;"-"&amp;TEXT(($D442-$C442+1)+11,"00"),"")&amp;IF($C442&gt;=13,", "&amp;$A442&amp;"-"&amp;TEXT(($D442-$C442+1)+12,"00"),"")&amp;IF($C442&gt;=14,", "&amp;$A442&amp;"-"&amp;TEXT(($D442-$C442+1)+13,"00"),"")&amp;IF($C442&gt;=15,", "&amp;$A442&amp;"-"&amp;TEXT(($D442-$C442+1)+14,"00"),"")&amp;IF($C442&gt;=16,", "&amp;$A442&amp;"-"&amp;TEXT(($D442-$C442+1)+15,"00"),"")&amp;IF($C442&gt;=17,", "&amp;$A442&amp;"-"&amp;TEXT(($D442-$C442+1)+16,"00"),"")&amp;IF($C442&gt;=18,", "&amp;$A442&amp;"-"&amp;TEXT(($D442-$C442+1)+17,"00"),"")&amp;IF($C442&gt;=19,", "&amp;$A442&amp;"-"&amp;TEXT(($D442-$C442+1)+18,"00"),"")&amp;IF($C442&gt;=20,", "&amp;$A442&amp;"-"&amp;TEXT(($D442-$C442+1)+19,"00"),"")&amp;IF($C442&gt;=21,", "&amp;$A442&amp;"-"&amp;TEXT(($D442-$C442+1)+20,"00"),"")&amp;IF($C442&gt;=22,", "&amp;$A442&amp;"-"&amp;TEXT(($D442-$C442+1)+21,"00"),"")&amp;IF($C442&gt;=23,", "&amp;$A442&amp;"-"&amp;TEXT(($D442-$C442+1)+22,"00"),"")&amp;IF($C442&gt;=24,", "&amp;$A442&amp;"-"&amp;TEXT(($D442-$C442+1)+23,"00"),"")&amp;IF($C442&gt;=25,", "&amp;$A442&amp;"-"&amp;TEXT(($D442-$C442+1)+24,"00"),""))</f>
        <v/>
      </c>
      <c r="G442">
        <f>IF($A442="","",IF($E442=1,$F442,IF($F442="",$G441,IF($G441="",$F442,$G441&amp;", "&amp;$F442))))</f>
        <v/>
      </c>
      <c r="H442">
        <f>IF($A442="","",$A442&amp;" ("&amp;$C442&amp;")")</f>
        <v/>
      </c>
      <c r="I442">
        <f>IF($A442="","",IF($E442=1,$H442,$I441&amp;", "&amp;$H442))</f>
        <v/>
      </c>
      <c r="J442">
        <f>IF($A442="","",IF($E442=1,$B442,""))</f>
        <v/>
      </c>
      <c r="K442">
        <f>IF($A442="","",IF(COUNTIF($B$2:$B442,$B442)=COUNTIF($B$2:$B$1601,$B442),$B442,""))</f>
        <v/>
      </c>
    </row>
    <row r="443">
      <c r="A443">
        <f>IF('TMP Paste'!$E443="","",'TMP Paste'!$E443)</f>
        <v/>
      </c>
      <c r="B443">
        <f>IF($A443="","",COUNTIF('TMP Paste'!$B$2:$B443,"?*"))</f>
        <v/>
      </c>
      <c r="C443">
        <f>IF($A443="","",IFERROR('TMP Paste'!$M443*1,0))</f>
        <v/>
      </c>
      <c r="D443">
        <f>IF($A443="","",SUMIF($B$2:$B443,$B443,$C$2:$C443))</f>
        <v/>
      </c>
      <c r="E443">
        <f>IF($A443="",0,IF('TMP Paste'!$B443="",0,1))</f>
        <v/>
      </c>
      <c r="F443">
        <f>IF(OR($A443="",$C443&lt;1),"",$A443&amp;"-"&amp;TEXT(($D443-$C443+1),"00")&amp;IF($C443&gt;=2,", "&amp;$A443&amp;"-"&amp;TEXT(($D443-$C443+1)+1,"00"),"")&amp;IF($C443&gt;=3,", "&amp;$A443&amp;"-"&amp;TEXT(($D443-$C443+1)+2,"00"),"")&amp;IF($C443&gt;=4,", "&amp;$A443&amp;"-"&amp;TEXT(($D443-$C443+1)+3,"00"),"")&amp;IF($C443&gt;=5,", "&amp;$A443&amp;"-"&amp;TEXT(($D443-$C443+1)+4,"00"),"")&amp;IF($C443&gt;=6,", "&amp;$A443&amp;"-"&amp;TEXT(($D443-$C443+1)+5,"00"),"")&amp;IF($C443&gt;=7,", "&amp;$A443&amp;"-"&amp;TEXT(($D443-$C443+1)+6,"00"),"")&amp;IF($C443&gt;=8,", "&amp;$A443&amp;"-"&amp;TEXT(($D443-$C443+1)+7,"00"),"")&amp;IF($C443&gt;=9,", "&amp;$A443&amp;"-"&amp;TEXT(($D443-$C443+1)+8,"00"),"")&amp;IF($C443&gt;=10,", "&amp;$A443&amp;"-"&amp;TEXT(($D443-$C443+1)+9,"00"),"")&amp;IF($C443&gt;=11,", "&amp;$A443&amp;"-"&amp;TEXT(($D443-$C443+1)+10,"00"),"")&amp;IF($C443&gt;=12,", "&amp;$A443&amp;"-"&amp;TEXT(($D443-$C443+1)+11,"00"),"")&amp;IF($C443&gt;=13,", "&amp;$A443&amp;"-"&amp;TEXT(($D443-$C443+1)+12,"00"),"")&amp;IF($C443&gt;=14,", "&amp;$A443&amp;"-"&amp;TEXT(($D443-$C443+1)+13,"00"),"")&amp;IF($C443&gt;=15,", "&amp;$A443&amp;"-"&amp;TEXT(($D443-$C443+1)+14,"00"),"")&amp;IF($C443&gt;=16,", "&amp;$A443&amp;"-"&amp;TEXT(($D443-$C443+1)+15,"00"),"")&amp;IF($C443&gt;=17,", "&amp;$A443&amp;"-"&amp;TEXT(($D443-$C443+1)+16,"00"),"")&amp;IF($C443&gt;=18,", "&amp;$A443&amp;"-"&amp;TEXT(($D443-$C443+1)+17,"00"),"")&amp;IF($C443&gt;=19,", "&amp;$A443&amp;"-"&amp;TEXT(($D443-$C443+1)+18,"00"),"")&amp;IF($C443&gt;=20,", "&amp;$A443&amp;"-"&amp;TEXT(($D443-$C443+1)+19,"00"),"")&amp;IF($C443&gt;=21,", "&amp;$A443&amp;"-"&amp;TEXT(($D443-$C443+1)+20,"00"),"")&amp;IF($C443&gt;=22,", "&amp;$A443&amp;"-"&amp;TEXT(($D443-$C443+1)+21,"00"),"")&amp;IF($C443&gt;=23,", "&amp;$A443&amp;"-"&amp;TEXT(($D443-$C443+1)+22,"00"),"")&amp;IF($C443&gt;=24,", "&amp;$A443&amp;"-"&amp;TEXT(($D443-$C443+1)+23,"00"),"")&amp;IF($C443&gt;=25,", "&amp;$A443&amp;"-"&amp;TEXT(($D443-$C443+1)+24,"00"),""))</f>
        <v/>
      </c>
      <c r="G443">
        <f>IF($A443="","",IF($E443=1,$F443,IF($F443="",$G442,IF($G442="",$F443,$G442&amp;", "&amp;$F443))))</f>
        <v/>
      </c>
      <c r="H443">
        <f>IF($A443="","",$A443&amp;" ("&amp;$C443&amp;")")</f>
        <v/>
      </c>
      <c r="I443">
        <f>IF($A443="","",IF($E443=1,$H443,$I442&amp;", "&amp;$H443))</f>
        <v/>
      </c>
      <c r="J443">
        <f>IF($A443="","",IF($E443=1,$B443,""))</f>
        <v/>
      </c>
      <c r="K443">
        <f>IF($A443="","",IF(COUNTIF($B$2:$B443,$B443)=COUNTIF($B$2:$B$1601,$B443),$B443,""))</f>
        <v/>
      </c>
    </row>
    <row r="444">
      <c r="A444">
        <f>IF('TMP Paste'!$E444="","",'TMP Paste'!$E444)</f>
        <v/>
      </c>
      <c r="B444">
        <f>IF($A444="","",COUNTIF('TMP Paste'!$B$2:$B444,"?*"))</f>
        <v/>
      </c>
      <c r="C444">
        <f>IF($A444="","",IFERROR('TMP Paste'!$M444*1,0))</f>
        <v/>
      </c>
      <c r="D444">
        <f>IF($A444="","",SUMIF($B$2:$B444,$B444,$C$2:$C444))</f>
        <v/>
      </c>
      <c r="E444">
        <f>IF($A444="",0,IF('TMP Paste'!$B444="",0,1))</f>
        <v/>
      </c>
      <c r="F444">
        <f>IF(OR($A444="",$C444&lt;1),"",$A444&amp;"-"&amp;TEXT(($D444-$C444+1),"00")&amp;IF($C444&gt;=2,", "&amp;$A444&amp;"-"&amp;TEXT(($D444-$C444+1)+1,"00"),"")&amp;IF($C444&gt;=3,", "&amp;$A444&amp;"-"&amp;TEXT(($D444-$C444+1)+2,"00"),"")&amp;IF($C444&gt;=4,", "&amp;$A444&amp;"-"&amp;TEXT(($D444-$C444+1)+3,"00"),"")&amp;IF($C444&gt;=5,", "&amp;$A444&amp;"-"&amp;TEXT(($D444-$C444+1)+4,"00"),"")&amp;IF($C444&gt;=6,", "&amp;$A444&amp;"-"&amp;TEXT(($D444-$C444+1)+5,"00"),"")&amp;IF($C444&gt;=7,", "&amp;$A444&amp;"-"&amp;TEXT(($D444-$C444+1)+6,"00"),"")&amp;IF($C444&gt;=8,", "&amp;$A444&amp;"-"&amp;TEXT(($D444-$C444+1)+7,"00"),"")&amp;IF($C444&gt;=9,", "&amp;$A444&amp;"-"&amp;TEXT(($D444-$C444+1)+8,"00"),"")&amp;IF($C444&gt;=10,", "&amp;$A444&amp;"-"&amp;TEXT(($D444-$C444+1)+9,"00"),"")&amp;IF($C444&gt;=11,", "&amp;$A444&amp;"-"&amp;TEXT(($D444-$C444+1)+10,"00"),"")&amp;IF($C444&gt;=12,", "&amp;$A444&amp;"-"&amp;TEXT(($D444-$C444+1)+11,"00"),"")&amp;IF($C444&gt;=13,", "&amp;$A444&amp;"-"&amp;TEXT(($D444-$C444+1)+12,"00"),"")&amp;IF($C444&gt;=14,", "&amp;$A444&amp;"-"&amp;TEXT(($D444-$C444+1)+13,"00"),"")&amp;IF($C444&gt;=15,", "&amp;$A444&amp;"-"&amp;TEXT(($D444-$C444+1)+14,"00"),"")&amp;IF($C444&gt;=16,", "&amp;$A444&amp;"-"&amp;TEXT(($D444-$C444+1)+15,"00"),"")&amp;IF($C444&gt;=17,", "&amp;$A444&amp;"-"&amp;TEXT(($D444-$C444+1)+16,"00"),"")&amp;IF($C444&gt;=18,", "&amp;$A444&amp;"-"&amp;TEXT(($D444-$C444+1)+17,"00"),"")&amp;IF($C444&gt;=19,", "&amp;$A444&amp;"-"&amp;TEXT(($D444-$C444+1)+18,"00"),"")&amp;IF($C444&gt;=20,", "&amp;$A444&amp;"-"&amp;TEXT(($D444-$C444+1)+19,"00"),"")&amp;IF($C444&gt;=21,", "&amp;$A444&amp;"-"&amp;TEXT(($D444-$C444+1)+20,"00"),"")&amp;IF($C444&gt;=22,", "&amp;$A444&amp;"-"&amp;TEXT(($D444-$C444+1)+21,"00"),"")&amp;IF($C444&gt;=23,", "&amp;$A444&amp;"-"&amp;TEXT(($D444-$C444+1)+22,"00"),"")&amp;IF($C444&gt;=24,", "&amp;$A444&amp;"-"&amp;TEXT(($D444-$C444+1)+23,"00"),"")&amp;IF($C444&gt;=25,", "&amp;$A444&amp;"-"&amp;TEXT(($D444-$C444+1)+24,"00"),""))</f>
        <v/>
      </c>
      <c r="G444">
        <f>IF($A444="","",IF($E444=1,$F444,IF($F444="",$G443,IF($G443="",$F444,$G443&amp;", "&amp;$F444))))</f>
        <v/>
      </c>
      <c r="H444">
        <f>IF($A444="","",$A444&amp;" ("&amp;$C444&amp;")")</f>
        <v/>
      </c>
      <c r="I444">
        <f>IF($A444="","",IF($E444=1,$H444,$I443&amp;", "&amp;$H444))</f>
        <v/>
      </c>
      <c r="J444">
        <f>IF($A444="","",IF($E444=1,$B444,""))</f>
        <v/>
      </c>
      <c r="K444">
        <f>IF($A444="","",IF(COUNTIF($B$2:$B444,$B444)=COUNTIF($B$2:$B$1601,$B444),$B444,""))</f>
        <v/>
      </c>
    </row>
    <row r="445">
      <c r="A445">
        <f>IF('TMP Paste'!$E445="","",'TMP Paste'!$E445)</f>
        <v/>
      </c>
      <c r="B445">
        <f>IF($A445="","",COUNTIF('TMP Paste'!$B$2:$B445,"?*"))</f>
        <v/>
      </c>
      <c r="C445">
        <f>IF($A445="","",IFERROR('TMP Paste'!$M445*1,0))</f>
        <v/>
      </c>
      <c r="D445">
        <f>IF($A445="","",SUMIF($B$2:$B445,$B445,$C$2:$C445))</f>
        <v/>
      </c>
      <c r="E445">
        <f>IF($A445="",0,IF('TMP Paste'!$B445="",0,1))</f>
        <v/>
      </c>
      <c r="F445">
        <f>IF(OR($A445="",$C445&lt;1),"",$A445&amp;"-"&amp;TEXT(($D445-$C445+1),"00")&amp;IF($C445&gt;=2,", "&amp;$A445&amp;"-"&amp;TEXT(($D445-$C445+1)+1,"00"),"")&amp;IF($C445&gt;=3,", "&amp;$A445&amp;"-"&amp;TEXT(($D445-$C445+1)+2,"00"),"")&amp;IF($C445&gt;=4,", "&amp;$A445&amp;"-"&amp;TEXT(($D445-$C445+1)+3,"00"),"")&amp;IF($C445&gt;=5,", "&amp;$A445&amp;"-"&amp;TEXT(($D445-$C445+1)+4,"00"),"")&amp;IF($C445&gt;=6,", "&amp;$A445&amp;"-"&amp;TEXT(($D445-$C445+1)+5,"00"),"")&amp;IF($C445&gt;=7,", "&amp;$A445&amp;"-"&amp;TEXT(($D445-$C445+1)+6,"00"),"")&amp;IF($C445&gt;=8,", "&amp;$A445&amp;"-"&amp;TEXT(($D445-$C445+1)+7,"00"),"")&amp;IF($C445&gt;=9,", "&amp;$A445&amp;"-"&amp;TEXT(($D445-$C445+1)+8,"00"),"")&amp;IF($C445&gt;=10,", "&amp;$A445&amp;"-"&amp;TEXT(($D445-$C445+1)+9,"00"),"")&amp;IF($C445&gt;=11,", "&amp;$A445&amp;"-"&amp;TEXT(($D445-$C445+1)+10,"00"),"")&amp;IF($C445&gt;=12,", "&amp;$A445&amp;"-"&amp;TEXT(($D445-$C445+1)+11,"00"),"")&amp;IF($C445&gt;=13,", "&amp;$A445&amp;"-"&amp;TEXT(($D445-$C445+1)+12,"00"),"")&amp;IF($C445&gt;=14,", "&amp;$A445&amp;"-"&amp;TEXT(($D445-$C445+1)+13,"00"),"")&amp;IF($C445&gt;=15,", "&amp;$A445&amp;"-"&amp;TEXT(($D445-$C445+1)+14,"00"),"")&amp;IF($C445&gt;=16,", "&amp;$A445&amp;"-"&amp;TEXT(($D445-$C445+1)+15,"00"),"")&amp;IF($C445&gt;=17,", "&amp;$A445&amp;"-"&amp;TEXT(($D445-$C445+1)+16,"00"),"")&amp;IF($C445&gt;=18,", "&amp;$A445&amp;"-"&amp;TEXT(($D445-$C445+1)+17,"00"),"")&amp;IF($C445&gt;=19,", "&amp;$A445&amp;"-"&amp;TEXT(($D445-$C445+1)+18,"00"),"")&amp;IF($C445&gt;=20,", "&amp;$A445&amp;"-"&amp;TEXT(($D445-$C445+1)+19,"00"),"")&amp;IF($C445&gt;=21,", "&amp;$A445&amp;"-"&amp;TEXT(($D445-$C445+1)+20,"00"),"")&amp;IF($C445&gt;=22,", "&amp;$A445&amp;"-"&amp;TEXT(($D445-$C445+1)+21,"00"),"")&amp;IF($C445&gt;=23,", "&amp;$A445&amp;"-"&amp;TEXT(($D445-$C445+1)+22,"00"),"")&amp;IF($C445&gt;=24,", "&amp;$A445&amp;"-"&amp;TEXT(($D445-$C445+1)+23,"00"),"")&amp;IF($C445&gt;=25,", "&amp;$A445&amp;"-"&amp;TEXT(($D445-$C445+1)+24,"00"),""))</f>
        <v/>
      </c>
      <c r="G445">
        <f>IF($A445="","",IF($E445=1,$F445,IF($F445="",$G444,IF($G444="",$F445,$G444&amp;", "&amp;$F445))))</f>
        <v/>
      </c>
      <c r="H445">
        <f>IF($A445="","",$A445&amp;" ("&amp;$C445&amp;")")</f>
        <v/>
      </c>
      <c r="I445">
        <f>IF($A445="","",IF($E445=1,$H445,$I444&amp;", "&amp;$H445))</f>
        <v/>
      </c>
      <c r="J445">
        <f>IF($A445="","",IF($E445=1,$B445,""))</f>
        <v/>
      </c>
      <c r="K445">
        <f>IF($A445="","",IF(COUNTIF($B$2:$B445,$B445)=COUNTIF($B$2:$B$1601,$B445),$B445,""))</f>
        <v/>
      </c>
    </row>
    <row r="446">
      <c r="A446">
        <f>IF('TMP Paste'!$E446="","",'TMP Paste'!$E446)</f>
        <v/>
      </c>
      <c r="B446">
        <f>IF($A446="","",COUNTIF('TMP Paste'!$B$2:$B446,"?*"))</f>
        <v/>
      </c>
      <c r="C446">
        <f>IF($A446="","",IFERROR('TMP Paste'!$M446*1,0))</f>
        <v/>
      </c>
      <c r="D446">
        <f>IF($A446="","",SUMIF($B$2:$B446,$B446,$C$2:$C446))</f>
        <v/>
      </c>
      <c r="E446">
        <f>IF($A446="",0,IF('TMP Paste'!$B446="",0,1))</f>
        <v/>
      </c>
      <c r="F446">
        <f>IF(OR($A446="",$C446&lt;1),"",$A446&amp;"-"&amp;TEXT(($D446-$C446+1),"00")&amp;IF($C446&gt;=2,", "&amp;$A446&amp;"-"&amp;TEXT(($D446-$C446+1)+1,"00"),"")&amp;IF($C446&gt;=3,", "&amp;$A446&amp;"-"&amp;TEXT(($D446-$C446+1)+2,"00"),"")&amp;IF($C446&gt;=4,", "&amp;$A446&amp;"-"&amp;TEXT(($D446-$C446+1)+3,"00"),"")&amp;IF($C446&gt;=5,", "&amp;$A446&amp;"-"&amp;TEXT(($D446-$C446+1)+4,"00"),"")&amp;IF($C446&gt;=6,", "&amp;$A446&amp;"-"&amp;TEXT(($D446-$C446+1)+5,"00"),"")&amp;IF($C446&gt;=7,", "&amp;$A446&amp;"-"&amp;TEXT(($D446-$C446+1)+6,"00"),"")&amp;IF($C446&gt;=8,", "&amp;$A446&amp;"-"&amp;TEXT(($D446-$C446+1)+7,"00"),"")&amp;IF($C446&gt;=9,", "&amp;$A446&amp;"-"&amp;TEXT(($D446-$C446+1)+8,"00"),"")&amp;IF($C446&gt;=10,", "&amp;$A446&amp;"-"&amp;TEXT(($D446-$C446+1)+9,"00"),"")&amp;IF($C446&gt;=11,", "&amp;$A446&amp;"-"&amp;TEXT(($D446-$C446+1)+10,"00"),"")&amp;IF($C446&gt;=12,", "&amp;$A446&amp;"-"&amp;TEXT(($D446-$C446+1)+11,"00"),"")&amp;IF($C446&gt;=13,", "&amp;$A446&amp;"-"&amp;TEXT(($D446-$C446+1)+12,"00"),"")&amp;IF($C446&gt;=14,", "&amp;$A446&amp;"-"&amp;TEXT(($D446-$C446+1)+13,"00"),"")&amp;IF($C446&gt;=15,", "&amp;$A446&amp;"-"&amp;TEXT(($D446-$C446+1)+14,"00"),"")&amp;IF($C446&gt;=16,", "&amp;$A446&amp;"-"&amp;TEXT(($D446-$C446+1)+15,"00"),"")&amp;IF($C446&gt;=17,", "&amp;$A446&amp;"-"&amp;TEXT(($D446-$C446+1)+16,"00"),"")&amp;IF($C446&gt;=18,", "&amp;$A446&amp;"-"&amp;TEXT(($D446-$C446+1)+17,"00"),"")&amp;IF($C446&gt;=19,", "&amp;$A446&amp;"-"&amp;TEXT(($D446-$C446+1)+18,"00"),"")&amp;IF($C446&gt;=20,", "&amp;$A446&amp;"-"&amp;TEXT(($D446-$C446+1)+19,"00"),"")&amp;IF($C446&gt;=21,", "&amp;$A446&amp;"-"&amp;TEXT(($D446-$C446+1)+20,"00"),"")&amp;IF($C446&gt;=22,", "&amp;$A446&amp;"-"&amp;TEXT(($D446-$C446+1)+21,"00"),"")&amp;IF($C446&gt;=23,", "&amp;$A446&amp;"-"&amp;TEXT(($D446-$C446+1)+22,"00"),"")&amp;IF($C446&gt;=24,", "&amp;$A446&amp;"-"&amp;TEXT(($D446-$C446+1)+23,"00"),"")&amp;IF($C446&gt;=25,", "&amp;$A446&amp;"-"&amp;TEXT(($D446-$C446+1)+24,"00"),""))</f>
        <v/>
      </c>
      <c r="G446">
        <f>IF($A446="","",IF($E446=1,$F446,IF($F446="",$G445,IF($G445="",$F446,$G445&amp;", "&amp;$F446))))</f>
        <v/>
      </c>
      <c r="H446">
        <f>IF($A446="","",$A446&amp;" ("&amp;$C446&amp;")")</f>
        <v/>
      </c>
      <c r="I446">
        <f>IF($A446="","",IF($E446=1,$H446,$I445&amp;", "&amp;$H446))</f>
        <v/>
      </c>
      <c r="J446">
        <f>IF($A446="","",IF($E446=1,$B446,""))</f>
        <v/>
      </c>
      <c r="K446">
        <f>IF($A446="","",IF(COUNTIF($B$2:$B446,$B446)=COUNTIF($B$2:$B$1601,$B446),$B446,""))</f>
        <v/>
      </c>
    </row>
    <row r="447">
      <c r="A447">
        <f>IF('TMP Paste'!$E447="","",'TMP Paste'!$E447)</f>
        <v/>
      </c>
      <c r="B447">
        <f>IF($A447="","",COUNTIF('TMP Paste'!$B$2:$B447,"?*"))</f>
        <v/>
      </c>
      <c r="C447">
        <f>IF($A447="","",IFERROR('TMP Paste'!$M447*1,0))</f>
        <v/>
      </c>
      <c r="D447">
        <f>IF($A447="","",SUMIF($B$2:$B447,$B447,$C$2:$C447))</f>
        <v/>
      </c>
      <c r="E447">
        <f>IF($A447="",0,IF('TMP Paste'!$B447="",0,1))</f>
        <v/>
      </c>
      <c r="F447">
        <f>IF(OR($A447="",$C447&lt;1),"",$A447&amp;"-"&amp;TEXT(($D447-$C447+1),"00")&amp;IF($C447&gt;=2,", "&amp;$A447&amp;"-"&amp;TEXT(($D447-$C447+1)+1,"00"),"")&amp;IF($C447&gt;=3,", "&amp;$A447&amp;"-"&amp;TEXT(($D447-$C447+1)+2,"00"),"")&amp;IF($C447&gt;=4,", "&amp;$A447&amp;"-"&amp;TEXT(($D447-$C447+1)+3,"00"),"")&amp;IF($C447&gt;=5,", "&amp;$A447&amp;"-"&amp;TEXT(($D447-$C447+1)+4,"00"),"")&amp;IF($C447&gt;=6,", "&amp;$A447&amp;"-"&amp;TEXT(($D447-$C447+1)+5,"00"),"")&amp;IF($C447&gt;=7,", "&amp;$A447&amp;"-"&amp;TEXT(($D447-$C447+1)+6,"00"),"")&amp;IF($C447&gt;=8,", "&amp;$A447&amp;"-"&amp;TEXT(($D447-$C447+1)+7,"00"),"")&amp;IF($C447&gt;=9,", "&amp;$A447&amp;"-"&amp;TEXT(($D447-$C447+1)+8,"00"),"")&amp;IF($C447&gt;=10,", "&amp;$A447&amp;"-"&amp;TEXT(($D447-$C447+1)+9,"00"),"")&amp;IF($C447&gt;=11,", "&amp;$A447&amp;"-"&amp;TEXT(($D447-$C447+1)+10,"00"),"")&amp;IF($C447&gt;=12,", "&amp;$A447&amp;"-"&amp;TEXT(($D447-$C447+1)+11,"00"),"")&amp;IF($C447&gt;=13,", "&amp;$A447&amp;"-"&amp;TEXT(($D447-$C447+1)+12,"00"),"")&amp;IF($C447&gt;=14,", "&amp;$A447&amp;"-"&amp;TEXT(($D447-$C447+1)+13,"00"),"")&amp;IF($C447&gt;=15,", "&amp;$A447&amp;"-"&amp;TEXT(($D447-$C447+1)+14,"00"),"")&amp;IF($C447&gt;=16,", "&amp;$A447&amp;"-"&amp;TEXT(($D447-$C447+1)+15,"00"),"")&amp;IF($C447&gt;=17,", "&amp;$A447&amp;"-"&amp;TEXT(($D447-$C447+1)+16,"00"),"")&amp;IF($C447&gt;=18,", "&amp;$A447&amp;"-"&amp;TEXT(($D447-$C447+1)+17,"00"),"")&amp;IF($C447&gt;=19,", "&amp;$A447&amp;"-"&amp;TEXT(($D447-$C447+1)+18,"00"),"")&amp;IF($C447&gt;=20,", "&amp;$A447&amp;"-"&amp;TEXT(($D447-$C447+1)+19,"00"),"")&amp;IF($C447&gt;=21,", "&amp;$A447&amp;"-"&amp;TEXT(($D447-$C447+1)+20,"00"),"")&amp;IF($C447&gt;=22,", "&amp;$A447&amp;"-"&amp;TEXT(($D447-$C447+1)+21,"00"),"")&amp;IF($C447&gt;=23,", "&amp;$A447&amp;"-"&amp;TEXT(($D447-$C447+1)+22,"00"),"")&amp;IF($C447&gt;=24,", "&amp;$A447&amp;"-"&amp;TEXT(($D447-$C447+1)+23,"00"),"")&amp;IF($C447&gt;=25,", "&amp;$A447&amp;"-"&amp;TEXT(($D447-$C447+1)+24,"00"),""))</f>
        <v/>
      </c>
      <c r="G447">
        <f>IF($A447="","",IF($E447=1,$F447,IF($F447="",$G446,IF($G446="",$F447,$G446&amp;", "&amp;$F447))))</f>
        <v/>
      </c>
      <c r="H447">
        <f>IF($A447="","",$A447&amp;" ("&amp;$C447&amp;")")</f>
        <v/>
      </c>
      <c r="I447">
        <f>IF($A447="","",IF($E447=1,$H447,$I446&amp;", "&amp;$H447))</f>
        <v/>
      </c>
      <c r="J447">
        <f>IF($A447="","",IF($E447=1,$B447,""))</f>
        <v/>
      </c>
      <c r="K447">
        <f>IF($A447="","",IF(COUNTIF($B$2:$B447,$B447)=COUNTIF($B$2:$B$1601,$B447),$B447,""))</f>
        <v/>
      </c>
    </row>
    <row r="448">
      <c r="A448">
        <f>IF('TMP Paste'!$E448="","",'TMP Paste'!$E448)</f>
        <v/>
      </c>
      <c r="B448">
        <f>IF($A448="","",COUNTIF('TMP Paste'!$B$2:$B448,"?*"))</f>
        <v/>
      </c>
      <c r="C448">
        <f>IF($A448="","",IFERROR('TMP Paste'!$M448*1,0))</f>
        <v/>
      </c>
      <c r="D448">
        <f>IF($A448="","",SUMIF($B$2:$B448,$B448,$C$2:$C448))</f>
        <v/>
      </c>
      <c r="E448">
        <f>IF($A448="",0,IF('TMP Paste'!$B448="",0,1))</f>
        <v/>
      </c>
      <c r="F448">
        <f>IF(OR($A448="",$C448&lt;1),"",$A448&amp;"-"&amp;TEXT(($D448-$C448+1),"00")&amp;IF($C448&gt;=2,", "&amp;$A448&amp;"-"&amp;TEXT(($D448-$C448+1)+1,"00"),"")&amp;IF($C448&gt;=3,", "&amp;$A448&amp;"-"&amp;TEXT(($D448-$C448+1)+2,"00"),"")&amp;IF($C448&gt;=4,", "&amp;$A448&amp;"-"&amp;TEXT(($D448-$C448+1)+3,"00"),"")&amp;IF($C448&gt;=5,", "&amp;$A448&amp;"-"&amp;TEXT(($D448-$C448+1)+4,"00"),"")&amp;IF($C448&gt;=6,", "&amp;$A448&amp;"-"&amp;TEXT(($D448-$C448+1)+5,"00"),"")&amp;IF($C448&gt;=7,", "&amp;$A448&amp;"-"&amp;TEXT(($D448-$C448+1)+6,"00"),"")&amp;IF($C448&gt;=8,", "&amp;$A448&amp;"-"&amp;TEXT(($D448-$C448+1)+7,"00"),"")&amp;IF($C448&gt;=9,", "&amp;$A448&amp;"-"&amp;TEXT(($D448-$C448+1)+8,"00"),"")&amp;IF($C448&gt;=10,", "&amp;$A448&amp;"-"&amp;TEXT(($D448-$C448+1)+9,"00"),"")&amp;IF($C448&gt;=11,", "&amp;$A448&amp;"-"&amp;TEXT(($D448-$C448+1)+10,"00"),"")&amp;IF($C448&gt;=12,", "&amp;$A448&amp;"-"&amp;TEXT(($D448-$C448+1)+11,"00"),"")&amp;IF($C448&gt;=13,", "&amp;$A448&amp;"-"&amp;TEXT(($D448-$C448+1)+12,"00"),"")&amp;IF($C448&gt;=14,", "&amp;$A448&amp;"-"&amp;TEXT(($D448-$C448+1)+13,"00"),"")&amp;IF($C448&gt;=15,", "&amp;$A448&amp;"-"&amp;TEXT(($D448-$C448+1)+14,"00"),"")&amp;IF($C448&gt;=16,", "&amp;$A448&amp;"-"&amp;TEXT(($D448-$C448+1)+15,"00"),"")&amp;IF($C448&gt;=17,", "&amp;$A448&amp;"-"&amp;TEXT(($D448-$C448+1)+16,"00"),"")&amp;IF($C448&gt;=18,", "&amp;$A448&amp;"-"&amp;TEXT(($D448-$C448+1)+17,"00"),"")&amp;IF($C448&gt;=19,", "&amp;$A448&amp;"-"&amp;TEXT(($D448-$C448+1)+18,"00"),"")&amp;IF($C448&gt;=20,", "&amp;$A448&amp;"-"&amp;TEXT(($D448-$C448+1)+19,"00"),"")&amp;IF($C448&gt;=21,", "&amp;$A448&amp;"-"&amp;TEXT(($D448-$C448+1)+20,"00"),"")&amp;IF($C448&gt;=22,", "&amp;$A448&amp;"-"&amp;TEXT(($D448-$C448+1)+21,"00"),"")&amp;IF($C448&gt;=23,", "&amp;$A448&amp;"-"&amp;TEXT(($D448-$C448+1)+22,"00"),"")&amp;IF($C448&gt;=24,", "&amp;$A448&amp;"-"&amp;TEXT(($D448-$C448+1)+23,"00"),"")&amp;IF($C448&gt;=25,", "&amp;$A448&amp;"-"&amp;TEXT(($D448-$C448+1)+24,"00"),""))</f>
        <v/>
      </c>
      <c r="G448">
        <f>IF($A448="","",IF($E448=1,$F448,IF($F448="",$G447,IF($G447="",$F448,$G447&amp;", "&amp;$F448))))</f>
        <v/>
      </c>
      <c r="H448">
        <f>IF($A448="","",$A448&amp;" ("&amp;$C448&amp;")")</f>
        <v/>
      </c>
      <c r="I448">
        <f>IF($A448="","",IF($E448=1,$H448,$I447&amp;", "&amp;$H448))</f>
        <v/>
      </c>
      <c r="J448">
        <f>IF($A448="","",IF($E448=1,$B448,""))</f>
        <v/>
      </c>
      <c r="K448">
        <f>IF($A448="","",IF(COUNTIF($B$2:$B448,$B448)=COUNTIF($B$2:$B$1601,$B448),$B448,""))</f>
        <v/>
      </c>
    </row>
    <row r="449">
      <c r="A449">
        <f>IF('TMP Paste'!$E449="","",'TMP Paste'!$E449)</f>
        <v/>
      </c>
      <c r="B449">
        <f>IF($A449="","",COUNTIF('TMP Paste'!$B$2:$B449,"?*"))</f>
        <v/>
      </c>
      <c r="C449">
        <f>IF($A449="","",IFERROR('TMP Paste'!$M449*1,0))</f>
        <v/>
      </c>
      <c r="D449">
        <f>IF($A449="","",SUMIF($B$2:$B449,$B449,$C$2:$C449))</f>
        <v/>
      </c>
      <c r="E449">
        <f>IF($A449="",0,IF('TMP Paste'!$B449="",0,1))</f>
        <v/>
      </c>
      <c r="F449">
        <f>IF(OR($A449="",$C449&lt;1),"",$A449&amp;"-"&amp;TEXT(($D449-$C449+1),"00")&amp;IF($C449&gt;=2,", "&amp;$A449&amp;"-"&amp;TEXT(($D449-$C449+1)+1,"00"),"")&amp;IF($C449&gt;=3,", "&amp;$A449&amp;"-"&amp;TEXT(($D449-$C449+1)+2,"00"),"")&amp;IF($C449&gt;=4,", "&amp;$A449&amp;"-"&amp;TEXT(($D449-$C449+1)+3,"00"),"")&amp;IF($C449&gt;=5,", "&amp;$A449&amp;"-"&amp;TEXT(($D449-$C449+1)+4,"00"),"")&amp;IF($C449&gt;=6,", "&amp;$A449&amp;"-"&amp;TEXT(($D449-$C449+1)+5,"00"),"")&amp;IF($C449&gt;=7,", "&amp;$A449&amp;"-"&amp;TEXT(($D449-$C449+1)+6,"00"),"")&amp;IF($C449&gt;=8,", "&amp;$A449&amp;"-"&amp;TEXT(($D449-$C449+1)+7,"00"),"")&amp;IF($C449&gt;=9,", "&amp;$A449&amp;"-"&amp;TEXT(($D449-$C449+1)+8,"00"),"")&amp;IF($C449&gt;=10,", "&amp;$A449&amp;"-"&amp;TEXT(($D449-$C449+1)+9,"00"),"")&amp;IF($C449&gt;=11,", "&amp;$A449&amp;"-"&amp;TEXT(($D449-$C449+1)+10,"00"),"")&amp;IF($C449&gt;=12,", "&amp;$A449&amp;"-"&amp;TEXT(($D449-$C449+1)+11,"00"),"")&amp;IF($C449&gt;=13,", "&amp;$A449&amp;"-"&amp;TEXT(($D449-$C449+1)+12,"00"),"")&amp;IF($C449&gt;=14,", "&amp;$A449&amp;"-"&amp;TEXT(($D449-$C449+1)+13,"00"),"")&amp;IF($C449&gt;=15,", "&amp;$A449&amp;"-"&amp;TEXT(($D449-$C449+1)+14,"00"),"")&amp;IF($C449&gt;=16,", "&amp;$A449&amp;"-"&amp;TEXT(($D449-$C449+1)+15,"00"),"")&amp;IF($C449&gt;=17,", "&amp;$A449&amp;"-"&amp;TEXT(($D449-$C449+1)+16,"00"),"")&amp;IF($C449&gt;=18,", "&amp;$A449&amp;"-"&amp;TEXT(($D449-$C449+1)+17,"00"),"")&amp;IF($C449&gt;=19,", "&amp;$A449&amp;"-"&amp;TEXT(($D449-$C449+1)+18,"00"),"")&amp;IF($C449&gt;=20,", "&amp;$A449&amp;"-"&amp;TEXT(($D449-$C449+1)+19,"00"),"")&amp;IF($C449&gt;=21,", "&amp;$A449&amp;"-"&amp;TEXT(($D449-$C449+1)+20,"00"),"")&amp;IF($C449&gt;=22,", "&amp;$A449&amp;"-"&amp;TEXT(($D449-$C449+1)+21,"00"),"")&amp;IF($C449&gt;=23,", "&amp;$A449&amp;"-"&amp;TEXT(($D449-$C449+1)+22,"00"),"")&amp;IF($C449&gt;=24,", "&amp;$A449&amp;"-"&amp;TEXT(($D449-$C449+1)+23,"00"),"")&amp;IF($C449&gt;=25,", "&amp;$A449&amp;"-"&amp;TEXT(($D449-$C449+1)+24,"00"),""))</f>
        <v/>
      </c>
      <c r="G449">
        <f>IF($A449="","",IF($E449=1,$F449,IF($F449="",$G448,IF($G448="",$F449,$G448&amp;", "&amp;$F449))))</f>
        <v/>
      </c>
      <c r="H449">
        <f>IF($A449="","",$A449&amp;" ("&amp;$C449&amp;")")</f>
        <v/>
      </c>
      <c r="I449">
        <f>IF($A449="","",IF($E449=1,$H449,$I448&amp;", "&amp;$H449))</f>
        <v/>
      </c>
      <c r="J449">
        <f>IF($A449="","",IF($E449=1,$B449,""))</f>
        <v/>
      </c>
      <c r="K449">
        <f>IF($A449="","",IF(COUNTIF($B$2:$B449,$B449)=COUNTIF($B$2:$B$1601,$B449),$B449,""))</f>
        <v/>
      </c>
    </row>
    <row r="450">
      <c r="A450">
        <f>IF('TMP Paste'!$E450="","",'TMP Paste'!$E450)</f>
        <v/>
      </c>
      <c r="B450">
        <f>IF($A450="","",COUNTIF('TMP Paste'!$B$2:$B450,"?*"))</f>
        <v/>
      </c>
      <c r="C450">
        <f>IF($A450="","",IFERROR('TMP Paste'!$M450*1,0))</f>
        <v/>
      </c>
      <c r="D450">
        <f>IF($A450="","",SUMIF($B$2:$B450,$B450,$C$2:$C450))</f>
        <v/>
      </c>
      <c r="E450">
        <f>IF($A450="",0,IF('TMP Paste'!$B450="",0,1))</f>
        <v/>
      </c>
      <c r="F450">
        <f>IF(OR($A450="",$C450&lt;1),"",$A450&amp;"-"&amp;TEXT(($D450-$C450+1),"00")&amp;IF($C450&gt;=2,", "&amp;$A450&amp;"-"&amp;TEXT(($D450-$C450+1)+1,"00"),"")&amp;IF($C450&gt;=3,", "&amp;$A450&amp;"-"&amp;TEXT(($D450-$C450+1)+2,"00"),"")&amp;IF($C450&gt;=4,", "&amp;$A450&amp;"-"&amp;TEXT(($D450-$C450+1)+3,"00"),"")&amp;IF($C450&gt;=5,", "&amp;$A450&amp;"-"&amp;TEXT(($D450-$C450+1)+4,"00"),"")&amp;IF($C450&gt;=6,", "&amp;$A450&amp;"-"&amp;TEXT(($D450-$C450+1)+5,"00"),"")&amp;IF($C450&gt;=7,", "&amp;$A450&amp;"-"&amp;TEXT(($D450-$C450+1)+6,"00"),"")&amp;IF($C450&gt;=8,", "&amp;$A450&amp;"-"&amp;TEXT(($D450-$C450+1)+7,"00"),"")&amp;IF($C450&gt;=9,", "&amp;$A450&amp;"-"&amp;TEXT(($D450-$C450+1)+8,"00"),"")&amp;IF($C450&gt;=10,", "&amp;$A450&amp;"-"&amp;TEXT(($D450-$C450+1)+9,"00"),"")&amp;IF($C450&gt;=11,", "&amp;$A450&amp;"-"&amp;TEXT(($D450-$C450+1)+10,"00"),"")&amp;IF($C450&gt;=12,", "&amp;$A450&amp;"-"&amp;TEXT(($D450-$C450+1)+11,"00"),"")&amp;IF($C450&gt;=13,", "&amp;$A450&amp;"-"&amp;TEXT(($D450-$C450+1)+12,"00"),"")&amp;IF($C450&gt;=14,", "&amp;$A450&amp;"-"&amp;TEXT(($D450-$C450+1)+13,"00"),"")&amp;IF($C450&gt;=15,", "&amp;$A450&amp;"-"&amp;TEXT(($D450-$C450+1)+14,"00"),"")&amp;IF($C450&gt;=16,", "&amp;$A450&amp;"-"&amp;TEXT(($D450-$C450+1)+15,"00"),"")&amp;IF($C450&gt;=17,", "&amp;$A450&amp;"-"&amp;TEXT(($D450-$C450+1)+16,"00"),"")&amp;IF($C450&gt;=18,", "&amp;$A450&amp;"-"&amp;TEXT(($D450-$C450+1)+17,"00"),"")&amp;IF($C450&gt;=19,", "&amp;$A450&amp;"-"&amp;TEXT(($D450-$C450+1)+18,"00"),"")&amp;IF($C450&gt;=20,", "&amp;$A450&amp;"-"&amp;TEXT(($D450-$C450+1)+19,"00"),"")&amp;IF($C450&gt;=21,", "&amp;$A450&amp;"-"&amp;TEXT(($D450-$C450+1)+20,"00"),"")&amp;IF($C450&gt;=22,", "&amp;$A450&amp;"-"&amp;TEXT(($D450-$C450+1)+21,"00"),"")&amp;IF($C450&gt;=23,", "&amp;$A450&amp;"-"&amp;TEXT(($D450-$C450+1)+22,"00"),"")&amp;IF($C450&gt;=24,", "&amp;$A450&amp;"-"&amp;TEXT(($D450-$C450+1)+23,"00"),"")&amp;IF($C450&gt;=25,", "&amp;$A450&amp;"-"&amp;TEXT(($D450-$C450+1)+24,"00"),""))</f>
        <v/>
      </c>
      <c r="G450">
        <f>IF($A450="","",IF($E450=1,$F450,IF($F450="",$G449,IF($G449="",$F450,$G449&amp;", "&amp;$F450))))</f>
        <v/>
      </c>
      <c r="H450">
        <f>IF($A450="","",$A450&amp;" ("&amp;$C450&amp;")")</f>
        <v/>
      </c>
      <c r="I450">
        <f>IF($A450="","",IF($E450=1,$H450,$I449&amp;", "&amp;$H450))</f>
        <v/>
      </c>
      <c r="J450">
        <f>IF($A450="","",IF($E450=1,$B450,""))</f>
        <v/>
      </c>
      <c r="K450">
        <f>IF($A450="","",IF(COUNTIF($B$2:$B450,$B450)=COUNTIF($B$2:$B$1601,$B450),$B450,""))</f>
        <v/>
      </c>
    </row>
    <row r="451">
      <c r="A451">
        <f>IF('TMP Paste'!$E451="","",'TMP Paste'!$E451)</f>
        <v/>
      </c>
      <c r="B451">
        <f>IF($A451="","",COUNTIF('TMP Paste'!$B$2:$B451,"?*"))</f>
        <v/>
      </c>
      <c r="C451">
        <f>IF($A451="","",IFERROR('TMP Paste'!$M451*1,0))</f>
        <v/>
      </c>
      <c r="D451">
        <f>IF($A451="","",SUMIF($B$2:$B451,$B451,$C$2:$C451))</f>
        <v/>
      </c>
      <c r="E451">
        <f>IF($A451="",0,IF('TMP Paste'!$B451="",0,1))</f>
        <v/>
      </c>
      <c r="F451">
        <f>IF(OR($A451="",$C451&lt;1),"",$A451&amp;"-"&amp;TEXT(($D451-$C451+1),"00")&amp;IF($C451&gt;=2,", "&amp;$A451&amp;"-"&amp;TEXT(($D451-$C451+1)+1,"00"),"")&amp;IF($C451&gt;=3,", "&amp;$A451&amp;"-"&amp;TEXT(($D451-$C451+1)+2,"00"),"")&amp;IF($C451&gt;=4,", "&amp;$A451&amp;"-"&amp;TEXT(($D451-$C451+1)+3,"00"),"")&amp;IF($C451&gt;=5,", "&amp;$A451&amp;"-"&amp;TEXT(($D451-$C451+1)+4,"00"),"")&amp;IF($C451&gt;=6,", "&amp;$A451&amp;"-"&amp;TEXT(($D451-$C451+1)+5,"00"),"")&amp;IF($C451&gt;=7,", "&amp;$A451&amp;"-"&amp;TEXT(($D451-$C451+1)+6,"00"),"")&amp;IF($C451&gt;=8,", "&amp;$A451&amp;"-"&amp;TEXT(($D451-$C451+1)+7,"00"),"")&amp;IF($C451&gt;=9,", "&amp;$A451&amp;"-"&amp;TEXT(($D451-$C451+1)+8,"00"),"")&amp;IF($C451&gt;=10,", "&amp;$A451&amp;"-"&amp;TEXT(($D451-$C451+1)+9,"00"),"")&amp;IF($C451&gt;=11,", "&amp;$A451&amp;"-"&amp;TEXT(($D451-$C451+1)+10,"00"),"")&amp;IF($C451&gt;=12,", "&amp;$A451&amp;"-"&amp;TEXT(($D451-$C451+1)+11,"00"),"")&amp;IF($C451&gt;=13,", "&amp;$A451&amp;"-"&amp;TEXT(($D451-$C451+1)+12,"00"),"")&amp;IF($C451&gt;=14,", "&amp;$A451&amp;"-"&amp;TEXT(($D451-$C451+1)+13,"00"),"")&amp;IF($C451&gt;=15,", "&amp;$A451&amp;"-"&amp;TEXT(($D451-$C451+1)+14,"00"),"")&amp;IF($C451&gt;=16,", "&amp;$A451&amp;"-"&amp;TEXT(($D451-$C451+1)+15,"00"),"")&amp;IF($C451&gt;=17,", "&amp;$A451&amp;"-"&amp;TEXT(($D451-$C451+1)+16,"00"),"")&amp;IF($C451&gt;=18,", "&amp;$A451&amp;"-"&amp;TEXT(($D451-$C451+1)+17,"00"),"")&amp;IF($C451&gt;=19,", "&amp;$A451&amp;"-"&amp;TEXT(($D451-$C451+1)+18,"00"),"")&amp;IF($C451&gt;=20,", "&amp;$A451&amp;"-"&amp;TEXT(($D451-$C451+1)+19,"00"),"")&amp;IF($C451&gt;=21,", "&amp;$A451&amp;"-"&amp;TEXT(($D451-$C451+1)+20,"00"),"")&amp;IF($C451&gt;=22,", "&amp;$A451&amp;"-"&amp;TEXT(($D451-$C451+1)+21,"00"),"")&amp;IF($C451&gt;=23,", "&amp;$A451&amp;"-"&amp;TEXT(($D451-$C451+1)+22,"00"),"")&amp;IF($C451&gt;=24,", "&amp;$A451&amp;"-"&amp;TEXT(($D451-$C451+1)+23,"00"),"")&amp;IF($C451&gt;=25,", "&amp;$A451&amp;"-"&amp;TEXT(($D451-$C451+1)+24,"00"),""))</f>
        <v/>
      </c>
      <c r="G451">
        <f>IF($A451="","",IF($E451=1,$F451,IF($F451="",$G450,IF($G450="",$F451,$G450&amp;", "&amp;$F451))))</f>
        <v/>
      </c>
      <c r="H451">
        <f>IF($A451="","",$A451&amp;" ("&amp;$C451&amp;")")</f>
        <v/>
      </c>
      <c r="I451">
        <f>IF($A451="","",IF($E451=1,$H451,$I450&amp;", "&amp;$H451))</f>
        <v/>
      </c>
      <c r="J451">
        <f>IF($A451="","",IF($E451=1,$B451,""))</f>
        <v/>
      </c>
      <c r="K451">
        <f>IF($A451="","",IF(COUNTIF($B$2:$B451,$B451)=COUNTIF($B$2:$B$1601,$B451),$B451,""))</f>
        <v/>
      </c>
    </row>
    <row r="452">
      <c r="A452">
        <f>IF('TMP Paste'!$E452="","",'TMP Paste'!$E452)</f>
        <v/>
      </c>
      <c r="B452">
        <f>IF($A452="","",COUNTIF('TMP Paste'!$B$2:$B452,"?*"))</f>
        <v/>
      </c>
      <c r="C452">
        <f>IF($A452="","",IFERROR('TMP Paste'!$M452*1,0))</f>
        <v/>
      </c>
      <c r="D452">
        <f>IF($A452="","",SUMIF($B$2:$B452,$B452,$C$2:$C452))</f>
        <v/>
      </c>
      <c r="E452">
        <f>IF($A452="",0,IF('TMP Paste'!$B452="",0,1))</f>
        <v/>
      </c>
      <c r="F452">
        <f>IF(OR($A452="",$C452&lt;1),"",$A452&amp;"-"&amp;TEXT(($D452-$C452+1),"00")&amp;IF($C452&gt;=2,", "&amp;$A452&amp;"-"&amp;TEXT(($D452-$C452+1)+1,"00"),"")&amp;IF($C452&gt;=3,", "&amp;$A452&amp;"-"&amp;TEXT(($D452-$C452+1)+2,"00"),"")&amp;IF($C452&gt;=4,", "&amp;$A452&amp;"-"&amp;TEXT(($D452-$C452+1)+3,"00"),"")&amp;IF($C452&gt;=5,", "&amp;$A452&amp;"-"&amp;TEXT(($D452-$C452+1)+4,"00"),"")&amp;IF($C452&gt;=6,", "&amp;$A452&amp;"-"&amp;TEXT(($D452-$C452+1)+5,"00"),"")&amp;IF($C452&gt;=7,", "&amp;$A452&amp;"-"&amp;TEXT(($D452-$C452+1)+6,"00"),"")&amp;IF($C452&gt;=8,", "&amp;$A452&amp;"-"&amp;TEXT(($D452-$C452+1)+7,"00"),"")&amp;IF($C452&gt;=9,", "&amp;$A452&amp;"-"&amp;TEXT(($D452-$C452+1)+8,"00"),"")&amp;IF($C452&gt;=10,", "&amp;$A452&amp;"-"&amp;TEXT(($D452-$C452+1)+9,"00"),"")&amp;IF($C452&gt;=11,", "&amp;$A452&amp;"-"&amp;TEXT(($D452-$C452+1)+10,"00"),"")&amp;IF($C452&gt;=12,", "&amp;$A452&amp;"-"&amp;TEXT(($D452-$C452+1)+11,"00"),"")&amp;IF($C452&gt;=13,", "&amp;$A452&amp;"-"&amp;TEXT(($D452-$C452+1)+12,"00"),"")&amp;IF($C452&gt;=14,", "&amp;$A452&amp;"-"&amp;TEXT(($D452-$C452+1)+13,"00"),"")&amp;IF($C452&gt;=15,", "&amp;$A452&amp;"-"&amp;TEXT(($D452-$C452+1)+14,"00"),"")&amp;IF($C452&gt;=16,", "&amp;$A452&amp;"-"&amp;TEXT(($D452-$C452+1)+15,"00"),"")&amp;IF($C452&gt;=17,", "&amp;$A452&amp;"-"&amp;TEXT(($D452-$C452+1)+16,"00"),"")&amp;IF($C452&gt;=18,", "&amp;$A452&amp;"-"&amp;TEXT(($D452-$C452+1)+17,"00"),"")&amp;IF($C452&gt;=19,", "&amp;$A452&amp;"-"&amp;TEXT(($D452-$C452+1)+18,"00"),"")&amp;IF($C452&gt;=20,", "&amp;$A452&amp;"-"&amp;TEXT(($D452-$C452+1)+19,"00"),"")&amp;IF($C452&gt;=21,", "&amp;$A452&amp;"-"&amp;TEXT(($D452-$C452+1)+20,"00"),"")&amp;IF($C452&gt;=22,", "&amp;$A452&amp;"-"&amp;TEXT(($D452-$C452+1)+21,"00"),"")&amp;IF($C452&gt;=23,", "&amp;$A452&amp;"-"&amp;TEXT(($D452-$C452+1)+22,"00"),"")&amp;IF($C452&gt;=24,", "&amp;$A452&amp;"-"&amp;TEXT(($D452-$C452+1)+23,"00"),"")&amp;IF($C452&gt;=25,", "&amp;$A452&amp;"-"&amp;TEXT(($D452-$C452+1)+24,"00"),""))</f>
        <v/>
      </c>
      <c r="G452">
        <f>IF($A452="","",IF($E452=1,$F452,IF($F452="",$G451,IF($G451="",$F452,$G451&amp;", "&amp;$F452))))</f>
        <v/>
      </c>
      <c r="H452">
        <f>IF($A452="","",$A452&amp;" ("&amp;$C452&amp;")")</f>
        <v/>
      </c>
      <c r="I452">
        <f>IF($A452="","",IF($E452=1,$H452,$I451&amp;", "&amp;$H452))</f>
        <v/>
      </c>
      <c r="J452">
        <f>IF($A452="","",IF($E452=1,$B452,""))</f>
        <v/>
      </c>
      <c r="K452">
        <f>IF($A452="","",IF(COUNTIF($B$2:$B452,$B452)=COUNTIF($B$2:$B$1601,$B452),$B452,""))</f>
        <v/>
      </c>
    </row>
    <row r="453">
      <c r="A453">
        <f>IF('TMP Paste'!$E453="","",'TMP Paste'!$E453)</f>
        <v/>
      </c>
      <c r="B453">
        <f>IF($A453="","",COUNTIF('TMP Paste'!$B$2:$B453,"?*"))</f>
        <v/>
      </c>
      <c r="C453">
        <f>IF($A453="","",IFERROR('TMP Paste'!$M453*1,0))</f>
        <v/>
      </c>
      <c r="D453">
        <f>IF($A453="","",SUMIF($B$2:$B453,$B453,$C$2:$C453))</f>
        <v/>
      </c>
      <c r="E453">
        <f>IF($A453="",0,IF('TMP Paste'!$B453="",0,1))</f>
        <v/>
      </c>
      <c r="F453">
        <f>IF(OR($A453="",$C453&lt;1),"",$A453&amp;"-"&amp;TEXT(($D453-$C453+1),"00")&amp;IF($C453&gt;=2,", "&amp;$A453&amp;"-"&amp;TEXT(($D453-$C453+1)+1,"00"),"")&amp;IF($C453&gt;=3,", "&amp;$A453&amp;"-"&amp;TEXT(($D453-$C453+1)+2,"00"),"")&amp;IF($C453&gt;=4,", "&amp;$A453&amp;"-"&amp;TEXT(($D453-$C453+1)+3,"00"),"")&amp;IF($C453&gt;=5,", "&amp;$A453&amp;"-"&amp;TEXT(($D453-$C453+1)+4,"00"),"")&amp;IF($C453&gt;=6,", "&amp;$A453&amp;"-"&amp;TEXT(($D453-$C453+1)+5,"00"),"")&amp;IF($C453&gt;=7,", "&amp;$A453&amp;"-"&amp;TEXT(($D453-$C453+1)+6,"00"),"")&amp;IF($C453&gt;=8,", "&amp;$A453&amp;"-"&amp;TEXT(($D453-$C453+1)+7,"00"),"")&amp;IF($C453&gt;=9,", "&amp;$A453&amp;"-"&amp;TEXT(($D453-$C453+1)+8,"00"),"")&amp;IF($C453&gt;=10,", "&amp;$A453&amp;"-"&amp;TEXT(($D453-$C453+1)+9,"00"),"")&amp;IF($C453&gt;=11,", "&amp;$A453&amp;"-"&amp;TEXT(($D453-$C453+1)+10,"00"),"")&amp;IF($C453&gt;=12,", "&amp;$A453&amp;"-"&amp;TEXT(($D453-$C453+1)+11,"00"),"")&amp;IF($C453&gt;=13,", "&amp;$A453&amp;"-"&amp;TEXT(($D453-$C453+1)+12,"00"),"")&amp;IF($C453&gt;=14,", "&amp;$A453&amp;"-"&amp;TEXT(($D453-$C453+1)+13,"00"),"")&amp;IF($C453&gt;=15,", "&amp;$A453&amp;"-"&amp;TEXT(($D453-$C453+1)+14,"00"),"")&amp;IF($C453&gt;=16,", "&amp;$A453&amp;"-"&amp;TEXT(($D453-$C453+1)+15,"00"),"")&amp;IF($C453&gt;=17,", "&amp;$A453&amp;"-"&amp;TEXT(($D453-$C453+1)+16,"00"),"")&amp;IF($C453&gt;=18,", "&amp;$A453&amp;"-"&amp;TEXT(($D453-$C453+1)+17,"00"),"")&amp;IF($C453&gt;=19,", "&amp;$A453&amp;"-"&amp;TEXT(($D453-$C453+1)+18,"00"),"")&amp;IF($C453&gt;=20,", "&amp;$A453&amp;"-"&amp;TEXT(($D453-$C453+1)+19,"00"),"")&amp;IF($C453&gt;=21,", "&amp;$A453&amp;"-"&amp;TEXT(($D453-$C453+1)+20,"00"),"")&amp;IF($C453&gt;=22,", "&amp;$A453&amp;"-"&amp;TEXT(($D453-$C453+1)+21,"00"),"")&amp;IF($C453&gt;=23,", "&amp;$A453&amp;"-"&amp;TEXT(($D453-$C453+1)+22,"00"),"")&amp;IF($C453&gt;=24,", "&amp;$A453&amp;"-"&amp;TEXT(($D453-$C453+1)+23,"00"),"")&amp;IF($C453&gt;=25,", "&amp;$A453&amp;"-"&amp;TEXT(($D453-$C453+1)+24,"00"),""))</f>
        <v/>
      </c>
      <c r="G453">
        <f>IF($A453="","",IF($E453=1,$F453,IF($F453="",$G452,IF($G452="",$F453,$G452&amp;", "&amp;$F453))))</f>
        <v/>
      </c>
      <c r="H453">
        <f>IF($A453="","",$A453&amp;" ("&amp;$C453&amp;")")</f>
        <v/>
      </c>
      <c r="I453">
        <f>IF($A453="","",IF($E453=1,$H453,$I452&amp;", "&amp;$H453))</f>
        <v/>
      </c>
      <c r="J453">
        <f>IF($A453="","",IF($E453=1,$B453,""))</f>
        <v/>
      </c>
      <c r="K453">
        <f>IF($A453="","",IF(COUNTIF($B$2:$B453,$B453)=COUNTIF($B$2:$B$1601,$B453),$B453,""))</f>
        <v/>
      </c>
    </row>
    <row r="454">
      <c r="A454">
        <f>IF('TMP Paste'!$E454="","",'TMP Paste'!$E454)</f>
        <v/>
      </c>
      <c r="B454">
        <f>IF($A454="","",COUNTIF('TMP Paste'!$B$2:$B454,"?*"))</f>
        <v/>
      </c>
      <c r="C454">
        <f>IF($A454="","",IFERROR('TMP Paste'!$M454*1,0))</f>
        <v/>
      </c>
      <c r="D454">
        <f>IF($A454="","",SUMIF($B$2:$B454,$B454,$C$2:$C454))</f>
        <v/>
      </c>
      <c r="E454">
        <f>IF($A454="",0,IF('TMP Paste'!$B454="",0,1))</f>
        <v/>
      </c>
      <c r="F454">
        <f>IF(OR($A454="",$C454&lt;1),"",$A454&amp;"-"&amp;TEXT(($D454-$C454+1),"00")&amp;IF($C454&gt;=2,", "&amp;$A454&amp;"-"&amp;TEXT(($D454-$C454+1)+1,"00"),"")&amp;IF($C454&gt;=3,", "&amp;$A454&amp;"-"&amp;TEXT(($D454-$C454+1)+2,"00"),"")&amp;IF($C454&gt;=4,", "&amp;$A454&amp;"-"&amp;TEXT(($D454-$C454+1)+3,"00"),"")&amp;IF($C454&gt;=5,", "&amp;$A454&amp;"-"&amp;TEXT(($D454-$C454+1)+4,"00"),"")&amp;IF($C454&gt;=6,", "&amp;$A454&amp;"-"&amp;TEXT(($D454-$C454+1)+5,"00"),"")&amp;IF($C454&gt;=7,", "&amp;$A454&amp;"-"&amp;TEXT(($D454-$C454+1)+6,"00"),"")&amp;IF($C454&gt;=8,", "&amp;$A454&amp;"-"&amp;TEXT(($D454-$C454+1)+7,"00"),"")&amp;IF($C454&gt;=9,", "&amp;$A454&amp;"-"&amp;TEXT(($D454-$C454+1)+8,"00"),"")&amp;IF($C454&gt;=10,", "&amp;$A454&amp;"-"&amp;TEXT(($D454-$C454+1)+9,"00"),"")&amp;IF($C454&gt;=11,", "&amp;$A454&amp;"-"&amp;TEXT(($D454-$C454+1)+10,"00"),"")&amp;IF($C454&gt;=12,", "&amp;$A454&amp;"-"&amp;TEXT(($D454-$C454+1)+11,"00"),"")&amp;IF($C454&gt;=13,", "&amp;$A454&amp;"-"&amp;TEXT(($D454-$C454+1)+12,"00"),"")&amp;IF($C454&gt;=14,", "&amp;$A454&amp;"-"&amp;TEXT(($D454-$C454+1)+13,"00"),"")&amp;IF($C454&gt;=15,", "&amp;$A454&amp;"-"&amp;TEXT(($D454-$C454+1)+14,"00"),"")&amp;IF($C454&gt;=16,", "&amp;$A454&amp;"-"&amp;TEXT(($D454-$C454+1)+15,"00"),"")&amp;IF($C454&gt;=17,", "&amp;$A454&amp;"-"&amp;TEXT(($D454-$C454+1)+16,"00"),"")&amp;IF($C454&gt;=18,", "&amp;$A454&amp;"-"&amp;TEXT(($D454-$C454+1)+17,"00"),"")&amp;IF($C454&gt;=19,", "&amp;$A454&amp;"-"&amp;TEXT(($D454-$C454+1)+18,"00"),"")&amp;IF($C454&gt;=20,", "&amp;$A454&amp;"-"&amp;TEXT(($D454-$C454+1)+19,"00"),"")&amp;IF($C454&gt;=21,", "&amp;$A454&amp;"-"&amp;TEXT(($D454-$C454+1)+20,"00"),"")&amp;IF($C454&gt;=22,", "&amp;$A454&amp;"-"&amp;TEXT(($D454-$C454+1)+21,"00"),"")&amp;IF($C454&gt;=23,", "&amp;$A454&amp;"-"&amp;TEXT(($D454-$C454+1)+22,"00"),"")&amp;IF($C454&gt;=24,", "&amp;$A454&amp;"-"&amp;TEXT(($D454-$C454+1)+23,"00"),"")&amp;IF($C454&gt;=25,", "&amp;$A454&amp;"-"&amp;TEXT(($D454-$C454+1)+24,"00"),""))</f>
        <v/>
      </c>
      <c r="G454">
        <f>IF($A454="","",IF($E454=1,$F454,IF($F454="",$G453,IF($G453="",$F454,$G453&amp;", "&amp;$F454))))</f>
        <v/>
      </c>
      <c r="H454">
        <f>IF($A454="","",$A454&amp;" ("&amp;$C454&amp;")")</f>
        <v/>
      </c>
      <c r="I454">
        <f>IF($A454="","",IF($E454=1,$H454,$I453&amp;", "&amp;$H454))</f>
        <v/>
      </c>
      <c r="J454">
        <f>IF($A454="","",IF($E454=1,$B454,""))</f>
        <v/>
      </c>
      <c r="K454">
        <f>IF($A454="","",IF(COUNTIF($B$2:$B454,$B454)=COUNTIF($B$2:$B$1601,$B454),$B454,""))</f>
        <v/>
      </c>
    </row>
    <row r="455">
      <c r="A455">
        <f>IF('TMP Paste'!$E455="","",'TMP Paste'!$E455)</f>
        <v/>
      </c>
      <c r="B455">
        <f>IF($A455="","",COUNTIF('TMP Paste'!$B$2:$B455,"?*"))</f>
        <v/>
      </c>
      <c r="C455">
        <f>IF($A455="","",IFERROR('TMP Paste'!$M455*1,0))</f>
        <v/>
      </c>
      <c r="D455">
        <f>IF($A455="","",SUMIF($B$2:$B455,$B455,$C$2:$C455))</f>
        <v/>
      </c>
      <c r="E455">
        <f>IF($A455="",0,IF('TMP Paste'!$B455="",0,1))</f>
        <v/>
      </c>
      <c r="F455">
        <f>IF(OR($A455="",$C455&lt;1),"",$A455&amp;"-"&amp;TEXT(($D455-$C455+1),"00")&amp;IF($C455&gt;=2,", "&amp;$A455&amp;"-"&amp;TEXT(($D455-$C455+1)+1,"00"),"")&amp;IF($C455&gt;=3,", "&amp;$A455&amp;"-"&amp;TEXT(($D455-$C455+1)+2,"00"),"")&amp;IF($C455&gt;=4,", "&amp;$A455&amp;"-"&amp;TEXT(($D455-$C455+1)+3,"00"),"")&amp;IF($C455&gt;=5,", "&amp;$A455&amp;"-"&amp;TEXT(($D455-$C455+1)+4,"00"),"")&amp;IF($C455&gt;=6,", "&amp;$A455&amp;"-"&amp;TEXT(($D455-$C455+1)+5,"00"),"")&amp;IF($C455&gt;=7,", "&amp;$A455&amp;"-"&amp;TEXT(($D455-$C455+1)+6,"00"),"")&amp;IF($C455&gt;=8,", "&amp;$A455&amp;"-"&amp;TEXT(($D455-$C455+1)+7,"00"),"")&amp;IF($C455&gt;=9,", "&amp;$A455&amp;"-"&amp;TEXT(($D455-$C455+1)+8,"00"),"")&amp;IF($C455&gt;=10,", "&amp;$A455&amp;"-"&amp;TEXT(($D455-$C455+1)+9,"00"),"")&amp;IF($C455&gt;=11,", "&amp;$A455&amp;"-"&amp;TEXT(($D455-$C455+1)+10,"00"),"")&amp;IF($C455&gt;=12,", "&amp;$A455&amp;"-"&amp;TEXT(($D455-$C455+1)+11,"00"),"")&amp;IF($C455&gt;=13,", "&amp;$A455&amp;"-"&amp;TEXT(($D455-$C455+1)+12,"00"),"")&amp;IF($C455&gt;=14,", "&amp;$A455&amp;"-"&amp;TEXT(($D455-$C455+1)+13,"00"),"")&amp;IF($C455&gt;=15,", "&amp;$A455&amp;"-"&amp;TEXT(($D455-$C455+1)+14,"00"),"")&amp;IF($C455&gt;=16,", "&amp;$A455&amp;"-"&amp;TEXT(($D455-$C455+1)+15,"00"),"")&amp;IF($C455&gt;=17,", "&amp;$A455&amp;"-"&amp;TEXT(($D455-$C455+1)+16,"00"),"")&amp;IF($C455&gt;=18,", "&amp;$A455&amp;"-"&amp;TEXT(($D455-$C455+1)+17,"00"),"")&amp;IF($C455&gt;=19,", "&amp;$A455&amp;"-"&amp;TEXT(($D455-$C455+1)+18,"00"),"")&amp;IF($C455&gt;=20,", "&amp;$A455&amp;"-"&amp;TEXT(($D455-$C455+1)+19,"00"),"")&amp;IF($C455&gt;=21,", "&amp;$A455&amp;"-"&amp;TEXT(($D455-$C455+1)+20,"00"),"")&amp;IF($C455&gt;=22,", "&amp;$A455&amp;"-"&amp;TEXT(($D455-$C455+1)+21,"00"),"")&amp;IF($C455&gt;=23,", "&amp;$A455&amp;"-"&amp;TEXT(($D455-$C455+1)+22,"00"),"")&amp;IF($C455&gt;=24,", "&amp;$A455&amp;"-"&amp;TEXT(($D455-$C455+1)+23,"00"),"")&amp;IF($C455&gt;=25,", "&amp;$A455&amp;"-"&amp;TEXT(($D455-$C455+1)+24,"00"),""))</f>
        <v/>
      </c>
      <c r="G455">
        <f>IF($A455="","",IF($E455=1,$F455,IF($F455="",$G454,IF($G454="",$F455,$G454&amp;", "&amp;$F455))))</f>
        <v/>
      </c>
      <c r="H455">
        <f>IF($A455="","",$A455&amp;" ("&amp;$C455&amp;")")</f>
        <v/>
      </c>
      <c r="I455">
        <f>IF($A455="","",IF($E455=1,$H455,$I454&amp;", "&amp;$H455))</f>
        <v/>
      </c>
      <c r="J455">
        <f>IF($A455="","",IF($E455=1,$B455,""))</f>
        <v/>
      </c>
      <c r="K455">
        <f>IF($A455="","",IF(COUNTIF($B$2:$B455,$B455)=COUNTIF($B$2:$B$1601,$B455),$B455,""))</f>
        <v/>
      </c>
    </row>
    <row r="456">
      <c r="A456">
        <f>IF('TMP Paste'!$E456="","",'TMP Paste'!$E456)</f>
        <v/>
      </c>
      <c r="B456">
        <f>IF($A456="","",COUNTIF('TMP Paste'!$B$2:$B456,"?*"))</f>
        <v/>
      </c>
      <c r="C456">
        <f>IF($A456="","",IFERROR('TMP Paste'!$M456*1,0))</f>
        <v/>
      </c>
      <c r="D456">
        <f>IF($A456="","",SUMIF($B$2:$B456,$B456,$C$2:$C456))</f>
        <v/>
      </c>
      <c r="E456">
        <f>IF($A456="",0,IF('TMP Paste'!$B456="",0,1))</f>
        <v/>
      </c>
      <c r="F456">
        <f>IF(OR($A456="",$C456&lt;1),"",$A456&amp;"-"&amp;TEXT(($D456-$C456+1),"00")&amp;IF($C456&gt;=2,", "&amp;$A456&amp;"-"&amp;TEXT(($D456-$C456+1)+1,"00"),"")&amp;IF($C456&gt;=3,", "&amp;$A456&amp;"-"&amp;TEXT(($D456-$C456+1)+2,"00"),"")&amp;IF($C456&gt;=4,", "&amp;$A456&amp;"-"&amp;TEXT(($D456-$C456+1)+3,"00"),"")&amp;IF($C456&gt;=5,", "&amp;$A456&amp;"-"&amp;TEXT(($D456-$C456+1)+4,"00"),"")&amp;IF($C456&gt;=6,", "&amp;$A456&amp;"-"&amp;TEXT(($D456-$C456+1)+5,"00"),"")&amp;IF($C456&gt;=7,", "&amp;$A456&amp;"-"&amp;TEXT(($D456-$C456+1)+6,"00"),"")&amp;IF($C456&gt;=8,", "&amp;$A456&amp;"-"&amp;TEXT(($D456-$C456+1)+7,"00"),"")&amp;IF($C456&gt;=9,", "&amp;$A456&amp;"-"&amp;TEXT(($D456-$C456+1)+8,"00"),"")&amp;IF($C456&gt;=10,", "&amp;$A456&amp;"-"&amp;TEXT(($D456-$C456+1)+9,"00"),"")&amp;IF($C456&gt;=11,", "&amp;$A456&amp;"-"&amp;TEXT(($D456-$C456+1)+10,"00"),"")&amp;IF($C456&gt;=12,", "&amp;$A456&amp;"-"&amp;TEXT(($D456-$C456+1)+11,"00"),"")&amp;IF($C456&gt;=13,", "&amp;$A456&amp;"-"&amp;TEXT(($D456-$C456+1)+12,"00"),"")&amp;IF($C456&gt;=14,", "&amp;$A456&amp;"-"&amp;TEXT(($D456-$C456+1)+13,"00"),"")&amp;IF($C456&gt;=15,", "&amp;$A456&amp;"-"&amp;TEXT(($D456-$C456+1)+14,"00"),"")&amp;IF($C456&gt;=16,", "&amp;$A456&amp;"-"&amp;TEXT(($D456-$C456+1)+15,"00"),"")&amp;IF($C456&gt;=17,", "&amp;$A456&amp;"-"&amp;TEXT(($D456-$C456+1)+16,"00"),"")&amp;IF($C456&gt;=18,", "&amp;$A456&amp;"-"&amp;TEXT(($D456-$C456+1)+17,"00"),"")&amp;IF($C456&gt;=19,", "&amp;$A456&amp;"-"&amp;TEXT(($D456-$C456+1)+18,"00"),"")&amp;IF($C456&gt;=20,", "&amp;$A456&amp;"-"&amp;TEXT(($D456-$C456+1)+19,"00"),"")&amp;IF($C456&gt;=21,", "&amp;$A456&amp;"-"&amp;TEXT(($D456-$C456+1)+20,"00"),"")&amp;IF($C456&gt;=22,", "&amp;$A456&amp;"-"&amp;TEXT(($D456-$C456+1)+21,"00"),"")&amp;IF($C456&gt;=23,", "&amp;$A456&amp;"-"&amp;TEXT(($D456-$C456+1)+22,"00"),"")&amp;IF($C456&gt;=24,", "&amp;$A456&amp;"-"&amp;TEXT(($D456-$C456+1)+23,"00"),"")&amp;IF($C456&gt;=25,", "&amp;$A456&amp;"-"&amp;TEXT(($D456-$C456+1)+24,"00"),""))</f>
        <v/>
      </c>
      <c r="G456">
        <f>IF($A456="","",IF($E456=1,$F456,IF($F456="",$G455,IF($G455="",$F456,$G455&amp;", "&amp;$F456))))</f>
        <v/>
      </c>
      <c r="H456">
        <f>IF($A456="","",$A456&amp;" ("&amp;$C456&amp;")")</f>
        <v/>
      </c>
      <c r="I456">
        <f>IF($A456="","",IF($E456=1,$H456,$I455&amp;", "&amp;$H456))</f>
        <v/>
      </c>
      <c r="J456">
        <f>IF($A456="","",IF($E456=1,$B456,""))</f>
        <v/>
      </c>
      <c r="K456">
        <f>IF($A456="","",IF(COUNTIF($B$2:$B456,$B456)=COUNTIF($B$2:$B$1601,$B456),$B456,""))</f>
        <v/>
      </c>
    </row>
    <row r="457">
      <c r="A457">
        <f>IF('TMP Paste'!$E457="","",'TMP Paste'!$E457)</f>
        <v/>
      </c>
      <c r="B457">
        <f>IF($A457="","",COUNTIF('TMP Paste'!$B$2:$B457,"?*"))</f>
        <v/>
      </c>
      <c r="C457">
        <f>IF($A457="","",IFERROR('TMP Paste'!$M457*1,0))</f>
        <v/>
      </c>
      <c r="D457">
        <f>IF($A457="","",SUMIF($B$2:$B457,$B457,$C$2:$C457))</f>
        <v/>
      </c>
      <c r="E457">
        <f>IF($A457="",0,IF('TMP Paste'!$B457="",0,1))</f>
        <v/>
      </c>
      <c r="F457">
        <f>IF(OR($A457="",$C457&lt;1),"",$A457&amp;"-"&amp;TEXT(($D457-$C457+1),"00")&amp;IF($C457&gt;=2,", "&amp;$A457&amp;"-"&amp;TEXT(($D457-$C457+1)+1,"00"),"")&amp;IF($C457&gt;=3,", "&amp;$A457&amp;"-"&amp;TEXT(($D457-$C457+1)+2,"00"),"")&amp;IF($C457&gt;=4,", "&amp;$A457&amp;"-"&amp;TEXT(($D457-$C457+1)+3,"00"),"")&amp;IF($C457&gt;=5,", "&amp;$A457&amp;"-"&amp;TEXT(($D457-$C457+1)+4,"00"),"")&amp;IF($C457&gt;=6,", "&amp;$A457&amp;"-"&amp;TEXT(($D457-$C457+1)+5,"00"),"")&amp;IF($C457&gt;=7,", "&amp;$A457&amp;"-"&amp;TEXT(($D457-$C457+1)+6,"00"),"")&amp;IF($C457&gt;=8,", "&amp;$A457&amp;"-"&amp;TEXT(($D457-$C457+1)+7,"00"),"")&amp;IF($C457&gt;=9,", "&amp;$A457&amp;"-"&amp;TEXT(($D457-$C457+1)+8,"00"),"")&amp;IF($C457&gt;=10,", "&amp;$A457&amp;"-"&amp;TEXT(($D457-$C457+1)+9,"00"),"")&amp;IF($C457&gt;=11,", "&amp;$A457&amp;"-"&amp;TEXT(($D457-$C457+1)+10,"00"),"")&amp;IF($C457&gt;=12,", "&amp;$A457&amp;"-"&amp;TEXT(($D457-$C457+1)+11,"00"),"")&amp;IF($C457&gt;=13,", "&amp;$A457&amp;"-"&amp;TEXT(($D457-$C457+1)+12,"00"),"")&amp;IF($C457&gt;=14,", "&amp;$A457&amp;"-"&amp;TEXT(($D457-$C457+1)+13,"00"),"")&amp;IF($C457&gt;=15,", "&amp;$A457&amp;"-"&amp;TEXT(($D457-$C457+1)+14,"00"),"")&amp;IF($C457&gt;=16,", "&amp;$A457&amp;"-"&amp;TEXT(($D457-$C457+1)+15,"00"),"")&amp;IF($C457&gt;=17,", "&amp;$A457&amp;"-"&amp;TEXT(($D457-$C457+1)+16,"00"),"")&amp;IF($C457&gt;=18,", "&amp;$A457&amp;"-"&amp;TEXT(($D457-$C457+1)+17,"00"),"")&amp;IF($C457&gt;=19,", "&amp;$A457&amp;"-"&amp;TEXT(($D457-$C457+1)+18,"00"),"")&amp;IF($C457&gt;=20,", "&amp;$A457&amp;"-"&amp;TEXT(($D457-$C457+1)+19,"00"),"")&amp;IF($C457&gt;=21,", "&amp;$A457&amp;"-"&amp;TEXT(($D457-$C457+1)+20,"00"),"")&amp;IF($C457&gt;=22,", "&amp;$A457&amp;"-"&amp;TEXT(($D457-$C457+1)+21,"00"),"")&amp;IF($C457&gt;=23,", "&amp;$A457&amp;"-"&amp;TEXT(($D457-$C457+1)+22,"00"),"")&amp;IF($C457&gt;=24,", "&amp;$A457&amp;"-"&amp;TEXT(($D457-$C457+1)+23,"00"),"")&amp;IF($C457&gt;=25,", "&amp;$A457&amp;"-"&amp;TEXT(($D457-$C457+1)+24,"00"),""))</f>
        <v/>
      </c>
      <c r="G457">
        <f>IF($A457="","",IF($E457=1,$F457,IF($F457="",$G456,IF($G456="",$F457,$G456&amp;", "&amp;$F457))))</f>
        <v/>
      </c>
      <c r="H457">
        <f>IF($A457="","",$A457&amp;" ("&amp;$C457&amp;")")</f>
        <v/>
      </c>
      <c r="I457">
        <f>IF($A457="","",IF($E457=1,$H457,$I456&amp;", "&amp;$H457))</f>
        <v/>
      </c>
      <c r="J457">
        <f>IF($A457="","",IF($E457=1,$B457,""))</f>
        <v/>
      </c>
      <c r="K457">
        <f>IF($A457="","",IF(COUNTIF($B$2:$B457,$B457)=COUNTIF($B$2:$B$1601,$B457),$B457,""))</f>
        <v/>
      </c>
    </row>
    <row r="458">
      <c r="A458">
        <f>IF('TMP Paste'!$E458="","",'TMP Paste'!$E458)</f>
        <v/>
      </c>
      <c r="B458">
        <f>IF($A458="","",COUNTIF('TMP Paste'!$B$2:$B458,"?*"))</f>
        <v/>
      </c>
      <c r="C458">
        <f>IF($A458="","",IFERROR('TMP Paste'!$M458*1,0))</f>
        <v/>
      </c>
      <c r="D458">
        <f>IF($A458="","",SUMIF($B$2:$B458,$B458,$C$2:$C458))</f>
        <v/>
      </c>
      <c r="E458">
        <f>IF($A458="",0,IF('TMP Paste'!$B458="",0,1))</f>
        <v/>
      </c>
      <c r="F458">
        <f>IF(OR($A458="",$C458&lt;1),"",$A458&amp;"-"&amp;TEXT(($D458-$C458+1),"00")&amp;IF($C458&gt;=2,", "&amp;$A458&amp;"-"&amp;TEXT(($D458-$C458+1)+1,"00"),"")&amp;IF($C458&gt;=3,", "&amp;$A458&amp;"-"&amp;TEXT(($D458-$C458+1)+2,"00"),"")&amp;IF($C458&gt;=4,", "&amp;$A458&amp;"-"&amp;TEXT(($D458-$C458+1)+3,"00"),"")&amp;IF($C458&gt;=5,", "&amp;$A458&amp;"-"&amp;TEXT(($D458-$C458+1)+4,"00"),"")&amp;IF($C458&gt;=6,", "&amp;$A458&amp;"-"&amp;TEXT(($D458-$C458+1)+5,"00"),"")&amp;IF($C458&gt;=7,", "&amp;$A458&amp;"-"&amp;TEXT(($D458-$C458+1)+6,"00"),"")&amp;IF($C458&gt;=8,", "&amp;$A458&amp;"-"&amp;TEXT(($D458-$C458+1)+7,"00"),"")&amp;IF($C458&gt;=9,", "&amp;$A458&amp;"-"&amp;TEXT(($D458-$C458+1)+8,"00"),"")&amp;IF($C458&gt;=10,", "&amp;$A458&amp;"-"&amp;TEXT(($D458-$C458+1)+9,"00"),"")&amp;IF($C458&gt;=11,", "&amp;$A458&amp;"-"&amp;TEXT(($D458-$C458+1)+10,"00"),"")&amp;IF($C458&gt;=12,", "&amp;$A458&amp;"-"&amp;TEXT(($D458-$C458+1)+11,"00"),"")&amp;IF($C458&gt;=13,", "&amp;$A458&amp;"-"&amp;TEXT(($D458-$C458+1)+12,"00"),"")&amp;IF($C458&gt;=14,", "&amp;$A458&amp;"-"&amp;TEXT(($D458-$C458+1)+13,"00"),"")&amp;IF($C458&gt;=15,", "&amp;$A458&amp;"-"&amp;TEXT(($D458-$C458+1)+14,"00"),"")&amp;IF($C458&gt;=16,", "&amp;$A458&amp;"-"&amp;TEXT(($D458-$C458+1)+15,"00"),"")&amp;IF($C458&gt;=17,", "&amp;$A458&amp;"-"&amp;TEXT(($D458-$C458+1)+16,"00"),"")&amp;IF($C458&gt;=18,", "&amp;$A458&amp;"-"&amp;TEXT(($D458-$C458+1)+17,"00"),"")&amp;IF($C458&gt;=19,", "&amp;$A458&amp;"-"&amp;TEXT(($D458-$C458+1)+18,"00"),"")&amp;IF($C458&gt;=20,", "&amp;$A458&amp;"-"&amp;TEXT(($D458-$C458+1)+19,"00"),"")&amp;IF($C458&gt;=21,", "&amp;$A458&amp;"-"&amp;TEXT(($D458-$C458+1)+20,"00"),"")&amp;IF($C458&gt;=22,", "&amp;$A458&amp;"-"&amp;TEXT(($D458-$C458+1)+21,"00"),"")&amp;IF($C458&gt;=23,", "&amp;$A458&amp;"-"&amp;TEXT(($D458-$C458+1)+22,"00"),"")&amp;IF($C458&gt;=24,", "&amp;$A458&amp;"-"&amp;TEXT(($D458-$C458+1)+23,"00"),"")&amp;IF($C458&gt;=25,", "&amp;$A458&amp;"-"&amp;TEXT(($D458-$C458+1)+24,"00"),""))</f>
        <v/>
      </c>
      <c r="G458">
        <f>IF($A458="","",IF($E458=1,$F458,IF($F458="",$G457,IF($G457="",$F458,$G457&amp;", "&amp;$F458))))</f>
        <v/>
      </c>
      <c r="H458">
        <f>IF($A458="","",$A458&amp;" ("&amp;$C458&amp;")")</f>
        <v/>
      </c>
      <c r="I458">
        <f>IF($A458="","",IF($E458=1,$H458,$I457&amp;", "&amp;$H458))</f>
        <v/>
      </c>
      <c r="J458">
        <f>IF($A458="","",IF($E458=1,$B458,""))</f>
        <v/>
      </c>
      <c r="K458">
        <f>IF($A458="","",IF(COUNTIF($B$2:$B458,$B458)=COUNTIF($B$2:$B$1601,$B458),$B458,""))</f>
        <v/>
      </c>
    </row>
    <row r="459">
      <c r="A459">
        <f>IF('TMP Paste'!$E459="","",'TMP Paste'!$E459)</f>
        <v/>
      </c>
      <c r="B459">
        <f>IF($A459="","",COUNTIF('TMP Paste'!$B$2:$B459,"?*"))</f>
        <v/>
      </c>
      <c r="C459">
        <f>IF($A459="","",IFERROR('TMP Paste'!$M459*1,0))</f>
        <v/>
      </c>
      <c r="D459">
        <f>IF($A459="","",SUMIF($B$2:$B459,$B459,$C$2:$C459))</f>
        <v/>
      </c>
      <c r="E459">
        <f>IF($A459="",0,IF('TMP Paste'!$B459="",0,1))</f>
        <v/>
      </c>
      <c r="F459">
        <f>IF(OR($A459="",$C459&lt;1),"",$A459&amp;"-"&amp;TEXT(($D459-$C459+1),"00")&amp;IF($C459&gt;=2,", "&amp;$A459&amp;"-"&amp;TEXT(($D459-$C459+1)+1,"00"),"")&amp;IF($C459&gt;=3,", "&amp;$A459&amp;"-"&amp;TEXT(($D459-$C459+1)+2,"00"),"")&amp;IF($C459&gt;=4,", "&amp;$A459&amp;"-"&amp;TEXT(($D459-$C459+1)+3,"00"),"")&amp;IF($C459&gt;=5,", "&amp;$A459&amp;"-"&amp;TEXT(($D459-$C459+1)+4,"00"),"")&amp;IF($C459&gt;=6,", "&amp;$A459&amp;"-"&amp;TEXT(($D459-$C459+1)+5,"00"),"")&amp;IF($C459&gt;=7,", "&amp;$A459&amp;"-"&amp;TEXT(($D459-$C459+1)+6,"00"),"")&amp;IF($C459&gt;=8,", "&amp;$A459&amp;"-"&amp;TEXT(($D459-$C459+1)+7,"00"),"")&amp;IF($C459&gt;=9,", "&amp;$A459&amp;"-"&amp;TEXT(($D459-$C459+1)+8,"00"),"")&amp;IF($C459&gt;=10,", "&amp;$A459&amp;"-"&amp;TEXT(($D459-$C459+1)+9,"00"),"")&amp;IF($C459&gt;=11,", "&amp;$A459&amp;"-"&amp;TEXT(($D459-$C459+1)+10,"00"),"")&amp;IF($C459&gt;=12,", "&amp;$A459&amp;"-"&amp;TEXT(($D459-$C459+1)+11,"00"),"")&amp;IF($C459&gt;=13,", "&amp;$A459&amp;"-"&amp;TEXT(($D459-$C459+1)+12,"00"),"")&amp;IF($C459&gt;=14,", "&amp;$A459&amp;"-"&amp;TEXT(($D459-$C459+1)+13,"00"),"")&amp;IF($C459&gt;=15,", "&amp;$A459&amp;"-"&amp;TEXT(($D459-$C459+1)+14,"00"),"")&amp;IF($C459&gt;=16,", "&amp;$A459&amp;"-"&amp;TEXT(($D459-$C459+1)+15,"00"),"")&amp;IF($C459&gt;=17,", "&amp;$A459&amp;"-"&amp;TEXT(($D459-$C459+1)+16,"00"),"")&amp;IF($C459&gt;=18,", "&amp;$A459&amp;"-"&amp;TEXT(($D459-$C459+1)+17,"00"),"")&amp;IF($C459&gt;=19,", "&amp;$A459&amp;"-"&amp;TEXT(($D459-$C459+1)+18,"00"),"")&amp;IF($C459&gt;=20,", "&amp;$A459&amp;"-"&amp;TEXT(($D459-$C459+1)+19,"00"),"")&amp;IF($C459&gt;=21,", "&amp;$A459&amp;"-"&amp;TEXT(($D459-$C459+1)+20,"00"),"")&amp;IF($C459&gt;=22,", "&amp;$A459&amp;"-"&amp;TEXT(($D459-$C459+1)+21,"00"),"")&amp;IF($C459&gt;=23,", "&amp;$A459&amp;"-"&amp;TEXT(($D459-$C459+1)+22,"00"),"")&amp;IF($C459&gt;=24,", "&amp;$A459&amp;"-"&amp;TEXT(($D459-$C459+1)+23,"00"),"")&amp;IF($C459&gt;=25,", "&amp;$A459&amp;"-"&amp;TEXT(($D459-$C459+1)+24,"00"),""))</f>
        <v/>
      </c>
      <c r="G459">
        <f>IF($A459="","",IF($E459=1,$F459,IF($F459="",$G458,IF($G458="",$F459,$G458&amp;", "&amp;$F459))))</f>
        <v/>
      </c>
      <c r="H459">
        <f>IF($A459="","",$A459&amp;" ("&amp;$C459&amp;")")</f>
        <v/>
      </c>
      <c r="I459">
        <f>IF($A459="","",IF($E459=1,$H459,$I458&amp;", "&amp;$H459))</f>
        <v/>
      </c>
      <c r="J459">
        <f>IF($A459="","",IF($E459=1,$B459,""))</f>
        <v/>
      </c>
      <c r="K459">
        <f>IF($A459="","",IF(COUNTIF($B$2:$B459,$B459)=COUNTIF($B$2:$B$1601,$B459),$B459,""))</f>
        <v/>
      </c>
    </row>
    <row r="460">
      <c r="A460">
        <f>IF('TMP Paste'!$E460="","",'TMP Paste'!$E460)</f>
        <v/>
      </c>
      <c r="B460">
        <f>IF($A460="","",COUNTIF('TMP Paste'!$B$2:$B460,"?*"))</f>
        <v/>
      </c>
      <c r="C460">
        <f>IF($A460="","",IFERROR('TMP Paste'!$M460*1,0))</f>
        <v/>
      </c>
      <c r="D460">
        <f>IF($A460="","",SUMIF($B$2:$B460,$B460,$C$2:$C460))</f>
        <v/>
      </c>
      <c r="E460">
        <f>IF($A460="",0,IF('TMP Paste'!$B460="",0,1))</f>
        <v/>
      </c>
      <c r="F460">
        <f>IF(OR($A460="",$C460&lt;1),"",$A460&amp;"-"&amp;TEXT(($D460-$C460+1),"00")&amp;IF($C460&gt;=2,", "&amp;$A460&amp;"-"&amp;TEXT(($D460-$C460+1)+1,"00"),"")&amp;IF($C460&gt;=3,", "&amp;$A460&amp;"-"&amp;TEXT(($D460-$C460+1)+2,"00"),"")&amp;IF($C460&gt;=4,", "&amp;$A460&amp;"-"&amp;TEXT(($D460-$C460+1)+3,"00"),"")&amp;IF($C460&gt;=5,", "&amp;$A460&amp;"-"&amp;TEXT(($D460-$C460+1)+4,"00"),"")&amp;IF($C460&gt;=6,", "&amp;$A460&amp;"-"&amp;TEXT(($D460-$C460+1)+5,"00"),"")&amp;IF($C460&gt;=7,", "&amp;$A460&amp;"-"&amp;TEXT(($D460-$C460+1)+6,"00"),"")&amp;IF($C460&gt;=8,", "&amp;$A460&amp;"-"&amp;TEXT(($D460-$C460+1)+7,"00"),"")&amp;IF($C460&gt;=9,", "&amp;$A460&amp;"-"&amp;TEXT(($D460-$C460+1)+8,"00"),"")&amp;IF($C460&gt;=10,", "&amp;$A460&amp;"-"&amp;TEXT(($D460-$C460+1)+9,"00"),"")&amp;IF($C460&gt;=11,", "&amp;$A460&amp;"-"&amp;TEXT(($D460-$C460+1)+10,"00"),"")&amp;IF($C460&gt;=12,", "&amp;$A460&amp;"-"&amp;TEXT(($D460-$C460+1)+11,"00"),"")&amp;IF($C460&gt;=13,", "&amp;$A460&amp;"-"&amp;TEXT(($D460-$C460+1)+12,"00"),"")&amp;IF($C460&gt;=14,", "&amp;$A460&amp;"-"&amp;TEXT(($D460-$C460+1)+13,"00"),"")&amp;IF($C460&gt;=15,", "&amp;$A460&amp;"-"&amp;TEXT(($D460-$C460+1)+14,"00"),"")&amp;IF($C460&gt;=16,", "&amp;$A460&amp;"-"&amp;TEXT(($D460-$C460+1)+15,"00"),"")&amp;IF($C460&gt;=17,", "&amp;$A460&amp;"-"&amp;TEXT(($D460-$C460+1)+16,"00"),"")&amp;IF($C460&gt;=18,", "&amp;$A460&amp;"-"&amp;TEXT(($D460-$C460+1)+17,"00"),"")&amp;IF($C460&gt;=19,", "&amp;$A460&amp;"-"&amp;TEXT(($D460-$C460+1)+18,"00"),"")&amp;IF($C460&gt;=20,", "&amp;$A460&amp;"-"&amp;TEXT(($D460-$C460+1)+19,"00"),"")&amp;IF($C460&gt;=21,", "&amp;$A460&amp;"-"&amp;TEXT(($D460-$C460+1)+20,"00"),"")&amp;IF($C460&gt;=22,", "&amp;$A460&amp;"-"&amp;TEXT(($D460-$C460+1)+21,"00"),"")&amp;IF($C460&gt;=23,", "&amp;$A460&amp;"-"&amp;TEXT(($D460-$C460+1)+22,"00"),"")&amp;IF($C460&gt;=24,", "&amp;$A460&amp;"-"&amp;TEXT(($D460-$C460+1)+23,"00"),"")&amp;IF($C460&gt;=25,", "&amp;$A460&amp;"-"&amp;TEXT(($D460-$C460+1)+24,"00"),""))</f>
        <v/>
      </c>
      <c r="G460">
        <f>IF($A460="","",IF($E460=1,$F460,IF($F460="",$G459,IF($G459="",$F460,$G459&amp;", "&amp;$F460))))</f>
        <v/>
      </c>
      <c r="H460">
        <f>IF($A460="","",$A460&amp;" ("&amp;$C460&amp;")")</f>
        <v/>
      </c>
      <c r="I460">
        <f>IF($A460="","",IF($E460=1,$H460,$I459&amp;", "&amp;$H460))</f>
        <v/>
      </c>
      <c r="J460">
        <f>IF($A460="","",IF($E460=1,$B460,""))</f>
        <v/>
      </c>
      <c r="K460">
        <f>IF($A460="","",IF(COUNTIF($B$2:$B460,$B460)=COUNTIF($B$2:$B$1601,$B460),$B460,""))</f>
        <v/>
      </c>
    </row>
    <row r="461">
      <c r="A461">
        <f>IF('TMP Paste'!$E461="","",'TMP Paste'!$E461)</f>
        <v/>
      </c>
      <c r="B461">
        <f>IF($A461="","",COUNTIF('TMP Paste'!$B$2:$B461,"?*"))</f>
        <v/>
      </c>
      <c r="C461">
        <f>IF($A461="","",IFERROR('TMP Paste'!$M461*1,0))</f>
        <v/>
      </c>
      <c r="D461">
        <f>IF($A461="","",SUMIF($B$2:$B461,$B461,$C$2:$C461))</f>
        <v/>
      </c>
      <c r="E461">
        <f>IF($A461="",0,IF('TMP Paste'!$B461="",0,1))</f>
        <v/>
      </c>
      <c r="F461">
        <f>IF(OR($A461="",$C461&lt;1),"",$A461&amp;"-"&amp;TEXT(($D461-$C461+1),"00")&amp;IF($C461&gt;=2,", "&amp;$A461&amp;"-"&amp;TEXT(($D461-$C461+1)+1,"00"),"")&amp;IF($C461&gt;=3,", "&amp;$A461&amp;"-"&amp;TEXT(($D461-$C461+1)+2,"00"),"")&amp;IF($C461&gt;=4,", "&amp;$A461&amp;"-"&amp;TEXT(($D461-$C461+1)+3,"00"),"")&amp;IF($C461&gt;=5,", "&amp;$A461&amp;"-"&amp;TEXT(($D461-$C461+1)+4,"00"),"")&amp;IF($C461&gt;=6,", "&amp;$A461&amp;"-"&amp;TEXT(($D461-$C461+1)+5,"00"),"")&amp;IF($C461&gt;=7,", "&amp;$A461&amp;"-"&amp;TEXT(($D461-$C461+1)+6,"00"),"")&amp;IF($C461&gt;=8,", "&amp;$A461&amp;"-"&amp;TEXT(($D461-$C461+1)+7,"00"),"")&amp;IF($C461&gt;=9,", "&amp;$A461&amp;"-"&amp;TEXT(($D461-$C461+1)+8,"00"),"")&amp;IF($C461&gt;=10,", "&amp;$A461&amp;"-"&amp;TEXT(($D461-$C461+1)+9,"00"),"")&amp;IF($C461&gt;=11,", "&amp;$A461&amp;"-"&amp;TEXT(($D461-$C461+1)+10,"00"),"")&amp;IF($C461&gt;=12,", "&amp;$A461&amp;"-"&amp;TEXT(($D461-$C461+1)+11,"00"),"")&amp;IF($C461&gt;=13,", "&amp;$A461&amp;"-"&amp;TEXT(($D461-$C461+1)+12,"00"),"")&amp;IF($C461&gt;=14,", "&amp;$A461&amp;"-"&amp;TEXT(($D461-$C461+1)+13,"00"),"")&amp;IF($C461&gt;=15,", "&amp;$A461&amp;"-"&amp;TEXT(($D461-$C461+1)+14,"00"),"")&amp;IF($C461&gt;=16,", "&amp;$A461&amp;"-"&amp;TEXT(($D461-$C461+1)+15,"00"),"")&amp;IF($C461&gt;=17,", "&amp;$A461&amp;"-"&amp;TEXT(($D461-$C461+1)+16,"00"),"")&amp;IF($C461&gt;=18,", "&amp;$A461&amp;"-"&amp;TEXT(($D461-$C461+1)+17,"00"),"")&amp;IF($C461&gt;=19,", "&amp;$A461&amp;"-"&amp;TEXT(($D461-$C461+1)+18,"00"),"")&amp;IF($C461&gt;=20,", "&amp;$A461&amp;"-"&amp;TEXT(($D461-$C461+1)+19,"00"),"")&amp;IF($C461&gt;=21,", "&amp;$A461&amp;"-"&amp;TEXT(($D461-$C461+1)+20,"00"),"")&amp;IF($C461&gt;=22,", "&amp;$A461&amp;"-"&amp;TEXT(($D461-$C461+1)+21,"00"),"")&amp;IF($C461&gt;=23,", "&amp;$A461&amp;"-"&amp;TEXT(($D461-$C461+1)+22,"00"),"")&amp;IF($C461&gt;=24,", "&amp;$A461&amp;"-"&amp;TEXT(($D461-$C461+1)+23,"00"),"")&amp;IF($C461&gt;=25,", "&amp;$A461&amp;"-"&amp;TEXT(($D461-$C461+1)+24,"00"),""))</f>
        <v/>
      </c>
      <c r="G461">
        <f>IF($A461="","",IF($E461=1,$F461,IF($F461="",$G460,IF($G460="",$F461,$G460&amp;", "&amp;$F461))))</f>
        <v/>
      </c>
      <c r="H461">
        <f>IF($A461="","",$A461&amp;" ("&amp;$C461&amp;")")</f>
        <v/>
      </c>
      <c r="I461">
        <f>IF($A461="","",IF($E461=1,$H461,$I460&amp;", "&amp;$H461))</f>
        <v/>
      </c>
      <c r="J461">
        <f>IF($A461="","",IF($E461=1,$B461,""))</f>
        <v/>
      </c>
      <c r="K461">
        <f>IF($A461="","",IF(COUNTIF($B$2:$B461,$B461)=COUNTIF($B$2:$B$1601,$B461),$B461,""))</f>
        <v/>
      </c>
    </row>
    <row r="462">
      <c r="A462">
        <f>IF('TMP Paste'!$E462="","",'TMP Paste'!$E462)</f>
        <v/>
      </c>
      <c r="B462">
        <f>IF($A462="","",COUNTIF('TMP Paste'!$B$2:$B462,"?*"))</f>
        <v/>
      </c>
      <c r="C462">
        <f>IF($A462="","",IFERROR('TMP Paste'!$M462*1,0))</f>
        <v/>
      </c>
      <c r="D462">
        <f>IF($A462="","",SUMIF($B$2:$B462,$B462,$C$2:$C462))</f>
        <v/>
      </c>
      <c r="E462">
        <f>IF($A462="",0,IF('TMP Paste'!$B462="",0,1))</f>
        <v/>
      </c>
      <c r="F462">
        <f>IF(OR($A462="",$C462&lt;1),"",$A462&amp;"-"&amp;TEXT(($D462-$C462+1),"00")&amp;IF($C462&gt;=2,", "&amp;$A462&amp;"-"&amp;TEXT(($D462-$C462+1)+1,"00"),"")&amp;IF($C462&gt;=3,", "&amp;$A462&amp;"-"&amp;TEXT(($D462-$C462+1)+2,"00"),"")&amp;IF($C462&gt;=4,", "&amp;$A462&amp;"-"&amp;TEXT(($D462-$C462+1)+3,"00"),"")&amp;IF($C462&gt;=5,", "&amp;$A462&amp;"-"&amp;TEXT(($D462-$C462+1)+4,"00"),"")&amp;IF($C462&gt;=6,", "&amp;$A462&amp;"-"&amp;TEXT(($D462-$C462+1)+5,"00"),"")&amp;IF($C462&gt;=7,", "&amp;$A462&amp;"-"&amp;TEXT(($D462-$C462+1)+6,"00"),"")&amp;IF($C462&gt;=8,", "&amp;$A462&amp;"-"&amp;TEXT(($D462-$C462+1)+7,"00"),"")&amp;IF($C462&gt;=9,", "&amp;$A462&amp;"-"&amp;TEXT(($D462-$C462+1)+8,"00"),"")&amp;IF($C462&gt;=10,", "&amp;$A462&amp;"-"&amp;TEXT(($D462-$C462+1)+9,"00"),"")&amp;IF($C462&gt;=11,", "&amp;$A462&amp;"-"&amp;TEXT(($D462-$C462+1)+10,"00"),"")&amp;IF($C462&gt;=12,", "&amp;$A462&amp;"-"&amp;TEXT(($D462-$C462+1)+11,"00"),"")&amp;IF($C462&gt;=13,", "&amp;$A462&amp;"-"&amp;TEXT(($D462-$C462+1)+12,"00"),"")&amp;IF($C462&gt;=14,", "&amp;$A462&amp;"-"&amp;TEXT(($D462-$C462+1)+13,"00"),"")&amp;IF($C462&gt;=15,", "&amp;$A462&amp;"-"&amp;TEXT(($D462-$C462+1)+14,"00"),"")&amp;IF($C462&gt;=16,", "&amp;$A462&amp;"-"&amp;TEXT(($D462-$C462+1)+15,"00"),"")&amp;IF($C462&gt;=17,", "&amp;$A462&amp;"-"&amp;TEXT(($D462-$C462+1)+16,"00"),"")&amp;IF($C462&gt;=18,", "&amp;$A462&amp;"-"&amp;TEXT(($D462-$C462+1)+17,"00"),"")&amp;IF($C462&gt;=19,", "&amp;$A462&amp;"-"&amp;TEXT(($D462-$C462+1)+18,"00"),"")&amp;IF($C462&gt;=20,", "&amp;$A462&amp;"-"&amp;TEXT(($D462-$C462+1)+19,"00"),"")&amp;IF($C462&gt;=21,", "&amp;$A462&amp;"-"&amp;TEXT(($D462-$C462+1)+20,"00"),"")&amp;IF($C462&gt;=22,", "&amp;$A462&amp;"-"&amp;TEXT(($D462-$C462+1)+21,"00"),"")&amp;IF($C462&gt;=23,", "&amp;$A462&amp;"-"&amp;TEXT(($D462-$C462+1)+22,"00"),"")&amp;IF($C462&gt;=24,", "&amp;$A462&amp;"-"&amp;TEXT(($D462-$C462+1)+23,"00"),"")&amp;IF($C462&gt;=25,", "&amp;$A462&amp;"-"&amp;TEXT(($D462-$C462+1)+24,"00"),""))</f>
        <v/>
      </c>
      <c r="G462">
        <f>IF($A462="","",IF($E462=1,$F462,IF($F462="",$G461,IF($G461="",$F462,$G461&amp;", "&amp;$F462))))</f>
        <v/>
      </c>
      <c r="H462">
        <f>IF($A462="","",$A462&amp;" ("&amp;$C462&amp;")")</f>
        <v/>
      </c>
      <c r="I462">
        <f>IF($A462="","",IF($E462=1,$H462,$I461&amp;", "&amp;$H462))</f>
        <v/>
      </c>
      <c r="J462">
        <f>IF($A462="","",IF($E462=1,$B462,""))</f>
        <v/>
      </c>
      <c r="K462">
        <f>IF($A462="","",IF(COUNTIF($B$2:$B462,$B462)=COUNTIF($B$2:$B$1601,$B462),$B462,""))</f>
        <v/>
      </c>
    </row>
    <row r="463">
      <c r="A463">
        <f>IF('TMP Paste'!$E463="","",'TMP Paste'!$E463)</f>
        <v/>
      </c>
      <c r="B463">
        <f>IF($A463="","",COUNTIF('TMP Paste'!$B$2:$B463,"?*"))</f>
        <v/>
      </c>
      <c r="C463">
        <f>IF($A463="","",IFERROR('TMP Paste'!$M463*1,0))</f>
        <v/>
      </c>
      <c r="D463">
        <f>IF($A463="","",SUMIF($B$2:$B463,$B463,$C$2:$C463))</f>
        <v/>
      </c>
      <c r="E463">
        <f>IF($A463="",0,IF('TMP Paste'!$B463="",0,1))</f>
        <v/>
      </c>
      <c r="F463">
        <f>IF(OR($A463="",$C463&lt;1),"",$A463&amp;"-"&amp;TEXT(($D463-$C463+1),"00")&amp;IF($C463&gt;=2,", "&amp;$A463&amp;"-"&amp;TEXT(($D463-$C463+1)+1,"00"),"")&amp;IF($C463&gt;=3,", "&amp;$A463&amp;"-"&amp;TEXT(($D463-$C463+1)+2,"00"),"")&amp;IF($C463&gt;=4,", "&amp;$A463&amp;"-"&amp;TEXT(($D463-$C463+1)+3,"00"),"")&amp;IF($C463&gt;=5,", "&amp;$A463&amp;"-"&amp;TEXT(($D463-$C463+1)+4,"00"),"")&amp;IF($C463&gt;=6,", "&amp;$A463&amp;"-"&amp;TEXT(($D463-$C463+1)+5,"00"),"")&amp;IF($C463&gt;=7,", "&amp;$A463&amp;"-"&amp;TEXT(($D463-$C463+1)+6,"00"),"")&amp;IF($C463&gt;=8,", "&amp;$A463&amp;"-"&amp;TEXT(($D463-$C463+1)+7,"00"),"")&amp;IF($C463&gt;=9,", "&amp;$A463&amp;"-"&amp;TEXT(($D463-$C463+1)+8,"00"),"")&amp;IF($C463&gt;=10,", "&amp;$A463&amp;"-"&amp;TEXT(($D463-$C463+1)+9,"00"),"")&amp;IF($C463&gt;=11,", "&amp;$A463&amp;"-"&amp;TEXT(($D463-$C463+1)+10,"00"),"")&amp;IF($C463&gt;=12,", "&amp;$A463&amp;"-"&amp;TEXT(($D463-$C463+1)+11,"00"),"")&amp;IF($C463&gt;=13,", "&amp;$A463&amp;"-"&amp;TEXT(($D463-$C463+1)+12,"00"),"")&amp;IF($C463&gt;=14,", "&amp;$A463&amp;"-"&amp;TEXT(($D463-$C463+1)+13,"00"),"")&amp;IF($C463&gt;=15,", "&amp;$A463&amp;"-"&amp;TEXT(($D463-$C463+1)+14,"00"),"")&amp;IF($C463&gt;=16,", "&amp;$A463&amp;"-"&amp;TEXT(($D463-$C463+1)+15,"00"),"")&amp;IF($C463&gt;=17,", "&amp;$A463&amp;"-"&amp;TEXT(($D463-$C463+1)+16,"00"),"")&amp;IF($C463&gt;=18,", "&amp;$A463&amp;"-"&amp;TEXT(($D463-$C463+1)+17,"00"),"")&amp;IF($C463&gt;=19,", "&amp;$A463&amp;"-"&amp;TEXT(($D463-$C463+1)+18,"00"),"")&amp;IF($C463&gt;=20,", "&amp;$A463&amp;"-"&amp;TEXT(($D463-$C463+1)+19,"00"),"")&amp;IF($C463&gt;=21,", "&amp;$A463&amp;"-"&amp;TEXT(($D463-$C463+1)+20,"00"),"")&amp;IF($C463&gt;=22,", "&amp;$A463&amp;"-"&amp;TEXT(($D463-$C463+1)+21,"00"),"")&amp;IF($C463&gt;=23,", "&amp;$A463&amp;"-"&amp;TEXT(($D463-$C463+1)+22,"00"),"")&amp;IF($C463&gt;=24,", "&amp;$A463&amp;"-"&amp;TEXT(($D463-$C463+1)+23,"00"),"")&amp;IF($C463&gt;=25,", "&amp;$A463&amp;"-"&amp;TEXT(($D463-$C463+1)+24,"00"),""))</f>
        <v/>
      </c>
      <c r="G463">
        <f>IF($A463="","",IF($E463=1,$F463,IF($F463="",$G462,IF($G462="",$F463,$G462&amp;", "&amp;$F463))))</f>
        <v/>
      </c>
      <c r="H463">
        <f>IF($A463="","",$A463&amp;" ("&amp;$C463&amp;")")</f>
        <v/>
      </c>
      <c r="I463">
        <f>IF($A463="","",IF($E463=1,$H463,$I462&amp;", "&amp;$H463))</f>
        <v/>
      </c>
      <c r="J463">
        <f>IF($A463="","",IF($E463=1,$B463,""))</f>
        <v/>
      </c>
      <c r="K463">
        <f>IF($A463="","",IF(COUNTIF($B$2:$B463,$B463)=COUNTIF($B$2:$B$1601,$B463),$B463,""))</f>
        <v/>
      </c>
    </row>
    <row r="464">
      <c r="A464">
        <f>IF('TMP Paste'!$E464="","",'TMP Paste'!$E464)</f>
        <v/>
      </c>
      <c r="B464">
        <f>IF($A464="","",COUNTIF('TMP Paste'!$B$2:$B464,"?*"))</f>
        <v/>
      </c>
      <c r="C464">
        <f>IF($A464="","",IFERROR('TMP Paste'!$M464*1,0))</f>
        <v/>
      </c>
      <c r="D464">
        <f>IF($A464="","",SUMIF($B$2:$B464,$B464,$C$2:$C464))</f>
        <v/>
      </c>
      <c r="E464">
        <f>IF($A464="",0,IF('TMP Paste'!$B464="",0,1))</f>
        <v/>
      </c>
      <c r="F464">
        <f>IF(OR($A464="",$C464&lt;1),"",$A464&amp;"-"&amp;TEXT(($D464-$C464+1),"00")&amp;IF($C464&gt;=2,", "&amp;$A464&amp;"-"&amp;TEXT(($D464-$C464+1)+1,"00"),"")&amp;IF($C464&gt;=3,", "&amp;$A464&amp;"-"&amp;TEXT(($D464-$C464+1)+2,"00"),"")&amp;IF($C464&gt;=4,", "&amp;$A464&amp;"-"&amp;TEXT(($D464-$C464+1)+3,"00"),"")&amp;IF($C464&gt;=5,", "&amp;$A464&amp;"-"&amp;TEXT(($D464-$C464+1)+4,"00"),"")&amp;IF($C464&gt;=6,", "&amp;$A464&amp;"-"&amp;TEXT(($D464-$C464+1)+5,"00"),"")&amp;IF($C464&gt;=7,", "&amp;$A464&amp;"-"&amp;TEXT(($D464-$C464+1)+6,"00"),"")&amp;IF($C464&gt;=8,", "&amp;$A464&amp;"-"&amp;TEXT(($D464-$C464+1)+7,"00"),"")&amp;IF($C464&gt;=9,", "&amp;$A464&amp;"-"&amp;TEXT(($D464-$C464+1)+8,"00"),"")&amp;IF($C464&gt;=10,", "&amp;$A464&amp;"-"&amp;TEXT(($D464-$C464+1)+9,"00"),"")&amp;IF($C464&gt;=11,", "&amp;$A464&amp;"-"&amp;TEXT(($D464-$C464+1)+10,"00"),"")&amp;IF($C464&gt;=12,", "&amp;$A464&amp;"-"&amp;TEXT(($D464-$C464+1)+11,"00"),"")&amp;IF($C464&gt;=13,", "&amp;$A464&amp;"-"&amp;TEXT(($D464-$C464+1)+12,"00"),"")&amp;IF($C464&gt;=14,", "&amp;$A464&amp;"-"&amp;TEXT(($D464-$C464+1)+13,"00"),"")&amp;IF($C464&gt;=15,", "&amp;$A464&amp;"-"&amp;TEXT(($D464-$C464+1)+14,"00"),"")&amp;IF($C464&gt;=16,", "&amp;$A464&amp;"-"&amp;TEXT(($D464-$C464+1)+15,"00"),"")&amp;IF($C464&gt;=17,", "&amp;$A464&amp;"-"&amp;TEXT(($D464-$C464+1)+16,"00"),"")&amp;IF($C464&gt;=18,", "&amp;$A464&amp;"-"&amp;TEXT(($D464-$C464+1)+17,"00"),"")&amp;IF($C464&gt;=19,", "&amp;$A464&amp;"-"&amp;TEXT(($D464-$C464+1)+18,"00"),"")&amp;IF($C464&gt;=20,", "&amp;$A464&amp;"-"&amp;TEXT(($D464-$C464+1)+19,"00"),"")&amp;IF($C464&gt;=21,", "&amp;$A464&amp;"-"&amp;TEXT(($D464-$C464+1)+20,"00"),"")&amp;IF($C464&gt;=22,", "&amp;$A464&amp;"-"&amp;TEXT(($D464-$C464+1)+21,"00"),"")&amp;IF($C464&gt;=23,", "&amp;$A464&amp;"-"&amp;TEXT(($D464-$C464+1)+22,"00"),"")&amp;IF($C464&gt;=24,", "&amp;$A464&amp;"-"&amp;TEXT(($D464-$C464+1)+23,"00"),"")&amp;IF($C464&gt;=25,", "&amp;$A464&amp;"-"&amp;TEXT(($D464-$C464+1)+24,"00"),""))</f>
        <v/>
      </c>
      <c r="G464">
        <f>IF($A464="","",IF($E464=1,$F464,IF($F464="",$G463,IF($G463="",$F464,$G463&amp;", "&amp;$F464))))</f>
        <v/>
      </c>
      <c r="H464">
        <f>IF($A464="","",$A464&amp;" ("&amp;$C464&amp;")")</f>
        <v/>
      </c>
      <c r="I464">
        <f>IF($A464="","",IF($E464=1,$H464,$I463&amp;", "&amp;$H464))</f>
        <v/>
      </c>
      <c r="J464">
        <f>IF($A464="","",IF($E464=1,$B464,""))</f>
        <v/>
      </c>
      <c r="K464">
        <f>IF($A464="","",IF(COUNTIF($B$2:$B464,$B464)=COUNTIF($B$2:$B$1601,$B464),$B464,""))</f>
        <v/>
      </c>
    </row>
    <row r="465">
      <c r="A465">
        <f>IF('TMP Paste'!$E465="","",'TMP Paste'!$E465)</f>
        <v/>
      </c>
      <c r="B465">
        <f>IF($A465="","",COUNTIF('TMP Paste'!$B$2:$B465,"?*"))</f>
        <v/>
      </c>
      <c r="C465">
        <f>IF($A465="","",IFERROR('TMP Paste'!$M465*1,0))</f>
        <v/>
      </c>
      <c r="D465">
        <f>IF($A465="","",SUMIF($B$2:$B465,$B465,$C$2:$C465))</f>
        <v/>
      </c>
      <c r="E465">
        <f>IF($A465="",0,IF('TMP Paste'!$B465="",0,1))</f>
        <v/>
      </c>
      <c r="F465">
        <f>IF(OR($A465="",$C465&lt;1),"",$A465&amp;"-"&amp;TEXT(($D465-$C465+1),"00")&amp;IF($C465&gt;=2,", "&amp;$A465&amp;"-"&amp;TEXT(($D465-$C465+1)+1,"00"),"")&amp;IF($C465&gt;=3,", "&amp;$A465&amp;"-"&amp;TEXT(($D465-$C465+1)+2,"00"),"")&amp;IF($C465&gt;=4,", "&amp;$A465&amp;"-"&amp;TEXT(($D465-$C465+1)+3,"00"),"")&amp;IF($C465&gt;=5,", "&amp;$A465&amp;"-"&amp;TEXT(($D465-$C465+1)+4,"00"),"")&amp;IF($C465&gt;=6,", "&amp;$A465&amp;"-"&amp;TEXT(($D465-$C465+1)+5,"00"),"")&amp;IF($C465&gt;=7,", "&amp;$A465&amp;"-"&amp;TEXT(($D465-$C465+1)+6,"00"),"")&amp;IF($C465&gt;=8,", "&amp;$A465&amp;"-"&amp;TEXT(($D465-$C465+1)+7,"00"),"")&amp;IF($C465&gt;=9,", "&amp;$A465&amp;"-"&amp;TEXT(($D465-$C465+1)+8,"00"),"")&amp;IF($C465&gt;=10,", "&amp;$A465&amp;"-"&amp;TEXT(($D465-$C465+1)+9,"00"),"")&amp;IF($C465&gt;=11,", "&amp;$A465&amp;"-"&amp;TEXT(($D465-$C465+1)+10,"00"),"")&amp;IF($C465&gt;=12,", "&amp;$A465&amp;"-"&amp;TEXT(($D465-$C465+1)+11,"00"),"")&amp;IF($C465&gt;=13,", "&amp;$A465&amp;"-"&amp;TEXT(($D465-$C465+1)+12,"00"),"")&amp;IF($C465&gt;=14,", "&amp;$A465&amp;"-"&amp;TEXT(($D465-$C465+1)+13,"00"),"")&amp;IF($C465&gt;=15,", "&amp;$A465&amp;"-"&amp;TEXT(($D465-$C465+1)+14,"00"),"")&amp;IF($C465&gt;=16,", "&amp;$A465&amp;"-"&amp;TEXT(($D465-$C465+1)+15,"00"),"")&amp;IF($C465&gt;=17,", "&amp;$A465&amp;"-"&amp;TEXT(($D465-$C465+1)+16,"00"),"")&amp;IF($C465&gt;=18,", "&amp;$A465&amp;"-"&amp;TEXT(($D465-$C465+1)+17,"00"),"")&amp;IF($C465&gt;=19,", "&amp;$A465&amp;"-"&amp;TEXT(($D465-$C465+1)+18,"00"),"")&amp;IF($C465&gt;=20,", "&amp;$A465&amp;"-"&amp;TEXT(($D465-$C465+1)+19,"00"),"")&amp;IF($C465&gt;=21,", "&amp;$A465&amp;"-"&amp;TEXT(($D465-$C465+1)+20,"00"),"")&amp;IF($C465&gt;=22,", "&amp;$A465&amp;"-"&amp;TEXT(($D465-$C465+1)+21,"00"),"")&amp;IF($C465&gt;=23,", "&amp;$A465&amp;"-"&amp;TEXT(($D465-$C465+1)+22,"00"),"")&amp;IF($C465&gt;=24,", "&amp;$A465&amp;"-"&amp;TEXT(($D465-$C465+1)+23,"00"),"")&amp;IF($C465&gt;=25,", "&amp;$A465&amp;"-"&amp;TEXT(($D465-$C465+1)+24,"00"),""))</f>
        <v/>
      </c>
      <c r="G465">
        <f>IF($A465="","",IF($E465=1,$F465,IF($F465="",$G464,IF($G464="",$F465,$G464&amp;", "&amp;$F465))))</f>
        <v/>
      </c>
      <c r="H465">
        <f>IF($A465="","",$A465&amp;" ("&amp;$C465&amp;")")</f>
        <v/>
      </c>
      <c r="I465">
        <f>IF($A465="","",IF($E465=1,$H465,$I464&amp;", "&amp;$H465))</f>
        <v/>
      </c>
      <c r="J465">
        <f>IF($A465="","",IF($E465=1,$B465,""))</f>
        <v/>
      </c>
      <c r="K465">
        <f>IF($A465="","",IF(COUNTIF($B$2:$B465,$B465)=COUNTIF($B$2:$B$1601,$B465),$B465,""))</f>
        <v/>
      </c>
    </row>
    <row r="466">
      <c r="A466">
        <f>IF('TMP Paste'!$E466="","",'TMP Paste'!$E466)</f>
        <v/>
      </c>
      <c r="B466">
        <f>IF($A466="","",COUNTIF('TMP Paste'!$B$2:$B466,"?*"))</f>
        <v/>
      </c>
      <c r="C466">
        <f>IF($A466="","",IFERROR('TMP Paste'!$M466*1,0))</f>
        <v/>
      </c>
      <c r="D466">
        <f>IF($A466="","",SUMIF($B$2:$B466,$B466,$C$2:$C466))</f>
        <v/>
      </c>
      <c r="E466">
        <f>IF($A466="",0,IF('TMP Paste'!$B466="",0,1))</f>
        <v/>
      </c>
      <c r="F466">
        <f>IF(OR($A466="",$C466&lt;1),"",$A466&amp;"-"&amp;TEXT(($D466-$C466+1),"00")&amp;IF($C466&gt;=2,", "&amp;$A466&amp;"-"&amp;TEXT(($D466-$C466+1)+1,"00"),"")&amp;IF($C466&gt;=3,", "&amp;$A466&amp;"-"&amp;TEXT(($D466-$C466+1)+2,"00"),"")&amp;IF($C466&gt;=4,", "&amp;$A466&amp;"-"&amp;TEXT(($D466-$C466+1)+3,"00"),"")&amp;IF($C466&gt;=5,", "&amp;$A466&amp;"-"&amp;TEXT(($D466-$C466+1)+4,"00"),"")&amp;IF($C466&gt;=6,", "&amp;$A466&amp;"-"&amp;TEXT(($D466-$C466+1)+5,"00"),"")&amp;IF($C466&gt;=7,", "&amp;$A466&amp;"-"&amp;TEXT(($D466-$C466+1)+6,"00"),"")&amp;IF($C466&gt;=8,", "&amp;$A466&amp;"-"&amp;TEXT(($D466-$C466+1)+7,"00"),"")&amp;IF($C466&gt;=9,", "&amp;$A466&amp;"-"&amp;TEXT(($D466-$C466+1)+8,"00"),"")&amp;IF($C466&gt;=10,", "&amp;$A466&amp;"-"&amp;TEXT(($D466-$C466+1)+9,"00"),"")&amp;IF($C466&gt;=11,", "&amp;$A466&amp;"-"&amp;TEXT(($D466-$C466+1)+10,"00"),"")&amp;IF($C466&gt;=12,", "&amp;$A466&amp;"-"&amp;TEXT(($D466-$C466+1)+11,"00"),"")&amp;IF($C466&gt;=13,", "&amp;$A466&amp;"-"&amp;TEXT(($D466-$C466+1)+12,"00"),"")&amp;IF($C466&gt;=14,", "&amp;$A466&amp;"-"&amp;TEXT(($D466-$C466+1)+13,"00"),"")&amp;IF($C466&gt;=15,", "&amp;$A466&amp;"-"&amp;TEXT(($D466-$C466+1)+14,"00"),"")&amp;IF($C466&gt;=16,", "&amp;$A466&amp;"-"&amp;TEXT(($D466-$C466+1)+15,"00"),"")&amp;IF($C466&gt;=17,", "&amp;$A466&amp;"-"&amp;TEXT(($D466-$C466+1)+16,"00"),"")&amp;IF($C466&gt;=18,", "&amp;$A466&amp;"-"&amp;TEXT(($D466-$C466+1)+17,"00"),"")&amp;IF($C466&gt;=19,", "&amp;$A466&amp;"-"&amp;TEXT(($D466-$C466+1)+18,"00"),"")&amp;IF($C466&gt;=20,", "&amp;$A466&amp;"-"&amp;TEXT(($D466-$C466+1)+19,"00"),"")&amp;IF($C466&gt;=21,", "&amp;$A466&amp;"-"&amp;TEXT(($D466-$C466+1)+20,"00"),"")&amp;IF($C466&gt;=22,", "&amp;$A466&amp;"-"&amp;TEXT(($D466-$C466+1)+21,"00"),"")&amp;IF($C466&gt;=23,", "&amp;$A466&amp;"-"&amp;TEXT(($D466-$C466+1)+22,"00"),"")&amp;IF($C466&gt;=24,", "&amp;$A466&amp;"-"&amp;TEXT(($D466-$C466+1)+23,"00"),"")&amp;IF($C466&gt;=25,", "&amp;$A466&amp;"-"&amp;TEXT(($D466-$C466+1)+24,"00"),""))</f>
        <v/>
      </c>
      <c r="G466">
        <f>IF($A466="","",IF($E466=1,$F466,IF($F466="",$G465,IF($G465="",$F466,$G465&amp;", "&amp;$F466))))</f>
        <v/>
      </c>
      <c r="H466">
        <f>IF($A466="","",$A466&amp;" ("&amp;$C466&amp;")")</f>
        <v/>
      </c>
      <c r="I466">
        <f>IF($A466="","",IF($E466=1,$H466,$I465&amp;", "&amp;$H466))</f>
        <v/>
      </c>
      <c r="J466">
        <f>IF($A466="","",IF($E466=1,$B466,""))</f>
        <v/>
      </c>
      <c r="K466">
        <f>IF($A466="","",IF(COUNTIF($B$2:$B466,$B466)=COUNTIF($B$2:$B$1601,$B466),$B466,""))</f>
        <v/>
      </c>
    </row>
    <row r="467">
      <c r="A467">
        <f>IF('TMP Paste'!$E467="","",'TMP Paste'!$E467)</f>
        <v/>
      </c>
      <c r="B467">
        <f>IF($A467="","",COUNTIF('TMP Paste'!$B$2:$B467,"?*"))</f>
        <v/>
      </c>
      <c r="C467">
        <f>IF($A467="","",IFERROR('TMP Paste'!$M467*1,0))</f>
        <v/>
      </c>
      <c r="D467">
        <f>IF($A467="","",SUMIF($B$2:$B467,$B467,$C$2:$C467))</f>
        <v/>
      </c>
      <c r="E467">
        <f>IF($A467="",0,IF('TMP Paste'!$B467="",0,1))</f>
        <v/>
      </c>
      <c r="F467">
        <f>IF(OR($A467="",$C467&lt;1),"",$A467&amp;"-"&amp;TEXT(($D467-$C467+1),"00")&amp;IF($C467&gt;=2,", "&amp;$A467&amp;"-"&amp;TEXT(($D467-$C467+1)+1,"00"),"")&amp;IF($C467&gt;=3,", "&amp;$A467&amp;"-"&amp;TEXT(($D467-$C467+1)+2,"00"),"")&amp;IF($C467&gt;=4,", "&amp;$A467&amp;"-"&amp;TEXT(($D467-$C467+1)+3,"00"),"")&amp;IF($C467&gt;=5,", "&amp;$A467&amp;"-"&amp;TEXT(($D467-$C467+1)+4,"00"),"")&amp;IF($C467&gt;=6,", "&amp;$A467&amp;"-"&amp;TEXT(($D467-$C467+1)+5,"00"),"")&amp;IF($C467&gt;=7,", "&amp;$A467&amp;"-"&amp;TEXT(($D467-$C467+1)+6,"00"),"")&amp;IF($C467&gt;=8,", "&amp;$A467&amp;"-"&amp;TEXT(($D467-$C467+1)+7,"00"),"")&amp;IF($C467&gt;=9,", "&amp;$A467&amp;"-"&amp;TEXT(($D467-$C467+1)+8,"00"),"")&amp;IF($C467&gt;=10,", "&amp;$A467&amp;"-"&amp;TEXT(($D467-$C467+1)+9,"00"),"")&amp;IF($C467&gt;=11,", "&amp;$A467&amp;"-"&amp;TEXT(($D467-$C467+1)+10,"00"),"")&amp;IF($C467&gt;=12,", "&amp;$A467&amp;"-"&amp;TEXT(($D467-$C467+1)+11,"00"),"")&amp;IF($C467&gt;=13,", "&amp;$A467&amp;"-"&amp;TEXT(($D467-$C467+1)+12,"00"),"")&amp;IF($C467&gt;=14,", "&amp;$A467&amp;"-"&amp;TEXT(($D467-$C467+1)+13,"00"),"")&amp;IF($C467&gt;=15,", "&amp;$A467&amp;"-"&amp;TEXT(($D467-$C467+1)+14,"00"),"")&amp;IF($C467&gt;=16,", "&amp;$A467&amp;"-"&amp;TEXT(($D467-$C467+1)+15,"00"),"")&amp;IF($C467&gt;=17,", "&amp;$A467&amp;"-"&amp;TEXT(($D467-$C467+1)+16,"00"),"")&amp;IF($C467&gt;=18,", "&amp;$A467&amp;"-"&amp;TEXT(($D467-$C467+1)+17,"00"),"")&amp;IF($C467&gt;=19,", "&amp;$A467&amp;"-"&amp;TEXT(($D467-$C467+1)+18,"00"),"")&amp;IF($C467&gt;=20,", "&amp;$A467&amp;"-"&amp;TEXT(($D467-$C467+1)+19,"00"),"")&amp;IF($C467&gt;=21,", "&amp;$A467&amp;"-"&amp;TEXT(($D467-$C467+1)+20,"00"),"")&amp;IF($C467&gt;=22,", "&amp;$A467&amp;"-"&amp;TEXT(($D467-$C467+1)+21,"00"),"")&amp;IF($C467&gt;=23,", "&amp;$A467&amp;"-"&amp;TEXT(($D467-$C467+1)+22,"00"),"")&amp;IF($C467&gt;=24,", "&amp;$A467&amp;"-"&amp;TEXT(($D467-$C467+1)+23,"00"),"")&amp;IF($C467&gt;=25,", "&amp;$A467&amp;"-"&amp;TEXT(($D467-$C467+1)+24,"00"),""))</f>
        <v/>
      </c>
      <c r="G467">
        <f>IF($A467="","",IF($E467=1,$F467,IF($F467="",$G466,IF($G466="",$F467,$G466&amp;", "&amp;$F467))))</f>
        <v/>
      </c>
      <c r="H467">
        <f>IF($A467="","",$A467&amp;" ("&amp;$C467&amp;")")</f>
        <v/>
      </c>
      <c r="I467">
        <f>IF($A467="","",IF($E467=1,$H467,$I466&amp;", "&amp;$H467))</f>
        <v/>
      </c>
      <c r="J467">
        <f>IF($A467="","",IF($E467=1,$B467,""))</f>
        <v/>
      </c>
      <c r="K467">
        <f>IF($A467="","",IF(COUNTIF($B$2:$B467,$B467)=COUNTIF($B$2:$B$1601,$B467),$B467,""))</f>
        <v/>
      </c>
    </row>
    <row r="468">
      <c r="A468">
        <f>IF('TMP Paste'!$E468="","",'TMP Paste'!$E468)</f>
        <v/>
      </c>
      <c r="B468">
        <f>IF($A468="","",COUNTIF('TMP Paste'!$B$2:$B468,"?*"))</f>
        <v/>
      </c>
      <c r="C468">
        <f>IF($A468="","",IFERROR('TMP Paste'!$M468*1,0))</f>
        <v/>
      </c>
      <c r="D468">
        <f>IF($A468="","",SUMIF($B$2:$B468,$B468,$C$2:$C468))</f>
        <v/>
      </c>
      <c r="E468">
        <f>IF($A468="",0,IF('TMP Paste'!$B468="",0,1))</f>
        <v/>
      </c>
      <c r="F468">
        <f>IF(OR($A468="",$C468&lt;1),"",$A468&amp;"-"&amp;TEXT(($D468-$C468+1),"00")&amp;IF($C468&gt;=2,", "&amp;$A468&amp;"-"&amp;TEXT(($D468-$C468+1)+1,"00"),"")&amp;IF($C468&gt;=3,", "&amp;$A468&amp;"-"&amp;TEXT(($D468-$C468+1)+2,"00"),"")&amp;IF($C468&gt;=4,", "&amp;$A468&amp;"-"&amp;TEXT(($D468-$C468+1)+3,"00"),"")&amp;IF($C468&gt;=5,", "&amp;$A468&amp;"-"&amp;TEXT(($D468-$C468+1)+4,"00"),"")&amp;IF($C468&gt;=6,", "&amp;$A468&amp;"-"&amp;TEXT(($D468-$C468+1)+5,"00"),"")&amp;IF($C468&gt;=7,", "&amp;$A468&amp;"-"&amp;TEXT(($D468-$C468+1)+6,"00"),"")&amp;IF($C468&gt;=8,", "&amp;$A468&amp;"-"&amp;TEXT(($D468-$C468+1)+7,"00"),"")&amp;IF($C468&gt;=9,", "&amp;$A468&amp;"-"&amp;TEXT(($D468-$C468+1)+8,"00"),"")&amp;IF($C468&gt;=10,", "&amp;$A468&amp;"-"&amp;TEXT(($D468-$C468+1)+9,"00"),"")&amp;IF($C468&gt;=11,", "&amp;$A468&amp;"-"&amp;TEXT(($D468-$C468+1)+10,"00"),"")&amp;IF($C468&gt;=12,", "&amp;$A468&amp;"-"&amp;TEXT(($D468-$C468+1)+11,"00"),"")&amp;IF($C468&gt;=13,", "&amp;$A468&amp;"-"&amp;TEXT(($D468-$C468+1)+12,"00"),"")&amp;IF($C468&gt;=14,", "&amp;$A468&amp;"-"&amp;TEXT(($D468-$C468+1)+13,"00"),"")&amp;IF($C468&gt;=15,", "&amp;$A468&amp;"-"&amp;TEXT(($D468-$C468+1)+14,"00"),"")&amp;IF($C468&gt;=16,", "&amp;$A468&amp;"-"&amp;TEXT(($D468-$C468+1)+15,"00"),"")&amp;IF($C468&gt;=17,", "&amp;$A468&amp;"-"&amp;TEXT(($D468-$C468+1)+16,"00"),"")&amp;IF($C468&gt;=18,", "&amp;$A468&amp;"-"&amp;TEXT(($D468-$C468+1)+17,"00"),"")&amp;IF($C468&gt;=19,", "&amp;$A468&amp;"-"&amp;TEXT(($D468-$C468+1)+18,"00"),"")&amp;IF($C468&gt;=20,", "&amp;$A468&amp;"-"&amp;TEXT(($D468-$C468+1)+19,"00"),"")&amp;IF($C468&gt;=21,", "&amp;$A468&amp;"-"&amp;TEXT(($D468-$C468+1)+20,"00"),"")&amp;IF($C468&gt;=22,", "&amp;$A468&amp;"-"&amp;TEXT(($D468-$C468+1)+21,"00"),"")&amp;IF($C468&gt;=23,", "&amp;$A468&amp;"-"&amp;TEXT(($D468-$C468+1)+22,"00"),"")&amp;IF($C468&gt;=24,", "&amp;$A468&amp;"-"&amp;TEXT(($D468-$C468+1)+23,"00"),"")&amp;IF($C468&gt;=25,", "&amp;$A468&amp;"-"&amp;TEXT(($D468-$C468+1)+24,"00"),""))</f>
        <v/>
      </c>
      <c r="G468">
        <f>IF($A468="","",IF($E468=1,$F468,IF($F468="",$G467,IF($G467="",$F468,$G467&amp;", "&amp;$F468))))</f>
        <v/>
      </c>
      <c r="H468">
        <f>IF($A468="","",$A468&amp;" ("&amp;$C468&amp;")")</f>
        <v/>
      </c>
      <c r="I468">
        <f>IF($A468="","",IF($E468=1,$H468,$I467&amp;", "&amp;$H468))</f>
        <v/>
      </c>
      <c r="J468">
        <f>IF($A468="","",IF($E468=1,$B468,""))</f>
        <v/>
      </c>
      <c r="K468">
        <f>IF($A468="","",IF(COUNTIF($B$2:$B468,$B468)=COUNTIF($B$2:$B$1601,$B468),$B468,""))</f>
        <v/>
      </c>
    </row>
    <row r="469">
      <c r="A469">
        <f>IF('TMP Paste'!$E469="","",'TMP Paste'!$E469)</f>
        <v/>
      </c>
      <c r="B469">
        <f>IF($A469="","",COUNTIF('TMP Paste'!$B$2:$B469,"?*"))</f>
        <v/>
      </c>
      <c r="C469">
        <f>IF($A469="","",IFERROR('TMP Paste'!$M469*1,0))</f>
        <v/>
      </c>
      <c r="D469">
        <f>IF($A469="","",SUMIF($B$2:$B469,$B469,$C$2:$C469))</f>
        <v/>
      </c>
      <c r="E469">
        <f>IF($A469="",0,IF('TMP Paste'!$B469="",0,1))</f>
        <v/>
      </c>
      <c r="F469">
        <f>IF(OR($A469="",$C469&lt;1),"",$A469&amp;"-"&amp;TEXT(($D469-$C469+1),"00")&amp;IF($C469&gt;=2,", "&amp;$A469&amp;"-"&amp;TEXT(($D469-$C469+1)+1,"00"),"")&amp;IF($C469&gt;=3,", "&amp;$A469&amp;"-"&amp;TEXT(($D469-$C469+1)+2,"00"),"")&amp;IF($C469&gt;=4,", "&amp;$A469&amp;"-"&amp;TEXT(($D469-$C469+1)+3,"00"),"")&amp;IF($C469&gt;=5,", "&amp;$A469&amp;"-"&amp;TEXT(($D469-$C469+1)+4,"00"),"")&amp;IF($C469&gt;=6,", "&amp;$A469&amp;"-"&amp;TEXT(($D469-$C469+1)+5,"00"),"")&amp;IF($C469&gt;=7,", "&amp;$A469&amp;"-"&amp;TEXT(($D469-$C469+1)+6,"00"),"")&amp;IF($C469&gt;=8,", "&amp;$A469&amp;"-"&amp;TEXT(($D469-$C469+1)+7,"00"),"")&amp;IF($C469&gt;=9,", "&amp;$A469&amp;"-"&amp;TEXT(($D469-$C469+1)+8,"00"),"")&amp;IF($C469&gt;=10,", "&amp;$A469&amp;"-"&amp;TEXT(($D469-$C469+1)+9,"00"),"")&amp;IF($C469&gt;=11,", "&amp;$A469&amp;"-"&amp;TEXT(($D469-$C469+1)+10,"00"),"")&amp;IF($C469&gt;=12,", "&amp;$A469&amp;"-"&amp;TEXT(($D469-$C469+1)+11,"00"),"")&amp;IF($C469&gt;=13,", "&amp;$A469&amp;"-"&amp;TEXT(($D469-$C469+1)+12,"00"),"")&amp;IF($C469&gt;=14,", "&amp;$A469&amp;"-"&amp;TEXT(($D469-$C469+1)+13,"00"),"")&amp;IF($C469&gt;=15,", "&amp;$A469&amp;"-"&amp;TEXT(($D469-$C469+1)+14,"00"),"")&amp;IF($C469&gt;=16,", "&amp;$A469&amp;"-"&amp;TEXT(($D469-$C469+1)+15,"00"),"")&amp;IF($C469&gt;=17,", "&amp;$A469&amp;"-"&amp;TEXT(($D469-$C469+1)+16,"00"),"")&amp;IF($C469&gt;=18,", "&amp;$A469&amp;"-"&amp;TEXT(($D469-$C469+1)+17,"00"),"")&amp;IF($C469&gt;=19,", "&amp;$A469&amp;"-"&amp;TEXT(($D469-$C469+1)+18,"00"),"")&amp;IF($C469&gt;=20,", "&amp;$A469&amp;"-"&amp;TEXT(($D469-$C469+1)+19,"00"),"")&amp;IF($C469&gt;=21,", "&amp;$A469&amp;"-"&amp;TEXT(($D469-$C469+1)+20,"00"),"")&amp;IF($C469&gt;=22,", "&amp;$A469&amp;"-"&amp;TEXT(($D469-$C469+1)+21,"00"),"")&amp;IF($C469&gt;=23,", "&amp;$A469&amp;"-"&amp;TEXT(($D469-$C469+1)+22,"00"),"")&amp;IF($C469&gt;=24,", "&amp;$A469&amp;"-"&amp;TEXT(($D469-$C469+1)+23,"00"),"")&amp;IF($C469&gt;=25,", "&amp;$A469&amp;"-"&amp;TEXT(($D469-$C469+1)+24,"00"),""))</f>
        <v/>
      </c>
      <c r="G469">
        <f>IF($A469="","",IF($E469=1,$F469,IF($F469="",$G468,IF($G468="",$F469,$G468&amp;", "&amp;$F469))))</f>
        <v/>
      </c>
      <c r="H469">
        <f>IF($A469="","",$A469&amp;" ("&amp;$C469&amp;")")</f>
        <v/>
      </c>
      <c r="I469">
        <f>IF($A469="","",IF($E469=1,$H469,$I468&amp;", "&amp;$H469))</f>
        <v/>
      </c>
      <c r="J469">
        <f>IF($A469="","",IF($E469=1,$B469,""))</f>
        <v/>
      </c>
      <c r="K469">
        <f>IF($A469="","",IF(COUNTIF($B$2:$B469,$B469)=COUNTIF($B$2:$B$1601,$B469),$B469,""))</f>
        <v/>
      </c>
    </row>
    <row r="470">
      <c r="A470">
        <f>IF('TMP Paste'!$E470="","",'TMP Paste'!$E470)</f>
        <v/>
      </c>
      <c r="B470">
        <f>IF($A470="","",COUNTIF('TMP Paste'!$B$2:$B470,"?*"))</f>
        <v/>
      </c>
      <c r="C470">
        <f>IF($A470="","",IFERROR('TMP Paste'!$M470*1,0))</f>
        <v/>
      </c>
      <c r="D470">
        <f>IF($A470="","",SUMIF($B$2:$B470,$B470,$C$2:$C470))</f>
        <v/>
      </c>
      <c r="E470">
        <f>IF($A470="",0,IF('TMP Paste'!$B470="",0,1))</f>
        <v/>
      </c>
      <c r="F470">
        <f>IF(OR($A470="",$C470&lt;1),"",$A470&amp;"-"&amp;TEXT(($D470-$C470+1),"00")&amp;IF($C470&gt;=2,", "&amp;$A470&amp;"-"&amp;TEXT(($D470-$C470+1)+1,"00"),"")&amp;IF($C470&gt;=3,", "&amp;$A470&amp;"-"&amp;TEXT(($D470-$C470+1)+2,"00"),"")&amp;IF($C470&gt;=4,", "&amp;$A470&amp;"-"&amp;TEXT(($D470-$C470+1)+3,"00"),"")&amp;IF($C470&gt;=5,", "&amp;$A470&amp;"-"&amp;TEXT(($D470-$C470+1)+4,"00"),"")&amp;IF($C470&gt;=6,", "&amp;$A470&amp;"-"&amp;TEXT(($D470-$C470+1)+5,"00"),"")&amp;IF($C470&gt;=7,", "&amp;$A470&amp;"-"&amp;TEXT(($D470-$C470+1)+6,"00"),"")&amp;IF($C470&gt;=8,", "&amp;$A470&amp;"-"&amp;TEXT(($D470-$C470+1)+7,"00"),"")&amp;IF($C470&gt;=9,", "&amp;$A470&amp;"-"&amp;TEXT(($D470-$C470+1)+8,"00"),"")&amp;IF($C470&gt;=10,", "&amp;$A470&amp;"-"&amp;TEXT(($D470-$C470+1)+9,"00"),"")&amp;IF($C470&gt;=11,", "&amp;$A470&amp;"-"&amp;TEXT(($D470-$C470+1)+10,"00"),"")&amp;IF($C470&gt;=12,", "&amp;$A470&amp;"-"&amp;TEXT(($D470-$C470+1)+11,"00"),"")&amp;IF($C470&gt;=13,", "&amp;$A470&amp;"-"&amp;TEXT(($D470-$C470+1)+12,"00"),"")&amp;IF($C470&gt;=14,", "&amp;$A470&amp;"-"&amp;TEXT(($D470-$C470+1)+13,"00"),"")&amp;IF($C470&gt;=15,", "&amp;$A470&amp;"-"&amp;TEXT(($D470-$C470+1)+14,"00"),"")&amp;IF($C470&gt;=16,", "&amp;$A470&amp;"-"&amp;TEXT(($D470-$C470+1)+15,"00"),"")&amp;IF($C470&gt;=17,", "&amp;$A470&amp;"-"&amp;TEXT(($D470-$C470+1)+16,"00"),"")&amp;IF($C470&gt;=18,", "&amp;$A470&amp;"-"&amp;TEXT(($D470-$C470+1)+17,"00"),"")&amp;IF($C470&gt;=19,", "&amp;$A470&amp;"-"&amp;TEXT(($D470-$C470+1)+18,"00"),"")&amp;IF($C470&gt;=20,", "&amp;$A470&amp;"-"&amp;TEXT(($D470-$C470+1)+19,"00"),"")&amp;IF($C470&gt;=21,", "&amp;$A470&amp;"-"&amp;TEXT(($D470-$C470+1)+20,"00"),"")&amp;IF($C470&gt;=22,", "&amp;$A470&amp;"-"&amp;TEXT(($D470-$C470+1)+21,"00"),"")&amp;IF($C470&gt;=23,", "&amp;$A470&amp;"-"&amp;TEXT(($D470-$C470+1)+22,"00"),"")&amp;IF($C470&gt;=24,", "&amp;$A470&amp;"-"&amp;TEXT(($D470-$C470+1)+23,"00"),"")&amp;IF($C470&gt;=25,", "&amp;$A470&amp;"-"&amp;TEXT(($D470-$C470+1)+24,"00"),""))</f>
        <v/>
      </c>
      <c r="G470">
        <f>IF($A470="","",IF($E470=1,$F470,IF($F470="",$G469,IF($G469="",$F470,$G469&amp;", "&amp;$F470))))</f>
        <v/>
      </c>
      <c r="H470">
        <f>IF($A470="","",$A470&amp;" ("&amp;$C470&amp;")")</f>
        <v/>
      </c>
      <c r="I470">
        <f>IF($A470="","",IF($E470=1,$H470,$I469&amp;", "&amp;$H470))</f>
        <v/>
      </c>
      <c r="J470">
        <f>IF($A470="","",IF($E470=1,$B470,""))</f>
        <v/>
      </c>
      <c r="K470">
        <f>IF($A470="","",IF(COUNTIF($B$2:$B470,$B470)=COUNTIF($B$2:$B$1601,$B470),$B470,""))</f>
        <v/>
      </c>
    </row>
    <row r="471">
      <c r="A471">
        <f>IF('TMP Paste'!$E471="","",'TMP Paste'!$E471)</f>
        <v/>
      </c>
      <c r="B471">
        <f>IF($A471="","",COUNTIF('TMP Paste'!$B$2:$B471,"?*"))</f>
        <v/>
      </c>
      <c r="C471">
        <f>IF($A471="","",IFERROR('TMP Paste'!$M471*1,0))</f>
        <v/>
      </c>
      <c r="D471">
        <f>IF($A471="","",SUMIF($B$2:$B471,$B471,$C$2:$C471))</f>
        <v/>
      </c>
      <c r="E471">
        <f>IF($A471="",0,IF('TMP Paste'!$B471="",0,1))</f>
        <v/>
      </c>
      <c r="F471">
        <f>IF(OR($A471="",$C471&lt;1),"",$A471&amp;"-"&amp;TEXT(($D471-$C471+1),"00")&amp;IF($C471&gt;=2,", "&amp;$A471&amp;"-"&amp;TEXT(($D471-$C471+1)+1,"00"),"")&amp;IF($C471&gt;=3,", "&amp;$A471&amp;"-"&amp;TEXT(($D471-$C471+1)+2,"00"),"")&amp;IF($C471&gt;=4,", "&amp;$A471&amp;"-"&amp;TEXT(($D471-$C471+1)+3,"00"),"")&amp;IF($C471&gt;=5,", "&amp;$A471&amp;"-"&amp;TEXT(($D471-$C471+1)+4,"00"),"")&amp;IF($C471&gt;=6,", "&amp;$A471&amp;"-"&amp;TEXT(($D471-$C471+1)+5,"00"),"")&amp;IF($C471&gt;=7,", "&amp;$A471&amp;"-"&amp;TEXT(($D471-$C471+1)+6,"00"),"")&amp;IF($C471&gt;=8,", "&amp;$A471&amp;"-"&amp;TEXT(($D471-$C471+1)+7,"00"),"")&amp;IF($C471&gt;=9,", "&amp;$A471&amp;"-"&amp;TEXT(($D471-$C471+1)+8,"00"),"")&amp;IF($C471&gt;=10,", "&amp;$A471&amp;"-"&amp;TEXT(($D471-$C471+1)+9,"00"),"")&amp;IF($C471&gt;=11,", "&amp;$A471&amp;"-"&amp;TEXT(($D471-$C471+1)+10,"00"),"")&amp;IF($C471&gt;=12,", "&amp;$A471&amp;"-"&amp;TEXT(($D471-$C471+1)+11,"00"),"")&amp;IF($C471&gt;=13,", "&amp;$A471&amp;"-"&amp;TEXT(($D471-$C471+1)+12,"00"),"")&amp;IF($C471&gt;=14,", "&amp;$A471&amp;"-"&amp;TEXT(($D471-$C471+1)+13,"00"),"")&amp;IF($C471&gt;=15,", "&amp;$A471&amp;"-"&amp;TEXT(($D471-$C471+1)+14,"00"),"")&amp;IF($C471&gt;=16,", "&amp;$A471&amp;"-"&amp;TEXT(($D471-$C471+1)+15,"00"),"")&amp;IF($C471&gt;=17,", "&amp;$A471&amp;"-"&amp;TEXT(($D471-$C471+1)+16,"00"),"")&amp;IF($C471&gt;=18,", "&amp;$A471&amp;"-"&amp;TEXT(($D471-$C471+1)+17,"00"),"")&amp;IF($C471&gt;=19,", "&amp;$A471&amp;"-"&amp;TEXT(($D471-$C471+1)+18,"00"),"")&amp;IF($C471&gt;=20,", "&amp;$A471&amp;"-"&amp;TEXT(($D471-$C471+1)+19,"00"),"")&amp;IF($C471&gt;=21,", "&amp;$A471&amp;"-"&amp;TEXT(($D471-$C471+1)+20,"00"),"")&amp;IF($C471&gt;=22,", "&amp;$A471&amp;"-"&amp;TEXT(($D471-$C471+1)+21,"00"),"")&amp;IF($C471&gt;=23,", "&amp;$A471&amp;"-"&amp;TEXT(($D471-$C471+1)+22,"00"),"")&amp;IF($C471&gt;=24,", "&amp;$A471&amp;"-"&amp;TEXT(($D471-$C471+1)+23,"00"),"")&amp;IF($C471&gt;=25,", "&amp;$A471&amp;"-"&amp;TEXT(($D471-$C471+1)+24,"00"),""))</f>
        <v/>
      </c>
      <c r="G471">
        <f>IF($A471="","",IF($E471=1,$F471,IF($F471="",$G470,IF($G470="",$F471,$G470&amp;", "&amp;$F471))))</f>
        <v/>
      </c>
      <c r="H471">
        <f>IF($A471="","",$A471&amp;" ("&amp;$C471&amp;")")</f>
        <v/>
      </c>
      <c r="I471">
        <f>IF($A471="","",IF($E471=1,$H471,$I470&amp;", "&amp;$H471))</f>
        <v/>
      </c>
      <c r="J471">
        <f>IF($A471="","",IF($E471=1,$B471,""))</f>
        <v/>
      </c>
      <c r="K471">
        <f>IF($A471="","",IF(COUNTIF($B$2:$B471,$B471)=COUNTIF($B$2:$B$1601,$B471),$B471,""))</f>
        <v/>
      </c>
    </row>
    <row r="472">
      <c r="A472">
        <f>IF('TMP Paste'!$E472="","",'TMP Paste'!$E472)</f>
        <v/>
      </c>
      <c r="B472">
        <f>IF($A472="","",COUNTIF('TMP Paste'!$B$2:$B472,"?*"))</f>
        <v/>
      </c>
      <c r="C472">
        <f>IF($A472="","",IFERROR('TMP Paste'!$M472*1,0))</f>
        <v/>
      </c>
      <c r="D472">
        <f>IF($A472="","",SUMIF($B$2:$B472,$B472,$C$2:$C472))</f>
        <v/>
      </c>
      <c r="E472">
        <f>IF($A472="",0,IF('TMP Paste'!$B472="",0,1))</f>
        <v/>
      </c>
      <c r="F472">
        <f>IF(OR($A472="",$C472&lt;1),"",$A472&amp;"-"&amp;TEXT(($D472-$C472+1),"00")&amp;IF($C472&gt;=2,", "&amp;$A472&amp;"-"&amp;TEXT(($D472-$C472+1)+1,"00"),"")&amp;IF($C472&gt;=3,", "&amp;$A472&amp;"-"&amp;TEXT(($D472-$C472+1)+2,"00"),"")&amp;IF($C472&gt;=4,", "&amp;$A472&amp;"-"&amp;TEXT(($D472-$C472+1)+3,"00"),"")&amp;IF($C472&gt;=5,", "&amp;$A472&amp;"-"&amp;TEXT(($D472-$C472+1)+4,"00"),"")&amp;IF($C472&gt;=6,", "&amp;$A472&amp;"-"&amp;TEXT(($D472-$C472+1)+5,"00"),"")&amp;IF($C472&gt;=7,", "&amp;$A472&amp;"-"&amp;TEXT(($D472-$C472+1)+6,"00"),"")&amp;IF($C472&gt;=8,", "&amp;$A472&amp;"-"&amp;TEXT(($D472-$C472+1)+7,"00"),"")&amp;IF($C472&gt;=9,", "&amp;$A472&amp;"-"&amp;TEXT(($D472-$C472+1)+8,"00"),"")&amp;IF($C472&gt;=10,", "&amp;$A472&amp;"-"&amp;TEXT(($D472-$C472+1)+9,"00"),"")&amp;IF($C472&gt;=11,", "&amp;$A472&amp;"-"&amp;TEXT(($D472-$C472+1)+10,"00"),"")&amp;IF($C472&gt;=12,", "&amp;$A472&amp;"-"&amp;TEXT(($D472-$C472+1)+11,"00"),"")&amp;IF($C472&gt;=13,", "&amp;$A472&amp;"-"&amp;TEXT(($D472-$C472+1)+12,"00"),"")&amp;IF($C472&gt;=14,", "&amp;$A472&amp;"-"&amp;TEXT(($D472-$C472+1)+13,"00"),"")&amp;IF($C472&gt;=15,", "&amp;$A472&amp;"-"&amp;TEXT(($D472-$C472+1)+14,"00"),"")&amp;IF($C472&gt;=16,", "&amp;$A472&amp;"-"&amp;TEXT(($D472-$C472+1)+15,"00"),"")&amp;IF($C472&gt;=17,", "&amp;$A472&amp;"-"&amp;TEXT(($D472-$C472+1)+16,"00"),"")&amp;IF($C472&gt;=18,", "&amp;$A472&amp;"-"&amp;TEXT(($D472-$C472+1)+17,"00"),"")&amp;IF($C472&gt;=19,", "&amp;$A472&amp;"-"&amp;TEXT(($D472-$C472+1)+18,"00"),"")&amp;IF($C472&gt;=20,", "&amp;$A472&amp;"-"&amp;TEXT(($D472-$C472+1)+19,"00"),"")&amp;IF($C472&gt;=21,", "&amp;$A472&amp;"-"&amp;TEXT(($D472-$C472+1)+20,"00"),"")&amp;IF($C472&gt;=22,", "&amp;$A472&amp;"-"&amp;TEXT(($D472-$C472+1)+21,"00"),"")&amp;IF($C472&gt;=23,", "&amp;$A472&amp;"-"&amp;TEXT(($D472-$C472+1)+22,"00"),"")&amp;IF($C472&gt;=24,", "&amp;$A472&amp;"-"&amp;TEXT(($D472-$C472+1)+23,"00"),"")&amp;IF($C472&gt;=25,", "&amp;$A472&amp;"-"&amp;TEXT(($D472-$C472+1)+24,"00"),""))</f>
        <v/>
      </c>
      <c r="G472">
        <f>IF($A472="","",IF($E472=1,$F472,IF($F472="",$G471,IF($G471="",$F472,$G471&amp;", "&amp;$F472))))</f>
        <v/>
      </c>
      <c r="H472">
        <f>IF($A472="","",$A472&amp;" ("&amp;$C472&amp;")")</f>
        <v/>
      </c>
      <c r="I472">
        <f>IF($A472="","",IF($E472=1,$H472,$I471&amp;", "&amp;$H472))</f>
        <v/>
      </c>
      <c r="J472">
        <f>IF($A472="","",IF($E472=1,$B472,""))</f>
        <v/>
      </c>
      <c r="K472">
        <f>IF($A472="","",IF(COUNTIF($B$2:$B472,$B472)=COUNTIF($B$2:$B$1601,$B472),$B472,""))</f>
        <v/>
      </c>
    </row>
    <row r="473">
      <c r="A473">
        <f>IF('TMP Paste'!$E473="","",'TMP Paste'!$E473)</f>
        <v/>
      </c>
      <c r="B473">
        <f>IF($A473="","",COUNTIF('TMP Paste'!$B$2:$B473,"?*"))</f>
        <v/>
      </c>
      <c r="C473">
        <f>IF($A473="","",IFERROR('TMP Paste'!$M473*1,0))</f>
        <v/>
      </c>
      <c r="D473">
        <f>IF($A473="","",SUMIF($B$2:$B473,$B473,$C$2:$C473))</f>
        <v/>
      </c>
      <c r="E473">
        <f>IF($A473="",0,IF('TMP Paste'!$B473="",0,1))</f>
        <v/>
      </c>
      <c r="F473">
        <f>IF(OR($A473="",$C473&lt;1),"",$A473&amp;"-"&amp;TEXT(($D473-$C473+1),"00")&amp;IF($C473&gt;=2,", "&amp;$A473&amp;"-"&amp;TEXT(($D473-$C473+1)+1,"00"),"")&amp;IF($C473&gt;=3,", "&amp;$A473&amp;"-"&amp;TEXT(($D473-$C473+1)+2,"00"),"")&amp;IF($C473&gt;=4,", "&amp;$A473&amp;"-"&amp;TEXT(($D473-$C473+1)+3,"00"),"")&amp;IF($C473&gt;=5,", "&amp;$A473&amp;"-"&amp;TEXT(($D473-$C473+1)+4,"00"),"")&amp;IF($C473&gt;=6,", "&amp;$A473&amp;"-"&amp;TEXT(($D473-$C473+1)+5,"00"),"")&amp;IF($C473&gt;=7,", "&amp;$A473&amp;"-"&amp;TEXT(($D473-$C473+1)+6,"00"),"")&amp;IF($C473&gt;=8,", "&amp;$A473&amp;"-"&amp;TEXT(($D473-$C473+1)+7,"00"),"")&amp;IF($C473&gt;=9,", "&amp;$A473&amp;"-"&amp;TEXT(($D473-$C473+1)+8,"00"),"")&amp;IF($C473&gt;=10,", "&amp;$A473&amp;"-"&amp;TEXT(($D473-$C473+1)+9,"00"),"")&amp;IF($C473&gt;=11,", "&amp;$A473&amp;"-"&amp;TEXT(($D473-$C473+1)+10,"00"),"")&amp;IF($C473&gt;=12,", "&amp;$A473&amp;"-"&amp;TEXT(($D473-$C473+1)+11,"00"),"")&amp;IF($C473&gt;=13,", "&amp;$A473&amp;"-"&amp;TEXT(($D473-$C473+1)+12,"00"),"")&amp;IF($C473&gt;=14,", "&amp;$A473&amp;"-"&amp;TEXT(($D473-$C473+1)+13,"00"),"")&amp;IF($C473&gt;=15,", "&amp;$A473&amp;"-"&amp;TEXT(($D473-$C473+1)+14,"00"),"")&amp;IF($C473&gt;=16,", "&amp;$A473&amp;"-"&amp;TEXT(($D473-$C473+1)+15,"00"),"")&amp;IF($C473&gt;=17,", "&amp;$A473&amp;"-"&amp;TEXT(($D473-$C473+1)+16,"00"),"")&amp;IF($C473&gt;=18,", "&amp;$A473&amp;"-"&amp;TEXT(($D473-$C473+1)+17,"00"),"")&amp;IF($C473&gt;=19,", "&amp;$A473&amp;"-"&amp;TEXT(($D473-$C473+1)+18,"00"),"")&amp;IF($C473&gt;=20,", "&amp;$A473&amp;"-"&amp;TEXT(($D473-$C473+1)+19,"00"),"")&amp;IF($C473&gt;=21,", "&amp;$A473&amp;"-"&amp;TEXT(($D473-$C473+1)+20,"00"),"")&amp;IF($C473&gt;=22,", "&amp;$A473&amp;"-"&amp;TEXT(($D473-$C473+1)+21,"00"),"")&amp;IF($C473&gt;=23,", "&amp;$A473&amp;"-"&amp;TEXT(($D473-$C473+1)+22,"00"),"")&amp;IF($C473&gt;=24,", "&amp;$A473&amp;"-"&amp;TEXT(($D473-$C473+1)+23,"00"),"")&amp;IF($C473&gt;=25,", "&amp;$A473&amp;"-"&amp;TEXT(($D473-$C473+1)+24,"00"),""))</f>
        <v/>
      </c>
      <c r="G473">
        <f>IF($A473="","",IF($E473=1,$F473,IF($F473="",$G472,IF($G472="",$F473,$G472&amp;", "&amp;$F473))))</f>
        <v/>
      </c>
      <c r="H473">
        <f>IF($A473="","",$A473&amp;" ("&amp;$C473&amp;")")</f>
        <v/>
      </c>
      <c r="I473">
        <f>IF($A473="","",IF($E473=1,$H473,$I472&amp;", "&amp;$H473))</f>
        <v/>
      </c>
      <c r="J473">
        <f>IF($A473="","",IF($E473=1,$B473,""))</f>
        <v/>
      </c>
      <c r="K473">
        <f>IF($A473="","",IF(COUNTIF($B$2:$B473,$B473)=COUNTIF($B$2:$B$1601,$B473),$B473,""))</f>
        <v/>
      </c>
    </row>
    <row r="474">
      <c r="A474">
        <f>IF('TMP Paste'!$E474="","",'TMP Paste'!$E474)</f>
        <v/>
      </c>
      <c r="B474">
        <f>IF($A474="","",COUNTIF('TMP Paste'!$B$2:$B474,"?*"))</f>
        <v/>
      </c>
      <c r="C474">
        <f>IF($A474="","",IFERROR('TMP Paste'!$M474*1,0))</f>
        <v/>
      </c>
      <c r="D474">
        <f>IF($A474="","",SUMIF($B$2:$B474,$B474,$C$2:$C474))</f>
        <v/>
      </c>
      <c r="E474">
        <f>IF($A474="",0,IF('TMP Paste'!$B474="",0,1))</f>
        <v/>
      </c>
      <c r="F474">
        <f>IF(OR($A474="",$C474&lt;1),"",$A474&amp;"-"&amp;TEXT(($D474-$C474+1),"00")&amp;IF($C474&gt;=2,", "&amp;$A474&amp;"-"&amp;TEXT(($D474-$C474+1)+1,"00"),"")&amp;IF($C474&gt;=3,", "&amp;$A474&amp;"-"&amp;TEXT(($D474-$C474+1)+2,"00"),"")&amp;IF($C474&gt;=4,", "&amp;$A474&amp;"-"&amp;TEXT(($D474-$C474+1)+3,"00"),"")&amp;IF($C474&gt;=5,", "&amp;$A474&amp;"-"&amp;TEXT(($D474-$C474+1)+4,"00"),"")&amp;IF($C474&gt;=6,", "&amp;$A474&amp;"-"&amp;TEXT(($D474-$C474+1)+5,"00"),"")&amp;IF($C474&gt;=7,", "&amp;$A474&amp;"-"&amp;TEXT(($D474-$C474+1)+6,"00"),"")&amp;IF($C474&gt;=8,", "&amp;$A474&amp;"-"&amp;TEXT(($D474-$C474+1)+7,"00"),"")&amp;IF($C474&gt;=9,", "&amp;$A474&amp;"-"&amp;TEXT(($D474-$C474+1)+8,"00"),"")&amp;IF($C474&gt;=10,", "&amp;$A474&amp;"-"&amp;TEXT(($D474-$C474+1)+9,"00"),"")&amp;IF($C474&gt;=11,", "&amp;$A474&amp;"-"&amp;TEXT(($D474-$C474+1)+10,"00"),"")&amp;IF($C474&gt;=12,", "&amp;$A474&amp;"-"&amp;TEXT(($D474-$C474+1)+11,"00"),"")&amp;IF($C474&gt;=13,", "&amp;$A474&amp;"-"&amp;TEXT(($D474-$C474+1)+12,"00"),"")&amp;IF($C474&gt;=14,", "&amp;$A474&amp;"-"&amp;TEXT(($D474-$C474+1)+13,"00"),"")&amp;IF($C474&gt;=15,", "&amp;$A474&amp;"-"&amp;TEXT(($D474-$C474+1)+14,"00"),"")&amp;IF($C474&gt;=16,", "&amp;$A474&amp;"-"&amp;TEXT(($D474-$C474+1)+15,"00"),"")&amp;IF($C474&gt;=17,", "&amp;$A474&amp;"-"&amp;TEXT(($D474-$C474+1)+16,"00"),"")&amp;IF($C474&gt;=18,", "&amp;$A474&amp;"-"&amp;TEXT(($D474-$C474+1)+17,"00"),"")&amp;IF($C474&gt;=19,", "&amp;$A474&amp;"-"&amp;TEXT(($D474-$C474+1)+18,"00"),"")&amp;IF($C474&gt;=20,", "&amp;$A474&amp;"-"&amp;TEXT(($D474-$C474+1)+19,"00"),"")&amp;IF($C474&gt;=21,", "&amp;$A474&amp;"-"&amp;TEXT(($D474-$C474+1)+20,"00"),"")&amp;IF($C474&gt;=22,", "&amp;$A474&amp;"-"&amp;TEXT(($D474-$C474+1)+21,"00"),"")&amp;IF($C474&gt;=23,", "&amp;$A474&amp;"-"&amp;TEXT(($D474-$C474+1)+22,"00"),"")&amp;IF($C474&gt;=24,", "&amp;$A474&amp;"-"&amp;TEXT(($D474-$C474+1)+23,"00"),"")&amp;IF($C474&gt;=25,", "&amp;$A474&amp;"-"&amp;TEXT(($D474-$C474+1)+24,"00"),""))</f>
        <v/>
      </c>
      <c r="G474">
        <f>IF($A474="","",IF($E474=1,$F474,IF($F474="",$G473,IF($G473="",$F474,$G473&amp;", "&amp;$F474))))</f>
        <v/>
      </c>
      <c r="H474">
        <f>IF($A474="","",$A474&amp;" ("&amp;$C474&amp;")")</f>
        <v/>
      </c>
      <c r="I474">
        <f>IF($A474="","",IF($E474=1,$H474,$I473&amp;", "&amp;$H474))</f>
        <v/>
      </c>
      <c r="J474">
        <f>IF($A474="","",IF($E474=1,$B474,""))</f>
        <v/>
      </c>
      <c r="K474">
        <f>IF($A474="","",IF(COUNTIF($B$2:$B474,$B474)=COUNTIF($B$2:$B$1601,$B474),$B474,""))</f>
        <v/>
      </c>
    </row>
    <row r="475">
      <c r="A475">
        <f>IF('TMP Paste'!$E475="","",'TMP Paste'!$E475)</f>
        <v/>
      </c>
      <c r="B475">
        <f>IF($A475="","",COUNTIF('TMP Paste'!$B$2:$B475,"?*"))</f>
        <v/>
      </c>
      <c r="C475">
        <f>IF($A475="","",IFERROR('TMP Paste'!$M475*1,0))</f>
        <v/>
      </c>
      <c r="D475">
        <f>IF($A475="","",SUMIF($B$2:$B475,$B475,$C$2:$C475))</f>
        <v/>
      </c>
      <c r="E475">
        <f>IF($A475="",0,IF('TMP Paste'!$B475="",0,1))</f>
        <v/>
      </c>
      <c r="F475">
        <f>IF(OR($A475="",$C475&lt;1),"",$A475&amp;"-"&amp;TEXT(($D475-$C475+1),"00")&amp;IF($C475&gt;=2,", "&amp;$A475&amp;"-"&amp;TEXT(($D475-$C475+1)+1,"00"),"")&amp;IF($C475&gt;=3,", "&amp;$A475&amp;"-"&amp;TEXT(($D475-$C475+1)+2,"00"),"")&amp;IF($C475&gt;=4,", "&amp;$A475&amp;"-"&amp;TEXT(($D475-$C475+1)+3,"00"),"")&amp;IF($C475&gt;=5,", "&amp;$A475&amp;"-"&amp;TEXT(($D475-$C475+1)+4,"00"),"")&amp;IF($C475&gt;=6,", "&amp;$A475&amp;"-"&amp;TEXT(($D475-$C475+1)+5,"00"),"")&amp;IF($C475&gt;=7,", "&amp;$A475&amp;"-"&amp;TEXT(($D475-$C475+1)+6,"00"),"")&amp;IF($C475&gt;=8,", "&amp;$A475&amp;"-"&amp;TEXT(($D475-$C475+1)+7,"00"),"")&amp;IF($C475&gt;=9,", "&amp;$A475&amp;"-"&amp;TEXT(($D475-$C475+1)+8,"00"),"")&amp;IF($C475&gt;=10,", "&amp;$A475&amp;"-"&amp;TEXT(($D475-$C475+1)+9,"00"),"")&amp;IF($C475&gt;=11,", "&amp;$A475&amp;"-"&amp;TEXT(($D475-$C475+1)+10,"00"),"")&amp;IF($C475&gt;=12,", "&amp;$A475&amp;"-"&amp;TEXT(($D475-$C475+1)+11,"00"),"")&amp;IF($C475&gt;=13,", "&amp;$A475&amp;"-"&amp;TEXT(($D475-$C475+1)+12,"00"),"")&amp;IF($C475&gt;=14,", "&amp;$A475&amp;"-"&amp;TEXT(($D475-$C475+1)+13,"00"),"")&amp;IF($C475&gt;=15,", "&amp;$A475&amp;"-"&amp;TEXT(($D475-$C475+1)+14,"00"),"")&amp;IF($C475&gt;=16,", "&amp;$A475&amp;"-"&amp;TEXT(($D475-$C475+1)+15,"00"),"")&amp;IF($C475&gt;=17,", "&amp;$A475&amp;"-"&amp;TEXT(($D475-$C475+1)+16,"00"),"")&amp;IF($C475&gt;=18,", "&amp;$A475&amp;"-"&amp;TEXT(($D475-$C475+1)+17,"00"),"")&amp;IF($C475&gt;=19,", "&amp;$A475&amp;"-"&amp;TEXT(($D475-$C475+1)+18,"00"),"")&amp;IF($C475&gt;=20,", "&amp;$A475&amp;"-"&amp;TEXT(($D475-$C475+1)+19,"00"),"")&amp;IF($C475&gt;=21,", "&amp;$A475&amp;"-"&amp;TEXT(($D475-$C475+1)+20,"00"),"")&amp;IF($C475&gt;=22,", "&amp;$A475&amp;"-"&amp;TEXT(($D475-$C475+1)+21,"00"),"")&amp;IF($C475&gt;=23,", "&amp;$A475&amp;"-"&amp;TEXT(($D475-$C475+1)+22,"00"),"")&amp;IF($C475&gt;=24,", "&amp;$A475&amp;"-"&amp;TEXT(($D475-$C475+1)+23,"00"),"")&amp;IF($C475&gt;=25,", "&amp;$A475&amp;"-"&amp;TEXT(($D475-$C475+1)+24,"00"),""))</f>
        <v/>
      </c>
      <c r="G475">
        <f>IF($A475="","",IF($E475=1,$F475,IF($F475="",$G474,IF($G474="",$F475,$G474&amp;", "&amp;$F475))))</f>
        <v/>
      </c>
      <c r="H475">
        <f>IF($A475="","",$A475&amp;" ("&amp;$C475&amp;")")</f>
        <v/>
      </c>
      <c r="I475">
        <f>IF($A475="","",IF($E475=1,$H475,$I474&amp;", "&amp;$H475))</f>
        <v/>
      </c>
      <c r="J475">
        <f>IF($A475="","",IF($E475=1,$B475,""))</f>
        <v/>
      </c>
      <c r="K475">
        <f>IF($A475="","",IF(COUNTIF($B$2:$B475,$B475)=COUNTIF($B$2:$B$1601,$B475),$B475,""))</f>
        <v/>
      </c>
    </row>
    <row r="476">
      <c r="A476">
        <f>IF('TMP Paste'!$E476="","",'TMP Paste'!$E476)</f>
        <v/>
      </c>
      <c r="B476">
        <f>IF($A476="","",COUNTIF('TMP Paste'!$B$2:$B476,"?*"))</f>
        <v/>
      </c>
      <c r="C476">
        <f>IF($A476="","",IFERROR('TMP Paste'!$M476*1,0))</f>
        <v/>
      </c>
      <c r="D476">
        <f>IF($A476="","",SUMIF($B$2:$B476,$B476,$C$2:$C476))</f>
        <v/>
      </c>
      <c r="E476">
        <f>IF($A476="",0,IF('TMP Paste'!$B476="",0,1))</f>
        <v/>
      </c>
      <c r="F476">
        <f>IF(OR($A476="",$C476&lt;1),"",$A476&amp;"-"&amp;TEXT(($D476-$C476+1),"00")&amp;IF($C476&gt;=2,", "&amp;$A476&amp;"-"&amp;TEXT(($D476-$C476+1)+1,"00"),"")&amp;IF($C476&gt;=3,", "&amp;$A476&amp;"-"&amp;TEXT(($D476-$C476+1)+2,"00"),"")&amp;IF($C476&gt;=4,", "&amp;$A476&amp;"-"&amp;TEXT(($D476-$C476+1)+3,"00"),"")&amp;IF($C476&gt;=5,", "&amp;$A476&amp;"-"&amp;TEXT(($D476-$C476+1)+4,"00"),"")&amp;IF($C476&gt;=6,", "&amp;$A476&amp;"-"&amp;TEXT(($D476-$C476+1)+5,"00"),"")&amp;IF($C476&gt;=7,", "&amp;$A476&amp;"-"&amp;TEXT(($D476-$C476+1)+6,"00"),"")&amp;IF($C476&gt;=8,", "&amp;$A476&amp;"-"&amp;TEXT(($D476-$C476+1)+7,"00"),"")&amp;IF($C476&gt;=9,", "&amp;$A476&amp;"-"&amp;TEXT(($D476-$C476+1)+8,"00"),"")&amp;IF($C476&gt;=10,", "&amp;$A476&amp;"-"&amp;TEXT(($D476-$C476+1)+9,"00"),"")&amp;IF($C476&gt;=11,", "&amp;$A476&amp;"-"&amp;TEXT(($D476-$C476+1)+10,"00"),"")&amp;IF($C476&gt;=12,", "&amp;$A476&amp;"-"&amp;TEXT(($D476-$C476+1)+11,"00"),"")&amp;IF($C476&gt;=13,", "&amp;$A476&amp;"-"&amp;TEXT(($D476-$C476+1)+12,"00"),"")&amp;IF($C476&gt;=14,", "&amp;$A476&amp;"-"&amp;TEXT(($D476-$C476+1)+13,"00"),"")&amp;IF($C476&gt;=15,", "&amp;$A476&amp;"-"&amp;TEXT(($D476-$C476+1)+14,"00"),"")&amp;IF($C476&gt;=16,", "&amp;$A476&amp;"-"&amp;TEXT(($D476-$C476+1)+15,"00"),"")&amp;IF($C476&gt;=17,", "&amp;$A476&amp;"-"&amp;TEXT(($D476-$C476+1)+16,"00"),"")&amp;IF($C476&gt;=18,", "&amp;$A476&amp;"-"&amp;TEXT(($D476-$C476+1)+17,"00"),"")&amp;IF($C476&gt;=19,", "&amp;$A476&amp;"-"&amp;TEXT(($D476-$C476+1)+18,"00"),"")&amp;IF($C476&gt;=20,", "&amp;$A476&amp;"-"&amp;TEXT(($D476-$C476+1)+19,"00"),"")&amp;IF($C476&gt;=21,", "&amp;$A476&amp;"-"&amp;TEXT(($D476-$C476+1)+20,"00"),"")&amp;IF($C476&gt;=22,", "&amp;$A476&amp;"-"&amp;TEXT(($D476-$C476+1)+21,"00"),"")&amp;IF($C476&gt;=23,", "&amp;$A476&amp;"-"&amp;TEXT(($D476-$C476+1)+22,"00"),"")&amp;IF($C476&gt;=24,", "&amp;$A476&amp;"-"&amp;TEXT(($D476-$C476+1)+23,"00"),"")&amp;IF($C476&gt;=25,", "&amp;$A476&amp;"-"&amp;TEXT(($D476-$C476+1)+24,"00"),""))</f>
        <v/>
      </c>
      <c r="G476">
        <f>IF($A476="","",IF($E476=1,$F476,IF($F476="",$G475,IF($G475="",$F476,$G475&amp;", "&amp;$F476))))</f>
        <v/>
      </c>
      <c r="H476">
        <f>IF($A476="","",$A476&amp;" ("&amp;$C476&amp;")")</f>
        <v/>
      </c>
      <c r="I476">
        <f>IF($A476="","",IF($E476=1,$H476,$I475&amp;", "&amp;$H476))</f>
        <v/>
      </c>
      <c r="J476">
        <f>IF($A476="","",IF($E476=1,$B476,""))</f>
        <v/>
      </c>
      <c r="K476">
        <f>IF($A476="","",IF(COUNTIF($B$2:$B476,$B476)=COUNTIF($B$2:$B$1601,$B476),$B476,""))</f>
        <v/>
      </c>
    </row>
    <row r="477">
      <c r="A477">
        <f>IF('TMP Paste'!$E477="","",'TMP Paste'!$E477)</f>
        <v/>
      </c>
      <c r="B477">
        <f>IF($A477="","",COUNTIF('TMP Paste'!$B$2:$B477,"?*"))</f>
        <v/>
      </c>
      <c r="C477">
        <f>IF($A477="","",IFERROR('TMP Paste'!$M477*1,0))</f>
        <v/>
      </c>
      <c r="D477">
        <f>IF($A477="","",SUMIF($B$2:$B477,$B477,$C$2:$C477))</f>
        <v/>
      </c>
      <c r="E477">
        <f>IF($A477="",0,IF('TMP Paste'!$B477="",0,1))</f>
        <v/>
      </c>
      <c r="F477">
        <f>IF(OR($A477="",$C477&lt;1),"",$A477&amp;"-"&amp;TEXT(($D477-$C477+1),"00")&amp;IF($C477&gt;=2,", "&amp;$A477&amp;"-"&amp;TEXT(($D477-$C477+1)+1,"00"),"")&amp;IF($C477&gt;=3,", "&amp;$A477&amp;"-"&amp;TEXT(($D477-$C477+1)+2,"00"),"")&amp;IF($C477&gt;=4,", "&amp;$A477&amp;"-"&amp;TEXT(($D477-$C477+1)+3,"00"),"")&amp;IF($C477&gt;=5,", "&amp;$A477&amp;"-"&amp;TEXT(($D477-$C477+1)+4,"00"),"")&amp;IF($C477&gt;=6,", "&amp;$A477&amp;"-"&amp;TEXT(($D477-$C477+1)+5,"00"),"")&amp;IF($C477&gt;=7,", "&amp;$A477&amp;"-"&amp;TEXT(($D477-$C477+1)+6,"00"),"")&amp;IF($C477&gt;=8,", "&amp;$A477&amp;"-"&amp;TEXT(($D477-$C477+1)+7,"00"),"")&amp;IF($C477&gt;=9,", "&amp;$A477&amp;"-"&amp;TEXT(($D477-$C477+1)+8,"00"),"")&amp;IF($C477&gt;=10,", "&amp;$A477&amp;"-"&amp;TEXT(($D477-$C477+1)+9,"00"),"")&amp;IF($C477&gt;=11,", "&amp;$A477&amp;"-"&amp;TEXT(($D477-$C477+1)+10,"00"),"")&amp;IF($C477&gt;=12,", "&amp;$A477&amp;"-"&amp;TEXT(($D477-$C477+1)+11,"00"),"")&amp;IF($C477&gt;=13,", "&amp;$A477&amp;"-"&amp;TEXT(($D477-$C477+1)+12,"00"),"")&amp;IF($C477&gt;=14,", "&amp;$A477&amp;"-"&amp;TEXT(($D477-$C477+1)+13,"00"),"")&amp;IF($C477&gt;=15,", "&amp;$A477&amp;"-"&amp;TEXT(($D477-$C477+1)+14,"00"),"")&amp;IF($C477&gt;=16,", "&amp;$A477&amp;"-"&amp;TEXT(($D477-$C477+1)+15,"00"),"")&amp;IF($C477&gt;=17,", "&amp;$A477&amp;"-"&amp;TEXT(($D477-$C477+1)+16,"00"),"")&amp;IF($C477&gt;=18,", "&amp;$A477&amp;"-"&amp;TEXT(($D477-$C477+1)+17,"00"),"")&amp;IF($C477&gt;=19,", "&amp;$A477&amp;"-"&amp;TEXT(($D477-$C477+1)+18,"00"),"")&amp;IF($C477&gt;=20,", "&amp;$A477&amp;"-"&amp;TEXT(($D477-$C477+1)+19,"00"),"")&amp;IF($C477&gt;=21,", "&amp;$A477&amp;"-"&amp;TEXT(($D477-$C477+1)+20,"00"),"")&amp;IF($C477&gt;=22,", "&amp;$A477&amp;"-"&amp;TEXT(($D477-$C477+1)+21,"00"),"")&amp;IF($C477&gt;=23,", "&amp;$A477&amp;"-"&amp;TEXT(($D477-$C477+1)+22,"00"),"")&amp;IF($C477&gt;=24,", "&amp;$A477&amp;"-"&amp;TEXT(($D477-$C477+1)+23,"00"),"")&amp;IF($C477&gt;=25,", "&amp;$A477&amp;"-"&amp;TEXT(($D477-$C477+1)+24,"00"),""))</f>
        <v/>
      </c>
      <c r="G477">
        <f>IF($A477="","",IF($E477=1,$F477,IF($F477="",$G476,IF($G476="",$F477,$G476&amp;", "&amp;$F477))))</f>
        <v/>
      </c>
      <c r="H477">
        <f>IF($A477="","",$A477&amp;" ("&amp;$C477&amp;")")</f>
        <v/>
      </c>
      <c r="I477">
        <f>IF($A477="","",IF($E477=1,$H477,$I476&amp;", "&amp;$H477))</f>
        <v/>
      </c>
      <c r="J477">
        <f>IF($A477="","",IF($E477=1,$B477,""))</f>
        <v/>
      </c>
      <c r="K477">
        <f>IF($A477="","",IF(COUNTIF($B$2:$B477,$B477)=COUNTIF($B$2:$B$1601,$B477),$B477,""))</f>
        <v/>
      </c>
    </row>
    <row r="478">
      <c r="A478">
        <f>IF('TMP Paste'!$E478="","",'TMP Paste'!$E478)</f>
        <v/>
      </c>
      <c r="B478">
        <f>IF($A478="","",COUNTIF('TMP Paste'!$B$2:$B478,"?*"))</f>
        <v/>
      </c>
      <c r="C478">
        <f>IF($A478="","",IFERROR('TMP Paste'!$M478*1,0))</f>
        <v/>
      </c>
      <c r="D478">
        <f>IF($A478="","",SUMIF($B$2:$B478,$B478,$C$2:$C478))</f>
        <v/>
      </c>
      <c r="E478">
        <f>IF($A478="",0,IF('TMP Paste'!$B478="",0,1))</f>
        <v/>
      </c>
      <c r="F478">
        <f>IF(OR($A478="",$C478&lt;1),"",$A478&amp;"-"&amp;TEXT(($D478-$C478+1),"00")&amp;IF($C478&gt;=2,", "&amp;$A478&amp;"-"&amp;TEXT(($D478-$C478+1)+1,"00"),"")&amp;IF($C478&gt;=3,", "&amp;$A478&amp;"-"&amp;TEXT(($D478-$C478+1)+2,"00"),"")&amp;IF($C478&gt;=4,", "&amp;$A478&amp;"-"&amp;TEXT(($D478-$C478+1)+3,"00"),"")&amp;IF($C478&gt;=5,", "&amp;$A478&amp;"-"&amp;TEXT(($D478-$C478+1)+4,"00"),"")&amp;IF($C478&gt;=6,", "&amp;$A478&amp;"-"&amp;TEXT(($D478-$C478+1)+5,"00"),"")&amp;IF($C478&gt;=7,", "&amp;$A478&amp;"-"&amp;TEXT(($D478-$C478+1)+6,"00"),"")&amp;IF($C478&gt;=8,", "&amp;$A478&amp;"-"&amp;TEXT(($D478-$C478+1)+7,"00"),"")&amp;IF($C478&gt;=9,", "&amp;$A478&amp;"-"&amp;TEXT(($D478-$C478+1)+8,"00"),"")&amp;IF($C478&gt;=10,", "&amp;$A478&amp;"-"&amp;TEXT(($D478-$C478+1)+9,"00"),"")&amp;IF($C478&gt;=11,", "&amp;$A478&amp;"-"&amp;TEXT(($D478-$C478+1)+10,"00"),"")&amp;IF($C478&gt;=12,", "&amp;$A478&amp;"-"&amp;TEXT(($D478-$C478+1)+11,"00"),"")&amp;IF($C478&gt;=13,", "&amp;$A478&amp;"-"&amp;TEXT(($D478-$C478+1)+12,"00"),"")&amp;IF($C478&gt;=14,", "&amp;$A478&amp;"-"&amp;TEXT(($D478-$C478+1)+13,"00"),"")&amp;IF($C478&gt;=15,", "&amp;$A478&amp;"-"&amp;TEXT(($D478-$C478+1)+14,"00"),"")&amp;IF($C478&gt;=16,", "&amp;$A478&amp;"-"&amp;TEXT(($D478-$C478+1)+15,"00"),"")&amp;IF($C478&gt;=17,", "&amp;$A478&amp;"-"&amp;TEXT(($D478-$C478+1)+16,"00"),"")&amp;IF($C478&gt;=18,", "&amp;$A478&amp;"-"&amp;TEXT(($D478-$C478+1)+17,"00"),"")&amp;IF($C478&gt;=19,", "&amp;$A478&amp;"-"&amp;TEXT(($D478-$C478+1)+18,"00"),"")&amp;IF($C478&gt;=20,", "&amp;$A478&amp;"-"&amp;TEXT(($D478-$C478+1)+19,"00"),"")&amp;IF($C478&gt;=21,", "&amp;$A478&amp;"-"&amp;TEXT(($D478-$C478+1)+20,"00"),"")&amp;IF($C478&gt;=22,", "&amp;$A478&amp;"-"&amp;TEXT(($D478-$C478+1)+21,"00"),"")&amp;IF($C478&gt;=23,", "&amp;$A478&amp;"-"&amp;TEXT(($D478-$C478+1)+22,"00"),"")&amp;IF($C478&gt;=24,", "&amp;$A478&amp;"-"&amp;TEXT(($D478-$C478+1)+23,"00"),"")&amp;IF($C478&gt;=25,", "&amp;$A478&amp;"-"&amp;TEXT(($D478-$C478+1)+24,"00"),""))</f>
        <v/>
      </c>
      <c r="G478">
        <f>IF($A478="","",IF($E478=1,$F478,IF($F478="",$G477,IF($G477="",$F478,$G477&amp;", "&amp;$F478))))</f>
        <v/>
      </c>
      <c r="H478">
        <f>IF($A478="","",$A478&amp;" ("&amp;$C478&amp;")")</f>
        <v/>
      </c>
      <c r="I478">
        <f>IF($A478="","",IF($E478=1,$H478,$I477&amp;", "&amp;$H478))</f>
        <v/>
      </c>
      <c r="J478">
        <f>IF($A478="","",IF($E478=1,$B478,""))</f>
        <v/>
      </c>
      <c r="K478">
        <f>IF($A478="","",IF(COUNTIF($B$2:$B478,$B478)=COUNTIF($B$2:$B$1601,$B478),$B478,""))</f>
        <v/>
      </c>
    </row>
    <row r="479">
      <c r="A479">
        <f>IF('TMP Paste'!$E479="","",'TMP Paste'!$E479)</f>
        <v/>
      </c>
      <c r="B479">
        <f>IF($A479="","",COUNTIF('TMP Paste'!$B$2:$B479,"?*"))</f>
        <v/>
      </c>
      <c r="C479">
        <f>IF($A479="","",IFERROR('TMP Paste'!$M479*1,0))</f>
        <v/>
      </c>
      <c r="D479">
        <f>IF($A479="","",SUMIF($B$2:$B479,$B479,$C$2:$C479))</f>
        <v/>
      </c>
      <c r="E479">
        <f>IF($A479="",0,IF('TMP Paste'!$B479="",0,1))</f>
        <v/>
      </c>
      <c r="F479">
        <f>IF(OR($A479="",$C479&lt;1),"",$A479&amp;"-"&amp;TEXT(($D479-$C479+1),"00")&amp;IF($C479&gt;=2,", "&amp;$A479&amp;"-"&amp;TEXT(($D479-$C479+1)+1,"00"),"")&amp;IF($C479&gt;=3,", "&amp;$A479&amp;"-"&amp;TEXT(($D479-$C479+1)+2,"00"),"")&amp;IF($C479&gt;=4,", "&amp;$A479&amp;"-"&amp;TEXT(($D479-$C479+1)+3,"00"),"")&amp;IF($C479&gt;=5,", "&amp;$A479&amp;"-"&amp;TEXT(($D479-$C479+1)+4,"00"),"")&amp;IF($C479&gt;=6,", "&amp;$A479&amp;"-"&amp;TEXT(($D479-$C479+1)+5,"00"),"")&amp;IF($C479&gt;=7,", "&amp;$A479&amp;"-"&amp;TEXT(($D479-$C479+1)+6,"00"),"")&amp;IF($C479&gt;=8,", "&amp;$A479&amp;"-"&amp;TEXT(($D479-$C479+1)+7,"00"),"")&amp;IF($C479&gt;=9,", "&amp;$A479&amp;"-"&amp;TEXT(($D479-$C479+1)+8,"00"),"")&amp;IF($C479&gt;=10,", "&amp;$A479&amp;"-"&amp;TEXT(($D479-$C479+1)+9,"00"),"")&amp;IF($C479&gt;=11,", "&amp;$A479&amp;"-"&amp;TEXT(($D479-$C479+1)+10,"00"),"")&amp;IF($C479&gt;=12,", "&amp;$A479&amp;"-"&amp;TEXT(($D479-$C479+1)+11,"00"),"")&amp;IF($C479&gt;=13,", "&amp;$A479&amp;"-"&amp;TEXT(($D479-$C479+1)+12,"00"),"")&amp;IF($C479&gt;=14,", "&amp;$A479&amp;"-"&amp;TEXT(($D479-$C479+1)+13,"00"),"")&amp;IF($C479&gt;=15,", "&amp;$A479&amp;"-"&amp;TEXT(($D479-$C479+1)+14,"00"),"")&amp;IF($C479&gt;=16,", "&amp;$A479&amp;"-"&amp;TEXT(($D479-$C479+1)+15,"00"),"")&amp;IF($C479&gt;=17,", "&amp;$A479&amp;"-"&amp;TEXT(($D479-$C479+1)+16,"00"),"")&amp;IF($C479&gt;=18,", "&amp;$A479&amp;"-"&amp;TEXT(($D479-$C479+1)+17,"00"),"")&amp;IF($C479&gt;=19,", "&amp;$A479&amp;"-"&amp;TEXT(($D479-$C479+1)+18,"00"),"")&amp;IF($C479&gt;=20,", "&amp;$A479&amp;"-"&amp;TEXT(($D479-$C479+1)+19,"00"),"")&amp;IF($C479&gt;=21,", "&amp;$A479&amp;"-"&amp;TEXT(($D479-$C479+1)+20,"00"),"")&amp;IF($C479&gt;=22,", "&amp;$A479&amp;"-"&amp;TEXT(($D479-$C479+1)+21,"00"),"")&amp;IF($C479&gt;=23,", "&amp;$A479&amp;"-"&amp;TEXT(($D479-$C479+1)+22,"00"),"")&amp;IF($C479&gt;=24,", "&amp;$A479&amp;"-"&amp;TEXT(($D479-$C479+1)+23,"00"),"")&amp;IF($C479&gt;=25,", "&amp;$A479&amp;"-"&amp;TEXT(($D479-$C479+1)+24,"00"),""))</f>
        <v/>
      </c>
      <c r="G479">
        <f>IF($A479="","",IF($E479=1,$F479,IF($F479="",$G478,IF($G478="",$F479,$G478&amp;", "&amp;$F479))))</f>
        <v/>
      </c>
      <c r="H479">
        <f>IF($A479="","",$A479&amp;" ("&amp;$C479&amp;")")</f>
        <v/>
      </c>
      <c r="I479">
        <f>IF($A479="","",IF($E479=1,$H479,$I478&amp;", "&amp;$H479))</f>
        <v/>
      </c>
      <c r="J479">
        <f>IF($A479="","",IF($E479=1,$B479,""))</f>
        <v/>
      </c>
      <c r="K479">
        <f>IF($A479="","",IF(COUNTIF($B$2:$B479,$B479)=COUNTIF($B$2:$B$1601,$B479),$B479,""))</f>
        <v/>
      </c>
    </row>
    <row r="480">
      <c r="A480">
        <f>IF('TMP Paste'!$E480="","",'TMP Paste'!$E480)</f>
        <v/>
      </c>
      <c r="B480">
        <f>IF($A480="","",COUNTIF('TMP Paste'!$B$2:$B480,"?*"))</f>
        <v/>
      </c>
      <c r="C480">
        <f>IF($A480="","",IFERROR('TMP Paste'!$M480*1,0))</f>
        <v/>
      </c>
      <c r="D480">
        <f>IF($A480="","",SUMIF($B$2:$B480,$B480,$C$2:$C480))</f>
        <v/>
      </c>
      <c r="E480">
        <f>IF($A480="",0,IF('TMP Paste'!$B480="",0,1))</f>
        <v/>
      </c>
      <c r="F480">
        <f>IF(OR($A480="",$C480&lt;1),"",$A480&amp;"-"&amp;TEXT(($D480-$C480+1),"00")&amp;IF($C480&gt;=2,", "&amp;$A480&amp;"-"&amp;TEXT(($D480-$C480+1)+1,"00"),"")&amp;IF($C480&gt;=3,", "&amp;$A480&amp;"-"&amp;TEXT(($D480-$C480+1)+2,"00"),"")&amp;IF($C480&gt;=4,", "&amp;$A480&amp;"-"&amp;TEXT(($D480-$C480+1)+3,"00"),"")&amp;IF($C480&gt;=5,", "&amp;$A480&amp;"-"&amp;TEXT(($D480-$C480+1)+4,"00"),"")&amp;IF($C480&gt;=6,", "&amp;$A480&amp;"-"&amp;TEXT(($D480-$C480+1)+5,"00"),"")&amp;IF($C480&gt;=7,", "&amp;$A480&amp;"-"&amp;TEXT(($D480-$C480+1)+6,"00"),"")&amp;IF($C480&gt;=8,", "&amp;$A480&amp;"-"&amp;TEXT(($D480-$C480+1)+7,"00"),"")&amp;IF($C480&gt;=9,", "&amp;$A480&amp;"-"&amp;TEXT(($D480-$C480+1)+8,"00"),"")&amp;IF($C480&gt;=10,", "&amp;$A480&amp;"-"&amp;TEXT(($D480-$C480+1)+9,"00"),"")&amp;IF($C480&gt;=11,", "&amp;$A480&amp;"-"&amp;TEXT(($D480-$C480+1)+10,"00"),"")&amp;IF($C480&gt;=12,", "&amp;$A480&amp;"-"&amp;TEXT(($D480-$C480+1)+11,"00"),"")&amp;IF($C480&gt;=13,", "&amp;$A480&amp;"-"&amp;TEXT(($D480-$C480+1)+12,"00"),"")&amp;IF($C480&gt;=14,", "&amp;$A480&amp;"-"&amp;TEXT(($D480-$C480+1)+13,"00"),"")&amp;IF($C480&gt;=15,", "&amp;$A480&amp;"-"&amp;TEXT(($D480-$C480+1)+14,"00"),"")&amp;IF($C480&gt;=16,", "&amp;$A480&amp;"-"&amp;TEXT(($D480-$C480+1)+15,"00"),"")&amp;IF($C480&gt;=17,", "&amp;$A480&amp;"-"&amp;TEXT(($D480-$C480+1)+16,"00"),"")&amp;IF($C480&gt;=18,", "&amp;$A480&amp;"-"&amp;TEXT(($D480-$C480+1)+17,"00"),"")&amp;IF($C480&gt;=19,", "&amp;$A480&amp;"-"&amp;TEXT(($D480-$C480+1)+18,"00"),"")&amp;IF($C480&gt;=20,", "&amp;$A480&amp;"-"&amp;TEXT(($D480-$C480+1)+19,"00"),"")&amp;IF($C480&gt;=21,", "&amp;$A480&amp;"-"&amp;TEXT(($D480-$C480+1)+20,"00"),"")&amp;IF($C480&gt;=22,", "&amp;$A480&amp;"-"&amp;TEXT(($D480-$C480+1)+21,"00"),"")&amp;IF($C480&gt;=23,", "&amp;$A480&amp;"-"&amp;TEXT(($D480-$C480+1)+22,"00"),"")&amp;IF($C480&gt;=24,", "&amp;$A480&amp;"-"&amp;TEXT(($D480-$C480+1)+23,"00"),"")&amp;IF($C480&gt;=25,", "&amp;$A480&amp;"-"&amp;TEXT(($D480-$C480+1)+24,"00"),""))</f>
        <v/>
      </c>
      <c r="G480">
        <f>IF($A480="","",IF($E480=1,$F480,IF($F480="",$G479,IF($G479="",$F480,$G479&amp;", "&amp;$F480))))</f>
        <v/>
      </c>
      <c r="H480">
        <f>IF($A480="","",$A480&amp;" ("&amp;$C480&amp;")")</f>
        <v/>
      </c>
      <c r="I480">
        <f>IF($A480="","",IF($E480=1,$H480,$I479&amp;", "&amp;$H480))</f>
        <v/>
      </c>
      <c r="J480">
        <f>IF($A480="","",IF($E480=1,$B480,""))</f>
        <v/>
      </c>
      <c r="K480">
        <f>IF($A480="","",IF(COUNTIF($B$2:$B480,$B480)=COUNTIF($B$2:$B$1601,$B480),$B480,""))</f>
        <v/>
      </c>
    </row>
    <row r="481">
      <c r="A481">
        <f>IF('TMP Paste'!$E481="","",'TMP Paste'!$E481)</f>
        <v/>
      </c>
      <c r="B481">
        <f>IF($A481="","",COUNTIF('TMP Paste'!$B$2:$B481,"?*"))</f>
        <v/>
      </c>
      <c r="C481">
        <f>IF($A481="","",IFERROR('TMP Paste'!$M481*1,0))</f>
        <v/>
      </c>
      <c r="D481">
        <f>IF($A481="","",SUMIF($B$2:$B481,$B481,$C$2:$C481))</f>
        <v/>
      </c>
      <c r="E481">
        <f>IF($A481="",0,IF('TMP Paste'!$B481="",0,1))</f>
        <v/>
      </c>
      <c r="F481">
        <f>IF(OR($A481="",$C481&lt;1),"",$A481&amp;"-"&amp;TEXT(($D481-$C481+1),"00")&amp;IF($C481&gt;=2,", "&amp;$A481&amp;"-"&amp;TEXT(($D481-$C481+1)+1,"00"),"")&amp;IF($C481&gt;=3,", "&amp;$A481&amp;"-"&amp;TEXT(($D481-$C481+1)+2,"00"),"")&amp;IF($C481&gt;=4,", "&amp;$A481&amp;"-"&amp;TEXT(($D481-$C481+1)+3,"00"),"")&amp;IF($C481&gt;=5,", "&amp;$A481&amp;"-"&amp;TEXT(($D481-$C481+1)+4,"00"),"")&amp;IF($C481&gt;=6,", "&amp;$A481&amp;"-"&amp;TEXT(($D481-$C481+1)+5,"00"),"")&amp;IF($C481&gt;=7,", "&amp;$A481&amp;"-"&amp;TEXT(($D481-$C481+1)+6,"00"),"")&amp;IF($C481&gt;=8,", "&amp;$A481&amp;"-"&amp;TEXT(($D481-$C481+1)+7,"00"),"")&amp;IF($C481&gt;=9,", "&amp;$A481&amp;"-"&amp;TEXT(($D481-$C481+1)+8,"00"),"")&amp;IF($C481&gt;=10,", "&amp;$A481&amp;"-"&amp;TEXT(($D481-$C481+1)+9,"00"),"")&amp;IF($C481&gt;=11,", "&amp;$A481&amp;"-"&amp;TEXT(($D481-$C481+1)+10,"00"),"")&amp;IF($C481&gt;=12,", "&amp;$A481&amp;"-"&amp;TEXT(($D481-$C481+1)+11,"00"),"")&amp;IF($C481&gt;=13,", "&amp;$A481&amp;"-"&amp;TEXT(($D481-$C481+1)+12,"00"),"")&amp;IF($C481&gt;=14,", "&amp;$A481&amp;"-"&amp;TEXT(($D481-$C481+1)+13,"00"),"")&amp;IF($C481&gt;=15,", "&amp;$A481&amp;"-"&amp;TEXT(($D481-$C481+1)+14,"00"),"")&amp;IF($C481&gt;=16,", "&amp;$A481&amp;"-"&amp;TEXT(($D481-$C481+1)+15,"00"),"")&amp;IF($C481&gt;=17,", "&amp;$A481&amp;"-"&amp;TEXT(($D481-$C481+1)+16,"00"),"")&amp;IF($C481&gt;=18,", "&amp;$A481&amp;"-"&amp;TEXT(($D481-$C481+1)+17,"00"),"")&amp;IF($C481&gt;=19,", "&amp;$A481&amp;"-"&amp;TEXT(($D481-$C481+1)+18,"00"),"")&amp;IF($C481&gt;=20,", "&amp;$A481&amp;"-"&amp;TEXT(($D481-$C481+1)+19,"00"),"")&amp;IF($C481&gt;=21,", "&amp;$A481&amp;"-"&amp;TEXT(($D481-$C481+1)+20,"00"),"")&amp;IF($C481&gt;=22,", "&amp;$A481&amp;"-"&amp;TEXT(($D481-$C481+1)+21,"00"),"")&amp;IF($C481&gt;=23,", "&amp;$A481&amp;"-"&amp;TEXT(($D481-$C481+1)+22,"00"),"")&amp;IF($C481&gt;=24,", "&amp;$A481&amp;"-"&amp;TEXT(($D481-$C481+1)+23,"00"),"")&amp;IF($C481&gt;=25,", "&amp;$A481&amp;"-"&amp;TEXT(($D481-$C481+1)+24,"00"),""))</f>
        <v/>
      </c>
      <c r="G481">
        <f>IF($A481="","",IF($E481=1,$F481,IF($F481="",$G480,IF($G480="",$F481,$G480&amp;", "&amp;$F481))))</f>
        <v/>
      </c>
      <c r="H481">
        <f>IF($A481="","",$A481&amp;" ("&amp;$C481&amp;")")</f>
        <v/>
      </c>
      <c r="I481">
        <f>IF($A481="","",IF($E481=1,$H481,$I480&amp;", "&amp;$H481))</f>
        <v/>
      </c>
      <c r="J481">
        <f>IF($A481="","",IF($E481=1,$B481,""))</f>
        <v/>
      </c>
      <c r="K481">
        <f>IF($A481="","",IF(COUNTIF($B$2:$B481,$B481)=COUNTIF($B$2:$B$1601,$B481),$B481,""))</f>
        <v/>
      </c>
    </row>
    <row r="482">
      <c r="A482">
        <f>IF('TMP Paste'!$E482="","",'TMP Paste'!$E482)</f>
        <v/>
      </c>
      <c r="B482">
        <f>IF($A482="","",COUNTIF('TMP Paste'!$B$2:$B482,"?*"))</f>
        <v/>
      </c>
      <c r="C482">
        <f>IF($A482="","",IFERROR('TMP Paste'!$M482*1,0))</f>
        <v/>
      </c>
      <c r="D482">
        <f>IF($A482="","",SUMIF($B$2:$B482,$B482,$C$2:$C482))</f>
        <v/>
      </c>
      <c r="E482">
        <f>IF($A482="",0,IF('TMP Paste'!$B482="",0,1))</f>
        <v/>
      </c>
      <c r="F482">
        <f>IF(OR($A482="",$C482&lt;1),"",$A482&amp;"-"&amp;TEXT(($D482-$C482+1),"00")&amp;IF($C482&gt;=2,", "&amp;$A482&amp;"-"&amp;TEXT(($D482-$C482+1)+1,"00"),"")&amp;IF($C482&gt;=3,", "&amp;$A482&amp;"-"&amp;TEXT(($D482-$C482+1)+2,"00"),"")&amp;IF($C482&gt;=4,", "&amp;$A482&amp;"-"&amp;TEXT(($D482-$C482+1)+3,"00"),"")&amp;IF($C482&gt;=5,", "&amp;$A482&amp;"-"&amp;TEXT(($D482-$C482+1)+4,"00"),"")&amp;IF($C482&gt;=6,", "&amp;$A482&amp;"-"&amp;TEXT(($D482-$C482+1)+5,"00"),"")&amp;IF($C482&gt;=7,", "&amp;$A482&amp;"-"&amp;TEXT(($D482-$C482+1)+6,"00"),"")&amp;IF($C482&gt;=8,", "&amp;$A482&amp;"-"&amp;TEXT(($D482-$C482+1)+7,"00"),"")&amp;IF($C482&gt;=9,", "&amp;$A482&amp;"-"&amp;TEXT(($D482-$C482+1)+8,"00"),"")&amp;IF($C482&gt;=10,", "&amp;$A482&amp;"-"&amp;TEXT(($D482-$C482+1)+9,"00"),"")&amp;IF($C482&gt;=11,", "&amp;$A482&amp;"-"&amp;TEXT(($D482-$C482+1)+10,"00"),"")&amp;IF($C482&gt;=12,", "&amp;$A482&amp;"-"&amp;TEXT(($D482-$C482+1)+11,"00"),"")&amp;IF($C482&gt;=13,", "&amp;$A482&amp;"-"&amp;TEXT(($D482-$C482+1)+12,"00"),"")&amp;IF($C482&gt;=14,", "&amp;$A482&amp;"-"&amp;TEXT(($D482-$C482+1)+13,"00"),"")&amp;IF($C482&gt;=15,", "&amp;$A482&amp;"-"&amp;TEXT(($D482-$C482+1)+14,"00"),"")&amp;IF($C482&gt;=16,", "&amp;$A482&amp;"-"&amp;TEXT(($D482-$C482+1)+15,"00"),"")&amp;IF($C482&gt;=17,", "&amp;$A482&amp;"-"&amp;TEXT(($D482-$C482+1)+16,"00"),"")&amp;IF($C482&gt;=18,", "&amp;$A482&amp;"-"&amp;TEXT(($D482-$C482+1)+17,"00"),"")&amp;IF($C482&gt;=19,", "&amp;$A482&amp;"-"&amp;TEXT(($D482-$C482+1)+18,"00"),"")&amp;IF($C482&gt;=20,", "&amp;$A482&amp;"-"&amp;TEXT(($D482-$C482+1)+19,"00"),"")&amp;IF($C482&gt;=21,", "&amp;$A482&amp;"-"&amp;TEXT(($D482-$C482+1)+20,"00"),"")&amp;IF($C482&gt;=22,", "&amp;$A482&amp;"-"&amp;TEXT(($D482-$C482+1)+21,"00"),"")&amp;IF($C482&gt;=23,", "&amp;$A482&amp;"-"&amp;TEXT(($D482-$C482+1)+22,"00"),"")&amp;IF($C482&gt;=24,", "&amp;$A482&amp;"-"&amp;TEXT(($D482-$C482+1)+23,"00"),"")&amp;IF($C482&gt;=25,", "&amp;$A482&amp;"-"&amp;TEXT(($D482-$C482+1)+24,"00"),""))</f>
        <v/>
      </c>
      <c r="G482">
        <f>IF($A482="","",IF($E482=1,$F482,IF($F482="",$G481,IF($G481="",$F482,$G481&amp;", "&amp;$F482))))</f>
        <v/>
      </c>
      <c r="H482">
        <f>IF($A482="","",$A482&amp;" ("&amp;$C482&amp;")")</f>
        <v/>
      </c>
      <c r="I482">
        <f>IF($A482="","",IF($E482=1,$H482,$I481&amp;", "&amp;$H482))</f>
        <v/>
      </c>
      <c r="J482">
        <f>IF($A482="","",IF($E482=1,$B482,""))</f>
        <v/>
      </c>
      <c r="K482">
        <f>IF($A482="","",IF(COUNTIF($B$2:$B482,$B482)=COUNTIF($B$2:$B$1601,$B482),$B482,""))</f>
        <v/>
      </c>
    </row>
    <row r="483">
      <c r="A483">
        <f>IF('TMP Paste'!$E483="","",'TMP Paste'!$E483)</f>
        <v/>
      </c>
      <c r="B483">
        <f>IF($A483="","",COUNTIF('TMP Paste'!$B$2:$B483,"?*"))</f>
        <v/>
      </c>
      <c r="C483">
        <f>IF($A483="","",IFERROR('TMP Paste'!$M483*1,0))</f>
        <v/>
      </c>
      <c r="D483">
        <f>IF($A483="","",SUMIF($B$2:$B483,$B483,$C$2:$C483))</f>
        <v/>
      </c>
      <c r="E483">
        <f>IF($A483="",0,IF('TMP Paste'!$B483="",0,1))</f>
        <v/>
      </c>
      <c r="F483">
        <f>IF(OR($A483="",$C483&lt;1),"",$A483&amp;"-"&amp;TEXT(($D483-$C483+1),"00")&amp;IF($C483&gt;=2,", "&amp;$A483&amp;"-"&amp;TEXT(($D483-$C483+1)+1,"00"),"")&amp;IF($C483&gt;=3,", "&amp;$A483&amp;"-"&amp;TEXT(($D483-$C483+1)+2,"00"),"")&amp;IF($C483&gt;=4,", "&amp;$A483&amp;"-"&amp;TEXT(($D483-$C483+1)+3,"00"),"")&amp;IF($C483&gt;=5,", "&amp;$A483&amp;"-"&amp;TEXT(($D483-$C483+1)+4,"00"),"")&amp;IF($C483&gt;=6,", "&amp;$A483&amp;"-"&amp;TEXT(($D483-$C483+1)+5,"00"),"")&amp;IF($C483&gt;=7,", "&amp;$A483&amp;"-"&amp;TEXT(($D483-$C483+1)+6,"00"),"")&amp;IF($C483&gt;=8,", "&amp;$A483&amp;"-"&amp;TEXT(($D483-$C483+1)+7,"00"),"")&amp;IF($C483&gt;=9,", "&amp;$A483&amp;"-"&amp;TEXT(($D483-$C483+1)+8,"00"),"")&amp;IF($C483&gt;=10,", "&amp;$A483&amp;"-"&amp;TEXT(($D483-$C483+1)+9,"00"),"")&amp;IF($C483&gt;=11,", "&amp;$A483&amp;"-"&amp;TEXT(($D483-$C483+1)+10,"00"),"")&amp;IF($C483&gt;=12,", "&amp;$A483&amp;"-"&amp;TEXT(($D483-$C483+1)+11,"00"),"")&amp;IF($C483&gt;=13,", "&amp;$A483&amp;"-"&amp;TEXT(($D483-$C483+1)+12,"00"),"")&amp;IF($C483&gt;=14,", "&amp;$A483&amp;"-"&amp;TEXT(($D483-$C483+1)+13,"00"),"")&amp;IF($C483&gt;=15,", "&amp;$A483&amp;"-"&amp;TEXT(($D483-$C483+1)+14,"00"),"")&amp;IF($C483&gt;=16,", "&amp;$A483&amp;"-"&amp;TEXT(($D483-$C483+1)+15,"00"),"")&amp;IF($C483&gt;=17,", "&amp;$A483&amp;"-"&amp;TEXT(($D483-$C483+1)+16,"00"),"")&amp;IF($C483&gt;=18,", "&amp;$A483&amp;"-"&amp;TEXT(($D483-$C483+1)+17,"00"),"")&amp;IF($C483&gt;=19,", "&amp;$A483&amp;"-"&amp;TEXT(($D483-$C483+1)+18,"00"),"")&amp;IF($C483&gt;=20,", "&amp;$A483&amp;"-"&amp;TEXT(($D483-$C483+1)+19,"00"),"")&amp;IF($C483&gt;=21,", "&amp;$A483&amp;"-"&amp;TEXT(($D483-$C483+1)+20,"00"),"")&amp;IF($C483&gt;=22,", "&amp;$A483&amp;"-"&amp;TEXT(($D483-$C483+1)+21,"00"),"")&amp;IF($C483&gt;=23,", "&amp;$A483&amp;"-"&amp;TEXT(($D483-$C483+1)+22,"00"),"")&amp;IF($C483&gt;=24,", "&amp;$A483&amp;"-"&amp;TEXT(($D483-$C483+1)+23,"00"),"")&amp;IF($C483&gt;=25,", "&amp;$A483&amp;"-"&amp;TEXT(($D483-$C483+1)+24,"00"),""))</f>
        <v/>
      </c>
      <c r="G483">
        <f>IF($A483="","",IF($E483=1,$F483,IF($F483="",$G482,IF($G482="",$F483,$G482&amp;", "&amp;$F483))))</f>
        <v/>
      </c>
      <c r="H483">
        <f>IF($A483="","",$A483&amp;" ("&amp;$C483&amp;")")</f>
        <v/>
      </c>
      <c r="I483">
        <f>IF($A483="","",IF($E483=1,$H483,$I482&amp;", "&amp;$H483))</f>
        <v/>
      </c>
      <c r="J483">
        <f>IF($A483="","",IF($E483=1,$B483,""))</f>
        <v/>
      </c>
      <c r="K483">
        <f>IF($A483="","",IF(COUNTIF($B$2:$B483,$B483)=COUNTIF($B$2:$B$1601,$B483),$B483,""))</f>
        <v/>
      </c>
    </row>
    <row r="484">
      <c r="A484">
        <f>IF('TMP Paste'!$E484="","",'TMP Paste'!$E484)</f>
        <v/>
      </c>
      <c r="B484">
        <f>IF($A484="","",COUNTIF('TMP Paste'!$B$2:$B484,"?*"))</f>
        <v/>
      </c>
      <c r="C484">
        <f>IF($A484="","",IFERROR('TMP Paste'!$M484*1,0))</f>
        <v/>
      </c>
      <c r="D484">
        <f>IF($A484="","",SUMIF($B$2:$B484,$B484,$C$2:$C484))</f>
        <v/>
      </c>
      <c r="E484">
        <f>IF($A484="",0,IF('TMP Paste'!$B484="",0,1))</f>
        <v/>
      </c>
      <c r="F484">
        <f>IF(OR($A484="",$C484&lt;1),"",$A484&amp;"-"&amp;TEXT(($D484-$C484+1),"00")&amp;IF($C484&gt;=2,", "&amp;$A484&amp;"-"&amp;TEXT(($D484-$C484+1)+1,"00"),"")&amp;IF($C484&gt;=3,", "&amp;$A484&amp;"-"&amp;TEXT(($D484-$C484+1)+2,"00"),"")&amp;IF($C484&gt;=4,", "&amp;$A484&amp;"-"&amp;TEXT(($D484-$C484+1)+3,"00"),"")&amp;IF($C484&gt;=5,", "&amp;$A484&amp;"-"&amp;TEXT(($D484-$C484+1)+4,"00"),"")&amp;IF($C484&gt;=6,", "&amp;$A484&amp;"-"&amp;TEXT(($D484-$C484+1)+5,"00"),"")&amp;IF($C484&gt;=7,", "&amp;$A484&amp;"-"&amp;TEXT(($D484-$C484+1)+6,"00"),"")&amp;IF($C484&gt;=8,", "&amp;$A484&amp;"-"&amp;TEXT(($D484-$C484+1)+7,"00"),"")&amp;IF($C484&gt;=9,", "&amp;$A484&amp;"-"&amp;TEXT(($D484-$C484+1)+8,"00"),"")&amp;IF($C484&gt;=10,", "&amp;$A484&amp;"-"&amp;TEXT(($D484-$C484+1)+9,"00"),"")&amp;IF($C484&gt;=11,", "&amp;$A484&amp;"-"&amp;TEXT(($D484-$C484+1)+10,"00"),"")&amp;IF($C484&gt;=12,", "&amp;$A484&amp;"-"&amp;TEXT(($D484-$C484+1)+11,"00"),"")&amp;IF($C484&gt;=13,", "&amp;$A484&amp;"-"&amp;TEXT(($D484-$C484+1)+12,"00"),"")&amp;IF($C484&gt;=14,", "&amp;$A484&amp;"-"&amp;TEXT(($D484-$C484+1)+13,"00"),"")&amp;IF($C484&gt;=15,", "&amp;$A484&amp;"-"&amp;TEXT(($D484-$C484+1)+14,"00"),"")&amp;IF($C484&gt;=16,", "&amp;$A484&amp;"-"&amp;TEXT(($D484-$C484+1)+15,"00"),"")&amp;IF($C484&gt;=17,", "&amp;$A484&amp;"-"&amp;TEXT(($D484-$C484+1)+16,"00"),"")&amp;IF($C484&gt;=18,", "&amp;$A484&amp;"-"&amp;TEXT(($D484-$C484+1)+17,"00"),"")&amp;IF($C484&gt;=19,", "&amp;$A484&amp;"-"&amp;TEXT(($D484-$C484+1)+18,"00"),"")&amp;IF($C484&gt;=20,", "&amp;$A484&amp;"-"&amp;TEXT(($D484-$C484+1)+19,"00"),"")&amp;IF($C484&gt;=21,", "&amp;$A484&amp;"-"&amp;TEXT(($D484-$C484+1)+20,"00"),"")&amp;IF($C484&gt;=22,", "&amp;$A484&amp;"-"&amp;TEXT(($D484-$C484+1)+21,"00"),"")&amp;IF($C484&gt;=23,", "&amp;$A484&amp;"-"&amp;TEXT(($D484-$C484+1)+22,"00"),"")&amp;IF($C484&gt;=24,", "&amp;$A484&amp;"-"&amp;TEXT(($D484-$C484+1)+23,"00"),"")&amp;IF($C484&gt;=25,", "&amp;$A484&amp;"-"&amp;TEXT(($D484-$C484+1)+24,"00"),""))</f>
        <v/>
      </c>
      <c r="G484">
        <f>IF($A484="","",IF($E484=1,$F484,IF($F484="",$G483,IF($G483="",$F484,$G483&amp;", "&amp;$F484))))</f>
        <v/>
      </c>
      <c r="H484">
        <f>IF($A484="","",$A484&amp;" ("&amp;$C484&amp;")")</f>
        <v/>
      </c>
      <c r="I484">
        <f>IF($A484="","",IF($E484=1,$H484,$I483&amp;", "&amp;$H484))</f>
        <v/>
      </c>
      <c r="J484">
        <f>IF($A484="","",IF($E484=1,$B484,""))</f>
        <v/>
      </c>
      <c r="K484">
        <f>IF($A484="","",IF(COUNTIF($B$2:$B484,$B484)=COUNTIF($B$2:$B$1601,$B484),$B484,""))</f>
        <v/>
      </c>
    </row>
    <row r="485">
      <c r="A485">
        <f>IF('TMP Paste'!$E485="","",'TMP Paste'!$E485)</f>
        <v/>
      </c>
      <c r="B485">
        <f>IF($A485="","",COUNTIF('TMP Paste'!$B$2:$B485,"?*"))</f>
        <v/>
      </c>
      <c r="C485">
        <f>IF($A485="","",IFERROR('TMP Paste'!$M485*1,0))</f>
        <v/>
      </c>
      <c r="D485">
        <f>IF($A485="","",SUMIF($B$2:$B485,$B485,$C$2:$C485))</f>
        <v/>
      </c>
      <c r="E485">
        <f>IF($A485="",0,IF('TMP Paste'!$B485="",0,1))</f>
        <v/>
      </c>
      <c r="F485">
        <f>IF(OR($A485="",$C485&lt;1),"",$A485&amp;"-"&amp;TEXT(($D485-$C485+1),"00")&amp;IF($C485&gt;=2,", "&amp;$A485&amp;"-"&amp;TEXT(($D485-$C485+1)+1,"00"),"")&amp;IF($C485&gt;=3,", "&amp;$A485&amp;"-"&amp;TEXT(($D485-$C485+1)+2,"00"),"")&amp;IF($C485&gt;=4,", "&amp;$A485&amp;"-"&amp;TEXT(($D485-$C485+1)+3,"00"),"")&amp;IF($C485&gt;=5,", "&amp;$A485&amp;"-"&amp;TEXT(($D485-$C485+1)+4,"00"),"")&amp;IF($C485&gt;=6,", "&amp;$A485&amp;"-"&amp;TEXT(($D485-$C485+1)+5,"00"),"")&amp;IF($C485&gt;=7,", "&amp;$A485&amp;"-"&amp;TEXT(($D485-$C485+1)+6,"00"),"")&amp;IF($C485&gt;=8,", "&amp;$A485&amp;"-"&amp;TEXT(($D485-$C485+1)+7,"00"),"")&amp;IF($C485&gt;=9,", "&amp;$A485&amp;"-"&amp;TEXT(($D485-$C485+1)+8,"00"),"")&amp;IF($C485&gt;=10,", "&amp;$A485&amp;"-"&amp;TEXT(($D485-$C485+1)+9,"00"),"")&amp;IF($C485&gt;=11,", "&amp;$A485&amp;"-"&amp;TEXT(($D485-$C485+1)+10,"00"),"")&amp;IF($C485&gt;=12,", "&amp;$A485&amp;"-"&amp;TEXT(($D485-$C485+1)+11,"00"),"")&amp;IF($C485&gt;=13,", "&amp;$A485&amp;"-"&amp;TEXT(($D485-$C485+1)+12,"00"),"")&amp;IF($C485&gt;=14,", "&amp;$A485&amp;"-"&amp;TEXT(($D485-$C485+1)+13,"00"),"")&amp;IF($C485&gt;=15,", "&amp;$A485&amp;"-"&amp;TEXT(($D485-$C485+1)+14,"00"),"")&amp;IF($C485&gt;=16,", "&amp;$A485&amp;"-"&amp;TEXT(($D485-$C485+1)+15,"00"),"")&amp;IF($C485&gt;=17,", "&amp;$A485&amp;"-"&amp;TEXT(($D485-$C485+1)+16,"00"),"")&amp;IF($C485&gt;=18,", "&amp;$A485&amp;"-"&amp;TEXT(($D485-$C485+1)+17,"00"),"")&amp;IF($C485&gt;=19,", "&amp;$A485&amp;"-"&amp;TEXT(($D485-$C485+1)+18,"00"),"")&amp;IF($C485&gt;=20,", "&amp;$A485&amp;"-"&amp;TEXT(($D485-$C485+1)+19,"00"),"")&amp;IF($C485&gt;=21,", "&amp;$A485&amp;"-"&amp;TEXT(($D485-$C485+1)+20,"00"),"")&amp;IF($C485&gt;=22,", "&amp;$A485&amp;"-"&amp;TEXT(($D485-$C485+1)+21,"00"),"")&amp;IF($C485&gt;=23,", "&amp;$A485&amp;"-"&amp;TEXT(($D485-$C485+1)+22,"00"),"")&amp;IF($C485&gt;=24,", "&amp;$A485&amp;"-"&amp;TEXT(($D485-$C485+1)+23,"00"),"")&amp;IF($C485&gt;=25,", "&amp;$A485&amp;"-"&amp;TEXT(($D485-$C485+1)+24,"00"),""))</f>
        <v/>
      </c>
      <c r="G485">
        <f>IF($A485="","",IF($E485=1,$F485,IF($F485="",$G484,IF($G484="",$F485,$G484&amp;", "&amp;$F485))))</f>
        <v/>
      </c>
      <c r="H485">
        <f>IF($A485="","",$A485&amp;" ("&amp;$C485&amp;")")</f>
        <v/>
      </c>
      <c r="I485">
        <f>IF($A485="","",IF($E485=1,$H485,$I484&amp;", "&amp;$H485))</f>
        <v/>
      </c>
      <c r="J485">
        <f>IF($A485="","",IF($E485=1,$B485,""))</f>
        <v/>
      </c>
      <c r="K485">
        <f>IF($A485="","",IF(COUNTIF($B$2:$B485,$B485)=COUNTIF($B$2:$B$1601,$B485),$B485,""))</f>
        <v/>
      </c>
    </row>
    <row r="486">
      <c r="A486">
        <f>IF('TMP Paste'!$E486="","",'TMP Paste'!$E486)</f>
        <v/>
      </c>
      <c r="B486">
        <f>IF($A486="","",COUNTIF('TMP Paste'!$B$2:$B486,"?*"))</f>
        <v/>
      </c>
      <c r="C486">
        <f>IF($A486="","",IFERROR('TMP Paste'!$M486*1,0))</f>
        <v/>
      </c>
      <c r="D486">
        <f>IF($A486="","",SUMIF($B$2:$B486,$B486,$C$2:$C486))</f>
        <v/>
      </c>
      <c r="E486">
        <f>IF($A486="",0,IF('TMP Paste'!$B486="",0,1))</f>
        <v/>
      </c>
      <c r="F486">
        <f>IF(OR($A486="",$C486&lt;1),"",$A486&amp;"-"&amp;TEXT(($D486-$C486+1),"00")&amp;IF($C486&gt;=2,", "&amp;$A486&amp;"-"&amp;TEXT(($D486-$C486+1)+1,"00"),"")&amp;IF($C486&gt;=3,", "&amp;$A486&amp;"-"&amp;TEXT(($D486-$C486+1)+2,"00"),"")&amp;IF($C486&gt;=4,", "&amp;$A486&amp;"-"&amp;TEXT(($D486-$C486+1)+3,"00"),"")&amp;IF($C486&gt;=5,", "&amp;$A486&amp;"-"&amp;TEXT(($D486-$C486+1)+4,"00"),"")&amp;IF($C486&gt;=6,", "&amp;$A486&amp;"-"&amp;TEXT(($D486-$C486+1)+5,"00"),"")&amp;IF($C486&gt;=7,", "&amp;$A486&amp;"-"&amp;TEXT(($D486-$C486+1)+6,"00"),"")&amp;IF($C486&gt;=8,", "&amp;$A486&amp;"-"&amp;TEXT(($D486-$C486+1)+7,"00"),"")&amp;IF($C486&gt;=9,", "&amp;$A486&amp;"-"&amp;TEXT(($D486-$C486+1)+8,"00"),"")&amp;IF($C486&gt;=10,", "&amp;$A486&amp;"-"&amp;TEXT(($D486-$C486+1)+9,"00"),"")&amp;IF($C486&gt;=11,", "&amp;$A486&amp;"-"&amp;TEXT(($D486-$C486+1)+10,"00"),"")&amp;IF($C486&gt;=12,", "&amp;$A486&amp;"-"&amp;TEXT(($D486-$C486+1)+11,"00"),"")&amp;IF($C486&gt;=13,", "&amp;$A486&amp;"-"&amp;TEXT(($D486-$C486+1)+12,"00"),"")&amp;IF($C486&gt;=14,", "&amp;$A486&amp;"-"&amp;TEXT(($D486-$C486+1)+13,"00"),"")&amp;IF($C486&gt;=15,", "&amp;$A486&amp;"-"&amp;TEXT(($D486-$C486+1)+14,"00"),"")&amp;IF($C486&gt;=16,", "&amp;$A486&amp;"-"&amp;TEXT(($D486-$C486+1)+15,"00"),"")&amp;IF($C486&gt;=17,", "&amp;$A486&amp;"-"&amp;TEXT(($D486-$C486+1)+16,"00"),"")&amp;IF($C486&gt;=18,", "&amp;$A486&amp;"-"&amp;TEXT(($D486-$C486+1)+17,"00"),"")&amp;IF($C486&gt;=19,", "&amp;$A486&amp;"-"&amp;TEXT(($D486-$C486+1)+18,"00"),"")&amp;IF($C486&gt;=20,", "&amp;$A486&amp;"-"&amp;TEXT(($D486-$C486+1)+19,"00"),"")&amp;IF($C486&gt;=21,", "&amp;$A486&amp;"-"&amp;TEXT(($D486-$C486+1)+20,"00"),"")&amp;IF($C486&gt;=22,", "&amp;$A486&amp;"-"&amp;TEXT(($D486-$C486+1)+21,"00"),"")&amp;IF($C486&gt;=23,", "&amp;$A486&amp;"-"&amp;TEXT(($D486-$C486+1)+22,"00"),"")&amp;IF($C486&gt;=24,", "&amp;$A486&amp;"-"&amp;TEXT(($D486-$C486+1)+23,"00"),"")&amp;IF($C486&gt;=25,", "&amp;$A486&amp;"-"&amp;TEXT(($D486-$C486+1)+24,"00"),""))</f>
        <v/>
      </c>
      <c r="G486">
        <f>IF($A486="","",IF($E486=1,$F486,IF($F486="",$G485,IF($G485="",$F486,$G485&amp;", "&amp;$F486))))</f>
        <v/>
      </c>
      <c r="H486">
        <f>IF($A486="","",$A486&amp;" ("&amp;$C486&amp;")")</f>
        <v/>
      </c>
      <c r="I486">
        <f>IF($A486="","",IF($E486=1,$H486,$I485&amp;", "&amp;$H486))</f>
        <v/>
      </c>
      <c r="J486">
        <f>IF($A486="","",IF($E486=1,$B486,""))</f>
        <v/>
      </c>
      <c r="K486">
        <f>IF($A486="","",IF(COUNTIF($B$2:$B486,$B486)=COUNTIF($B$2:$B$1601,$B486),$B486,""))</f>
        <v/>
      </c>
    </row>
    <row r="487">
      <c r="A487">
        <f>IF('TMP Paste'!$E487="","",'TMP Paste'!$E487)</f>
        <v/>
      </c>
      <c r="B487">
        <f>IF($A487="","",COUNTIF('TMP Paste'!$B$2:$B487,"?*"))</f>
        <v/>
      </c>
      <c r="C487">
        <f>IF($A487="","",IFERROR('TMP Paste'!$M487*1,0))</f>
        <v/>
      </c>
      <c r="D487">
        <f>IF($A487="","",SUMIF($B$2:$B487,$B487,$C$2:$C487))</f>
        <v/>
      </c>
      <c r="E487">
        <f>IF($A487="",0,IF('TMP Paste'!$B487="",0,1))</f>
        <v/>
      </c>
      <c r="F487">
        <f>IF(OR($A487="",$C487&lt;1),"",$A487&amp;"-"&amp;TEXT(($D487-$C487+1),"00")&amp;IF($C487&gt;=2,", "&amp;$A487&amp;"-"&amp;TEXT(($D487-$C487+1)+1,"00"),"")&amp;IF($C487&gt;=3,", "&amp;$A487&amp;"-"&amp;TEXT(($D487-$C487+1)+2,"00"),"")&amp;IF($C487&gt;=4,", "&amp;$A487&amp;"-"&amp;TEXT(($D487-$C487+1)+3,"00"),"")&amp;IF($C487&gt;=5,", "&amp;$A487&amp;"-"&amp;TEXT(($D487-$C487+1)+4,"00"),"")&amp;IF($C487&gt;=6,", "&amp;$A487&amp;"-"&amp;TEXT(($D487-$C487+1)+5,"00"),"")&amp;IF($C487&gt;=7,", "&amp;$A487&amp;"-"&amp;TEXT(($D487-$C487+1)+6,"00"),"")&amp;IF($C487&gt;=8,", "&amp;$A487&amp;"-"&amp;TEXT(($D487-$C487+1)+7,"00"),"")&amp;IF($C487&gt;=9,", "&amp;$A487&amp;"-"&amp;TEXT(($D487-$C487+1)+8,"00"),"")&amp;IF($C487&gt;=10,", "&amp;$A487&amp;"-"&amp;TEXT(($D487-$C487+1)+9,"00"),"")&amp;IF($C487&gt;=11,", "&amp;$A487&amp;"-"&amp;TEXT(($D487-$C487+1)+10,"00"),"")&amp;IF($C487&gt;=12,", "&amp;$A487&amp;"-"&amp;TEXT(($D487-$C487+1)+11,"00"),"")&amp;IF($C487&gt;=13,", "&amp;$A487&amp;"-"&amp;TEXT(($D487-$C487+1)+12,"00"),"")&amp;IF($C487&gt;=14,", "&amp;$A487&amp;"-"&amp;TEXT(($D487-$C487+1)+13,"00"),"")&amp;IF($C487&gt;=15,", "&amp;$A487&amp;"-"&amp;TEXT(($D487-$C487+1)+14,"00"),"")&amp;IF($C487&gt;=16,", "&amp;$A487&amp;"-"&amp;TEXT(($D487-$C487+1)+15,"00"),"")&amp;IF($C487&gt;=17,", "&amp;$A487&amp;"-"&amp;TEXT(($D487-$C487+1)+16,"00"),"")&amp;IF($C487&gt;=18,", "&amp;$A487&amp;"-"&amp;TEXT(($D487-$C487+1)+17,"00"),"")&amp;IF($C487&gt;=19,", "&amp;$A487&amp;"-"&amp;TEXT(($D487-$C487+1)+18,"00"),"")&amp;IF($C487&gt;=20,", "&amp;$A487&amp;"-"&amp;TEXT(($D487-$C487+1)+19,"00"),"")&amp;IF($C487&gt;=21,", "&amp;$A487&amp;"-"&amp;TEXT(($D487-$C487+1)+20,"00"),"")&amp;IF($C487&gt;=22,", "&amp;$A487&amp;"-"&amp;TEXT(($D487-$C487+1)+21,"00"),"")&amp;IF($C487&gt;=23,", "&amp;$A487&amp;"-"&amp;TEXT(($D487-$C487+1)+22,"00"),"")&amp;IF($C487&gt;=24,", "&amp;$A487&amp;"-"&amp;TEXT(($D487-$C487+1)+23,"00"),"")&amp;IF($C487&gt;=25,", "&amp;$A487&amp;"-"&amp;TEXT(($D487-$C487+1)+24,"00"),""))</f>
        <v/>
      </c>
      <c r="G487">
        <f>IF($A487="","",IF($E487=1,$F487,IF($F487="",$G486,IF($G486="",$F487,$G486&amp;", "&amp;$F487))))</f>
        <v/>
      </c>
      <c r="H487">
        <f>IF($A487="","",$A487&amp;" ("&amp;$C487&amp;")")</f>
        <v/>
      </c>
      <c r="I487">
        <f>IF($A487="","",IF($E487=1,$H487,$I486&amp;", "&amp;$H487))</f>
        <v/>
      </c>
      <c r="J487">
        <f>IF($A487="","",IF($E487=1,$B487,""))</f>
        <v/>
      </c>
      <c r="K487">
        <f>IF($A487="","",IF(COUNTIF($B$2:$B487,$B487)=COUNTIF($B$2:$B$1601,$B487),$B487,""))</f>
        <v/>
      </c>
    </row>
    <row r="488">
      <c r="A488">
        <f>IF('TMP Paste'!$E488="","",'TMP Paste'!$E488)</f>
        <v/>
      </c>
      <c r="B488">
        <f>IF($A488="","",COUNTIF('TMP Paste'!$B$2:$B488,"?*"))</f>
        <v/>
      </c>
      <c r="C488">
        <f>IF($A488="","",IFERROR('TMP Paste'!$M488*1,0))</f>
        <v/>
      </c>
      <c r="D488">
        <f>IF($A488="","",SUMIF($B$2:$B488,$B488,$C$2:$C488))</f>
        <v/>
      </c>
      <c r="E488">
        <f>IF($A488="",0,IF('TMP Paste'!$B488="",0,1))</f>
        <v/>
      </c>
      <c r="F488">
        <f>IF(OR($A488="",$C488&lt;1),"",$A488&amp;"-"&amp;TEXT(($D488-$C488+1),"00")&amp;IF($C488&gt;=2,", "&amp;$A488&amp;"-"&amp;TEXT(($D488-$C488+1)+1,"00"),"")&amp;IF($C488&gt;=3,", "&amp;$A488&amp;"-"&amp;TEXT(($D488-$C488+1)+2,"00"),"")&amp;IF($C488&gt;=4,", "&amp;$A488&amp;"-"&amp;TEXT(($D488-$C488+1)+3,"00"),"")&amp;IF($C488&gt;=5,", "&amp;$A488&amp;"-"&amp;TEXT(($D488-$C488+1)+4,"00"),"")&amp;IF($C488&gt;=6,", "&amp;$A488&amp;"-"&amp;TEXT(($D488-$C488+1)+5,"00"),"")&amp;IF($C488&gt;=7,", "&amp;$A488&amp;"-"&amp;TEXT(($D488-$C488+1)+6,"00"),"")&amp;IF($C488&gt;=8,", "&amp;$A488&amp;"-"&amp;TEXT(($D488-$C488+1)+7,"00"),"")&amp;IF($C488&gt;=9,", "&amp;$A488&amp;"-"&amp;TEXT(($D488-$C488+1)+8,"00"),"")&amp;IF($C488&gt;=10,", "&amp;$A488&amp;"-"&amp;TEXT(($D488-$C488+1)+9,"00"),"")&amp;IF($C488&gt;=11,", "&amp;$A488&amp;"-"&amp;TEXT(($D488-$C488+1)+10,"00"),"")&amp;IF($C488&gt;=12,", "&amp;$A488&amp;"-"&amp;TEXT(($D488-$C488+1)+11,"00"),"")&amp;IF($C488&gt;=13,", "&amp;$A488&amp;"-"&amp;TEXT(($D488-$C488+1)+12,"00"),"")&amp;IF($C488&gt;=14,", "&amp;$A488&amp;"-"&amp;TEXT(($D488-$C488+1)+13,"00"),"")&amp;IF($C488&gt;=15,", "&amp;$A488&amp;"-"&amp;TEXT(($D488-$C488+1)+14,"00"),"")&amp;IF($C488&gt;=16,", "&amp;$A488&amp;"-"&amp;TEXT(($D488-$C488+1)+15,"00"),"")&amp;IF($C488&gt;=17,", "&amp;$A488&amp;"-"&amp;TEXT(($D488-$C488+1)+16,"00"),"")&amp;IF($C488&gt;=18,", "&amp;$A488&amp;"-"&amp;TEXT(($D488-$C488+1)+17,"00"),"")&amp;IF($C488&gt;=19,", "&amp;$A488&amp;"-"&amp;TEXT(($D488-$C488+1)+18,"00"),"")&amp;IF($C488&gt;=20,", "&amp;$A488&amp;"-"&amp;TEXT(($D488-$C488+1)+19,"00"),"")&amp;IF($C488&gt;=21,", "&amp;$A488&amp;"-"&amp;TEXT(($D488-$C488+1)+20,"00"),"")&amp;IF($C488&gt;=22,", "&amp;$A488&amp;"-"&amp;TEXT(($D488-$C488+1)+21,"00"),"")&amp;IF($C488&gt;=23,", "&amp;$A488&amp;"-"&amp;TEXT(($D488-$C488+1)+22,"00"),"")&amp;IF($C488&gt;=24,", "&amp;$A488&amp;"-"&amp;TEXT(($D488-$C488+1)+23,"00"),"")&amp;IF($C488&gt;=25,", "&amp;$A488&amp;"-"&amp;TEXT(($D488-$C488+1)+24,"00"),""))</f>
        <v/>
      </c>
      <c r="G488">
        <f>IF($A488="","",IF($E488=1,$F488,IF($F488="",$G487,IF($G487="",$F488,$G487&amp;", "&amp;$F488))))</f>
        <v/>
      </c>
      <c r="H488">
        <f>IF($A488="","",$A488&amp;" ("&amp;$C488&amp;")")</f>
        <v/>
      </c>
      <c r="I488">
        <f>IF($A488="","",IF($E488=1,$H488,$I487&amp;", "&amp;$H488))</f>
        <v/>
      </c>
      <c r="J488">
        <f>IF($A488="","",IF($E488=1,$B488,""))</f>
        <v/>
      </c>
      <c r="K488">
        <f>IF($A488="","",IF(COUNTIF($B$2:$B488,$B488)=COUNTIF($B$2:$B$1601,$B488),$B488,""))</f>
        <v/>
      </c>
    </row>
    <row r="489">
      <c r="A489">
        <f>IF('TMP Paste'!$E489="","",'TMP Paste'!$E489)</f>
        <v/>
      </c>
      <c r="B489">
        <f>IF($A489="","",COUNTIF('TMP Paste'!$B$2:$B489,"?*"))</f>
        <v/>
      </c>
      <c r="C489">
        <f>IF($A489="","",IFERROR('TMP Paste'!$M489*1,0))</f>
        <v/>
      </c>
      <c r="D489">
        <f>IF($A489="","",SUMIF($B$2:$B489,$B489,$C$2:$C489))</f>
        <v/>
      </c>
      <c r="E489">
        <f>IF($A489="",0,IF('TMP Paste'!$B489="",0,1))</f>
        <v/>
      </c>
      <c r="F489">
        <f>IF(OR($A489="",$C489&lt;1),"",$A489&amp;"-"&amp;TEXT(($D489-$C489+1),"00")&amp;IF($C489&gt;=2,", "&amp;$A489&amp;"-"&amp;TEXT(($D489-$C489+1)+1,"00"),"")&amp;IF($C489&gt;=3,", "&amp;$A489&amp;"-"&amp;TEXT(($D489-$C489+1)+2,"00"),"")&amp;IF($C489&gt;=4,", "&amp;$A489&amp;"-"&amp;TEXT(($D489-$C489+1)+3,"00"),"")&amp;IF($C489&gt;=5,", "&amp;$A489&amp;"-"&amp;TEXT(($D489-$C489+1)+4,"00"),"")&amp;IF($C489&gt;=6,", "&amp;$A489&amp;"-"&amp;TEXT(($D489-$C489+1)+5,"00"),"")&amp;IF($C489&gt;=7,", "&amp;$A489&amp;"-"&amp;TEXT(($D489-$C489+1)+6,"00"),"")&amp;IF($C489&gt;=8,", "&amp;$A489&amp;"-"&amp;TEXT(($D489-$C489+1)+7,"00"),"")&amp;IF($C489&gt;=9,", "&amp;$A489&amp;"-"&amp;TEXT(($D489-$C489+1)+8,"00"),"")&amp;IF($C489&gt;=10,", "&amp;$A489&amp;"-"&amp;TEXT(($D489-$C489+1)+9,"00"),"")&amp;IF($C489&gt;=11,", "&amp;$A489&amp;"-"&amp;TEXT(($D489-$C489+1)+10,"00"),"")&amp;IF($C489&gt;=12,", "&amp;$A489&amp;"-"&amp;TEXT(($D489-$C489+1)+11,"00"),"")&amp;IF($C489&gt;=13,", "&amp;$A489&amp;"-"&amp;TEXT(($D489-$C489+1)+12,"00"),"")&amp;IF($C489&gt;=14,", "&amp;$A489&amp;"-"&amp;TEXT(($D489-$C489+1)+13,"00"),"")&amp;IF($C489&gt;=15,", "&amp;$A489&amp;"-"&amp;TEXT(($D489-$C489+1)+14,"00"),"")&amp;IF($C489&gt;=16,", "&amp;$A489&amp;"-"&amp;TEXT(($D489-$C489+1)+15,"00"),"")&amp;IF($C489&gt;=17,", "&amp;$A489&amp;"-"&amp;TEXT(($D489-$C489+1)+16,"00"),"")&amp;IF($C489&gt;=18,", "&amp;$A489&amp;"-"&amp;TEXT(($D489-$C489+1)+17,"00"),"")&amp;IF($C489&gt;=19,", "&amp;$A489&amp;"-"&amp;TEXT(($D489-$C489+1)+18,"00"),"")&amp;IF($C489&gt;=20,", "&amp;$A489&amp;"-"&amp;TEXT(($D489-$C489+1)+19,"00"),"")&amp;IF($C489&gt;=21,", "&amp;$A489&amp;"-"&amp;TEXT(($D489-$C489+1)+20,"00"),"")&amp;IF($C489&gt;=22,", "&amp;$A489&amp;"-"&amp;TEXT(($D489-$C489+1)+21,"00"),"")&amp;IF($C489&gt;=23,", "&amp;$A489&amp;"-"&amp;TEXT(($D489-$C489+1)+22,"00"),"")&amp;IF($C489&gt;=24,", "&amp;$A489&amp;"-"&amp;TEXT(($D489-$C489+1)+23,"00"),"")&amp;IF($C489&gt;=25,", "&amp;$A489&amp;"-"&amp;TEXT(($D489-$C489+1)+24,"00"),""))</f>
        <v/>
      </c>
      <c r="G489">
        <f>IF($A489="","",IF($E489=1,$F489,IF($F489="",$G488,IF($G488="",$F489,$G488&amp;", "&amp;$F489))))</f>
        <v/>
      </c>
      <c r="H489">
        <f>IF($A489="","",$A489&amp;" ("&amp;$C489&amp;")")</f>
        <v/>
      </c>
      <c r="I489">
        <f>IF($A489="","",IF($E489=1,$H489,$I488&amp;", "&amp;$H489))</f>
        <v/>
      </c>
      <c r="J489">
        <f>IF($A489="","",IF($E489=1,$B489,""))</f>
        <v/>
      </c>
      <c r="K489">
        <f>IF($A489="","",IF(COUNTIF($B$2:$B489,$B489)=COUNTIF($B$2:$B$1601,$B489),$B489,""))</f>
        <v/>
      </c>
    </row>
    <row r="490">
      <c r="A490">
        <f>IF('TMP Paste'!$E490="","",'TMP Paste'!$E490)</f>
        <v/>
      </c>
      <c r="B490">
        <f>IF($A490="","",COUNTIF('TMP Paste'!$B$2:$B490,"?*"))</f>
        <v/>
      </c>
      <c r="C490">
        <f>IF($A490="","",IFERROR('TMP Paste'!$M490*1,0))</f>
        <v/>
      </c>
      <c r="D490">
        <f>IF($A490="","",SUMIF($B$2:$B490,$B490,$C$2:$C490))</f>
        <v/>
      </c>
      <c r="E490">
        <f>IF($A490="",0,IF('TMP Paste'!$B490="",0,1))</f>
        <v/>
      </c>
      <c r="F490">
        <f>IF(OR($A490="",$C490&lt;1),"",$A490&amp;"-"&amp;TEXT(($D490-$C490+1),"00")&amp;IF($C490&gt;=2,", "&amp;$A490&amp;"-"&amp;TEXT(($D490-$C490+1)+1,"00"),"")&amp;IF($C490&gt;=3,", "&amp;$A490&amp;"-"&amp;TEXT(($D490-$C490+1)+2,"00"),"")&amp;IF($C490&gt;=4,", "&amp;$A490&amp;"-"&amp;TEXT(($D490-$C490+1)+3,"00"),"")&amp;IF($C490&gt;=5,", "&amp;$A490&amp;"-"&amp;TEXT(($D490-$C490+1)+4,"00"),"")&amp;IF($C490&gt;=6,", "&amp;$A490&amp;"-"&amp;TEXT(($D490-$C490+1)+5,"00"),"")&amp;IF($C490&gt;=7,", "&amp;$A490&amp;"-"&amp;TEXT(($D490-$C490+1)+6,"00"),"")&amp;IF($C490&gt;=8,", "&amp;$A490&amp;"-"&amp;TEXT(($D490-$C490+1)+7,"00"),"")&amp;IF($C490&gt;=9,", "&amp;$A490&amp;"-"&amp;TEXT(($D490-$C490+1)+8,"00"),"")&amp;IF($C490&gt;=10,", "&amp;$A490&amp;"-"&amp;TEXT(($D490-$C490+1)+9,"00"),"")&amp;IF($C490&gt;=11,", "&amp;$A490&amp;"-"&amp;TEXT(($D490-$C490+1)+10,"00"),"")&amp;IF($C490&gt;=12,", "&amp;$A490&amp;"-"&amp;TEXT(($D490-$C490+1)+11,"00"),"")&amp;IF($C490&gt;=13,", "&amp;$A490&amp;"-"&amp;TEXT(($D490-$C490+1)+12,"00"),"")&amp;IF($C490&gt;=14,", "&amp;$A490&amp;"-"&amp;TEXT(($D490-$C490+1)+13,"00"),"")&amp;IF($C490&gt;=15,", "&amp;$A490&amp;"-"&amp;TEXT(($D490-$C490+1)+14,"00"),"")&amp;IF($C490&gt;=16,", "&amp;$A490&amp;"-"&amp;TEXT(($D490-$C490+1)+15,"00"),"")&amp;IF($C490&gt;=17,", "&amp;$A490&amp;"-"&amp;TEXT(($D490-$C490+1)+16,"00"),"")&amp;IF($C490&gt;=18,", "&amp;$A490&amp;"-"&amp;TEXT(($D490-$C490+1)+17,"00"),"")&amp;IF($C490&gt;=19,", "&amp;$A490&amp;"-"&amp;TEXT(($D490-$C490+1)+18,"00"),"")&amp;IF($C490&gt;=20,", "&amp;$A490&amp;"-"&amp;TEXT(($D490-$C490+1)+19,"00"),"")&amp;IF($C490&gt;=21,", "&amp;$A490&amp;"-"&amp;TEXT(($D490-$C490+1)+20,"00"),"")&amp;IF($C490&gt;=22,", "&amp;$A490&amp;"-"&amp;TEXT(($D490-$C490+1)+21,"00"),"")&amp;IF($C490&gt;=23,", "&amp;$A490&amp;"-"&amp;TEXT(($D490-$C490+1)+22,"00"),"")&amp;IF($C490&gt;=24,", "&amp;$A490&amp;"-"&amp;TEXT(($D490-$C490+1)+23,"00"),"")&amp;IF($C490&gt;=25,", "&amp;$A490&amp;"-"&amp;TEXT(($D490-$C490+1)+24,"00"),""))</f>
        <v/>
      </c>
      <c r="G490">
        <f>IF($A490="","",IF($E490=1,$F490,IF($F490="",$G489,IF($G489="",$F490,$G489&amp;", "&amp;$F490))))</f>
        <v/>
      </c>
      <c r="H490">
        <f>IF($A490="","",$A490&amp;" ("&amp;$C490&amp;")")</f>
        <v/>
      </c>
      <c r="I490">
        <f>IF($A490="","",IF($E490=1,$H490,$I489&amp;", "&amp;$H490))</f>
        <v/>
      </c>
      <c r="J490">
        <f>IF($A490="","",IF($E490=1,$B490,""))</f>
        <v/>
      </c>
      <c r="K490">
        <f>IF($A490="","",IF(COUNTIF($B$2:$B490,$B490)=COUNTIF($B$2:$B$1601,$B490),$B490,""))</f>
        <v/>
      </c>
    </row>
    <row r="491">
      <c r="A491">
        <f>IF('TMP Paste'!$E491="","",'TMP Paste'!$E491)</f>
        <v/>
      </c>
      <c r="B491">
        <f>IF($A491="","",COUNTIF('TMP Paste'!$B$2:$B491,"?*"))</f>
        <v/>
      </c>
      <c r="C491">
        <f>IF($A491="","",IFERROR('TMP Paste'!$M491*1,0))</f>
        <v/>
      </c>
      <c r="D491">
        <f>IF($A491="","",SUMIF($B$2:$B491,$B491,$C$2:$C491))</f>
        <v/>
      </c>
      <c r="E491">
        <f>IF($A491="",0,IF('TMP Paste'!$B491="",0,1))</f>
        <v/>
      </c>
      <c r="F491">
        <f>IF(OR($A491="",$C491&lt;1),"",$A491&amp;"-"&amp;TEXT(($D491-$C491+1),"00")&amp;IF($C491&gt;=2,", "&amp;$A491&amp;"-"&amp;TEXT(($D491-$C491+1)+1,"00"),"")&amp;IF($C491&gt;=3,", "&amp;$A491&amp;"-"&amp;TEXT(($D491-$C491+1)+2,"00"),"")&amp;IF($C491&gt;=4,", "&amp;$A491&amp;"-"&amp;TEXT(($D491-$C491+1)+3,"00"),"")&amp;IF($C491&gt;=5,", "&amp;$A491&amp;"-"&amp;TEXT(($D491-$C491+1)+4,"00"),"")&amp;IF($C491&gt;=6,", "&amp;$A491&amp;"-"&amp;TEXT(($D491-$C491+1)+5,"00"),"")&amp;IF($C491&gt;=7,", "&amp;$A491&amp;"-"&amp;TEXT(($D491-$C491+1)+6,"00"),"")&amp;IF($C491&gt;=8,", "&amp;$A491&amp;"-"&amp;TEXT(($D491-$C491+1)+7,"00"),"")&amp;IF($C491&gt;=9,", "&amp;$A491&amp;"-"&amp;TEXT(($D491-$C491+1)+8,"00"),"")&amp;IF($C491&gt;=10,", "&amp;$A491&amp;"-"&amp;TEXT(($D491-$C491+1)+9,"00"),"")&amp;IF($C491&gt;=11,", "&amp;$A491&amp;"-"&amp;TEXT(($D491-$C491+1)+10,"00"),"")&amp;IF($C491&gt;=12,", "&amp;$A491&amp;"-"&amp;TEXT(($D491-$C491+1)+11,"00"),"")&amp;IF($C491&gt;=13,", "&amp;$A491&amp;"-"&amp;TEXT(($D491-$C491+1)+12,"00"),"")&amp;IF($C491&gt;=14,", "&amp;$A491&amp;"-"&amp;TEXT(($D491-$C491+1)+13,"00"),"")&amp;IF($C491&gt;=15,", "&amp;$A491&amp;"-"&amp;TEXT(($D491-$C491+1)+14,"00"),"")&amp;IF($C491&gt;=16,", "&amp;$A491&amp;"-"&amp;TEXT(($D491-$C491+1)+15,"00"),"")&amp;IF($C491&gt;=17,", "&amp;$A491&amp;"-"&amp;TEXT(($D491-$C491+1)+16,"00"),"")&amp;IF($C491&gt;=18,", "&amp;$A491&amp;"-"&amp;TEXT(($D491-$C491+1)+17,"00"),"")&amp;IF($C491&gt;=19,", "&amp;$A491&amp;"-"&amp;TEXT(($D491-$C491+1)+18,"00"),"")&amp;IF($C491&gt;=20,", "&amp;$A491&amp;"-"&amp;TEXT(($D491-$C491+1)+19,"00"),"")&amp;IF($C491&gt;=21,", "&amp;$A491&amp;"-"&amp;TEXT(($D491-$C491+1)+20,"00"),"")&amp;IF($C491&gt;=22,", "&amp;$A491&amp;"-"&amp;TEXT(($D491-$C491+1)+21,"00"),"")&amp;IF($C491&gt;=23,", "&amp;$A491&amp;"-"&amp;TEXT(($D491-$C491+1)+22,"00"),"")&amp;IF($C491&gt;=24,", "&amp;$A491&amp;"-"&amp;TEXT(($D491-$C491+1)+23,"00"),"")&amp;IF($C491&gt;=25,", "&amp;$A491&amp;"-"&amp;TEXT(($D491-$C491+1)+24,"00"),""))</f>
        <v/>
      </c>
      <c r="G491">
        <f>IF($A491="","",IF($E491=1,$F491,IF($F491="",$G490,IF($G490="",$F491,$G490&amp;", "&amp;$F491))))</f>
        <v/>
      </c>
      <c r="H491">
        <f>IF($A491="","",$A491&amp;" ("&amp;$C491&amp;")")</f>
        <v/>
      </c>
      <c r="I491">
        <f>IF($A491="","",IF($E491=1,$H491,$I490&amp;", "&amp;$H491))</f>
        <v/>
      </c>
      <c r="J491">
        <f>IF($A491="","",IF($E491=1,$B491,""))</f>
        <v/>
      </c>
      <c r="K491">
        <f>IF($A491="","",IF(COUNTIF($B$2:$B491,$B491)=COUNTIF($B$2:$B$1601,$B491),$B491,""))</f>
        <v/>
      </c>
    </row>
    <row r="492">
      <c r="A492">
        <f>IF('TMP Paste'!$E492="","",'TMP Paste'!$E492)</f>
        <v/>
      </c>
      <c r="B492">
        <f>IF($A492="","",COUNTIF('TMP Paste'!$B$2:$B492,"?*"))</f>
        <v/>
      </c>
      <c r="C492">
        <f>IF($A492="","",IFERROR('TMP Paste'!$M492*1,0))</f>
        <v/>
      </c>
      <c r="D492">
        <f>IF($A492="","",SUMIF($B$2:$B492,$B492,$C$2:$C492))</f>
        <v/>
      </c>
      <c r="E492">
        <f>IF($A492="",0,IF('TMP Paste'!$B492="",0,1))</f>
        <v/>
      </c>
      <c r="F492">
        <f>IF(OR($A492="",$C492&lt;1),"",$A492&amp;"-"&amp;TEXT(($D492-$C492+1),"00")&amp;IF($C492&gt;=2,", "&amp;$A492&amp;"-"&amp;TEXT(($D492-$C492+1)+1,"00"),"")&amp;IF($C492&gt;=3,", "&amp;$A492&amp;"-"&amp;TEXT(($D492-$C492+1)+2,"00"),"")&amp;IF($C492&gt;=4,", "&amp;$A492&amp;"-"&amp;TEXT(($D492-$C492+1)+3,"00"),"")&amp;IF($C492&gt;=5,", "&amp;$A492&amp;"-"&amp;TEXT(($D492-$C492+1)+4,"00"),"")&amp;IF($C492&gt;=6,", "&amp;$A492&amp;"-"&amp;TEXT(($D492-$C492+1)+5,"00"),"")&amp;IF($C492&gt;=7,", "&amp;$A492&amp;"-"&amp;TEXT(($D492-$C492+1)+6,"00"),"")&amp;IF($C492&gt;=8,", "&amp;$A492&amp;"-"&amp;TEXT(($D492-$C492+1)+7,"00"),"")&amp;IF($C492&gt;=9,", "&amp;$A492&amp;"-"&amp;TEXT(($D492-$C492+1)+8,"00"),"")&amp;IF($C492&gt;=10,", "&amp;$A492&amp;"-"&amp;TEXT(($D492-$C492+1)+9,"00"),"")&amp;IF($C492&gt;=11,", "&amp;$A492&amp;"-"&amp;TEXT(($D492-$C492+1)+10,"00"),"")&amp;IF($C492&gt;=12,", "&amp;$A492&amp;"-"&amp;TEXT(($D492-$C492+1)+11,"00"),"")&amp;IF($C492&gt;=13,", "&amp;$A492&amp;"-"&amp;TEXT(($D492-$C492+1)+12,"00"),"")&amp;IF($C492&gt;=14,", "&amp;$A492&amp;"-"&amp;TEXT(($D492-$C492+1)+13,"00"),"")&amp;IF($C492&gt;=15,", "&amp;$A492&amp;"-"&amp;TEXT(($D492-$C492+1)+14,"00"),"")&amp;IF($C492&gt;=16,", "&amp;$A492&amp;"-"&amp;TEXT(($D492-$C492+1)+15,"00"),"")&amp;IF($C492&gt;=17,", "&amp;$A492&amp;"-"&amp;TEXT(($D492-$C492+1)+16,"00"),"")&amp;IF($C492&gt;=18,", "&amp;$A492&amp;"-"&amp;TEXT(($D492-$C492+1)+17,"00"),"")&amp;IF($C492&gt;=19,", "&amp;$A492&amp;"-"&amp;TEXT(($D492-$C492+1)+18,"00"),"")&amp;IF($C492&gt;=20,", "&amp;$A492&amp;"-"&amp;TEXT(($D492-$C492+1)+19,"00"),"")&amp;IF($C492&gt;=21,", "&amp;$A492&amp;"-"&amp;TEXT(($D492-$C492+1)+20,"00"),"")&amp;IF($C492&gt;=22,", "&amp;$A492&amp;"-"&amp;TEXT(($D492-$C492+1)+21,"00"),"")&amp;IF($C492&gt;=23,", "&amp;$A492&amp;"-"&amp;TEXT(($D492-$C492+1)+22,"00"),"")&amp;IF($C492&gt;=24,", "&amp;$A492&amp;"-"&amp;TEXT(($D492-$C492+1)+23,"00"),"")&amp;IF($C492&gt;=25,", "&amp;$A492&amp;"-"&amp;TEXT(($D492-$C492+1)+24,"00"),""))</f>
        <v/>
      </c>
      <c r="G492">
        <f>IF($A492="","",IF($E492=1,$F492,IF($F492="",$G491,IF($G491="",$F492,$G491&amp;", "&amp;$F492))))</f>
        <v/>
      </c>
      <c r="H492">
        <f>IF($A492="","",$A492&amp;" ("&amp;$C492&amp;")")</f>
        <v/>
      </c>
      <c r="I492">
        <f>IF($A492="","",IF($E492=1,$H492,$I491&amp;", "&amp;$H492))</f>
        <v/>
      </c>
      <c r="J492">
        <f>IF($A492="","",IF($E492=1,$B492,""))</f>
        <v/>
      </c>
      <c r="K492">
        <f>IF($A492="","",IF(COUNTIF($B$2:$B492,$B492)=COUNTIF($B$2:$B$1601,$B492),$B492,""))</f>
        <v/>
      </c>
    </row>
    <row r="493">
      <c r="A493">
        <f>IF('TMP Paste'!$E493="","",'TMP Paste'!$E493)</f>
        <v/>
      </c>
      <c r="B493">
        <f>IF($A493="","",COUNTIF('TMP Paste'!$B$2:$B493,"?*"))</f>
        <v/>
      </c>
      <c r="C493">
        <f>IF($A493="","",IFERROR('TMP Paste'!$M493*1,0))</f>
        <v/>
      </c>
      <c r="D493">
        <f>IF($A493="","",SUMIF($B$2:$B493,$B493,$C$2:$C493))</f>
        <v/>
      </c>
      <c r="E493">
        <f>IF($A493="",0,IF('TMP Paste'!$B493="",0,1))</f>
        <v/>
      </c>
      <c r="F493">
        <f>IF(OR($A493="",$C493&lt;1),"",$A493&amp;"-"&amp;TEXT(($D493-$C493+1),"00")&amp;IF($C493&gt;=2,", "&amp;$A493&amp;"-"&amp;TEXT(($D493-$C493+1)+1,"00"),"")&amp;IF($C493&gt;=3,", "&amp;$A493&amp;"-"&amp;TEXT(($D493-$C493+1)+2,"00"),"")&amp;IF($C493&gt;=4,", "&amp;$A493&amp;"-"&amp;TEXT(($D493-$C493+1)+3,"00"),"")&amp;IF($C493&gt;=5,", "&amp;$A493&amp;"-"&amp;TEXT(($D493-$C493+1)+4,"00"),"")&amp;IF($C493&gt;=6,", "&amp;$A493&amp;"-"&amp;TEXT(($D493-$C493+1)+5,"00"),"")&amp;IF($C493&gt;=7,", "&amp;$A493&amp;"-"&amp;TEXT(($D493-$C493+1)+6,"00"),"")&amp;IF($C493&gt;=8,", "&amp;$A493&amp;"-"&amp;TEXT(($D493-$C493+1)+7,"00"),"")&amp;IF($C493&gt;=9,", "&amp;$A493&amp;"-"&amp;TEXT(($D493-$C493+1)+8,"00"),"")&amp;IF($C493&gt;=10,", "&amp;$A493&amp;"-"&amp;TEXT(($D493-$C493+1)+9,"00"),"")&amp;IF($C493&gt;=11,", "&amp;$A493&amp;"-"&amp;TEXT(($D493-$C493+1)+10,"00"),"")&amp;IF($C493&gt;=12,", "&amp;$A493&amp;"-"&amp;TEXT(($D493-$C493+1)+11,"00"),"")&amp;IF($C493&gt;=13,", "&amp;$A493&amp;"-"&amp;TEXT(($D493-$C493+1)+12,"00"),"")&amp;IF($C493&gt;=14,", "&amp;$A493&amp;"-"&amp;TEXT(($D493-$C493+1)+13,"00"),"")&amp;IF($C493&gt;=15,", "&amp;$A493&amp;"-"&amp;TEXT(($D493-$C493+1)+14,"00"),"")&amp;IF($C493&gt;=16,", "&amp;$A493&amp;"-"&amp;TEXT(($D493-$C493+1)+15,"00"),"")&amp;IF($C493&gt;=17,", "&amp;$A493&amp;"-"&amp;TEXT(($D493-$C493+1)+16,"00"),"")&amp;IF($C493&gt;=18,", "&amp;$A493&amp;"-"&amp;TEXT(($D493-$C493+1)+17,"00"),"")&amp;IF($C493&gt;=19,", "&amp;$A493&amp;"-"&amp;TEXT(($D493-$C493+1)+18,"00"),"")&amp;IF($C493&gt;=20,", "&amp;$A493&amp;"-"&amp;TEXT(($D493-$C493+1)+19,"00"),"")&amp;IF($C493&gt;=21,", "&amp;$A493&amp;"-"&amp;TEXT(($D493-$C493+1)+20,"00"),"")&amp;IF($C493&gt;=22,", "&amp;$A493&amp;"-"&amp;TEXT(($D493-$C493+1)+21,"00"),"")&amp;IF($C493&gt;=23,", "&amp;$A493&amp;"-"&amp;TEXT(($D493-$C493+1)+22,"00"),"")&amp;IF($C493&gt;=24,", "&amp;$A493&amp;"-"&amp;TEXT(($D493-$C493+1)+23,"00"),"")&amp;IF($C493&gt;=25,", "&amp;$A493&amp;"-"&amp;TEXT(($D493-$C493+1)+24,"00"),""))</f>
        <v/>
      </c>
      <c r="G493">
        <f>IF($A493="","",IF($E493=1,$F493,IF($F493="",$G492,IF($G492="",$F493,$G492&amp;", "&amp;$F493))))</f>
        <v/>
      </c>
      <c r="H493">
        <f>IF($A493="","",$A493&amp;" ("&amp;$C493&amp;")")</f>
        <v/>
      </c>
      <c r="I493">
        <f>IF($A493="","",IF($E493=1,$H493,$I492&amp;", "&amp;$H493))</f>
        <v/>
      </c>
      <c r="J493">
        <f>IF($A493="","",IF($E493=1,$B493,""))</f>
        <v/>
      </c>
      <c r="K493">
        <f>IF($A493="","",IF(COUNTIF($B$2:$B493,$B493)=COUNTIF($B$2:$B$1601,$B493),$B493,""))</f>
        <v/>
      </c>
    </row>
    <row r="494">
      <c r="A494">
        <f>IF('TMP Paste'!$E494="","",'TMP Paste'!$E494)</f>
        <v/>
      </c>
      <c r="B494">
        <f>IF($A494="","",COUNTIF('TMP Paste'!$B$2:$B494,"?*"))</f>
        <v/>
      </c>
      <c r="C494">
        <f>IF($A494="","",IFERROR('TMP Paste'!$M494*1,0))</f>
        <v/>
      </c>
      <c r="D494">
        <f>IF($A494="","",SUMIF($B$2:$B494,$B494,$C$2:$C494))</f>
        <v/>
      </c>
      <c r="E494">
        <f>IF($A494="",0,IF('TMP Paste'!$B494="",0,1))</f>
        <v/>
      </c>
      <c r="F494">
        <f>IF(OR($A494="",$C494&lt;1),"",$A494&amp;"-"&amp;TEXT(($D494-$C494+1),"00")&amp;IF($C494&gt;=2,", "&amp;$A494&amp;"-"&amp;TEXT(($D494-$C494+1)+1,"00"),"")&amp;IF($C494&gt;=3,", "&amp;$A494&amp;"-"&amp;TEXT(($D494-$C494+1)+2,"00"),"")&amp;IF($C494&gt;=4,", "&amp;$A494&amp;"-"&amp;TEXT(($D494-$C494+1)+3,"00"),"")&amp;IF($C494&gt;=5,", "&amp;$A494&amp;"-"&amp;TEXT(($D494-$C494+1)+4,"00"),"")&amp;IF($C494&gt;=6,", "&amp;$A494&amp;"-"&amp;TEXT(($D494-$C494+1)+5,"00"),"")&amp;IF($C494&gt;=7,", "&amp;$A494&amp;"-"&amp;TEXT(($D494-$C494+1)+6,"00"),"")&amp;IF($C494&gt;=8,", "&amp;$A494&amp;"-"&amp;TEXT(($D494-$C494+1)+7,"00"),"")&amp;IF($C494&gt;=9,", "&amp;$A494&amp;"-"&amp;TEXT(($D494-$C494+1)+8,"00"),"")&amp;IF($C494&gt;=10,", "&amp;$A494&amp;"-"&amp;TEXT(($D494-$C494+1)+9,"00"),"")&amp;IF($C494&gt;=11,", "&amp;$A494&amp;"-"&amp;TEXT(($D494-$C494+1)+10,"00"),"")&amp;IF($C494&gt;=12,", "&amp;$A494&amp;"-"&amp;TEXT(($D494-$C494+1)+11,"00"),"")&amp;IF($C494&gt;=13,", "&amp;$A494&amp;"-"&amp;TEXT(($D494-$C494+1)+12,"00"),"")&amp;IF($C494&gt;=14,", "&amp;$A494&amp;"-"&amp;TEXT(($D494-$C494+1)+13,"00"),"")&amp;IF($C494&gt;=15,", "&amp;$A494&amp;"-"&amp;TEXT(($D494-$C494+1)+14,"00"),"")&amp;IF($C494&gt;=16,", "&amp;$A494&amp;"-"&amp;TEXT(($D494-$C494+1)+15,"00"),"")&amp;IF($C494&gt;=17,", "&amp;$A494&amp;"-"&amp;TEXT(($D494-$C494+1)+16,"00"),"")&amp;IF($C494&gt;=18,", "&amp;$A494&amp;"-"&amp;TEXT(($D494-$C494+1)+17,"00"),"")&amp;IF($C494&gt;=19,", "&amp;$A494&amp;"-"&amp;TEXT(($D494-$C494+1)+18,"00"),"")&amp;IF($C494&gt;=20,", "&amp;$A494&amp;"-"&amp;TEXT(($D494-$C494+1)+19,"00"),"")&amp;IF($C494&gt;=21,", "&amp;$A494&amp;"-"&amp;TEXT(($D494-$C494+1)+20,"00"),"")&amp;IF($C494&gt;=22,", "&amp;$A494&amp;"-"&amp;TEXT(($D494-$C494+1)+21,"00"),"")&amp;IF($C494&gt;=23,", "&amp;$A494&amp;"-"&amp;TEXT(($D494-$C494+1)+22,"00"),"")&amp;IF($C494&gt;=24,", "&amp;$A494&amp;"-"&amp;TEXT(($D494-$C494+1)+23,"00"),"")&amp;IF($C494&gt;=25,", "&amp;$A494&amp;"-"&amp;TEXT(($D494-$C494+1)+24,"00"),""))</f>
        <v/>
      </c>
      <c r="G494">
        <f>IF($A494="","",IF($E494=1,$F494,IF($F494="",$G493,IF($G493="",$F494,$G493&amp;", "&amp;$F494))))</f>
        <v/>
      </c>
      <c r="H494">
        <f>IF($A494="","",$A494&amp;" ("&amp;$C494&amp;")")</f>
        <v/>
      </c>
      <c r="I494">
        <f>IF($A494="","",IF($E494=1,$H494,$I493&amp;", "&amp;$H494))</f>
        <v/>
      </c>
      <c r="J494">
        <f>IF($A494="","",IF($E494=1,$B494,""))</f>
        <v/>
      </c>
      <c r="K494">
        <f>IF($A494="","",IF(COUNTIF($B$2:$B494,$B494)=COUNTIF($B$2:$B$1601,$B494),$B494,""))</f>
        <v/>
      </c>
    </row>
    <row r="495">
      <c r="A495">
        <f>IF('TMP Paste'!$E495="","",'TMP Paste'!$E495)</f>
        <v/>
      </c>
      <c r="B495">
        <f>IF($A495="","",COUNTIF('TMP Paste'!$B$2:$B495,"?*"))</f>
        <v/>
      </c>
      <c r="C495">
        <f>IF($A495="","",IFERROR('TMP Paste'!$M495*1,0))</f>
        <v/>
      </c>
      <c r="D495">
        <f>IF($A495="","",SUMIF($B$2:$B495,$B495,$C$2:$C495))</f>
        <v/>
      </c>
      <c r="E495">
        <f>IF($A495="",0,IF('TMP Paste'!$B495="",0,1))</f>
        <v/>
      </c>
      <c r="F495">
        <f>IF(OR($A495="",$C495&lt;1),"",$A495&amp;"-"&amp;TEXT(($D495-$C495+1),"00")&amp;IF($C495&gt;=2,", "&amp;$A495&amp;"-"&amp;TEXT(($D495-$C495+1)+1,"00"),"")&amp;IF($C495&gt;=3,", "&amp;$A495&amp;"-"&amp;TEXT(($D495-$C495+1)+2,"00"),"")&amp;IF($C495&gt;=4,", "&amp;$A495&amp;"-"&amp;TEXT(($D495-$C495+1)+3,"00"),"")&amp;IF($C495&gt;=5,", "&amp;$A495&amp;"-"&amp;TEXT(($D495-$C495+1)+4,"00"),"")&amp;IF($C495&gt;=6,", "&amp;$A495&amp;"-"&amp;TEXT(($D495-$C495+1)+5,"00"),"")&amp;IF($C495&gt;=7,", "&amp;$A495&amp;"-"&amp;TEXT(($D495-$C495+1)+6,"00"),"")&amp;IF($C495&gt;=8,", "&amp;$A495&amp;"-"&amp;TEXT(($D495-$C495+1)+7,"00"),"")&amp;IF($C495&gt;=9,", "&amp;$A495&amp;"-"&amp;TEXT(($D495-$C495+1)+8,"00"),"")&amp;IF($C495&gt;=10,", "&amp;$A495&amp;"-"&amp;TEXT(($D495-$C495+1)+9,"00"),"")&amp;IF($C495&gt;=11,", "&amp;$A495&amp;"-"&amp;TEXT(($D495-$C495+1)+10,"00"),"")&amp;IF($C495&gt;=12,", "&amp;$A495&amp;"-"&amp;TEXT(($D495-$C495+1)+11,"00"),"")&amp;IF($C495&gt;=13,", "&amp;$A495&amp;"-"&amp;TEXT(($D495-$C495+1)+12,"00"),"")&amp;IF($C495&gt;=14,", "&amp;$A495&amp;"-"&amp;TEXT(($D495-$C495+1)+13,"00"),"")&amp;IF($C495&gt;=15,", "&amp;$A495&amp;"-"&amp;TEXT(($D495-$C495+1)+14,"00"),"")&amp;IF($C495&gt;=16,", "&amp;$A495&amp;"-"&amp;TEXT(($D495-$C495+1)+15,"00"),"")&amp;IF($C495&gt;=17,", "&amp;$A495&amp;"-"&amp;TEXT(($D495-$C495+1)+16,"00"),"")&amp;IF($C495&gt;=18,", "&amp;$A495&amp;"-"&amp;TEXT(($D495-$C495+1)+17,"00"),"")&amp;IF($C495&gt;=19,", "&amp;$A495&amp;"-"&amp;TEXT(($D495-$C495+1)+18,"00"),"")&amp;IF($C495&gt;=20,", "&amp;$A495&amp;"-"&amp;TEXT(($D495-$C495+1)+19,"00"),"")&amp;IF($C495&gt;=21,", "&amp;$A495&amp;"-"&amp;TEXT(($D495-$C495+1)+20,"00"),"")&amp;IF($C495&gt;=22,", "&amp;$A495&amp;"-"&amp;TEXT(($D495-$C495+1)+21,"00"),"")&amp;IF($C495&gt;=23,", "&amp;$A495&amp;"-"&amp;TEXT(($D495-$C495+1)+22,"00"),"")&amp;IF($C495&gt;=24,", "&amp;$A495&amp;"-"&amp;TEXT(($D495-$C495+1)+23,"00"),"")&amp;IF($C495&gt;=25,", "&amp;$A495&amp;"-"&amp;TEXT(($D495-$C495+1)+24,"00"),""))</f>
        <v/>
      </c>
      <c r="G495">
        <f>IF($A495="","",IF($E495=1,$F495,IF($F495="",$G494,IF($G494="",$F495,$G494&amp;", "&amp;$F495))))</f>
        <v/>
      </c>
      <c r="H495">
        <f>IF($A495="","",$A495&amp;" ("&amp;$C495&amp;")")</f>
        <v/>
      </c>
      <c r="I495">
        <f>IF($A495="","",IF($E495=1,$H495,$I494&amp;", "&amp;$H495))</f>
        <v/>
      </c>
      <c r="J495">
        <f>IF($A495="","",IF($E495=1,$B495,""))</f>
        <v/>
      </c>
      <c r="K495">
        <f>IF($A495="","",IF(COUNTIF($B$2:$B495,$B495)=COUNTIF($B$2:$B$1601,$B495),$B495,""))</f>
        <v/>
      </c>
    </row>
    <row r="496">
      <c r="A496">
        <f>IF('TMP Paste'!$E496="","",'TMP Paste'!$E496)</f>
        <v/>
      </c>
      <c r="B496">
        <f>IF($A496="","",COUNTIF('TMP Paste'!$B$2:$B496,"?*"))</f>
        <v/>
      </c>
      <c r="C496">
        <f>IF($A496="","",IFERROR('TMP Paste'!$M496*1,0))</f>
        <v/>
      </c>
      <c r="D496">
        <f>IF($A496="","",SUMIF($B$2:$B496,$B496,$C$2:$C496))</f>
        <v/>
      </c>
      <c r="E496">
        <f>IF($A496="",0,IF('TMP Paste'!$B496="",0,1))</f>
        <v/>
      </c>
      <c r="F496">
        <f>IF(OR($A496="",$C496&lt;1),"",$A496&amp;"-"&amp;TEXT(($D496-$C496+1),"00")&amp;IF($C496&gt;=2,", "&amp;$A496&amp;"-"&amp;TEXT(($D496-$C496+1)+1,"00"),"")&amp;IF($C496&gt;=3,", "&amp;$A496&amp;"-"&amp;TEXT(($D496-$C496+1)+2,"00"),"")&amp;IF($C496&gt;=4,", "&amp;$A496&amp;"-"&amp;TEXT(($D496-$C496+1)+3,"00"),"")&amp;IF($C496&gt;=5,", "&amp;$A496&amp;"-"&amp;TEXT(($D496-$C496+1)+4,"00"),"")&amp;IF($C496&gt;=6,", "&amp;$A496&amp;"-"&amp;TEXT(($D496-$C496+1)+5,"00"),"")&amp;IF($C496&gt;=7,", "&amp;$A496&amp;"-"&amp;TEXT(($D496-$C496+1)+6,"00"),"")&amp;IF($C496&gt;=8,", "&amp;$A496&amp;"-"&amp;TEXT(($D496-$C496+1)+7,"00"),"")&amp;IF($C496&gt;=9,", "&amp;$A496&amp;"-"&amp;TEXT(($D496-$C496+1)+8,"00"),"")&amp;IF($C496&gt;=10,", "&amp;$A496&amp;"-"&amp;TEXT(($D496-$C496+1)+9,"00"),"")&amp;IF($C496&gt;=11,", "&amp;$A496&amp;"-"&amp;TEXT(($D496-$C496+1)+10,"00"),"")&amp;IF($C496&gt;=12,", "&amp;$A496&amp;"-"&amp;TEXT(($D496-$C496+1)+11,"00"),"")&amp;IF($C496&gt;=13,", "&amp;$A496&amp;"-"&amp;TEXT(($D496-$C496+1)+12,"00"),"")&amp;IF($C496&gt;=14,", "&amp;$A496&amp;"-"&amp;TEXT(($D496-$C496+1)+13,"00"),"")&amp;IF($C496&gt;=15,", "&amp;$A496&amp;"-"&amp;TEXT(($D496-$C496+1)+14,"00"),"")&amp;IF($C496&gt;=16,", "&amp;$A496&amp;"-"&amp;TEXT(($D496-$C496+1)+15,"00"),"")&amp;IF($C496&gt;=17,", "&amp;$A496&amp;"-"&amp;TEXT(($D496-$C496+1)+16,"00"),"")&amp;IF($C496&gt;=18,", "&amp;$A496&amp;"-"&amp;TEXT(($D496-$C496+1)+17,"00"),"")&amp;IF($C496&gt;=19,", "&amp;$A496&amp;"-"&amp;TEXT(($D496-$C496+1)+18,"00"),"")&amp;IF($C496&gt;=20,", "&amp;$A496&amp;"-"&amp;TEXT(($D496-$C496+1)+19,"00"),"")&amp;IF($C496&gt;=21,", "&amp;$A496&amp;"-"&amp;TEXT(($D496-$C496+1)+20,"00"),"")&amp;IF($C496&gt;=22,", "&amp;$A496&amp;"-"&amp;TEXT(($D496-$C496+1)+21,"00"),"")&amp;IF($C496&gt;=23,", "&amp;$A496&amp;"-"&amp;TEXT(($D496-$C496+1)+22,"00"),"")&amp;IF($C496&gt;=24,", "&amp;$A496&amp;"-"&amp;TEXT(($D496-$C496+1)+23,"00"),"")&amp;IF($C496&gt;=25,", "&amp;$A496&amp;"-"&amp;TEXT(($D496-$C496+1)+24,"00"),""))</f>
        <v/>
      </c>
      <c r="G496">
        <f>IF($A496="","",IF($E496=1,$F496,IF($F496="",$G495,IF($G495="",$F496,$G495&amp;", "&amp;$F496))))</f>
        <v/>
      </c>
      <c r="H496">
        <f>IF($A496="","",$A496&amp;" ("&amp;$C496&amp;")")</f>
        <v/>
      </c>
      <c r="I496">
        <f>IF($A496="","",IF($E496=1,$H496,$I495&amp;", "&amp;$H496))</f>
        <v/>
      </c>
      <c r="J496">
        <f>IF($A496="","",IF($E496=1,$B496,""))</f>
        <v/>
      </c>
      <c r="K496">
        <f>IF($A496="","",IF(COUNTIF($B$2:$B496,$B496)=COUNTIF($B$2:$B$1601,$B496),$B496,""))</f>
        <v/>
      </c>
    </row>
    <row r="497">
      <c r="A497">
        <f>IF('TMP Paste'!$E497="","",'TMP Paste'!$E497)</f>
        <v/>
      </c>
      <c r="B497">
        <f>IF($A497="","",COUNTIF('TMP Paste'!$B$2:$B497,"?*"))</f>
        <v/>
      </c>
      <c r="C497">
        <f>IF($A497="","",IFERROR('TMP Paste'!$M497*1,0))</f>
        <v/>
      </c>
      <c r="D497">
        <f>IF($A497="","",SUMIF($B$2:$B497,$B497,$C$2:$C497))</f>
        <v/>
      </c>
      <c r="E497">
        <f>IF($A497="",0,IF('TMP Paste'!$B497="",0,1))</f>
        <v/>
      </c>
      <c r="F497">
        <f>IF(OR($A497="",$C497&lt;1),"",$A497&amp;"-"&amp;TEXT(($D497-$C497+1),"00")&amp;IF($C497&gt;=2,", "&amp;$A497&amp;"-"&amp;TEXT(($D497-$C497+1)+1,"00"),"")&amp;IF($C497&gt;=3,", "&amp;$A497&amp;"-"&amp;TEXT(($D497-$C497+1)+2,"00"),"")&amp;IF($C497&gt;=4,", "&amp;$A497&amp;"-"&amp;TEXT(($D497-$C497+1)+3,"00"),"")&amp;IF($C497&gt;=5,", "&amp;$A497&amp;"-"&amp;TEXT(($D497-$C497+1)+4,"00"),"")&amp;IF($C497&gt;=6,", "&amp;$A497&amp;"-"&amp;TEXT(($D497-$C497+1)+5,"00"),"")&amp;IF($C497&gt;=7,", "&amp;$A497&amp;"-"&amp;TEXT(($D497-$C497+1)+6,"00"),"")&amp;IF($C497&gt;=8,", "&amp;$A497&amp;"-"&amp;TEXT(($D497-$C497+1)+7,"00"),"")&amp;IF($C497&gt;=9,", "&amp;$A497&amp;"-"&amp;TEXT(($D497-$C497+1)+8,"00"),"")&amp;IF($C497&gt;=10,", "&amp;$A497&amp;"-"&amp;TEXT(($D497-$C497+1)+9,"00"),"")&amp;IF($C497&gt;=11,", "&amp;$A497&amp;"-"&amp;TEXT(($D497-$C497+1)+10,"00"),"")&amp;IF($C497&gt;=12,", "&amp;$A497&amp;"-"&amp;TEXT(($D497-$C497+1)+11,"00"),"")&amp;IF($C497&gt;=13,", "&amp;$A497&amp;"-"&amp;TEXT(($D497-$C497+1)+12,"00"),"")&amp;IF($C497&gt;=14,", "&amp;$A497&amp;"-"&amp;TEXT(($D497-$C497+1)+13,"00"),"")&amp;IF($C497&gt;=15,", "&amp;$A497&amp;"-"&amp;TEXT(($D497-$C497+1)+14,"00"),"")&amp;IF($C497&gt;=16,", "&amp;$A497&amp;"-"&amp;TEXT(($D497-$C497+1)+15,"00"),"")&amp;IF($C497&gt;=17,", "&amp;$A497&amp;"-"&amp;TEXT(($D497-$C497+1)+16,"00"),"")&amp;IF($C497&gt;=18,", "&amp;$A497&amp;"-"&amp;TEXT(($D497-$C497+1)+17,"00"),"")&amp;IF($C497&gt;=19,", "&amp;$A497&amp;"-"&amp;TEXT(($D497-$C497+1)+18,"00"),"")&amp;IF($C497&gt;=20,", "&amp;$A497&amp;"-"&amp;TEXT(($D497-$C497+1)+19,"00"),"")&amp;IF($C497&gt;=21,", "&amp;$A497&amp;"-"&amp;TEXT(($D497-$C497+1)+20,"00"),"")&amp;IF($C497&gt;=22,", "&amp;$A497&amp;"-"&amp;TEXT(($D497-$C497+1)+21,"00"),"")&amp;IF($C497&gt;=23,", "&amp;$A497&amp;"-"&amp;TEXT(($D497-$C497+1)+22,"00"),"")&amp;IF($C497&gt;=24,", "&amp;$A497&amp;"-"&amp;TEXT(($D497-$C497+1)+23,"00"),"")&amp;IF($C497&gt;=25,", "&amp;$A497&amp;"-"&amp;TEXT(($D497-$C497+1)+24,"00"),""))</f>
        <v/>
      </c>
      <c r="G497">
        <f>IF($A497="","",IF($E497=1,$F497,IF($F497="",$G496,IF($G496="",$F497,$G496&amp;", "&amp;$F497))))</f>
        <v/>
      </c>
      <c r="H497">
        <f>IF($A497="","",$A497&amp;" ("&amp;$C497&amp;")")</f>
        <v/>
      </c>
      <c r="I497">
        <f>IF($A497="","",IF($E497=1,$H497,$I496&amp;", "&amp;$H497))</f>
        <v/>
      </c>
      <c r="J497">
        <f>IF($A497="","",IF($E497=1,$B497,""))</f>
        <v/>
      </c>
      <c r="K497">
        <f>IF($A497="","",IF(COUNTIF($B$2:$B497,$B497)=COUNTIF($B$2:$B$1601,$B497),$B497,""))</f>
        <v/>
      </c>
    </row>
    <row r="498">
      <c r="A498">
        <f>IF('TMP Paste'!$E498="","",'TMP Paste'!$E498)</f>
        <v/>
      </c>
      <c r="B498">
        <f>IF($A498="","",COUNTIF('TMP Paste'!$B$2:$B498,"?*"))</f>
        <v/>
      </c>
      <c r="C498">
        <f>IF($A498="","",IFERROR('TMP Paste'!$M498*1,0))</f>
        <v/>
      </c>
      <c r="D498">
        <f>IF($A498="","",SUMIF($B$2:$B498,$B498,$C$2:$C498))</f>
        <v/>
      </c>
      <c r="E498">
        <f>IF($A498="",0,IF('TMP Paste'!$B498="",0,1))</f>
        <v/>
      </c>
      <c r="F498">
        <f>IF(OR($A498="",$C498&lt;1),"",$A498&amp;"-"&amp;TEXT(($D498-$C498+1),"00")&amp;IF($C498&gt;=2,", "&amp;$A498&amp;"-"&amp;TEXT(($D498-$C498+1)+1,"00"),"")&amp;IF($C498&gt;=3,", "&amp;$A498&amp;"-"&amp;TEXT(($D498-$C498+1)+2,"00"),"")&amp;IF($C498&gt;=4,", "&amp;$A498&amp;"-"&amp;TEXT(($D498-$C498+1)+3,"00"),"")&amp;IF($C498&gt;=5,", "&amp;$A498&amp;"-"&amp;TEXT(($D498-$C498+1)+4,"00"),"")&amp;IF($C498&gt;=6,", "&amp;$A498&amp;"-"&amp;TEXT(($D498-$C498+1)+5,"00"),"")&amp;IF($C498&gt;=7,", "&amp;$A498&amp;"-"&amp;TEXT(($D498-$C498+1)+6,"00"),"")&amp;IF($C498&gt;=8,", "&amp;$A498&amp;"-"&amp;TEXT(($D498-$C498+1)+7,"00"),"")&amp;IF($C498&gt;=9,", "&amp;$A498&amp;"-"&amp;TEXT(($D498-$C498+1)+8,"00"),"")&amp;IF($C498&gt;=10,", "&amp;$A498&amp;"-"&amp;TEXT(($D498-$C498+1)+9,"00"),"")&amp;IF($C498&gt;=11,", "&amp;$A498&amp;"-"&amp;TEXT(($D498-$C498+1)+10,"00"),"")&amp;IF($C498&gt;=12,", "&amp;$A498&amp;"-"&amp;TEXT(($D498-$C498+1)+11,"00"),"")&amp;IF($C498&gt;=13,", "&amp;$A498&amp;"-"&amp;TEXT(($D498-$C498+1)+12,"00"),"")&amp;IF($C498&gt;=14,", "&amp;$A498&amp;"-"&amp;TEXT(($D498-$C498+1)+13,"00"),"")&amp;IF($C498&gt;=15,", "&amp;$A498&amp;"-"&amp;TEXT(($D498-$C498+1)+14,"00"),"")&amp;IF($C498&gt;=16,", "&amp;$A498&amp;"-"&amp;TEXT(($D498-$C498+1)+15,"00"),"")&amp;IF($C498&gt;=17,", "&amp;$A498&amp;"-"&amp;TEXT(($D498-$C498+1)+16,"00"),"")&amp;IF($C498&gt;=18,", "&amp;$A498&amp;"-"&amp;TEXT(($D498-$C498+1)+17,"00"),"")&amp;IF($C498&gt;=19,", "&amp;$A498&amp;"-"&amp;TEXT(($D498-$C498+1)+18,"00"),"")&amp;IF($C498&gt;=20,", "&amp;$A498&amp;"-"&amp;TEXT(($D498-$C498+1)+19,"00"),"")&amp;IF($C498&gt;=21,", "&amp;$A498&amp;"-"&amp;TEXT(($D498-$C498+1)+20,"00"),"")&amp;IF($C498&gt;=22,", "&amp;$A498&amp;"-"&amp;TEXT(($D498-$C498+1)+21,"00"),"")&amp;IF($C498&gt;=23,", "&amp;$A498&amp;"-"&amp;TEXT(($D498-$C498+1)+22,"00"),"")&amp;IF($C498&gt;=24,", "&amp;$A498&amp;"-"&amp;TEXT(($D498-$C498+1)+23,"00"),"")&amp;IF($C498&gt;=25,", "&amp;$A498&amp;"-"&amp;TEXT(($D498-$C498+1)+24,"00"),""))</f>
        <v/>
      </c>
      <c r="G498">
        <f>IF($A498="","",IF($E498=1,$F498,IF($F498="",$G497,IF($G497="",$F498,$G497&amp;", "&amp;$F498))))</f>
        <v/>
      </c>
      <c r="H498">
        <f>IF($A498="","",$A498&amp;" ("&amp;$C498&amp;")")</f>
        <v/>
      </c>
      <c r="I498">
        <f>IF($A498="","",IF($E498=1,$H498,$I497&amp;", "&amp;$H498))</f>
        <v/>
      </c>
      <c r="J498">
        <f>IF($A498="","",IF($E498=1,$B498,""))</f>
        <v/>
      </c>
      <c r="K498">
        <f>IF($A498="","",IF(COUNTIF($B$2:$B498,$B498)=COUNTIF($B$2:$B$1601,$B498),$B498,""))</f>
        <v/>
      </c>
    </row>
    <row r="499">
      <c r="A499">
        <f>IF('TMP Paste'!$E499="","",'TMP Paste'!$E499)</f>
        <v/>
      </c>
      <c r="B499">
        <f>IF($A499="","",COUNTIF('TMP Paste'!$B$2:$B499,"?*"))</f>
        <v/>
      </c>
      <c r="C499">
        <f>IF($A499="","",IFERROR('TMP Paste'!$M499*1,0))</f>
        <v/>
      </c>
      <c r="D499">
        <f>IF($A499="","",SUMIF($B$2:$B499,$B499,$C$2:$C499))</f>
        <v/>
      </c>
      <c r="E499">
        <f>IF($A499="",0,IF('TMP Paste'!$B499="",0,1))</f>
        <v/>
      </c>
      <c r="F499">
        <f>IF(OR($A499="",$C499&lt;1),"",$A499&amp;"-"&amp;TEXT(($D499-$C499+1),"00")&amp;IF($C499&gt;=2,", "&amp;$A499&amp;"-"&amp;TEXT(($D499-$C499+1)+1,"00"),"")&amp;IF($C499&gt;=3,", "&amp;$A499&amp;"-"&amp;TEXT(($D499-$C499+1)+2,"00"),"")&amp;IF($C499&gt;=4,", "&amp;$A499&amp;"-"&amp;TEXT(($D499-$C499+1)+3,"00"),"")&amp;IF($C499&gt;=5,", "&amp;$A499&amp;"-"&amp;TEXT(($D499-$C499+1)+4,"00"),"")&amp;IF($C499&gt;=6,", "&amp;$A499&amp;"-"&amp;TEXT(($D499-$C499+1)+5,"00"),"")&amp;IF($C499&gt;=7,", "&amp;$A499&amp;"-"&amp;TEXT(($D499-$C499+1)+6,"00"),"")&amp;IF($C499&gt;=8,", "&amp;$A499&amp;"-"&amp;TEXT(($D499-$C499+1)+7,"00"),"")&amp;IF($C499&gt;=9,", "&amp;$A499&amp;"-"&amp;TEXT(($D499-$C499+1)+8,"00"),"")&amp;IF($C499&gt;=10,", "&amp;$A499&amp;"-"&amp;TEXT(($D499-$C499+1)+9,"00"),"")&amp;IF($C499&gt;=11,", "&amp;$A499&amp;"-"&amp;TEXT(($D499-$C499+1)+10,"00"),"")&amp;IF($C499&gt;=12,", "&amp;$A499&amp;"-"&amp;TEXT(($D499-$C499+1)+11,"00"),"")&amp;IF($C499&gt;=13,", "&amp;$A499&amp;"-"&amp;TEXT(($D499-$C499+1)+12,"00"),"")&amp;IF($C499&gt;=14,", "&amp;$A499&amp;"-"&amp;TEXT(($D499-$C499+1)+13,"00"),"")&amp;IF($C499&gt;=15,", "&amp;$A499&amp;"-"&amp;TEXT(($D499-$C499+1)+14,"00"),"")&amp;IF($C499&gt;=16,", "&amp;$A499&amp;"-"&amp;TEXT(($D499-$C499+1)+15,"00"),"")&amp;IF($C499&gt;=17,", "&amp;$A499&amp;"-"&amp;TEXT(($D499-$C499+1)+16,"00"),"")&amp;IF($C499&gt;=18,", "&amp;$A499&amp;"-"&amp;TEXT(($D499-$C499+1)+17,"00"),"")&amp;IF($C499&gt;=19,", "&amp;$A499&amp;"-"&amp;TEXT(($D499-$C499+1)+18,"00"),"")&amp;IF($C499&gt;=20,", "&amp;$A499&amp;"-"&amp;TEXT(($D499-$C499+1)+19,"00"),"")&amp;IF($C499&gt;=21,", "&amp;$A499&amp;"-"&amp;TEXT(($D499-$C499+1)+20,"00"),"")&amp;IF($C499&gt;=22,", "&amp;$A499&amp;"-"&amp;TEXT(($D499-$C499+1)+21,"00"),"")&amp;IF($C499&gt;=23,", "&amp;$A499&amp;"-"&amp;TEXT(($D499-$C499+1)+22,"00"),"")&amp;IF($C499&gt;=24,", "&amp;$A499&amp;"-"&amp;TEXT(($D499-$C499+1)+23,"00"),"")&amp;IF($C499&gt;=25,", "&amp;$A499&amp;"-"&amp;TEXT(($D499-$C499+1)+24,"00"),""))</f>
        <v/>
      </c>
      <c r="G499">
        <f>IF($A499="","",IF($E499=1,$F499,IF($F499="",$G498,IF($G498="",$F499,$G498&amp;", "&amp;$F499))))</f>
        <v/>
      </c>
      <c r="H499">
        <f>IF($A499="","",$A499&amp;" ("&amp;$C499&amp;")")</f>
        <v/>
      </c>
      <c r="I499">
        <f>IF($A499="","",IF($E499=1,$H499,$I498&amp;", "&amp;$H499))</f>
        <v/>
      </c>
      <c r="J499">
        <f>IF($A499="","",IF($E499=1,$B499,""))</f>
        <v/>
      </c>
      <c r="K499">
        <f>IF($A499="","",IF(COUNTIF($B$2:$B499,$B499)=COUNTIF($B$2:$B$1601,$B499),$B499,""))</f>
        <v/>
      </c>
    </row>
    <row r="500">
      <c r="A500">
        <f>IF('TMP Paste'!$E500="","",'TMP Paste'!$E500)</f>
        <v/>
      </c>
      <c r="B500">
        <f>IF($A500="","",COUNTIF('TMP Paste'!$B$2:$B500,"?*"))</f>
        <v/>
      </c>
      <c r="C500">
        <f>IF($A500="","",IFERROR('TMP Paste'!$M500*1,0))</f>
        <v/>
      </c>
      <c r="D500">
        <f>IF($A500="","",SUMIF($B$2:$B500,$B500,$C$2:$C500))</f>
        <v/>
      </c>
      <c r="E500">
        <f>IF($A500="",0,IF('TMP Paste'!$B500="",0,1))</f>
        <v/>
      </c>
      <c r="F500">
        <f>IF(OR($A500="",$C500&lt;1),"",$A500&amp;"-"&amp;TEXT(($D500-$C500+1),"00")&amp;IF($C500&gt;=2,", "&amp;$A500&amp;"-"&amp;TEXT(($D500-$C500+1)+1,"00"),"")&amp;IF($C500&gt;=3,", "&amp;$A500&amp;"-"&amp;TEXT(($D500-$C500+1)+2,"00"),"")&amp;IF($C500&gt;=4,", "&amp;$A500&amp;"-"&amp;TEXT(($D500-$C500+1)+3,"00"),"")&amp;IF($C500&gt;=5,", "&amp;$A500&amp;"-"&amp;TEXT(($D500-$C500+1)+4,"00"),"")&amp;IF($C500&gt;=6,", "&amp;$A500&amp;"-"&amp;TEXT(($D500-$C500+1)+5,"00"),"")&amp;IF($C500&gt;=7,", "&amp;$A500&amp;"-"&amp;TEXT(($D500-$C500+1)+6,"00"),"")&amp;IF($C500&gt;=8,", "&amp;$A500&amp;"-"&amp;TEXT(($D500-$C500+1)+7,"00"),"")&amp;IF($C500&gt;=9,", "&amp;$A500&amp;"-"&amp;TEXT(($D500-$C500+1)+8,"00"),"")&amp;IF($C500&gt;=10,", "&amp;$A500&amp;"-"&amp;TEXT(($D500-$C500+1)+9,"00"),"")&amp;IF($C500&gt;=11,", "&amp;$A500&amp;"-"&amp;TEXT(($D500-$C500+1)+10,"00"),"")&amp;IF($C500&gt;=12,", "&amp;$A500&amp;"-"&amp;TEXT(($D500-$C500+1)+11,"00"),"")&amp;IF($C500&gt;=13,", "&amp;$A500&amp;"-"&amp;TEXT(($D500-$C500+1)+12,"00"),"")&amp;IF($C500&gt;=14,", "&amp;$A500&amp;"-"&amp;TEXT(($D500-$C500+1)+13,"00"),"")&amp;IF($C500&gt;=15,", "&amp;$A500&amp;"-"&amp;TEXT(($D500-$C500+1)+14,"00"),"")&amp;IF($C500&gt;=16,", "&amp;$A500&amp;"-"&amp;TEXT(($D500-$C500+1)+15,"00"),"")&amp;IF($C500&gt;=17,", "&amp;$A500&amp;"-"&amp;TEXT(($D500-$C500+1)+16,"00"),"")&amp;IF($C500&gt;=18,", "&amp;$A500&amp;"-"&amp;TEXT(($D500-$C500+1)+17,"00"),"")&amp;IF($C500&gt;=19,", "&amp;$A500&amp;"-"&amp;TEXT(($D500-$C500+1)+18,"00"),"")&amp;IF($C500&gt;=20,", "&amp;$A500&amp;"-"&amp;TEXT(($D500-$C500+1)+19,"00"),"")&amp;IF($C500&gt;=21,", "&amp;$A500&amp;"-"&amp;TEXT(($D500-$C500+1)+20,"00"),"")&amp;IF($C500&gt;=22,", "&amp;$A500&amp;"-"&amp;TEXT(($D500-$C500+1)+21,"00"),"")&amp;IF($C500&gt;=23,", "&amp;$A500&amp;"-"&amp;TEXT(($D500-$C500+1)+22,"00"),"")&amp;IF($C500&gt;=24,", "&amp;$A500&amp;"-"&amp;TEXT(($D500-$C500+1)+23,"00"),"")&amp;IF($C500&gt;=25,", "&amp;$A500&amp;"-"&amp;TEXT(($D500-$C500+1)+24,"00"),""))</f>
        <v/>
      </c>
      <c r="G500">
        <f>IF($A500="","",IF($E500=1,$F500,IF($F500="",$G499,IF($G499="",$F500,$G499&amp;", "&amp;$F500))))</f>
        <v/>
      </c>
      <c r="H500">
        <f>IF($A500="","",$A500&amp;" ("&amp;$C500&amp;")")</f>
        <v/>
      </c>
      <c r="I500">
        <f>IF($A500="","",IF($E500=1,$H500,$I499&amp;", "&amp;$H500))</f>
        <v/>
      </c>
      <c r="J500">
        <f>IF($A500="","",IF($E500=1,$B500,""))</f>
        <v/>
      </c>
      <c r="K500">
        <f>IF($A500="","",IF(COUNTIF($B$2:$B500,$B500)=COUNTIF($B$2:$B$1601,$B500),$B500,""))</f>
        <v/>
      </c>
    </row>
    <row r="501">
      <c r="A501">
        <f>IF('TMP Paste'!$E501="","",'TMP Paste'!$E501)</f>
        <v/>
      </c>
      <c r="B501">
        <f>IF($A501="","",COUNTIF('TMP Paste'!$B$2:$B501,"?*"))</f>
        <v/>
      </c>
      <c r="C501">
        <f>IF($A501="","",IFERROR('TMP Paste'!$M501*1,0))</f>
        <v/>
      </c>
      <c r="D501">
        <f>IF($A501="","",SUMIF($B$2:$B501,$B501,$C$2:$C501))</f>
        <v/>
      </c>
      <c r="E501">
        <f>IF($A501="",0,IF('TMP Paste'!$B501="",0,1))</f>
        <v/>
      </c>
      <c r="F501">
        <f>IF(OR($A501="",$C501&lt;1),"",$A501&amp;"-"&amp;TEXT(($D501-$C501+1),"00")&amp;IF($C501&gt;=2,", "&amp;$A501&amp;"-"&amp;TEXT(($D501-$C501+1)+1,"00"),"")&amp;IF($C501&gt;=3,", "&amp;$A501&amp;"-"&amp;TEXT(($D501-$C501+1)+2,"00"),"")&amp;IF($C501&gt;=4,", "&amp;$A501&amp;"-"&amp;TEXT(($D501-$C501+1)+3,"00"),"")&amp;IF($C501&gt;=5,", "&amp;$A501&amp;"-"&amp;TEXT(($D501-$C501+1)+4,"00"),"")&amp;IF($C501&gt;=6,", "&amp;$A501&amp;"-"&amp;TEXT(($D501-$C501+1)+5,"00"),"")&amp;IF($C501&gt;=7,", "&amp;$A501&amp;"-"&amp;TEXT(($D501-$C501+1)+6,"00"),"")&amp;IF($C501&gt;=8,", "&amp;$A501&amp;"-"&amp;TEXT(($D501-$C501+1)+7,"00"),"")&amp;IF($C501&gt;=9,", "&amp;$A501&amp;"-"&amp;TEXT(($D501-$C501+1)+8,"00"),"")&amp;IF($C501&gt;=10,", "&amp;$A501&amp;"-"&amp;TEXT(($D501-$C501+1)+9,"00"),"")&amp;IF($C501&gt;=11,", "&amp;$A501&amp;"-"&amp;TEXT(($D501-$C501+1)+10,"00"),"")&amp;IF($C501&gt;=12,", "&amp;$A501&amp;"-"&amp;TEXT(($D501-$C501+1)+11,"00"),"")&amp;IF($C501&gt;=13,", "&amp;$A501&amp;"-"&amp;TEXT(($D501-$C501+1)+12,"00"),"")&amp;IF($C501&gt;=14,", "&amp;$A501&amp;"-"&amp;TEXT(($D501-$C501+1)+13,"00"),"")&amp;IF($C501&gt;=15,", "&amp;$A501&amp;"-"&amp;TEXT(($D501-$C501+1)+14,"00"),"")&amp;IF($C501&gt;=16,", "&amp;$A501&amp;"-"&amp;TEXT(($D501-$C501+1)+15,"00"),"")&amp;IF($C501&gt;=17,", "&amp;$A501&amp;"-"&amp;TEXT(($D501-$C501+1)+16,"00"),"")&amp;IF($C501&gt;=18,", "&amp;$A501&amp;"-"&amp;TEXT(($D501-$C501+1)+17,"00"),"")&amp;IF($C501&gt;=19,", "&amp;$A501&amp;"-"&amp;TEXT(($D501-$C501+1)+18,"00"),"")&amp;IF($C501&gt;=20,", "&amp;$A501&amp;"-"&amp;TEXT(($D501-$C501+1)+19,"00"),"")&amp;IF($C501&gt;=21,", "&amp;$A501&amp;"-"&amp;TEXT(($D501-$C501+1)+20,"00"),"")&amp;IF($C501&gt;=22,", "&amp;$A501&amp;"-"&amp;TEXT(($D501-$C501+1)+21,"00"),"")&amp;IF($C501&gt;=23,", "&amp;$A501&amp;"-"&amp;TEXT(($D501-$C501+1)+22,"00"),"")&amp;IF($C501&gt;=24,", "&amp;$A501&amp;"-"&amp;TEXT(($D501-$C501+1)+23,"00"),"")&amp;IF($C501&gt;=25,", "&amp;$A501&amp;"-"&amp;TEXT(($D501-$C501+1)+24,"00"),""))</f>
        <v/>
      </c>
      <c r="G501">
        <f>IF($A501="","",IF($E501=1,$F501,IF($F501="",$G500,IF($G500="",$F501,$G500&amp;", "&amp;$F501))))</f>
        <v/>
      </c>
      <c r="H501">
        <f>IF($A501="","",$A501&amp;" ("&amp;$C501&amp;")")</f>
        <v/>
      </c>
      <c r="I501">
        <f>IF($A501="","",IF($E501=1,$H501,$I500&amp;", "&amp;$H501))</f>
        <v/>
      </c>
      <c r="J501">
        <f>IF($A501="","",IF($E501=1,$B501,""))</f>
        <v/>
      </c>
      <c r="K501">
        <f>IF($A501="","",IF(COUNTIF($B$2:$B501,$B501)=COUNTIF($B$2:$B$1601,$B501),$B501,""))</f>
        <v/>
      </c>
    </row>
    <row r="502">
      <c r="A502">
        <f>IF('TMP Paste'!$E502="","",'TMP Paste'!$E502)</f>
        <v/>
      </c>
      <c r="B502">
        <f>IF($A502="","",COUNTIF('TMP Paste'!$B$2:$B502,"?*"))</f>
        <v/>
      </c>
      <c r="C502">
        <f>IF($A502="","",IFERROR('TMP Paste'!$M502*1,0))</f>
        <v/>
      </c>
      <c r="D502">
        <f>IF($A502="","",SUMIF($B$2:$B502,$B502,$C$2:$C502))</f>
        <v/>
      </c>
      <c r="E502">
        <f>IF($A502="",0,IF('TMP Paste'!$B502="",0,1))</f>
        <v/>
      </c>
      <c r="F502">
        <f>IF(OR($A502="",$C502&lt;1),"",$A502&amp;"-"&amp;TEXT(($D502-$C502+1),"00")&amp;IF($C502&gt;=2,", "&amp;$A502&amp;"-"&amp;TEXT(($D502-$C502+1)+1,"00"),"")&amp;IF($C502&gt;=3,", "&amp;$A502&amp;"-"&amp;TEXT(($D502-$C502+1)+2,"00"),"")&amp;IF($C502&gt;=4,", "&amp;$A502&amp;"-"&amp;TEXT(($D502-$C502+1)+3,"00"),"")&amp;IF($C502&gt;=5,", "&amp;$A502&amp;"-"&amp;TEXT(($D502-$C502+1)+4,"00"),"")&amp;IF($C502&gt;=6,", "&amp;$A502&amp;"-"&amp;TEXT(($D502-$C502+1)+5,"00"),"")&amp;IF($C502&gt;=7,", "&amp;$A502&amp;"-"&amp;TEXT(($D502-$C502+1)+6,"00"),"")&amp;IF($C502&gt;=8,", "&amp;$A502&amp;"-"&amp;TEXT(($D502-$C502+1)+7,"00"),"")&amp;IF($C502&gt;=9,", "&amp;$A502&amp;"-"&amp;TEXT(($D502-$C502+1)+8,"00"),"")&amp;IF($C502&gt;=10,", "&amp;$A502&amp;"-"&amp;TEXT(($D502-$C502+1)+9,"00"),"")&amp;IF($C502&gt;=11,", "&amp;$A502&amp;"-"&amp;TEXT(($D502-$C502+1)+10,"00"),"")&amp;IF($C502&gt;=12,", "&amp;$A502&amp;"-"&amp;TEXT(($D502-$C502+1)+11,"00"),"")&amp;IF($C502&gt;=13,", "&amp;$A502&amp;"-"&amp;TEXT(($D502-$C502+1)+12,"00"),"")&amp;IF($C502&gt;=14,", "&amp;$A502&amp;"-"&amp;TEXT(($D502-$C502+1)+13,"00"),"")&amp;IF($C502&gt;=15,", "&amp;$A502&amp;"-"&amp;TEXT(($D502-$C502+1)+14,"00"),"")&amp;IF($C502&gt;=16,", "&amp;$A502&amp;"-"&amp;TEXT(($D502-$C502+1)+15,"00"),"")&amp;IF($C502&gt;=17,", "&amp;$A502&amp;"-"&amp;TEXT(($D502-$C502+1)+16,"00"),"")&amp;IF($C502&gt;=18,", "&amp;$A502&amp;"-"&amp;TEXT(($D502-$C502+1)+17,"00"),"")&amp;IF($C502&gt;=19,", "&amp;$A502&amp;"-"&amp;TEXT(($D502-$C502+1)+18,"00"),"")&amp;IF($C502&gt;=20,", "&amp;$A502&amp;"-"&amp;TEXT(($D502-$C502+1)+19,"00"),"")&amp;IF($C502&gt;=21,", "&amp;$A502&amp;"-"&amp;TEXT(($D502-$C502+1)+20,"00"),"")&amp;IF($C502&gt;=22,", "&amp;$A502&amp;"-"&amp;TEXT(($D502-$C502+1)+21,"00"),"")&amp;IF($C502&gt;=23,", "&amp;$A502&amp;"-"&amp;TEXT(($D502-$C502+1)+22,"00"),"")&amp;IF($C502&gt;=24,", "&amp;$A502&amp;"-"&amp;TEXT(($D502-$C502+1)+23,"00"),"")&amp;IF($C502&gt;=25,", "&amp;$A502&amp;"-"&amp;TEXT(($D502-$C502+1)+24,"00"),""))</f>
        <v/>
      </c>
      <c r="G502">
        <f>IF($A502="","",IF($E502=1,$F502,IF($F502="",$G501,IF($G501="",$F502,$G501&amp;", "&amp;$F502))))</f>
        <v/>
      </c>
      <c r="H502">
        <f>IF($A502="","",$A502&amp;" ("&amp;$C502&amp;")")</f>
        <v/>
      </c>
      <c r="I502">
        <f>IF($A502="","",IF($E502=1,$H502,$I501&amp;", "&amp;$H502))</f>
        <v/>
      </c>
      <c r="J502">
        <f>IF($A502="","",IF($E502=1,$B502,""))</f>
        <v/>
      </c>
      <c r="K502">
        <f>IF($A502="","",IF(COUNTIF($B$2:$B502,$B502)=COUNTIF($B$2:$B$1601,$B502),$B502,""))</f>
        <v/>
      </c>
    </row>
    <row r="503">
      <c r="A503">
        <f>IF('TMP Paste'!$E503="","",'TMP Paste'!$E503)</f>
        <v/>
      </c>
      <c r="B503">
        <f>IF($A503="","",COUNTIF('TMP Paste'!$B$2:$B503,"?*"))</f>
        <v/>
      </c>
      <c r="C503">
        <f>IF($A503="","",IFERROR('TMP Paste'!$M503*1,0))</f>
        <v/>
      </c>
      <c r="D503">
        <f>IF($A503="","",SUMIF($B$2:$B503,$B503,$C$2:$C503))</f>
        <v/>
      </c>
      <c r="E503">
        <f>IF($A503="",0,IF('TMP Paste'!$B503="",0,1))</f>
        <v/>
      </c>
      <c r="F503">
        <f>IF(OR($A503="",$C503&lt;1),"",$A503&amp;"-"&amp;TEXT(($D503-$C503+1),"00")&amp;IF($C503&gt;=2,", "&amp;$A503&amp;"-"&amp;TEXT(($D503-$C503+1)+1,"00"),"")&amp;IF($C503&gt;=3,", "&amp;$A503&amp;"-"&amp;TEXT(($D503-$C503+1)+2,"00"),"")&amp;IF($C503&gt;=4,", "&amp;$A503&amp;"-"&amp;TEXT(($D503-$C503+1)+3,"00"),"")&amp;IF($C503&gt;=5,", "&amp;$A503&amp;"-"&amp;TEXT(($D503-$C503+1)+4,"00"),"")&amp;IF($C503&gt;=6,", "&amp;$A503&amp;"-"&amp;TEXT(($D503-$C503+1)+5,"00"),"")&amp;IF($C503&gt;=7,", "&amp;$A503&amp;"-"&amp;TEXT(($D503-$C503+1)+6,"00"),"")&amp;IF($C503&gt;=8,", "&amp;$A503&amp;"-"&amp;TEXT(($D503-$C503+1)+7,"00"),"")&amp;IF($C503&gt;=9,", "&amp;$A503&amp;"-"&amp;TEXT(($D503-$C503+1)+8,"00"),"")&amp;IF($C503&gt;=10,", "&amp;$A503&amp;"-"&amp;TEXT(($D503-$C503+1)+9,"00"),"")&amp;IF($C503&gt;=11,", "&amp;$A503&amp;"-"&amp;TEXT(($D503-$C503+1)+10,"00"),"")&amp;IF($C503&gt;=12,", "&amp;$A503&amp;"-"&amp;TEXT(($D503-$C503+1)+11,"00"),"")&amp;IF($C503&gt;=13,", "&amp;$A503&amp;"-"&amp;TEXT(($D503-$C503+1)+12,"00"),"")&amp;IF($C503&gt;=14,", "&amp;$A503&amp;"-"&amp;TEXT(($D503-$C503+1)+13,"00"),"")&amp;IF($C503&gt;=15,", "&amp;$A503&amp;"-"&amp;TEXT(($D503-$C503+1)+14,"00"),"")&amp;IF($C503&gt;=16,", "&amp;$A503&amp;"-"&amp;TEXT(($D503-$C503+1)+15,"00"),"")&amp;IF($C503&gt;=17,", "&amp;$A503&amp;"-"&amp;TEXT(($D503-$C503+1)+16,"00"),"")&amp;IF($C503&gt;=18,", "&amp;$A503&amp;"-"&amp;TEXT(($D503-$C503+1)+17,"00"),"")&amp;IF($C503&gt;=19,", "&amp;$A503&amp;"-"&amp;TEXT(($D503-$C503+1)+18,"00"),"")&amp;IF($C503&gt;=20,", "&amp;$A503&amp;"-"&amp;TEXT(($D503-$C503+1)+19,"00"),"")&amp;IF($C503&gt;=21,", "&amp;$A503&amp;"-"&amp;TEXT(($D503-$C503+1)+20,"00"),"")&amp;IF($C503&gt;=22,", "&amp;$A503&amp;"-"&amp;TEXT(($D503-$C503+1)+21,"00"),"")&amp;IF($C503&gt;=23,", "&amp;$A503&amp;"-"&amp;TEXT(($D503-$C503+1)+22,"00"),"")&amp;IF($C503&gt;=24,", "&amp;$A503&amp;"-"&amp;TEXT(($D503-$C503+1)+23,"00"),"")&amp;IF($C503&gt;=25,", "&amp;$A503&amp;"-"&amp;TEXT(($D503-$C503+1)+24,"00"),""))</f>
        <v/>
      </c>
      <c r="G503">
        <f>IF($A503="","",IF($E503=1,$F503,IF($F503="",$G502,IF($G502="",$F503,$G502&amp;", "&amp;$F503))))</f>
        <v/>
      </c>
      <c r="H503">
        <f>IF($A503="","",$A503&amp;" ("&amp;$C503&amp;")")</f>
        <v/>
      </c>
      <c r="I503">
        <f>IF($A503="","",IF($E503=1,$H503,$I502&amp;", "&amp;$H503))</f>
        <v/>
      </c>
      <c r="J503">
        <f>IF($A503="","",IF($E503=1,$B503,""))</f>
        <v/>
      </c>
      <c r="K503">
        <f>IF($A503="","",IF(COUNTIF($B$2:$B503,$B503)=COUNTIF($B$2:$B$1601,$B503),$B503,""))</f>
        <v/>
      </c>
    </row>
    <row r="504">
      <c r="A504">
        <f>IF('TMP Paste'!$E504="","",'TMP Paste'!$E504)</f>
        <v/>
      </c>
      <c r="B504">
        <f>IF($A504="","",COUNTIF('TMP Paste'!$B$2:$B504,"?*"))</f>
        <v/>
      </c>
      <c r="C504">
        <f>IF($A504="","",IFERROR('TMP Paste'!$M504*1,0))</f>
        <v/>
      </c>
      <c r="D504">
        <f>IF($A504="","",SUMIF($B$2:$B504,$B504,$C$2:$C504))</f>
        <v/>
      </c>
      <c r="E504">
        <f>IF($A504="",0,IF('TMP Paste'!$B504="",0,1))</f>
        <v/>
      </c>
      <c r="F504">
        <f>IF(OR($A504="",$C504&lt;1),"",$A504&amp;"-"&amp;TEXT(($D504-$C504+1),"00")&amp;IF($C504&gt;=2,", "&amp;$A504&amp;"-"&amp;TEXT(($D504-$C504+1)+1,"00"),"")&amp;IF($C504&gt;=3,", "&amp;$A504&amp;"-"&amp;TEXT(($D504-$C504+1)+2,"00"),"")&amp;IF($C504&gt;=4,", "&amp;$A504&amp;"-"&amp;TEXT(($D504-$C504+1)+3,"00"),"")&amp;IF($C504&gt;=5,", "&amp;$A504&amp;"-"&amp;TEXT(($D504-$C504+1)+4,"00"),"")&amp;IF($C504&gt;=6,", "&amp;$A504&amp;"-"&amp;TEXT(($D504-$C504+1)+5,"00"),"")&amp;IF($C504&gt;=7,", "&amp;$A504&amp;"-"&amp;TEXT(($D504-$C504+1)+6,"00"),"")&amp;IF($C504&gt;=8,", "&amp;$A504&amp;"-"&amp;TEXT(($D504-$C504+1)+7,"00"),"")&amp;IF($C504&gt;=9,", "&amp;$A504&amp;"-"&amp;TEXT(($D504-$C504+1)+8,"00"),"")&amp;IF($C504&gt;=10,", "&amp;$A504&amp;"-"&amp;TEXT(($D504-$C504+1)+9,"00"),"")&amp;IF($C504&gt;=11,", "&amp;$A504&amp;"-"&amp;TEXT(($D504-$C504+1)+10,"00"),"")&amp;IF($C504&gt;=12,", "&amp;$A504&amp;"-"&amp;TEXT(($D504-$C504+1)+11,"00"),"")&amp;IF($C504&gt;=13,", "&amp;$A504&amp;"-"&amp;TEXT(($D504-$C504+1)+12,"00"),"")&amp;IF($C504&gt;=14,", "&amp;$A504&amp;"-"&amp;TEXT(($D504-$C504+1)+13,"00"),"")&amp;IF($C504&gt;=15,", "&amp;$A504&amp;"-"&amp;TEXT(($D504-$C504+1)+14,"00"),"")&amp;IF($C504&gt;=16,", "&amp;$A504&amp;"-"&amp;TEXT(($D504-$C504+1)+15,"00"),"")&amp;IF($C504&gt;=17,", "&amp;$A504&amp;"-"&amp;TEXT(($D504-$C504+1)+16,"00"),"")&amp;IF($C504&gt;=18,", "&amp;$A504&amp;"-"&amp;TEXT(($D504-$C504+1)+17,"00"),"")&amp;IF($C504&gt;=19,", "&amp;$A504&amp;"-"&amp;TEXT(($D504-$C504+1)+18,"00"),"")&amp;IF($C504&gt;=20,", "&amp;$A504&amp;"-"&amp;TEXT(($D504-$C504+1)+19,"00"),"")&amp;IF($C504&gt;=21,", "&amp;$A504&amp;"-"&amp;TEXT(($D504-$C504+1)+20,"00"),"")&amp;IF($C504&gt;=22,", "&amp;$A504&amp;"-"&amp;TEXT(($D504-$C504+1)+21,"00"),"")&amp;IF($C504&gt;=23,", "&amp;$A504&amp;"-"&amp;TEXT(($D504-$C504+1)+22,"00"),"")&amp;IF($C504&gt;=24,", "&amp;$A504&amp;"-"&amp;TEXT(($D504-$C504+1)+23,"00"),"")&amp;IF($C504&gt;=25,", "&amp;$A504&amp;"-"&amp;TEXT(($D504-$C504+1)+24,"00"),""))</f>
        <v/>
      </c>
      <c r="G504">
        <f>IF($A504="","",IF($E504=1,$F504,IF($F504="",$G503,IF($G503="",$F504,$G503&amp;", "&amp;$F504))))</f>
        <v/>
      </c>
      <c r="H504">
        <f>IF($A504="","",$A504&amp;" ("&amp;$C504&amp;")")</f>
        <v/>
      </c>
      <c r="I504">
        <f>IF($A504="","",IF($E504=1,$H504,$I503&amp;", "&amp;$H504))</f>
        <v/>
      </c>
      <c r="J504">
        <f>IF($A504="","",IF($E504=1,$B504,""))</f>
        <v/>
      </c>
      <c r="K504">
        <f>IF($A504="","",IF(COUNTIF($B$2:$B504,$B504)=COUNTIF($B$2:$B$1601,$B504),$B504,""))</f>
        <v/>
      </c>
    </row>
    <row r="505">
      <c r="A505">
        <f>IF('TMP Paste'!$E505="","",'TMP Paste'!$E505)</f>
        <v/>
      </c>
      <c r="B505">
        <f>IF($A505="","",COUNTIF('TMP Paste'!$B$2:$B505,"?*"))</f>
        <v/>
      </c>
      <c r="C505">
        <f>IF($A505="","",IFERROR('TMP Paste'!$M505*1,0))</f>
        <v/>
      </c>
      <c r="D505">
        <f>IF($A505="","",SUMIF($B$2:$B505,$B505,$C$2:$C505))</f>
        <v/>
      </c>
      <c r="E505">
        <f>IF($A505="",0,IF('TMP Paste'!$B505="",0,1))</f>
        <v/>
      </c>
      <c r="F505">
        <f>IF(OR($A505="",$C505&lt;1),"",$A505&amp;"-"&amp;TEXT(($D505-$C505+1),"00")&amp;IF($C505&gt;=2,", "&amp;$A505&amp;"-"&amp;TEXT(($D505-$C505+1)+1,"00"),"")&amp;IF($C505&gt;=3,", "&amp;$A505&amp;"-"&amp;TEXT(($D505-$C505+1)+2,"00"),"")&amp;IF($C505&gt;=4,", "&amp;$A505&amp;"-"&amp;TEXT(($D505-$C505+1)+3,"00"),"")&amp;IF($C505&gt;=5,", "&amp;$A505&amp;"-"&amp;TEXT(($D505-$C505+1)+4,"00"),"")&amp;IF($C505&gt;=6,", "&amp;$A505&amp;"-"&amp;TEXT(($D505-$C505+1)+5,"00"),"")&amp;IF($C505&gt;=7,", "&amp;$A505&amp;"-"&amp;TEXT(($D505-$C505+1)+6,"00"),"")&amp;IF($C505&gt;=8,", "&amp;$A505&amp;"-"&amp;TEXT(($D505-$C505+1)+7,"00"),"")&amp;IF($C505&gt;=9,", "&amp;$A505&amp;"-"&amp;TEXT(($D505-$C505+1)+8,"00"),"")&amp;IF($C505&gt;=10,", "&amp;$A505&amp;"-"&amp;TEXT(($D505-$C505+1)+9,"00"),"")&amp;IF($C505&gt;=11,", "&amp;$A505&amp;"-"&amp;TEXT(($D505-$C505+1)+10,"00"),"")&amp;IF($C505&gt;=12,", "&amp;$A505&amp;"-"&amp;TEXT(($D505-$C505+1)+11,"00"),"")&amp;IF($C505&gt;=13,", "&amp;$A505&amp;"-"&amp;TEXT(($D505-$C505+1)+12,"00"),"")&amp;IF($C505&gt;=14,", "&amp;$A505&amp;"-"&amp;TEXT(($D505-$C505+1)+13,"00"),"")&amp;IF($C505&gt;=15,", "&amp;$A505&amp;"-"&amp;TEXT(($D505-$C505+1)+14,"00"),"")&amp;IF($C505&gt;=16,", "&amp;$A505&amp;"-"&amp;TEXT(($D505-$C505+1)+15,"00"),"")&amp;IF($C505&gt;=17,", "&amp;$A505&amp;"-"&amp;TEXT(($D505-$C505+1)+16,"00"),"")&amp;IF($C505&gt;=18,", "&amp;$A505&amp;"-"&amp;TEXT(($D505-$C505+1)+17,"00"),"")&amp;IF($C505&gt;=19,", "&amp;$A505&amp;"-"&amp;TEXT(($D505-$C505+1)+18,"00"),"")&amp;IF($C505&gt;=20,", "&amp;$A505&amp;"-"&amp;TEXT(($D505-$C505+1)+19,"00"),"")&amp;IF($C505&gt;=21,", "&amp;$A505&amp;"-"&amp;TEXT(($D505-$C505+1)+20,"00"),"")&amp;IF($C505&gt;=22,", "&amp;$A505&amp;"-"&amp;TEXT(($D505-$C505+1)+21,"00"),"")&amp;IF($C505&gt;=23,", "&amp;$A505&amp;"-"&amp;TEXT(($D505-$C505+1)+22,"00"),"")&amp;IF($C505&gt;=24,", "&amp;$A505&amp;"-"&amp;TEXT(($D505-$C505+1)+23,"00"),"")&amp;IF($C505&gt;=25,", "&amp;$A505&amp;"-"&amp;TEXT(($D505-$C505+1)+24,"00"),""))</f>
        <v/>
      </c>
      <c r="G505">
        <f>IF($A505="","",IF($E505=1,$F505,IF($F505="",$G504,IF($G504="",$F505,$G504&amp;", "&amp;$F505))))</f>
        <v/>
      </c>
      <c r="H505">
        <f>IF($A505="","",$A505&amp;" ("&amp;$C505&amp;")")</f>
        <v/>
      </c>
      <c r="I505">
        <f>IF($A505="","",IF($E505=1,$H505,$I504&amp;", "&amp;$H505))</f>
        <v/>
      </c>
      <c r="J505">
        <f>IF($A505="","",IF($E505=1,$B505,""))</f>
        <v/>
      </c>
      <c r="K505">
        <f>IF($A505="","",IF(COUNTIF($B$2:$B505,$B505)=COUNTIF($B$2:$B$1601,$B505),$B505,""))</f>
        <v/>
      </c>
    </row>
    <row r="506">
      <c r="A506">
        <f>IF('TMP Paste'!$E506="","",'TMP Paste'!$E506)</f>
        <v/>
      </c>
      <c r="B506">
        <f>IF($A506="","",COUNTIF('TMP Paste'!$B$2:$B506,"?*"))</f>
        <v/>
      </c>
      <c r="C506">
        <f>IF($A506="","",IFERROR('TMP Paste'!$M506*1,0))</f>
        <v/>
      </c>
      <c r="D506">
        <f>IF($A506="","",SUMIF($B$2:$B506,$B506,$C$2:$C506))</f>
        <v/>
      </c>
      <c r="E506">
        <f>IF($A506="",0,IF('TMP Paste'!$B506="",0,1))</f>
        <v/>
      </c>
      <c r="F506">
        <f>IF(OR($A506="",$C506&lt;1),"",$A506&amp;"-"&amp;TEXT(($D506-$C506+1),"00")&amp;IF($C506&gt;=2,", "&amp;$A506&amp;"-"&amp;TEXT(($D506-$C506+1)+1,"00"),"")&amp;IF($C506&gt;=3,", "&amp;$A506&amp;"-"&amp;TEXT(($D506-$C506+1)+2,"00"),"")&amp;IF($C506&gt;=4,", "&amp;$A506&amp;"-"&amp;TEXT(($D506-$C506+1)+3,"00"),"")&amp;IF($C506&gt;=5,", "&amp;$A506&amp;"-"&amp;TEXT(($D506-$C506+1)+4,"00"),"")&amp;IF($C506&gt;=6,", "&amp;$A506&amp;"-"&amp;TEXT(($D506-$C506+1)+5,"00"),"")&amp;IF($C506&gt;=7,", "&amp;$A506&amp;"-"&amp;TEXT(($D506-$C506+1)+6,"00"),"")&amp;IF($C506&gt;=8,", "&amp;$A506&amp;"-"&amp;TEXT(($D506-$C506+1)+7,"00"),"")&amp;IF($C506&gt;=9,", "&amp;$A506&amp;"-"&amp;TEXT(($D506-$C506+1)+8,"00"),"")&amp;IF($C506&gt;=10,", "&amp;$A506&amp;"-"&amp;TEXT(($D506-$C506+1)+9,"00"),"")&amp;IF($C506&gt;=11,", "&amp;$A506&amp;"-"&amp;TEXT(($D506-$C506+1)+10,"00"),"")&amp;IF($C506&gt;=12,", "&amp;$A506&amp;"-"&amp;TEXT(($D506-$C506+1)+11,"00"),"")&amp;IF($C506&gt;=13,", "&amp;$A506&amp;"-"&amp;TEXT(($D506-$C506+1)+12,"00"),"")&amp;IF($C506&gt;=14,", "&amp;$A506&amp;"-"&amp;TEXT(($D506-$C506+1)+13,"00"),"")&amp;IF($C506&gt;=15,", "&amp;$A506&amp;"-"&amp;TEXT(($D506-$C506+1)+14,"00"),"")&amp;IF($C506&gt;=16,", "&amp;$A506&amp;"-"&amp;TEXT(($D506-$C506+1)+15,"00"),"")&amp;IF($C506&gt;=17,", "&amp;$A506&amp;"-"&amp;TEXT(($D506-$C506+1)+16,"00"),"")&amp;IF($C506&gt;=18,", "&amp;$A506&amp;"-"&amp;TEXT(($D506-$C506+1)+17,"00"),"")&amp;IF($C506&gt;=19,", "&amp;$A506&amp;"-"&amp;TEXT(($D506-$C506+1)+18,"00"),"")&amp;IF($C506&gt;=20,", "&amp;$A506&amp;"-"&amp;TEXT(($D506-$C506+1)+19,"00"),"")&amp;IF($C506&gt;=21,", "&amp;$A506&amp;"-"&amp;TEXT(($D506-$C506+1)+20,"00"),"")&amp;IF($C506&gt;=22,", "&amp;$A506&amp;"-"&amp;TEXT(($D506-$C506+1)+21,"00"),"")&amp;IF($C506&gt;=23,", "&amp;$A506&amp;"-"&amp;TEXT(($D506-$C506+1)+22,"00"),"")&amp;IF($C506&gt;=24,", "&amp;$A506&amp;"-"&amp;TEXT(($D506-$C506+1)+23,"00"),"")&amp;IF($C506&gt;=25,", "&amp;$A506&amp;"-"&amp;TEXT(($D506-$C506+1)+24,"00"),""))</f>
        <v/>
      </c>
      <c r="G506">
        <f>IF($A506="","",IF($E506=1,$F506,IF($F506="",$G505,IF($G505="",$F506,$G505&amp;", "&amp;$F506))))</f>
        <v/>
      </c>
      <c r="H506">
        <f>IF($A506="","",$A506&amp;" ("&amp;$C506&amp;")")</f>
        <v/>
      </c>
      <c r="I506">
        <f>IF($A506="","",IF($E506=1,$H506,$I505&amp;", "&amp;$H506))</f>
        <v/>
      </c>
      <c r="J506">
        <f>IF($A506="","",IF($E506=1,$B506,""))</f>
        <v/>
      </c>
      <c r="K506">
        <f>IF($A506="","",IF(COUNTIF($B$2:$B506,$B506)=COUNTIF($B$2:$B$1601,$B506),$B506,""))</f>
        <v/>
      </c>
    </row>
    <row r="507">
      <c r="A507">
        <f>IF('TMP Paste'!$E507="","",'TMP Paste'!$E507)</f>
        <v/>
      </c>
      <c r="B507">
        <f>IF($A507="","",COUNTIF('TMP Paste'!$B$2:$B507,"?*"))</f>
        <v/>
      </c>
      <c r="C507">
        <f>IF($A507="","",IFERROR('TMP Paste'!$M507*1,0))</f>
        <v/>
      </c>
      <c r="D507">
        <f>IF($A507="","",SUMIF($B$2:$B507,$B507,$C$2:$C507))</f>
        <v/>
      </c>
      <c r="E507">
        <f>IF($A507="",0,IF('TMP Paste'!$B507="",0,1))</f>
        <v/>
      </c>
      <c r="F507">
        <f>IF(OR($A507="",$C507&lt;1),"",$A507&amp;"-"&amp;TEXT(($D507-$C507+1),"00")&amp;IF($C507&gt;=2,", "&amp;$A507&amp;"-"&amp;TEXT(($D507-$C507+1)+1,"00"),"")&amp;IF($C507&gt;=3,", "&amp;$A507&amp;"-"&amp;TEXT(($D507-$C507+1)+2,"00"),"")&amp;IF($C507&gt;=4,", "&amp;$A507&amp;"-"&amp;TEXT(($D507-$C507+1)+3,"00"),"")&amp;IF($C507&gt;=5,", "&amp;$A507&amp;"-"&amp;TEXT(($D507-$C507+1)+4,"00"),"")&amp;IF($C507&gt;=6,", "&amp;$A507&amp;"-"&amp;TEXT(($D507-$C507+1)+5,"00"),"")&amp;IF($C507&gt;=7,", "&amp;$A507&amp;"-"&amp;TEXT(($D507-$C507+1)+6,"00"),"")&amp;IF($C507&gt;=8,", "&amp;$A507&amp;"-"&amp;TEXT(($D507-$C507+1)+7,"00"),"")&amp;IF($C507&gt;=9,", "&amp;$A507&amp;"-"&amp;TEXT(($D507-$C507+1)+8,"00"),"")&amp;IF($C507&gt;=10,", "&amp;$A507&amp;"-"&amp;TEXT(($D507-$C507+1)+9,"00"),"")&amp;IF($C507&gt;=11,", "&amp;$A507&amp;"-"&amp;TEXT(($D507-$C507+1)+10,"00"),"")&amp;IF($C507&gt;=12,", "&amp;$A507&amp;"-"&amp;TEXT(($D507-$C507+1)+11,"00"),"")&amp;IF($C507&gt;=13,", "&amp;$A507&amp;"-"&amp;TEXT(($D507-$C507+1)+12,"00"),"")&amp;IF($C507&gt;=14,", "&amp;$A507&amp;"-"&amp;TEXT(($D507-$C507+1)+13,"00"),"")&amp;IF($C507&gt;=15,", "&amp;$A507&amp;"-"&amp;TEXT(($D507-$C507+1)+14,"00"),"")&amp;IF($C507&gt;=16,", "&amp;$A507&amp;"-"&amp;TEXT(($D507-$C507+1)+15,"00"),"")&amp;IF($C507&gt;=17,", "&amp;$A507&amp;"-"&amp;TEXT(($D507-$C507+1)+16,"00"),"")&amp;IF($C507&gt;=18,", "&amp;$A507&amp;"-"&amp;TEXT(($D507-$C507+1)+17,"00"),"")&amp;IF($C507&gt;=19,", "&amp;$A507&amp;"-"&amp;TEXT(($D507-$C507+1)+18,"00"),"")&amp;IF($C507&gt;=20,", "&amp;$A507&amp;"-"&amp;TEXT(($D507-$C507+1)+19,"00"),"")&amp;IF($C507&gt;=21,", "&amp;$A507&amp;"-"&amp;TEXT(($D507-$C507+1)+20,"00"),"")&amp;IF($C507&gt;=22,", "&amp;$A507&amp;"-"&amp;TEXT(($D507-$C507+1)+21,"00"),"")&amp;IF($C507&gt;=23,", "&amp;$A507&amp;"-"&amp;TEXT(($D507-$C507+1)+22,"00"),"")&amp;IF($C507&gt;=24,", "&amp;$A507&amp;"-"&amp;TEXT(($D507-$C507+1)+23,"00"),"")&amp;IF($C507&gt;=25,", "&amp;$A507&amp;"-"&amp;TEXT(($D507-$C507+1)+24,"00"),""))</f>
        <v/>
      </c>
      <c r="G507">
        <f>IF($A507="","",IF($E507=1,$F507,IF($F507="",$G506,IF($G506="",$F507,$G506&amp;", "&amp;$F507))))</f>
        <v/>
      </c>
      <c r="H507">
        <f>IF($A507="","",$A507&amp;" ("&amp;$C507&amp;")")</f>
        <v/>
      </c>
      <c r="I507">
        <f>IF($A507="","",IF($E507=1,$H507,$I506&amp;", "&amp;$H507))</f>
        <v/>
      </c>
      <c r="J507">
        <f>IF($A507="","",IF($E507=1,$B507,""))</f>
        <v/>
      </c>
      <c r="K507">
        <f>IF($A507="","",IF(COUNTIF($B$2:$B507,$B507)=COUNTIF($B$2:$B$1601,$B507),$B507,""))</f>
        <v/>
      </c>
    </row>
    <row r="508">
      <c r="A508">
        <f>IF('TMP Paste'!$E508="","",'TMP Paste'!$E508)</f>
        <v/>
      </c>
      <c r="B508">
        <f>IF($A508="","",COUNTIF('TMP Paste'!$B$2:$B508,"?*"))</f>
        <v/>
      </c>
      <c r="C508">
        <f>IF($A508="","",IFERROR('TMP Paste'!$M508*1,0))</f>
        <v/>
      </c>
      <c r="D508">
        <f>IF($A508="","",SUMIF($B$2:$B508,$B508,$C$2:$C508))</f>
        <v/>
      </c>
      <c r="E508">
        <f>IF($A508="",0,IF('TMP Paste'!$B508="",0,1))</f>
        <v/>
      </c>
      <c r="F508">
        <f>IF(OR($A508="",$C508&lt;1),"",$A508&amp;"-"&amp;TEXT(($D508-$C508+1),"00")&amp;IF($C508&gt;=2,", "&amp;$A508&amp;"-"&amp;TEXT(($D508-$C508+1)+1,"00"),"")&amp;IF($C508&gt;=3,", "&amp;$A508&amp;"-"&amp;TEXT(($D508-$C508+1)+2,"00"),"")&amp;IF($C508&gt;=4,", "&amp;$A508&amp;"-"&amp;TEXT(($D508-$C508+1)+3,"00"),"")&amp;IF($C508&gt;=5,", "&amp;$A508&amp;"-"&amp;TEXT(($D508-$C508+1)+4,"00"),"")&amp;IF($C508&gt;=6,", "&amp;$A508&amp;"-"&amp;TEXT(($D508-$C508+1)+5,"00"),"")&amp;IF($C508&gt;=7,", "&amp;$A508&amp;"-"&amp;TEXT(($D508-$C508+1)+6,"00"),"")&amp;IF($C508&gt;=8,", "&amp;$A508&amp;"-"&amp;TEXT(($D508-$C508+1)+7,"00"),"")&amp;IF($C508&gt;=9,", "&amp;$A508&amp;"-"&amp;TEXT(($D508-$C508+1)+8,"00"),"")&amp;IF($C508&gt;=10,", "&amp;$A508&amp;"-"&amp;TEXT(($D508-$C508+1)+9,"00"),"")&amp;IF($C508&gt;=11,", "&amp;$A508&amp;"-"&amp;TEXT(($D508-$C508+1)+10,"00"),"")&amp;IF($C508&gt;=12,", "&amp;$A508&amp;"-"&amp;TEXT(($D508-$C508+1)+11,"00"),"")&amp;IF($C508&gt;=13,", "&amp;$A508&amp;"-"&amp;TEXT(($D508-$C508+1)+12,"00"),"")&amp;IF($C508&gt;=14,", "&amp;$A508&amp;"-"&amp;TEXT(($D508-$C508+1)+13,"00"),"")&amp;IF($C508&gt;=15,", "&amp;$A508&amp;"-"&amp;TEXT(($D508-$C508+1)+14,"00"),"")&amp;IF($C508&gt;=16,", "&amp;$A508&amp;"-"&amp;TEXT(($D508-$C508+1)+15,"00"),"")&amp;IF($C508&gt;=17,", "&amp;$A508&amp;"-"&amp;TEXT(($D508-$C508+1)+16,"00"),"")&amp;IF($C508&gt;=18,", "&amp;$A508&amp;"-"&amp;TEXT(($D508-$C508+1)+17,"00"),"")&amp;IF($C508&gt;=19,", "&amp;$A508&amp;"-"&amp;TEXT(($D508-$C508+1)+18,"00"),"")&amp;IF($C508&gt;=20,", "&amp;$A508&amp;"-"&amp;TEXT(($D508-$C508+1)+19,"00"),"")&amp;IF($C508&gt;=21,", "&amp;$A508&amp;"-"&amp;TEXT(($D508-$C508+1)+20,"00"),"")&amp;IF($C508&gt;=22,", "&amp;$A508&amp;"-"&amp;TEXT(($D508-$C508+1)+21,"00"),"")&amp;IF($C508&gt;=23,", "&amp;$A508&amp;"-"&amp;TEXT(($D508-$C508+1)+22,"00"),"")&amp;IF($C508&gt;=24,", "&amp;$A508&amp;"-"&amp;TEXT(($D508-$C508+1)+23,"00"),"")&amp;IF($C508&gt;=25,", "&amp;$A508&amp;"-"&amp;TEXT(($D508-$C508+1)+24,"00"),""))</f>
        <v/>
      </c>
      <c r="G508">
        <f>IF($A508="","",IF($E508=1,$F508,IF($F508="",$G507,IF($G507="",$F508,$G507&amp;", "&amp;$F508))))</f>
        <v/>
      </c>
      <c r="H508">
        <f>IF($A508="","",$A508&amp;" ("&amp;$C508&amp;")")</f>
        <v/>
      </c>
      <c r="I508">
        <f>IF($A508="","",IF($E508=1,$H508,$I507&amp;", "&amp;$H508))</f>
        <v/>
      </c>
      <c r="J508">
        <f>IF($A508="","",IF($E508=1,$B508,""))</f>
        <v/>
      </c>
      <c r="K508">
        <f>IF($A508="","",IF(COUNTIF($B$2:$B508,$B508)=COUNTIF($B$2:$B$1601,$B508),$B508,""))</f>
        <v/>
      </c>
    </row>
    <row r="509">
      <c r="A509">
        <f>IF('TMP Paste'!$E509="","",'TMP Paste'!$E509)</f>
        <v/>
      </c>
      <c r="B509">
        <f>IF($A509="","",COUNTIF('TMP Paste'!$B$2:$B509,"?*"))</f>
        <v/>
      </c>
      <c r="C509">
        <f>IF($A509="","",IFERROR('TMP Paste'!$M509*1,0))</f>
        <v/>
      </c>
      <c r="D509">
        <f>IF($A509="","",SUMIF($B$2:$B509,$B509,$C$2:$C509))</f>
        <v/>
      </c>
      <c r="E509">
        <f>IF($A509="",0,IF('TMP Paste'!$B509="",0,1))</f>
        <v/>
      </c>
      <c r="F509">
        <f>IF(OR($A509="",$C509&lt;1),"",$A509&amp;"-"&amp;TEXT(($D509-$C509+1),"00")&amp;IF($C509&gt;=2,", "&amp;$A509&amp;"-"&amp;TEXT(($D509-$C509+1)+1,"00"),"")&amp;IF($C509&gt;=3,", "&amp;$A509&amp;"-"&amp;TEXT(($D509-$C509+1)+2,"00"),"")&amp;IF($C509&gt;=4,", "&amp;$A509&amp;"-"&amp;TEXT(($D509-$C509+1)+3,"00"),"")&amp;IF($C509&gt;=5,", "&amp;$A509&amp;"-"&amp;TEXT(($D509-$C509+1)+4,"00"),"")&amp;IF($C509&gt;=6,", "&amp;$A509&amp;"-"&amp;TEXT(($D509-$C509+1)+5,"00"),"")&amp;IF($C509&gt;=7,", "&amp;$A509&amp;"-"&amp;TEXT(($D509-$C509+1)+6,"00"),"")&amp;IF($C509&gt;=8,", "&amp;$A509&amp;"-"&amp;TEXT(($D509-$C509+1)+7,"00"),"")&amp;IF($C509&gt;=9,", "&amp;$A509&amp;"-"&amp;TEXT(($D509-$C509+1)+8,"00"),"")&amp;IF($C509&gt;=10,", "&amp;$A509&amp;"-"&amp;TEXT(($D509-$C509+1)+9,"00"),"")&amp;IF($C509&gt;=11,", "&amp;$A509&amp;"-"&amp;TEXT(($D509-$C509+1)+10,"00"),"")&amp;IF($C509&gt;=12,", "&amp;$A509&amp;"-"&amp;TEXT(($D509-$C509+1)+11,"00"),"")&amp;IF($C509&gt;=13,", "&amp;$A509&amp;"-"&amp;TEXT(($D509-$C509+1)+12,"00"),"")&amp;IF($C509&gt;=14,", "&amp;$A509&amp;"-"&amp;TEXT(($D509-$C509+1)+13,"00"),"")&amp;IF($C509&gt;=15,", "&amp;$A509&amp;"-"&amp;TEXT(($D509-$C509+1)+14,"00"),"")&amp;IF($C509&gt;=16,", "&amp;$A509&amp;"-"&amp;TEXT(($D509-$C509+1)+15,"00"),"")&amp;IF($C509&gt;=17,", "&amp;$A509&amp;"-"&amp;TEXT(($D509-$C509+1)+16,"00"),"")&amp;IF($C509&gt;=18,", "&amp;$A509&amp;"-"&amp;TEXT(($D509-$C509+1)+17,"00"),"")&amp;IF($C509&gt;=19,", "&amp;$A509&amp;"-"&amp;TEXT(($D509-$C509+1)+18,"00"),"")&amp;IF($C509&gt;=20,", "&amp;$A509&amp;"-"&amp;TEXT(($D509-$C509+1)+19,"00"),"")&amp;IF($C509&gt;=21,", "&amp;$A509&amp;"-"&amp;TEXT(($D509-$C509+1)+20,"00"),"")&amp;IF($C509&gt;=22,", "&amp;$A509&amp;"-"&amp;TEXT(($D509-$C509+1)+21,"00"),"")&amp;IF($C509&gt;=23,", "&amp;$A509&amp;"-"&amp;TEXT(($D509-$C509+1)+22,"00"),"")&amp;IF($C509&gt;=24,", "&amp;$A509&amp;"-"&amp;TEXT(($D509-$C509+1)+23,"00"),"")&amp;IF($C509&gt;=25,", "&amp;$A509&amp;"-"&amp;TEXT(($D509-$C509+1)+24,"00"),""))</f>
        <v/>
      </c>
      <c r="G509">
        <f>IF($A509="","",IF($E509=1,$F509,IF($F509="",$G508,IF($G508="",$F509,$G508&amp;", "&amp;$F509))))</f>
        <v/>
      </c>
      <c r="H509">
        <f>IF($A509="","",$A509&amp;" ("&amp;$C509&amp;")")</f>
        <v/>
      </c>
      <c r="I509">
        <f>IF($A509="","",IF($E509=1,$H509,$I508&amp;", "&amp;$H509))</f>
        <v/>
      </c>
      <c r="J509">
        <f>IF($A509="","",IF($E509=1,$B509,""))</f>
        <v/>
      </c>
      <c r="K509">
        <f>IF($A509="","",IF(COUNTIF($B$2:$B509,$B509)=COUNTIF($B$2:$B$1601,$B509),$B509,""))</f>
        <v/>
      </c>
    </row>
    <row r="510">
      <c r="A510">
        <f>IF('TMP Paste'!$E510="","",'TMP Paste'!$E510)</f>
        <v/>
      </c>
      <c r="B510">
        <f>IF($A510="","",COUNTIF('TMP Paste'!$B$2:$B510,"?*"))</f>
        <v/>
      </c>
      <c r="C510">
        <f>IF($A510="","",IFERROR('TMP Paste'!$M510*1,0))</f>
        <v/>
      </c>
      <c r="D510">
        <f>IF($A510="","",SUMIF($B$2:$B510,$B510,$C$2:$C510))</f>
        <v/>
      </c>
      <c r="E510">
        <f>IF($A510="",0,IF('TMP Paste'!$B510="",0,1))</f>
        <v/>
      </c>
      <c r="F510">
        <f>IF(OR($A510="",$C510&lt;1),"",$A510&amp;"-"&amp;TEXT(($D510-$C510+1),"00")&amp;IF($C510&gt;=2,", "&amp;$A510&amp;"-"&amp;TEXT(($D510-$C510+1)+1,"00"),"")&amp;IF($C510&gt;=3,", "&amp;$A510&amp;"-"&amp;TEXT(($D510-$C510+1)+2,"00"),"")&amp;IF($C510&gt;=4,", "&amp;$A510&amp;"-"&amp;TEXT(($D510-$C510+1)+3,"00"),"")&amp;IF($C510&gt;=5,", "&amp;$A510&amp;"-"&amp;TEXT(($D510-$C510+1)+4,"00"),"")&amp;IF($C510&gt;=6,", "&amp;$A510&amp;"-"&amp;TEXT(($D510-$C510+1)+5,"00"),"")&amp;IF($C510&gt;=7,", "&amp;$A510&amp;"-"&amp;TEXT(($D510-$C510+1)+6,"00"),"")&amp;IF($C510&gt;=8,", "&amp;$A510&amp;"-"&amp;TEXT(($D510-$C510+1)+7,"00"),"")&amp;IF($C510&gt;=9,", "&amp;$A510&amp;"-"&amp;TEXT(($D510-$C510+1)+8,"00"),"")&amp;IF($C510&gt;=10,", "&amp;$A510&amp;"-"&amp;TEXT(($D510-$C510+1)+9,"00"),"")&amp;IF($C510&gt;=11,", "&amp;$A510&amp;"-"&amp;TEXT(($D510-$C510+1)+10,"00"),"")&amp;IF($C510&gt;=12,", "&amp;$A510&amp;"-"&amp;TEXT(($D510-$C510+1)+11,"00"),"")&amp;IF($C510&gt;=13,", "&amp;$A510&amp;"-"&amp;TEXT(($D510-$C510+1)+12,"00"),"")&amp;IF($C510&gt;=14,", "&amp;$A510&amp;"-"&amp;TEXT(($D510-$C510+1)+13,"00"),"")&amp;IF($C510&gt;=15,", "&amp;$A510&amp;"-"&amp;TEXT(($D510-$C510+1)+14,"00"),"")&amp;IF($C510&gt;=16,", "&amp;$A510&amp;"-"&amp;TEXT(($D510-$C510+1)+15,"00"),"")&amp;IF($C510&gt;=17,", "&amp;$A510&amp;"-"&amp;TEXT(($D510-$C510+1)+16,"00"),"")&amp;IF($C510&gt;=18,", "&amp;$A510&amp;"-"&amp;TEXT(($D510-$C510+1)+17,"00"),"")&amp;IF($C510&gt;=19,", "&amp;$A510&amp;"-"&amp;TEXT(($D510-$C510+1)+18,"00"),"")&amp;IF($C510&gt;=20,", "&amp;$A510&amp;"-"&amp;TEXT(($D510-$C510+1)+19,"00"),"")&amp;IF($C510&gt;=21,", "&amp;$A510&amp;"-"&amp;TEXT(($D510-$C510+1)+20,"00"),"")&amp;IF($C510&gt;=22,", "&amp;$A510&amp;"-"&amp;TEXT(($D510-$C510+1)+21,"00"),"")&amp;IF($C510&gt;=23,", "&amp;$A510&amp;"-"&amp;TEXT(($D510-$C510+1)+22,"00"),"")&amp;IF($C510&gt;=24,", "&amp;$A510&amp;"-"&amp;TEXT(($D510-$C510+1)+23,"00"),"")&amp;IF($C510&gt;=25,", "&amp;$A510&amp;"-"&amp;TEXT(($D510-$C510+1)+24,"00"),""))</f>
        <v/>
      </c>
      <c r="G510">
        <f>IF($A510="","",IF($E510=1,$F510,IF($F510="",$G509,IF($G509="",$F510,$G509&amp;", "&amp;$F510))))</f>
        <v/>
      </c>
      <c r="H510">
        <f>IF($A510="","",$A510&amp;" ("&amp;$C510&amp;")")</f>
        <v/>
      </c>
      <c r="I510">
        <f>IF($A510="","",IF($E510=1,$H510,$I509&amp;", "&amp;$H510))</f>
        <v/>
      </c>
      <c r="J510">
        <f>IF($A510="","",IF($E510=1,$B510,""))</f>
        <v/>
      </c>
      <c r="K510">
        <f>IF($A510="","",IF(COUNTIF($B$2:$B510,$B510)=COUNTIF($B$2:$B$1601,$B510),$B510,""))</f>
        <v/>
      </c>
    </row>
    <row r="511">
      <c r="A511">
        <f>IF('TMP Paste'!$E511="","",'TMP Paste'!$E511)</f>
        <v/>
      </c>
      <c r="B511">
        <f>IF($A511="","",COUNTIF('TMP Paste'!$B$2:$B511,"?*"))</f>
        <v/>
      </c>
      <c r="C511">
        <f>IF($A511="","",IFERROR('TMP Paste'!$M511*1,0))</f>
        <v/>
      </c>
      <c r="D511">
        <f>IF($A511="","",SUMIF($B$2:$B511,$B511,$C$2:$C511))</f>
        <v/>
      </c>
      <c r="E511">
        <f>IF($A511="",0,IF('TMP Paste'!$B511="",0,1))</f>
        <v/>
      </c>
      <c r="F511">
        <f>IF(OR($A511="",$C511&lt;1),"",$A511&amp;"-"&amp;TEXT(($D511-$C511+1),"00")&amp;IF($C511&gt;=2,", "&amp;$A511&amp;"-"&amp;TEXT(($D511-$C511+1)+1,"00"),"")&amp;IF($C511&gt;=3,", "&amp;$A511&amp;"-"&amp;TEXT(($D511-$C511+1)+2,"00"),"")&amp;IF($C511&gt;=4,", "&amp;$A511&amp;"-"&amp;TEXT(($D511-$C511+1)+3,"00"),"")&amp;IF($C511&gt;=5,", "&amp;$A511&amp;"-"&amp;TEXT(($D511-$C511+1)+4,"00"),"")&amp;IF($C511&gt;=6,", "&amp;$A511&amp;"-"&amp;TEXT(($D511-$C511+1)+5,"00"),"")&amp;IF($C511&gt;=7,", "&amp;$A511&amp;"-"&amp;TEXT(($D511-$C511+1)+6,"00"),"")&amp;IF($C511&gt;=8,", "&amp;$A511&amp;"-"&amp;TEXT(($D511-$C511+1)+7,"00"),"")&amp;IF($C511&gt;=9,", "&amp;$A511&amp;"-"&amp;TEXT(($D511-$C511+1)+8,"00"),"")&amp;IF($C511&gt;=10,", "&amp;$A511&amp;"-"&amp;TEXT(($D511-$C511+1)+9,"00"),"")&amp;IF($C511&gt;=11,", "&amp;$A511&amp;"-"&amp;TEXT(($D511-$C511+1)+10,"00"),"")&amp;IF($C511&gt;=12,", "&amp;$A511&amp;"-"&amp;TEXT(($D511-$C511+1)+11,"00"),"")&amp;IF($C511&gt;=13,", "&amp;$A511&amp;"-"&amp;TEXT(($D511-$C511+1)+12,"00"),"")&amp;IF($C511&gt;=14,", "&amp;$A511&amp;"-"&amp;TEXT(($D511-$C511+1)+13,"00"),"")&amp;IF($C511&gt;=15,", "&amp;$A511&amp;"-"&amp;TEXT(($D511-$C511+1)+14,"00"),"")&amp;IF($C511&gt;=16,", "&amp;$A511&amp;"-"&amp;TEXT(($D511-$C511+1)+15,"00"),"")&amp;IF($C511&gt;=17,", "&amp;$A511&amp;"-"&amp;TEXT(($D511-$C511+1)+16,"00"),"")&amp;IF($C511&gt;=18,", "&amp;$A511&amp;"-"&amp;TEXT(($D511-$C511+1)+17,"00"),"")&amp;IF($C511&gt;=19,", "&amp;$A511&amp;"-"&amp;TEXT(($D511-$C511+1)+18,"00"),"")&amp;IF($C511&gt;=20,", "&amp;$A511&amp;"-"&amp;TEXT(($D511-$C511+1)+19,"00"),"")&amp;IF($C511&gt;=21,", "&amp;$A511&amp;"-"&amp;TEXT(($D511-$C511+1)+20,"00"),"")&amp;IF($C511&gt;=22,", "&amp;$A511&amp;"-"&amp;TEXT(($D511-$C511+1)+21,"00"),"")&amp;IF($C511&gt;=23,", "&amp;$A511&amp;"-"&amp;TEXT(($D511-$C511+1)+22,"00"),"")&amp;IF($C511&gt;=24,", "&amp;$A511&amp;"-"&amp;TEXT(($D511-$C511+1)+23,"00"),"")&amp;IF($C511&gt;=25,", "&amp;$A511&amp;"-"&amp;TEXT(($D511-$C511+1)+24,"00"),""))</f>
        <v/>
      </c>
      <c r="G511">
        <f>IF($A511="","",IF($E511=1,$F511,IF($F511="",$G510,IF($G510="",$F511,$G510&amp;", "&amp;$F511))))</f>
        <v/>
      </c>
      <c r="H511">
        <f>IF($A511="","",$A511&amp;" ("&amp;$C511&amp;")")</f>
        <v/>
      </c>
      <c r="I511">
        <f>IF($A511="","",IF($E511=1,$H511,$I510&amp;", "&amp;$H511))</f>
        <v/>
      </c>
      <c r="J511">
        <f>IF($A511="","",IF($E511=1,$B511,""))</f>
        <v/>
      </c>
      <c r="K511">
        <f>IF($A511="","",IF(COUNTIF($B$2:$B511,$B511)=COUNTIF($B$2:$B$1601,$B511),$B511,""))</f>
        <v/>
      </c>
    </row>
    <row r="512">
      <c r="A512">
        <f>IF('TMP Paste'!$E512="","",'TMP Paste'!$E512)</f>
        <v/>
      </c>
      <c r="B512">
        <f>IF($A512="","",COUNTIF('TMP Paste'!$B$2:$B512,"?*"))</f>
        <v/>
      </c>
      <c r="C512">
        <f>IF($A512="","",IFERROR('TMP Paste'!$M512*1,0))</f>
        <v/>
      </c>
      <c r="D512">
        <f>IF($A512="","",SUMIF($B$2:$B512,$B512,$C$2:$C512))</f>
        <v/>
      </c>
      <c r="E512">
        <f>IF($A512="",0,IF('TMP Paste'!$B512="",0,1))</f>
        <v/>
      </c>
      <c r="F512">
        <f>IF(OR($A512="",$C512&lt;1),"",$A512&amp;"-"&amp;TEXT(($D512-$C512+1),"00")&amp;IF($C512&gt;=2,", "&amp;$A512&amp;"-"&amp;TEXT(($D512-$C512+1)+1,"00"),"")&amp;IF($C512&gt;=3,", "&amp;$A512&amp;"-"&amp;TEXT(($D512-$C512+1)+2,"00"),"")&amp;IF($C512&gt;=4,", "&amp;$A512&amp;"-"&amp;TEXT(($D512-$C512+1)+3,"00"),"")&amp;IF($C512&gt;=5,", "&amp;$A512&amp;"-"&amp;TEXT(($D512-$C512+1)+4,"00"),"")&amp;IF($C512&gt;=6,", "&amp;$A512&amp;"-"&amp;TEXT(($D512-$C512+1)+5,"00"),"")&amp;IF($C512&gt;=7,", "&amp;$A512&amp;"-"&amp;TEXT(($D512-$C512+1)+6,"00"),"")&amp;IF($C512&gt;=8,", "&amp;$A512&amp;"-"&amp;TEXT(($D512-$C512+1)+7,"00"),"")&amp;IF($C512&gt;=9,", "&amp;$A512&amp;"-"&amp;TEXT(($D512-$C512+1)+8,"00"),"")&amp;IF($C512&gt;=10,", "&amp;$A512&amp;"-"&amp;TEXT(($D512-$C512+1)+9,"00"),"")&amp;IF($C512&gt;=11,", "&amp;$A512&amp;"-"&amp;TEXT(($D512-$C512+1)+10,"00"),"")&amp;IF($C512&gt;=12,", "&amp;$A512&amp;"-"&amp;TEXT(($D512-$C512+1)+11,"00"),"")&amp;IF($C512&gt;=13,", "&amp;$A512&amp;"-"&amp;TEXT(($D512-$C512+1)+12,"00"),"")&amp;IF($C512&gt;=14,", "&amp;$A512&amp;"-"&amp;TEXT(($D512-$C512+1)+13,"00"),"")&amp;IF($C512&gt;=15,", "&amp;$A512&amp;"-"&amp;TEXT(($D512-$C512+1)+14,"00"),"")&amp;IF($C512&gt;=16,", "&amp;$A512&amp;"-"&amp;TEXT(($D512-$C512+1)+15,"00"),"")&amp;IF($C512&gt;=17,", "&amp;$A512&amp;"-"&amp;TEXT(($D512-$C512+1)+16,"00"),"")&amp;IF($C512&gt;=18,", "&amp;$A512&amp;"-"&amp;TEXT(($D512-$C512+1)+17,"00"),"")&amp;IF($C512&gt;=19,", "&amp;$A512&amp;"-"&amp;TEXT(($D512-$C512+1)+18,"00"),"")&amp;IF($C512&gt;=20,", "&amp;$A512&amp;"-"&amp;TEXT(($D512-$C512+1)+19,"00"),"")&amp;IF($C512&gt;=21,", "&amp;$A512&amp;"-"&amp;TEXT(($D512-$C512+1)+20,"00"),"")&amp;IF($C512&gt;=22,", "&amp;$A512&amp;"-"&amp;TEXT(($D512-$C512+1)+21,"00"),"")&amp;IF($C512&gt;=23,", "&amp;$A512&amp;"-"&amp;TEXT(($D512-$C512+1)+22,"00"),"")&amp;IF($C512&gt;=24,", "&amp;$A512&amp;"-"&amp;TEXT(($D512-$C512+1)+23,"00"),"")&amp;IF($C512&gt;=25,", "&amp;$A512&amp;"-"&amp;TEXT(($D512-$C512+1)+24,"00"),""))</f>
        <v/>
      </c>
      <c r="G512">
        <f>IF($A512="","",IF($E512=1,$F512,IF($F512="",$G511,IF($G511="",$F512,$G511&amp;", "&amp;$F512))))</f>
        <v/>
      </c>
      <c r="H512">
        <f>IF($A512="","",$A512&amp;" ("&amp;$C512&amp;")")</f>
        <v/>
      </c>
      <c r="I512">
        <f>IF($A512="","",IF($E512=1,$H512,$I511&amp;", "&amp;$H512))</f>
        <v/>
      </c>
      <c r="J512">
        <f>IF($A512="","",IF($E512=1,$B512,""))</f>
        <v/>
      </c>
      <c r="K512">
        <f>IF($A512="","",IF(COUNTIF($B$2:$B512,$B512)=COUNTIF($B$2:$B$1601,$B512),$B512,""))</f>
        <v/>
      </c>
    </row>
    <row r="513">
      <c r="A513">
        <f>IF('TMP Paste'!$E513="","",'TMP Paste'!$E513)</f>
        <v/>
      </c>
      <c r="B513">
        <f>IF($A513="","",COUNTIF('TMP Paste'!$B$2:$B513,"?*"))</f>
        <v/>
      </c>
      <c r="C513">
        <f>IF($A513="","",IFERROR('TMP Paste'!$M513*1,0))</f>
        <v/>
      </c>
      <c r="D513">
        <f>IF($A513="","",SUMIF($B$2:$B513,$B513,$C$2:$C513))</f>
        <v/>
      </c>
      <c r="E513">
        <f>IF($A513="",0,IF('TMP Paste'!$B513="",0,1))</f>
        <v/>
      </c>
      <c r="F513">
        <f>IF(OR($A513="",$C513&lt;1),"",$A513&amp;"-"&amp;TEXT(($D513-$C513+1),"00")&amp;IF($C513&gt;=2,", "&amp;$A513&amp;"-"&amp;TEXT(($D513-$C513+1)+1,"00"),"")&amp;IF($C513&gt;=3,", "&amp;$A513&amp;"-"&amp;TEXT(($D513-$C513+1)+2,"00"),"")&amp;IF($C513&gt;=4,", "&amp;$A513&amp;"-"&amp;TEXT(($D513-$C513+1)+3,"00"),"")&amp;IF($C513&gt;=5,", "&amp;$A513&amp;"-"&amp;TEXT(($D513-$C513+1)+4,"00"),"")&amp;IF($C513&gt;=6,", "&amp;$A513&amp;"-"&amp;TEXT(($D513-$C513+1)+5,"00"),"")&amp;IF($C513&gt;=7,", "&amp;$A513&amp;"-"&amp;TEXT(($D513-$C513+1)+6,"00"),"")&amp;IF($C513&gt;=8,", "&amp;$A513&amp;"-"&amp;TEXT(($D513-$C513+1)+7,"00"),"")&amp;IF($C513&gt;=9,", "&amp;$A513&amp;"-"&amp;TEXT(($D513-$C513+1)+8,"00"),"")&amp;IF($C513&gt;=10,", "&amp;$A513&amp;"-"&amp;TEXT(($D513-$C513+1)+9,"00"),"")&amp;IF($C513&gt;=11,", "&amp;$A513&amp;"-"&amp;TEXT(($D513-$C513+1)+10,"00"),"")&amp;IF($C513&gt;=12,", "&amp;$A513&amp;"-"&amp;TEXT(($D513-$C513+1)+11,"00"),"")&amp;IF($C513&gt;=13,", "&amp;$A513&amp;"-"&amp;TEXT(($D513-$C513+1)+12,"00"),"")&amp;IF($C513&gt;=14,", "&amp;$A513&amp;"-"&amp;TEXT(($D513-$C513+1)+13,"00"),"")&amp;IF($C513&gt;=15,", "&amp;$A513&amp;"-"&amp;TEXT(($D513-$C513+1)+14,"00"),"")&amp;IF($C513&gt;=16,", "&amp;$A513&amp;"-"&amp;TEXT(($D513-$C513+1)+15,"00"),"")&amp;IF($C513&gt;=17,", "&amp;$A513&amp;"-"&amp;TEXT(($D513-$C513+1)+16,"00"),"")&amp;IF($C513&gt;=18,", "&amp;$A513&amp;"-"&amp;TEXT(($D513-$C513+1)+17,"00"),"")&amp;IF($C513&gt;=19,", "&amp;$A513&amp;"-"&amp;TEXT(($D513-$C513+1)+18,"00"),"")&amp;IF($C513&gt;=20,", "&amp;$A513&amp;"-"&amp;TEXT(($D513-$C513+1)+19,"00"),"")&amp;IF($C513&gt;=21,", "&amp;$A513&amp;"-"&amp;TEXT(($D513-$C513+1)+20,"00"),"")&amp;IF($C513&gt;=22,", "&amp;$A513&amp;"-"&amp;TEXT(($D513-$C513+1)+21,"00"),"")&amp;IF($C513&gt;=23,", "&amp;$A513&amp;"-"&amp;TEXT(($D513-$C513+1)+22,"00"),"")&amp;IF($C513&gt;=24,", "&amp;$A513&amp;"-"&amp;TEXT(($D513-$C513+1)+23,"00"),"")&amp;IF($C513&gt;=25,", "&amp;$A513&amp;"-"&amp;TEXT(($D513-$C513+1)+24,"00"),""))</f>
        <v/>
      </c>
      <c r="G513">
        <f>IF($A513="","",IF($E513=1,$F513,IF($F513="",$G512,IF($G512="",$F513,$G512&amp;", "&amp;$F513))))</f>
        <v/>
      </c>
      <c r="H513">
        <f>IF($A513="","",$A513&amp;" ("&amp;$C513&amp;")")</f>
        <v/>
      </c>
      <c r="I513">
        <f>IF($A513="","",IF($E513=1,$H513,$I512&amp;", "&amp;$H513))</f>
        <v/>
      </c>
      <c r="J513">
        <f>IF($A513="","",IF($E513=1,$B513,""))</f>
        <v/>
      </c>
      <c r="K513">
        <f>IF($A513="","",IF(COUNTIF($B$2:$B513,$B513)=COUNTIF($B$2:$B$1601,$B513),$B513,""))</f>
        <v/>
      </c>
    </row>
    <row r="514">
      <c r="A514">
        <f>IF('TMP Paste'!$E514="","",'TMP Paste'!$E514)</f>
        <v/>
      </c>
      <c r="B514">
        <f>IF($A514="","",COUNTIF('TMP Paste'!$B$2:$B514,"?*"))</f>
        <v/>
      </c>
      <c r="C514">
        <f>IF($A514="","",IFERROR('TMP Paste'!$M514*1,0))</f>
        <v/>
      </c>
      <c r="D514">
        <f>IF($A514="","",SUMIF($B$2:$B514,$B514,$C$2:$C514))</f>
        <v/>
      </c>
      <c r="E514">
        <f>IF($A514="",0,IF('TMP Paste'!$B514="",0,1))</f>
        <v/>
      </c>
      <c r="F514">
        <f>IF(OR($A514="",$C514&lt;1),"",$A514&amp;"-"&amp;TEXT(($D514-$C514+1),"00")&amp;IF($C514&gt;=2,", "&amp;$A514&amp;"-"&amp;TEXT(($D514-$C514+1)+1,"00"),"")&amp;IF($C514&gt;=3,", "&amp;$A514&amp;"-"&amp;TEXT(($D514-$C514+1)+2,"00"),"")&amp;IF($C514&gt;=4,", "&amp;$A514&amp;"-"&amp;TEXT(($D514-$C514+1)+3,"00"),"")&amp;IF($C514&gt;=5,", "&amp;$A514&amp;"-"&amp;TEXT(($D514-$C514+1)+4,"00"),"")&amp;IF($C514&gt;=6,", "&amp;$A514&amp;"-"&amp;TEXT(($D514-$C514+1)+5,"00"),"")&amp;IF($C514&gt;=7,", "&amp;$A514&amp;"-"&amp;TEXT(($D514-$C514+1)+6,"00"),"")&amp;IF($C514&gt;=8,", "&amp;$A514&amp;"-"&amp;TEXT(($D514-$C514+1)+7,"00"),"")&amp;IF($C514&gt;=9,", "&amp;$A514&amp;"-"&amp;TEXT(($D514-$C514+1)+8,"00"),"")&amp;IF($C514&gt;=10,", "&amp;$A514&amp;"-"&amp;TEXT(($D514-$C514+1)+9,"00"),"")&amp;IF($C514&gt;=11,", "&amp;$A514&amp;"-"&amp;TEXT(($D514-$C514+1)+10,"00"),"")&amp;IF($C514&gt;=12,", "&amp;$A514&amp;"-"&amp;TEXT(($D514-$C514+1)+11,"00"),"")&amp;IF($C514&gt;=13,", "&amp;$A514&amp;"-"&amp;TEXT(($D514-$C514+1)+12,"00"),"")&amp;IF($C514&gt;=14,", "&amp;$A514&amp;"-"&amp;TEXT(($D514-$C514+1)+13,"00"),"")&amp;IF($C514&gt;=15,", "&amp;$A514&amp;"-"&amp;TEXT(($D514-$C514+1)+14,"00"),"")&amp;IF($C514&gt;=16,", "&amp;$A514&amp;"-"&amp;TEXT(($D514-$C514+1)+15,"00"),"")&amp;IF($C514&gt;=17,", "&amp;$A514&amp;"-"&amp;TEXT(($D514-$C514+1)+16,"00"),"")&amp;IF($C514&gt;=18,", "&amp;$A514&amp;"-"&amp;TEXT(($D514-$C514+1)+17,"00"),"")&amp;IF($C514&gt;=19,", "&amp;$A514&amp;"-"&amp;TEXT(($D514-$C514+1)+18,"00"),"")&amp;IF($C514&gt;=20,", "&amp;$A514&amp;"-"&amp;TEXT(($D514-$C514+1)+19,"00"),"")&amp;IF($C514&gt;=21,", "&amp;$A514&amp;"-"&amp;TEXT(($D514-$C514+1)+20,"00"),"")&amp;IF($C514&gt;=22,", "&amp;$A514&amp;"-"&amp;TEXT(($D514-$C514+1)+21,"00"),"")&amp;IF($C514&gt;=23,", "&amp;$A514&amp;"-"&amp;TEXT(($D514-$C514+1)+22,"00"),"")&amp;IF($C514&gt;=24,", "&amp;$A514&amp;"-"&amp;TEXT(($D514-$C514+1)+23,"00"),"")&amp;IF($C514&gt;=25,", "&amp;$A514&amp;"-"&amp;TEXT(($D514-$C514+1)+24,"00"),""))</f>
        <v/>
      </c>
      <c r="G514">
        <f>IF($A514="","",IF($E514=1,$F514,IF($F514="",$G513,IF($G513="",$F514,$G513&amp;", "&amp;$F514))))</f>
        <v/>
      </c>
      <c r="H514">
        <f>IF($A514="","",$A514&amp;" ("&amp;$C514&amp;")")</f>
        <v/>
      </c>
      <c r="I514">
        <f>IF($A514="","",IF($E514=1,$H514,$I513&amp;", "&amp;$H514))</f>
        <v/>
      </c>
      <c r="J514">
        <f>IF($A514="","",IF($E514=1,$B514,""))</f>
        <v/>
      </c>
      <c r="K514">
        <f>IF($A514="","",IF(COUNTIF($B$2:$B514,$B514)=COUNTIF($B$2:$B$1601,$B514),$B514,""))</f>
        <v/>
      </c>
    </row>
    <row r="515">
      <c r="A515">
        <f>IF('TMP Paste'!$E515="","",'TMP Paste'!$E515)</f>
        <v/>
      </c>
      <c r="B515">
        <f>IF($A515="","",COUNTIF('TMP Paste'!$B$2:$B515,"?*"))</f>
        <v/>
      </c>
      <c r="C515">
        <f>IF($A515="","",IFERROR('TMP Paste'!$M515*1,0))</f>
        <v/>
      </c>
      <c r="D515">
        <f>IF($A515="","",SUMIF($B$2:$B515,$B515,$C$2:$C515))</f>
        <v/>
      </c>
      <c r="E515">
        <f>IF($A515="",0,IF('TMP Paste'!$B515="",0,1))</f>
        <v/>
      </c>
      <c r="F515">
        <f>IF(OR($A515="",$C515&lt;1),"",$A515&amp;"-"&amp;TEXT(($D515-$C515+1),"00")&amp;IF($C515&gt;=2,", "&amp;$A515&amp;"-"&amp;TEXT(($D515-$C515+1)+1,"00"),"")&amp;IF($C515&gt;=3,", "&amp;$A515&amp;"-"&amp;TEXT(($D515-$C515+1)+2,"00"),"")&amp;IF($C515&gt;=4,", "&amp;$A515&amp;"-"&amp;TEXT(($D515-$C515+1)+3,"00"),"")&amp;IF($C515&gt;=5,", "&amp;$A515&amp;"-"&amp;TEXT(($D515-$C515+1)+4,"00"),"")&amp;IF($C515&gt;=6,", "&amp;$A515&amp;"-"&amp;TEXT(($D515-$C515+1)+5,"00"),"")&amp;IF($C515&gt;=7,", "&amp;$A515&amp;"-"&amp;TEXT(($D515-$C515+1)+6,"00"),"")&amp;IF($C515&gt;=8,", "&amp;$A515&amp;"-"&amp;TEXT(($D515-$C515+1)+7,"00"),"")&amp;IF($C515&gt;=9,", "&amp;$A515&amp;"-"&amp;TEXT(($D515-$C515+1)+8,"00"),"")&amp;IF($C515&gt;=10,", "&amp;$A515&amp;"-"&amp;TEXT(($D515-$C515+1)+9,"00"),"")&amp;IF($C515&gt;=11,", "&amp;$A515&amp;"-"&amp;TEXT(($D515-$C515+1)+10,"00"),"")&amp;IF($C515&gt;=12,", "&amp;$A515&amp;"-"&amp;TEXT(($D515-$C515+1)+11,"00"),"")&amp;IF($C515&gt;=13,", "&amp;$A515&amp;"-"&amp;TEXT(($D515-$C515+1)+12,"00"),"")&amp;IF($C515&gt;=14,", "&amp;$A515&amp;"-"&amp;TEXT(($D515-$C515+1)+13,"00"),"")&amp;IF($C515&gt;=15,", "&amp;$A515&amp;"-"&amp;TEXT(($D515-$C515+1)+14,"00"),"")&amp;IF($C515&gt;=16,", "&amp;$A515&amp;"-"&amp;TEXT(($D515-$C515+1)+15,"00"),"")&amp;IF($C515&gt;=17,", "&amp;$A515&amp;"-"&amp;TEXT(($D515-$C515+1)+16,"00"),"")&amp;IF($C515&gt;=18,", "&amp;$A515&amp;"-"&amp;TEXT(($D515-$C515+1)+17,"00"),"")&amp;IF($C515&gt;=19,", "&amp;$A515&amp;"-"&amp;TEXT(($D515-$C515+1)+18,"00"),"")&amp;IF($C515&gt;=20,", "&amp;$A515&amp;"-"&amp;TEXT(($D515-$C515+1)+19,"00"),"")&amp;IF($C515&gt;=21,", "&amp;$A515&amp;"-"&amp;TEXT(($D515-$C515+1)+20,"00"),"")&amp;IF($C515&gt;=22,", "&amp;$A515&amp;"-"&amp;TEXT(($D515-$C515+1)+21,"00"),"")&amp;IF($C515&gt;=23,", "&amp;$A515&amp;"-"&amp;TEXT(($D515-$C515+1)+22,"00"),"")&amp;IF($C515&gt;=24,", "&amp;$A515&amp;"-"&amp;TEXT(($D515-$C515+1)+23,"00"),"")&amp;IF($C515&gt;=25,", "&amp;$A515&amp;"-"&amp;TEXT(($D515-$C515+1)+24,"00"),""))</f>
        <v/>
      </c>
      <c r="G515">
        <f>IF($A515="","",IF($E515=1,$F515,IF($F515="",$G514,IF($G514="",$F515,$G514&amp;", "&amp;$F515))))</f>
        <v/>
      </c>
      <c r="H515">
        <f>IF($A515="","",$A515&amp;" ("&amp;$C515&amp;")")</f>
        <v/>
      </c>
      <c r="I515">
        <f>IF($A515="","",IF($E515=1,$H515,$I514&amp;", "&amp;$H515))</f>
        <v/>
      </c>
      <c r="J515">
        <f>IF($A515="","",IF($E515=1,$B515,""))</f>
        <v/>
      </c>
      <c r="K515">
        <f>IF($A515="","",IF(COUNTIF($B$2:$B515,$B515)=COUNTIF($B$2:$B$1601,$B515),$B515,""))</f>
        <v/>
      </c>
    </row>
    <row r="516">
      <c r="A516">
        <f>IF('TMP Paste'!$E516="","",'TMP Paste'!$E516)</f>
        <v/>
      </c>
      <c r="B516">
        <f>IF($A516="","",COUNTIF('TMP Paste'!$B$2:$B516,"?*"))</f>
        <v/>
      </c>
      <c r="C516">
        <f>IF($A516="","",IFERROR('TMP Paste'!$M516*1,0))</f>
        <v/>
      </c>
      <c r="D516">
        <f>IF($A516="","",SUMIF($B$2:$B516,$B516,$C$2:$C516))</f>
        <v/>
      </c>
      <c r="E516">
        <f>IF($A516="",0,IF('TMP Paste'!$B516="",0,1))</f>
        <v/>
      </c>
      <c r="F516">
        <f>IF(OR($A516="",$C516&lt;1),"",$A516&amp;"-"&amp;TEXT(($D516-$C516+1),"00")&amp;IF($C516&gt;=2,", "&amp;$A516&amp;"-"&amp;TEXT(($D516-$C516+1)+1,"00"),"")&amp;IF($C516&gt;=3,", "&amp;$A516&amp;"-"&amp;TEXT(($D516-$C516+1)+2,"00"),"")&amp;IF($C516&gt;=4,", "&amp;$A516&amp;"-"&amp;TEXT(($D516-$C516+1)+3,"00"),"")&amp;IF($C516&gt;=5,", "&amp;$A516&amp;"-"&amp;TEXT(($D516-$C516+1)+4,"00"),"")&amp;IF($C516&gt;=6,", "&amp;$A516&amp;"-"&amp;TEXT(($D516-$C516+1)+5,"00"),"")&amp;IF($C516&gt;=7,", "&amp;$A516&amp;"-"&amp;TEXT(($D516-$C516+1)+6,"00"),"")&amp;IF($C516&gt;=8,", "&amp;$A516&amp;"-"&amp;TEXT(($D516-$C516+1)+7,"00"),"")&amp;IF($C516&gt;=9,", "&amp;$A516&amp;"-"&amp;TEXT(($D516-$C516+1)+8,"00"),"")&amp;IF($C516&gt;=10,", "&amp;$A516&amp;"-"&amp;TEXT(($D516-$C516+1)+9,"00"),"")&amp;IF($C516&gt;=11,", "&amp;$A516&amp;"-"&amp;TEXT(($D516-$C516+1)+10,"00"),"")&amp;IF($C516&gt;=12,", "&amp;$A516&amp;"-"&amp;TEXT(($D516-$C516+1)+11,"00"),"")&amp;IF($C516&gt;=13,", "&amp;$A516&amp;"-"&amp;TEXT(($D516-$C516+1)+12,"00"),"")&amp;IF($C516&gt;=14,", "&amp;$A516&amp;"-"&amp;TEXT(($D516-$C516+1)+13,"00"),"")&amp;IF($C516&gt;=15,", "&amp;$A516&amp;"-"&amp;TEXT(($D516-$C516+1)+14,"00"),"")&amp;IF($C516&gt;=16,", "&amp;$A516&amp;"-"&amp;TEXT(($D516-$C516+1)+15,"00"),"")&amp;IF($C516&gt;=17,", "&amp;$A516&amp;"-"&amp;TEXT(($D516-$C516+1)+16,"00"),"")&amp;IF($C516&gt;=18,", "&amp;$A516&amp;"-"&amp;TEXT(($D516-$C516+1)+17,"00"),"")&amp;IF($C516&gt;=19,", "&amp;$A516&amp;"-"&amp;TEXT(($D516-$C516+1)+18,"00"),"")&amp;IF($C516&gt;=20,", "&amp;$A516&amp;"-"&amp;TEXT(($D516-$C516+1)+19,"00"),"")&amp;IF($C516&gt;=21,", "&amp;$A516&amp;"-"&amp;TEXT(($D516-$C516+1)+20,"00"),"")&amp;IF($C516&gt;=22,", "&amp;$A516&amp;"-"&amp;TEXT(($D516-$C516+1)+21,"00"),"")&amp;IF($C516&gt;=23,", "&amp;$A516&amp;"-"&amp;TEXT(($D516-$C516+1)+22,"00"),"")&amp;IF($C516&gt;=24,", "&amp;$A516&amp;"-"&amp;TEXT(($D516-$C516+1)+23,"00"),"")&amp;IF($C516&gt;=25,", "&amp;$A516&amp;"-"&amp;TEXT(($D516-$C516+1)+24,"00"),""))</f>
        <v/>
      </c>
      <c r="G516">
        <f>IF($A516="","",IF($E516=1,$F516,IF($F516="",$G515,IF($G515="",$F516,$G515&amp;", "&amp;$F516))))</f>
        <v/>
      </c>
      <c r="H516">
        <f>IF($A516="","",$A516&amp;" ("&amp;$C516&amp;")")</f>
        <v/>
      </c>
      <c r="I516">
        <f>IF($A516="","",IF($E516=1,$H516,$I515&amp;", "&amp;$H516))</f>
        <v/>
      </c>
      <c r="J516">
        <f>IF($A516="","",IF($E516=1,$B516,""))</f>
        <v/>
      </c>
      <c r="K516">
        <f>IF($A516="","",IF(COUNTIF($B$2:$B516,$B516)=COUNTIF($B$2:$B$1601,$B516),$B516,""))</f>
        <v/>
      </c>
    </row>
    <row r="517">
      <c r="A517">
        <f>IF('TMP Paste'!$E517="","",'TMP Paste'!$E517)</f>
        <v/>
      </c>
      <c r="B517">
        <f>IF($A517="","",COUNTIF('TMP Paste'!$B$2:$B517,"?*"))</f>
        <v/>
      </c>
      <c r="C517">
        <f>IF($A517="","",IFERROR('TMP Paste'!$M517*1,0))</f>
        <v/>
      </c>
      <c r="D517">
        <f>IF($A517="","",SUMIF($B$2:$B517,$B517,$C$2:$C517))</f>
        <v/>
      </c>
      <c r="E517">
        <f>IF($A517="",0,IF('TMP Paste'!$B517="",0,1))</f>
        <v/>
      </c>
      <c r="F517">
        <f>IF(OR($A517="",$C517&lt;1),"",$A517&amp;"-"&amp;TEXT(($D517-$C517+1),"00")&amp;IF($C517&gt;=2,", "&amp;$A517&amp;"-"&amp;TEXT(($D517-$C517+1)+1,"00"),"")&amp;IF($C517&gt;=3,", "&amp;$A517&amp;"-"&amp;TEXT(($D517-$C517+1)+2,"00"),"")&amp;IF($C517&gt;=4,", "&amp;$A517&amp;"-"&amp;TEXT(($D517-$C517+1)+3,"00"),"")&amp;IF($C517&gt;=5,", "&amp;$A517&amp;"-"&amp;TEXT(($D517-$C517+1)+4,"00"),"")&amp;IF($C517&gt;=6,", "&amp;$A517&amp;"-"&amp;TEXT(($D517-$C517+1)+5,"00"),"")&amp;IF($C517&gt;=7,", "&amp;$A517&amp;"-"&amp;TEXT(($D517-$C517+1)+6,"00"),"")&amp;IF($C517&gt;=8,", "&amp;$A517&amp;"-"&amp;TEXT(($D517-$C517+1)+7,"00"),"")&amp;IF($C517&gt;=9,", "&amp;$A517&amp;"-"&amp;TEXT(($D517-$C517+1)+8,"00"),"")&amp;IF($C517&gt;=10,", "&amp;$A517&amp;"-"&amp;TEXT(($D517-$C517+1)+9,"00"),"")&amp;IF($C517&gt;=11,", "&amp;$A517&amp;"-"&amp;TEXT(($D517-$C517+1)+10,"00"),"")&amp;IF($C517&gt;=12,", "&amp;$A517&amp;"-"&amp;TEXT(($D517-$C517+1)+11,"00"),"")&amp;IF($C517&gt;=13,", "&amp;$A517&amp;"-"&amp;TEXT(($D517-$C517+1)+12,"00"),"")&amp;IF($C517&gt;=14,", "&amp;$A517&amp;"-"&amp;TEXT(($D517-$C517+1)+13,"00"),"")&amp;IF($C517&gt;=15,", "&amp;$A517&amp;"-"&amp;TEXT(($D517-$C517+1)+14,"00"),"")&amp;IF($C517&gt;=16,", "&amp;$A517&amp;"-"&amp;TEXT(($D517-$C517+1)+15,"00"),"")&amp;IF($C517&gt;=17,", "&amp;$A517&amp;"-"&amp;TEXT(($D517-$C517+1)+16,"00"),"")&amp;IF($C517&gt;=18,", "&amp;$A517&amp;"-"&amp;TEXT(($D517-$C517+1)+17,"00"),"")&amp;IF($C517&gt;=19,", "&amp;$A517&amp;"-"&amp;TEXT(($D517-$C517+1)+18,"00"),"")&amp;IF($C517&gt;=20,", "&amp;$A517&amp;"-"&amp;TEXT(($D517-$C517+1)+19,"00"),"")&amp;IF($C517&gt;=21,", "&amp;$A517&amp;"-"&amp;TEXT(($D517-$C517+1)+20,"00"),"")&amp;IF($C517&gt;=22,", "&amp;$A517&amp;"-"&amp;TEXT(($D517-$C517+1)+21,"00"),"")&amp;IF($C517&gt;=23,", "&amp;$A517&amp;"-"&amp;TEXT(($D517-$C517+1)+22,"00"),"")&amp;IF($C517&gt;=24,", "&amp;$A517&amp;"-"&amp;TEXT(($D517-$C517+1)+23,"00"),"")&amp;IF($C517&gt;=25,", "&amp;$A517&amp;"-"&amp;TEXT(($D517-$C517+1)+24,"00"),""))</f>
        <v/>
      </c>
      <c r="G517">
        <f>IF($A517="","",IF($E517=1,$F517,IF($F517="",$G516,IF($G516="",$F517,$G516&amp;", "&amp;$F517))))</f>
        <v/>
      </c>
      <c r="H517">
        <f>IF($A517="","",$A517&amp;" ("&amp;$C517&amp;")")</f>
        <v/>
      </c>
      <c r="I517">
        <f>IF($A517="","",IF($E517=1,$H517,$I516&amp;", "&amp;$H517))</f>
        <v/>
      </c>
      <c r="J517">
        <f>IF($A517="","",IF($E517=1,$B517,""))</f>
        <v/>
      </c>
      <c r="K517">
        <f>IF($A517="","",IF(COUNTIF($B$2:$B517,$B517)=COUNTIF($B$2:$B$1601,$B517),$B517,""))</f>
        <v/>
      </c>
    </row>
    <row r="518">
      <c r="A518">
        <f>IF('TMP Paste'!$E518="","",'TMP Paste'!$E518)</f>
        <v/>
      </c>
      <c r="B518">
        <f>IF($A518="","",COUNTIF('TMP Paste'!$B$2:$B518,"?*"))</f>
        <v/>
      </c>
      <c r="C518">
        <f>IF($A518="","",IFERROR('TMP Paste'!$M518*1,0))</f>
        <v/>
      </c>
      <c r="D518">
        <f>IF($A518="","",SUMIF($B$2:$B518,$B518,$C$2:$C518))</f>
        <v/>
      </c>
      <c r="E518">
        <f>IF($A518="",0,IF('TMP Paste'!$B518="",0,1))</f>
        <v/>
      </c>
      <c r="F518">
        <f>IF(OR($A518="",$C518&lt;1),"",$A518&amp;"-"&amp;TEXT(($D518-$C518+1),"00")&amp;IF($C518&gt;=2,", "&amp;$A518&amp;"-"&amp;TEXT(($D518-$C518+1)+1,"00"),"")&amp;IF($C518&gt;=3,", "&amp;$A518&amp;"-"&amp;TEXT(($D518-$C518+1)+2,"00"),"")&amp;IF($C518&gt;=4,", "&amp;$A518&amp;"-"&amp;TEXT(($D518-$C518+1)+3,"00"),"")&amp;IF($C518&gt;=5,", "&amp;$A518&amp;"-"&amp;TEXT(($D518-$C518+1)+4,"00"),"")&amp;IF($C518&gt;=6,", "&amp;$A518&amp;"-"&amp;TEXT(($D518-$C518+1)+5,"00"),"")&amp;IF($C518&gt;=7,", "&amp;$A518&amp;"-"&amp;TEXT(($D518-$C518+1)+6,"00"),"")&amp;IF($C518&gt;=8,", "&amp;$A518&amp;"-"&amp;TEXT(($D518-$C518+1)+7,"00"),"")&amp;IF($C518&gt;=9,", "&amp;$A518&amp;"-"&amp;TEXT(($D518-$C518+1)+8,"00"),"")&amp;IF($C518&gt;=10,", "&amp;$A518&amp;"-"&amp;TEXT(($D518-$C518+1)+9,"00"),"")&amp;IF($C518&gt;=11,", "&amp;$A518&amp;"-"&amp;TEXT(($D518-$C518+1)+10,"00"),"")&amp;IF($C518&gt;=12,", "&amp;$A518&amp;"-"&amp;TEXT(($D518-$C518+1)+11,"00"),"")&amp;IF($C518&gt;=13,", "&amp;$A518&amp;"-"&amp;TEXT(($D518-$C518+1)+12,"00"),"")&amp;IF($C518&gt;=14,", "&amp;$A518&amp;"-"&amp;TEXT(($D518-$C518+1)+13,"00"),"")&amp;IF($C518&gt;=15,", "&amp;$A518&amp;"-"&amp;TEXT(($D518-$C518+1)+14,"00"),"")&amp;IF($C518&gt;=16,", "&amp;$A518&amp;"-"&amp;TEXT(($D518-$C518+1)+15,"00"),"")&amp;IF($C518&gt;=17,", "&amp;$A518&amp;"-"&amp;TEXT(($D518-$C518+1)+16,"00"),"")&amp;IF($C518&gt;=18,", "&amp;$A518&amp;"-"&amp;TEXT(($D518-$C518+1)+17,"00"),"")&amp;IF($C518&gt;=19,", "&amp;$A518&amp;"-"&amp;TEXT(($D518-$C518+1)+18,"00"),"")&amp;IF($C518&gt;=20,", "&amp;$A518&amp;"-"&amp;TEXT(($D518-$C518+1)+19,"00"),"")&amp;IF($C518&gt;=21,", "&amp;$A518&amp;"-"&amp;TEXT(($D518-$C518+1)+20,"00"),"")&amp;IF($C518&gt;=22,", "&amp;$A518&amp;"-"&amp;TEXT(($D518-$C518+1)+21,"00"),"")&amp;IF($C518&gt;=23,", "&amp;$A518&amp;"-"&amp;TEXT(($D518-$C518+1)+22,"00"),"")&amp;IF($C518&gt;=24,", "&amp;$A518&amp;"-"&amp;TEXT(($D518-$C518+1)+23,"00"),"")&amp;IF($C518&gt;=25,", "&amp;$A518&amp;"-"&amp;TEXT(($D518-$C518+1)+24,"00"),""))</f>
        <v/>
      </c>
      <c r="G518">
        <f>IF($A518="","",IF($E518=1,$F518,IF($F518="",$G517,IF($G517="",$F518,$G517&amp;", "&amp;$F518))))</f>
        <v/>
      </c>
      <c r="H518">
        <f>IF($A518="","",$A518&amp;" ("&amp;$C518&amp;")")</f>
        <v/>
      </c>
      <c r="I518">
        <f>IF($A518="","",IF($E518=1,$H518,$I517&amp;", "&amp;$H518))</f>
        <v/>
      </c>
      <c r="J518">
        <f>IF($A518="","",IF($E518=1,$B518,""))</f>
        <v/>
      </c>
      <c r="K518">
        <f>IF($A518="","",IF(COUNTIF($B$2:$B518,$B518)=COUNTIF($B$2:$B$1601,$B518),$B518,""))</f>
        <v/>
      </c>
    </row>
    <row r="519">
      <c r="A519">
        <f>IF('TMP Paste'!$E519="","",'TMP Paste'!$E519)</f>
        <v/>
      </c>
      <c r="B519">
        <f>IF($A519="","",COUNTIF('TMP Paste'!$B$2:$B519,"?*"))</f>
        <v/>
      </c>
      <c r="C519">
        <f>IF($A519="","",IFERROR('TMP Paste'!$M519*1,0))</f>
        <v/>
      </c>
      <c r="D519">
        <f>IF($A519="","",SUMIF($B$2:$B519,$B519,$C$2:$C519))</f>
        <v/>
      </c>
      <c r="E519">
        <f>IF($A519="",0,IF('TMP Paste'!$B519="",0,1))</f>
        <v/>
      </c>
      <c r="F519">
        <f>IF(OR($A519="",$C519&lt;1),"",$A519&amp;"-"&amp;TEXT(($D519-$C519+1),"00")&amp;IF($C519&gt;=2,", "&amp;$A519&amp;"-"&amp;TEXT(($D519-$C519+1)+1,"00"),"")&amp;IF($C519&gt;=3,", "&amp;$A519&amp;"-"&amp;TEXT(($D519-$C519+1)+2,"00"),"")&amp;IF($C519&gt;=4,", "&amp;$A519&amp;"-"&amp;TEXT(($D519-$C519+1)+3,"00"),"")&amp;IF($C519&gt;=5,", "&amp;$A519&amp;"-"&amp;TEXT(($D519-$C519+1)+4,"00"),"")&amp;IF($C519&gt;=6,", "&amp;$A519&amp;"-"&amp;TEXT(($D519-$C519+1)+5,"00"),"")&amp;IF($C519&gt;=7,", "&amp;$A519&amp;"-"&amp;TEXT(($D519-$C519+1)+6,"00"),"")&amp;IF($C519&gt;=8,", "&amp;$A519&amp;"-"&amp;TEXT(($D519-$C519+1)+7,"00"),"")&amp;IF($C519&gt;=9,", "&amp;$A519&amp;"-"&amp;TEXT(($D519-$C519+1)+8,"00"),"")&amp;IF($C519&gt;=10,", "&amp;$A519&amp;"-"&amp;TEXT(($D519-$C519+1)+9,"00"),"")&amp;IF($C519&gt;=11,", "&amp;$A519&amp;"-"&amp;TEXT(($D519-$C519+1)+10,"00"),"")&amp;IF($C519&gt;=12,", "&amp;$A519&amp;"-"&amp;TEXT(($D519-$C519+1)+11,"00"),"")&amp;IF($C519&gt;=13,", "&amp;$A519&amp;"-"&amp;TEXT(($D519-$C519+1)+12,"00"),"")&amp;IF($C519&gt;=14,", "&amp;$A519&amp;"-"&amp;TEXT(($D519-$C519+1)+13,"00"),"")&amp;IF($C519&gt;=15,", "&amp;$A519&amp;"-"&amp;TEXT(($D519-$C519+1)+14,"00"),"")&amp;IF($C519&gt;=16,", "&amp;$A519&amp;"-"&amp;TEXT(($D519-$C519+1)+15,"00"),"")&amp;IF($C519&gt;=17,", "&amp;$A519&amp;"-"&amp;TEXT(($D519-$C519+1)+16,"00"),"")&amp;IF($C519&gt;=18,", "&amp;$A519&amp;"-"&amp;TEXT(($D519-$C519+1)+17,"00"),"")&amp;IF($C519&gt;=19,", "&amp;$A519&amp;"-"&amp;TEXT(($D519-$C519+1)+18,"00"),"")&amp;IF($C519&gt;=20,", "&amp;$A519&amp;"-"&amp;TEXT(($D519-$C519+1)+19,"00"),"")&amp;IF($C519&gt;=21,", "&amp;$A519&amp;"-"&amp;TEXT(($D519-$C519+1)+20,"00"),"")&amp;IF($C519&gt;=22,", "&amp;$A519&amp;"-"&amp;TEXT(($D519-$C519+1)+21,"00"),"")&amp;IF($C519&gt;=23,", "&amp;$A519&amp;"-"&amp;TEXT(($D519-$C519+1)+22,"00"),"")&amp;IF($C519&gt;=24,", "&amp;$A519&amp;"-"&amp;TEXT(($D519-$C519+1)+23,"00"),"")&amp;IF($C519&gt;=25,", "&amp;$A519&amp;"-"&amp;TEXT(($D519-$C519+1)+24,"00"),""))</f>
        <v/>
      </c>
      <c r="G519">
        <f>IF($A519="","",IF($E519=1,$F519,IF($F519="",$G518,IF($G518="",$F519,$G518&amp;", "&amp;$F519))))</f>
        <v/>
      </c>
      <c r="H519">
        <f>IF($A519="","",$A519&amp;" ("&amp;$C519&amp;")")</f>
        <v/>
      </c>
      <c r="I519">
        <f>IF($A519="","",IF($E519=1,$H519,$I518&amp;", "&amp;$H519))</f>
        <v/>
      </c>
      <c r="J519">
        <f>IF($A519="","",IF($E519=1,$B519,""))</f>
        <v/>
      </c>
      <c r="K519">
        <f>IF($A519="","",IF(COUNTIF($B$2:$B519,$B519)=COUNTIF($B$2:$B$1601,$B519),$B519,""))</f>
        <v/>
      </c>
    </row>
    <row r="520">
      <c r="A520">
        <f>IF('TMP Paste'!$E520="","",'TMP Paste'!$E520)</f>
        <v/>
      </c>
      <c r="B520">
        <f>IF($A520="","",COUNTIF('TMP Paste'!$B$2:$B520,"?*"))</f>
        <v/>
      </c>
      <c r="C520">
        <f>IF($A520="","",IFERROR('TMP Paste'!$M520*1,0))</f>
        <v/>
      </c>
      <c r="D520">
        <f>IF($A520="","",SUMIF($B$2:$B520,$B520,$C$2:$C520))</f>
        <v/>
      </c>
      <c r="E520">
        <f>IF($A520="",0,IF('TMP Paste'!$B520="",0,1))</f>
        <v/>
      </c>
      <c r="F520">
        <f>IF(OR($A520="",$C520&lt;1),"",$A520&amp;"-"&amp;TEXT(($D520-$C520+1),"00")&amp;IF($C520&gt;=2,", "&amp;$A520&amp;"-"&amp;TEXT(($D520-$C520+1)+1,"00"),"")&amp;IF($C520&gt;=3,", "&amp;$A520&amp;"-"&amp;TEXT(($D520-$C520+1)+2,"00"),"")&amp;IF($C520&gt;=4,", "&amp;$A520&amp;"-"&amp;TEXT(($D520-$C520+1)+3,"00"),"")&amp;IF($C520&gt;=5,", "&amp;$A520&amp;"-"&amp;TEXT(($D520-$C520+1)+4,"00"),"")&amp;IF($C520&gt;=6,", "&amp;$A520&amp;"-"&amp;TEXT(($D520-$C520+1)+5,"00"),"")&amp;IF($C520&gt;=7,", "&amp;$A520&amp;"-"&amp;TEXT(($D520-$C520+1)+6,"00"),"")&amp;IF($C520&gt;=8,", "&amp;$A520&amp;"-"&amp;TEXT(($D520-$C520+1)+7,"00"),"")&amp;IF($C520&gt;=9,", "&amp;$A520&amp;"-"&amp;TEXT(($D520-$C520+1)+8,"00"),"")&amp;IF($C520&gt;=10,", "&amp;$A520&amp;"-"&amp;TEXT(($D520-$C520+1)+9,"00"),"")&amp;IF($C520&gt;=11,", "&amp;$A520&amp;"-"&amp;TEXT(($D520-$C520+1)+10,"00"),"")&amp;IF($C520&gt;=12,", "&amp;$A520&amp;"-"&amp;TEXT(($D520-$C520+1)+11,"00"),"")&amp;IF($C520&gt;=13,", "&amp;$A520&amp;"-"&amp;TEXT(($D520-$C520+1)+12,"00"),"")&amp;IF($C520&gt;=14,", "&amp;$A520&amp;"-"&amp;TEXT(($D520-$C520+1)+13,"00"),"")&amp;IF($C520&gt;=15,", "&amp;$A520&amp;"-"&amp;TEXT(($D520-$C520+1)+14,"00"),"")&amp;IF($C520&gt;=16,", "&amp;$A520&amp;"-"&amp;TEXT(($D520-$C520+1)+15,"00"),"")&amp;IF($C520&gt;=17,", "&amp;$A520&amp;"-"&amp;TEXT(($D520-$C520+1)+16,"00"),"")&amp;IF($C520&gt;=18,", "&amp;$A520&amp;"-"&amp;TEXT(($D520-$C520+1)+17,"00"),"")&amp;IF($C520&gt;=19,", "&amp;$A520&amp;"-"&amp;TEXT(($D520-$C520+1)+18,"00"),"")&amp;IF($C520&gt;=20,", "&amp;$A520&amp;"-"&amp;TEXT(($D520-$C520+1)+19,"00"),"")&amp;IF($C520&gt;=21,", "&amp;$A520&amp;"-"&amp;TEXT(($D520-$C520+1)+20,"00"),"")&amp;IF($C520&gt;=22,", "&amp;$A520&amp;"-"&amp;TEXT(($D520-$C520+1)+21,"00"),"")&amp;IF($C520&gt;=23,", "&amp;$A520&amp;"-"&amp;TEXT(($D520-$C520+1)+22,"00"),"")&amp;IF($C520&gt;=24,", "&amp;$A520&amp;"-"&amp;TEXT(($D520-$C520+1)+23,"00"),"")&amp;IF($C520&gt;=25,", "&amp;$A520&amp;"-"&amp;TEXT(($D520-$C520+1)+24,"00"),""))</f>
        <v/>
      </c>
      <c r="G520">
        <f>IF($A520="","",IF($E520=1,$F520,IF($F520="",$G519,IF($G519="",$F520,$G519&amp;", "&amp;$F520))))</f>
        <v/>
      </c>
      <c r="H520">
        <f>IF($A520="","",$A520&amp;" ("&amp;$C520&amp;")")</f>
        <v/>
      </c>
      <c r="I520">
        <f>IF($A520="","",IF($E520=1,$H520,$I519&amp;", "&amp;$H520))</f>
        <v/>
      </c>
      <c r="J520">
        <f>IF($A520="","",IF($E520=1,$B520,""))</f>
        <v/>
      </c>
      <c r="K520">
        <f>IF($A520="","",IF(COUNTIF($B$2:$B520,$B520)=COUNTIF($B$2:$B$1601,$B520),$B520,""))</f>
        <v/>
      </c>
    </row>
    <row r="521">
      <c r="A521">
        <f>IF('TMP Paste'!$E521="","",'TMP Paste'!$E521)</f>
        <v/>
      </c>
      <c r="B521">
        <f>IF($A521="","",COUNTIF('TMP Paste'!$B$2:$B521,"?*"))</f>
        <v/>
      </c>
      <c r="C521">
        <f>IF($A521="","",IFERROR('TMP Paste'!$M521*1,0))</f>
        <v/>
      </c>
      <c r="D521">
        <f>IF($A521="","",SUMIF($B$2:$B521,$B521,$C$2:$C521))</f>
        <v/>
      </c>
      <c r="E521">
        <f>IF($A521="",0,IF('TMP Paste'!$B521="",0,1))</f>
        <v/>
      </c>
      <c r="F521">
        <f>IF(OR($A521="",$C521&lt;1),"",$A521&amp;"-"&amp;TEXT(($D521-$C521+1),"00")&amp;IF($C521&gt;=2,", "&amp;$A521&amp;"-"&amp;TEXT(($D521-$C521+1)+1,"00"),"")&amp;IF($C521&gt;=3,", "&amp;$A521&amp;"-"&amp;TEXT(($D521-$C521+1)+2,"00"),"")&amp;IF($C521&gt;=4,", "&amp;$A521&amp;"-"&amp;TEXT(($D521-$C521+1)+3,"00"),"")&amp;IF($C521&gt;=5,", "&amp;$A521&amp;"-"&amp;TEXT(($D521-$C521+1)+4,"00"),"")&amp;IF($C521&gt;=6,", "&amp;$A521&amp;"-"&amp;TEXT(($D521-$C521+1)+5,"00"),"")&amp;IF($C521&gt;=7,", "&amp;$A521&amp;"-"&amp;TEXT(($D521-$C521+1)+6,"00"),"")&amp;IF($C521&gt;=8,", "&amp;$A521&amp;"-"&amp;TEXT(($D521-$C521+1)+7,"00"),"")&amp;IF($C521&gt;=9,", "&amp;$A521&amp;"-"&amp;TEXT(($D521-$C521+1)+8,"00"),"")&amp;IF($C521&gt;=10,", "&amp;$A521&amp;"-"&amp;TEXT(($D521-$C521+1)+9,"00"),"")&amp;IF($C521&gt;=11,", "&amp;$A521&amp;"-"&amp;TEXT(($D521-$C521+1)+10,"00"),"")&amp;IF($C521&gt;=12,", "&amp;$A521&amp;"-"&amp;TEXT(($D521-$C521+1)+11,"00"),"")&amp;IF($C521&gt;=13,", "&amp;$A521&amp;"-"&amp;TEXT(($D521-$C521+1)+12,"00"),"")&amp;IF($C521&gt;=14,", "&amp;$A521&amp;"-"&amp;TEXT(($D521-$C521+1)+13,"00"),"")&amp;IF($C521&gt;=15,", "&amp;$A521&amp;"-"&amp;TEXT(($D521-$C521+1)+14,"00"),"")&amp;IF($C521&gt;=16,", "&amp;$A521&amp;"-"&amp;TEXT(($D521-$C521+1)+15,"00"),"")&amp;IF($C521&gt;=17,", "&amp;$A521&amp;"-"&amp;TEXT(($D521-$C521+1)+16,"00"),"")&amp;IF($C521&gt;=18,", "&amp;$A521&amp;"-"&amp;TEXT(($D521-$C521+1)+17,"00"),"")&amp;IF($C521&gt;=19,", "&amp;$A521&amp;"-"&amp;TEXT(($D521-$C521+1)+18,"00"),"")&amp;IF($C521&gt;=20,", "&amp;$A521&amp;"-"&amp;TEXT(($D521-$C521+1)+19,"00"),"")&amp;IF($C521&gt;=21,", "&amp;$A521&amp;"-"&amp;TEXT(($D521-$C521+1)+20,"00"),"")&amp;IF($C521&gt;=22,", "&amp;$A521&amp;"-"&amp;TEXT(($D521-$C521+1)+21,"00"),"")&amp;IF($C521&gt;=23,", "&amp;$A521&amp;"-"&amp;TEXT(($D521-$C521+1)+22,"00"),"")&amp;IF($C521&gt;=24,", "&amp;$A521&amp;"-"&amp;TEXT(($D521-$C521+1)+23,"00"),"")&amp;IF($C521&gt;=25,", "&amp;$A521&amp;"-"&amp;TEXT(($D521-$C521+1)+24,"00"),""))</f>
        <v/>
      </c>
      <c r="G521">
        <f>IF($A521="","",IF($E521=1,$F521,IF($F521="",$G520,IF($G520="",$F521,$G520&amp;", "&amp;$F521))))</f>
        <v/>
      </c>
      <c r="H521">
        <f>IF($A521="","",$A521&amp;" ("&amp;$C521&amp;")")</f>
        <v/>
      </c>
      <c r="I521">
        <f>IF($A521="","",IF($E521=1,$H521,$I520&amp;", "&amp;$H521))</f>
        <v/>
      </c>
      <c r="J521">
        <f>IF($A521="","",IF($E521=1,$B521,""))</f>
        <v/>
      </c>
      <c r="K521">
        <f>IF($A521="","",IF(COUNTIF($B$2:$B521,$B521)=COUNTIF($B$2:$B$1601,$B521),$B521,""))</f>
        <v/>
      </c>
    </row>
    <row r="522">
      <c r="A522">
        <f>IF('TMP Paste'!$E522="","",'TMP Paste'!$E522)</f>
        <v/>
      </c>
      <c r="B522">
        <f>IF($A522="","",COUNTIF('TMP Paste'!$B$2:$B522,"?*"))</f>
        <v/>
      </c>
      <c r="C522">
        <f>IF($A522="","",IFERROR('TMP Paste'!$M522*1,0))</f>
        <v/>
      </c>
      <c r="D522">
        <f>IF($A522="","",SUMIF($B$2:$B522,$B522,$C$2:$C522))</f>
        <v/>
      </c>
      <c r="E522">
        <f>IF($A522="",0,IF('TMP Paste'!$B522="",0,1))</f>
        <v/>
      </c>
      <c r="F522">
        <f>IF(OR($A522="",$C522&lt;1),"",$A522&amp;"-"&amp;TEXT(($D522-$C522+1),"00")&amp;IF($C522&gt;=2,", "&amp;$A522&amp;"-"&amp;TEXT(($D522-$C522+1)+1,"00"),"")&amp;IF($C522&gt;=3,", "&amp;$A522&amp;"-"&amp;TEXT(($D522-$C522+1)+2,"00"),"")&amp;IF($C522&gt;=4,", "&amp;$A522&amp;"-"&amp;TEXT(($D522-$C522+1)+3,"00"),"")&amp;IF($C522&gt;=5,", "&amp;$A522&amp;"-"&amp;TEXT(($D522-$C522+1)+4,"00"),"")&amp;IF($C522&gt;=6,", "&amp;$A522&amp;"-"&amp;TEXT(($D522-$C522+1)+5,"00"),"")&amp;IF($C522&gt;=7,", "&amp;$A522&amp;"-"&amp;TEXT(($D522-$C522+1)+6,"00"),"")&amp;IF($C522&gt;=8,", "&amp;$A522&amp;"-"&amp;TEXT(($D522-$C522+1)+7,"00"),"")&amp;IF($C522&gt;=9,", "&amp;$A522&amp;"-"&amp;TEXT(($D522-$C522+1)+8,"00"),"")&amp;IF($C522&gt;=10,", "&amp;$A522&amp;"-"&amp;TEXT(($D522-$C522+1)+9,"00"),"")&amp;IF($C522&gt;=11,", "&amp;$A522&amp;"-"&amp;TEXT(($D522-$C522+1)+10,"00"),"")&amp;IF($C522&gt;=12,", "&amp;$A522&amp;"-"&amp;TEXT(($D522-$C522+1)+11,"00"),"")&amp;IF($C522&gt;=13,", "&amp;$A522&amp;"-"&amp;TEXT(($D522-$C522+1)+12,"00"),"")&amp;IF($C522&gt;=14,", "&amp;$A522&amp;"-"&amp;TEXT(($D522-$C522+1)+13,"00"),"")&amp;IF($C522&gt;=15,", "&amp;$A522&amp;"-"&amp;TEXT(($D522-$C522+1)+14,"00"),"")&amp;IF($C522&gt;=16,", "&amp;$A522&amp;"-"&amp;TEXT(($D522-$C522+1)+15,"00"),"")&amp;IF($C522&gt;=17,", "&amp;$A522&amp;"-"&amp;TEXT(($D522-$C522+1)+16,"00"),"")&amp;IF($C522&gt;=18,", "&amp;$A522&amp;"-"&amp;TEXT(($D522-$C522+1)+17,"00"),"")&amp;IF($C522&gt;=19,", "&amp;$A522&amp;"-"&amp;TEXT(($D522-$C522+1)+18,"00"),"")&amp;IF($C522&gt;=20,", "&amp;$A522&amp;"-"&amp;TEXT(($D522-$C522+1)+19,"00"),"")&amp;IF($C522&gt;=21,", "&amp;$A522&amp;"-"&amp;TEXT(($D522-$C522+1)+20,"00"),"")&amp;IF($C522&gt;=22,", "&amp;$A522&amp;"-"&amp;TEXT(($D522-$C522+1)+21,"00"),"")&amp;IF($C522&gt;=23,", "&amp;$A522&amp;"-"&amp;TEXT(($D522-$C522+1)+22,"00"),"")&amp;IF($C522&gt;=24,", "&amp;$A522&amp;"-"&amp;TEXT(($D522-$C522+1)+23,"00"),"")&amp;IF($C522&gt;=25,", "&amp;$A522&amp;"-"&amp;TEXT(($D522-$C522+1)+24,"00"),""))</f>
        <v/>
      </c>
      <c r="G522">
        <f>IF($A522="","",IF($E522=1,$F522,IF($F522="",$G521,IF($G521="",$F522,$G521&amp;", "&amp;$F522))))</f>
        <v/>
      </c>
      <c r="H522">
        <f>IF($A522="","",$A522&amp;" ("&amp;$C522&amp;")")</f>
        <v/>
      </c>
      <c r="I522">
        <f>IF($A522="","",IF($E522=1,$H522,$I521&amp;", "&amp;$H522))</f>
        <v/>
      </c>
      <c r="J522">
        <f>IF($A522="","",IF($E522=1,$B522,""))</f>
        <v/>
      </c>
      <c r="K522">
        <f>IF($A522="","",IF(COUNTIF($B$2:$B522,$B522)=COUNTIF($B$2:$B$1601,$B522),$B522,""))</f>
        <v/>
      </c>
    </row>
    <row r="523">
      <c r="A523">
        <f>IF('TMP Paste'!$E523="","",'TMP Paste'!$E523)</f>
        <v/>
      </c>
      <c r="B523">
        <f>IF($A523="","",COUNTIF('TMP Paste'!$B$2:$B523,"?*"))</f>
        <v/>
      </c>
      <c r="C523">
        <f>IF($A523="","",IFERROR('TMP Paste'!$M523*1,0))</f>
        <v/>
      </c>
      <c r="D523">
        <f>IF($A523="","",SUMIF($B$2:$B523,$B523,$C$2:$C523))</f>
        <v/>
      </c>
      <c r="E523">
        <f>IF($A523="",0,IF('TMP Paste'!$B523="",0,1))</f>
        <v/>
      </c>
      <c r="F523">
        <f>IF(OR($A523="",$C523&lt;1),"",$A523&amp;"-"&amp;TEXT(($D523-$C523+1),"00")&amp;IF($C523&gt;=2,", "&amp;$A523&amp;"-"&amp;TEXT(($D523-$C523+1)+1,"00"),"")&amp;IF($C523&gt;=3,", "&amp;$A523&amp;"-"&amp;TEXT(($D523-$C523+1)+2,"00"),"")&amp;IF($C523&gt;=4,", "&amp;$A523&amp;"-"&amp;TEXT(($D523-$C523+1)+3,"00"),"")&amp;IF($C523&gt;=5,", "&amp;$A523&amp;"-"&amp;TEXT(($D523-$C523+1)+4,"00"),"")&amp;IF($C523&gt;=6,", "&amp;$A523&amp;"-"&amp;TEXT(($D523-$C523+1)+5,"00"),"")&amp;IF($C523&gt;=7,", "&amp;$A523&amp;"-"&amp;TEXT(($D523-$C523+1)+6,"00"),"")&amp;IF($C523&gt;=8,", "&amp;$A523&amp;"-"&amp;TEXT(($D523-$C523+1)+7,"00"),"")&amp;IF($C523&gt;=9,", "&amp;$A523&amp;"-"&amp;TEXT(($D523-$C523+1)+8,"00"),"")&amp;IF($C523&gt;=10,", "&amp;$A523&amp;"-"&amp;TEXT(($D523-$C523+1)+9,"00"),"")&amp;IF($C523&gt;=11,", "&amp;$A523&amp;"-"&amp;TEXT(($D523-$C523+1)+10,"00"),"")&amp;IF($C523&gt;=12,", "&amp;$A523&amp;"-"&amp;TEXT(($D523-$C523+1)+11,"00"),"")&amp;IF($C523&gt;=13,", "&amp;$A523&amp;"-"&amp;TEXT(($D523-$C523+1)+12,"00"),"")&amp;IF($C523&gt;=14,", "&amp;$A523&amp;"-"&amp;TEXT(($D523-$C523+1)+13,"00"),"")&amp;IF($C523&gt;=15,", "&amp;$A523&amp;"-"&amp;TEXT(($D523-$C523+1)+14,"00"),"")&amp;IF($C523&gt;=16,", "&amp;$A523&amp;"-"&amp;TEXT(($D523-$C523+1)+15,"00"),"")&amp;IF($C523&gt;=17,", "&amp;$A523&amp;"-"&amp;TEXT(($D523-$C523+1)+16,"00"),"")&amp;IF($C523&gt;=18,", "&amp;$A523&amp;"-"&amp;TEXT(($D523-$C523+1)+17,"00"),"")&amp;IF($C523&gt;=19,", "&amp;$A523&amp;"-"&amp;TEXT(($D523-$C523+1)+18,"00"),"")&amp;IF($C523&gt;=20,", "&amp;$A523&amp;"-"&amp;TEXT(($D523-$C523+1)+19,"00"),"")&amp;IF($C523&gt;=21,", "&amp;$A523&amp;"-"&amp;TEXT(($D523-$C523+1)+20,"00"),"")&amp;IF($C523&gt;=22,", "&amp;$A523&amp;"-"&amp;TEXT(($D523-$C523+1)+21,"00"),"")&amp;IF($C523&gt;=23,", "&amp;$A523&amp;"-"&amp;TEXT(($D523-$C523+1)+22,"00"),"")&amp;IF($C523&gt;=24,", "&amp;$A523&amp;"-"&amp;TEXT(($D523-$C523+1)+23,"00"),"")&amp;IF($C523&gt;=25,", "&amp;$A523&amp;"-"&amp;TEXT(($D523-$C523+1)+24,"00"),""))</f>
        <v/>
      </c>
      <c r="G523">
        <f>IF($A523="","",IF($E523=1,$F523,IF($F523="",$G522,IF($G522="",$F523,$G522&amp;", "&amp;$F523))))</f>
        <v/>
      </c>
      <c r="H523">
        <f>IF($A523="","",$A523&amp;" ("&amp;$C523&amp;")")</f>
        <v/>
      </c>
      <c r="I523">
        <f>IF($A523="","",IF($E523=1,$H523,$I522&amp;", "&amp;$H523))</f>
        <v/>
      </c>
      <c r="J523">
        <f>IF($A523="","",IF($E523=1,$B523,""))</f>
        <v/>
      </c>
      <c r="K523">
        <f>IF($A523="","",IF(COUNTIF($B$2:$B523,$B523)=COUNTIF($B$2:$B$1601,$B523),$B523,""))</f>
        <v/>
      </c>
    </row>
    <row r="524">
      <c r="A524">
        <f>IF('TMP Paste'!$E524="","",'TMP Paste'!$E524)</f>
        <v/>
      </c>
      <c r="B524">
        <f>IF($A524="","",COUNTIF('TMP Paste'!$B$2:$B524,"?*"))</f>
        <v/>
      </c>
      <c r="C524">
        <f>IF($A524="","",IFERROR('TMP Paste'!$M524*1,0))</f>
        <v/>
      </c>
      <c r="D524">
        <f>IF($A524="","",SUMIF($B$2:$B524,$B524,$C$2:$C524))</f>
        <v/>
      </c>
      <c r="E524">
        <f>IF($A524="",0,IF('TMP Paste'!$B524="",0,1))</f>
        <v/>
      </c>
      <c r="F524">
        <f>IF(OR($A524="",$C524&lt;1),"",$A524&amp;"-"&amp;TEXT(($D524-$C524+1),"00")&amp;IF($C524&gt;=2,", "&amp;$A524&amp;"-"&amp;TEXT(($D524-$C524+1)+1,"00"),"")&amp;IF($C524&gt;=3,", "&amp;$A524&amp;"-"&amp;TEXT(($D524-$C524+1)+2,"00"),"")&amp;IF($C524&gt;=4,", "&amp;$A524&amp;"-"&amp;TEXT(($D524-$C524+1)+3,"00"),"")&amp;IF($C524&gt;=5,", "&amp;$A524&amp;"-"&amp;TEXT(($D524-$C524+1)+4,"00"),"")&amp;IF($C524&gt;=6,", "&amp;$A524&amp;"-"&amp;TEXT(($D524-$C524+1)+5,"00"),"")&amp;IF($C524&gt;=7,", "&amp;$A524&amp;"-"&amp;TEXT(($D524-$C524+1)+6,"00"),"")&amp;IF($C524&gt;=8,", "&amp;$A524&amp;"-"&amp;TEXT(($D524-$C524+1)+7,"00"),"")&amp;IF($C524&gt;=9,", "&amp;$A524&amp;"-"&amp;TEXT(($D524-$C524+1)+8,"00"),"")&amp;IF($C524&gt;=10,", "&amp;$A524&amp;"-"&amp;TEXT(($D524-$C524+1)+9,"00"),"")&amp;IF($C524&gt;=11,", "&amp;$A524&amp;"-"&amp;TEXT(($D524-$C524+1)+10,"00"),"")&amp;IF($C524&gt;=12,", "&amp;$A524&amp;"-"&amp;TEXT(($D524-$C524+1)+11,"00"),"")&amp;IF($C524&gt;=13,", "&amp;$A524&amp;"-"&amp;TEXT(($D524-$C524+1)+12,"00"),"")&amp;IF($C524&gt;=14,", "&amp;$A524&amp;"-"&amp;TEXT(($D524-$C524+1)+13,"00"),"")&amp;IF($C524&gt;=15,", "&amp;$A524&amp;"-"&amp;TEXT(($D524-$C524+1)+14,"00"),"")&amp;IF($C524&gt;=16,", "&amp;$A524&amp;"-"&amp;TEXT(($D524-$C524+1)+15,"00"),"")&amp;IF($C524&gt;=17,", "&amp;$A524&amp;"-"&amp;TEXT(($D524-$C524+1)+16,"00"),"")&amp;IF($C524&gt;=18,", "&amp;$A524&amp;"-"&amp;TEXT(($D524-$C524+1)+17,"00"),"")&amp;IF($C524&gt;=19,", "&amp;$A524&amp;"-"&amp;TEXT(($D524-$C524+1)+18,"00"),"")&amp;IF($C524&gt;=20,", "&amp;$A524&amp;"-"&amp;TEXT(($D524-$C524+1)+19,"00"),"")&amp;IF($C524&gt;=21,", "&amp;$A524&amp;"-"&amp;TEXT(($D524-$C524+1)+20,"00"),"")&amp;IF($C524&gt;=22,", "&amp;$A524&amp;"-"&amp;TEXT(($D524-$C524+1)+21,"00"),"")&amp;IF($C524&gt;=23,", "&amp;$A524&amp;"-"&amp;TEXT(($D524-$C524+1)+22,"00"),"")&amp;IF($C524&gt;=24,", "&amp;$A524&amp;"-"&amp;TEXT(($D524-$C524+1)+23,"00"),"")&amp;IF($C524&gt;=25,", "&amp;$A524&amp;"-"&amp;TEXT(($D524-$C524+1)+24,"00"),""))</f>
        <v/>
      </c>
      <c r="G524">
        <f>IF($A524="","",IF($E524=1,$F524,IF($F524="",$G523,IF($G523="",$F524,$G523&amp;", "&amp;$F524))))</f>
        <v/>
      </c>
      <c r="H524">
        <f>IF($A524="","",$A524&amp;" ("&amp;$C524&amp;")")</f>
        <v/>
      </c>
      <c r="I524">
        <f>IF($A524="","",IF($E524=1,$H524,$I523&amp;", "&amp;$H524))</f>
        <v/>
      </c>
      <c r="J524">
        <f>IF($A524="","",IF($E524=1,$B524,""))</f>
        <v/>
      </c>
      <c r="K524">
        <f>IF($A524="","",IF(COUNTIF($B$2:$B524,$B524)=COUNTIF($B$2:$B$1601,$B524),$B524,""))</f>
        <v/>
      </c>
    </row>
    <row r="525">
      <c r="A525">
        <f>IF('TMP Paste'!$E525="","",'TMP Paste'!$E525)</f>
        <v/>
      </c>
      <c r="B525">
        <f>IF($A525="","",COUNTIF('TMP Paste'!$B$2:$B525,"?*"))</f>
        <v/>
      </c>
      <c r="C525">
        <f>IF($A525="","",IFERROR('TMP Paste'!$M525*1,0))</f>
        <v/>
      </c>
      <c r="D525">
        <f>IF($A525="","",SUMIF($B$2:$B525,$B525,$C$2:$C525))</f>
        <v/>
      </c>
      <c r="E525">
        <f>IF($A525="",0,IF('TMP Paste'!$B525="",0,1))</f>
        <v/>
      </c>
      <c r="F525">
        <f>IF(OR($A525="",$C525&lt;1),"",$A525&amp;"-"&amp;TEXT(($D525-$C525+1),"00")&amp;IF($C525&gt;=2,", "&amp;$A525&amp;"-"&amp;TEXT(($D525-$C525+1)+1,"00"),"")&amp;IF($C525&gt;=3,", "&amp;$A525&amp;"-"&amp;TEXT(($D525-$C525+1)+2,"00"),"")&amp;IF($C525&gt;=4,", "&amp;$A525&amp;"-"&amp;TEXT(($D525-$C525+1)+3,"00"),"")&amp;IF($C525&gt;=5,", "&amp;$A525&amp;"-"&amp;TEXT(($D525-$C525+1)+4,"00"),"")&amp;IF($C525&gt;=6,", "&amp;$A525&amp;"-"&amp;TEXT(($D525-$C525+1)+5,"00"),"")&amp;IF($C525&gt;=7,", "&amp;$A525&amp;"-"&amp;TEXT(($D525-$C525+1)+6,"00"),"")&amp;IF($C525&gt;=8,", "&amp;$A525&amp;"-"&amp;TEXT(($D525-$C525+1)+7,"00"),"")&amp;IF($C525&gt;=9,", "&amp;$A525&amp;"-"&amp;TEXT(($D525-$C525+1)+8,"00"),"")&amp;IF($C525&gt;=10,", "&amp;$A525&amp;"-"&amp;TEXT(($D525-$C525+1)+9,"00"),"")&amp;IF($C525&gt;=11,", "&amp;$A525&amp;"-"&amp;TEXT(($D525-$C525+1)+10,"00"),"")&amp;IF($C525&gt;=12,", "&amp;$A525&amp;"-"&amp;TEXT(($D525-$C525+1)+11,"00"),"")&amp;IF($C525&gt;=13,", "&amp;$A525&amp;"-"&amp;TEXT(($D525-$C525+1)+12,"00"),"")&amp;IF($C525&gt;=14,", "&amp;$A525&amp;"-"&amp;TEXT(($D525-$C525+1)+13,"00"),"")&amp;IF($C525&gt;=15,", "&amp;$A525&amp;"-"&amp;TEXT(($D525-$C525+1)+14,"00"),"")&amp;IF($C525&gt;=16,", "&amp;$A525&amp;"-"&amp;TEXT(($D525-$C525+1)+15,"00"),"")&amp;IF($C525&gt;=17,", "&amp;$A525&amp;"-"&amp;TEXT(($D525-$C525+1)+16,"00"),"")&amp;IF($C525&gt;=18,", "&amp;$A525&amp;"-"&amp;TEXT(($D525-$C525+1)+17,"00"),"")&amp;IF($C525&gt;=19,", "&amp;$A525&amp;"-"&amp;TEXT(($D525-$C525+1)+18,"00"),"")&amp;IF($C525&gt;=20,", "&amp;$A525&amp;"-"&amp;TEXT(($D525-$C525+1)+19,"00"),"")&amp;IF($C525&gt;=21,", "&amp;$A525&amp;"-"&amp;TEXT(($D525-$C525+1)+20,"00"),"")&amp;IF($C525&gt;=22,", "&amp;$A525&amp;"-"&amp;TEXT(($D525-$C525+1)+21,"00"),"")&amp;IF($C525&gt;=23,", "&amp;$A525&amp;"-"&amp;TEXT(($D525-$C525+1)+22,"00"),"")&amp;IF($C525&gt;=24,", "&amp;$A525&amp;"-"&amp;TEXT(($D525-$C525+1)+23,"00"),"")&amp;IF($C525&gt;=25,", "&amp;$A525&amp;"-"&amp;TEXT(($D525-$C525+1)+24,"00"),""))</f>
        <v/>
      </c>
      <c r="G525">
        <f>IF($A525="","",IF($E525=1,$F525,IF($F525="",$G524,IF($G524="",$F525,$G524&amp;", "&amp;$F525))))</f>
        <v/>
      </c>
      <c r="H525">
        <f>IF($A525="","",$A525&amp;" ("&amp;$C525&amp;")")</f>
        <v/>
      </c>
      <c r="I525">
        <f>IF($A525="","",IF($E525=1,$H525,$I524&amp;", "&amp;$H525))</f>
        <v/>
      </c>
      <c r="J525">
        <f>IF($A525="","",IF($E525=1,$B525,""))</f>
        <v/>
      </c>
      <c r="K525">
        <f>IF($A525="","",IF(COUNTIF($B$2:$B525,$B525)=COUNTIF($B$2:$B$1601,$B525),$B525,""))</f>
        <v/>
      </c>
    </row>
    <row r="526">
      <c r="A526">
        <f>IF('TMP Paste'!$E526="","",'TMP Paste'!$E526)</f>
        <v/>
      </c>
      <c r="B526">
        <f>IF($A526="","",COUNTIF('TMP Paste'!$B$2:$B526,"?*"))</f>
        <v/>
      </c>
      <c r="C526">
        <f>IF($A526="","",IFERROR('TMP Paste'!$M526*1,0))</f>
        <v/>
      </c>
      <c r="D526">
        <f>IF($A526="","",SUMIF($B$2:$B526,$B526,$C$2:$C526))</f>
        <v/>
      </c>
      <c r="E526">
        <f>IF($A526="",0,IF('TMP Paste'!$B526="",0,1))</f>
        <v/>
      </c>
      <c r="F526">
        <f>IF(OR($A526="",$C526&lt;1),"",$A526&amp;"-"&amp;TEXT(($D526-$C526+1),"00")&amp;IF($C526&gt;=2,", "&amp;$A526&amp;"-"&amp;TEXT(($D526-$C526+1)+1,"00"),"")&amp;IF($C526&gt;=3,", "&amp;$A526&amp;"-"&amp;TEXT(($D526-$C526+1)+2,"00"),"")&amp;IF($C526&gt;=4,", "&amp;$A526&amp;"-"&amp;TEXT(($D526-$C526+1)+3,"00"),"")&amp;IF($C526&gt;=5,", "&amp;$A526&amp;"-"&amp;TEXT(($D526-$C526+1)+4,"00"),"")&amp;IF($C526&gt;=6,", "&amp;$A526&amp;"-"&amp;TEXT(($D526-$C526+1)+5,"00"),"")&amp;IF($C526&gt;=7,", "&amp;$A526&amp;"-"&amp;TEXT(($D526-$C526+1)+6,"00"),"")&amp;IF($C526&gt;=8,", "&amp;$A526&amp;"-"&amp;TEXT(($D526-$C526+1)+7,"00"),"")&amp;IF($C526&gt;=9,", "&amp;$A526&amp;"-"&amp;TEXT(($D526-$C526+1)+8,"00"),"")&amp;IF($C526&gt;=10,", "&amp;$A526&amp;"-"&amp;TEXT(($D526-$C526+1)+9,"00"),"")&amp;IF($C526&gt;=11,", "&amp;$A526&amp;"-"&amp;TEXT(($D526-$C526+1)+10,"00"),"")&amp;IF($C526&gt;=12,", "&amp;$A526&amp;"-"&amp;TEXT(($D526-$C526+1)+11,"00"),"")&amp;IF($C526&gt;=13,", "&amp;$A526&amp;"-"&amp;TEXT(($D526-$C526+1)+12,"00"),"")&amp;IF($C526&gt;=14,", "&amp;$A526&amp;"-"&amp;TEXT(($D526-$C526+1)+13,"00"),"")&amp;IF($C526&gt;=15,", "&amp;$A526&amp;"-"&amp;TEXT(($D526-$C526+1)+14,"00"),"")&amp;IF($C526&gt;=16,", "&amp;$A526&amp;"-"&amp;TEXT(($D526-$C526+1)+15,"00"),"")&amp;IF($C526&gt;=17,", "&amp;$A526&amp;"-"&amp;TEXT(($D526-$C526+1)+16,"00"),"")&amp;IF($C526&gt;=18,", "&amp;$A526&amp;"-"&amp;TEXT(($D526-$C526+1)+17,"00"),"")&amp;IF($C526&gt;=19,", "&amp;$A526&amp;"-"&amp;TEXT(($D526-$C526+1)+18,"00"),"")&amp;IF($C526&gt;=20,", "&amp;$A526&amp;"-"&amp;TEXT(($D526-$C526+1)+19,"00"),"")&amp;IF($C526&gt;=21,", "&amp;$A526&amp;"-"&amp;TEXT(($D526-$C526+1)+20,"00"),"")&amp;IF($C526&gt;=22,", "&amp;$A526&amp;"-"&amp;TEXT(($D526-$C526+1)+21,"00"),"")&amp;IF($C526&gt;=23,", "&amp;$A526&amp;"-"&amp;TEXT(($D526-$C526+1)+22,"00"),"")&amp;IF($C526&gt;=24,", "&amp;$A526&amp;"-"&amp;TEXT(($D526-$C526+1)+23,"00"),"")&amp;IF($C526&gt;=25,", "&amp;$A526&amp;"-"&amp;TEXT(($D526-$C526+1)+24,"00"),""))</f>
        <v/>
      </c>
      <c r="G526">
        <f>IF($A526="","",IF($E526=1,$F526,IF($F526="",$G525,IF($G525="",$F526,$G525&amp;", "&amp;$F526))))</f>
        <v/>
      </c>
      <c r="H526">
        <f>IF($A526="","",$A526&amp;" ("&amp;$C526&amp;")")</f>
        <v/>
      </c>
      <c r="I526">
        <f>IF($A526="","",IF($E526=1,$H526,$I525&amp;", "&amp;$H526))</f>
        <v/>
      </c>
      <c r="J526">
        <f>IF($A526="","",IF($E526=1,$B526,""))</f>
        <v/>
      </c>
      <c r="K526">
        <f>IF($A526="","",IF(COUNTIF($B$2:$B526,$B526)=COUNTIF($B$2:$B$1601,$B526),$B526,""))</f>
        <v/>
      </c>
    </row>
    <row r="527">
      <c r="A527">
        <f>IF('TMP Paste'!$E527="","",'TMP Paste'!$E527)</f>
        <v/>
      </c>
      <c r="B527">
        <f>IF($A527="","",COUNTIF('TMP Paste'!$B$2:$B527,"?*"))</f>
        <v/>
      </c>
      <c r="C527">
        <f>IF($A527="","",IFERROR('TMP Paste'!$M527*1,0))</f>
        <v/>
      </c>
      <c r="D527">
        <f>IF($A527="","",SUMIF($B$2:$B527,$B527,$C$2:$C527))</f>
        <v/>
      </c>
      <c r="E527">
        <f>IF($A527="",0,IF('TMP Paste'!$B527="",0,1))</f>
        <v/>
      </c>
      <c r="F527">
        <f>IF(OR($A527="",$C527&lt;1),"",$A527&amp;"-"&amp;TEXT(($D527-$C527+1),"00")&amp;IF($C527&gt;=2,", "&amp;$A527&amp;"-"&amp;TEXT(($D527-$C527+1)+1,"00"),"")&amp;IF($C527&gt;=3,", "&amp;$A527&amp;"-"&amp;TEXT(($D527-$C527+1)+2,"00"),"")&amp;IF($C527&gt;=4,", "&amp;$A527&amp;"-"&amp;TEXT(($D527-$C527+1)+3,"00"),"")&amp;IF($C527&gt;=5,", "&amp;$A527&amp;"-"&amp;TEXT(($D527-$C527+1)+4,"00"),"")&amp;IF($C527&gt;=6,", "&amp;$A527&amp;"-"&amp;TEXT(($D527-$C527+1)+5,"00"),"")&amp;IF($C527&gt;=7,", "&amp;$A527&amp;"-"&amp;TEXT(($D527-$C527+1)+6,"00"),"")&amp;IF($C527&gt;=8,", "&amp;$A527&amp;"-"&amp;TEXT(($D527-$C527+1)+7,"00"),"")&amp;IF($C527&gt;=9,", "&amp;$A527&amp;"-"&amp;TEXT(($D527-$C527+1)+8,"00"),"")&amp;IF($C527&gt;=10,", "&amp;$A527&amp;"-"&amp;TEXT(($D527-$C527+1)+9,"00"),"")&amp;IF($C527&gt;=11,", "&amp;$A527&amp;"-"&amp;TEXT(($D527-$C527+1)+10,"00"),"")&amp;IF($C527&gt;=12,", "&amp;$A527&amp;"-"&amp;TEXT(($D527-$C527+1)+11,"00"),"")&amp;IF($C527&gt;=13,", "&amp;$A527&amp;"-"&amp;TEXT(($D527-$C527+1)+12,"00"),"")&amp;IF($C527&gt;=14,", "&amp;$A527&amp;"-"&amp;TEXT(($D527-$C527+1)+13,"00"),"")&amp;IF($C527&gt;=15,", "&amp;$A527&amp;"-"&amp;TEXT(($D527-$C527+1)+14,"00"),"")&amp;IF($C527&gt;=16,", "&amp;$A527&amp;"-"&amp;TEXT(($D527-$C527+1)+15,"00"),"")&amp;IF($C527&gt;=17,", "&amp;$A527&amp;"-"&amp;TEXT(($D527-$C527+1)+16,"00"),"")&amp;IF($C527&gt;=18,", "&amp;$A527&amp;"-"&amp;TEXT(($D527-$C527+1)+17,"00"),"")&amp;IF($C527&gt;=19,", "&amp;$A527&amp;"-"&amp;TEXT(($D527-$C527+1)+18,"00"),"")&amp;IF($C527&gt;=20,", "&amp;$A527&amp;"-"&amp;TEXT(($D527-$C527+1)+19,"00"),"")&amp;IF($C527&gt;=21,", "&amp;$A527&amp;"-"&amp;TEXT(($D527-$C527+1)+20,"00"),"")&amp;IF($C527&gt;=22,", "&amp;$A527&amp;"-"&amp;TEXT(($D527-$C527+1)+21,"00"),"")&amp;IF($C527&gt;=23,", "&amp;$A527&amp;"-"&amp;TEXT(($D527-$C527+1)+22,"00"),"")&amp;IF($C527&gt;=24,", "&amp;$A527&amp;"-"&amp;TEXT(($D527-$C527+1)+23,"00"),"")&amp;IF($C527&gt;=25,", "&amp;$A527&amp;"-"&amp;TEXT(($D527-$C527+1)+24,"00"),""))</f>
        <v/>
      </c>
      <c r="G527">
        <f>IF($A527="","",IF($E527=1,$F527,IF($F527="",$G526,IF($G526="",$F527,$G526&amp;", "&amp;$F527))))</f>
        <v/>
      </c>
      <c r="H527">
        <f>IF($A527="","",$A527&amp;" ("&amp;$C527&amp;")")</f>
        <v/>
      </c>
      <c r="I527">
        <f>IF($A527="","",IF($E527=1,$H527,$I526&amp;", "&amp;$H527))</f>
        <v/>
      </c>
      <c r="J527">
        <f>IF($A527="","",IF($E527=1,$B527,""))</f>
        <v/>
      </c>
      <c r="K527">
        <f>IF($A527="","",IF(COUNTIF($B$2:$B527,$B527)=COUNTIF($B$2:$B$1601,$B527),$B527,""))</f>
        <v/>
      </c>
    </row>
    <row r="528">
      <c r="A528">
        <f>IF('TMP Paste'!$E528="","",'TMP Paste'!$E528)</f>
        <v/>
      </c>
      <c r="B528">
        <f>IF($A528="","",COUNTIF('TMP Paste'!$B$2:$B528,"?*"))</f>
        <v/>
      </c>
      <c r="C528">
        <f>IF($A528="","",IFERROR('TMP Paste'!$M528*1,0))</f>
        <v/>
      </c>
      <c r="D528">
        <f>IF($A528="","",SUMIF($B$2:$B528,$B528,$C$2:$C528))</f>
        <v/>
      </c>
      <c r="E528">
        <f>IF($A528="",0,IF('TMP Paste'!$B528="",0,1))</f>
        <v/>
      </c>
      <c r="F528">
        <f>IF(OR($A528="",$C528&lt;1),"",$A528&amp;"-"&amp;TEXT(($D528-$C528+1),"00")&amp;IF($C528&gt;=2,", "&amp;$A528&amp;"-"&amp;TEXT(($D528-$C528+1)+1,"00"),"")&amp;IF($C528&gt;=3,", "&amp;$A528&amp;"-"&amp;TEXT(($D528-$C528+1)+2,"00"),"")&amp;IF($C528&gt;=4,", "&amp;$A528&amp;"-"&amp;TEXT(($D528-$C528+1)+3,"00"),"")&amp;IF($C528&gt;=5,", "&amp;$A528&amp;"-"&amp;TEXT(($D528-$C528+1)+4,"00"),"")&amp;IF($C528&gt;=6,", "&amp;$A528&amp;"-"&amp;TEXT(($D528-$C528+1)+5,"00"),"")&amp;IF($C528&gt;=7,", "&amp;$A528&amp;"-"&amp;TEXT(($D528-$C528+1)+6,"00"),"")&amp;IF($C528&gt;=8,", "&amp;$A528&amp;"-"&amp;TEXT(($D528-$C528+1)+7,"00"),"")&amp;IF($C528&gt;=9,", "&amp;$A528&amp;"-"&amp;TEXT(($D528-$C528+1)+8,"00"),"")&amp;IF($C528&gt;=10,", "&amp;$A528&amp;"-"&amp;TEXT(($D528-$C528+1)+9,"00"),"")&amp;IF($C528&gt;=11,", "&amp;$A528&amp;"-"&amp;TEXT(($D528-$C528+1)+10,"00"),"")&amp;IF($C528&gt;=12,", "&amp;$A528&amp;"-"&amp;TEXT(($D528-$C528+1)+11,"00"),"")&amp;IF($C528&gt;=13,", "&amp;$A528&amp;"-"&amp;TEXT(($D528-$C528+1)+12,"00"),"")&amp;IF($C528&gt;=14,", "&amp;$A528&amp;"-"&amp;TEXT(($D528-$C528+1)+13,"00"),"")&amp;IF($C528&gt;=15,", "&amp;$A528&amp;"-"&amp;TEXT(($D528-$C528+1)+14,"00"),"")&amp;IF($C528&gt;=16,", "&amp;$A528&amp;"-"&amp;TEXT(($D528-$C528+1)+15,"00"),"")&amp;IF($C528&gt;=17,", "&amp;$A528&amp;"-"&amp;TEXT(($D528-$C528+1)+16,"00"),"")&amp;IF($C528&gt;=18,", "&amp;$A528&amp;"-"&amp;TEXT(($D528-$C528+1)+17,"00"),"")&amp;IF($C528&gt;=19,", "&amp;$A528&amp;"-"&amp;TEXT(($D528-$C528+1)+18,"00"),"")&amp;IF($C528&gt;=20,", "&amp;$A528&amp;"-"&amp;TEXT(($D528-$C528+1)+19,"00"),"")&amp;IF($C528&gt;=21,", "&amp;$A528&amp;"-"&amp;TEXT(($D528-$C528+1)+20,"00"),"")&amp;IF($C528&gt;=22,", "&amp;$A528&amp;"-"&amp;TEXT(($D528-$C528+1)+21,"00"),"")&amp;IF($C528&gt;=23,", "&amp;$A528&amp;"-"&amp;TEXT(($D528-$C528+1)+22,"00"),"")&amp;IF($C528&gt;=24,", "&amp;$A528&amp;"-"&amp;TEXT(($D528-$C528+1)+23,"00"),"")&amp;IF($C528&gt;=25,", "&amp;$A528&amp;"-"&amp;TEXT(($D528-$C528+1)+24,"00"),""))</f>
        <v/>
      </c>
      <c r="G528">
        <f>IF($A528="","",IF($E528=1,$F528,IF($F528="",$G527,IF($G527="",$F528,$G527&amp;", "&amp;$F528))))</f>
        <v/>
      </c>
      <c r="H528">
        <f>IF($A528="","",$A528&amp;" ("&amp;$C528&amp;")")</f>
        <v/>
      </c>
      <c r="I528">
        <f>IF($A528="","",IF($E528=1,$H528,$I527&amp;", "&amp;$H528))</f>
        <v/>
      </c>
      <c r="J528">
        <f>IF($A528="","",IF($E528=1,$B528,""))</f>
        <v/>
      </c>
      <c r="K528">
        <f>IF($A528="","",IF(COUNTIF($B$2:$B528,$B528)=COUNTIF($B$2:$B$1601,$B528),$B528,""))</f>
        <v/>
      </c>
    </row>
    <row r="529">
      <c r="A529">
        <f>IF('TMP Paste'!$E529="","",'TMP Paste'!$E529)</f>
        <v/>
      </c>
      <c r="B529">
        <f>IF($A529="","",COUNTIF('TMP Paste'!$B$2:$B529,"?*"))</f>
        <v/>
      </c>
      <c r="C529">
        <f>IF($A529="","",IFERROR('TMP Paste'!$M529*1,0))</f>
        <v/>
      </c>
      <c r="D529">
        <f>IF($A529="","",SUMIF($B$2:$B529,$B529,$C$2:$C529))</f>
        <v/>
      </c>
      <c r="E529">
        <f>IF($A529="",0,IF('TMP Paste'!$B529="",0,1))</f>
        <v/>
      </c>
      <c r="F529">
        <f>IF(OR($A529="",$C529&lt;1),"",$A529&amp;"-"&amp;TEXT(($D529-$C529+1),"00")&amp;IF($C529&gt;=2,", "&amp;$A529&amp;"-"&amp;TEXT(($D529-$C529+1)+1,"00"),"")&amp;IF($C529&gt;=3,", "&amp;$A529&amp;"-"&amp;TEXT(($D529-$C529+1)+2,"00"),"")&amp;IF($C529&gt;=4,", "&amp;$A529&amp;"-"&amp;TEXT(($D529-$C529+1)+3,"00"),"")&amp;IF($C529&gt;=5,", "&amp;$A529&amp;"-"&amp;TEXT(($D529-$C529+1)+4,"00"),"")&amp;IF($C529&gt;=6,", "&amp;$A529&amp;"-"&amp;TEXT(($D529-$C529+1)+5,"00"),"")&amp;IF($C529&gt;=7,", "&amp;$A529&amp;"-"&amp;TEXT(($D529-$C529+1)+6,"00"),"")&amp;IF($C529&gt;=8,", "&amp;$A529&amp;"-"&amp;TEXT(($D529-$C529+1)+7,"00"),"")&amp;IF($C529&gt;=9,", "&amp;$A529&amp;"-"&amp;TEXT(($D529-$C529+1)+8,"00"),"")&amp;IF($C529&gt;=10,", "&amp;$A529&amp;"-"&amp;TEXT(($D529-$C529+1)+9,"00"),"")&amp;IF($C529&gt;=11,", "&amp;$A529&amp;"-"&amp;TEXT(($D529-$C529+1)+10,"00"),"")&amp;IF($C529&gt;=12,", "&amp;$A529&amp;"-"&amp;TEXT(($D529-$C529+1)+11,"00"),"")&amp;IF($C529&gt;=13,", "&amp;$A529&amp;"-"&amp;TEXT(($D529-$C529+1)+12,"00"),"")&amp;IF($C529&gt;=14,", "&amp;$A529&amp;"-"&amp;TEXT(($D529-$C529+1)+13,"00"),"")&amp;IF($C529&gt;=15,", "&amp;$A529&amp;"-"&amp;TEXT(($D529-$C529+1)+14,"00"),"")&amp;IF($C529&gt;=16,", "&amp;$A529&amp;"-"&amp;TEXT(($D529-$C529+1)+15,"00"),"")&amp;IF($C529&gt;=17,", "&amp;$A529&amp;"-"&amp;TEXT(($D529-$C529+1)+16,"00"),"")&amp;IF($C529&gt;=18,", "&amp;$A529&amp;"-"&amp;TEXT(($D529-$C529+1)+17,"00"),"")&amp;IF($C529&gt;=19,", "&amp;$A529&amp;"-"&amp;TEXT(($D529-$C529+1)+18,"00"),"")&amp;IF($C529&gt;=20,", "&amp;$A529&amp;"-"&amp;TEXT(($D529-$C529+1)+19,"00"),"")&amp;IF($C529&gt;=21,", "&amp;$A529&amp;"-"&amp;TEXT(($D529-$C529+1)+20,"00"),"")&amp;IF($C529&gt;=22,", "&amp;$A529&amp;"-"&amp;TEXT(($D529-$C529+1)+21,"00"),"")&amp;IF($C529&gt;=23,", "&amp;$A529&amp;"-"&amp;TEXT(($D529-$C529+1)+22,"00"),"")&amp;IF($C529&gt;=24,", "&amp;$A529&amp;"-"&amp;TEXT(($D529-$C529+1)+23,"00"),"")&amp;IF($C529&gt;=25,", "&amp;$A529&amp;"-"&amp;TEXT(($D529-$C529+1)+24,"00"),""))</f>
        <v/>
      </c>
      <c r="G529">
        <f>IF($A529="","",IF($E529=1,$F529,IF($F529="",$G528,IF($G528="",$F529,$G528&amp;", "&amp;$F529))))</f>
        <v/>
      </c>
      <c r="H529">
        <f>IF($A529="","",$A529&amp;" ("&amp;$C529&amp;")")</f>
        <v/>
      </c>
      <c r="I529">
        <f>IF($A529="","",IF($E529=1,$H529,$I528&amp;", "&amp;$H529))</f>
        <v/>
      </c>
      <c r="J529">
        <f>IF($A529="","",IF($E529=1,$B529,""))</f>
        <v/>
      </c>
      <c r="K529">
        <f>IF($A529="","",IF(COUNTIF($B$2:$B529,$B529)=COUNTIF($B$2:$B$1601,$B529),$B529,""))</f>
        <v/>
      </c>
    </row>
    <row r="530">
      <c r="A530">
        <f>IF('TMP Paste'!$E530="","",'TMP Paste'!$E530)</f>
        <v/>
      </c>
      <c r="B530">
        <f>IF($A530="","",COUNTIF('TMP Paste'!$B$2:$B530,"?*"))</f>
        <v/>
      </c>
      <c r="C530">
        <f>IF($A530="","",IFERROR('TMP Paste'!$M530*1,0))</f>
        <v/>
      </c>
      <c r="D530">
        <f>IF($A530="","",SUMIF($B$2:$B530,$B530,$C$2:$C530))</f>
        <v/>
      </c>
      <c r="E530">
        <f>IF($A530="",0,IF('TMP Paste'!$B530="",0,1))</f>
        <v/>
      </c>
      <c r="F530">
        <f>IF(OR($A530="",$C530&lt;1),"",$A530&amp;"-"&amp;TEXT(($D530-$C530+1),"00")&amp;IF($C530&gt;=2,", "&amp;$A530&amp;"-"&amp;TEXT(($D530-$C530+1)+1,"00"),"")&amp;IF($C530&gt;=3,", "&amp;$A530&amp;"-"&amp;TEXT(($D530-$C530+1)+2,"00"),"")&amp;IF($C530&gt;=4,", "&amp;$A530&amp;"-"&amp;TEXT(($D530-$C530+1)+3,"00"),"")&amp;IF($C530&gt;=5,", "&amp;$A530&amp;"-"&amp;TEXT(($D530-$C530+1)+4,"00"),"")&amp;IF($C530&gt;=6,", "&amp;$A530&amp;"-"&amp;TEXT(($D530-$C530+1)+5,"00"),"")&amp;IF($C530&gt;=7,", "&amp;$A530&amp;"-"&amp;TEXT(($D530-$C530+1)+6,"00"),"")&amp;IF($C530&gt;=8,", "&amp;$A530&amp;"-"&amp;TEXT(($D530-$C530+1)+7,"00"),"")&amp;IF($C530&gt;=9,", "&amp;$A530&amp;"-"&amp;TEXT(($D530-$C530+1)+8,"00"),"")&amp;IF($C530&gt;=10,", "&amp;$A530&amp;"-"&amp;TEXT(($D530-$C530+1)+9,"00"),"")&amp;IF($C530&gt;=11,", "&amp;$A530&amp;"-"&amp;TEXT(($D530-$C530+1)+10,"00"),"")&amp;IF($C530&gt;=12,", "&amp;$A530&amp;"-"&amp;TEXT(($D530-$C530+1)+11,"00"),"")&amp;IF($C530&gt;=13,", "&amp;$A530&amp;"-"&amp;TEXT(($D530-$C530+1)+12,"00"),"")&amp;IF($C530&gt;=14,", "&amp;$A530&amp;"-"&amp;TEXT(($D530-$C530+1)+13,"00"),"")&amp;IF($C530&gt;=15,", "&amp;$A530&amp;"-"&amp;TEXT(($D530-$C530+1)+14,"00"),"")&amp;IF($C530&gt;=16,", "&amp;$A530&amp;"-"&amp;TEXT(($D530-$C530+1)+15,"00"),"")&amp;IF($C530&gt;=17,", "&amp;$A530&amp;"-"&amp;TEXT(($D530-$C530+1)+16,"00"),"")&amp;IF($C530&gt;=18,", "&amp;$A530&amp;"-"&amp;TEXT(($D530-$C530+1)+17,"00"),"")&amp;IF($C530&gt;=19,", "&amp;$A530&amp;"-"&amp;TEXT(($D530-$C530+1)+18,"00"),"")&amp;IF($C530&gt;=20,", "&amp;$A530&amp;"-"&amp;TEXT(($D530-$C530+1)+19,"00"),"")&amp;IF($C530&gt;=21,", "&amp;$A530&amp;"-"&amp;TEXT(($D530-$C530+1)+20,"00"),"")&amp;IF($C530&gt;=22,", "&amp;$A530&amp;"-"&amp;TEXT(($D530-$C530+1)+21,"00"),"")&amp;IF($C530&gt;=23,", "&amp;$A530&amp;"-"&amp;TEXT(($D530-$C530+1)+22,"00"),"")&amp;IF($C530&gt;=24,", "&amp;$A530&amp;"-"&amp;TEXT(($D530-$C530+1)+23,"00"),"")&amp;IF($C530&gt;=25,", "&amp;$A530&amp;"-"&amp;TEXT(($D530-$C530+1)+24,"00"),""))</f>
        <v/>
      </c>
      <c r="G530">
        <f>IF($A530="","",IF($E530=1,$F530,IF($F530="",$G529,IF($G529="",$F530,$G529&amp;", "&amp;$F530))))</f>
        <v/>
      </c>
      <c r="H530">
        <f>IF($A530="","",$A530&amp;" ("&amp;$C530&amp;")")</f>
        <v/>
      </c>
      <c r="I530">
        <f>IF($A530="","",IF($E530=1,$H530,$I529&amp;", "&amp;$H530))</f>
        <v/>
      </c>
      <c r="J530">
        <f>IF($A530="","",IF($E530=1,$B530,""))</f>
        <v/>
      </c>
      <c r="K530">
        <f>IF($A530="","",IF(COUNTIF($B$2:$B530,$B530)=COUNTIF($B$2:$B$1601,$B530),$B530,""))</f>
        <v/>
      </c>
    </row>
    <row r="531">
      <c r="A531">
        <f>IF('TMP Paste'!$E531="","",'TMP Paste'!$E531)</f>
        <v/>
      </c>
      <c r="B531">
        <f>IF($A531="","",COUNTIF('TMP Paste'!$B$2:$B531,"?*"))</f>
        <v/>
      </c>
      <c r="C531">
        <f>IF($A531="","",IFERROR('TMP Paste'!$M531*1,0))</f>
        <v/>
      </c>
      <c r="D531">
        <f>IF($A531="","",SUMIF($B$2:$B531,$B531,$C$2:$C531))</f>
        <v/>
      </c>
      <c r="E531">
        <f>IF($A531="",0,IF('TMP Paste'!$B531="",0,1))</f>
        <v/>
      </c>
      <c r="F531">
        <f>IF(OR($A531="",$C531&lt;1),"",$A531&amp;"-"&amp;TEXT(($D531-$C531+1),"00")&amp;IF($C531&gt;=2,", "&amp;$A531&amp;"-"&amp;TEXT(($D531-$C531+1)+1,"00"),"")&amp;IF($C531&gt;=3,", "&amp;$A531&amp;"-"&amp;TEXT(($D531-$C531+1)+2,"00"),"")&amp;IF($C531&gt;=4,", "&amp;$A531&amp;"-"&amp;TEXT(($D531-$C531+1)+3,"00"),"")&amp;IF($C531&gt;=5,", "&amp;$A531&amp;"-"&amp;TEXT(($D531-$C531+1)+4,"00"),"")&amp;IF($C531&gt;=6,", "&amp;$A531&amp;"-"&amp;TEXT(($D531-$C531+1)+5,"00"),"")&amp;IF($C531&gt;=7,", "&amp;$A531&amp;"-"&amp;TEXT(($D531-$C531+1)+6,"00"),"")&amp;IF($C531&gt;=8,", "&amp;$A531&amp;"-"&amp;TEXT(($D531-$C531+1)+7,"00"),"")&amp;IF($C531&gt;=9,", "&amp;$A531&amp;"-"&amp;TEXT(($D531-$C531+1)+8,"00"),"")&amp;IF($C531&gt;=10,", "&amp;$A531&amp;"-"&amp;TEXT(($D531-$C531+1)+9,"00"),"")&amp;IF($C531&gt;=11,", "&amp;$A531&amp;"-"&amp;TEXT(($D531-$C531+1)+10,"00"),"")&amp;IF($C531&gt;=12,", "&amp;$A531&amp;"-"&amp;TEXT(($D531-$C531+1)+11,"00"),"")&amp;IF($C531&gt;=13,", "&amp;$A531&amp;"-"&amp;TEXT(($D531-$C531+1)+12,"00"),"")&amp;IF($C531&gt;=14,", "&amp;$A531&amp;"-"&amp;TEXT(($D531-$C531+1)+13,"00"),"")&amp;IF($C531&gt;=15,", "&amp;$A531&amp;"-"&amp;TEXT(($D531-$C531+1)+14,"00"),"")&amp;IF($C531&gt;=16,", "&amp;$A531&amp;"-"&amp;TEXT(($D531-$C531+1)+15,"00"),"")&amp;IF($C531&gt;=17,", "&amp;$A531&amp;"-"&amp;TEXT(($D531-$C531+1)+16,"00"),"")&amp;IF($C531&gt;=18,", "&amp;$A531&amp;"-"&amp;TEXT(($D531-$C531+1)+17,"00"),"")&amp;IF($C531&gt;=19,", "&amp;$A531&amp;"-"&amp;TEXT(($D531-$C531+1)+18,"00"),"")&amp;IF($C531&gt;=20,", "&amp;$A531&amp;"-"&amp;TEXT(($D531-$C531+1)+19,"00"),"")&amp;IF($C531&gt;=21,", "&amp;$A531&amp;"-"&amp;TEXT(($D531-$C531+1)+20,"00"),"")&amp;IF($C531&gt;=22,", "&amp;$A531&amp;"-"&amp;TEXT(($D531-$C531+1)+21,"00"),"")&amp;IF($C531&gt;=23,", "&amp;$A531&amp;"-"&amp;TEXT(($D531-$C531+1)+22,"00"),"")&amp;IF($C531&gt;=24,", "&amp;$A531&amp;"-"&amp;TEXT(($D531-$C531+1)+23,"00"),"")&amp;IF($C531&gt;=25,", "&amp;$A531&amp;"-"&amp;TEXT(($D531-$C531+1)+24,"00"),""))</f>
        <v/>
      </c>
      <c r="G531">
        <f>IF($A531="","",IF($E531=1,$F531,IF($F531="",$G530,IF($G530="",$F531,$G530&amp;", "&amp;$F531))))</f>
        <v/>
      </c>
      <c r="H531">
        <f>IF($A531="","",$A531&amp;" ("&amp;$C531&amp;")")</f>
        <v/>
      </c>
      <c r="I531">
        <f>IF($A531="","",IF($E531=1,$H531,$I530&amp;", "&amp;$H531))</f>
        <v/>
      </c>
      <c r="J531">
        <f>IF($A531="","",IF($E531=1,$B531,""))</f>
        <v/>
      </c>
      <c r="K531">
        <f>IF($A531="","",IF(COUNTIF($B$2:$B531,$B531)=COUNTIF($B$2:$B$1601,$B531),$B531,""))</f>
        <v/>
      </c>
    </row>
    <row r="532">
      <c r="A532">
        <f>IF('TMP Paste'!$E532="","",'TMP Paste'!$E532)</f>
        <v/>
      </c>
      <c r="B532">
        <f>IF($A532="","",COUNTIF('TMP Paste'!$B$2:$B532,"?*"))</f>
        <v/>
      </c>
      <c r="C532">
        <f>IF($A532="","",IFERROR('TMP Paste'!$M532*1,0))</f>
        <v/>
      </c>
      <c r="D532">
        <f>IF($A532="","",SUMIF($B$2:$B532,$B532,$C$2:$C532))</f>
        <v/>
      </c>
      <c r="E532">
        <f>IF($A532="",0,IF('TMP Paste'!$B532="",0,1))</f>
        <v/>
      </c>
      <c r="F532">
        <f>IF(OR($A532="",$C532&lt;1),"",$A532&amp;"-"&amp;TEXT(($D532-$C532+1),"00")&amp;IF($C532&gt;=2,", "&amp;$A532&amp;"-"&amp;TEXT(($D532-$C532+1)+1,"00"),"")&amp;IF($C532&gt;=3,", "&amp;$A532&amp;"-"&amp;TEXT(($D532-$C532+1)+2,"00"),"")&amp;IF($C532&gt;=4,", "&amp;$A532&amp;"-"&amp;TEXT(($D532-$C532+1)+3,"00"),"")&amp;IF($C532&gt;=5,", "&amp;$A532&amp;"-"&amp;TEXT(($D532-$C532+1)+4,"00"),"")&amp;IF($C532&gt;=6,", "&amp;$A532&amp;"-"&amp;TEXT(($D532-$C532+1)+5,"00"),"")&amp;IF($C532&gt;=7,", "&amp;$A532&amp;"-"&amp;TEXT(($D532-$C532+1)+6,"00"),"")&amp;IF($C532&gt;=8,", "&amp;$A532&amp;"-"&amp;TEXT(($D532-$C532+1)+7,"00"),"")&amp;IF($C532&gt;=9,", "&amp;$A532&amp;"-"&amp;TEXT(($D532-$C532+1)+8,"00"),"")&amp;IF($C532&gt;=10,", "&amp;$A532&amp;"-"&amp;TEXT(($D532-$C532+1)+9,"00"),"")&amp;IF($C532&gt;=11,", "&amp;$A532&amp;"-"&amp;TEXT(($D532-$C532+1)+10,"00"),"")&amp;IF($C532&gt;=12,", "&amp;$A532&amp;"-"&amp;TEXT(($D532-$C532+1)+11,"00"),"")&amp;IF($C532&gt;=13,", "&amp;$A532&amp;"-"&amp;TEXT(($D532-$C532+1)+12,"00"),"")&amp;IF($C532&gt;=14,", "&amp;$A532&amp;"-"&amp;TEXT(($D532-$C532+1)+13,"00"),"")&amp;IF($C532&gt;=15,", "&amp;$A532&amp;"-"&amp;TEXT(($D532-$C532+1)+14,"00"),"")&amp;IF($C532&gt;=16,", "&amp;$A532&amp;"-"&amp;TEXT(($D532-$C532+1)+15,"00"),"")&amp;IF($C532&gt;=17,", "&amp;$A532&amp;"-"&amp;TEXT(($D532-$C532+1)+16,"00"),"")&amp;IF($C532&gt;=18,", "&amp;$A532&amp;"-"&amp;TEXT(($D532-$C532+1)+17,"00"),"")&amp;IF($C532&gt;=19,", "&amp;$A532&amp;"-"&amp;TEXT(($D532-$C532+1)+18,"00"),"")&amp;IF($C532&gt;=20,", "&amp;$A532&amp;"-"&amp;TEXT(($D532-$C532+1)+19,"00"),"")&amp;IF($C532&gt;=21,", "&amp;$A532&amp;"-"&amp;TEXT(($D532-$C532+1)+20,"00"),"")&amp;IF($C532&gt;=22,", "&amp;$A532&amp;"-"&amp;TEXT(($D532-$C532+1)+21,"00"),"")&amp;IF($C532&gt;=23,", "&amp;$A532&amp;"-"&amp;TEXT(($D532-$C532+1)+22,"00"),"")&amp;IF($C532&gt;=24,", "&amp;$A532&amp;"-"&amp;TEXT(($D532-$C532+1)+23,"00"),"")&amp;IF($C532&gt;=25,", "&amp;$A532&amp;"-"&amp;TEXT(($D532-$C532+1)+24,"00"),""))</f>
        <v/>
      </c>
      <c r="G532">
        <f>IF($A532="","",IF($E532=1,$F532,IF($F532="",$G531,IF($G531="",$F532,$G531&amp;", "&amp;$F532))))</f>
        <v/>
      </c>
      <c r="H532">
        <f>IF($A532="","",$A532&amp;" ("&amp;$C532&amp;")")</f>
        <v/>
      </c>
      <c r="I532">
        <f>IF($A532="","",IF($E532=1,$H532,$I531&amp;", "&amp;$H532))</f>
        <v/>
      </c>
      <c r="J532">
        <f>IF($A532="","",IF($E532=1,$B532,""))</f>
        <v/>
      </c>
      <c r="K532">
        <f>IF($A532="","",IF(COUNTIF($B$2:$B532,$B532)=COUNTIF($B$2:$B$1601,$B532),$B532,""))</f>
        <v/>
      </c>
    </row>
    <row r="533">
      <c r="A533">
        <f>IF('TMP Paste'!$E533="","",'TMP Paste'!$E533)</f>
        <v/>
      </c>
      <c r="B533">
        <f>IF($A533="","",COUNTIF('TMP Paste'!$B$2:$B533,"?*"))</f>
        <v/>
      </c>
      <c r="C533">
        <f>IF($A533="","",IFERROR('TMP Paste'!$M533*1,0))</f>
        <v/>
      </c>
      <c r="D533">
        <f>IF($A533="","",SUMIF($B$2:$B533,$B533,$C$2:$C533))</f>
        <v/>
      </c>
      <c r="E533">
        <f>IF($A533="",0,IF('TMP Paste'!$B533="",0,1))</f>
        <v/>
      </c>
      <c r="F533">
        <f>IF(OR($A533="",$C533&lt;1),"",$A533&amp;"-"&amp;TEXT(($D533-$C533+1),"00")&amp;IF($C533&gt;=2,", "&amp;$A533&amp;"-"&amp;TEXT(($D533-$C533+1)+1,"00"),"")&amp;IF($C533&gt;=3,", "&amp;$A533&amp;"-"&amp;TEXT(($D533-$C533+1)+2,"00"),"")&amp;IF($C533&gt;=4,", "&amp;$A533&amp;"-"&amp;TEXT(($D533-$C533+1)+3,"00"),"")&amp;IF($C533&gt;=5,", "&amp;$A533&amp;"-"&amp;TEXT(($D533-$C533+1)+4,"00"),"")&amp;IF($C533&gt;=6,", "&amp;$A533&amp;"-"&amp;TEXT(($D533-$C533+1)+5,"00"),"")&amp;IF($C533&gt;=7,", "&amp;$A533&amp;"-"&amp;TEXT(($D533-$C533+1)+6,"00"),"")&amp;IF($C533&gt;=8,", "&amp;$A533&amp;"-"&amp;TEXT(($D533-$C533+1)+7,"00"),"")&amp;IF($C533&gt;=9,", "&amp;$A533&amp;"-"&amp;TEXT(($D533-$C533+1)+8,"00"),"")&amp;IF($C533&gt;=10,", "&amp;$A533&amp;"-"&amp;TEXT(($D533-$C533+1)+9,"00"),"")&amp;IF($C533&gt;=11,", "&amp;$A533&amp;"-"&amp;TEXT(($D533-$C533+1)+10,"00"),"")&amp;IF($C533&gt;=12,", "&amp;$A533&amp;"-"&amp;TEXT(($D533-$C533+1)+11,"00"),"")&amp;IF($C533&gt;=13,", "&amp;$A533&amp;"-"&amp;TEXT(($D533-$C533+1)+12,"00"),"")&amp;IF($C533&gt;=14,", "&amp;$A533&amp;"-"&amp;TEXT(($D533-$C533+1)+13,"00"),"")&amp;IF($C533&gt;=15,", "&amp;$A533&amp;"-"&amp;TEXT(($D533-$C533+1)+14,"00"),"")&amp;IF($C533&gt;=16,", "&amp;$A533&amp;"-"&amp;TEXT(($D533-$C533+1)+15,"00"),"")&amp;IF($C533&gt;=17,", "&amp;$A533&amp;"-"&amp;TEXT(($D533-$C533+1)+16,"00"),"")&amp;IF($C533&gt;=18,", "&amp;$A533&amp;"-"&amp;TEXT(($D533-$C533+1)+17,"00"),"")&amp;IF($C533&gt;=19,", "&amp;$A533&amp;"-"&amp;TEXT(($D533-$C533+1)+18,"00"),"")&amp;IF($C533&gt;=20,", "&amp;$A533&amp;"-"&amp;TEXT(($D533-$C533+1)+19,"00"),"")&amp;IF($C533&gt;=21,", "&amp;$A533&amp;"-"&amp;TEXT(($D533-$C533+1)+20,"00"),"")&amp;IF($C533&gt;=22,", "&amp;$A533&amp;"-"&amp;TEXT(($D533-$C533+1)+21,"00"),"")&amp;IF($C533&gt;=23,", "&amp;$A533&amp;"-"&amp;TEXT(($D533-$C533+1)+22,"00"),"")&amp;IF($C533&gt;=24,", "&amp;$A533&amp;"-"&amp;TEXT(($D533-$C533+1)+23,"00"),"")&amp;IF($C533&gt;=25,", "&amp;$A533&amp;"-"&amp;TEXT(($D533-$C533+1)+24,"00"),""))</f>
        <v/>
      </c>
      <c r="G533">
        <f>IF($A533="","",IF($E533=1,$F533,IF($F533="",$G532,IF($G532="",$F533,$G532&amp;", "&amp;$F533))))</f>
        <v/>
      </c>
      <c r="H533">
        <f>IF($A533="","",$A533&amp;" ("&amp;$C533&amp;")")</f>
        <v/>
      </c>
      <c r="I533">
        <f>IF($A533="","",IF($E533=1,$H533,$I532&amp;", "&amp;$H533))</f>
        <v/>
      </c>
      <c r="J533">
        <f>IF($A533="","",IF($E533=1,$B533,""))</f>
        <v/>
      </c>
      <c r="K533">
        <f>IF($A533="","",IF(COUNTIF($B$2:$B533,$B533)=COUNTIF($B$2:$B$1601,$B533),$B533,""))</f>
        <v/>
      </c>
    </row>
    <row r="534">
      <c r="A534">
        <f>IF('TMP Paste'!$E534="","",'TMP Paste'!$E534)</f>
        <v/>
      </c>
      <c r="B534">
        <f>IF($A534="","",COUNTIF('TMP Paste'!$B$2:$B534,"?*"))</f>
        <v/>
      </c>
      <c r="C534">
        <f>IF($A534="","",IFERROR('TMP Paste'!$M534*1,0))</f>
        <v/>
      </c>
      <c r="D534">
        <f>IF($A534="","",SUMIF($B$2:$B534,$B534,$C$2:$C534))</f>
        <v/>
      </c>
      <c r="E534">
        <f>IF($A534="",0,IF('TMP Paste'!$B534="",0,1))</f>
        <v/>
      </c>
      <c r="F534">
        <f>IF(OR($A534="",$C534&lt;1),"",$A534&amp;"-"&amp;TEXT(($D534-$C534+1),"00")&amp;IF($C534&gt;=2,", "&amp;$A534&amp;"-"&amp;TEXT(($D534-$C534+1)+1,"00"),"")&amp;IF($C534&gt;=3,", "&amp;$A534&amp;"-"&amp;TEXT(($D534-$C534+1)+2,"00"),"")&amp;IF($C534&gt;=4,", "&amp;$A534&amp;"-"&amp;TEXT(($D534-$C534+1)+3,"00"),"")&amp;IF($C534&gt;=5,", "&amp;$A534&amp;"-"&amp;TEXT(($D534-$C534+1)+4,"00"),"")&amp;IF($C534&gt;=6,", "&amp;$A534&amp;"-"&amp;TEXT(($D534-$C534+1)+5,"00"),"")&amp;IF($C534&gt;=7,", "&amp;$A534&amp;"-"&amp;TEXT(($D534-$C534+1)+6,"00"),"")&amp;IF($C534&gt;=8,", "&amp;$A534&amp;"-"&amp;TEXT(($D534-$C534+1)+7,"00"),"")&amp;IF($C534&gt;=9,", "&amp;$A534&amp;"-"&amp;TEXT(($D534-$C534+1)+8,"00"),"")&amp;IF($C534&gt;=10,", "&amp;$A534&amp;"-"&amp;TEXT(($D534-$C534+1)+9,"00"),"")&amp;IF($C534&gt;=11,", "&amp;$A534&amp;"-"&amp;TEXT(($D534-$C534+1)+10,"00"),"")&amp;IF($C534&gt;=12,", "&amp;$A534&amp;"-"&amp;TEXT(($D534-$C534+1)+11,"00"),"")&amp;IF($C534&gt;=13,", "&amp;$A534&amp;"-"&amp;TEXT(($D534-$C534+1)+12,"00"),"")&amp;IF($C534&gt;=14,", "&amp;$A534&amp;"-"&amp;TEXT(($D534-$C534+1)+13,"00"),"")&amp;IF($C534&gt;=15,", "&amp;$A534&amp;"-"&amp;TEXT(($D534-$C534+1)+14,"00"),"")&amp;IF($C534&gt;=16,", "&amp;$A534&amp;"-"&amp;TEXT(($D534-$C534+1)+15,"00"),"")&amp;IF($C534&gt;=17,", "&amp;$A534&amp;"-"&amp;TEXT(($D534-$C534+1)+16,"00"),"")&amp;IF($C534&gt;=18,", "&amp;$A534&amp;"-"&amp;TEXT(($D534-$C534+1)+17,"00"),"")&amp;IF($C534&gt;=19,", "&amp;$A534&amp;"-"&amp;TEXT(($D534-$C534+1)+18,"00"),"")&amp;IF($C534&gt;=20,", "&amp;$A534&amp;"-"&amp;TEXT(($D534-$C534+1)+19,"00"),"")&amp;IF($C534&gt;=21,", "&amp;$A534&amp;"-"&amp;TEXT(($D534-$C534+1)+20,"00"),"")&amp;IF($C534&gt;=22,", "&amp;$A534&amp;"-"&amp;TEXT(($D534-$C534+1)+21,"00"),"")&amp;IF($C534&gt;=23,", "&amp;$A534&amp;"-"&amp;TEXT(($D534-$C534+1)+22,"00"),"")&amp;IF($C534&gt;=24,", "&amp;$A534&amp;"-"&amp;TEXT(($D534-$C534+1)+23,"00"),"")&amp;IF($C534&gt;=25,", "&amp;$A534&amp;"-"&amp;TEXT(($D534-$C534+1)+24,"00"),""))</f>
        <v/>
      </c>
      <c r="G534">
        <f>IF($A534="","",IF($E534=1,$F534,IF($F534="",$G533,IF($G533="",$F534,$G533&amp;", "&amp;$F534))))</f>
        <v/>
      </c>
      <c r="H534">
        <f>IF($A534="","",$A534&amp;" ("&amp;$C534&amp;")")</f>
        <v/>
      </c>
      <c r="I534">
        <f>IF($A534="","",IF($E534=1,$H534,$I533&amp;", "&amp;$H534))</f>
        <v/>
      </c>
      <c r="J534">
        <f>IF($A534="","",IF($E534=1,$B534,""))</f>
        <v/>
      </c>
      <c r="K534">
        <f>IF($A534="","",IF(COUNTIF($B$2:$B534,$B534)=COUNTIF($B$2:$B$1601,$B534),$B534,""))</f>
        <v/>
      </c>
    </row>
    <row r="535">
      <c r="A535">
        <f>IF('TMP Paste'!$E535="","",'TMP Paste'!$E535)</f>
        <v/>
      </c>
      <c r="B535">
        <f>IF($A535="","",COUNTIF('TMP Paste'!$B$2:$B535,"?*"))</f>
        <v/>
      </c>
      <c r="C535">
        <f>IF($A535="","",IFERROR('TMP Paste'!$M535*1,0))</f>
        <v/>
      </c>
      <c r="D535">
        <f>IF($A535="","",SUMIF($B$2:$B535,$B535,$C$2:$C535))</f>
        <v/>
      </c>
      <c r="E535">
        <f>IF($A535="",0,IF('TMP Paste'!$B535="",0,1))</f>
        <v/>
      </c>
      <c r="F535">
        <f>IF(OR($A535="",$C535&lt;1),"",$A535&amp;"-"&amp;TEXT(($D535-$C535+1),"00")&amp;IF($C535&gt;=2,", "&amp;$A535&amp;"-"&amp;TEXT(($D535-$C535+1)+1,"00"),"")&amp;IF($C535&gt;=3,", "&amp;$A535&amp;"-"&amp;TEXT(($D535-$C535+1)+2,"00"),"")&amp;IF($C535&gt;=4,", "&amp;$A535&amp;"-"&amp;TEXT(($D535-$C535+1)+3,"00"),"")&amp;IF($C535&gt;=5,", "&amp;$A535&amp;"-"&amp;TEXT(($D535-$C535+1)+4,"00"),"")&amp;IF($C535&gt;=6,", "&amp;$A535&amp;"-"&amp;TEXT(($D535-$C535+1)+5,"00"),"")&amp;IF($C535&gt;=7,", "&amp;$A535&amp;"-"&amp;TEXT(($D535-$C535+1)+6,"00"),"")&amp;IF($C535&gt;=8,", "&amp;$A535&amp;"-"&amp;TEXT(($D535-$C535+1)+7,"00"),"")&amp;IF($C535&gt;=9,", "&amp;$A535&amp;"-"&amp;TEXT(($D535-$C535+1)+8,"00"),"")&amp;IF($C535&gt;=10,", "&amp;$A535&amp;"-"&amp;TEXT(($D535-$C535+1)+9,"00"),"")&amp;IF($C535&gt;=11,", "&amp;$A535&amp;"-"&amp;TEXT(($D535-$C535+1)+10,"00"),"")&amp;IF($C535&gt;=12,", "&amp;$A535&amp;"-"&amp;TEXT(($D535-$C535+1)+11,"00"),"")&amp;IF($C535&gt;=13,", "&amp;$A535&amp;"-"&amp;TEXT(($D535-$C535+1)+12,"00"),"")&amp;IF($C535&gt;=14,", "&amp;$A535&amp;"-"&amp;TEXT(($D535-$C535+1)+13,"00"),"")&amp;IF($C535&gt;=15,", "&amp;$A535&amp;"-"&amp;TEXT(($D535-$C535+1)+14,"00"),"")&amp;IF($C535&gt;=16,", "&amp;$A535&amp;"-"&amp;TEXT(($D535-$C535+1)+15,"00"),"")&amp;IF($C535&gt;=17,", "&amp;$A535&amp;"-"&amp;TEXT(($D535-$C535+1)+16,"00"),"")&amp;IF($C535&gt;=18,", "&amp;$A535&amp;"-"&amp;TEXT(($D535-$C535+1)+17,"00"),"")&amp;IF($C535&gt;=19,", "&amp;$A535&amp;"-"&amp;TEXT(($D535-$C535+1)+18,"00"),"")&amp;IF($C535&gt;=20,", "&amp;$A535&amp;"-"&amp;TEXT(($D535-$C535+1)+19,"00"),"")&amp;IF($C535&gt;=21,", "&amp;$A535&amp;"-"&amp;TEXT(($D535-$C535+1)+20,"00"),"")&amp;IF($C535&gt;=22,", "&amp;$A535&amp;"-"&amp;TEXT(($D535-$C535+1)+21,"00"),"")&amp;IF($C535&gt;=23,", "&amp;$A535&amp;"-"&amp;TEXT(($D535-$C535+1)+22,"00"),"")&amp;IF($C535&gt;=24,", "&amp;$A535&amp;"-"&amp;TEXT(($D535-$C535+1)+23,"00"),"")&amp;IF($C535&gt;=25,", "&amp;$A535&amp;"-"&amp;TEXT(($D535-$C535+1)+24,"00"),""))</f>
        <v/>
      </c>
      <c r="G535">
        <f>IF($A535="","",IF($E535=1,$F535,IF($F535="",$G534,IF($G534="",$F535,$G534&amp;", "&amp;$F535))))</f>
        <v/>
      </c>
      <c r="H535">
        <f>IF($A535="","",$A535&amp;" ("&amp;$C535&amp;")")</f>
        <v/>
      </c>
      <c r="I535">
        <f>IF($A535="","",IF($E535=1,$H535,$I534&amp;", "&amp;$H535))</f>
        <v/>
      </c>
      <c r="J535">
        <f>IF($A535="","",IF($E535=1,$B535,""))</f>
        <v/>
      </c>
      <c r="K535">
        <f>IF($A535="","",IF(COUNTIF($B$2:$B535,$B535)=COUNTIF($B$2:$B$1601,$B535),$B535,""))</f>
        <v/>
      </c>
    </row>
    <row r="536">
      <c r="A536">
        <f>IF('TMP Paste'!$E536="","",'TMP Paste'!$E536)</f>
        <v/>
      </c>
      <c r="B536">
        <f>IF($A536="","",COUNTIF('TMP Paste'!$B$2:$B536,"?*"))</f>
        <v/>
      </c>
      <c r="C536">
        <f>IF($A536="","",IFERROR('TMP Paste'!$M536*1,0))</f>
        <v/>
      </c>
      <c r="D536">
        <f>IF($A536="","",SUMIF($B$2:$B536,$B536,$C$2:$C536))</f>
        <v/>
      </c>
      <c r="E536">
        <f>IF($A536="",0,IF('TMP Paste'!$B536="",0,1))</f>
        <v/>
      </c>
      <c r="F536">
        <f>IF(OR($A536="",$C536&lt;1),"",$A536&amp;"-"&amp;TEXT(($D536-$C536+1),"00")&amp;IF($C536&gt;=2,", "&amp;$A536&amp;"-"&amp;TEXT(($D536-$C536+1)+1,"00"),"")&amp;IF($C536&gt;=3,", "&amp;$A536&amp;"-"&amp;TEXT(($D536-$C536+1)+2,"00"),"")&amp;IF($C536&gt;=4,", "&amp;$A536&amp;"-"&amp;TEXT(($D536-$C536+1)+3,"00"),"")&amp;IF($C536&gt;=5,", "&amp;$A536&amp;"-"&amp;TEXT(($D536-$C536+1)+4,"00"),"")&amp;IF($C536&gt;=6,", "&amp;$A536&amp;"-"&amp;TEXT(($D536-$C536+1)+5,"00"),"")&amp;IF($C536&gt;=7,", "&amp;$A536&amp;"-"&amp;TEXT(($D536-$C536+1)+6,"00"),"")&amp;IF($C536&gt;=8,", "&amp;$A536&amp;"-"&amp;TEXT(($D536-$C536+1)+7,"00"),"")&amp;IF($C536&gt;=9,", "&amp;$A536&amp;"-"&amp;TEXT(($D536-$C536+1)+8,"00"),"")&amp;IF($C536&gt;=10,", "&amp;$A536&amp;"-"&amp;TEXT(($D536-$C536+1)+9,"00"),"")&amp;IF($C536&gt;=11,", "&amp;$A536&amp;"-"&amp;TEXT(($D536-$C536+1)+10,"00"),"")&amp;IF($C536&gt;=12,", "&amp;$A536&amp;"-"&amp;TEXT(($D536-$C536+1)+11,"00"),"")&amp;IF($C536&gt;=13,", "&amp;$A536&amp;"-"&amp;TEXT(($D536-$C536+1)+12,"00"),"")&amp;IF($C536&gt;=14,", "&amp;$A536&amp;"-"&amp;TEXT(($D536-$C536+1)+13,"00"),"")&amp;IF($C536&gt;=15,", "&amp;$A536&amp;"-"&amp;TEXT(($D536-$C536+1)+14,"00"),"")&amp;IF($C536&gt;=16,", "&amp;$A536&amp;"-"&amp;TEXT(($D536-$C536+1)+15,"00"),"")&amp;IF($C536&gt;=17,", "&amp;$A536&amp;"-"&amp;TEXT(($D536-$C536+1)+16,"00"),"")&amp;IF($C536&gt;=18,", "&amp;$A536&amp;"-"&amp;TEXT(($D536-$C536+1)+17,"00"),"")&amp;IF($C536&gt;=19,", "&amp;$A536&amp;"-"&amp;TEXT(($D536-$C536+1)+18,"00"),"")&amp;IF($C536&gt;=20,", "&amp;$A536&amp;"-"&amp;TEXT(($D536-$C536+1)+19,"00"),"")&amp;IF($C536&gt;=21,", "&amp;$A536&amp;"-"&amp;TEXT(($D536-$C536+1)+20,"00"),"")&amp;IF($C536&gt;=22,", "&amp;$A536&amp;"-"&amp;TEXT(($D536-$C536+1)+21,"00"),"")&amp;IF($C536&gt;=23,", "&amp;$A536&amp;"-"&amp;TEXT(($D536-$C536+1)+22,"00"),"")&amp;IF($C536&gt;=24,", "&amp;$A536&amp;"-"&amp;TEXT(($D536-$C536+1)+23,"00"),"")&amp;IF($C536&gt;=25,", "&amp;$A536&amp;"-"&amp;TEXT(($D536-$C536+1)+24,"00"),""))</f>
        <v/>
      </c>
      <c r="G536">
        <f>IF($A536="","",IF($E536=1,$F536,IF($F536="",$G535,IF($G535="",$F536,$G535&amp;", "&amp;$F536))))</f>
        <v/>
      </c>
      <c r="H536">
        <f>IF($A536="","",$A536&amp;" ("&amp;$C536&amp;")")</f>
        <v/>
      </c>
      <c r="I536">
        <f>IF($A536="","",IF($E536=1,$H536,$I535&amp;", "&amp;$H536))</f>
        <v/>
      </c>
      <c r="J536">
        <f>IF($A536="","",IF($E536=1,$B536,""))</f>
        <v/>
      </c>
      <c r="K536">
        <f>IF($A536="","",IF(COUNTIF($B$2:$B536,$B536)=COUNTIF($B$2:$B$1601,$B536),$B536,""))</f>
        <v/>
      </c>
    </row>
    <row r="537">
      <c r="A537">
        <f>IF('TMP Paste'!$E537="","",'TMP Paste'!$E537)</f>
        <v/>
      </c>
      <c r="B537">
        <f>IF($A537="","",COUNTIF('TMP Paste'!$B$2:$B537,"?*"))</f>
        <v/>
      </c>
      <c r="C537">
        <f>IF($A537="","",IFERROR('TMP Paste'!$M537*1,0))</f>
        <v/>
      </c>
      <c r="D537">
        <f>IF($A537="","",SUMIF($B$2:$B537,$B537,$C$2:$C537))</f>
        <v/>
      </c>
      <c r="E537">
        <f>IF($A537="",0,IF('TMP Paste'!$B537="",0,1))</f>
        <v/>
      </c>
      <c r="F537">
        <f>IF(OR($A537="",$C537&lt;1),"",$A537&amp;"-"&amp;TEXT(($D537-$C537+1),"00")&amp;IF($C537&gt;=2,", "&amp;$A537&amp;"-"&amp;TEXT(($D537-$C537+1)+1,"00"),"")&amp;IF($C537&gt;=3,", "&amp;$A537&amp;"-"&amp;TEXT(($D537-$C537+1)+2,"00"),"")&amp;IF($C537&gt;=4,", "&amp;$A537&amp;"-"&amp;TEXT(($D537-$C537+1)+3,"00"),"")&amp;IF($C537&gt;=5,", "&amp;$A537&amp;"-"&amp;TEXT(($D537-$C537+1)+4,"00"),"")&amp;IF($C537&gt;=6,", "&amp;$A537&amp;"-"&amp;TEXT(($D537-$C537+1)+5,"00"),"")&amp;IF($C537&gt;=7,", "&amp;$A537&amp;"-"&amp;TEXT(($D537-$C537+1)+6,"00"),"")&amp;IF($C537&gt;=8,", "&amp;$A537&amp;"-"&amp;TEXT(($D537-$C537+1)+7,"00"),"")&amp;IF($C537&gt;=9,", "&amp;$A537&amp;"-"&amp;TEXT(($D537-$C537+1)+8,"00"),"")&amp;IF($C537&gt;=10,", "&amp;$A537&amp;"-"&amp;TEXT(($D537-$C537+1)+9,"00"),"")&amp;IF($C537&gt;=11,", "&amp;$A537&amp;"-"&amp;TEXT(($D537-$C537+1)+10,"00"),"")&amp;IF($C537&gt;=12,", "&amp;$A537&amp;"-"&amp;TEXT(($D537-$C537+1)+11,"00"),"")&amp;IF($C537&gt;=13,", "&amp;$A537&amp;"-"&amp;TEXT(($D537-$C537+1)+12,"00"),"")&amp;IF($C537&gt;=14,", "&amp;$A537&amp;"-"&amp;TEXT(($D537-$C537+1)+13,"00"),"")&amp;IF($C537&gt;=15,", "&amp;$A537&amp;"-"&amp;TEXT(($D537-$C537+1)+14,"00"),"")&amp;IF($C537&gt;=16,", "&amp;$A537&amp;"-"&amp;TEXT(($D537-$C537+1)+15,"00"),"")&amp;IF($C537&gt;=17,", "&amp;$A537&amp;"-"&amp;TEXT(($D537-$C537+1)+16,"00"),"")&amp;IF($C537&gt;=18,", "&amp;$A537&amp;"-"&amp;TEXT(($D537-$C537+1)+17,"00"),"")&amp;IF($C537&gt;=19,", "&amp;$A537&amp;"-"&amp;TEXT(($D537-$C537+1)+18,"00"),"")&amp;IF($C537&gt;=20,", "&amp;$A537&amp;"-"&amp;TEXT(($D537-$C537+1)+19,"00"),"")&amp;IF($C537&gt;=21,", "&amp;$A537&amp;"-"&amp;TEXT(($D537-$C537+1)+20,"00"),"")&amp;IF($C537&gt;=22,", "&amp;$A537&amp;"-"&amp;TEXT(($D537-$C537+1)+21,"00"),"")&amp;IF($C537&gt;=23,", "&amp;$A537&amp;"-"&amp;TEXT(($D537-$C537+1)+22,"00"),"")&amp;IF($C537&gt;=24,", "&amp;$A537&amp;"-"&amp;TEXT(($D537-$C537+1)+23,"00"),"")&amp;IF($C537&gt;=25,", "&amp;$A537&amp;"-"&amp;TEXT(($D537-$C537+1)+24,"00"),""))</f>
        <v/>
      </c>
      <c r="G537">
        <f>IF($A537="","",IF($E537=1,$F537,IF($F537="",$G536,IF($G536="",$F537,$G536&amp;", "&amp;$F537))))</f>
        <v/>
      </c>
      <c r="H537">
        <f>IF($A537="","",$A537&amp;" ("&amp;$C537&amp;")")</f>
        <v/>
      </c>
      <c r="I537">
        <f>IF($A537="","",IF($E537=1,$H537,$I536&amp;", "&amp;$H537))</f>
        <v/>
      </c>
      <c r="J537">
        <f>IF($A537="","",IF($E537=1,$B537,""))</f>
        <v/>
      </c>
      <c r="K537">
        <f>IF($A537="","",IF(COUNTIF($B$2:$B537,$B537)=COUNTIF($B$2:$B$1601,$B537),$B537,""))</f>
        <v/>
      </c>
    </row>
    <row r="538">
      <c r="A538">
        <f>IF('TMP Paste'!$E538="","",'TMP Paste'!$E538)</f>
        <v/>
      </c>
      <c r="B538">
        <f>IF($A538="","",COUNTIF('TMP Paste'!$B$2:$B538,"?*"))</f>
        <v/>
      </c>
      <c r="C538">
        <f>IF($A538="","",IFERROR('TMP Paste'!$M538*1,0))</f>
        <v/>
      </c>
      <c r="D538">
        <f>IF($A538="","",SUMIF($B$2:$B538,$B538,$C$2:$C538))</f>
        <v/>
      </c>
      <c r="E538">
        <f>IF($A538="",0,IF('TMP Paste'!$B538="",0,1))</f>
        <v/>
      </c>
      <c r="F538">
        <f>IF(OR($A538="",$C538&lt;1),"",$A538&amp;"-"&amp;TEXT(($D538-$C538+1),"00")&amp;IF($C538&gt;=2,", "&amp;$A538&amp;"-"&amp;TEXT(($D538-$C538+1)+1,"00"),"")&amp;IF($C538&gt;=3,", "&amp;$A538&amp;"-"&amp;TEXT(($D538-$C538+1)+2,"00"),"")&amp;IF($C538&gt;=4,", "&amp;$A538&amp;"-"&amp;TEXT(($D538-$C538+1)+3,"00"),"")&amp;IF($C538&gt;=5,", "&amp;$A538&amp;"-"&amp;TEXT(($D538-$C538+1)+4,"00"),"")&amp;IF($C538&gt;=6,", "&amp;$A538&amp;"-"&amp;TEXT(($D538-$C538+1)+5,"00"),"")&amp;IF($C538&gt;=7,", "&amp;$A538&amp;"-"&amp;TEXT(($D538-$C538+1)+6,"00"),"")&amp;IF($C538&gt;=8,", "&amp;$A538&amp;"-"&amp;TEXT(($D538-$C538+1)+7,"00"),"")&amp;IF($C538&gt;=9,", "&amp;$A538&amp;"-"&amp;TEXT(($D538-$C538+1)+8,"00"),"")&amp;IF($C538&gt;=10,", "&amp;$A538&amp;"-"&amp;TEXT(($D538-$C538+1)+9,"00"),"")&amp;IF($C538&gt;=11,", "&amp;$A538&amp;"-"&amp;TEXT(($D538-$C538+1)+10,"00"),"")&amp;IF($C538&gt;=12,", "&amp;$A538&amp;"-"&amp;TEXT(($D538-$C538+1)+11,"00"),"")&amp;IF($C538&gt;=13,", "&amp;$A538&amp;"-"&amp;TEXT(($D538-$C538+1)+12,"00"),"")&amp;IF($C538&gt;=14,", "&amp;$A538&amp;"-"&amp;TEXT(($D538-$C538+1)+13,"00"),"")&amp;IF($C538&gt;=15,", "&amp;$A538&amp;"-"&amp;TEXT(($D538-$C538+1)+14,"00"),"")&amp;IF($C538&gt;=16,", "&amp;$A538&amp;"-"&amp;TEXT(($D538-$C538+1)+15,"00"),"")&amp;IF($C538&gt;=17,", "&amp;$A538&amp;"-"&amp;TEXT(($D538-$C538+1)+16,"00"),"")&amp;IF($C538&gt;=18,", "&amp;$A538&amp;"-"&amp;TEXT(($D538-$C538+1)+17,"00"),"")&amp;IF($C538&gt;=19,", "&amp;$A538&amp;"-"&amp;TEXT(($D538-$C538+1)+18,"00"),"")&amp;IF($C538&gt;=20,", "&amp;$A538&amp;"-"&amp;TEXT(($D538-$C538+1)+19,"00"),"")&amp;IF($C538&gt;=21,", "&amp;$A538&amp;"-"&amp;TEXT(($D538-$C538+1)+20,"00"),"")&amp;IF($C538&gt;=22,", "&amp;$A538&amp;"-"&amp;TEXT(($D538-$C538+1)+21,"00"),"")&amp;IF($C538&gt;=23,", "&amp;$A538&amp;"-"&amp;TEXT(($D538-$C538+1)+22,"00"),"")&amp;IF($C538&gt;=24,", "&amp;$A538&amp;"-"&amp;TEXT(($D538-$C538+1)+23,"00"),"")&amp;IF($C538&gt;=25,", "&amp;$A538&amp;"-"&amp;TEXT(($D538-$C538+1)+24,"00"),""))</f>
        <v/>
      </c>
      <c r="G538">
        <f>IF($A538="","",IF($E538=1,$F538,IF($F538="",$G537,IF($G537="",$F538,$G537&amp;", "&amp;$F538))))</f>
        <v/>
      </c>
      <c r="H538">
        <f>IF($A538="","",$A538&amp;" ("&amp;$C538&amp;")")</f>
        <v/>
      </c>
      <c r="I538">
        <f>IF($A538="","",IF($E538=1,$H538,$I537&amp;", "&amp;$H538))</f>
        <v/>
      </c>
      <c r="J538">
        <f>IF($A538="","",IF($E538=1,$B538,""))</f>
        <v/>
      </c>
      <c r="K538">
        <f>IF($A538="","",IF(COUNTIF($B$2:$B538,$B538)=COUNTIF($B$2:$B$1601,$B538),$B538,""))</f>
        <v/>
      </c>
    </row>
    <row r="539">
      <c r="A539">
        <f>IF('TMP Paste'!$E539="","",'TMP Paste'!$E539)</f>
        <v/>
      </c>
      <c r="B539">
        <f>IF($A539="","",COUNTIF('TMP Paste'!$B$2:$B539,"?*"))</f>
        <v/>
      </c>
      <c r="C539">
        <f>IF($A539="","",IFERROR('TMP Paste'!$M539*1,0))</f>
        <v/>
      </c>
      <c r="D539">
        <f>IF($A539="","",SUMIF($B$2:$B539,$B539,$C$2:$C539))</f>
        <v/>
      </c>
      <c r="E539">
        <f>IF($A539="",0,IF('TMP Paste'!$B539="",0,1))</f>
        <v/>
      </c>
      <c r="F539">
        <f>IF(OR($A539="",$C539&lt;1),"",$A539&amp;"-"&amp;TEXT(($D539-$C539+1),"00")&amp;IF($C539&gt;=2,", "&amp;$A539&amp;"-"&amp;TEXT(($D539-$C539+1)+1,"00"),"")&amp;IF($C539&gt;=3,", "&amp;$A539&amp;"-"&amp;TEXT(($D539-$C539+1)+2,"00"),"")&amp;IF($C539&gt;=4,", "&amp;$A539&amp;"-"&amp;TEXT(($D539-$C539+1)+3,"00"),"")&amp;IF($C539&gt;=5,", "&amp;$A539&amp;"-"&amp;TEXT(($D539-$C539+1)+4,"00"),"")&amp;IF($C539&gt;=6,", "&amp;$A539&amp;"-"&amp;TEXT(($D539-$C539+1)+5,"00"),"")&amp;IF($C539&gt;=7,", "&amp;$A539&amp;"-"&amp;TEXT(($D539-$C539+1)+6,"00"),"")&amp;IF($C539&gt;=8,", "&amp;$A539&amp;"-"&amp;TEXT(($D539-$C539+1)+7,"00"),"")&amp;IF($C539&gt;=9,", "&amp;$A539&amp;"-"&amp;TEXT(($D539-$C539+1)+8,"00"),"")&amp;IF($C539&gt;=10,", "&amp;$A539&amp;"-"&amp;TEXT(($D539-$C539+1)+9,"00"),"")&amp;IF($C539&gt;=11,", "&amp;$A539&amp;"-"&amp;TEXT(($D539-$C539+1)+10,"00"),"")&amp;IF($C539&gt;=12,", "&amp;$A539&amp;"-"&amp;TEXT(($D539-$C539+1)+11,"00"),"")&amp;IF($C539&gt;=13,", "&amp;$A539&amp;"-"&amp;TEXT(($D539-$C539+1)+12,"00"),"")&amp;IF($C539&gt;=14,", "&amp;$A539&amp;"-"&amp;TEXT(($D539-$C539+1)+13,"00"),"")&amp;IF($C539&gt;=15,", "&amp;$A539&amp;"-"&amp;TEXT(($D539-$C539+1)+14,"00"),"")&amp;IF($C539&gt;=16,", "&amp;$A539&amp;"-"&amp;TEXT(($D539-$C539+1)+15,"00"),"")&amp;IF($C539&gt;=17,", "&amp;$A539&amp;"-"&amp;TEXT(($D539-$C539+1)+16,"00"),"")&amp;IF($C539&gt;=18,", "&amp;$A539&amp;"-"&amp;TEXT(($D539-$C539+1)+17,"00"),"")&amp;IF($C539&gt;=19,", "&amp;$A539&amp;"-"&amp;TEXT(($D539-$C539+1)+18,"00"),"")&amp;IF($C539&gt;=20,", "&amp;$A539&amp;"-"&amp;TEXT(($D539-$C539+1)+19,"00"),"")&amp;IF($C539&gt;=21,", "&amp;$A539&amp;"-"&amp;TEXT(($D539-$C539+1)+20,"00"),"")&amp;IF($C539&gt;=22,", "&amp;$A539&amp;"-"&amp;TEXT(($D539-$C539+1)+21,"00"),"")&amp;IF($C539&gt;=23,", "&amp;$A539&amp;"-"&amp;TEXT(($D539-$C539+1)+22,"00"),"")&amp;IF($C539&gt;=24,", "&amp;$A539&amp;"-"&amp;TEXT(($D539-$C539+1)+23,"00"),"")&amp;IF($C539&gt;=25,", "&amp;$A539&amp;"-"&amp;TEXT(($D539-$C539+1)+24,"00"),""))</f>
        <v/>
      </c>
      <c r="G539">
        <f>IF($A539="","",IF($E539=1,$F539,IF($F539="",$G538,IF($G538="",$F539,$G538&amp;", "&amp;$F539))))</f>
        <v/>
      </c>
      <c r="H539">
        <f>IF($A539="","",$A539&amp;" ("&amp;$C539&amp;")")</f>
        <v/>
      </c>
      <c r="I539">
        <f>IF($A539="","",IF($E539=1,$H539,$I538&amp;", "&amp;$H539))</f>
        <v/>
      </c>
      <c r="J539">
        <f>IF($A539="","",IF($E539=1,$B539,""))</f>
        <v/>
      </c>
      <c r="K539">
        <f>IF($A539="","",IF(COUNTIF($B$2:$B539,$B539)=COUNTIF($B$2:$B$1601,$B539),$B539,""))</f>
        <v/>
      </c>
    </row>
    <row r="540">
      <c r="A540">
        <f>IF('TMP Paste'!$E540="","",'TMP Paste'!$E540)</f>
        <v/>
      </c>
      <c r="B540">
        <f>IF($A540="","",COUNTIF('TMP Paste'!$B$2:$B540,"?*"))</f>
        <v/>
      </c>
      <c r="C540">
        <f>IF($A540="","",IFERROR('TMP Paste'!$M540*1,0))</f>
        <v/>
      </c>
      <c r="D540">
        <f>IF($A540="","",SUMIF($B$2:$B540,$B540,$C$2:$C540))</f>
        <v/>
      </c>
      <c r="E540">
        <f>IF($A540="",0,IF('TMP Paste'!$B540="",0,1))</f>
        <v/>
      </c>
      <c r="F540">
        <f>IF(OR($A540="",$C540&lt;1),"",$A540&amp;"-"&amp;TEXT(($D540-$C540+1),"00")&amp;IF($C540&gt;=2,", "&amp;$A540&amp;"-"&amp;TEXT(($D540-$C540+1)+1,"00"),"")&amp;IF($C540&gt;=3,", "&amp;$A540&amp;"-"&amp;TEXT(($D540-$C540+1)+2,"00"),"")&amp;IF($C540&gt;=4,", "&amp;$A540&amp;"-"&amp;TEXT(($D540-$C540+1)+3,"00"),"")&amp;IF($C540&gt;=5,", "&amp;$A540&amp;"-"&amp;TEXT(($D540-$C540+1)+4,"00"),"")&amp;IF($C540&gt;=6,", "&amp;$A540&amp;"-"&amp;TEXT(($D540-$C540+1)+5,"00"),"")&amp;IF($C540&gt;=7,", "&amp;$A540&amp;"-"&amp;TEXT(($D540-$C540+1)+6,"00"),"")&amp;IF($C540&gt;=8,", "&amp;$A540&amp;"-"&amp;TEXT(($D540-$C540+1)+7,"00"),"")&amp;IF($C540&gt;=9,", "&amp;$A540&amp;"-"&amp;TEXT(($D540-$C540+1)+8,"00"),"")&amp;IF($C540&gt;=10,", "&amp;$A540&amp;"-"&amp;TEXT(($D540-$C540+1)+9,"00"),"")&amp;IF($C540&gt;=11,", "&amp;$A540&amp;"-"&amp;TEXT(($D540-$C540+1)+10,"00"),"")&amp;IF($C540&gt;=12,", "&amp;$A540&amp;"-"&amp;TEXT(($D540-$C540+1)+11,"00"),"")&amp;IF($C540&gt;=13,", "&amp;$A540&amp;"-"&amp;TEXT(($D540-$C540+1)+12,"00"),"")&amp;IF($C540&gt;=14,", "&amp;$A540&amp;"-"&amp;TEXT(($D540-$C540+1)+13,"00"),"")&amp;IF($C540&gt;=15,", "&amp;$A540&amp;"-"&amp;TEXT(($D540-$C540+1)+14,"00"),"")&amp;IF($C540&gt;=16,", "&amp;$A540&amp;"-"&amp;TEXT(($D540-$C540+1)+15,"00"),"")&amp;IF($C540&gt;=17,", "&amp;$A540&amp;"-"&amp;TEXT(($D540-$C540+1)+16,"00"),"")&amp;IF($C540&gt;=18,", "&amp;$A540&amp;"-"&amp;TEXT(($D540-$C540+1)+17,"00"),"")&amp;IF($C540&gt;=19,", "&amp;$A540&amp;"-"&amp;TEXT(($D540-$C540+1)+18,"00"),"")&amp;IF($C540&gt;=20,", "&amp;$A540&amp;"-"&amp;TEXT(($D540-$C540+1)+19,"00"),"")&amp;IF($C540&gt;=21,", "&amp;$A540&amp;"-"&amp;TEXT(($D540-$C540+1)+20,"00"),"")&amp;IF($C540&gt;=22,", "&amp;$A540&amp;"-"&amp;TEXT(($D540-$C540+1)+21,"00"),"")&amp;IF($C540&gt;=23,", "&amp;$A540&amp;"-"&amp;TEXT(($D540-$C540+1)+22,"00"),"")&amp;IF($C540&gt;=24,", "&amp;$A540&amp;"-"&amp;TEXT(($D540-$C540+1)+23,"00"),"")&amp;IF($C540&gt;=25,", "&amp;$A540&amp;"-"&amp;TEXT(($D540-$C540+1)+24,"00"),""))</f>
        <v/>
      </c>
      <c r="G540">
        <f>IF($A540="","",IF($E540=1,$F540,IF($F540="",$G539,IF($G539="",$F540,$G539&amp;", "&amp;$F540))))</f>
        <v/>
      </c>
      <c r="H540">
        <f>IF($A540="","",$A540&amp;" ("&amp;$C540&amp;")")</f>
        <v/>
      </c>
      <c r="I540">
        <f>IF($A540="","",IF($E540=1,$H540,$I539&amp;", "&amp;$H540))</f>
        <v/>
      </c>
      <c r="J540">
        <f>IF($A540="","",IF($E540=1,$B540,""))</f>
        <v/>
      </c>
      <c r="K540">
        <f>IF($A540="","",IF(COUNTIF($B$2:$B540,$B540)=COUNTIF($B$2:$B$1601,$B540),$B540,""))</f>
        <v/>
      </c>
    </row>
    <row r="541">
      <c r="A541">
        <f>IF('TMP Paste'!$E541="","",'TMP Paste'!$E541)</f>
        <v/>
      </c>
      <c r="B541">
        <f>IF($A541="","",COUNTIF('TMP Paste'!$B$2:$B541,"?*"))</f>
        <v/>
      </c>
      <c r="C541">
        <f>IF($A541="","",IFERROR('TMP Paste'!$M541*1,0))</f>
        <v/>
      </c>
      <c r="D541">
        <f>IF($A541="","",SUMIF($B$2:$B541,$B541,$C$2:$C541))</f>
        <v/>
      </c>
      <c r="E541">
        <f>IF($A541="",0,IF('TMP Paste'!$B541="",0,1))</f>
        <v/>
      </c>
      <c r="F541">
        <f>IF(OR($A541="",$C541&lt;1),"",$A541&amp;"-"&amp;TEXT(($D541-$C541+1),"00")&amp;IF($C541&gt;=2,", "&amp;$A541&amp;"-"&amp;TEXT(($D541-$C541+1)+1,"00"),"")&amp;IF($C541&gt;=3,", "&amp;$A541&amp;"-"&amp;TEXT(($D541-$C541+1)+2,"00"),"")&amp;IF($C541&gt;=4,", "&amp;$A541&amp;"-"&amp;TEXT(($D541-$C541+1)+3,"00"),"")&amp;IF($C541&gt;=5,", "&amp;$A541&amp;"-"&amp;TEXT(($D541-$C541+1)+4,"00"),"")&amp;IF($C541&gt;=6,", "&amp;$A541&amp;"-"&amp;TEXT(($D541-$C541+1)+5,"00"),"")&amp;IF($C541&gt;=7,", "&amp;$A541&amp;"-"&amp;TEXT(($D541-$C541+1)+6,"00"),"")&amp;IF($C541&gt;=8,", "&amp;$A541&amp;"-"&amp;TEXT(($D541-$C541+1)+7,"00"),"")&amp;IF($C541&gt;=9,", "&amp;$A541&amp;"-"&amp;TEXT(($D541-$C541+1)+8,"00"),"")&amp;IF($C541&gt;=10,", "&amp;$A541&amp;"-"&amp;TEXT(($D541-$C541+1)+9,"00"),"")&amp;IF($C541&gt;=11,", "&amp;$A541&amp;"-"&amp;TEXT(($D541-$C541+1)+10,"00"),"")&amp;IF($C541&gt;=12,", "&amp;$A541&amp;"-"&amp;TEXT(($D541-$C541+1)+11,"00"),"")&amp;IF($C541&gt;=13,", "&amp;$A541&amp;"-"&amp;TEXT(($D541-$C541+1)+12,"00"),"")&amp;IF($C541&gt;=14,", "&amp;$A541&amp;"-"&amp;TEXT(($D541-$C541+1)+13,"00"),"")&amp;IF($C541&gt;=15,", "&amp;$A541&amp;"-"&amp;TEXT(($D541-$C541+1)+14,"00"),"")&amp;IF($C541&gt;=16,", "&amp;$A541&amp;"-"&amp;TEXT(($D541-$C541+1)+15,"00"),"")&amp;IF($C541&gt;=17,", "&amp;$A541&amp;"-"&amp;TEXT(($D541-$C541+1)+16,"00"),"")&amp;IF($C541&gt;=18,", "&amp;$A541&amp;"-"&amp;TEXT(($D541-$C541+1)+17,"00"),"")&amp;IF($C541&gt;=19,", "&amp;$A541&amp;"-"&amp;TEXT(($D541-$C541+1)+18,"00"),"")&amp;IF($C541&gt;=20,", "&amp;$A541&amp;"-"&amp;TEXT(($D541-$C541+1)+19,"00"),"")&amp;IF($C541&gt;=21,", "&amp;$A541&amp;"-"&amp;TEXT(($D541-$C541+1)+20,"00"),"")&amp;IF($C541&gt;=22,", "&amp;$A541&amp;"-"&amp;TEXT(($D541-$C541+1)+21,"00"),"")&amp;IF($C541&gt;=23,", "&amp;$A541&amp;"-"&amp;TEXT(($D541-$C541+1)+22,"00"),"")&amp;IF($C541&gt;=24,", "&amp;$A541&amp;"-"&amp;TEXT(($D541-$C541+1)+23,"00"),"")&amp;IF($C541&gt;=25,", "&amp;$A541&amp;"-"&amp;TEXT(($D541-$C541+1)+24,"00"),""))</f>
        <v/>
      </c>
      <c r="G541">
        <f>IF($A541="","",IF($E541=1,$F541,IF($F541="",$G540,IF($G540="",$F541,$G540&amp;", "&amp;$F541))))</f>
        <v/>
      </c>
      <c r="H541">
        <f>IF($A541="","",$A541&amp;" ("&amp;$C541&amp;")")</f>
        <v/>
      </c>
      <c r="I541">
        <f>IF($A541="","",IF($E541=1,$H541,$I540&amp;", "&amp;$H541))</f>
        <v/>
      </c>
      <c r="J541">
        <f>IF($A541="","",IF($E541=1,$B541,""))</f>
        <v/>
      </c>
      <c r="K541">
        <f>IF($A541="","",IF(COUNTIF($B$2:$B541,$B541)=COUNTIF($B$2:$B$1601,$B541),$B541,""))</f>
        <v/>
      </c>
    </row>
    <row r="542">
      <c r="A542">
        <f>IF('TMP Paste'!$E542="","",'TMP Paste'!$E542)</f>
        <v/>
      </c>
      <c r="B542">
        <f>IF($A542="","",COUNTIF('TMP Paste'!$B$2:$B542,"?*"))</f>
        <v/>
      </c>
      <c r="C542">
        <f>IF($A542="","",IFERROR('TMP Paste'!$M542*1,0))</f>
        <v/>
      </c>
      <c r="D542">
        <f>IF($A542="","",SUMIF($B$2:$B542,$B542,$C$2:$C542))</f>
        <v/>
      </c>
      <c r="E542">
        <f>IF($A542="",0,IF('TMP Paste'!$B542="",0,1))</f>
        <v/>
      </c>
      <c r="F542">
        <f>IF(OR($A542="",$C542&lt;1),"",$A542&amp;"-"&amp;TEXT(($D542-$C542+1),"00")&amp;IF($C542&gt;=2,", "&amp;$A542&amp;"-"&amp;TEXT(($D542-$C542+1)+1,"00"),"")&amp;IF($C542&gt;=3,", "&amp;$A542&amp;"-"&amp;TEXT(($D542-$C542+1)+2,"00"),"")&amp;IF($C542&gt;=4,", "&amp;$A542&amp;"-"&amp;TEXT(($D542-$C542+1)+3,"00"),"")&amp;IF($C542&gt;=5,", "&amp;$A542&amp;"-"&amp;TEXT(($D542-$C542+1)+4,"00"),"")&amp;IF($C542&gt;=6,", "&amp;$A542&amp;"-"&amp;TEXT(($D542-$C542+1)+5,"00"),"")&amp;IF($C542&gt;=7,", "&amp;$A542&amp;"-"&amp;TEXT(($D542-$C542+1)+6,"00"),"")&amp;IF($C542&gt;=8,", "&amp;$A542&amp;"-"&amp;TEXT(($D542-$C542+1)+7,"00"),"")&amp;IF($C542&gt;=9,", "&amp;$A542&amp;"-"&amp;TEXT(($D542-$C542+1)+8,"00"),"")&amp;IF($C542&gt;=10,", "&amp;$A542&amp;"-"&amp;TEXT(($D542-$C542+1)+9,"00"),"")&amp;IF($C542&gt;=11,", "&amp;$A542&amp;"-"&amp;TEXT(($D542-$C542+1)+10,"00"),"")&amp;IF($C542&gt;=12,", "&amp;$A542&amp;"-"&amp;TEXT(($D542-$C542+1)+11,"00"),"")&amp;IF($C542&gt;=13,", "&amp;$A542&amp;"-"&amp;TEXT(($D542-$C542+1)+12,"00"),"")&amp;IF($C542&gt;=14,", "&amp;$A542&amp;"-"&amp;TEXT(($D542-$C542+1)+13,"00"),"")&amp;IF($C542&gt;=15,", "&amp;$A542&amp;"-"&amp;TEXT(($D542-$C542+1)+14,"00"),"")&amp;IF($C542&gt;=16,", "&amp;$A542&amp;"-"&amp;TEXT(($D542-$C542+1)+15,"00"),"")&amp;IF($C542&gt;=17,", "&amp;$A542&amp;"-"&amp;TEXT(($D542-$C542+1)+16,"00"),"")&amp;IF($C542&gt;=18,", "&amp;$A542&amp;"-"&amp;TEXT(($D542-$C542+1)+17,"00"),"")&amp;IF($C542&gt;=19,", "&amp;$A542&amp;"-"&amp;TEXT(($D542-$C542+1)+18,"00"),"")&amp;IF($C542&gt;=20,", "&amp;$A542&amp;"-"&amp;TEXT(($D542-$C542+1)+19,"00"),"")&amp;IF($C542&gt;=21,", "&amp;$A542&amp;"-"&amp;TEXT(($D542-$C542+1)+20,"00"),"")&amp;IF($C542&gt;=22,", "&amp;$A542&amp;"-"&amp;TEXT(($D542-$C542+1)+21,"00"),"")&amp;IF($C542&gt;=23,", "&amp;$A542&amp;"-"&amp;TEXT(($D542-$C542+1)+22,"00"),"")&amp;IF($C542&gt;=24,", "&amp;$A542&amp;"-"&amp;TEXT(($D542-$C542+1)+23,"00"),"")&amp;IF($C542&gt;=25,", "&amp;$A542&amp;"-"&amp;TEXT(($D542-$C542+1)+24,"00"),""))</f>
        <v/>
      </c>
      <c r="G542">
        <f>IF($A542="","",IF($E542=1,$F542,IF($F542="",$G541,IF($G541="",$F542,$G541&amp;", "&amp;$F542))))</f>
        <v/>
      </c>
      <c r="H542">
        <f>IF($A542="","",$A542&amp;" ("&amp;$C542&amp;")")</f>
        <v/>
      </c>
      <c r="I542">
        <f>IF($A542="","",IF($E542=1,$H542,$I541&amp;", "&amp;$H542))</f>
        <v/>
      </c>
      <c r="J542">
        <f>IF($A542="","",IF($E542=1,$B542,""))</f>
        <v/>
      </c>
      <c r="K542">
        <f>IF($A542="","",IF(COUNTIF($B$2:$B542,$B542)=COUNTIF($B$2:$B$1601,$B542),$B542,""))</f>
        <v/>
      </c>
    </row>
    <row r="543">
      <c r="A543">
        <f>IF('TMP Paste'!$E543="","",'TMP Paste'!$E543)</f>
        <v/>
      </c>
      <c r="B543">
        <f>IF($A543="","",COUNTIF('TMP Paste'!$B$2:$B543,"?*"))</f>
        <v/>
      </c>
      <c r="C543">
        <f>IF($A543="","",IFERROR('TMP Paste'!$M543*1,0))</f>
        <v/>
      </c>
      <c r="D543">
        <f>IF($A543="","",SUMIF($B$2:$B543,$B543,$C$2:$C543))</f>
        <v/>
      </c>
      <c r="E543">
        <f>IF($A543="",0,IF('TMP Paste'!$B543="",0,1))</f>
        <v/>
      </c>
      <c r="F543">
        <f>IF(OR($A543="",$C543&lt;1),"",$A543&amp;"-"&amp;TEXT(($D543-$C543+1),"00")&amp;IF($C543&gt;=2,", "&amp;$A543&amp;"-"&amp;TEXT(($D543-$C543+1)+1,"00"),"")&amp;IF($C543&gt;=3,", "&amp;$A543&amp;"-"&amp;TEXT(($D543-$C543+1)+2,"00"),"")&amp;IF($C543&gt;=4,", "&amp;$A543&amp;"-"&amp;TEXT(($D543-$C543+1)+3,"00"),"")&amp;IF($C543&gt;=5,", "&amp;$A543&amp;"-"&amp;TEXT(($D543-$C543+1)+4,"00"),"")&amp;IF($C543&gt;=6,", "&amp;$A543&amp;"-"&amp;TEXT(($D543-$C543+1)+5,"00"),"")&amp;IF($C543&gt;=7,", "&amp;$A543&amp;"-"&amp;TEXT(($D543-$C543+1)+6,"00"),"")&amp;IF($C543&gt;=8,", "&amp;$A543&amp;"-"&amp;TEXT(($D543-$C543+1)+7,"00"),"")&amp;IF($C543&gt;=9,", "&amp;$A543&amp;"-"&amp;TEXT(($D543-$C543+1)+8,"00"),"")&amp;IF($C543&gt;=10,", "&amp;$A543&amp;"-"&amp;TEXT(($D543-$C543+1)+9,"00"),"")&amp;IF($C543&gt;=11,", "&amp;$A543&amp;"-"&amp;TEXT(($D543-$C543+1)+10,"00"),"")&amp;IF($C543&gt;=12,", "&amp;$A543&amp;"-"&amp;TEXT(($D543-$C543+1)+11,"00"),"")&amp;IF($C543&gt;=13,", "&amp;$A543&amp;"-"&amp;TEXT(($D543-$C543+1)+12,"00"),"")&amp;IF($C543&gt;=14,", "&amp;$A543&amp;"-"&amp;TEXT(($D543-$C543+1)+13,"00"),"")&amp;IF($C543&gt;=15,", "&amp;$A543&amp;"-"&amp;TEXT(($D543-$C543+1)+14,"00"),"")&amp;IF($C543&gt;=16,", "&amp;$A543&amp;"-"&amp;TEXT(($D543-$C543+1)+15,"00"),"")&amp;IF($C543&gt;=17,", "&amp;$A543&amp;"-"&amp;TEXT(($D543-$C543+1)+16,"00"),"")&amp;IF($C543&gt;=18,", "&amp;$A543&amp;"-"&amp;TEXT(($D543-$C543+1)+17,"00"),"")&amp;IF($C543&gt;=19,", "&amp;$A543&amp;"-"&amp;TEXT(($D543-$C543+1)+18,"00"),"")&amp;IF($C543&gt;=20,", "&amp;$A543&amp;"-"&amp;TEXT(($D543-$C543+1)+19,"00"),"")&amp;IF($C543&gt;=21,", "&amp;$A543&amp;"-"&amp;TEXT(($D543-$C543+1)+20,"00"),"")&amp;IF($C543&gt;=22,", "&amp;$A543&amp;"-"&amp;TEXT(($D543-$C543+1)+21,"00"),"")&amp;IF($C543&gt;=23,", "&amp;$A543&amp;"-"&amp;TEXT(($D543-$C543+1)+22,"00"),"")&amp;IF($C543&gt;=24,", "&amp;$A543&amp;"-"&amp;TEXT(($D543-$C543+1)+23,"00"),"")&amp;IF($C543&gt;=25,", "&amp;$A543&amp;"-"&amp;TEXT(($D543-$C543+1)+24,"00"),""))</f>
        <v/>
      </c>
      <c r="G543">
        <f>IF($A543="","",IF($E543=1,$F543,IF($F543="",$G542,IF($G542="",$F543,$G542&amp;", "&amp;$F543))))</f>
        <v/>
      </c>
      <c r="H543">
        <f>IF($A543="","",$A543&amp;" ("&amp;$C543&amp;")")</f>
        <v/>
      </c>
      <c r="I543">
        <f>IF($A543="","",IF($E543=1,$H543,$I542&amp;", "&amp;$H543))</f>
        <v/>
      </c>
      <c r="J543">
        <f>IF($A543="","",IF($E543=1,$B543,""))</f>
        <v/>
      </c>
      <c r="K543">
        <f>IF($A543="","",IF(COUNTIF($B$2:$B543,$B543)=COUNTIF($B$2:$B$1601,$B543),$B543,""))</f>
        <v/>
      </c>
    </row>
    <row r="544">
      <c r="A544">
        <f>IF('TMP Paste'!$E544="","",'TMP Paste'!$E544)</f>
        <v/>
      </c>
      <c r="B544">
        <f>IF($A544="","",COUNTIF('TMP Paste'!$B$2:$B544,"?*"))</f>
        <v/>
      </c>
      <c r="C544">
        <f>IF($A544="","",IFERROR('TMP Paste'!$M544*1,0))</f>
        <v/>
      </c>
      <c r="D544">
        <f>IF($A544="","",SUMIF($B$2:$B544,$B544,$C$2:$C544))</f>
        <v/>
      </c>
      <c r="E544">
        <f>IF($A544="",0,IF('TMP Paste'!$B544="",0,1))</f>
        <v/>
      </c>
      <c r="F544">
        <f>IF(OR($A544="",$C544&lt;1),"",$A544&amp;"-"&amp;TEXT(($D544-$C544+1),"00")&amp;IF($C544&gt;=2,", "&amp;$A544&amp;"-"&amp;TEXT(($D544-$C544+1)+1,"00"),"")&amp;IF($C544&gt;=3,", "&amp;$A544&amp;"-"&amp;TEXT(($D544-$C544+1)+2,"00"),"")&amp;IF($C544&gt;=4,", "&amp;$A544&amp;"-"&amp;TEXT(($D544-$C544+1)+3,"00"),"")&amp;IF($C544&gt;=5,", "&amp;$A544&amp;"-"&amp;TEXT(($D544-$C544+1)+4,"00"),"")&amp;IF($C544&gt;=6,", "&amp;$A544&amp;"-"&amp;TEXT(($D544-$C544+1)+5,"00"),"")&amp;IF($C544&gt;=7,", "&amp;$A544&amp;"-"&amp;TEXT(($D544-$C544+1)+6,"00"),"")&amp;IF($C544&gt;=8,", "&amp;$A544&amp;"-"&amp;TEXT(($D544-$C544+1)+7,"00"),"")&amp;IF($C544&gt;=9,", "&amp;$A544&amp;"-"&amp;TEXT(($D544-$C544+1)+8,"00"),"")&amp;IF($C544&gt;=10,", "&amp;$A544&amp;"-"&amp;TEXT(($D544-$C544+1)+9,"00"),"")&amp;IF($C544&gt;=11,", "&amp;$A544&amp;"-"&amp;TEXT(($D544-$C544+1)+10,"00"),"")&amp;IF($C544&gt;=12,", "&amp;$A544&amp;"-"&amp;TEXT(($D544-$C544+1)+11,"00"),"")&amp;IF($C544&gt;=13,", "&amp;$A544&amp;"-"&amp;TEXT(($D544-$C544+1)+12,"00"),"")&amp;IF($C544&gt;=14,", "&amp;$A544&amp;"-"&amp;TEXT(($D544-$C544+1)+13,"00"),"")&amp;IF($C544&gt;=15,", "&amp;$A544&amp;"-"&amp;TEXT(($D544-$C544+1)+14,"00"),"")&amp;IF($C544&gt;=16,", "&amp;$A544&amp;"-"&amp;TEXT(($D544-$C544+1)+15,"00"),"")&amp;IF($C544&gt;=17,", "&amp;$A544&amp;"-"&amp;TEXT(($D544-$C544+1)+16,"00"),"")&amp;IF($C544&gt;=18,", "&amp;$A544&amp;"-"&amp;TEXT(($D544-$C544+1)+17,"00"),"")&amp;IF($C544&gt;=19,", "&amp;$A544&amp;"-"&amp;TEXT(($D544-$C544+1)+18,"00"),"")&amp;IF($C544&gt;=20,", "&amp;$A544&amp;"-"&amp;TEXT(($D544-$C544+1)+19,"00"),"")&amp;IF($C544&gt;=21,", "&amp;$A544&amp;"-"&amp;TEXT(($D544-$C544+1)+20,"00"),"")&amp;IF($C544&gt;=22,", "&amp;$A544&amp;"-"&amp;TEXT(($D544-$C544+1)+21,"00"),"")&amp;IF($C544&gt;=23,", "&amp;$A544&amp;"-"&amp;TEXT(($D544-$C544+1)+22,"00"),"")&amp;IF($C544&gt;=24,", "&amp;$A544&amp;"-"&amp;TEXT(($D544-$C544+1)+23,"00"),"")&amp;IF($C544&gt;=25,", "&amp;$A544&amp;"-"&amp;TEXT(($D544-$C544+1)+24,"00"),""))</f>
        <v/>
      </c>
      <c r="G544">
        <f>IF($A544="","",IF($E544=1,$F544,IF($F544="",$G543,IF($G543="",$F544,$G543&amp;", "&amp;$F544))))</f>
        <v/>
      </c>
      <c r="H544">
        <f>IF($A544="","",$A544&amp;" ("&amp;$C544&amp;")")</f>
        <v/>
      </c>
      <c r="I544">
        <f>IF($A544="","",IF($E544=1,$H544,$I543&amp;", "&amp;$H544))</f>
        <v/>
      </c>
      <c r="J544">
        <f>IF($A544="","",IF($E544=1,$B544,""))</f>
        <v/>
      </c>
      <c r="K544">
        <f>IF($A544="","",IF(COUNTIF($B$2:$B544,$B544)=COUNTIF($B$2:$B$1601,$B544),$B544,""))</f>
        <v/>
      </c>
    </row>
    <row r="545">
      <c r="A545">
        <f>IF('TMP Paste'!$E545="","",'TMP Paste'!$E545)</f>
        <v/>
      </c>
      <c r="B545">
        <f>IF($A545="","",COUNTIF('TMP Paste'!$B$2:$B545,"?*"))</f>
        <v/>
      </c>
      <c r="C545">
        <f>IF($A545="","",IFERROR('TMP Paste'!$M545*1,0))</f>
        <v/>
      </c>
      <c r="D545">
        <f>IF($A545="","",SUMIF($B$2:$B545,$B545,$C$2:$C545))</f>
        <v/>
      </c>
      <c r="E545">
        <f>IF($A545="",0,IF('TMP Paste'!$B545="",0,1))</f>
        <v/>
      </c>
      <c r="F545">
        <f>IF(OR($A545="",$C545&lt;1),"",$A545&amp;"-"&amp;TEXT(($D545-$C545+1),"00")&amp;IF($C545&gt;=2,", "&amp;$A545&amp;"-"&amp;TEXT(($D545-$C545+1)+1,"00"),"")&amp;IF($C545&gt;=3,", "&amp;$A545&amp;"-"&amp;TEXT(($D545-$C545+1)+2,"00"),"")&amp;IF($C545&gt;=4,", "&amp;$A545&amp;"-"&amp;TEXT(($D545-$C545+1)+3,"00"),"")&amp;IF($C545&gt;=5,", "&amp;$A545&amp;"-"&amp;TEXT(($D545-$C545+1)+4,"00"),"")&amp;IF($C545&gt;=6,", "&amp;$A545&amp;"-"&amp;TEXT(($D545-$C545+1)+5,"00"),"")&amp;IF($C545&gt;=7,", "&amp;$A545&amp;"-"&amp;TEXT(($D545-$C545+1)+6,"00"),"")&amp;IF($C545&gt;=8,", "&amp;$A545&amp;"-"&amp;TEXT(($D545-$C545+1)+7,"00"),"")&amp;IF($C545&gt;=9,", "&amp;$A545&amp;"-"&amp;TEXT(($D545-$C545+1)+8,"00"),"")&amp;IF($C545&gt;=10,", "&amp;$A545&amp;"-"&amp;TEXT(($D545-$C545+1)+9,"00"),"")&amp;IF($C545&gt;=11,", "&amp;$A545&amp;"-"&amp;TEXT(($D545-$C545+1)+10,"00"),"")&amp;IF($C545&gt;=12,", "&amp;$A545&amp;"-"&amp;TEXT(($D545-$C545+1)+11,"00"),"")&amp;IF($C545&gt;=13,", "&amp;$A545&amp;"-"&amp;TEXT(($D545-$C545+1)+12,"00"),"")&amp;IF($C545&gt;=14,", "&amp;$A545&amp;"-"&amp;TEXT(($D545-$C545+1)+13,"00"),"")&amp;IF($C545&gt;=15,", "&amp;$A545&amp;"-"&amp;TEXT(($D545-$C545+1)+14,"00"),"")&amp;IF($C545&gt;=16,", "&amp;$A545&amp;"-"&amp;TEXT(($D545-$C545+1)+15,"00"),"")&amp;IF($C545&gt;=17,", "&amp;$A545&amp;"-"&amp;TEXT(($D545-$C545+1)+16,"00"),"")&amp;IF($C545&gt;=18,", "&amp;$A545&amp;"-"&amp;TEXT(($D545-$C545+1)+17,"00"),"")&amp;IF($C545&gt;=19,", "&amp;$A545&amp;"-"&amp;TEXT(($D545-$C545+1)+18,"00"),"")&amp;IF($C545&gt;=20,", "&amp;$A545&amp;"-"&amp;TEXT(($D545-$C545+1)+19,"00"),"")&amp;IF($C545&gt;=21,", "&amp;$A545&amp;"-"&amp;TEXT(($D545-$C545+1)+20,"00"),"")&amp;IF($C545&gt;=22,", "&amp;$A545&amp;"-"&amp;TEXT(($D545-$C545+1)+21,"00"),"")&amp;IF($C545&gt;=23,", "&amp;$A545&amp;"-"&amp;TEXT(($D545-$C545+1)+22,"00"),"")&amp;IF($C545&gt;=24,", "&amp;$A545&amp;"-"&amp;TEXT(($D545-$C545+1)+23,"00"),"")&amp;IF($C545&gt;=25,", "&amp;$A545&amp;"-"&amp;TEXT(($D545-$C545+1)+24,"00"),""))</f>
        <v/>
      </c>
      <c r="G545">
        <f>IF($A545="","",IF($E545=1,$F545,IF($F545="",$G544,IF($G544="",$F545,$G544&amp;", "&amp;$F545))))</f>
        <v/>
      </c>
      <c r="H545">
        <f>IF($A545="","",$A545&amp;" ("&amp;$C545&amp;")")</f>
        <v/>
      </c>
      <c r="I545">
        <f>IF($A545="","",IF($E545=1,$H545,$I544&amp;", "&amp;$H545))</f>
        <v/>
      </c>
      <c r="J545">
        <f>IF($A545="","",IF($E545=1,$B545,""))</f>
        <v/>
      </c>
      <c r="K545">
        <f>IF($A545="","",IF(COUNTIF($B$2:$B545,$B545)=COUNTIF($B$2:$B$1601,$B545),$B545,""))</f>
        <v/>
      </c>
    </row>
    <row r="546">
      <c r="A546">
        <f>IF('TMP Paste'!$E546="","",'TMP Paste'!$E546)</f>
        <v/>
      </c>
      <c r="B546">
        <f>IF($A546="","",COUNTIF('TMP Paste'!$B$2:$B546,"?*"))</f>
        <v/>
      </c>
      <c r="C546">
        <f>IF($A546="","",IFERROR('TMP Paste'!$M546*1,0))</f>
        <v/>
      </c>
      <c r="D546">
        <f>IF($A546="","",SUMIF($B$2:$B546,$B546,$C$2:$C546))</f>
        <v/>
      </c>
      <c r="E546">
        <f>IF($A546="",0,IF('TMP Paste'!$B546="",0,1))</f>
        <v/>
      </c>
      <c r="F546">
        <f>IF(OR($A546="",$C546&lt;1),"",$A546&amp;"-"&amp;TEXT(($D546-$C546+1),"00")&amp;IF($C546&gt;=2,", "&amp;$A546&amp;"-"&amp;TEXT(($D546-$C546+1)+1,"00"),"")&amp;IF($C546&gt;=3,", "&amp;$A546&amp;"-"&amp;TEXT(($D546-$C546+1)+2,"00"),"")&amp;IF($C546&gt;=4,", "&amp;$A546&amp;"-"&amp;TEXT(($D546-$C546+1)+3,"00"),"")&amp;IF($C546&gt;=5,", "&amp;$A546&amp;"-"&amp;TEXT(($D546-$C546+1)+4,"00"),"")&amp;IF($C546&gt;=6,", "&amp;$A546&amp;"-"&amp;TEXT(($D546-$C546+1)+5,"00"),"")&amp;IF($C546&gt;=7,", "&amp;$A546&amp;"-"&amp;TEXT(($D546-$C546+1)+6,"00"),"")&amp;IF($C546&gt;=8,", "&amp;$A546&amp;"-"&amp;TEXT(($D546-$C546+1)+7,"00"),"")&amp;IF($C546&gt;=9,", "&amp;$A546&amp;"-"&amp;TEXT(($D546-$C546+1)+8,"00"),"")&amp;IF($C546&gt;=10,", "&amp;$A546&amp;"-"&amp;TEXT(($D546-$C546+1)+9,"00"),"")&amp;IF($C546&gt;=11,", "&amp;$A546&amp;"-"&amp;TEXT(($D546-$C546+1)+10,"00"),"")&amp;IF($C546&gt;=12,", "&amp;$A546&amp;"-"&amp;TEXT(($D546-$C546+1)+11,"00"),"")&amp;IF($C546&gt;=13,", "&amp;$A546&amp;"-"&amp;TEXT(($D546-$C546+1)+12,"00"),"")&amp;IF($C546&gt;=14,", "&amp;$A546&amp;"-"&amp;TEXT(($D546-$C546+1)+13,"00"),"")&amp;IF($C546&gt;=15,", "&amp;$A546&amp;"-"&amp;TEXT(($D546-$C546+1)+14,"00"),"")&amp;IF($C546&gt;=16,", "&amp;$A546&amp;"-"&amp;TEXT(($D546-$C546+1)+15,"00"),"")&amp;IF($C546&gt;=17,", "&amp;$A546&amp;"-"&amp;TEXT(($D546-$C546+1)+16,"00"),"")&amp;IF($C546&gt;=18,", "&amp;$A546&amp;"-"&amp;TEXT(($D546-$C546+1)+17,"00"),"")&amp;IF($C546&gt;=19,", "&amp;$A546&amp;"-"&amp;TEXT(($D546-$C546+1)+18,"00"),"")&amp;IF($C546&gt;=20,", "&amp;$A546&amp;"-"&amp;TEXT(($D546-$C546+1)+19,"00"),"")&amp;IF($C546&gt;=21,", "&amp;$A546&amp;"-"&amp;TEXT(($D546-$C546+1)+20,"00"),"")&amp;IF($C546&gt;=22,", "&amp;$A546&amp;"-"&amp;TEXT(($D546-$C546+1)+21,"00"),"")&amp;IF($C546&gt;=23,", "&amp;$A546&amp;"-"&amp;TEXT(($D546-$C546+1)+22,"00"),"")&amp;IF($C546&gt;=24,", "&amp;$A546&amp;"-"&amp;TEXT(($D546-$C546+1)+23,"00"),"")&amp;IF($C546&gt;=25,", "&amp;$A546&amp;"-"&amp;TEXT(($D546-$C546+1)+24,"00"),""))</f>
        <v/>
      </c>
      <c r="G546">
        <f>IF($A546="","",IF($E546=1,$F546,IF($F546="",$G545,IF($G545="",$F546,$G545&amp;", "&amp;$F546))))</f>
        <v/>
      </c>
      <c r="H546">
        <f>IF($A546="","",$A546&amp;" ("&amp;$C546&amp;")")</f>
        <v/>
      </c>
      <c r="I546">
        <f>IF($A546="","",IF($E546=1,$H546,$I545&amp;", "&amp;$H546))</f>
        <v/>
      </c>
      <c r="J546">
        <f>IF($A546="","",IF($E546=1,$B546,""))</f>
        <v/>
      </c>
      <c r="K546">
        <f>IF($A546="","",IF(COUNTIF($B$2:$B546,$B546)=COUNTIF($B$2:$B$1601,$B546),$B546,""))</f>
        <v/>
      </c>
    </row>
    <row r="547">
      <c r="A547">
        <f>IF('TMP Paste'!$E547="","",'TMP Paste'!$E547)</f>
        <v/>
      </c>
      <c r="B547">
        <f>IF($A547="","",COUNTIF('TMP Paste'!$B$2:$B547,"?*"))</f>
        <v/>
      </c>
      <c r="C547">
        <f>IF($A547="","",IFERROR('TMP Paste'!$M547*1,0))</f>
        <v/>
      </c>
      <c r="D547">
        <f>IF($A547="","",SUMIF($B$2:$B547,$B547,$C$2:$C547))</f>
        <v/>
      </c>
      <c r="E547">
        <f>IF($A547="",0,IF('TMP Paste'!$B547="",0,1))</f>
        <v/>
      </c>
      <c r="F547">
        <f>IF(OR($A547="",$C547&lt;1),"",$A547&amp;"-"&amp;TEXT(($D547-$C547+1),"00")&amp;IF($C547&gt;=2,", "&amp;$A547&amp;"-"&amp;TEXT(($D547-$C547+1)+1,"00"),"")&amp;IF($C547&gt;=3,", "&amp;$A547&amp;"-"&amp;TEXT(($D547-$C547+1)+2,"00"),"")&amp;IF($C547&gt;=4,", "&amp;$A547&amp;"-"&amp;TEXT(($D547-$C547+1)+3,"00"),"")&amp;IF($C547&gt;=5,", "&amp;$A547&amp;"-"&amp;TEXT(($D547-$C547+1)+4,"00"),"")&amp;IF($C547&gt;=6,", "&amp;$A547&amp;"-"&amp;TEXT(($D547-$C547+1)+5,"00"),"")&amp;IF($C547&gt;=7,", "&amp;$A547&amp;"-"&amp;TEXT(($D547-$C547+1)+6,"00"),"")&amp;IF($C547&gt;=8,", "&amp;$A547&amp;"-"&amp;TEXT(($D547-$C547+1)+7,"00"),"")&amp;IF($C547&gt;=9,", "&amp;$A547&amp;"-"&amp;TEXT(($D547-$C547+1)+8,"00"),"")&amp;IF($C547&gt;=10,", "&amp;$A547&amp;"-"&amp;TEXT(($D547-$C547+1)+9,"00"),"")&amp;IF($C547&gt;=11,", "&amp;$A547&amp;"-"&amp;TEXT(($D547-$C547+1)+10,"00"),"")&amp;IF($C547&gt;=12,", "&amp;$A547&amp;"-"&amp;TEXT(($D547-$C547+1)+11,"00"),"")&amp;IF($C547&gt;=13,", "&amp;$A547&amp;"-"&amp;TEXT(($D547-$C547+1)+12,"00"),"")&amp;IF($C547&gt;=14,", "&amp;$A547&amp;"-"&amp;TEXT(($D547-$C547+1)+13,"00"),"")&amp;IF($C547&gt;=15,", "&amp;$A547&amp;"-"&amp;TEXT(($D547-$C547+1)+14,"00"),"")&amp;IF($C547&gt;=16,", "&amp;$A547&amp;"-"&amp;TEXT(($D547-$C547+1)+15,"00"),"")&amp;IF($C547&gt;=17,", "&amp;$A547&amp;"-"&amp;TEXT(($D547-$C547+1)+16,"00"),"")&amp;IF($C547&gt;=18,", "&amp;$A547&amp;"-"&amp;TEXT(($D547-$C547+1)+17,"00"),"")&amp;IF($C547&gt;=19,", "&amp;$A547&amp;"-"&amp;TEXT(($D547-$C547+1)+18,"00"),"")&amp;IF($C547&gt;=20,", "&amp;$A547&amp;"-"&amp;TEXT(($D547-$C547+1)+19,"00"),"")&amp;IF($C547&gt;=21,", "&amp;$A547&amp;"-"&amp;TEXT(($D547-$C547+1)+20,"00"),"")&amp;IF($C547&gt;=22,", "&amp;$A547&amp;"-"&amp;TEXT(($D547-$C547+1)+21,"00"),"")&amp;IF($C547&gt;=23,", "&amp;$A547&amp;"-"&amp;TEXT(($D547-$C547+1)+22,"00"),"")&amp;IF($C547&gt;=24,", "&amp;$A547&amp;"-"&amp;TEXT(($D547-$C547+1)+23,"00"),"")&amp;IF($C547&gt;=25,", "&amp;$A547&amp;"-"&amp;TEXT(($D547-$C547+1)+24,"00"),""))</f>
        <v/>
      </c>
      <c r="G547">
        <f>IF($A547="","",IF($E547=1,$F547,IF($F547="",$G546,IF($G546="",$F547,$G546&amp;", "&amp;$F547))))</f>
        <v/>
      </c>
      <c r="H547">
        <f>IF($A547="","",$A547&amp;" ("&amp;$C547&amp;")")</f>
        <v/>
      </c>
      <c r="I547">
        <f>IF($A547="","",IF($E547=1,$H547,$I546&amp;", "&amp;$H547))</f>
        <v/>
      </c>
      <c r="J547">
        <f>IF($A547="","",IF($E547=1,$B547,""))</f>
        <v/>
      </c>
      <c r="K547">
        <f>IF($A547="","",IF(COUNTIF($B$2:$B547,$B547)=COUNTIF($B$2:$B$1601,$B547),$B547,""))</f>
        <v/>
      </c>
    </row>
    <row r="548">
      <c r="A548">
        <f>IF('TMP Paste'!$E548="","",'TMP Paste'!$E548)</f>
        <v/>
      </c>
      <c r="B548">
        <f>IF($A548="","",COUNTIF('TMP Paste'!$B$2:$B548,"?*"))</f>
        <v/>
      </c>
      <c r="C548">
        <f>IF($A548="","",IFERROR('TMP Paste'!$M548*1,0))</f>
        <v/>
      </c>
      <c r="D548">
        <f>IF($A548="","",SUMIF($B$2:$B548,$B548,$C$2:$C548))</f>
        <v/>
      </c>
      <c r="E548">
        <f>IF($A548="",0,IF('TMP Paste'!$B548="",0,1))</f>
        <v/>
      </c>
      <c r="F548">
        <f>IF(OR($A548="",$C548&lt;1),"",$A548&amp;"-"&amp;TEXT(($D548-$C548+1),"00")&amp;IF($C548&gt;=2,", "&amp;$A548&amp;"-"&amp;TEXT(($D548-$C548+1)+1,"00"),"")&amp;IF($C548&gt;=3,", "&amp;$A548&amp;"-"&amp;TEXT(($D548-$C548+1)+2,"00"),"")&amp;IF($C548&gt;=4,", "&amp;$A548&amp;"-"&amp;TEXT(($D548-$C548+1)+3,"00"),"")&amp;IF($C548&gt;=5,", "&amp;$A548&amp;"-"&amp;TEXT(($D548-$C548+1)+4,"00"),"")&amp;IF($C548&gt;=6,", "&amp;$A548&amp;"-"&amp;TEXT(($D548-$C548+1)+5,"00"),"")&amp;IF($C548&gt;=7,", "&amp;$A548&amp;"-"&amp;TEXT(($D548-$C548+1)+6,"00"),"")&amp;IF($C548&gt;=8,", "&amp;$A548&amp;"-"&amp;TEXT(($D548-$C548+1)+7,"00"),"")&amp;IF($C548&gt;=9,", "&amp;$A548&amp;"-"&amp;TEXT(($D548-$C548+1)+8,"00"),"")&amp;IF($C548&gt;=10,", "&amp;$A548&amp;"-"&amp;TEXT(($D548-$C548+1)+9,"00"),"")&amp;IF($C548&gt;=11,", "&amp;$A548&amp;"-"&amp;TEXT(($D548-$C548+1)+10,"00"),"")&amp;IF($C548&gt;=12,", "&amp;$A548&amp;"-"&amp;TEXT(($D548-$C548+1)+11,"00"),"")&amp;IF($C548&gt;=13,", "&amp;$A548&amp;"-"&amp;TEXT(($D548-$C548+1)+12,"00"),"")&amp;IF($C548&gt;=14,", "&amp;$A548&amp;"-"&amp;TEXT(($D548-$C548+1)+13,"00"),"")&amp;IF($C548&gt;=15,", "&amp;$A548&amp;"-"&amp;TEXT(($D548-$C548+1)+14,"00"),"")&amp;IF($C548&gt;=16,", "&amp;$A548&amp;"-"&amp;TEXT(($D548-$C548+1)+15,"00"),"")&amp;IF($C548&gt;=17,", "&amp;$A548&amp;"-"&amp;TEXT(($D548-$C548+1)+16,"00"),"")&amp;IF($C548&gt;=18,", "&amp;$A548&amp;"-"&amp;TEXT(($D548-$C548+1)+17,"00"),"")&amp;IF($C548&gt;=19,", "&amp;$A548&amp;"-"&amp;TEXT(($D548-$C548+1)+18,"00"),"")&amp;IF($C548&gt;=20,", "&amp;$A548&amp;"-"&amp;TEXT(($D548-$C548+1)+19,"00"),"")&amp;IF($C548&gt;=21,", "&amp;$A548&amp;"-"&amp;TEXT(($D548-$C548+1)+20,"00"),"")&amp;IF($C548&gt;=22,", "&amp;$A548&amp;"-"&amp;TEXT(($D548-$C548+1)+21,"00"),"")&amp;IF($C548&gt;=23,", "&amp;$A548&amp;"-"&amp;TEXT(($D548-$C548+1)+22,"00"),"")&amp;IF($C548&gt;=24,", "&amp;$A548&amp;"-"&amp;TEXT(($D548-$C548+1)+23,"00"),"")&amp;IF($C548&gt;=25,", "&amp;$A548&amp;"-"&amp;TEXT(($D548-$C548+1)+24,"00"),""))</f>
        <v/>
      </c>
      <c r="G548">
        <f>IF($A548="","",IF($E548=1,$F548,IF($F548="",$G547,IF($G547="",$F548,$G547&amp;", "&amp;$F548))))</f>
        <v/>
      </c>
      <c r="H548">
        <f>IF($A548="","",$A548&amp;" ("&amp;$C548&amp;")")</f>
        <v/>
      </c>
      <c r="I548">
        <f>IF($A548="","",IF($E548=1,$H548,$I547&amp;", "&amp;$H548))</f>
        <v/>
      </c>
      <c r="J548">
        <f>IF($A548="","",IF($E548=1,$B548,""))</f>
        <v/>
      </c>
      <c r="K548">
        <f>IF($A548="","",IF(COUNTIF($B$2:$B548,$B548)=COUNTIF($B$2:$B$1601,$B548),$B548,""))</f>
        <v/>
      </c>
    </row>
    <row r="549">
      <c r="A549">
        <f>IF('TMP Paste'!$E549="","",'TMP Paste'!$E549)</f>
        <v/>
      </c>
      <c r="B549">
        <f>IF($A549="","",COUNTIF('TMP Paste'!$B$2:$B549,"?*"))</f>
        <v/>
      </c>
      <c r="C549">
        <f>IF($A549="","",IFERROR('TMP Paste'!$M549*1,0))</f>
        <v/>
      </c>
      <c r="D549">
        <f>IF($A549="","",SUMIF($B$2:$B549,$B549,$C$2:$C549))</f>
        <v/>
      </c>
      <c r="E549">
        <f>IF($A549="",0,IF('TMP Paste'!$B549="",0,1))</f>
        <v/>
      </c>
      <c r="F549">
        <f>IF(OR($A549="",$C549&lt;1),"",$A549&amp;"-"&amp;TEXT(($D549-$C549+1),"00")&amp;IF($C549&gt;=2,", "&amp;$A549&amp;"-"&amp;TEXT(($D549-$C549+1)+1,"00"),"")&amp;IF($C549&gt;=3,", "&amp;$A549&amp;"-"&amp;TEXT(($D549-$C549+1)+2,"00"),"")&amp;IF($C549&gt;=4,", "&amp;$A549&amp;"-"&amp;TEXT(($D549-$C549+1)+3,"00"),"")&amp;IF($C549&gt;=5,", "&amp;$A549&amp;"-"&amp;TEXT(($D549-$C549+1)+4,"00"),"")&amp;IF($C549&gt;=6,", "&amp;$A549&amp;"-"&amp;TEXT(($D549-$C549+1)+5,"00"),"")&amp;IF($C549&gt;=7,", "&amp;$A549&amp;"-"&amp;TEXT(($D549-$C549+1)+6,"00"),"")&amp;IF($C549&gt;=8,", "&amp;$A549&amp;"-"&amp;TEXT(($D549-$C549+1)+7,"00"),"")&amp;IF($C549&gt;=9,", "&amp;$A549&amp;"-"&amp;TEXT(($D549-$C549+1)+8,"00"),"")&amp;IF($C549&gt;=10,", "&amp;$A549&amp;"-"&amp;TEXT(($D549-$C549+1)+9,"00"),"")&amp;IF($C549&gt;=11,", "&amp;$A549&amp;"-"&amp;TEXT(($D549-$C549+1)+10,"00"),"")&amp;IF($C549&gt;=12,", "&amp;$A549&amp;"-"&amp;TEXT(($D549-$C549+1)+11,"00"),"")&amp;IF($C549&gt;=13,", "&amp;$A549&amp;"-"&amp;TEXT(($D549-$C549+1)+12,"00"),"")&amp;IF($C549&gt;=14,", "&amp;$A549&amp;"-"&amp;TEXT(($D549-$C549+1)+13,"00"),"")&amp;IF($C549&gt;=15,", "&amp;$A549&amp;"-"&amp;TEXT(($D549-$C549+1)+14,"00"),"")&amp;IF($C549&gt;=16,", "&amp;$A549&amp;"-"&amp;TEXT(($D549-$C549+1)+15,"00"),"")&amp;IF($C549&gt;=17,", "&amp;$A549&amp;"-"&amp;TEXT(($D549-$C549+1)+16,"00"),"")&amp;IF($C549&gt;=18,", "&amp;$A549&amp;"-"&amp;TEXT(($D549-$C549+1)+17,"00"),"")&amp;IF($C549&gt;=19,", "&amp;$A549&amp;"-"&amp;TEXT(($D549-$C549+1)+18,"00"),"")&amp;IF($C549&gt;=20,", "&amp;$A549&amp;"-"&amp;TEXT(($D549-$C549+1)+19,"00"),"")&amp;IF($C549&gt;=21,", "&amp;$A549&amp;"-"&amp;TEXT(($D549-$C549+1)+20,"00"),"")&amp;IF($C549&gt;=22,", "&amp;$A549&amp;"-"&amp;TEXT(($D549-$C549+1)+21,"00"),"")&amp;IF($C549&gt;=23,", "&amp;$A549&amp;"-"&amp;TEXT(($D549-$C549+1)+22,"00"),"")&amp;IF($C549&gt;=24,", "&amp;$A549&amp;"-"&amp;TEXT(($D549-$C549+1)+23,"00"),"")&amp;IF($C549&gt;=25,", "&amp;$A549&amp;"-"&amp;TEXT(($D549-$C549+1)+24,"00"),""))</f>
        <v/>
      </c>
      <c r="G549">
        <f>IF($A549="","",IF($E549=1,$F549,IF($F549="",$G548,IF($G548="",$F549,$G548&amp;", "&amp;$F549))))</f>
        <v/>
      </c>
      <c r="H549">
        <f>IF($A549="","",$A549&amp;" ("&amp;$C549&amp;")")</f>
        <v/>
      </c>
      <c r="I549">
        <f>IF($A549="","",IF($E549=1,$H549,$I548&amp;", "&amp;$H549))</f>
        <v/>
      </c>
      <c r="J549">
        <f>IF($A549="","",IF($E549=1,$B549,""))</f>
        <v/>
      </c>
      <c r="K549">
        <f>IF($A549="","",IF(COUNTIF($B$2:$B549,$B549)=COUNTIF($B$2:$B$1601,$B549),$B549,""))</f>
        <v/>
      </c>
    </row>
    <row r="550">
      <c r="A550">
        <f>IF('TMP Paste'!$E550="","",'TMP Paste'!$E550)</f>
        <v/>
      </c>
      <c r="B550">
        <f>IF($A550="","",COUNTIF('TMP Paste'!$B$2:$B550,"?*"))</f>
        <v/>
      </c>
      <c r="C550">
        <f>IF($A550="","",IFERROR('TMP Paste'!$M550*1,0))</f>
        <v/>
      </c>
      <c r="D550">
        <f>IF($A550="","",SUMIF($B$2:$B550,$B550,$C$2:$C550))</f>
        <v/>
      </c>
      <c r="E550">
        <f>IF($A550="",0,IF('TMP Paste'!$B550="",0,1))</f>
        <v/>
      </c>
      <c r="F550">
        <f>IF(OR($A550="",$C550&lt;1),"",$A550&amp;"-"&amp;TEXT(($D550-$C550+1),"00")&amp;IF($C550&gt;=2,", "&amp;$A550&amp;"-"&amp;TEXT(($D550-$C550+1)+1,"00"),"")&amp;IF($C550&gt;=3,", "&amp;$A550&amp;"-"&amp;TEXT(($D550-$C550+1)+2,"00"),"")&amp;IF($C550&gt;=4,", "&amp;$A550&amp;"-"&amp;TEXT(($D550-$C550+1)+3,"00"),"")&amp;IF($C550&gt;=5,", "&amp;$A550&amp;"-"&amp;TEXT(($D550-$C550+1)+4,"00"),"")&amp;IF($C550&gt;=6,", "&amp;$A550&amp;"-"&amp;TEXT(($D550-$C550+1)+5,"00"),"")&amp;IF($C550&gt;=7,", "&amp;$A550&amp;"-"&amp;TEXT(($D550-$C550+1)+6,"00"),"")&amp;IF($C550&gt;=8,", "&amp;$A550&amp;"-"&amp;TEXT(($D550-$C550+1)+7,"00"),"")&amp;IF($C550&gt;=9,", "&amp;$A550&amp;"-"&amp;TEXT(($D550-$C550+1)+8,"00"),"")&amp;IF($C550&gt;=10,", "&amp;$A550&amp;"-"&amp;TEXT(($D550-$C550+1)+9,"00"),"")&amp;IF($C550&gt;=11,", "&amp;$A550&amp;"-"&amp;TEXT(($D550-$C550+1)+10,"00"),"")&amp;IF($C550&gt;=12,", "&amp;$A550&amp;"-"&amp;TEXT(($D550-$C550+1)+11,"00"),"")&amp;IF($C550&gt;=13,", "&amp;$A550&amp;"-"&amp;TEXT(($D550-$C550+1)+12,"00"),"")&amp;IF($C550&gt;=14,", "&amp;$A550&amp;"-"&amp;TEXT(($D550-$C550+1)+13,"00"),"")&amp;IF($C550&gt;=15,", "&amp;$A550&amp;"-"&amp;TEXT(($D550-$C550+1)+14,"00"),"")&amp;IF($C550&gt;=16,", "&amp;$A550&amp;"-"&amp;TEXT(($D550-$C550+1)+15,"00"),"")&amp;IF($C550&gt;=17,", "&amp;$A550&amp;"-"&amp;TEXT(($D550-$C550+1)+16,"00"),"")&amp;IF($C550&gt;=18,", "&amp;$A550&amp;"-"&amp;TEXT(($D550-$C550+1)+17,"00"),"")&amp;IF($C550&gt;=19,", "&amp;$A550&amp;"-"&amp;TEXT(($D550-$C550+1)+18,"00"),"")&amp;IF($C550&gt;=20,", "&amp;$A550&amp;"-"&amp;TEXT(($D550-$C550+1)+19,"00"),"")&amp;IF($C550&gt;=21,", "&amp;$A550&amp;"-"&amp;TEXT(($D550-$C550+1)+20,"00"),"")&amp;IF($C550&gt;=22,", "&amp;$A550&amp;"-"&amp;TEXT(($D550-$C550+1)+21,"00"),"")&amp;IF($C550&gt;=23,", "&amp;$A550&amp;"-"&amp;TEXT(($D550-$C550+1)+22,"00"),"")&amp;IF($C550&gt;=24,", "&amp;$A550&amp;"-"&amp;TEXT(($D550-$C550+1)+23,"00"),"")&amp;IF($C550&gt;=25,", "&amp;$A550&amp;"-"&amp;TEXT(($D550-$C550+1)+24,"00"),""))</f>
        <v/>
      </c>
      <c r="G550">
        <f>IF($A550="","",IF($E550=1,$F550,IF($F550="",$G549,IF($G549="",$F550,$G549&amp;", "&amp;$F550))))</f>
        <v/>
      </c>
      <c r="H550">
        <f>IF($A550="","",$A550&amp;" ("&amp;$C550&amp;")")</f>
        <v/>
      </c>
      <c r="I550">
        <f>IF($A550="","",IF($E550=1,$H550,$I549&amp;", "&amp;$H550))</f>
        <v/>
      </c>
      <c r="J550">
        <f>IF($A550="","",IF($E550=1,$B550,""))</f>
        <v/>
      </c>
      <c r="K550">
        <f>IF($A550="","",IF(COUNTIF($B$2:$B550,$B550)=COUNTIF($B$2:$B$1601,$B550),$B550,""))</f>
        <v/>
      </c>
    </row>
    <row r="551">
      <c r="A551">
        <f>IF('TMP Paste'!$E551="","",'TMP Paste'!$E551)</f>
        <v/>
      </c>
      <c r="B551">
        <f>IF($A551="","",COUNTIF('TMP Paste'!$B$2:$B551,"?*"))</f>
        <v/>
      </c>
      <c r="C551">
        <f>IF($A551="","",IFERROR('TMP Paste'!$M551*1,0))</f>
        <v/>
      </c>
      <c r="D551">
        <f>IF($A551="","",SUMIF($B$2:$B551,$B551,$C$2:$C551))</f>
        <v/>
      </c>
      <c r="E551">
        <f>IF($A551="",0,IF('TMP Paste'!$B551="",0,1))</f>
        <v/>
      </c>
      <c r="F551">
        <f>IF(OR($A551="",$C551&lt;1),"",$A551&amp;"-"&amp;TEXT(($D551-$C551+1),"00")&amp;IF($C551&gt;=2,", "&amp;$A551&amp;"-"&amp;TEXT(($D551-$C551+1)+1,"00"),"")&amp;IF($C551&gt;=3,", "&amp;$A551&amp;"-"&amp;TEXT(($D551-$C551+1)+2,"00"),"")&amp;IF($C551&gt;=4,", "&amp;$A551&amp;"-"&amp;TEXT(($D551-$C551+1)+3,"00"),"")&amp;IF($C551&gt;=5,", "&amp;$A551&amp;"-"&amp;TEXT(($D551-$C551+1)+4,"00"),"")&amp;IF($C551&gt;=6,", "&amp;$A551&amp;"-"&amp;TEXT(($D551-$C551+1)+5,"00"),"")&amp;IF($C551&gt;=7,", "&amp;$A551&amp;"-"&amp;TEXT(($D551-$C551+1)+6,"00"),"")&amp;IF($C551&gt;=8,", "&amp;$A551&amp;"-"&amp;TEXT(($D551-$C551+1)+7,"00"),"")&amp;IF($C551&gt;=9,", "&amp;$A551&amp;"-"&amp;TEXT(($D551-$C551+1)+8,"00"),"")&amp;IF($C551&gt;=10,", "&amp;$A551&amp;"-"&amp;TEXT(($D551-$C551+1)+9,"00"),"")&amp;IF($C551&gt;=11,", "&amp;$A551&amp;"-"&amp;TEXT(($D551-$C551+1)+10,"00"),"")&amp;IF($C551&gt;=12,", "&amp;$A551&amp;"-"&amp;TEXT(($D551-$C551+1)+11,"00"),"")&amp;IF($C551&gt;=13,", "&amp;$A551&amp;"-"&amp;TEXT(($D551-$C551+1)+12,"00"),"")&amp;IF($C551&gt;=14,", "&amp;$A551&amp;"-"&amp;TEXT(($D551-$C551+1)+13,"00"),"")&amp;IF($C551&gt;=15,", "&amp;$A551&amp;"-"&amp;TEXT(($D551-$C551+1)+14,"00"),"")&amp;IF($C551&gt;=16,", "&amp;$A551&amp;"-"&amp;TEXT(($D551-$C551+1)+15,"00"),"")&amp;IF($C551&gt;=17,", "&amp;$A551&amp;"-"&amp;TEXT(($D551-$C551+1)+16,"00"),"")&amp;IF($C551&gt;=18,", "&amp;$A551&amp;"-"&amp;TEXT(($D551-$C551+1)+17,"00"),"")&amp;IF($C551&gt;=19,", "&amp;$A551&amp;"-"&amp;TEXT(($D551-$C551+1)+18,"00"),"")&amp;IF($C551&gt;=20,", "&amp;$A551&amp;"-"&amp;TEXT(($D551-$C551+1)+19,"00"),"")&amp;IF($C551&gt;=21,", "&amp;$A551&amp;"-"&amp;TEXT(($D551-$C551+1)+20,"00"),"")&amp;IF($C551&gt;=22,", "&amp;$A551&amp;"-"&amp;TEXT(($D551-$C551+1)+21,"00"),"")&amp;IF($C551&gt;=23,", "&amp;$A551&amp;"-"&amp;TEXT(($D551-$C551+1)+22,"00"),"")&amp;IF($C551&gt;=24,", "&amp;$A551&amp;"-"&amp;TEXT(($D551-$C551+1)+23,"00"),"")&amp;IF($C551&gt;=25,", "&amp;$A551&amp;"-"&amp;TEXT(($D551-$C551+1)+24,"00"),""))</f>
        <v/>
      </c>
      <c r="G551">
        <f>IF($A551="","",IF($E551=1,$F551,IF($F551="",$G550,IF($G550="",$F551,$G550&amp;", "&amp;$F551))))</f>
        <v/>
      </c>
      <c r="H551">
        <f>IF($A551="","",$A551&amp;" ("&amp;$C551&amp;")")</f>
        <v/>
      </c>
      <c r="I551">
        <f>IF($A551="","",IF($E551=1,$H551,$I550&amp;", "&amp;$H551))</f>
        <v/>
      </c>
      <c r="J551">
        <f>IF($A551="","",IF($E551=1,$B551,""))</f>
        <v/>
      </c>
      <c r="K551">
        <f>IF($A551="","",IF(COUNTIF($B$2:$B551,$B551)=COUNTIF($B$2:$B$1601,$B551),$B551,""))</f>
        <v/>
      </c>
    </row>
    <row r="552">
      <c r="A552">
        <f>IF('TMP Paste'!$E552="","",'TMP Paste'!$E552)</f>
        <v/>
      </c>
      <c r="B552">
        <f>IF($A552="","",COUNTIF('TMP Paste'!$B$2:$B552,"?*"))</f>
        <v/>
      </c>
      <c r="C552">
        <f>IF($A552="","",IFERROR('TMP Paste'!$M552*1,0))</f>
        <v/>
      </c>
      <c r="D552">
        <f>IF($A552="","",SUMIF($B$2:$B552,$B552,$C$2:$C552))</f>
        <v/>
      </c>
      <c r="E552">
        <f>IF($A552="",0,IF('TMP Paste'!$B552="",0,1))</f>
        <v/>
      </c>
      <c r="F552">
        <f>IF(OR($A552="",$C552&lt;1),"",$A552&amp;"-"&amp;TEXT(($D552-$C552+1),"00")&amp;IF($C552&gt;=2,", "&amp;$A552&amp;"-"&amp;TEXT(($D552-$C552+1)+1,"00"),"")&amp;IF($C552&gt;=3,", "&amp;$A552&amp;"-"&amp;TEXT(($D552-$C552+1)+2,"00"),"")&amp;IF($C552&gt;=4,", "&amp;$A552&amp;"-"&amp;TEXT(($D552-$C552+1)+3,"00"),"")&amp;IF($C552&gt;=5,", "&amp;$A552&amp;"-"&amp;TEXT(($D552-$C552+1)+4,"00"),"")&amp;IF($C552&gt;=6,", "&amp;$A552&amp;"-"&amp;TEXT(($D552-$C552+1)+5,"00"),"")&amp;IF($C552&gt;=7,", "&amp;$A552&amp;"-"&amp;TEXT(($D552-$C552+1)+6,"00"),"")&amp;IF($C552&gt;=8,", "&amp;$A552&amp;"-"&amp;TEXT(($D552-$C552+1)+7,"00"),"")&amp;IF($C552&gt;=9,", "&amp;$A552&amp;"-"&amp;TEXT(($D552-$C552+1)+8,"00"),"")&amp;IF($C552&gt;=10,", "&amp;$A552&amp;"-"&amp;TEXT(($D552-$C552+1)+9,"00"),"")&amp;IF($C552&gt;=11,", "&amp;$A552&amp;"-"&amp;TEXT(($D552-$C552+1)+10,"00"),"")&amp;IF($C552&gt;=12,", "&amp;$A552&amp;"-"&amp;TEXT(($D552-$C552+1)+11,"00"),"")&amp;IF($C552&gt;=13,", "&amp;$A552&amp;"-"&amp;TEXT(($D552-$C552+1)+12,"00"),"")&amp;IF($C552&gt;=14,", "&amp;$A552&amp;"-"&amp;TEXT(($D552-$C552+1)+13,"00"),"")&amp;IF($C552&gt;=15,", "&amp;$A552&amp;"-"&amp;TEXT(($D552-$C552+1)+14,"00"),"")&amp;IF($C552&gt;=16,", "&amp;$A552&amp;"-"&amp;TEXT(($D552-$C552+1)+15,"00"),"")&amp;IF($C552&gt;=17,", "&amp;$A552&amp;"-"&amp;TEXT(($D552-$C552+1)+16,"00"),"")&amp;IF($C552&gt;=18,", "&amp;$A552&amp;"-"&amp;TEXT(($D552-$C552+1)+17,"00"),"")&amp;IF($C552&gt;=19,", "&amp;$A552&amp;"-"&amp;TEXT(($D552-$C552+1)+18,"00"),"")&amp;IF($C552&gt;=20,", "&amp;$A552&amp;"-"&amp;TEXT(($D552-$C552+1)+19,"00"),"")&amp;IF($C552&gt;=21,", "&amp;$A552&amp;"-"&amp;TEXT(($D552-$C552+1)+20,"00"),"")&amp;IF($C552&gt;=22,", "&amp;$A552&amp;"-"&amp;TEXT(($D552-$C552+1)+21,"00"),"")&amp;IF($C552&gt;=23,", "&amp;$A552&amp;"-"&amp;TEXT(($D552-$C552+1)+22,"00"),"")&amp;IF($C552&gt;=24,", "&amp;$A552&amp;"-"&amp;TEXT(($D552-$C552+1)+23,"00"),"")&amp;IF($C552&gt;=25,", "&amp;$A552&amp;"-"&amp;TEXT(($D552-$C552+1)+24,"00"),""))</f>
        <v/>
      </c>
      <c r="G552">
        <f>IF($A552="","",IF($E552=1,$F552,IF($F552="",$G551,IF($G551="",$F552,$G551&amp;", "&amp;$F552))))</f>
        <v/>
      </c>
      <c r="H552">
        <f>IF($A552="","",$A552&amp;" ("&amp;$C552&amp;")")</f>
        <v/>
      </c>
      <c r="I552">
        <f>IF($A552="","",IF($E552=1,$H552,$I551&amp;", "&amp;$H552))</f>
        <v/>
      </c>
      <c r="J552">
        <f>IF($A552="","",IF($E552=1,$B552,""))</f>
        <v/>
      </c>
      <c r="K552">
        <f>IF($A552="","",IF(COUNTIF($B$2:$B552,$B552)=COUNTIF($B$2:$B$1601,$B552),$B552,""))</f>
        <v/>
      </c>
    </row>
    <row r="553">
      <c r="A553">
        <f>IF('TMP Paste'!$E553="","",'TMP Paste'!$E553)</f>
        <v/>
      </c>
      <c r="B553">
        <f>IF($A553="","",COUNTIF('TMP Paste'!$B$2:$B553,"?*"))</f>
        <v/>
      </c>
      <c r="C553">
        <f>IF($A553="","",IFERROR('TMP Paste'!$M553*1,0))</f>
        <v/>
      </c>
      <c r="D553">
        <f>IF($A553="","",SUMIF($B$2:$B553,$B553,$C$2:$C553))</f>
        <v/>
      </c>
      <c r="E553">
        <f>IF($A553="",0,IF('TMP Paste'!$B553="",0,1))</f>
        <v/>
      </c>
      <c r="F553">
        <f>IF(OR($A553="",$C553&lt;1),"",$A553&amp;"-"&amp;TEXT(($D553-$C553+1),"00")&amp;IF($C553&gt;=2,", "&amp;$A553&amp;"-"&amp;TEXT(($D553-$C553+1)+1,"00"),"")&amp;IF($C553&gt;=3,", "&amp;$A553&amp;"-"&amp;TEXT(($D553-$C553+1)+2,"00"),"")&amp;IF($C553&gt;=4,", "&amp;$A553&amp;"-"&amp;TEXT(($D553-$C553+1)+3,"00"),"")&amp;IF($C553&gt;=5,", "&amp;$A553&amp;"-"&amp;TEXT(($D553-$C553+1)+4,"00"),"")&amp;IF($C553&gt;=6,", "&amp;$A553&amp;"-"&amp;TEXT(($D553-$C553+1)+5,"00"),"")&amp;IF($C553&gt;=7,", "&amp;$A553&amp;"-"&amp;TEXT(($D553-$C553+1)+6,"00"),"")&amp;IF($C553&gt;=8,", "&amp;$A553&amp;"-"&amp;TEXT(($D553-$C553+1)+7,"00"),"")&amp;IF($C553&gt;=9,", "&amp;$A553&amp;"-"&amp;TEXT(($D553-$C553+1)+8,"00"),"")&amp;IF($C553&gt;=10,", "&amp;$A553&amp;"-"&amp;TEXT(($D553-$C553+1)+9,"00"),"")&amp;IF($C553&gt;=11,", "&amp;$A553&amp;"-"&amp;TEXT(($D553-$C553+1)+10,"00"),"")&amp;IF($C553&gt;=12,", "&amp;$A553&amp;"-"&amp;TEXT(($D553-$C553+1)+11,"00"),"")&amp;IF($C553&gt;=13,", "&amp;$A553&amp;"-"&amp;TEXT(($D553-$C553+1)+12,"00"),"")&amp;IF($C553&gt;=14,", "&amp;$A553&amp;"-"&amp;TEXT(($D553-$C553+1)+13,"00"),"")&amp;IF($C553&gt;=15,", "&amp;$A553&amp;"-"&amp;TEXT(($D553-$C553+1)+14,"00"),"")&amp;IF($C553&gt;=16,", "&amp;$A553&amp;"-"&amp;TEXT(($D553-$C553+1)+15,"00"),"")&amp;IF($C553&gt;=17,", "&amp;$A553&amp;"-"&amp;TEXT(($D553-$C553+1)+16,"00"),"")&amp;IF($C553&gt;=18,", "&amp;$A553&amp;"-"&amp;TEXT(($D553-$C553+1)+17,"00"),"")&amp;IF($C553&gt;=19,", "&amp;$A553&amp;"-"&amp;TEXT(($D553-$C553+1)+18,"00"),"")&amp;IF($C553&gt;=20,", "&amp;$A553&amp;"-"&amp;TEXT(($D553-$C553+1)+19,"00"),"")&amp;IF($C553&gt;=21,", "&amp;$A553&amp;"-"&amp;TEXT(($D553-$C553+1)+20,"00"),"")&amp;IF($C553&gt;=22,", "&amp;$A553&amp;"-"&amp;TEXT(($D553-$C553+1)+21,"00"),"")&amp;IF($C553&gt;=23,", "&amp;$A553&amp;"-"&amp;TEXT(($D553-$C553+1)+22,"00"),"")&amp;IF($C553&gt;=24,", "&amp;$A553&amp;"-"&amp;TEXT(($D553-$C553+1)+23,"00"),"")&amp;IF($C553&gt;=25,", "&amp;$A553&amp;"-"&amp;TEXT(($D553-$C553+1)+24,"00"),""))</f>
        <v/>
      </c>
      <c r="G553">
        <f>IF($A553="","",IF($E553=1,$F553,IF($F553="",$G552,IF($G552="",$F553,$G552&amp;", "&amp;$F553))))</f>
        <v/>
      </c>
      <c r="H553">
        <f>IF($A553="","",$A553&amp;" ("&amp;$C553&amp;")")</f>
        <v/>
      </c>
      <c r="I553">
        <f>IF($A553="","",IF($E553=1,$H553,$I552&amp;", "&amp;$H553))</f>
        <v/>
      </c>
      <c r="J553">
        <f>IF($A553="","",IF($E553=1,$B553,""))</f>
        <v/>
      </c>
      <c r="K553">
        <f>IF($A553="","",IF(COUNTIF($B$2:$B553,$B553)=COUNTIF($B$2:$B$1601,$B553),$B553,""))</f>
        <v/>
      </c>
    </row>
    <row r="554">
      <c r="A554">
        <f>IF('TMP Paste'!$E554="","",'TMP Paste'!$E554)</f>
        <v/>
      </c>
      <c r="B554">
        <f>IF($A554="","",COUNTIF('TMP Paste'!$B$2:$B554,"?*"))</f>
        <v/>
      </c>
      <c r="C554">
        <f>IF($A554="","",IFERROR('TMP Paste'!$M554*1,0))</f>
        <v/>
      </c>
      <c r="D554">
        <f>IF($A554="","",SUMIF($B$2:$B554,$B554,$C$2:$C554))</f>
        <v/>
      </c>
      <c r="E554">
        <f>IF($A554="",0,IF('TMP Paste'!$B554="",0,1))</f>
        <v/>
      </c>
      <c r="F554">
        <f>IF(OR($A554="",$C554&lt;1),"",$A554&amp;"-"&amp;TEXT(($D554-$C554+1),"00")&amp;IF($C554&gt;=2,", "&amp;$A554&amp;"-"&amp;TEXT(($D554-$C554+1)+1,"00"),"")&amp;IF($C554&gt;=3,", "&amp;$A554&amp;"-"&amp;TEXT(($D554-$C554+1)+2,"00"),"")&amp;IF($C554&gt;=4,", "&amp;$A554&amp;"-"&amp;TEXT(($D554-$C554+1)+3,"00"),"")&amp;IF($C554&gt;=5,", "&amp;$A554&amp;"-"&amp;TEXT(($D554-$C554+1)+4,"00"),"")&amp;IF($C554&gt;=6,", "&amp;$A554&amp;"-"&amp;TEXT(($D554-$C554+1)+5,"00"),"")&amp;IF($C554&gt;=7,", "&amp;$A554&amp;"-"&amp;TEXT(($D554-$C554+1)+6,"00"),"")&amp;IF($C554&gt;=8,", "&amp;$A554&amp;"-"&amp;TEXT(($D554-$C554+1)+7,"00"),"")&amp;IF($C554&gt;=9,", "&amp;$A554&amp;"-"&amp;TEXT(($D554-$C554+1)+8,"00"),"")&amp;IF($C554&gt;=10,", "&amp;$A554&amp;"-"&amp;TEXT(($D554-$C554+1)+9,"00"),"")&amp;IF($C554&gt;=11,", "&amp;$A554&amp;"-"&amp;TEXT(($D554-$C554+1)+10,"00"),"")&amp;IF($C554&gt;=12,", "&amp;$A554&amp;"-"&amp;TEXT(($D554-$C554+1)+11,"00"),"")&amp;IF($C554&gt;=13,", "&amp;$A554&amp;"-"&amp;TEXT(($D554-$C554+1)+12,"00"),"")&amp;IF($C554&gt;=14,", "&amp;$A554&amp;"-"&amp;TEXT(($D554-$C554+1)+13,"00"),"")&amp;IF($C554&gt;=15,", "&amp;$A554&amp;"-"&amp;TEXT(($D554-$C554+1)+14,"00"),"")&amp;IF($C554&gt;=16,", "&amp;$A554&amp;"-"&amp;TEXT(($D554-$C554+1)+15,"00"),"")&amp;IF($C554&gt;=17,", "&amp;$A554&amp;"-"&amp;TEXT(($D554-$C554+1)+16,"00"),"")&amp;IF($C554&gt;=18,", "&amp;$A554&amp;"-"&amp;TEXT(($D554-$C554+1)+17,"00"),"")&amp;IF($C554&gt;=19,", "&amp;$A554&amp;"-"&amp;TEXT(($D554-$C554+1)+18,"00"),"")&amp;IF($C554&gt;=20,", "&amp;$A554&amp;"-"&amp;TEXT(($D554-$C554+1)+19,"00"),"")&amp;IF($C554&gt;=21,", "&amp;$A554&amp;"-"&amp;TEXT(($D554-$C554+1)+20,"00"),"")&amp;IF($C554&gt;=22,", "&amp;$A554&amp;"-"&amp;TEXT(($D554-$C554+1)+21,"00"),"")&amp;IF($C554&gt;=23,", "&amp;$A554&amp;"-"&amp;TEXT(($D554-$C554+1)+22,"00"),"")&amp;IF($C554&gt;=24,", "&amp;$A554&amp;"-"&amp;TEXT(($D554-$C554+1)+23,"00"),"")&amp;IF($C554&gt;=25,", "&amp;$A554&amp;"-"&amp;TEXT(($D554-$C554+1)+24,"00"),""))</f>
        <v/>
      </c>
      <c r="G554">
        <f>IF($A554="","",IF($E554=1,$F554,IF($F554="",$G553,IF($G553="",$F554,$G553&amp;", "&amp;$F554))))</f>
        <v/>
      </c>
      <c r="H554">
        <f>IF($A554="","",$A554&amp;" ("&amp;$C554&amp;")")</f>
        <v/>
      </c>
      <c r="I554">
        <f>IF($A554="","",IF($E554=1,$H554,$I553&amp;", "&amp;$H554))</f>
        <v/>
      </c>
      <c r="J554">
        <f>IF($A554="","",IF($E554=1,$B554,""))</f>
        <v/>
      </c>
      <c r="K554">
        <f>IF($A554="","",IF(COUNTIF($B$2:$B554,$B554)=COUNTIF($B$2:$B$1601,$B554),$B554,""))</f>
        <v/>
      </c>
    </row>
    <row r="555">
      <c r="A555">
        <f>IF('TMP Paste'!$E555="","",'TMP Paste'!$E555)</f>
        <v/>
      </c>
      <c r="B555">
        <f>IF($A555="","",COUNTIF('TMP Paste'!$B$2:$B555,"?*"))</f>
        <v/>
      </c>
      <c r="C555">
        <f>IF($A555="","",IFERROR('TMP Paste'!$M555*1,0))</f>
        <v/>
      </c>
      <c r="D555">
        <f>IF($A555="","",SUMIF($B$2:$B555,$B555,$C$2:$C555))</f>
        <v/>
      </c>
      <c r="E555">
        <f>IF($A555="",0,IF('TMP Paste'!$B555="",0,1))</f>
        <v/>
      </c>
      <c r="F555">
        <f>IF(OR($A555="",$C555&lt;1),"",$A555&amp;"-"&amp;TEXT(($D555-$C555+1),"00")&amp;IF($C555&gt;=2,", "&amp;$A555&amp;"-"&amp;TEXT(($D555-$C555+1)+1,"00"),"")&amp;IF($C555&gt;=3,", "&amp;$A555&amp;"-"&amp;TEXT(($D555-$C555+1)+2,"00"),"")&amp;IF($C555&gt;=4,", "&amp;$A555&amp;"-"&amp;TEXT(($D555-$C555+1)+3,"00"),"")&amp;IF($C555&gt;=5,", "&amp;$A555&amp;"-"&amp;TEXT(($D555-$C555+1)+4,"00"),"")&amp;IF($C555&gt;=6,", "&amp;$A555&amp;"-"&amp;TEXT(($D555-$C555+1)+5,"00"),"")&amp;IF($C555&gt;=7,", "&amp;$A555&amp;"-"&amp;TEXT(($D555-$C555+1)+6,"00"),"")&amp;IF($C555&gt;=8,", "&amp;$A555&amp;"-"&amp;TEXT(($D555-$C555+1)+7,"00"),"")&amp;IF($C555&gt;=9,", "&amp;$A555&amp;"-"&amp;TEXT(($D555-$C555+1)+8,"00"),"")&amp;IF($C555&gt;=10,", "&amp;$A555&amp;"-"&amp;TEXT(($D555-$C555+1)+9,"00"),"")&amp;IF($C555&gt;=11,", "&amp;$A555&amp;"-"&amp;TEXT(($D555-$C555+1)+10,"00"),"")&amp;IF($C555&gt;=12,", "&amp;$A555&amp;"-"&amp;TEXT(($D555-$C555+1)+11,"00"),"")&amp;IF($C555&gt;=13,", "&amp;$A555&amp;"-"&amp;TEXT(($D555-$C555+1)+12,"00"),"")&amp;IF($C555&gt;=14,", "&amp;$A555&amp;"-"&amp;TEXT(($D555-$C555+1)+13,"00"),"")&amp;IF($C555&gt;=15,", "&amp;$A555&amp;"-"&amp;TEXT(($D555-$C555+1)+14,"00"),"")&amp;IF($C555&gt;=16,", "&amp;$A555&amp;"-"&amp;TEXT(($D555-$C555+1)+15,"00"),"")&amp;IF($C555&gt;=17,", "&amp;$A555&amp;"-"&amp;TEXT(($D555-$C555+1)+16,"00"),"")&amp;IF($C555&gt;=18,", "&amp;$A555&amp;"-"&amp;TEXT(($D555-$C555+1)+17,"00"),"")&amp;IF($C555&gt;=19,", "&amp;$A555&amp;"-"&amp;TEXT(($D555-$C555+1)+18,"00"),"")&amp;IF($C555&gt;=20,", "&amp;$A555&amp;"-"&amp;TEXT(($D555-$C555+1)+19,"00"),"")&amp;IF($C555&gt;=21,", "&amp;$A555&amp;"-"&amp;TEXT(($D555-$C555+1)+20,"00"),"")&amp;IF($C555&gt;=22,", "&amp;$A555&amp;"-"&amp;TEXT(($D555-$C555+1)+21,"00"),"")&amp;IF($C555&gt;=23,", "&amp;$A555&amp;"-"&amp;TEXT(($D555-$C555+1)+22,"00"),"")&amp;IF($C555&gt;=24,", "&amp;$A555&amp;"-"&amp;TEXT(($D555-$C555+1)+23,"00"),"")&amp;IF($C555&gt;=25,", "&amp;$A555&amp;"-"&amp;TEXT(($D555-$C555+1)+24,"00"),""))</f>
        <v/>
      </c>
      <c r="G555">
        <f>IF($A555="","",IF($E555=1,$F555,IF($F555="",$G554,IF($G554="",$F555,$G554&amp;", "&amp;$F555))))</f>
        <v/>
      </c>
      <c r="H555">
        <f>IF($A555="","",$A555&amp;" ("&amp;$C555&amp;")")</f>
        <v/>
      </c>
      <c r="I555">
        <f>IF($A555="","",IF($E555=1,$H555,$I554&amp;", "&amp;$H555))</f>
        <v/>
      </c>
      <c r="J555">
        <f>IF($A555="","",IF($E555=1,$B555,""))</f>
        <v/>
      </c>
      <c r="K555">
        <f>IF($A555="","",IF(COUNTIF($B$2:$B555,$B555)=COUNTIF($B$2:$B$1601,$B555),$B555,""))</f>
        <v/>
      </c>
    </row>
    <row r="556">
      <c r="A556">
        <f>IF('TMP Paste'!$E556="","",'TMP Paste'!$E556)</f>
        <v/>
      </c>
      <c r="B556">
        <f>IF($A556="","",COUNTIF('TMP Paste'!$B$2:$B556,"?*"))</f>
        <v/>
      </c>
      <c r="C556">
        <f>IF($A556="","",IFERROR('TMP Paste'!$M556*1,0))</f>
        <v/>
      </c>
      <c r="D556">
        <f>IF($A556="","",SUMIF($B$2:$B556,$B556,$C$2:$C556))</f>
        <v/>
      </c>
      <c r="E556">
        <f>IF($A556="",0,IF('TMP Paste'!$B556="",0,1))</f>
        <v/>
      </c>
      <c r="F556">
        <f>IF(OR($A556="",$C556&lt;1),"",$A556&amp;"-"&amp;TEXT(($D556-$C556+1),"00")&amp;IF($C556&gt;=2,", "&amp;$A556&amp;"-"&amp;TEXT(($D556-$C556+1)+1,"00"),"")&amp;IF($C556&gt;=3,", "&amp;$A556&amp;"-"&amp;TEXT(($D556-$C556+1)+2,"00"),"")&amp;IF($C556&gt;=4,", "&amp;$A556&amp;"-"&amp;TEXT(($D556-$C556+1)+3,"00"),"")&amp;IF($C556&gt;=5,", "&amp;$A556&amp;"-"&amp;TEXT(($D556-$C556+1)+4,"00"),"")&amp;IF($C556&gt;=6,", "&amp;$A556&amp;"-"&amp;TEXT(($D556-$C556+1)+5,"00"),"")&amp;IF($C556&gt;=7,", "&amp;$A556&amp;"-"&amp;TEXT(($D556-$C556+1)+6,"00"),"")&amp;IF($C556&gt;=8,", "&amp;$A556&amp;"-"&amp;TEXT(($D556-$C556+1)+7,"00"),"")&amp;IF($C556&gt;=9,", "&amp;$A556&amp;"-"&amp;TEXT(($D556-$C556+1)+8,"00"),"")&amp;IF($C556&gt;=10,", "&amp;$A556&amp;"-"&amp;TEXT(($D556-$C556+1)+9,"00"),"")&amp;IF($C556&gt;=11,", "&amp;$A556&amp;"-"&amp;TEXT(($D556-$C556+1)+10,"00"),"")&amp;IF($C556&gt;=12,", "&amp;$A556&amp;"-"&amp;TEXT(($D556-$C556+1)+11,"00"),"")&amp;IF($C556&gt;=13,", "&amp;$A556&amp;"-"&amp;TEXT(($D556-$C556+1)+12,"00"),"")&amp;IF($C556&gt;=14,", "&amp;$A556&amp;"-"&amp;TEXT(($D556-$C556+1)+13,"00"),"")&amp;IF($C556&gt;=15,", "&amp;$A556&amp;"-"&amp;TEXT(($D556-$C556+1)+14,"00"),"")&amp;IF($C556&gt;=16,", "&amp;$A556&amp;"-"&amp;TEXT(($D556-$C556+1)+15,"00"),"")&amp;IF($C556&gt;=17,", "&amp;$A556&amp;"-"&amp;TEXT(($D556-$C556+1)+16,"00"),"")&amp;IF($C556&gt;=18,", "&amp;$A556&amp;"-"&amp;TEXT(($D556-$C556+1)+17,"00"),"")&amp;IF($C556&gt;=19,", "&amp;$A556&amp;"-"&amp;TEXT(($D556-$C556+1)+18,"00"),"")&amp;IF($C556&gt;=20,", "&amp;$A556&amp;"-"&amp;TEXT(($D556-$C556+1)+19,"00"),"")&amp;IF($C556&gt;=21,", "&amp;$A556&amp;"-"&amp;TEXT(($D556-$C556+1)+20,"00"),"")&amp;IF($C556&gt;=22,", "&amp;$A556&amp;"-"&amp;TEXT(($D556-$C556+1)+21,"00"),"")&amp;IF($C556&gt;=23,", "&amp;$A556&amp;"-"&amp;TEXT(($D556-$C556+1)+22,"00"),"")&amp;IF($C556&gt;=24,", "&amp;$A556&amp;"-"&amp;TEXT(($D556-$C556+1)+23,"00"),"")&amp;IF($C556&gt;=25,", "&amp;$A556&amp;"-"&amp;TEXT(($D556-$C556+1)+24,"00"),""))</f>
        <v/>
      </c>
      <c r="G556">
        <f>IF($A556="","",IF($E556=1,$F556,IF($F556="",$G555,IF($G555="",$F556,$G555&amp;", "&amp;$F556))))</f>
        <v/>
      </c>
      <c r="H556">
        <f>IF($A556="","",$A556&amp;" ("&amp;$C556&amp;")")</f>
        <v/>
      </c>
      <c r="I556">
        <f>IF($A556="","",IF($E556=1,$H556,$I555&amp;", "&amp;$H556))</f>
        <v/>
      </c>
      <c r="J556">
        <f>IF($A556="","",IF($E556=1,$B556,""))</f>
        <v/>
      </c>
      <c r="K556">
        <f>IF($A556="","",IF(COUNTIF($B$2:$B556,$B556)=COUNTIF($B$2:$B$1601,$B556),$B556,""))</f>
        <v/>
      </c>
    </row>
    <row r="557">
      <c r="A557">
        <f>IF('TMP Paste'!$E557="","",'TMP Paste'!$E557)</f>
        <v/>
      </c>
      <c r="B557">
        <f>IF($A557="","",COUNTIF('TMP Paste'!$B$2:$B557,"?*"))</f>
        <v/>
      </c>
      <c r="C557">
        <f>IF($A557="","",IFERROR('TMP Paste'!$M557*1,0))</f>
        <v/>
      </c>
      <c r="D557">
        <f>IF($A557="","",SUMIF($B$2:$B557,$B557,$C$2:$C557))</f>
        <v/>
      </c>
      <c r="E557">
        <f>IF($A557="",0,IF('TMP Paste'!$B557="",0,1))</f>
        <v/>
      </c>
      <c r="F557">
        <f>IF(OR($A557="",$C557&lt;1),"",$A557&amp;"-"&amp;TEXT(($D557-$C557+1),"00")&amp;IF($C557&gt;=2,", "&amp;$A557&amp;"-"&amp;TEXT(($D557-$C557+1)+1,"00"),"")&amp;IF($C557&gt;=3,", "&amp;$A557&amp;"-"&amp;TEXT(($D557-$C557+1)+2,"00"),"")&amp;IF($C557&gt;=4,", "&amp;$A557&amp;"-"&amp;TEXT(($D557-$C557+1)+3,"00"),"")&amp;IF($C557&gt;=5,", "&amp;$A557&amp;"-"&amp;TEXT(($D557-$C557+1)+4,"00"),"")&amp;IF($C557&gt;=6,", "&amp;$A557&amp;"-"&amp;TEXT(($D557-$C557+1)+5,"00"),"")&amp;IF($C557&gt;=7,", "&amp;$A557&amp;"-"&amp;TEXT(($D557-$C557+1)+6,"00"),"")&amp;IF($C557&gt;=8,", "&amp;$A557&amp;"-"&amp;TEXT(($D557-$C557+1)+7,"00"),"")&amp;IF($C557&gt;=9,", "&amp;$A557&amp;"-"&amp;TEXT(($D557-$C557+1)+8,"00"),"")&amp;IF($C557&gt;=10,", "&amp;$A557&amp;"-"&amp;TEXT(($D557-$C557+1)+9,"00"),"")&amp;IF($C557&gt;=11,", "&amp;$A557&amp;"-"&amp;TEXT(($D557-$C557+1)+10,"00"),"")&amp;IF($C557&gt;=12,", "&amp;$A557&amp;"-"&amp;TEXT(($D557-$C557+1)+11,"00"),"")&amp;IF($C557&gt;=13,", "&amp;$A557&amp;"-"&amp;TEXT(($D557-$C557+1)+12,"00"),"")&amp;IF($C557&gt;=14,", "&amp;$A557&amp;"-"&amp;TEXT(($D557-$C557+1)+13,"00"),"")&amp;IF($C557&gt;=15,", "&amp;$A557&amp;"-"&amp;TEXT(($D557-$C557+1)+14,"00"),"")&amp;IF($C557&gt;=16,", "&amp;$A557&amp;"-"&amp;TEXT(($D557-$C557+1)+15,"00"),"")&amp;IF($C557&gt;=17,", "&amp;$A557&amp;"-"&amp;TEXT(($D557-$C557+1)+16,"00"),"")&amp;IF($C557&gt;=18,", "&amp;$A557&amp;"-"&amp;TEXT(($D557-$C557+1)+17,"00"),"")&amp;IF($C557&gt;=19,", "&amp;$A557&amp;"-"&amp;TEXT(($D557-$C557+1)+18,"00"),"")&amp;IF($C557&gt;=20,", "&amp;$A557&amp;"-"&amp;TEXT(($D557-$C557+1)+19,"00"),"")&amp;IF($C557&gt;=21,", "&amp;$A557&amp;"-"&amp;TEXT(($D557-$C557+1)+20,"00"),"")&amp;IF($C557&gt;=22,", "&amp;$A557&amp;"-"&amp;TEXT(($D557-$C557+1)+21,"00"),"")&amp;IF($C557&gt;=23,", "&amp;$A557&amp;"-"&amp;TEXT(($D557-$C557+1)+22,"00"),"")&amp;IF($C557&gt;=24,", "&amp;$A557&amp;"-"&amp;TEXT(($D557-$C557+1)+23,"00"),"")&amp;IF($C557&gt;=25,", "&amp;$A557&amp;"-"&amp;TEXT(($D557-$C557+1)+24,"00"),""))</f>
        <v/>
      </c>
      <c r="G557">
        <f>IF($A557="","",IF($E557=1,$F557,IF($F557="",$G556,IF($G556="",$F557,$G556&amp;", "&amp;$F557))))</f>
        <v/>
      </c>
      <c r="H557">
        <f>IF($A557="","",$A557&amp;" ("&amp;$C557&amp;")")</f>
        <v/>
      </c>
      <c r="I557">
        <f>IF($A557="","",IF($E557=1,$H557,$I556&amp;", "&amp;$H557))</f>
        <v/>
      </c>
      <c r="J557">
        <f>IF($A557="","",IF($E557=1,$B557,""))</f>
        <v/>
      </c>
      <c r="K557">
        <f>IF($A557="","",IF(COUNTIF($B$2:$B557,$B557)=COUNTIF($B$2:$B$1601,$B557),$B557,""))</f>
        <v/>
      </c>
    </row>
    <row r="558">
      <c r="A558">
        <f>IF('TMP Paste'!$E558="","",'TMP Paste'!$E558)</f>
        <v/>
      </c>
      <c r="B558">
        <f>IF($A558="","",COUNTIF('TMP Paste'!$B$2:$B558,"?*"))</f>
        <v/>
      </c>
      <c r="C558">
        <f>IF($A558="","",IFERROR('TMP Paste'!$M558*1,0))</f>
        <v/>
      </c>
      <c r="D558">
        <f>IF($A558="","",SUMIF($B$2:$B558,$B558,$C$2:$C558))</f>
        <v/>
      </c>
      <c r="E558">
        <f>IF($A558="",0,IF('TMP Paste'!$B558="",0,1))</f>
        <v/>
      </c>
      <c r="F558">
        <f>IF(OR($A558="",$C558&lt;1),"",$A558&amp;"-"&amp;TEXT(($D558-$C558+1),"00")&amp;IF($C558&gt;=2,", "&amp;$A558&amp;"-"&amp;TEXT(($D558-$C558+1)+1,"00"),"")&amp;IF($C558&gt;=3,", "&amp;$A558&amp;"-"&amp;TEXT(($D558-$C558+1)+2,"00"),"")&amp;IF($C558&gt;=4,", "&amp;$A558&amp;"-"&amp;TEXT(($D558-$C558+1)+3,"00"),"")&amp;IF($C558&gt;=5,", "&amp;$A558&amp;"-"&amp;TEXT(($D558-$C558+1)+4,"00"),"")&amp;IF($C558&gt;=6,", "&amp;$A558&amp;"-"&amp;TEXT(($D558-$C558+1)+5,"00"),"")&amp;IF($C558&gt;=7,", "&amp;$A558&amp;"-"&amp;TEXT(($D558-$C558+1)+6,"00"),"")&amp;IF($C558&gt;=8,", "&amp;$A558&amp;"-"&amp;TEXT(($D558-$C558+1)+7,"00"),"")&amp;IF($C558&gt;=9,", "&amp;$A558&amp;"-"&amp;TEXT(($D558-$C558+1)+8,"00"),"")&amp;IF($C558&gt;=10,", "&amp;$A558&amp;"-"&amp;TEXT(($D558-$C558+1)+9,"00"),"")&amp;IF($C558&gt;=11,", "&amp;$A558&amp;"-"&amp;TEXT(($D558-$C558+1)+10,"00"),"")&amp;IF($C558&gt;=12,", "&amp;$A558&amp;"-"&amp;TEXT(($D558-$C558+1)+11,"00"),"")&amp;IF($C558&gt;=13,", "&amp;$A558&amp;"-"&amp;TEXT(($D558-$C558+1)+12,"00"),"")&amp;IF($C558&gt;=14,", "&amp;$A558&amp;"-"&amp;TEXT(($D558-$C558+1)+13,"00"),"")&amp;IF($C558&gt;=15,", "&amp;$A558&amp;"-"&amp;TEXT(($D558-$C558+1)+14,"00"),"")&amp;IF($C558&gt;=16,", "&amp;$A558&amp;"-"&amp;TEXT(($D558-$C558+1)+15,"00"),"")&amp;IF($C558&gt;=17,", "&amp;$A558&amp;"-"&amp;TEXT(($D558-$C558+1)+16,"00"),"")&amp;IF($C558&gt;=18,", "&amp;$A558&amp;"-"&amp;TEXT(($D558-$C558+1)+17,"00"),"")&amp;IF($C558&gt;=19,", "&amp;$A558&amp;"-"&amp;TEXT(($D558-$C558+1)+18,"00"),"")&amp;IF($C558&gt;=20,", "&amp;$A558&amp;"-"&amp;TEXT(($D558-$C558+1)+19,"00"),"")&amp;IF($C558&gt;=21,", "&amp;$A558&amp;"-"&amp;TEXT(($D558-$C558+1)+20,"00"),"")&amp;IF($C558&gt;=22,", "&amp;$A558&amp;"-"&amp;TEXT(($D558-$C558+1)+21,"00"),"")&amp;IF($C558&gt;=23,", "&amp;$A558&amp;"-"&amp;TEXT(($D558-$C558+1)+22,"00"),"")&amp;IF($C558&gt;=24,", "&amp;$A558&amp;"-"&amp;TEXT(($D558-$C558+1)+23,"00"),"")&amp;IF($C558&gt;=25,", "&amp;$A558&amp;"-"&amp;TEXT(($D558-$C558+1)+24,"00"),""))</f>
        <v/>
      </c>
      <c r="G558">
        <f>IF($A558="","",IF($E558=1,$F558,IF($F558="",$G557,IF($G557="",$F558,$G557&amp;", "&amp;$F558))))</f>
        <v/>
      </c>
      <c r="H558">
        <f>IF($A558="","",$A558&amp;" ("&amp;$C558&amp;")")</f>
        <v/>
      </c>
      <c r="I558">
        <f>IF($A558="","",IF($E558=1,$H558,$I557&amp;", "&amp;$H558))</f>
        <v/>
      </c>
      <c r="J558">
        <f>IF($A558="","",IF($E558=1,$B558,""))</f>
        <v/>
      </c>
      <c r="K558">
        <f>IF($A558="","",IF(COUNTIF($B$2:$B558,$B558)=COUNTIF($B$2:$B$1601,$B558),$B558,""))</f>
        <v/>
      </c>
    </row>
    <row r="559">
      <c r="A559">
        <f>IF('TMP Paste'!$E559="","",'TMP Paste'!$E559)</f>
        <v/>
      </c>
      <c r="B559">
        <f>IF($A559="","",COUNTIF('TMP Paste'!$B$2:$B559,"?*"))</f>
        <v/>
      </c>
      <c r="C559">
        <f>IF($A559="","",IFERROR('TMP Paste'!$M559*1,0))</f>
        <v/>
      </c>
      <c r="D559">
        <f>IF($A559="","",SUMIF($B$2:$B559,$B559,$C$2:$C559))</f>
        <v/>
      </c>
      <c r="E559">
        <f>IF($A559="",0,IF('TMP Paste'!$B559="",0,1))</f>
        <v/>
      </c>
      <c r="F559">
        <f>IF(OR($A559="",$C559&lt;1),"",$A559&amp;"-"&amp;TEXT(($D559-$C559+1),"00")&amp;IF($C559&gt;=2,", "&amp;$A559&amp;"-"&amp;TEXT(($D559-$C559+1)+1,"00"),"")&amp;IF($C559&gt;=3,", "&amp;$A559&amp;"-"&amp;TEXT(($D559-$C559+1)+2,"00"),"")&amp;IF($C559&gt;=4,", "&amp;$A559&amp;"-"&amp;TEXT(($D559-$C559+1)+3,"00"),"")&amp;IF($C559&gt;=5,", "&amp;$A559&amp;"-"&amp;TEXT(($D559-$C559+1)+4,"00"),"")&amp;IF($C559&gt;=6,", "&amp;$A559&amp;"-"&amp;TEXT(($D559-$C559+1)+5,"00"),"")&amp;IF($C559&gt;=7,", "&amp;$A559&amp;"-"&amp;TEXT(($D559-$C559+1)+6,"00"),"")&amp;IF($C559&gt;=8,", "&amp;$A559&amp;"-"&amp;TEXT(($D559-$C559+1)+7,"00"),"")&amp;IF($C559&gt;=9,", "&amp;$A559&amp;"-"&amp;TEXT(($D559-$C559+1)+8,"00"),"")&amp;IF($C559&gt;=10,", "&amp;$A559&amp;"-"&amp;TEXT(($D559-$C559+1)+9,"00"),"")&amp;IF($C559&gt;=11,", "&amp;$A559&amp;"-"&amp;TEXT(($D559-$C559+1)+10,"00"),"")&amp;IF($C559&gt;=12,", "&amp;$A559&amp;"-"&amp;TEXT(($D559-$C559+1)+11,"00"),"")&amp;IF($C559&gt;=13,", "&amp;$A559&amp;"-"&amp;TEXT(($D559-$C559+1)+12,"00"),"")&amp;IF($C559&gt;=14,", "&amp;$A559&amp;"-"&amp;TEXT(($D559-$C559+1)+13,"00"),"")&amp;IF($C559&gt;=15,", "&amp;$A559&amp;"-"&amp;TEXT(($D559-$C559+1)+14,"00"),"")&amp;IF($C559&gt;=16,", "&amp;$A559&amp;"-"&amp;TEXT(($D559-$C559+1)+15,"00"),"")&amp;IF($C559&gt;=17,", "&amp;$A559&amp;"-"&amp;TEXT(($D559-$C559+1)+16,"00"),"")&amp;IF($C559&gt;=18,", "&amp;$A559&amp;"-"&amp;TEXT(($D559-$C559+1)+17,"00"),"")&amp;IF($C559&gt;=19,", "&amp;$A559&amp;"-"&amp;TEXT(($D559-$C559+1)+18,"00"),"")&amp;IF($C559&gt;=20,", "&amp;$A559&amp;"-"&amp;TEXT(($D559-$C559+1)+19,"00"),"")&amp;IF($C559&gt;=21,", "&amp;$A559&amp;"-"&amp;TEXT(($D559-$C559+1)+20,"00"),"")&amp;IF($C559&gt;=22,", "&amp;$A559&amp;"-"&amp;TEXT(($D559-$C559+1)+21,"00"),"")&amp;IF($C559&gt;=23,", "&amp;$A559&amp;"-"&amp;TEXT(($D559-$C559+1)+22,"00"),"")&amp;IF($C559&gt;=24,", "&amp;$A559&amp;"-"&amp;TEXT(($D559-$C559+1)+23,"00"),"")&amp;IF($C559&gt;=25,", "&amp;$A559&amp;"-"&amp;TEXT(($D559-$C559+1)+24,"00"),""))</f>
        <v/>
      </c>
      <c r="G559">
        <f>IF($A559="","",IF($E559=1,$F559,IF($F559="",$G558,IF($G558="",$F559,$G558&amp;", "&amp;$F559))))</f>
        <v/>
      </c>
      <c r="H559">
        <f>IF($A559="","",$A559&amp;" ("&amp;$C559&amp;")")</f>
        <v/>
      </c>
      <c r="I559">
        <f>IF($A559="","",IF($E559=1,$H559,$I558&amp;", "&amp;$H559))</f>
        <v/>
      </c>
      <c r="J559">
        <f>IF($A559="","",IF($E559=1,$B559,""))</f>
        <v/>
      </c>
      <c r="K559">
        <f>IF($A559="","",IF(COUNTIF($B$2:$B559,$B559)=COUNTIF($B$2:$B$1601,$B559),$B559,""))</f>
        <v/>
      </c>
    </row>
    <row r="560">
      <c r="A560">
        <f>IF('TMP Paste'!$E560="","",'TMP Paste'!$E560)</f>
        <v/>
      </c>
      <c r="B560">
        <f>IF($A560="","",COUNTIF('TMP Paste'!$B$2:$B560,"?*"))</f>
        <v/>
      </c>
      <c r="C560">
        <f>IF($A560="","",IFERROR('TMP Paste'!$M560*1,0))</f>
        <v/>
      </c>
      <c r="D560">
        <f>IF($A560="","",SUMIF($B$2:$B560,$B560,$C$2:$C560))</f>
        <v/>
      </c>
      <c r="E560">
        <f>IF($A560="",0,IF('TMP Paste'!$B560="",0,1))</f>
        <v/>
      </c>
      <c r="F560">
        <f>IF(OR($A560="",$C560&lt;1),"",$A560&amp;"-"&amp;TEXT(($D560-$C560+1),"00")&amp;IF($C560&gt;=2,", "&amp;$A560&amp;"-"&amp;TEXT(($D560-$C560+1)+1,"00"),"")&amp;IF($C560&gt;=3,", "&amp;$A560&amp;"-"&amp;TEXT(($D560-$C560+1)+2,"00"),"")&amp;IF($C560&gt;=4,", "&amp;$A560&amp;"-"&amp;TEXT(($D560-$C560+1)+3,"00"),"")&amp;IF($C560&gt;=5,", "&amp;$A560&amp;"-"&amp;TEXT(($D560-$C560+1)+4,"00"),"")&amp;IF($C560&gt;=6,", "&amp;$A560&amp;"-"&amp;TEXT(($D560-$C560+1)+5,"00"),"")&amp;IF($C560&gt;=7,", "&amp;$A560&amp;"-"&amp;TEXT(($D560-$C560+1)+6,"00"),"")&amp;IF($C560&gt;=8,", "&amp;$A560&amp;"-"&amp;TEXT(($D560-$C560+1)+7,"00"),"")&amp;IF($C560&gt;=9,", "&amp;$A560&amp;"-"&amp;TEXT(($D560-$C560+1)+8,"00"),"")&amp;IF($C560&gt;=10,", "&amp;$A560&amp;"-"&amp;TEXT(($D560-$C560+1)+9,"00"),"")&amp;IF($C560&gt;=11,", "&amp;$A560&amp;"-"&amp;TEXT(($D560-$C560+1)+10,"00"),"")&amp;IF($C560&gt;=12,", "&amp;$A560&amp;"-"&amp;TEXT(($D560-$C560+1)+11,"00"),"")&amp;IF($C560&gt;=13,", "&amp;$A560&amp;"-"&amp;TEXT(($D560-$C560+1)+12,"00"),"")&amp;IF($C560&gt;=14,", "&amp;$A560&amp;"-"&amp;TEXT(($D560-$C560+1)+13,"00"),"")&amp;IF($C560&gt;=15,", "&amp;$A560&amp;"-"&amp;TEXT(($D560-$C560+1)+14,"00"),"")&amp;IF($C560&gt;=16,", "&amp;$A560&amp;"-"&amp;TEXT(($D560-$C560+1)+15,"00"),"")&amp;IF($C560&gt;=17,", "&amp;$A560&amp;"-"&amp;TEXT(($D560-$C560+1)+16,"00"),"")&amp;IF($C560&gt;=18,", "&amp;$A560&amp;"-"&amp;TEXT(($D560-$C560+1)+17,"00"),"")&amp;IF($C560&gt;=19,", "&amp;$A560&amp;"-"&amp;TEXT(($D560-$C560+1)+18,"00"),"")&amp;IF($C560&gt;=20,", "&amp;$A560&amp;"-"&amp;TEXT(($D560-$C560+1)+19,"00"),"")&amp;IF($C560&gt;=21,", "&amp;$A560&amp;"-"&amp;TEXT(($D560-$C560+1)+20,"00"),"")&amp;IF($C560&gt;=22,", "&amp;$A560&amp;"-"&amp;TEXT(($D560-$C560+1)+21,"00"),"")&amp;IF($C560&gt;=23,", "&amp;$A560&amp;"-"&amp;TEXT(($D560-$C560+1)+22,"00"),"")&amp;IF($C560&gt;=24,", "&amp;$A560&amp;"-"&amp;TEXT(($D560-$C560+1)+23,"00"),"")&amp;IF($C560&gt;=25,", "&amp;$A560&amp;"-"&amp;TEXT(($D560-$C560+1)+24,"00"),""))</f>
        <v/>
      </c>
      <c r="G560">
        <f>IF($A560="","",IF($E560=1,$F560,IF($F560="",$G559,IF($G559="",$F560,$G559&amp;", "&amp;$F560))))</f>
        <v/>
      </c>
      <c r="H560">
        <f>IF($A560="","",$A560&amp;" ("&amp;$C560&amp;")")</f>
        <v/>
      </c>
      <c r="I560">
        <f>IF($A560="","",IF($E560=1,$H560,$I559&amp;", "&amp;$H560))</f>
        <v/>
      </c>
      <c r="J560">
        <f>IF($A560="","",IF($E560=1,$B560,""))</f>
        <v/>
      </c>
      <c r="K560">
        <f>IF($A560="","",IF(COUNTIF($B$2:$B560,$B560)=COUNTIF($B$2:$B$1601,$B560),$B560,""))</f>
        <v/>
      </c>
    </row>
    <row r="561">
      <c r="A561">
        <f>IF('TMP Paste'!$E561="","",'TMP Paste'!$E561)</f>
        <v/>
      </c>
      <c r="B561">
        <f>IF($A561="","",COUNTIF('TMP Paste'!$B$2:$B561,"?*"))</f>
        <v/>
      </c>
      <c r="C561">
        <f>IF($A561="","",IFERROR('TMP Paste'!$M561*1,0))</f>
        <v/>
      </c>
      <c r="D561">
        <f>IF($A561="","",SUMIF($B$2:$B561,$B561,$C$2:$C561))</f>
        <v/>
      </c>
      <c r="E561">
        <f>IF($A561="",0,IF('TMP Paste'!$B561="",0,1))</f>
        <v/>
      </c>
      <c r="F561">
        <f>IF(OR($A561="",$C561&lt;1),"",$A561&amp;"-"&amp;TEXT(($D561-$C561+1),"00")&amp;IF($C561&gt;=2,", "&amp;$A561&amp;"-"&amp;TEXT(($D561-$C561+1)+1,"00"),"")&amp;IF($C561&gt;=3,", "&amp;$A561&amp;"-"&amp;TEXT(($D561-$C561+1)+2,"00"),"")&amp;IF($C561&gt;=4,", "&amp;$A561&amp;"-"&amp;TEXT(($D561-$C561+1)+3,"00"),"")&amp;IF($C561&gt;=5,", "&amp;$A561&amp;"-"&amp;TEXT(($D561-$C561+1)+4,"00"),"")&amp;IF($C561&gt;=6,", "&amp;$A561&amp;"-"&amp;TEXT(($D561-$C561+1)+5,"00"),"")&amp;IF($C561&gt;=7,", "&amp;$A561&amp;"-"&amp;TEXT(($D561-$C561+1)+6,"00"),"")&amp;IF($C561&gt;=8,", "&amp;$A561&amp;"-"&amp;TEXT(($D561-$C561+1)+7,"00"),"")&amp;IF($C561&gt;=9,", "&amp;$A561&amp;"-"&amp;TEXT(($D561-$C561+1)+8,"00"),"")&amp;IF($C561&gt;=10,", "&amp;$A561&amp;"-"&amp;TEXT(($D561-$C561+1)+9,"00"),"")&amp;IF($C561&gt;=11,", "&amp;$A561&amp;"-"&amp;TEXT(($D561-$C561+1)+10,"00"),"")&amp;IF($C561&gt;=12,", "&amp;$A561&amp;"-"&amp;TEXT(($D561-$C561+1)+11,"00"),"")&amp;IF($C561&gt;=13,", "&amp;$A561&amp;"-"&amp;TEXT(($D561-$C561+1)+12,"00"),"")&amp;IF($C561&gt;=14,", "&amp;$A561&amp;"-"&amp;TEXT(($D561-$C561+1)+13,"00"),"")&amp;IF($C561&gt;=15,", "&amp;$A561&amp;"-"&amp;TEXT(($D561-$C561+1)+14,"00"),"")&amp;IF($C561&gt;=16,", "&amp;$A561&amp;"-"&amp;TEXT(($D561-$C561+1)+15,"00"),"")&amp;IF($C561&gt;=17,", "&amp;$A561&amp;"-"&amp;TEXT(($D561-$C561+1)+16,"00"),"")&amp;IF($C561&gt;=18,", "&amp;$A561&amp;"-"&amp;TEXT(($D561-$C561+1)+17,"00"),"")&amp;IF($C561&gt;=19,", "&amp;$A561&amp;"-"&amp;TEXT(($D561-$C561+1)+18,"00"),"")&amp;IF($C561&gt;=20,", "&amp;$A561&amp;"-"&amp;TEXT(($D561-$C561+1)+19,"00"),"")&amp;IF($C561&gt;=21,", "&amp;$A561&amp;"-"&amp;TEXT(($D561-$C561+1)+20,"00"),"")&amp;IF($C561&gt;=22,", "&amp;$A561&amp;"-"&amp;TEXT(($D561-$C561+1)+21,"00"),"")&amp;IF($C561&gt;=23,", "&amp;$A561&amp;"-"&amp;TEXT(($D561-$C561+1)+22,"00"),"")&amp;IF($C561&gt;=24,", "&amp;$A561&amp;"-"&amp;TEXT(($D561-$C561+1)+23,"00"),"")&amp;IF($C561&gt;=25,", "&amp;$A561&amp;"-"&amp;TEXT(($D561-$C561+1)+24,"00"),""))</f>
        <v/>
      </c>
      <c r="G561">
        <f>IF($A561="","",IF($E561=1,$F561,IF($F561="",$G560,IF($G560="",$F561,$G560&amp;", "&amp;$F561))))</f>
        <v/>
      </c>
      <c r="H561">
        <f>IF($A561="","",$A561&amp;" ("&amp;$C561&amp;")")</f>
        <v/>
      </c>
      <c r="I561">
        <f>IF($A561="","",IF($E561=1,$H561,$I560&amp;", "&amp;$H561))</f>
        <v/>
      </c>
      <c r="J561">
        <f>IF($A561="","",IF($E561=1,$B561,""))</f>
        <v/>
      </c>
      <c r="K561">
        <f>IF($A561="","",IF(COUNTIF($B$2:$B561,$B561)=COUNTIF($B$2:$B$1601,$B561),$B561,""))</f>
        <v/>
      </c>
    </row>
    <row r="562">
      <c r="A562">
        <f>IF('TMP Paste'!$E562="","",'TMP Paste'!$E562)</f>
        <v/>
      </c>
      <c r="B562">
        <f>IF($A562="","",COUNTIF('TMP Paste'!$B$2:$B562,"?*"))</f>
        <v/>
      </c>
      <c r="C562">
        <f>IF($A562="","",IFERROR('TMP Paste'!$M562*1,0))</f>
        <v/>
      </c>
      <c r="D562">
        <f>IF($A562="","",SUMIF($B$2:$B562,$B562,$C$2:$C562))</f>
        <v/>
      </c>
      <c r="E562">
        <f>IF($A562="",0,IF('TMP Paste'!$B562="",0,1))</f>
        <v/>
      </c>
      <c r="F562">
        <f>IF(OR($A562="",$C562&lt;1),"",$A562&amp;"-"&amp;TEXT(($D562-$C562+1),"00")&amp;IF($C562&gt;=2,", "&amp;$A562&amp;"-"&amp;TEXT(($D562-$C562+1)+1,"00"),"")&amp;IF($C562&gt;=3,", "&amp;$A562&amp;"-"&amp;TEXT(($D562-$C562+1)+2,"00"),"")&amp;IF($C562&gt;=4,", "&amp;$A562&amp;"-"&amp;TEXT(($D562-$C562+1)+3,"00"),"")&amp;IF($C562&gt;=5,", "&amp;$A562&amp;"-"&amp;TEXT(($D562-$C562+1)+4,"00"),"")&amp;IF($C562&gt;=6,", "&amp;$A562&amp;"-"&amp;TEXT(($D562-$C562+1)+5,"00"),"")&amp;IF($C562&gt;=7,", "&amp;$A562&amp;"-"&amp;TEXT(($D562-$C562+1)+6,"00"),"")&amp;IF($C562&gt;=8,", "&amp;$A562&amp;"-"&amp;TEXT(($D562-$C562+1)+7,"00"),"")&amp;IF($C562&gt;=9,", "&amp;$A562&amp;"-"&amp;TEXT(($D562-$C562+1)+8,"00"),"")&amp;IF($C562&gt;=10,", "&amp;$A562&amp;"-"&amp;TEXT(($D562-$C562+1)+9,"00"),"")&amp;IF($C562&gt;=11,", "&amp;$A562&amp;"-"&amp;TEXT(($D562-$C562+1)+10,"00"),"")&amp;IF($C562&gt;=12,", "&amp;$A562&amp;"-"&amp;TEXT(($D562-$C562+1)+11,"00"),"")&amp;IF($C562&gt;=13,", "&amp;$A562&amp;"-"&amp;TEXT(($D562-$C562+1)+12,"00"),"")&amp;IF($C562&gt;=14,", "&amp;$A562&amp;"-"&amp;TEXT(($D562-$C562+1)+13,"00"),"")&amp;IF($C562&gt;=15,", "&amp;$A562&amp;"-"&amp;TEXT(($D562-$C562+1)+14,"00"),"")&amp;IF($C562&gt;=16,", "&amp;$A562&amp;"-"&amp;TEXT(($D562-$C562+1)+15,"00"),"")&amp;IF($C562&gt;=17,", "&amp;$A562&amp;"-"&amp;TEXT(($D562-$C562+1)+16,"00"),"")&amp;IF($C562&gt;=18,", "&amp;$A562&amp;"-"&amp;TEXT(($D562-$C562+1)+17,"00"),"")&amp;IF($C562&gt;=19,", "&amp;$A562&amp;"-"&amp;TEXT(($D562-$C562+1)+18,"00"),"")&amp;IF($C562&gt;=20,", "&amp;$A562&amp;"-"&amp;TEXT(($D562-$C562+1)+19,"00"),"")&amp;IF($C562&gt;=21,", "&amp;$A562&amp;"-"&amp;TEXT(($D562-$C562+1)+20,"00"),"")&amp;IF($C562&gt;=22,", "&amp;$A562&amp;"-"&amp;TEXT(($D562-$C562+1)+21,"00"),"")&amp;IF($C562&gt;=23,", "&amp;$A562&amp;"-"&amp;TEXT(($D562-$C562+1)+22,"00"),"")&amp;IF($C562&gt;=24,", "&amp;$A562&amp;"-"&amp;TEXT(($D562-$C562+1)+23,"00"),"")&amp;IF($C562&gt;=25,", "&amp;$A562&amp;"-"&amp;TEXT(($D562-$C562+1)+24,"00"),""))</f>
        <v/>
      </c>
      <c r="G562">
        <f>IF($A562="","",IF($E562=1,$F562,IF($F562="",$G561,IF($G561="",$F562,$G561&amp;", "&amp;$F562))))</f>
        <v/>
      </c>
      <c r="H562">
        <f>IF($A562="","",$A562&amp;" ("&amp;$C562&amp;")")</f>
        <v/>
      </c>
      <c r="I562">
        <f>IF($A562="","",IF($E562=1,$H562,$I561&amp;", "&amp;$H562))</f>
        <v/>
      </c>
      <c r="J562">
        <f>IF($A562="","",IF($E562=1,$B562,""))</f>
        <v/>
      </c>
      <c r="K562">
        <f>IF($A562="","",IF(COUNTIF($B$2:$B562,$B562)=COUNTIF($B$2:$B$1601,$B562),$B562,""))</f>
        <v/>
      </c>
    </row>
    <row r="563">
      <c r="A563">
        <f>IF('TMP Paste'!$E563="","",'TMP Paste'!$E563)</f>
        <v/>
      </c>
      <c r="B563">
        <f>IF($A563="","",COUNTIF('TMP Paste'!$B$2:$B563,"?*"))</f>
        <v/>
      </c>
      <c r="C563">
        <f>IF($A563="","",IFERROR('TMP Paste'!$M563*1,0))</f>
        <v/>
      </c>
      <c r="D563">
        <f>IF($A563="","",SUMIF($B$2:$B563,$B563,$C$2:$C563))</f>
        <v/>
      </c>
      <c r="E563">
        <f>IF($A563="",0,IF('TMP Paste'!$B563="",0,1))</f>
        <v/>
      </c>
      <c r="F563">
        <f>IF(OR($A563="",$C563&lt;1),"",$A563&amp;"-"&amp;TEXT(($D563-$C563+1),"00")&amp;IF($C563&gt;=2,", "&amp;$A563&amp;"-"&amp;TEXT(($D563-$C563+1)+1,"00"),"")&amp;IF($C563&gt;=3,", "&amp;$A563&amp;"-"&amp;TEXT(($D563-$C563+1)+2,"00"),"")&amp;IF($C563&gt;=4,", "&amp;$A563&amp;"-"&amp;TEXT(($D563-$C563+1)+3,"00"),"")&amp;IF($C563&gt;=5,", "&amp;$A563&amp;"-"&amp;TEXT(($D563-$C563+1)+4,"00"),"")&amp;IF($C563&gt;=6,", "&amp;$A563&amp;"-"&amp;TEXT(($D563-$C563+1)+5,"00"),"")&amp;IF($C563&gt;=7,", "&amp;$A563&amp;"-"&amp;TEXT(($D563-$C563+1)+6,"00"),"")&amp;IF($C563&gt;=8,", "&amp;$A563&amp;"-"&amp;TEXT(($D563-$C563+1)+7,"00"),"")&amp;IF($C563&gt;=9,", "&amp;$A563&amp;"-"&amp;TEXT(($D563-$C563+1)+8,"00"),"")&amp;IF($C563&gt;=10,", "&amp;$A563&amp;"-"&amp;TEXT(($D563-$C563+1)+9,"00"),"")&amp;IF($C563&gt;=11,", "&amp;$A563&amp;"-"&amp;TEXT(($D563-$C563+1)+10,"00"),"")&amp;IF($C563&gt;=12,", "&amp;$A563&amp;"-"&amp;TEXT(($D563-$C563+1)+11,"00"),"")&amp;IF($C563&gt;=13,", "&amp;$A563&amp;"-"&amp;TEXT(($D563-$C563+1)+12,"00"),"")&amp;IF($C563&gt;=14,", "&amp;$A563&amp;"-"&amp;TEXT(($D563-$C563+1)+13,"00"),"")&amp;IF($C563&gt;=15,", "&amp;$A563&amp;"-"&amp;TEXT(($D563-$C563+1)+14,"00"),"")&amp;IF($C563&gt;=16,", "&amp;$A563&amp;"-"&amp;TEXT(($D563-$C563+1)+15,"00"),"")&amp;IF($C563&gt;=17,", "&amp;$A563&amp;"-"&amp;TEXT(($D563-$C563+1)+16,"00"),"")&amp;IF($C563&gt;=18,", "&amp;$A563&amp;"-"&amp;TEXT(($D563-$C563+1)+17,"00"),"")&amp;IF($C563&gt;=19,", "&amp;$A563&amp;"-"&amp;TEXT(($D563-$C563+1)+18,"00"),"")&amp;IF($C563&gt;=20,", "&amp;$A563&amp;"-"&amp;TEXT(($D563-$C563+1)+19,"00"),"")&amp;IF($C563&gt;=21,", "&amp;$A563&amp;"-"&amp;TEXT(($D563-$C563+1)+20,"00"),"")&amp;IF($C563&gt;=22,", "&amp;$A563&amp;"-"&amp;TEXT(($D563-$C563+1)+21,"00"),"")&amp;IF($C563&gt;=23,", "&amp;$A563&amp;"-"&amp;TEXT(($D563-$C563+1)+22,"00"),"")&amp;IF($C563&gt;=24,", "&amp;$A563&amp;"-"&amp;TEXT(($D563-$C563+1)+23,"00"),"")&amp;IF($C563&gt;=25,", "&amp;$A563&amp;"-"&amp;TEXT(($D563-$C563+1)+24,"00"),""))</f>
        <v/>
      </c>
      <c r="G563">
        <f>IF($A563="","",IF($E563=1,$F563,IF($F563="",$G562,IF($G562="",$F563,$G562&amp;", "&amp;$F563))))</f>
        <v/>
      </c>
      <c r="H563">
        <f>IF($A563="","",$A563&amp;" ("&amp;$C563&amp;")")</f>
        <v/>
      </c>
      <c r="I563">
        <f>IF($A563="","",IF($E563=1,$H563,$I562&amp;", "&amp;$H563))</f>
        <v/>
      </c>
      <c r="J563">
        <f>IF($A563="","",IF($E563=1,$B563,""))</f>
        <v/>
      </c>
      <c r="K563">
        <f>IF($A563="","",IF(COUNTIF($B$2:$B563,$B563)=COUNTIF($B$2:$B$1601,$B563),$B563,""))</f>
        <v/>
      </c>
    </row>
    <row r="564">
      <c r="A564">
        <f>IF('TMP Paste'!$E564="","",'TMP Paste'!$E564)</f>
        <v/>
      </c>
      <c r="B564">
        <f>IF($A564="","",COUNTIF('TMP Paste'!$B$2:$B564,"?*"))</f>
        <v/>
      </c>
      <c r="C564">
        <f>IF($A564="","",IFERROR('TMP Paste'!$M564*1,0))</f>
        <v/>
      </c>
      <c r="D564">
        <f>IF($A564="","",SUMIF($B$2:$B564,$B564,$C$2:$C564))</f>
        <v/>
      </c>
      <c r="E564">
        <f>IF($A564="",0,IF('TMP Paste'!$B564="",0,1))</f>
        <v/>
      </c>
      <c r="F564">
        <f>IF(OR($A564="",$C564&lt;1),"",$A564&amp;"-"&amp;TEXT(($D564-$C564+1),"00")&amp;IF($C564&gt;=2,", "&amp;$A564&amp;"-"&amp;TEXT(($D564-$C564+1)+1,"00"),"")&amp;IF($C564&gt;=3,", "&amp;$A564&amp;"-"&amp;TEXT(($D564-$C564+1)+2,"00"),"")&amp;IF($C564&gt;=4,", "&amp;$A564&amp;"-"&amp;TEXT(($D564-$C564+1)+3,"00"),"")&amp;IF($C564&gt;=5,", "&amp;$A564&amp;"-"&amp;TEXT(($D564-$C564+1)+4,"00"),"")&amp;IF($C564&gt;=6,", "&amp;$A564&amp;"-"&amp;TEXT(($D564-$C564+1)+5,"00"),"")&amp;IF($C564&gt;=7,", "&amp;$A564&amp;"-"&amp;TEXT(($D564-$C564+1)+6,"00"),"")&amp;IF($C564&gt;=8,", "&amp;$A564&amp;"-"&amp;TEXT(($D564-$C564+1)+7,"00"),"")&amp;IF($C564&gt;=9,", "&amp;$A564&amp;"-"&amp;TEXT(($D564-$C564+1)+8,"00"),"")&amp;IF($C564&gt;=10,", "&amp;$A564&amp;"-"&amp;TEXT(($D564-$C564+1)+9,"00"),"")&amp;IF($C564&gt;=11,", "&amp;$A564&amp;"-"&amp;TEXT(($D564-$C564+1)+10,"00"),"")&amp;IF($C564&gt;=12,", "&amp;$A564&amp;"-"&amp;TEXT(($D564-$C564+1)+11,"00"),"")&amp;IF($C564&gt;=13,", "&amp;$A564&amp;"-"&amp;TEXT(($D564-$C564+1)+12,"00"),"")&amp;IF($C564&gt;=14,", "&amp;$A564&amp;"-"&amp;TEXT(($D564-$C564+1)+13,"00"),"")&amp;IF($C564&gt;=15,", "&amp;$A564&amp;"-"&amp;TEXT(($D564-$C564+1)+14,"00"),"")&amp;IF($C564&gt;=16,", "&amp;$A564&amp;"-"&amp;TEXT(($D564-$C564+1)+15,"00"),"")&amp;IF($C564&gt;=17,", "&amp;$A564&amp;"-"&amp;TEXT(($D564-$C564+1)+16,"00"),"")&amp;IF($C564&gt;=18,", "&amp;$A564&amp;"-"&amp;TEXT(($D564-$C564+1)+17,"00"),"")&amp;IF($C564&gt;=19,", "&amp;$A564&amp;"-"&amp;TEXT(($D564-$C564+1)+18,"00"),"")&amp;IF($C564&gt;=20,", "&amp;$A564&amp;"-"&amp;TEXT(($D564-$C564+1)+19,"00"),"")&amp;IF($C564&gt;=21,", "&amp;$A564&amp;"-"&amp;TEXT(($D564-$C564+1)+20,"00"),"")&amp;IF($C564&gt;=22,", "&amp;$A564&amp;"-"&amp;TEXT(($D564-$C564+1)+21,"00"),"")&amp;IF($C564&gt;=23,", "&amp;$A564&amp;"-"&amp;TEXT(($D564-$C564+1)+22,"00"),"")&amp;IF($C564&gt;=24,", "&amp;$A564&amp;"-"&amp;TEXT(($D564-$C564+1)+23,"00"),"")&amp;IF($C564&gt;=25,", "&amp;$A564&amp;"-"&amp;TEXT(($D564-$C564+1)+24,"00"),""))</f>
        <v/>
      </c>
      <c r="G564">
        <f>IF($A564="","",IF($E564=1,$F564,IF($F564="",$G563,IF($G563="",$F564,$G563&amp;", "&amp;$F564))))</f>
        <v/>
      </c>
      <c r="H564">
        <f>IF($A564="","",$A564&amp;" ("&amp;$C564&amp;")")</f>
        <v/>
      </c>
      <c r="I564">
        <f>IF($A564="","",IF($E564=1,$H564,$I563&amp;", "&amp;$H564))</f>
        <v/>
      </c>
      <c r="J564">
        <f>IF($A564="","",IF($E564=1,$B564,""))</f>
        <v/>
      </c>
      <c r="K564">
        <f>IF($A564="","",IF(COUNTIF($B$2:$B564,$B564)=COUNTIF($B$2:$B$1601,$B564),$B564,""))</f>
        <v/>
      </c>
    </row>
    <row r="565">
      <c r="A565">
        <f>IF('TMP Paste'!$E565="","",'TMP Paste'!$E565)</f>
        <v/>
      </c>
      <c r="B565">
        <f>IF($A565="","",COUNTIF('TMP Paste'!$B$2:$B565,"?*"))</f>
        <v/>
      </c>
      <c r="C565">
        <f>IF($A565="","",IFERROR('TMP Paste'!$M565*1,0))</f>
        <v/>
      </c>
      <c r="D565">
        <f>IF($A565="","",SUMIF($B$2:$B565,$B565,$C$2:$C565))</f>
        <v/>
      </c>
      <c r="E565">
        <f>IF($A565="",0,IF('TMP Paste'!$B565="",0,1))</f>
        <v/>
      </c>
      <c r="F565">
        <f>IF(OR($A565="",$C565&lt;1),"",$A565&amp;"-"&amp;TEXT(($D565-$C565+1),"00")&amp;IF($C565&gt;=2,", "&amp;$A565&amp;"-"&amp;TEXT(($D565-$C565+1)+1,"00"),"")&amp;IF($C565&gt;=3,", "&amp;$A565&amp;"-"&amp;TEXT(($D565-$C565+1)+2,"00"),"")&amp;IF($C565&gt;=4,", "&amp;$A565&amp;"-"&amp;TEXT(($D565-$C565+1)+3,"00"),"")&amp;IF($C565&gt;=5,", "&amp;$A565&amp;"-"&amp;TEXT(($D565-$C565+1)+4,"00"),"")&amp;IF($C565&gt;=6,", "&amp;$A565&amp;"-"&amp;TEXT(($D565-$C565+1)+5,"00"),"")&amp;IF($C565&gt;=7,", "&amp;$A565&amp;"-"&amp;TEXT(($D565-$C565+1)+6,"00"),"")&amp;IF($C565&gt;=8,", "&amp;$A565&amp;"-"&amp;TEXT(($D565-$C565+1)+7,"00"),"")&amp;IF($C565&gt;=9,", "&amp;$A565&amp;"-"&amp;TEXT(($D565-$C565+1)+8,"00"),"")&amp;IF($C565&gt;=10,", "&amp;$A565&amp;"-"&amp;TEXT(($D565-$C565+1)+9,"00"),"")&amp;IF($C565&gt;=11,", "&amp;$A565&amp;"-"&amp;TEXT(($D565-$C565+1)+10,"00"),"")&amp;IF($C565&gt;=12,", "&amp;$A565&amp;"-"&amp;TEXT(($D565-$C565+1)+11,"00"),"")&amp;IF($C565&gt;=13,", "&amp;$A565&amp;"-"&amp;TEXT(($D565-$C565+1)+12,"00"),"")&amp;IF($C565&gt;=14,", "&amp;$A565&amp;"-"&amp;TEXT(($D565-$C565+1)+13,"00"),"")&amp;IF($C565&gt;=15,", "&amp;$A565&amp;"-"&amp;TEXT(($D565-$C565+1)+14,"00"),"")&amp;IF($C565&gt;=16,", "&amp;$A565&amp;"-"&amp;TEXT(($D565-$C565+1)+15,"00"),"")&amp;IF($C565&gt;=17,", "&amp;$A565&amp;"-"&amp;TEXT(($D565-$C565+1)+16,"00"),"")&amp;IF($C565&gt;=18,", "&amp;$A565&amp;"-"&amp;TEXT(($D565-$C565+1)+17,"00"),"")&amp;IF($C565&gt;=19,", "&amp;$A565&amp;"-"&amp;TEXT(($D565-$C565+1)+18,"00"),"")&amp;IF($C565&gt;=20,", "&amp;$A565&amp;"-"&amp;TEXT(($D565-$C565+1)+19,"00"),"")&amp;IF($C565&gt;=21,", "&amp;$A565&amp;"-"&amp;TEXT(($D565-$C565+1)+20,"00"),"")&amp;IF($C565&gt;=22,", "&amp;$A565&amp;"-"&amp;TEXT(($D565-$C565+1)+21,"00"),"")&amp;IF($C565&gt;=23,", "&amp;$A565&amp;"-"&amp;TEXT(($D565-$C565+1)+22,"00"),"")&amp;IF($C565&gt;=24,", "&amp;$A565&amp;"-"&amp;TEXT(($D565-$C565+1)+23,"00"),"")&amp;IF($C565&gt;=25,", "&amp;$A565&amp;"-"&amp;TEXT(($D565-$C565+1)+24,"00"),""))</f>
        <v/>
      </c>
      <c r="G565">
        <f>IF($A565="","",IF($E565=1,$F565,IF($F565="",$G564,IF($G564="",$F565,$G564&amp;", "&amp;$F565))))</f>
        <v/>
      </c>
      <c r="H565">
        <f>IF($A565="","",$A565&amp;" ("&amp;$C565&amp;")")</f>
        <v/>
      </c>
      <c r="I565">
        <f>IF($A565="","",IF($E565=1,$H565,$I564&amp;", "&amp;$H565))</f>
        <v/>
      </c>
      <c r="J565">
        <f>IF($A565="","",IF($E565=1,$B565,""))</f>
        <v/>
      </c>
      <c r="K565">
        <f>IF($A565="","",IF(COUNTIF($B$2:$B565,$B565)=COUNTIF($B$2:$B$1601,$B565),$B565,""))</f>
        <v/>
      </c>
    </row>
    <row r="566">
      <c r="A566">
        <f>IF('TMP Paste'!$E566="","",'TMP Paste'!$E566)</f>
        <v/>
      </c>
      <c r="B566">
        <f>IF($A566="","",COUNTIF('TMP Paste'!$B$2:$B566,"?*"))</f>
        <v/>
      </c>
      <c r="C566">
        <f>IF($A566="","",IFERROR('TMP Paste'!$M566*1,0))</f>
        <v/>
      </c>
      <c r="D566">
        <f>IF($A566="","",SUMIF($B$2:$B566,$B566,$C$2:$C566))</f>
        <v/>
      </c>
      <c r="E566">
        <f>IF($A566="",0,IF('TMP Paste'!$B566="",0,1))</f>
        <v/>
      </c>
      <c r="F566">
        <f>IF(OR($A566="",$C566&lt;1),"",$A566&amp;"-"&amp;TEXT(($D566-$C566+1),"00")&amp;IF($C566&gt;=2,", "&amp;$A566&amp;"-"&amp;TEXT(($D566-$C566+1)+1,"00"),"")&amp;IF($C566&gt;=3,", "&amp;$A566&amp;"-"&amp;TEXT(($D566-$C566+1)+2,"00"),"")&amp;IF($C566&gt;=4,", "&amp;$A566&amp;"-"&amp;TEXT(($D566-$C566+1)+3,"00"),"")&amp;IF($C566&gt;=5,", "&amp;$A566&amp;"-"&amp;TEXT(($D566-$C566+1)+4,"00"),"")&amp;IF($C566&gt;=6,", "&amp;$A566&amp;"-"&amp;TEXT(($D566-$C566+1)+5,"00"),"")&amp;IF($C566&gt;=7,", "&amp;$A566&amp;"-"&amp;TEXT(($D566-$C566+1)+6,"00"),"")&amp;IF($C566&gt;=8,", "&amp;$A566&amp;"-"&amp;TEXT(($D566-$C566+1)+7,"00"),"")&amp;IF($C566&gt;=9,", "&amp;$A566&amp;"-"&amp;TEXT(($D566-$C566+1)+8,"00"),"")&amp;IF($C566&gt;=10,", "&amp;$A566&amp;"-"&amp;TEXT(($D566-$C566+1)+9,"00"),"")&amp;IF($C566&gt;=11,", "&amp;$A566&amp;"-"&amp;TEXT(($D566-$C566+1)+10,"00"),"")&amp;IF($C566&gt;=12,", "&amp;$A566&amp;"-"&amp;TEXT(($D566-$C566+1)+11,"00"),"")&amp;IF($C566&gt;=13,", "&amp;$A566&amp;"-"&amp;TEXT(($D566-$C566+1)+12,"00"),"")&amp;IF($C566&gt;=14,", "&amp;$A566&amp;"-"&amp;TEXT(($D566-$C566+1)+13,"00"),"")&amp;IF($C566&gt;=15,", "&amp;$A566&amp;"-"&amp;TEXT(($D566-$C566+1)+14,"00"),"")&amp;IF($C566&gt;=16,", "&amp;$A566&amp;"-"&amp;TEXT(($D566-$C566+1)+15,"00"),"")&amp;IF($C566&gt;=17,", "&amp;$A566&amp;"-"&amp;TEXT(($D566-$C566+1)+16,"00"),"")&amp;IF($C566&gt;=18,", "&amp;$A566&amp;"-"&amp;TEXT(($D566-$C566+1)+17,"00"),"")&amp;IF($C566&gt;=19,", "&amp;$A566&amp;"-"&amp;TEXT(($D566-$C566+1)+18,"00"),"")&amp;IF($C566&gt;=20,", "&amp;$A566&amp;"-"&amp;TEXT(($D566-$C566+1)+19,"00"),"")&amp;IF($C566&gt;=21,", "&amp;$A566&amp;"-"&amp;TEXT(($D566-$C566+1)+20,"00"),"")&amp;IF($C566&gt;=22,", "&amp;$A566&amp;"-"&amp;TEXT(($D566-$C566+1)+21,"00"),"")&amp;IF($C566&gt;=23,", "&amp;$A566&amp;"-"&amp;TEXT(($D566-$C566+1)+22,"00"),"")&amp;IF($C566&gt;=24,", "&amp;$A566&amp;"-"&amp;TEXT(($D566-$C566+1)+23,"00"),"")&amp;IF($C566&gt;=25,", "&amp;$A566&amp;"-"&amp;TEXT(($D566-$C566+1)+24,"00"),""))</f>
        <v/>
      </c>
      <c r="G566">
        <f>IF($A566="","",IF($E566=1,$F566,IF($F566="",$G565,IF($G565="",$F566,$G565&amp;", "&amp;$F566))))</f>
        <v/>
      </c>
      <c r="H566">
        <f>IF($A566="","",$A566&amp;" ("&amp;$C566&amp;")")</f>
        <v/>
      </c>
      <c r="I566">
        <f>IF($A566="","",IF($E566=1,$H566,$I565&amp;", "&amp;$H566))</f>
        <v/>
      </c>
      <c r="J566">
        <f>IF($A566="","",IF($E566=1,$B566,""))</f>
        <v/>
      </c>
      <c r="K566">
        <f>IF($A566="","",IF(COUNTIF($B$2:$B566,$B566)=COUNTIF($B$2:$B$1601,$B566),$B566,""))</f>
        <v/>
      </c>
    </row>
    <row r="567">
      <c r="A567">
        <f>IF('TMP Paste'!$E567="","",'TMP Paste'!$E567)</f>
        <v/>
      </c>
      <c r="B567">
        <f>IF($A567="","",COUNTIF('TMP Paste'!$B$2:$B567,"?*"))</f>
        <v/>
      </c>
      <c r="C567">
        <f>IF($A567="","",IFERROR('TMP Paste'!$M567*1,0))</f>
        <v/>
      </c>
      <c r="D567">
        <f>IF($A567="","",SUMIF($B$2:$B567,$B567,$C$2:$C567))</f>
        <v/>
      </c>
      <c r="E567">
        <f>IF($A567="",0,IF('TMP Paste'!$B567="",0,1))</f>
        <v/>
      </c>
      <c r="F567">
        <f>IF(OR($A567="",$C567&lt;1),"",$A567&amp;"-"&amp;TEXT(($D567-$C567+1),"00")&amp;IF($C567&gt;=2,", "&amp;$A567&amp;"-"&amp;TEXT(($D567-$C567+1)+1,"00"),"")&amp;IF($C567&gt;=3,", "&amp;$A567&amp;"-"&amp;TEXT(($D567-$C567+1)+2,"00"),"")&amp;IF($C567&gt;=4,", "&amp;$A567&amp;"-"&amp;TEXT(($D567-$C567+1)+3,"00"),"")&amp;IF($C567&gt;=5,", "&amp;$A567&amp;"-"&amp;TEXT(($D567-$C567+1)+4,"00"),"")&amp;IF($C567&gt;=6,", "&amp;$A567&amp;"-"&amp;TEXT(($D567-$C567+1)+5,"00"),"")&amp;IF($C567&gt;=7,", "&amp;$A567&amp;"-"&amp;TEXT(($D567-$C567+1)+6,"00"),"")&amp;IF($C567&gt;=8,", "&amp;$A567&amp;"-"&amp;TEXT(($D567-$C567+1)+7,"00"),"")&amp;IF($C567&gt;=9,", "&amp;$A567&amp;"-"&amp;TEXT(($D567-$C567+1)+8,"00"),"")&amp;IF($C567&gt;=10,", "&amp;$A567&amp;"-"&amp;TEXT(($D567-$C567+1)+9,"00"),"")&amp;IF($C567&gt;=11,", "&amp;$A567&amp;"-"&amp;TEXT(($D567-$C567+1)+10,"00"),"")&amp;IF($C567&gt;=12,", "&amp;$A567&amp;"-"&amp;TEXT(($D567-$C567+1)+11,"00"),"")&amp;IF($C567&gt;=13,", "&amp;$A567&amp;"-"&amp;TEXT(($D567-$C567+1)+12,"00"),"")&amp;IF($C567&gt;=14,", "&amp;$A567&amp;"-"&amp;TEXT(($D567-$C567+1)+13,"00"),"")&amp;IF($C567&gt;=15,", "&amp;$A567&amp;"-"&amp;TEXT(($D567-$C567+1)+14,"00"),"")&amp;IF($C567&gt;=16,", "&amp;$A567&amp;"-"&amp;TEXT(($D567-$C567+1)+15,"00"),"")&amp;IF($C567&gt;=17,", "&amp;$A567&amp;"-"&amp;TEXT(($D567-$C567+1)+16,"00"),"")&amp;IF($C567&gt;=18,", "&amp;$A567&amp;"-"&amp;TEXT(($D567-$C567+1)+17,"00"),"")&amp;IF($C567&gt;=19,", "&amp;$A567&amp;"-"&amp;TEXT(($D567-$C567+1)+18,"00"),"")&amp;IF($C567&gt;=20,", "&amp;$A567&amp;"-"&amp;TEXT(($D567-$C567+1)+19,"00"),"")&amp;IF($C567&gt;=21,", "&amp;$A567&amp;"-"&amp;TEXT(($D567-$C567+1)+20,"00"),"")&amp;IF($C567&gt;=22,", "&amp;$A567&amp;"-"&amp;TEXT(($D567-$C567+1)+21,"00"),"")&amp;IF($C567&gt;=23,", "&amp;$A567&amp;"-"&amp;TEXT(($D567-$C567+1)+22,"00"),"")&amp;IF($C567&gt;=24,", "&amp;$A567&amp;"-"&amp;TEXT(($D567-$C567+1)+23,"00"),"")&amp;IF($C567&gt;=25,", "&amp;$A567&amp;"-"&amp;TEXT(($D567-$C567+1)+24,"00"),""))</f>
        <v/>
      </c>
      <c r="G567">
        <f>IF($A567="","",IF($E567=1,$F567,IF($F567="",$G566,IF($G566="",$F567,$G566&amp;", "&amp;$F567))))</f>
        <v/>
      </c>
      <c r="H567">
        <f>IF($A567="","",$A567&amp;" ("&amp;$C567&amp;")")</f>
        <v/>
      </c>
      <c r="I567">
        <f>IF($A567="","",IF($E567=1,$H567,$I566&amp;", "&amp;$H567))</f>
        <v/>
      </c>
      <c r="J567">
        <f>IF($A567="","",IF($E567=1,$B567,""))</f>
        <v/>
      </c>
      <c r="K567">
        <f>IF($A567="","",IF(COUNTIF($B$2:$B567,$B567)=COUNTIF($B$2:$B$1601,$B567),$B567,""))</f>
        <v/>
      </c>
    </row>
    <row r="568">
      <c r="A568">
        <f>IF('TMP Paste'!$E568="","",'TMP Paste'!$E568)</f>
        <v/>
      </c>
      <c r="B568">
        <f>IF($A568="","",COUNTIF('TMP Paste'!$B$2:$B568,"?*"))</f>
        <v/>
      </c>
      <c r="C568">
        <f>IF($A568="","",IFERROR('TMP Paste'!$M568*1,0))</f>
        <v/>
      </c>
      <c r="D568">
        <f>IF($A568="","",SUMIF($B$2:$B568,$B568,$C$2:$C568))</f>
        <v/>
      </c>
      <c r="E568">
        <f>IF($A568="",0,IF('TMP Paste'!$B568="",0,1))</f>
        <v/>
      </c>
      <c r="F568">
        <f>IF(OR($A568="",$C568&lt;1),"",$A568&amp;"-"&amp;TEXT(($D568-$C568+1),"00")&amp;IF($C568&gt;=2,", "&amp;$A568&amp;"-"&amp;TEXT(($D568-$C568+1)+1,"00"),"")&amp;IF($C568&gt;=3,", "&amp;$A568&amp;"-"&amp;TEXT(($D568-$C568+1)+2,"00"),"")&amp;IF($C568&gt;=4,", "&amp;$A568&amp;"-"&amp;TEXT(($D568-$C568+1)+3,"00"),"")&amp;IF($C568&gt;=5,", "&amp;$A568&amp;"-"&amp;TEXT(($D568-$C568+1)+4,"00"),"")&amp;IF($C568&gt;=6,", "&amp;$A568&amp;"-"&amp;TEXT(($D568-$C568+1)+5,"00"),"")&amp;IF($C568&gt;=7,", "&amp;$A568&amp;"-"&amp;TEXT(($D568-$C568+1)+6,"00"),"")&amp;IF($C568&gt;=8,", "&amp;$A568&amp;"-"&amp;TEXT(($D568-$C568+1)+7,"00"),"")&amp;IF($C568&gt;=9,", "&amp;$A568&amp;"-"&amp;TEXT(($D568-$C568+1)+8,"00"),"")&amp;IF($C568&gt;=10,", "&amp;$A568&amp;"-"&amp;TEXT(($D568-$C568+1)+9,"00"),"")&amp;IF($C568&gt;=11,", "&amp;$A568&amp;"-"&amp;TEXT(($D568-$C568+1)+10,"00"),"")&amp;IF($C568&gt;=12,", "&amp;$A568&amp;"-"&amp;TEXT(($D568-$C568+1)+11,"00"),"")&amp;IF($C568&gt;=13,", "&amp;$A568&amp;"-"&amp;TEXT(($D568-$C568+1)+12,"00"),"")&amp;IF($C568&gt;=14,", "&amp;$A568&amp;"-"&amp;TEXT(($D568-$C568+1)+13,"00"),"")&amp;IF($C568&gt;=15,", "&amp;$A568&amp;"-"&amp;TEXT(($D568-$C568+1)+14,"00"),"")&amp;IF($C568&gt;=16,", "&amp;$A568&amp;"-"&amp;TEXT(($D568-$C568+1)+15,"00"),"")&amp;IF($C568&gt;=17,", "&amp;$A568&amp;"-"&amp;TEXT(($D568-$C568+1)+16,"00"),"")&amp;IF($C568&gt;=18,", "&amp;$A568&amp;"-"&amp;TEXT(($D568-$C568+1)+17,"00"),"")&amp;IF($C568&gt;=19,", "&amp;$A568&amp;"-"&amp;TEXT(($D568-$C568+1)+18,"00"),"")&amp;IF($C568&gt;=20,", "&amp;$A568&amp;"-"&amp;TEXT(($D568-$C568+1)+19,"00"),"")&amp;IF($C568&gt;=21,", "&amp;$A568&amp;"-"&amp;TEXT(($D568-$C568+1)+20,"00"),"")&amp;IF($C568&gt;=22,", "&amp;$A568&amp;"-"&amp;TEXT(($D568-$C568+1)+21,"00"),"")&amp;IF($C568&gt;=23,", "&amp;$A568&amp;"-"&amp;TEXT(($D568-$C568+1)+22,"00"),"")&amp;IF($C568&gt;=24,", "&amp;$A568&amp;"-"&amp;TEXT(($D568-$C568+1)+23,"00"),"")&amp;IF($C568&gt;=25,", "&amp;$A568&amp;"-"&amp;TEXT(($D568-$C568+1)+24,"00"),""))</f>
        <v/>
      </c>
      <c r="G568">
        <f>IF($A568="","",IF($E568=1,$F568,IF($F568="",$G567,IF($G567="",$F568,$G567&amp;", "&amp;$F568))))</f>
        <v/>
      </c>
      <c r="H568">
        <f>IF($A568="","",$A568&amp;" ("&amp;$C568&amp;")")</f>
        <v/>
      </c>
      <c r="I568">
        <f>IF($A568="","",IF($E568=1,$H568,$I567&amp;", "&amp;$H568))</f>
        <v/>
      </c>
      <c r="J568">
        <f>IF($A568="","",IF($E568=1,$B568,""))</f>
        <v/>
      </c>
      <c r="K568">
        <f>IF($A568="","",IF(COUNTIF($B$2:$B568,$B568)=COUNTIF($B$2:$B$1601,$B568),$B568,""))</f>
        <v/>
      </c>
    </row>
    <row r="569">
      <c r="A569">
        <f>IF('TMP Paste'!$E569="","",'TMP Paste'!$E569)</f>
        <v/>
      </c>
      <c r="B569">
        <f>IF($A569="","",COUNTIF('TMP Paste'!$B$2:$B569,"?*"))</f>
        <v/>
      </c>
      <c r="C569">
        <f>IF($A569="","",IFERROR('TMP Paste'!$M569*1,0))</f>
        <v/>
      </c>
      <c r="D569">
        <f>IF($A569="","",SUMIF($B$2:$B569,$B569,$C$2:$C569))</f>
        <v/>
      </c>
      <c r="E569">
        <f>IF($A569="",0,IF('TMP Paste'!$B569="",0,1))</f>
        <v/>
      </c>
      <c r="F569">
        <f>IF(OR($A569="",$C569&lt;1),"",$A569&amp;"-"&amp;TEXT(($D569-$C569+1),"00")&amp;IF($C569&gt;=2,", "&amp;$A569&amp;"-"&amp;TEXT(($D569-$C569+1)+1,"00"),"")&amp;IF($C569&gt;=3,", "&amp;$A569&amp;"-"&amp;TEXT(($D569-$C569+1)+2,"00"),"")&amp;IF($C569&gt;=4,", "&amp;$A569&amp;"-"&amp;TEXT(($D569-$C569+1)+3,"00"),"")&amp;IF($C569&gt;=5,", "&amp;$A569&amp;"-"&amp;TEXT(($D569-$C569+1)+4,"00"),"")&amp;IF($C569&gt;=6,", "&amp;$A569&amp;"-"&amp;TEXT(($D569-$C569+1)+5,"00"),"")&amp;IF($C569&gt;=7,", "&amp;$A569&amp;"-"&amp;TEXT(($D569-$C569+1)+6,"00"),"")&amp;IF($C569&gt;=8,", "&amp;$A569&amp;"-"&amp;TEXT(($D569-$C569+1)+7,"00"),"")&amp;IF($C569&gt;=9,", "&amp;$A569&amp;"-"&amp;TEXT(($D569-$C569+1)+8,"00"),"")&amp;IF($C569&gt;=10,", "&amp;$A569&amp;"-"&amp;TEXT(($D569-$C569+1)+9,"00"),"")&amp;IF($C569&gt;=11,", "&amp;$A569&amp;"-"&amp;TEXT(($D569-$C569+1)+10,"00"),"")&amp;IF($C569&gt;=12,", "&amp;$A569&amp;"-"&amp;TEXT(($D569-$C569+1)+11,"00"),"")&amp;IF($C569&gt;=13,", "&amp;$A569&amp;"-"&amp;TEXT(($D569-$C569+1)+12,"00"),"")&amp;IF($C569&gt;=14,", "&amp;$A569&amp;"-"&amp;TEXT(($D569-$C569+1)+13,"00"),"")&amp;IF($C569&gt;=15,", "&amp;$A569&amp;"-"&amp;TEXT(($D569-$C569+1)+14,"00"),"")&amp;IF($C569&gt;=16,", "&amp;$A569&amp;"-"&amp;TEXT(($D569-$C569+1)+15,"00"),"")&amp;IF($C569&gt;=17,", "&amp;$A569&amp;"-"&amp;TEXT(($D569-$C569+1)+16,"00"),"")&amp;IF($C569&gt;=18,", "&amp;$A569&amp;"-"&amp;TEXT(($D569-$C569+1)+17,"00"),"")&amp;IF($C569&gt;=19,", "&amp;$A569&amp;"-"&amp;TEXT(($D569-$C569+1)+18,"00"),"")&amp;IF($C569&gt;=20,", "&amp;$A569&amp;"-"&amp;TEXT(($D569-$C569+1)+19,"00"),"")&amp;IF($C569&gt;=21,", "&amp;$A569&amp;"-"&amp;TEXT(($D569-$C569+1)+20,"00"),"")&amp;IF($C569&gt;=22,", "&amp;$A569&amp;"-"&amp;TEXT(($D569-$C569+1)+21,"00"),"")&amp;IF($C569&gt;=23,", "&amp;$A569&amp;"-"&amp;TEXT(($D569-$C569+1)+22,"00"),"")&amp;IF($C569&gt;=24,", "&amp;$A569&amp;"-"&amp;TEXT(($D569-$C569+1)+23,"00"),"")&amp;IF($C569&gt;=25,", "&amp;$A569&amp;"-"&amp;TEXT(($D569-$C569+1)+24,"00"),""))</f>
        <v/>
      </c>
      <c r="G569">
        <f>IF($A569="","",IF($E569=1,$F569,IF($F569="",$G568,IF($G568="",$F569,$G568&amp;", "&amp;$F569))))</f>
        <v/>
      </c>
      <c r="H569">
        <f>IF($A569="","",$A569&amp;" ("&amp;$C569&amp;")")</f>
        <v/>
      </c>
      <c r="I569">
        <f>IF($A569="","",IF($E569=1,$H569,$I568&amp;", "&amp;$H569))</f>
        <v/>
      </c>
      <c r="J569">
        <f>IF($A569="","",IF($E569=1,$B569,""))</f>
        <v/>
      </c>
      <c r="K569">
        <f>IF($A569="","",IF(COUNTIF($B$2:$B569,$B569)=COUNTIF($B$2:$B$1601,$B569),$B569,""))</f>
        <v/>
      </c>
    </row>
    <row r="570">
      <c r="A570">
        <f>IF('TMP Paste'!$E570="","",'TMP Paste'!$E570)</f>
        <v/>
      </c>
      <c r="B570">
        <f>IF($A570="","",COUNTIF('TMP Paste'!$B$2:$B570,"?*"))</f>
        <v/>
      </c>
      <c r="C570">
        <f>IF($A570="","",IFERROR('TMP Paste'!$M570*1,0))</f>
        <v/>
      </c>
      <c r="D570">
        <f>IF($A570="","",SUMIF($B$2:$B570,$B570,$C$2:$C570))</f>
        <v/>
      </c>
      <c r="E570">
        <f>IF($A570="",0,IF('TMP Paste'!$B570="",0,1))</f>
        <v/>
      </c>
      <c r="F570">
        <f>IF(OR($A570="",$C570&lt;1),"",$A570&amp;"-"&amp;TEXT(($D570-$C570+1),"00")&amp;IF($C570&gt;=2,", "&amp;$A570&amp;"-"&amp;TEXT(($D570-$C570+1)+1,"00"),"")&amp;IF($C570&gt;=3,", "&amp;$A570&amp;"-"&amp;TEXT(($D570-$C570+1)+2,"00"),"")&amp;IF($C570&gt;=4,", "&amp;$A570&amp;"-"&amp;TEXT(($D570-$C570+1)+3,"00"),"")&amp;IF($C570&gt;=5,", "&amp;$A570&amp;"-"&amp;TEXT(($D570-$C570+1)+4,"00"),"")&amp;IF($C570&gt;=6,", "&amp;$A570&amp;"-"&amp;TEXT(($D570-$C570+1)+5,"00"),"")&amp;IF($C570&gt;=7,", "&amp;$A570&amp;"-"&amp;TEXT(($D570-$C570+1)+6,"00"),"")&amp;IF($C570&gt;=8,", "&amp;$A570&amp;"-"&amp;TEXT(($D570-$C570+1)+7,"00"),"")&amp;IF($C570&gt;=9,", "&amp;$A570&amp;"-"&amp;TEXT(($D570-$C570+1)+8,"00"),"")&amp;IF($C570&gt;=10,", "&amp;$A570&amp;"-"&amp;TEXT(($D570-$C570+1)+9,"00"),"")&amp;IF($C570&gt;=11,", "&amp;$A570&amp;"-"&amp;TEXT(($D570-$C570+1)+10,"00"),"")&amp;IF($C570&gt;=12,", "&amp;$A570&amp;"-"&amp;TEXT(($D570-$C570+1)+11,"00"),"")&amp;IF($C570&gt;=13,", "&amp;$A570&amp;"-"&amp;TEXT(($D570-$C570+1)+12,"00"),"")&amp;IF($C570&gt;=14,", "&amp;$A570&amp;"-"&amp;TEXT(($D570-$C570+1)+13,"00"),"")&amp;IF($C570&gt;=15,", "&amp;$A570&amp;"-"&amp;TEXT(($D570-$C570+1)+14,"00"),"")&amp;IF($C570&gt;=16,", "&amp;$A570&amp;"-"&amp;TEXT(($D570-$C570+1)+15,"00"),"")&amp;IF($C570&gt;=17,", "&amp;$A570&amp;"-"&amp;TEXT(($D570-$C570+1)+16,"00"),"")&amp;IF($C570&gt;=18,", "&amp;$A570&amp;"-"&amp;TEXT(($D570-$C570+1)+17,"00"),"")&amp;IF($C570&gt;=19,", "&amp;$A570&amp;"-"&amp;TEXT(($D570-$C570+1)+18,"00"),"")&amp;IF($C570&gt;=20,", "&amp;$A570&amp;"-"&amp;TEXT(($D570-$C570+1)+19,"00"),"")&amp;IF($C570&gt;=21,", "&amp;$A570&amp;"-"&amp;TEXT(($D570-$C570+1)+20,"00"),"")&amp;IF($C570&gt;=22,", "&amp;$A570&amp;"-"&amp;TEXT(($D570-$C570+1)+21,"00"),"")&amp;IF($C570&gt;=23,", "&amp;$A570&amp;"-"&amp;TEXT(($D570-$C570+1)+22,"00"),"")&amp;IF($C570&gt;=24,", "&amp;$A570&amp;"-"&amp;TEXT(($D570-$C570+1)+23,"00"),"")&amp;IF($C570&gt;=25,", "&amp;$A570&amp;"-"&amp;TEXT(($D570-$C570+1)+24,"00"),""))</f>
        <v/>
      </c>
      <c r="G570">
        <f>IF($A570="","",IF($E570=1,$F570,IF($F570="",$G569,IF($G569="",$F570,$G569&amp;", "&amp;$F570))))</f>
        <v/>
      </c>
      <c r="H570">
        <f>IF($A570="","",$A570&amp;" ("&amp;$C570&amp;")")</f>
        <v/>
      </c>
      <c r="I570">
        <f>IF($A570="","",IF($E570=1,$H570,$I569&amp;", "&amp;$H570))</f>
        <v/>
      </c>
      <c r="J570">
        <f>IF($A570="","",IF($E570=1,$B570,""))</f>
        <v/>
      </c>
      <c r="K570">
        <f>IF($A570="","",IF(COUNTIF($B$2:$B570,$B570)=COUNTIF($B$2:$B$1601,$B570),$B570,""))</f>
        <v/>
      </c>
    </row>
    <row r="571">
      <c r="A571">
        <f>IF('TMP Paste'!$E571="","",'TMP Paste'!$E571)</f>
        <v/>
      </c>
      <c r="B571">
        <f>IF($A571="","",COUNTIF('TMP Paste'!$B$2:$B571,"?*"))</f>
        <v/>
      </c>
      <c r="C571">
        <f>IF($A571="","",IFERROR('TMP Paste'!$M571*1,0))</f>
        <v/>
      </c>
      <c r="D571">
        <f>IF($A571="","",SUMIF($B$2:$B571,$B571,$C$2:$C571))</f>
        <v/>
      </c>
      <c r="E571">
        <f>IF($A571="",0,IF('TMP Paste'!$B571="",0,1))</f>
        <v/>
      </c>
      <c r="F571">
        <f>IF(OR($A571="",$C571&lt;1),"",$A571&amp;"-"&amp;TEXT(($D571-$C571+1),"00")&amp;IF($C571&gt;=2,", "&amp;$A571&amp;"-"&amp;TEXT(($D571-$C571+1)+1,"00"),"")&amp;IF($C571&gt;=3,", "&amp;$A571&amp;"-"&amp;TEXT(($D571-$C571+1)+2,"00"),"")&amp;IF($C571&gt;=4,", "&amp;$A571&amp;"-"&amp;TEXT(($D571-$C571+1)+3,"00"),"")&amp;IF($C571&gt;=5,", "&amp;$A571&amp;"-"&amp;TEXT(($D571-$C571+1)+4,"00"),"")&amp;IF($C571&gt;=6,", "&amp;$A571&amp;"-"&amp;TEXT(($D571-$C571+1)+5,"00"),"")&amp;IF($C571&gt;=7,", "&amp;$A571&amp;"-"&amp;TEXT(($D571-$C571+1)+6,"00"),"")&amp;IF($C571&gt;=8,", "&amp;$A571&amp;"-"&amp;TEXT(($D571-$C571+1)+7,"00"),"")&amp;IF($C571&gt;=9,", "&amp;$A571&amp;"-"&amp;TEXT(($D571-$C571+1)+8,"00"),"")&amp;IF($C571&gt;=10,", "&amp;$A571&amp;"-"&amp;TEXT(($D571-$C571+1)+9,"00"),"")&amp;IF($C571&gt;=11,", "&amp;$A571&amp;"-"&amp;TEXT(($D571-$C571+1)+10,"00"),"")&amp;IF($C571&gt;=12,", "&amp;$A571&amp;"-"&amp;TEXT(($D571-$C571+1)+11,"00"),"")&amp;IF($C571&gt;=13,", "&amp;$A571&amp;"-"&amp;TEXT(($D571-$C571+1)+12,"00"),"")&amp;IF($C571&gt;=14,", "&amp;$A571&amp;"-"&amp;TEXT(($D571-$C571+1)+13,"00"),"")&amp;IF($C571&gt;=15,", "&amp;$A571&amp;"-"&amp;TEXT(($D571-$C571+1)+14,"00"),"")&amp;IF($C571&gt;=16,", "&amp;$A571&amp;"-"&amp;TEXT(($D571-$C571+1)+15,"00"),"")&amp;IF($C571&gt;=17,", "&amp;$A571&amp;"-"&amp;TEXT(($D571-$C571+1)+16,"00"),"")&amp;IF($C571&gt;=18,", "&amp;$A571&amp;"-"&amp;TEXT(($D571-$C571+1)+17,"00"),"")&amp;IF($C571&gt;=19,", "&amp;$A571&amp;"-"&amp;TEXT(($D571-$C571+1)+18,"00"),"")&amp;IF($C571&gt;=20,", "&amp;$A571&amp;"-"&amp;TEXT(($D571-$C571+1)+19,"00"),"")&amp;IF($C571&gt;=21,", "&amp;$A571&amp;"-"&amp;TEXT(($D571-$C571+1)+20,"00"),"")&amp;IF($C571&gt;=22,", "&amp;$A571&amp;"-"&amp;TEXT(($D571-$C571+1)+21,"00"),"")&amp;IF($C571&gt;=23,", "&amp;$A571&amp;"-"&amp;TEXT(($D571-$C571+1)+22,"00"),"")&amp;IF($C571&gt;=24,", "&amp;$A571&amp;"-"&amp;TEXT(($D571-$C571+1)+23,"00"),"")&amp;IF($C571&gt;=25,", "&amp;$A571&amp;"-"&amp;TEXT(($D571-$C571+1)+24,"00"),""))</f>
        <v/>
      </c>
      <c r="G571">
        <f>IF($A571="","",IF($E571=1,$F571,IF($F571="",$G570,IF($G570="",$F571,$G570&amp;", "&amp;$F571))))</f>
        <v/>
      </c>
      <c r="H571">
        <f>IF($A571="","",$A571&amp;" ("&amp;$C571&amp;")")</f>
        <v/>
      </c>
      <c r="I571">
        <f>IF($A571="","",IF($E571=1,$H571,$I570&amp;", "&amp;$H571))</f>
        <v/>
      </c>
      <c r="J571">
        <f>IF($A571="","",IF($E571=1,$B571,""))</f>
        <v/>
      </c>
      <c r="K571">
        <f>IF($A571="","",IF(COUNTIF($B$2:$B571,$B571)=COUNTIF($B$2:$B$1601,$B571),$B571,""))</f>
        <v/>
      </c>
    </row>
    <row r="572">
      <c r="A572">
        <f>IF('TMP Paste'!$E572="","",'TMP Paste'!$E572)</f>
        <v/>
      </c>
      <c r="B572">
        <f>IF($A572="","",COUNTIF('TMP Paste'!$B$2:$B572,"?*"))</f>
        <v/>
      </c>
      <c r="C572">
        <f>IF($A572="","",IFERROR('TMP Paste'!$M572*1,0))</f>
        <v/>
      </c>
      <c r="D572">
        <f>IF($A572="","",SUMIF($B$2:$B572,$B572,$C$2:$C572))</f>
        <v/>
      </c>
      <c r="E572">
        <f>IF($A572="",0,IF('TMP Paste'!$B572="",0,1))</f>
        <v/>
      </c>
      <c r="F572">
        <f>IF(OR($A572="",$C572&lt;1),"",$A572&amp;"-"&amp;TEXT(($D572-$C572+1),"00")&amp;IF($C572&gt;=2,", "&amp;$A572&amp;"-"&amp;TEXT(($D572-$C572+1)+1,"00"),"")&amp;IF($C572&gt;=3,", "&amp;$A572&amp;"-"&amp;TEXT(($D572-$C572+1)+2,"00"),"")&amp;IF($C572&gt;=4,", "&amp;$A572&amp;"-"&amp;TEXT(($D572-$C572+1)+3,"00"),"")&amp;IF($C572&gt;=5,", "&amp;$A572&amp;"-"&amp;TEXT(($D572-$C572+1)+4,"00"),"")&amp;IF($C572&gt;=6,", "&amp;$A572&amp;"-"&amp;TEXT(($D572-$C572+1)+5,"00"),"")&amp;IF($C572&gt;=7,", "&amp;$A572&amp;"-"&amp;TEXT(($D572-$C572+1)+6,"00"),"")&amp;IF($C572&gt;=8,", "&amp;$A572&amp;"-"&amp;TEXT(($D572-$C572+1)+7,"00"),"")&amp;IF($C572&gt;=9,", "&amp;$A572&amp;"-"&amp;TEXT(($D572-$C572+1)+8,"00"),"")&amp;IF($C572&gt;=10,", "&amp;$A572&amp;"-"&amp;TEXT(($D572-$C572+1)+9,"00"),"")&amp;IF($C572&gt;=11,", "&amp;$A572&amp;"-"&amp;TEXT(($D572-$C572+1)+10,"00"),"")&amp;IF($C572&gt;=12,", "&amp;$A572&amp;"-"&amp;TEXT(($D572-$C572+1)+11,"00"),"")&amp;IF($C572&gt;=13,", "&amp;$A572&amp;"-"&amp;TEXT(($D572-$C572+1)+12,"00"),"")&amp;IF($C572&gt;=14,", "&amp;$A572&amp;"-"&amp;TEXT(($D572-$C572+1)+13,"00"),"")&amp;IF($C572&gt;=15,", "&amp;$A572&amp;"-"&amp;TEXT(($D572-$C572+1)+14,"00"),"")&amp;IF($C572&gt;=16,", "&amp;$A572&amp;"-"&amp;TEXT(($D572-$C572+1)+15,"00"),"")&amp;IF($C572&gt;=17,", "&amp;$A572&amp;"-"&amp;TEXT(($D572-$C572+1)+16,"00"),"")&amp;IF($C572&gt;=18,", "&amp;$A572&amp;"-"&amp;TEXT(($D572-$C572+1)+17,"00"),"")&amp;IF($C572&gt;=19,", "&amp;$A572&amp;"-"&amp;TEXT(($D572-$C572+1)+18,"00"),"")&amp;IF($C572&gt;=20,", "&amp;$A572&amp;"-"&amp;TEXT(($D572-$C572+1)+19,"00"),"")&amp;IF($C572&gt;=21,", "&amp;$A572&amp;"-"&amp;TEXT(($D572-$C572+1)+20,"00"),"")&amp;IF($C572&gt;=22,", "&amp;$A572&amp;"-"&amp;TEXT(($D572-$C572+1)+21,"00"),"")&amp;IF($C572&gt;=23,", "&amp;$A572&amp;"-"&amp;TEXT(($D572-$C572+1)+22,"00"),"")&amp;IF($C572&gt;=24,", "&amp;$A572&amp;"-"&amp;TEXT(($D572-$C572+1)+23,"00"),"")&amp;IF($C572&gt;=25,", "&amp;$A572&amp;"-"&amp;TEXT(($D572-$C572+1)+24,"00"),""))</f>
        <v/>
      </c>
      <c r="G572">
        <f>IF($A572="","",IF($E572=1,$F572,IF($F572="",$G571,IF($G571="",$F572,$G571&amp;", "&amp;$F572))))</f>
        <v/>
      </c>
      <c r="H572">
        <f>IF($A572="","",$A572&amp;" ("&amp;$C572&amp;")")</f>
        <v/>
      </c>
      <c r="I572">
        <f>IF($A572="","",IF($E572=1,$H572,$I571&amp;", "&amp;$H572))</f>
        <v/>
      </c>
      <c r="J572">
        <f>IF($A572="","",IF($E572=1,$B572,""))</f>
        <v/>
      </c>
      <c r="K572">
        <f>IF($A572="","",IF(COUNTIF($B$2:$B572,$B572)=COUNTIF($B$2:$B$1601,$B572),$B572,""))</f>
        <v/>
      </c>
    </row>
    <row r="573">
      <c r="A573">
        <f>IF('TMP Paste'!$E573="","",'TMP Paste'!$E573)</f>
        <v/>
      </c>
      <c r="B573">
        <f>IF($A573="","",COUNTIF('TMP Paste'!$B$2:$B573,"?*"))</f>
        <v/>
      </c>
      <c r="C573">
        <f>IF($A573="","",IFERROR('TMP Paste'!$M573*1,0))</f>
        <v/>
      </c>
      <c r="D573">
        <f>IF($A573="","",SUMIF($B$2:$B573,$B573,$C$2:$C573))</f>
        <v/>
      </c>
      <c r="E573">
        <f>IF($A573="",0,IF('TMP Paste'!$B573="",0,1))</f>
        <v/>
      </c>
      <c r="F573">
        <f>IF(OR($A573="",$C573&lt;1),"",$A573&amp;"-"&amp;TEXT(($D573-$C573+1),"00")&amp;IF($C573&gt;=2,", "&amp;$A573&amp;"-"&amp;TEXT(($D573-$C573+1)+1,"00"),"")&amp;IF($C573&gt;=3,", "&amp;$A573&amp;"-"&amp;TEXT(($D573-$C573+1)+2,"00"),"")&amp;IF($C573&gt;=4,", "&amp;$A573&amp;"-"&amp;TEXT(($D573-$C573+1)+3,"00"),"")&amp;IF($C573&gt;=5,", "&amp;$A573&amp;"-"&amp;TEXT(($D573-$C573+1)+4,"00"),"")&amp;IF($C573&gt;=6,", "&amp;$A573&amp;"-"&amp;TEXT(($D573-$C573+1)+5,"00"),"")&amp;IF($C573&gt;=7,", "&amp;$A573&amp;"-"&amp;TEXT(($D573-$C573+1)+6,"00"),"")&amp;IF($C573&gt;=8,", "&amp;$A573&amp;"-"&amp;TEXT(($D573-$C573+1)+7,"00"),"")&amp;IF($C573&gt;=9,", "&amp;$A573&amp;"-"&amp;TEXT(($D573-$C573+1)+8,"00"),"")&amp;IF($C573&gt;=10,", "&amp;$A573&amp;"-"&amp;TEXT(($D573-$C573+1)+9,"00"),"")&amp;IF($C573&gt;=11,", "&amp;$A573&amp;"-"&amp;TEXT(($D573-$C573+1)+10,"00"),"")&amp;IF($C573&gt;=12,", "&amp;$A573&amp;"-"&amp;TEXT(($D573-$C573+1)+11,"00"),"")&amp;IF($C573&gt;=13,", "&amp;$A573&amp;"-"&amp;TEXT(($D573-$C573+1)+12,"00"),"")&amp;IF($C573&gt;=14,", "&amp;$A573&amp;"-"&amp;TEXT(($D573-$C573+1)+13,"00"),"")&amp;IF($C573&gt;=15,", "&amp;$A573&amp;"-"&amp;TEXT(($D573-$C573+1)+14,"00"),"")&amp;IF($C573&gt;=16,", "&amp;$A573&amp;"-"&amp;TEXT(($D573-$C573+1)+15,"00"),"")&amp;IF($C573&gt;=17,", "&amp;$A573&amp;"-"&amp;TEXT(($D573-$C573+1)+16,"00"),"")&amp;IF($C573&gt;=18,", "&amp;$A573&amp;"-"&amp;TEXT(($D573-$C573+1)+17,"00"),"")&amp;IF($C573&gt;=19,", "&amp;$A573&amp;"-"&amp;TEXT(($D573-$C573+1)+18,"00"),"")&amp;IF($C573&gt;=20,", "&amp;$A573&amp;"-"&amp;TEXT(($D573-$C573+1)+19,"00"),"")&amp;IF($C573&gt;=21,", "&amp;$A573&amp;"-"&amp;TEXT(($D573-$C573+1)+20,"00"),"")&amp;IF($C573&gt;=22,", "&amp;$A573&amp;"-"&amp;TEXT(($D573-$C573+1)+21,"00"),"")&amp;IF($C573&gt;=23,", "&amp;$A573&amp;"-"&amp;TEXT(($D573-$C573+1)+22,"00"),"")&amp;IF($C573&gt;=24,", "&amp;$A573&amp;"-"&amp;TEXT(($D573-$C573+1)+23,"00"),"")&amp;IF($C573&gt;=25,", "&amp;$A573&amp;"-"&amp;TEXT(($D573-$C573+1)+24,"00"),""))</f>
        <v/>
      </c>
      <c r="G573">
        <f>IF($A573="","",IF($E573=1,$F573,IF($F573="",$G572,IF($G572="",$F573,$G572&amp;", "&amp;$F573))))</f>
        <v/>
      </c>
      <c r="H573">
        <f>IF($A573="","",$A573&amp;" ("&amp;$C573&amp;")")</f>
        <v/>
      </c>
      <c r="I573">
        <f>IF($A573="","",IF($E573=1,$H573,$I572&amp;", "&amp;$H573))</f>
        <v/>
      </c>
      <c r="J573">
        <f>IF($A573="","",IF($E573=1,$B573,""))</f>
        <v/>
      </c>
      <c r="K573">
        <f>IF($A573="","",IF(COUNTIF($B$2:$B573,$B573)=COUNTIF($B$2:$B$1601,$B573),$B573,""))</f>
        <v/>
      </c>
    </row>
    <row r="574">
      <c r="A574">
        <f>IF('TMP Paste'!$E574="","",'TMP Paste'!$E574)</f>
        <v/>
      </c>
      <c r="B574">
        <f>IF($A574="","",COUNTIF('TMP Paste'!$B$2:$B574,"?*"))</f>
        <v/>
      </c>
      <c r="C574">
        <f>IF($A574="","",IFERROR('TMP Paste'!$M574*1,0))</f>
        <v/>
      </c>
      <c r="D574">
        <f>IF($A574="","",SUMIF($B$2:$B574,$B574,$C$2:$C574))</f>
        <v/>
      </c>
      <c r="E574">
        <f>IF($A574="",0,IF('TMP Paste'!$B574="",0,1))</f>
        <v/>
      </c>
      <c r="F574">
        <f>IF(OR($A574="",$C574&lt;1),"",$A574&amp;"-"&amp;TEXT(($D574-$C574+1),"00")&amp;IF($C574&gt;=2,", "&amp;$A574&amp;"-"&amp;TEXT(($D574-$C574+1)+1,"00"),"")&amp;IF($C574&gt;=3,", "&amp;$A574&amp;"-"&amp;TEXT(($D574-$C574+1)+2,"00"),"")&amp;IF($C574&gt;=4,", "&amp;$A574&amp;"-"&amp;TEXT(($D574-$C574+1)+3,"00"),"")&amp;IF($C574&gt;=5,", "&amp;$A574&amp;"-"&amp;TEXT(($D574-$C574+1)+4,"00"),"")&amp;IF($C574&gt;=6,", "&amp;$A574&amp;"-"&amp;TEXT(($D574-$C574+1)+5,"00"),"")&amp;IF($C574&gt;=7,", "&amp;$A574&amp;"-"&amp;TEXT(($D574-$C574+1)+6,"00"),"")&amp;IF($C574&gt;=8,", "&amp;$A574&amp;"-"&amp;TEXT(($D574-$C574+1)+7,"00"),"")&amp;IF($C574&gt;=9,", "&amp;$A574&amp;"-"&amp;TEXT(($D574-$C574+1)+8,"00"),"")&amp;IF($C574&gt;=10,", "&amp;$A574&amp;"-"&amp;TEXT(($D574-$C574+1)+9,"00"),"")&amp;IF($C574&gt;=11,", "&amp;$A574&amp;"-"&amp;TEXT(($D574-$C574+1)+10,"00"),"")&amp;IF($C574&gt;=12,", "&amp;$A574&amp;"-"&amp;TEXT(($D574-$C574+1)+11,"00"),"")&amp;IF($C574&gt;=13,", "&amp;$A574&amp;"-"&amp;TEXT(($D574-$C574+1)+12,"00"),"")&amp;IF($C574&gt;=14,", "&amp;$A574&amp;"-"&amp;TEXT(($D574-$C574+1)+13,"00"),"")&amp;IF($C574&gt;=15,", "&amp;$A574&amp;"-"&amp;TEXT(($D574-$C574+1)+14,"00"),"")&amp;IF($C574&gt;=16,", "&amp;$A574&amp;"-"&amp;TEXT(($D574-$C574+1)+15,"00"),"")&amp;IF($C574&gt;=17,", "&amp;$A574&amp;"-"&amp;TEXT(($D574-$C574+1)+16,"00"),"")&amp;IF($C574&gt;=18,", "&amp;$A574&amp;"-"&amp;TEXT(($D574-$C574+1)+17,"00"),"")&amp;IF($C574&gt;=19,", "&amp;$A574&amp;"-"&amp;TEXT(($D574-$C574+1)+18,"00"),"")&amp;IF($C574&gt;=20,", "&amp;$A574&amp;"-"&amp;TEXT(($D574-$C574+1)+19,"00"),"")&amp;IF($C574&gt;=21,", "&amp;$A574&amp;"-"&amp;TEXT(($D574-$C574+1)+20,"00"),"")&amp;IF($C574&gt;=22,", "&amp;$A574&amp;"-"&amp;TEXT(($D574-$C574+1)+21,"00"),"")&amp;IF($C574&gt;=23,", "&amp;$A574&amp;"-"&amp;TEXT(($D574-$C574+1)+22,"00"),"")&amp;IF($C574&gt;=24,", "&amp;$A574&amp;"-"&amp;TEXT(($D574-$C574+1)+23,"00"),"")&amp;IF($C574&gt;=25,", "&amp;$A574&amp;"-"&amp;TEXT(($D574-$C574+1)+24,"00"),""))</f>
        <v/>
      </c>
      <c r="G574">
        <f>IF($A574="","",IF($E574=1,$F574,IF($F574="",$G573,IF($G573="",$F574,$G573&amp;", "&amp;$F574))))</f>
        <v/>
      </c>
      <c r="H574">
        <f>IF($A574="","",$A574&amp;" ("&amp;$C574&amp;")")</f>
        <v/>
      </c>
      <c r="I574">
        <f>IF($A574="","",IF($E574=1,$H574,$I573&amp;", "&amp;$H574))</f>
        <v/>
      </c>
      <c r="J574">
        <f>IF($A574="","",IF($E574=1,$B574,""))</f>
        <v/>
      </c>
      <c r="K574">
        <f>IF($A574="","",IF(COUNTIF($B$2:$B574,$B574)=COUNTIF($B$2:$B$1601,$B574),$B574,""))</f>
        <v/>
      </c>
    </row>
    <row r="575">
      <c r="A575">
        <f>IF('TMP Paste'!$E575="","",'TMP Paste'!$E575)</f>
        <v/>
      </c>
      <c r="B575">
        <f>IF($A575="","",COUNTIF('TMP Paste'!$B$2:$B575,"?*"))</f>
        <v/>
      </c>
      <c r="C575">
        <f>IF($A575="","",IFERROR('TMP Paste'!$M575*1,0))</f>
        <v/>
      </c>
      <c r="D575">
        <f>IF($A575="","",SUMIF($B$2:$B575,$B575,$C$2:$C575))</f>
        <v/>
      </c>
      <c r="E575">
        <f>IF($A575="",0,IF('TMP Paste'!$B575="",0,1))</f>
        <v/>
      </c>
      <c r="F575">
        <f>IF(OR($A575="",$C575&lt;1),"",$A575&amp;"-"&amp;TEXT(($D575-$C575+1),"00")&amp;IF($C575&gt;=2,", "&amp;$A575&amp;"-"&amp;TEXT(($D575-$C575+1)+1,"00"),"")&amp;IF($C575&gt;=3,", "&amp;$A575&amp;"-"&amp;TEXT(($D575-$C575+1)+2,"00"),"")&amp;IF($C575&gt;=4,", "&amp;$A575&amp;"-"&amp;TEXT(($D575-$C575+1)+3,"00"),"")&amp;IF($C575&gt;=5,", "&amp;$A575&amp;"-"&amp;TEXT(($D575-$C575+1)+4,"00"),"")&amp;IF($C575&gt;=6,", "&amp;$A575&amp;"-"&amp;TEXT(($D575-$C575+1)+5,"00"),"")&amp;IF($C575&gt;=7,", "&amp;$A575&amp;"-"&amp;TEXT(($D575-$C575+1)+6,"00"),"")&amp;IF($C575&gt;=8,", "&amp;$A575&amp;"-"&amp;TEXT(($D575-$C575+1)+7,"00"),"")&amp;IF($C575&gt;=9,", "&amp;$A575&amp;"-"&amp;TEXT(($D575-$C575+1)+8,"00"),"")&amp;IF($C575&gt;=10,", "&amp;$A575&amp;"-"&amp;TEXT(($D575-$C575+1)+9,"00"),"")&amp;IF($C575&gt;=11,", "&amp;$A575&amp;"-"&amp;TEXT(($D575-$C575+1)+10,"00"),"")&amp;IF($C575&gt;=12,", "&amp;$A575&amp;"-"&amp;TEXT(($D575-$C575+1)+11,"00"),"")&amp;IF($C575&gt;=13,", "&amp;$A575&amp;"-"&amp;TEXT(($D575-$C575+1)+12,"00"),"")&amp;IF($C575&gt;=14,", "&amp;$A575&amp;"-"&amp;TEXT(($D575-$C575+1)+13,"00"),"")&amp;IF($C575&gt;=15,", "&amp;$A575&amp;"-"&amp;TEXT(($D575-$C575+1)+14,"00"),"")&amp;IF($C575&gt;=16,", "&amp;$A575&amp;"-"&amp;TEXT(($D575-$C575+1)+15,"00"),"")&amp;IF($C575&gt;=17,", "&amp;$A575&amp;"-"&amp;TEXT(($D575-$C575+1)+16,"00"),"")&amp;IF($C575&gt;=18,", "&amp;$A575&amp;"-"&amp;TEXT(($D575-$C575+1)+17,"00"),"")&amp;IF($C575&gt;=19,", "&amp;$A575&amp;"-"&amp;TEXT(($D575-$C575+1)+18,"00"),"")&amp;IF($C575&gt;=20,", "&amp;$A575&amp;"-"&amp;TEXT(($D575-$C575+1)+19,"00"),"")&amp;IF($C575&gt;=21,", "&amp;$A575&amp;"-"&amp;TEXT(($D575-$C575+1)+20,"00"),"")&amp;IF($C575&gt;=22,", "&amp;$A575&amp;"-"&amp;TEXT(($D575-$C575+1)+21,"00"),"")&amp;IF($C575&gt;=23,", "&amp;$A575&amp;"-"&amp;TEXT(($D575-$C575+1)+22,"00"),"")&amp;IF($C575&gt;=24,", "&amp;$A575&amp;"-"&amp;TEXT(($D575-$C575+1)+23,"00"),"")&amp;IF($C575&gt;=25,", "&amp;$A575&amp;"-"&amp;TEXT(($D575-$C575+1)+24,"00"),""))</f>
        <v/>
      </c>
      <c r="G575">
        <f>IF($A575="","",IF($E575=1,$F575,IF($F575="",$G574,IF($G574="",$F575,$G574&amp;", "&amp;$F575))))</f>
        <v/>
      </c>
      <c r="H575">
        <f>IF($A575="","",$A575&amp;" ("&amp;$C575&amp;")")</f>
        <v/>
      </c>
      <c r="I575">
        <f>IF($A575="","",IF($E575=1,$H575,$I574&amp;", "&amp;$H575))</f>
        <v/>
      </c>
      <c r="J575">
        <f>IF($A575="","",IF($E575=1,$B575,""))</f>
        <v/>
      </c>
      <c r="K575">
        <f>IF($A575="","",IF(COUNTIF($B$2:$B575,$B575)=COUNTIF($B$2:$B$1601,$B575),$B575,""))</f>
        <v/>
      </c>
    </row>
    <row r="576">
      <c r="A576">
        <f>IF('TMP Paste'!$E576="","",'TMP Paste'!$E576)</f>
        <v/>
      </c>
      <c r="B576">
        <f>IF($A576="","",COUNTIF('TMP Paste'!$B$2:$B576,"?*"))</f>
        <v/>
      </c>
      <c r="C576">
        <f>IF($A576="","",IFERROR('TMP Paste'!$M576*1,0))</f>
        <v/>
      </c>
      <c r="D576">
        <f>IF($A576="","",SUMIF($B$2:$B576,$B576,$C$2:$C576))</f>
        <v/>
      </c>
      <c r="E576">
        <f>IF($A576="",0,IF('TMP Paste'!$B576="",0,1))</f>
        <v/>
      </c>
      <c r="F576">
        <f>IF(OR($A576="",$C576&lt;1),"",$A576&amp;"-"&amp;TEXT(($D576-$C576+1),"00")&amp;IF($C576&gt;=2,", "&amp;$A576&amp;"-"&amp;TEXT(($D576-$C576+1)+1,"00"),"")&amp;IF($C576&gt;=3,", "&amp;$A576&amp;"-"&amp;TEXT(($D576-$C576+1)+2,"00"),"")&amp;IF($C576&gt;=4,", "&amp;$A576&amp;"-"&amp;TEXT(($D576-$C576+1)+3,"00"),"")&amp;IF($C576&gt;=5,", "&amp;$A576&amp;"-"&amp;TEXT(($D576-$C576+1)+4,"00"),"")&amp;IF($C576&gt;=6,", "&amp;$A576&amp;"-"&amp;TEXT(($D576-$C576+1)+5,"00"),"")&amp;IF($C576&gt;=7,", "&amp;$A576&amp;"-"&amp;TEXT(($D576-$C576+1)+6,"00"),"")&amp;IF($C576&gt;=8,", "&amp;$A576&amp;"-"&amp;TEXT(($D576-$C576+1)+7,"00"),"")&amp;IF($C576&gt;=9,", "&amp;$A576&amp;"-"&amp;TEXT(($D576-$C576+1)+8,"00"),"")&amp;IF($C576&gt;=10,", "&amp;$A576&amp;"-"&amp;TEXT(($D576-$C576+1)+9,"00"),"")&amp;IF($C576&gt;=11,", "&amp;$A576&amp;"-"&amp;TEXT(($D576-$C576+1)+10,"00"),"")&amp;IF($C576&gt;=12,", "&amp;$A576&amp;"-"&amp;TEXT(($D576-$C576+1)+11,"00"),"")&amp;IF($C576&gt;=13,", "&amp;$A576&amp;"-"&amp;TEXT(($D576-$C576+1)+12,"00"),"")&amp;IF($C576&gt;=14,", "&amp;$A576&amp;"-"&amp;TEXT(($D576-$C576+1)+13,"00"),"")&amp;IF($C576&gt;=15,", "&amp;$A576&amp;"-"&amp;TEXT(($D576-$C576+1)+14,"00"),"")&amp;IF($C576&gt;=16,", "&amp;$A576&amp;"-"&amp;TEXT(($D576-$C576+1)+15,"00"),"")&amp;IF($C576&gt;=17,", "&amp;$A576&amp;"-"&amp;TEXT(($D576-$C576+1)+16,"00"),"")&amp;IF($C576&gt;=18,", "&amp;$A576&amp;"-"&amp;TEXT(($D576-$C576+1)+17,"00"),"")&amp;IF($C576&gt;=19,", "&amp;$A576&amp;"-"&amp;TEXT(($D576-$C576+1)+18,"00"),"")&amp;IF($C576&gt;=20,", "&amp;$A576&amp;"-"&amp;TEXT(($D576-$C576+1)+19,"00"),"")&amp;IF($C576&gt;=21,", "&amp;$A576&amp;"-"&amp;TEXT(($D576-$C576+1)+20,"00"),"")&amp;IF($C576&gt;=22,", "&amp;$A576&amp;"-"&amp;TEXT(($D576-$C576+1)+21,"00"),"")&amp;IF($C576&gt;=23,", "&amp;$A576&amp;"-"&amp;TEXT(($D576-$C576+1)+22,"00"),"")&amp;IF($C576&gt;=24,", "&amp;$A576&amp;"-"&amp;TEXT(($D576-$C576+1)+23,"00"),"")&amp;IF($C576&gt;=25,", "&amp;$A576&amp;"-"&amp;TEXT(($D576-$C576+1)+24,"00"),""))</f>
        <v/>
      </c>
      <c r="G576">
        <f>IF($A576="","",IF($E576=1,$F576,IF($F576="",$G575,IF($G575="",$F576,$G575&amp;", "&amp;$F576))))</f>
        <v/>
      </c>
      <c r="H576">
        <f>IF($A576="","",$A576&amp;" ("&amp;$C576&amp;")")</f>
        <v/>
      </c>
      <c r="I576">
        <f>IF($A576="","",IF($E576=1,$H576,$I575&amp;", "&amp;$H576))</f>
        <v/>
      </c>
      <c r="J576">
        <f>IF($A576="","",IF($E576=1,$B576,""))</f>
        <v/>
      </c>
      <c r="K576">
        <f>IF($A576="","",IF(COUNTIF($B$2:$B576,$B576)=COUNTIF($B$2:$B$1601,$B576),$B576,""))</f>
        <v/>
      </c>
    </row>
    <row r="577">
      <c r="A577">
        <f>IF('TMP Paste'!$E577="","",'TMP Paste'!$E577)</f>
        <v/>
      </c>
      <c r="B577">
        <f>IF($A577="","",COUNTIF('TMP Paste'!$B$2:$B577,"?*"))</f>
        <v/>
      </c>
      <c r="C577">
        <f>IF($A577="","",IFERROR('TMP Paste'!$M577*1,0))</f>
        <v/>
      </c>
      <c r="D577">
        <f>IF($A577="","",SUMIF($B$2:$B577,$B577,$C$2:$C577))</f>
        <v/>
      </c>
      <c r="E577">
        <f>IF($A577="",0,IF('TMP Paste'!$B577="",0,1))</f>
        <v/>
      </c>
      <c r="F577">
        <f>IF(OR($A577="",$C577&lt;1),"",$A577&amp;"-"&amp;TEXT(($D577-$C577+1),"00")&amp;IF($C577&gt;=2,", "&amp;$A577&amp;"-"&amp;TEXT(($D577-$C577+1)+1,"00"),"")&amp;IF($C577&gt;=3,", "&amp;$A577&amp;"-"&amp;TEXT(($D577-$C577+1)+2,"00"),"")&amp;IF($C577&gt;=4,", "&amp;$A577&amp;"-"&amp;TEXT(($D577-$C577+1)+3,"00"),"")&amp;IF($C577&gt;=5,", "&amp;$A577&amp;"-"&amp;TEXT(($D577-$C577+1)+4,"00"),"")&amp;IF($C577&gt;=6,", "&amp;$A577&amp;"-"&amp;TEXT(($D577-$C577+1)+5,"00"),"")&amp;IF($C577&gt;=7,", "&amp;$A577&amp;"-"&amp;TEXT(($D577-$C577+1)+6,"00"),"")&amp;IF($C577&gt;=8,", "&amp;$A577&amp;"-"&amp;TEXT(($D577-$C577+1)+7,"00"),"")&amp;IF($C577&gt;=9,", "&amp;$A577&amp;"-"&amp;TEXT(($D577-$C577+1)+8,"00"),"")&amp;IF($C577&gt;=10,", "&amp;$A577&amp;"-"&amp;TEXT(($D577-$C577+1)+9,"00"),"")&amp;IF($C577&gt;=11,", "&amp;$A577&amp;"-"&amp;TEXT(($D577-$C577+1)+10,"00"),"")&amp;IF($C577&gt;=12,", "&amp;$A577&amp;"-"&amp;TEXT(($D577-$C577+1)+11,"00"),"")&amp;IF($C577&gt;=13,", "&amp;$A577&amp;"-"&amp;TEXT(($D577-$C577+1)+12,"00"),"")&amp;IF($C577&gt;=14,", "&amp;$A577&amp;"-"&amp;TEXT(($D577-$C577+1)+13,"00"),"")&amp;IF($C577&gt;=15,", "&amp;$A577&amp;"-"&amp;TEXT(($D577-$C577+1)+14,"00"),"")&amp;IF($C577&gt;=16,", "&amp;$A577&amp;"-"&amp;TEXT(($D577-$C577+1)+15,"00"),"")&amp;IF($C577&gt;=17,", "&amp;$A577&amp;"-"&amp;TEXT(($D577-$C577+1)+16,"00"),"")&amp;IF($C577&gt;=18,", "&amp;$A577&amp;"-"&amp;TEXT(($D577-$C577+1)+17,"00"),"")&amp;IF($C577&gt;=19,", "&amp;$A577&amp;"-"&amp;TEXT(($D577-$C577+1)+18,"00"),"")&amp;IF($C577&gt;=20,", "&amp;$A577&amp;"-"&amp;TEXT(($D577-$C577+1)+19,"00"),"")&amp;IF($C577&gt;=21,", "&amp;$A577&amp;"-"&amp;TEXT(($D577-$C577+1)+20,"00"),"")&amp;IF($C577&gt;=22,", "&amp;$A577&amp;"-"&amp;TEXT(($D577-$C577+1)+21,"00"),"")&amp;IF($C577&gt;=23,", "&amp;$A577&amp;"-"&amp;TEXT(($D577-$C577+1)+22,"00"),"")&amp;IF($C577&gt;=24,", "&amp;$A577&amp;"-"&amp;TEXT(($D577-$C577+1)+23,"00"),"")&amp;IF($C577&gt;=25,", "&amp;$A577&amp;"-"&amp;TEXT(($D577-$C577+1)+24,"00"),""))</f>
        <v/>
      </c>
      <c r="G577">
        <f>IF($A577="","",IF($E577=1,$F577,IF($F577="",$G576,IF($G576="",$F577,$G576&amp;", "&amp;$F577))))</f>
        <v/>
      </c>
      <c r="H577">
        <f>IF($A577="","",$A577&amp;" ("&amp;$C577&amp;")")</f>
        <v/>
      </c>
      <c r="I577">
        <f>IF($A577="","",IF($E577=1,$H577,$I576&amp;", "&amp;$H577))</f>
        <v/>
      </c>
      <c r="J577">
        <f>IF($A577="","",IF($E577=1,$B577,""))</f>
        <v/>
      </c>
      <c r="K577">
        <f>IF($A577="","",IF(COUNTIF($B$2:$B577,$B577)=COUNTIF($B$2:$B$1601,$B577),$B577,""))</f>
        <v/>
      </c>
    </row>
    <row r="578">
      <c r="A578">
        <f>IF('TMP Paste'!$E578="","",'TMP Paste'!$E578)</f>
        <v/>
      </c>
      <c r="B578">
        <f>IF($A578="","",COUNTIF('TMP Paste'!$B$2:$B578,"?*"))</f>
        <v/>
      </c>
      <c r="C578">
        <f>IF($A578="","",IFERROR('TMP Paste'!$M578*1,0))</f>
        <v/>
      </c>
      <c r="D578">
        <f>IF($A578="","",SUMIF($B$2:$B578,$B578,$C$2:$C578))</f>
        <v/>
      </c>
      <c r="E578">
        <f>IF($A578="",0,IF('TMP Paste'!$B578="",0,1))</f>
        <v/>
      </c>
      <c r="F578">
        <f>IF(OR($A578="",$C578&lt;1),"",$A578&amp;"-"&amp;TEXT(($D578-$C578+1),"00")&amp;IF($C578&gt;=2,", "&amp;$A578&amp;"-"&amp;TEXT(($D578-$C578+1)+1,"00"),"")&amp;IF($C578&gt;=3,", "&amp;$A578&amp;"-"&amp;TEXT(($D578-$C578+1)+2,"00"),"")&amp;IF($C578&gt;=4,", "&amp;$A578&amp;"-"&amp;TEXT(($D578-$C578+1)+3,"00"),"")&amp;IF($C578&gt;=5,", "&amp;$A578&amp;"-"&amp;TEXT(($D578-$C578+1)+4,"00"),"")&amp;IF($C578&gt;=6,", "&amp;$A578&amp;"-"&amp;TEXT(($D578-$C578+1)+5,"00"),"")&amp;IF($C578&gt;=7,", "&amp;$A578&amp;"-"&amp;TEXT(($D578-$C578+1)+6,"00"),"")&amp;IF($C578&gt;=8,", "&amp;$A578&amp;"-"&amp;TEXT(($D578-$C578+1)+7,"00"),"")&amp;IF($C578&gt;=9,", "&amp;$A578&amp;"-"&amp;TEXT(($D578-$C578+1)+8,"00"),"")&amp;IF($C578&gt;=10,", "&amp;$A578&amp;"-"&amp;TEXT(($D578-$C578+1)+9,"00"),"")&amp;IF($C578&gt;=11,", "&amp;$A578&amp;"-"&amp;TEXT(($D578-$C578+1)+10,"00"),"")&amp;IF($C578&gt;=12,", "&amp;$A578&amp;"-"&amp;TEXT(($D578-$C578+1)+11,"00"),"")&amp;IF($C578&gt;=13,", "&amp;$A578&amp;"-"&amp;TEXT(($D578-$C578+1)+12,"00"),"")&amp;IF($C578&gt;=14,", "&amp;$A578&amp;"-"&amp;TEXT(($D578-$C578+1)+13,"00"),"")&amp;IF($C578&gt;=15,", "&amp;$A578&amp;"-"&amp;TEXT(($D578-$C578+1)+14,"00"),"")&amp;IF($C578&gt;=16,", "&amp;$A578&amp;"-"&amp;TEXT(($D578-$C578+1)+15,"00"),"")&amp;IF($C578&gt;=17,", "&amp;$A578&amp;"-"&amp;TEXT(($D578-$C578+1)+16,"00"),"")&amp;IF($C578&gt;=18,", "&amp;$A578&amp;"-"&amp;TEXT(($D578-$C578+1)+17,"00"),"")&amp;IF($C578&gt;=19,", "&amp;$A578&amp;"-"&amp;TEXT(($D578-$C578+1)+18,"00"),"")&amp;IF($C578&gt;=20,", "&amp;$A578&amp;"-"&amp;TEXT(($D578-$C578+1)+19,"00"),"")&amp;IF($C578&gt;=21,", "&amp;$A578&amp;"-"&amp;TEXT(($D578-$C578+1)+20,"00"),"")&amp;IF($C578&gt;=22,", "&amp;$A578&amp;"-"&amp;TEXT(($D578-$C578+1)+21,"00"),"")&amp;IF($C578&gt;=23,", "&amp;$A578&amp;"-"&amp;TEXT(($D578-$C578+1)+22,"00"),"")&amp;IF($C578&gt;=24,", "&amp;$A578&amp;"-"&amp;TEXT(($D578-$C578+1)+23,"00"),"")&amp;IF($C578&gt;=25,", "&amp;$A578&amp;"-"&amp;TEXT(($D578-$C578+1)+24,"00"),""))</f>
        <v/>
      </c>
      <c r="G578">
        <f>IF($A578="","",IF($E578=1,$F578,IF($F578="",$G577,IF($G577="",$F578,$G577&amp;", "&amp;$F578))))</f>
        <v/>
      </c>
      <c r="H578">
        <f>IF($A578="","",$A578&amp;" ("&amp;$C578&amp;")")</f>
        <v/>
      </c>
      <c r="I578">
        <f>IF($A578="","",IF($E578=1,$H578,$I577&amp;", "&amp;$H578))</f>
        <v/>
      </c>
      <c r="J578">
        <f>IF($A578="","",IF($E578=1,$B578,""))</f>
        <v/>
      </c>
      <c r="K578">
        <f>IF($A578="","",IF(COUNTIF($B$2:$B578,$B578)=COUNTIF($B$2:$B$1601,$B578),$B578,""))</f>
        <v/>
      </c>
    </row>
    <row r="579">
      <c r="A579">
        <f>IF('TMP Paste'!$E579="","",'TMP Paste'!$E579)</f>
        <v/>
      </c>
      <c r="B579">
        <f>IF($A579="","",COUNTIF('TMP Paste'!$B$2:$B579,"?*"))</f>
        <v/>
      </c>
      <c r="C579">
        <f>IF($A579="","",IFERROR('TMP Paste'!$M579*1,0))</f>
        <v/>
      </c>
      <c r="D579">
        <f>IF($A579="","",SUMIF($B$2:$B579,$B579,$C$2:$C579))</f>
        <v/>
      </c>
      <c r="E579">
        <f>IF($A579="",0,IF('TMP Paste'!$B579="",0,1))</f>
        <v/>
      </c>
      <c r="F579">
        <f>IF(OR($A579="",$C579&lt;1),"",$A579&amp;"-"&amp;TEXT(($D579-$C579+1),"00")&amp;IF($C579&gt;=2,", "&amp;$A579&amp;"-"&amp;TEXT(($D579-$C579+1)+1,"00"),"")&amp;IF($C579&gt;=3,", "&amp;$A579&amp;"-"&amp;TEXT(($D579-$C579+1)+2,"00"),"")&amp;IF($C579&gt;=4,", "&amp;$A579&amp;"-"&amp;TEXT(($D579-$C579+1)+3,"00"),"")&amp;IF($C579&gt;=5,", "&amp;$A579&amp;"-"&amp;TEXT(($D579-$C579+1)+4,"00"),"")&amp;IF($C579&gt;=6,", "&amp;$A579&amp;"-"&amp;TEXT(($D579-$C579+1)+5,"00"),"")&amp;IF($C579&gt;=7,", "&amp;$A579&amp;"-"&amp;TEXT(($D579-$C579+1)+6,"00"),"")&amp;IF($C579&gt;=8,", "&amp;$A579&amp;"-"&amp;TEXT(($D579-$C579+1)+7,"00"),"")&amp;IF($C579&gt;=9,", "&amp;$A579&amp;"-"&amp;TEXT(($D579-$C579+1)+8,"00"),"")&amp;IF($C579&gt;=10,", "&amp;$A579&amp;"-"&amp;TEXT(($D579-$C579+1)+9,"00"),"")&amp;IF($C579&gt;=11,", "&amp;$A579&amp;"-"&amp;TEXT(($D579-$C579+1)+10,"00"),"")&amp;IF($C579&gt;=12,", "&amp;$A579&amp;"-"&amp;TEXT(($D579-$C579+1)+11,"00"),"")&amp;IF($C579&gt;=13,", "&amp;$A579&amp;"-"&amp;TEXT(($D579-$C579+1)+12,"00"),"")&amp;IF($C579&gt;=14,", "&amp;$A579&amp;"-"&amp;TEXT(($D579-$C579+1)+13,"00"),"")&amp;IF($C579&gt;=15,", "&amp;$A579&amp;"-"&amp;TEXT(($D579-$C579+1)+14,"00"),"")&amp;IF($C579&gt;=16,", "&amp;$A579&amp;"-"&amp;TEXT(($D579-$C579+1)+15,"00"),"")&amp;IF($C579&gt;=17,", "&amp;$A579&amp;"-"&amp;TEXT(($D579-$C579+1)+16,"00"),"")&amp;IF($C579&gt;=18,", "&amp;$A579&amp;"-"&amp;TEXT(($D579-$C579+1)+17,"00"),"")&amp;IF($C579&gt;=19,", "&amp;$A579&amp;"-"&amp;TEXT(($D579-$C579+1)+18,"00"),"")&amp;IF($C579&gt;=20,", "&amp;$A579&amp;"-"&amp;TEXT(($D579-$C579+1)+19,"00"),"")&amp;IF($C579&gt;=21,", "&amp;$A579&amp;"-"&amp;TEXT(($D579-$C579+1)+20,"00"),"")&amp;IF($C579&gt;=22,", "&amp;$A579&amp;"-"&amp;TEXT(($D579-$C579+1)+21,"00"),"")&amp;IF($C579&gt;=23,", "&amp;$A579&amp;"-"&amp;TEXT(($D579-$C579+1)+22,"00"),"")&amp;IF($C579&gt;=24,", "&amp;$A579&amp;"-"&amp;TEXT(($D579-$C579+1)+23,"00"),"")&amp;IF($C579&gt;=25,", "&amp;$A579&amp;"-"&amp;TEXT(($D579-$C579+1)+24,"00"),""))</f>
        <v/>
      </c>
      <c r="G579">
        <f>IF($A579="","",IF($E579=1,$F579,IF($F579="",$G578,IF($G578="",$F579,$G578&amp;", "&amp;$F579))))</f>
        <v/>
      </c>
      <c r="H579">
        <f>IF($A579="","",$A579&amp;" ("&amp;$C579&amp;")")</f>
        <v/>
      </c>
      <c r="I579">
        <f>IF($A579="","",IF($E579=1,$H579,$I578&amp;", "&amp;$H579))</f>
        <v/>
      </c>
      <c r="J579">
        <f>IF($A579="","",IF($E579=1,$B579,""))</f>
        <v/>
      </c>
      <c r="K579">
        <f>IF($A579="","",IF(COUNTIF($B$2:$B579,$B579)=COUNTIF($B$2:$B$1601,$B579),$B579,""))</f>
        <v/>
      </c>
    </row>
    <row r="580">
      <c r="A580">
        <f>IF('TMP Paste'!$E580="","",'TMP Paste'!$E580)</f>
        <v/>
      </c>
      <c r="B580">
        <f>IF($A580="","",COUNTIF('TMP Paste'!$B$2:$B580,"?*"))</f>
        <v/>
      </c>
      <c r="C580">
        <f>IF($A580="","",IFERROR('TMP Paste'!$M580*1,0))</f>
        <v/>
      </c>
      <c r="D580">
        <f>IF($A580="","",SUMIF($B$2:$B580,$B580,$C$2:$C580))</f>
        <v/>
      </c>
      <c r="E580">
        <f>IF($A580="",0,IF('TMP Paste'!$B580="",0,1))</f>
        <v/>
      </c>
      <c r="F580">
        <f>IF(OR($A580="",$C580&lt;1),"",$A580&amp;"-"&amp;TEXT(($D580-$C580+1),"00")&amp;IF($C580&gt;=2,", "&amp;$A580&amp;"-"&amp;TEXT(($D580-$C580+1)+1,"00"),"")&amp;IF($C580&gt;=3,", "&amp;$A580&amp;"-"&amp;TEXT(($D580-$C580+1)+2,"00"),"")&amp;IF($C580&gt;=4,", "&amp;$A580&amp;"-"&amp;TEXT(($D580-$C580+1)+3,"00"),"")&amp;IF($C580&gt;=5,", "&amp;$A580&amp;"-"&amp;TEXT(($D580-$C580+1)+4,"00"),"")&amp;IF($C580&gt;=6,", "&amp;$A580&amp;"-"&amp;TEXT(($D580-$C580+1)+5,"00"),"")&amp;IF($C580&gt;=7,", "&amp;$A580&amp;"-"&amp;TEXT(($D580-$C580+1)+6,"00"),"")&amp;IF($C580&gt;=8,", "&amp;$A580&amp;"-"&amp;TEXT(($D580-$C580+1)+7,"00"),"")&amp;IF($C580&gt;=9,", "&amp;$A580&amp;"-"&amp;TEXT(($D580-$C580+1)+8,"00"),"")&amp;IF($C580&gt;=10,", "&amp;$A580&amp;"-"&amp;TEXT(($D580-$C580+1)+9,"00"),"")&amp;IF($C580&gt;=11,", "&amp;$A580&amp;"-"&amp;TEXT(($D580-$C580+1)+10,"00"),"")&amp;IF($C580&gt;=12,", "&amp;$A580&amp;"-"&amp;TEXT(($D580-$C580+1)+11,"00"),"")&amp;IF($C580&gt;=13,", "&amp;$A580&amp;"-"&amp;TEXT(($D580-$C580+1)+12,"00"),"")&amp;IF($C580&gt;=14,", "&amp;$A580&amp;"-"&amp;TEXT(($D580-$C580+1)+13,"00"),"")&amp;IF($C580&gt;=15,", "&amp;$A580&amp;"-"&amp;TEXT(($D580-$C580+1)+14,"00"),"")&amp;IF($C580&gt;=16,", "&amp;$A580&amp;"-"&amp;TEXT(($D580-$C580+1)+15,"00"),"")&amp;IF($C580&gt;=17,", "&amp;$A580&amp;"-"&amp;TEXT(($D580-$C580+1)+16,"00"),"")&amp;IF($C580&gt;=18,", "&amp;$A580&amp;"-"&amp;TEXT(($D580-$C580+1)+17,"00"),"")&amp;IF($C580&gt;=19,", "&amp;$A580&amp;"-"&amp;TEXT(($D580-$C580+1)+18,"00"),"")&amp;IF($C580&gt;=20,", "&amp;$A580&amp;"-"&amp;TEXT(($D580-$C580+1)+19,"00"),"")&amp;IF($C580&gt;=21,", "&amp;$A580&amp;"-"&amp;TEXT(($D580-$C580+1)+20,"00"),"")&amp;IF($C580&gt;=22,", "&amp;$A580&amp;"-"&amp;TEXT(($D580-$C580+1)+21,"00"),"")&amp;IF($C580&gt;=23,", "&amp;$A580&amp;"-"&amp;TEXT(($D580-$C580+1)+22,"00"),"")&amp;IF($C580&gt;=24,", "&amp;$A580&amp;"-"&amp;TEXT(($D580-$C580+1)+23,"00"),"")&amp;IF($C580&gt;=25,", "&amp;$A580&amp;"-"&amp;TEXT(($D580-$C580+1)+24,"00"),""))</f>
        <v/>
      </c>
      <c r="G580">
        <f>IF($A580="","",IF($E580=1,$F580,IF($F580="",$G579,IF($G579="",$F580,$G579&amp;", "&amp;$F580))))</f>
        <v/>
      </c>
      <c r="H580">
        <f>IF($A580="","",$A580&amp;" ("&amp;$C580&amp;")")</f>
        <v/>
      </c>
      <c r="I580">
        <f>IF($A580="","",IF($E580=1,$H580,$I579&amp;", "&amp;$H580))</f>
        <v/>
      </c>
      <c r="J580">
        <f>IF($A580="","",IF($E580=1,$B580,""))</f>
        <v/>
      </c>
      <c r="K580">
        <f>IF($A580="","",IF(COUNTIF($B$2:$B580,$B580)=COUNTIF($B$2:$B$1601,$B580),$B580,""))</f>
        <v/>
      </c>
    </row>
    <row r="581">
      <c r="A581">
        <f>IF('TMP Paste'!$E581="","",'TMP Paste'!$E581)</f>
        <v/>
      </c>
      <c r="B581">
        <f>IF($A581="","",COUNTIF('TMP Paste'!$B$2:$B581,"?*"))</f>
        <v/>
      </c>
      <c r="C581">
        <f>IF($A581="","",IFERROR('TMP Paste'!$M581*1,0))</f>
        <v/>
      </c>
      <c r="D581">
        <f>IF($A581="","",SUMIF($B$2:$B581,$B581,$C$2:$C581))</f>
        <v/>
      </c>
      <c r="E581">
        <f>IF($A581="",0,IF('TMP Paste'!$B581="",0,1))</f>
        <v/>
      </c>
      <c r="F581">
        <f>IF(OR($A581="",$C581&lt;1),"",$A581&amp;"-"&amp;TEXT(($D581-$C581+1),"00")&amp;IF($C581&gt;=2,", "&amp;$A581&amp;"-"&amp;TEXT(($D581-$C581+1)+1,"00"),"")&amp;IF($C581&gt;=3,", "&amp;$A581&amp;"-"&amp;TEXT(($D581-$C581+1)+2,"00"),"")&amp;IF($C581&gt;=4,", "&amp;$A581&amp;"-"&amp;TEXT(($D581-$C581+1)+3,"00"),"")&amp;IF($C581&gt;=5,", "&amp;$A581&amp;"-"&amp;TEXT(($D581-$C581+1)+4,"00"),"")&amp;IF($C581&gt;=6,", "&amp;$A581&amp;"-"&amp;TEXT(($D581-$C581+1)+5,"00"),"")&amp;IF($C581&gt;=7,", "&amp;$A581&amp;"-"&amp;TEXT(($D581-$C581+1)+6,"00"),"")&amp;IF($C581&gt;=8,", "&amp;$A581&amp;"-"&amp;TEXT(($D581-$C581+1)+7,"00"),"")&amp;IF($C581&gt;=9,", "&amp;$A581&amp;"-"&amp;TEXT(($D581-$C581+1)+8,"00"),"")&amp;IF($C581&gt;=10,", "&amp;$A581&amp;"-"&amp;TEXT(($D581-$C581+1)+9,"00"),"")&amp;IF($C581&gt;=11,", "&amp;$A581&amp;"-"&amp;TEXT(($D581-$C581+1)+10,"00"),"")&amp;IF($C581&gt;=12,", "&amp;$A581&amp;"-"&amp;TEXT(($D581-$C581+1)+11,"00"),"")&amp;IF($C581&gt;=13,", "&amp;$A581&amp;"-"&amp;TEXT(($D581-$C581+1)+12,"00"),"")&amp;IF($C581&gt;=14,", "&amp;$A581&amp;"-"&amp;TEXT(($D581-$C581+1)+13,"00"),"")&amp;IF($C581&gt;=15,", "&amp;$A581&amp;"-"&amp;TEXT(($D581-$C581+1)+14,"00"),"")&amp;IF($C581&gt;=16,", "&amp;$A581&amp;"-"&amp;TEXT(($D581-$C581+1)+15,"00"),"")&amp;IF($C581&gt;=17,", "&amp;$A581&amp;"-"&amp;TEXT(($D581-$C581+1)+16,"00"),"")&amp;IF($C581&gt;=18,", "&amp;$A581&amp;"-"&amp;TEXT(($D581-$C581+1)+17,"00"),"")&amp;IF($C581&gt;=19,", "&amp;$A581&amp;"-"&amp;TEXT(($D581-$C581+1)+18,"00"),"")&amp;IF($C581&gt;=20,", "&amp;$A581&amp;"-"&amp;TEXT(($D581-$C581+1)+19,"00"),"")&amp;IF($C581&gt;=21,", "&amp;$A581&amp;"-"&amp;TEXT(($D581-$C581+1)+20,"00"),"")&amp;IF($C581&gt;=22,", "&amp;$A581&amp;"-"&amp;TEXT(($D581-$C581+1)+21,"00"),"")&amp;IF($C581&gt;=23,", "&amp;$A581&amp;"-"&amp;TEXT(($D581-$C581+1)+22,"00"),"")&amp;IF($C581&gt;=24,", "&amp;$A581&amp;"-"&amp;TEXT(($D581-$C581+1)+23,"00"),"")&amp;IF($C581&gt;=25,", "&amp;$A581&amp;"-"&amp;TEXT(($D581-$C581+1)+24,"00"),""))</f>
        <v/>
      </c>
      <c r="G581">
        <f>IF($A581="","",IF($E581=1,$F581,IF($F581="",$G580,IF($G580="",$F581,$G580&amp;", "&amp;$F581))))</f>
        <v/>
      </c>
      <c r="H581">
        <f>IF($A581="","",$A581&amp;" ("&amp;$C581&amp;")")</f>
        <v/>
      </c>
      <c r="I581">
        <f>IF($A581="","",IF($E581=1,$H581,$I580&amp;", "&amp;$H581))</f>
        <v/>
      </c>
      <c r="J581">
        <f>IF($A581="","",IF($E581=1,$B581,""))</f>
        <v/>
      </c>
      <c r="K581">
        <f>IF($A581="","",IF(COUNTIF($B$2:$B581,$B581)=COUNTIF($B$2:$B$1601,$B581),$B581,""))</f>
        <v/>
      </c>
    </row>
    <row r="582">
      <c r="A582">
        <f>IF('TMP Paste'!$E582="","",'TMP Paste'!$E582)</f>
        <v/>
      </c>
      <c r="B582">
        <f>IF($A582="","",COUNTIF('TMP Paste'!$B$2:$B582,"?*"))</f>
        <v/>
      </c>
      <c r="C582">
        <f>IF($A582="","",IFERROR('TMP Paste'!$M582*1,0))</f>
        <v/>
      </c>
      <c r="D582">
        <f>IF($A582="","",SUMIF($B$2:$B582,$B582,$C$2:$C582))</f>
        <v/>
      </c>
      <c r="E582">
        <f>IF($A582="",0,IF('TMP Paste'!$B582="",0,1))</f>
        <v/>
      </c>
      <c r="F582">
        <f>IF(OR($A582="",$C582&lt;1),"",$A582&amp;"-"&amp;TEXT(($D582-$C582+1),"00")&amp;IF($C582&gt;=2,", "&amp;$A582&amp;"-"&amp;TEXT(($D582-$C582+1)+1,"00"),"")&amp;IF($C582&gt;=3,", "&amp;$A582&amp;"-"&amp;TEXT(($D582-$C582+1)+2,"00"),"")&amp;IF($C582&gt;=4,", "&amp;$A582&amp;"-"&amp;TEXT(($D582-$C582+1)+3,"00"),"")&amp;IF($C582&gt;=5,", "&amp;$A582&amp;"-"&amp;TEXT(($D582-$C582+1)+4,"00"),"")&amp;IF($C582&gt;=6,", "&amp;$A582&amp;"-"&amp;TEXT(($D582-$C582+1)+5,"00"),"")&amp;IF($C582&gt;=7,", "&amp;$A582&amp;"-"&amp;TEXT(($D582-$C582+1)+6,"00"),"")&amp;IF($C582&gt;=8,", "&amp;$A582&amp;"-"&amp;TEXT(($D582-$C582+1)+7,"00"),"")&amp;IF($C582&gt;=9,", "&amp;$A582&amp;"-"&amp;TEXT(($D582-$C582+1)+8,"00"),"")&amp;IF($C582&gt;=10,", "&amp;$A582&amp;"-"&amp;TEXT(($D582-$C582+1)+9,"00"),"")&amp;IF($C582&gt;=11,", "&amp;$A582&amp;"-"&amp;TEXT(($D582-$C582+1)+10,"00"),"")&amp;IF($C582&gt;=12,", "&amp;$A582&amp;"-"&amp;TEXT(($D582-$C582+1)+11,"00"),"")&amp;IF($C582&gt;=13,", "&amp;$A582&amp;"-"&amp;TEXT(($D582-$C582+1)+12,"00"),"")&amp;IF($C582&gt;=14,", "&amp;$A582&amp;"-"&amp;TEXT(($D582-$C582+1)+13,"00"),"")&amp;IF($C582&gt;=15,", "&amp;$A582&amp;"-"&amp;TEXT(($D582-$C582+1)+14,"00"),"")&amp;IF($C582&gt;=16,", "&amp;$A582&amp;"-"&amp;TEXT(($D582-$C582+1)+15,"00"),"")&amp;IF($C582&gt;=17,", "&amp;$A582&amp;"-"&amp;TEXT(($D582-$C582+1)+16,"00"),"")&amp;IF($C582&gt;=18,", "&amp;$A582&amp;"-"&amp;TEXT(($D582-$C582+1)+17,"00"),"")&amp;IF($C582&gt;=19,", "&amp;$A582&amp;"-"&amp;TEXT(($D582-$C582+1)+18,"00"),"")&amp;IF($C582&gt;=20,", "&amp;$A582&amp;"-"&amp;TEXT(($D582-$C582+1)+19,"00"),"")&amp;IF($C582&gt;=21,", "&amp;$A582&amp;"-"&amp;TEXT(($D582-$C582+1)+20,"00"),"")&amp;IF($C582&gt;=22,", "&amp;$A582&amp;"-"&amp;TEXT(($D582-$C582+1)+21,"00"),"")&amp;IF($C582&gt;=23,", "&amp;$A582&amp;"-"&amp;TEXT(($D582-$C582+1)+22,"00"),"")&amp;IF($C582&gt;=24,", "&amp;$A582&amp;"-"&amp;TEXT(($D582-$C582+1)+23,"00"),"")&amp;IF($C582&gt;=25,", "&amp;$A582&amp;"-"&amp;TEXT(($D582-$C582+1)+24,"00"),""))</f>
        <v/>
      </c>
      <c r="G582">
        <f>IF($A582="","",IF($E582=1,$F582,IF($F582="",$G581,IF($G581="",$F582,$G581&amp;", "&amp;$F582))))</f>
        <v/>
      </c>
      <c r="H582">
        <f>IF($A582="","",$A582&amp;" ("&amp;$C582&amp;")")</f>
        <v/>
      </c>
      <c r="I582">
        <f>IF($A582="","",IF($E582=1,$H582,$I581&amp;", "&amp;$H582))</f>
        <v/>
      </c>
      <c r="J582">
        <f>IF($A582="","",IF($E582=1,$B582,""))</f>
        <v/>
      </c>
      <c r="K582">
        <f>IF($A582="","",IF(COUNTIF($B$2:$B582,$B582)=COUNTIF($B$2:$B$1601,$B582),$B582,""))</f>
        <v/>
      </c>
    </row>
    <row r="583">
      <c r="A583">
        <f>IF('TMP Paste'!$E583="","",'TMP Paste'!$E583)</f>
        <v/>
      </c>
      <c r="B583">
        <f>IF($A583="","",COUNTIF('TMP Paste'!$B$2:$B583,"?*"))</f>
        <v/>
      </c>
      <c r="C583">
        <f>IF($A583="","",IFERROR('TMP Paste'!$M583*1,0))</f>
        <v/>
      </c>
      <c r="D583">
        <f>IF($A583="","",SUMIF($B$2:$B583,$B583,$C$2:$C583))</f>
        <v/>
      </c>
      <c r="E583">
        <f>IF($A583="",0,IF('TMP Paste'!$B583="",0,1))</f>
        <v/>
      </c>
      <c r="F583">
        <f>IF(OR($A583="",$C583&lt;1),"",$A583&amp;"-"&amp;TEXT(($D583-$C583+1),"00")&amp;IF($C583&gt;=2,", "&amp;$A583&amp;"-"&amp;TEXT(($D583-$C583+1)+1,"00"),"")&amp;IF($C583&gt;=3,", "&amp;$A583&amp;"-"&amp;TEXT(($D583-$C583+1)+2,"00"),"")&amp;IF($C583&gt;=4,", "&amp;$A583&amp;"-"&amp;TEXT(($D583-$C583+1)+3,"00"),"")&amp;IF($C583&gt;=5,", "&amp;$A583&amp;"-"&amp;TEXT(($D583-$C583+1)+4,"00"),"")&amp;IF($C583&gt;=6,", "&amp;$A583&amp;"-"&amp;TEXT(($D583-$C583+1)+5,"00"),"")&amp;IF($C583&gt;=7,", "&amp;$A583&amp;"-"&amp;TEXT(($D583-$C583+1)+6,"00"),"")&amp;IF($C583&gt;=8,", "&amp;$A583&amp;"-"&amp;TEXT(($D583-$C583+1)+7,"00"),"")&amp;IF($C583&gt;=9,", "&amp;$A583&amp;"-"&amp;TEXT(($D583-$C583+1)+8,"00"),"")&amp;IF($C583&gt;=10,", "&amp;$A583&amp;"-"&amp;TEXT(($D583-$C583+1)+9,"00"),"")&amp;IF($C583&gt;=11,", "&amp;$A583&amp;"-"&amp;TEXT(($D583-$C583+1)+10,"00"),"")&amp;IF($C583&gt;=12,", "&amp;$A583&amp;"-"&amp;TEXT(($D583-$C583+1)+11,"00"),"")&amp;IF($C583&gt;=13,", "&amp;$A583&amp;"-"&amp;TEXT(($D583-$C583+1)+12,"00"),"")&amp;IF($C583&gt;=14,", "&amp;$A583&amp;"-"&amp;TEXT(($D583-$C583+1)+13,"00"),"")&amp;IF($C583&gt;=15,", "&amp;$A583&amp;"-"&amp;TEXT(($D583-$C583+1)+14,"00"),"")&amp;IF($C583&gt;=16,", "&amp;$A583&amp;"-"&amp;TEXT(($D583-$C583+1)+15,"00"),"")&amp;IF($C583&gt;=17,", "&amp;$A583&amp;"-"&amp;TEXT(($D583-$C583+1)+16,"00"),"")&amp;IF($C583&gt;=18,", "&amp;$A583&amp;"-"&amp;TEXT(($D583-$C583+1)+17,"00"),"")&amp;IF($C583&gt;=19,", "&amp;$A583&amp;"-"&amp;TEXT(($D583-$C583+1)+18,"00"),"")&amp;IF($C583&gt;=20,", "&amp;$A583&amp;"-"&amp;TEXT(($D583-$C583+1)+19,"00"),"")&amp;IF($C583&gt;=21,", "&amp;$A583&amp;"-"&amp;TEXT(($D583-$C583+1)+20,"00"),"")&amp;IF($C583&gt;=22,", "&amp;$A583&amp;"-"&amp;TEXT(($D583-$C583+1)+21,"00"),"")&amp;IF($C583&gt;=23,", "&amp;$A583&amp;"-"&amp;TEXT(($D583-$C583+1)+22,"00"),"")&amp;IF($C583&gt;=24,", "&amp;$A583&amp;"-"&amp;TEXT(($D583-$C583+1)+23,"00"),"")&amp;IF($C583&gt;=25,", "&amp;$A583&amp;"-"&amp;TEXT(($D583-$C583+1)+24,"00"),""))</f>
        <v/>
      </c>
      <c r="G583">
        <f>IF($A583="","",IF($E583=1,$F583,IF($F583="",$G582,IF($G582="",$F583,$G582&amp;", "&amp;$F583))))</f>
        <v/>
      </c>
      <c r="H583">
        <f>IF($A583="","",$A583&amp;" ("&amp;$C583&amp;")")</f>
        <v/>
      </c>
      <c r="I583">
        <f>IF($A583="","",IF($E583=1,$H583,$I582&amp;", "&amp;$H583))</f>
        <v/>
      </c>
      <c r="J583">
        <f>IF($A583="","",IF($E583=1,$B583,""))</f>
        <v/>
      </c>
      <c r="K583">
        <f>IF($A583="","",IF(COUNTIF($B$2:$B583,$B583)=COUNTIF($B$2:$B$1601,$B583),$B583,""))</f>
        <v/>
      </c>
    </row>
    <row r="584">
      <c r="A584">
        <f>IF('TMP Paste'!$E584="","",'TMP Paste'!$E584)</f>
        <v/>
      </c>
      <c r="B584">
        <f>IF($A584="","",COUNTIF('TMP Paste'!$B$2:$B584,"?*"))</f>
        <v/>
      </c>
      <c r="C584">
        <f>IF($A584="","",IFERROR('TMP Paste'!$M584*1,0))</f>
        <v/>
      </c>
      <c r="D584">
        <f>IF($A584="","",SUMIF($B$2:$B584,$B584,$C$2:$C584))</f>
        <v/>
      </c>
      <c r="E584">
        <f>IF($A584="",0,IF('TMP Paste'!$B584="",0,1))</f>
        <v/>
      </c>
      <c r="F584">
        <f>IF(OR($A584="",$C584&lt;1),"",$A584&amp;"-"&amp;TEXT(($D584-$C584+1),"00")&amp;IF($C584&gt;=2,", "&amp;$A584&amp;"-"&amp;TEXT(($D584-$C584+1)+1,"00"),"")&amp;IF($C584&gt;=3,", "&amp;$A584&amp;"-"&amp;TEXT(($D584-$C584+1)+2,"00"),"")&amp;IF($C584&gt;=4,", "&amp;$A584&amp;"-"&amp;TEXT(($D584-$C584+1)+3,"00"),"")&amp;IF($C584&gt;=5,", "&amp;$A584&amp;"-"&amp;TEXT(($D584-$C584+1)+4,"00"),"")&amp;IF($C584&gt;=6,", "&amp;$A584&amp;"-"&amp;TEXT(($D584-$C584+1)+5,"00"),"")&amp;IF($C584&gt;=7,", "&amp;$A584&amp;"-"&amp;TEXT(($D584-$C584+1)+6,"00"),"")&amp;IF($C584&gt;=8,", "&amp;$A584&amp;"-"&amp;TEXT(($D584-$C584+1)+7,"00"),"")&amp;IF($C584&gt;=9,", "&amp;$A584&amp;"-"&amp;TEXT(($D584-$C584+1)+8,"00"),"")&amp;IF($C584&gt;=10,", "&amp;$A584&amp;"-"&amp;TEXT(($D584-$C584+1)+9,"00"),"")&amp;IF($C584&gt;=11,", "&amp;$A584&amp;"-"&amp;TEXT(($D584-$C584+1)+10,"00"),"")&amp;IF($C584&gt;=12,", "&amp;$A584&amp;"-"&amp;TEXT(($D584-$C584+1)+11,"00"),"")&amp;IF($C584&gt;=13,", "&amp;$A584&amp;"-"&amp;TEXT(($D584-$C584+1)+12,"00"),"")&amp;IF($C584&gt;=14,", "&amp;$A584&amp;"-"&amp;TEXT(($D584-$C584+1)+13,"00"),"")&amp;IF($C584&gt;=15,", "&amp;$A584&amp;"-"&amp;TEXT(($D584-$C584+1)+14,"00"),"")&amp;IF($C584&gt;=16,", "&amp;$A584&amp;"-"&amp;TEXT(($D584-$C584+1)+15,"00"),"")&amp;IF($C584&gt;=17,", "&amp;$A584&amp;"-"&amp;TEXT(($D584-$C584+1)+16,"00"),"")&amp;IF($C584&gt;=18,", "&amp;$A584&amp;"-"&amp;TEXT(($D584-$C584+1)+17,"00"),"")&amp;IF($C584&gt;=19,", "&amp;$A584&amp;"-"&amp;TEXT(($D584-$C584+1)+18,"00"),"")&amp;IF($C584&gt;=20,", "&amp;$A584&amp;"-"&amp;TEXT(($D584-$C584+1)+19,"00"),"")&amp;IF($C584&gt;=21,", "&amp;$A584&amp;"-"&amp;TEXT(($D584-$C584+1)+20,"00"),"")&amp;IF($C584&gt;=22,", "&amp;$A584&amp;"-"&amp;TEXT(($D584-$C584+1)+21,"00"),"")&amp;IF($C584&gt;=23,", "&amp;$A584&amp;"-"&amp;TEXT(($D584-$C584+1)+22,"00"),"")&amp;IF($C584&gt;=24,", "&amp;$A584&amp;"-"&amp;TEXT(($D584-$C584+1)+23,"00"),"")&amp;IF($C584&gt;=25,", "&amp;$A584&amp;"-"&amp;TEXT(($D584-$C584+1)+24,"00"),""))</f>
        <v/>
      </c>
      <c r="G584">
        <f>IF($A584="","",IF($E584=1,$F584,IF($F584="",$G583,IF($G583="",$F584,$G583&amp;", "&amp;$F584))))</f>
        <v/>
      </c>
      <c r="H584">
        <f>IF($A584="","",$A584&amp;" ("&amp;$C584&amp;")")</f>
        <v/>
      </c>
      <c r="I584">
        <f>IF($A584="","",IF($E584=1,$H584,$I583&amp;", "&amp;$H584))</f>
        <v/>
      </c>
      <c r="J584">
        <f>IF($A584="","",IF($E584=1,$B584,""))</f>
        <v/>
      </c>
      <c r="K584">
        <f>IF($A584="","",IF(COUNTIF($B$2:$B584,$B584)=COUNTIF($B$2:$B$1601,$B584),$B584,""))</f>
        <v/>
      </c>
    </row>
    <row r="585">
      <c r="A585">
        <f>IF('TMP Paste'!$E585="","",'TMP Paste'!$E585)</f>
        <v/>
      </c>
      <c r="B585">
        <f>IF($A585="","",COUNTIF('TMP Paste'!$B$2:$B585,"?*"))</f>
        <v/>
      </c>
      <c r="C585">
        <f>IF($A585="","",IFERROR('TMP Paste'!$M585*1,0))</f>
        <v/>
      </c>
      <c r="D585">
        <f>IF($A585="","",SUMIF($B$2:$B585,$B585,$C$2:$C585))</f>
        <v/>
      </c>
      <c r="E585">
        <f>IF($A585="",0,IF('TMP Paste'!$B585="",0,1))</f>
        <v/>
      </c>
      <c r="F585">
        <f>IF(OR($A585="",$C585&lt;1),"",$A585&amp;"-"&amp;TEXT(($D585-$C585+1),"00")&amp;IF($C585&gt;=2,", "&amp;$A585&amp;"-"&amp;TEXT(($D585-$C585+1)+1,"00"),"")&amp;IF($C585&gt;=3,", "&amp;$A585&amp;"-"&amp;TEXT(($D585-$C585+1)+2,"00"),"")&amp;IF($C585&gt;=4,", "&amp;$A585&amp;"-"&amp;TEXT(($D585-$C585+1)+3,"00"),"")&amp;IF($C585&gt;=5,", "&amp;$A585&amp;"-"&amp;TEXT(($D585-$C585+1)+4,"00"),"")&amp;IF($C585&gt;=6,", "&amp;$A585&amp;"-"&amp;TEXT(($D585-$C585+1)+5,"00"),"")&amp;IF($C585&gt;=7,", "&amp;$A585&amp;"-"&amp;TEXT(($D585-$C585+1)+6,"00"),"")&amp;IF($C585&gt;=8,", "&amp;$A585&amp;"-"&amp;TEXT(($D585-$C585+1)+7,"00"),"")&amp;IF($C585&gt;=9,", "&amp;$A585&amp;"-"&amp;TEXT(($D585-$C585+1)+8,"00"),"")&amp;IF($C585&gt;=10,", "&amp;$A585&amp;"-"&amp;TEXT(($D585-$C585+1)+9,"00"),"")&amp;IF($C585&gt;=11,", "&amp;$A585&amp;"-"&amp;TEXT(($D585-$C585+1)+10,"00"),"")&amp;IF($C585&gt;=12,", "&amp;$A585&amp;"-"&amp;TEXT(($D585-$C585+1)+11,"00"),"")&amp;IF($C585&gt;=13,", "&amp;$A585&amp;"-"&amp;TEXT(($D585-$C585+1)+12,"00"),"")&amp;IF($C585&gt;=14,", "&amp;$A585&amp;"-"&amp;TEXT(($D585-$C585+1)+13,"00"),"")&amp;IF($C585&gt;=15,", "&amp;$A585&amp;"-"&amp;TEXT(($D585-$C585+1)+14,"00"),"")&amp;IF($C585&gt;=16,", "&amp;$A585&amp;"-"&amp;TEXT(($D585-$C585+1)+15,"00"),"")&amp;IF($C585&gt;=17,", "&amp;$A585&amp;"-"&amp;TEXT(($D585-$C585+1)+16,"00"),"")&amp;IF($C585&gt;=18,", "&amp;$A585&amp;"-"&amp;TEXT(($D585-$C585+1)+17,"00"),"")&amp;IF($C585&gt;=19,", "&amp;$A585&amp;"-"&amp;TEXT(($D585-$C585+1)+18,"00"),"")&amp;IF($C585&gt;=20,", "&amp;$A585&amp;"-"&amp;TEXT(($D585-$C585+1)+19,"00"),"")&amp;IF($C585&gt;=21,", "&amp;$A585&amp;"-"&amp;TEXT(($D585-$C585+1)+20,"00"),"")&amp;IF($C585&gt;=22,", "&amp;$A585&amp;"-"&amp;TEXT(($D585-$C585+1)+21,"00"),"")&amp;IF($C585&gt;=23,", "&amp;$A585&amp;"-"&amp;TEXT(($D585-$C585+1)+22,"00"),"")&amp;IF($C585&gt;=24,", "&amp;$A585&amp;"-"&amp;TEXT(($D585-$C585+1)+23,"00"),"")&amp;IF($C585&gt;=25,", "&amp;$A585&amp;"-"&amp;TEXT(($D585-$C585+1)+24,"00"),""))</f>
        <v/>
      </c>
      <c r="G585">
        <f>IF($A585="","",IF($E585=1,$F585,IF($F585="",$G584,IF($G584="",$F585,$G584&amp;", "&amp;$F585))))</f>
        <v/>
      </c>
      <c r="H585">
        <f>IF($A585="","",$A585&amp;" ("&amp;$C585&amp;")")</f>
        <v/>
      </c>
      <c r="I585">
        <f>IF($A585="","",IF($E585=1,$H585,$I584&amp;", "&amp;$H585))</f>
        <v/>
      </c>
      <c r="J585">
        <f>IF($A585="","",IF($E585=1,$B585,""))</f>
        <v/>
      </c>
      <c r="K585">
        <f>IF($A585="","",IF(COUNTIF($B$2:$B585,$B585)=COUNTIF($B$2:$B$1601,$B585),$B585,""))</f>
        <v/>
      </c>
    </row>
    <row r="586">
      <c r="A586">
        <f>IF('TMP Paste'!$E586="","",'TMP Paste'!$E586)</f>
        <v/>
      </c>
      <c r="B586">
        <f>IF($A586="","",COUNTIF('TMP Paste'!$B$2:$B586,"?*"))</f>
        <v/>
      </c>
      <c r="C586">
        <f>IF($A586="","",IFERROR('TMP Paste'!$M586*1,0))</f>
        <v/>
      </c>
      <c r="D586">
        <f>IF($A586="","",SUMIF($B$2:$B586,$B586,$C$2:$C586))</f>
        <v/>
      </c>
      <c r="E586">
        <f>IF($A586="",0,IF('TMP Paste'!$B586="",0,1))</f>
        <v/>
      </c>
      <c r="F586">
        <f>IF(OR($A586="",$C586&lt;1),"",$A586&amp;"-"&amp;TEXT(($D586-$C586+1),"00")&amp;IF($C586&gt;=2,", "&amp;$A586&amp;"-"&amp;TEXT(($D586-$C586+1)+1,"00"),"")&amp;IF($C586&gt;=3,", "&amp;$A586&amp;"-"&amp;TEXT(($D586-$C586+1)+2,"00"),"")&amp;IF($C586&gt;=4,", "&amp;$A586&amp;"-"&amp;TEXT(($D586-$C586+1)+3,"00"),"")&amp;IF($C586&gt;=5,", "&amp;$A586&amp;"-"&amp;TEXT(($D586-$C586+1)+4,"00"),"")&amp;IF($C586&gt;=6,", "&amp;$A586&amp;"-"&amp;TEXT(($D586-$C586+1)+5,"00"),"")&amp;IF($C586&gt;=7,", "&amp;$A586&amp;"-"&amp;TEXT(($D586-$C586+1)+6,"00"),"")&amp;IF($C586&gt;=8,", "&amp;$A586&amp;"-"&amp;TEXT(($D586-$C586+1)+7,"00"),"")&amp;IF($C586&gt;=9,", "&amp;$A586&amp;"-"&amp;TEXT(($D586-$C586+1)+8,"00"),"")&amp;IF($C586&gt;=10,", "&amp;$A586&amp;"-"&amp;TEXT(($D586-$C586+1)+9,"00"),"")&amp;IF($C586&gt;=11,", "&amp;$A586&amp;"-"&amp;TEXT(($D586-$C586+1)+10,"00"),"")&amp;IF($C586&gt;=12,", "&amp;$A586&amp;"-"&amp;TEXT(($D586-$C586+1)+11,"00"),"")&amp;IF($C586&gt;=13,", "&amp;$A586&amp;"-"&amp;TEXT(($D586-$C586+1)+12,"00"),"")&amp;IF($C586&gt;=14,", "&amp;$A586&amp;"-"&amp;TEXT(($D586-$C586+1)+13,"00"),"")&amp;IF($C586&gt;=15,", "&amp;$A586&amp;"-"&amp;TEXT(($D586-$C586+1)+14,"00"),"")&amp;IF($C586&gt;=16,", "&amp;$A586&amp;"-"&amp;TEXT(($D586-$C586+1)+15,"00"),"")&amp;IF($C586&gt;=17,", "&amp;$A586&amp;"-"&amp;TEXT(($D586-$C586+1)+16,"00"),"")&amp;IF($C586&gt;=18,", "&amp;$A586&amp;"-"&amp;TEXT(($D586-$C586+1)+17,"00"),"")&amp;IF($C586&gt;=19,", "&amp;$A586&amp;"-"&amp;TEXT(($D586-$C586+1)+18,"00"),"")&amp;IF($C586&gt;=20,", "&amp;$A586&amp;"-"&amp;TEXT(($D586-$C586+1)+19,"00"),"")&amp;IF($C586&gt;=21,", "&amp;$A586&amp;"-"&amp;TEXT(($D586-$C586+1)+20,"00"),"")&amp;IF($C586&gt;=22,", "&amp;$A586&amp;"-"&amp;TEXT(($D586-$C586+1)+21,"00"),"")&amp;IF($C586&gt;=23,", "&amp;$A586&amp;"-"&amp;TEXT(($D586-$C586+1)+22,"00"),"")&amp;IF($C586&gt;=24,", "&amp;$A586&amp;"-"&amp;TEXT(($D586-$C586+1)+23,"00"),"")&amp;IF($C586&gt;=25,", "&amp;$A586&amp;"-"&amp;TEXT(($D586-$C586+1)+24,"00"),""))</f>
        <v/>
      </c>
      <c r="G586">
        <f>IF($A586="","",IF($E586=1,$F586,IF($F586="",$G585,IF($G585="",$F586,$G585&amp;", "&amp;$F586))))</f>
        <v/>
      </c>
      <c r="H586">
        <f>IF($A586="","",$A586&amp;" ("&amp;$C586&amp;")")</f>
        <v/>
      </c>
      <c r="I586">
        <f>IF($A586="","",IF($E586=1,$H586,$I585&amp;", "&amp;$H586))</f>
        <v/>
      </c>
      <c r="J586">
        <f>IF($A586="","",IF($E586=1,$B586,""))</f>
        <v/>
      </c>
      <c r="K586">
        <f>IF($A586="","",IF(COUNTIF($B$2:$B586,$B586)=COUNTIF($B$2:$B$1601,$B586),$B586,""))</f>
        <v/>
      </c>
    </row>
    <row r="587">
      <c r="A587">
        <f>IF('TMP Paste'!$E587="","",'TMP Paste'!$E587)</f>
        <v/>
      </c>
      <c r="B587">
        <f>IF($A587="","",COUNTIF('TMP Paste'!$B$2:$B587,"?*"))</f>
        <v/>
      </c>
      <c r="C587">
        <f>IF($A587="","",IFERROR('TMP Paste'!$M587*1,0))</f>
        <v/>
      </c>
      <c r="D587">
        <f>IF($A587="","",SUMIF($B$2:$B587,$B587,$C$2:$C587))</f>
        <v/>
      </c>
      <c r="E587">
        <f>IF($A587="",0,IF('TMP Paste'!$B587="",0,1))</f>
        <v/>
      </c>
      <c r="F587">
        <f>IF(OR($A587="",$C587&lt;1),"",$A587&amp;"-"&amp;TEXT(($D587-$C587+1),"00")&amp;IF($C587&gt;=2,", "&amp;$A587&amp;"-"&amp;TEXT(($D587-$C587+1)+1,"00"),"")&amp;IF($C587&gt;=3,", "&amp;$A587&amp;"-"&amp;TEXT(($D587-$C587+1)+2,"00"),"")&amp;IF($C587&gt;=4,", "&amp;$A587&amp;"-"&amp;TEXT(($D587-$C587+1)+3,"00"),"")&amp;IF($C587&gt;=5,", "&amp;$A587&amp;"-"&amp;TEXT(($D587-$C587+1)+4,"00"),"")&amp;IF($C587&gt;=6,", "&amp;$A587&amp;"-"&amp;TEXT(($D587-$C587+1)+5,"00"),"")&amp;IF($C587&gt;=7,", "&amp;$A587&amp;"-"&amp;TEXT(($D587-$C587+1)+6,"00"),"")&amp;IF($C587&gt;=8,", "&amp;$A587&amp;"-"&amp;TEXT(($D587-$C587+1)+7,"00"),"")&amp;IF($C587&gt;=9,", "&amp;$A587&amp;"-"&amp;TEXT(($D587-$C587+1)+8,"00"),"")&amp;IF($C587&gt;=10,", "&amp;$A587&amp;"-"&amp;TEXT(($D587-$C587+1)+9,"00"),"")&amp;IF($C587&gt;=11,", "&amp;$A587&amp;"-"&amp;TEXT(($D587-$C587+1)+10,"00"),"")&amp;IF($C587&gt;=12,", "&amp;$A587&amp;"-"&amp;TEXT(($D587-$C587+1)+11,"00"),"")&amp;IF($C587&gt;=13,", "&amp;$A587&amp;"-"&amp;TEXT(($D587-$C587+1)+12,"00"),"")&amp;IF($C587&gt;=14,", "&amp;$A587&amp;"-"&amp;TEXT(($D587-$C587+1)+13,"00"),"")&amp;IF($C587&gt;=15,", "&amp;$A587&amp;"-"&amp;TEXT(($D587-$C587+1)+14,"00"),"")&amp;IF($C587&gt;=16,", "&amp;$A587&amp;"-"&amp;TEXT(($D587-$C587+1)+15,"00"),"")&amp;IF($C587&gt;=17,", "&amp;$A587&amp;"-"&amp;TEXT(($D587-$C587+1)+16,"00"),"")&amp;IF($C587&gt;=18,", "&amp;$A587&amp;"-"&amp;TEXT(($D587-$C587+1)+17,"00"),"")&amp;IF($C587&gt;=19,", "&amp;$A587&amp;"-"&amp;TEXT(($D587-$C587+1)+18,"00"),"")&amp;IF($C587&gt;=20,", "&amp;$A587&amp;"-"&amp;TEXT(($D587-$C587+1)+19,"00"),"")&amp;IF($C587&gt;=21,", "&amp;$A587&amp;"-"&amp;TEXT(($D587-$C587+1)+20,"00"),"")&amp;IF($C587&gt;=22,", "&amp;$A587&amp;"-"&amp;TEXT(($D587-$C587+1)+21,"00"),"")&amp;IF($C587&gt;=23,", "&amp;$A587&amp;"-"&amp;TEXT(($D587-$C587+1)+22,"00"),"")&amp;IF($C587&gt;=24,", "&amp;$A587&amp;"-"&amp;TEXT(($D587-$C587+1)+23,"00"),"")&amp;IF($C587&gt;=25,", "&amp;$A587&amp;"-"&amp;TEXT(($D587-$C587+1)+24,"00"),""))</f>
        <v/>
      </c>
      <c r="G587">
        <f>IF($A587="","",IF($E587=1,$F587,IF($F587="",$G586,IF($G586="",$F587,$G586&amp;", "&amp;$F587))))</f>
        <v/>
      </c>
      <c r="H587">
        <f>IF($A587="","",$A587&amp;" ("&amp;$C587&amp;")")</f>
        <v/>
      </c>
      <c r="I587">
        <f>IF($A587="","",IF($E587=1,$H587,$I586&amp;", "&amp;$H587))</f>
        <v/>
      </c>
      <c r="J587">
        <f>IF($A587="","",IF($E587=1,$B587,""))</f>
        <v/>
      </c>
      <c r="K587">
        <f>IF($A587="","",IF(COUNTIF($B$2:$B587,$B587)=COUNTIF($B$2:$B$1601,$B587),$B587,""))</f>
        <v/>
      </c>
    </row>
    <row r="588">
      <c r="A588">
        <f>IF('TMP Paste'!$E588="","",'TMP Paste'!$E588)</f>
        <v/>
      </c>
      <c r="B588">
        <f>IF($A588="","",COUNTIF('TMP Paste'!$B$2:$B588,"?*"))</f>
        <v/>
      </c>
      <c r="C588">
        <f>IF($A588="","",IFERROR('TMP Paste'!$M588*1,0))</f>
        <v/>
      </c>
      <c r="D588">
        <f>IF($A588="","",SUMIF($B$2:$B588,$B588,$C$2:$C588))</f>
        <v/>
      </c>
      <c r="E588">
        <f>IF($A588="",0,IF('TMP Paste'!$B588="",0,1))</f>
        <v/>
      </c>
      <c r="F588">
        <f>IF(OR($A588="",$C588&lt;1),"",$A588&amp;"-"&amp;TEXT(($D588-$C588+1),"00")&amp;IF($C588&gt;=2,", "&amp;$A588&amp;"-"&amp;TEXT(($D588-$C588+1)+1,"00"),"")&amp;IF($C588&gt;=3,", "&amp;$A588&amp;"-"&amp;TEXT(($D588-$C588+1)+2,"00"),"")&amp;IF($C588&gt;=4,", "&amp;$A588&amp;"-"&amp;TEXT(($D588-$C588+1)+3,"00"),"")&amp;IF($C588&gt;=5,", "&amp;$A588&amp;"-"&amp;TEXT(($D588-$C588+1)+4,"00"),"")&amp;IF($C588&gt;=6,", "&amp;$A588&amp;"-"&amp;TEXT(($D588-$C588+1)+5,"00"),"")&amp;IF($C588&gt;=7,", "&amp;$A588&amp;"-"&amp;TEXT(($D588-$C588+1)+6,"00"),"")&amp;IF($C588&gt;=8,", "&amp;$A588&amp;"-"&amp;TEXT(($D588-$C588+1)+7,"00"),"")&amp;IF($C588&gt;=9,", "&amp;$A588&amp;"-"&amp;TEXT(($D588-$C588+1)+8,"00"),"")&amp;IF($C588&gt;=10,", "&amp;$A588&amp;"-"&amp;TEXT(($D588-$C588+1)+9,"00"),"")&amp;IF($C588&gt;=11,", "&amp;$A588&amp;"-"&amp;TEXT(($D588-$C588+1)+10,"00"),"")&amp;IF($C588&gt;=12,", "&amp;$A588&amp;"-"&amp;TEXT(($D588-$C588+1)+11,"00"),"")&amp;IF($C588&gt;=13,", "&amp;$A588&amp;"-"&amp;TEXT(($D588-$C588+1)+12,"00"),"")&amp;IF($C588&gt;=14,", "&amp;$A588&amp;"-"&amp;TEXT(($D588-$C588+1)+13,"00"),"")&amp;IF($C588&gt;=15,", "&amp;$A588&amp;"-"&amp;TEXT(($D588-$C588+1)+14,"00"),"")&amp;IF($C588&gt;=16,", "&amp;$A588&amp;"-"&amp;TEXT(($D588-$C588+1)+15,"00"),"")&amp;IF($C588&gt;=17,", "&amp;$A588&amp;"-"&amp;TEXT(($D588-$C588+1)+16,"00"),"")&amp;IF($C588&gt;=18,", "&amp;$A588&amp;"-"&amp;TEXT(($D588-$C588+1)+17,"00"),"")&amp;IF($C588&gt;=19,", "&amp;$A588&amp;"-"&amp;TEXT(($D588-$C588+1)+18,"00"),"")&amp;IF($C588&gt;=20,", "&amp;$A588&amp;"-"&amp;TEXT(($D588-$C588+1)+19,"00"),"")&amp;IF($C588&gt;=21,", "&amp;$A588&amp;"-"&amp;TEXT(($D588-$C588+1)+20,"00"),"")&amp;IF($C588&gt;=22,", "&amp;$A588&amp;"-"&amp;TEXT(($D588-$C588+1)+21,"00"),"")&amp;IF($C588&gt;=23,", "&amp;$A588&amp;"-"&amp;TEXT(($D588-$C588+1)+22,"00"),"")&amp;IF($C588&gt;=24,", "&amp;$A588&amp;"-"&amp;TEXT(($D588-$C588+1)+23,"00"),"")&amp;IF($C588&gt;=25,", "&amp;$A588&amp;"-"&amp;TEXT(($D588-$C588+1)+24,"00"),""))</f>
        <v/>
      </c>
      <c r="G588">
        <f>IF($A588="","",IF($E588=1,$F588,IF($F588="",$G587,IF($G587="",$F588,$G587&amp;", "&amp;$F588))))</f>
        <v/>
      </c>
      <c r="H588">
        <f>IF($A588="","",$A588&amp;" ("&amp;$C588&amp;")")</f>
        <v/>
      </c>
      <c r="I588">
        <f>IF($A588="","",IF($E588=1,$H588,$I587&amp;", "&amp;$H588))</f>
        <v/>
      </c>
      <c r="J588">
        <f>IF($A588="","",IF($E588=1,$B588,""))</f>
        <v/>
      </c>
      <c r="K588">
        <f>IF($A588="","",IF(COUNTIF($B$2:$B588,$B588)=COUNTIF($B$2:$B$1601,$B588),$B588,""))</f>
        <v/>
      </c>
    </row>
    <row r="589">
      <c r="A589">
        <f>IF('TMP Paste'!$E589="","",'TMP Paste'!$E589)</f>
        <v/>
      </c>
      <c r="B589">
        <f>IF($A589="","",COUNTIF('TMP Paste'!$B$2:$B589,"?*"))</f>
        <v/>
      </c>
      <c r="C589">
        <f>IF($A589="","",IFERROR('TMP Paste'!$M589*1,0))</f>
        <v/>
      </c>
      <c r="D589">
        <f>IF($A589="","",SUMIF($B$2:$B589,$B589,$C$2:$C589))</f>
        <v/>
      </c>
      <c r="E589">
        <f>IF($A589="",0,IF('TMP Paste'!$B589="",0,1))</f>
        <v/>
      </c>
      <c r="F589">
        <f>IF(OR($A589="",$C589&lt;1),"",$A589&amp;"-"&amp;TEXT(($D589-$C589+1),"00")&amp;IF($C589&gt;=2,", "&amp;$A589&amp;"-"&amp;TEXT(($D589-$C589+1)+1,"00"),"")&amp;IF($C589&gt;=3,", "&amp;$A589&amp;"-"&amp;TEXT(($D589-$C589+1)+2,"00"),"")&amp;IF($C589&gt;=4,", "&amp;$A589&amp;"-"&amp;TEXT(($D589-$C589+1)+3,"00"),"")&amp;IF($C589&gt;=5,", "&amp;$A589&amp;"-"&amp;TEXT(($D589-$C589+1)+4,"00"),"")&amp;IF($C589&gt;=6,", "&amp;$A589&amp;"-"&amp;TEXT(($D589-$C589+1)+5,"00"),"")&amp;IF($C589&gt;=7,", "&amp;$A589&amp;"-"&amp;TEXT(($D589-$C589+1)+6,"00"),"")&amp;IF($C589&gt;=8,", "&amp;$A589&amp;"-"&amp;TEXT(($D589-$C589+1)+7,"00"),"")&amp;IF($C589&gt;=9,", "&amp;$A589&amp;"-"&amp;TEXT(($D589-$C589+1)+8,"00"),"")&amp;IF($C589&gt;=10,", "&amp;$A589&amp;"-"&amp;TEXT(($D589-$C589+1)+9,"00"),"")&amp;IF($C589&gt;=11,", "&amp;$A589&amp;"-"&amp;TEXT(($D589-$C589+1)+10,"00"),"")&amp;IF($C589&gt;=12,", "&amp;$A589&amp;"-"&amp;TEXT(($D589-$C589+1)+11,"00"),"")&amp;IF($C589&gt;=13,", "&amp;$A589&amp;"-"&amp;TEXT(($D589-$C589+1)+12,"00"),"")&amp;IF($C589&gt;=14,", "&amp;$A589&amp;"-"&amp;TEXT(($D589-$C589+1)+13,"00"),"")&amp;IF($C589&gt;=15,", "&amp;$A589&amp;"-"&amp;TEXT(($D589-$C589+1)+14,"00"),"")&amp;IF($C589&gt;=16,", "&amp;$A589&amp;"-"&amp;TEXT(($D589-$C589+1)+15,"00"),"")&amp;IF($C589&gt;=17,", "&amp;$A589&amp;"-"&amp;TEXT(($D589-$C589+1)+16,"00"),"")&amp;IF($C589&gt;=18,", "&amp;$A589&amp;"-"&amp;TEXT(($D589-$C589+1)+17,"00"),"")&amp;IF($C589&gt;=19,", "&amp;$A589&amp;"-"&amp;TEXT(($D589-$C589+1)+18,"00"),"")&amp;IF($C589&gt;=20,", "&amp;$A589&amp;"-"&amp;TEXT(($D589-$C589+1)+19,"00"),"")&amp;IF($C589&gt;=21,", "&amp;$A589&amp;"-"&amp;TEXT(($D589-$C589+1)+20,"00"),"")&amp;IF($C589&gt;=22,", "&amp;$A589&amp;"-"&amp;TEXT(($D589-$C589+1)+21,"00"),"")&amp;IF($C589&gt;=23,", "&amp;$A589&amp;"-"&amp;TEXT(($D589-$C589+1)+22,"00"),"")&amp;IF($C589&gt;=24,", "&amp;$A589&amp;"-"&amp;TEXT(($D589-$C589+1)+23,"00"),"")&amp;IF($C589&gt;=25,", "&amp;$A589&amp;"-"&amp;TEXT(($D589-$C589+1)+24,"00"),""))</f>
        <v/>
      </c>
      <c r="G589">
        <f>IF($A589="","",IF($E589=1,$F589,IF($F589="",$G588,IF($G588="",$F589,$G588&amp;", "&amp;$F589))))</f>
        <v/>
      </c>
      <c r="H589">
        <f>IF($A589="","",$A589&amp;" ("&amp;$C589&amp;")")</f>
        <v/>
      </c>
      <c r="I589">
        <f>IF($A589="","",IF($E589=1,$H589,$I588&amp;", "&amp;$H589))</f>
        <v/>
      </c>
      <c r="J589">
        <f>IF($A589="","",IF($E589=1,$B589,""))</f>
        <v/>
      </c>
      <c r="K589">
        <f>IF($A589="","",IF(COUNTIF($B$2:$B589,$B589)=COUNTIF($B$2:$B$1601,$B589),$B589,""))</f>
        <v/>
      </c>
    </row>
    <row r="590">
      <c r="A590">
        <f>IF('TMP Paste'!$E590="","",'TMP Paste'!$E590)</f>
        <v/>
      </c>
      <c r="B590">
        <f>IF($A590="","",COUNTIF('TMP Paste'!$B$2:$B590,"?*"))</f>
        <v/>
      </c>
      <c r="C590">
        <f>IF($A590="","",IFERROR('TMP Paste'!$M590*1,0))</f>
        <v/>
      </c>
      <c r="D590">
        <f>IF($A590="","",SUMIF($B$2:$B590,$B590,$C$2:$C590))</f>
        <v/>
      </c>
      <c r="E590">
        <f>IF($A590="",0,IF('TMP Paste'!$B590="",0,1))</f>
        <v/>
      </c>
      <c r="F590">
        <f>IF(OR($A590="",$C590&lt;1),"",$A590&amp;"-"&amp;TEXT(($D590-$C590+1),"00")&amp;IF($C590&gt;=2,", "&amp;$A590&amp;"-"&amp;TEXT(($D590-$C590+1)+1,"00"),"")&amp;IF($C590&gt;=3,", "&amp;$A590&amp;"-"&amp;TEXT(($D590-$C590+1)+2,"00"),"")&amp;IF($C590&gt;=4,", "&amp;$A590&amp;"-"&amp;TEXT(($D590-$C590+1)+3,"00"),"")&amp;IF($C590&gt;=5,", "&amp;$A590&amp;"-"&amp;TEXT(($D590-$C590+1)+4,"00"),"")&amp;IF($C590&gt;=6,", "&amp;$A590&amp;"-"&amp;TEXT(($D590-$C590+1)+5,"00"),"")&amp;IF($C590&gt;=7,", "&amp;$A590&amp;"-"&amp;TEXT(($D590-$C590+1)+6,"00"),"")&amp;IF($C590&gt;=8,", "&amp;$A590&amp;"-"&amp;TEXT(($D590-$C590+1)+7,"00"),"")&amp;IF($C590&gt;=9,", "&amp;$A590&amp;"-"&amp;TEXT(($D590-$C590+1)+8,"00"),"")&amp;IF($C590&gt;=10,", "&amp;$A590&amp;"-"&amp;TEXT(($D590-$C590+1)+9,"00"),"")&amp;IF($C590&gt;=11,", "&amp;$A590&amp;"-"&amp;TEXT(($D590-$C590+1)+10,"00"),"")&amp;IF($C590&gt;=12,", "&amp;$A590&amp;"-"&amp;TEXT(($D590-$C590+1)+11,"00"),"")&amp;IF($C590&gt;=13,", "&amp;$A590&amp;"-"&amp;TEXT(($D590-$C590+1)+12,"00"),"")&amp;IF($C590&gt;=14,", "&amp;$A590&amp;"-"&amp;TEXT(($D590-$C590+1)+13,"00"),"")&amp;IF($C590&gt;=15,", "&amp;$A590&amp;"-"&amp;TEXT(($D590-$C590+1)+14,"00"),"")&amp;IF($C590&gt;=16,", "&amp;$A590&amp;"-"&amp;TEXT(($D590-$C590+1)+15,"00"),"")&amp;IF($C590&gt;=17,", "&amp;$A590&amp;"-"&amp;TEXT(($D590-$C590+1)+16,"00"),"")&amp;IF($C590&gt;=18,", "&amp;$A590&amp;"-"&amp;TEXT(($D590-$C590+1)+17,"00"),"")&amp;IF($C590&gt;=19,", "&amp;$A590&amp;"-"&amp;TEXT(($D590-$C590+1)+18,"00"),"")&amp;IF($C590&gt;=20,", "&amp;$A590&amp;"-"&amp;TEXT(($D590-$C590+1)+19,"00"),"")&amp;IF($C590&gt;=21,", "&amp;$A590&amp;"-"&amp;TEXT(($D590-$C590+1)+20,"00"),"")&amp;IF($C590&gt;=22,", "&amp;$A590&amp;"-"&amp;TEXT(($D590-$C590+1)+21,"00"),"")&amp;IF($C590&gt;=23,", "&amp;$A590&amp;"-"&amp;TEXT(($D590-$C590+1)+22,"00"),"")&amp;IF($C590&gt;=24,", "&amp;$A590&amp;"-"&amp;TEXT(($D590-$C590+1)+23,"00"),"")&amp;IF($C590&gt;=25,", "&amp;$A590&amp;"-"&amp;TEXT(($D590-$C590+1)+24,"00"),""))</f>
        <v/>
      </c>
      <c r="G590">
        <f>IF($A590="","",IF($E590=1,$F590,IF($F590="",$G589,IF($G589="",$F590,$G589&amp;", "&amp;$F590))))</f>
        <v/>
      </c>
      <c r="H590">
        <f>IF($A590="","",$A590&amp;" ("&amp;$C590&amp;")")</f>
        <v/>
      </c>
      <c r="I590">
        <f>IF($A590="","",IF($E590=1,$H590,$I589&amp;", "&amp;$H590))</f>
        <v/>
      </c>
      <c r="J590">
        <f>IF($A590="","",IF($E590=1,$B590,""))</f>
        <v/>
      </c>
      <c r="K590">
        <f>IF($A590="","",IF(COUNTIF($B$2:$B590,$B590)=COUNTIF($B$2:$B$1601,$B590),$B590,""))</f>
        <v/>
      </c>
    </row>
    <row r="591">
      <c r="A591">
        <f>IF('TMP Paste'!$E591="","",'TMP Paste'!$E591)</f>
        <v/>
      </c>
      <c r="B591">
        <f>IF($A591="","",COUNTIF('TMP Paste'!$B$2:$B591,"?*"))</f>
        <v/>
      </c>
      <c r="C591">
        <f>IF($A591="","",IFERROR('TMP Paste'!$M591*1,0))</f>
        <v/>
      </c>
      <c r="D591">
        <f>IF($A591="","",SUMIF($B$2:$B591,$B591,$C$2:$C591))</f>
        <v/>
      </c>
      <c r="E591">
        <f>IF($A591="",0,IF('TMP Paste'!$B591="",0,1))</f>
        <v/>
      </c>
      <c r="F591">
        <f>IF(OR($A591="",$C591&lt;1),"",$A591&amp;"-"&amp;TEXT(($D591-$C591+1),"00")&amp;IF($C591&gt;=2,", "&amp;$A591&amp;"-"&amp;TEXT(($D591-$C591+1)+1,"00"),"")&amp;IF($C591&gt;=3,", "&amp;$A591&amp;"-"&amp;TEXT(($D591-$C591+1)+2,"00"),"")&amp;IF($C591&gt;=4,", "&amp;$A591&amp;"-"&amp;TEXT(($D591-$C591+1)+3,"00"),"")&amp;IF($C591&gt;=5,", "&amp;$A591&amp;"-"&amp;TEXT(($D591-$C591+1)+4,"00"),"")&amp;IF($C591&gt;=6,", "&amp;$A591&amp;"-"&amp;TEXT(($D591-$C591+1)+5,"00"),"")&amp;IF($C591&gt;=7,", "&amp;$A591&amp;"-"&amp;TEXT(($D591-$C591+1)+6,"00"),"")&amp;IF($C591&gt;=8,", "&amp;$A591&amp;"-"&amp;TEXT(($D591-$C591+1)+7,"00"),"")&amp;IF($C591&gt;=9,", "&amp;$A591&amp;"-"&amp;TEXT(($D591-$C591+1)+8,"00"),"")&amp;IF($C591&gt;=10,", "&amp;$A591&amp;"-"&amp;TEXT(($D591-$C591+1)+9,"00"),"")&amp;IF($C591&gt;=11,", "&amp;$A591&amp;"-"&amp;TEXT(($D591-$C591+1)+10,"00"),"")&amp;IF($C591&gt;=12,", "&amp;$A591&amp;"-"&amp;TEXT(($D591-$C591+1)+11,"00"),"")&amp;IF($C591&gt;=13,", "&amp;$A591&amp;"-"&amp;TEXT(($D591-$C591+1)+12,"00"),"")&amp;IF($C591&gt;=14,", "&amp;$A591&amp;"-"&amp;TEXT(($D591-$C591+1)+13,"00"),"")&amp;IF($C591&gt;=15,", "&amp;$A591&amp;"-"&amp;TEXT(($D591-$C591+1)+14,"00"),"")&amp;IF($C591&gt;=16,", "&amp;$A591&amp;"-"&amp;TEXT(($D591-$C591+1)+15,"00"),"")&amp;IF($C591&gt;=17,", "&amp;$A591&amp;"-"&amp;TEXT(($D591-$C591+1)+16,"00"),"")&amp;IF($C591&gt;=18,", "&amp;$A591&amp;"-"&amp;TEXT(($D591-$C591+1)+17,"00"),"")&amp;IF($C591&gt;=19,", "&amp;$A591&amp;"-"&amp;TEXT(($D591-$C591+1)+18,"00"),"")&amp;IF($C591&gt;=20,", "&amp;$A591&amp;"-"&amp;TEXT(($D591-$C591+1)+19,"00"),"")&amp;IF($C591&gt;=21,", "&amp;$A591&amp;"-"&amp;TEXT(($D591-$C591+1)+20,"00"),"")&amp;IF($C591&gt;=22,", "&amp;$A591&amp;"-"&amp;TEXT(($D591-$C591+1)+21,"00"),"")&amp;IF($C591&gt;=23,", "&amp;$A591&amp;"-"&amp;TEXT(($D591-$C591+1)+22,"00"),"")&amp;IF($C591&gt;=24,", "&amp;$A591&amp;"-"&amp;TEXT(($D591-$C591+1)+23,"00"),"")&amp;IF($C591&gt;=25,", "&amp;$A591&amp;"-"&amp;TEXT(($D591-$C591+1)+24,"00"),""))</f>
        <v/>
      </c>
      <c r="G591">
        <f>IF($A591="","",IF($E591=1,$F591,IF($F591="",$G590,IF($G590="",$F591,$G590&amp;", "&amp;$F591))))</f>
        <v/>
      </c>
      <c r="H591">
        <f>IF($A591="","",$A591&amp;" ("&amp;$C591&amp;")")</f>
        <v/>
      </c>
      <c r="I591">
        <f>IF($A591="","",IF($E591=1,$H591,$I590&amp;", "&amp;$H591))</f>
        <v/>
      </c>
      <c r="J591">
        <f>IF($A591="","",IF($E591=1,$B591,""))</f>
        <v/>
      </c>
      <c r="K591">
        <f>IF($A591="","",IF(COUNTIF($B$2:$B591,$B591)=COUNTIF($B$2:$B$1601,$B591),$B591,""))</f>
        <v/>
      </c>
    </row>
    <row r="592">
      <c r="A592">
        <f>IF('TMP Paste'!$E592="","",'TMP Paste'!$E592)</f>
        <v/>
      </c>
      <c r="B592">
        <f>IF($A592="","",COUNTIF('TMP Paste'!$B$2:$B592,"?*"))</f>
        <v/>
      </c>
      <c r="C592">
        <f>IF($A592="","",IFERROR('TMP Paste'!$M592*1,0))</f>
        <v/>
      </c>
      <c r="D592">
        <f>IF($A592="","",SUMIF($B$2:$B592,$B592,$C$2:$C592))</f>
        <v/>
      </c>
      <c r="E592">
        <f>IF($A592="",0,IF('TMP Paste'!$B592="",0,1))</f>
        <v/>
      </c>
      <c r="F592">
        <f>IF(OR($A592="",$C592&lt;1),"",$A592&amp;"-"&amp;TEXT(($D592-$C592+1),"00")&amp;IF($C592&gt;=2,", "&amp;$A592&amp;"-"&amp;TEXT(($D592-$C592+1)+1,"00"),"")&amp;IF($C592&gt;=3,", "&amp;$A592&amp;"-"&amp;TEXT(($D592-$C592+1)+2,"00"),"")&amp;IF($C592&gt;=4,", "&amp;$A592&amp;"-"&amp;TEXT(($D592-$C592+1)+3,"00"),"")&amp;IF($C592&gt;=5,", "&amp;$A592&amp;"-"&amp;TEXT(($D592-$C592+1)+4,"00"),"")&amp;IF($C592&gt;=6,", "&amp;$A592&amp;"-"&amp;TEXT(($D592-$C592+1)+5,"00"),"")&amp;IF($C592&gt;=7,", "&amp;$A592&amp;"-"&amp;TEXT(($D592-$C592+1)+6,"00"),"")&amp;IF($C592&gt;=8,", "&amp;$A592&amp;"-"&amp;TEXT(($D592-$C592+1)+7,"00"),"")&amp;IF($C592&gt;=9,", "&amp;$A592&amp;"-"&amp;TEXT(($D592-$C592+1)+8,"00"),"")&amp;IF($C592&gt;=10,", "&amp;$A592&amp;"-"&amp;TEXT(($D592-$C592+1)+9,"00"),"")&amp;IF($C592&gt;=11,", "&amp;$A592&amp;"-"&amp;TEXT(($D592-$C592+1)+10,"00"),"")&amp;IF($C592&gt;=12,", "&amp;$A592&amp;"-"&amp;TEXT(($D592-$C592+1)+11,"00"),"")&amp;IF($C592&gt;=13,", "&amp;$A592&amp;"-"&amp;TEXT(($D592-$C592+1)+12,"00"),"")&amp;IF($C592&gt;=14,", "&amp;$A592&amp;"-"&amp;TEXT(($D592-$C592+1)+13,"00"),"")&amp;IF($C592&gt;=15,", "&amp;$A592&amp;"-"&amp;TEXT(($D592-$C592+1)+14,"00"),"")&amp;IF($C592&gt;=16,", "&amp;$A592&amp;"-"&amp;TEXT(($D592-$C592+1)+15,"00"),"")&amp;IF($C592&gt;=17,", "&amp;$A592&amp;"-"&amp;TEXT(($D592-$C592+1)+16,"00"),"")&amp;IF($C592&gt;=18,", "&amp;$A592&amp;"-"&amp;TEXT(($D592-$C592+1)+17,"00"),"")&amp;IF($C592&gt;=19,", "&amp;$A592&amp;"-"&amp;TEXT(($D592-$C592+1)+18,"00"),"")&amp;IF($C592&gt;=20,", "&amp;$A592&amp;"-"&amp;TEXT(($D592-$C592+1)+19,"00"),"")&amp;IF($C592&gt;=21,", "&amp;$A592&amp;"-"&amp;TEXT(($D592-$C592+1)+20,"00"),"")&amp;IF($C592&gt;=22,", "&amp;$A592&amp;"-"&amp;TEXT(($D592-$C592+1)+21,"00"),"")&amp;IF($C592&gt;=23,", "&amp;$A592&amp;"-"&amp;TEXT(($D592-$C592+1)+22,"00"),"")&amp;IF($C592&gt;=24,", "&amp;$A592&amp;"-"&amp;TEXT(($D592-$C592+1)+23,"00"),"")&amp;IF($C592&gt;=25,", "&amp;$A592&amp;"-"&amp;TEXT(($D592-$C592+1)+24,"00"),""))</f>
        <v/>
      </c>
      <c r="G592">
        <f>IF($A592="","",IF($E592=1,$F592,IF($F592="",$G591,IF($G591="",$F592,$G591&amp;", "&amp;$F592))))</f>
        <v/>
      </c>
      <c r="H592">
        <f>IF($A592="","",$A592&amp;" ("&amp;$C592&amp;")")</f>
        <v/>
      </c>
      <c r="I592">
        <f>IF($A592="","",IF($E592=1,$H592,$I591&amp;", "&amp;$H592))</f>
        <v/>
      </c>
      <c r="J592">
        <f>IF($A592="","",IF($E592=1,$B592,""))</f>
        <v/>
      </c>
      <c r="K592">
        <f>IF($A592="","",IF(COUNTIF($B$2:$B592,$B592)=COUNTIF($B$2:$B$1601,$B592),$B592,""))</f>
        <v/>
      </c>
    </row>
    <row r="593">
      <c r="A593">
        <f>IF('TMP Paste'!$E593="","",'TMP Paste'!$E593)</f>
        <v/>
      </c>
      <c r="B593">
        <f>IF($A593="","",COUNTIF('TMP Paste'!$B$2:$B593,"?*"))</f>
        <v/>
      </c>
      <c r="C593">
        <f>IF($A593="","",IFERROR('TMP Paste'!$M593*1,0))</f>
        <v/>
      </c>
      <c r="D593">
        <f>IF($A593="","",SUMIF($B$2:$B593,$B593,$C$2:$C593))</f>
        <v/>
      </c>
      <c r="E593">
        <f>IF($A593="",0,IF('TMP Paste'!$B593="",0,1))</f>
        <v/>
      </c>
      <c r="F593">
        <f>IF(OR($A593="",$C593&lt;1),"",$A593&amp;"-"&amp;TEXT(($D593-$C593+1),"00")&amp;IF($C593&gt;=2,", "&amp;$A593&amp;"-"&amp;TEXT(($D593-$C593+1)+1,"00"),"")&amp;IF($C593&gt;=3,", "&amp;$A593&amp;"-"&amp;TEXT(($D593-$C593+1)+2,"00"),"")&amp;IF($C593&gt;=4,", "&amp;$A593&amp;"-"&amp;TEXT(($D593-$C593+1)+3,"00"),"")&amp;IF($C593&gt;=5,", "&amp;$A593&amp;"-"&amp;TEXT(($D593-$C593+1)+4,"00"),"")&amp;IF($C593&gt;=6,", "&amp;$A593&amp;"-"&amp;TEXT(($D593-$C593+1)+5,"00"),"")&amp;IF($C593&gt;=7,", "&amp;$A593&amp;"-"&amp;TEXT(($D593-$C593+1)+6,"00"),"")&amp;IF($C593&gt;=8,", "&amp;$A593&amp;"-"&amp;TEXT(($D593-$C593+1)+7,"00"),"")&amp;IF($C593&gt;=9,", "&amp;$A593&amp;"-"&amp;TEXT(($D593-$C593+1)+8,"00"),"")&amp;IF($C593&gt;=10,", "&amp;$A593&amp;"-"&amp;TEXT(($D593-$C593+1)+9,"00"),"")&amp;IF($C593&gt;=11,", "&amp;$A593&amp;"-"&amp;TEXT(($D593-$C593+1)+10,"00"),"")&amp;IF($C593&gt;=12,", "&amp;$A593&amp;"-"&amp;TEXT(($D593-$C593+1)+11,"00"),"")&amp;IF($C593&gt;=13,", "&amp;$A593&amp;"-"&amp;TEXT(($D593-$C593+1)+12,"00"),"")&amp;IF($C593&gt;=14,", "&amp;$A593&amp;"-"&amp;TEXT(($D593-$C593+1)+13,"00"),"")&amp;IF($C593&gt;=15,", "&amp;$A593&amp;"-"&amp;TEXT(($D593-$C593+1)+14,"00"),"")&amp;IF($C593&gt;=16,", "&amp;$A593&amp;"-"&amp;TEXT(($D593-$C593+1)+15,"00"),"")&amp;IF($C593&gt;=17,", "&amp;$A593&amp;"-"&amp;TEXT(($D593-$C593+1)+16,"00"),"")&amp;IF($C593&gt;=18,", "&amp;$A593&amp;"-"&amp;TEXT(($D593-$C593+1)+17,"00"),"")&amp;IF($C593&gt;=19,", "&amp;$A593&amp;"-"&amp;TEXT(($D593-$C593+1)+18,"00"),"")&amp;IF($C593&gt;=20,", "&amp;$A593&amp;"-"&amp;TEXT(($D593-$C593+1)+19,"00"),"")&amp;IF($C593&gt;=21,", "&amp;$A593&amp;"-"&amp;TEXT(($D593-$C593+1)+20,"00"),"")&amp;IF($C593&gt;=22,", "&amp;$A593&amp;"-"&amp;TEXT(($D593-$C593+1)+21,"00"),"")&amp;IF($C593&gt;=23,", "&amp;$A593&amp;"-"&amp;TEXT(($D593-$C593+1)+22,"00"),"")&amp;IF($C593&gt;=24,", "&amp;$A593&amp;"-"&amp;TEXT(($D593-$C593+1)+23,"00"),"")&amp;IF($C593&gt;=25,", "&amp;$A593&amp;"-"&amp;TEXT(($D593-$C593+1)+24,"00"),""))</f>
        <v/>
      </c>
      <c r="G593">
        <f>IF($A593="","",IF($E593=1,$F593,IF($F593="",$G592,IF($G592="",$F593,$G592&amp;", "&amp;$F593))))</f>
        <v/>
      </c>
      <c r="H593">
        <f>IF($A593="","",$A593&amp;" ("&amp;$C593&amp;")")</f>
        <v/>
      </c>
      <c r="I593">
        <f>IF($A593="","",IF($E593=1,$H593,$I592&amp;", "&amp;$H593))</f>
        <v/>
      </c>
      <c r="J593">
        <f>IF($A593="","",IF($E593=1,$B593,""))</f>
        <v/>
      </c>
      <c r="K593">
        <f>IF($A593="","",IF(COUNTIF($B$2:$B593,$B593)=COUNTIF($B$2:$B$1601,$B593),$B593,""))</f>
        <v/>
      </c>
    </row>
    <row r="594">
      <c r="A594">
        <f>IF('TMP Paste'!$E594="","",'TMP Paste'!$E594)</f>
        <v/>
      </c>
      <c r="B594">
        <f>IF($A594="","",COUNTIF('TMP Paste'!$B$2:$B594,"?*"))</f>
        <v/>
      </c>
      <c r="C594">
        <f>IF($A594="","",IFERROR('TMP Paste'!$M594*1,0))</f>
        <v/>
      </c>
      <c r="D594">
        <f>IF($A594="","",SUMIF($B$2:$B594,$B594,$C$2:$C594))</f>
        <v/>
      </c>
      <c r="E594">
        <f>IF($A594="",0,IF('TMP Paste'!$B594="",0,1))</f>
        <v/>
      </c>
      <c r="F594">
        <f>IF(OR($A594="",$C594&lt;1),"",$A594&amp;"-"&amp;TEXT(($D594-$C594+1),"00")&amp;IF($C594&gt;=2,", "&amp;$A594&amp;"-"&amp;TEXT(($D594-$C594+1)+1,"00"),"")&amp;IF($C594&gt;=3,", "&amp;$A594&amp;"-"&amp;TEXT(($D594-$C594+1)+2,"00"),"")&amp;IF($C594&gt;=4,", "&amp;$A594&amp;"-"&amp;TEXT(($D594-$C594+1)+3,"00"),"")&amp;IF($C594&gt;=5,", "&amp;$A594&amp;"-"&amp;TEXT(($D594-$C594+1)+4,"00"),"")&amp;IF($C594&gt;=6,", "&amp;$A594&amp;"-"&amp;TEXT(($D594-$C594+1)+5,"00"),"")&amp;IF($C594&gt;=7,", "&amp;$A594&amp;"-"&amp;TEXT(($D594-$C594+1)+6,"00"),"")&amp;IF($C594&gt;=8,", "&amp;$A594&amp;"-"&amp;TEXT(($D594-$C594+1)+7,"00"),"")&amp;IF($C594&gt;=9,", "&amp;$A594&amp;"-"&amp;TEXT(($D594-$C594+1)+8,"00"),"")&amp;IF($C594&gt;=10,", "&amp;$A594&amp;"-"&amp;TEXT(($D594-$C594+1)+9,"00"),"")&amp;IF($C594&gt;=11,", "&amp;$A594&amp;"-"&amp;TEXT(($D594-$C594+1)+10,"00"),"")&amp;IF($C594&gt;=12,", "&amp;$A594&amp;"-"&amp;TEXT(($D594-$C594+1)+11,"00"),"")&amp;IF($C594&gt;=13,", "&amp;$A594&amp;"-"&amp;TEXT(($D594-$C594+1)+12,"00"),"")&amp;IF($C594&gt;=14,", "&amp;$A594&amp;"-"&amp;TEXT(($D594-$C594+1)+13,"00"),"")&amp;IF($C594&gt;=15,", "&amp;$A594&amp;"-"&amp;TEXT(($D594-$C594+1)+14,"00"),"")&amp;IF($C594&gt;=16,", "&amp;$A594&amp;"-"&amp;TEXT(($D594-$C594+1)+15,"00"),"")&amp;IF($C594&gt;=17,", "&amp;$A594&amp;"-"&amp;TEXT(($D594-$C594+1)+16,"00"),"")&amp;IF($C594&gt;=18,", "&amp;$A594&amp;"-"&amp;TEXT(($D594-$C594+1)+17,"00"),"")&amp;IF($C594&gt;=19,", "&amp;$A594&amp;"-"&amp;TEXT(($D594-$C594+1)+18,"00"),"")&amp;IF($C594&gt;=20,", "&amp;$A594&amp;"-"&amp;TEXT(($D594-$C594+1)+19,"00"),"")&amp;IF($C594&gt;=21,", "&amp;$A594&amp;"-"&amp;TEXT(($D594-$C594+1)+20,"00"),"")&amp;IF($C594&gt;=22,", "&amp;$A594&amp;"-"&amp;TEXT(($D594-$C594+1)+21,"00"),"")&amp;IF($C594&gt;=23,", "&amp;$A594&amp;"-"&amp;TEXT(($D594-$C594+1)+22,"00"),"")&amp;IF($C594&gt;=24,", "&amp;$A594&amp;"-"&amp;TEXT(($D594-$C594+1)+23,"00"),"")&amp;IF($C594&gt;=25,", "&amp;$A594&amp;"-"&amp;TEXT(($D594-$C594+1)+24,"00"),""))</f>
        <v/>
      </c>
      <c r="G594">
        <f>IF($A594="","",IF($E594=1,$F594,IF($F594="",$G593,IF($G593="",$F594,$G593&amp;", "&amp;$F594))))</f>
        <v/>
      </c>
      <c r="H594">
        <f>IF($A594="","",$A594&amp;" ("&amp;$C594&amp;")")</f>
        <v/>
      </c>
      <c r="I594">
        <f>IF($A594="","",IF($E594=1,$H594,$I593&amp;", "&amp;$H594))</f>
        <v/>
      </c>
      <c r="J594">
        <f>IF($A594="","",IF($E594=1,$B594,""))</f>
        <v/>
      </c>
      <c r="K594">
        <f>IF($A594="","",IF(COUNTIF($B$2:$B594,$B594)=COUNTIF($B$2:$B$1601,$B594),$B594,""))</f>
        <v/>
      </c>
    </row>
    <row r="595">
      <c r="A595">
        <f>IF('TMP Paste'!$E595="","",'TMP Paste'!$E595)</f>
        <v/>
      </c>
      <c r="B595">
        <f>IF($A595="","",COUNTIF('TMP Paste'!$B$2:$B595,"?*"))</f>
        <v/>
      </c>
      <c r="C595">
        <f>IF($A595="","",IFERROR('TMP Paste'!$M595*1,0))</f>
        <v/>
      </c>
      <c r="D595">
        <f>IF($A595="","",SUMIF($B$2:$B595,$B595,$C$2:$C595))</f>
        <v/>
      </c>
      <c r="E595">
        <f>IF($A595="",0,IF('TMP Paste'!$B595="",0,1))</f>
        <v/>
      </c>
      <c r="F595">
        <f>IF(OR($A595="",$C595&lt;1),"",$A595&amp;"-"&amp;TEXT(($D595-$C595+1),"00")&amp;IF($C595&gt;=2,", "&amp;$A595&amp;"-"&amp;TEXT(($D595-$C595+1)+1,"00"),"")&amp;IF($C595&gt;=3,", "&amp;$A595&amp;"-"&amp;TEXT(($D595-$C595+1)+2,"00"),"")&amp;IF($C595&gt;=4,", "&amp;$A595&amp;"-"&amp;TEXT(($D595-$C595+1)+3,"00"),"")&amp;IF($C595&gt;=5,", "&amp;$A595&amp;"-"&amp;TEXT(($D595-$C595+1)+4,"00"),"")&amp;IF($C595&gt;=6,", "&amp;$A595&amp;"-"&amp;TEXT(($D595-$C595+1)+5,"00"),"")&amp;IF($C595&gt;=7,", "&amp;$A595&amp;"-"&amp;TEXT(($D595-$C595+1)+6,"00"),"")&amp;IF($C595&gt;=8,", "&amp;$A595&amp;"-"&amp;TEXT(($D595-$C595+1)+7,"00"),"")&amp;IF($C595&gt;=9,", "&amp;$A595&amp;"-"&amp;TEXT(($D595-$C595+1)+8,"00"),"")&amp;IF($C595&gt;=10,", "&amp;$A595&amp;"-"&amp;TEXT(($D595-$C595+1)+9,"00"),"")&amp;IF($C595&gt;=11,", "&amp;$A595&amp;"-"&amp;TEXT(($D595-$C595+1)+10,"00"),"")&amp;IF($C595&gt;=12,", "&amp;$A595&amp;"-"&amp;TEXT(($D595-$C595+1)+11,"00"),"")&amp;IF($C595&gt;=13,", "&amp;$A595&amp;"-"&amp;TEXT(($D595-$C595+1)+12,"00"),"")&amp;IF($C595&gt;=14,", "&amp;$A595&amp;"-"&amp;TEXT(($D595-$C595+1)+13,"00"),"")&amp;IF($C595&gt;=15,", "&amp;$A595&amp;"-"&amp;TEXT(($D595-$C595+1)+14,"00"),"")&amp;IF($C595&gt;=16,", "&amp;$A595&amp;"-"&amp;TEXT(($D595-$C595+1)+15,"00"),"")&amp;IF($C595&gt;=17,", "&amp;$A595&amp;"-"&amp;TEXT(($D595-$C595+1)+16,"00"),"")&amp;IF($C595&gt;=18,", "&amp;$A595&amp;"-"&amp;TEXT(($D595-$C595+1)+17,"00"),"")&amp;IF($C595&gt;=19,", "&amp;$A595&amp;"-"&amp;TEXT(($D595-$C595+1)+18,"00"),"")&amp;IF($C595&gt;=20,", "&amp;$A595&amp;"-"&amp;TEXT(($D595-$C595+1)+19,"00"),"")&amp;IF($C595&gt;=21,", "&amp;$A595&amp;"-"&amp;TEXT(($D595-$C595+1)+20,"00"),"")&amp;IF($C595&gt;=22,", "&amp;$A595&amp;"-"&amp;TEXT(($D595-$C595+1)+21,"00"),"")&amp;IF($C595&gt;=23,", "&amp;$A595&amp;"-"&amp;TEXT(($D595-$C595+1)+22,"00"),"")&amp;IF($C595&gt;=24,", "&amp;$A595&amp;"-"&amp;TEXT(($D595-$C595+1)+23,"00"),"")&amp;IF($C595&gt;=25,", "&amp;$A595&amp;"-"&amp;TEXT(($D595-$C595+1)+24,"00"),""))</f>
        <v/>
      </c>
      <c r="G595">
        <f>IF($A595="","",IF($E595=1,$F595,IF($F595="",$G594,IF($G594="",$F595,$G594&amp;", "&amp;$F595))))</f>
        <v/>
      </c>
      <c r="H595">
        <f>IF($A595="","",$A595&amp;" ("&amp;$C595&amp;")")</f>
        <v/>
      </c>
      <c r="I595">
        <f>IF($A595="","",IF($E595=1,$H595,$I594&amp;", "&amp;$H595))</f>
        <v/>
      </c>
      <c r="J595">
        <f>IF($A595="","",IF($E595=1,$B595,""))</f>
        <v/>
      </c>
      <c r="K595">
        <f>IF($A595="","",IF(COUNTIF($B$2:$B595,$B595)=COUNTIF($B$2:$B$1601,$B595),$B595,""))</f>
        <v/>
      </c>
    </row>
    <row r="596">
      <c r="A596">
        <f>IF('TMP Paste'!$E596="","",'TMP Paste'!$E596)</f>
        <v/>
      </c>
      <c r="B596">
        <f>IF($A596="","",COUNTIF('TMP Paste'!$B$2:$B596,"?*"))</f>
        <v/>
      </c>
      <c r="C596">
        <f>IF($A596="","",IFERROR('TMP Paste'!$M596*1,0))</f>
        <v/>
      </c>
      <c r="D596">
        <f>IF($A596="","",SUMIF($B$2:$B596,$B596,$C$2:$C596))</f>
        <v/>
      </c>
      <c r="E596">
        <f>IF($A596="",0,IF('TMP Paste'!$B596="",0,1))</f>
        <v/>
      </c>
      <c r="F596">
        <f>IF(OR($A596="",$C596&lt;1),"",$A596&amp;"-"&amp;TEXT(($D596-$C596+1),"00")&amp;IF($C596&gt;=2,", "&amp;$A596&amp;"-"&amp;TEXT(($D596-$C596+1)+1,"00"),"")&amp;IF($C596&gt;=3,", "&amp;$A596&amp;"-"&amp;TEXT(($D596-$C596+1)+2,"00"),"")&amp;IF($C596&gt;=4,", "&amp;$A596&amp;"-"&amp;TEXT(($D596-$C596+1)+3,"00"),"")&amp;IF($C596&gt;=5,", "&amp;$A596&amp;"-"&amp;TEXT(($D596-$C596+1)+4,"00"),"")&amp;IF($C596&gt;=6,", "&amp;$A596&amp;"-"&amp;TEXT(($D596-$C596+1)+5,"00"),"")&amp;IF($C596&gt;=7,", "&amp;$A596&amp;"-"&amp;TEXT(($D596-$C596+1)+6,"00"),"")&amp;IF($C596&gt;=8,", "&amp;$A596&amp;"-"&amp;TEXT(($D596-$C596+1)+7,"00"),"")&amp;IF($C596&gt;=9,", "&amp;$A596&amp;"-"&amp;TEXT(($D596-$C596+1)+8,"00"),"")&amp;IF($C596&gt;=10,", "&amp;$A596&amp;"-"&amp;TEXT(($D596-$C596+1)+9,"00"),"")&amp;IF($C596&gt;=11,", "&amp;$A596&amp;"-"&amp;TEXT(($D596-$C596+1)+10,"00"),"")&amp;IF($C596&gt;=12,", "&amp;$A596&amp;"-"&amp;TEXT(($D596-$C596+1)+11,"00"),"")&amp;IF($C596&gt;=13,", "&amp;$A596&amp;"-"&amp;TEXT(($D596-$C596+1)+12,"00"),"")&amp;IF($C596&gt;=14,", "&amp;$A596&amp;"-"&amp;TEXT(($D596-$C596+1)+13,"00"),"")&amp;IF($C596&gt;=15,", "&amp;$A596&amp;"-"&amp;TEXT(($D596-$C596+1)+14,"00"),"")&amp;IF($C596&gt;=16,", "&amp;$A596&amp;"-"&amp;TEXT(($D596-$C596+1)+15,"00"),"")&amp;IF($C596&gt;=17,", "&amp;$A596&amp;"-"&amp;TEXT(($D596-$C596+1)+16,"00"),"")&amp;IF($C596&gt;=18,", "&amp;$A596&amp;"-"&amp;TEXT(($D596-$C596+1)+17,"00"),"")&amp;IF($C596&gt;=19,", "&amp;$A596&amp;"-"&amp;TEXT(($D596-$C596+1)+18,"00"),"")&amp;IF($C596&gt;=20,", "&amp;$A596&amp;"-"&amp;TEXT(($D596-$C596+1)+19,"00"),"")&amp;IF($C596&gt;=21,", "&amp;$A596&amp;"-"&amp;TEXT(($D596-$C596+1)+20,"00"),"")&amp;IF($C596&gt;=22,", "&amp;$A596&amp;"-"&amp;TEXT(($D596-$C596+1)+21,"00"),"")&amp;IF($C596&gt;=23,", "&amp;$A596&amp;"-"&amp;TEXT(($D596-$C596+1)+22,"00"),"")&amp;IF($C596&gt;=24,", "&amp;$A596&amp;"-"&amp;TEXT(($D596-$C596+1)+23,"00"),"")&amp;IF($C596&gt;=25,", "&amp;$A596&amp;"-"&amp;TEXT(($D596-$C596+1)+24,"00"),""))</f>
        <v/>
      </c>
      <c r="G596">
        <f>IF($A596="","",IF($E596=1,$F596,IF($F596="",$G595,IF($G595="",$F596,$G595&amp;", "&amp;$F596))))</f>
        <v/>
      </c>
      <c r="H596">
        <f>IF($A596="","",$A596&amp;" ("&amp;$C596&amp;")")</f>
        <v/>
      </c>
      <c r="I596">
        <f>IF($A596="","",IF($E596=1,$H596,$I595&amp;", "&amp;$H596))</f>
        <v/>
      </c>
      <c r="J596">
        <f>IF($A596="","",IF($E596=1,$B596,""))</f>
        <v/>
      </c>
      <c r="K596">
        <f>IF($A596="","",IF(COUNTIF($B$2:$B596,$B596)=COUNTIF($B$2:$B$1601,$B596),$B596,""))</f>
        <v/>
      </c>
    </row>
    <row r="597">
      <c r="A597">
        <f>IF('TMP Paste'!$E597="","",'TMP Paste'!$E597)</f>
        <v/>
      </c>
      <c r="B597">
        <f>IF($A597="","",COUNTIF('TMP Paste'!$B$2:$B597,"?*"))</f>
        <v/>
      </c>
      <c r="C597">
        <f>IF($A597="","",IFERROR('TMP Paste'!$M597*1,0))</f>
        <v/>
      </c>
      <c r="D597">
        <f>IF($A597="","",SUMIF($B$2:$B597,$B597,$C$2:$C597))</f>
        <v/>
      </c>
      <c r="E597">
        <f>IF($A597="",0,IF('TMP Paste'!$B597="",0,1))</f>
        <v/>
      </c>
      <c r="F597">
        <f>IF(OR($A597="",$C597&lt;1),"",$A597&amp;"-"&amp;TEXT(($D597-$C597+1),"00")&amp;IF($C597&gt;=2,", "&amp;$A597&amp;"-"&amp;TEXT(($D597-$C597+1)+1,"00"),"")&amp;IF($C597&gt;=3,", "&amp;$A597&amp;"-"&amp;TEXT(($D597-$C597+1)+2,"00"),"")&amp;IF($C597&gt;=4,", "&amp;$A597&amp;"-"&amp;TEXT(($D597-$C597+1)+3,"00"),"")&amp;IF($C597&gt;=5,", "&amp;$A597&amp;"-"&amp;TEXT(($D597-$C597+1)+4,"00"),"")&amp;IF($C597&gt;=6,", "&amp;$A597&amp;"-"&amp;TEXT(($D597-$C597+1)+5,"00"),"")&amp;IF($C597&gt;=7,", "&amp;$A597&amp;"-"&amp;TEXT(($D597-$C597+1)+6,"00"),"")&amp;IF($C597&gt;=8,", "&amp;$A597&amp;"-"&amp;TEXT(($D597-$C597+1)+7,"00"),"")&amp;IF($C597&gt;=9,", "&amp;$A597&amp;"-"&amp;TEXT(($D597-$C597+1)+8,"00"),"")&amp;IF($C597&gt;=10,", "&amp;$A597&amp;"-"&amp;TEXT(($D597-$C597+1)+9,"00"),"")&amp;IF($C597&gt;=11,", "&amp;$A597&amp;"-"&amp;TEXT(($D597-$C597+1)+10,"00"),"")&amp;IF($C597&gt;=12,", "&amp;$A597&amp;"-"&amp;TEXT(($D597-$C597+1)+11,"00"),"")&amp;IF($C597&gt;=13,", "&amp;$A597&amp;"-"&amp;TEXT(($D597-$C597+1)+12,"00"),"")&amp;IF($C597&gt;=14,", "&amp;$A597&amp;"-"&amp;TEXT(($D597-$C597+1)+13,"00"),"")&amp;IF($C597&gt;=15,", "&amp;$A597&amp;"-"&amp;TEXT(($D597-$C597+1)+14,"00"),"")&amp;IF($C597&gt;=16,", "&amp;$A597&amp;"-"&amp;TEXT(($D597-$C597+1)+15,"00"),"")&amp;IF($C597&gt;=17,", "&amp;$A597&amp;"-"&amp;TEXT(($D597-$C597+1)+16,"00"),"")&amp;IF($C597&gt;=18,", "&amp;$A597&amp;"-"&amp;TEXT(($D597-$C597+1)+17,"00"),"")&amp;IF($C597&gt;=19,", "&amp;$A597&amp;"-"&amp;TEXT(($D597-$C597+1)+18,"00"),"")&amp;IF($C597&gt;=20,", "&amp;$A597&amp;"-"&amp;TEXT(($D597-$C597+1)+19,"00"),"")&amp;IF($C597&gt;=21,", "&amp;$A597&amp;"-"&amp;TEXT(($D597-$C597+1)+20,"00"),"")&amp;IF($C597&gt;=22,", "&amp;$A597&amp;"-"&amp;TEXT(($D597-$C597+1)+21,"00"),"")&amp;IF($C597&gt;=23,", "&amp;$A597&amp;"-"&amp;TEXT(($D597-$C597+1)+22,"00"),"")&amp;IF($C597&gt;=24,", "&amp;$A597&amp;"-"&amp;TEXT(($D597-$C597+1)+23,"00"),"")&amp;IF($C597&gt;=25,", "&amp;$A597&amp;"-"&amp;TEXT(($D597-$C597+1)+24,"00"),""))</f>
        <v/>
      </c>
      <c r="G597">
        <f>IF($A597="","",IF($E597=1,$F597,IF($F597="",$G596,IF($G596="",$F597,$G596&amp;", "&amp;$F597))))</f>
        <v/>
      </c>
      <c r="H597">
        <f>IF($A597="","",$A597&amp;" ("&amp;$C597&amp;")")</f>
        <v/>
      </c>
      <c r="I597">
        <f>IF($A597="","",IF($E597=1,$H597,$I596&amp;", "&amp;$H597))</f>
        <v/>
      </c>
      <c r="J597">
        <f>IF($A597="","",IF($E597=1,$B597,""))</f>
        <v/>
      </c>
      <c r="K597">
        <f>IF($A597="","",IF(COUNTIF($B$2:$B597,$B597)=COUNTIF($B$2:$B$1601,$B597),$B597,""))</f>
        <v/>
      </c>
    </row>
    <row r="598">
      <c r="A598">
        <f>IF('TMP Paste'!$E598="","",'TMP Paste'!$E598)</f>
        <v/>
      </c>
      <c r="B598">
        <f>IF($A598="","",COUNTIF('TMP Paste'!$B$2:$B598,"?*"))</f>
        <v/>
      </c>
      <c r="C598">
        <f>IF($A598="","",IFERROR('TMP Paste'!$M598*1,0))</f>
        <v/>
      </c>
      <c r="D598">
        <f>IF($A598="","",SUMIF($B$2:$B598,$B598,$C$2:$C598))</f>
        <v/>
      </c>
      <c r="E598">
        <f>IF($A598="",0,IF('TMP Paste'!$B598="",0,1))</f>
        <v/>
      </c>
      <c r="F598">
        <f>IF(OR($A598="",$C598&lt;1),"",$A598&amp;"-"&amp;TEXT(($D598-$C598+1),"00")&amp;IF($C598&gt;=2,", "&amp;$A598&amp;"-"&amp;TEXT(($D598-$C598+1)+1,"00"),"")&amp;IF($C598&gt;=3,", "&amp;$A598&amp;"-"&amp;TEXT(($D598-$C598+1)+2,"00"),"")&amp;IF($C598&gt;=4,", "&amp;$A598&amp;"-"&amp;TEXT(($D598-$C598+1)+3,"00"),"")&amp;IF($C598&gt;=5,", "&amp;$A598&amp;"-"&amp;TEXT(($D598-$C598+1)+4,"00"),"")&amp;IF($C598&gt;=6,", "&amp;$A598&amp;"-"&amp;TEXT(($D598-$C598+1)+5,"00"),"")&amp;IF($C598&gt;=7,", "&amp;$A598&amp;"-"&amp;TEXT(($D598-$C598+1)+6,"00"),"")&amp;IF($C598&gt;=8,", "&amp;$A598&amp;"-"&amp;TEXT(($D598-$C598+1)+7,"00"),"")&amp;IF($C598&gt;=9,", "&amp;$A598&amp;"-"&amp;TEXT(($D598-$C598+1)+8,"00"),"")&amp;IF($C598&gt;=10,", "&amp;$A598&amp;"-"&amp;TEXT(($D598-$C598+1)+9,"00"),"")&amp;IF($C598&gt;=11,", "&amp;$A598&amp;"-"&amp;TEXT(($D598-$C598+1)+10,"00"),"")&amp;IF($C598&gt;=12,", "&amp;$A598&amp;"-"&amp;TEXT(($D598-$C598+1)+11,"00"),"")&amp;IF($C598&gt;=13,", "&amp;$A598&amp;"-"&amp;TEXT(($D598-$C598+1)+12,"00"),"")&amp;IF($C598&gt;=14,", "&amp;$A598&amp;"-"&amp;TEXT(($D598-$C598+1)+13,"00"),"")&amp;IF($C598&gt;=15,", "&amp;$A598&amp;"-"&amp;TEXT(($D598-$C598+1)+14,"00"),"")&amp;IF($C598&gt;=16,", "&amp;$A598&amp;"-"&amp;TEXT(($D598-$C598+1)+15,"00"),"")&amp;IF($C598&gt;=17,", "&amp;$A598&amp;"-"&amp;TEXT(($D598-$C598+1)+16,"00"),"")&amp;IF($C598&gt;=18,", "&amp;$A598&amp;"-"&amp;TEXT(($D598-$C598+1)+17,"00"),"")&amp;IF($C598&gt;=19,", "&amp;$A598&amp;"-"&amp;TEXT(($D598-$C598+1)+18,"00"),"")&amp;IF($C598&gt;=20,", "&amp;$A598&amp;"-"&amp;TEXT(($D598-$C598+1)+19,"00"),"")&amp;IF($C598&gt;=21,", "&amp;$A598&amp;"-"&amp;TEXT(($D598-$C598+1)+20,"00"),"")&amp;IF($C598&gt;=22,", "&amp;$A598&amp;"-"&amp;TEXT(($D598-$C598+1)+21,"00"),"")&amp;IF($C598&gt;=23,", "&amp;$A598&amp;"-"&amp;TEXT(($D598-$C598+1)+22,"00"),"")&amp;IF($C598&gt;=24,", "&amp;$A598&amp;"-"&amp;TEXT(($D598-$C598+1)+23,"00"),"")&amp;IF($C598&gt;=25,", "&amp;$A598&amp;"-"&amp;TEXT(($D598-$C598+1)+24,"00"),""))</f>
        <v/>
      </c>
      <c r="G598">
        <f>IF($A598="","",IF($E598=1,$F598,IF($F598="",$G597,IF($G597="",$F598,$G597&amp;", "&amp;$F598))))</f>
        <v/>
      </c>
      <c r="H598">
        <f>IF($A598="","",$A598&amp;" ("&amp;$C598&amp;")")</f>
        <v/>
      </c>
      <c r="I598">
        <f>IF($A598="","",IF($E598=1,$H598,$I597&amp;", "&amp;$H598))</f>
        <v/>
      </c>
      <c r="J598">
        <f>IF($A598="","",IF($E598=1,$B598,""))</f>
        <v/>
      </c>
      <c r="K598">
        <f>IF($A598="","",IF(COUNTIF($B$2:$B598,$B598)=COUNTIF($B$2:$B$1601,$B598),$B598,""))</f>
        <v/>
      </c>
    </row>
    <row r="599">
      <c r="A599">
        <f>IF('TMP Paste'!$E599="","",'TMP Paste'!$E599)</f>
        <v/>
      </c>
      <c r="B599">
        <f>IF($A599="","",COUNTIF('TMP Paste'!$B$2:$B599,"?*"))</f>
        <v/>
      </c>
      <c r="C599">
        <f>IF($A599="","",IFERROR('TMP Paste'!$M599*1,0))</f>
        <v/>
      </c>
      <c r="D599">
        <f>IF($A599="","",SUMIF($B$2:$B599,$B599,$C$2:$C599))</f>
        <v/>
      </c>
      <c r="E599">
        <f>IF($A599="",0,IF('TMP Paste'!$B599="",0,1))</f>
        <v/>
      </c>
      <c r="F599">
        <f>IF(OR($A599="",$C599&lt;1),"",$A599&amp;"-"&amp;TEXT(($D599-$C599+1),"00")&amp;IF($C599&gt;=2,", "&amp;$A599&amp;"-"&amp;TEXT(($D599-$C599+1)+1,"00"),"")&amp;IF($C599&gt;=3,", "&amp;$A599&amp;"-"&amp;TEXT(($D599-$C599+1)+2,"00"),"")&amp;IF($C599&gt;=4,", "&amp;$A599&amp;"-"&amp;TEXT(($D599-$C599+1)+3,"00"),"")&amp;IF($C599&gt;=5,", "&amp;$A599&amp;"-"&amp;TEXT(($D599-$C599+1)+4,"00"),"")&amp;IF($C599&gt;=6,", "&amp;$A599&amp;"-"&amp;TEXT(($D599-$C599+1)+5,"00"),"")&amp;IF($C599&gt;=7,", "&amp;$A599&amp;"-"&amp;TEXT(($D599-$C599+1)+6,"00"),"")&amp;IF($C599&gt;=8,", "&amp;$A599&amp;"-"&amp;TEXT(($D599-$C599+1)+7,"00"),"")&amp;IF($C599&gt;=9,", "&amp;$A599&amp;"-"&amp;TEXT(($D599-$C599+1)+8,"00"),"")&amp;IF($C599&gt;=10,", "&amp;$A599&amp;"-"&amp;TEXT(($D599-$C599+1)+9,"00"),"")&amp;IF($C599&gt;=11,", "&amp;$A599&amp;"-"&amp;TEXT(($D599-$C599+1)+10,"00"),"")&amp;IF($C599&gt;=12,", "&amp;$A599&amp;"-"&amp;TEXT(($D599-$C599+1)+11,"00"),"")&amp;IF($C599&gt;=13,", "&amp;$A599&amp;"-"&amp;TEXT(($D599-$C599+1)+12,"00"),"")&amp;IF($C599&gt;=14,", "&amp;$A599&amp;"-"&amp;TEXT(($D599-$C599+1)+13,"00"),"")&amp;IF($C599&gt;=15,", "&amp;$A599&amp;"-"&amp;TEXT(($D599-$C599+1)+14,"00"),"")&amp;IF($C599&gt;=16,", "&amp;$A599&amp;"-"&amp;TEXT(($D599-$C599+1)+15,"00"),"")&amp;IF($C599&gt;=17,", "&amp;$A599&amp;"-"&amp;TEXT(($D599-$C599+1)+16,"00"),"")&amp;IF($C599&gt;=18,", "&amp;$A599&amp;"-"&amp;TEXT(($D599-$C599+1)+17,"00"),"")&amp;IF($C599&gt;=19,", "&amp;$A599&amp;"-"&amp;TEXT(($D599-$C599+1)+18,"00"),"")&amp;IF($C599&gt;=20,", "&amp;$A599&amp;"-"&amp;TEXT(($D599-$C599+1)+19,"00"),"")&amp;IF($C599&gt;=21,", "&amp;$A599&amp;"-"&amp;TEXT(($D599-$C599+1)+20,"00"),"")&amp;IF($C599&gt;=22,", "&amp;$A599&amp;"-"&amp;TEXT(($D599-$C599+1)+21,"00"),"")&amp;IF($C599&gt;=23,", "&amp;$A599&amp;"-"&amp;TEXT(($D599-$C599+1)+22,"00"),"")&amp;IF($C599&gt;=24,", "&amp;$A599&amp;"-"&amp;TEXT(($D599-$C599+1)+23,"00"),"")&amp;IF($C599&gt;=25,", "&amp;$A599&amp;"-"&amp;TEXT(($D599-$C599+1)+24,"00"),""))</f>
        <v/>
      </c>
      <c r="G599">
        <f>IF($A599="","",IF($E599=1,$F599,IF($F599="",$G598,IF($G598="",$F599,$G598&amp;", "&amp;$F599))))</f>
        <v/>
      </c>
      <c r="H599">
        <f>IF($A599="","",$A599&amp;" ("&amp;$C599&amp;")")</f>
        <v/>
      </c>
      <c r="I599">
        <f>IF($A599="","",IF($E599=1,$H599,$I598&amp;", "&amp;$H599))</f>
        <v/>
      </c>
      <c r="J599">
        <f>IF($A599="","",IF($E599=1,$B599,""))</f>
        <v/>
      </c>
      <c r="K599">
        <f>IF($A599="","",IF(COUNTIF($B$2:$B599,$B599)=COUNTIF($B$2:$B$1601,$B599),$B599,""))</f>
        <v/>
      </c>
    </row>
    <row r="600">
      <c r="A600">
        <f>IF('TMP Paste'!$E600="","",'TMP Paste'!$E600)</f>
        <v/>
      </c>
      <c r="B600">
        <f>IF($A600="","",COUNTIF('TMP Paste'!$B$2:$B600,"?*"))</f>
        <v/>
      </c>
      <c r="C600">
        <f>IF($A600="","",IFERROR('TMP Paste'!$M600*1,0))</f>
        <v/>
      </c>
      <c r="D600">
        <f>IF($A600="","",SUMIF($B$2:$B600,$B600,$C$2:$C600))</f>
        <v/>
      </c>
      <c r="E600">
        <f>IF($A600="",0,IF('TMP Paste'!$B600="",0,1))</f>
        <v/>
      </c>
      <c r="F600">
        <f>IF(OR($A600="",$C600&lt;1),"",$A600&amp;"-"&amp;TEXT(($D600-$C600+1),"00")&amp;IF($C600&gt;=2,", "&amp;$A600&amp;"-"&amp;TEXT(($D600-$C600+1)+1,"00"),"")&amp;IF($C600&gt;=3,", "&amp;$A600&amp;"-"&amp;TEXT(($D600-$C600+1)+2,"00"),"")&amp;IF($C600&gt;=4,", "&amp;$A600&amp;"-"&amp;TEXT(($D600-$C600+1)+3,"00"),"")&amp;IF($C600&gt;=5,", "&amp;$A600&amp;"-"&amp;TEXT(($D600-$C600+1)+4,"00"),"")&amp;IF($C600&gt;=6,", "&amp;$A600&amp;"-"&amp;TEXT(($D600-$C600+1)+5,"00"),"")&amp;IF($C600&gt;=7,", "&amp;$A600&amp;"-"&amp;TEXT(($D600-$C600+1)+6,"00"),"")&amp;IF($C600&gt;=8,", "&amp;$A600&amp;"-"&amp;TEXT(($D600-$C600+1)+7,"00"),"")&amp;IF($C600&gt;=9,", "&amp;$A600&amp;"-"&amp;TEXT(($D600-$C600+1)+8,"00"),"")&amp;IF($C600&gt;=10,", "&amp;$A600&amp;"-"&amp;TEXT(($D600-$C600+1)+9,"00"),"")&amp;IF($C600&gt;=11,", "&amp;$A600&amp;"-"&amp;TEXT(($D600-$C600+1)+10,"00"),"")&amp;IF($C600&gt;=12,", "&amp;$A600&amp;"-"&amp;TEXT(($D600-$C600+1)+11,"00"),"")&amp;IF($C600&gt;=13,", "&amp;$A600&amp;"-"&amp;TEXT(($D600-$C600+1)+12,"00"),"")&amp;IF($C600&gt;=14,", "&amp;$A600&amp;"-"&amp;TEXT(($D600-$C600+1)+13,"00"),"")&amp;IF($C600&gt;=15,", "&amp;$A600&amp;"-"&amp;TEXT(($D600-$C600+1)+14,"00"),"")&amp;IF($C600&gt;=16,", "&amp;$A600&amp;"-"&amp;TEXT(($D600-$C600+1)+15,"00"),"")&amp;IF($C600&gt;=17,", "&amp;$A600&amp;"-"&amp;TEXT(($D600-$C600+1)+16,"00"),"")&amp;IF($C600&gt;=18,", "&amp;$A600&amp;"-"&amp;TEXT(($D600-$C600+1)+17,"00"),"")&amp;IF($C600&gt;=19,", "&amp;$A600&amp;"-"&amp;TEXT(($D600-$C600+1)+18,"00"),"")&amp;IF($C600&gt;=20,", "&amp;$A600&amp;"-"&amp;TEXT(($D600-$C600+1)+19,"00"),"")&amp;IF($C600&gt;=21,", "&amp;$A600&amp;"-"&amp;TEXT(($D600-$C600+1)+20,"00"),"")&amp;IF($C600&gt;=22,", "&amp;$A600&amp;"-"&amp;TEXT(($D600-$C600+1)+21,"00"),"")&amp;IF($C600&gt;=23,", "&amp;$A600&amp;"-"&amp;TEXT(($D600-$C600+1)+22,"00"),"")&amp;IF($C600&gt;=24,", "&amp;$A600&amp;"-"&amp;TEXT(($D600-$C600+1)+23,"00"),"")&amp;IF($C600&gt;=25,", "&amp;$A600&amp;"-"&amp;TEXT(($D600-$C600+1)+24,"00"),""))</f>
        <v/>
      </c>
      <c r="G600">
        <f>IF($A600="","",IF($E600=1,$F600,IF($F600="",$G599,IF($G599="",$F600,$G599&amp;", "&amp;$F600))))</f>
        <v/>
      </c>
      <c r="H600">
        <f>IF($A600="","",$A600&amp;" ("&amp;$C600&amp;")")</f>
        <v/>
      </c>
      <c r="I600">
        <f>IF($A600="","",IF($E600=1,$H600,$I599&amp;", "&amp;$H600))</f>
        <v/>
      </c>
      <c r="J600">
        <f>IF($A600="","",IF($E600=1,$B600,""))</f>
        <v/>
      </c>
      <c r="K600">
        <f>IF($A600="","",IF(COUNTIF($B$2:$B600,$B600)=COUNTIF($B$2:$B$1601,$B600),$B600,""))</f>
        <v/>
      </c>
    </row>
    <row r="601">
      <c r="A601">
        <f>IF('TMP Paste'!$E601="","",'TMP Paste'!$E601)</f>
        <v/>
      </c>
      <c r="B601">
        <f>IF($A601="","",COUNTIF('TMP Paste'!$B$2:$B601,"?*"))</f>
        <v/>
      </c>
      <c r="C601">
        <f>IF($A601="","",IFERROR('TMP Paste'!$M601*1,0))</f>
        <v/>
      </c>
      <c r="D601">
        <f>IF($A601="","",SUMIF($B$2:$B601,$B601,$C$2:$C601))</f>
        <v/>
      </c>
      <c r="E601">
        <f>IF($A601="",0,IF('TMP Paste'!$B601="",0,1))</f>
        <v/>
      </c>
      <c r="F601">
        <f>IF(OR($A601="",$C601&lt;1),"",$A601&amp;"-"&amp;TEXT(($D601-$C601+1),"00")&amp;IF($C601&gt;=2,", "&amp;$A601&amp;"-"&amp;TEXT(($D601-$C601+1)+1,"00"),"")&amp;IF($C601&gt;=3,", "&amp;$A601&amp;"-"&amp;TEXT(($D601-$C601+1)+2,"00"),"")&amp;IF($C601&gt;=4,", "&amp;$A601&amp;"-"&amp;TEXT(($D601-$C601+1)+3,"00"),"")&amp;IF($C601&gt;=5,", "&amp;$A601&amp;"-"&amp;TEXT(($D601-$C601+1)+4,"00"),"")&amp;IF($C601&gt;=6,", "&amp;$A601&amp;"-"&amp;TEXT(($D601-$C601+1)+5,"00"),"")&amp;IF($C601&gt;=7,", "&amp;$A601&amp;"-"&amp;TEXT(($D601-$C601+1)+6,"00"),"")&amp;IF($C601&gt;=8,", "&amp;$A601&amp;"-"&amp;TEXT(($D601-$C601+1)+7,"00"),"")&amp;IF($C601&gt;=9,", "&amp;$A601&amp;"-"&amp;TEXT(($D601-$C601+1)+8,"00"),"")&amp;IF($C601&gt;=10,", "&amp;$A601&amp;"-"&amp;TEXT(($D601-$C601+1)+9,"00"),"")&amp;IF($C601&gt;=11,", "&amp;$A601&amp;"-"&amp;TEXT(($D601-$C601+1)+10,"00"),"")&amp;IF($C601&gt;=12,", "&amp;$A601&amp;"-"&amp;TEXT(($D601-$C601+1)+11,"00"),"")&amp;IF($C601&gt;=13,", "&amp;$A601&amp;"-"&amp;TEXT(($D601-$C601+1)+12,"00"),"")&amp;IF($C601&gt;=14,", "&amp;$A601&amp;"-"&amp;TEXT(($D601-$C601+1)+13,"00"),"")&amp;IF($C601&gt;=15,", "&amp;$A601&amp;"-"&amp;TEXT(($D601-$C601+1)+14,"00"),"")&amp;IF($C601&gt;=16,", "&amp;$A601&amp;"-"&amp;TEXT(($D601-$C601+1)+15,"00"),"")&amp;IF($C601&gt;=17,", "&amp;$A601&amp;"-"&amp;TEXT(($D601-$C601+1)+16,"00"),"")&amp;IF($C601&gt;=18,", "&amp;$A601&amp;"-"&amp;TEXT(($D601-$C601+1)+17,"00"),"")&amp;IF($C601&gt;=19,", "&amp;$A601&amp;"-"&amp;TEXT(($D601-$C601+1)+18,"00"),"")&amp;IF($C601&gt;=20,", "&amp;$A601&amp;"-"&amp;TEXT(($D601-$C601+1)+19,"00"),"")&amp;IF($C601&gt;=21,", "&amp;$A601&amp;"-"&amp;TEXT(($D601-$C601+1)+20,"00"),"")&amp;IF($C601&gt;=22,", "&amp;$A601&amp;"-"&amp;TEXT(($D601-$C601+1)+21,"00"),"")&amp;IF($C601&gt;=23,", "&amp;$A601&amp;"-"&amp;TEXT(($D601-$C601+1)+22,"00"),"")&amp;IF($C601&gt;=24,", "&amp;$A601&amp;"-"&amp;TEXT(($D601-$C601+1)+23,"00"),"")&amp;IF($C601&gt;=25,", "&amp;$A601&amp;"-"&amp;TEXT(($D601-$C601+1)+24,"00"),""))</f>
        <v/>
      </c>
      <c r="G601">
        <f>IF($A601="","",IF($E601=1,$F601,IF($F601="",$G600,IF($G600="",$F601,$G600&amp;", "&amp;$F601))))</f>
        <v/>
      </c>
      <c r="H601">
        <f>IF($A601="","",$A601&amp;" ("&amp;$C601&amp;")")</f>
        <v/>
      </c>
      <c r="I601">
        <f>IF($A601="","",IF($E601=1,$H601,$I600&amp;", "&amp;$H601))</f>
        <v/>
      </c>
      <c r="J601">
        <f>IF($A601="","",IF($E601=1,$B601,""))</f>
        <v/>
      </c>
      <c r="K601">
        <f>IF($A601="","",IF(COUNTIF($B$2:$B601,$B601)=COUNTIF($B$2:$B$1601,$B601),$B601,""))</f>
        <v/>
      </c>
    </row>
    <row r="602">
      <c r="A602">
        <f>IF('TMP Paste'!$E602="","",'TMP Paste'!$E602)</f>
        <v/>
      </c>
      <c r="B602">
        <f>IF($A602="","",COUNTIF('TMP Paste'!$B$2:$B602,"?*"))</f>
        <v/>
      </c>
      <c r="C602">
        <f>IF($A602="","",IFERROR('TMP Paste'!$M602*1,0))</f>
        <v/>
      </c>
      <c r="D602">
        <f>IF($A602="","",SUMIF($B$2:$B602,$B602,$C$2:$C602))</f>
        <v/>
      </c>
      <c r="E602">
        <f>IF($A602="",0,IF('TMP Paste'!$B602="",0,1))</f>
        <v/>
      </c>
      <c r="F602">
        <f>IF(OR($A602="",$C602&lt;1),"",$A602&amp;"-"&amp;TEXT(($D602-$C602+1),"00")&amp;IF($C602&gt;=2,", "&amp;$A602&amp;"-"&amp;TEXT(($D602-$C602+1)+1,"00"),"")&amp;IF($C602&gt;=3,", "&amp;$A602&amp;"-"&amp;TEXT(($D602-$C602+1)+2,"00"),"")&amp;IF($C602&gt;=4,", "&amp;$A602&amp;"-"&amp;TEXT(($D602-$C602+1)+3,"00"),"")&amp;IF($C602&gt;=5,", "&amp;$A602&amp;"-"&amp;TEXT(($D602-$C602+1)+4,"00"),"")&amp;IF($C602&gt;=6,", "&amp;$A602&amp;"-"&amp;TEXT(($D602-$C602+1)+5,"00"),"")&amp;IF($C602&gt;=7,", "&amp;$A602&amp;"-"&amp;TEXT(($D602-$C602+1)+6,"00"),"")&amp;IF($C602&gt;=8,", "&amp;$A602&amp;"-"&amp;TEXT(($D602-$C602+1)+7,"00"),"")&amp;IF($C602&gt;=9,", "&amp;$A602&amp;"-"&amp;TEXT(($D602-$C602+1)+8,"00"),"")&amp;IF($C602&gt;=10,", "&amp;$A602&amp;"-"&amp;TEXT(($D602-$C602+1)+9,"00"),"")&amp;IF($C602&gt;=11,", "&amp;$A602&amp;"-"&amp;TEXT(($D602-$C602+1)+10,"00"),"")&amp;IF($C602&gt;=12,", "&amp;$A602&amp;"-"&amp;TEXT(($D602-$C602+1)+11,"00"),"")&amp;IF($C602&gt;=13,", "&amp;$A602&amp;"-"&amp;TEXT(($D602-$C602+1)+12,"00"),"")&amp;IF($C602&gt;=14,", "&amp;$A602&amp;"-"&amp;TEXT(($D602-$C602+1)+13,"00"),"")&amp;IF($C602&gt;=15,", "&amp;$A602&amp;"-"&amp;TEXT(($D602-$C602+1)+14,"00"),"")&amp;IF($C602&gt;=16,", "&amp;$A602&amp;"-"&amp;TEXT(($D602-$C602+1)+15,"00"),"")&amp;IF($C602&gt;=17,", "&amp;$A602&amp;"-"&amp;TEXT(($D602-$C602+1)+16,"00"),"")&amp;IF($C602&gt;=18,", "&amp;$A602&amp;"-"&amp;TEXT(($D602-$C602+1)+17,"00"),"")&amp;IF($C602&gt;=19,", "&amp;$A602&amp;"-"&amp;TEXT(($D602-$C602+1)+18,"00"),"")&amp;IF($C602&gt;=20,", "&amp;$A602&amp;"-"&amp;TEXT(($D602-$C602+1)+19,"00"),"")&amp;IF($C602&gt;=21,", "&amp;$A602&amp;"-"&amp;TEXT(($D602-$C602+1)+20,"00"),"")&amp;IF($C602&gt;=22,", "&amp;$A602&amp;"-"&amp;TEXT(($D602-$C602+1)+21,"00"),"")&amp;IF($C602&gt;=23,", "&amp;$A602&amp;"-"&amp;TEXT(($D602-$C602+1)+22,"00"),"")&amp;IF($C602&gt;=24,", "&amp;$A602&amp;"-"&amp;TEXT(($D602-$C602+1)+23,"00"),"")&amp;IF($C602&gt;=25,", "&amp;$A602&amp;"-"&amp;TEXT(($D602-$C602+1)+24,"00"),""))</f>
        <v/>
      </c>
      <c r="G602">
        <f>IF($A602="","",IF($E602=1,$F602,IF($F602="",$G601,IF($G601="",$F602,$G601&amp;", "&amp;$F602))))</f>
        <v/>
      </c>
      <c r="H602">
        <f>IF($A602="","",$A602&amp;" ("&amp;$C602&amp;")")</f>
        <v/>
      </c>
      <c r="I602">
        <f>IF($A602="","",IF($E602=1,$H602,$I601&amp;", "&amp;$H602))</f>
        <v/>
      </c>
      <c r="J602">
        <f>IF($A602="","",IF($E602=1,$B602,""))</f>
        <v/>
      </c>
      <c r="K602">
        <f>IF($A602="","",IF(COUNTIF($B$2:$B602,$B602)=COUNTIF($B$2:$B$1601,$B602),$B602,""))</f>
        <v/>
      </c>
    </row>
    <row r="603">
      <c r="A603">
        <f>IF('TMP Paste'!$E603="","",'TMP Paste'!$E603)</f>
        <v/>
      </c>
      <c r="B603">
        <f>IF($A603="","",COUNTIF('TMP Paste'!$B$2:$B603,"?*"))</f>
        <v/>
      </c>
      <c r="C603">
        <f>IF($A603="","",IFERROR('TMP Paste'!$M603*1,0))</f>
        <v/>
      </c>
      <c r="D603">
        <f>IF($A603="","",SUMIF($B$2:$B603,$B603,$C$2:$C603))</f>
        <v/>
      </c>
      <c r="E603">
        <f>IF($A603="",0,IF('TMP Paste'!$B603="",0,1))</f>
        <v/>
      </c>
      <c r="F603">
        <f>IF(OR($A603="",$C603&lt;1),"",$A603&amp;"-"&amp;TEXT(($D603-$C603+1),"00")&amp;IF($C603&gt;=2,", "&amp;$A603&amp;"-"&amp;TEXT(($D603-$C603+1)+1,"00"),"")&amp;IF($C603&gt;=3,", "&amp;$A603&amp;"-"&amp;TEXT(($D603-$C603+1)+2,"00"),"")&amp;IF($C603&gt;=4,", "&amp;$A603&amp;"-"&amp;TEXT(($D603-$C603+1)+3,"00"),"")&amp;IF($C603&gt;=5,", "&amp;$A603&amp;"-"&amp;TEXT(($D603-$C603+1)+4,"00"),"")&amp;IF($C603&gt;=6,", "&amp;$A603&amp;"-"&amp;TEXT(($D603-$C603+1)+5,"00"),"")&amp;IF($C603&gt;=7,", "&amp;$A603&amp;"-"&amp;TEXT(($D603-$C603+1)+6,"00"),"")&amp;IF($C603&gt;=8,", "&amp;$A603&amp;"-"&amp;TEXT(($D603-$C603+1)+7,"00"),"")&amp;IF($C603&gt;=9,", "&amp;$A603&amp;"-"&amp;TEXT(($D603-$C603+1)+8,"00"),"")&amp;IF($C603&gt;=10,", "&amp;$A603&amp;"-"&amp;TEXT(($D603-$C603+1)+9,"00"),"")&amp;IF($C603&gt;=11,", "&amp;$A603&amp;"-"&amp;TEXT(($D603-$C603+1)+10,"00"),"")&amp;IF($C603&gt;=12,", "&amp;$A603&amp;"-"&amp;TEXT(($D603-$C603+1)+11,"00"),"")&amp;IF($C603&gt;=13,", "&amp;$A603&amp;"-"&amp;TEXT(($D603-$C603+1)+12,"00"),"")&amp;IF($C603&gt;=14,", "&amp;$A603&amp;"-"&amp;TEXT(($D603-$C603+1)+13,"00"),"")&amp;IF($C603&gt;=15,", "&amp;$A603&amp;"-"&amp;TEXT(($D603-$C603+1)+14,"00"),"")&amp;IF($C603&gt;=16,", "&amp;$A603&amp;"-"&amp;TEXT(($D603-$C603+1)+15,"00"),"")&amp;IF($C603&gt;=17,", "&amp;$A603&amp;"-"&amp;TEXT(($D603-$C603+1)+16,"00"),"")&amp;IF($C603&gt;=18,", "&amp;$A603&amp;"-"&amp;TEXT(($D603-$C603+1)+17,"00"),"")&amp;IF($C603&gt;=19,", "&amp;$A603&amp;"-"&amp;TEXT(($D603-$C603+1)+18,"00"),"")&amp;IF($C603&gt;=20,", "&amp;$A603&amp;"-"&amp;TEXT(($D603-$C603+1)+19,"00"),"")&amp;IF($C603&gt;=21,", "&amp;$A603&amp;"-"&amp;TEXT(($D603-$C603+1)+20,"00"),"")&amp;IF($C603&gt;=22,", "&amp;$A603&amp;"-"&amp;TEXT(($D603-$C603+1)+21,"00"),"")&amp;IF($C603&gt;=23,", "&amp;$A603&amp;"-"&amp;TEXT(($D603-$C603+1)+22,"00"),"")&amp;IF($C603&gt;=24,", "&amp;$A603&amp;"-"&amp;TEXT(($D603-$C603+1)+23,"00"),"")&amp;IF($C603&gt;=25,", "&amp;$A603&amp;"-"&amp;TEXT(($D603-$C603+1)+24,"00"),""))</f>
        <v/>
      </c>
      <c r="G603">
        <f>IF($A603="","",IF($E603=1,$F603,IF($F603="",$G602,IF($G602="",$F603,$G602&amp;", "&amp;$F603))))</f>
        <v/>
      </c>
      <c r="H603">
        <f>IF($A603="","",$A603&amp;" ("&amp;$C603&amp;")")</f>
        <v/>
      </c>
      <c r="I603">
        <f>IF($A603="","",IF($E603=1,$H603,$I602&amp;", "&amp;$H603))</f>
        <v/>
      </c>
      <c r="J603">
        <f>IF($A603="","",IF($E603=1,$B603,""))</f>
        <v/>
      </c>
      <c r="K603">
        <f>IF($A603="","",IF(COUNTIF($B$2:$B603,$B603)=COUNTIF($B$2:$B$1601,$B603),$B603,""))</f>
        <v/>
      </c>
    </row>
    <row r="604">
      <c r="A604">
        <f>IF('TMP Paste'!$E604="","",'TMP Paste'!$E604)</f>
        <v/>
      </c>
      <c r="B604">
        <f>IF($A604="","",COUNTIF('TMP Paste'!$B$2:$B604,"?*"))</f>
        <v/>
      </c>
      <c r="C604">
        <f>IF($A604="","",IFERROR('TMP Paste'!$M604*1,0))</f>
        <v/>
      </c>
      <c r="D604">
        <f>IF($A604="","",SUMIF($B$2:$B604,$B604,$C$2:$C604))</f>
        <v/>
      </c>
      <c r="E604">
        <f>IF($A604="",0,IF('TMP Paste'!$B604="",0,1))</f>
        <v/>
      </c>
      <c r="F604">
        <f>IF(OR($A604="",$C604&lt;1),"",$A604&amp;"-"&amp;TEXT(($D604-$C604+1),"00")&amp;IF($C604&gt;=2,", "&amp;$A604&amp;"-"&amp;TEXT(($D604-$C604+1)+1,"00"),"")&amp;IF($C604&gt;=3,", "&amp;$A604&amp;"-"&amp;TEXT(($D604-$C604+1)+2,"00"),"")&amp;IF($C604&gt;=4,", "&amp;$A604&amp;"-"&amp;TEXT(($D604-$C604+1)+3,"00"),"")&amp;IF($C604&gt;=5,", "&amp;$A604&amp;"-"&amp;TEXT(($D604-$C604+1)+4,"00"),"")&amp;IF($C604&gt;=6,", "&amp;$A604&amp;"-"&amp;TEXT(($D604-$C604+1)+5,"00"),"")&amp;IF($C604&gt;=7,", "&amp;$A604&amp;"-"&amp;TEXT(($D604-$C604+1)+6,"00"),"")&amp;IF($C604&gt;=8,", "&amp;$A604&amp;"-"&amp;TEXT(($D604-$C604+1)+7,"00"),"")&amp;IF($C604&gt;=9,", "&amp;$A604&amp;"-"&amp;TEXT(($D604-$C604+1)+8,"00"),"")&amp;IF($C604&gt;=10,", "&amp;$A604&amp;"-"&amp;TEXT(($D604-$C604+1)+9,"00"),"")&amp;IF($C604&gt;=11,", "&amp;$A604&amp;"-"&amp;TEXT(($D604-$C604+1)+10,"00"),"")&amp;IF($C604&gt;=12,", "&amp;$A604&amp;"-"&amp;TEXT(($D604-$C604+1)+11,"00"),"")&amp;IF($C604&gt;=13,", "&amp;$A604&amp;"-"&amp;TEXT(($D604-$C604+1)+12,"00"),"")&amp;IF($C604&gt;=14,", "&amp;$A604&amp;"-"&amp;TEXT(($D604-$C604+1)+13,"00"),"")&amp;IF($C604&gt;=15,", "&amp;$A604&amp;"-"&amp;TEXT(($D604-$C604+1)+14,"00"),"")&amp;IF($C604&gt;=16,", "&amp;$A604&amp;"-"&amp;TEXT(($D604-$C604+1)+15,"00"),"")&amp;IF($C604&gt;=17,", "&amp;$A604&amp;"-"&amp;TEXT(($D604-$C604+1)+16,"00"),"")&amp;IF($C604&gt;=18,", "&amp;$A604&amp;"-"&amp;TEXT(($D604-$C604+1)+17,"00"),"")&amp;IF($C604&gt;=19,", "&amp;$A604&amp;"-"&amp;TEXT(($D604-$C604+1)+18,"00"),"")&amp;IF($C604&gt;=20,", "&amp;$A604&amp;"-"&amp;TEXT(($D604-$C604+1)+19,"00"),"")&amp;IF($C604&gt;=21,", "&amp;$A604&amp;"-"&amp;TEXT(($D604-$C604+1)+20,"00"),"")&amp;IF($C604&gt;=22,", "&amp;$A604&amp;"-"&amp;TEXT(($D604-$C604+1)+21,"00"),"")&amp;IF($C604&gt;=23,", "&amp;$A604&amp;"-"&amp;TEXT(($D604-$C604+1)+22,"00"),"")&amp;IF($C604&gt;=24,", "&amp;$A604&amp;"-"&amp;TEXT(($D604-$C604+1)+23,"00"),"")&amp;IF($C604&gt;=25,", "&amp;$A604&amp;"-"&amp;TEXT(($D604-$C604+1)+24,"00"),""))</f>
        <v/>
      </c>
      <c r="G604">
        <f>IF($A604="","",IF($E604=1,$F604,IF($F604="",$G603,IF($G603="",$F604,$G603&amp;", "&amp;$F604))))</f>
        <v/>
      </c>
      <c r="H604">
        <f>IF($A604="","",$A604&amp;" ("&amp;$C604&amp;")")</f>
        <v/>
      </c>
      <c r="I604">
        <f>IF($A604="","",IF($E604=1,$H604,$I603&amp;", "&amp;$H604))</f>
        <v/>
      </c>
      <c r="J604">
        <f>IF($A604="","",IF($E604=1,$B604,""))</f>
        <v/>
      </c>
      <c r="K604">
        <f>IF($A604="","",IF(COUNTIF($B$2:$B604,$B604)=COUNTIF($B$2:$B$1601,$B604),$B604,""))</f>
        <v/>
      </c>
    </row>
    <row r="605">
      <c r="A605">
        <f>IF('TMP Paste'!$E605="","",'TMP Paste'!$E605)</f>
        <v/>
      </c>
      <c r="B605">
        <f>IF($A605="","",COUNTIF('TMP Paste'!$B$2:$B605,"?*"))</f>
        <v/>
      </c>
      <c r="C605">
        <f>IF($A605="","",IFERROR('TMP Paste'!$M605*1,0))</f>
        <v/>
      </c>
      <c r="D605">
        <f>IF($A605="","",SUMIF($B$2:$B605,$B605,$C$2:$C605))</f>
        <v/>
      </c>
      <c r="E605">
        <f>IF($A605="",0,IF('TMP Paste'!$B605="",0,1))</f>
        <v/>
      </c>
      <c r="F605">
        <f>IF(OR($A605="",$C605&lt;1),"",$A605&amp;"-"&amp;TEXT(($D605-$C605+1),"00")&amp;IF($C605&gt;=2,", "&amp;$A605&amp;"-"&amp;TEXT(($D605-$C605+1)+1,"00"),"")&amp;IF($C605&gt;=3,", "&amp;$A605&amp;"-"&amp;TEXT(($D605-$C605+1)+2,"00"),"")&amp;IF($C605&gt;=4,", "&amp;$A605&amp;"-"&amp;TEXT(($D605-$C605+1)+3,"00"),"")&amp;IF($C605&gt;=5,", "&amp;$A605&amp;"-"&amp;TEXT(($D605-$C605+1)+4,"00"),"")&amp;IF($C605&gt;=6,", "&amp;$A605&amp;"-"&amp;TEXT(($D605-$C605+1)+5,"00"),"")&amp;IF($C605&gt;=7,", "&amp;$A605&amp;"-"&amp;TEXT(($D605-$C605+1)+6,"00"),"")&amp;IF($C605&gt;=8,", "&amp;$A605&amp;"-"&amp;TEXT(($D605-$C605+1)+7,"00"),"")&amp;IF($C605&gt;=9,", "&amp;$A605&amp;"-"&amp;TEXT(($D605-$C605+1)+8,"00"),"")&amp;IF($C605&gt;=10,", "&amp;$A605&amp;"-"&amp;TEXT(($D605-$C605+1)+9,"00"),"")&amp;IF($C605&gt;=11,", "&amp;$A605&amp;"-"&amp;TEXT(($D605-$C605+1)+10,"00"),"")&amp;IF($C605&gt;=12,", "&amp;$A605&amp;"-"&amp;TEXT(($D605-$C605+1)+11,"00"),"")&amp;IF($C605&gt;=13,", "&amp;$A605&amp;"-"&amp;TEXT(($D605-$C605+1)+12,"00"),"")&amp;IF($C605&gt;=14,", "&amp;$A605&amp;"-"&amp;TEXT(($D605-$C605+1)+13,"00"),"")&amp;IF($C605&gt;=15,", "&amp;$A605&amp;"-"&amp;TEXT(($D605-$C605+1)+14,"00"),"")&amp;IF($C605&gt;=16,", "&amp;$A605&amp;"-"&amp;TEXT(($D605-$C605+1)+15,"00"),"")&amp;IF($C605&gt;=17,", "&amp;$A605&amp;"-"&amp;TEXT(($D605-$C605+1)+16,"00"),"")&amp;IF($C605&gt;=18,", "&amp;$A605&amp;"-"&amp;TEXT(($D605-$C605+1)+17,"00"),"")&amp;IF($C605&gt;=19,", "&amp;$A605&amp;"-"&amp;TEXT(($D605-$C605+1)+18,"00"),"")&amp;IF($C605&gt;=20,", "&amp;$A605&amp;"-"&amp;TEXT(($D605-$C605+1)+19,"00"),"")&amp;IF($C605&gt;=21,", "&amp;$A605&amp;"-"&amp;TEXT(($D605-$C605+1)+20,"00"),"")&amp;IF($C605&gt;=22,", "&amp;$A605&amp;"-"&amp;TEXT(($D605-$C605+1)+21,"00"),"")&amp;IF($C605&gt;=23,", "&amp;$A605&amp;"-"&amp;TEXT(($D605-$C605+1)+22,"00"),"")&amp;IF($C605&gt;=24,", "&amp;$A605&amp;"-"&amp;TEXT(($D605-$C605+1)+23,"00"),"")&amp;IF($C605&gt;=25,", "&amp;$A605&amp;"-"&amp;TEXT(($D605-$C605+1)+24,"00"),""))</f>
        <v/>
      </c>
      <c r="G605">
        <f>IF($A605="","",IF($E605=1,$F605,IF($F605="",$G604,IF($G604="",$F605,$G604&amp;", "&amp;$F605))))</f>
        <v/>
      </c>
      <c r="H605">
        <f>IF($A605="","",$A605&amp;" ("&amp;$C605&amp;")")</f>
        <v/>
      </c>
      <c r="I605">
        <f>IF($A605="","",IF($E605=1,$H605,$I604&amp;", "&amp;$H605))</f>
        <v/>
      </c>
      <c r="J605">
        <f>IF($A605="","",IF($E605=1,$B605,""))</f>
        <v/>
      </c>
      <c r="K605">
        <f>IF($A605="","",IF(COUNTIF($B$2:$B605,$B605)=COUNTIF($B$2:$B$1601,$B605),$B605,""))</f>
        <v/>
      </c>
    </row>
    <row r="606">
      <c r="A606">
        <f>IF('TMP Paste'!$E606="","",'TMP Paste'!$E606)</f>
        <v/>
      </c>
      <c r="B606">
        <f>IF($A606="","",COUNTIF('TMP Paste'!$B$2:$B606,"?*"))</f>
        <v/>
      </c>
      <c r="C606">
        <f>IF($A606="","",IFERROR('TMP Paste'!$M606*1,0))</f>
        <v/>
      </c>
      <c r="D606">
        <f>IF($A606="","",SUMIF($B$2:$B606,$B606,$C$2:$C606))</f>
        <v/>
      </c>
      <c r="E606">
        <f>IF($A606="",0,IF('TMP Paste'!$B606="",0,1))</f>
        <v/>
      </c>
      <c r="F606">
        <f>IF(OR($A606="",$C606&lt;1),"",$A606&amp;"-"&amp;TEXT(($D606-$C606+1),"00")&amp;IF($C606&gt;=2,", "&amp;$A606&amp;"-"&amp;TEXT(($D606-$C606+1)+1,"00"),"")&amp;IF($C606&gt;=3,", "&amp;$A606&amp;"-"&amp;TEXT(($D606-$C606+1)+2,"00"),"")&amp;IF($C606&gt;=4,", "&amp;$A606&amp;"-"&amp;TEXT(($D606-$C606+1)+3,"00"),"")&amp;IF($C606&gt;=5,", "&amp;$A606&amp;"-"&amp;TEXT(($D606-$C606+1)+4,"00"),"")&amp;IF($C606&gt;=6,", "&amp;$A606&amp;"-"&amp;TEXT(($D606-$C606+1)+5,"00"),"")&amp;IF($C606&gt;=7,", "&amp;$A606&amp;"-"&amp;TEXT(($D606-$C606+1)+6,"00"),"")&amp;IF($C606&gt;=8,", "&amp;$A606&amp;"-"&amp;TEXT(($D606-$C606+1)+7,"00"),"")&amp;IF($C606&gt;=9,", "&amp;$A606&amp;"-"&amp;TEXT(($D606-$C606+1)+8,"00"),"")&amp;IF($C606&gt;=10,", "&amp;$A606&amp;"-"&amp;TEXT(($D606-$C606+1)+9,"00"),"")&amp;IF($C606&gt;=11,", "&amp;$A606&amp;"-"&amp;TEXT(($D606-$C606+1)+10,"00"),"")&amp;IF($C606&gt;=12,", "&amp;$A606&amp;"-"&amp;TEXT(($D606-$C606+1)+11,"00"),"")&amp;IF($C606&gt;=13,", "&amp;$A606&amp;"-"&amp;TEXT(($D606-$C606+1)+12,"00"),"")&amp;IF($C606&gt;=14,", "&amp;$A606&amp;"-"&amp;TEXT(($D606-$C606+1)+13,"00"),"")&amp;IF($C606&gt;=15,", "&amp;$A606&amp;"-"&amp;TEXT(($D606-$C606+1)+14,"00"),"")&amp;IF($C606&gt;=16,", "&amp;$A606&amp;"-"&amp;TEXT(($D606-$C606+1)+15,"00"),"")&amp;IF($C606&gt;=17,", "&amp;$A606&amp;"-"&amp;TEXT(($D606-$C606+1)+16,"00"),"")&amp;IF($C606&gt;=18,", "&amp;$A606&amp;"-"&amp;TEXT(($D606-$C606+1)+17,"00"),"")&amp;IF($C606&gt;=19,", "&amp;$A606&amp;"-"&amp;TEXT(($D606-$C606+1)+18,"00"),"")&amp;IF($C606&gt;=20,", "&amp;$A606&amp;"-"&amp;TEXT(($D606-$C606+1)+19,"00"),"")&amp;IF($C606&gt;=21,", "&amp;$A606&amp;"-"&amp;TEXT(($D606-$C606+1)+20,"00"),"")&amp;IF($C606&gt;=22,", "&amp;$A606&amp;"-"&amp;TEXT(($D606-$C606+1)+21,"00"),"")&amp;IF($C606&gt;=23,", "&amp;$A606&amp;"-"&amp;TEXT(($D606-$C606+1)+22,"00"),"")&amp;IF($C606&gt;=24,", "&amp;$A606&amp;"-"&amp;TEXT(($D606-$C606+1)+23,"00"),"")&amp;IF($C606&gt;=25,", "&amp;$A606&amp;"-"&amp;TEXT(($D606-$C606+1)+24,"00"),""))</f>
        <v/>
      </c>
      <c r="G606">
        <f>IF($A606="","",IF($E606=1,$F606,IF($F606="",$G605,IF($G605="",$F606,$G605&amp;", "&amp;$F606))))</f>
        <v/>
      </c>
      <c r="H606">
        <f>IF($A606="","",$A606&amp;" ("&amp;$C606&amp;")")</f>
        <v/>
      </c>
      <c r="I606">
        <f>IF($A606="","",IF($E606=1,$H606,$I605&amp;", "&amp;$H606))</f>
        <v/>
      </c>
      <c r="J606">
        <f>IF($A606="","",IF($E606=1,$B606,""))</f>
        <v/>
      </c>
      <c r="K606">
        <f>IF($A606="","",IF(COUNTIF($B$2:$B606,$B606)=COUNTIF($B$2:$B$1601,$B606),$B606,""))</f>
        <v/>
      </c>
    </row>
    <row r="607">
      <c r="A607">
        <f>IF('TMP Paste'!$E607="","",'TMP Paste'!$E607)</f>
        <v/>
      </c>
      <c r="B607">
        <f>IF($A607="","",COUNTIF('TMP Paste'!$B$2:$B607,"?*"))</f>
        <v/>
      </c>
      <c r="C607">
        <f>IF($A607="","",IFERROR('TMP Paste'!$M607*1,0))</f>
        <v/>
      </c>
      <c r="D607">
        <f>IF($A607="","",SUMIF($B$2:$B607,$B607,$C$2:$C607))</f>
        <v/>
      </c>
      <c r="E607">
        <f>IF($A607="",0,IF('TMP Paste'!$B607="",0,1))</f>
        <v/>
      </c>
      <c r="F607">
        <f>IF(OR($A607="",$C607&lt;1),"",$A607&amp;"-"&amp;TEXT(($D607-$C607+1),"00")&amp;IF($C607&gt;=2,", "&amp;$A607&amp;"-"&amp;TEXT(($D607-$C607+1)+1,"00"),"")&amp;IF($C607&gt;=3,", "&amp;$A607&amp;"-"&amp;TEXT(($D607-$C607+1)+2,"00"),"")&amp;IF($C607&gt;=4,", "&amp;$A607&amp;"-"&amp;TEXT(($D607-$C607+1)+3,"00"),"")&amp;IF($C607&gt;=5,", "&amp;$A607&amp;"-"&amp;TEXT(($D607-$C607+1)+4,"00"),"")&amp;IF($C607&gt;=6,", "&amp;$A607&amp;"-"&amp;TEXT(($D607-$C607+1)+5,"00"),"")&amp;IF($C607&gt;=7,", "&amp;$A607&amp;"-"&amp;TEXT(($D607-$C607+1)+6,"00"),"")&amp;IF($C607&gt;=8,", "&amp;$A607&amp;"-"&amp;TEXT(($D607-$C607+1)+7,"00"),"")&amp;IF($C607&gt;=9,", "&amp;$A607&amp;"-"&amp;TEXT(($D607-$C607+1)+8,"00"),"")&amp;IF($C607&gt;=10,", "&amp;$A607&amp;"-"&amp;TEXT(($D607-$C607+1)+9,"00"),"")&amp;IF($C607&gt;=11,", "&amp;$A607&amp;"-"&amp;TEXT(($D607-$C607+1)+10,"00"),"")&amp;IF($C607&gt;=12,", "&amp;$A607&amp;"-"&amp;TEXT(($D607-$C607+1)+11,"00"),"")&amp;IF($C607&gt;=13,", "&amp;$A607&amp;"-"&amp;TEXT(($D607-$C607+1)+12,"00"),"")&amp;IF($C607&gt;=14,", "&amp;$A607&amp;"-"&amp;TEXT(($D607-$C607+1)+13,"00"),"")&amp;IF($C607&gt;=15,", "&amp;$A607&amp;"-"&amp;TEXT(($D607-$C607+1)+14,"00"),"")&amp;IF($C607&gt;=16,", "&amp;$A607&amp;"-"&amp;TEXT(($D607-$C607+1)+15,"00"),"")&amp;IF($C607&gt;=17,", "&amp;$A607&amp;"-"&amp;TEXT(($D607-$C607+1)+16,"00"),"")&amp;IF($C607&gt;=18,", "&amp;$A607&amp;"-"&amp;TEXT(($D607-$C607+1)+17,"00"),"")&amp;IF($C607&gt;=19,", "&amp;$A607&amp;"-"&amp;TEXT(($D607-$C607+1)+18,"00"),"")&amp;IF($C607&gt;=20,", "&amp;$A607&amp;"-"&amp;TEXT(($D607-$C607+1)+19,"00"),"")&amp;IF($C607&gt;=21,", "&amp;$A607&amp;"-"&amp;TEXT(($D607-$C607+1)+20,"00"),"")&amp;IF($C607&gt;=22,", "&amp;$A607&amp;"-"&amp;TEXT(($D607-$C607+1)+21,"00"),"")&amp;IF($C607&gt;=23,", "&amp;$A607&amp;"-"&amp;TEXT(($D607-$C607+1)+22,"00"),"")&amp;IF($C607&gt;=24,", "&amp;$A607&amp;"-"&amp;TEXT(($D607-$C607+1)+23,"00"),"")&amp;IF($C607&gt;=25,", "&amp;$A607&amp;"-"&amp;TEXT(($D607-$C607+1)+24,"00"),""))</f>
        <v/>
      </c>
      <c r="G607">
        <f>IF($A607="","",IF($E607=1,$F607,IF($F607="",$G606,IF($G606="",$F607,$G606&amp;", "&amp;$F607))))</f>
        <v/>
      </c>
      <c r="H607">
        <f>IF($A607="","",$A607&amp;" ("&amp;$C607&amp;")")</f>
        <v/>
      </c>
      <c r="I607">
        <f>IF($A607="","",IF($E607=1,$H607,$I606&amp;", "&amp;$H607))</f>
        <v/>
      </c>
      <c r="J607">
        <f>IF($A607="","",IF($E607=1,$B607,""))</f>
        <v/>
      </c>
      <c r="K607">
        <f>IF($A607="","",IF(COUNTIF($B$2:$B607,$B607)=COUNTIF($B$2:$B$1601,$B607),$B607,""))</f>
        <v/>
      </c>
    </row>
    <row r="608">
      <c r="A608">
        <f>IF('TMP Paste'!$E608="","",'TMP Paste'!$E608)</f>
        <v/>
      </c>
      <c r="B608">
        <f>IF($A608="","",COUNTIF('TMP Paste'!$B$2:$B608,"?*"))</f>
        <v/>
      </c>
      <c r="C608">
        <f>IF($A608="","",IFERROR('TMP Paste'!$M608*1,0))</f>
        <v/>
      </c>
      <c r="D608">
        <f>IF($A608="","",SUMIF($B$2:$B608,$B608,$C$2:$C608))</f>
        <v/>
      </c>
      <c r="E608">
        <f>IF($A608="",0,IF('TMP Paste'!$B608="",0,1))</f>
        <v/>
      </c>
      <c r="F608">
        <f>IF(OR($A608="",$C608&lt;1),"",$A608&amp;"-"&amp;TEXT(($D608-$C608+1),"00")&amp;IF($C608&gt;=2,", "&amp;$A608&amp;"-"&amp;TEXT(($D608-$C608+1)+1,"00"),"")&amp;IF($C608&gt;=3,", "&amp;$A608&amp;"-"&amp;TEXT(($D608-$C608+1)+2,"00"),"")&amp;IF($C608&gt;=4,", "&amp;$A608&amp;"-"&amp;TEXT(($D608-$C608+1)+3,"00"),"")&amp;IF($C608&gt;=5,", "&amp;$A608&amp;"-"&amp;TEXT(($D608-$C608+1)+4,"00"),"")&amp;IF($C608&gt;=6,", "&amp;$A608&amp;"-"&amp;TEXT(($D608-$C608+1)+5,"00"),"")&amp;IF($C608&gt;=7,", "&amp;$A608&amp;"-"&amp;TEXT(($D608-$C608+1)+6,"00"),"")&amp;IF($C608&gt;=8,", "&amp;$A608&amp;"-"&amp;TEXT(($D608-$C608+1)+7,"00"),"")&amp;IF($C608&gt;=9,", "&amp;$A608&amp;"-"&amp;TEXT(($D608-$C608+1)+8,"00"),"")&amp;IF($C608&gt;=10,", "&amp;$A608&amp;"-"&amp;TEXT(($D608-$C608+1)+9,"00"),"")&amp;IF($C608&gt;=11,", "&amp;$A608&amp;"-"&amp;TEXT(($D608-$C608+1)+10,"00"),"")&amp;IF($C608&gt;=12,", "&amp;$A608&amp;"-"&amp;TEXT(($D608-$C608+1)+11,"00"),"")&amp;IF($C608&gt;=13,", "&amp;$A608&amp;"-"&amp;TEXT(($D608-$C608+1)+12,"00"),"")&amp;IF($C608&gt;=14,", "&amp;$A608&amp;"-"&amp;TEXT(($D608-$C608+1)+13,"00"),"")&amp;IF($C608&gt;=15,", "&amp;$A608&amp;"-"&amp;TEXT(($D608-$C608+1)+14,"00"),"")&amp;IF($C608&gt;=16,", "&amp;$A608&amp;"-"&amp;TEXT(($D608-$C608+1)+15,"00"),"")&amp;IF($C608&gt;=17,", "&amp;$A608&amp;"-"&amp;TEXT(($D608-$C608+1)+16,"00"),"")&amp;IF($C608&gt;=18,", "&amp;$A608&amp;"-"&amp;TEXT(($D608-$C608+1)+17,"00"),"")&amp;IF($C608&gt;=19,", "&amp;$A608&amp;"-"&amp;TEXT(($D608-$C608+1)+18,"00"),"")&amp;IF($C608&gt;=20,", "&amp;$A608&amp;"-"&amp;TEXT(($D608-$C608+1)+19,"00"),"")&amp;IF($C608&gt;=21,", "&amp;$A608&amp;"-"&amp;TEXT(($D608-$C608+1)+20,"00"),"")&amp;IF($C608&gt;=22,", "&amp;$A608&amp;"-"&amp;TEXT(($D608-$C608+1)+21,"00"),"")&amp;IF($C608&gt;=23,", "&amp;$A608&amp;"-"&amp;TEXT(($D608-$C608+1)+22,"00"),"")&amp;IF($C608&gt;=24,", "&amp;$A608&amp;"-"&amp;TEXT(($D608-$C608+1)+23,"00"),"")&amp;IF($C608&gt;=25,", "&amp;$A608&amp;"-"&amp;TEXT(($D608-$C608+1)+24,"00"),""))</f>
        <v/>
      </c>
      <c r="G608">
        <f>IF($A608="","",IF($E608=1,$F608,IF($F608="",$G607,IF($G607="",$F608,$G607&amp;", "&amp;$F608))))</f>
        <v/>
      </c>
      <c r="H608">
        <f>IF($A608="","",$A608&amp;" ("&amp;$C608&amp;")")</f>
        <v/>
      </c>
      <c r="I608">
        <f>IF($A608="","",IF($E608=1,$H608,$I607&amp;", "&amp;$H608))</f>
        <v/>
      </c>
      <c r="J608">
        <f>IF($A608="","",IF($E608=1,$B608,""))</f>
        <v/>
      </c>
      <c r="K608">
        <f>IF($A608="","",IF(COUNTIF($B$2:$B608,$B608)=COUNTIF($B$2:$B$1601,$B608),$B608,""))</f>
        <v/>
      </c>
    </row>
    <row r="609">
      <c r="A609">
        <f>IF('TMP Paste'!$E609="","",'TMP Paste'!$E609)</f>
        <v/>
      </c>
      <c r="B609">
        <f>IF($A609="","",COUNTIF('TMP Paste'!$B$2:$B609,"?*"))</f>
        <v/>
      </c>
      <c r="C609">
        <f>IF($A609="","",IFERROR('TMP Paste'!$M609*1,0))</f>
        <v/>
      </c>
      <c r="D609">
        <f>IF($A609="","",SUMIF($B$2:$B609,$B609,$C$2:$C609))</f>
        <v/>
      </c>
      <c r="E609">
        <f>IF($A609="",0,IF('TMP Paste'!$B609="",0,1))</f>
        <v/>
      </c>
      <c r="F609">
        <f>IF(OR($A609="",$C609&lt;1),"",$A609&amp;"-"&amp;TEXT(($D609-$C609+1),"00")&amp;IF($C609&gt;=2,", "&amp;$A609&amp;"-"&amp;TEXT(($D609-$C609+1)+1,"00"),"")&amp;IF($C609&gt;=3,", "&amp;$A609&amp;"-"&amp;TEXT(($D609-$C609+1)+2,"00"),"")&amp;IF($C609&gt;=4,", "&amp;$A609&amp;"-"&amp;TEXT(($D609-$C609+1)+3,"00"),"")&amp;IF($C609&gt;=5,", "&amp;$A609&amp;"-"&amp;TEXT(($D609-$C609+1)+4,"00"),"")&amp;IF($C609&gt;=6,", "&amp;$A609&amp;"-"&amp;TEXT(($D609-$C609+1)+5,"00"),"")&amp;IF($C609&gt;=7,", "&amp;$A609&amp;"-"&amp;TEXT(($D609-$C609+1)+6,"00"),"")&amp;IF($C609&gt;=8,", "&amp;$A609&amp;"-"&amp;TEXT(($D609-$C609+1)+7,"00"),"")&amp;IF($C609&gt;=9,", "&amp;$A609&amp;"-"&amp;TEXT(($D609-$C609+1)+8,"00"),"")&amp;IF($C609&gt;=10,", "&amp;$A609&amp;"-"&amp;TEXT(($D609-$C609+1)+9,"00"),"")&amp;IF($C609&gt;=11,", "&amp;$A609&amp;"-"&amp;TEXT(($D609-$C609+1)+10,"00"),"")&amp;IF($C609&gt;=12,", "&amp;$A609&amp;"-"&amp;TEXT(($D609-$C609+1)+11,"00"),"")&amp;IF($C609&gt;=13,", "&amp;$A609&amp;"-"&amp;TEXT(($D609-$C609+1)+12,"00"),"")&amp;IF($C609&gt;=14,", "&amp;$A609&amp;"-"&amp;TEXT(($D609-$C609+1)+13,"00"),"")&amp;IF($C609&gt;=15,", "&amp;$A609&amp;"-"&amp;TEXT(($D609-$C609+1)+14,"00"),"")&amp;IF($C609&gt;=16,", "&amp;$A609&amp;"-"&amp;TEXT(($D609-$C609+1)+15,"00"),"")&amp;IF($C609&gt;=17,", "&amp;$A609&amp;"-"&amp;TEXT(($D609-$C609+1)+16,"00"),"")&amp;IF($C609&gt;=18,", "&amp;$A609&amp;"-"&amp;TEXT(($D609-$C609+1)+17,"00"),"")&amp;IF($C609&gt;=19,", "&amp;$A609&amp;"-"&amp;TEXT(($D609-$C609+1)+18,"00"),"")&amp;IF($C609&gt;=20,", "&amp;$A609&amp;"-"&amp;TEXT(($D609-$C609+1)+19,"00"),"")&amp;IF($C609&gt;=21,", "&amp;$A609&amp;"-"&amp;TEXT(($D609-$C609+1)+20,"00"),"")&amp;IF($C609&gt;=22,", "&amp;$A609&amp;"-"&amp;TEXT(($D609-$C609+1)+21,"00"),"")&amp;IF($C609&gt;=23,", "&amp;$A609&amp;"-"&amp;TEXT(($D609-$C609+1)+22,"00"),"")&amp;IF($C609&gt;=24,", "&amp;$A609&amp;"-"&amp;TEXT(($D609-$C609+1)+23,"00"),"")&amp;IF($C609&gt;=25,", "&amp;$A609&amp;"-"&amp;TEXT(($D609-$C609+1)+24,"00"),""))</f>
        <v/>
      </c>
      <c r="G609">
        <f>IF($A609="","",IF($E609=1,$F609,IF($F609="",$G608,IF($G608="",$F609,$G608&amp;", "&amp;$F609))))</f>
        <v/>
      </c>
      <c r="H609">
        <f>IF($A609="","",$A609&amp;" ("&amp;$C609&amp;")")</f>
        <v/>
      </c>
      <c r="I609">
        <f>IF($A609="","",IF($E609=1,$H609,$I608&amp;", "&amp;$H609))</f>
        <v/>
      </c>
      <c r="J609">
        <f>IF($A609="","",IF($E609=1,$B609,""))</f>
        <v/>
      </c>
      <c r="K609">
        <f>IF($A609="","",IF(COUNTIF($B$2:$B609,$B609)=COUNTIF($B$2:$B$1601,$B609),$B609,""))</f>
        <v/>
      </c>
    </row>
    <row r="610">
      <c r="A610">
        <f>IF('TMP Paste'!$E610="","",'TMP Paste'!$E610)</f>
        <v/>
      </c>
      <c r="B610">
        <f>IF($A610="","",COUNTIF('TMP Paste'!$B$2:$B610,"?*"))</f>
        <v/>
      </c>
      <c r="C610">
        <f>IF($A610="","",IFERROR('TMP Paste'!$M610*1,0))</f>
        <v/>
      </c>
      <c r="D610">
        <f>IF($A610="","",SUMIF($B$2:$B610,$B610,$C$2:$C610))</f>
        <v/>
      </c>
      <c r="E610">
        <f>IF($A610="",0,IF('TMP Paste'!$B610="",0,1))</f>
        <v/>
      </c>
      <c r="F610">
        <f>IF(OR($A610="",$C610&lt;1),"",$A610&amp;"-"&amp;TEXT(($D610-$C610+1),"00")&amp;IF($C610&gt;=2,", "&amp;$A610&amp;"-"&amp;TEXT(($D610-$C610+1)+1,"00"),"")&amp;IF($C610&gt;=3,", "&amp;$A610&amp;"-"&amp;TEXT(($D610-$C610+1)+2,"00"),"")&amp;IF($C610&gt;=4,", "&amp;$A610&amp;"-"&amp;TEXT(($D610-$C610+1)+3,"00"),"")&amp;IF($C610&gt;=5,", "&amp;$A610&amp;"-"&amp;TEXT(($D610-$C610+1)+4,"00"),"")&amp;IF($C610&gt;=6,", "&amp;$A610&amp;"-"&amp;TEXT(($D610-$C610+1)+5,"00"),"")&amp;IF($C610&gt;=7,", "&amp;$A610&amp;"-"&amp;TEXT(($D610-$C610+1)+6,"00"),"")&amp;IF($C610&gt;=8,", "&amp;$A610&amp;"-"&amp;TEXT(($D610-$C610+1)+7,"00"),"")&amp;IF($C610&gt;=9,", "&amp;$A610&amp;"-"&amp;TEXT(($D610-$C610+1)+8,"00"),"")&amp;IF($C610&gt;=10,", "&amp;$A610&amp;"-"&amp;TEXT(($D610-$C610+1)+9,"00"),"")&amp;IF($C610&gt;=11,", "&amp;$A610&amp;"-"&amp;TEXT(($D610-$C610+1)+10,"00"),"")&amp;IF($C610&gt;=12,", "&amp;$A610&amp;"-"&amp;TEXT(($D610-$C610+1)+11,"00"),"")&amp;IF($C610&gt;=13,", "&amp;$A610&amp;"-"&amp;TEXT(($D610-$C610+1)+12,"00"),"")&amp;IF($C610&gt;=14,", "&amp;$A610&amp;"-"&amp;TEXT(($D610-$C610+1)+13,"00"),"")&amp;IF($C610&gt;=15,", "&amp;$A610&amp;"-"&amp;TEXT(($D610-$C610+1)+14,"00"),"")&amp;IF($C610&gt;=16,", "&amp;$A610&amp;"-"&amp;TEXT(($D610-$C610+1)+15,"00"),"")&amp;IF($C610&gt;=17,", "&amp;$A610&amp;"-"&amp;TEXT(($D610-$C610+1)+16,"00"),"")&amp;IF($C610&gt;=18,", "&amp;$A610&amp;"-"&amp;TEXT(($D610-$C610+1)+17,"00"),"")&amp;IF($C610&gt;=19,", "&amp;$A610&amp;"-"&amp;TEXT(($D610-$C610+1)+18,"00"),"")&amp;IF($C610&gt;=20,", "&amp;$A610&amp;"-"&amp;TEXT(($D610-$C610+1)+19,"00"),"")&amp;IF($C610&gt;=21,", "&amp;$A610&amp;"-"&amp;TEXT(($D610-$C610+1)+20,"00"),"")&amp;IF($C610&gt;=22,", "&amp;$A610&amp;"-"&amp;TEXT(($D610-$C610+1)+21,"00"),"")&amp;IF($C610&gt;=23,", "&amp;$A610&amp;"-"&amp;TEXT(($D610-$C610+1)+22,"00"),"")&amp;IF($C610&gt;=24,", "&amp;$A610&amp;"-"&amp;TEXT(($D610-$C610+1)+23,"00"),"")&amp;IF($C610&gt;=25,", "&amp;$A610&amp;"-"&amp;TEXT(($D610-$C610+1)+24,"00"),""))</f>
        <v/>
      </c>
      <c r="G610">
        <f>IF($A610="","",IF($E610=1,$F610,IF($F610="",$G609,IF($G609="",$F610,$G609&amp;", "&amp;$F610))))</f>
        <v/>
      </c>
      <c r="H610">
        <f>IF($A610="","",$A610&amp;" ("&amp;$C610&amp;")")</f>
        <v/>
      </c>
      <c r="I610">
        <f>IF($A610="","",IF($E610=1,$H610,$I609&amp;", "&amp;$H610))</f>
        <v/>
      </c>
      <c r="J610">
        <f>IF($A610="","",IF($E610=1,$B610,""))</f>
        <v/>
      </c>
      <c r="K610">
        <f>IF($A610="","",IF(COUNTIF($B$2:$B610,$B610)=COUNTIF($B$2:$B$1601,$B610),$B610,""))</f>
        <v/>
      </c>
    </row>
    <row r="611">
      <c r="A611">
        <f>IF('TMP Paste'!$E611="","",'TMP Paste'!$E611)</f>
        <v/>
      </c>
      <c r="B611">
        <f>IF($A611="","",COUNTIF('TMP Paste'!$B$2:$B611,"?*"))</f>
        <v/>
      </c>
      <c r="C611">
        <f>IF($A611="","",IFERROR('TMP Paste'!$M611*1,0))</f>
        <v/>
      </c>
      <c r="D611">
        <f>IF($A611="","",SUMIF($B$2:$B611,$B611,$C$2:$C611))</f>
        <v/>
      </c>
      <c r="E611">
        <f>IF($A611="",0,IF('TMP Paste'!$B611="",0,1))</f>
        <v/>
      </c>
      <c r="F611">
        <f>IF(OR($A611="",$C611&lt;1),"",$A611&amp;"-"&amp;TEXT(($D611-$C611+1),"00")&amp;IF($C611&gt;=2,", "&amp;$A611&amp;"-"&amp;TEXT(($D611-$C611+1)+1,"00"),"")&amp;IF($C611&gt;=3,", "&amp;$A611&amp;"-"&amp;TEXT(($D611-$C611+1)+2,"00"),"")&amp;IF($C611&gt;=4,", "&amp;$A611&amp;"-"&amp;TEXT(($D611-$C611+1)+3,"00"),"")&amp;IF($C611&gt;=5,", "&amp;$A611&amp;"-"&amp;TEXT(($D611-$C611+1)+4,"00"),"")&amp;IF($C611&gt;=6,", "&amp;$A611&amp;"-"&amp;TEXT(($D611-$C611+1)+5,"00"),"")&amp;IF($C611&gt;=7,", "&amp;$A611&amp;"-"&amp;TEXT(($D611-$C611+1)+6,"00"),"")&amp;IF($C611&gt;=8,", "&amp;$A611&amp;"-"&amp;TEXT(($D611-$C611+1)+7,"00"),"")&amp;IF($C611&gt;=9,", "&amp;$A611&amp;"-"&amp;TEXT(($D611-$C611+1)+8,"00"),"")&amp;IF($C611&gt;=10,", "&amp;$A611&amp;"-"&amp;TEXT(($D611-$C611+1)+9,"00"),"")&amp;IF($C611&gt;=11,", "&amp;$A611&amp;"-"&amp;TEXT(($D611-$C611+1)+10,"00"),"")&amp;IF($C611&gt;=12,", "&amp;$A611&amp;"-"&amp;TEXT(($D611-$C611+1)+11,"00"),"")&amp;IF($C611&gt;=13,", "&amp;$A611&amp;"-"&amp;TEXT(($D611-$C611+1)+12,"00"),"")&amp;IF($C611&gt;=14,", "&amp;$A611&amp;"-"&amp;TEXT(($D611-$C611+1)+13,"00"),"")&amp;IF($C611&gt;=15,", "&amp;$A611&amp;"-"&amp;TEXT(($D611-$C611+1)+14,"00"),"")&amp;IF($C611&gt;=16,", "&amp;$A611&amp;"-"&amp;TEXT(($D611-$C611+1)+15,"00"),"")&amp;IF($C611&gt;=17,", "&amp;$A611&amp;"-"&amp;TEXT(($D611-$C611+1)+16,"00"),"")&amp;IF($C611&gt;=18,", "&amp;$A611&amp;"-"&amp;TEXT(($D611-$C611+1)+17,"00"),"")&amp;IF($C611&gt;=19,", "&amp;$A611&amp;"-"&amp;TEXT(($D611-$C611+1)+18,"00"),"")&amp;IF($C611&gt;=20,", "&amp;$A611&amp;"-"&amp;TEXT(($D611-$C611+1)+19,"00"),"")&amp;IF($C611&gt;=21,", "&amp;$A611&amp;"-"&amp;TEXT(($D611-$C611+1)+20,"00"),"")&amp;IF($C611&gt;=22,", "&amp;$A611&amp;"-"&amp;TEXT(($D611-$C611+1)+21,"00"),"")&amp;IF($C611&gt;=23,", "&amp;$A611&amp;"-"&amp;TEXT(($D611-$C611+1)+22,"00"),"")&amp;IF($C611&gt;=24,", "&amp;$A611&amp;"-"&amp;TEXT(($D611-$C611+1)+23,"00"),"")&amp;IF($C611&gt;=25,", "&amp;$A611&amp;"-"&amp;TEXT(($D611-$C611+1)+24,"00"),""))</f>
        <v/>
      </c>
      <c r="G611">
        <f>IF($A611="","",IF($E611=1,$F611,IF($F611="",$G610,IF($G610="",$F611,$G610&amp;", "&amp;$F611))))</f>
        <v/>
      </c>
      <c r="H611">
        <f>IF($A611="","",$A611&amp;" ("&amp;$C611&amp;")")</f>
        <v/>
      </c>
      <c r="I611">
        <f>IF($A611="","",IF($E611=1,$H611,$I610&amp;", "&amp;$H611))</f>
        <v/>
      </c>
      <c r="J611">
        <f>IF($A611="","",IF($E611=1,$B611,""))</f>
        <v/>
      </c>
      <c r="K611">
        <f>IF($A611="","",IF(COUNTIF($B$2:$B611,$B611)=COUNTIF($B$2:$B$1601,$B611),$B611,""))</f>
        <v/>
      </c>
    </row>
    <row r="612">
      <c r="A612">
        <f>IF('TMP Paste'!$E612="","",'TMP Paste'!$E612)</f>
        <v/>
      </c>
      <c r="B612">
        <f>IF($A612="","",COUNTIF('TMP Paste'!$B$2:$B612,"?*"))</f>
        <v/>
      </c>
      <c r="C612">
        <f>IF($A612="","",IFERROR('TMP Paste'!$M612*1,0))</f>
        <v/>
      </c>
      <c r="D612">
        <f>IF($A612="","",SUMIF($B$2:$B612,$B612,$C$2:$C612))</f>
        <v/>
      </c>
      <c r="E612">
        <f>IF($A612="",0,IF('TMP Paste'!$B612="",0,1))</f>
        <v/>
      </c>
      <c r="F612">
        <f>IF(OR($A612="",$C612&lt;1),"",$A612&amp;"-"&amp;TEXT(($D612-$C612+1),"00")&amp;IF($C612&gt;=2,", "&amp;$A612&amp;"-"&amp;TEXT(($D612-$C612+1)+1,"00"),"")&amp;IF($C612&gt;=3,", "&amp;$A612&amp;"-"&amp;TEXT(($D612-$C612+1)+2,"00"),"")&amp;IF($C612&gt;=4,", "&amp;$A612&amp;"-"&amp;TEXT(($D612-$C612+1)+3,"00"),"")&amp;IF($C612&gt;=5,", "&amp;$A612&amp;"-"&amp;TEXT(($D612-$C612+1)+4,"00"),"")&amp;IF($C612&gt;=6,", "&amp;$A612&amp;"-"&amp;TEXT(($D612-$C612+1)+5,"00"),"")&amp;IF($C612&gt;=7,", "&amp;$A612&amp;"-"&amp;TEXT(($D612-$C612+1)+6,"00"),"")&amp;IF($C612&gt;=8,", "&amp;$A612&amp;"-"&amp;TEXT(($D612-$C612+1)+7,"00"),"")&amp;IF($C612&gt;=9,", "&amp;$A612&amp;"-"&amp;TEXT(($D612-$C612+1)+8,"00"),"")&amp;IF($C612&gt;=10,", "&amp;$A612&amp;"-"&amp;TEXT(($D612-$C612+1)+9,"00"),"")&amp;IF($C612&gt;=11,", "&amp;$A612&amp;"-"&amp;TEXT(($D612-$C612+1)+10,"00"),"")&amp;IF($C612&gt;=12,", "&amp;$A612&amp;"-"&amp;TEXT(($D612-$C612+1)+11,"00"),"")&amp;IF($C612&gt;=13,", "&amp;$A612&amp;"-"&amp;TEXT(($D612-$C612+1)+12,"00"),"")&amp;IF($C612&gt;=14,", "&amp;$A612&amp;"-"&amp;TEXT(($D612-$C612+1)+13,"00"),"")&amp;IF($C612&gt;=15,", "&amp;$A612&amp;"-"&amp;TEXT(($D612-$C612+1)+14,"00"),"")&amp;IF($C612&gt;=16,", "&amp;$A612&amp;"-"&amp;TEXT(($D612-$C612+1)+15,"00"),"")&amp;IF($C612&gt;=17,", "&amp;$A612&amp;"-"&amp;TEXT(($D612-$C612+1)+16,"00"),"")&amp;IF($C612&gt;=18,", "&amp;$A612&amp;"-"&amp;TEXT(($D612-$C612+1)+17,"00"),"")&amp;IF($C612&gt;=19,", "&amp;$A612&amp;"-"&amp;TEXT(($D612-$C612+1)+18,"00"),"")&amp;IF($C612&gt;=20,", "&amp;$A612&amp;"-"&amp;TEXT(($D612-$C612+1)+19,"00"),"")&amp;IF($C612&gt;=21,", "&amp;$A612&amp;"-"&amp;TEXT(($D612-$C612+1)+20,"00"),"")&amp;IF($C612&gt;=22,", "&amp;$A612&amp;"-"&amp;TEXT(($D612-$C612+1)+21,"00"),"")&amp;IF($C612&gt;=23,", "&amp;$A612&amp;"-"&amp;TEXT(($D612-$C612+1)+22,"00"),"")&amp;IF($C612&gt;=24,", "&amp;$A612&amp;"-"&amp;TEXT(($D612-$C612+1)+23,"00"),"")&amp;IF($C612&gt;=25,", "&amp;$A612&amp;"-"&amp;TEXT(($D612-$C612+1)+24,"00"),""))</f>
        <v/>
      </c>
      <c r="G612">
        <f>IF($A612="","",IF($E612=1,$F612,IF($F612="",$G611,IF($G611="",$F612,$G611&amp;", "&amp;$F612))))</f>
        <v/>
      </c>
      <c r="H612">
        <f>IF($A612="","",$A612&amp;" ("&amp;$C612&amp;")")</f>
        <v/>
      </c>
      <c r="I612">
        <f>IF($A612="","",IF($E612=1,$H612,$I611&amp;", "&amp;$H612))</f>
        <v/>
      </c>
      <c r="J612">
        <f>IF($A612="","",IF($E612=1,$B612,""))</f>
        <v/>
      </c>
      <c r="K612">
        <f>IF($A612="","",IF(COUNTIF($B$2:$B612,$B612)=COUNTIF($B$2:$B$1601,$B612),$B612,""))</f>
        <v/>
      </c>
    </row>
    <row r="613">
      <c r="A613">
        <f>IF('TMP Paste'!$E613="","",'TMP Paste'!$E613)</f>
        <v/>
      </c>
      <c r="B613">
        <f>IF($A613="","",COUNTIF('TMP Paste'!$B$2:$B613,"?*"))</f>
        <v/>
      </c>
      <c r="C613">
        <f>IF($A613="","",IFERROR('TMP Paste'!$M613*1,0))</f>
        <v/>
      </c>
      <c r="D613">
        <f>IF($A613="","",SUMIF($B$2:$B613,$B613,$C$2:$C613))</f>
        <v/>
      </c>
      <c r="E613">
        <f>IF($A613="",0,IF('TMP Paste'!$B613="",0,1))</f>
        <v/>
      </c>
      <c r="F613">
        <f>IF(OR($A613="",$C613&lt;1),"",$A613&amp;"-"&amp;TEXT(($D613-$C613+1),"00")&amp;IF($C613&gt;=2,", "&amp;$A613&amp;"-"&amp;TEXT(($D613-$C613+1)+1,"00"),"")&amp;IF($C613&gt;=3,", "&amp;$A613&amp;"-"&amp;TEXT(($D613-$C613+1)+2,"00"),"")&amp;IF($C613&gt;=4,", "&amp;$A613&amp;"-"&amp;TEXT(($D613-$C613+1)+3,"00"),"")&amp;IF($C613&gt;=5,", "&amp;$A613&amp;"-"&amp;TEXT(($D613-$C613+1)+4,"00"),"")&amp;IF($C613&gt;=6,", "&amp;$A613&amp;"-"&amp;TEXT(($D613-$C613+1)+5,"00"),"")&amp;IF($C613&gt;=7,", "&amp;$A613&amp;"-"&amp;TEXT(($D613-$C613+1)+6,"00"),"")&amp;IF($C613&gt;=8,", "&amp;$A613&amp;"-"&amp;TEXT(($D613-$C613+1)+7,"00"),"")&amp;IF($C613&gt;=9,", "&amp;$A613&amp;"-"&amp;TEXT(($D613-$C613+1)+8,"00"),"")&amp;IF($C613&gt;=10,", "&amp;$A613&amp;"-"&amp;TEXT(($D613-$C613+1)+9,"00"),"")&amp;IF($C613&gt;=11,", "&amp;$A613&amp;"-"&amp;TEXT(($D613-$C613+1)+10,"00"),"")&amp;IF($C613&gt;=12,", "&amp;$A613&amp;"-"&amp;TEXT(($D613-$C613+1)+11,"00"),"")&amp;IF($C613&gt;=13,", "&amp;$A613&amp;"-"&amp;TEXT(($D613-$C613+1)+12,"00"),"")&amp;IF($C613&gt;=14,", "&amp;$A613&amp;"-"&amp;TEXT(($D613-$C613+1)+13,"00"),"")&amp;IF($C613&gt;=15,", "&amp;$A613&amp;"-"&amp;TEXT(($D613-$C613+1)+14,"00"),"")&amp;IF($C613&gt;=16,", "&amp;$A613&amp;"-"&amp;TEXT(($D613-$C613+1)+15,"00"),"")&amp;IF($C613&gt;=17,", "&amp;$A613&amp;"-"&amp;TEXT(($D613-$C613+1)+16,"00"),"")&amp;IF($C613&gt;=18,", "&amp;$A613&amp;"-"&amp;TEXT(($D613-$C613+1)+17,"00"),"")&amp;IF($C613&gt;=19,", "&amp;$A613&amp;"-"&amp;TEXT(($D613-$C613+1)+18,"00"),"")&amp;IF($C613&gt;=20,", "&amp;$A613&amp;"-"&amp;TEXT(($D613-$C613+1)+19,"00"),"")&amp;IF($C613&gt;=21,", "&amp;$A613&amp;"-"&amp;TEXT(($D613-$C613+1)+20,"00"),"")&amp;IF($C613&gt;=22,", "&amp;$A613&amp;"-"&amp;TEXT(($D613-$C613+1)+21,"00"),"")&amp;IF($C613&gt;=23,", "&amp;$A613&amp;"-"&amp;TEXT(($D613-$C613+1)+22,"00"),"")&amp;IF($C613&gt;=24,", "&amp;$A613&amp;"-"&amp;TEXT(($D613-$C613+1)+23,"00"),"")&amp;IF($C613&gt;=25,", "&amp;$A613&amp;"-"&amp;TEXT(($D613-$C613+1)+24,"00"),""))</f>
        <v/>
      </c>
      <c r="G613">
        <f>IF($A613="","",IF($E613=1,$F613,IF($F613="",$G612,IF($G612="",$F613,$G612&amp;", "&amp;$F613))))</f>
        <v/>
      </c>
      <c r="H613">
        <f>IF($A613="","",$A613&amp;" ("&amp;$C613&amp;")")</f>
        <v/>
      </c>
      <c r="I613">
        <f>IF($A613="","",IF($E613=1,$H613,$I612&amp;", "&amp;$H613))</f>
        <v/>
      </c>
      <c r="J613">
        <f>IF($A613="","",IF($E613=1,$B613,""))</f>
        <v/>
      </c>
      <c r="K613">
        <f>IF($A613="","",IF(COUNTIF($B$2:$B613,$B613)=COUNTIF($B$2:$B$1601,$B613),$B613,""))</f>
        <v/>
      </c>
    </row>
    <row r="614">
      <c r="A614">
        <f>IF('TMP Paste'!$E614="","",'TMP Paste'!$E614)</f>
        <v/>
      </c>
      <c r="B614">
        <f>IF($A614="","",COUNTIF('TMP Paste'!$B$2:$B614,"?*"))</f>
        <v/>
      </c>
      <c r="C614">
        <f>IF($A614="","",IFERROR('TMP Paste'!$M614*1,0))</f>
        <v/>
      </c>
      <c r="D614">
        <f>IF($A614="","",SUMIF($B$2:$B614,$B614,$C$2:$C614))</f>
        <v/>
      </c>
      <c r="E614">
        <f>IF($A614="",0,IF('TMP Paste'!$B614="",0,1))</f>
        <v/>
      </c>
      <c r="F614">
        <f>IF(OR($A614="",$C614&lt;1),"",$A614&amp;"-"&amp;TEXT(($D614-$C614+1),"00")&amp;IF($C614&gt;=2,", "&amp;$A614&amp;"-"&amp;TEXT(($D614-$C614+1)+1,"00"),"")&amp;IF($C614&gt;=3,", "&amp;$A614&amp;"-"&amp;TEXT(($D614-$C614+1)+2,"00"),"")&amp;IF($C614&gt;=4,", "&amp;$A614&amp;"-"&amp;TEXT(($D614-$C614+1)+3,"00"),"")&amp;IF($C614&gt;=5,", "&amp;$A614&amp;"-"&amp;TEXT(($D614-$C614+1)+4,"00"),"")&amp;IF($C614&gt;=6,", "&amp;$A614&amp;"-"&amp;TEXT(($D614-$C614+1)+5,"00"),"")&amp;IF($C614&gt;=7,", "&amp;$A614&amp;"-"&amp;TEXT(($D614-$C614+1)+6,"00"),"")&amp;IF($C614&gt;=8,", "&amp;$A614&amp;"-"&amp;TEXT(($D614-$C614+1)+7,"00"),"")&amp;IF($C614&gt;=9,", "&amp;$A614&amp;"-"&amp;TEXT(($D614-$C614+1)+8,"00"),"")&amp;IF($C614&gt;=10,", "&amp;$A614&amp;"-"&amp;TEXT(($D614-$C614+1)+9,"00"),"")&amp;IF($C614&gt;=11,", "&amp;$A614&amp;"-"&amp;TEXT(($D614-$C614+1)+10,"00"),"")&amp;IF($C614&gt;=12,", "&amp;$A614&amp;"-"&amp;TEXT(($D614-$C614+1)+11,"00"),"")&amp;IF($C614&gt;=13,", "&amp;$A614&amp;"-"&amp;TEXT(($D614-$C614+1)+12,"00"),"")&amp;IF($C614&gt;=14,", "&amp;$A614&amp;"-"&amp;TEXT(($D614-$C614+1)+13,"00"),"")&amp;IF($C614&gt;=15,", "&amp;$A614&amp;"-"&amp;TEXT(($D614-$C614+1)+14,"00"),"")&amp;IF($C614&gt;=16,", "&amp;$A614&amp;"-"&amp;TEXT(($D614-$C614+1)+15,"00"),"")&amp;IF($C614&gt;=17,", "&amp;$A614&amp;"-"&amp;TEXT(($D614-$C614+1)+16,"00"),"")&amp;IF($C614&gt;=18,", "&amp;$A614&amp;"-"&amp;TEXT(($D614-$C614+1)+17,"00"),"")&amp;IF($C614&gt;=19,", "&amp;$A614&amp;"-"&amp;TEXT(($D614-$C614+1)+18,"00"),"")&amp;IF($C614&gt;=20,", "&amp;$A614&amp;"-"&amp;TEXT(($D614-$C614+1)+19,"00"),"")&amp;IF($C614&gt;=21,", "&amp;$A614&amp;"-"&amp;TEXT(($D614-$C614+1)+20,"00"),"")&amp;IF($C614&gt;=22,", "&amp;$A614&amp;"-"&amp;TEXT(($D614-$C614+1)+21,"00"),"")&amp;IF($C614&gt;=23,", "&amp;$A614&amp;"-"&amp;TEXT(($D614-$C614+1)+22,"00"),"")&amp;IF($C614&gt;=24,", "&amp;$A614&amp;"-"&amp;TEXT(($D614-$C614+1)+23,"00"),"")&amp;IF($C614&gt;=25,", "&amp;$A614&amp;"-"&amp;TEXT(($D614-$C614+1)+24,"00"),""))</f>
        <v/>
      </c>
      <c r="G614">
        <f>IF($A614="","",IF($E614=1,$F614,IF($F614="",$G613,IF($G613="",$F614,$G613&amp;", "&amp;$F614))))</f>
        <v/>
      </c>
      <c r="H614">
        <f>IF($A614="","",$A614&amp;" ("&amp;$C614&amp;")")</f>
        <v/>
      </c>
      <c r="I614">
        <f>IF($A614="","",IF($E614=1,$H614,$I613&amp;", "&amp;$H614))</f>
        <v/>
      </c>
      <c r="J614">
        <f>IF($A614="","",IF($E614=1,$B614,""))</f>
        <v/>
      </c>
      <c r="K614">
        <f>IF($A614="","",IF(COUNTIF($B$2:$B614,$B614)=COUNTIF($B$2:$B$1601,$B614),$B614,""))</f>
        <v/>
      </c>
    </row>
    <row r="615">
      <c r="A615">
        <f>IF('TMP Paste'!$E615="","",'TMP Paste'!$E615)</f>
        <v/>
      </c>
      <c r="B615">
        <f>IF($A615="","",COUNTIF('TMP Paste'!$B$2:$B615,"?*"))</f>
        <v/>
      </c>
      <c r="C615">
        <f>IF($A615="","",IFERROR('TMP Paste'!$M615*1,0))</f>
        <v/>
      </c>
      <c r="D615">
        <f>IF($A615="","",SUMIF($B$2:$B615,$B615,$C$2:$C615))</f>
        <v/>
      </c>
      <c r="E615">
        <f>IF($A615="",0,IF('TMP Paste'!$B615="",0,1))</f>
        <v/>
      </c>
      <c r="F615">
        <f>IF(OR($A615="",$C615&lt;1),"",$A615&amp;"-"&amp;TEXT(($D615-$C615+1),"00")&amp;IF($C615&gt;=2,", "&amp;$A615&amp;"-"&amp;TEXT(($D615-$C615+1)+1,"00"),"")&amp;IF($C615&gt;=3,", "&amp;$A615&amp;"-"&amp;TEXT(($D615-$C615+1)+2,"00"),"")&amp;IF($C615&gt;=4,", "&amp;$A615&amp;"-"&amp;TEXT(($D615-$C615+1)+3,"00"),"")&amp;IF($C615&gt;=5,", "&amp;$A615&amp;"-"&amp;TEXT(($D615-$C615+1)+4,"00"),"")&amp;IF($C615&gt;=6,", "&amp;$A615&amp;"-"&amp;TEXT(($D615-$C615+1)+5,"00"),"")&amp;IF($C615&gt;=7,", "&amp;$A615&amp;"-"&amp;TEXT(($D615-$C615+1)+6,"00"),"")&amp;IF($C615&gt;=8,", "&amp;$A615&amp;"-"&amp;TEXT(($D615-$C615+1)+7,"00"),"")&amp;IF($C615&gt;=9,", "&amp;$A615&amp;"-"&amp;TEXT(($D615-$C615+1)+8,"00"),"")&amp;IF($C615&gt;=10,", "&amp;$A615&amp;"-"&amp;TEXT(($D615-$C615+1)+9,"00"),"")&amp;IF($C615&gt;=11,", "&amp;$A615&amp;"-"&amp;TEXT(($D615-$C615+1)+10,"00"),"")&amp;IF($C615&gt;=12,", "&amp;$A615&amp;"-"&amp;TEXT(($D615-$C615+1)+11,"00"),"")&amp;IF($C615&gt;=13,", "&amp;$A615&amp;"-"&amp;TEXT(($D615-$C615+1)+12,"00"),"")&amp;IF($C615&gt;=14,", "&amp;$A615&amp;"-"&amp;TEXT(($D615-$C615+1)+13,"00"),"")&amp;IF($C615&gt;=15,", "&amp;$A615&amp;"-"&amp;TEXT(($D615-$C615+1)+14,"00"),"")&amp;IF($C615&gt;=16,", "&amp;$A615&amp;"-"&amp;TEXT(($D615-$C615+1)+15,"00"),"")&amp;IF($C615&gt;=17,", "&amp;$A615&amp;"-"&amp;TEXT(($D615-$C615+1)+16,"00"),"")&amp;IF($C615&gt;=18,", "&amp;$A615&amp;"-"&amp;TEXT(($D615-$C615+1)+17,"00"),"")&amp;IF($C615&gt;=19,", "&amp;$A615&amp;"-"&amp;TEXT(($D615-$C615+1)+18,"00"),"")&amp;IF($C615&gt;=20,", "&amp;$A615&amp;"-"&amp;TEXT(($D615-$C615+1)+19,"00"),"")&amp;IF($C615&gt;=21,", "&amp;$A615&amp;"-"&amp;TEXT(($D615-$C615+1)+20,"00"),"")&amp;IF($C615&gt;=22,", "&amp;$A615&amp;"-"&amp;TEXT(($D615-$C615+1)+21,"00"),"")&amp;IF($C615&gt;=23,", "&amp;$A615&amp;"-"&amp;TEXT(($D615-$C615+1)+22,"00"),"")&amp;IF($C615&gt;=24,", "&amp;$A615&amp;"-"&amp;TEXT(($D615-$C615+1)+23,"00"),"")&amp;IF($C615&gt;=25,", "&amp;$A615&amp;"-"&amp;TEXT(($D615-$C615+1)+24,"00"),""))</f>
        <v/>
      </c>
      <c r="G615">
        <f>IF($A615="","",IF($E615=1,$F615,IF($F615="",$G614,IF($G614="",$F615,$G614&amp;", "&amp;$F615))))</f>
        <v/>
      </c>
      <c r="H615">
        <f>IF($A615="","",$A615&amp;" ("&amp;$C615&amp;")")</f>
        <v/>
      </c>
      <c r="I615">
        <f>IF($A615="","",IF($E615=1,$H615,$I614&amp;", "&amp;$H615))</f>
        <v/>
      </c>
      <c r="J615">
        <f>IF($A615="","",IF($E615=1,$B615,""))</f>
        <v/>
      </c>
      <c r="K615">
        <f>IF($A615="","",IF(COUNTIF($B$2:$B615,$B615)=COUNTIF($B$2:$B$1601,$B615),$B615,""))</f>
        <v/>
      </c>
    </row>
    <row r="616">
      <c r="A616">
        <f>IF('TMP Paste'!$E616="","",'TMP Paste'!$E616)</f>
        <v/>
      </c>
      <c r="B616">
        <f>IF($A616="","",COUNTIF('TMP Paste'!$B$2:$B616,"?*"))</f>
        <v/>
      </c>
      <c r="C616">
        <f>IF($A616="","",IFERROR('TMP Paste'!$M616*1,0))</f>
        <v/>
      </c>
      <c r="D616">
        <f>IF($A616="","",SUMIF($B$2:$B616,$B616,$C$2:$C616))</f>
        <v/>
      </c>
      <c r="E616">
        <f>IF($A616="",0,IF('TMP Paste'!$B616="",0,1))</f>
        <v/>
      </c>
      <c r="F616">
        <f>IF(OR($A616="",$C616&lt;1),"",$A616&amp;"-"&amp;TEXT(($D616-$C616+1),"00")&amp;IF($C616&gt;=2,", "&amp;$A616&amp;"-"&amp;TEXT(($D616-$C616+1)+1,"00"),"")&amp;IF($C616&gt;=3,", "&amp;$A616&amp;"-"&amp;TEXT(($D616-$C616+1)+2,"00"),"")&amp;IF($C616&gt;=4,", "&amp;$A616&amp;"-"&amp;TEXT(($D616-$C616+1)+3,"00"),"")&amp;IF($C616&gt;=5,", "&amp;$A616&amp;"-"&amp;TEXT(($D616-$C616+1)+4,"00"),"")&amp;IF($C616&gt;=6,", "&amp;$A616&amp;"-"&amp;TEXT(($D616-$C616+1)+5,"00"),"")&amp;IF($C616&gt;=7,", "&amp;$A616&amp;"-"&amp;TEXT(($D616-$C616+1)+6,"00"),"")&amp;IF($C616&gt;=8,", "&amp;$A616&amp;"-"&amp;TEXT(($D616-$C616+1)+7,"00"),"")&amp;IF($C616&gt;=9,", "&amp;$A616&amp;"-"&amp;TEXT(($D616-$C616+1)+8,"00"),"")&amp;IF($C616&gt;=10,", "&amp;$A616&amp;"-"&amp;TEXT(($D616-$C616+1)+9,"00"),"")&amp;IF($C616&gt;=11,", "&amp;$A616&amp;"-"&amp;TEXT(($D616-$C616+1)+10,"00"),"")&amp;IF($C616&gt;=12,", "&amp;$A616&amp;"-"&amp;TEXT(($D616-$C616+1)+11,"00"),"")&amp;IF($C616&gt;=13,", "&amp;$A616&amp;"-"&amp;TEXT(($D616-$C616+1)+12,"00"),"")&amp;IF($C616&gt;=14,", "&amp;$A616&amp;"-"&amp;TEXT(($D616-$C616+1)+13,"00"),"")&amp;IF($C616&gt;=15,", "&amp;$A616&amp;"-"&amp;TEXT(($D616-$C616+1)+14,"00"),"")&amp;IF($C616&gt;=16,", "&amp;$A616&amp;"-"&amp;TEXT(($D616-$C616+1)+15,"00"),"")&amp;IF($C616&gt;=17,", "&amp;$A616&amp;"-"&amp;TEXT(($D616-$C616+1)+16,"00"),"")&amp;IF($C616&gt;=18,", "&amp;$A616&amp;"-"&amp;TEXT(($D616-$C616+1)+17,"00"),"")&amp;IF($C616&gt;=19,", "&amp;$A616&amp;"-"&amp;TEXT(($D616-$C616+1)+18,"00"),"")&amp;IF($C616&gt;=20,", "&amp;$A616&amp;"-"&amp;TEXT(($D616-$C616+1)+19,"00"),"")&amp;IF($C616&gt;=21,", "&amp;$A616&amp;"-"&amp;TEXT(($D616-$C616+1)+20,"00"),"")&amp;IF($C616&gt;=22,", "&amp;$A616&amp;"-"&amp;TEXT(($D616-$C616+1)+21,"00"),"")&amp;IF($C616&gt;=23,", "&amp;$A616&amp;"-"&amp;TEXT(($D616-$C616+1)+22,"00"),"")&amp;IF($C616&gt;=24,", "&amp;$A616&amp;"-"&amp;TEXT(($D616-$C616+1)+23,"00"),"")&amp;IF($C616&gt;=25,", "&amp;$A616&amp;"-"&amp;TEXT(($D616-$C616+1)+24,"00"),""))</f>
        <v/>
      </c>
      <c r="G616">
        <f>IF($A616="","",IF($E616=1,$F616,IF($F616="",$G615,IF($G615="",$F616,$G615&amp;", "&amp;$F616))))</f>
        <v/>
      </c>
      <c r="H616">
        <f>IF($A616="","",$A616&amp;" ("&amp;$C616&amp;")")</f>
        <v/>
      </c>
      <c r="I616">
        <f>IF($A616="","",IF($E616=1,$H616,$I615&amp;", "&amp;$H616))</f>
        <v/>
      </c>
      <c r="J616">
        <f>IF($A616="","",IF($E616=1,$B616,""))</f>
        <v/>
      </c>
      <c r="K616">
        <f>IF($A616="","",IF(COUNTIF($B$2:$B616,$B616)=COUNTIF($B$2:$B$1601,$B616),$B616,""))</f>
        <v/>
      </c>
    </row>
    <row r="617">
      <c r="A617">
        <f>IF('TMP Paste'!$E617="","",'TMP Paste'!$E617)</f>
        <v/>
      </c>
      <c r="B617">
        <f>IF($A617="","",COUNTIF('TMP Paste'!$B$2:$B617,"?*"))</f>
        <v/>
      </c>
      <c r="C617">
        <f>IF($A617="","",IFERROR('TMP Paste'!$M617*1,0))</f>
        <v/>
      </c>
      <c r="D617">
        <f>IF($A617="","",SUMIF($B$2:$B617,$B617,$C$2:$C617))</f>
        <v/>
      </c>
      <c r="E617">
        <f>IF($A617="",0,IF('TMP Paste'!$B617="",0,1))</f>
        <v/>
      </c>
      <c r="F617">
        <f>IF(OR($A617="",$C617&lt;1),"",$A617&amp;"-"&amp;TEXT(($D617-$C617+1),"00")&amp;IF($C617&gt;=2,", "&amp;$A617&amp;"-"&amp;TEXT(($D617-$C617+1)+1,"00"),"")&amp;IF($C617&gt;=3,", "&amp;$A617&amp;"-"&amp;TEXT(($D617-$C617+1)+2,"00"),"")&amp;IF($C617&gt;=4,", "&amp;$A617&amp;"-"&amp;TEXT(($D617-$C617+1)+3,"00"),"")&amp;IF($C617&gt;=5,", "&amp;$A617&amp;"-"&amp;TEXT(($D617-$C617+1)+4,"00"),"")&amp;IF($C617&gt;=6,", "&amp;$A617&amp;"-"&amp;TEXT(($D617-$C617+1)+5,"00"),"")&amp;IF($C617&gt;=7,", "&amp;$A617&amp;"-"&amp;TEXT(($D617-$C617+1)+6,"00"),"")&amp;IF($C617&gt;=8,", "&amp;$A617&amp;"-"&amp;TEXT(($D617-$C617+1)+7,"00"),"")&amp;IF($C617&gt;=9,", "&amp;$A617&amp;"-"&amp;TEXT(($D617-$C617+1)+8,"00"),"")&amp;IF($C617&gt;=10,", "&amp;$A617&amp;"-"&amp;TEXT(($D617-$C617+1)+9,"00"),"")&amp;IF($C617&gt;=11,", "&amp;$A617&amp;"-"&amp;TEXT(($D617-$C617+1)+10,"00"),"")&amp;IF($C617&gt;=12,", "&amp;$A617&amp;"-"&amp;TEXT(($D617-$C617+1)+11,"00"),"")&amp;IF($C617&gt;=13,", "&amp;$A617&amp;"-"&amp;TEXT(($D617-$C617+1)+12,"00"),"")&amp;IF($C617&gt;=14,", "&amp;$A617&amp;"-"&amp;TEXT(($D617-$C617+1)+13,"00"),"")&amp;IF($C617&gt;=15,", "&amp;$A617&amp;"-"&amp;TEXT(($D617-$C617+1)+14,"00"),"")&amp;IF($C617&gt;=16,", "&amp;$A617&amp;"-"&amp;TEXT(($D617-$C617+1)+15,"00"),"")&amp;IF($C617&gt;=17,", "&amp;$A617&amp;"-"&amp;TEXT(($D617-$C617+1)+16,"00"),"")&amp;IF($C617&gt;=18,", "&amp;$A617&amp;"-"&amp;TEXT(($D617-$C617+1)+17,"00"),"")&amp;IF($C617&gt;=19,", "&amp;$A617&amp;"-"&amp;TEXT(($D617-$C617+1)+18,"00"),"")&amp;IF($C617&gt;=20,", "&amp;$A617&amp;"-"&amp;TEXT(($D617-$C617+1)+19,"00"),"")&amp;IF($C617&gt;=21,", "&amp;$A617&amp;"-"&amp;TEXT(($D617-$C617+1)+20,"00"),"")&amp;IF($C617&gt;=22,", "&amp;$A617&amp;"-"&amp;TEXT(($D617-$C617+1)+21,"00"),"")&amp;IF($C617&gt;=23,", "&amp;$A617&amp;"-"&amp;TEXT(($D617-$C617+1)+22,"00"),"")&amp;IF($C617&gt;=24,", "&amp;$A617&amp;"-"&amp;TEXT(($D617-$C617+1)+23,"00"),"")&amp;IF($C617&gt;=25,", "&amp;$A617&amp;"-"&amp;TEXT(($D617-$C617+1)+24,"00"),""))</f>
        <v/>
      </c>
      <c r="G617">
        <f>IF($A617="","",IF($E617=1,$F617,IF($F617="",$G616,IF($G616="",$F617,$G616&amp;", "&amp;$F617))))</f>
        <v/>
      </c>
      <c r="H617">
        <f>IF($A617="","",$A617&amp;" ("&amp;$C617&amp;")")</f>
        <v/>
      </c>
      <c r="I617">
        <f>IF($A617="","",IF($E617=1,$H617,$I616&amp;", "&amp;$H617))</f>
        <v/>
      </c>
      <c r="J617">
        <f>IF($A617="","",IF($E617=1,$B617,""))</f>
        <v/>
      </c>
      <c r="K617">
        <f>IF($A617="","",IF(COUNTIF($B$2:$B617,$B617)=COUNTIF($B$2:$B$1601,$B617),$B617,""))</f>
        <v/>
      </c>
    </row>
    <row r="618">
      <c r="A618">
        <f>IF('TMP Paste'!$E618="","",'TMP Paste'!$E618)</f>
        <v/>
      </c>
      <c r="B618">
        <f>IF($A618="","",COUNTIF('TMP Paste'!$B$2:$B618,"?*"))</f>
        <v/>
      </c>
      <c r="C618">
        <f>IF($A618="","",IFERROR('TMP Paste'!$M618*1,0))</f>
        <v/>
      </c>
      <c r="D618">
        <f>IF($A618="","",SUMIF($B$2:$B618,$B618,$C$2:$C618))</f>
        <v/>
      </c>
      <c r="E618">
        <f>IF($A618="",0,IF('TMP Paste'!$B618="",0,1))</f>
        <v/>
      </c>
      <c r="F618">
        <f>IF(OR($A618="",$C618&lt;1),"",$A618&amp;"-"&amp;TEXT(($D618-$C618+1),"00")&amp;IF($C618&gt;=2,", "&amp;$A618&amp;"-"&amp;TEXT(($D618-$C618+1)+1,"00"),"")&amp;IF($C618&gt;=3,", "&amp;$A618&amp;"-"&amp;TEXT(($D618-$C618+1)+2,"00"),"")&amp;IF($C618&gt;=4,", "&amp;$A618&amp;"-"&amp;TEXT(($D618-$C618+1)+3,"00"),"")&amp;IF($C618&gt;=5,", "&amp;$A618&amp;"-"&amp;TEXT(($D618-$C618+1)+4,"00"),"")&amp;IF($C618&gt;=6,", "&amp;$A618&amp;"-"&amp;TEXT(($D618-$C618+1)+5,"00"),"")&amp;IF($C618&gt;=7,", "&amp;$A618&amp;"-"&amp;TEXT(($D618-$C618+1)+6,"00"),"")&amp;IF($C618&gt;=8,", "&amp;$A618&amp;"-"&amp;TEXT(($D618-$C618+1)+7,"00"),"")&amp;IF($C618&gt;=9,", "&amp;$A618&amp;"-"&amp;TEXT(($D618-$C618+1)+8,"00"),"")&amp;IF($C618&gt;=10,", "&amp;$A618&amp;"-"&amp;TEXT(($D618-$C618+1)+9,"00"),"")&amp;IF($C618&gt;=11,", "&amp;$A618&amp;"-"&amp;TEXT(($D618-$C618+1)+10,"00"),"")&amp;IF($C618&gt;=12,", "&amp;$A618&amp;"-"&amp;TEXT(($D618-$C618+1)+11,"00"),"")&amp;IF($C618&gt;=13,", "&amp;$A618&amp;"-"&amp;TEXT(($D618-$C618+1)+12,"00"),"")&amp;IF($C618&gt;=14,", "&amp;$A618&amp;"-"&amp;TEXT(($D618-$C618+1)+13,"00"),"")&amp;IF($C618&gt;=15,", "&amp;$A618&amp;"-"&amp;TEXT(($D618-$C618+1)+14,"00"),"")&amp;IF($C618&gt;=16,", "&amp;$A618&amp;"-"&amp;TEXT(($D618-$C618+1)+15,"00"),"")&amp;IF($C618&gt;=17,", "&amp;$A618&amp;"-"&amp;TEXT(($D618-$C618+1)+16,"00"),"")&amp;IF($C618&gt;=18,", "&amp;$A618&amp;"-"&amp;TEXT(($D618-$C618+1)+17,"00"),"")&amp;IF($C618&gt;=19,", "&amp;$A618&amp;"-"&amp;TEXT(($D618-$C618+1)+18,"00"),"")&amp;IF($C618&gt;=20,", "&amp;$A618&amp;"-"&amp;TEXT(($D618-$C618+1)+19,"00"),"")&amp;IF($C618&gt;=21,", "&amp;$A618&amp;"-"&amp;TEXT(($D618-$C618+1)+20,"00"),"")&amp;IF($C618&gt;=22,", "&amp;$A618&amp;"-"&amp;TEXT(($D618-$C618+1)+21,"00"),"")&amp;IF($C618&gt;=23,", "&amp;$A618&amp;"-"&amp;TEXT(($D618-$C618+1)+22,"00"),"")&amp;IF($C618&gt;=24,", "&amp;$A618&amp;"-"&amp;TEXT(($D618-$C618+1)+23,"00"),"")&amp;IF($C618&gt;=25,", "&amp;$A618&amp;"-"&amp;TEXT(($D618-$C618+1)+24,"00"),""))</f>
        <v/>
      </c>
      <c r="G618">
        <f>IF($A618="","",IF($E618=1,$F618,IF($F618="",$G617,IF($G617="",$F618,$G617&amp;", "&amp;$F618))))</f>
        <v/>
      </c>
      <c r="H618">
        <f>IF($A618="","",$A618&amp;" ("&amp;$C618&amp;")")</f>
        <v/>
      </c>
      <c r="I618">
        <f>IF($A618="","",IF($E618=1,$H618,$I617&amp;", "&amp;$H618))</f>
        <v/>
      </c>
      <c r="J618">
        <f>IF($A618="","",IF($E618=1,$B618,""))</f>
        <v/>
      </c>
      <c r="K618">
        <f>IF($A618="","",IF(COUNTIF($B$2:$B618,$B618)=COUNTIF($B$2:$B$1601,$B618),$B618,""))</f>
        <v/>
      </c>
    </row>
    <row r="619">
      <c r="A619">
        <f>IF('TMP Paste'!$E619="","",'TMP Paste'!$E619)</f>
        <v/>
      </c>
      <c r="B619">
        <f>IF($A619="","",COUNTIF('TMP Paste'!$B$2:$B619,"?*"))</f>
        <v/>
      </c>
      <c r="C619">
        <f>IF($A619="","",IFERROR('TMP Paste'!$M619*1,0))</f>
        <v/>
      </c>
      <c r="D619">
        <f>IF($A619="","",SUMIF($B$2:$B619,$B619,$C$2:$C619))</f>
        <v/>
      </c>
      <c r="E619">
        <f>IF($A619="",0,IF('TMP Paste'!$B619="",0,1))</f>
        <v/>
      </c>
      <c r="F619">
        <f>IF(OR($A619="",$C619&lt;1),"",$A619&amp;"-"&amp;TEXT(($D619-$C619+1),"00")&amp;IF($C619&gt;=2,", "&amp;$A619&amp;"-"&amp;TEXT(($D619-$C619+1)+1,"00"),"")&amp;IF($C619&gt;=3,", "&amp;$A619&amp;"-"&amp;TEXT(($D619-$C619+1)+2,"00"),"")&amp;IF($C619&gt;=4,", "&amp;$A619&amp;"-"&amp;TEXT(($D619-$C619+1)+3,"00"),"")&amp;IF($C619&gt;=5,", "&amp;$A619&amp;"-"&amp;TEXT(($D619-$C619+1)+4,"00"),"")&amp;IF($C619&gt;=6,", "&amp;$A619&amp;"-"&amp;TEXT(($D619-$C619+1)+5,"00"),"")&amp;IF($C619&gt;=7,", "&amp;$A619&amp;"-"&amp;TEXT(($D619-$C619+1)+6,"00"),"")&amp;IF($C619&gt;=8,", "&amp;$A619&amp;"-"&amp;TEXT(($D619-$C619+1)+7,"00"),"")&amp;IF($C619&gt;=9,", "&amp;$A619&amp;"-"&amp;TEXT(($D619-$C619+1)+8,"00"),"")&amp;IF($C619&gt;=10,", "&amp;$A619&amp;"-"&amp;TEXT(($D619-$C619+1)+9,"00"),"")&amp;IF($C619&gt;=11,", "&amp;$A619&amp;"-"&amp;TEXT(($D619-$C619+1)+10,"00"),"")&amp;IF($C619&gt;=12,", "&amp;$A619&amp;"-"&amp;TEXT(($D619-$C619+1)+11,"00"),"")&amp;IF($C619&gt;=13,", "&amp;$A619&amp;"-"&amp;TEXT(($D619-$C619+1)+12,"00"),"")&amp;IF($C619&gt;=14,", "&amp;$A619&amp;"-"&amp;TEXT(($D619-$C619+1)+13,"00"),"")&amp;IF($C619&gt;=15,", "&amp;$A619&amp;"-"&amp;TEXT(($D619-$C619+1)+14,"00"),"")&amp;IF($C619&gt;=16,", "&amp;$A619&amp;"-"&amp;TEXT(($D619-$C619+1)+15,"00"),"")&amp;IF($C619&gt;=17,", "&amp;$A619&amp;"-"&amp;TEXT(($D619-$C619+1)+16,"00"),"")&amp;IF($C619&gt;=18,", "&amp;$A619&amp;"-"&amp;TEXT(($D619-$C619+1)+17,"00"),"")&amp;IF($C619&gt;=19,", "&amp;$A619&amp;"-"&amp;TEXT(($D619-$C619+1)+18,"00"),"")&amp;IF($C619&gt;=20,", "&amp;$A619&amp;"-"&amp;TEXT(($D619-$C619+1)+19,"00"),"")&amp;IF($C619&gt;=21,", "&amp;$A619&amp;"-"&amp;TEXT(($D619-$C619+1)+20,"00"),"")&amp;IF($C619&gt;=22,", "&amp;$A619&amp;"-"&amp;TEXT(($D619-$C619+1)+21,"00"),"")&amp;IF($C619&gt;=23,", "&amp;$A619&amp;"-"&amp;TEXT(($D619-$C619+1)+22,"00"),"")&amp;IF($C619&gt;=24,", "&amp;$A619&amp;"-"&amp;TEXT(($D619-$C619+1)+23,"00"),"")&amp;IF($C619&gt;=25,", "&amp;$A619&amp;"-"&amp;TEXT(($D619-$C619+1)+24,"00"),""))</f>
        <v/>
      </c>
      <c r="G619">
        <f>IF($A619="","",IF($E619=1,$F619,IF($F619="",$G618,IF($G618="",$F619,$G618&amp;", "&amp;$F619))))</f>
        <v/>
      </c>
      <c r="H619">
        <f>IF($A619="","",$A619&amp;" ("&amp;$C619&amp;")")</f>
        <v/>
      </c>
      <c r="I619">
        <f>IF($A619="","",IF($E619=1,$H619,$I618&amp;", "&amp;$H619))</f>
        <v/>
      </c>
      <c r="J619">
        <f>IF($A619="","",IF($E619=1,$B619,""))</f>
        <v/>
      </c>
      <c r="K619">
        <f>IF($A619="","",IF(COUNTIF($B$2:$B619,$B619)=COUNTIF($B$2:$B$1601,$B619),$B619,""))</f>
        <v/>
      </c>
    </row>
    <row r="620">
      <c r="A620">
        <f>IF('TMP Paste'!$E620="","",'TMP Paste'!$E620)</f>
        <v/>
      </c>
      <c r="B620">
        <f>IF($A620="","",COUNTIF('TMP Paste'!$B$2:$B620,"?*"))</f>
        <v/>
      </c>
      <c r="C620">
        <f>IF($A620="","",IFERROR('TMP Paste'!$M620*1,0))</f>
        <v/>
      </c>
      <c r="D620">
        <f>IF($A620="","",SUMIF($B$2:$B620,$B620,$C$2:$C620))</f>
        <v/>
      </c>
      <c r="E620">
        <f>IF($A620="",0,IF('TMP Paste'!$B620="",0,1))</f>
        <v/>
      </c>
      <c r="F620">
        <f>IF(OR($A620="",$C620&lt;1),"",$A620&amp;"-"&amp;TEXT(($D620-$C620+1),"00")&amp;IF($C620&gt;=2,", "&amp;$A620&amp;"-"&amp;TEXT(($D620-$C620+1)+1,"00"),"")&amp;IF($C620&gt;=3,", "&amp;$A620&amp;"-"&amp;TEXT(($D620-$C620+1)+2,"00"),"")&amp;IF($C620&gt;=4,", "&amp;$A620&amp;"-"&amp;TEXT(($D620-$C620+1)+3,"00"),"")&amp;IF($C620&gt;=5,", "&amp;$A620&amp;"-"&amp;TEXT(($D620-$C620+1)+4,"00"),"")&amp;IF($C620&gt;=6,", "&amp;$A620&amp;"-"&amp;TEXT(($D620-$C620+1)+5,"00"),"")&amp;IF($C620&gt;=7,", "&amp;$A620&amp;"-"&amp;TEXT(($D620-$C620+1)+6,"00"),"")&amp;IF($C620&gt;=8,", "&amp;$A620&amp;"-"&amp;TEXT(($D620-$C620+1)+7,"00"),"")&amp;IF($C620&gt;=9,", "&amp;$A620&amp;"-"&amp;TEXT(($D620-$C620+1)+8,"00"),"")&amp;IF($C620&gt;=10,", "&amp;$A620&amp;"-"&amp;TEXT(($D620-$C620+1)+9,"00"),"")&amp;IF($C620&gt;=11,", "&amp;$A620&amp;"-"&amp;TEXT(($D620-$C620+1)+10,"00"),"")&amp;IF($C620&gt;=12,", "&amp;$A620&amp;"-"&amp;TEXT(($D620-$C620+1)+11,"00"),"")&amp;IF($C620&gt;=13,", "&amp;$A620&amp;"-"&amp;TEXT(($D620-$C620+1)+12,"00"),"")&amp;IF($C620&gt;=14,", "&amp;$A620&amp;"-"&amp;TEXT(($D620-$C620+1)+13,"00"),"")&amp;IF($C620&gt;=15,", "&amp;$A620&amp;"-"&amp;TEXT(($D620-$C620+1)+14,"00"),"")&amp;IF($C620&gt;=16,", "&amp;$A620&amp;"-"&amp;TEXT(($D620-$C620+1)+15,"00"),"")&amp;IF($C620&gt;=17,", "&amp;$A620&amp;"-"&amp;TEXT(($D620-$C620+1)+16,"00"),"")&amp;IF($C620&gt;=18,", "&amp;$A620&amp;"-"&amp;TEXT(($D620-$C620+1)+17,"00"),"")&amp;IF($C620&gt;=19,", "&amp;$A620&amp;"-"&amp;TEXT(($D620-$C620+1)+18,"00"),"")&amp;IF($C620&gt;=20,", "&amp;$A620&amp;"-"&amp;TEXT(($D620-$C620+1)+19,"00"),"")&amp;IF($C620&gt;=21,", "&amp;$A620&amp;"-"&amp;TEXT(($D620-$C620+1)+20,"00"),"")&amp;IF($C620&gt;=22,", "&amp;$A620&amp;"-"&amp;TEXT(($D620-$C620+1)+21,"00"),"")&amp;IF($C620&gt;=23,", "&amp;$A620&amp;"-"&amp;TEXT(($D620-$C620+1)+22,"00"),"")&amp;IF($C620&gt;=24,", "&amp;$A620&amp;"-"&amp;TEXT(($D620-$C620+1)+23,"00"),"")&amp;IF($C620&gt;=25,", "&amp;$A620&amp;"-"&amp;TEXT(($D620-$C620+1)+24,"00"),""))</f>
        <v/>
      </c>
      <c r="G620">
        <f>IF($A620="","",IF($E620=1,$F620,IF($F620="",$G619,IF($G619="",$F620,$G619&amp;", "&amp;$F620))))</f>
        <v/>
      </c>
      <c r="H620">
        <f>IF($A620="","",$A620&amp;" ("&amp;$C620&amp;")")</f>
        <v/>
      </c>
      <c r="I620">
        <f>IF($A620="","",IF($E620=1,$H620,$I619&amp;", "&amp;$H620))</f>
        <v/>
      </c>
      <c r="J620">
        <f>IF($A620="","",IF($E620=1,$B620,""))</f>
        <v/>
      </c>
      <c r="K620">
        <f>IF($A620="","",IF(COUNTIF($B$2:$B620,$B620)=COUNTIF($B$2:$B$1601,$B620),$B620,""))</f>
        <v/>
      </c>
    </row>
    <row r="621">
      <c r="A621">
        <f>IF('TMP Paste'!$E621="","",'TMP Paste'!$E621)</f>
        <v/>
      </c>
      <c r="B621">
        <f>IF($A621="","",COUNTIF('TMP Paste'!$B$2:$B621,"?*"))</f>
        <v/>
      </c>
      <c r="C621">
        <f>IF($A621="","",IFERROR('TMP Paste'!$M621*1,0))</f>
        <v/>
      </c>
      <c r="D621">
        <f>IF($A621="","",SUMIF($B$2:$B621,$B621,$C$2:$C621))</f>
        <v/>
      </c>
      <c r="E621">
        <f>IF($A621="",0,IF('TMP Paste'!$B621="",0,1))</f>
        <v/>
      </c>
      <c r="F621">
        <f>IF(OR($A621="",$C621&lt;1),"",$A621&amp;"-"&amp;TEXT(($D621-$C621+1),"00")&amp;IF($C621&gt;=2,", "&amp;$A621&amp;"-"&amp;TEXT(($D621-$C621+1)+1,"00"),"")&amp;IF($C621&gt;=3,", "&amp;$A621&amp;"-"&amp;TEXT(($D621-$C621+1)+2,"00"),"")&amp;IF($C621&gt;=4,", "&amp;$A621&amp;"-"&amp;TEXT(($D621-$C621+1)+3,"00"),"")&amp;IF($C621&gt;=5,", "&amp;$A621&amp;"-"&amp;TEXT(($D621-$C621+1)+4,"00"),"")&amp;IF($C621&gt;=6,", "&amp;$A621&amp;"-"&amp;TEXT(($D621-$C621+1)+5,"00"),"")&amp;IF($C621&gt;=7,", "&amp;$A621&amp;"-"&amp;TEXT(($D621-$C621+1)+6,"00"),"")&amp;IF($C621&gt;=8,", "&amp;$A621&amp;"-"&amp;TEXT(($D621-$C621+1)+7,"00"),"")&amp;IF($C621&gt;=9,", "&amp;$A621&amp;"-"&amp;TEXT(($D621-$C621+1)+8,"00"),"")&amp;IF($C621&gt;=10,", "&amp;$A621&amp;"-"&amp;TEXT(($D621-$C621+1)+9,"00"),"")&amp;IF($C621&gt;=11,", "&amp;$A621&amp;"-"&amp;TEXT(($D621-$C621+1)+10,"00"),"")&amp;IF($C621&gt;=12,", "&amp;$A621&amp;"-"&amp;TEXT(($D621-$C621+1)+11,"00"),"")&amp;IF($C621&gt;=13,", "&amp;$A621&amp;"-"&amp;TEXT(($D621-$C621+1)+12,"00"),"")&amp;IF($C621&gt;=14,", "&amp;$A621&amp;"-"&amp;TEXT(($D621-$C621+1)+13,"00"),"")&amp;IF($C621&gt;=15,", "&amp;$A621&amp;"-"&amp;TEXT(($D621-$C621+1)+14,"00"),"")&amp;IF($C621&gt;=16,", "&amp;$A621&amp;"-"&amp;TEXT(($D621-$C621+1)+15,"00"),"")&amp;IF($C621&gt;=17,", "&amp;$A621&amp;"-"&amp;TEXT(($D621-$C621+1)+16,"00"),"")&amp;IF($C621&gt;=18,", "&amp;$A621&amp;"-"&amp;TEXT(($D621-$C621+1)+17,"00"),"")&amp;IF($C621&gt;=19,", "&amp;$A621&amp;"-"&amp;TEXT(($D621-$C621+1)+18,"00"),"")&amp;IF($C621&gt;=20,", "&amp;$A621&amp;"-"&amp;TEXT(($D621-$C621+1)+19,"00"),"")&amp;IF($C621&gt;=21,", "&amp;$A621&amp;"-"&amp;TEXT(($D621-$C621+1)+20,"00"),"")&amp;IF($C621&gt;=22,", "&amp;$A621&amp;"-"&amp;TEXT(($D621-$C621+1)+21,"00"),"")&amp;IF($C621&gt;=23,", "&amp;$A621&amp;"-"&amp;TEXT(($D621-$C621+1)+22,"00"),"")&amp;IF($C621&gt;=24,", "&amp;$A621&amp;"-"&amp;TEXT(($D621-$C621+1)+23,"00"),"")&amp;IF($C621&gt;=25,", "&amp;$A621&amp;"-"&amp;TEXT(($D621-$C621+1)+24,"00"),""))</f>
        <v/>
      </c>
      <c r="G621">
        <f>IF($A621="","",IF($E621=1,$F621,IF($F621="",$G620,IF($G620="",$F621,$G620&amp;", "&amp;$F621))))</f>
        <v/>
      </c>
      <c r="H621">
        <f>IF($A621="","",$A621&amp;" ("&amp;$C621&amp;")")</f>
        <v/>
      </c>
      <c r="I621">
        <f>IF($A621="","",IF($E621=1,$H621,$I620&amp;", "&amp;$H621))</f>
        <v/>
      </c>
      <c r="J621">
        <f>IF($A621="","",IF($E621=1,$B621,""))</f>
        <v/>
      </c>
      <c r="K621">
        <f>IF($A621="","",IF(COUNTIF($B$2:$B621,$B621)=COUNTIF($B$2:$B$1601,$B621),$B621,""))</f>
        <v/>
      </c>
    </row>
    <row r="622">
      <c r="A622">
        <f>IF('TMP Paste'!$E622="","",'TMP Paste'!$E622)</f>
        <v/>
      </c>
      <c r="B622">
        <f>IF($A622="","",COUNTIF('TMP Paste'!$B$2:$B622,"?*"))</f>
        <v/>
      </c>
      <c r="C622">
        <f>IF($A622="","",IFERROR('TMP Paste'!$M622*1,0))</f>
        <v/>
      </c>
      <c r="D622">
        <f>IF($A622="","",SUMIF($B$2:$B622,$B622,$C$2:$C622))</f>
        <v/>
      </c>
      <c r="E622">
        <f>IF($A622="",0,IF('TMP Paste'!$B622="",0,1))</f>
        <v/>
      </c>
      <c r="F622">
        <f>IF(OR($A622="",$C622&lt;1),"",$A622&amp;"-"&amp;TEXT(($D622-$C622+1),"00")&amp;IF($C622&gt;=2,", "&amp;$A622&amp;"-"&amp;TEXT(($D622-$C622+1)+1,"00"),"")&amp;IF($C622&gt;=3,", "&amp;$A622&amp;"-"&amp;TEXT(($D622-$C622+1)+2,"00"),"")&amp;IF($C622&gt;=4,", "&amp;$A622&amp;"-"&amp;TEXT(($D622-$C622+1)+3,"00"),"")&amp;IF($C622&gt;=5,", "&amp;$A622&amp;"-"&amp;TEXT(($D622-$C622+1)+4,"00"),"")&amp;IF($C622&gt;=6,", "&amp;$A622&amp;"-"&amp;TEXT(($D622-$C622+1)+5,"00"),"")&amp;IF($C622&gt;=7,", "&amp;$A622&amp;"-"&amp;TEXT(($D622-$C622+1)+6,"00"),"")&amp;IF($C622&gt;=8,", "&amp;$A622&amp;"-"&amp;TEXT(($D622-$C622+1)+7,"00"),"")&amp;IF($C622&gt;=9,", "&amp;$A622&amp;"-"&amp;TEXT(($D622-$C622+1)+8,"00"),"")&amp;IF($C622&gt;=10,", "&amp;$A622&amp;"-"&amp;TEXT(($D622-$C622+1)+9,"00"),"")&amp;IF($C622&gt;=11,", "&amp;$A622&amp;"-"&amp;TEXT(($D622-$C622+1)+10,"00"),"")&amp;IF($C622&gt;=12,", "&amp;$A622&amp;"-"&amp;TEXT(($D622-$C622+1)+11,"00"),"")&amp;IF($C622&gt;=13,", "&amp;$A622&amp;"-"&amp;TEXT(($D622-$C622+1)+12,"00"),"")&amp;IF($C622&gt;=14,", "&amp;$A622&amp;"-"&amp;TEXT(($D622-$C622+1)+13,"00"),"")&amp;IF($C622&gt;=15,", "&amp;$A622&amp;"-"&amp;TEXT(($D622-$C622+1)+14,"00"),"")&amp;IF($C622&gt;=16,", "&amp;$A622&amp;"-"&amp;TEXT(($D622-$C622+1)+15,"00"),"")&amp;IF($C622&gt;=17,", "&amp;$A622&amp;"-"&amp;TEXT(($D622-$C622+1)+16,"00"),"")&amp;IF($C622&gt;=18,", "&amp;$A622&amp;"-"&amp;TEXT(($D622-$C622+1)+17,"00"),"")&amp;IF($C622&gt;=19,", "&amp;$A622&amp;"-"&amp;TEXT(($D622-$C622+1)+18,"00"),"")&amp;IF($C622&gt;=20,", "&amp;$A622&amp;"-"&amp;TEXT(($D622-$C622+1)+19,"00"),"")&amp;IF($C622&gt;=21,", "&amp;$A622&amp;"-"&amp;TEXT(($D622-$C622+1)+20,"00"),"")&amp;IF($C622&gt;=22,", "&amp;$A622&amp;"-"&amp;TEXT(($D622-$C622+1)+21,"00"),"")&amp;IF($C622&gt;=23,", "&amp;$A622&amp;"-"&amp;TEXT(($D622-$C622+1)+22,"00"),"")&amp;IF($C622&gt;=24,", "&amp;$A622&amp;"-"&amp;TEXT(($D622-$C622+1)+23,"00"),"")&amp;IF($C622&gt;=25,", "&amp;$A622&amp;"-"&amp;TEXT(($D622-$C622+1)+24,"00"),""))</f>
        <v/>
      </c>
      <c r="G622">
        <f>IF($A622="","",IF($E622=1,$F622,IF($F622="",$G621,IF($G621="",$F622,$G621&amp;", "&amp;$F622))))</f>
        <v/>
      </c>
      <c r="H622">
        <f>IF($A622="","",$A622&amp;" ("&amp;$C622&amp;")")</f>
        <v/>
      </c>
      <c r="I622">
        <f>IF($A622="","",IF($E622=1,$H622,$I621&amp;", "&amp;$H622))</f>
        <v/>
      </c>
      <c r="J622">
        <f>IF($A622="","",IF($E622=1,$B622,""))</f>
        <v/>
      </c>
      <c r="K622">
        <f>IF($A622="","",IF(COUNTIF($B$2:$B622,$B622)=COUNTIF($B$2:$B$1601,$B622),$B622,""))</f>
        <v/>
      </c>
    </row>
    <row r="623">
      <c r="A623">
        <f>IF('TMP Paste'!$E623="","",'TMP Paste'!$E623)</f>
        <v/>
      </c>
      <c r="B623">
        <f>IF($A623="","",COUNTIF('TMP Paste'!$B$2:$B623,"?*"))</f>
        <v/>
      </c>
      <c r="C623">
        <f>IF($A623="","",IFERROR('TMP Paste'!$M623*1,0))</f>
        <v/>
      </c>
      <c r="D623">
        <f>IF($A623="","",SUMIF($B$2:$B623,$B623,$C$2:$C623))</f>
        <v/>
      </c>
      <c r="E623">
        <f>IF($A623="",0,IF('TMP Paste'!$B623="",0,1))</f>
        <v/>
      </c>
      <c r="F623">
        <f>IF(OR($A623="",$C623&lt;1),"",$A623&amp;"-"&amp;TEXT(($D623-$C623+1),"00")&amp;IF($C623&gt;=2,", "&amp;$A623&amp;"-"&amp;TEXT(($D623-$C623+1)+1,"00"),"")&amp;IF($C623&gt;=3,", "&amp;$A623&amp;"-"&amp;TEXT(($D623-$C623+1)+2,"00"),"")&amp;IF($C623&gt;=4,", "&amp;$A623&amp;"-"&amp;TEXT(($D623-$C623+1)+3,"00"),"")&amp;IF($C623&gt;=5,", "&amp;$A623&amp;"-"&amp;TEXT(($D623-$C623+1)+4,"00"),"")&amp;IF($C623&gt;=6,", "&amp;$A623&amp;"-"&amp;TEXT(($D623-$C623+1)+5,"00"),"")&amp;IF($C623&gt;=7,", "&amp;$A623&amp;"-"&amp;TEXT(($D623-$C623+1)+6,"00"),"")&amp;IF($C623&gt;=8,", "&amp;$A623&amp;"-"&amp;TEXT(($D623-$C623+1)+7,"00"),"")&amp;IF($C623&gt;=9,", "&amp;$A623&amp;"-"&amp;TEXT(($D623-$C623+1)+8,"00"),"")&amp;IF($C623&gt;=10,", "&amp;$A623&amp;"-"&amp;TEXT(($D623-$C623+1)+9,"00"),"")&amp;IF($C623&gt;=11,", "&amp;$A623&amp;"-"&amp;TEXT(($D623-$C623+1)+10,"00"),"")&amp;IF($C623&gt;=12,", "&amp;$A623&amp;"-"&amp;TEXT(($D623-$C623+1)+11,"00"),"")&amp;IF($C623&gt;=13,", "&amp;$A623&amp;"-"&amp;TEXT(($D623-$C623+1)+12,"00"),"")&amp;IF($C623&gt;=14,", "&amp;$A623&amp;"-"&amp;TEXT(($D623-$C623+1)+13,"00"),"")&amp;IF($C623&gt;=15,", "&amp;$A623&amp;"-"&amp;TEXT(($D623-$C623+1)+14,"00"),"")&amp;IF($C623&gt;=16,", "&amp;$A623&amp;"-"&amp;TEXT(($D623-$C623+1)+15,"00"),"")&amp;IF($C623&gt;=17,", "&amp;$A623&amp;"-"&amp;TEXT(($D623-$C623+1)+16,"00"),"")&amp;IF($C623&gt;=18,", "&amp;$A623&amp;"-"&amp;TEXT(($D623-$C623+1)+17,"00"),"")&amp;IF($C623&gt;=19,", "&amp;$A623&amp;"-"&amp;TEXT(($D623-$C623+1)+18,"00"),"")&amp;IF($C623&gt;=20,", "&amp;$A623&amp;"-"&amp;TEXT(($D623-$C623+1)+19,"00"),"")&amp;IF($C623&gt;=21,", "&amp;$A623&amp;"-"&amp;TEXT(($D623-$C623+1)+20,"00"),"")&amp;IF($C623&gt;=22,", "&amp;$A623&amp;"-"&amp;TEXT(($D623-$C623+1)+21,"00"),"")&amp;IF($C623&gt;=23,", "&amp;$A623&amp;"-"&amp;TEXT(($D623-$C623+1)+22,"00"),"")&amp;IF($C623&gt;=24,", "&amp;$A623&amp;"-"&amp;TEXT(($D623-$C623+1)+23,"00"),"")&amp;IF($C623&gt;=25,", "&amp;$A623&amp;"-"&amp;TEXT(($D623-$C623+1)+24,"00"),""))</f>
        <v/>
      </c>
      <c r="G623">
        <f>IF($A623="","",IF($E623=1,$F623,IF($F623="",$G622,IF($G622="",$F623,$G622&amp;", "&amp;$F623))))</f>
        <v/>
      </c>
      <c r="H623">
        <f>IF($A623="","",$A623&amp;" ("&amp;$C623&amp;")")</f>
        <v/>
      </c>
      <c r="I623">
        <f>IF($A623="","",IF($E623=1,$H623,$I622&amp;", "&amp;$H623))</f>
        <v/>
      </c>
      <c r="J623">
        <f>IF($A623="","",IF($E623=1,$B623,""))</f>
        <v/>
      </c>
      <c r="K623">
        <f>IF($A623="","",IF(COUNTIF($B$2:$B623,$B623)=COUNTIF($B$2:$B$1601,$B623),$B623,""))</f>
        <v/>
      </c>
    </row>
    <row r="624">
      <c r="A624">
        <f>IF('TMP Paste'!$E624="","",'TMP Paste'!$E624)</f>
        <v/>
      </c>
      <c r="B624">
        <f>IF($A624="","",COUNTIF('TMP Paste'!$B$2:$B624,"?*"))</f>
        <v/>
      </c>
      <c r="C624">
        <f>IF($A624="","",IFERROR('TMP Paste'!$M624*1,0))</f>
        <v/>
      </c>
      <c r="D624">
        <f>IF($A624="","",SUMIF($B$2:$B624,$B624,$C$2:$C624))</f>
        <v/>
      </c>
      <c r="E624">
        <f>IF($A624="",0,IF('TMP Paste'!$B624="",0,1))</f>
        <v/>
      </c>
      <c r="F624">
        <f>IF(OR($A624="",$C624&lt;1),"",$A624&amp;"-"&amp;TEXT(($D624-$C624+1),"00")&amp;IF($C624&gt;=2,", "&amp;$A624&amp;"-"&amp;TEXT(($D624-$C624+1)+1,"00"),"")&amp;IF($C624&gt;=3,", "&amp;$A624&amp;"-"&amp;TEXT(($D624-$C624+1)+2,"00"),"")&amp;IF($C624&gt;=4,", "&amp;$A624&amp;"-"&amp;TEXT(($D624-$C624+1)+3,"00"),"")&amp;IF($C624&gt;=5,", "&amp;$A624&amp;"-"&amp;TEXT(($D624-$C624+1)+4,"00"),"")&amp;IF($C624&gt;=6,", "&amp;$A624&amp;"-"&amp;TEXT(($D624-$C624+1)+5,"00"),"")&amp;IF($C624&gt;=7,", "&amp;$A624&amp;"-"&amp;TEXT(($D624-$C624+1)+6,"00"),"")&amp;IF($C624&gt;=8,", "&amp;$A624&amp;"-"&amp;TEXT(($D624-$C624+1)+7,"00"),"")&amp;IF($C624&gt;=9,", "&amp;$A624&amp;"-"&amp;TEXT(($D624-$C624+1)+8,"00"),"")&amp;IF($C624&gt;=10,", "&amp;$A624&amp;"-"&amp;TEXT(($D624-$C624+1)+9,"00"),"")&amp;IF($C624&gt;=11,", "&amp;$A624&amp;"-"&amp;TEXT(($D624-$C624+1)+10,"00"),"")&amp;IF($C624&gt;=12,", "&amp;$A624&amp;"-"&amp;TEXT(($D624-$C624+1)+11,"00"),"")&amp;IF($C624&gt;=13,", "&amp;$A624&amp;"-"&amp;TEXT(($D624-$C624+1)+12,"00"),"")&amp;IF($C624&gt;=14,", "&amp;$A624&amp;"-"&amp;TEXT(($D624-$C624+1)+13,"00"),"")&amp;IF($C624&gt;=15,", "&amp;$A624&amp;"-"&amp;TEXT(($D624-$C624+1)+14,"00"),"")&amp;IF($C624&gt;=16,", "&amp;$A624&amp;"-"&amp;TEXT(($D624-$C624+1)+15,"00"),"")&amp;IF($C624&gt;=17,", "&amp;$A624&amp;"-"&amp;TEXT(($D624-$C624+1)+16,"00"),"")&amp;IF($C624&gt;=18,", "&amp;$A624&amp;"-"&amp;TEXT(($D624-$C624+1)+17,"00"),"")&amp;IF($C624&gt;=19,", "&amp;$A624&amp;"-"&amp;TEXT(($D624-$C624+1)+18,"00"),"")&amp;IF($C624&gt;=20,", "&amp;$A624&amp;"-"&amp;TEXT(($D624-$C624+1)+19,"00"),"")&amp;IF($C624&gt;=21,", "&amp;$A624&amp;"-"&amp;TEXT(($D624-$C624+1)+20,"00"),"")&amp;IF($C624&gt;=22,", "&amp;$A624&amp;"-"&amp;TEXT(($D624-$C624+1)+21,"00"),"")&amp;IF($C624&gt;=23,", "&amp;$A624&amp;"-"&amp;TEXT(($D624-$C624+1)+22,"00"),"")&amp;IF($C624&gt;=24,", "&amp;$A624&amp;"-"&amp;TEXT(($D624-$C624+1)+23,"00"),"")&amp;IF($C624&gt;=25,", "&amp;$A624&amp;"-"&amp;TEXT(($D624-$C624+1)+24,"00"),""))</f>
        <v/>
      </c>
      <c r="G624">
        <f>IF($A624="","",IF($E624=1,$F624,IF($F624="",$G623,IF($G623="",$F624,$G623&amp;", "&amp;$F624))))</f>
        <v/>
      </c>
      <c r="H624">
        <f>IF($A624="","",$A624&amp;" ("&amp;$C624&amp;")")</f>
        <v/>
      </c>
      <c r="I624">
        <f>IF($A624="","",IF($E624=1,$H624,$I623&amp;", "&amp;$H624))</f>
        <v/>
      </c>
      <c r="J624">
        <f>IF($A624="","",IF($E624=1,$B624,""))</f>
        <v/>
      </c>
      <c r="K624">
        <f>IF($A624="","",IF(COUNTIF($B$2:$B624,$B624)=COUNTIF($B$2:$B$1601,$B624),$B624,""))</f>
        <v/>
      </c>
    </row>
    <row r="625">
      <c r="A625">
        <f>IF('TMP Paste'!$E625="","",'TMP Paste'!$E625)</f>
        <v/>
      </c>
      <c r="B625">
        <f>IF($A625="","",COUNTIF('TMP Paste'!$B$2:$B625,"?*"))</f>
        <v/>
      </c>
      <c r="C625">
        <f>IF($A625="","",IFERROR('TMP Paste'!$M625*1,0))</f>
        <v/>
      </c>
      <c r="D625">
        <f>IF($A625="","",SUMIF($B$2:$B625,$B625,$C$2:$C625))</f>
        <v/>
      </c>
      <c r="E625">
        <f>IF($A625="",0,IF('TMP Paste'!$B625="",0,1))</f>
        <v/>
      </c>
      <c r="F625">
        <f>IF(OR($A625="",$C625&lt;1),"",$A625&amp;"-"&amp;TEXT(($D625-$C625+1),"00")&amp;IF($C625&gt;=2,", "&amp;$A625&amp;"-"&amp;TEXT(($D625-$C625+1)+1,"00"),"")&amp;IF($C625&gt;=3,", "&amp;$A625&amp;"-"&amp;TEXT(($D625-$C625+1)+2,"00"),"")&amp;IF($C625&gt;=4,", "&amp;$A625&amp;"-"&amp;TEXT(($D625-$C625+1)+3,"00"),"")&amp;IF($C625&gt;=5,", "&amp;$A625&amp;"-"&amp;TEXT(($D625-$C625+1)+4,"00"),"")&amp;IF($C625&gt;=6,", "&amp;$A625&amp;"-"&amp;TEXT(($D625-$C625+1)+5,"00"),"")&amp;IF($C625&gt;=7,", "&amp;$A625&amp;"-"&amp;TEXT(($D625-$C625+1)+6,"00"),"")&amp;IF($C625&gt;=8,", "&amp;$A625&amp;"-"&amp;TEXT(($D625-$C625+1)+7,"00"),"")&amp;IF($C625&gt;=9,", "&amp;$A625&amp;"-"&amp;TEXT(($D625-$C625+1)+8,"00"),"")&amp;IF($C625&gt;=10,", "&amp;$A625&amp;"-"&amp;TEXT(($D625-$C625+1)+9,"00"),"")&amp;IF($C625&gt;=11,", "&amp;$A625&amp;"-"&amp;TEXT(($D625-$C625+1)+10,"00"),"")&amp;IF($C625&gt;=12,", "&amp;$A625&amp;"-"&amp;TEXT(($D625-$C625+1)+11,"00"),"")&amp;IF($C625&gt;=13,", "&amp;$A625&amp;"-"&amp;TEXT(($D625-$C625+1)+12,"00"),"")&amp;IF($C625&gt;=14,", "&amp;$A625&amp;"-"&amp;TEXT(($D625-$C625+1)+13,"00"),"")&amp;IF($C625&gt;=15,", "&amp;$A625&amp;"-"&amp;TEXT(($D625-$C625+1)+14,"00"),"")&amp;IF($C625&gt;=16,", "&amp;$A625&amp;"-"&amp;TEXT(($D625-$C625+1)+15,"00"),"")&amp;IF($C625&gt;=17,", "&amp;$A625&amp;"-"&amp;TEXT(($D625-$C625+1)+16,"00"),"")&amp;IF($C625&gt;=18,", "&amp;$A625&amp;"-"&amp;TEXT(($D625-$C625+1)+17,"00"),"")&amp;IF($C625&gt;=19,", "&amp;$A625&amp;"-"&amp;TEXT(($D625-$C625+1)+18,"00"),"")&amp;IF($C625&gt;=20,", "&amp;$A625&amp;"-"&amp;TEXT(($D625-$C625+1)+19,"00"),"")&amp;IF($C625&gt;=21,", "&amp;$A625&amp;"-"&amp;TEXT(($D625-$C625+1)+20,"00"),"")&amp;IF($C625&gt;=22,", "&amp;$A625&amp;"-"&amp;TEXT(($D625-$C625+1)+21,"00"),"")&amp;IF($C625&gt;=23,", "&amp;$A625&amp;"-"&amp;TEXT(($D625-$C625+1)+22,"00"),"")&amp;IF($C625&gt;=24,", "&amp;$A625&amp;"-"&amp;TEXT(($D625-$C625+1)+23,"00"),"")&amp;IF($C625&gt;=25,", "&amp;$A625&amp;"-"&amp;TEXT(($D625-$C625+1)+24,"00"),""))</f>
        <v/>
      </c>
      <c r="G625">
        <f>IF($A625="","",IF($E625=1,$F625,IF($F625="",$G624,IF($G624="",$F625,$G624&amp;", "&amp;$F625))))</f>
        <v/>
      </c>
      <c r="H625">
        <f>IF($A625="","",$A625&amp;" ("&amp;$C625&amp;")")</f>
        <v/>
      </c>
      <c r="I625">
        <f>IF($A625="","",IF($E625=1,$H625,$I624&amp;", "&amp;$H625))</f>
        <v/>
      </c>
      <c r="J625">
        <f>IF($A625="","",IF($E625=1,$B625,""))</f>
        <v/>
      </c>
      <c r="K625">
        <f>IF($A625="","",IF(COUNTIF($B$2:$B625,$B625)=COUNTIF($B$2:$B$1601,$B625),$B625,""))</f>
        <v/>
      </c>
    </row>
    <row r="626">
      <c r="A626">
        <f>IF('TMP Paste'!$E626="","",'TMP Paste'!$E626)</f>
        <v/>
      </c>
      <c r="B626">
        <f>IF($A626="","",COUNTIF('TMP Paste'!$B$2:$B626,"?*"))</f>
        <v/>
      </c>
      <c r="C626">
        <f>IF($A626="","",IFERROR('TMP Paste'!$M626*1,0))</f>
        <v/>
      </c>
      <c r="D626">
        <f>IF($A626="","",SUMIF($B$2:$B626,$B626,$C$2:$C626))</f>
        <v/>
      </c>
      <c r="E626">
        <f>IF($A626="",0,IF('TMP Paste'!$B626="",0,1))</f>
        <v/>
      </c>
      <c r="F626">
        <f>IF(OR($A626="",$C626&lt;1),"",$A626&amp;"-"&amp;TEXT(($D626-$C626+1),"00")&amp;IF($C626&gt;=2,", "&amp;$A626&amp;"-"&amp;TEXT(($D626-$C626+1)+1,"00"),"")&amp;IF($C626&gt;=3,", "&amp;$A626&amp;"-"&amp;TEXT(($D626-$C626+1)+2,"00"),"")&amp;IF($C626&gt;=4,", "&amp;$A626&amp;"-"&amp;TEXT(($D626-$C626+1)+3,"00"),"")&amp;IF($C626&gt;=5,", "&amp;$A626&amp;"-"&amp;TEXT(($D626-$C626+1)+4,"00"),"")&amp;IF($C626&gt;=6,", "&amp;$A626&amp;"-"&amp;TEXT(($D626-$C626+1)+5,"00"),"")&amp;IF($C626&gt;=7,", "&amp;$A626&amp;"-"&amp;TEXT(($D626-$C626+1)+6,"00"),"")&amp;IF($C626&gt;=8,", "&amp;$A626&amp;"-"&amp;TEXT(($D626-$C626+1)+7,"00"),"")&amp;IF($C626&gt;=9,", "&amp;$A626&amp;"-"&amp;TEXT(($D626-$C626+1)+8,"00"),"")&amp;IF($C626&gt;=10,", "&amp;$A626&amp;"-"&amp;TEXT(($D626-$C626+1)+9,"00"),"")&amp;IF($C626&gt;=11,", "&amp;$A626&amp;"-"&amp;TEXT(($D626-$C626+1)+10,"00"),"")&amp;IF($C626&gt;=12,", "&amp;$A626&amp;"-"&amp;TEXT(($D626-$C626+1)+11,"00"),"")&amp;IF($C626&gt;=13,", "&amp;$A626&amp;"-"&amp;TEXT(($D626-$C626+1)+12,"00"),"")&amp;IF($C626&gt;=14,", "&amp;$A626&amp;"-"&amp;TEXT(($D626-$C626+1)+13,"00"),"")&amp;IF($C626&gt;=15,", "&amp;$A626&amp;"-"&amp;TEXT(($D626-$C626+1)+14,"00"),"")&amp;IF($C626&gt;=16,", "&amp;$A626&amp;"-"&amp;TEXT(($D626-$C626+1)+15,"00"),"")&amp;IF($C626&gt;=17,", "&amp;$A626&amp;"-"&amp;TEXT(($D626-$C626+1)+16,"00"),"")&amp;IF($C626&gt;=18,", "&amp;$A626&amp;"-"&amp;TEXT(($D626-$C626+1)+17,"00"),"")&amp;IF($C626&gt;=19,", "&amp;$A626&amp;"-"&amp;TEXT(($D626-$C626+1)+18,"00"),"")&amp;IF($C626&gt;=20,", "&amp;$A626&amp;"-"&amp;TEXT(($D626-$C626+1)+19,"00"),"")&amp;IF($C626&gt;=21,", "&amp;$A626&amp;"-"&amp;TEXT(($D626-$C626+1)+20,"00"),"")&amp;IF($C626&gt;=22,", "&amp;$A626&amp;"-"&amp;TEXT(($D626-$C626+1)+21,"00"),"")&amp;IF($C626&gt;=23,", "&amp;$A626&amp;"-"&amp;TEXT(($D626-$C626+1)+22,"00"),"")&amp;IF($C626&gt;=24,", "&amp;$A626&amp;"-"&amp;TEXT(($D626-$C626+1)+23,"00"),"")&amp;IF($C626&gt;=25,", "&amp;$A626&amp;"-"&amp;TEXT(($D626-$C626+1)+24,"00"),""))</f>
        <v/>
      </c>
      <c r="G626">
        <f>IF($A626="","",IF($E626=1,$F626,IF($F626="",$G625,IF($G625="",$F626,$G625&amp;", "&amp;$F626))))</f>
        <v/>
      </c>
      <c r="H626">
        <f>IF($A626="","",$A626&amp;" ("&amp;$C626&amp;")")</f>
        <v/>
      </c>
      <c r="I626">
        <f>IF($A626="","",IF($E626=1,$H626,$I625&amp;", "&amp;$H626))</f>
        <v/>
      </c>
      <c r="J626">
        <f>IF($A626="","",IF($E626=1,$B626,""))</f>
        <v/>
      </c>
      <c r="K626">
        <f>IF($A626="","",IF(COUNTIF($B$2:$B626,$B626)=COUNTIF($B$2:$B$1601,$B626),$B626,""))</f>
        <v/>
      </c>
    </row>
    <row r="627">
      <c r="A627">
        <f>IF('TMP Paste'!$E627="","",'TMP Paste'!$E627)</f>
        <v/>
      </c>
      <c r="B627">
        <f>IF($A627="","",COUNTIF('TMP Paste'!$B$2:$B627,"?*"))</f>
        <v/>
      </c>
      <c r="C627">
        <f>IF($A627="","",IFERROR('TMP Paste'!$M627*1,0))</f>
        <v/>
      </c>
      <c r="D627">
        <f>IF($A627="","",SUMIF($B$2:$B627,$B627,$C$2:$C627))</f>
        <v/>
      </c>
      <c r="E627">
        <f>IF($A627="",0,IF('TMP Paste'!$B627="",0,1))</f>
        <v/>
      </c>
      <c r="F627">
        <f>IF(OR($A627="",$C627&lt;1),"",$A627&amp;"-"&amp;TEXT(($D627-$C627+1),"00")&amp;IF($C627&gt;=2,", "&amp;$A627&amp;"-"&amp;TEXT(($D627-$C627+1)+1,"00"),"")&amp;IF($C627&gt;=3,", "&amp;$A627&amp;"-"&amp;TEXT(($D627-$C627+1)+2,"00"),"")&amp;IF($C627&gt;=4,", "&amp;$A627&amp;"-"&amp;TEXT(($D627-$C627+1)+3,"00"),"")&amp;IF($C627&gt;=5,", "&amp;$A627&amp;"-"&amp;TEXT(($D627-$C627+1)+4,"00"),"")&amp;IF($C627&gt;=6,", "&amp;$A627&amp;"-"&amp;TEXT(($D627-$C627+1)+5,"00"),"")&amp;IF($C627&gt;=7,", "&amp;$A627&amp;"-"&amp;TEXT(($D627-$C627+1)+6,"00"),"")&amp;IF($C627&gt;=8,", "&amp;$A627&amp;"-"&amp;TEXT(($D627-$C627+1)+7,"00"),"")&amp;IF($C627&gt;=9,", "&amp;$A627&amp;"-"&amp;TEXT(($D627-$C627+1)+8,"00"),"")&amp;IF($C627&gt;=10,", "&amp;$A627&amp;"-"&amp;TEXT(($D627-$C627+1)+9,"00"),"")&amp;IF($C627&gt;=11,", "&amp;$A627&amp;"-"&amp;TEXT(($D627-$C627+1)+10,"00"),"")&amp;IF($C627&gt;=12,", "&amp;$A627&amp;"-"&amp;TEXT(($D627-$C627+1)+11,"00"),"")&amp;IF($C627&gt;=13,", "&amp;$A627&amp;"-"&amp;TEXT(($D627-$C627+1)+12,"00"),"")&amp;IF($C627&gt;=14,", "&amp;$A627&amp;"-"&amp;TEXT(($D627-$C627+1)+13,"00"),"")&amp;IF($C627&gt;=15,", "&amp;$A627&amp;"-"&amp;TEXT(($D627-$C627+1)+14,"00"),"")&amp;IF($C627&gt;=16,", "&amp;$A627&amp;"-"&amp;TEXT(($D627-$C627+1)+15,"00"),"")&amp;IF($C627&gt;=17,", "&amp;$A627&amp;"-"&amp;TEXT(($D627-$C627+1)+16,"00"),"")&amp;IF($C627&gt;=18,", "&amp;$A627&amp;"-"&amp;TEXT(($D627-$C627+1)+17,"00"),"")&amp;IF($C627&gt;=19,", "&amp;$A627&amp;"-"&amp;TEXT(($D627-$C627+1)+18,"00"),"")&amp;IF($C627&gt;=20,", "&amp;$A627&amp;"-"&amp;TEXT(($D627-$C627+1)+19,"00"),"")&amp;IF($C627&gt;=21,", "&amp;$A627&amp;"-"&amp;TEXT(($D627-$C627+1)+20,"00"),"")&amp;IF($C627&gt;=22,", "&amp;$A627&amp;"-"&amp;TEXT(($D627-$C627+1)+21,"00"),"")&amp;IF($C627&gt;=23,", "&amp;$A627&amp;"-"&amp;TEXT(($D627-$C627+1)+22,"00"),"")&amp;IF($C627&gt;=24,", "&amp;$A627&amp;"-"&amp;TEXT(($D627-$C627+1)+23,"00"),"")&amp;IF($C627&gt;=25,", "&amp;$A627&amp;"-"&amp;TEXT(($D627-$C627+1)+24,"00"),""))</f>
        <v/>
      </c>
      <c r="G627">
        <f>IF($A627="","",IF($E627=1,$F627,IF($F627="",$G626,IF($G626="",$F627,$G626&amp;", "&amp;$F627))))</f>
        <v/>
      </c>
      <c r="H627">
        <f>IF($A627="","",$A627&amp;" ("&amp;$C627&amp;")")</f>
        <v/>
      </c>
      <c r="I627">
        <f>IF($A627="","",IF($E627=1,$H627,$I626&amp;", "&amp;$H627))</f>
        <v/>
      </c>
      <c r="J627">
        <f>IF($A627="","",IF($E627=1,$B627,""))</f>
        <v/>
      </c>
      <c r="K627">
        <f>IF($A627="","",IF(COUNTIF($B$2:$B627,$B627)=COUNTIF($B$2:$B$1601,$B627),$B627,""))</f>
        <v/>
      </c>
    </row>
    <row r="628">
      <c r="A628">
        <f>IF('TMP Paste'!$E628="","",'TMP Paste'!$E628)</f>
        <v/>
      </c>
      <c r="B628">
        <f>IF($A628="","",COUNTIF('TMP Paste'!$B$2:$B628,"?*"))</f>
        <v/>
      </c>
      <c r="C628">
        <f>IF($A628="","",IFERROR('TMP Paste'!$M628*1,0))</f>
        <v/>
      </c>
      <c r="D628">
        <f>IF($A628="","",SUMIF($B$2:$B628,$B628,$C$2:$C628))</f>
        <v/>
      </c>
      <c r="E628">
        <f>IF($A628="",0,IF('TMP Paste'!$B628="",0,1))</f>
        <v/>
      </c>
      <c r="F628">
        <f>IF(OR($A628="",$C628&lt;1),"",$A628&amp;"-"&amp;TEXT(($D628-$C628+1),"00")&amp;IF($C628&gt;=2,", "&amp;$A628&amp;"-"&amp;TEXT(($D628-$C628+1)+1,"00"),"")&amp;IF($C628&gt;=3,", "&amp;$A628&amp;"-"&amp;TEXT(($D628-$C628+1)+2,"00"),"")&amp;IF($C628&gt;=4,", "&amp;$A628&amp;"-"&amp;TEXT(($D628-$C628+1)+3,"00"),"")&amp;IF($C628&gt;=5,", "&amp;$A628&amp;"-"&amp;TEXT(($D628-$C628+1)+4,"00"),"")&amp;IF($C628&gt;=6,", "&amp;$A628&amp;"-"&amp;TEXT(($D628-$C628+1)+5,"00"),"")&amp;IF($C628&gt;=7,", "&amp;$A628&amp;"-"&amp;TEXT(($D628-$C628+1)+6,"00"),"")&amp;IF($C628&gt;=8,", "&amp;$A628&amp;"-"&amp;TEXT(($D628-$C628+1)+7,"00"),"")&amp;IF($C628&gt;=9,", "&amp;$A628&amp;"-"&amp;TEXT(($D628-$C628+1)+8,"00"),"")&amp;IF($C628&gt;=10,", "&amp;$A628&amp;"-"&amp;TEXT(($D628-$C628+1)+9,"00"),"")&amp;IF($C628&gt;=11,", "&amp;$A628&amp;"-"&amp;TEXT(($D628-$C628+1)+10,"00"),"")&amp;IF($C628&gt;=12,", "&amp;$A628&amp;"-"&amp;TEXT(($D628-$C628+1)+11,"00"),"")&amp;IF($C628&gt;=13,", "&amp;$A628&amp;"-"&amp;TEXT(($D628-$C628+1)+12,"00"),"")&amp;IF($C628&gt;=14,", "&amp;$A628&amp;"-"&amp;TEXT(($D628-$C628+1)+13,"00"),"")&amp;IF($C628&gt;=15,", "&amp;$A628&amp;"-"&amp;TEXT(($D628-$C628+1)+14,"00"),"")&amp;IF($C628&gt;=16,", "&amp;$A628&amp;"-"&amp;TEXT(($D628-$C628+1)+15,"00"),"")&amp;IF($C628&gt;=17,", "&amp;$A628&amp;"-"&amp;TEXT(($D628-$C628+1)+16,"00"),"")&amp;IF($C628&gt;=18,", "&amp;$A628&amp;"-"&amp;TEXT(($D628-$C628+1)+17,"00"),"")&amp;IF($C628&gt;=19,", "&amp;$A628&amp;"-"&amp;TEXT(($D628-$C628+1)+18,"00"),"")&amp;IF($C628&gt;=20,", "&amp;$A628&amp;"-"&amp;TEXT(($D628-$C628+1)+19,"00"),"")&amp;IF($C628&gt;=21,", "&amp;$A628&amp;"-"&amp;TEXT(($D628-$C628+1)+20,"00"),"")&amp;IF($C628&gt;=22,", "&amp;$A628&amp;"-"&amp;TEXT(($D628-$C628+1)+21,"00"),"")&amp;IF($C628&gt;=23,", "&amp;$A628&amp;"-"&amp;TEXT(($D628-$C628+1)+22,"00"),"")&amp;IF($C628&gt;=24,", "&amp;$A628&amp;"-"&amp;TEXT(($D628-$C628+1)+23,"00"),"")&amp;IF($C628&gt;=25,", "&amp;$A628&amp;"-"&amp;TEXT(($D628-$C628+1)+24,"00"),""))</f>
        <v/>
      </c>
      <c r="G628">
        <f>IF($A628="","",IF($E628=1,$F628,IF($F628="",$G627,IF($G627="",$F628,$G627&amp;", "&amp;$F628))))</f>
        <v/>
      </c>
      <c r="H628">
        <f>IF($A628="","",$A628&amp;" ("&amp;$C628&amp;")")</f>
        <v/>
      </c>
      <c r="I628">
        <f>IF($A628="","",IF($E628=1,$H628,$I627&amp;", "&amp;$H628))</f>
        <v/>
      </c>
      <c r="J628">
        <f>IF($A628="","",IF($E628=1,$B628,""))</f>
        <v/>
      </c>
      <c r="K628">
        <f>IF($A628="","",IF(COUNTIF($B$2:$B628,$B628)=COUNTIF($B$2:$B$1601,$B628),$B628,""))</f>
        <v/>
      </c>
    </row>
    <row r="629">
      <c r="A629">
        <f>IF('TMP Paste'!$E629="","",'TMP Paste'!$E629)</f>
        <v/>
      </c>
      <c r="B629">
        <f>IF($A629="","",COUNTIF('TMP Paste'!$B$2:$B629,"?*"))</f>
        <v/>
      </c>
      <c r="C629">
        <f>IF($A629="","",IFERROR('TMP Paste'!$M629*1,0))</f>
        <v/>
      </c>
      <c r="D629">
        <f>IF($A629="","",SUMIF($B$2:$B629,$B629,$C$2:$C629))</f>
        <v/>
      </c>
      <c r="E629">
        <f>IF($A629="",0,IF('TMP Paste'!$B629="",0,1))</f>
        <v/>
      </c>
      <c r="F629">
        <f>IF(OR($A629="",$C629&lt;1),"",$A629&amp;"-"&amp;TEXT(($D629-$C629+1),"00")&amp;IF($C629&gt;=2,", "&amp;$A629&amp;"-"&amp;TEXT(($D629-$C629+1)+1,"00"),"")&amp;IF($C629&gt;=3,", "&amp;$A629&amp;"-"&amp;TEXT(($D629-$C629+1)+2,"00"),"")&amp;IF($C629&gt;=4,", "&amp;$A629&amp;"-"&amp;TEXT(($D629-$C629+1)+3,"00"),"")&amp;IF($C629&gt;=5,", "&amp;$A629&amp;"-"&amp;TEXT(($D629-$C629+1)+4,"00"),"")&amp;IF($C629&gt;=6,", "&amp;$A629&amp;"-"&amp;TEXT(($D629-$C629+1)+5,"00"),"")&amp;IF($C629&gt;=7,", "&amp;$A629&amp;"-"&amp;TEXT(($D629-$C629+1)+6,"00"),"")&amp;IF($C629&gt;=8,", "&amp;$A629&amp;"-"&amp;TEXT(($D629-$C629+1)+7,"00"),"")&amp;IF($C629&gt;=9,", "&amp;$A629&amp;"-"&amp;TEXT(($D629-$C629+1)+8,"00"),"")&amp;IF($C629&gt;=10,", "&amp;$A629&amp;"-"&amp;TEXT(($D629-$C629+1)+9,"00"),"")&amp;IF($C629&gt;=11,", "&amp;$A629&amp;"-"&amp;TEXT(($D629-$C629+1)+10,"00"),"")&amp;IF($C629&gt;=12,", "&amp;$A629&amp;"-"&amp;TEXT(($D629-$C629+1)+11,"00"),"")&amp;IF($C629&gt;=13,", "&amp;$A629&amp;"-"&amp;TEXT(($D629-$C629+1)+12,"00"),"")&amp;IF($C629&gt;=14,", "&amp;$A629&amp;"-"&amp;TEXT(($D629-$C629+1)+13,"00"),"")&amp;IF($C629&gt;=15,", "&amp;$A629&amp;"-"&amp;TEXT(($D629-$C629+1)+14,"00"),"")&amp;IF($C629&gt;=16,", "&amp;$A629&amp;"-"&amp;TEXT(($D629-$C629+1)+15,"00"),"")&amp;IF($C629&gt;=17,", "&amp;$A629&amp;"-"&amp;TEXT(($D629-$C629+1)+16,"00"),"")&amp;IF($C629&gt;=18,", "&amp;$A629&amp;"-"&amp;TEXT(($D629-$C629+1)+17,"00"),"")&amp;IF($C629&gt;=19,", "&amp;$A629&amp;"-"&amp;TEXT(($D629-$C629+1)+18,"00"),"")&amp;IF($C629&gt;=20,", "&amp;$A629&amp;"-"&amp;TEXT(($D629-$C629+1)+19,"00"),"")&amp;IF($C629&gt;=21,", "&amp;$A629&amp;"-"&amp;TEXT(($D629-$C629+1)+20,"00"),"")&amp;IF($C629&gt;=22,", "&amp;$A629&amp;"-"&amp;TEXT(($D629-$C629+1)+21,"00"),"")&amp;IF($C629&gt;=23,", "&amp;$A629&amp;"-"&amp;TEXT(($D629-$C629+1)+22,"00"),"")&amp;IF($C629&gt;=24,", "&amp;$A629&amp;"-"&amp;TEXT(($D629-$C629+1)+23,"00"),"")&amp;IF($C629&gt;=25,", "&amp;$A629&amp;"-"&amp;TEXT(($D629-$C629+1)+24,"00"),""))</f>
        <v/>
      </c>
      <c r="G629">
        <f>IF($A629="","",IF($E629=1,$F629,IF($F629="",$G628,IF($G628="",$F629,$G628&amp;", "&amp;$F629))))</f>
        <v/>
      </c>
      <c r="H629">
        <f>IF($A629="","",$A629&amp;" ("&amp;$C629&amp;")")</f>
        <v/>
      </c>
      <c r="I629">
        <f>IF($A629="","",IF($E629=1,$H629,$I628&amp;", "&amp;$H629))</f>
        <v/>
      </c>
      <c r="J629">
        <f>IF($A629="","",IF($E629=1,$B629,""))</f>
        <v/>
      </c>
      <c r="K629">
        <f>IF($A629="","",IF(COUNTIF($B$2:$B629,$B629)=COUNTIF($B$2:$B$1601,$B629),$B629,""))</f>
        <v/>
      </c>
    </row>
    <row r="630">
      <c r="A630">
        <f>IF('TMP Paste'!$E630="","",'TMP Paste'!$E630)</f>
        <v/>
      </c>
      <c r="B630">
        <f>IF($A630="","",COUNTIF('TMP Paste'!$B$2:$B630,"?*"))</f>
        <v/>
      </c>
      <c r="C630">
        <f>IF($A630="","",IFERROR('TMP Paste'!$M630*1,0))</f>
        <v/>
      </c>
      <c r="D630">
        <f>IF($A630="","",SUMIF($B$2:$B630,$B630,$C$2:$C630))</f>
        <v/>
      </c>
      <c r="E630">
        <f>IF($A630="",0,IF('TMP Paste'!$B630="",0,1))</f>
        <v/>
      </c>
      <c r="F630">
        <f>IF(OR($A630="",$C630&lt;1),"",$A630&amp;"-"&amp;TEXT(($D630-$C630+1),"00")&amp;IF($C630&gt;=2,", "&amp;$A630&amp;"-"&amp;TEXT(($D630-$C630+1)+1,"00"),"")&amp;IF($C630&gt;=3,", "&amp;$A630&amp;"-"&amp;TEXT(($D630-$C630+1)+2,"00"),"")&amp;IF($C630&gt;=4,", "&amp;$A630&amp;"-"&amp;TEXT(($D630-$C630+1)+3,"00"),"")&amp;IF($C630&gt;=5,", "&amp;$A630&amp;"-"&amp;TEXT(($D630-$C630+1)+4,"00"),"")&amp;IF($C630&gt;=6,", "&amp;$A630&amp;"-"&amp;TEXT(($D630-$C630+1)+5,"00"),"")&amp;IF($C630&gt;=7,", "&amp;$A630&amp;"-"&amp;TEXT(($D630-$C630+1)+6,"00"),"")&amp;IF($C630&gt;=8,", "&amp;$A630&amp;"-"&amp;TEXT(($D630-$C630+1)+7,"00"),"")&amp;IF($C630&gt;=9,", "&amp;$A630&amp;"-"&amp;TEXT(($D630-$C630+1)+8,"00"),"")&amp;IF($C630&gt;=10,", "&amp;$A630&amp;"-"&amp;TEXT(($D630-$C630+1)+9,"00"),"")&amp;IF($C630&gt;=11,", "&amp;$A630&amp;"-"&amp;TEXT(($D630-$C630+1)+10,"00"),"")&amp;IF($C630&gt;=12,", "&amp;$A630&amp;"-"&amp;TEXT(($D630-$C630+1)+11,"00"),"")&amp;IF($C630&gt;=13,", "&amp;$A630&amp;"-"&amp;TEXT(($D630-$C630+1)+12,"00"),"")&amp;IF($C630&gt;=14,", "&amp;$A630&amp;"-"&amp;TEXT(($D630-$C630+1)+13,"00"),"")&amp;IF($C630&gt;=15,", "&amp;$A630&amp;"-"&amp;TEXT(($D630-$C630+1)+14,"00"),"")&amp;IF($C630&gt;=16,", "&amp;$A630&amp;"-"&amp;TEXT(($D630-$C630+1)+15,"00"),"")&amp;IF($C630&gt;=17,", "&amp;$A630&amp;"-"&amp;TEXT(($D630-$C630+1)+16,"00"),"")&amp;IF($C630&gt;=18,", "&amp;$A630&amp;"-"&amp;TEXT(($D630-$C630+1)+17,"00"),"")&amp;IF($C630&gt;=19,", "&amp;$A630&amp;"-"&amp;TEXT(($D630-$C630+1)+18,"00"),"")&amp;IF($C630&gt;=20,", "&amp;$A630&amp;"-"&amp;TEXT(($D630-$C630+1)+19,"00"),"")&amp;IF($C630&gt;=21,", "&amp;$A630&amp;"-"&amp;TEXT(($D630-$C630+1)+20,"00"),"")&amp;IF($C630&gt;=22,", "&amp;$A630&amp;"-"&amp;TEXT(($D630-$C630+1)+21,"00"),"")&amp;IF($C630&gt;=23,", "&amp;$A630&amp;"-"&amp;TEXT(($D630-$C630+1)+22,"00"),"")&amp;IF($C630&gt;=24,", "&amp;$A630&amp;"-"&amp;TEXT(($D630-$C630+1)+23,"00"),"")&amp;IF($C630&gt;=25,", "&amp;$A630&amp;"-"&amp;TEXT(($D630-$C630+1)+24,"00"),""))</f>
        <v/>
      </c>
      <c r="G630">
        <f>IF($A630="","",IF($E630=1,$F630,IF($F630="",$G629,IF($G629="",$F630,$G629&amp;", "&amp;$F630))))</f>
        <v/>
      </c>
      <c r="H630">
        <f>IF($A630="","",$A630&amp;" ("&amp;$C630&amp;")")</f>
        <v/>
      </c>
      <c r="I630">
        <f>IF($A630="","",IF($E630=1,$H630,$I629&amp;", "&amp;$H630))</f>
        <v/>
      </c>
      <c r="J630">
        <f>IF($A630="","",IF($E630=1,$B630,""))</f>
        <v/>
      </c>
      <c r="K630">
        <f>IF($A630="","",IF(COUNTIF($B$2:$B630,$B630)=COUNTIF($B$2:$B$1601,$B630),$B630,""))</f>
        <v/>
      </c>
    </row>
    <row r="631">
      <c r="A631">
        <f>IF('TMP Paste'!$E631="","",'TMP Paste'!$E631)</f>
        <v/>
      </c>
      <c r="B631">
        <f>IF($A631="","",COUNTIF('TMP Paste'!$B$2:$B631,"?*"))</f>
        <v/>
      </c>
      <c r="C631">
        <f>IF($A631="","",IFERROR('TMP Paste'!$M631*1,0))</f>
        <v/>
      </c>
      <c r="D631">
        <f>IF($A631="","",SUMIF($B$2:$B631,$B631,$C$2:$C631))</f>
        <v/>
      </c>
      <c r="E631">
        <f>IF($A631="",0,IF('TMP Paste'!$B631="",0,1))</f>
        <v/>
      </c>
      <c r="F631">
        <f>IF(OR($A631="",$C631&lt;1),"",$A631&amp;"-"&amp;TEXT(($D631-$C631+1),"00")&amp;IF($C631&gt;=2,", "&amp;$A631&amp;"-"&amp;TEXT(($D631-$C631+1)+1,"00"),"")&amp;IF($C631&gt;=3,", "&amp;$A631&amp;"-"&amp;TEXT(($D631-$C631+1)+2,"00"),"")&amp;IF($C631&gt;=4,", "&amp;$A631&amp;"-"&amp;TEXT(($D631-$C631+1)+3,"00"),"")&amp;IF($C631&gt;=5,", "&amp;$A631&amp;"-"&amp;TEXT(($D631-$C631+1)+4,"00"),"")&amp;IF($C631&gt;=6,", "&amp;$A631&amp;"-"&amp;TEXT(($D631-$C631+1)+5,"00"),"")&amp;IF($C631&gt;=7,", "&amp;$A631&amp;"-"&amp;TEXT(($D631-$C631+1)+6,"00"),"")&amp;IF($C631&gt;=8,", "&amp;$A631&amp;"-"&amp;TEXT(($D631-$C631+1)+7,"00"),"")&amp;IF($C631&gt;=9,", "&amp;$A631&amp;"-"&amp;TEXT(($D631-$C631+1)+8,"00"),"")&amp;IF($C631&gt;=10,", "&amp;$A631&amp;"-"&amp;TEXT(($D631-$C631+1)+9,"00"),"")&amp;IF($C631&gt;=11,", "&amp;$A631&amp;"-"&amp;TEXT(($D631-$C631+1)+10,"00"),"")&amp;IF($C631&gt;=12,", "&amp;$A631&amp;"-"&amp;TEXT(($D631-$C631+1)+11,"00"),"")&amp;IF($C631&gt;=13,", "&amp;$A631&amp;"-"&amp;TEXT(($D631-$C631+1)+12,"00"),"")&amp;IF($C631&gt;=14,", "&amp;$A631&amp;"-"&amp;TEXT(($D631-$C631+1)+13,"00"),"")&amp;IF($C631&gt;=15,", "&amp;$A631&amp;"-"&amp;TEXT(($D631-$C631+1)+14,"00"),"")&amp;IF($C631&gt;=16,", "&amp;$A631&amp;"-"&amp;TEXT(($D631-$C631+1)+15,"00"),"")&amp;IF($C631&gt;=17,", "&amp;$A631&amp;"-"&amp;TEXT(($D631-$C631+1)+16,"00"),"")&amp;IF($C631&gt;=18,", "&amp;$A631&amp;"-"&amp;TEXT(($D631-$C631+1)+17,"00"),"")&amp;IF($C631&gt;=19,", "&amp;$A631&amp;"-"&amp;TEXT(($D631-$C631+1)+18,"00"),"")&amp;IF($C631&gt;=20,", "&amp;$A631&amp;"-"&amp;TEXT(($D631-$C631+1)+19,"00"),"")&amp;IF($C631&gt;=21,", "&amp;$A631&amp;"-"&amp;TEXT(($D631-$C631+1)+20,"00"),"")&amp;IF($C631&gt;=22,", "&amp;$A631&amp;"-"&amp;TEXT(($D631-$C631+1)+21,"00"),"")&amp;IF($C631&gt;=23,", "&amp;$A631&amp;"-"&amp;TEXT(($D631-$C631+1)+22,"00"),"")&amp;IF($C631&gt;=24,", "&amp;$A631&amp;"-"&amp;TEXT(($D631-$C631+1)+23,"00"),"")&amp;IF($C631&gt;=25,", "&amp;$A631&amp;"-"&amp;TEXT(($D631-$C631+1)+24,"00"),""))</f>
        <v/>
      </c>
      <c r="G631">
        <f>IF($A631="","",IF($E631=1,$F631,IF($F631="",$G630,IF($G630="",$F631,$G630&amp;", "&amp;$F631))))</f>
        <v/>
      </c>
      <c r="H631">
        <f>IF($A631="","",$A631&amp;" ("&amp;$C631&amp;")")</f>
        <v/>
      </c>
      <c r="I631">
        <f>IF($A631="","",IF($E631=1,$H631,$I630&amp;", "&amp;$H631))</f>
        <v/>
      </c>
      <c r="J631">
        <f>IF($A631="","",IF($E631=1,$B631,""))</f>
        <v/>
      </c>
      <c r="K631">
        <f>IF($A631="","",IF(COUNTIF($B$2:$B631,$B631)=COUNTIF($B$2:$B$1601,$B631),$B631,""))</f>
        <v/>
      </c>
    </row>
    <row r="632">
      <c r="A632">
        <f>IF('TMP Paste'!$E632="","",'TMP Paste'!$E632)</f>
        <v/>
      </c>
      <c r="B632">
        <f>IF($A632="","",COUNTIF('TMP Paste'!$B$2:$B632,"?*"))</f>
        <v/>
      </c>
      <c r="C632">
        <f>IF($A632="","",IFERROR('TMP Paste'!$M632*1,0))</f>
        <v/>
      </c>
      <c r="D632">
        <f>IF($A632="","",SUMIF($B$2:$B632,$B632,$C$2:$C632))</f>
        <v/>
      </c>
      <c r="E632">
        <f>IF($A632="",0,IF('TMP Paste'!$B632="",0,1))</f>
        <v/>
      </c>
      <c r="F632">
        <f>IF(OR($A632="",$C632&lt;1),"",$A632&amp;"-"&amp;TEXT(($D632-$C632+1),"00")&amp;IF($C632&gt;=2,", "&amp;$A632&amp;"-"&amp;TEXT(($D632-$C632+1)+1,"00"),"")&amp;IF($C632&gt;=3,", "&amp;$A632&amp;"-"&amp;TEXT(($D632-$C632+1)+2,"00"),"")&amp;IF($C632&gt;=4,", "&amp;$A632&amp;"-"&amp;TEXT(($D632-$C632+1)+3,"00"),"")&amp;IF($C632&gt;=5,", "&amp;$A632&amp;"-"&amp;TEXT(($D632-$C632+1)+4,"00"),"")&amp;IF($C632&gt;=6,", "&amp;$A632&amp;"-"&amp;TEXT(($D632-$C632+1)+5,"00"),"")&amp;IF($C632&gt;=7,", "&amp;$A632&amp;"-"&amp;TEXT(($D632-$C632+1)+6,"00"),"")&amp;IF($C632&gt;=8,", "&amp;$A632&amp;"-"&amp;TEXT(($D632-$C632+1)+7,"00"),"")&amp;IF($C632&gt;=9,", "&amp;$A632&amp;"-"&amp;TEXT(($D632-$C632+1)+8,"00"),"")&amp;IF($C632&gt;=10,", "&amp;$A632&amp;"-"&amp;TEXT(($D632-$C632+1)+9,"00"),"")&amp;IF($C632&gt;=11,", "&amp;$A632&amp;"-"&amp;TEXT(($D632-$C632+1)+10,"00"),"")&amp;IF($C632&gt;=12,", "&amp;$A632&amp;"-"&amp;TEXT(($D632-$C632+1)+11,"00"),"")&amp;IF($C632&gt;=13,", "&amp;$A632&amp;"-"&amp;TEXT(($D632-$C632+1)+12,"00"),"")&amp;IF($C632&gt;=14,", "&amp;$A632&amp;"-"&amp;TEXT(($D632-$C632+1)+13,"00"),"")&amp;IF($C632&gt;=15,", "&amp;$A632&amp;"-"&amp;TEXT(($D632-$C632+1)+14,"00"),"")&amp;IF($C632&gt;=16,", "&amp;$A632&amp;"-"&amp;TEXT(($D632-$C632+1)+15,"00"),"")&amp;IF($C632&gt;=17,", "&amp;$A632&amp;"-"&amp;TEXT(($D632-$C632+1)+16,"00"),"")&amp;IF($C632&gt;=18,", "&amp;$A632&amp;"-"&amp;TEXT(($D632-$C632+1)+17,"00"),"")&amp;IF($C632&gt;=19,", "&amp;$A632&amp;"-"&amp;TEXT(($D632-$C632+1)+18,"00"),"")&amp;IF($C632&gt;=20,", "&amp;$A632&amp;"-"&amp;TEXT(($D632-$C632+1)+19,"00"),"")&amp;IF($C632&gt;=21,", "&amp;$A632&amp;"-"&amp;TEXT(($D632-$C632+1)+20,"00"),"")&amp;IF($C632&gt;=22,", "&amp;$A632&amp;"-"&amp;TEXT(($D632-$C632+1)+21,"00"),"")&amp;IF($C632&gt;=23,", "&amp;$A632&amp;"-"&amp;TEXT(($D632-$C632+1)+22,"00"),"")&amp;IF($C632&gt;=24,", "&amp;$A632&amp;"-"&amp;TEXT(($D632-$C632+1)+23,"00"),"")&amp;IF($C632&gt;=25,", "&amp;$A632&amp;"-"&amp;TEXT(($D632-$C632+1)+24,"00"),""))</f>
        <v/>
      </c>
      <c r="G632">
        <f>IF($A632="","",IF($E632=1,$F632,IF($F632="",$G631,IF($G631="",$F632,$G631&amp;", "&amp;$F632))))</f>
        <v/>
      </c>
      <c r="H632">
        <f>IF($A632="","",$A632&amp;" ("&amp;$C632&amp;")")</f>
        <v/>
      </c>
      <c r="I632">
        <f>IF($A632="","",IF($E632=1,$H632,$I631&amp;", "&amp;$H632))</f>
        <v/>
      </c>
      <c r="J632">
        <f>IF($A632="","",IF($E632=1,$B632,""))</f>
        <v/>
      </c>
      <c r="K632">
        <f>IF($A632="","",IF(COUNTIF($B$2:$B632,$B632)=COUNTIF($B$2:$B$1601,$B632),$B632,""))</f>
        <v/>
      </c>
    </row>
    <row r="633">
      <c r="A633">
        <f>IF('TMP Paste'!$E633="","",'TMP Paste'!$E633)</f>
        <v/>
      </c>
      <c r="B633">
        <f>IF($A633="","",COUNTIF('TMP Paste'!$B$2:$B633,"?*"))</f>
        <v/>
      </c>
      <c r="C633">
        <f>IF($A633="","",IFERROR('TMP Paste'!$M633*1,0))</f>
        <v/>
      </c>
      <c r="D633">
        <f>IF($A633="","",SUMIF($B$2:$B633,$B633,$C$2:$C633))</f>
        <v/>
      </c>
      <c r="E633">
        <f>IF($A633="",0,IF('TMP Paste'!$B633="",0,1))</f>
        <v/>
      </c>
      <c r="F633">
        <f>IF(OR($A633="",$C633&lt;1),"",$A633&amp;"-"&amp;TEXT(($D633-$C633+1),"00")&amp;IF($C633&gt;=2,", "&amp;$A633&amp;"-"&amp;TEXT(($D633-$C633+1)+1,"00"),"")&amp;IF($C633&gt;=3,", "&amp;$A633&amp;"-"&amp;TEXT(($D633-$C633+1)+2,"00"),"")&amp;IF($C633&gt;=4,", "&amp;$A633&amp;"-"&amp;TEXT(($D633-$C633+1)+3,"00"),"")&amp;IF($C633&gt;=5,", "&amp;$A633&amp;"-"&amp;TEXT(($D633-$C633+1)+4,"00"),"")&amp;IF($C633&gt;=6,", "&amp;$A633&amp;"-"&amp;TEXT(($D633-$C633+1)+5,"00"),"")&amp;IF($C633&gt;=7,", "&amp;$A633&amp;"-"&amp;TEXT(($D633-$C633+1)+6,"00"),"")&amp;IF($C633&gt;=8,", "&amp;$A633&amp;"-"&amp;TEXT(($D633-$C633+1)+7,"00"),"")&amp;IF($C633&gt;=9,", "&amp;$A633&amp;"-"&amp;TEXT(($D633-$C633+1)+8,"00"),"")&amp;IF($C633&gt;=10,", "&amp;$A633&amp;"-"&amp;TEXT(($D633-$C633+1)+9,"00"),"")&amp;IF($C633&gt;=11,", "&amp;$A633&amp;"-"&amp;TEXT(($D633-$C633+1)+10,"00"),"")&amp;IF($C633&gt;=12,", "&amp;$A633&amp;"-"&amp;TEXT(($D633-$C633+1)+11,"00"),"")&amp;IF($C633&gt;=13,", "&amp;$A633&amp;"-"&amp;TEXT(($D633-$C633+1)+12,"00"),"")&amp;IF($C633&gt;=14,", "&amp;$A633&amp;"-"&amp;TEXT(($D633-$C633+1)+13,"00"),"")&amp;IF($C633&gt;=15,", "&amp;$A633&amp;"-"&amp;TEXT(($D633-$C633+1)+14,"00"),"")&amp;IF($C633&gt;=16,", "&amp;$A633&amp;"-"&amp;TEXT(($D633-$C633+1)+15,"00"),"")&amp;IF($C633&gt;=17,", "&amp;$A633&amp;"-"&amp;TEXT(($D633-$C633+1)+16,"00"),"")&amp;IF($C633&gt;=18,", "&amp;$A633&amp;"-"&amp;TEXT(($D633-$C633+1)+17,"00"),"")&amp;IF($C633&gt;=19,", "&amp;$A633&amp;"-"&amp;TEXT(($D633-$C633+1)+18,"00"),"")&amp;IF($C633&gt;=20,", "&amp;$A633&amp;"-"&amp;TEXT(($D633-$C633+1)+19,"00"),"")&amp;IF($C633&gt;=21,", "&amp;$A633&amp;"-"&amp;TEXT(($D633-$C633+1)+20,"00"),"")&amp;IF($C633&gt;=22,", "&amp;$A633&amp;"-"&amp;TEXT(($D633-$C633+1)+21,"00"),"")&amp;IF($C633&gt;=23,", "&amp;$A633&amp;"-"&amp;TEXT(($D633-$C633+1)+22,"00"),"")&amp;IF($C633&gt;=24,", "&amp;$A633&amp;"-"&amp;TEXT(($D633-$C633+1)+23,"00"),"")&amp;IF($C633&gt;=25,", "&amp;$A633&amp;"-"&amp;TEXT(($D633-$C633+1)+24,"00"),""))</f>
        <v/>
      </c>
      <c r="G633">
        <f>IF($A633="","",IF($E633=1,$F633,IF($F633="",$G632,IF($G632="",$F633,$G632&amp;", "&amp;$F633))))</f>
        <v/>
      </c>
      <c r="H633">
        <f>IF($A633="","",$A633&amp;" ("&amp;$C633&amp;")")</f>
        <v/>
      </c>
      <c r="I633">
        <f>IF($A633="","",IF($E633=1,$H633,$I632&amp;", "&amp;$H633))</f>
        <v/>
      </c>
      <c r="J633">
        <f>IF($A633="","",IF($E633=1,$B633,""))</f>
        <v/>
      </c>
      <c r="K633">
        <f>IF($A633="","",IF(COUNTIF($B$2:$B633,$B633)=COUNTIF($B$2:$B$1601,$B633),$B633,""))</f>
        <v/>
      </c>
    </row>
    <row r="634">
      <c r="A634">
        <f>IF('TMP Paste'!$E634="","",'TMP Paste'!$E634)</f>
        <v/>
      </c>
      <c r="B634">
        <f>IF($A634="","",COUNTIF('TMP Paste'!$B$2:$B634,"?*"))</f>
        <v/>
      </c>
      <c r="C634">
        <f>IF($A634="","",IFERROR('TMP Paste'!$M634*1,0))</f>
        <v/>
      </c>
      <c r="D634">
        <f>IF($A634="","",SUMIF($B$2:$B634,$B634,$C$2:$C634))</f>
        <v/>
      </c>
      <c r="E634">
        <f>IF($A634="",0,IF('TMP Paste'!$B634="",0,1))</f>
        <v/>
      </c>
      <c r="F634">
        <f>IF(OR($A634="",$C634&lt;1),"",$A634&amp;"-"&amp;TEXT(($D634-$C634+1),"00")&amp;IF($C634&gt;=2,", "&amp;$A634&amp;"-"&amp;TEXT(($D634-$C634+1)+1,"00"),"")&amp;IF($C634&gt;=3,", "&amp;$A634&amp;"-"&amp;TEXT(($D634-$C634+1)+2,"00"),"")&amp;IF($C634&gt;=4,", "&amp;$A634&amp;"-"&amp;TEXT(($D634-$C634+1)+3,"00"),"")&amp;IF($C634&gt;=5,", "&amp;$A634&amp;"-"&amp;TEXT(($D634-$C634+1)+4,"00"),"")&amp;IF($C634&gt;=6,", "&amp;$A634&amp;"-"&amp;TEXT(($D634-$C634+1)+5,"00"),"")&amp;IF($C634&gt;=7,", "&amp;$A634&amp;"-"&amp;TEXT(($D634-$C634+1)+6,"00"),"")&amp;IF($C634&gt;=8,", "&amp;$A634&amp;"-"&amp;TEXT(($D634-$C634+1)+7,"00"),"")&amp;IF($C634&gt;=9,", "&amp;$A634&amp;"-"&amp;TEXT(($D634-$C634+1)+8,"00"),"")&amp;IF($C634&gt;=10,", "&amp;$A634&amp;"-"&amp;TEXT(($D634-$C634+1)+9,"00"),"")&amp;IF($C634&gt;=11,", "&amp;$A634&amp;"-"&amp;TEXT(($D634-$C634+1)+10,"00"),"")&amp;IF($C634&gt;=12,", "&amp;$A634&amp;"-"&amp;TEXT(($D634-$C634+1)+11,"00"),"")&amp;IF($C634&gt;=13,", "&amp;$A634&amp;"-"&amp;TEXT(($D634-$C634+1)+12,"00"),"")&amp;IF($C634&gt;=14,", "&amp;$A634&amp;"-"&amp;TEXT(($D634-$C634+1)+13,"00"),"")&amp;IF($C634&gt;=15,", "&amp;$A634&amp;"-"&amp;TEXT(($D634-$C634+1)+14,"00"),"")&amp;IF($C634&gt;=16,", "&amp;$A634&amp;"-"&amp;TEXT(($D634-$C634+1)+15,"00"),"")&amp;IF($C634&gt;=17,", "&amp;$A634&amp;"-"&amp;TEXT(($D634-$C634+1)+16,"00"),"")&amp;IF($C634&gt;=18,", "&amp;$A634&amp;"-"&amp;TEXT(($D634-$C634+1)+17,"00"),"")&amp;IF($C634&gt;=19,", "&amp;$A634&amp;"-"&amp;TEXT(($D634-$C634+1)+18,"00"),"")&amp;IF($C634&gt;=20,", "&amp;$A634&amp;"-"&amp;TEXT(($D634-$C634+1)+19,"00"),"")&amp;IF($C634&gt;=21,", "&amp;$A634&amp;"-"&amp;TEXT(($D634-$C634+1)+20,"00"),"")&amp;IF($C634&gt;=22,", "&amp;$A634&amp;"-"&amp;TEXT(($D634-$C634+1)+21,"00"),"")&amp;IF($C634&gt;=23,", "&amp;$A634&amp;"-"&amp;TEXT(($D634-$C634+1)+22,"00"),"")&amp;IF($C634&gt;=24,", "&amp;$A634&amp;"-"&amp;TEXT(($D634-$C634+1)+23,"00"),"")&amp;IF($C634&gt;=25,", "&amp;$A634&amp;"-"&amp;TEXT(($D634-$C634+1)+24,"00"),""))</f>
        <v/>
      </c>
      <c r="G634">
        <f>IF($A634="","",IF($E634=1,$F634,IF($F634="",$G633,IF($G633="",$F634,$G633&amp;", "&amp;$F634))))</f>
        <v/>
      </c>
      <c r="H634">
        <f>IF($A634="","",$A634&amp;" ("&amp;$C634&amp;")")</f>
        <v/>
      </c>
      <c r="I634">
        <f>IF($A634="","",IF($E634=1,$H634,$I633&amp;", "&amp;$H634))</f>
        <v/>
      </c>
      <c r="J634">
        <f>IF($A634="","",IF($E634=1,$B634,""))</f>
        <v/>
      </c>
      <c r="K634">
        <f>IF($A634="","",IF(COUNTIF($B$2:$B634,$B634)=COUNTIF($B$2:$B$1601,$B634),$B634,""))</f>
        <v/>
      </c>
    </row>
    <row r="635">
      <c r="A635">
        <f>IF('TMP Paste'!$E635="","",'TMP Paste'!$E635)</f>
        <v/>
      </c>
      <c r="B635">
        <f>IF($A635="","",COUNTIF('TMP Paste'!$B$2:$B635,"?*"))</f>
        <v/>
      </c>
      <c r="C635">
        <f>IF($A635="","",IFERROR('TMP Paste'!$M635*1,0))</f>
        <v/>
      </c>
      <c r="D635">
        <f>IF($A635="","",SUMIF($B$2:$B635,$B635,$C$2:$C635))</f>
        <v/>
      </c>
      <c r="E635">
        <f>IF($A635="",0,IF('TMP Paste'!$B635="",0,1))</f>
        <v/>
      </c>
      <c r="F635">
        <f>IF(OR($A635="",$C635&lt;1),"",$A635&amp;"-"&amp;TEXT(($D635-$C635+1),"00")&amp;IF($C635&gt;=2,", "&amp;$A635&amp;"-"&amp;TEXT(($D635-$C635+1)+1,"00"),"")&amp;IF($C635&gt;=3,", "&amp;$A635&amp;"-"&amp;TEXT(($D635-$C635+1)+2,"00"),"")&amp;IF($C635&gt;=4,", "&amp;$A635&amp;"-"&amp;TEXT(($D635-$C635+1)+3,"00"),"")&amp;IF($C635&gt;=5,", "&amp;$A635&amp;"-"&amp;TEXT(($D635-$C635+1)+4,"00"),"")&amp;IF($C635&gt;=6,", "&amp;$A635&amp;"-"&amp;TEXT(($D635-$C635+1)+5,"00"),"")&amp;IF($C635&gt;=7,", "&amp;$A635&amp;"-"&amp;TEXT(($D635-$C635+1)+6,"00"),"")&amp;IF($C635&gt;=8,", "&amp;$A635&amp;"-"&amp;TEXT(($D635-$C635+1)+7,"00"),"")&amp;IF($C635&gt;=9,", "&amp;$A635&amp;"-"&amp;TEXT(($D635-$C635+1)+8,"00"),"")&amp;IF($C635&gt;=10,", "&amp;$A635&amp;"-"&amp;TEXT(($D635-$C635+1)+9,"00"),"")&amp;IF($C635&gt;=11,", "&amp;$A635&amp;"-"&amp;TEXT(($D635-$C635+1)+10,"00"),"")&amp;IF($C635&gt;=12,", "&amp;$A635&amp;"-"&amp;TEXT(($D635-$C635+1)+11,"00"),"")&amp;IF($C635&gt;=13,", "&amp;$A635&amp;"-"&amp;TEXT(($D635-$C635+1)+12,"00"),"")&amp;IF($C635&gt;=14,", "&amp;$A635&amp;"-"&amp;TEXT(($D635-$C635+1)+13,"00"),"")&amp;IF($C635&gt;=15,", "&amp;$A635&amp;"-"&amp;TEXT(($D635-$C635+1)+14,"00"),"")&amp;IF($C635&gt;=16,", "&amp;$A635&amp;"-"&amp;TEXT(($D635-$C635+1)+15,"00"),"")&amp;IF($C635&gt;=17,", "&amp;$A635&amp;"-"&amp;TEXT(($D635-$C635+1)+16,"00"),"")&amp;IF($C635&gt;=18,", "&amp;$A635&amp;"-"&amp;TEXT(($D635-$C635+1)+17,"00"),"")&amp;IF($C635&gt;=19,", "&amp;$A635&amp;"-"&amp;TEXT(($D635-$C635+1)+18,"00"),"")&amp;IF($C635&gt;=20,", "&amp;$A635&amp;"-"&amp;TEXT(($D635-$C635+1)+19,"00"),"")&amp;IF($C635&gt;=21,", "&amp;$A635&amp;"-"&amp;TEXT(($D635-$C635+1)+20,"00"),"")&amp;IF($C635&gt;=22,", "&amp;$A635&amp;"-"&amp;TEXT(($D635-$C635+1)+21,"00"),"")&amp;IF($C635&gt;=23,", "&amp;$A635&amp;"-"&amp;TEXT(($D635-$C635+1)+22,"00"),"")&amp;IF($C635&gt;=24,", "&amp;$A635&amp;"-"&amp;TEXT(($D635-$C635+1)+23,"00"),"")&amp;IF($C635&gt;=25,", "&amp;$A635&amp;"-"&amp;TEXT(($D635-$C635+1)+24,"00"),""))</f>
        <v/>
      </c>
      <c r="G635">
        <f>IF($A635="","",IF($E635=1,$F635,IF($F635="",$G634,IF($G634="",$F635,$G634&amp;", "&amp;$F635))))</f>
        <v/>
      </c>
      <c r="H635">
        <f>IF($A635="","",$A635&amp;" ("&amp;$C635&amp;")")</f>
        <v/>
      </c>
      <c r="I635">
        <f>IF($A635="","",IF($E635=1,$H635,$I634&amp;", "&amp;$H635))</f>
        <v/>
      </c>
      <c r="J635">
        <f>IF($A635="","",IF($E635=1,$B635,""))</f>
        <v/>
      </c>
      <c r="K635">
        <f>IF($A635="","",IF(COUNTIF($B$2:$B635,$B635)=COUNTIF($B$2:$B$1601,$B635),$B635,""))</f>
        <v/>
      </c>
    </row>
    <row r="636">
      <c r="A636">
        <f>IF('TMP Paste'!$E636="","",'TMP Paste'!$E636)</f>
        <v/>
      </c>
      <c r="B636">
        <f>IF($A636="","",COUNTIF('TMP Paste'!$B$2:$B636,"?*"))</f>
        <v/>
      </c>
      <c r="C636">
        <f>IF($A636="","",IFERROR('TMP Paste'!$M636*1,0))</f>
        <v/>
      </c>
      <c r="D636">
        <f>IF($A636="","",SUMIF($B$2:$B636,$B636,$C$2:$C636))</f>
        <v/>
      </c>
      <c r="E636">
        <f>IF($A636="",0,IF('TMP Paste'!$B636="",0,1))</f>
        <v/>
      </c>
      <c r="F636">
        <f>IF(OR($A636="",$C636&lt;1),"",$A636&amp;"-"&amp;TEXT(($D636-$C636+1),"00")&amp;IF($C636&gt;=2,", "&amp;$A636&amp;"-"&amp;TEXT(($D636-$C636+1)+1,"00"),"")&amp;IF($C636&gt;=3,", "&amp;$A636&amp;"-"&amp;TEXT(($D636-$C636+1)+2,"00"),"")&amp;IF($C636&gt;=4,", "&amp;$A636&amp;"-"&amp;TEXT(($D636-$C636+1)+3,"00"),"")&amp;IF($C636&gt;=5,", "&amp;$A636&amp;"-"&amp;TEXT(($D636-$C636+1)+4,"00"),"")&amp;IF($C636&gt;=6,", "&amp;$A636&amp;"-"&amp;TEXT(($D636-$C636+1)+5,"00"),"")&amp;IF($C636&gt;=7,", "&amp;$A636&amp;"-"&amp;TEXT(($D636-$C636+1)+6,"00"),"")&amp;IF($C636&gt;=8,", "&amp;$A636&amp;"-"&amp;TEXT(($D636-$C636+1)+7,"00"),"")&amp;IF($C636&gt;=9,", "&amp;$A636&amp;"-"&amp;TEXT(($D636-$C636+1)+8,"00"),"")&amp;IF($C636&gt;=10,", "&amp;$A636&amp;"-"&amp;TEXT(($D636-$C636+1)+9,"00"),"")&amp;IF($C636&gt;=11,", "&amp;$A636&amp;"-"&amp;TEXT(($D636-$C636+1)+10,"00"),"")&amp;IF($C636&gt;=12,", "&amp;$A636&amp;"-"&amp;TEXT(($D636-$C636+1)+11,"00"),"")&amp;IF($C636&gt;=13,", "&amp;$A636&amp;"-"&amp;TEXT(($D636-$C636+1)+12,"00"),"")&amp;IF($C636&gt;=14,", "&amp;$A636&amp;"-"&amp;TEXT(($D636-$C636+1)+13,"00"),"")&amp;IF($C636&gt;=15,", "&amp;$A636&amp;"-"&amp;TEXT(($D636-$C636+1)+14,"00"),"")&amp;IF($C636&gt;=16,", "&amp;$A636&amp;"-"&amp;TEXT(($D636-$C636+1)+15,"00"),"")&amp;IF($C636&gt;=17,", "&amp;$A636&amp;"-"&amp;TEXT(($D636-$C636+1)+16,"00"),"")&amp;IF($C636&gt;=18,", "&amp;$A636&amp;"-"&amp;TEXT(($D636-$C636+1)+17,"00"),"")&amp;IF($C636&gt;=19,", "&amp;$A636&amp;"-"&amp;TEXT(($D636-$C636+1)+18,"00"),"")&amp;IF($C636&gt;=20,", "&amp;$A636&amp;"-"&amp;TEXT(($D636-$C636+1)+19,"00"),"")&amp;IF($C636&gt;=21,", "&amp;$A636&amp;"-"&amp;TEXT(($D636-$C636+1)+20,"00"),"")&amp;IF($C636&gt;=22,", "&amp;$A636&amp;"-"&amp;TEXT(($D636-$C636+1)+21,"00"),"")&amp;IF($C636&gt;=23,", "&amp;$A636&amp;"-"&amp;TEXT(($D636-$C636+1)+22,"00"),"")&amp;IF($C636&gt;=24,", "&amp;$A636&amp;"-"&amp;TEXT(($D636-$C636+1)+23,"00"),"")&amp;IF($C636&gt;=25,", "&amp;$A636&amp;"-"&amp;TEXT(($D636-$C636+1)+24,"00"),""))</f>
        <v/>
      </c>
      <c r="G636">
        <f>IF($A636="","",IF($E636=1,$F636,IF($F636="",$G635,IF($G635="",$F636,$G635&amp;", "&amp;$F636))))</f>
        <v/>
      </c>
      <c r="H636">
        <f>IF($A636="","",$A636&amp;" ("&amp;$C636&amp;")")</f>
        <v/>
      </c>
      <c r="I636">
        <f>IF($A636="","",IF($E636=1,$H636,$I635&amp;", "&amp;$H636))</f>
        <v/>
      </c>
      <c r="J636">
        <f>IF($A636="","",IF($E636=1,$B636,""))</f>
        <v/>
      </c>
      <c r="K636">
        <f>IF($A636="","",IF(COUNTIF($B$2:$B636,$B636)=COUNTIF($B$2:$B$1601,$B636),$B636,""))</f>
        <v/>
      </c>
    </row>
    <row r="637">
      <c r="A637">
        <f>IF('TMP Paste'!$E637="","",'TMP Paste'!$E637)</f>
        <v/>
      </c>
      <c r="B637">
        <f>IF($A637="","",COUNTIF('TMP Paste'!$B$2:$B637,"?*"))</f>
        <v/>
      </c>
      <c r="C637">
        <f>IF($A637="","",IFERROR('TMP Paste'!$M637*1,0))</f>
        <v/>
      </c>
      <c r="D637">
        <f>IF($A637="","",SUMIF($B$2:$B637,$B637,$C$2:$C637))</f>
        <v/>
      </c>
      <c r="E637">
        <f>IF($A637="",0,IF('TMP Paste'!$B637="",0,1))</f>
        <v/>
      </c>
      <c r="F637">
        <f>IF(OR($A637="",$C637&lt;1),"",$A637&amp;"-"&amp;TEXT(($D637-$C637+1),"00")&amp;IF($C637&gt;=2,", "&amp;$A637&amp;"-"&amp;TEXT(($D637-$C637+1)+1,"00"),"")&amp;IF($C637&gt;=3,", "&amp;$A637&amp;"-"&amp;TEXT(($D637-$C637+1)+2,"00"),"")&amp;IF($C637&gt;=4,", "&amp;$A637&amp;"-"&amp;TEXT(($D637-$C637+1)+3,"00"),"")&amp;IF($C637&gt;=5,", "&amp;$A637&amp;"-"&amp;TEXT(($D637-$C637+1)+4,"00"),"")&amp;IF($C637&gt;=6,", "&amp;$A637&amp;"-"&amp;TEXT(($D637-$C637+1)+5,"00"),"")&amp;IF($C637&gt;=7,", "&amp;$A637&amp;"-"&amp;TEXT(($D637-$C637+1)+6,"00"),"")&amp;IF($C637&gt;=8,", "&amp;$A637&amp;"-"&amp;TEXT(($D637-$C637+1)+7,"00"),"")&amp;IF($C637&gt;=9,", "&amp;$A637&amp;"-"&amp;TEXT(($D637-$C637+1)+8,"00"),"")&amp;IF($C637&gt;=10,", "&amp;$A637&amp;"-"&amp;TEXT(($D637-$C637+1)+9,"00"),"")&amp;IF($C637&gt;=11,", "&amp;$A637&amp;"-"&amp;TEXT(($D637-$C637+1)+10,"00"),"")&amp;IF($C637&gt;=12,", "&amp;$A637&amp;"-"&amp;TEXT(($D637-$C637+1)+11,"00"),"")&amp;IF($C637&gt;=13,", "&amp;$A637&amp;"-"&amp;TEXT(($D637-$C637+1)+12,"00"),"")&amp;IF($C637&gt;=14,", "&amp;$A637&amp;"-"&amp;TEXT(($D637-$C637+1)+13,"00"),"")&amp;IF($C637&gt;=15,", "&amp;$A637&amp;"-"&amp;TEXT(($D637-$C637+1)+14,"00"),"")&amp;IF($C637&gt;=16,", "&amp;$A637&amp;"-"&amp;TEXT(($D637-$C637+1)+15,"00"),"")&amp;IF($C637&gt;=17,", "&amp;$A637&amp;"-"&amp;TEXT(($D637-$C637+1)+16,"00"),"")&amp;IF($C637&gt;=18,", "&amp;$A637&amp;"-"&amp;TEXT(($D637-$C637+1)+17,"00"),"")&amp;IF($C637&gt;=19,", "&amp;$A637&amp;"-"&amp;TEXT(($D637-$C637+1)+18,"00"),"")&amp;IF($C637&gt;=20,", "&amp;$A637&amp;"-"&amp;TEXT(($D637-$C637+1)+19,"00"),"")&amp;IF($C637&gt;=21,", "&amp;$A637&amp;"-"&amp;TEXT(($D637-$C637+1)+20,"00"),"")&amp;IF($C637&gt;=22,", "&amp;$A637&amp;"-"&amp;TEXT(($D637-$C637+1)+21,"00"),"")&amp;IF($C637&gt;=23,", "&amp;$A637&amp;"-"&amp;TEXT(($D637-$C637+1)+22,"00"),"")&amp;IF($C637&gt;=24,", "&amp;$A637&amp;"-"&amp;TEXT(($D637-$C637+1)+23,"00"),"")&amp;IF($C637&gt;=25,", "&amp;$A637&amp;"-"&amp;TEXT(($D637-$C637+1)+24,"00"),""))</f>
        <v/>
      </c>
      <c r="G637">
        <f>IF($A637="","",IF($E637=1,$F637,IF($F637="",$G636,IF($G636="",$F637,$G636&amp;", "&amp;$F637))))</f>
        <v/>
      </c>
      <c r="H637">
        <f>IF($A637="","",$A637&amp;" ("&amp;$C637&amp;")")</f>
        <v/>
      </c>
      <c r="I637">
        <f>IF($A637="","",IF($E637=1,$H637,$I636&amp;", "&amp;$H637))</f>
        <v/>
      </c>
      <c r="J637">
        <f>IF($A637="","",IF($E637=1,$B637,""))</f>
        <v/>
      </c>
      <c r="K637">
        <f>IF($A637="","",IF(COUNTIF($B$2:$B637,$B637)=COUNTIF($B$2:$B$1601,$B637),$B637,""))</f>
        <v/>
      </c>
    </row>
    <row r="638">
      <c r="A638">
        <f>IF('TMP Paste'!$E638="","",'TMP Paste'!$E638)</f>
        <v/>
      </c>
      <c r="B638">
        <f>IF($A638="","",COUNTIF('TMP Paste'!$B$2:$B638,"?*"))</f>
        <v/>
      </c>
      <c r="C638">
        <f>IF($A638="","",IFERROR('TMP Paste'!$M638*1,0))</f>
        <v/>
      </c>
      <c r="D638">
        <f>IF($A638="","",SUMIF($B$2:$B638,$B638,$C$2:$C638))</f>
        <v/>
      </c>
      <c r="E638">
        <f>IF($A638="",0,IF('TMP Paste'!$B638="",0,1))</f>
        <v/>
      </c>
      <c r="F638">
        <f>IF(OR($A638="",$C638&lt;1),"",$A638&amp;"-"&amp;TEXT(($D638-$C638+1),"00")&amp;IF($C638&gt;=2,", "&amp;$A638&amp;"-"&amp;TEXT(($D638-$C638+1)+1,"00"),"")&amp;IF($C638&gt;=3,", "&amp;$A638&amp;"-"&amp;TEXT(($D638-$C638+1)+2,"00"),"")&amp;IF($C638&gt;=4,", "&amp;$A638&amp;"-"&amp;TEXT(($D638-$C638+1)+3,"00"),"")&amp;IF($C638&gt;=5,", "&amp;$A638&amp;"-"&amp;TEXT(($D638-$C638+1)+4,"00"),"")&amp;IF($C638&gt;=6,", "&amp;$A638&amp;"-"&amp;TEXT(($D638-$C638+1)+5,"00"),"")&amp;IF($C638&gt;=7,", "&amp;$A638&amp;"-"&amp;TEXT(($D638-$C638+1)+6,"00"),"")&amp;IF($C638&gt;=8,", "&amp;$A638&amp;"-"&amp;TEXT(($D638-$C638+1)+7,"00"),"")&amp;IF($C638&gt;=9,", "&amp;$A638&amp;"-"&amp;TEXT(($D638-$C638+1)+8,"00"),"")&amp;IF($C638&gt;=10,", "&amp;$A638&amp;"-"&amp;TEXT(($D638-$C638+1)+9,"00"),"")&amp;IF($C638&gt;=11,", "&amp;$A638&amp;"-"&amp;TEXT(($D638-$C638+1)+10,"00"),"")&amp;IF($C638&gt;=12,", "&amp;$A638&amp;"-"&amp;TEXT(($D638-$C638+1)+11,"00"),"")&amp;IF($C638&gt;=13,", "&amp;$A638&amp;"-"&amp;TEXT(($D638-$C638+1)+12,"00"),"")&amp;IF($C638&gt;=14,", "&amp;$A638&amp;"-"&amp;TEXT(($D638-$C638+1)+13,"00"),"")&amp;IF($C638&gt;=15,", "&amp;$A638&amp;"-"&amp;TEXT(($D638-$C638+1)+14,"00"),"")&amp;IF($C638&gt;=16,", "&amp;$A638&amp;"-"&amp;TEXT(($D638-$C638+1)+15,"00"),"")&amp;IF($C638&gt;=17,", "&amp;$A638&amp;"-"&amp;TEXT(($D638-$C638+1)+16,"00"),"")&amp;IF($C638&gt;=18,", "&amp;$A638&amp;"-"&amp;TEXT(($D638-$C638+1)+17,"00"),"")&amp;IF($C638&gt;=19,", "&amp;$A638&amp;"-"&amp;TEXT(($D638-$C638+1)+18,"00"),"")&amp;IF($C638&gt;=20,", "&amp;$A638&amp;"-"&amp;TEXT(($D638-$C638+1)+19,"00"),"")&amp;IF($C638&gt;=21,", "&amp;$A638&amp;"-"&amp;TEXT(($D638-$C638+1)+20,"00"),"")&amp;IF($C638&gt;=22,", "&amp;$A638&amp;"-"&amp;TEXT(($D638-$C638+1)+21,"00"),"")&amp;IF($C638&gt;=23,", "&amp;$A638&amp;"-"&amp;TEXT(($D638-$C638+1)+22,"00"),"")&amp;IF($C638&gt;=24,", "&amp;$A638&amp;"-"&amp;TEXT(($D638-$C638+1)+23,"00"),"")&amp;IF($C638&gt;=25,", "&amp;$A638&amp;"-"&amp;TEXT(($D638-$C638+1)+24,"00"),""))</f>
        <v/>
      </c>
      <c r="G638">
        <f>IF($A638="","",IF($E638=1,$F638,IF($F638="",$G637,IF($G637="",$F638,$G637&amp;", "&amp;$F638))))</f>
        <v/>
      </c>
      <c r="H638">
        <f>IF($A638="","",$A638&amp;" ("&amp;$C638&amp;")")</f>
        <v/>
      </c>
      <c r="I638">
        <f>IF($A638="","",IF($E638=1,$H638,$I637&amp;", "&amp;$H638))</f>
        <v/>
      </c>
      <c r="J638">
        <f>IF($A638="","",IF($E638=1,$B638,""))</f>
        <v/>
      </c>
      <c r="K638">
        <f>IF($A638="","",IF(COUNTIF($B$2:$B638,$B638)=COUNTIF($B$2:$B$1601,$B638),$B638,""))</f>
        <v/>
      </c>
    </row>
    <row r="639">
      <c r="A639">
        <f>IF('TMP Paste'!$E639="","",'TMP Paste'!$E639)</f>
        <v/>
      </c>
      <c r="B639">
        <f>IF($A639="","",COUNTIF('TMP Paste'!$B$2:$B639,"?*"))</f>
        <v/>
      </c>
      <c r="C639">
        <f>IF($A639="","",IFERROR('TMP Paste'!$M639*1,0))</f>
        <v/>
      </c>
      <c r="D639">
        <f>IF($A639="","",SUMIF($B$2:$B639,$B639,$C$2:$C639))</f>
        <v/>
      </c>
      <c r="E639">
        <f>IF($A639="",0,IF('TMP Paste'!$B639="",0,1))</f>
        <v/>
      </c>
      <c r="F639">
        <f>IF(OR($A639="",$C639&lt;1),"",$A639&amp;"-"&amp;TEXT(($D639-$C639+1),"00")&amp;IF($C639&gt;=2,", "&amp;$A639&amp;"-"&amp;TEXT(($D639-$C639+1)+1,"00"),"")&amp;IF($C639&gt;=3,", "&amp;$A639&amp;"-"&amp;TEXT(($D639-$C639+1)+2,"00"),"")&amp;IF($C639&gt;=4,", "&amp;$A639&amp;"-"&amp;TEXT(($D639-$C639+1)+3,"00"),"")&amp;IF($C639&gt;=5,", "&amp;$A639&amp;"-"&amp;TEXT(($D639-$C639+1)+4,"00"),"")&amp;IF($C639&gt;=6,", "&amp;$A639&amp;"-"&amp;TEXT(($D639-$C639+1)+5,"00"),"")&amp;IF($C639&gt;=7,", "&amp;$A639&amp;"-"&amp;TEXT(($D639-$C639+1)+6,"00"),"")&amp;IF($C639&gt;=8,", "&amp;$A639&amp;"-"&amp;TEXT(($D639-$C639+1)+7,"00"),"")&amp;IF($C639&gt;=9,", "&amp;$A639&amp;"-"&amp;TEXT(($D639-$C639+1)+8,"00"),"")&amp;IF($C639&gt;=10,", "&amp;$A639&amp;"-"&amp;TEXT(($D639-$C639+1)+9,"00"),"")&amp;IF($C639&gt;=11,", "&amp;$A639&amp;"-"&amp;TEXT(($D639-$C639+1)+10,"00"),"")&amp;IF($C639&gt;=12,", "&amp;$A639&amp;"-"&amp;TEXT(($D639-$C639+1)+11,"00"),"")&amp;IF($C639&gt;=13,", "&amp;$A639&amp;"-"&amp;TEXT(($D639-$C639+1)+12,"00"),"")&amp;IF($C639&gt;=14,", "&amp;$A639&amp;"-"&amp;TEXT(($D639-$C639+1)+13,"00"),"")&amp;IF($C639&gt;=15,", "&amp;$A639&amp;"-"&amp;TEXT(($D639-$C639+1)+14,"00"),"")&amp;IF($C639&gt;=16,", "&amp;$A639&amp;"-"&amp;TEXT(($D639-$C639+1)+15,"00"),"")&amp;IF($C639&gt;=17,", "&amp;$A639&amp;"-"&amp;TEXT(($D639-$C639+1)+16,"00"),"")&amp;IF($C639&gt;=18,", "&amp;$A639&amp;"-"&amp;TEXT(($D639-$C639+1)+17,"00"),"")&amp;IF($C639&gt;=19,", "&amp;$A639&amp;"-"&amp;TEXT(($D639-$C639+1)+18,"00"),"")&amp;IF($C639&gt;=20,", "&amp;$A639&amp;"-"&amp;TEXT(($D639-$C639+1)+19,"00"),"")&amp;IF($C639&gt;=21,", "&amp;$A639&amp;"-"&amp;TEXT(($D639-$C639+1)+20,"00"),"")&amp;IF($C639&gt;=22,", "&amp;$A639&amp;"-"&amp;TEXT(($D639-$C639+1)+21,"00"),"")&amp;IF($C639&gt;=23,", "&amp;$A639&amp;"-"&amp;TEXT(($D639-$C639+1)+22,"00"),"")&amp;IF($C639&gt;=24,", "&amp;$A639&amp;"-"&amp;TEXT(($D639-$C639+1)+23,"00"),"")&amp;IF($C639&gt;=25,", "&amp;$A639&amp;"-"&amp;TEXT(($D639-$C639+1)+24,"00"),""))</f>
        <v/>
      </c>
      <c r="G639">
        <f>IF($A639="","",IF($E639=1,$F639,IF($F639="",$G638,IF($G638="",$F639,$G638&amp;", "&amp;$F639))))</f>
        <v/>
      </c>
      <c r="H639">
        <f>IF($A639="","",$A639&amp;" ("&amp;$C639&amp;")")</f>
        <v/>
      </c>
      <c r="I639">
        <f>IF($A639="","",IF($E639=1,$H639,$I638&amp;", "&amp;$H639))</f>
        <v/>
      </c>
      <c r="J639">
        <f>IF($A639="","",IF($E639=1,$B639,""))</f>
        <v/>
      </c>
      <c r="K639">
        <f>IF($A639="","",IF(COUNTIF($B$2:$B639,$B639)=COUNTIF($B$2:$B$1601,$B639),$B639,""))</f>
        <v/>
      </c>
    </row>
    <row r="640">
      <c r="A640">
        <f>IF('TMP Paste'!$E640="","",'TMP Paste'!$E640)</f>
        <v/>
      </c>
      <c r="B640">
        <f>IF($A640="","",COUNTIF('TMP Paste'!$B$2:$B640,"?*"))</f>
        <v/>
      </c>
      <c r="C640">
        <f>IF($A640="","",IFERROR('TMP Paste'!$M640*1,0))</f>
        <v/>
      </c>
      <c r="D640">
        <f>IF($A640="","",SUMIF($B$2:$B640,$B640,$C$2:$C640))</f>
        <v/>
      </c>
      <c r="E640">
        <f>IF($A640="",0,IF('TMP Paste'!$B640="",0,1))</f>
        <v/>
      </c>
      <c r="F640">
        <f>IF(OR($A640="",$C640&lt;1),"",$A640&amp;"-"&amp;TEXT(($D640-$C640+1),"00")&amp;IF($C640&gt;=2,", "&amp;$A640&amp;"-"&amp;TEXT(($D640-$C640+1)+1,"00"),"")&amp;IF($C640&gt;=3,", "&amp;$A640&amp;"-"&amp;TEXT(($D640-$C640+1)+2,"00"),"")&amp;IF($C640&gt;=4,", "&amp;$A640&amp;"-"&amp;TEXT(($D640-$C640+1)+3,"00"),"")&amp;IF($C640&gt;=5,", "&amp;$A640&amp;"-"&amp;TEXT(($D640-$C640+1)+4,"00"),"")&amp;IF($C640&gt;=6,", "&amp;$A640&amp;"-"&amp;TEXT(($D640-$C640+1)+5,"00"),"")&amp;IF($C640&gt;=7,", "&amp;$A640&amp;"-"&amp;TEXT(($D640-$C640+1)+6,"00"),"")&amp;IF($C640&gt;=8,", "&amp;$A640&amp;"-"&amp;TEXT(($D640-$C640+1)+7,"00"),"")&amp;IF($C640&gt;=9,", "&amp;$A640&amp;"-"&amp;TEXT(($D640-$C640+1)+8,"00"),"")&amp;IF($C640&gt;=10,", "&amp;$A640&amp;"-"&amp;TEXT(($D640-$C640+1)+9,"00"),"")&amp;IF($C640&gt;=11,", "&amp;$A640&amp;"-"&amp;TEXT(($D640-$C640+1)+10,"00"),"")&amp;IF($C640&gt;=12,", "&amp;$A640&amp;"-"&amp;TEXT(($D640-$C640+1)+11,"00"),"")&amp;IF($C640&gt;=13,", "&amp;$A640&amp;"-"&amp;TEXT(($D640-$C640+1)+12,"00"),"")&amp;IF($C640&gt;=14,", "&amp;$A640&amp;"-"&amp;TEXT(($D640-$C640+1)+13,"00"),"")&amp;IF($C640&gt;=15,", "&amp;$A640&amp;"-"&amp;TEXT(($D640-$C640+1)+14,"00"),"")&amp;IF($C640&gt;=16,", "&amp;$A640&amp;"-"&amp;TEXT(($D640-$C640+1)+15,"00"),"")&amp;IF($C640&gt;=17,", "&amp;$A640&amp;"-"&amp;TEXT(($D640-$C640+1)+16,"00"),"")&amp;IF($C640&gt;=18,", "&amp;$A640&amp;"-"&amp;TEXT(($D640-$C640+1)+17,"00"),"")&amp;IF($C640&gt;=19,", "&amp;$A640&amp;"-"&amp;TEXT(($D640-$C640+1)+18,"00"),"")&amp;IF($C640&gt;=20,", "&amp;$A640&amp;"-"&amp;TEXT(($D640-$C640+1)+19,"00"),"")&amp;IF($C640&gt;=21,", "&amp;$A640&amp;"-"&amp;TEXT(($D640-$C640+1)+20,"00"),"")&amp;IF($C640&gt;=22,", "&amp;$A640&amp;"-"&amp;TEXT(($D640-$C640+1)+21,"00"),"")&amp;IF($C640&gt;=23,", "&amp;$A640&amp;"-"&amp;TEXT(($D640-$C640+1)+22,"00"),"")&amp;IF($C640&gt;=24,", "&amp;$A640&amp;"-"&amp;TEXT(($D640-$C640+1)+23,"00"),"")&amp;IF($C640&gt;=25,", "&amp;$A640&amp;"-"&amp;TEXT(($D640-$C640+1)+24,"00"),""))</f>
        <v/>
      </c>
      <c r="G640">
        <f>IF($A640="","",IF($E640=1,$F640,IF($F640="",$G639,IF($G639="",$F640,$G639&amp;", "&amp;$F640))))</f>
        <v/>
      </c>
      <c r="H640">
        <f>IF($A640="","",$A640&amp;" ("&amp;$C640&amp;")")</f>
        <v/>
      </c>
      <c r="I640">
        <f>IF($A640="","",IF($E640=1,$H640,$I639&amp;", "&amp;$H640))</f>
        <v/>
      </c>
      <c r="J640">
        <f>IF($A640="","",IF($E640=1,$B640,""))</f>
        <v/>
      </c>
      <c r="K640">
        <f>IF($A640="","",IF(COUNTIF($B$2:$B640,$B640)=COUNTIF($B$2:$B$1601,$B640),$B640,""))</f>
        <v/>
      </c>
    </row>
    <row r="641">
      <c r="A641">
        <f>IF('TMP Paste'!$E641="","",'TMP Paste'!$E641)</f>
        <v/>
      </c>
      <c r="B641">
        <f>IF($A641="","",COUNTIF('TMP Paste'!$B$2:$B641,"?*"))</f>
        <v/>
      </c>
      <c r="C641">
        <f>IF($A641="","",IFERROR('TMP Paste'!$M641*1,0))</f>
        <v/>
      </c>
      <c r="D641">
        <f>IF($A641="","",SUMIF($B$2:$B641,$B641,$C$2:$C641))</f>
        <v/>
      </c>
      <c r="E641">
        <f>IF($A641="",0,IF('TMP Paste'!$B641="",0,1))</f>
        <v/>
      </c>
      <c r="F641">
        <f>IF(OR($A641="",$C641&lt;1),"",$A641&amp;"-"&amp;TEXT(($D641-$C641+1),"00")&amp;IF($C641&gt;=2,", "&amp;$A641&amp;"-"&amp;TEXT(($D641-$C641+1)+1,"00"),"")&amp;IF($C641&gt;=3,", "&amp;$A641&amp;"-"&amp;TEXT(($D641-$C641+1)+2,"00"),"")&amp;IF($C641&gt;=4,", "&amp;$A641&amp;"-"&amp;TEXT(($D641-$C641+1)+3,"00"),"")&amp;IF($C641&gt;=5,", "&amp;$A641&amp;"-"&amp;TEXT(($D641-$C641+1)+4,"00"),"")&amp;IF($C641&gt;=6,", "&amp;$A641&amp;"-"&amp;TEXT(($D641-$C641+1)+5,"00"),"")&amp;IF($C641&gt;=7,", "&amp;$A641&amp;"-"&amp;TEXT(($D641-$C641+1)+6,"00"),"")&amp;IF($C641&gt;=8,", "&amp;$A641&amp;"-"&amp;TEXT(($D641-$C641+1)+7,"00"),"")&amp;IF($C641&gt;=9,", "&amp;$A641&amp;"-"&amp;TEXT(($D641-$C641+1)+8,"00"),"")&amp;IF($C641&gt;=10,", "&amp;$A641&amp;"-"&amp;TEXT(($D641-$C641+1)+9,"00"),"")&amp;IF($C641&gt;=11,", "&amp;$A641&amp;"-"&amp;TEXT(($D641-$C641+1)+10,"00"),"")&amp;IF($C641&gt;=12,", "&amp;$A641&amp;"-"&amp;TEXT(($D641-$C641+1)+11,"00"),"")&amp;IF($C641&gt;=13,", "&amp;$A641&amp;"-"&amp;TEXT(($D641-$C641+1)+12,"00"),"")&amp;IF($C641&gt;=14,", "&amp;$A641&amp;"-"&amp;TEXT(($D641-$C641+1)+13,"00"),"")&amp;IF($C641&gt;=15,", "&amp;$A641&amp;"-"&amp;TEXT(($D641-$C641+1)+14,"00"),"")&amp;IF($C641&gt;=16,", "&amp;$A641&amp;"-"&amp;TEXT(($D641-$C641+1)+15,"00"),"")&amp;IF($C641&gt;=17,", "&amp;$A641&amp;"-"&amp;TEXT(($D641-$C641+1)+16,"00"),"")&amp;IF($C641&gt;=18,", "&amp;$A641&amp;"-"&amp;TEXT(($D641-$C641+1)+17,"00"),"")&amp;IF($C641&gt;=19,", "&amp;$A641&amp;"-"&amp;TEXT(($D641-$C641+1)+18,"00"),"")&amp;IF($C641&gt;=20,", "&amp;$A641&amp;"-"&amp;TEXT(($D641-$C641+1)+19,"00"),"")&amp;IF($C641&gt;=21,", "&amp;$A641&amp;"-"&amp;TEXT(($D641-$C641+1)+20,"00"),"")&amp;IF($C641&gt;=22,", "&amp;$A641&amp;"-"&amp;TEXT(($D641-$C641+1)+21,"00"),"")&amp;IF($C641&gt;=23,", "&amp;$A641&amp;"-"&amp;TEXT(($D641-$C641+1)+22,"00"),"")&amp;IF($C641&gt;=24,", "&amp;$A641&amp;"-"&amp;TEXT(($D641-$C641+1)+23,"00"),"")&amp;IF($C641&gt;=25,", "&amp;$A641&amp;"-"&amp;TEXT(($D641-$C641+1)+24,"00"),""))</f>
        <v/>
      </c>
      <c r="G641">
        <f>IF($A641="","",IF($E641=1,$F641,IF($F641="",$G640,IF($G640="",$F641,$G640&amp;", "&amp;$F641))))</f>
        <v/>
      </c>
      <c r="H641">
        <f>IF($A641="","",$A641&amp;" ("&amp;$C641&amp;")")</f>
        <v/>
      </c>
      <c r="I641">
        <f>IF($A641="","",IF($E641=1,$H641,$I640&amp;", "&amp;$H641))</f>
        <v/>
      </c>
      <c r="J641">
        <f>IF($A641="","",IF($E641=1,$B641,""))</f>
        <v/>
      </c>
      <c r="K641">
        <f>IF($A641="","",IF(COUNTIF($B$2:$B641,$B641)=COUNTIF($B$2:$B$1601,$B641),$B641,""))</f>
        <v/>
      </c>
    </row>
    <row r="642">
      <c r="A642">
        <f>IF('TMP Paste'!$E642="","",'TMP Paste'!$E642)</f>
        <v/>
      </c>
      <c r="B642">
        <f>IF($A642="","",COUNTIF('TMP Paste'!$B$2:$B642,"?*"))</f>
        <v/>
      </c>
      <c r="C642">
        <f>IF($A642="","",IFERROR('TMP Paste'!$M642*1,0))</f>
        <v/>
      </c>
      <c r="D642">
        <f>IF($A642="","",SUMIF($B$2:$B642,$B642,$C$2:$C642))</f>
        <v/>
      </c>
      <c r="E642">
        <f>IF($A642="",0,IF('TMP Paste'!$B642="",0,1))</f>
        <v/>
      </c>
      <c r="F642">
        <f>IF(OR($A642="",$C642&lt;1),"",$A642&amp;"-"&amp;TEXT(($D642-$C642+1),"00")&amp;IF($C642&gt;=2,", "&amp;$A642&amp;"-"&amp;TEXT(($D642-$C642+1)+1,"00"),"")&amp;IF($C642&gt;=3,", "&amp;$A642&amp;"-"&amp;TEXT(($D642-$C642+1)+2,"00"),"")&amp;IF($C642&gt;=4,", "&amp;$A642&amp;"-"&amp;TEXT(($D642-$C642+1)+3,"00"),"")&amp;IF($C642&gt;=5,", "&amp;$A642&amp;"-"&amp;TEXT(($D642-$C642+1)+4,"00"),"")&amp;IF($C642&gt;=6,", "&amp;$A642&amp;"-"&amp;TEXT(($D642-$C642+1)+5,"00"),"")&amp;IF($C642&gt;=7,", "&amp;$A642&amp;"-"&amp;TEXT(($D642-$C642+1)+6,"00"),"")&amp;IF($C642&gt;=8,", "&amp;$A642&amp;"-"&amp;TEXT(($D642-$C642+1)+7,"00"),"")&amp;IF($C642&gt;=9,", "&amp;$A642&amp;"-"&amp;TEXT(($D642-$C642+1)+8,"00"),"")&amp;IF($C642&gt;=10,", "&amp;$A642&amp;"-"&amp;TEXT(($D642-$C642+1)+9,"00"),"")&amp;IF($C642&gt;=11,", "&amp;$A642&amp;"-"&amp;TEXT(($D642-$C642+1)+10,"00"),"")&amp;IF($C642&gt;=12,", "&amp;$A642&amp;"-"&amp;TEXT(($D642-$C642+1)+11,"00"),"")&amp;IF($C642&gt;=13,", "&amp;$A642&amp;"-"&amp;TEXT(($D642-$C642+1)+12,"00"),"")&amp;IF($C642&gt;=14,", "&amp;$A642&amp;"-"&amp;TEXT(($D642-$C642+1)+13,"00"),"")&amp;IF($C642&gt;=15,", "&amp;$A642&amp;"-"&amp;TEXT(($D642-$C642+1)+14,"00"),"")&amp;IF($C642&gt;=16,", "&amp;$A642&amp;"-"&amp;TEXT(($D642-$C642+1)+15,"00"),"")&amp;IF($C642&gt;=17,", "&amp;$A642&amp;"-"&amp;TEXT(($D642-$C642+1)+16,"00"),"")&amp;IF($C642&gt;=18,", "&amp;$A642&amp;"-"&amp;TEXT(($D642-$C642+1)+17,"00"),"")&amp;IF($C642&gt;=19,", "&amp;$A642&amp;"-"&amp;TEXT(($D642-$C642+1)+18,"00"),"")&amp;IF($C642&gt;=20,", "&amp;$A642&amp;"-"&amp;TEXT(($D642-$C642+1)+19,"00"),"")&amp;IF($C642&gt;=21,", "&amp;$A642&amp;"-"&amp;TEXT(($D642-$C642+1)+20,"00"),"")&amp;IF($C642&gt;=22,", "&amp;$A642&amp;"-"&amp;TEXT(($D642-$C642+1)+21,"00"),"")&amp;IF($C642&gt;=23,", "&amp;$A642&amp;"-"&amp;TEXT(($D642-$C642+1)+22,"00"),"")&amp;IF($C642&gt;=24,", "&amp;$A642&amp;"-"&amp;TEXT(($D642-$C642+1)+23,"00"),"")&amp;IF($C642&gt;=25,", "&amp;$A642&amp;"-"&amp;TEXT(($D642-$C642+1)+24,"00"),""))</f>
        <v/>
      </c>
      <c r="G642">
        <f>IF($A642="","",IF($E642=1,$F642,IF($F642="",$G641,IF($G641="",$F642,$G641&amp;", "&amp;$F642))))</f>
        <v/>
      </c>
      <c r="H642">
        <f>IF($A642="","",$A642&amp;" ("&amp;$C642&amp;")")</f>
        <v/>
      </c>
      <c r="I642">
        <f>IF($A642="","",IF($E642=1,$H642,$I641&amp;", "&amp;$H642))</f>
        <v/>
      </c>
      <c r="J642">
        <f>IF($A642="","",IF($E642=1,$B642,""))</f>
        <v/>
      </c>
      <c r="K642">
        <f>IF($A642="","",IF(COUNTIF($B$2:$B642,$B642)=COUNTIF($B$2:$B$1601,$B642),$B642,""))</f>
        <v/>
      </c>
    </row>
    <row r="643">
      <c r="A643">
        <f>IF('TMP Paste'!$E643="","",'TMP Paste'!$E643)</f>
        <v/>
      </c>
      <c r="B643">
        <f>IF($A643="","",COUNTIF('TMP Paste'!$B$2:$B643,"?*"))</f>
        <v/>
      </c>
      <c r="C643">
        <f>IF($A643="","",IFERROR('TMP Paste'!$M643*1,0))</f>
        <v/>
      </c>
      <c r="D643">
        <f>IF($A643="","",SUMIF($B$2:$B643,$B643,$C$2:$C643))</f>
        <v/>
      </c>
      <c r="E643">
        <f>IF($A643="",0,IF('TMP Paste'!$B643="",0,1))</f>
        <v/>
      </c>
      <c r="F643">
        <f>IF(OR($A643="",$C643&lt;1),"",$A643&amp;"-"&amp;TEXT(($D643-$C643+1),"00")&amp;IF($C643&gt;=2,", "&amp;$A643&amp;"-"&amp;TEXT(($D643-$C643+1)+1,"00"),"")&amp;IF($C643&gt;=3,", "&amp;$A643&amp;"-"&amp;TEXT(($D643-$C643+1)+2,"00"),"")&amp;IF($C643&gt;=4,", "&amp;$A643&amp;"-"&amp;TEXT(($D643-$C643+1)+3,"00"),"")&amp;IF($C643&gt;=5,", "&amp;$A643&amp;"-"&amp;TEXT(($D643-$C643+1)+4,"00"),"")&amp;IF($C643&gt;=6,", "&amp;$A643&amp;"-"&amp;TEXT(($D643-$C643+1)+5,"00"),"")&amp;IF($C643&gt;=7,", "&amp;$A643&amp;"-"&amp;TEXT(($D643-$C643+1)+6,"00"),"")&amp;IF($C643&gt;=8,", "&amp;$A643&amp;"-"&amp;TEXT(($D643-$C643+1)+7,"00"),"")&amp;IF($C643&gt;=9,", "&amp;$A643&amp;"-"&amp;TEXT(($D643-$C643+1)+8,"00"),"")&amp;IF($C643&gt;=10,", "&amp;$A643&amp;"-"&amp;TEXT(($D643-$C643+1)+9,"00"),"")&amp;IF($C643&gt;=11,", "&amp;$A643&amp;"-"&amp;TEXT(($D643-$C643+1)+10,"00"),"")&amp;IF($C643&gt;=12,", "&amp;$A643&amp;"-"&amp;TEXT(($D643-$C643+1)+11,"00"),"")&amp;IF($C643&gt;=13,", "&amp;$A643&amp;"-"&amp;TEXT(($D643-$C643+1)+12,"00"),"")&amp;IF($C643&gt;=14,", "&amp;$A643&amp;"-"&amp;TEXT(($D643-$C643+1)+13,"00"),"")&amp;IF($C643&gt;=15,", "&amp;$A643&amp;"-"&amp;TEXT(($D643-$C643+1)+14,"00"),"")&amp;IF($C643&gt;=16,", "&amp;$A643&amp;"-"&amp;TEXT(($D643-$C643+1)+15,"00"),"")&amp;IF($C643&gt;=17,", "&amp;$A643&amp;"-"&amp;TEXT(($D643-$C643+1)+16,"00"),"")&amp;IF($C643&gt;=18,", "&amp;$A643&amp;"-"&amp;TEXT(($D643-$C643+1)+17,"00"),"")&amp;IF($C643&gt;=19,", "&amp;$A643&amp;"-"&amp;TEXT(($D643-$C643+1)+18,"00"),"")&amp;IF($C643&gt;=20,", "&amp;$A643&amp;"-"&amp;TEXT(($D643-$C643+1)+19,"00"),"")&amp;IF($C643&gt;=21,", "&amp;$A643&amp;"-"&amp;TEXT(($D643-$C643+1)+20,"00"),"")&amp;IF($C643&gt;=22,", "&amp;$A643&amp;"-"&amp;TEXT(($D643-$C643+1)+21,"00"),"")&amp;IF($C643&gt;=23,", "&amp;$A643&amp;"-"&amp;TEXT(($D643-$C643+1)+22,"00"),"")&amp;IF($C643&gt;=24,", "&amp;$A643&amp;"-"&amp;TEXT(($D643-$C643+1)+23,"00"),"")&amp;IF($C643&gt;=25,", "&amp;$A643&amp;"-"&amp;TEXT(($D643-$C643+1)+24,"00"),""))</f>
        <v/>
      </c>
      <c r="G643">
        <f>IF($A643="","",IF($E643=1,$F643,IF($F643="",$G642,IF($G642="",$F643,$G642&amp;", "&amp;$F643))))</f>
        <v/>
      </c>
      <c r="H643">
        <f>IF($A643="","",$A643&amp;" ("&amp;$C643&amp;")")</f>
        <v/>
      </c>
      <c r="I643">
        <f>IF($A643="","",IF($E643=1,$H643,$I642&amp;", "&amp;$H643))</f>
        <v/>
      </c>
      <c r="J643">
        <f>IF($A643="","",IF($E643=1,$B643,""))</f>
        <v/>
      </c>
      <c r="K643">
        <f>IF($A643="","",IF(COUNTIF($B$2:$B643,$B643)=COUNTIF($B$2:$B$1601,$B643),$B643,""))</f>
        <v/>
      </c>
    </row>
    <row r="644">
      <c r="A644">
        <f>IF('TMP Paste'!$E644="","",'TMP Paste'!$E644)</f>
        <v/>
      </c>
      <c r="B644">
        <f>IF($A644="","",COUNTIF('TMP Paste'!$B$2:$B644,"?*"))</f>
        <v/>
      </c>
      <c r="C644">
        <f>IF($A644="","",IFERROR('TMP Paste'!$M644*1,0))</f>
        <v/>
      </c>
      <c r="D644">
        <f>IF($A644="","",SUMIF($B$2:$B644,$B644,$C$2:$C644))</f>
        <v/>
      </c>
      <c r="E644">
        <f>IF($A644="",0,IF('TMP Paste'!$B644="",0,1))</f>
        <v/>
      </c>
      <c r="F644">
        <f>IF(OR($A644="",$C644&lt;1),"",$A644&amp;"-"&amp;TEXT(($D644-$C644+1),"00")&amp;IF($C644&gt;=2,", "&amp;$A644&amp;"-"&amp;TEXT(($D644-$C644+1)+1,"00"),"")&amp;IF($C644&gt;=3,", "&amp;$A644&amp;"-"&amp;TEXT(($D644-$C644+1)+2,"00"),"")&amp;IF($C644&gt;=4,", "&amp;$A644&amp;"-"&amp;TEXT(($D644-$C644+1)+3,"00"),"")&amp;IF($C644&gt;=5,", "&amp;$A644&amp;"-"&amp;TEXT(($D644-$C644+1)+4,"00"),"")&amp;IF($C644&gt;=6,", "&amp;$A644&amp;"-"&amp;TEXT(($D644-$C644+1)+5,"00"),"")&amp;IF($C644&gt;=7,", "&amp;$A644&amp;"-"&amp;TEXT(($D644-$C644+1)+6,"00"),"")&amp;IF($C644&gt;=8,", "&amp;$A644&amp;"-"&amp;TEXT(($D644-$C644+1)+7,"00"),"")&amp;IF($C644&gt;=9,", "&amp;$A644&amp;"-"&amp;TEXT(($D644-$C644+1)+8,"00"),"")&amp;IF($C644&gt;=10,", "&amp;$A644&amp;"-"&amp;TEXT(($D644-$C644+1)+9,"00"),"")&amp;IF($C644&gt;=11,", "&amp;$A644&amp;"-"&amp;TEXT(($D644-$C644+1)+10,"00"),"")&amp;IF($C644&gt;=12,", "&amp;$A644&amp;"-"&amp;TEXT(($D644-$C644+1)+11,"00"),"")&amp;IF($C644&gt;=13,", "&amp;$A644&amp;"-"&amp;TEXT(($D644-$C644+1)+12,"00"),"")&amp;IF($C644&gt;=14,", "&amp;$A644&amp;"-"&amp;TEXT(($D644-$C644+1)+13,"00"),"")&amp;IF($C644&gt;=15,", "&amp;$A644&amp;"-"&amp;TEXT(($D644-$C644+1)+14,"00"),"")&amp;IF($C644&gt;=16,", "&amp;$A644&amp;"-"&amp;TEXT(($D644-$C644+1)+15,"00"),"")&amp;IF($C644&gt;=17,", "&amp;$A644&amp;"-"&amp;TEXT(($D644-$C644+1)+16,"00"),"")&amp;IF($C644&gt;=18,", "&amp;$A644&amp;"-"&amp;TEXT(($D644-$C644+1)+17,"00"),"")&amp;IF($C644&gt;=19,", "&amp;$A644&amp;"-"&amp;TEXT(($D644-$C644+1)+18,"00"),"")&amp;IF($C644&gt;=20,", "&amp;$A644&amp;"-"&amp;TEXT(($D644-$C644+1)+19,"00"),"")&amp;IF($C644&gt;=21,", "&amp;$A644&amp;"-"&amp;TEXT(($D644-$C644+1)+20,"00"),"")&amp;IF($C644&gt;=22,", "&amp;$A644&amp;"-"&amp;TEXT(($D644-$C644+1)+21,"00"),"")&amp;IF($C644&gt;=23,", "&amp;$A644&amp;"-"&amp;TEXT(($D644-$C644+1)+22,"00"),"")&amp;IF($C644&gt;=24,", "&amp;$A644&amp;"-"&amp;TEXT(($D644-$C644+1)+23,"00"),"")&amp;IF($C644&gt;=25,", "&amp;$A644&amp;"-"&amp;TEXT(($D644-$C644+1)+24,"00"),""))</f>
        <v/>
      </c>
      <c r="G644">
        <f>IF($A644="","",IF($E644=1,$F644,IF($F644="",$G643,IF($G643="",$F644,$G643&amp;", "&amp;$F644))))</f>
        <v/>
      </c>
      <c r="H644">
        <f>IF($A644="","",$A644&amp;" ("&amp;$C644&amp;")")</f>
        <v/>
      </c>
      <c r="I644">
        <f>IF($A644="","",IF($E644=1,$H644,$I643&amp;", "&amp;$H644))</f>
        <v/>
      </c>
      <c r="J644">
        <f>IF($A644="","",IF($E644=1,$B644,""))</f>
        <v/>
      </c>
      <c r="K644">
        <f>IF($A644="","",IF(COUNTIF($B$2:$B644,$B644)=COUNTIF($B$2:$B$1601,$B644),$B644,""))</f>
        <v/>
      </c>
    </row>
    <row r="645">
      <c r="A645">
        <f>IF('TMP Paste'!$E645="","",'TMP Paste'!$E645)</f>
        <v/>
      </c>
      <c r="B645">
        <f>IF($A645="","",COUNTIF('TMP Paste'!$B$2:$B645,"?*"))</f>
        <v/>
      </c>
      <c r="C645">
        <f>IF($A645="","",IFERROR('TMP Paste'!$M645*1,0))</f>
        <v/>
      </c>
      <c r="D645">
        <f>IF($A645="","",SUMIF($B$2:$B645,$B645,$C$2:$C645))</f>
        <v/>
      </c>
      <c r="E645">
        <f>IF($A645="",0,IF('TMP Paste'!$B645="",0,1))</f>
        <v/>
      </c>
      <c r="F645">
        <f>IF(OR($A645="",$C645&lt;1),"",$A645&amp;"-"&amp;TEXT(($D645-$C645+1),"00")&amp;IF($C645&gt;=2,", "&amp;$A645&amp;"-"&amp;TEXT(($D645-$C645+1)+1,"00"),"")&amp;IF($C645&gt;=3,", "&amp;$A645&amp;"-"&amp;TEXT(($D645-$C645+1)+2,"00"),"")&amp;IF($C645&gt;=4,", "&amp;$A645&amp;"-"&amp;TEXT(($D645-$C645+1)+3,"00"),"")&amp;IF($C645&gt;=5,", "&amp;$A645&amp;"-"&amp;TEXT(($D645-$C645+1)+4,"00"),"")&amp;IF($C645&gt;=6,", "&amp;$A645&amp;"-"&amp;TEXT(($D645-$C645+1)+5,"00"),"")&amp;IF($C645&gt;=7,", "&amp;$A645&amp;"-"&amp;TEXT(($D645-$C645+1)+6,"00"),"")&amp;IF($C645&gt;=8,", "&amp;$A645&amp;"-"&amp;TEXT(($D645-$C645+1)+7,"00"),"")&amp;IF($C645&gt;=9,", "&amp;$A645&amp;"-"&amp;TEXT(($D645-$C645+1)+8,"00"),"")&amp;IF($C645&gt;=10,", "&amp;$A645&amp;"-"&amp;TEXT(($D645-$C645+1)+9,"00"),"")&amp;IF($C645&gt;=11,", "&amp;$A645&amp;"-"&amp;TEXT(($D645-$C645+1)+10,"00"),"")&amp;IF($C645&gt;=12,", "&amp;$A645&amp;"-"&amp;TEXT(($D645-$C645+1)+11,"00"),"")&amp;IF($C645&gt;=13,", "&amp;$A645&amp;"-"&amp;TEXT(($D645-$C645+1)+12,"00"),"")&amp;IF($C645&gt;=14,", "&amp;$A645&amp;"-"&amp;TEXT(($D645-$C645+1)+13,"00"),"")&amp;IF($C645&gt;=15,", "&amp;$A645&amp;"-"&amp;TEXT(($D645-$C645+1)+14,"00"),"")&amp;IF($C645&gt;=16,", "&amp;$A645&amp;"-"&amp;TEXT(($D645-$C645+1)+15,"00"),"")&amp;IF($C645&gt;=17,", "&amp;$A645&amp;"-"&amp;TEXT(($D645-$C645+1)+16,"00"),"")&amp;IF($C645&gt;=18,", "&amp;$A645&amp;"-"&amp;TEXT(($D645-$C645+1)+17,"00"),"")&amp;IF($C645&gt;=19,", "&amp;$A645&amp;"-"&amp;TEXT(($D645-$C645+1)+18,"00"),"")&amp;IF($C645&gt;=20,", "&amp;$A645&amp;"-"&amp;TEXT(($D645-$C645+1)+19,"00"),"")&amp;IF($C645&gt;=21,", "&amp;$A645&amp;"-"&amp;TEXT(($D645-$C645+1)+20,"00"),"")&amp;IF($C645&gt;=22,", "&amp;$A645&amp;"-"&amp;TEXT(($D645-$C645+1)+21,"00"),"")&amp;IF($C645&gt;=23,", "&amp;$A645&amp;"-"&amp;TEXT(($D645-$C645+1)+22,"00"),"")&amp;IF($C645&gt;=24,", "&amp;$A645&amp;"-"&amp;TEXT(($D645-$C645+1)+23,"00"),"")&amp;IF($C645&gt;=25,", "&amp;$A645&amp;"-"&amp;TEXT(($D645-$C645+1)+24,"00"),""))</f>
        <v/>
      </c>
      <c r="G645">
        <f>IF($A645="","",IF($E645=1,$F645,IF($F645="",$G644,IF($G644="",$F645,$G644&amp;", "&amp;$F645))))</f>
        <v/>
      </c>
      <c r="H645">
        <f>IF($A645="","",$A645&amp;" ("&amp;$C645&amp;")")</f>
        <v/>
      </c>
      <c r="I645">
        <f>IF($A645="","",IF($E645=1,$H645,$I644&amp;", "&amp;$H645))</f>
        <v/>
      </c>
      <c r="J645">
        <f>IF($A645="","",IF($E645=1,$B645,""))</f>
        <v/>
      </c>
      <c r="K645">
        <f>IF($A645="","",IF(COUNTIF($B$2:$B645,$B645)=COUNTIF($B$2:$B$1601,$B645),$B645,""))</f>
        <v/>
      </c>
    </row>
    <row r="646">
      <c r="A646">
        <f>IF('TMP Paste'!$E646="","",'TMP Paste'!$E646)</f>
        <v/>
      </c>
      <c r="B646">
        <f>IF($A646="","",COUNTIF('TMP Paste'!$B$2:$B646,"?*"))</f>
        <v/>
      </c>
      <c r="C646">
        <f>IF($A646="","",IFERROR('TMP Paste'!$M646*1,0))</f>
        <v/>
      </c>
      <c r="D646">
        <f>IF($A646="","",SUMIF($B$2:$B646,$B646,$C$2:$C646))</f>
        <v/>
      </c>
      <c r="E646">
        <f>IF($A646="",0,IF('TMP Paste'!$B646="",0,1))</f>
        <v/>
      </c>
      <c r="F646">
        <f>IF(OR($A646="",$C646&lt;1),"",$A646&amp;"-"&amp;TEXT(($D646-$C646+1),"00")&amp;IF($C646&gt;=2,", "&amp;$A646&amp;"-"&amp;TEXT(($D646-$C646+1)+1,"00"),"")&amp;IF($C646&gt;=3,", "&amp;$A646&amp;"-"&amp;TEXT(($D646-$C646+1)+2,"00"),"")&amp;IF($C646&gt;=4,", "&amp;$A646&amp;"-"&amp;TEXT(($D646-$C646+1)+3,"00"),"")&amp;IF($C646&gt;=5,", "&amp;$A646&amp;"-"&amp;TEXT(($D646-$C646+1)+4,"00"),"")&amp;IF($C646&gt;=6,", "&amp;$A646&amp;"-"&amp;TEXT(($D646-$C646+1)+5,"00"),"")&amp;IF($C646&gt;=7,", "&amp;$A646&amp;"-"&amp;TEXT(($D646-$C646+1)+6,"00"),"")&amp;IF($C646&gt;=8,", "&amp;$A646&amp;"-"&amp;TEXT(($D646-$C646+1)+7,"00"),"")&amp;IF($C646&gt;=9,", "&amp;$A646&amp;"-"&amp;TEXT(($D646-$C646+1)+8,"00"),"")&amp;IF($C646&gt;=10,", "&amp;$A646&amp;"-"&amp;TEXT(($D646-$C646+1)+9,"00"),"")&amp;IF($C646&gt;=11,", "&amp;$A646&amp;"-"&amp;TEXT(($D646-$C646+1)+10,"00"),"")&amp;IF($C646&gt;=12,", "&amp;$A646&amp;"-"&amp;TEXT(($D646-$C646+1)+11,"00"),"")&amp;IF($C646&gt;=13,", "&amp;$A646&amp;"-"&amp;TEXT(($D646-$C646+1)+12,"00"),"")&amp;IF($C646&gt;=14,", "&amp;$A646&amp;"-"&amp;TEXT(($D646-$C646+1)+13,"00"),"")&amp;IF($C646&gt;=15,", "&amp;$A646&amp;"-"&amp;TEXT(($D646-$C646+1)+14,"00"),"")&amp;IF($C646&gt;=16,", "&amp;$A646&amp;"-"&amp;TEXT(($D646-$C646+1)+15,"00"),"")&amp;IF($C646&gt;=17,", "&amp;$A646&amp;"-"&amp;TEXT(($D646-$C646+1)+16,"00"),"")&amp;IF($C646&gt;=18,", "&amp;$A646&amp;"-"&amp;TEXT(($D646-$C646+1)+17,"00"),"")&amp;IF($C646&gt;=19,", "&amp;$A646&amp;"-"&amp;TEXT(($D646-$C646+1)+18,"00"),"")&amp;IF($C646&gt;=20,", "&amp;$A646&amp;"-"&amp;TEXT(($D646-$C646+1)+19,"00"),"")&amp;IF($C646&gt;=21,", "&amp;$A646&amp;"-"&amp;TEXT(($D646-$C646+1)+20,"00"),"")&amp;IF($C646&gt;=22,", "&amp;$A646&amp;"-"&amp;TEXT(($D646-$C646+1)+21,"00"),"")&amp;IF($C646&gt;=23,", "&amp;$A646&amp;"-"&amp;TEXT(($D646-$C646+1)+22,"00"),"")&amp;IF($C646&gt;=24,", "&amp;$A646&amp;"-"&amp;TEXT(($D646-$C646+1)+23,"00"),"")&amp;IF($C646&gt;=25,", "&amp;$A646&amp;"-"&amp;TEXT(($D646-$C646+1)+24,"00"),""))</f>
        <v/>
      </c>
      <c r="G646">
        <f>IF($A646="","",IF($E646=1,$F646,IF($F646="",$G645,IF($G645="",$F646,$G645&amp;", "&amp;$F646))))</f>
        <v/>
      </c>
      <c r="H646">
        <f>IF($A646="","",$A646&amp;" ("&amp;$C646&amp;")")</f>
        <v/>
      </c>
      <c r="I646">
        <f>IF($A646="","",IF($E646=1,$H646,$I645&amp;", "&amp;$H646))</f>
        <v/>
      </c>
      <c r="J646">
        <f>IF($A646="","",IF($E646=1,$B646,""))</f>
        <v/>
      </c>
      <c r="K646">
        <f>IF($A646="","",IF(COUNTIF($B$2:$B646,$B646)=COUNTIF($B$2:$B$1601,$B646),$B646,""))</f>
        <v/>
      </c>
    </row>
    <row r="647">
      <c r="A647">
        <f>IF('TMP Paste'!$E647="","",'TMP Paste'!$E647)</f>
        <v/>
      </c>
      <c r="B647">
        <f>IF($A647="","",COUNTIF('TMP Paste'!$B$2:$B647,"?*"))</f>
        <v/>
      </c>
      <c r="C647">
        <f>IF($A647="","",IFERROR('TMP Paste'!$M647*1,0))</f>
        <v/>
      </c>
      <c r="D647">
        <f>IF($A647="","",SUMIF($B$2:$B647,$B647,$C$2:$C647))</f>
        <v/>
      </c>
      <c r="E647">
        <f>IF($A647="",0,IF('TMP Paste'!$B647="",0,1))</f>
        <v/>
      </c>
      <c r="F647">
        <f>IF(OR($A647="",$C647&lt;1),"",$A647&amp;"-"&amp;TEXT(($D647-$C647+1),"00")&amp;IF($C647&gt;=2,", "&amp;$A647&amp;"-"&amp;TEXT(($D647-$C647+1)+1,"00"),"")&amp;IF($C647&gt;=3,", "&amp;$A647&amp;"-"&amp;TEXT(($D647-$C647+1)+2,"00"),"")&amp;IF($C647&gt;=4,", "&amp;$A647&amp;"-"&amp;TEXT(($D647-$C647+1)+3,"00"),"")&amp;IF($C647&gt;=5,", "&amp;$A647&amp;"-"&amp;TEXT(($D647-$C647+1)+4,"00"),"")&amp;IF($C647&gt;=6,", "&amp;$A647&amp;"-"&amp;TEXT(($D647-$C647+1)+5,"00"),"")&amp;IF($C647&gt;=7,", "&amp;$A647&amp;"-"&amp;TEXT(($D647-$C647+1)+6,"00"),"")&amp;IF($C647&gt;=8,", "&amp;$A647&amp;"-"&amp;TEXT(($D647-$C647+1)+7,"00"),"")&amp;IF($C647&gt;=9,", "&amp;$A647&amp;"-"&amp;TEXT(($D647-$C647+1)+8,"00"),"")&amp;IF($C647&gt;=10,", "&amp;$A647&amp;"-"&amp;TEXT(($D647-$C647+1)+9,"00"),"")&amp;IF($C647&gt;=11,", "&amp;$A647&amp;"-"&amp;TEXT(($D647-$C647+1)+10,"00"),"")&amp;IF($C647&gt;=12,", "&amp;$A647&amp;"-"&amp;TEXT(($D647-$C647+1)+11,"00"),"")&amp;IF($C647&gt;=13,", "&amp;$A647&amp;"-"&amp;TEXT(($D647-$C647+1)+12,"00"),"")&amp;IF($C647&gt;=14,", "&amp;$A647&amp;"-"&amp;TEXT(($D647-$C647+1)+13,"00"),"")&amp;IF($C647&gt;=15,", "&amp;$A647&amp;"-"&amp;TEXT(($D647-$C647+1)+14,"00"),"")&amp;IF($C647&gt;=16,", "&amp;$A647&amp;"-"&amp;TEXT(($D647-$C647+1)+15,"00"),"")&amp;IF($C647&gt;=17,", "&amp;$A647&amp;"-"&amp;TEXT(($D647-$C647+1)+16,"00"),"")&amp;IF($C647&gt;=18,", "&amp;$A647&amp;"-"&amp;TEXT(($D647-$C647+1)+17,"00"),"")&amp;IF($C647&gt;=19,", "&amp;$A647&amp;"-"&amp;TEXT(($D647-$C647+1)+18,"00"),"")&amp;IF($C647&gt;=20,", "&amp;$A647&amp;"-"&amp;TEXT(($D647-$C647+1)+19,"00"),"")&amp;IF($C647&gt;=21,", "&amp;$A647&amp;"-"&amp;TEXT(($D647-$C647+1)+20,"00"),"")&amp;IF($C647&gt;=22,", "&amp;$A647&amp;"-"&amp;TEXT(($D647-$C647+1)+21,"00"),"")&amp;IF($C647&gt;=23,", "&amp;$A647&amp;"-"&amp;TEXT(($D647-$C647+1)+22,"00"),"")&amp;IF($C647&gt;=24,", "&amp;$A647&amp;"-"&amp;TEXT(($D647-$C647+1)+23,"00"),"")&amp;IF($C647&gt;=25,", "&amp;$A647&amp;"-"&amp;TEXT(($D647-$C647+1)+24,"00"),""))</f>
        <v/>
      </c>
      <c r="G647">
        <f>IF($A647="","",IF($E647=1,$F647,IF($F647="",$G646,IF($G646="",$F647,$G646&amp;", "&amp;$F647))))</f>
        <v/>
      </c>
      <c r="H647">
        <f>IF($A647="","",$A647&amp;" ("&amp;$C647&amp;")")</f>
        <v/>
      </c>
      <c r="I647">
        <f>IF($A647="","",IF($E647=1,$H647,$I646&amp;", "&amp;$H647))</f>
        <v/>
      </c>
      <c r="J647">
        <f>IF($A647="","",IF($E647=1,$B647,""))</f>
        <v/>
      </c>
      <c r="K647">
        <f>IF($A647="","",IF(COUNTIF($B$2:$B647,$B647)=COUNTIF($B$2:$B$1601,$B647),$B647,""))</f>
        <v/>
      </c>
    </row>
    <row r="648">
      <c r="A648">
        <f>IF('TMP Paste'!$E648="","",'TMP Paste'!$E648)</f>
        <v/>
      </c>
      <c r="B648">
        <f>IF($A648="","",COUNTIF('TMP Paste'!$B$2:$B648,"?*"))</f>
        <v/>
      </c>
      <c r="C648">
        <f>IF($A648="","",IFERROR('TMP Paste'!$M648*1,0))</f>
        <v/>
      </c>
      <c r="D648">
        <f>IF($A648="","",SUMIF($B$2:$B648,$B648,$C$2:$C648))</f>
        <v/>
      </c>
      <c r="E648">
        <f>IF($A648="",0,IF('TMP Paste'!$B648="",0,1))</f>
        <v/>
      </c>
      <c r="F648">
        <f>IF(OR($A648="",$C648&lt;1),"",$A648&amp;"-"&amp;TEXT(($D648-$C648+1),"00")&amp;IF($C648&gt;=2,", "&amp;$A648&amp;"-"&amp;TEXT(($D648-$C648+1)+1,"00"),"")&amp;IF($C648&gt;=3,", "&amp;$A648&amp;"-"&amp;TEXT(($D648-$C648+1)+2,"00"),"")&amp;IF($C648&gt;=4,", "&amp;$A648&amp;"-"&amp;TEXT(($D648-$C648+1)+3,"00"),"")&amp;IF($C648&gt;=5,", "&amp;$A648&amp;"-"&amp;TEXT(($D648-$C648+1)+4,"00"),"")&amp;IF($C648&gt;=6,", "&amp;$A648&amp;"-"&amp;TEXT(($D648-$C648+1)+5,"00"),"")&amp;IF($C648&gt;=7,", "&amp;$A648&amp;"-"&amp;TEXT(($D648-$C648+1)+6,"00"),"")&amp;IF($C648&gt;=8,", "&amp;$A648&amp;"-"&amp;TEXT(($D648-$C648+1)+7,"00"),"")&amp;IF($C648&gt;=9,", "&amp;$A648&amp;"-"&amp;TEXT(($D648-$C648+1)+8,"00"),"")&amp;IF($C648&gt;=10,", "&amp;$A648&amp;"-"&amp;TEXT(($D648-$C648+1)+9,"00"),"")&amp;IF($C648&gt;=11,", "&amp;$A648&amp;"-"&amp;TEXT(($D648-$C648+1)+10,"00"),"")&amp;IF($C648&gt;=12,", "&amp;$A648&amp;"-"&amp;TEXT(($D648-$C648+1)+11,"00"),"")&amp;IF($C648&gt;=13,", "&amp;$A648&amp;"-"&amp;TEXT(($D648-$C648+1)+12,"00"),"")&amp;IF($C648&gt;=14,", "&amp;$A648&amp;"-"&amp;TEXT(($D648-$C648+1)+13,"00"),"")&amp;IF($C648&gt;=15,", "&amp;$A648&amp;"-"&amp;TEXT(($D648-$C648+1)+14,"00"),"")&amp;IF($C648&gt;=16,", "&amp;$A648&amp;"-"&amp;TEXT(($D648-$C648+1)+15,"00"),"")&amp;IF($C648&gt;=17,", "&amp;$A648&amp;"-"&amp;TEXT(($D648-$C648+1)+16,"00"),"")&amp;IF($C648&gt;=18,", "&amp;$A648&amp;"-"&amp;TEXT(($D648-$C648+1)+17,"00"),"")&amp;IF($C648&gt;=19,", "&amp;$A648&amp;"-"&amp;TEXT(($D648-$C648+1)+18,"00"),"")&amp;IF($C648&gt;=20,", "&amp;$A648&amp;"-"&amp;TEXT(($D648-$C648+1)+19,"00"),"")&amp;IF($C648&gt;=21,", "&amp;$A648&amp;"-"&amp;TEXT(($D648-$C648+1)+20,"00"),"")&amp;IF($C648&gt;=22,", "&amp;$A648&amp;"-"&amp;TEXT(($D648-$C648+1)+21,"00"),"")&amp;IF($C648&gt;=23,", "&amp;$A648&amp;"-"&amp;TEXT(($D648-$C648+1)+22,"00"),"")&amp;IF($C648&gt;=24,", "&amp;$A648&amp;"-"&amp;TEXT(($D648-$C648+1)+23,"00"),"")&amp;IF($C648&gt;=25,", "&amp;$A648&amp;"-"&amp;TEXT(($D648-$C648+1)+24,"00"),""))</f>
        <v/>
      </c>
      <c r="G648">
        <f>IF($A648="","",IF($E648=1,$F648,IF($F648="",$G647,IF($G647="",$F648,$G647&amp;", "&amp;$F648))))</f>
        <v/>
      </c>
      <c r="H648">
        <f>IF($A648="","",$A648&amp;" ("&amp;$C648&amp;")")</f>
        <v/>
      </c>
      <c r="I648">
        <f>IF($A648="","",IF($E648=1,$H648,$I647&amp;", "&amp;$H648))</f>
        <v/>
      </c>
      <c r="J648">
        <f>IF($A648="","",IF($E648=1,$B648,""))</f>
        <v/>
      </c>
      <c r="K648">
        <f>IF($A648="","",IF(COUNTIF($B$2:$B648,$B648)=COUNTIF($B$2:$B$1601,$B648),$B648,""))</f>
        <v/>
      </c>
    </row>
    <row r="649">
      <c r="A649">
        <f>IF('TMP Paste'!$E649="","",'TMP Paste'!$E649)</f>
        <v/>
      </c>
      <c r="B649">
        <f>IF($A649="","",COUNTIF('TMP Paste'!$B$2:$B649,"?*"))</f>
        <v/>
      </c>
      <c r="C649">
        <f>IF($A649="","",IFERROR('TMP Paste'!$M649*1,0))</f>
        <v/>
      </c>
      <c r="D649">
        <f>IF($A649="","",SUMIF($B$2:$B649,$B649,$C$2:$C649))</f>
        <v/>
      </c>
      <c r="E649">
        <f>IF($A649="",0,IF('TMP Paste'!$B649="",0,1))</f>
        <v/>
      </c>
      <c r="F649">
        <f>IF(OR($A649="",$C649&lt;1),"",$A649&amp;"-"&amp;TEXT(($D649-$C649+1),"00")&amp;IF($C649&gt;=2,", "&amp;$A649&amp;"-"&amp;TEXT(($D649-$C649+1)+1,"00"),"")&amp;IF($C649&gt;=3,", "&amp;$A649&amp;"-"&amp;TEXT(($D649-$C649+1)+2,"00"),"")&amp;IF($C649&gt;=4,", "&amp;$A649&amp;"-"&amp;TEXT(($D649-$C649+1)+3,"00"),"")&amp;IF($C649&gt;=5,", "&amp;$A649&amp;"-"&amp;TEXT(($D649-$C649+1)+4,"00"),"")&amp;IF($C649&gt;=6,", "&amp;$A649&amp;"-"&amp;TEXT(($D649-$C649+1)+5,"00"),"")&amp;IF($C649&gt;=7,", "&amp;$A649&amp;"-"&amp;TEXT(($D649-$C649+1)+6,"00"),"")&amp;IF($C649&gt;=8,", "&amp;$A649&amp;"-"&amp;TEXT(($D649-$C649+1)+7,"00"),"")&amp;IF($C649&gt;=9,", "&amp;$A649&amp;"-"&amp;TEXT(($D649-$C649+1)+8,"00"),"")&amp;IF($C649&gt;=10,", "&amp;$A649&amp;"-"&amp;TEXT(($D649-$C649+1)+9,"00"),"")&amp;IF($C649&gt;=11,", "&amp;$A649&amp;"-"&amp;TEXT(($D649-$C649+1)+10,"00"),"")&amp;IF($C649&gt;=12,", "&amp;$A649&amp;"-"&amp;TEXT(($D649-$C649+1)+11,"00"),"")&amp;IF($C649&gt;=13,", "&amp;$A649&amp;"-"&amp;TEXT(($D649-$C649+1)+12,"00"),"")&amp;IF($C649&gt;=14,", "&amp;$A649&amp;"-"&amp;TEXT(($D649-$C649+1)+13,"00"),"")&amp;IF($C649&gt;=15,", "&amp;$A649&amp;"-"&amp;TEXT(($D649-$C649+1)+14,"00"),"")&amp;IF($C649&gt;=16,", "&amp;$A649&amp;"-"&amp;TEXT(($D649-$C649+1)+15,"00"),"")&amp;IF($C649&gt;=17,", "&amp;$A649&amp;"-"&amp;TEXT(($D649-$C649+1)+16,"00"),"")&amp;IF($C649&gt;=18,", "&amp;$A649&amp;"-"&amp;TEXT(($D649-$C649+1)+17,"00"),"")&amp;IF($C649&gt;=19,", "&amp;$A649&amp;"-"&amp;TEXT(($D649-$C649+1)+18,"00"),"")&amp;IF($C649&gt;=20,", "&amp;$A649&amp;"-"&amp;TEXT(($D649-$C649+1)+19,"00"),"")&amp;IF($C649&gt;=21,", "&amp;$A649&amp;"-"&amp;TEXT(($D649-$C649+1)+20,"00"),"")&amp;IF($C649&gt;=22,", "&amp;$A649&amp;"-"&amp;TEXT(($D649-$C649+1)+21,"00"),"")&amp;IF($C649&gt;=23,", "&amp;$A649&amp;"-"&amp;TEXT(($D649-$C649+1)+22,"00"),"")&amp;IF($C649&gt;=24,", "&amp;$A649&amp;"-"&amp;TEXT(($D649-$C649+1)+23,"00"),"")&amp;IF($C649&gt;=25,", "&amp;$A649&amp;"-"&amp;TEXT(($D649-$C649+1)+24,"00"),""))</f>
        <v/>
      </c>
      <c r="G649">
        <f>IF($A649="","",IF($E649=1,$F649,IF($F649="",$G648,IF($G648="",$F649,$G648&amp;", "&amp;$F649))))</f>
        <v/>
      </c>
      <c r="H649">
        <f>IF($A649="","",$A649&amp;" ("&amp;$C649&amp;")")</f>
        <v/>
      </c>
      <c r="I649">
        <f>IF($A649="","",IF($E649=1,$H649,$I648&amp;", "&amp;$H649))</f>
        <v/>
      </c>
      <c r="J649">
        <f>IF($A649="","",IF($E649=1,$B649,""))</f>
        <v/>
      </c>
      <c r="K649">
        <f>IF($A649="","",IF(COUNTIF($B$2:$B649,$B649)=COUNTIF($B$2:$B$1601,$B649),$B649,""))</f>
        <v/>
      </c>
    </row>
    <row r="650">
      <c r="A650">
        <f>IF('TMP Paste'!$E650="","",'TMP Paste'!$E650)</f>
        <v/>
      </c>
      <c r="B650">
        <f>IF($A650="","",COUNTIF('TMP Paste'!$B$2:$B650,"?*"))</f>
        <v/>
      </c>
      <c r="C650">
        <f>IF($A650="","",IFERROR('TMP Paste'!$M650*1,0))</f>
        <v/>
      </c>
      <c r="D650">
        <f>IF($A650="","",SUMIF($B$2:$B650,$B650,$C$2:$C650))</f>
        <v/>
      </c>
      <c r="E650">
        <f>IF($A650="",0,IF('TMP Paste'!$B650="",0,1))</f>
        <v/>
      </c>
      <c r="F650">
        <f>IF(OR($A650="",$C650&lt;1),"",$A650&amp;"-"&amp;TEXT(($D650-$C650+1),"00")&amp;IF($C650&gt;=2,", "&amp;$A650&amp;"-"&amp;TEXT(($D650-$C650+1)+1,"00"),"")&amp;IF($C650&gt;=3,", "&amp;$A650&amp;"-"&amp;TEXT(($D650-$C650+1)+2,"00"),"")&amp;IF($C650&gt;=4,", "&amp;$A650&amp;"-"&amp;TEXT(($D650-$C650+1)+3,"00"),"")&amp;IF($C650&gt;=5,", "&amp;$A650&amp;"-"&amp;TEXT(($D650-$C650+1)+4,"00"),"")&amp;IF($C650&gt;=6,", "&amp;$A650&amp;"-"&amp;TEXT(($D650-$C650+1)+5,"00"),"")&amp;IF($C650&gt;=7,", "&amp;$A650&amp;"-"&amp;TEXT(($D650-$C650+1)+6,"00"),"")&amp;IF($C650&gt;=8,", "&amp;$A650&amp;"-"&amp;TEXT(($D650-$C650+1)+7,"00"),"")&amp;IF($C650&gt;=9,", "&amp;$A650&amp;"-"&amp;TEXT(($D650-$C650+1)+8,"00"),"")&amp;IF($C650&gt;=10,", "&amp;$A650&amp;"-"&amp;TEXT(($D650-$C650+1)+9,"00"),"")&amp;IF($C650&gt;=11,", "&amp;$A650&amp;"-"&amp;TEXT(($D650-$C650+1)+10,"00"),"")&amp;IF($C650&gt;=12,", "&amp;$A650&amp;"-"&amp;TEXT(($D650-$C650+1)+11,"00"),"")&amp;IF($C650&gt;=13,", "&amp;$A650&amp;"-"&amp;TEXT(($D650-$C650+1)+12,"00"),"")&amp;IF($C650&gt;=14,", "&amp;$A650&amp;"-"&amp;TEXT(($D650-$C650+1)+13,"00"),"")&amp;IF($C650&gt;=15,", "&amp;$A650&amp;"-"&amp;TEXT(($D650-$C650+1)+14,"00"),"")&amp;IF($C650&gt;=16,", "&amp;$A650&amp;"-"&amp;TEXT(($D650-$C650+1)+15,"00"),"")&amp;IF($C650&gt;=17,", "&amp;$A650&amp;"-"&amp;TEXT(($D650-$C650+1)+16,"00"),"")&amp;IF($C650&gt;=18,", "&amp;$A650&amp;"-"&amp;TEXT(($D650-$C650+1)+17,"00"),"")&amp;IF($C650&gt;=19,", "&amp;$A650&amp;"-"&amp;TEXT(($D650-$C650+1)+18,"00"),"")&amp;IF($C650&gt;=20,", "&amp;$A650&amp;"-"&amp;TEXT(($D650-$C650+1)+19,"00"),"")&amp;IF($C650&gt;=21,", "&amp;$A650&amp;"-"&amp;TEXT(($D650-$C650+1)+20,"00"),"")&amp;IF($C650&gt;=22,", "&amp;$A650&amp;"-"&amp;TEXT(($D650-$C650+1)+21,"00"),"")&amp;IF($C650&gt;=23,", "&amp;$A650&amp;"-"&amp;TEXT(($D650-$C650+1)+22,"00"),"")&amp;IF($C650&gt;=24,", "&amp;$A650&amp;"-"&amp;TEXT(($D650-$C650+1)+23,"00"),"")&amp;IF($C650&gt;=25,", "&amp;$A650&amp;"-"&amp;TEXT(($D650-$C650+1)+24,"00"),""))</f>
        <v/>
      </c>
      <c r="G650">
        <f>IF($A650="","",IF($E650=1,$F650,IF($F650="",$G649,IF($G649="",$F650,$G649&amp;", "&amp;$F650))))</f>
        <v/>
      </c>
      <c r="H650">
        <f>IF($A650="","",$A650&amp;" ("&amp;$C650&amp;")")</f>
        <v/>
      </c>
      <c r="I650">
        <f>IF($A650="","",IF($E650=1,$H650,$I649&amp;", "&amp;$H650))</f>
        <v/>
      </c>
      <c r="J650">
        <f>IF($A650="","",IF($E650=1,$B650,""))</f>
        <v/>
      </c>
      <c r="K650">
        <f>IF($A650="","",IF(COUNTIF($B$2:$B650,$B650)=COUNTIF($B$2:$B$1601,$B650),$B650,""))</f>
        <v/>
      </c>
    </row>
    <row r="651">
      <c r="A651">
        <f>IF('TMP Paste'!$E651="","",'TMP Paste'!$E651)</f>
        <v/>
      </c>
      <c r="B651">
        <f>IF($A651="","",COUNTIF('TMP Paste'!$B$2:$B651,"?*"))</f>
        <v/>
      </c>
      <c r="C651">
        <f>IF($A651="","",IFERROR('TMP Paste'!$M651*1,0))</f>
        <v/>
      </c>
      <c r="D651">
        <f>IF($A651="","",SUMIF($B$2:$B651,$B651,$C$2:$C651))</f>
        <v/>
      </c>
      <c r="E651">
        <f>IF($A651="",0,IF('TMP Paste'!$B651="",0,1))</f>
        <v/>
      </c>
      <c r="F651">
        <f>IF(OR($A651="",$C651&lt;1),"",$A651&amp;"-"&amp;TEXT(($D651-$C651+1),"00")&amp;IF($C651&gt;=2,", "&amp;$A651&amp;"-"&amp;TEXT(($D651-$C651+1)+1,"00"),"")&amp;IF($C651&gt;=3,", "&amp;$A651&amp;"-"&amp;TEXT(($D651-$C651+1)+2,"00"),"")&amp;IF($C651&gt;=4,", "&amp;$A651&amp;"-"&amp;TEXT(($D651-$C651+1)+3,"00"),"")&amp;IF($C651&gt;=5,", "&amp;$A651&amp;"-"&amp;TEXT(($D651-$C651+1)+4,"00"),"")&amp;IF($C651&gt;=6,", "&amp;$A651&amp;"-"&amp;TEXT(($D651-$C651+1)+5,"00"),"")&amp;IF($C651&gt;=7,", "&amp;$A651&amp;"-"&amp;TEXT(($D651-$C651+1)+6,"00"),"")&amp;IF($C651&gt;=8,", "&amp;$A651&amp;"-"&amp;TEXT(($D651-$C651+1)+7,"00"),"")&amp;IF($C651&gt;=9,", "&amp;$A651&amp;"-"&amp;TEXT(($D651-$C651+1)+8,"00"),"")&amp;IF($C651&gt;=10,", "&amp;$A651&amp;"-"&amp;TEXT(($D651-$C651+1)+9,"00"),"")&amp;IF($C651&gt;=11,", "&amp;$A651&amp;"-"&amp;TEXT(($D651-$C651+1)+10,"00"),"")&amp;IF($C651&gt;=12,", "&amp;$A651&amp;"-"&amp;TEXT(($D651-$C651+1)+11,"00"),"")&amp;IF($C651&gt;=13,", "&amp;$A651&amp;"-"&amp;TEXT(($D651-$C651+1)+12,"00"),"")&amp;IF($C651&gt;=14,", "&amp;$A651&amp;"-"&amp;TEXT(($D651-$C651+1)+13,"00"),"")&amp;IF($C651&gt;=15,", "&amp;$A651&amp;"-"&amp;TEXT(($D651-$C651+1)+14,"00"),"")&amp;IF($C651&gt;=16,", "&amp;$A651&amp;"-"&amp;TEXT(($D651-$C651+1)+15,"00"),"")&amp;IF($C651&gt;=17,", "&amp;$A651&amp;"-"&amp;TEXT(($D651-$C651+1)+16,"00"),"")&amp;IF($C651&gt;=18,", "&amp;$A651&amp;"-"&amp;TEXT(($D651-$C651+1)+17,"00"),"")&amp;IF($C651&gt;=19,", "&amp;$A651&amp;"-"&amp;TEXT(($D651-$C651+1)+18,"00"),"")&amp;IF($C651&gt;=20,", "&amp;$A651&amp;"-"&amp;TEXT(($D651-$C651+1)+19,"00"),"")&amp;IF($C651&gt;=21,", "&amp;$A651&amp;"-"&amp;TEXT(($D651-$C651+1)+20,"00"),"")&amp;IF($C651&gt;=22,", "&amp;$A651&amp;"-"&amp;TEXT(($D651-$C651+1)+21,"00"),"")&amp;IF($C651&gt;=23,", "&amp;$A651&amp;"-"&amp;TEXT(($D651-$C651+1)+22,"00"),"")&amp;IF($C651&gt;=24,", "&amp;$A651&amp;"-"&amp;TEXT(($D651-$C651+1)+23,"00"),"")&amp;IF($C651&gt;=25,", "&amp;$A651&amp;"-"&amp;TEXT(($D651-$C651+1)+24,"00"),""))</f>
        <v/>
      </c>
      <c r="G651">
        <f>IF($A651="","",IF($E651=1,$F651,IF($F651="",$G650,IF($G650="",$F651,$G650&amp;", "&amp;$F651))))</f>
        <v/>
      </c>
      <c r="H651">
        <f>IF($A651="","",$A651&amp;" ("&amp;$C651&amp;")")</f>
        <v/>
      </c>
      <c r="I651">
        <f>IF($A651="","",IF($E651=1,$H651,$I650&amp;", "&amp;$H651))</f>
        <v/>
      </c>
      <c r="J651">
        <f>IF($A651="","",IF($E651=1,$B651,""))</f>
        <v/>
      </c>
      <c r="K651">
        <f>IF($A651="","",IF(COUNTIF($B$2:$B651,$B651)=COUNTIF($B$2:$B$1601,$B651),$B651,""))</f>
        <v/>
      </c>
    </row>
    <row r="652">
      <c r="A652">
        <f>IF('TMP Paste'!$E652="","",'TMP Paste'!$E652)</f>
        <v/>
      </c>
      <c r="B652">
        <f>IF($A652="","",COUNTIF('TMP Paste'!$B$2:$B652,"?*"))</f>
        <v/>
      </c>
      <c r="C652">
        <f>IF($A652="","",IFERROR('TMP Paste'!$M652*1,0))</f>
        <v/>
      </c>
      <c r="D652">
        <f>IF($A652="","",SUMIF($B$2:$B652,$B652,$C$2:$C652))</f>
        <v/>
      </c>
      <c r="E652">
        <f>IF($A652="",0,IF('TMP Paste'!$B652="",0,1))</f>
        <v/>
      </c>
      <c r="F652">
        <f>IF(OR($A652="",$C652&lt;1),"",$A652&amp;"-"&amp;TEXT(($D652-$C652+1),"00")&amp;IF($C652&gt;=2,", "&amp;$A652&amp;"-"&amp;TEXT(($D652-$C652+1)+1,"00"),"")&amp;IF($C652&gt;=3,", "&amp;$A652&amp;"-"&amp;TEXT(($D652-$C652+1)+2,"00"),"")&amp;IF($C652&gt;=4,", "&amp;$A652&amp;"-"&amp;TEXT(($D652-$C652+1)+3,"00"),"")&amp;IF($C652&gt;=5,", "&amp;$A652&amp;"-"&amp;TEXT(($D652-$C652+1)+4,"00"),"")&amp;IF($C652&gt;=6,", "&amp;$A652&amp;"-"&amp;TEXT(($D652-$C652+1)+5,"00"),"")&amp;IF($C652&gt;=7,", "&amp;$A652&amp;"-"&amp;TEXT(($D652-$C652+1)+6,"00"),"")&amp;IF($C652&gt;=8,", "&amp;$A652&amp;"-"&amp;TEXT(($D652-$C652+1)+7,"00"),"")&amp;IF($C652&gt;=9,", "&amp;$A652&amp;"-"&amp;TEXT(($D652-$C652+1)+8,"00"),"")&amp;IF($C652&gt;=10,", "&amp;$A652&amp;"-"&amp;TEXT(($D652-$C652+1)+9,"00"),"")&amp;IF($C652&gt;=11,", "&amp;$A652&amp;"-"&amp;TEXT(($D652-$C652+1)+10,"00"),"")&amp;IF($C652&gt;=12,", "&amp;$A652&amp;"-"&amp;TEXT(($D652-$C652+1)+11,"00"),"")&amp;IF($C652&gt;=13,", "&amp;$A652&amp;"-"&amp;TEXT(($D652-$C652+1)+12,"00"),"")&amp;IF($C652&gt;=14,", "&amp;$A652&amp;"-"&amp;TEXT(($D652-$C652+1)+13,"00"),"")&amp;IF($C652&gt;=15,", "&amp;$A652&amp;"-"&amp;TEXT(($D652-$C652+1)+14,"00"),"")&amp;IF($C652&gt;=16,", "&amp;$A652&amp;"-"&amp;TEXT(($D652-$C652+1)+15,"00"),"")&amp;IF($C652&gt;=17,", "&amp;$A652&amp;"-"&amp;TEXT(($D652-$C652+1)+16,"00"),"")&amp;IF($C652&gt;=18,", "&amp;$A652&amp;"-"&amp;TEXT(($D652-$C652+1)+17,"00"),"")&amp;IF($C652&gt;=19,", "&amp;$A652&amp;"-"&amp;TEXT(($D652-$C652+1)+18,"00"),"")&amp;IF($C652&gt;=20,", "&amp;$A652&amp;"-"&amp;TEXT(($D652-$C652+1)+19,"00"),"")&amp;IF($C652&gt;=21,", "&amp;$A652&amp;"-"&amp;TEXT(($D652-$C652+1)+20,"00"),"")&amp;IF($C652&gt;=22,", "&amp;$A652&amp;"-"&amp;TEXT(($D652-$C652+1)+21,"00"),"")&amp;IF($C652&gt;=23,", "&amp;$A652&amp;"-"&amp;TEXT(($D652-$C652+1)+22,"00"),"")&amp;IF($C652&gt;=24,", "&amp;$A652&amp;"-"&amp;TEXT(($D652-$C652+1)+23,"00"),"")&amp;IF($C652&gt;=25,", "&amp;$A652&amp;"-"&amp;TEXT(($D652-$C652+1)+24,"00"),""))</f>
        <v/>
      </c>
      <c r="G652">
        <f>IF($A652="","",IF($E652=1,$F652,IF($F652="",$G651,IF($G651="",$F652,$G651&amp;", "&amp;$F652))))</f>
        <v/>
      </c>
      <c r="H652">
        <f>IF($A652="","",$A652&amp;" ("&amp;$C652&amp;")")</f>
        <v/>
      </c>
      <c r="I652">
        <f>IF($A652="","",IF($E652=1,$H652,$I651&amp;", "&amp;$H652))</f>
        <v/>
      </c>
      <c r="J652">
        <f>IF($A652="","",IF($E652=1,$B652,""))</f>
        <v/>
      </c>
      <c r="K652">
        <f>IF($A652="","",IF(COUNTIF($B$2:$B652,$B652)=COUNTIF($B$2:$B$1601,$B652),$B652,""))</f>
        <v/>
      </c>
    </row>
    <row r="653">
      <c r="A653">
        <f>IF('TMP Paste'!$E653="","",'TMP Paste'!$E653)</f>
        <v/>
      </c>
      <c r="B653">
        <f>IF($A653="","",COUNTIF('TMP Paste'!$B$2:$B653,"?*"))</f>
        <v/>
      </c>
      <c r="C653">
        <f>IF($A653="","",IFERROR('TMP Paste'!$M653*1,0))</f>
        <v/>
      </c>
      <c r="D653">
        <f>IF($A653="","",SUMIF($B$2:$B653,$B653,$C$2:$C653))</f>
        <v/>
      </c>
      <c r="E653">
        <f>IF($A653="",0,IF('TMP Paste'!$B653="",0,1))</f>
        <v/>
      </c>
      <c r="F653">
        <f>IF(OR($A653="",$C653&lt;1),"",$A653&amp;"-"&amp;TEXT(($D653-$C653+1),"00")&amp;IF($C653&gt;=2,", "&amp;$A653&amp;"-"&amp;TEXT(($D653-$C653+1)+1,"00"),"")&amp;IF($C653&gt;=3,", "&amp;$A653&amp;"-"&amp;TEXT(($D653-$C653+1)+2,"00"),"")&amp;IF($C653&gt;=4,", "&amp;$A653&amp;"-"&amp;TEXT(($D653-$C653+1)+3,"00"),"")&amp;IF($C653&gt;=5,", "&amp;$A653&amp;"-"&amp;TEXT(($D653-$C653+1)+4,"00"),"")&amp;IF($C653&gt;=6,", "&amp;$A653&amp;"-"&amp;TEXT(($D653-$C653+1)+5,"00"),"")&amp;IF($C653&gt;=7,", "&amp;$A653&amp;"-"&amp;TEXT(($D653-$C653+1)+6,"00"),"")&amp;IF($C653&gt;=8,", "&amp;$A653&amp;"-"&amp;TEXT(($D653-$C653+1)+7,"00"),"")&amp;IF($C653&gt;=9,", "&amp;$A653&amp;"-"&amp;TEXT(($D653-$C653+1)+8,"00"),"")&amp;IF($C653&gt;=10,", "&amp;$A653&amp;"-"&amp;TEXT(($D653-$C653+1)+9,"00"),"")&amp;IF($C653&gt;=11,", "&amp;$A653&amp;"-"&amp;TEXT(($D653-$C653+1)+10,"00"),"")&amp;IF($C653&gt;=12,", "&amp;$A653&amp;"-"&amp;TEXT(($D653-$C653+1)+11,"00"),"")&amp;IF($C653&gt;=13,", "&amp;$A653&amp;"-"&amp;TEXT(($D653-$C653+1)+12,"00"),"")&amp;IF($C653&gt;=14,", "&amp;$A653&amp;"-"&amp;TEXT(($D653-$C653+1)+13,"00"),"")&amp;IF($C653&gt;=15,", "&amp;$A653&amp;"-"&amp;TEXT(($D653-$C653+1)+14,"00"),"")&amp;IF($C653&gt;=16,", "&amp;$A653&amp;"-"&amp;TEXT(($D653-$C653+1)+15,"00"),"")&amp;IF($C653&gt;=17,", "&amp;$A653&amp;"-"&amp;TEXT(($D653-$C653+1)+16,"00"),"")&amp;IF($C653&gt;=18,", "&amp;$A653&amp;"-"&amp;TEXT(($D653-$C653+1)+17,"00"),"")&amp;IF($C653&gt;=19,", "&amp;$A653&amp;"-"&amp;TEXT(($D653-$C653+1)+18,"00"),"")&amp;IF($C653&gt;=20,", "&amp;$A653&amp;"-"&amp;TEXT(($D653-$C653+1)+19,"00"),"")&amp;IF($C653&gt;=21,", "&amp;$A653&amp;"-"&amp;TEXT(($D653-$C653+1)+20,"00"),"")&amp;IF($C653&gt;=22,", "&amp;$A653&amp;"-"&amp;TEXT(($D653-$C653+1)+21,"00"),"")&amp;IF($C653&gt;=23,", "&amp;$A653&amp;"-"&amp;TEXT(($D653-$C653+1)+22,"00"),"")&amp;IF($C653&gt;=24,", "&amp;$A653&amp;"-"&amp;TEXT(($D653-$C653+1)+23,"00"),"")&amp;IF($C653&gt;=25,", "&amp;$A653&amp;"-"&amp;TEXT(($D653-$C653+1)+24,"00"),""))</f>
        <v/>
      </c>
      <c r="G653">
        <f>IF($A653="","",IF($E653=1,$F653,IF($F653="",$G652,IF($G652="",$F653,$G652&amp;", "&amp;$F653))))</f>
        <v/>
      </c>
      <c r="H653">
        <f>IF($A653="","",$A653&amp;" ("&amp;$C653&amp;")")</f>
        <v/>
      </c>
      <c r="I653">
        <f>IF($A653="","",IF($E653=1,$H653,$I652&amp;", "&amp;$H653))</f>
        <v/>
      </c>
      <c r="J653">
        <f>IF($A653="","",IF($E653=1,$B653,""))</f>
        <v/>
      </c>
      <c r="K653">
        <f>IF($A653="","",IF(COUNTIF($B$2:$B653,$B653)=COUNTIF($B$2:$B$1601,$B653),$B653,""))</f>
        <v/>
      </c>
    </row>
    <row r="654">
      <c r="A654">
        <f>IF('TMP Paste'!$E654="","",'TMP Paste'!$E654)</f>
        <v/>
      </c>
      <c r="B654">
        <f>IF($A654="","",COUNTIF('TMP Paste'!$B$2:$B654,"?*"))</f>
        <v/>
      </c>
      <c r="C654">
        <f>IF($A654="","",IFERROR('TMP Paste'!$M654*1,0))</f>
        <v/>
      </c>
      <c r="D654">
        <f>IF($A654="","",SUMIF($B$2:$B654,$B654,$C$2:$C654))</f>
        <v/>
      </c>
      <c r="E654">
        <f>IF($A654="",0,IF('TMP Paste'!$B654="",0,1))</f>
        <v/>
      </c>
      <c r="F654">
        <f>IF(OR($A654="",$C654&lt;1),"",$A654&amp;"-"&amp;TEXT(($D654-$C654+1),"00")&amp;IF($C654&gt;=2,", "&amp;$A654&amp;"-"&amp;TEXT(($D654-$C654+1)+1,"00"),"")&amp;IF($C654&gt;=3,", "&amp;$A654&amp;"-"&amp;TEXT(($D654-$C654+1)+2,"00"),"")&amp;IF($C654&gt;=4,", "&amp;$A654&amp;"-"&amp;TEXT(($D654-$C654+1)+3,"00"),"")&amp;IF($C654&gt;=5,", "&amp;$A654&amp;"-"&amp;TEXT(($D654-$C654+1)+4,"00"),"")&amp;IF($C654&gt;=6,", "&amp;$A654&amp;"-"&amp;TEXT(($D654-$C654+1)+5,"00"),"")&amp;IF($C654&gt;=7,", "&amp;$A654&amp;"-"&amp;TEXT(($D654-$C654+1)+6,"00"),"")&amp;IF($C654&gt;=8,", "&amp;$A654&amp;"-"&amp;TEXT(($D654-$C654+1)+7,"00"),"")&amp;IF($C654&gt;=9,", "&amp;$A654&amp;"-"&amp;TEXT(($D654-$C654+1)+8,"00"),"")&amp;IF($C654&gt;=10,", "&amp;$A654&amp;"-"&amp;TEXT(($D654-$C654+1)+9,"00"),"")&amp;IF($C654&gt;=11,", "&amp;$A654&amp;"-"&amp;TEXT(($D654-$C654+1)+10,"00"),"")&amp;IF($C654&gt;=12,", "&amp;$A654&amp;"-"&amp;TEXT(($D654-$C654+1)+11,"00"),"")&amp;IF($C654&gt;=13,", "&amp;$A654&amp;"-"&amp;TEXT(($D654-$C654+1)+12,"00"),"")&amp;IF($C654&gt;=14,", "&amp;$A654&amp;"-"&amp;TEXT(($D654-$C654+1)+13,"00"),"")&amp;IF($C654&gt;=15,", "&amp;$A654&amp;"-"&amp;TEXT(($D654-$C654+1)+14,"00"),"")&amp;IF($C654&gt;=16,", "&amp;$A654&amp;"-"&amp;TEXT(($D654-$C654+1)+15,"00"),"")&amp;IF($C654&gt;=17,", "&amp;$A654&amp;"-"&amp;TEXT(($D654-$C654+1)+16,"00"),"")&amp;IF($C654&gt;=18,", "&amp;$A654&amp;"-"&amp;TEXT(($D654-$C654+1)+17,"00"),"")&amp;IF($C654&gt;=19,", "&amp;$A654&amp;"-"&amp;TEXT(($D654-$C654+1)+18,"00"),"")&amp;IF($C654&gt;=20,", "&amp;$A654&amp;"-"&amp;TEXT(($D654-$C654+1)+19,"00"),"")&amp;IF($C654&gt;=21,", "&amp;$A654&amp;"-"&amp;TEXT(($D654-$C654+1)+20,"00"),"")&amp;IF($C654&gt;=22,", "&amp;$A654&amp;"-"&amp;TEXT(($D654-$C654+1)+21,"00"),"")&amp;IF($C654&gt;=23,", "&amp;$A654&amp;"-"&amp;TEXT(($D654-$C654+1)+22,"00"),"")&amp;IF($C654&gt;=24,", "&amp;$A654&amp;"-"&amp;TEXT(($D654-$C654+1)+23,"00"),"")&amp;IF($C654&gt;=25,", "&amp;$A654&amp;"-"&amp;TEXT(($D654-$C654+1)+24,"00"),""))</f>
        <v/>
      </c>
      <c r="G654">
        <f>IF($A654="","",IF($E654=1,$F654,IF($F654="",$G653,IF($G653="",$F654,$G653&amp;", "&amp;$F654))))</f>
        <v/>
      </c>
      <c r="H654">
        <f>IF($A654="","",$A654&amp;" ("&amp;$C654&amp;")")</f>
        <v/>
      </c>
      <c r="I654">
        <f>IF($A654="","",IF($E654=1,$H654,$I653&amp;", "&amp;$H654))</f>
        <v/>
      </c>
      <c r="J654">
        <f>IF($A654="","",IF($E654=1,$B654,""))</f>
        <v/>
      </c>
      <c r="K654">
        <f>IF($A654="","",IF(COUNTIF($B$2:$B654,$B654)=COUNTIF($B$2:$B$1601,$B654),$B654,""))</f>
        <v/>
      </c>
    </row>
    <row r="655">
      <c r="A655">
        <f>IF('TMP Paste'!$E655="","",'TMP Paste'!$E655)</f>
        <v/>
      </c>
      <c r="B655">
        <f>IF($A655="","",COUNTIF('TMP Paste'!$B$2:$B655,"?*"))</f>
        <v/>
      </c>
      <c r="C655">
        <f>IF($A655="","",IFERROR('TMP Paste'!$M655*1,0))</f>
        <v/>
      </c>
      <c r="D655">
        <f>IF($A655="","",SUMIF($B$2:$B655,$B655,$C$2:$C655))</f>
        <v/>
      </c>
      <c r="E655">
        <f>IF($A655="",0,IF('TMP Paste'!$B655="",0,1))</f>
        <v/>
      </c>
      <c r="F655">
        <f>IF(OR($A655="",$C655&lt;1),"",$A655&amp;"-"&amp;TEXT(($D655-$C655+1),"00")&amp;IF($C655&gt;=2,", "&amp;$A655&amp;"-"&amp;TEXT(($D655-$C655+1)+1,"00"),"")&amp;IF($C655&gt;=3,", "&amp;$A655&amp;"-"&amp;TEXT(($D655-$C655+1)+2,"00"),"")&amp;IF($C655&gt;=4,", "&amp;$A655&amp;"-"&amp;TEXT(($D655-$C655+1)+3,"00"),"")&amp;IF($C655&gt;=5,", "&amp;$A655&amp;"-"&amp;TEXT(($D655-$C655+1)+4,"00"),"")&amp;IF($C655&gt;=6,", "&amp;$A655&amp;"-"&amp;TEXT(($D655-$C655+1)+5,"00"),"")&amp;IF($C655&gt;=7,", "&amp;$A655&amp;"-"&amp;TEXT(($D655-$C655+1)+6,"00"),"")&amp;IF($C655&gt;=8,", "&amp;$A655&amp;"-"&amp;TEXT(($D655-$C655+1)+7,"00"),"")&amp;IF($C655&gt;=9,", "&amp;$A655&amp;"-"&amp;TEXT(($D655-$C655+1)+8,"00"),"")&amp;IF($C655&gt;=10,", "&amp;$A655&amp;"-"&amp;TEXT(($D655-$C655+1)+9,"00"),"")&amp;IF($C655&gt;=11,", "&amp;$A655&amp;"-"&amp;TEXT(($D655-$C655+1)+10,"00"),"")&amp;IF($C655&gt;=12,", "&amp;$A655&amp;"-"&amp;TEXT(($D655-$C655+1)+11,"00"),"")&amp;IF($C655&gt;=13,", "&amp;$A655&amp;"-"&amp;TEXT(($D655-$C655+1)+12,"00"),"")&amp;IF($C655&gt;=14,", "&amp;$A655&amp;"-"&amp;TEXT(($D655-$C655+1)+13,"00"),"")&amp;IF($C655&gt;=15,", "&amp;$A655&amp;"-"&amp;TEXT(($D655-$C655+1)+14,"00"),"")&amp;IF($C655&gt;=16,", "&amp;$A655&amp;"-"&amp;TEXT(($D655-$C655+1)+15,"00"),"")&amp;IF($C655&gt;=17,", "&amp;$A655&amp;"-"&amp;TEXT(($D655-$C655+1)+16,"00"),"")&amp;IF($C655&gt;=18,", "&amp;$A655&amp;"-"&amp;TEXT(($D655-$C655+1)+17,"00"),"")&amp;IF($C655&gt;=19,", "&amp;$A655&amp;"-"&amp;TEXT(($D655-$C655+1)+18,"00"),"")&amp;IF($C655&gt;=20,", "&amp;$A655&amp;"-"&amp;TEXT(($D655-$C655+1)+19,"00"),"")&amp;IF($C655&gt;=21,", "&amp;$A655&amp;"-"&amp;TEXT(($D655-$C655+1)+20,"00"),"")&amp;IF($C655&gt;=22,", "&amp;$A655&amp;"-"&amp;TEXT(($D655-$C655+1)+21,"00"),"")&amp;IF($C655&gt;=23,", "&amp;$A655&amp;"-"&amp;TEXT(($D655-$C655+1)+22,"00"),"")&amp;IF($C655&gt;=24,", "&amp;$A655&amp;"-"&amp;TEXT(($D655-$C655+1)+23,"00"),"")&amp;IF($C655&gt;=25,", "&amp;$A655&amp;"-"&amp;TEXT(($D655-$C655+1)+24,"00"),""))</f>
        <v/>
      </c>
      <c r="G655">
        <f>IF($A655="","",IF($E655=1,$F655,IF($F655="",$G654,IF($G654="",$F655,$G654&amp;", "&amp;$F655))))</f>
        <v/>
      </c>
      <c r="H655">
        <f>IF($A655="","",$A655&amp;" ("&amp;$C655&amp;")")</f>
        <v/>
      </c>
      <c r="I655">
        <f>IF($A655="","",IF($E655=1,$H655,$I654&amp;", "&amp;$H655))</f>
        <v/>
      </c>
      <c r="J655">
        <f>IF($A655="","",IF($E655=1,$B655,""))</f>
        <v/>
      </c>
      <c r="K655">
        <f>IF($A655="","",IF(COUNTIF($B$2:$B655,$B655)=COUNTIF($B$2:$B$1601,$B655),$B655,""))</f>
        <v/>
      </c>
    </row>
    <row r="656">
      <c r="A656">
        <f>IF('TMP Paste'!$E656="","",'TMP Paste'!$E656)</f>
        <v/>
      </c>
      <c r="B656">
        <f>IF($A656="","",COUNTIF('TMP Paste'!$B$2:$B656,"?*"))</f>
        <v/>
      </c>
      <c r="C656">
        <f>IF($A656="","",IFERROR('TMP Paste'!$M656*1,0))</f>
        <v/>
      </c>
      <c r="D656">
        <f>IF($A656="","",SUMIF($B$2:$B656,$B656,$C$2:$C656))</f>
        <v/>
      </c>
      <c r="E656">
        <f>IF($A656="",0,IF('TMP Paste'!$B656="",0,1))</f>
        <v/>
      </c>
      <c r="F656">
        <f>IF(OR($A656="",$C656&lt;1),"",$A656&amp;"-"&amp;TEXT(($D656-$C656+1),"00")&amp;IF($C656&gt;=2,", "&amp;$A656&amp;"-"&amp;TEXT(($D656-$C656+1)+1,"00"),"")&amp;IF($C656&gt;=3,", "&amp;$A656&amp;"-"&amp;TEXT(($D656-$C656+1)+2,"00"),"")&amp;IF($C656&gt;=4,", "&amp;$A656&amp;"-"&amp;TEXT(($D656-$C656+1)+3,"00"),"")&amp;IF($C656&gt;=5,", "&amp;$A656&amp;"-"&amp;TEXT(($D656-$C656+1)+4,"00"),"")&amp;IF($C656&gt;=6,", "&amp;$A656&amp;"-"&amp;TEXT(($D656-$C656+1)+5,"00"),"")&amp;IF($C656&gt;=7,", "&amp;$A656&amp;"-"&amp;TEXT(($D656-$C656+1)+6,"00"),"")&amp;IF($C656&gt;=8,", "&amp;$A656&amp;"-"&amp;TEXT(($D656-$C656+1)+7,"00"),"")&amp;IF($C656&gt;=9,", "&amp;$A656&amp;"-"&amp;TEXT(($D656-$C656+1)+8,"00"),"")&amp;IF($C656&gt;=10,", "&amp;$A656&amp;"-"&amp;TEXT(($D656-$C656+1)+9,"00"),"")&amp;IF($C656&gt;=11,", "&amp;$A656&amp;"-"&amp;TEXT(($D656-$C656+1)+10,"00"),"")&amp;IF($C656&gt;=12,", "&amp;$A656&amp;"-"&amp;TEXT(($D656-$C656+1)+11,"00"),"")&amp;IF($C656&gt;=13,", "&amp;$A656&amp;"-"&amp;TEXT(($D656-$C656+1)+12,"00"),"")&amp;IF($C656&gt;=14,", "&amp;$A656&amp;"-"&amp;TEXT(($D656-$C656+1)+13,"00"),"")&amp;IF($C656&gt;=15,", "&amp;$A656&amp;"-"&amp;TEXT(($D656-$C656+1)+14,"00"),"")&amp;IF($C656&gt;=16,", "&amp;$A656&amp;"-"&amp;TEXT(($D656-$C656+1)+15,"00"),"")&amp;IF($C656&gt;=17,", "&amp;$A656&amp;"-"&amp;TEXT(($D656-$C656+1)+16,"00"),"")&amp;IF($C656&gt;=18,", "&amp;$A656&amp;"-"&amp;TEXT(($D656-$C656+1)+17,"00"),"")&amp;IF($C656&gt;=19,", "&amp;$A656&amp;"-"&amp;TEXT(($D656-$C656+1)+18,"00"),"")&amp;IF($C656&gt;=20,", "&amp;$A656&amp;"-"&amp;TEXT(($D656-$C656+1)+19,"00"),"")&amp;IF($C656&gt;=21,", "&amp;$A656&amp;"-"&amp;TEXT(($D656-$C656+1)+20,"00"),"")&amp;IF($C656&gt;=22,", "&amp;$A656&amp;"-"&amp;TEXT(($D656-$C656+1)+21,"00"),"")&amp;IF($C656&gt;=23,", "&amp;$A656&amp;"-"&amp;TEXT(($D656-$C656+1)+22,"00"),"")&amp;IF($C656&gt;=24,", "&amp;$A656&amp;"-"&amp;TEXT(($D656-$C656+1)+23,"00"),"")&amp;IF($C656&gt;=25,", "&amp;$A656&amp;"-"&amp;TEXT(($D656-$C656+1)+24,"00"),""))</f>
        <v/>
      </c>
      <c r="G656">
        <f>IF($A656="","",IF($E656=1,$F656,IF($F656="",$G655,IF($G655="",$F656,$G655&amp;", "&amp;$F656))))</f>
        <v/>
      </c>
      <c r="H656">
        <f>IF($A656="","",$A656&amp;" ("&amp;$C656&amp;")")</f>
        <v/>
      </c>
      <c r="I656">
        <f>IF($A656="","",IF($E656=1,$H656,$I655&amp;", "&amp;$H656))</f>
        <v/>
      </c>
      <c r="J656">
        <f>IF($A656="","",IF($E656=1,$B656,""))</f>
        <v/>
      </c>
      <c r="K656">
        <f>IF($A656="","",IF(COUNTIF($B$2:$B656,$B656)=COUNTIF($B$2:$B$1601,$B656),$B656,""))</f>
        <v/>
      </c>
    </row>
    <row r="657">
      <c r="A657">
        <f>IF('TMP Paste'!$E657="","",'TMP Paste'!$E657)</f>
        <v/>
      </c>
      <c r="B657">
        <f>IF($A657="","",COUNTIF('TMP Paste'!$B$2:$B657,"?*"))</f>
        <v/>
      </c>
      <c r="C657">
        <f>IF($A657="","",IFERROR('TMP Paste'!$M657*1,0))</f>
        <v/>
      </c>
      <c r="D657">
        <f>IF($A657="","",SUMIF($B$2:$B657,$B657,$C$2:$C657))</f>
        <v/>
      </c>
      <c r="E657">
        <f>IF($A657="",0,IF('TMP Paste'!$B657="",0,1))</f>
        <v/>
      </c>
      <c r="F657">
        <f>IF(OR($A657="",$C657&lt;1),"",$A657&amp;"-"&amp;TEXT(($D657-$C657+1),"00")&amp;IF($C657&gt;=2,", "&amp;$A657&amp;"-"&amp;TEXT(($D657-$C657+1)+1,"00"),"")&amp;IF($C657&gt;=3,", "&amp;$A657&amp;"-"&amp;TEXT(($D657-$C657+1)+2,"00"),"")&amp;IF($C657&gt;=4,", "&amp;$A657&amp;"-"&amp;TEXT(($D657-$C657+1)+3,"00"),"")&amp;IF($C657&gt;=5,", "&amp;$A657&amp;"-"&amp;TEXT(($D657-$C657+1)+4,"00"),"")&amp;IF($C657&gt;=6,", "&amp;$A657&amp;"-"&amp;TEXT(($D657-$C657+1)+5,"00"),"")&amp;IF($C657&gt;=7,", "&amp;$A657&amp;"-"&amp;TEXT(($D657-$C657+1)+6,"00"),"")&amp;IF($C657&gt;=8,", "&amp;$A657&amp;"-"&amp;TEXT(($D657-$C657+1)+7,"00"),"")&amp;IF($C657&gt;=9,", "&amp;$A657&amp;"-"&amp;TEXT(($D657-$C657+1)+8,"00"),"")&amp;IF($C657&gt;=10,", "&amp;$A657&amp;"-"&amp;TEXT(($D657-$C657+1)+9,"00"),"")&amp;IF($C657&gt;=11,", "&amp;$A657&amp;"-"&amp;TEXT(($D657-$C657+1)+10,"00"),"")&amp;IF($C657&gt;=12,", "&amp;$A657&amp;"-"&amp;TEXT(($D657-$C657+1)+11,"00"),"")&amp;IF($C657&gt;=13,", "&amp;$A657&amp;"-"&amp;TEXT(($D657-$C657+1)+12,"00"),"")&amp;IF($C657&gt;=14,", "&amp;$A657&amp;"-"&amp;TEXT(($D657-$C657+1)+13,"00"),"")&amp;IF($C657&gt;=15,", "&amp;$A657&amp;"-"&amp;TEXT(($D657-$C657+1)+14,"00"),"")&amp;IF($C657&gt;=16,", "&amp;$A657&amp;"-"&amp;TEXT(($D657-$C657+1)+15,"00"),"")&amp;IF($C657&gt;=17,", "&amp;$A657&amp;"-"&amp;TEXT(($D657-$C657+1)+16,"00"),"")&amp;IF($C657&gt;=18,", "&amp;$A657&amp;"-"&amp;TEXT(($D657-$C657+1)+17,"00"),"")&amp;IF($C657&gt;=19,", "&amp;$A657&amp;"-"&amp;TEXT(($D657-$C657+1)+18,"00"),"")&amp;IF($C657&gt;=20,", "&amp;$A657&amp;"-"&amp;TEXT(($D657-$C657+1)+19,"00"),"")&amp;IF($C657&gt;=21,", "&amp;$A657&amp;"-"&amp;TEXT(($D657-$C657+1)+20,"00"),"")&amp;IF($C657&gt;=22,", "&amp;$A657&amp;"-"&amp;TEXT(($D657-$C657+1)+21,"00"),"")&amp;IF($C657&gt;=23,", "&amp;$A657&amp;"-"&amp;TEXT(($D657-$C657+1)+22,"00"),"")&amp;IF($C657&gt;=24,", "&amp;$A657&amp;"-"&amp;TEXT(($D657-$C657+1)+23,"00"),"")&amp;IF($C657&gt;=25,", "&amp;$A657&amp;"-"&amp;TEXT(($D657-$C657+1)+24,"00"),""))</f>
        <v/>
      </c>
      <c r="G657">
        <f>IF($A657="","",IF($E657=1,$F657,IF($F657="",$G656,IF($G656="",$F657,$G656&amp;", "&amp;$F657))))</f>
        <v/>
      </c>
      <c r="H657">
        <f>IF($A657="","",$A657&amp;" ("&amp;$C657&amp;")")</f>
        <v/>
      </c>
      <c r="I657">
        <f>IF($A657="","",IF($E657=1,$H657,$I656&amp;", "&amp;$H657))</f>
        <v/>
      </c>
      <c r="J657">
        <f>IF($A657="","",IF($E657=1,$B657,""))</f>
        <v/>
      </c>
      <c r="K657">
        <f>IF($A657="","",IF(COUNTIF($B$2:$B657,$B657)=COUNTIF($B$2:$B$1601,$B657),$B657,""))</f>
        <v/>
      </c>
    </row>
    <row r="658">
      <c r="A658">
        <f>IF('TMP Paste'!$E658="","",'TMP Paste'!$E658)</f>
        <v/>
      </c>
      <c r="B658">
        <f>IF($A658="","",COUNTIF('TMP Paste'!$B$2:$B658,"?*"))</f>
        <v/>
      </c>
      <c r="C658">
        <f>IF($A658="","",IFERROR('TMP Paste'!$M658*1,0))</f>
        <v/>
      </c>
      <c r="D658">
        <f>IF($A658="","",SUMIF($B$2:$B658,$B658,$C$2:$C658))</f>
        <v/>
      </c>
      <c r="E658">
        <f>IF($A658="",0,IF('TMP Paste'!$B658="",0,1))</f>
        <v/>
      </c>
      <c r="F658">
        <f>IF(OR($A658="",$C658&lt;1),"",$A658&amp;"-"&amp;TEXT(($D658-$C658+1),"00")&amp;IF($C658&gt;=2,", "&amp;$A658&amp;"-"&amp;TEXT(($D658-$C658+1)+1,"00"),"")&amp;IF($C658&gt;=3,", "&amp;$A658&amp;"-"&amp;TEXT(($D658-$C658+1)+2,"00"),"")&amp;IF($C658&gt;=4,", "&amp;$A658&amp;"-"&amp;TEXT(($D658-$C658+1)+3,"00"),"")&amp;IF($C658&gt;=5,", "&amp;$A658&amp;"-"&amp;TEXT(($D658-$C658+1)+4,"00"),"")&amp;IF($C658&gt;=6,", "&amp;$A658&amp;"-"&amp;TEXT(($D658-$C658+1)+5,"00"),"")&amp;IF($C658&gt;=7,", "&amp;$A658&amp;"-"&amp;TEXT(($D658-$C658+1)+6,"00"),"")&amp;IF($C658&gt;=8,", "&amp;$A658&amp;"-"&amp;TEXT(($D658-$C658+1)+7,"00"),"")&amp;IF($C658&gt;=9,", "&amp;$A658&amp;"-"&amp;TEXT(($D658-$C658+1)+8,"00"),"")&amp;IF($C658&gt;=10,", "&amp;$A658&amp;"-"&amp;TEXT(($D658-$C658+1)+9,"00"),"")&amp;IF($C658&gt;=11,", "&amp;$A658&amp;"-"&amp;TEXT(($D658-$C658+1)+10,"00"),"")&amp;IF($C658&gt;=12,", "&amp;$A658&amp;"-"&amp;TEXT(($D658-$C658+1)+11,"00"),"")&amp;IF($C658&gt;=13,", "&amp;$A658&amp;"-"&amp;TEXT(($D658-$C658+1)+12,"00"),"")&amp;IF($C658&gt;=14,", "&amp;$A658&amp;"-"&amp;TEXT(($D658-$C658+1)+13,"00"),"")&amp;IF($C658&gt;=15,", "&amp;$A658&amp;"-"&amp;TEXT(($D658-$C658+1)+14,"00"),"")&amp;IF($C658&gt;=16,", "&amp;$A658&amp;"-"&amp;TEXT(($D658-$C658+1)+15,"00"),"")&amp;IF($C658&gt;=17,", "&amp;$A658&amp;"-"&amp;TEXT(($D658-$C658+1)+16,"00"),"")&amp;IF($C658&gt;=18,", "&amp;$A658&amp;"-"&amp;TEXT(($D658-$C658+1)+17,"00"),"")&amp;IF($C658&gt;=19,", "&amp;$A658&amp;"-"&amp;TEXT(($D658-$C658+1)+18,"00"),"")&amp;IF($C658&gt;=20,", "&amp;$A658&amp;"-"&amp;TEXT(($D658-$C658+1)+19,"00"),"")&amp;IF($C658&gt;=21,", "&amp;$A658&amp;"-"&amp;TEXT(($D658-$C658+1)+20,"00"),"")&amp;IF($C658&gt;=22,", "&amp;$A658&amp;"-"&amp;TEXT(($D658-$C658+1)+21,"00"),"")&amp;IF($C658&gt;=23,", "&amp;$A658&amp;"-"&amp;TEXT(($D658-$C658+1)+22,"00"),"")&amp;IF($C658&gt;=24,", "&amp;$A658&amp;"-"&amp;TEXT(($D658-$C658+1)+23,"00"),"")&amp;IF($C658&gt;=25,", "&amp;$A658&amp;"-"&amp;TEXT(($D658-$C658+1)+24,"00"),""))</f>
        <v/>
      </c>
      <c r="G658">
        <f>IF($A658="","",IF($E658=1,$F658,IF($F658="",$G657,IF($G657="",$F658,$G657&amp;", "&amp;$F658))))</f>
        <v/>
      </c>
      <c r="H658">
        <f>IF($A658="","",$A658&amp;" ("&amp;$C658&amp;")")</f>
        <v/>
      </c>
      <c r="I658">
        <f>IF($A658="","",IF($E658=1,$H658,$I657&amp;", "&amp;$H658))</f>
        <v/>
      </c>
      <c r="J658">
        <f>IF($A658="","",IF($E658=1,$B658,""))</f>
        <v/>
      </c>
      <c r="K658">
        <f>IF($A658="","",IF(COUNTIF($B$2:$B658,$B658)=COUNTIF($B$2:$B$1601,$B658),$B658,""))</f>
        <v/>
      </c>
    </row>
    <row r="659">
      <c r="A659">
        <f>IF('TMP Paste'!$E659="","",'TMP Paste'!$E659)</f>
        <v/>
      </c>
      <c r="B659">
        <f>IF($A659="","",COUNTIF('TMP Paste'!$B$2:$B659,"?*"))</f>
        <v/>
      </c>
      <c r="C659">
        <f>IF($A659="","",IFERROR('TMP Paste'!$M659*1,0))</f>
        <v/>
      </c>
      <c r="D659">
        <f>IF($A659="","",SUMIF($B$2:$B659,$B659,$C$2:$C659))</f>
        <v/>
      </c>
      <c r="E659">
        <f>IF($A659="",0,IF('TMP Paste'!$B659="",0,1))</f>
        <v/>
      </c>
      <c r="F659">
        <f>IF(OR($A659="",$C659&lt;1),"",$A659&amp;"-"&amp;TEXT(($D659-$C659+1),"00")&amp;IF($C659&gt;=2,", "&amp;$A659&amp;"-"&amp;TEXT(($D659-$C659+1)+1,"00"),"")&amp;IF($C659&gt;=3,", "&amp;$A659&amp;"-"&amp;TEXT(($D659-$C659+1)+2,"00"),"")&amp;IF($C659&gt;=4,", "&amp;$A659&amp;"-"&amp;TEXT(($D659-$C659+1)+3,"00"),"")&amp;IF($C659&gt;=5,", "&amp;$A659&amp;"-"&amp;TEXT(($D659-$C659+1)+4,"00"),"")&amp;IF($C659&gt;=6,", "&amp;$A659&amp;"-"&amp;TEXT(($D659-$C659+1)+5,"00"),"")&amp;IF($C659&gt;=7,", "&amp;$A659&amp;"-"&amp;TEXT(($D659-$C659+1)+6,"00"),"")&amp;IF($C659&gt;=8,", "&amp;$A659&amp;"-"&amp;TEXT(($D659-$C659+1)+7,"00"),"")&amp;IF($C659&gt;=9,", "&amp;$A659&amp;"-"&amp;TEXT(($D659-$C659+1)+8,"00"),"")&amp;IF($C659&gt;=10,", "&amp;$A659&amp;"-"&amp;TEXT(($D659-$C659+1)+9,"00"),"")&amp;IF($C659&gt;=11,", "&amp;$A659&amp;"-"&amp;TEXT(($D659-$C659+1)+10,"00"),"")&amp;IF($C659&gt;=12,", "&amp;$A659&amp;"-"&amp;TEXT(($D659-$C659+1)+11,"00"),"")&amp;IF($C659&gt;=13,", "&amp;$A659&amp;"-"&amp;TEXT(($D659-$C659+1)+12,"00"),"")&amp;IF($C659&gt;=14,", "&amp;$A659&amp;"-"&amp;TEXT(($D659-$C659+1)+13,"00"),"")&amp;IF($C659&gt;=15,", "&amp;$A659&amp;"-"&amp;TEXT(($D659-$C659+1)+14,"00"),"")&amp;IF($C659&gt;=16,", "&amp;$A659&amp;"-"&amp;TEXT(($D659-$C659+1)+15,"00"),"")&amp;IF($C659&gt;=17,", "&amp;$A659&amp;"-"&amp;TEXT(($D659-$C659+1)+16,"00"),"")&amp;IF($C659&gt;=18,", "&amp;$A659&amp;"-"&amp;TEXT(($D659-$C659+1)+17,"00"),"")&amp;IF($C659&gt;=19,", "&amp;$A659&amp;"-"&amp;TEXT(($D659-$C659+1)+18,"00"),"")&amp;IF($C659&gt;=20,", "&amp;$A659&amp;"-"&amp;TEXT(($D659-$C659+1)+19,"00"),"")&amp;IF($C659&gt;=21,", "&amp;$A659&amp;"-"&amp;TEXT(($D659-$C659+1)+20,"00"),"")&amp;IF($C659&gt;=22,", "&amp;$A659&amp;"-"&amp;TEXT(($D659-$C659+1)+21,"00"),"")&amp;IF($C659&gt;=23,", "&amp;$A659&amp;"-"&amp;TEXT(($D659-$C659+1)+22,"00"),"")&amp;IF($C659&gt;=24,", "&amp;$A659&amp;"-"&amp;TEXT(($D659-$C659+1)+23,"00"),"")&amp;IF($C659&gt;=25,", "&amp;$A659&amp;"-"&amp;TEXT(($D659-$C659+1)+24,"00"),""))</f>
        <v/>
      </c>
      <c r="G659">
        <f>IF($A659="","",IF($E659=1,$F659,IF($F659="",$G658,IF($G658="",$F659,$G658&amp;", "&amp;$F659))))</f>
        <v/>
      </c>
      <c r="H659">
        <f>IF($A659="","",$A659&amp;" ("&amp;$C659&amp;")")</f>
        <v/>
      </c>
      <c r="I659">
        <f>IF($A659="","",IF($E659=1,$H659,$I658&amp;", "&amp;$H659))</f>
        <v/>
      </c>
      <c r="J659">
        <f>IF($A659="","",IF($E659=1,$B659,""))</f>
        <v/>
      </c>
      <c r="K659">
        <f>IF($A659="","",IF(COUNTIF($B$2:$B659,$B659)=COUNTIF($B$2:$B$1601,$B659),$B659,""))</f>
        <v/>
      </c>
    </row>
    <row r="660">
      <c r="A660">
        <f>IF('TMP Paste'!$E660="","",'TMP Paste'!$E660)</f>
        <v/>
      </c>
      <c r="B660">
        <f>IF($A660="","",COUNTIF('TMP Paste'!$B$2:$B660,"?*"))</f>
        <v/>
      </c>
      <c r="C660">
        <f>IF($A660="","",IFERROR('TMP Paste'!$M660*1,0))</f>
        <v/>
      </c>
      <c r="D660">
        <f>IF($A660="","",SUMIF($B$2:$B660,$B660,$C$2:$C660))</f>
        <v/>
      </c>
      <c r="E660">
        <f>IF($A660="",0,IF('TMP Paste'!$B660="",0,1))</f>
        <v/>
      </c>
      <c r="F660">
        <f>IF(OR($A660="",$C660&lt;1),"",$A660&amp;"-"&amp;TEXT(($D660-$C660+1),"00")&amp;IF($C660&gt;=2,", "&amp;$A660&amp;"-"&amp;TEXT(($D660-$C660+1)+1,"00"),"")&amp;IF($C660&gt;=3,", "&amp;$A660&amp;"-"&amp;TEXT(($D660-$C660+1)+2,"00"),"")&amp;IF($C660&gt;=4,", "&amp;$A660&amp;"-"&amp;TEXT(($D660-$C660+1)+3,"00"),"")&amp;IF($C660&gt;=5,", "&amp;$A660&amp;"-"&amp;TEXT(($D660-$C660+1)+4,"00"),"")&amp;IF($C660&gt;=6,", "&amp;$A660&amp;"-"&amp;TEXT(($D660-$C660+1)+5,"00"),"")&amp;IF($C660&gt;=7,", "&amp;$A660&amp;"-"&amp;TEXT(($D660-$C660+1)+6,"00"),"")&amp;IF($C660&gt;=8,", "&amp;$A660&amp;"-"&amp;TEXT(($D660-$C660+1)+7,"00"),"")&amp;IF($C660&gt;=9,", "&amp;$A660&amp;"-"&amp;TEXT(($D660-$C660+1)+8,"00"),"")&amp;IF($C660&gt;=10,", "&amp;$A660&amp;"-"&amp;TEXT(($D660-$C660+1)+9,"00"),"")&amp;IF($C660&gt;=11,", "&amp;$A660&amp;"-"&amp;TEXT(($D660-$C660+1)+10,"00"),"")&amp;IF($C660&gt;=12,", "&amp;$A660&amp;"-"&amp;TEXT(($D660-$C660+1)+11,"00"),"")&amp;IF($C660&gt;=13,", "&amp;$A660&amp;"-"&amp;TEXT(($D660-$C660+1)+12,"00"),"")&amp;IF($C660&gt;=14,", "&amp;$A660&amp;"-"&amp;TEXT(($D660-$C660+1)+13,"00"),"")&amp;IF($C660&gt;=15,", "&amp;$A660&amp;"-"&amp;TEXT(($D660-$C660+1)+14,"00"),"")&amp;IF($C660&gt;=16,", "&amp;$A660&amp;"-"&amp;TEXT(($D660-$C660+1)+15,"00"),"")&amp;IF($C660&gt;=17,", "&amp;$A660&amp;"-"&amp;TEXT(($D660-$C660+1)+16,"00"),"")&amp;IF($C660&gt;=18,", "&amp;$A660&amp;"-"&amp;TEXT(($D660-$C660+1)+17,"00"),"")&amp;IF($C660&gt;=19,", "&amp;$A660&amp;"-"&amp;TEXT(($D660-$C660+1)+18,"00"),"")&amp;IF($C660&gt;=20,", "&amp;$A660&amp;"-"&amp;TEXT(($D660-$C660+1)+19,"00"),"")&amp;IF($C660&gt;=21,", "&amp;$A660&amp;"-"&amp;TEXT(($D660-$C660+1)+20,"00"),"")&amp;IF($C660&gt;=22,", "&amp;$A660&amp;"-"&amp;TEXT(($D660-$C660+1)+21,"00"),"")&amp;IF($C660&gt;=23,", "&amp;$A660&amp;"-"&amp;TEXT(($D660-$C660+1)+22,"00"),"")&amp;IF($C660&gt;=24,", "&amp;$A660&amp;"-"&amp;TEXT(($D660-$C660+1)+23,"00"),"")&amp;IF($C660&gt;=25,", "&amp;$A660&amp;"-"&amp;TEXT(($D660-$C660+1)+24,"00"),""))</f>
        <v/>
      </c>
      <c r="G660">
        <f>IF($A660="","",IF($E660=1,$F660,IF($F660="",$G659,IF($G659="",$F660,$G659&amp;", "&amp;$F660))))</f>
        <v/>
      </c>
      <c r="H660">
        <f>IF($A660="","",$A660&amp;" ("&amp;$C660&amp;")")</f>
        <v/>
      </c>
      <c r="I660">
        <f>IF($A660="","",IF($E660=1,$H660,$I659&amp;", "&amp;$H660))</f>
        <v/>
      </c>
      <c r="J660">
        <f>IF($A660="","",IF($E660=1,$B660,""))</f>
        <v/>
      </c>
      <c r="K660">
        <f>IF($A660="","",IF(COUNTIF($B$2:$B660,$B660)=COUNTIF($B$2:$B$1601,$B660),$B660,""))</f>
        <v/>
      </c>
    </row>
    <row r="661">
      <c r="A661">
        <f>IF('TMP Paste'!$E661="","",'TMP Paste'!$E661)</f>
        <v/>
      </c>
      <c r="B661">
        <f>IF($A661="","",COUNTIF('TMP Paste'!$B$2:$B661,"?*"))</f>
        <v/>
      </c>
      <c r="C661">
        <f>IF($A661="","",IFERROR('TMP Paste'!$M661*1,0))</f>
        <v/>
      </c>
      <c r="D661">
        <f>IF($A661="","",SUMIF($B$2:$B661,$B661,$C$2:$C661))</f>
        <v/>
      </c>
      <c r="E661">
        <f>IF($A661="",0,IF('TMP Paste'!$B661="",0,1))</f>
        <v/>
      </c>
      <c r="F661">
        <f>IF(OR($A661="",$C661&lt;1),"",$A661&amp;"-"&amp;TEXT(($D661-$C661+1),"00")&amp;IF($C661&gt;=2,", "&amp;$A661&amp;"-"&amp;TEXT(($D661-$C661+1)+1,"00"),"")&amp;IF($C661&gt;=3,", "&amp;$A661&amp;"-"&amp;TEXT(($D661-$C661+1)+2,"00"),"")&amp;IF($C661&gt;=4,", "&amp;$A661&amp;"-"&amp;TEXT(($D661-$C661+1)+3,"00"),"")&amp;IF($C661&gt;=5,", "&amp;$A661&amp;"-"&amp;TEXT(($D661-$C661+1)+4,"00"),"")&amp;IF($C661&gt;=6,", "&amp;$A661&amp;"-"&amp;TEXT(($D661-$C661+1)+5,"00"),"")&amp;IF($C661&gt;=7,", "&amp;$A661&amp;"-"&amp;TEXT(($D661-$C661+1)+6,"00"),"")&amp;IF($C661&gt;=8,", "&amp;$A661&amp;"-"&amp;TEXT(($D661-$C661+1)+7,"00"),"")&amp;IF($C661&gt;=9,", "&amp;$A661&amp;"-"&amp;TEXT(($D661-$C661+1)+8,"00"),"")&amp;IF($C661&gt;=10,", "&amp;$A661&amp;"-"&amp;TEXT(($D661-$C661+1)+9,"00"),"")&amp;IF($C661&gt;=11,", "&amp;$A661&amp;"-"&amp;TEXT(($D661-$C661+1)+10,"00"),"")&amp;IF($C661&gt;=12,", "&amp;$A661&amp;"-"&amp;TEXT(($D661-$C661+1)+11,"00"),"")&amp;IF($C661&gt;=13,", "&amp;$A661&amp;"-"&amp;TEXT(($D661-$C661+1)+12,"00"),"")&amp;IF($C661&gt;=14,", "&amp;$A661&amp;"-"&amp;TEXT(($D661-$C661+1)+13,"00"),"")&amp;IF($C661&gt;=15,", "&amp;$A661&amp;"-"&amp;TEXT(($D661-$C661+1)+14,"00"),"")&amp;IF($C661&gt;=16,", "&amp;$A661&amp;"-"&amp;TEXT(($D661-$C661+1)+15,"00"),"")&amp;IF($C661&gt;=17,", "&amp;$A661&amp;"-"&amp;TEXT(($D661-$C661+1)+16,"00"),"")&amp;IF($C661&gt;=18,", "&amp;$A661&amp;"-"&amp;TEXT(($D661-$C661+1)+17,"00"),"")&amp;IF($C661&gt;=19,", "&amp;$A661&amp;"-"&amp;TEXT(($D661-$C661+1)+18,"00"),"")&amp;IF($C661&gt;=20,", "&amp;$A661&amp;"-"&amp;TEXT(($D661-$C661+1)+19,"00"),"")&amp;IF($C661&gt;=21,", "&amp;$A661&amp;"-"&amp;TEXT(($D661-$C661+1)+20,"00"),"")&amp;IF($C661&gt;=22,", "&amp;$A661&amp;"-"&amp;TEXT(($D661-$C661+1)+21,"00"),"")&amp;IF($C661&gt;=23,", "&amp;$A661&amp;"-"&amp;TEXT(($D661-$C661+1)+22,"00"),"")&amp;IF($C661&gt;=24,", "&amp;$A661&amp;"-"&amp;TEXT(($D661-$C661+1)+23,"00"),"")&amp;IF($C661&gt;=25,", "&amp;$A661&amp;"-"&amp;TEXT(($D661-$C661+1)+24,"00"),""))</f>
        <v/>
      </c>
      <c r="G661">
        <f>IF($A661="","",IF($E661=1,$F661,IF($F661="",$G660,IF($G660="",$F661,$G660&amp;", "&amp;$F661))))</f>
        <v/>
      </c>
      <c r="H661">
        <f>IF($A661="","",$A661&amp;" ("&amp;$C661&amp;")")</f>
        <v/>
      </c>
      <c r="I661">
        <f>IF($A661="","",IF($E661=1,$H661,$I660&amp;", "&amp;$H661))</f>
        <v/>
      </c>
      <c r="J661">
        <f>IF($A661="","",IF($E661=1,$B661,""))</f>
        <v/>
      </c>
      <c r="K661">
        <f>IF($A661="","",IF(COUNTIF($B$2:$B661,$B661)=COUNTIF($B$2:$B$1601,$B661),$B661,""))</f>
        <v/>
      </c>
    </row>
    <row r="662">
      <c r="A662">
        <f>IF('TMP Paste'!$E662="","",'TMP Paste'!$E662)</f>
        <v/>
      </c>
      <c r="B662">
        <f>IF($A662="","",COUNTIF('TMP Paste'!$B$2:$B662,"?*"))</f>
        <v/>
      </c>
      <c r="C662">
        <f>IF($A662="","",IFERROR('TMP Paste'!$M662*1,0))</f>
        <v/>
      </c>
      <c r="D662">
        <f>IF($A662="","",SUMIF($B$2:$B662,$B662,$C$2:$C662))</f>
        <v/>
      </c>
      <c r="E662">
        <f>IF($A662="",0,IF('TMP Paste'!$B662="",0,1))</f>
        <v/>
      </c>
      <c r="F662">
        <f>IF(OR($A662="",$C662&lt;1),"",$A662&amp;"-"&amp;TEXT(($D662-$C662+1),"00")&amp;IF($C662&gt;=2,", "&amp;$A662&amp;"-"&amp;TEXT(($D662-$C662+1)+1,"00"),"")&amp;IF($C662&gt;=3,", "&amp;$A662&amp;"-"&amp;TEXT(($D662-$C662+1)+2,"00"),"")&amp;IF($C662&gt;=4,", "&amp;$A662&amp;"-"&amp;TEXT(($D662-$C662+1)+3,"00"),"")&amp;IF($C662&gt;=5,", "&amp;$A662&amp;"-"&amp;TEXT(($D662-$C662+1)+4,"00"),"")&amp;IF($C662&gt;=6,", "&amp;$A662&amp;"-"&amp;TEXT(($D662-$C662+1)+5,"00"),"")&amp;IF($C662&gt;=7,", "&amp;$A662&amp;"-"&amp;TEXT(($D662-$C662+1)+6,"00"),"")&amp;IF($C662&gt;=8,", "&amp;$A662&amp;"-"&amp;TEXT(($D662-$C662+1)+7,"00"),"")&amp;IF($C662&gt;=9,", "&amp;$A662&amp;"-"&amp;TEXT(($D662-$C662+1)+8,"00"),"")&amp;IF($C662&gt;=10,", "&amp;$A662&amp;"-"&amp;TEXT(($D662-$C662+1)+9,"00"),"")&amp;IF($C662&gt;=11,", "&amp;$A662&amp;"-"&amp;TEXT(($D662-$C662+1)+10,"00"),"")&amp;IF($C662&gt;=12,", "&amp;$A662&amp;"-"&amp;TEXT(($D662-$C662+1)+11,"00"),"")&amp;IF($C662&gt;=13,", "&amp;$A662&amp;"-"&amp;TEXT(($D662-$C662+1)+12,"00"),"")&amp;IF($C662&gt;=14,", "&amp;$A662&amp;"-"&amp;TEXT(($D662-$C662+1)+13,"00"),"")&amp;IF($C662&gt;=15,", "&amp;$A662&amp;"-"&amp;TEXT(($D662-$C662+1)+14,"00"),"")&amp;IF($C662&gt;=16,", "&amp;$A662&amp;"-"&amp;TEXT(($D662-$C662+1)+15,"00"),"")&amp;IF($C662&gt;=17,", "&amp;$A662&amp;"-"&amp;TEXT(($D662-$C662+1)+16,"00"),"")&amp;IF($C662&gt;=18,", "&amp;$A662&amp;"-"&amp;TEXT(($D662-$C662+1)+17,"00"),"")&amp;IF($C662&gt;=19,", "&amp;$A662&amp;"-"&amp;TEXT(($D662-$C662+1)+18,"00"),"")&amp;IF($C662&gt;=20,", "&amp;$A662&amp;"-"&amp;TEXT(($D662-$C662+1)+19,"00"),"")&amp;IF($C662&gt;=21,", "&amp;$A662&amp;"-"&amp;TEXT(($D662-$C662+1)+20,"00"),"")&amp;IF($C662&gt;=22,", "&amp;$A662&amp;"-"&amp;TEXT(($D662-$C662+1)+21,"00"),"")&amp;IF($C662&gt;=23,", "&amp;$A662&amp;"-"&amp;TEXT(($D662-$C662+1)+22,"00"),"")&amp;IF($C662&gt;=24,", "&amp;$A662&amp;"-"&amp;TEXT(($D662-$C662+1)+23,"00"),"")&amp;IF($C662&gt;=25,", "&amp;$A662&amp;"-"&amp;TEXT(($D662-$C662+1)+24,"00"),""))</f>
        <v/>
      </c>
      <c r="G662">
        <f>IF($A662="","",IF($E662=1,$F662,IF($F662="",$G661,IF($G661="",$F662,$G661&amp;", "&amp;$F662))))</f>
        <v/>
      </c>
      <c r="H662">
        <f>IF($A662="","",$A662&amp;" ("&amp;$C662&amp;")")</f>
        <v/>
      </c>
      <c r="I662">
        <f>IF($A662="","",IF($E662=1,$H662,$I661&amp;", "&amp;$H662))</f>
        <v/>
      </c>
      <c r="J662">
        <f>IF($A662="","",IF($E662=1,$B662,""))</f>
        <v/>
      </c>
      <c r="K662">
        <f>IF($A662="","",IF(COUNTIF($B$2:$B662,$B662)=COUNTIF($B$2:$B$1601,$B662),$B662,""))</f>
        <v/>
      </c>
    </row>
    <row r="663">
      <c r="A663">
        <f>IF('TMP Paste'!$E663="","",'TMP Paste'!$E663)</f>
        <v/>
      </c>
      <c r="B663">
        <f>IF($A663="","",COUNTIF('TMP Paste'!$B$2:$B663,"?*"))</f>
        <v/>
      </c>
      <c r="C663">
        <f>IF($A663="","",IFERROR('TMP Paste'!$M663*1,0))</f>
        <v/>
      </c>
      <c r="D663">
        <f>IF($A663="","",SUMIF($B$2:$B663,$B663,$C$2:$C663))</f>
        <v/>
      </c>
      <c r="E663">
        <f>IF($A663="",0,IF('TMP Paste'!$B663="",0,1))</f>
        <v/>
      </c>
      <c r="F663">
        <f>IF(OR($A663="",$C663&lt;1),"",$A663&amp;"-"&amp;TEXT(($D663-$C663+1),"00")&amp;IF($C663&gt;=2,", "&amp;$A663&amp;"-"&amp;TEXT(($D663-$C663+1)+1,"00"),"")&amp;IF($C663&gt;=3,", "&amp;$A663&amp;"-"&amp;TEXT(($D663-$C663+1)+2,"00"),"")&amp;IF($C663&gt;=4,", "&amp;$A663&amp;"-"&amp;TEXT(($D663-$C663+1)+3,"00"),"")&amp;IF($C663&gt;=5,", "&amp;$A663&amp;"-"&amp;TEXT(($D663-$C663+1)+4,"00"),"")&amp;IF($C663&gt;=6,", "&amp;$A663&amp;"-"&amp;TEXT(($D663-$C663+1)+5,"00"),"")&amp;IF($C663&gt;=7,", "&amp;$A663&amp;"-"&amp;TEXT(($D663-$C663+1)+6,"00"),"")&amp;IF($C663&gt;=8,", "&amp;$A663&amp;"-"&amp;TEXT(($D663-$C663+1)+7,"00"),"")&amp;IF($C663&gt;=9,", "&amp;$A663&amp;"-"&amp;TEXT(($D663-$C663+1)+8,"00"),"")&amp;IF($C663&gt;=10,", "&amp;$A663&amp;"-"&amp;TEXT(($D663-$C663+1)+9,"00"),"")&amp;IF($C663&gt;=11,", "&amp;$A663&amp;"-"&amp;TEXT(($D663-$C663+1)+10,"00"),"")&amp;IF($C663&gt;=12,", "&amp;$A663&amp;"-"&amp;TEXT(($D663-$C663+1)+11,"00"),"")&amp;IF($C663&gt;=13,", "&amp;$A663&amp;"-"&amp;TEXT(($D663-$C663+1)+12,"00"),"")&amp;IF($C663&gt;=14,", "&amp;$A663&amp;"-"&amp;TEXT(($D663-$C663+1)+13,"00"),"")&amp;IF($C663&gt;=15,", "&amp;$A663&amp;"-"&amp;TEXT(($D663-$C663+1)+14,"00"),"")&amp;IF($C663&gt;=16,", "&amp;$A663&amp;"-"&amp;TEXT(($D663-$C663+1)+15,"00"),"")&amp;IF($C663&gt;=17,", "&amp;$A663&amp;"-"&amp;TEXT(($D663-$C663+1)+16,"00"),"")&amp;IF($C663&gt;=18,", "&amp;$A663&amp;"-"&amp;TEXT(($D663-$C663+1)+17,"00"),"")&amp;IF($C663&gt;=19,", "&amp;$A663&amp;"-"&amp;TEXT(($D663-$C663+1)+18,"00"),"")&amp;IF($C663&gt;=20,", "&amp;$A663&amp;"-"&amp;TEXT(($D663-$C663+1)+19,"00"),"")&amp;IF($C663&gt;=21,", "&amp;$A663&amp;"-"&amp;TEXT(($D663-$C663+1)+20,"00"),"")&amp;IF($C663&gt;=22,", "&amp;$A663&amp;"-"&amp;TEXT(($D663-$C663+1)+21,"00"),"")&amp;IF($C663&gt;=23,", "&amp;$A663&amp;"-"&amp;TEXT(($D663-$C663+1)+22,"00"),"")&amp;IF($C663&gt;=24,", "&amp;$A663&amp;"-"&amp;TEXT(($D663-$C663+1)+23,"00"),"")&amp;IF($C663&gt;=25,", "&amp;$A663&amp;"-"&amp;TEXT(($D663-$C663+1)+24,"00"),""))</f>
        <v/>
      </c>
      <c r="G663">
        <f>IF($A663="","",IF($E663=1,$F663,IF($F663="",$G662,IF($G662="",$F663,$G662&amp;", "&amp;$F663))))</f>
        <v/>
      </c>
      <c r="H663">
        <f>IF($A663="","",$A663&amp;" ("&amp;$C663&amp;")")</f>
        <v/>
      </c>
      <c r="I663">
        <f>IF($A663="","",IF($E663=1,$H663,$I662&amp;", "&amp;$H663))</f>
        <v/>
      </c>
      <c r="J663">
        <f>IF($A663="","",IF($E663=1,$B663,""))</f>
        <v/>
      </c>
      <c r="K663">
        <f>IF($A663="","",IF(COUNTIF($B$2:$B663,$B663)=COUNTIF($B$2:$B$1601,$B663),$B663,""))</f>
        <v/>
      </c>
    </row>
    <row r="664">
      <c r="A664">
        <f>IF('TMP Paste'!$E664="","",'TMP Paste'!$E664)</f>
        <v/>
      </c>
      <c r="B664">
        <f>IF($A664="","",COUNTIF('TMP Paste'!$B$2:$B664,"?*"))</f>
        <v/>
      </c>
      <c r="C664">
        <f>IF($A664="","",IFERROR('TMP Paste'!$M664*1,0))</f>
        <v/>
      </c>
      <c r="D664">
        <f>IF($A664="","",SUMIF($B$2:$B664,$B664,$C$2:$C664))</f>
        <v/>
      </c>
      <c r="E664">
        <f>IF($A664="",0,IF('TMP Paste'!$B664="",0,1))</f>
        <v/>
      </c>
      <c r="F664">
        <f>IF(OR($A664="",$C664&lt;1),"",$A664&amp;"-"&amp;TEXT(($D664-$C664+1),"00")&amp;IF($C664&gt;=2,", "&amp;$A664&amp;"-"&amp;TEXT(($D664-$C664+1)+1,"00"),"")&amp;IF($C664&gt;=3,", "&amp;$A664&amp;"-"&amp;TEXT(($D664-$C664+1)+2,"00"),"")&amp;IF($C664&gt;=4,", "&amp;$A664&amp;"-"&amp;TEXT(($D664-$C664+1)+3,"00"),"")&amp;IF($C664&gt;=5,", "&amp;$A664&amp;"-"&amp;TEXT(($D664-$C664+1)+4,"00"),"")&amp;IF($C664&gt;=6,", "&amp;$A664&amp;"-"&amp;TEXT(($D664-$C664+1)+5,"00"),"")&amp;IF($C664&gt;=7,", "&amp;$A664&amp;"-"&amp;TEXT(($D664-$C664+1)+6,"00"),"")&amp;IF($C664&gt;=8,", "&amp;$A664&amp;"-"&amp;TEXT(($D664-$C664+1)+7,"00"),"")&amp;IF($C664&gt;=9,", "&amp;$A664&amp;"-"&amp;TEXT(($D664-$C664+1)+8,"00"),"")&amp;IF($C664&gt;=10,", "&amp;$A664&amp;"-"&amp;TEXT(($D664-$C664+1)+9,"00"),"")&amp;IF($C664&gt;=11,", "&amp;$A664&amp;"-"&amp;TEXT(($D664-$C664+1)+10,"00"),"")&amp;IF($C664&gt;=12,", "&amp;$A664&amp;"-"&amp;TEXT(($D664-$C664+1)+11,"00"),"")&amp;IF($C664&gt;=13,", "&amp;$A664&amp;"-"&amp;TEXT(($D664-$C664+1)+12,"00"),"")&amp;IF($C664&gt;=14,", "&amp;$A664&amp;"-"&amp;TEXT(($D664-$C664+1)+13,"00"),"")&amp;IF($C664&gt;=15,", "&amp;$A664&amp;"-"&amp;TEXT(($D664-$C664+1)+14,"00"),"")&amp;IF($C664&gt;=16,", "&amp;$A664&amp;"-"&amp;TEXT(($D664-$C664+1)+15,"00"),"")&amp;IF($C664&gt;=17,", "&amp;$A664&amp;"-"&amp;TEXT(($D664-$C664+1)+16,"00"),"")&amp;IF($C664&gt;=18,", "&amp;$A664&amp;"-"&amp;TEXT(($D664-$C664+1)+17,"00"),"")&amp;IF($C664&gt;=19,", "&amp;$A664&amp;"-"&amp;TEXT(($D664-$C664+1)+18,"00"),"")&amp;IF($C664&gt;=20,", "&amp;$A664&amp;"-"&amp;TEXT(($D664-$C664+1)+19,"00"),"")&amp;IF($C664&gt;=21,", "&amp;$A664&amp;"-"&amp;TEXT(($D664-$C664+1)+20,"00"),"")&amp;IF($C664&gt;=22,", "&amp;$A664&amp;"-"&amp;TEXT(($D664-$C664+1)+21,"00"),"")&amp;IF($C664&gt;=23,", "&amp;$A664&amp;"-"&amp;TEXT(($D664-$C664+1)+22,"00"),"")&amp;IF($C664&gt;=24,", "&amp;$A664&amp;"-"&amp;TEXT(($D664-$C664+1)+23,"00"),"")&amp;IF($C664&gt;=25,", "&amp;$A664&amp;"-"&amp;TEXT(($D664-$C664+1)+24,"00"),""))</f>
        <v/>
      </c>
      <c r="G664">
        <f>IF($A664="","",IF($E664=1,$F664,IF($F664="",$G663,IF($G663="",$F664,$G663&amp;", "&amp;$F664))))</f>
        <v/>
      </c>
      <c r="H664">
        <f>IF($A664="","",$A664&amp;" ("&amp;$C664&amp;")")</f>
        <v/>
      </c>
      <c r="I664">
        <f>IF($A664="","",IF($E664=1,$H664,$I663&amp;", "&amp;$H664))</f>
        <v/>
      </c>
      <c r="J664">
        <f>IF($A664="","",IF($E664=1,$B664,""))</f>
        <v/>
      </c>
      <c r="K664">
        <f>IF($A664="","",IF(COUNTIF($B$2:$B664,$B664)=COUNTIF($B$2:$B$1601,$B664),$B664,""))</f>
        <v/>
      </c>
    </row>
    <row r="665">
      <c r="A665">
        <f>IF('TMP Paste'!$E665="","",'TMP Paste'!$E665)</f>
        <v/>
      </c>
      <c r="B665">
        <f>IF($A665="","",COUNTIF('TMP Paste'!$B$2:$B665,"?*"))</f>
        <v/>
      </c>
      <c r="C665">
        <f>IF($A665="","",IFERROR('TMP Paste'!$M665*1,0))</f>
        <v/>
      </c>
      <c r="D665">
        <f>IF($A665="","",SUMIF($B$2:$B665,$B665,$C$2:$C665))</f>
        <v/>
      </c>
      <c r="E665">
        <f>IF($A665="",0,IF('TMP Paste'!$B665="",0,1))</f>
        <v/>
      </c>
      <c r="F665">
        <f>IF(OR($A665="",$C665&lt;1),"",$A665&amp;"-"&amp;TEXT(($D665-$C665+1),"00")&amp;IF($C665&gt;=2,", "&amp;$A665&amp;"-"&amp;TEXT(($D665-$C665+1)+1,"00"),"")&amp;IF($C665&gt;=3,", "&amp;$A665&amp;"-"&amp;TEXT(($D665-$C665+1)+2,"00"),"")&amp;IF($C665&gt;=4,", "&amp;$A665&amp;"-"&amp;TEXT(($D665-$C665+1)+3,"00"),"")&amp;IF($C665&gt;=5,", "&amp;$A665&amp;"-"&amp;TEXT(($D665-$C665+1)+4,"00"),"")&amp;IF($C665&gt;=6,", "&amp;$A665&amp;"-"&amp;TEXT(($D665-$C665+1)+5,"00"),"")&amp;IF($C665&gt;=7,", "&amp;$A665&amp;"-"&amp;TEXT(($D665-$C665+1)+6,"00"),"")&amp;IF($C665&gt;=8,", "&amp;$A665&amp;"-"&amp;TEXT(($D665-$C665+1)+7,"00"),"")&amp;IF($C665&gt;=9,", "&amp;$A665&amp;"-"&amp;TEXT(($D665-$C665+1)+8,"00"),"")&amp;IF($C665&gt;=10,", "&amp;$A665&amp;"-"&amp;TEXT(($D665-$C665+1)+9,"00"),"")&amp;IF($C665&gt;=11,", "&amp;$A665&amp;"-"&amp;TEXT(($D665-$C665+1)+10,"00"),"")&amp;IF($C665&gt;=12,", "&amp;$A665&amp;"-"&amp;TEXT(($D665-$C665+1)+11,"00"),"")&amp;IF($C665&gt;=13,", "&amp;$A665&amp;"-"&amp;TEXT(($D665-$C665+1)+12,"00"),"")&amp;IF($C665&gt;=14,", "&amp;$A665&amp;"-"&amp;TEXT(($D665-$C665+1)+13,"00"),"")&amp;IF($C665&gt;=15,", "&amp;$A665&amp;"-"&amp;TEXT(($D665-$C665+1)+14,"00"),"")&amp;IF($C665&gt;=16,", "&amp;$A665&amp;"-"&amp;TEXT(($D665-$C665+1)+15,"00"),"")&amp;IF($C665&gt;=17,", "&amp;$A665&amp;"-"&amp;TEXT(($D665-$C665+1)+16,"00"),"")&amp;IF($C665&gt;=18,", "&amp;$A665&amp;"-"&amp;TEXT(($D665-$C665+1)+17,"00"),"")&amp;IF($C665&gt;=19,", "&amp;$A665&amp;"-"&amp;TEXT(($D665-$C665+1)+18,"00"),"")&amp;IF($C665&gt;=20,", "&amp;$A665&amp;"-"&amp;TEXT(($D665-$C665+1)+19,"00"),"")&amp;IF($C665&gt;=21,", "&amp;$A665&amp;"-"&amp;TEXT(($D665-$C665+1)+20,"00"),"")&amp;IF($C665&gt;=22,", "&amp;$A665&amp;"-"&amp;TEXT(($D665-$C665+1)+21,"00"),"")&amp;IF($C665&gt;=23,", "&amp;$A665&amp;"-"&amp;TEXT(($D665-$C665+1)+22,"00"),"")&amp;IF($C665&gt;=24,", "&amp;$A665&amp;"-"&amp;TEXT(($D665-$C665+1)+23,"00"),"")&amp;IF($C665&gt;=25,", "&amp;$A665&amp;"-"&amp;TEXT(($D665-$C665+1)+24,"00"),""))</f>
        <v/>
      </c>
      <c r="G665">
        <f>IF($A665="","",IF($E665=1,$F665,IF($F665="",$G664,IF($G664="",$F665,$G664&amp;", "&amp;$F665))))</f>
        <v/>
      </c>
      <c r="H665">
        <f>IF($A665="","",$A665&amp;" ("&amp;$C665&amp;")")</f>
        <v/>
      </c>
      <c r="I665">
        <f>IF($A665="","",IF($E665=1,$H665,$I664&amp;", "&amp;$H665))</f>
        <v/>
      </c>
      <c r="J665">
        <f>IF($A665="","",IF($E665=1,$B665,""))</f>
        <v/>
      </c>
      <c r="K665">
        <f>IF($A665="","",IF(COUNTIF($B$2:$B665,$B665)=COUNTIF($B$2:$B$1601,$B665),$B665,""))</f>
        <v/>
      </c>
    </row>
    <row r="666">
      <c r="A666">
        <f>IF('TMP Paste'!$E666="","",'TMP Paste'!$E666)</f>
        <v/>
      </c>
      <c r="B666">
        <f>IF($A666="","",COUNTIF('TMP Paste'!$B$2:$B666,"?*"))</f>
        <v/>
      </c>
      <c r="C666">
        <f>IF($A666="","",IFERROR('TMP Paste'!$M666*1,0))</f>
        <v/>
      </c>
      <c r="D666">
        <f>IF($A666="","",SUMIF($B$2:$B666,$B666,$C$2:$C666))</f>
        <v/>
      </c>
      <c r="E666">
        <f>IF($A666="",0,IF('TMP Paste'!$B666="",0,1))</f>
        <v/>
      </c>
      <c r="F666">
        <f>IF(OR($A666="",$C666&lt;1),"",$A666&amp;"-"&amp;TEXT(($D666-$C666+1),"00")&amp;IF($C666&gt;=2,", "&amp;$A666&amp;"-"&amp;TEXT(($D666-$C666+1)+1,"00"),"")&amp;IF($C666&gt;=3,", "&amp;$A666&amp;"-"&amp;TEXT(($D666-$C666+1)+2,"00"),"")&amp;IF($C666&gt;=4,", "&amp;$A666&amp;"-"&amp;TEXT(($D666-$C666+1)+3,"00"),"")&amp;IF($C666&gt;=5,", "&amp;$A666&amp;"-"&amp;TEXT(($D666-$C666+1)+4,"00"),"")&amp;IF($C666&gt;=6,", "&amp;$A666&amp;"-"&amp;TEXT(($D666-$C666+1)+5,"00"),"")&amp;IF($C666&gt;=7,", "&amp;$A666&amp;"-"&amp;TEXT(($D666-$C666+1)+6,"00"),"")&amp;IF($C666&gt;=8,", "&amp;$A666&amp;"-"&amp;TEXT(($D666-$C666+1)+7,"00"),"")&amp;IF($C666&gt;=9,", "&amp;$A666&amp;"-"&amp;TEXT(($D666-$C666+1)+8,"00"),"")&amp;IF($C666&gt;=10,", "&amp;$A666&amp;"-"&amp;TEXT(($D666-$C666+1)+9,"00"),"")&amp;IF($C666&gt;=11,", "&amp;$A666&amp;"-"&amp;TEXT(($D666-$C666+1)+10,"00"),"")&amp;IF($C666&gt;=12,", "&amp;$A666&amp;"-"&amp;TEXT(($D666-$C666+1)+11,"00"),"")&amp;IF($C666&gt;=13,", "&amp;$A666&amp;"-"&amp;TEXT(($D666-$C666+1)+12,"00"),"")&amp;IF($C666&gt;=14,", "&amp;$A666&amp;"-"&amp;TEXT(($D666-$C666+1)+13,"00"),"")&amp;IF($C666&gt;=15,", "&amp;$A666&amp;"-"&amp;TEXT(($D666-$C666+1)+14,"00"),"")&amp;IF($C666&gt;=16,", "&amp;$A666&amp;"-"&amp;TEXT(($D666-$C666+1)+15,"00"),"")&amp;IF($C666&gt;=17,", "&amp;$A666&amp;"-"&amp;TEXT(($D666-$C666+1)+16,"00"),"")&amp;IF($C666&gt;=18,", "&amp;$A666&amp;"-"&amp;TEXT(($D666-$C666+1)+17,"00"),"")&amp;IF($C666&gt;=19,", "&amp;$A666&amp;"-"&amp;TEXT(($D666-$C666+1)+18,"00"),"")&amp;IF($C666&gt;=20,", "&amp;$A666&amp;"-"&amp;TEXT(($D666-$C666+1)+19,"00"),"")&amp;IF($C666&gt;=21,", "&amp;$A666&amp;"-"&amp;TEXT(($D666-$C666+1)+20,"00"),"")&amp;IF($C666&gt;=22,", "&amp;$A666&amp;"-"&amp;TEXT(($D666-$C666+1)+21,"00"),"")&amp;IF($C666&gt;=23,", "&amp;$A666&amp;"-"&amp;TEXT(($D666-$C666+1)+22,"00"),"")&amp;IF($C666&gt;=24,", "&amp;$A666&amp;"-"&amp;TEXT(($D666-$C666+1)+23,"00"),"")&amp;IF($C666&gt;=25,", "&amp;$A666&amp;"-"&amp;TEXT(($D666-$C666+1)+24,"00"),""))</f>
        <v/>
      </c>
      <c r="G666">
        <f>IF($A666="","",IF($E666=1,$F666,IF($F666="",$G665,IF($G665="",$F666,$G665&amp;", "&amp;$F666))))</f>
        <v/>
      </c>
      <c r="H666">
        <f>IF($A666="","",$A666&amp;" ("&amp;$C666&amp;")")</f>
        <v/>
      </c>
      <c r="I666">
        <f>IF($A666="","",IF($E666=1,$H666,$I665&amp;", "&amp;$H666))</f>
        <v/>
      </c>
      <c r="J666">
        <f>IF($A666="","",IF($E666=1,$B666,""))</f>
        <v/>
      </c>
      <c r="K666">
        <f>IF($A666="","",IF(COUNTIF($B$2:$B666,$B666)=COUNTIF($B$2:$B$1601,$B666),$B666,""))</f>
        <v/>
      </c>
    </row>
    <row r="667">
      <c r="A667">
        <f>IF('TMP Paste'!$E667="","",'TMP Paste'!$E667)</f>
        <v/>
      </c>
      <c r="B667">
        <f>IF($A667="","",COUNTIF('TMP Paste'!$B$2:$B667,"?*"))</f>
        <v/>
      </c>
      <c r="C667">
        <f>IF($A667="","",IFERROR('TMP Paste'!$M667*1,0))</f>
        <v/>
      </c>
      <c r="D667">
        <f>IF($A667="","",SUMIF($B$2:$B667,$B667,$C$2:$C667))</f>
        <v/>
      </c>
      <c r="E667">
        <f>IF($A667="",0,IF('TMP Paste'!$B667="",0,1))</f>
        <v/>
      </c>
      <c r="F667">
        <f>IF(OR($A667="",$C667&lt;1),"",$A667&amp;"-"&amp;TEXT(($D667-$C667+1),"00")&amp;IF($C667&gt;=2,", "&amp;$A667&amp;"-"&amp;TEXT(($D667-$C667+1)+1,"00"),"")&amp;IF($C667&gt;=3,", "&amp;$A667&amp;"-"&amp;TEXT(($D667-$C667+1)+2,"00"),"")&amp;IF($C667&gt;=4,", "&amp;$A667&amp;"-"&amp;TEXT(($D667-$C667+1)+3,"00"),"")&amp;IF($C667&gt;=5,", "&amp;$A667&amp;"-"&amp;TEXT(($D667-$C667+1)+4,"00"),"")&amp;IF($C667&gt;=6,", "&amp;$A667&amp;"-"&amp;TEXT(($D667-$C667+1)+5,"00"),"")&amp;IF($C667&gt;=7,", "&amp;$A667&amp;"-"&amp;TEXT(($D667-$C667+1)+6,"00"),"")&amp;IF($C667&gt;=8,", "&amp;$A667&amp;"-"&amp;TEXT(($D667-$C667+1)+7,"00"),"")&amp;IF($C667&gt;=9,", "&amp;$A667&amp;"-"&amp;TEXT(($D667-$C667+1)+8,"00"),"")&amp;IF($C667&gt;=10,", "&amp;$A667&amp;"-"&amp;TEXT(($D667-$C667+1)+9,"00"),"")&amp;IF($C667&gt;=11,", "&amp;$A667&amp;"-"&amp;TEXT(($D667-$C667+1)+10,"00"),"")&amp;IF($C667&gt;=12,", "&amp;$A667&amp;"-"&amp;TEXT(($D667-$C667+1)+11,"00"),"")&amp;IF($C667&gt;=13,", "&amp;$A667&amp;"-"&amp;TEXT(($D667-$C667+1)+12,"00"),"")&amp;IF($C667&gt;=14,", "&amp;$A667&amp;"-"&amp;TEXT(($D667-$C667+1)+13,"00"),"")&amp;IF($C667&gt;=15,", "&amp;$A667&amp;"-"&amp;TEXT(($D667-$C667+1)+14,"00"),"")&amp;IF($C667&gt;=16,", "&amp;$A667&amp;"-"&amp;TEXT(($D667-$C667+1)+15,"00"),"")&amp;IF($C667&gt;=17,", "&amp;$A667&amp;"-"&amp;TEXT(($D667-$C667+1)+16,"00"),"")&amp;IF($C667&gt;=18,", "&amp;$A667&amp;"-"&amp;TEXT(($D667-$C667+1)+17,"00"),"")&amp;IF($C667&gt;=19,", "&amp;$A667&amp;"-"&amp;TEXT(($D667-$C667+1)+18,"00"),"")&amp;IF($C667&gt;=20,", "&amp;$A667&amp;"-"&amp;TEXT(($D667-$C667+1)+19,"00"),"")&amp;IF($C667&gt;=21,", "&amp;$A667&amp;"-"&amp;TEXT(($D667-$C667+1)+20,"00"),"")&amp;IF($C667&gt;=22,", "&amp;$A667&amp;"-"&amp;TEXT(($D667-$C667+1)+21,"00"),"")&amp;IF($C667&gt;=23,", "&amp;$A667&amp;"-"&amp;TEXT(($D667-$C667+1)+22,"00"),"")&amp;IF($C667&gt;=24,", "&amp;$A667&amp;"-"&amp;TEXT(($D667-$C667+1)+23,"00"),"")&amp;IF($C667&gt;=25,", "&amp;$A667&amp;"-"&amp;TEXT(($D667-$C667+1)+24,"00"),""))</f>
        <v/>
      </c>
      <c r="G667">
        <f>IF($A667="","",IF($E667=1,$F667,IF($F667="",$G666,IF($G666="",$F667,$G666&amp;", "&amp;$F667))))</f>
        <v/>
      </c>
      <c r="H667">
        <f>IF($A667="","",$A667&amp;" ("&amp;$C667&amp;")")</f>
        <v/>
      </c>
      <c r="I667">
        <f>IF($A667="","",IF($E667=1,$H667,$I666&amp;", "&amp;$H667))</f>
        <v/>
      </c>
      <c r="J667">
        <f>IF($A667="","",IF($E667=1,$B667,""))</f>
        <v/>
      </c>
      <c r="K667">
        <f>IF($A667="","",IF(COUNTIF($B$2:$B667,$B667)=COUNTIF($B$2:$B$1601,$B667),$B667,""))</f>
        <v/>
      </c>
    </row>
    <row r="668">
      <c r="A668">
        <f>IF('TMP Paste'!$E668="","",'TMP Paste'!$E668)</f>
        <v/>
      </c>
      <c r="B668">
        <f>IF($A668="","",COUNTIF('TMP Paste'!$B$2:$B668,"?*"))</f>
        <v/>
      </c>
      <c r="C668">
        <f>IF($A668="","",IFERROR('TMP Paste'!$M668*1,0))</f>
        <v/>
      </c>
      <c r="D668">
        <f>IF($A668="","",SUMIF($B$2:$B668,$B668,$C$2:$C668))</f>
        <v/>
      </c>
      <c r="E668">
        <f>IF($A668="",0,IF('TMP Paste'!$B668="",0,1))</f>
        <v/>
      </c>
      <c r="F668">
        <f>IF(OR($A668="",$C668&lt;1),"",$A668&amp;"-"&amp;TEXT(($D668-$C668+1),"00")&amp;IF($C668&gt;=2,", "&amp;$A668&amp;"-"&amp;TEXT(($D668-$C668+1)+1,"00"),"")&amp;IF($C668&gt;=3,", "&amp;$A668&amp;"-"&amp;TEXT(($D668-$C668+1)+2,"00"),"")&amp;IF($C668&gt;=4,", "&amp;$A668&amp;"-"&amp;TEXT(($D668-$C668+1)+3,"00"),"")&amp;IF($C668&gt;=5,", "&amp;$A668&amp;"-"&amp;TEXT(($D668-$C668+1)+4,"00"),"")&amp;IF($C668&gt;=6,", "&amp;$A668&amp;"-"&amp;TEXT(($D668-$C668+1)+5,"00"),"")&amp;IF($C668&gt;=7,", "&amp;$A668&amp;"-"&amp;TEXT(($D668-$C668+1)+6,"00"),"")&amp;IF($C668&gt;=8,", "&amp;$A668&amp;"-"&amp;TEXT(($D668-$C668+1)+7,"00"),"")&amp;IF($C668&gt;=9,", "&amp;$A668&amp;"-"&amp;TEXT(($D668-$C668+1)+8,"00"),"")&amp;IF($C668&gt;=10,", "&amp;$A668&amp;"-"&amp;TEXT(($D668-$C668+1)+9,"00"),"")&amp;IF($C668&gt;=11,", "&amp;$A668&amp;"-"&amp;TEXT(($D668-$C668+1)+10,"00"),"")&amp;IF($C668&gt;=12,", "&amp;$A668&amp;"-"&amp;TEXT(($D668-$C668+1)+11,"00"),"")&amp;IF($C668&gt;=13,", "&amp;$A668&amp;"-"&amp;TEXT(($D668-$C668+1)+12,"00"),"")&amp;IF($C668&gt;=14,", "&amp;$A668&amp;"-"&amp;TEXT(($D668-$C668+1)+13,"00"),"")&amp;IF($C668&gt;=15,", "&amp;$A668&amp;"-"&amp;TEXT(($D668-$C668+1)+14,"00"),"")&amp;IF($C668&gt;=16,", "&amp;$A668&amp;"-"&amp;TEXT(($D668-$C668+1)+15,"00"),"")&amp;IF($C668&gt;=17,", "&amp;$A668&amp;"-"&amp;TEXT(($D668-$C668+1)+16,"00"),"")&amp;IF($C668&gt;=18,", "&amp;$A668&amp;"-"&amp;TEXT(($D668-$C668+1)+17,"00"),"")&amp;IF($C668&gt;=19,", "&amp;$A668&amp;"-"&amp;TEXT(($D668-$C668+1)+18,"00"),"")&amp;IF($C668&gt;=20,", "&amp;$A668&amp;"-"&amp;TEXT(($D668-$C668+1)+19,"00"),"")&amp;IF($C668&gt;=21,", "&amp;$A668&amp;"-"&amp;TEXT(($D668-$C668+1)+20,"00"),"")&amp;IF($C668&gt;=22,", "&amp;$A668&amp;"-"&amp;TEXT(($D668-$C668+1)+21,"00"),"")&amp;IF($C668&gt;=23,", "&amp;$A668&amp;"-"&amp;TEXT(($D668-$C668+1)+22,"00"),"")&amp;IF($C668&gt;=24,", "&amp;$A668&amp;"-"&amp;TEXT(($D668-$C668+1)+23,"00"),"")&amp;IF($C668&gt;=25,", "&amp;$A668&amp;"-"&amp;TEXT(($D668-$C668+1)+24,"00"),""))</f>
        <v/>
      </c>
      <c r="G668">
        <f>IF($A668="","",IF($E668=1,$F668,IF($F668="",$G667,IF($G667="",$F668,$G667&amp;", "&amp;$F668))))</f>
        <v/>
      </c>
      <c r="H668">
        <f>IF($A668="","",$A668&amp;" ("&amp;$C668&amp;")")</f>
        <v/>
      </c>
      <c r="I668">
        <f>IF($A668="","",IF($E668=1,$H668,$I667&amp;", "&amp;$H668))</f>
        <v/>
      </c>
      <c r="J668">
        <f>IF($A668="","",IF($E668=1,$B668,""))</f>
        <v/>
      </c>
      <c r="K668">
        <f>IF($A668="","",IF(COUNTIF($B$2:$B668,$B668)=COUNTIF($B$2:$B$1601,$B668),$B668,""))</f>
        <v/>
      </c>
    </row>
    <row r="669">
      <c r="A669">
        <f>IF('TMP Paste'!$E669="","",'TMP Paste'!$E669)</f>
        <v/>
      </c>
      <c r="B669">
        <f>IF($A669="","",COUNTIF('TMP Paste'!$B$2:$B669,"?*"))</f>
        <v/>
      </c>
      <c r="C669">
        <f>IF($A669="","",IFERROR('TMP Paste'!$M669*1,0))</f>
        <v/>
      </c>
      <c r="D669">
        <f>IF($A669="","",SUMIF($B$2:$B669,$B669,$C$2:$C669))</f>
        <v/>
      </c>
      <c r="E669">
        <f>IF($A669="",0,IF('TMP Paste'!$B669="",0,1))</f>
        <v/>
      </c>
      <c r="F669">
        <f>IF(OR($A669="",$C669&lt;1),"",$A669&amp;"-"&amp;TEXT(($D669-$C669+1),"00")&amp;IF($C669&gt;=2,", "&amp;$A669&amp;"-"&amp;TEXT(($D669-$C669+1)+1,"00"),"")&amp;IF($C669&gt;=3,", "&amp;$A669&amp;"-"&amp;TEXT(($D669-$C669+1)+2,"00"),"")&amp;IF($C669&gt;=4,", "&amp;$A669&amp;"-"&amp;TEXT(($D669-$C669+1)+3,"00"),"")&amp;IF($C669&gt;=5,", "&amp;$A669&amp;"-"&amp;TEXT(($D669-$C669+1)+4,"00"),"")&amp;IF($C669&gt;=6,", "&amp;$A669&amp;"-"&amp;TEXT(($D669-$C669+1)+5,"00"),"")&amp;IF($C669&gt;=7,", "&amp;$A669&amp;"-"&amp;TEXT(($D669-$C669+1)+6,"00"),"")&amp;IF($C669&gt;=8,", "&amp;$A669&amp;"-"&amp;TEXT(($D669-$C669+1)+7,"00"),"")&amp;IF($C669&gt;=9,", "&amp;$A669&amp;"-"&amp;TEXT(($D669-$C669+1)+8,"00"),"")&amp;IF($C669&gt;=10,", "&amp;$A669&amp;"-"&amp;TEXT(($D669-$C669+1)+9,"00"),"")&amp;IF($C669&gt;=11,", "&amp;$A669&amp;"-"&amp;TEXT(($D669-$C669+1)+10,"00"),"")&amp;IF($C669&gt;=12,", "&amp;$A669&amp;"-"&amp;TEXT(($D669-$C669+1)+11,"00"),"")&amp;IF($C669&gt;=13,", "&amp;$A669&amp;"-"&amp;TEXT(($D669-$C669+1)+12,"00"),"")&amp;IF($C669&gt;=14,", "&amp;$A669&amp;"-"&amp;TEXT(($D669-$C669+1)+13,"00"),"")&amp;IF($C669&gt;=15,", "&amp;$A669&amp;"-"&amp;TEXT(($D669-$C669+1)+14,"00"),"")&amp;IF($C669&gt;=16,", "&amp;$A669&amp;"-"&amp;TEXT(($D669-$C669+1)+15,"00"),"")&amp;IF($C669&gt;=17,", "&amp;$A669&amp;"-"&amp;TEXT(($D669-$C669+1)+16,"00"),"")&amp;IF($C669&gt;=18,", "&amp;$A669&amp;"-"&amp;TEXT(($D669-$C669+1)+17,"00"),"")&amp;IF($C669&gt;=19,", "&amp;$A669&amp;"-"&amp;TEXT(($D669-$C669+1)+18,"00"),"")&amp;IF($C669&gt;=20,", "&amp;$A669&amp;"-"&amp;TEXT(($D669-$C669+1)+19,"00"),"")&amp;IF($C669&gt;=21,", "&amp;$A669&amp;"-"&amp;TEXT(($D669-$C669+1)+20,"00"),"")&amp;IF($C669&gt;=22,", "&amp;$A669&amp;"-"&amp;TEXT(($D669-$C669+1)+21,"00"),"")&amp;IF($C669&gt;=23,", "&amp;$A669&amp;"-"&amp;TEXT(($D669-$C669+1)+22,"00"),"")&amp;IF($C669&gt;=24,", "&amp;$A669&amp;"-"&amp;TEXT(($D669-$C669+1)+23,"00"),"")&amp;IF($C669&gt;=25,", "&amp;$A669&amp;"-"&amp;TEXT(($D669-$C669+1)+24,"00"),""))</f>
        <v/>
      </c>
      <c r="G669">
        <f>IF($A669="","",IF($E669=1,$F669,IF($F669="",$G668,IF($G668="",$F669,$G668&amp;", "&amp;$F669))))</f>
        <v/>
      </c>
      <c r="H669">
        <f>IF($A669="","",$A669&amp;" ("&amp;$C669&amp;")")</f>
        <v/>
      </c>
      <c r="I669">
        <f>IF($A669="","",IF($E669=1,$H669,$I668&amp;", "&amp;$H669))</f>
        <v/>
      </c>
      <c r="J669">
        <f>IF($A669="","",IF($E669=1,$B669,""))</f>
        <v/>
      </c>
      <c r="K669">
        <f>IF($A669="","",IF(COUNTIF($B$2:$B669,$B669)=COUNTIF($B$2:$B$1601,$B669),$B669,""))</f>
        <v/>
      </c>
    </row>
    <row r="670">
      <c r="A670">
        <f>IF('TMP Paste'!$E670="","",'TMP Paste'!$E670)</f>
        <v/>
      </c>
      <c r="B670">
        <f>IF($A670="","",COUNTIF('TMP Paste'!$B$2:$B670,"?*"))</f>
        <v/>
      </c>
      <c r="C670">
        <f>IF($A670="","",IFERROR('TMP Paste'!$M670*1,0))</f>
        <v/>
      </c>
      <c r="D670">
        <f>IF($A670="","",SUMIF($B$2:$B670,$B670,$C$2:$C670))</f>
        <v/>
      </c>
      <c r="E670">
        <f>IF($A670="",0,IF('TMP Paste'!$B670="",0,1))</f>
        <v/>
      </c>
      <c r="F670">
        <f>IF(OR($A670="",$C670&lt;1),"",$A670&amp;"-"&amp;TEXT(($D670-$C670+1),"00")&amp;IF($C670&gt;=2,", "&amp;$A670&amp;"-"&amp;TEXT(($D670-$C670+1)+1,"00"),"")&amp;IF($C670&gt;=3,", "&amp;$A670&amp;"-"&amp;TEXT(($D670-$C670+1)+2,"00"),"")&amp;IF($C670&gt;=4,", "&amp;$A670&amp;"-"&amp;TEXT(($D670-$C670+1)+3,"00"),"")&amp;IF($C670&gt;=5,", "&amp;$A670&amp;"-"&amp;TEXT(($D670-$C670+1)+4,"00"),"")&amp;IF($C670&gt;=6,", "&amp;$A670&amp;"-"&amp;TEXT(($D670-$C670+1)+5,"00"),"")&amp;IF($C670&gt;=7,", "&amp;$A670&amp;"-"&amp;TEXT(($D670-$C670+1)+6,"00"),"")&amp;IF($C670&gt;=8,", "&amp;$A670&amp;"-"&amp;TEXT(($D670-$C670+1)+7,"00"),"")&amp;IF($C670&gt;=9,", "&amp;$A670&amp;"-"&amp;TEXT(($D670-$C670+1)+8,"00"),"")&amp;IF($C670&gt;=10,", "&amp;$A670&amp;"-"&amp;TEXT(($D670-$C670+1)+9,"00"),"")&amp;IF($C670&gt;=11,", "&amp;$A670&amp;"-"&amp;TEXT(($D670-$C670+1)+10,"00"),"")&amp;IF($C670&gt;=12,", "&amp;$A670&amp;"-"&amp;TEXT(($D670-$C670+1)+11,"00"),"")&amp;IF($C670&gt;=13,", "&amp;$A670&amp;"-"&amp;TEXT(($D670-$C670+1)+12,"00"),"")&amp;IF($C670&gt;=14,", "&amp;$A670&amp;"-"&amp;TEXT(($D670-$C670+1)+13,"00"),"")&amp;IF($C670&gt;=15,", "&amp;$A670&amp;"-"&amp;TEXT(($D670-$C670+1)+14,"00"),"")&amp;IF($C670&gt;=16,", "&amp;$A670&amp;"-"&amp;TEXT(($D670-$C670+1)+15,"00"),"")&amp;IF($C670&gt;=17,", "&amp;$A670&amp;"-"&amp;TEXT(($D670-$C670+1)+16,"00"),"")&amp;IF($C670&gt;=18,", "&amp;$A670&amp;"-"&amp;TEXT(($D670-$C670+1)+17,"00"),"")&amp;IF($C670&gt;=19,", "&amp;$A670&amp;"-"&amp;TEXT(($D670-$C670+1)+18,"00"),"")&amp;IF($C670&gt;=20,", "&amp;$A670&amp;"-"&amp;TEXT(($D670-$C670+1)+19,"00"),"")&amp;IF($C670&gt;=21,", "&amp;$A670&amp;"-"&amp;TEXT(($D670-$C670+1)+20,"00"),"")&amp;IF($C670&gt;=22,", "&amp;$A670&amp;"-"&amp;TEXT(($D670-$C670+1)+21,"00"),"")&amp;IF($C670&gt;=23,", "&amp;$A670&amp;"-"&amp;TEXT(($D670-$C670+1)+22,"00"),"")&amp;IF($C670&gt;=24,", "&amp;$A670&amp;"-"&amp;TEXT(($D670-$C670+1)+23,"00"),"")&amp;IF($C670&gt;=25,", "&amp;$A670&amp;"-"&amp;TEXT(($D670-$C670+1)+24,"00"),""))</f>
        <v/>
      </c>
      <c r="G670">
        <f>IF($A670="","",IF($E670=1,$F670,IF($F670="",$G669,IF($G669="",$F670,$G669&amp;", "&amp;$F670))))</f>
        <v/>
      </c>
      <c r="H670">
        <f>IF($A670="","",$A670&amp;" ("&amp;$C670&amp;")")</f>
        <v/>
      </c>
      <c r="I670">
        <f>IF($A670="","",IF($E670=1,$H670,$I669&amp;", "&amp;$H670))</f>
        <v/>
      </c>
      <c r="J670">
        <f>IF($A670="","",IF($E670=1,$B670,""))</f>
        <v/>
      </c>
      <c r="K670">
        <f>IF($A670="","",IF(COUNTIF($B$2:$B670,$B670)=COUNTIF($B$2:$B$1601,$B670),$B670,""))</f>
        <v/>
      </c>
    </row>
    <row r="671">
      <c r="A671">
        <f>IF('TMP Paste'!$E671="","",'TMP Paste'!$E671)</f>
        <v/>
      </c>
      <c r="B671">
        <f>IF($A671="","",COUNTIF('TMP Paste'!$B$2:$B671,"?*"))</f>
        <v/>
      </c>
      <c r="C671">
        <f>IF($A671="","",IFERROR('TMP Paste'!$M671*1,0))</f>
        <v/>
      </c>
      <c r="D671">
        <f>IF($A671="","",SUMIF($B$2:$B671,$B671,$C$2:$C671))</f>
        <v/>
      </c>
      <c r="E671">
        <f>IF($A671="",0,IF('TMP Paste'!$B671="",0,1))</f>
        <v/>
      </c>
      <c r="F671">
        <f>IF(OR($A671="",$C671&lt;1),"",$A671&amp;"-"&amp;TEXT(($D671-$C671+1),"00")&amp;IF($C671&gt;=2,", "&amp;$A671&amp;"-"&amp;TEXT(($D671-$C671+1)+1,"00"),"")&amp;IF($C671&gt;=3,", "&amp;$A671&amp;"-"&amp;TEXT(($D671-$C671+1)+2,"00"),"")&amp;IF($C671&gt;=4,", "&amp;$A671&amp;"-"&amp;TEXT(($D671-$C671+1)+3,"00"),"")&amp;IF($C671&gt;=5,", "&amp;$A671&amp;"-"&amp;TEXT(($D671-$C671+1)+4,"00"),"")&amp;IF($C671&gt;=6,", "&amp;$A671&amp;"-"&amp;TEXT(($D671-$C671+1)+5,"00"),"")&amp;IF($C671&gt;=7,", "&amp;$A671&amp;"-"&amp;TEXT(($D671-$C671+1)+6,"00"),"")&amp;IF($C671&gt;=8,", "&amp;$A671&amp;"-"&amp;TEXT(($D671-$C671+1)+7,"00"),"")&amp;IF($C671&gt;=9,", "&amp;$A671&amp;"-"&amp;TEXT(($D671-$C671+1)+8,"00"),"")&amp;IF($C671&gt;=10,", "&amp;$A671&amp;"-"&amp;TEXT(($D671-$C671+1)+9,"00"),"")&amp;IF($C671&gt;=11,", "&amp;$A671&amp;"-"&amp;TEXT(($D671-$C671+1)+10,"00"),"")&amp;IF($C671&gt;=12,", "&amp;$A671&amp;"-"&amp;TEXT(($D671-$C671+1)+11,"00"),"")&amp;IF($C671&gt;=13,", "&amp;$A671&amp;"-"&amp;TEXT(($D671-$C671+1)+12,"00"),"")&amp;IF($C671&gt;=14,", "&amp;$A671&amp;"-"&amp;TEXT(($D671-$C671+1)+13,"00"),"")&amp;IF($C671&gt;=15,", "&amp;$A671&amp;"-"&amp;TEXT(($D671-$C671+1)+14,"00"),"")&amp;IF($C671&gt;=16,", "&amp;$A671&amp;"-"&amp;TEXT(($D671-$C671+1)+15,"00"),"")&amp;IF($C671&gt;=17,", "&amp;$A671&amp;"-"&amp;TEXT(($D671-$C671+1)+16,"00"),"")&amp;IF($C671&gt;=18,", "&amp;$A671&amp;"-"&amp;TEXT(($D671-$C671+1)+17,"00"),"")&amp;IF($C671&gt;=19,", "&amp;$A671&amp;"-"&amp;TEXT(($D671-$C671+1)+18,"00"),"")&amp;IF($C671&gt;=20,", "&amp;$A671&amp;"-"&amp;TEXT(($D671-$C671+1)+19,"00"),"")&amp;IF($C671&gt;=21,", "&amp;$A671&amp;"-"&amp;TEXT(($D671-$C671+1)+20,"00"),"")&amp;IF($C671&gt;=22,", "&amp;$A671&amp;"-"&amp;TEXT(($D671-$C671+1)+21,"00"),"")&amp;IF($C671&gt;=23,", "&amp;$A671&amp;"-"&amp;TEXT(($D671-$C671+1)+22,"00"),"")&amp;IF($C671&gt;=24,", "&amp;$A671&amp;"-"&amp;TEXT(($D671-$C671+1)+23,"00"),"")&amp;IF($C671&gt;=25,", "&amp;$A671&amp;"-"&amp;TEXT(($D671-$C671+1)+24,"00"),""))</f>
        <v/>
      </c>
      <c r="G671">
        <f>IF($A671="","",IF($E671=1,$F671,IF($F671="",$G670,IF($G670="",$F671,$G670&amp;", "&amp;$F671))))</f>
        <v/>
      </c>
      <c r="H671">
        <f>IF($A671="","",$A671&amp;" ("&amp;$C671&amp;")")</f>
        <v/>
      </c>
      <c r="I671">
        <f>IF($A671="","",IF($E671=1,$H671,$I670&amp;", "&amp;$H671))</f>
        <v/>
      </c>
      <c r="J671">
        <f>IF($A671="","",IF($E671=1,$B671,""))</f>
        <v/>
      </c>
      <c r="K671">
        <f>IF($A671="","",IF(COUNTIF($B$2:$B671,$B671)=COUNTIF($B$2:$B$1601,$B671),$B671,""))</f>
        <v/>
      </c>
    </row>
    <row r="672">
      <c r="A672">
        <f>IF('TMP Paste'!$E672="","",'TMP Paste'!$E672)</f>
        <v/>
      </c>
      <c r="B672">
        <f>IF($A672="","",COUNTIF('TMP Paste'!$B$2:$B672,"?*"))</f>
        <v/>
      </c>
      <c r="C672">
        <f>IF($A672="","",IFERROR('TMP Paste'!$M672*1,0))</f>
        <v/>
      </c>
      <c r="D672">
        <f>IF($A672="","",SUMIF($B$2:$B672,$B672,$C$2:$C672))</f>
        <v/>
      </c>
      <c r="E672">
        <f>IF($A672="",0,IF('TMP Paste'!$B672="",0,1))</f>
        <v/>
      </c>
      <c r="F672">
        <f>IF(OR($A672="",$C672&lt;1),"",$A672&amp;"-"&amp;TEXT(($D672-$C672+1),"00")&amp;IF($C672&gt;=2,", "&amp;$A672&amp;"-"&amp;TEXT(($D672-$C672+1)+1,"00"),"")&amp;IF($C672&gt;=3,", "&amp;$A672&amp;"-"&amp;TEXT(($D672-$C672+1)+2,"00"),"")&amp;IF($C672&gt;=4,", "&amp;$A672&amp;"-"&amp;TEXT(($D672-$C672+1)+3,"00"),"")&amp;IF($C672&gt;=5,", "&amp;$A672&amp;"-"&amp;TEXT(($D672-$C672+1)+4,"00"),"")&amp;IF($C672&gt;=6,", "&amp;$A672&amp;"-"&amp;TEXT(($D672-$C672+1)+5,"00"),"")&amp;IF($C672&gt;=7,", "&amp;$A672&amp;"-"&amp;TEXT(($D672-$C672+1)+6,"00"),"")&amp;IF($C672&gt;=8,", "&amp;$A672&amp;"-"&amp;TEXT(($D672-$C672+1)+7,"00"),"")&amp;IF($C672&gt;=9,", "&amp;$A672&amp;"-"&amp;TEXT(($D672-$C672+1)+8,"00"),"")&amp;IF($C672&gt;=10,", "&amp;$A672&amp;"-"&amp;TEXT(($D672-$C672+1)+9,"00"),"")&amp;IF($C672&gt;=11,", "&amp;$A672&amp;"-"&amp;TEXT(($D672-$C672+1)+10,"00"),"")&amp;IF($C672&gt;=12,", "&amp;$A672&amp;"-"&amp;TEXT(($D672-$C672+1)+11,"00"),"")&amp;IF($C672&gt;=13,", "&amp;$A672&amp;"-"&amp;TEXT(($D672-$C672+1)+12,"00"),"")&amp;IF($C672&gt;=14,", "&amp;$A672&amp;"-"&amp;TEXT(($D672-$C672+1)+13,"00"),"")&amp;IF($C672&gt;=15,", "&amp;$A672&amp;"-"&amp;TEXT(($D672-$C672+1)+14,"00"),"")&amp;IF($C672&gt;=16,", "&amp;$A672&amp;"-"&amp;TEXT(($D672-$C672+1)+15,"00"),"")&amp;IF($C672&gt;=17,", "&amp;$A672&amp;"-"&amp;TEXT(($D672-$C672+1)+16,"00"),"")&amp;IF($C672&gt;=18,", "&amp;$A672&amp;"-"&amp;TEXT(($D672-$C672+1)+17,"00"),"")&amp;IF($C672&gt;=19,", "&amp;$A672&amp;"-"&amp;TEXT(($D672-$C672+1)+18,"00"),"")&amp;IF($C672&gt;=20,", "&amp;$A672&amp;"-"&amp;TEXT(($D672-$C672+1)+19,"00"),"")&amp;IF($C672&gt;=21,", "&amp;$A672&amp;"-"&amp;TEXT(($D672-$C672+1)+20,"00"),"")&amp;IF($C672&gt;=22,", "&amp;$A672&amp;"-"&amp;TEXT(($D672-$C672+1)+21,"00"),"")&amp;IF($C672&gt;=23,", "&amp;$A672&amp;"-"&amp;TEXT(($D672-$C672+1)+22,"00"),"")&amp;IF($C672&gt;=24,", "&amp;$A672&amp;"-"&amp;TEXT(($D672-$C672+1)+23,"00"),"")&amp;IF($C672&gt;=25,", "&amp;$A672&amp;"-"&amp;TEXT(($D672-$C672+1)+24,"00"),""))</f>
        <v/>
      </c>
      <c r="G672">
        <f>IF($A672="","",IF($E672=1,$F672,IF($F672="",$G671,IF($G671="",$F672,$G671&amp;", "&amp;$F672))))</f>
        <v/>
      </c>
      <c r="H672">
        <f>IF($A672="","",$A672&amp;" ("&amp;$C672&amp;")")</f>
        <v/>
      </c>
      <c r="I672">
        <f>IF($A672="","",IF($E672=1,$H672,$I671&amp;", "&amp;$H672))</f>
        <v/>
      </c>
      <c r="J672">
        <f>IF($A672="","",IF($E672=1,$B672,""))</f>
        <v/>
      </c>
      <c r="K672">
        <f>IF($A672="","",IF(COUNTIF($B$2:$B672,$B672)=COUNTIF($B$2:$B$1601,$B672),$B672,""))</f>
        <v/>
      </c>
    </row>
    <row r="673">
      <c r="A673">
        <f>IF('TMP Paste'!$E673="","",'TMP Paste'!$E673)</f>
        <v/>
      </c>
      <c r="B673">
        <f>IF($A673="","",COUNTIF('TMP Paste'!$B$2:$B673,"?*"))</f>
        <v/>
      </c>
      <c r="C673">
        <f>IF($A673="","",IFERROR('TMP Paste'!$M673*1,0))</f>
        <v/>
      </c>
      <c r="D673">
        <f>IF($A673="","",SUMIF($B$2:$B673,$B673,$C$2:$C673))</f>
        <v/>
      </c>
      <c r="E673">
        <f>IF($A673="",0,IF('TMP Paste'!$B673="",0,1))</f>
        <v/>
      </c>
      <c r="F673">
        <f>IF(OR($A673="",$C673&lt;1),"",$A673&amp;"-"&amp;TEXT(($D673-$C673+1),"00")&amp;IF($C673&gt;=2,", "&amp;$A673&amp;"-"&amp;TEXT(($D673-$C673+1)+1,"00"),"")&amp;IF($C673&gt;=3,", "&amp;$A673&amp;"-"&amp;TEXT(($D673-$C673+1)+2,"00"),"")&amp;IF($C673&gt;=4,", "&amp;$A673&amp;"-"&amp;TEXT(($D673-$C673+1)+3,"00"),"")&amp;IF($C673&gt;=5,", "&amp;$A673&amp;"-"&amp;TEXT(($D673-$C673+1)+4,"00"),"")&amp;IF($C673&gt;=6,", "&amp;$A673&amp;"-"&amp;TEXT(($D673-$C673+1)+5,"00"),"")&amp;IF($C673&gt;=7,", "&amp;$A673&amp;"-"&amp;TEXT(($D673-$C673+1)+6,"00"),"")&amp;IF($C673&gt;=8,", "&amp;$A673&amp;"-"&amp;TEXT(($D673-$C673+1)+7,"00"),"")&amp;IF($C673&gt;=9,", "&amp;$A673&amp;"-"&amp;TEXT(($D673-$C673+1)+8,"00"),"")&amp;IF($C673&gt;=10,", "&amp;$A673&amp;"-"&amp;TEXT(($D673-$C673+1)+9,"00"),"")&amp;IF($C673&gt;=11,", "&amp;$A673&amp;"-"&amp;TEXT(($D673-$C673+1)+10,"00"),"")&amp;IF($C673&gt;=12,", "&amp;$A673&amp;"-"&amp;TEXT(($D673-$C673+1)+11,"00"),"")&amp;IF($C673&gt;=13,", "&amp;$A673&amp;"-"&amp;TEXT(($D673-$C673+1)+12,"00"),"")&amp;IF($C673&gt;=14,", "&amp;$A673&amp;"-"&amp;TEXT(($D673-$C673+1)+13,"00"),"")&amp;IF($C673&gt;=15,", "&amp;$A673&amp;"-"&amp;TEXT(($D673-$C673+1)+14,"00"),"")&amp;IF($C673&gt;=16,", "&amp;$A673&amp;"-"&amp;TEXT(($D673-$C673+1)+15,"00"),"")&amp;IF($C673&gt;=17,", "&amp;$A673&amp;"-"&amp;TEXT(($D673-$C673+1)+16,"00"),"")&amp;IF($C673&gt;=18,", "&amp;$A673&amp;"-"&amp;TEXT(($D673-$C673+1)+17,"00"),"")&amp;IF($C673&gt;=19,", "&amp;$A673&amp;"-"&amp;TEXT(($D673-$C673+1)+18,"00"),"")&amp;IF($C673&gt;=20,", "&amp;$A673&amp;"-"&amp;TEXT(($D673-$C673+1)+19,"00"),"")&amp;IF($C673&gt;=21,", "&amp;$A673&amp;"-"&amp;TEXT(($D673-$C673+1)+20,"00"),"")&amp;IF($C673&gt;=22,", "&amp;$A673&amp;"-"&amp;TEXT(($D673-$C673+1)+21,"00"),"")&amp;IF($C673&gt;=23,", "&amp;$A673&amp;"-"&amp;TEXT(($D673-$C673+1)+22,"00"),"")&amp;IF($C673&gt;=24,", "&amp;$A673&amp;"-"&amp;TEXT(($D673-$C673+1)+23,"00"),"")&amp;IF($C673&gt;=25,", "&amp;$A673&amp;"-"&amp;TEXT(($D673-$C673+1)+24,"00"),""))</f>
        <v/>
      </c>
      <c r="G673">
        <f>IF($A673="","",IF($E673=1,$F673,IF($F673="",$G672,IF($G672="",$F673,$G672&amp;", "&amp;$F673))))</f>
        <v/>
      </c>
      <c r="H673">
        <f>IF($A673="","",$A673&amp;" ("&amp;$C673&amp;")")</f>
        <v/>
      </c>
      <c r="I673">
        <f>IF($A673="","",IF($E673=1,$H673,$I672&amp;", "&amp;$H673))</f>
        <v/>
      </c>
      <c r="J673">
        <f>IF($A673="","",IF($E673=1,$B673,""))</f>
        <v/>
      </c>
      <c r="K673">
        <f>IF($A673="","",IF(COUNTIF($B$2:$B673,$B673)=COUNTIF($B$2:$B$1601,$B673),$B673,""))</f>
        <v/>
      </c>
    </row>
    <row r="674">
      <c r="A674">
        <f>IF('TMP Paste'!$E674="","",'TMP Paste'!$E674)</f>
        <v/>
      </c>
      <c r="B674">
        <f>IF($A674="","",COUNTIF('TMP Paste'!$B$2:$B674,"?*"))</f>
        <v/>
      </c>
      <c r="C674">
        <f>IF($A674="","",IFERROR('TMP Paste'!$M674*1,0))</f>
        <v/>
      </c>
      <c r="D674">
        <f>IF($A674="","",SUMIF($B$2:$B674,$B674,$C$2:$C674))</f>
        <v/>
      </c>
      <c r="E674">
        <f>IF($A674="",0,IF('TMP Paste'!$B674="",0,1))</f>
        <v/>
      </c>
      <c r="F674">
        <f>IF(OR($A674="",$C674&lt;1),"",$A674&amp;"-"&amp;TEXT(($D674-$C674+1),"00")&amp;IF($C674&gt;=2,", "&amp;$A674&amp;"-"&amp;TEXT(($D674-$C674+1)+1,"00"),"")&amp;IF($C674&gt;=3,", "&amp;$A674&amp;"-"&amp;TEXT(($D674-$C674+1)+2,"00"),"")&amp;IF($C674&gt;=4,", "&amp;$A674&amp;"-"&amp;TEXT(($D674-$C674+1)+3,"00"),"")&amp;IF($C674&gt;=5,", "&amp;$A674&amp;"-"&amp;TEXT(($D674-$C674+1)+4,"00"),"")&amp;IF($C674&gt;=6,", "&amp;$A674&amp;"-"&amp;TEXT(($D674-$C674+1)+5,"00"),"")&amp;IF($C674&gt;=7,", "&amp;$A674&amp;"-"&amp;TEXT(($D674-$C674+1)+6,"00"),"")&amp;IF($C674&gt;=8,", "&amp;$A674&amp;"-"&amp;TEXT(($D674-$C674+1)+7,"00"),"")&amp;IF($C674&gt;=9,", "&amp;$A674&amp;"-"&amp;TEXT(($D674-$C674+1)+8,"00"),"")&amp;IF($C674&gt;=10,", "&amp;$A674&amp;"-"&amp;TEXT(($D674-$C674+1)+9,"00"),"")&amp;IF($C674&gt;=11,", "&amp;$A674&amp;"-"&amp;TEXT(($D674-$C674+1)+10,"00"),"")&amp;IF($C674&gt;=12,", "&amp;$A674&amp;"-"&amp;TEXT(($D674-$C674+1)+11,"00"),"")&amp;IF($C674&gt;=13,", "&amp;$A674&amp;"-"&amp;TEXT(($D674-$C674+1)+12,"00"),"")&amp;IF($C674&gt;=14,", "&amp;$A674&amp;"-"&amp;TEXT(($D674-$C674+1)+13,"00"),"")&amp;IF($C674&gt;=15,", "&amp;$A674&amp;"-"&amp;TEXT(($D674-$C674+1)+14,"00"),"")&amp;IF($C674&gt;=16,", "&amp;$A674&amp;"-"&amp;TEXT(($D674-$C674+1)+15,"00"),"")&amp;IF($C674&gt;=17,", "&amp;$A674&amp;"-"&amp;TEXT(($D674-$C674+1)+16,"00"),"")&amp;IF($C674&gt;=18,", "&amp;$A674&amp;"-"&amp;TEXT(($D674-$C674+1)+17,"00"),"")&amp;IF($C674&gt;=19,", "&amp;$A674&amp;"-"&amp;TEXT(($D674-$C674+1)+18,"00"),"")&amp;IF($C674&gt;=20,", "&amp;$A674&amp;"-"&amp;TEXT(($D674-$C674+1)+19,"00"),"")&amp;IF($C674&gt;=21,", "&amp;$A674&amp;"-"&amp;TEXT(($D674-$C674+1)+20,"00"),"")&amp;IF($C674&gt;=22,", "&amp;$A674&amp;"-"&amp;TEXT(($D674-$C674+1)+21,"00"),"")&amp;IF($C674&gt;=23,", "&amp;$A674&amp;"-"&amp;TEXT(($D674-$C674+1)+22,"00"),"")&amp;IF($C674&gt;=24,", "&amp;$A674&amp;"-"&amp;TEXT(($D674-$C674+1)+23,"00"),"")&amp;IF($C674&gt;=25,", "&amp;$A674&amp;"-"&amp;TEXT(($D674-$C674+1)+24,"00"),""))</f>
        <v/>
      </c>
      <c r="G674">
        <f>IF($A674="","",IF($E674=1,$F674,IF($F674="",$G673,IF($G673="",$F674,$G673&amp;", "&amp;$F674))))</f>
        <v/>
      </c>
      <c r="H674">
        <f>IF($A674="","",$A674&amp;" ("&amp;$C674&amp;")")</f>
        <v/>
      </c>
      <c r="I674">
        <f>IF($A674="","",IF($E674=1,$H674,$I673&amp;", "&amp;$H674))</f>
        <v/>
      </c>
      <c r="J674">
        <f>IF($A674="","",IF($E674=1,$B674,""))</f>
        <v/>
      </c>
      <c r="K674">
        <f>IF($A674="","",IF(COUNTIF($B$2:$B674,$B674)=COUNTIF($B$2:$B$1601,$B674),$B674,""))</f>
        <v/>
      </c>
    </row>
    <row r="675">
      <c r="A675">
        <f>IF('TMP Paste'!$E675="","",'TMP Paste'!$E675)</f>
        <v/>
      </c>
      <c r="B675">
        <f>IF($A675="","",COUNTIF('TMP Paste'!$B$2:$B675,"?*"))</f>
        <v/>
      </c>
      <c r="C675">
        <f>IF($A675="","",IFERROR('TMP Paste'!$M675*1,0))</f>
        <v/>
      </c>
      <c r="D675">
        <f>IF($A675="","",SUMIF($B$2:$B675,$B675,$C$2:$C675))</f>
        <v/>
      </c>
      <c r="E675">
        <f>IF($A675="",0,IF('TMP Paste'!$B675="",0,1))</f>
        <v/>
      </c>
      <c r="F675">
        <f>IF(OR($A675="",$C675&lt;1),"",$A675&amp;"-"&amp;TEXT(($D675-$C675+1),"00")&amp;IF($C675&gt;=2,", "&amp;$A675&amp;"-"&amp;TEXT(($D675-$C675+1)+1,"00"),"")&amp;IF($C675&gt;=3,", "&amp;$A675&amp;"-"&amp;TEXT(($D675-$C675+1)+2,"00"),"")&amp;IF($C675&gt;=4,", "&amp;$A675&amp;"-"&amp;TEXT(($D675-$C675+1)+3,"00"),"")&amp;IF($C675&gt;=5,", "&amp;$A675&amp;"-"&amp;TEXT(($D675-$C675+1)+4,"00"),"")&amp;IF($C675&gt;=6,", "&amp;$A675&amp;"-"&amp;TEXT(($D675-$C675+1)+5,"00"),"")&amp;IF($C675&gt;=7,", "&amp;$A675&amp;"-"&amp;TEXT(($D675-$C675+1)+6,"00"),"")&amp;IF($C675&gt;=8,", "&amp;$A675&amp;"-"&amp;TEXT(($D675-$C675+1)+7,"00"),"")&amp;IF($C675&gt;=9,", "&amp;$A675&amp;"-"&amp;TEXT(($D675-$C675+1)+8,"00"),"")&amp;IF($C675&gt;=10,", "&amp;$A675&amp;"-"&amp;TEXT(($D675-$C675+1)+9,"00"),"")&amp;IF($C675&gt;=11,", "&amp;$A675&amp;"-"&amp;TEXT(($D675-$C675+1)+10,"00"),"")&amp;IF($C675&gt;=12,", "&amp;$A675&amp;"-"&amp;TEXT(($D675-$C675+1)+11,"00"),"")&amp;IF($C675&gt;=13,", "&amp;$A675&amp;"-"&amp;TEXT(($D675-$C675+1)+12,"00"),"")&amp;IF($C675&gt;=14,", "&amp;$A675&amp;"-"&amp;TEXT(($D675-$C675+1)+13,"00"),"")&amp;IF($C675&gt;=15,", "&amp;$A675&amp;"-"&amp;TEXT(($D675-$C675+1)+14,"00"),"")&amp;IF($C675&gt;=16,", "&amp;$A675&amp;"-"&amp;TEXT(($D675-$C675+1)+15,"00"),"")&amp;IF($C675&gt;=17,", "&amp;$A675&amp;"-"&amp;TEXT(($D675-$C675+1)+16,"00"),"")&amp;IF($C675&gt;=18,", "&amp;$A675&amp;"-"&amp;TEXT(($D675-$C675+1)+17,"00"),"")&amp;IF($C675&gt;=19,", "&amp;$A675&amp;"-"&amp;TEXT(($D675-$C675+1)+18,"00"),"")&amp;IF($C675&gt;=20,", "&amp;$A675&amp;"-"&amp;TEXT(($D675-$C675+1)+19,"00"),"")&amp;IF($C675&gt;=21,", "&amp;$A675&amp;"-"&amp;TEXT(($D675-$C675+1)+20,"00"),"")&amp;IF($C675&gt;=22,", "&amp;$A675&amp;"-"&amp;TEXT(($D675-$C675+1)+21,"00"),"")&amp;IF($C675&gt;=23,", "&amp;$A675&amp;"-"&amp;TEXT(($D675-$C675+1)+22,"00"),"")&amp;IF($C675&gt;=24,", "&amp;$A675&amp;"-"&amp;TEXT(($D675-$C675+1)+23,"00"),"")&amp;IF($C675&gt;=25,", "&amp;$A675&amp;"-"&amp;TEXT(($D675-$C675+1)+24,"00"),""))</f>
        <v/>
      </c>
      <c r="G675">
        <f>IF($A675="","",IF($E675=1,$F675,IF($F675="",$G674,IF($G674="",$F675,$G674&amp;", "&amp;$F675))))</f>
        <v/>
      </c>
      <c r="H675">
        <f>IF($A675="","",$A675&amp;" ("&amp;$C675&amp;")")</f>
        <v/>
      </c>
      <c r="I675">
        <f>IF($A675="","",IF($E675=1,$H675,$I674&amp;", "&amp;$H675))</f>
        <v/>
      </c>
      <c r="J675">
        <f>IF($A675="","",IF($E675=1,$B675,""))</f>
        <v/>
      </c>
      <c r="K675">
        <f>IF($A675="","",IF(COUNTIF($B$2:$B675,$B675)=COUNTIF($B$2:$B$1601,$B675),$B675,""))</f>
        <v/>
      </c>
    </row>
    <row r="676">
      <c r="A676">
        <f>IF('TMP Paste'!$E676="","",'TMP Paste'!$E676)</f>
        <v/>
      </c>
      <c r="B676">
        <f>IF($A676="","",COUNTIF('TMP Paste'!$B$2:$B676,"?*"))</f>
        <v/>
      </c>
      <c r="C676">
        <f>IF($A676="","",IFERROR('TMP Paste'!$M676*1,0))</f>
        <v/>
      </c>
      <c r="D676">
        <f>IF($A676="","",SUMIF($B$2:$B676,$B676,$C$2:$C676))</f>
        <v/>
      </c>
      <c r="E676">
        <f>IF($A676="",0,IF('TMP Paste'!$B676="",0,1))</f>
        <v/>
      </c>
      <c r="F676">
        <f>IF(OR($A676="",$C676&lt;1),"",$A676&amp;"-"&amp;TEXT(($D676-$C676+1),"00")&amp;IF($C676&gt;=2,", "&amp;$A676&amp;"-"&amp;TEXT(($D676-$C676+1)+1,"00"),"")&amp;IF($C676&gt;=3,", "&amp;$A676&amp;"-"&amp;TEXT(($D676-$C676+1)+2,"00"),"")&amp;IF($C676&gt;=4,", "&amp;$A676&amp;"-"&amp;TEXT(($D676-$C676+1)+3,"00"),"")&amp;IF($C676&gt;=5,", "&amp;$A676&amp;"-"&amp;TEXT(($D676-$C676+1)+4,"00"),"")&amp;IF($C676&gt;=6,", "&amp;$A676&amp;"-"&amp;TEXT(($D676-$C676+1)+5,"00"),"")&amp;IF($C676&gt;=7,", "&amp;$A676&amp;"-"&amp;TEXT(($D676-$C676+1)+6,"00"),"")&amp;IF($C676&gt;=8,", "&amp;$A676&amp;"-"&amp;TEXT(($D676-$C676+1)+7,"00"),"")&amp;IF($C676&gt;=9,", "&amp;$A676&amp;"-"&amp;TEXT(($D676-$C676+1)+8,"00"),"")&amp;IF($C676&gt;=10,", "&amp;$A676&amp;"-"&amp;TEXT(($D676-$C676+1)+9,"00"),"")&amp;IF($C676&gt;=11,", "&amp;$A676&amp;"-"&amp;TEXT(($D676-$C676+1)+10,"00"),"")&amp;IF($C676&gt;=12,", "&amp;$A676&amp;"-"&amp;TEXT(($D676-$C676+1)+11,"00"),"")&amp;IF($C676&gt;=13,", "&amp;$A676&amp;"-"&amp;TEXT(($D676-$C676+1)+12,"00"),"")&amp;IF($C676&gt;=14,", "&amp;$A676&amp;"-"&amp;TEXT(($D676-$C676+1)+13,"00"),"")&amp;IF($C676&gt;=15,", "&amp;$A676&amp;"-"&amp;TEXT(($D676-$C676+1)+14,"00"),"")&amp;IF($C676&gt;=16,", "&amp;$A676&amp;"-"&amp;TEXT(($D676-$C676+1)+15,"00"),"")&amp;IF($C676&gt;=17,", "&amp;$A676&amp;"-"&amp;TEXT(($D676-$C676+1)+16,"00"),"")&amp;IF($C676&gt;=18,", "&amp;$A676&amp;"-"&amp;TEXT(($D676-$C676+1)+17,"00"),"")&amp;IF($C676&gt;=19,", "&amp;$A676&amp;"-"&amp;TEXT(($D676-$C676+1)+18,"00"),"")&amp;IF($C676&gt;=20,", "&amp;$A676&amp;"-"&amp;TEXT(($D676-$C676+1)+19,"00"),"")&amp;IF($C676&gt;=21,", "&amp;$A676&amp;"-"&amp;TEXT(($D676-$C676+1)+20,"00"),"")&amp;IF($C676&gt;=22,", "&amp;$A676&amp;"-"&amp;TEXT(($D676-$C676+1)+21,"00"),"")&amp;IF($C676&gt;=23,", "&amp;$A676&amp;"-"&amp;TEXT(($D676-$C676+1)+22,"00"),"")&amp;IF($C676&gt;=24,", "&amp;$A676&amp;"-"&amp;TEXT(($D676-$C676+1)+23,"00"),"")&amp;IF($C676&gt;=25,", "&amp;$A676&amp;"-"&amp;TEXT(($D676-$C676+1)+24,"00"),""))</f>
        <v/>
      </c>
      <c r="G676">
        <f>IF($A676="","",IF($E676=1,$F676,IF($F676="",$G675,IF($G675="",$F676,$G675&amp;", "&amp;$F676))))</f>
        <v/>
      </c>
      <c r="H676">
        <f>IF($A676="","",$A676&amp;" ("&amp;$C676&amp;")")</f>
        <v/>
      </c>
      <c r="I676">
        <f>IF($A676="","",IF($E676=1,$H676,$I675&amp;", "&amp;$H676))</f>
        <v/>
      </c>
      <c r="J676">
        <f>IF($A676="","",IF($E676=1,$B676,""))</f>
        <v/>
      </c>
      <c r="K676">
        <f>IF($A676="","",IF(COUNTIF($B$2:$B676,$B676)=COUNTIF($B$2:$B$1601,$B676),$B676,""))</f>
        <v/>
      </c>
    </row>
    <row r="677">
      <c r="A677">
        <f>IF('TMP Paste'!$E677="","",'TMP Paste'!$E677)</f>
        <v/>
      </c>
      <c r="B677">
        <f>IF($A677="","",COUNTIF('TMP Paste'!$B$2:$B677,"?*"))</f>
        <v/>
      </c>
      <c r="C677">
        <f>IF($A677="","",IFERROR('TMP Paste'!$M677*1,0))</f>
        <v/>
      </c>
      <c r="D677">
        <f>IF($A677="","",SUMIF($B$2:$B677,$B677,$C$2:$C677))</f>
        <v/>
      </c>
      <c r="E677">
        <f>IF($A677="",0,IF('TMP Paste'!$B677="",0,1))</f>
        <v/>
      </c>
      <c r="F677">
        <f>IF(OR($A677="",$C677&lt;1),"",$A677&amp;"-"&amp;TEXT(($D677-$C677+1),"00")&amp;IF($C677&gt;=2,", "&amp;$A677&amp;"-"&amp;TEXT(($D677-$C677+1)+1,"00"),"")&amp;IF($C677&gt;=3,", "&amp;$A677&amp;"-"&amp;TEXT(($D677-$C677+1)+2,"00"),"")&amp;IF($C677&gt;=4,", "&amp;$A677&amp;"-"&amp;TEXT(($D677-$C677+1)+3,"00"),"")&amp;IF($C677&gt;=5,", "&amp;$A677&amp;"-"&amp;TEXT(($D677-$C677+1)+4,"00"),"")&amp;IF($C677&gt;=6,", "&amp;$A677&amp;"-"&amp;TEXT(($D677-$C677+1)+5,"00"),"")&amp;IF($C677&gt;=7,", "&amp;$A677&amp;"-"&amp;TEXT(($D677-$C677+1)+6,"00"),"")&amp;IF($C677&gt;=8,", "&amp;$A677&amp;"-"&amp;TEXT(($D677-$C677+1)+7,"00"),"")&amp;IF($C677&gt;=9,", "&amp;$A677&amp;"-"&amp;TEXT(($D677-$C677+1)+8,"00"),"")&amp;IF($C677&gt;=10,", "&amp;$A677&amp;"-"&amp;TEXT(($D677-$C677+1)+9,"00"),"")&amp;IF($C677&gt;=11,", "&amp;$A677&amp;"-"&amp;TEXT(($D677-$C677+1)+10,"00"),"")&amp;IF($C677&gt;=12,", "&amp;$A677&amp;"-"&amp;TEXT(($D677-$C677+1)+11,"00"),"")&amp;IF($C677&gt;=13,", "&amp;$A677&amp;"-"&amp;TEXT(($D677-$C677+1)+12,"00"),"")&amp;IF($C677&gt;=14,", "&amp;$A677&amp;"-"&amp;TEXT(($D677-$C677+1)+13,"00"),"")&amp;IF($C677&gt;=15,", "&amp;$A677&amp;"-"&amp;TEXT(($D677-$C677+1)+14,"00"),"")&amp;IF($C677&gt;=16,", "&amp;$A677&amp;"-"&amp;TEXT(($D677-$C677+1)+15,"00"),"")&amp;IF($C677&gt;=17,", "&amp;$A677&amp;"-"&amp;TEXT(($D677-$C677+1)+16,"00"),"")&amp;IF($C677&gt;=18,", "&amp;$A677&amp;"-"&amp;TEXT(($D677-$C677+1)+17,"00"),"")&amp;IF($C677&gt;=19,", "&amp;$A677&amp;"-"&amp;TEXT(($D677-$C677+1)+18,"00"),"")&amp;IF($C677&gt;=20,", "&amp;$A677&amp;"-"&amp;TEXT(($D677-$C677+1)+19,"00"),"")&amp;IF($C677&gt;=21,", "&amp;$A677&amp;"-"&amp;TEXT(($D677-$C677+1)+20,"00"),"")&amp;IF($C677&gt;=22,", "&amp;$A677&amp;"-"&amp;TEXT(($D677-$C677+1)+21,"00"),"")&amp;IF($C677&gt;=23,", "&amp;$A677&amp;"-"&amp;TEXT(($D677-$C677+1)+22,"00"),"")&amp;IF($C677&gt;=24,", "&amp;$A677&amp;"-"&amp;TEXT(($D677-$C677+1)+23,"00"),"")&amp;IF($C677&gt;=25,", "&amp;$A677&amp;"-"&amp;TEXT(($D677-$C677+1)+24,"00"),""))</f>
        <v/>
      </c>
      <c r="G677">
        <f>IF($A677="","",IF($E677=1,$F677,IF($F677="",$G676,IF($G676="",$F677,$G676&amp;", "&amp;$F677))))</f>
        <v/>
      </c>
      <c r="H677">
        <f>IF($A677="","",$A677&amp;" ("&amp;$C677&amp;")")</f>
        <v/>
      </c>
      <c r="I677">
        <f>IF($A677="","",IF($E677=1,$H677,$I676&amp;", "&amp;$H677))</f>
        <v/>
      </c>
      <c r="J677">
        <f>IF($A677="","",IF($E677=1,$B677,""))</f>
        <v/>
      </c>
      <c r="K677">
        <f>IF($A677="","",IF(COUNTIF($B$2:$B677,$B677)=COUNTIF($B$2:$B$1601,$B677),$B677,""))</f>
        <v/>
      </c>
    </row>
    <row r="678">
      <c r="A678">
        <f>IF('TMP Paste'!$E678="","",'TMP Paste'!$E678)</f>
        <v/>
      </c>
      <c r="B678">
        <f>IF($A678="","",COUNTIF('TMP Paste'!$B$2:$B678,"?*"))</f>
        <v/>
      </c>
      <c r="C678">
        <f>IF($A678="","",IFERROR('TMP Paste'!$M678*1,0))</f>
        <v/>
      </c>
      <c r="D678">
        <f>IF($A678="","",SUMIF($B$2:$B678,$B678,$C$2:$C678))</f>
        <v/>
      </c>
      <c r="E678">
        <f>IF($A678="",0,IF('TMP Paste'!$B678="",0,1))</f>
        <v/>
      </c>
      <c r="F678">
        <f>IF(OR($A678="",$C678&lt;1),"",$A678&amp;"-"&amp;TEXT(($D678-$C678+1),"00")&amp;IF($C678&gt;=2,", "&amp;$A678&amp;"-"&amp;TEXT(($D678-$C678+1)+1,"00"),"")&amp;IF($C678&gt;=3,", "&amp;$A678&amp;"-"&amp;TEXT(($D678-$C678+1)+2,"00"),"")&amp;IF($C678&gt;=4,", "&amp;$A678&amp;"-"&amp;TEXT(($D678-$C678+1)+3,"00"),"")&amp;IF($C678&gt;=5,", "&amp;$A678&amp;"-"&amp;TEXT(($D678-$C678+1)+4,"00"),"")&amp;IF($C678&gt;=6,", "&amp;$A678&amp;"-"&amp;TEXT(($D678-$C678+1)+5,"00"),"")&amp;IF($C678&gt;=7,", "&amp;$A678&amp;"-"&amp;TEXT(($D678-$C678+1)+6,"00"),"")&amp;IF($C678&gt;=8,", "&amp;$A678&amp;"-"&amp;TEXT(($D678-$C678+1)+7,"00"),"")&amp;IF($C678&gt;=9,", "&amp;$A678&amp;"-"&amp;TEXT(($D678-$C678+1)+8,"00"),"")&amp;IF($C678&gt;=10,", "&amp;$A678&amp;"-"&amp;TEXT(($D678-$C678+1)+9,"00"),"")&amp;IF($C678&gt;=11,", "&amp;$A678&amp;"-"&amp;TEXT(($D678-$C678+1)+10,"00"),"")&amp;IF($C678&gt;=12,", "&amp;$A678&amp;"-"&amp;TEXT(($D678-$C678+1)+11,"00"),"")&amp;IF($C678&gt;=13,", "&amp;$A678&amp;"-"&amp;TEXT(($D678-$C678+1)+12,"00"),"")&amp;IF($C678&gt;=14,", "&amp;$A678&amp;"-"&amp;TEXT(($D678-$C678+1)+13,"00"),"")&amp;IF($C678&gt;=15,", "&amp;$A678&amp;"-"&amp;TEXT(($D678-$C678+1)+14,"00"),"")&amp;IF($C678&gt;=16,", "&amp;$A678&amp;"-"&amp;TEXT(($D678-$C678+1)+15,"00"),"")&amp;IF($C678&gt;=17,", "&amp;$A678&amp;"-"&amp;TEXT(($D678-$C678+1)+16,"00"),"")&amp;IF($C678&gt;=18,", "&amp;$A678&amp;"-"&amp;TEXT(($D678-$C678+1)+17,"00"),"")&amp;IF($C678&gt;=19,", "&amp;$A678&amp;"-"&amp;TEXT(($D678-$C678+1)+18,"00"),"")&amp;IF($C678&gt;=20,", "&amp;$A678&amp;"-"&amp;TEXT(($D678-$C678+1)+19,"00"),"")&amp;IF($C678&gt;=21,", "&amp;$A678&amp;"-"&amp;TEXT(($D678-$C678+1)+20,"00"),"")&amp;IF($C678&gt;=22,", "&amp;$A678&amp;"-"&amp;TEXT(($D678-$C678+1)+21,"00"),"")&amp;IF($C678&gt;=23,", "&amp;$A678&amp;"-"&amp;TEXT(($D678-$C678+1)+22,"00"),"")&amp;IF($C678&gt;=24,", "&amp;$A678&amp;"-"&amp;TEXT(($D678-$C678+1)+23,"00"),"")&amp;IF($C678&gt;=25,", "&amp;$A678&amp;"-"&amp;TEXT(($D678-$C678+1)+24,"00"),""))</f>
        <v/>
      </c>
      <c r="G678">
        <f>IF($A678="","",IF($E678=1,$F678,IF($F678="",$G677,IF($G677="",$F678,$G677&amp;", "&amp;$F678))))</f>
        <v/>
      </c>
      <c r="H678">
        <f>IF($A678="","",$A678&amp;" ("&amp;$C678&amp;")")</f>
        <v/>
      </c>
      <c r="I678">
        <f>IF($A678="","",IF($E678=1,$H678,$I677&amp;", "&amp;$H678))</f>
        <v/>
      </c>
      <c r="J678">
        <f>IF($A678="","",IF($E678=1,$B678,""))</f>
        <v/>
      </c>
      <c r="K678">
        <f>IF($A678="","",IF(COUNTIF($B$2:$B678,$B678)=COUNTIF($B$2:$B$1601,$B678),$B678,""))</f>
        <v/>
      </c>
    </row>
    <row r="679">
      <c r="A679">
        <f>IF('TMP Paste'!$E679="","",'TMP Paste'!$E679)</f>
        <v/>
      </c>
      <c r="B679">
        <f>IF($A679="","",COUNTIF('TMP Paste'!$B$2:$B679,"?*"))</f>
        <v/>
      </c>
      <c r="C679">
        <f>IF($A679="","",IFERROR('TMP Paste'!$M679*1,0))</f>
        <v/>
      </c>
      <c r="D679">
        <f>IF($A679="","",SUMIF($B$2:$B679,$B679,$C$2:$C679))</f>
        <v/>
      </c>
      <c r="E679">
        <f>IF($A679="",0,IF('TMP Paste'!$B679="",0,1))</f>
        <v/>
      </c>
      <c r="F679">
        <f>IF(OR($A679="",$C679&lt;1),"",$A679&amp;"-"&amp;TEXT(($D679-$C679+1),"00")&amp;IF($C679&gt;=2,", "&amp;$A679&amp;"-"&amp;TEXT(($D679-$C679+1)+1,"00"),"")&amp;IF($C679&gt;=3,", "&amp;$A679&amp;"-"&amp;TEXT(($D679-$C679+1)+2,"00"),"")&amp;IF($C679&gt;=4,", "&amp;$A679&amp;"-"&amp;TEXT(($D679-$C679+1)+3,"00"),"")&amp;IF($C679&gt;=5,", "&amp;$A679&amp;"-"&amp;TEXT(($D679-$C679+1)+4,"00"),"")&amp;IF($C679&gt;=6,", "&amp;$A679&amp;"-"&amp;TEXT(($D679-$C679+1)+5,"00"),"")&amp;IF($C679&gt;=7,", "&amp;$A679&amp;"-"&amp;TEXT(($D679-$C679+1)+6,"00"),"")&amp;IF($C679&gt;=8,", "&amp;$A679&amp;"-"&amp;TEXT(($D679-$C679+1)+7,"00"),"")&amp;IF($C679&gt;=9,", "&amp;$A679&amp;"-"&amp;TEXT(($D679-$C679+1)+8,"00"),"")&amp;IF($C679&gt;=10,", "&amp;$A679&amp;"-"&amp;TEXT(($D679-$C679+1)+9,"00"),"")&amp;IF($C679&gt;=11,", "&amp;$A679&amp;"-"&amp;TEXT(($D679-$C679+1)+10,"00"),"")&amp;IF($C679&gt;=12,", "&amp;$A679&amp;"-"&amp;TEXT(($D679-$C679+1)+11,"00"),"")&amp;IF($C679&gt;=13,", "&amp;$A679&amp;"-"&amp;TEXT(($D679-$C679+1)+12,"00"),"")&amp;IF($C679&gt;=14,", "&amp;$A679&amp;"-"&amp;TEXT(($D679-$C679+1)+13,"00"),"")&amp;IF($C679&gt;=15,", "&amp;$A679&amp;"-"&amp;TEXT(($D679-$C679+1)+14,"00"),"")&amp;IF($C679&gt;=16,", "&amp;$A679&amp;"-"&amp;TEXT(($D679-$C679+1)+15,"00"),"")&amp;IF($C679&gt;=17,", "&amp;$A679&amp;"-"&amp;TEXT(($D679-$C679+1)+16,"00"),"")&amp;IF($C679&gt;=18,", "&amp;$A679&amp;"-"&amp;TEXT(($D679-$C679+1)+17,"00"),"")&amp;IF($C679&gt;=19,", "&amp;$A679&amp;"-"&amp;TEXT(($D679-$C679+1)+18,"00"),"")&amp;IF($C679&gt;=20,", "&amp;$A679&amp;"-"&amp;TEXT(($D679-$C679+1)+19,"00"),"")&amp;IF($C679&gt;=21,", "&amp;$A679&amp;"-"&amp;TEXT(($D679-$C679+1)+20,"00"),"")&amp;IF($C679&gt;=22,", "&amp;$A679&amp;"-"&amp;TEXT(($D679-$C679+1)+21,"00"),"")&amp;IF($C679&gt;=23,", "&amp;$A679&amp;"-"&amp;TEXT(($D679-$C679+1)+22,"00"),"")&amp;IF($C679&gt;=24,", "&amp;$A679&amp;"-"&amp;TEXT(($D679-$C679+1)+23,"00"),"")&amp;IF($C679&gt;=25,", "&amp;$A679&amp;"-"&amp;TEXT(($D679-$C679+1)+24,"00"),""))</f>
        <v/>
      </c>
      <c r="G679">
        <f>IF($A679="","",IF($E679=1,$F679,IF($F679="",$G678,IF($G678="",$F679,$G678&amp;", "&amp;$F679))))</f>
        <v/>
      </c>
      <c r="H679">
        <f>IF($A679="","",$A679&amp;" ("&amp;$C679&amp;")")</f>
        <v/>
      </c>
      <c r="I679">
        <f>IF($A679="","",IF($E679=1,$H679,$I678&amp;", "&amp;$H679))</f>
        <v/>
      </c>
      <c r="J679">
        <f>IF($A679="","",IF($E679=1,$B679,""))</f>
        <v/>
      </c>
      <c r="K679">
        <f>IF($A679="","",IF(COUNTIF($B$2:$B679,$B679)=COUNTIF($B$2:$B$1601,$B679),$B679,""))</f>
        <v/>
      </c>
    </row>
    <row r="680">
      <c r="A680">
        <f>IF('TMP Paste'!$E680="","",'TMP Paste'!$E680)</f>
        <v/>
      </c>
      <c r="B680">
        <f>IF($A680="","",COUNTIF('TMP Paste'!$B$2:$B680,"?*"))</f>
        <v/>
      </c>
      <c r="C680">
        <f>IF($A680="","",IFERROR('TMP Paste'!$M680*1,0))</f>
        <v/>
      </c>
      <c r="D680">
        <f>IF($A680="","",SUMIF($B$2:$B680,$B680,$C$2:$C680))</f>
        <v/>
      </c>
      <c r="E680">
        <f>IF($A680="",0,IF('TMP Paste'!$B680="",0,1))</f>
        <v/>
      </c>
      <c r="F680">
        <f>IF(OR($A680="",$C680&lt;1),"",$A680&amp;"-"&amp;TEXT(($D680-$C680+1),"00")&amp;IF($C680&gt;=2,", "&amp;$A680&amp;"-"&amp;TEXT(($D680-$C680+1)+1,"00"),"")&amp;IF($C680&gt;=3,", "&amp;$A680&amp;"-"&amp;TEXT(($D680-$C680+1)+2,"00"),"")&amp;IF($C680&gt;=4,", "&amp;$A680&amp;"-"&amp;TEXT(($D680-$C680+1)+3,"00"),"")&amp;IF($C680&gt;=5,", "&amp;$A680&amp;"-"&amp;TEXT(($D680-$C680+1)+4,"00"),"")&amp;IF($C680&gt;=6,", "&amp;$A680&amp;"-"&amp;TEXT(($D680-$C680+1)+5,"00"),"")&amp;IF($C680&gt;=7,", "&amp;$A680&amp;"-"&amp;TEXT(($D680-$C680+1)+6,"00"),"")&amp;IF($C680&gt;=8,", "&amp;$A680&amp;"-"&amp;TEXT(($D680-$C680+1)+7,"00"),"")&amp;IF($C680&gt;=9,", "&amp;$A680&amp;"-"&amp;TEXT(($D680-$C680+1)+8,"00"),"")&amp;IF($C680&gt;=10,", "&amp;$A680&amp;"-"&amp;TEXT(($D680-$C680+1)+9,"00"),"")&amp;IF($C680&gt;=11,", "&amp;$A680&amp;"-"&amp;TEXT(($D680-$C680+1)+10,"00"),"")&amp;IF($C680&gt;=12,", "&amp;$A680&amp;"-"&amp;TEXT(($D680-$C680+1)+11,"00"),"")&amp;IF($C680&gt;=13,", "&amp;$A680&amp;"-"&amp;TEXT(($D680-$C680+1)+12,"00"),"")&amp;IF($C680&gt;=14,", "&amp;$A680&amp;"-"&amp;TEXT(($D680-$C680+1)+13,"00"),"")&amp;IF($C680&gt;=15,", "&amp;$A680&amp;"-"&amp;TEXT(($D680-$C680+1)+14,"00"),"")&amp;IF($C680&gt;=16,", "&amp;$A680&amp;"-"&amp;TEXT(($D680-$C680+1)+15,"00"),"")&amp;IF($C680&gt;=17,", "&amp;$A680&amp;"-"&amp;TEXT(($D680-$C680+1)+16,"00"),"")&amp;IF($C680&gt;=18,", "&amp;$A680&amp;"-"&amp;TEXT(($D680-$C680+1)+17,"00"),"")&amp;IF($C680&gt;=19,", "&amp;$A680&amp;"-"&amp;TEXT(($D680-$C680+1)+18,"00"),"")&amp;IF($C680&gt;=20,", "&amp;$A680&amp;"-"&amp;TEXT(($D680-$C680+1)+19,"00"),"")&amp;IF($C680&gt;=21,", "&amp;$A680&amp;"-"&amp;TEXT(($D680-$C680+1)+20,"00"),"")&amp;IF($C680&gt;=22,", "&amp;$A680&amp;"-"&amp;TEXT(($D680-$C680+1)+21,"00"),"")&amp;IF($C680&gt;=23,", "&amp;$A680&amp;"-"&amp;TEXT(($D680-$C680+1)+22,"00"),"")&amp;IF($C680&gt;=24,", "&amp;$A680&amp;"-"&amp;TEXT(($D680-$C680+1)+23,"00"),"")&amp;IF($C680&gt;=25,", "&amp;$A680&amp;"-"&amp;TEXT(($D680-$C680+1)+24,"00"),""))</f>
        <v/>
      </c>
      <c r="G680">
        <f>IF($A680="","",IF($E680=1,$F680,IF($F680="",$G679,IF($G679="",$F680,$G679&amp;", "&amp;$F680))))</f>
        <v/>
      </c>
      <c r="H680">
        <f>IF($A680="","",$A680&amp;" ("&amp;$C680&amp;")")</f>
        <v/>
      </c>
      <c r="I680">
        <f>IF($A680="","",IF($E680=1,$H680,$I679&amp;", "&amp;$H680))</f>
        <v/>
      </c>
      <c r="J680">
        <f>IF($A680="","",IF($E680=1,$B680,""))</f>
        <v/>
      </c>
      <c r="K680">
        <f>IF($A680="","",IF(COUNTIF($B$2:$B680,$B680)=COUNTIF($B$2:$B$1601,$B680),$B680,""))</f>
        <v/>
      </c>
    </row>
    <row r="681">
      <c r="A681">
        <f>IF('TMP Paste'!$E681="","",'TMP Paste'!$E681)</f>
        <v/>
      </c>
      <c r="B681">
        <f>IF($A681="","",COUNTIF('TMP Paste'!$B$2:$B681,"?*"))</f>
        <v/>
      </c>
      <c r="C681">
        <f>IF($A681="","",IFERROR('TMP Paste'!$M681*1,0))</f>
        <v/>
      </c>
      <c r="D681">
        <f>IF($A681="","",SUMIF($B$2:$B681,$B681,$C$2:$C681))</f>
        <v/>
      </c>
      <c r="E681">
        <f>IF($A681="",0,IF('TMP Paste'!$B681="",0,1))</f>
        <v/>
      </c>
      <c r="F681">
        <f>IF(OR($A681="",$C681&lt;1),"",$A681&amp;"-"&amp;TEXT(($D681-$C681+1),"00")&amp;IF($C681&gt;=2,", "&amp;$A681&amp;"-"&amp;TEXT(($D681-$C681+1)+1,"00"),"")&amp;IF($C681&gt;=3,", "&amp;$A681&amp;"-"&amp;TEXT(($D681-$C681+1)+2,"00"),"")&amp;IF($C681&gt;=4,", "&amp;$A681&amp;"-"&amp;TEXT(($D681-$C681+1)+3,"00"),"")&amp;IF($C681&gt;=5,", "&amp;$A681&amp;"-"&amp;TEXT(($D681-$C681+1)+4,"00"),"")&amp;IF($C681&gt;=6,", "&amp;$A681&amp;"-"&amp;TEXT(($D681-$C681+1)+5,"00"),"")&amp;IF($C681&gt;=7,", "&amp;$A681&amp;"-"&amp;TEXT(($D681-$C681+1)+6,"00"),"")&amp;IF($C681&gt;=8,", "&amp;$A681&amp;"-"&amp;TEXT(($D681-$C681+1)+7,"00"),"")&amp;IF($C681&gt;=9,", "&amp;$A681&amp;"-"&amp;TEXT(($D681-$C681+1)+8,"00"),"")&amp;IF($C681&gt;=10,", "&amp;$A681&amp;"-"&amp;TEXT(($D681-$C681+1)+9,"00"),"")&amp;IF($C681&gt;=11,", "&amp;$A681&amp;"-"&amp;TEXT(($D681-$C681+1)+10,"00"),"")&amp;IF($C681&gt;=12,", "&amp;$A681&amp;"-"&amp;TEXT(($D681-$C681+1)+11,"00"),"")&amp;IF($C681&gt;=13,", "&amp;$A681&amp;"-"&amp;TEXT(($D681-$C681+1)+12,"00"),"")&amp;IF($C681&gt;=14,", "&amp;$A681&amp;"-"&amp;TEXT(($D681-$C681+1)+13,"00"),"")&amp;IF($C681&gt;=15,", "&amp;$A681&amp;"-"&amp;TEXT(($D681-$C681+1)+14,"00"),"")&amp;IF($C681&gt;=16,", "&amp;$A681&amp;"-"&amp;TEXT(($D681-$C681+1)+15,"00"),"")&amp;IF($C681&gt;=17,", "&amp;$A681&amp;"-"&amp;TEXT(($D681-$C681+1)+16,"00"),"")&amp;IF($C681&gt;=18,", "&amp;$A681&amp;"-"&amp;TEXT(($D681-$C681+1)+17,"00"),"")&amp;IF($C681&gt;=19,", "&amp;$A681&amp;"-"&amp;TEXT(($D681-$C681+1)+18,"00"),"")&amp;IF($C681&gt;=20,", "&amp;$A681&amp;"-"&amp;TEXT(($D681-$C681+1)+19,"00"),"")&amp;IF($C681&gt;=21,", "&amp;$A681&amp;"-"&amp;TEXT(($D681-$C681+1)+20,"00"),"")&amp;IF($C681&gt;=22,", "&amp;$A681&amp;"-"&amp;TEXT(($D681-$C681+1)+21,"00"),"")&amp;IF($C681&gt;=23,", "&amp;$A681&amp;"-"&amp;TEXT(($D681-$C681+1)+22,"00"),"")&amp;IF($C681&gt;=24,", "&amp;$A681&amp;"-"&amp;TEXT(($D681-$C681+1)+23,"00"),"")&amp;IF($C681&gt;=25,", "&amp;$A681&amp;"-"&amp;TEXT(($D681-$C681+1)+24,"00"),""))</f>
        <v/>
      </c>
      <c r="G681">
        <f>IF($A681="","",IF($E681=1,$F681,IF($F681="",$G680,IF($G680="",$F681,$G680&amp;", "&amp;$F681))))</f>
        <v/>
      </c>
      <c r="H681">
        <f>IF($A681="","",$A681&amp;" ("&amp;$C681&amp;")")</f>
        <v/>
      </c>
      <c r="I681">
        <f>IF($A681="","",IF($E681=1,$H681,$I680&amp;", "&amp;$H681))</f>
        <v/>
      </c>
      <c r="J681">
        <f>IF($A681="","",IF($E681=1,$B681,""))</f>
        <v/>
      </c>
      <c r="K681">
        <f>IF($A681="","",IF(COUNTIF($B$2:$B681,$B681)=COUNTIF($B$2:$B$1601,$B681),$B681,""))</f>
        <v/>
      </c>
    </row>
    <row r="682">
      <c r="A682">
        <f>IF('TMP Paste'!$E682="","",'TMP Paste'!$E682)</f>
        <v/>
      </c>
      <c r="B682">
        <f>IF($A682="","",COUNTIF('TMP Paste'!$B$2:$B682,"?*"))</f>
        <v/>
      </c>
      <c r="C682">
        <f>IF($A682="","",IFERROR('TMP Paste'!$M682*1,0))</f>
        <v/>
      </c>
      <c r="D682">
        <f>IF($A682="","",SUMIF($B$2:$B682,$B682,$C$2:$C682))</f>
        <v/>
      </c>
      <c r="E682">
        <f>IF($A682="",0,IF('TMP Paste'!$B682="",0,1))</f>
        <v/>
      </c>
      <c r="F682">
        <f>IF(OR($A682="",$C682&lt;1),"",$A682&amp;"-"&amp;TEXT(($D682-$C682+1),"00")&amp;IF($C682&gt;=2,", "&amp;$A682&amp;"-"&amp;TEXT(($D682-$C682+1)+1,"00"),"")&amp;IF($C682&gt;=3,", "&amp;$A682&amp;"-"&amp;TEXT(($D682-$C682+1)+2,"00"),"")&amp;IF($C682&gt;=4,", "&amp;$A682&amp;"-"&amp;TEXT(($D682-$C682+1)+3,"00"),"")&amp;IF($C682&gt;=5,", "&amp;$A682&amp;"-"&amp;TEXT(($D682-$C682+1)+4,"00"),"")&amp;IF($C682&gt;=6,", "&amp;$A682&amp;"-"&amp;TEXT(($D682-$C682+1)+5,"00"),"")&amp;IF($C682&gt;=7,", "&amp;$A682&amp;"-"&amp;TEXT(($D682-$C682+1)+6,"00"),"")&amp;IF($C682&gt;=8,", "&amp;$A682&amp;"-"&amp;TEXT(($D682-$C682+1)+7,"00"),"")&amp;IF($C682&gt;=9,", "&amp;$A682&amp;"-"&amp;TEXT(($D682-$C682+1)+8,"00"),"")&amp;IF($C682&gt;=10,", "&amp;$A682&amp;"-"&amp;TEXT(($D682-$C682+1)+9,"00"),"")&amp;IF($C682&gt;=11,", "&amp;$A682&amp;"-"&amp;TEXT(($D682-$C682+1)+10,"00"),"")&amp;IF($C682&gt;=12,", "&amp;$A682&amp;"-"&amp;TEXT(($D682-$C682+1)+11,"00"),"")&amp;IF($C682&gt;=13,", "&amp;$A682&amp;"-"&amp;TEXT(($D682-$C682+1)+12,"00"),"")&amp;IF($C682&gt;=14,", "&amp;$A682&amp;"-"&amp;TEXT(($D682-$C682+1)+13,"00"),"")&amp;IF($C682&gt;=15,", "&amp;$A682&amp;"-"&amp;TEXT(($D682-$C682+1)+14,"00"),"")&amp;IF($C682&gt;=16,", "&amp;$A682&amp;"-"&amp;TEXT(($D682-$C682+1)+15,"00"),"")&amp;IF($C682&gt;=17,", "&amp;$A682&amp;"-"&amp;TEXT(($D682-$C682+1)+16,"00"),"")&amp;IF($C682&gt;=18,", "&amp;$A682&amp;"-"&amp;TEXT(($D682-$C682+1)+17,"00"),"")&amp;IF($C682&gt;=19,", "&amp;$A682&amp;"-"&amp;TEXT(($D682-$C682+1)+18,"00"),"")&amp;IF($C682&gt;=20,", "&amp;$A682&amp;"-"&amp;TEXT(($D682-$C682+1)+19,"00"),"")&amp;IF($C682&gt;=21,", "&amp;$A682&amp;"-"&amp;TEXT(($D682-$C682+1)+20,"00"),"")&amp;IF($C682&gt;=22,", "&amp;$A682&amp;"-"&amp;TEXT(($D682-$C682+1)+21,"00"),"")&amp;IF($C682&gt;=23,", "&amp;$A682&amp;"-"&amp;TEXT(($D682-$C682+1)+22,"00"),"")&amp;IF($C682&gt;=24,", "&amp;$A682&amp;"-"&amp;TEXT(($D682-$C682+1)+23,"00"),"")&amp;IF($C682&gt;=25,", "&amp;$A682&amp;"-"&amp;TEXT(($D682-$C682+1)+24,"00"),""))</f>
        <v/>
      </c>
      <c r="G682">
        <f>IF($A682="","",IF($E682=1,$F682,IF($F682="",$G681,IF($G681="",$F682,$G681&amp;", "&amp;$F682))))</f>
        <v/>
      </c>
      <c r="H682">
        <f>IF($A682="","",$A682&amp;" ("&amp;$C682&amp;")")</f>
        <v/>
      </c>
      <c r="I682">
        <f>IF($A682="","",IF($E682=1,$H682,$I681&amp;", "&amp;$H682))</f>
        <v/>
      </c>
      <c r="J682">
        <f>IF($A682="","",IF($E682=1,$B682,""))</f>
        <v/>
      </c>
      <c r="K682">
        <f>IF($A682="","",IF(COUNTIF($B$2:$B682,$B682)=COUNTIF($B$2:$B$1601,$B682),$B682,""))</f>
        <v/>
      </c>
    </row>
    <row r="683">
      <c r="A683">
        <f>IF('TMP Paste'!$E683="","",'TMP Paste'!$E683)</f>
        <v/>
      </c>
      <c r="B683">
        <f>IF($A683="","",COUNTIF('TMP Paste'!$B$2:$B683,"?*"))</f>
        <v/>
      </c>
      <c r="C683">
        <f>IF($A683="","",IFERROR('TMP Paste'!$M683*1,0))</f>
        <v/>
      </c>
      <c r="D683">
        <f>IF($A683="","",SUMIF($B$2:$B683,$B683,$C$2:$C683))</f>
        <v/>
      </c>
      <c r="E683">
        <f>IF($A683="",0,IF('TMP Paste'!$B683="",0,1))</f>
        <v/>
      </c>
      <c r="F683">
        <f>IF(OR($A683="",$C683&lt;1),"",$A683&amp;"-"&amp;TEXT(($D683-$C683+1),"00")&amp;IF($C683&gt;=2,", "&amp;$A683&amp;"-"&amp;TEXT(($D683-$C683+1)+1,"00"),"")&amp;IF($C683&gt;=3,", "&amp;$A683&amp;"-"&amp;TEXT(($D683-$C683+1)+2,"00"),"")&amp;IF($C683&gt;=4,", "&amp;$A683&amp;"-"&amp;TEXT(($D683-$C683+1)+3,"00"),"")&amp;IF($C683&gt;=5,", "&amp;$A683&amp;"-"&amp;TEXT(($D683-$C683+1)+4,"00"),"")&amp;IF($C683&gt;=6,", "&amp;$A683&amp;"-"&amp;TEXT(($D683-$C683+1)+5,"00"),"")&amp;IF($C683&gt;=7,", "&amp;$A683&amp;"-"&amp;TEXT(($D683-$C683+1)+6,"00"),"")&amp;IF($C683&gt;=8,", "&amp;$A683&amp;"-"&amp;TEXT(($D683-$C683+1)+7,"00"),"")&amp;IF($C683&gt;=9,", "&amp;$A683&amp;"-"&amp;TEXT(($D683-$C683+1)+8,"00"),"")&amp;IF($C683&gt;=10,", "&amp;$A683&amp;"-"&amp;TEXT(($D683-$C683+1)+9,"00"),"")&amp;IF($C683&gt;=11,", "&amp;$A683&amp;"-"&amp;TEXT(($D683-$C683+1)+10,"00"),"")&amp;IF($C683&gt;=12,", "&amp;$A683&amp;"-"&amp;TEXT(($D683-$C683+1)+11,"00"),"")&amp;IF($C683&gt;=13,", "&amp;$A683&amp;"-"&amp;TEXT(($D683-$C683+1)+12,"00"),"")&amp;IF($C683&gt;=14,", "&amp;$A683&amp;"-"&amp;TEXT(($D683-$C683+1)+13,"00"),"")&amp;IF($C683&gt;=15,", "&amp;$A683&amp;"-"&amp;TEXT(($D683-$C683+1)+14,"00"),"")&amp;IF($C683&gt;=16,", "&amp;$A683&amp;"-"&amp;TEXT(($D683-$C683+1)+15,"00"),"")&amp;IF($C683&gt;=17,", "&amp;$A683&amp;"-"&amp;TEXT(($D683-$C683+1)+16,"00"),"")&amp;IF($C683&gt;=18,", "&amp;$A683&amp;"-"&amp;TEXT(($D683-$C683+1)+17,"00"),"")&amp;IF($C683&gt;=19,", "&amp;$A683&amp;"-"&amp;TEXT(($D683-$C683+1)+18,"00"),"")&amp;IF($C683&gt;=20,", "&amp;$A683&amp;"-"&amp;TEXT(($D683-$C683+1)+19,"00"),"")&amp;IF($C683&gt;=21,", "&amp;$A683&amp;"-"&amp;TEXT(($D683-$C683+1)+20,"00"),"")&amp;IF($C683&gt;=22,", "&amp;$A683&amp;"-"&amp;TEXT(($D683-$C683+1)+21,"00"),"")&amp;IF($C683&gt;=23,", "&amp;$A683&amp;"-"&amp;TEXT(($D683-$C683+1)+22,"00"),"")&amp;IF($C683&gt;=24,", "&amp;$A683&amp;"-"&amp;TEXT(($D683-$C683+1)+23,"00"),"")&amp;IF($C683&gt;=25,", "&amp;$A683&amp;"-"&amp;TEXT(($D683-$C683+1)+24,"00"),""))</f>
        <v/>
      </c>
      <c r="G683">
        <f>IF($A683="","",IF($E683=1,$F683,IF($F683="",$G682,IF($G682="",$F683,$G682&amp;", "&amp;$F683))))</f>
        <v/>
      </c>
      <c r="H683">
        <f>IF($A683="","",$A683&amp;" ("&amp;$C683&amp;")")</f>
        <v/>
      </c>
      <c r="I683">
        <f>IF($A683="","",IF($E683=1,$H683,$I682&amp;", "&amp;$H683))</f>
        <v/>
      </c>
      <c r="J683">
        <f>IF($A683="","",IF($E683=1,$B683,""))</f>
        <v/>
      </c>
      <c r="K683">
        <f>IF($A683="","",IF(COUNTIF($B$2:$B683,$B683)=COUNTIF($B$2:$B$1601,$B683),$B683,""))</f>
        <v/>
      </c>
    </row>
    <row r="684">
      <c r="A684">
        <f>IF('TMP Paste'!$E684="","",'TMP Paste'!$E684)</f>
        <v/>
      </c>
      <c r="B684">
        <f>IF($A684="","",COUNTIF('TMP Paste'!$B$2:$B684,"?*"))</f>
        <v/>
      </c>
      <c r="C684">
        <f>IF($A684="","",IFERROR('TMP Paste'!$M684*1,0))</f>
        <v/>
      </c>
      <c r="D684">
        <f>IF($A684="","",SUMIF($B$2:$B684,$B684,$C$2:$C684))</f>
        <v/>
      </c>
      <c r="E684">
        <f>IF($A684="",0,IF('TMP Paste'!$B684="",0,1))</f>
        <v/>
      </c>
      <c r="F684">
        <f>IF(OR($A684="",$C684&lt;1),"",$A684&amp;"-"&amp;TEXT(($D684-$C684+1),"00")&amp;IF($C684&gt;=2,", "&amp;$A684&amp;"-"&amp;TEXT(($D684-$C684+1)+1,"00"),"")&amp;IF($C684&gt;=3,", "&amp;$A684&amp;"-"&amp;TEXT(($D684-$C684+1)+2,"00"),"")&amp;IF($C684&gt;=4,", "&amp;$A684&amp;"-"&amp;TEXT(($D684-$C684+1)+3,"00"),"")&amp;IF($C684&gt;=5,", "&amp;$A684&amp;"-"&amp;TEXT(($D684-$C684+1)+4,"00"),"")&amp;IF($C684&gt;=6,", "&amp;$A684&amp;"-"&amp;TEXT(($D684-$C684+1)+5,"00"),"")&amp;IF($C684&gt;=7,", "&amp;$A684&amp;"-"&amp;TEXT(($D684-$C684+1)+6,"00"),"")&amp;IF($C684&gt;=8,", "&amp;$A684&amp;"-"&amp;TEXT(($D684-$C684+1)+7,"00"),"")&amp;IF($C684&gt;=9,", "&amp;$A684&amp;"-"&amp;TEXT(($D684-$C684+1)+8,"00"),"")&amp;IF($C684&gt;=10,", "&amp;$A684&amp;"-"&amp;TEXT(($D684-$C684+1)+9,"00"),"")&amp;IF($C684&gt;=11,", "&amp;$A684&amp;"-"&amp;TEXT(($D684-$C684+1)+10,"00"),"")&amp;IF($C684&gt;=12,", "&amp;$A684&amp;"-"&amp;TEXT(($D684-$C684+1)+11,"00"),"")&amp;IF($C684&gt;=13,", "&amp;$A684&amp;"-"&amp;TEXT(($D684-$C684+1)+12,"00"),"")&amp;IF($C684&gt;=14,", "&amp;$A684&amp;"-"&amp;TEXT(($D684-$C684+1)+13,"00"),"")&amp;IF($C684&gt;=15,", "&amp;$A684&amp;"-"&amp;TEXT(($D684-$C684+1)+14,"00"),"")&amp;IF($C684&gt;=16,", "&amp;$A684&amp;"-"&amp;TEXT(($D684-$C684+1)+15,"00"),"")&amp;IF($C684&gt;=17,", "&amp;$A684&amp;"-"&amp;TEXT(($D684-$C684+1)+16,"00"),"")&amp;IF($C684&gt;=18,", "&amp;$A684&amp;"-"&amp;TEXT(($D684-$C684+1)+17,"00"),"")&amp;IF($C684&gt;=19,", "&amp;$A684&amp;"-"&amp;TEXT(($D684-$C684+1)+18,"00"),"")&amp;IF($C684&gt;=20,", "&amp;$A684&amp;"-"&amp;TEXT(($D684-$C684+1)+19,"00"),"")&amp;IF($C684&gt;=21,", "&amp;$A684&amp;"-"&amp;TEXT(($D684-$C684+1)+20,"00"),"")&amp;IF($C684&gt;=22,", "&amp;$A684&amp;"-"&amp;TEXT(($D684-$C684+1)+21,"00"),"")&amp;IF($C684&gt;=23,", "&amp;$A684&amp;"-"&amp;TEXT(($D684-$C684+1)+22,"00"),"")&amp;IF($C684&gt;=24,", "&amp;$A684&amp;"-"&amp;TEXT(($D684-$C684+1)+23,"00"),"")&amp;IF($C684&gt;=25,", "&amp;$A684&amp;"-"&amp;TEXT(($D684-$C684+1)+24,"00"),""))</f>
        <v/>
      </c>
      <c r="G684">
        <f>IF($A684="","",IF($E684=1,$F684,IF($F684="",$G683,IF($G683="",$F684,$G683&amp;", "&amp;$F684))))</f>
        <v/>
      </c>
      <c r="H684">
        <f>IF($A684="","",$A684&amp;" ("&amp;$C684&amp;")")</f>
        <v/>
      </c>
      <c r="I684">
        <f>IF($A684="","",IF($E684=1,$H684,$I683&amp;", "&amp;$H684))</f>
        <v/>
      </c>
      <c r="J684">
        <f>IF($A684="","",IF($E684=1,$B684,""))</f>
        <v/>
      </c>
      <c r="K684">
        <f>IF($A684="","",IF(COUNTIF($B$2:$B684,$B684)=COUNTIF($B$2:$B$1601,$B684),$B684,""))</f>
        <v/>
      </c>
    </row>
    <row r="685">
      <c r="A685">
        <f>IF('TMP Paste'!$E685="","",'TMP Paste'!$E685)</f>
        <v/>
      </c>
      <c r="B685">
        <f>IF($A685="","",COUNTIF('TMP Paste'!$B$2:$B685,"?*"))</f>
        <v/>
      </c>
      <c r="C685">
        <f>IF($A685="","",IFERROR('TMP Paste'!$M685*1,0))</f>
        <v/>
      </c>
      <c r="D685">
        <f>IF($A685="","",SUMIF($B$2:$B685,$B685,$C$2:$C685))</f>
        <v/>
      </c>
      <c r="E685">
        <f>IF($A685="",0,IF('TMP Paste'!$B685="",0,1))</f>
        <v/>
      </c>
      <c r="F685">
        <f>IF(OR($A685="",$C685&lt;1),"",$A685&amp;"-"&amp;TEXT(($D685-$C685+1),"00")&amp;IF($C685&gt;=2,", "&amp;$A685&amp;"-"&amp;TEXT(($D685-$C685+1)+1,"00"),"")&amp;IF($C685&gt;=3,", "&amp;$A685&amp;"-"&amp;TEXT(($D685-$C685+1)+2,"00"),"")&amp;IF($C685&gt;=4,", "&amp;$A685&amp;"-"&amp;TEXT(($D685-$C685+1)+3,"00"),"")&amp;IF($C685&gt;=5,", "&amp;$A685&amp;"-"&amp;TEXT(($D685-$C685+1)+4,"00"),"")&amp;IF($C685&gt;=6,", "&amp;$A685&amp;"-"&amp;TEXT(($D685-$C685+1)+5,"00"),"")&amp;IF($C685&gt;=7,", "&amp;$A685&amp;"-"&amp;TEXT(($D685-$C685+1)+6,"00"),"")&amp;IF($C685&gt;=8,", "&amp;$A685&amp;"-"&amp;TEXT(($D685-$C685+1)+7,"00"),"")&amp;IF($C685&gt;=9,", "&amp;$A685&amp;"-"&amp;TEXT(($D685-$C685+1)+8,"00"),"")&amp;IF($C685&gt;=10,", "&amp;$A685&amp;"-"&amp;TEXT(($D685-$C685+1)+9,"00"),"")&amp;IF($C685&gt;=11,", "&amp;$A685&amp;"-"&amp;TEXT(($D685-$C685+1)+10,"00"),"")&amp;IF($C685&gt;=12,", "&amp;$A685&amp;"-"&amp;TEXT(($D685-$C685+1)+11,"00"),"")&amp;IF($C685&gt;=13,", "&amp;$A685&amp;"-"&amp;TEXT(($D685-$C685+1)+12,"00"),"")&amp;IF($C685&gt;=14,", "&amp;$A685&amp;"-"&amp;TEXT(($D685-$C685+1)+13,"00"),"")&amp;IF($C685&gt;=15,", "&amp;$A685&amp;"-"&amp;TEXT(($D685-$C685+1)+14,"00"),"")&amp;IF($C685&gt;=16,", "&amp;$A685&amp;"-"&amp;TEXT(($D685-$C685+1)+15,"00"),"")&amp;IF($C685&gt;=17,", "&amp;$A685&amp;"-"&amp;TEXT(($D685-$C685+1)+16,"00"),"")&amp;IF($C685&gt;=18,", "&amp;$A685&amp;"-"&amp;TEXT(($D685-$C685+1)+17,"00"),"")&amp;IF($C685&gt;=19,", "&amp;$A685&amp;"-"&amp;TEXT(($D685-$C685+1)+18,"00"),"")&amp;IF($C685&gt;=20,", "&amp;$A685&amp;"-"&amp;TEXT(($D685-$C685+1)+19,"00"),"")&amp;IF($C685&gt;=21,", "&amp;$A685&amp;"-"&amp;TEXT(($D685-$C685+1)+20,"00"),"")&amp;IF($C685&gt;=22,", "&amp;$A685&amp;"-"&amp;TEXT(($D685-$C685+1)+21,"00"),"")&amp;IF($C685&gt;=23,", "&amp;$A685&amp;"-"&amp;TEXT(($D685-$C685+1)+22,"00"),"")&amp;IF($C685&gt;=24,", "&amp;$A685&amp;"-"&amp;TEXT(($D685-$C685+1)+23,"00"),"")&amp;IF($C685&gt;=25,", "&amp;$A685&amp;"-"&amp;TEXT(($D685-$C685+1)+24,"00"),""))</f>
        <v/>
      </c>
      <c r="G685">
        <f>IF($A685="","",IF($E685=1,$F685,IF($F685="",$G684,IF($G684="",$F685,$G684&amp;", "&amp;$F685))))</f>
        <v/>
      </c>
      <c r="H685">
        <f>IF($A685="","",$A685&amp;" ("&amp;$C685&amp;")")</f>
        <v/>
      </c>
      <c r="I685">
        <f>IF($A685="","",IF($E685=1,$H685,$I684&amp;", "&amp;$H685))</f>
        <v/>
      </c>
      <c r="J685">
        <f>IF($A685="","",IF($E685=1,$B685,""))</f>
        <v/>
      </c>
      <c r="K685">
        <f>IF($A685="","",IF(COUNTIF($B$2:$B685,$B685)=COUNTIF($B$2:$B$1601,$B685),$B685,""))</f>
        <v/>
      </c>
    </row>
    <row r="686">
      <c r="A686">
        <f>IF('TMP Paste'!$E686="","",'TMP Paste'!$E686)</f>
        <v/>
      </c>
      <c r="B686">
        <f>IF($A686="","",COUNTIF('TMP Paste'!$B$2:$B686,"?*"))</f>
        <v/>
      </c>
      <c r="C686">
        <f>IF($A686="","",IFERROR('TMP Paste'!$M686*1,0))</f>
        <v/>
      </c>
      <c r="D686">
        <f>IF($A686="","",SUMIF($B$2:$B686,$B686,$C$2:$C686))</f>
        <v/>
      </c>
      <c r="E686">
        <f>IF($A686="",0,IF('TMP Paste'!$B686="",0,1))</f>
        <v/>
      </c>
      <c r="F686">
        <f>IF(OR($A686="",$C686&lt;1),"",$A686&amp;"-"&amp;TEXT(($D686-$C686+1),"00")&amp;IF($C686&gt;=2,", "&amp;$A686&amp;"-"&amp;TEXT(($D686-$C686+1)+1,"00"),"")&amp;IF($C686&gt;=3,", "&amp;$A686&amp;"-"&amp;TEXT(($D686-$C686+1)+2,"00"),"")&amp;IF($C686&gt;=4,", "&amp;$A686&amp;"-"&amp;TEXT(($D686-$C686+1)+3,"00"),"")&amp;IF($C686&gt;=5,", "&amp;$A686&amp;"-"&amp;TEXT(($D686-$C686+1)+4,"00"),"")&amp;IF($C686&gt;=6,", "&amp;$A686&amp;"-"&amp;TEXT(($D686-$C686+1)+5,"00"),"")&amp;IF($C686&gt;=7,", "&amp;$A686&amp;"-"&amp;TEXT(($D686-$C686+1)+6,"00"),"")&amp;IF($C686&gt;=8,", "&amp;$A686&amp;"-"&amp;TEXT(($D686-$C686+1)+7,"00"),"")&amp;IF($C686&gt;=9,", "&amp;$A686&amp;"-"&amp;TEXT(($D686-$C686+1)+8,"00"),"")&amp;IF($C686&gt;=10,", "&amp;$A686&amp;"-"&amp;TEXT(($D686-$C686+1)+9,"00"),"")&amp;IF($C686&gt;=11,", "&amp;$A686&amp;"-"&amp;TEXT(($D686-$C686+1)+10,"00"),"")&amp;IF($C686&gt;=12,", "&amp;$A686&amp;"-"&amp;TEXT(($D686-$C686+1)+11,"00"),"")&amp;IF($C686&gt;=13,", "&amp;$A686&amp;"-"&amp;TEXT(($D686-$C686+1)+12,"00"),"")&amp;IF($C686&gt;=14,", "&amp;$A686&amp;"-"&amp;TEXT(($D686-$C686+1)+13,"00"),"")&amp;IF($C686&gt;=15,", "&amp;$A686&amp;"-"&amp;TEXT(($D686-$C686+1)+14,"00"),"")&amp;IF($C686&gt;=16,", "&amp;$A686&amp;"-"&amp;TEXT(($D686-$C686+1)+15,"00"),"")&amp;IF($C686&gt;=17,", "&amp;$A686&amp;"-"&amp;TEXT(($D686-$C686+1)+16,"00"),"")&amp;IF($C686&gt;=18,", "&amp;$A686&amp;"-"&amp;TEXT(($D686-$C686+1)+17,"00"),"")&amp;IF($C686&gt;=19,", "&amp;$A686&amp;"-"&amp;TEXT(($D686-$C686+1)+18,"00"),"")&amp;IF($C686&gt;=20,", "&amp;$A686&amp;"-"&amp;TEXT(($D686-$C686+1)+19,"00"),"")&amp;IF($C686&gt;=21,", "&amp;$A686&amp;"-"&amp;TEXT(($D686-$C686+1)+20,"00"),"")&amp;IF($C686&gt;=22,", "&amp;$A686&amp;"-"&amp;TEXT(($D686-$C686+1)+21,"00"),"")&amp;IF($C686&gt;=23,", "&amp;$A686&amp;"-"&amp;TEXT(($D686-$C686+1)+22,"00"),"")&amp;IF($C686&gt;=24,", "&amp;$A686&amp;"-"&amp;TEXT(($D686-$C686+1)+23,"00"),"")&amp;IF($C686&gt;=25,", "&amp;$A686&amp;"-"&amp;TEXT(($D686-$C686+1)+24,"00"),""))</f>
        <v/>
      </c>
      <c r="G686">
        <f>IF($A686="","",IF($E686=1,$F686,IF($F686="",$G685,IF($G685="",$F686,$G685&amp;", "&amp;$F686))))</f>
        <v/>
      </c>
      <c r="H686">
        <f>IF($A686="","",$A686&amp;" ("&amp;$C686&amp;")")</f>
        <v/>
      </c>
      <c r="I686">
        <f>IF($A686="","",IF($E686=1,$H686,$I685&amp;", "&amp;$H686))</f>
        <v/>
      </c>
      <c r="J686">
        <f>IF($A686="","",IF($E686=1,$B686,""))</f>
        <v/>
      </c>
      <c r="K686">
        <f>IF($A686="","",IF(COUNTIF($B$2:$B686,$B686)=COUNTIF($B$2:$B$1601,$B686),$B686,""))</f>
        <v/>
      </c>
    </row>
    <row r="687">
      <c r="A687">
        <f>IF('TMP Paste'!$E687="","",'TMP Paste'!$E687)</f>
        <v/>
      </c>
      <c r="B687">
        <f>IF($A687="","",COUNTIF('TMP Paste'!$B$2:$B687,"?*"))</f>
        <v/>
      </c>
      <c r="C687">
        <f>IF($A687="","",IFERROR('TMP Paste'!$M687*1,0))</f>
        <v/>
      </c>
      <c r="D687">
        <f>IF($A687="","",SUMIF($B$2:$B687,$B687,$C$2:$C687))</f>
        <v/>
      </c>
      <c r="E687">
        <f>IF($A687="",0,IF('TMP Paste'!$B687="",0,1))</f>
        <v/>
      </c>
      <c r="F687">
        <f>IF(OR($A687="",$C687&lt;1),"",$A687&amp;"-"&amp;TEXT(($D687-$C687+1),"00")&amp;IF($C687&gt;=2,", "&amp;$A687&amp;"-"&amp;TEXT(($D687-$C687+1)+1,"00"),"")&amp;IF($C687&gt;=3,", "&amp;$A687&amp;"-"&amp;TEXT(($D687-$C687+1)+2,"00"),"")&amp;IF($C687&gt;=4,", "&amp;$A687&amp;"-"&amp;TEXT(($D687-$C687+1)+3,"00"),"")&amp;IF($C687&gt;=5,", "&amp;$A687&amp;"-"&amp;TEXT(($D687-$C687+1)+4,"00"),"")&amp;IF($C687&gt;=6,", "&amp;$A687&amp;"-"&amp;TEXT(($D687-$C687+1)+5,"00"),"")&amp;IF($C687&gt;=7,", "&amp;$A687&amp;"-"&amp;TEXT(($D687-$C687+1)+6,"00"),"")&amp;IF($C687&gt;=8,", "&amp;$A687&amp;"-"&amp;TEXT(($D687-$C687+1)+7,"00"),"")&amp;IF($C687&gt;=9,", "&amp;$A687&amp;"-"&amp;TEXT(($D687-$C687+1)+8,"00"),"")&amp;IF($C687&gt;=10,", "&amp;$A687&amp;"-"&amp;TEXT(($D687-$C687+1)+9,"00"),"")&amp;IF($C687&gt;=11,", "&amp;$A687&amp;"-"&amp;TEXT(($D687-$C687+1)+10,"00"),"")&amp;IF($C687&gt;=12,", "&amp;$A687&amp;"-"&amp;TEXT(($D687-$C687+1)+11,"00"),"")&amp;IF($C687&gt;=13,", "&amp;$A687&amp;"-"&amp;TEXT(($D687-$C687+1)+12,"00"),"")&amp;IF($C687&gt;=14,", "&amp;$A687&amp;"-"&amp;TEXT(($D687-$C687+1)+13,"00"),"")&amp;IF($C687&gt;=15,", "&amp;$A687&amp;"-"&amp;TEXT(($D687-$C687+1)+14,"00"),"")&amp;IF($C687&gt;=16,", "&amp;$A687&amp;"-"&amp;TEXT(($D687-$C687+1)+15,"00"),"")&amp;IF($C687&gt;=17,", "&amp;$A687&amp;"-"&amp;TEXT(($D687-$C687+1)+16,"00"),"")&amp;IF($C687&gt;=18,", "&amp;$A687&amp;"-"&amp;TEXT(($D687-$C687+1)+17,"00"),"")&amp;IF($C687&gt;=19,", "&amp;$A687&amp;"-"&amp;TEXT(($D687-$C687+1)+18,"00"),"")&amp;IF($C687&gt;=20,", "&amp;$A687&amp;"-"&amp;TEXT(($D687-$C687+1)+19,"00"),"")&amp;IF($C687&gt;=21,", "&amp;$A687&amp;"-"&amp;TEXT(($D687-$C687+1)+20,"00"),"")&amp;IF($C687&gt;=22,", "&amp;$A687&amp;"-"&amp;TEXT(($D687-$C687+1)+21,"00"),"")&amp;IF($C687&gt;=23,", "&amp;$A687&amp;"-"&amp;TEXT(($D687-$C687+1)+22,"00"),"")&amp;IF($C687&gt;=24,", "&amp;$A687&amp;"-"&amp;TEXT(($D687-$C687+1)+23,"00"),"")&amp;IF($C687&gt;=25,", "&amp;$A687&amp;"-"&amp;TEXT(($D687-$C687+1)+24,"00"),""))</f>
        <v/>
      </c>
      <c r="G687">
        <f>IF($A687="","",IF($E687=1,$F687,IF($F687="",$G686,IF($G686="",$F687,$G686&amp;", "&amp;$F687))))</f>
        <v/>
      </c>
      <c r="H687">
        <f>IF($A687="","",$A687&amp;" ("&amp;$C687&amp;")")</f>
        <v/>
      </c>
      <c r="I687">
        <f>IF($A687="","",IF($E687=1,$H687,$I686&amp;", "&amp;$H687))</f>
        <v/>
      </c>
      <c r="J687">
        <f>IF($A687="","",IF($E687=1,$B687,""))</f>
        <v/>
      </c>
      <c r="K687">
        <f>IF($A687="","",IF(COUNTIF($B$2:$B687,$B687)=COUNTIF($B$2:$B$1601,$B687),$B687,""))</f>
        <v/>
      </c>
    </row>
    <row r="688">
      <c r="A688">
        <f>IF('TMP Paste'!$E688="","",'TMP Paste'!$E688)</f>
        <v/>
      </c>
      <c r="B688">
        <f>IF($A688="","",COUNTIF('TMP Paste'!$B$2:$B688,"?*"))</f>
        <v/>
      </c>
      <c r="C688">
        <f>IF($A688="","",IFERROR('TMP Paste'!$M688*1,0))</f>
        <v/>
      </c>
      <c r="D688">
        <f>IF($A688="","",SUMIF($B$2:$B688,$B688,$C$2:$C688))</f>
        <v/>
      </c>
      <c r="E688">
        <f>IF($A688="",0,IF('TMP Paste'!$B688="",0,1))</f>
        <v/>
      </c>
      <c r="F688">
        <f>IF(OR($A688="",$C688&lt;1),"",$A688&amp;"-"&amp;TEXT(($D688-$C688+1),"00")&amp;IF($C688&gt;=2,", "&amp;$A688&amp;"-"&amp;TEXT(($D688-$C688+1)+1,"00"),"")&amp;IF($C688&gt;=3,", "&amp;$A688&amp;"-"&amp;TEXT(($D688-$C688+1)+2,"00"),"")&amp;IF($C688&gt;=4,", "&amp;$A688&amp;"-"&amp;TEXT(($D688-$C688+1)+3,"00"),"")&amp;IF($C688&gt;=5,", "&amp;$A688&amp;"-"&amp;TEXT(($D688-$C688+1)+4,"00"),"")&amp;IF($C688&gt;=6,", "&amp;$A688&amp;"-"&amp;TEXT(($D688-$C688+1)+5,"00"),"")&amp;IF($C688&gt;=7,", "&amp;$A688&amp;"-"&amp;TEXT(($D688-$C688+1)+6,"00"),"")&amp;IF($C688&gt;=8,", "&amp;$A688&amp;"-"&amp;TEXT(($D688-$C688+1)+7,"00"),"")&amp;IF($C688&gt;=9,", "&amp;$A688&amp;"-"&amp;TEXT(($D688-$C688+1)+8,"00"),"")&amp;IF($C688&gt;=10,", "&amp;$A688&amp;"-"&amp;TEXT(($D688-$C688+1)+9,"00"),"")&amp;IF($C688&gt;=11,", "&amp;$A688&amp;"-"&amp;TEXT(($D688-$C688+1)+10,"00"),"")&amp;IF($C688&gt;=12,", "&amp;$A688&amp;"-"&amp;TEXT(($D688-$C688+1)+11,"00"),"")&amp;IF($C688&gt;=13,", "&amp;$A688&amp;"-"&amp;TEXT(($D688-$C688+1)+12,"00"),"")&amp;IF($C688&gt;=14,", "&amp;$A688&amp;"-"&amp;TEXT(($D688-$C688+1)+13,"00"),"")&amp;IF($C688&gt;=15,", "&amp;$A688&amp;"-"&amp;TEXT(($D688-$C688+1)+14,"00"),"")&amp;IF($C688&gt;=16,", "&amp;$A688&amp;"-"&amp;TEXT(($D688-$C688+1)+15,"00"),"")&amp;IF($C688&gt;=17,", "&amp;$A688&amp;"-"&amp;TEXT(($D688-$C688+1)+16,"00"),"")&amp;IF($C688&gt;=18,", "&amp;$A688&amp;"-"&amp;TEXT(($D688-$C688+1)+17,"00"),"")&amp;IF($C688&gt;=19,", "&amp;$A688&amp;"-"&amp;TEXT(($D688-$C688+1)+18,"00"),"")&amp;IF($C688&gt;=20,", "&amp;$A688&amp;"-"&amp;TEXT(($D688-$C688+1)+19,"00"),"")&amp;IF($C688&gt;=21,", "&amp;$A688&amp;"-"&amp;TEXT(($D688-$C688+1)+20,"00"),"")&amp;IF($C688&gt;=22,", "&amp;$A688&amp;"-"&amp;TEXT(($D688-$C688+1)+21,"00"),"")&amp;IF($C688&gt;=23,", "&amp;$A688&amp;"-"&amp;TEXT(($D688-$C688+1)+22,"00"),"")&amp;IF($C688&gt;=24,", "&amp;$A688&amp;"-"&amp;TEXT(($D688-$C688+1)+23,"00"),"")&amp;IF($C688&gt;=25,", "&amp;$A688&amp;"-"&amp;TEXT(($D688-$C688+1)+24,"00"),""))</f>
        <v/>
      </c>
      <c r="G688">
        <f>IF($A688="","",IF($E688=1,$F688,IF($F688="",$G687,IF($G687="",$F688,$G687&amp;", "&amp;$F688))))</f>
        <v/>
      </c>
      <c r="H688">
        <f>IF($A688="","",$A688&amp;" ("&amp;$C688&amp;")")</f>
        <v/>
      </c>
      <c r="I688">
        <f>IF($A688="","",IF($E688=1,$H688,$I687&amp;", "&amp;$H688))</f>
        <v/>
      </c>
      <c r="J688">
        <f>IF($A688="","",IF($E688=1,$B688,""))</f>
        <v/>
      </c>
      <c r="K688">
        <f>IF($A688="","",IF(COUNTIF($B$2:$B688,$B688)=COUNTIF($B$2:$B$1601,$B688),$B688,""))</f>
        <v/>
      </c>
    </row>
    <row r="689">
      <c r="A689">
        <f>IF('TMP Paste'!$E689="","",'TMP Paste'!$E689)</f>
        <v/>
      </c>
      <c r="B689">
        <f>IF($A689="","",COUNTIF('TMP Paste'!$B$2:$B689,"?*"))</f>
        <v/>
      </c>
      <c r="C689">
        <f>IF($A689="","",IFERROR('TMP Paste'!$M689*1,0))</f>
        <v/>
      </c>
      <c r="D689">
        <f>IF($A689="","",SUMIF($B$2:$B689,$B689,$C$2:$C689))</f>
        <v/>
      </c>
      <c r="E689">
        <f>IF($A689="",0,IF('TMP Paste'!$B689="",0,1))</f>
        <v/>
      </c>
      <c r="F689">
        <f>IF(OR($A689="",$C689&lt;1),"",$A689&amp;"-"&amp;TEXT(($D689-$C689+1),"00")&amp;IF($C689&gt;=2,", "&amp;$A689&amp;"-"&amp;TEXT(($D689-$C689+1)+1,"00"),"")&amp;IF($C689&gt;=3,", "&amp;$A689&amp;"-"&amp;TEXT(($D689-$C689+1)+2,"00"),"")&amp;IF($C689&gt;=4,", "&amp;$A689&amp;"-"&amp;TEXT(($D689-$C689+1)+3,"00"),"")&amp;IF($C689&gt;=5,", "&amp;$A689&amp;"-"&amp;TEXT(($D689-$C689+1)+4,"00"),"")&amp;IF($C689&gt;=6,", "&amp;$A689&amp;"-"&amp;TEXT(($D689-$C689+1)+5,"00"),"")&amp;IF($C689&gt;=7,", "&amp;$A689&amp;"-"&amp;TEXT(($D689-$C689+1)+6,"00"),"")&amp;IF($C689&gt;=8,", "&amp;$A689&amp;"-"&amp;TEXT(($D689-$C689+1)+7,"00"),"")&amp;IF($C689&gt;=9,", "&amp;$A689&amp;"-"&amp;TEXT(($D689-$C689+1)+8,"00"),"")&amp;IF($C689&gt;=10,", "&amp;$A689&amp;"-"&amp;TEXT(($D689-$C689+1)+9,"00"),"")&amp;IF($C689&gt;=11,", "&amp;$A689&amp;"-"&amp;TEXT(($D689-$C689+1)+10,"00"),"")&amp;IF($C689&gt;=12,", "&amp;$A689&amp;"-"&amp;TEXT(($D689-$C689+1)+11,"00"),"")&amp;IF($C689&gt;=13,", "&amp;$A689&amp;"-"&amp;TEXT(($D689-$C689+1)+12,"00"),"")&amp;IF($C689&gt;=14,", "&amp;$A689&amp;"-"&amp;TEXT(($D689-$C689+1)+13,"00"),"")&amp;IF($C689&gt;=15,", "&amp;$A689&amp;"-"&amp;TEXT(($D689-$C689+1)+14,"00"),"")&amp;IF($C689&gt;=16,", "&amp;$A689&amp;"-"&amp;TEXT(($D689-$C689+1)+15,"00"),"")&amp;IF($C689&gt;=17,", "&amp;$A689&amp;"-"&amp;TEXT(($D689-$C689+1)+16,"00"),"")&amp;IF($C689&gt;=18,", "&amp;$A689&amp;"-"&amp;TEXT(($D689-$C689+1)+17,"00"),"")&amp;IF($C689&gt;=19,", "&amp;$A689&amp;"-"&amp;TEXT(($D689-$C689+1)+18,"00"),"")&amp;IF($C689&gt;=20,", "&amp;$A689&amp;"-"&amp;TEXT(($D689-$C689+1)+19,"00"),"")&amp;IF($C689&gt;=21,", "&amp;$A689&amp;"-"&amp;TEXT(($D689-$C689+1)+20,"00"),"")&amp;IF($C689&gt;=22,", "&amp;$A689&amp;"-"&amp;TEXT(($D689-$C689+1)+21,"00"),"")&amp;IF($C689&gt;=23,", "&amp;$A689&amp;"-"&amp;TEXT(($D689-$C689+1)+22,"00"),"")&amp;IF($C689&gt;=24,", "&amp;$A689&amp;"-"&amp;TEXT(($D689-$C689+1)+23,"00"),"")&amp;IF($C689&gt;=25,", "&amp;$A689&amp;"-"&amp;TEXT(($D689-$C689+1)+24,"00"),""))</f>
        <v/>
      </c>
      <c r="G689">
        <f>IF($A689="","",IF($E689=1,$F689,IF($F689="",$G688,IF($G688="",$F689,$G688&amp;", "&amp;$F689))))</f>
        <v/>
      </c>
      <c r="H689">
        <f>IF($A689="","",$A689&amp;" ("&amp;$C689&amp;")")</f>
        <v/>
      </c>
      <c r="I689">
        <f>IF($A689="","",IF($E689=1,$H689,$I688&amp;", "&amp;$H689))</f>
        <v/>
      </c>
      <c r="J689">
        <f>IF($A689="","",IF($E689=1,$B689,""))</f>
        <v/>
      </c>
      <c r="K689">
        <f>IF($A689="","",IF(COUNTIF($B$2:$B689,$B689)=COUNTIF($B$2:$B$1601,$B689),$B689,""))</f>
        <v/>
      </c>
    </row>
    <row r="690">
      <c r="A690">
        <f>IF('TMP Paste'!$E690="","",'TMP Paste'!$E690)</f>
        <v/>
      </c>
      <c r="B690">
        <f>IF($A690="","",COUNTIF('TMP Paste'!$B$2:$B690,"?*"))</f>
        <v/>
      </c>
      <c r="C690">
        <f>IF($A690="","",IFERROR('TMP Paste'!$M690*1,0))</f>
        <v/>
      </c>
      <c r="D690">
        <f>IF($A690="","",SUMIF($B$2:$B690,$B690,$C$2:$C690))</f>
        <v/>
      </c>
      <c r="E690">
        <f>IF($A690="",0,IF('TMP Paste'!$B690="",0,1))</f>
        <v/>
      </c>
      <c r="F690">
        <f>IF(OR($A690="",$C690&lt;1),"",$A690&amp;"-"&amp;TEXT(($D690-$C690+1),"00")&amp;IF($C690&gt;=2,", "&amp;$A690&amp;"-"&amp;TEXT(($D690-$C690+1)+1,"00"),"")&amp;IF($C690&gt;=3,", "&amp;$A690&amp;"-"&amp;TEXT(($D690-$C690+1)+2,"00"),"")&amp;IF($C690&gt;=4,", "&amp;$A690&amp;"-"&amp;TEXT(($D690-$C690+1)+3,"00"),"")&amp;IF($C690&gt;=5,", "&amp;$A690&amp;"-"&amp;TEXT(($D690-$C690+1)+4,"00"),"")&amp;IF($C690&gt;=6,", "&amp;$A690&amp;"-"&amp;TEXT(($D690-$C690+1)+5,"00"),"")&amp;IF($C690&gt;=7,", "&amp;$A690&amp;"-"&amp;TEXT(($D690-$C690+1)+6,"00"),"")&amp;IF($C690&gt;=8,", "&amp;$A690&amp;"-"&amp;TEXT(($D690-$C690+1)+7,"00"),"")&amp;IF($C690&gt;=9,", "&amp;$A690&amp;"-"&amp;TEXT(($D690-$C690+1)+8,"00"),"")&amp;IF($C690&gt;=10,", "&amp;$A690&amp;"-"&amp;TEXT(($D690-$C690+1)+9,"00"),"")&amp;IF($C690&gt;=11,", "&amp;$A690&amp;"-"&amp;TEXT(($D690-$C690+1)+10,"00"),"")&amp;IF($C690&gt;=12,", "&amp;$A690&amp;"-"&amp;TEXT(($D690-$C690+1)+11,"00"),"")&amp;IF($C690&gt;=13,", "&amp;$A690&amp;"-"&amp;TEXT(($D690-$C690+1)+12,"00"),"")&amp;IF($C690&gt;=14,", "&amp;$A690&amp;"-"&amp;TEXT(($D690-$C690+1)+13,"00"),"")&amp;IF($C690&gt;=15,", "&amp;$A690&amp;"-"&amp;TEXT(($D690-$C690+1)+14,"00"),"")&amp;IF($C690&gt;=16,", "&amp;$A690&amp;"-"&amp;TEXT(($D690-$C690+1)+15,"00"),"")&amp;IF($C690&gt;=17,", "&amp;$A690&amp;"-"&amp;TEXT(($D690-$C690+1)+16,"00"),"")&amp;IF($C690&gt;=18,", "&amp;$A690&amp;"-"&amp;TEXT(($D690-$C690+1)+17,"00"),"")&amp;IF($C690&gt;=19,", "&amp;$A690&amp;"-"&amp;TEXT(($D690-$C690+1)+18,"00"),"")&amp;IF($C690&gt;=20,", "&amp;$A690&amp;"-"&amp;TEXT(($D690-$C690+1)+19,"00"),"")&amp;IF($C690&gt;=21,", "&amp;$A690&amp;"-"&amp;TEXT(($D690-$C690+1)+20,"00"),"")&amp;IF($C690&gt;=22,", "&amp;$A690&amp;"-"&amp;TEXT(($D690-$C690+1)+21,"00"),"")&amp;IF($C690&gt;=23,", "&amp;$A690&amp;"-"&amp;TEXT(($D690-$C690+1)+22,"00"),"")&amp;IF($C690&gt;=24,", "&amp;$A690&amp;"-"&amp;TEXT(($D690-$C690+1)+23,"00"),"")&amp;IF($C690&gt;=25,", "&amp;$A690&amp;"-"&amp;TEXT(($D690-$C690+1)+24,"00"),""))</f>
        <v/>
      </c>
      <c r="G690">
        <f>IF($A690="","",IF($E690=1,$F690,IF($F690="",$G689,IF($G689="",$F690,$G689&amp;", "&amp;$F690))))</f>
        <v/>
      </c>
      <c r="H690">
        <f>IF($A690="","",$A690&amp;" ("&amp;$C690&amp;")")</f>
        <v/>
      </c>
      <c r="I690">
        <f>IF($A690="","",IF($E690=1,$H690,$I689&amp;", "&amp;$H690))</f>
        <v/>
      </c>
      <c r="J690">
        <f>IF($A690="","",IF($E690=1,$B690,""))</f>
        <v/>
      </c>
      <c r="K690">
        <f>IF($A690="","",IF(COUNTIF($B$2:$B690,$B690)=COUNTIF($B$2:$B$1601,$B690),$B690,""))</f>
        <v/>
      </c>
    </row>
    <row r="691">
      <c r="A691">
        <f>IF('TMP Paste'!$E691="","",'TMP Paste'!$E691)</f>
        <v/>
      </c>
      <c r="B691">
        <f>IF($A691="","",COUNTIF('TMP Paste'!$B$2:$B691,"?*"))</f>
        <v/>
      </c>
      <c r="C691">
        <f>IF($A691="","",IFERROR('TMP Paste'!$M691*1,0))</f>
        <v/>
      </c>
      <c r="D691">
        <f>IF($A691="","",SUMIF($B$2:$B691,$B691,$C$2:$C691))</f>
        <v/>
      </c>
      <c r="E691">
        <f>IF($A691="",0,IF('TMP Paste'!$B691="",0,1))</f>
        <v/>
      </c>
      <c r="F691">
        <f>IF(OR($A691="",$C691&lt;1),"",$A691&amp;"-"&amp;TEXT(($D691-$C691+1),"00")&amp;IF($C691&gt;=2,", "&amp;$A691&amp;"-"&amp;TEXT(($D691-$C691+1)+1,"00"),"")&amp;IF($C691&gt;=3,", "&amp;$A691&amp;"-"&amp;TEXT(($D691-$C691+1)+2,"00"),"")&amp;IF($C691&gt;=4,", "&amp;$A691&amp;"-"&amp;TEXT(($D691-$C691+1)+3,"00"),"")&amp;IF($C691&gt;=5,", "&amp;$A691&amp;"-"&amp;TEXT(($D691-$C691+1)+4,"00"),"")&amp;IF($C691&gt;=6,", "&amp;$A691&amp;"-"&amp;TEXT(($D691-$C691+1)+5,"00"),"")&amp;IF($C691&gt;=7,", "&amp;$A691&amp;"-"&amp;TEXT(($D691-$C691+1)+6,"00"),"")&amp;IF($C691&gt;=8,", "&amp;$A691&amp;"-"&amp;TEXT(($D691-$C691+1)+7,"00"),"")&amp;IF($C691&gt;=9,", "&amp;$A691&amp;"-"&amp;TEXT(($D691-$C691+1)+8,"00"),"")&amp;IF($C691&gt;=10,", "&amp;$A691&amp;"-"&amp;TEXT(($D691-$C691+1)+9,"00"),"")&amp;IF($C691&gt;=11,", "&amp;$A691&amp;"-"&amp;TEXT(($D691-$C691+1)+10,"00"),"")&amp;IF($C691&gt;=12,", "&amp;$A691&amp;"-"&amp;TEXT(($D691-$C691+1)+11,"00"),"")&amp;IF($C691&gt;=13,", "&amp;$A691&amp;"-"&amp;TEXT(($D691-$C691+1)+12,"00"),"")&amp;IF($C691&gt;=14,", "&amp;$A691&amp;"-"&amp;TEXT(($D691-$C691+1)+13,"00"),"")&amp;IF($C691&gt;=15,", "&amp;$A691&amp;"-"&amp;TEXT(($D691-$C691+1)+14,"00"),"")&amp;IF($C691&gt;=16,", "&amp;$A691&amp;"-"&amp;TEXT(($D691-$C691+1)+15,"00"),"")&amp;IF($C691&gt;=17,", "&amp;$A691&amp;"-"&amp;TEXT(($D691-$C691+1)+16,"00"),"")&amp;IF($C691&gt;=18,", "&amp;$A691&amp;"-"&amp;TEXT(($D691-$C691+1)+17,"00"),"")&amp;IF($C691&gt;=19,", "&amp;$A691&amp;"-"&amp;TEXT(($D691-$C691+1)+18,"00"),"")&amp;IF($C691&gt;=20,", "&amp;$A691&amp;"-"&amp;TEXT(($D691-$C691+1)+19,"00"),"")&amp;IF($C691&gt;=21,", "&amp;$A691&amp;"-"&amp;TEXT(($D691-$C691+1)+20,"00"),"")&amp;IF($C691&gt;=22,", "&amp;$A691&amp;"-"&amp;TEXT(($D691-$C691+1)+21,"00"),"")&amp;IF($C691&gt;=23,", "&amp;$A691&amp;"-"&amp;TEXT(($D691-$C691+1)+22,"00"),"")&amp;IF($C691&gt;=24,", "&amp;$A691&amp;"-"&amp;TEXT(($D691-$C691+1)+23,"00"),"")&amp;IF($C691&gt;=25,", "&amp;$A691&amp;"-"&amp;TEXT(($D691-$C691+1)+24,"00"),""))</f>
        <v/>
      </c>
      <c r="G691">
        <f>IF($A691="","",IF($E691=1,$F691,IF($F691="",$G690,IF($G690="",$F691,$G690&amp;", "&amp;$F691))))</f>
        <v/>
      </c>
      <c r="H691">
        <f>IF($A691="","",$A691&amp;" ("&amp;$C691&amp;")")</f>
        <v/>
      </c>
      <c r="I691">
        <f>IF($A691="","",IF($E691=1,$H691,$I690&amp;", "&amp;$H691))</f>
        <v/>
      </c>
      <c r="J691">
        <f>IF($A691="","",IF($E691=1,$B691,""))</f>
        <v/>
      </c>
      <c r="K691">
        <f>IF($A691="","",IF(COUNTIF($B$2:$B691,$B691)=COUNTIF($B$2:$B$1601,$B691),$B691,""))</f>
        <v/>
      </c>
    </row>
    <row r="692">
      <c r="A692">
        <f>IF('TMP Paste'!$E692="","",'TMP Paste'!$E692)</f>
        <v/>
      </c>
      <c r="B692">
        <f>IF($A692="","",COUNTIF('TMP Paste'!$B$2:$B692,"?*"))</f>
        <v/>
      </c>
      <c r="C692">
        <f>IF($A692="","",IFERROR('TMP Paste'!$M692*1,0))</f>
        <v/>
      </c>
      <c r="D692">
        <f>IF($A692="","",SUMIF($B$2:$B692,$B692,$C$2:$C692))</f>
        <v/>
      </c>
      <c r="E692">
        <f>IF($A692="",0,IF('TMP Paste'!$B692="",0,1))</f>
        <v/>
      </c>
      <c r="F692">
        <f>IF(OR($A692="",$C692&lt;1),"",$A692&amp;"-"&amp;TEXT(($D692-$C692+1),"00")&amp;IF($C692&gt;=2,", "&amp;$A692&amp;"-"&amp;TEXT(($D692-$C692+1)+1,"00"),"")&amp;IF($C692&gt;=3,", "&amp;$A692&amp;"-"&amp;TEXT(($D692-$C692+1)+2,"00"),"")&amp;IF($C692&gt;=4,", "&amp;$A692&amp;"-"&amp;TEXT(($D692-$C692+1)+3,"00"),"")&amp;IF($C692&gt;=5,", "&amp;$A692&amp;"-"&amp;TEXT(($D692-$C692+1)+4,"00"),"")&amp;IF($C692&gt;=6,", "&amp;$A692&amp;"-"&amp;TEXT(($D692-$C692+1)+5,"00"),"")&amp;IF($C692&gt;=7,", "&amp;$A692&amp;"-"&amp;TEXT(($D692-$C692+1)+6,"00"),"")&amp;IF($C692&gt;=8,", "&amp;$A692&amp;"-"&amp;TEXT(($D692-$C692+1)+7,"00"),"")&amp;IF($C692&gt;=9,", "&amp;$A692&amp;"-"&amp;TEXT(($D692-$C692+1)+8,"00"),"")&amp;IF($C692&gt;=10,", "&amp;$A692&amp;"-"&amp;TEXT(($D692-$C692+1)+9,"00"),"")&amp;IF($C692&gt;=11,", "&amp;$A692&amp;"-"&amp;TEXT(($D692-$C692+1)+10,"00"),"")&amp;IF($C692&gt;=12,", "&amp;$A692&amp;"-"&amp;TEXT(($D692-$C692+1)+11,"00"),"")&amp;IF($C692&gt;=13,", "&amp;$A692&amp;"-"&amp;TEXT(($D692-$C692+1)+12,"00"),"")&amp;IF($C692&gt;=14,", "&amp;$A692&amp;"-"&amp;TEXT(($D692-$C692+1)+13,"00"),"")&amp;IF($C692&gt;=15,", "&amp;$A692&amp;"-"&amp;TEXT(($D692-$C692+1)+14,"00"),"")&amp;IF($C692&gt;=16,", "&amp;$A692&amp;"-"&amp;TEXT(($D692-$C692+1)+15,"00"),"")&amp;IF($C692&gt;=17,", "&amp;$A692&amp;"-"&amp;TEXT(($D692-$C692+1)+16,"00"),"")&amp;IF($C692&gt;=18,", "&amp;$A692&amp;"-"&amp;TEXT(($D692-$C692+1)+17,"00"),"")&amp;IF($C692&gt;=19,", "&amp;$A692&amp;"-"&amp;TEXT(($D692-$C692+1)+18,"00"),"")&amp;IF($C692&gt;=20,", "&amp;$A692&amp;"-"&amp;TEXT(($D692-$C692+1)+19,"00"),"")&amp;IF($C692&gt;=21,", "&amp;$A692&amp;"-"&amp;TEXT(($D692-$C692+1)+20,"00"),"")&amp;IF($C692&gt;=22,", "&amp;$A692&amp;"-"&amp;TEXT(($D692-$C692+1)+21,"00"),"")&amp;IF($C692&gt;=23,", "&amp;$A692&amp;"-"&amp;TEXT(($D692-$C692+1)+22,"00"),"")&amp;IF($C692&gt;=24,", "&amp;$A692&amp;"-"&amp;TEXT(($D692-$C692+1)+23,"00"),"")&amp;IF($C692&gt;=25,", "&amp;$A692&amp;"-"&amp;TEXT(($D692-$C692+1)+24,"00"),""))</f>
        <v/>
      </c>
      <c r="G692">
        <f>IF($A692="","",IF($E692=1,$F692,IF($F692="",$G691,IF($G691="",$F692,$G691&amp;", "&amp;$F692))))</f>
        <v/>
      </c>
      <c r="H692">
        <f>IF($A692="","",$A692&amp;" ("&amp;$C692&amp;")")</f>
        <v/>
      </c>
      <c r="I692">
        <f>IF($A692="","",IF($E692=1,$H692,$I691&amp;", "&amp;$H692))</f>
        <v/>
      </c>
      <c r="J692">
        <f>IF($A692="","",IF($E692=1,$B692,""))</f>
        <v/>
      </c>
      <c r="K692">
        <f>IF($A692="","",IF(COUNTIF($B$2:$B692,$B692)=COUNTIF($B$2:$B$1601,$B692),$B692,""))</f>
        <v/>
      </c>
    </row>
    <row r="693">
      <c r="A693">
        <f>IF('TMP Paste'!$E693="","",'TMP Paste'!$E693)</f>
        <v/>
      </c>
      <c r="B693">
        <f>IF($A693="","",COUNTIF('TMP Paste'!$B$2:$B693,"?*"))</f>
        <v/>
      </c>
      <c r="C693">
        <f>IF($A693="","",IFERROR('TMP Paste'!$M693*1,0))</f>
        <v/>
      </c>
      <c r="D693">
        <f>IF($A693="","",SUMIF($B$2:$B693,$B693,$C$2:$C693))</f>
        <v/>
      </c>
      <c r="E693">
        <f>IF($A693="",0,IF('TMP Paste'!$B693="",0,1))</f>
        <v/>
      </c>
      <c r="F693">
        <f>IF(OR($A693="",$C693&lt;1),"",$A693&amp;"-"&amp;TEXT(($D693-$C693+1),"00")&amp;IF($C693&gt;=2,", "&amp;$A693&amp;"-"&amp;TEXT(($D693-$C693+1)+1,"00"),"")&amp;IF($C693&gt;=3,", "&amp;$A693&amp;"-"&amp;TEXT(($D693-$C693+1)+2,"00"),"")&amp;IF($C693&gt;=4,", "&amp;$A693&amp;"-"&amp;TEXT(($D693-$C693+1)+3,"00"),"")&amp;IF($C693&gt;=5,", "&amp;$A693&amp;"-"&amp;TEXT(($D693-$C693+1)+4,"00"),"")&amp;IF($C693&gt;=6,", "&amp;$A693&amp;"-"&amp;TEXT(($D693-$C693+1)+5,"00"),"")&amp;IF($C693&gt;=7,", "&amp;$A693&amp;"-"&amp;TEXT(($D693-$C693+1)+6,"00"),"")&amp;IF($C693&gt;=8,", "&amp;$A693&amp;"-"&amp;TEXT(($D693-$C693+1)+7,"00"),"")&amp;IF($C693&gt;=9,", "&amp;$A693&amp;"-"&amp;TEXT(($D693-$C693+1)+8,"00"),"")&amp;IF($C693&gt;=10,", "&amp;$A693&amp;"-"&amp;TEXT(($D693-$C693+1)+9,"00"),"")&amp;IF($C693&gt;=11,", "&amp;$A693&amp;"-"&amp;TEXT(($D693-$C693+1)+10,"00"),"")&amp;IF($C693&gt;=12,", "&amp;$A693&amp;"-"&amp;TEXT(($D693-$C693+1)+11,"00"),"")&amp;IF($C693&gt;=13,", "&amp;$A693&amp;"-"&amp;TEXT(($D693-$C693+1)+12,"00"),"")&amp;IF($C693&gt;=14,", "&amp;$A693&amp;"-"&amp;TEXT(($D693-$C693+1)+13,"00"),"")&amp;IF($C693&gt;=15,", "&amp;$A693&amp;"-"&amp;TEXT(($D693-$C693+1)+14,"00"),"")&amp;IF($C693&gt;=16,", "&amp;$A693&amp;"-"&amp;TEXT(($D693-$C693+1)+15,"00"),"")&amp;IF($C693&gt;=17,", "&amp;$A693&amp;"-"&amp;TEXT(($D693-$C693+1)+16,"00"),"")&amp;IF($C693&gt;=18,", "&amp;$A693&amp;"-"&amp;TEXT(($D693-$C693+1)+17,"00"),"")&amp;IF($C693&gt;=19,", "&amp;$A693&amp;"-"&amp;TEXT(($D693-$C693+1)+18,"00"),"")&amp;IF($C693&gt;=20,", "&amp;$A693&amp;"-"&amp;TEXT(($D693-$C693+1)+19,"00"),"")&amp;IF($C693&gt;=21,", "&amp;$A693&amp;"-"&amp;TEXT(($D693-$C693+1)+20,"00"),"")&amp;IF($C693&gt;=22,", "&amp;$A693&amp;"-"&amp;TEXT(($D693-$C693+1)+21,"00"),"")&amp;IF($C693&gt;=23,", "&amp;$A693&amp;"-"&amp;TEXT(($D693-$C693+1)+22,"00"),"")&amp;IF($C693&gt;=24,", "&amp;$A693&amp;"-"&amp;TEXT(($D693-$C693+1)+23,"00"),"")&amp;IF($C693&gt;=25,", "&amp;$A693&amp;"-"&amp;TEXT(($D693-$C693+1)+24,"00"),""))</f>
        <v/>
      </c>
      <c r="G693">
        <f>IF($A693="","",IF($E693=1,$F693,IF($F693="",$G692,IF($G692="",$F693,$G692&amp;", "&amp;$F693))))</f>
        <v/>
      </c>
      <c r="H693">
        <f>IF($A693="","",$A693&amp;" ("&amp;$C693&amp;")")</f>
        <v/>
      </c>
      <c r="I693">
        <f>IF($A693="","",IF($E693=1,$H693,$I692&amp;", "&amp;$H693))</f>
        <v/>
      </c>
      <c r="J693">
        <f>IF($A693="","",IF($E693=1,$B693,""))</f>
        <v/>
      </c>
      <c r="K693">
        <f>IF($A693="","",IF(COUNTIF($B$2:$B693,$B693)=COUNTIF($B$2:$B$1601,$B693),$B693,""))</f>
        <v/>
      </c>
    </row>
    <row r="694">
      <c r="A694">
        <f>IF('TMP Paste'!$E694="","",'TMP Paste'!$E694)</f>
        <v/>
      </c>
      <c r="B694">
        <f>IF($A694="","",COUNTIF('TMP Paste'!$B$2:$B694,"?*"))</f>
        <v/>
      </c>
      <c r="C694">
        <f>IF($A694="","",IFERROR('TMP Paste'!$M694*1,0))</f>
        <v/>
      </c>
      <c r="D694">
        <f>IF($A694="","",SUMIF($B$2:$B694,$B694,$C$2:$C694))</f>
        <v/>
      </c>
      <c r="E694">
        <f>IF($A694="",0,IF('TMP Paste'!$B694="",0,1))</f>
        <v/>
      </c>
      <c r="F694">
        <f>IF(OR($A694="",$C694&lt;1),"",$A694&amp;"-"&amp;TEXT(($D694-$C694+1),"00")&amp;IF($C694&gt;=2,", "&amp;$A694&amp;"-"&amp;TEXT(($D694-$C694+1)+1,"00"),"")&amp;IF($C694&gt;=3,", "&amp;$A694&amp;"-"&amp;TEXT(($D694-$C694+1)+2,"00"),"")&amp;IF($C694&gt;=4,", "&amp;$A694&amp;"-"&amp;TEXT(($D694-$C694+1)+3,"00"),"")&amp;IF($C694&gt;=5,", "&amp;$A694&amp;"-"&amp;TEXT(($D694-$C694+1)+4,"00"),"")&amp;IF($C694&gt;=6,", "&amp;$A694&amp;"-"&amp;TEXT(($D694-$C694+1)+5,"00"),"")&amp;IF($C694&gt;=7,", "&amp;$A694&amp;"-"&amp;TEXT(($D694-$C694+1)+6,"00"),"")&amp;IF($C694&gt;=8,", "&amp;$A694&amp;"-"&amp;TEXT(($D694-$C694+1)+7,"00"),"")&amp;IF($C694&gt;=9,", "&amp;$A694&amp;"-"&amp;TEXT(($D694-$C694+1)+8,"00"),"")&amp;IF($C694&gt;=10,", "&amp;$A694&amp;"-"&amp;TEXT(($D694-$C694+1)+9,"00"),"")&amp;IF($C694&gt;=11,", "&amp;$A694&amp;"-"&amp;TEXT(($D694-$C694+1)+10,"00"),"")&amp;IF($C694&gt;=12,", "&amp;$A694&amp;"-"&amp;TEXT(($D694-$C694+1)+11,"00"),"")&amp;IF($C694&gt;=13,", "&amp;$A694&amp;"-"&amp;TEXT(($D694-$C694+1)+12,"00"),"")&amp;IF($C694&gt;=14,", "&amp;$A694&amp;"-"&amp;TEXT(($D694-$C694+1)+13,"00"),"")&amp;IF($C694&gt;=15,", "&amp;$A694&amp;"-"&amp;TEXT(($D694-$C694+1)+14,"00"),"")&amp;IF($C694&gt;=16,", "&amp;$A694&amp;"-"&amp;TEXT(($D694-$C694+1)+15,"00"),"")&amp;IF($C694&gt;=17,", "&amp;$A694&amp;"-"&amp;TEXT(($D694-$C694+1)+16,"00"),"")&amp;IF($C694&gt;=18,", "&amp;$A694&amp;"-"&amp;TEXT(($D694-$C694+1)+17,"00"),"")&amp;IF($C694&gt;=19,", "&amp;$A694&amp;"-"&amp;TEXT(($D694-$C694+1)+18,"00"),"")&amp;IF($C694&gt;=20,", "&amp;$A694&amp;"-"&amp;TEXT(($D694-$C694+1)+19,"00"),"")&amp;IF($C694&gt;=21,", "&amp;$A694&amp;"-"&amp;TEXT(($D694-$C694+1)+20,"00"),"")&amp;IF($C694&gt;=22,", "&amp;$A694&amp;"-"&amp;TEXT(($D694-$C694+1)+21,"00"),"")&amp;IF($C694&gt;=23,", "&amp;$A694&amp;"-"&amp;TEXT(($D694-$C694+1)+22,"00"),"")&amp;IF($C694&gt;=24,", "&amp;$A694&amp;"-"&amp;TEXT(($D694-$C694+1)+23,"00"),"")&amp;IF($C694&gt;=25,", "&amp;$A694&amp;"-"&amp;TEXT(($D694-$C694+1)+24,"00"),""))</f>
        <v/>
      </c>
      <c r="G694">
        <f>IF($A694="","",IF($E694=1,$F694,IF($F694="",$G693,IF($G693="",$F694,$G693&amp;", "&amp;$F694))))</f>
        <v/>
      </c>
      <c r="H694">
        <f>IF($A694="","",$A694&amp;" ("&amp;$C694&amp;")")</f>
        <v/>
      </c>
      <c r="I694">
        <f>IF($A694="","",IF($E694=1,$H694,$I693&amp;", "&amp;$H694))</f>
        <v/>
      </c>
      <c r="J694">
        <f>IF($A694="","",IF($E694=1,$B694,""))</f>
        <v/>
      </c>
      <c r="K694">
        <f>IF($A694="","",IF(COUNTIF($B$2:$B694,$B694)=COUNTIF($B$2:$B$1601,$B694),$B694,""))</f>
        <v/>
      </c>
    </row>
    <row r="695">
      <c r="A695">
        <f>IF('TMP Paste'!$E695="","",'TMP Paste'!$E695)</f>
        <v/>
      </c>
      <c r="B695">
        <f>IF($A695="","",COUNTIF('TMP Paste'!$B$2:$B695,"?*"))</f>
        <v/>
      </c>
      <c r="C695">
        <f>IF($A695="","",IFERROR('TMP Paste'!$M695*1,0))</f>
        <v/>
      </c>
      <c r="D695">
        <f>IF($A695="","",SUMIF($B$2:$B695,$B695,$C$2:$C695))</f>
        <v/>
      </c>
      <c r="E695">
        <f>IF($A695="",0,IF('TMP Paste'!$B695="",0,1))</f>
        <v/>
      </c>
      <c r="F695">
        <f>IF(OR($A695="",$C695&lt;1),"",$A695&amp;"-"&amp;TEXT(($D695-$C695+1),"00")&amp;IF($C695&gt;=2,", "&amp;$A695&amp;"-"&amp;TEXT(($D695-$C695+1)+1,"00"),"")&amp;IF($C695&gt;=3,", "&amp;$A695&amp;"-"&amp;TEXT(($D695-$C695+1)+2,"00"),"")&amp;IF($C695&gt;=4,", "&amp;$A695&amp;"-"&amp;TEXT(($D695-$C695+1)+3,"00"),"")&amp;IF($C695&gt;=5,", "&amp;$A695&amp;"-"&amp;TEXT(($D695-$C695+1)+4,"00"),"")&amp;IF($C695&gt;=6,", "&amp;$A695&amp;"-"&amp;TEXT(($D695-$C695+1)+5,"00"),"")&amp;IF($C695&gt;=7,", "&amp;$A695&amp;"-"&amp;TEXT(($D695-$C695+1)+6,"00"),"")&amp;IF($C695&gt;=8,", "&amp;$A695&amp;"-"&amp;TEXT(($D695-$C695+1)+7,"00"),"")&amp;IF($C695&gt;=9,", "&amp;$A695&amp;"-"&amp;TEXT(($D695-$C695+1)+8,"00"),"")&amp;IF($C695&gt;=10,", "&amp;$A695&amp;"-"&amp;TEXT(($D695-$C695+1)+9,"00"),"")&amp;IF($C695&gt;=11,", "&amp;$A695&amp;"-"&amp;TEXT(($D695-$C695+1)+10,"00"),"")&amp;IF($C695&gt;=12,", "&amp;$A695&amp;"-"&amp;TEXT(($D695-$C695+1)+11,"00"),"")&amp;IF($C695&gt;=13,", "&amp;$A695&amp;"-"&amp;TEXT(($D695-$C695+1)+12,"00"),"")&amp;IF($C695&gt;=14,", "&amp;$A695&amp;"-"&amp;TEXT(($D695-$C695+1)+13,"00"),"")&amp;IF($C695&gt;=15,", "&amp;$A695&amp;"-"&amp;TEXT(($D695-$C695+1)+14,"00"),"")&amp;IF($C695&gt;=16,", "&amp;$A695&amp;"-"&amp;TEXT(($D695-$C695+1)+15,"00"),"")&amp;IF($C695&gt;=17,", "&amp;$A695&amp;"-"&amp;TEXT(($D695-$C695+1)+16,"00"),"")&amp;IF($C695&gt;=18,", "&amp;$A695&amp;"-"&amp;TEXT(($D695-$C695+1)+17,"00"),"")&amp;IF($C695&gt;=19,", "&amp;$A695&amp;"-"&amp;TEXT(($D695-$C695+1)+18,"00"),"")&amp;IF($C695&gt;=20,", "&amp;$A695&amp;"-"&amp;TEXT(($D695-$C695+1)+19,"00"),"")&amp;IF($C695&gt;=21,", "&amp;$A695&amp;"-"&amp;TEXT(($D695-$C695+1)+20,"00"),"")&amp;IF($C695&gt;=22,", "&amp;$A695&amp;"-"&amp;TEXT(($D695-$C695+1)+21,"00"),"")&amp;IF($C695&gt;=23,", "&amp;$A695&amp;"-"&amp;TEXT(($D695-$C695+1)+22,"00"),"")&amp;IF($C695&gt;=24,", "&amp;$A695&amp;"-"&amp;TEXT(($D695-$C695+1)+23,"00"),"")&amp;IF($C695&gt;=25,", "&amp;$A695&amp;"-"&amp;TEXT(($D695-$C695+1)+24,"00"),""))</f>
        <v/>
      </c>
      <c r="G695">
        <f>IF($A695="","",IF($E695=1,$F695,IF($F695="",$G694,IF($G694="",$F695,$G694&amp;", "&amp;$F695))))</f>
        <v/>
      </c>
      <c r="H695">
        <f>IF($A695="","",$A695&amp;" ("&amp;$C695&amp;")")</f>
        <v/>
      </c>
      <c r="I695">
        <f>IF($A695="","",IF($E695=1,$H695,$I694&amp;", "&amp;$H695))</f>
        <v/>
      </c>
      <c r="J695">
        <f>IF($A695="","",IF($E695=1,$B695,""))</f>
        <v/>
      </c>
      <c r="K695">
        <f>IF($A695="","",IF(COUNTIF($B$2:$B695,$B695)=COUNTIF($B$2:$B$1601,$B695),$B695,""))</f>
        <v/>
      </c>
    </row>
    <row r="696">
      <c r="A696">
        <f>IF('TMP Paste'!$E696="","",'TMP Paste'!$E696)</f>
        <v/>
      </c>
      <c r="B696">
        <f>IF($A696="","",COUNTIF('TMP Paste'!$B$2:$B696,"?*"))</f>
        <v/>
      </c>
      <c r="C696">
        <f>IF($A696="","",IFERROR('TMP Paste'!$M696*1,0))</f>
        <v/>
      </c>
      <c r="D696">
        <f>IF($A696="","",SUMIF($B$2:$B696,$B696,$C$2:$C696))</f>
        <v/>
      </c>
      <c r="E696">
        <f>IF($A696="",0,IF('TMP Paste'!$B696="",0,1))</f>
        <v/>
      </c>
      <c r="F696">
        <f>IF(OR($A696="",$C696&lt;1),"",$A696&amp;"-"&amp;TEXT(($D696-$C696+1),"00")&amp;IF($C696&gt;=2,", "&amp;$A696&amp;"-"&amp;TEXT(($D696-$C696+1)+1,"00"),"")&amp;IF($C696&gt;=3,", "&amp;$A696&amp;"-"&amp;TEXT(($D696-$C696+1)+2,"00"),"")&amp;IF($C696&gt;=4,", "&amp;$A696&amp;"-"&amp;TEXT(($D696-$C696+1)+3,"00"),"")&amp;IF($C696&gt;=5,", "&amp;$A696&amp;"-"&amp;TEXT(($D696-$C696+1)+4,"00"),"")&amp;IF($C696&gt;=6,", "&amp;$A696&amp;"-"&amp;TEXT(($D696-$C696+1)+5,"00"),"")&amp;IF($C696&gt;=7,", "&amp;$A696&amp;"-"&amp;TEXT(($D696-$C696+1)+6,"00"),"")&amp;IF($C696&gt;=8,", "&amp;$A696&amp;"-"&amp;TEXT(($D696-$C696+1)+7,"00"),"")&amp;IF($C696&gt;=9,", "&amp;$A696&amp;"-"&amp;TEXT(($D696-$C696+1)+8,"00"),"")&amp;IF($C696&gt;=10,", "&amp;$A696&amp;"-"&amp;TEXT(($D696-$C696+1)+9,"00"),"")&amp;IF($C696&gt;=11,", "&amp;$A696&amp;"-"&amp;TEXT(($D696-$C696+1)+10,"00"),"")&amp;IF($C696&gt;=12,", "&amp;$A696&amp;"-"&amp;TEXT(($D696-$C696+1)+11,"00"),"")&amp;IF($C696&gt;=13,", "&amp;$A696&amp;"-"&amp;TEXT(($D696-$C696+1)+12,"00"),"")&amp;IF($C696&gt;=14,", "&amp;$A696&amp;"-"&amp;TEXT(($D696-$C696+1)+13,"00"),"")&amp;IF($C696&gt;=15,", "&amp;$A696&amp;"-"&amp;TEXT(($D696-$C696+1)+14,"00"),"")&amp;IF($C696&gt;=16,", "&amp;$A696&amp;"-"&amp;TEXT(($D696-$C696+1)+15,"00"),"")&amp;IF($C696&gt;=17,", "&amp;$A696&amp;"-"&amp;TEXT(($D696-$C696+1)+16,"00"),"")&amp;IF($C696&gt;=18,", "&amp;$A696&amp;"-"&amp;TEXT(($D696-$C696+1)+17,"00"),"")&amp;IF($C696&gt;=19,", "&amp;$A696&amp;"-"&amp;TEXT(($D696-$C696+1)+18,"00"),"")&amp;IF($C696&gt;=20,", "&amp;$A696&amp;"-"&amp;TEXT(($D696-$C696+1)+19,"00"),"")&amp;IF($C696&gt;=21,", "&amp;$A696&amp;"-"&amp;TEXT(($D696-$C696+1)+20,"00"),"")&amp;IF($C696&gt;=22,", "&amp;$A696&amp;"-"&amp;TEXT(($D696-$C696+1)+21,"00"),"")&amp;IF($C696&gt;=23,", "&amp;$A696&amp;"-"&amp;TEXT(($D696-$C696+1)+22,"00"),"")&amp;IF($C696&gt;=24,", "&amp;$A696&amp;"-"&amp;TEXT(($D696-$C696+1)+23,"00"),"")&amp;IF($C696&gt;=25,", "&amp;$A696&amp;"-"&amp;TEXT(($D696-$C696+1)+24,"00"),""))</f>
        <v/>
      </c>
      <c r="G696">
        <f>IF($A696="","",IF($E696=1,$F696,IF($F696="",$G695,IF($G695="",$F696,$G695&amp;", "&amp;$F696))))</f>
        <v/>
      </c>
      <c r="H696">
        <f>IF($A696="","",$A696&amp;" ("&amp;$C696&amp;")")</f>
        <v/>
      </c>
      <c r="I696">
        <f>IF($A696="","",IF($E696=1,$H696,$I695&amp;", "&amp;$H696))</f>
        <v/>
      </c>
      <c r="J696">
        <f>IF($A696="","",IF($E696=1,$B696,""))</f>
        <v/>
      </c>
      <c r="K696">
        <f>IF($A696="","",IF(COUNTIF($B$2:$B696,$B696)=COUNTIF($B$2:$B$1601,$B696),$B696,""))</f>
        <v/>
      </c>
    </row>
    <row r="697">
      <c r="A697">
        <f>IF('TMP Paste'!$E697="","",'TMP Paste'!$E697)</f>
        <v/>
      </c>
      <c r="B697">
        <f>IF($A697="","",COUNTIF('TMP Paste'!$B$2:$B697,"?*"))</f>
        <v/>
      </c>
      <c r="C697">
        <f>IF($A697="","",IFERROR('TMP Paste'!$M697*1,0))</f>
        <v/>
      </c>
      <c r="D697">
        <f>IF($A697="","",SUMIF($B$2:$B697,$B697,$C$2:$C697))</f>
        <v/>
      </c>
      <c r="E697">
        <f>IF($A697="",0,IF('TMP Paste'!$B697="",0,1))</f>
        <v/>
      </c>
      <c r="F697">
        <f>IF(OR($A697="",$C697&lt;1),"",$A697&amp;"-"&amp;TEXT(($D697-$C697+1),"00")&amp;IF($C697&gt;=2,", "&amp;$A697&amp;"-"&amp;TEXT(($D697-$C697+1)+1,"00"),"")&amp;IF($C697&gt;=3,", "&amp;$A697&amp;"-"&amp;TEXT(($D697-$C697+1)+2,"00"),"")&amp;IF($C697&gt;=4,", "&amp;$A697&amp;"-"&amp;TEXT(($D697-$C697+1)+3,"00"),"")&amp;IF($C697&gt;=5,", "&amp;$A697&amp;"-"&amp;TEXT(($D697-$C697+1)+4,"00"),"")&amp;IF($C697&gt;=6,", "&amp;$A697&amp;"-"&amp;TEXT(($D697-$C697+1)+5,"00"),"")&amp;IF($C697&gt;=7,", "&amp;$A697&amp;"-"&amp;TEXT(($D697-$C697+1)+6,"00"),"")&amp;IF($C697&gt;=8,", "&amp;$A697&amp;"-"&amp;TEXT(($D697-$C697+1)+7,"00"),"")&amp;IF($C697&gt;=9,", "&amp;$A697&amp;"-"&amp;TEXT(($D697-$C697+1)+8,"00"),"")&amp;IF($C697&gt;=10,", "&amp;$A697&amp;"-"&amp;TEXT(($D697-$C697+1)+9,"00"),"")&amp;IF($C697&gt;=11,", "&amp;$A697&amp;"-"&amp;TEXT(($D697-$C697+1)+10,"00"),"")&amp;IF($C697&gt;=12,", "&amp;$A697&amp;"-"&amp;TEXT(($D697-$C697+1)+11,"00"),"")&amp;IF($C697&gt;=13,", "&amp;$A697&amp;"-"&amp;TEXT(($D697-$C697+1)+12,"00"),"")&amp;IF($C697&gt;=14,", "&amp;$A697&amp;"-"&amp;TEXT(($D697-$C697+1)+13,"00"),"")&amp;IF($C697&gt;=15,", "&amp;$A697&amp;"-"&amp;TEXT(($D697-$C697+1)+14,"00"),"")&amp;IF($C697&gt;=16,", "&amp;$A697&amp;"-"&amp;TEXT(($D697-$C697+1)+15,"00"),"")&amp;IF($C697&gt;=17,", "&amp;$A697&amp;"-"&amp;TEXT(($D697-$C697+1)+16,"00"),"")&amp;IF($C697&gt;=18,", "&amp;$A697&amp;"-"&amp;TEXT(($D697-$C697+1)+17,"00"),"")&amp;IF($C697&gt;=19,", "&amp;$A697&amp;"-"&amp;TEXT(($D697-$C697+1)+18,"00"),"")&amp;IF($C697&gt;=20,", "&amp;$A697&amp;"-"&amp;TEXT(($D697-$C697+1)+19,"00"),"")&amp;IF($C697&gt;=21,", "&amp;$A697&amp;"-"&amp;TEXT(($D697-$C697+1)+20,"00"),"")&amp;IF($C697&gt;=22,", "&amp;$A697&amp;"-"&amp;TEXT(($D697-$C697+1)+21,"00"),"")&amp;IF($C697&gt;=23,", "&amp;$A697&amp;"-"&amp;TEXT(($D697-$C697+1)+22,"00"),"")&amp;IF($C697&gt;=24,", "&amp;$A697&amp;"-"&amp;TEXT(($D697-$C697+1)+23,"00"),"")&amp;IF($C697&gt;=25,", "&amp;$A697&amp;"-"&amp;TEXT(($D697-$C697+1)+24,"00"),""))</f>
        <v/>
      </c>
      <c r="G697">
        <f>IF($A697="","",IF($E697=1,$F697,IF($F697="",$G696,IF($G696="",$F697,$G696&amp;", "&amp;$F697))))</f>
        <v/>
      </c>
      <c r="H697">
        <f>IF($A697="","",$A697&amp;" ("&amp;$C697&amp;")")</f>
        <v/>
      </c>
      <c r="I697">
        <f>IF($A697="","",IF($E697=1,$H697,$I696&amp;", "&amp;$H697))</f>
        <v/>
      </c>
      <c r="J697">
        <f>IF($A697="","",IF($E697=1,$B697,""))</f>
        <v/>
      </c>
      <c r="K697">
        <f>IF($A697="","",IF(COUNTIF($B$2:$B697,$B697)=COUNTIF($B$2:$B$1601,$B697),$B697,""))</f>
        <v/>
      </c>
    </row>
    <row r="698">
      <c r="A698">
        <f>IF('TMP Paste'!$E698="","",'TMP Paste'!$E698)</f>
        <v/>
      </c>
      <c r="B698">
        <f>IF($A698="","",COUNTIF('TMP Paste'!$B$2:$B698,"?*"))</f>
        <v/>
      </c>
      <c r="C698">
        <f>IF($A698="","",IFERROR('TMP Paste'!$M698*1,0))</f>
        <v/>
      </c>
      <c r="D698">
        <f>IF($A698="","",SUMIF($B$2:$B698,$B698,$C$2:$C698))</f>
        <v/>
      </c>
      <c r="E698">
        <f>IF($A698="",0,IF('TMP Paste'!$B698="",0,1))</f>
        <v/>
      </c>
      <c r="F698">
        <f>IF(OR($A698="",$C698&lt;1),"",$A698&amp;"-"&amp;TEXT(($D698-$C698+1),"00")&amp;IF($C698&gt;=2,", "&amp;$A698&amp;"-"&amp;TEXT(($D698-$C698+1)+1,"00"),"")&amp;IF($C698&gt;=3,", "&amp;$A698&amp;"-"&amp;TEXT(($D698-$C698+1)+2,"00"),"")&amp;IF($C698&gt;=4,", "&amp;$A698&amp;"-"&amp;TEXT(($D698-$C698+1)+3,"00"),"")&amp;IF($C698&gt;=5,", "&amp;$A698&amp;"-"&amp;TEXT(($D698-$C698+1)+4,"00"),"")&amp;IF($C698&gt;=6,", "&amp;$A698&amp;"-"&amp;TEXT(($D698-$C698+1)+5,"00"),"")&amp;IF($C698&gt;=7,", "&amp;$A698&amp;"-"&amp;TEXT(($D698-$C698+1)+6,"00"),"")&amp;IF($C698&gt;=8,", "&amp;$A698&amp;"-"&amp;TEXT(($D698-$C698+1)+7,"00"),"")&amp;IF($C698&gt;=9,", "&amp;$A698&amp;"-"&amp;TEXT(($D698-$C698+1)+8,"00"),"")&amp;IF($C698&gt;=10,", "&amp;$A698&amp;"-"&amp;TEXT(($D698-$C698+1)+9,"00"),"")&amp;IF($C698&gt;=11,", "&amp;$A698&amp;"-"&amp;TEXT(($D698-$C698+1)+10,"00"),"")&amp;IF($C698&gt;=12,", "&amp;$A698&amp;"-"&amp;TEXT(($D698-$C698+1)+11,"00"),"")&amp;IF($C698&gt;=13,", "&amp;$A698&amp;"-"&amp;TEXT(($D698-$C698+1)+12,"00"),"")&amp;IF($C698&gt;=14,", "&amp;$A698&amp;"-"&amp;TEXT(($D698-$C698+1)+13,"00"),"")&amp;IF($C698&gt;=15,", "&amp;$A698&amp;"-"&amp;TEXT(($D698-$C698+1)+14,"00"),"")&amp;IF($C698&gt;=16,", "&amp;$A698&amp;"-"&amp;TEXT(($D698-$C698+1)+15,"00"),"")&amp;IF($C698&gt;=17,", "&amp;$A698&amp;"-"&amp;TEXT(($D698-$C698+1)+16,"00"),"")&amp;IF($C698&gt;=18,", "&amp;$A698&amp;"-"&amp;TEXT(($D698-$C698+1)+17,"00"),"")&amp;IF($C698&gt;=19,", "&amp;$A698&amp;"-"&amp;TEXT(($D698-$C698+1)+18,"00"),"")&amp;IF($C698&gt;=20,", "&amp;$A698&amp;"-"&amp;TEXT(($D698-$C698+1)+19,"00"),"")&amp;IF($C698&gt;=21,", "&amp;$A698&amp;"-"&amp;TEXT(($D698-$C698+1)+20,"00"),"")&amp;IF($C698&gt;=22,", "&amp;$A698&amp;"-"&amp;TEXT(($D698-$C698+1)+21,"00"),"")&amp;IF($C698&gt;=23,", "&amp;$A698&amp;"-"&amp;TEXT(($D698-$C698+1)+22,"00"),"")&amp;IF($C698&gt;=24,", "&amp;$A698&amp;"-"&amp;TEXT(($D698-$C698+1)+23,"00"),"")&amp;IF($C698&gt;=25,", "&amp;$A698&amp;"-"&amp;TEXT(($D698-$C698+1)+24,"00"),""))</f>
        <v/>
      </c>
      <c r="G698">
        <f>IF($A698="","",IF($E698=1,$F698,IF($F698="",$G697,IF($G697="",$F698,$G697&amp;", "&amp;$F698))))</f>
        <v/>
      </c>
      <c r="H698">
        <f>IF($A698="","",$A698&amp;" ("&amp;$C698&amp;")")</f>
        <v/>
      </c>
      <c r="I698">
        <f>IF($A698="","",IF($E698=1,$H698,$I697&amp;", "&amp;$H698))</f>
        <v/>
      </c>
      <c r="J698">
        <f>IF($A698="","",IF($E698=1,$B698,""))</f>
        <v/>
      </c>
      <c r="K698">
        <f>IF($A698="","",IF(COUNTIF($B$2:$B698,$B698)=COUNTIF($B$2:$B$1601,$B698),$B698,""))</f>
        <v/>
      </c>
    </row>
    <row r="699">
      <c r="A699">
        <f>IF('TMP Paste'!$E699="","",'TMP Paste'!$E699)</f>
        <v/>
      </c>
      <c r="B699">
        <f>IF($A699="","",COUNTIF('TMP Paste'!$B$2:$B699,"?*"))</f>
        <v/>
      </c>
      <c r="C699">
        <f>IF($A699="","",IFERROR('TMP Paste'!$M699*1,0))</f>
        <v/>
      </c>
      <c r="D699">
        <f>IF($A699="","",SUMIF($B$2:$B699,$B699,$C$2:$C699))</f>
        <v/>
      </c>
      <c r="E699">
        <f>IF($A699="",0,IF('TMP Paste'!$B699="",0,1))</f>
        <v/>
      </c>
      <c r="F699">
        <f>IF(OR($A699="",$C699&lt;1),"",$A699&amp;"-"&amp;TEXT(($D699-$C699+1),"00")&amp;IF($C699&gt;=2,", "&amp;$A699&amp;"-"&amp;TEXT(($D699-$C699+1)+1,"00"),"")&amp;IF($C699&gt;=3,", "&amp;$A699&amp;"-"&amp;TEXT(($D699-$C699+1)+2,"00"),"")&amp;IF($C699&gt;=4,", "&amp;$A699&amp;"-"&amp;TEXT(($D699-$C699+1)+3,"00"),"")&amp;IF($C699&gt;=5,", "&amp;$A699&amp;"-"&amp;TEXT(($D699-$C699+1)+4,"00"),"")&amp;IF($C699&gt;=6,", "&amp;$A699&amp;"-"&amp;TEXT(($D699-$C699+1)+5,"00"),"")&amp;IF($C699&gt;=7,", "&amp;$A699&amp;"-"&amp;TEXT(($D699-$C699+1)+6,"00"),"")&amp;IF($C699&gt;=8,", "&amp;$A699&amp;"-"&amp;TEXT(($D699-$C699+1)+7,"00"),"")&amp;IF($C699&gt;=9,", "&amp;$A699&amp;"-"&amp;TEXT(($D699-$C699+1)+8,"00"),"")&amp;IF($C699&gt;=10,", "&amp;$A699&amp;"-"&amp;TEXT(($D699-$C699+1)+9,"00"),"")&amp;IF($C699&gt;=11,", "&amp;$A699&amp;"-"&amp;TEXT(($D699-$C699+1)+10,"00"),"")&amp;IF($C699&gt;=12,", "&amp;$A699&amp;"-"&amp;TEXT(($D699-$C699+1)+11,"00"),"")&amp;IF($C699&gt;=13,", "&amp;$A699&amp;"-"&amp;TEXT(($D699-$C699+1)+12,"00"),"")&amp;IF($C699&gt;=14,", "&amp;$A699&amp;"-"&amp;TEXT(($D699-$C699+1)+13,"00"),"")&amp;IF($C699&gt;=15,", "&amp;$A699&amp;"-"&amp;TEXT(($D699-$C699+1)+14,"00"),"")&amp;IF($C699&gt;=16,", "&amp;$A699&amp;"-"&amp;TEXT(($D699-$C699+1)+15,"00"),"")&amp;IF($C699&gt;=17,", "&amp;$A699&amp;"-"&amp;TEXT(($D699-$C699+1)+16,"00"),"")&amp;IF($C699&gt;=18,", "&amp;$A699&amp;"-"&amp;TEXT(($D699-$C699+1)+17,"00"),"")&amp;IF($C699&gt;=19,", "&amp;$A699&amp;"-"&amp;TEXT(($D699-$C699+1)+18,"00"),"")&amp;IF($C699&gt;=20,", "&amp;$A699&amp;"-"&amp;TEXT(($D699-$C699+1)+19,"00"),"")&amp;IF($C699&gt;=21,", "&amp;$A699&amp;"-"&amp;TEXT(($D699-$C699+1)+20,"00"),"")&amp;IF($C699&gt;=22,", "&amp;$A699&amp;"-"&amp;TEXT(($D699-$C699+1)+21,"00"),"")&amp;IF($C699&gt;=23,", "&amp;$A699&amp;"-"&amp;TEXT(($D699-$C699+1)+22,"00"),"")&amp;IF($C699&gt;=24,", "&amp;$A699&amp;"-"&amp;TEXT(($D699-$C699+1)+23,"00"),"")&amp;IF($C699&gt;=25,", "&amp;$A699&amp;"-"&amp;TEXT(($D699-$C699+1)+24,"00"),""))</f>
        <v/>
      </c>
      <c r="G699">
        <f>IF($A699="","",IF($E699=1,$F699,IF($F699="",$G698,IF($G698="",$F699,$G698&amp;", "&amp;$F699))))</f>
        <v/>
      </c>
      <c r="H699">
        <f>IF($A699="","",$A699&amp;" ("&amp;$C699&amp;")")</f>
        <v/>
      </c>
      <c r="I699">
        <f>IF($A699="","",IF($E699=1,$H699,$I698&amp;", "&amp;$H699))</f>
        <v/>
      </c>
      <c r="J699">
        <f>IF($A699="","",IF($E699=1,$B699,""))</f>
        <v/>
      </c>
      <c r="K699">
        <f>IF($A699="","",IF(COUNTIF($B$2:$B699,$B699)=COUNTIF($B$2:$B$1601,$B699),$B699,""))</f>
        <v/>
      </c>
    </row>
    <row r="700">
      <c r="A700">
        <f>IF('TMP Paste'!$E700="","",'TMP Paste'!$E700)</f>
        <v/>
      </c>
      <c r="B700">
        <f>IF($A700="","",COUNTIF('TMP Paste'!$B$2:$B700,"?*"))</f>
        <v/>
      </c>
      <c r="C700">
        <f>IF($A700="","",IFERROR('TMP Paste'!$M700*1,0))</f>
        <v/>
      </c>
      <c r="D700">
        <f>IF($A700="","",SUMIF($B$2:$B700,$B700,$C$2:$C700))</f>
        <v/>
      </c>
      <c r="E700">
        <f>IF($A700="",0,IF('TMP Paste'!$B700="",0,1))</f>
        <v/>
      </c>
      <c r="F700">
        <f>IF(OR($A700="",$C700&lt;1),"",$A700&amp;"-"&amp;TEXT(($D700-$C700+1),"00")&amp;IF($C700&gt;=2,", "&amp;$A700&amp;"-"&amp;TEXT(($D700-$C700+1)+1,"00"),"")&amp;IF($C700&gt;=3,", "&amp;$A700&amp;"-"&amp;TEXT(($D700-$C700+1)+2,"00"),"")&amp;IF($C700&gt;=4,", "&amp;$A700&amp;"-"&amp;TEXT(($D700-$C700+1)+3,"00"),"")&amp;IF($C700&gt;=5,", "&amp;$A700&amp;"-"&amp;TEXT(($D700-$C700+1)+4,"00"),"")&amp;IF($C700&gt;=6,", "&amp;$A700&amp;"-"&amp;TEXT(($D700-$C700+1)+5,"00"),"")&amp;IF($C700&gt;=7,", "&amp;$A700&amp;"-"&amp;TEXT(($D700-$C700+1)+6,"00"),"")&amp;IF($C700&gt;=8,", "&amp;$A700&amp;"-"&amp;TEXT(($D700-$C700+1)+7,"00"),"")&amp;IF($C700&gt;=9,", "&amp;$A700&amp;"-"&amp;TEXT(($D700-$C700+1)+8,"00"),"")&amp;IF($C700&gt;=10,", "&amp;$A700&amp;"-"&amp;TEXT(($D700-$C700+1)+9,"00"),"")&amp;IF($C700&gt;=11,", "&amp;$A700&amp;"-"&amp;TEXT(($D700-$C700+1)+10,"00"),"")&amp;IF($C700&gt;=12,", "&amp;$A700&amp;"-"&amp;TEXT(($D700-$C700+1)+11,"00"),"")&amp;IF($C700&gt;=13,", "&amp;$A700&amp;"-"&amp;TEXT(($D700-$C700+1)+12,"00"),"")&amp;IF($C700&gt;=14,", "&amp;$A700&amp;"-"&amp;TEXT(($D700-$C700+1)+13,"00"),"")&amp;IF($C700&gt;=15,", "&amp;$A700&amp;"-"&amp;TEXT(($D700-$C700+1)+14,"00"),"")&amp;IF($C700&gt;=16,", "&amp;$A700&amp;"-"&amp;TEXT(($D700-$C700+1)+15,"00"),"")&amp;IF($C700&gt;=17,", "&amp;$A700&amp;"-"&amp;TEXT(($D700-$C700+1)+16,"00"),"")&amp;IF($C700&gt;=18,", "&amp;$A700&amp;"-"&amp;TEXT(($D700-$C700+1)+17,"00"),"")&amp;IF($C700&gt;=19,", "&amp;$A700&amp;"-"&amp;TEXT(($D700-$C700+1)+18,"00"),"")&amp;IF($C700&gt;=20,", "&amp;$A700&amp;"-"&amp;TEXT(($D700-$C700+1)+19,"00"),"")&amp;IF($C700&gt;=21,", "&amp;$A700&amp;"-"&amp;TEXT(($D700-$C700+1)+20,"00"),"")&amp;IF($C700&gt;=22,", "&amp;$A700&amp;"-"&amp;TEXT(($D700-$C700+1)+21,"00"),"")&amp;IF($C700&gt;=23,", "&amp;$A700&amp;"-"&amp;TEXT(($D700-$C700+1)+22,"00"),"")&amp;IF($C700&gt;=24,", "&amp;$A700&amp;"-"&amp;TEXT(($D700-$C700+1)+23,"00"),"")&amp;IF($C700&gt;=25,", "&amp;$A700&amp;"-"&amp;TEXT(($D700-$C700+1)+24,"00"),""))</f>
        <v/>
      </c>
      <c r="G700">
        <f>IF($A700="","",IF($E700=1,$F700,IF($F700="",$G699,IF($G699="",$F700,$G699&amp;", "&amp;$F700))))</f>
        <v/>
      </c>
      <c r="H700">
        <f>IF($A700="","",$A700&amp;" ("&amp;$C700&amp;")")</f>
        <v/>
      </c>
      <c r="I700">
        <f>IF($A700="","",IF($E700=1,$H700,$I699&amp;", "&amp;$H700))</f>
        <v/>
      </c>
      <c r="J700">
        <f>IF($A700="","",IF($E700=1,$B700,""))</f>
        <v/>
      </c>
      <c r="K700">
        <f>IF($A700="","",IF(COUNTIF($B$2:$B700,$B700)=COUNTIF($B$2:$B$1601,$B700),$B700,""))</f>
        <v/>
      </c>
    </row>
    <row r="701">
      <c r="A701">
        <f>IF('TMP Paste'!$E701="","",'TMP Paste'!$E701)</f>
        <v/>
      </c>
      <c r="B701">
        <f>IF($A701="","",COUNTIF('TMP Paste'!$B$2:$B701,"?*"))</f>
        <v/>
      </c>
      <c r="C701">
        <f>IF($A701="","",IFERROR('TMP Paste'!$M701*1,0))</f>
        <v/>
      </c>
      <c r="D701">
        <f>IF($A701="","",SUMIF($B$2:$B701,$B701,$C$2:$C701))</f>
        <v/>
      </c>
      <c r="E701">
        <f>IF($A701="",0,IF('TMP Paste'!$B701="",0,1))</f>
        <v/>
      </c>
      <c r="F701">
        <f>IF(OR($A701="",$C701&lt;1),"",$A701&amp;"-"&amp;TEXT(($D701-$C701+1),"00")&amp;IF($C701&gt;=2,", "&amp;$A701&amp;"-"&amp;TEXT(($D701-$C701+1)+1,"00"),"")&amp;IF($C701&gt;=3,", "&amp;$A701&amp;"-"&amp;TEXT(($D701-$C701+1)+2,"00"),"")&amp;IF($C701&gt;=4,", "&amp;$A701&amp;"-"&amp;TEXT(($D701-$C701+1)+3,"00"),"")&amp;IF($C701&gt;=5,", "&amp;$A701&amp;"-"&amp;TEXT(($D701-$C701+1)+4,"00"),"")&amp;IF($C701&gt;=6,", "&amp;$A701&amp;"-"&amp;TEXT(($D701-$C701+1)+5,"00"),"")&amp;IF($C701&gt;=7,", "&amp;$A701&amp;"-"&amp;TEXT(($D701-$C701+1)+6,"00"),"")&amp;IF($C701&gt;=8,", "&amp;$A701&amp;"-"&amp;TEXT(($D701-$C701+1)+7,"00"),"")&amp;IF($C701&gt;=9,", "&amp;$A701&amp;"-"&amp;TEXT(($D701-$C701+1)+8,"00"),"")&amp;IF($C701&gt;=10,", "&amp;$A701&amp;"-"&amp;TEXT(($D701-$C701+1)+9,"00"),"")&amp;IF($C701&gt;=11,", "&amp;$A701&amp;"-"&amp;TEXT(($D701-$C701+1)+10,"00"),"")&amp;IF($C701&gt;=12,", "&amp;$A701&amp;"-"&amp;TEXT(($D701-$C701+1)+11,"00"),"")&amp;IF($C701&gt;=13,", "&amp;$A701&amp;"-"&amp;TEXT(($D701-$C701+1)+12,"00"),"")&amp;IF($C701&gt;=14,", "&amp;$A701&amp;"-"&amp;TEXT(($D701-$C701+1)+13,"00"),"")&amp;IF($C701&gt;=15,", "&amp;$A701&amp;"-"&amp;TEXT(($D701-$C701+1)+14,"00"),"")&amp;IF($C701&gt;=16,", "&amp;$A701&amp;"-"&amp;TEXT(($D701-$C701+1)+15,"00"),"")&amp;IF($C701&gt;=17,", "&amp;$A701&amp;"-"&amp;TEXT(($D701-$C701+1)+16,"00"),"")&amp;IF($C701&gt;=18,", "&amp;$A701&amp;"-"&amp;TEXT(($D701-$C701+1)+17,"00"),"")&amp;IF($C701&gt;=19,", "&amp;$A701&amp;"-"&amp;TEXT(($D701-$C701+1)+18,"00"),"")&amp;IF($C701&gt;=20,", "&amp;$A701&amp;"-"&amp;TEXT(($D701-$C701+1)+19,"00"),"")&amp;IF($C701&gt;=21,", "&amp;$A701&amp;"-"&amp;TEXT(($D701-$C701+1)+20,"00"),"")&amp;IF($C701&gt;=22,", "&amp;$A701&amp;"-"&amp;TEXT(($D701-$C701+1)+21,"00"),"")&amp;IF($C701&gt;=23,", "&amp;$A701&amp;"-"&amp;TEXT(($D701-$C701+1)+22,"00"),"")&amp;IF($C701&gt;=24,", "&amp;$A701&amp;"-"&amp;TEXT(($D701-$C701+1)+23,"00"),"")&amp;IF($C701&gt;=25,", "&amp;$A701&amp;"-"&amp;TEXT(($D701-$C701+1)+24,"00"),""))</f>
        <v/>
      </c>
      <c r="G701">
        <f>IF($A701="","",IF($E701=1,$F701,IF($F701="",$G700,IF($G700="",$F701,$G700&amp;", "&amp;$F701))))</f>
        <v/>
      </c>
      <c r="H701">
        <f>IF($A701="","",$A701&amp;" ("&amp;$C701&amp;")")</f>
        <v/>
      </c>
      <c r="I701">
        <f>IF($A701="","",IF($E701=1,$H701,$I700&amp;", "&amp;$H701))</f>
        <v/>
      </c>
      <c r="J701">
        <f>IF($A701="","",IF($E701=1,$B701,""))</f>
        <v/>
      </c>
      <c r="K701">
        <f>IF($A701="","",IF(COUNTIF($B$2:$B701,$B701)=COUNTIF($B$2:$B$1601,$B701),$B701,""))</f>
        <v/>
      </c>
    </row>
    <row r="702">
      <c r="A702">
        <f>IF('TMP Paste'!$E702="","",'TMP Paste'!$E702)</f>
        <v/>
      </c>
      <c r="B702">
        <f>IF($A702="","",COUNTIF('TMP Paste'!$B$2:$B702,"?*"))</f>
        <v/>
      </c>
      <c r="C702">
        <f>IF($A702="","",IFERROR('TMP Paste'!$M702*1,0))</f>
        <v/>
      </c>
      <c r="D702">
        <f>IF($A702="","",SUMIF($B$2:$B702,$B702,$C$2:$C702))</f>
        <v/>
      </c>
      <c r="E702">
        <f>IF($A702="",0,IF('TMP Paste'!$B702="",0,1))</f>
        <v/>
      </c>
      <c r="F702">
        <f>IF(OR($A702="",$C702&lt;1),"",$A702&amp;"-"&amp;TEXT(($D702-$C702+1),"00")&amp;IF($C702&gt;=2,", "&amp;$A702&amp;"-"&amp;TEXT(($D702-$C702+1)+1,"00"),"")&amp;IF($C702&gt;=3,", "&amp;$A702&amp;"-"&amp;TEXT(($D702-$C702+1)+2,"00"),"")&amp;IF($C702&gt;=4,", "&amp;$A702&amp;"-"&amp;TEXT(($D702-$C702+1)+3,"00"),"")&amp;IF($C702&gt;=5,", "&amp;$A702&amp;"-"&amp;TEXT(($D702-$C702+1)+4,"00"),"")&amp;IF($C702&gt;=6,", "&amp;$A702&amp;"-"&amp;TEXT(($D702-$C702+1)+5,"00"),"")&amp;IF($C702&gt;=7,", "&amp;$A702&amp;"-"&amp;TEXT(($D702-$C702+1)+6,"00"),"")&amp;IF($C702&gt;=8,", "&amp;$A702&amp;"-"&amp;TEXT(($D702-$C702+1)+7,"00"),"")&amp;IF($C702&gt;=9,", "&amp;$A702&amp;"-"&amp;TEXT(($D702-$C702+1)+8,"00"),"")&amp;IF($C702&gt;=10,", "&amp;$A702&amp;"-"&amp;TEXT(($D702-$C702+1)+9,"00"),"")&amp;IF($C702&gt;=11,", "&amp;$A702&amp;"-"&amp;TEXT(($D702-$C702+1)+10,"00"),"")&amp;IF($C702&gt;=12,", "&amp;$A702&amp;"-"&amp;TEXT(($D702-$C702+1)+11,"00"),"")&amp;IF($C702&gt;=13,", "&amp;$A702&amp;"-"&amp;TEXT(($D702-$C702+1)+12,"00"),"")&amp;IF($C702&gt;=14,", "&amp;$A702&amp;"-"&amp;TEXT(($D702-$C702+1)+13,"00"),"")&amp;IF($C702&gt;=15,", "&amp;$A702&amp;"-"&amp;TEXT(($D702-$C702+1)+14,"00"),"")&amp;IF($C702&gt;=16,", "&amp;$A702&amp;"-"&amp;TEXT(($D702-$C702+1)+15,"00"),"")&amp;IF($C702&gt;=17,", "&amp;$A702&amp;"-"&amp;TEXT(($D702-$C702+1)+16,"00"),"")&amp;IF($C702&gt;=18,", "&amp;$A702&amp;"-"&amp;TEXT(($D702-$C702+1)+17,"00"),"")&amp;IF($C702&gt;=19,", "&amp;$A702&amp;"-"&amp;TEXT(($D702-$C702+1)+18,"00"),"")&amp;IF($C702&gt;=20,", "&amp;$A702&amp;"-"&amp;TEXT(($D702-$C702+1)+19,"00"),"")&amp;IF($C702&gt;=21,", "&amp;$A702&amp;"-"&amp;TEXT(($D702-$C702+1)+20,"00"),"")&amp;IF($C702&gt;=22,", "&amp;$A702&amp;"-"&amp;TEXT(($D702-$C702+1)+21,"00"),"")&amp;IF($C702&gt;=23,", "&amp;$A702&amp;"-"&amp;TEXT(($D702-$C702+1)+22,"00"),"")&amp;IF($C702&gt;=24,", "&amp;$A702&amp;"-"&amp;TEXT(($D702-$C702+1)+23,"00"),"")&amp;IF($C702&gt;=25,", "&amp;$A702&amp;"-"&amp;TEXT(($D702-$C702+1)+24,"00"),""))</f>
        <v/>
      </c>
      <c r="G702">
        <f>IF($A702="","",IF($E702=1,$F702,IF($F702="",$G701,IF($G701="",$F702,$G701&amp;", "&amp;$F702))))</f>
        <v/>
      </c>
      <c r="H702">
        <f>IF($A702="","",$A702&amp;" ("&amp;$C702&amp;")")</f>
        <v/>
      </c>
      <c r="I702">
        <f>IF($A702="","",IF($E702=1,$H702,$I701&amp;", "&amp;$H702))</f>
        <v/>
      </c>
      <c r="J702">
        <f>IF($A702="","",IF($E702=1,$B702,""))</f>
        <v/>
      </c>
      <c r="K702">
        <f>IF($A702="","",IF(COUNTIF($B$2:$B702,$B702)=COUNTIF($B$2:$B$1601,$B702),$B702,""))</f>
        <v/>
      </c>
    </row>
    <row r="703">
      <c r="A703">
        <f>IF('TMP Paste'!$E703="","",'TMP Paste'!$E703)</f>
        <v/>
      </c>
      <c r="B703">
        <f>IF($A703="","",COUNTIF('TMP Paste'!$B$2:$B703,"?*"))</f>
        <v/>
      </c>
      <c r="C703">
        <f>IF($A703="","",IFERROR('TMP Paste'!$M703*1,0))</f>
        <v/>
      </c>
      <c r="D703">
        <f>IF($A703="","",SUMIF($B$2:$B703,$B703,$C$2:$C703))</f>
        <v/>
      </c>
      <c r="E703">
        <f>IF($A703="",0,IF('TMP Paste'!$B703="",0,1))</f>
        <v/>
      </c>
      <c r="F703">
        <f>IF(OR($A703="",$C703&lt;1),"",$A703&amp;"-"&amp;TEXT(($D703-$C703+1),"00")&amp;IF($C703&gt;=2,", "&amp;$A703&amp;"-"&amp;TEXT(($D703-$C703+1)+1,"00"),"")&amp;IF($C703&gt;=3,", "&amp;$A703&amp;"-"&amp;TEXT(($D703-$C703+1)+2,"00"),"")&amp;IF($C703&gt;=4,", "&amp;$A703&amp;"-"&amp;TEXT(($D703-$C703+1)+3,"00"),"")&amp;IF($C703&gt;=5,", "&amp;$A703&amp;"-"&amp;TEXT(($D703-$C703+1)+4,"00"),"")&amp;IF($C703&gt;=6,", "&amp;$A703&amp;"-"&amp;TEXT(($D703-$C703+1)+5,"00"),"")&amp;IF($C703&gt;=7,", "&amp;$A703&amp;"-"&amp;TEXT(($D703-$C703+1)+6,"00"),"")&amp;IF($C703&gt;=8,", "&amp;$A703&amp;"-"&amp;TEXT(($D703-$C703+1)+7,"00"),"")&amp;IF($C703&gt;=9,", "&amp;$A703&amp;"-"&amp;TEXT(($D703-$C703+1)+8,"00"),"")&amp;IF($C703&gt;=10,", "&amp;$A703&amp;"-"&amp;TEXT(($D703-$C703+1)+9,"00"),"")&amp;IF($C703&gt;=11,", "&amp;$A703&amp;"-"&amp;TEXT(($D703-$C703+1)+10,"00"),"")&amp;IF($C703&gt;=12,", "&amp;$A703&amp;"-"&amp;TEXT(($D703-$C703+1)+11,"00"),"")&amp;IF($C703&gt;=13,", "&amp;$A703&amp;"-"&amp;TEXT(($D703-$C703+1)+12,"00"),"")&amp;IF($C703&gt;=14,", "&amp;$A703&amp;"-"&amp;TEXT(($D703-$C703+1)+13,"00"),"")&amp;IF($C703&gt;=15,", "&amp;$A703&amp;"-"&amp;TEXT(($D703-$C703+1)+14,"00"),"")&amp;IF($C703&gt;=16,", "&amp;$A703&amp;"-"&amp;TEXT(($D703-$C703+1)+15,"00"),"")&amp;IF($C703&gt;=17,", "&amp;$A703&amp;"-"&amp;TEXT(($D703-$C703+1)+16,"00"),"")&amp;IF($C703&gt;=18,", "&amp;$A703&amp;"-"&amp;TEXT(($D703-$C703+1)+17,"00"),"")&amp;IF($C703&gt;=19,", "&amp;$A703&amp;"-"&amp;TEXT(($D703-$C703+1)+18,"00"),"")&amp;IF($C703&gt;=20,", "&amp;$A703&amp;"-"&amp;TEXT(($D703-$C703+1)+19,"00"),"")&amp;IF($C703&gt;=21,", "&amp;$A703&amp;"-"&amp;TEXT(($D703-$C703+1)+20,"00"),"")&amp;IF($C703&gt;=22,", "&amp;$A703&amp;"-"&amp;TEXT(($D703-$C703+1)+21,"00"),"")&amp;IF($C703&gt;=23,", "&amp;$A703&amp;"-"&amp;TEXT(($D703-$C703+1)+22,"00"),"")&amp;IF($C703&gt;=24,", "&amp;$A703&amp;"-"&amp;TEXT(($D703-$C703+1)+23,"00"),"")&amp;IF($C703&gt;=25,", "&amp;$A703&amp;"-"&amp;TEXT(($D703-$C703+1)+24,"00"),""))</f>
        <v/>
      </c>
      <c r="G703">
        <f>IF($A703="","",IF($E703=1,$F703,IF($F703="",$G702,IF($G702="",$F703,$G702&amp;", "&amp;$F703))))</f>
        <v/>
      </c>
      <c r="H703">
        <f>IF($A703="","",$A703&amp;" ("&amp;$C703&amp;")")</f>
        <v/>
      </c>
      <c r="I703">
        <f>IF($A703="","",IF($E703=1,$H703,$I702&amp;", "&amp;$H703))</f>
        <v/>
      </c>
      <c r="J703">
        <f>IF($A703="","",IF($E703=1,$B703,""))</f>
        <v/>
      </c>
      <c r="K703">
        <f>IF($A703="","",IF(COUNTIF($B$2:$B703,$B703)=COUNTIF($B$2:$B$1601,$B703),$B703,""))</f>
        <v/>
      </c>
    </row>
    <row r="704">
      <c r="A704">
        <f>IF('TMP Paste'!$E704="","",'TMP Paste'!$E704)</f>
        <v/>
      </c>
      <c r="B704">
        <f>IF($A704="","",COUNTIF('TMP Paste'!$B$2:$B704,"?*"))</f>
        <v/>
      </c>
      <c r="C704">
        <f>IF($A704="","",IFERROR('TMP Paste'!$M704*1,0))</f>
        <v/>
      </c>
      <c r="D704">
        <f>IF($A704="","",SUMIF($B$2:$B704,$B704,$C$2:$C704))</f>
        <v/>
      </c>
      <c r="E704">
        <f>IF($A704="",0,IF('TMP Paste'!$B704="",0,1))</f>
        <v/>
      </c>
      <c r="F704">
        <f>IF(OR($A704="",$C704&lt;1),"",$A704&amp;"-"&amp;TEXT(($D704-$C704+1),"00")&amp;IF($C704&gt;=2,", "&amp;$A704&amp;"-"&amp;TEXT(($D704-$C704+1)+1,"00"),"")&amp;IF($C704&gt;=3,", "&amp;$A704&amp;"-"&amp;TEXT(($D704-$C704+1)+2,"00"),"")&amp;IF($C704&gt;=4,", "&amp;$A704&amp;"-"&amp;TEXT(($D704-$C704+1)+3,"00"),"")&amp;IF($C704&gt;=5,", "&amp;$A704&amp;"-"&amp;TEXT(($D704-$C704+1)+4,"00"),"")&amp;IF($C704&gt;=6,", "&amp;$A704&amp;"-"&amp;TEXT(($D704-$C704+1)+5,"00"),"")&amp;IF($C704&gt;=7,", "&amp;$A704&amp;"-"&amp;TEXT(($D704-$C704+1)+6,"00"),"")&amp;IF($C704&gt;=8,", "&amp;$A704&amp;"-"&amp;TEXT(($D704-$C704+1)+7,"00"),"")&amp;IF($C704&gt;=9,", "&amp;$A704&amp;"-"&amp;TEXT(($D704-$C704+1)+8,"00"),"")&amp;IF($C704&gt;=10,", "&amp;$A704&amp;"-"&amp;TEXT(($D704-$C704+1)+9,"00"),"")&amp;IF($C704&gt;=11,", "&amp;$A704&amp;"-"&amp;TEXT(($D704-$C704+1)+10,"00"),"")&amp;IF($C704&gt;=12,", "&amp;$A704&amp;"-"&amp;TEXT(($D704-$C704+1)+11,"00"),"")&amp;IF($C704&gt;=13,", "&amp;$A704&amp;"-"&amp;TEXT(($D704-$C704+1)+12,"00"),"")&amp;IF($C704&gt;=14,", "&amp;$A704&amp;"-"&amp;TEXT(($D704-$C704+1)+13,"00"),"")&amp;IF($C704&gt;=15,", "&amp;$A704&amp;"-"&amp;TEXT(($D704-$C704+1)+14,"00"),"")&amp;IF($C704&gt;=16,", "&amp;$A704&amp;"-"&amp;TEXT(($D704-$C704+1)+15,"00"),"")&amp;IF($C704&gt;=17,", "&amp;$A704&amp;"-"&amp;TEXT(($D704-$C704+1)+16,"00"),"")&amp;IF($C704&gt;=18,", "&amp;$A704&amp;"-"&amp;TEXT(($D704-$C704+1)+17,"00"),"")&amp;IF($C704&gt;=19,", "&amp;$A704&amp;"-"&amp;TEXT(($D704-$C704+1)+18,"00"),"")&amp;IF($C704&gt;=20,", "&amp;$A704&amp;"-"&amp;TEXT(($D704-$C704+1)+19,"00"),"")&amp;IF($C704&gt;=21,", "&amp;$A704&amp;"-"&amp;TEXT(($D704-$C704+1)+20,"00"),"")&amp;IF($C704&gt;=22,", "&amp;$A704&amp;"-"&amp;TEXT(($D704-$C704+1)+21,"00"),"")&amp;IF($C704&gt;=23,", "&amp;$A704&amp;"-"&amp;TEXT(($D704-$C704+1)+22,"00"),"")&amp;IF($C704&gt;=24,", "&amp;$A704&amp;"-"&amp;TEXT(($D704-$C704+1)+23,"00"),"")&amp;IF($C704&gt;=25,", "&amp;$A704&amp;"-"&amp;TEXT(($D704-$C704+1)+24,"00"),""))</f>
        <v/>
      </c>
      <c r="G704">
        <f>IF($A704="","",IF($E704=1,$F704,IF($F704="",$G703,IF($G703="",$F704,$G703&amp;", "&amp;$F704))))</f>
        <v/>
      </c>
      <c r="H704">
        <f>IF($A704="","",$A704&amp;" ("&amp;$C704&amp;")")</f>
        <v/>
      </c>
      <c r="I704">
        <f>IF($A704="","",IF($E704=1,$H704,$I703&amp;", "&amp;$H704))</f>
        <v/>
      </c>
      <c r="J704">
        <f>IF($A704="","",IF($E704=1,$B704,""))</f>
        <v/>
      </c>
      <c r="K704">
        <f>IF($A704="","",IF(COUNTIF($B$2:$B704,$B704)=COUNTIF($B$2:$B$1601,$B704),$B704,""))</f>
        <v/>
      </c>
    </row>
    <row r="705">
      <c r="A705">
        <f>IF('TMP Paste'!$E705="","",'TMP Paste'!$E705)</f>
        <v/>
      </c>
      <c r="B705">
        <f>IF($A705="","",COUNTIF('TMP Paste'!$B$2:$B705,"?*"))</f>
        <v/>
      </c>
      <c r="C705">
        <f>IF($A705="","",IFERROR('TMP Paste'!$M705*1,0))</f>
        <v/>
      </c>
      <c r="D705">
        <f>IF($A705="","",SUMIF($B$2:$B705,$B705,$C$2:$C705))</f>
        <v/>
      </c>
      <c r="E705">
        <f>IF($A705="",0,IF('TMP Paste'!$B705="",0,1))</f>
        <v/>
      </c>
      <c r="F705">
        <f>IF(OR($A705="",$C705&lt;1),"",$A705&amp;"-"&amp;TEXT(($D705-$C705+1),"00")&amp;IF($C705&gt;=2,", "&amp;$A705&amp;"-"&amp;TEXT(($D705-$C705+1)+1,"00"),"")&amp;IF($C705&gt;=3,", "&amp;$A705&amp;"-"&amp;TEXT(($D705-$C705+1)+2,"00"),"")&amp;IF($C705&gt;=4,", "&amp;$A705&amp;"-"&amp;TEXT(($D705-$C705+1)+3,"00"),"")&amp;IF($C705&gt;=5,", "&amp;$A705&amp;"-"&amp;TEXT(($D705-$C705+1)+4,"00"),"")&amp;IF($C705&gt;=6,", "&amp;$A705&amp;"-"&amp;TEXT(($D705-$C705+1)+5,"00"),"")&amp;IF($C705&gt;=7,", "&amp;$A705&amp;"-"&amp;TEXT(($D705-$C705+1)+6,"00"),"")&amp;IF($C705&gt;=8,", "&amp;$A705&amp;"-"&amp;TEXT(($D705-$C705+1)+7,"00"),"")&amp;IF($C705&gt;=9,", "&amp;$A705&amp;"-"&amp;TEXT(($D705-$C705+1)+8,"00"),"")&amp;IF($C705&gt;=10,", "&amp;$A705&amp;"-"&amp;TEXT(($D705-$C705+1)+9,"00"),"")&amp;IF($C705&gt;=11,", "&amp;$A705&amp;"-"&amp;TEXT(($D705-$C705+1)+10,"00"),"")&amp;IF($C705&gt;=12,", "&amp;$A705&amp;"-"&amp;TEXT(($D705-$C705+1)+11,"00"),"")&amp;IF($C705&gt;=13,", "&amp;$A705&amp;"-"&amp;TEXT(($D705-$C705+1)+12,"00"),"")&amp;IF($C705&gt;=14,", "&amp;$A705&amp;"-"&amp;TEXT(($D705-$C705+1)+13,"00"),"")&amp;IF($C705&gt;=15,", "&amp;$A705&amp;"-"&amp;TEXT(($D705-$C705+1)+14,"00"),"")&amp;IF($C705&gt;=16,", "&amp;$A705&amp;"-"&amp;TEXT(($D705-$C705+1)+15,"00"),"")&amp;IF($C705&gt;=17,", "&amp;$A705&amp;"-"&amp;TEXT(($D705-$C705+1)+16,"00"),"")&amp;IF($C705&gt;=18,", "&amp;$A705&amp;"-"&amp;TEXT(($D705-$C705+1)+17,"00"),"")&amp;IF($C705&gt;=19,", "&amp;$A705&amp;"-"&amp;TEXT(($D705-$C705+1)+18,"00"),"")&amp;IF($C705&gt;=20,", "&amp;$A705&amp;"-"&amp;TEXT(($D705-$C705+1)+19,"00"),"")&amp;IF($C705&gt;=21,", "&amp;$A705&amp;"-"&amp;TEXT(($D705-$C705+1)+20,"00"),"")&amp;IF($C705&gt;=22,", "&amp;$A705&amp;"-"&amp;TEXT(($D705-$C705+1)+21,"00"),"")&amp;IF($C705&gt;=23,", "&amp;$A705&amp;"-"&amp;TEXT(($D705-$C705+1)+22,"00"),"")&amp;IF($C705&gt;=24,", "&amp;$A705&amp;"-"&amp;TEXT(($D705-$C705+1)+23,"00"),"")&amp;IF($C705&gt;=25,", "&amp;$A705&amp;"-"&amp;TEXT(($D705-$C705+1)+24,"00"),""))</f>
        <v/>
      </c>
      <c r="G705">
        <f>IF($A705="","",IF($E705=1,$F705,IF($F705="",$G704,IF($G704="",$F705,$G704&amp;", "&amp;$F705))))</f>
        <v/>
      </c>
      <c r="H705">
        <f>IF($A705="","",$A705&amp;" ("&amp;$C705&amp;")")</f>
        <v/>
      </c>
      <c r="I705">
        <f>IF($A705="","",IF($E705=1,$H705,$I704&amp;", "&amp;$H705))</f>
        <v/>
      </c>
      <c r="J705">
        <f>IF($A705="","",IF($E705=1,$B705,""))</f>
        <v/>
      </c>
      <c r="K705">
        <f>IF($A705="","",IF(COUNTIF($B$2:$B705,$B705)=COUNTIF($B$2:$B$1601,$B705),$B705,""))</f>
        <v/>
      </c>
    </row>
    <row r="706">
      <c r="A706">
        <f>IF('TMP Paste'!$E706="","",'TMP Paste'!$E706)</f>
        <v/>
      </c>
      <c r="B706">
        <f>IF($A706="","",COUNTIF('TMP Paste'!$B$2:$B706,"?*"))</f>
        <v/>
      </c>
      <c r="C706">
        <f>IF($A706="","",IFERROR('TMP Paste'!$M706*1,0))</f>
        <v/>
      </c>
      <c r="D706">
        <f>IF($A706="","",SUMIF($B$2:$B706,$B706,$C$2:$C706))</f>
        <v/>
      </c>
      <c r="E706">
        <f>IF($A706="",0,IF('TMP Paste'!$B706="",0,1))</f>
        <v/>
      </c>
      <c r="F706">
        <f>IF(OR($A706="",$C706&lt;1),"",$A706&amp;"-"&amp;TEXT(($D706-$C706+1),"00")&amp;IF($C706&gt;=2,", "&amp;$A706&amp;"-"&amp;TEXT(($D706-$C706+1)+1,"00"),"")&amp;IF($C706&gt;=3,", "&amp;$A706&amp;"-"&amp;TEXT(($D706-$C706+1)+2,"00"),"")&amp;IF($C706&gt;=4,", "&amp;$A706&amp;"-"&amp;TEXT(($D706-$C706+1)+3,"00"),"")&amp;IF($C706&gt;=5,", "&amp;$A706&amp;"-"&amp;TEXT(($D706-$C706+1)+4,"00"),"")&amp;IF($C706&gt;=6,", "&amp;$A706&amp;"-"&amp;TEXT(($D706-$C706+1)+5,"00"),"")&amp;IF($C706&gt;=7,", "&amp;$A706&amp;"-"&amp;TEXT(($D706-$C706+1)+6,"00"),"")&amp;IF($C706&gt;=8,", "&amp;$A706&amp;"-"&amp;TEXT(($D706-$C706+1)+7,"00"),"")&amp;IF($C706&gt;=9,", "&amp;$A706&amp;"-"&amp;TEXT(($D706-$C706+1)+8,"00"),"")&amp;IF($C706&gt;=10,", "&amp;$A706&amp;"-"&amp;TEXT(($D706-$C706+1)+9,"00"),"")&amp;IF($C706&gt;=11,", "&amp;$A706&amp;"-"&amp;TEXT(($D706-$C706+1)+10,"00"),"")&amp;IF($C706&gt;=12,", "&amp;$A706&amp;"-"&amp;TEXT(($D706-$C706+1)+11,"00"),"")&amp;IF($C706&gt;=13,", "&amp;$A706&amp;"-"&amp;TEXT(($D706-$C706+1)+12,"00"),"")&amp;IF($C706&gt;=14,", "&amp;$A706&amp;"-"&amp;TEXT(($D706-$C706+1)+13,"00"),"")&amp;IF($C706&gt;=15,", "&amp;$A706&amp;"-"&amp;TEXT(($D706-$C706+1)+14,"00"),"")&amp;IF($C706&gt;=16,", "&amp;$A706&amp;"-"&amp;TEXT(($D706-$C706+1)+15,"00"),"")&amp;IF($C706&gt;=17,", "&amp;$A706&amp;"-"&amp;TEXT(($D706-$C706+1)+16,"00"),"")&amp;IF($C706&gt;=18,", "&amp;$A706&amp;"-"&amp;TEXT(($D706-$C706+1)+17,"00"),"")&amp;IF($C706&gt;=19,", "&amp;$A706&amp;"-"&amp;TEXT(($D706-$C706+1)+18,"00"),"")&amp;IF($C706&gt;=20,", "&amp;$A706&amp;"-"&amp;TEXT(($D706-$C706+1)+19,"00"),"")&amp;IF($C706&gt;=21,", "&amp;$A706&amp;"-"&amp;TEXT(($D706-$C706+1)+20,"00"),"")&amp;IF($C706&gt;=22,", "&amp;$A706&amp;"-"&amp;TEXT(($D706-$C706+1)+21,"00"),"")&amp;IF($C706&gt;=23,", "&amp;$A706&amp;"-"&amp;TEXT(($D706-$C706+1)+22,"00"),"")&amp;IF($C706&gt;=24,", "&amp;$A706&amp;"-"&amp;TEXT(($D706-$C706+1)+23,"00"),"")&amp;IF($C706&gt;=25,", "&amp;$A706&amp;"-"&amp;TEXT(($D706-$C706+1)+24,"00"),""))</f>
        <v/>
      </c>
      <c r="G706">
        <f>IF($A706="","",IF($E706=1,$F706,IF($F706="",$G705,IF($G705="",$F706,$G705&amp;", "&amp;$F706))))</f>
        <v/>
      </c>
      <c r="H706">
        <f>IF($A706="","",$A706&amp;" ("&amp;$C706&amp;")")</f>
        <v/>
      </c>
      <c r="I706">
        <f>IF($A706="","",IF($E706=1,$H706,$I705&amp;", "&amp;$H706))</f>
        <v/>
      </c>
      <c r="J706">
        <f>IF($A706="","",IF($E706=1,$B706,""))</f>
        <v/>
      </c>
      <c r="K706">
        <f>IF($A706="","",IF(COUNTIF($B$2:$B706,$B706)=COUNTIF($B$2:$B$1601,$B706),$B706,""))</f>
        <v/>
      </c>
    </row>
    <row r="707">
      <c r="A707">
        <f>IF('TMP Paste'!$E707="","",'TMP Paste'!$E707)</f>
        <v/>
      </c>
      <c r="B707">
        <f>IF($A707="","",COUNTIF('TMP Paste'!$B$2:$B707,"?*"))</f>
        <v/>
      </c>
      <c r="C707">
        <f>IF($A707="","",IFERROR('TMP Paste'!$M707*1,0))</f>
        <v/>
      </c>
      <c r="D707">
        <f>IF($A707="","",SUMIF($B$2:$B707,$B707,$C$2:$C707))</f>
        <v/>
      </c>
      <c r="E707">
        <f>IF($A707="",0,IF('TMP Paste'!$B707="",0,1))</f>
        <v/>
      </c>
      <c r="F707">
        <f>IF(OR($A707="",$C707&lt;1),"",$A707&amp;"-"&amp;TEXT(($D707-$C707+1),"00")&amp;IF($C707&gt;=2,", "&amp;$A707&amp;"-"&amp;TEXT(($D707-$C707+1)+1,"00"),"")&amp;IF($C707&gt;=3,", "&amp;$A707&amp;"-"&amp;TEXT(($D707-$C707+1)+2,"00"),"")&amp;IF($C707&gt;=4,", "&amp;$A707&amp;"-"&amp;TEXT(($D707-$C707+1)+3,"00"),"")&amp;IF($C707&gt;=5,", "&amp;$A707&amp;"-"&amp;TEXT(($D707-$C707+1)+4,"00"),"")&amp;IF($C707&gt;=6,", "&amp;$A707&amp;"-"&amp;TEXT(($D707-$C707+1)+5,"00"),"")&amp;IF($C707&gt;=7,", "&amp;$A707&amp;"-"&amp;TEXT(($D707-$C707+1)+6,"00"),"")&amp;IF($C707&gt;=8,", "&amp;$A707&amp;"-"&amp;TEXT(($D707-$C707+1)+7,"00"),"")&amp;IF($C707&gt;=9,", "&amp;$A707&amp;"-"&amp;TEXT(($D707-$C707+1)+8,"00"),"")&amp;IF($C707&gt;=10,", "&amp;$A707&amp;"-"&amp;TEXT(($D707-$C707+1)+9,"00"),"")&amp;IF($C707&gt;=11,", "&amp;$A707&amp;"-"&amp;TEXT(($D707-$C707+1)+10,"00"),"")&amp;IF($C707&gt;=12,", "&amp;$A707&amp;"-"&amp;TEXT(($D707-$C707+1)+11,"00"),"")&amp;IF($C707&gt;=13,", "&amp;$A707&amp;"-"&amp;TEXT(($D707-$C707+1)+12,"00"),"")&amp;IF($C707&gt;=14,", "&amp;$A707&amp;"-"&amp;TEXT(($D707-$C707+1)+13,"00"),"")&amp;IF($C707&gt;=15,", "&amp;$A707&amp;"-"&amp;TEXT(($D707-$C707+1)+14,"00"),"")&amp;IF($C707&gt;=16,", "&amp;$A707&amp;"-"&amp;TEXT(($D707-$C707+1)+15,"00"),"")&amp;IF($C707&gt;=17,", "&amp;$A707&amp;"-"&amp;TEXT(($D707-$C707+1)+16,"00"),"")&amp;IF($C707&gt;=18,", "&amp;$A707&amp;"-"&amp;TEXT(($D707-$C707+1)+17,"00"),"")&amp;IF($C707&gt;=19,", "&amp;$A707&amp;"-"&amp;TEXT(($D707-$C707+1)+18,"00"),"")&amp;IF($C707&gt;=20,", "&amp;$A707&amp;"-"&amp;TEXT(($D707-$C707+1)+19,"00"),"")&amp;IF($C707&gt;=21,", "&amp;$A707&amp;"-"&amp;TEXT(($D707-$C707+1)+20,"00"),"")&amp;IF($C707&gt;=22,", "&amp;$A707&amp;"-"&amp;TEXT(($D707-$C707+1)+21,"00"),"")&amp;IF($C707&gt;=23,", "&amp;$A707&amp;"-"&amp;TEXT(($D707-$C707+1)+22,"00"),"")&amp;IF($C707&gt;=24,", "&amp;$A707&amp;"-"&amp;TEXT(($D707-$C707+1)+23,"00"),"")&amp;IF($C707&gt;=25,", "&amp;$A707&amp;"-"&amp;TEXT(($D707-$C707+1)+24,"00"),""))</f>
        <v/>
      </c>
      <c r="G707">
        <f>IF($A707="","",IF($E707=1,$F707,IF($F707="",$G706,IF($G706="",$F707,$G706&amp;", "&amp;$F707))))</f>
        <v/>
      </c>
      <c r="H707">
        <f>IF($A707="","",$A707&amp;" ("&amp;$C707&amp;")")</f>
        <v/>
      </c>
      <c r="I707">
        <f>IF($A707="","",IF($E707=1,$H707,$I706&amp;", "&amp;$H707))</f>
        <v/>
      </c>
      <c r="J707">
        <f>IF($A707="","",IF($E707=1,$B707,""))</f>
        <v/>
      </c>
      <c r="K707">
        <f>IF($A707="","",IF(COUNTIF($B$2:$B707,$B707)=COUNTIF($B$2:$B$1601,$B707),$B707,""))</f>
        <v/>
      </c>
    </row>
    <row r="708">
      <c r="A708">
        <f>IF('TMP Paste'!$E708="","",'TMP Paste'!$E708)</f>
        <v/>
      </c>
      <c r="B708">
        <f>IF($A708="","",COUNTIF('TMP Paste'!$B$2:$B708,"?*"))</f>
        <v/>
      </c>
      <c r="C708">
        <f>IF($A708="","",IFERROR('TMP Paste'!$M708*1,0))</f>
        <v/>
      </c>
      <c r="D708">
        <f>IF($A708="","",SUMIF($B$2:$B708,$B708,$C$2:$C708))</f>
        <v/>
      </c>
      <c r="E708">
        <f>IF($A708="",0,IF('TMP Paste'!$B708="",0,1))</f>
        <v/>
      </c>
      <c r="F708">
        <f>IF(OR($A708="",$C708&lt;1),"",$A708&amp;"-"&amp;TEXT(($D708-$C708+1),"00")&amp;IF($C708&gt;=2,", "&amp;$A708&amp;"-"&amp;TEXT(($D708-$C708+1)+1,"00"),"")&amp;IF($C708&gt;=3,", "&amp;$A708&amp;"-"&amp;TEXT(($D708-$C708+1)+2,"00"),"")&amp;IF($C708&gt;=4,", "&amp;$A708&amp;"-"&amp;TEXT(($D708-$C708+1)+3,"00"),"")&amp;IF($C708&gt;=5,", "&amp;$A708&amp;"-"&amp;TEXT(($D708-$C708+1)+4,"00"),"")&amp;IF($C708&gt;=6,", "&amp;$A708&amp;"-"&amp;TEXT(($D708-$C708+1)+5,"00"),"")&amp;IF($C708&gt;=7,", "&amp;$A708&amp;"-"&amp;TEXT(($D708-$C708+1)+6,"00"),"")&amp;IF($C708&gt;=8,", "&amp;$A708&amp;"-"&amp;TEXT(($D708-$C708+1)+7,"00"),"")&amp;IF($C708&gt;=9,", "&amp;$A708&amp;"-"&amp;TEXT(($D708-$C708+1)+8,"00"),"")&amp;IF($C708&gt;=10,", "&amp;$A708&amp;"-"&amp;TEXT(($D708-$C708+1)+9,"00"),"")&amp;IF($C708&gt;=11,", "&amp;$A708&amp;"-"&amp;TEXT(($D708-$C708+1)+10,"00"),"")&amp;IF($C708&gt;=12,", "&amp;$A708&amp;"-"&amp;TEXT(($D708-$C708+1)+11,"00"),"")&amp;IF($C708&gt;=13,", "&amp;$A708&amp;"-"&amp;TEXT(($D708-$C708+1)+12,"00"),"")&amp;IF($C708&gt;=14,", "&amp;$A708&amp;"-"&amp;TEXT(($D708-$C708+1)+13,"00"),"")&amp;IF($C708&gt;=15,", "&amp;$A708&amp;"-"&amp;TEXT(($D708-$C708+1)+14,"00"),"")&amp;IF($C708&gt;=16,", "&amp;$A708&amp;"-"&amp;TEXT(($D708-$C708+1)+15,"00"),"")&amp;IF($C708&gt;=17,", "&amp;$A708&amp;"-"&amp;TEXT(($D708-$C708+1)+16,"00"),"")&amp;IF($C708&gt;=18,", "&amp;$A708&amp;"-"&amp;TEXT(($D708-$C708+1)+17,"00"),"")&amp;IF($C708&gt;=19,", "&amp;$A708&amp;"-"&amp;TEXT(($D708-$C708+1)+18,"00"),"")&amp;IF($C708&gt;=20,", "&amp;$A708&amp;"-"&amp;TEXT(($D708-$C708+1)+19,"00"),"")&amp;IF($C708&gt;=21,", "&amp;$A708&amp;"-"&amp;TEXT(($D708-$C708+1)+20,"00"),"")&amp;IF($C708&gt;=22,", "&amp;$A708&amp;"-"&amp;TEXT(($D708-$C708+1)+21,"00"),"")&amp;IF($C708&gt;=23,", "&amp;$A708&amp;"-"&amp;TEXT(($D708-$C708+1)+22,"00"),"")&amp;IF($C708&gt;=24,", "&amp;$A708&amp;"-"&amp;TEXT(($D708-$C708+1)+23,"00"),"")&amp;IF($C708&gt;=25,", "&amp;$A708&amp;"-"&amp;TEXT(($D708-$C708+1)+24,"00"),""))</f>
        <v/>
      </c>
      <c r="G708">
        <f>IF($A708="","",IF($E708=1,$F708,IF($F708="",$G707,IF($G707="",$F708,$G707&amp;", "&amp;$F708))))</f>
        <v/>
      </c>
      <c r="H708">
        <f>IF($A708="","",$A708&amp;" ("&amp;$C708&amp;")")</f>
        <v/>
      </c>
      <c r="I708">
        <f>IF($A708="","",IF($E708=1,$H708,$I707&amp;", "&amp;$H708))</f>
        <v/>
      </c>
      <c r="J708">
        <f>IF($A708="","",IF($E708=1,$B708,""))</f>
        <v/>
      </c>
      <c r="K708">
        <f>IF($A708="","",IF(COUNTIF($B$2:$B708,$B708)=COUNTIF($B$2:$B$1601,$B708),$B708,""))</f>
        <v/>
      </c>
    </row>
    <row r="709">
      <c r="A709">
        <f>IF('TMP Paste'!$E709="","",'TMP Paste'!$E709)</f>
        <v/>
      </c>
      <c r="B709">
        <f>IF($A709="","",COUNTIF('TMP Paste'!$B$2:$B709,"?*"))</f>
        <v/>
      </c>
      <c r="C709">
        <f>IF($A709="","",IFERROR('TMP Paste'!$M709*1,0))</f>
        <v/>
      </c>
      <c r="D709">
        <f>IF($A709="","",SUMIF($B$2:$B709,$B709,$C$2:$C709))</f>
        <v/>
      </c>
      <c r="E709">
        <f>IF($A709="",0,IF('TMP Paste'!$B709="",0,1))</f>
        <v/>
      </c>
      <c r="F709">
        <f>IF(OR($A709="",$C709&lt;1),"",$A709&amp;"-"&amp;TEXT(($D709-$C709+1),"00")&amp;IF($C709&gt;=2,", "&amp;$A709&amp;"-"&amp;TEXT(($D709-$C709+1)+1,"00"),"")&amp;IF($C709&gt;=3,", "&amp;$A709&amp;"-"&amp;TEXT(($D709-$C709+1)+2,"00"),"")&amp;IF($C709&gt;=4,", "&amp;$A709&amp;"-"&amp;TEXT(($D709-$C709+1)+3,"00"),"")&amp;IF($C709&gt;=5,", "&amp;$A709&amp;"-"&amp;TEXT(($D709-$C709+1)+4,"00"),"")&amp;IF($C709&gt;=6,", "&amp;$A709&amp;"-"&amp;TEXT(($D709-$C709+1)+5,"00"),"")&amp;IF($C709&gt;=7,", "&amp;$A709&amp;"-"&amp;TEXT(($D709-$C709+1)+6,"00"),"")&amp;IF($C709&gt;=8,", "&amp;$A709&amp;"-"&amp;TEXT(($D709-$C709+1)+7,"00"),"")&amp;IF($C709&gt;=9,", "&amp;$A709&amp;"-"&amp;TEXT(($D709-$C709+1)+8,"00"),"")&amp;IF($C709&gt;=10,", "&amp;$A709&amp;"-"&amp;TEXT(($D709-$C709+1)+9,"00"),"")&amp;IF($C709&gt;=11,", "&amp;$A709&amp;"-"&amp;TEXT(($D709-$C709+1)+10,"00"),"")&amp;IF($C709&gt;=12,", "&amp;$A709&amp;"-"&amp;TEXT(($D709-$C709+1)+11,"00"),"")&amp;IF($C709&gt;=13,", "&amp;$A709&amp;"-"&amp;TEXT(($D709-$C709+1)+12,"00"),"")&amp;IF($C709&gt;=14,", "&amp;$A709&amp;"-"&amp;TEXT(($D709-$C709+1)+13,"00"),"")&amp;IF($C709&gt;=15,", "&amp;$A709&amp;"-"&amp;TEXT(($D709-$C709+1)+14,"00"),"")&amp;IF($C709&gt;=16,", "&amp;$A709&amp;"-"&amp;TEXT(($D709-$C709+1)+15,"00"),"")&amp;IF($C709&gt;=17,", "&amp;$A709&amp;"-"&amp;TEXT(($D709-$C709+1)+16,"00"),"")&amp;IF($C709&gt;=18,", "&amp;$A709&amp;"-"&amp;TEXT(($D709-$C709+1)+17,"00"),"")&amp;IF($C709&gt;=19,", "&amp;$A709&amp;"-"&amp;TEXT(($D709-$C709+1)+18,"00"),"")&amp;IF($C709&gt;=20,", "&amp;$A709&amp;"-"&amp;TEXT(($D709-$C709+1)+19,"00"),"")&amp;IF($C709&gt;=21,", "&amp;$A709&amp;"-"&amp;TEXT(($D709-$C709+1)+20,"00"),"")&amp;IF($C709&gt;=22,", "&amp;$A709&amp;"-"&amp;TEXT(($D709-$C709+1)+21,"00"),"")&amp;IF($C709&gt;=23,", "&amp;$A709&amp;"-"&amp;TEXT(($D709-$C709+1)+22,"00"),"")&amp;IF($C709&gt;=24,", "&amp;$A709&amp;"-"&amp;TEXT(($D709-$C709+1)+23,"00"),"")&amp;IF($C709&gt;=25,", "&amp;$A709&amp;"-"&amp;TEXT(($D709-$C709+1)+24,"00"),""))</f>
        <v/>
      </c>
      <c r="G709">
        <f>IF($A709="","",IF($E709=1,$F709,IF($F709="",$G708,IF($G708="",$F709,$G708&amp;", "&amp;$F709))))</f>
        <v/>
      </c>
      <c r="H709">
        <f>IF($A709="","",$A709&amp;" ("&amp;$C709&amp;")")</f>
        <v/>
      </c>
      <c r="I709">
        <f>IF($A709="","",IF($E709=1,$H709,$I708&amp;", "&amp;$H709))</f>
        <v/>
      </c>
      <c r="J709">
        <f>IF($A709="","",IF($E709=1,$B709,""))</f>
        <v/>
      </c>
      <c r="K709">
        <f>IF($A709="","",IF(COUNTIF($B$2:$B709,$B709)=COUNTIF($B$2:$B$1601,$B709),$B709,""))</f>
        <v/>
      </c>
    </row>
    <row r="710">
      <c r="A710">
        <f>IF('TMP Paste'!$E710="","",'TMP Paste'!$E710)</f>
        <v/>
      </c>
      <c r="B710">
        <f>IF($A710="","",COUNTIF('TMP Paste'!$B$2:$B710,"?*"))</f>
        <v/>
      </c>
      <c r="C710">
        <f>IF($A710="","",IFERROR('TMP Paste'!$M710*1,0))</f>
        <v/>
      </c>
      <c r="D710">
        <f>IF($A710="","",SUMIF($B$2:$B710,$B710,$C$2:$C710))</f>
        <v/>
      </c>
      <c r="E710">
        <f>IF($A710="",0,IF('TMP Paste'!$B710="",0,1))</f>
        <v/>
      </c>
      <c r="F710">
        <f>IF(OR($A710="",$C710&lt;1),"",$A710&amp;"-"&amp;TEXT(($D710-$C710+1),"00")&amp;IF($C710&gt;=2,", "&amp;$A710&amp;"-"&amp;TEXT(($D710-$C710+1)+1,"00"),"")&amp;IF($C710&gt;=3,", "&amp;$A710&amp;"-"&amp;TEXT(($D710-$C710+1)+2,"00"),"")&amp;IF($C710&gt;=4,", "&amp;$A710&amp;"-"&amp;TEXT(($D710-$C710+1)+3,"00"),"")&amp;IF($C710&gt;=5,", "&amp;$A710&amp;"-"&amp;TEXT(($D710-$C710+1)+4,"00"),"")&amp;IF($C710&gt;=6,", "&amp;$A710&amp;"-"&amp;TEXT(($D710-$C710+1)+5,"00"),"")&amp;IF($C710&gt;=7,", "&amp;$A710&amp;"-"&amp;TEXT(($D710-$C710+1)+6,"00"),"")&amp;IF($C710&gt;=8,", "&amp;$A710&amp;"-"&amp;TEXT(($D710-$C710+1)+7,"00"),"")&amp;IF($C710&gt;=9,", "&amp;$A710&amp;"-"&amp;TEXT(($D710-$C710+1)+8,"00"),"")&amp;IF($C710&gt;=10,", "&amp;$A710&amp;"-"&amp;TEXT(($D710-$C710+1)+9,"00"),"")&amp;IF($C710&gt;=11,", "&amp;$A710&amp;"-"&amp;TEXT(($D710-$C710+1)+10,"00"),"")&amp;IF($C710&gt;=12,", "&amp;$A710&amp;"-"&amp;TEXT(($D710-$C710+1)+11,"00"),"")&amp;IF($C710&gt;=13,", "&amp;$A710&amp;"-"&amp;TEXT(($D710-$C710+1)+12,"00"),"")&amp;IF($C710&gt;=14,", "&amp;$A710&amp;"-"&amp;TEXT(($D710-$C710+1)+13,"00"),"")&amp;IF($C710&gt;=15,", "&amp;$A710&amp;"-"&amp;TEXT(($D710-$C710+1)+14,"00"),"")&amp;IF($C710&gt;=16,", "&amp;$A710&amp;"-"&amp;TEXT(($D710-$C710+1)+15,"00"),"")&amp;IF($C710&gt;=17,", "&amp;$A710&amp;"-"&amp;TEXT(($D710-$C710+1)+16,"00"),"")&amp;IF($C710&gt;=18,", "&amp;$A710&amp;"-"&amp;TEXT(($D710-$C710+1)+17,"00"),"")&amp;IF($C710&gt;=19,", "&amp;$A710&amp;"-"&amp;TEXT(($D710-$C710+1)+18,"00"),"")&amp;IF($C710&gt;=20,", "&amp;$A710&amp;"-"&amp;TEXT(($D710-$C710+1)+19,"00"),"")&amp;IF($C710&gt;=21,", "&amp;$A710&amp;"-"&amp;TEXT(($D710-$C710+1)+20,"00"),"")&amp;IF($C710&gt;=22,", "&amp;$A710&amp;"-"&amp;TEXT(($D710-$C710+1)+21,"00"),"")&amp;IF($C710&gt;=23,", "&amp;$A710&amp;"-"&amp;TEXT(($D710-$C710+1)+22,"00"),"")&amp;IF($C710&gt;=24,", "&amp;$A710&amp;"-"&amp;TEXT(($D710-$C710+1)+23,"00"),"")&amp;IF($C710&gt;=25,", "&amp;$A710&amp;"-"&amp;TEXT(($D710-$C710+1)+24,"00"),""))</f>
        <v/>
      </c>
      <c r="G710">
        <f>IF($A710="","",IF($E710=1,$F710,IF($F710="",$G709,IF($G709="",$F710,$G709&amp;", "&amp;$F710))))</f>
        <v/>
      </c>
      <c r="H710">
        <f>IF($A710="","",$A710&amp;" ("&amp;$C710&amp;")")</f>
        <v/>
      </c>
      <c r="I710">
        <f>IF($A710="","",IF($E710=1,$H710,$I709&amp;", "&amp;$H710))</f>
        <v/>
      </c>
      <c r="J710">
        <f>IF($A710="","",IF($E710=1,$B710,""))</f>
        <v/>
      </c>
      <c r="K710">
        <f>IF($A710="","",IF(COUNTIF($B$2:$B710,$B710)=COUNTIF($B$2:$B$1601,$B710),$B710,""))</f>
        <v/>
      </c>
    </row>
    <row r="711">
      <c r="A711">
        <f>IF('TMP Paste'!$E711="","",'TMP Paste'!$E711)</f>
        <v/>
      </c>
      <c r="B711">
        <f>IF($A711="","",COUNTIF('TMP Paste'!$B$2:$B711,"?*"))</f>
        <v/>
      </c>
      <c r="C711">
        <f>IF($A711="","",IFERROR('TMP Paste'!$M711*1,0))</f>
        <v/>
      </c>
      <c r="D711">
        <f>IF($A711="","",SUMIF($B$2:$B711,$B711,$C$2:$C711))</f>
        <v/>
      </c>
      <c r="E711">
        <f>IF($A711="",0,IF('TMP Paste'!$B711="",0,1))</f>
        <v/>
      </c>
      <c r="F711">
        <f>IF(OR($A711="",$C711&lt;1),"",$A711&amp;"-"&amp;TEXT(($D711-$C711+1),"00")&amp;IF($C711&gt;=2,", "&amp;$A711&amp;"-"&amp;TEXT(($D711-$C711+1)+1,"00"),"")&amp;IF($C711&gt;=3,", "&amp;$A711&amp;"-"&amp;TEXT(($D711-$C711+1)+2,"00"),"")&amp;IF($C711&gt;=4,", "&amp;$A711&amp;"-"&amp;TEXT(($D711-$C711+1)+3,"00"),"")&amp;IF($C711&gt;=5,", "&amp;$A711&amp;"-"&amp;TEXT(($D711-$C711+1)+4,"00"),"")&amp;IF($C711&gt;=6,", "&amp;$A711&amp;"-"&amp;TEXT(($D711-$C711+1)+5,"00"),"")&amp;IF($C711&gt;=7,", "&amp;$A711&amp;"-"&amp;TEXT(($D711-$C711+1)+6,"00"),"")&amp;IF($C711&gt;=8,", "&amp;$A711&amp;"-"&amp;TEXT(($D711-$C711+1)+7,"00"),"")&amp;IF($C711&gt;=9,", "&amp;$A711&amp;"-"&amp;TEXT(($D711-$C711+1)+8,"00"),"")&amp;IF($C711&gt;=10,", "&amp;$A711&amp;"-"&amp;TEXT(($D711-$C711+1)+9,"00"),"")&amp;IF($C711&gt;=11,", "&amp;$A711&amp;"-"&amp;TEXT(($D711-$C711+1)+10,"00"),"")&amp;IF($C711&gt;=12,", "&amp;$A711&amp;"-"&amp;TEXT(($D711-$C711+1)+11,"00"),"")&amp;IF($C711&gt;=13,", "&amp;$A711&amp;"-"&amp;TEXT(($D711-$C711+1)+12,"00"),"")&amp;IF($C711&gt;=14,", "&amp;$A711&amp;"-"&amp;TEXT(($D711-$C711+1)+13,"00"),"")&amp;IF($C711&gt;=15,", "&amp;$A711&amp;"-"&amp;TEXT(($D711-$C711+1)+14,"00"),"")&amp;IF($C711&gt;=16,", "&amp;$A711&amp;"-"&amp;TEXT(($D711-$C711+1)+15,"00"),"")&amp;IF($C711&gt;=17,", "&amp;$A711&amp;"-"&amp;TEXT(($D711-$C711+1)+16,"00"),"")&amp;IF($C711&gt;=18,", "&amp;$A711&amp;"-"&amp;TEXT(($D711-$C711+1)+17,"00"),"")&amp;IF($C711&gt;=19,", "&amp;$A711&amp;"-"&amp;TEXT(($D711-$C711+1)+18,"00"),"")&amp;IF($C711&gt;=20,", "&amp;$A711&amp;"-"&amp;TEXT(($D711-$C711+1)+19,"00"),"")&amp;IF($C711&gt;=21,", "&amp;$A711&amp;"-"&amp;TEXT(($D711-$C711+1)+20,"00"),"")&amp;IF($C711&gt;=22,", "&amp;$A711&amp;"-"&amp;TEXT(($D711-$C711+1)+21,"00"),"")&amp;IF($C711&gt;=23,", "&amp;$A711&amp;"-"&amp;TEXT(($D711-$C711+1)+22,"00"),"")&amp;IF($C711&gt;=24,", "&amp;$A711&amp;"-"&amp;TEXT(($D711-$C711+1)+23,"00"),"")&amp;IF($C711&gt;=25,", "&amp;$A711&amp;"-"&amp;TEXT(($D711-$C711+1)+24,"00"),""))</f>
        <v/>
      </c>
      <c r="G711">
        <f>IF($A711="","",IF($E711=1,$F711,IF($F711="",$G710,IF($G710="",$F711,$G710&amp;", "&amp;$F711))))</f>
        <v/>
      </c>
      <c r="H711">
        <f>IF($A711="","",$A711&amp;" ("&amp;$C711&amp;")")</f>
        <v/>
      </c>
      <c r="I711">
        <f>IF($A711="","",IF($E711=1,$H711,$I710&amp;", "&amp;$H711))</f>
        <v/>
      </c>
      <c r="J711">
        <f>IF($A711="","",IF($E711=1,$B711,""))</f>
        <v/>
      </c>
      <c r="K711">
        <f>IF($A711="","",IF(COUNTIF($B$2:$B711,$B711)=COUNTIF($B$2:$B$1601,$B711),$B711,""))</f>
        <v/>
      </c>
    </row>
    <row r="712">
      <c r="A712">
        <f>IF('TMP Paste'!$E712="","",'TMP Paste'!$E712)</f>
        <v/>
      </c>
      <c r="B712">
        <f>IF($A712="","",COUNTIF('TMP Paste'!$B$2:$B712,"?*"))</f>
        <v/>
      </c>
      <c r="C712">
        <f>IF($A712="","",IFERROR('TMP Paste'!$M712*1,0))</f>
        <v/>
      </c>
      <c r="D712">
        <f>IF($A712="","",SUMIF($B$2:$B712,$B712,$C$2:$C712))</f>
        <v/>
      </c>
      <c r="E712">
        <f>IF($A712="",0,IF('TMP Paste'!$B712="",0,1))</f>
        <v/>
      </c>
      <c r="F712">
        <f>IF(OR($A712="",$C712&lt;1),"",$A712&amp;"-"&amp;TEXT(($D712-$C712+1),"00")&amp;IF($C712&gt;=2,", "&amp;$A712&amp;"-"&amp;TEXT(($D712-$C712+1)+1,"00"),"")&amp;IF($C712&gt;=3,", "&amp;$A712&amp;"-"&amp;TEXT(($D712-$C712+1)+2,"00"),"")&amp;IF($C712&gt;=4,", "&amp;$A712&amp;"-"&amp;TEXT(($D712-$C712+1)+3,"00"),"")&amp;IF($C712&gt;=5,", "&amp;$A712&amp;"-"&amp;TEXT(($D712-$C712+1)+4,"00"),"")&amp;IF($C712&gt;=6,", "&amp;$A712&amp;"-"&amp;TEXT(($D712-$C712+1)+5,"00"),"")&amp;IF($C712&gt;=7,", "&amp;$A712&amp;"-"&amp;TEXT(($D712-$C712+1)+6,"00"),"")&amp;IF($C712&gt;=8,", "&amp;$A712&amp;"-"&amp;TEXT(($D712-$C712+1)+7,"00"),"")&amp;IF($C712&gt;=9,", "&amp;$A712&amp;"-"&amp;TEXT(($D712-$C712+1)+8,"00"),"")&amp;IF($C712&gt;=10,", "&amp;$A712&amp;"-"&amp;TEXT(($D712-$C712+1)+9,"00"),"")&amp;IF($C712&gt;=11,", "&amp;$A712&amp;"-"&amp;TEXT(($D712-$C712+1)+10,"00"),"")&amp;IF($C712&gt;=12,", "&amp;$A712&amp;"-"&amp;TEXT(($D712-$C712+1)+11,"00"),"")&amp;IF($C712&gt;=13,", "&amp;$A712&amp;"-"&amp;TEXT(($D712-$C712+1)+12,"00"),"")&amp;IF($C712&gt;=14,", "&amp;$A712&amp;"-"&amp;TEXT(($D712-$C712+1)+13,"00"),"")&amp;IF($C712&gt;=15,", "&amp;$A712&amp;"-"&amp;TEXT(($D712-$C712+1)+14,"00"),"")&amp;IF($C712&gt;=16,", "&amp;$A712&amp;"-"&amp;TEXT(($D712-$C712+1)+15,"00"),"")&amp;IF($C712&gt;=17,", "&amp;$A712&amp;"-"&amp;TEXT(($D712-$C712+1)+16,"00"),"")&amp;IF($C712&gt;=18,", "&amp;$A712&amp;"-"&amp;TEXT(($D712-$C712+1)+17,"00"),"")&amp;IF($C712&gt;=19,", "&amp;$A712&amp;"-"&amp;TEXT(($D712-$C712+1)+18,"00"),"")&amp;IF($C712&gt;=20,", "&amp;$A712&amp;"-"&amp;TEXT(($D712-$C712+1)+19,"00"),"")&amp;IF($C712&gt;=21,", "&amp;$A712&amp;"-"&amp;TEXT(($D712-$C712+1)+20,"00"),"")&amp;IF($C712&gt;=22,", "&amp;$A712&amp;"-"&amp;TEXT(($D712-$C712+1)+21,"00"),"")&amp;IF($C712&gt;=23,", "&amp;$A712&amp;"-"&amp;TEXT(($D712-$C712+1)+22,"00"),"")&amp;IF($C712&gt;=24,", "&amp;$A712&amp;"-"&amp;TEXT(($D712-$C712+1)+23,"00"),"")&amp;IF($C712&gt;=25,", "&amp;$A712&amp;"-"&amp;TEXT(($D712-$C712+1)+24,"00"),""))</f>
        <v/>
      </c>
      <c r="G712">
        <f>IF($A712="","",IF($E712=1,$F712,IF($F712="",$G711,IF($G711="",$F712,$G711&amp;", "&amp;$F712))))</f>
        <v/>
      </c>
      <c r="H712">
        <f>IF($A712="","",$A712&amp;" ("&amp;$C712&amp;")")</f>
        <v/>
      </c>
      <c r="I712">
        <f>IF($A712="","",IF($E712=1,$H712,$I711&amp;", "&amp;$H712))</f>
        <v/>
      </c>
      <c r="J712">
        <f>IF($A712="","",IF($E712=1,$B712,""))</f>
        <v/>
      </c>
      <c r="K712">
        <f>IF($A712="","",IF(COUNTIF($B$2:$B712,$B712)=COUNTIF($B$2:$B$1601,$B712),$B712,""))</f>
        <v/>
      </c>
    </row>
    <row r="713">
      <c r="A713">
        <f>IF('TMP Paste'!$E713="","",'TMP Paste'!$E713)</f>
        <v/>
      </c>
      <c r="B713">
        <f>IF($A713="","",COUNTIF('TMP Paste'!$B$2:$B713,"?*"))</f>
        <v/>
      </c>
      <c r="C713">
        <f>IF($A713="","",IFERROR('TMP Paste'!$M713*1,0))</f>
        <v/>
      </c>
      <c r="D713">
        <f>IF($A713="","",SUMIF($B$2:$B713,$B713,$C$2:$C713))</f>
        <v/>
      </c>
      <c r="E713">
        <f>IF($A713="",0,IF('TMP Paste'!$B713="",0,1))</f>
        <v/>
      </c>
      <c r="F713">
        <f>IF(OR($A713="",$C713&lt;1),"",$A713&amp;"-"&amp;TEXT(($D713-$C713+1),"00")&amp;IF($C713&gt;=2,", "&amp;$A713&amp;"-"&amp;TEXT(($D713-$C713+1)+1,"00"),"")&amp;IF($C713&gt;=3,", "&amp;$A713&amp;"-"&amp;TEXT(($D713-$C713+1)+2,"00"),"")&amp;IF($C713&gt;=4,", "&amp;$A713&amp;"-"&amp;TEXT(($D713-$C713+1)+3,"00"),"")&amp;IF($C713&gt;=5,", "&amp;$A713&amp;"-"&amp;TEXT(($D713-$C713+1)+4,"00"),"")&amp;IF($C713&gt;=6,", "&amp;$A713&amp;"-"&amp;TEXT(($D713-$C713+1)+5,"00"),"")&amp;IF($C713&gt;=7,", "&amp;$A713&amp;"-"&amp;TEXT(($D713-$C713+1)+6,"00"),"")&amp;IF($C713&gt;=8,", "&amp;$A713&amp;"-"&amp;TEXT(($D713-$C713+1)+7,"00"),"")&amp;IF($C713&gt;=9,", "&amp;$A713&amp;"-"&amp;TEXT(($D713-$C713+1)+8,"00"),"")&amp;IF($C713&gt;=10,", "&amp;$A713&amp;"-"&amp;TEXT(($D713-$C713+1)+9,"00"),"")&amp;IF($C713&gt;=11,", "&amp;$A713&amp;"-"&amp;TEXT(($D713-$C713+1)+10,"00"),"")&amp;IF($C713&gt;=12,", "&amp;$A713&amp;"-"&amp;TEXT(($D713-$C713+1)+11,"00"),"")&amp;IF($C713&gt;=13,", "&amp;$A713&amp;"-"&amp;TEXT(($D713-$C713+1)+12,"00"),"")&amp;IF($C713&gt;=14,", "&amp;$A713&amp;"-"&amp;TEXT(($D713-$C713+1)+13,"00"),"")&amp;IF($C713&gt;=15,", "&amp;$A713&amp;"-"&amp;TEXT(($D713-$C713+1)+14,"00"),"")&amp;IF($C713&gt;=16,", "&amp;$A713&amp;"-"&amp;TEXT(($D713-$C713+1)+15,"00"),"")&amp;IF($C713&gt;=17,", "&amp;$A713&amp;"-"&amp;TEXT(($D713-$C713+1)+16,"00"),"")&amp;IF($C713&gt;=18,", "&amp;$A713&amp;"-"&amp;TEXT(($D713-$C713+1)+17,"00"),"")&amp;IF($C713&gt;=19,", "&amp;$A713&amp;"-"&amp;TEXT(($D713-$C713+1)+18,"00"),"")&amp;IF($C713&gt;=20,", "&amp;$A713&amp;"-"&amp;TEXT(($D713-$C713+1)+19,"00"),"")&amp;IF($C713&gt;=21,", "&amp;$A713&amp;"-"&amp;TEXT(($D713-$C713+1)+20,"00"),"")&amp;IF($C713&gt;=22,", "&amp;$A713&amp;"-"&amp;TEXT(($D713-$C713+1)+21,"00"),"")&amp;IF($C713&gt;=23,", "&amp;$A713&amp;"-"&amp;TEXT(($D713-$C713+1)+22,"00"),"")&amp;IF($C713&gt;=24,", "&amp;$A713&amp;"-"&amp;TEXT(($D713-$C713+1)+23,"00"),"")&amp;IF($C713&gt;=25,", "&amp;$A713&amp;"-"&amp;TEXT(($D713-$C713+1)+24,"00"),""))</f>
        <v/>
      </c>
      <c r="G713">
        <f>IF($A713="","",IF($E713=1,$F713,IF($F713="",$G712,IF($G712="",$F713,$G712&amp;", "&amp;$F713))))</f>
        <v/>
      </c>
      <c r="H713">
        <f>IF($A713="","",$A713&amp;" ("&amp;$C713&amp;")")</f>
        <v/>
      </c>
      <c r="I713">
        <f>IF($A713="","",IF($E713=1,$H713,$I712&amp;", "&amp;$H713))</f>
        <v/>
      </c>
      <c r="J713">
        <f>IF($A713="","",IF($E713=1,$B713,""))</f>
        <v/>
      </c>
      <c r="K713">
        <f>IF($A713="","",IF(COUNTIF($B$2:$B713,$B713)=COUNTIF($B$2:$B$1601,$B713),$B713,""))</f>
        <v/>
      </c>
    </row>
    <row r="714">
      <c r="A714">
        <f>IF('TMP Paste'!$E714="","",'TMP Paste'!$E714)</f>
        <v/>
      </c>
      <c r="B714">
        <f>IF($A714="","",COUNTIF('TMP Paste'!$B$2:$B714,"?*"))</f>
        <v/>
      </c>
      <c r="C714">
        <f>IF($A714="","",IFERROR('TMP Paste'!$M714*1,0))</f>
        <v/>
      </c>
      <c r="D714">
        <f>IF($A714="","",SUMIF($B$2:$B714,$B714,$C$2:$C714))</f>
        <v/>
      </c>
      <c r="E714">
        <f>IF($A714="",0,IF('TMP Paste'!$B714="",0,1))</f>
        <v/>
      </c>
      <c r="F714">
        <f>IF(OR($A714="",$C714&lt;1),"",$A714&amp;"-"&amp;TEXT(($D714-$C714+1),"00")&amp;IF($C714&gt;=2,", "&amp;$A714&amp;"-"&amp;TEXT(($D714-$C714+1)+1,"00"),"")&amp;IF($C714&gt;=3,", "&amp;$A714&amp;"-"&amp;TEXT(($D714-$C714+1)+2,"00"),"")&amp;IF($C714&gt;=4,", "&amp;$A714&amp;"-"&amp;TEXT(($D714-$C714+1)+3,"00"),"")&amp;IF($C714&gt;=5,", "&amp;$A714&amp;"-"&amp;TEXT(($D714-$C714+1)+4,"00"),"")&amp;IF($C714&gt;=6,", "&amp;$A714&amp;"-"&amp;TEXT(($D714-$C714+1)+5,"00"),"")&amp;IF($C714&gt;=7,", "&amp;$A714&amp;"-"&amp;TEXT(($D714-$C714+1)+6,"00"),"")&amp;IF($C714&gt;=8,", "&amp;$A714&amp;"-"&amp;TEXT(($D714-$C714+1)+7,"00"),"")&amp;IF($C714&gt;=9,", "&amp;$A714&amp;"-"&amp;TEXT(($D714-$C714+1)+8,"00"),"")&amp;IF($C714&gt;=10,", "&amp;$A714&amp;"-"&amp;TEXT(($D714-$C714+1)+9,"00"),"")&amp;IF($C714&gt;=11,", "&amp;$A714&amp;"-"&amp;TEXT(($D714-$C714+1)+10,"00"),"")&amp;IF($C714&gt;=12,", "&amp;$A714&amp;"-"&amp;TEXT(($D714-$C714+1)+11,"00"),"")&amp;IF($C714&gt;=13,", "&amp;$A714&amp;"-"&amp;TEXT(($D714-$C714+1)+12,"00"),"")&amp;IF($C714&gt;=14,", "&amp;$A714&amp;"-"&amp;TEXT(($D714-$C714+1)+13,"00"),"")&amp;IF($C714&gt;=15,", "&amp;$A714&amp;"-"&amp;TEXT(($D714-$C714+1)+14,"00"),"")&amp;IF($C714&gt;=16,", "&amp;$A714&amp;"-"&amp;TEXT(($D714-$C714+1)+15,"00"),"")&amp;IF($C714&gt;=17,", "&amp;$A714&amp;"-"&amp;TEXT(($D714-$C714+1)+16,"00"),"")&amp;IF($C714&gt;=18,", "&amp;$A714&amp;"-"&amp;TEXT(($D714-$C714+1)+17,"00"),"")&amp;IF($C714&gt;=19,", "&amp;$A714&amp;"-"&amp;TEXT(($D714-$C714+1)+18,"00"),"")&amp;IF($C714&gt;=20,", "&amp;$A714&amp;"-"&amp;TEXT(($D714-$C714+1)+19,"00"),"")&amp;IF($C714&gt;=21,", "&amp;$A714&amp;"-"&amp;TEXT(($D714-$C714+1)+20,"00"),"")&amp;IF($C714&gt;=22,", "&amp;$A714&amp;"-"&amp;TEXT(($D714-$C714+1)+21,"00"),"")&amp;IF($C714&gt;=23,", "&amp;$A714&amp;"-"&amp;TEXT(($D714-$C714+1)+22,"00"),"")&amp;IF($C714&gt;=24,", "&amp;$A714&amp;"-"&amp;TEXT(($D714-$C714+1)+23,"00"),"")&amp;IF($C714&gt;=25,", "&amp;$A714&amp;"-"&amp;TEXT(($D714-$C714+1)+24,"00"),""))</f>
        <v/>
      </c>
      <c r="G714">
        <f>IF($A714="","",IF($E714=1,$F714,IF($F714="",$G713,IF($G713="",$F714,$G713&amp;", "&amp;$F714))))</f>
        <v/>
      </c>
      <c r="H714">
        <f>IF($A714="","",$A714&amp;" ("&amp;$C714&amp;")")</f>
        <v/>
      </c>
      <c r="I714">
        <f>IF($A714="","",IF($E714=1,$H714,$I713&amp;", "&amp;$H714))</f>
        <v/>
      </c>
      <c r="J714">
        <f>IF($A714="","",IF($E714=1,$B714,""))</f>
        <v/>
      </c>
      <c r="K714">
        <f>IF($A714="","",IF(COUNTIF($B$2:$B714,$B714)=COUNTIF($B$2:$B$1601,$B714),$B714,""))</f>
        <v/>
      </c>
    </row>
    <row r="715">
      <c r="A715">
        <f>IF('TMP Paste'!$E715="","",'TMP Paste'!$E715)</f>
        <v/>
      </c>
      <c r="B715">
        <f>IF($A715="","",COUNTIF('TMP Paste'!$B$2:$B715,"?*"))</f>
        <v/>
      </c>
      <c r="C715">
        <f>IF($A715="","",IFERROR('TMP Paste'!$M715*1,0))</f>
        <v/>
      </c>
      <c r="D715">
        <f>IF($A715="","",SUMIF($B$2:$B715,$B715,$C$2:$C715))</f>
        <v/>
      </c>
      <c r="E715">
        <f>IF($A715="",0,IF('TMP Paste'!$B715="",0,1))</f>
        <v/>
      </c>
      <c r="F715">
        <f>IF(OR($A715="",$C715&lt;1),"",$A715&amp;"-"&amp;TEXT(($D715-$C715+1),"00")&amp;IF($C715&gt;=2,", "&amp;$A715&amp;"-"&amp;TEXT(($D715-$C715+1)+1,"00"),"")&amp;IF($C715&gt;=3,", "&amp;$A715&amp;"-"&amp;TEXT(($D715-$C715+1)+2,"00"),"")&amp;IF($C715&gt;=4,", "&amp;$A715&amp;"-"&amp;TEXT(($D715-$C715+1)+3,"00"),"")&amp;IF($C715&gt;=5,", "&amp;$A715&amp;"-"&amp;TEXT(($D715-$C715+1)+4,"00"),"")&amp;IF($C715&gt;=6,", "&amp;$A715&amp;"-"&amp;TEXT(($D715-$C715+1)+5,"00"),"")&amp;IF($C715&gt;=7,", "&amp;$A715&amp;"-"&amp;TEXT(($D715-$C715+1)+6,"00"),"")&amp;IF($C715&gt;=8,", "&amp;$A715&amp;"-"&amp;TEXT(($D715-$C715+1)+7,"00"),"")&amp;IF($C715&gt;=9,", "&amp;$A715&amp;"-"&amp;TEXT(($D715-$C715+1)+8,"00"),"")&amp;IF($C715&gt;=10,", "&amp;$A715&amp;"-"&amp;TEXT(($D715-$C715+1)+9,"00"),"")&amp;IF($C715&gt;=11,", "&amp;$A715&amp;"-"&amp;TEXT(($D715-$C715+1)+10,"00"),"")&amp;IF($C715&gt;=12,", "&amp;$A715&amp;"-"&amp;TEXT(($D715-$C715+1)+11,"00"),"")&amp;IF($C715&gt;=13,", "&amp;$A715&amp;"-"&amp;TEXT(($D715-$C715+1)+12,"00"),"")&amp;IF($C715&gt;=14,", "&amp;$A715&amp;"-"&amp;TEXT(($D715-$C715+1)+13,"00"),"")&amp;IF($C715&gt;=15,", "&amp;$A715&amp;"-"&amp;TEXT(($D715-$C715+1)+14,"00"),"")&amp;IF($C715&gt;=16,", "&amp;$A715&amp;"-"&amp;TEXT(($D715-$C715+1)+15,"00"),"")&amp;IF($C715&gt;=17,", "&amp;$A715&amp;"-"&amp;TEXT(($D715-$C715+1)+16,"00"),"")&amp;IF($C715&gt;=18,", "&amp;$A715&amp;"-"&amp;TEXT(($D715-$C715+1)+17,"00"),"")&amp;IF($C715&gt;=19,", "&amp;$A715&amp;"-"&amp;TEXT(($D715-$C715+1)+18,"00"),"")&amp;IF($C715&gt;=20,", "&amp;$A715&amp;"-"&amp;TEXT(($D715-$C715+1)+19,"00"),"")&amp;IF($C715&gt;=21,", "&amp;$A715&amp;"-"&amp;TEXT(($D715-$C715+1)+20,"00"),"")&amp;IF($C715&gt;=22,", "&amp;$A715&amp;"-"&amp;TEXT(($D715-$C715+1)+21,"00"),"")&amp;IF($C715&gt;=23,", "&amp;$A715&amp;"-"&amp;TEXT(($D715-$C715+1)+22,"00"),"")&amp;IF($C715&gt;=24,", "&amp;$A715&amp;"-"&amp;TEXT(($D715-$C715+1)+23,"00"),"")&amp;IF($C715&gt;=25,", "&amp;$A715&amp;"-"&amp;TEXT(($D715-$C715+1)+24,"00"),""))</f>
        <v/>
      </c>
      <c r="G715">
        <f>IF($A715="","",IF($E715=1,$F715,IF($F715="",$G714,IF($G714="",$F715,$G714&amp;", "&amp;$F715))))</f>
        <v/>
      </c>
      <c r="H715">
        <f>IF($A715="","",$A715&amp;" ("&amp;$C715&amp;")")</f>
        <v/>
      </c>
      <c r="I715">
        <f>IF($A715="","",IF($E715=1,$H715,$I714&amp;", "&amp;$H715))</f>
        <v/>
      </c>
      <c r="J715">
        <f>IF($A715="","",IF($E715=1,$B715,""))</f>
        <v/>
      </c>
      <c r="K715">
        <f>IF($A715="","",IF(COUNTIF($B$2:$B715,$B715)=COUNTIF($B$2:$B$1601,$B715),$B715,""))</f>
        <v/>
      </c>
    </row>
    <row r="716">
      <c r="A716">
        <f>IF('TMP Paste'!$E716="","",'TMP Paste'!$E716)</f>
        <v/>
      </c>
      <c r="B716">
        <f>IF($A716="","",COUNTIF('TMP Paste'!$B$2:$B716,"?*"))</f>
        <v/>
      </c>
      <c r="C716">
        <f>IF($A716="","",IFERROR('TMP Paste'!$M716*1,0))</f>
        <v/>
      </c>
      <c r="D716">
        <f>IF($A716="","",SUMIF($B$2:$B716,$B716,$C$2:$C716))</f>
        <v/>
      </c>
      <c r="E716">
        <f>IF($A716="",0,IF('TMP Paste'!$B716="",0,1))</f>
        <v/>
      </c>
      <c r="F716">
        <f>IF(OR($A716="",$C716&lt;1),"",$A716&amp;"-"&amp;TEXT(($D716-$C716+1),"00")&amp;IF($C716&gt;=2,", "&amp;$A716&amp;"-"&amp;TEXT(($D716-$C716+1)+1,"00"),"")&amp;IF($C716&gt;=3,", "&amp;$A716&amp;"-"&amp;TEXT(($D716-$C716+1)+2,"00"),"")&amp;IF($C716&gt;=4,", "&amp;$A716&amp;"-"&amp;TEXT(($D716-$C716+1)+3,"00"),"")&amp;IF($C716&gt;=5,", "&amp;$A716&amp;"-"&amp;TEXT(($D716-$C716+1)+4,"00"),"")&amp;IF($C716&gt;=6,", "&amp;$A716&amp;"-"&amp;TEXT(($D716-$C716+1)+5,"00"),"")&amp;IF($C716&gt;=7,", "&amp;$A716&amp;"-"&amp;TEXT(($D716-$C716+1)+6,"00"),"")&amp;IF($C716&gt;=8,", "&amp;$A716&amp;"-"&amp;TEXT(($D716-$C716+1)+7,"00"),"")&amp;IF($C716&gt;=9,", "&amp;$A716&amp;"-"&amp;TEXT(($D716-$C716+1)+8,"00"),"")&amp;IF($C716&gt;=10,", "&amp;$A716&amp;"-"&amp;TEXT(($D716-$C716+1)+9,"00"),"")&amp;IF($C716&gt;=11,", "&amp;$A716&amp;"-"&amp;TEXT(($D716-$C716+1)+10,"00"),"")&amp;IF($C716&gt;=12,", "&amp;$A716&amp;"-"&amp;TEXT(($D716-$C716+1)+11,"00"),"")&amp;IF($C716&gt;=13,", "&amp;$A716&amp;"-"&amp;TEXT(($D716-$C716+1)+12,"00"),"")&amp;IF($C716&gt;=14,", "&amp;$A716&amp;"-"&amp;TEXT(($D716-$C716+1)+13,"00"),"")&amp;IF($C716&gt;=15,", "&amp;$A716&amp;"-"&amp;TEXT(($D716-$C716+1)+14,"00"),"")&amp;IF($C716&gt;=16,", "&amp;$A716&amp;"-"&amp;TEXT(($D716-$C716+1)+15,"00"),"")&amp;IF($C716&gt;=17,", "&amp;$A716&amp;"-"&amp;TEXT(($D716-$C716+1)+16,"00"),"")&amp;IF($C716&gt;=18,", "&amp;$A716&amp;"-"&amp;TEXT(($D716-$C716+1)+17,"00"),"")&amp;IF($C716&gt;=19,", "&amp;$A716&amp;"-"&amp;TEXT(($D716-$C716+1)+18,"00"),"")&amp;IF($C716&gt;=20,", "&amp;$A716&amp;"-"&amp;TEXT(($D716-$C716+1)+19,"00"),"")&amp;IF($C716&gt;=21,", "&amp;$A716&amp;"-"&amp;TEXT(($D716-$C716+1)+20,"00"),"")&amp;IF($C716&gt;=22,", "&amp;$A716&amp;"-"&amp;TEXT(($D716-$C716+1)+21,"00"),"")&amp;IF($C716&gt;=23,", "&amp;$A716&amp;"-"&amp;TEXT(($D716-$C716+1)+22,"00"),"")&amp;IF($C716&gt;=24,", "&amp;$A716&amp;"-"&amp;TEXT(($D716-$C716+1)+23,"00"),"")&amp;IF($C716&gt;=25,", "&amp;$A716&amp;"-"&amp;TEXT(($D716-$C716+1)+24,"00"),""))</f>
        <v/>
      </c>
      <c r="G716">
        <f>IF($A716="","",IF($E716=1,$F716,IF($F716="",$G715,IF($G715="",$F716,$G715&amp;", "&amp;$F716))))</f>
        <v/>
      </c>
      <c r="H716">
        <f>IF($A716="","",$A716&amp;" ("&amp;$C716&amp;")")</f>
        <v/>
      </c>
      <c r="I716">
        <f>IF($A716="","",IF($E716=1,$H716,$I715&amp;", "&amp;$H716))</f>
        <v/>
      </c>
      <c r="J716">
        <f>IF($A716="","",IF($E716=1,$B716,""))</f>
        <v/>
      </c>
      <c r="K716">
        <f>IF($A716="","",IF(COUNTIF($B$2:$B716,$B716)=COUNTIF($B$2:$B$1601,$B716),$B716,""))</f>
        <v/>
      </c>
    </row>
    <row r="717">
      <c r="A717">
        <f>IF('TMP Paste'!$E717="","",'TMP Paste'!$E717)</f>
        <v/>
      </c>
      <c r="B717">
        <f>IF($A717="","",COUNTIF('TMP Paste'!$B$2:$B717,"?*"))</f>
        <v/>
      </c>
      <c r="C717">
        <f>IF($A717="","",IFERROR('TMP Paste'!$M717*1,0))</f>
        <v/>
      </c>
      <c r="D717">
        <f>IF($A717="","",SUMIF($B$2:$B717,$B717,$C$2:$C717))</f>
        <v/>
      </c>
      <c r="E717">
        <f>IF($A717="",0,IF('TMP Paste'!$B717="",0,1))</f>
        <v/>
      </c>
      <c r="F717">
        <f>IF(OR($A717="",$C717&lt;1),"",$A717&amp;"-"&amp;TEXT(($D717-$C717+1),"00")&amp;IF($C717&gt;=2,", "&amp;$A717&amp;"-"&amp;TEXT(($D717-$C717+1)+1,"00"),"")&amp;IF($C717&gt;=3,", "&amp;$A717&amp;"-"&amp;TEXT(($D717-$C717+1)+2,"00"),"")&amp;IF($C717&gt;=4,", "&amp;$A717&amp;"-"&amp;TEXT(($D717-$C717+1)+3,"00"),"")&amp;IF($C717&gt;=5,", "&amp;$A717&amp;"-"&amp;TEXT(($D717-$C717+1)+4,"00"),"")&amp;IF($C717&gt;=6,", "&amp;$A717&amp;"-"&amp;TEXT(($D717-$C717+1)+5,"00"),"")&amp;IF($C717&gt;=7,", "&amp;$A717&amp;"-"&amp;TEXT(($D717-$C717+1)+6,"00"),"")&amp;IF($C717&gt;=8,", "&amp;$A717&amp;"-"&amp;TEXT(($D717-$C717+1)+7,"00"),"")&amp;IF($C717&gt;=9,", "&amp;$A717&amp;"-"&amp;TEXT(($D717-$C717+1)+8,"00"),"")&amp;IF($C717&gt;=10,", "&amp;$A717&amp;"-"&amp;TEXT(($D717-$C717+1)+9,"00"),"")&amp;IF($C717&gt;=11,", "&amp;$A717&amp;"-"&amp;TEXT(($D717-$C717+1)+10,"00"),"")&amp;IF($C717&gt;=12,", "&amp;$A717&amp;"-"&amp;TEXT(($D717-$C717+1)+11,"00"),"")&amp;IF($C717&gt;=13,", "&amp;$A717&amp;"-"&amp;TEXT(($D717-$C717+1)+12,"00"),"")&amp;IF($C717&gt;=14,", "&amp;$A717&amp;"-"&amp;TEXT(($D717-$C717+1)+13,"00"),"")&amp;IF($C717&gt;=15,", "&amp;$A717&amp;"-"&amp;TEXT(($D717-$C717+1)+14,"00"),"")&amp;IF($C717&gt;=16,", "&amp;$A717&amp;"-"&amp;TEXT(($D717-$C717+1)+15,"00"),"")&amp;IF($C717&gt;=17,", "&amp;$A717&amp;"-"&amp;TEXT(($D717-$C717+1)+16,"00"),"")&amp;IF($C717&gt;=18,", "&amp;$A717&amp;"-"&amp;TEXT(($D717-$C717+1)+17,"00"),"")&amp;IF($C717&gt;=19,", "&amp;$A717&amp;"-"&amp;TEXT(($D717-$C717+1)+18,"00"),"")&amp;IF($C717&gt;=20,", "&amp;$A717&amp;"-"&amp;TEXT(($D717-$C717+1)+19,"00"),"")&amp;IF($C717&gt;=21,", "&amp;$A717&amp;"-"&amp;TEXT(($D717-$C717+1)+20,"00"),"")&amp;IF($C717&gt;=22,", "&amp;$A717&amp;"-"&amp;TEXT(($D717-$C717+1)+21,"00"),"")&amp;IF($C717&gt;=23,", "&amp;$A717&amp;"-"&amp;TEXT(($D717-$C717+1)+22,"00"),"")&amp;IF($C717&gt;=24,", "&amp;$A717&amp;"-"&amp;TEXT(($D717-$C717+1)+23,"00"),"")&amp;IF($C717&gt;=25,", "&amp;$A717&amp;"-"&amp;TEXT(($D717-$C717+1)+24,"00"),""))</f>
        <v/>
      </c>
      <c r="G717">
        <f>IF($A717="","",IF($E717=1,$F717,IF($F717="",$G716,IF($G716="",$F717,$G716&amp;", "&amp;$F717))))</f>
        <v/>
      </c>
      <c r="H717">
        <f>IF($A717="","",$A717&amp;" ("&amp;$C717&amp;")")</f>
        <v/>
      </c>
      <c r="I717">
        <f>IF($A717="","",IF($E717=1,$H717,$I716&amp;", "&amp;$H717))</f>
        <v/>
      </c>
      <c r="J717">
        <f>IF($A717="","",IF($E717=1,$B717,""))</f>
        <v/>
      </c>
      <c r="K717">
        <f>IF($A717="","",IF(COUNTIF($B$2:$B717,$B717)=COUNTIF($B$2:$B$1601,$B717),$B717,""))</f>
        <v/>
      </c>
    </row>
    <row r="718">
      <c r="A718">
        <f>IF('TMP Paste'!$E718="","",'TMP Paste'!$E718)</f>
        <v/>
      </c>
      <c r="B718">
        <f>IF($A718="","",COUNTIF('TMP Paste'!$B$2:$B718,"?*"))</f>
        <v/>
      </c>
      <c r="C718">
        <f>IF($A718="","",IFERROR('TMP Paste'!$M718*1,0))</f>
        <v/>
      </c>
      <c r="D718">
        <f>IF($A718="","",SUMIF($B$2:$B718,$B718,$C$2:$C718))</f>
        <v/>
      </c>
      <c r="E718">
        <f>IF($A718="",0,IF('TMP Paste'!$B718="",0,1))</f>
        <v/>
      </c>
      <c r="F718">
        <f>IF(OR($A718="",$C718&lt;1),"",$A718&amp;"-"&amp;TEXT(($D718-$C718+1),"00")&amp;IF($C718&gt;=2,", "&amp;$A718&amp;"-"&amp;TEXT(($D718-$C718+1)+1,"00"),"")&amp;IF($C718&gt;=3,", "&amp;$A718&amp;"-"&amp;TEXT(($D718-$C718+1)+2,"00"),"")&amp;IF($C718&gt;=4,", "&amp;$A718&amp;"-"&amp;TEXT(($D718-$C718+1)+3,"00"),"")&amp;IF($C718&gt;=5,", "&amp;$A718&amp;"-"&amp;TEXT(($D718-$C718+1)+4,"00"),"")&amp;IF($C718&gt;=6,", "&amp;$A718&amp;"-"&amp;TEXT(($D718-$C718+1)+5,"00"),"")&amp;IF($C718&gt;=7,", "&amp;$A718&amp;"-"&amp;TEXT(($D718-$C718+1)+6,"00"),"")&amp;IF($C718&gt;=8,", "&amp;$A718&amp;"-"&amp;TEXT(($D718-$C718+1)+7,"00"),"")&amp;IF($C718&gt;=9,", "&amp;$A718&amp;"-"&amp;TEXT(($D718-$C718+1)+8,"00"),"")&amp;IF($C718&gt;=10,", "&amp;$A718&amp;"-"&amp;TEXT(($D718-$C718+1)+9,"00"),"")&amp;IF($C718&gt;=11,", "&amp;$A718&amp;"-"&amp;TEXT(($D718-$C718+1)+10,"00"),"")&amp;IF($C718&gt;=12,", "&amp;$A718&amp;"-"&amp;TEXT(($D718-$C718+1)+11,"00"),"")&amp;IF($C718&gt;=13,", "&amp;$A718&amp;"-"&amp;TEXT(($D718-$C718+1)+12,"00"),"")&amp;IF($C718&gt;=14,", "&amp;$A718&amp;"-"&amp;TEXT(($D718-$C718+1)+13,"00"),"")&amp;IF($C718&gt;=15,", "&amp;$A718&amp;"-"&amp;TEXT(($D718-$C718+1)+14,"00"),"")&amp;IF($C718&gt;=16,", "&amp;$A718&amp;"-"&amp;TEXT(($D718-$C718+1)+15,"00"),"")&amp;IF($C718&gt;=17,", "&amp;$A718&amp;"-"&amp;TEXT(($D718-$C718+1)+16,"00"),"")&amp;IF($C718&gt;=18,", "&amp;$A718&amp;"-"&amp;TEXT(($D718-$C718+1)+17,"00"),"")&amp;IF($C718&gt;=19,", "&amp;$A718&amp;"-"&amp;TEXT(($D718-$C718+1)+18,"00"),"")&amp;IF($C718&gt;=20,", "&amp;$A718&amp;"-"&amp;TEXT(($D718-$C718+1)+19,"00"),"")&amp;IF($C718&gt;=21,", "&amp;$A718&amp;"-"&amp;TEXT(($D718-$C718+1)+20,"00"),"")&amp;IF($C718&gt;=22,", "&amp;$A718&amp;"-"&amp;TEXT(($D718-$C718+1)+21,"00"),"")&amp;IF($C718&gt;=23,", "&amp;$A718&amp;"-"&amp;TEXT(($D718-$C718+1)+22,"00"),"")&amp;IF($C718&gt;=24,", "&amp;$A718&amp;"-"&amp;TEXT(($D718-$C718+1)+23,"00"),"")&amp;IF($C718&gt;=25,", "&amp;$A718&amp;"-"&amp;TEXT(($D718-$C718+1)+24,"00"),""))</f>
        <v/>
      </c>
      <c r="G718">
        <f>IF($A718="","",IF($E718=1,$F718,IF($F718="",$G717,IF($G717="",$F718,$G717&amp;", "&amp;$F718))))</f>
        <v/>
      </c>
      <c r="H718">
        <f>IF($A718="","",$A718&amp;" ("&amp;$C718&amp;")")</f>
        <v/>
      </c>
      <c r="I718">
        <f>IF($A718="","",IF($E718=1,$H718,$I717&amp;", "&amp;$H718))</f>
        <v/>
      </c>
      <c r="J718">
        <f>IF($A718="","",IF($E718=1,$B718,""))</f>
        <v/>
      </c>
      <c r="K718">
        <f>IF($A718="","",IF(COUNTIF($B$2:$B718,$B718)=COUNTIF($B$2:$B$1601,$B718),$B718,""))</f>
        <v/>
      </c>
    </row>
    <row r="719">
      <c r="A719">
        <f>IF('TMP Paste'!$E719="","",'TMP Paste'!$E719)</f>
        <v/>
      </c>
      <c r="B719">
        <f>IF($A719="","",COUNTIF('TMP Paste'!$B$2:$B719,"?*"))</f>
        <v/>
      </c>
      <c r="C719">
        <f>IF($A719="","",IFERROR('TMP Paste'!$M719*1,0))</f>
        <v/>
      </c>
      <c r="D719">
        <f>IF($A719="","",SUMIF($B$2:$B719,$B719,$C$2:$C719))</f>
        <v/>
      </c>
      <c r="E719">
        <f>IF($A719="",0,IF('TMP Paste'!$B719="",0,1))</f>
        <v/>
      </c>
      <c r="F719">
        <f>IF(OR($A719="",$C719&lt;1),"",$A719&amp;"-"&amp;TEXT(($D719-$C719+1),"00")&amp;IF($C719&gt;=2,", "&amp;$A719&amp;"-"&amp;TEXT(($D719-$C719+1)+1,"00"),"")&amp;IF($C719&gt;=3,", "&amp;$A719&amp;"-"&amp;TEXT(($D719-$C719+1)+2,"00"),"")&amp;IF($C719&gt;=4,", "&amp;$A719&amp;"-"&amp;TEXT(($D719-$C719+1)+3,"00"),"")&amp;IF($C719&gt;=5,", "&amp;$A719&amp;"-"&amp;TEXT(($D719-$C719+1)+4,"00"),"")&amp;IF($C719&gt;=6,", "&amp;$A719&amp;"-"&amp;TEXT(($D719-$C719+1)+5,"00"),"")&amp;IF($C719&gt;=7,", "&amp;$A719&amp;"-"&amp;TEXT(($D719-$C719+1)+6,"00"),"")&amp;IF($C719&gt;=8,", "&amp;$A719&amp;"-"&amp;TEXT(($D719-$C719+1)+7,"00"),"")&amp;IF($C719&gt;=9,", "&amp;$A719&amp;"-"&amp;TEXT(($D719-$C719+1)+8,"00"),"")&amp;IF($C719&gt;=10,", "&amp;$A719&amp;"-"&amp;TEXT(($D719-$C719+1)+9,"00"),"")&amp;IF($C719&gt;=11,", "&amp;$A719&amp;"-"&amp;TEXT(($D719-$C719+1)+10,"00"),"")&amp;IF($C719&gt;=12,", "&amp;$A719&amp;"-"&amp;TEXT(($D719-$C719+1)+11,"00"),"")&amp;IF($C719&gt;=13,", "&amp;$A719&amp;"-"&amp;TEXT(($D719-$C719+1)+12,"00"),"")&amp;IF($C719&gt;=14,", "&amp;$A719&amp;"-"&amp;TEXT(($D719-$C719+1)+13,"00"),"")&amp;IF($C719&gt;=15,", "&amp;$A719&amp;"-"&amp;TEXT(($D719-$C719+1)+14,"00"),"")&amp;IF($C719&gt;=16,", "&amp;$A719&amp;"-"&amp;TEXT(($D719-$C719+1)+15,"00"),"")&amp;IF($C719&gt;=17,", "&amp;$A719&amp;"-"&amp;TEXT(($D719-$C719+1)+16,"00"),"")&amp;IF($C719&gt;=18,", "&amp;$A719&amp;"-"&amp;TEXT(($D719-$C719+1)+17,"00"),"")&amp;IF($C719&gt;=19,", "&amp;$A719&amp;"-"&amp;TEXT(($D719-$C719+1)+18,"00"),"")&amp;IF($C719&gt;=20,", "&amp;$A719&amp;"-"&amp;TEXT(($D719-$C719+1)+19,"00"),"")&amp;IF($C719&gt;=21,", "&amp;$A719&amp;"-"&amp;TEXT(($D719-$C719+1)+20,"00"),"")&amp;IF($C719&gt;=22,", "&amp;$A719&amp;"-"&amp;TEXT(($D719-$C719+1)+21,"00"),"")&amp;IF($C719&gt;=23,", "&amp;$A719&amp;"-"&amp;TEXT(($D719-$C719+1)+22,"00"),"")&amp;IF($C719&gt;=24,", "&amp;$A719&amp;"-"&amp;TEXT(($D719-$C719+1)+23,"00"),"")&amp;IF($C719&gt;=25,", "&amp;$A719&amp;"-"&amp;TEXT(($D719-$C719+1)+24,"00"),""))</f>
        <v/>
      </c>
      <c r="G719">
        <f>IF($A719="","",IF($E719=1,$F719,IF($F719="",$G718,IF($G718="",$F719,$G718&amp;", "&amp;$F719))))</f>
        <v/>
      </c>
      <c r="H719">
        <f>IF($A719="","",$A719&amp;" ("&amp;$C719&amp;")")</f>
        <v/>
      </c>
      <c r="I719">
        <f>IF($A719="","",IF($E719=1,$H719,$I718&amp;", "&amp;$H719))</f>
        <v/>
      </c>
      <c r="J719">
        <f>IF($A719="","",IF($E719=1,$B719,""))</f>
        <v/>
      </c>
      <c r="K719">
        <f>IF($A719="","",IF(COUNTIF($B$2:$B719,$B719)=COUNTIF($B$2:$B$1601,$B719),$B719,""))</f>
        <v/>
      </c>
    </row>
    <row r="720">
      <c r="A720">
        <f>IF('TMP Paste'!$E720="","",'TMP Paste'!$E720)</f>
        <v/>
      </c>
      <c r="B720">
        <f>IF($A720="","",COUNTIF('TMP Paste'!$B$2:$B720,"?*"))</f>
        <v/>
      </c>
      <c r="C720">
        <f>IF($A720="","",IFERROR('TMP Paste'!$M720*1,0))</f>
        <v/>
      </c>
      <c r="D720">
        <f>IF($A720="","",SUMIF($B$2:$B720,$B720,$C$2:$C720))</f>
        <v/>
      </c>
      <c r="E720">
        <f>IF($A720="",0,IF('TMP Paste'!$B720="",0,1))</f>
        <v/>
      </c>
      <c r="F720">
        <f>IF(OR($A720="",$C720&lt;1),"",$A720&amp;"-"&amp;TEXT(($D720-$C720+1),"00")&amp;IF($C720&gt;=2,", "&amp;$A720&amp;"-"&amp;TEXT(($D720-$C720+1)+1,"00"),"")&amp;IF($C720&gt;=3,", "&amp;$A720&amp;"-"&amp;TEXT(($D720-$C720+1)+2,"00"),"")&amp;IF($C720&gt;=4,", "&amp;$A720&amp;"-"&amp;TEXT(($D720-$C720+1)+3,"00"),"")&amp;IF($C720&gt;=5,", "&amp;$A720&amp;"-"&amp;TEXT(($D720-$C720+1)+4,"00"),"")&amp;IF($C720&gt;=6,", "&amp;$A720&amp;"-"&amp;TEXT(($D720-$C720+1)+5,"00"),"")&amp;IF($C720&gt;=7,", "&amp;$A720&amp;"-"&amp;TEXT(($D720-$C720+1)+6,"00"),"")&amp;IF($C720&gt;=8,", "&amp;$A720&amp;"-"&amp;TEXT(($D720-$C720+1)+7,"00"),"")&amp;IF($C720&gt;=9,", "&amp;$A720&amp;"-"&amp;TEXT(($D720-$C720+1)+8,"00"),"")&amp;IF($C720&gt;=10,", "&amp;$A720&amp;"-"&amp;TEXT(($D720-$C720+1)+9,"00"),"")&amp;IF($C720&gt;=11,", "&amp;$A720&amp;"-"&amp;TEXT(($D720-$C720+1)+10,"00"),"")&amp;IF($C720&gt;=12,", "&amp;$A720&amp;"-"&amp;TEXT(($D720-$C720+1)+11,"00"),"")&amp;IF($C720&gt;=13,", "&amp;$A720&amp;"-"&amp;TEXT(($D720-$C720+1)+12,"00"),"")&amp;IF($C720&gt;=14,", "&amp;$A720&amp;"-"&amp;TEXT(($D720-$C720+1)+13,"00"),"")&amp;IF($C720&gt;=15,", "&amp;$A720&amp;"-"&amp;TEXT(($D720-$C720+1)+14,"00"),"")&amp;IF($C720&gt;=16,", "&amp;$A720&amp;"-"&amp;TEXT(($D720-$C720+1)+15,"00"),"")&amp;IF($C720&gt;=17,", "&amp;$A720&amp;"-"&amp;TEXT(($D720-$C720+1)+16,"00"),"")&amp;IF($C720&gt;=18,", "&amp;$A720&amp;"-"&amp;TEXT(($D720-$C720+1)+17,"00"),"")&amp;IF($C720&gt;=19,", "&amp;$A720&amp;"-"&amp;TEXT(($D720-$C720+1)+18,"00"),"")&amp;IF($C720&gt;=20,", "&amp;$A720&amp;"-"&amp;TEXT(($D720-$C720+1)+19,"00"),"")&amp;IF($C720&gt;=21,", "&amp;$A720&amp;"-"&amp;TEXT(($D720-$C720+1)+20,"00"),"")&amp;IF($C720&gt;=22,", "&amp;$A720&amp;"-"&amp;TEXT(($D720-$C720+1)+21,"00"),"")&amp;IF($C720&gt;=23,", "&amp;$A720&amp;"-"&amp;TEXT(($D720-$C720+1)+22,"00"),"")&amp;IF($C720&gt;=24,", "&amp;$A720&amp;"-"&amp;TEXT(($D720-$C720+1)+23,"00"),"")&amp;IF($C720&gt;=25,", "&amp;$A720&amp;"-"&amp;TEXT(($D720-$C720+1)+24,"00"),""))</f>
        <v/>
      </c>
      <c r="G720">
        <f>IF($A720="","",IF($E720=1,$F720,IF($F720="",$G719,IF($G719="",$F720,$G719&amp;", "&amp;$F720))))</f>
        <v/>
      </c>
      <c r="H720">
        <f>IF($A720="","",$A720&amp;" ("&amp;$C720&amp;")")</f>
        <v/>
      </c>
      <c r="I720">
        <f>IF($A720="","",IF($E720=1,$H720,$I719&amp;", "&amp;$H720))</f>
        <v/>
      </c>
      <c r="J720">
        <f>IF($A720="","",IF($E720=1,$B720,""))</f>
        <v/>
      </c>
      <c r="K720">
        <f>IF($A720="","",IF(COUNTIF($B$2:$B720,$B720)=COUNTIF($B$2:$B$1601,$B720),$B720,""))</f>
        <v/>
      </c>
    </row>
    <row r="721">
      <c r="A721">
        <f>IF('TMP Paste'!$E721="","",'TMP Paste'!$E721)</f>
        <v/>
      </c>
      <c r="B721">
        <f>IF($A721="","",COUNTIF('TMP Paste'!$B$2:$B721,"?*"))</f>
        <v/>
      </c>
      <c r="C721">
        <f>IF($A721="","",IFERROR('TMP Paste'!$M721*1,0))</f>
        <v/>
      </c>
      <c r="D721">
        <f>IF($A721="","",SUMIF($B$2:$B721,$B721,$C$2:$C721))</f>
        <v/>
      </c>
      <c r="E721">
        <f>IF($A721="",0,IF('TMP Paste'!$B721="",0,1))</f>
        <v/>
      </c>
      <c r="F721">
        <f>IF(OR($A721="",$C721&lt;1),"",$A721&amp;"-"&amp;TEXT(($D721-$C721+1),"00")&amp;IF($C721&gt;=2,", "&amp;$A721&amp;"-"&amp;TEXT(($D721-$C721+1)+1,"00"),"")&amp;IF($C721&gt;=3,", "&amp;$A721&amp;"-"&amp;TEXT(($D721-$C721+1)+2,"00"),"")&amp;IF($C721&gt;=4,", "&amp;$A721&amp;"-"&amp;TEXT(($D721-$C721+1)+3,"00"),"")&amp;IF($C721&gt;=5,", "&amp;$A721&amp;"-"&amp;TEXT(($D721-$C721+1)+4,"00"),"")&amp;IF($C721&gt;=6,", "&amp;$A721&amp;"-"&amp;TEXT(($D721-$C721+1)+5,"00"),"")&amp;IF($C721&gt;=7,", "&amp;$A721&amp;"-"&amp;TEXT(($D721-$C721+1)+6,"00"),"")&amp;IF($C721&gt;=8,", "&amp;$A721&amp;"-"&amp;TEXT(($D721-$C721+1)+7,"00"),"")&amp;IF($C721&gt;=9,", "&amp;$A721&amp;"-"&amp;TEXT(($D721-$C721+1)+8,"00"),"")&amp;IF($C721&gt;=10,", "&amp;$A721&amp;"-"&amp;TEXT(($D721-$C721+1)+9,"00"),"")&amp;IF($C721&gt;=11,", "&amp;$A721&amp;"-"&amp;TEXT(($D721-$C721+1)+10,"00"),"")&amp;IF($C721&gt;=12,", "&amp;$A721&amp;"-"&amp;TEXT(($D721-$C721+1)+11,"00"),"")&amp;IF($C721&gt;=13,", "&amp;$A721&amp;"-"&amp;TEXT(($D721-$C721+1)+12,"00"),"")&amp;IF($C721&gt;=14,", "&amp;$A721&amp;"-"&amp;TEXT(($D721-$C721+1)+13,"00"),"")&amp;IF($C721&gt;=15,", "&amp;$A721&amp;"-"&amp;TEXT(($D721-$C721+1)+14,"00"),"")&amp;IF($C721&gt;=16,", "&amp;$A721&amp;"-"&amp;TEXT(($D721-$C721+1)+15,"00"),"")&amp;IF($C721&gt;=17,", "&amp;$A721&amp;"-"&amp;TEXT(($D721-$C721+1)+16,"00"),"")&amp;IF($C721&gt;=18,", "&amp;$A721&amp;"-"&amp;TEXT(($D721-$C721+1)+17,"00"),"")&amp;IF($C721&gt;=19,", "&amp;$A721&amp;"-"&amp;TEXT(($D721-$C721+1)+18,"00"),"")&amp;IF($C721&gt;=20,", "&amp;$A721&amp;"-"&amp;TEXT(($D721-$C721+1)+19,"00"),"")&amp;IF($C721&gt;=21,", "&amp;$A721&amp;"-"&amp;TEXT(($D721-$C721+1)+20,"00"),"")&amp;IF($C721&gt;=22,", "&amp;$A721&amp;"-"&amp;TEXT(($D721-$C721+1)+21,"00"),"")&amp;IF($C721&gt;=23,", "&amp;$A721&amp;"-"&amp;TEXT(($D721-$C721+1)+22,"00"),"")&amp;IF($C721&gt;=24,", "&amp;$A721&amp;"-"&amp;TEXT(($D721-$C721+1)+23,"00"),"")&amp;IF($C721&gt;=25,", "&amp;$A721&amp;"-"&amp;TEXT(($D721-$C721+1)+24,"00"),""))</f>
        <v/>
      </c>
      <c r="G721">
        <f>IF($A721="","",IF($E721=1,$F721,IF($F721="",$G720,IF($G720="",$F721,$G720&amp;", "&amp;$F721))))</f>
        <v/>
      </c>
      <c r="H721">
        <f>IF($A721="","",$A721&amp;" ("&amp;$C721&amp;")")</f>
        <v/>
      </c>
      <c r="I721">
        <f>IF($A721="","",IF($E721=1,$H721,$I720&amp;", "&amp;$H721))</f>
        <v/>
      </c>
      <c r="J721">
        <f>IF($A721="","",IF($E721=1,$B721,""))</f>
        <v/>
      </c>
      <c r="K721">
        <f>IF($A721="","",IF(COUNTIF($B$2:$B721,$B721)=COUNTIF($B$2:$B$1601,$B721),$B721,""))</f>
        <v/>
      </c>
    </row>
    <row r="722">
      <c r="A722">
        <f>IF('TMP Paste'!$E722="","",'TMP Paste'!$E722)</f>
        <v/>
      </c>
      <c r="B722">
        <f>IF($A722="","",COUNTIF('TMP Paste'!$B$2:$B722,"?*"))</f>
        <v/>
      </c>
      <c r="C722">
        <f>IF($A722="","",IFERROR('TMP Paste'!$M722*1,0))</f>
        <v/>
      </c>
      <c r="D722">
        <f>IF($A722="","",SUMIF($B$2:$B722,$B722,$C$2:$C722))</f>
        <v/>
      </c>
      <c r="E722">
        <f>IF($A722="",0,IF('TMP Paste'!$B722="",0,1))</f>
        <v/>
      </c>
      <c r="F722">
        <f>IF(OR($A722="",$C722&lt;1),"",$A722&amp;"-"&amp;TEXT(($D722-$C722+1),"00")&amp;IF($C722&gt;=2,", "&amp;$A722&amp;"-"&amp;TEXT(($D722-$C722+1)+1,"00"),"")&amp;IF($C722&gt;=3,", "&amp;$A722&amp;"-"&amp;TEXT(($D722-$C722+1)+2,"00"),"")&amp;IF($C722&gt;=4,", "&amp;$A722&amp;"-"&amp;TEXT(($D722-$C722+1)+3,"00"),"")&amp;IF($C722&gt;=5,", "&amp;$A722&amp;"-"&amp;TEXT(($D722-$C722+1)+4,"00"),"")&amp;IF($C722&gt;=6,", "&amp;$A722&amp;"-"&amp;TEXT(($D722-$C722+1)+5,"00"),"")&amp;IF($C722&gt;=7,", "&amp;$A722&amp;"-"&amp;TEXT(($D722-$C722+1)+6,"00"),"")&amp;IF($C722&gt;=8,", "&amp;$A722&amp;"-"&amp;TEXT(($D722-$C722+1)+7,"00"),"")&amp;IF($C722&gt;=9,", "&amp;$A722&amp;"-"&amp;TEXT(($D722-$C722+1)+8,"00"),"")&amp;IF($C722&gt;=10,", "&amp;$A722&amp;"-"&amp;TEXT(($D722-$C722+1)+9,"00"),"")&amp;IF($C722&gt;=11,", "&amp;$A722&amp;"-"&amp;TEXT(($D722-$C722+1)+10,"00"),"")&amp;IF($C722&gt;=12,", "&amp;$A722&amp;"-"&amp;TEXT(($D722-$C722+1)+11,"00"),"")&amp;IF($C722&gt;=13,", "&amp;$A722&amp;"-"&amp;TEXT(($D722-$C722+1)+12,"00"),"")&amp;IF($C722&gt;=14,", "&amp;$A722&amp;"-"&amp;TEXT(($D722-$C722+1)+13,"00"),"")&amp;IF($C722&gt;=15,", "&amp;$A722&amp;"-"&amp;TEXT(($D722-$C722+1)+14,"00"),"")&amp;IF($C722&gt;=16,", "&amp;$A722&amp;"-"&amp;TEXT(($D722-$C722+1)+15,"00"),"")&amp;IF($C722&gt;=17,", "&amp;$A722&amp;"-"&amp;TEXT(($D722-$C722+1)+16,"00"),"")&amp;IF($C722&gt;=18,", "&amp;$A722&amp;"-"&amp;TEXT(($D722-$C722+1)+17,"00"),"")&amp;IF($C722&gt;=19,", "&amp;$A722&amp;"-"&amp;TEXT(($D722-$C722+1)+18,"00"),"")&amp;IF($C722&gt;=20,", "&amp;$A722&amp;"-"&amp;TEXT(($D722-$C722+1)+19,"00"),"")&amp;IF($C722&gt;=21,", "&amp;$A722&amp;"-"&amp;TEXT(($D722-$C722+1)+20,"00"),"")&amp;IF($C722&gt;=22,", "&amp;$A722&amp;"-"&amp;TEXT(($D722-$C722+1)+21,"00"),"")&amp;IF($C722&gt;=23,", "&amp;$A722&amp;"-"&amp;TEXT(($D722-$C722+1)+22,"00"),"")&amp;IF($C722&gt;=24,", "&amp;$A722&amp;"-"&amp;TEXT(($D722-$C722+1)+23,"00"),"")&amp;IF($C722&gt;=25,", "&amp;$A722&amp;"-"&amp;TEXT(($D722-$C722+1)+24,"00"),""))</f>
        <v/>
      </c>
      <c r="G722">
        <f>IF($A722="","",IF($E722=1,$F722,IF($F722="",$G721,IF($G721="",$F722,$G721&amp;", "&amp;$F722))))</f>
        <v/>
      </c>
      <c r="H722">
        <f>IF($A722="","",$A722&amp;" ("&amp;$C722&amp;")")</f>
        <v/>
      </c>
      <c r="I722">
        <f>IF($A722="","",IF($E722=1,$H722,$I721&amp;", "&amp;$H722))</f>
        <v/>
      </c>
      <c r="J722">
        <f>IF($A722="","",IF($E722=1,$B722,""))</f>
        <v/>
      </c>
      <c r="K722">
        <f>IF($A722="","",IF(COUNTIF($B$2:$B722,$B722)=COUNTIF($B$2:$B$1601,$B722),$B722,""))</f>
        <v/>
      </c>
    </row>
    <row r="723">
      <c r="A723">
        <f>IF('TMP Paste'!$E723="","",'TMP Paste'!$E723)</f>
        <v/>
      </c>
      <c r="B723">
        <f>IF($A723="","",COUNTIF('TMP Paste'!$B$2:$B723,"?*"))</f>
        <v/>
      </c>
      <c r="C723">
        <f>IF($A723="","",IFERROR('TMP Paste'!$M723*1,0))</f>
        <v/>
      </c>
      <c r="D723">
        <f>IF($A723="","",SUMIF($B$2:$B723,$B723,$C$2:$C723))</f>
        <v/>
      </c>
      <c r="E723">
        <f>IF($A723="",0,IF('TMP Paste'!$B723="",0,1))</f>
        <v/>
      </c>
      <c r="F723">
        <f>IF(OR($A723="",$C723&lt;1),"",$A723&amp;"-"&amp;TEXT(($D723-$C723+1),"00")&amp;IF($C723&gt;=2,", "&amp;$A723&amp;"-"&amp;TEXT(($D723-$C723+1)+1,"00"),"")&amp;IF($C723&gt;=3,", "&amp;$A723&amp;"-"&amp;TEXT(($D723-$C723+1)+2,"00"),"")&amp;IF($C723&gt;=4,", "&amp;$A723&amp;"-"&amp;TEXT(($D723-$C723+1)+3,"00"),"")&amp;IF($C723&gt;=5,", "&amp;$A723&amp;"-"&amp;TEXT(($D723-$C723+1)+4,"00"),"")&amp;IF($C723&gt;=6,", "&amp;$A723&amp;"-"&amp;TEXT(($D723-$C723+1)+5,"00"),"")&amp;IF($C723&gt;=7,", "&amp;$A723&amp;"-"&amp;TEXT(($D723-$C723+1)+6,"00"),"")&amp;IF($C723&gt;=8,", "&amp;$A723&amp;"-"&amp;TEXT(($D723-$C723+1)+7,"00"),"")&amp;IF($C723&gt;=9,", "&amp;$A723&amp;"-"&amp;TEXT(($D723-$C723+1)+8,"00"),"")&amp;IF($C723&gt;=10,", "&amp;$A723&amp;"-"&amp;TEXT(($D723-$C723+1)+9,"00"),"")&amp;IF($C723&gt;=11,", "&amp;$A723&amp;"-"&amp;TEXT(($D723-$C723+1)+10,"00"),"")&amp;IF($C723&gt;=12,", "&amp;$A723&amp;"-"&amp;TEXT(($D723-$C723+1)+11,"00"),"")&amp;IF($C723&gt;=13,", "&amp;$A723&amp;"-"&amp;TEXT(($D723-$C723+1)+12,"00"),"")&amp;IF($C723&gt;=14,", "&amp;$A723&amp;"-"&amp;TEXT(($D723-$C723+1)+13,"00"),"")&amp;IF($C723&gt;=15,", "&amp;$A723&amp;"-"&amp;TEXT(($D723-$C723+1)+14,"00"),"")&amp;IF($C723&gt;=16,", "&amp;$A723&amp;"-"&amp;TEXT(($D723-$C723+1)+15,"00"),"")&amp;IF($C723&gt;=17,", "&amp;$A723&amp;"-"&amp;TEXT(($D723-$C723+1)+16,"00"),"")&amp;IF($C723&gt;=18,", "&amp;$A723&amp;"-"&amp;TEXT(($D723-$C723+1)+17,"00"),"")&amp;IF($C723&gt;=19,", "&amp;$A723&amp;"-"&amp;TEXT(($D723-$C723+1)+18,"00"),"")&amp;IF($C723&gt;=20,", "&amp;$A723&amp;"-"&amp;TEXT(($D723-$C723+1)+19,"00"),"")&amp;IF($C723&gt;=21,", "&amp;$A723&amp;"-"&amp;TEXT(($D723-$C723+1)+20,"00"),"")&amp;IF($C723&gt;=22,", "&amp;$A723&amp;"-"&amp;TEXT(($D723-$C723+1)+21,"00"),"")&amp;IF($C723&gt;=23,", "&amp;$A723&amp;"-"&amp;TEXT(($D723-$C723+1)+22,"00"),"")&amp;IF($C723&gt;=24,", "&amp;$A723&amp;"-"&amp;TEXT(($D723-$C723+1)+23,"00"),"")&amp;IF($C723&gt;=25,", "&amp;$A723&amp;"-"&amp;TEXT(($D723-$C723+1)+24,"00"),""))</f>
        <v/>
      </c>
      <c r="G723">
        <f>IF($A723="","",IF($E723=1,$F723,IF($F723="",$G722,IF($G722="",$F723,$G722&amp;", "&amp;$F723))))</f>
        <v/>
      </c>
      <c r="H723">
        <f>IF($A723="","",$A723&amp;" ("&amp;$C723&amp;")")</f>
        <v/>
      </c>
      <c r="I723">
        <f>IF($A723="","",IF($E723=1,$H723,$I722&amp;", "&amp;$H723))</f>
        <v/>
      </c>
      <c r="J723">
        <f>IF($A723="","",IF($E723=1,$B723,""))</f>
        <v/>
      </c>
      <c r="K723">
        <f>IF($A723="","",IF(COUNTIF($B$2:$B723,$B723)=COUNTIF($B$2:$B$1601,$B723),$B723,""))</f>
        <v/>
      </c>
    </row>
    <row r="724">
      <c r="A724">
        <f>IF('TMP Paste'!$E724="","",'TMP Paste'!$E724)</f>
        <v/>
      </c>
      <c r="B724">
        <f>IF($A724="","",COUNTIF('TMP Paste'!$B$2:$B724,"?*"))</f>
        <v/>
      </c>
      <c r="C724">
        <f>IF($A724="","",IFERROR('TMP Paste'!$M724*1,0))</f>
        <v/>
      </c>
      <c r="D724">
        <f>IF($A724="","",SUMIF($B$2:$B724,$B724,$C$2:$C724))</f>
        <v/>
      </c>
      <c r="E724">
        <f>IF($A724="",0,IF('TMP Paste'!$B724="",0,1))</f>
        <v/>
      </c>
      <c r="F724">
        <f>IF(OR($A724="",$C724&lt;1),"",$A724&amp;"-"&amp;TEXT(($D724-$C724+1),"00")&amp;IF($C724&gt;=2,", "&amp;$A724&amp;"-"&amp;TEXT(($D724-$C724+1)+1,"00"),"")&amp;IF($C724&gt;=3,", "&amp;$A724&amp;"-"&amp;TEXT(($D724-$C724+1)+2,"00"),"")&amp;IF($C724&gt;=4,", "&amp;$A724&amp;"-"&amp;TEXT(($D724-$C724+1)+3,"00"),"")&amp;IF($C724&gt;=5,", "&amp;$A724&amp;"-"&amp;TEXT(($D724-$C724+1)+4,"00"),"")&amp;IF($C724&gt;=6,", "&amp;$A724&amp;"-"&amp;TEXT(($D724-$C724+1)+5,"00"),"")&amp;IF($C724&gt;=7,", "&amp;$A724&amp;"-"&amp;TEXT(($D724-$C724+1)+6,"00"),"")&amp;IF($C724&gt;=8,", "&amp;$A724&amp;"-"&amp;TEXT(($D724-$C724+1)+7,"00"),"")&amp;IF($C724&gt;=9,", "&amp;$A724&amp;"-"&amp;TEXT(($D724-$C724+1)+8,"00"),"")&amp;IF($C724&gt;=10,", "&amp;$A724&amp;"-"&amp;TEXT(($D724-$C724+1)+9,"00"),"")&amp;IF($C724&gt;=11,", "&amp;$A724&amp;"-"&amp;TEXT(($D724-$C724+1)+10,"00"),"")&amp;IF($C724&gt;=12,", "&amp;$A724&amp;"-"&amp;TEXT(($D724-$C724+1)+11,"00"),"")&amp;IF($C724&gt;=13,", "&amp;$A724&amp;"-"&amp;TEXT(($D724-$C724+1)+12,"00"),"")&amp;IF($C724&gt;=14,", "&amp;$A724&amp;"-"&amp;TEXT(($D724-$C724+1)+13,"00"),"")&amp;IF($C724&gt;=15,", "&amp;$A724&amp;"-"&amp;TEXT(($D724-$C724+1)+14,"00"),"")&amp;IF($C724&gt;=16,", "&amp;$A724&amp;"-"&amp;TEXT(($D724-$C724+1)+15,"00"),"")&amp;IF($C724&gt;=17,", "&amp;$A724&amp;"-"&amp;TEXT(($D724-$C724+1)+16,"00"),"")&amp;IF($C724&gt;=18,", "&amp;$A724&amp;"-"&amp;TEXT(($D724-$C724+1)+17,"00"),"")&amp;IF($C724&gt;=19,", "&amp;$A724&amp;"-"&amp;TEXT(($D724-$C724+1)+18,"00"),"")&amp;IF($C724&gt;=20,", "&amp;$A724&amp;"-"&amp;TEXT(($D724-$C724+1)+19,"00"),"")&amp;IF($C724&gt;=21,", "&amp;$A724&amp;"-"&amp;TEXT(($D724-$C724+1)+20,"00"),"")&amp;IF($C724&gt;=22,", "&amp;$A724&amp;"-"&amp;TEXT(($D724-$C724+1)+21,"00"),"")&amp;IF($C724&gt;=23,", "&amp;$A724&amp;"-"&amp;TEXT(($D724-$C724+1)+22,"00"),"")&amp;IF($C724&gt;=24,", "&amp;$A724&amp;"-"&amp;TEXT(($D724-$C724+1)+23,"00"),"")&amp;IF($C724&gt;=25,", "&amp;$A724&amp;"-"&amp;TEXT(($D724-$C724+1)+24,"00"),""))</f>
        <v/>
      </c>
      <c r="G724">
        <f>IF($A724="","",IF($E724=1,$F724,IF($F724="",$G723,IF($G723="",$F724,$G723&amp;", "&amp;$F724))))</f>
        <v/>
      </c>
      <c r="H724">
        <f>IF($A724="","",$A724&amp;" ("&amp;$C724&amp;")")</f>
        <v/>
      </c>
      <c r="I724">
        <f>IF($A724="","",IF($E724=1,$H724,$I723&amp;", "&amp;$H724))</f>
        <v/>
      </c>
      <c r="J724">
        <f>IF($A724="","",IF($E724=1,$B724,""))</f>
        <v/>
      </c>
      <c r="K724">
        <f>IF($A724="","",IF(COUNTIF($B$2:$B724,$B724)=COUNTIF($B$2:$B$1601,$B724),$B724,""))</f>
        <v/>
      </c>
    </row>
    <row r="725">
      <c r="A725">
        <f>IF('TMP Paste'!$E725="","",'TMP Paste'!$E725)</f>
        <v/>
      </c>
      <c r="B725">
        <f>IF($A725="","",COUNTIF('TMP Paste'!$B$2:$B725,"?*"))</f>
        <v/>
      </c>
      <c r="C725">
        <f>IF($A725="","",IFERROR('TMP Paste'!$M725*1,0))</f>
        <v/>
      </c>
      <c r="D725">
        <f>IF($A725="","",SUMIF($B$2:$B725,$B725,$C$2:$C725))</f>
        <v/>
      </c>
      <c r="E725">
        <f>IF($A725="",0,IF('TMP Paste'!$B725="",0,1))</f>
        <v/>
      </c>
      <c r="F725">
        <f>IF(OR($A725="",$C725&lt;1),"",$A725&amp;"-"&amp;TEXT(($D725-$C725+1),"00")&amp;IF($C725&gt;=2,", "&amp;$A725&amp;"-"&amp;TEXT(($D725-$C725+1)+1,"00"),"")&amp;IF($C725&gt;=3,", "&amp;$A725&amp;"-"&amp;TEXT(($D725-$C725+1)+2,"00"),"")&amp;IF($C725&gt;=4,", "&amp;$A725&amp;"-"&amp;TEXT(($D725-$C725+1)+3,"00"),"")&amp;IF($C725&gt;=5,", "&amp;$A725&amp;"-"&amp;TEXT(($D725-$C725+1)+4,"00"),"")&amp;IF($C725&gt;=6,", "&amp;$A725&amp;"-"&amp;TEXT(($D725-$C725+1)+5,"00"),"")&amp;IF($C725&gt;=7,", "&amp;$A725&amp;"-"&amp;TEXT(($D725-$C725+1)+6,"00"),"")&amp;IF($C725&gt;=8,", "&amp;$A725&amp;"-"&amp;TEXT(($D725-$C725+1)+7,"00"),"")&amp;IF($C725&gt;=9,", "&amp;$A725&amp;"-"&amp;TEXT(($D725-$C725+1)+8,"00"),"")&amp;IF($C725&gt;=10,", "&amp;$A725&amp;"-"&amp;TEXT(($D725-$C725+1)+9,"00"),"")&amp;IF($C725&gt;=11,", "&amp;$A725&amp;"-"&amp;TEXT(($D725-$C725+1)+10,"00"),"")&amp;IF($C725&gt;=12,", "&amp;$A725&amp;"-"&amp;TEXT(($D725-$C725+1)+11,"00"),"")&amp;IF($C725&gt;=13,", "&amp;$A725&amp;"-"&amp;TEXT(($D725-$C725+1)+12,"00"),"")&amp;IF($C725&gt;=14,", "&amp;$A725&amp;"-"&amp;TEXT(($D725-$C725+1)+13,"00"),"")&amp;IF($C725&gt;=15,", "&amp;$A725&amp;"-"&amp;TEXT(($D725-$C725+1)+14,"00"),"")&amp;IF($C725&gt;=16,", "&amp;$A725&amp;"-"&amp;TEXT(($D725-$C725+1)+15,"00"),"")&amp;IF($C725&gt;=17,", "&amp;$A725&amp;"-"&amp;TEXT(($D725-$C725+1)+16,"00"),"")&amp;IF($C725&gt;=18,", "&amp;$A725&amp;"-"&amp;TEXT(($D725-$C725+1)+17,"00"),"")&amp;IF($C725&gt;=19,", "&amp;$A725&amp;"-"&amp;TEXT(($D725-$C725+1)+18,"00"),"")&amp;IF($C725&gt;=20,", "&amp;$A725&amp;"-"&amp;TEXT(($D725-$C725+1)+19,"00"),"")&amp;IF($C725&gt;=21,", "&amp;$A725&amp;"-"&amp;TEXT(($D725-$C725+1)+20,"00"),"")&amp;IF($C725&gt;=22,", "&amp;$A725&amp;"-"&amp;TEXT(($D725-$C725+1)+21,"00"),"")&amp;IF($C725&gt;=23,", "&amp;$A725&amp;"-"&amp;TEXT(($D725-$C725+1)+22,"00"),"")&amp;IF($C725&gt;=24,", "&amp;$A725&amp;"-"&amp;TEXT(($D725-$C725+1)+23,"00"),"")&amp;IF($C725&gt;=25,", "&amp;$A725&amp;"-"&amp;TEXT(($D725-$C725+1)+24,"00"),""))</f>
        <v/>
      </c>
      <c r="G725">
        <f>IF($A725="","",IF($E725=1,$F725,IF($F725="",$G724,IF($G724="",$F725,$G724&amp;", "&amp;$F725))))</f>
        <v/>
      </c>
      <c r="H725">
        <f>IF($A725="","",$A725&amp;" ("&amp;$C725&amp;")")</f>
        <v/>
      </c>
      <c r="I725">
        <f>IF($A725="","",IF($E725=1,$H725,$I724&amp;", "&amp;$H725))</f>
        <v/>
      </c>
      <c r="J725">
        <f>IF($A725="","",IF($E725=1,$B725,""))</f>
        <v/>
      </c>
      <c r="K725">
        <f>IF($A725="","",IF(COUNTIF($B$2:$B725,$B725)=COUNTIF($B$2:$B$1601,$B725),$B725,""))</f>
        <v/>
      </c>
    </row>
    <row r="726">
      <c r="A726">
        <f>IF('TMP Paste'!$E726="","",'TMP Paste'!$E726)</f>
        <v/>
      </c>
      <c r="B726">
        <f>IF($A726="","",COUNTIF('TMP Paste'!$B$2:$B726,"?*"))</f>
        <v/>
      </c>
      <c r="C726">
        <f>IF($A726="","",IFERROR('TMP Paste'!$M726*1,0))</f>
        <v/>
      </c>
      <c r="D726">
        <f>IF($A726="","",SUMIF($B$2:$B726,$B726,$C$2:$C726))</f>
        <v/>
      </c>
      <c r="E726">
        <f>IF($A726="",0,IF('TMP Paste'!$B726="",0,1))</f>
        <v/>
      </c>
      <c r="F726">
        <f>IF(OR($A726="",$C726&lt;1),"",$A726&amp;"-"&amp;TEXT(($D726-$C726+1),"00")&amp;IF($C726&gt;=2,", "&amp;$A726&amp;"-"&amp;TEXT(($D726-$C726+1)+1,"00"),"")&amp;IF($C726&gt;=3,", "&amp;$A726&amp;"-"&amp;TEXT(($D726-$C726+1)+2,"00"),"")&amp;IF($C726&gt;=4,", "&amp;$A726&amp;"-"&amp;TEXT(($D726-$C726+1)+3,"00"),"")&amp;IF($C726&gt;=5,", "&amp;$A726&amp;"-"&amp;TEXT(($D726-$C726+1)+4,"00"),"")&amp;IF($C726&gt;=6,", "&amp;$A726&amp;"-"&amp;TEXT(($D726-$C726+1)+5,"00"),"")&amp;IF($C726&gt;=7,", "&amp;$A726&amp;"-"&amp;TEXT(($D726-$C726+1)+6,"00"),"")&amp;IF($C726&gt;=8,", "&amp;$A726&amp;"-"&amp;TEXT(($D726-$C726+1)+7,"00"),"")&amp;IF($C726&gt;=9,", "&amp;$A726&amp;"-"&amp;TEXT(($D726-$C726+1)+8,"00"),"")&amp;IF($C726&gt;=10,", "&amp;$A726&amp;"-"&amp;TEXT(($D726-$C726+1)+9,"00"),"")&amp;IF($C726&gt;=11,", "&amp;$A726&amp;"-"&amp;TEXT(($D726-$C726+1)+10,"00"),"")&amp;IF($C726&gt;=12,", "&amp;$A726&amp;"-"&amp;TEXT(($D726-$C726+1)+11,"00"),"")&amp;IF($C726&gt;=13,", "&amp;$A726&amp;"-"&amp;TEXT(($D726-$C726+1)+12,"00"),"")&amp;IF($C726&gt;=14,", "&amp;$A726&amp;"-"&amp;TEXT(($D726-$C726+1)+13,"00"),"")&amp;IF($C726&gt;=15,", "&amp;$A726&amp;"-"&amp;TEXT(($D726-$C726+1)+14,"00"),"")&amp;IF($C726&gt;=16,", "&amp;$A726&amp;"-"&amp;TEXT(($D726-$C726+1)+15,"00"),"")&amp;IF($C726&gt;=17,", "&amp;$A726&amp;"-"&amp;TEXT(($D726-$C726+1)+16,"00"),"")&amp;IF($C726&gt;=18,", "&amp;$A726&amp;"-"&amp;TEXT(($D726-$C726+1)+17,"00"),"")&amp;IF($C726&gt;=19,", "&amp;$A726&amp;"-"&amp;TEXT(($D726-$C726+1)+18,"00"),"")&amp;IF($C726&gt;=20,", "&amp;$A726&amp;"-"&amp;TEXT(($D726-$C726+1)+19,"00"),"")&amp;IF($C726&gt;=21,", "&amp;$A726&amp;"-"&amp;TEXT(($D726-$C726+1)+20,"00"),"")&amp;IF($C726&gt;=22,", "&amp;$A726&amp;"-"&amp;TEXT(($D726-$C726+1)+21,"00"),"")&amp;IF($C726&gt;=23,", "&amp;$A726&amp;"-"&amp;TEXT(($D726-$C726+1)+22,"00"),"")&amp;IF($C726&gt;=24,", "&amp;$A726&amp;"-"&amp;TEXT(($D726-$C726+1)+23,"00"),"")&amp;IF($C726&gt;=25,", "&amp;$A726&amp;"-"&amp;TEXT(($D726-$C726+1)+24,"00"),""))</f>
        <v/>
      </c>
      <c r="G726">
        <f>IF($A726="","",IF($E726=1,$F726,IF($F726="",$G725,IF($G725="",$F726,$G725&amp;", "&amp;$F726))))</f>
        <v/>
      </c>
      <c r="H726">
        <f>IF($A726="","",$A726&amp;" ("&amp;$C726&amp;")")</f>
        <v/>
      </c>
      <c r="I726">
        <f>IF($A726="","",IF($E726=1,$H726,$I725&amp;", "&amp;$H726))</f>
        <v/>
      </c>
      <c r="J726">
        <f>IF($A726="","",IF($E726=1,$B726,""))</f>
        <v/>
      </c>
      <c r="K726">
        <f>IF($A726="","",IF(COUNTIF($B$2:$B726,$B726)=COUNTIF($B$2:$B$1601,$B726),$B726,""))</f>
        <v/>
      </c>
    </row>
    <row r="727">
      <c r="A727">
        <f>IF('TMP Paste'!$E727="","",'TMP Paste'!$E727)</f>
        <v/>
      </c>
      <c r="B727">
        <f>IF($A727="","",COUNTIF('TMP Paste'!$B$2:$B727,"?*"))</f>
        <v/>
      </c>
      <c r="C727">
        <f>IF($A727="","",IFERROR('TMP Paste'!$M727*1,0))</f>
        <v/>
      </c>
      <c r="D727">
        <f>IF($A727="","",SUMIF($B$2:$B727,$B727,$C$2:$C727))</f>
        <v/>
      </c>
      <c r="E727">
        <f>IF($A727="",0,IF('TMP Paste'!$B727="",0,1))</f>
        <v/>
      </c>
      <c r="F727">
        <f>IF(OR($A727="",$C727&lt;1),"",$A727&amp;"-"&amp;TEXT(($D727-$C727+1),"00")&amp;IF($C727&gt;=2,", "&amp;$A727&amp;"-"&amp;TEXT(($D727-$C727+1)+1,"00"),"")&amp;IF($C727&gt;=3,", "&amp;$A727&amp;"-"&amp;TEXT(($D727-$C727+1)+2,"00"),"")&amp;IF($C727&gt;=4,", "&amp;$A727&amp;"-"&amp;TEXT(($D727-$C727+1)+3,"00"),"")&amp;IF($C727&gt;=5,", "&amp;$A727&amp;"-"&amp;TEXT(($D727-$C727+1)+4,"00"),"")&amp;IF($C727&gt;=6,", "&amp;$A727&amp;"-"&amp;TEXT(($D727-$C727+1)+5,"00"),"")&amp;IF($C727&gt;=7,", "&amp;$A727&amp;"-"&amp;TEXT(($D727-$C727+1)+6,"00"),"")&amp;IF($C727&gt;=8,", "&amp;$A727&amp;"-"&amp;TEXT(($D727-$C727+1)+7,"00"),"")&amp;IF($C727&gt;=9,", "&amp;$A727&amp;"-"&amp;TEXT(($D727-$C727+1)+8,"00"),"")&amp;IF($C727&gt;=10,", "&amp;$A727&amp;"-"&amp;TEXT(($D727-$C727+1)+9,"00"),"")&amp;IF($C727&gt;=11,", "&amp;$A727&amp;"-"&amp;TEXT(($D727-$C727+1)+10,"00"),"")&amp;IF($C727&gt;=12,", "&amp;$A727&amp;"-"&amp;TEXT(($D727-$C727+1)+11,"00"),"")&amp;IF($C727&gt;=13,", "&amp;$A727&amp;"-"&amp;TEXT(($D727-$C727+1)+12,"00"),"")&amp;IF($C727&gt;=14,", "&amp;$A727&amp;"-"&amp;TEXT(($D727-$C727+1)+13,"00"),"")&amp;IF($C727&gt;=15,", "&amp;$A727&amp;"-"&amp;TEXT(($D727-$C727+1)+14,"00"),"")&amp;IF($C727&gt;=16,", "&amp;$A727&amp;"-"&amp;TEXT(($D727-$C727+1)+15,"00"),"")&amp;IF($C727&gt;=17,", "&amp;$A727&amp;"-"&amp;TEXT(($D727-$C727+1)+16,"00"),"")&amp;IF($C727&gt;=18,", "&amp;$A727&amp;"-"&amp;TEXT(($D727-$C727+1)+17,"00"),"")&amp;IF($C727&gt;=19,", "&amp;$A727&amp;"-"&amp;TEXT(($D727-$C727+1)+18,"00"),"")&amp;IF($C727&gt;=20,", "&amp;$A727&amp;"-"&amp;TEXT(($D727-$C727+1)+19,"00"),"")&amp;IF($C727&gt;=21,", "&amp;$A727&amp;"-"&amp;TEXT(($D727-$C727+1)+20,"00"),"")&amp;IF($C727&gt;=22,", "&amp;$A727&amp;"-"&amp;TEXT(($D727-$C727+1)+21,"00"),"")&amp;IF($C727&gt;=23,", "&amp;$A727&amp;"-"&amp;TEXT(($D727-$C727+1)+22,"00"),"")&amp;IF($C727&gt;=24,", "&amp;$A727&amp;"-"&amp;TEXT(($D727-$C727+1)+23,"00"),"")&amp;IF($C727&gt;=25,", "&amp;$A727&amp;"-"&amp;TEXT(($D727-$C727+1)+24,"00"),""))</f>
        <v/>
      </c>
      <c r="G727">
        <f>IF($A727="","",IF($E727=1,$F727,IF($F727="",$G726,IF($G726="",$F727,$G726&amp;", "&amp;$F727))))</f>
        <v/>
      </c>
      <c r="H727">
        <f>IF($A727="","",$A727&amp;" ("&amp;$C727&amp;")")</f>
        <v/>
      </c>
      <c r="I727">
        <f>IF($A727="","",IF($E727=1,$H727,$I726&amp;", "&amp;$H727))</f>
        <v/>
      </c>
      <c r="J727">
        <f>IF($A727="","",IF($E727=1,$B727,""))</f>
        <v/>
      </c>
      <c r="K727">
        <f>IF($A727="","",IF(COUNTIF($B$2:$B727,$B727)=COUNTIF($B$2:$B$1601,$B727),$B727,""))</f>
        <v/>
      </c>
    </row>
    <row r="728">
      <c r="A728">
        <f>IF('TMP Paste'!$E728="","",'TMP Paste'!$E728)</f>
        <v/>
      </c>
      <c r="B728">
        <f>IF($A728="","",COUNTIF('TMP Paste'!$B$2:$B728,"?*"))</f>
        <v/>
      </c>
      <c r="C728">
        <f>IF($A728="","",IFERROR('TMP Paste'!$M728*1,0))</f>
        <v/>
      </c>
      <c r="D728">
        <f>IF($A728="","",SUMIF($B$2:$B728,$B728,$C$2:$C728))</f>
        <v/>
      </c>
      <c r="E728">
        <f>IF($A728="",0,IF('TMP Paste'!$B728="",0,1))</f>
        <v/>
      </c>
      <c r="F728">
        <f>IF(OR($A728="",$C728&lt;1),"",$A728&amp;"-"&amp;TEXT(($D728-$C728+1),"00")&amp;IF($C728&gt;=2,", "&amp;$A728&amp;"-"&amp;TEXT(($D728-$C728+1)+1,"00"),"")&amp;IF($C728&gt;=3,", "&amp;$A728&amp;"-"&amp;TEXT(($D728-$C728+1)+2,"00"),"")&amp;IF($C728&gt;=4,", "&amp;$A728&amp;"-"&amp;TEXT(($D728-$C728+1)+3,"00"),"")&amp;IF($C728&gt;=5,", "&amp;$A728&amp;"-"&amp;TEXT(($D728-$C728+1)+4,"00"),"")&amp;IF($C728&gt;=6,", "&amp;$A728&amp;"-"&amp;TEXT(($D728-$C728+1)+5,"00"),"")&amp;IF($C728&gt;=7,", "&amp;$A728&amp;"-"&amp;TEXT(($D728-$C728+1)+6,"00"),"")&amp;IF($C728&gt;=8,", "&amp;$A728&amp;"-"&amp;TEXT(($D728-$C728+1)+7,"00"),"")&amp;IF($C728&gt;=9,", "&amp;$A728&amp;"-"&amp;TEXT(($D728-$C728+1)+8,"00"),"")&amp;IF($C728&gt;=10,", "&amp;$A728&amp;"-"&amp;TEXT(($D728-$C728+1)+9,"00"),"")&amp;IF($C728&gt;=11,", "&amp;$A728&amp;"-"&amp;TEXT(($D728-$C728+1)+10,"00"),"")&amp;IF($C728&gt;=12,", "&amp;$A728&amp;"-"&amp;TEXT(($D728-$C728+1)+11,"00"),"")&amp;IF($C728&gt;=13,", "&amp;$A728&amp;"-"&amp;TEXT(($D728-$C728+1)+12,"00"),"")&amp;IF($C728&gt;=14,", "&amp;$A728&amp;"-"&amp;TEXT(($D728-$C728+1)+13,"00"),"")&amp;IF($C728&gt;=15,", "&amp;$A728&amp;"-"&amp;TEXT(($D728-$C728+1)+14,"00"),"")&amp;IF($C728&gt;=16,", "&amp;$A728&amp;"-"&amp;TEXT(($D728-$C728+1)+15,"00"),"")&amp;IF($C728&gt;=17,", "&amp;$A728&amp;"-"&amp;TEXT(($D728-$C728+1)+16,"00"),"")&amp;IF($C728&gt;=18,", "&amp;$A728&amp;"-"&amp;TEXT(($D728-$C728+1)+17,"00"),"")&amp;IF($C728&gt;=19,", "&amp;$A728&amp;"-"&amp;TEXT(($D728-$C728+1)+18,"00"),"")&amp;IF($C728&gt;=20,", "&amp;$A728&amp;"-"&amp;TEXT(($D728-$C728+1)+19,"00"),"")&amp;IF($C728&gt;=21,", "&amp;$A728&amp;"-"&amp;TEXT(($D728-$C728+1)+20,"00"),"")&amp;IF($C728&gt;=22,", "&amp;$A728&amp;"-"&amp;TEXT(($D728-$C728+1)+21,"00"),"")&amp;IF($C728&gt;=23,", "&amp;$A728&amp;"-"&amp;TEXT(($D728-$C728+1)+22,"00"),"")&amp;IF($C728&gt;=24,", "&amp;$A728&amp;"-"&amp;TEXT(($D728-$C728+1)+23,"00"),"")&amp;IF($C728&gt;=25,", "&amp;$A728&amp;"-"&amp;TEXT(($D728-$C728+1)+24,"00"),""))</f>
        <v/>
      </c>
      <c r="G728">
        <f>IF($A728="","",IF($E728=1,$F728,IF($F728="",$G727,IF($G727="",$F728,$G727&amp;", "&amp;$F728))))</f>
        <v/>
      </c>
      <c r="H728">
        <f>IF($A728="","",$A728&amp;" ("&amp;$C728&amp;")")</f>
        <v/>
      </c>
      <c r="I728">
        <f>IF($A728="","",IF($E728=1,$H728,$I727&amp;", "&amp;$H728))</f>
        <v/>
      </c>
      <c r="J728">
        <f>IF($A728="","",IF($E728=1,$B728,""))</f>
        <v/>
      </c>
      <c r="K728">
        <f>IF($A728="","",IF(COUNTIF($B$2:$B728,$B728)=COUNTIF($B$2:$B$1601,$B728),$B728,""))</f>
        <v/>
      </c>
    </row>
    <row r="729">
      <c r="A729">
        <f>IF('TMP Paste'!$E729="","",'TMP Paste'!$E729)</f>
        <v/>
      </c>
      <c r="B729">
        <f>IF($A729="","",COUNTIF('TMP Paste'!$B$2:$B729,"?*"))</f>
        <v/>
      </c>
      <c r="C729">
        <f>IF($A729="","",IFERROR('TMP Paste'!$M729*1,0))</f>
        <v/>
      </c>
      <c r="D729">
        <f>IF($A729="","",SUMIF($B$2:$B729,$B729,$C$2:$C729))</f>
        <v/>
      </c>
      <c r="E729">
        <f>IF($A729="",0,IF('TMP Paste'!$B729="",0,1))</f>
        <v/>
      </c>
      <c r="F729">
        <f>IF(OR($A729="",$C729&lt;1),"",$A729&amp;"-"&amp;TEXT(($D729-$C729+1),"00")&amp;IF($C729&gt;=2,", "&amp;$A729&amp;"-"&amp;TEXT(($D729-$C729+1)+1,"00"),"")&amp;IF($C729&gt;=3,", "&amp;$A729&amp;"-"&amp;TEXT(($D729-$C729+1)+2,"00"),"")&amp;IF($C729&gt;=4,", "&amp;$A729&amp;"-"&amp;TEXT(($D729-$C729+1)+3,"00"),"")&amp;IF($C729&gt;=5,", "&amp;$A729&amp;"-"&amp;TEXT(($D729-$C729+1)+4,"00"),"")&amp;IF($C729&gt;=6,", "&amp;$A729&amp;"-"&amp;TEXT(($D729-$C729+1)+5,"00"),"")&amp;IF($C729&gt;=7,", "&amp;$A729&amp;"-"&amp;TEXT(($D729-$C729+1)+6,"00"),"")&amp;IF($C729&gt;=8,", "&amp;$A729&amp;"-"&amp;TEXT(($D729-$C729+1)+7,"00"),"")&amp;IF($C729&gt;=9,", "&amp;$A729&amp;"-"&amp;TEXT(($D729-$C729+1)+8,"00"),"")&amp;IF($C729&gt;=10,", "&amp;$A729&amp;"-"&amp;TEXT(($D729-$C729+1)+9,"00"),"")&amp;IF($C729&gt;=11,", "&amp;$A729&amp;"-"&amp;TEXT(($D729-$C729+1)+10,"00"),"")&amp;IF($C729&gt;=12,", "&amp;$A729&amp;"-"&amp;TEXT(($D729-$C729+1)+11,"00"),"")&amp;IF($C729&gt;=13,", "&amp;$A729&amp;"-"&amp;TEXT(($D729-$C729+1)+12,"00"),"")&amp;IF($C729&gt;=14,", "&amp;$A729&amp;"-"&amp;TEXT(($D729-$C729+1)+13,"00"),"")&amp;IF($C729&gt;=15,", "&amp;$A729&amp;"-"&amp;TEXT(($D729-$C729+1)+14,"00"),"")&amp;IF($C729&gt;=16,", "&amp;$A729&amp;"-"&amp;TEXT(($D729-$C729+1)+15,"00"),"")&amp;IF($C729&gt;=17,", "&amp;$A729&amp;"-"&amp;TEXT(($D729-$C729+1)+16,"00"),"")&amp;IF($C729&gt;=18,", "&amp;$A729&amp;"-"&amp;TEXT(($D729-$C729+1)+17,"00"),"")&amp;IF($C729&gt;=19,", "&amp;$A729&amp;"-"&amp;TEXT(($D729-$C729+1)+18,"00"),"")&amp;IF($C729&gt;=20,", "&amp;$A729&amp;"-"&amp;TEXT(($D729-$C729+1)+19,"00"),"")&amp;IF($C729&gt;=21,", "&amp;$A729&amp;"-"&amp;TEXT(($D729-$C729+1)+20,"00"),"")&amp;IF($C729&gt;=22,", "&amp;$A729&amp;"-"&amp;TEXT(($D729-$C729+1)+21,"00"),"")&amp;IF($C729&gt;=23,", "&amp;$A729&amp;"-"&amp;TEXT(($D729-$C729+1)+22,"00"),"")&amp;IF($C729&gt;=24,", "&amp;$A729&amp;"-"&amp;TEXT(($D729-$C729+1)+23,"00"),"")&amp;IF($C729&gt;=25,", "&amp;$A729&amp;"-"&amp;TEXT(($D729-$C729+1)+24,"00"),""))</f>
        <v/>
      </c>
      <c r="G729">
        <f>IF($A729="","",IF($E729=1,$F729,IF($F729="",$G728,IF($G728="",$F729,$G728&amp;", "&amp;$F729))))</f>
        <v/>
      </c>
      <c r="H729">
        <f>IF($A729="","",$A729&amp;" ("&amp;$C729&amp;")")</f>
        <v/>
      </c>
      <c r="I729">
        <f>IF($A729="","",IF($E729=1,$H729,$I728&amp;", "&amp;$H729))</f>
        <v/>
      </c>
      <c r="J729">
        <f>IF($A729="","",IF($E729=1,$B729,""))</f>
        <v/>
      </c>
      <c r="K729">
        <f>IF($A729="","",IF(COUNTIF($B$2:$B729,$B729)=COUNTIF($B$2:$B$1601,$B729),$B729,""))</f>
        <v/>
      </c>
    </row>
    <row r="730">
      <c r="A730">
        <f>IF('TMP Paste'!$E730="","",'TMP Paste'!$E730)</f>
        <v/>
      </c>
      <c r="B730">
        <f>IF($A730="","",COUNTIF('TMP Paste'!$B$2:$B730,"?*"))</f>
        <v/>
      </c>
      <c r="C730">
        <f>IF($A730="","",IFERROR('TMP Paste'!$M730*1,0))</f>
        <v/>
      </c>
      <c r="D730">
        <f>IF($A730="","",SUMIF($B$2:$B730,$B730,$C$2:$C730))</f>
        <v/>
      </c>
      <c r="E730">
        <f>IF($A730="",0,IF('TMP Paste'!$B730="",0,1))</f>
        <v/>
      </c>
      <c r="F730">
        <f>IF(OR($A730="",$C730&lt;1),"",$A730&amp;"-"&amp;TEXT(($D730-$C730+1),"00")&amp;IF($C730&gt;=2,", "&amp;$A730&amp;"-"&amp;TEXT(($D730-$C730+1)+1,"00"),"")&amp;IF($C730&gt;=3,", "&amp;$A730&amp;"-"&amp;TEXT(($D730-$C730+1)+2,"00"),"")&amp;IF($C730&gt;=4,", "&amp;$A730&amp;"-"&amp;TEXT(($D730-$C730+1)+3,"00"),"")&amp;IF($C730&gt;=5,", "&amp;$A730&amp;"-"&amp;TEXT(($D730-$C730+1)+4,"00"),"")&amp;IF($C730&gt;=6,", "&amp;$A730&amp;"-"&amp;TEXT(($D730-$C730+1)+5,"00"),"")&amp;IF($C730&gt;=7,", "&amp;$A730&amp;"-"&amp;TEXT(($D730-$C730+1)+6,"00"),"")&amp;IF($C730&gt;=8,", "&amp;$A730&amp;"-"&amp;TEXT(($D730-$C730+1)+7,"00"),"")&amp;IF($C730&gt;=9,", "&amp;$A730&amp;"-"&amp;TEXT(($D730-$C730+1)+8,"00"),"")&amp;IF($C730&gt;=10,", "&amp;$A730&amp;"-"&amp;TEXT(($D730-$C730+1)+9,"00"),"")&amp;IF($C730&gt;=11,", "&amp;$A730&amp;"-"&amp;TEXT(($D730-$C730+1)+10,"00"),"")&amp;IF($C730&gt;=12,", "&amp;$A730&amp;"-"&amp;TEXT(($D730-$C730+1)+11,"00"),"")&amp;IF($C730&gt;=13,", "&amp;$A730&amp;"-"&amp;TEXT(($D730-$C730+1)+12,"00"),"")&amp;IF($C730&gt;=14,", "&amp;$A730&amp;"-"&amp;TEXT(($D730-$C730+1)+13,"00"),"")&amp;IF($C730&gt;=15,", "&amp;$A730&amp;"-"&amp;TEXT(($D730-$C730+1)+14,"00"),"")&amp;IF($C730&gt;=16,", "&amp;$A730&amp;"-"&amp;TEXT(($D730-$C730+1)+15,"00"),"")&amp;IF($C730&gt;=17,", "&amp;$A730&amp;"-"&amp;TEXT(($D730-$C730+1)+16,"00"),"")&amp;IF($C730&gt;=18,", "&amp;$A730&amp;"-"&amp;TEXT(($D730-$C730+1)+17,"00"),"")&amp;IF($C730&gt;=19,", "&amp;$A730&amp;"-"&amp;TEXT(($D730-$C730+1)+18,"00"),"")&amp;IF($C730&gt;=20,", "&amp;$A730&amp;"-"&amp;TEXT(($D730-$C730+1)+19,"00"),"")&amp;IF($C730&gt;=21,", "&amp;$A730&amp;"-"&amp;TEXT(($D730-$C730+1)+20,"00"),"")&amp;IF($C730&gt;=22,", "&amp;$A730&amp;"-"&amp;TEXT(($D730-$C730+1)+21,"00"),"")&amp;IF($C730&gt;=23,", "&amp;$A730&amp;"-"&amp;TEXT(($D730-$C730+1)+22,"00"),"")&amp;IF($C730&gt;=24,", "&amp;$A730&amp;"-"&amp;TEXT(($D730-$C730+1)+23,"00"),"")&amp;IF($C730&gt;=25,", "&amp;$A730&amp;"-"&amp;TEXT(($D730-$C730+1)+24,"00"),""))</f>
        <v/>
      </c>
      <c r="G730">
        <f>IF($A730="","",IF($E730=1,$F730,IF($F730="",$G729,IF($G729="",$F730,$G729&amp;", "&amp;$F730))))</f>
        <v/>
      </c>
      <c r="H730">
        <f>IF($A730="","",$A730&amp;" ("&amp;$C730&amp;")")</f>
        <v/>
      </c>
      <c r="I730">
        <f>IF($A730="","",IF($E730=1,$H730,$I729&amp;", "&amp;$H730))</f>
        <v/>
      </c>
      <c r="J730">
        <f>IF($A730="","",IF($E730=1,$B730,""))</f>
        <v/>
      </c>
      <c r="K730">
        <f>IF($A730="","",IF(COUNTIF($B$2:$B730,$B730)=COUNTIF($B$2:$B$1601,$B730),$B730,""))</f>
        <v/>
      </c>
    </row>
    <row r="731">
      <c r="A731">
        <f>IF('TMP Paste'!$E731="","",'TMP Paste'!$E731)</f>
        <v/>
      </c>
      <c r="B731">
        <f>IF($A731="","",COUNTIF('TMP Paste'!$B$2:$B731,"?*"))</f>
        <v/>
      </c>
      <c r="C731">
        <f>IF($A731="","",IFERROR('TMP Paste'!$M731*1,0))</f>
        <v/>
      </c>
      <c r="D731">
        <f>IF($A731="","",SUMIF($B$2:$B731,$B731,$C$2:$C731))</f>
        <v/>
      </c>
      <c r="E731">
        <f>IF($A731="",0,IF('TMP Paste'!$B731="",0,1))</f>
        <v/>
      </c>
      <c r="F731">
        <f>IF(OR($A731="",$C731&lt;1),"",$A731&amp;"-"&amp;TEXT(($D731-$C731+1),"00")&amp;IF($C731&gt;=2,", "&amp;$A731&amp;"-"&amp;TEXT(($D731-$C731+1)+1,"00"),"")&amp;IF($C731&gt;=3,", "&amp;$A731&amp;"-"&amp;TEXT(($D731-$C731+1)+2,"00"),"")&amp;IF($C731&gt;=4,", "&amp;$A731&amp;"-"&amp;TEXT(($D731-$C731+1)+3,"00"),"")&amp;IF($C731&gt;=5,", "&amp;$A731&amp;"-"&amp;TEXT(($D731-$C731+1)+4,"00"),"")&amp;IF($C731&gt;=6,", "&amp;$A731&amp;"-"&amp;TEXT(($D731-$C731+1)+5,"00"),"")&amp;IF($C731&gt;=7,", "&amp;$A731&amp;"-"&amp;TEXT(($D731-$C731+1)+6,"00"),"")&amp;IF($C731&gt;=8,", "&amp;$A731&amp;"-"&amp;TEXT(($D731-$C731+1)+7,"00"),"")&amp;IF($C731&gt;=9,", "&amp;$A731&amp;"-"&amp;TEXT(($D731-$C731+1)+8,"00"),"")&amp;IF($C731&gt;=10,", "&amp;$A731&amp;"-"&amp;TEXT(($D731-$C731+1)+9,"00"),"")&amp;IF($C731&gt;=11,", "&amp;$A731&amp;"-"&amp;TEXT(($D731-$C731+1)+10,"00"),"")&amp;IF($C731&gt;=12,", "&amp;$A731&amp;"-"&amp;TEXT(($D731-$C731+1)+11,"00"),"")&amp;IF($C731&gt;=13,", "&amp;$A731&amp;"-"&amp;TEXT(($D731-$C731+1)+12,"00"),"")&amp;IF($C731&gt;=14,", "&amp;$A731&amp;"-"&amp;TEXT(($D731-$C731+1)+13,"00"),"")&amp;IF($C731&gt;=15,", "&amp;$A731&amp;"-"&amp;TEXT(($D731-$C731+1)+14,"00"),"")&amp;IF($C731&gt;=16,", "&amp;$A731&amp;"-"&amp;TEXT(($D731-$C731+1)+15,"00"),"")&amp;IF($C731&gt;=17,", "&amp;$A731&amp;"-"&amp;TEXT(($D731-$C731+1)+16,"00"),"")&amp;IF($C731&gt;=18,", "&amp;$A731&amp;"-"&amp;TEXT(($D731-$C731+1)+17,"00"),"")&amp;IF($C731&gt;=19,", "&amp;$A731&amp;"-"&amp;TEXT(($D731-$C731+1)+18,"00"),"")&amp;IF($C731&gt;=20,", "&amp;$A731&amp;"-"&amp;TEXT(($D731-$C731+1)+19,"00"),"")&amp;IF($C731&gt;=21,", "&amp;$A731&amp;"-"&amp;TEXT(($D731-$C731+1)+20,"00"),"")&amp;IF($C731&gt;=22,", "&amp;$A731&amp;"-"&amp;TEXT(($D731-$C731+1)+21,"00"),"")&amp;IF($C731&gt;=23,", "&amp;$A731&amp;"-"&amp;TEXT(($D731-$C731+1)+22,"00"),"")&amp;IF($C731&gt;=24,", "&amp;$A731&amp;"-"&amp;TEXT(($D731-$C731+1)+23,"00"),"")&amp;IF($C731&gt;=25,", "&amp;$A731&amp;"-"&amp;TEXT(($D731-$C731+1)+24,"00"),""))</f>
        <v/>
      </c>
      <c r="G731">
        <f>IF($A731="","",IF($E731=1,$F731,IF($F731="",$G730,IF($G730="",$F731,$G730&amp;", "&amp;$F731))))</f>
        <v/>
      </c>
      <c r="H731">
        <f>IF($A731="","",$A731&amp;" ("&amp;$C731&amp;")")</f>
        <v/>
      </c>
      <c r="I731">
        <f>IF($A731="","",IF($E731=1,$H731,$I730&amp;", "&amp;$H731))</f>
        <v/>
      </c>
      <c r="J731">
        <f>IF($A731="","",IF($E731=1,$B731,""))</f>
        <v/>
      </c>
      <c r="K731">
        <f>IF($A731="","",IF(COUNTIF($B$2:$B731,$B731)=COUNTIF($B$2:$B$1601,$B731),$B731,""))</f>
        <v/>
      </c>
    </row>
    <row r="732">
      <c r="A732">
        <f>IF('TMP Paste'!$E732="","",'TMP Paste'!$E732)</f>
        <v/>
      </c>
      <c r="B732">
        <f>IF($A732="","",COUNTIF('TMP Paste'!$B$2:$B732,"?*"))</f>
        <v/>
      </c>
      <c r="C732">
        <f>IF($A732="","",IFERROR('TMP Paste'!$M732*1,0))</f>
        <v/>
      </c>
      <c r="D732">
        <f>IF($A732="","",SUMIF($B$2:$B732,$B732,$C$2:$C732))</f>
        <v/>
      </c>
      <c r="E732">
        <f>IF($A732="",0,IF('TMP Paste'!$B732="",0,1))</f>
        <v/>
      </c>
      <c r="F732">
        <f>IF(OR($A732="",$C732&lt;1),"",$A732&amp;"-"&amp;TEXT(($D732-$C732+1),"00")&amp;IF($C732&gt;=2,", "&amp;$A732&amp;"-"&amp;TEXT(($D732-$C732+1)+1,"00"),"")&amp;IF($C732&gt;=3,", "&amp;$A732&amp;"-"&amp;TEXT(($D732-$C732+1)+2,"00"),"")&amp;IF($C732&gt;=4,", "&amp;$A732&amp;"-"&amp;TEXT(($D732-$C732+1)+3,"00"),"")&amp;IF($C732&gt;=5,", "&amp;$A732&amp;"-"&amp;TEXT(($D732-$C732+1)+4,"00"),"")&amp;IF($C732&gt;=6,", "&amp;$A732&amp;"-"&amp;TEXT(($D732-$C732+1)+5,"00"),"")&amp;IF($C732&gt;=7,", "&amp;$A732&amp;"-"&amp;TEXT(($D732-$C732+1)+6,"00"),"")&amp;IF($C732&gt;=8,", "&amp;$A732&amp;"-"&amp;TEXT(($D732-$C732+1)+7,"00"),"")&amp;IF($C732&gt;=9,", "&amp;$A732&amp;"-"&amp;TEXT(($D732-$C732+1)+8,"00"),"")&amp;IF($C732&gt;=10,", "&amp;$A732&amp;"-"&amp;TEXT(($D732-$C732+1)+9,"00"),"")&amp;IF($C732&gt;=11,", "&amp;$A732&amp;"-"&amp;TEXT(($D732-$C732+1)+10,"00"),"")&amp;IF($C732&gt;=12,", "&amp;$A732&amp;"-"&amp;TEXT(($D732-$C732+1)+11,"00"),"")&amp;IF($C732&gt;=13,", "&amp;$A732&amp;"-"&amp;TEXT(($D732-$C732+1)+12,"00"),"")&amp;IF($C732&gt;=14,", "&amp;$A732&amp;"-"&amp;TEXT(($D732-$C732+1)+13,"00"),"")&amp;IF($C732&gt;=15,", "&amp;$A732&amp;"-"&amp;TEXT(($D732-$C732+1)+14,"00"),"")&amp;IF($C732&gt;=16,", "&amp;$A732&amp;"-"&amp;TEXT(($D732-$C732+1)+15,"00"),"")&amp;IF($C732&gt;=17,", "&amp;$A732&amp;"-"&amp;TEXT(($D732-$C732+1)+16,"00"),"")&amp;IF($C732&gt;=18,", "&amp;$A732&amp;"-"&amp;TEXT(($D732-$C732+1)+17,"00"),"")&amp;IF($C732&gt;=19,", "&amp;$A732&amp;"-"&amp;TEXT(($D732-$C732+1)+18,"00"),"")&amp;IF($C732&gt;=20,", "&amp;$A732&amp;"-"&amp;TEXT(($D732-$C732+1)+19,"00"),"")&amp;IF($C732&gt;=21,", "&amp;$A732&amp;"-"&amp;TEXT(($D732-$C732+1)+20,"00"),"")&amp;IF($C732&gt;=22,", "&amp;$A732&amp;"-"&amp;TEXT(($D732-$C732+1)+21,"00"),"")&amp;IF($C732&gt;=23,", "&amp;$A732&amp;"-"&amp;TEXT(($D732-$C732+1)+22,"00"),"")&amp;IF($C732&gt;=24,", "&amp;$A732&amp;"-"&amp;TEXT(($D732-$C732+1)+23,"00"),"")&amp;IF($C732&gt;=25,", "&amp;$A732&amp;"-"&amp;TEXT(($D732-$C732+1)+24,"00"),""))</f>
        <v/>
      </c>
      <c r="G732">
        <f>IF($A732="","",IF($E732=1,$F732,IF($F732="",$G731,IF($G731="",$F732,$G731&amp;", "&amp;$F732))))</f>
        <v/>
      </c>
      <c r="H732">
        <f>IF($A732="","",$A732&amp;" ("&amp;$C732&amp;")")</f>
        <v/>
      </c>
      <c r="I732">
        <f>IF($A732="","",IF($E732=1,$H732,$I731&amp;", "&amp;$H732))</f>
        <v/>
      </c>
      <c r="J732">
        <f>IF($A732="","",IF($E732=1,$B732,""))</f>
        <v/>
      </c>
      <c r="K732">
        <f>IF($A732="","",IF(COUNTIF($B$2:$B732,$B732)=COUNTIF($B$2:$B$1601,$B732),$B732,""))</f>
        <v/>
      </c>
    </row>
    <row r="733">
      <c r="A733">
        <f>IF('TMP Paste'!$E733="","",'TMP Paste'!$E733)</f>
        <v/>
      </c>
      <c r="B733">
        <f>IF($A733="","",COUNTIF('TMP Paste'!$B$2:$B733,"?*"))</f>
        <v/>
      </c>
      <c r="C733">
        <f>IF($A733="","",IFERROR('TMP Paste'!$M733*1,0))</f>
        <v/>
      </c>
      <c r="D733">
        <f>IF($A733="","",SUMIF($B$2:$B733,$B733,$C$2:$C733))</f>
        <v/>
      </c>
      <c r="E733">
        <f>IF($A733="",0,IF('TMP Paste'!$B733="",0,1))</f>
        <v/>
      </c>
      <c r="F733">
        <f>IF(OR($A733="",$C733&lt;1),"",$A733&amp;"-"&amp;TEXT(($D733-$C733+1),"00")&amp;IF($C733&gt;=2,", "&amp;$A733&amp;"-"&amp;TEXT(($D733-$C733+1)+1,"00"),"")&amp;IF($C733&gt;=3,", "&amp;$A733&amp;"-"&amp;TEXT(($D733-$C733+1)+2,"00"),"")&amp;IF($C733&gt;=4,", "&amp;$A733&amp;"-"&amp;TEXT(($D733-$C733+1)+3,"00"),"")&amp;IF($C733&gt;=5,", "&amp;$A733&amp;"-"&amp;TEXT(($D733-$C733+1)+4,"00"),"")&amp;IF($C733&gt;=6,", "&amp;$A733&amp;"-"&amp;TEXT(($D733-$C733+1)+5,"00"),"")&amp;IF($C733&gt;=7,", "&amp;$A733&amp;"-"&amp;TEXT(($D733-$C733+1)+6,"00"),"")&amp;IF($C733&gt;=8,", "&amp;$A733&amp;"-"&amp;TEXT(($D733-$C733+1)+7,"00"),"")&amp;IF($C733&gt;=9,", "&amp;$A733&amp;"-"&amp;TEXT(($D733-$C733+1)+8,"00"),"")&amp;IF($C733&gt;=10,", "&amp;$A733&amp;"-"&amp;TEXT(($D733-$C733+1)+9,"00"),"")&amp;IF($C733&gt;=11,", "&amp;$A733&amp;"-"&amp;TEXT(($D733-$C733+1)+10,"00"),"")&amp;IF($C733&gt;=12,", "&amp;$A733&amp;"-"&amp;TEXT(($D733-$C733+1)+11,"00"),"")&amp;IF($C733&gt;=13,", "&amp;$A733&amp;"-"&amp;TEXT(($D733-$C733+1)+12,"00"),"")&amp;IF($C733&gt;=14,", "&amp;$A733&amp;"-"&amp;TEXT(($D733-$C733+1)+13,"00"),"")&amp;IF($C733&gt;=15,", "&amp;$A733&amp;"-"&amp;TEXT(($D733-$C733+1)+14,"00"),"")&amp;IF($C733&gt;=16,", "&amp;$A733&amp;"-"&amp;TEXT(($D733-$C733+1)+15,"00"),"")&amp;IF($C733&gt;=17,", "&amp;$A733&amp;"-"&amp;TEXT(($D733-$C733+1)+16,"00"),"")&amp;IF($C733&gt;=18,", "&amp;$A733&amp;"-"&amp;TEXT(($D733-$C733+1)+17,"00"),"")&amp;IF($C733&gt;=19,", "&amp;$A733&amp;"-"&amp;TEXT(($D733-$C733+1)+18,"00"),"")&amp;IF($C733&gt;=20,", "&amp;$A733&amp;"-"&amp;TEXT(($D733-$C733+1)+19,"00"),"")&amp;IF($C733&gt;=21,", "&amp;$A733&amp;"-"&amp;TEXT(($D733-$C733+1)+20,"00"),"")&amp;IF($C733&gt;=22,", "&amp;$A733&amp;"-"&amp;TEXT(($D733-$C733+1)+21,"00"),"")&amp;IF($C733&gt;=23,", "&amp;$A733&amp;"-"&amp;TEXT(($D733-$C733+1)+22,"00"),"")&amp;IF($C733&gt;=24,", "&amp;$A733&amp;"-"&amp;TEXT(($D733-$C733+1)+23,"00"),"")&amp;IF($C733&gt;=25,", "&amp;$A733&amp;"-"&amp;TEXT(($D733-$C733+1)+24,"00"),""))</f>
        <v/>
      </c>
      <c r="G733">
        <f>IF($A733="","",IF($E733=1,$F733,IF($F733="",$G732,IF($G732="",$F733,$G732&amp;", "&amp;$F733))))</f>
        <v/>
      </c>
      <c r="H733">
        <f>IF($A733="","",$A733&amp;" ("&amp;$C733&amp;")")</f>
        <v/>
      </c>
      <c r="I733">
        <f>IF($A733="","",IF($E733=1,$H733,$I732&amp;", "&amp;$H733))</f>
        <v/>
      </c>
      <c r="J733">
        <f>IF($A733="","",IF($E733=1,$B733,""))</f>
        <v/>
      </c>
      <c r="K733">
        <f>IF($A733="","",IF(COUNTIF($B$2:$B733,$B733)=COUNTIF($B$2:$B$1601,$B733),$B733,""))</f>
        <v/>
      </c>
    </row>
    <row r="734">
      <c r="A734">
        <f>IF('TMP Paste'!$E734="","",'TMP Paste'!$E734)</f>
        <v/>
      </c>
      <c r="B734">
        <f>IF($A734="","",COUNTIF('TMP Paste'!$B$2:$B734,"?*"))</f>
        <v/>
      </c>
      <c r="C734">
        <f>IF($A734="","",IFERROR('TMP Paste'!$M734*1,0))</f>
        <v/>
      </c>
      <c r="D734">
        <f>IF($A734="","",SUMIF($B$2:$B734,$B734,$C$2:$C734))</f>
        <v/>
      </c>
      <c r="E734">
        <f>IF($A734="",0,IF('TMP Paste'!$B734="",0,1))</f>
        <v/>
      </c>
      <c r="F734">
        <f>IF(OR($A734="",$C734&lt;1),"",$A734&amp;"-"&amp;TEXT(($D734-$C734+1),"00")&amp;IF($C734&gt;=2,", "&amp;$A734&amp;"-"&amp;TEXT(($D734-$C734+1)+1,"00"),"")&amp;IF($C734&gt;=3,", "&amp;$A734&amp;"-"&amp;TEXT(($D734-$C734+1)+2,"00"),"")&amp;IF($C734&gt;=4,", "&amp;$A734&amp;"-"&amp;TEXT(($D734-$C734+1)+3,"00"),"")&amp;IF($C734&gt;=5,", "&amp;$A734&amp;"-"&amp;TEXT(($D734-$C734+1)+4,"00"),"")&amp;IF($C734&gt;=6,", "&amp;$A734&amp;"-"&amp;TEXT(($D734-$C734+1)+5,"00"),"")&amp;IF($C734&gt;=7,", "&amp;$A734&amp;"-"&amp;TEXT(($D734-$C734+1)+6,"00"),"")&amp;IF($C734&gt;=8,", "&amp;$A734&amp;"-"&amp;TEXT(($D734-$C734+1)+7,"00"),"")&amp;IF($C734&gt;=9,", "&amp;$A734&amp;"-"&amp;TEXT(($D734-$C734+1)+8,"00"),"")&amp;IF($C734&gt;=10,", "&amp;$A734&amp;"-"&amp;TEXT(($D734-$C734+1)+9,"00"),"")&amp;IF($C734&gt;=11,", "&amp;$A734&amp;"-"&amp;TEXT(($D734-$C734+1)+10,"00"),"")&amp;IF($C734&gt;=12,", "&amp;$A734&amp;"-"&amp;TEXT(($D734-$C734+1)+11,"00"),"")&amp;IF($C734&gt;=13,", "&amp;$A734&amp;"-"&amp;TEXT(($D734-$C734+1)+12,"00"),"")&amp;IF($C734&gt;=14,", "&amp;$A734&amp;"-"&amp;TEXT(($D734-$C734+1)+13,"00"),"")&amp;IF($C734&gt;=15,", "&amp;$A734&amp;"-"&amp;TEXT(($D734-$C734+1)+14,"00"),"")&amp;IF($C734&gt;=16,", "&amp;$A734&amp;"-"&amp;TEXT(($D734-$C734+1)+15,"00"),"")&amp;IF($C734&gt;=17,", "&amp;$A734&amp;"-"&amp;TEXT(($D734-$C734+1)+16,"00"),"")&amp;IF($C734&gt;=18,", "&amp;$A734&amp;"-"&amp;TEXT(($D734-$C734+1)+17,"00"),"")&amp;IF($C734&gt;=19,", "&amp;$A734&amp;"-"&amp;TEXT(($D734-$C734+1)+18,"00"),"")&amp;IF($C734&gt;=20,", "&amp;$A734&amp;"-"&amp;TEXT(($D734-$C734+1)+19,"00"),"")&amp;IF($C734&gt;=21,", "&amp;$A734&amp;"-"&amp;TEXT(($D734-$C734+1)+20,"00"),"")&amp;IF($C734&gt;=22,", "&amp;$A734&amp;"-"&amp;TEXT(($D734-$C734+1)+21,"00"),"")&amp;IF($C734&gt;=23,", "&amp;$A734&amp;"-"&amp;TEXT(($D734-$C734+1)+22,"00"),"")&amp;IF($C734&gt;=24,", "&amp;$A734&amp;"-"&amp;TEXT(($D734-$C734+1)+23,"00"),"")&amp;IF($C734&gt;=25,", "&amp;$A734&amp;"-"&amp;TEXT(($D734-$C734+1)+24,"00"),""))</f>
        <v/>
      </c>
      <c r="G734">
        <f>IF($A734="","",IF($E734=1,$F734,IF($F734="",$G733,IF($G733="",$F734,$G733&amp;", "&amp;$F734))))</f>
        <v/>
      </c>
      <c r="H734">
        <f>IF($A734="","",$A734&amp;" ("&amp;$C734&amp;")")</f>
        <v/>
      </c>
      <c r="I734">
        <f>IF($A734="","",IF($E734=1,$H734,$I733&amp;", "&amp;$H734))</f>
        <v/>
      </c>
      <c r="J734">
        <f>IF($A734="","",IF($E734=1,$B734,""))</f>
        <v/>
      </c>
      <c r="K734">
        <f>IF($A734="","",IF(COUNTIF($B$2:$B734,$B734)=COUNTIF($B$2:$B$1601,$B734),$B734,""))</f>
        <v/>
      </c>
    </row>
    <row r="735">
      <c r="A735">
        <f>IF('TMP Paste'!$E735="","",'TMP Paste'!$E735)</f>
        <v/>
      </c>
      <c r="B735">
        <f>IF($A735="","",COUNTIF('TMP Paste'!$B$2:$B735,"?*"))</f>
        <v/>
      </c>
      <c r="C735">
        <f>IF($A735="","",IFERROR('TMP Paste'!$M735*1,0))</f>
        <v/>
      </c>
      <c r="D735">
        <f>IF($A735="","",SUMIF($B$2:$B735,$B735,$C$2:$C735))</f>
        <v/>
      </c>
      <c r="E735">
        <f>IF($A735="",0,IF('TMP Paste'!$B735="",0,1))</f>
        <v/>
      </c>
      <c r="F735">
        <f>IF(OR($A735="",$C735&lt;1),"",$A735&amp;"-"&amp;TEXT(($D735-$C735+1),"00")&amp;IF($C735&gt;=2,", "&amp;$A735&amp;"-"&amp;TEXT(($D735-$C735+1)+1,"00"),"")&amp;IF($C735&gt;=3,", "&amp;$A735&amp;"-"&amp;TEXT(($D735-$C735+1)+2,"00"),"")&amp;IF($C735&gt;=4,", "&amp;$A735&amp;"-"&amp;TEXT(($D735-$C735+1)+3,"00"),"")&amp;IF($C735&gt;=5,", "&amp;$A735&amp;"-"&amp;TEXT(($D735-$C735+1)+4,"00"),"")&amp;IF($C735&gt;=6,", "&amp;$A735&amp;"-"&amp;TEXT(($D735-$C735+1)+5,"00"),"")&amp;IF($C735&gt;=7,", "&amp;$A735&amp;"-"&amp;TEXT(($D735-$C735+1)+6,"00"),"")&amp;IF($C735&gt;=8,", "&amp;$A735&amp;"-"&amp;TEXT(($D735-$C735+1)+7,"00"),"")&amp;IF($C735&gt;=9,", "&amp;$A735&amp;"-"&amp;TEXT(($D735-$C735+1)+8,"00"),"")&amp;IF($C735&gt;=10,", "&amp;$A735&amp;"-"&amp;TEXT(($D735-$C735+1)+9,"00"),"")&amp;IF($C735&gt;=11,", "&amp;$A735&amp;"-"&amp;TEXT(($D735-$C735+1)+10,"00"),"")&amp;IF($C735&gt;=12,", "&amp;$A735&amp;"-"&amp;TEXT(($D735-$C735+1)+11,"00"),"")&amp;IF($C735&gt;=13,", "&amp;$A735&amp;"-"&amp;TEXT(($D735-$C735+1)+12,"00"),"")&amp;IF($C735&gt;=14,", "&amp;$A735&amp;"-"&amp;TEXT(($D735-$C735+1)+13,"00"),"")&amp;IF($C735&gt;=15,", "&amp;$A735&amp;"-"&amp;TEXT(($D735-$C735+1)+14,"00"),"")&amp;IF($C735&gt;=16,", "&amp;$A735&amp;"-"&amp;TEXT(($D735-$C735+1)+15,"00"),"")&amp;IF($C735&gt;=17,", "&amp;$A735&amp;"-"&amp;TEXT(($D735-$C735+1)+16,"00"),"")&amp;IF($C735&gt;=18,", "&amp;$A735&amp;"-"&amp;TEXT(($D735-$C735+1)+17,"00"),"")&amp;IF($C735&gt;=19,", "&amp;$A735&amp;"-"&amp;TEXT(($D735-$C735+1)+18,"00"),"")&amp;IF($C735&gt;=20,", "&amp;$A735&amp;"-"&amp;TEXT(($D735-$C735+1)+19,"00"),"")&amp;IF($C735&gt;=21,", "&amp;$A735&amp;"-"&amp;TEXT(($D735-$C735+1)+20,"00"),"")&amp;IF($C735&gt;=22,", "&amp;$A735&amp;"-"&amp;TEXT(($D735-$C735+1)+21,"00"),"")&amp;IF($C735&gt;=23,", "&amp;$A735&amp;"-"&amp;TEXT(($D735-$C735+1)+22,"00"),"")&amp;IF($C735&gt;=24,", "&amp;$A735&amp;"-"&amp;TEXT(($D735-$C735+1)+23,"00"),"")&amp;IF($C735&gt;=25,", "&amp;$A735&amp;"-"&amp;TEXT(($D735-$C735+1)+24,"00"),""))</f>
        <v/>
      </c>
      <c r="G735">
        <f>IF($A735="","",IF($E735=1,$F735,IF($F735="",$G734,IF($G734="",$F735,$G734&amp;", "&amp;$F735))))</f>
        <v/>
      </c>
      <c r="H735">
        <f>IF($A735="","",$A735&amp;" ("&amp;$C735&amp;")")</f>
        <v/>
      </c>
      <c r="I735">
        <f>IF($A735="","",IF($E735=1,$H735,$I734&amp;", "&amp;$H735))</f>
        <v/>
      </c>
      <c r="J735">
        <f>IF($A735="","",IF($E735=1,$B735,""))</f>
        <v/>
      </c>
      <c r="K735">
        <f>IF($A735="","",IF(COUNTIF($B$2:$B735,$B735)=COUNTIF($B$2:$B$1601,$B735),$B735,""))</f>
        <v/>
      </c>
    </row>
    <row r="736">
      <c r="A736">
        <f>IF('TMP Paste'!$E736="","",'TMP Paste'!$E736)</f>
        <v/>
      </c>
      <c r="B736">
        <f>IF($A736="","",COUNTIF('TMP Paste'!$B$2:$B736,"?*"))</f>
        <v/>
      </c>
      <c r="C736">
        <f>IF($A736="","",IFERROR('TMP Paste'!$M736*1,0))</f>
        <v/>
      </c>
      <c r="D736">
        <f>IF($A736="","",SUMIF($B$2:$B736,$B736,$C$2:$C736))</f>
        <v/>
      </c>
      <c r="E736">
        <f>IF($A736="",0,IF('TMP Paste'!$B736="",0,1))</f>
        <v/>
      </c>
      <c r="F736">
        <f>IF(OR($A736="",$C736&lt;1),"",$A736&amp;"-"&amp;TEXT(($D736-$C736+1),"00")&amp;IF($C736&gt;=2,", "&amp;$A736&amp;"-"&amp;TEXT(($D736-$C736+1)+1,"00"),"")&amp;IF($C736&gt;=3,", "&amp;$A736&amp;"-"&amp;TEXT(($D736-$C736+1)+2,"00"),"")&amp;IF($C736&gt;=4,", "&amp;$A736&amp;"-"&amp;TEXT(($D736-$C736+1)+3,"00"),"")&amp;IF($C736&gt;=5,", "&amp;$A736&amp;"-"&amp;TEXT(($D736-$C736+1)+4,"00"),"")&amp;IF($C736&gt;=6,", "&amp;$A736&amp;"-"&amp;TEXT(($D736-$C736+1)+5,"00"),"")&amp;IF($C736&gt;=7,", "&amp;$A736&amp;"-"&amp;TEXT(($D736-$C736+1)+6,"00"),"")&amp;IF($C736&gt;=8,", "&amp;$A736&amp;"-"&amp;TEXT(($D736-$C736+1)+7,"00"),"")&amp;IF($C736&gt;=9,", "&amp;$A736&amp;"-"&amp;TEXT(($D736-$C736+1)+8,"00"),"")&amp;IF($C736&gt;=10,", "&amp;$A736&amp;"-"&amp;TEXT(($D736-$C736+1)+9,"00"),"")&amp;IF($C736&gt;=11,", "&amp;$A736&amp;"-"&amp;TEXT(($D736-$C736+1)+10,"00"),"")&amp;IF($C736&gt;=12,", "&amp;$A736&amp;"-"&amp;TEXT(($D736-$C736+1)+11,"00"),"")&amp;IF($C736&gt;=13,", "&amp;$A736&amp;"-"&amp;TEXT(($D736-$C736+1)+12,"00"),"")&amp;IF($C736&gt;=14,", "&amp;$A736&amp;"-"&amp;TEXT(($D736-$C736+1)+13,"00"),"")&amp;IF($C736&gt;=15,", "&amp;$A736&amp;"-"&amp;TEXT(($D736-$C736+1)+14,"00"),"")&amp;IF($C736&gt;=16,", "&amp;$A736&amp;"-"&amp;TEXT(($D736-$C736+1)+15,"00"),"")&amp;IF($C736&gt;=17,", "&amp;$A736&amp;"-"&amp;TEXT(($D736-$C736+1)+16,"00"),"")&amp;IF($C736&gt;=18,", "&amp;$A736&amp;"-"&amp;TEXT(($D736-$C736+1)+17,"00"),"")&amp;IF($C736&gt;=19,", "&amp;$A736&amp;"-"&amp;TEXT(($D736-$C736+1)+18,"00"),"")&amp;IF($C736&gt;=20,", "&amp;$A736&amp;"-"&amp;TEXT(($D736-$C736+1)+19,"00"),"")&amp;IF($C736&gt;=21,", "&amp;$A736&amp;"-"&amp;TEXT(($D736-$C736+1)+20,"00"),"")&amp;IF($C736&gt;=22,", "&amp;$A736&amp;"-"&amp;TEXT(($D736-$C736+1)+21,"00"),"")&amp;IF($C736&gt;=23,", "&amp;$A736&amp;"-"&amp;TEXT(($D736-$C736+1)+22,"00"),"")&amp;IF($C736&gt;=24,", "&amp;$A736&amp;"-"&amp;TEXT(($D736-$C736+1)+23,"00"),"")&amp;IF($C736&gt;=25,", "&amp;$A736&amp;"-"&amp;TEXT(($D736-$C736+1)+24,"00"),""))</f>
        <v/>
      </c>
      <c r="G736">
        <f>IF($A736="","",IF($E736=1,$F736,IF($F736="",$G735,IF($G735="",$F736,$G735&amp;", "&amp;$F736))))</f>
        <v/>
      </c>
      <c r="H736">
        <f>IF($A736="","",$A736&amp;" ("&amp;$C736&amp;")")</f>
        <v/>
      </c>
      <c r="I736">
        <f>IF($A736="","",IF($E736=1,$H736,$I735&amp;", "&amp;$H736))</f>
        <v/>
      </c>
      <c r="J736">
        <f>IF($A736="","",IF($E736=1,$B736,""))</f>
        <v/>
      </c>
      <c r="K736">
        <f>IF($A736="","",IF(COUNTIF($B$2:$B736,$B736)=COUNTIF($B$2:$B$1601,$B736),$B736,""))</f>
        <v/>
      </c>
    </row>
    <row r="737">
      <c r="A737">
        <f>IF('TMP Paste'!$E737="","",'TMP Paste'!$E737)</f>
        <v/>
      </c>
      <c r="B737">
        <f>IF($A737="","",COUNTIF('TMP Paste'!$B$2:$B737,"?*"))</f>
        <v/>
      </c>
      <c r="C737">
        <f>IF($A737="","",IFERROR('TMP Paste'!$M737*1,0))</f>
        <v/>
      </c>
      <c r="D737">
        <f>IF($A737="","",SUMIF($B$2:$B737,$B737,$C$2:$C737))</f>
        <v/>
      </c>
      <c r="E737">
        <f>IF($A737="",0,IF('TMP Paste'!$B737="",0,1))</f>
        <v/>
      </c>
      <c r="F737">
        <f>IF(OR($A737="",$C737&lt;1),"",$A737&amp;"-"&amp;TEXT(($D737-$C737+1),"00")&amp;IF($C737&gt;=2,", "&amp;$A737&amp;"-"&amp;TEXT(($D737-$C737+1)+1,"00"),"")&amp;IF($C737&gt;=3,", "&amp;$A737&amp;"-"&amp;TEXT(($D737-$C737+1)+2,"00"),"")&amp;IF($C737&gt;=4,", "&amp;$A737&amp;"-"&amp;TEXT(($D737-$C737+1)+3,"00"),"")&amp;IF($C737&gt;=5,", "&amp;$A737&amp;"-"&amp;TEXT(($D737-$C737+1)+4,"00"),"")&amp;IF($C737&gt;=6,", "&amp;$A737&amp;"-"&amp;TEXT(($D737-$C737+1)+5,"00"),"")&amp;IF($C737&gt;=7,", "&amp;$A737&amp;"-"&amp;TEXT(($D737-$C737+1)+6,"00"),"")&amp;IF($C737&gt;=8,", "&amp;$A737&amp;"-"&amp;TEXT(($D737-$C737+1)+7,"00"),"")&amp;IF($C737&gt;=9,", "&amp;$A737&amp;"-"&amp;TEXT(($D737-$C737+1)+8,"00"),"")&amp;IF($C737&gt;=10,", "&amp;$A737&amp;"-"&amp;TEXT(($D737-$C737+1)+9,"00"),"")&amp;IF($C737&gt;=11,", "&amp;$A737&amp;"-"&amp;TEXT(($D737-$C737+1)+10,"00"),"")&amp;IF($C737&gt;=12,", "&amp;$A737&amp;"-"&amp;TEXT(($D737-$C737+1)+11,"00"),"")&amp;IF($C737&gt;=13,", "&amp;$A737&amp;"-"&amp;TEXT(($D737-$C737+1)+12,"00"),"")&amp;IF($C737&gt;=14,", "&amp;$A737&amp;"-"&amp;TEXT(($D737-$C737+1)+13,"00"),"")&amp;IF($C737&gt;=15,", "&amp;$A737&amp;"-"&amp;TEXT(($D737-$C737+1)+14,"00"),"")&amp;IF($C737&gt;=16,", "&amp;$A737&amp;"-"&amp;TEXT(($D737-$C737+1)+15,"00"),"")&amp;IF($C737&gt;=17,", "&amp;$A737&amp;"-"&amp;TEXT(($D737-$C737+1)+16,"00"),"")&amp;IF($C737&gt;=18,", "&amp;$A737&amp;"-"&amp;TEXT(($D737-$C737+1)+17,"00"),"")&amp;IF($C737&gt;=19,", "&amp;$A737&amp;"-"&amp;TEXT(($D737-$C737+1)+18,"00"),"")&amp;IF($C737&gt;=20,", "&amp;$A737&amp;"-"&amp;TEXT(($D737-$C737+1)+19,"00"),"")&amp;IF($C737&gt;=21,", "&amp;$A737&amp;"-"&amp;TEXT(($D737-$C737+1)+20,"00"),"")&amp;IF($C737&gt;=22,", "&amp;$A737&amp;"-"&amp;TEXT(($D737-$C737+1)+21,"00"),"")&amp;IF($C737&gt;=23,", "&amp;$A737&amp;"-"&amp;TEXT(($D737-$C737+1)+22,"00"),"")&amp;IF($C737&gt;=24,", "&amp;$A737&amp;"-"&amp;TEXT(($D737-$C737+1)+23,"00"),"")&amp;IF($C737&gt;=25,", "&amp;$A737&amp;"-"&amp;TEXT(($D737-$C737+1)+24,"00"),""))</f>
        <v/>
      </c>
      <c r="G737">
        <f>IF($A737="","",IF($E737=1,$F737,IF($F737="",$G736,IF($G736="",$F737,$G736&amp;", "&amp;$F737))))</f>
        <v/>
      </c>
      <c r="H737">
        <f>IF($A737="","",$A737&amp;" ("&amp;$C737&amp;")")</f>
        <v/>
      </c>
      <c r="I737">
        <f>IF($A737="","",IF($E737=1,$H737,$I736&amp;", "&amp;$H737))</f>
        <v/>
      </c>
      <c r="J737">
        <f>IF($A737="","",IF($E737=1,$B737,""))</f>
        <v/>
      </c>
      <c r="K737">
        <f>IF($A737="","",IF(COUNTIF($B$2:$B737,$B737)=COUNTIF($B$2:$B$1601,$B737),$B737,""))</f>
        <v/>
      </c>
    </row>
    <row r="738">
      <c r="A738">
        <f>IF('TMP Paste'!$E738="","",'TMP Paste'!$E738)</f>
        <v/>
      </c>
      <c r="B738">
        <f>IF($A738="","",COUNTIF('TMP Paste'!$B$2:$B738,"?*"))</f>
        <v/>
      </c>
      <c r="C738">
        <f>IF($A738="","",IFERROR('TMP Paste'!$M738*1,0))</f>
        <v/>
      </c>
      <c r="D738">
        <f>IF($A738="","",SUMIF($B$2:$B738,$B738,$C$2:$C738))</f>
        <v/>
      </c>
      <c r="E738">
        <f>IF($A738="",0,IF('TMP Paste'!$B738="",0,1))</f>
        <v/>
      </c>
      <c r="F738">
        <f>IF(OR($A738="",$C738&lt;1),"",$A738&amp;"-"&amp;TEXT(($D738-$C738+1),"00")&amp;IF($C738&gt;=2,", "&amp;$A738&amp;"-"&amp;TEXT(($D738-$C738+1)+1,"00"),"")&amp;IF($C738&gt;=3,", "&amp;$A738&amp;"-"&amp;TEXT(($D738-$C738+1)+2,"00"),"")&amp;IF($C738&gt;=4,", "&amp;$A738&amp;"-"&amp;TEXT(($D738-$C738+1)+3,"00"),"")&amp;IF($C738&gt;=5,", "&amp;$A738&amp;"-"&amp;TEXT(($D738-$C738+1)+4,"00"),"")&amp;IF($C738&gt;=6,", "&amp;$A738&amp;"-"&amp;TEXT(($D738-$C738+1)+5,"00"),"")&amp;IF($C738&gt;=7,", "&amp;$A738&amp;"-"&amp;TEXT(($D738-$C738+1)+6,"00"),"")&amp;IF($C738&gt;=8,", "&amp;$A738&amp;"-"&amp;TEXT(($D738-$C738+1)+7,"00"),"")&amp;IF($C738&gt;=9,", "&amp;$A738&amp;"-"&amp;TEXT(($D738-$C738+1)+8,"00"),"")&amp;IF($C738&gt;=10,", "&amp;$A738&amp;"-"&amp;TEXT(($D738-$C738+1)+9,"00"),"")&amp;IF($C738&gt;=11,", "&amp;$A738&amp;"-"&amp;TEXT(($D738-$C738+1)+10,"00"),"")&amp;IF($C738&gt;=12,", "&amp;$A738&amp;"-"&amp;TEXT(($D738-$C738+1)+11,"00"),"")&amp;IF($C738&gt;=13,", "&amp;$A738&amp;"-"&amp;TEXT(($D738-$C738+1)+12,"00"),"")&amp;IF($C738&gt;=14,", "&amp;$A738&amp;"-"&amp;TEXT(($D738-$C738+1)+13,"00"),"")&amp;IF($C738&gt;=15,", "&amp;$A738&amp;"-"&amp;TEXT(($D738-$C738+1)+14,"00"),"")&amp;IF($C738&gt;=16,", "&amp;$A738&amp;"-"&amp;TEXT(($D738-$C738+1)+15,"00"),"")&amp;IF($C738&gt;=17,", "&amp;$A738&amp;"-"&amp;TEXT(($D738-$C738+1)+16,"00"),"")&amp;IF($C738&gt;=18,", "&amp;$A738&amp;"-"&amp;TEXT(($D738-$C738+1)+17,"00"),"")&amp;IF($C738&gt;=19,", "&amp;$A738&amp;"-"&amp;TEXT(($D738-$C738+1)+18,"00"),"")&amp;IF($C738&gt;=20,", "&amp;$A738&amp;"-"&amp;TEXT(($D738-$C738+1)+19,"00"),"")&amp;IF($C738&gt;=21,", "&amp;$A738&amp;"-"&amp;TEXT(($D738-$C738+1)+20,"00"),"")&amp;IF($C738&gt;=22,", "&amp;$A738&amp;"-"&amp;TEXT(($D738-$C738+1)+21,"00"),"")&amp;IF($C738&gt;=23,", "&amp;$A738&amp;"-"&amp;TEXT(($D738-$C738+1)+22,"00"),"")&amp;IF($C738&gt;=24,", "&amp;$A738&amp;"-"&amp;TEXT(($D738-$C738+1)+23,"00"),"")&amp;IF($C738&gt;=25,", "&amp;$A738&amp;"-"&amp;TEXT(($D738-$C738+1)+24,"00"),""))</f>
        <v/>
      </c>
      <c r="G738">
        <f>IF($A738="","",IF($E738=1,$F738,IF($F738="",$G737,IF($G737="",$F738,$G737&amp;", "&amp;$F738))))</f>
        <v/>
      </c>
      <c r="H738">
        <f>IF($A738="","",$A738&amp;" ("&amp;$C738&amp;")")</f>
        <v/>
      </c>
      <c r="I738">
        <f>IF($A738="","",IF($E738=1,$H738,$I737&amp;", "&amp;$H738))</f>
        <v/>
      </c>
      <c r="J738">
        <f>IF($A738="","",IF($E738=1,$B738,""))</f>
        <v/>
      </c>
      <c r="K738">
        <f>IF($A738="","",IF(COUNTIF($B$2:$B738,$B738)=COUNTIF($B$2:$B$1601,$B738),$B738,""))</f>
        <v/>
      </c>
    </row>
    <row r="739">
      <c r="A739">
        <f>IF('TMP Paste'!$E739="","",'TMP Paste'!$E739)</f>
        <v/>
      </c>
      <c r="B739">
        <f>IF($A739="","",COUNTIF('TMP Paste'!$B$2:$B739,"?*"))</f>
        <v/>
      </c>
      <c r="C739">
        <f>IF($A739="","",IFERROR('TMP Paste'!$M739*1,0))</f>
        <v/>
      </c>
      <c r="D739">
        <f>IF($A739="","",SUMIF($B$2:$B739,$B739,$C$2:$C739))</f>
        <v/>
      </c>
      <c r="E739">
        <f>IF($A739="",0,IF('TMP Paste'!$B739="",0,1))</f>
        <v/>
      </c>
      <c r="F739">
        <f>IF(OR($A739="",$C739&lt;1),"",$A739&amp;"-"&amp;TEXT(($D739-$C739+1),"00")&amp;IF($C739&gt;=2,", "&amp;$A739&amp;"-"&amp;TEXT(($D739-$C739+1)+1,"00"),"")&amp;IF($C739&gt;=3,", "&amp;$A739&amp;"-"&amp;TEXT(($D739-$C739+1)+2,"00"),"")&amp;IF($C739&gt;=4,", "&amp;$A739&amp;"-"&amp;TEXT(($D739-$C739+1)+3,"00"),"")&amp;IF($C739&gt;=5,", "&amp;$A739&amp;"-"&amp;TEXT(($D739-$C739+1)+4,"00"),"")&amp;IF($C739&gt;=6,", "&amp;$A739&amp;"-"&amp;TEXT(($D739-$C739+1)+5,"00"),"")&amp;IF($C739&gt;=7,", "&amp;$A739&amp;"-"&amp;TEXT(($D739-$C739+1)+6,"00"),"")&amp;IF($C739&gt;=8,", "&amp;$A739&amp;"-"&amp;TEXT(($D739-$C739+1)+7,"00"),"")&amp;IF($C739&gt;=9,", "&amp;$A739&amp;"-"&amp;TEXT(($D739-$C739+1)+8,"00"),"")&amp;IF($C739&gt;=10,", "&amp;$A739&amp;"-"&amp;TEXT(($D739-$C739+1)+9,"00"),"")&amp;IF($C739&gt;=11,", "&amp;$A739&amp;"-"&amp;TEXT(($D739-$C739+1)+10,"00"),"")&amp;IF($C739&gt;=12,", "&amp;$A739&amp;"-"&amp;TEXT(($D739-$C739+1)+11,"00"),"")&amp;IF($C739&gt;=13,", "&amp;$A739&amp;"-"&amp;TEXT(($D739-$C739+1)+12,"00"),"")&amp;IF($C739&gt;=14,", "&amp;$A739&amp;"-"&amp;TEXT(($D739-$C739+1)+13,"00"),"")&amp;IF($C739&gt;=15,", "&amp;$A739&amp;"-"&amp;TEXT(($D739-$C739+1)+14,"00"),"")&amp;IF($C739&gt;=16,", "&amp;$A739&amp;"-"&amp;TEXT(($D739-$C739+1)+15,"00"),"")&amp;IF($C739&gt;=17,", "&amp;$A739&amp;"-"&amp;TEXT(($D739-$C739+1)+16,"00"),"")&amp;IF($C739&gt;=18,", "&amp;$A739&amp;"-"&amp;TEXT(($D739-$C739+1)+17,"00"),"")&amp;IF($C739&gt;=19,", "&amp;$A739&amp;"-"&amp;TEXT(($D739-$C739+1)+18,"00"),"")&amp;IF($C739&gt;=20,", "&amp;$A739&amp;"-"&amp;TEXT(($D739-$C739+1)+19,"00"),"")&amp;IF($C739&gt;=21,", "&amp;$A739&amp;"-"&amp;TEXT(($D739-$C739+1)+20,"00"),"")&amp;IF($C739&gt;=22,", "&amp;$A739&amp;"-"&amp;TEXT(($D739-$C739+1)+21,"00"),"")&amp;IF($C739&gt;=23,", "&amp;$A739&amp;"-"&amp;TEXT(($D739-$C739+1)+22,"00"),"")&amp;IF($C739&gt;=24,", "&amp;$A739&amp;"-"&amp;TEXT(($D739-$C739+1)+23,"00"),"")&amp;IF($C739&gt;=25,", "&amp;$A739&amp;"-"&amp;TEXT(($D739-$C739+1)+24,"00"),""))</f>
        <v/>
      </c>
      <c r="G739">
        <f>IF($A739="","",IF($E739=1,$F739,IF($F739="",$G738,IF($G738="",$F739,$G738&amp;", "&amp;$F739))))</f>
        <v/>
      </c>
      <c r="H739">
        <f>IF($A739="","",$A739&amp;" ("&amp;$C739&amp;")")</f>
        <v/>
      </c>
      <c r="I739">
        <f>IF($A739="","",IF($E739=1,$H739,$I738&amp;", "&amp;$H739))</f>
        <v/>
      </c>
      <c r="J739">
        <f>IF($A739="","",IF($E739=1,$B739,""))</f>
        <v/>
      </c>
      <c r="K739">
        <f>IF($A739="","",IF(COUNTIF($B$2:$B739,$B739)=COUNTIF($B$2:$B$1601,$B739),$B739,""))</f>
        <v/>
      </c>
    </row>
    <row r="740">
      <c r="A740">
        <f>IF('TMP Paste'!$E740="","",'TMP Paste'!$E740)</f>
        <v/>
      </c>
      <c r="B740">
        <f>IF($A740="","",COUNTIF('TMP Paste'!$B$2:$B740,"?*"))</f>
        <v/>
      </c>
      <c r="C740">
        <f>IF($A740="","",IFERROR('TMP Paste'!$M740*1,0))</f>
        <v/>
      </c>
      <c r="D740">
        <f>IF($A740="","",SUMIF($B$2:$B740,$B740,$C$2:$C740))</f>
        <v/>
      </c>
      <c r="E740">
        <f>IF($A740="",0,IF('TMP Paste'!$B740="",0,1))</f>
        <v/>
      </c>
      <c r="F740">
        <f>IF(OR($A740="",$C740&lt;1),"",$A740&amp;"-"&amp;TEXT(($D740-$C740+1),"00")&amp;IF($C740&gt;=2,", "&amp;$A740&amp;"-"&amp;TEXT(($D740-$C740+1)+1,"00"),"")&amp;IF($C740&gt;=3,", "&amp;$A740&amp;"-"&amp;TEXT(($D740-$C740+1)+2,"00"),"")&amp;IF($C740&gt;=4,", "&amp;$A740&amp;"-"&amp;TEXT(($D740-$C740+1)+3,"00"),"")&amp;IF($C740&gt;=5,", "&amp;$A740&amp;"-"&amp;TEXT(($D740-$C740+1)+4,"00"),"")&amp;IF($C740&gt;=6,", "&amp;$A740&amp;"-"&amp;TEXT(($D740-$C740+1)+5,"00"),"")&amp;IF($C740&gt;=7,", "&amp;$A740&amp;"-"&amp;TEXT(($D740-$C740+1)+6,"00"),"")&amp;IF($C740&gt;=8,", "&amp;$A740&amp;"-"&amp;TEXT(($D740-$C740+1)+7,"00"),"")&amp;IF($C740&gt;=9,", "&amp;$A740&amp;"-"&amp;TEXT(($D740-$C740+1)+8,"00"),"")&amp;IF($C740&gt;=10,", "&amp;$A740&amp;"-"&amp;TEXT(($D740-$C740+1)+9,"00"),"")&amp;IF($C740&gt;=11,", "&amp;$A740&amp;"-"&amp;TEXT(($D740-$C740+1)+10,"00"),"")&amp;IF($C740&gt;=12,", "&amp;$A740&amp;"-"&amp;TEXT(($D740-$C740+1)+11,"00"),"")&amp;IF($C740&gt;=13,", "&amp;$A740&amp;"-"&amp;TEXT(($D740-$C740+1)+12,"00"),"")&amp;IF($C740&gt;=14,", "&amp;$A740&amp;"-"&amp;TEXT(($D740-$C740+1)+13,"00"),"")&amp;IF($C740&gt;=15,", "&amp;$A740&amp;"-"&amp;TEXT(($D740-$C740+1)+14,"00"),"")&amp;IF($C740&gt;=16,", "&amp;$A740&amp;"-"&amp;TEXT(($D740-$C740+1)+15,"00"),"")&amp;IF($C740&gt;=17,", "&amp;$A740&amp;"-"&amp;TEXT(($D740-$C740+1)+16,"00"),"")&amp;IF($C740&gt;=18,", "&amp;$A740&amp;"-"&amp;TEXT(($D740-$C740+1)+17,"00"),"")&amp;IF($C740&gt;=19,", "&amp;$A740&amp;"-"&amp;TEXT(($D740-$C740+1)+18,"00"),"")&amp;IF($C740&gt;=20,", "&amp;$A740&amp;"-"&amp;TEXT(($D740-$C740+1)+19,"00"),"")&amp;IF($C740&gt;=21,", "&amp;$A740&amp;"-"&amp;TEXT(($D740-$C740+1)+20,"00"),"")&amp;IF($C740&gt;=22,", "&amp;$A740&amp;"-"&amp;TEXT(($D740-$C740+1)+21,"00"),"")&amp;IF($C740&gt;=23,", "&amp;$A740&amp;"-"&amp;TEXT(($D740-$C740+1)+22,"00"),"")&amp;IF($C740&gt;=24,", "&amp;$A740&amp;"-"&amp;TEXT(($D740-$C740+1)+23,"00"),"")&amp;IF($C740&gt;=25,", "&amp;$A740&amp;"-"&amp;TEXT(($D740-$C740+1)+24,"00"),""))</f>
        <v/>
      </c>
      <c r="G740">
        <f>IF($A740="","",IF($E740=1,$F740,IF($F740="",$G739,IF($G739="",$F740,$G739&amp;", "&amp;$F740))))</f>
        <v/>
      </c>
      <c r="H740">
        <f>IF($A740="","",$A740&amp;" ("&amp;$C740&amp;")")</f>
        <v/>
      </c>
      <c r="I740">
        <f>IF($A740="","",IF($E740=1,$H740,$I739&amp;", "&amp;$H740))</f>
        <v/>
      </c>
      <c r="J740">
        <f>IF($A740="","",IF($E740=1,$B740,""))</f>
        <v/>
      </c>
      <c r="K740">
        <f>IF($A740="","",IF(COUNTIF($B$2:$B740,$B740)=COUNTIF($B$2:$B$1601,$B740),$B740,""))</f>
        <v/>
      </c>
    </row>
    <row r="741">
      <c r="A741">
        <f>IF('TMP Paste'!$E741="","",'TMP Paste'!$E741)</f>
        <v/>
      </c>
      <c r="B741">
        <f>IF($A741="","",COUNTIF('TMP Paste'!$B$2:$B741,"?*"))</f>
        <v/>
      </c>
      <c r="C741">
        <f>IF($A741="","",IFERROR('TMP Paste'!$M741*1,0))</f>
        <v/>
      </c>
      <c r="D741">
        <f>IF($A741="","",SUMIF($B$2:$B741,$B741,$C$2:$C741))</f>
        <v/>
      </c>
      <c r="E741">
        <f>IF($A741="",0,IF('TMP Paste'!$B741="",0,1))</f>
        <v/>
      </c>
      <c r="F741">
        <f>IF(OR($A741="",$C741&lt;1),"",$A741&amp;"-"&amp;TEXT(($D741-$C741+1),"00")&amp;IF($C741&gt;=2,", "&amp;$A741&amp;"-"&amp;TEXT(($D741-$C741+1)+1,"00"),"")&amp;IF($C741&gt;=3,", "&amp;$A741&amp;"-"&amp;TEXT(($D741-$C741+1)+2,"00"),"")&amp;IF($C741&gt;=4,", "&amp;$A741&amp;"-"&amp;TEXT(($D741-$C741+1)+3,"00"),"")&amp;IF($C741&gt;=5,", "&amp;$A741&amp;"-"&amp;TEXT(($D741-$C741+1)+4,"00"),"")&amp;IF($C741&gt;=6,", "&amp;$A741&amp;"-"&amp;TEXT(($D741-$C741+1)+5,"00"),"")&amp;IF($C741&gt;=7,", "&amp;$A741&amp;"-"&amp;TEXT(($D741-$C741+1)+6,"00"),"")&amp;IF($C741&gt;=8,", "&amp;$A741&amp;"-"&amp;TEXT(($D741-$C741+1)+7,"00"),"")&amp;IF($C741&gt;=9,", "&amp;$A741&amp;"-"&amp;TEXT(($D741-$C741+1)+8,"00"),"")&amp;IF($C741&gt;=10,", "&amp;$A741&amp;"-"&amp;TEXT(($D741-$C741+1)+9,"00"),"")&amp;IF($C741&gt;=11,", "&amp;$A741&amp;"-"&amp;TEXT(($D741-$C741+1)+10,"00"),"")&amp;IF($C741&gt;=12,", "&amp;$A741&amp;"-"&amp;TEXT(($D741-$C741+1)+11,"00"),"")&amp;IF($C741&gt;=13,", "&amp;$A741&amp;"-"&amp;TEXT(($D741-$C741+1)+12,"00"),"")&amp;IF($C741&gt;=14,", "&amp;$A741&amp;"-"&amp;TEXT(($D741-$C741+1)+13,"00"),"")&amp;IF($C741&gt;=15,", "&amp;$A741&amp;"-"&amp;TEXT(($D741-$C741+1)+14,"00"),"")&amp;IF($C741&gt;=16,", "&amp;$A741&amp;"-"&amp;TEXT(($D741-$C741+1)+15,"00"),"")&amp;IF($C741&gt;=17,", "&amp;$A741&amp;"-"&amp;TEXT(($D741-$C741+1)+16,"00"),"")&amp;IF($C741&gt;=18,", "&amp;$A741&amp;"-"&amp;TEXT(($D741-$C741+1)+17,"00"),"")&amp;IF($C741&gt;=19,", "&amp;$A741&amp;"-"&amp;TEXT(($D741-$C741+1)+18,"00"),"")&amp;IF($C741&gt;=20,", "&amp;$A741&amp;"-"&amp;TEXT(($D741-$C741+1)+19,"00"),"")&amp;IF($C741&gt;=21,", "&amp;$A741&amp;"-"&amp;TEXT(($D741-$C741+1)+20,"00"),"")&amp;IF($C741&gt;=22,", "&amp;$A741&amp;"-"&amp;TEXT(($D741-$C741+1)+21,"00"),"")&amp;IF($C741&gt;=23,", "&amp;$A741&amp;"-"&amp;TEXT(($D741-$C741+1)+22,"00"),"")&amp;IF($C741&gt;=24,", "&amp;$A741&amp;"-"&amp;TEXT(($D741-$C741+1)+23,"00"),"")&amp;IF($C741&gt;=25,", "&amp;$A741&amp;"-"&amp;TEXT(($D741-$C741+1)+24,"00"),""))</f>
        <v/>
      </c>
      <c r="G741">
        <f>IF($A741="","",IF($E741=1,$F741,IF($F741="",$G740,IF($G740="",$F741,$G740&amp;", "&amp;$F741))))</f>
        <v/>
      </c>
      <c r="H741">
        <f>IF($A741="","",$A741&amp;" ("&amp;$C741&amp;")")</f>
        <v/>
      </c>
      <c r="I741">
        <f>IF($A741="","",IF($E741=1,$H741,$I740&amp;", "&amp;$H741))</f>
        <v/>
      </c>
      <c r="J741">
        <f>IF($A741="","",IF($E741=1,$B741,""))</f>
        <v/>
      </c>
      <c r="K741">
        <f>IF($A741="","",IF(COUNTIF($B$2:$B741,$B741)=COUNTIF($B$2:$B$1601,$B741),$B741,""))</f>
        <v/>
      </c>
    </row>
    <row r="742">
      <c r="A742">
        <f>IF('TMP Paste'!$E742="","",'TMP Paste'!$E742)</f>
        <v/>
      </c>
      <c r="B742">
        <f>IF($A742="","",COUNTIF('TMP Paste'!$B$2:$B742,"?*"))</f>
        <v/>
      </c>
      <c r="C742">
        <f>IF($A742="","",IFERROR('TMP Paste'!$M742*1,0))</f>
        <v/>
      </c>
      <c r="D742">
        <f>IF($A742="","",SUMIF($B$2:$B742,$B742,$C$2:$C742))</f>
        <v/>
      </c>
      <c r="E742">
        <f>IF($A742="",0,IF('TMP Paste'!$B742="",0,1))</f>
        <v/>
      </c>
      <c r="F742">
        <f>IF(OR($A742="",$C742&lt;1),"",$A742&amp;"-"&amp;TEXT(($D742-$C742+1),"00")&amp;IF($C742&gt;=2,", "&amp;$A742&amp;"-"&amp;TEXT(($D742-$C742+1)+1,"00"),"")&amp;IF($C742&gt;=3,", "&amp;$A742&amp;"-"&amp;TEXT(($D742-$C742+1)+2,"00"),"")&amp;IF($C742&gt;=4,", "&amp;$A742&amp;"-"&amp;TEXT(($D742-$C742+1)+3,"00"),"")&amp;IF($C742&gt;=5,", "&amp;$A742&amp;"-"&amp;TEXT(($D742-$C742+1)+4,"00"),"")&amp;IF($C742&gt;=6,", "&amp;$A742&amp;"-"&amp;TEXT(($D742-$C742+1)+5,"00"),"")&amp;IF($C742&gt;=7,", "&amp;$A742&amp;"-"&amp;TEXT(($D742-$C742+1)+6,"00"),"")&amp;IF($C742&gt;=8,", "&amp;$A742&amp;"-"&amp;TEXT(($D742-$C742+1)+7,"00"),"")&amp;IF($C742&gt;=9,", "&amp;$A742&amp;"-"&amp;TEXT(($D742-$C742+1)+8,"00"),"")&amp;IF($C742&gt;=10,", "&amp;$A742&amp;"-"&amp;TEXT(($D742-$C742+1)+9,"00"),"")&amp;IF($C742&gt;=11,", "&amp;$A742&amp;"-"&amp;TEXT(($D742-$C742+1)+10,"00"),"")&amp;IF($C742&gt;=12,", "&amp;$A742&amp;"-"&amp;TEXT(($D742-$C742+1)+11,"00"),"")&amp;IF($C742&gt;=13,", "&amp;$A742&amp;"-"&amp;TEXT(($D742-$C742+1)+12,"00"),"")&amp;IF($C742&gt;=14,", "&amp;$A742&amp;"-"&amp;TEXT(($D742-$C742+1)+13,"00"),"")&amp;IF($C742&gt;=15,", "&amp;$A742&amp;"-"&amp;TEXT(($D742-$C742+1)+14,"00"),"")&amp;IF($C742&gt;=16,", "&amp;$A742&amp;"-"&amp;TEXT(($D742-$C742+1)+15,"00"),"")&amp;IF($C742&gt;=17,", "&amp;$A742&amp;"-"&amp;TEXT(($D742-$C742+1)+16,"00"),"")&amp;IF($C742&gt;=18,", "&amp;$A742&amp;"-"&amp;TEXT(($D742-$C742+1)+17,"00"),"")&amp;IF($C742&gt;=19,", "&amp;$A742&amp;"-"&amp;TEXT(($D742-$C742+1)+18,"00"),"")&amp;IF($C742&gt;=20,", "&amp;$A742&amp;"-"&amp;TEXT(($D742-$C742+1)+19,"00"),"")&amp;IF($C742&gt;=21,", "&amp;$A742&amp;"-"&amp;TEXT(($D742-$C742+1)+20,"00"),"")&amp;IF($C742&gt;=22,", "&amp;$A742&amp;"-"&amp;TEXT(($D742-$C742+1)+21,"00"),"")&amp;IF($C742&gt;=23,", "&amp;$A742&amp;"-"&amp;TEXT(($D742-$C742+1)+22,"00"),"")&amp;IF($C742&gt;=24,", "&amp;$A742&amp;"-"&amp;TEXT(($D742-$C742+1)+23,"00"),"")&amp;IF($C742&gt;=25,", "&amp;$A742&amp;"-"&amp;TEXT(($D742-$C742+1)+24,"00"),""))</f>
        <v/>
      </c>
      <c r="G742">
        <f>IF($A742="","",IF($E742=1,$F742,IF($F742="",$G741,IF($G741="",$F742,$G741&amp;", "&amp;$F742))))</f>
        <v/>
      </c>
      <c r="H742">
        <f>IF($A742="","",$A742&amp;" ("&amp;$C742&amp;")")</f>
        <v/>
      </c>
      <c r="I742">
        <f>IF($A742="","",IF($E742=1,$H742,$I741&amp;", "&amp;$H742))</f>
        <v/>
      </c>
      <c r="J742">
        <f>IF($A742="","",IF($E742=1,$B742,""))</f>
        <v/>
      </c>
      <c r="K742">
        <f>IF($A742="","",IF(COUNTIF($B$2:$B742,$B742)=COUNTIF($B$2:$B$1601,$B742),$B742,""))</f>
        <v/>
      </c>
    </row>
    <row r="743">
      <c r="A743">
        <f>IF('TMP Paste'!$E743="","",'TMP Paste'!$E743)</f>
        <v/>
      </c>
      <c r="B743">
        <f>IF($A743="","",COUNTIF('TMP Paste'!$B$2:$B743,"?*"))</f>
        <v/>
      </c>
      <c r="C743">
        <f>IF($A743="","",IFERROR('TMP Paste'!$M743*1,0))</f>
        <v/>
      </c>
      <c r="D743">
        <f>IF($A743="","",SUMIF($B$2:$B743,$B743,$C$2:$C743))</f>
        <v/>
      </c>
      <c r="E743">
        <f>IF($A743="",0,IF('TMP Paste'!$B743="",0,1))</f>
        <v/>
      </c>
      <c r="F743">
        <f>IF(OR($A743="",$C743&lt;1),"",$A743&amp;"-"&amp;TEXT(($D743-$C743+1),"00")&amp;IF($C743&gt;=2,", "&amp;$A743&amp;"-"&amp;TEXT(($D743-$C743+1)+1,"00"),"")&amp;IF($C743&gt;=3,", "&amp;$A743&amp;"-"&amp;TEXT(($D743-$C743+1)+2,"00"),"")&amp;IF($C743&gt;=4,", "&amp;$A743&amp;"-"&amp;TEXT(($D743-$C743+1)+3,"00"),"")&amp;IF($C743&gt;=5,", "&amp;$A743&amp;"-"&amp;TEXT(($D743-$C743+1)+4,"00"),"")&amp;IF($C743&gt;=6,", "&amp;$A743&amp;"-"&amp;TEXT(($D743-$C743+1)+5,"00"),"")&amp;IF($C743&gt;=7,", "&amp;$A743&amp;"-"&amp;TEXT(($D743-$C743+1)+6,"00"),"")&amp;IF($C743&gt;=8,", "&amp;$A743&amp;"-"&amp;TEXT(($D743-$C743+1)+7,"00"),"")&amp;IF($C743&gt;=9,", "&amp;$A743&amp;"-"&amp;TEXT(($D743-$C743+1)+8,"00"),"")&amp;IF($C743&gt;=10,", "&amp;$A743&amp;"-"&amp;TEXT(($D743-$C743+1)+9,"00"),"")&amp;IF($C743&gt;=11,", "&amp;$A743&amp;"-"&amp;TEXT(($D743-$C743+1)+10,"00"),"")&amp;IF($C743&gt;=12,", "&amp;$A743&amp;"-"&amp;TEXT(($D743-$C743+1)+11,"00"),"")&amp;IF($C743&gt;=13,", "&amp;$A743&amp;"-"&amp;TEXT(($D743-$C743+1)+12,"00"),"")&amp;IF($C743&gt;=14,", "&amp;$A743&amp;"-"&amp;TEXT(($D743-$C743+1)+13,"00"),"")&amp;IF($C743&gt;=15,", "&amp;$A743&amp;"-"&amp;TEXT(($D743-$C743+1)+14,"00"),"")&amp;IF($C743&gt;=16,", "&amp;$A743&amp;"-"&amp;TEXT(($D743-$C743+1)+15,"00"),"")&amp;IF($C743&gt;=17,", "&amp;$A743&amp;"-"&amp;TEXT(($D743-$C743+1)+16,"00"),"")&amp;IF($C743&gt;=18,", "&amp;$A743&amp;"-"&amp;TEXT(($D743-$C743+1)+17,"00"),"")&amp;IF($C743&gt;=19,", "&amp;$A743&amp;"-"&amp;TEXT(($D743-$C743+1)+18,"00"),"")&amp;IF($C743&gt;=20,", "&amp;$A743&amp;"-"&amp;TEXT(($D743-$C743+1)+19,"00"),"")&amp;IF($C743&gt;=21,", "&amp;$A743&amp;"-"&amp;TEXT(($D743-$C743+1)+20,"00"),"")&amp;IF($C743&gt;=22,", "&amp;$A743&amp;"-"&amp;TEXT(($D743-$C743+1)+21,"00"),"")&amp;IF($C743&gt;=23,", "&amp;$A743&amp;"-"&amp;TEXT(($D743-$C743+1)+22,"00"),"")&amp;IF($C743&gt;=24,", "&amp;$A743&amp;"-"&amp;TEXT(($D743-$C743+1)+23,"00"),"")&amp;IF($C743&gt;=25,", "&amp;$A743&amp;"-"&amp;TEXT(($D743-$C743+1)+24,"00"),""))</f>
        <v/>
      </c>
      <c r="G743">
        <f>IF($A743="","",IF($E743=1,$F743,IF($F743="",$G742,IF($G742="",$F743,$G742&amp;", "&amp;$F743))))</f>
        <v/>
      </c>
      <c r="H743">
        <f>IF($A743="","",$A743&amp;" ("&amp;$C743&amp;")")</f>
        <v/>
      </c>
      <c r="I743">
        <f>IF($A743="","",IF($E743=1,$H743,$I742&amp;", "&amp;$H743))</f>
        <v/>
      </c>
      <c r="J743">
        <f>IF($A743="","",IF($E743=1,$B743,""))</f>
        <v/>
      </c>
      <c r="K743">
        <f>IF($A743="","",IF(COUNTIF($B$2:$B743,$B743)=COUNTIF($B$2:$B$1601,$B743),$B743,""))</f>
        <v/>
      </c>
    </row>
    <row r="744">
      <c r="A744">
        <f>IF('TMP Paste'!$E744="","",'TMP Paste'!$E744)</f>
        <v/>
      </c>
      <c r="B744">
        <f>IF($A744="","",COUNTIF('TMP Paste'!$B$2:$B744,"?*"))</f>
        <v/>
      </c>
      <c r="C744">
        <f>IF($A744="","",IFERROR('TMP Paste'!$M744*1,0))</f>
        <v/>
      </c>
      <c r="D744">
        <f>IF($A744="","",SUMIF($B$2:$B744,$B744,$C$2:$C744))</f>
        <v/>
      </c>
      <c r="E744">
        <f>IF($A744="",0,IF('TMP Paste'!$B744="",0,1))</f>
        <v/>
      </c>
      <c r="F744">
        <f>IF(OR($A744="",$C744&lt;1),"",$A744&amp;"-"&amp;TEXT(($D744-$C744+1),"00")&amp;IF($C744&gt;=2,", "&amp;$A744&amp;"-"&amp;TEXT(($D744-$C744+1)+1,"00"),"")&amp;IF($C744&gt;=3,", "&amp;$A744&amp;"-"&amp;TEXT(($D744-$C744+1)+2,"00"),"")&amp;IF($C744&gt;=4,", "&amp;$A744&amp;"-"&amp;TEXT(($D744-$C744+1)+3,"00"),"")&amp;IF($C744&gt;=5,", "&amp;$A744&amp;"-"&amp;TEXT(($D744-$C744+1)+4,"00"),"")&amp;IF($C744&gt;=6,", "&amp;$A744&amp;"-"&amp;TEXT(($D744-$C744+1)+5,"00"),"")&amp;IF($C744&gt;=7,", "&amp;$A744&amp;"-"&amp;TEXT(($D744-$C744+1)+6,"00"),"")&amp;IF($C744&gt;=8,", "&amp;$A744&amp;"-"&amp;TEXT(($D744-$C744+1)+7,"00"),"")&amp;IF($C744&gt;=9,", "&amp;$A744&amp;"-"&amp;TEXT(($D744-$C744+1)+8,"00"),"")&amp;IF($C744&gt;=10,", "&amp;$A744&amp;"-"&amp;TEXT(($D744-$C744+1)+9,"00"),"")&amp;IF($C744&gt;=11,", "&amp;$A744&amp;"-"&amp;TEXT(($D744-$C744+1)+10,"00"),"")&amp;IF($C744&gt;=12,", "&amp;$A744&amp;"-"&amp;TEXT(($D744-$C744+1)+11,"00"),"")&amp;IF($C744&gt;=13,", "&amp;$A744&amp;"-"&amp;TEXT(($D744-$C744+1)+12,"00"),"")&amp;IF($C744&gt;=14,", "&amp;$A744&amp;"-"&amp;TEXT(($D744-$C744+1)+13,"00"),"")&amp;IF($C744&gt;=15,", "&amp;$A744&amp;"-"&amp;TEXT(($D744-$C744+1)+14,"00"),"")&amp;IF($C744&gt;=16,", "&amp;$A744&amp;"-"&amp;TEXT(($D744-$C744+1)+15,"00"),"")&amp;IF($C744&gt;=17,", "&amp;$A744&amp;"-"&amp;TEXT(($D744-$C744+1)+16,"00"),"")&amp;IF($C744&gt;=18,", "&amp;$A744&amp;"-"&amp;TEXT(($D744-$C744+1)+17,"00"),"")&amp;IF($C744&gt;=19,", "&amp;$A744&amp;"-"&amp;TEXT(($D744-$C744+1)+18,"00"),"")&amp;IF($C744&gt;=20,", "&amp;$A744&amp;"-"&amp;TEXT(($D744-$C744+1)+19,"00"),"")&amp;IF($C744&gt;=21,", "&amp;$A744&amp;"-"&amp;TEXT(($D744-$C744+1)+20,"00"),"")&amp;IF($C744&gt;=22,", "&amp;$A744&amp;"-"&amp;TEXT(($D744-$C744+1)+21,"00"),"")&amp;IF($C744&gt;=23,", "&amp;$A744&amp;"-"&amp;TEXT(($D744-$C744+1)+22,"00"),"")&amp;IF($C744&gt;=24,", "&amp;$A744&amp;"-"&amp;TEXT(($D744-$C744+1)+23,"00"),"")&amp;IF($C744&gt;=25,", "&amp;$A744&amp;"-"&amp;TEXT(($D744-$C744+1)+24,"00"),""))</f>
        <v/>
      </c>
      <c r="G744">
        <f>IF($A744="","",IF($E744=1,$F744,IF($F744="",$G743,IF($G743="",$F744,$G743&amp;", "&amp;$F744))))</f>
        <v/>
      </c>
      <c r="H744">
        <f>IF($A744="","",$A744&amp;" ("&amp;$C744&amp;")")</f>
        <v/>
      </c>
      <c r="I744">
        <f>IF($A744="","",IF($E744=1,$H744,$I743&amp;", "&amp;$H744))</f>
        <v/>
      </c>
      <c r="J744">
        <f>IF($A744="","",IF($E744=1,$B744,""))</f>
        <v/>
      </c>
      <c r="K744">
        <f>IF($A744="","",IF(COUNTIF($B$2:$B744,$B744)=COUNTIF($B$2:$B$1601,$B744),$B744,""))</f>
        <v/>
      </c>
    </row>
    <row r="745">
      <c r="A745">
        <f>IF('TMP Paste'!$E745="","",'TMP Paste'!$E745)</f>
        <v/>
      </c>
      <c r="B745">
        <f>IF($A745="","",COUNTIF('TMP Paste'!$B$2:$B745,"?*"))</f>
        <v/>
      </c>
      <c r="C745">
        <f>IF($A745="","",IFERROR('TMP Paste'!$M745*1,0))</f>
        <v/>
      </c>
      <c r="D745">
        <f>IF($A745="","",SUMIF($B$2:$B745,$B745,$C$2:$C745))</f>
        <v/>
      </c>
      <c r="E745">
        <f>IF($A745="",0,IF('TMP Paste'!$B745="",0,1))</f>
        <v/>
      </c>
      <c r="F745">
        <f>IF(OR($A745="",$C745&lt;1),"",$A745&amp;"-"&amp;TEXT(($D745-$C745+1),"00")&amp;IF($C745&gt;=2,", "&amp;$A745&amp;"-"&amp;TEXT(($D745-$C745+1)+1,"00"),"")&amp;IF($C745&gt;=3,", "&amp;$A745&amp;"-"&amp;TEXT(($D745-$C745+1)+2,"00"),"")&amp;IF($C745&gt;=4,", "&amp;$A745&amp;"-"&amp;TEXT(($D745-$C745+1)+3,"00"),"")&amp;IF($C745&gt;=5,", "&amp;$A745&amp;"-"&amp;TEXT(($D745-$C745+1)+4,"00"),"")&amp;IF($C745&gt;=6,", "&amp;$A745&amp;"-"&amp;TEXT(($D745-$C745+1)+5,"00"),"")&amp;IF($C745&gt;=7,", "&amp;$A745&amp;"-"&amp;TEXT(($D745-$C745+1)+6,"00"),"")&amp;IF($C745&gt;=8,", "&amp;$A745&amp;"-"&amp;TEXT(($D745-$C745+1)+7,"00"),"")&amp;IF($C745&gt;=9,", "&amp;$A745&amp;"-"&amp;TEXT(($D745-$C745+1)+8,"00"),"")&amp;IF($C745&gt;=10,", "&amp;$A745&amp;"-"&amp;TEXT(($D745-$C745+1)+9,"00"),"")&amp;IF($C745&gt;=11,", "&amp;$A745&amp;"-"&amp;TEXT(($D745-$C745+1)+10,"00"),"")&amp;IF($C745&gt;=12,", "&amp;$A745&amp;"-"&amp;TEXT(($D745-$C745+1)+11,"00"),"")&amp;IF($C745&gt;=13,", "&amp;$A745&amp;"-"&amp;TEXT(($D745-$C745+1)+12,"00"),"")&amp;IF($C745&gt;=14,", "&amp;$A745&amp;"-"&amp;TEXT(($D745-$C745+1)+13,"00"),"")&amp;IF($C745&gt;=15,", "&amp;$A745&amp;"-"&amp;TEXT(($D745-$C745+1)+14,"00"),"")&amp;IF($C745&gt;=16,", "&amp;$A745&amp;"-"&amp;TEXT(($D745-$C745+1)+15,"00"),"")&amp;IF($C745&gt;=17,", "&amp;$A745&amp;"-"&amp;TEXT(($D745-$C745+1)+16,"00"),"")&amp;IF($C745&gt;=18,", "&amp;$A745&amp;"-"&amp;TEXT(($D745-$C745+1)+17,"00"),"")&amp;IF($C745&gt;=19,", "&amp;$A745&amp;"-"&amp;TEXT(($D745-$C745+1)+18,"00"),"")&amp;IF($C745&gt;=20,", "&amp;$A745&amp;"-"&amp;TEXT(($D745-$C745+1)+19,"00"),"")&amp;IF($C745&gt;=21,", "&amp;$A745&amp;"-"&amp;TEXT(($D745-$C745+1)+20,"00"),"")&amp;IF($C745&gt;=22,", "&amp;$A745&amp;"-"&amp;TEXT(($D745-$C745+1)+21,"00"),"")&amp;IF($C745&gt;=23,", "&amp;$A745&amp;"-"&amp;TEXT(($D745-$C745+1)+22,"00"),"")&amp;IF($C745&gt;=24,", "&amp;$A745&amp;"-"&amp;TEXT(($D745-$C745+1)+23,"00"),"")&amp;IF($C745&gt;=25,", "&amp;$A745&amp;"-"&amp;TEXT(($D745-$C745+1)+24,"00"),""))</f>
        <v/>
      </c>
      <c r="G745">
        <f>IF($A745="","",IF($E745=1,$F745,IF($F745="",$G744,IF($G744="",$F745,$G744&amp;", "&amp;$F745))))</f>
        <v/>
      </c>
      <c r="H745">
        <f>IF($A745="","",$A745&amp;" ("&amp;$C745&amp;")")</f>
        <v/>
      </c>
      <c r="I745">
        <f>IF($A745="","",IF($E745=1,$H745,$I744&amp;", "&amp;$H745))</f>
        <v/>
      </c>
      <c r="J745">
        <f>IF($A745="","",IF($E745=1,$B745,""))</f>
        <v/>
      </c>
      <c r="K745">
        <f>IF($A745="","",IF(COUNTIF($B$2:$B745,$B745)=COUNTIF($B$2:$B$1601,$B745),$B745,""))</f>
        <v/>
      </c>
    </row>
    <row r="746">
      <c r="A746">
        <f>IF('TMP Paste'!$E746="","",'TMP Paste'!$E746)</f>
        <v/>
      </c>
      <c r="B746">
        <f>IF($A746="","",COUNTIF('TMP Paste'!$B$2:$B746,"?*"))</f>
        <v/>
      </c>
      <c r="C746">
        <f>IF($A746="","",IFERROR('TMP Paste'!$M746*1,0))</f>
        <v/>
      </c>
      <c r="D746">
        <f>IF($A746="","",SUMIF($B$2:$B746,$B746,$C$2:$C746))</f>
        <v/>
      </c>
      <c r="E746">
        <f>IF($A746="",0,IF('TMP Paste'!$B746="",0,1))</f>
        <v/>
      </c>
      <c r="F746">
        <f>IF(OR($A746="",$C746&lt;1),"",$A746&amp;"-"&amp;TEXT(($D746-$C746+1),"00")&amp;IF($C746&gt;=2,", "&amp;$A746&amp;"-"&amp;TEXT(($D746-$C746+1)+1,"00"),"")&amp;IF($C746&gt;=3,", "&amp;$A746&amp;"-"&amp;TEXT(($D746-$C746+1)+2,"00"),"")&amp;IF($C746&gt;=4,", "&amp;$A746&amp;"-"&amp;TEXT(($D746-$C746+1)+3,"00"),"")&amp;IF($C746&gt;=5,", "&amp;$A746&amp;"-"&amp;TEXT(($D746-$C746+1)+4,"00"),"")&amp;IF($C746&gt;=6,", "&amp;$A746&amp;"-"&amp;TEXT(($D746-$C746+1)+5,"00"),"")&amp;IF($C746&gt;=7,", "&amp;$A746&amp;"-"&amp;TEXT(($D746-$C746+1)+6,"00"),"")&amp;IF($C746&gt;=8,", "&amp;$A746&amp;"-"&amp;TEXT(($D746-$C746+1)+7,"00"),"")&amp;IF($C746&gt;=9,", "&amp;$A746&amp;"-"&amp;TEXT(($D746-$C746+1)+8,"00"),"")&amp;IF($C746&gt;=10,", "&amp;$A746&amp;"-"&amp;TEXT(($D746-$C746+1)+9,"00"),"")&amp;IF($C746&gt;=11,", "&amp;$A746&amp;"-"&amp;TEXT(($D746-$C746+1)+10,"00"),"")&amp;IF($C746&gt;=12,", "&amp;$A746&amp;"-"&amp;TEXT(($D746-$C746+1)+11,"00"),"")&amp;IF($C746&gt;=13,", "&amp;$A746&amp;"-"&amp;TEXT(($D746-$C746+1)+12,"00"),"")&amp;IF($C746&gt;=14,", "&amp;$A746&amp;"-"&amp;TEXT(($D746-$C746+1)+13,"00"),"")&amp;IF($C746&gt;=15,", "&amp;$A746&amp;"-"&amp;TEXT(($D746-$C746+1)+14,"00"),"")&amp;IF($C746&gt;=16,", "&amp;$A746&amp;"-"&amp;TEXT(($D746-$C746+1)+15,"00"),"")&amp;IF($C746&gt;=17,", "&amp;$A746&amp;"-"&amp;TEXT(($D746-$C746+1)+16,"00"),"")&amp;IF($C746&gt;=18,", "&amp;$A746&amp;"-"&amp;TEXT(($D746-$C746+1)+17,"00"),"")&amp;IF($C746&gt;=19,", "&amp;$A746&amp;"-"&amp;TEXT(($D746-$C746+1)+18,"00"),"")&amp;IF($C746&gt;=20,", "&amp;$A746&amp;"-"&amp;TEXT(($D746-$C746+1)+19,"00"),"")&amp;IF($C746&gt;=21,", "&amp;$A746&amp;"-"&amp;TEXT(($D746-$C746+1)+20,"00"),"")&amp;IF($C746&gt;=22,", "&amp;$A746&amp;"-"&amp;TEXT(($D746-$C746+1)+21,"00"),"")&amp;IF($C746&gt;=23,", "&amp;$A746&amp;"-"&amp;TEXT(($D746-$C746+1)+22,"00"),"")&amp;IF($C746&gt;=24,", "&amp;$A746&amp;"-"&amp;TEXT(($D746-$C746+1)+23,"00"),"")&amp;IF($C746&gt;=25,", "&amp;$A746&amp;"-"&amp;TEXT(($D746-$C746+1)+24,"00"),""))</f>
        <v/>
      </c>
      <c r="G746">
        <f>IF($A746="","",IF($E746=1,$F746,IF($F746="",$G745,IF($G745="",$F746,$G745&amp;", "&amp;$F746))))</f>
        <v/>
      </c>
      <c r="H746">
        <f>IF($A746="","",$A746&amp;" ("&amp;$C746&amp;")")</f>
        <v/>
      </c>
      <c r="I746">
        <f>IF($A746="","",IF($E746=1,$H746,$I745&amp;", "&amp;$H746))</f>
        <v/>
      </c>
      <c r="J746">
        <f>IF($A746="","",IF($E746=1,$B746,""))</f>
        <v/>
      </c>
      <c r="K746">
        <f>IF($A746="","",IF(COUNTIF($B$2:$B746,$B746)=COUNTIF($B$2:$B$1601,$B746),$B746,""))</f>
        <v/>
      </c>
    </row>
    <row r="747">
      <c r="A747">
        <f>IF('TMP Paste'!$E747="","",'TMP Paste'!$E747)</f>
        <v/>
      </c>
      <c r="B747">
        <f>IF($A747="","",COUNTIF('TMP Paste'!$B$2:$B747,"?*"))</f>
        <v/>
      </c>
      <c r="C747">
        <f>IF($A747="","",IFERROR('TMP Paste'!$M747*1,0))</f>
        <v/>
      </c>
      <c r="D747">
        <f>IF($A747="","",SUMIF($B$2:$B747,$B747,$C$2:$C747))</f>
        <v/>
      </c>
      <c r="E747">
        <f>IF($A747="",0,IF('TMP Paste'!$B747="",0,1))</f>
        <v/>
      </c>
      <c r="F747">
        <f>IF(OR($A747="",$C747&lt;1),"",$A747&amp;"-"&amp;TEXT(($D747-$C747+1),"00")&amp;IF($C747&gt;=2,", "&amp;$A747&amp;"-"&amp;TEXT(($D747-$C747+1)+1,"00"),"")&amp;IF($C747&gt;=3,", "&amp;$A747&amp;"-"&amp;TEXT(($D747-$C747+1)+2,"00"),"")&amp;IF($C747&gt;=4,", "&amp;$A747&amp;"-"&amp;TEXT(($D747-$C747+1)+3,"00"),"")&amp;IF($C747&gt;=5,", "&amp;$A747&amp;"-"&amp;TEXT(($D747-$C747+1)+4,"00"),"")&amp;IF($C747&gt;=6,", "&amp;$A747&amp;"-"&amp;TEXT(($D747-$C747+1)+5,"00"),"")&amp;IF($C747&gt;=7,", "&amp;$A747&amp;"-"&amp;TEXT(($D747-$C747+1)+6,"00"),"")&amp;IF($C747&gt;=8,", "&amp;$A747&amp;"-"&amp;TEXT(($D747-$C747+1)+7,"00"),"")&amp;IF($C747&gt;=9,", "&amp;$A747&amp;"-"&amp;TEXT(($D747-$C747+1)+8,"00"),"")&amp;IF($C747&gt;=10,", "&amp;$A747&amp;"-"&amp;TEXT(($D747-$C747+1)+9,"00"),"")&amp;IF($C747&gt;=11,", "&amp;$A747&amp;"-"&amp;TEXT(($D747-$C747+1)+10,"00"),"")&amp;IF($C747&gt;=12,", "&amp;$A747&amp;"-"&amp;TEXT(($D747-$C747+1)+11,"00"),"")&amp;IF($C747&gt;=13,", "&amp;$A747&amp;"-"&amp;TEXT(($D747-$C747+1)+12,"00"),"")&amp;IF($C747&gt;=14,", "&amp;$A747&amp;"-"&amp;TEXT(($D747-$C747+1)+13,"00"),"")&amp;IF($C747&gt;=15,", "&amp;$A747&amp;"-"&amp;TEXT(($D747-$C747+1)+14,"00"),"")&amp;IF($C747&gt;=16,", "&amp;$A747&amp;"-"&amp;TEXT(($D747-$C747+1)+15,"00"),"")&amp;IF($C747&gt;=17,", "&amp;$A747&amp;"-"&amp;TEXT(($D747-$C747+1)+16,"00"),"")&amp;IF($C747&gt;=18,", "&amp;$A747&amp;"-"&amp;TEXT(($D747-$C747+1)+17,"00"),"")&amp;IF($C747&gt;=19,", "&amp;$A747&amp;"-"&amp;TEXT(($D747-$C747+1)+18,"00"),"")&amp;IF($C747&gt;=20,", "&amp;$A747&amp;"-"&amp;TEXT(($D747-$C747+1)+19,"00"),"")&amp;IF($C747&gt;=21,", "&amp;$A747&amp;"-"&amp;TEXT(($D747-$C747+1)+20,"00"),"")&amp;IF($C747&gt;=22,", "&amp;$A747&amp;"-"&amp;TEXT(($D747-$C747+1)+21,"00"),"")&amp;IF($C747&gt;=23,", "&amp;$A747&amp;"-"&amp;TEXT(($D747-$C747+1)+22,"00"),"")&amp;IF($C747&gt;=24,", "&amp;$A747&amp;"-"&amp;TEXT(($D747-$C747+1)+23,"00"),"")&amp;IF($C747&gt;=25,", "&amp;$A747&amp;"-"&amp;TEXT(($D747-$C747+1)+24,"00"),""))</f>
        <v/>
      </c>
      <c r="G747">
        <f>IF($A747="","",IF($E747=1,$F747,IF($F747="",$G746,IF($G746="",$F747,$G746&amp;", "&amp;$F747))))</f>
        <v/>
      </c>
      <c r="H747">
        <f>IF($A747="","",$A747&amp;" ("&amp;$C747&amp;")")</f>
        <v/>
      </c>
      <c r="I747">
        <f>IF($A747="","",IF($E747=1,$H747,$I746&amp;", "&amp;$H747))</f>
        <v/>
      </c>
      <c r="J747">
        <f>IF($A747="","",IF($E747=1,$B747,""))</f>
        <v/>
      </c>
      <c r="K747">
        <f>IF($A747="","",IF(COUNTIF($B$2:$B747,$B747)=COUNTIF($B$2:$B$1601,$B747),$B747,""))</f>
        <v/>
      </c>
    </row>
    <row r="748">
      <c r="A748">
        <f>IF('TMP Paste'!$E748="","",'TMP Paste'!$E748)</f>
        <v/>
      </c>
      <c r="B748">
        <f>IF($A748="","",COUNTIF('TMP Paste'!$B$2:$B748,"?*"))</f>
        <v/>
      </c>
      <c r="C748">
        <f>IF($A748="","",IFERROR('TMP Paste'!$M748*1,0))</f>
        <v/>
      </c>
      <c r="D748">
        <f>IF($A748="","",SUMIF($B$2:$B748,$B748,$C$2:$C748))</f>
        <v/>
      </c>
      <c r="E748">
        <f>IF($A748="",0,IF('TMP Paste'!$B748="",0,1))</f>
        <v/>
      </c>
      <c r="F748">
        <f>IF(OR($A748="",$C748&lt;1),"",$A748&amp;"-"&amp;TEXT(($D748-$C748+1),"00")&amp;IF($C748&gt;=2,", "&amp;$A748&amp;"-"&amp;TEXT(($D748-$C748+1)+1,"00"),"")&amp;IF($C748&gt;=3,", "&amp;$A748&amp;"-"&amp;TEXT(($D748-$C748+1)+2,"00"),"")&amp;IF($C748&gt;=4,", "&amp;$A748&amp;"-"&amp;TEXT(($D748-$C748+1)+3,"00"),"")&amp;IF($C748&gt;=5,", "&amp;$A748&amp;"-"&amp;TEXT(($D748-$C748+1)+4,"00"),"")&amp;IF($C748&gt;=6,", "&amp;$A748&amp;"-"&amp;TEXT(($D748-$C748+1)+5,"00"),"")&amp;IF($C748&gt;=7,", "&amp;$A748&amp;"-"&amp;TEXT(($D748-$C748+1)+6,"00"),"")&amp;IF($C748&gt;=8,", "&amp;$A748&amp;"-"&amp;TEXT(($D748-$C748+1)+7,"00"),"")&amp;IF($C748&gt;=9,", "&amp;$A748&amp;"-"&amp;TEXT(($D748-$C748+1)+8,"00"),"")&amp;IF($C748&gt;=10,", "&amp;$A748&amp;"-"&amp;TEXT(($D748-$C748+1)+9,"00"),"")&amp;IF($C748&gt;=11,", "&amp;$A748&amp;"-"&amp;TEXT(($D748-$C748+1)+10,"00"),"")&amp;IF($C748&gt;=12,", "&amp;$A748&amp;"-"&amp;TEXT(($D748-$C748+1)+11,"00"),"")&amp;IF($C748&gt;=13,", "&amp;$A748&amp;"-"&amp;TEXT(($D748-$C748+1)+12,"00"),"")&amp;IF($C748&gt;=14,", "&amp;$A748&amp;"-"&amp;TEXT(($D748-$C748+1)+13,"00"),"")&amp;IF($C748&gt;=15,", "&amp;$A748&amp;"-"&amp;TEXT(($D748-$C748+1)+14,"00"),"")&amp;IF($C748&gt;=16,", "&amp;$A748&amp;"-"&amp;TEXT(($D748-$C748+1)+15,"00"),"")&amp;IF($C748&gt;=17,", "&amp;$A748&amp;"-"&amp;TEXT(($D748-$C748+1)+16,"00"),"")&amp;IF($C748&gt;=18,", "&amp;$A748&amp;"-"&amp;TEXT(($D748-$C748+1)+17,"00"),"")&amp;IF($C748&gt;=19,", "&amp;$A748&amp;"-"&amp;TEXT(($D748-$C748+1)+18,"00"),"")&amp;IF($C748&gt;=20,", "&amp;$A748&amp;"-"&amp;TEXT(($D748-$C748+1)+19,"00"),"")&amp;IF($C748&gt;=21,", "&amp;$A748&amp;"-"&amp;TEXT(($D748-$C748+1)+20,"00"),"")&amp;IF($C748&gt;=22,", "&amp;$A748&amp;"-"&amp;TEXT(($D748-$C748+1)+21,"00"),"")&amp;IF($C748&gt;=23,", "&amp;$A748&amp;"-"&amp;TEXT(($D748-$C748+1)+22,"00"),"")&amp;IF($C748&gt;=24,", "&amp;$A748&amp;"-"&amp;TEXT(($D748-$C748+1)+23,"00"),"")&amp;IF($C748&gt;=25,", "&amp;$A748&amp;"-"&amp;TEXT(($D748-$C748+1)+24,"00"),""))</f>
        <v/>
      </c>
      <c r="G748">
        <f>IF($A748="","",IF($E748=1,$F748,IF($F748="",$G747,IF($G747="",$F748,$G747&amp;", "&amp;$F748))))</f>
        <v/>
      </c>
      <c r="H748">
        <f>IF($A748="","",$A748&amp;" ("&amp;$C748&amp;")")</f>
        <v/>
      </c>
      <c r="I748">
        <f>IF($A748="","",IF($E748=1,$H748,$I747&amp;", "&amp;$H748))</f>
        <v/>
      </c>
      <c r="J748">
        <f>IF($A748="","",IF($E748=1,$B748,""))</f>
        <v/>
      </c>
      <c r="K748">
        <f>IF($A748="","",IF(COUNTIF($B$2:$B748,$B748)=COUNTIF($B$2:$B$1601,$B748),$B748,""))</f>
        <v/>
      </c>
    </row>
    <row r="749">
      <c r="A749">
        <f>IF('TMP Paste'!$E749="","",'TMP Paste'!$E749)</f>
        <v/>
      </c>
      <c r="B749">
        <f>IF($A749="","",COUNTIF('TMP Paste'!$B$2:$B749,"?*"))</f>
        <v/>
      </c>
      <c r="C749">
        <f>IF($A749="","",IFERROR('TMP Paste'!$M749*1,0))</f>
        <v/>
      </c>
      <c r="D749">
        <f>IF($A749="","",SUMIF($B$2:$B749,$B749,$C$2:$C749))</f>
        <v/>
      </c>
      <c r="E749">
        <f>IF($A749="",0,IF('TMP Paste'!$B749="",0,1))</f>
        <v/>
      </c>
      <c r="F749">
        <f>IF(OR($A749="",$C749&lt;1),"",$A749&amp;"-"&amp;TEXT(($D749-$C749+1),"00")&amp;IF($C749&gt;=2,", "&amp;$A749&amp;"-"&amp;TEXT(($D749-$C749+1)+1,"00"),"")&amp;IF($C749&gt;=3,", "&amp;$A749&amp;"-"&amp;TEXT(($D749-$C749+1)+2,"00"),"")&amp;IF($C749&gt;=4,", "&amp;$A749&amp;"-"&amp;TEXT(($D749-$C749+1)+3,"00"),"")&amp;IF($C749&gt;=5,", "&amp;$A749&amp;"-"&amp;TEXT(($D749-$C749+1)+4,"00"),"")&amp;IF($C749&gt;=6,", "&amp;$A749&amp;"-"&amp;TEXT(($D749-$C749+1)+5,"00"),"")&amp;IF($C749&gt;=7,", "&amp;$A749&amp;"-"&amp;TEXT(($D749-$C749+1)+6,"00"),"")&amp;IF($C749&gt;=8,", "&amp;$A749&amp;"-"&amp;TEXT(($D749-$C749+1)+7,"00"),"")&amp;IF($C749&gt;=9,", "&amp;$A749&amp;"-"&amp;TEXT(($D749-$C749+1)+8,"00"),"")&amp;IF($C749&gt;=10,", "&amp;$A749&amp;"-"&amp;TEXT(($D749-$C749+1)+9,"00"),"")&amp;IF($C749&gt;=11,", "&amp;$A749&amp;"-"&amp;TEXT(($D749-$C749+1)+10,"00"),"")&amp;IF($C749&gt;=12,", "&amp;$A749&amp;"-"&amp;TEXT(($D749-$C749+1)+11,"00"),"")&amp;IF($C749&gt;=13,", "&amp;$A749&amp;"-"&amp;TEXT(($D749-$C749+1)+12,"00"),"")&amp;IF($C749&gt;=14,", "&amp;$A749&amp;"-"&amp;TEXT(($D749-$C749+1)+13,"00"),"")&amp;IF($C749&gt;=15,", "&amp;$A749&amp;"-"&amp;TEXT(($D749-$C749+1)+14,"00"),"")&amp;IF($C749&gt;=16,", "&amp;$A749&amp;"-"&amp;TEXT(($D749-$C749+1)+15,"00"),"")&amp;IF($C749&gt;=17,", "&amp;$A749&amp;"-"&amp;TEXT(($D749-$C749+1)+16,"00"),"")&amp;IF($C749&gt;=18,", "&amp;$A749&amp;"-"&amp;TEXT(($D749-$C749+1)+17,"00"),"")&amp;IF($C749&gt;=19,", "&amp;$A749&amp;"-"&amp;TEXT(($D749-$C749+1)+18,"00"),"")&amp;IF($C749&gt;=20,", "&amp;$A749&amp;"-"&amp;TEXT(($D749-$C749+1)+19,"00"),"")&amp;IF($C749&gt;=21,", "&amp;$A749&amp;"-"&amp;TEXT(($D749-$C749+1)+20,"00"),"")&amp;IF($C749&gt;=22,", "&amp;$A749&amp;"-"&amp;TEXT(($D749-$C749+1)+21,"00"),"")&amp;IF($C749&gt;=23,", "&amp;$A749&amp;"-"&amp;TEXT(($D749-$C749+1)+22,"00"),"")&amp;IF($C749&gt;=24,", "&amp;$A749&amp;"-"&amp;TEXT(($D749-$C749+1)+23,"00"),"")&amp;IF($C749&gt;=25,", "&amp;$A749&amp;"-"&amp;TEXT(($D749-$C749+1)+24,"00"),""))</f>
        <v/>
      </c>
      <c r="G749">
        <f>IF($A749="","",IF($E749=1,$F749,IF($F749="",$G748,IF($G748="",$F749,$G748&amp;", "&amp;$F749))))</f>
        <v/>
      </c>
      <c r="H749">
        <f>IF($A749="","",$A749&amp;" ("&amp;$C749&amp;")")</f>
        <v/>
      </c>
      <c r="I749">
        <f>IF($A749="","",IF($E749=1,$H749,$I748&amp;", "&amp;$H749))</f>
        <v/>
      </c>
      <c r="J749">
        <f>IF($A749="","",IF($E749=1,$B749,""))</f>
        <v/>
      </c>
      <c r="K749">
        <f>IF($A749="","",IF(COUNTIF($B$2:$B749,$B749)=COUNTIF($B$2:$B$1601,$B749),$B749,""))</f>
        <v/>
      </c>
    </row>
    <row r="750">
      <c r="A750">
        <f>IF('TMP Paste'!$E750="","",'TMP Paste'!$E750)</f>
        <v/>
      </c>
      <c r="B750">
        <f>IF($A750="","",COUNTIF('TMP Paste'!$B$2:$B750,"?*"))</f>
        <v/>
      </c>
      <c r="C750">
        <f>IF($A750="","",IFERROR('TMP Paste'!$M750*1,0))</f>
        <v/>
      </c>
      <c r="D750">
        <f>IF($A750="","",SUMIF($B$2:$B750,$B750,$C$2:$C750))</f>
        <v/>
      </c>
      <c r="E750">
        <f>IF($A750="",0,IF('TMP Paste'!$B750="",0,1))</f>
        <v/>
      </c>
      <c r="F750">
        <f>IF(OR($A750="",$C750&lt;1),"",$A750&amp;"-"&amp;TEXT(($D750-$C750+1),"00")&amp;IF($C750&gt;=2,", "&amp;$A750&amp;"-"&amp;TEXT(($D750-$C750+1)+1,"00"),"")&amp;IF($C750&gt;=3,", "&amp;$A750&amp;"-"&amp;TEXT(($D750-$C750+1)+2,"00"),"")&amp;IF($C750&gt;=4,", "&amp;$A750&amp;"-"&amp;TEXT(($D750-$C750+1)+3,"00"),"")&amp;IF($C750&gt;=5,", "&amp;$A750&amp;"-"&amp;TEXT(($D750-$C750+1)+4,"00"),"")&amp;IF($C750&gt;=6,", "&amp;$A750&amp;"-"&amp;TEXT(($D750-$C750+1)+5,"00"),"")&amp;IF($C750&gt;=7,", "&amp;$A750&amp;"-"&amp;TEXT(($D750-$C750+1)+6,"00"),"")&amp;IF($C750&gt;=8,", "&amp;$A750&amp;"-"&amp;TEXT(($D750-$C750+1)+7,"00"),"")&amp;IF($C750&gt;=9,", "&amp;$A750&amp;"-"&amp;TEXT(($D750-$C750+1)+8,"00"),"")&amp;IF($C750&gt;=10,", "&amp;$A750&amp;"-"&amp;TEXT(($D750-$C750+1)+9,"00"),"")&amp;IF($C750&gt;=11,", "&amp;$A750&amp;"-"&amp;TEXT(($D750-$C750+1)+10,"00"),"")&amp;IF($C750&gt;=12,", "&amp;$A750&amp;"-"&amp;TEXT(($D750-$C750+1)+11,"00"),"")&amp;IF($C750&gt;=13,", "&amp;$A750&amp;"-"&amp;TEXT(($D750-$C750+1)+12,"00"),"")&amp;IF($C750&gt;=14,", "&amp;$A750&amp;"-"&amp;TEXT(($D750-$C750+1)+13,"00"),"")&amp;IF($C750&gt;=15,", "&amp;$A750&amp;"-"&amp;TEXT(($D750-$C750+1)+14,"00"),"")&amp;IF($C750&gt;=16,", "&amp;$A750&amp;"-"&amp;TEXT(($D750-$C750+1)+15,"00"),"")&amp;IF($C750&gt;=17,", "&amp;$A750&amp;"-"&amp;TEXT(($D750-$C750+1)+16,"00"),"")&amp;IF($C750&gt;=18,", "&amp;$A750&amp;"-"&amp;TEXT(($D750-$C750+1)+17,"00"),"")&amp;IF($C750&gt;=19,", "&amp;$A750&amp;"-"&amp;TEXT(($D750-$C750+1)+18,"00"),"")&amp;IF($C750&gt;=20,", "&amp;$A750&amp;"-"&amp;TEXT(($D750-$C750+1)+19,"00"),"")&amp;IF($C750&gt;=21,", "&amp;$A750&amp;"-"&amp;TEXT(($D750-$C750+1)+20,"00"),"")&amp;IF($C750&gt;=22,", "&amp;$A750&amp;"-"&amp;TEXT(($D750-$C750+1)+21,"00"),"")&amp;IF($C750&gt;=23,", "&amp;$A750&amp;"-"&amp;TEXT(($D750-$C750+1)+22,"00"),"")&amp;IF($C750&gt;=24,", "&amp;$A750&amp;"-"&amp;TEXT(($D750-$C750+1)+23,"00"),"")&amp;IF($C750&gt;=25,", "&amp;$A750&amp;"-"&amp;TEXT(($D750-$C750+1)+24,"00"),""))</f>
        <v/>
      </c>
      <c r="G750">
        <f>IF($A750="","",IF($E750=1,$F750,IF($F750="",$G749,IF($G749="",$F750,$G749&amp;", "&amp;$F750))))</f>
        <v/>
      </c>
      <c r="H750">
        <f>IF($A750="","",$A750&amp;" ("&amp;$C750&amp;")")</f>
        <v/>
      </c>
      <c r="I750">
        <f>IF($A750="","",IF($E750=1,$H750,$I749&amp;", "&amp;$H750))</f>
        <v/>
      </c>
      <c r="J750">
        <f>IF($A750="","",IF($E750=1,$B750,""))</f>
        <v/>
      </c>
      <c r="K750">
        <f>IF($A750="","",IF(COUNTIF($B$2:$B750,$B750)=COUNTIF($B$2:$B$1601,$B750),$B750,""))</f>
        <v/>
      </c>
    </row>
    <row r="751">
      <c r="A751">
        <f>IF('TMP Paste'!$E751="","",'TMP Paste'!$E751)</f>
        <v/>
      </c>
      <c r="B751">
        <f>IF($A751="","",COUNTIF('TMP Paste'!$B$2:$B751,"?*"))</f>
        <v/>
      </c>
      <c r="C751">
        <f>IF($A751="","",IFERROR('TMP Paste'!$M751*1,0))</f>
        <v/>
      </c>
      <c r="D751">
        <f>IF($A751="","",SUMIF($B$2:$B751,$B751,$C$2:$C751))</f>
        <v/>
      </c>
      <c r="E751">
        <f>IF($A751="",0,IF('TMP Paste'!$B751="",0,1))</f>
        <v/>
      </c>
      <c r="F751">
        <f>IF(OR($A751="",$C751&lt;1),"",$A751&amp;"-"&amp;TEXT(($D751-$C751+1),"00")&amp;IF($C751&gt;=2,", "&amp;$A751&amp;"-"&amp;TEXT(($D751-$C751+1)+1,"00"),"")&amp;IF($C751&gt;=3,", "&amp;$A751&amp;"-"&amp;TEXT(($D751-$C751+1)+2,"00"),"")&amp;IF($C751&gt;=4,", "&amp;$A751&amp;"-"&amp;TEXT(($D751-$C751+1)+3,"00"),"")&amp;IF($C751&gt;=5,", "&amp;$A751&amp;"-"&amp;TEXT(($D751-$C751+1)+4,"00"),"")&amp;IF($C751&gt;=6,", "&amp;$A751&amp;"-"&amp;TEXT(($D751-$C751+1)+5,"00"),"")&amp;IF($C751&gt;=7,", "&amp;$A751&amp;"-"&amp;TEXT(($D751-$C751+1)+6,"00"),"")&amp;IF($C751&gt;=8,", "&amp;$A751&amp;"-"&amp;TEXT(($D751-$C751+1)+7,"00"),"")&amp;IF($C751&gt;=9,", "&amp;$A751&amp;"-"&amp;TEXT(($D751-$C751+1)+8,"00"),"")&amp;IF($C751&gt;=10,", "&amp;$A751&amp;"-"&amp;TEXT(($D751-$C751+1)+9,"00"),"")&amp;IF($C751&gt;=11,", "&amp;$A751&amp;"-"&amp;TEXT(($D751-$C751+1)+10,"00"),"")&amp;IF($C751&gt;=12,", "&amp;$A751&amp;"-"&amp;TEXT(($D751-$C751+1)+11,"00"),"")&amp;IF($C751&gt;=13,", "&amp;$A751&amp;"-"&amp;TEXT(($D751-$C751+1)+12,"00"),"")&amp;IF($C751&gt;=14,", "&amp;$A751&amp;"-"&amp;TEXT(($D751-$C751+1)+13,"00"),"")&amp;IF($C751&gt;=15,", "&amp;$A751&amp;"-"&amp;TEXT(($D751-$C751+1)+14,"00"),"")&amp;IF($C751&gt;=16,", "&amp;$A751&amp;"-"&amp;TEXT(($D751-$C751+1)+15,"00"),"")&amp;IF($C751&gt;=17,", "&amp;$A751&amp;"-"&amp;TEXT(($D751-$C751+1)+16,"00"),"")&amp;IF($C751&gt;=18,", "&amp;$A751&amp;"-"&amp;TEXT(($D751-$C751+1)+17,"00"),"")&amp;IF($C751&gt;=19,", "&amp;$A751&amp;"-"&amp;TEXT(($D751-$C751+1)+18,"00"),"")&amp;IF($C751&gt;=20,", "&amp;$A751&amp;"-"&amp;TEXT(($D751-$C751+1)+19,"00"),"")&amp;IF($C751&gt;=21,", "&amp;$A751&amp;"-"&amp;TEXT(($D751-$C751+1)+20,"00"),"")&amp;IF($C751&gt;=22,", "&amp;$A751&amp;"-"&amp;TEXT(($D751-$C751+1)+21,"00"),"")&amp;IF($C751&gt;=23,", "&amp;$A751&amp;"-"&amp;TEXT(($D751-$C751+1)+22,"00"),"")&amp;IF($C751&gt;=24,", "&amp;$A751&amp;"-"&amp;TEXT(($D751-$C751+1)+23,"00"),"")&amp;IF($C751&gt;=25,", "&amp;$A751&amp;"-"&amp;TEXT(($D751-$C751+1)+24,"00"),""))</f>
        <v/>
      </c>
      <c r="G751">
        <f>IF($A751="","",IF($E751=1,$F751,IF($F751="",$G750,IF($G750="",$F751,$G750&amp;", "&amp;$F751))))</f>
        <v/>
      </c>
      <c r="H751">
        <f>IF($A751="","",$A751&amp;" ("&amp;$C751&amp;")")</f>
        <v/>
      </c>
      <c r="I751">
        <f>IF($A751="","",IF($E751=1,$H751,$I750&amp;", "&amp;$H751))</f>
        <v/>
      </c>
      <c r="J751">
        <f>IF($A751="","",IF($E751=1,$B751,""))</f>
        <v/>
      </c>
      <c r="K751">
        <f>IF($A751="","",IF(COUNTIF($B$2:$B751,$B751)=COUNTIF($B$2:$B$1601,$B751),$B751,""))</f>
        <v/>
      </c>
    </row>
    <row r="752">
      <c r="A752">
        <f>IF('TMP Paste'!$E752="","",'TMP Paste'!$E752)</f>
        <v/>
      </c>
      <c r="B752">
        <f>IF($A752="","",COUNTIF('TMP Paste'!$B$2:$B752,"?*"))</f>
        <v/>
      </c>
      <c r="C752">
        <f>IF($A752="","",IFERROR('TMP Paste'!$M752*1,0))</f>
        <v/>
      </c>
      <c r="D752">
        <f>IF($A752="","",SUMIF($B$2:$B752,$B752,$C$2:$C752))</f>
        <v/>
      </c>
      <c r="E752">
        <f>IF($A752="",0,IF('TMP Paste'!$B752="",0,1))</f>
        <v/>
      </c>
      <c r="F752">
        <f>IF(OR($A752="",$C752&lt;1),"",$A752&amp;"-"&amp;TEXT(($D752-$C752+1),"00")&amp;IF($C752&gt;=2,", "&amp;$A752&amp;"-"&amp;TEXT(($D752-$C752+1)+1,"00"),"")&amp;IF($C752&gt;=3,", "&amp;$A752&amp;"-"&amp;TEXT(($D752-$C752+1)+2,"00"),"")&amp;IF($C752&gt;=4,", "&amp;$A752&amp;"-"&amp;TEXT(($D752-$C752+1)+3,"00"),"")&amp;IF($C752&gt;=5,", "&amp;$A752&amp;"-"&amp;TEXT(($D752-$C752+1)+4,"00"),"")&amp;IF($C752&gt;=6,", "&amp;$A752&amp;"-"&amp;TEXT(($D752-$C752+1)+5,"00"),"")&amp;IF($C752&gt;=7,", "&amp;$A752&amp;"-"&amp;TEXT(($D752-$C752+1)+6,"00"),"")&amp;IF($C752&gt;=8,", "&amp;$A752&amp;"-"&amp;TEXT(($D752-$C752+1)+7,"00"),"")&amp;IF($C752&gt;=9,", "&amp;$A752&amp;"-"&amp;TEXT(($D752-$C752+1)+8,"00"),"")&amp;IF($C752&gt;=10,", "&amp;$A752&amp;"-"&amp;TEXT(($D752-$C752+1)+9,"00"),"")&amp;IF($C752&gt;=11,", "&amp;$A752&amp;"-"&amp;TEXT(($D752-$C752+1)+10,"00"),"")&amp;IF($C752&gt;=12,", "&amp;$A752&amp;"-"&amp;TEXT(($D752-$C752+1)+11,"00"),"")&amp;IF($C752&gt;=13,", "&amp;$A752&amp;"-"&amp;TEXT(($D752-$C752+1)+12,"00"),"")&amp;IF($C752&gt;=14,", "&amp;$A752&amp;"-"&amp;TEXT(($D752-$C752+1)+13,"00"),"")&amp;IF($C752&gt;=15,", "&amp;$A752&amp;"-"&amp;TEXT(($D752-$C752+1)+14,"00"),"")&amp;IF($C752&gt;=16,", "&amp;$A752&amp;"-"&amp;TEXT(($D752-$C752+1)+15,"00"),"")&amp;IF($C752&gt;=17,", "&amp;$A752&amp;"-"&amp;TEXT(($D752-$C752+1)+16,"00"),"")&amp;IF($C752&gt;=18,", "&amp;$A752&amp;"-"&amp;TEXT(($D752-$C752+1)+17,"00"),"")&amp;IF($C752&gt;=19,", "&amp;$A752&amp;"-"&amp;TEXT(($D752-$C752+1)+18,"00"),"")&amp;IF($C752&gt;=20,", "&amp;$A752&amp;"-"&amp;TEXT(($D752-$C752+1)+19,"00"),"")&amp;IF($C752&gt;=21,", "&amp;$A752&amp;"-"&amp;TEXT(($D752-$C752+1)+20,"00"),"")&amp;IF($C752&gt;=22,", "&amp;$A752&amp;"-"&amp;TEXT(($D752-$C752+1)+21,"00"),"")&amp;IF($C752&gt;=23,", "&amp;$A752&amp;"-"&amp;TEXT(($D752-$C752+1)+22,"00"),"")&amp;IF($C752&gt;=24,", "&amp;$A752&amp;"-"&amp;TEXT(($D752-$C752+1)+23,"00"),"")&amp;IF($C752&gt;=25,", "&amp;$A752&amp;"-"&amp;TEXT(($D752-$C752+1)+24,"00"),""))</f>
        <v/>
      </c>
      <c r="G752">
        <f>IF($A752="","",IF($E752=1,$F752,IF($F752="",$G751,IF($G751="",$F752,$G751&amp;", "&amp;$F752))))</f>
        <v/>
      </c>
      <c r="H752">
        <f>IF($A752="","",$A752&amp;" ("&amp;$C752&amp;")")</f>
        <v/>
      </c>
      <c r="I752">
        <f>IF($A752="","",IF($E752=1,$H752,$I751&amp;", "&amp;$H752))</f>
        <v/>
      </c>
      <c r="J752">
        <f>IF($A752="","",IF($E752=1,$B752,""))</f>
        <v/>
      </c>
      <c r="K752">
        <f>IF($A752="","",IF(COUNTIF($B$2:$B752,$B752)=COUNTIF($B$2:$B$1601,$B752),$B752,""))</f>
        <v/>
      </c>
    </row>
    <row r="753">
      <c r="A753">
        <f>IF('TMP Paste'!$E753="","",'TMP Paste'!$E753)</f>
        <v/>
      </c>
      <c r="B753">
        <f>IF($A753="","",COUNTIF('TMP Paste'!$B$2:$B753,"?*"))</f>
        <v/>
      </c>
      <c r="C753">
        <f>IF($A753="","",IFERROR('TMP Paste'!$M753*1,0))</f>
        <v/>
      </c>
      <c r="D753">
        <f>IF($A753="","",SUMIF($B$2:$B753,$B753,$C$2:$C753))</f>
        <v/>
      </c>
      <c r="E753">
        <f>IF($A753="",0,IF('TMP Paste'!$B753="",0,1))</f>
        <v/>
      </c>
      <c r="F753">
        <f>IF(OR($A753="",$C753&lt;1),"",$A753&amp;"-"&amp;TEXT(($D753-$C753+1),"00")&amp;IF($C753&gt;=2,", "&amp;$A753&amp;"-"&amp;TEXT(($D753-$C753+1)+1,"00"),"")&amp;IF($C753&gt;=3,", "&amp;$A753&amp;"-"&amp;TEXT(($D753-$C753+1)+2,"00"),"")&amp;IF($C753&gt;=4,", "&amp;$A753&amp;"-"&amp;TEXT(($D753-$C753+1)+3,"00"),"")&amp;IF($C753&gt;=5,", "&amp;$A753&amp;"-"&amp;TEXT(($D753-$C753+1)+4,"00"),"")&amp;IF($C753&gt;=6,", "&amp;$A753&amp;"-"&amp;TEXT(($D753-$C753+1)+5,"00"),"")&amp;IF($C753&gt;=7,", "&amp;$A753&amp;"-"&amp;TEXT(($D753-$C753+1)+6,"00"),"")&amp;IF($C753&gt;=8,", "&amp;$A753&amp;"-"&amp;TEXT(($D753-$C753+1)+7,"00"),"")&amp;IF($C753&gt;=9,", "&amp;$A753&amp;"-"&amp;TEXT(($D753-$C753+1)+8,"00"),"")&amp;IF($C753&gt;=10,", "&amp;$A753&amp;"-"&amp;TEXT(($D753-$C753+1)+9,"00"),"")&amp;IF($C753&gt;=11,", "&amp;$A753&amp;"-"&amp;TEXT(($D753-$C753+1)+10,"00"),"")&amp;IF($C753&gt;=12,", "&amp;$A753&amp;"-"&amp;TEXT(($D753-$C753+1)+11,"00"),"")&amp;IF($C753&gt;=13,", "&amp;$A753&amp;"-"&amp;TEXT(($D753-$C753+1)+12,"00"),"")&amp;IF($C753&gt;=14,", "&amp;$A753&amp;"-"&amp;TEXT(($D753-$C753+1)+13,"00"),"")&amp;IF($C753&gt;=15,", "&amp;$A753&amp;"-"&amp;TEXT(($D753-$C753+1)+14,"00"),"")&amp;IF($C753&gt;=16,", "&amp;$A753&amp;"-"&amp;TEXT(($D753-$C753+1)+15,"00"),"")&amp;IF($C753&gt;=17,", "&amp;$A753&amp;"-"&amp;TEXT(($D753-$C753+1)+16,"00"),"")&amp;IF($C753&gt;=18,", "&amp;$A753&amp;"-"&amp;TEXT(($D753-$C753+1)+17,"00"),"")&amp;IF($C753&gt;=19,", "&amp;$A753&amp;"-"&amp;TEXT(($D753-$C753+1)+18,"00"),"")&amp;IF($C753&gt;=20,", "&amp;$A753&amp;"-"&amp;TEXT(($D753-$C753+1)+19,"00"),"")&amp;IF($C753&gt;=21,", "&amp;$A753&amp;"-"&amp;TEXT(($D753-$C753+1)+20,"00"),"")&amp;IF($C753&gt;=22,", "&amp;$A753&amp;"-"&amp;TEXT(($D753-$C753+1)+21,"00"),"")&amp;IF($C753&gt;=23,", "&amp;$A753&amp;"-"&amp;TEXT(($D753-$C753+1)+22,"00"),"")&amp;IF($C753&gt;=24,", "&amp;$A753&amp;"-"&amp;TEXT(($D753-$C753+1)+23,"00"),"")&amp;IF($C753&gt;=25,", "&amp;$A753&amp;"-"&amp;TEXT(($D753-$C753+1)+24,"00"),""))</f>
        <v/>
      </c>
      <c r="G753">
        <f>IF($A753="","",IF($E753=1,$F753,IF($F753="",$G752,IF($G752="",$F753,$G752&amp;", "&amp;$F753))))</f>
        <v/>
      </c>
      <c r="H753">
        <f>IF($A753="","",$A753&amp;" ("&amp;$C753&amp;")")</f>
        <v/>
      </c>
      <c r="I753">
        <f>IF($A753="","",IF($E753=1,$H753,$I752&amp;", "&amp;$H753))</f>
        <v/>
      </c>
      <c r="J753">
        <f>IF($A753="","",IF($E753=1,$B753,""))</f>
        <v/>
      </c>
      <c r="K753">
        <f>IF($A753="","",IF(COUNTIF($B$2:$B753,$B753)=COUNTIF($B$2:$B$1601,$B753),$B753,""))</f>
        <v/>
      </c>
    </row>
    <row r="754">
      <c r="A754">
        <f>IF('TMP Paste'!$E754="","",'TMP Paste'!$E754)</f>
        <v/>
      </c>
      <c r="B754">
        <f>IF($A754="","",COUNTIF('TMP Paste'!$B$2:$B754,"?*"))</f>
        <v/>
      </c>
      <c r="C754">
        <f>IF($A754="","",IFERROR('TMP Paste'!$M754*1,0))</f>
        <v/>
      </c>
      <c r="D754">
        <f>IF($A754="","",SUMIF($B$2:$B754,$B754,$C$2:$C754))</f>
        <v/>
      </c>
      <c r="E754">
        <f>IF($A754="",0,IF('TMP Paste'!$B754="",0,1))</f>
        <v/>
      </c>
      <c r="F754">
        <f>IF(OR($A754="",$C754&lt;1),"",$A754&amp;"-"&amp;TEXT(($D754-$C754+1),"00")&amp;IF($C754&gt;=2,", "&amp;$A754&amp;"-"&amp;TEXT(($D754-$C754+1)+1,"00"),"")&amp;IF($C754&gt;=3,", "&amp;$A754&amp;"-"&amp;TEXT(($D754-$C754+1)+2,"00"),"")&amp;IF($C754&gt;=4,", "&amp;$A754&amp;"-"&amp;TEXT(($D754-$C754+1)+3,"00"),"")&amp;IF($C754&gt;=5,", "&amp;$A754&amp;"-"&amp;TEXT(($D754-$C754+1)+4,"00"),"")&amp;IF($C754&gt;=6,", "&amp;$A754&amp;"-"&amp;TEXT(($D754-$C754+1)+5,"00"),"")&amp;IF($C754&gt;=7,", "&amp;$A754&amp;"-"&amp;TEXT(($D754-$C754+1)+6,"00"),"")&amp;IF($C754&gt;=8,", "&amp;$A754&amp;"-"&amp;TEXT(($D754-$C754+1)+7,"00"),"")&amp;IF($C754&gt;=9,", "&amp;$A754&amp;"-"&amp;TEXT(($D754-$C754+1)+8,"00"),"")&amp;IF($C754&gt;=10,", "&amp;$A754&amp;"-"&amp;TEXT(($D754-$C754+1)+9,"00"),"")&amp;IF($C754&gt;=11,", "&amp;$A754&amp;"-"&amp;TEXT(($D754-$C754+1)+10,"00"),"")&amp;IF($C754&gt;=12,", "&amp;$A754&amp;"-"&amp;TEXT(($D754-$C754+1)+11,"00"),"")&amp;IF($C754&gt;=13,", "&amp;$A754&amp;"-"&amp;TEXT(($D754-$C754+1)+12,"00"),"")&amp;IF($C754&gt;=14,", "&amp;$A754&amp;"-"&amp;TEXT(($D754-$C754+1)+13,"00"),"")&amp;IF($C754&gt;=15,", "&amp;$A754&amp;"-"&amp;TEXT(($D754-$C754+1)+14,"00"),"")&amp;IF($C754&gt;=16,", "&amp;$A754&amp;"-"&amp;TEXT(($D754-$C754+1)+15,"00"),"")&amp;IF($C754&gt;=17,", "&amp;$A754&amp;"-"&amp;TEXT(($D754-$C754+1)+16,"00"),"")&amp;IF($C754&gt;=18,", "&amp;$A754&amp;"-"&amp;TEXT(($D754-$C754+1)+17,"00"),"")&amp;IF($C754&gt;=19,", "&amp;$A754&amp;"-"&amp;TEXT(($D754-$C754+1)+18,"00"),"")&amp;IF($C754&gt;=20,", "&amp;$A754&amp;"-"&amp;TEXT(($D754-$C754+1)+19,"00"),"")&amp;IF($C754&gt;=21,", "&amp;$A754&amp;"-"&amp;TEXT(($D754-$C754+1)+20,"00"),"")&amp;IF($C754&gt;=22,", "&amp;$A754&amp;"-"&amp;TEXT(($D754-$C754+1)+21,"00"),"")&amp;IF($C754&gt;=23,", "&amp;$A754&amp;"-"&amp;TEXT(($D754-$C754+1)+22,"00"),"")&amp;IF($C754&gt;=24,", "&amp;$A754&amp;"-"&amp;TEXT(($D754-$C754+1)+23,"00"),"")&amp;IF($C754&gt;=25,", "&amp;$A754&amp;"-"&amp;TEXT(($D754-$C754+1)+24,"00"),""))</f>
        <v/>
      </c>
      <c r="G754">
        <f>IF($A754="","",IF($E754=1,$F754,IF($F754="",$G753,IF($G753="",$F754,$G753&amp;", "&amp;$F754))))</f>
        <v/>
      </c>
      <c r="H754">
        <f>IF($A754="","",$A754&amp;" ("&amp;$C754&amp;")")</f>
        <v/>
      </c>
      <c r="I754">
        <f>IF($A754="","",IF($E754=1,$H754,$I753&amp;", "&amp;$H754))</f>
        <v/>
      </c>
      <c r="J754">
        <f>IF($A754="","",IF($E754=1,$B754,""))</f>
        <v/>
      </c>
      <c r="K754">
        <f>IF($A754="","",IF(COUNTIF($B$2:$B754,$B754)=COUNTIF($B$2:$B$1601,$B754),$B754,""))</f>
        <v/>
      </c>
    </row>
    <row r="755">
      <c r="A755">
        <f>IF('TMP Paste'!$E755="","",'TMP Paste'!$E755)</f>
        <v/>
      </c>
      <c r="B755">
        <f>IF($A755="","",COUNTIF('TMP Paste'!$B$2:$B755,"?*"))</f>
        <v/>
      </c>
      <c r="C755">
        <f>IF($A755="","",IFERROR('TMP Paste'!$M755*1,0))</f>
        <v/>
      </c>
      <c r="D755">
        <f>IF($A755="","",SUMIF($B$2:$B755,$B755,$C$2:$C755))</f>
        <v/>
      </c>
      <c r="E755">
        <f>IF($A755="",0,IF('TMP Paste'!$B755="",0,1))</f>
        <v/>
      </c>
      <c r="F755">
        <f>IF(OR($A755="",$C755&lt;1),"",$A755&amp;"-"&amp;TEXT(($D755-$C755+1),"00")&amp;IF($C755&gt;=2,", "&amp;$A755&amp;"-"&amp;TEXT(($D755-$C755+1)+1,"00"),"")&amp;IF($C755&gt;=3,", "&amp;$A755&amp;"-"&amp;TEXT(($D755-$C755+1)+2,"00"),"")&amp;IF($C755&gt;=4,", "&amp;$A755&amp;"-"&amp;TEXT(($D755-$C755+1)+3,"00"),"")&amp;IF($C755&gt;=5,", "&amp;$A755&amp;"-"&amp;TEXT(($D755-$C755+1)+4,"00"),"")&amp;IF($C755&gt;=6,", "&amp;$A755&amp;"-"&amp;TEXT(($D755-$C755+1)+5,"00"),"")&amp;IF($C755&gt;=7,", "&amp;$A755&amp;"-"&amp;TEXT(($D755-$C755+1)+6,"00"),"")&amp;IF($C755&gt;=8,", "&amp;$A755&amp;"-"&amp;TEXT(($D755-$C755+1)+7,"00"),"")&amp;IF($C755&gt;=9,", "&amp;$A755&amp;"-"&amp;TEXT(($D755-$C755+1)+8,"00"),"")&amp;IF($C755&gt;=10,", "&amp;$A755&amp;"-"&amp;TEXT(($D755-$C755+1)+9,"00"),"")&amp;IF($C755&gt;=11,", "&amp;$A755&amp;"-"&amp;TEXT(($D755-$C755+1)+10,"00"),"")&amp;IF($C755&gt;=12,", "&amp;$A755&amp;"-"&amp;TEXT(($D755-$C755+1)+11,"00"),"")&amp;IF($C755&gt;=13,", "&amp;$A755&amp;"-"&amp;TEXT(($D755-$C755+1)+12,"00"),"")&amp;IF($C755&gt;=14,", "&amp;$A755&amp;"-"&amp;TEXT(($D755-$C755+1)+13,"00"),"")&amp;IF($C755&gt;=15,", "&amp;$A755&amp;"-"&amp;TEXT(($D755-$C755+1)+14,"00"),"")&amp;IF($C755&gt;=16,", "&amp;$A755&amp;"-"&amp;TEXT(($D755-$C755+1)+15,"00"),"")&amp;IF($C755&gt;=17,", "&amp;$A755&amp;"-"&amp;TEXT(($D755-$C755+1)+16,"00"),"")&amp;IF($C755&gt;=18,", "&amp;$A755&amp;"-"&amp;TEXT(($D755-$C755+1)+17,"00"),"")&amp;IF($C755&gt;=19,", "&amp;$A755&amp;"-"&amp;TEXT(($D755-$C755+1)+18,"00"),"")&amp;IF($C755&gt;=20,", "&amp;$A755&amp;"-"&amp;TEXT(($D755-$C755+1)+19,"00"),"")&amp;IF($C755&gt;=21,", "&amp;$A755&amp;"-"&amp;TEXT(($D755-$C755+1)+20,"00"),"")&amp;IF($C755&gt;=22,", "&amp;$A755&amp;"-"&amp;TEXT(($D755-$C755+1)+21,"00"),"")&amp;IF($C755&gt;=23,", "&amp;$A755&amp;"-"&amp;TEXT(($D755-$C755+1)+22,"00"),"")&amp;IF($C755&gt;=24,", "&amp;$A755&amp;"-"&amp;TEXT(($D755-$C755+1)+23,"00"),"")&amp;IF($C755&gt;=25,", "&amp;$A755&amp;"-"&amp;TEXT(($D755-$C755+1)+24,"00"),""))</f>
        <v/>
      </c>
      <c r="G755">
        <f>IF($A755="","",IF($E755=1,$F755,IF($F755="",$G754,IF($G754="",$F755,$G754&amp;", "&amp;$F755))))</f>
        <v/>
      </c>
      <c r="H755">
        <f>IF($A755="","",$A755&amp;" ("&amp;$C755&amp;")")</f>
        <v/>
      </c>
      <c r="I755">
        <f>IF($A755="","",IF($E755=1,$H755,$I754&amp;", "&amp;$H755))</f>
        <v/>
      </c>
      <c r="J755">
        <f>IF($A755="","",IF($E755=1,$B755,""))</f>
        <v/>
      </c>
      <c r="K755">
        <f>IF($A755="","",IF(COUNTIF($B$2:$B755,$B755)=COUNTIF($B$2:$B$1601,$B755),$B755,""))</f>
        <v/>
      </c>
    </row>
    <row r="756">
      <c r="A756">
        <f>IF('TMP Paste'!$E756="","",'TMP Paste'!$E756)</f>
        <v/>
      </c>
      <c r="B756">
        <f>IF($A756="","",COUNTIF('TMP Paste'!$B$2:$B756,"?*"))</f>
        <v/>
      </c>
      <c r="C756">
        <f>IF($A756="","",IFERROR('TMP Paste'!$M756*1,0))</f>
        <v/>
      </c>
      <c r="D756">
        <f>IF($A756="","",SUMIF($B$2:$B756,$B756,$C$2:$C756))</f>
        <v/>
      </c>
      <c r="E756">
        <f>IF($A756="",0,IF('TMP Paste'!$B756="",0,1))</f>
        <v/>
      </c>
      <c r="F756">
        <f>IF(OR($A756="",$C756&lt;1),"",$A756&amp;"-"&amp;TEXT(($D756-$C756+1),"00")&amp;IF($C756&gt;=2,", "&amp;$A756&amp;"-"&amp;TEXT(($D756-$C756+1)+1,"00"),"")&amp;IF($C756&gt;=3,", "&amp;$A756&amp;"-"&amp;TEXT(($D756-$C756+1)+2,"00"),"")&amp;IF($C756&gt;=4,", "&amp;$A756&amp;"-"&amp;TEXT(($D756-$C756+1)+3,"00"),"")&amp;IF($C756&gt;=5,", "&amp;$A756&amp;"-"&amp;TEXT(($D756-$C756+1)+4,"00"),"")&amp;IF($C756&gt;=6,", "&amp;$A756&amp;"-"&amp;TEXT(($D756-$C756+1)+5,"00"),"")&amp;IF($C756&gt;=7,", "&amp;$A756&amp;"-"&amp;TEXT(($D756-$C756+1)+6,"00"),"")&amp;IF($C756&gt;=8,", "&amp;$A756&amp;"-"&amp;TEXT(($D756-$C756+1)+7,"00"),"")&amp;IF($C756&gt;=9,", "&amp;$A756&amp;"-"&amp;TEXT(($D756-$C756+1)+8,"00"),"")&amp;IF($C756&gt;=10,", "&amp;$A756&amp;"-"&amp;TEXT(($D756-$C756+1)+9,"00"),"")&amp;IF($C756&gt;=11,", "&amp;$A756&amp;"-"&amp;TEXT(($D756-$C756+1)+10,"00"),"")&amp;IF($C756&gt;=12,", "&amp;$A756&amp;"-"&amp;TEXT(($D756-$C756+1)+11,"00"),"")&amp;IF($C756&gt;=13,", "&amp;$A756&amp;"-"&amp;TEXT(($D756-$C756+1)+12,"00"),"")&amp;IF($C756&gt;=14,", "&amp;$A756&amp;"-"&amp;TEXT(($D756-$C756+1)+13,"00"),"")&amp;IF($C756&gt;=15,", "&amp;$A756&amp;"-"&amp;TEXT(($D756-$C756+1)+14,"00"),"")&amp;IF($C756&gt;=16,", "&amp;$A756&amp;"-"&amp;TEXT(($D756-$C756+1)+15,"00"),"")&amp;IF($C756&gt;=17,", "&amp;$A756&amp;"-"&amp;TEXT(($D756-$C756+1)+16,"00"),"")&amp;IF($C756&gt;=18,", "&amp;$A756&amp;"-"&amp;TEXT(($D756-$C756+1)+17,"00"),"")&amp;IF($C756&gt;=19,", "&amp;$A756&amp;"-"&amp;TEXT(($D756-$C756+1)+18,"00"),"")&amp;IF($C756&gt;=20,", "&amp;$A756&amp;"-"&amp;TEXT(($D756-$C756+1)+19,"00"),"")&amp;IF($C756&gt;=21,", "&amp;$A756&amp;"-"&amp;TEXT(($D756-$C756+1)+20,"00"),"")&amp;IF($C756&gt;=22,", "&amp;$A756&amp;"-"&amp;TEXT(($D756-$C756+1)+21,"00"),"")&amp;IF($C756&gt;=23,", "&amp;$A756&amp;"-"&amp;TEXT(($D756-$C756+1)+22,"00"),"")&amp;IF($C756&gt;=24,", "&amp;$A756&amp;"-"&amp;TEXT(($D756-$C756+1)+23,"00"),"")&amp;IF($C756&gt;=25,", "&amp;$A756&amp;"-"&amp;TEXT(($D756-$C756+1)+24,"00"),""))</f>
        <v/>
      </c>
      <c r="G756">
        <f>IF($A756="","",IF($E756=1,$F756,IF($F756="",$G755,IF($G755="",$F756,$G755&amp;", "&amp;$F756))))</f>
        <v/>
      </c>
      <c r="H756">
        <f>IF($A756="","",$A756&amp;" ("&amp;$C756&amp;")")</f>
        <v/>
      </c>
      <c r="I756">
        <f>IF($A756="","",IF($E756=1,$H756,$I755&amp;", "&amp;$H756))</f>
        <v/>
      </c>
      <c r="J756">
        <f>IF($A756="","",IF($E756=1,$B756,""))</f>
        <v/>
      </c>
      <c r="K756">
        <f>IF($A756="","",IF(COUNTIF($B$2:$B756,$B756)=COUNTIF($B$2:$B$1601,$B756),$B756,""))</f>
        <v/>
      </c>
    </row>
    <row r="757">
      <c r="A757">
        <f>IF('TMP Paste'!$E757="","",'TMP Paste'!$E757)</f>
        <v/>
      </c>
      <c r="B757">
        <f>IF($A757="","",COUNTIF('TMP Paste'!$B$2:$B757,"?*"))</f>
        <v/>
      </c>
      <c r="C757">
        <f>IF($A757="","",IFERROR('TMP Paste'!$M757*1,0))</f>
        <v/>
      </c>
      <c r="D757">
        <f>IF($A757="","",SUMIF($B$2:$B757,$B757,$C$2:$C757))</f>
        <v/>
      </c>
      <c r="E757">
        <f>IF($A757="",0,IF('TMP Paste'!$B757="",0,1))</f>
        <v/>
      </c>
      <c r="F757">
        <f>IF(OR($A757="",$C757&lt;1),"",$A757&amp;"-"&amp;TEXT(($D757-$C757+1),"00")&amp;IF($C757&gt;=2,", "&amp;$A757&amp;"-"&amp;TEXT(($D757-$C757+1)+1,"00"),"")&amp;IF($C757&gt;=3,", "&amp;$A757&amp;"-"&amp;TEXT(($D757-$C757+1)+2,"00"),"")&amp;IF($C757&gt;=4,", "&amp;$A757&amp;"-"&amp;TEXT(($D757-$C757+1)+3,"00"),"")&amp;IF($C757&gt;=5,", "&amp;$A757&amp;"-"&amp;TEXT(($D757-$C757+1)+4,"00"),"")&amp;IF($C757&gt;=6,", "&amp;$A757&amp;"-"&amp;TEXT(($D757-$C757+1)+5,"00"),"")&amp;IF($C757&gt;=7,", "&amp;$A757&amp;"-"&amp;TEXT(($D757-$C757+1)+6,"00"),"")&amp;IF($C757&gt;=8,", "&amp;$A757&amp;"-"&amp;TEXT(($D757-$C757+1)+7,"00"),"")&amp;IF($C757&gt;=9,", "&amp;$A757&amp;"-"&amp;TEXT(($D757-$C757+1)+8,"00"),"")&amp;IF($C757&gt;=10,", "&amp;$A757&amp;"-"&amp;TEXT(($D757-$C757+1)+9,"00"),"")&amp;IF($C757&gt;=11,", "&amp;$A757&amp;"-"&amp;TEXT(($D757-$C757+1)+10,"00"),"")&amp;IF($C757&gt;=12,", "&amp;$A757&amp;"-"&amp;TEXT(($D757-$C757+1)+11,"00"),"")&amp;IF($C757&gt;=13,", "&amp;$A757&amp;"-"&amp;TEXT(($D757-$C757+1)+12,"00"),"")&amp;IF($C757&gt;=14,", "&amp;$A757&amp;"-"&amp;TEXT(($D757-$C757+1)+13,"00"),"")&amp;IF($C757&gt;=15,", "&amp;$A757&amp;"-"&amp;TEXT(($D757-$C757+1)+14,"00"),"")&amp;IF($C757&gt;=16,", "&amp;$A757&amp;"-"&amp;TEXT(($D757-$C757+1)+15,"00"),"")&amp;IF($C757&gt;=17,", "&amp;$A757&amp;"-"&amp;TEXT(($D757-$C757+1)+16,"00"),"")&amp;IF($C757&gt;=18,", "&amp;$A757&amp;"-"&amp;TEXT(($D757-$C757+1)+17,"00"),"")&amp;IF($C757&gt;=19,", "&amp;$A757&amp;"-"&amp;TEXT(($D757-$C757+1)+18,"00"),"")&amp;IF($C757&gt;=20,", "&amp;$A757&amp;"-"&amp;TEXT(($D757-$C757+1)+19,"00"),"")&amp;IF($C757&gt;=21,", "&amp;$A757&amp;"-"&amp;TEXT(($D757-$C757+1)+20,"00"),"")&amp;IF($C757&gt;=22,", "&amp;$A757&amp;"-"&amp;TEXT(($D757-$C757+1)+21,"00"),"")&amp;IF($C757&gt;=23,", "&amp;$A757&amp;"-"&amp;TEXT(($D757-$C757+1)+22,"00"),"")&amp;IF($C757&gt;=24,", "&amp;$A757&amp;"-"&amp;TEXT(($D757-$C757+1)+23,"00"),"")&amp;IF($C757&gt;=25,", "&amp;$A757&amp;"-"&amp;TEXT(($D757-$C757+1)+24,"00"),""))</f>
        <v/>
      </c>
      <c r="G757">
        <f>IF($A757="","",IF($E757=1,$F757,IF($F757="",$G756,IF($G756="",$F757,$G756&amp;", "&amp;$F757))))</f>
        <v/>
      </c>
      <c r="H757">
        <f>IF($A757="","",$A757&amp;" ("&amp;$C757&amp;")")</f>
        <v/>
      </c>
      <c r="I757">
        <f>IF($A757="","",IF($E757=1,$H757,$I756&amp;", "&amp;$H757))</f>
        <v/>
      </c>
      <c r="J757">
        <f>IF($A757="","",IF($E757=1,$B757,""))</f>
        <v/>
      </c>
      <c r="K757">
        <f>IF($A757="","",IF(COUNTIF($B$2:$B757,$B757)=COUNTIF($B$2:$B$1601,$B757),$B757,""))</f>
        <v/>
      </c>
    </row>
    <row r="758">
      <c r="A758">
        <f>IF('TMP Paste'!$E758="","",'TMP Paste'!$E758)</f>
        <v/>
      </c>
      <c r="B758">
        <f>IF($A758="","",COUNTIF('TMP Paste'!$B$2:$B758,"?*"))</f>
        <v/>
      </c>
      <c r="C758">
        <f>IF($A758="","",IFERROR('TMP Paste'!$M758*1,0))</f>
        <v/>
      </c>
      <c r="D758">
        <f>IF($A758="","",SUMIF($B$2:$B758,$B758,$C$2:$C758))</f>
        <v/>
      </c>
      <c r="E758">
        <f>IF($A758="",0,IF('TMP Paste'!$B758="",0,1))</f>
        <v/>
      </c>
      <c r="F758">
        <f>IF(OR($A758="",$C758&lt;1),"",$A758&amp;"-"&amp;TEXT(($D758-$C758+1),"00")&amp;IF($C758&gt;=2,", "&amp;$A758&amp;"-"&amp;TEXT(($D758-$C758+1)+1,"00"),"")&amp;IF($C758&gt;=3,", "&amp;$A758&amp;"-"&amp;TEXT(($D758-$C758+1)+2,"00"),"")&amp;IF($C758&gt;=4,", "&amp;$A758&amp;"-"&amp;TEXT(($D758-$C758+1)+3,"00"),"")&amp;IF($C758&gt;=5,", "&amp;$A758&amp;"-"&amp;TEXT(($D758-$C758+1)+4,"00"),"")&amp;IF($C758&gt;=6,", "&amp;$A758&amp;"-"&amp;TEXT(($D758-$C758+1)+5,"00"),"")&amp;IF($C758&gt;=7,", "&amp;$A758&amp;"-"&amp;TEXT(($D758-$C758+1)+6,"00"),"")&amp;IF($C758&gt;=8,", "&amp;$A758&amp;"-"&amp;TEXT(($D758-$C758+1)+7,"00"),"")&amp;IF($C758&gt;=9,", "&amp;$A758&amp;"-"&amp;TEXT(($D758-$C758+1)+8,"00"),"")&amp;IF($C758&gt;=10,", "&amp;$A758&amp;"-"&amp;TEXT(($D758-$C758+1)+9,"00"),"")&amp;IF($C758&gt;=11,", "&amp;$A758&amp;"-"&amp;TEXT(($D758-$C758+1)+10,"00"),"")&amp;IF($C758&gt;=12,", "&amp;$A758&amp;"-"&amp;TEXT(($D758-$C758+1)+11,"00"),"")&amp;IF($C758&gt;=13,", "&amp;$A758&amp;"-"&amp;TEXT(($D758-$C758+1)+12,"00"),"")&amp;IF($C758&gt;=14,", "&amp;$A758&amp;"-"&amp;TEXT(($D758-$C758+1)+13,"00"),"")&amp;IF($C758&gt;=15,", "&amp;$A758&amp;"-"&amp;TEXT(($D758-$C758+1)+14,"00"),"")&amp;IF($C758&gt;=16,", "&amp;$A758&amp;"-"&amp;TEXT(($D758-$C758+1)+15,"00"),"")&amp;IF($C758&gt;=17,", "&amp;$A758&amp;"-"&amp;TEXT(($D758-$C758+1)+16,"00"),"")&amp;IF($C758&gt;=18,", "&amp;$A758&amp;"-"&amp;TEXT(($D758-$C758+1)+17,"00"),"")&amp;IF($C758&gt;=19,", "&amp;$A758&amp;"-"&amp;TEXT(($D758-$C758+1)+18,"00"),"")&amp;IF($C758&gt;=20,", "&amp;$A758&amp;"-"&amp;TEXT(($D758-$C758+1)+19,"00"),"")&amp;IF($C758&gt;=21,", "&amp;$A758&amp;"-"&amp;TEXT(($D758-$C758+1)+20,"00"),"")&amp;IF($C758&gt;=22,", "&amp;$A758&amp;"-"&amp;TEXT(($D758-$C758+1)+21,"00"),"")&amp;IF($C758&gt;=23,", "&amp;$A758&amp;"-"&amp;TEXT(($D758-$C758+1)+22,"00"),"")&amp;IF($C758&gt;=24,", "&amp;$A758&amp;"-"&amp;TEXT(($D758-$C758+1)+23,"00"),"")&amp;IF($C758&gt;=25,", "&amp;$A758&amp;"-"&amp;TEXT(($D758-$C758+1)+24,"00"),""))</f>
        <v/>
      </c>
      <c r="G758">
        <f>IF($A758="","",IF($E758=1,$F758,IF($F758="",$G757,IF($G757="",$F758,$G757&amp;", "&amp;$F758))))</f>
        <v/>
      </c>
      <c r="H758">
        <f>IF($A758="","",$A758&amp;" ("&amp;$C758&amp;")")</f>
        <v/>
      </c>
      <c r="I758">
        <f>IF($A758="","",IF($E758=1,$H758,$I757&amp;", "&amp;$H758))</f>
        <v/>
      </c>
      <c r="J758">
        <f>IF($A758="","",IF($E758=1,$B758,""))</f>
        <v/>
      </c>
      <c r="K758">
        <f>IF($A758="","",IF(COUNTIF($B$2:$B758,$B758)=COUNTIF($B$2:$B$1601,$B758),$B758,""))</f>
        <v/>
      </c>
    </row>
    <row r="759">
      <c r="A759">
        <f>IF('TMP Paste'!$E759="","",'TMP Paste'!$E759)</f>
        <v/>
      </c>
      <c r="B759">
        <f>IF($A759="","",COUNTIF('TMP Paste'!$B$2:$B759,"?*"))</f>
        <v/>
      </c>
      <c r="C759">
        <f>IF($A759="","",IFERROR('TMP Paste'!$M759*1,0))</f>
        <v/>
      </c>
      <c r="D759">
        <f>IF($A759="","",SUMIF($B$2:$B759,$B759,$C$2:$C759))</f>
        <v/>
      </c>
      <c r="E759">
        <f>IF($A759="",0,IF('TMP Paste'!$B759="",0,1))</f>
        <v/>
      </c>
      <c r="F759">
        <f>IF(OR($A759="",$C759&lt;1),"",$A759&amp;"-"&amp;TEXT(($D759-$C759+1),"00")&amp;IF($C759&gt;=2,", "&amp;$A759&amp;"-"&amp;TEXT(($D759-$C759+1)+1,"00"),"")&amp;IF($C759&gt;=3,", "&amp;$A759&amp;"-"&amp;TEXT(($D759-$C759+1)+2,"00"),"")&amp;IF($C759&gt;=4,", "&amp;$A759&amp;"-"&amp;TEXT(($D759-$C759+1)+3,"00"),"")&amp;IF($C759&gt;=5,", "&amp;$A759&amp;"-"&amp;TEXT(($D759-$C759+1)+4,"00"),"")&amp;IF($C759&gt;=6,", "&amp;$A759&amp;"-"&amp;TEXT(($D759-$C759+1)+5,"00"),"")&amp;IF($C759&gt;=7,", "&amp;$A759&amp;"-"&amp;TEXT(($D759-$C759+1)+6,"00"),"")&amp;IF($C759&gt;=8,", "&amp;$A759&amp;"-"&amp;TEXT(($D759-$C759+1)+7,"00"),"")&amp;IF($C759&gt;=9,", "&amp;$A759&amp;"-"&amp;TEXT(($D759-$C759+1)+8,"00"),"")&amp;IF($C759&gt;=10,", "&amp;$A759&amp;"-"&amp;TEXT(($D759-$C759+1)+9,"00"),"")&amp;IF($C759&gt;=11,", "&amp;$A759&amp;"-"&amp;TEXT(($D759-$C759+1)+10,"00"),"")&amp;IF($C759&gt;=12,", "&amp;$A759&amp;"-"&amp;TEXT(($D759-$C759+1)+11,"00"),"")&amp;IF($C759&gt;=13,", "&amp;$A759&amp;"-"&amp;TEXT(($D759-$C759+1)+12,"00"),"")&amp;IF($C759&gt;=14,", "&amp;$A759&amp;"-"&amp;TEXT(($D759-$C759+1)+13,"00"),"")&amp;IF($C759&gt;=15,", "&amp;$A759&amp;"-"&amp;TEXT(($D759-$C759+1)+14,"00"),"")&amp;IF($C759&gt;=16,", "&amp;$A759&amp;"-"&amp;TEXT(($D759-$C759+1)+15,"00"),"")&amp;IF($C759&gt;=17,", "&amp;$A759&amp;"-"&amp;TEXT(($D759-$C759+1)+16,"00"),"")&amp;IF($C759&gt;=18,", "&amp;$A759&amp;"-"&amp;TEXT(($D759-$C759+1)+17,"00"),"")&amp;IF($C759&gt;=19,", "&amp;$A759&amp;"-"&amp;TEXT(($D759-$C759+1)+18,"00"),"")&amp;IF($C759&gt;=20,", "&amp;$A759&amp;"-"&amp;TEXT(($D759-$C759+1)+19,"00"),"")&amp;IF($C759&gt;=21,", "&amp;$A759&amp;"-"&amp;TEXT(($D759-$C759+1)+20,"00"),"")&amp;IF($C759&gt;=22,", "&amp;$A759&amp;"-"&amp;TEXT(($D759-$C759+1)+21,"00"),"")&amp;IF($C759&gt;=23,", "&amp;$A759&amp;"-"&amp;TEXT(($D759-$C759+1)+22,"00"),"")&amp;IF($C759&gt;=24,", "&amp;$A759&amp;"-"&amp;TEXT(($D759-$C759+1)+23,"00"),"")&amp;IF($C759&gt;=25,", "&amp;$A759&amp;"-"&amp;TEXT(($D759-$C759+1)+24,"00"),""))</f>
        <v/>
      </c>
      <c r="G759">
        <f>IF($A759="","",IF($E759=1,$F759,IF($F759="",$G758,IF($G758="",$F759,$G758&amp;", "&amp;$F759))))</f>
        <v/>
      </c>
      <c r="H759">
        <f>IF($A759="","",$A759&amp;" ("&amp;$C759&amp;")")</f>
        <v/>
      </c>
      <c r="I759">
        <f>IF($A759="","",IF($E759=1,$H759,$I758&amp;", "&amp;$H759))</f>
        <v/>
      </c>
      <c r="J759">
        <f>IF($A759="","",IF($E759=1,$B759,""))</f>
        <v/>
      </c>
      <c r="K759">
        <f>IF($A759="","",IF(COUNTIF($B$2:$B759,$B759)=COUNTIF($B$2:$B$1601,$B759),$B759,""))</f>
        <v/>
      </c>
    </row>
    <row r="760">
      <c r="A760">
        <f>IF('TMP Paste'!$E760="","",'TMP Paste'!$E760)</f>
        <v/>
      </c>
      <c r="B760">
        <f>IF($A760="","",COUNTIF('TMP Paste'!$B$2:$B760,"?*"))</f>
        <v/>
      </c>
      <c r="C760">
        <f>IF($A760="","",IFERROR('TMP Paste'!$M760*1,0))</f>
        <v/>
      </c>
      <c r="D760">
        <f>IF($A760="","",SUMIF($B$2:$B760,$B760,$C$2:$C760))</f>
        <v/>
      </c>
      <c r="E760">
        <f>IF($A760="",0,IF('TMP Paste'!$B760="",0,1))</f>
        <v/>
      </c>
      <c r="F760">
        <f>IF(OR($A760="",$C760&lt;1),"",$A760&amp;"-"&amp;TEXT(($D760-$C760+1),"00")&amp;IF($C760&gt;=2,", "&amp;$A760&amp;"-"&amp;TEXT(($D760-$C760+1)+1,"00"),"")&amp;IF($C760&gt;=3,", "&amp;$A760&amp;"-"&amp;TEXT(($D760-$C760+1)+2,"00"),"")&amp;IF($C760&gt;=4,", "&amp;$A760&amp;"-"&amp;TEXT(($D760-$C760+1)+3,"00"),"")&amp;IF($C760&gt;=5,", "&amp;$A760&amp;"-"&amp;TEXT(($D760-$C760+1)+4,"00"),"")&amp;IF($C760&gt;=6,", "&amp;$A760&amp;"-"&amp;TEXT(($D760-$C760+1)+5,"00"),"")&amp;IF($C760&gt;=7,", "&amp;$A760&amp;"-"&amp;TEXT(($D760-$C760+1)+6,"00"),"")&amp;IF($C760&gt;=8,", "&amp;$A760&amp;"-"&amp;TEXT(($D760-$C760+1)+7,"00"),"")&amp;IF($C760&gt;=9,", "&amp;$A760&amp;"-"&amp;TEXT(($D760-$C760+1)+8,"00"),"")&amp;IF($C760&gt;=10,", "&amp;$A760&amp;"-"&amp;TEXT(($D760-$C760+1)+9,"00"),"")&amp;IF($C760&gt;=11,", "&amp;$A760&amp;"-"&amp;TEXT(($D760-$C760+1)+10,"00"),"")&amp;IF($C760&gt;=12,", "&amp;$A760&amp;"-"&amp;TEXT(($D760-$C760+1)+11,"00"),"")&amp;IF($C760&gt;=13,", "&amp;$A760&amp;"-"&amp;TEXT(($D760-$C760+1)+12,"00"),"")&amp;IF($C760&gt;=14,", "&amp;$A760&amp;"-"&amp;TEXT(($D760-$C760+1)+13,"00"),"")&amp;IF($C760&gt;=15,", "&amp;$A760&amp;"-"&amp;TEXT(($D760-$C760+1)+14,"00"),"")&amp;IF($C760&gt;=16,", "&amp;$A760&amp;"-"&amp;TEXT(($D760-$C760+1)+15,"00"),"")&amp;IF($C760&gt;=17,", "&amp;$A760&amp;"-"&amp;TEXT(($D760-$C760+1)+16,"00"),"")&amp;IF($C760&gt;=18,", "&amp;$A760&amp;"-"&amp;TEXT(($D760-$C760+1)+17,"00"),"")&amp;IF($C760&gt;=19,", "&amp;$A760&amp;"-"&amp;TEXT(($D760-$C760+1)+18,"00"),"")&amp;IF($C760&gt;=20,", "&amp;$A760&amp;"-"&amp;TEXT(($D760-$C760+1)+19,"00"),"")&amp;IF($C760&gt;=21,", "&amp;$A760&amp;"-"&amp;TEXT(($D760-$C760+1)+20,"00"),"")&amp;IF($C760&gt;=22,", "&amp;$A760&amp;"-"&amp;TEXT(($D760-$C760+1)+21,"00"),"")&amp;IF($C760&gt;=23,", "&amp;$A760&amp;"-"&amp;TEXT(($D760-$C760+1)+22,"00"),"")&amp;IF($C760&gt;=24,", "&amp;$A760&amp;"-"&amp;TEXT(($D760-$C760+1)+23,"00"),"")&amp;IF($C760&gt;=25,", "&amp;$A760&amp;"-"&amp;TEXT(($D760-$C760+1)+24,"00"),""))</f>
        <v/>
      </c>
      <c r="G760">
        <f>IF($A760="","",IF($E760=1,$F760,IF($F760="",$G759,IF($G759="",$F760,$G759&amp;", "&amp;$F760))))</f>
        <v/>
      </c>
      <c r="H760">
        <f>IF($A760="","",$A760&amp;" ("&amp;$C760&amp;")")</f>
        <v/>
      </c>
      <c r="I760">
        <f>IF($A760="","",IF($E760=1,$H760,$I759&amp;", "&amp;$H760))</f>
        <v/>
      </c>
      <c r="J760">
        <f>IF($A760="","",IF($E760=1,$B760,""))</f>
        <v/>
      </c>
      <c r="K760">
        <f>IF($A760="","",IF(COUNTIF($B$2:$B760,$B760)=COUNTIF($B$2:$B$1601,$B760),$B760,""))</f>
        <v/>
      </c>
    </row>
    <row r="761">
      <c r="A761">
        <f>IF('TMP Paste'!$E761="","",'TMP Paste'!$E761)</f>
        <v/>
      </c>
      <c r="B761">
        <f>IF($A761="","",COUNTIF('TMP Paste'!$B$2:$B761,"?*"))</f>
        <v/>
      </c>
      <c r="C761">
        <f>IF($A761="","",IFERROR('TMP Paste'!$M761*1,0))</f>
        <v/>
      </c>
      <c r="D761">
        <f>IF($A761="","",SUMIF($B$2:$B761,$B761,$C$2:$C761))</f>
        <v/>
      </c>
      <c r="E761">
        <f>IF($A761="",0,IF('TMP Paste'!$B761="",0,1))</f>
        <v/>
      </c>
      <c r="F761">
        <f>IF(OR($A761="",$C761&lt;1),"",$A761&amp;"-"&amp;TEXT(($D761-$C761+1),"00")&amp;IF($C761&gt;=2,", "&amp;$A761&amp;"-"&amp;TEXT(($D761-$C761+1)+1,"00"),"")&amp;IF($C761&gt;=3,", "&amp;$A761&amp;"-"&amp;TEXT(($D761-$C761+1)+2,"00"),"")&amp;IF($C761&gt;=4,", "&amp;$A761&amp;"-"&amp;TEXT(($D761-$C761+1)+3,"00"),"")&amp;IF($C761&gt;=5,", "&amp;$A761&amp;"-"&amp;TEXT(($D761-$C761+1)+4,"00"),"")&amp;IF($C761&gt;=6,", "&amp;$A761&amp;"-"&amp;TEXT(($D761-$C761+1)+5,"00"),"")&amp;IF($C761&gt;=7,", "&amp;$A761&amp;"-"&amp;TEXT(($D761-$C761+1)+6,"00"),"")&amp;IF($C761&gt;=8,", "&amp;$A761&amp;"-"&amp;TEXT(($D761-$C761+1)+7,"00"),"")&amp;IF($C761&gt;=9,", "&amp;$A761&amp;"-"&amp;TEXT(($D761-$C761+1)+8,"00"),"")&amp;IF($C761&gt;=10,", "&amp;$A761&amp;"-"&amp;TEXT(($D761-$C761+1)+9,"00"),"")&amp;IF($C761&gt;=11,", "&amp;$A761&amp;"-"&amp;TEXT(($D761-$C761+1)+10,"00"),"")&amp;IF($C761&gt;=12,", "&amp;$A761&amp;"-"&amp;TEXT(($D761-$C761+1)+11,"00"),"")&amp;IF($C761&gt;=13,", "&amp;$A761&amp;"-"&amp;TEXT(($D761-$C761+1)+12,"00"),"")&amp;IF($C761&gt;=14,", "&amp;$A761&amp;"-"&amp;TEXT(($D761-$C761+1)+13,"00"),"")&amp;IF($C761&gt;=15,", "&amp;$A761&amp;"-"&amp;TEXT(($D761-$C761+1)+14,"00"),"")&amp;IF($C761&gt;=16,", "&amp;$A761&amp;"-"&amp;TEXT(($D761-$C761+1)+15,"00"),"")&amp;IF($C761&gt;=17,", "&amp;$A761&amp;"-"&amp;TEXT(($D761-$C761+1)+16,"00"),"")&amp;IF($C761&gt;=18,", "&amp;$A761&amp;"-"&amp;TEXT(($D761-$C761+1)+17,"00"),"")&amp;IF($C761&gt;=19,", "&amp;$A761&amp;"-"&amp;TEXT(($D761-$C761+1)+18,"00"),"")&amp;IF($C761&gt;=20,", "&amp;$A761&amp;"-"&amp;TEXT(($D761-$C761+1)+19,"00"),"")&amp;IF($C761&gt;=21,", "&amp;$A761&amp;"-"&amp;TEXT(($D761-$C761+1)+20,"00"),"")&amp;IF($C761&gt;=22,", "&amp;$A761&amp;"-"&amp;TEXT(($D761-$C761+1)+21,"00"),"")&amp;IF($C761&gt;=23,", "&amp;$A761&amp;"-"&amp;TEXT(($D761-$C761+1)+22,"00"),"")&amp;IF($C761&gt;=24,", "&amp;$A761&amp;"-"&amp;TEXT(($D761-$C761+1)+23,"00"),"")&amp;IF($C761&gt;=25,", "&amp;$A761&amp;"-"&amp;TEXT(($D761-$C761+1)+24,"00"),""))</f>
        <v/>
      </c>
      <c r="G761">
        <f>IF($A761="","",IF($E761=1,$F761,IF($F761="",$G760,IF($G760="",$F761,$G760&amp;", "&amp;$F761))))</f>
        <v/>
      </c>
      <c r="H761">
        <f>IF($A761="","",$A761&amp;" ("&amp;$C761&amp;")")</f>
        <v/>
      </c>
      <c r="I761">
        <f>IF($A761="","",IF($E761=1,$H761,$I760&amp;", "&amp;$H761))</f>
        <v/>
      </c>
      <c r="J761">
        <f>IF($A761="","",IF($E761=1,$B761,""))</f>
        <v/>
      </c>
      <c r="K761">
        <f>IF($A761="","",IF(COUNTIF($B$2:$B761,$B761)=COUNTIF($B$2:$B$1601,$B761),$B761,""))</f>
        <v/>
      </c>
    </row>
    <row r="762">
      <c r="A762">
        <f>IF('TMP Paste'!$E762="","",'TMP Paste'!$E762)</f>
        <v/>
      </c>
      <c r="B762">
        <f>IF($A762="","",COUNTIF('TMP Paste'!$B$2:$B762,"?*"))</f>
        <v/>
      </c>
      <c r="C762">
        <f>IF($A762="","",IFERROR('TMP Paste'!$M762*1,0))</f>
        <v/>
      </c>
      <c r="D762">
        <f>IF($A762="","",SUMIF($B$2:$B762,$B762,$C$2:$C762))</f>
        <v/>
      </c>
      <c r="E762">
        <f>IF($A762="",0,IF('TMP Paste'!$B762="",0,1))</f>
        <v/>
      </c>
      <c r="F762">
        <f>IF(OR($A762="",$C762&lt;1),"",$A762&amp;"-"&amp;TEXT(($D762-$C762+1),"00")&amp;IF($C762&gt;=2,", "&amp;$A762&amp;"-"&amp;TEXT(($D762-$C762+1)+1,"00"),"")&amp;IF($C762&gt;=3,", "&amp;$A762&amp;"-"&amp;TEXT(($D762-$C762+1)+2,"00"),"")&amp;IF($C762&gt;=4,", "&amp;$A762&amp;"-"&amp;TEXT(($D762-$C762+1)+3,"00"),"")&amp;IF($C762&gt;=5,", "&amp;$A762&amp;"-"&amp;TEXT(($D762-$C762+1)+4,"00"),"")&amp;IF($C762&gt;=6,", "&amp;$A762&amp;"-"&amp;TEXT(($D762-$C762+1)+5,"00"),"")&amp;IF($C762&gt;=7,", "&amp;$A762&amp;"-"&amp;TEXT(($D762-$C762+1)+6,"00"),"")&amp;IF($C762&gt;=8,", "&amp;$A762&amp;"-"&amp;TEXT(($D762-$C762+1)+7,"00"),"")&amp;IF($C762&gt;=9,", "&amp;$A762&amp;"-"&amp;TEXT(($D762-$C762+1)+8,"00"),"")&amp;IF($C762&gt;=10,", "&amp;$A762&amp;"-"&amp;TEXT(($D762-$C762+1)+9,"00"),"")&amp;IF($C762&gt;=11,", "&amp;$A762&amp;"-"&amp;TEXT(($D762-$C762+1)+10,"00"),"")&amp;IF($C762&gt;=12,", "&amp;$A762&amp;"-"&amp;TEXT(($D762-$C762+1)+11,"00"),"")&amp;IF($C762&gt;=13,", "&amp;$A762&amp;"-"&amp;TEXT(($D762-$C762+1)+12,"00"),"")&amp;IF($C762&gt;=14,", "&amp;$A762&amp;"-"&amp;TEXT(($D762-$C762+1)+13,"00"),"")&amp;IF($C762&gt;=15,", "&amp;$A762&amp;"-"&amp;TEXT(($D762-$C762+1)+14,"00"),"")&amp;IF($C762&gt;=16,", "&amp;$A762&amp;"-"&amp;TEXT(($D762-$C762+1)+15,"00"),"")&amp;IF($C762&gt;=17,", "&amp;$A762&amp;"-"&amp;TEXT(($D762-$C762+1)+16,"00"),"")&amp;IF($C762&gt;=18,", "&amp;$A762&amp;"-"&amp;TEXT(($D762-$C762+1)+17,"00"),"")&amp;IF($C762&gt;=19,", "&amp;$A762&amp;"-"&amp;TEXT(($D762-$C762+1)+18,"00"),"")&amp;IF($C762&gt;=20,", "&amp;$A762&amp;"-"&amp;TEXT(($D762-$C762+1)+19,"00"),"")&amp;IF($C762&gt;=21,", "&amp;$A762&amp;"-"&amp;TEXT(($D762-$C762+1)+20,"00"),"")&amp;IF($C762&gt;=22,", "&amp;$A762&amp;"-"&amp;TEXT(($D762-$C762+1)+21,"00"),"")&amp;IF($C762&gt;=23,", "&amp;$A762&amp;"-"&amp;TEXT(($D762-$C762+1)+22,"00"),"")&amp;IF($C762&gt;=24,", "&amp;$A762&amp;"-"&amp;TEXT(($D762-$C762+1)+23,"00"),"")&amp;IF($C762&gt;=25,", "&amp;$A762&amp;"-"&amp;TEXT(($D762-$C762+1)+24,"00"),""))</f>
        <v/>
      </c>
      <c r="G762">
        <f>IF($A762="","",IF($E762=1,$F762,IF($F762="",$G761,IF($G761="",$F762,$G761&amp;", "&amp;$F762))))</f>
        <v/>
      </c>
      <c r="H762">
        <f>IF($A762="","",$A762&amp;" ("&amp;$C762&amp;")")</f>
        <v/>
      </c>
      <c r="I762">
        <f>IF($A762="","",IF($E762=1,$H762,$I761&amp;", "&amp;$H762))</f>
        <v/>
      </c>
      <c r="J762">
        <f>IF($A762="","",IF($E762=1,$B762,""))</f>
        <v/>
      </c>
      <c r="K762">
        <f>IF($A762="","",IF(COUNTIF($B$2:$B762,$B762)=COUNTIF($B$2:$B$1601,$B762),$B762,""))</f>
        <v/>
      </c>
    </row>
    <row r="763">
      <c r="A763">
        <f>IF('TMP Paste'!$E763="","",'TMP Paste'!$E763)</f>
        <v/>
      </c>
      <c r="B763">
        <f>IF($A763="","",COUNTIF('TMP Paste'!$B$2:$B763,"?*"))</f>
        <v/>
      </c>
      <c r="C763">
        <f>IF($A763="","",IFERROR('TMP Paste'!$M763*1,0))</f>
        <v/>
      </c>
      <c r="D763">
        <f>IF($A763="","",SUMIF($B$2:$B763,$B763,$C$2:$C763))</f>
        <v/>
      </c>
      <c r="E763">
        <f>IF($A763="",0,IF('TMP Paste'!$B763="",0,1))</f>
        <v/>
      </c>
      <c r="F763">
        <f>IF(OR($A763="",$C763&lt;1),"",$A763&amp;"-"&amp;TEXT(($D763-$C763+1),"00")&amp;IF($C763&gt;=2,", "&amp;$A763&amp;"-"&amp;TEXT(($D763-$C763+1)+1,"00"),"")&amp;IF($C763&gt;=3,", "&amp;$A763&amp;"-"&amp;TEXT(($D763-$C763+1)+2,"00"),"")&amp;IF($C763&gt;=4,", "&amp;$A763&amp;"-"&amp;TEXT(($D763-$C763+1)+3,"00"),"")&amp;IF($C763&gt;=5,", "&amp;$A763&amp;"-"&amp;TEXT(($D763-$C763+1)+4,"00"),"")&amp;IF($C763&gt;=6,", "&amp;$A763&amp;"-"&amp;TEXT(($D763-$C763+1)+5,"00"),"")&amp;IF($C763&gt;=7,", "&amp;$A763&amp;"-"&amp;TEXT(($D763-$C763+1)+6,"00"),"")&amp;IF($C763&gt;=8,", "&amp;$A763&amp;"-"&amp;TEXT(($D763-$C763+1)+7,"00"),"")&amp;IF($C763&gt;=9,", "&amp;$A763&amp;"-"&amp;TEXT(($D763-$C763+1)+8,"00"),"")&amp;IF($C763&gt;=10,", "&amp;$A763&amp;"-"&amp;TEXT(($D763-$C763+1)+9,"00"),"")&amp;IF($C763&gt;=11,", "&amp;$A763&amp;"-"&amp;TEXT(($D763-$C763+1)+10,"00"),"")&amp;IF($C763&gt;=12,", "&amp;$A763&amp;"-"&amp;TEXT(($D763-$C763+1)+11,"00"),"")&amp;IF($C763&gt;=13,", "&amp;$A763&amp;"-"&amp;TEXT(($D763-$C763+1)+12,"00"),"")&amp;IF($C763&gt;=14,", "&amp;$A763&amp;"-"&amp;TEXT(($D763-$C763+1)+13,"00"),"")&amp;IF($C763&gt;=15,", "&amp;$A763&amp;"-"&amp;TEXT(($D763-$C763+1)+14,"00"),"")&amp;IF($C763&gt;=16,", "&amp;$A763&amp;"-"&amp;TEXT(($D763-$C763+1)+15,"00"),"")&amp;IF($C763&gt;=17,", "&amp;$A763&amp;"-"&amp;TEXT(($D763-$C763+1)+16,"00"),"")&amp;IF($C763&gt;=18,", "&amp;$A763&amp;"-"&amp;TEXT(($D763-$C763+1)+17,"00"),"")&amp;IF($C763&gt;=19,", "&amp;$A763&amp;"-"&amp;TEXT(($D763-$C763+1)+18,"00"),"")&amp;IF($C763&gt;=20,", "&amp;$A763&amp;"-"&amp;TEXT(($D763-$C763+1)+19,"00"),"")&amp;IF($C763&gt;=21,", "&amp;$A763&amp;"-"&amp;TEXT(($D763-$C763+1)+20,"00"),"")&amp;IF($C763&gt;=22,", "&amp;$A763&amp;"-"&amp;TEXT(($D763-$C763+1)+21,"00"),"")&amp;IF($C763&gt;=23,", "&amp;$A763&amp;"-"&amp;TEXT(($D763-$C763+1)+22,"00"),"")&amp;IF($C763&gt;=24,", "&amp;$A763&amp;"-"&amp;TEXT(($D763-$C763+1)+23,"00"),"")&amp;IF($C763&gt;=25,", "&amp;$A763&amp;"-"&amp;TEXT(($D763-$C763+1)+24,"00"),""))</f>
        <v/>
      </c>
      <c r="G763">
        <f>IF($A763="","",IF($E763=1,$F763,IF($F763="",$G762,IF($G762="",$F763,$G762&amp;", "&amp;$F763))))</f>
        <v/>
      </c>
      <c r="H763">
        <f>IF($A763="","",$A763&amp;" ("&amp;$C763&amp;")")</f>
        <v/>
      </c>
      <c r="I763">
        <f>IF($A763="","",IF($E763=1,$H763,$I762&amp;", "&amp;$H763))</f>
        <v/>
      </c>
      <c r="J763">
        <f>IF($A763="","",IF($E763=1,$B763,""))</f>
        <v/>
      </c>
      <c r="K763">
        <f>IF($A763="","",IF(COUNTIF($B$2:$B763,$B763)=COUNTIF($B$2:$B$1601,$B763),$B763,""))</f>
        <v/>
      </c>
    </row>
    <row r="764">
      <c r="A764">
        <f>IF('TMP Paste'!$E764="","",'TMP Paste'!$E764)</f>
        <v/>
      </c>
      <c r="B764">
        <f>IF($A764="","",COUNTIF('TMP Paste'!$B$2:$B764,"?*"))</f>
        <v/>
      </c>
      <c r="C764">
        <f>IF($A764="","",IFERROR('TMP Paste'!$M764*1,0))</f>
        <v/>
      </c>
      <c r="D764">
        <f>IF($A764="","",SUMIF($B$2:$B764,$B764,$C$2:$C764))</f>
        <v/>
      </c>
      <c r="E764">
        <f>IF($A764="",0,IF('TMP Paste'!$B764="",0,1))</f>
        <v/>
      </c>
      <c r="F764">
        <f>IF(OR($A764="",$C764&lt;1),"",$A764&amp;"-"&amp;TEXT(($D764-$C764+1),"00")&amp;IF($C764&gt;=2,", "&amp;$A764&amp;"-"&amp;TEXT(($D764-$C764+1)+1,"00"),"")&amp;IF($C764&gt;=3,", "&amp;$A764&amp;"-"&amp;TEXT(($D764-$C764+1)+2,"00"),"")&amp;IF($C764&gt;=4,", "&amp;$A764&amp;"-"&amp;TEXT(($D764-$C764+1)+3,"00"),"")&amp;IF($C764&gt;=5,", "&amp;$A764&amp;"-"&amp;TEXT(($D764-$C764+1)+4,"00"),"")&amp;IF($C764&gt;=6,", "&amp;$A764&amp;"-"&amp;TEXT(($D764-$C764+1)+5,"00"),"")&amp;IF($C764&gt;=7,", "&amp;$A764&amp;"-"&amp;TEXT(($D764-$C764+1)+6,"00"),"")&amp;IF($C764&gt;=8,", "&amp;$A764&amp;"-"&amp;TEXT(($D764-$C764+1)+7,"00"),"")&amp;IF($C764&gt;=9,", "&amp;$A764&amp;"-"&amp;TEXT(($D764-$C764+1)+8,"00"),"")&amp;IF($C764&gt;=10,", "&amp;$A764&amp;"-"&amp;TEXT(($D764-$C764+1)+9,"00"),"")&amp;IF($C764&gt;=11,", "&amp;$A764&amp;"-"&amp;TEXT(($D764-$C764+1)+10,"00"),"")&amp;IF($C764&gt;=12,", "&amp;$A764&amp;"-"&amp;TEXT(($D764-$C764+1)+11,"00"),"")&amp;IF($C764&gt;=13,", "&amp;$A764&amp;"-"&amp;TEXT(($D764-$C764+1)+12,"00"),"")&amp;IF($C764&gt;=14,", "&amp;$A764&amp;"-"&amp;TEXT(($D764-$C764+1)+13,"00"),"")&amp;IF($C764&gt;=15,", "&amp;$A764&amp;"-"&amp;TEXT(($D764-$C764+1)+14,"00"),"")&amp;IF($C764&gt;=16,", "&amp;$A764&amp;"-"&amp;TEXT(($D764-$C764+1)+15,"00"),"")&amp;IF($C764&gt;=17,", "&amp;$A764&amp;"-"&amp;TEXT(($D764-$C764+1)+16,"00"),"")&amp;IF($C764&gt;=18,", "&amp;$A764&amp;"-"&amp;TEXT(($D764-$C764+1)+17,"00"),"")&amp;IF($C764&gt;=19,", "&amp;$A764&amp;"-"&amp;TEXT(($D764-$C764+1)+18,"00"),"")&amp;IF($C764&gt;=20,", "&amp;$A764&amp;"-"&amp;TEXT(($D764-$C764+1)+19,"00"),"")&amp;IF($C764&gt;=21,", "&amp;$A764&amp;"-"&amp;TEXT(($D764-$C764+1)+20,"00"),"")&amp;IF($C764&gt;=22,", "&amp;$A764&amp;"-"&amp;TEXT(($D764-$C764+1)+21,"00"),"")&amp;IF($C764&gt;=23,", "&amp;$A764&amp;"-"&amp;TEXT(($D764-$C764+1)+22,"00"),"")&amp;IF($C764&gt;=24,", "&amp;$A764&amp;"-"&amp;TEXT(($D764-$C764+1)+23,"00"),"")&amp;IF($C764&gt;=25,", "&amp;$A764&amp;"-"&amp;TEXT(($D764-$C764+1)+24,"00"),""))</f>
        <v/>
      </c>
      <c r="G764">
        <f>IF($A764="","",IF($E764=1,$F764,IF($F764="",$G763,IF($G763="",$F764,$G763&amp;", "&amp;$F764))))</f>
        <v/>
      </c>
      <c r="H764">
        <f>IF($A764="","",$A764&amp;" ("&amp;$C764&amp;")")</f>
        <v/>
      </c>
      <c r="I764">
        <f>IF($A764="","",IF($E764=1,$H764,$I763&amp;", "&amp;$H764))</f>
        <v/>
      </c>
      <c r="J764">
        <f>IF($A764="","",IF($E764=1,$B764,""))</f>
        <v/>
      </c>
      <c r="K764">
        <f>IF($A764="","",IF(COUNTIF($B$2:$B764,$B764)=COUNTIF($B$2:$B$1601,$B764),$B764,""))</f>
        <v/>
      </c>
    </row>
    <row r="765">
      <c r="A765">
        <f>IF('TMP Paste'!$E765="","",'TMP Paste'!$E765)</f>
        <v/>
      </c>
      <c r="B765">
        <f>IF($A765="","",COUNTIF('TMP Paste'!$B$2:$B765,"?*"))</f>
        <v/>
      </c>
      <c r="C765">
        <f>IF($A765="","",IFERROR('TMP Paste'!$M765*1,0))</f>
        <v/>
      </c>
      <c r="D765">
        <f>IF($A765="","",SUMIF($B$2:$B765,$B765,$C$2:$C765))</f>
        <v/>
      </c>
      <c r="E765">
        <f>IF($A765="",0,IF('TMP Paste'!$B765="",0,1))</f>
        <v/>
      </c>
      <c r="F765">
        <f>IF(OR($A765="",$C765&lt;1),"",$A765&amp;"-"&amp;TEXT(($D765-$C765+1),"00")&amp;IF($C765&gt;=2,", "&amp;$A765&amp;"-"&amp;TEXT(($D765-$C765+1)+1,"00"),"")&amp;IF($C765&gt;=3,", "&amp;$A765&amp;"-"&amp;TEXT(($D765-$C765+1)+2,"00"),"")&amp;IF($C765&gt;=4,", "&amp;$A765&amp;"-"&amp;TEXT(($D765-$C765+1)+3,"00"),"")&amp;IF($C765&gt;=5,", "&amp;$A765&amp;"-"&amp;TEXT(($D765-$C765+1)+4,"00"),"")&amp;IF($C765&gt;=6,", "&amp;$A765&amp;"-"&amp;TEXT(($D765-$C765+1)+5,"00"),"")&amp;IF($C765&gt;=7,", "&amp;$A765&amp;"-"&amp;TEXT(($D765-$C765+1)+6,"00"),"")&amp;IF($C765&gt;=8,", "&amp;$A765&amp;"-"&amp;TEXT(($D765-$C765+1)+7,"00"),"")&amp;IF($C765&gt;=9,", "&amp;$A765&amp;"-"&amp;TEXT(($D765-$C765+1)+8,"00"),"")&amp;IF($C765&gt;=10,", "&amp;$A765&amp;"-"&amp;TEXT(($D765-$C765+1)+9,"00"),"")&amp;IF($C765&gt;=11,", "&amp;$A765&amp;"-"&amp;TEXT(($D765-$C765+1)+10,"00"),"")&amp;IF($C765&gt;=12,", "&amp;$A765&amp;"-"&amp;TEXT(($D765-$C765+1)+11,"00"),"")&amp;IF($C765&gt;=13,", "&amp;$A765&amp;"-"&amp;TEXT(($D765-$C765+1)+12,"00"),"")&amp;IF($C765&gt;=14,", "&amp;$A765&amp;"-"&amp;TEXT(($D765-$C765+1)+13,"00"),"")&amp;IF($C765&gt;=15,", "&amp;$A765&amp;"-"&amp;TEXT(($D765-$C765+1)+14,"00"),"")&amp;IF($C765&gt;=16,", "&amp;$A765&amp;"-"&amp;TEXT(($D765-$C765+1)+15,"00"),"")&amp;IF($C765&gt;=17,", "&amp;$A765&amp;"-"&amp;TEXT(($D765-$C765+1)+16,"00"),"")&amp;IF($C765&gt;=18,", "&amp;$A765&amp;"-"&amp;TEXT(($D765-$C765+1)+17,"00"),"")&amp;IF($C765&gt;=19,", "&amp;$A765&amp;"-"&amp;TEXT(($D765-$C765+1)+18,"00"),"")&amp;IF($C765&gt;=20,", "&amp;$A765&amp;"-"&amp;TEXT(($D765-$C765+1)+19,"00"),"")&amp;IF($C765&gt;=21,", "&amp;$A765&amp;"-"&amp;TEXT(($D765-$C765+1)+20,"00"),"")&amp;IF($C765&gt;=22,", "&amp;$A765&amp;"-"&amp;TEXT(($D765-$C765+1)+21,"00"),"")&amp;IF($C765&gt;=23,", "&amp;$A765&amp;"-"&amp;TEXT(($D765-$C765+1)+22,"00"),"")&amp;IF($C765&gt;=24,", "&amp;$A765&amp;"-"&amp;TEXT(($D765-$C765+1)+23,"00"),"")&amp;IF($C765&gt;=25,", "&amp;$A765&amp;"-"&amp;TEXT(($D765-$C765+1)+24,"00"),""))</f>
        <v/>
      </c>
      <c r="G765">
        <f>IF($A765="","",IF($E765=1,$F765,IF($F765="",$G764,IF($G764="",$F765,$G764&amp;", "&amp;$F765))))</f>
        <v/>
      </c>
      <c r="H765">
        <f>IF($A765="","",$A765&amp;" ("&amp;$C765&amp;")")</f>
        <v/>
      </c>
      <c r="I765">
        <f>IF($A765="","",IF($E765=1,$H765,$I764&amp;", "&amp;$H765))</f>
        <v/>
      </c>
      <c r="J765">
        <f>IF($A765="","",IF($E765=1,$B765,""))</f>
        <v/>
      </c>
      <c r="K765">
        <f>IF($A765="","",IF(COUNTIF($B$2:$B765,$B765)=COUNTIF($B$2:$B$1601,$B765),$B765,""))</f>
        <v/>
      </c>
    </row>
    <row r="766">
      <c r="A766">
        <f>IF('TMP Paste'!$E766="","",'TMP Paste'!$E766)</f>
        <v/>
      </c>
      <c r="B766">
        <f>IF($A766="","",COUNTIF('TMP Paste'!$B$2:$B766,"?*"))</f>
        <v/>
      </c>
      <c r="C766">
        <f>IF($A766="","",IFERROR('TMP Paste'!$M766*1,0))</f>
        <v/>
      </c>
      <c r="D766">
        <f>IF($A766="","",SUMIF($B$2:$B766,$B766,$C$2:$C766))</f>
        <v/>
      </c>
      <c r="E766">
        <f>IF($A766="",0,IF('TMP Paste'!$B766="",0,1))</f>
        <v/>
      </c>
      <c r="F766">
        <f>IF(OR($A766="",$C766&lt;1),"",$A766&amp;"-"&amp;TEXT(($D766-$C766+1),"00")&amp;IF($C766&gt;=2,", "&amp;$A766&amp;"-"&amp;TEXT(($D766-$C766+1)+1,"00"),"")&amp;IF($C766&gt;=3,", "&amp;$A766&amp;"-"&amp;TEXT(($D766-$C766+1)+2,"00"),"")&amp;IF($C766&gt;=4,", "&amp;$A766&amp;"-"&amp;TEXT(($D766-$C766+1)+3,"00"),"")&amp;IF($C766&gt;=5,", "&amp;$A766&amp;"-"&amp;TEXT(($D766-$C766+1)+4,"00"),"")&amp;IF($C766&gt;=6,", "&amp;$A766&amp;"-"&amp;TEXT(($D766-$C766+1)+5,"00"),"")&amp;IF($C766&gt;=7,", "&amp;$A766&amp;"-"&amp;TEXT(($D766-$C766+1)+6,"00"),"")&amp;IF($C766&gt;=8,", "&amp;$A766&amp;"-"&amp;TEXT(($D766-$C766+1)+7,"00"),"")&amp;IF($C766&gt;=9,", "&amp;$A766&amp;"-"&amp;TEXT(($D766-$C766+1)+8,"00"),"")&amp;IF($C766&gt;=10,", "&amp;$A766&amp;"-"&amp;TEXT(($D766-$C766+1)+9,"00"),"")&amp;IF($C766&gt;=11,", "&amp;$A766&amp;"-"&amp;TEXT(($D766-$C766+1)+10,"00"),"")&amp;IF($C766&gt;=12,", "&amp;$A766&amp;"-"&amp;TEXT(($D766-$C766+1)+11,"00"),"")&amp;IF($C766&gt;=13,", "&amp;$A766&amp;"-"&amp;TEXT(($D766-$C766+1)+12,"00"),"")&amp;IF($C766&gt;=14,", "&amp;$A766&amp;"-"&amp;TEXT(($D766-$C766+1)+13,"00"),"")&amp;IF($C766&gt;=15,", "&amp;$A766&amp;"-"&amp;TEXT(($D766-$C766+1)+14,"00"),"")&amp;IF($C766&gt;=16,", "&amp;$A766&amp;"-"&amp;TEXT(($D766-$C766+1)+15,"00"),"")&amp;IF($C766&gt;=17,", "&amp;$A766&amp;"-"&amp;TEXT(($D766-$C766+1)+16,"00"),"")&amp;IF($C766&gt;=18,", "&amp;$A766&amp;"-"&amp;TEXT(($D766-$C766+1)+17,"00"),"")&amp;IF($C766&gt;=19,", "&amp;$A766&amp;"-"&amp;TEXT(($D766-$C766+1)+18,"00"),"")&amp;IF($C766&gt;=20,", "&amp;$A766&amp;"-"&amp;TEXT(($D766-$C766+1)+19,"00"),"")&amp;IF($C766&gt;=21,", "&amp;$A766&amp;"-"&amp;TEXT(($D766-$C766+1)+20,"00"),"")&amp;IF($C766&gt;=22,", "&amp;$A766&amp;"-"&amp;TEXT(($D766-$C766+1)+21,"00"),"")&amp;IF($C766&gt;=23,", "&amp;$A766&amp;"-"&amp;TEXT(($D766-$C766+1)+22,"00"),"")&amp;IF($C766&gt;=24,", "&amp;$A766&amp;"-"&amp;TEXT(($D766-$C766+1)+23,"00"),"")&amp;IF($C766&gt;=25,", "&amp;$A766&amp;"-"&amp;TEXT(($D766-$C766+1)+24,"00"),""))</f>
        <v/>
      </c>
      <c r="G766">
        <f>IF($A766="","",IF($E766=1,$F766,IF($F766="",$G765,IF($G765="",$F766,$G765&amp;", "&amp;$F766))))</f>
        <v/>
      </c>
      <c r="H766">
        <f>IF($A766="","",$A766&amp;" ("&amp;$C766&amp;")")</f>
        <v/>
      </c>
      <c r="I766">
        <f>IF($A766="","",IF($E766=1,$H766,$I765&amp;", "&amp;$H766))</f>
        <v/>
      </c>
      <c r="J766">
        <f>IF($A766="","",IF($E766=1,$B766,""))</f>
        <v/>
      </c>
      <c r="K766">
        <f>IF($A766="","",IF(COUNTIF($B$2:$B766,$B766)=COUNTIF($B$2:$B$1601,$B766),$B766,""))</f>
        <v/>
      </c>
    </row>
    <row r="767">
      <c r="A767">
        <f>IF('TMP Paste'!$E767="","",'TMP Paste'!$E767)</f>
        <v/>
      </c>
      <c r="B767">
        <f>IF($A767="","",COUNTIF('TMP Paste'!$B$2:$B767,"?*"))</f>
        <v/>
      </c>
      <c r="C767">
        <f>IF($A767="","",IFERROR('TMP Paste'!$M767*1,0))</f>
        <v/>
      </c>
      <c r="D767">
        <f>IF($A767="","",SUMIF($B$2:$B767,$B767,$C$2:$C767))</f>
        <v/>
      </c>
      <c r="E767">
        <f>IF($A767="",0,IF('TMP Paste'!$B767="",0,1))</f>
        <v/>
      </c>
      <c r="F767">
        <f>IF(OR($A767="",$C767&lt;1),"",$A767&amp;"-"&amp;TEXT(($D767-$C767+1),"00")&amp;IF($C767&gt;=2,", "&amp;$A767&amp;"-"&amp;TEXT(($D767-$C767+1)+1,"00"),"")&amp;IF($C767&gt;=3,", "&amp;$A767&amp;"-"&amp;TEXT(($D767-$C767+1)+2,"00"),"")&amp;IF($C767&gt;=4,", "&amp;$A767&amp;"-"&amp;TEXT(($D767-$C767+1)+3,"00"),"")&amp;IF($C767&gt;=5,", "&amp;$A767&amp;"-"&amp;TEXT(($D767-$C767+1)+4,"00"),"")&amp;IF($C767&gt;=6,", "&amp;$A767&amp;"-"&amp;TEXT(($D767-$C767+1)+5,"00"),"")&amp;IF($C767&gt;=7,", "&amp;$A767&amp;"-"&amp;TEXT(($D767-$C767+1)+6,"00"),"")&amp;IF($C767&gt;=8,", "&amp;$A767&amp;"-"&amp;TEXT(($D767-$C767+1)+7,"00"),"")&amp;IF($C767&gt;=9,", "&amp;$A767&amp;"-"&amp;TEXT(($D767-$C767+1)+8,"00"),"")&amp;IF($C767&gt;=10,", "&amp;$A767&amp;"-"&amp;TEXT(($D767-$C767+1)+9,"00"),"")&amp;IF($C767&gt;=11,", "&amp;$A767&amp;"-"&amp;TEXT(($D767-$C767+1)+10,"00"),"")&amp;IF($C767&gt;=12,", "&amp;$A767&amp;"-"&amp;TEXT(($D767-$C767+1)+11,"00"),"")&amp;IF($C767&gt;=13,", "&amp;$A767&amp;"-"&amp;TEXT(($D767-$C767+1)+12,"00"),"")&amp;IF($C767&gt;=14,", "&amp;$A767&amp;"-"&amp;TEXT(($D767-$C767+1)+13,"00"),"")&amp;IF($C767&gt;=15,", "&amp;$A767&amp;"-"&amp;TEXT(($D767-$C767+1)+14,"00"),"")&amp;IF($C767&gt;=16,", "&amp;$A767&amp;"-"&amp;TEXT(($D767-$C767+1)+15,"00"),"")&amp;IF($C767&gt;=17,", "&amp;$A767&amp;"-"&amp;TEXT(($D767-$C767+1)+16,"00"),"")&amp;IF($C767&gt;=18,", "&amp;$A767&amp;"-"&amp;TEXT(($D767-$C767+1)+17,"00"),"")&amp;IF($C767&gt;=19,", "&amp;$A767&amp;"-"&amp;TEXT(($D767-$C767+1)+18,"00"),"")&amp;IF($C767&gt;=20,", "&amp;$A767&amp;"-"&amp;TEXT(($D767-$C767+1)+19,"00"),"")&amp;IF($C767&gt;=21,", "&amp;$A767&amp;"-"&amp;TEXT(($D767-$C767+1)+20,"00"),"")&amp;IF($C767&gt;=22,", "&amp;$A767&amp;"-"&amp;TEXT(($D767-$C767+1)+21,"00"),"")&amp;IF($C767&gt;=23,", "&amp;$A767&amp;"-"&amp;TEXT(($D767-$C767+1)+22,"00"),"")&amp;IF($C767&gt;=24,", "&amp;$A767&amp;"-"&amp;TEXT(($D767-$C767+1)+23,"00"),"")&amp;IF($C767&gt;=25,", "&amp;$A767&amp;"-"&amp;TEXT(($D767-$C767+1)+24,"00"),""))</f>
        <v/>
      </c>
      <c r="G767">
        <f>IF($A767="","",IF($E767=1,$F767,IF($F767="",$G766,IF($G766="",$F767,$G766&amp;", "&amp;$F767))))</f>
        <v/>
      </c>
      <c r="H767">
        <f>IF($A767="","",$A767&amp;" ("&amp;$C767&amp;")")</f>
        <v/>
      </c>
      <c r="I767">
        <f>IF($A767="","",IF($E767=1,$H767,$I766&amp;", "&amp;$H767))</f>
        <v/>
      </c>
      <c r="J767">
        <f>IF($A767="","",IF($E767=1,$B767,""))</f>
        <v/>
      </c>
      <c r="K767">
        <f>IF($A767="","",IF(COUNTIF($B$2:$B767,$B767)=COUNTIF($B$2:$B$1601,$B767),$B767,""))</f>
        <v/>
      </c>
    </row>
    <row r="768">
      <c r="A768">
        <f>IF('TMP Paste'!$E768="","",'TMP Paste'!$E768)</f>
        <v/>
      </c>
      <c r="B768">
        <f>IF($A768="","",COUNTIF('TMP Paste'!$B$2:$B768,"?*"))</f>
        <v/>
      </c>
      <c r="C768">
        <f>IF($A768="","",IFERROR('TMP Paste'!$M768*1,0))</f>
        <v/>
      </c>
      <c r="D768">
        <f>IF($A768="","",SUMIF($B$2:$B768,$B768,$C$2:$C768))</f>
        <v/>
      </c>
      <c r="E768">
        <f>IF($A768="",0,IF('TMP Paste'!$B768="",0,1))</f>
        <v/>
      </c>
      <c r="F768">
        <f>IF(OR($A768="",$C768&lt;1),"",$A768&amp;"-"&amp;TEXT(($D768-$C768+1),"00")&amp;IF($C768&gt;=2,", "&amp;$A768&amp;"-"&amp;TEXT(($D768-$C768+1)+1,"00"),"")&amp;IF($C768&gt;=3,", "&amp;$A768&amp;"-"&amp;TEXT(($D768-$C768+1)+2,"00"),"")&amp;IF($C768&gt;=4,", "&amp;$A768&amp;"-"&amp;TEXT(($D768-$C768+1)+3,"00"),"")&amp;IF($C768&gt;=5,", "&amp;$A768&amp;"-"&amp;TEXT(($D768-$C768+1)+4,"00"),"")&amp;IF($C768&gt;=6,", "&amp;$A768&amp;"-"&amp;TEXT(($D768-$C768+1)+5,"00"),"")&amp;IF($C768&gt;=7,", "&amp;$A768&amp;"-"&amp;TEXT(($D768-$C768+1)+6,"00"),"")&amp;IF($C768&gt;=8,", "&amp;$A768&amp;"-"&amp;TEXT(($D768-$C768+1)+7,"00"),"")&amp;IF($C768&gt;=9,", "&amp;$A768&amp;"-"&amp;TEXT(($D768-$C768+1)+8,"00"),"")&amp;IF($C768&gt;=10,", "&amp;$A768&amp;"-"&amp;TEXT(($D768-$C768+1)+9,"00"),"")&amp;IF($C768&gt;=11,", "&amp;$A768&amp;"-"&amp;TEXT(($D768-$C768+1)+10,"00"),"")&amp;IF($C768&gt;=12,", "&amp;$A768&amp;"-"&amp;TEXT(($D768-$C768+1)+11,"00"),"")&amp;IF($C768&gt;=13,", "&amp;$A768&amp;"-"&amp;TEXT(($D768-$C768+1)+12,"00"),"")&amp;IF($C768&gt;=14,", "&amp;$A768&amp;"-"&amp;TEXT(($D768-$C768+1)+13,"00"),"")&amp;IF($C768&gt;=15,", "&amp;$A768&amp;"-"&amp;TEXT(($D768-$C768+1)+14,"00"),"")&amp;IF($C768&gt;=16,", "&amp;$A768&amp;"-"&amp;TEXT(($D768-$C768+1)+15,"00"),"")&amp;IF($C768&gt;=17,", "&amp;$A768&amp;"-"&amp;TEXT(($D768-$C768+1)+16,"00"),"")&amp;IF($C768&gt;=18,", "&amp;$A768&amp;"-"&amp;TEXT(($D768-$C768+1)+17,"00"),"")&amp;IF($C768&gt;=19,", "&amp;$A768&amp;"-"&amp;TEXT(($D768-$C768+1)+18,"00"),"")&amp;IF($C768&gt;=20,", "&amp;$A768&amp;"-"&amp;TEXT(($D768-$C768+1)+19,"00"),"")&amp;IF($C768&gt;=21,", "&amp;$A768&amp;"-"&amp;TEXT(($D768-$C768+1)+20,"00"),"")&amp;IF($C768&gt;=22,", "&amp;$A768&amp;"-"&amp;TEXT(($D768-$C768+1)+21,"00"),"")&amp;IF($C768&gt;=23,", "&amp;$A768&amp;"-"&amp;TEXT(($D768-$C768+1)+22,"00"),"")&amp;IF($C768&gt;=24,", "&amp;$A768&amp;"-"&amp;TEXT(($D768-$C768+1)+23,"00"),"")&amp;IF($C768&gt;=25,", "&amp;$A768&amp;"-"&amp;TEXT(($D768-$C768+1)+24,"00"),""))</f>
        <v/>
      </c>
      <c r="G768">
        <f>IF($A768="","",IF($E768=1,$F768,IF($F768="",$G767,IF($G767="",$F768,$G767&amp;", "&amp;$F768))))</f>
        <v/>
      </c>
      <c r="H768">
        <f>IF($A768="","",$A768&amp;" ("&amp;$C768&amp;")")</f>
        <v/>
      </c>
      <c r="I768">
        <f>IF($A768="","",IF($E768=1,$H768,$I767&amp;", "&amp;$H768))</f>
        <v/>
      </c>
      <c r="J768">
        <f>IF($A768="","",IF($E768=1,$B768,""))</f>
        <v/>
      </c>
      <c r="K768">
        <f>IF($A768="","",IF(COUNTIF($B$2:$B768,$B768)=COUNTIF($B$2:$B$1601,$B768),$B768,""))</f>
        <v/>
      </c>
    </row>
    <row r="769">
      <c r="A769">
        <f>IF('TMP Paste'!$E769="","",'TMP Paste'!$E769)</f>
        <v/>
      </c>
      <c r="B769">
        <f>IF($A769="","",COUNTIF('TMP Paste'!$B$2:$B769,"?*"))</f>
        <v/>
      </c>
      <c r="C769">
        <f>IF($A769="","",IFERROR('TMP Paste'!$M769*1,0))</f>
        <v/>
      </c>
      <c r="D769">
        <f>IF($A769="","",SUMIF($B$2:$B769,$B769,$C$2:$C769))</f>
        <v/>
      </c>
      <c r="E769">
        <f>IF($A769="",0,IF('TMP Paste'!$B769="",0,1))</f>
        <v/>
      </c>
      <c r="F769">
        <f>IF(OR($A769="",$C769&lt;1),"",$A769&amp;"-"&amp;TEXT(($D769-$C769+1),"00")&amp;IF($C769&gt;=2,", "&amp;$A769&amp;"-"&amp;TEXT(($D769-$C769+1)+1,"00"),"")&amp;IF($C769&gt;=3,", "&amp;$A769&amp;"-"&amp;TEXT(($D769-$C769+1)+2,"00"),"")&amp;IF($C769&gt;=4,", "&amp;$A769&amp;"-"&amp;TEXT(($D769-$C769+1)+3,"00"),"")&amp;IF($C769&gt;=5,", "&amp;$A769&amp;"-"&amp;TEXT(($D769-$C769+1)+4,"00"),"")&amp;IF($C769&gt;=6,", "&amp;$A769&amp;"-"&amp;TEXT(($D769-$C769+1)+5,"00"),"")&amp;IF($C769&gt;=7,", "&amp;$A769&amp;"-"&amp;TEXT(($D769-$C769+1)+6,"00"),"")&amp;IF($C769&gt;=8,", "&amp;$A769&amp;"-"&amp;TEXT(($D769-$C769+1)+7,"00"),"")&amp;IF($C769&gt;=9,", "&amp;$A769&amp;"-"&amp;TEXT(($D769-$C769+1)+8,"00"),"")&amp;IF($C769&gt;=10,", "&amp;$A769&amp;"-"&amp;TEXT(($D769-$C769+1)+9,"00"),"")&amp;IF($C769&gt;=11,", "&amp;$A769&amp;"-"&amp;TEXT(($D769-$C769+1)+10,"00"),"")&amp;IF($C769&gt;=12,", "&amp;$A769&amp;"-"&amp;TEXT(($D769-$C769+1)+11,"00"),"")&amp;IF($C769&gt;=13,", "&amp;$A769&amp;"-"&amp;TEXT(($D769-$C769+1)+12,"00"),"")&amp;IF($C769&gt;=14,", "&amp;$A769&amp;"-"&amp;TEXT(($D769-$C769+1)+13,"00"),"")&amp;IF($C769&gt;=15,", "&amp;$A769&amp;"-"&amp;TEXT(($D769-$C769+1)+14,"00"),"")&amp;IF($C769&gt;=16,", "&amp;$A769&amp;"-"&amp;TEXT(($D769-$C769+1)+15,"00"),"")&amp;IF($C769&gt;=17,", "&amp;$A769&amp;"-"&amp;TEXT(($D769-$C769+1)+16,"00"),"")&amp;IF($C769&gt;=18,", "&amp;$A769&amp;"-"&amp;TEXT(($D769-$C769+1)+17,"00"),"")&amp;IF($C769&gt;=19,", "&amp;$A769&amp;"-"&amp;TEXT(($D769-$C769+1)+18,"00"),"")&amp;IF($C769&gt;=20,", "&amp;$A769&amp;"-"&amp;TEXT(($D769-$C769+1)+19,"00"),"")&amp;IF($C769&gt;=21,", "&amp;$A769&amp;"-"&amp;TEXT(($D769-$C769+1)+20,"00"),"")&amp;IF($C769&gt;=22,", "&amp;$A769&amp;"-"&amp;TEXT(($D769-$C769+1)+21,"00"),"")&amp;IF($C769&gt;=23,", "&amp;$A769&amp;"-"&amp;TEXT(($D769-$C769+1)+22,"00"),"")&amp;IF($C769&gt;=24,", "&amp;$A769&amp;"-"&amp;TEXT(($D769-$C769+1)+23,"00"),"")&amp;IF($C769&gt;=25,", "&amp;$A769&amp;"-"&amp;TEXT(($D769-$C769+1)+24,"00"),""))</f>
        <v/>
      </c>
      <c r="G769">
        <f>IF($A769="","",IF($E769=1,$F769,IF($F769="",$G768,IF($G768="",$F769,$G768&amp;", "&amp;$F769))))</f>
        <v/>
      </c>
      <c r="H769">
        <f>IF($A769="","",$A769&amp;" ("&amp;$C769&amp;")")</f>
        <v/>
      </c>
      <c r="I769">
        <f>IF($A769="","",IF($E769=1,$H769,$I768&amp;", "&amp;$H769))</f>
        <v/>
      </c>
      <c r="J769">
        <f>IF($A769="","",IF($E769=1,$B769,""))</f>
        <v/>
      </c>
      <c r="K769">
        <f>IF($A769="","",IF(COUNTIF($B$2:$B769,$B769)=COUNTIF($B$2:$B$1601,$B769),$B769,""))</f>
        <v/>
      </c>
    </row>
    <row r="770">
      <c r="A770">
        <f>IF('TMP Paste'!$E770="","",'TMP Paste'!$E770)</f>
        <v/>
      </c>
      <c r="B770">
        <f>IF($A770="","",COUNTIF('TMP Paste'!$B$2:$B770,"?*"))</f>
        <v/>
      </c>
      <c r="C770">
        <f>IF($A770="","",IFERROR('TMP Paste'!$M770*1,0))</f>
        <v/>
      </c>
      <c r="D770">
        <f>IF($A770="","",SUMIF($B$2:$B770,$B770,$C$2:$C770))</f>
        <v/>
      </c>
      <c r="E770">
        <f>IF($A770="",0,IF('TMP Paste'!$B770="",0,1))</f>
        <v/>
      </c>
      <c r="F770">
        <f>IF(OR($A770="",$C770&lt;1),"",$A770&amp;"-"&amp;TEXT(($D770-$C770+1),"00")&amp;IF($C770&gt;=2,", "&amp;$A770&amp;"-"&amp;TEXT(($D770-$C770+1)+1,"00"),"")&amp;IF($C770&gt;=3,", "&amp;$A770&amp;"-"&amp;TEXT(($D770-$C770+1)+2,"00"),"")&amp;IF($C770&gt;=4,", "&amp;$A770&amp;"-"&amp;TEXT(($D770-$C770+1)+3,"00"),"")&amp;IF($C770&gt;=5,", "&amp;$A770&amp;"-"&amp;TEXT(($D770-$C770+1)+4,"00"),"")&amp;IF($C770&gt;=6,", "&amp;$A770&amp;"-"&amp;TEXT(($D770-$C770+1)+5,"00"),"")&amp;IF($C770&gt;=7,", "&amp;$A770&amp;"-"&amp;TEXT(($D770-$C770+1)+6,"00"),"")&amp;IF($C770&gt;=8,", "&amp;$A770&amp;"-"&amp;TEXT(($D770-$C770+1)+7,"00"),"")&amp;IF($C770&gt;=9,", "&amp;$A770&amp;"-"&amp;TEXT(($D770-$C770+1)+8,"00"),"")&amp;IF($C770&gt;=10,", "&amp;$A770&amp;"-"&amp;TEXT(($D770-$C770+1)+9,"00"),"")&amp;IF($C770&gt;=11,", "&amp;$A770&amp;"-"&amp;TEXT(($D770-$C770+1)+10,"00"),"")&amp;IF($C770&gt;=12,", "&amp;$A770&amp;"-"&amp;TEXT(($D770-$C770+1)+11,"00"),"")&amp;IF($C770&gt;=13,", "&amp;$A770&amp;"-"&amp;TEXT(($D770-$C770+1)+12,"00"),"")&amp;IF($C770&gt;=14,", "&amp;$A770&amp;"-"&amp;TEXT(($D770-$C770+1)+13,"00"),"")&amp;IF($C770&gt;=15,", "&amp;$A770&amp;"-"&amp;TEXT(($D770-$C770+1)+14,"00"),"")&amp;IF($C770&gt;=16,", "&amp;$A770&amp;"-"&amp;TEXT(($D770-$C770+1)+15,"00"),"")&amp;IF($C770&gt;=17,", "&amp;$A770&amp;"-"&amp;TEXT(($D770-$C770+1)+16,"00"),"")&amp;IF($C770&gt;=18,", "&amp;$A770&amp;"-"&amp;TEXT(($D770-$C770+1)+17,"00"),"")&amp;IF($C770&gt;=19,", "&amp;$A770&amp;"-"&amp;TEXT(($D770-$C770+1)+18,"00"),"")&amp;IF($C770&gt;=20,", "&amp;$A770&amp;"-"&amp;TEXT(($D770-$C770+1)+19,"00"),"")&amp;IF($C770&gt;=21,", "&amp;$A770&amp;"-"&amp;TEXT(($D770-$C770+1)+20,"00"),"")&amp;IF($C770&gt;=22,", "&amp;$A770&amp;"-"&amp;TEXT(($D770-$C770+1)+21,"00"),"")&amp;IF($C770&gt;=23,", "&amp;$A770&amp;"-"&amp;TEXT(($D770-$C770+1)+22,"00"),"")&amp;IF($C770&gt;=24,", "&amp;$A770&amp;"-"&amp;TEXT(($D770-$C770+1)+23,"00"),"")&amp;IF($C770&gt;=25,", "&amp;$A770&amp;"-"&amp;TEXT(($D770-$C770+1)+24,"00"),""))</f>
        <v/>
      </c>
      <c r="G770">
        <f>IF($A770="","",IF($E770=1,$F770,IF($F770="",$G769,IF($G769="",$F770,$G769&amp;", "&amp;$F770))))</f>
        <v/>
      </c>
      <c r="H770">
        <f>IF($A770="","",$A770&amp;" ("&amp;$C770&amp;")")</f>
        <v/>
      </c>
      <c r="I770">
        <f>IF($A770="","",IF($E770=1,$H770,$I769&amp;", "&amp;$H770))</f>
        <v/>
      </c>
      <c r="J770">
        <f>IF($A770="","",IF($E770=1,$B770,""))</f>
        <v/>
      </c>
      <c r="K770">
        <f>IF($A770="","",IF(COUNTIF($B$2:$B770,$B770)=COUNTIF($B$2:$B$1601,$B770),$B770,""))</f>
        <v/>
      </c>
    </row>
    <row r="771">
      <c r="A771">
        <f>IF('TMP Paste'!$E771="","",'TMP Paste'!$E771)</f>
        <v/>
      </c>
      <c r="B771">
        <f>IF($A771="","",COUNTIF('TMP Paste'!$B$2:$B771,"?*"))</f>
        <v/>
      </c>
      <c r="C771">
        <f>IF($A771="","",IFERROR('TMP Paste'!$M771*1,0))</f>
        <v/>
      </c>
      <c r="D771">
        <f>IF($A771="","",SUMIF($B$2:$B771,$B771,$C$2:$C771))</f>
        <v/>
      </c>
      <c r="E771">
        <f>IF($A771="",0,IF('TMP Paste'!$B771="",0,1))</f>
        <v/>
      </c>
      <c r="F771">
        <f>IF(OR($A771="",$C771&lt;1),"",$A771&amp;"-"&amp;TEXT(($D771-$C771+1),"00")&amp;IF($C771&gt;=2,", "&amp;$A771&amp;"-"&amp;TEXT(($D771-$C771+1)+1,"00"),"")&amp;IF($C771&gt;=3,", "&amp;$A771&amp;"-"&amp;TEXT(($D771-$C771+1)+2,"00"),"")&amp;IF($C771&gt;=4,", "&amp;$A771&amp;"-"&amp;TEXT(($D771-$C771+1)+3,"00"),"")&amp;IF($C771&gt;=5,", "&amp;$A771&amp;"-"&amp;TEXT(($D771-$C771+1)+4,"00"),"")&amp;IF($C771&gt;=6,", "&amp;$A771&amp;"-"&amp;TEXT(($D771-$C771+1)+5,"00"),"")&amp;IF($C771&gt;=7,", "&amp;$A771&amp;"-"&amp;TEXT(($D771-$C771+1)+6,"00"),"")&amp;IF($C771&gt;=8,", "&amp;$A771&amp;"-"&amp;TEXT(($D771-$C771+1)+7,"00"),"")&amp;IF($C771&gt;=9,", "&amp;$A771&amp;"-"&amp;TEXT(($D771-$C771+1)+8,"00"),"")&amp;IF($C771&gt;=10,", "&amp;$A771&amp;"-"&amp;TEXT(($D771-$C771+1)+9,"00"),"")&amp;IF($C771&gt;=11,", "&amp;$A771&amp;"-"&amp;TEXT(($D771-$C771+1)+10,"00"),"")&amp;IF($C771&gt;=12,", "&amp;$A771&amp;"-"&amp;TEXT(($D771-$C771+1)+11,"00"),"")&amp;IF($C771&gt;=13,", "&amp;$A771&amp;"-"&amp;TEXT(($D771-$C771+1)+12,"00"),"")&amp;IF($C771&gt;=14,", "&amp;$A771&amp;"-"&amp;TEXT(($D771-$C771+1)+13,"00"),"")&amp;IF($C771&gt;=15,", "&amp;$A771&amp;"-"&amp;TEXT(($D771-$C771+1)+14,"00"),"")&amp;IF($C771&gt;=16,", "&amp;$A771&amp;"-"&amp;TEXT(($D771-$C771+1)+15,"00"),"")&amp;IF($C771&gt;=17,", "&amp;$A771&amp;"-"&amp;TEXT(($D771-$C771+1)+16,"00"),"")&amp;IF($C771&gt;=18,", "&amp;$A771&amp;"-"&amp;TEXT(($D771-$C771+1)+17,"00"),"")&amp;IF($C771&gt;=19,", "&amp;$A771&amp;"-"&amp;TEXT(($D771-$C771+1)+18,"00"),"")&amp;IF($C771&gt;=20,", "&amp;$A771&amp;"-"&amp;TEXT(($D771-$C771+1)+19,"00"),"")&amp;IF($C771&gt;=21,", "&amp;$A771&amp;"-"&amp;TEXT(($D771-$C771+1)+20,"00"),"")&amp;IF($C771&gt;=22,", "&amp;$A771&amp;"-"&amp;TEXT(($D771-$C771+1)+21,"00"),"")&amp;IF($C771&gt;=23,", "&amp;$A771&amp;"-"&amp;TEXT(($D771-$C771+1)+22,"00"),"")&amp;IF($C771&gt;=24,", "&amp;$A771&amp;"-"&amp;TEXT(($D771-$C771+1)+23,"00"),"")&amp;IF($C771&gt;=25,", "&amp;$A771&amp;"-"&amp;TEXT(($D771-$C771+1)+24,"00"),""))</f>
        <v/>
      </c>
      <c r="G771">
        <f>IF($A771="","",IF($E771=1,$F771,IF($F771="",$G770,IF($G770="",$F771,$G770&amp;", "&amp;$F771))))</f>
        <v/>
      </c>
      <c r="H771">
        <f>IF($A771="","",$A771&amp;" ("&amp;$C771&amp;")")</f>
        <v/>
      </c>
      <c r="I771">
        <f>IF($A771="","",IF($E771=1,$H771,$I770&amp;", "&amp;$H771))</f>
        <v/>
      </c>
      <c r="J771">
        <f>IF($A771="","",IF($E771=1,$B771,""))</f>
        <v/>
      </c>
      <c r="K771">
        <f>IF($A771="","",IF(COUNTIF($B$2:$B771,$B771)=COUNTIF($B$2:$B$1601,$B771),$B771,""))</f>
        <v/>
      </c>
    </row>
    <row r="772">
      <c r="A772">
        <f>IF('TMP Paste'!$E772="","",'TMP Paste'!$E772)</f>
        <v/>
      </c>
      <c r="B772">
        <f>IF($A772="","",COUNTIF('TMP Paste'!$B$2:$B772,"?*"))</f>
        <v/>
      </c>
      <c r="C772">
        <f>IF($A772="","",IFERROR('TMP Paste'!$M772*1,0))</f>
        <v/>
      </c>
      <c r="D772">
        <f>IF($A772="","",SUMIF($B$2:$B772,$B772,$C$2:$C772))</f>
        <v/>
      </c>
      <c r="E772">
        <f>IF($A772="",0,IF('TMP Paste'!$B772="",0,1))</f>
        <v/>
      </c>
      <c r="F772">
        <f>IF(OR($A772="",$C772&lt;1),"",$A772&amp;"-"&amp;TEXT(($D772-$C772+1),"00")&amp;IF($C772&gt;=2,", "&amp;$A772&amp;"-"&amp;TEXT(($D772-$C772+1)+1,"00"),"")&amp;IF($C772&gt;=3,", "&amp;$A772&amp;"-"&amp;TEXT(($D772-$C772+1)+2,"00"),"")&amp;IF($C772&gt;=4,", "&amp;$A772&amp;"-"&amp;TEXT(($D772-$C772+1)+3,"00"),"")&amp;IF($C772&gt;=5,", "&amp;$A772&amp;"-"&amp;TEXT(($D772-$C772+1)+4,"00"),"")&amp;IF($C772&gt;=6,", "&amp;$A772&amp;"-"&amp;TEXT(($D772-$C772+1)+5,"00"),"")&amp;IF($C772&gt;=7,", "&amp;$A772&amp;"-"&amp;TEXT(($D772-$C772+1)+6,"00"),"")&amp;IF($C772&gt;=8,", "&amp;$A772&amp;"-"&amp;TEXT(($D772-$C772+1)+7,"00"),"")&amp;IF($C772&gt;=9,", "&amp;$A772&amp;"-"&amp;TEXT(($D772-$C772+1)+8,"00"),"")&amp;IF($C772&gt;=10,", "&amp;$A772&amp;"-"&amp;TEXT(($D772-$C772+1)+9,"00"),"")&amp;IF($C772&gt;=11,", "&amp;$A772&amp;"-"&amp;TEXT(($D772-$C772+1)+10,"00"),"")&amp;IF($C772&gt;=12,", "&amp;$A772&amp;"-"&amp;TEXT(($D772-$C772+1)+11,"00"),"")&amp;IF($C772&gt;=13,", "&amp;$A772&amp;"-"&amp;TEXT(($D772-$C772+1)+12,"00"),"")&amp;IF($C772&gt;=14,", "&amp;$A772&amp;"-"&amp;TEXT(($D772-$C772+1)+13,"00"),"")&amp;IF($C772&gt;=15,", "&amp;$A772&amp;"-"&amp;TEXT(($D772-$C772+1)+14,"00"),"")&amp;IF($C772&gt;=16,", "&amp;$A772&amp;"-"&amp;TEXT(($D772-$C772+1)+15,"00"),"")&amp;IF($C772&gt;=17,", "&amp;$A772&amp;"-"&amp;TEXT(($D772-$C772+1)+16,"00"),"")&amp;IF($C772&gt;=18,", "&amp;$A772&amp;"-"&amp;TEXT(($D772-$C772+1)+17,"00"),"")&amp;IF($C772&gt;=19,", "&amp;$A772&amp;"-"&amp;TEXT(($D772-$C772+1)+18,"00"),"")&amp;IF($C772&gt;=20,", "&amp;$A772&amp;"-"&amp;TEXT(($D772-$C772+1)+19,"00"),"")&amp;IF($C772&gt;=21,", "&amp;$A772&amp;"-"&amp;TEXT(($D772-$C772+1)+20,"00"),"")&amp;IF($C772&gt;=22,", "&amp;$A772&amp;"-"&amp;TEXT(($D772-$C772+1)+21,"00"),"")&amp;IF($C772&gt;=23,", "&amp;$A772&amp;"-"&amp;TEXT(($D772-$C772+1)+22,"00"),"")&amp;IF($C772&gt;=24,", "&amp;$A772&amp;"-"&amp;TEXT(($D772-$C772+1)+23,"00"),"")&amp;IF($C772&gt;=25,", "&amp;$A772&amp;"-"&amp;TEXT(($D772-$C772+1)+24,"00"),""))</f>
        <v/>
      </c>
      <c r="G772">
        <f>IF($A772="","",IF($E772=1,$F772,IF($F772="",$G771,IF($G771="",$F772,$G771&amp;", "&amp;$F772))))</f>
        <v/>
      </c>
      <c r="H772">
        <f>IF($A772="","",$A772&amp;" ("&amp;$C772&amp;")")</f>
        <v/>
      </c>
      <c r="I772">
        <f>IF($A772="","",IF($E772=1,$H772,$I771&amp;", "&amp;$H772))</f>
        <v/>
      </c>
      <c r="J772">
        <f>IF($A772="","",IF($E772=1,$B772,""))</f>
        <v/>
      </c>
      <c r="K772">
        <f>IF($A772="","",IF(COUNTIF($B$2:$B772,$B772)=COUNTIF($B$2:$B$1601,$B772),$B772,""))</f>
        <v/>
      </c>
    </row>
    <row r="773">
      <c r="A773">
        <f>IF('TMP Paste'!$E773="","",'TMP Paste'!$E773)</f>
        <v/>
      </c>
      <c r="B773">
        <f>IF($A773="","",COUNTIF('TMP Paste'!$B$2:$B773,"?*"))</f>
        <v/>
      </c>
      <c r="C773">
        <f>IF($A773="","",IFERROR('TMP Paste'!$M773*1,0))</f>
        <v/>
      </c>
      <c r="D773">
        <f>IF($A773="","",SUMIF($B$2:$B773,$B773,$C$2:$C773))</f>
        <v/>
      </c>
      <c r="E773">
        <f>IF($A773="",0,IF('TMP Paste'!$B773="",0,1))</f>
        <v/>
      </c>
      <c r="F773">
        <f>IF(OR($A773="",$C773&lt;1),"",$A773&amp;"-"&amp;TEXT(($D773-$C773+1),"00")&amp;IF($C773&gt;=2,", "&amp;$A773&amp;"-"&amp;TEXT(($D773-$C773+1)+1,"00"),"")&amp;IF($C773&gt;=3,", "&amp;$A773&amp;"-"&amp;TEXT(($D773-$C773+1)+2,"00"),"")&amp;IF($C773&gt;=4,", "&amp;$A773&amp;"-"&amp;TEXT(($D773-$C773+1)+3,"00"),"")&amp;IF($C773&gt;=5,", "&amp;$A773&amp;"-"&amp;TEXT(($D773-$C773+1)+4,"00"),"")&amp;IF($C773&gt;=6,", "&amp;$A773&amp;"-"&amp;TEXT(($D773-$C773+1)+5,"00"),"")&amp;IF($C773&gt;=7,", "&amp;$A773&amp;"-"&amp;TEXT(($D773-$C773+1)+6,"00"),"")&amp;IF($C773&gt;=8,", "&amp;$A773&amp;"-"&amp;TEXT(($D773-$C773+1)+7,"00"),"")&amp;IF($C773&gt;=9,", "&amp;$A773&amp;"-"&amp;TEXT(($D773-$C773+1)+8,"00"),"")&amp;IF($C773&gt;=10,", "&amp;$A773&amp;"-"&amp;TEXT(($D773-$C773+1)+9,"00"),"")&amp;IF($C773&gt;=11,", "&amp;$A773&amp;"-"&amp;TEXT(($D773-$C773+1)+10,"00"),"")&amp;IF($C773&gt;=12,", "&amp;$A773&amp;"-"&amp;TEXT(($D773-$C773+1)+11,"00"),"")&amp;IF($C773&gt;=13,", "&amp;$A773&amp;"-"&amp;TEXT(($D773-$C773+1)+12,"00"),"")&amp;IF($C773&gt;=14,", "&amp;$A773&amp;"-"&amp;TEXT(($D773-$C773+1)+13,"00"),"")&amp;IF($C773&gt;=15,", "&amp;$A773&amp;"-"&amp;TEXT(($D773-$C773+1)+14,"00"),"")&amp;IF($C773&gt;=16,", "&amp;$A773&amp;"-"&amp;TEXT(($D773-$C773+1)+15,"00"),"")&amp;IF($C773&gt;=17,", "&amp;$A773&amp;"-"&amp;TEXT(($D773-$C773+1)+16,"00"),"")&amp;IF($C773&gt;=18,", "&amp;$A773&amp;"-"&amp;TEXT(($D773-$C773+1)+17,"00"),"")&amp;IF($C773&gt;=19,", "&amp;$A773&amp;"-"&amp;TEXT(($D773-$C773+1)+18,"00"),"")&amp;IF($C773&gt;=20,", "&amp;$A773&amp;"-"&amp;TEXT(($D773-$C773+1)+19,"00"),"")&amp;IF($C773&gt;=21,", "&amp;$A773&amp;"-"&amp;TEXT(($D773-$C773+1)+20,"00"),"")&amp;IF($C773&gt;=22,", "&amp;$A773&amp;"-"&amp;TEXT(($D773-$C773+1)+21,"00"),"")&amp;IF($C773&gt;=23,", "&amp;$A773&amp;"-"&amp;TEXT(($D773-$C773+1)+22,"00"),"")&amp;IF($C773&gt;=24,", "&amp;$A773&amp;"-"&amp;TEXT(($D773-$C773+1)+23,"00"),"")&amp;IF($C773&gt;=25,", "&amp;$A773&amp;"-"&amp;TEXT(($D773-$C773+1)+24,"00"),""))</f>
        <v/>
      </c>
      <c r="G773">
        <f>IF($A773="","",IF($E773=1,$F773,IF($F773="",$G772,IF($G772="",$F773,$G772&amp;", "&amp;$F773))))</f>
        <v/>
      </c>
      <c r="H773">
        <f>IF($A773="","",$A773&amp;" ("&amp;$C773&amp;")")</f>
        <v/>
      </c>
      <c r="I773">
        <f>IF($A773="","",IF($E773=1,$H773,$I772&amp;", "&amp;$H773))</f>
        <v/>
      </c>
      <c r="J773">
        <f>IF($A773="","",IF($E773=1,$B773,""))</f>
        <v/>
      </c>
      <c r="K773">
        <f>IF($A773="","",IF(COUNTIF($B$2:$B773,$B773)=COUNTIF($B$2:$B$1601,$B773),$B773,""))</f>
        <v/>
      </c>
    </row>
    <row r="774">
      <c r="A774">
        <f>IF('TMP Paste'!$E774="","",'TMP Paste'!$E774)</f>
        <v/>
      </c>
      <c r="B774">
        <f>IF($A774="","",COUNTIF('TMP Paste'!$B$2:$B774,"?*"))</f>
        <v/>
      </c>
      <c r="C774">
        <f>IF($A774="","",IFERROR('TMP Paste'!$M774*1,0))</f>
        <v/>
      </c>
      <c r="D774">
        <f>IF($A774="","",SUMIF($B$2:$B774,$B774,$C$2:$C774))</f>
        <v/>
      </c>
      <c r="E774">
        <f>IF($A774="",0,IF('TMP Paste'!$B774="",0,1))</f>
        <v/>
      </c>
      <c r="F774">
        <f>IF(OR($A774="",$C774&lt;1),"",$A774&amp;"-"&amp;TEXT(($D774-$C774+1),"00")&amp;IF($C774&gt;=2,", "&amp;$A774&amp;"-"&amp;TEXT(($D774-$C774+1)+1,"00"),"")&amp;IF($C774&gt;=3,", "&amp;$A774&amp;"-"&amp;TEXT(($D774-$C774+1)+2,"00"),"")&amp;IF($C774&gt;=4,", "&amp;$A774&amp;"-"&amp;TEXT(($D774-$C774+1)+3,"00"),"")&amp;IF($C774&gt;=5,", "&amp;$A774&amp;"-"&amp;TEXT(($D774-$C774+1)+4,"00"),"")&amp;IF($C774&gt;=6,", "&amp;$A774&amp;"-"&amp;TEXT(($D774-$C774+1)+5,"00"),"")&amp;IF($C774&gt;=7,", "&amp;$A774&amp;"-"&amp;TEXT(($D774-$C774+1)+6,"00"),"")&amp;IF($C774&gt;=8,", "&amp;$A774&amp;"-"&amp;TEXT(($D774-$C774+1)+7,"00"),"")&amp;IF($C774&gt;=9,", "&amp;$A774&amp;"-"&amp;TEXT(($D774-$C774+1)+8,"00"),"")&amp;IF($C774&gt;=10,", "&amp;$A774&amp;"-"&amp;TEXT(($D774-$C774+1)+9,"00"),"")&amp;IF($C774&gt;=11,", "&amp;$A774&amp;"-"&amp;TEXT(($D774-$C774+1)+10,"00"),"")&amp;IF($C774&gt;=12,", "&amp;$A774&amp;"-"&amp;TEXT(($D774-$C774+1)+11,"00"),"")&amp;IF($C774&gt;=13,", "&amp;$A774&amp;"-"&amp;TEXT(($D774-$C774+1)+12,"00"),"")&amp;IF($C774&gt;=14,", "&amp;$A774&amp;"-"&amp;TEXT(($D774-$C774+1)+13,"00"),"")&amp;IF($C774&gt;=15,", "&amp;$A774&amp;"-"&amp;TEXT(($D774-$C774+1)+14,"00"),"")&amp;IF($C774&gt;=16,", "&amp;$A774&amp;"-"&amp;TEXT(($D774-$C774+1)+15,"00"),"")&amp;IF($C774&gt;=17,", "&amp;$A774&amp;"-"&amp;TEXT(($D774-$C774+1)+16,"00"),"")&amp;IF($C774&gt;=18,", "&amp;$A774&amp;"-"&amp;TEXT(($D774-$C774+1)+17,"00"),"")&amp;IF($C774&gt;=19,", "&amp;$A774&amp;"-"&amp;TEXT(($D774-$C774+1)+18,"00"),"")&amp;IF($C774&gt;=20,", "&amp;$A774&amp;"-"&amp;TEXT(($D774-$C774+1)+19,"00"),"")&amp;IF($C774&gt;=21,", "&amp;$A774&amp;"-"&amp;TEXT(($D774-$C774+1)+20,"00"),"")&amp;IF($C774&gt;=22,", "&amp;$A774&amp;"-"&amp;TEXT(($D774-$C774+1)+21,"00"),"")&amp;IF($C774&gt;=23,", "&amp;$A774&amp;"-"&amp;TEXT(($D774-$C774+1)+22,"00"),"")&amp;IF($C774&gt;=24,", "&amp;$A774&amp;"-"&amp;TEXT(($D774-$C774+1)+23,"00"),"")&amp;IF($C774&gt;=25,", "&amp;$A774&amp;"-"&amp;TEXT(($D774-$C774+1)+24,"00"),""))</f>
        <v/>
      </c>
      <c r="G774">
        <f>IF($A774="","",IF($E774=1,$F774,IF($F774="",$G773,IF($G773="",$F774,$G773&amp;", "&amp;$F774))))</f>
        <v/>
      </c>
      <c r="H774">
        <f>IF($A774="","",$A774&amp;" ("&amp;$C774&amp;")")</f>
        <v/>
      </c>
      <c r="I774">
        <f>IF($A774="","",IF($E774=1,$H774,$I773&amp;", "&amp;$H774))</f>
        <v/>
      </c>
      <c r="J774">
        <f>IF($A774="","",IF($E774=1,$B774,""))</f>
        <v/>
      </c>
      <c r="K774">
        <f>IF($A774="","",IF(COUNTIF($B$2:$B774,$B774)=COUNTIF($B$2:$B$1601,$B774),$B774,""))</f>
        <v/>
      </c>
    </row>
    <row r="775">
      <c r="A775">
        <f>IF('TMP Paste'!$E775="","",'TMP Paste'!$E775)</f>
        <v/>
      </c>
      <c r="B775">
        <f>IF($A775="","",COUNTIF('TMP Paste'!$B$2:$B775,"?*"))</f>
        <v/>
      </c>
      <c r="C775">
        <f>IF($A775="","",IFERROR('TMP Paste'!$M775*1,0))</f>
        <v/>
      </c>
      <c r="D775">
        <f>IF($A775="","",SUMIF($B$2:$B775,$B775,$C$2:$C775))</f>
        <v/>
      </c>
      <c r="E775">
        <f>IF($A775="",0,IF('TMP Paste'!$B775="",0,1))</f>
        <v/>
      </c>
      <c r="F775">
        <f>IF(OR($A775="",$C775&lt;1),"",$A775&amp;"-"&amp;TEXT(($D775-$C775+1),"00")&amp;IF($C775&gt;=2,", "&amp;$A775&amp;"-"&amp;TEXT(($D775-$C775+1)+1,"00"),"")&amp;IF($C775&gt;=3,", "&amp;$A775&amp;"-"&amp;TEXT(($D775-$C775+1)+2,"00"),"")&amp;IF($C775&gt;=4,", "&amp;$A775&amp;"-"&amp;TEXT(($D775-$C775+1)+3,"00"),"")&amp;IF($C775&gt;=5,", "&amp;$A775&amp;"-"&amp;TEXT(($D775-$C775+1)+4,"00"),"")&amp;IF($C775&gt;=6,", "&amp;$A775&amp;"-"&amp;TEXT(($D775-$C775+1)+5,"00"),"")&amp;IF($C775&gt;=7,", "&amp;$A775&amp;"-"&amp;TEXT(($D775-$C775+1)+6,"00"),"")&amp;IF($C775&gt;=8,", "&amp;$A775&amp;"-"&amp;TEXT(($D775-$C775+1)+7,"00"),"")&amp;IF($C775&gt;=9,", "&amp;$A775&amp;"-"&amp;TEXT(($D775-$C775+1)+8,"00"),"")&amp;IF($C775&gt;=10,", "&amp;$A775&amp;"-"&amp;TEXT(($D775-$C775+1)+9,"00"),"")&amp;IF($C775&gt;=11,", "&amp;$A775&amp;"-"&amp;TEXT(($D775-$C775+1)+10,"00"),"")&amp;IF($C775&gt;=12,", "&amp;$A775&amp;"-"&amp;TEXT(($D775-$C775+1)+11,"00"),"")&amp;IF($C775&gt;=13,", "&amp;$A775&amp;"-"&amp;TEXT(($D775-$C775+1)+12,"00"),"")&amp;IF($C775&gt;=14,", "&amp;$A775&amp;"-"&amp;TEXT(($D775-$C775+1)+13,"00"),"")&amp;IF($C775&gt;=15,", "&amp;$A775&amp;"-"&amp;TEXT(($D775-$C775+1)+14,"00"),"")&amp;IF($C775&gt;=16,", "&amp;$A775&amp;"-"&amp;TEXT(($D775-$C775+1)+15,"00"),"")&amp;IF($C775&gt;=17,", "&amp;$A775&amp;"-"&amp;TEXT(($D775-$C775+1)+16,"00"),"")&amp;IF($C775&gt;=18,", "&amp;$A775&amp;"-"&amp;TEXT(($D775-$C775+1)+17,"00"),"")&amp;IF($C775&gt;=19,", "&amp;$A775&amp;"-"&amp;TEXT(($D775-$C775+1)+18,"00"),"")&amp;IF($C775&gt;=20,", "&amp;$A775&amp;"-"&amp;TEXT(($D775-$C775+1)+19,"00"),"")&amp;IF($C775&gt;=21,", "&amp;$A775&amp;"-"&amp;TEXT(($D775-$C775+1)+20,"00"),"")&amp;IF($C775&gt;=22,", "&amp;$A775&amp;"-"&amp;TEXT(($D775-$C775+1)+21,"00"),"")&amp;IF($C775&gt;=23,", "&amp;$A775&amp;"-"&amp;TEXT(($D775-$C775+1)+22,"00"),"")&amp;IF($C775&gt;=24,", "&amp;$A775&amp;"-"&amp;TEXT(($D775-$C775+1)+23,"00"),"")&amp;IF($C775&gt;=25,", "&amp;$A775&amp;"-"&amp;TEXT(($D775-$C775+1)+24,"00"),""))</f>
        <v/>
      </c>
      <c r="G775">
        <f>IF($A775="","",IF($E775=1,$F775,IF($F775="",$G774,IF($G774="",$F775,$G774&amp;", "&amp;$F775))))</f>
        <v/>
      </c>
      <c r="H775">
        <f>IF($A775="","",$A775&amp;" ("&amp;$C775&amp;")")</f>
        <v/>
      </c>
      <c r="I775">
        <f>IF($A775="","",IF($E775=1,$H775,$I774&amp;", "&amp;$H775))</f>
        <v/>
      </c>
      <c r="J775">
        <f>IF($A775="","",IF($E775=1,$B775,""))</f>
        <v/>
      </c>
      <c r="K775">
        <f>IF($A775="","",IF(COUNTIF($B$2:$B775,$B775)=COUNTIF($B$2:$B$1601,$B775),$B775,""))</f>
        <v/>
      </c>
    </row>
    <row r="776">
      <c r="A776">
        <f>IF('TMP Paste'!$E776="","",'TMP Paste'!$E776)</f>
        <v/>
      </c>
      <c r="B776">
        <f>IF($A776="","",COUNTIF('TMP Paste'!$B$2:$B776,"?*"))</f>
        <v/>
      </c>
      <c r="C776">
        <f>IF($A776="","",IFERROR('TMP Paste'!$M776*1,0))</f>
        <v/>
      </c>
      <c r="D776">
        <f>IF($A776="","",SUMIF($B$2:$B776,$B776,$C$2:$C776))</f>
        <v/>
      </c>
      <c r="E776">
        <f>IF($A776="",0,IF('TMP Paste'!$B776="",0,1))</f>
        <v/>
      </c>
      <c r="F776">
        <f>IF(OR($A776="",$C776&lt;1),"",$A776&amp;"-"&amp;TEXT(($D776-$C776+1),"00")&amp;IF($C776&gt;=2,", "&amp;$A776&amp;"-"&amp;TEXT(($D776-$C776+1)+1,"00"),"")&amp;IF($C776&gt;=3,", "&amp;$A776&amp;"-"&amp;TEXT(($D776-$C776+1)+2,"00"),"")&amp;IF($C776&gt;=4,", "&amp;$A776&amp;"-"&amp;TEXT(($D776-$C776+1)+3,"00"),"")&amp;IF($C776&gt;=5,", "&amp;$A776&amp;"-"&amp;TEXT(($D776-$C776+1)+4,"00"),"")&amp;IF($C776&gt;=6,", "&amp;$A776&amp;"-"&amp;TEXT(($D776-$C776+1)+5,"00"),"")&amp;IF($C776&gt;=7,", "&amp;$A776&amp;"-"&amp;TEXT(($D776-$C776+1)+6,"00"),"")&amp;IF($C776&gt;=8,", "&amp;$A776&amp;"-"&amp;TEXT(($D776-$C776+1)+7,"00"),"")&amp;IF($C776&gt;=9,", "&amp;$A776&amp;"-"&amp;TEXT(($D776-$C776+1)+8,"00"),"")&amp;IF($C776&gt;=10,", "&amp;$A776&amp;"-"&amp;TEXT(($D776-$C776+1)+9,"00"),"")&amp;IF($C776&gt;=11,", "&amp;$A776&amp;"-"&amp;TEXT(($D776-$C776+1)+10,"00"),"")&amp;IF($C776&gt;=12,", "&amp;$A776&amp;"-"&amp;TEXT(($D776-$C776+1)+11,"00"),"")&amp;IF($C776&gt;=13,", "&amp;$A776&amp;"-"&amp;TEXT(($D776-$C776+1)+12,"00"),"")&amp;IF($C776&gt;=14,", "&amp;$A776&amp;"-"&amp;TEXT(($D776-$C776+1)+13,"00"),"")&amp;IF($C776&gt;=15,", "&amp;$A776&amp;"-"&amp;TEXT(($D776-$C776+1)+14,"00"),"")&amp;IF($C776&gt;=16,", "&amp;$A776&amp;"-"&amp;TEXT(($D776-$C776+1)+15,"00"),"")&amp;IF($C776&gt;=17,", "&amp;$A776&amp;"-"&amp;TEXT(($D776-$C776+1)+16,"00"),"")&amp;IF($C776&gt;=18,", "&amp;$A776&amp;"-"&amp;TEXT(($D776-$C776+1)+17,"00"),"")&amp;IF($C776&gt;=19,", "&amp;$A776&amp;"-"&amp;TEXT(($D776-$C776+1)+18,"00"),"")&amp;IF($C776&gt;=20,", "&amp;$A776&amp;"-"&amp;TEXT(($D776-$C776+1)+19,"00"),"")&amp;IF($C776&gt;=21,", "&amp;$A776&amp;"-"&amp;TEXT(($D776-$C776+1)+20,"00"),"")&amp;IF($C776&gt;=22,", "&amp;$A776&amp;"-"&amp;TEXT(($D776-$C776+1)+21,"00"),"")&amp;IF($C776&gt;=23,", "&amp;$A776&amp;"-"&amp;TEXT(($D776-$C776+1)+22,"00"),"")&amp;IF($C776&gt;=24,", "&amp;$A776&amp;"-"&amp;TEXT(($D776-$C776+1)+23,"00"),"")&amp;IF($C776&gt;=25,", "&amp;$A776&amp;"-"&amp;TEXT(($D776-$C776+1)+24,"00"),""))</f>
        <v/>
      </c>
      <c r="G776">
        <f>IF($A776="","",IF($E776=1,$F776,IF($F776="",$G775,IF($G775="",$F776,$G775&amp;", "&amp;$F776))))</f>
        <v/>
      </c>
      <c r="H776">
        <f>IF($A776="","",$A776&amp;" ("&amp;$C776&amp;")")</f>
        <v/>
      </c>
      <c r="I776">
        <f>IF($A776="","",IF($E776=1,$H776,$I775&amp;", "&amp;$H776))</f>
        <v/>
      </c>
      <c r="J776">
        <f>IF($A776="","",IF($E776=1,$B776,""))</f>
        <v/>
      </c>
      <c r="K776">
        <f>IF($A776="","",IF(COUNTIF($B$2:$B776,$B776)=COUNTIF($B$2:$B$1601,$B776),$B776,""))</f>
        <v/>
      </c>
    </row>
    <row r="777">
      <c r="A777">
        <f>IF('TMP Paste'!$E777="","",'TMP Paste'!$E777)</f>
        <v/>
      </c>
      <c r="B777">
        <f>IF($A777="","",COUNTIF('TMP Paste'!$B$2:$B777,"?*"))</f>
        <v/>
      </c>
      <c r="C777">
        <f>IF($A777="","",IFERROR('TMP Paste'!$M777*1,0))</f>
        <v/>
      </c>
      <c r="D777">
        <f>IF($A777="","",SUMIF($B$2:$B777,$B777,$C$2:$C777))</f>
        <v/>
      </c>
      <c r="E777">
        <f>IF($A777="",0,IF('TMP Paste'!$B777="",0,1))</f>
        <v/>
      </c>
      <c r="F777">
        <f>IF(OR($A777="",$C777&lt;1),"",$A777&amp;"-"&amp;TEXT(($D777-$C777+1),"00")&amp;IF($C777&gt;=2,", "&amp;$A777&amp;"-"&amp;TEXT(($D777-$C777+1)+1,"00"),"")&amp;IF($C777&gt;=3,", "&amp;$A777&amp;"-"&amp;TEXT(($D777-$C777+1)+2,"00"),"")&amp;IF($C777&gt;=4,", "&amp;$A777&amp;"-"&amp;TEXT(($D777-$C777+1)+3,"00"),"")&amp;IF($C777&gt;=5,", "&amp;$A777&amp;"-"&amp;TEXT(($D777-$C777+1)+4,"00"),"")&amp;IF($C777&gt;=6,", "&amp;$A777&amp;"-"&amp;TEXT(($D777-$C777+1)+5,"00"),"")&amp;IF($C777&gt;=7,", "&amp;$A777&amp;"-"&amp;TEXT(($D777-$C777+1)+6,"00"),"")&amp;IF($C777&gt;=8,", "&amp;$A777&amp;"-"&amp;TEXT(($D777-$C777+1)+7,"00"),"")&amp;IF($C777&gt;=9,", "&amp;$A777&amp;"-"&amp;TEXT(($D777-$C777+1)+8,"00"),"")&amp;IF($C777&gt;=10,", "&amp;$A777&amp;"-"&amp;TEXT(($D777-$C777+1)+9,"00"),"")&amp;IF($C777&gt;=11,", "&amp;$A777&amp;"-"&amp;TEXT(($D777-$C777+1)+10,"00"),"")&amp;IF($C777&gt;=12,", "&amp;$A777&amp;"-"&amp;TEXT(($D777-$C777+1)+11,"00"),"")&amp;IF($C777&gt;=13,", "&amp;$A777&amp;"-"&amp;TEXT(($D777-$C777+1)+12,"00"),"")&amp;IF($C777&gt;=14,", "&amp;$A777&amp;"-"&amp;TEXT(($D777-$C777+1)+13,"00"),"")&amp;IF($C777&gt;=15,", "&amp;$A777&amp;"-"&amp;TEXT(($D777-$C777+1)+14,"00"),"")&amp;IF($C777&gt;=16,", "&amp;$A777&amp;"-"&amp;TEXT(($D777-$C777+1)+15,"00"),"")&amp;IF($C777&gt;=17,", "&amp;$A777&amp;"-"&amp;TEXT(($D777-$C777+1)+16,"00"),"")&amp;IF($C777&gt;=18,", "&amp;$A777&amp;"-"&amp;TEXT(($D777-$C777+1)+17,"00"),"")&amp;IF($C777&gt;=19,", "&amp;$A777&amp;"-"&amp;TEXT(($D777-$C777+1)+18,"00"),"")&amp;IF($C777&gt;=20,", "&amp;$A777&amp;"-"&amp;TEXT(($D777-$C777+1)+19,"00"),"")&amp;IF($C777&gt;=21,", "&amp;$A777&amp;"-"&amp;TEXT(($D777-$C777+1)+20,"00"),"")&amp;IF($C777&gt;=22,", "&amp;$A777&amp;"-"&amp;TEXT(($D777-$C777+1)+21,"00"),"")&amp;IF($C777&gt;=23,", "&amp;$A777&amp;"-"&amp;TEXT(($D777-$C777+1)+22,"00"),"")&amp;IF($C777&gt;=24,", "&amp;$A777&amp;"-"&amp;TEXT(($D777-$C777+1)+23,"00"),"")&amp;IF($C777&gt;=25,", "&amp;$A777&amp;"-"&amp;TEXT(($D777-$C777+1)+24,"00"),""))</f>
        <v/>
      </c>
      <c r="G777">
        <f>IF($A777="","",IF($E777=1,$F777,IF($F777="",$G776,IF($G776="",$F777,$G776&amp;", "&amp;$F777))))</f>
        <v/>
      </c>
      <c r="H777">
        <f>IF($A777="","",$A777&amp;" ("&amp;$C777&amp;")")</f>
        <v/>
      </c>
      <c r="I777">
        <f>IF($A777="","",IF($E777=1,$H777,$I776&amp;", "&amp;$H777))</f>
        <v/>
      </c>
      <c r="J777">
        <f>IF($A777="","",IF($E777=1,$B777,""))</f>
        <v/>
      </c>
      <c r="K777">
        <f>IF($A777="","",IF(COUNTIF($B$2:$B777,$B777)=COUNTIF($B$2:$B$1601,$B777),$B777,""))</f>
        <v/>
      </c>
    </row>
    <row r="778">
      <c r="A778">
        <f>IF('TMP Paste'!$E778="","",'TMP Paste'!$E778)</f>
        <v/>
      </c>
      <c r="B778">
        <f>IF($A778="","",COUNTIF('TMP Paste'!$B$2:$B778,"?*"))</f>
        <v/>
      </c>
      <c r="C778">
        <f>IF($A778="","",IFERROR('TMP Paste'!$M778*1,0))</f>
        <v/>
      </c>
      <c r="D778">
        <f>IF($A778="","",SUMIF($B$2:$B778,$B778,$C$2:$C778))</f>
        <v/>
      </c>
      <c r="E778">
        <f>IF($A778="",0,IF('TMP Paste'!$B778="",0,1))</f>
        <v/>
      </c>
      <c r="F778">
        <f>IF(OR($A778="",$C778&lt;1),"",$A778&amp;"-"&amp;TEXT(($D778-$C778+1),"00")&amp;IF($C778&gt;=2,", "&amp;$A778&amp;"-"&amp;TEXT(($D778-$C778+1)+1,"00"),"")&amp;IF($C778&gt;=3,", "&amp;$A778&amp;"-"&amp;TEXT(($D778-$C778+1)+2,"00"),"")&amp;IF($C778&gt;=4,", "&amp;$A778&amp;"-"&amp;TEXT(($D778-$C778+1)+3,"00"),"")&amp;IF($C778&gt;=5,", "&amp;$A778&amp;"-"&amp;TEXT(($D778-$C778+1)+4,"00"),"")&amp;IF($C778&gt;=6,", "&amp;$A778&amp;"-"&amp;TEXT(($D778-$C778+1)+5,"00"),"")&amp;IF($C778&gt;=7,", "&amp;$A778&amp;"-"&amp;TEXT(($D778-$C778+1)+6,"00"),"")&amp;IF($C778&gt;=8,", "&amp;$A778&amp;"-"&amp;TEXT(($D778-$C778+1)+7,"00"),"")&amp;IF($C778&gt;=9,", "&amp;$A778&amp;"-"&amp;TEXT(($D778-$C778+1)+8,"00"),"")&amp;IF($C778&gt;=10,", "&amp;$A778&amp;"-"&amp;TEXT(($D778-$C778+1)+9,"00"),"")&amp;IF($C778&gt;=11,", "&amp;$A778&amp;"-"&amp;TEXT(($D778-$C778+1)+10,"00"),"")&amp;IF($C778&gt;=12,", "&amp;$A778&amp;"-"&amp;TEXT(($D778-$C778+1)+11,"00"),"")&amp;IF($C778&gt;=13,", "&amp;$A778&amp;"-"&amp;TEXT(($D778-$C778+1)+12,"00"),"")&amp;IF($C778&gt;=14,", "&amp;$A778&amp;"-"&amp;TEXT(($D778-$C778+1)+13,"00"),"")&amp;IF($C778&gt;=15,", "&amp;$A778&amp;"-"&amp;TEXT(($D778-$C778+1)+14,"00"),"")&amp;IF($C778&gt;=16,", "&amp;$A778&amp;"-"&amp;TEXT(($D778-$C778+1)+15,"00"),"")&amp;IF($C778&gt;=17,", "&amp;$A778&amp;"-"&amp;TEXT(($D778-$C778+1)+16,"00"),"")&amp;IF($C778&gt;=18,", "&amp;$A778&amp;"-"&amp;TEXT(($D778-$C778+1)+17,"00"),"")&amp;IF($C778&gt;=19,", "&amp;$A778&amp;"-"&amp;TEXT(($D778-$C778+1)+18,"00"),"")&amp;IF($C778&gt;=20,", "&amp;$A778&amp;"-"&amp;TEXT(($D778-$C778+1)+19,"00"),"")&amp;IF($C778&gt;=21,", "&amp;$A778&amp;"-"&amp;TEXT(($D778-$C778+1)+20,"00"),"")&amp;IF($C778&gt;=22,", "&amp;$A778&amp;"-"&amp;TEXT(($D778-$C778+1)+21,"00"),"")&amp;IF($C778&gt;=23,", "&amp;$A778&amp;"-"&amp;TEXT(($D778-$C778+1)+22,"00"),"")&amp;IF($C778&gt;=24,", "&amp;$A778&amp;"-"&amp;TEXT(($D778-$C778+1)+23,"00"),"")&amp;IF($C778&gt;=25,", "&amp;$A778&amp;"-"&amp;TEXT(($D778-$C778+1)+24,"00"),""))</f>
        <v/>
      </c>
      <c r="G778">
        <f>IF($A778="","",IF($E778=1,$F778,IF($F778="",$G777,IF($G777="",$F778,$G777&amp;", "&amp;$F778))))</f>
        <v/>
      </c>
      <c r="H778">
        <f>IF($A778="","",$A778&amp;" ("&amp;$C778&amp;")")</f>
        <v/>
      </c>
      <c r="I778">
        <f>IF($A778="","",IF($E778=1,$H778,$I777&amp;", "&amp;$H778))</f>
        <v/>
      </c>
      <c r="J778">
        <f>IF($A778="","",IF($E778=1,$B778,""))</f>
        <v/>
      </c>
      <c r="K778">
        <f>IF($A778="","",IF(COUNTIF($B$2:$B778,$B778)=COUNTIF($B$2:$B$1601,$B778),$B778,""))</f>
        <v/>
      </c>
    </row>
    <row r="779">
      <c r="A779">
        <f>IF('TMP Paste'!$E779="","",'TMP Paste'!$E779)</f>
        <v/>
      </c>
      <c r="B779">
        <f>IF($A779="","",COUNTIF('TMP Paste'!$B$2:$B779,"?*"))</f>
        <v/>
      </c>
      <c r="C779">
        <f>IF($A779="","",IFERROR('TMP Paste'!$M779*1,0))</f>
        <v/>
      </c>
      <c r="D779">
        <f>IF($A779="","",SUMIF($B$2:$B779,$B779,$C$2:$C779))</f>
        <v/>
      </c>
      <c r="E779">
        <f>IF($A779="",0,IF('TMP Paste'!$B779="",0,1))</f>
        <v/>
      </c>
      <c r="F779">
        <f>IF(OR($A779="",$C779&lt;1),"",$A779&amp;"-"&amp;TEXT(($D779-$C779+1),"00")&amp;IF($C779&gt;=2,", "&amp;$A779&amp;"-"&amp;TEXT(($D779-$C779+1)+1,"00"),"")&amp;IF($C779&gt;=3,", "&amp;$A779&amp;"-"&amp;TEXT(($D779-$C779+1)+2,"00"),"")&amp;IF($C779&gt;=4,", "&amp;$A779&amp;"-"&amp;TEXT(($D779-$C779+1)+3,"00"),"")&amp;IF($C779&gt;=5,", "&amp;$A779&amp;"-"&amp;TEXT(($D779-$C779+1)+4,"00"),"")&amp;IF($C779&gt;=6,", "&amp;$A779&amp;"-"&amp;TEXT(($D779-$C779+1)+5,"00"),"")&amp;IF($C779&gt;=7,", "&amp;$A779&amp;"-"&amp;TEXT(($D779-$C779+1)+6,"00"),"")&amp;IF($C779&gt;=8,", "&amp;$A779&amp;"-"&amp;TEXT(($D779-$C779+1)+7,"00"),"")&amp;IF($C779&gt;=9,", "&amp;$A779&amp;"-"&amp;TEXT(($D779-$C779+1)+8,"00"),"")&amp;IF($C779&gt;=10,", "&amp;$A779&amp;"-"&amp;TEXT(($D779-$C779+1)+9,"00"),"")&amp;IF($C779&gt;=11,", "&amp;$A779&amp;"-"&amp;TEXT(($D779-$C779+1)+10,"00"),"")&amp;IF($C779&gt;=12,", "&amp;$A779&amp;"-"&amp;TEXT(($D779-$C779+1)+11,"00"),"")&amp;IF($C779&gt;=13,", "&amp;$A779&amp;"-"&amp;TEXT(($D779-$C779+1)+12,"00"),"")&amp;IF($C779&gt;=14,", "&amp;$A779&amp;"-"&amp;TEXT(($D779-$C779+1)+13,"00"),"")&amp;IF($C779&gt;=15,", "&amp;$A779&amp;"-"&amp;TEXT(($D779-$C779+1)+14,"00"),"")&amp;IF($C779&gt;=16,", "&amp;$A779&amp;"-"&amp;TEXT(($D779-$C779+1)+15,"00"),"")&amp;IF($C779&gt;=17,", "&amp;$A779&amp;"-"&amp;TEXT(($D779-$C779+1)+16,"00"),"")&amp;IF($C779&gt;=18,", "&amp;$A779&amp;"-"&amp;TEXT(($D779-$C779+1)+17,"00"),"")&amp;IF($C779&gt;=19,", "&amp;$A779&amp;"-"&amp;TEXT(($D779-$C779+1)+18,"00"),"")&amp;IF($C779&gt;=20,", "&amp;$A779&amp;"-"&amp;TEXT(($D779-$C779+1)+19,"00"),"")&amp;IF($C779&gt;=21,", "&amp;$A779&amp;"-"&amp;TEXT(($D779-$C779+1)+20,"00"),"")&amp;IF($C779&gt;=22,", "&amp;$A779&amp;"-"&amp;TEXT(($D779-$C779+1)+21,"00"),"")&amp;IF($C779&gt;=23,", "&amp;$A779&amp;"-"&amp;TEXT(($D779-$C779+1)+22,"00"),"")&amp;IF($C779&gt;=24,", "&amp;$A779&amp;"-"&amp;TEXT(($D779-$C779+1)+23,"00"),"")&amp;IF($C779&gt;=25,", "&amp;$A779&amp;"-"&amp;TEXT(($D779-$C779+1)+24,"00"),""))</f>
        <v/>
      </c>
      <c r="G779">
        <f>IF($A779="","",IF($E779=1,$F779,IF($F779="",$G778,IF($G778="",$F779,$G778&amp;", "&amp;$F779))))</f>
        <v/>
      </c>
      <c r="H779">
        <f>IF($A779="","",$A779&amp;" ("&amp;$C779&amp;")")</f>
        <v/>
      </c>
      <c r="I779">
        <f>IF($A779="","",IF($E779=1,$H779,$I778&amp;", "&amp;$H779))</f>
        <v/>
      </c>
      <c r="J779">
        <f>IF($A779="","",IF($E779=1,$B779,""))</f>
        <v/>
      </c>
      <c r="K779">
        <f>IF($A779="","",IF(COUNTIF($B$2:$B779,$B779)=COUNTIF($B$2:$B$1601,$B779),$B779,""))</f>
        <v/>
      </c>
    </row>
    <row r="780">
      <c r="A780">
        <f>IF('TMP Paste'!$E780="","",'TMP Paste'!$E780)</f>
        <v/>
      </c>
      <c r="B780">
        <f>IF($A780="","",COUNTIF('TMP Paste'!$B$2:$B780,"?*"))</f>
        <v/>
      </c>
      <c r="C780">
        <f>IF($A780="","",IFERROR('TMP Paste'!$M780*1,0))</f>
        <v/>
      </c>
      <c r="D780">
        <f>IF($A780="","",SUMIF($B$2:$B780,$B780,$C$2:$C780))</f>
        <v/>
      </c>
      <c r="E780">
        <f>IF($A780="",0,IF('TMP Paste'!$B780="",0,1))</f>
        <v/>
      </c>
      <c r="F780">
        <f>IF(OR($A780="",$C780&lt;1),"",$A780&amp;"-"&amp;TEXT(($D780-$C780+1),"00")&amp;IF($C780&gt;=2,", "&amp;$A780&amp;"-"&amp;TEXT(($D780-$C780+1)+1,"00"),"")&amp;IF($C780&gt;=3,", "&amp;$A780&amp;"-"&amp;TEXT(($D780-$C780+1)+2,"00"),"")&amp;IF($C780&gt;=4,", "&amp;$A780&amp;"-"&amp;TEXT(($D780-$C780+1)+3,"00"),"")&amp;IF($C780&gt;=5,", "&amp;$A780&amp;"-"&amp;TEXT(($D780-$C780+1)+4,"00"),"")&amp;IF($C780&gt;=6,", "&amp;$A780&amp;"-"&amp;TEXT(($D780-$C780+1)+5,"00"),"")&amp;IF($C780&gt;=7,", "&amp;$A780&amp;"-"&amp;TEXT(($D780-$C780+1)+6,"00"),"")&amp;IF($C780&gt;=8,", "&amp;$A780&amp;"-"&amp;TEXT(($D780-$C780+1)+7,"00"),"")&amp;IF($C780&gt;=9,", "&amp;$A780&amp;"-"&amp;TEXT(($D780-$C780+1)+8,"00"),"")&amp;IF($C780&gt;=10,", "&amp;$A780&amp;"-"&amp;TEXT(($D780-$C780+1)+9,"00"),"")&amp;IF($C780&gt;=11,", "&amp;$A780&amp;"-"&amp;TEXT(($D780-$C780+1)+10,"00"),"")&amp;IF($C780&gt;=12,", "&amp;$A780&amp;"-"&amp;TEXT(($D780-$C780+1)+11,"00"),"")&amp;IF($C780&gt;=13,", "&amp;$A780&amp;"-"&amp;TEXT(($D780-$C780+1)+12,"00"),"")&amp;IF($C780&gt;=14,", "&amp;$A780&amp;"-"&amp;TEXT(($D780-$C780+1)+13,"00"),"")&amp;IF($C780&gt;=15,", "&amp;$A780&amp;"-"&amp;TEXT(($D780-$C780+1)+14,"00"),"")&amp;IF($C780&gt;=16,", "&amp;$A780&amp;"-"&amp;TEXT(($D780-$C780+1)+15,"00"),"")&amp;IF($C780&gt;=17,", "&amp;$A780&amp;"-"&amp;TEXT(($D780-$C780+1)+16,"00"),"")&amp;IF($C780&gt;=18,", "&amp;$A780&amp;"-"&amp;TEXT(($D780-$C780+1)+17,"00"),"")&amp;IF($C780&gt;=19,", "&amp;$A780&amp;"-"&amp;TEXT(($D780-$C780+1)+18,"00"),"")&amp;IF($C780&gt;=20,", "&amp;$A780&amp;"-"&amp;TEXT(($D780-$C780+1)+19,"00"),"")&amp;IF($C780&gt;=21,", "&amp;$A780&amp;"-"&amp;TEXT(($D780-$C780+1)+20,"00"),"")&amp;IF($C780&gt;=22,", "&amp;$A780&amp;"-"&amp;TEXT(($D780-$C780+1)+21,"00"),"")&amp;IF($C780&gt;=23,", "&amp;$A780&amp;"-"&amp;TEXT(($D780-$C780+1)+22,"00"),"")&amp;IF($C780&gt;=24,", "&amp;$A780&amp;"-"&amp;TEXT(($D780-$C780+1)+23,"00"),"")&amp;IF($C780&gt;=25,", "&amp;$A780&amp;"-"&amp;TEXT(($D780-$C780+1)+24,"00"),""))</f>
        <v/>
      </c>
      <c r="G780">
        <f>IF($A780="","",IF($E780=1,$F780,IF($F780="",$G779,IF($G779="",$F780,$G779&amp;", "&amp;$F780))))</f>
        <v/>
      </c>
      <c r="H780">
        <f>IF($A780="","",$A780&amp;" ("&amp;$C780&amp;")")</f>
        <v/>
      </c>
      <c r="I780">
        <f>IF($A780="","",IF($E780=1,$H780,$I779&amp;", "&amp;$H780))</f>
        <v/>
      </c>
      <c r="J780">
        <f>IF($A780="","",IF($E780=1,$B780,""))</f>
        <v/>
      </c>
      <c r="K780">
        <f>IF($A780="","",IF(COUNTIF($B$2:$B780,$B780)=COUNTIF($B$2:$B$1601,$B780),$B780,""))</f>
        <v/>
      </c>
    </row>
    <row r="781">
      <c r="A781">
        <f>IF('TMP Paste'!$E781="","",'TMP Paste'!$E781)</f>
        <v/>
      </c>
      <c r="B781">
        <f>IF($A781="","",COUNTIF('TMP Paste'!$B$2:$B781,"?*"))</f>
        <v/>
      </c>
      <c r="C781">
        <f>IF($A781="","",IFERROR('TMP Paste'!$M781*1,0))</f>
        <v/>
      </c>
      <c r="D781">
        <f>IF($A781="","",SUMIF($B$2:$B781,$B781,$C$2:$C781))</f>
        <v/>
      </c>
      <c r="E781">
        <f>IF($A781="",0,IF('TMP Paste'!$B781="",0,1))</f>
        <v/>
      </c>
      <c r="F781">
        <f>IF(OR($A781="",$C781&lt;1),"",$A781&amp;"-"&amp;TEXT(($D781-$C781+1),"00")&amp;IF($C781&gt;=2,", "&amp;$A781&amp;"-"&amp;TEXT(($D781-$C781+1)+1,"00"),"")&amp;IF($C781&gt;=3,", "&amp;$A781&amp;"-"&amp;TEXT(($D781-$C781+1)+2,"00"),"")&amp;IF($C781&gt;=4,", "&amp;$A781&amp;"-"&amp;TEXT(($D781-$C781+1)+3,"00"),"")&amp;IF($C781&gt;=5,", "&amp;$A781&amp;"-"&amp;TEXT(($D781-$C781+1)+4,"00"),"")&amp;IF($C781&gt;=6,", "&amp;$A781&amp;"-"&amp;TEXT(($D781-$C781+1)+5,"00"),"")&amp;IF($C781&gt;=7,", "&amp;$A781&amp;"-"&amp;TEXT(($D781-$C781+1)+6,"00"),"")&amp;IF($C781&gt;=8,", "&amp;$A781&amp;"-"&amp;TEXT(($D781-$C781+1)+7,"00"),"")&amp;IF($C781&gt;=9,", "&amp;$A781&amp;"-"&amp;TEXT(($D781-$C781+1)+8,"00"),"")&amp;IF($C781&gt;=10,", "&amp;$A781&amp;"-"&amp;TEXT(($D781-$C781+1)+9,"00"),"")&amp;IF($C781&gt;=11,", "&amp;$A781&amp;"-"&amp;TEXT(($D781-$C781+1)+10,"00"),"")&amp;IF($C781&gt;=12,", "&amp;$A781&amp;"-"&amp;TEXT(($D781-$C781+1)+11,"00"),"")&amp;IF($C781&gt;=13,", "&amp;$A781&amp;"-"&amp;TEXT(($D781-$C781+1)+12,"00"),"")&amp;IF($C781&gt;=14,", "&amp;$A781&amp;"-"&amp;TEXT(($D781-$C781+1)+13,"00"),"")&amp;IF($C781&gt;=15,", "&amp;$A781&amp;"-"&amp;TEXT(($D781-$C781+1)+14,"00"),"")&amp;IF($C781&gt;=16,", "&amp;$A781&amp;"-"&amp;TEXT(($D781-$C781+1)+15,"00"),"")&amp;IF($C781&gt;=17,", "&amp;$A781&amp;"-"&amp;TEXT(($D781-$C781+1)+16,"00"),"")&amp;IF($C781&gt;=18,", "&amp;$A781&amp;"-"&amp;TEXT(($D781-$C781+1)+17,"00"),"")&amp;IF($C781&gt;=19,", "&amp;$A781&amp;"-"&amp;TEXT(($D781-$C781+1)+18,"00"),"")&amp;IF($C781&gt;=20,", "&amp;$A781&amp;"-"&amp;TEXT(($D781-$C781+1)+19,"00"),"")&amp;IF($C781&gt;=21,", "&amp;$A781&amp;"-"&amp;TEXT(($D781-$C781+1)+20,"00"),"")&amp;IF($C781&gt;=22,", "&amp;$A781&amp;"-"&amp;TEXT(($D781-$C781+1)+21,"00"),"")&amp;IF($C781&gt;=23,", "&amp;$A781&amp;"-"&amp;TEXT(($D781-$C781+1)+22,"00"),"")&amp;IF($C781&gt;=24,", "&amp;$A781&amp;"-"&amp;TEXT(($D781-$C781+1)+23,"00"),"")&amp;IF($C781&gt;=25,", "&amp;$A781&amp;"-"&amp;TEXT(($D781-$C781+1)+24,"00"),""))</f>
        <v/>
      </c>
      <c r="G781">
        <f>IF($A781="","",IF($E781=1,$F781,IF($F781="",$G780,IF($G780="",$F781,$G780&amp;", "&amp;$F781))))</f>
        <v/>
      </c>
      <c r="H781">
        <f>IF($A781="","",$A781&amp;" ("&amp;$C781&amp;")")</f>
        <v/>
      </c>
      <c r="I781">
        <f>IF($A781="","",IF($E781=1,$H781,$I780&amp;", "&amp;$H781))</f>
        <v/>
      </c>
      <c r="J781">
        <f>IF($A781="","",IF($E781=1,$B781,""))</f>
        <v/>
      </c>
      <c r="K781">
        <f>IF($A781="","",IF(COUNTIF($B$2:$B781,$B781)=COUNTIF($B$2:$B$1601,$B781),$B781,""))</f>
        <v/>
      </c>
    </row>
    <row r="782">
      <c r="A782">
        <f>IF('TMP Paste'!$E782="","",'TMP Paste'!$E782)</f>
        <v/>
      </c>
      <c r="B782">
        <f>IF($A782="","",COUNTIF('TMP Paste'!$B$2:$B782,"?*"))</f>
        <v/>
      </c>
      <c r="C782">
        <f>IF($A782="","",IFERROR('TMP Paste'!$M782*1,0))</f>
        <v/>
      </c>
      <c r="D782">
        <f>IF($A782="","",SUMIF($B$2:$B782,$B782,$C$2:$C782))</f>
        <v/>
      </c>
      <c r="E782">
        <f>IF($A782="",0,IF('TMP Paste'!$B782="",0,1))</f>
        <v/>
      </c>
      <c r="F782">
        <f>IF(OR($A782="",$C782&lt;1),"",$A782&amp;"-"&amp;TEXT(($D782-$C782+1),"00")&amp;IF($C782&gt;=2,", "&amp;$A782&amp;"-"&amp;TEXT(($D782-$C782+1)+1,"00"),"")&amp;IF($C782&gt;=3,", "&amp;$A782&amp;"-"&amp;TEXT(($D782-$C782+1)+2,"00"),"")&amp;IF($C782&gt;=4,", "&amp;$A782&amp;"-"&amp;TEXT(($D782-$C782+1)+3,"00"),"")&amp;IF($C782&gt;=5,", "&amp;$A782&amp;"-"&amp;TEXT(($D782-$C782+1)+4,"00"),"")&amp;IF($C782&gt;=6,", "&amp;$A782&amp;"-"&amp;TEXT(($D782-$C782+1)+5,"00"),"")&amp;IF($C782&gt;=7,", "&amp;$A782&amp;"-"&amp;TEXT(($D782-$C782+1)+6,"00"),"")&amp;IF($C782&gt;=8,", "&amp;$A782&amp;"-"&amp;TEXT(($D782-$C782+1)+7,"00"),"")&amp;IF($C782&gt;=9,", "&amp;$A782&amp;"-"&amp;TEXT(($D782-$C782+1)+8,"00"),"")&amp;IF($C782&gt;=10,", "&amp;$A782&amp;"-"&amp;TEXT(($D782-$C782+1)+9,"00"),"")&amp;IF($C782&gt;=11,", "&amp;$A782&amp;"-"&amp;TEXT(($D782-$C782+1)+10,"00"),"")&amp;IF($C782&gt;=12,", "&amp;$A782&amp;"-"&amp;TEXT(($D782-$C782+1)+11,"00"),"")&amp;IF($C782&gt;=13,", "&amp;$A782&amp;"-"&amp;TEXT(($D782-$C782+1)+12,"00"),"")&amp;IF($C782&gt;=14,", "&amp;$A782&amp;"-"&amp;TEXT(($D782-$C782+1)+13,"00"),"")&amp;IF($C782&gt;=15,", "&amp;$A782&amp;"-"&amp;TEXT(($D782-$C782+1)+14,"00"),"")&amp;IF($C782&gt;=16,", "&amp;$A782&amp;"-"&amp;TEXT(($D782-$C782+1)+15,"00"),"")&amp;IF($C782&gt;=17,", "&amp;$A782&amp;"-"&amp;TEXT(($D782-$C782+1)+16,"00"),"")&amp;IF($C782&gt;=18,", "&amp;$A782&amp;"-"&amp;TEXT(($D782-$C782+1)+17,"00"),"")&amp;IF($C782&gt;=19,", "&amp;$A782&amp;"-"&amp;TEXT(($D782-$C782+1)+18,"00"),"")&amp;IF($C782&gt;=20,", "&amp;$A782&amp;"-"&amp;TEXT(($D782-$C782+1)+19,"00"),"")&amp;IF($C782&gt;=21,", "&amp;$A782&amp;"-"&amp;TEXT(($D782-$C782+1)+20,"00"),"")&amp;IF($C782&gt;=22,", "&amp;$A782&amp;"-"&amp;TEXT(($D782-$C782+1)+21,"00"),"")&amp;IF($C782&gt;=23,", "&amp;$A782&amp;"-"&amp;TEXT(($D782-$C782+1)+22,"00"),"")&amp;IF($C782&gt;=24,", "&amp;$A782&amp;"-"&amp;TEXT(($D782-$C782+1)+23,"00"),"")&amp;IF($C782&gt;=25,", "&amp;$A782&amp;"-"&amp;TEXT(($D782-$C782+1)+24,"00"),""))</f>
        <v/>
      </c>
      <c r="G782">
        <f>IF($A782="","",IF($E782=1,$F782,IF($F782="",$G781,IF($G781="",$F782,$G781&amp;", "&amp;$F782))))</f>
        <v/>
      </c>
      <c r="H782">
        <f>IF($A782="","",$A782&amp;" ("&amp;$C782&amp;")")</f>
        <v/>
      </c>
      <c r="I782">
        <f>IF($A782="","",IF($E782=1,$H782,$I781&amp;", "&amp;$H782))</f>
        <v/>
      </c>
      <c r="J782">
        <f>IF($A782="","",IF($E782=1,$B782,""))</f>
        <v/>
      </c>
      <c r="K782">
        <f>IF($A782="","",IF(COUNTIF($B$2:$B782,$B782)=COUNTIF($B$2:$B$1601,$B782),$B782,""))</f>
        <v/>
      </c>
    </row>
    <row r="783">
      <c r="A783">
        <f>IF('TMP Paste'!$E783="","",'TMP Paste'!$E783)</f>
        <v/>
      </c>
      <c r="B783">
        <f>IF($A783="","",COUNTIF('TMP Paste'!$B$2:$B783,"?*"))</f>
        <v/>
      </c>
      <c r="C783">
        <f>IF($A783="","",IFERROR('TMP Paste'!$M783*1,0))</f>
        <v/>
      </c>
      <c r="D783">
        <f>IF($A783="","",SUMIF($B$2:$B783,$B783,$C$2:$C783))</f>
        <v/>
      </c>
      <c r="E783">
        <f>IF($A783="",0,IF('TMP Paste'!$B783="",0,1))</f>
        <v/>
      </c>
      <c r="F783">
        <f>IF(OR($A783="",$C783&lt;1),"",$A783&amp;"-"&amp;TEXT(($D783-$C783+1),"00")&amp;IF($C783&gt;=2,", "&amp;$A783&amp;"-"&amp;TEXT(($D783-$C783+1)+1,"00"),"")&amp;IF($C783&gt;=3,", "&amp;$A783&amp;"-"&amp;TEXT(($D783-$C783+1)+2,"00"),"")&amp;IF($C783&gt;=4,", "&amp;$A783&amp;"-"&amp;TEXT(($D783-$C783+1)+3,"00"),"")&amp;IF($C783&gt;=5,", "&amp;$A783&amp;"-"&amp;TEXT(($D783-$C783+1)+4,"00"),"")&amp;IF($C783&gt;=6,", "&amp;$A783&amp;"-"&amp;TEXT(($D783-$C783+1)+5,"00"),"")&amp;IF($C783&gt;=7,", "&amp;$A783&amp;"-"&amp;TEXT(($D783-$C783+1)+6,"00"),"")&amp;IF($C783&gt;=8,", "&amp;$A783&amp;"-"&amp;TEXT(($D783-$C783+1)+7,"00"),"")&amp;IF($C783&gt;=9,", "&amp;$A783&amp;"-"&amp;TEXT(($D783-$C783+1)+8,"00"),"")&amp;IF($C783&gt;=10,", "&amp;$A783&amp;"-"&amp;TEXT(($D783-$C783+1)+9,"00"),"")&amp;IF($C783&gt;=11,", "&amp;$A783&amp;"-"&amp;TEXT(($D783-$C783+1)+10,"00"),"")&amp;IF($C783&gt;=12,", "&amp;$A783&amp;"-"&amp;TEXT(($D783-$C783+1)+11,"00"),"")&amp;IF($C783&gt;=13,", "&amp;$A783&amp;"-"&amp;TEXT(($D783-$C783+1)+12,"00"),"")&amp;IF($C783&gt;=14,", "&amp;$A783&amp;"-"&amp;TEXT(($D783-$C783+1)+13,"00"),"")&amp;IF($C783&gt;=15,", "&amp;$A783&amp;"-"&amp;TEXT(($D783-$C783+1)+14,"00"),"")&amp;IF($C783&gt;=16,", "&amp;$A783&amp;"-"&amp;TEXT(($D783-$C783+1)+15,"00"),"")&amp;IF($C783&gt;=17,", "&amp;$A783&amp;"-"&amp;TEXT(($D783-$C783+1)+16,"00"),"")&amp;IF($C783&gt;=18,", "&amp;$A783&amp;"-"&amp;TEXT(($D783-$C783+1)+17,"00"),"")&amp;IF($C783&gt;=19,", "&amp;$A783&amp;"-"&amp;TEXT(($D783-$C783+1)+18,"00"),"")&amp;IF($C783&gt;=20,", "&amp;$A783&amp;"-"&amp;TEXT(($D783-$C783+1)+19,"00"),"")&amp;IF($C783&gt;=21,", "&amp;$A783&amp;"-"&amp;TEXT(($D783-$C783+1)+20,"00"),"")&amp;IF($C783&gt;=22,", "&amp;$A783&amp;"-"&amp;TEXT(($D783-$C783+1)+21,"00"),"")&amp;IF($C783&gt;=23,", "&amp;$A783&amp;"-"&amp;TEXT(($D783-$C783+1)+22,"00"),"")&amp;IF($C783&gt;=24,", "&amp;$A783&amp;"-"&amp;TEXT(($D783-$C783+1)+23,"00"),"")&amp;IF($C783&gt;=25,", "&amp;$A783&amp;"-"&amp;TEXT(($D783-$C783+1)+24,"00"),""))</f>
        <v/>
      </c>
      <c r="G783">
        <f>IF($A783="","",IF($E783=1,$F783,IF($F783="",$G782,IF($G782="",$F783,$G782&amp;", "&amp;$F783))))</f>
        <v/>
      </c>
      <c r="H783">
        <f>IF($A783="","",$A783&amp;" ("&amp;$C783&amp;")")</f>
        <v/>
      </c>
      <c r="I783">
        <f>IF($A783="","",IF($E783=1,$H783,$I782&amp;", "&amp;$H783))</f>
        <v/>
      </c>
      <c r="J783">
        <f>IF($A783="","",IF($E783=1,$B783,""))</f>
        <v/>
      </c>
      <c r="K783">
        <f>IF($A783="","",IF(COUNTIF($B$2:$B783,$B783)=COUNTIF($B$2:$B$1601,$B783),$B783,""))</f>
        <v/>
      </c>
    </row>
    <row r="784">
      <c r="A784">
        <f>IF('TMP Paste'!$E784="","",'TMP Paste'!$E784)</f>
        <v/>
      </c>
      <c r="B784">
        <f>IF($A784="","",COUNTIF('TMP Paste'!$B$2:$B784,"?*"))</f>
        <v/>
      </c>
      <c r="C784">
        <f>IF($A784="","",IFERROR('TMP Paste'!$M784*1,0))</f>
        <v/>
      </c>
      <c r="D784">
        <f>IF($A784="","",SUMIF($B$2:$B784,$B784,$C$2:$C784))</f>
        <v/>
      </c>
      <c r="E784">
        <f>IF($A784="",0,IF('TMP Paste'!$B784="",0,1))</f>
        <v/>
      </c>
      <c r="F784">
        <f>IF(OR($A784="",$C784&lt;1),"",$A784&amp;"-"&amp;TEXT(($D784-$C784+1),"00")&amp;IF($C784&gt;=2,", "&amp;$A784&amp;"-"&amp;TEXT(($D784-$C784+1)+1,"00"),"")&amp;IF($C784&gt;=3,", "&amp;$A784&amp;"-"&amp;TEXT(($D784-$C784+1)+2,"00"),"")&amp;IF($C784&gt;=4,", "&amp;$A784&amp;"-"&amp;TEXT(($D784-$C784+1)+3,"00"),"")&amp;IF($C784&gt;=5,", "&amp;$A784&amp;"-"&amp;TEXT(($D784-$C784+1)+4,"00"),"")&amp;IF($C784&gt;=6,", "&amp;$A784&amp;"-"&amp;TEXT(($D784-$C784+1)+5,"00"),"")&amp;IF($C784&gt;=7,", "&amp;$A784&amp;"-"&amp;TEXT(($D784-$C784+1)+6,"00"),"")&amp;IF($C784&gt;=8,", "&amp;$A784&amp;"-"&amp;TEXT(($D784-$C784+1)+7,"00"),"")&amp;IF($C784&gt;=9,", "&amp;$A784&amp;"-"&amp;TEXT(($D784-$C784+1)+8,"00"),"")&amp;IF($C784&gt;=10,", "&amp;$A784&amp;"-"&amp;TEXT(($D784-$C784+1)+9,"00"),"")&amp;IF($C784&gt;=11,", "&amp;$A784&amp;"-"&amp;TEXT(($D784-$C784+1)+10,"00"),"")&amp;IF($C784&gt;=12,", "&amp;$A784&amp;"-"&amp;TEXT(($D784-$C784+1)+11,"00"),"")&amp;IF($C784&gt;=13,", "&amp;$A784&amp;"-"&amp;TEXT(($D784-$C784+1)+12,"00"),"")&amp;IF($C784&gt;=14,", "&amp;$A784&amp;"-"&amp;TEXT(($D784-$C784+1)+13,"00"),"")&amp;IF($C784&gt;=15,", "&amp;$A784&amp;"-"&amp;TEXT(($D784-$C784+1)+14,"00"),"")&amp;IF($C784&gt;=16,", "&amp;$A784&amp;"-"&amp;TEXT(($D784-$C784+1)+15,"00"),"")&amp;IF($C784&gt;=17,", "&amp;$A784&amp;"-"&amp;TEXT(($D784-$C784+1)+16,"00"),"")&amp;IF($C784&gt;=18,", "&amp;$A784&amp;"-"&amp;TEXT(($D784-$C784+1)+17,"00"),"")&amp;IF($C784&gt;=19,", "&amp;$A784&amp;"-"&amp;TEXT(($D784-$C784+1)+18,"00"),"")&amp;IF($C784&gt;=20,", "&amp;$A784&amp;"-"&amp;TEXT(($D784-$C784+1)+19,"00"),"")&amp;IF($C784&gt;=21,", "&amp;$A784&amp;"-"&amp;TEXT(($D784-$C784+1)+20,"00"),"")&amp;IF($C784&gt;=22,", "&amp;$A784&amp;"-"&amp;TEXT(($D784-$C784+1)+21,"00"),"")&amp;IF($C784&gt;=23,", "&amp;$A784&amp;"-"&amp;TEXT(($D784-$C784+1)+22,"00"),"")&amp;IF($C784&gt;=24,", "&amp;$A784&amp;"-"&amp;TEXT(($D784-$C784+1)+23,"00"),"")&amp;IF($C784&gt;=25,", "&amp;$A784&amp;"-"&amp;TEXT(($D784-$C784+1)+24,"00"),""))</f>
        <v/>
      </c>
      <c r="G784">
        <f>IF($A784="","",IF($E784=1,$F784,IF($F784="",$G783,IF($G783="",$F784,$G783&amp;", "&amp;$F784))))</f>
        <v/>
      </c>
      <c r="H784">
        <f>IF($A784="","",$A784&amp;" ("&amp;$C784&amp;")")</f>
        <v/>
      </c>
      <c r="I784">
        <f>IF($A784="","",IF($E784=1,$H784,$I783&amp;", "&amp;$H784))</f>
        <v/>
      </c>
      <c r="J784">
        <f>IF($A784="","",IF($E784=1,$B784,""))</f>
        <v/>
      </c>
      <c r="K784">
        <f>IF($A784="","",IF(COUNTIF($B$2:$B784,$B784)=COUNTIF($B$2:$B$1601,$B784),$B784,""))</f>
        <v/>
      </c>
    </row>
    <row r="785">
      <c r="A785">
        <f>IF('TMP Paste'!$E785="","",'TMP Paste'!$E785)</f>
        <v/>
      </c>
      <c r="B785">
        <f>IF($A785="","",COUNTIF('TMP Paste'!$B$2:$B785,"?*"))</f>
        <v/>
      </c>
      <c r="C785">
        <f>IF($A785="","",IFERROR('TMP Paste'!$M785*1,0))</f>
        <v/>
      </c>
      <c r="D785">
        <f>IF($A785="","",SUMIF($B$2:$B785,$B785,$C$2:$C785))</f>
        <v/>
      </c>
      <c r="E785">
        <f>IF($A785="",0,IF('TMP Paste'!$B785="",0,1))</f>
        <v/>
      </c>
      <c r="F785">
        <f>IF(OR($A785="",$C785&lt;1),"",$A785&amp;"-"&amp;TEXT(($D785-$C785+1),"00")&amp;IF($C785&gt;=2,", "&amp;$A785&amp;"-"&amp;TEXT(($D785-$C785+1)+1,"00"),"")&amp;IF($C785&gt;=3,", "&amp;$A785&amp;"-"&amp;TEXT(($D785-$C785+1)+2,"00"),"")&amp;IF($C785&gt;=4,", "&amp;$A785&amp;"-"&amp;TEXT(($D785-$C785+1)+3,"00"),"")&amp;IF($C785&gt;=5,", "&amp;$A785&amp;"-"&amp;TEXT(($D785-$C785+1)+4,"00"),"")&amp;IF($C785&gt;=6,", "&amp;$A785&amp;"-"&amp;TEXT(($D785-$C785+1)+5,"00"),"")&amp;IF($C785&gt;=7,", "&amp;$A785&amp;"-"&amp;TEXT(($D785-$C785+1)+6,"00"),"")&amp;IF($C785&gt;=8,", "&amp;$A785&amp;"-"&amp;TEXT(($D785-$C785+1)+7,"00"),"")&amp;IF($C785&gt;=9,", "&amp;$A785&amp;"-"&amp;TEXT(($D785-$C785+1)+8,"00"),"")&amp;IF($C785&gt;=10,", "&amp;$A785&amp;"-"&amp;TEXT(($D785-$C785+1)+9,"00"),"")&amp;IF($C785&gt;=11,", "&amp;$A785&amp;"-"&amp;TEXT(($D785-$C785+1)+10,"00"),"")&amp;IF($C785&gt;=12,", "&amp;$A785&amp;"-"&amp;TEXT(($D785-$C785+1)+11,"00"),"")&amp;IF($C785&gt;=13,", "&amp;$A785&amp;"-"&amp;TEXT(($D785-$C785+1)+12,"00"),"")&amp;IF($C785&gt;=14,", "&amp;$A785&amp;"-"&amp;TEXT(($D785-$C785+1)+13,"00"),"")&amp;IF($C785&gt;=15,", "&amp;$A785&amp;"-"&amp;TEXT(($D785-$C785+1)+14,"00"),"")&amp;IF($C785&gt;=16,", "&amp;$A785&amp;"-"&amp;TEXT(($D785-$C785+1)+15,"00"),"")&amp;IF($C785&gt;=17,", "&amp;$A785&amp;"-"&amp;TEXT(($D785-$C785+1)+16,"00"),"")&amp;IF($C785&gt;=18,", "&amp;$A785&amp;"-"&amp;TEXT(($D785-$C785+1)+17,"00"),"")&amp;IF($C785&gt;=19,", "&amp;$A785&amp;"-"&amp;TEXT(($D785-$C785+1)+18,"00"),"")&amp;IF($C785&gt;=20,", "&amp;$A785&amp;"-"&amp;TEXT(($D785-$C785+1)+19,"00"),"")&amp;IF($C785&gt;=21,", "&amp;$A785&amp;"-"&amp;TEXT(($D785-$C785+1)+20,"00"),"")&amp;IF($C785&gt;=22,", "&amp;$A785&amp;"-"&amp;TEXT(($D785-$C785+1)+21,"00"),"")&amp;IF($C785&gt;=23,", "&amp;$A785&amp;"-"&amp;TEXT(($D785-$C785+1)+22,"00"),"")&amp;IF($C785&gt;=24,", "&amp;$A785&amp;"-"&amp;TEXT(($D785-$C785+1)+23,"00"),"")&amp;IF($C785&gt;=25,", "&amp;$A785&amp;"-"&amp;TEXT(($D785-$C785+1)+24,"00"),""))</f>
        <v/>
      </c>
      <c r="G785">
        <f>IF($A785="","",IF($E785=1,$F785,IF($F785="",$G784,IF($G784="",$F785,$G784&amp;", "&amp;$F785))))</f>
        <v/>
      </c>
      <c r="H785">
        <f>IF($A785="","",$A785&amp;" ("&amp;$C785&amp;")")</f>
        <v/>
      </c>
      <c r="I785">
        <f>IF($A785="","",IF($E785=1,$H785,$I784&amp;", "&amp;$H785))</f>
        <v/>
      </c>
      <c r="J785">
        <f>IF($A785="","",IF($E785=1,$B785,""))</f>
        <v/>
      </c>
      <c r="K785">
        <f>IF($A785="","",IF(COUNTIF($B$2:$B785,$B785)=COUNTIF($B$2:$B$1601,$B785),$B785,""))</f>
        <v/>
      </c>
    </row>
    <row r="786">
      <c r="A786">
        <f>IF('TMP Paste'!$E786="","",'TMP Paste'!$E786)</f>
        <v/>
      </c>
      <c r="B786">
        <f>IF($A786="","",COUNTIF('TMP Paste'!$B$2:$B786,"?*"))</f>
        <v/>
      </c>
      <c r="C786">
        <f>IF($A786="","",IFERROR('TMP Paste'!$M786*1,0))</f>
        <v/>
      </c>
      <c r="D786">
        <f>IF($A786="","",SUMIF($B$2:$B786,$B786,$C$2:$C786))</f>
        <v/>
      </c>
      <c r="E786">
        <f>IF($A786="",0,IF('TMP Paste'!$B786="",0,1))</f>
        <v/>
      </c>
      <c r="F786">
        <f>IF(OR($A786="",$C786&lt;1),"",$A786&amp;"-"&amp;TEXT(($D786-$C786+1),"00")&amp;IF($C786&gt;=2,", "&amp;$A786&amp;"-"&amp;TEXT(($D786-$C786+1)+1,"00"),"")&amp;IF($C786&gt;=3,", "&amp;$A786&amp;"-"&amp;TEXT(($D786-$C786+1)+2,"00"),"")&amp;IF($C786&gt;=4,", "&amp;$A786&amp;"-"&amp;TEXT(($D786-$C786+1)+3,"00"),"")&amp;IF($C786&gt;=5,", "&amp;$A786&amp;"-"&amp;TEXT(($D786-$C786+1)+4,"00"),"")&amp;IF($C786&gt;=6,", "&amp;$A786&amp;"-"&amp;TEXT(($D786-$C786+1)+5,"00"),"")&amp;IF($C786&gt;=7,", "&amp;$A786&amp;"-"&amp;TEXT(($D786-$C786+1)+6,"00"),"")&amp;IF($C786&gt;=8,", "&amp;$A786&amp;"-"&amp;TEXT(($D786-$C786+1)+7,"00"),"")&amp;IF($C786&gt;=9,", "&amp;$A786&amp;"-"&amp;TEXT(($D786-$C786+1)+8,"00"),"")&amp;IF($C786&gt;=10,", "&amp;$A786&amp;"-"&amp;TEXT(($D786-$C786+1)+9,"00"),"")&amp;IF($C786&gt;=11,", "&amp;$A786&amp;"-"&amp;TEXT(($D786-$C786+1)+10,"00"),"")&amp;IF($C786&gt;=12,", "&amp;$A786&amp;"-"&amp;TEXT(($D786-$C786+1)+11,"00"),"")&amp;IF($C786&gt;=13,", "&amp;$A786&amp;"-"&amp;TEXT(($D786-$C786+1)+12,"00"),"")&amp;IF($C786&gt;=14,", "&amp;$A786&amp;"-"&amp;TEXT(($D786-$C786+1)+13,"00"),"")&amp;IF($C786&gt;=15,", "&amp;$A786&amp;"-"&amp;TEXT(($D786-$C786+1)+14,"00"),"")&amp;IF($C786&gt;=16,", "&amp;$A786&amp;"-"&amp;TEXT(($D786-$C786+1)+15,"00"),"")&amp;IF($C786&gt;=17,", "&amp;$A786&amp;"-"&amp;TEXT(($D786-$C786+1)+16,"00"),"")&amp;IF($C786&gt;=18,", "&amp;$A786&amp;"-"&amp;TEXT(($D786-$C786+1)+17,"00"),"")&amp;IF($C786&gt;=19,", "&amp;$A786&amp;"-"&amp;TEXT(($D786-$C786+1)+18,"00"),"")&amp;IF($C786&gt;=20,", "&amp;$A786&amp;"-"&amp;TEXT(($D786-$C786+1)+19,"00"),"")&amp;IF($C786&gt;=21,", "&amp;$A786&amp;"-"&amp;TEXT(($D786-$C786+1)+20,"00"),"")&amp;IF($C786&gt;=22,", "&amp;$A786&amp;"-"&amp;TEXT(($D786-$C786+1)+21,"00"),"")&amp;IF($C786&gt;=23,", "&amp;$A786&amp;"-"&amp;TEXT(($D786-$C786+1)+22,"00"),"")&amp;IF($C786&gt;=24,", "&amp;$A786&amp;"-"&amp;TEXT(($D786-$C786+1)+23,"00"),"")&amp;IF($C786&gt;=25,", "&amp;$A786&amp;"-"&amp;TEXT(($D786-$C786+1)+24,"00"),""))</f>
        <v/>
      </c>
      <c r="G786">
        <f>IF($A786="","",IF($E786=1,$F786,IF($F786="",$G785,IF($G785="",$F786,$G785&amp;", "&amp;$F786))))</f>
        <v/>
      </c>
      <c r="H786">
        <f>IF($A786="","",$A786&amp;" ("&amp;$C786&amp;")")</f>
        <v/>
      </c>
      <c r="I786">
        <f>IF($A786="","",IF($E786=1,$H786,$I785&amp;", "&amp;$H786))</f>
        <v/>
      </c>
      <c r="J786">
        <f>IF($A786="","",IF($E786=1,$B786,""))</f>
        <v/>
      </c>
      <c r="K786">
        <f>IF($A786="","",IF(COUNTIF($B$2:$B786,$B786)=COUNTIF($B$2:$B$1601,$B786),$B786,""))</f>
        <v/>
      </c>
    </row>
    <row r="787">
      <c r="A787">
        <f>IF('TMP Paste'!$E787="","",'TMP Paste'!$E787)</f>
        <v/>
      </c>
      <c r="B787">
        <f>IF($A787="","",COUNTIF('TMP Paste'!$B$2:$B787,"?*"))</f>
        <v/>
      </c>
      <c r="C787">
        <f>IF($A787="","",IFERROR('TMP Paste'!$M787*1,0))</f>
        <v/>
      </c>
      <c r="D787">
        <f>IF($A787="","",SUMIF($B$2:$B787,$B787,$C$2:$C787))</f>
        <v/>
      </c>
      <c r="E787">
        <f>IF($A787="",0,IF('TMP Paste'!$B787="",0,1))</f>
        <v/>
      </c>
      <c r="F787">
        <f>IF(OR($A787="",$C787&lt;1),"",$A787&amp;"-"&amp;TEXT(($D787-$C787+1),"00")&amp;IF($C787&gt;=2,", "&amp;$A787&amp;"-"&amp;TEXT(($D787-$C787+1)+1,"00"),"")&amp;IF($C787&gt;=3,", "&amp;$A787&amp;"-"&amp;TEXT(($D787-$C787+1)+2,"00"),"")&amp;IF($C787&gt;=4,", "&amp;$A787&amp;"-"&amp;TEXT(($D787-$C787+1)+3,"00"),"")&amp;IF($C787&gt;=5,", "&amp;$A787&amp;"-"&amp;TEXT(($D787-$C787+1)+4,"00"),"")&amp;IF($C787&gt;=6,", "&amp;$A787&amp;"-"&amp;TEXT(($D787-$C787+1)+5,"00"),"")&amp;IF($C787&gt;=7,", "&amp;$A787&amp;"-"&amp;TEXT(($D787-$C787+1)+6,"00"),"")&amp;IF($C787&gt;=8,", "&amp;$A787&amp;"-"&amp;TEXT(($D787-$C787+1)+7,"00"),"")&amp;IF($C787&gt;=9,", "&amp;$A787&amp;"-"&amp;TEXT(($D787-$C787+1)+8,"00"),"")&amp;IF($C787&gt;=10,", "&amp;$A787&amp;"-"&amp;TEXT(($D787-$C787+1)+9,"00"),"")&amp;IF($C787&gt;=11,", "&amp;$A787&amp;"-"&amp;TEXT(($D787-$C787+1)+10,"00"),"")&amp;IF($C787&gt;=12,", "&amp;$A787&amp;"-"&amp;TEXT(($D787-$C787+1)+11,"00"),"")&amp;IF($C787&gt;=13,", "&amp;$A787&amp;"-"&amp;TEXT(($D787-$C787+1)+12,"00"),"")&amp;IF($C787&gt;=14,", "&amp;$A787&amp;"-"&amp;TEXT(($D787-$C787+1)+13,"00"),"")&amp;IF($C787&gt;=15,", "&amp;$A787&amp;"-"&amp;TEXT(($D787-$C787+1)+14,"00"),"")&amp;IF($C787&gt;=16,", "&amp;$A787&amp;"-"&amp;TEXT(($D787-$C787+1)+15,"00"),"")&amp;IF($C787&gt;=17,", "&amp;$A787&amp;"-"&amp;TEXT(($D787-$C787+1)+16,"00"),"")&amp;IF($C787&gt;=18,", "&amp;$A787&amp;"-"&amp;TEXT(($D787-$C787+1)+17,"00"),"")&amp;IF($C787&gt;=19,", "&amp;$A787&amp;"-"&amp;TEXT(($D787-$C787+1)+18,"00"),"")&amp;IF($C787&gt;=20,", "&amp;$A787&amp;"-"&amp;TEXT(($D787-$C787+1)+19,"00"),"")&amp;IF($C787&gt;=21,", "&amp;$A787&amp;"-"&amp;TEXT(($D787-$C787+1)+20,"00"),"")&amp;IF($C787&gt;=22,", "&amp;$A787&amp;"-"&amp;TEXT(($D787-$C787+1)+21,"00"),"")&amp;IF($C787&gt;=23,", "&amp;$A787&amp;"-"&amp;TEXT(($D787-$C787+1)+22,"00"),"")&amp;IF($C787&gt;=24,", "&amp;$A787&amp;"-"&amp;TEXT(($D787-$C787+1)+23,"00"),"")&amp;IF($C787&gt;=25,", "&amp;$A787&amp;"-"&amp;TEXT(($D787-$C787+1)+24,"00"),""))</f>
        <v/>
      </c>
      <c r="G787">
        <f>IF($A787="","",IF($E787=1,$F787,IF($F787="",$G786,IF($G786="",$F787,$G786&amp;", "&amp;$F787))))</f>
        <v/>
      </c>
      <c r="H787">
        <f>IF($A787="","",$A787&amp;" ("&amp;$C787&amp;")")</f>
        <v/>
      </c>
      <c r="I787">
        <f>IF($A787="","",IF($E787=1,$H787,$I786&amp;", "&amp;$H787))</f>
        <v/>
      </c>
      <c r="J787">
        <f>IF($A787="","",IF($E787=1,$B787,""))</f>
        <v/>
      </c>
      <c r="K787">
        <f>IF($A787="","",IF(COUNTIF($B$2:$B787,$B787)=COUNTIF($B$2:$B$1601,$B787),$B787,""))</f>
        <v/>
      </c>
    </row>
    <row r="788">
      <c r="A788">
        <f>IF('TMP Paste'!$E788="","",'TMP Paste'!$E788)</f>
        <v/>
      </c>
      <c r="B788">
        <f>IF($A788="","",COUNTIF('TMP Paste'!$B$2:$B788,"?*"))</f>
        <v/>
      </c>
      <c r="C788">
        <f>IF($A788="","",IFERROR('TMP Paste'!$M788*1,0))</f>
        <v/>
      </c>
      <c r="D788">
        <f>IF($A788="","",SUMIF($B$2:$B788,$B788,$C$2:$C788))</f>
        <v/>
      </c>
      <c r="E788">
        <f>IF($A788="",0,IF('TMP Paste'!$B788="",0,1))</f>
        <v/>
      </c>
      <c r="F788">
        <f>IF(OR($A788="",$C788&lt;1),"",$A788&amp;"-"&amp;TEXT(($D788-$C788+1),"00")&amp;IF($C788&gt;=2,", "&amp;$A788&amp;"-"&amp;TEXT(($D788-$C788+1)+1,"00"),"")&amp;IF($C788&gt;=3,", "&amp;$A788&amp;"-"&amp;TEXT(($D788-$C788+1)+2,"00"),"")&amp;IF($C788&gt;=4,", "&amp;$A788&amp;"-"&amp;TEXT(($D788-$C788+1)+3,"00"),"")&amp;IF($C788&gt;=5,", "&amp;$A788&amp;"-"&amp;TEXT(($D788-$C788+1)+4,"00"),"")&amp;IF($C788&gt;=6,", "&amp;$A788&amp;"-"&amp;TEXT(($D788-$C788+1)+5,"00"),"")&amp;IF($C788&gt;=7,", "&amp;$A788&amp;"-"&amp;TEXT(($D788-$C788+1)+6,"00"),"")&amp;IF($C788&gt;=8,", "&amp;$A788&amp;"-"&amp;TEXT(($D788-$C788+1)+7,"00"),"")&amp;IF($C788&gt;=9,", "&amp;$A788&amp;"-"&amp;TEXT(($D788-$C788+1)+8,"00"),"")&amp;IF($C788&gt;=10,", "&amp;$A788&amp;"-"&amp;TEXT(($D788-$C788+1)+9,"00"),"")&amp;IF($C788&gt;=11,", "&amp;$A788&amp;"-"&amp;TEXT(($D788-$C788+1)+10,"00"),"")&amp;IF($C788&gt;=12,", "&amp;$A788&amp;"-"&amp;TEXT(($D788-$C788+1)+11,"00"),"")&amp;IF($C788&gt;=13,", "&amp;$A788&amp;"-"&amp;TEXT(($D788-$C788+1)+12,"00"),"")&amp;IF($C788&gt;=14,", "&amp;$A788&amp;"-"&amp;TEXT(($D788-$C788+1)+13,"00"),"")&amp;IF($C788&gt;=15,", "&amp;$A788&amp;"-"&amp;TEXT(($D788-$C788+1)+14,"00"),"")&amp;IF($C788&gt;=16,", "&amp;$A788&amp;"-"&amp;TEXT(($D788-$C788+1)+15,"00"),"")&amp;IF($C788&gt;=17,", "&amp;$A788&amp;"-"&amp;TEXT(($D788-$C788+1)+16,"00"),"")&amp;IF($C788&gt;=18,", "&amp;$A788&amp;"-"&amp;TEXT(($D788-$C788+1)+17,"00"),"")&amp;IF($C788&gt;=19,", "&amp;$A788&amp;"-"&amp;TEXT(($D788-$C788+1)+18,"00"),"")&amp;IF($C788&gt;=20,", "&amp;$A788&amp;"-"&amp;TEXT(($D788-$C788+1)+19,"00"),"")&amp;IF($C788&gt;=21,", "&amp;$A788&amp;"-"&amp;TEXT(($D788-$C788+1)+20,"00"),"")&amp;IF($C788&gt;=22,", "&amp;$A788&amp;"-"&amp;TEXT(($D788-$C788+1)+21,"00"),"")&amp;IF($C788&gt;=23,", "&amp;$A788&amp;"-"&amp;TEXT(($D788-$C788+1)+22,"00"),"")&amp;IF($C788&gt;=24,", "&amp;$A788&amp;"-"&amp;TEXT(($D788-$C788+1)+23,"00"),"")&amp;IF($C788&gt;=25,", "&amp;$A788&amp;"-"&amp;TEXT(($D788-$C788+1)+24,"00"),""))</f>
        <v/>
      </c>
      <c r="G788">
        <f>IF($A788="","",IF($E788=1,$F788,IF($F788="",$G787,IF($G787="",$F788,$G787&amp;", "&amp;$F788))))</f>
        <v/>
      </c>
      <c r="H788">
        <f>IF($A788="","",$A788&amp;" ("&amp;$C788&amp;")")</f>
        <v/>
      </c>
      <c r="I788">
        <f>IF($A788="","",IF($E788=1,$H788,$I787&amp;", "&amp;$H788))</f>
        <v/>
      </c>
      <c r="J788">
        <f>IF($A788="","",IF($E788=1,$B788,""))</f>
        <v/>
      </c>
      <c r="K788">
        <f>IF($A788="","",IF(COUNTIF($B$2:$B788,$B788)=COUNTIF($B$2:$B$1601,$B788),$B788,""))</f>
        <v/>
      </c>
    </row>
    <row r="789">
      <c r="A789">
        <f>IF('TMP Paste'!$E789="","",'TMP Paste'!$E789)</f>
        <v/>
      </c>
      <c r="B789">
        <f>IF($A789="","",COUNTIF('TMP Paste'!$B$2:$B789,"?*"))</f>
        <v/>
      </c>
      <c r="C789">
        <f>IF($A789="","",IFERROR('TMP Paste'!$M789*1,0))</f>
        <v/>
      </c>
      <c r="D789">
        <f>IF($A789="","",SUMIF($B$2:$B789,$B789,$C$2:$C789))</f>
        <v/>
      </c>
      <c r="E789">
        <f>IF($A789="",0,IF('TMP Paste'!$B789="",0,1))</f>
        <v/>
      </c>
      <c r="F789">
        <f>IF(OR($A789="",$C789&lt;1),"",$A789&amp;"-"&amp;TEXT(($D789-$C789+1),"00")&amp;IF($C789&gt;=2,", "&amp;$A789&amp;"-"&amp;TEXT(($D789-$C789+1)+1,"00"),"")&amp;IF($C789&gt;=3,", "&amp;$A789&amp;"-"&amp;TEXT(($D789-$C789+1)+2,"00"),"")&amp;IF($C789&gt;=4,", "&amp;$A789&amp;"-"&amp;TEXT(($D789-$C789+1)+3,"00"),"")&amp;IF($C789&gt;=5,", "&amp;$A789&amp;"-"&amp;TEXT(($D789-$C789+1)+4,"00"),"")&amp;IF($C789&gt;=6,", "&amp;$A789&amp;"-"&amp;TEXT(($D789-$C789+1)+5,"00"),"")&amp;IF($C789&gt;=7,", "&amp;$A789&amp;"-"&amp;TEXT(($D789-$C789+1)+6,"00"),"")&amp;IF($C789&gt;=8,", "&amp;$A789&amp;"-"&amp;TEXT(($D789-$C789+1)+7,"00"),"")&amp;IF($C789&gt;=9,", "&amp;$A789&amp;"-"&amp;TEXT(($D789-$C789+1)+8,"00"),"")&amp;IF($C789&gt;=10,", "&amp;$A789&amp;"-"&amp;TEXT(($D789-$C789+1)+9,"00"),"")&amp;IF($C789&gt;=11,", "&amp;$A789&amp;"-"&amp;TEXT(($D789-$C789+1)+10,"00"),"")&amp;IF($C789&gt;=12,", "&amp;$A789&amp;"-"&amp;TEXT(($D789-$C789+1)+11,"00"),"")&amp;IF($C789&gt;=13,", "&amp;$A789&amp;"-"&amp;TEXT(($D789-$C789+1)+12,"00"),"")&amp;IF($C789&gt;=14,", "&amp;$A789&amp;"-"&amp;TEXT(($D789-$C789+1)+13,"00"),"")&amp;IF($C789&gt;=15,", "&amp;$A789&amp;"-"&amp;TEXT(($D789-$C789+1)+14,"00"),"")&amp;IF($C789&gt;=16,", "&amp;$A789&amp;"-"&amp;TEXT(($D789-$C789+1)+15,"00"),"")&amp;IF($C789&gt;=17,", "&amp;$A789&amp;"-"&amp;TEXT(($D789-$C789+1)+16,"00"),"")&amp;IF($C789&gt;=18,", "&amp;$A789&amp;"-"&amp;TEXT(($D789-$C789+1)+17,"00"),"")&amp;IF($C789&gt;=19,", "&amp;$A789&amp;"-"&amp;TEXT(($D789-$C789+1)+18,"00"),"")&amp;IF($C789&gt;=20,", "&amp;$A789&amp;"-"&amp;TEXT(($D789-$C789+1)+19,"00"),"")&amp;IF($C789&gt;=21,", "&amp;$A789&amp;"-"&amp;TEXT(($D789-$C789+1)+20,"00"),"")&amp;IF($C789&gt;=22,", "&amp;$A789&amp;"-"&amp;TEXT(($D789-$C789+1)+21,"00"),"")&amp;IF($C789&gt;=23,", "&amp;$A789&amp;"-"&amp;TEXT(($D789-$C789+1)+22,"00"),"")&amp;IF($C789&gt;=24,", "&amp;$A789&amp;"-"&amp;TEXT(($D789-$C789+1)+23,"00"),"")&amp;IF($C789&gt;=25,", "&amp;$A789&amp;"-"&amp;TEXT(($D789-$C789+1)+24,"00"),""))</f>
        <v/>
      </c>
      <c r="G789">
        <f>IF($A789="","",IF($E789=1,$F789,IF($F789="",$G788,IF($G788="",$F789,$G788&amp;", "&amp;$F789))))</f>
        <v/>
      </c>
      <c r="H789">
        <f>IF($A789="","",$A789&amp;" ("&amp;$C789&amp;")")</f>
        <v/>
      </c>
      <c r="I789">
        <f>IF($A789="","",IF($E789=1,$H789,$I788&amp;", "&amp;$H789))</f>
        <v/>
      </c>
      <c r="J789">
        <f>IF($A789="","",IF($E789=1,$B789,""))</f>
        <v/>
      </c>
      <c r="K789">
        <f>IF($A789="","",IF(COUNTIF($B$2:$B789,$B789)=COUNTIF($B$2:$B$1601,$B789),$B789,""))</f>
        <v/>
      </c>
    </row>
    <row r="790">
      <c r="A790">
        <f>IF('TMP Paste'!$E790="","",'TMP Paste'!$E790)</f>
        <v/>
      </c>
      <c r="B790">
        <f>IF($A790="","",COUNTIF('TMP Paste'!$B$2:$B790,"?*"))</f>
        <v/>
      </c>
      <c r="C790">
        <f>IF($A790="","",IFERROR('TMP Paste'!$M790*1,0))</f>
        <v/>
      </c>
      <c r="D790">
        <f>IF($A790="","",SUMIF($B$2:$B790,$B790,$C$2:$C790))</f>
        <v/>
      </c>
      <c r="E790">
        <f>IF($A790="",0,IF('TMP Paste'!$B790="",0,1))</f>
        <v/>
      </c>
      <c r="F790">
        <f>IF(OR($A790="",$C790&lt;1),"",$A790&amp;"-"&amp;TEXT(($D790-$C790+1),"00")&amp;IF($C790&gt;=2,", "&amp;$A790&amp;"-"&amp;TEXT(($D790-$C790+1)+1,"00"),"")&amp;IF($C790&gt;=3,", "&amp;$A790&amp;"-"&amp;TEXT(($D790-$C790+1)+2,"00"),"")&amp;IF($C790&gt;=4,", "&amp;$A790&amp;"-"&amp;TEXT(($D790-$C790+1)+3,"00"),"")&amp;IF($C790&gt;=5,", "&amp;$A790&amp;"-"&amp;TEXT(($D790-$C790+1)+4,"00"),"")&amp;IF($C790&gt;=6,", "&amp;$A790&amp;"-"&amp;TEXT(($D790-$C790+1)+5,"00"),"")&amp;IF($C790&gt;=7,", "&amp;$A790&amp;"-"&amp;TEXT(($D790-$C790+1)+6,"00"),"")&amp;IF($C790&gt;=8,", "&amp;$A790&amp;"-"&amp;TEXT(($D790-$C790+1)+7,"00"),"")&amp;IF($C790&gt;=9,", "&amp;$A790&amp;"-"&amp;TEXT(($D790-$C790+1)+8,"00"),"")&amp;IF($C790&gt;=10,", "&amp;$A790&amp;"-"&amp;TEXT(($D790-$C790+1)+9,"00"),"")&amp;IF($C790&gt;=11,", "&amp;$A790&amp;"-"&amp;TEXT(($D790-$C790+1)+10,"00"),"")&amp;IF($C790&gt;=12,", "&amp;$A790&amp;"-"&amp;TEXT(($D790-$C790+1)+11,"00"),"")&amp;IF($C790&gt;=13,", "&amp;$A790&amp;"-"&amp;TEXT(($D790-$C790+1)+12,"00"),"")&amp;IF($C790&gt;=14,", "&amp;$A790&amp;"-"&amp;TEXT(($D790-$C790+1)+13,"00"),"")&amp;IF($C790&gt;=15,", "&amp;$A790&amp;"-"&amp;TEXT(($D790-$C790+1)+14,"00"),"")&amp;IF($C790&gt;=16,", "&amp;$A790&amp;"-"&amp;TEXT(($D790-$C790+1)+15,"00"),"")&amp;IF($C790&gt;=17,", "&amp;$A790&amp;"-"&amp;TEXT(($D790-$C790+1)+16,"00"),"")&amp;IF($C790&gt;=18,", "&amp;$A790&amp;"-"&amp;TEXT(($D790-$C790+1)+17,"00"),"")&amp;IF($C790&gt;=19,", "&amp;$A790&amp;"-"&amp;TEXT(($D790-$C790+1)+18,"00"),"")&amp;IF($C790&gt;=20,", "&amp;$A790&amp;"-"&amp;TEXT(($D790-$C790+1)+19,"00"),"")&amp;IF($C790&gt;=21,", "&amp;$A790&amp;"-"&amp;TEXT(($D790-$C790+1)+20,"00"),"")&amp;IF($C790&gt;=22,", "&amp;$A790&amp;"-"&amp;TEXT(($D790-$C790+1)+21,"00"),"")&amp;IF($C790&gt;=23,", "&amp;$A790&amp;"-"&amp;TEXT(($D790-$C790+1)+22,"00"),"")&amp;IF($C790&gt;=24,", "&amp;$A790&amp;"-"&amp;TEXT(($D790-$C790+1)+23,"00"),"")&amp;IF($C790&gt;=25,", "&amp;$A790&amp;"-"&amp;TEXT(($D790-$C790+1)+24,"00"),""))</f>
        <v/>
      </c>
      <c r="G790">
        <f>IF($A790="","",IF($E790=1,$F790,IF($F790="",$G789,IF($G789="",$F790,$G789&amp;", "&amp;$F790))))</f>
        <v/>
      </c>
      <c r="H790">
        <f>IF($A790="","",$A790&amp;" ("&amp;$C790&amp;")")</f>
        <v/>
      </c>
      <c r="I790">
        <f>IF($A790="","",IF($E790=1,$H790,$I789&amp;", "&amp;$H790))</f>
        <v/>
      </c>
      <c r="J790">
        <f>IF($A790="","",IF($E790=1,$B790,""))</f>
        <v/>
      </c>
      <c r="K790">
        <f>IF($A790="","",IF(COUNTIF($B$2:$B790,$B790)=COUNTIF($B$2:$B$1601,$B790),$B790,""))</f>
        <v/>
      </c>
    </row>
    <row r="791">
      <c r="A791">
        <f>IF('TMP Paste'!$E791="","",'TMP Paste'!$E791)</f>
        <v/>
      </c>
      <c r="B791">
        <f>IF($A791="","",COUNTIF('TMP Paste'!$B$2:$B791,"?*"))</f>
        <v/>
      </c>
      <c r="C791">
        <f>IF($A791="","",IFERROR('TMP Paste'!$M791*1,0))</f>
        <v/>
      </c>
      <c r="D791">
        <f>IF($A791="","",SUMIF($B$2:$B791,$B791,$C$2:$C791))</f>
        <v/>
      </c>
      <c r="E791">
        <f>IF($A791="",0,IF('TMP Paste'!$B791="",0,1))</f>
        <v/>
      </c>
      <c r="F791">
        <f>IF(OR($A791="",$C791&lt;1),"",$A791&amp;"-"&amp;TEXT(($D791-$C791+1),"00")&amp;IF($C791&gt;=2,", "&amp;$A791&amp;"-"&amp;TEXT(($D791-$C791+1)+1,"00"),"")&amp;IF($C791&gt;=3,", "&amp;$A791&amp;"-"&amp;TEXT(($D791-$C791+1)+2,"00"),"")&amp;IF($C791&gt;=4,", "&amp;$A791&amp;"-"&amp;TEXT(($D791-$C791+1)+3,"00"),"")&amp;IF($C791&gt;=5,", "&amp;$A791&amp;"-"&amp;TEXT(($D791-$C791+1)+4,"00"),"")&amp;IF($C791&gt;=6,", "&amp;$A791&amp;"-"&amp;TEXT(($D791-$C791+1)+5,"00"),"")&amp;IF($C791&gt;=7,", "&amp;$A791&amp;"-"&amp;TEXT(($D791-$C791+1)+6,"00"),"")&amp;IF($C791&gt;=8,", "&amp;$A791&amp;"-"&amp;TEXT(($D791-$C791+1)+7,"00"),"")&amp;IF($C791&gt;=9,", "&amp;$A791&amp;"-"&amp;TEXT(($D791-$C791+1)+8,"00"),"")&amp;IF($C791&gt;=10,", "&amp;$A791&amp;"-"&amp;TEXT(($D791-$C791+1)+9,"00"),"")&amp;IF($C791&gt;=11,", "&amp;$A791&amp;"-"&amp;TEXT(($D791-$C791+1)+10,"00"),"")&amp;IF($C791&gt;=12,", "&amp;$A791&amp;"-"&amp;TEXT(($D791-$C791+1)+11,"00"),"")&amp;IF($C791&gt;=13,", "&amp;$A791&amp;"-"&amp;TEXT(($D791-$C791+1)+12,"00"),"")&amp;IF($C791&gt;=14,", "&amp;$A791&amp;"-"&amp;TEXT(($D791-$C791+1)+13,"00"),"")&amp;IF($C791&gt;=15,", "&amp;$A791&amp;"-"&amp;TEXT(($D791-$C791+1)+14,"00"),"")&amp;IF($C791&gt;=16,", "&amp;$A791&amp;"-"&amp;TEXT(($D791-$C791+1)+15,"00"),"")&amp;IF($C791&gt;=17,", "&amp;$A791&amp;"-"&amp;TEXT(($D791-$C791+1)+16,"00"),"")&amp;IF($C791&gt;=18,", "&amp;$A791&amp;"-"&amp;TEXT(($D791-$C791+1)+17,"00"),"")&amp;IF($C791&gt;=19,", "&amp;$A791&amp;"-"&amp;TEXT(($D791-$C791+1)+18,"00"),"")&amp;IF($C791&gt;=20,", "&amp;$A791&amp;"-"&amp;TEXT(($D791-$C791+1)+19,"00"),"")&amp;IF($C791&gt;=21,", "&amp;$A791&amp;"-"&amp;TEXT(($D791-$C791+1)+20,"00"),"")&amp;IF($C791&gt;=22,", "&amp;$A791&amp;"-"&amp;TEXT(($D791-$C791+1)+21,"00"),"")&amp;IF($C791&gt;=23,", "&amp;$A791&amp;"-"&amp;TEXT(($D791-$C791+1)+22,"00"),"")&amp;IF($C791&gt;=24,", "&amp;$A791&amp;"-"&amp;TEXT(($D791-$C791+1)+23,"00"),"")&amp;IF($C791&gt;=25,", "&amp;$A791&amp;"-"&amp;TEXT(($D791-$C791+1)+24,"00"),""))</f>
        <v/>
      </c>
      <c r="G791">
        <f>IF($A791="","",IF($E791=1,$F791,IF($F791="",$G790,IF($G790="",$F791,$G790&amp;", "&amp;$F791))))</f>
        <v/>
      </c>
      <c r="H791">
        <f>IF($A791="","",$A791&amp;" ("&amp;$C791&amp;")")</f>
        <v/>
      </c>
      <c r="I791">
        <f>IF($A791="","",IF($E791=1,$H791,$I790&amp;", "&amp;$H791))</f>
        <v/>
      </c>
      <c r="J791">
        <f>IF($A791="","",IF($E791=1,$B791,""))</f>
        <v/>
      </c>
      <c r="K791">
        <f>IF($A791="","",IF(COUNTIF($B$2:$B791,$B791)=COUNTIF($B$2:$B$1601,$B791),$B791,""))</f>
        <v/>
      </c>
    </row>
    <row r="792">
      <c r="A792">
        <f>IF('TMP Paste'!$E792="","",'TMP Paste'!$E792)</f>
        <v/>
      </c>
      <c r="B792">
        <f>IF($A792="","",COUNTIF('TMP Paste'!$B$2:$B792,"?*"))</f>
        <v/>
      </c>
      <c r="C792">
        <f>IF($A792="","",IFERROR('TMP Paste'!$M792*1,0))</f>
        <v/>
      </c>
      <c r="D792">
        <f>IF($A792="","",SUMIF($B$2:$B792,$B792,$C$2:$C792))</f>
        <v/>
      </c>
      <c r="E792">
        <f>IF($A792="",0,IF('TMP Paste'!$B792="",0,1))</f>
        <v/>
      </c>
      <c r="F792">
        <f>IF(OR($A792="",$C792&lt;1),"",$A792&amp;"-"&amp;TEXT(($D792-$C792+1),"00")&amp;IF($C792&gt;=2,", "&amp;$A792&amp;"-"&amp;TEXT(($D792-$C792+1)+1,"00"),"")&amp;IF($C792&gt;=3,", "&amp;$A792&amp;"-"&amp;TEXT(($D792-$C792+1)+2,"00"),"")&amp;IF($C792&gt;=4,", "&amp;$A792&amp;"-"&amp;TEXT(($D792-$C792+1)+3,"00"),"")&amp;IF($C792&gt;=5,", "&amp;$A792&amp;"-"&amp;TEXT(($D792-$C792+1)+4,"00"),"")&amp;IF($C792&gt;=6,", "&amp;$A792&amp;"-"&amp;TEXT(($D792-$C792+1)+5,"00"),"")&amp;IF($C792&gt;=7,", "&amp;$A792&amp;"-"&amp;TEXT(($D792-$C792+1)+6,"00"),"")&amp;IF($C792&gt;=8,", "&amp;$A792&amp;"-"&amp;TEXT(($D792-$C792+1)+7,"00"),"")&amp;IF($C792&gt;=9,", "&amp;$A792&amp;"-"&amp;TEXT(($D792-$C792+1)+8,"00"),"")&amp;IF($C792&gt;=10,", "&amp;$A792&amp;"-"&amp;TEXT(($D792-$C792+1)+9,"00"),"")&amp;IF($C792&gt;=11,", "&amp;$A792&amp;"-"&amp;TEXT(($D792-$C792+1)+10,"00"),"")&amp;IF($C792&gt;=12,", "&amp;$A792&amp;"-"&amp;TEXT(($D792-$C792+1)+11,"00"),"")&amp;IF($C792&gt;=13,", "&amp;$A792&amp;"-"&amp;TEXT(($D792-$C792+1)+12,"00"),"")&amp;IF($C792&gt;=14,", "&amp;$A792&amp;"-"&amp;TEXT(($D792-$C792+1)+13,"00"),"")&amp;IF($C792&gt;=15,", "&amp;$A792&amp;"-"&amp;TEXT(($D792-$C792+1)+14,"00"),"")&amp;IF($C792&gt;=16,", "&amp;$A792&amp;"-"&amp;TEXT(($D792-$C792+1)+15,"00"),"")&amp;IF($C792&gt;=17,", "&amp;$A792&amp;"-"&amp;TEXT(($D792-$C792+1)+16,"00"),"")&amp;IF($C792&gt;=18,", "&amp;$A792&amp;"-"&amp;TEXT(($D792-$C792+1)+17,"00"),"")&amp;IF($C792&gt;=19,", "&amp;$A792&amp;"-"&amp;TEXT(($D792-$C792+1)+18,"00"),"")&amp;IF($C792&gt;=20,", "&amp;$A792&amp;"-"&amp;TEXT(($D792-$C792+1)+19,"00"),"")&amp;IF($C792&gt;=21,", "&amp;$A792&amp;"-"&amp;TEXT(($D792-$C792+1)+20,"00"),"")&amp;IF($C792&gt;=22,", "&amp;$A792&amp;"-"&amp;TEXT(($D792-$C792+1)+21,"00"),"")&amp;IF($C792&gt;=23,", "&amp;$A792&amp;"-"&amp;TEXT(($D792-$C792+1)+22,"00"),"")&amp;IF($C792&gt;=24,", "&amp;$A792&amp;"-"&amp;TEXT(($D792-$C792+1)+23,"00"),"")&amp;IF($C792&gt;=25,", "&amp;$A792&amp;"-"&amp;TEXT(($D792-$C792+1)+24,"00"),""))</f>
        <v/>
      </c>
      <c r="G792">
        <f>IF($A792="","",IF($E792=1,$F792,IF($F792="",$G791,IF($G791="",$F792,$G791&amp;", "&amp;$F792))))</f>
        <v/>
      </c>
      <c r="H792">
        <f>IF($A792="","",$A792&amp;" ("&amp;$C792&amp;")")</f>
        <v/>
      </c>
      <c r="I792">
        <f>IF($A792="","",IF($E792=1,$H792,$I791&amp;", "&amp;$H792))</f>
        <v/>
      </c>
      <c r="J792">
        <f>IF($A792="","",IF($E792=1,$B792,""))</f>
        <v/>
      </c>
      <c r="K792">
        <f>IF($A792="","",IF(COUNTIF($B$2:$B792,$B792)=COUNTIF($B$2:$B$1601,$B792),$B792,""))</f>
        <v/>
      </c>
    </row>
    <row r="793">
      <c r="A793">
        <f>IF('TMP Paste'!$E793="","",'TMP Paste'!$E793)</f>
        <v/>
      </c>
      <c r="B793">
        <f>IF($A793="","",COUNTIF('TMP Paste'!$B$2:$B793,"?*"))</f>
        <v/>
      </c>
      <c r="C793">
        <f>IF($A793="","",IFERROR('TMP Paste'!$M793*1,0))</f>
        <v/>
      </c>
      <c r="D793">
        <f>IF($A793="","",SUMIF($B$2:$B793,$B793,$C$2:$C793))</f>
        <v/>
      </c>
      <c r="E793">
        <f>IF($A793="",0,IF('TMP Paste'!$B793="",0,1))</f>
        <v/>
      </c>
      <c r="F793">
        <f>IF(OR($A793="",$C793&lt;1),"",$A793&amp;"-"&amp;TEXT(($D793-$C793+1),"00")&amp;IF($C793&gt;=2,", "&amp;$A793&amp;"-"&amp;TEXT(($D793-$C793+1)+1,"00"),"")&amp;IF($C793&gt;=3,", "&amp;$A793&amp;"-"&amp;TEXT(($D793-$C793+1)+2,"00"),"")&amp;IF($C793&gt;=4,", "&amp;$A793&amp;"-"&amp;TEXT(($D793-$C793+1)+3,"00"),"")&amp;IF($C793&gt;=5,", "&amp;$A793&amp;"-"&amp;TEXT(($D793-$C793+1)+4,"00"),"")&amp;IF($C793&gt;=6,", "&amp;$A793&amp;"-"&amp;TEXT(($D793-$C793+1)+5,"00"),"")&amp;IF($C793&gt;=7,", "&amp;$A793&amp;"-"&amp;TEXT(($D793-$C793+1)+6,"00"),"")&amp;IF($C793&gt;=8,", "&amp;$A793&amp;"-"&amp;TEXT(($D793-$C793+1)+7,"00"),"")&amp;IF($C793&gt;=9,", "&amp;$A793&amp;"-"&amp;TEXT(($D793-$C793+1)+8,"00"),"")&amp;IF($C793&gt;=10,", "&amp;$A793&amp;"-"&amp;TEXT(($D793-$C793+1)+9,"00"),"")&amp;IF($C793&gt;=11,", "&amp;$A793&amp;"-"&amp;TEXT(($D793-$C793+1)+10,"00"),"")&amp;IF($C793&gt;=12,", "&amp;$A793&amp;"-"&amp;TEXT(($D793-$C793+1)+11,"00"),"")&amp;IF($C793&gt;=13,", "&amp;$A793&amp;"-"&amp;TEXT(($D793-$C793+1)+12,"00"),"")&amp;IF($C793&gt;=14,", "&amp;$A793&amp;"-"&amp;TEXT(($D793-$C793+1)+13,"00"),"")&amp;IF($C793&gt;=15,", "&amp;$A793&amp;"-"&amp;TEXT(($D793-$C793+1)+14,"00"),"")&amp;IF($C793&gt;=16,", "&amp;$A793&amp;"-"&amp;TEXT(($D793-$C793+1)+15,"00"),"")&amp;IF($C793&gt;=17,", "&amp;$A793&amp;"-"&amp;TEXT(($D793-$C793+1)+16,"00"),"")&amp;IF($C793&gt;=18,", "&amp;$A793&amp;"-"&amp;TEXT(($D793-$C793+1)+17,"00"),"")&amp;IF($C793&gt;=19,", "&amp;$A793&amp;"-"&amp;TEXT(($D793-$C793+1)+18,"00"),"")&amp;IF($C793&gt;=20,", "&amp;$A793&amp;"-"&amp;TEXT(($D793-$C793+1)+19,"00"),"")&amp;IF($C793&gt;=21,", "&amp;$A793&amp;"-"&amp;TEXT(($D793-$C793+1)+20,"00"),"")&amp;IF($C793&gt;=22,", "&amp;$A793&amp;"-"&amp;TEXT(($D793-$C793+1)+21,"00"),"")&amp;IF($C793&gt;=23,", "&amp;$A793&amp;"-"&amp;TEXT(($D793-$C793+1)+22,"00"),"")&amp;IF($C793&gt;=24,", "&amp;$A793&amp;"-"&amp;TEXT(($D793-$C793+1)+23,"00"),"")&amp;IF($C793&gt;=25,", "&amp;$A793&amp;"-"&amp;TEXT(($D793-$C793+1)+24,"00"),""))</f>
        <v/>
      </c>
      <c r="G793">
        <f>IF($A793="","",IF($E793=1,$F793,IF($F793="",$G792,IF($G792="",$F793,$G792&amp;", "&amp;$F793))))</f>
        <v/>
      </c>
      <c r="H793">
        <f>IF($A793="","",$A793&amp;" ("&amp;$C793&amp;")")</f>
        <v/>
      </c>
      <c r="I793">
        <f>IF($A793="","",IF($E793=1,$H793,$I792&amp;", "&amp;$H793))</f>
        <v/>
      </c>
      <c r="J793">
        <f>IF($A793="","",IF($E793=1,$B793,""))</f>
        <v/>
      </c>
      <c r="K793">
        <f>IF($A793="","",IF(COUNTIF($B$2:$B793,$B793)=COUNTIF($B$2:$B$1601,$B793),$B793,""))</f>
        <v/>
      </c>
    </row>
    <row r="794">
      <c r="A794">
        <f>IF('TMP Paste'!$E794="","",'TMP Paste'!$E794)</f>
        <v/>
      </c>
      <c r="B794">
        <f>IF($A794="","",COUNTIF('TMP Paste'!$B$2:$B794,"?*"))</f>
        <v/>
      </c>
      <c r="C794">
        <f>IF($A794="","",IFERROR('TMP Paste'!$M794*1,0))</f>
        <v/>
      </c>
      <c r="D794">
        <f>IF($A794="","",SUMIF($B$2:$B794,$B794,$C$2:$C794))</f>
        <v/>
      </c>
      <c r="E794">
        <f>IF($A794="",0,IF('TMP Paste'!$B794="",0,1))</f>
        <v/>
      </c>
      <c r="F794">
        <f>IF(OR($A794="",$C794&lt;1),"",$A794&amp;"-"&amp;TEXT(($D794-$C794+1),"00")&amp;IF($C794&gt;=2,", "&amp;$A794&amp;"-"&amp;TEXT(($D794-$C794+1)+1,"00"),"")&amp;IF($C794&gt;=3,", "&amp;$A794&amp;"-"&amp;TEXT(($D794-$C794+1)+2,"00"),"")&amp;IF($C794&gt;=4,", "&amp;$A794&amp;"-"&amp;TEXT(($D794-$C794+1)+3,"00"),"")&amp;IF($C794&gt;=5,", "&amp;$A794&amp;"-"&amp;TEXT(($D794-$C794+1)+4,"00"),"")&amp;IF($C794&gt;=6,", "&amp;$A794&amp;"-"&amp;TEXT(($D794-$C794+1)+5,"00"),"")&amp;IF($C794&gt;=7,", "&amp;$A794&amp;"-"&amp;TEXT(($D794-$C794+1)+6,"00"),"")&amp;IF($C794&gt;=8,", "&amp;$A794&amp;"-"&amp;TEXT(($D794-$C794+1)+7,"00"),"")&amp;IF($C794&gt;=9,", "&amp;$A794&amp;"-"&amp;TEXT(($D794-$C794+1)+8,"00"),"")&amp;IF($C794&gt;=10,", "&amp;$A794&amp;"-"&amp;TEXT(($D794-$C794+1)+9,"00"),"")&amp;IF($C794&gt;=11,", "&amp;$A794&amp;"-"&amp;TEXT(($D794-$C794+1)+10,"00"),"")&amp;IF($C794&gt;=12,", "&amp;$A794&amp;"-"&amp;TEXT(($D794-$C794+1)+11,"00"),"")&amp;IF($C794&gt;=13,", "&amp;$A794&amp;"-"&amp;TEXT(($D794-$C794+1)+12,"00"),"")&amp;IF($C794&gt;=14,", "&amp;$A794&amp;"-"&amp;TEXT(($D794-$C794+1)+13,"00"),"")&amp;IF($C794&gt;=15,", "&amp;$A794&amp;"-"&amp;TEXT(($D794-$C794+1)+14,"00"),"")&amp;IF($C794&gt;=16,", "&amp;$A794&amp;"-"&amp;TEXT(($D794-$C794+1)+15,"00"),"")&amp;IF($C794&gt;=17,", "&amp;$A794&amp;"-"&amp;TEXT(($D794-$C794+1)+16,"00"),"")&amp;IF($C794&gt;=18,", "&amp;$A794&amp;"-"&amp;TEXT(($D794-$C794+1)+17,"00"),"")&amp;IF($C794&gt;=19,", "&amp;$A794&amp;"-"&amp;TEXT(($D794-$C794+1)+18,"00"),"")&amp;IF($C794&gt;=20,", "&amp;$A794&amp;"-"&amp;TEXT(($D794-$C794+1)+19,"00"),"")&amp;IF($C794&gt;=21,", "&amp;$A794&amp;"-"&amp;TEXT(($D794-$C794+1)+20,"00"),"")&amp;IF($C794&gt;=22,", "&amp;$A794&amp;"-"&amp;TEXT(($D794-$C794+1)+21,"00"),"")&amp;IF($C794&gt;=23,", "&amp;$A794&amp;"-"&amp;TEXT(($D794-$C794+1)+22,"00"),"")&amp;IF($C794&gt;=24,", "&amp;$A794&amp;"-"&amp;TEXT(($D794-$C794+1)+23,"00"),"")&amp;IF($C794&gt;=25,", "&amp;$A794&amp;"-"&amp;TEXT(($D794-$C794+1)+24,"00"),""))</f>
        <v/>
      </c>
      <c r="G794">
        <f>IF($A794="","",IF($E794=1,$F794,IF($F794="",$G793,IF($G793="",$F794,$G793&amp;", "&amp;$F794))))</f>
        <v/>
      </c>
      <c r="H794">
        <f>IF($A794="","",$A794&amp;" ("&amp;$C794&amp;")")</f>
        <v/>
      </c>
      <c r="I794">
        <f>IF($A794="","",IF($E794=1,$H794,$I793&amp;", "&amp;$H794))</f>
        <v/>
      </c>
      <c r="J794">
        <f>IF($A794="","",IF($E794=1,$B794,""))</f>
        <v/>
      </c>
      <c r="K794">
        <f>IF($A794="","",IF(COUNTIF($B$2:$B794,$B794)=COUNTIF($B$2:$B$1601,$B794),$B794,""))</f>
        <v/>
      </c>
    </row>
    <row r="795">
      <c r="A795">
        <f>IF('TMP Paste'!$E795="","",'TMP Paste'!$E795)</f>
        <v/>
      </c>
      <c r="B795">
        <f>IF($A795="","",COUNTIF('TMP Paste'!$B$2:$B795,"?*"))</f>
        <v/>
      </c>
      <c r="C795">
        <f>IF($A795="","",IFERROR('TMP Paste'!$M795*1,0))</f>
        <v/>
      </c>
      <c r="D795">
        <f>IF($A795="","",SUMIF($B$2:$B795,$B795,$C$2:$C795))</f>
        <v/>
      </c>
      <c r="E795">
        <f>IF($A795="",0,IF('TMP Paste'!$B795="",0,1))</f>
        <v/>
      </c>
      <c r="F795">
        <f>IF(OR($A795="",$C795&lt;1),"",$A795&amp;"-"&amp;TEXT(($D795-$C795+1),"00")&amp;IF($C795&gt;=2,", "&amp;$A795&amp;"-"&amp;TEXT(($D795-$C795+1)+1,"00"),"")&amp;IF($C795&gt;=3,", "&amp;$A795&amp;"-"&amp;TEXT(($D795-$C795+1)+2,"00"),"")&amp;IF($C795&gt;=4,", "&amp;$A795&amp;"-"&amp;TEXT(($D795-$C795+1)+3,"00"),"")&amp;IF($C795&gt;=5,", "&amp;$A795&amp;"-"&amp;TEXT(($D795-$C795+1)+4,"00"),"")&amp;IF($C795&gt;=6,", "&amp;$A795&amp;"-"&amp;TEXT(($D795-$C795+1)+5,"00"),"")&amp;IF($C795&gt;=7,", "&amp;$A795&amp;"-"&amp;TEXT(($D795-$C795+1)+6,"00"),"")&amp;IF($C795&gt;=8,", "&amp;$A795&amp;"-"&amp;TEXT(($D795-$C795+1)+7,"00"),"")&amp;IF($C795&gt;=9,", "&amp;$A795&amp;"-"&amp;TEXT(($D795-$C795+1)+8,"00"),"")&amp;IF($C795&gt;=10,", "&amp;$A795&amp;"-"&amp;TEXT(($D795-$C795+1)+9,"00"),"")&amp;IF($C795&gt;=11,", "&amp;$A795&amp;"-"&amp;TEXT(($D795-$C795+1)+10,"00"),"")&amp;IF($C795&gt;=12,", "&amp;$A795&amp;"-"&amp;TEXT(($D795-$C795+1)+11,"00"),"")&amp;IF($C795&gt;=13,", "&amp;$A795&amp;"-"&amp;TEXT(($D795-$C795+1)+12,"00"),"")&amp;IF($C795&gt;=14,", "&amp;$A795&amp;"-"&amp;TEXT(($D795-$C795+1)+13,"00"),"")&amp;IF($C795&gt;=15,", "&amp;$A795&amp;"-"&amp;TEXT(($D795-$C795+1)+14,"00"),"")&amp;IF($C795&gt;=16,", "&amp;$A795&amp;"-"&amp;TEXT(($D795-$C795+1)+15,"00"),"")&amp;IF($C795&gt;=17,", "&amp;$A795&amp;"-"&amp;TEXT(($D795-$C795+1)+16,"00"),"")&amp;IF($C795&gt;=18,", "&amp;$A795&amp;"-"&amp;TEXT(($D795-$C795+1)+17,"00"),"")&amp;IF($C795&gt;=19,", "&amp;$A795&amp;"-"&amp;TEXT(($D795-$C795+1)+18,"00"),"")&amp;IF($C795&gt;=20,", "&amp;$A795&amp;"-"&amp;TEXT(($D795-$C795+1)+19,"00"),"")&amp;IF($C795&gt;=21,", "&amp;$A795&amp;"-"&amp;TEXT(($D795-$C795+1)+20,"00"),"")&amp;IF($C795&gt;=22,", "&amp;$A795&amp;"-"&amp;TEXT(($D795-$C795+1)+21,"00"),"")&amp;IF($C795&gt;=23,", "&amp;$A795&amp;"-"&amp;TEXT(($D795-$C795+1)+22,"00"),"")&amp;IF($C795&gt;=24,", "&amp;$A795&amp;"-"&amp;TEXT(($D795-$C795+1)+23,"00"),"")&amp;IF($C795&gt;=25,", "&amp;$A795&amp;"-"&amp;TEXT(($D795-$C795+1)+24,"00"),""))</f>
        <v/>
      </c>
      <c r="G795">
        <f>IF($A795="","",IF($E795=1,$F795,IF($F795="",$G794,IF($G794="",$F795,$G794&amp;", "&amp;$F795))))</f>
        <v/>
      </c>
      <c r="H795">
        <f>IF($A795="","",$A795&amp;" ("&amp;$C795&amp;")")</f>
        <v/>
      </c>
      <c r="I795">
        <f>IF($A795="","",IF($E795=1,$H795,$I794&amp;", "&amp;$H795))</f>
        <v/>
      </c>
      <c r="J795">
        <f>IF($A795="","",IF($E795=1,$B795,""))</f>
        <v/>
      </c>
      <c r="K795">
        <f>IF($A795="","",IF(COUNTIF($B$2:$B795,$B795)=COUNTIF($B$2:$B$1601,$B795),$B795,""))</f>
        <v/>
      </c>
    </row>
    <row r="796">
      <c r="A796">
        <f>IF('TMP Paste'!$E796="","",'TMP Paste'!$E796)</f>
        <v/>
      </c>
      <c r="B796">
        <f>IF($A796="","",COUNTIF('TMP Paste'!$B$2:$B796,"?*"))</f>
        <v/>
      </c>
      <c r="C796">
        <f>IF($A796="","",IFERROR('TMP Paste'!$M796*1,0))</f>
        <v/>
      </c>
      <c r="D796">
        <f>IF($A796="","",SUMIF($B$2:$B796,$B796,$C$2:$C796))</f>
        <v/>
      </c>
      <c r="E796">
        <f>IF($A796="",0,IF('TMP Paste'!$B796="",0,1))</f>
        <v/>
      </c>
      <c r="F796">
        <f>IF(OR($A796="",$C796&lt;1),"",$A796&amp;"-"&amp;TEXT(($D796-$C796+1),"00")&amp;IF($C796&gt;=2,", "&amp;$A796&amp;"-"&amp;TEXT(($D796-$C796+1)+1,"00"),"")&amp;IF($C796&gt;=3,", "&amp;$A796&amp;"-"&amp;TEXT(($D796-$C796+1)+2,"00"),"")&amp;IF($C796&gt;=4,", "&amp;$A796&amp;"-"&amp;TEXT(($D796-$C796+1)+3,"00"),"")&amp;IF($C796&gt;=5,", "&amp;$A796&amp;"-"&amp;TEXT(($D796-$C796+1)+4,"00"),"")&amp;IF($C796&gt;=6,", "&amp;$A796&amp;"-"&amp;TEXT(($D796-$C796+1)+5,"00"),"")&amp;IF($C796&gt;=7,", "&amp;$A796&amp;"-"&amp;TEXT(($D796-$C796+1)+6,"00"),"")&amp;IF($C796&gt;=8,", "&amp;$A796&amp;"-"&amp;TEXT(($D796-$C796+1)+7,"00"),"")&amp;IF($C796&gt;=9,", "&amp;$A796&amp;"-"&amp;TEXT(($D796-$C796+1)+8,"00"),"")&amp;IF($C796&gt;=10,", "&amp;$A796&amp;"-"&amp;TEXT(($D796-$C796+1)+9,"00"),"")&amp;IF($C796&gt;=11,", "&amp;$A796&amp;"-"&amp;TEXT(($D796-$C796+1)+10,"00"),"")&amp;IF($C796&gt;=12,", "&amp;$A796&amp;"-"&amp;TEXT(($D796-$C796+1)+11,"00"),"")&amp;IF($C796&gt;=13,", "&amp;$A796&amp;"-"&amp;TEXT(($D796-$C796+1)+12,"00"),"")&amp;IF($C796&gt;=14,", "&amp;$A796&amp;"-"&amp;TEXT(($D796-$C796+1)+13,"00"),"")&amp;IF($C796&gt;=15,", "&amp;$A796&amp;"-"&amp;TEXT(($D796-$C796+1)+14,"00"),"")&amp;IF($C796&gt;=16,", "&amp;$A796&amp;"-"&amp;TEXT(($D796-$C796+1)+15,"00"),"")&amp;IF($C796&gt;=17,", "&amp;$A796&amp;"-"&amp;TEXT(($D796-$C796+1)+16,"00"),"")&amp;IF($C796&gt;=18,", "&amp;$A796&amp;"-"&amp;TEXT(($D796-$C796+1)+17,"00"),"")&amp;IF($C796&gt;=19,", "&amp;$A796&amp;"-"&amp;TEXT(($D796-$C796+1)+18,"00"),"")&amp;IF($C796&gt;=20,", "&amp;$A796&amp;"-"&amp;TEXT(($D796-$C796+1)+19,"00"),"")&amp;IF($C796&gt;=21,", "&amp;$A796&amp;"-"&amp;TEXT(($D796-$C796+1)+20,"00"),"")&amp;IF($C796&gt;=22,", "&amp;$A796&amp;"-"&amp;TEXT(($D796-$C796+1)+21,"00"),"")&amp;IF($C796&gt;=23,", "&amp;$A796&amp;"-"&amp;TEXT(($D796-$C796+1)+22,"00"),"")&amp;IF($C796&gt;=24,", "&amp;$A796&amp;"-"&amp;TEXT(($D796-$C796+1)+23,"00"),"")&amp;IF($C796&gt;=25,", "&amp;$A796&amp;"-"&amp;TEXT(($D796-$C796+1)+24,"00"),""))</f>
        <v/>
      </c>
      <c r="G796">
        <f>IF($A796="","",IF($E796=1,$F796,IF($F796="",$G795,IF($G795="",$F796,$G795&amp;", "&amp;$F796))))</f>
        <v/>
      </c>
      <c r="H796">
        <f>IF($A796="","",$A796&amp;" ("&amp;$C796&amp;")")</f>
        <v/>
      </c>
      <c r="I796">
        <f>IF($A796="","",IF($E796=1,$H796,$I795&amp;", "&amp;$H796))</f>
        <v/>
      </c>
      <c r="J796">
        <f>IF($A796="","",IF($E796=1,$B796,""))</f>
        <v/>
      </c>
      <c r="K796">
        <f>IF($A796="","",IF(COUNTIF($B$2:$B796,$B796)=COUNTIF($B$2:$B$1601,$B796),$B796,""))</f>
        <v/>
      </c>
    </row>
    <row r="797">
      <c r="A797">
        <f>IF('TMP Paste'!$E797="","",'TMP Paste'!$E797)</f>
        <v/>
      </c>
      <c r="B797">
        <f>IF($A797="","",COUNTIF('TMP Paste'!$B$2:$B797,"?*"))</f>
        <v/>
      </c>
      <c r="C797">
        <f>IF($A797="","",IFERROR('TMP Paste'!$M797*1,0))</f>
        <v/>
      </c>
      <c r="D797">
        <f>IF($A797="","",SUMIF($B$2:$B797,$B797,$C$2:$C797))</f>
        <v/>
      </c>
      <c r="E797">
        <f>IF($A797="",0,IF('TMP Paste'!$B797="",0,1))</f>
        <v/>
      </c>
      <c r="F797">
        <f>IF(OR($A797="",$C797&lt;1),"",$A797&amp;"-"&amp;TEXT(($D797-$C797+1),"00")&amp;IF($C797&gt;=2,", "&amp;$A797&amp;"-"&amp;TEXT(($D797-$C797+1)+1,"00"),"")&amp;IF($C797&gt;=3,", "&amp;$A797&amp;"-"&amp;TEXT(($D797-$C797+1)+2,"00"),"")&amp;IF($C797&gt;=4,", "&amp;$A797&amp;"-"&amp;TEXT(($D797-$C797+1)+3,"00"),"")&amp;IF($C797&gt;=5,", "&amp;$A797&amp;"-"&amp;TEXT(($D797-$C797+1)+4,"00"),"")&amp;IF($C797&gt;=6,", "&amp;$A797&amp;"-"&amp;TEXT(($D797-$C797+1)+5,"00"),"")&amp;IF($C797&gt;=7,", "&amp;$A797&amp;"-"&amp;TEXT(($D797-$C797+1)+6,"00"),"")&amp;IF($C797&gt;=8,", "&amp;$A797&amp;"-"&amp;TEXT(($D797-$C797+1)+7,"00"),"")&amp;IF($C797&gt;=9,", "&amp;$A797&amp;"-"&amp;TEXT(($D797-$C797+1)+8,"00"),"")&amp;IF($C797&gt;=10,", "&amp;$A797&amp;"-"&amp;TEXT(($D797-$C797+1)+9,"00"),"")&amp;IF($C797&gt;=11,", "&amp;$A797&amp;"-"&amp;TEXT(($D797-$C797+1)+10,"00"),"")&amp;IF($C797&gt;=12,", "&amp;$A797&amp;"-"&amp;TEXT(($D797-$C797+1)+11,"00"),"")&amp;IF($C797&gt;=13,", "&amp;$A797&amp;"-"&amp;TEXT(($D797-$C797+1)+12,"00"),"")&amp;IF($C797&gt;=14,", "&amp;$A797&amp;"-"&amp;TEXT(($D797-$C797+1)+13,"00"),"")&amp;IF($C797&gt;=15,", "&amp;$A797&amp;"-"&amp;TEXT(($D797-$C797+1)+14,"00"),"")&amp;IF($C797&gt;=16,", "&amp;$A797&amp;"-"&amp;TEXT(($D797-$C797+1)+15,"00"),"")&amp;IF($C797&gt;=17,", "&amp;$A797&amp;"-"&amp;TEXT(($D797-$C797+1)+16,"00"),"")&amp;IF($C797&gt;=18,", "&amp;$A797&amp;"-"&amp;TEXT(($D797-$C797+1)+17,"00"),"")&amp;IF($C797&gt;=19,", "&amp;$A797&amp;"-"&amp;TEXT(($D797-$C797+1)+18,"00"),"")&amp;IF($C797&gt;=20,", "&amp;$A797&amp;"-"&amp;TEXT(($D797-$C797+1)+19,"00"),"")&amp;IF($C797&gt;=21,", "&amp;$A797&amp;"-"&amp;TEXT(($D797-$C797+1)+20,"00"),"")&amp;IF($C797&gt;=22,", "&amp;$A797&amp;"-"&amp;TEXT(($D797-$C797+1)+21,"00"),"")&amp;IF($C797&gt;=23,", "&amp;$A797&amp;"-"&amp;TEXT(($D797-$C797+1)+22,"00"),"")&amp;IF($C797&gt;=24,", "&amp;$A797&amp;"-"&amp;TEXT(($D797-$C797+1)+23,"00"),"")&amp;IF($C797&gt;=25,", "&amp;$A797&amp;"-"&amp;TEXT(($D797-$C797+1)+24,"00"),""))</f>
        <v/>
      </c>
      <c r="G797">
        <f>IF($A797="","",IF($E797=1,$F797,IF($F797="",$G796,IF($G796="",$F797,$G796&amp;", "&amp;$F797))))</f>
        <v/>
      </c>
      <c r="H797">
        <f>IF($A797="","",$A797&amp;" ("&amp;$C797&amp;")")</f>
        <v/>
      </c>
      <c r="I797">
        <f>IF($A797="","",IF($E797=1,$H797,$I796&amp;", "&amp;$H797))</f>
        <v/>
      </c>
      <c r="J797">
        <f>IF($A797="","",IF($E797=1,$B797,""))</f>
        <v/>
      </c>
      <c r="K797">
        <f>IF($A797="","",IF(COUNTIF($B$2:$B797,$B797)=COUNTIF($B$2:$B$1601,$B797),$B797,""))</f>
        <v/>
      </c>
    </row>
    <row r="798">
      <c r="A798">
        <f>IF('TMP Paste'!$E798="","",'TMP Paste'!$E798)</f>
        <v/>
      </c>
      <c r="B798">
        <f>IF($A798="","",COUNTIF('TMP Paste'!$B$2:$B798,"?*"))</f>
        <v/>
      </c>
      <c r="C798">
        <f>IF($A798="","",IFERROR('TMP Paste'!$M798*1,0))</f>
        <v/>
      </c>
      <c r="D798">
        <f>IF($A798="","",SUMIF($B$2:$B798,$B798,$C$2:$C798))</f>
        <v/>
      </c>
      <c r="E798">
        <f>IF($A798="",0,IF('TMP Paste'!$B798="",0,1))</f>
        <v/>
      </c>
      <c r="F798">
        <f>IF(OR($A798="",$C798&lt;1),"",$A798&amp;"-"&amp;TEXT(($D798-$C798+1),"00")&amp;IF($C798&gt;=2,", "&amp;$A798&amp;"-"&amp;TEXT(($D798-$C798+1)+1,"00"),"")&amp;IF($C798&gt;=3,", "&amp;$A798&amp;"-"&amp;TEXT(($D798-$C798+1)+2,"00"),"")&amp;IF($C798&gt;=4,", "&amp;$A798&amp;"-"&amp;TEXT(($D798-$C798+1)+3,"00"),"")&amp;IF($C798&gt;=5,", "&amp;$A798&amp;"-"&amp;TEXT(($D798-$C798+1)+4,"00"),"")&amp;IF($C798&gt;=6,", "&amp;$A798&amp;"-"&amp;TEXT(($D798-$C798+1)+5,"00"),"")&amp;IF($C798&gt;=7,", "&amp;$A798&amp;"-"&amp;TEXT(($D798-$C798+1)+6,"00"),"")&amp;IF($C798&gt;=8,", "&amp;$A798&amp;"-"&amp;TEXT(($D798-$C798+1)+7,"00"),"")&amp;IF($C798&gt;=9,", "&amp;$A798&amp;"-"&amp;TEXT(($D798-$C798+1)+8,"00"),"")&amp;IF($C798&gt;=10,", "&amp;$A798&amp;"-"&amp;TEXT(($D798-$C798+1)+9,"00"),"")&amp;IF($C798&gt;=11,", "&amp;$A798&amp;"-"&amp;TEXT(($D798-$C798+1)+10,"00"),"")&amp;IF($C798&gt;=12,", "&amp;$A798&amp;"-"&amp;TEXT(($D798-$C798+1)+11,"00"),"")&amp;IF($C798&gt;=13,", "&amp;$A798&amp;"-"&amp;TEXT(($D798-$C798+1)+12,"00"),"")&amp;IF($C798&gt;=14,", "&amp;$A798&amp;"-"&amp;TEXT(($D798-$C798+1)+13,"00"),"")&amp;IF($C798&gt;=15,", "&amp;$A798&amp;"-"&amp;TEXT(($D798-$C798+1)+14,"00"),"")&amp;IF($C798&gt;=16,", "&amp;$A798&amp;"-"&amp;TEXT(($D798-$C798+1)+15,"00"),"")&amp;IF($C798&gt;=17,", "&amp;$A798&amp;"-"&amp;TEXT(($D798-$C798+1)+16,"00"),"")&amp;IF($C798&gt;=18,", "&amp;$A798&amp;"-"&amp;TEXT(($D798-$C798+1)+17,"00"),"")&amp;IF($C798&gt;=19,", "&amp;$A798&amp;"-"&amp;TEXT(($D798-$C798+1)+18,"00"),"")&amp;IF($C798&gt;=20,", "&amp;$A798&amp;"-"&amp;TEXT(($D798-$C798+1)+19,"00"),"")&amp;IF($C798&gt;=21,", "&amp;$A798&amp;"-"&amp;TEXT(($D798-$C798+1)+20,"00"),"")&amp;IF($C798&gt;=22,", "&amp;$A798&amp;"-"&amp;TEXT(($D798-$C798+1)+21,"00"),"")&amp;IF($C798&gt;=23,", "&amp;$A798&amp;"-"&amp;TEXT(($D798-$C798+1)+22,"00"),"")&amp;IF($C798&gt;=24,", "&amp;$A798&amp;"-"&amp;TEXT(($D798-$C798+1)+23,"00"),"")&amp;IF($C798&gt;=25,", "&amp;$A798&amp;"-"&amp;TEXT(($D798-$C798+1)+24,"00"),""))</f>
        <v/>
      </c>
      <c r="G798">
        <f>IF($A798="","",IF($E798=1,$F798,IF($F798="",$G797,IF($G797="",$F798,$G797&amp;", "&amp;$F798))))</f>
        <v/>
      </c>
      <c r="H798">
        <f>IF($A798="","",$A798&amp;" ("&amp;$C798&amp;")")</f>
        <v/>
      </c>
      <c r="I798">
        <f>IF($A798="","",IF($E798=1,$H798,$I797&amp;", "&amp;$H798))</f>
        <v/>
      </c>
      <c r="J798">
        <f>IF($A798="","",IF($E798=1,$B798,""))</f>
        <v/>
      </c>
      <c r="K798">
        <f>IF($A798="","",IF(COUNTIF($B$2:$B798,$B798)=COUNTIF($B$2:$B$1601,$B798),$B798,""))</f>
        <v/>
      </c>
    </row>
    <row r="799">
      <c r="A799">
        <f>IF('TMP Paste'!$E799="","",'TMP Paste'!$E799)</f>
        <v/>
      </c>
      <c r="B799">
        <f>IF($A799="","",COUNTIF('TMP Paste'!$B$2:$B799,"?*"))</f>
        <v/>
      </c>
      <c r="C799">
        <f>IF($A799="","",IFERROR('TMP Paste'!$M799*1,0))</f>
        <v/>
      </c>
      <c r="D799">
        <f>IF($A799="","",SUMIF($B$2:$B799,$B799,$C$2:$C799))</f>
        <v/>
      </c>
      <c r="E799">
        <f>IF($A799="",0,IF('TMP Paste'!$B799="",0,1))</f>
        <v/>
      </c>
      <c r="F799">
        <f>IF(OR($A799="",$C799&lt;1),"",$A799&amp;"-"&amp;TEXT(($D799-$C799+1),"00")&amp;IF($C799&gt;=2,", "&amp;$A799&amp;"-"&amp;TEXT(($D799-$C799+1)+1,"00"),"")&amp;IF($C799&gt;=3,", "&amp;$A799&amp;"-"&amp;TEXT(($D799-$C799+1)+2,"00"),"")&amp;IF($C799&gt;=4,", "&amp;$A799&amp;"-"&amp;TEXT(($D799-$C799+1)+3,"00"),"")&amp;IF($C799&gt;=5,", "&amp;$A799&amp;"-"&amp;TEXT(($D799-$C799+1)+4,"00"),"")&amp;IF($C799&gt;=6,", "&amp;$A799&amp;"-"&amp;TEXT(($D799-$C799+1)+5,"00"),"")&amp;IF($C799&gt;=7,", "&amp;$A799&amp;"-"&amp;TEXT(($D799-$C799+1)+6,"00"),"")&amp;IF($C799&gt;=8,", "&amp;$A799&amp;"-"&amp;TEXT(($D799-$C799+1)+7,"00"),"")&amp;IF($C799&gt;=9,", "&amp;$A799&amp;"-"&amp;TEXT(($D799-$C799+1)+8,"00"),"")&amp;IF($C799&gt;=10,", "&amp;$A799&amp;"-"&amp;TEXT(($D799-$C799+1)+9,"00"),"")&amp;IF($C799&gt;=11,", "&amp;$A799&amp;"-"&amp;TEXT(($D799-$C799+1)+10,"00"),"")&amp;IF($C799&gt;=12,", "&amp;$A799&amp;"-"&amp;TEXT(($D799-$C799+1)+11,"00"),"")&amp;IF($C799&gt;=13,", "&amp;$A799&amp;"-"&amp;TEXT(($D799-$C799+1)+12,"00"),"")&amp;IF($C799&gt;=14,", "&amp;$A799&amp;"-"&amp;TEXT(($D799-$C799+1)+13,"00"),"")&amp;IF($C799&gt;=15,", "&amp;$A799&amp;"-"&amp;TEXT(($D799-$C799+1)+14,"00"),"")&amp;IF($C799&gt;=16,", "&amp;$A799&amp;"-"&amp;TEXT(($D799-$C799+1)+15,"00"),"")&amp;IF($C799&gt;=17,", "&amp;$A799&amp;"-"&amp;TEXT(($D799-$C799+1)+16,"00"),"")&amp;IF($C799&gt;=18,", "&amp;$A799&amp;"-"&amp;TEXT(($D799-$C799+1)+17,"00"),"")&amp;IF($C799&gt;=19,", "&amp;$A799&amp;"-"&amp;TEXT(($D799-$C799+1)+18,"00"),"")&amp;IF($C799&gt;=20,", "&amp;$A799&amp;"-"&amp;TEXT(($D799-$C799+1)+19,"00"),"")&amp;IF($C799&gt;=21,", "&amp;$A799&amp;"-"&amp;TEXT(($D799-$C799+1)+20,"00"),"")&amp;IF($C799&gt;=22,", "&amp;$A799&amp;"-"&amp;TEXT(($D799-$C799+1)+21,"00"),"")&amp;IF($C799&gt;=23,", "&amp;$A799&amp;"-"&amp;TEXT(($D799-$C799+1)+22,"00"),"")&amp;IF($C799&gt;=24,", "&amp;$A799&amp;"-"&amp;TEXT(($D799-$C799+1)+23,"00"),"")&amp;IF($C799&gt;=25,", "&amp;$A799&amp;"-"&amp;TEXT(($D799-$C799+1)+24,"00"),""))</f>
        <v/>
      </c>
      <c r="G799">
        <f>IF($A799="","",IF($E799=1,$F799,IF($F799="",$G798,IF($G798="",$F799,$G798&amp;", "&amp;$F799))))</f>
        <v/>
      </c>
      <c r="H799">
        <f>IF($A799="","",$A799&amp;" ("&amp;$C799&amp;")")</f>
        <v/>
      </c>
      <c r="I799">
        <f>IF($A799="","",IF($E799=1,$H799,$I798&amp;", "&amp;$H799))</f>
        <v/>
      </c>
      <c r="J799">
        <f>IF($A799="","",IF($E799=1,$B799,""))</f>
        <v/>
      </c>
      <c r="K799">
        <f>IF($A799="","",IF(COUNTIF($B$2:$B799,$B799)=COUNTIF($B$2:$B$1601,$B799),$B799,""))</f>
        <v/>
      </c>
    </row>
    <row r="800">
      <c r="A800">
        <f>IF('TMP Paste'!$E800="","",'TMP Paste'!$E800)</f>
        <v/>
      </c>
      <c r="B800">
        <f>IF($A800="","",COUNTIF('TMP Paste'!$B$2:$B800,"?*"))</f>
        <v/>
      </c>
      <c r="C800">
        <f>IF($A800="","",IFERROR('TMP Paste'!$M800*1,0))</f>
        <v/>
      </c>
      <c r="D800">
        <f>IF($A800="","",SUMIF($B$2:$B800,$B800,$C$2:$C800))</f>
        <v/>
      </c>
      <c r="E800">
        <f>IF($A800="",0,IF('TMP Paste'!$B800="",0,1))</f>
        <v/>
      </c>
      <c r="F800">
        <f>IF(OR($A800="",$C800&lt;1),"",$A800&amp;"-"&amp;TEXT(($D800-$C800+1),"00")&amp;IF($C800&gt;=2,", "&amp;$A800&amp;"-"&amp;TEXT(($D800-$C800+1)+1,"00"),"")&amp;IF($C800&gt;=3,", "&amp;$A800&amp;"-"&amp;TEXT(($D800-$C800+1)+2,"00"),"")&amp;IF($C800&gt;=4,", "&amp;$A800&amp;"-"&amp;TEXT(($D800-$C800+1)+3,"00"),"")&amp;IF($C800&gt;=5,", "&amp;$A800&amp;"-"&amp;TEXT(($D800-$C800+1)+4,"00"),"")&amp;IF($C800&gt;=6,", "&amp;$A800&amp;"-"&amp;TEXT(($D800-$C800+1)+5,"00"),"")&amp;IF($C800&gt;=7,", "&amp;$A800&amp;"-"&amp;TEXT(($D800-$C800+1)+6,"00"),"")&amp;IF($C800&gt;=8,", "&amp;$A800&amp;"-"&amp;TEXT(($D800-$C800+1)+7,"00"),"")&amp;IF($C800&gt;=9,", "&amp;$A800&amp;"-"&amp;TEXT(($D800-$C800+1)+8,"00"),"")&amp;IF($C800&gt;=10,", "&amp;$A800&amp;"-"&amp;TEXT(($D800-$C800+1)+9,"00"),"")&amp;IF($C800&gt;=11,", "&amp;$A800&amp;"-"&amp;TEXT(($D800-$C800+1)+10,"00"),"")&amp;IF($C800&gt;=12,", "&amp;$A800&amp;"-"&amp;TEXT(($D800-$C800+1)+11,"00"),"")&amp;IF($C800&gt;=13,", "&amp;$A800&amp;"-"&amp;TEXT(($D800-$C800+1)+12,"00"),"")&amp;IF($C800&gt;=14,", "&amp;$A800&amp;"-"&amp;TEXT(($D800-$C800+1)+13,"00"),"")&amp;IF($C800&gt;=15,", "&amp;$A800&amp;"-"&amp;TEXT(($D800-$C800+1)+14,"00"),"")&amp;IF($C800&gt;=16,", "&amp;$A800&amp;"-"&amp;TEXT(($D800-$C800+1)+15,"00"),"")&amp;IF($C800&gt;=17,", "&amp;$A800&amp;"-"&amp;TEXT(($D800-$C800+1)+16,"00"),"")&amp;IF($C800&gt;=18,", "&amp;$A800&amp;"-"&amp;TEXT(($D800-$C800+1)+17,"00"),"")&amp;IF($C800&gt;=19,", "&amp;$A800&amp;"-"&amp;TEXT(($D800-$C800+1)+18,"00"),"")&amp;IF($C800&gt;=20,", "&amp;$A800&amp;"-"&amp;TEXT(($D800-$C800+1)+19,"00"),"")&amp;IF($C800&gt;=21,", "&amp;$A800&amp;"-"&amp;TEXT(($D800-$C800+1)+20,"00"),"")&amp;IF($C800&gt;=22,", "&amp;$A800&amp;"-"&amp;TEXT(($D800-$C800+1)+21,"00"),"")&amp;IF($C800&gt;=23,", "&amp;$A800&amp;"-"&amp;TEXT(($D800-$C800+1)+22,"00"),"")&amp;IF($C800&gt;=24,", "&amp;$A800&amp;"-"&amp;TEXT(($D800-$C800+1)+23,"00"),"")&amp;IF($C800&gt;=25,", "&amp;$A800&amp;"-"&amp;TEXT(($D800-$C800+1)+24,"00"),""))</f>
        <v/>
      </c>
      <c r="G800">
        <f>IF($A800="","",IF($E800=1,$F800,IF($F800="",$G799,IF($G799="",$F800,$G799&amp;", "&amp;$F800))))</f>
        <v/>
      </c>
      <c r="H800">
        <f>IF($A800="","",$A800&amp;" ("&amp;$C800&amp;")")</f>
        <v/>
      </c>
      <c r="I800">
        <f>IF($A800="","",IF($E800=1,$H800,$I799&amp;", "&amp;$H800))</f>
        <v/>
      </c>
      <c r="J800">
        <f>IF($A800="","",IF($E800=1,$B800,""))</f>
        <v/>
      </c>
      <c r="K800">
        <f>IF($A800="","",IF(COUNTIF($B$2:$B800,$B800)=COUNTIF($B$2:$B$1601,$B800),$B800,""))</f>
        <v/>
      </c>
    </row>
    <row r="801">
      <c r="A801">
        <f>IF('TMP Paste'!$E801="","",'TMP Paste'!$E801)</f>
        <v/>
      </c>
      <c r="B801">
        <f>IF($A801="","",COUNTIF('TMP Paste'!$B$2:$B801,"?*"))</f>
        <v/>
      </c>
      <c r="C801">
        <f>IF($A801="","",IFERROR('TMP Paste'!$M801*1,0))</f>
        <v/>
      </c>
      <c r="D801">
        <f>IF($A801="","",SUMIF($B$2:$B801,$B801,$C$2:$C801))</f>
        <v/>
      </c>
      <c r="E801">
        <f>IF($A801="",0,IF('TMP Paste'!$B801="",0,1))</f>
        <v/>
      </c>
      <c r="F801">
        <f>IF(OR($A801="",$C801&lt;1),"",$A801&amp;"-"&amp;TEXT(($D801-$C801+1),"00")&amp;IF($C801&gt;=2,", "&amp;$A801&amp;"-"&amp;TEXT(($D801-$C801+1)+1,"00"),"")&amp;IF($C801&gt;=3,", "&amp;$A801&amp;"-"&amp;TEXT(($D801-$C801+1)+2,"00"),"")&amp;IF($C801&gt;=4,", "&amp;$A801&amp;"-"&amp;TEXT(($D801-$C801+1)+3,"00"),"")&amp;IF($C801&gt;=5,", "&amp;$A801&amp;"-"&amp;TEXT(($D801-$C801+1)+4,"00"),"")&amp;IF($C801&gt;=6,", "&amp;$A801&amp;"-"&amp;TEXT(($D801-$C801+1)+5,"00"),"")&amp;IF($C801&gt;=7,", "&amp;$A801&amp;"-"&amp;TEXT(($D801-$C801+1)+6,"00"),"")&amp;IF($C801&gt;=8,", "&amp;$A801&amp;"-"&amp;TEXT(($D801-$C801+1)+7,"00"),"")&amp;IF($C801&gt;=9,", "&amp;$A801&amp;"-"&amp;TEXT(($D801-$C801+1)+8,"00"),"")&amp;IF($C801&gt;=10,", "&amp;$A801&amp;"-"&amp;TEXT(($D801-$C801+1)+9,"00"),"")&amp;IF($C801&gt;=11,", "&amp;$A801&amp;"-"&amp;TEXT(($D801-$C801+1)+10,"00"),"")&amp;IF($C801&gt;=12,", "&amp;$A801&amp;"-"&amp;TEXT(($D801-$C801+1)+11,"00"),"")&amp;IF($C801&gt;=13,", "&amp;$A801&amp;"-"&amp;TEXT(($D801-$C801+1)+12,"00"),"")&amp;IF($C801&gt;=14,", "&amp;$A801&amp;"-"&amp;TEXT(($D801-$C801+1)+13,"00"),"")&amp;IF($C801&gt;=15,", "&amp;$A801&amp;"-"&amp;TEXT(($D801-$C801+1)+14,"00"),"")&amp;IF($C801&gt;=16,", "&amp;$A801&amp;"-"&amp;TEXT(($D801-$C801+1)+15,"00"),"")&amp;IF($C801&gt;=17,", "&amp;$A801&amp;"-"&amp;TEXT(($D801-$C801+1)+16,"00"),"")&amp;IF($C801&gt;=18,", "&amp;$A801&amp;"-"&amp;TEXT(($D801-$C801+1)+17,"00"),"")&amp;IF($C801&gt;=19,", "&amp;$A801&amp;"-"&amp;TEXT(($D801-$C801+1)+18,"00"),"")&amp;IF($C801&gt;=20,", "&amp;$A801&amp;"-"&amp;TEXT(($D801-$C801+1)+19,"00"),"")&amp;IF($C801&gt;=21,", "&amp;$A801&amp;"-"&amp;TEXT(($D801-$C801+1)+20,"00"),"")&amp;IF($C801&gt;=22,", "&amp;$A801&amp;"-"&amp;TEXT(($D801-$C801+1)+21,"00"),"")&amp;IF($C801&gt;=23,", "&amp;$A801&amp;"-"&amp;TEXT(($D801-$C801+1)+22,"00"),"")&amp;IF($C801&gt;=24,", "&amp;$A801&amp;"-"&amp;TEXT(($D801-$C801+1)+23,"00"),"")&amp;IF($C801&gt;=25,", "&amp;$A801&amp;"-"&amp;TEXT(($D801-$C801+1)+24,"00"),""))</f>
        <v/>
      </c>
      <c r="G801">
        <f>IF($A801="","",IF($E801=1,$F801,IF($F801="",$G800,IF($G800="",$F801,$G800&amp;", "&amp;$F801))))</f>
        <v/>
      </c>
      <c r="H801">
        <f>IF($A801="","",$A801&amp;" ("&amp;$C801&amp;")")</f>
        <v/>
      </c>
      <c r="I801">
        <f>IF($A801="","",IF($E801=1,$H801,$I800&amp;", "&amp;$H801))</f>
        <v/>
      </c>
      <c r="J801">
        <f>IF($A801="","",IF($E801=1,$B801,""))</f>
        <v/>
      </c>
      <c r="K801">
        <f>IF($A801="","",IF(COUNTIF($B$2:$B801,$B801)=COUNTIF($B$2:$B$1601,$B801),$B801,""))</f>
        <v/>
      </c>
    </row>
    <row r="802">
      <c r="A802">
        <f>IF('TMP Paste'!$E802="","",'TMP Paste'!$E802)</f>
        <v/>
      </c>
      <c r="B802">
        <f>IF($A802="","",COUNTIF('TMP Paste'!$B$2:$B802,"?*"))</f>
        <v/>
      </c>
      <c r="C802">
        <f>IF($A802="","",IFERROR('TMP Paste'!$M802*1,0))</f>
        <v/>
      </c>
      <c r="D802">
        <f>IF($A802="","",SUMIF($B$2:$B802,$B802,$C$2:$C802))</f>
        <v/>
      </c>
      <c r="E802">
        <f>IF($A802="",0,IF('TMP Paste'!$B802="",0,1))</f>
        <v/>
      </c>
      <c r="F802">
        <f>IF(OR($A802="",$C802&lt;1),"",$A802&amp;"-"&amp;TEXT(($D802-$C802+1),"00")&amp;IF($C802&gt;=2,", "&amp;$A802&amp;"-"&amp;TEXT(($D802-$C802+1)+1,"00"),"")&amp;IF($C802&gt;=3,", "&amp;$A802&amp;"-"&amp;TEXT(($D802-$C802+1)+2,"00"),"")&amp;IF($C802&gt;=4,", "&amp;$A802&amp;"-"&amp;TEXT(($D802-$C802+1)+3,"00"),"")&amp;IF($C802&gt;=5,", "&amp;$A802&amp;"-"&amp;TEXT(($D802-$C802+1)+4,"00"),"")&amp;IF($C802&gt;=6,", "&amp;$A802&amp;"-"&amp;TEXT(($D802-$C802+1)+5,"00"),"")&amp;IF($C802&gt;=7,", "&amp;$A802&amp;"-"&amp;TEXT(($D802-$C802+1)+6,"00"),"")&amp;IF($C802&gt;=8,", "&amp;$A802&amp;"-"&amp;TEXT(($D802-$C802+1)+7,"00"),"")&amp;IF($C802&gt;=9,", "&amp;$A802&amp;"-"&amp;TEXT(($D802-$C802+1)+8,"00"),"")&amp;IF($C802&gt;=10,", "&amp;$A802&amp;"-"&amp;TEXT(($D802-$C802+1)+9,"00"),"")&amp;IF($C802&gt;=11,", "&amp;$A802&amp;"-"&amp;TEXT(($D802-$C802+1)+10,"00"),"")&amp;IF($C802&gt;=12,", "&amp;$A802&amp;"-"&amp;TEXT(($D802-$C802+1)+11,"00"),"")&amp;IF($C802&gt;=13,", "&amp;$A802&amp;"-"&amp;TEXT(($D802-$C802+1)+12,"00"),"")&amp;IF($C802&gt;=14,", "&amp;$A802&amp;"-"&amp;TEXT(($D802-$C802+1)+13,"00"),"")&amp;IF($C802&gt;=15,", "&amp;$A802&amp;"-"&amp;TEXT(($D802-$C802+1)+14,"00"),"")&amp;IF($C802&gt;=16,", "&amp;$A802&amp;"-"&amp;TEXT(($D802-$C802+1)+15,"00"),"")&amp;IF($C802&gt;=17,", "&amp;$A802&amp;"-"&amp;TEXT(($D802-$C802+1)+16,"00"),"")&amp;IF($C802&gt;=18,", "&amp;$A802&amp;"-"&amp;TEXT(($D802-$C802+1)+17,"00"),"")&amp;IF($C802&gt;=19,", "&amp;$A802&amp;"-"&amp;TEXT(($D802-$C802+1)+18,"00"),"")&amp;IF($C802&gt;=20,", "&amp;$A802&amp;"-"&amp;TEXT(($D802-$C802+1)+19,"00"),"")&amp;IF($C802&gt;=21,", "&amp;$A802&amp;"-"&amp;TEXT(($D802-$C802+1)+20,"00"),"")&amp;IF($C802&gt;=22,", "&amp;$A802&amp;"-"&amp;TEXT(($D802-$C802+1)+21,"00"),"")&amp;IF($C802&gt;=23,", "&amp;$A802&amp;"-"&amp;TEXT(($D802-$C802+1)+22,"00"),"")&amp;IF($C802&gt;=24,", "&amp;$A802&amp;"-"&amp;TEXT(($D802-$C802+1)+23,"00"),"")&amp;IF($C802&gt;=25,", "&amp;$A802&amp;"-"&amp;TEXT(($D802-$C802+1)+24,"00"),""))</f>
        <v/>
      </c>
      <c r="G802">
        <f>IF($A802="","",IF($E802=1,$F802,IF($F802="",$G801,IF($G801="",$F802,$G801&amp;", "&amp;$F802))))</f>
        <v/>
      </c>
      <c r="H802">
        <f>IF($A802="","",$A802&amp;" ("&amp;$C802&amp;")")</f>
        <v/>
      </c>
      <c r="I802">
        <f>IF($A802="","",IF($E802=1,$H802,$I801&amp;", "&amp;$H802))</f>
        <v/>
      </c>
      <c r="J802">
        <f>IF($A802="","",IF($E802=1,$B802,""))</f>
        <v/>
      </c>
      <c r="K802">
        <f>IF($A802="","",IF(COUNTIF($B$2:$B802,$B802)=COUNTIF($B$2:$B$1601,$B802),$B802,""))</f>
        <v/>
      </c>
    </row>
    <row r="803">
      <c r="A803">
        <f>IF('TMP Paste'!$E803="","",'TMP Paste'!$E803)</f>
        <v/>
      </c>
      <c r="B803">
        <f>IF($A803="","",COUNTIF('TMP Paste'!$B$2:$B803,"?*"))</f>
        <v/>
      </c>
      <c r="C803">
        <f>IF($A803="","",IFERROR('TMP Paste'!$M803*1,0))</f>
        <v/>
      </c>
      <c r="D803">
        <f>IF($A803="","",SUMIF($B$2:$B803,$B803,$C$2:$C803))</f>
        <v/>
      </c>
      <c r="E803">
        <f>IF($A803="",0,IF('TMP Paste'!$B803="",0,1))</f>
        <v/>
      </c>
      <c r="F803">
        <f>IF(OR($A803="",$C803&lt;1),"",$A803&amp;"-"&amp;TEXT(($D803-$C803+1),"00")&amp;IF($C803&gt;=2,", "&amp;$A803&amp;"-"&amp;TEXT(($D803-$C803+1)+1,"00"),"")&amp;IF($C803&gt;=3,", "&amp;$A803&amp;"-"&amp;TEXT(($D803-$C803+1)+2,"00"),"")&amp;IF($C803&gt;=4,", "&amp;$A803&amp;"-"&amp;TEXT(($D803-$C803+1)+3,"00"),"")&amp;IF($C803&gt;=5,", "&amp;$A803&amp;"-"&amp;TEXT(($D803-$C803+1)+4,"00"),"")&amp;IF($C803&gt;=6,", "&amp;$A803&amp;"-"&amp;TEXT(($D803-$C803+1)+5,"00"),"")&amp;IF($C803&gt;=7,", "&amp;$A803&amp;"-"&amp;TEXT(($D803-$C803+1)+6,"00"),"")&amp;IF($C803&gt;=8,", "&amp;$A803&amp;"-"&amp;TEXT(($D803-$C803+1)+7,"00"),"")&amp;IF($C803&gt;=9,", "&amp;$A803&amp;"-"&amp;TEXT(($D803-$C803+1)+8,"00"),"")&amp;IF($C803&gt;=10,", "&amp;$A803&amp;"-"&amp;TEXT(($D803-$C803+1)+9,"00"),"")&amp;IF($C803&gt;=11,", "&amp;$A803&amp;"-"&amp;TEXT(($D803-$C803+1)+10,"00"),"")&amp;IF($C803&gt;=12,", "&amp;$A803&amp;"-"&amp;TEXT(($D803-$C803+1)+11,"00"),"")&amp;IF($C803&gt;=13,", "&amp;$A803&amp;"-"&amp;TEXT(($D803-$C803+1)+12,"00"),"")&amp;IF($C803&gt;=14,", "&amp;$A803&amp;"-"&amp;TEXT(($D803-$C803+1)+13,"00"),"")&amp;IF($C803&gt;=15,", "&amp;$A803&amp;"-"&amp;TEXT(($D803-$C803+1)+14,"00"),"")&amp;IF($C803&gt;=16,", "&amp;$A803&amp;"-"&amp;TEXT(($D803-$C803+1)+15,"00"),"")&amp;IF($C803&gt;=17,", "&amp;$A803&amp;"-"&amp;TEXT(($D803-$C803+1)+16,"00"),"")&amp;IF($C803&gt;=18,", "&amp;$A803&amp;"-"&amp;TEXT(($D803-$C803+1)+17,"00"),"")&amp;IF($C803&gt;=19,", "&amp;$A803&amp;"-"&amp;TEXT(($D803-$C803+1)+18,"00"),"")&amp;IF($C803&gt;=20,", "&amp;$A803&amp;"-"&amp;TEXT(($D803-$C803+1)+19,"00"),"")&amp;IF($C803&gt;=21,", "&amp;$A803&amp;"-"&amp;TEXT(($D803-$C803+1)+20,"00"),"")&amp;IF($C803&gt;=22,", "&amp;$A803&amp;"-"&amp;TEXT(($D803-$C803+1)+21,"00"),"")&amp;IF($C803&gt;=23,", "&amp;$A803&amp;"-"&amp;TEXT(($D803-$C803+1)+22,"00"),"")&amp;IF($C803&gt;=24,", "&amp;$A803&amp;"-"&amp;TEXT(($D803-$C803+1)+23,"00"),"")&amp;IF($C803&gt;=25,", "&amp;$A803&amp;"-"&amp;TEXT(($D803-$C803+1)+24,"00"),""))</f>
        <v/>
      </c>
      <c r="G803">
        <f>IF($A803="","",IF($E803=1,$F803,IF($F803="",$G802,IF($G802="",$F803,$G802&amp;", "&amp;$F803))))</f>
        <v/>
      </c>
      <c r="H803">
        <f>IF($A803="","",$A803&amp;" ("&amp;$C803&amp;")")</f>
        <v/>
      </c>
      <c r="I803">
        <f>IF($A803="","",IF($E803=1,$H803,$I802&amp;", "&amp;$H803))</f>
        <v/>
      </c>
      <c r="J803">
        <f>IF($A803="","",IF($E803=1,$B803,""))</f>
        <v/>
      </c>
      <c r="K803">
        <f>IF($A803="","",IF(COUNTIF($B$2:$B803,$B803)=COUNTIF($B$2:$B$1601,$B803),$B803,""))</f>
        <v/>
      </c>
    </row>
    <row r="804">
      <c r="A804">
        <f>IF('TMP Paste'!$E804="","",'TMP Paste'!$E804)</f>
        <v/>
      </c>
      <c r="B804">
        <f>IF($A804="","",COUNTIF('TMP Paste'!$B$2:$B804,"?*"))</f>
        <v/>
      </c>
      <c r="C804">
        <f>IF($A804="","",IFERROR('TMP Paste'!$M804*1,0))</f>
        <v/>
      </c>
      <c r="D804">
        <f>IF($A804="","",SUMIF($B$2:$B804,$B804,$C$2:$C804))</f>
        <v/>
      </c>
      <c r="E804">
        <f>IF($A804="",0,IF('TMP Paste'!$B804="",0,1))</f>
        <v/>
      </c>
      <c r="F804">
        <f>IF(OR($A804="",$C804&lt;1),"",$A804&amp;"-"&amp;TEXT(($D804-$C804+1),"00")&amp;IF($C804&gt;=2,", "&amp;$A804&amp;"-"&amp;TEXT(($D804-$C804+1)+1,"00"),"")&amp;IF($C804&gt;=3,", "&amp;$A804&amp;"-"&amp;TEXT(($D804-$C804+1)+2,"00"),"")&amp;IF($C804&gt;=4,", "&amp;$A804&amp;"-"&amp;TEXT(($D804-$C804+1)+3,"00"),"")&amp;IF($C804&gt;=5,", "&amp;$A804&amp;"-"&amp;TEXT(($D804-$C804+1)+4,"00"),"")&amp;IF($C804&gt;=6,", "&amp;$A804&amp;"-"&amp;TEXT(($D804-$C804+1)+5,"00"),"")&amp;IF($C804&gt;=7,", "&amp;$A804&amp;"-"&amp;TEXT(($D804-$C804+1)+6,"00"),"")&amp;IF($C804&gt;=8,", "&amp;$A804&amp;"-"&amp;TEXT(($D804-$C804+1)+7,"00"),"")&amp;IF($C804&gt;=9,", "&amp;$A804&amp;"-"&amp;TEXT(($D804-$C804+1)+8,"00"),"")&amp;IF($C804&gt;=10,", "&amp;$A804&amp;"-"&amp;TEXT(($D804-$C804+1)+9,"00"),"")&amp;IF($C804&gt;=11,", "&amp;$A804&amp;"-"&amp;TEXT(($D804-$C804+1)+10,"00"),"")&amp;IF($C804&gt;=12,", "&amp;$A804&amp;"-"&amp;TEXT(($D804-$C804+1)+11,"00"),"")&amp;IF($C804&gt;=13,", "&amp;$A804&amp;"-"&amp;TEXT(($D804-$C804+1)+12,"00"),"")&amp;IF($C804&gt;=14,", "&amp;$A804&amp;"-"&amp;TEXT(($D804-$C804+1)+13,"00"),"")&amp;IF($C804&gt;=15,", "&amp;$A804&amp;"-"&amp;TEXT(($D804-$C804+1)+14,"00"),"")&amp;IF($C804&gt;=16,", "&amp;$A804&amp;"-"&amp;TEXT(($D804-$C804+1)+15,"00"),"")&amp;IF($C804&gt;=17,", "&amp;$A804&amp;"-"&amp;TEXT(($D804-$C804+1)+16,"00"),"")&amp;IF($C804&gt;=18,", "&amp;$A804&amp;"-"&amp;TEXT(($D804-$C804+1)+17,"00"),"")&amp;IF($C804&gt;=19,", "&amp;$A804&amp;"-"&amp;TEXT(($D804-$C804+1)+18,"00"),"")&amp;IF($C804&gt;=20,", "&amp;$A804&amp;"-"&amp;TEXT(($D804-$C804+1)+19,"00"),"")&amp;IF($C804&gt;=21,", "&amp;$A804&amp;"-"&amp;TEXT(($D804-$C804+1)+20,"00"),"")&amp;IF($C804&gt;=22,", "&amp;$A804&amp;"-"&amp;TEXT(($D804-$C804+1)+21,"00"),"")&amp;IF($C804&gt;=23,", "&amp;$A804&amp;"-"&amp;TEXT(($D804-$C804+1)+22,"00"),"")&amp;IF($C804&gt;=24,", "&amp;$A804&amp;"-"&amp;TEXT(($D804-$C804+1)+23,"00"),"")&amp;IF($C804&gt;=25,", "&amp;$A804&amp;"-"&amp;TEXT(($D804-$C804+1)+24,"00"),""))</f>
        <v/>
      </c>
      <c r="G804">
        <f>IF($A804="","",IF($E804=1,$F804,IF($F804="",$G803,IF($G803="",$F804,$G803&amp;", "&amp;$F804))))</f>
        <v/>
      </c>
      <c r="H804">
        <f>IF($A804="","",$A804&amp;" ("&amp;$C804&amp;")")</f>
        <v/>
      </c>
      <c r="I804">
        <f>IF($A804="","",IF($E804=1,$H804,$I803&amp;", "&amp;$H804))</f>
        <v/>
      </c>
      <c r="J804">
        <f>IF($A804="","",IF($E804=1,$B804,""))</f>
        <v/>
      </c>
      <c r="K804">
        <f>IF($A804="","",IF(COUNTIF($B$2:$B804,$B804)=COUNTIF($B$2:$B$1601,$B804),$B804,""))</f>
        <v/>
      </c>
    </row>
    <row r="805">
      <c r="A805">
        <f>IF('TMP Paste'!$E805="","",'TMP Paste'!$E805)</f>
        <v/>
      </c>
      <c r="B805">
        <f>IF($A805="","",COUNTIF('TMP Paste'!$B$2:$B805,"?*"))</f>
        <v/>
      </c>
      <c r="C805">
        <f>IF($A805="","",IFERROR('TMP Paste'!$M805*1,0))</f>
        <v/>
      </c>
      <c r="D805">
        <f>IF($A805="","",SUMIF($B$2:$B805,$B805,$C$2:$C805))</f>
        <v/>
      </c>
      <c r="E805">
        <f>IF($A805="",0,IF('TMP Paste'!$B805="",0,1))</f>
        <v/>
      </c>
      <c r="F805">
        <f>IF(OR($A805="",$C805&lt;1),"",$A805&amp;"-"&amp;TEXT(($D805-$C805+1),"00")&amp;IF($C805&gt;=2,", "&amp;$A805&amp;"-"&amp;TEXT(($D805-$C805+1)+1,"00"),"")&amp;IF($C805&gt;=3,", "&amp;$A805&amp;"-"&amp;TEXT(($D805-$C805+1)+2,"00"),"")&amp;IF($C805&gt;=4,", "&amp;$A805&amp;"-"&amp;TEXT(($D805-$C805+1)+3,"00"),"")&amp;IF($C805&gt;=5,", "&amp;$A805&amp;"-"&amp;TEXT(($D805-$C805+1)+4,"00"),"")&amp;IF($C805&gt;=6,", "&amp;$A805&amp;"-"&amp;TEXT(($D805-$C805+1)+5,"00"),"")&amp;IF($C805&gt;=7,", "&amp;$A805&amp;"-"&amp;TEXT(($D805-$C805+1)+6,"00"),"")&amp;IF($C805&gt;=8,", "&amp;$A805&amp;"-"&amp;TEXT(($D805-$C805+1)+7,"00"),"")&amp;IF($C805&gt;=9,", "&amp;$A805&amp;"-"&amp;TEXT(($D805-$C805+1)+8,"00"),"")&amp;IF($C805&gt;=10,", "&amp;$A805&amp;"-"&amp;TEXT(($D805-$C805+1)+9,"00"),"")&amp;IF($C805&gt;=11,", "&amp;$A805&amp;"-"&amp;TEXT(($D805-$C805+1)+10,"00"),"")&amp;IF($C805&gt;=12,", "&amp;$A805&amp;"-"&amp;TEXT(($D805-$C805+1)+11,"00"),"")&amp;IF($C805&gt;=13,", "&amp;$A805&amp;"-"&amp;TEXT(($D805-$C805+1)+12,"00"),"")&amp;IF($C805&gt;=14,", "&amp;$A805&amp;"-"&amp;TEXT(($D805-$C805+1)+13,"00"),"")&amp;IF($C805&gt;=15,", "&amp;$A805&amp;"-"&amp;TEXT(($D805-$C805+1)+14,"00"),"")&amp;IF($C805&gt;=16,", "&amp;$A805&amp;"-"&amp;TEXT(($D805-$C805+1)+15,"00"),"")&amp;IF($C805&gt;=17,", "&amp;$A805&amp;"-"&amp;TEXT(($D805-$C805+1)+16,"00"),"")&amp;IF($C805&gt;=18,", "&amp;$A805&amp;"-"&amp;TEXT(($D805-$C805+1)+17,"00"),"")&amp;IF($C805&gt;=19,", "&amp;$A805&amp;"-"&amp;TEXT(($D805-$C805+1)+18,"00"),"")&amp;IF($C805&gt;=20,", "&amp;$A805&amp;"-"&amp;TEXT(($D805-$C805+1)+19,"00"),"")&amp;IF($C805&gt;=21,", "&amp;$A805&amp;"-"&amp;TEXT(($D805-$C805+1)+20,"00"),"")&amp;IF($C805&gt;=22,", "&amp;$A805&amp;"-"&amp;TEXT(($D805-$C805+1)+21,"00"),"")&amp;IF($C805&gt;=23,", "&amp;$A805&amp;"-"&amp;TEXT(($D805-$C805+1)+22,"00"),"")&amp;IF($C805&gt;=24,", "&amp;$A805&amp;"-"&amp;TEXT(($D805-$C805+1)+23,"00"),"")&amp;IF($C805&gt;=25,", "&amp;$A805&amp;"-"&amp;TEXT(($D805-$C805+1)+24,"00"),""))</f>
        <v/>
      </c>
      <c r="G805">
        <f>IF($A805="","",IF($E805=1,$F805,IF($F805="",$G804,IF($G804="",$F805,$G804&amp;", "&amp;$F805))))</f>
        <v/>
      </c>
      <c r="H805">
        <f>IF($A805="","",$A805&amp;" ("&amp;$C805&amp;")")</f>
        <v/>
      </c>
      <c r="I805">
        <f>IF($A805="","",IF($E805=1,$H805,$I804&amp;", "&amp;$H805))</f>
        <v/>
      </c>
      <c r="J805">
        <f>IF($A805="","",IF($E805=1,$B805,""))</f>
        <v/>
      </c>
      <c r="K805">
        <f>IF($A805="","",IF(COUNTIF($B$2:$B805,$B805)=COUNTIF($B$2:$B$1601,$B805),$B805,""))</f>
        <v/>
      </c>
    </row>
    <row r="806">
      <c r="A806">
        <f>IF('TMP Paste'!$E806="","",'TMP Paste'!$E806)</f>
        <v/>
      </c>
      <c r="B806">
        <f>IF($A806="","",COUNTIF('TMP Paste'!$B$2:$B806,"?*"))</f>
        <v/>
      </c>
      <c r="C806">
        <f>IF($A806="","",IFERROR('TMP Paste'!$M806*1,0))</f>
        <v/>
      </c>
      <c r="D806">
        <f>IF($A806="","",SUMIF($B$2:$B806,$B806,$C$2:$C806))</f>
        <v/>
      </c>
      <c r="E806">
        <f>IF($A806="",0,IF('TMP Paste'!$B806="",0,1))</f>
        <v/>
      </c>
      <c r="F806">
        <f>IF(OR($A806="",$C806&lt;1),"",$A806&amp;"-"&amp;TEXT(($D806-$C806+1),"00")&amp;IF($C806&gt;=2,", "&amp;$A806&amp;"-"&amp;TEXT(($D806-$C806+1)+1,"00"),"")&amp;IF($C806&gt;=3,", "&amp;$A806&amp;"-"&amp;TEXT(($D806-$C806+1)+2,"00"),"")&amp;IF($C806&gt;=4,", "&amp;$A806&amp;"-"&amp;TEXT(($D806-$C806+1)+3,"00"),"")&amp;IF($C806&gt;=5,", "&amp;$A806&amp;"-"&amp;TEXT(($D806-$C806+1)+4,"00"),"")&amp;IF($C806&gt;=6,", "&amp;$A806&amp;"-"&amp;TEXT(($D806-$C806+1)+5,"00"),"")&amp;IF($C806&gt;=7,", "&amp;$A806&amp;"-"&amp;TEXT(($D806-$C806+1)+6,"00"),"")&amp;IF($C806&gt;=8,", "&amp;$A806&amp;"-"&amp;TEXT(($D806-$C806+1)+7,"00"),"")&amp;IF($C806&gt;=9,", "&amp;$A806&amp;"-"&amp;TEXT(($D806-$C806+1)+8,"00"),"")&amp;IF($C806&gt;=10,", "&amp;$A806&amp;"-"&amp;TEXT(($D806-$C806+1)+9,"00"),"")&amp;IF($C806&gt;=11,", "&amp;$A806&amp;"-"&amp;TEXT(($D806-$C806+1)+10,"00"),"")&amp;IF($C806&gt;=12,", "&amp;$A806&amp;"-"&amp;TEXT(($D806-$C806+1)+11,"00"),"")&amp;IF($C806&gt;=13,", "&amp;$A806&amp;"-"&amp;TEXT(($D806-$C806+1)+12,"00"),"")&amp;IF($C806&gt;=14,", "&amp;$A806&amp;"-"&amp;TEXT(($D806-$C806+1)+13,"00"),"")&amp;IF($C806&gt;=15,", "&amp;$A806&amp;"-"&amp;TEXT(($D806-$C806+1)+14,"00"),"")&amp;IF($C806&gt;=16,", "&amp;$A806&amp;"-"&amp;TEXT(($D806-$C806+1)+15,"00"),"")&amp;IF($C806&gt;=17,", "&amp;$A806&amp;"-"&amp;TEXT(($D806-$C806+1)+16,"00"),"")&amp;IF($C806&gt;=18,", "&amp;$A806&amp;"-"&amp;TEXT(($D806-$C806+1)+17,"00"),"")&amp;IF($C806&gt;=19,", "&amp;$A806&amp;"-"&amp;TEXT(($D806-$C806+1)+18,"00"),"")&amp;IF($C806&gt;=20,", "&amp;$A806&amp;"-"&amp;TEXT(($D806-$C806+1)+19,"00"),"")&amp;IF($C806&gt;=21,", "&amp;$A806&amp;"-"&amp;TEXT(($D806-$C806+1)+20,"00"),"")&amp;IF($C806&gt;=22,", "&amp;$A806&amp;"-"&amp;TEXT(($D806-$C806+1)+21,"00"),"")&amp;IF($C806&gt;=23,", "&amp;$A806&amp;"-"&amp;TEXT(($D806-$C806+1)+22,"00"),"")&amp;IF($C806&gt;=24,", "&amp;$A806&amp;"-"&amp;TEXT(($D806-$C806+1)+23,"00"),"")&amp;IF($C806&gt;=25,", "&amp;$A806&amp;"-"&amp;TEXT(($D806-$C806+1)+24,"00"),""))</f>
        <v/>
      </c>
      <c r="G806">
        <f>IF($A806="","",IF($E806=1,$F806,IF($F806="",$G805,IF($G805="",$F806,$G805&amp;", "&amp;$F806))))</f>
        <v/>
      </c>
      <c r="H806">
        <f>IF($A806="","",$A806&amp;" ("&amp;$C806&amp;")")</f>
        <v/>
      </c>
      <c r="I806">
        <f>IF($A806="","",IF($E806=1,$H806,$I805&amp;", "&amp;$H806))</f>
        <v/>
      </c>
      <c r="J806">
        <f>IF($A806="","",IF($E806=1,$B806,""))</f>
        <v/>
      </c>
      <c r="K806">
        <f>IF($A806="","",IF(COUNTIF($B$2:$B806,$B806)=COUNTIF($B$2:$B$1601,$B806),$B806,""))</f>
        <v/>
      </c>
    </row>
    <row r="807">
      <c r="A807">
        <f>IF('TMP Paste'!$E807="","",'TMP Paste'!$E807)</f>
        <v/>
      </c>
      <c r="B807">
        <f>IF($A807="","",COUNTIF('TMP Paste'!$B$2:$B807,"?*"))</f>
        <v/>
      </c>
      <c r="C807">
        <f>IF($A807="","",IFERROR('TMP Paste'!$M807*1,0))</f>
        <v/>
      </c>
      <c r="D807">
        <f>IF($A807="","",SUMIF($B$2:$B807,$B807,$C$2:$C807))</f>
        <v/>
      </c>
      <c r="E807">
        <f>IF($A807="",0,IF('TMP Paste'!$B807="",0,1))</f>
        <v/>
      </c>
      <c r="F807">
        <f>IF(OR($A807="",$C807&lt;1),"",$A807&amp;"-"&amp;TEXT(($D807-$C807+1),"00")&amp;IF($C807&gt;=2,", "&amp;$A807&amp;"-"&amp;TEXT(($D807-$C807+1)+1,"00"),"")&amp;IF($C807&gt;=3,", "&amp;$A807&amp;"-"&amp;TEXT(($D807-$C807+1)+2,"00"),"")&amp;IF($C807&gt;=4,", "&amp;$A807&amp;"-"&amp;TEXT(($D807-$C807+1)+3,"00"),"")&amp;IF($C807&gt;=5,", "&amp;$A807&amp;"-"&amp;TEXT(($D807-$C807+1)+4,"00"),"")&amp;IF($C807&gt;=6,", "&amp;$A807&amp;"-"&amp;TEXT(($D807-$C807+1)+5,"00"),"")&amp;IF($C807&gt;=7,", "&amp;$A807&amp;"-"&amp;TEXT(($D807-$C807+1)+6,"00"),"")&amp;IF($C807&gt;=8,", "&amp;$A807&amp;"-"&amp;TEXT(($D807-$C807+1)+7,"00"),"")&amp;IF($C807&gt;=9,", "&amp;$A807&amp;"-"&amp;TEXT(($D807-$C807+1)+8,"00"),"")&amp;IF($C807&gt;=10,", "&amp;$A807&amp;"-"&amp;TEXT(($D807-$C807+1)+9,"00"),"")&amp;IF($C807&gt;=11,", "&amp;$A807&amp;"-"&amp;TEXT(($D807-$C807+1)+10,"00"),"")&amp;IF($C807&gt;=12,", "&amp;$A807&amp;"-"&amp;TEXT(($D807-$C807+1)+11,"00"),"")&amp;IF($C807&gt;=13,", "&amp;$A807&amp;"-"&amp;TEXT(($D807-$C807+1)+12,"00"),"")&amp;IF($C807&gt;=14,", "&amp;$A807&amp;"-"&amp;TEXT(($D807-$C807+1)+13,"00"),"")&amp;IF($C807&gt;=15,", "&amp;$A807&amp;"-"&amp;TEXT(($D807-$C807+1)+14,"00"),"")&amp;IF($C807&gt;=16,", "&amp;$A807&amp;"-"&amp;TEXT(($D807-$C807+1)+15,"00"),"")&amp;IF($C807&gt;=17,", "&amp;$A807&amp;"-"&amp;TEXT(($D807-$C807+1)+16,"00"),"")&amp;IF($C807&gt;=18,", "&amp;$A807&amp;"-"&amp;TEXT(($D807-$C807+1)+17,"00"),"")&amp;IF($C807&gt;=19,", "&amp;$A807&amp;"-"&amp;TEXT(($D807-$C807+1)+18,"00"),"")&amp;IF($C807&gt;=20,", "&amp;$A807&amp;"-"&amp;TEXT(($D807-$C807+1)+19,"00"),"")&amp;IF($C807&gt;=21,", "&amp;$A807&amp;"-"&amp;TEXT(($D807-$C807+1)+20,"00"),"")&amp;IF($C807&gt;=22,", "&amp;$A807&amp;"-"&amp;TEXT(($D807-$C807+1)+21,"00"),"")&amp;IF($C807&gt;=23,", "&amp;$A807&amp;"-"&amp;TEXT(($D807-$C807+1)+22,"00"),"")&amp;IF($C807&gt;=24,", "&amp;$A807&amp;"-"&amp;TEXT(($D807-$C807+1)+23,"00"),"")&amp;IF($C807&gt;=25,", "&amp;$A807&amp;"-"&amp;TEXT(($D807-$C807+1)+24,"00"),""))</f>
        <v/>
      </c>
      <c r="G807">
        <f>IF($A807="","",IF($E807=1,$F807,IF($F807="",$G806,IF($G806="",$F807,$G806&amp;", "&amp;$F807))))</f>
        <v/>
      </c>
      <c r="H807">
        <f>IF($A807="","",$A807&amp;" ("&amp;$C807&amp;")")</f>
        <v/>
      </c>
      <c r="I807">
        <f>IF($A807="","",IF($E807=1,$H807,$I806&amp;", "&amp;$H807))</f>
        <v/>
      </c>
      <c r="J807">
        <f>IF($A807="","",IF($E807=1,$B807,""))</f>
        <v/>
      </c>
      <c r="K807">
        <f>IF($A807="","",IF(COUNTIF($B$2:$B807,$B807)=COUNTIF($B$2:$B$1601,$B807),$B807,""))</f>
        <v/>
      </c>
    </row>
    <row r="808">
      <c r="A808">
        <f>IF('TMP Paste'!$E808="","",'TMP Paste'!$E808)</f>
        <v/>
      </c>
      <c r="B808">
        <f>IF($A808="","",COUNTIF('TMP Paste'!$B$2:$B808,"?*"))</f>
        <v/>
      </c>
      <c r="C808">
        <f>IF($A808="","",IFERROR('TMP Paste'!$M808*1,0))</f>
        <v/>
      </c>
      <c r="D808">
        <f>IF($A808="","",SUMIF($B$2:$B808,$B808,$C$2:$C808))</f>
        <v/>
      </c>
      <c r="E808">
        <f>IF($A808="",0,IF('TMP Paste'!$B808="",0,1))</f>
        <v/>
      </c>
      <c r="F808">
        <f>IF(OR($A808="",$C808&lt;1),"",$A808&amp;"-"&amp;TEXT(($D808-$C808+1),"00")&amp;IF($C808&gt;=2,", "&amp;$A808&amp;"-"&amp;TEXT(($D808-$C808+1)+1,"00"),"")&amp;IF($C808&gt;=3,", "&amp;$A808&amp;"-"&amp;TEXT(($D808-$C808+1)+2,"00"),"")&amp;IF($C808&gt;=4,", "&amp;$A808&amp;"-"&amp;TEXT(($D808-$C808+1)+3,"00"),"")&amp;IF($C808&gt;=5,", "&amp;$A808&amp;"-"&amp;TEXT(($D808-$C808+1)+4,"00"),"")&amp;IF($C808&gt;=6,", "&amp;$A808&amp;"-"&amp;TEXT(($D808-$C808+1)+5,"00"),"")&amp;IF($C808&gt;=7,", "&amp;$A808&amp;"-"&amp;TEXT(($D808-$C808+1)+6,"00"),"")&amp;IF($C808&gt;=8,", "&amp;$A808&amp;"-"&amp;TEXT(($D808-$C808+1)+7,"00"),"")&amp;IF($C808&gt;=9,", "&amp;$A808&amp;"-"&amp;TEXT(($D808-$C808+1)+8,"00"),"")&amp;IF($C808&gt;=10,", "&amp;$A808&amp;"-"&amp;TEXT(($D808-$C808+1)+9,"00"),"")&amp;IF($C808&gt;=11,", "&amp;$A808&amp;"-"&amp;TEXT(($D808-$C808+1)+10,"00"),"")&amp;IF($C808&gt;=12,", "&amp;$A808&amp;"-"&amp;TEXT(($D808-$C808+1)+11,"00"),"")&amp;IF($C808&gt;=13,", "&amp;$A808&amp;"-"&amp;TEXT(($D808-$C808+1)+12,"00"),"")&amp;IF($C808&gt;=14,", "&amp;$A808&amp;"-"&amp;TEXT(($D808-$C808+1)+13,"00"),"")&amp;IF($C808&gt;=15,", "&amp;$A808&amp;"-"&amp;TEXT(($D808-$C808+1)+14,"00"),"")&amp;IF($C808&gt;=16,", "&amp;$A808&amp;"-"&amp;TEXT(($D808-$C808+1)+15,"00"),"")&amp;IF($C808&gt;=17,", "&amp;$A808&amp;"-"&amp;TEXT(($D808-$C808+1)+16,"00"),"")&amp;IF($C808&gt;=18,", "&amp;$A808&amp;"-"&amp;TEXT(($D808-$C808+1)+17,"00"),"")&amp;IF($C808&gt;=19,", "&amp;$A808&amp;"-"&amp;TEXT(($D808-$C808+1)+18,"00"),"")&amp;IF($C808&gt;=20,", "&amp;$A808&amp;"-"&amp;TEXT(($D808-$C808+1)+19,"00"),"")&amp;IF($C808&gt;=21,", "&amp;$A808&amp;"-"&amp;TEXT(($D808-$C808+1)+20,"00"),"")&amp;IF($C808&gt;=22,", "&amp;$A808&amp;"-"&amp;TEXT(($D808-$C808+1)+21,"00"),"")&amp;IF($C808&gt;=23,", "&amp;$A808&amp;"-"&amp;TEXT(($D808-$C808+1)+22,"00"),"")&amp;IF($C808&gt;=24,", "&amp;$A808&amp;"-"&amp;TEXT(($D808-$C808+1)+23,"00"),"")&amp;IF($C808&gt;=25,", "&amp;$A808&amp;"-"&amp;TEXT(($D808-$C808+1)+24,"00"),""))</f>
        <v/>
      </c>
      <c r="G808">
        <f>IF($A808="","",IF($E808=1,$F808,IF($F808="",$G807,IF($G807="",$F808,$G807&amp;", "&amp;$F808))))</f>
        <v/>
      </c>
      <c r="H808">
        <f>IF($A808="","",$A808&amp;" ("&amp;$C808&amp;")")</f>
        <v/>
      </c>
      <c r="I808">
        <f>IF($A808="","",IF($E808=1,$H808,$I807&amp;", "&amp;$H808))</f>
        <v/>
      </c>
      <c r="J808">
        <f>IF($A808="","",IF($E808=1,$B808,""))</f>
        <v/>
      </c>
      <c r="K808">
        <f>IF($A808="","",IF(COUNTIF($B$2:$B808,$B808)=COUNTIF($B$2:$B$1601,$B808),$B808,""))</f>
        <v/>
      </c>
    </row>
    <row r="809">
      <c r="A809">
        <f>IF('TMP Paste'!$E809="","",'TMP Paste'!$E809)</f>
        <v/>
      </c>
      <c r="B809">
        <f>IF($A809="","",COUNTIF('TMP Paste'!$B$2:$B809,"?*"))</f>
        <v/>
      </c>
      <c r="C809">
        <f>IF($A809="","",IFERROR('TMP Paste'!$M809*1,0))</f>
        <v/>
      </c>
      <c r="D809">
        <f>IF($A809="","",SUMIF($B$2:$B809,$B809,$C$2:$C809))</f>
        <v/>
      </c>
      <c r="E809">
        <f>IF($A809="",0,IF('TMP Paste'!$B809="",0,1))</f>
        <v/>
      </c>
      <c r="F809">
        <f>IF(OR($A809="",$C809&lt;1),"",$A809&amp;"-"&amp;TEXT(($D809-$C809+1),"00")&amp;IF($C809&gt;=2,", "&amp;$A809&amp;"-"&amp;TEXT(($D809-$C809+1)+1,"00"),"")&amp;IF($C809&gt;=3,", "&amp;$A809&amp;"-"&amp;TEXT(($D809-$C809+1)+2,"00"),"")&amp;IF($C809&gt;=4,", "&amp;$A809&amp;"-"&amp;TEXT(($D809-$C809+1)+3,"00"),"")&amp;IF($C809&gt;=5,", "&amp;$A809&amp;"-"&amp;TEXT(($D809-$C809+1)+4,"00"),"")&amp;IF($C809&gt;=6,", "&amp;$A809&amp;"-"&amp;TEXT(($D809-$C809+1)+5,"00"),"")&amp;IF($C809&gt;=7,", "&amp;$A809&amp;"-"&amp;TEXT(($D809-$C809+1)+6,"00"),"")&amp;IF($C809&gt;=8,", "&amp;$A809&amp;"-"&amp;TEXT(($D809-$C809+1)+7,"00"),"")&amp;IF($C809&gt;=9,", "&amp;$A809&amp;"-"&amp;TEXT(($D809-$C809+1)+8,"00"),"")&amp;IF($C809&gt;=10,", "&amp;$A809&amp;"-"&amp;TEXT(($D809-$C809+1)+9,"00"),"")&amp;IF($C809&gt;=11,", "&amp;$A809&amp;"-"&amp;TEXT(($D809-$C809+1)+10,"00"),"")&amp;IF($C809&gt;=12,", "&amp;$A809&amp;"-"&amp;TEXT(($D809-$C809+1)+11,"00"),"")&amp;IF($C809&gt;=13,", "&amp;$A809&amp;"-"&amp;TEXT(($D809-$C809+1)+12,"00"),"")&amp;IF($C809&gt;=14,", "&amp;$A809&amp;"-"&amp;TEXT(($D809-$C809+1)+13,"00"),"")&amp;IF($C809&gt;=15,", "&amp;$A809&amp;"-"&amp;TEXT(($D809-$C809+1)+14,"00"),"")&amp;IF($C809&gt;=16,", "&amp;$A809&amp;"-"&amp;TEXT(($D809-$C809+1)+15,"00"),"")&amp;IF($C809&gt;=17,", "&amp;$A809&amp;"-"&amp;TEXT(($D809-$C809+1)+16,"00"),"")&amp;IF($C809&gt;=18,", "&amp;$A809&amp;"-"&amp;TEXT(($D809-$C809+1)+17,"00"),"")&amp;IF($C809&gt;=19,", "&amp;$A809&amp;"-"&amp;TEXT(($D809-$C809+1)+18,"00"),"")&amp;IF($C809&gt;=20,", "&amp;$A809&amp;"-"&amp;TEXT(($D809-$C809+1)+19,"00"),"")&amp;IF($C809&gt;=21,", "&amp;$A809&amp;"-"&amp;TEXT(($D809-$C809+1)+20,"00"),"")&amp;IF($C809&gt;=22,", "&amp;$A809&amp;"-"&amp;TEXT(($D809-$C809+1)+21,"00"),"")&amp;IF($C809&gt;=23,", "&amp;$A809&amp;"-"&amp;TEXT(($D809-$C809+1)+22,"00"),"")&amp;IF($C809&gt;=24,", "&amp;$A809&amp;"-"&amp;TEXT(($D809-$C809+1)+23,"00"),"")&amp;IF($C809&gt;=25,", "&amp;$A809&amp;"-"&amp;TEXT(($D809-$C809+1)+24,"00"),""))</f>
        <v/>
      </c>
      <c r="G809">
        <f>IF($A809="","",IF($E809=1,$F809,IF($F809="",$G808,IF($G808="",$F809,$G808&amp;", "&amp;$F809))))</f>
        <v/>
      </c>
      <c r="H809">
        <f>IF($A809="","",$A809&amp;" ("&amp;$C809&amp;")")</f>
        <v/>
      </c>
      <c r="I809">
        <f>IF($A809="","",IF($E809=1,$H809,$I808&amp;", "&amp;$H809))</f>
        <v/>
      </c>
      <c r="J809">
        <f>IF($A809="","",IF($E809=1,$B809,""))</f>
        <v/>
      </c>
      <c r="K809">
        <f>IF($A809="","",IF(COUNTIF($B$2:$B809,$B809)=COUNTIF($B$2:$B$1601,$B809),$B809,""))</f>
        <v/>
      </c>
    </row>
    <row r="810">
      <c r="A810">
        <f>IF('TMP Paste'!$E810="","",'TMP Paste'!$E810)</f>
        <v/>
      </c>
      <c r="B810">
        <f>IF($A810="","",COUNTIF('TMP Paste'!$B$2:$B810,"?*"))</f>
        <v/>
      </c>
      <c r="C810">
        <f>IF($A810="","",IFERROR('TMP Paste'!$M810*1,0))</f>
        <v/>
      </c>
      <c r="D810">
        <f>IF($A810="","",SUMIF($B$2:$B810,$B810,$C$2:$C810))</f>
        <v/>
      </c>
      <c r="E810">
        <f>IF($A810="",0,IF('TMP Paste'!$B810="",0,1))</f>
        <v/>
      </c>
      <c r="F810">
        <f>IF(OR($A810="",$C810&lt;1),"",$A810&amp;"-"&amp;TEXT(($D810-$C810+1),"00")&amp;IF($C810&gt;=2,", "&amp;$A810&amp;"-"&amp;TEXT(($D810-$C810+1)+1,"00"),"")&amp;IF($C810&gt;=3,", "&amp;$A810&amp;"-"&amp;TEXT(($D810-$C810+1)+2,"00"),"")&amp;IF($C810&gt;=4,", "&amp;$A810&amp;"-"&amp;TEXT(($D810-$C810+1)+3,"00"),"")&amp;IF($C810&gt;=5,", "&amp;$A810&amp;"-"&amp;TEXT(($D810-$C810+1)+4,"00"),"")&amp;IF($C810&gt;=6,", "&amp;$A810&amp;"-"&amp;TEXT(($D810-$C810+1)+5,"00"),"")&amp;IF($C810&gt;=7,", "&amp;$A810&amp;"-"&amp;TEXT(($D810-$C810+1)+6,"00"),"")&amp;IF($C810&gt;=8,", "&amp;$A810&amp;"-"&amp;TEXT(($D810-$C810+1)+7,"00"),"")&amp;IF($C810&gt;=9,", "&amp;$A810&amp;"-"&amp;TEXT(($D810-$C810+1)+8,"00"),"")&amp;IF($C810&gt;=10,", "&amp;$A810&amp;"-"&amp;TEXT(($D810-$C810+1)+9,"00"),"")&amp;IF($C810&gt;=11,", "&amp;$A810&amp;"-"&amp;TEXT(($D810-$C810+1)+10,"00"),"")&amp;IF($C810&gt;=12,", "&amp;$A810&amp;"-"&amp;TEXT(($D810-$C810+1)+11,"00"),"")&amp;IF($C810&gt;=13,", "&amp;$A810&amp;"-"&amp;TEXT(($D810-$C810+1)+12,"00"),"")&amp;IF($C810&gt;=14,", "&amp;$A810&amp;"-"&amp;TEXT(($D810-$C810+1)+13,"00"),"")&amp;IF($C810&gt;=15,", "&amp;$A810&amp;"-"&amp;TEXT(($D810-$C810+1)+14,"00"),"")&amp;IF($C810&gt;=16,", "&amp;$A810&amp;"-"&amp;TEXT(($D810-$C810+1)+15,"00"),"")&amp;IF($C810&gt;=17,", "&amp;$A810&amp;"-"&amp;TEXT(($D810-$C810+1)+16,"00"),"")&amp;IF($C810&gt;=18,", "&amp;$A810&amp;"-"&amp;TEXT(($D810-$C810+1)+17,"00"),"")&amp;IF($C810&gt;=19,", "&amp;$A810&amp;"-"&amp;TEXT(($D810-$C810+1)+18,"00"),"")&amp;IF($C810&gt;=20,", "&amp;$A810&amp;"-"&amp;TEXT(($D810-$C810+1)+19,"00"),"")&amp;IF($C810&gt;=21,", "&amp;$A810&amp;"-"&amp;TEXT(($D810-$C810+1)+20,"00"),"")&amp;IF($C810&gt;=22,", "&amp;$A810&amp;"-"&amp;TEXT(($D810-$C810+1)+21,"00"),"")&amp;IF($C810&gt;=23,", "&amp;$A810&amp;"-"&amp;TEXT(($D810-$C810+1)+22,"00"),"")&amp;IF($C810&gt;=24,", "&amp;$A810&amp;"-"&amp;TEXT(($D810-$C810+1)+23,"00"),"")&amp;IF($C810&gt;=25,", "&amp;$A810&amp;"-"&amp;TEXT(($D810-$C810+1)+24,"00"),""))</f>
        <v/>
      </c>
      <c r="G810">
        <f>IF($A810="","",IF($E810=1,$F810,IF($F810="",$G809,IF($G809="",$F810,$G809&amp;", "&amp;$F810))))</f>
        <v/>
      </c>
      <c r="H810">
        <f>IF($A810="","",$A810&amp;" ("&amp;$C810&amp;")")</f>
        <v/>
      </c>
      <c r="I810">
        <f>IF($A810="","",IF($E810=1,$H810,$I809&amp;", "&amp;$H810))</f>
        <v/>
      </c>
      <c r="J810">
        <f>IF($A810="","",IF($E810=1,$B810,""))</f>
        <v/>
      </c>
      <c r="K810">
        <f>IF($A810="","",IF(COUNTIF($B$2:$B810,$B810)=COUNTIF($B$2:$B$1601,$B810),$B810,""))</f>
        <v/>
      </c>
    </row>
    <row r="811">
      <c r="A811">
        <f>IF('TMP Paste'!$E811="","",'TMP Paste'!$E811)</f>
        <v/>
      </c>
      <c r="B811">
        <f>IF($A811="","",COUNTIF('TMP Paste'!$B$2:$B811,"?*"))</f>
        <v/>
      </c>
      <c r="C811">
        <f>IF($A811="","",IFERROR('TMP Paste'!$M811*1,0))</f>
        <v/>
      </c>
      <c r="D811">
        <f>IF($A811="","",SUMIF($B$2:$B811,$B811,$C$2:$C811))</f>
        <v/>
      </c>
      <c r="E811">
        <f>IF($A811="",0,IF('TMP Paste'!$B811="",0,1))</f>
        <v/>
      </c>
      <c r="F811">
        <f>IF(OR($A811="",$C811&lt;1),"",$A811&amp;"-"&amp;TEXT(($D811-$C811+1),"00")&amp;IF($C811&gt;=2,", "&amp;$A811&amp;"-"&amp;TEXT(($D811-$C811+1)+1,"00"),"")&amp;IF($C811&gt;=3,", "&amp;$A811&amp;"-"&amp;TEXT(($D811-$C811+1)+2,"00"),"")&amp;IF($C811&gt;=4,", "&amp;$A811&amp;"-"&amp;TEXT(($D811-$C811+1)+3,"00"),"")&amp;IF($C811&gt;=5,", "&amp;$A811&amp;"-"&amp;TEXT(($D811-$C811+1)+4,"00"),"")&amp;IF($C811&gt;=6,", "&amp;$A811&amp;"-"&amp;TEXT(($D811-$C811+1)+5,"00"),"")&amp;IF($C811&gt;=7,", "&amp;$A811&amp;"-"&amp;TEXT(($D811-$C811+1)+6,"00"),"")&amp;IF($C811&gt;=8,", "&amp;$A811&amp;"-"&amp;TEXT(($D811-$C811+1)+7,"00"),"")&amp;IF($C811&gt;=9,", "&amp;$A811&amp;"-"&amp;TEXT(($D811-$C811+1)+8,"00"),"")&amp;IF($C811&gt;=10,", "&amp;$A811&amp;"-"&amp;TEXT(($D811-$C811+1)+9,"00"),"")&amp;IF($C811&gt;=11,", "&amp;$A811&amp;"-"&amp;TEXT(($D811-$C811+1)+10,"00"),"")&amp;IF($C811&gt;=12,", "&amp;$A811&amp;"-"&amp;TEXT(($D811-$C811+1)+11,"00"),"")&amp;IF($C811&gt;=13,", "&amp;$A811&amp;"-"&amp;TEXT(($D811-$C811+1)+12,"00"),"")&amp;IF($C811&gt;=14,", "&amp;$A811&amp;"-"&amp;TEXT(($D811-$C811+1)+13,"00"),"")&amp;IF($C811&gt;=15,", "&amp;$A811&amp;"-"&amp;TEXT(($D811-$C811+1)+14,"00"),"")&amp;IF($C811&gt;=16,", "&amp;$A811&amp;"-"&amp;TEXT(($D811-$C811+1)+15,"00"),"")&amp;IF($C811&gt;=17,", "&amp;$A811&amp;"-"&amp;TEXT(($D811-$C811+1)+16,"00"),"")&amp;IF($C811&gt;=18,", "&amp;$A811&amp;"-"&amp;TEXT(($D811-$C811+1)+17,"00"),"")&amp;IF($C811&gt;=19,", "&amp;$A811&amp;"-"&amp;TEXT(($D811-$C811+1)+18,"00"),"")&amp;IF($C811&gt;=20,", "&amp;$A811&amp;"-"&amp;TEXT(($D811-$C811+1)+19,"00"),"")&amp;IF($C811&gt;=21,", "&amp;$A811&amp;"-"&amp;TEXT(($D811-$C811+1)+20,"00"),"")&amp;IF($C811&gt;=22,", "&amp;$A811&amp;"-"&amp;TEXT(($D811-$C811+1)+21,"00"),"")&amp;IF($C811&gt;=23,", "&amp;$A811&amp;"-"&amp;TEXT(($D811-$C811+1)+22,"00"),"")&amp;IF($C811&gt;=24,", "&amp;$A811&amp;"-"&amp;TEXT(($D811-$C811+1)+23,"00"),"")&amp;IF($C811&gt;=25,", "&amp;$A811&amp;"-"&amp;TEXT(($D811-$C811+1)+24,"00"),""))</f>
        <v/>
      </c>
      <c r="G811">
        <f>IF($A811="","",IF($E811=1,$F811,IF($F811="",$G810,IF($G810="",$F811,$G810&amp;", "&amp;$F811))))</f>
        <v/>
      </c>
      <c r="H811">
        <f>IF($A811="","",$A811&amp;" ("&amp;$C811&amp;")")</f>
        <v/>
      </c>
      <c r="I811">
        <f>IF($A811="","",IF($E811=1,$H811,$I810&amp;", "&amp;$H811))</f>
        <v/>
      </c>
      <c r="J811">
        <f>IF($A811="","",IF($E811=1,$B811,""))</f>
        <v/>
      </c>
      <c r="K811">
        <f>IF($A811="","",IF(COUNTIF($B$2:$B811,$B811)=COUNTIF($B$2:$B$1601,$B811),$B811,""))</f>
        <v/>
      </c>
    </row>
    <row r="812">
      <c r="A812">
        <f>IF('TMP Paste'!$E812="","",'TMP Paste'!$E812)</f>
        <v/>
      </c>
      <c r="B812">
        <f>IF($A812="","",COUNTIF('TMP Paste'!$B$2:$B812,"?*"))</f>
        <v/>
      </c>
      <c r="C812">
        <f>IF($A812="","",IFERROR('TMP Paste'!$M812*1,0))</f>
        <v/>
      </c>
      <c r="D812">
        <f>IF($A812="","",SUMIF($B$2:$B812,$B812,$C$2:$C812))</f>
        <v/>
      </c>
      <c r="E812">
        <f>IF($A812="",0,IF('TMP Paste'!$B812="",0,1))</f>
        <v/>
      </c>
      <c r="F812">
        <f>IF(OR($A812="",$C812&lt;1),"",$A812&amp;"-"&amp;TEXT(($D812-$C812+1),"00")&amp;IF($C812&gt;=2,", "&amp;$A812&amp;"-"&amp;TEXT(($D812-$C812+1)+1,"00"),"")&amp;IF($C812&gt;=3,", "&amp;$A812&amp;"-"&amp;TEXT(($D812-$C812+1)+2,"00"),"")&amp;IF($C812&gt;=4,", "&amp;$A812&amp;"-"&amp;TEXT(($D812-$C812+1)+3,"00"),"")&amp;IF($C812&gt;=5,", "&amp;$A812&amp;"-"&amp;TEXT(($D812-$C812+1)+4,"00"),"")&amp;IF($C812&gt;=6,", "&amp;$A812&amp;"-"&amp;TEXT(($D812-$C812+1)+5,"00"),"")&amp;IF($C812&gt;=7,", "&amp;$A812&amp;"-"&amp;TEXT(($D812-$C812+1)+6,"00"),"")&amp;IF($C812&gt;=8,", "&amp;$A812&amp;"-"&amp;TEXT(($D812-$C812+1)+7,"00"),"")&amp;IF($C812&gt;=9,", "&amp;$A812&amp;"-"&amp;TEXT(($D812-$C812+1)+8,"00"),"")&amp;IF($C812&gt;=10,", "&amp;$A812&amp;"-"&amp;TEXT(($D812-$C812+1)+9,"00"),"")&amp;IF($C812&gt;=11,", "&amp;$A812&amp;"-"&amp;TEXT(($D812-$C812+1)+10,"00"),"")&amp;IF($C812&gt;=12,", "&amp;$A812&amp;"-"&amp;TEXT(($D812-$C812+1)+11,"00"),"")&amp;IF($C812&gt;=13,", "&amp;$A812&amp;"-"&amp;TEXT(($D812-$C812+1)+12,"00"),"")&amp;IF($C812&gt;=14,", "&amp;$A812&amp;"-"&amp;TEXT(($D812-$C812+1)+13,"00"),"")&amp;IF($C812&gt;=15,", "&amp;$A812&amp;"-"&amp;TEXT(($D812-$C812+1)+14,"00"),"")&amp;IF($C812&gt;=16,", "&amp;$A812&amp;"-"&amp;TEXT(($D812-$C812+1)+15,"00"),"")&amp;IF($C812&gt;=17,", "&amp;$A812&amp;"-"&amp;TEXT(($D812-$C812+1)+16,"00"),"")&amp;IF($C812&gt;=18,", "&amp;$A812&amp;"-"&amp;TEXT(($D812-$C812+1)+17,"00"),"")&amp;IF($C812&gt;=19,", "&amp;$A812&amp;"-"&amp;TEXT(($D812-$C812+1)+18,"00"),"")&amp;IF($C812&gt;=20,", "&amp;$A812&amp;"-"&amp;TEXT(($D812-$C812+1)+19,"00"),"")&amp;IF($C812&gt;=21,", "&amp;$A812&amp;"-"&amp;TEXT(($D812-$C812+1)+20,"00"),"")&amp;IF($C812&gt;=22,", "&amp;$A812&amp;"-"&amp;TEXT(($D812-$C812+1)+21,"00"),"")&amp;IF($C812&gt;=23,", "&amp;$A812&amp;"-"&amp;TEXT(($D812-$C812+1)+22,"00"),"")&amp;IF($C812&gt;=24,", "&amp;$A812&amp;"-"&amp;TEXT(($D812-$C812+1)+23,"00"),"")&amp;IF($C812&gt;=25,", "&amp;$A812&amp;"-"&amp;TEXT(($D812-$C812+1)+24,"00"),""))</f>
        <v/>
      </c>
      <c r="G812">
        <f>IF($A812="","",IF($E812=1,$F812,IF($F812="",$G811,IF($G811="",$F812,$G811&amp;", "&amp;$F812))))</f>
        <v/>
      </c>
      <c r="H812">
        <f>IF($A812="","",$A812&amp;" ("&amp;$C812&amp;")")</f>
        <v/>
      </c>
      <c r="I812">
        <f>IF($A812="","",IF($E812=1,$H812,$I811&amp;", "&amp;$H812))</f>
        <v/>
      </c>
      <c r="J812">
        <f>IF($A812="","",IF($E812=1,$B812,""))</f>
        <v/>
      </c>
      <c r="K812">
        <f>IF($A812="","",IF(COUNTIF($B$2:$B812,$B812)=COUNTIF($B$2:$B$1601,$B812),$B812,""))</f>
        <v/>
      </c>
    </row>
    <row r="813">
      <c r="A813">
        <f>IF('TMP Paste'!$E813="","",'TMP Paste'!$E813)</f>
        <v/>
      </c>
      <c r="B813">
        <f>IF($A813="","",COUNTIF('TMP Paste'!$B$2:$B813,"?*"))</f>
        <v/>
      </c>
      <c r="C813">
        <f>IF($A813="","",IFERROR('TMP Paste'!$M813*1,0))</f>
        <v/>
      </c>
      <c r="D813">
        <f>IF($A813="","",SUMIF($B$2:$B813,$B813,$C$2:$C813))</f>
        <v/>
      </c>
      <c r="E813">
        <f>IF($A813="",0,IF('TMP Paste'!$B813="",0,1))</f>
        <v/>
      </c>
      <c r="F813">
        <f>IF(OR($A813="",$C813&lt;1),"",$A813&amp;"-"&amp;TEXT(($D813-$C813+1),"00")&amp;IF($C813&gt;=2,", "&amp;$A813&amp;"-"&amp;TEXT(($D813-$C813+1)+1,"00"),"")&amp;IF($C813&gt;=3,", "&amp;$A813&amp;"-"&amp;TEXT(($D813-$C813+1)+2,"00"),"")&amp;IF($C813&gt;=4,", "&amp;$A813&amp;"-"&amp;TEXT(($D813-$C813+1)+3,"00"),"")&amp;IF($C813&gt;=5,", "&amp;$A813&amp;"-"&amp;TEXT(($D813-$C813+1)+4,"00"),"")&amp;IF($C813&gt;=6,", "&amp;$A813&amp;"-"&amp;TEXT(($D813-$C813+1)+5,"00"),"")&amp;IF($C813&gt;=7,", "&amp;$A813&amp;"-"&amp;TEXT(($D813-$C813+1)+6,"00"),"")&amp;IF($C813&gt;=8,", "&amp;$A813&amp;"-"&amp;TEXT(($D813-$C813+1)+7,"00"),"")&amp;IF($C813&gt;=9,", "&amp;$A813&amp;"-"&amp;TEXT(($D813-$C813+1)+8,"00"),"")&amp;IF($C813&gt;=10,", "&amp;$A813&amp;"-"&amp;TEXT(($D813-$C813+1)+9,"00"),"")&amp;IF($C813&gt;=11,", "&amp;$A813&amp;"-"&amp;TEXT(($D813-$C813+1)+10,"00"),"")&amp;IF($C813&gt;=12,", "&amp;$A813&amp;"-"&amp;TEXT(($D813-$C813+1)+11,"00"),"")&amp;IF($C813&gt;=13,", "&amp;$A813&amp;"-"&amp;TEXT(($D813-$C813+1)+12,"00"),"")&amp;IF($C813&gt;=14,", "&amp;$A813&amp;"-"&amp;TEXT(($D813-$C813+1)+13,"00"),"")&amp;IF($C813&gt;=15,", "&amp;$A813&amp;"-"&amp;TEXT(($D813-$C813+1)+14,"00"),"")&amp;IF($C813&gt;=16,", "&amp;$A813&amp;"-"&amp;TEXT(($D813-$C813+1)+15,"00"),"")&amp;IF($C813&gt;=17,", "&amp;$A813&amp;"-"&amp;TEXT(($D813-$C813+1)+16,"00"),"")&amp;IF($C813&gt;=18,", "&amp;$A813&amp;"-"&amp;TEXT(($D813-$C813+1)+17,"00"),"")&amp;IF($C813&gt;=19,", "&amp;$A813&amp;"-"&amp;TEXT(($D813-$C813+1)+18,"00"),"")&amp;IF($C813&gt;=20,", "&amp;$A813&amp;"-"&amp;TEXT(($D813-$C813+1)+19,"00"),"")&amp;IF($C813&gt;=21,", "&amp;$A813&amp;"-"&amp;TEXT(($D813-$C813+1)+20,"00"),"")&amp;IF($C813&gt;=22,", "&amp;$A813&amp;"-"&amp;TEXT(($D813-$C813+1)+21,"00"),"")&amp;IF($C813&gt;=23,", "&amp;$A813&amp;"-"&amp;TEXT(($D813-$C813+1)+22,"00"),"")&amp;IF($C813&gt;=24,", "&amp;$A813&amp;"-"&amp;TEXT(($D813-$C813+1)+23,"00"),"")&amp;IF($C813&gt;=25,", "&amp;$A813&amp;"-"&amp;TEXT(($D813-$C813+1)+24,"00"),""))</f>
        <v/>
      </c>
      <c r="G813">
        <f>IF($A813="","",IF($E813=1,$F813,IF($F813="",$G812,IF($G812="",$F813,$G812&amp;", "&amp;$F813))))</f>
        <v/>
      </c>
      <c r="H813">
        <f>IF($A813="","",$A813&amp;" ("&amp;$C813&amp;")")</f>
        <v/>
      </c>
      <c r="I813">
        <f>IF($A813="","",IF($E813=1,$H813,$I812&amp;", "&amp;$H813))</f>
        <v/>
      </c>
      <c r="J813">
        <f>IF($A813="","",IF($E813=1,$B813,""))</f>
        <v/>
      </c>
      <c r="K813">
        <f>IF($A813="","",IF(COUNTIF($B$2:$B813,$B813)=COUNTIF($B$2:$B$1601,$B813),$B813,""))</f>
        <v/>
      </c>
    </row>
    <row r="814">
      <c r="A814">
        <f>IF('TMP Paste'!$E814="","",'TMP Paste'!$E814)</f>
        <v/>
      </c>
      <c r="B814">
        <f>IF($A814="","",COUNTIF('TMP Paste'!$B$2:$B814,"?*"))</f>
        <v/>
      </c>
      <c r="C814">
        <f>IF($A814="","",IFERROR('TMP Paste'!$M814*1,0))</f>
        <v/>
      </c>
      <c r="D814">
        <f>IF($A814="","",SUMIF($B$2:$B814,$B814,$C$2:$C814))</f>
        <v/>
      </c>
      <c r="E814">
        <f>IF($A814="",0,IF('TMP Paste'!$B814="",0,1))</f>
        <v/>
      </c>
      <c r="F814">
        <f>IF(OR($A814="",$C814&lt;1),"",$A814&amp;"-"&amp;TEXT(($D814-$C814+1),"00")&amp;IF($C814&gt;=2,", "&amp;$A814&amp;"-"&amp;TEXT(($D814-$C814+1)+1,"00"),"")&amp;IF($C814&gt;=3,", "&amp;$A814&amp;"-"&amp;TEXT(($D814-$C814+1)+2,"00"),"")&amp;IF($C814&gt;=4,", "&amp;$A814&amp;"-"&amp;TEXT(($D814-$C814+1)+3,"00"),"")&amp;IF($C814&gt;=5,", "&amp;$A814&amp;"-"&amp;TEXT(($D814-$C814+1)+4,"00"),"")&amp;IF($C814&gt;=6,", "&amp;$A814&amp;"-"&amp;TEXT(($D814-$C814+1)+5,"00"),"")&amp;IF($C814&gt;=7,", "&amp;$A814&amp;"-"&amp;TEXT(($D814-$C814+1)+6,"00"),"")&amp;IF($C814&gt;=8,", "&amp;$A814&amp;"-"&amp;TEXT(($D814-$C814+1)+7,"00"),"")&amp;IF($C814&gt;=9,", "&amp;$A814&amp;"-"&amp;TEXT(($D814-$C814+1)+8,"00"),"")&amp;IF($C814&gt;=10,", "&amp;$A814&amp;"-"&amp;TEXT(($D814-$C814+1)+9,"00"),"")&amp;IF($C814&gt;=11,", "&amp;$A814&amp;"-"&amp;TEXT(($D814-$C814+1)+10,"00"),"")&amp;IF($C814&gt;=12,", "&amp;$A814&amp;"-"&amp;TEXT(($D814-$C814+1)+11,"00"),"")&amp;IF($C814&gt;=13,", "&amp;$A814&amp;"-"&amp;TEXT(($D814-$C814+1)+12,"00"),"")&amp;IF($C814&gt;=14,", "&amp;$A814&amp;"-"&amp;TEXT(($D814-$C814+1)+13,"00"),"")&amp;IF($C814&gt;=15,", "&amp;$A814&amp;"-"&amp;TEXT(($D814-$C814+1)+14,"00"),"")&amp;IF($C814&gt;=16,", "&amp;$A814&amp;"-"&amp;TEXT(($D814-$C814+1)+15,"00"),"")&amp;IF($C814&gt;=17,", "&amp;$A814&amp;"-"&amp;TEXT(($D814-$C814+1)+16,"00"),"")&amp;IF($C814&gt;=18,", "&amp;$A814&amp;"-"&amp;TEXT(($D814-$C814+1)+17,"00"),"")&amp;IF($C814&gt;=19,", "&amp;$A814&amp;"-"&amp;TEXT(($D814-$C814+1)+18,"00"),"")&amp;IF($C814&gt;=20,", "&amp;$A814&amp;"-"&amp;TEXT(($D814-$C814+1)+19,"00"),"")&amp;IF($C814&gt;=21,", "&amp;$A814&amp;"-"&amp;TEXT(($D814-$C814+1)+20,"00"),"")&amp;IF($C814&gt;=22,", "&amp;$A814&amp;"-"&amp;TEXT(($D814-$C814+1)+21,"00"),"")&amp;IF($C814&gt;=23,", "&amp;$A814&amp;"-"&amp;TEXT(($D814-$C814+1)+22,"00"),"")&amp;IF($C814&gt;=24,", "&amp;$A814&amp;"-"&amp;TEXT(($D814-$C814+1)+23,"00"),"")&amp;IF($C814&gt;=25,", "&amp;$A814&amp;"-"&amp;TEXT(($D814-$C814+1)+24,"00"),""))</f>
        <v/>
      </c>
      <c r="G814">
        <f>IF($A814="","",IF($E814=1,$F814,IF($F814="",$G813,IF($G813="",$F814,$G813&amp;", "&amp;$F814))))</f>
        <v/>
      </c>
      <c r="H814">
        <f>IF($A814="","",$A814&amp;" ("&amp;$C814&amp;")")</f>
        <v/>
      </c>
      <c r="I814">
        <f>IF($A814="","",IF($E814=1,$H814,$I813&amp;", "&amp;$H814))</f>
        <v/>
      </c>
      <c r="J814">
        <f>IF($A814="","",IF($E814=1,$B814,""))</f>
        <v/>
      </c>
      <c r="K814">
        <f>IF($A814="","",IF(COUNTIF($B$2:$B814,$B814)=COUNTIF($B$2:$B$1601,$B814),$B814,""))</f>
        <v/>
      </c>
    </row>
    <row r="815">
      <c r="A815">
        <f>IF('TMP Paste'!$E815="","",'TMP Paste'!$E815)</f>
        <v/>
      </c>
      <c r="B815">
        <f>IF($A815="","",COUNTIF('TMP Paste'!$B$2:$B815,"?*"))</f>
        <v/>
      </c>
      <c r="C815">
        <f>IF($A815="","",IFERROR('TMP Paste'!$M815*1,0))</f>
        <v/>
      </c>
      <c r="D815">
        <f>IF($A815="","",SUMIF($B$2:$B815,$B815,$C$2:$C815))</f>
        <v/>
      </c>
      <c r="E815">
        <f>IF($A815="",0,IF('TMP Paste'!$B815="",0,1))</f>
        <v/>
      </c>
      <c r="F815">
        <f>IF(OR($A815="",$C815&lt;1),"",$A815&amp;"-"&amp;TEXT(($D815-$C815+1),"00")&amp;IF($C815&gt;=2,", "&amp;$A815&amp;"-"&amp;TEXT(($D815-$C815+1)+1,"00"),"")&amp;IF($C815&gt;=3,", "&amp;$A815&amp;"-"&amp;TEXT(($D815-$C815+1)+2,"00"),"")&amp;IF($C815&gt;=4,", "&amp;$A815&amp;"-"&amp;TEXT(($D815-$C815+1)+3,"00"),"")&amp;IF($C815&gt;=5,", "&amp;$A815&amp;"-"&amp;TEXT(($D815-$C815+1)+4,"00"),"")&amp;IF($C815&gt;=6,", "&amp;$A815&amp;"-"&amp;TEXT(($D815-$C815+1)+5,"00"),"")&amp;IF($C815&gt;=7,", "&amp;$A815&amp;"-"&amp;TEXT(($D815-$C815+1)+6,"00"),"")&amp;IF($C815&gt;=8,", "&amp;$A815&amp;"-"&amp;TEXT(($D815-$C815+1)+7,"00"),"")&amp;IF($C815&gt;=9,", "&amp;$A815&amp;"-"&amp;TEXT(($D815-$C815+1)+8,"00"),"")&amp;IF($C815&gt;=10,", "&amp;$A815&amp;"-"&amp;TEXT(($D815-$C815+1)+9,"00"),"")&amp;IF($C815&gt;=11,", "&amp;$A815&amp;"-"&amp;TEXT(($D815-$C815+1)+10,"00"),"")&amp;IF($C815&gt;=12,", "&amp;$A815&amp;"-"&amp;TEXT(($D815-$C815+1)+11,"00"),"")&amp;IF($C815&gt;=13,", "&amp;$A815&amp;"-"&amp;TEXT(($D815-$C815+1)+12,"00"),"")&amp;IF($C815&gt;=14,", "&amp;$A815&amp;"-"&amp;TEXT(($D815-$C815+1)+13,"00"),"")&amp;IF($C815&gt;=15,", "&amp;$A815&amp;"-"&amp;TEXT(($D815-$C815+1)+14,"00"),"")&amp;IF($C815&gt;=16,", "&amp;$A815&amp;"-"&amp;TEXT(($D815-$C815+1)+15,"00"),"")&amp;IF($C815&gt;=17,", "&amp;$A815&amp;"-"&amp;TEXT(($D815-$C815+1)+16,"00"),"")&amp;IF($C815&gt;=18,", "&amp;$A815&amp;"-"&amp;TEXT(($D815-$C815+1)+17,"00"),"")&amp;IF($C815&gt;=19,", "&amp;$A815&amp;"-"&amp;TEXT(($D815-$C815+1)+18,"00"),"")&amp;IF($C815&gt;=20,", "&amp;$A815&amp;"-"&amp;TEXT(($D815-$C815+1)+19,"00"),"")&amp;IF($C815&gt;=21,", "&amp;$A815&amp;"-"&amp;TEXT(($D815-$C815+1)+20,"00"),"")&amp;IF($C815&gt;=22,", "&amp;$A815&amp;"-"&amp;TEXT(($D815-$C815+1)+21,"00"),"")&amp;IF($C815&gt;=23,", "&amp;$A815&amp;"-"&amp;TEXT(($D815-$C815+1)+22,"00"),"")&amp;IF($C815&gt;=24,", "&amp;$A815&amp;"-"&amp;TEXT(($D815-$C815+1)+23,"00"),"")&amp;IF($C815&gt;=25,", "&amp;$A815&amp;"-"&amp;TEXT(($D815-$C815+1)+24,"00"),""))</f>
        <v/>
      </c>
      <c r="G815">
        <f>IF($A815="","",IF($E815=1,$F815,IF($F815="",$G814,IF($G814="",$F815,$G814&amp;", "&amp;$F815))))</f>
        <v/>
      </c>
      <c r="H815">
        <f>IF($A815="","",$A815&amp;" ("&amp;$C815&amp;")")</f>
        <v/>
      </c>
      <c r="I815">
        <f>IF($A815="","",IF($E815=1,$H815,$I814&amp;", "&amp;$H815))</f>
        <v/>
      </c>
      <c r="J815">
        <f>IF($A815="","",IF($E815=1,$B815,""))</f>
        <v/>
      </c>
      <c r="K815">
        <f>IF($A815="","",IF(COUNTIF($B$2:$B815,$B815)=COUNTIF($B$2:$B$1601,$B815),$B815,""))</f>
        <v/>
      </c>
    </row>
    <row r="816">
      <c r="A816">
        <f>IF('TMP Paste'!$E816="","",'TMP Paste'!$E816)</f>
        <v/>
      </c>
      <c r="B816">
        <f>IF($A816="","",COUNTIF('TMP Paste'!$B$2:$B816,"?*"))</f>
        <v/>
      </c>
      <c r="C816">
        <f>IF($A816="","",IFERROR('TMP Paste'!$M816*1,0))</f>
        <v/>
      </c>
      <c r="D816">
        <f>IF($A816="","",SUMIF($B$2:$B816,$B816,$C$2:$C816))</f>
        <v/>
      </c>
      <c r="E816">
        <f>IF($A816="",0,IF('TMP Paste'!$B816="",0,1))</f>
        <v/>
      </c>
      <c r="F816">
        <f>IF(OR($A816="",$C816&lt;1),"",$A816&amp;"-"&amp;TEXT(($D816-$C816+1),"00")&amp;IF($C816&gt;=2,", "&amp;$A816&amp;"-"&amp;TEXT(($D816-$C816+1)+1,"00"),"")&amp;IF($C816&gt;=3,", "&amp;$A816&amp;"-"&amp;TEXT(($D816-$C816+1)+2,"00"),"")&amp;IF($C816&gt;=4,", "&amp;$A816&amp;"-"&amp;TEXT(($D816-$C816+1)+3,"00"),"")&amp;IF($C816&gt;=5,", "&amp;$A816&amp;"-"&amp;TEXT(($D816-$C816+1)+4,"00"),"")&amp;IF($C816&gt;=6,", "&amp;$A816&amp;"-"&amp;TEXT(($D816-$C816+1)+5,"00"),"")&amp;IF($C816&gt;=7,", "&amp;$A816&amp;"-"&amp;TEXT(($D816-$C816+1)+6,"00"),"")&amp;IF($C816&gt;=8,", "&amp;$A816&amp;"-"&amp;TEXT(($D816-$C816+1)+7,"00"),"")&amp;IF($C816&gt;=9,", "&amp;$A816&amp;"-"&amp;TEXT(($D816-$C816+1)+8,"00"),"")&amp;IF($C816&gt;=10,", "&amp;$A816&amp;"-"&amp;TEXT(($D816-$C816+1)+9,"00"),"")&amp;IF($C816&gt;=11,", "&amp;$A816&amp;"-"&amp;TEXT(($D816-$C816+1)+10,"00"),"")&amp;IF($C816&gt;=12,", "&amp;$A816&amp;"-"&amp;TEXT(($D816-$C816+1)+11,"00"),"")&amp;IF($C816&gt;=13,", "&amp;$A816&amp;"-"&amp;TEXT(($D816-$C816+1)+12,"00"),"")&amp;IF($C816&gt;=14,", "&amp;$A816&amp;"-"&amp;TEXT(($D816-$C816+1)+13,"00"),"")&amp;IF($C816&gt;=15,", "&amp;$A816&amp;"-"&amp;TEXT(($D816-$C816+1)+14,"00"),"")&amp;IF($C816&gt;=16,", "&amp;$A816&amp;"-"&amp;TEXT(($D816-$C816+1)+15,"00"),"")&amp;IF($C816&gt;=17,", "&amp;$A816&amp;"-"&amp;TEXT(($D816-$C816+1)+16,"00"),"")&amp;IF($C816&gt;=18,", "&amp;$A816&amp;"-"&amp;TEXT(($D816-$C816+1)+17,"00"),"")&amp;IF($C816&gt;=19,", "&amp;$A816&amp;"-"&amp;TEXT(($D816-$C816+1)+18,"00"),"")&amp;IF($C816&gt;=20,", "&amp;$A816&amp;"-"&amp;TEXT(($D816-$C816+1)+19,"00"),"")&amp;IF($C816&gt;=21,", "&amp;$A816&amp;"-"&amp;TEXT(($D816-$C816+1)+20,"00"),"")&amp;IF($C816&gt;=22,", "&amp;$A816&amp;"-"&amp;TEXT(($D816-$C816+1)+21,"00"),"")&amp;IF($C816&gt;=23,", "&amp;$A816&amp;"-"&amp;TEXT(($D816-$C816+1)+22,"00"),"")&amp;IF($C816&gt;=24,", "&amp;$A816&amp;"-"&amp;TEXT(($D816-$C816+1)+23,"00"),"")&amp;IF($C816&gt;=25,", "&amp;$A816&amp;"-"&amp;TEXT(($D816-$C816+1)+24,"00"),""))</f>
        <v/>
      </c>
      <c r="G816">
        <f>IF($A816="","",IF($E816=1,$F816,IF($F816="",$G815,IF($G815="",$F816,$G815&amp;", "&amp;$F816))))</f>
        <v/>
      </c>
      <c r="H816">
        <f>IF($A816="","",$A816&amp;" ("&amp;$C816&amp;")")</f>
        <v/>
      </c>
      <c r="I816">
        <f>IF($A816="","",IF($E816=1,$H816,$I815&amp;", "&amp;$H816))</f>
        <v/>
      </c>
      <c r="J816">
        <f>IF($A816="","",IF($E816=1,$B816,""))</f>
        <v/>
      </c>
      <c r="K816">
        <f>IF($A816="","",IF(COUNTIF($B$2:$B816,$B816)=COUNTIF($B$2:$B$1601,$B816),$B816,""))</f>
        <v/>
      </c>
    </row>
    <row r="817">
      <c r="A817">
        <f>IF('TMP Paste'!$E817="","",'TMP Paste'!$E817)</f>
        <v/>
      </c>
      <c r="B817">
        <f>IF($A817="","",COUNTIF('TMP Paste'!$B$2:$B817,"?*"))</f>
        <v/>
      </c>
      <c r="C817">
        <f>IF($A817="","",IFERROR('TMP Paste'!$M817*1,0))</f>
        <v/>
      </c>
      <c r="D817">
        <f>IF($A817="","",SUMIF($B$2:$B817,$B817,$C$2:$C817))</f>
        <v/>
      </c>
      <c r="E817">
        <f>IF($A817="",0,IF('TMP Paste'!$B817="",0,1))</f>
        <v/>
      </c>
      <c r="F817">
        <f>IF(OR($A817="",$C817&lt;1),"",$A817&amp;"-"&amp;TEXT(($D817-$C817+1),"00")&amp;IF($C817&gt;=2,", "&amp;$A817&amp;"-"&amp;TEXT(($D817-$C817+1)+1,"00"),"")&amp;IF($C817&gt;=3,", "&amp;$A817&amp;"-"&amp;TEXT(($D817-$C817+1)+2,"00"),"")&amp;IF($C817&gt;=4,", "&amp;$A817&amp;"-"&amp;TEXT(($D817-$C817+1)+3,"00"),"")&amp;IF($C817&gt;=5,", "&amp;$A817&amp;"-"&amp;TEXT(($D817-$C817+1)+4,"00"),"")&amp;IF($C817&gt;=6,", "&amp;$A817&amp;"-"&amp;TEXT(($D817-$C817+1)+5,"00"),"")&amp;IF($C817&gt;=7,", "&amp;$A817&amp;"-"&amp;TEXT(($D817-$C817+1)+6,"00"),"")&amp;IF($C817&gt;=8,", "&amp;$A817&amp;"-"&amp;TEXT(($D817-$C817+1)+7,"00"),"")&amp;IF($C817&gt;=9,", "&amp;$A817&amp;"-"&amp;TEXT(($D817-$C817+1)+8,"00"),"")&amp;IF($C817&gt;=10,", "&amp;$A817&amp;"-"&amp;TEXT(($D817-$C817+1)+9,"00"),"")&amp;IF($C817&gt;=11,", "&amp;$A817&amp;"-"&amp;TEXT(($D817-$C817+1)+10,"00"),"")&amp;IF($C817&gt;=12,", "&amp;$A817&amp;"-"&amp;TEXT(($D817-$C817+1)+11,"00"),"")&amp;IF($C817&gt;=13,", "&amp;$A817&amp;"-"&amp;TEXT(($D817-$C817+1)+12,"00"),"")&amp;IF($C817&gt;=14,", "&amp;$A817&amp;"-"&amp;TEXT(($D817-$C817+1)+13,"00"),"")&amp;IF($C817&gt;=15,", "&amp;$A817&amp;"-"&amp;TEXT(($D817-$C817+1)+14,"00"),"")&amp;IF($C817&gt;=16,", "&amp;$A817&amp;"-"&amp;TEXT(($D817-$C817+1)+15,"00"),"")&amp;IF($C817&gt;=17,", "&amp;$A817&amp;"-"&amp;TEXT(($D817-$C817+1)+16,"00"),"")&amp;IF($C817&gt;=18,", "&amp;$A817&amp;"-"&amp;TEXT(($D817-$C817+1)+17,"00"),"")&amp;IF($C817&gt;=19,", "&amp;$A817&amp;"-"&amp;TEXT(($D817-$C817+1)+18,"00"),"")&amp;IF($C817&gt;=20,", "&amp;$A817&amp;"-"&amp;TEXT(($D817-$C817+1)+19,"00"),"")&amp;IF($C817&gt;=21,", "&amp;$A817&amp;"-"&amp;TEXT(($D817-$C817+1)+20,"00"),"")&amp;IF($C817&gt;=22,", "&amp;$A817&amp;"-"&amp;TEXT(($D817-$C817+1)+21,"00"),"")&amp;IF($C817&gt;=23,", "&amp;$A817&amp;"-"&amp;TEXT(($D817-$C817+1)+22,"00"),"")&amp;IF($C817&gt;=24,", "&amp;$A817&amp;"-"&amp;TEXT(($D817-$C817+1)+23,"00"),"")&amp;IF($C817&gt;=25,", "&amp;$A817&amp;"-"&amp;TEXT(($D817-$C817+1)+24,"00"),""))</f>
        <v/>
      </c>
      <c r="G817">
        <f>IF($A817="","",IF($E817=1,$F817,IF($F817="",$G816,IF($G816="",$F817,$G816&amp;", "&amp;$F817))))</f>
        <v/>
      </c>
      <c r="H817">
        <f>IF($A817="","",$A817&amp;" ("&amp;$C817&amp;")")</f>
        <v/>
      </c>
      <c r="I817">
        <f>IF($A817="","",IF($E817=1,$H817,$I816&amp;", "&amp;$H817))</f>
        <v/>
      </c>
      <c r="J817">
        <f>IF($A817="","",IF($E817=1,$B817,""))</f>
        <v/>
      </c>
      <c r="K817">
        <f>IF($A817="","",IF(COUNTIF($B$2:$B817,$B817)=COUNTIF($B$2:$B$1601,$B817),$B817,""))</f>
        <v/>
      </c>
    </row>
    <row r="818">
      <c r="A818">
        <f>IF('TMP Paste'!$E818="","",'TMP Paste'!$E818)</f>
        <v/>
      </c>
      <c r="B818">
        <f>IF($A818="","",COUNTIF('TMP Paste'!$B$2:$B818,"?*"))</f>
        <v/>
      </c>
      <c r="C818">
        <f>IF($A818="","",IFERROR('TMP Paste'!$M818*1,0))</f>
        <v/>
      </c>
      <c r="D818">
        <f>IF($A818="","",SUMIF($B$2:$B818,$B818,$C$2:$C818))</f>
        <v/>
      </c>
      <c r="E818">
        <f>IF($A818="",0,IF('TMP Paste'!$B818="",0,1))</f>
        <v/>
      </c>
      <c r="F818">
        <f>IF(OR($A818="",$C818&lt;1),"",$A818&amp;"-"&amp;TEXT(($D818-$C818+1),"00")&amp;IF($C818&gt;=2,", "&amp;$A818&amp;"-"&amp;TEXT(($D818-$C818+1)+1,"00"),"")&amp;IF($C818&gt;=3,", "&amp;$A818&amp;"-"&amp;TEXT(($D818-$C818+1)+2,"00"),"")&amp;IF($C818&gt;=4,", "&amp;$A818&amp;"-"&amp;TEXT(($D818-$C818+1)+3,"00"),"")&amp;IF($C818&gt;=5,", "&amp;$A818&amp;"-"&amp;TEXT(($D818-$C818+1)+4,"00"),"")&amp;IF($C818&gt;=6,", "&amp;$A818&amp;"-"&amp;TEXT(($D818-$C818+1)+5,"00"),"")&amp;IF($C818&gt;=7,", "&amp;$A818&amp;"-"&amp;TEXT(($D818-$C818+1)+6,"00"),"")&amp;IF($C818&gt;=8,", "&amp;$A818&amp;"-"&amp;TEXT(($D818-$C818+1)+7,"00"),"")&amp;IF($C818&gt;=9,", "&amp;$A818&amp;"-"&amp;TEXT(($D818-$C818+1)+8,"00"),"")&amp;IF($C818&gt;=10,", "&amp;$A818&amp;"-"&amp;TEXT(($D818-$C818+1)+9,"00"),"")&amp;IF($C818&gt;=11,", "&amp;$A818&amp;"-"&amp;TEXT(($D818-$C818+1)+10,"00"),"")&amp;IF($C818&gt;=12,", "&amp;$A818&amp;"-"&amp;TEXT(($D818-$C818+1)+11,"00"),"")&amp;IF($C818&gt;=13,", "&amp;$A818&amp;"-"&amp;TEXT(($D818-$C818+1)+12,"00"),"")&amp;IF($C818&gt;=14,", "&amp;$A818&amp;"-"&amp;TEXT(($D818-$C818+1)+13,"00"),"")&amp;IF($C818&gt;=15,", "&amp;$A818&amp;"-"&amp;TEXT(($D818-$C818+1)+14,"00"),"")&amp;IF($C818&gt;=16,", "&amp;$A818&amp;"-"&amp;TEXT(($D818-$C818+1)+15,"00"),"")&amp;IF($C818&gt;=17,", "&amp;$A818&amp;"-"&amp;TEXT(($D818-$C818+1)+16,"00"),"")&amp;IF($C818&gt;=18,", "&amp;$A818&amp;"-"&amp;TEXT(($D818-$C818+1)+17,"00"),"")&amp;IF($C818&gt;=19,", "&amp;$A818&amp;"-"&amp;TEXT(($D818-$C818+1)+18,"00"),"")&amp;IF($C818&gt;=20,", "&amp;$A818&amp;"-"&amp;TEXT(($D818-$C818+1)+19,"00"),"")&amp;IF($C818&gt;=21,", "&amp;$A818&amp;"-"&amp;TEXT(($D818-$C818+1)+20,"00"),"")&amp;IF($C818&gt;=22,", "&amp;$A818&amp;"-"&amp;TEXT(($D818-$C818+1)+21,"00"),"")&amp;IF($C818&gt;=23,", "&amp;$A818&amp;"-"&amp;TEXT(($D818-$C818+1)+22,"00"),"")&amp;IF($C818&gt;=24,", "&amp;$A818&amp;"-"&amp;TEXT(($D818-$C818+1)+23,"00"),"")&amp;IF($C818&gt;=25,", "&amp;$A818&amp;"-"&amp;TEXT(($D818-$C818+1)+24,"00"),""))</f>
        <v/>
      </c>
      <c r="G818">
        <f>IF($A818="","",IF($E818=1,$F818,IF($F818="",$G817,IF($G817="",$F818,$G817&amp;", "&amp;$F818))))</f>
        <v/>
      </c>
      <c r="H818">
        <f>IF($A818="","",$A818&amp;" ("&amp;$C818&amp;")")</f>
        <v/>
      </c>
      <c r="I818">
        <f>IF($A818="","",IF($E818=1,$H818,$I817&amp;", "&amp;$H818))</f>
        <v/>
      </c>
      <c r="J818">
        <f>IF($A818="","",IF($E818=1,$B818,""))</f>
        <v/>
      </c>
      <c r="K818">
        <f>IF($A818="","",IF(COUNTIF($B$2:$B818,$B818)=COUNTIF($B$2:$B$1601,$B818),$B818,""))</f>
        <v/>
      </c>
    </row>
    <row r="819">
      <c r="A819">
        <f>IF('TMP Paste'!$E819="","",'TMP Paste'!$E819)</f>
        <v/>
      </c>
      <c r="B819">
        <f>IF($A819="","",COUNTIF('TMP Paste'!$B$2:$B819,"?*"))</f>
        <v/>
      </c>
      <c r="C819">
        <f>IF($A819="","",IFERROR('TMP Paste'!$M819*1,0))</f>
        <v/>
      </c>
      <c r="D819">
        <f>IF($A819="","",SUMIF($B$2:$B819,$B819,$C$2:$C819))</f>
        <v/>
      </c>
      <c r="E819">
        <f>IF($A819="",0,IF('TMP Paste'!$B819="",0,1))</f>
        <v/>
      </c>
      <c r="F819">
        <f>IF(OR($A819="",$C819&lt;1),"",$A819&amp;"-"&amp;TEXT(($D819-$C819+1),"00")&amp;IF($C819&gt;=2,", "&amp;$A819&amp;"-"&amp;TEXT(($D819-$C819+1)+1,"00"),"")&amp;IF($C819&gt;=3,", "&amp;$A819&amp;"-"&amp;TEXT(($D819-$C819+1)+2,"00"),"")&amp;IF($C819&gt;=4,", "&amp;$A819&amp;"-"&amp;TEXT(($D819-$C819+1)+3,"00"),"")&amp;IF($C819&gt;=5,", "&amp;$A819&amp;"-"&amp;TEXT(($D819-$C819+1)+4,"00"),"")&amp;IF($C819&gt;=6,", "&amp;$A819&amp;"-"&amp;TEXT(($D819-$C819+1)+5,"00"),"")&amp;IF($C819&gt;=7,", "&amp;$A819&amp;"-"&amp;TEXT(($D819-$C819+1)+6,"00"),"")&amp;IF($C819&gt;=8,", "&amp;$A819&amp;"-"&amp;TEXT(($D819-$C819+1)+7,"00"),"")&amp;IF($C819&gt;=9,", "&amp;$A819&amp;"-"&amp;TEXT(($D819-$C819+1)+8,"00"),"")&amp;IF($C819&gt;=10,", "&amp;$A819&amp;"-"&amp;TEXT(($D819-$C819+1)+9,"00"),"")&amp;IF($C819&gt;=11,", "&amp;$A819&amp;"-"&amp;TEXT(($D819-$C819+1)+10,"00"),"")&amp;IF($C819&gt;=12,", "&amp;$A819&amp;"-"&amp;TEXT(($D819-$C819+1)+11,"00"),"")&amp;IF($C819&gt;=13,", "&amp;$A819&amp;"-"&amp;TEXT(($D819-$C819+1)+12,"00"),"")&amp;IF($C819&gt;=14,", "&amp;$A819&amp;"-"&amp;TEXT(($D819-$C819+1)+13,"00"),"")&amp;IF($C819&gt;=15,", "&amp;$A819&amp;"-"&amp;TEXT(($D819-$C819+1)+14,"00"),"")&amp;IF($C819&gt;=16,", "&amp;$A819&amp;"-"&amp;TEXT(($D819-$C819+1)+15,"00"),"")&amp;IF($C819&gt;=17,", "&amp;$A819&amp;"-"&amp;TEXT(($D819-$C819+1)+16,"00"),"")&amp;IF($C819&gt;=18,", "&amp;$A819&amp;"-"&amp;TEXT(($D819-$C819+1)+17,"00"),"")&amp;IF($C819&gt;=19,", "&amp;$A819&amp;"-"&amp;TEXT(($D819-$C819+1)+18,"00"),"")&amp;IF($C819&gt;=20,", "&amp;$A819&amp;"-"&amp;TEXT(($D819-$C819+1)+19,"00"),"")&amp;IF($C819&gt;=21,", "&amp;$A819&amp;"-"&amp;TEXT(($D819-$C819+1)+20,"00"),"")&amp;IF($C819&gt;=22,", "&amp;$A819&amp;"-"&amp;TEXT(($D819-$C819+1)+21,"00"),"")&amp;IF($C819&gt;=23,", "&amp;$A819&amp;"-"&amp;TEXT(($D819-$C819+1)+22,"00"),"")&amp;IF($C819&gt;=24,", "&amp;$A819&amp;"-"&amp;TEXT(($D819-$C819+1)+23,"00"),"")&amp;IF($C819&gt;=25,", "&amp;$A819&amp;"-"&amp;TEXT(($D819-$C819+1)+24,"00"),""))</f>
        <v/>
      </c>
      <c r="G819">
        <f>IF($A819="","",IF($E819=1,$F819,IF($F819="",$G818,IF($G818="",$F819,$G818&amp;", "&amp;$F819))))</f>
        <v/>
      </c>
      <c r="H819">
        <f>IF($A819="","",$A819&amp;" ("&amp;$C819&amp;")")</f>
        <v/>
      </c>
      <c r="I819">
        <f>IF($A819="","",IF($E819=1,$H819,$I818&amp;", "&amp;$H819))</f>
        <v/>
      </c>
      <c r="J819">
        <f>IF($A819="","",IF($E819=1,$B819,""))</f>
        <v/>
      </c>
      <c r="K819">
        <f>IF($A819="","",IF(COUNTIF($B$2:$B819,$B819)=COUNTIF($B$2:$B$1601,$B819),$B819,""))</f>
        <v/>
      </c>
    </row>
    <row r="820">
      <c r="A820">
        <f>IF('TMP Paste'!$E820="","",'TMP Paste'!$E820)</f>
        <v/>
      </c>
      <c r="B820">
        <f>IF($A820="","",COUNTIF('TMP Paste'!$B$2:$B820,"?*"))</f>
        <v/>
      </c>
      <c r="C820">
        <f>IF($A820="","",IFERROR('TMP Paste'!$M820*1,0))</f>
        <v/>
      </c>
      <c r="D820">
        <f>IF($A820="","",SUMIF($B$2:$B820,$B820,$C$2:$C820))</f>
        <v/>
      </c>
      <c r="E820">
        <f>IF($A820="",0,IF('TMP Paste'!$B820="",0,1))</f>
        <v/>
      </c>
      <c r="F820">
        <f>IF(OR($A820="",$C820&lt;1),"",$A820&amp;"-"&amp;TEXT(($D820-$C820+1),"00")&amp;IF($C820&gt;=2,", "&amp;$A820&amp;"-"&amp;TEXT(($D820-$C820+1)+1,"00"),"")&amp;IF($C820&gt;=3,", "&amp;$A820&amp;"-"&amp;TEXT(($D820-$C820+1)+2,"00"),"")&amp;IF($C820&gt;=4,", "&amp;$A820&amp;"-"&amp;TEXT(($D820-$C820+1)+3,"00"),"")&amp;IF($C820&gt;=5,", "&amp;$A820&amp;"-"&amp;TEXT(($D820-$C820+1)+4,"00"),"")&amp;IF($C820&gt;=6,", "&amp;$A820&amp;"-"&amp;TEXT(($D820-$C820+1)+5,"00"),"")&amp;IF($C820&gt;=7,", "&amp;$A820&amp;"-"&amp;TEXT(($D820-$C820+1)+6,"00"),"")&amp;IF($C820&gt;=8,", "&amp;$A820&amp;"-"&amp;TEXT(($D820-$C820+1)+7,"00"),"")&amp;IF($C820&gt;=9,", "&amp;$A820&amp;"-"&amp;TEXT(($D820-$C820+1)+8,"00"),"")&amp;IF($C820&gt;=10,", "&amp;$A820&amp;"-"&amp;TEXT(($D820-$C820+1)+9,"00"),"")&amp;IF($C820&gt;=11,", "&amp;$A820&amp;"-"&amp;TEXT(($D820-$C820+1)+10,"00"),"")&amp;IF($C820&gt;=12,", "&amp;$A820&amp;"-"&amp;TEXT(($D820-$C820+1)+11,"00"),"")&amp;IF($C820&gt;=13,", "&amp;$A820&amp;"-"&amp;TEXT(($D820-$C820+1)+12,"00"),"")&amp;IF($C820&gt;=14,", "&amp;$A820&amp;"-"&amp;TEXT(($D820-$C820+1)+13,"00"),"")&amp;IF($C820&gt;=15,", "&amp;$A820&amp;"-"&amp;TEXT(($D820-$C820+1)+14,"00"),"")&amp;IF($C820&gt;=16,", "&amp;$A820&amp;"-"&amp;TEXT(($D820-$C820+1)+15,"00"),"")&amp;IF($C820&gt;=17,", "&amp;$A820&amp;"-"&amp;TEXT(($D820-$C820+1)+16,"00"),"")&amp;IF($C820&gt;=18,", "&amp;$A820&amp;"-"&amp;TEXT(($D820-$C820+1)+17,"00"),"")&amp;IF($C820&gt;=19,", "&amp;$A820&amp;"-"&amp;TEXT(($D820-$C820+1)+18,"00"),"")&amp;IF($C820&gt;=20,", "&amp;$A820&amp;"-"&amp;TEXT(($D820-$C820+1)+19,"00"),"")&amp;IF($C820&gt;=21,", "&amp;$A820&amp;"-"&amp;TEXT(($D820-$C820+1)+20,"00"),"")&amp;IF($C820&gt;=22,", "&amp;$A820&amp;"-"&amp;TEXT(($D820-$C820+1)+21,"00"),"")&amp;IF($C820&gt;=23,", "&amp;$A820&amp;"-"&amp;TEXT(($D820-$C820+1)+22,"00"),"")&amp;IF($C820&gt;=24,", "&amp;$A820&amp;"-"&amp;TEXT(($D820-$C820+1)+23,"00"),"")&amp;IF($C820&gt;=25,", "&amp;$A820&amp;"-"&amp;TEXT(($D820-$C820+1)+24,"00"),""))</f>
        <v/>
      </c>
      <c r="G820">
        <f>IF($A820="","",IF($E820=1,$F820,IF($F820="",$G819,IF($G819="",$F820,$G819&amp;", "&amp;$F820))))</f>
        <v/>
      </c>
      <c r="H820">
        <f>IF($A820="","",$A820&amp;" ("&amp;$C820&amp;")")</f>
        <v/>
      </c>
      <c r="I820">
        <f>IF($A820="","",IF($E820=1,$H820,$I819&amp;", "&amp;$H820))</f>
        <v/>
      </c>
      <c r="J820">
        <f>IF($A820="","",IF($E820=1,$B820,""))</f>
        <v/>
      </c>
      <c r="K820">
        <f>IF($A820="","",IF(COUNTIF($B$2:$B820,$B820)=COUNTIF($B$2:$B$1601,$B820),$B820,""))</f>
        <v/>
      </c>
    </row>
    <row r="821">
      <c r="A821">
        <f>IF('TMP Paste'!$E821="","",'TMP Paste'!$E821)</f>
        <v/>
      </c>
      <c r="B821">
        <f>IF($A821="","",COUNTIF('TMP Paste'!$B$2:$B821,"?*"))</f>
        <v/>
      </c>
      <c r="C821">
        <f>IF($A821="","",IFERROR('TMP Paste'!$M821*1,0))</f>
        <v/>
      </c>
      <c r="D821">
        <f>IF($A821="","",SUMIF($B$2:$B821,$B821,$C$2:$C821))</f>
        <v/>
      </c>
      <c r="E821">
        <f>IF($A821="",0,IF('TMP Paste'!$B821="",0,1))</f>
        <v/>
      </c>
      <c r="F821">
        <f>IF(OR($A821="",$C821&lt;1),"",$A821&amp;"-"&amp;TEXT(($D821-$C821+1),"00")&amp;IF($C821&gt;=2,", "&amp;$A821&amp;"-"&amp;TEXT(($D821-$C821+1)+1,"00"),"")&amp;IF($C821&gt;=3,", "&amp;$A821&amp;"-"&amp;TEXT(($D821-$C821+1)+2,"00"),"")&amp;IF($C821&gt;=4,", "&amp;$A821&amp;"-"&amp;TEXT(($D821-$C821+1)+3,"00"),"")&amp;IF($C821&gt;=5,", "&amp;$A821&amp;"-"&amp;TEXT(($D821-$C821+1)+4,"00"),"")&amp;IF($C821&gt;=6,", "&amp;$A821&amp;"-"&amp;TEXT(($D821-$C821+1)+5,"00"),"")&amp;IF($C821&gt;=7,", "&amp;$A821&amp;"-"&amp;TEXT(($D821-$C821+1)+6,"00"),"")&amp;IF($C821&gt;=8,", "&amp;$A821&amp;"-"&amp;TEXT(($D821-$C821+1)+7,"00"),"")&amp;IF($C821&gt;=9,", "&amp;$A821&amp;"-"&amp;TEXT(($D821-$C821+1)+8,"00"),"")&amp;IF($C821&gt;=10,", "&amp;$A821&amp;"-"&amp;TEXT(($D821-$C821+1)+9,"00"),"")&amp;IF($C821&gt;=11,", "&amp;$A821&amp;"-"&amp;TEXT(($D821-$C821+1)+10,"00"),"")&amp;IF($C821&gt;=12,", "&amp;$A821&amp;"-"&amp;TEXT(($D821-$C821+1)+11,"00"),"")&amp;IF($C821&gt;=13,", "&amp;$A821&amp;"-"&amp;TEXT(($D821-$C821+1)+12,"00"),"")&amp;IF($C821&gt;=14,", "&amp;$A821&amp;"-"&amp;TEXT(($D821-$C821+1)+13,"00"),"")&amp;IF($C821&gt;=15,", "&amp;$A821&amp;"-"&amp;TEXT(($D821-$C821+1)+14,"00"),"")&amp;IF($C821&gt;=16,", "&amp;$A821&amp;"-"&amp;TEXT(($D821-$C821+1)+15,"00"),"")&amp;IF($C821&gt;=17,", "&amp;$A821&amp;"-"&amp;TEXT(($D821-$C821+1)+16,"00"),"")&amp;IF($C821&gt;=18,", "&amp;$A821&amp;"-"&amp;TEXT(($D821-$C821+1)+17,"00"),"")&amp;IF($C821&gt;=19,", "&amp;$A821&amp;"-"&amp;TEXT(($D821-$C821+1)+18,"00"),"")&amp;IF($C821&gt;=20,", "&amp;$A821&amp;"-"&amp;TEXT(($D821-$C821+1)+19,"00"),"")&amp;IF($C821&gt;=21,", "&amp;$A821&amp;"-"&amp;TEXT(($D821-$C821+1)+20,"00"),"")&amp;IF($C821&gt;=22,", "&amp;$A821&amp;"-"&amp;TEXT(($D821-$C821+1)+21,"00"),"")&amp;IF($C821&gt;=23,", "&amp;$A821&amp;"-"&amp;TEXT(($D821-$C821+1)+22,"00"),"")&amp;IF($C821&gt;=24,", "&amp;$A821&amp;"-"&amp;TEXT(($D821-$C821+1)+23,"00"),"")&amp;IF($C821&gt;=25,", "&amp;$A821&amp;"-"&amp;TEXT(($D821-$C821+1)+24,"00"),""))</f>
        <v/>
      </c>
      <c r="G821">
        <f>IF($A821="","",IF($E821=1,$F821,IF($F821="",$G820,IF($G820="",$F821,$G820&amp;", "&amp;$F821))))</f>
        <v/>
      </c>
      <c r="H821">
        <f>IF($A821="","",$A821&amp;" ("&amp;$C821&amp;")")</f>
        <v/>
      </c>
      <c r="I821">
        <f>IF($A821="","",IF($E821=1,$H821,$I820&amp;", "&amp;$H821))</f>
        <v/>
      </c>
      <c r="J821">
        <f>IF($A821="","",IF($E821=1,$B821,""))</f>
        <v/>
      </c>
      <c r="K821">
        <f>IF($A821="","",IF(COUNTIF($B$2:$B821,$B821)=COUNTIF($B$2:$B$1601,$B821),$B821,""))</f>
        <v/>
      </c>
    </row>
    <row r="822">
      <c r="A822">
        <f>IF('TMP Paste'!$E822="","",'TMP Paste'!$E822)</f>
        <v/>
      </c>
      <c r="B822">
        <f>IF($A822="","",COUNTIF('TMP Paste'!$B$2:$B822,"?*"))</f>
        <v/>
      </c>
      <c r="C822">
        <f>IF($A822="","",IFERROR('TMP Paste'!$M822*1,0))</f>
        <v/>
      </c>
      <c r="D822">
        <f>IF($A822="","",SUMIF($B$2:$B822,$B822,$C$2:$C822))</f>
        <v/>
      </c>
      <c r="E822">
        <f>IF($A822="",0,IF('TMP Paste'!$B822="",0,1))</f>
        <v/>
      </c>
      <c r="F822">
        <f>IF(OR($A822="",$C822&lt;1),"",$A822&amp;"-"&amp;TEXT(($D822-$C822+1),"00")&amp;IF($C822&gt;=2,", "&amp;$A822&amp;"-"&amp;TEXT(($D822-$C822+1)+1,"00"),"")&amp;IF($C822&gt;=3,", "&amp;$A822&amp;"-"&amp;TEXT(($D822-$C822+1)+2,"00"),"")&amp;IF($C822&gt;=4,", "&amp;$A822&amp;"-"&amp;TEXT(($D822-$C822+1)+3,"00"),"")&amp;IF($C822&gt;=5,", "&amp;$A822&amp;"-"&amp;TEXT(($D822-$C822+1)+4,"00"),"")&amp;IF($C822&gt;=6,", "&amp;$A822&amp;"-"&amp;TEXT(($D822-$C822+1)+5,"00"),"")&amp;IF($C822&gt;=7,", "&amp;$A822&amp;"-"&amp;TEXT(($D822-$C822+1)+6,"00"),"")&amp;IF($C822&gt;=8,", "&amp;$A822&amp;"-"&amp;TEXT(($D822-$C822+1)+7,"00"),"")&amp;IF($C822&gt;=9,", "&amp;$A822&amp;"-"&amp;TEXT(($D822-$C822+1)+8,"00"),"")&amp;IF($C822&gt;=10,", "&amp;$A822&amp;"-"&amp;TEXT(($D822-$C822+1)+9,"00"),"")&amp;IF($C822&gt;=11,", "&amp;$A822&amp;"-"&amp;TEXT(($D822-$C822+1)+10,"00"),"")&amp;IF($C822&gt;=12,", "&amp;$A822&amp;"-"&amp;TEXT(($D822-$C822+1)+11,"00"),"")&amp;IF($C822&gt;=13,", "&amp;$A822&amp;"-"&amp;TEXT(($D822-$C822+1)+12,"00"),"")&amp;IF($C822&gt;=14,", "&amp;$A822&amp;"-"&amp;TEXT(($D822-$C822+1)+13,"00"),"")&amp;IF($C822&gt;=15,", "&amp;$A822&amp;"-"&amp;TEXT(($D822-$C822+1)+14,"00"),"")&amp;IF($C822&gt;=16,", "&amp;$A822&amp;"-"&amp;TEXT(($D822-$C822+1)+15,"00"),"")&amp;IF($C822&gt;=17,", "&amp;$A822&amp;"-"&amp;TEXT(($D822-$C822+1)+16,"00"),"")&amp;IF($C822&gt;=18,", "&amp;$A822&amp;"-"&amp;TEXT(($D822-$C822+1)+17,"00"),"")&amp;IF($C822&gt;=19,", "&amp;$A822&amp;"-"&amp;TEXT(($D822-$C822+1)+18,"00"),"")&amp;IF($C822&gt;=20,", "&amp;$A822&amp;"-"&amp;TEXT(($D822-$C822+1)+19,"00"),"")&amp;IF($C822&gt;=21,", "&amp;$A822&amp;"-"&amp;TEXT(($D822-$C822+1)+20,"00"),"")&amp;IF($C822&gt;=22,", "&amp;$A822&amp;"-"&amp;TEXT(($D822-$C822+1)+21,"00"),"")&amp;IF($C822&gt;=23,", "&amp;$A822&amp;"-"&amp;TEXT(($D822-$C822+1)+22,"00"),"")&amp;IF($C822&gt;=24,", "&amp;$A822&amp;"-"&amp;TEXT(($D822-$C822+1)+23,"00"),"")&amp;IF($C822&gt;=25,", "&amp;$A822&amp;"-"&amp;TEXT(($D822-$C822+1)+24,"00"),""))</f>
        <v/>
      </c>
      <c r="G822">
        <f>IF($A822="","",IF($E822=1,$F822,IF($F822="",$G821,IF($G821="",$F822,$G821&amp;", "&amp;$F822))))</f>
        <v/>
      </c>
      <c r="H822">
        <f>IF($A822="","",$A822&amp;" ("&amp;$C822&amp;")")</f>
        <v/>
      </c>
      <c r="I822">
        <f>IF($A822="","",IF($E822=1,$H822,$I821&amp;", "&amp;$H822))</f>
        <v/>
      </c>
      <c r="J822">
        <f>IF($A822="","",IF($E822=1,$B822,""))</f>
        <v/>
      </c>
      <c r="K822">
        <f>IF($A822="","",IF(COUNTIF($B$2:$B822,$B822)=COUNTIF($B$2:$B$1601,$B822),$B822,""))</f>
        <v/>
      </c>
    </row>
    <row r="823">
      <c r="A823">
        <f>IF('TMP Paste'!$E823="","",'TMP Paste'!$E823)</f>
        <v/>
      </c>
      <c r="B823">
        <f>IF($A823="","",COUNTIF('TMP Paste'!$B$2:$B823,"?*"))</f>
        <v/>
      </c>
      <c r="C823">
        <f>IF($A823="","",IFERROR('TMP Paste'!$M823*1,0))</f>
        <v/>
      </c>
      <c r="D823">
        <f>IF($A823="","",SUMIF($B$2:$B823,$B823,$C$2:$C823))</f>
        <v/>
      </c>
      <c r="E823">
        <f>IF($A823="",0,IF('TMP Paste'!$B823="",0,1))</f>
        <v/>
      </c>
      <c r="F823">
        <f>IF(OR($A823="",$C823&lt;1),"",$A823&amp;"-"&amp;TEXT(($D823-$C823+1),"00")&amp;IF($C823&gt;=2,", "&amp;$A823&amp;"-"&amp;TEXT(($D823-$C823+1)+1,"00"),"")&amp;IF($C823&gt;=3,", "&amp;$A823&amp;"-"&amp;TEXT(($D823-$C823+1)+2,"00"),"")&amp;IF($C823&gt;=4,", "&amp;$A823&amp;"-"&amp;TEXT(($D823-$C823+1)+3,"00"),"")&amp;IF($C823&gt;=5,", "&amp;$A823&amp;"-"&amp;TEXT(($D823-$C823+1)+4,"00"),"")&amp;IF($C823&gt;=6,", "&amp;$A823&amp;"-"&amp;TEXT(($D823-$C823+1)+5,"00"),"")&amp;IF($C823&gt;=7,", "&amp;$A823&amp;"-"&amp;TEXT(($D823-$C823+1)+6,"00"),"")&amp;IF($C823&gt;=8,", "&amp;$A823&amp;"-"&amp;TEXT(($D823-$C823+1)+7,"00"),"")&amp;IF($C823&gt;=9,", "&amp;$A823&amp;"-"&amp;TEXT(($D823-$C823+1)+8,"00"),"")&amp;IF($C823&gt;=10,", "&amp;$A823&amp;"-"&amp;TEXT(($D823-$C823+1)+9,"00"),"")&amp;IF($C823&gt;=11,", "&amp;$A823&amp;"-"&amp;TEXT(($D823-$C823+1)+10,"00"),"")&amp;IF($C823&gt;=12,", "&amp;$A823&amp;"-"&amp;TEXT(($D823-$C823+1)+11,"00"),"")&amp;IF($C823&gt;=13,", "&amp;$A823&amp;"-"&amp;TEXT(($D823-$C823+1)+12,"00"),"")&amp;IF($C823&gt;=14,", "&amp;$A823&amp;"-"&amp;TEXT(($D823-$C823+1)+13,"00"),"")&amp;IF($C823&gt;=15,", "&amp;$A823&amp;"-"&amp;TEXT(($D823-$C823+1)+14,"00"),"")&amp;IF($C823&gt;=16,", "&amp;$A823&amp;"-"&amp;TEXT(($D823-$C823+1)+15,"00"),"")&amp;IF($C823&gt;=17,", "&amp;$A823&amp;"-"&amp;TEXT(($D823-$C823+1)+16,"00"),"")&amp;IF($C823&gt;=18,", "&amp;$A823&amp;"-"&amp;TEXT(($D823-$C823+1)+17,"00"),"")&amp;IF($C823&gt;=19,", "&amp;$A823&amp;"-"&amp;TEXT(($D823-$C823+1)+18,"00"),"")&amp;IF($C823&gt;=20,", "&amp;$A823&amp;"-"&amp;TEXT(($D823-$C823+1)+19,"00"),"")&amp;IF($C823&gt;=21,", "&amp;$A823&amp;"-"&amp;TEXT(($D823-$C823+1)+20,"00"),"")&amp;IF($C823&gt;=22,", "&amp;$A823&amp;"-"&amp;TEXT(($D823-$C823+1)+21,"00"),"")&amp;IF($C823&gt;=23,", "&amp;$A823&amp;"-"&amp;TEXT(($D823-$C823+1)+22,"00"),"")&amp;IF($C823&gt;=24,", "&amp;$A823&amp;"-"&amp;TEXT(($D823-$C823+1)+23,"00"),"")&amp;IF($C823&gt;=25,", "&amp;$A823&amp;"-"&amp;TEXT(($D823-$C823+1)+24,"00"),""))</f>
        <v/>
      </c>
      <c r="G823">
        <f>IF($A823="","",IF($E823=1,$F823,IF($F823="",$G822,IF($G822="",$F823,$G822&amp;", "&amp;$F823))))</f>
        <v/>
      </c>
      <c r="H823">
        <f>IF($A823="","",$A823&amp;" ("&amp;$C823&amp;")")</f>
        <v/>
      </c>
      <c r="I823">
        <f>IF($A823="","",IF($E823=1,$H823,$I822&amp;", "&amp;$H823))</f>
        <v/>
      </c>
      <c r="J823">
        <f>IF($A823="","",IF($E823=1,$B823,""))</f>
        <v/>
      </c>
      <c r="K823">
        <f>IF($A823="","",IF(COUNTIF($B$2:$B823,$B823)=COUNTIF($B$2:$B$1601,$B823),$B823,""))</f>
        <v/>
      </c>
    </row>
    <row r="824">
      <c r="A824">
        <f>IF('TMP Paste'!$E824="","",'TMP Paste'!$E824)</f>
        <v/>
      </c>
      <c r="B824">
        <f>IF($A824="","",COUNTIF('TMP Paste'!$B$2:$B824,"?*"))</f>
        <v/>
      </c>
      <c r="C824">
        <f>IF($A824="","",IFERROR('TMP Paste'!$M824*1,0))</f>
        <v/>
      </c>
      <c r="D824">
        <f>IF($A824="","",SUMIF($B$2:$B824,$B824,$C$2:$C824))</f>
        <v/>
      </c>
      <c r="E824">
        <f>IF($A824="",0,IF('TMP Paste'!$B824="",0,1))</f>
        <v/>
      </c>
      <c r="F824">
        <f>IF(OR($A824="",$C824&lt;1),"",$A824&amp;"-"&amp;TEXT(($D824-$C824+1),"00")&amp;IF($C824&gt;=2,", "&amp;$A824&amp;"-"&amp;TEXT(($D824-$C824+1)+1,"00"),"")&amp;IF($C824&gt;=3,", "&amp;$A824&amp;"-"&amp;TEXT(($D824-$C824+1)+2,"00"),"")&amp;IF($C824&gt;=4,", "&amp;$A824&amp;"-"&amp;TEXT(($D824-$C824+1)+3,"00"),"")&amp;IF($C824&gt;=5,", "&amp;$A824&amp;"-"&amp;TEXT(($D824-$C824+1)+4,"00"),"")&amp;IF($C824&gt;=6,", "&amp;$A824&amp;"-"&amp;TEXT(($D824-$C824+1)+5,"00"),"")&amp;IF($C824&gt;=7,", "&amp;$A824&amp;"-"&amp;TEXT(($D824-$C824+1)+6,"00"),"")&amp;IF($C824&gt;=8,", "&amp;$A824&amp;"-"&amp;TEXT(($D824-$C824+1)+7,"00"),"")&amp;IF($C824&gt;=9,", "&amp;$A824&amp;"-"&amp;TEXT(($D824-$C824+1)+8,"00"),"")&amp;IF($C824&gt;=10,", "&amp;$A824&amp;"-"&amp;TEXT(($D824-$C824+1)+9,"00"),"")&amp;IF($C824&gt;=11,", "&amp;$A824&amp;"-"&amp;TEXT(($D824-$C824+1)+10,"00"),"")&amp;IF($C824&gt;=12,", "&amp;$A824&amp;"-"&amp;TEXT(($D824-$C824+1)+11,"00"),"")&amp;IF($C824&gt;=13,", "&amp;$A824&amp;"-"&amp;TEXT(($D824-$C824+1)+12,"00"),"")&amp;IF($C824&gt;=14,", "&amp;$A824&amp;"-"&amp;TEXT(($D824-$C824+1)+13,"00"),"")&amp;IF($C824&gt;=15,", "&amp;$A824&amp;"-"&amp;TEXT(($D824-$C824+1)+14,"00"),"")&amp;IF($C824&gt;=16,", "&amp;$A824&amp;"-"&amp;TEXT(($D824-$C824+1)+15,"00"),"")&amp;IF($C824&gt;=17,", "&amp;$A824&amp;"-"&amp;TEXT(($D824-$C824+1)+16,"00"),"")&amp;IF($C824&gt;=18,", "&amp;$A824&amp;"-"&amp;TEXT(($D824-$C824+1)+17,"00"),"")&amp;IF($C824&gt;=19,", "&amp;$A824&amp;"-"&amp;TEXT(($D824-$C824+1)+18,"00"),"")&amp;IF($C824&gt;=20,", "&amp;$A824&amp;"-"&amp;TEXT(($D824-$C824+1)+19,"00"),"")&amp;IF($C824&gt;=21,", "&amp;$A824&amp;"-"&amp;TEXT(($D824-$C824+1)+20,"00"),"")&amp;IF($C824&gt;=22,", "&amp;$A824&amp;"-"&amp;TEXT(($D824-$C824+1)+21,"00"),"")&amp;IF($C824&gt;=23,", "&amp;$A824&amp;"-"&amp;TEXT(($D824-$C824+1)+22,"00"),"")&amp;IF($C824&gt;=24,", "&amp;$A824&amp;"-"&amp;TEXT(($D824-$C824+1)+23,"00"),"")&amp;IF($C824&gt;=25,", "&amp;$A824&amp;"-"&amp;TEXT(($D824-$C824+1)+24,"00"),""))</f>
        <v/>
      </c>
      <c r="G824">
        <f>IF($A824="","",IF($E824=1,$F824,IF($F824="",$G823,IF($G823="",$F824,$G823&amp;", "&amp;$F824))))</f>
        <v/>
      </c>
      <c r="H824">
        <f>IF($A824="","",$A824&amp;" ("&amp;$C824&amp;")")</f>
        <v/>
      </c>
      <c r="I824">
        <f>IF($A824="","",IF($E824=1,$H824,$I823&amp;", "&amp;$H824))</f>
        <v/>
      </c>
      <c r="J824">
        <f>IF($A824="","",IF($E824=1,$B824,""))</f>
        <v/>
      </c>
      <c r="K824">
        <f>IF($A824="","",IF(COUNTIF($B$2:$B824,$B824)=COUNTIF($B$2:$B$1601,$B824),$B824,""))</f>
        <v/>
      </c>
    </row>
    <row r="825">
      <c r="A825">
        <f>IF('TMP Paste'!$E825="","",'TMP Paste'!$E825)</f>
        <v/>
      </c>
      <c r="B825">
        <f>IF($A825="","",COUNTIF('TMP Paste'!$B$2:$B825,"?*"))</f>
        <v/>
      </c>
      <c r="C825">
        <f>IF($A825="","",IFERROR('TMP Paste'!$M825*1,0))</f>
        <v/>
      </c>
      <c r="D825">
        <f>IF($A825="","",SUMIF($B$2:$B825,$B825,$C$2:$C825))</f>
        <v/>
      </c>
      <c r="E825">
        <f>IF($A825="",0,IF('TMP Paste'!$B825="",0,1))</f>
        <v/>
      </c>
      <c r="F825">
        <f>IF(OR($A825="",$C825&lt;1),"",$A825&amp;"-"&amp;TEXT(($D825-$C825+1),"00")&amp;IF($C825&gt;=2,", "&amp;$A825&amp;"-"&amp;TEXT(($D825-$C825+1)+1,"00"),"")&amp;IF($C825&gt;=3,", "&amp;$A825&amp;"-"&amp;TEXT(($D825-$C825+1)+2,"00"),"")&amp;IF($C825&gt;=4,", "&amp;$A825&amp;"-"&amp;TEXT(($D825-$C825+1)+3,"00"),"")&amp;IF($C825&gt;=5,", "&amp;$A825&amp;"-"&amp;TEXT(($D825-$C825+1)+4,"00"),"")&amp;IF($C825&gt;=6,", "&amp;$A825&amp;"-"&amp;TEXT(($D825-$C825+1)+5,"00"),"")&amp;IF($C825&gt;=7,", "&amp;$A825&amp;"-"&amp;TEXT(($D825-$C825+1)+6,"00"),"")&amp;IF($C825&gt;=8,", "&amp;$A825&amp;"-"&amp;TEXT(($D825-$C825+1)+7,"00"),"")&amp;IF($C825&gt;=9,", "&amp;$A825&amp;"-"&amp;TEXT(($D825-$C825+1)+8,"00"),"")&amp;IF($C825&gt;=10,", "&amp;$A825&amp;"-"&amp;TEXT(($D825-$C825+1)+9,"00"),"")&amp;IF($C825&gt;=11,", "&amp;$A825&amp;"-"&amp;TEXT(($D825-$C825+1)+10,"00"),"")&amp;IF($C825&gt;=12,", "&amp;$A825&amp;"-"&amp;TEXT(($D825-$C825+1)+11,"00"),"")&amp;IF($C825&gt;=13,", "&amp;$A825&amp;"-"&amp;TEXT(($D825-$C825+1)+12,"00"),"")&amp;IF($C825&gt;=14,", "&amp;$A825&amp;"-"&amp;TEXT(($D825-$C825+1)+13,"00"),"")&amp;IF($C825&gt;=15,", "&amp;$A825&amp;"-"&amp;TEXT(($D825-$C825+1)+14,"00"),"")&amp;IF($C825&gt;=16,", "&amp;$A825&amp;"-"&amp;TEXT(($D825-$C825+1)+15,"00"),"")&amp;IF($C825&gt;=17,", "&amp;$A825&amp;"-"&amp;TEXT(($D825-$C825+1)+16,"00"),"")&amp;IF($C825&gt;=18,", "&amp;$A825&amp;"-"&amp;TEXT(($D825-$C825+1)+17,"00"),"")&amp;IF($C825&gt;=19,", "&amp;$A825&amp;"-"&amp;TEXT(($D825-$C825+1)+18,"00"),"")&amp;IF($C825&gt;=20,", "&amp;$A825&amp;"-"&amp;TEXT(($D825-$C825+1)+19,"00"),"")&amp;IF($C825&gt;=21,", "&amp;$A825&amp;"-"&amp;TEXT(($D825-$C825+1)+20,"00"),"")&amp;IF($C825&gt;=22,", "&amp;$A825&amp;"-"&amp;TEXT(($D825-$C825+1)+21,"00"),"")&amp;IF($C825&gt;=23,", "&amp;$A825&amp;"-"&amp;TEXT(($D825-$C825+1)+22,"00"),"")&amp;IF($C825&gt;=24,", "&amp;$A825&amp;"-"&amp;TEXT(($D825-$C825+1)+23,"00"),"")&amp;IF($C825&gt;=25,", "&amp;$A825&amp;"-"&amp;TEXT(($D825-$C825+1)+24,"00"),""))</f>
        <v/>
      </c>
      <c r="G825">
        <f>IF($A825="","",IF($E825=1,$F825,IF($F825="",$G824,IF($G824="",$F825,$G824&amp;", "&amp;$F825))))</f>
        <v/>
      </c>
      <c r="H825">
        <f>IF($A825="","",$A825&amp;" ("&amp;$C825&amp;")")</f>
        <v/>
      </c>
      <c r="I825">
        <f>IF($A825="","",IF($E825=1,$H825,$I824&amp;", "&amp;$H825))</f>
        <v/>
      </c>
      <c r="J825">
        <f>IF($A825="","",IF($E825=1,$B825,""))</f>
        <v/>
      </c>
      <c r="K825">
        <f>IF($A825="","",IF(COUNTIF($B$2:$B825,$B825)=COUNTIF($B$2:$B$1601,$B825),$B825,""))</f>
        <v/>
      </c>
    </row>
    <row r="826">
      <c r="A826">
        <f>IF('TMP Paste'!$E826="","",'TMP Paste'!$E826)</f>
        <v/>
      </c>
      <c r="B826">
        <f>IF($A826="","",COUNTIF('TMP Paste'!$B$2:$B826,"?*"))</f>
        <v/>
      </c>
      <c r="C826">
        <f>IF($A826="","",IFERROR('TMP Paste'!$M826*1,0))</f>
        <v/>
      </c>
      <c r="D826">
        <f>IF($A826="","",SUMIF($B$2:$B826,$B826,$C$2:$C826))</f>
        <v/>
      </c>
      <c r="E826">
        <f>IF($A826="",0,IF('TMP Paste'!$B826="",0,1))</f>
        <v/>
      </c>
      <c r="F826">
        <f>IF(OR($A826="",$C826&lt;1),"",$A826&amp;"-"&amp;TEXT(($D826-$C826+1),"00")&amp;IF($C826&gt;=2,", "&amp;$A826&amp;"-"&amp;TEXT(($D826-$C826+1)+1,"00"),"")&amp;IF($C826&gt;=3,", "&amp;$A826&amp;"-"&amp;TEXT(($D826-$C826+1)+2,"00"),"")&amp;IF($C826&gt;=4,", "&amp;$A826&amp;"-"&amp;TEXT(($D826-$C826+1)+3,"00"),"")&amp;IF($C826&gt;=5,", "&amp;$A826&amp;"-"&amp;TEXT(($D826-$C826+1)+4,"00"),"")&amp;IF($C826&gt;=6,", "&amp;$A826&amp;"-"&amp;TEXT(($D826-$C826+1)+5,"00"),"")&amp;IF($C826&gt;=7,", "&amp;$A826&amp;"-"&amp;TEXT(($D826-$C826+1)+6,"00"),"")&amp;IF($C826&gt;=8,", "&amp;$A826&amp;"-"&amp;TEXT(($D826-$C826+1)+7,"00"),"")&amp;IF($C826&gt;=9,", "&amp;$A826&amp;"-"&amp;TEXT(($D826-$C826+1)+8,"00"),"")&amp;IF($C826&gt;=10,", "&amp;$A826&amp;"-"&amp;TEXT(($D826-$C826+1)+9,"00"),"")&amp;IF($C826&gt;=11,", "&amp;$A826&amp;"-"&amp;TEXT(($D826-$C826+1)+10,"00"),"")&amp;IF($C826&gt;=12,", "&amp;$A826&amp;"-"&amp;TEXT(($D826-$C826+1)+11,"00"),"")&amp;IF($C826&gt;=13,", "&amp;$A826&amp;"-"&amp;TEXT(($D826-$C826+1)+12,"00"),"")&amp;IF($C826&gt;=14,", "&amp;$A826&amp;"-"&amp;TEXT(($D826-$C826+1)+13,"00"),"")&amp;IF($C826&gt;=15,", "&amp;$A826&amp;"-"&amp;TEXT(($D826-$C826+1)+14,"00"),"")&amp;IF($C826&gt;=16,", "&amp;$A826&amp;"-"&amp;TEXT(($D826-$C826+1)+15,"00"),"")&amp;IF($C826&gt;=17,", "&amp;$A826&amp;"-"&amp;TEXT(($D826-$C826+1)+16,"00"),"")&amp;IF($C826&gt;=18,", "&amp;$A826&amp;"-"&amp;TEXT(($D826-$C826+1)+17,"00"),"")&amp;IF($C826&gt;=19,", "&amp;$A826&amp;"-"&amp;TEXT(($D826-$C826+1)+18,"00"),"")&amp;IF($C826&gt;=20,", "&amp;$A826&amp;"-"&amp;TEXT(($D826-$C826+1)+19,"00"),"")&amp;IF($C826&gt;=21,", "&amp;$A826&amp;"-"&amp;TEXT(($D826-$C826+1)+20,"00"),"")&amp;IF($C826&gt;=22,", "&amp;$A826&amp;"-"&amp;TEXT(($D826-$C826+1)+21,"00"),"")&amp;IF($C826&gt;=23,", "&amp;$A826&amp;"-"&amp;TEXT(($D826-$C826+1)+22,"00"),"")&amp;IF($C826&gt;=24,", "&amp;$A826&amp;"-"&amp;TEXT(($D826-$C826+1)+23,"00"),"")&amp;IF($C826&gt;=25,", "&amp;$A826&amp;"-"&amp;TEXT(($D826-$C826+1)+24,"00"),""))</f>
        <v/>
      </c>
      <c r="G826">
        <f>IF($A826="","",IF($E826=1,$F826,IF($F826="",$G825,IF($G825="",$F826,$G825&amp;", "&amp;$F826))))</f>
        <v/>
      </c>
      <c r="H826">
        <f>IF($A826="","",$A826&amp;" ("&amp;$C826&amp;")")</f>
        <v/>
      </c>
      <c r="I826">
        <f>IF($A826="","",IF($E826=1,$H826,$I825&amp;", "&amp;$H826))</f>
        <v/>
      </c>
      <c r="J826">
        <f>IF($A826="","",IF($E826=1,$B826,""))</f>
        <v/>
      </c>
      <c r="K826">
        <f>IF($A826="","",IF(COUNTIF($B$2:$B826,$B826)=COUNTIF($B$2:$B$1601,$B826),$B826,""))</f>
        <v/>
      </c>
    </row>
    <row r="827">
      <c r="A827">
        <f>IF('TMP Paste'!$E827="","",'TMP Paste'!$E827)</f>
        <v/>
      </c>
      <c r="B827">
        <f>IF($A827="","",COUNTIF('TMP Paste'!$B$2:$B827,"?*"))</f>
        <v/>
      </c>
      <c r="C827">
        <f>IF($A827="","",IFERROR('TMP Paste'!$M827*1,0))</f>
        <v/>
      </c>
      <c r="D827">
        <f>IF($A827="","",SUMIF($B$2:$B827,$B827,$C$2:$C827))</f>
        <v/>
      </c>
      <c r="E827">
        <f>IF($A827="",0,IF('TMP Paste'!$B827="",0,1))</f>
        <v/>
      </c>
      <c r="F827">
        <f>IF(OR($A827="",$C827&lt;1),"",$A827&amp;"-"&amp;TEXT(($D827-$C827+1),"00")&amp;IF($C827&gt;=2,", "&amp;$A827&amp;"-"&amp;TEXT(($D827-$C827+1)+1,"00"),"")&amp;IF($C827&gt;=3,", "&amp;$A827&amp;"-"&amp;TEXT(($D827-$C827+1)+2,"00"),"")&amp;IF($C827&gt;=4,", "&amp;$A827&amp;"-"&amp;TEXT(($D827-$C827+1)+3,"00"),"")&amp;IF($C827&gt;=5,", "&amp;$A827&amp;"-"&amp;TEXT(($D827-$C827+1)+4,"00"),"")&amp;IF($C827&gt;=6,", "&amp;$A827&amp;"-"&amp;TEXT(($D827-$C827+1)+5,"00"),"")&amp;IF($C827&gt;=7,", "&amp;$A827&amp;"-"&amp;TEXT(($D827-$C827+1)+6,"00"),"")&amp;IF($C827&gt;=8,", "&amp;$A827&amp;"-"&amp;TEXT(($D827-$C827+1)+7,"00"),"")&amp;IF($C827&gt;=9,", "&amp;$A827&amp;"-"&amp;TEXT(($D827-$C827+1)+8,"00"),"")&amp;IF($C827&gt;=10,", "&amp;$A827&amp;"-"&amp;TEXT(($D827-$C827+1)+9,"00"),"")&amp;IF($C827&gt;=11,", "&amp;$A827&amp;"-"&amp;TEXT(($D827-$C827+1)+10,"00"),"")&amp;IF($C827&gt;=12,", "&amp;$A827&amp;"-"&amp;TEXT(($D827-$C827+1)+11,"00"),"")&amp;IF($C827&gt;=13,", "&amp;$A827&amp;"-"&amp;TEXT(($D827-$C827+1)+12,"00"),"")&amp;IF($C827&gt;=14,", "&amp;$A827&amp;"-"&amp;TEXT(($D827-$C827+1)+13,"00"),"")&amp;IF($C827&gt;=15,", "&amp;$A827&amp;"-"&amp;TEXT(($D827-$C827+1)+14,"00"),"")&amp;IF($C827&gt;=16,", "&amp;$A827&amp;"-"&amp;TEXT(($D827-$C827+1)+15,"00"),"")&amp;IF($C827&gt;=17,", "&amp;$A827&amp;"-"&amp;TEXT(($D827-$C827+1)+16,"00"),"")&amp;IF($C827&gt;=18,", "&amp;$A827&amp;"-"&amp;TEXT(($D827-$C827+1)+17,"00"),"")&amp;IF($C827&gt;=19,", "&amp;$A827&amp;"-"&amp;TEXT(($D827-$C827+1)+18,"00"),"")&amp;IF($C827&gt;=20,", "&amp;$A827&amp;"-"&amp;TEXT(($D827-$C827+1)+19,"00"),"")&amp;IF($C827&gt;=21,", "&amp;$A827&amp;"-"&amp;TEXT(($D827-$C827+1)+20,"00"),"")&amp;IF($C827&gt;=22,", "&amp;$A827&amp;"-"&amp;TEXT(($D827-$C827+1)+21,"00"),"")&amp;IF($C827&gt;=23,", "&amp;$A827&amp;"-"&amp;TEXT(($D827-$C827+1)+22,"00"),"")&amp;IF($C827&gt;=24,", "&amp;$A827&amp;"-"&amp;TEXT(($D827-$C827+1)+23,"00"),"")&amp;IF($C827&gt;=25,", "&amp;$A827&amp;"-"&amp;TEXT(($D827-$C827+1)+24,"00"),""))</f>
        <v/>
      </c>
      <c r="G827">
        <f>IF($A827="","",IF($E827=1,$F827,IF($F827="",$G826,IF($G826="",$F827,$G826&amp;", "&amp;$F827))))</f>
        <v/>
      </c>
      <c r="H827">
        <f>IF($A827="","",$A827&amp;" ("&amp;$C827&amp;")")</f>
        <v/>
      </c>
      <c r="I827">
        <f>IF($A827="","",IF($E827=1,$H827,$I826&amp;", "&amp;$H827))</f>
        <v/>
      </c>
      <c r="J827">
        <f>IF($A827="","",IF($E827=1,$B827,""))</f>
        <v/>
      </c>
      <c r="K827">
        <f>IF($A827="","",IF(COUNTIF($B$2:$B827,$B827)=COUNTIF($B$2:$B$1601,$B827),$B827,""))</f>
        <v/>
      </c>
    </row>
    <row r="828">
      <c r="A828">
        <f>IF('TMP Paste'!$E828="","",'TMP Paste'!$E828)</f>
        <v/>
      </c>
      <c r="B828">
        <f>IF($A828="","",COUNTIF('TMP Paste'!$B$2:$B828,"?*"))</f>
        <v/>
      </c>
      <c r="C828">
        <f>IF($A828="","",IFERROR('TMP Paste'!$M828*1,0))</f>
        <v/>
      </c>
      <c r="D828">
        <f>IF($A828="","",SUMIF($B$2:$B828,$B828,$C$2:$C828))</f>
        <v/>
      </c>
      <c r="E828">
        <f>IF($A828="",0,IF('TMP Paste'!$B828="",0,1))</f>
        <v/>
      </c>
      <c r="F828">
        <f>IF(OR($A828="",$C828&lt;1),"",$A828&amp;"-"&amp;TEXT(($D828-$C828+1),"00")&amp;IF($C828&gt;=2,", "&amp;$A828&amp;"-"&amp;TEXT(($D828-$C828+1)+1,"00"),"")&amp;IF($C828&gt;=3,", "&amp;$A828&amp;"-"&amp;TEXT(($D828-$C828+1)+2,"00"),"")&amp;IF($C828&gt;=4,", "&amp;$A828&amp;"-"&amp;TEXT(($D828-$C828+1)+3,"00"),"")&amp;IF($C828&gt;=5,", "&amp;$A828&amp;"-"&amp;TEXT(($D828-$C828+1)+4,"00"),"")&amp;IF($C828&gt;=6,", "&amp;$A828&amp;"-"&amp;TEXT(($D828-$C828+1)+5,"00"),"")&amp;IF($C828&gt;=7,", "&amp;$A828&amp;"-"&amp;TEXT(($D828-$C828+1)+6,"00"),"")&amp;IF($C828&gt;=8,", "&amp;$A828&amp;"-"&amp;TEXT(($D828-$C828+1)+7,"00"),"")&amp;IF($C828&gt;=9,", "&amp;$A828&amp;"-"&amp;TEXT(($D828-$C828+1)+8,"00"),"")&amp;IF($C828&gt;=10,", "&amp;$A828&amp;"-"&amp;TEXT(($D828-$C828+1)+9,"00"),"")&amp;IF($C828&gt;=11,", "&amp;$A828&amp;"-"&amp;TEXT(($D828-$C828+1)+10,"00"),"")&amp;IF($C828&gt;=12,", "&amp;$A828&amp;"-"&amp;TEXT(($D828-$C828+1)+11,"00"),"")&amp;IF($C828&gt;=13,", "&amp;$A828&amp;"-"&amp;TEXT(($D828-$C828+1)+12,"00"),"")&amp;IF($C828&gt;=14,", "&amp;$A828&amp;"-"&amp;TEXT(($D828-$C828+1)+13,"00"),"")&amp;IF($C828&gt;=15,", "&amp;$A828&amp;"-"&amp;TEXT(($D828-$C828+1)+14,"00"),"")&amp;IF($C828&gt;=16,", "&amp;$A828&amp;"-"&amp;TEXT(($D828-$C828+1)+15,"00"),"")&amp;IF($C828&gt;=17,", "&amp;$A828&amp;"-"&amp;TEXT(($D828-$C828+1)+16,"00"),"")&amp;IF($C828&gt;=18,", "&amp;$A828&amp;"-"&amp;TEXT(($D828-$C828+1)+17,"00"),"")&amp;IF($C828&gt;=19,", "&amp;$A828&amp;"-"&amp;TEXT(($D828-$C828+1)+18,"00"),"")&amp;IF($C828&gt;=20,", "&amp;$A828&amp;"-"&amp;TEXT(($D828-$C828+1)+19,"00"),"")&amp;IF($C828&gt;=21,", "&amp;$A828&amp;"-"&amp;TEXT(($D828-$C828+1)+20,"00"),"")&amp;IF($C828&gt;=22,", "&amp;$A828&amp;"-"&amp;TEXT(($D828-$C828+1)+21,"00"),"")&amp;IF($C828&gt;=23,", "&amp;$A828&amp;"-"&amp;TEXT(($D828-$C828+1)+22,"00"),"")&amp;IF($C828&gt;=24,", "&amp;$A828&amp;"-"&amp;TEXT(($D828-$C828+1)+23,"00"),"")&amp;IF($C828&gt;=25,", "&amp;$A828&amp;"-"&amp;TEXT(($D828-$C828+1)+24,"00"),""))</f>
        <v/>
      </c>
      <c r="G828">
        <f>IF($A828="","",IF($E828=1,$F828,IF($F828="",$G827,IF($G827="",$F828,$G827&amp;", "&amp;$F828))))</f>
        <v/>
      </c>
      <c r="H828">
        <f>IF($A828="","",$A828&amp;" ("&amp;$C828&amp;")")</f>
        <v/>
      </c>
      <c r="I828">
        <f>IF($A828="","",IF($E828=1,$H828,$I827&amp;", "&amp;$H828))</f>
        <v/>
      </c>
      <c r="J828">
        <f>IF($A828="","",IF($E828=1,$B828,""))</f>
        <v/>
      </c>
      <c r="K828">
        <f>IF($A828="","",IF(COUNTIF($B$2:$B828,$B828)=COUNTIF($B$2:$B$1601,$B828),$B828,""))</f>
        <v/>
      </c>
    </row>
    <row r="829">
      <c r="A829">
        <f>IF('TMP Paste'!$E829="","",'TMP Paste'!$E829)</f>
        <v/>
      </c>
      <c r="B829">
        <f>IF($A829="","",COUNTIF('TMP Paste'!$B$2:$B829,"?*"))</f>
        <v/>
      </c>
      <c r="C829">
        <f>IF($A829="","",IFERROR('TMP Paste'!$M829*1,0))</f>
        <v/>
      </c>
      <c r="D829">
        <f>IF($A829="","",SUMIF($B$2:$B829,$B829,$C$2:$C829))</f>
        <v/>
      </c>
      <c r="E829">
        <f>IF($A829="",0,IF('TMP Paste'!$B829="",0,1))</f>
        <v/>
      </c>
      <c r="F829">
        <f>IF(OR($A829="",$C829&lt;1),"",$A829&amp;"-"&amp;TEXT(($D829-$C829+1),"00")&amp;IF($C829&gt;=2,", "&amp;$A829&amp;"-"&amp;TEXT(($D829-$C829+1)+1,"00"),"")&amp;IF($C829&gt;=3,", "&amp;$A829&amp;"-"&amp;TEXT(($D829-$C829+1)+2,"00"),"")&amp;IF($C829&gt;=4,", "&amp;$A829&amp;"-"&amp;TEXT(($D829-$C829+1)+3,"00"),"")&amp;IF($C829&gt;=5,", "&amp;$A829&amp;"-"&amp;TEXT(($D829-$C829+1)+4,"00"),"")&amp;IF($C829&gt;=6,", "&amp;$A829&amp;"-"&amp;TEXT(($D829-$C829+1)+5,"00"),"")&amp;IF($C829&gt;=7,", "&amp;$A829&amp;"-"&amp;TEXT(($D829-$C829+1)+6,"00"),"")&amp;IF($C829&gt;=8,", "&amp;$A829&amp;"-"&amp;TEXT(($D829-$C829+1)+7,"00"),"")&amp;IF($C829&gt;=9,", "&amp;$A829&amp;"-"&amp;TEXT(($D829-$C829+1)+8,"00"),"")&amp;IF($C829&gt;=10,", "&amp;$A829&amp;"-"&amp;TEXT(($D829-$C829+1)+9,"00"),"")&amp;IF($C829&gt;=11,", "&amp;$A829&amp;"-"&amp;TEXT(($D829-$C829+1)+10,"00"),"")&amp;IF($C829&gt;=12,", "&amp;$A829&amp;"-"&amp;TEXT(($D829-$C829+1)+11,"00"),"")&amp;IF($C829&gt;=13,", "&amp;$A829&amp;"-"&amp;TEXT(($D829-$C829+1)+12,"00"),"")&amp;IF($C829&gt;=14,", "&amp;$A829&amp;"-"&amp;TEXT(($D829-$C829+1)+13,"00"),"")&amp;IF($C829&gt;=15,", "&amp;$A829&amp;"-"&amp;TEXT(($D829-$C829+1)+14,"00"),"")&amp;IF($C829&gt;=16,", "&amp;$A829&amp;"-"&amp;TEXT(($D829-$C829+1)+15,"00"),"")&amp;IF($C829&gt;=17,", "&amp;$A829&amp;"-"&amp;TEXT(($D829-$C829+1)+16,"00"),"")&amp;IF($C829&gt;=18,", "&amp;$A829&amp;"-"&amp;TEXT(($D829-$C829+1)+17,"00"),"")&amp;IF($C829&gt;=19,", "&amp;$A829&amp;"-"&amp;TEXT(($D829-$C829+1)+18,"00"),"")&amp;IF($C829&gt;=20,", "&amp;$A829&amp;"-"&amp;TEXT(($D829-$C829+1)+19,"00"),"")&amp;IF($C829&gt;=21,", "&amp;$A829&amp;"-"&amp;TEXT(($D829-$C829+1)+20,"00"),"")&amp;IF($C829&gt;=22,", "&amp;$A829&amp;"-"&amp;TEXT(($D829-$C829+1)+21,"00"),"")&amp;IF($C829&gt;=23,", "&amp;$A829&amp;"-"&amp;TEXT(($D829-$C829+1)+22,"00"),"")&amp;IF($C829&gt;=24,", "&amp;$A829&amp;"-"&amp;TEXT(($D829-$C829+1)+23,"00"),"")&amp;IF($C829&gt;=25,", "&amp;$A829&amp;"-"&amp;TEXT(($D829-$C829+1)+24,"00"),""))</f>
        <v/>
      </c>
      <c r="G829">
        <f>IF($A829="","",IF($E829=1,$F829,IF($F829="",$G828,IF($G828="",$F829,$G828&amp;", "&amp;$F829))))</f>
        <v/>
      </c>
      <c r="H829">
        <f>IF($A829="","",$A829&amp;" ("&amp;$C829&amp;")")</f>
        <v/>
      </c>
      <c r="I829">
        <f>IF($A829="","",IF($E829=1,$H829,$I828&amp;", "&amp;$H829))</f>
        <v/>
      </c>
      <c r="J829">
        <f>IF($A829="","",IF($E829=1,$B829,""))</f>
        <v/>
      </c>
      <c r="K829">
        <f>IF($A829="","",IF(COUNTIF($B$2:$B829,$B829)=COUNTIF($B$2:$B$1601,$B829),$B829,""))</f>
        <v/>
      </c>
    </row>
    <row r="830">
      <c r="A830">
        <f>IF('TMP Paste'!$E830="","",'TMP Paste'!$E830)</f>
        <v/>
      </c>
      <c r="B830">
        <f>IF($A830="","",COUNTIF('TMP Paste'!$B$2:$B830,"?*"))</f>
        <v/>
      </c>
      <c r="C830">
        <f>IF($A830="","",IFERROR('TMP Paste'!$M830*1,0))</f>
        <v/>
      </c>
      <c r="D830">
        <f>IF($A830="","",SUMIF($B$2:$B830,$B830,$C$2:$C830))</f>
        <v/>
      </c>
      <c r="E830">
        <f>IF($A830="",0,IF('TMP Paste'!$B830="",0,1))</f>
        <v/>
      </c>
      <c r="F830">
        <f>IF(OR($A830="",$C830&lt;1),"",$A830&amp;"-"&amp;TEXT(($D830-$C830+1),"00")&amp;IF($C830&gt;=2,", "&amp;$A830&amp;"-"&amp;TEXT(($D830-$C830+1)+1,"00"),"")&amp;IF($C830&gt;=3,", "&amp;$A830&amp;"-"&amp;TEXT(($D830-$C830+1)+2,"00"),"")&amp;IF($C830&gt;=4,", "&amp;$A830&amp;"-"&amp;TEXT(($D830-$C830+1)+3,"00"),"")&amp;IF($C830&gt;=5,", "&amp;$A830&amp;"-"&amp;TEXT(($D830-$C830+1)+4,"00"),"")&amp;IF($C830&gt;=6,", "&amp;$A830&amp;"-"&amp;TEXT(($D830-$C830+1)+5,"00"),"")&amp;IF($C830&gt;=7,", "&amp;$A830&amp;"-"&amp;TEXT(($D830-$C830+1)+6,"00"),"")&amp;IF($C830&gt;=8,", "&amp;$A830&amp;"-"&amp;TEXT(($D830-$C830+1)+7,"00"),"")&amp;IF($C830&gt;=9,", "&amp;$A830&amp;"-"&amp;TEXT(($D830-$C830+1)+8,"00"),"")&amp;IF($C830&gt;=10,", "&amp;$A830&amp;"-"&amp;TEXT(($D830-$C830+1)+9,"00"),"")&amp;IF($C830&gt;=11,", "&amp;$A830&amp;"-"&amp;TEXT(($D830-$C830+1)+10,"00"),"")&amp;IF($C830&gt;=12,", "&amp;$A830&amp;"-"&amp;TEXT(($D830-$C830+1)+11,"00"),"")&amp;IF($C830&gt;=13,", "&amp;$A830&amp;"-"&amp;TEXT(($D830-$C830+1)+12,"00"),"")&amp;IF($C830&gt;=14,", "&amp;$A830&amp;"-"&amp;TEXT(($D830-$C830+1)+13,"00"),"")&amp;IF($C830&gt;=15,", "&amp;$A830&amp;"-"&amp;TEXT(($D830-$C830+1)+14,"00"),"")&amp;IF($C830&gt;=16,", "&amp;$A830&amp;"-"&amp;TEXT(($D830-$C830+1)+15,"00"),"")&amp;IF($C830&gt;=17,", "&amp;$A830&amp;"-"&amp;TEXT(($D830-$C830+1)+16,"00"),"")&amp;IF($C830&gt;=18,", "&amp;$A830&amp;"-"&amp;TEXT(($D830-$C830+1)+17,"00"),"")&amp;IF($C830&gt;=19,", "&amp;$A830&amp;"-"&amp;TEXT(($D830-$C830+1)+18,"00"),"")&amp;IF($C830&gt;=20,", "&amp;$A830&amp;"-"&amp;TEXT(($D830-$C830+1)+19,"00"),"")&amp;IF($C830&gt;=21,", "&amp;$A830&amp;"-"&amp;TEXT(($D830-$C830+1)+20,"00"),"")&amp;IF($C830&gt;=22,", "&amp;$A830&amp;"-"&amp;TEXT(($D830-$C830+1)+21,"00"),"")&amp;IF($C830&gt;=23,", "&amp;$A830&amp;"-"&amp;TEXT(($D830-$C830+1)+22,"00"),"")&amp;IF($C830&gt;=24,", "&amp;$A830&amp;"-"&amp;TEXT(($D830-$C830+1)+23,"00"),"")&amp;IF($C830&gt;=25,", "&amp;$A830&amp;"-"&amp;TEXT(($D830-$C830+1)+24,"00"),""))</f>
        <v/>
      </c>
      <c r="G830">
        <f>IF($A830="","",IF($E830=1,$F830,IF($F830="",$G829,IF($G829="",$F830,$G829&amp;", "&amp;$F830))))</f>
        <v/>
      </c>
      <c r="H830">
        <f>IF($A830="","",$A830&amp;" ("&amp;$C830&amp;")")</f>
        <v/>
      </c>
      <c r="I830">
        <f>IF($A830="","",IF($E830=1,$H830,$I829&amp;", "&amp;$H830))</f>
        <v/>
      </c>
      <c r="J830">
        <f>IF($A830="","",IF($E830=1,$B830,""))</f>
        <v/>
      </c>
      <c r="K830">
        <f>IF($A830="","",IF(COUNTIF($B$2:$B830,$B830)=COUNTIF($B$2:$B$1601,$B830),$B830,""))</f>
        <v/>
      </c>
    </row>
    <row r="831">
      <c r="A831">
        <f>IF('TMP Paste'!$E831="","",'TMP Paste'!$E831)</f>
        <v/>
      </c>
      <c r="B831">
        <f>IF($A831="","",COUNTIF('TMP Paste'!$B$2:$B831,"?*"))</f>
        <v/>
      </c>
      <c r="C831">
        <f>IF($A831="","",IFERROR('TMP Paste'!$M831*1,0))</f>
        <v/>
      </c>
      <c r="D831">
        <f>IF($A831="","",SUMIF($B$2:$B831,$B831,$C$2:$C831))</f>
        <v/>
      </c>
      <c r="E831">
        <f>IF($A831="",0,IF('TMP Paste'!$B831="",0,1))</f>
        <v/>
      </c>
      <c r="F831">
        <f>IF(OR($A831="",$C831&lt;1),"",$A831&amp;"-"&amp;TEXT(($D831-$C831+1),"00")&amp;IF($C831&gt;=2,", "&amp;$A831&amp;"-"&amp;TEXT(($D831-$C831+1)+1,"00"),"")&amp;IF($C831&gt;=3,", "&amp;$A831&amp;"-"&amp;TEXT(($D831-$C831+1)+2,"00"),"")&amp;IF($C831&gt;=4,", "&amp;$A831&amp;"-"&amp;TEXT(($D831-$C831+1)+3,"00"),"")&amp;IF($C831&gt;=5,", "&amp;$A831&amp;"-"&amp;TEXT(($D831-$C831+1)+4,"00"),"")&amp;IF($C831&gt;=6,", "&amp;$A831&amp;"-"&amp;TEXT(($D831-$C831+1)+5,"00"),"")&amp;IF($C831&gt;=7,", "&amp;$A831&amp;"-"&amp;TEXT(($D831-$C831+1)+6,"00"),"")&amp;IF($C831&gt;=8,", "&amp;$A831&amp;"-"&amp;TEXT(($D831-$C831+1)+7,"00"),"")&amp;IF($C831&gt;=9,", "&amp;$A831&amp;"-"&amp;TEXT(($D831-$C831+1)+8,"00"),"")&amp;IF($C831&gt;=10,", "&amp;$A831&amp;"-"&amp;TEXT(($D831-$C831+1)+9,"00"),"")&amp;IF($C831&gt;=11,", "&amp;$A831&amp;"-"&amp;TEXT(($D831-$C831+1)+10,"00"),"")&amp;IF($C831&gt;=12,", "&amp;$A831&amp;"-"&amp;TEXT(($D831-$C831+1)+11,"00"),"")&amp;IF($C831&gt;=13,", "&amp;$A831&amp;"-"&amp;TEXT(($D831-$C831+1)+12,"00"),"")&amp;IF($C831&gt;=14,", "&amp;$A831&amp;"-"&amp;TEXT(($D831-$C831+1)+13,"00"),"")&amp;IF($C831&gt;=15,", "&amp;$A831&amp;"-"&amp;TEXT(($D831-$C831+1)+14,"00"),"")&amp;IF($C831&gt;=16,", "&amp;$A831&amp;"-"&amp;TEXT(($D831-$C831+1)+15,"00"),"")&amp;IF($C831&gt;=17,", "&amp;$A831&amp;"-"&amp;TEXT(($D831-$C831+1)+16,"00"),"")&amp;IF($C831&gt;=18,", "&amp;$A831&amp;"-"&amp;TEXT(($D831-$C831+1)+17,"00"),"")&amp;IF($C831&gt;=19,", "&amp;$A831&amp;"-"&amp;TEXT(($D831-$C831+1)+18,"00"),"")&amp;IF($C831&gt;=20,", "&amp;$A831&amp;"-"&amp;TEXT(($D831-$C831+1)+19,"00"),"")&amp;IF($C831&gt;=21,", "&amp;$A831&amp;"-"&amp;TEXT(($D831-$C831+1)+20,"00"),"")&amp;IF($C831&gt;=22,", "&amp;$A831&amp;"-"&amp;TEXT(($D831-$C831+1)+21,"00"),"")&amp;IF($C831&gt;=23,", "&amp;$A831&amp;"-"&amp;TEXT(($D831-$C831+1)+22,"00"),"")&amp;IF($C831&gt;=24,", "&amp;$A831&amp;"-"&amp;TEXT(($D831-$C831+1)+23,"00"),"")&amp;IF($C831&gt;=25,", "&amp;$A831&amp;"-"&amp;TEXT(($D831-$C831+1)+24,"00"),""))</f>
        <v/>
      </c>
      <c r="G831">
        <f>IF($A831="","",IF($E831=1,$F831,IF($F831="",$G830,IF($G830="",$F831,$G830&amp;", "&amp;$F831))))</f>
        <v/>
      </c>
      <c r="H831">
        <f>IF($A831="","",$A831&amp;" ("&amp;$C831&amp;")")</f>
        <v/>
      </c>
      <c r="I831">
        <f>IF($A831="","",IF($E831=1,$H831,$I830&amp;", "&amp;$H831))</f>
        <v/>
      </c>
      <c r="J831">
        <f>IF($A831="","",IF($E831=1,$B831,""))</f>
        <v/>
      </c>
      <c r="K831">
        <f>IF($A831="","",IF(COUNTIF($B$2:$B831,$B831)=COUNTIF($B$2:$B$1601,$B831),$B831,""))</f>
        <v/>
      </c>
    </row>
    <row r="832">
      <c r="A832">
        <f>IF('TMP Paste'!$E832="","",'TMP Paste'!$E832)</f>
        <v/>
      </c>
      <c r="B832">
        <f>IF($A832="","",COUNTIF('TMP Paste'!$B$2:$B832,"?*"))</f>
        <v/>
      </c>
      <c r="C832">
        <f>IF($A832="","",IFERROR('TMP Paste'!$M832*1,0))</f>
        <v/>
      </c>
      <c r="D832">
        <f>IF($A832="","",SUMIF($B$2:$B832,$B832,$C$2:$C832))</f>
        <v/>
      </c>
      <c r="E832">
        <f>IF($A832="",0,IF('TMP Paste'!$B832="",0,1))</f>
        <v/>
      </c>
      <c r="F832">
        <f>IF(OR($A832="",$C832&lt;1),"",$A832&amp;"-"&amp;TEXT(($D832-$C832+1),"00")&amp;IF($C832&gt;=2,", "&amp;$A832&amp;"-"&amp;TEXT(($D832-$C832+1)+1,"00"),"")&amp;IF($C832&gt;=3,", "&amp;$A832&amp;"-"&amp;TEXT(($D832-$C832+1)+2,"00"),"")&amp;IF($C832&gt;=4,", "&amp;$A832&amp;"-"&amp;TEXT(($D832-$C832+1)+3,"00"),"")&amp;IF($C832&gt;=5,", "&amp;$A832&amp;"-"&amp;TEXT(($D832-$C832+1)+4,"00"),"")&amp;IF($C832&gt;=6,", "&amp;$A832&amp;"-"&amp;TEXT(($D832-$C832+1)+5,"00"),"")&amp;IF($C832&gt;=7,", "&amp;$A832&amp;"-"&amp;TEXT(($D832-$C832+1)+6,"00"),"")&amp;IF($C832&gt;=8,", "&amp;$A832&amp;"-"&amp;TEXT(($D832-$C832+1)+7,"00"),"")&amp;IF($C832&gt;=9,", "&amp;$A832&amp;"-"&amp;TEXT(($D832-$C832+1)+8,"00"),"")&amp;IF($C832&gt;=10,", "&amp;$A832&amp;"-"&amp;TEXT(($D832-$C832+1)+9,"00"),"")&amp;IF($C832&gt;=11,", "&amp;$A832&amp;"-"&amp;TEXT(($D832-$C832+1)+10,"00"),"")&amp;IF($C832&gt;=12,", "&amp;$A832&amp;"-"&amp;TEXT(($D832-$C832+1)+11,"00"),"")&amp;IF($C832&gt;=13,", "&amp;$A832&amp;"-"&amp;TEXT(($D832-$C832+1)+12,"00"),"")&amp;IF($C832&gt;=14,", "&amp;$A832&amp;"-"&amp;TEXT(($D832-$C832+1)+13,"00"),"")&amp;IF($C832&gt;=15,", "&amp;$A832&amp;"-"&amp;TEXT(($D832-$C832+1)+14,"00"),"")&amp;IF($C832&gt;=16,", "&amp;$A832&amp;"-"&amp;TEXT(($D832-$C832+1)+15,"00"),"")&amp;IF($C832&gt;=17,", "&amp;$A832&amp;"-"&amp;TEXT(($D832-$C832+1)+16,"00"),"")&amp;IF($C832&gt;=18,", "&amp;$A832&amp;"-"&amp;TEXT(($D832-$C832+1)+17,"00"),"")&amp;IF($C832&gt;=19,", "&amp;$A832&amp;"-"&amp;TEXT(($D832-$C832+1)+18,"00"),"")&amp;IF($C832&gt;=20,", "&amp;$A832&amp;"-"&amp;TEXT(($D832-$C832+1)+19,"00"),"")&amp;IF($C832&gt;=21,", "&amp;$A832&amp;"-"&amp;TEXT(($D832-$C832+1)+20,"00"),"")&amp;IF($C832&gt;=22,", "&amp;$A832&amp;"-"&amp;TEXT(($D832-$C832+1)+21,"00"),"")&amp;IF($C832&gt;=23,", "&amp;$A832&amp;"-"&amp;TEXT(($D832-$C832+1)+22,"00"),"")&amp;IF($C832&gt;=24,", "&amp;$A832&amp;"-"&amp;TEXT(($D832-$C832+1)+23,"00"),"")&amp;IF($C832&gt;=25,", "&amp;$A832&amp;"-"&amp;TEXT(($D832-$C832+1)+24,"00"),""))</f>
        <v/>
      </c>
      <c r="G832">
        <f>IF($A832="","",IF($E832=1,$F832,IF($F832="",$G831,IF($G831="",$F832,$G831&amp;", "&amp;$F832))))</f>
        <v/>
      </c>
      <c r="H832">
        <f>IF($A832="","",$A832&amp;" ("&amp;$C832&amp;")")</f>
        <v/>
      </c>
      <c r="I832">
        <f>IF($A832="","",IF($E832=1,$H832,$I831&amp;", "&amp;$H832))</f>
        <v/>
      </c>
      <c r="J832">
        <f>IF($A832="","",IF($E832=1,$B832,""))</f>
        <v/>
      </c>
      <c r="K832">
        <f>IF($A832="","",IF(COUNTIF($B$2:$B832,$B832)=COUNTIF($B$2:$B$1601,$B832),$B832,""))</f>
        <v/>
      </c>
    </row>
    <row r="833">
      <c r="A833">
        <f>IF('TMP Paste'!$E833="","",'TMP Paste'!$E833)</f>
        <v/>
      </c>
      <c r="B833">
        <f>IF($A833="","",COUNTIF('TMP Paste'!$B$2:$B833,"?*"))</f>
        <v/>
      </c>
      <c r="C833">
        <f>IF($A833="","",IFERROR('TMP Paste'!$M833*1,0))</f>
        <v/>
      </c>
      <c r="D833">
        <f>IF($A833="","",SUMIF($B$2:$B833,$B833,$C$2:$C833))</f>
        <v/>
      </c>
      <c r="E833">
        <f>IF($A833="",0,IF('TMP Paste'!$B833="",0,1))</f>
        <v/>
      </c>
      <c r="F833">
        <f>IF(OR($A833="",$C833&lt;1),"",$A833&amp;"-"&amp;TEXT(($D833-$C833+1),"00")&amp;IF($C833&gt;=2,", "&amp;$A833&amp;"-"&amp;TEXT(($D833-$C833+1)+1,"00"),"")&amp;IF($C833&gt;=3,", "&amp;$A833&amp;"-"&amp;TEXT(($D833-$C833+1)+2,"00"),"")&amp;IF($C833&gt;=4,", "&amp;$A833&amp;"-"&amp;TEXT(($D833-$C833+1)+3,"00"),"")&amp;IF($C833&gt;=5,", "&amp;$A833&amp;"-"&amp;TEXT(($D833-$C833+1)+4,"00"),"")&amp;IF($C833&gt;=6,", "&amp;$A833&amp;"-"&amp;TEXT(($D833-$C833+1)+5,"00"),"")&amp;IF($C833&gt;=7,", "&amp;$A833&amp;"-"&amp;TEXT(($D833-$C833+1)+6,"00"),"")&amp;IF($C833&gt;=8,", "&amp;$A833&amp;"-"&amp;TEXT(($D833-$C833+1)+7,"00"),"")&amp;IF($C833&gt;=9,", "&amp;$A833&amp;"-"&amp;TEXT(($D833-$C833+1)+8,"00"),"")&amp;IF($C833&gt;=10,", "&amp;$A833&amp;"-"&amp;TEXT(($D833-$C833+1)+9,"00"),"")&amp;IF($C833&gt;=11,", "&amp;$A833&amp;"-"&amp;TEXT(($D833-$C833+1)+10,"00"),"")&amp;IF($C833&gt;=12,", "&amp;$A833&amp;"-"&amp;TEXT(($D833-$C833+1)+11,"00"),"")&amp;IF($C833&gt;=13,", "&amp;$A833&amp;"-"&amp;TEXT(($D833-$C833+1)+12,"00"),"")&amp;IF($C833&gt;=14,", "&amp;$A833&amp;"-"&amp;TEXT(($D833-$C833+1)+13,"00"),"")&amp;IF($C833&gt;=15,", "&amp;$A833&amp;"-"&amp;TEXT(($D833-$C833+1)+14,"00"),"")&amp;IF($C833&gt;=16,", "&amp;$A833&amp;"-"&amp;TEXT(($D833-$C833+1)+15,"00"),"")&amp;IF($C833&gt;=17,", "&amp;$A833&amp;"-"&amp;TEXT(($D833-$C833+1)+16,"00"),"")&amp;IF($C833&gt;=18,", "&amp;$A833&amp;"-"&amp;TEXT(($D833-$C833+1)+17,"00"),"")&amp;IF($C833&gt;=19,", "&amp;$A833&amp;"-"&amp;TEXT(($D833-$C833+1)+18,"00"),"")&amp;IF($C833&gt;=20,", "&amp;$A833&amp;"-"&amp;TEXT(($D833-$C833+1)+19,"00"),"")&amp;IF($C833&gt;=21,", "&amp;$A833&amp;"-"&amp;TEXT(($D833-$C833+1)+20,"00"),"")&amp;IF($C833&gt;=22,", "&amp;$A833&amp;"-"&amp;TEXT(($D833-$C833+1)+21,"00"),"")&amp;IF($C833&gt;=23,", "&amp;$A833&amp;"-"&amp;TEXT(($D833-$C833+1)+22,"00"),"")&amp;IF($C833&gt;=24,", "&amp;$A833&amp;"-"&amp;TEXT(($D833-$C833+1)+23,"00"),"")&amp;IF($C833&gt;=25,", "&amp;$A833&amp;"-"&amp;TEXT(($D833-$C833+1)+24,"00"),""))</f>
        <v/>
      </c>
      <c r="G833">
        <f>IF($A833="","",IF($E833=1,$F833,IF($F833="",$G832,IF($G832="",$F833,$G832&amp;", "&amp;$F833))))</f>
        <v/>
      </c>
      <c r="H833">
        <f>IF($A833="","",$A833&amp;" ("&amp;$C833&amp;")")</f>
        <v/>
      </c>
      <c r="I833">
        <f>IF($A833="","",IF($E833=1,$H833,$I832&amp;", "&amp;$H833))</f>
        <v/>
      </c>
      <c r="J833">
        <f>IF($A833="","",IF($E833=1,$B833,""))</f>
        <v/>
      </c>
      <c r="K833">
        <f>IF($A833="","",IF(COUNTIF($B$2:$B833,$B833)=COUNTIF($B$2:$B$1601,$B833),$B833,""))</f>
        <v/>
      </c>
    </row>
    <row r="834">
      <c r="A834">
        <f>IF('TMP Paste'!$E834="","",'TMP Paste'!$E834)</f>
        <v/>
      </c>
      <c r="B834">
        <f>IF($A834="","",COUNTIF('TMP Paste'!$B$2:$B834,"?*"))</f>
        <v/>
      </c>
      <c r="C834">
        <f>IF($A834="","",IFERROR('TMP Paste'!$M834*1,0))</f>
        <v/>
      </c>
      <c r="D834">
        <f>IF($A834="","",SUMIF($B$2:$B834,$B834,$C$2:$C834))</f>
        <v/>
      </c>
      <c r="E834">
        <f>IF($A834="",0,IF('TMP Paste'!$B834="",0,1))</f>
        <v/>
      </c>
      <c r="F834">
        <f>IF(OR($A834="",$C834&lt;1),"",$A834&amp;"-"&amp;TEXT(($D834-$C834+1),"00")&amp;IF($C834&gt;=2,", "&amp;$A834&amp;"-"&amp;TEXT(($D834-$C834+1)+1,"00"),"")&amp;IF($C834&gt;=3,", "&amp;$A834&amp;"-"&amp;TEXT(($D834-$C834+1)+2,"00"),"")&amp;IF($C834&gt;=4,", "&amp;$A834&amp;"-"&amp;TEXT(($D834-$C834+1)+3,"00"),"")&amp;IF($C834&gt;=5,", "&amp;$A834&amp;"-"&amp;TEXT(($D834-$C834+1)+4,"00"),"")&amp;IF($C834&gt;=6,", "&amp;$A834&amp;"-"&amp;TEXT(($D834-$C834+1)+5,"00"),"")&amp;IF($C834&gt;=7,", "&amp;$A834&amp;"-"&amp;TEXT(($D834-$C834+1)+6,"00"),"")&amp;IF($C834&gt;=8,", "&amp;$A834&amp;"-"&amp;TEXT(($D834-$C834+1)+7,"00"),"")&amp;IF($C834&gt;=9,", "&amp;$A834&amp;"-"&amp;TEXT(($D834-$C834+1)+8,"00"),"")&amp;IF($C834&gt;=10,", "&amp;$A834&amp;"-"&amp;TEXT(($D834-$C834+1)+9,"00"),"")&amp;IF($C834&gt;=11,", "&amp;$A834&amp;"-"&amp;TEXT(($D834-$C834+1)+10,"00"),"")&amp;IF($C834&gt;=12,", "&amp;$A834&amp;"-"&amp;TEXT(($D834-$C834+1)+11,"00"),"")&amp;IF($C834&gt;=13,", "&amp;$A834&amp;"-"&amp;TEXT(($D834-$C834+1)+12,"00"),"")&amp;IF($C834&gt;=14,", "&amp;$A834&amp;"-"&amp;TEXT(($D834-$C834+1)+13,"00"),"")&amp;IF($C834&gt;=15,", "&amp;$A834&amp;"-"&amp;TEXT(($D834-$C834+1)+14,"00"),"")&amp;IF($C834&gt;=16,", "&amp;$A834&amp;"-"&amp;TEXT(($D834-$C834+1)+15,"00"),"")&amp;IF($C834&gt;=17,", "&amp;$A834&amp;"-"&amp;TEXT(($D834-$C834+1)+16,"00"),"")&amp;IF($C834&gt;=18,", "&amp;$A834&amp;"-"&amp;TEXT(($D834-$C834+1)+17,"00"),"")&amp;IF($C834&gt;=19,", "&amp;$A834&amp;"-"&amp;TEXT(($D834-$C834+1)+18,"00"),"")&amp;IF($C834&gt;=20,", "&amp;$A834&amp;"-"&amp;TEXT(($D834-$C834+1)+19,"00"),"")&amp;IF($C834&gt;=21,", "&amp;$A834&amp;"-"&amp;TEXT(($D834-$C834+1)+20,"00"),"")&amp;IF($C834&gt;=22,", "&amp;$A834&amp;"-"&amp;TEXT(($D834-$C834+1)+21,"00"),"")&amp;IF($C834&gt;=23,", "&amp;$A834&amp;"-"&amp;TEXT(($D834-$C834+1)+22,"00"),"")&amp;IF($C834&gt;=24,", "&amp;$A834&amp;"-"&amp;TEXT(($D834-$C834+1)+23,"00"),"")&amp;IF($C834&gt;=25,", "&amp;$A834&amp;"-"&amp;TEXT(($D834-$C834+1)+24,"00"),""))</f>
        <v/>
      </c>
      <c r="G834">
        <f>IF($A834="","",IF($E834=1,$F834,IF($F834="",$G833,IF($G833="",$F834,$G833&amp;", "&amp;$F834))))</f>
        <v/>
      </c>
      <c r="H834">
        <f>IF($A834="","",$A834&amp;" ("&amp;$C834&amp;")")</f>
        <v/>
      </c>
      <c r="I834">
        <f>IF($A834="","",IF($E834=1,$H834,$I833&amp;", "&amp;$H834))</f>
        <v/>
      </c>
      <c r="J834">
        <f>IF($A834="","",IF($E834=1,$B834,""))</f>
        <v/>
      </c>
      <c r="K834">
        <f>IF($A834="","",IF(COUNTIF($B$2:$B834,$B834)=COUNTIF($B$2:$B$1601,$B834),$B834,""))</f>
        <v/>
      </c>
    </row>
    <row r="835">
      <c r="A835">
        <f>IF('TMP Paste'!$E835="","",'TMP Paste'!$E835)</f>
        <v/>
      </c>
      <c r="B835">
        <f>IF($A835="","",COUNTIF('TMP Paste'!$B$2:$B835,"?*"))</f>
        <v/>
      </c>
      <c r="C835">
        <f>IF($A835="","",IFERROR('TMP Paste'!$M835*1,0))</f>
        <v/>
      </c>
      <c r="D835">
        <f>IF($A835="","",SUMIF($B$2:$B835,$B835,$C$2:$C835))</f>
        <v/>
      </c>
      <c r="E835">
        <f>IF($A835="",0,IF('TMP Paste'!$B835="",0,1))</f>
        <v/>
      </c>
      <c r="F835">
        <f>IF(OR($A835="",$C835&lt;1),"",$A835&amp;"-"&amp;TEXT(($D835-$C835+1),"00")&amp;IF($C835&gt;=2,", "&amp;$A835&amp;"-"&amp;TEXT(($D835-$C835+1)+1,"00"),"")&amp;IF($C835&gt;=3,", "&amp;$A835&amp;"-"&amp;TEXT(($D835-$C835+1)+2,"00"),"")&amp;IF($C835&gt;=4,", "&amp;$A835&amp;"-"&amp;TEXT(($D835-$C835+1)+3,"00"),"")&amp;IF($C835&gt;=5,", "&amp;$A835&amp;"-"&amp;TEXT(($D835-$C835+1)+4,"00"),"")&amp;IF($C835&gt;=6,", "&amp;$A835&amp;"-"&amp;TEXT(($D835-$C835+1)+5,"00"),"")&amp;IF($C835&gt;=7,", "&amp;$A835&amp;"-"&amp;TEXT(($D835-$C835+1)+6,"00"),"")&amp;IF($C835&gt;=8,", "&amp;$A835&amp;"-"&amp;TEXT(($D835-$C835+1)+7,"00"),"")&amp;IF($C835&gt;=9,", "&amp;$A835&amp;"-"&amp;TEXT(($D835-$C835+1)+8,"00"),"")&amp;IF($C835&gt;=10,", "&amp;$A835&amp;"-"&amp;TEXT(($D835-$C835+1)+9,"00"),"")&amp;IF($C835&gt;=11,", "&amp;$A835&amp;"-"&amp;TEXT(($D835-$C835+1)+10,"00"),"")&amp;IF($C835&gt;=12,", "&amp;$A835&amp;"-"&amp;TEXT(($D835-$C835+1)+11,"00"),"")&amp;IF($C835&gt;=13,", "&amp;$A835&amp;"-"&amp;TEXT(($D835-$C835+1)+12,"00"),"")&amp;IF($C835&gt;=14,", "&amp;$A835&amp;"-"&amp;TEXT(($D835-$C835+1)+13,"00"),"")&amp;IF($C835&gt;=15,", "&amp;$A835&amp;"-"&amp;TEXT(($D835-$C835+1)+14,"00"),"")&amp;IF($C835&gt;=16,", "&amp;$A835&amp;"-"&amp;TEXT(($D835-$C835+1)+15,"00"),"")&amp;IF($C835&gt;=17,", "&amp;$A835&amp;"-"&amp;TEXT(($D835-$C835+1)+16,"00"),"")&amp;IF($C835&gt;=18,", "&amp;$A835&amp;"-"&amp;TEXT(($D835-$C835+1)+17,"00"),"")&amp;IF($C835&gt;=19,", "&amp;$A835&amp;"-"&amp;TEXT(($D835-$C835+1)+18,"00"),"")&amp;IF($C835&gt;=20,", "&amp;$A835&amp;"-"&amp;TEXT(($D835-$C835+1)+19,"00"),"")&amp;IF($C835&gt;=21,", "&amp;$A835&amp;"-"&amp;TEXT(($D835-$C835+1)+20,"00"),"")&amp;IF($C835&gt;=22,", "&amp;$A835&amp;"-"&amp;TEXT(($D835-$C835+1)+21,"00"),"")&amp;IF($C835&gt;=23,", "&amp;$A835&amp;"-"&amp;TEXT(($D835-$C835+1)+22,"00"),"")&amp;IF($C835&gt;=24,", "&amp;$A835&amp;"-"&amp;TEXT(($D835-$C835+1)+23,"00"),"")&amp;IF($C835&gt;=25,", "&amp;$A835&amp;"-"&amp;TEXT(($D835-$C835+1)+24,"00"),""))</f>
        <v/>
      </c>
      <c r="G835">
        <f>IF($A835="","",IF($E835=1,$F835,IF($F835="",$G834,IF($G834="",$F835,$G834&amp;", "&amp;$F835))))</f>
        <v/>
      </c>
      <c r="H835">
        <f>IF($A835="","",$A835&amp;" ("&amp;$C835&amp;")")</f>
        <v/>
      </c>
      <c r="I835">
        <f>IF($A835="","",IF($E835=1,$H835,$I834&amp;", "&amp;$H835))</f>
        <v/>
      </c>
      <c r="J835">
        <f>IF($A835="","",IF($E835=1,$B835,""))</f>
        <v/>
      </c>
      <c r="K835">
        <f>IF($A835="","",IF(COUNTIF($B$2:$B835,$B835)=COUNTIF($B$2:$B$1601,$B835),$B835,""))</f>
        <v/>
      </c>
    </row>
    <row r="836">
      <c r="A836">
        <f>IF('TMP Paste'!$E836="","",'TMP Paste'!$E836)</f>
        <v/>
      </c>
      <c r="B836">
        <f>IF($A836="","",COUNTIF('TMP Paste'!$B$2:$B836,"?*"))</f>
        <v/>
      </c>
      <c r="C836">
        <f>IF($A836="","",IFERROR('TMP Paste'!$M836*1,0))</f>
        <v/>
      </c>
      <c r="D836">
        <f>IF($A836="","",SUMIF($B$2:$B836,$B836,$C$2:$C836))</f>
        <v/>
      </c>
      <c r="E836">
        <f>IF($A836="",0,IF('TMP Paste'!$B836="",0,1))</f>
        <v/>
      </c>
      <c r="F836">
        <f>IF(OR($A836="",$C836&lt;1),"",$A836&amp;"-"&amp;TEXT(($D836-$C836+1),"00")&amp;IF($C836&gt;=2,", "&amp;$A836&amp;"-"&amp;TEXT(($D836-$C836+1)+1,"00"),"")&amp;IF($C836&gt;=3,", "&amp;$A836&amp;"-"&amp;TEXT(($D836-$C836+1)+2,"00"),"")&amp;IF($C836&gt;=4,", "&amp;$A836&amp;"-"&amp;TEXT(($D836-$C836+1)+3,"00"),"")&amp;IF($C836&gt;=5,", "&amp;$A836&amp;"-"&amp;TEXT(($D836-$C836+1)+4,"00"),"")&amp;IF($C836&gt;=6,", "&amp;$A836&amp;"-"&amp;TEXT(($D836-$C836+1)+5,"00"),"")&amp;IF($C836&gt;=7,", "&amp;$A836&amp;"-"&amp;TEXT(($D836-$C836+1)+6,"00"),"")&amp;IF($C836&gt;=8,", "&amp;$A836&amp;"-"&amp;TEXT(($D836-$C836+1)+7,"00"),"")&amp;IF($C836&gt;=9,", "&amp;$A836&amp;"-"&amp;TEXT(($D836-$C836+1)+8,"00"),"")&amp;IF($C836&gt;=10,", "&amp;$A836&amp;"-"&amp;TEXT(($D836-$C836+1)+9,"00"),"")&amp;IF($C836&gt;=11,", "&amp;$A836&amp;"-"&amp;TEXT(($D836-$C836+1)+10,"00"),"")&amp;IF($C836&gt;=12,", "&amp;$A836&amp;"-"&amp;TEXT(($D836-$C836+1)+11,"00"),"")&amp;IF($C836&gt;=13,", "&amp;$A836&amp;"-"&amp;TEXT(($D836-$C836+1)+12,"00"),"")&amp;IF($C836&gt;=14,", "&amp;$A836&amp;"-"&amp;TEXT(($D836-$C836+1)+13,"00"),"")&amp;IF($C836&gt;=15,", "&amp;$A836&amp;"-"&amp;TEXT(($D836-$C836+1)+14,"00"),"")&amp;IF($C836&gt;=16,", "&amp;$A836&amp;"-"&amp;TEXT(($D836-$C836+1)+15,"00"),"")&amp;IF($C836&gt;=17,", "&amp;$A836&amp;"-"&amp;TEXT(($D836-$C836+1)+16,"00"),"")&amp;IF($C836&gt;=18,", "&amp;$A836&amp;"-"&amp;TEXT(($D836-$C836+1)+17,"00"),"")&amp;IF($C836&gt;=19,", "&amp;$A836&amp;"-"&amp;TEXT(($D836-$C836+1)+18,"00"),"")&amp;IF($C836&gt;=20,", "&amp;$A836&amp;"-"&amp;TEXT(($D836-$C836+1)+19,"00"),"")&amp;IF($C836&gt;=21,", "&amp;$A836&amp;"-"&amp;TEXT(($D836-$C836+1)+20,"00"),"")&amp;IF($C836&gt;=22,", "&amp;$A836&amp;"-"&amp;TEXT(($D836-$C836+1)+21,"00"),"")&amp;IF($C836&gt;=23,", "&amp;$A836&amp;"-"&amp;TEXT(($D836-$C836+1)+22,"00"),"")&amp;IF($C836&gt;=24,", "&amp;$A836&amp;"-"&amp;TEXT(($D836-$C836+1)+23,"00"),"")&amp;IF($C836&gt;=25,", "&amp;$A836&amp;"-"&amp;TEXT(($D836-$C836+1)+24,"00"),""))</f>
        <v/>
      </c>
      <c r="G836">
        <f>IF($A836="","",IF($E836=1,$F836,IF($F836="",$G835,IF($G835="",$F836,$G835&amp;", "&amp;$F836))))</f>
        <v/>
      </c>
      <c r="H836">
        <f>IF($A836="","",$A836&amp;" ("&amp;$C836&amp;")")</f>
        <v/>
      </c>
      <c r="I836">
        <f>IF($A836="","",IF($E836=1,$H836,$I835&amp;", "&amp;$H836))</f>
        <v/>
      </c>
      <c r="J836">
        <f>IF($A836="","",IF($E836=1,$B836,""))</f>
        <v/>
      </c>
      <c r="K836">
        <f>IF($A836="","",IF(COUNTIF($B$2:$B836,$B836)=COUNTIF($B$2:$B$1601,$B836),$B836,""))</f>
        <v/>
      </c>
    </row>
    <row r="837">
      <c r="A837">
        <f>IF('TMP Paste'!$E837="","",'TMP Paste'!$E837)</f>
        <v/>
      </c>
      <c r="B837">
        <f>IF($A837="","",COUNTIF('TMP Paste'!$B$2:$B837,"?*"))</f>
        <v/>
      </c>
      <c r="C837">
        <f>IF($A837="","",IFERROR('TMP Paste'!$M837*1,0))</f>
        <v/>
      </c>
      <c r="D837">
        <f>IF($A837="","",SUMIF($B$2:$B837,$B837,$C$2:$C837))</f>
        <v/>
      </c>
      <c r="E837">
        <f>IF($A837="",0,IF('TMP Paste'!$B837="",0,1))</f>
        <v/>
      </c>
      <c r="F837">
        <f>IF(OR($A837="",$C837&lt;1),"",$A837&amp;"-"&amp;TEXT(($D837-$C837+1),"00")&amp;IF($C837&gt;=2,", "&amp;$A837&amp;"-"&amp;TEXT(($D837-$C837+1)+1,"00"),"")&amp;IF($C837&gt;=3,", "&amp;$A837&amp;"-"&amp;TEXT(($D837-$C837+1)+2,"00"),"")&amp;IF($C837&gt;=4,", "&amp;$A837&amp;"-"&amp;TEXT(($D837-$C837+1)+3,"00"),"")&amp;IF($C837&gt;=5,", "&amp;$A837&amp;"-"&amp;TEXT(($D837-$C837+1)+4,"00"),"")&amp;IF($C837&gt;=6,", "&amp;$A837&amp;"-"&amp;TEXT(($D837-$C837+1)+5,"00"),"")&amp;IF($C837&gt;=7,", "&amp;$A837&amp;"-"&amp;TEXT(($D837-$C837+1)+6,"00"),"")&amp;IF($C837&gt;=8,", "&amp;$A837&amp;"-"&amp;TEXT(($D837-$C837+1)+7,"00"),"")&amp;IF($C837&gt;=9,", "&amp;$A837&amp;"-"&amp;TEXT(($D837-$C837+1)+8,"00"),"")&amp;IF($C837&gt;=10,", "&amp;$A837&amp;"-"&amp;TEXT(($D837-$C837+1)+9,"00"),"")&amp;IF($C837&gt;=11,", "&amp;$A837&amp;"-"&amp;TEXT(($D837-$C837+1)+10,"00"),"")&amp;IF($C837&gt;=12,", "&amp;$A837&amp;"-"&amp;TEXT(($D837-$C837+1)+11,"00"),"")&amp;IF($C837&gt;=13,", "&amp;$A837&amp;"-"&amp;TEXT(($D837-$C837+1)+12,"00"),"")&amp;IF($C837&gt;=14,", "&amp;$A837&amp;"-"&amp;TEXT(($D837-$C837+1)+13,"00"),"")&amp;IF($C837&gt;=15,", "&amp;$A837&amp;"-"&amp;TEXT(($D837-$C837+1)+14,"00"),"")&amp;IF($C837&gt;=16,", "&amp;$A837&amp;"-"&amp;TEXT(($D837-$C837+1)+15,"00"),"")&amp;IF($C837&gt;=17,", "&amp;$A837&amp;"-"&amp;TEXT(($D837-$C837+1)+16,"00"),"")&amp;IF($C837&gt;=18,", "&amp;$A837&amp;"-"&amp;TEXT(($D837-$C837+1)+17,"00"),"")&amp;IF($C837&gt;=19,", "&amp;$A837&amp;"-"&amp;TEXT(($D837-$C837+1)+18,"00"),"")&amp;IF($C837&gt;=20,", "&amp;$A837&amp;"-"&amp;TEXT(($D837-$C837+1)+19,"00"),"")&amp;IF($C837&gt;=21,", "&amp;$A837&amp;"-"&amp;TEXT(($D837-$C837+1)+20,"00"),"")&amp;IF($C837&gt;=22,", "&amp;$A837&amp;"-"&amp;TEXT(($D837-$C837+1)+21,"00"),"")&amp;IF($C837&gt;=23,", "&amp;$A837&amp;"-"&amp;TEXT(($D837-$C837+1)+22,"00"),"")&amp;IF($C837&gt;=24,", "&amp;$A837&amp;"-"&amp;TEXT(($D837-$C837+1)+23,"00"),"")&amp;IF($C837&gt;=25,", "&amp;$A837&amp;"-"&amp;TEXT(($D837-$C837+1)+24,"00"),""))</f>
        <v/>
      </c>
      <c r="G837">
        <f>IF($A837="","",IF($E837=1,$F837,IF($F837="",$G836,IF($G836="",$F837,$G836&amp;", "&amp;$F837))))</f>
        <v/>
      </c>
      <c r="H837">
        <f>IF($A837="","",$A837&amp;" ("&amp;$C837&amp;")")</f>
        <v/>
      </c>
      <c r="I837">
        <f>IF($A837="","",IF($E837=1,$H837,$I836&amp;", "&amp;$H837))</f>
        <v/>
      </c>
      <c r="J837">
        <f>IF($A837="","",IF($E837=1,$B837,""))</f>
        <v/>
      </c>
      <c r="K837">
        <f>IF($A837="","",IF(COUNTIF($B$2:$B837,$B837)=COUNTIF($B$2:$B$1601,$B837),$B837,""))</f>
        <v/>
      </c>
    </row>
    <row r="838">
      <c r="A838">
        <f>IF('TMP Paste'!$E838="","",'TMP Paste'!$E838)</f>
        <v/>
      </c>
      <c r="B838">
        <f>IF($A838="","",COUNTIF('TMP Paste'!$B$2:$B838,"?*"))</f>
        <v/>
      </c>
      <c r="C838">
        <f>IF($A838="","",IFERROR('TMP Paste'!$M838*1,0))</f>
        <v/>
      </c>
      <c r="D838">
        <f>IF($A838="","",SUMIF($B$2:$B838,$B838,$C$2:$C838))</f>
        <v/>
      </c>
      <c r="E838">
        <f>IF($A838="",0,IF('TMP Paste'!$B838="",0,1))</f>
        <v/>
      </c>
      <c r="F838">
        <f>IF(OR($A838="",$C838&lt;1),"",$A838&amp;"-"&amp;TEXT(($D838-$C838+1),"00")&amp;IF($C838&gt;=2,", "&amp;$A838&amp;"-"&amp;TEXT(($D838-$C838+1)+1,"00"),"")&amp;IF($C838&gt;=3,", "&amp;$A838&amp;"-"&amp;TEXT(($D838-$C838+1)+2,"00"),"")&amp;IF($C838&gt;=4,", "&amp;$A838&amp;"-"&amp;TEXT(($D838-$C838+1)+3,"00"),"")&amp;IF($C838&gt;=5,", "&amp;$A838&amp;"-"&amp;TEXT(($D838-$C838+1)+4,"00"),"")&amp;IF($C838&gt;=6,", "&amp;$A838&amp;"-"&amp;TEXT(($D838-$C838+1)+5,"00"),"")&amp;IF($C838&gt;=7,", "&amp;$A838&amp;"-"&amp;TEXT(($D838-$C838+1)+6,"00"),"")&amp;IF($C838&gt;=8,", "&amp;$A838&amp;"-"&amp;TEXT(($D838-$C838+1)+7,"00"),"")&amp;IF($C838&gt;=9,", "&amp;$A838&amp;"-"&amp;TEXT(($D838-$C838+1)+8,"00"),"")&amp;IF($C838&gt;=10,", "&amp;$A838&amp;"-"&amp;TEXT(($D838-$C838+1)+9,"00"),"")&amp;IF($C838&gt;=11,", "&amp;$A838&amp;"-"&amp;TEXT(($D838-$C838+1)+10,"00"),"")&amp;IF($C838&gt;=12,", "&amp;$A838&amp;"-"&amp;TEXT(($D838-$C838+1)+11,"00"),"")&amp;IF($C838&gt;=13,", "&amp;$A838&amp;"-"&amp;TEXT(($D838-$C838+1)+12,"00"),"")&amp;IF($C838&gt;=14,", "&amp;$A838&amp;"-"&amp;TEXT(($D838-$C838+1)+13,"00"),"")&amp;IF($C838&gt;=15,", "&amp;$A838&amp;"-"&amp;TEXT(($D838-$C838+1)+14,"00"),"")&amp;IF($C838&gt;=16,", "&amp;$A838&amp;"-"&amp;TEXT(($D838-$C838+1)+15,"00"),"")&amp;IF($C838&gt;=17,", "&amp;$A838&amp;"-"&amp;TEXT(($D838-$C838+1)+16,"00"),"")&amp;IF($C838&gt;=18,", "&amp;$A838&amp;"-"&amp;TEXT(($D838-$C838+1)+17,"00"),"")&amp;IF($C838&gt;=19,", "&amp;$A838&amp;"-"&amp;TEXT(($D838-$C838+1)+18,"00"),"")&amp;IF($C838&gt;=20,", "&amp;$A838&amp;"-"&amp;TEXT(($D838-$C838+1)+19,"00"),"")&amp;IF($C838&gt;=21,", "&amp;$A838&amp;"-"&amp;TEXT(($D838-$C838+1)+20,"00"),"")&amp;IF($C838&gt;=22,", "&amp;$A838&amp;"-"&amp;TEXT(($D838-$C838+1)+21,"00"),"")&amp;IF($C838&gt;=23,", "&amp;$A838&amp;"-"&amp;TEXT(($D838-$C838+1)+22,"00"),"")&amp;IF($C838&gt;=24,", "&amp;$A838&amp;"-"&amp;TEXT(($D838-$C838+1)+23,"00"),"")&amp;IF($C838&gt;=25,", "&amp;$A838&amp;"-"&amp;TEXT(($D838-$C838+1)+24,"00"),""))</f>
        <v/>
      </c>
      <c r="G838">
        <f>IF($A838="","",IF($E838=1,$F838,IF($F838="",$G837,IF($G837="",$F838,$G837&amp;", "&amp;$F838))))</f>
        <v/>
      </c>
      <c r="H838">
        <f>IF($A838="","",$A838&amp;" ("&amp;$C838&amp;")")</f>
        <v/>
      </c>
      <c r="I838">
        <f>IF($A838="","",IF($E838=1,$H838,$I837&amp;", "&amp;$H838))</f>
        <v/>
      </c>
      <c r="J838">
        <f>IF($A838="","",IF($E838=1,$B838,""))</f>
        <v/>
      </c>
      <c r="K838">
        <f>IF($A838="","",IF(COUNTIF($B$2:$B838,$B838)=COUNTIF($B$2:$B$1601,$B838),$B838,""))</f>
        <v/>
      </c>
    </row>
    <row r="839">
      <c r="A839">
        <f>IF('TMP Paste'!$E839="","",'TMP Paste'!$E839)</f>
        <v/>
      </c>
      <c r="B839">
        <f>IF($A839="","",COUNTIF('TMP Paste'!$B$2:$B839,"?*"))</f>
        <v/>
      </c>
      <c r="C839">
        <f>IF($A839="","",IFERROR('TMP Paste'!$M839*1,0))</f>
        <v/>
      </c>
      <c r="D839">
        <f>IF($A839="","",SUMIF($B$2:$B839,$B839,$C$2:$C839))</f>
        <v/>
      </c>
      <c r="E839">
        <f>IF($A839="",0,IF('TMP Paste'!$B839="",0,1))</f>
        <v/>
      </c>
      <c r="F839">
        <f>IF(OR($A839="",$C839&lt;1),"",$A839&amp;"-"&amp;TEXT(($D839-$C839+1),"00")&amp;IF($C839&gt;=2,", "&amp;$A839&amp;"-"&amp;TEXT(($D839-$C839+1)+1,"00"),"")&amp;IF($C839&gt;=3,", "&amp;$A839&amp;"-"&amp;TEXT(($D839-$C839+1)+2,"00"),"")&amp;IF($C839&gt;=4,", "&amp;$A839&amp;"-"&amp;TEXT(($D839-$C839+1)+3,"00"),"")&amp;IF($C839&gt;=5,", "&amp;$A839&amp;"-"&amp;TEXT(($D839-$C839+1)+4,"00"),"")&amp;IF($C839&gt;=6,", "&amp;$A839&amp;"-"&amp;TEXT(($D839-$C839+1)+5,"00"),"")&amp;IF($C839&gt;=7,", "&amp;$A839&amp;"-"&amp;TEXT(($D839-$C839+1)+6,"00"),"")&amp;IF($C839&gt;=8,", "&amp;$A839&amp;"-"&amp;TEXT(($D839-$C839+1)+7,"00"),"")&amp;IF($C839&gt;=9,", "&amp;$A839&amp;"-"&amp;TEXT(($D839-$C839+1)+8,"00"),"")&amp;IF($C839&gt;=10,", "&amp;$A839&amp;"-"&amp;TEXT(($D839-$C839+1)+9,"00"),"")&amp;IF($C839&gt;=11,", "&amp;$A839&amp;"-"&amp;TEXT(($D839-$C839+1)+10,"00"),"")&amp;IF($C839&gt;=12,", "&amp;$A839&amp;"-"&amp;TEXT(($D839-$C839+1)+11,"00"),"")&amp;IF($C839&gt;=13,", "&amp;$A839&amp;"-"&amp;TEXT(($D839-$C839+1)+12,"00"),"")&amp;IF($C839&gt;=14,", "&amp;$A839&amp;"-"&amp;TEXT(($D839-$C839+1)+13,"00"),"")&amp;IF($C839&gt;=15,", "&amp;$A839&amp;"-"&amp;TEXT(($D839-$C839+1)+14,"00"),"")&amp;IF($C839&gt;=16,", "&amp;$A839&amp;"-"&amp;TEXT(($D839-$C839+1)+15,"00"),"")&amp;IF($C839&gt;=17,", "&amp;$A839&amp;"-"&amp;TEXT(($D839-$C839+1)+16,"00"),"")&amp;IF($C839&gt;=18,", "&amp;$A839&amp;"-"&amp;TEXT(($D839-$C839+1)+17,"00"),"")&amp;IF($C839&gt;=19,", "&amp;$A839&amp;"-"&amp;TEXT(($D839-$C839+1)+18,"00"),"")&amp;IF($C839&gt;=20,", "&amp;$A839&amp;"-"&amp;TEXT(($D839-$C839+1)+19,"00"),"")&amp;IF($C839&gt;=21,", "&amp;$A839&amp;"-"&amp;TEXT(($D839-$C839+1)+20,"00"),"")&amp;IF($C839&gt;=22,", "&amp;$A839&amp;"-"&amp;TEXT(($D839-$C839+1)+21,"00"),"")&amp;IF($C839&gt;=23,", "&amp;$A839&amp;"-"&amp;TEXT(($D839-$C839+1)+22,"00"),"")&amp;IF($C839&gt;=24,", "&amp;$A839&amp;"-"&amp;TEXT(($D839-$C839+1)+23,"00"),"")&amp;IF($C839&gt;=25,", "&amp;$A839&amp;"-"&amp;TEXT(($D839-$C839+1)+24,"00"),""))</f>
        <v/>
      </c>
      <c r="G839">
        <f>IF($A839="","",IF($E839=1,$F839,IF($F839="",$G838,IF($G838="",$F839,$G838&amp;", "&amp;$F839))))</f>
        <v/>
      </c>
      <c r="H839">
        <f>IF($A839="","",$A839&amp;" ("&amp;$C839&amp;")")</f>
        <v/>
      </c>
      <c r="I839">
        <f>IF($A839="","",IF($E839=1,$H839,$I838&amp;", "&amp;$H839))</f>
        <v/>
      </c>
      <c r="J839">
        <f>IF($A839="","",IF($E839=1,$B839,""))</f>
        <v/>
      </c>
      <c r="K839">
        <f>IF($A839="","",IF(COUNTIF($B$2:$B839,$B839)=COUNTIF($B$2:$B$1601,$B839),$B839,""))</f>
        <v/>
      </c>
    </row>
    <row r="840">
      <c r="A840">
        <f>IF('TMP Paste'!$E840="","",'TMP Paste'!$E840)</f>
        <v/>
      </c>
      <c r="B840">
        <f>IF($A840="","",COUNTIF('TMP Paste'!$B$2:$B840,"?*"))</f>
        <v/>
      </c>
      <c r="C840">
        <f>IF($A840="","",IFERROR('TMP Paste'!$M840*1,0))</f>
        <v/>
      </c>
      <c r="D840">
        <f>IF($A840="","",SUMIF($B$2:$B840,$B840,$C$2:$C840))</f>
        <v/>
      </c>
      <c r="E840">
        <f>IF($A840="",0,IF('TMP Paste'!$B840="",0,1))</f>
        <v/>
      </c>
      <c r="F840">
        <f>IF(OR($A840="",$C840&lt;1),"",$A840&amp;"-"&amp;TEXT(($D840-$C840+1),"00")&amp;IF($C840&gt;=2,", "&amp;$A840&amp;"-"&amp;TEXT(($D840-$C840+1)+1,"00"),"")&amp;IF($C840&gt;=3,", "&amp;$A840&amp;"-"&amp;TEXT(($D840-$C840+1)+2,"00"),"")&amp;IF($C840&gt;=4,", "&amp;$A840&amp;"-"&amp;TEXT(($D840-$C840+1)+3,"00"),"")&amp;IF($C840&gt;=5,", "&amp;$A840&amp;"-"&amp;TEXT(($D840-$C840+1)+4,"00"),"")&amp;IF($C840&gt;=6,", "&amp;$A840&amp;"-"&amp;TEXT(($D840-$C840+1)+5,"00"),"")&amp;IF($C840&gt;=7,", "&amp;$A840&amp;"-"&amp;TEXT(($D840-$C840+1)+6,"00"),"")&amp;IF($C840&gt;=8,", "&amp;$A840&amp;"-"&amp;TEXT(($D840-$C840+1)+7,"00"),"")&amp;IF($C840&gt;=9,", "&amp;$A840&amp;"-"&amp;TEXT(($D840-$C840+1)+8,"00"),"")&amp;IF($C840&gt;=10,", "&amp;$A840&amp;"-"&amp;TEXT(($D840-$C840+1)+9,"00"),"")&amp;IF($C840&gt;=11,", "&amp;$A840&amp;"-"&amp;TEXT(($D840-$C840+1)+10,"00"),"")&amp;IF($C840&gt;=12,", "&amp;$A840&amp;"-"&amp;TEXT(($D840-$C840+1)+11,"00"),"")&amp;IF($C840&gt;=13,", "&amp;$A840&amp;"-"&amp;TEXT(($D840-$C840+1)+12,"00"),"")&amp;IF($C840&gt;=14,", "&amp;$A840&amp;"-"&amp;TEXT(($D840-$C840+1)+13,"00"),"")&amp;IF($C840&gt;=15,", "&amp;$A840&amp;"-"&amp;TEXT(($D840-$C840+1)+14,"00"),"")&amp;IF($C840&gt;=16,", "&amp;$A840&amp;"-"&amp;TEXT(($D840-$C840+1)+15,"00"),"")&amp;IF($C840&gt;=17,", "&amp;$A840&amp;"-"&amp;TEXT(($D840-$C840+1)+16,"00"),"")&amp;IF($C840&gt;=18,", "&amp;$A840&amp;"-"&amp;TEXT(($D840-$C840+1)+17,"00"),"")&amp;IF($C840&gt;=19,", "&amp;$A840&amp;"-"&amp;TEXT(($D840-$C840+1)+18,"00"),"")&amp;IF($C840&gt;=20,", "&amp;$A840&amp;"-"&amp;TEXT(($D840-$C840+1)+19,"00"),"")&amp;IF($C840&gt;=21,", "&amp;$A840&amp;"-"&amp;TEXT(($D840-$C840+1)+20,"00"),"")&amp;IF($C840&gt;=22,", "&amp;$A840&amp;"-"&amp;TEXT(($D840-$C840+1)+21,"00"),"")&amp;IF($C840&gt;=23,", "&amp;$A840&amp;"-"&amp;TEXT(($D840-$C840+1)+22,"00"),"")&amp;IF($C840&gt;=24,", "&amp;$A840&amp;"-"&amp;TEXT(($D840-$C840+1)+23,"00"),"")&amp;IF($C840&gt;=25,", "&amp;$A840&amp;"-"&amp;TEXT(($D840-$C840+1)+24,"00"),""))</f>
        <v/>
      </c>
      <c r="G840">
        <f>IF($A840="","",IF($E840=1,$F840,IF($F840="",$G839,IF($G839="",$F840,$G839&amp;", "&amp;$F840))))</f>
        <v/>
      </c>
      <c r="H840">
        <f>IF($A840="","",$A840&amp;" ("&amp;$C840&amp;")")</f>
        <v/>
      </c>
      <c r="I840">
        <f>IF($A840="","",IF($E840=1,$H840,$I839&amp;", "&amp;$H840))</f>
        <v/>
      </c>
      <c r="J840">
        <f>IF($A840="","",IF($E840=1,$B840,""))</f>
        <v/>
      </c>
      <c r="K840">
        <f>IF($A840="","",IF(COUNTIF($B$2:$B840,$B840)=COUNTIF($B$2:$B$1601,$B840),$B840,""))</f>
        <v/>
      </c>
    </row>
    <row r="841">
      <c r="A841">
        <f>IF('TMP Paste'!$E841="","",'TMP Paste'!$E841)</f>
        <v/>
      </c>
      <c r="B841">
        <f>IF($A841="","",COUNTIF('TMP Paste'!$B$2:$B841,"?*"))</f>
        <v/>
      </c>
      <c r="C841">
        <f>IF($A841="","",IFERROR('TMP Paste'!$M841*1,0))</f>
        <v/>
      </c>
      <c r="D841">
        <f>IF($A841="","",SUMIF($B$2:$B841,$B841,$C$2:$C841))</f>
        <v/>
      </c>
      <c r="E841">
        <f>IF($A841="",0,IF('TMP Paste'!$B841="",0,1))</f>
        <v/>
      </c>
      <c r="F841">
        <f>IF(OR($A841="",$C841&lt;1),"",$A841&amp;"-"&amp;TEXT(($D841-$C841+1),"00")&amp;IF($C841&gt;=2,", "&amp;$A841&amp;"-"&amp;TEXT(($D841-$C841+1)+1,"00"),"")&amp;IF($C841&gt;=3,", "&amp;$A841&amp;"-"&amp;TEXT(($D841-$C841+1)+2,"00"),"")&amp;IF($C841&gt;=4,", "&amp;$A841&amp;"-"&amp;TEXT(($D841-$C841+1)+3,"00"),"")&amp;IF($C841&gt;=5,", "&amp;$A841&amp;"-"&amp;TEXT(($D841-$C841+1)+4,"00"),"")&amp;IF($C841&gt;=6,", "&amp;$A841&amp;"-"&amp;TEXT(($D841-$C841+1)+5,"00"),"")&amp;IF($C841&gt;=7,", "&amp;$A841&amp;"-"&amp;TEXT(($D841-$C841+1)+6,"00"),"")&amp;IF($C841&gt;=8,", "&amp;$A841&amp;"-"&amp;TEXT(($D841-$C841+1)+7,"00"),"")&amp;IF($C841&gt;=9,", "&amp;$A841&amp;"-"&amp;TEXT(($D841-$C841+1)+8,"00"),"")&amp;IF($C841&gt;=10,", "&amp;$A841&amp;"-"&amp;TEXT(($D841-$C841+1)+9,"00"),"")&amp;IF($C841&gt;=11,", "&amp;$A841&amp;"-"&amp;TEXT(($D841-$C841+1)+10,"00"),"")&amp;IF($C841&gt;=12,", "&amp;$A841&amp;"-"&amp;TEXT(($D841-$C841+1)+11,"00"),"")&amp;IF($C841&gt;=13,", "&amp;$A841&amp;"-"&amp;TEXT(($D841-$C841+1)+12,"00"),"")&amp;IF($C841&gt;=14,", "&amp;$A841&amp;"-"&amp;TEXT(($D841-$C841+1)+13,"00"),"")&amp;IF($C841&gt;=15,", "&amp;$A841&amp;"-"&amp;TEXT(($D841-$C841+1)+14,"00"),"")&amp;IF($C841&gt;=16,", "&amp;$A841&amp;"-"&amp;TEXT(($D841-$C841+1)+15,"00"),"")&amp;IF($C841&gt;=17,", "&amp;$A841&amp;"-"&amp;TEXT(($D841-$C841+1)+16,"00"),"")&amp;IF($C841&gt;=18,", "&amp;$A841&amp;"-"&amp;TEXT(($D841-$C841+1)+17,"00"),"")&amp;IF($C841&gt;=19,", "&amp;$A841&amp;"-"&amp;TEXT(($D841-$C841+1)+18,"00"),"")&amp;IF($C841&gt;=20,", "&amp;$A841&amp;"-"&amp;TEXT(($D841-$C841+1)+19,"00"),"")&amp;IF($C841&gt;=21,", "&amp;$A841&amp;"-"&amp;TEXT(($D841-$C841+1)+20,"00"),"")&amp;IF($C841&gt;=22,", "&amp;$A841&amp;"-"&amp;TEXT(($D841-$C841+1)+21,"00"),"")&amp;IF($C841&gt;=23,", "&amp;$A841&amp;"-"&amp;TEXT(($D841-$C841+1)+22,"00"),"")&amp;IF($C841&gt;=24,", "&amp;$A841&amp;"-"&amp;TEXT(($D841-$C841+1)+23,"00"),"")&amp;IF($C841&gt;=25,", "&amp;$A841&amp;"-"&amp;TEXT(($D841-$C841+1)+24,"00"),""))</f>
        <v/>
      </c>
      <c r="G841">
        <f>IF($A841="","",IF($E841=1,$F841,IF($F841="",$G840,IF($G840="",$F841,$G840&amp;", "&amp;$F841))))</f>
        <v/>
      </c>
      <c r="H841">
        <f>IF($A841="","",$A841&amp;" ("&amp;$C841&amp;")")</f>
        <v/>
      </c>
      <c r="I841">
        <f>IF($A841="","",IF($E841=1,$H841,$I840&amp;", "&amp;$H841))</f>
        <v/>
      </c>
      <c r="J841">
        <f>IF($A841="","",IF($E841=1,$B841,""))</f>
        <v/>
      </c>
      <c r="K841">
        <f>IF($A841="","",IF(COUNTIF($B$2:$B841,$B841)=COUNTIF($B$2:$B$1601,$B841),$B841,""))</f>
        <v/>
      </c>
    </row>
    <row r="842">
      <c r="A842">
        <f>IF('TMP Paste'!$E842="","",'TMP Paste'!$E842)</f>
        <v/>
      </c>
      <c r="B842">
        <f>IF($A842="","",COUNTIF('TMP Paste'!$B$2:$B842,"?*"))</f>
        <v/>
      </c>
      <c r="C842">
        <f>IF($A842="","",IFERROR('TMP Paste'!$M842*1,0))</f>
        <v/>
      </c>
      <c r="D842">
        <f>IF($A842="","",SUMIF($B$2:$B842,$B842,$C$2:$C842))</f>
        <v/>
      </c>
      <c r="E842">
        <f>IF($A842="",0,IF('TMP Paste'!$B842="",0,1))</f>
        <v/>
      </c>
      <c r="F842">
        <f>IF(OR($A842="",$C842&lt;1),"",$A842&amp;"-"&amp;TEXT(($D842-$C842+1),"00")&amp;IF($C842&gt;=2,", "&amp;$A842&amp;"-"&amp;TEXT(($D842-$C842+1)+1,"00"),"")&amp;IF($C842&gt;=3,", "&amp;$A842&amp;"-"&amp;TEXT(($D842-$C842+1)+2,"00"),"")&amp;IF($C842&gt;=4,", "&amp;$A842&amp;"-"&amp;TEXT(($D842-$C842+1)+3,"00"),"")&amp;IF($C842&gt;=5,", "&amp;$A842&amp;"-"&amp;TEXT(($D842-$C842+1)+4,"00"),"")&amp;IF($C842&gt;=6,", "&amp;$A842&amp;"-"&amp;TEXT(($D842-$C842+1)+5,"00"),"")&amp;IF($C842&gt;=7,", "&amp;$A842&amp;"-"&amp;TEXT(($D842-$C842+1)+6,"00"),"")&amp;IF($C842&gt;=8,", "&amp;$A842&amp;"-"&amp;TEXT(($D842-$C842+1)+7,"00"),"")&amp;IF($C842&gt;=9,", "&amp;$A842&amp;"-"&amp;TEXT(($D842-$C842+1)+8,"00"),"")&amp;IF($C842&gt;=10,", "&amp;$A842&amp;"-"&amp;TEXT(($D842-$C842+1)+9,"00"),"")&amp;IF($C842&gt;=11,", "&amp;$A842&amp;"-"&amp;TEXT(($D842-$C842+1)+10,"00"),"")&amp;IF($C842&gt;=12,", "&amp;$A842&amp;"-"&amp;TEXT(($D842-$C842+1)+11,"00"),"")&amp;IF($C842&gt;=13,", "&amp;$A842&amp;"-"&amp;TEXT(($D842-$C842+1)+12,"00"),"")&amp;IF($C842&gt;=14,", "&amp;$A842&amp;"-"&amp;TEXT(($D842-$C842+1)+13,"00"),"")&amp;IF($C842&gt;=15,", "&amp;$A842&amp;"-"&amp;TEXT(($D842-$C842+1)+14,"00"),"")&amp;IF($C842&gt;=16,", "&amp;$A842&amp;"-"&amp;TEXT(($D842-$C842+1)+15,"00"),"")&amp;IF($C842&gt;=17,", "&amp;$A842&amp;"-"&amp;TEXT(($D842-$C842+1)+16,"00"),"")&amp;IF($C842&gt;=18,", "&amp;$A842&amp;"-"&amp;TEXT(($D842-$C842+1)+17,"00"),"")&amp;IF($C842&gt;=19,", "&amp;$A842&amp;"-"&amp;TEXT(($D842-$C842+1)+18,"00"),"")&amp;IF($C842&gt;=20,", "&amp;$A842&amp;"-"&amp;TEXT(($D842-$C842+1)+19,"00"),"")&amp;IF($C842&gt;=21,", "&amp;$A842&amp;"-"&amp;TEXT(($D842-$C842+1)+20,"00"),"")&amp;IF($C842&gt;=22,", "&amp;$A842&amp;"-"&amp;TEXT(($D842-$C842+1)+21,"00"),"")&amp;IF($C842&gt;=23,", "&amp;$A842&amp;"-"&amp;TEXT(($D842-$C842+1)+22,"00"),"")&amp;IF($C842&gt;=24,", "&amp;$A842&amp;"-"&amp;TEXT(($D842-$C842+1)+23,"00"),"")&amp;IF($C842&gt;=25,", "&amp;$A842&amp;"-"&amp;TEXT(($D842-$C842+1)+24,"00"),""))</f>
        <v/>
      </c>
      <c r="G842">
        <f>IF($A842="","",IF($E842=1,$F842,IF($F842="",$G841,IF($G841="",$F842,$G841&amp;", "&amp;$F842))))</f>
        <v/>
      </c>
      <c r="H842">
        <f>IF($A842="","",$A842&amp;" ("&amp;$C842&amp;")")</f>
        <v/>
      </c>
      <c r="I842">
        <f>IF($A842="","",IF($E842=1,$H842,$I841&amp;", "&amp;$H842))</f>
        <v/>
      </c>
      <c r="J842">
        <f>IF($A842="","",IF($E842=1,$B842,""))</f>
        <v/>
      </c>
      <c r="K842">
        <f>IF($A842="","",IF(COUNTIF($B$2:$B842,$B842)=COUNTIF($B$2:$B$1601,$B842),$B842,""))</f>
        <v/>
      </c>
    </row>
    <row r="843">
      <c r="A843">
        <f>IF('TMP Paste'!$E843="","",'TMP Paste'!$E843)</f>
        <v/>
      </c>
      <c r="B843">
        <f>IF($A843="","",COUNTIF('TMP Paste'!$B$2:$B843,"?*"))</f>
        <v/>
      </c>
      <c r="C843">
        <f>IF($A843="","",IFERROR('TMP Paste'!$M843*1,0))</f>
        <v/>
      </c>
      <c r="D843">
        <f>IF($A843="","",SUMIF($B$2:$B843,$B843,$C$2:$C843))</f>
        <v/>
      </c>
      <c r="E843">
        <f>IF($A843="",0,IF('TMP Paste'!$B843="",0,1))</f>
        <v/>
      </c>
      <c r="F843">
        <f>IF(OR($A843="",$C843&lt;1),"",$A843&amp;"-"&amp;TEXT(($D843-$C843+1),"00")&amp;IF($C843&gt;=2,", "&amp;$A843&amp;"-"&amp;TEXT(($D843-$C843+1)+1,"00"),"")&amp;IF($C843&gt;=3,", "&amp;$A843&amp;"-"&amp;TEXT(($D843-$C843+1)+2,"00"),"")&amp;IF($C843&gt;=4,", "&amp;$A843&amp;"-"&amp;TEXT(($D843-$C843+1)+3,"00"),"")&amp;IF($C843&gt;=5,", "&amp;$A843&amp;"-"&amp;TEXT(($D843-$C843+1)+4,"00"),"")&amp;IF($C843&gt;=6,", "&amp;$A843&amp;"-"&amp;TEXT(($D843-$C843+1)+5,"00"),"")&amp;IF($C843&gt;=7,", "&amp;$A843&amp;"-"&amp;TEXT(($D843-$C843+1)+6,"00"),"")&amp;IF($C843&gt;=8,", "&amp;$A843&amp;"-"&amp;TEXT(($D843-$C843+1)+7,"00"),"")&amp;IF($C843&gt;=9,", "&amp;$A843&amp;"-"&amp;TEXT(($D843-$C843+1)+8,"00"),"")&amp;IF($C843&gt;=10,", "&amp;$A843&amp;"-"&amp;TEXT(($D843-$C843+1)+9,"00"),"")&amp;IF($C843&gt;=11,", "&amp;$A843&amp;"-"&amp;TEXT(($D843-$C843+1)+10,"00"),"")&amp;IF($C843&gt;=12,", "&amp;$A843&amp;"-"&amp;TEXT(($D843-$C843+1)+11,"00"),"")&amp;IF($C843&gt;=13,", "&amp;$A843&amp;"-"&amp;TEXT(($D843-$C843+1)+12,"00"),"")&amp;IF($C843&gt;=14,", "&amp;$A843&amp;"-"&amp;TEXT(($D843-$C843+1)+13,"00"),"")&amp;IF($C843&gt;=15,", "&amp;$A843&amp;"-"&amp;TEXT(($D843-$C843+1)+14,"00"),"")&amp;IF($C843&gt;=16,", "&amp;$A843&amp;"-"&amp;TEXT(($D843-$C843+1)+15,"00"),"")&amp;IF($C843&gt;=17,", "&amp;$A843&amp;"-"&amp;TEXT(($D843-$C843+1)+16,"00"),"")&amp;IF($C843&gt;=18,", "&amp;$A843&amp;"-"&amp;TEXT(($D843-$C843+1)+17,"00"),"")&amp;IF($C843&gt;=19,", "&amp;$A843&amp;"-"&amp;TEXT(($D843-$C843+1)+18,"00"),"")&amp;IF($C843&gt;=20,", "&amp;$A843&amp;"-"&amp;TEXT(($D843-$C843+1)+19,"00"),"")&amp;IF($C843&gt;=21,", "&amp;$A843&amp;"-"&amp;TEXT(($D843-$C843+1)+20,"00"),"")&amp;IF($C843&gt;=22,", "&amp;$A843&amp;"-"&amp;TEXT(($D843-$C843+1)+21,"00"),"")&amp;IF($C843&gt;=23,", "&amp;$A843&amp;"-"&amp;TEXT(($D843-$C843+1)+22,"00"),"")&amp;IF($C843&gt;=24,", "&amp;$A843&amp;"-"&amp;TEXT(($D843-$C843+1)+23,"00"),"")&amp;IF($C843&gt;=25,", "&amp;$A843&amp;"-"&amp;TEXT(($D843-$C843+1)+24,"00"),""))</f>
        <v/>
      </c>
      <c r="G843">
        <f>IF($A843="","",IF($E843=1,$F843,IF($F843="",$G842,IF($G842="",$F843,$G842&amp;", "&amp;$F843))))</f>
        <v/>
      </c>
      <c r="H843">
        <f>IF($A843="","",$A843&amp;" ("&amp;$C843&amp;")")</f>
        <v/>
      </c>
      <c r="I843">
        <f>IF($A843="","",IF($E843=1,$H843,$I842&amp;", "&amp;$H843))</f>
        <v/>
      </c>
      <c r="J843">
        <f>IF($A843="","",IF($E843=1,$B843,""))</f>
        <v/>
      </c>
      <c r="K843">
        <f>IF($A843="","",IF(COUNTIF($B$2:$B843,$B843)=COUNTIF($B$2:$B$1601,$B843),$B843,""))</f>
        <v/>
      </c>
    </row>
    <row r="844">
      <c r="A844">
        <f>IF('TMP Paste'!$E844="","",'TMP Paste'!$E844)</f>
        <v/>
      </c>
      <c r="B844">
        <f>IF($A844="","",COUNTIF('TMP Paste'!$B$2:$B844,"?*"))</f>
        <v/>
      </c>
      <c r="C844">
        <f>IF($A844="","",IFERROR('TMP Paste'!$M844*1,0))</f>
        <v/>
      </c>
      <c r="D844">
        <f>IF($A844="","",SUMIF($B$2:$B844,$B844,$C$2:$C844))</f>
        <v/>
      </c>
      <c r="E844">
        <f>IF($A844="",0,IF('TMP Paste'!$B844="",0,1))</f>
        <v/>
      </c>
      <c r="F844">
        <f>IF(OR($A844="",$C844&lt;1),"",$A844&amp;"-"&amp;TEXT(($D844-$C844+1),"00")&amp;IF($C844&gt;=2,", "&amp;$A844&amp;"-"&amp;TEXT(($D844-$C844+1)+1,"00"),"")&amp;IF($C844&gt;=3,", "&amp;$A844&amp;"-"&amp;TEXT(($D844-$C844+1)+2,"00"),"")&amp;IF($C844&gt;=4,", "&amp;$A844&amp;"-"&amp;TEXT(($D844-$C844+1)+3,"00"),"")&amp;IF($C844&gt;=5,", "&amp;$A844&amp;"-"&amp;TEXT(($D844-$C844+1)+4,"00"),"")&amp;IF($C844&gt;=6,", "&amp;$A844&amp;"-"&amp;TEXT(($D844-$C844+1)+5,"00"),"")&amp;IF($C844&gt;=7,", "&amp;$A844&amp;"-"&amp;TEXT(($D844-$C844+1)+6,"00"),"")&amp;IF($C844&gt;=8,", "&amp;$A844&amp;"-"&amp;TEXT(($D844-$C844+1)+7,"00"),"")&amp;IF($C844&gt;=9,", "&amp;$A844&amp;"-"&amp;TEXT(($D844-$C844+1)+8,"00"),"")&amp;IF($C844&gt;=10,", "&amp;$A844&amp;"-"&amp;TEXT(($D844-$C844+1)+9,"00"),"")&amp;IF($C844&gt;=11,", "&amp;$A844&amp;"-"&amp;TEXT(($D844-$C844+1)+10,"00"),"")&amp;IF($C844&gt;=12,", "&amp;$A844&amp;"-"&amp;TEXT(($D844-$C844+1)+11,"00"),"")&amp;IF($C844&gt;=13,", "&amp;$A844&amp;"-"&amp;TEXT(($D844-$C844+1)+12,"00"),"")&amp;IF($C844&gt;=14,", "&amp;$A844&amp;"-"&amp;TEXT(($D844-$C844+1)+13,"00"),"")&amp;IF($C844&gt;=15,", "&amp;$A844&amp;"-"&amp;TEXT(($D844-$C844+1)+14,"00"),"")&amp;IF($C844&gt;=16,", "&amp;$A844&amp;"-"&amp;TEXT(($D844-$C844+1)+15,"00"),"")&amp;IF($C844&gt;=17,", "&amp;$A844&amp;"-"&amp;TEXT(($D844-$C844+1)+16,"00"),"")&amp;IF($C844&gt;=18,", "&amp;$A844&amp;"-"&amp;TEXT(($D844-$C844+1)+17,"00"),"")&amp;IF($C844&gt;=19,", "&amp;$A844&amp;"-"&amp;TEXT(($D844-$C844+1)+18,"00"),"")&amp;IF($C844&gt;=20,", "&amp;$A844&amp;"-"&amp;TEXT(($D844-$C844+1)+19,"00"),"")&amp;IF($C844&gt;=21,", "&amp;$A844&amp;"-"&amp;TEXT(($D844-$C844+1)+20,"00"),"")&amp;IF($C844&gt;=22,", "&amp;$A844&amp;"-"&amp;TEXT(($D844-$C844+1)+21,"00"),"")&amp;IF($C844&gt;=23,", "&amp;$A844&amp;"-"&amp;TEXT(($D844-$C844+1)+22,"00"),"")&amp;IF($C844&gt;=24,", "&amp;$A844&amp;"-"&amp;TEXT(($D844-$C844+1)+23,"00"),"")&amp;IF($C844&gt;=25,", "&amp;$A844&amp;"-"&amp;TEXT(($D844-$C844+1)+24,"00"),""))</f>
        <v/>
      </c>
      <c r="G844">
        <f>IF($A844="","",IF($E844=1,$F844,IF($F844="",$G843,IF($G843="",$F844,$G843&amp;", "&amp;$F844))))</f>
        <v/>
      </c>
      <c r="H844">
        <f>IF($A844="","",$A844&amp;" ("&amp;$C844&amp;")")</f>
        <v/>
      </c>
      <c r="I844">
        <f>IF($A844="","",IF($E844=1,$H844,$I843&amp;", "&amp;$H844))</f>
        <v/>
      </c>
      <c r="J844">
        <f>IF($A844="","",IF($E844=1,$B844,""))</f>
        <v/>
      </c>
      <c r="K844">
        <f>IF($A844="","",IF(COUNTIF($B$2:$B844,$B844)=COUNTIF($B$2:$B$1601,$B844),$B844,""))</f>
        <v/>
      </c>
    </row>
    <row r="845">
      <c r="A845">
        <f>IF('TMP Paste'!$E845="","",'TMP Paste'!$E845)</f>
        <v/>
      </c>
      <c r="B845">
        <f>IF($A845="","",COUNTIF('TMP Paste'!$B$2:$B845,"?*"))</f>
        <v/>
      </c>
      <c r="C845">
        <f>IF($A845="","",IFERROR('TMP Paste'!$M845*1,0))</f>
        <v/>
      </c>
      <c r="D845">
        <f>IF($A845="","",SUMIF($B$2:$B845,$B845,$C$2:$C845))</f>
        <v/>
      </c>
      <c r="E845">
        <f>IF($A845="",0,IF('TMP Paste'!$B845="",0,1))</f>
        <v/>
      </c>
      <c r="F845">
        <f>IF(OR($A845="",$C845&lt;1),"",$A845&amp;"-"&amp;TEXT(($D845-$C845+1),"00")&amp;IF($C845&gt;=2,", "&amp;$A845&amp;"-"&amp;TEXT(($D845-$C845+1)+1,"00"),"")&amp;IF($C845&gt;=3,", "&amp;$A845&amp;"-"&amp;TEXT(($D845-$C845+1)+2,"00"),"")&amp;IF($C845&gt;=4,", "&amp;$A845&amp;"-"&amp;TEXT(($D845-$C845+1)+3,"00"),"")&amp;IF($C845&gt;=5,", "&amp;$A845&amp;"-"&amp;TEXT(($D845-$C845+1)+4,"00"),"")&amp;IF($C845&gt;=6,", "&amp;$A845&amp;"-"&amp;TEXT(($D845-$C845+1)+5,"00"),"")&amp;IF($C845&gt;=7,", "&amp;$A845&amp;"-"&amp;TEXT(($D845-$C845+1)+6,"00"),"")&amp;IF($C845&gt;=8,", "&amp;$A845&amp;"-"&amp;TEXT(($D845-$C845+1)+7,"00"),"")&amp;IF($C845&gt;=9,", "&amp;$A845&amp;"-"&amp;TEXT(($D845-$C845+1)+8,"00"),"")&amp;IF($C845&gt;=10,", "&amp;$A845&amp;"-"&amp;TEXT(($D845-$C845+1)+9,"00"),"")&amp;IF($C845&gt;=11,", "&amp;$A845&amp;"-"&amp;TEXT(($D845-$C845+1)+10,"00"),"")&amp;IF($C845&gt;=12,", "&amp;$A845&amp;"-"&amp;TEXT(($D845-$C845+1)+11,"00"),"")&amp;IF($C845&gt;=13,", "&amp;$A845&amp;"-"&amp;TEXT(($D845-$C845+1)+12,"00"),"")&amp;IF($C845&gt;=14,", "&amp;$A845&amp;"-"&amp;TEXT(($D845-$C845+1)+13,"00"),"")&amp;IF($C845&gt;=15,", "&amp;$A845&amp;"-"&amp;TEXT(($D845-$C845+1)+14,"00"),"")&amp;IF($C845&gt;=16,", "&amp;$A845&amp;"-"&amp;TEXT(($D845-$C845+1)+15,"00"),"")&amp;IF($C845&gt;=17,", "&amp;$A845&amp;"-"&amp;TEXT(($D845-$C845+1)+16,"00"),"")&amp;IF($C845&gt;=18,", "&amp;$A845&amp;"-"&amp;TEXT(($D845-$C845+1)+17,"00"),"")&amp;IF($C845&gt;=19,", "&amp;$A845&amp;"-"&amp;TEXT(($D845-$C845+1)+18,"00"),"")&amp;IF($C845&gt;=20,", "&amp;$A845&amp;"-"&amp;TEXT(($D845-$C845+1)+19,"00"),"")&amp;IF($C845&gt;=21,", "&amp;$A845&amp;"-"&amp;TEXT(($D845-$C845+1)+20,"00"),"")&amp;IF($C845&gt;=22,", "&amp;$A845&amp;"-"&amp;TEXT(($D845-$C845+1)+21,"00"),"")&amp;IF($C845&gt;=23,", "&amp;$A845&amp;"-"&amp;TEXT(($D845-$C845+1)+22,"00"),"")&amp;IF($C845&gt;=24,", "&amp;$A845&amp;"-"&amp;TEXT(($D845-$C845+1)+23,"00"),"")&amp;IF($C845&gt;=25,", "&amp;$A845&amp;"-"&amp;TEXT(($D845-$C845+1)+24,"00"),""))</f>
        <v/>
      </c>
      <c r="G845">
        <f>IF($A845="","",IF($E845=1,$F845,IF($F845="",$G844,IF($G844="",$F845,$G844&amp;", "&amp;$F845))))</f>
        <v/>
      </c>
      <c r="H845">
        <f>IF($A845="","",$A845&amp;" ("&amp;$C845&amp;")")</f>
        <v/>
      </c>
      <c r="I845">
        <f>IF($A845="","",IF($E845=1,$H845,$I844&amp;", "&amp;$H845))</f>
        <v/>
      </c>
      <c r="J845">
        <f>IF($A845="","",IF($E845=1,$B845,""))</f>
        <v/>
      </c>
      <c r="K845">
        <f>IF($A845="","",IF(COUNTIF($B$2:$B845,$B845)=COUNTIF($B$2:$B$1601,$B845),$B845,""))</f>
        <v/>
      </c>
    </row>
    <row r="846">
      <c r="A846">
        <f>IF('TMP Paste'!$E846="","",'TMP Paste'!$E846)</f>
        <v/>
      </c>
      <c r="B846">
        <f>IF($A846="","",COUNTIF('TMP Paste'!$B$2:$B846,"?*"))</f>
        <v/>
      </c>
      <c r="C846">
        <f>IF($A846="","",IFERROR('TMP Paste'!$M846*1,0))</f>
        <v/>
      </c>
      <c r="D846">
        <f>IF($A846="","",SUMIF($B$2:$B846,$B846,$C$2:$C846))</f>
        <v/>
      </c>
      <c r="E846">
        <f>IF($A846="",0,IF('TMP Paste'!$B846="",0,1))</f>
        <v/>
      </c>
      <c r="F846">
        <f>IF(OR($A846="",$C846&lt;1),"",$A846&amp;"-"&amp;TEXT(($D846-$C846+1),"00")&amp;IF($C846&gt;=2,", "&amp;$A846&amp;"-"&amp;TEXT(($D846-$C846+1)+1,"00"),"")&amp;IF($C846&gt;=3,", "&amp;$A846&amp;"-"&amp;TEXT(($D846-$C846+1)+2,"00"),"")&amp;IF($C846&gt;=4,", "&amp;$A846&amp;"-"&amp;TEXT(($D846-$C846+1)+3,"00"),"")&amp;IF($C846&gt;=5,", "&amp;$A846&amp;"-"&amp;TEXT(($D846-$C846+1)+4,"00"),"")&amp;IF($C846&gt;=6,", "&amp;$A846&amp;"-"&amp;TEXT(($D846-$C846+1)+5,"00"),"")&amp;IF($C846&gt;=7,", "&amp;$A846&amp;"-"&amp;TEXT(($D846-$C846+1)+6,"00"),"")&amp;IF($C846&gt;=8,", "&amp;$A846&amp;"-"&amp;TEXT(($D846-$C846+1)+7,"00"),"")&amp;IF($C846&gt;=9,", "&amp;$A846&amp;"-"&amp;TEXT(($D846-$C846+1)+8,"00"),"")&amp;IF($C846&gt;=10,", "&amp;$A846&amp;"-"&amp;TEXT(($D846-$C846+1)+9,"00"),"")&amp;IF($C846&gt;=11,", "&amp;$A846&amp;"-"&amp;TEXT(($D846-$C846+1)+10,"00"),"")&amp;IF($C846&gt;=12,", "&amp;$A846&amp;"-"&amp;TEXT(($D846-$C846+1)+11,"00"),"")&amp;IF($C846&gt;=13,", "&amp;$A846&amp;"-"&amp;TEXT(($D846-$C846+1)+12,"00"),"")&amp;IF($C846&gt;=14,", "&amp;$A846&amp;"-"&amp;TEXT(($D846-$C846+1)+13,"00"),"")&amp;IF($C846&gt;=15,", "&amp;$A846&amp;"-"&amp;TEXT(($D846-$C846+1)+14,"00"),"")&amp;IF($C846&gt;=16,", "&amp;$A846&amp;"-"&amp;TEXT(($D846-$C846+1)+15,"00"),"")&amp;IF($C846&gt;=17,", "&amp;$A846&amp;"-"&amp;TEXT(($D846-$C846+1)+16,"00"),"")&amp;IF($C846&gt;=18,", "&amp;$A846&amp;"-"&amp;TEXT(($D846-$C846+1)+17,"00"),"")&amp;IF($C846&gt;=19,", "&amp;$A846&amp;"-"&amp;TEXT(($D846-$C846+1)+18,"00"),"")&amp;IF($C846&gt;=20,", "&amp;$A846&amp;"-"&amp;TEXT(($D846-$C846+1)+19,"00"),"")&amp;IF($C846&gt;=21,", "&amp;$A846&amp;"-"&amp;TEXT(($D846-$C846+1)+20,"00"),"")&amp;IF($C846&gt;=22,", "&amp;$A846&amp;"-"&amp;TEXT(($D846-$C846+1)+21,"00"),"")&amp;IF($C846&gt;=23,", "&amp;$A846&amp;"-"&amp;TEXT(($D846-$C846+1)+22,"00"),"")&amp;IF($C846&gt;=24,", "&amp;$A846&amp;"-"&amp;TEXT(($D846-$C846+1)+23,"00"),"")&amp;IF($C846&gt;=25,", "&amp;$A846&amp;"-"&amp;TEXT(($D846-$C846+1)+24,"00"),""))</f>
        <v/>
      </c>
      <c r="G846">
        <f>IF($A846="","",IF($E846=1,$F846,IF($F846="",$G845,IF($G845="",$F846,$G845&amp;", "&amp;$F846))))</f>
        <v/>
      </c>
      <c r="H846">
        <f>IF($A846="","",$A846&amp;" ("&amp;$C846&amp;")")</f>
        <v/>
      </c>
      <c r="I846">
        <f>IF($A846="","",IF($E846=1,$H846,$I845&amp;", "&amp;$H846))</f>
        <v/>
      </c>
      <c r="J846">
        <f>IF($A846="","",IF($E846=1,$B846,""))</f>
        <v/>
      </c>
      <c r="K846">
        <f>IF($A846="","",IF(COUNTIF($B$2:$B846,$B846)=COUNTIF($B$2:$B$1601,$B846),$B846,""))</f>
        <v/>
      </c>
    </row>
    <row r="847">
      <c r="A847">
        <f>IF('TMP Paste'!$E847="","",'TMP Paste'!$E847)</f>
        <v/>
      </c>
      <c r="B847">
        <f>IF($A847="","",COUNTIF('TMP Paste'!$B$2:$B847,"?*"))</f>
        <v/>
      </c>
      <c r="C847">
        <f>IF($A847="","",IFERROR('TMP Paste'!$M847*1,0))</f>
        <v/>
      </c>
      <c r="D847">
        <f>IF($A847="","",SUMIF($B$2:$B847,$B847,$C$2:$C847))</f>
        <v/>
      </c>
      <c r="E847">
        <f>IF($A847="",0,IF('TMP Paste'!$B847="",0,1))</f>
        <v/>
      </c>
      <c r="F847">
        <f>IF(OR($A847="",$C847&lt;1),"",$A847&amp;"-"&amp;TEXT(($D847-$C847+1),"00")&amp;IF($C847&gt;=2,", "&amp;$A847&amp;"-"&amp;TEXT(($D847-$C847+1)+1,"00"),"")&amp;IF($C847&gt;=3,", "&amp;$A847&amp;"-"&amp;TEXT(($D847-$C847+1)+2,"00"),"")&amp;IF($C847&gt;=4,", "&amp;$A847&amp;"-"&amp;TEXT(($D847-$C847+1)+3,"00"),"")&amp;IF($C847&gt;=5,", "&amp;$A847&amp;"-"&amp;TEXT(($D847-$C847+1)+4,"00"),"")&amp;IF($C847&gt;=6,", "&amp;$A847&amp;"-"&amp;TEXT(($D847-$C847+1)+5,"00"),"")&amp;IF($C847&gt;=7,", "&amp;$A847&amp;"-"&amp;TEXT(($D847-$C847+1)+6,"00"),"")&amp;IF($C847&gt;=8,", "&amp;$A847&amp;"-"&amp;TEXT(($D847-$C847+1)+7,"00"),"")&amp;IF($C847&gt;=9,", "&amp;$A847&amp;"-"&amp;TEXT(($D847-$C847+1)+8,"00"),"")&amp;IF($C847&gt;=10,", "&amp;$A847&amp;"-"&amp;TEXT(($D847-$C847+1)+9,"00"),"")&amp;IF($C847&gt;=11,", "&amp;$A847&amp;"-"&amp;TEXT(($D847-$C847+1)+10,"00"),"")&amp;IF($C847&gt;=12,", "&amp;$A847&amp;"-"&amp;TEXT(($D847-$C847+1)+11,"00"),"")&amp;IF($C847&gt;=13,", "&amp;$A847&amp;"-"&amp;TEXT(($D847-$C847+1)+12,"00"),"")&amp;IF($C847&gt;=14,", "&amp;$A847&amp;"-"&amp;TEXT(($D847-$C847+1)+13,"00"),"")&amp;IF($C847&gt;=15,", "&amp;$A847&amp;"-"&amp;TEXT(($D847-$C847+1)+14,"00"),"")&amp;IF($C847&gt;=16,", "&amp;$A847&amp;"-"&amp;TEXT(($D847-$C847+1)+15,"00"),"")&amp;IF($C847&gt;=17,", "&amp;$A847&amp;"-"&amp;TEXT(($D847-$C847+1)+16,"00"),"")&amp;IF($C847&gt;=18,", "&amp;$A847&amp;"-"&amp;TEXT(($D847-$C847+1)+17,"00"),"")&amp;IF($C847&gt;=19,", "&amp;$A847&amp;"-"&amp;TEXT(($D847-$C847+1)+18,"00"),"")&amp;IF($C847&gt;=20,", "&amp;$A847&amp;"-"&amp;TEXT(($D847-$C847+1)+19,"00"),"")&amp;IF($C847&gt;=21,", "&amp;$A847&amp;"-"&amp;TEXT(($D847-$C847+1)+20,"00"),"")&amp;IF($C847&gt;=22,", "&amp;$A847&amp;"-"&amp;TEXT(($D847-$C847+1)+21,"00"),"")&amp;IF($C847&gt;=23,", "&amp;$A847&amp;"-"&amp;TEXT(($D847-$C847+1)+22,"00"),"")&amp;IF($C847&gt;=24,", "&amp;$A847&amp;"-"&amp;TEXT(($D847-$C847+1)+23,"00"),"")&amp;IF($C847&gt;=25,", "&amp;$A847&amp;"-"&amp;TEXT(($D847-$C847+1)+24,"00"),""))</f>
        <v/>
      </c>
      <c r="G847">
        <f>IF($A847="","",IF($E847=1,$F847,IF($F847="",$G846,IF($G846="",$F847,$G846&amp;", "&amp;$F847))))</f>
        <v/>
      </c>
      <c r="H847">
        <f>IF($A847="","",$A847&amp;" ("&amp;$C847&amp;")")</f>
        <v/>
      </c>
      <c r="I847">
        <f>IF($A847="","",IF($E847=1,$H847,$I846&amp;", "&amp;$H847))</f>
        <v/>
      </c>
      <c r="J847">
        <f>IF($A847="","",IF($E847=1,$B847,""))</f>
        <v/>
      </c>
      <c r="K847">
        <f>IF($A847="","",IF(COUNTIF($B$2:$B847,$B847)=COUNTIF($B$2:$B$1601,$B847),$B847,""))</f>
        <v/>
      </c>
    </row>
    <row r="848">
      <c r="A848">
        <f>IF('TMP Paste'!$E848="","",'TMP Paste'!$E848)</f>
        <v/>
      </c>
      <c r="B848">
        <f>IF($A848="","",COUNTIF('TMP Paste'!$B$2:$B848,"?*"))</f>
        <v/>
      </c>
      <c r="C848">
        <f>IF($A848="","",IFERROR('TMP Paste'!$M848*1,0))</f>
        <v/>
      </c>
      <c r="D848">
        <f>IF($A848="","",SUMIF($B$2:$B848,$B848,$C$2:$C848))</f>
        <v/>
      </c>
      <c r="E848">
        <f>IF($A848="",0,IF('TMP Paste'!$B848="",0,1))</f>
        <v/>
      </c>
      <c r="F848">
        <f>IF(OR($A848="",$C848&lt;1),"",$A848&amp;"-"&amp;TEXT(($D848-$C848+1),"00")&amp;IF($C848&gt;=2,", "&amp;$A848&amp;"-"&amp;TEXT(($D848-$C848+1)+1,"00"),"")&amp;IF($C848&gt;=3,", "&amp;$A848&amp;"-"&amp;TEXT(($D848-$C848+1)+2,"00"),"")&amp;IF($C848&gt;=4,", "&amp;$A848&amp;"-"&amp;TEXT(($D848-$C848+1)+3,"00"),"")&amp;IF($C848&gt;=5,", "&amp;$A848&amp;"-"&amp;TEXT(($D848-$C848+1)+4,"00"),"")&amp;IF($C848&gt;=6,", "&amp;$A848&amp;"-"&amp;TEXT(($D848-$C848+1)+5,"00"),"")&amp;IF($C848&gt;=7,", "&amp;$A848&amp;"-"&amp;TEXT(($D848-$C848+1)+6,"00"),"")&amp;IF($C848&gt;=8,", "&amp;$A848&amp;"-"&amp;TEXT(($D848-$C848+1)+7,"00"),"")&amp;IF($C848&gt;=9,", "&amp;$A848&amp;"-"&amp;TEXT(($D848-$C848+1)+8,"00"),"")&amp;IF($C848&gt;=10,", "&amp;$A848&amp;"-"&amp;TEXT(($D848-$C848+1)+9,"00"),"")&amp;IF($C848&gt;=11,", "&amp;$A848&amp;"-"&amp;TEXT(($D848-$C848+1)+10,"00"),"")&amp;IF($C848&gt;=12,", "&amp;$A848&amp;"-"&amp;TEXT(($D848-$C848+1)+11,"00"),"")&amp;IF($C848&gt;=13,", "&amp;$A848&amp;"-"&amp;TEXT(($D848-$C848+1)+12,"00"),"")&amp;IF($C848&gt;=14,", "&amp;$A848&amp;"-"&amp;TEXT(($D848-$C848+1)+13,"00"),"")&amp;IF($C848&gt;=15,", "&amp;$A848&amp;"-"&amp;TEXT(($D848-$C848+1)+14,"00"),"")&amp;IF($C848&gt;=16,", "&amp;$A848&amp;"-"&amp;TEXT(($D848-$C848+1)+15,"00"),"")&amp;IF($C848&gt;=17,", "&amp;$A848&amp;"-"&amp;TEXT(($D848-$C848+1)+16,"00"),"")&amp;IF($C848&gt;=18,", "&amp;$A848&amp;"-"&amp;TEXT(($D848-$C848+1)+17,"00"),"")&amp;IF($C848&gt;=19,", "&amp;$A848&amp;"-"&amp;TEXT(($D848-$C848+1)+18,"00"),"")&amp;IF($C848&gt;=20,", "&amp;$A848&amp;"-"&amp;TEXT(($D848-$C848+1)+19,"00"),"")&amp;IF($C848&gt;=21,", "&amp;$A848&amp;"-"&amp;TEXT(($D848-$C848+1)+20,"00"),"")&amp;IF($C848&gt;=22,", "&amp;$A848&amp;"-"&amp;TEXT(($D848-$C848+1)+21,"00"),"")&amp;IF($C848&gt;=23,", "&amp;$A848&amp;"-"&amp;TEXT(($D848-$C848+1)+22,"00"),"")&amp;IF($C848&gt;=24,", "&amp;$A848&amp;"-"&amp;TEXT(($D848-$C848+1)+23,"00"),"")&amp;IF($C848&gt;=25,", "&amp;$A848&amp;"-"&amp;TEXT(($D848-$C848+1)+24,"00"),""))</f>
        <v/>
      </c>
      <c r="G848">
        <f>IF($A848="","",IF($E848=1,$F848,IF($F848="",$G847,IF($G847="",$F848,$G847&amp;", "&amp;$F848))))</f>
        <v/>
      </c>
      <c r="H848">
        <f>IF($A848="","",$A848&amp;" ("&amp;$C848&amp;")")</f>
        <v/>
      </c>
      <c r="I848">
        <f>IF($A848="","",IF($E848=1,$H848,$I847&amp;", "&amp;$H848))</f>
        <v/>
      </c>
      <c r="J848">
        <f>IF($A848="","",IF($E848=1,$B848,""))</f>
        <v/>
      </c>
      <c r="K848">
        <f>IF($A848="","",IF(COUNTIF($B$2:$B848,$B848)=COUNTIF($B$2:$B$1601,$B848),$B848,""))</f>
        <v/>
      </c>
    </row>
    <row r="849">
      <c r="A849">
        <f>IF('TMP Paste'!$E849="","",'TMP Paste'!$E849)</f>
        <v/>
      </c>
      <c r="B849">
        <f>IF($A849="","",COUNTIF('TMP Paste'!$B$2:$B849,"?*"))</f>
        <v/>
      </c>
      <c r="C849">
        <f>IF($A849="","",IFERROR('TMP Paste'!$M849*1,0))</f>
        <v/>
      </c>
      <c r="D849">
        <f>IF($A849="","",SUMIF($B$2:$B849,$B849,$C$2:$C849))</f>
        <v/>
      </c>
      <c r="E849">
        <f>IF($A849="",0,IF('TMP Paste'!$B849="",0,1))</f>
        <v/>
      </c>
      <c r="F849">
        <f>IF(OR($A849="",$C849&lt;1),"",$A849&amp;"-"&amp;TEXT(($D849-$C849+1),"00")&amp;IF($C849&gt;=2,", "&amp;$A849&amp;"-"&amp;TEXT(($D849-$C849+1)+1,"00"),"")&amp;IF($C849&gt;=3,", "&amp;$A849&amp;"-"&amp;TEXT(($D849-$C849+1)+2,"00"),"")&amp;IF($C849&gt;=4,", "&amp;$A849&amp;"-"&amp;TEXT(($D849-$C849+1)+3,"00"),"")&amp;IF($C849&gt;=5,", "&amp;$A849&amp;"-"&amp;TEXT(($D849-$C849+1)+4,"00"),"")&amp;IF($C849&gt;=6,", "&amp;$A849&amp;"-"&amp;TEXT(($D849-$C849+1)+5,"00"),"")&amp;IF($C849&gt;=7,", "&amp;$A849&amp;"-"&amp;TEXT(($D849-$C849+1)+6,"00"),"")&amp;IF($C849&gt;=8,", "&amp;$A849&amp;"-"&amp;TEXT(($D849-$C849+1)+7,"00"),"")&amp;IF($C849&gt;=9,", "&amp;$A849&amp;"-"&amp;TEXT(($D849-$C849+1)+8,"00"),"")&amp;IF($C849&gt;=10,", "&amp;$A849&amp;"-"&amp;TEXT(($D849-$C849+1)+9,"00"),"")&amp;IF($C849&gt;=11,", "&amp;$A849&amp;"-"&amp;TEXT(($D849-$C849+1)+10,"00"),"")&amp;IF($C849&gt;=12,", "&amp;$A849&amp;"-"&amp;TEXT(($D849-$C849+1)+11,"00"),"")&amp;IF($C849&gt;=13,", "&amp;$A849&amp;"-"&amp;TEXT(($D849-$C849+1)+12,"00"),"")&amp;IF($C849&gt;=14,", "&amp;$A849&amp;"-"&amp;TEXT(($D849-$C849+1)+13,"00"),"")&amp;IF($C849&gt;=15,", "&amp;$A849&amp;"-"&amp;TEXT(($D849-$C849+1)+14,"00"),"")&amp;IF($C849&gt;=16,", "&amp;$A849&amp;"-"&amp;TEXT(($D849-$C849+1)+15,"00"),"")&amp;IF($C849&gt;=17,", "&amp;$A849&amp;"-"&amp;TEXT(($D849-$C849+1)+16,"00"),"")&amp;IF($C849&gt;=18,", "&amp;$A849&amp;"-"&amp;TEXT(($D849-$C849+1)+17,"00"),"")&amp;IF($C849&gt;=19,", "&amp;$A849&amp;"-"&amp;TEXT(($D849-$C849+1)+18,"00"),"")&amp;IF($C849&gt;=20,", "&amp;$A849&amp;"-"&amp;TEXT(($D849-$C849+1)+19,"00"),"")&amp;IF($C849&gt;=21,", "&amp;$A849&amp;"-"&amp;TEXT(($D849-$C849+1)+20,"00"),"")&amp;IF($C849&gt;=22,", "&amp;$A849&amp;"-"&amp;TEXT(($D849-$C849+1)+21,"00"),"")&amp;IF($C849&gt;=23,", "&amp;$A849&amp;"-"&amp;TEXT(($D849-$C849+1)+22,"00"),"")&amp;IF($C849&gt;=24,", "&amp;$A849&amp;"-"&amp;TEXT(($D849-$C849+1)+23,"00"),"")&amp;IF($C849&gt;=25,", "&amp;$A849&amp;"-"&amp;TEXT(($D849-$C849+1)+24,"00"),""))</f>
        <v/>
      </c>
      <c r="G849">
        <f>IF($A849="","",IF($E849=1,$F849,IF($F849="",$G848,IF($G848="",$F849,$G848&amp;", "&amp;$F849))))</f>
        <v/>
      </c>
      <c r="H849">
        <f>IF($A849="","",$A849&amp;" ("&amp;$C849&amp;")")</f>
        <v/>
      </c>
      <c r="I849">
        <f>IF($A849="","",IF($E849=1,$H849,$I848&amp;", "&amp;$H849))</f>
        <v/>
      </c>
      <c r="J849">
        <f>IF($A849="","",IF($E849=1,$B849,""))</f>
        <v/>
      </c>
      <c r="K849">
        <f>IF($A849="","",IF(COUNTIF($B$2:$B849,$B849)=COUNTIF($B$2:$B$1601,$B849),$B849,""))</f>
        <v/>
      </c>
    </row>
    <row r="850">
      <c r="A850">
        <f>IF('TMP Paste'!$E850="","",'TMP Paste'!$E850)</f>
        <v/>
      </c>
      <c r="B850">
        <f>IF($A850="","",COUNTIF('TMP Paste'!$B$2:$B850,"?*"))</f>
        <v/>
      </c>
      <c r="C850">
        <f>IF($A850="","",IFERROR('TMP Paste'!$M850*1,0))</f>
        <v/>
      </c>
      <c r="D850">
        <f>IF($A850="","",SUMIF($B$2:$B850,$B850,$C$2:$C850))</f>
        <v/>
      </c>
      <c r="E850">
        <f>IF($A850="",0,IF('TMP Paste'!$B850="",0,1))</f>
        <v/>
      </c>
      <c r="F850">
        <f>IF(OR($A850="",$C850&lt;1),"",$A850&amp;"-"&amp;TEXT(($D850-$C850+1),"00")&amp;IF($C850&gt;=2,", "&amp;$A850&amp;"-"&amp;TEXT(($D850-$C850+1)+1,"00"),"")&amp;IF($C850&gt;=3,", "&amp;$A850&amp;"-"&amp;TEXT(($D850-$C850+1)+2,"00"),"")&amp;IF($C850&gt;=4,", "&amp;$A850&amp;"-"&amp;TEXT(($D850-$C850+1)+3,"00"),"")&amp;IF($C850&gt;=5,", "&amp;$A850&amp;"-"&amp;TEXT(($D850-$C850+1)+4,"00"),"")&amp;IF($C850&gt;=6,", "&amp;$A850&amp;"-"&amp;TEXT(($D850-$C850+1)+5,"00"),"")&amp;IF($C850&gt;=7,", "&amp;$A850&amp;"-"&amp;TEXT(($D850-$C850+1)+6,"00"),"")&amp;IF($C850&gt;=8,", "&amp;$A850&amp;"-"&amp;TEXT(($D850-$C850+1)+7,"00"),"")&amp;IF($C850&gt;=9,", "&amp;$A850&amp;"-"&amp;TEXT(($D850-$C850+1)+8,"00"),"")&amp;IF($C850&gt;=10,", "&amp;$A850&amp;"-"&amp;TEXT(($D850-$C850+1)+9,"00"),"")&amp;IF($C850&gt;=11,", "&amp;$A850&amp;"-"&amp;TEXT(($D850-$C850+1)+10,"00"),"")&amp;IF($C850&gt;=12,", "&amp;$A850&amp;"-"&amp;TEXT(($D850-$C850+1)+11,"00"),"")&amp;IF($C850&gt;=13,", "&amp;$A850&amp;"-"&amp;TEXT(($D850-$C850+1)+12,"00"),"")&amp;IF($C850&gt;=14,", "&amp;$A850&amp;"-"&amp;TEXT(($D850-$C850+1)+13,"00"),"")&amp;IF($C850&gt;=15,", "&amp;$A850&amp;"-"&amp;TEXT(($D850-$C850+1)+14,"00"),"")&amp;IF($C850&gt;=16,", "&amp;$A850&amp;"-"&amp;TEXT(($D850-$C850+1)+15,"00"),"")&amp;IF($C850&gt;=17,", "&amp;$A850&amp;"-"&amp;TEXT(($D850-$C850+1)+16,"00"),"")&amp;IF($C850&gt;=18,", "&amp;$A850&amp;"-"&amp;TEXT(($D850-$C850+1)+17,"00"),"")&amp;IF($C850&gt;=19,", "&amp;$A850&amp;"-"&amp;TEXT(($D850-$C850+1)+18,"00"),"")&amp;IF($C850&gt;=20,", "&amp;$A850&amp;"-"&amp;TEXT(($D850-$C850+1)+19,"00"),"")&amp;IF($C850&gt;=21,", "&amp;$A850&amp;"-"&amp;TEXT(($D850-$C850+1)+20,"00"),"")&amp;IF($C850&gt;=22,", "&amp;$A850&amp;"-"&amp;TEXT(($D850-$C850+1)+21,"00"),"")&amp;IF($C850&gt;=23,", "&amp;$A850&amp;"-"&amp;TEXT(($D850-$C850+1)+22,"00"),"")&amp;IF($C850&gt;=24,", "&amp;$A850&amp;"-"&amp;TEXT(($D850-$C850+1)+23,"00"),"")&amp;IF($C850&gt;=25,", "&amp;$A850&amp;"-"&amp;TEXT(($D850-$C850+1)+24,"00"),""))</f>
        <v/>
      </c>
      <c r="G850">
        <f>IF($A850="","",IF($E850=1,$F850,IF($F850="",$G849,IF($G849="",$F850,$G849&amp;", "&amp;$F850))))</f>
        <v/>
      </c>
      <c r="H850">
        <f>IF($A850="","",$A850&amp;" ("&amp;$C850&amp;")")</f>
        <v/>
      </c>
      <c r="I850">
        <f>IF($A850="","",IF($E850=1,$H850,$I849&amp;", "&amp;$H850))</f>
        <v/>
      </c>
      <c r="J850">
        <f>IF($A850="","",IF($E850=1,$B850,""))</f>
        <v/>
      </c>
      <c r="K850">
        <f>IF($A850="","",IF(COUNTIF($B$2:$B850,$B850)=COUNTIF($B$2:$B$1601,$B850),$B850,""))</f>
        <v/>
      </c>
    </row>
    <row r="851">
      <c r="A851">
        <f>IF('TMP Paste'!$E851="","",'TMP Paste'!$E851)</f>
        <v/>
      </c>
      <c r="B851">
        <f>IF($A851="","",COUNTIF('TMP Paste'!$B$2:$B851,"?*"))</f>
        <v/>
      </c>
      <c r="C851">
        <f>IF($A851="","",IFERROR('TMP Paste'!$M851*1,0))</f>
        <v/>
      </c>
      <c r="D851">
        <f>IF($A851="","",SUMIF($B$2:$B851,$B851,$C$2:$C851))</f>
        <v/>
      </c>
      <c r="E851">
        <f>IF($A851="",0,IF('TMP Paste'!$B851="",0,1))</f>
        <v/>
      </c>
      <c r="F851">
        <f>IF(OR($A851="",$C851&lt;1),"",$A851&amp;"-"&amp;TEXT(($D851-$C851+1),"00")&amp;IF($C851&gt;=2,", "&amp;$A851&amp;"-"&amp;TEXT(($D851-$C851+1)+1,"00"),"")&amp;IF($C851&gt;=3,", "&amp;$A851&amp;"-"&amp;TEXT(($D851-$C851+1)+2,"00"),"")&amp;IF($C851&gt;=4,", "&amp;$A851&amp;"-"&amp;TEXT(($D851-$C851+1)+3,"00"),"")&amp;IF($C851&gt;=5,", "&amp;$A851&amp;"-"&amp;TEXT(($D851-$C851+1)+4,"00"),"")&amp;IF($C851&gt;=6,", "&amp;$A851&amp;"-"&amp;TEXT(($D851-$C851+1)+5,"00"),"")&amp;IF($C851&gt;=7,", "&amp;$A851&amp;"-"&amp;TEXT(($D851-$C851+1)+6,"00"),"")&amp;IF($C851&gt;=8,", "&amp;$A851&amp;"-"&amp;TEXT(($D851-$C851+1)+7,"00"),"")&amp;IF($C851&gt;=9,", "&amp;$A851&amp;"-"&amp;TEXT(($D851-$C851+1)+8,"00"),"")&amp;IF($C851&gt;=10,", "&amp;$A851&amp;"-"&amp;TEXT(($D851-$C851+1)+9,"00"),"")&amp;IF($C851&gt;=11,", "&amp;$A851&amp;"-"&amp;TEXT(($D851-$C851+1)+10,"00"),"")&amp;IF($C851&gt;=12,", "&amp;$A851&amp;"-"&amp;TEXT(($D851-$C851+1)+11,"00"),"")&amp;IF($C851&gt;=13,", "&amp;$A851&amp;"-"&amp;TEXT(($D851-$C851+1)+12,"00"),"")&amp;IF($C851&gt;=14,", "&amp;$A851&amp;"-"&amp;TEXT(($D851-$C851+1)+13,"00"),"")&amp;IF($C851&gt;=15,", "&amp;$A851&amp;"-"&amp;TEXT(($D851-$C851+1)+14,"00"),"")&amp;IF($C851&gt;=16,", "&amp;$A851&amp;"-"&amp;TEXT(($D851-$C851+1)+15,"00"),"")&amp;IF($C851&gt;=17,", "&amp;$A851&amp;"-"&amp;TEXT(($D851-$C851+1)+16,"00"),"")&amp;IF($C851&gt;=18,", "&amp;$A851&amp;"-"&amp;TEXT(($D851-$C851+1)+17,"00"),"")&amp;IF($C851&gt;=19,", "&amp;$A851&amp;"-"&amp;TEXT(($D851-$C851+1)+18,"00"),"")&amp;IF($C851&gt;=20,", "&amp;$A851&amp;"-"&amp;TEXT(($D851-$C851+1)+19,"00"),"")&amp;IF($C851&gt;=21,", "&amp;$A851&amp;"-"&amp;TEXT(($D851-$C851+1)+20,"00"),"")&amp;IF($C851&gt;=22,", "&amp;$A851&amp;"-"&amp;TEXT(($D851-$C851+1)+21,"00"),"")&amp;IF($C851&gt;=23,", "&amp;$A851&amp;"-"&amp;TEXT(($D851-$C851+1)+22,"00"),"")&amp;IF($C851&gt;=24,", "&amp;$A851&amp;"-"&amp;TEXT(($D851-$C851+1)+23,"00"),"")&amp;IF($C851&gt;=25,", "&amp;$A851&amp;"-"&amp;TEXT(($D851-$C851+1)+24,"00"),""))</f>
        <v/>
      </c>
      <c r="G851">
        <f>IF($A851="","",IF($E851=1,$F851,IF($F851="",$G850,IF($G850="",$F851,$G850&amp;", "&amp;$F851))))</f>
        <v/>
      </c>
      <c r="H851">
        <f>IF($A851="","",$A851&amp;" ("&amp;$C851&amp;")")</f>
        <v/>
      </c>
      <c r="I851">
        <f>IF($A851="","",IF($E851=1,$H851,$I850&amp;", "&amp;$H851))</f>
        <v/>
      </c>
      <c r="J851">
        <f>IF($A851="","",IF($E851=1,$B851,""))</f>
        <v/>
      </c>
      <c r="K851">
        <f>IF($A851="","",IF(COUNTIF($B$2:$B851,$B851)=COUNTIF($B$2:$B$1601,$B851),$B851,""))</f>
        <v/>
      </c>
    </row>
    <row r="852">
      <c r="A852">
        <f>IF('TMP Paste'!$E852="","",'TMP Paste'!$E852)</f>
        <v/>
      </c>
      <c r="B852">
        <f>IF($A852="","",COUNTIF('TMP Paste'!$B$2:$B852,"?*"))</f>
        <v/>
      </c>
      <c r="C852">
        <f>IF($A852="","",IFERROR('TMP Paste'!$M852*1,0))</f>
        <v/>
      </c>
      <c r="D852">
        <f>IF($A852="","",SUMIF($B$2:$B852,$B852,$C$2:$C852))</f>
        <v/>
      </c>
      <c r="E852">
        <f>IF($A852="",0,IF('TMP Paste'!$B852="",0,1))</f>
        <v/>
      </c>
      <c r="F852">
        <f>IF(OR($A852="",$C852&lt;1),"",$A852&amp;"-"&amp;TEXT(($D852-$C852+1),"00")&amp;IF($C852&gt;=2,", "&amp;$A852&amp;"-"&amp;TEXT(($D852-$C852+1)+1,"00"),"")&amp;IF($C852&gt;=3,", "&amp;$A852&amp;"-"&amp;TEXT(($D852-$C852+1)+2,"00"),"")&amp;IF($C852&gt;=4,", "&amp;$A852&amp;"-"&amp;TEXT(($D852-$C852+1)+3,"00"),"")&amp;IF($C852&gt;=5,", "&amp;$A852&amp;"-"&amp;TEXT(($D852-$C852+1)+4,"00"),"")&amp;IF($C852&gt;=6,", "&amp;$A852&amp;"-"&amp;TEXT(($D852-$C852+1)+5,"00"),"")&amp;IF($C852&gt;=7,", "&amp;$A852&amp;"-"&amp;TEXT(($D852-$C852+1)+6,"00"),"")&amp;IF($C852&gt;=8,", "&amp;$A852&amp;"-"&amp;TEXT(($D852-$C852+1)+7,"00"),"")&amp;IF($C852&gt;=9,", "&amp;$A852&amp;"-"&amp;TEXT(($D852-$C852+1)+8,"00"),"")&amp;IF($C852&gt;=10,", "&amp;$A852&amp;"-"&amp;TEXT(($D852-$C852+1)+9,"00"),"")&amp;IF($C852&gt;=11,", "&amp;$A852&amp;"-"&amp;TEXT(($D852-$C852+1)+10,"00"),"")&amp;IF($C852&gt;=12,", "&amp;$A852&amp;"-"&amp;TEXT(($D852-$C852+1)+11,"00"),"")&amp;IF($C852&gt;=13,", "&amp;$A852&amp;"-"&amp;TEXT(($D852-$C852+1)+12,"00"),"")&amp;IF($C852&gt;=14,", "&amp;$A852&amp;"-"&amp;TEXT(($D852-$C852+1)+13,"00"),"")&amp;IF($C852&gt;=15,", "&amp;$A852&amp;"-"&amp;TEXT(($D852-$C852+1)+14,"00"),"")&amp;IF($C852&gt;=16,", "&amp;$A852&amp;"-"&amp;TEXT(($D852-$C852+1)+15,"00"),"")&amp;IF($C852&gt;=17,", "&amp;$A852&amp;"-"&amp;TEXT(($D852-$C852+1)+16,"00"),"")&amp;IF($C852&gt;=18,", "&amp;$A852&amp;"-"&amp;TEXT(($D852-$C852+1)+17,"00"),"")&amp;IF($C852&gt;=19,", "&amp;$A852&amp;"-"&amp;TEXT(($D852-$C852+1)+18,"00"),"")&amp;IF($C852&gt;=20,", "&amp;$A852&amp;"-"&amp;TEXT(($D852-$C852+1)+19,"00"),"")&amp;IF($C852&gt;=21,", "&amp;$A852&amp;"-"&amp;TEXT(($D852-$C852+1)+20,"00"),"")&amp;IF($C852&gt;=22,", "&amp;$A852&amp;"-"&amp;TEXT(($D852-$C852+1)+21,"00"),"")&amp;IF($C852&gt;=23,", "&amp;$A852&amp;"-"&amp;TEXT(($D852-$C852+1)+22,"00"),"")&amp;IF($C852&gt;=24,", "&amp;$A852&amp;"-"&amp;TEXT(($D852-$C852+1)+23,"00"),"")&amp;IF($C852&gt;=25,", "&amp;$A852&amp;"-"&amp;TEXT(($D852-$C852+1)+24,"00"),""))</f>
        <v/>
      </c>
      <c r="G852">
        <f>IF($A852="","",IF($E852=1,$F852,IF($F852="",$G851,IF($G851="",$F852,$G851&amp;", "&amp;$F852))))</f>
        <v/>
      </c>
      <c r="H852">
        <f>IF($A852="","",$A852&amp;" ("&amp;$C852&amp;")")</f>
        <v/>
      </c>
      <c r="I852">
        <f>IF($A852="","",IF($E852=1,$H852,$I851&amp;", "&amp;$H852))</f>
        <v/>
      </c>
      <c r="J852">
        <f>IF($A852="","",IF($E852=1,$B852,""))</f>
        <v/>
      </c>
      <c r="K852">
        <f>IF($A852="","",IF(COUNTIF($B$2:$B852,$B852)=COUNTIF($B$2:$B$1601,$B852),$B852,""))</f>
        <v/>
      </c>
    </row>
    <row r="853">
      <c r="A853">
        <f>IF('TMP Paste'!$E853="","",'TMP Paste'!$E853)</f>
        <v/>
      </c>
      <c r="B853">
        <f>IF($A853="","",COUNTIF('TMP Paste'!$B$2:$B853,"?*"))</f>
        <v/>
      </c>
      <c r="C853">
        <f>IF($A853="","",IFERROR('TMP Paste'!$M853*1,0))</f>
        <v/>
      </c>
      <c r="D853">
        <f>IF($A853="","",SUMIF($B$2:$B853,$B853,$C$2:$C853))</f>
        <v/>
      </c>
      <c r="E853">
        <f>IF($A853="",0,IF('TMP Paste'!$B853="",0,1))</f>
        <v/>
      </c>
      <c r="F853">
        <f>IF(OR($A853="",$C853&lt;1),"",$A853&amp;"-"&amp;TEXT(($D853-$C853+1),"00")&amp;IF($C853&gt;=2,", "&amp;$A853&amp;"-"&amp;TEXT(($D853-$C853+1)+1,"00"),"")&amp;IF($C853&gt;=3,", "&amp;$A853&amp;"-"&amp;TEXT(($D853-$C853+1)+2,"00"),"")&amp;IF($C853&gt;=4,", "&amp;$A853&amp;"-"&amp;TEXT(($D853-$C853+1)+3,"00"),"")&amp;IF($C853&gt;=5,", "&amp;$A853&amp;"-"&amp;TEXT(($D853-$C853+1)+4,"00"),"")&amp;IF($C853&gt;=6,", "&amp;$A853&amp;"-"&amp;TEXT(($D853-$C853+1)+5,"00"),"")&amp;IF($C853&gt;=7,", "&amp;$A853&amp;"-"&amp;TEXT(($D853-$C853+1)+6,"00"),"")&amp;IF($C853&gt;=8,", "&amp;$A853&amp;"-"&amp;TEXT(($D853-$C853+1)+7,"00"),"")&amp;IF($C853&gt;=9,", "&amp;$A853&amp;"-"&amp;TEXT(($D853-$C853+1)+8,"00"),"")&amp;IF($C853&gt;=10,", "&amp;$A853&amp;"-"&amp;TEXT(($D853-$C853+1)+9,"00"),"")&amp;IF($C853&gt;=11,", "&amp;$A853&amp;"-"&amp;TEXT(($D853-$C853+1)+10,"00"),"")&amp;IF($C853&gt;=12,", "&amp;$A853&amp;"-"&amp;TEXT(($D853-$C853+1)+11,"00"),"")&amp;IF($C853&gt;=13,", "&amp;$A853&amp;"-"&amp;TEXT(($D853-$C853+1)+12,"00"),"")&amp;IF($C853&gt;=14,", "&amp;$A853&amp;"-"&amp;TEXT(($D853-$C853+1)+13,"00"),"")&amp;IF($C853&gt;=15,", "&amp;$A853&amp;"-"&amp;TEXT(($D853-$C853+1)+14,"00"),"")&amp;IF($C853&gt;=16,", "&amp;$A853&amp;"-"&amp;TEXT(($D853-$C853+1)+15,"00"),"")&amp;IF($C853&gt;=17,", "&amp;$A853&amp;"-"&amp;TEXT(($D853-$C853+1)+16,"00"),"")&amp;IF($C853&gt;=18,", "&amp;$A853&amp;"-"&amp;TEXT(($D853-$C853+1)+17,"00"),"")&amp;IF($C853&gt;=19,", "&amp;$A853&amp;"-"&amp;TEXT(($D853-$C853+1)+18,"00"),"")&amp;IF($C853&gt;=20,", "&amp;$A853&amp;"-"&amp;TEXT(($D853-$C853+1)+19,"00"),"")&amp;IF($C853&gt;=21,", "&amp;$A853&amp;"-"&amp;TEXT(($D853-$C853+1)+20,"00"),"")&amp;IF($C853&gt;=22,", "&amp;$A853&amp;"-"&amp;TEXT(($D853-$C853+1)+21,"00"),"")&amp;IF($C853&gt;=23,", "&amp;$A853&amp;"-"&amp;TEXT(($D853-$C853+1)+22,"00"),"")&amp;IF($C853&gt;=24,", "&amp;$A853&amp;"-"&amp;TEXT(($D853-$C853+1)+23,"00"),"")&amp;IF($C853&gt;=25,", "&amp;$A853&amp;"-"&amp;TEXT(($D853-$C853+1)+24,"00"),""))</f>
        <v/>
      </c>
      <c r="G853">
        <f>IF($A853="","",IF($E853=1,$F853,IF($F853="",$G852,IF($G852="",$F853,$G852&amp;", "&amp;$F853))))</f>
        <v/>
      </c>
      <c r="H853">
        <f>IF($A853="","",$A853&amp;" ("&amp;$C853&amp;")")</f>
        <v/>
      </c>
      <c r="I853">
        <f>IF($A853="","",IF($E853=1,$H853,$I852&amp;", "&amp;$H853))</f>
        <v/>
      </c>
      <c r="J853">
        <f>IF($A853="","",IF($E853=1,$B853,""))</f>
        <v/>
      </c>
      <c r="K853">
        <f>IF($A853="","",IF(COUNTIF($B$2:$B853,$B853)=COUNTIF($B$2:$B$1601,$B853),$B853,""))</f>
        <v/>
      </c>
    </row>
    <row r="854">
      <c r="A854">
        <f>IF('TMP Paste'!$E854="","",'TMP Paste'!$E854)</f>
        <v/>
      </c>
      <c r="B854">
        <f>IF($A854="","",COUNTIF('TMP Paste'!$B$2:$B854,"?*"))</f>
        <v/>
      </c>
      <c r="C854">
        <f>IF($A854="","",IFERROR('TMP Paste'!$M854*1,0))</f>
        <v/>
      </c>
      <c r="D854">
        <f>IF($A854="","",SUMIF($B$2:$B854,$B854,$C$2:$C854))</f>
        <v/>
      </c>
      <c r="E854">
        <f>IF($A854="",0,IF('TMP Paste'!$B854="",0,1))</f>
        <v/>
      </c>
      <c r="F854">
        <f>IF(OR($A854="",$C854&lt;1),"",$A854&amp;"-"&amp;TEXT(($D854-$C854+1),"00")&amp;IF($C854&gt;=2,", "&amp;$A854&amp;"-"&amp;TEXT(($D854-$C854+1)+1,"00"),"")&amp;IF($C854&gt;=3,", "&amp;$A854&amp;"-"&amp;TEXT(($D854-$C854+1)+2,"00"),"")&amp;IF($C854&gt;=4,", "&amp;$A854&amp;"-"&amp;TEXT(($D854-$C854+1)+3,"00"),"")&amp;IF($C854&gt;=5,", "&amp;$A854&amp;"-"&amp;TEXT(($D854-$C854+1)+4,"00"),"")&amp;IF($C854&gt;=6,", "&amp;$A854&amp;"-"&amp;TEXT(($D854-$C854+1)+5,"00"),"")&amp;IF($C854&gt;=7,", "&amp;$A854&amp;"-"&amp;TEXT(($D854-$C854+1)+6,"00"),"")&amp;IF($C854&gt;=8,", "&amp;$A854&amp;"-"&amp;TEXT(($D854-$C854+1)+7,"00"),"")&amp;IF($C854&gt;=9,", "&amp;$A854&amp;"-"&amp;TEXT(($D854-$C854+1)+8,"00"),"")&amp;IF($C854&gt;=10,", "&amp;$A854&amp;"-"&amp;TEXT(($D854-$C854+1)+9,"00"),"")&amp;IF($C854&gt;=11,", "&amp;$A854&amp;"-"&amp;TEXT(($D854-$C854+1)+10,"00"),"")&amp;IF($C854&gt;=12,", "&amp;$A854&amp;"-"&amp;TEXT(($D854-$C854+1)+11,"00"),"")&amp;IF($C854&gt;=13,", "&amp;$A854&amp;"-"&amp;TEXT(($D854-$C854+1)+12,"00"),"")&amp;IF($C854&gt;=14,", "&amp;$A854&amp;"-"&amp;TEXT(($D854-$C854+1)+13,"00"),"")&amp;IF($C854&gt;=15,", "&amp;$A854&amp;"-"&amp;TEXT(($D854-$C854+1)+14,"00"),"")&amp;IF($C854&gt;=16,", "&amp;$A854&amp;"-"&amp;TEXT(($D854-$C854+1)+15,"00"),"")&amp;IF($C854&gt;=17,", "&amp;$A854&amp;"-"&amp;TEXT(($D854-$C854+1)+16,"00"),"")&amp;IF($C854&gt;=18,", "&amp;$A854&amp;"-"&amp;TEXT(($D854-$C854+1)+17,"00"),"")&amp;IF($C854&gt;=19,", "&amp;$A854&amp;"-"&amp;TEXT(($D854-$C854+1)+18,"00"),"")&amp;IF($C854&gt;=20,", "&amp;$A854&amp;"-"&amp;TEXT(($D854-$C854+1)+19,"00"),"")&amp;IF($C854&gt;=21,", "&amp;$A854&amp;"-"&amp;TEXT(($D854-$C854+1)+20,"00"),"")&amp;IF($C854&gt;=22,", "&amp;$A854&amp;"-"&amp;TEXT(($D854-$C854+1)+21,"00"),"")&amp;IF($C854&gt;=23,", "&amp;$A854&amp;"-"&amp;TEXT(($D854-$C854+1)+22,"00"),"")&amp;IF($C854&gt;=24,", "&amp;$A854&amp;"-"&amp;TEXT(($D854-$C854+1)+23,"00"),"")&amp;IF($C854&gt;=25,", "&amp;$A854&amp;"-"&amp;TEXT(($D854-$C854+1)+24,"00"),""))</f>
        <v/>
      </c>
      <c r="G854">
        <f>IF($A854="","",IF($E854=1,$F854,IF($F854="",$G853,IF($G853="",$F854,$G853&amp;", "&amp;$F854))))</f>
        <v/>
      </c>
      <c r="H854">
        <f>IF($A854="","",$A854&amp;" ("&amp;$C854&amp;")")</f>
        <v/>
      </c>
      <c r="I854">
        <f>IF($A854="","",IF($E854=1,$H854,$I853&amp;", "&amp;$H854))</f>
        <v/>
      </c>
      <c r="J854">
        <f>IF($A854="","",IF($E854=1,$B854,""))</f>
        <v/>
      </c>
      <c r="K854">
        <f>IF($A854="","",IF(COUNTIF($B$2:$B854,$B854)=COUNTIF($B$2:$B$1601,$B854),$B854,""))</f>
        <v/>
      </c>
    </row>
    <row r="855">
      <c r="A855">
        <f>IF('TMP Paste'!$E855="","",'TMP Paste'!$E855)</f>
        <v/>
      </c>
      <c r="B855">
        <f>IF($A855="","",COUNTIF('TMP Paste'!$B$2:$B855,"?*"))</f>
        <v/>
      </c>
      <c r="C855">
        <f>IF($A855="","",IFERROR('TMP Paste'!$M855*1,0))</f>
        <v/>
      </c>
      <c r="D855">
        <f>IF($A855="","",SUMIF($B$2:$B855,$B855,$C$2:$C855))</f>
        <v/>
      </c>
      <c r="E855">
        <f>IF($A855="",0,IF('TMP Paste'!$B855="",0,1))</f>
        <v/>
      </c>
      <c r="F855">
        <f>IF(OR($A855="",$C855&lt;1),"",$A855&amp;"-"&amp;TEXT(($D855-$C855+1),"00")&amp;IF($C855&gt;=2,", "&amp;$A855&amp;"-"&amp;TEXT(($D855-$C855+1)+1,"00"),"")&amp;IF($C855&gt;=3,", "&amp;$A855&amp;"-"&amp;TEXT(($D855-$C855+1)+2,"00"),"")&amp;IF($C855&gt;=4,", "&amp;$A855&amp;"-"&amp;TEXT(($D855-$C855+1)+3,"00"),"")&amp;IF($C855&gt;=5,", "&amp;$A855&amp;"-"&amp;TEXT(($D855-$C855+1)+4,"00"),"")&amp;IF($C855&gt;=6,", "&amp;$A855&amp;"-"&amp;TEXT(($D855-$C855+1)+5,"00"),"")&amp;IF($C855&gt;=7,", "&amp;$A855&amp;"-"&amp;TEXT(($D855-$C855+1)+6,"00"),"")&amp;IF($C855&gt;=8,", "&amp;$A855&amp;"-"&amp;TEXT(($D855-$C855+1)+7,"00"),"")&amp;IF($C855&gt;=9,", "&amp;$A855&amp;"-"&amp;TEXT(($D855-$C855+1)+8,"00"),"")&amp;IF($C855&gt;=10,", "&amp;$A855&amp;"-"&amp;TEXT(($D855-$C855+1)+9,"00"),"")&amp;IF($C855&gt;=11,", "&amp;$A855&amp;"-"&amp;TEXT(($D855-$C855+1)+10,"00"),"")&amp;IF($C855&gt;=12,", "&amp;$A855&amp;"-"&amp;TEXT(($D855-$C855+1)+11,"00"),"")&amp;IF($C855&gt;=13,", "&amp;$A855&amp;"-"&amp;TEXT(($D855-$C855+1)+12,"00"),"")&amp;IF($C855&gt;=14,", "&amp;$A855&amp;"-"&amp;TEXT(($D855-$C855+1)+13,"00"),"")&amp;IF($C855&gt;=15,", "&amp;$A855&amp;"-"&amp;TEXT(($D855-$C855+1)+14,"00"),"")&amp;IF($C855&gt;=16,", "&amp;$A855&amp;"-"&amp;TEXT(($D855-$C855+1)+15,"00"),"")&amp;IF($C855&gt;=17,", "&amp;$A855&amp;"-"&amp;TEXT(($D855-$C855+1)+16,"00"),"")&amp;IF($C855&gt;=18,", "&amp;$A855&amp;"-"&amp;TEXT(($D855-$C855+1)+17,"00"),"")&amp;IF($C855&gt;=19,", "&amp;$A855&amp;"-"&amp;TEXT(($D855-$C855+1)+18,"00"),"")&amp;IF($C855&gt;=20,", "&amp;$A855&amp;"-"&amp;TEXT(($D855-$C855+1)+19,"00"),"")&amp;IF($C855&gt;=21,", "&amp;$A855&amp;"-"&amp;TEXT(($D855-$C855+1)+20,"00"),"")&amp;IF($C855&gt;=22,", "&amp;$A855&amp;"-"&amp;TEXT(($D855-$C855+1)+21,"00"),"")&amp;IF($C855&gt;=23,", "&amp;$A855&amp;"-"&amp;TEXT(($D855-$C855+1)+22,"00"),"")&amp;IF($C855&gt;=24,", "&amp;$A855&amp;"-"&amp;TEXT(($D855-$C855+1)+23,"00"),"")&amp;IF($C855&gt;=25,", "&amp;$A855&amp;"-"&amp;TEXT(($D855-$C855+1)+24,"00"),""))</f>
        <v/>
      </c>
      <c r="G855">
        <f>IF($A855="","",IF($E855=1,$F855,IF($F855="",$G854,IF($G854="",$F855,$G854&amp;", "&amp;$F855))))</f>
        <v/>
      </c>
      <c r="H855">
        <f>IF($A855="","",$A855&amp;" ("&amp;$C855&amp;")")</f>
        <v/>
      </c>
      <c r="I855">
        <f>IF($A855="","",IF($E855=1,$H855,$I854&amp;", "&amp;$H855))</f>
        <v/>
      </c>
      <c r="J855">
        <f>IF($A855="","",IF($E855=1,$B855,""))</f>
        <v/>
      </c>
      <c r="K855">
        <f>IF($A855="","",IF(COUNTIF($B$2:$B855,$B855)=COUNTIF($B$2:$B$1601,$B855),$B855,""))</f>
        <v/>
      </c>
    </row>
    <row r="856">
      <c r="A856">
        <f>IF('TMP Paste'!$E856="","",'TMP Paste'!$E856)</f>
        <v/>
      </c>
      <c r="B856">
        <f>IF($A856="","",COUNTIF('TMP Paste'!$B$2:$B856,"?*"))</f>
        <v/>
      </c>
      <c r="C856">
        <f>IF($A856="","",IFERROR('TMP Paste'!$M856*1,0))</f>
        <v/>
      </c>
      <c r="D856">
        <f>IF($A856="","",SUMIF($B$2:$B856,$B856,$C$2:$C856))</f>
        <v/>
      </c>
      <c r="E856">
        <f>IF($A856="",0,IF('TMP Paste'!$B856="",0,1))</f>
        <v/>
      </c>
      <c r="F856">
        <f>IF(OR($A856="",$C856&lt;1),"",$A856&amp;"-"&amp;TEXT(($D856-$C856+1),"00")&amp;IF($C856&gt;=2,", "&amp;$A856&amp;"-"&amp;TEXT(($D856-$C856+1)+1,"00"),"")&amp;IF($C856&gt;=3,", "&amp;$A856&amp;"-"&amp;TEXT(($D856-$C856+1)+2,"00"),"")&amp;IF($C856&gt;=4,", "&amp;$A856&amp;"-"&amp;TEXT(($D856-$C856+1)+3,"00"),"")&amp;IF($C856&gt;=5,", "&amp;$A856&amp;"-"&amp;TEXT(($D856-$C856+1)+4,"00"),"")&amp;IF($C856&gt;=6,", "&amp;$A856&amp;"-"&amp;TEXT(($D856-$C856+1)+5,"00"),"")&amp;IF($C856&gt;=7,", "&amp;$A856&amp;"-"&amp;TEXT(($D856-$C856+1)+6,"00"),"")&amp;IF($C856&gt;=8,", "&amp;$A856&amp;"-"&amp;TEXT(($D856-$C856+1)+7,"00"),"")&amp;IF($C856&gt;=9,", "&amp;$A856&amp;"-"&amp;TEXT(($D856-$C856+1)+8,"00"),"")&amp;IF($C856&gt;=10,", "&amp;$A856&amp;"-"&amp;TEXT(($D856-$C856+1)+9,"00"),"")&amp;IF($C856&gt;=11,", "&amp;$A856&amp;"-"&amp;TEXT(($D856-$C856+1)+10,"00"),"")&amp;IF($C856&gt;=12,", "&amp;$A856&amp;"-"&amp;TEXT(($D856-$C856+1)+11,"00"),"")&amp;IF($C856&gt;=13,", "&amp;$A856&amp;"-"&amp;TEXT(($D856-$C856+1)+12,"00"),"")&amp;IF($C856&gt;=14,", "&amp;$A856&amp;"-"&amp;TEXT(($D856-$C856+1)+13,"00"),"")&amp;IF($C856&gt;=15,", "&amp;$A856&amp;"-"&amp;TEXT(($D856-$C856+1)+14,"00"),"")&amp;IF($C856&gt;=16,", "&amp;$A856&amp;"-"&amp;TEXT(($D856-$C856+1)+15,"00"),"")&amp;IF($C856&gt;=17,", "&amp;$A856&amp;"-"&amp;TEXT(($D856-$C856+1)+16,"00"),"")&amp;IF($C856&gt;=18,", "&amp;$A856&amp;"-"&amp;TEXT(($D856-$C856+1)+17,"00"),"")&amp;IF($C856&gt;=19,", "&amp;$A856&amp;"-"&amp;TEXT(($D856-$C856+1)+18,"00"),"")&amp;IF($C856&gt;=20,", "&amp;$A856&amp;"-"&amp;TEXT(($D856-$C856+1)+19,"00"),"")&amp;IF($C856&gt;=21,", "&amp;$A856&amp;"-"&amp;TEXT(($D856-$C856+1)+20,"00"),"")&amp;IF($C856&gt;=22,", "&amp;$A856&amp;"-"&amp;TEXT(($D856-$C856+1)+21,"00"),"")&amp;IF($C856&gt;=23,", "&amp;$A856&amp;"-"&amp;TEXT(($D856-$C856+1)+22,"00"),"")&amp;IF($C856&gt;=24,", "&amp;$A856&amp;"-"&amp;TEXT(($D856-$C856+1)+23,"00"),"")&amp;IF($C856&gt;=25,", "&amp;$A856&amp;"-"&amp;TEXT(($D856-$C856+1)+24,"00"),""))</f>
        <v/>
      </c>
      <c r="G856">
        <f>IF($A856="","",IF($E856=1,$F856,IF($F856="",$G855,IF($G855="",$F856,$G855&amp;", "&amp;$F856))))</f>
        <v/>
      </c>
      <c r="H856">
        <f>IF($A856="","",$A856&amp;" ("&amp;$C856&amp;")")</f>
        <v/>
      </c>
      <c r="I856">
        <f>IF($A856="","",IF($E856=1,$H856,$I855&amp;", "&amp;$H856))</f>
        <v/>
      </c>
      <c r="J856">
        <f>IF($A856="","",IF($E856=1,$B856,""))</f>
        <v/>
      </c>
      <c r="K856">
        <f>IF($A856="","",IF(COUNTIF($B$2:$B856,$B856)=COUNTIF($B$2:$B$1601,$B856),$B856,""))</f>
        <v/>
      </c>
    </row>
    <row r="857">
      <c r="A857">
        <f>IF('TMP Paste'!$E857="","",'TMP Paste'!$E857)</f>
        <v/>
      </c>
      <c r="B857">
        <f>IF($A857="","",COUNTIF('TMP Paste'!$B$2:$B857,"?*"))</f>
        <v/>
      </c>
      <c r="C857">
        <f>IF($A857="","",IFERROR('TMP Paste'!$M857*1,0))</f>
        <v/>
      </c>
      <c r="D857">
        <f>IF($A857="","",SUMIF($B$2:$B857,$B857,$C$2:$C857))</f>
        <v/>
      </c>
      <c r="E857">
        <f>IF($A857="",0,IF('TMP Paste'!$B857="",0,1))</f>
        <v/>
      </c>
      <c r="F857">
        <f>IF(OR($A857="",$C857&lt;1),"",$A857&amp;"-"&amp;TEXT(($D857-$C857+1),"00")&amp;IF($C857&gt;=2,", "&amp;$A857&amp;"-"&amp;TEXT(($D857-$C857+1)+1,"00"),"")&amp;IF($C857&gt;=3,", "&amp;$A857&amp;"-"&amp;TEXT(($D857-$C857+1)+2,"00"),"")&amp;IF($C857&gt;=4,", "&amp;$A857&amp;"-"&amp;TEXT(($D857-$C857+1)+3,"00"),"")&amp;IF($C857&gt;=5,", "&amp;$A857&amp;"-"&amp;TEXT(($D857-$C857+1)+4,"00"),"")&amp;IF($C857&gt;=6,", "&amp;$A857&amp;"-"&amp;TEXT(($D857-$C857+1)+5,"00"),"")&amp;IF($C857&gt;=7,", "&amp;$A857&amp;"-"&amp;TEXT(($D857-$C857+1)+6,"00"),"")&amp;IF($C857&gt;=8,", "&amp;$A857&amp;"-"&amp;TEXT(($D857-$C857+1)+7,"00"),"")&amp;IF($C857&gt;=9,", "&amp;$A857&amp;"-"&amp;TEXT(($D857-$C857+1)+8,"00"),"")&amp;IF($C857&gt;=10,", "&amp;$A857&amp;"-"&amp;TEXT(($D857-$C857+1)+9,"00"),"")&amp;IF($C857&gt;=11,", "&amp;$A857&amp;"-"&amp;TEXT(($D857-$C857+1)+10,"00"),"")&amp;IF($C857&gt;=12,", "&amp;$A857&amp;"-"&amp;TEXT(($D857-$C857+1)+11,"00"),"")&amp;IF($C857&gt;=13,", "&amp;$A857&amp;"-"&amp;TEXT(($D857-$C857+1)+12,"00"),"")&amp;IF($C857&gt;=14,", "&amp;$A857&amp;"-"&amp;TEXT(($D857-$C857+1)+13,"00"),"")&amp;IF($C857&gt;=15,", "&amp;$A857&amp;"-"&amp;TEXT(($D857-$C857+1)+14,"00"),"")&amp;IF($C857&gt;=16,", "&amp;$A857&amp;"-"&amp;TEXT(($D857-$C857+1)+15,"00"),"")&amp;IF($C857&gt;=17,", "&amp;$A857&amp;"-"&amp;TEXT(($D857-$C857+1)+16,"00"),"")&amp;IF($C857&gt;=18,", "&amp;$A857&amp;"-"&amp;TEXT(($D857-$C857+1)+17,"00"),"")&amp;IF($C857&gt;=19,", "&amp;$A857&amp;"-"&amp;TEXT(($D857-$C857+1)+18,"00"),"")&amp;IF($C857&gt;=20,", "&amp;$A857&amp;"-"&amp;TEXT(($D857-$C857+1)+19,"00"),"")&amp;IF($C857&gt;=21,", "&amp;$A857&amp;"-"&amp;TEXT(($D857-$C857+1)+20,"00"),"")&amp;IF($C857&gt;=22,", "&amp;$A857&amp;"-"&amp;TEXT(($D857-$C857+1)+21,"00"),"")&amp;IF($C857&gt;=23,", "&amp;$A857&amp;"-"&amp;TEXT(($D857-$C857+1)+22,"00"),"")&amp;IF($C857&gt;=24,", "&amp;$A857&amp;"-"&amp;TEXT(($D857-$C857+1)+23,"00"),"")&amp;IF($C857&gt;=25,", "&amp;$A857&amp;"-"&amp;TEXT(($D857-$C857+1)+24,"00"),""))</f>
        <v/>
      </c>
      <c r="G857">
        <f>IF($A857="","",IF($E857=1,$F857,IF($F857="",$G856,IF($G856="",$F857,$G856&amp;", "&amp;$F857))))</f>
        <v/>
      </c>
      <c r="H857">
        <f>IF($A857="","",$A857&amp;" ("&amp;$C857&amp;")")</f>
        <v/>
      </c>
      <c r="I857">
        <f>IF($A857="","",IF($E857=1,$H857,$I856&amp;", "&amp;$H857))</f>
        <v/>
      </c>
      <c r="J857">
        <f>IF($A857="","",IF($E857=1,$B857,""))</f>
        <v/>
      </c>
      <c r="K857">
        <f>IF($A857="","",IF(COUNTIF($B$2:$B857,$B857)=COUNTIF($B$2:$B$1601,$B857),$B857,""))</f>
        <v/>
      </c>
    </row>
    <row r="858">
      <c r="A858">
        <f>IF('TMP Paste'!$E858="","",'TMP Paste'!$E858)</f>
        <v/>
      </c>
      <c r="B858">
        <f>IF($A858="","",COUNTIF('TMP Paste'!$B$2:$B858,"?*"))</f>
        <v/>
      </c>
      <c r="C858">
        <f>IF($A858="","",IFERROR('TMP Paste'!$M858*1,0))</f>
        <v/>
      </c>
      <c r="D858">
        <f>IF($A858="","",SUMIF($B$2:$B858,$B858,$C$2:$C858))</f>
        <v/>
      </c>
      <c r="E858">
        <f>IF($A858="",0,IF('TMP Paste'!$B858="",0,1))</f>
        <v/>
      </c>
      <c r="F858">
        <f>IF(OR($A858="",$C858&lt;1),"",$A858&amp;"-"&amp;TEXT(($D858-$C858+1),"00")&amp;IF($C858&gt;=2,", "&amp;$A858&amp;"-"&amp;TEXT(($D858-$C858+1)+1,"00"),"")&amp;IF($C858&gt;=3,", "&amp;$A858&amp;"-"&amp;TEXT(($D858-$C858+1)+2,"00"),"")&amp;IF($C858&gt;=4,", "&amp;$A858&amp;"-"&amp;TEXT(($D858-$C858+1)+3,"00"),"")&amp;IF($C858&gt;=5,", "&amp;$A858&amp;"-"&amp;TEXT(($D858-$C858+1)+4,"00"),"")&amp;IF($C858&gt;=6,", "&amp;$A858&amp;"-"&amp;TEXT(($D858-$C858+1)+5,"00"),"")&amp;IF($C858&gt;=7,", "&amp;$A858&amp;"-"&amp;TEXT(($D858-$C858+1)+6,"00"),"")&amp;IF($C858&gt;=8,", "&amp;$A858&amp;"-"&amp;TEXT(($D858-$C858+1)+7,"00"),"")&amp;IF($C858&gt;=9,", "&amp;$A858&amp;"-"&amp;TEXT(($D858-$C858+1)+8,"00"),"")&amp;IF($C858&gt;=10,", "&amp;$A858&amp;"-"&amp;TEXT(($D858-$C858+1)+9,"00"),"")&amp;IF($C858&gt;=11,", "&amp;$A858&amp;"-"&amp;TEXT(($D858-$C858+1)+10,"00"),"")&amp;IF($C858&gt;=12,", "&amp;$A858&amp;"-"&amp;TEXT(($D858-$C858+1)+11,"00"),"")&amp;IF($C858&gt;=13,", "&amp;$A858&amp;"-"&amp;TEXT(($D858-$C858+1)+12,"00"),"")&amp;IF($C858&gt;=14,", "&amp;$A858&amp;"-"&amp;TEXT(($D858-$C858+1)+13,"00"),"")&amp;IF($C858&gt;=15,", "&amp;$A858&amp;"-"&amp;TEXT(($D858-$C858+1)+14,"00"),"")&amp;IF($C858&gt;=16,", "&amp;$A858&amp;"-"&amp;TEXT(($D858-$C858+1)+15,"00"),"")&amp;IF($C858&gt;=17,", "&amp;$A858&amp;"-"&amp;TEXT(($D858-$C858+1)+16,"00"),"")&amp;IF($C858&gt;=18,", "&amp;$A858&amp;"-"&amp;TEXT(($D858-$C858+1)+17,"00"),"")&amp;IF($C858&gt;=19,", "&amp;$A858&amp;"-"&amp;TEXT(($D858-$C858+1)+18,"00"),"")&amp;IF($C858&gt;=20,", "&amp;$A858&amp;"-"&amp;TEXT(($D858-$C858+1)+19,"00"),"")&amp;IF($C858&gt;=21,", "&amp;$A858&amp;"-"&amp;TEXT(($D858-$C858+1)+20,"00"),"")&amp;IF($C858&gt;=22,", "&amp;$A858&amp;"-"&amp;TEXT(($D858-$C858+1)+21,"00"),"")&amp;IF($C858&gt;=23,", "&amp;$A858&amp;"-"&amp;TEXT(($D858-$C858+1)+22,"00"),"")&amp;IF($C858&gt;=24,", "&amp;$A858&amp;"-"&amp;TEXT(($D858-$C858+1)+23,"00"),"")&amp;IF($C858&gt;=25,", "&amp;$A858&amp;"-"&amp;TEXT(($D858-$C858+1)+24,"00"),""))</f>
        <v/>
      </c>
      <c r="G858">
        <f>IF($A858="","",IF($E858=1,$F858,IF($F858="",$G857,IF($G857="",$F858,$G857&amp;", "&amp;$F858))))</f>
        <v/>
      </c>
      <c r="H858">
        <f>IF($A858="","",$A858&amp;" ("&amp;$C858&amp;")")</f>
        <v/>
      </c>
      <c r="I858">
        <f>IF($A858="","",IF($E858=1,$H858,$I857&amp;", "&amp;$H858))</f>
        <v/>
      </c>
      <c r="J858">
        <f>IF($A858="","",IF($E858=1,$B858,""))</f>
        <v/>
      </c>
      <c r="K858">
        <f>IF($A858="","",IF(COUNTIF($B$2:$B858,$B858)=COUNTIF($B$2:$B$1601,$B858),$B858,""))</f>
        <v/>
      </c>
    </row>
    <row r="859">
      <c r="A859">
        <f>IF('TMP Paste'!$E859="","",'TMP Paste'!$E859)</f>
        <v/>
      </c>
      <c r="B859">
        <f>IF($A859="","",COUNTIF('TMP Paste'!$B$2:$B859,"?*"))</f>
        <v/>
      </c>
      <c r="C859">
        <f>IF($A859="","",IFERROR('TMP Paste'!$M859*1,0))</f>
        <v/>
      </c>
      <c r="D859">
        <f>IF($A859="","",SUMIF($B$2:$B859,$B859,$C$2:$C859))</f>
        <v/>
      </c>
      <c r="E859">
        <f>IF($A859="",0,IF('TMP Paste'!$B859="",0,1))</f>
        <v/>
      </c>
      <c r="F859">
        <f>IF(OR($A859="",$C859&lt;1),"",$A859&amp;"-"&amp;TEXT(($D859-$C859+1),"00")&amp;IF($C859&gt;=2,", "&amp;$A859&amp;"-"&amp;TEXT(($D859-$C859+1)+1,"00"),"")&amp;IF($C859&gt;=3,", "&amp;$A859&amp;"-"&amp;TEXT(($D859-$C859+1)+2,"00"),"")&amp;IF($C859&gt;=4,", "&amp;$A859&amp;"-"&amp;TEXT(($D859-$C859+1)+3,"00"),"")&amp;IF($C859&gt;=5,", "&amp;$A859&amp;"-"&amp;TEXT(($D859-$C859+1)+4,"00"),"")&amp;IF($C859&gt;=6,", "&amp;$A859&amp;"-"&amp;TEXT(($D859-$C859+1)+5,"00"),"")&amp;IF($C859&gt;=7,", "&amp;$A859&amp;"-"&amp;TEXT(($D859-$C859+1)+6,"00"),"")&amp;IF($C859&gt;=8,", "&amp;$A859&amp;"-"&amp;TEXT(($D859-$C859+1)+7,"00"),"")&amp;IF($C859&gt;=9,", "&amp;$A859&amp;"-"&amp;TEXT(($D859-$C859+1)+8,"00"),"")&amp;IF($C859&gt;=10,", "&amp;$A859&amp;"-"&amp;TEXT(($D859-$C859+1)+9,"00"),"")&amp;IF($C859&gt;=11,", "&amp;$A859&amp;"-"&amp;TEXT(($D859-$C859+1)+10,"00"),"")&amp;IF($C859&gt;=12,", "&amp;$A859&amp;"-"&amp;TEXT(($D859-$C859+1)+11,"00"),"")&amp;IF($C859&gt;=13,", "&amp;$A859&amp;"-"&amp;TEXT(($D859-$C859+1)+12,"00"),"")&amp;IF($C859&gt;=14,", "&amp;$A859&amp;"-"&amp;TEXT(($D859-$C859+1)+13,"00"),"")&amp;IF($C859&gt;=15,", "&amp;$A859&amp;"-"&amp;TEXT(($D859-$C859+1)+14,"00"),"")&amp;IF($C859&gt;=16,", "&amp;$A859&amp;"-"&amp;TEXT(($D859-$C859+1)+15,"00"),"")&amp;IF($C859&gt;=17,", "&amp;$A859&amp;"-"&amp;TEXT(($D859-$C859+1)+16,"00"),"")&amp;IF($C859&gt;=18,", "&amp;$A859&amp;"-"&amp;TEXT(($D859-$C859+1)+17,"00"),"")&amp;IF($C859&gt;=19,", "&amp;$A859&amp;"-"&amp;TEXT(($D859-$C859+1)+18,"00"),"")&amp;IF($C859&gt;=20,", "&amp;$A859&amp;"-"&amp;TEXT(($D859-$C859+1)+19,"00"),"")&amp;IF($C859&gt;=21,", "&amp;$A859&amp;"-"&amp;TEXT(($D859-$C859+1)+20,"00"),"")&amp;IF($C859&gt;=22,", "&amp;$A859&amp;"-"&amp;TEXT(($D859-$C859+1)+21,"00"),"")&amp;IF($C859&gt;=23,", "&amp;$A859&amp;"-"&amp;TEXT(($D859-$C859+1)+22,"00"),"")&amp;IF($C859&gt;=24,", "&amp;$A859&amp;"-"&amp;TEXT(($D859-$C859+1)+23,"00"),"")&amp;IF($C859&gt;=25,", "&amp;$A859&amp;"-"&amp;TEXT(($D859-$C859+1)+24,"00"),""))</f>
        <v/>
      </c>
      <c r="G859">
        <f>IF($A859="","",IF($E859=1,$F859,IF($F859="",$G858,IF($G858="",$F859,$G858&amp;", "&amp;$F859))))</f>
        <v/>
      </c>
      <c r="H859">
        <f>IF($A859="","",$A859&amp;" ("&amp;$C859&amp;")")</f>
        <v/>
      </c>
      <c r="I859">
        <f>IF($A859="","",IF($E859=1,$H859,$I858&amp;", "&amp;$H859))</f>
        <v/>
      </c>
      <c r="J859">
        <f>IF($A859="","",IF($E859=1,$B859,""))</f>
        <v/>
      </c>
      <c r="K859">
        <f>IF($A859="","",IF(COUNTIF($B$2:$B859,$B859)=COUNTIF($B$2:$B$1601,$B859),$B859,""))</f>
        <v/>
      </c>
    </row>
    <row r="860">
      <c r="A860">
        <f>IF('TMP Paste'!$E860="","",'TMP Paste'!$E860)</f>
        <v/>
      </c>
      <c r="B860">
        <f>IF($A860="","",COUNTIF('TMP Paste'!$B$2:$B860,"?*"))</f>
        <v/>
      </c>
      <c r="C860">
        <f>IF($A860="","",IFERROR('TMP Paste'!$M860*1,0))</f>
        <v/>
      </c>
      <c r="D860">
        <f>IF($A860="","",SUMIF($B$2:$B860,$B860,$C$2:$C860))</f>
        <v/>
      </c>
      <c r="E860">
        <f>IF($A860="",0,IF('TMP Paste'!$B860="",0,1))</f>
        <v/>
      </c>
      <c r="F860">
        <f>IF(OR($A860="",$C860&lt;1),"",$A860&amp;"-"&amp;TEXT(($D860-$C860+1),"00")&amp;IF($C860&gt;=2,", "&amp;$A860&amp;"-"&amp;TEXT(($D860-$C860+1)+1,"00"),"")&amp;IF($C860&gt;=3,", "&amp;$A860&amp;"-"&amp;TEXT(($D860-$C860+1)+2,"00"),"")&amp;IF($C860&gt;=4,", "&amp;$A860&amp;"-"&amp;TEXT(($D860-$C860+1)+3,"00"),"")&amp;IF($C860&gt;=5,", "&amp;$A860&amp;"-"&amp;TEXT(($D860-$C860+1)+4,"00"),"")&amp;IF($C860&gt;=6,", "&amp;$A860&amp;"-"&amp;TEXT(($D860-$C860+1)+5,"00"),"")&amp;IF($C860&gt;=7,", "&amp;$A860&amp;"-"&amp;TEXT(($D860-$C860+1)+6,"00"),"")&amp;IF($C860&gt;=8,", "&amp;$A860&amp;"-"&amp;TEXT(($D860-$C860+1)+7,"00"),"")&amp;IF($C860&gt;=9,", "&amp;$A860&amp;"-"&amp;TEXT(($D860-$C860+1)+8,"00"),"")&amp;IF($C860&gt;=10,", "&amp;$A860&amp;"-"&amp;TEXT(($D860-$C860+1)+9,"00"),"")&amp;IF($C860&gt;=11,", "&amp;$A860&amp;"-"&amp;TEXT(($D860-$C860+1)+10,"00"),"")&amp;IF($C860&gt;=12,", "&amp;$A860&amp;"-"&amp;TEXT(($D860-$C860+1)+11,"00"),"")&amp;IF($C860&gt;=13,", "&amp;$A860&amp;"-"&amp;TEXT(($D860-$C860+1)+12,"00"),"")&amp;IF($C860&gt;=14,", "&amp;$A860&amp;"-"&amp;TEXT(($D860-$C860+1)+13,"00"),"")&amp;IF($C860&gt;=15,", "&amp;$A860&amp;"-"&amp;TEXT(($D860-$C860+1)+14,"00"),"")&amp;IF($C860&gt;=16,", "&amp;$A860&amp;"-"&amp;TEXT(($D860-$C860+1)+15,"00"),"")&amp;IF($C860&gt;=17,", "&amp;$A860&amp;"-"&amp;TEXT(($D860-$C860+1)+16,"00"),"")&amp;IF($C860&gt;=18,", "&amp;$A860&amp;"-"&amp;TEXT(($D860-$C860+1)+17,"00"),"")&amp;IF($C860&gt;=19,", "&amp;$A860&amp;"-"&amp;TEXT(($D860-$C860+1)+18,"00"),"")&amp;IF($C860&gt;=20,", "&amp;$A860&amp;"-"&amp;TEXT(($D860-$C860+1)+19,"00"),"")&amp;IF($C860&gt;=21,", "&amp;$A860&amp;"-"&amp;TEXT(($D860-$C860+1)+20,"00"),"")&amp;IF($C860&gt;=22,", "&amp;$A860&amp;"-"&amp;TEXT(($D860-$C860+1)+21,"00"),"")&amp;IF($C860&gt;=23,", "&amp;$A860&amp;"-"&amp;TEXT(($D860-$C860+1)+22,"00"),"")&amp;IF($C860&gt;=24,", "&amp;$A860&amp;"-"&amp;TEXT(($D860-$C860+1)+23,"00"),"")&amp;IF($C860&gt;=25,", "&amp;$A860&amp;"-"&amp;TEXT(($D860-$C860+1)+24,"00"),""))</f>
        <v/>
      </c>
      <c r="G860">
        <f>IF($A860="","",IF($E860=1,$F860,IF($F860="",$G859,IF($G859="",$F860,$G859&amp;", "&amp;$F860))))</f>
        <v/>
      </c>
      <c r="H860">
        <f>IF($A860="","",$A860&amp;" ("&amp;$C860&amp;")")</f>
        <v/>
      </c>
      <c r="I860">
        <f>IF($A860="","",IF($E860=1,$H860,$I859&amp;", "&amp;$H860))</f>
        <v/>
      </c>
      <c r="J860">
        <f>IF($A860="","",IF($E860=1,$B860,""))</f>
        <v/>
      </c>
      <c r="K860">
        <f>IF($A860="","",IF(COUNTIF($B$2:$B860,$B860)=COUNTIF($B$2:$B$1601,$B860),$B860,""))</f>
        <v/>
      </c>
    </row>
    <row r="861">
      <c r="A861">
        <f>IF('TMP Paste'!$E861="","",'TMP Paste'!$E861)</f>
        <v/>
      </c>
      <c r="B861">
        <f>IF($A861="","",COUNTIF('TMP Paste'!$B$2:$B861,"?*"))</f>
        <v/>
      </c>
      <c r="C861">
        <f>IF($A861="","",IFERROR('TMP Paste'!$M861*1,0))</f>
        <v/>
      </c>
      <c r="D861">
        <f>IF($A861="","",SUMIF($B$2:$B861,$B861,$C$2:$C861))</f>
        <v/>
      </c>
      <c r="E861">
        <f>IF($A861="",0,IF('TMP Paste'!$B861="",0,1))</f>
        <v/>
      </c>
      <c r="F861">
        <f>IF(OR($A861="",$C861&lt;1),"",$A861&amp;"-"&amp;TEXT(($D861-$C861+1),"00")&amp;IF($C861&gt;=2,", "&amp;$A861&amp;"-"&amp;TEXT(($D861-$C861+1)+1,"00"),"")&amp;IF($C861&gt;=3,", "&amp;$A861&amp;"-"&amp;TEXT(($D861-$C861+1)+2,"00"),"")&amp;IF($C861&gt;=4,", "&amp;$A861&amp;"-"&amp;TEXT(($D861-$C861+1)+3,"00"),"")&amp;IF($C861&gt;=5,", "&amp;$A861&amp;"-"&amp;TEXT(($D861-$C861+1)+4,"00"),"")&amp;IF($C861&gt;=6,", "&amp;$A861&amp;"-"&amp;TEXT(($D861-$C861+1)+5,"00"),"")&amp;IF($C861&gt;=7,", "&amp;$A861&amp;"-"&amp;TEXT(($D861-$C861+1)+6,"00"),"")&amp;IF($C861&gt;=8,", "&amp;$A861&amp;"-"&amp;TEXT(($D861-$C861+1)+7,"00"),"")&amp;IF($C861&gt;=9,", "&amp;$A861&amp;"-"&amp;TEXT(($D861-$C861+1)+8,"00"),"")&amp;IF($C861&gt;=10,", "&amp;$A861&amp;"-"&amp;TEXT(($D861-$C861+1)+9,"00"),"")&amp;IF($C861&gt;=11,", "&amp;$A861&amp;"-"&amp;TEXT(($D861-$C861+1)+10,"00"),"")&amp;IF($C861&gt;=12,", "&amp;$A861&amp;"-"&amp;TEXT(($D861-$C861+1)+11,"00"),"")&amp;IF($C861&gt;=13,", "&amp;$A861&amp;"-"&amp;TEXT(($D861-$C861+1)+12,"00"),"")&amp;IF($C861&gt;=14,", "&amp;$A861&amp;"-"&amp;TEXT(($D861-$C861+1)+13,"00"),"")&amp;IF($C861&gt;=15,", "&amp;$A861&amp;"-"&amp;TEXT(($D861-$C861+1)+14,"00"),"")&amp;IF($C861&gt;=16,", "&amp;$A861&amp;"-"&amp;TEXT(($D861-$C861+1)+15,"00"),"")&amp;IF($C861&gt;=17,", "&amp;$A861&amp;"-"&amp;TEXT(($D861-$C861+1)+16,"00"),"")&amp;IF($C861&gt;=18,", "&amp;$A861&amp;"-"&amp;TEXT(($D861-$C861+1)+17,"00"),"")&amp;IF($C861&gt;=19,", "&amp;$A861&amp;"-"&amp;TEXT(($D861-$C861+1)+18,"00"),"")&amp;IF($C861&gt;=20,", "&amp;$A861&amp;"-"&amp;TEXT(($D861-$C861+1)+19,"00"),"")&amp;IF($C861&gt;=21,", "&amp;$A861&amp;"-"&amp;TEXT(($D861-$C861+1)+20,"00"),"")&amp;IF($C861&gt;=22,", "&amp;$A861&amp;"-"&amp;TEXT(($D861-$C861+1)+21,"00"),"")&amp;IF($C861&gt;=23,", "&amp;$A861&amp;"-"&amp;TEXT(($D861-$C861+1)+22,"00"),"")&amp;IF($C861&gt;=24,", "&amp;$A861&amp;"-"&amp;TEXT(($D861-$C861+1)+23,"00"),"")&amp;IF($C861&gt;=25,", "&amp;$A861&amp;"-"&amp;TEXT(($D861-$C861+1)+24,"00"),""))</f>
        <v/>
      </c>
      <c r="G861">
        <f>IF($A861="","",IF($E861=1,$F861,IF($F861="",$G860,IF($G860="",$F861,$G860&amp;", "&amp;$F861))))</f>
        <v/>
      </c>
      <c r="H861">
        <f>IF($A861="","",$A861&amp;" ("&amp;$C861&amp;")")</f>
        <v/>
      </c>
      <c r="I861">
        <f>IF($A861="","",IF($E861=1,$H861,$I860&amp;", "&amp;$H861))</f>
        <v/>
      </c>
      <c r="J861">
        <f>IF($A861="","",IF($E861=1,$B861,""))</f>
        <v/>
      </c>
      <c r="K861">
        <f>IF($A861="","",IF(COUNTIF($B$2:$B861,$B861)=COUNTIF($B$2:$B$1601,$B861),$B861,""))</f>
        <v/>
      </c>
    </row>
    <row r="862">
      <c r="A862">
        <f>IF('TMP Paste'!$E862="","",'TMP Paste'!$E862)</f>
        <v/>
      </c>
      <c r="B862">
        <f>IF($A862="","",COUNTIF('TMP Paste'!$B$2:$B862,"?*"))</f>
        <v/>
      </c>
      <c r="C862">
        <f>IF($A862="","",IFERROR('TMP Paste'!$M862*1,0))</f>
        <v/>
      </c>
      <c r="D862">
        <f>IF($A862="","",SUMIF($B$2:$B862,$B862,$C$2:$C862))</f>
        <v/>
      </c>
      <c r="E862">
        <f>IF($A862="",0,IF('TMP Paste'!$B862="",0,1))</f>
        <v/>
      </c>
      <c r="F862">
        <f>IF(OR($A862="",$C862&lt;1),"",$A862&amp;"-"&amp;TEXT(($D862-$C862+1),"00")&amp;IF($C862&gt;=2,", "&amp;$A862&amp;"-"&amp;TEXT(($D862-$C862+1)+1,"00"),"")&amp;IF($C862&gt;=3,", "&amp;$A862&amp;"-"&amp;TEXT(($D862-$C862+1)+2,"00"),"")&amp;IF($C862&gt;=4,", "&amp;$A862&amp;"-"&amp;TEXT(($D862-$C862+1)+3,"00"),"")&amp;IF($C862&gt;=5,", "&amp;$A862&amp;"-"&amp;TEXT(($D862-$C862+1)+4,"00"),"")&amp;IF($C862&gt;=6,", "&amp;$A862&amp;"-"&amp;TEXT(($D862-$C862+1)+5,"00"),"")&amp;IF($C862&gt;=7,", "&amp;$A862&amp;"-"&amp;TEXT(($D862-$C862+1)+6,"00"),"")&amp;IF($C862&gt;=8,", "&amp;$A862&amp;"-"&amp;TEXT(($D862-$C862+1)+7,"00"),"")&amp;IF($C862&gt;=9,", "&amp;$A862&amp;"-"&amp;TEXT(($D862-$C862+1)+8,"00"),"")&amp;IF($C862&gt;=10,", "&amp;$A862&amp;"-"&amp;TEXT(($D862-$C862+1)+9,"00"),"")&amp;IF($C862&gt;=11,", "&amp;$A862&amp;"-"&amp;TEXT(($D862-$C862+1)+10,"00"),"")&amp;IF($C862&gt;=12,", "&amp;$A862&amp;"-"&amp;TEXT(($D862-$C862+1)+11,"00"),"")&amp;IF($C862&gt;=13,", "&amp;$A862&amp;"-"&amp;TEXT(($D862-$C862+1)+12,"00"),"")&amp;IF($C862&gt;=14,", "&amp;$A862&amp;"-"&amp;TEXT(($D862-$C862+1)+13,"00"),"")&amp;IF($C862&gt;=15,", "&amp;$A862&amp;"-"&amp;TEXT(($D862-$C862+1)+14,"00"),"")&amp;IF($C862&gt;=16,", "&amp;$A862&amp;"-"&amp;TEXT(($D862-$C862+1)+15,"00"),"")&amp;IF($C862&gt;=17,", "&amp;$A862&amp;"-"&amp;TEXT(($D862-$C862+1)+16,"00"),"")&amp;IF($C862&gt;=18,", "&amp;$A862&amp;"-"&amp;TEXT(($D862-$C862+1)+17,"00"),"")&amp;IF($C862&gt;=19,", "&amp;$A862&amp;"-"&amp;TEXT(($D862-$C862+1)+18,"00"),"")&amp;IF($C862&gt;=20,", "&amp;$A862&amp;"-"&amp;TEXT(($D862-$C862+1)+19,"00"),"")&amp;IF($C862&gt;=21,", "&amp;$A862&amp;"-"&amp;TEXT(($D862-$C862+1)+20,"00"),"")&amp;IF($C862&gt;=22,", "&amp;$A862&amp;"-"&amp;TEXT(($D862-$C862+1)+21,"00"),"")&amp;IF($C862&gt;=23,", "&amp;$A862&amp;"-"&amp;TEXT(($D862-$C862+1)+22,"00"),"")&amp;IF($C862&gt;=24,", "&amp;$A862&amp;"-"&amp;TEXT(($D862-$C862+1)+23,"00"),"")&amp;IF($C862&gt;=25,", "&amp;$A862&amp;"-"&amp;TEXT(($D862-$C862+1)+24,"00"),""))</f>
        <v/>
      </c>
      <c r="G862">
        <f>IF($A862="","",IF($E862=1,$F862,IF($F862="",$G861,IF($G861="",$F862,$G861&amp;", "&amp;$F862))))</f>
        <v/>
      </c>
      <c r="H862">
        <f>IF($A862="","",$A862&amp;" ("&amp;$C862&amp;")")</f>
        <v/>
      </c>
      <c r="I862">
        <f>IF($A862="","",IF($E862=1,$H862,$I861&amp;", "&amp;$H862))</f>
        <v/>
      </c>
      <c r="J862">
        <f>IF($A862="","",IF($E862=1,$B862,""))</f>
        <v/>
      </c>
      <c r="K862">
        <f>IF($A862="","",IF(COUNTIF($B$2:$B862,$B862)=COUNTIF($B$2:$B$1601,$B862),$B862,""))</f>
        <v/>
      </c>
    </row>
    <row r="863">
      <c r="A863">
        <f>IF('TMP Paste'!$E863="","",'TMP Paste'!$E863)</f>
        <v/>
      </c>
      <c r="B863">
        <f>IF($A863="","",COUNTIF('TMP Paste'!$B$2:$B863,"?*"))</f>
        <v/>
      </c>
      <c r="C863">
        <f>IF($A863="","",IFERROR('TMP Paste'!$M863*1,0))</f>
        <v/>
      </c>
      <c r="D863">
        <f>IF($A863="","",SUMIF($B$2:$B863,$B863,$C$2:$C863))</f>
        <v/>
      </c>
      <c r="E863">
        <f>IF($A863="",0,IF('TMP Paste'!$B863="",0,1))</f>
        <v/>
      </c>
      <c r="F863">
        <f>IF(OR($A863="",$C863&lt;1),"",$A863&amp;"-"&amp;TEXT(($D863-$C863+1),"00")&amp;IF($C863&gt;=2,", "&amp;$A863&amp;"-"&amp;TEXT(($D863-$C863+1)+1,"00"),"")&amp;IF($C863&gt;=3,", "&amp;$A863&amp;"-"&amp;TEXT(($D863-$C863+1)+2,"00"),"")&amp;IF($C863&gt;=4,", "&amp;$A863&amp;"-"&amp;TEXT(($D863-$C863+1)+3,"00"),"")&amp;IF($C863&gt;=5,", "&amp;$A863&amp;"-"&amp;TEXT(($D863-$C863+1)+4,"00"),"")&amp;IF($C863&gt;=6,", "&amp;$A863&amp;"-"&amp;TEXT(($D863-$C863+1)+5,"00"),"")&amp;IF($C863&gt;=7,", "&amp;$A863&amp;"-"&amp;TEXT(($D863-$C863+1)+6,"00"),"")&amp;IF($C863&gt;=8,", "&amp;$A863&amp;"-"&amp;TEXT(($D863-$C863+1)+7,"00"),"")&amp;IF($C863&gt;=9,", "&amp;$A863&amp;"-"&amp;TEXT(($D863-$C863+1)+8,"00"),"")&amp;IF($C863&gt;=10,", "&amp;$A863&amp;"-"&amp;TEXT(($D863-$C863+1)+9,"00"),"")&amp;IF($C863&gt;=11,", "&amp;$A863&amp;"-"&amp;TEXT(($D863-$C863+1)+10,"00"),"")&amp;IF($C863&gt;=12,", "&amp;$A863&amp;"-"&amp;TEXT(($D863-$C863+1)+11,"00"),"")&amp;IF($C863&gt;=13,", "&amp;$A863&amp;"-"&amp;TEXT(($D863-$C863+1)+12,"00"),"")&amp;IF($C863&gt;=14,", "&amp;$A863&amp;"-"&amp;TEXT(($D863-$C863+1)+13,"00"),"")&amp;IF($C863&gt;=15,", "&amp;$A863&amp;"-"&amp;TEXT(($D863-$C863+1)+14,"00"),"")&amp;IF($C863&gt;=16,", "&amp;$A863&amp;"-"&amp;TEXT(($D863-$C863+1)+15,"00"),"")&amp;IF($C863&gt;=17,", "&amp;$A863&amp;"-"&amp;TEXT(($D863-$C863+1)+16,"00"),"")&amp;IF($C863&gt;=18,", "&amp;$A863&amp;"-"&amp;TEXT(($D863-$C863+1)+17,"00"),"")&amp;IF($C863&gt;=19,", "&amp;$A863&amp;"-"&amp;TEXT(($D863-$C863+1)+18,"00"),"")&amp;IF($C863&gt;=20,", "&amp;$A863&amp;"-"&amp;TEXT(($D863-$C863+1)+19,"00"),"")&amp;IF($C863&gt;=21,", "&amp;$A863&amp;"-"&amp;TEXT(($D863-$C863+1)+20,"00"),"")&amp;IF($C863&gt;=22,", "&amp;$A863&amp;"-"&amp;TEXT(($D863-$C863+1)+21,"00"),"")&amp;IF($C863&gt;=23,", "&amp;$A863&amp;"-"&amp;TEXT(($D863-$C863+1)+22,"00"),"")&amp;IF($C863&gt;=24,", "&amp;$A863&amp;"-"&amp;TEXT(($D863-$C863+1)+23,"00"),"")&amp;IF($C863&gt;=25,", "&amp;$A863&amp;"-"&amp;TEXT(($D863-$C863+1)+24,"00"),""))</f>
        <v/>
      </c>
      <c r="G863">
        <f>IF($A863="","",IF($E863=1,$F863,IF($F863="",$G862,IF($G862="",$F863,$G862&amp;", "&amp;$F863))))</f>
        <v/>
      </c>
      <c r="H863">
        <f>IF($A863="","",$A863&amp;" ("&amp;$C863&amp;")")</f>
        <v/>
      </c>
      <c r="I863">
        <f>IF($A863="","",IF($E863=1,$H863,$I862&amp;", "&amp;$H863))</f>
        <v/>
      </c>
      <c r="J863">
        <f>IF($A863="","",IF($E863=1,$B863,""))</f>
        <v/>
      </c>
      <c r="K863">
        <f>IF($A863="","",IF(COUNTIF($B$2:$B863,$B863)=COUNTIF($B$2:$B$1601,$B863),$B863,""))</f>
        <v/>
      </c>
    </row>
    <row r="864">
      <c r="A864">
        <f>IF('TMP Paste'!$E864="","",'TMP Paste'!$E864)</f>
        <v/>
      </c>
      <c r="B864">
        <f>IF($A864="","",COUNTIF('TMP Paste'!$B$2:$B864,"?*"))</f>
        <v/>
      </c>
      <c r="C864">
        <f>IF($A864="","",IFERROR('TMP Paste'!$M864*1,0))</f>
        <v/>
      </c>
      <c r="D864">
        <f>IF($A864="","",SUMIF($B$2:$B864,$B864,$C$2:$C864))</f>
        <v/>
      </c>
      <c r="E864">
        <f>IF($A864="",0,IF('TMP Paste'!$B864="",0,1))</f>
        <v/>
      </c>
      <c r="F864">
        <f>IF(OR($A864="",$C864&lt;1),"",$A864&amp;"-"&amp;TEXT(($D864-$C864+1),"00")&amp;IF($C864&gt;=2,", "&amp;$A864&amp;"-"&amp;TEXT(($D864-$C864+1)+1,"00"),"")&amp;IF($C864&gt;=3,", "&amp;$A864&amp;"-"&amp;TEXT(($D864-$C864+1)+2,"00"),"")&amp;IF($C864&gt;=4,", "&amp;$A864&amp;"-"&amp;TEXT(($D864-$C864+1)+3,"00"),"")&amp;IF($C864&gt;=5,", "&amp;$A864&amp;"-"&amp;TEXT(($D864-$C864+1)+4,"00"),"")&amp;IF($C864&gt;=6,", "&amp;$A864&amp;"-"&amp;TEXT(($D864-$C864+1)+5,"00"),"")&amp;IF($C864&gt;=7,", "&amp;$A864&amp;"-"&amp;TEXT(($D864-$C864+1)+6,"00"),"")&amp;IF($C864&gt;=8,", "&amp;$A864&amp;"-"&amp;TEXT(($D864-$C864+1)+7,"00"),"")&amp;IF($C864&gt;=9,", "&amp;$A864&amp;"-"&amp;TEXT(($D864-$C864+1)+8,"00"),"")&amp;IF($C864&gt;=10,", "&amp;$A864&amp;"-"&amp;TEXT(($D864-$C864+1)+9,"00"),"")&amp;IF($C864&gt;=11,", "&amp;$A864&amp;"-"&amp;TEXT(($D864-$C864+1)+10,"00"),"")&amp;IF($C864&gt;=12,", "&amp;$A864&amp;"-"&amp;TEXT(($D864-$C864+1)+11,"00"),"")&amp;IF($C864&gt;=13,", "&amp;$A864&amp;"-"&amp;TEXT(($D864-$C864+1)+12,"00"),"")&amp;IF($C864&gt;=14,", "&amp;$A864&amp;"-"&amp;TEXT(($D864-$C864+1)+13,"00"),"")&amp;IF($C864&gt;=15,", "&amp;$A864&amp;"-"&amp;TEXT(($D864-$C864+1)+14,"00"),"")&amp;IF($C864&gt;=16,", "&amp;$A864&amp;"-"&amp;TEXT(($D864-$C864+1)+15,"00"),"")&amp;IF($C864&gt;=17,", "&amp;$A864&amp;"-"&amp;TEXT(($D864-$C864+1)+16,"00"),"")&amp;IF($C864&gt;=18,", "&amp;$A864&amp;"-"&amp;TEXT(($D864-$C864+1)+17,"00"),"")&amp;IF($C864&gt;=19,", "&amp;$A864&amp;"-"&amp;TEXT(($D864-$C864+1)+18,"00"),"")&amp;IF($C864&gt;=20,", "&amp;$A864&amp;"-"&amp;TEXT(($D864-$C864+1)+19,"00"),"")&amp;IF($C864&gt;=21,", "&amp;$A864&amp;"-"&amp;TEXT(($D864-$C864+1)+20,"00"),"")&amp;IF($C864&gt;=22,", "&amp;$A864&amp;"-"&amp;TEXT(($D864-$C864+1)+21,"00"),"")&amp;IF($C864&gt;=23,", "&amp;$A864&amp;"-"&amp;TEXT(($D864-$C864+1)+22,"00"),"")&amp;IF($C864&gt;=24,", "&amp;$A864&amp;"-"&amp;TEXT(($D864-$C864+1)+23,"00"),"")&amp;IF($C864&gt;=25,", "&amp;$A864&amp;"-"&amp;TEXT(($D864-$C864+1)+24,"00"),""))</f>
        <v/>
      </c>
      <c r="G864">
        <f>IF($A864="","",IF($E864=1,$F864,IF($F864="",$G863,IF($G863="",$F864,$G863&amp;", "&amp;$F864))))</f>
        <v/>
      </c>
      <c r="H864">
        <f>IF($A864="","",$A864&amp;" ("&amp;$C864&amp;")")</f>
        <v/>
      </c>
      <c r="I864">
        <f>IF($A864="","",IF($E864=1,$H864,$I863&amp;", "&amp;$H864))</f>
        <v/>
      </c>
      <c r="J864">
        <f>IF($A864="","",IF($E864=1,$B864,""))</f>
        <v/>
      </c>
      <c r="K864">
        <f>IF($A864="","",IF(COUNTIF($B$2:$B864,$B864)=COUNTIF($B$2:$B$1601,$B864),$B864,""))</f>
        <v/>
      </c>
    </row>
    <row r="865">
      <c r="A865">
        <f>IF('TMP Paste'!$E865="","",'TMP Paste'!$E865)</f>
        <v/>
      </c>
      <c r="B865">
        <f>IF($A865="","",COUNTIF('TMP Paste'!$B$2:$B865,"?*"))</f>
        <v/>
      </c>
      <c r="C865">
        <f>IF($A865="","",IFERROR('TMP Paste'!$M865*1,0))</f>
        <v/>
      </c>
      <c r="D865">
        <f>IF($A865="","",SUMIF($B$2:$B865,$B865,$C$2:$C865))</f>
        <v/>
      </c>
      <c r="E865">
        <f>IF($A865="",0,IF('TMP Paste'!$B865="",0,1))</f>
        <v/>
      </c>
      <c r="F865">
        <f>IF(OR($A865="",$C865&lt;1),"",$A865&amp;"-"&amp;TEXT(($D865-$C865+1),"00")&amp;IF($C865&gt;=2,", "&amp;$A865&amp;"-"&amp;TEXT(($D865-$C865+1)+1,"00"),"")&amp;IF($C865&gt;=3,", "&amp;$A865&amp;"-"&amp;TEXT(($D865-$C865+1)+2,"00"),"")&amp;IF($C865&gt;=4,", "&amp;$A865&amp;"-"&amp;TEXT(($D865-$C865+1)+3,"00"),"")&amp;IF($C865&gt;=5,", "&amp;$A865&amp;"-"&amp;TEXT(($D865-$C865+1)+4,"00"),"")&amp;IF($C865&gt;=6,", "&amp;$A865&amp;"-"&amp;TEXT(($D865-$C865+1)+5,"00"),"")&amp;IF($C865&gt;=7,", "&amp;$A865&amp;"-"&amp;TEXT(($D865-$C865+1)+6,"00"),"")&amp;IF($C865&gt;=8,", "&amp;$A865&amp;"-"&amp;TEXT(($D865-$C865+1)+7,"00"),"")&amp;IF($C865&gt;=9,", "&amp;$A865&amp;"-"&amp;TEXT(($D865-$C865+1)+8,"00"),"")&amp;IF($C865&gt;=10,", "&amp;$A865&amp;"-"&amp;TEXT(($D865-$C865+1)+9,"00"),"")&amp;IF($C865&gt;=11,", "&amp;$A865&amp;"-"&amp;TEXT(($D865-$C865+1)+10,"00"),"")&amp;IF($C865&gt;=12,", "&amp;$A865&amp;"-"&amp;TEXT(($D865-$C865+1)+11,"00"),"")&amp;IF($C865&gt;=13,", "&amp;$A865&amp;"-"&amp;TEXT(($D865-$C865+1)+12,"00"),"")&amp;IF($C865&gt;=14,", "&amp;$A865&amp;"-"&amp;TEXT(($D865-$C865+1)+13,"00"),"")&amp;IF($C865&gt;=15,", "&amp;$A865&amp;"-"&amp;TEXT(($D865-$C865+1)+14,"00"),"")&amp;IF($C865&gt;=16,", "&amp;$A865&amp;"-"&amp;TEXT(($D865-$C865+1)+15,"00"),"")&amp;IF($C865&gt;=17,", "&amp;$A865&amp;"-"&amp;TEXT(($D865-$C865+1)+16,"00"),"")&amp;IF($C865&gt;=18,", "&amp;$A865&amp;"-"&amp;TEXT(($D865-$C865+1)+17,"00"),"")&amp;IF($C865&gt;=19,", "&amp;$A865&amp;"-"&amp;TEXT(($D865-$C865+1)+18,"00"),"")&amp;IF($C865&gt;=20,", "&amp;$A865&amp;"-"&amp;TEXT(($D865-$C865+1)+19,"00"),"")&amp;IF($C865&gt;=21,", "&amp;$A865&amp;"-"&amp;TEXT(($D865-$C865+1)+20,"00"),"")&amp;IF($C865&gt;=22,", "&amp;$A865&amp;"-"&amp;TEXT(($D865-$C865+1)+21,"00"),"")&amp;IF($C865&gt;=23,", "&amp;$A865&amp;"-"&amp;TEXT(($D865-$C865+1)+22,"00"),"")&amp;IF($C865&gt;=24,", "&amp;$A865&amp;"-"&amp;TEXT(($D865-$C865+1)+23,"00"),"")&amp;IF($C865&gt;=25,", "&amp;$A865&amp;"-"&amp;TEXT(($D865-$C865+1)+24,"00"),""))</f>
        <v/>
      </c>
      <c r="G865">
        <f>IF($A865="","",IF($E865=1,$F865,IF($F865="",$G864,IF($G864="",$F865,$G864&amp;", "&amp;$F865))))</f>
        <v/>
      </c>
      <c r="H865">
        <f>IF($A865="","",$A865&amp;" ("&amp;$C865&amp;")")</f>
        <v/>
      </c>
      <c r="I865">
        <f>IF($A865="","",IF($E865=1,$H865,$I864&amp;", "&amp;$H865))</f>
        <v/>
      </c>
      <c r="J865">
        <f>IF($A865="","",IF($E865=1,$B865,""))</f>
        <v/>
      </c>
      <c r="K865">
        <f>IF($A865="","",IF(COUNTIF($B$2:$B865,$B865)=COUNTIF($B$2:$B$1601,$B865),$B865,""))</f>
        <v/>
      </c>
    </row>
    <row r="866">
      <c r="A866">
        <f>IF('TMP Paste'!$E866="","",'TMP Paste'!$E866)</f>
        <v/>
      </c>
      <c r="B866">
        <f>IF($A866="","",COUNTIF('TMP Paste'!$B$2:$B866,"?*"))</f>
        <v/>
      </c>
      <c r="C866">
        <f>IF($A866="","",IFERROR('TMP Paste'!$M866*1,0))</f>
        <v/>
      </c>
      <c r="D866">
        <f>IF($A866="","",SUMIF($B$2:$B866,$B866,$C$2:$C866))</f>
        <v/>
      </c>
      <c r="E866">
        <f>IF($A866="",0,IF('TMP Paste'!$B866="",0,1))</f>
        <v/>
      </c>
      <c r="F866">
        <f>IF(OR($A866="",$C866&lt;1),"",$A866&amp;"-"&amp;TEXT(($D866-$C866+1),"00")&amp;IF($C866&gt;=2,", "&amp;$A866&amp;"-"&amp;TEXT(($D866-$C866+1)+1,"00"),"")&amp;IF($C866&gt;=3,", "&amp;$A866&amp;"-"&amp;TEXT(($D866-$C866+1)+2,"00"),"")&amp;IF($C866&gt;=4,", "&amp;$A866&amp;"-"&amp;TEXT(($D866-$C866+1)+3,"00"),"")&amp;IF($C866&gt;=5,", "&amp;$A866&amp;"-"&amp;TEXT(($D866-$C866+1)+4,"00"),"")&amp;IF($C866&gt;=6,", "&amp;$A866&amp;"-"&amp;TEXT(($D866-$C866+1)+5,"00"),"")&amp;IF($C866&gt;=7,", "&amp;$A866&amp;"-"&amp;TEXT(($D866-$C866+1)+6,"00"),"")&amp;IF($C866&gt;=8,", "&amp;$A866&amp;"-"&amp;TEXT(($D866-$C866+1)+7,"00"),"")&amp;IF($C866&gt;=9,", "&amp;$A866&amp;"-"&amp;TEXT(($D866-$C866+1)+8,"00"),"")&amp;IF($C866&gt;=10,", "&amp;$A866&amp;"-"&amp;TEXT(($D866-$C866+1)+9,"00"),"")&amp;IF($C866&gt;=11,", "&amp;$A866&amp;"-"&amp;TEXT(($D866-$C866+1)+10,"00"),"")&amp;IF($C866&gt;=12,", "&amp;$A866&amp;"-"&amp;TEXT(($D866-$C866+1)+11,"00"),"")&amp;IF($C866&gt;=13,", "&amp;$A866&amp;"-"&amp;TEXT(($D866-$C866+1)+12,"00"),"")&amp;IF($C866&gt;=14,", "&amp;$A866&amp;"-"&amp;TEXT(($D866-$C866+1)+13,"00"),"")&amp;IF($C866&gt;=15,", "&amp;$A866&amp;"-"&amp;TEXT(($D866-$C866+1)+14,"00"),"")&amp;IF($C866&gt;=16,", "&amp;$A866&amp;"-"&amp;TEXT(($D866-$C866+1)+15,"00"),"")&amp;IF($C866&gt;=17,", "&amp;$A866&amp;"-"&amp;TEXT(($D866-$C866+1)+16,"00"),"")&amp;IF($C866&gt;=18,", "&amp;$A866&amp;"-"&amp;TEXT(($D866-$C866+1)+17,"00"),"")&amp;IF($C866&gt;=19,", "&amp;$A866&amp;"-"&amp;TEXT(($D866-$C866+1)+18,"00"),"")&amp;IF($C866&gt;=20,", "&amp;$A866&amp;"-"&amp;TEXT(($D866-$C866+1)+19,"00"),"")&amp;IF($C866&gt;=21,", "&amp;$A866&amp;"-"&amp;TEXT(($D866-$C866+1)+20,"00"),"")&amp;IF($C866&gt;=22,", "&amp;$A866&amp;"-"&amp;TEXT(($D866-$C866+1)+21,"00"),"")&amp;IF($C866&gt;=23,", "&amp;$A866&amp;"-"&amp;TEXT(($D866-$C866+1)+22,"00"),"")&amp;IF($C866&gt;=24,", "&amp;$A866&amp;"-"&amp;TEXT(($D866-$C866+1)+23,"00"),"")&amp;IF($C866&gt;=25,", "&amp;$A866&amp;"-"&amp;TEXT(($D866-$C866+1)+24,"00"),""))</f>
        <v/>
      </c>
      <c r="G866">
        <f>IF($A866="","",IF($E866=1,$F866,IF($F866="",$G865,IF($G865="",$F866,$G865&amp;", "&amp;$F866))))</f>
        <v/>
      </c>
      <c r="H866">
        <f>IF($A866="","",$A866&amp;" ("&amp;$C866&amp;")")</f>
        <v/>
      </c>
      <c r="I866">
        <f>IF($A866="","",IF($E866=1,$H866,$I865&amp;", "&amp;$H866))</f>
        <v/>
      </c>
      <c r="J866">
        <f>IF($A866="","",IF($E866=1,$B866,""))</f>
        <v/>
      </c>
      <c r="K866">
        <f>IF($A866="","",IF(COUNTIF($B$2:$B866,$B866)=COUNTIF($B$2:$B$1601,$B866),$B866,""))</f>
        <v/>
      </c>
    </row>
    <row r="867">
      <c r="A867">
        <f>IF('TMP Paste'!$E867="","",'TMP Paste'!$E867)</f>
        <v/>
      </c>
      <c r="B867">
        <f>IF($A867="","",COUNTIF('TMP Paste'!$B$2:$B867,"?*"))</f>
        <v/>
      </c>
      <c r="C867">
        <f>IF($A867="","",IFERROR('TMP Paste'!$M867*1,0))</f>
        <v/>
      </c>
      <c r="D867">
        <f>IF($A867="","",SUMIF($B$2:$B867,$B867,$C$2:$C867))</f>
        <v/>
      </c>
      <c r="E867">
        <f>IF($A867="",0,IF('TMP Paste'!$B867="",0,1))</f>
        <v/>
      </c>
      <c r="F867">
        <f>IF(OR($A867="",$C867&lt;1),"",$A867&amp;"-"&amp;TEXT(($D867-$C867+1),"00")&amp;IF($C867&gt;=2,", "&amp;$A867&amp;"-"&amp;TEXT(($D867-$C867+1)+1,"00"),"")&amp;IF($C867&gt;=3,", "&amp;$A867&amp;"-"&amp;TEXT(($D867-$C867+1)+2,"00"),"")&amp;IF($C867&gt;=4,", "&amp;$A867&amp;"-"&amp;TEXT(($D867-$C867+1)+3,"00"),"")&amp;IF($C867&gt;=5,", "&amp;$A867&amp;"-"&amp;TEXT(($D867-$C867+1)+4,"00"),"")&amp;IF($C867&gt;=6,", "&amp;$A867&amp;"-"&amp;TEXT(($D867-$C867+1)+5,"00"),"")&amp;IF($C867&gt;=7,", "&amp;$A867&amp;"-"&amp;TEXT(($D867-$C867+1)+6,"00"),"")&amp;IF($C867&gt;=8,", "&amp;$A867&amp;"-"&amp;TEXT(($D867-$C867+1)+7,"00"),"")&amp;IF($C867&gt;=9,", "&amp;$A867&amp;"-"&amp;TEXT(($D867-$C867+1)+8,"00"),"")&amp;IF($C867&gt;=10,", "&amp;$A867&amp;"-"&amp;TEXT(($D867-$C867+1)+9,"00"),"")&amp;IF($C867&gt;=11,", "&amp;$A867&amp;"-"&amp;TEXT(($D867-$C867+1)+10,"00"),"")&amp;IF($C867&gt;=12,", "&amp;$A867&amp;"-"&amp;TEXT(($D867-$C867+1)+11,"00"),"")&amp;IF($C867&gt;=13,", "&amp;$A867&amp;"-"&amp;TEXT(($D867-$C867+1)+12,"00"),"")&amp;IF($C867&gt;=14,", "&amp;$A867&amp;"-"&amp;TEXT(($D867-$C867+1)+13,"00"),"")&amp;IF($C867&gt;=15,", "&amp;$A867&amp;"-"&amp;TEXT(($D867-$C867+1)+14,"00"),"")&amp;IF($C867&gt;=16,", "&amp;$A867&amp;"-"&amp;TEXT(($D867-$C867+1)+15,"00"),"")&amp;IF($C867&gt;=17,", "&amp;$A867&amp;"-"&amp;TEXT(($D867-$C867+1)+16,"00"),"")&amp;IF($C867&gt;=18,", "&amp;$A867&amp;"-"&amp;TEXT(($D867-$C867+1)+17,"00"),"")&amp;IF($C867&gt;=19,", "&amp;$A867&amp;"-"&amp;TEXT(($D867-$C867+1)+18,"00"),"")&amp;IF($C867&gt;=20,", "&amp;$A867&amp;"-"&amp;TEXT(($D867-$C867+1)+19,"00"),"")&amp;IF($C867&gt;=21,", "&amp;$A867&amp;"-"&amp;TEXT(($D867-$C867+1)+20,"00"),"")&amp;IF($C867&gt;=22,", "&amp;$A867&amp;"-"&amp;TEXT(($D867-$C867+1)+21,"00"),"")&amp;IF($C867&gt;=23,", "&amp;$A867&amp;"-"&amp;TEXT(($D867-$C867+1)+22,"00"),"")&amp;IF($C867&gt;=24,", "&amp;$A867&amp;"-"&amp;TEXT(($D867-$C867+1)+23,"00"),"")&amp;IF($C867&gt;=25,", "&amp;$A867&amp;"-"&amp;TEXT(($D867-$C867+1)+24,"00"),""))</f>
        <v/>
      </c>
      <c r="G867">
        <f>IF($A867="","",IF($E867=1,$F867,IF($F867="",$G866,IF($G866="",$F867,$G866&amp;", "&amp;$F867))))</f>
        <v/>
      </c>
      <c r="H867">
        <f>IF($A867="","",$A867&amp;" ("&amp;$C867&amp;")")</f>
        <v/>
      </c>
      <c r="I867">
        <f>IF($A867="","",IF($E867=1,$H867,$I866&amp;", "&amp;$H867))</f>
        <v/>
      </c>
      <c r="J867">
        <f>IF($A867="","",IF($E867=1,$B867,""))</f>
        <v/>
      </c>
      <c r="K867">
        <f>IF($A867="","",IF(COUNTIF($B$2:$B867,$B867)=COUNTIF($B$2:$B$1601,$B867),$B867,""))</f>
        <v/>
      </c>
    </row>
    <row r="868">
      <c r="A868">
        <f>IF('TMP Paste'!$E868="","",'TMP Paste'!$E868)</f>
        <v/>
      </c>
      <c r="B868">
        <f>IF($A868="","",COUNTIF('TMP Paste'!$B$2:$B868,"?*"))</f>
        <v/>
      </c>
      <c r="C868">
        <f>IF($A868="","",IFERROR('TMP Paste'!$M868*1,0))</f>
        <v/>
      </c>
      <c r="D868">
        <f>IF($A868="","",SUMIF($B$2:$B868,$B868,$C$2:$C868))</f>
        <v/>
      </c>
      <c r="E868">
        <f>IF($A868="",0,IF('TMP Paste'!$B868="",0,1))</f>
        <v/>
      </c>
      <c r="F868">
        <f>IF(OR($A868="",$C868&lt;1),"",$A868&amp;"-"&amp;TEXT(($D868-$C868+1),"00")&amp;IF($C868&gt;=2,", "&amp;$A868&amp;"-"&amp;TEXT(($D868-$C868+1)+1,"00"),"")&amp;IF($C868&gt;=3,", "&amp;$A868&amp;"-"&amp;TEXT(($D868-$C868+1)+2,"00"),"")&amp;IF($C868&gt;=4,", "&amp;$A868&amp;"-"&amp;TEXT(($D868-$C868+1)+3,"00"),"")&amp;IF($C868&gt;=5,", "&amp;$A868&amp;"-"&amp;TEXT(($D868-$C868+1)+4,"00"),"")&amp;IF($C868&gt;=6,", "&amp;$A868&amp;"-"&amp;TEXT(($D868-$C868+1)+5,"00"),"")&amp;IF($C868&gt;=7,", "&amp;$A868&amp;"-"&amp;TEXT(($D868-$C868+1)+6,"00"),"")&amp;IF($C868&gt;=8,", "&amp;$A868&amp;"-"&amp;TEXT(($D868-$C868+1)+7,"00"),"")&amp;IF($C868&gt;=9,", "&amp;$A868&amp;"-"&amp;TEXT(($D868-$C868+1)+8,"00"),"")&amp;IF($C868&gt;=10,", "&amp;$A868&amp;"-"&amp;TEXT(($D868-$C868+1)+9,"00"),"")&amp;IF($C868&gt;=11,", "&amp;$A868&amp;"-"&amp;TEXT(($D868-$C868+1)+10,"00"),"")&amp;IF($C868&gt;=12,", "&amp;$A868&amp;"-"&amp;TEXT(($D868-$C868+1)+11,"00"),"")&amp;IF($C868&gt;=13,", "&amp;$A868&amp;"-"&amp;TEXT(($D868-$C868+1)+12,"00"),"")&amp;IF($C868&gt;=14,", "&amp;$A868&amp;"-"&amp;TEXT(($D868-$C868+1)+13,"00"),"")&amp;IF($C868&gt;=15,", "&amp;$A868&amp;"-"&amp;TEXT(($D868-$C868+1)+14,"00"),"")&amp;IF($C868&gt;=16,", "&amp;$A868&amp;"-"&amp;TEXT(($D868-$C868+1)+15,"00"),"")&amp;IF($C868&gt;=17,", "&amp;$A868&amp;"-"&amp;TEXT(($D868-$C868+1)+16,"00"),"")&amp;IF($C868&gt;=18,", "&amp;$A868&amp;"-"&amp;TEXT(($D868-$C868+1)+17,"00"),"")&amp;IF($C868&gt;=19,", "&amp;$A868&amp;"-"&amp;TEXT(($D868-$C868+1)+18,"00"),"")&amp;IF($C868&gt;=20,", "&amp;$A868&amp;"-"&amp;TEXT(($D868-$C868+1)+19,"00"),"")&amp;IF($C868&gt;=21,", "&amp;$A868&amp;"-"&amp;TEXT(($D868-$C868+1)+20,"00"),"")&amp;IF($C868&gt;=22,", "&amp;$A868&amp;"-"&amp;TEXT(($D868-$C868+1)+21,"00"),"")&amp;IF($C868&gt;=23,", "&amp;$A868&amp;"-"&amp;TEXT(($D868-$C868+1)+22,"00"),"")&amp;IF($C868&gt;=24,", "&amp;$A868&amp;"-"&amp;TEXT(($D868-$C868+1)+23,"00"),"")&amp;IF($C868&gt;=25,", "&amp;$A868&amp;"-"&amp;TEXT(($D868-$C868+1)+24,"00"),""))</f>
        <v/>
      </c>
      <c r="G868">
        <f>IF($A868="","",IF($E868=1,$F868,IF($F868="",$G867,IF($G867="",$F868,$G867&amp;", "&amp;$F868))))</f>
        <v/>
      </c>
      <c r="H868">
        <f>IF($A868="","",$A868&amp;" ("&amp;$C868&amp;")")</f>
        <v/>
      </c>
      <c r="I868">
        <f>IF($A868="","",IF($E868=1,$H868,$I867&amp;", "&amp;$H868))</f>
        <v/>
      </c>
      <c r="J868">
        <f>IF($A868="","",IF($E868=1,$B868,""))</f>
        <v/>
      </c>
      <c r="K868">
        <f>IF($A868="","",IF(COUNTIF($B$2:$B868,$B868)=COUNTIF($B$2:$B$1601,$B868),$B868,""))</f>
        <v/>
      </c>
    </row>
    <row r="869">
      <c r="A869">
        <f>IF('TMP Paste'!$E869="","",'TMP Paste'!$E869)</f>
        <v/>
      </c>
      <c r="B869">
        <f>IF($A869="","",COUNTIF('TMP Paste'!$B$2:$B869,"?*"))</f>
        <v/>
      </c>
      <c r="C869">
        <f>IF($A869="","",IFERROR('TMP Paste'!$M869*1,0))</f>
        <v/>
      </c>
      <c r="D869">
        <f>IF($A869="","",SUMIF($B$2:$B869,$B869,$C$2:$C869))</f>
        <v/>
      </c>
      <c r="E869">
        <f>IF($A869="",0,IF('TMP Paste'!$B869="",0,1))</f>
        <v/>
      </c>
      <c r="F869">
        <f>IF(OR($A869="",$C869&lt;1),"",$A869&amp;"-"&amp;TEXT(($D869-$C869+1),"00")&amp;IF($C869&gt;=2,", "&amp;$A869&amp;"-"&amp;TEXT(($D869-$C869+1)+1,"00"),"")&amp;IF($C869&gt;=3,", "&amp;$A869&amp;"-"&amp;TEXT(($D869-$C869+1)+2,"00"),"")&amp;IF($C869&gt;=4,", "&amp;$A869&amp;"-"&amp;TEXT(($D869-$C869+1)+3,"00"),"")&amp;IF($C869&gt;=5,", "&amp;$A869&amp;"-"&amp;TEXT(($D869-$C869+1)+4,"00"),"")&amp;IF($C869&gt;=6,", "&amp;$A869&amp;"-"&amp;TEXT(($D869-$C869+1)+5,"00"),"")&amp;IF($C869&gt;=7,", "&amp;$A869&amp;"-"&amp;TEXT(($D869-$C869+1)+6,"00"),"")&amp;IF($C869&gt;=8,", "&amp;$A869&amp;"-"&amp;TEXT(($D869-$C869+1)+7,"00"),"")&amp;IF($C869&gt;=9,", "&amp;$A869&amp;"-"&amp;TEXT(($D869-$C869+1)+8,"00"),"")&amp;IF($C869&gt;=10,", "&amp;$A869&amp;"-"&amp;TEXT(($D869-$C869+1)+9,"00"),"")&amp;IF($C869&gt;=11,", "&amp;$A869&amp;"-"&amp;TEXT(($D869-$C869+1)+10,"00"),"")&amp;IF($C869&gt;=12,", "&amp;$A869&amp;"-"&amp;TEXT(($D869-$C869+1)+11,"00"),"")&amp;IF($C869&gt;=13,", "&amp;$A869&amp;"-"&amp;TEXT(($D869-$C869+1)+12,"00"),"")&amp;IF($C869&gt;=14,", "&amp;$A869&amp;"-"&amp;TEXT(($D869-$C869+1)+13,"00"),"")&amp;IF($C869&gt;=15,", "&amp;$A869&amp;"-"&amp;TEXT(($D869-$C869+1)+14,"00"),"")&amp;IF($C869&gt;=16,", "&amp;$A869&amp;"-"&amp;TEXT(($D869-$C869+1)+15,"00"),"")&amp;IF($C869&gt;=17,", "&amp;$A869&amp;"-"&amp;TEXT(($D869-$C869+1)+16,"00"),"")&amp;IF($C869&gt;=18,", "&amp;$A869&amp;"-"&amp;TEXT(($D869-$C869+1)+17,"00"),"")&amp;IF($C869&gt;=19,", "&amp;$A869&amp;"-"&amp;TEXT(($D869-$C869+1)+18,"00"),"")&amp;IF($C869&gt;=20,", "&amp;$A869&amp;"-"&amp;TEXT(($D869-$C869+1)+19,"00"),"")&amp;IF($C869&gt;=21,", "&amp;$A869&amp;"-"&amp;TEXT(($D869-$C869+1)+20,"00"),"")&amp;IF($C869&gt;=22,", "&amp;$A869&amp;"-"&amp;TEXT(($D869-$C869+1)+21,"00"),"")&amp;IF($C869&gt;=23,", "&amp;$A869&amp;"-"&amp;TEXT(($D869-$C869+1)+22,"00"),"")&amp;IF($C869&gt;=24,", "&amp;$A869&amp;"-"&amp;TEXT(($D869-$C869+1)+23,"00"),"")&amp;IF($C869&gt;=25,", "&amp;$A869&amp;"-"&amp;TEXT(($D869-$C869+1)+24,"00"),""))</f>
        <v/>
      </c>
      <c r="G869">
        <f>IF($A869="","",IF($E869=1,$F869,IF($F869="",$G868,IF($G868="",$F869,$G868&amp;", "&amp;$F869))))</f>
        <v/>
      </c>
      <c r="H869">
        <f>IF($A869="","",$A869&amp;" ("&amp;$C869&amp;")")</f>
        <v/>
      </c>
      <c r="I869">
        <f>IF($A869="","",IF($E869=1,$H869,$I868&amp;", "&amp;$H869))</f>
        <v/>
      </c>
      <c r="J869">
        <f>IF($A869="","",IF($E869=1,$B869,""))</f>
        <v/>
      </c>
      <c r="K869">
        <f>IF($A869="","",IF(COUNTIF($B$2:$B869,$B869)=COUNTIF($B$2:$B$1601,$B869),$B869,""))</f>
        <v/>
      </c>
    </row>
    <row r="870">
      <c r="A870">
        <f>IF('TMP Paste'!$E870="","",'TMP Paste'!$E870)</f>
        <v/>
      </c>
      <c r="B870">
        <f>IF($A870="","",COUNTIF('TMP Paste'!$B$2:$B870,"?*"))</f>
        <v/>
      </c>
      <c r="C870">
        <f>IF($A870="","",IFERROR('TMP Paste'!$M870*1,0))</f>
        <v/>
      </c>
      <c r="D870">
        <f>IF($A870="","",SUMIF($B$2:$B870,$B870,$C$2:$C870))</f>
        <v/>
      </c>
      <c r="E870">
        <f>IF($A870="",0,IF('TMP Paste'!$B870="",0,1))</f>
        <v/>
      </c>
      <c r="F870">
        <f>IF(OR($A870="",$C870&lt;1),"",$A870&amp;"-"&amp;TEXT(($D870-$C870+1),"00")&amp;IF($C870&gt;=2,", "&amp;$A870&amp;"-"&amp;TEXT(($D870-$C870+1)+1,"00"),"")&amp;IF($C870&gt;=3,", "&amp;$A870&amp;"-"&amp;TEXT(($D870-$C870+1)+2,"00"),"")&amp;IF($C870&gt;=4,", "&amp;$A870&amp;"-"&amp;TEXT(($D870-$C870+1)+3,"00"),"")&amp;IF($C870&gt;=5,", "&amp;$A870&amp;"-"&amp;TEXT(($D870-$C870+1)+4,"00"),"")&amp;IF($C870&gt;=6,", "&amp;$A870&amp;"-"&amp;TEXT(($D870-$C870+1)+5,"00"),"")&amp;IF($C870&gt;=7,", "&amp;$A870&amp;"-"&amp;TEXT(($D870-$C870+1)+6,"00"),"")&amp;IF($C870&gt;=8,", "&amp;$A870&amp;"-"&amp;TEXT(($D870-$C870+1)+7,"00"),"")&amp;IF($C870&gt;=9,", "&amp;$A870&amp;"-"&amp;TEXT(($D870-$C870+1)+8,"00"),"")&amp;IF($C870&gt;=10,", "&amp;$A870&amp;"-"&amp;TEXT(($D870-$C870+1)+9,"00"),"")&amp;IF($C870&gt;=11,", "&amp;$A870&amp;"-"&amp;TEXT(($D870-$C870+1)+10,"00"),"")&amp;IF($C870&gt;=12,", "&amp;$A870&amp;"-"&amp;TEXT(($D870-$C870+1)+11,"00"),"")&amp;IF($C870&gt;=13,", "&amp;$A870&amp;"-"&amp;TEXT(($D870-$C870+1)+12,"00"),"")&amp;IF($C870&gt;=14,", "&amp;$A870&amp;"-"&amp;TEXT(($D870-$C870+1)+13,"00"),"")&amp;IF($C870&gt;=15,", "&amp;$A870&amp;"-"&amp;TEXT(($D870-$C870+1)+14,"00"),"")&amp;IF($C870&gt;=16,", "&amp;$A870&amp;"-"&amp;TEXT(($D870-$C870+1)+15,"00"),"")&amp;IF($C870&gt;=17,", "&amp;$A870&amp;"-"&amp;TEXT(($D870-$C870+1)+16,"00"),"")&amp;IF($C870&gt;=18,", "&amp;$A870&amp;"-"&amp;TEXT(($D870-$C870+1)+17,"00"),"")&amp;IF($C870&gt;=19,", "&amp;$A870&amp;"-"&amp;TEXT(($D870-$C870+1)+18,"00"),"")&amp;IF($C870&gt;=20,", "&amp;$A870&amp;"-"&amp;TEXT(($D870-$C870+1)+19,"00"),"")&amp;IF($C870&gt;=21,", "&amp;$A870&amp;"-"&amp;TEXT(($D870-$C870+1)+20,"00"),"")&amp;IF($C870&gt;=22,", "&amp;$A870&amp;"-"&amp;TEXT(($D870-$C870+1)+21,"00"),"")&amp;IF($C870&gt;=23,", "&amp;$A870&amp;"-"&amp;TEXT(($D870-$C870+1)+22,"00"),"")&amp;IF($C870&gt;=24,", "&amp;$A870&amp;"-"&amp;TEXT(($D870-$C870+1)+23,"00"),"")&amp;IF($C870&gt;=25,", "&amp;$A870&amp;"-"&amp;TEXT(($D870-$C870+1)+24,"00"),""))</f>
        <v/>
      </c>
      <c r="G870">
        <f>IF($A870="","",IF($E870=1,$F870,IF($F870="",$G869,IF($G869="",$F870,$G869&amp;", "&amp;$F870))))</f>
        <v/>
      </c>
      <c r="H870">
        <f>IF($A870="","",$A870&amp;" ("&amp;$C870&amp;")")</f>
        <v/>
      </c>
      <c r="I870">
        <f>IF($A870="","",IF($E870=1,$H870,$I869&amp;", "&amp;$H870))</f>
        <v/>
      </c>
      <c r="J870">
        <f>IF($A870="","",IF($E870=1,$B870,""))</f>
        <v/>
      </c>
      <c r="K870">
        <f>IF($A870="","",IF(COUNTIF($B$2:$B870,$B870)=COUNTIF($B$2:$B$1601,$B870),$B870,""))</f>
        <v/>
      </c>
    </row>
    <row r="871">
      <c r="A871">
        <f>IF('TMP Paste'!$E871="","",'TMP Paste'!$E871)</f>
        <v/>
      </c>
      <c r="B871">
        <f>IF($A871="","",COUNTIF('TMP Paste'!$B$2:$B871,"?*"))</f>
        <v/>
      </c>
      <c r="C871">
        <f>IF($A871="","",IFERROR('TMP Paste'!$M871*1,0))</f>
        <v/>
      </c>
      <c r="D871">
        <f>IF($A871="","",SUMIF($B$2:$B871,$B871,$C$2:$C871))</f>
        <v/>
      </c>
      <c r="E871">
        <f>IF($A871="",0,IF('TMP Paste'!$B871="",0,1))</f>
        <v/>
      </c>
      <c r="F871">
        <f>IF(OR($A871="",$C871&lt;1),"",$A871&amp;"-"&amp;TEXT(($D871-$C871+1),"00")&amp;IF($C871&gt;=2,", "&amp;$A871&amp;"-"&amp;TEXT(($D871-$C871+1)+1,"00"),"")&amp;IF($C871&gt;=3,", "&amp;$A871&amp;"-"&amp;TEXT(($D871-$C871+1)+2,"00"),"")&amp;IF($C871&gt;=4,", "&amp;$A871&amp;"-"&amp;TEXT(($D871-$C871+1)+3,"00"),"")&amp;IF($C871&gt;=5,", "&amp;$A871&amp;"-"&amp;TEXT(($D871-$C871+1)+4,"00"),"")&amp;IF($C871&gt;=6,", "&amp;$A871&amp;"-"&amp;TEXT(($D871-$C871+1)+5,"00"),"")&amp;IF($C871&gt;=7,", "&amp;$A871&amp;"-"&amp;TEXT(($D871-$C871+1)+6,"00"),"")&amp;IF($C871&gt;=8,", "&amp;$A871&amp;"-"&amp;TEXT(($D871-$C871+1)+7,"00"),"")&amp;IF($C871&gt;=9,", "&amp;$A871&amp;"-"&amp;TEXT(($D871-$C871+1)+8,"00"),"")&amp;IF($C871&gt;=10,", "&amp;$A871&amp;"-"&amp;TEXT(($D871-$C871+1)+9,"00"),"")&amp;IF($C871&gt;=11,", "&amp;$A871&amp;"-"&amp;TEXT(($D871-$C871+1)+10,"00"),"")&amp;IF($C871&gt;=12,", "&amp;$A871&amp;"-"&amp;TEXT(($D871-$C871+1)+11,"00"),"")&amp;IF($C871&gt;=13,", "&amp;$A871&amp;"-"&amp;TEXT(($D871-$C871+1)+12,"00"),"")&amp;IF($C871&gt;=14,", "&amp;$A871&amp;"-"&amp;TEXT(($D871-$C871+1)+13,"00"),"")&amp;IF($C871&gt;=15,", "&amp;$A871&amp;"-"&amp;TEXT(($D871-$C871+1)+14,"00"),"")&amp;IF($C871&gt;=16,", "&amp;$A871&amp;"-"&amp;TEXT(($D871-$C871+1)+15,"00"),"")&amp;IF($C871&gt;=17,", "&amp;$A871&amp;"-"&amp;TEXT(($D871-$C871+1)+16,"00"),"")&amp;IF($C871&gt;=18,", "&amp;$A871&amp;"-"&amp;TEXT(($D871-$C871+1)+17,"00"),"")&amp;IF($C871&gt;=19,", "&amp;$A871&amp;"-"&amp;TEXT(($D871-$C871+1)+18,"00"),"")&amp;IF($C871&gt;=20,", "&amp;$A871&amp;"-"&amp;TEXT(($D871-$C871+1)+19,"00"),"")&amp;IF($C871&gt;=21,", "&amp;$A871&amp;"-"&amp;TEXT(($D871-$C871+1)+20,"00"),"")&amp;IF($C871&gt;=22,", "&amp;$A871&amp;"-"&amp;TEXT(($D871-$C871+1)+21,"00"),"")&amp;IF($C871&gt;=23,", "&amp;$A871&amp;"-"&amp;TEXT(($D871-$C871+1)+22,"00"),"")&amp;IF($C871&gt;=24,", "&amp;$A871&amp;"-"&amp;TEXT(($D871-$C871+1)+23,"00"),"")&amp;IF($C871&gt;=25,", "&amp;$A871&amp;"-"&amp;TEXT(($D871-$C871+1)+24,"00"),""))</f>
        <v/>
      </c>
      <c r="G871">
        <f>IF($A871="","",IF($E871=1,$F871,IF($F871="",$G870,IF($G870="",$F871,$G870&amp;", "&amp;$F871))))</f>
        <v/>
      </c>
      <c r="H871">
        <f>IF($A871="","",$A871&amp;" ("&amp;$C871&amp;")")</f>
        <v/>
      </c>
      <c r="I871">
        <f>IF($A871="","",IF($E871=1,$H871,$I870&amp;", "&amp;$H871))</f>
        <v/>
      </c>
      <c r="J871">
        <f>IF($A871="","",IF($E871=1,$B871,""))</f>
        <v/>
      </c>
      <c r="K871">
        <f>IF($A871="","",IF(COUNTIF($B$2:$B871,$B871)=COUNTIF($B$2:$B$1601,$B871),$B871,""))</f>
        <v/>
      </c>
    </row>
    <row r="872">
      <c r="A872">
        <f>IF('TMP Paste'!$E872="","",'TMP Paste'!$E872)</f>
        <v/>
      </c>
      <c r="B872">
        <f>IF($A872="","",COUNTIF('TMP Paste'!$B$2:$B872,"?*"))</f>
        <v/>
      </c>
      <c r="C872">
        <f>IF($A872="","",IFERROR('TMP Paste'!$M872*1,0))</f>
        <v/>
      </c>
      <c r="D872">
        <f>IF($A872="","",SUMIF($B$2:$B872,$B872,$C$2:$C872))</f>
        <v/>
      </c>
      <c r="E872">
        <f>IF($A872="",0,IF('TMP Paste'!$B872="",0,1))</f>
        <v/>
      </c>
      <c r="F872">
        <f>IF(OR($A872="",$C872&lt;1),"",$A872&amp;"-"&amp;TEXT(($D872-$C872+1),"00")&amp;IF($C872&gt;=2,", "&amp;$A872&amp;"-"&amp;TEXT(($D872-$C872+1)+1,"00"),"")&amp;IF($C872&gt;=3,", "&amp;$A872&amp;"-"&amp;TEXT(($D872-$C872+1)+2,"00"),"")&amp;IF($C872&gt;=4,", "&amp;$A872&amp;"-"&amp;TEXT(($D872-$C872+1)+3,"00"),"")&amp;IF($C872&gt;=5,", "&amp;$A872&amp;"-"&amp;TEXT(($D872-$C872+1)+4,"00"),"")&amp;IF($C872&gt;=6,", "&amp;$A872&amp;"-"&amp;TEXT(($D872-$C872+1)+5,"00"),"")&amp;IF($C872&gt;=7,", "&amp;$A872&amp;"-"&amp;TEXT(($D872-$C872+1)+6,"00"),"")&amp;IF($C872&gt;=8,", "&amp;$A872&amp;"-"&amp;TEXT(($D872-$C872+1)+7,"00"),"")&amp;IF($C872&gt;=9,", "&amp;$A872&amp;"-"&amp;TEXT(($D872-$C872+1)+8,"00"),"")&amp;IF($C872&gt;=10,", "&amp;$A872&amp;"-"&amp;TEXT(($D872-$C872+1)+9,"00"),"")&amp;IF($C872&gt;=11,", "&amp;$A872&amp;"-"&amp;TEXT(($D872-$C872+1)+10,"00"),"")&amp;IF($C872&gt;=12,", "&amp;$A872&amp;"-"&amp;TEXT(($D872-$C872+1)+11,"00"),"")&amp;IF($C872&gt;=13,", "&amp;$A872&amp;"-"&amp;TEXT(($D872-$C872+1)+12,"00"),"")&amp;IF($C872&gt;=14,", "&amp;$A872&amp;"-"&amp;TEXT(($D872-$C872+1)+13,"00"),"")&amp;IF($C872&gt;=15,", "&amp;$A872&amp;"-"&amp;TEXT(($D872-$C872+1)+14,"00"),"")&amp;IF($C872&gt;=16,", "&amp;$A872&amp;"-"&amp;TEXT(($D872-$C872+1)+15,"00"),"")&amp;IF($C872&gt;=17,", "&amp;$A872&amp;"-"&amp;TEXT(($D872-$C872+1)+16,"00"),"")&amp;IF($C872&gt;=18,", "&amp;$A872&amp;"-"&amp;TEXT(($D872-$C872+1)+17,"00"),"")&amp;IF($C872&gt;=19,", "&amp;$A872&amp;"-"&amp;TEXT(($D872-$C872+1)+18,"00"),"")&amp;IF($C872&gt;=20,", "&amp;$A872&amp;"-"&amp;TEXT(($D872-$C872+1)+19,"00"),"")&amp;IF($C872&gt;=21,", "&amp;$A872&amp;"-"&amp;TEXT(($D872-$C872+1)+20,"00"),"")&amp;IF($C872&gt;=22,", "&amp;$A872&amp;"-"&amp;TEXT(($D872-$C872+1)+21,"00"),"")&amp;IF($C872&gt;=23,", "&amp;$A872&amp;"-"&amp;TEXT(($D872-$C872+1)+22,"00"),"")&amp;IF($C872&gt;=24,", "&amp;$A872&amp;"-"&amp;TEXT(($D872-$C872+1)+23,"00"),"")&amp;IF($C872&gt;=25,", "&amp;$A872&amp;"-"&amp;TEXT(($D872-$C872+1)+24,"00"),""))</f>
        <v/>
      </c>
      <c r="G872">
        <f>IF($A872="","",IF($E872=1,$F872,IF($F872="",$G871,IF($G871="",$F872,$G871&amp;", "&amp;$F872))))</f>
        <v/>
      </c>
      <c r="H872">
        <f>IF($A872="","",$A872&amp;" ("&amp;$C872&amp;")")</f>
        <v/>
      </c>
      <c r="I872">
        <f>IF($A872="","",IF($E872=1,$H872,$I871&amp;", "&amp;$H872))</f>
        <v/>
      </c>
      <c r="J872">
        <f>IF($A872="","",IF($E872=1,$B872,""))</f>
        <v/>
      </c>
      <c r="K872">
        <f>IF($A872="","",IF(COUNTIF($B$2:$B872,$B872)=COUNTIF($B$2:$B$1601,$B872),$B872,""))</f>
        <v/>
      </c>
    </row>
    <row r="873">
      <c r="A873">
        <f>IF('TMP Paste'!$E873="","",'TMP Paste'!$E873)</f>
        <v/>
      </c>
      <c r="B873">
        <f>IF($A873="","",COUNTIF('TMP Paste'!$B$2:$B873,"?*"))</f>
        <v/>
      </c>
      <c r="C873">
        <f>IF($A873="","",IFERROR('TMP Paste'!$M873*1,0))</f>
        <v/>
      </c>
      <c r="D873">
        <f>IF($A873="","",SUMIF($B$2:$B873,$B873,$C$2:$C873))</f>
        <v/>
      </c>
      <c r="E873">
        <f>IF($A873="",0,IF('TMP Paste'!$B873="",0,1))</f>
        <v/>
      </c>
      <c r="F873">
        <f>IF(OR($A873="",$C873&lt;1),"",$A873&amp;"-"&amp;TEXT(($D873-$C873+1),"00")&amp;IF($C873&gt;=2,", "&amp;$A873&amp;"-"&amp;TEXT(($D873-$C873+1)+1,"00"),"")&amp;IF($C873&gt;=3,", "&amp;$A873&amp;"-"&amp;TEXT(($D873-$C873+1)+2,"00"),"")&amp;IF($C873&gt;=4,", "&amp;$A873&amp;"-"&amp;TEXT(($D873-$C873+1)+3,"00"),"")&amp;IF($C873&gt;=5,", "&amp;$A873&amp;"-"&amp;TEXT(($D873-$C873+1)+4,"00"),"")&amp;IF($C873&gt;=6,", "&amp;$A873&amp;"-"&amp;TEXT(($D873-$C873+1)+5,"00"),"")&amp;IF($C873&gt;=7,", "&amp;$A873&amp;"-"&amp;TEXT(($D873-$C873+1)+6,"00"),"")&amp;IF($C873&gt;=8,", "&amp;$A873&amp;"-"&amp;TEXT(($D873-$C873+1)+7,"00"),"")&amp;IF($C873&gt;=9,", "&amp;$A873&amp;"-"&amp;TEXT(($D873-$C873+1)+8,"00"),"")&amp;IF($C873&gt;=10,", "&amp;$A873&amp;"-"&amp;TEXT(($D873-$C873+1)+9,"00"),"")&amp;IF($C873&gt;=11,", "&amp;$A873&amp;"-"&amp;TEXT(($D873-$C873+1)+10,"00"),"")&amp;IF($C873&gt;=12,", "&amp;$A873&amp;"-"&amp;TEXT(($D873-$C873+1)+11,"00"),"")&amp;IF($C873&gt;=13,", "&amp;$A873&amp;"-"&amp;TEXT(($D873-$C873+1)+12,"00"),"")&amp;IF($C873&gt;=14,", "&amp;$A873&amp;"-"&amp;TEXT(($D873-$C873+1)+13,"00"),"")&amp;IF($C873&gt;=15,", "&amp;$A873&amp;"-"&amp;TEXT(($D873-$C873+1)+14,"00"),"")&amp;IF($C873&gt;=16,", "&amp;$A873&amp;"-"&amp;TEXT(($D873-$C873+1)+15,"00"),"")&amp;IF($C873&gt;=17,", "&amp;$A873&amp;"-"&amp;TEXT(($D873-$C873+1)+16,"00"),"")&amp;IF($C873&gt;=18,", "&amp;$A873&amp;"-"&amp;TEXT(($D873-$C873+1)+17,"00"),"")&amp;IF($C873&gt;=19,", "&amp;$A873&amp;"-"&amp;TEXT(($D873-$C873+1)+18,"00"),"")&amp;IF($C873&gt;=20,", "&amp;$A873&amp;"-"&amp;TEXT(($D873-$C873+1)+19,"00"),"")&amp;IF($C873&gt;=21,", "&amp;$A873&amp;"-"&amp;TEXT(($D873-$C873+1)+20,"00"),"")&amp;IF($C873&gt;=22,", "&amp;$A873&amp;"-"&amp;TEXT(($D873-$C873+1)+21,"00"),"")&amp;IF($C873&gt;=23,", "&amp;$A873&amp;"-"&amp;TEXT(($D873-$C873+1)+22,"00"),"")&amp;IF($C873&gt;=24,", "&amp;$A873&amp;"-"&amp;TEXT(($D873-$C873+1)+23,"00"),"")&amp;IF($C873&gt;=25,", "&amp;$A873&amp;"-"&amp;TEXT(($D873-$C873+1)+24,"00"),""))</f>
        <v/>
      </c>
      <c r="G873">
        <f>IF($A873="","",IF($E873=1,$F873,IF($F873="",$G872,IF($G872="",$F873,$G872&amp;", "&amp;$F873))))</f>
        <v/>
      </c>
      <c r="H873">
        <f>IF($A873="","",$A873&amp;" ("&amp;$C873&amp;")")</f>
        <v/>
      </c>
      <c r="I873">
        <f>IF($A873="","",IF($E873=1,$H873,$I872&amp;", "&amp;$H873))</f>
        <v/>
      </c>
      <c r="J873">
        <f>IF($A873="","",IF($E873=1,$B873,""))</f>
        <v/>
      </c>
      <c r="K873">
        <f>IF($A873="","",IF(COUNTIF($B$2:$B873,$B873)=COUNTIF($B$2:$B$1601,$B873),$B873,""))</f>
        <v/>
      </c>
    </row>
    <row r="874">
      <c r="A874">
        <f>IF('TMP Paste'!$E874="","",'TMP Paste'!$E874)</f>
        <v/>
      </c>
      <c r="B874">
        <f>IF($A874="","",COUNTIF('TMP Paste'!$B$2:$B874,"?*"))</f>
        <v/>
      </c>
      <c r="C874">
        <f>IF($A874="","",IFERROR('TMP Paste'!$M874*1,0))</f>
        <v/>
      </c>
      <c r="D874">
        <f>IF($A874="","",SUMIF($B$2:$B874,$B874,$C$2:$C874))</f>
        <v/>
      </c>
      <c r="E874">
        <f>IF($A874="",0,IF('TMP Paste'!$B874="",0,1))</f>
        <v/>
      </c>
      <c r="F874">
        <f>IF(OR($A874="",$C874&lt;1),"",$A874&amp;"-"&amp;TEXT(($D874-$C874+1),"00")&amp;IF($C874&gt;=2,", "&amp;$A874&amp;"-"&amp;TEXT(($D874-$C874+1)+1,"00"),"")&amp;IF($C874&gt;=3,", "&amp;$A874&amp;"-"&amp;TEXT(($D874-$C874+1)+2,"00"),"")&amp;IF($C874&gt;=4,", "&amp;$A874&amp;"-"&amp;TEXT(($D874-$C874+1)+3,"00"),"")&amp;IF($C874&gt;=5,", "&amp;$A874&amp;"-"&amp;TEXT(($D874-$C874+1)+4,"00"),"")&amp;IF($C874&gt;=6,", "&amp;$A874&amp;"-"&amp;TEXT(($D874-$C874+1)+5,"00"),"")&amp;IF($C874&gt;=7,", "&amp;$A874&amp;"-"&amp;TEXT(($D874-$C874+1)+6,"00"),"")&amp;IF($C874&gt;=8,", "&amp;$A874&amp;"-"&amp;TEXT(($D874-$C874+1)+7,"00"),"")&amp;IF($C874&gt;=9,", "&amp;$A874&amp;"-"&amp;TEXT(($D874-$C874+1)+8,"00"),"")&amp;IF($C874&gt;=10,", "&amp;$A874&amp;"-"&amp;TEXT(($D874-$C874+1)+9,"00"),"")&amp;IF($C874&gt;=11,", "&amp;$A874&amp;"-"&amp;TEXT(($D874-$C874+1)+10,"00"),"")&amp;IF($C874&gt;=12,", "&amp;$A874&amp;"-"&amp;TEXT(($D874-$C874+1)+11,"00"),"")&amp;IF($C874&gt;=13,", "&amp;$A874&amp;"-"&amp;TEXT(($D874-$C874+1)+12,"00"),"")&amp;IF($C874&gt;=14,", "&amp;$A874&amp;"-"&amp;TEXT(($D874-$C874+1)+13,"00"),"")&amp;IF($C874&gt;=15,", "&amp;$A874&amp;"-"&amp;TEXT(($D874-$C874+1)+14,"00"),"")&amp;IF($C874&gt;=16,", "&amp;$A874&amp;"-"&amp;TEXT(($D874-$C874+1)+15,"00"),"")&amp;IF($C874&gt;=17,", "&amp;$A874&amp;"-"&amp;TEXT(($D874-$C874+1)+16,"00"),"")&amp;IF($C874&gt;=18,", "&amp;$A874&amp;"-"&amp;TEXT(($D874-$C874+1)+17,"00"),"")&amp;IF($C874&gt;=19,", "&amp;$A874&amp;"-"&amp;TEXT(($D874-$C874+1)+18,"00"),"")&amp;IF($C874&gt;=20,", "&amp;$A874&amp;"-"&amp;TEXT(($D874-$C874+1)+19,"00"),"")&amp;IF($C874&gt;=21,", "&amp;$A874&amp;"-"&amp;TEXT(($D874-$C874+1)+20,"00"),"")&amp;IF($C874&gt;=22,", "&amp;$A874&amp;"-"&amp;TEXT(($D874-$C874+1)+21,"00"),"")&amp;IF($C874&gt;=23,", "&amp;$A874&amp;"-"&amp;TEXT(($D874-$C874+1)+22,"00"),"")&amp;IF($C874&gt;=24,", "&amp;$A874&amp;"-"&amp;TEXT(($D874-$C874+1)+23,"00"),"")&amp;IF($C874&gt;=25,", "&amp;$A874&amp;"-"&amp;TEXT(($D874-$C874+1)+24,"00"),""))</f>
        <v/>
      </c>
      <c r="G874">
        <f>IF($A874="","",IF($E874=1,$F874,IF($F874="",$G873,IF($G873="",$F874,$G873&amp;", "&amp;$F874))))</f>
        <v/>
      </c>
      <c r="H874">
        <f>IF($A874="","",$A874&amp;" ("&amp;$C874&amp;")")</f>
        <v/>
      </c>
      <c r="I874">
        <f>IF($A874="","",IF($E874=1,$H874,$I873&amp;", "&amp;$H874))</f>
        <v/>
      </c>
      <c r="J874">
        <f>IF($A874="","",IF($E874=1,$B874,""))</f>
        <v/>
      </c>
      <c r="K874">
        <f>IF($A874="","",IF(COUNTIF($B$2:$B874,$B874)=COUNTIF($B$2:$B$1601,$B874),$B874,""))</f>
        <v/>
      </c>
    </row>
    <row r="875">
      <c r="A875">
        <f>IF('TMP Paste'!$E875="","",'TMP Paste'!$E875)</f>
        <v/>
      </c>
      <c r="B875">
        <f>IF($A875="","",COUNTIF('TMP Paste'!$B$2:$B875,"?*"))</f>
        <v/>
      </c>
      <c r="C875">
        <f>IF($A875="","",IFERROR('TMP Paste'!$M875*1,0))</f>
        <v/>
      </c>
      <c r="D875">
        <f>IF($A875="","",SUMIF($B$2:$B875,$B875,$C$2:$C875))</f>
        <v/>
      </c>
      <c r="E875">
        <f>IF($A875="",0,IF('TMP Paste'!$B875="",0,1))</f>
        <v/>
      </c>
      <c r="F875">
        <f>IF(OR($A875="",$C875&lt;1),"",$A875&amp;"-"&amp;TEXT(($D875-$C875+1),"00")&amp;IF($C875&gt;=2,", "&amp;$A875&amp;"-"&amp;TEXT(($D875-$C875+1)+1,"00"),"")&amp;IF($C875&gt;=3,", "&amp;$A875&amp;"-"&amp;TEXT(($D875-$C875+1)+2,"00"),"")&amp;IF($C875&gt;=4,", "&amp;$A875&amp;"-"&amp;TEXT(($D875-$C875+1)+3,"00"),"")&amp;IF($C875&gt;=5,", "&amp;$A875&amp;"-"&amp;TEXT(($D875-$C875+1)+4,"00"),"")&amp;IF($C875&gt;=6,", "&amp;$A875&amp;"-"&amp;TEXT(($D875-$C875+1)+5,"00"),"")&amp;IF($C875&gt;=7,", "&amp;$A875&amp;"-"&amp;TEXT(($D875-$C875+1)+6,"00"),"")&amp;IF($C875&gt;=8,", "&amp;$A875&amp;"-"&amp;TEXT(($D875-$C875+1)+7,"00"),"")&amp;IF($C875&gt;=9,", "&amp;$A875&amp;"-"&amp;TEXT(($D875-$C875+1)+8,"00"),"")&amp;IF($C875&gt;=10,", "&amp;$A875&amp;"-"&amp;TEXT(($D875-$C875+1)+9,"00"),"")&amp;IF($C875&gt;=11,", "&amp;$A875&amp;"-"&amp;TEXT(($D875-$C875+1)+10,"00"),"")&amp;IF($C875&gt;=12,", "&amp;$A875&amp;"-"&amp;TEXT(($D875-$C875+1)+11,"00"),"")&amp;IF($C875&gt;=13,", "&amp;$A875&amp;"-"&amp;TEXT(($D875-$C875+1)+12,"00"),"")&amp;IF($C875&gt;=14,", "&amp;$A875&amp;"-"&amp;TEXT(($D875-$C875+1)+13,"00"),"")&amp;IF($C875&gt;=15,", "&amp;$A875&amp;"-"&amp;TEXT(($D875-$C875+1)+14,"00"),"")&amp;IF($C875&gt;=16,", "&amp;$A875&amp;"-"&amp;TEXT(($D875-$C875+1)+15,"00"),"")&amp;IF($C875&gt;=17,", "&amp;$A875&amp;"-"&amp;TEXT(($D875-$C875+1)+16,"00"),"")&amp;IF($C875&gt;=18,", "&amp;$A875&amp;"-"&amp;TEXT(($D875-$C875+1)+17,"00"),"")&amp;IF($C875&gt;=19,", "&amp;$A875&amp;"-"&amp;TEXT(($D875-$C875+1)+18,"00"),"")&amp;IF($C875&gt;=20,", "&amp;$A875&amp;"-"&amp;TEXT(($D875-$C875+1)+19,"00"),"")&amp;IF($C875&gt;=21,", "&amp;$A875&amp;"-"&amp;TEXT(($D875-$C875+1)+20,"00"),"")&amp;IF($C875&gt;=22,", "&amp;$A875&amp;"-"&amp;TEXT(($D875-$C875+1)+21,"00"),"")&amp;IF($C875&gt;=23,", "&amp;$A875&amp;"-"&amp;TEXT(($D875-$C875+1)+22,"00"),"")&amp;IF($C875&gt;=24,", "&amp;$A875&amp;"-"&amp;TEXT(($D875-$C875+1)+23,"00"),"")&amp;IF($C875&gt;=25,", "&amp;$A875&amp;"-"&amp;TEXT(($D875-$C875+1)+24,"00"),""))</f>
        <v/>
      </c>
      <c r="G875">
        <f>IF($A875="","",IF($E875=1,$F875,IF($F875="",$G874,IF($G874="",$F875,$G874&amp;", "&amp;$F875))))</f>
        <v/>
      </c>
      <c r="H875">
        <f>IF($A875="","",$A875&amp;" ("&amp;$C875&amp;")")</f>
        <v/>
      </c>
      <c r="I875">
        <f>IF($A875="","",IF($E875=1,$H875,$I874&amp;", "&amp;$H875))</f>
        <v/>
      </c>
      <c r="J875">
        <f>IF($A875="","",IF($E875=1,$B875,""))</f>
        <v/>
      </c>
      <c r="K875">
        <f>IF($A875="","",IF(COUNTIF($B$2:$B875,$B875)=COUNTIF($B$2:$B$1601,$B875),$B875,""))</f>
        <v/>
      </c>
    </row>
    <row r="876">
      <c r="A876">
        <f>IF('TMP Paste'!$E876="","",'TMP Paste'!$E876)</f>
        <v/>
      </c>
      <c r="B876">
        <f>IF($A876="","",COUNTIF('TMP Paste'!$B$2:$B876,"?*"))</f>
        <v/>
      </c>
      <c r="C876">
        <f>IF($A876="","",IFERROR('TMP Paste'!$M876*1,0))</f>
        <v/>
      </c>
      <c r="D876">
        <f>IF($A876="","",SUMIF($B$2:$B876,$B876,$C$2:$C876))</f>
        <v/>
      </c>
      <c r="E876">
        <f>IF($A876="",0,IF('TMP Paste'!$B876="",0,1))</f>
        <v/>
      </c>
      <c r="F876">
        <f>IF(OR($A876="",$C876&lt;1),"",$A876&amp;"-"&amp;TEXT(($D876-$C876+1),"00")&amp;IF($C876&gt;=2,", "&amp;$A876&amp;"-"&amp;TEXT(($D876-$C876+1)+1,"00"),"")&amp;IF($C876&gt;=3,", "&amp;$A876&amp;"-"&amp;TEXT(($D876-$C876+1)+2,"00"),"")&amp;IF($C876&gt;=4,", "&amp;$A876&amp;"-"&amp;TEXT(($D876-$C876+1)+3,"00"),"")&amp;IF($C876&gt;=5,", "&amp;$A876&amp;"-"&amp;TEXT(($D876-$C876+1)+4,"00"),"")&amp;IF($C876&gt;=6,", "&amp;$A876&amp;"-"&amp;TEXT(($D876-$C876+1)+5,"00"),"")&amp;IF($C876&gt;=7,", "&amp;$A876&amp;"-"&amp;TEXT(($D876-$C876+1)+6,"00"),"")&amp;IF($C876&gt;=8,", "&amp;$A876&amp;"-"&amp;TEXT(($D876-$C876+1)+7,"00"),"")&amp;IF($C876&gt;=9,", "&amp;$A876&amp;"-"&amp;TEXT(($D876-$C876+1)+8,"00"),"")&amp;IF($C876&gt;=10,", "&amp;$A876&amp;"-"&amp;TEXT(($D876-$C876+1)+9,"00"),"")&amp;IF($C876&gt;=11,", "&amp;$A876&amp;"-"&amp;TEXT(($D876-$C876+1)+10,"00"),"")&amp;IF($C876&gt;=12,", "&amp;$A876&amp;"-"&amp;TEXT(($D876-$C876+1)+11,"00"),"")&amp;IF($C876&gt;=13,", "&amp;$A876&amp;"-"&amp;TEXT(($D876-$C876+1)+12,"00"),"")&amp;IF($C876&gt;=14,", "&amp;$A876&amp;"-"&amp;TEXT(($D876-$C876+1)+13,"00"),"")&amp;IF($C876&gt;=15,", "&amp;$A876&amp;"-"&amp;TEXT(($D876-$C876+1)+14,"00"),"")&amp;IF($C876&gt;=16,", "&amp;$A876&amp;"-"&amp;TEXT(($D876-$C876+1)+15,"00"),"")&amp;IF($C876&gt;=17,", "&amp;$A876&amp;"-"&amp;TEXT(($D876-$C876+1)+16,"00"),"")&amp;IF($C876&gt;=18,", "&amp;$A876&amp;"-"&amp;TEXT(($D876-$C876+1)+17,"00"),"")&amp;IF($C876&gt;=19,", "&amp;$A876&amp;"-"&amp;TEXT(($D876-$C876+1)+18,"00"),"")&amp;IF($C876&gt;=20,", "&amp;$A876&amp;"-"&amp;TEXT(($D876-$C876+1)+19,"00"),"")&amp;IF($C876&gt;=21,", "&amp;$A876&amp;"-"&amp;TEXT(($D876-$C876+1)+20,"00"),"")&amp;IF($C876&gt;=22,", "&amp;$A876&amp;"-"&amp;TEXT(($D876-$C876+1)+21,"00"),"")&amp;IF($C876&gt;=23,", "&amp;$A876&amp;"-"&amp;TEXT(($D876-$C876+1)+22,"00"),"")&amp;IF($C876&gt;=24,", "&amp;$A876&amp;"-"&amp;TEXT(($D876-$C876+1)+23,"00"),"")&amp;IF($C876&gt;=25,", "&amp;$A876&amp;"-"&amp;TEXT(($D876-$C876+1)+24,"00"),""))</f>
        <v/>
      </c>
      <c r="G876">
        <f>IF($A876="","",IF($E876=1,$F876,IF($F876="",$G875,IF($G875="",$F876,$G875&amp;", "&amp;$F876))))</f>
        <v/>
      </c>
      <c r="H876">
        <f>IF($A876="","",$A876&amp;" ("&amp;$C876&amp;")")</f>
        <v/>
      </c>
      <c r="I876">
        <f>IF($A876="","",IF($E876=1,$H876,$I875&amp;", "&amp;$H876))</f>
        <v/>
      </c>
      <c r="J876">
        <f>IF($A876="","",IF($E876=1,$B876,""))</f>
        <v/>
      </c>
      <c r="K876">
        <f>IF($A876="","",IF(COUNTIF($B$2:$B876,$B876)=COUNTIF($B$2:$B$1601,$B876),$B876,""))</f>
        <v/>
      </c>
    </row>
    <row r="877">
      <c r="A877">
        <f>IF('TMP Paste'!$E877="","",'TMP Paste'!$E877)</f>
        <v/>
      </c>
      <c r="B877">
        <f>IF($A877="","",COUNTIF('TMP Paste'!$B$2:$B877,"?*"))</f>
        <v/>
      </c>
      <c r="C877">
        <f>IF($A877="","",IFERROR('TMP Paste'!$M877*1,0))</f>
        <v/>
      </c>
      <c r="D877">
        <f>IF($A877="","",SUMIF($B$2:$B877,$B877,$C$2:$C877))</f>
        <v/>
      </c>
      <c r="E877">
        <f>IF($A877="",0,IF('TMP Paste'!$B877="",0,1))</f>
        <v/>
      </c>
      <c r="F877">
        <f>IF(OR($A877="",$C877&lt;1),"",$A877&amp;"-"&amp;TEXT(($D877-$C877+1),"00")&amp;IF($C877&gt;=2,", "&amp;$A877&amp;"-"&amp;TEXT(($D877-$C877+1)+1,"00"),"")&amp;IF($C877&gt;=3,", "&amp;$A877&amp;"-"&amp;TEXT(($D877-$C877+1)+2,"00"),"")&amp;IF($C877&gt;=4,", "&amp;$A877&amp;"-"&amp;TEXT(($D877-$C877+1)+3,"00"),"")&amp;IF($C877&gt;=5,", "&amp;$A877&amp;"-"&amp;TEXT(($D877-$C877+1)+4,"00"),"")&amp;IF($C877&gt;=6,", "&amp;$A877&amp;"-"&amp;TEXT(($D877-$C877+1)+5,"00"),"")&amp;IF($C877&gt;=7,", "&amp;$A877&amp;"-"&amp;TEXT(($D877-$C877+1)+6,"00"),"")&amp;IF($C877&gt;=8,", "&amp;$A877&amp;"-"&amp;TEXT(($D877-$C877+1)+7,"00"),"")&amp;IF($C877&gt;=9,", "&amp;$A877&amp;"-"&amp;TEXT(($D877-$C877+1)+8,"00"),"")&amp;IF($C877&gt;=10,", "&amp;$A877&amp;"-"&amp;TEXT(($D877-$C877+1)+9,"00"),"")&amp;IF($C877&gt;=11,", "&amp;$A877&amp;"-"&amp;TEXT(($D877-$C877+1)+10,"00"),"")&amp;IF($C877&gt;=12,", "&amp;$A877&amp;"-"&amp;TEXT(($D877-$C877+1)+11,"00"),"")&amp;IF($C877&gt;=13,", "&amp;$A877&amp;"-"&amp;TEXT(($D877-$C877+1)+12,"00"),"")&amp;IF($C877&gt;=14,", "&amp;$A877&amp;"-"&amp;TEXT(($D877-$C877+1)+13,"00"),"")&amp;IF($C877&gt;=15,", "&amp;$A877&amp;"-"&amp;TEXT(($D877-$C877+1)+14,"00"),"")&amp;IF($C877&gt;=16,", "&amp;$A877&amp;"-"&amp;TEXT(($D877-$C877+1)+15,"00"),"")&amp;IF($C877&gt;=17,", "&amp;$A877&amp;"-"&amp;TEXT(($D877-$C877+1)+16,"00"),"")&amp;IF($C877&gt;=18,", "&amp;$A877&amp;"-"&amp;TEXT(($D877-$C877+1)+17,"00"),"")&amp;IF($C877&gt;=19,", "&amp;$A877&amp;"-"&amp;TEXT(($D877-$C877+1)+18,"00"),"")&amp;IF($C877&gt;=20,", "&amp;$A877&amp;"-"&amp;TEXT(($D877-$C877+1)+19,"00"),"")&amp;IF($C877&gt;=21,", "&amp;$A877&amp;"-"&amp;TEXT(($D877-$C877+1)+20,"00"),"")&amp;IF($C877&gt;=22,", "&amp;$A877&amp;"-"&amp;TEXT(($D877-$C877+1)+21,"00"),"")&amp;IF($C877&gt;=23,", "&amp;$A877&amp;"-"&amp;TEXT(($D877-$C877+1)+22,"00"),"")&amp;IF($C877&gt;=24,", "&amp;$A877&amp;"-"&amp;TEXT(($D877-$C877+1)+23,"00"),"")&amp;IF($C877&gt;=25,", "&amp;$A877&amp;"-"&amp;TEXT(($D877-$C877+1)+24,"00"),""))</f>
        <v/>
      </c>
      <c r="G877">
        <f>IF($A877="","",IF($E877=1,$F877,IF($F877="",$G876,IF($G876="",$F877,$G876&amp;", "&amp;$F877))))</f>
        <v/>
      </c>
      <c r="H877">
        <f>IF($A877="","",$A877&amp;" ("&amp;$C877&amp;")")</f>
        <v/>
      </c>
      <c r="I877">
        <f>IF($A877="","",IF($E877=1,$H877,$I876&amp;", "&amp;$H877))</f>
        <v/>
      </c>
      <c r="J877">
        <f>IF($A877="","",IF($E877=1,$B877,""))</f>
        <v/>
      </c>
      <c r="K877">
        <f>IF($A877="","",IF(COUNTIF($B$2:$B877,$B877)=COUNTIF($B$2:$B$1601,$B877),$B877,""))</f>
        <v/>
      </c>
    </row>
    <row r="878">
      <c r="A878">
        <f>IF('TMP Paste'!$E878="","",'TMP Paste'!$E878)</f>
        <v/>
      </c>
      <c r="B878">
        <f>IF($A878="","",COUNTIF('TMP Paste'!$B$2:$B878,"?*"))</f>
        <v/>
      </c>
      <c r="C878">
        <f>IF($A878="","",IFERROR('TMP Paste'!$M878*1,0))</f>
        <v/>
      </c>
      <c r="D878">
        <f>IF($A878="","",SUMIF($B$2:$B878,$B878,$C$2:$C878))</f>
        <v/>
      </c>
      <c r="E878">
        <f>IF($A878="",0,IF('TMP Paste'!$B878="",0,1))</f>
        <v/>
      </c>
      <c r="F878">
        <f>IF(OR($A878="",$C878&lt;1),"",$A878&amp;"-"&amp;TEXT(($D878-$C878+1),"00")&amp;IF($C878&gt;=2,", "&amp;$A878&amp;"-"&amp;TEXT(($D878-$C878+1)+1,"00"),"")&amp;IF($C878&gt;=3,", "&amp;$A878&amp;"-"&amp;TEXT(($D878-$C878+1)+2,"00"),"")&amp;IF($C878&gt;=4,", "&amp;$A878&amp;"-"&amp;TEXT(($D878-$C878+1)+3,"00"),"")&amp;IF($C878&gt;=5,", "&amp;$A878&amp;"-"&amp;TEXT(($D878-$C878+1)+4,"00"),"")&amp;IF($C878&gt;=6,", "&amp;$A878&amp;"-"&amp;TEXT(($D878-$C878+1)+5,"00"),"")&amp;IF($C878&gt;=7,", "&amp;$A878&amp;"-"&amp;TEXT(($D878-$C878+1)+6,"00"),"")&amp;IF($C878&gt;=8,", "&amp;$A878&amp;"-"&amp;TEXT(($D878-$C878+1)+7,"00"),"")&amp;IF($C878&gt;=9,", "&amp;$A878&amp;"-"&amp;TEXT(($D878-$C878+1)+8,"00"),"")&amp;IF($C878&gt;=10,", "&amp;$A878&amp;"-"&amp;TEXT(($D878-$C878+1)+9,"00"),"")&amp;IF($C878&gt;=11,", "&amp;$A878&amp;"-"&amp;TEXT(($D878-$C878+1)+10,"00"),"")&amp;IF($C878&gt;=12,", "&amp;$A878&amp;"-"&amp;TEXT(($D878-$C878+1)+11,"00"),"")&amp;IF($C878&gt;=13,", "&amp;$A878&amp;"-"&amp;TEXT(($D878-$C878+1)+12,"00"),"")&amp;IF($C878&gt;=14,", "&amp;$A878&amp;"-"&amp;TEXT(($D878-$C878+1)+13,"00"),"")&amp;IF($C878&gt;=15,", "&amp;$A878&amp;"-"&amp;TEXT(($D878-$C878+1)+14,"00"),"")&amp;IF($C878&gt;=16,", "&amp;$A878&amp;"-"&amp;TEXT(($D878-$C878+1)+15,"00"),"")&amp;IF($C878&gt;=17,", "&amp;$A878&amp;"-"&amp;TEXT(($D878-$C878+1)+16,"00"),"")&amp;IF($C878&gt;=18,", "&amp;$A878&amp;"-"&amp;TEXT(($D878-$C878+1)+17,"00"),"")&amp;IF($C878&gt;=19,", "&amp;$A878&amp;"-"&amp;TEXT(($D878-$C878+1)+18,"00"),"")&amp;IF($C878&gt;=20,", "&amp;$A878&amp;"-"&amp;TEXT(($D878-$C878+1)+19,"00"),"")&amp;IF($C878&gt;=21,", "&amp;$A878&amp;"-"&amp;TEXT(($D878-$C878+1)+20,"00"),"")&amp;IF($C878&gt;=22,", "&amp;$A878&amp;"-"&amp;TEXT(($D878-$C878+1)+21,"00"),"")&amp;IF($C878&gt;=23,", "&amp;$A878&amp;"-"&amp;TEXT(($D878-$C878+1)+22,"00"),"")&amp;IF($C878&gt;=24,", "&amp;$A878&amp;"-"&amp;TEXT(($D878-$C878+1)+23,"00"),"")&amp;IF($C878&gt;=25,", "&amp;$A878&amp;"-"&amp;TEXT(($D878-$C878+1)+24,"00"),""))</f>
        <v/>
      </c>
      <c r="G878">
        <f>IF($A878="","",IF($E878=1,$F878,IF($F878="",$G877,IF($G877="",$F878,$G877&amp;", "&amp;$F878))))</f>
        <v/>
      </c>
      <c r="H878">
        <f>IF($A878="","",$A878&amp;" ("&amp;$C878&amp;")")</f>
        <v/>
      </c>
      <c r="I878">
        <f>IF($A878="","",IF($E878=1,$H878,$I877&amp;", "&amp;$H878))</f>
        <v/>
      </c>
      <c r="J878">
        <f>IF($A878="","",IF($E878=1,$B878,""))</f>
        <v/>
      </c>
      <c r="K878">
        <f>IF($A878="","",IF(COUNTIF($B$2:$B878,$B878)=COUNTIF($B$2:$B$1601,$B878),$B878,""))</f>
        <v/>
      </c>
    </row>
    <row r="879">
      <c r="A879">
        <f>IF('TMP Paste'!$E879="","",'TMP Paste'!$E879)</f>
        <v/>
      </c>
      <c r="B879">
        <f>IF($A879="","",COUNTIF('TMP Paste'!$B$2:$B879,"?*"))</f>
        <v/>
      </c>
      <c r="C879">
        <f>IF($A879="","",IFERROR('TMP Paste'!$M879*1,0))</f>
        <v/>
      </c>
      <c r="D879">
        <f>IF($A879="","",SUMIF($B$2:$B879,$B879,$C$2:$C879))</f>
        <v/>
      </c>
      <c r="E879">
        <f>IF($A879="",0,IF('TMP Paste'!$B879="",0,1))</f>
        <v/>
      </c>
      <c r="F879">
        <f>IF(OR($A879="",$C879&lt;1),"",$A879&amp;"-"&amp;TEXT(($D879-$C879+1),"00")&amp;IF($C879&gt;=2,", "&amp;$A879&amp;"-"&amp;TEXT(($D879-$C879+1)+1,"00"),"")&amp;IF($C879&gt;=3,", "&amp;$A879&amp;"-"&amp;TEXT(($D879-$C879+1)+2,"00"),"")&amp;IF($C879&gt;=4,", "&amp;$A879&amp;"-"&amp;TEXT(($D879-$C879+1)+3,"00"),"")&amp;IF($C879&gt;=5,", "&amp;$A879&amp;"-"&amp;TEXT(($D879-$C879+1)+4,"00"),"")&amp;IF($C879&gt;=6,", "&amp;$A879&amp;"-"&amp;TEXT(($D879-$C879+1)+5,"00"),"")&amp;IF($C879&gt;=7,", "&amp;$A879&amp;"-"&amp;TEXT(($D879-$C879+1)+6,"00"),"")&amp;IF($C879&gt;=8,", "&amp;$A879&amp;"-"&amp;TEXT(($D879-$C879+1)+7,"00"),"")&amp;IF($C879&gt;=9,", "&amp;$A879&amp;"-"&amp;TEXT(($D879-$C879+1)+8,"00"),"")&amp;IF($C879&gt;=10,", "&amp;$A879&amp;"-"&amp;TEXT(($D879-$C879+1)+9,"00"),"")&amp;IF($C879&gt;=11,", "&amp;$A879&amp;"-"&amp;TEXT(($D879-$C879+1)+10,"00"),"")&amp;IF($C879&gt;=12,", "&amp;$A879&amp;"-"&amp;TEXT(($D879-$C879+1)+11,"00"),"")&amp;IF($C879&gt;=13,", "&amp;$A879&amp;"-"&amp;TEXT(($D879-$C879+1)+12,"00"),"")&amp;IF($C879&gt;=14,", "&amp;$A879&amp;"-"&amp;TEXT(($D879-$C879+1)+13,"00"),"")&amp;IF($C879&gt;=15,", "&amp;$A879&amp;"-"&amp;TEXT(($D879-$C879+1)+14,"00"),"")&amp;IF($C879&gt;=16,", "&amp;$A879&amp;"-"&amp;TEXT(($D879-$C879+1)+15,"00"),"")&amp;IF($C879&gt;=17,", "&amp;$A879&amp;"-"&amp;TEXT(($D879-$C879+1)+16,"00"),"")&amp;IF($C879&gt;=18,", "&amp;$A879&amp;"-"&amp;TEXT(($D879-$C879+1)+17,"00"),"")&amp;IF($C879&gt;=19,", "&amp;$A879&amp;"-"&amp;TEXT(($D879-$C879+1)+18,"00"),"")&amp;IF($C879&gt;=20,", "&amp;$A879&amp;"-"&amp;TEXT(($D879-$C879+1)+19,"00"),"")&amp;IF($C879&gt;=21,", "&amp;$A879&amp;"-"&amp;TEXT(($D879-$C879+1)+20,"00"),"")&amp;IF($C879&gt;=22,", "&amp;$A879&amp;"-"&amp;TEXT(($D879-$C879+1)+21,"00"),"")&amp;IF($C879&gt;=23,", "&amp;$A879&amp;"-"&amp;TEXT(($D879-$C879+1)+22,"00"),"")&amp;IF($C879&gt;=24,", "&amp;$A879&amp;"-"&amp;TEXT(($D879-$C879+1)+23,"00"),"")&amp;IF($C879&gt;=25,", "&amp;$A879&amp;"-"&amp;TEXT(($D879-$C879+1)+24,"00"),""))</f>
        <v/>
      </c>
      <c r="G879">
        <f>IF($A879="","",IF($E879=1,$F879,IF($F879="",$G878,IF($G878="",$F879,$G878&amp;", "&amp;$F879))))</f>
        <v/>
      </c>
      <c r="H879">
        <f>IF($A879="","",$A879&amp;" ("&amp;$C879&amp;")")</f>
        <v/>
      </c>
      <c r="I879">
        <f>IF($A879="","",IF($E879=1,$H879,$I878&amp;", "&amp;$H879))</f>
        <v/>
      </c>
      <c r="J879">
        <f>IF($A879="","",IF($E879=1,$B879,""))</f>
        <v/>
      </c>
      <c r="K879">
        <f>IF($A879="","",IF(COUNTIF($B$2:$B879,$B879)=COUNTIF($B$2:$B$1601,$B879),$B879,""))</f>
        <v/>
      </c>
    </row>
    <row r="880">
      <c r="A880">
        <f>IF('TMP Paste'!$E880="","",'TMP Paste'!$E880)</f>
        <v/>
      </c>
      <c r="B880">
        <f>IF($A880="","",COUNTIF('TMP Paste'!$B$2:$B880,"?*"))</f>
        <v/>
      </c>
      <c r="C880">
        <f>IF($A880="","",IFERROR('TMP Paste'!$M880*1,0))</f>
        <v/>
      </c>
      <c r="D880">
        <f>IF($A880="","",SUMIF($B$2:$B880,$B880,$C$2:$C880))</f>
        <v/>
      </c>
      <c r="E880">
        <f>IF($A880="",0,IF('TMP Paste'!$B880="",0,1))</f>
        <v/>
      </c>
      <c r="F880">
        <f>IF(OR($A880="",$C880&lt;1),"",$A880&amp;"-"&amp;TEXT(($D880-$C880+1),"00")&amp;IF($C880&gt;=2,", "&amp;$A880&amp;"-"&amp;TEXT(($D880-$C880+1)+1,"00"),"")&amp;IF($C880&gt;=3,", "&amp;$A880&amp;"-"&amp;TEXT(($D880-$C880+1)+2,"00"),"")&amp;IF($C880&gt;=4,", "&amp;$A880&amp;"-"&amp;TEXT(($D880-$C880+1)+3,"00"),"")&amp;IF($C880&gt;=5,", "&amp;$A880&amp;"-"&amp;TEXT(($D880-$C880+1)+4,"00"),"")&amp;IF($C880&gt;=6,", "&amp;$A880&amp;"-"&amp;TEXT(($D880-$C880+1)+5,"00"),"")&amp;IF($C880&gt;=7,", "&amp;$A880&amp;"-"&amp;TEXT(($D880-$C880+1)+6,"00"),"")&amp;IF($C880&gt;=8,", "&amp;$A880&amp;"-"&amp;TEXT(($D880-$C880+1)+7,"00"),"")&amp;IF($C880&gt;=9,", "&amp;$A880&amp;"-"&amp;TEXT(($D880-$C880+1)+8,"00"),"")&amp;IF($C880&gt;=10,", "&amp;$A880&amp;"-"&amp;TEXT(($D880-$C880+1)+9,"00"),"")&amp;IF($C880&gt;=11,", "&amp;$A880&amp;"-"&amp;TEXT(($D880-$C880+1)+10,"00"),"")&amp;IF($C880&gt;=12,", "&amp;$A880&amp;"-"&amp;TEXT(($D880-$C880+1)+11,"00"),"")&amp;IF($C880&gt;=13,", "&amp;$A880&amp;"-"&amp;TEXT(($D880-$C880+1)+12,"00"),"")&amp;IF($C880&gt;=14,", "&amp;$A880&amp;"-"&amp;TEXT(($D880-$C880+1)+13,"00"),"")&amp;IF($C880&gt;=15,", "&amp;$A880&amp;"-"&amp;TEXT(($D880-$C880+1)+14,"00"),"")&amp;IF($C880&gt;=16,", "&amp;$A880&amp;"-"&amp;TEXT(($D880-$C880+1)+15,"00"),"")&amp;IF($C880&gt;=17,", "&amp;$A880&amp;"-"&amp;TEXT(($D880-$C880+1)+16,"00"),"")&amp;IF($C880&gt;=18,", "&amp;$A880&amp;"-"&amp;TEXT(($D880-$C880+1)+17,"00"),"")&amp;IF($C880&gt;=19,", "&amp;$A880&amp;"-"&amp;TEXT(($D880-$C880+1)+18,"00"),"")&amp;IF($C880&gt;=20,", "&amp;$A880&amp;"-"&amp;TEXT(($D880-$C880+1)+19,"00"),"")&amp;IF($C880&gt;=21,", "&amp;$A880&amp;"-"&amp;TEXT(($D880-$C880+1)+20,"00"),"")&amp;IF($C880&gt;=22,", "&amp;$A880&amp;"-"&amp;TEXT(($D880-$C880+1)+21,"00"),"")&amp;IF($C880&gt;=23,", "&amp;$A880&amp;"-"&amp;TEXT(($D880-$C880+1)+22,"00"),"")&amp;IF($C880&gt;=24,", "&amp;$A880&amp;"-"&amp;TEXT(($D880-$C880+1)+23,"00"),"")&amp;IF($C880&gt;=25,", "&amp;$A880&amp;"-"&amp;TEXT(($D880-$C880+1)+24,"00"),""))</f>
        <v/>
      </c>
      <c r="G880">
        <f>IF($A880="","",IF($E880=1,$F880,IF($F880="",$G879,IF($G879="",$F880,$G879&amp;", "&amp;$F880))))</f>
        <v/>
      </c>
      <c r="H880">
        <f>IF($A880="","",$A880&amp;" ("&amp;$C880&amp;")")</f>
        <v/>
      </c>
      <c r="I880">
        <f>IF($A880="","",IF($E880=1,$H880,$I879&amp;", "&amp;$H880))</f>
        <v/>
      </c>
      <c r="J880">
        <f>IF($A880="","",IF($E880=1,$B880,""))</f>
        <v/>
      </c>
      <c r="K880">
        <f>IF($A880="","",IF(COUNTIF($B$2:$B880,$B880)=COUNTIF($B$2:$B$1601,$B880),$B880,""))</f>
        <v/>
      </c>
    </row>
    <row r="881">
      <c r="A881">
        <f>IF('TMP Paste'!$E881="","",'TMP Paste'!$E881)</f>
        <v/>
      </c>
      <c r="B881">
        <f>IF($A881="","",COUNTIF('TMP Paste'!$B$2:$B881,"?*"))</f>
        <v/>
      </c>
      <c r="C881">
        <f>IF($A881="","",IFERROR('TMP Paste'!$M881*1,0))</f>
        <v/>
      </c>
      <c r="D881">
        <f>IF($A881="","",SUMIF($B$2:$B881,$B881,$C$2:$C881))</f>
        <v/>
      </c>
      <c r="E881">
        <f>IF($A881="",0,IF('TMP Paste'!$B881="",0,1))</f>
        <v/>
      </c>
      <c r="F881">
        <f>IF(OR($A881="",$C881&lt;1),"",$A881&amp;"-"&amp;TEXT(($D881-$C881+1),"00")&amp;IF($C881&gt;=2,", "&amp;$A881&amp;"-"&amp;TEXT(($D881-$C881+1)+1,"00"),"")&amp;IF($C881&gt;=3,", "&amp;$A881&amp;"-"&amp;TEXT(($D881-$C881+1)+2,"00"),"")&amp;IF($C881&gt;=4,", "&amp;$A881&amp;"-"&amp;TEXT(($D881-$C881+1)+3,"00"),"")&amp;IF($C881&gt;=5,", "&amp;$A881&amp;"-"&amp;TEXT(($D881-$C881+1)+4,"00"),"")&amp;IF($C881&gt;=6,", "&amp;$A881&amp;"-"&amp;TEXT(($D881-$C881+1)+5,"00"),"")&amp;IF($C881&gt;=7,", "&amp;$A881&amp;"-"&amp;TEXT(($D881-$C881+1)+6,"00"),"")&amp;IF($C881&gt;=8,", "&amp;$A881&amp;"-"&amp;TEXT(($D881-$C881+1)+7,"00"),"")&amp;IF($C881&gt;=9,", "&amp;$A881&amp;"-"&amp;TEXT(($D881-$C881+1)+8,"00"),"")&amp;IF($C881&gt;=10,", "&amp;$A881&amp;"-"&amp;TEXT(($D881-$C881+1)+9,"00"),"")&amp;IF($C881&gt;=11,", "&amp;$A881&amp;"-"&amp;TEXT(($D881-$C881+1)+10,"00"),"")&amp;IF($C881&gt;=12,", "&amp;$A881&amp;"-"&amp;TEXT(($D881-$C881+1)+11,"00"),"")&amp;IF($C881&gt;=13,", "&amp;$A881&amp;"-"&amp;TEXT(($D881-$C881+1)+12,"00"),"")&amp;IF($C881&gt;=14,", "&amp;$A881&amp;"-"&amp;TEXT(($D881-$C881+1)+13,"00"),"")&amp;IF($C881&gt;=15,", "&amp;$A881&amp;"-"&amp;TEXT(($D881-$C881+1)+14,"00"),"")&amp;IF($C881&gt;=16,", "&amp;$A881&amp;"-"&amp;TEXT(($D881-$C881+1)+15,"00"),"")&amp;IF($C881&gt;=17,", "&amp;$A881&amp;"-"&amp;TEXT(($D881-$C881+1)+16,"00"),"")&amp;IF($C881&gt;=18,", "&amp;$A881&amp;"-"&amp;TEXT(($D881-$C881+1)+17,"00"),"")&amp;IF($C881&gt;=19,", "&amp;$A881&amp;"-"&amp;TEXT(($D881-$C881+1)+18,"00"),"")&amp;IF($C881&gt;=20,", "&amp;$A881&amp;"-"&amp;TEXT(($D881-$C881+1)+19,"00"),"")&amp;IF($C881&gt;=21,", "&amp;$A881&amp;"-"&amp;TEXT(($D881-$C881+1)+20,"00"),"")&amp;IF($C881&gt;=22,", "&amp;$A881&amp;"-"&amp;TEXT(($D881-$C881+1)+21,"00"),"")&amp;IF($C881&gt;=23,", "&amp;$A881&amp;"-"&amp;TEXT(($D881-$C881+1)+22,"00"),"")&amp;IF($C881&gt;=24,", "&amp;$A881&amp;"-"&amp;TEXT(($D881-$C881+1)+23,"00"),"")&amp;IF($C881&gt;=25,", "&amp;$A881&amp;"-"&amp;TEXT(($D881-$C881+1)+24,"00"),""))</f>
        <v/>
      </c>
      <c r="G881">
        <f>IF($A881="","",IF($E881=1,$F881,IF($F881="",$G880,IF($G880="",$F881,$G880&amp;", "&amp;$F881))))</f>
        <v/>
      </c>
      <c r="H881">
        <f>IF($A881="","",$A881&amp;" ("&amp;$C881&amp;")")</f>
        <v/>
      </c>
      <c r="I881">
        <f>IF($A881="","",IF($E881=1,$H881,$I880&amp;", "&amp;$H881))</f>
        <v/>
      </c>
      <c r="J881">
        <f>IF($A881="","",IF($E881=1,$B881,""))</f>
        <v/>
      </c>
      <c r="K881">
        <f>IF($A881="","",IF(COUNTIF($B$2:$B881,$B881)=COUNTIF($B$2:$B$1601,$B881),$B881,""))</f>
        <v/>
      </c>
    </row>
    <row r="882">
      <c r="A882">
        <f>IF('TMP Paste'!$E882="","",'TMP Paste'!$E882)</f>
        <v/>
      </c>
      <c r="B882">
        <f>IF($A882="","",COUNTIF('TMP Paste'!$B$2:$B882,"?*"))</f>
        <v/>
      </c>
      <c r="C882">
        <f>IF($A882="","",IFERROR('TMP Paste'!$M882*1,0))</f>
        <v/>
      </c>
      <c r="D882">
        <f>IF($A882="","",SUMIF($B$2:$B882,$B882,$C$2:$C882))</f>
        <v/>
      </c>
      <c r="E882">
        <f>IF($A882="",0,IF('TMP Paste'!$B882="",0,1))</f>
        <v/>
      </c>
      <c r="F882">
        <f>IF(OR($A882="",$C882&lt;1),"",$A882&amp;"-"&amp;TEXT(($D882-$C882+1),"00")&amp;IF($C882&gt;=2,", "&amp;$A882&amp;"-"&amp;TEXT(($D882-$C882+1)+1,"00"),"")&amp;IF($C882&gt;=3,", "&amp;$A882&amp;"-"&amp;TEXT(($D882-$C882+1)+2,"00"),"")&amp;IF($C882&gt;=4,", "&amp;$A882&amp;"-"&amp;TEXT(($D882-$C882+1)+3,"00"),"")&amp;IF($C882&gt;=5,", "&amp;$A882&amp;"-"&amp;TEXT(($D882-$C882+1)+4,"00"),"")&amp;IF($C882&gt;=6,", "&amp;$A882&amp;"-"&amp;TEXT(($D882-$C882+1)+5,"00"),"")&amp;IF($C882&gt;=7,", "&amp;$A882&amp;"-"&amp;TEXT(($D882-$C882+1)+6,"00"),"")&amp;IF($C882&gt;=8,", "&amp;$A882&amp;"-"&amp;TEXT(($D882-$C882+1)+7,"00"),"")&amp;IF($C882&gt;=9,", "&amp;$A882&amp;"-"&amp;TEXT(($D882-$C882+1)+8,"00"),"")&amp;IF($C882&gt;=10,", "&amp;$A882&amp;"-"&amp;TEXT(($D882-$C882+1)+9,"00"),"")&amp;IF($C882&gt;=11,", "&amp;$A882&amp;"-"&amp;TEXT(($D882-$C882+1)+10,"00"),"")&amp;IF($C882&gt;=12,", "&amp;$A882&amp;"-"&amp;TEXT(($D882-$C882+1)+11,"00"),"")&amp;IF($C882&gt;=13,", "&amp;$A882&amp;"-"&amp;TEXT(($D882-$C882+1)+12,"00"),"")&amp;IF($C882&gt;=14,", "&amp;$A882&amp;"-"&amp;TEXT(($D882-$C882+1)+13,"00"),"")&amp;IF($C882&gt;=15,", "&amp;$A882&amp;"-"&amp;TEXT(($D882-$C882+1)+14,"00"),"")&amp;IF($C882&gt;=16,", "&amp;$A882&amp;"-"&amp;TEXT(($D882-$C882+1)+15,"00"),"")&amp;IF($C882&gt;=17,", "&amp;$A882&amp;"-"&amp;TEXT(($D882-$C882+1)+16,"00"),"")&amp;IF($C882&gt;=18,", "&amp;$A882&amp;"-"&amp;TEXT(($D882-$C882+1)+17,"00"),"")&amp;IF($C882&gt;=19,", "&amp;$A882&amp;"-"&amp;TEXT(($D882-$C882+1)+18,"00"),"")&amp;IF($C882&gt;=20,", "&amp;$A882&amp;"-"&amp;TEXT(($D882-$C882+1)+19,"00"),"")&amp;IF($C882&gt;=21,", "&amp;$A882&amp;"-"&amp;TEXT(($D882-$C882+1)+20,"00"),"")&amp;IF($C882&gt;=22,", "&amp;$A882&amp;"-"&amp;TEXT(($D882-$C882+1)+21,"00"),"")&amp;IF($C882&gt;=23,", "&amp;$A882&amp;"-"&amp;TEXT(($D882-$C882+1)+22,"00"),"")&amp;IF($C882&gt;=24,", "&amp;$A882&amp;"-"&amp;TEXT(($D882-$C882+1)+23,"00"),"")&amp;IF($C882&gt;=25,", "&amp;$A882&amp;"-"&amp;TEXT(($D882-$C882+1)+24,"00"),""))</f>
        <v/>
      </c>
      <c r="G882">
        <f>IF($A882="","",IF($E882=1,$F882,IF($F882="",$G881,IF($G881="",$F882,$G881&amp;", "&amp;$F882))))</f>
        <v/>
      </c>
      <c r="H882">
        <f>IF($A882="","",$A882&amp;" ("&amp;$C882&amp;")")</f>
        <v/>
      </c>
      <c r="I882">
        <f>IF($A882="","",IF($E882=1,$H882,$I881&amp;", "&amp;$H882))</f>
        <v/>
      </c>
      <c r="J882">
        <f>IF($A882="","",IF($E882=1,$B882,""))</f>
        <v/>
      </c>
      <c r="K882">
        <f>IF($A882="","",IF(COUNTIF($B$2:$B882,$B882)=COUNTIF($B$2:$B$1601,$B882),$B882,""))</f>
        <v/>
      </c>
    </row>
    <row r="883">
      <c r="A883">
        <f>IF('TMP Paste'!$E883="","",'TMP Paste'!$E883)</f>
        <v/>
      </c>
      <c r="B883">
        <f>IF($A883="","",COUNTIF('TMP Paste'!$B$2:$B883,"?*"))</f>
        <v/>
      </c>
      <c r="C883">
        <f>IF($A883="","",IFERROR('TMP Paste'!$M883*1,0))</f>
        <v/>
      </c>
      <c r="D883">
        <f>IF($A883="","",SUMIF($B$2:$B883,$B883,$C$2:$C883))</f>
        <v/>
      </c>
      <c r="E883">
        <f>IF($A883="",0,IF('TMP Paste'!$B883="",0,1))</f>
        <v/>
      </c>
      <c r="F883">
        <f>IF(OR($A883="",$C883&lt;1),"",$A883&amp;"-"&amp;TEXT(($D883-$C883+1),"00")&amp;IF($C883&gt;=2,", "&amp;$A883&amp;"-"&amp;TEXT(($D883-$C883+1)+1,"00"),"")&amp;IF($C883&gt;=3,", "&amp;$A883&amp;"-"&amp;TEXT(($D883-$C883+1)+2,"00"),"")&amp;IF($C883&gt;=4,", "&amp;$A883&amp;"-"&amp;TEXT(($D883-$C883+1)+3,"00"),"")&amp;IF($C883&gt;=5,", "&amp;$A883&amp;"-"&amp;TEXT(($D883-$C883+1)+4,"00"),"")&amp;IF($C883&gt;=6,", "&amp;$A883&amp;"-"&amp;TEXT(($D883-$C883+1)+5,"00"),"")&amp;IF($C883&gt;=7,", "&amp;$A883&amp;"-"&amp;TEXT(($D883-$C883+1)+6,"00"),"")&amp;IF($C883&gt;=8,", "&amp;$A883&amp;"-"&amp;TEXT(($D883-$C883+1)+7,"00"),"")&amp;IF($C883&gt;=9,", "&amp;$A883&amp;"-"&amp;TEXT(($D883-$C883+1)+8,"00"),"")&amp;IF($C883&gt;=10,", "&amp;$A883&amp;"-"&amp;TEXT(($D883-$C883+1)+9,"00"),"")&amp;IF($C883&gt;=11,", "&amp;$A883&amp;"-"&amp;TEXT(($D883-$C883+1)+10,"00"),"")&amp;IF($C883&gt;=12,", "&amp;$A883&amp;"-"&amp;TEXT(($D883-$C883+1)+11,"00"),"")&amp;IF($C883&gt;=13,", "&amp;$A883&amp;"-"&amp;TEXT(($D883-$C883+1)+12,"00"),"")&amp;IF($C883&gt;=14,", "&amp;$A883&amp;"-"&amp;TEXT(($D883-$C883+1)+13,"00"),"")&amp;IF($C883&gt;=15,", "&amp;$A883&amp;"-"&amp;TEXT(($D883-$C883+1)+14,"00"),"")&amp;IF($C883&gt;=16,", "&amp;$A883&amp;"-"&amp;TEXT(($D883-$C883+1)+15,"00"),"")&amp;IF($C883&gt;=17,", "&amp;$A883&amp;"-"&amp;TEXT(($D883-$C883+1)+16,"00"),"")&amp;IF($C883&gt;=18,", "&amp;$A883&amp;"-"&amp;TEXT(($D883-$C883+1)+17,"00"),"")&amp;IF($C883&gt;=19,", "&amp;$A883&amp;"-"&amp;TEXT(($D883-$C883+1)+18,"00"),"")&amp;IF($C883&gt;=20,", "&amp;$A883&amp;"-"&amp;TEXT(($D883-$C883+1)+19,"00"),"")&amp;IF($C883&gt;=21,", "&amp;$A883&amp;"-"&amp;TEXT(($D883-$C883+1)+20,"00"),"")&amp;IF($C883&gt;=22,", "&amp;$A883&amp;"-"&amp;TEXT(($D883-$C883+1)+21,"00"),"")&amp;IF($C883&gt;=23,", "&amp;$A883&amp;"-"&amp;TEXT(($D883-$C883+1)+22,"00"),"")&amp;IF($C883&gt;=24,", "&amp;$A883&amp;"-"&amp;TEXT(($D883-$C883+1)+23,"00"),"")&amp;IF($C883&gt;=25,", "&amp;$A883&amp;"-"&amp;TEXT(($D883-$C883+1)+24,"00"),""))</f>
        <v/>
      </c>
      <c r="G883">
        <f>IF($A883="","",IF($E883=1,$F883,IF($F883="",$G882,IF($G882="",$F883,$G882&amp;", "&amp;$F883))))</f>
        <v/>
      </c>
      <c r="H883">
        <f>IF($A883="","",$A883&amp;" ("&amp;$C883&amp;")")</f>
        <v/>
      </c>
      <c r="I883">
        <f>IF($A883="","",IF($E883=1,$H883,$I882&amp;", "&amp;$H883))</f>
        <v/>
      </c>
      <c r="J883">
        <f>IF($A883="","",IF($E883=1,$B883,""))</f>
        <v/>
      </c>
      <c r="K883">
        <f>IF($A883="","",IF(COUNTIF($B$2:$B883,$B883)=COUNTIF($B$2:$B$1601,$B883),$B883,""))</f>
        <v/>
      </c>
    </row>
    <row r="884">
      <c r="A884">
        <f>IF('TMP Paste'!$E884="","",'TMP Paste'!$E884)</f>
        <v/>
      </c>
      <c r="B884">
        <f>IF($A884="","",COUNTIF('TMP Paste'!$B$2:$B884,"?*"))</f>
        <v/>
      </c>
      <c r="C884">
        <f>IF($A884="","",IFERROR('TMP Paste'!$M884*1,0))</f>
        <v/>
      </c>
      <c r="D884">
        <f>IF($A884="","",SUMIF($B$2:$B884,$B884,$C$2:$C884))</f>
        <v/>
      </c>
      <c r="E884">
        <f>IF($A884="",0,IF('TMP Paste'!$B884="",0,1))</f>
        <v/>
      </c>
      <c r="F884">
        <f>IF(OR($A884="",$C884&lt;1),"",$A884&amp;"-"&amp;TEXT(($D884-$C884+1),"00")&amp;IF($C884&gt;=2,", "&amp;$A884&amp;"-"&amp;TEXT(($D884-$C884+1)+1,"00"),"")&amp;IF($C884&gt;=3,", "&amp;$A884&amp;"-"&amp;TEXT(($D884-$C884+1)+2,"00"),"")&amp;IF($C884&gt;=4,", "&amp;$A884&amp;"-"&amp;TEXT(($D884-$C884+1)+3,"00"),"")&amp;IF($C884&gt;=5,", "&amp;$A884&amp;"-"&amp;TEXT(($D884-$C884+1)+4,"00"),"")&amp;IF($C884&gt;=6,", "&amp;$A884&amp;"-"&amp;TEXT(($D884-$C884+1)+5,"00"),"")&amp;IF($C884&gt;=7,", "&amp;$A884&amp;"-"&amp;TEXT(($D884-$C884+1)+6,"00"),"")&amp;IF($C884&gt;=8,", "&amp;$A884&amp;"-"&amp;TEXT(($D884-$C884+1)+7,"00"),"")&amp;IF($C884&gt;=9,", "&amp;$A884&amp;"-"&amp;TEXT(($D884-$C884+1)+8,"00"),"")&amp;IF($C884&gt;=10,", "&amp;$A884&amp;"-"&amp;TEXT(($D884-$C884+1)+9,"00"),"")&amp;IF($C884&gt;=11,", "&amp;$A884&amp;"-"&amp;TEXT(($D884-$C884+1)+10,"00"),"")&amp;IF($C884&gt;=12,", "&amp;$A884&amp;"-"&amp;TEXT(($D884-$C884+1)+11,"00"),"")&amp;IF($C884&gt;=13,", "&amp;$A884&amp;"-"&amp;TEXT(($D884-$C884+1)+12,"00"),"")&amp;IF($C884&gt;=14,", "&amp;$A884&amp;"-"&amp;TEXT(($D884-$C884+1)+13,"00"),"")&amp;IF($C884&gt;=15,", "&amp;$A884&amp;"-"&amp;TEXT(($D884-$C884+1)+14,"00"),"")&amp;IF($C884&gt;=16,", "&amp;$A884&amp;"-"&amp;TEXT(($D884-$C884+1)+15,"00"),"")&amp;IF($C884&gt;=17,", "&amp;$A884&amp;"-"&amp;TEXT(($D884-$C884+1)+16,"00"),"")&amp;IF($C884&gt;=18,", "&amp;$A884&amp;"-"&amp;TEXT(($D884-$C884+1)+17,"00"),"")&amp;IF($C884&gt;=19,", "&amp;$A884&amp;"-"&amp;TEXT(($D884-$C884+1)+18,"00"),"")&amp;IF($C884&gt;=20,", "&amp;$A884&amp;"-"&amp;TEXT(($D884-$C884+1)+19,"00"),"")&amp;IF($C884&gt;=21,", "&amp;$A884&amp;"-"&amp;TEXT(($D884-$C884+1)+20,"00"),"")&amp;IF($C884&gt;=22,", "&amp;$A884&amp;"-"&amp;TEXT(($D884-$C884+1)+21,"00"),"")&amp;IF($C884&gt;=23,", "&amp;$A884&amp;"-"&amp;TEXT(($D884-$C884+1)+22,"00"),"")&amp;IF($C884&gt;=24,", "&amp;$A884&amp;"-"&amp;TEXT(($D884-$C884+1)+23,"00"),"")&amp;IF($C884&gt;=25,", "&amp;$A884&amp;"-"&amp;TEXT(($D884-$C884+1)+24,"00"),""))</f>
        <v/>
      </c>
      <c r="G884">
        <f>IF($A884="","",IF($E884=1,$F884,IF($F884="",$G883,IF($G883="",$F884,$G883&amp;", "&amp;$F884))))</f>
        <v/>
      </c>
      <c r="H884">
        <f>IF($A884="","",$A884&amp;" ("&amp;$C884&amp;")")</f>
        <v/>
      </c>
      <c r="I884">
        <f>IF($A884="","",IF($E884=1,$H884,$I883&amp;", "&amp;$H884))</f>
        <v/>
      </c>
      <c r="J884">
        <f>IF($A884="","",IF($E884=1,$B884,""))</f>
        <v/>
      </c>
      <c r="K884">
        <f>IF($A884="","",IF(COUNTIF($B$2:$B884,$B884)=COUNTIF($B$2:$B$1601,$B884),$B884,""))</f>
        <v/>
      </c>
    </row>
    <row r="885">
      <c r="A885">
        <f>IF('TMP Paste'!$E885="","",'TMP Paste'!$E885)</f>
        <v/>
      </c>
      <c r="B885">
        <f>IF($A885="","",COUNTIF('TMP Paste'!$B$2:$B885,"?*"))</f>
        <v/>
      </c>
      <c r="C885">
        <f>IF($A885="","",IFERROR('TMP Paste'!$M885*1,0))</f>
        <v/>
      </c>
      <c r="D885">
        <f>IF($A885="","",SUMIF($B$2:$B885,$B885,$C$2:$C885))</f>
        <v/>
      </c>
      <c r="E885">
        <f>IF($A885="",0,IF('TMP Paste'!$B885="",0,1))</f>
        <v/>
      </c>
      <c r="F885">
        <f>IF(OR($A885="",$C885&lt;1),"",$A885&amp;"-"&amp;TEXT(($D885-$C885+1),"00")&amp;IF($C885&gt;=2,", "&amp;$A885&amp;"-"&amp;TEXT(($D885-$C885+1)+1,"00"),"")&amp;IF($C885&gt;=3,", "&amp;$A885&amp;"-"&amp;TEXT(($D885-$C885+1)+2,"00"),"")&amp;IF($C885&gt;=4,", "&amp;$A885&amp;"-"&amp;TEXT(($D885-$C885+1)+3,"00"),"")&amp;IF($C885&gt;=5,", "&amp;$A885&amp;"-"&amp;TEXT(($D885-$C885+1)+4,"00"),"")&amp;IF($C885&gt;=6,", "&amp;$A885&amp;"-"&amp;TEXT(($D885-$C885+1)+5,"00"),"")&amp;IF($C885&gt;=7,", "&amp;$A885&amp;"-"&amp;TEXT(($D885-$C885+1)+6,"00"),"")&amp;IF($C885&gt;=8,", "&amp;$A885&amp;"-"&amp;TEXT(($D885-$C885+1)+7,"00"),"")&amp;IF($C885&gt;=9,", "&amp;$A885&amp;"-"&amp;TEXT(($D885-$C885+1)+8,"00"),"")&amp;IF($C885&gt;=10,", "&amp;$A885&amp;"-"&amp;TEXT(($D885-$C885+1)+9,"00"),"")&amp;IF($C885&gt;=11,", "&amp;$A885&amp;"-"&amp;TEXT(($D885-$C885+1)+10,"00"),"")&amp;IF($C885&gt;=12,", "&amp;$A885&amp;"-"&amp;TEXT(($D885-$C885+1)+11,"00"),"")&amp;IF($C885&gt;=13,", "&amp;$A885&amp;"-"&amp;TEXT(($D885-$C885+1)+12,"00"),"")&amp;IF($C885&gt;=14,", "&amp;$A885&amp;"-"&amp;TEXT(($D885-$C885+1)+13,"00"),"")&amp;IF($C885&gt;=15,", "&amp;$A885&amp;"-"&amp;TEXT(($D885-$C885+1)+14,"00"),"")&amp;IF($C885&gt;=16,", "&amp;$A885&amp;"-"&amp;TEXT(($D885-$C885+1)+15,"00"),"")&amp;IF($C885&gt;=17,", "&amp;$A885&amp;"-"&amp;TEXT(($D885-$C885+1)+16,"00"),"")&amp;IF($C885&gt;=18,", "&amp;$A885&amp;"-"&amp;TEXT(($D885-$C885+1)+17,"00"),"")&amp;IF($C885&gt;=19,", "&amp;$A885&amp;"-"&amp;TEXT(($D885-$C885+1)+18,"00"),"")&amp;IF($C885&gt;=20,", "&amp;$A885&amp;"-"&amp;TEXT(($D885-$C885+1)+19,"00"),"")&amp;IF($C885&gt;=21,", "&amp;$A885&amp;"-"&amp;TEXT(($D885-$C885+1)+20,"00"),"")&amp;IF($C885&gt;=22,", "&amp;$A885&amp;"-"&amp;TEXT(($D885-$C885+1)+21,"00"),"")&amp;IF($C885&gt;=23,", "&amp;$A885&amp;"-"&amp;TEXT(($D885-$C885+1)+22,"00"),"")&amp;IF($C885&gt;=24,", "&amp;$A885&amp;"-"&amp;TEXT(($D885-$C885+1)+23,"00"),"")&amp;IF($C885&gt;=25,", "&amp;$A885&amp;"-"&amp;TEXT(($D885-$C885+1)+24,"00"),""))</f>
        <v/>
      </c>
      <c r="G885">
        <f>IF($A885="","",IF($E885=1,$F885,IF($F885="",$G884,IF($G884="",$F885,$G884&amp;", "&amp;$F885))))</f>
        <v/>
      </c>
      <c r="H885">
        <f>IF($A885="","",$A885&amp;" ("&amp;$C885&amp;")")</f>
        <v/>
      </c>
      <c r="I885">
        <f>IF($A885="","",IF($E885=1,$H885,$I884&amp;", "&amp;$H885))</f>
        <v/>
      </c>
      <c r="J885">
        <f>IF($A885="","",IF($E885=1,$B885,""))</f>
        <v/>
      </c>
      <c r="K885">
        <f>IF($A885="","",IF(COUNTIF($B$2:$B885,$B885)=COUNTIF($B$2:$B$1601,$B885),$B885,""))</f>
        <v/>
      </c>
    </row>
    <row r="886">
      <c r="A886">
        <f>IF('TMP Paste'!$E886="","",'TMP Paste'!$E886)</f>
        <v/>
      </c>
      <c r="B886">
        <f>IF($A886="","",COUNTIF('TMP Paste'!$B$2:$B886,"?*"))</f>
        <v/>
      </c>
      <c r="C886">
        <f>IF($A886="","",IFERROR('TMP Paste'!$M886*1,0))</f>
        <v/>
      </c>
      <c r="D886">
        <f>IF($A886="","",SUMIF($B$2:$B886,$B886,$C$2:$C886))</f>
        <v/>
      </c>
      <c r="E886">
        <f>IF($A886="",0,IF('TMP Paste'!$B886="",0,1))</f>
        <v/>
      </c>
      <c r="F886">
        <f>IF(OR($A886="",$C886&lt;1),"",$A886&amp;"-"&amp;TEXT(($D886-$C886+1),"00")&amp;IF($C886&gt;=2,", "&amp;$A886&amp;"-"&amp;TEXT(($D886-$C886+1)+1,"00"),"")&amp;IF($C886&gt;=3,", "&amp;$A886&amp;"-"&amp;TEXT(($D886-$C886+1)+2,"00"),"")&amp;IF($C886&gt;=4,", "&amp;$A886&amp;"-"&amp;TEXT(($D886-$C886+1)+3,"00"),"")&amp;IF($C886&gt;=5,", "&amp;$A886&amp;"-"&amp;TEXT(($D886-$C886+1)+4,"00"),"")&amp;IF($C886&gt;=6,", "&amp;$A886&amp;"-"&amp;TEXT(($D886-$C886+1)+5,"00"),"")&amp;IF($C886&gt;=7,", "&amp;$A886&amp;"-"&amp;TEXT(($D886-$C886+1)+6,"00"),"")&amp;IF($C886&gt;=8,", "&amp;$A886&amp;"-"&amp;TEXT(($D886-$C886+1)+7,"00"),"")&amp;IF($C886&gt;=9,", "&amp;$A886&amp;"-"&amp;TEXT(($D886-$C886+1)+8,"00"),"")&amp;IF($C886&gt;=10,", "&amp;$A886&amp;"-"&amp;TEXT(($D886-$C886+1)+9,"00"),"")&amp;IF($C886&gt;=11,", "&amp;$A886&amp;"-"&amp;TEXT(($D886-$C886+1)+10,"00"),"")&amp;IF($C886&gt;=12,", "&amp;$A886&amp;"-"&amp;TEXT(($D886-$C886+1)+11,"00"),"")&amp;IF($C886&gt;=13,", "&amp;$A886&amp;"-"&amp;TEXT(($D886-$C886+1)+12,"00"),"")&amp;IF($C886&gt;=14,", "&amp;$A886&amp;"-"&amp;TEXT(($D886-$C886+1)+13,"00"),"")&amp;IF($C886&gt;=15,", "&amp;$A886&amp;"-"&amp;TEXT(($D886-$C886+1)+14,"00"),"")&amp;IF($C886&gt;=16,", "&amp;$A886&amp;"-"&amp;TEXT(($D886-$C886+1)+15,"00"),"")&amp;IF($C886&gt;=17,", "&amp;$A886&amp;"-"&amp;TEXT(($D886-$C886+1)+16,"00"),"")&amp;IF($C886&gt;=18,", "&amp;$A886&amp;"-"&amp;TEXT(($D886-$C886+1)+17,"00"),"")&amp;IF($C886&gt;=19,", "&amp;$A886&amp;"-"&amp;TEXT(($D886-$C886+1)+18,"00"),"")&amp;IF($C886&gt;=20,", "&amp;$A886&amp;"-"&amp;TEXT(($D886-$C886+1)+19,"00"),"")&amp;IF($C886&gt;=21,", "&amp;$A886&amp;"-"&amp;TEXT(($D886-$C886+1)+20,"00"),"")&amp;IF($C886&gt;=22,", "&amp;$A886&amp;"-"&amp;TEXT(($D886-$C886+1)+21,"00"),"")&amp;IF($C886&gt;=23,", "&amp;$A886&amp;"-"&amp;TEXT(($D886-$C886+1)+22,"00"),"")&amp;IF($C886&gt;=24,", "&amp;$A886&amp;"-"&amp;TEXT(($D886-$C886+1)+23,"00"),"")&amp;IF($C886&gt;=25,", "&amp;$A886&amp;"-"&amp;TEXT(($D886-$C886+1)+24,"00"),""))</f>
        <v/>
      </c>
      <c r="G886">
        <f>IF($A886="","",IF($E886=1,$F886,IF($F886="",$G885,IF($G885="",$F886,$G885&amp;", "&amp;$F886))))</f>
        <v/>
      </c>
      <c r="H886">
        <f>IF($A886="","",$A886&amp;" ("&amp;$C886&amp;")")</f>
        <v/>
      </c>
      <c r="I886">
        <f>IF($A886="","",IF($E886=1,$H886,$I885&amp;", "&amp;$H886))</f>
        <v/>
      </c>
      <c r="J886">
        <f>IF($A886="","",IF($E886=1,$B886,""))</f>
        <v/>
      </c>
      <c r="K886">
        <f>IF($A886="","",IF(COUNTIF($B$2:$B886,$B886)=COUNTIF($B$2:$B$1601,$B886),$B886,""))</f>
        <v/>
      </c>
    </row>
    <row r="887">
      <c r="A887">
        <f>IF('TMP Paste'!$E887="","",'TMP Paste'!$E887)</f>
        <v/>
      </c>
      <c r="B887">
        <f>IF($A887="","",COUNTIF('TMP Paste'!$B$2:$B887,"?*"))</f>
        <v/>
      </c>
      <c r="C887">
        <f>IF($A887="","",IFERROR('TMP Paste'!$M887*1,0))</f>
        <v/>
      </c>
      <c r="D887">
        <f>IF($A887="","",SUMIF($B$2:$B887,$B887,$C$2:$C887))</f>
        <v/>
      </c>
      <c r="E887">
        <f>IF($A887="",0,IF('TMP Paste'!$B887="",0,1))</f>
        <v/>
      </c>
      <c r="F887">
        <f>IF(OR($A887="",$C887&lt;1),"",$A887&amp;"-"&amp;TEXT(($D887-$C887+1),"00")&amp;IF($C887&gt;=2,", "&amp;$A887&amp;"-"&amp;TEXT(($D887-$C887+1)+1,"00"),"")&amp;IF($C887&gt;=3,", "&amp;$A887&amp;"-"&amp;TEXT(($D887-$C887+1)+2,"00"),"")&amp;IF($C887&gt;=4,", "&amp;$A887&amp;"-"&amp;TEXT(($D887-$C887+1)+3,"00"),"")&amp;IF($C887&gt;=5,", "&amp;$A887&amp;"-"&amp;TEXT(($D887-$C887+1)+4,"00"),"")&amp;IF($C887&gt;=6,", "&amp;$A887&amp;"-"&amp;TEXT(($D887-$C887+1)+5,"00"),"")&amp;IF($C887&gt;=7,", "&amp;$A887&amp;"-"&amp;TEXT(($D887-$C887+1)+6,"00"),"")&amp;IF($C887&gt;=8,", "&amp;$A887&amp;"-"&amp;TEXT(($D887-$C887+1)+7,"00"),"")&amp;IF($C887&gt;=9,", "&amp;$A887&amp;"-"&amp;TEXT(($D887-$C887+1)+8,"00"),"")&amp;IF($C887&gt;=10,", "&amp;$A887&amp;"-"&amp;TEXT(($D887-$C887+1)+9,"00"),"")&amp;IF($C887&gt;=11,", "&amp;$A887&amp;"-"&amp;TEXT(($D887-$C887+1)+10,"00"),"")&amp;IF($C887&gt;=12,", "&amp;$A887&amp;"-"&amp;TEXT(($D887-$C887+1)+11,"00"),"")&amp;IF($C887&gt;=13,", "&amp;$A887&amp;"-"&amp;TEXT(($D887-$C887+1)+12,"00"),"")&amp;IF($C887&gt;=14,", "&amp;$A887&amp;"-"&amp;TEXT(($D887-$C887+1)+13,"00"),"")&amp;IF($C887&gt;=15,", "&amp;$A887&amp;"-"&amp;TEXT(($D887-$C887+1)+14,"00"),"")&amp;IF($C887&gt;=16,", "&amp;$A887&amp;"-"&amp;TEXT(($D887-$C887+1)+15,"00"),"")&amp;IF($C887&gt;=17,", "&amp;$A887&amp;"-"&amp;TEXT(($D887-$C887+1)+16,"00"),"")&amp;IF($C887&gt;=18,", "&amp;$A887&amp;"-"&amp;TEXT(($D887-$C887+1)+17,"00"),"")&amp;IF($C887&gt;=19,", "&amp;$A887&amp;"-"&amp;TEXT(($D887-$C887+1)+18,"00"),"")&amp;IF($C887&gt;=20,", "&amp;$A887&amp;"-"&amp;TEXT(($D887-$C887+1)+19,"00"),"")&amp;IF($C887&gt;=21,", "&amp;$A887&amp;"-"&amp;TEXT(($D887-$C887+1)+20,"00"),"")&amp;IF($C887&gt;=22,", "&amp;$A887&amp;"-"&amp;TEXT(($D887-$C887+1)+21,"00"),"")&amp;IF($C887&gt;=23,", "&amp;$A887&amp;"-"&amp;TEXT(($D887-$C887+1)+22,"00"),"")&amp;IF($C887&gt;=24,", "&amp;$A887&amp;"-"&amp;TEXT(($D887-$C887+1)+23,"00"),"")&amp;IF($C887&gt;=25,", "&amp;$A887&amp;"-"&amp;TEXT(($D887-$C887+1)+24,"00"),""))</f>
        <v/>
      </c>
      <c r="G887">
        <f>IF($A887="","",IF($E887=1,$F887,IF($F887="",$G886,IF($G886="",$F887,$G886&amp;", "&amp;$F887))))</f>
        <v/>
      </c>
      <c r="H887">
        <f>IF($A887="","",$A887&amp;" ("&amp;$C887&amp;")")</f>
        <v/>
      </c>
      <c r="I887">
        <f>IF($A887="","",IF($E887=1,$H887,$I886&amp;", "&amp;$H887))</f>
        <v/>
      </c>
      <c r="J887">
        <f>IF($A887="","",IF($E887=1,$B887,""))</f>
        <v/>
      </c>
      <c r="K887">
        <f>IF($A887="","",IF(COUNTIF($B$2:$B887,$B887)=COUNTIF($B$2:$B$1601,$B887),$B887,""))</f>
        <v/>
      </c>
    </row>
    <row r="888">
      <c r="A888">
        <f>IF('TMP Paste'!$E888="","",'TMP Paste'!$E888)</f>
        <v/>
      </c>
      <c r="B888">
        <f>IF($A888="","",COUNTIF('TMP Paste'!$B$2:$B888,"?*"))</f>
        <v/>
      </c>
      <c r="C888">
        <f>IF($A888="","",IFERROR('TMP Paste'!$M888*1,0))</f>
        <v/>
      </c>
      <c r="D888">
        <f>IF($A888="","",SUMIF($B$2:$B888,$B888,$C$2:$C888))</f>
        <v/>
      </c>
      <c r="E888">
        <f>IF($A888="",0,IF('TMP Paste'!$B888="",0,1))</f>
        <v/>
      </c>
      <c r="F888">
        <f>IF(OR($A888="",$C888&lt;1),"",$A888&amp;"-"&amp;TEXT(($D888-$C888+1),"00")&amp;IF($C888&gt;=2,", "&amp;$A888&amp;"-"&amp;TEXT(($D888-$C888+1)+1,"00"),"")&amp;IF($C888&gt;=3,", "&amp;$A888&amp;"-"&amp;TEXT(($D888-$C888+1)+2,"00"),"")&amp;IF($C888&gt;=4,", "&amp;$A888&amp;"-"&amp;TEXT(($D888-$C888+1)+3,"00"),"")&amp;IF($C888&gt;=5,", "&amp;$A888&amp;"-"&amp;TEXT(($D888-$C888+1)+4,"00"),"")&amp;IF($C888&gt;=6,", "&amp;$A888&amp;"-"&amp;TEXT(($D888-$C888+1)+5,"00"),"")&amp;IF($C888&gt;=7,", "&amp;$A888&amp;"-"&amp;TEXT(($D888-$C888+1)+6,"00"),"")&amp;IF($C888&gt;=8,", "&amp;$A888&amp;"-"&amp;TEXT(($D888-$C888+1)+7,"00"),"")&amp;IF($C888&gt;=9,", "&amp;$A888&amp;"-"&amp;TEXT(($D888-$C888+1)+8,"00"),"")&amp;IF($C888&gt;=10,", "&amp;$A888&amp;"-"&amp;TEXT(($D888-$C888+1)+9,"00"),"")&amp;IF($C888&gt;=11,", "&amp;$A888&amp;"-"&amp;TEXT(($D888-$C888+1)+10,"00"),"")&amp;IF($C888&gt;=12,", "&amp;$A888&amp;"-"&amp;TEXT(($D888-$C888+1)+11,"00"),"")&amp;IF($C888&gt;=13,", "&amp;$A888&amp;"-"&amp;TEXT(($D888-$C888+1)+12,"00"),"")&amp;IF($C888&gt;=14,", "&amp;$A888&amp;"-"&amp;TEXT(($D888-$C888+1)+13,"00"),"")&amp;IF($C888&gt;=15,", "&amp;$A888&amp;"-"&amp;TEXT(($D888-$C888+1)+14,"00"),"")&amp;IF($C888&gt;=16,", "&amp;$A888&amp;"-"&amp;TEXT(($D888-$C888+1)+15,"00"),"")&amp;IF($C888&gt;=17,", "&amp;$A888&amp;"-"&amp;TEXT(($D888-$C888+1)+16,"00"),"")&amp;IF($C888&gt;=18,", "&amp;$A888&amp;"-"&amp;TEXT(($D888-$C888+1)+17,"00"),"")&amp;IF($C888&gt;=19,", "&amp;$A888&amp;"-"&amp;TEXT(($D888-$C888+1)+18,"00"),"")&amp;IF($C888&gt;=20,", "&amp;$A888&amp;"-"&amp;TEXT(($D888-$C888+1)+19,"00"),"")&amp;IF($C888&gt;=21,", "&amp;$A888&amp;"-"&amp;TEXT(($D888-$C888+1)+20,"00"),"")&amp;IF($C888&gt;=22,", "&amp;$A888&amp;"-"&amp;TEXT(($D888-$C888+1)+21,"00"),"")&amp;IF($C888&gt;=23,", "&amp;$A888&amp;"-"&amp;TEXT(($D888-$C888+1)+22,"00"),"")&amp;IF($C888&gt;=24,", "&amp;$A888&amp;"-"&amp;TEXT(($D888-$C888+1)+23,"00"),"")&amp;IF($C888&gt;=25,", "&amp;$A888&amp;"-"&amp;TEXT(($D888-$C888+1)+24,"00"),""))</f>
        <v/>
      </c>
      <c r="G888">
        <f>IF($A888="","",IF($E888=1,$F888,IF($F888="",$G887,IF($G887="",$F888,$G887&amp;", "&amp;$F888))))</f>
        <v/>
      </c>
      <c r="H888">
        <f>IF($A888="","",$A888&amp;" ("&amp;$C888&amp;")")</f>
        <v/>
      </c>
      <c r="I888">
        <f>IF($A888="","",IF($E888=1,$H888,$I887&amp;", "&amp;$H888))</f>
        <v/>
      </c>
      <c r="J888">
        <f>IF($A888="","",IF($E888=1,$B888,""))</f>
        <v/>
      </c>
      <c r="K888">
        <f>IF($A888="","",IF(COUNTIF($B$2:$B888,$B888)=COUNTIF($B$2:$B$1601,$B888),$B888,""))</f>
        <v/>
      </c>
    </row>
    <row r="889">
      <c r="A889">
        <f>IF('TMP Paste'!$E889="","",'TMP Paste'!$E889)</f>
        <v/>
      </c>
      <c r="B889">
        <f>IF($A889="","",COUNTIF('TMP Paste'!$B$2:$B889,"?*"))</f>
        <v/>
      </c>
      <c r="C889">
        <f>IF($A889="","",IFERROR('TMP Paste'!$M889*1,0))</f>
        <v/>
      </c>
      <c r="D889">
        <f>IF($A889="","",SUMIF($B$2:$B889,$B889,$C$2:$C889))</f>
        <v/>
      </c>
      <c r="E889">
        <f>IF($A889="",0,IF('TMP Paste'!$B889="",0,1))</f>
        <v/>
      </c>
      <c r="F889">
        <f>IF(OR($A889="",$C889&lt;1),"",$A889&amp;"-"&amp;TEXT(($D889-$C889+1),"00")&amp;IF($C889&gt;=2,", "&amp;$A889&amp;"-"&amp;TEXT(($D889-$C889+1)+1,"00"),"")&amp;IF($C889&gt;=3,", "&amp;$A889&amp;"-"&amp;TEXT(($D889-$C889+1)+2,"00"),"")&amp;IF($C889&gt;=4,", "&amp;$A889&amp;"-"&amp;TEXT(($D889-$C889+1)+3,"00"),"")&amp;IF($C889&gt;=5,", "&amp;$A889&amp;"-"&amp;TEXT(($D889-$C889+1)+4,"00"),"")&amp;IF($C889&gt;=6,", "&amp;$A889&amp;"-"&amp;TEXT(($D889-$C889+1)+5,"00"),"")&amp;IF($C889&gt;=7,", "&amp;$A889&amp;"-"&amp;TEXT(($D889-$C889+1)+6,"00"),"")&amp;IF($C889&gt;=8,", "&amp;$A889&amp;"-"&amp;TEXT(($D889-$C889+1)+7,"00"),"")&amp;IF($C889&gt;=9,", "&amp;$A889&amp;"-"&amp;TEXT(($D889-$C889+1)+8,"00"),"")&amp;IF($C889&gt;=10,", "&amp;$A889&amp;"-"&amp;TEXT(($D889-$C889+1)+9,"00"),"")&amp;IF($C889&gt;=11,", "&amp;$A889&amp;"-"&amp;TEXT(($D889-$C889+1)+10,"00"),"")&amp;IF($C889&gt;=12,", "&amp;$A889&amp;"-"&amp;TEXT(($D889-$C889+1)+11,"00"),"")&amp;IF($C889&gt;=13,", "&amp;$A889&amp;"-"&amp;TEXT(($D889-$C889+1)+12,"00"),"")&amp;IF($C889&gt;=14,", "&amp;$A889&amp;"-"&amp;TEXT(($D889-$C889+1)+13,"00"),"")&amp;IF($C889&gt;=15,", "&amp;$A889&amp;"-"&amp;TEXT(($D889-$C889+1)+14,"00"),"")&amp;IF($C889&gt;=16,", "&amp;$A889&amp;"-"&amp;TEXT(($D889-$C889+1)+15,"00"),"")&amp;IF($C889&gt;=17,", "&amp;$A889&amp;"-"&amp;TEXT(($D889-$C889+1)+16,"00"),"")&amp;IF($C889&gt;=18,", "&amp;$A889&amp;"-"&amp;TEXT(($D889-$C889+1)+17,"00"),"")&amp;IF($C889&gt;=19,", "&amp;$A889&amp;"-"&amp;TEXT(($D889-$C889+1)+18,"00"),"")&amp;IF($C889&gt;=20,", "&amp;$A889&amp;"-"&amp;TEXT(($D889-$C889+1)+19,"00"),"")&amp;IF($C889&gt;=21,", "&amp;$A889&amp;"-"&amp;TEXT(($D889-$C889+1)+20,"00"),"")&amp;IF($C889&gt;=22,", "&amp;$A889&amp;"-"&amp;TEXT(($D889-$C889+1)+21,"00"),"")&amp;IF($C889&gt;=23,", "&amp;$A889&amp;"-"&amp;TEXT(($D889-$C889+1)+22,"00"),"")&amp;IF($C889&gt;=24,", "&amp;$A889&amp;"-"&amp;TEXT(($D889-$C889+1)+23,"00"),"")&amp;IF($C889&gt;=25,", "&amp;$A889&amp;"-"&amp;TEXT(($D889-$C889+1)+24,"00"),""))</f>
        <v/>
      </c>
      <c r="G889">
        <f>IF($A889="","",IF($E889=1,$F889,IF($F889="",$G888,IF($G888="",$F889,$G888&amp;", "&amp;$F889))))</f>
        <v/>
      </c>
      <c r="H889">
        <f>IF($A889="","",$A889&amp;" ("&amp;$C889&amp;")")</f>
        <v/>
      </c>
      <c r="I889">
        <f>IF($A889="","",IF($E889=1,$H889,$I888&amp;", "&amp;$H889))</f>
        <v/>
      </c>
      <c r="J889">
        <f>IF($A889="","",IF($E889=1,$B889,""))</f>
        <v/>
      </c>
      <c r="K889">
        <f>IF($A889="","",IF(COUNTIF($B$2:$B889,$B889)=COUNTIF($B$2:$B$1601,$B889),$B889,""))</f>
        <v/>
      </c>
    </row>
    <row r="890">
      <c r="A890">
        <f>IF('TMP Paste'!$E890="","",'TMP Paste'!$E890)</f>
        <v/>
      </c>
      <c r="B890">
        <f>IF($A890="","",COUNTIF('TMP Paste'!$B$2:$B890,"?*"))</f>
        <v/>
      </c>
      <c r="C890">
        <f>IF($A890="","",IFERROR('TMP Paste'!$M890*1,0))</f>
        <v/>
      </c>
      <c r="D890">
        <f>IF($A890="","",SUMIF($B$2:$B890,$B890,$C$2:$C890))</f>
        <v/>
      </c>
      <c r="E890">
        <f>IF($A890="",0,IF('TMP Paste'!$B890="",0,1))</f>
        <v/>
      </c>
      <c r="F890">
        <f>IF(OR($A890="",$C890&lt;1),"",$A890&amp;"-"&amp;TEXT(($D890-$C890+1),"00")&amp;IF($C890&gt;=2,", "&amp;$A890&amp;"-"&amp;TEXT(($D890-$C890+1)+1,"00"),"")&amp;IF($C890&gt;=3,", "&amp;$A890&amp;"-"&amp;TEXT(($D890-$C890+1)+2,"00"),"")&amp;IF($C890&gt;=4,", "&amp;$A890&amp;"-"&amp;TEXT(($D890-$C890+1)+3,"00"),"")&amp;IF($C890&gt;=5,", "&amp;$A890&amp;"-"&amp;TEXT(($D890-$C890+1)+4,"00"),"")&amp;IF($C890&gt;=6,", "&amp;$A890&amp;"-"&amp;TEXT(($D890-$C890+1)+5,"00"),"")&amp;IF($C890&gt;=7,", "&amp;$A890&amp;"-"&amp;TEXT(($D890-$C890+1)+6,"00"),"")&amp;IF($C890&gt;=8,", "&amp;$A890&amp;"-"&amp;TEXT(($D890-$C890+1)+7,"00"),"")&amp;IF($C890&gt;=9,", "&amp;$A890&amp;"-"&amp;TEXT(($D890-$C890+1)+8,"00"),"")&amp;IF($C890&gt;=10,", "&amp;$A890&amp;"-"&amp;TEXT(($D890-$C890+1)+9,"00"),"")&amp;IF($C890&gt;=11,", "&amp;$A890&amp;"-"&amp;TEXT(($D890-$C890+1)+10,"00"),"")&amp;IF($C890&gt;=12,", "&amp;$A890&amp;"-"&amp;TEXT(($D890-$C890+1)+11,"00"),"")&amp;IF($C890&gt;=13,", "&amp;$A890&amp;"-"&amp;TEXT(($D890-$C890+1)+12,"00"),"")&amp;IF($C890&gt;=14,", "&amp;$A890&amp;"-"&amp;TEXT(($D890-$C890+1)+13,"00"),"")&amp;IF($C890&gt;=15,", "&amp;$A890&amp;"-"&amp;TEXT(($D890-$C890+1)+14,"00"),"")&amp;IF($C890&gt;=16,", "&amp;$A890&amp;"-"&amp;TEXT(($D890-$C890+1)+15,"00"),"")&amp;IF($C890&gt;=17,", "&amp;$A890&amp;"-"&amp;TEXT(($D890-$C890+1)+16,"00"),"")&amp;IF($C890&gt;=18,", "&amp;$A890&amp;"-"&amp;TEXT(($D890-$C890+1)+17,"00"),"")&amp;IF($C890&gt;=19,", "&amp;$A890&amp;"-"&amp;TEXT(($D890-$C890+1)+18,"00"),"")&amp;IF($C890&gt;=20,", "&amp;$A890&amp;"-"&amp;TEXT(($D890-$C890+1)+19,"00"),"")&amp;IF($C890&gt;=21,", "&amp;$A890&amp;"-"&amp;TEXT(($D890-$C890+1)+20,"00"),"")&amp;IF($C890&gt;=22,", "&amp;$A890&amp;"-"&amp;TEXT(($D890-$C890+1)+21,"00"),"")&amp;IF($C890&gt;=23,", "&amp;$A890&amp;"-"&amp;TEXT(($D890-$C890+1)+22,"00"),"")&amp;IF($C890&gt;=24,", "&amp;$A890&amp;"-"&amp;TEXT(($D890-$C890+1)+23,"00"),"")&amp;IF($C890&gt;=25,", "&amp;$A890&amp;"-"&amp;TEXT(($D890-$C890+1)+24,"00"),""))</f>
        <v/>
      </c>
      <c r="G890">
        <f>IF($A890="","",IF($E890=1,$F890,IF($F890="",$G889,IF($G889="",$F890,$G889&amp;", "&amp;$F890))))</f>
        <v/>
      </c>
      <c r="H890">
        <f>IF($A890="","",$A890&amp;" ("&amp;$C890&amp;")")</f>
        <v/>
      </c>
      <c r="I890">
        <f>IF($A890="","",IF($E890=1,$H890,$I889&amp;", "&amp;$H890))</f>
        <v/>
      </c>
      <c r="J890">
        <f>IF($A890="","",IF($E890=1,$B890,""))</f>
        <v/>
      </c>
      <c r="K890">
        <f>IF($A890="","",IF(COUNTIF($B$2:$B890,$B890)=COUNTIF($B$2:$B$1601,$B890),$B890,""))</f>
        <v/>
      </c>
    </row>
    <row r="891">
      <c r="A891">
        <f>IF('TMP Paste'!$E891="","",'TMP Paste'!$E891)</f>
        <v/>
      </c>
      <c r="B891">
        <f>IF($A891="","",COUNTIF('TMP Paste'!$B$2:$B891,"?*"))</f>
        <v/>
      </c>
      <c r="C891">
        <f>IF($A891="","",IFERROR('TMP Paste'!$M891*1,0))</f>
        <v/>
      </c>
      <c r="D891">
        <f>IF($A891="","",SUMIF($B$2:$B891,$B891,$C$2:$C891))</f>
        <v/>
      </c>
      <c r="E891">
        <f>IF($A891="",0,IF('TMP Paste'!$B891="",0,1))</f>
        <v/>
      </c>
      <c r="F891">
        <f>IF(OR($A891="",$C891&lt;1),"",$A891&amp;"-"&amp;TEXT(($D891-$C891+1),"00")&amp;IF($C891&gt;=2,", "&amp;$A891&amp;"-"&amp;TEXT(($D891-$C891+1)+1,"00"),"")&amp;IF($C891&gt;=3,", "&amp;$A891&amp;"-"&amp;TEXT(($D891-$C891+1)+2,"00"),"")&amp;IF($C891&gt;=4,", "&amp;$A891&amp;"-"&amp;TEXT(($D891-$C891+1)+3,"00"),"")&amp;IF($C891&gt;=5,", "&amp;$A891&amp;"-"&amp;TEXT(($D891-$C891+1)+4,"00"),"")&amp;IF($C891&gt;=6,", "&amp;$A891&amp;"-"&amp;TEXT(($D891-$C891+1)+5,"00"),"")&amp;IF($C891&gt;=7,", "&amp;$A891&amp;"-"&amp;TEXT(($D891-$C891+1)+6,"00"),"")&amp;IF($C891&gt;=8,", "&amp;$A891&amp;"-"&amp;TEXT(($D891-$C891+1)+7,"00"),"")&amp;IF($C891&gt;=9,", "&amp;$A891&amp;"-"&amp;TEXT(($D891-$C891+1)+8,"00"),"")&amp;IF($C891&gt;=10,", "&amp;$A891&amp;"-"&amp;TEXT(($D891-$C891+1)+9,"00"),"")&amp;IF($C891&gt;=11,", "&amp;$A891&amp;"-"&amp;TEXT(($D891-$C891+1)+10,"00"),"")&amp;IF($C891&gt;=12,", "&amp;$A891&amp;"-"&amp;TEXT(($D891-$C891+1)+11,"00"),"")&amp;IF($C891&gt;=13,", "&amp;$A891&amp;"-"&amp;TEXT(($D891-$C891+1)+12,"00"),"")&amp;IF($C891&gt;=14,", "&amp;$A891&amp;"-"&amp;TEXT(($D891-$C891+1)+13,"00"),"")&amp;IF($C891&gt;=15,", "&amp;$A891&amp;"-"&amp;TEXT(($D891-$C891+1)+14,"00"),"")&amp;IF($C891&gt;=16,", "&amp;$A891&amp;"-"&amp;TEXT(($D891-$C891+1)+15,"00"),"")&amp;IF($C891&gt;=17,", "&amp;$A891&amp;"-"&amp;TEXT(($D891-$C891+1)+16,"00"),"")&amp;IF($C891&gt;=18,", "&amp;$A891&amp;"-"&amp;TEXT(($D891-$C891+1)+17,"00"),"")&amp;IF($C891&gt;=19,", "&amp;$A891&amp;"-"&amp;TEXT(($D891-$C891+1)+18,"00"),"")&amp;IF($C891&gt;=20,", "&amp;$A891&amp;"-"&amp;TEXT(($D891-$C891+1)+19,"00"),"")&amp;IF($C891&gt;=21,", "&amp;$A891&amp;"-"&amp;TEXT(($D891-$C891+1)+20,"00"),"")&amp;IF($C891&gt;=22,", "&amp;$A891&amp;"-"&amp;TEXT(($D891-$C891+1)+21,"00"),"")&amp;IF($C891&gt;=23,", "&amp;$A891&amp;"-"&amp;TEXT(($D891-$C891+1)+22,"00"),"")&amp;IF($C891&gt;=24,", "&amp;$A891&amp;"-"&amp;TEXT(($D891-$C891+1)+23,"00"),"")&amp;IF($C891&gt;=25,", "&amp;$A891&amp;"-"&amp;TEXT(($D891-$C891+1)+24,"00"),""))</f>
        <v/>
      </c>
      <c r="G891">
        <f>IF($A891="","",IF($E891=1,$F891,IF($F891="",$G890,IF($G890="",$F891,$G890&amp;", "&amp;$F891))))</f>
        <v/>
      </c>
      <c r="H891">
        <f>IF($A891="","",$A891&amp;" ("&amp;$C891&amp;")")</f>
        <v/>
      </c>
      <c r="I891">
        <f>IF($A891="","",IF($E891=1,$H891,$I890&amp;", "&amp;$H891))</f>
        <v/>
      </c>
      <c r="J891">
        <f>IF($A891="","",IF($E891=1,$B891,""))</f>
        <v/>
      </c>
      <c r="K891">
        <f>IF($A891="","",IF(COUNTIF($B$2:$B891,$B891)=COUNTIF($B$2:$B$1601,$B891),$B891,""))</f>
        <v/>
      </c>
    </row>
    <row r="892">
      <c r="A892">
        <f>IF('TMP Paste'!$E892="","",'TMP Paste'!$E892)</f>
        <v/>
      </c>
      <c r="B892">
        <f>IF($A892="","",COUNTIF('TMP Paste'!$B$2:$B892,"?*"))</f>
        <v/>
      </c>
      <c r="C892">
        <f>IF($A892="","",IFERROR('TMP Paste'!$M892*1,0))</f>
        <v/>
      </c>
      <c r="D892">
        <f>IF($A892="","",SUMIF($B$2:$B892,$B892,$C$2:$C892))</f>
        <v/>
      </c>
      <c r="E892">
        <f>IF($A892="",0,IF('TMP Paste'!$B892="",0,1))</f>
        <v/>
      </c>
      <c r="F892">
        <f>IF(OR($A892="",$C892&lt;1),"",$A892&amp;"-"&amp;TEXT(($D892-$C892+1),"00")&amp;IF($C892&gt;=2,", "&amp;$A892&amp;"-"&amp;TEXT(($D892-$C892+1)+1,"00"),"")&amp;IF($C892&gt;=3,", "&amp;$A892&amp;"-"&amp;TEXT(($D892-$C892+1)+2,"00"),"")&amp;IF($C892&gt;=4,", "&amp;$A892&amp;"-"&amp;TEXT(($D892-$C892+1)+3,"00"),"")&amp;IF($C892&gt;=5,", "&amp;$A892&amp;"-"&amp;TEXT(($D892-$C892+1)+4,"00"),"")&amp;IF($C892&gt;=6,", "&amp;$A892&amp;"-"&amp;TEXT(($D892-$C892+1)+5,"00"),"")&amp;IF($C892&gt;=7,", "&amp;$A892&amp;"-"&amp;TEXT(($D892-$C892+1)+6,"00"),"")&amp;IF($C892&gt;=8,", "&amp;$A892&amp;"-"&amp;TEXT(($D892-$C892+1)+7,"00"),"")&amp;IF($C892&gt;=9,", "&amp;$A892&amp;"-"&amp;TEXT(($D892-$C892+1)+8,"00"),"")&amp;IF($C892&gt;=10,", "&amp;$A892&amp;"-"&amp;TEXT(($D892-$C892+1)+9,"00"),"")&amp;IF($C892&gt;=11,", "&amp;$A892&amp;"-"&amp;TEXT(($D892-$C892+1)+10,"00"),"")&amp;IF($C892&gt;=12,", "&amp;$A892&amp;"-"&amp;TEXT(($D892-$C892+1)+11,"00"),"")&amp;IF($C892&gt;=13,", "&amp;$A892&amp;"-"&amp;TEXT(($D892-$C892+1)+12,"00"),"")&amp;IF($C892&gt;=14,", "&amp;$A892&amp;"-"&amp;TEXT(($D892-$C892+1)+13,"00"),"")&amp;IF($C892&gt;=15,", "&amp;$A892&amp;"-"&amp;TEXT(($D892-$C892+1)+14,"00"),"")&amp;IF($C892&gt;=16,", "&amp;$A892&amp;"-"&amp;TEXT(($D892-$C892+1)+15,"00"),"")&amp;IF($C892&gt;=17,", "&amp;$A892&amp;"-"&amp;TEXT(($D892-$C892+1)+16,"00"),"")&amp;IF($C892&gt;=18,", "&amp;$A892&amp;"-"&amp;TEXT(($D892-$C892+1)+17,"00"),"")&amp;IF($C892&gt;=19,", "&amp;$A892&amp;"-"&amp;TEXT(($D892-$C892+1)+18,"00"),"")&amp;IF($C892&gt;=20,", "&amp;$A892&amp;"-"&amp;TEXT(($D892-$C892+1)+19,"00"),"")&amp;IF($C892&gt;=21,", "&amp;$A892&amp;"-"&amp;TEXT(($D892-$C892+1)+20,"00"),"")&amp;IF($C892&gt;=22,", "&amp;$A892&amp;"-"&amp;TEXT(($D892-$C892+1)+21,"00"),"")&amp;IF($C892&gt;=23,", "&amp;$A892&amp;"-"&amp;TEXT(($D892-$C892+1)+22,"00"),"")&amp;IF($C892&gt;=24,", "&amp;$A892&amp;"-"&amp;TEXT(($D892-$C892+1)+23,"00"),"")&amp;IF($C892&gt;=25,", "&amp;$A892&amp;"-"&amp;TEXT(($D892-$C892+1)+24,"00"),""))</f>
        <v/>
      </c>
      <c r="G892">
        <f>IF($A892="","",IF($E892=1,$F892,IF($F892="",$G891,IF($G891="",$F892,$G891&amp;", "&amp;$F892))))</f>
        <v/>
      </c>
      <c r="H892">
        <f>IF($A892="","",$A892&amp;" ("&amp;$C892&amp;")")</f>
        <v/>
      </c>
      <c r="I892">
        <f>IF($A892="","",IF($E892=1,$H892,$I891&amp;", "&amp;$H892))</f>
        <v/>
      </c>
      <c r="J892">
        <f>IF($A892="","",IF($E892=1,$B892,""))</f>
        <v/>
      </c>
      <c r="K892">
        <f>IF($A892="","",IF(COUNTIF($B$2:$B892,$B892)=COUNTIF($B$2:$B$1601,$B892),$B892,""))</f>
        <v/>
      </c>
    </row>
    <row r="893">
      <c r="A893">
        <f>IF('TMP Paste'!$E893="","",'TMP Paste'!$E893)</f>
        <v/>
      </c>
      <c r="B893">
        <f>IF($A893="","",COUNTIF('TMP Paste'!$B$2:$B893,"?*"))</f>
        <v/>
      </c>
      <c r="C893">
        <f>IF($A893="","",IFERROR('TMP Paste'!$M893*1,0))</f>
        <v/>
      </c>
      <c r="D893">
        <f>IF($A893="","",SUMIF($B$2:$B893,$B893,$C$2:$C893))</f>
        <v/>
      </c>
      <c r="E893">
        <f>IF($A893="",0,IF('TMP Paste'!$B893="",0,1))</f>
        <v/>
      </c>
      <c r="F893">
        <f>IF(OR($A893="",$C893&lt;1),"",$A893&amp;"-"&amp;TEXT(($D893-$C893+1),"00")&amp;IF($C893&gt;=2,", "&amp;$A893&amp;"-"&amp;TEXT(($D893-$C893+1)+1,"00"),"")&amp;IF($C893&gt;=3,", "&amp;$A893&amp;"-"&amp;TEXT(($D893-$C893+1)+2,"00"),"")&amp;IF($C893&gt;=4,", "&amp;$A893&amp;"-"&amp;TEXT(($D893-$C893+1)+3,"00"),"")&amp;IF($C893&gt;=5,", "&amp;$A893&amp;"-"&amp;TEXT(($D893-$C893+1)+4,"00"),"")&amp;IF($C893&gt;=6,", "&amp;$A893&amp;"-"&amp;TEXT(($D893-$C893+1)+5,"00"),"")&amp;IF($C893&gt;=7,", "&amp;$A893&amp;"-"&amp;TEXT(($D893-$C893+1)+6,"00"),"")&amp;IF($C893&gt;=8,", "&amp;$A893&amp;"-"&amp;TEXT(($D893-$C893+1)+7,"00"),"")&amp;IF($C893&gt;=9,", "&amp;$A893&amp;"-"&amp;TEXT(($D893-$C893+1)+8,"00"),"")&amp;IF($C893&gt;=10,", "&amp;$A893&amp;"-"&amp;TEXT(($D893-$C893+1)+9,"00"),"")&amp;IF($C893&gt;=11,", "&amp;$A893&amp;"-"&amp;TEXT(($D893-$C893+1)+10,"00"),"")&amp;IF($C893&gt;=12,", "&amp;$A893&amp;"-"&amp;TEXT(($D893-$C893+1)+11,"00"),"")&amp;IF($C893&gt;=13,", "&amp;$A893&amp;"-"&amp;TEXT(($D893-$C893+1)+12,"00"),"")&amp;IF($C893&gt;=14,", "&amp;$A893&amp;"-"&amp;TEXT(($D893-$C893+1)+13,"00"),"")&amp;IF($C893&gt;=15,", "&amp;$A893&amp;"-"&amp;TEXT(($D893-$C893+1)+14,"00"),"")&amp;IF($C893&gt;=16,", "&amp;$A893&amp;"-"&amp;TEXT(($D893-$C893+1)+15,"00"),"")&amp;IF($C893&gt;=17,", "&amp;$A893&amp;"-"&amp;TEXT(($D893-$C893+1)+16,"00"),"")&amp;IF($C893&gt;=18,", "&amp;$A893&amp;"-"&amp;TEXT(($D893-$C893+1)+17,"00"),"")&amp;IF($C893&gt;=19,", "&amp;$A893&amp;"-"&amp;TEXT(($D893-$C893+1)+18,"00"),"")&amp;IF($C893&gt;=20,", "&amp;$A893&amp;"-"&amp;TEXT(($D893-$C893+1)+19,"00"),"")&amp;IF($C893&gt;=21,", "&amp;$A893&amp;"-"&amp;TEXT(($D893-$C893+1)+20,"00"),"")&amp;IF($C893&gt;=22,", "&amp;$A893&amp;"-"&amp;TEXT(($D893-$C893+1)+21,"00"),"")&amp;IF($C893&gt;=23,", "&amp;$A893&amp;"-"&amp;TEXT(($D893-$C893+1)+22,"00"),"")&amp;IF($C893&gt;=24,", "&amp;$A893&amp;"-"&amp;TEXT(($D893-$C893+1)+23,"00"),"")&amp;IF($C893&gt;=25,", "&amp;$A893&amp;"-"&amp;TEXT(($D893-$C893+1)+24,"00"),""))</f>
        <v/>
      </c>
      <c r="G893">
        <f>IF($A893="","",IF($E893=1,$F893,IF($F893="",$G892,IF($G892="",$F893,$G892&amp;", "&amp;$F893))))</f>
        <v/>
      </c>
      <c r="H893">
        <f>IF($A893="","",$A893&amp;" ("&amp;$C893&amp;")")</f>
        <v/>
      </c>
      <c r="I893">
        <f>IF($A893="","",IF($E893=1,$H893,$I892&amp;", "&amp;$H893))</f>
        <v/>
      </c>
      <c r="J893">
        <f>IF($A893="","",IF($E893=1,$B893,""))</f>
        <v/>
      </c>
      <c r="K893">
        <f>IF($A893="","",IF(COUNTIF($B$2:$B893,$B893)=COUNTIF($B$2:$B$1601,$B893),$B893,""))</f>
        <v/>
      </c>
    </row>
    <row r="894">
      <c r="A894">
        <f>IF('TMP Paste'!$E894="","",'TMP Paste'!$E894)</f>
        <v/>
      </c>
      <c r="B894">
        <f>IF($A894="","",COUNTIF('TMP Paste'!$B$2:$B894,"?*"))</f>
        <v/>
      </c>
      <c r="C894">
        <f>IF($A894="","",IFERROR('TMP Paste'!$M894*1,0))</f>
        <v/>
      </c>
      <c r="D894">
        <f>IF($A894="","",SUMIF($B$2:$B894,$B894,$C$2:$C894))</f>
        <v/>
      </c>
      <c r="E894">
        <f>IF($A894="",0,IF('TMP Paste'!$B894="",0,1))</f>
        <v/>
      </c>
      <c r="F894">
        <f>IF(OR($A894="",$C894&lt;1),"",$A894&amp;"-"&amp;TEXT(($D894-$C894+1),"00")&amp;IF($C894&gt;=2,", "&amp;$A894&amp;"-"&amp;TEXT(($D894-$C894+1)+1,"00"),"")&amp;IF($C894&gt;=3,", "&amp;$A894&amp;"-"&amp;TEXT(($D894-$C894+1)+2,"00"),"")&amp;IF($C894&gt;=4,", "&amp;$A894&amp;"-"&amp;TEXT(($D894-$C894+1)+3,"00"),"")&amp;IF($C894&gt;=5,", "&amp;$A894&amp;"-"&amp;TEXT(($D894-$C894+1)+4,"00"),"")&amp;IF($C894&gt;=6,", "&amp;$A894&amp;"-"&amp;TEXT(($D894-$C894+1)+5,"00"),"")&amp;IF($C894&gt;=7,", "&amp;$A894&amp;"-"&amp;TEXT(($D894-$C894+1)+6,"00"),"")&amp;IF($C894&gt;=8,", "&amp;$A894&amp;"-"&amp;TEXT(($D894-$C894+1)+7,"00"),"")&amp;IF($C894&gt;=9,", "&amp;$A894&amp;"-"&amp;TEXT(($D894-$C894+1)+8,"00"),"")&amp;IF($C894&gt;=10,", "&amp;$A894&amp;"-"&amp;TEXT(($D894-$C894+1)+9,"00"),"")&amp;IF($C894&gt;=11,", "&amp;$A894&amp;"-"&amp;TEXT(($D894-$C894+1)+10,"00"),"")&amp;IF($C894&gt;=12,", "&amp;$A894&amp;"-"&amp;TEXT(($D894-$C894+1)+11,"00"),"")&amp;IF($C894&gt;=13,", "&amp;$A894&amp;"-"&amp;TEXT(($D894-$C894+1)+12,"00"),"")&amp;IF($C894&gt;=14,", "&amp;$A894&amp;"-"&amp;TEXT(($D894-$C894+1)+13,"00"),"")&amp;IF($C894&gt;=15,", "&amp;$A894&amp;"-"&amp;TEXT(($D894-$C894+1)+14,"00"),"")&amp;IF($C894&gt;=16,", "&amp;$A894&amp;"-"&amp;TEXT(($D894-$C894+1)+15,"00"),"")&amp;IF($C894&gt;=17,", "&amp;$A894&amp;"-"&amp;TEXT(($D894-$C894+1)+16,"00"),"")&amp;IF($C894&gt;=18,", "&amp;$A894&amp;"-"&amp;TEXT(($D894-$C894+1)+17,"00"),"")&amp;IF($C894&gt;=19,", "&amp;$A894&amp;"-"&amp;TEXT(($D894-$C894+1)+18,"00"),"")&amp;IF($C894&gt;=20,", "&amp;$A894&amp;"-"&amp;TEXT(($D894-$C894+1)+19,"00"),"")&amp;IF($C894&gt;=21,", "&amp;$A894&amp;"-"&amp;TEXT(($D894-$C894+1)+20,"00"),"")&amp;IF($C894&gt;=22,", "&amp;$A894&amp;"-"&amp;TEXT(($D894-$C894+1)+21,"00"),"")&amp;IF($C894&gt;=23,", "&amp;$A894&amp;"-"&amp;TEXT(($D894-$C894+1)+22,"00"),"")&amp;IF($C894&gt;=24,", "&amp;$A894&amp;"-"&amp;TEXT(($D894-$C894+1)+23,"00"),"")&amp;IF($C894&gt;=25,", "&amp;$A894&amp;"-"&amp;TEXT(($D894-$C894+1)+24,"00"),""))</f>
        <v/>
      </c>
      <c r="G894">
        <f>IF($A894="","",IF($E894=1,$F894,IF($F894="",$G893,IF($G893="",$F894,$G893&amp;", "&amp;$F894))))</f>
        <v/>
      </c>
      <c r="H894">
        <f>IF($A894="","",$A894&amp;" ("&amp;$C894&amp;")")</f>
        <v/>
      </c>
      <c r="I894">
        <f>IF($A894="","",IF($E894=1,$H894,$I893&amp;", "&amp;$H894))</f>
        <v/>
      </c>
      <c r="J894">
        <f>IF($A894="","",IF($E894=1,$B894,""))</f>
        <v/>
      </c>
      <c r="K894">
        <f>IF($A894="","",IF(COUNTIF($B$2:$B894,$B894)=COUNTIF($B$2:$B$1601,$B894),$B894,""))</f>
        <v/>
      </c>
    </row>
    <row r="895">
      <c r="A895">
        <f>IF('TMP Paste'!$E895="","",'TMP Paste'!$E895)</f>
        <v/>
      </c>
      <c r="B895">
        <f>IF($A895="","",COUNTIF('TMP Paste'!$B$2:$B895,"?*"))</f>
        <v/>
      </c>
      <c r="C895">
        <f>IF($A895="","",IFERROR('TMP Paste'!$M895*1,0))</f>
        <v/>
      </c>
      <c r="D895">
        <f>IF($A895="","",SUMIF($B$2:$B895,$B895,$C$2:$C895))</f>
        <v/>
      </c>
      <c r="E895">
        <f>IF($A895="",0,IF('TMP Paste'!$B895="",0,1))</f>
        <v/>
      </c>
      <c r="F895">
        <f>IF(OR($A895="",$C895&lt;1),"",$A895&amp;"-"&amp;TEXT(($D895-$C895+1),"00")&amp;IF($C895&gt;=2,", "&amp;$A895&amp;"-"&amp;TEXT(($D895-$C895+1)+1,"00"),"")&amp;IF($C895&gt;=3,", "&amp;$A895&amp;"-"&amp;TEXT(($D895-$C895+1)+2,"00"),"")&amp;IF($C895&gt;=4,", "&amp;$A895&amp;"-"&amp;TEXT(($D895-$C895+1)+3,"00"),"")&amp;IF($C895&gt;=5,", "&amp;$A895&amp;"-"&amp;TEXT(($D895-$C895+1)+4,"00"),"")&amp;IF($C895&gt;=6,", "&amp;$A895&amp;"-"&amp;TEXT(($D895-$C895+1)+5,"00"),"")&amp;IF($C895&gt;=7,", "&amp;$A895&amp;"-"&amp;TEXT(($D895-$C895+1)+6,"00"),"")&amp;IF($C895&gt;=8,", "&amp;$A895&amp;"-"&amp;TEXT(($D895-$C895+1)+7,"00"),"")&amp;IF($C895&gt;=9,", "&amp;$A895&amp;"-"&amp;TEXT(($D895-$C895+1)+8,"00"),"")&amp;IF($C895&gt;=10,", "&amp;$A895&amp;"-"&amp;TEXT(($D895-$C895+1)+9,"00"),"")&amp;IF($C895&gt;=11,", "&amp;$A895&amp;"-"&amp;TEXT(($D895-$C895+1)+10,"00"),"")&amp;IF($C895&gt;=12,", "&amp;$A895&amp;"-"&amp;TEXT(($D895-$C895+1)+11,"00"),"")&amp;IF($C895&gt;=13,", "&amp;$A895&amp;"-"&amp;TEXT(($D895-$C895+1)+12,"00"),"")&amp;IF($C895&gt;=14,", "&amp;$A895&amp;"-"&amp;TEXT(($D895-$C895+1)+13,"00"),"")&amp;IF($C895&gt;=15,", "&amp;$A895&amp;"-"&amp;TEXT(($D895-$C895+1)+14,"00"),"")&amp;IF($C895&gt;=16,", "&amp;$A895&amp;"-"&amp;TEXT(($D895-$C895+1)+15,"00"),"")&amp;IF($C895&gt;=17,", "&amp;$A895&amp;"-"&amp;TEXT(($D895-$C895+1)+16,"00"),"")&amp;IF($C895&gt;=18,", "&amp;$A895&amp;"-"&amp;TEXT(($D895-$C895+1)+17,"00"),"")&amp;IF($C895&gt;=19,", "&amp;$A895&amp;"-"&amp;TEXT(($D895-$C895+1)+18,"00"),"")&amp;IF($C895&gt;=20,", "&amp;$A895&amp;"-"&amp;TEXT(($D895-$C895+1)+19,"00"),"")&amp;IF($C895&gt;=21,", "&amp;$A895&amp;"-"&amp;TEXT(($D895-$C895+1)+20,"00"),"")&amp;IF($C895&gt;=22,", "&amp;$A895&amp;"-"&amp;TEXT(($D895-$C895+1)+21,"00"),"")&amp;IF($C895&gt;=23,", "&amp;$A895&amp;"-"&amp;TEXT(($D895-$C895+1)+22,"00"),"")&amp;IF($C895&gt;=24,", "&amp;$A895&amp;"-"&amp;TEXT(($D895-$C895+1)+23,"00"),"")&amp;IF($C895&gt;=25,", "&amp;$A895&amp;"-"&amp;TEXT(($D895-$C895+1)+24,"00"),""))</f>
        <v/>
      </c>
      <c r="G895">
        <f>IF($A895="","",IF($E895=1,$F895,IF($F895="",$G894,IF($G894="",$F895,$G894&amp;", "&amp;$F895))))</f>
        <v/>
      </c>
      <c r="H895">
        <f>IF($A895="","",$A895&amp;" ("&amp;$C895&amp;")")</f>
        <v/>
      </c>
      <c r="I895">
        <f>IF($A895="","",IF($E895=1,$H895,$I894&amp;", "&amp;$H895))</f>
        <v/>
      </c>
      <c r="J895">
        <f>IF($A895="","",IF($E895=1,$B895,""))</f>
        <v/>
      </c>
      <c r="K895">
        <f>IF($A895="","",IF(COUNTIF($B$2:$B895,$B895)=COUNTIF($B$2:$B$1601,$B895),$B895,""))</f>
        <v/>
      </c>
    </row>
    <row r="896">
      <c r="A896">
        <f>IF('TMP Paste'!$E896="","",'TMP Paste'!$E896)</f>
        <v/>
      </c>
      <c r="B896">
        <f>IF($A896="","",COUNTIF('TMP Paste'!$B$2:$B896,"?*"))</f>
        <v/>
      </c>
      <c r="C896">
        <f>IF($A896="","",IFERROR('TMP Paste'!$M896*1,0))</f>
        <v/>
      </c>
      <c r="D896">
        <f>IF($A896="","",SUMIF($B$2:$B896,$B896,$C$2:$C896))</f>
        <v/>
      </c>
      <c r="E896">
        <f>IF($A896="",0,IF('TMP Paste'!$B896="",0,1))</f>
        <v/>
      </c>
      <c r="F896">
        <f>IF(OR($A896="",$C896&lt;1),"",$A896&amp;"-"&amp;TEXT(($D896-$C896+1),"00")&amp;IF($C896&gt;=2,", "&amp;$A896&amp;"-"&amp;TEXT(($D896-$C896+1)+1,"00"),"")&amp;IF($C896&gt;=3,", "&amp;$A896&amp;"-"&amp;TEXT(($D896-$C896+1)+2,"00"),"")&amp;IF($C896&gt;=4,", "&amp;$A896&amp;"-"&amp;TEXT(($D896-$C896+1)+3,"00"),"")&amp;IF($C896&gt;=5,", "&amp;$A896&amp;"-"&amp;TEXT(($D896-$C896+1)+4,"00"),"")&amp;IF($C896&gt;=6,", "&amp;$A896&amp;"-"&amp;TEXT(($D896-$C896+1)+5,"00"),"")&amp;IF($C896&gt;=7,", "&amp;$A896&amp;"-"&amp;TEXT(($D896-$C896+1)+6,"00"),"")&amp;IF($C896&gt;=8,", "&amp;$A896&amp;"-"&amp;TEXT(($D896-$C896+1)+7,"00"),"")&amp;IF($C896&gt;=9,", "&amp;$A896&amp;"-"&amp;TEXT(($D896-$C896+1)+8,"00"),"")&amp;IF($C896&gt;=10,", "&amp;$A896&amp;"-"&amp;TEXT(($D896-$C896+1)+9,"00"),"")&amp;IF($C896&gt;=11,", "&amp;$A896&amp;"-"&amp;TEXT(($D896-$C896+1)+10,"00"),"")&amp;IF($C896&gt;=12,", "&amp;$A896&amp;"-"&amp;TEXT(($D896-$C896+1)+11,"00"),"")&amp;IF($C896&gt;=13,", "&amp;$A896&amp;"-"&amp;TEXT(($D896-$C896+1)+12,"00"),"")&amp;IF($C896&gt;=14,", "&amp;$A896&amp;"-"&amp;TEXT(($D896-$C896+1)+13,"00"),"")&amp;IF($C896&gt;=15,", "&amp;$A896&amp;"-"&amp;TEXT(($D896-$C896+1)+14,"00"),"")&amp;IF($C896&gt;=16,", "&amp;$A896&amp;"-"&amp;TEXT(($D896-$C896+1)+15,"00"),"")&amp;IF($C896&gt;=17,", "&amp;$A896&amp;"-"&amp;TEXT(($D896-$C896+1)+16,"00"),"")&amp;IF($C896&gt;=18,", "&amp;$A896&amp;"-"&amp;TEXT(($D896-$C896+1)+17,"00"),"")&amp;IF($C896&gt;=19,", "&amp;$A896&amp;"-"&amp;TEXT(($D896-$C896+1)+18,"00"),"")&amp;IF($C896&gt;=20,", "&amp;$A896&amp;"-"&amp;TEXT(($D896-$C896+1)+19,"00"),"")&amp;IF($C896&gt;=21,", "&amp;$A896&amp;"-"&amp;TEXT(($D896-$C896+1)+20,"00"),"")&amp;IF($C896&gt;=22,", "&amp;$A896&amp;"-"&amp;TEXT(($D896-$C896+1)+21,"00"),"")&amp;IF($C896&gt;=23,", "&amp;$A896&amp;"-"&amp;TEXT(($D896-$C896+1)+22,"00"),"")&amp;IF($C896&gt;=24,", "&amp;$A896&amp;"-"&amp;TEXT(($D896-$C896+1)+23,"00"),"")&amp;IF($C896&gt;=25,", "&amp;$A896&amp;"-"&amp;TEXT(($D896-$C896+1)+24,"00"),""))</f>
        <v/>
      </c>
      <c r="G896">
        <f>IF($A896="","",IF($E896=1,$F896,IF($F896="",$G895,IF($G895="",$F896,$G895&amp;", "&amp;$F896))))</f>
        <v/>
      </c>
      <c r="H896">
        <f>IF($A896="","",$A896&amp;" ("&amp;$C896&amp;")")</f>
        <v/>
      </c>
      <c r="I896">
        <f>IF($A896="","",IF($E896=1,$H896,$I895&amp;", "&amp;$H896))</f>
        <v/>
      </c>
      <c r="J896">
        <f>IF($A896="","",IF($E896=1,$B896,""))</f>
        <v/>
      </c>
      <c r="K896">
        <f>IF($A896="","",IF(COUNTIF($B$2:$B896,$B896)=COUNTIF($B$2:$B$1601,$B896),$B896,""))</f>
        <v/>
      </c>
    </row>
    <row r="897">
      <c r="A897">
        <f>IF('TMP Paste'!$E897="","",'TMP Paste'!$E897)</f>
        <v/>
      </c>
      <c r="B897">
        <f>IF($A897="","",COUNTIF('TMP Paste'!$B$2:$B897,"?*"))</f>
        <v/>
      </c>
      <c r="C897">
        <f>IF($A897="","",IFERROR('TMP Paste'!$M897*1,0))</f>
        <v/>
      </c>
      <c r="D897">
        <f>IF($A897="","",SUMIF($B$2:$B897,$B897,$C$2:$C897))</f>
        <v/>
      </c>
      <c r="E897">
        <f>IF($A897="",0,IF('TMP Paste'!$B897="",0,1))</f>
        <v/>
      </c>
      <c r="F897">
        <f>IF(OR($A897="",$C897&lt;1),"",$A897&amp;"-"&amp;TEXT(($D897-$C897+1),"00")&amp;IF($C897&gt;=2,", "&amp;$A897&amp;"-"&amp;TEXT(($D897-$C897+1)+1,"00"),"")&amp;IF($C897&gt;=3,", "&amp;$A897&amp;"-"&amp;TEXT(($D897-$C897+1)+2,"00"),"")&amp;IF($C897&gt;=4,", "&amp;$A897&amp;"-"&amp;TEXT(($D897-$C897+1)+3,"00"),"")&amp;IF($C897&gt;=5,", "&amp;$A897&amp;"-"&amp;TEXT(($D897-$C897+1)+4,"00"),"")&amp;IF($C897&gt;=6,", "&amp;$A897&amp;"-"&amp;TEXT(($D897-$C897+1)+5,"00"),"")&amp;IF($C897&gt;=7,", "&amp;$A897&amp;"-"&amp;TEXT(($D897-$C897+1)+6,"00"),"")&amp;IF($C897&gt;=8,", "&amp;$A897&amp;"-"&amp;TEXT(($D897-$C897+1)+7,"00"),"")&amp;IF($C897&gt;=9,", "&amp;$A897&amp;"-"&amp;TEXT(($D897-$C897+1)+8,"00"),"")&amp;IF($C897&gt;=10,", "&amp;$A897&amp;"-"&amp;TEXT(($D897-$C897+1)+9,"00"),"")&amp;IF($C897&gt;=11,", "&amp;$A897&amp;"-"&amp;TEXT(($D897-$C897+1)+10,"00"),"")&amp;IF($C897&gt;=12,", "&amp;$A897&amp;"-"&amp;TEXT(($D897-$C897+1)+11,"00"),"")&amp;IF($C897&gt;=13,", "&amp;$A897&amp;"-"&amp;TEXT(($D897-$C897+1)+12,"00"),"")&amp;IF($C897&gt;=14,", "&amp;$A897&amp;"-"&amp;TEXT(($D897-$C897+1)+13,"00"),"")&amp;IF($C897&gt;=15,", "&amp;$A897&amp;"-"&amp;TEXT(($D897-$C897+1)+14,"00"),"")&amp;IF($C897&gt;=16,", "&amp;$A897&amp;"-"&amp;TEXT(($D897-$C897+1)+15,"00"),"")&amp;IF($C897&gt;=17,", "&amp;$A897&amp;"-"&amp;TEXT(($D897-$C897+1)+16,"00"),"")&amp;IF($C897&gt;=18,", "&amp;$A897&amp;"-"&amp;TEXT(($D897-$C897+1)+17,"00"),"")&amp;IF($C897&gt;=19,", "&amp;$A897&amp;"-"&amp;TEXT(($D897-$C897+1)+18,"00"),"")&amp;IF($C897&gt;=20,", "&amp;$A897&amp;"-"&amp;TEXT(($D897-$C897+1)+19,"00"),"")&amp;IF($C897&gt;=21,", "&amp;$A897&amp;"-"&amp;TEXT(($D897-$C897+1)+20,"00"),"")&amp;IF($C897&gt;=22,", "&amp;$A897&amp;"-"&amp;TEXT(($D897-$C897+1)+21,"00"),"")&amp;IF($C897&gt;=23,", "&amp;$A897&amp;"-"&amp;TEXT(($D897-$C897+1)+22,"00"),"")&amp;IF($C897&gt;=24,", "&amp;$A897&amp;"-"&amp;TEXT(($D897-$C897+1)+23,"00"),"")&amp;IF($C897&gt;=25,", "&amp;$A897&amp;"-"&amp;TEXT(($D897-$C897+1)+24,"00"),""))</f>
        <v/>
      </c>
      <c r="G897">
        <f>IF($A897="","",IF($E897=1,$F897,IF($F897="",$G896,IF($G896="",$F897,$G896&amp;", "&amp;$F897))))</f>
        <v/>
      </c>
      <c r="H897">
        <f>IF($A897="","",$A897&amp;" ("&amp;$C897&amp;")")</f>
        <v/>
      </c>
      <c r="I897">
        <f>IF($A897="","",IF($E897=1,$H897,$I896&amp;", "&amp;$H897))</f>
        <v/>
      </c>
      <c r="J897">
        <f>IF($A897="","",IF($E897=1,$B897,""))</f>
        <v/>
      </c>
      <c r="K897">
        <f>IF($A897="","",IF(COUNTIF($B$2:$B897,$B897)=COUNTIF($B$2:$B$1601,$B897),$B897,""))</f>
        <v/>
      </c>
    </row>
    <row r="898">
      <c r="A898">
        <f>IF('TMP Paste'!$E898="","",'TMP Paste'!$E898)</f>
        <v/>
      </c>
      <c r="B898">
        <f>IF($A898="","",COUNTIF('TMP Paste'!$B$2:$B898,"?*"))</f>
        <v/>
      </c>
      <c r="C898">
        <f>IF($A898="","",IFERROR('TMP Paste'!$M898*1,0))</f>
        <v/>
      </c>
      <c r="D898">
        <f>IF($A898="","",SUMIF($B$2:$B898,$B898,$C$2:$C898))</f>
        <v/>
      </c>
      <c r="E898">
        <f>IF($A898="",0,IF('TMP Paste'!$B898="",0,1))</f>
        <v/>
      </c>
      <c r="F898">
        <f>IF(OR($A898="",$C898&lt;1),"",$A898&amp;"-"&amp;TEXT(($D898-$C898+1),"00")&amp;IF($C898&gt;=2,", "&amp;$A898&amp;"-"&amp;TEXT(($D898-$C898+1)+1,"00"),"")&amp;IF($C898&gt;=3,", "&amp;$A898&amp;"-"&amp;TEXT(($D898-$C898+1)+2,"00"),"")&amp;IF($C898&gt;=4,", "&amp;$A898&amp;"-"&amp;TEXT(($D898-$C898+1)+3,"00"),"")&amp;IF($C898&gt;=5,", "&amp;$A898&amp;"-"&amp;TEXT(($D898-$C898+1)+4,"00"),"")&amp;IF($C898&gt;=6,", "&amp;$A898&amp;"-"&amp;TEXT(($D898-$C898+1)+5,"00"),"")&amp;IF($C898&gt;=7,", "&amp;$A898&amp;"-"&amp;TEXT(($D898-$C898+1)+6,"00"),"")&amp;IF($C898&gt;=8,", "&amp;$A898&amp;"-"&amp;TEXT(($D898-$C898+1)+7,"00"),"")&amp;IF($C898&gt;=9,", "&amp;$A898&amp;"-"&amp;TEXT(($D898-$C898+1)+8,"00"),"")&amp;IF($C898&gt;=10,", "&amp;$A898&amp;"-"&amp;TEXT(($D898-$C898+1)+9,"00"),"")&amp;IF($C898&gt;=11,", "&amp;$A898&amp;"-"&amp;TEXT(($D898-$C898+1)+10,"00"),"")&amp;IF($C898&gt;=12,", "&amp;$A898&amp;"-"&amp;TEXT(($D898-$C898+1)+11,"00"),"")&amp;IF($C898&gt;=13,", "&amp;$A898&amp;"-"&amp;TEXT(($D898-$C898+1)+12,"00"),"")&amp;IF($C898&gt;=14,", "&amp;$A898&amp;"-"&amp;TEXT(($D898-$C898+1)+13,"00"),"")&amp;IF($C898&gt;=15,", "&amp;$A898&amp;"-"&amp;TEXT(($D898-$C898+1)+14,"00"),"")&amp;IF($C898&gt;=16,", "&amp;$A898&amp;"-"&amp;TEXT(($D898-$C898+1)+15,"00"),"")&amp;IF($C898&gt;=17,", "&amp;$A898&amp;"-"&amp;TEXT(($D898-$C898+1)+16,"00"),"")&amp;IF($C898&gt;=18,", "&amp;$A898&amp;"-"&amp;TEXT(($D898-$C898+1)+17,"00"),"")&amp;IF($C898&gt;=19,", "&amp;$A898&amp;"-"&amp;TEXT(($D898-$C898+1)+18,"00"),"")&amp;IF($C898&gt;=20,", "&amp;$A898&amp;"-"&amp;TEXT(($D898-$C898+1)+19,"00"),"")&amp;IF($C898&gt;=21,", "&amp;$A898&amp;"-"&amp;TEXT(($D898-$C898+1)+20,"00"),"")&amp;IF($C898&gt;=22,", "&amp;$A898&amp;"-"&amp;TEXT(($D898-$C898+1)+21,"00"),"")&amp;IF($C898&gt;=23,", "&amp;$A898&amp;"-"&amp;TEXT(($D898-$C898+1)+22,"00"),"")&amp;IF($C898&gt;=24,", "&amp;$A898&amp;"-"&amp;TEXT(($D898-$C898+1)+23,"00"),"")&amp;IF($C898&gt;=25,", "&amp;$A898&amp;"-"&amp;TEXT(($D898-$C898+1)+24,"00"),""))</f>
        <v/>
      </c>
      <c r="G898">
        <f>IF($A898="","",IF($E898=1,$F898,IF($F898="",$G897,IF($G897="",$F898,$G897&amp;", "&amp;$F898))))</f>
        <v/>
      </c>
      <c r="H898">
        <f>IF($A898="","",$A898&amp;" ("&amp;$C898&amp;")")</f>
        <v/>
      </c>
      <c r="I898">
        <f>IF($A898="","",IF($E898=1,$H898,$I897&amp;", "&amp;$H898))</f>
        <v/>
      </c>
      <c r="J898">
        <f>IF($A898="","",IF($E898=1,$B898,""))</f>
        <v/>
      </c>
      <c r="K898">
        <f>IF($A898="","",IF(COUNTIF($B$2:$B898,$B898)=COUNTIF($B$2:$B$1601,$B898),$B898,""))</f>
        <v/>
      </c>
    </row>
    <row r="899">
      <c r="A899">
        <f>IF('TMP Paste'!$E899="","",'TMP Paste'!$E899)</f>
        <v/>
      </c>
      <c r="B899">
        <f>IF($A899="","",COUNTIF('TMP Paste'!$B$2:$B899,"?*"))</f>
        <v/>
      </c>
      <c r="C899">
        <f>IF($A899="","",IFERROR('TMP Paste'!$M899*1,0))</f>
        <v/>
      </c>
      <c r="D899">
        <f>IF($A899="","",SUMIF($B$2:$B899,$B899,$C$2:$C899))</f>
        <v/>
      </c>
      <c r="E899">
        <f>IF($A899="",0,IF('TMP Paste'!$B899="",0,1))</f>
        <v/>
      </c>
      <c r="F899">
        <f>IF(OR($A899="",$C899&lt;1),"",$A899&amp;"-"&amp;TEXT(($D899-$C899+1),"00")&amp;IF($C899&gt;=2,", "&amp;$A899&amp;"-"&amp;TEXT(($D899-$C899+1)+1,"00"),"")&amp;IF($C899&gt;=3,", "&amp;$A899&amp;"-"&amp;TEXT(($D899-$C899+1)+2,"00"),"")&amp;IF($C899&gt;=4,", "&amp;$A899&amp;"-"&amp;TEXT(($D899-$C899+1)+3,"00"),"")&amp;IF($C899&gt;=5,", "&amp;$A899&amp;"-"&amp;TEXT(($D899-$C899+1)+4,"00"),"")&amp;IF($C899&gt;=6,", "&amp;$A899&amp;"-"&amp;TEXT(($D899-$C899+1)+5,"00"),"")&amp;IF($C899&gt;=7,", "&amp;$A899&amp;"-"&amp;TEXT(($D899-$C899+1)+6,"00"),"")&amp;IF($C899&gt;=8,", "&amp;$A899&amp;"-"&amp;TEXT(($D899-$C899+1)+7,"00"),"")&amp;IF($C899&gt;=9,", "&amp;$A899&amp;"-"&amp;TEXT(($D899-$C899+1)+8,"00"),"")&amp;IF($C899&gt;=10,", "&amp;$A899&amp;"-"&amp;TEXT(($D899-$C899+1)+9,"00"),"")&amp;IF($C899&gt;=11,", "&amp;$A899&amp;"-"&amp;TEXT(($D899-$C899+1)+10,"00"),"")&amp;IF($C899&gt;=12,", "&amp;$A899&amp;"-"&amp;TEXT(($D899-$C899+1)+11,"00"),"")&amp;IF($C899&gt;=13,", "&amp;$A899&amp;"-"&amp;TEXT(($D899-$C899+1)+12,"00"),"")&amp;IF($C899&gt;=14,", "&amp;$A899&amp;"-"&amp;TEXT(($D899-$C899+1)+13,"00"),"")&amp;IF($C899&gt;=15,", "&amp;$A899&amp;"-"&amp;TEXT(($D899-$C899+1)+14,"00"),"")&amp;IF($C899&gt;=16,", "&amp;$A899&amp;"-"&amp;TEXT(($D899-$C899+1)+15,"00"),"")&amp;IF($C899&gt;=17,", "&amp;$A899&amp;"-"&amp;TEXT(($D899-$C899+1)+16,"00"),"")&amp;IF($C899&gt;=18,", "&amp;$A899&amp;"-"&amp;TEXT(($D899-$C899+1)+17,"00"),"")&amp;IF($C899&gt;=19,", "&amp;$A899&amp;"-"&amp;TEXT(($D899-$C899+1)+18,"00"),"")&amp;IF($C899&gt;=20,", "&amp;$A899&amp;"-"&amp;TEXT(($D899-$C899+1)+19,"00"),"")&amp;IF($C899&gt;=21,", "&amp;$A899&amp;"-"&amp;TEXT(($D899-$C899+1)+20,"00"),"")&amp;IF($C899&gt;=22,", "&amp;$A899&amp;"-"&amp;TEXT(($D899-$C899+1)+21,"00"),"")&amp;IF($C899&gt;=23,", "&amp;$A899&amp;"-"&amp;TEXT(($D899-$C899+1)+22,"00"),"")&amp;IF($C899&gt;=24,", "&amp;$A899&amp;"-"&amp;TEXT(($D899-$C899+1)+23,"00"),"")&amp;IF($C899&gt;=25,", "&amp;$A899&amp;"-"&amp;TEXT(($D899-$C899+1)+24,"00"),""))</f>
        <v/>
      </c>
      <c r="G899">
        <f>IF($A899="","",IF($E899=1,$F899,IF($F899="",$G898,IF($G898="",$F899,$G898&amp;", "&amp;$F899))))</f>
        <v/>
      </c>
      <c r="H899">
        <f>IF($A899="","",$A899&amp;" ("&amp;$C899&amp;")")</f>
        <v/>
      </c>
      <c r="I899">
        <f>IF($A899="","",IF($E899=1,$H899,$I898&amp;", "&amp;$H899))</f>
        <v/>
      </c>
      <c r="J899">
        <f>IF($A899="","",IF($E899=1,$B899,""))</f>
        <v/>
      </c>
      <c r="K899">
        <f>IF($A899="","",IF(COUNTIF($B$2:$B899,$B899)=COUNTIF($B$2:$B$1601,$B899),$B899,""))</f>
        <v/>
      </c>
    </row>
    <row r="900">
      <c r="A900">
        <f>IF('TMP Paste'!$E900="","",'TMP Paste'!$E900)</f>
        <v/>
      </c>
      <c r="B900">
        <f>IF($A900="","",COUNTIF('TMP Paste'!$B$2:$B900,"?*"))</f>
        <v/>
      </c>
      <c r="C900">
        <f>IF($A900="","",IFERROR('TMP Paste'!$M900*1,0))</f>
        <v/>
      </c>
      <c r="D900">
        <f>IF($A900="","",SUMIF($B$2:$B900,$B900,$C$2:$C900))</f>
        <v/>
      </c>
      <c r="E900">
        <f>IF($A900="",0,IF('TMP Paste'!$B900="",0,1))</f>
        <v/>
      </c>
      <c r="F900">
        <f>IF(OR($A900="",$C900&lt;1),"",$A900&amp;"-"&amp;TEXT(($D900-$C900+1),"00")&amp;IF($C900&gt;=2,", "&amp;$A900&amp;"-"&amp;TEXT(($D900-$C900+1)+1,"00"),"")&amp;IF($C900&gt;=3,", "&amp;$A900&amp;"-"&amp;TEXT(($D900-$C900+1)+2,"00"),"")&amp;IF($C900&gt;=4,", "&amp;$A900&amp;"-"&amp;TEXT(($D900-$C900+1)+3,"00"),"")&amp;IF($C900&gt;=5,", "&amp;$A900&amp;"-"&amp;TEXT(($D900-$C900+1)+4,"00"),"")&amp;IF($C900&gt;=6,", "&amp;$A900&amp;"-"&amp;TEXT(($D900-$C900+1)+5,"00"),"")&amp;IF($C900&gt;=7,", "&amp;$A900&amp;"-"&amp;TEXT(($D900-$C900+1)+6,"00"),"")&amp;IF($C900&gt;=8,", "&amp;$A900&amp;"-"&amp;TEXT(($D900-$C900+1)+7,"00"),"")&amp;IF($C900&gt;=9,", "&amp;$A900&amp;"-"&amp;TEXT(($D900-$C900+1)+8,"00"),"")&amp;IF($C900&gt;=10,", "&amp;$A900&amp;"-"&amp;TEXT(($D900-$C900+1)+9,"00"),"")&amp;IF($C900&gt;=11,", "&amp;$A900&amp;"-"&amp;TEXT(($D900-$C900+1)+10,"00"),"")&amp;IF($C900&gt;=12,", "&amp;$A900&amp;"-"&amp;TEXT(($D900-$C900+1)+11,"00"),"")&amp;IF($C900&gt;=13,", "&amp;$A900&amp;"-"&amp;TEXT(($D900-$C900+1)+12,"00"),"")&amp;IF($C900&gt;=14,", "&amp;$A900&amp;"-"&amp;TEXT(($D900-$C900+1)+13,"00"),"")&amp;IF($C900&gt;=15,", "&amp;$A900&amp;"-"&amp;TEXT(($D900-$C900+1)+14,"00"),"")&amp;IF($C900&gt;=16,", "&amp;$A900&amp;"-"&amp;TEXT(($D900-$C900+1)+15,"00"),"")&amp;IF($C900&gt;=17,", "&amp;$A900&amp;"-"&amp;TEXT(($D900-$C900+1)+16,"00"),"")&amp;IF($C900&gt;=18,", "&amp;$A900&amp;"-"&amp;TEXT(($D900-$C900+1)+17,"00"),"")&amp;IF($C900&gt;=19,", "&amp;$A900&amp;"-"&amp;TEXT(($D900-$C900+1)+18,"00"),"")&amp;IF($C900&gt;=20,", "&amp;$A900&amp;"-"&amp;TEXT(($D900-$C900+1)+19,"00"),"")&amp;IF($C900&gt;=21,", "&amp;$A900&amp;"-"&amp;TEXT(($D900-$C900+1)+20,"00"),"")&amp;IF($C900&gt;=22,", "&amp;$A900&amp;"-"&amp;TEXT(($D900-$C900+1)+21,"00"),"")&amp;IF($C900&gt;=23,", "&amp;$A900&amp;"-"&amp;TEXT(($D900-$C900+1)+22,"00"),"")&amp;IF($C900&gt;=24,", "&amp;$A900&amp;"-"&amp;TEXT(($D900-$C900+1)+23,"00"),"")&amp;IF($C900&gt;=25,", "&amp;$A900&amp;"-"&amp;TEXT(($D900-$C900+1)+24,"00"),""))</f>
        <v/>
      </c>
      <c r="G900">
        <f>IF($A900="","",IF($E900=1,$F900,IF($F900="",$G899,IF($G899="",$F900,$G899&amp;", "&amp;$F900))))</f>
        <v/>
      </c>
      <c r="H900">
        <f>IF($A900="","",$A900&amp;" ("&amp;$C900&amp;")")</f>
        <v/>
      </c>
      <c r="I900">
        <f>IF($A900="","",IF($E900=1,$H900,$I899&amp;", "&amp;$H900))</f>
        <v/>
      </c>
      <c r="J900">
        <f>IF($A900="","",IF($E900=1,$B900,""))</f>
        <v/>
      </c>
      <c r="K900">
        <f>IF($A900="","",IF(COUNTIF($B$2:$B900,$B900)=COUNTIF($B$2:$B$1601,$B900),$B900,""))</f>
        <v/>
      </c>
    </row>
    <row r="901">
      <c r="A901">
        <f>IF('TMP Paste'!$E901="","",'TMP Paste'!$E901)</f>
        <v/>
      </c>
      <c r="B901">
        <f>IF($A901="","",COUNTIF('TMP Paste'!$B$2:$B901,"?*"))</f>
        <v/>
      </c>
      <c r="C901">
        <f>IF($A901="","",IFERROR('TMP Paste'!$M901*1,0))</f>
        <v/>
      </c>
      <c r="D901">
        <f>IF($A901="","",SUMIF($B$2:$B901,$B901,$C$2:$C901))</f>
        <v/>
      </c>
      <c r="E901">
        <f>IF($A901="",0,IF('TMP Paste'!$B901="",0,1))</f>
        <v/>
      </c>
      <c r="F901">
        <f>IF(OR($A901="",$C901&lt;1),"",$A901&amp;"-"&amp;TEXT(($D901-$C901+1),"00")&amp;IF($C901&gt;=2,", "&amp;$A901&amp;"-"&amp;TEXT(($D901-$C901+1)+1,"00"),"")&amp;IF($C901&gt;=3,", "&amp;$A901&amp;"-"&amp;TEXT(($D901-$C901+1)+2,"00"),"")&amp;IF($C901&gt;=4,", "&amp;$A901&amp;"-"&amp;TEXT(($D901-$C901+1)+3,"00"),"")&amp;IF($C901&gt;=5,", "&amp;$A901&amp;"-"&amp;TEXT(($D901-$C901+1)+4,"00"),"")&amp;IF($C901&gt;=6,", "&amp;$A901&amp;"-"&amp;TEXT(($D901-$C901+1)+5,"00"),"")&amp;IF($C901&gt;=7,", "&amp;$A901&amp;"-"&amp;TEXT(($D901-$C901+1)+6,"00"),"")&amp;IF($C901&gt;=8,", "&amp;$A901&amp;"-"&amp;TEXT(($D901-$C901+1)+7,"00"),"")&amp;IF($C901&gt;=9,", "&amp;$A901&amp;"-"&amp;TEXT(($D901-$C901+1)+8,"00"),"")&amp;IF($C901&gt;=10,", "&amp;$A901&amp;"-"&amp;TEXT(($D901-$C901+1)+9,"00"),"")&amp;IF($C901&gt;=11,", "&amp;$A901&amp;"-"&amp;TEXT(($D901-$C901+1)+10,"00"),"")&amp;IF($C901&gt;=12,", "&amp;$A901&amp;"-"&amp;TEXT(($D901-$C901+1)+11,"00"),"")&amp;IF($C901&gt;=13,", "&amp;$A901&amp;"-"&amp;TEXT(($D901-$C901+1)+12,"00"),"")&amp;IF($C901&gt;=14,", "&amp;$A901&amp;"-"&amp;TEXT(($D901-$C901+1)+13,"00"),"")&amp;IF($C901&gt;=15,", "&amp;$A901&amp;"-"&amp;TEXT(($D901-$C901+1)+14,"00"),"")&amp;IF($C901&gt;=16,", "&amp;$A901&amp;"-"&amp;TEXT(($D901-$C901+1)+15,"00"),"")&amp;IF($C901&gt;=17,", "&amp;$A901&amp;"-"&amp;TEXT(($D901-$C901+1)+16,"00"),"")&amp;IF($C901&gt;=18,", "&amp;$A901&amp;"-"&amp;TEXT(($D901-$C901+1)+17,"00"),"")&amp;IF($C901&gt;=19,", "&amp;$A901&amp;"-"&amp;TEXT(($D901-$C901+1)+18,"00"),"")&amp;IF($C901&gt;=20,", "&amp;$A901&amp;"-"&amp;TEXT(($D901-$C901+1)+19,"00"),"")&amp;IF($C901&gt;=21,", "&amp;$A901&amp;"-"&amp;TEXT(($D901-$C901+1)+20,"00"),"")&amp;IF($C901&gt;=22,", "&amp;$A901&amp;"-"&amp;TEXT(($D901-$C901+1)+21,"00"),"")&amp;IF($C901&gt;=23,", "&amp;$A901&amp;"-"&amp;TEXT(($D901-$C901+1)+22,"00"),"")&amp;IF($C901&gt;=24,", "&amp;$A901&amp;"-"&amp;TEXT(($D901-$C901+1)+23,"00"),"")&amp;IF($C901&gt;=25,", "&amp;$A901&amp;"-"&amp;TEXT(($D901-$C901+1)+24,"00"),""))</f>
        <v/>
      </c>
      <c r="G901">
        <f>IF($A901="","",IF($E901=1,$F901,IF($F901="",$G900,IF($G900="",$F901,$G900&amp;", "&amp;$F901))))</f>
        <v/>
      </c>
      <c r="H901">
        <f>IF($A901="","",$A901&amp;" ("&amp;$C901&amp;")")</f>
        <v/>
      </c>
      <c r="I901">
        <f>IF($A901="","",IF($E901=1,$H901,$I900&amp;", "&amp;$H901))</f>
        <v/>
      </c>
      <c r="J901">
        <f>IF($A901="","",IF($E901=1,$B901,""))</f>
        <v/>
      </c>
      <c r="K901">
        <f>IF($A901="","",IF(COUNTIF($B$2:$B901,$B901)=COUNTIF($B$2:$B$1601,$B901),$B901,""))</f>
        <v/>
      </c>
    </row>
    <row r="902">
      <c r="A902">
        <f>IF('TMP Paste'!$E902="","",'TMP Paste'!$E902)</f>
        <v/>
      </c>
      <c r="B902">
        <f>IF($A902="","",COUNTIF('TMP Paste'!$B$2:$B902,"?*"))</f>
        <v/>
      </c>
      <c r="C902">
        <f>IF($A902="","",IFERROR('TMP Paste'!$M902*1,0))</f>
        <v/>
      </c>
      <c r="D902">
        <f>IF($A902="","",SUMIF($B$2:$B902,$B902,$C$2:$C902))</f>
        <v/>
      </c>
      <c r="E902">
        <f>IF($A902="",0,IF('TMP Paste'!$B902="",0,1))</f>
        <v/>
      </c>
      <c r="F902">
        <f>IF(OR($A902="",$C902&lt;1),"",$A902&amp;"-"&amp;TEXT(($D902-$C902+1),"00")&amp;IF($C902&gt;=2,", "&amp;$A902&amp;"-"&amp;TEXT(($D902-$C902+1)+1,"00"),"")&amp;IF($C902&gt;=3,", "&amp;$A902&amp;"-"&amp;TEXT(($D902-$C902+1)+2,"00"),"")&amp;IF($C902&gt;=4,", "&amp;$A902&amp;"-"&amp;TEXT(($D902-$C902+1)+3,"00"),"")&amp;IF($C902&gt;=5,", "&amp;$A902&amp;"-"&amp;TEXT(($D902-$C902+1)+4,"00"),"")&amp;IF($C902&gt;=6,", "&amp;$A902&amp;"-"&amp;TEXT(($D902-$C902+1)+5,"00"),"")&amp;IF($C902&gt;=7,", "&amp;$A902&amp;"-"&amp;TEXT(($D902-$C902+1)+6,"00"),"")&amp;IF($C902&gt;=8,", "&amp;$A902&amp;"-"&amp;TEXT(($D902-$C902+1)+7,"00"),"")&amp;IF($C902&gt;=9,", "&amp;$A902&amp;"-"&amp;TEXT(($D902-$C902+1)+8,"00"),"")&amp;IF($C902&gt;=10,", "&amp;$A902&amp;"-"&amp;TEXT(($D902-$C902+1)+9,"00"),"")&amp;IF($C902&gt;=11,", "&amp;$A902&amp;"-"&amp;TEXT(($D902-$C902+1)+10,"00"),"")&amp;IF($C902&gt;=12,", "&amp;$A902&amp;"-"&amp;TEXT(($D902-$C902+1)+11,"00"),"")&amp;IF($C902&gt;=13,", "&amp;$A902&amp;"-"&amp;TEXT(($D902-$C902+1)+12,"00"),"")&amp;IF($C902&gt;=14,", "&amp;$A902&amp;"-"&amp;TEXT(($D902-$C902+1)+13,"00"),"")&amp;IF($C902&gt;=15,", "&amp;$A902&amp;"-"&amp;TEXT(($D902-$C902+1)+14,"00"),"")&amp;IF($C902&gt;=16,", "&amp;$A902&amp;"-"&amp;TEXT(($D902-$C902+1)+15,"00"),"")&amp;IF($C902&gt;=17,", "&amp;$A902&amp;"-"&amp;TEXT(($D902-$C902+1)+16,"00"),"")&amp;IF($C902&gt;=18,", "&amp;$A902&amp;"-"&amp;TEXT(($D902-$C902+1)+17,"00"),"")&amp;IF($C902&gt;=19,", "&amp;$A902&amp;"-"&amp;TEXT(($D902-$C902+1)+18,"00"),"")&amp;IF($C902&gt;=20,", "&amp;$A902&amp;"-"&amp;TEXT(($D902-$C902+1)+19,"00"),"")&amp;IF($C902&gt;=21,", "&amp;$A902&amp;"-"&amp;TEXT(($D902-$C902+1)+20,"00"),"")&amp;IF($C902&gt;=22,", "&amp;$A902&amp;"-"&amp;TEXT(($D902-$C902+1)+21,"00"),"")&amp;IF($C902&gt;=23,", "&amp;$A902&amp;"-"&amp;TEXT(($D902-$C902+1)+22,"00"),"")&amp;IF($C902&gt;=24,", "&amp;$A902&amp;"-"&amp;TEXT(($D902-$C902+1)+23,"00"),"")&amp;IF($C902&gt;=25,", "&amp;$A902&amp;"-"&amp;TEXT(($D902-$C902+1)+24,"00"),""))</f>
        <v/>
      </c>
      <c r="G902">
        <f>IF($A902="","",IF($E902=1,$F902,IF($F902="",$G901,IF($G901="",$F902,$G901&amp;", "&amp;$F902))))</f>
        <v/>
      </c>
      <c r="H902">
        <f>IF($A902="","",$A902&amp;" ("&amp;$C902&amp;")")</f>
        <v/>
      </c>
      <c r="I902">
        <f>IF($A902="","",IF($E902=1,$H902,$I901&amp;", "&amp;$H902))</f>
        <v/>
      </c>
      <c r="J902">
        <f>IF($A902="","",IF($E902=1,$B902,""))</f>
        <v/>
      </c>
      <c r="K902">
        <f>IF($A902="","",IF(COUNTIF($B$2:$B902,$B902)=COUNTIF($B$2:$B$1601,$B902),$B902,""))</f>
        <v/>
      </c>
    </row>
    <row r="903">
      <c r="A903">
        <f>IF('TMP Paste'!$E903="","",'TMP Paste'!$E903)</f>
        <v/>
      </c>
      <c r="B903">
        <f>IF($A903="","",COUNTIF('TMP Paste'!$B$2:$B903,"?*"))</f>
        <v/>
      </c>
      <c r="C903">
        <f>IF($A903="","",IFERROR('TMP Paste'!$M903*1,0))</f>
        <v/>
      </c>
      <c r="D903">
        <f>IF($A903="","",SUMIF($B$2:$B903,$B903,$C$2:$C903))</f>
        <v/>
      </c>
      <c r="E903">
        <f>IF($A903="",0,IF('TMP Paste'!$B903="",0,1))</f>
        <v/>
      </c>
      <c r="F903">
        <f>IF(OR($A903="",$C903&lt;1),"",$A903&amp;"-"&amp;TEXT(($D903-$C903+1),"00")&amp;IF($C903&gt;=2,", "&amp;$A903&amp;"-"&amp;TEXT(($D903-$C903+1)+1,"00"),"")&amp;IF($C903&gt;=3,", "&amp;$A903&amp;"-"&amp;TEXT(($D903-$C903+1)+2,"00"),"")&amp;IF($C903&gt;=4,", "&amp;$A903&amp;"-"&amp;TEXT(($D903-$C903+1)+3,"00"),"")&amp;IF($C903&gt;=5,", "&amp;$A903&amp;"-"&amp;TEXT(($D903-$C903+1)+4,"00"),"")&amp;IF($C903&gt;=6,", "&amp;$A903&amp;"-"&amp;TEXT(($D903-$C903+1)+5,"00"),"")&amp;IF($C903&gt;=7,", "&amp;$A903&amp;"-"&amp;TEXT(($D903-$C903+1)+6,"00"),"")&amp;IF($C903&gt;=8,", "&amp;$A903&amp;"-"&amp;TEXT(($D903-$C903+1)+7,"00"),"")&amp;IF($C903&gt;=9,", "&amp;$A903&amp;"-"&amp;TEXT(($D903-$C903+1)+8,"00"),"")&amp;IF($C903&gt;=10,", "&amp;$A903&amp;"-"&amp;TEXT(($D903-$C903+1)+9,"00"),"")&amp;IF($C903&gt;=11,", "&amp;$A903&amp;"-"&amp;TEXT(($D903-$C903+1)+10,"00"),"")&amp;IF($C903&gt;=12,", "&amp;$A903&amp;"-"&amp;TEXT(($D903-$C903+1)+11,"00"),"")&amp;IF($C903&gt;=13,", "&amp;$A903&amp;"-"&amp;TEXT(($D903-$C903+1)+12,"00"),"")&amp;IF($C903&gt;=14,", "&amp;$A903&amp;"-"&amp;TEXT(($D903-$C903+1)+13,"00"),"")&amp;IF($C903&gt;=15,", "&amp;$A903&amp;"-"&amp;TEXT(($D903-$C903+1)+14,"00"),"")&amp;IF($C903&gt;=16,", "&amp;$A903&amp;"-"&amp;TEXT(($D903-$C903+1)+15,"00"),"")&amp;IF($C903&gt;=17,", "&amp;$A903&amp;"-"&amp;TEXT(($D903-$C903+1)+16,"00"),"")&amp;IF($C903&gt;=18,", "&amp;$A903&amp;"-"&amp;TEXT(($D903-$C903+1)+17,"00"),"")&amp;IF($C903&gt;=19,", "&amp;$A903&amp;"-"&amp;TEXT(($D903-$C903+1)+18,"00"),"")&amp;IF($C903&gt;=20,", "&amp;$A903&amp;"-"&amp;TEXT(($D903-$C903+1)+19,"00"),"")&amp;IF($C903&gt;=21,", "&amp;$A903&amp;"-"&amp;TEXT(($D903-$C903+1)+20,"00"),"")&amp;IF($C903&gt;=22,", "&amp;$A903&amp;"-"&amp;TEXT(($D903-$C903+1)+21,"00"),"")&amp;IF($C903&gt;=23,", "&amp;$A903&amp;"-"&amp;TEXT(($D903-$C903+1)+22,"00"),"")&amp;IF($C903&gt;=24,", "&amp;$A903&amp;"-"&amp;TEXT(($D903-$C903+1)+23,"00"),"")&amp;IF($C903&gt;=25,", "&amp;$A903&amp;"-"&amp;TEXT(($D903-$C903+1)+24,"00"),""))</f>
        <v/>
      </c>
      <c r="G903">
        <f>IF($A903="","",IF($E903=1,$F903,IF($F903="",$G902,IF($G902="",$F903,$G902&amp;", "&amp;$F903))))</f>
        <v/>
      </c>
      <c r="H903">
        <f>IF($A903="","",$A903&amp;" ("&amp;$C903&amp;")")</f>
        <v/>
      </c>
      <c r="I903">
        <f>IF($A903="","",IF($E903=1,$H903,$I902&amp;", "&amp;$H903))</f>
        <v/>
      </c>
      <c r="J903">
        <f>IF($A903="","",IF($E903=1,$B903,""))</f>
        <v/>
      </c>
      <c r="K903">
        <f>IF($A903="","",IF(COUNTIF($B$2:$B903,$B903)=COUNTIF($B$2:$B$1601,$B903),$B903,""))</f>
        <v/>
      </c>
    </row>
    <row r="904">
      <c r="A904">
        <f>IF('TMP Paste'!$E904="","",'TMP Paste'!$E904)</f>
        <v/>
      </c>
      <c r="B904">
        <f>IF($A904="","",COUNTIF('TMP Paste'!$B$2:$B904,"?*"))</f>
        <v/>
      </c>
      <c r="C904">
        <f>IF($A904="","",IFERROR('TMP Paste'!$M904*1,0))</f>
        <v/>
      </c>
      <c r="D904">
        <f>IF($A904="","",SUMIF($B$2:$B904,$B904,$C$2:$C904))</f>
        <v/>
      </c>
      <c r="E904">
        <f>IF($A904="",0,IF('TMP Paste'!$B904="",0,1))</f>
        <v/>
      </c>
      <c r="F904">
        <f>IF(OR($A904="",$C904&lt;1),"",$A904&amp;"-"&amp;TEXT(($D904-$C904+1),"00")&amp;IF($C904&gt;=2,", "&amp;$A904&amp;"-"&amp;TEXT(($D904-$C904+1)+1,"00"),"")&amp;IF($C904&gt;=3,", "&amp;$A904&amp;"-"&amp;TEXT(($D904-$C904+1)+2,"00"),"")&amp;IF($C904&gt;=4,", "&amp;$A904&amp;"-"&amp;TEXT(($D904-$C904+1)+3,"00"),"")&amp;IF($C904&gt;=5,", "&amp;$A904&amp;"-"&amp;TEXT(($D904-$C904+1)+4,"00"),"")&amp;IF($C904&gt;=6,", "&amp;$A904&amp;"-"&amp;TEXT(($D904-$C904+1)+5,"00"),"")&amp;IF($C904&gt;=7,", "&amp;$A904&amp;"-"&amp;TEXT(($D904-$C904+1)+6,"00"),"")&amp;IF($C904&gt;=8,", "&amp;$A904&amp;"-"&amp;TEXT(($D904-$C904+1)+7,"00"),"")&amp;IF($C904&gt;=9,", "&amp;$A904&amp;"-"&amp;TEXT(($D904-$C904+1)+8,"00"),"")&amp;IF($C904&gt;=10,", "&amp;$A904&amp;"-"&amp;TEXT(($D904-$C904+1)+9,"00"),"")&amp;IF($C904&gt;=11,", "&amp;$A904&amp;"-"&amp;TEXT(($D904-$C904+1)+10,"00"),"")&amp;IF($C904&gt;=12,", "&amp;$A904&amp;"-"&amp;TEXT(($D904-$C904+1)+11,"00"),"")&amp;IF($C904&gt;=13,", "&amp;$A904&amp;"-"&amp;TEXT(($D904-$C904+1)+12,"00"),"")&amp;IF($C904&gt;=14,", "&amp;$A904&amp;"-"&amp;TEXT(($D904-$C904+1)+13,"00"),"")&amp;IF($C904&gt;=15,", "&amp;$A904&amp;"-"&amp;TEXT(($D904-$C904+1)+14,"00"),"")&amp;IF($C904&gt;=16,", "&amp;$A904&amp;"-"&amp;TEXT(($D904-$C904+1)+15,"00"),"")&amp;IF($C904&gt;=17,", "&amp;$A904&amp;"-"&amp;TEXT(($D904-$C904+1)+16,"00"),"")&amp;IF($C904&gt;=18,", "&amp;$A904&amp;"-"&amp;TEXT(($D904-$C904+1)+17,"00"),"")&amp;IF($C904&gt;=19,", "&amp;$A904&amp;"-"&amp;TEXT(($D904-$C904+1)+18,"00"),"")&amp;IF($C904&gt;=20,", "&amp;$A904&amp;"-"&amp;TEXT(($D904-$C904+1)+19,"00"),"")&amp;IF($C904&gt;=21,", "&amp;$A904&amp;"-"&amp;TEXT(($D904-$C904+1)+20,"00"),"")&amp;IF($C904&gt;=22,", "&amp;$A904&amp;"-"&amp;TEXT(($D904-$C904+1)+21,"00"),"")&amp;IF($C904&gt;=23,", "&amp;$A904&amp;"-"&amp;TEXT(($D904-$C904+1)+22,"00"),"")&amp;IF($C904&gt;=24,", "&amp;$A904&amp;"-"&amp;TEXT(($D904-$C904+1)+23,"00"),"")&amp;IF($C904&gt;=25,", "&amp;$A904&amp;"-"&amp;TEXT(($D904-$C904+1)+24,"00"),""))</f>
        <v/>
      </c>
      <c r="G904">
        <f>IF($A904="","",IF($E904=1,$F904,IF($F904="",$G903,IF($G903="",$F904,$G903&amp;", "&amp;$F904))))</f>
        <v/>
      </c>
      <c r="H904">
        <f>IF($A904="","",$A904&amp;" ("&amp;$C904&amp;")")</f>
        <v/>
      </c>
      <c r="I904">
        <f>IF($A904="","",IF($E904=1,$H904,$I903&amp;", "&amp;$H904))</f>
        <v/>
      </c>
      <c r="J904">
        <f>IF($A904="","",IF($E904=1,$B904,""))</f>
        <v/>
      </c>
      <c r="K904">
        <f>IF($A904="","",IF(COUNTIF($B$2:$B904,$B904)=COUNTIF($B$2:$B$1601,$B904),$B904,""))</f>
        <v/>
      </c>
    </row>
    <row r="905">
      <c r="A905">
        <f>IF('TMP Paste'!$E905="","",'TMP Paste'!$E905)</f>
        <v/>
      </c>
      <c r="B905">
        <f>IF($A905="","",COUNTIF('TMP Paste'!$B$2:$B905,"?*"))</f>
        <v/>
      </c>
      <c r="C905">
        <f>IF($A905="","",IFERROR('TMP Paste'!$M905*1,0))</f>
        <v/>
      </c>
      <c r="D905">
        <f>IF($A905="","",SUMIF($B$2:$B905,$B905,$C$2:$C905))</f>
        <v/>
      </c>
      <c r="E905">
        <f>IF($A905="",0,IF('TMP Paste'!$B905="",0,1))</f>
        <v/>
      </c>
      <c r="F905">
        <f>IF(OR($A905="",$C905&lt;1),"",$A905&amp;"-"&amp;TEXT(($D905-$C905+1),"00")&amp;IF($C905&gt;=2,", "&amp;$A905&amp;"-"&amp;TEXT(($D905-$C905+1)+1,"00"),"")&amp;IF($C905&gt;=3,", "&amp;$A905&amp;"-"&amp;TEXT(($D905-$C905+1)+2,"00"),"")&amp;IF($C905&gt;=4,", "&amp;$A905&amp;"-"&amp;TEXT(($D905-$C905+1)+3,"00"),"")&amp;IF($C905&gt;=5,", "&amp;$A905&amp;"-"&amp;TEXT(($D905-$C905+1)+4,"00"),"")&amp;IF($C905&gt;=6,", "&amp;$A905&amp;"-"&amp;TEXT(($D905-$C905+1)+5,"00"),"")&amp;IF($C905&gt;=7,", "&amp;$A905&amp;"-"&amp;TEXT(($D905-$C905+1)+6,"00"),"")&amp;IF($C905&gt;=8,", "&amp;$A905&amp;"-"&amp;TEXT(($D905-$C905+1)+7,"00"),"")&amp;IF($C905&gt;=9,", "&amp;$A905&amp;"-"&amp;TEXT(($D905-$C905+1)+8,"00"),"")&amp;IF($C905&gt;=10,", "&amp;$A905&amp;"-"&amp;TEXT(($D905-$C905+1)+9,"00"),"")&amp;IF($C905&gt;=11,", "&amp;$A905&amp;"-"&amp;TEXT(($D905-$C905+1)+10,"00"),"")&amp;IF($C905&gt;=12,", "&amp;$A905&amp;"-"&amp;TEXT(($D905-$C905+1)+11,"00"),"")&amp;IF($C905&gt;=13,", "&amp;$A905&amp;"-"&amp;TEXT(($D905-$C905+1)+12,"00"),"")&amp;IF($C905&gt;=14,", "&amp;$A905&amp;"-"&amp;TEXT(($D905-$C905+1)+13,"00"),"")&amp;IF($C905&gt;=15,", "&amp;$A905&amp;"-"&amp;TEXT(($D905-$C905+1)+14,"00"),"")&amp;IF($C905&gt;=16,", "&amp;$A905&amp;"-"&amp;TEXT(($D905-$C905+1)+15,"00"),"")&amp;IF($C905&gt;=17,", "&amp;$A905&amp;"-"&amp;TEXT(($D905-$C905+1)+16,"00"),"")&amp;IF($C905&gt;=18,", "&amp;$A905&amp;"-"&amp;TEXT(($D905-$C905+1)+17,"00"),"")&amp;IF($C905&gt;=19,", "&amp;$A905&amp;"-"&amp;TEXT(($D905-$C905+1)+18,"00"),"")&amp;IF($C905&gt;=20,", "&amp;$A905&amp;"-"&amp;TEXT(($D905-$C905+1)+19,"00"),"")&amp;IF($C905&gt;=21,", "&amp;$A905&amp;"-"&amp;TEXT(($D905-$C905+1)+20,"00"),"")&amp;IF($C905&gt;=22,", "&amp;$A905&amp;"-"&amp;TEXT(($D905-$C905+1)+21,"00"),"")&amp;IF($C905&gt;=23,", "&amp;$A905&amp;"-"&amp;TEXT(($D905-$C905+1)+22,"00"),"")&amp;IF($C905&gt;=24,", "&amp;$A905&amp;"-"&amp;TEXT(($D905-$C905+1)+23,"00"),"")&amp;IF($C905&gt;=25,", "&amp;$A905&amp;"-"&amp;TEXT(($D905-$C905+1)+24,"00"),""))</f>
        <v/>
      </c>
      <c r="G905">
        <f>IF($A905="","",IF($E905=1,$F905,IF($F905="",$G904,IF($G904="",$F905,$G904&amp;", "&amp;$F905))))</f>
        <v/>
      </c>
      <c r="H905">
        <f>IF($A905="","",$A905&amp;" ("&amp;$C905&amp;")")</f>
        <v/>
      </c>
      <c r="I905">
        <f>IF($A905="","",IF($E905=1,$H905,$I904&amp;", "&amp;$H905))</f>
        <v/>
      </c>
      <c r="J905">
        <f>IF($A905="","",IF($E905=1,$B905,""))</f>
        <v/>
      </c>
      <c r="K905">
        <f>IF($A905="","",IF(COUNTIF($B$2:$B905,$B905)=COUNTIF($B$2:$B$1601,$B905),$B905,""))</f>
        <v/>
      </c>
    </row>
    <row r="906">
      <c r="A906">
        <f>IF('TMP Paste'!$E906="","",'TMP Paste'!$E906)</f>
        <v/>
      </c>
      <c r="B906">
        <f>IF($A906="","",COUNTIF('TMP Paste'!$B$2:$B906,"?*"))</f>
        <v/>
      </c>
      <c r="C906">
        <f>IF($A906="","",IFERROR('TMP Paste'!$M906*1,0))</f>
        <v/>
      </c>
      <c r="D906">
        <f>IF($A906="","",SUMIF($B$2:$B906,$B906,$C$2:$C906))</f>
        <v/>
      </c>
      <c r="E906">
        <f>IF($A906="",0,IF('TMP Paste'!$B906="",0,1))</f>
        <v/>
      </c>
      <c r="F906">
        <f>IF(OR($A906="",$C906&lt;1),"",$A906&amp;"-"&amp;TEXT(($D906-$C906+1),"00")&amp;IF($C906&gt;=2,", "&amp;$A906&amp;"-"&amp;TEXT(($D906-$C906+1)+1,"00"),"")&amp;IF($C906&gt;=3,", "&amp;$A906&amp;"-"&amp;TEXT(($D906-$C906+1)+2,"00"),"")&amp;IF($C906&gt;=4,", "&amp;$A906&amp;"-"&amp;TEXT(($D906-$C906+1)+3,"00"),"")&amp;IF($C906&gt;=5,", "&amp;$A906&amp;"-"&amp;TEXT(($D906-$C906+1)+4,"00"),"")&amp;IF($C906&gt;=6,", "&amp;$A906&amp;"-"&amp;TEXT(($D906-$C906+1)+5,"00"),"")&amp;IF($C906&gt;=7,", "&amp;$A906&amp;"-"&amp;TEXT(($D906-$C906+1)+6,"00"),"")&amp;IF($C906&gt;=8,", "&amp;$A906&amp;"-"&amp;TEXT(($D906-$C906+1)+7,"00"),"")&amp;IF($C906&gt;=9,", "&amp;$A906&amp;"-"&amp;TEXT(($D906-$C906+1)+8,"00"),"")&amp;IF($C906&gt;=10,", "&amp;$A906&amp;"-"&amp;TEXT(($D906-$C906+1)+9,"00"),"")&amp;IF($C906&gt;=11,", "&amp;$A906&amp;"-"&amp;TEXT(($D906-$C906+1)+10,"00"),"")&amp;IF($C906&gt;=12,", "&amp;$A906&amp;"-"&amp;TEXT(($D906-$C906+1)+11,"00"),"")&amp;IF($C906&gt;=13,", "&amp;$A906&amp;"-"&amp;TEXT(($D906-$C906+1)+12,"00"),"")&amp;IF($C906&gt;=14,", "&amp;$A906&amp;"-"&amp;TEXT(($D906-$C906+1)+13,"00"),"")&amp;IF($C906&gt;=15,", "&amp;$A906&amp;"-"&amp;TEXT(($D906-$C906+1)+14,"00"),"")&amp;IF($C906&gt;=16,", "&amp;$A906&amp;"-"&amp;TEXT(($D906-$C906+1)+15,"00"),"")&amp;IF($C906&gt;=17,", "&amp;$A906&amp;"-"&amp;TEXT(($D906-$C906+1)+16,"00"),"")&amp;IF($C906&gt;=18,", "&amp;$A906&amp;"-"&amp;TEXT(($D906-$C906+1)+17,"00"),"")&amp;IF($C906&gt;=19,", "&amp;$A906&amp;"-"&amp;TEXT(($D906-$C906+1)+18,"00"),"")&amp;IF($C906&gt;=20,", "&amp;$A906&amp;"-"&amp;TEXT(($D906-$C906+1)+19,"00"),"")&amp;IF($C906&gt;=21,", "&amp;$A906&amp;"-"&amp;TEXT(($D906-$C906+1)+20,"00"),"")&amp;IF($C906&gt;=22,", "&amp;$A906&amp;"-"&amp;TEXT(($D906-$C906+1)+21,"00"),"")&amp;IF($C906&gt;=23,", "&amp;$A906&amp;"-"&amp;TEXT(($D906-$C906+1)+22,"00"),"")&amp;IF($C906&gt;=24,", "&amp;$A906&amp;"-"&amp;TEXT(($D906-$C906+1)+23,"00"),"")&amp;IF($C906&gt;=25,", "&amp;$A906&amp;"-"&amp;TEXT(($D906-$C906+1)+24,"00"),""))</f>
        <v/>
      </c>
      <c r="G906">
        <f>IF($A906="","",IF($E906=1,$F906,IF($F906="",$G905,IF($G905="",$F906,$G905&amp;", "&amp;$F906))))</f>
        <v/>
      </c>
      <c r="H906">
        <f>IF($A906="","",$A906&amp;" ("&amp;$C906&amp;")")</f>
        <v/>
      </c>
      <c r="I906">
        <f>IF($A906="","",IF($E906=1,$H906,$I905&amp;", "&amp;$H906))</f>
        <v/>
      </c>
      <c r="J906">
        <f>IF($A906="","",IF($E906=1,$B906,""))</f>
        <v/>
      </c>
      <c r="K906">
        <f>IF($A906="","",IF(COUNTIF($B$2:$B906,$B906)=COUNTIF($B$2:$B$1601,$B906),$B906,""))</f>
        <v/>
      </c>
    </row>
    <row r="907">
      <c r="A907">
        <f>IF('TMP Paste'!$E907="","",'TMP Paste'!$E907)</f>
        <v/>
      </c>
      <c r="B907">
        <f>IF($A907="","",COUNTIF('TMP Paste'!$B$2:$B907,"?*"))</f>
        <v/>
      </c>
      <c r="C907">
        <f>IF($A907="","",IFERROR('TMP Paste'!$M907*1,0))</f>
        <v/>
      </c>
      <c r="D907">
        <f>IF($A907="","",SUMIF($B$2:$B907,$B907,$C$2:$C907))</f>
        <v/>
      </c>
      <c r="E907">
        <f>IF($A907="",0,IF('TMP Paste'!$B907="",0,1))</f>
        <v/>
      </c>
      <c r="F907">
        <f>IF(OR($A907="",$C907&lt;1),"",$A907&amp;"-"&amp;TEXT(($D907-$C907+1),"00")&amp;IF($C907&gt;=2,", "&amp;$A907&amp;"-"&amp;TEXT(($D907-$C907+1)+1,"00"),"")&amp;IF($C907&gt;=3,", "&amp;$A907&amp;"-"&amp;TEXT(($D907-$C907+1)+2,"00"),"")&amp;IF($C907&gt;=4,", "&amp;$A907&amp;"-"&amp;TEXT(($D907-$C907+1)+3,"00"),"")&amp;IF($C907&gt;=5,", "&amp;$A907&amp;"-"&amp;TEXT(($D907-$C907+1)+4,"00"),"")&amp;IF($C907&gt;=6,", "&amp;$A907&amp;"-"&amp;TEXT(($D907-$C907+1)+5,"00"),"")&amp;IF($C907&gt;=7,", "&amp;$A907&amp;"-"&amp;TEXT(($D907-$C907+1)+6,"00"),"")&amp;IF($C907&gt;=8,", "&amp;$A907&amp;"-"&amp;TEXT(($D907-$C907+1)+7,"00"),"")&amp;IF($C907&gt;=9,", "&amp;$A907&amp;"-"&amp;TEXT(($D907-$C907+1)+8,"00"),"")&amp;IF($C907&gt;=10,", "&amp;$A907&amp;"-"&amp;TEXT(($D907-$C907+1)+9,"00"),"")&amp;IF($C907&gt;=11,", "&amp;$A907&amp;"-"&amp;TEXT(($D907-$C907+1)+10,"00"),"")&amp;IF($C907&gt;=12,", "&amp;$A907&amp;"-"&amp;TEXT(($D907-$C907+1)+11,"00"),"")&amp;IF($C907&gt;=13,", "&amp;$A907&amp;"-"&amp;TEXT(($D907-$C907+1)+12,"00"),"")&amp;IF($C907&gt;=14,", "&amp;$A907&amp;"-"&amp;TEXT(($D907-$C907+1)+13,"00"),"")&amp;IF($C907&gt;=15,", "&amp;$A907&amp;"-"&amp;TEXT(($D907-$C907+1)+14,"00"),"")&amp;IF($C907&gt;=16,", "&amp;$A907&amp;"-"&amp;TEXT(($D907-$C907+1)+15,"00"),"")&amp;IF($C907&gt;=17,", "&amp;$A907&amp;"-"&amp;TEXT(($D907-$C907+1)+16,"00"),"")&amp;IF($C907&gt;=18,", "&amp;$A907&amp;"-"&amp;TEXT(($D907-$C907+1)+17,"00"),"")&amp;IF($C907&gt;=19,", "&amp;$A907&amp;"-"&amp;TEXT(($D907-$C907+1)+18,"00"),"")&amp;IF($C907&gt;=20,", "&amp;$A907&amp;"-"&amp;TEXT(($D907-$C907+1)+19,"00"),"")&amp;IF($C907&gt;=21,", "&amp;$A907&amp;"-"&amp;TEXT(($D907-$C907+1)+20,"00"),"")&amp;IF($C907&gt;=22,", "&amp;$A907&amp;"-"&amp;TEXT(($D907-$C907+1)+21,"00"),"")&amp;IF($C907&gt;=23,", "&amp;$A907&amp;"-"&amp;TEXT(($D907-$C907+1)+22,"00"),"")&amp;IF($C907&gt;=24,", "&amp;$A907&amp;"-"&amp;TEXT(($D907-$C907+1)+23,"00"),"")&amp;IF($C907&gt;=25,", "&amp;$A907&amp;"-"&amp;TEXT(($D907-$C907+1)+24,"00"),""))</f>
        <v/>
      </c>
      <c r="G907">
        <f>IF($A907="","",IF($E907=1,$F907,IF($F907="",$G906,IF($G906="",$F907,$G906&amp;", "&amp;$F907))))</f>
        <v/>
      </c>
      <c r="H907">
        <f>IF($A907="","",$A907&amp;" ("&amp;$C907&amp;")")</f>
        <v/>
      </c>
      <c r="I907">
        <f>IF($A907="","",IF($E907=1,$H907,$I906&amp;", "&amp;$H907))</f>
        <v/>
      </c>
      <c r="J907">
        <f>IF($A907="","",IF($E907=1,$B907,""))</f>
        <v/>
      </c>
      <c r="K907">
        <f>IF($A907="","",IF(COUNTIF($B$2:$B907,$B907)=COUNTIF($B$2:$B$1601,$B907),$B907,""))</f>
        <v/>
      </c>
    </row>
    <row r="908">
      <c r="A908">
        <f>IF('TMP Paste'!$E908="","",'TMP Paste'!$E908)</f>
        <v/>
      </c>
      <c r="B908">
        <f>IF($A908="","",COUNTIF('TMP Paste'!$B$2:$B908,"?*"))</f>
        <v/>
      </c>
      <c r="C908">
        <f>IF($A908="","",IFERROR('TMP Paste'!$M908*1,0))</f>
        <v/>
      </c>
      <c r="D908">
        <f>IF($A908="","",SUMIF($B$2:$B908,$B908,$C$2:$C908))</f>
        <v/>
      </c>
      <c r="E908">
        <f>IF($A908="",0,IF('TMP Paste'!$B908="",0,1))</f>
        <v/>
      </c>
      <c r="F908">
        <f>IF(OR($A908="",$C908&lt;1),"",$A908&amp;"-"&amp;TEXT(($D908-$C908+1),"00")&amp;IF($C908&gt;=2,", "&amp;$A908&amp;"-"&amp;TEXT(($D908-$C908+1)+1,"00"),"")&amp;IF($C908&gt;=3,", "&amp;$A908&amp;"-"&amp;TEXT(($D908-$C908+1)+2,"00"),"")&amp;IF($C908&gt;=4,", "&amp;$A908&amp;"-"&amp;TEXT(($D908-$C908+1)+3,"00"),"")&amp;IF($C908&gt;=5,", "&amp;$A908&amp;"-"&amp;TEXT(($D908-$C908+1)+4,"00"),"")&amp;IF($C908&gt;=6,", "&amp;$A908&amp;"-"&amp;TEXT(($D908-$C908+1)+5,"00"),"")&amp;IF($C908&gt;=7,", "&amp;$A908&amp;"-"&amp;TEXT(($D908-$C908+1)+6,"00"),"")&amp;IF($C908&gt;=8,", "&amp;$A908&amp;"-"&amp;TEXT(($D908-$C908+1)+7,"00"),"")&amp;IF($C908&gt;=9,", "&amp;$A908&amp;"-"&amp;TEXT(($D908-$C908+1)+8,"00"),"")&amp;IF($C908&gt;=10,", "&amp;$A908&amp;"-"&amp;TEXT(($D908-$C908+1)+9,"00"),"")&amp;IF($C908&gt;=11,", "&amp;$A908&amp;"-"&amp;TEXT(($D908-$C908+1)+10,"00"),"")&amp;IF($C908&gt;=12,", "&amp;$A908&amp;"-"&amp;TEXT(($D908-$C908+1)+11,"00"),"")&amp;IF($C908&gt;=13,", "&amp;$A908&amp;"-"&amp;TEXT(($D908-$C908+1)+12,"00"),"")&amp;IF($C908&gt;=14,", "&amp;$A908&amp;"-"&amp;TEXT(($D908-$C908+1)+13,"00"),"")&amp;IF($C908&gt;=15,", "&amp;$A908&amp;"-"&amp;TEXT(($D908-$C908+1)+14,"00"),"")&amp;IF($C908&gt;=16,", "&amp;$A908&amp;"-"&amp;TEXT(($D908-$C908+1)+15,"00"),"")&amp;IF($C908&gt;=17,", "&amp;$A908&amp;"-"&amp;TEXT(($D908-$C908+1)+16,"00"),"")&amp;IF($C908&gt;=18,", "&amp;$A908&amp;"-"&amp;TEXT(($D908-$C908+1)+17,"00"),"")&amp;IF($C908&gt;=19,", "&amp;$A908&amp;"-"&amp;TEXT(($D908-$C908+1)+18,"00"),"")&amp;IF($C908&gt;=20,", "&amp;$A908&amp;"-"&amp;TEXT(($D908-$C908+1)+19,"00"),"")&amp;IF($C908&gt;=21,", "&amp;$A908&amp;"-"&amp;TEXT(($D908-$C908+1)+20,"00"),"")&amp;IF($C908&gt;=22,", "&amp;$A908&amp;"-"&amp;TEXT(($D908-$C908+1)+21,"00"),"")&amp;IF($C908&gt;=23,", "&amp;$A908&amp;"-"&amp;TEXT(($D908-$C908+1)+22,"00"),"")&amp;IF($C908&gt;=24,", "&amp;$A908&amp;"-"&amp;TEXT(($D908-$C908+1)+23,"00"),"")&amp;IF($C908&gt;=25,", "&amp;$A908&amp;"-"&amp;TEXT(($D908-$C908+1)+24,"00"),""))</f>
        <v/>
      </c>
      <c r="G908">
        <f>IF($A908="","",IF($E908=1,$F908,IF($F908="",$G907,IF($G907="",$F908,$G907&amp;", "&amp;$F908))))</f>
        <v/>
      </c>
      <c r="H908">
        <f>IF($A908="","",$A908&amp;" ("&amp;$C908&amp;")")</f>
        <v/>
      </c>
      <c r="I908">
        <f>IF($A908="","",IF($E908=1,$H908,$I907&amp;", "&amp;$H908))</f>
        <v/>
      </c>
      <c r="J908">
        <f>IF($A908="","",IF($E908=1,$B908,""))</f>
        <v/>
      </c>
      <c r="K908">
        <f>IF($A908="","",IF(COUNTIF($B$2:$B908,$B908)=COUNTIF($B$2:$B$1601,$B908),$B908,""))</f>
        <v/>
      </c>
    </row>
    <row r="909">
      <c r="A909">
        <f>IF('TMP Paste'!$E909="","",'TMP Paste'!$E909)</f>
        <v/>
      </c>
      <c r="B909">
        <f>IF($A909="","",COUNTIF('TMP Paste'!$B$2:$B909,"?*"))</f>
        <v/>
      </c>
      <c r="C909">
        <f>IF($A909="","",IFERROR('TMP Paste'!$M909*1,0))</f>
        <v/>
      </c>
      <c r="D909">
        <f>IF($A909="","",SUMIF($B$2:$B909,$B909,$C$2:$C909))</f>
        <v/>
      </c>
      <c r="E909">
        <f>IF($A909="",0,IF('TMP Paste'!$B909="",0,1))</f>
        <v/>
      </c>
      <c r="F909">
        <f>IF(OR($A909="",$C909&lt;1),"",$A909&amp;"-"&amp;TEXT(($D909-$C909+1),"00")&amp;IF($C909&gt;=2,", "&amp;$A909&amp;"-"&amp;TEXT(($D909-$C909+1)+1,"00"),"")&amp;IF($C909&gt;=3,", "&amp;$A909&amp;"-"&amp;TEXT(($D909-$C909+1)+2,"00"),"")&amp;IF($C909&gt;=4,", "&amp;$A909&amp;"-"&amp;TEXT(($D909-$C909+1)+3,"00"),"")&amp;IF($C909&gt;=5,", "&amp;$A909&amp;"-"&amp;TEXT(($D909-$C909+1)+4,"00"),"")&amp;IF($C909&gt;=6,", "&amp;$A909&amp;"-"&amp;TEXT(($D909-$C909+1)+5,"00"),"")&amp;IF($C909&gt;=7,", "&amp;$A909&amp;"-"&amp;TEXT(($D909-$C909+1)+6,"00"),"")&amp;IF($C909&gt;=8,", "&amp;$A909&amp;"-"&amp;TEXT(($D909-$C909+1)+7,"00"),"")&amp;IF($C909&gt;=9,", "&amp;$A909&amp;"-"&amp;TEXT(($D909-$C909+1)+8,"00"),"")&amp;IF($C909&gt;=10,", "&amp;$A909&amp;"-"&amp;TEXT(($D909-$C909+1)+9,"00"),"")&amp;IF($C909&gt;=11,", "&amp;$A909&amp;"-"&amp;TEXT(($D909-$C909+1)+10,"00"),"")&amp;IF($C909&gt;=12,", "&amp;$A909&amp;"-"&amp;TEXT(($D909-$C909+1)+11,"00"),"")&amp;IF($C909&gt;=13,", "&amp;$A909&amp;"-"&amp;TEXT(($D909-$C909+1)+12,"00"),"")&amp;IF($C909&gt;=14,", "&amp;$A909&amp;"-"&amp;TEXT(($D909-$C909+1)+13,"00"),"")&amp;IF($C909&gt;=15,", "&amp;$A909&amp;"-"&amp;TEXT(($D909-$C909+1)+14,"00"),"")&amp;IF($C909&gt;=16,", "&amp;$A909&amp;"-"&amp;TEXT(($D909-$C909+1)+15,"00"),"")&amp;IF($C909&gt;=17,", "&amp;$A909&amp;"-"&amp;TEXT(($D909-$C909+1)+16,"00"),"")&amp;IF($C909&gt;=18,", "&amp;$A909&amp;"-"&amp;TEXT(($D909-$C909+1)+17,"00"),"")&amp;IF($C909&gt;=19,", "&amp;$A909&amp;"-"&amp;TEXT(($D909-$C909+1)+18,"00"),"")&amp;IF($C909&gt;=20,", "&amp;$A909&amp;"-"&amp;TEXT(($D909-$C909+1)+19,"00"),"")&amp;IF($C909&gt;=21,", "&amp;$A909&amp;"-"&amp;TEXT(($D909-$C909+1)+20,"00"),"")&amp;IF($C909&gt;=22,", "&amp;$A909&amp;"-"&amp;TEXT(($D909-$C909+1)+21,"00"),"")&amp;IF($C909&gt;=23,", "&amp;$A909&amp;"-"&amp;TEXT(($D909-$C909+1)+22,"00"),"")&amp;IF($C909&gt;=24,", "&amp;$A909&amp;"-"&amp;TEXT(($D909-$C909+1)+23,"00"),"")&amp;IF($C909&gt;=25,", "&amp;$A909&amp;"-"&amp;TEXT(($D909-$C909+1)+24,"00"),""))</f>
        <v/>
      </c>
      <c r="G909">
        <f>IF($A909="","",IF($E909=1,$F909,IF($F909="",$G908,IF($G908="",$F909,$G908&amp;", "&amp;$F909))))</f>
        <v/>
      </c>
      <c r="H909">
        <f>IF($A909="","",$A909&amp;" ("&amp;$C909&amp;")")</f>
        <v/>
      </c>
      <c r="I909">
        <f>IF($A909="","",IF($E909=1,$H909,$I908&amp;", "&amp;$H909))</f>
        <v/>
      </c>
      <c r="J909">
        <f>IF($A909="","",IF($E909=1,$B909,""))</f>
        <v/>
      </c>
      <c r="K909">
        <f>IF($A909="","",IF(COUNTIF($B$2:$B909,$B909)=COUNTIF($B$2:$B$1601,$B909),$B909,""))</f>
        <v/>
      </c>
    </row>
    <row r="910">
      <c r="A910">
        <f>IF('TMP Paste'!$E910="","",'TMP Paste'!$E910)</f>
        <v/>
      </c>
      <c r="B910">
        <f>IF($A910="","",COUNTIF('TMP Paste'!$B$2:$B910,"?*"))</f>
        <v/>
      </c>
      <c r="C910">
        <f>IF($A910="","",IFERROR('TMP Paste'!$M910*1,0))</f>
        <v/>
      </c>
      <c r="D910">
        <f>IF($A910="","",SUMIF($B$2:$B910,$B910,$C$2:$C910))</f>
        <v/>
      </c>
      <c r="E910">
        <f>IF($A910="",0,IF('TMP Paste'!$B910="",0,1))</f>
        <v/>
      </c>
      <c r="F910">
        <f>IF(OR($A910="",$C910&lt;1),"",$A910&amp;"-"&amp;TEXT(($D910-$C910+1),"00")&amp;IF($C910&gt;=2,", "&amp;$A910&amp;"-"&amp;TEXT(($D910-$C910+1)+1,"00"),"")&amp;IF($C910&gt;=3,", "&amp;$A910&amp;"-"&amp;TEXT(($D910-$C910+1)+2,"00"),"")&amp;IF($C910&gt;=4,", "&amp;$A910&amp;"-"&amp;TEXT(($D910-$C910+1)+3,"00"),"")&amp;IF($C910&gt;=5,", "&amp;$A910&amp;"-"&amp;TEXT(($D910-$C910+1)+4,"00"),"")&amp;IF($C910&gt;=6,", "&amp;$A910&amp;"-"&amp;TEXT(($D910-$C910+1)+5,"00"),"")&amp;IF($C910&gt;=7,", "&amp;$A910&amp;"-"&amp;TEXT(($D910-$C910+1)+6,"00"),"")&amp;IF($C910&gt;=8,", "&amp;$A910&amp;"-"&amp;TEXT(($D910-$C910+1)+7,"00"),"")&amp;IF($C910&gt;=9,", "&amp;$A910&amp;"-"&amp;TEXT(($D910-$C910+1)+8,"00"),"")&amp;IF($C910&gt;=10,", "&amp;$A910&amp;"-"&amp;TEXT(($D910-$C910+1)+9,"00"),"")&amp;IF($C910&gt;=11,", "&amp;$A910&amp;"-"&amp;TEXT(($D910-$C910+1)+10,"00"),"")&amp;IF($C910&gt;=12,", "&amp;$A910&amp;"-"&amp;TEXT(($D910-$C910+1)+11,"00"),"")&amp;IF($C910&gt;=13,", "&amp;$A910&amp;"-"&amp;TEXT(($D910-$C910+1)+12,"00"),"")&amp;IF($C910&gt;=14,", "&amp;$A910&amp;"-"&amp;TEXT(($D910-$C910+1)+13,"00"),"")&amp;IF($C910&gt;=15,", "&amp;$A910&amp;"-"&amp;TEXT(($D910-$C910+1)+14,"00"),"")&amp;IF($C910&gt;=16,", "&amp;$A910&amp;"-"&amp;TEXT(($D910-$C910+1)+15,"00"),"")&amp;IF($C910&gt;=17,", "&amp;$A910&amp;"-"&amp;TEXT(($D910-$C910+1)+16,"00"),"")&amp;IF($C910&gt;=18,", "&amp;$A910&amp;"-"&amp;TEXT(($D910-$C910+1)+17,"00"),"")&amp;IF($C910&gt;=19,", "&amp;$A910&amp;"-"&amp;TEXT(($D910-$C910+1)+18,"00"),"")&amp;IF($C910&gt;=20,", "&amp;$A910&amp;"-"&amp;TEXT(($D910-$C910+1)+19,"00"),"")&amp;IF($C910&gt;=21,", "&amp;$A910&amp;"-"&amp;TEXT(($D910-$C910+1)+20,"00"),"")&amp;IF($C910&gt;=22,", "&amp;$A910&amp;"-"&amp;TEXT(($D910-$C910+1)+21,"00"),"")&amp;IF($C910&gt;=23,", "&amp;$A910&amp;"-"&amp;TEXT(($D910-$C910+1)+22,"00"),"")&amp;IF($C910&gt;=24,", "&amp;$A910&amp;"-"&amp;TEXT(($D910-$C910+1)+23,"00"),"")&amp;IF($C910&gt;=25,", "&amp;$A910&amp;"-"&amp;TEXT(($D910-$C910+1)+24,"00"),""))</f>
        <v/>
      </c>
      <c r="G910">
        <f>IF($A910="","",IF($E910=1,$F910,IF($F910="",$G909,IF($G909="",$F910,$G909&amp;", "&amp;$F910))))</f>
        <v/>
      </c>
      <c r="H910">
        <f>IF($A910="","",$A910&amp;" ("&amp;$C910&amp;")")</f>
        <v/>
      </c>
      <c r="I910">
        <f>IF($A910="","",IF($E910=1,$H910,$I909&amp;", "&amp;$H910))</f>
        <v/>
      </c>
      <c r="J910">
        <f>IF($A910="","",IF($E910=1,$B910,""))</f>
        <v/>
      </c>
      <c r="K910">
        <f>IF($A910="","",IF(COUNTIF($B$2:$B910,$B910)=COUNTIF($B$2:$B$1601,$B910),$B910,""))</f>
        <v/>
      </c>
    </row>
    <row r="911">
      <c r="A911">
        <f>IF('TMP Paste'!$E911="","",'TMP Paste'!$E911)</f>
        <v/>
      </c>
      <c r="B911">
        <f>IF($A911="","",COUNTIF('TMP Paste'!$B$2:$B911,"?*"))</f>
        <v/>
      </c>
      <c r="C911">
        <f>IF($A911="","",IFERROR('TMP Paste'!$M911*1,0))</f>
        <v/>
      </c>
      <c r="D911">
        <f>IF($A911="","",SUMIF($B$2:$B911,$B911,$C$2:$C911))</f>
        <v/>
      </c>
      <c r="E911">
        <f>IF($A911="",0,IF('TMP Paste'!$B911="",0,1))</f>
        <v/>
      </c>
      <c r="F911">
        <f>IF(OR($A911="",$C911&lt;1),"",$A911&amp;"-"&amp;TEXT(($D911-$C911+1),"00")&amp;IF($C911&gt;=2,", "&amp;$A911&amp;"-"&amp;TEXT(($D911-$C911+1)+1,"00"),"")&amp;IF($C911&gt;=3,", "&amp;$A911&amp;"-"&amp;TEXT(($D911-$C911+1)+2,"00"),"")&amp;IF($C911&gt;=4,", "&amp;$A911&amp;"-"&amp;TEXT(($D911-$C911+1)+3,"00"),"")&amp;IF($C911&gt;=5,", "&amp;$A911&amp;"-"&amp;TEXT(($D911-$C911+1)+4,"00"),"")&amp;IF($C911&gt;=6,", "&amp;$A911&amp;"-"&amp;TEXT(($D911-$C911+1)+5,"00"),"")&amp;IF($C911&gt;=7,", "&amp;$A911&amp;"-"&amp;TEXT(($D911-$C911+1)+6,"00"),"")&amp;IF($C911&gt;=8,", "&amp;$A911&amp;"-"&amp;TEXT(($D911-$C911+1)+7,"00"),"")&amp;IF($C911&gt;=9,", "&amp;$A911&amp;"-"&amp;TEXT(($D911-$C911+1)+8,"00"),"")&amp;IF($C911&gt;=10,", "&amp;$A911&amp;"-"&amp;TEXT(($D911-$C911+1)+9,"00"),"")&amp;IF($C911&gt;=11,", "&amp;$A911&amp;"-"&amp;TEXT(($D911-$C911+1)+10,"00"),"")&amp;IF($C911&gt;=12,", "&amp;$A911&amp;"-"&amp;TEXT(($D911-$C911+1)+11,"00"),"")&amp;IF($C911&gt;=13,", "&amp;$A911&amp;"-"&amp;TEXT(($D911-$C911+1)+12,"00"),"")&amp;IF($C911&gt;=14,", "&amp;$A911&amp;"-"&amp;TEXT(($D911-$C911+1)+13,"00"),"")&amp;IF($C911&gt;=15,", "&amp;$A911&amp;"-"&amp;TEXT(($D911-$C911+1)+14,"00"),"")&amp;IF($C911&gt;=16,", "&amp;$A911&amp;"-"&amp;TEXT(($D911-$C911+1)+15,"00"),"")&amp;IF($C911&gt;=17,", "&amp;$A911&amp;"-"&amp;TEXT(($D911-$C911+1)+16,"00"),"")&amp;IF($C911&gt;=18,", "&amp;$A911&amp;"-"&amp;TEXT(($D911-$C911+1)+17,"00"),"")&amp;IF($C911&gt;=19,", "&amp;$A911&amp;"-"&amp;TEXT(($D911-$C911+1)+18,"00"),"")&amp;IF($C911&gt;=20,", "&amp;$A911&amp;"-"&amp;TEXT(($D911-$C911+1)+19,"00"),"")&amp;IF($C911&gt;=21,", "&amp;$A911&amp;"-"&amp;TEXT(($D911-$C911+1)+20,"00"),"")&amp;IF($C911&gt;=22,", "&amp;$A911&amp;"-"&amp;TEXT(($D911-$C911+1)+21,"00"),"")&amp;IF($C911&gt;=23,", "&amp;$A911&amp;"-"&amp;TEXT(($D911-$C911+1)+22,"00"),"")&amp;IF($C911&gt;=24,", "&amp;$A911&amp;"-"&amp;TEXT(($D911-$C911+1)+23,"00"),"")&amp;IF($C911&gt;=25,", "&amp;$A911&amp;"-"&amp;TEXT(($D911-$C911+1)+24,"00"),""))</f>
        <v/>
      </c>
      <c r="G911">
        <f>IF($A911="","",IF($E911=1,$F911,IF($F911="",$G910,IF($G910="",$F911,$G910&amp;", "&amp;$F911))))</f>
        <v/>
      </c>
      <c r="H911">
        <f>IF($A911="","",$A911&amp;" ("&amp;$C911&amp;")")</f>
        <v/>
      </c>
      <c r="I911">
        <f>IF($A911="","",IF($E911=1,$H911,$I910&amp;", "&amp;$H911))</f>
        <v/>
      </c>
      <c r="J911">
        <f>IF($A911="","",IF($E911=1,$B911,""))</f>
        <v/>
      </c>
      <c r="K911">
        <f>IF($A911="","",IF(COUNTIF($B$2:$B911,$B911)=COUNTIF($B$2:$B$1601,$B911),$B911,""))</f>
        <v/>
      </c>
    </row>
    <row r="912">
      <c r="A912">
        <f>IF('TMP Paste'!$E912="","",'TMP Paste'!$E912)</f>
        <v/>
      </c>
      <c r="B912">
        <f>IF($A912="","",COUNTIF('TMP Paste'!$B$2:$B912,"?*"))</f>
        <v/>
      </c>
      <c r="C912">
        <f>IF($A912="","",IFERROR('TMP Paste'!$M912*1,0))</f>
        <v/>
      </c>
      <c r="D912">
        <f>IF($A912="","",SUMIF($B$2:$B912,$B912,$C$2:$C912))</f>
        <v/>
      </c>
      <c r="E912">
        <f>IF($A912="",0,IF('TMP Paste'!$B912="",0,1))</f>
        <v/>
      </c>
      <c r="F912">
        <f>IF(OR($A912="",$C912&lt;1),"",$A912&amp;"-"&amp;TEXT(($D912-$C912+1),"00")&amp;IF($C912&gt;=2,", "&amp;$A912&amp;"-"&amp;TEXT(($D912-$C912+1)+1,"00"),"")&amp;IF($C912&gt;=3,", "&amp;$A912&amp;"-"&amp;TEXT(($D912-$C912+1)+2,"00"),"")&amp;IF($C912&gt;=4,", "&amp;$A912&amp;"-"&amp;TEXT(($D912-$C912+1)+3,"00"),"")&amp;IF($C912&gt;=5,", "&amp;$A912&amp;"-"&amp;TEXT(($D912-$C912+1)+4,"00"),"")&amp;IF($C912&gt;=6,", "&amp;$A912&amp;"-"&amp;TEXT(($D912-$C912+1)+5,"00"),"")&amp;IF($C912&gt;=7,", "&amp;$A912&amp;"-"&amp;TEXT(($D912-$C912+1)+6,"00"),"")&amp;IF($C912&gt;=8,", "&amp;$A912&amp;"-"&amp;TEXT(($D912-$C912+1)+7,"00"),"")&amp;IF($C912&gt;=9,", "&amp;$A912&amp;"-"&amp;TEXT(($D912-$C912+1)+8,"00"),"")&amp;IF($C912&gt;=10,", "&amp;$A912&amp;"-"&amp;TEXT(($D912-$C912+1)+9,"00"),"")&amp;IF($C912&gt;=11,", "&amp;$A912&amp;"-"&amp;TEXT(($D912-$C912+1)+10,"00"),"")&amp;IF($C912&gt;=12,", "&amp;$A912&amp;"-"&amp;TEXT(($D912-$C912+1)+11,"00"),"")&amp;IF($C912&gt;=13,", "&amp;$A912&amp;"-"&amp;TEXT(($D912-$C912+1)+12,"00"),"")&amp;IF($C912&gt;=14,", "&amp;$A912&amp;"-"&amp;TEXT(($D912-$C912+1)+13,"00"),"")&amp;IF($C912&gt;=15,", "&amp;$A912&amp;"-"&amp;TEXT(($D912-$C912+1)+14,"00"),"")&amp;IF($C912&gt;=16,", "&amp;$A912&amp;"-"&amp;TEXT(($D912-$C912+1)+15,"00"),"")&amp;IF($C912&gt;=17,", "&amp;$A912&amp;"-"&amp;TEXT(($D912-$C912+1)+16,"00"),"")&amp;IF($C912&gt;=18,", "&amp;$A912&amp;"-"&amp;TEXT(($D912-$C912+1)+17,"00"),"")&amp;IF($C912&gt;=19,", "&amp;$A912&amp;"-"&amp;TEXT(($D912-$C912+1)+18,"00"),"")&amp;IF($C912&gt;=20,", "&amp;$A912&amp;"-"&amp;TEXT(($D912-$C912+1)+19,"00"),"")&amp;IF($C912&gt;=21,", "&amp;$A912&amp;"-"&amp;TEXT(($D912-$C912+1)+20,"00"),"")&amp;IF($C912&gt;=22,", "&amp;$A912&amp;"-"&amp;TEXT(($D912-$C912+1)+21,"00"),"")&amp;IF($C912&gt;=23,", "&amp;$A912&amp;"-"&amp;TEXT(($D912-$C912+1)+22,"00"),"")&amp;IF($C912&gt;=24,", "&amp;$A912&amp;"-"&amp;TEXT(($D912-$C912+1)+23,"00"),"")&amp;IF($C912&gt;=25,", "&amp;$A912&amp;"-"&amp;TEXT(($D912-$C912+1)+24,"00"),""))</f>
        <v/>
      </c>
      <c r="G912">
        <f>IF($A912="","",IF($E912=1,$F912,IF($F912="",$G911,IF($G911="",$F912,$G911&amp;", "&amp;$F912))))</f>
        <v/>
      </c>
      <c r="H912">
        <f>IF($A912="","",$A912&amp;" ("&amp;$C912&amp;")")</f>
        <v/>
      </c>
      <c r="I912">
        <f>IF($A912="","",IF($E912=1,$H912,$I911&amp;", "&amp;$H912))</f>
        <v/>
      </c>
      <c r="J912">
        <f>IF($A912="","",IF($E912=1,$B912,""))</f>
        <v/>
      </c>
      <c r="K912">
        <f>IF($A912="","",IF(COUNTIF($B$2:$B912,$B912)=COUNTIF($B$2:$B$1601,$B912),$B912,""))</f>
        <v/>
      </c>
    </row>
    <row r="913">
      <c r="A913">
        <f>IF('TMP Paste'!$E913="","",'TMP Paste'!$E913)</f>
        <v/>
      </c>
      <c r="B913">
        <f>IF($A913="","",COUNTIF('TMP Paste'!$B$2:$B913,"?*"))</f>
        <v/>
      </c>
      <c r="C913">
        <f>IF($A913="","",IFERROR('TMP Paste'!$M913*1,0))</f>
        <v/>
      </c>
      <c r="D913">
        <f>IF($A913="","",SUMIF($B$2:$B913,$B913,$C$2:$C913))</f>
        <v/>
      </c>
      <c r="E913">
        <f>IF($A913="",0,IF('TMP Paste'!$B913="",0,1))</f>
        <v/>
      </c>
      <c r="F913">
        <f>IF(OR($A913="",$C913&lt;1),"",$A913&amp;"-"&amp;TEXT(($D913-$C913+1),"00")&amp;IF($C913&gt;=2,", "&amp;$A913&amp;"-"&amp;TEXT(($D913-$C913+1)+1,"00"),"")&amp;IF($C913&gt;=3,", "&amp;$A913&amp;"-"&amp;TEXT(($D913-$C913+1)+2,"00"),"")&amp;IF($C913&gt;=4,", "&amp;$A913&amp;"-"&amp;TEXT(($D913-$C913+1)+3,"00"),"")&amp;IF($C913&gt;=5,", "&amp;$A913&amp;"-"&amp;TEXT(($D913-$C913+1)+4,"00"),"")&amp;IF($C913&gt;=6,", "&amp;$A913&amp;"-"&amp;TEXT(($D913-$C913+1)+5,"00"),"")&amp;IF($C913&gt;=7,", "&amp;$A913&amp;"-"&amp;TEXT(($D913-$C913+1)+6,"00"),"")&amp;IF($C913&gt;=8,", "&amp;$A913&amp;"-"&amp;TEXT(($D913-$C913+1)+7,"00"),"")&amp;IF($C913&gt;=9,", "&amp;$A913&amp;"-"&amp;TEXT(($D913-$C913+1)+8,"00"),"")&amp;IF($C913&gt;=10,", "&amp;$A913&amp;"-"&amp;TEXT(($D913-$C913+1)+9,"00"),"")&amp;IF($C913&gt;=11,", "&amp;$A913&amp;"-"&amp;TEXT(($D913-$C913+1)+10,"00"),"")&amp;IF($C913&gt;=12,", "&amp;$A913&amp;"-"&amp;TEXT(($D913-$C913+1)+11,"00"),"")&amp;IF($C913&gt;=13,", "&amp;$A913&amp;"-"&amp;TEXT(($D913-$C913+1)+12,"00"),"")&amp;IF($C913&gt;=14,", "&amp;$A913&amp;"-"&amp;TEXT(($D913-$C913+1)+13,"00"),"")&amp;IF($C913&gt;=15,", "&amp;$A913&amp;"-"&amp;TEXT(($D913-$C913+1)+14,"00"),"")&amp;IF($C913&gt;=16,", "&amp;$A913&amp;"-"&amp;TEXT(($D913-$C913+1)+15,"00"),"")&amp;IF($C913&gt;=17,", "&amp;$A913&amp;"-"&amp;TEXT(($D913-$C913+1)+16,"00"),"")&amp;IF($C913&gt;=18,", "&amp;$A913&amp;"-"&amp;TEXT(($D913-$C913+1)+17,"00"),"")&amp;IF($C913&gt;=19,", "&amp;$A913&amp;"-"&amp;TEXT(($D913-$C913+1)+18,"00"),"")&amp;IF($C913&gt;=20,", "&amp;$A913&amp;"-"&amp;TEXT(($D913-$C913+1)+19,"00"),"")&amp;IF($C913&gt;=21,", "&amp;$A913&amp;"-"&amp;TEXT(($D913-$C913+1)+20,"00"),"")&amp;IF($C913&gt;=22,", "&amp;$A913&amp;"-"&amp;TEXT(($D913-$C913+1)+21,"00"),"")&amp;IF($C913&gt;=23,", "&amp;$A913&amp;"-"&amp;TEXT(($D913-$C913+1)+22,"00"),"")&amp;IF($C913&gt;=24,", "&amp;$A913&amp;"-"&amp;TEXT(($D913-$C913+1)+23,"00"),"")&amp;IF($C913&gt;=25,", "&amp;$A913&amp;"-"&amp;TEXT(($D913-$C913+1)+24,"00"),""))</f>
        <v/>
      </c>
      <c r="G913">
        <f>IF($A913="","",IF($E913=1,$F913,IF($F913="",$G912,IF($G912="",$F913,$G912&amp;", "&amp;$F913))))</f>
        <v/>
      </c>
      <c r="H913">
        <f>IF($A913="","",$A913&amp;" ("&amp;$C913&amp;")")</f>
        <v/>
      </c>
      <c r="I913">
        <f>IF($A913="","",IF($E913=1,$H913,$I912&amp;", "&amp;$H913))</f>
        <v/>
      </c>
      <c r="J913">
        <f>IF($A913="","",IF($E913=1,$B913,""))</f>
        <v/>
      </c>
      <c r="K913">
        <f>IF($A913="","",IF(COUNTIF($B$2:$B913,$B913)=COUNTIF($B$2:$B$1601,$B913),$B913,""))</f>
        <v/>
      </c>
    </row>
    <row r="914">
      <c r="A914">
        <f>IF('TMP Paste'!$E914="","",'TMP Paste'!$E914)</f>
        <v/>
      </c>
      <c r="B914">
        <f>IF($A914="","",COUNTIF('TMP Paste'!$B$2:$B914,"?*"))</f>
        <v/>
      </c>
      <c r="C914">
        <f>IF($A914="","",IFERROR('TMP Paste'!$M914*1,0))</f>
        <v/>
      </c>
      <c r="D914">
        <f>IF($A914="","",SUMIF($B$2:$B914,$B914,$C$2:$C914))</f>
        <v/>
      </c>
      <c r="E914">
        <f>IF($A914="",0,IF('TMP Paste'!$B914="",0,1))</f>
        <v/>
      </c>
      <c r="F914">
        <f>IF(OR($A914="",$C914&lt;1),"",$A914&amp;"-"&amp;TEXT(($D914-$C914+1),"00")&amp;IF($C914&gt;=2,", "&amp;$A914&amp;"-"&amp;TEXT(($D914-$C914+1)+1,"00"),"")&amp;IF($C914&gt;=3,", "&amp;$A914&amp;"-"&amp;TEXT(($D914-$C914+1)+2,"00"),"")&amp;IF($C914&gt;=4,", "&amp;$A914&amp;"-"&amp;TEXT(($D914-$C914+1)+3,"00"),"")&amp;IF($C914&gt;=5,", "&amp;$A914&amp;"-"&amp;TEXT(($D914-$C914+1)+4,"00"),"")&amp;IF($C914&gt;=6,", "&amp;$A914&amp;"-"&amp;TEXT(($D914-$C914+1)+5,"00"),"")&amp;IF($C914&gt;=7,", "&amp;$A914&amp;"-"&amp;TEXT(($D914-$C914+1)+6,"00"),"")&amp;IF($C914&gt;=8,", "&amp;$A914&amp;"-"&amp;TEXT(($D914-$C914+1)+7,"00"),"")&amp;IF($C914&gt;=9,", "&amp;$A914&amp;"-"&amp;TEXT(($D914-$C914+1)+8,"00"),"")&amp;IF($C914&gt;=10,", "&amp;$A914&amp;"-"&amp;TEXT(($D914-$C914+1)+9,"00"),"")&amp;IF($C914&gt;=11,", "&amp;$A914&amp;"-"&amp;TEXT(($D914-$C914+1)+10,"00"),"")&amp;IF($C914&gt;=12,", "&amp;$A914&amp;"-"&amp;TEXT(($D914-$C914+1)+11,"00"),"")&amp;IF($C914&gt;=13,", "&amp;$A914&amp;"-"&amp;TEXT(($D914-$C914+1)+12,"00"),"")&amp;IF($C914&gt;=14,", "&amp;$A914&amp;"-"&amp;TEXT(($D914-$C914+1)+13,"00"),"")&amp;IF($C914&gt;=15,", "&amp;$A914&amp;"-"&amp;TEXT(($D914-$C914+1)+14,"00"),"")&amp;IF($C914&gt;=16,", "&amp;$A914&amp;"-"&amp;TEXT(($D914-$C914+1)+15,"00"),"")&amp;IF($C914&gt;=17,", "&amp;$A914&amp;"-"&amp;TEXT(($D914-$C914+1)+16,"00"),"")&amp;IF($C914&gt;=18,", "&amp;$A914&amp;"-"&amp;TEXT(($D914-$C914+1)+17,"00"),"")&amp;IF($C914&gt;=19,", "&amp;$A914&amp;"-"&amp;TEXT(($D914-$C914+1)+18,"00"),"")&amp;IF($C914&gt;=20,", "&amp;$A914&amp;"-"&amp;TEXT(($D914-$C914+1)+19,"00"),"")&amp;IF($C914&gt;=21,", "&amp;$A914&amp;"-"&amp;TEXT(($D914-$C914+1)+20,"00"),"")&amp;IF($C914&gt;=22,", "&amp;$A914&amp;"-"&amp;TEXT(($D914-$C914+1)+21,"00"),"")&amp;IF($C914&gt;=23,", "&amp;$A914&amp;"-"&amp;TEXT(($D914-$C914+1)+22,"00"),"")&amp;IF($C914&gt;=24,", "&amp;$A914&amp;"-"&amp;TEXT(($D914-$C914+1)+23,"00"),"")&amp;IF($C914&gt;=25,", "&amp;$A914&amp;"-"&amp;TEXT(($D914-$C914+1)+24,"00"),""))</f>
        <v/>
      </c>
      <c r="G914">
        <f>IF($A914="","",IF($E914=1,$F914,IF($F914="",$G913,IF($G913="",$F914,$G913&amp;", "&amp;$F914))))</f>
        <v/>
      </c>
      <c r="H914">
        <f>IF($A914="","",$A914&amp;" ("&amp;$C914&amp;")")</f>
        <v/>
      </c>
      <c r="I914">
        <f>IF($A914="","",IF($E914=1,$H914,$I913&amp;", "&amp;$H914))</f>
        <v/>
      </c>
      <c r="J914">
        <f>IF($A914="","",IF($E914=1,$B914,""))</f>
        <v/>
      </c>
      <c r="K914">
        <f>IF($A914="","",IF(COUNTIF($B$2:$B914,$B914)=COUNTIF($B$2:$B$1601,$B914),$B914,""))</f>
        <v/>
      </c>
    </row>
    <row r="915">
      <c r="A915">
        <f>IF('TMP Paste'!$E915="","",'TMP Paste'!$E915)</f>
        <v/>
      </c>
      <c r="B915">
        <f>IF($A915="","",COUNTIF('TMP Paste'!$B$2:$B915,"?*"))</f>
        <v/>
      </c>
      <c r="C915">
        <f>IF($A915="","",IFERROR('TMP Paste'!$M915*1,0))</f>
        <v/>
      </c>
      <c r="D915">
        <f>IF($A915="","",SUMIF($B$2:$B915,$B915,$C$2:$C915))</f>
        <v/>
      </c>
      <c r="E915">
        <f>IF($A915="",0,IF('TMP Paste'!$B915="",0,1))</f>
        <v/>
      </c>
      <c r="F915">
        <f>IF(OR($A915="",$C915&lt;1),"",$A915&amp;"-"&amp;TEXT(($D915-$C915+1),"00")&amp;IF($C915&gt;=2,", "&amp;$A915&amp;"-"&amp;TEXT(($D915-$C915+1)+1,"00"),"")&amp;IF($C915&gt;=3,", "&amp;$A915&amp;"-"&amp;TEXT(($D915-$C915+1)+2,"00"),"")&amp;IF($C915&gt;=4,", "&amp;$A915&amp;"-"&amp;TEXT(($D915-$C915+1)+3,"00"),"")&amp;IF($C915&gt;=5,", "&amp;$A915&amp;"-"&amp;TEXT(($D915-$C915+1)+4,"00"),"")&amp;IF($C915&gt;=6,", "&amp;$A915&amp;"-"&amp;TEXT(($D915-$C915+1)+5,"00"),"")&amp;IF($C915&gt;=7,", "&amp;$A915&amp;"-"&amp;TEXT(($D915-$C915+1)+6,"00"),"")&amp;IF($C915&gt;=8,", "&amp;$A915&amp;"-"&amp;TEXT(($D915-$C915+1)+7,"00"),"")&amp;IF($C915&gt;=9,", "&amp;$A915&amp;"-"&amp;TEXT(($D915-$C915+1)+8,"00"),"")&amp;IF($C915&gt;=10,", "&amp;$A915&amp;"-"&amp;TEXT(($D915-$C915+1)+9,"00"),"")&amp;IF($C915&gt;=11,", "&amp;$A915&amp;"-"&amp;TEXT(($D915-$C915+1)+10,"00"),"")&amp;IF($C915&gt;=12,", "&amp;$A915&amp;"-"&amp;TEXT(($D915-$C915+1)+11,"00"),"")&amp;IF($C915&gt;=13,", "&amp;$A915&amp;"-"&amp;TEXT(($D915-$C915+1)+12,"00"),"")&amp;IF($C915&gt;=14,", "&amp;$A915&amp;"-"&amp;TEXT(($D915-$C915+1)+13,"00"),"")&amp;IF($C915&gt;=15,", "&amp;$A915&amp;"-"&amp;TEXT(($D915-$C915+1)+14,"00"),"")&amp;IF($C915&gt;=16,", "&amp;$A915&amp;"-"&amp;TEXT(($D915-$C915+1)+15,"00"),"")&amp;IF($C915&gt;=17,", "&amp;$A915&amp;"-"&amp;TEXT(($D915-$C915+1)+16,"00"),"")&amp;IF($C915&gt;=18,", "&amp;$A915&amp;"-"&amp;TEXT(($D915-$C915+1)+17,"00"),"")&amp;IF($C915&gt;=19,", "&amp;$A915&amp;"-"&amp;TEXT(($D915-$C915+1)+18,"00"),"")&amp;IF($C915&gt;=20,", "&amp;$A915&amp;"-"&amp;TEXT(($D915-$C915+1)+19,"00"),"")&amp;IF($C915&gt;=21,", "&amp;$A915&amp;"-"&amp;TEXT(($D915-$C915+1)+20,"00"),"")&amp;IF($C915&gt;=22,", "&amp;$A915&amp;"-"&amp;TEXT(($D915-$C915+1)+21,"00"),"")&amp;IF($C915&gt;=23,", "&amp;$A915&amp;"-"&amp;TEXT(($D915-$C915+1)+22,"00"),"")&amp;IF($C915&gt;=24,", "&amp;$A915&amp;"-"&amp;TEXT(($D915-$C915+1)+23,"00"),"")&amp;IF($C915&gt;=25,", "&amp;$A915&amp;"-"&amp;TEXT(($D915-$C915+1)+24,"00"),""))</f>
        <v/>
      </c>
      <c r="G915">
        <f>IF($A915="","",IF($E915=1,$F915,IF($F915="",$G914,IF($G914="",$F915,$G914&amp;", "&amp;$F915))))</f>
        <v/>
      </c>
      <c r="H915">
        <f>IF($A915="","",$A915&amp;" ("&amp;$C915&amp;")")</f>
        <v/>
      </c>
      <c r="I915">
        <f>IF($A915="","",IF($E915=1,$H915,$I914&amp;", "&amp;$H915))</f>
        <v/>
      </c>
      <c r="J915">
        <f>IF($A915="","",IF($E915=1,$B915,""))</f>
        <v/>
      </c>
      <c r="K915">
        <f>IF($A915="","",IF(COUNTIF($B$2:$B915,$B915)=COUNTIF($B$2:$B$1601,$B915),$B915,""))</f>
        <v/>
      </c>
    </row>
    <row r="916">
      <c r="A916">
        <f>IF('TMP Paste'!$E916="","",'TMP Paste'!$E916)</f>
        <v/>
      </c>
      <c r="B916">
        <f>IF($A916="","",COUNTIF('TMP Paste'!$B$2:$B916,"?*"))</f>
        <v/>
      </c>
      <c r="C916">
        <f>IF($A916="","",IFERROR('TMP Paste'!$M916*1,0))</f>
        <v/>
      </c>
      <c r="D916">
        <f>IF($A916="","",SUMIF($B$2:$B916,$B916,$C$2:$C916))</f>
        <v/>
      </c>
      <c r="E916">
        <f>IF($A916="",0,IF('TMP Paste'!$B916="",0,1))</f>
        <v/>
      </c>
      <c r="F916">
        <f>IF(OR($A916="",$C916&lt;1),"",$A916&amp;"-"&amp;TEXT(($D916-$C916+1),"00")&amp;IF($C916&gt;=2,", "&amp;$A916&amp;"-"&amp;TEXT(($D916-$C916+1)+1,"00"),"")&amp;IF($C916&gt;=3,", "&amp;$A916&amp;"-"&amp;TEXT(($D916-$C916+1)+2,"00"),"")&amp;IF($C916&gt;=4,", "&amp;$A916&amp;"-"&amp;TEXT(($D916-$C916+1)+3,"00"),"")&amp;IF($C916&gt;=5,", "&amp;$A916&amp;"-"&amp;TEXT(($D916-$C916+1)+4,"00"),"")&amp;IF($C916&gt;=6,", "&amp;$A916&amp;"-"&amp;TEXT(($D916-$C916+1)+5,"00"),"")&amp;IF($C916&gt;=7,", "&amp;$A916&amp;"-"&amp;TEXT(($D916-$C916+1)+6,"00"),"")&amp;IF($C916&gt;=8,", "&amp;$A916&amp;"-"&amp;TEXT(($D916-$C916+1)+7,"00"),"")&amp;IF($C916&gt;=9,", "&amp;$A916&amp;"-"&amp;TEXT(($D916-$C916+1)+8,"00"),"")&amp;IF($C916&gt;=10,", "&amp;$A916&amp;"-"&amp;TEXT(($D916-$C916+1)+9,"00"),"")&amp;IF($C916&gt;=11,", "&amp;$A916&amp;"-"&amp;TEXT(($D916-$C916+1)+10,"00"),"")&amp;IF($C916&gt;=12,", "&amp;$A916&amp;"-"&amp;TEXT(($D916-$C916+1)+11,"00"),"")&amp;IF($C916&gt;=13,", "&amp;$A916&amp;"-"&amp;TEXT(($D916-$C916+1)+12,"00"),"")&amp;IF($C916&gt;=14,", "&amp;$A916&amp;"-"&amp;TEXT(($D916-$C916+1)+13,"00"),"")&amp;IF($C916&gt;=15,", "&amp;$A916&amp;"-"&amp;TEXT(($D916-$C916+1)+14,"00"),"")&amp;IF($C916&gt;=16,", "&amp;$A916&amp;"-"&amp;TEXT(($D916-$C916+1)+15,"00"),"")&amp;IF($C916&gt;=17,", "&amp;$A916&amp;"-"&amp;TEXT(($D916-$C916+1)+16,"00"),"")&amp;IF($C916&gt;=18,", "&amp;$A916&amp;"-"&amp;TEXT(($D916-$C916+1)+17,"00"),"")&amp;IF($C916&gt;=19,", "&amp;$A916&amp;"-"&amp;TEXT(($D916-$C916+1)+18,"00"),"")&amp;IF($C916&gt;=20,", "&amp;$A916&amp;"-"&amp;TEXT(($D916-$C916+1)+19,"00"),"")&amp;IF($C916&gt;=21,", "&amp;$A916&amp;"-"&amp;TEXT(($D916-$C916+1)+20,"00"),"")&amp;IF($C916&gt;=22,", "&amp;$A916&amp;"-"&amp;TEXT(($D916-$C916+1)+21,"00"),"")&amp;IF($C916&gt;=23,", "&amp;$A916&amp;"-"&amp;TEXT(($D916-$C916+1)+22,"00"),"")&amp;IF($C916&gt;=24,", "&amp;$A916&amp;"-"&amp;TEXT(($D916-$C916+1)+23,"00"),"")&amp;IF($C916&gt;=25,", "&amp;$A916&amp;"-"&amp;TEXT(($D916-$C916+1)+24,"00"),""))</f>
        <v/>
      </c>
      <c r="G916">
        <f>IF($A916="","",IF($E916=1,$F916,IF($F916="",$G915,IF($G915="",$F916,$G915&amp;", "&amp;$F916))))</f>
        <v/>
      </c>
      <c r="H916">
        <f>IF($A916="","",$A916&amp;" ("&amp;$C916&amp;")")</f>
        <v/>
      </c>
      <c r="I916">
        <f>IF($A916="","",IF($E916=1,$H916,$I915&amp;", "&amp;$H916))</f>
        <v/>
      </c>
      <c r="J916">
        <f>IF($A916="","",IF($E916=1,$B916,""))</f>
        <v/>
      </c>
      <c r="K916">
        <f>IF($A916="","",IF(COUNTIF($B$2:$B916,$B916)=COUNTIF($B$2:$B$1601,$B916),$B916,""))</f>
        <v/>
      </c>
    </row>
    <row r="917">
      <c r="A917">
        <f>IF('TMP Paste'!$E917="","",'TMP Paste'!$E917)</f>
        <v/>
      </c>
      <c r="B917">
        <f>IF($A917="","",COUNTIF('TMP Paste'!$B$2:$B917,"?*"))</f>
        <v/>
      </c>
      <c r="C917">
        <f>IF($A917="","",IFERROR('TMP Paste'!$M917*1,0))</f>
        <v/>
      </c>
      <c r="D917">
        <f>IF($A917="","",SUMIF($B$2:$B917,$B917,$C$2:$C917))</f>
        <v/>
      </c>
      <c r="E917">
        <f>IF($A917="",0,IF('TMP Paste'!$B917="",0,1))</f>
        <v/>
      </c>
      <c r="F917">
        <f>IF(OR($A917="",$C917&lt;1),"",$A917&amp;"-"&amp;TEXT(($D917-$C917+1),"00")&amp;IF($C917&gt;=2,", "&amp;$A917&amp;"-"&amp;TEXT(($D917-$C917+1)+1,"00"),"")&amp;IF($C917&gt;=3,", "&amp;$A917&amp;"-"&amp;TEXT(($D917-$C917+1)+2,"00"),"")&amp;IF($C917&gt;=4,", "&amp;$A917&amp;"-"&amp;TEXT(($D917-$C917+1)+3,"00"),"")&amp;IF($C917&gt;=5,", "&amp;$A917&amp;"-"&amp;TEXT(($D917-$C917+1)+4,"00"),"")&amp;IF($C917&gt;=6,", "&amp;$A917&amp;"-"&amp;TEXT(($D917-$C917+1)+5,"00"),"")&amp;IF($C917&gt;=7,", "&amp;$A917&amp;"-"&amp;TEXT(($D917-$C917+1)+6,"00"),"")&amp;IF($C917&gt;=8,", "&amp;$A917&amp;"-"&amp;TEXT(($D917-$C917+1)+7,"00"),"")&amp;IF($C917&gt;=9,", "&amp;$A917&amp;"-"&amp;TEXT(($D917-$C917+1)+8,"00"),"")&amp;IF($C917&gt;=10,", "&amp;$A917&amp;"-"&amp;TEXT(($D917-$C917+1)+9,"00"),"")&amp;IF($C917&gt;=11,", "&amp;$A917&amp;"-"&amp;TEXT(($D917-$C917+1)+10,"00"),"")&amp;IF($C917&gt;=12,", "&amp;$A917&amp;"-"&amp;TEXT(($D917-$C917+1)+11,"00"),"")&amp;IF($C917&gt;=13,", "&amp;$A917&amp;"-"&amp;TEXT(($D917-$C917+1)+12,"00"),"")&amp;IF($C917&gt;=14,", "&amp;$A917&amp;"-"&amp;TEXT(($D917-$C917+1)+13,"00"),"")&amp;IF($C917&gt;=15,", "&amp;$A917&amp;"-"&amp;TEXT(($D917-$C917+1)+14,"00"),"")&amp;IF($C917&gt;=16,", "&amp;$A917&amp;"-"&amp;TEXT(($D917-$C917+1)+15,"00"),"")&amp;IF($C917&gt;=17,", "&amp;$A917&amp;"-"&amp;TEXT(($D917-$C917+1)+16,"00"),"")&amp;IF($C917&gt;=18,", "&amp;$A917&amp;"-"&amp;TEXT(($D917-$C917+1)+17,"00"),"")&amp;IF($C917&gt;=19,", "&amp;$A917&amp;"-"&amp;TEXT(($D917-$C917+1)+18,"00"),"")&amp;IF($C917&gt;=20,", "&amp;$A917&amp;"-"&amp;TEXT(($D917-$C917+1)+19,"00"),"")&amp;IF($C917&gt;=21,", "&amp;$A917&amp;"-"&amp;TEXT(($D917-$C917+1)+20,"00"),"")&amp;IF($C917&gt;=22,", "&amp;$A917&amp;"-"&amp;TEXT(($D917-$C917+1)+21,"00"),"")&amp;IF($C917&gt;=23,", "&amp;$A917&amp;"-"&amp;TEXT(($D917-$C917+1)+22,"00"),"")&amp;IF($C917&gt;=24,", "&amp;$A917&amp;"-"&amp;TEXT(($D917-$C917+1)+23,"00"),"")&amp;IF($C917&gt;=25,", "&amp;$A917&amp;"-"&amp;TEXT(($D917-$C917+1)+24,"00"),""))</f>
        <v/>
      </c>
      <c r="G917">
        <f>IF($A917="","",IF($E917=1,$F917,IF($F917="",$G916,IF($G916="",$F917,$G916&amp;", "&amp;$F917))))</f>
        <v/>
      </c>
      <c r="H917">
        <f>IF($A917="","",$A917&amp;" ("&amp;$C917&amp;")")</f>
        <v/>
      </c>
      <c r="I917">
        <f>IF($A917="","",IF($E917=1,$H917,$I916&amp;", "&amp;$H917))</f>
        <v/>
      </c>
      <c r="J917">
        <f>IF($A917="","",IF($E917=1,$B917,""))</f>
        <v/>
      </c>
      <c r="K917">
        <f>IF($A917="","",IF(COUNTIF($B$2:$B917,$B917)=COUNTIF($B$2:$B$1601,$B917),$B917,""))</f>
        <v/>
      </c>
    </row>
    <row r="918">
      <c r="A918">
        <f>IF('TMP Paste'!$E918="","",'TMP Paste'!$E918)</f>
        <v/>
      </c>
      <c r="B918">
        <f>IF($A918="","",COUNTIF('TMP Paste'!$B$2:$B918,"?*"))</f>
        <v/>
      </c>
      <c r="C918">
        <f>IF($A918="","",IFERROR('TMP Paste'!$M918*1,0))</f>
        <v/>
      </c>
      <c r="D918">
        <f>IF($A918="","",SUMIF($B$2:$B918,$B918,$C$2:$C918))</f>
        <v/>
      </c>
      <c r="E918">
        <f>IF($A918="",0,IF('TMP Paste'!$B918="",0,1))</f>
        <v/>
      </c>
      <c r="F918">
        <f>IF(OR($A918="",$C918&lt;1),"",$A918&amp;"-"&amp;TEXT(($D918-$C918+1),"00")&amp;IF($C918&gt;=2,", "&amp;$A918&amp;"-"&amp;TEXT(($D918-$C918+1)+1,"00"),"")&amp;IF($C918&gt;=3,", "&amp;$A918&amp;"-"&amp;TEXT(($D918-$C918+1)+2,"00"),"")&amp;IF($C918&gt;=4,", "&amp;$A918&amp;"-"&amp;TEXT(($D918-$C918+1)+3,"00"),"")&amp;IF($C918&gt;=5,", "&amp;$A918&amp;"-"&amp;TEXT(($D918-$C918+1)+4,"00"),"")&amp;IF($C918&gt;=6,", "&amp;$A918&amp;"-"&amp;TEXT(($D918-$C918+1)+5,"00"),"")&amp;IF($C918&gt;=7,", "&amp;$A918&amp;"-"&amp;TEXT(($D918-$C918+1)+6,"00"),"")&amp;IF($C918&gt;=8,", "&amp;$A918&amp;"-"&amp;TEXT(($D918-$C918+1)+7,"00"),"")&amp;IF($C918&gt;=9,", "&amp;$A918&amp;"-"&amp;TEXT(($D918-$C918+1)+8,"00"),"")&amp;IF($C918&gt;=10,", "&amp;$A918&amp;"-"&amp;TEXT(($D918-$C918+1)+9,"00"),"")&amp;IF($C918&gt;=11,", "&amp;$A918&amp;"-"&amp;TEXT(($D918-$C918+1)+10,"00"),"")&amp;IF($C918&gt;=12,", "&amp;$A918&amp;"-"&amp;TEXT(($D918-$C918+1)+11,"00"),"")&amp;IF($C918&gt;=13,", "&amp;$A918&amp;"-"&amp;TEXT(($D918-$C918+1)+12,"00"),"")&amp;IF($C918&gt;=14,", "&amp;$A918&amp;"-"&amp;TEXT(($D918-$C918+1)+13,"00"),"")&amp;IF($C918&gt;=15,", "&amp;$A918&amp;"-"&amp;TEXT(($D918-$C918+1)+14,"00"),"")&amp;IF($C918&gt;=16,", "&amp;$A918&amp;"-"&amp;TEXT(($D918-$C918+1)+15,"00"),"")&amp;IF($C918&gt;=17,", "&amp;$A918&amp;"-"&amp;TEXT(($D918-$C918+1)+16,"00"),"")&amp;IF($C918&gt;=18,", "&amp;$A918&amp;"-"&amp;TEXT(($D918-$C918+1)+17,"00"),"")&amp;IF($C918&gt;=19,", "&amp;$A918&amp;"-"&amp;TEXT(($D918-$C918+1)+18,"00"),"")&amp;IF($C918&gt;=20,", "&amp;$A918&amp;"-"&amp;TEXT(($D918-$C918+1)+19,"00"),"")&amp;IF($C918&gt;=21,", "&amp;$A918&amp;"-"&amp;TEXT(($D918-$C918+1)+20,"00"),"")&amp;IF($C918&gt;=22,", "&amp;$A918&amp;"-"&amp;TEXT(($D918-$C918+1)+21,"00"),"")&amp;IF($C918&gt;=23,", "&amp;$A918&amp;"-"&amp;TEXT(($D918-$C918+1)+22,"00"),"")&amp;IF($C918&gt;=24,", "&amp;$A918&amp;"-"&amp;TEXT(($D918-$C918+1)+23,"00"),"")&amp;IF($C918&gt;=25,", "&amp;$A918&amp;"-"&amp;TEXT(($D918-$C918+1)+24,"00"),""))</f>
        <v/>
      </c>
      <c r="G918">
        <f>IF($A918="","",IF($E918=1,$F918,IF($F918="",$G917,IF($G917="",$F918,$G917&amp;", "&amp;$F918))))</f>
        <v/>
      </c>
      <c r="H918">
        <f>IF($A918="","",$A918&amp;" ("&amp;$C918&amp;")")</f>
        <v/>
      </c>
      <c r="I918">
        <f>IF($A918="","",IF($E918=1,$H918,$I917&amp;", "&amp;$H918))</f>
        <v/>
      </c>
      <c r="J918">
        <f>IF($A918="","",IF($E918=1,$B918,""))</f>
        <v/>
      </c>
      <c r="K918">
        <f>IF($A918="","",IF(COUNTIF($B$2:$B918,$B918)=COUNTIF($B$2:$B$1601,$B918),$B918,""))</f>
        <v/>
      </c>
    </row>
    <row r="919">
      <c r="A919">
        <f>IF('TMP Paste'!$E919="","",'TMP Paste'!$E919)</f>
        <v/>
      </c>
      <c r="B919">
        <f>IF($A919="","",COUNTIF('TMP Paste'!$B$2:$B919,"?*"))</f>
        <v/>
      </c>
      <c r="C919">
        <f>IF($A919="","",IFERROR('TMP Paste'!$M919*1,0))</f>
        <v/>
      </c>
      <c r="D919">
        <f>IF($A919="","",SUMIF($B$2:$B919,$B919,$C$2:$C919))</f>
        <v/>
      </c>
      <c r="E919">
        <f>IF($A919="",0,IF('TMP Paste'!$B919="",0,1))</f>
        <v/>
      </c>
      <c r="F919">
        <f>IF(OR($A919="",$C919&lt;1),"",$A919&amp;"-"&amp;TEXT(($D919-$C919+1),"00")&amp;IF($C919&gt;=2,", "&amp;$A919&amp;"-"&amp;TEXT(($D919-$C919+1)+1,"00"),"")&amp;IF($C919&gt;=3,", "&amp;$A919&amp;"-"&amp;TEXT(($D919-$C919+1)+2,"00"),"")&amp;IF($C919&gt;=4,", "&amp;$A919&amp;"-"&amp;TEXT(($D919-$C919+1)+3,"00"),"")&amp;IF($C919&gt;=5,", "&amp;$A919&amp;"-"&amp;TEXT(($D919-$C919+1)+4,"00"),"")&amp;IF($C919&gt;=6,", "&amp;$A919&amp;"-"&amp;TEXT(($D919-$C919+1)+5,"00"),"")&amp;IF($C919&gt;=7,", "&amp;$A919&amp;"-"&amp;TEXT(($D919-$C919+1)+6,"00"),"")&amp;IF($C919&gt;=8,", "&amp;$A919&amp;"-"&amp;TEXT(($D919-$C919+1)+7,"00"),"")&amp;IF($C919&gt;=9,", "&amp;$A919&amp;"-"&amp;TEXT(($D919-$C919+1)+8,"00"),"")&amp;IF($C919&gt;=10,", "&amp;$A919&amp;"-"&amp;TEXT(($D919-$C919+1)+9,"00"),"")&amp;IF($C919&gt;=11,", "&amp;$A919&amp;"-"&amp;TEXT(($D919-$C919+1)+10,"00"),"")&amp;IF($C919&gt;=12,", "&amp;$A919&amp;"-"&amp;TEXT(($D919-$C919+1)+11,"00"),"")&amp;IF($C919&gt;=13,", "&amp;$A919&amp;"-"&amp;TEXT(($D919-$C919+1)+12,"00"),"")&amp;IF($C919&gt;=14,", "&amp;$A919&amp;"-"&amp;TEXT(($D919-$C919+1)+13,"00"),"")&amp;IF($C919&gt;=15,", "&amp;$A919&amp;"-"&amp;TEXT(($D919-$C919+1)+14,"00"),"")&amp;IF($C919&gt;=16,", "&amp;$A919&amp;"-"&amp;TEXT(($D919-$C919+1)+15,"00"),"")&amp;IF($C919&gt;=17,", "&amp;$A919&amp;"-"&amp;TEXT(($D919-$C919+1)+16,"00"),"")&amp;IF($C919&gt;=18,", "&amp;$A919&amp;"-"&amp;TEXT(($D919-$C919+1)+17,"00"),"")&amp;IF($C919&gt;=19,", "&amp;$A919&amp;"-"&amp;TEXT(($D919-$C919+1)+18,"00"),"")&amp;IF($C919&gt;=20,", "&amp;$A919&amp;"-"&amp;TEXT(($D919-$C919+1)+19,"00"),"")&amp;IF($C919&gt;=21,", "&amp;$A919&amp;"-"&amp;TEXT(($D919-$C919+1)+20,"00"),"")&amp;IF($C919&gt;=22,", "&amp;$A919&amp;"-"&amp;TEXT(($D919-$C919+1)+21,"00"),"")&amp;IF($C919&gt;=23,", "&amp;$A919&amp;"-"&amp;TEXT(($D919-$C919+1)+22,"00"),"")&amp;IF($C919&gt;=24,", "&amp;$A919&amp;"-"&amp;TEXT(($D919-$C919+1)+23,"00"),"")&amp;IF($C919&gt;=25,", "&amp;$A919&amp;"-"&amp;TEXT(($D919-$C919+1)+24,"00"),""))</f>
        <v/>
      </c>
      <c r="G919">
        <f>IF($A919="","",IF($E919=1,$F919,IF($F919="",$G918,IF($G918="",$F919,$G918&amp;", "&amp;$F919))))</f>
        <v/>
      </c>
      <c r="H919">
        <f>IF($A919="","",$A919&amp;" ("&amp;$C919&amp;")")</f>
        <v/>
      </c>
      <c r="I919">
        <f>IF($A919="","",IF($E919=1,$H919,$I918&amp;", "&amp;$H919))</f>
        <v/>
      </c>
      <c r="J919">
        <f>IF($A919="","",IF($E919=1,$B919,""))</f>
        <v/>
      </c>
      <c r="K919">
        <f>IF($A919="","",IF(COUNTIF($B$2:$B919,$B919)=COUNTIF($B$2:$B$1601,$B919),$B919,""))</f>
        <v/>
      </c>
    </row>
    <row r="920">
      <c r="A920">
        <f>IF('TMP Paste'!$E920="","",'TMP Paste'!$E920)</f>
        <v/>
      </c>
      <c r="B920">
        <f>IF($A920="","",COUNTIF('TMP Paste'!$B$2:$B920,"?*"))</f>
        <v/>
      </c>
      <c r="C920">
        <f>IF($A920="","",IFERROR('TMP Paste'!$M920*1,0))</f>
        <v/>
      </c>
      <c r="D920">
        <f>IF($A920="","",SUMIF($B$2:$B920,$B920,$C$2:$C920))</f>
        <v/>
      </c>
      <c r="E920">
        <f>IF($A920="",0,IF('TMP Paste'!$B920="",0,1))</f>
        <v/>
      </c>
      <c r="F920">
        <f>IF(OR($A920="",$C920&lt;1),"",$A920&amp;"-"&amp;TEXT(($D920-$C920+1),"00")&amp;IF($C920&gt;=2,", "&amp;$A920&amp;"-"&amp;TEXT(($D920-$C920+1)+1,"00"),"")&amp;IF($C920&gt;=3,", "&amp;$A920&amp;"-"&amp;TEXT(($D920-$C920+1)+2,"00"),"")&amp;IF($C920&gt;=4,", "&amp;$A920&amp;"-"&amp;TEXT(($D920-$C920+1)+3,"00"),"")&amp;IF($C920&gt;=5,", "&amp;$A920&amp;"-"&amp;TEXT(($D920-$C920+1)+4,"00"),"")&amp;IF($C920&gt;=6,", "&amp;$A920&amp;"-"&amp;TEXT(($D920-$C920+1)+5,"00"),"")&amp;IF($C920&gt;=7,", "&amp;$A920&amp;"-"&amp;TEXT(($D920-$C920+1)+6,"00"),"")&amp;IF($C920&gt;=8,", "&amp;$A920&amp;"-"&amp;TEXT(($D920-$C920+1)+7,"00"),"")&amp;IF($C920&gt;=9,", "&amp;$A920&amp;"-"&amp;TEXT(($D920-$C920+1)+8,"00"),"")&amp;IF($C920&gt;=10,", "&amp;$A920&amp;"-"&amp;TEXT(($D920-$C920+1)+9,"00"),"")&amp;IF($C920&gt;=11,", "&amp;$A920&amp;"-"&amp;TEXT(($D920-$C920+1)+10,"00"),"")&amp;IF($C920&gt;=12,", "&amp;$A920&amp;"-"&amp;TEXT(($D920-$C920+1)+11,"00"),"")&amp;IF($C920&gt;=13,", "&amp;$A920&amp;"-"&amp;TEXT(($D920-$C920+1)+12,"00"),"")&amp;IF($C920&gt;=14,", "&amp;$A920&amp;"-"&amp;TEXT(($D920-$C920+1)+13,"00"),"")&amp;IF($C920&gt;=15,", "&amp;$A920&amp;"-"&amp;TEXT(($D920-$C920+1)+14,"00"),"")&amp;IF($C920&gt;=16,", "&amp;$A920&amp;"-"&amp;TEXT(($D920-$C920+1)+15,"00"),"")&amp;IF($C920&gt;=17,", "&amp;$A920&amp;"-"&amp;TEXT(($D920-$C920+1)+16,"00"),"")&amp;IF($C920&gt;=18,", "&amp;$A920&amp;"-"&amp;TEXT(($D920-$C920+1)+17,"00"),"")&amp;IF($C920&gt;=19,", "&amp;$A920&amp;"-"&amp;TEXT(($D920-$C920+1)+18,"00"),"")&amp;IF($C920&gt;=20,", "&amp;$A920&amp;"-"&amp;TEXT(($D920-$C920+1)+19,"00"),"")&amp;IF($C920&gt;=21,", "&amp;$A920&amp;"-"&amp;TEXT(($D920-$C920+1)+20,"00"),"")&amp;IF($C920&gt;=22,", "&amp;$A920&amp;"-"&amp;TEXT(($D920-$C920+1)+21,"00"),"")&amp;IF($C920&gt;=23,", "&amp;$A920&amp;"-"&amp;TEXT(($D920-$C920+1)+22,"00"),"")&amp;IF($C920&gt;=24,", "&amp;$A920&amp;"-"&amp;TEXT(($D920-$C920+1)+23,"00"),"")&amp;IF($C920&gt;=25,", "&amp;$A920&amp;"-"&amp;TEXT(($D920-$C920+1)+24,"00"),""))</f>
        <v/>
      </c>
      <c r="G920">
        <f>IF($A920="","",IF($E920=1,$F920,IF($F920="",$G919,IF($G919="",$F920,$G919&amp;", "&amp;$F920))))</f>
        <v/>
      </c>
      <c r="H920">
        <f>IF($A920="","",$A920&amp;" ("&amp;$C920&amp;")")</f>
        <v/>
      </c>
      <c r="I920">
        <f>IF($A920="","",IF($E920=1,$H920,$I919&amp;", "&amp;$H920))</f>
        <v/>
      </c>
      <c r="J920">
        <f>IF($A920="","",IF($E920=1,$B920,""))</f>
        <v/>
      </c>
      <c r="K920">
        <f>IF($A920="","",IF(COUNTIF($B$2:$B920,$B920)=COUNTIF($B$2:$B$1601,$B920),$B920,""))</f>
        <v/>
      </c>
    </row>
    <row r="921">
      <c r="A921">
        <f>IF('TMP Paste'!$E921="","",'TMP Paste'!$E921)</f>
        <v/>
      </c>
      <c r="B921">
        <f>IF($A921="","",COUNTIF('TMP Paste'!$B$2:$B921,"?*"))</f>
        <v/>
      </c>
      <c r="C921">
        <f>IF($A921="","",IFERROR('TMP Paste'!$M921*1,0))</f>
        <v/>
      </c>
      <c r="D921">
        <f>IF($A921="","",SUMIF($B$2:$B921,$B921,$C$2:$C921))</f>
        <v/>
      </c>
      <c r="E921">
        <f>IF($A921="",0,IF('TMP Paste'!$B921="",0,1))</f>
        <v/>
      </c>
      <c r="F921">
        <f>IF(OR($A921="",$C921&lt;1),"",$A921&amp;"-"&amp;TEXT(($D921-$C921+1),"00")&amp;IF($C921&gt;=2,", "&amp;$A921&amp;"-"&amp;TEXT(($D921-$C921+1)+1,"00"),"")&amp;IF($C921&gt;=3,", "&amp;$A921&amp;"-"&amp;TEXT(($D921-$C921+1)+2,"00"),"")&amp;IF($C921&gt;=4,", "&amp;$A921&amp;"-"&amp;TEXT(($D921-$C921+1)+3,"00"),"")&amp;IF($C921&gt;=5,", "&amp;$A921&amp;"-"&amp;TEXT(($D921-$C921+1)+4,"00"),"")&amp;IF($C921&gt;=6,", "&amp;$A921&amp;"-"&amp;TEXT(($D921-$C921+1)+5,"00"),"")&amp;IF($C921&gt;=7,", "&amp;$A921&amp;"-"&amp;TEXT(($D921-$C921+1)+6,"00"),"")&amp;IF($C921&gt;=8,", "&amp;$A921&amp;"-"&amp;TEXT(($D921-$C921+1)+7,"00"),"")&amp;IF($C921&gt;=9,", "&amp;$A921&amp;"-"&amp;TEXT(($D921-$C921+1)+8,"00"),"")&amp;IF($C921&gt;=10,", "&amp;$A921&amp;"-"&amp;TEXT(($D921-$C921+1)+9,"00"),"")&amp;IF($C921&gt;=11,", "&amp;$A921&amp;"-"&amp;TEXT(($D921-$C921+1)+10,"00"),"")&amp;IF($C921&gt;=12,", "&amp;$A921&amp;"-"&amp;TEXT(($D921-$C921+1)+11,"00"),"")&amp;IF($C921&gt;=13,", "&amp;$A921&amp;"-"&amp;TEXT(($D921-$C921+1)+12,"00"),"")&amp;IF($C921&gt;=14,", "&amp;$A921&amp;"-"&amp;TEXT(($D921-$C921+1)+13,"00"),"")&amp;IF($C921&gt;=15,", "&amp;$A921&amp;"-"&amp;TEXT(($D921-$C921+1)+14,"00"),"")&amp;IF($C921&gt;=16,", "&amp;$A921&amp;"-"&amp;TEXT(($D921-$C921+1)+15,"00"),"")&amp;IF($C921&gt;=17,", "&amp;$A921&amp;"-"&amp;TEXT(($D921-$C921+1)+16,"00"),"")&amp;IF($C921&gt;=18,", "&amp;$A921&amp;"-"&amp;TEXT(($D921-$C921+1)+17,"00"),"")&amp;IF($C921&gt;=19,", "&amp;$A921&amp;"-"&amp;TEXT(($D921-$C921+1)+18,"00"),"")&amp;IF($C921&gt;=20,", "&amp;$A921&amp;"-"&amp;TEXT(($D921-$C921+1)+19,"00"),"")&amp;IF($C921&gt;=21,", "&amp;$A921&amp;"-"&amp;TEXT(($D921-$C921+1)+20,"00"),"")&amp;IF($C921&gt;=22,", "&amp;$A921&amp;"-"&amp;TEXT(($D921-$C921+1)+21,"00"),"")&amp;IF($C921&gt;=23,", "&amp;$A921&amp;"-"&amp;TEXT(($D921-$C921+1)+22,"00"),"")&amp;IF($C921&gt;=24,", "&amp;$A921&amp;"-"&amp;TEXT(($D921-$C921+1)+23,"00"),"")&amp;IF($C921&gt;=25,", "&amp;$A921&amp;"-"&amp;TEXT(($D921-$C921+1)+24,"00"),""))</f>
        <v/>
      </c>
      <c r="G921">
        <f>IF($A921="","",IF($E921=1,$F921,IF($F921="",$G920,IF($G920="",$F921,$G920&amp;", "&amp;$F921))))</f>
        <v/>
      </c>
      <c r="H921">
        <f>IF($A921="","",$A921&amp;" ("&amp;$C921&amp;")")</f>
        <v/>
      </c>
      <c r="I921">
        <f>IF($A921="","",IF($E921=1,$H921,$I920&amp;", "&amp;$H921))</f>
        <v/>
      </c>
      <c r="J921">
        <f>IF($A921="","",IF($E921=1,$B921,""))</f>
        <v/>
      </c>
      <c r="K921">
        <f>IF($A921="","",IF(COUNTIF($B$2:$B921,$B921)=COUNTIF($B$2:$B$1601,$B921),$B921,""))</f>
        <v/>
      </c>
    </row>
    <row r="922">
      <c r="A922">
        <f>IF('TMP Paste'!$E922="","",'TMP Paste'!$E922)</f>
        <v/>
      </c>
      <c r="B922">
        <f>IF($A922="","",COUNTIF('TMP Paste'!$B$2:$B922,"?*"))</f>
        <v/>
      </c>
      <c r="C922">
        <f>IF($A922="","",IFERROR('TMP Paste'!$M922*1,0))</f>
        <v/>
      </c>
      <c r="D922">
        <f>IF($A922="","",SUMIF($B$2:$B922,$B922,$C$2:$C922))</f>
        <v/>
      </c>
      <c r="E922">
        <f>IF($A922="",0,IF('TMP Paste'!$B922="",0,1))</f>
        <v/>
      </c>
      <c r="F922">
        <f>IF(OR($A922="",$C922&lt;1),"",$A922&amp;"-"&amp;TEXT(($D922-$C922+1),"00")&amp;IF($C922&gt;=2,", "&amp;$A922&amp;"-"&amp;TEXT(($D922-$C922+1)+1,"00"),"")&amp;IF($C922&gt;=3,", "&amp;$A922&amp;"-"&amp;TEXT(($D922-$C922+1)+2,"00"),"")&amp;IF($C922&gt;=4,", "&amp;$A922&amp;"-"&amp;TEXT(($D922-$C922+1)+3,"00"),"")&amp;IF($C922&gt;=5,", "&amp;$A922&amp;"-"&amp;TEXT(($D922-$C922+1)+4,"00"),"")&amp;IF($C922&gt;=6,", "&amp;$A922&amp;"-"&amp;TEXT(($D922-$C922+1)+5,"00"),"")&amp;IF($C922&gt;=7,", "&amp;$A922&amp;"-"&amp;TEXT(($D922-$C922+1)+6,"00"),"")&amp;IF($C922&gt;=8,", "&amp;$A922&amp;"-"&amp;TEXT(($D922-$C922+1)+7,"00"),"")&amp;IF($C922&gt;=9,", "&amp;$A922&amp;"-"&amp;TEXT(($D922-$C922+1)+8,"00"),"")&amp;IF($C922&gt;=10,", "&amp;$A922&amp;"-"&amp;TEXT(($D922-$C922+1)+9,"00"),"")&amp;IF($C922&gt;=11,", "&amp;$A922&amp;"-"&amp;TEXT(($D922-$C922+1)+10,"00"),"")&amp;IF($C922&gt;=12,", "&amp;$A922&amp;"-"&amp;TEXT(($D922-$C922+1)+11,"00"),"")&amp;IF($C922&gt;=13,", "&amp;$A922&amp;"-"&amp;TEXT(($D922-$C922+1)+12,"00"),"")&amp;IF($C922&gt;=14,", "&amp;$A922&amp;"-"&amp;TEXT(($D922-$C922+1)+13,"00"),"")&amp;IF($C922&gt;=15,", "&amp;$A922&amp;"-"&amp;TEXT(($D922-$C922+1)+14,"00"),"")&amp;IF($C922&gt;=16,", "&amp;$A922&amp;"-"&amp;TEXT(($D922-$C922+1)+15,"00"),"")&amp;IF($C922&gt;=17,", "&amp;$A922&amp;"-"&amp;TEXT(($D922-$C922+1)+16,"00"),"")&amp;IF($C922&gt;=18,", "&amp;$A922&amp;"-"&amp;TEXT(($D922-$C922+1)+17,"00"),"")&amp;IF($C922&gt;=19,", "&amp;$A922&amp;"-"&amp;TEXT(($D922-$C922+1)+18,"00"),"")&amp;IF($C922&gt;=20,", "&amp;$A922&amp;"-"&amp;TEXT(($D922-$C922+1)+19,"00"),"")&amp;IF($C922&gt;=21,", "&amp;$A922&amp;"-"&amp;TEXT(($D922-$C922+1)+20,"00"),"")&amp;IF($C922&gt;=22,", "&amp;$A922&amp;"-"&amp;TEXT(($D922-$C922+1)+21,"00"),"")&amp;IF($C922&gt;=23,", "&amp;$A922&amp;"-"&amp;TEXT(($D922-$C922+1)+22,"00"),"")&amp;IF($C922&gt;=24,", "&amp;$A922&amp;"-"&amp;TEXT(($D922-$C922+1)+23,"00"),"")&amp;IF($C922&gt;=25,", "&amp;$A922&amp;"-"&amp;TEXT(($D922-$C922+1)+24,"00"),""))</f>
        <v/>
      </c>
      <c r="G922">
        <f>IF($A922="","",IF($E922=1,$F922,IF($F922="",$G921,IF($G921="",$F922,$G921&amp;", "&amp;$F922))))</f>
        <v/>
      </c>
      <c r="H922">
        <f>IF($A922="","",$A922&amp;" ("&amp;$C922&amp;")")</f>
        <v/>
      </c>
      <c r="I922">
        <f>IF($A922="","",IF($E922=1,$H922,$I921&amp;", "&amp;$H922))</f>
        <v/>
      </c>
      <c r="J922">
        <f>IF($A922="","",IF($E922=1,$B922,""))</f>
        <v/>
      </c>
      <c r="K922">
        <f>IF($A922="","",IF(COUNTIF($B$2:$B922,$B922)=COUNTIF($B$2:$B$1601,$B922),$B922,""))</f>
        <v/>
      </c>
    </row>
    <row r="923">
      <c r="A923">
        <f>IF('TMP Paste'!$E923="","",'TMP Paste'!$E923)</f>
        <v/>
      </c>
      <c r="B923">
        <f>IF($A923="","",COUNTIF('TMP Paste'!$B$2:$B923,"?*"))</f>
        <v/>
      </c>
      <c r="C923">
        <f>IF($A923="","",IFERROR('TMP Paste'!$M923*1,0))</f>
        <v/>
      </c>
      <c r="D923">
        <f>IF($A923="","",SUMIF($B$2:$B923,$B923,$C$2:$C923))</f>
        <v/>
      </c>
      <c r="E923">
        <f>IF($A923="",0,IF('TMP Paste'!$B923="",0,1))</f>
        <v/>
      </c>
      <c r="F923">
        <f>IF(OR($A923="",$C923&lt;1),"",$A923&amp;"-"&amp;TEXT(($D923-$C923+1),"00")&amp;IF($C923&gt;=2,", "&amp;$A923&amp;"-"&amp;TEXT(($D923-$C923+1)+1,"00"),"")&amp;IF($C923&gt;=3,", "&amp;$A923&amp;"-"&amp;TEXT(($D923-$C923+1)+2,"00"),"")&amp;IF($C923&gt;=4,", "&amp;$A923&amp;"-"&amp;TEXT(($D923-$C923+1)+3,"00"),"")&amp;IF($C923&gt;=5,", "&amp;$A923&amp;"-"&amp;TEXT(($D923-$C923+1)+4,"00"),"")&amp;IF($C923&gt;=6,", "&amp;$A923&amp;"-"&amp;TEXT(($D923-$C923+1)+5,"00"),"")&amp;IF($C923&gt;=7,", "&amp;$A923&amp;"-"&amp;TEXT(($D923-$C923+1)+6,"00"),"")&amp;IF($C923&gt;=8,", "&amp;$A923&amp;"-"&amp;TEXT(($D923-$C923+1)+7,"00"),"")&amp;IF($C923&gt;=9,", "&amp;$A923&amp;"-"&amp;TEXT(($D923-$C923+1)+8,"00"),"")&amp;IF($C923&gt;=10,", "&amp;$A923&amp;"-"&amp;TEXT(($D923-$C923+1)+9,"00"),"")&amp;IF($C923&gt;=11,", "&amp;$A923&amp;"-"&amp;TEXT(($D923-$C923+1)+10,"00"),"")&amp;IF($C923&gt;=12,", "&amp;$A923&amp;"-"&amp;TEXT(($D923-$C923+1)+11,"00"),"")&amp;IF($C923&gt;=13,", "&amp;$A923&amp;"-"&amp;TEXT(($D923-$C923+1)+12,"00"),"")&amp;IF($C923&gt;=14,", "&amp;$A923&amp;"-"&amp;TEXT(($D923-$C923+1)+13,"00"),"")&amp;IF($C923&gt;=15,", "&amp;$A923&amp;"-"&amp;TEXT(($D923-$C923+1)+14,"00"),"")&amp;IF($C923&gt;=16,", "&amp;$A923&amp;"-"&amp;TEXT(($D923-$C923+1)+15,"00"),"")&amp;IF($C923&gt;=17,", "&amp;$A923&amp;"-"&amp;TEXT(($D923-$C923+1)+16,"00"),"")&amp;IF($C923&gt;=18,", "&amp;$A923&amp;"-"&amp;TEXT(($D923-$C923+1)+17,"00"),"")&amp;IF($C923&gt;=19,", "&amp;$A923&amp;"-"&amp;TEXT(($D923-$C923+1)+18,"00"),"")&amp;IF($C923&gt;=20,", "&amp;$A923&amp;"-"&amp;TEXT(($D923-$C923+1)+19,"00"),"")&amp;IF($C923&gt;=21,", "&amp;$A923&amp;"-"&amp;TEXT(($D923-$C923+1)+20,"00"),"")&amp;IF($C923&gt;=22,", "&amp;$A923&amp;"-"&amp;TEXT(($D923-$C923+1)+21,"00"),"")&amp;IF($C923&gt;=23,", "&amp;$A923&amp;"-"&amp;TEXT(($D923-$C923+1)+22,"00"),"")&amp;IF($C923&gt;=24,", "&amp;$A923&amp;"-"&amp;TEXT(($D923-$C923+1)+23,"00"),"")&amp;IF($C923&gt;=25,", "&amp;$A923&amp;"-"&amp;TEXT(($D923-$C923+1)+24,"00"),""))</f>
        <v/>
      </c>
      <c r="G923">
        <f>IF($A923="","",IF($E923=1,$F923,IF($F923="",$G922,IF($G922="",$F923,$G922&amp;", "&amp;$F923))))</f>
        <v/>
      </c>
      <c r="H923">
        <f>IF($A923="","",$A923&amp;" ("&amp;$C923&amp;")")</f>
        <v/>
      </c>
      <c r="I923">
        <f>IF($A923="","",IF($E923=1,$H923,$I922&amp;", "&amp;$H923))</f>
        <v/>
      </c>
      <c r="J923">
        <f>IF($A923="","",IF($E923=1,$B923,""))</f>
        <v/>
      </c>
      <c r="K923">
        <f>IF($A923="","",IF(COUNTIF($B$2:$B923,$B923)=COUNTIF($B$2:$B$1601,$B923),$B923,""))</f>
        <v/>
      </c>
    </row>
    <row r="924">
      <c r="A924">
        <f>IF('TMP Paste'!$E924="","",'TMP Paste'!$E924)</f>
        <v/>
      </c>
      <c r="B924">
        <f>IF($A924="","",COUNTIF('TMP Paste'!$B$2:$B924,"?*"))</f>
        <v/>
      </c>
      <c r="C924">
        <f>IF($A924="","",IFERROR('TMP Paste'!$M924*1,0))</f>
        <v/>
      </c>
      <c r="D924">
        <f>IF($A924="","",SUMIF($B$2:$B924,$B924,$C$2:$C924))</f>
        <v/>
      </c>
      <c r="E924">
        <f>IF($A924="",0,IF('TMP Paste'!$B924="",0,1))</f>
        <v/>
      </c>
      <c r="F924">
        <f>IF(OR($A924="",$C924&lt;1),"",$A924&amp;"-"&amp;TEXT(($D924-$C924+1),"00")&amp;IF($C924&gt;=2,", "&amp;$A924&amp;"-"&amp;TEXT(($D924-$C924+1)+1,"00"),"")&amp;IF($C924&gt;=3,", "&amp;$A924&amp;"-"&amp;TEXT(($D924-$C924+1)+2,"00"),"")&amp;IF($C924&gt;=4,", "&amp;$A924&amp;"-"&amp;TEXT(($D924-$C924+1)+3,"00"),"")&amp;IF($C924&gt;=5,", "&amp;$A924&amp;"-"&amp;TEXT(($D924-$C924+1)+4,"00"),"")&amp;IF($C924&gt;=6,", "&amp;$A924&amp;"-"&amp;TEXT(($D924-$C924+1)+5,"00"),"")&amp;IF($C924&gt;=7,", "&amp;$A924&amp;"-"&amp;TEXT(($D924-$C924+1)+6,"00"),"")&amp;IF($C924&gt;=8,", "&amp;$A924&amp;"-"&amp;TEXT(($D924-$C924+1)+7,"00"),"")&amp;IF($C924&gt;=9,", "&amp;$A924&amp;"-"&amp;TEXT(($D924-$C924+1)+8,"00"),"")&amp;IF($C924&gt;=10,", "&amp;$A924&amp;"-"&amp;TEXT(($D924-$C924+1)+9,"00"),"")&amp;IF($C924&gt;=11,", "&amp;$A924&amp;"-"&amp;TEXT(($D924-$C924+1)+10,"00"),"")&amp;IF($C924&gt;=12,", "&amp;$A924&amp;"-"&amp;TEXT(($D924-$C924+1)+11,"00"),"")&amp;IF($C924&gt;=13,", "&amp;$A924&amp;"-"&amp;TEXT(($D924-$C924+1)+12,"00"),"")&amp;IF($C924&gt;=14,", "&amp;$A924&amp;"-"&amp;TEXT(($D924-$C924+1)+13,"00"),"")&amp;IF($C924&gt;=15,", "&amp;$A924&amp;"-"&amp;TEXT(($D924-$C924+1)+14,"00"),"")&amp;IF($C924&gt;=16,", "&amp;$A924&amp;"-"&amp;TEXT(($D924-$C924+1)+15,"00"),"")&amp;IF($C924&gt;=17,", "&amp;$A924&amp;"-"&amp;TEXT(($D924-$C924+1)+16,"00"),"")&amp;IF($C924&gt;=18,", "&amp;$A924&amp;"-"&amp;TEXT(($D924-$C924+1)+17,"00"),"")&amp;IF($C924&gt;=19,", "&amp;$A924&amp;"-"&amp;TEXT(($D924-$C924+1)+18,"00"),"")&amp;IF($C924&gt;=20,", "&amp;$A924&amp;"-"&amp;TEXT(($D924-$C924+1)+19,"00"),"")&amp;IF($C924&gt;=21,", "&amp;$A924&amp;"-"&amp;TEXT(($D924-$C924+1)+20,"00"),"")&amp;IF($C924&gt;=22,", "&amp;$A924&amp;"-"&amp;TEXT(($D924-$C924+1)+21,"00"),"")&amp;IF($C924&gt;=23,", "&amp;$A924&amp;"-"&amp;TEXT(($D924-$C924+1)+22,"00"),"")&amp;IF($C924&gt;=24,", "&amp;$A924&amp;"-"&amp;TEXT(($D924-$C924+1)+23,"00"),"")&amp;IF($C924&gt;=25,", "&amp;$A924&amp;"-"&amp;TEXT(($D924-$C924+1)+24,"00"),""))</f>
        <v/>
      </c>
      <c r="G924">
        <f>IF($A924="","",IF($E924=1,$F924,IF($F924="",$G923,IF($G923="",$F924,$G923&amp;", "&amp;$F924))))</f>
        <v/>
      </c>
      <c r="H924">
        <f>IF($A924="","",$A924&amp;" ("&amp;$C924&amp;")")</f>
        <v/>
      </c>
      <c r="I924">
        <f>IF($A924="","",IF($E924=1,$H924,$I923&amp;", "&amp;$H924))</f>
        <v/>
      </c>
      <c r="J924">
        <f>IF($A924="","",IF($E924=1,$B924,""))</f>
        <v/>
      </c>
      <c r="K924">
        <f>IF($A924="","",IF(COUNTIF($B$2:$B924,$B924)=COUNTIF($B$2:$B$1601,$B924),$B924,""))</f>
        <v/>
      </c>
    </row>
    <row r="925">
      <c r="A925">
        <f>IF('TMP Paste'!$E925="","",'TMP Paste'!$E925)</f>
        <v/>
      </c>
      <c r="B925">
        <f>IF($A925="","",COUNTIF('TMP Paste'!$B$2:$B925,"?*"))</f>
        <v/>
      </c>
      <c r="C925">
        <f>IF($A925="","",IFERROR('TMP Paste'!$M925*1,0))</f>
        <v/>
      </c>
      <c r="D925">
        <f>IF($A925="","",SUMIF($B$2:$B925,$B925,$C$2:$C925))</f>
        <v/>
      </c>
      <c r="E925">
        <f>IF($A925="",0,IF('TMP Paste'!$B925="",0,1))</f>
        <v/>
      </c>
      <c r="F925">
        <f>IF(OR($A925="",$C925&lt;1),"",$A925&amp;"-"&amp;TEXT(($D925-$C925+1),"00")&amp;IF($C925&gt;=2,", "&amp;$A925&amp;"-"&amp;TEXT(($D925-$C925+1)+1,"00"),"")&amp;IF($C925&gt;=3,", "&amp;$A925&amp;"-"&amp;TEXT(($D925-$C925+1)+2,"00"),"")&amp;IF($C925&gt;=4,", "&amp;$A925&amp;"-"&amp;TEXT(($D925-$C925+1)+3,"00"),"")&amp;IF($C925&gt;=5,", "&amp;$A925&amp;"-"&amp;TEXT(($D925-$C925+1)+4,"00"),"")&amp;IF($C925&gt;=6,", "&amp;$A925&amp;"-"&amp;TEXT(($D925-$C925+1)+5,"00"),"")&amp;IF($C925&gt;=7,", "&amp;$A925&amp;"-"&amp;TEXT(($D925-$C925+1)+6,"00"),"")&amp;IF($C925&gt;=8,", "&amp;$A925&amp;"-"&amp;TEXT(($D925-$C925+1)+7,"00"),"")&amp;IF($C925&gt;=9,", "&amp;$A925&amp;"-"&amp;TEXT(($D925-$C925+1)+8,"00"),"")&amp;IF($C925&gt;=10,", "&amp;$A925&amp;"-"&amp;TEXT(($D925-$C925+1)+9,"00"),"")&amp;IF($C925&gt;=11,", "&amp;$A925&amp;"-"&amp;TEXT(($D925-$C925+1)+10,"00"),"")&amp;IF($C925&gt;=12,", "&amp;$A925&amp;"-"&amp;TEXT(($D925-$C925+1)+11,"00"),"")&amp;IF($C925&gt;=13,", "&amp;$A925&amp;"-"&amp;TEXT(($D925-$C925+1)+12,"00"),"")&amp;IF($C925&gt;=14,", "&amp;$A925&amp;"-"&amp;TEXT(($D925-$C925+1)+13,"00"),"")&amp;IF($C925&gt;=15,", "&amp;$A925&amp;"-"&amp;TEXT(($D925-$C925+1)+14,"00"),"")&amp;IF($C925&gt;=16,", "&amp;$A925&amp;"-"&amp;TEXT(($D925-$C925+1)+15,"00"),"")&amp;IF($C925&gt;=17,", "&amp;$A925&amp;"-"&amp;TEXT(($D925-$C925+1)+16,"00"),"")&amp;IF($C925&gt;=18,", "&amp;$A925&amp;"-"&amp;TEXT(($D925-$C925+1)+17,"00"),"")&amp;IF($C925&gt;=19,", "&amp;$A925&amp;"-"&amp;TEXT(($D925-$C925+1)+18,"00"),"")&amp;IF($C925&gt;=20,", "&amp;$A925&amp;"-"&amp;TEXT(($D925-$C925+1)+19,"00"),"")&amp;IF($C925&gt;=21,", "&amp;$A925&amp;"-"&amp;TEXT(($D925-$C925+1)+20,"00"),"")&amp;IF($C925&gt;=22,", "&amp;$A925&amp;"-"&amp;TEXT(($D925-$C925+1)+21,"00"),"")&amp;IF($C925&gt;=23,", "&amp;$A925&amp;"-"&amp;TEXT(($D925-$C925+1)+22,"00"),"")&amp;IF($C925&gt;=24,", "&amp;$A925&amp;"-"&amp;TEXT(($D925-$C925+1)+23,"00"),"")&amp;IF($C925&gt;=25,", "&amp;$A925&amp;"-"&amp;TEXT(($D925-$C925+1)+24,"00"),""))</f>
        <v/>
      </c>
      <c r="G925">
        <f>IF($A925="","",IF($E925=1,$F925,IF($F925="",$G924,IF($G924="",$F925,$G924&amp;", "&amp;$F925))))</f>
        <v/>
      </c>
      <c r="H925">
        <f>IF($A925="","",$A925&amp;" ("&amp;$C925&amp;")")</f>
        <v/>
      </c>
      <c r="I925">
        <f>IF($A925="","",IF($E925=1,$H925,$I924&amp;", "&amp;$H925))</f>
        <v/>
      </c>
      <c r="J925">
        <f>IF($A925="","",IF($E925=1,$B925,""))</f>
        <v/>
      </c>
      <c r="K925">
        <f>IF($A925="","",IF(COUNTIF($B$2:$B925,$B925)=COUNTIF($B$2:$B$1601,$B925),$B925,""))</f>
        <v/>
      </c>
    </row>
    <row r="926">
      <c r="A926">
        <f>IF('TMP Paste'!$E926="","",'TMP Paste'!$E926)</f>
        <v/>
      </c>
      <c r="B926">
        <f>IF($A926="","",COUNTIF('TMP Paste'!$B$2:$B926,"?*"))</f>
        <v/>
      </c>
      <c r="C926">
        <f>IF($A926="","",IFERROR('TMP Paste'!$M926*1,0))</f>
        <v/>
      </c>
      <c r="D926">
        <f>IF($A926="","",SUMIF($B$2:$B926,$B926,$C$2:$C926))</f>
        <v/>
      </c>
      <c r="E926">
        <f>IF($A926="",0,IF('TMP Paste'!$B926="",0,1))</f>
        <v/>
      </c>
      <c r="F926">
        <f>IF(OR($A926="",$C926&lt;1),"",$A926&amp;"-"&amp;TEXT(($D926-$C926+1),"00")&amp;IF($C926&gt;=2,", "&amp;$A926&amp;"-"&amp;TEXT(($D926-$C926+1)+1,"00"),"")&amp;IF($C926&gt;=3,", "&amp;$A926&amp;"-"&amp;TEXT(($D926-$C926+1)+2,"00"),"")&amp;IF($C926&gt;=4,", "&amp;$A926&amp;"-"&amp;TEXT(($D926-$C926+1)+3,"00"),"")&amp;IF($C926&gt;=5,", "&amp;$A926&amp;"-"&amp;TEXT(($D926-$C926+1)+4,"00"),"")&amp;IF($C926&gt;=6,", "&amp;$A926&amp;"-"&amp;TEXT(($D926-$C926+1)+5,"00"),"")&amp;IF($C926&gt;=7,", "&amp;$A926&amp;"-"&amp;TEXT(($D926-$C926+1)+6,"00"),"")&amp;IF($C926&gt;=8,", "&amp;$A926&amp;"-"&amp;TEXT(($D926-$C926+1)+7,"00"),"")&amp;IF($C926&gt;=9,", "&amp;$A926&amp;"-"&amp;TEXT(($D926-$C926+1)+8,"00"),"")&amp;IF($C926&gt;=10,", "&amp;$A926&amp;"-"&amp;TEXT(($D926-$C926+1)+9,"00"),"")&amp;IF($C926&gt;=11,", "&amp;$A926&amp;"-"&amp;TEXT(($D926-$C926+1)+10,"00"),"")&amp;IF($C926&gt;=12,", "&amp;$A926&amp;"-"&amp;TEXT(($D926-$C926+1)+11,"00"),"")&amp;IF($C926&gt;=13,", "&amp;$A926&amp;"-"&amp;TEXT(($D926-$C926+1)+12,"00"),"")&amp;IF($C926&gt;=14,", "&amp;$A926&amp;"-"&amp;TEXT(($D926-$C926+1)+13,"00"),"")&amp;IF($C926&gt;=15,", "&amp;$A926&amp;"-"&amp;TEXT(($D926-$C926+1)+14,"00"),"")&amp;IF($C926&gt;=16,", "&amp;$A926&amp;"-"&amp;TEXT(($D926-$C926+1)+15,"00"),"")&amp;IF($C926&gt;=17,", "&amp;$A926&amp;"-"&amp;TEXT(($D926-$C926+1)+16,"00"),"")&amp;IF($C926&gt;=18,", "&amp;$A926&amp;"-"&amp;TEXT(($D926-$C926+1)+17,"00"),"")&amp;IF($C926&gt;=19,", "&amp;$A926&amp;"-"&amp;TEXT(($D926-$C926+1)+18,"00"),"")&amp;IF($C926&gt;=20,", "&amp;$A926&amp;"-"&amp;TEXT(($D926-$C926+1)+19,"00"),"")&amp;IF($C926&gt;=21,", "&amp;$A926&amp;"-"&amp;TEXT(($D926-$C926+1)+20,"00"),"")&amp;IF($C926&gt;=22,", "&amp;$A926&amp;"-"&amp;TEXT(($D926-$C926+1)+21,"00"),"")&amp;IF($C926&gt;=23,", "&amp;$A926&amp;"-"&amp;TEXT(($D926-$C926+1)+22,"00"),"")&amp;IF($C926&gt;=24,", "&amp;$A926&amp;"-"&amp;TEXT(($D926-$C926+1)+23,"00"),"")&amp;IF($C926&gt;=25,", "&amp;$A926&amp;"-"&amp;TEXT(($D926-$C926+1)+24,"00"),""))</f>
        <v/>
      </c>
      <c r="G926">
        <f>IF($A926="","",IF($E926=1,$F926,IF($F926="",$G925,IF($G925="",$F926,$G925&amp;", "&amp;$F926))))</f>
        <v/>
      </c>
      <c r="H926">
        <f>IF($A926="","",$A926&amp;" ("&amp;$C926&amp;")")</f>
        <v/>
      </c>
      <c r="I926">
        <f>IF($A926="","",IF($E926=1,$H926,$I925&amp;", "&amp;$H926))</f>
        <v/>
      </c>
      <c r="J926">
        <f>IF($A926="","",IF($E926=1,$B926,""))</f>
        <v/>
      </c>
      <c r="K926">
        <f>IF($A926="","",IF(COUNTIF($B$2:$B926,$B926)=COUNTIF($B$2:$B$1601,$B926),$B926,""))</f>
        <v/>
      </c>
    </row>
    <row r="927">
      <c r="A927">
        <f>IF('TMP Paste'!$E927="","",'TMP Paste'!$E927)</f>
        <v/>
      </c>
      <c r="B927">
        <f>IF($A927="","",COUNTIF('TMP Paste'!$B$2:$B927,"?*"))</f>
        <v/>
      </c>
      <c r="C927">
        <f>IF($A927="","",IFERROR('TMP Paste'!$M927*1,0))</f>
        <v/>
      </c>
      <c r="D927">
        <f>IF($A927="","",SUMIF($B$2:$B927,$B927,$C$2:$C927))</f>
        <v/>
      </c>
      <c r="E927">
        <f>IF($A927="",0,IF('TMP Paste'!$B927="",0,1))</f>
        <v/>
      </c>
      <c r="F927">
        <f>IF(OR($A927="",$C927&lt;1),"",$A927&amp;"-"&amp;TEXT(($D927-$C927+1),"00")&amp;IF($C927&gt;=2,", "&amp;$A927&amp;"-"&amp;TEXT(($D927-$C927+1)+1,"00"),"")&amp;IF($C927&gt;=3,", "&amp;$A927&amp;"-"&amp;TEXT(($D927-$C927+1)+2,"00"),"")&amp;IF($C927&gt;=4,", "&amp;$A927&amp;"-"&amp;TEXT(($D927-$C927+1)+3,"00"),"")&amp;IF($C927&gt;=5,", "&amp;$A927&amp;"-"&amp;TEXT(($D927-$C927+1)+4,"00"),"")&amp;IF($C927&gt;=6,", "&amp;$A927&amp;"-"&amp;TEXT(($D927-$C927+1)+5,"00"),"")&amp;IF($C927&gt;=7,", "&amp;$A927&amp;"-"&amp;TEXT(($D927-$C927+1)+6,"00"),"")&amp;IF($C927&gt;=8,", "&amp;$A927&amp;"-"&amp;TEXT(($D927-$C927+1)+7,"00"),"")&amp;IF($C927&gt;=9,", "&amp;$A927&amp;"-"&amp;TEXT(($D927-$C927+1)+8,"00"),"")&amp;IF($C927&gt;=10,", "&amp;$A927&amp;"-"&amp;TEXT(($D927-$C927+1)+9,"00"),"")&amp;IF($C927&gt;=11,", "&amp;$A927&amp;"-"&amp;TEXT(($D927-$C927+1)+10,"00"),"")&amp;IF($C927&gt;=12,", "&amp;$A927&amp;"-"&amp;TEXT(($D927-$C927+1)+11,"00"),"")&amp;IF($C927&gt;=13,", "&amp;$A927&amp;"-"&amp;TEXT(($D927-$C927+1)+12,"00"),"")&amp;IF($C927&gt;=14,", "&amp;$A927&amp;"-"&amp;TEXT(($D927-$C927+1)+13,"00"),"")&amp;IF($C927&gt;=15,", "&amp;$A927&amp;"-"&amp;TEXT(($D927-$C927+1)+14,"00"),"")&amp;IF($C927&gt;=16,", "&amp;$A927&amp;"-"&amp;TEXT(($D927-$C927+1)+15,"00"),"")&amp;IF($C927&gt;=17,", "&amp;$A927&amp;"-"&amp;TEXT(($D927-$C927+1)+16,"00"),"")&amp;IF($C927&gt;=18,", "&amp;$A927&amp;"-"&amp;TEXT(($D927-$C927+1)+17,"00"),"")&amp;IF($C927&gt;=19,", "&amp;$A927&amp;"-"&amp;TEXT(($D927-$C927+1)+18,"00"),"")&amp;IF($C927&gt;=20,", "&amp;$A927&amp;"-"&amp;TEXT(($D927-$C927+1)+19,"00"),"")&amp;IF($C927&gt;=21,", "&amp;$A927&amp;"-"&amp;TEXT(($D927-$C927+1)+20,"00"),"")&amp;IF($C927&gt;=22,", "&amp;$A927&amp;"-"&amp;TEXT(($D927-$C927+1)+21,"00"),"")&amp;IF($C927&gt;=23,", "&amp;$A927&amp;"-"&amp;TEXT(($D927-$C927+1)+22,"00"),"")&amp;IF($C927&gt;=24,", "&amp;$A927&amp;"-"&amp;TEXT(($D927-$C927+1)+23,"00"),"")&amp;IF($C927&gt;=25,", "&amp;$A927&amp;"-"&amp;TEXT(($D927-$C927+1)+24,"00"),""))</f>
        <v/>
      </c>
      <c r="G927">
        <f>IF($A927="","",IF($E927=1,$F927,IF($F927="",$G926,IF($G926="",$F927,$G926&amp;", "&amp;$F927))))</f>
        <v/>
      </c>
      <c r="H927">
        <f>IF($A927="","",$A927&amp;" ("&amp;$C927&amp;")")</f>
        <v/>
      </c>
      <c r="I927">
        <f>IF($A927="","",IF($E927=1,$H927,$I926&amp;", "&amp;$H927))</f>
        <v/>
      </c>
      <c r="J927">
        <f>IF($A927="","",IF($E927=1,$B927,""))</f>
        <v/>
      </c>
      <c r="K927">
        <f>IF($A927="","",IF(COUNTIF($B$2:$B927,$B927)=COUNTIF($B$2:$B$1601,$B927),$B927,""))</f>
        <v/>
      </c>
    </row>
    <row r="928">
      <c r="A928">
        <f>IF('TMP Paste'!$E928="","",'TMP Paste'!$E928)</f>
        <v/>
      </c>
      <c r="B928">
        <f>IF($A928="","",COUNTIF('TMP Paste'!$B$2:$B928,"?*"))</f>
        <v/>
      </c>
      <c r="C928">
        <f>IF($A928="","",IFERROR('TMP Paste'!$M928*1,0))</f>
        <v/>
      </c>
      <c r="D928">
        <f>IF($A928="","",SUMIF($B$2:$B928,$B928,$C$2:$C928))</f>
        <v/>
      </c>
      <c r="E928">
        <f>IF($A928="",0,IF('TMP Paste'!$B928="",0,1))</f>
        <v/>
      </c>
      <c r="F928">
        <f>IF(OR($A928="",$C928&lt;1),"",$A928&amp;"-"&amp;TEXT(($D928-$C928+1),"00")&amp;IF($C928&gt;=2,", "&amp;$A928&amp;"-"&amp;TEXT(($D928-$C928+1)+1,"00"),"")&amp;IF($C928&gt;=3,", "&amp;$A928&amp;"-"&amp;TEXT(($D928-$C928+1)+2,"00"),"")&amp;IF($C928&gt;=4,", "&amp;$A928&amp;"-"&amp;TEXT(($D928-$C928+1)+3,"00"),"")&amp;IF($C928&gt;=5,", "&amp;$A928&amp;"-"&amp;TEXT(($D928-$C928+1)+4,"00"),"")&amp;IF($C928&gt;=6,", "&amp;$A928&amp;"-"&amp;TEXT(($D928-$C928+1)+5,"00"),"")&amp;IF($C928&gt;=7,", "&amp;$A928&amp;"-"&amp;TEXT(($D928-$C928+1)+6,"00"),"")&amp;IF($C928&gt;=8,", "&amp;$A928&amp;"-"&amp;TEXT(($D928-$C928+1)+7,"00"),"")&amp;IF($C928&gt;=9,", "&amp;$A928&amp;"-"&amp;TEXT(($D928-$C928+1)+8,"00"),"")&amp;IF($C928&gt;=10,", "&amp;$A928&amp;"-"&amp;TEXT(($D928-$C928+1)+9,"00"),"")&amp;IF($C928&gt;=11,", "&amp;$A928&amp;"-"&amp;TEXT(($D928-$C928+1)+10,"00"),"")&amp;IF($C928&gt;=12,", "&amp;$A928&amp;"-"&amp;TEXT(($D928-$C928+1)+11,"00"),"")&amp;IF($C928&gt;=13,", "&amp;$A928&amp;"-"&amp;TEXT(($D928-$C928+1)+12,"00"),"")&amp;IF($C928&gt;=14,", "&amp;$A928&amp;"-"&amp;TEXT(($D928-$C928+1)+13,"00"),"")&amp;IF($C928&gt;=15,", "&amp;$A928&amp;"-"&amp;TEXT(($D928-$C928+1)+14,"00"),"")&amp;IF($C928&gt;=16,", "&amp;$A928&amp;"-"&amp;TEXT(($D928-$C928+1)+15,"00"),"")&amp;IF($C928&gt;=17,", "&amp;$A928&amp;"-"&amp;TEXT(($D928-$C928+1)+16,"00"),"")&amp;IF($C928&gt;=18,", "&amp;$A928&amp;"-"&amp;TEXT(($D928-$C928+1)+17,"00"),"")&amp;IF($C928&gt;=19,", "&amp;$A928&amp;"-"&amp;TEXT(($D928-$C928+1)+18,"00"),"")&amp;IF($C928&gt;=20,", "&amp;$A928&amp;"-"&amp;TEXT(($D928-$C928+1)+19,"00"),"")&amp;IF($C928&gt;=21,", "&amp;$A928&amp;"-"&amp;TEXT(($D928-$C928+1)+20,"00"),"")&amp;IF($C928&gt;=22,", "&amp;$A928&amp;"-"&amp;TEXT(($D928-$C928+1)+21,"00"),"")&amp;IF($C928&gt;=23,", "&amp;$A928&amp;"-"&amp;TEXT(($D928-$C928+1)+22,"00"),"")&amp;IF($C928&gt;=24,", "&amp;$A928&amp;"-"&amp;TEXT(($D928-$C928+1)+23,"00"),"")&amp;IF($C928&gt;=25,", "&amp;$A928&amp;"-"&amp;TEXT(($D928-$C928+1)+24,"00"),""))</f>
        <v/>
      </c>
      <c r="G928">
        <f>IF($A928="","",IF($E928=1,$F928,IF($F928="",$G927,IF($G927="",$F928,$G927&amp;", "&amp;$F928))))</f>
        <v/>
      </c>
      <c r="H928">
        <f>IF($A928="","",$A928&amp;" ("&amp;$C928&amp;")")</f>
        <v/>
      </c>
      <c r="I928">
        <f>IF($A928="","",IF($E928=1,$H928,$I927&amp;", "&amp;$H928))</f>
        <v/>
      </c>
      <c r="J928">
        <f>IF($A928="","",IF($E928=1,$B928,""))</f>
        <v/>
      </c>
      <c r="K928">
        <f>IF($A928="","",IF(COUNTIF($B$2:$B928,$B928)=COUNTIF($B$2:$B$1601,$B928),$B928,""))</f>
        <v/>
      </c>
    </row>
    <row r="929">
      <c r="A929">
        <f>IF('TMP Paste'!$E929="","",'TMP Paste'!$E929)</f>
        <v/>
      </c>
      <c r="B929">
        <f>IF($A929="","",COUNTIF('TMP Paste'!$B$2:$B929,"?*"))</f>
        <v/>
      </c>
      <c r="C929">
        <f>IF($A929="","",IFERROR('TMP Paste'!$M929*1,0))</f>
        <v/>
      </c>
      <c r="D929">
        <f>IF($A929="","",SUMIF($B$2:$B929,$B929,$C$2:$C929))</f>
        <v/>
      </c>
      <c r="E929">
        <f>IF($A929="",0,IF('TMP Paste'!$B929="",0,1))</f>
        <v/>
      </c>
      <c r="F929">
        <f>IF(OR($A929="",$C929&lt;1),"",$A929&amp;"-"&amp;TEXT(($D929-$C929+1),"00")&amp;IF($C929&gt;=2,", "&amp;$A929&amp;"-"&amp;TEXT(($D929-$C929+1)+1,"00"),"")&amp;IF($C929&gt;=3,", "&amp;$A929&amp;"-"&amp;TEXT(($D929-$C929+1)+2,"00"),"")&amp;IF($C929&gt;=4,", "&amp;$A929&amp;"-"&amp;TEXT(($D929-$C929+1)+3,"00"),"")&amp;IF($C929&gt;=5,", "&amp;$A929&amp;"-"&amp;TEXT(($D929-$C929+1)+4,"00"),"")&amp;IF($C929&gt;=6,", "&amp;$A929&amp;"-"&amp;TEXT(($D929-$C929+1)+5,"00"),"")&amp;IF($C929&gt;=7,", "&amp;$A929&amp;"-"&amp;TEXT(($D929-$C929+1)+6,"00"),"")&amp;IF($C929&gt;=8,", "&amp;$A929&amp;"-"&amp;TEXT(($D929-$C929+1)+7,"00"),"")&amp;IF($C929&gt;=9,", "&amp;$A929&amp;"-"&amp;TEXT(($D929-$C929+1)+8,"00"),"")&amp;IF($C929&gt;=10,", "&amp;$A929&amp;"-"&amp;TEXT(($D929-$C929+1)+9,"00"),"")&amp;IF($C929&gt;=11,", "&amp;$A929&amp;"-"&amp;TEXT(($D929-$C929+1)+10,"00"),"")&amp;IF($C929&gt;=12,", "&amp;$A929&amp;"-"&amp;TEXT(($D929-$C929+1)+11,"00"),"")&amp;IF($C929&gt;=13,", "&amp;$A929&amp;"-"&amp;TEXT(($D929-$C929+1)+12,"00"),"")&amp;IF($C929&gt;=14,", "&amp;$A929&amp;"-"&amp;TEXT(($D929-$C929+1)+13,"00"),"")&amp;IF($C929&gt;=15,", "&amp;$A929&amp;"-"&amp;TEXT(($D929-$C929+1)+14,"00"),"")&amp;IF($C929&gt;=16,", "&amp;$A929&amp;"-"&amp;TEXT(($D929-$C929+1)+15,"00"),"")&amp;IF($C929&gt;=17,", "&amp;$A929&amp;"-"&amp;TEXT(($D929-$C929+1)+16,"00"),"")&amp;IF($C929&gt;=18,", "&amp;$A929&amp;"-"&amp;TEXT(($D929-$C929+1)+17,"00"),"")&amp;IF($C929&gt;=19,", "&amp;$A929&amp;"-"&amp;TEXT(($D929-$C929+1)+18,"00"),"")&amp;IF($C929&gt;=20,", "&amp;$A929&amp;"-"&amp;TEXT(($D929-$C929+1)+19,"00"),"")&amp;IF($C929&gt;=21,", "&amp;$A929&amp;"-"&amp;TEXT(($D929-$C929+1)+20,"00"),"")&amp;IF($C929&gt;=22,", "&amp;$A929&amp;"-"&amp;TEXT(($D929-$C929+1)+21,"00"),"")&amp;IF($C929&gt;=23,", "&amp;$A929&amp;"-"&amp;TEXT(($D929-$C929+1)+22,"00"),"")&amp;IF($C929&gt;=24,", "&amp;$A929&amp;"-"&amp;TEXT(($D929-$C929+1)+23,"00"),"")&amp;IF($C929&gt;=25,", "&amp;$A929&amp;"-"&amp;TEXT(($D929-$C929+1)+24,"00"),""))</f>
        <v/>
      </c>
      <c r="G929">
        <f>IF($A929="","",IF($E929=1,$F929,IF($F929="",$G928,IF($G928="",$F929,$G928&amp;", "&amp;$F929))))</f>
        <v/>
      </c>
      <c r="H929">
        <f>IF($A929="","",$A929&amp;" ("&amp;$C929&amp;")")</f>
        <v/>
      </c>
      <c r="I929">
        <f>IF($A929="","",IF($E929=1,$H929,$I928&amp;", "&amp;$H929))</f>
        <v/>
      </c>
      <c r="J929">
        <f>IF($A929="","",IF($E929=1,$B929,""))</f>
        <v/>
      </c>
      <c r="K929">
        <f>IF($A929="","",IF(COUNTIF($B$2:$B929,$B929)=COUNTIF($B$2:$B$1601,$B929),$B929,""))</f>
        <v/>
      </c>
    </row>
    <row r="930">
      <c r="A930">
        <f>IF('TMP Paste'!$E930="","",'TMP Paste'!$E930)</f>
        <v/>
      </c>
      <c r="B930">
        <f>IF($A930="","",COUNTIF('TMP Paste'!$B$2:$B930,"?*"))</f>
        <v/>
      </c>
      <c r="C930">
        <f>IF($A930="","",IFERROR('TMP Paste'!$M930*1,0))</f>
        <v/>
      </c>
      <c r="D930">
        <f>IF($A930="","",SUMIF($B$2:$B930,$B930,$C$2:$C930))</f>
        <v/>
      </c>
      <c r="E930">
        <f>IF($A930="",0,IF('TMP Paste'!$B930="",0,1))</f>
        <v/>
      </c>
      <c r="F930">
        <f>IF(OR($A930="",$C930&lt;1),"",$A930&amp;"-"&amp;TEXT(($D930-$C930+1),"00")&amp;IF($C930&gt;=2,", "&amp;$A930&amp;"-"&amp;TEXT(($D930-$C930+1)+1,"00"),"")&amp;IF($C930&gt;=3,", "&amp;$A930&amp;"-"&amp;TEXT(($D930-$C930+1)+2,"00"),"")&amp;IF($C930&gt;=4,", "&amp;$A930&amp;"-"&amp;TEXT(($D930-$C930+1)+3,"00"),"")&amp;IF($C930&gt;=5,", "&amp;$A930&amp;"-"&amp;TEXT(($D930-$C930+1)+4,"00"),"")&amp;IF($C930&gt;=6,", "&amp;$A930&amp;"-"&amp;TEXT(($D930-$C930+1)+5,"00"),"")&amp;IF($C930&gt;=7,", "&amp;$A930&amp;"-"&amp;TEXT(($D930-$C930+1)+6,"00"),"")&amp;IF($C930&gt;=8,", "&amp;$A930&amp;"-"&amp;TEXT(($D930-$C930+1)+7,"00"),"")&amp;IF($C930&gt;=9,", "&amp;$A930&amp;"-"&amp;TEXT(($D930-$C930+1)+8,"00"),"")&amp;IF($C930&gt;=10,", "&amp;$A930&amp;"-"&amp;TEXT(($D930-$C930+1)+9,"00"),"")&amp;IF($C930&gt;=11,", "&amp;$A930&amp;"-"&amp;TEXT(($D930-$C930+1)+10,"00"),"")&amp;IF($C930&gt;=12,", "&amp;$A930&amp;"-"&amp;TEXT(($D930-$C930+1)+11,"00"),"")&amp;IF($C930&gt;=13,", "&amp;$A930&amp;"-"&amp;TEXT(($D930-$C930+1)+12,"00"),"")&amp;IF($C930&gt;=14,", "&amp;$A930&amp;"-"&amp;TEXT(($D930-$C930+1)+13,"00"),"")&amp;IF($C930&gt;=15,", "&amp;$A930&amp;"-"&amp;TEXT(($D930-$C930+1)+14,"00"),"")&amp;IF($C930&gt;=16,", "&amp;$A930&amp;"-"&amp;TEXT(($D930-$C930+1)+15,"00"),"")&amp;IF($C930&gt;=17,", "&amp;$A930&amp;"-"&amp;TEXT(($D930-$C930+1)+16,"00"),"")&amp;IF($C930&gt;=18,", "&amp;$A930&amp;"-"&amp;TEXT(($D930-$C930+1)+17,"00"),"")&amp;IF($C930&gt;=19,", "&amp;$A930&amp;"-"&amp;TEXT(($D930-$C930+1)+18,"00"),"")&amp;IF($C930&gt;=20,", "&amp;$A930&amp;"-"&amp;TEXT(($D930-$C930+1)+19,"00"),"")&amp;IF($C930&gt;=21,", "&amp;$A930&amp;"-"&amp;TEXT(($D930-$C930+1)+20,"00"),"")&amp;IF($C930&gt;=22,", "&amp;$A930&amp;"-"&amp;TEXT(($D930-$C930+1)+21,"00"),"")&amp;IF($C930&gt;=23,", "&amp;$A930&amp;"-"&amp;TEXT(($D930-$C930+1)+22,"00"),"")&amp;IF($C930&gt;=24,", "&amp;$A930&amp;"-"&amp;TEXT(($D930-$C930+1)+23,"00"),"")&amp;IF($C930&gt;=25,", "&amp;$A930&amp;"-"&amp;TEXT(($D930-$C930+1)+24,"00"),""))</f>
        <v/>
      </c>
      <c r="G930">
        <f>IF($A930="","",IF($E930=1,$F930,IF($F930="",$G929,IF($G929="",$F930,$G929&amp;", "&amp;$F930))))</f>
        <v/>
      </c>
      <c r="H930">
        <f>IF($A930="","",$A930&amp;" ("&amp;$C930&amp;")")</f>
        <v/>
      </c>
      <c r="I930">
        <f>IF($A930="","",IF($E930=1,$H930,$I929&amp;", "&amp;$H930))</f>
        <v/>
      </c>
      <c r="J930">
        <f>IF($A930="","",IF($E930=1,$B930,""))</f>
        <v/>
      </c>
      <c r="K930">
        <f>IF($A930="","",IF(COUNTIF($B$2:$B930,$B930)=COUNTIF($B$2:$B$1601,$B930),$B930,""))</f>
        <v/>
      </c>
    </row>
    <row r="931">
      <c r="A931">
        <f>IF('TMP Paste'!$E931="","",'TMP Paste'!$E931)</f>
        <v/>
      </c>
      <c r="B931">
        <f>IF($A931="","",COUNTIF('TMP Paste'!$B$2:$B931,"?*"))</f>
        <v/>
      </c>
      <c r="C931">
        <f>IF($A931="","",IFERROR('TMP Paste'!$M931*1,0))</f>
        <v/>
      </c>
      <c r="D931">
        <f>IF($A931="","",SUMIF($B$2:$B931,$B931,$C$2:$C931))</f>
        <v/>
      </c>
      <c r="E931">
        <f>IF($A931="",0,IF('TMP Paste'!$B931="",0,1))</f>
        <v/>
      </c>
      <c r="F931">
        <f>IF(OR($A931="",$C931&lt;1),"",$A931&amp;"-"&amp;TEXT(($D931-$C931+1),"00")&amp;IF($C931&gt;=2,", "&amp;$A931&amp;"-"&amp;TEXT(($D931-$C931+1)+1,"00"),"")&amp;IF($C931&gt;=3,", "&amp;$A931&amp;"-"&amp;TEXT(($D931-$C931+1)+2,"00"),"")&amp;IF($C931&gt;=4,", "&amp;$A931&amp;"-"&amp;TEXT(($D931-$C931+1)+3,"00"),"")&amp;IF($C931&gt;=5,", "&amp;$A931&amp;"-"&amp;TEXT(($D931-$C931+1)+4,"00"),"")&amp;IF($C931&gt;=6,", "&amp;$A931&amp;"-"&amp;TEXT(($D931-$C931+1)+5,"00"),"")&amp;IF($C931&gt;=7,", "&amp;$A931&amp;"-"&amp;TEXT(($D931-$C931+1)+6,"00"),"")&amp;IF($C931&gt;=8,", "&amp;$A931&amp;"-"&amp;TEXT(($D931-$C931+1)+7,"00"),"")&amp;IF($C931&gt;=9,", "&amp;$A931&amp;"-"&amp;TEXT(($D931-$C931+1)+8,"00"),"")&amp;IF($C931&gt;=10,", "&amp;$A931&amp;"-"&amp;TEXT(($D931-$C931+1)+9,"00"),"")&amp;IF($C931&gt;=11,", "&amp;$A931&amp;"-"&amp;TEXT(($D931-$C931+1)+10,"00"),"")&amp;IF($C931&gt;=12,", "&amp;$A931&amp;"-"&amp;TEXT(($D931-$C931+1)+11,"00"),"")&amp;IF($C931&gt;=13,", "&amp;$A931&amp;"-"&amp;TEXT(($D931-$C931+1)+12,"00"),"")&amp;IF($C931&gt;=14,", "&amp;$A931&amp;"-"&amp;TEXT(($D931-$C931+1)+13,"00"),"")&amp;IF($C931&gt;=15,", "&amp;$A931&amp;"-"&amp;TEXT(($D931-$C931+1)+14,"00"),"")&amp;IF($C931&gt;=16,", "&amp;$A931&amp;"-"&amp;TEXT(($D931-$C931+1)+15,"00"),"")&amp;IF($C931&gt;=17,", "&amp;$A931&amp;"-"&amp;TEXT(($D931-$C931+1)+16,"00"),"")&amp;IF($C931&gt;=18,", "&amp;$A931&amp;"-"&amp;TEXT(($D931-$C931+1)+17,"00"),"")&amp;IF($C931&gt;=19,", "&amp;$A931&amp;"-"&amp;TEXT(($D931-$C931+1)+18,"00"),"")&amp;IF($C931&gt;=20,", "&amp;$A931&amp;"-"&amp;TEXT(($D931-$C931+1)+19,"00"),"")&amp;IF($C931&gt;=21,", "&amp;$A931&amp;"-"&amp;TEXT(($D931-$C931+1)+20,"00"),"")&amp;IF($C931&gt;=22,", "&amp;$A931&amp;"-"&amp;TEXT(($D931-$C931+1)+21,"00"),"")&amp;IF($C931&gt;=23,", "&amp;$A931&amp;"-"&amp;TEXT(($D931-$C931+1)+22,"00"),"")&amp;IF($C931&gt;=24,", "&amp;$A931&amp;"-"&amp;TEXT(($D931-$C931+1)+23,"00"),"")&amp;IF($C931&gt;=25,", "&amp;$A931&amp;"-"&amp;TEXT(($D931-$C931+1)+24,"00"),""))</f>
        <v/>
      </c>
      <c r="G931">
        <f>IF($A931="","",IF($E931=1,$F931,IF($F931="",$G930,IF($G930="",$F931,$G930&amp;", "&amp;$F931))))</f>
        <v/>
      </c>
      <c r="H931">
        <f>IF($A931="","",$A931&amp;" ("&amp;$C931&amp;")")</f>
        <v/>
      </c>
      <c r="I931">
        <f>IF($A931="","",IF($E931=1,$H931,$I930&amp;", "&amp;$H931))</f>
        <v/>
      </c>
      <c r="J931">
        <f>IF($A931="","",IF($E931=1,$B931,""))</f>
        <v/>
      </c>
      <c r="K931">
        <f>IF($A931="","",IF(COUNTIF($B$2:$B931,$B931)=COUNTIF($B$2:$B$1601,$B931),$B931,""))</f>
        <v/>
      </c>
    </row>
    <row r="932">
      <c r="A932">
        <f>IF('TMP Paste'!$E932="","",'TMP Paste'!$E932)</f>
        <v/>
      </c>
      <c r="B932">
        <f>IF($A932="","",COUNTIF('TMP Paste'!$B$2:$B932,"?*"))</f>
        <v/>
      </c>
      <c r="C932">
        <f>IF($A932="","",IFERROR('TMP Paste'!$M932*1,0))</f>
        <v/>
      </c>
      <c r="D932">
        <f>IF($A932="","",SUMIF($B$2:$B932,$B932,$C$2:$C932))</f>
        <v/>
      </c>
      <c r="E932">
        <f>IF($A932="",0,IF('TMP Paste'!$B932="",0,1))</f>
        <v/>
      </c>
      <c r="F932">
        <f>IF(OR($A932="",$C932&lt;1),"",$A932&amp;"-"&amp;TEXT(($D932-$C932+1),"00")&amp;IF($C932&gt;=2,", "&amp;$A932&amp;"-"&amp;TEXT(($D932-$C932+1)+1,"00"),"")&amp;IF($C932&gt;=3,", "&amp;$A932&amp;"-"&amp;TEXT(($D932-$C932+1)+2,"00"),"")&amp;IF($C932&gt;=4,", "&amp;$A932&amp;"-"&amp;TEXT(($D932-$C932+1)+3,"00"),"")&amp;IF($C932&gt;=5,", "&amp;$A932&amp;"-"&amp;TEXT(($D932-$C932+1)+4,"00"),"")&amp;IF($C932&gt;=6,", "&amp;$A932&amp;"-"&amp;TEXT(($D932-$C932+1)+5,"00"),"")&amp;IF($C932&gt;=7,", "&amp;$A932&amp;"-"&amp;TEXT(($D932-$C932+1)+6,"00"),"")&amp;IF($C932&gt;=8,", "&amp;$A932&amp;"-"&amp;TEXT(($D932-$C932+1)+7,"00"),"")&amp;IF($C932&gt;=9,", "&amp;$A932&amp;"-"&amp;TEXT(($D932-$C932+1)+8,"00"),"")&amp;IF($C932&gt;=10,", "&amp;$A932&amp;"-"&amp;TEXT(($D932-$C932+1)+9,"00"),"")&amp;IF($C932&gt;=11,", "&amp;$A932&amp;"-"&amp;TEXT(($D932-$C932+1)+10,"00"),"")&amp;IF($C932&gt;=12,", "&amp;$A932&amp;"-"&amp;TEXT(($D932-$C932+1)+11,"00"),"")&amp;IF($C932&gt;=13,", "&amp;$A932&amp;"-"&amp;TEXT(($D932-$C932+1)+12,"00"),"")&amp;IF($C932&gt;=14,", "&amp;$A932&amp;"-"&amp;TEXT(($D932-$C932+1)+13,"00"),"")&amp;IF($C932&gt;=15,", "&amp;$A932&amp;"-"&amp;TEXT(($D932-$C932+1)+14,"00"),"")&amp;IF($C932&gt;=16,", "&amp;$A932&amp;"-"&amp;TEXT(($D932-$C932+1)+15,"00"),"")&amp;IF($C932&gt;=17,", "&amp;$A932&amp;"-"&amp;TEXT(($D932-$C932+1)+16,"00"),"")&amp;IF($C932&gt;=18,", "&amp;$A932&amp;"-"&amp;TEXT(($D932-$C932+1)+17,"00"),"")&amp;IF($C932&gt;=19,", "&amp;$A932&amp;"-"&amp;TEXT(($D932-$C932+1)+18,"00"),"")&amp;IF($C932&gt;=20,", "&amp;$A932&amp;"-"&amp;TEXT(($D932-$C932+1)+19,"00"),"")&amp;IF($C932&gt;=21,", "&amp;$A932&amp;"-"&amp;TEXT(($D932-$C932+1)+20,"00"),"")&amp;IF($C932&gt;=22,", "&amp;$A932&amp;"-"&amp;TEXT(($D932-$C932+1)+21,"00"),"")&amp;IF($C932&gt;=23,", "&amp;$A932&amp;"-"&amp;TEXT(($D932-$C932+1)+22,"00"),"")&amp;IF($C932&gt;=24,", "&amp;$A932&amp;"-"&amp;TEXT(($D932-$C932+1)+23,"00"),"")&amp;IF($C932&gt;=25,", "&amp;$A932&amp;"-"&amp;TEXT(($D932-$C932+1)+24,"00"),""))</f>
        <v/>
      </c>
      <c r="G932">
        <f>IF($A932="","",IF($E932=1,$F932,IF($F932="",$G931,IF($G931="",$F932,$G931&amp;", "&amp;$F932))))</f>
        <v/>
      </c>
      <c r="H932">
        <f>IF($A932="","",$A932&amp;" ("&amp;$C932&amp;")")</f>
        <v/>
      </c>
      <c r="I932">
        <f>IF($A932="","",IF($E932=1,$H932,$I931&amp;", "&amp;$H932))</f>
        <v/>
      </c>
      <c r="J932">
        <f>IF($A932="","",IF($E932=1,$B932,""))</f>
        <v/>
      </c>
      <c r="K932">
        <f>IF($A932="","",IF(COUNTIF($B$2:$B932,$B932)=COUNTIF($B$2:$B$1601,$B932),$B932,""))</f>
        <v/>
      </c>
    </row>
    <row r="933">
      <c r="A933">
        <f>IF('TMP Paste'!$E933="","",'TMP Paste'!$E933)</f>
        <v/>
      </c>
      <c r="B933">
        <f>IF($A933="","",COUNTIF('TMP Paste'!$B$2:$B933,"?*"))</f>
        <v/>
      </c>
      <c r="C933">
        <f>IF($A933="","",IFERROR('TMP Paste'!$M933*1,0))</f>
        <v/>
      </c>
      <c r="D933">
        <f>IF($A933="","",SUMIF($B$2:$B933,$B933,$C$2:$C933))</f>
        <v/>
      </c>
      <c r="E933">
        <f>IF($A933="",0,IF('TMP Paste'!$B933="",0,1))</f>
        <v/>
      </c>
      <c r="F933">
        <f>IF(OR($A933="",$C933&lt;1),"",$A933&amp;"-"&amp;TEXT(($D933-$C933+1),"00")&amp;IF($C933&gt;=2,", "&amp;$A933&amp;"-"&amp;TEXT(($D933-$C933+1)+1,"00"),"")&amp;IF($C933&gt;=3,", "&amp;$A933&amp;"-"&amp;TEXT(($D933-$C933+1)+2,"00"),"")&amp;IF($C933&gt;=4,", "&amp;$A933&amp;"-"&amp;TEXT(($D933-$C933+1)+3,"00"),"")&amp;IF($C933&gt;=5,", "&amp;$A933&amp;"-"&amp;TEXT(($D933-$C933+1)+4,"00"),"")&amp;IF($C933&gt;=6,", "&amp;$A933&amp;"-"&amp;TEXT(($D933-$C933+1)+5,"00"),"")&amp;IF($C933&gt;=7,", "&amp;$A933&amp;"-"&amp;TEXT(($D933-$C933+1)+6,"00"),"")&amp;IF($C933&gt;=8,", "&amp;$A933&amp;"-"&amp;TEXT(($D933-$C933+1)+7,"00"),"")&amp;IF($C933&gt;=9,", "&amp;$A933&amp;"-"&amp;TEXT(($D933-$C933+1)+8,"00"),"")&amp;IF($C933&gt;=10,", "&amp;$A933&amp;"-"&amp;TEXT(($D933-$C933+1)+9,"00"),"")&amp;IF($C933&gt;=11,", "&amp;$A933&amp;"-"&amp;TEXT(($D933-$C933+1)+10,"00"),"")&amp;IF($C933&gt;=12,", "&amp;$A933&amp;"-"&amp;TEXT(($D933-$C933+1)+11,"00"),"")&amp;IF($C933&gt;=13,", "&amp;$A933&amp;"-"&amp;TEXT(($D933-$C933+1)+12,"00"),"")&amp;IF($C933&gt;=14,", "&amp;$A933&amp;"-"&amp;TEXT(($D933-$C933+1)+13,"00"),"")&amp;IF($C933&gt;=15,", "&amp;$A933&amp;"-"&amp;TEXT(($D933-$C933+1)+14,"00"),"")&amp;IF($C933&gt;=16,", "&amp;$A933&amp;"-"&amp;TEXT(($D933-$C933+1)+15,"00"),"")&amp;IF($C933&gt;=17,", "&amp;$A933&amp;"-"&amp;TEXT(($D933-$C933+1)+16,"00"),"")&amp;IF($C933&gt;=18,", "&amp;$A933&amp;"-"&amp;TEXT(($D933-$C933+1)+17,"00"),"")&amp;IF($C933&gt;=19,", "&amp;$A933&amp;"-"&amp;TEXT(($D933-$C933+1)+18,"00"),"")&amp;IF($C933&gt;=20,", "&amp;$A933&amp;"-"&amp;TEXT(($D933-$C933+1)+19,"00"),"")&amp;IF($C933&gt;=21,", "&amp;$A933&amp;"-"&amp;TEXT(($D933-$C933+1)+20,"00"),"")&amp;IF($C933&gt;=22,", "&amp;$A933&amp;"-"&amp;TEXT(($D933-$C933+1)+21,"00"),"")&amp;IF($C933&gt;=23,", "&amp;$A933&amp;"-"&amp;TEXT(($D933-$C933+1)+22,"00"),"")&amp;IF($C933&gt;=24,", "&amp;$A933&amp;"-"&amp;TEXT(($D933-$C933+1)+23,"00"),"")&amp;IF($C933&gt;=25,", "&amp;$A933&amp;"-"&amp;TEXT(($D933-$C933+1)+24,"00"),""))</f>
        <v/>
      </c>
      <c r="G933">
        <f>IF($A933="","",IF($E933=1,$F933,IF($F933="",$G932,IF($G932="",$F933,$G932&amp;", "&amp;$F933))))</f>
        <v/>
      </c>
      <c r="H933">
        <f>IF($A933="","",$A933&amp;" ("&amp;$C933&amp;")")</f>
        <v/>
      </c>
      <c r="I933">
        <f>IF($A933="","",IF($E933=1,$H933,$I932&amp;", "&amp;$H933))</f>
        <v/>
      </c>
      <c r="J933">
        <f>IF($A933="","",IF($E933=1,$B933,""))</f>
        <v/>
      </c>
      <c r="K933">
        <f>IF($A933="","",IF(COUNTIF($B$2:$B933,$B933)=COUNTIF($B$2:$B$1601,$B933),$B933,""))</f>
        <v/>
      </c>
    </row>
    <row r="934">
      <c r="A934">
        <f>IF('TMP Paste'!$E934="","",'TMP Paste'!$E934)</f>
        <v/>
      </c>
      <c r="B934">
        <f>IF($A934="","",COUNTIF('TMP Paste'!$B$2:$B934,"?*"))</f>
        <v/>
      </c>
      <c r="C934">
        <f>IF($A934="","",IFERROR('TMP Paste'!$M934*1,0))</f>
        <v/>
      </c>
      <c r="D934">
        <f>IF($A934="","",SUMIF($B$2:$B934,$B934,$C$2:$C934))</f>
        <v/>
      </c>
      <c r="E934">
        <f>IF($A934="",0,IF('TMP Paste'!$B934="",0,1))</f>
        <v/>
      </c>
      <c r="F934">
        <f>IF(OR($A934="",$C934&lt;1),"",$A934&amp;"-"&amp;TEXT(($D934-$C934+1),"00")&amp;IF($C934&gt;=2,", "&amp;$A934&amp;"-"&amp;TEXT(($D934-$C934+1)+1,"00"),"")&amp;IF($C934&gt;=3,", "&amp;$A934&amp;"-"&amp;TEXT(($D934-$C934+1)+2,"00"),"")&amp;IF($C934&gt;=4,", "&amp;$A934&amp;"-"&amp;TEXT(($D934-$C934+1)+3,"00"),"")&amp;IF($C934&gt;=5,", "&amp;$A934&amp;"-"&amp;TEXT(($D934-$C934+1)+4,"00"),"")&amp;IF($C934&gt;=6,", "&amp;$A934&amp;"-"&amp;TEXT(($D934-$C934+1)+5,"00"),"")&amp;IF($C934&gt;=7,", "&amp;$A934&amp;"-"&amp;TEXT(($D934-$C934+1)+6,"00"),"")&amp;IF($C934&gt;=8,", "&amp;$A934&amp;"-"&amp;TEXT(($D934-$C934+1)+7,"00"),"")&amp;IF($C934&gt;=9,", "&amp;$A934&amp;"-"&amp;TEXT(($D934-$C934+1)+8,"00"),"")&amp;IF($C934&gt;=10,", "&amp;$A934&amp;"-"&amp;TEXT(($D934-$C934+1)+9,"00"),"")&amp;IF($C934&gt;=11,", "&amp;$A934&amp;"-"&amp;TEXT(($D934-$C934+1)+10,"00"),"")&amp;IF($C934&gt;=12,", "&amp;$A934&amp;"-"&amp;TEXT(($D934-$C934+1)+11,"00"),"")&amp;IF($C934&gt;=13,", "&amp;$A934&amp;"-"&amp;TEXT(($D934-$C934+1)+12,"00"),"")&amp;IF($C934&gt;=14,", "&amp;$A934&amp;"-"&amp;TEXT(($D934-$C934+1)+13,"00"),"")&amp;IF($C934&gt;=15,", "&amp;$A934&amp;"-"&amp;TEXT(($D934-$C934+1)+14,"00"),"")&amp;IF($C934&gt;=16,", "&amp;$A934&amp;"-"&amp;TEXT(($D934-$C934+1)+15,"00"),"")&amp;IF($C934&gt;=17,", "&amp;$A934&amp;"-"&amp;TEXT(($D934-$C934+1)+16,"00"),"")&amp;IF($C934&gt;=18,", "&amp;$A934&amp;"-"&amp;TEXT(($D934-$C934+1)+17,"00"),"")&amp;IF($C934&gt;=19,", "&amp;$A934&amp;"-"&amp;TEXT(($D934-$C934+1)+18,"00"),"")&amp;IF($C934&gt;=20,", "&amp;$A934&amp;"-"&amp;TEXT(($D934-$C934+1)+19,"00"),"")&amp;IF($C934&gt;=21,", "&amp;$A934&amp;"-"&amp;TEXT(($D934-$C934+1)+20,"00"),"")&amp;IF($C934&gt;=22,", "&amp;$A934&amp;"-"&amp;TEXT(($D934-$C934+1)+21,"00"),"")&amp;IF($C934&gt;=23,", "&amp;$A934&amp;"-"&amp;TEXT(($D934-$C934+1)+22,"00"),"")&amp;IF($C934&gt;=24,", "&amp;$A934&amp;"-"&amp;TEXT(($D934-$C934+1)+23,"00"),"")&amp;IF($C934&gt;=25,", "&amp;$A934&amp;"-"&amp;TEXT(($D934-$C934+1)+24,"00"),""))</f>
        <v/>
      </c>
      <c r="G934">
        <f>IF($A934="","",IF($E934=1,$F934,IF($F934="",$G933,IF($G933="",$F934,$G933&amp;", "&amp;$F934))))</f>
        <v/>
      </c>
      <c r="H934">
        <f>IF($A934="","",$A934&amp;" ("&amp;$C934&amp;")")</f>
        <v/>
      </c>
      <c r="I934">
        <f>IF($A934="","",IF($E934=1,$H934,$I933&amp;", "&amp;$H934))</f>
        <v/>
      </c>
      <c r="J934">
        <f>IF($A934="","",IF($E934=1,$B934,""))</f>
        <v/>
      </c>
      <c r="K934">
        <f>IF($A934="","",IF(COUNTIF($B$2:$B934,$B934)=COUNTIF($B$2:$B$1601,$B934),$B934,""))</f>
        <v/>
      </c>
    </row>
    <row r="935">
      <c r="A935">
        <f>IF('TMP Paste'!$E935="","",'TMP Paste'!$E935)</f>
        <v/>
      </c>
      <c r="B935">
        <f>IF($A935="","",COUNTIF('TMP Paste'!$B$2:$B935,"?*"))</f>
        <v/>
      </c>
      <c r="C935">
        <f>IF($A935="","",IFERROR('TMP Paste'!$M935*1,0))</f>
        <v/>
      </c>
      <c r="D935">
        <f>IF($A935="","",SUMIF($B$2:$B935,$B935,$C$2:$C935))</f>
        <v/>
      </c>
      <c r="E935">
        <f>IF($A935="",0,IF('TMP Paste'!$B935="",0,1))</f>
        <v/>
      </c>
      <c r="F935">
        <f>IF(OR($A935="",$C935&lt;1),"",$A935&amp;"-"&amp;TEXT(($D935-$C935+1),"00")&amp;IF($C935&gt;=2,", "&amp;$A935&amp;"-"&amp;TEXT(($D935-$C935+1)+1,"00"),"")&amp;IF($C935&gt;=3,", "&amp;$A935&amp;"-"&amp;TEXT(($D935-$C935+1)+2,"00"),"")&amp;IF($C935&gt;=4,", "&amp;$A935&amp;"-"&amp;TEXT(($D935-$C935+1)+3,"00"),"")&amp;IF($C935&gt;=5,", "&amp;$A935&amp;"-"&amp;TEXT(($D935-$C935+1)+4,"00"),"")&amp;IF($C935&gt;=6,", "&amp;$A935&amp;"-"&amp;TEXT(($D935-$C935+1)+5,"00"),"")&amp;IF($C935&gt;=7,", "&amp;$A935&amp;"-"&amp;TEXT(($D935-$C935+1)+6,"00"),"")&amp;IF($C935&gt;=8,", "&amp;$A935&amp;"-"&amp;TEXT(($D935-$C935+1)+7,"00"),"")&amp;IF($C935&gt;=9,", "&amp;$A935&amp;"-"&amp;TEXT(($D935-$C935+1)+8,"00"),"")&amp;IF($C935&gt;=10,", "&amp;$A935&amp;"-"&amp;TEXT(($D935-$C935+1)+9,"00"),"")&amp;IF($C935&gt;=11,", "&amp;$A935&amp;"-"&amp;TEXT(($D935-$C935+1)+10,"00"),"")&amp;IF($C935&gt;=12,", "&amp;$A935&amp;"-"&amp;TEXT(($D935-$C935+1)+11,"00"),"")&amp;IF($C935&gt;=13,", "&amp;$A935&amp;"-"&amp;TEXT(($D935-$C935+1)+12,"00"),"")&amp;IF($C935&gt;=14,", "&amp;$A935&amp;"-"&amp;TEXT(($D935-$C935+1)+13,"00"),"")&amp;IF($C935&gt;=15,", "&amp;$A935&amp;"-"&amp;TEXT(($D935-$C935+1)+14,"00"),"")&amp;IF($C935&gt;=16,", "&amp;$A935&amp;"-"&amp;TEXT(($D935-$C935+1)+15,"00"),"")&amp;IF($C935&gt;=17,", "&amp;$A935&amp;"-"&amp;TEXT(($D935-$C935+1)+16,"00"),"")&amp;IF($C935&gt;=18,", "&amp;$A935&amp;"-"&amp;TEXT(($D935-$C935+1)+17,"00"),"")&amp;IF($C935&gt;=19,", "&amp;$A935&amp;"-"&amp;TEXT(($D935-$C935+1)+18,"00"),"")&amp;IF($C935&gt;=20,", "&amp;$A935&amp;"-"&amp;TEXT(($D935-$C935+1)+19,"00"),"")&amp;IF($C935&gt;=21,", "&amp;$A935&amp;"-"&amp;TEXT(($D935-$C935+1)+20,"00"),"")&amp;IF($C935&gt;=22,", "&amp;$A935&amp;"-"&amp;TEXT(($D935-$C935+1)+21,"00"),"")&amp;IF($C935&gt;=23,", "&amp;$A935&amp;"-"&amp;TEXT(($D935-$C935+1)+22,"00"),"")&amp;IF($C935&gt;=24,", "&amp;$A935&amp;"-"&amp;TEXT(($D935-$C935+1)+23,"00"),"")&amp;IF($C935&gt;=25,", "&amp;$A935&amp;"-"&amp;TEXT(($D935-$C935+1)+24,"00"),""))</f>
        <v/>
      </c>
      <c r="G935">
        <f>IF($A935="","",IF($E935=1,$F935,IF($F935="",$G934,IF($G934="",$F935,$G934&amp;", "&amp;$F935))))</f>
        <v/>
      </c>
      <c r="H935">
        <f>IF($A935="","",$A935&amp;" ("&amp;$C935&amp;")")</f>
        <v/>
      </c>
      <c r="I935">
        <f>IF($A935="","",IF($E935=1,$H935,$I934&amp;", "&amp;$H935))</f>
        <v/>
      </c>
      <c r="J935">
        <f>IF($A935="","",IF($E935=1,$B935,""))</f>
        <v/>
      </c>
      <c r="K935">
        <f>IF($A935="","",IF(COUNTIF($B$2:$B935,$B935)=COUNTIF($B$2:$B$1601,$B935),$B935,""))</f>
        <v/>
      </c>
    </row>
    <row r="936">
      <c r="A936">
        <f>IF('TMP Paste'!$E936="","",'TMP Paste'!$E936)</f>
        <v/>
      </c>
      <c r="B936">
        <f>IF($A936="","",COUNTIF('TMP Paste'!$B$2:$B936,"?*"))</f>
        <v/>
      </c>
      <c r="C936">
        <f>IF($A936="","",IFERROR('TMP Paste'!$M936*1,0))</f>
        <v/>
      </c>
      <c r="D936">
        <f>IF($A936="","",SUMIF($B$2:$B936,$B936,$C$2:$C936))</f>
        <v/>
      </c>
      <c r="E936">
        <f>IF($A936="",0,IF('TMP Paste'!$B936="",0,1))</f>
        <v/>
      </c>
      <c r="F936">
        <f>IF(OR($A936="",$C936&lt;1),"",$A936&amp;"-"&amp;TEXT(($D936-$C936+1),"00")&amp;IF($C936&gt;=2,", "&amp;$A936&amp;"-"&amp;TEXT(($D936-$C936+1)+1,"00"),"")&amp;IF($C936&gt;=3,", "&amp;$A936&amp;"-"&amp;TEXT(($D936-$C936+1)+2,"00"),"")&amp;IF($C936&gt;=4,", "&amp;$A936&amp;"-"&amp;TEXT(($D936-$C936+1)+3,"00"),"")&amp;IF($C936&gt;=5,", "&amp;$A936&amp;"-"&amp;TEXT(($D936-$C936+1)+4,"00"),"")&amp;IF($C936&gt;=6,", "&amp;$A936&amp;"-"&amp;TEXT(($D936-$C936+1)+5,"00"),"")&amp;IF($C936&gt;=7,", "&amp;$A936&amp;"-"&amp;TEXT(($D936-$C936+1)+6,"00"),"")&amp;IF($C936&gt;=8,", "&amp;$A936&amp;"-"&amp;TEXT(($D936-$C936+1)+7,"00"),"")&amp;IF($C936&gt;=9,", "&amp;$A936&amp;"-"&amp;TEXT(($D936-$C936+1)+8,"00"),"")&amp;IF($C936&gt;=10,", "&amp;$A936&amp;"-"&amp;TEXT(($D936-$C936+1)+9,"00"),"")&amp;IF($C936&gt;=11,", "&amp;$A936&amp;"-"&amp;TEXT(($D936-$C936+1)+10,"00"),"")&amp;IF($C936&gt;=12,", "&amp;$A936&amp;"-"&amp;TEXT(($D936-$C936+1)+11,"00"),"")&amp;IF($C936&gt;=13,", "&amp;$A936&amp;"-"&amp;TEXT(($D936-$C936+1)+12,"00"),"")&amp;IF($C936&gt;=14,", "&amp;$A936&amp;"-"&amp;TEXT(($D936-$C936+1)+13,"00"),"")&amp;IF($C936&gt;=15,", "&amp;$A936&amp;"-"&amp;TEXT(($D936-$C936+1)+14,"00"),"")&amp;IF($C936&gt;=16,", "&amp;$A936&amp;"-"&amp;TEXT(($D936-$C936+1)+15,"00"),"")&amp;IF($C936&gt;=17,", "&amp;$A936&amp;"-"&amp;TEXT(($D936-$C936+1)+16,"00"),"")&amp;IF($C936&gt;=18,", "&amp;$A936&amp;"-"&amp;TEXT(($D936-$C936+1)+17,"00"),"")&amp;IF($C936&gt;=19,", "&amp;$A936&amp;"-"&amp;TEXT(($D936-$C936+1)+18,"00"),"")&amp;IF($C936&gt;=20,", "&amp;$A936&amp;"-"&amp;TEXT(($D936-$C936+1)+19,"00"),"")&amp;IF($C936&gt;=21,", "&amp;$A936&amp;"-"&amp;TEXT(($D936-$C936+1)+20,"00"),"")&amp;IF($C936&gt;=22,", "&amp;$A936&amp;"-"&amp;TEXT(($D936-$C936+1)+21,"00"),"")&amp;IF($C936&gt;=23,", "&amp;$A936&amp;"-"&amp;TEXT(($D936-$C936+1)+22,"00"),"")&amp;IF($C936&gt;=24,", "&amp;$A936&amp;"-"&amp;TEXT(($D936-$C936+1)+23,"00"),"")&amp;IF($C936&gt;=25,", "&amp;$A936&amp;"-"&amp;TEXT(($D936-$C936+1)+24,"00"),""))</f>
        <v/>
      </c>
      <c r="G936">
        <f>IF($A936="","",IF($E936=1,$F936,IF($F936="",$G935,IF($G935="",$F936,$G935&amp;", "&amp;$F936))))</f>
        <v/>
      </c>
      <c r="H936">
        <f>IF($A936="","",$A936&amp;" ("&amp;$C936&amp;")")</f>
        <v/>
      </c>
      <c r="I936">
        <f>IF($A936="","",IF($E936=1,$H936,$I935&amp;", "&amp;$H936))</f>
        <v/>
      </c>
      <c r="J936">
        <f>IF($A936="","",IF($E936=1,$B936,""))</f>
        <v/>
      </c>
      <c r="K936">
        <f>IF($A936="","",IF(COUNTIF($B$2:$B936,$B936)=COUNTIF($B$2:$B$1601,$B936),$B936,""))</f>
        <v/>
      </c>
    </row>
    <row r="937">
      <c r="A937">
        <f>IF('TMP Paste'!$E937="","",'TMP Paste'!$E937)</f>
        <v/>
      </c>
      <c r="B937">
        <f>IF($A937="","",COUNTIF('TMP Paste'!$B$2:$B937,"?*"))</f>
        <v/>
      </c>
      <c r="C937">
        <f>IF($A937="","",IFERROR('TMP Paste'!$M937*1,0))</f>
        <v/>
      </c>
      <c r="D937">
        <f>IF($A937="","",SUMIF($B$2:$B937,$B937,$C$2:$C937))</f>
        <v/>
      </c>
      <c r="E937">
        <f>IF($A937="",0,IF('TMP Paste'!$B937="",0,1))</f>
        <v/>
      </c>
      <c r="F937">
        <f>IF(OR($A937="",$C937&lt;1),"",$A937&amp;"-"&amp;TEXT(($D937-$C937+1),"00")&amp;IF($C937&gt;=2,", "&amp;$A937&amp;"-"&amp;TEXT(($D937-$C937+1)+1,"00"),"")&amp;IF($C937&gt;=3,", "&amp;$A937&amp;"-"&amp;TEXT(($D937-$C937+1)+2,"00"),"")&amp;IF($C937&gt;=4,", "&amp;$A937&amp;"-"&amp;TEXT(($D937-$C937+1)+3,"00"),"")&amp;IF($C937&gt;=5,", "&amp;$A937&amp;"-"&amp;TEXT(($D937-$C937+1)+4,"00"),"")&amp;IF($C937&gt;=6,", "&amp;$A937&amp;"-"&amp;TEXT(($D937-$C937+1)+5,"00"),"")&amp;IF($C937&gt;=7,", "&amp;$A937&amp;"-"&amp;TEXT(($D937-$C937+1)+6,"00"),"")&amp;IF($C937&gt;=8,", "&amp;$A937&amp;"-"&amp;TEXT(($D937-$C937+1)+7,"00"),"")&amp;IF($C937&gt;=9,", "&amp;$A937&amp;"-"&amp;TEXT(($D937-$C937+1)+8,"00"),"")&amp;IF($C937&gt;=10,", "&amp;$A937&amp;"-"&amp;TEXT(($D937-$C937+1)+9,"00"),"")&amp;IF($C937&gt;=11,", "&amp;$A937&amp;"-"&amp;TEXT(($D937-$C937+1)+10,"00"),"")&amp;IF($C937&gt;=12,", "&amp;$A937&amp;"-"&amp;TEXT(($D937-$C937+1)+11,"00"),"")&amp;IF($C937&gt;=13,", "&amp;$A937&amp;"-"&amp;TEXT(($D937-$C937+1)+12,"00"),"")&amp;IF($C937&gt;=14,", "&amp;$A937&amp;"-"&amp;TEXT(($D937-$C937+1)+13,"00"),"")&amp;IF($C937&gt;=15,", "&amp;$A937&amp;"-"&amp;TEXT(($D937-$C937+1)+14,"00"),"")&amp;IF($C937&gt;=16,", "&amp;$A937&amp;"-"&amp;TEXT(($D937-$C937+1)+15,"00"),"")&amp;IF($C937&gt;=17,", "&amp;$A937&amp;"-"&amp;TEXT(($D937-$C937+1)+16,"00"),"")&amp;IF($C937&gt;=18,", "&amp;$A937&amp;"-"&amp;TEXT(($D937-$C937+1)+17,"00"),"")&amp;IF($C937&gt;=19,", "&amp;$A937&amp;"-"&amp;TEXT(($D937-$C937+1)+18,"00"),"")&amp;IF($C937&gt;=20,", "&amp;$A937&amp;"-"&amp;TEXT(($D937-$C937+1)+19,"00"),"")&amp;IF($C937&gt;=21,", "&amp;$A937&amp;"-"&amp;TEXT(($D937-$C937+1)+20,"00"),"")&amp;IF($C937&gt;=22,", "&amp;$A937&amp;"-"&amp;TEXT(($D937-$C937+1)+21,"00"),"")&amp;IF($C937&gt;=23,", "&amp;$A937&amp;"-"&amp;TEXT(($D937-$C937+1)+22,"00"),"")&amp;IF($C937&gt;=24,", "&amp;$A937&amp;"-"&amp;TEXT(($D937-$C937+1)+23,"00"),"")&amp;IF($C937&gt;=25,", "&amp;$A937&amp;"-"&amp;TEXT(($D937-$C937+1)+24,"00"),""))</f>
        <v/>
      </c>
      <c r="G937">
        <f>IF($A937="","",IF($E937=1,$F937,IF($F937="",$G936,IF($G936="",$F937,$G936&amp;", "&amp;$F937))))</f>
        <v/>
      </c>
      <c r="H937">
        <f>IF($A937="","",$A937&amp;" ("&amp;$C937&amp;")")</f>
        <v/>
      </c>
      <c r="I937">
        <f>IF($A937="","",IF($E937=1,$H937,$I936&amp;", "&amp;$H937))</f>
        <v/>
      </c>
      <c r="J937">
        <f>IF($A937="","",IF($E937=1,$B937,""))</f>
        <v/>
      </c>
      <c r="K937">
        <f>IF($A937="","",IF(COUNTIF($B$2:$B937,$B937)=COUNTIF($B$2:$B$1601,$B937),$B937,""))</f>
        <v/>
      </c>
    </row>
    <row r="938">
      <c r="A938">
        <f>IF('TMP Paste'!$E938="","",'TMP Paste'!$E938)</f>
        <v/>
      </c>
      <c r="B938">
        <f>IF($A938="","",COUNTIF('TMP Paste'!$B$2:$B938,"?*"))</f>
        <v/>
      </c>
      <c r="C938">
        <f>IF($A938="","",IFERROR('TMP Paste'!$M938*1,0))</f>
        <v/>
      </c>
      <c r="D938">
        <f>IF($A938="","",SUMIF($B$2:$B938,$B938,$C$2:$C938))</f>
        <v/>
      </c>
      <c r="E938">
        <f>IF($A938="",0,IF('TMP Paste'!$B938="",0,1))</f>
        <v/>
      </c>
      <c r="F938">
        <f>IF(OR($A938="",$C938&lt;1),"",$A938&amp;"-"&amp;TEXT(($D938-$C938+1),"00")&amp;IF($C938&gt;=2,", "&amp;$A938&amp;"-"&amp;TEXT(($D938-$C938+1)+1,"00"),"")&amp;IF($C938&gt;=3,", "&amp;$A938&amp;"-"&amp;TEXT(($D938-$C938+1)+2,"00"),"")&amp;IF($C938&gt;=4,", "&amp;$A938&amp;"-"&amp;TEXT(($D938-$C938+1)+3,"00"),"")&amp;IF($C938&gt;=5,", "&amp;$A938&amp;"-"&amp;TEXT(($D938-$C938+1)+4,"00"),"")&amp;IF($C938&gt;=6,", "&amp;$A938&amp;"-"&amp;TEXT(($D938-$C938+1)+5,"00"),"")&amp;IF($C938&gt;=7,", "&amp;$A938&amp;"-"&amp;TEXT(($D938-$C938+1)+6,"00"),"")&amp;IF($C938&gt;=8,", "&amp;$A938&amp;"-"&amp;TEXT(($D938-$C938+1)+7,"00"),"")&amp;IF($C938&gt;=9,", "&amp;$A938&amp;"-"&amp;TEXT(($D938-$C938+1)+8,"00"),"")&amp;IF($C938&gt;=10,", "&amp;$A938&amp;"-"&amp;TEXT(($D938-$C938+1)+9,"00"),"")&amp;IF($C938&gt;=11,", "&amp;$A938&amp;"-"&amp;TEXT(($D938-$C938+1)+10,"00"),"")&amp;IF($C938&gt;=12,", "&amp;$A938&amp;"-"&amp;TEXT(($D938-$C938+1)+11,"00"),"")&amp;IF($C938&gt;=13,", "&amp;$A938&amp;"-"&amp;TEXT(($D938-$C938+1)+12,"00"),"")&amp;IF($C938&gt;=14,", "&amp;$A938&amp;"-"&amp;TEXT(($D938-$C938+1)+13,"00"),"")&amp;IF($C938&gt;=15,", "&amp;$A938&amp;"-"&amp;TEXT(($D938-$C938+1)+14,"00"),"")&amp;IF($C938&gt;=16,", "&amp;$A938&amp;"-"&amp;TEXT(($D938-$C938+1)+15,"00"),"")&amp;IF($C938&gt;=17,", "&amp;$A938&amp;"-"&amp;TEXT(($D938-$C938+1)+16,"00"),"")&amp;IF($C938&gt;=18,", "&amp;$A938&amp;"-"&amp;TEXT(($D938-$C938+1)+17,"00"),"")&amp;IF($C938&gt;=19,", "&amp;$A938&amp;"-"&amp;TEXT(($D938-$C938+1)+18,"00"),"")&amp;IF($C938&gt;=20,", "&amp;$A938&amp;"-"&amp;TEXT(($D938-$C938+1)+19,"00"),"")&amp;IF($C938&gt;=21,", "&amp;$A938&amp;"-"&amp;TEXT(($D938-$C938+1)+20,"00"),"")&amp;IF($C938&gt;=22,", "&amp;$A938&amp;"-"&amp;TEXT(($D938-$C938+1)+21,"00"),"")&amp;IF($C938&gt;=23,", "&amp;$A938&amp;"-"&amp;TEXT(($D938-$C938+1)+22,"00"),"")&amp;IF($C938&gt;=24,", "&amp;$A938&amp;"-"&amp;TEXT(($D938-$C938+1)+23,"00"),"")&amp;IF($C938&gt;=25,", "&amp;$A938&amp;"-"&amp;TEXT(($D938-$C938+1)+24,"00"),""))</f>
        <v/>
      </c>
      <c r="G938">
        <f>IF($A938="","",IF($E938=1,$F938,IF($F938="",$G937,IF($G937="",$F938,$G937&amp;", "&amp;$F938))))</f>
        <v/>
      </c>
      <c r="H938">
        <f>IF($A938="","",$A938&amp;" ("&amp;$C938&amp;")")</f>
        <v/>
      </c>
      <c r="I938">
        <f>IF($A938="","",IF($E938=1,$H938,$I937&amp;", "&amp;$H938))</f>
        <v/>
      </c>
      <c r="J938">
        <f>IF($A938="","",IF($E938=1,$B938,""))</f>
        <v/>
      </c>
      <c r="K938">
        <f>IF($A938="","",IF(COUNTIF($B$2:$B938,$B938)=COUNTIF($B$2:$B$1601,$B938),$B938,""))</f>
        <v/>
      </c>
    </row>
    <row r="939">
      <c r="A939">
        <f>IF('TMP Paste'!$E939="","",'TMP Paste'!$E939)</f>
        <v/>
      </c>
      <c r="B939">
        <f>IF($A939="","",COUNTIF('TMP Paste'!$B$2:$B939,"?*"))</f>
        <v/>
      </c>
      <c r="C939">
        <f>IF($A939="","",IFERROR('TMP Paste'!$M939*1,0))</f>
        <v/>
      </c>
      <c r="D939">
        <f>IF($A939="","",SUMIF($B$2:$B939,$B939,$C$2:$C939))</f>
        <v/>
      </c>
      <c r="E939">
        <f>IF($A939="",0,IF('TMP Paste'!$B939="",0,1))</f>
        <v/>
      </c>
      <c r="F939">
        <f>IF(OR($A939="",$C939&lt;1),"",$A939&amp;"-"&amp;TEXT(($D939-$C939+1),"00")&amp;IF($C939&gt;=2,", "&amp;$A939&amp;"-"&amp;TEXT(($D939-$C939+1)+1,"00"),"")&amp;IF($C939&gt;=3,", "&amp;$A939&amp;"-"&amp;TEXT(($D939-$C939+1)+2,"00"),"")&amp;IF($C939&gt;=4,", "&amp;$A939&amp;"-"&amp;TEXT(($D939-$C939+1)+3,"00"),"")&amp;IF($C939&gt;=5,", "&amp;$A939&amp;"-"&amp;TEXT(($D939-$C939+1)+4,"00"),"")&amp;IF($C939&gt;=6,", "&amp;$A939&amp;"-"&amp;TEXT(($D939-$C939+1)+5,"00"),"")&amp;IF($C939&gt;=7,", "&amp;$A939&amp;"-"&amp;TEXT(($D939-$C939+1)+6,"00"),"")&amp;IF($C939&gt;=8,", "&amp;$A939&amp;"-"&amp;TEXT(($D939-$C939+1)+7,"00"),"")&amp;IF($C939&gt;=9,", "&amp;$A939&amp;"-"&amp;TEXT(($D939-$C939+1)+8,"00"),"")&amp;IF($C939&gt;=10,", "&amp;$A939&amp;"-"&amp;TEXT(($D939-$C939+1)+9,"00"),"")&amp;IF($C939&gt;=11,", "&amp;$A939&amp;"-"&amp;TEXT(($D939-$C939+1)+10,"00"),"")&amp;IF($C939&gt;=12,", "&amp;$A939&amp;"-"&amp;TEXT(($D939-$C939+1)+11,"00"),"")&amp;IF($C939&gt;=13,", "&amp;$A939&amp;"-"&amp;TEXT(($D939-$C939+1)+12,"00"),"")&amp;IF($C939&gt;=14,", "&amp;$A939&amp;"-"&amp;TEXT(($D939-$C939+1)+13,"00"),"")&amp;IF($C939&gt;=15,", "&amp;$A939&amp;"-"&amp;TEXT(($D939-$C939+1)+14,"00"),"")&amp;IF($C939&gt;=16,", "&amp;$A939&amp;"-"&amp;TEXT(($D939-$C939+1)+15,"00"),"")&amp;IF($C939&gt;=17,", "&amp;$A939&amp;"-"&amp;TEXT(($D939-$C939+1)+16,"00"),"")&amp;IF($C939&gt;=18,", "&amp;$A939&amp;"-"&amp;TEXT(($D939-$C939+1)+17,"00"),"")&amp;IF($C939&gt;=19,", "&amp;$A939&amp;"-"&amp;TEXT(($D939-$C939+1)+18,"00"),"")&amp;IF($C939&gt;=20,", "&amp;$A939&amp;"-"&amp;TEXT(($D939-$C939+1)+19,"00"),"")&amp;IF($C939&gt;=21,", "&amp;$A939&amp;"-"&amp;TEXT(($D939-$C939+1)+20,"00"),"")&amp;IF($C939&gt;=22,", "&amp;$A939&amp;"-"&amp;TEXT(($D939-$C939+1)+21,"00"),"")&amp;IF($C939&gt;=23,", "&amp;$A939&amp;"-"&amp;TEXT(($D939-$C939+1)+22,"00"),"")&amp;IF($C939&gt;=24,", "&amp;$A939&amp;"-"&amp;TEXT(($D939-$C939+1)+23,"00"),"")&amp;IF($C939&gt;=25,", "&amp;$A939&amp;"-"&amp;TEXT(($D939-$C939+1)+24,"00"),""))</f>
        <v/>
      </c>
      <c r="G939">
        <f>IF($A939="","",IF($E939=1,$F939,IF($F939="",$G938,IF($G938="",$F939,$G938&amp;", "&amp;$F939))))</f>
        <v/>
      </c>
      <c r="H939">
        <f>IF($A939="","",$A939&amp;" ("&amp;$C939&amp;")")</f>
        <v/>
      </c>
      <c r="I939">
        <f>IF($A939="","",IF($E939=1,$H939,$I938&amp;", "&amp;$H939))</f>
        <v/>
      </c>
      <c r="J939">
        <f>IF($A939="","",IF($E939=1,$B939,""))</f>
        <v/>
      </c>
      <c r="K939">
        <f>IF($A939="","",IF(COUNTIF($B$2:$B939,$B939)=COUNTIF($B$2:$B$1601,$B939),$B939,""))</f>
        <v/>
      </c>
    </row>
    <row r="940">
      <c r="A940">
        <f>IF('TMP Paste'!$E940="","",'TMP Paste'!$E940)</f>
        <v/>
      </c>
      <c r="B940">
        <f>IF($A940="","",COUNTIF('TMP Paste'!$B$2:$B940,"?*"))</f>
        <v/>
      </c>
      <c r="C940">
        <f>IF($A940="","",IFERROR('TMP Paste'!$M940*1,0))</f>
        <v/>
      </c>
      <c r="D940">
        <f>IF($A940="","",SUMIF($B$2:$B940,$B940,$C$2:$C940))</f>
        <v/>
      </c>
      <c r="E940">
        <f>IF($A940="",0,IF('TMP Paste'!$B940="",0,1))</f>
        <v/>
      </c>
      <c r="F940">
        <f>IF(OR($A940="",$C940&lt;1),"",$A940&amp;"-"&amp;TEXT(($D940-$C940+1),"00")&amp;IF($C940&gt;=2,", "&amp;$A940&amp;"-"&amp;TEXT(($D940-$C940+1)+1,"00"),"")&amp;IF($C940&gt;=3,", "&amp;$A940&amp;"-"&amp;TEXT(($D940-$C940+1)+2,"00"),"")&amp;IF($C940&gt;=4,", "&amp;$A940&amp;"-"&amp;TEXT(($D940-$C940+1)+3,"00"),"")&amp;IF($C940&gt;=5,", "&amp;$A940&amp;"-"&amp;TEXT(($D940-$C940+1)+4,"00"),"")&amp;IF($C940&gt;=6,", "&amp;$A940&amp;"-"&amp;TEXT(($D940-$C940+1)+5,"00"),"")&amp;IF($C940&gt;=7,", "&amp;$A940&amp;"-"&amp;TEXT(($D940-$C940+1)+6,"00"),"")&amp;IF($C940&gt;=8,", "&amp;$A940&amp;"-"&amp;TEXT(($D940-$C940+1)+7,"00"),"")&amp;IF($C940&gt;=9,", "&amp;$A940&amp;"-"&amp;TEXT(($D940-$C940+1)+8,"00"),"")&amp;IF($C940&gt;=10,", "&amp;$A940&amp;"-"&amp;TEXT(($D940-$C940+1)+9,"00"),"")&amp;IF($C940&gt;=11,", "&amp;$A940&amp;"-"&amp;TEXT(($D940-$C940+1)+10,"00"),"")&amp;IF($C940&gt;=12,", "&amp;$A940&amp;"-"&amp;TEXT(($D940-$C940+1)+11,"00"),"")&amp;IF($C940&gt;=13,", "&amp;$A940&amp;"-"&amp;TEXT(($D940-$C940+1)+12,"00"),"")&amp;IF($C940&gt;=14,", "&amp;$A940&amp;"-"&amp;TEXT(($D940-$C940+1)+13,"00"),"")&amp;IF($C940&gt;=15,", "&amp;$A940&amp;"-"&amp;TEXT(($D940-$C940+1)+14,"00"),"")&amp;IF($C940&gt;=16,", "&amp;$A940&amp;"-"&amp;TEXT(($D940-$C940+1)+15,"00"),"")&amp;IF($C940&gt;=17,", "&amp;$A940&amp;"-"&amp;TEXT(($D940-$C940+1)+16,"00"),"")&amp;IF($C940&gt;=18,", "&amp;$A940&amp;"-"&amp;TEXT(($D940-$C940+1)+17,"00"),"")&amp;IF($C940&gt;=19,", "&amp;$A940&amp;"-"&amp;TEXT(($D940-$C940+1)+18,"00"),"")&amp;IF($C940&gt;=20,", "&amp;$A940&amp;"-"&amp;TEXT(($D940-$C940+1)+19,"00"),"")&amp;IF($C940&gt;=21,", "&amp;$A940&amp;"-"&amp;TEXT(($D940-$C940+1)+20,"00"),"")&amp;IF($C940&gt;=22,", "&amp;$A940&amp;"-"&amp;TEXT(($D940-$C940+1)+21,"00"),"")&amp;IF($C940&gt;=23,", "&amp;$A940&amp;"-"&amp;TEXT(($D940-$C940+1)+22,"00"),"")&amp;IF($C940&gt;=24,", "&amp;$A940&amp;"-"&amp;TEXT(($D940-$C940+1)+23,"00"),"")&amp;IF($C940&gt;=25,", "&amp;$A940&amp;"-"&amp;TEXT(($D940-$C940+1)+24,"00"),""))</f>
        <v/>
      </c>
      <c r="G940">
        <f>IF($A940="","",IF($E940=1,$F940,IF($F940="",$G939,IF($G939="",$F940,$G939&amp;", "&amp;$F940))))</f>
        <v/>
      </c>
      <c r="H940">
        <f>IF($A940="","",$A940&amp;" ("&amp;$C940&amp;")")</f>
        <v/>
      </c>
      <c r="I940">
        <f>IF($A940="","",IF($E940=1,$H940,$I939&amp;", "&amp;$H940))</f>
        <v/>
      </c>
      <c r="J940">
        <f>IF($A940="","",IF($E940=1,$B940,""))</f>
        <v/>
      </c>
      <c r="K940">
        <f>IF($A940="","",IF(COUNTIF($B$2:$B940,$B940)=COUNTIF($B$2:$B$1601,$B940),$B940,""))</f>
        <v/>
      </c>
    </row>
    <row r="941">
      <c r="A941">
        <f>IF('TMP Paste'!$E941="","",'TMP Paste'!$E941)</f>
        <v/>
      </c>
      <c r="B941">
        <f>IF($A941="","",COUNTIF('TMP Paste'!$B$2:$B941,"?*"))</f>
        <v/>
      </c>
      <c r="C941">
        <f>IF($A941="","",IFERROR('TMP Paste'!$M941*1,0))</f>
        <v/>
      </c>
      <c r="D941">
        <f>IF($A941="","",SUMIF($B$2:$B941,$B941,$C$2:$C941))</f>
        <v/>
      </c>
      <c r="E941">
        <f>IF($A941="",0,IF('TMP Paste'!$B941="",0,1))</f>
        <v/>
      </c>
      <c r="F941">
        <f>IF(OR($A941="",$C941&lt;1),"",$A941&amp;"-"&amp;TEXT(($D941-$C941+1),"00")&amp;IF($C941&gt;=2,", "&amp;$A941&amp;"-"&amp;TEXT(($D941-$C941+1)+1,"00"),"")&amp;IF($C941&gt;=3,", "&amp;$A941&amp;"-"&amp;TEXT(($D941-$C941+1)+2,"00"),"")&amp;IF($C941&gt;=4,", "&amp;$A941&amp;"-"&amp;TEXT(($D941-$C941+1)+3,"00"),"")&amp;IF($C941&gt;=5,", "&amp;$A941&amp;"-"&amp;TEXT(($D941-$C941+1)+4,"00"),"")&amp;IF($C941&gt;=6,", "&amp;$A941&amp;"-"&amp;TEXT(($D941-$C941+1)+5,"00"),"")&amp;IF($C941&gt;=7,", "&amp;$A941&amp;"-"&amp;TEXT(($D941-$C941+1)+6,"00"),"")&amp;IF($C941&gt;=8,", "&amp;$A941&amp;"-"&amp;TEXT(($D941-$C941+1)+7,"00"),"")&amp;IF($C941&gt;=9,", "&amp;$A941&amp;"-"&amp;TEXT(($D941-$C941+1)+8,"00"),"")&amp;IF($C941&gt;=10,", "&amp;$A941&amp;"-"&amp;TEXT(($D941-$C941+1)+9,"00"),"")&amp;IF($C941&gt;=11,", "&amp;$A941&amp;"-"&amp;TEXT(($D941-$C941+1)+10,"00"),"")&amp;IF($C941&gt;=12,", "&amp;$A941&amp;"-"&amp;TEXT(($D941-$C941+1)+11,"00"),"")&amp;IF($C941&gt;=13,", "&amp;$A941&amp;"-"&amp;TEXT(($D941-$C941+1)+12,"00"),"")&amp;IF($C941&gt;=14,", "&amp;$A941&amp;"-"&amp;TEXT(($D941-$C941+1)+13,"00"),"")&amp;IF($C941&gt;=15,", "&amp;$A941&amp;"-"&amp;TEXT(($D941-$C941+1)+14,"00"),"")&amp;IF($C941&gt;=16,", "&amp;$A941&amp;"-"&amp;TEXT(($D941-$C941+1)+15,"00"),"")&amp;IF($C941&gt;=17,", "&amp;$A941&amp;"-"&amp;TEXT(($D941-$C941+1)+16,"00"),"")&amp;IF($C941&gt;=18,", "&amp;$A941&amp;"-"&amp;TEXT(($D941-$C941+1)+17,"00"),"")&amp;IF($C941&gt;=19,", "&amp;$A941&amp;"-"&amp;TEXT(($D941-$C941+1)+18,"00"),"")&amp;IF($C941&gt;=20,", "&amp;$A941&amp;"-"&amp;TEXT(($D941-$C941+1)+19,"00"),"")&amp;IF($C941&gt;=21,", "&amp;$A941&amp;"-"&amp;TEXT(($D941-$C941+1)+20,"00"),"")&amp;IF($C941&gt;=22,", "&amp;$A941&amp;"-"&amp;TEXT(($D941-$C941+1)+21,"00"),"")&amp;IF($C941&gt;=23,", "&amp;$A941&amp;"-"&amp;TEXT(($D941-$C941+1)+22,"00"),"")&amp;IF($C941&gt;=24,", "&amp;$A941&amp;"-"&amp;TEXT(($D941-$C941+1)+23,"00"),"")&amp;IF($C941&gt;=25,", "&amp;$A941&amp;"-"&amp;TEXT(($D941-$C941+1)+24,"00"),""))</f>
        <v/>
      </c>
      <c r="G941">
        <f>IF($A941="","",IF($E941=1,$F941,IF($F941="",$G940,IF($G940="",$F941,$G940&amp;", "&amp;$F941))))</f>
        <v/>
      </c>
      <c r="H941">
        <f>IF($A941="","",$A941&amp;" ("&amp;$C941&amp;")")</f>
        <v/>
      </c>
      <c r="I941">
        <f>IF($A941="","",IF($E941=1,$H941,$I940&amp;", "&amp;$H941))</f>
        <v/>
      </c>
      <c r="J941">
        <f>IF($A941="","",IF($E941=1,$B941,""))</f>
        <v/>
      </c>
      <c r="K941">
        <f>IF($A941="","",IF(COUNTIF($B$2:$B941,$B941)=COUNTIF($B$2:$B$1601,$B941),$B941,""))</f>
        <v/>
      </c>
    </row>
    <row r="942">
      <c r="A942">
        <f>IF('TMP Paste'!$E942="","",'TMP Paste'!$E942)</f>
        <v/>
      </c>
      <c r="B942">
        <f>IF($A942="","",COUNTIF('TMP Paste'!$B$2:$B942,"?*"))</f>
        <v/>
      </c>
      <c r="C942">
        <f>IF($A942="","",IFERROR('TMP Paste'!$M942*1,0))</f>
        <v/>
      </c>
      <c r="D942">
        <f>IF($A942="","",SUMIF($B$2:$B942,$B942,$C$2:$C942))</f>
        <v/>
      </c>
      <c r="E942">
        <f>IF($A942="",0,IF('TMP Paste'!$B942="",0,1))</f>
        <v/>
      </c>
      <c r="F942">
        <f>IF(OR($A942="",$C942&lt;1),"",$A942&amp;"-"&amp;TEXT(($D942-$C942+1),"00")&amp;IF($C942&gt;=2,", "&amp;$A942&amp;"-"&amp;TEXT(($D942-$C942+1)+1,"00"),"")&amp;IF($C942&gt;=3,", "&amp;$A942&amp;"-"&amp;TEXT(($D942-$C942+1)+2,"00"),"")&amp;IF($C942&gt;=4,", "&amp;$A942&amp;"-"&amp;TEXT(($D942-$C942+1)+3,"00"),"")&amp;IF($C942&gt;=5,", "&amp;$A942&amp;"-"&amp;TEXT(($D942-$C942+1)+4,"00"),"")&amp;IF($C942&gt;=6,", "&amp;$A942&amp;"-"&amp;TEXT(($D942-$C942+1)+5,"00"),"")&amp;IF($C942&gt;=7,", "&amp;$A942&amp;"-"&amp;TEXT(($D942-$C942+1)+6,"00"),"")&amp;IF($C942&gt;=8,", "&amp;$A942&amp;"-"&amp;TEXT(($D942-$C942+1)+7,"00"),"")&amp;IF($C942&gt;=9,", "&amp;$A942&amp;"-"&amp;TEXT(($D942-$C942+1)+8,"00"),"")&amp;IF($C942&gt;=10,", "&amp;$A942&amp;"-"&amp;TEXT(($D942-$C942+1)+9,"00"),"")&amp;IF($C942&gt;=11,", "&amp;$A942&amp;"-"&amp;TEXT(($D942-$C942+1)+10,"00"),"")&amp;IF($C942&gt;=12,", "&amp;$A942&amp;"-"&amp;TEXT(($D942-$C942+1)+11,"00"),"")&amp;IF($C942&gt;=13,", "&amp;$A942&amp;"-"&amp;TEXT(($D942-$C942+1)+12,"00"),"")&amp;IF($C942&gt;=14,", "&amp;$A942&amp;"-"&amp;TEXT(($D942-$C942+1)+13,"00"),"")&amp;IF($C942&gt;=15,", "&amp;$A942&amp;"-"&amp;TEXT(($D942-$C942+1)+14,"00"),"")&amp;IF($C942&gt;=16,", "&amp;$A942&amp;"-"&amp;TEXT(($D942-$C942+1)+15,"00"),"")&amp;IF($C942&gt;=17,", "&amp;$A942&amp;"-"&amp;TEXT(($D942-$C942+1)+16,"00"),"")&amp;IF($C942&gt;=18,", "&amp;$A942&amp;"-"&amp;TEXT(($D942-$C942+1)+17,"00"),"")&amp;IF($C942&gt;=19,", "&amp;$A942&amp;"-"&amp;TEXT(($D942-$C942+1)+18,"00"),"")&amp;IF($C942&gt;=20,", "&amp;$A942&amp;"-"&amp;TEXT(($D942-$C942+1)+19,"00"),"")&amp;IF($C942&gt;=21,", "&amp;$A942&amp;"-"&amp;TEXT(($D942-$C942+1)+20,"00"),"")&amp;IF($C942&gt;=22,", "&amp;$A942&amp;"-"&amp;TEXT(($D942-$C942+1)+21,"00"),"")&amp;IF($C942&gt;=23,", "&amp;$A942&amp;"-"&amp;TEXT(($D942-$C942+1)+22,"00"),"")&amp;IF($C942&gt;=24,", "&amp;$A942&amp;"-"&amp;TEXT(($D942-$C942+1)+23,"00"),"")&amp;IF($C942&gt;=25,", "&amp;$A942&amp;"-"&amp;TEXT(($D942-$C942+1)+24,"00"),""))</f>
        <v/>
      </c>
      <c r="G942">
        <f>IF($A942="","",IF($E942=1,$F942,IF($F942="",$G941,IF($G941="",$F942,$G941&amp;", "&amp;$F942))))</f>
        <v/>
      </c>
      <c r="H942">
        <f>IF($A942="","",$A942&amp;" ("&amp;$C942&amp;")")</f>
        <v/>
      </c>
      <c r="I942">
        <f>IF($A942="","",IF($E942=1,$H942,$I941&amp;", "&amp;$H942))</f>
        <v/>
      </c>
      <c r="J942">
        <f>IF($A942="","",IF($E942=1,$B942,""))</f>
        <v/>
      </c>
      <c r="K942">
        <f>IF($A942="","",IF(COUNTIF($B$2:$B942,$B942)=COUNTIF($B$2:$B$1601,$B942),$B942,""))</f>
        <v/>
      </c>
    </row>
    <row r="943">
      <c r="A943">
        <f>IF('TMP Paste'!$E943="","",'TMP Paste'!$E943)</f>
        <v/>
      </c>
      <c r="B943">
        <f>IF($A943="","",COUNTIF('TMP Paste'!$B$2:$B943,"?*"))</f>
        <v/>
      </c>
      <c r="C943">
        <f>IF($A943="","",IFERROR('TMP Paste'!$M943*1,0))</f>
        <v/>
      </c>
      <c r="D943">
        <f>IF($A943="","",SUMIF($B$2:$B943,$B943,$C$2:$C943))</f>
        <v/>
      </c>
      <c r="E943">
        <f>IF($A943="",0,IF('TMP Paste'!$B943="",0,1))</f>
        <v/>
      </c>
      <c r="F943">
        <f>IF(OR($A943="",$C943&lt;1),"",$A943&amp;"-"&amp;TEXT(($D943-$C943+1),"00")&amp;IF($C943&gt;=2,", "&amp;$A943&amp;"-"&amp;TEXT(($D943-$C943+1)+1,"00"),"")&amp;IF($C943&gt;=3,", "&amp;$A943&amp;"-"&amp;TEXT(($D943-$C943+1)+2,"00"),"")&amp;IF($C943&gt;=4,", "&amp;$A943&amp;"-"&amp;TEXT(($D943-$C943+1)+3,"00"),"")&amp;IF($C943&gt;=5,", "&amp;$A943&amp;"-"&amp;TEXT(($D943-$C943+1)+4,"00"),"")&amp;IF($C943&gt;=6,", "&amp;$A943&amp;"-"&amp;TEXT(($D943-$C943+1)+5,"00"),"")&amp;IF($C943&gt;=7,", "&amp;$A943&amp;"-"&amp;TEXT(($D943-$C943+1)+6,"00"),"")&amp;IF($C943&gt;=8,", "&amp;$A943&amp;"-"&amp;TEXT(($D943-$C943+1)+7,"00"),"")&amp;IF($C943&gt;=9,", "&amp;$A943&amp;"-"&amp;TEXT(($D943-$C943+1)+8,"00"),"")&amp;IF($C943&gt;=10,", "&amp;$A943&amp;"-"&amp;TEXT(($D943-$C943+1)+9,"00"),"")&amp;IF($C943&gt;=11,", "&amp;$A943&amp;"-"&amp;TEXT(($D943-$C943+1)+10,"00"),"")&amp;IF($C943&gt;=12,", "&amp;$A943&amp;"-"&amp;TEXT(($D943-$C943+1)+11,"00"),"")&amp;IF($C943&gt;=13,", "&amp;$A943&amp;"-"&amp;TEXT(($D943-$C943+1)+12,"00"),"")&amp;IF($C943&gt;=14,", "&amp;$A943&amp;"-"&amp;TEXT(($D943-$C943+1)+13,"00"),"")&amp;IF($C943&gt;=15,", "&amp;$A943&amp;"-"&amp;TEXT(($D943-$C943+1)+14,"00"),"")&amp;IF($C943&gt;=16,", "&amp;$A943&amp;"-"&amp;TEXT(($D943-$C943+1)+15,"00"),"")&amp;IF($C943&gt;=17,", "&amp;$A943&amp;"-"&amp;TEXT(($D943-$C943+1)+16,"00"),"")&amp;IF($C943&gt;=18,", "&amp;$A943&amp;"-"&amp;TEXT(($D943-$C943+1)+17,"00"),"")&amp;IF($C943&gt;=19,", "&amp;$A943&amp;"-"&amp;TEXT(($D943-$C943+1)+18,"00"),"")&amp;IF($C943&gt;=20,", "&amp;$A943&amp;"-"&amp;TEXT(($D943-$C943+1)+19,"00"),"")&amp;IF($C943&gt;=21,", "&amp;$A943&amp;"-"&amp;TEXT(($D943-$C943+1)+20,"00"),"")&amp;IF($C943&gt;=22,", "&amp;$A943&amp;"-"&amp;TEXT(($D943-$C943+1)+21,"00"),"")&amp;IF($C943&gt;=23,", "&amp;$A943&amp;"-"&amp;TEXT(($D943-$C943+1)+22,"00"),"")&amp;IF($C943&gt;=24,", "&amp;$A943&amp;"-"&amp;TEXT(($D943-$C943+1)+23,"00"),"")&amp;IF($C943&gt;=25,", "&amp;$A943&amp;"-"&amp;TEXT(($D943-$C943+1)+24,"00"),""))</f>
        <v/>
      </c>
      <c r="G943">
        <f>IF($A943="","",IF($E943=1,$F943,IF($F943="",$G942,IF($G942="",$F943,$G942&amp;", "&amp;$F943))))</f>
        <v/>
      </c>
      <c r="H943">
        <f>IF($A943="","",$A943&amp;" ("&amp;$C943&amp;")")</f>
        <v/>
      </c>
      <c r="I943">
        <f>IF($A943="","",IF($E943=1,$H943,$I942&amp;", "&amp;$H943))</f>
        <v/>
      </c>
      <c r="J943">
        <f>IF($A943="","",IF($E943=1,$B943,""))</f>
        <v/>
      </c>
      <c r="K943">
        <f>IF($A943="","",IF(COUNTIF($B$2:$B943,$B943)=COUNTIF($B$2:$B$1601,$B943),$B943,""))</f>
        <v/>
      </c>
    </row>
    <row r="944">
      <c r="A944">
        <f>IF('TMP Paste'!$E944="","",'TMP Paste'!$E944)</f>
        <v/>
      </c>
      <c r="B944">
        <f>IF($A944="","",COUNTIF('TMP Paste'!$B$2:$B944,"?*"))</f>
        <v/>
      </c>
      <c r="C944">
        <f>IF($A944="","",IFERROR('TMP Paste'!$M944*1,0))</f>
        <v/>
      </c>
      <c r="D944">
        <f>IF($A944="","",SUMIF($B$2:$B944,$B944,$C$2:$C944))</f>
        <v/>
      </c>
      <c r="E944">
        <f>IF($A944="",0,IF('TMP Paste'!$B944="",0,1))</f>
        <v/>
      </c>
      <c r="F944">
        <f>IF(OR($A944="",$C944&lt;1),"",$A944&amp;"-"&amp;TEXT(($D944-$C944+1),"00")&amp;IF($C944&gt;=2,", "&amp;$A944&amp;"-"&amp;TEXT(($D944-$C944+1)+1,"00"),"")&amp;IF($C944&gt;=3,", "&amp;$A944&amp;"-"&amp;TEXT(($D944-$C944+1)+2,"00"),"")&amp;IF($C944&gt;=4,", "&amp;$A944&amp;"-"&amp;TEXT(($D944-$C944+1)+3,"00"),"")&amp;IF($C944&gt;=5,", "&amp;$A944&amp;"-"&amp;TEXT(($D944-$C944+1)+4,"00"),"")&amp;IF($C944&gt;=6,", "&amp;$A944&amp;"-"&amp;TEXT(($D944-$C944+1)+5,"00"),"")&amp;IF($C944&gt;=7,", "&amp;$A944&amp;"-"&amp;TEXT(($D944-$C944+1)+6,"00"),"")&amp;IF($C944&gt;=8,", "&amp;$A944&amp;"-"&amp;TEXT(($D944-$C944+1)+7,"00"),"")&amp;IF($C944&gt;=9,", "&amp;$A944&amp;"-"&amp;TEXT(($D944-$C944+1)+8,"00"),"")&amp;IF($C944&gt;=10,", "&amp;$A944&amp;"-"&amp;TEXT(($D944-$C944+1)+9,"00"),"")&amp;IF($C944&gt;=11,", "&amp;$A944&amp;"-"&amp;TEXT(($D944-$C944+1)+10,"00"),"")&amp;IF($C944&gt;=12,", "&amp;$A944&amp;"-"&amp;TEXT(($D944-$C944+1)+11,"00"),"")&amp;IF($C944&gt;=13,", "&amp;$A944&amp;"-"&amp;TEXT(($D944-$C944+1)+12,"00"),"")&amp;IF($C944&gt;=14,", "&amp;$A944&amp;"-"&amp;TEXT(($D944-$C944+1)+13,"00"),"")&amp;IF($C944&gt;=15,", "&amp;$A944&amp;"-"&amp;TEXT(($D944-$C944+1)+14,"00"),"")&amp;IF($C944&gt;=16,", "&amp;$A944&amp;"-"&amp;TEXT(($D944-$C944+1)+15,"00"),"")&amp;IF($C944&gt;=17,", "&amp;$A944&amp;"-"&amp;TEXT(($D944-$C944+1)+16,"00"),"")&amp;IF($C944&gt;=18,", "&amp;$A944&amp;"-"&amp;TEXT(($D944-$C944+1)+17,"00"),"")&amp;IF($C944&gt;=19,", "&amp;$A944&amp;"-"&amp;TEXT(($D944-$C944+1)+18,"00"),"")&amp;IF($C944&gt;=20,", "&amp;$A944&amp;"-"&amp;TEXT(($D944-$C944+1)+19,"00"),"")&amp;IF($C944&gt;=21,", "&amp;$A944&amp;"-"&amp;TEXT(($D944-$C944+1)+20,"00"),"")&amp;IF($C944&gt;=22,", "&amp;$A944&amp;"-"&amp;TEXT(($D944-$C944+1)+21,"00"),"")&amp;IF($C944&gt;=23,", "&amp;$A944&amp;"-"&amp;TEXT(($D944-$C944+1)+22,"00"),"")&amp;IF($C944&gt;=24,", "&amp;$A944&amp;"-"&amp;TEXT(($D944-$C944+1)+23,"00"),"")&amp;IF($C944&gt;=25,", "&amp;$A944&amp;"-"&amp;TEXT(($D944-$C944+1)+24,"00"),""))</f>
        <v/>
      </c>
      <c r="G944">
        <f>IF($A944="","",IF($E944=1,$F944,IF($F944="",$G943,IF($G943="",$F944,$G943&amp;", "&amp;$F944))))</f>
        <v/>
      </c>
      <c r="H944">
        <f>IF($A944="","",$A944&amp;" ("&amp;$C944&amp;")")</f>
        <v/>
      </c>
      <c r="I944">
        <f>IF($A944="","",IF($E944=1,$H944,$I943&amp;", "&amp;$H944))</f>
        <v/>
      </c>
      <c r="J944">
        <f>IF($A944="","",IF($E944=1,$B944,""))</f>
        <v/>
      </c>
      <c r="K944">
        <f>IF($A944="","",IF(COUNTIF($B$2:$B944,$B944)=COUNTIF($B$2:$B$1601,$B944),$B944,""))</f>
        <v/>
      </c>
    </row>
    <row r="945">
      <c r="A945">
        <f>IF('TMP Paste'!$E945="","",'TMP Paste'!$E945)</f>
        <v/>
      </c>
      <c r="B945">
        <f>IF($A945="","",COUNTIF('TMP Paste'!$B$2:$B945,"?*"))</f>
        <v/>
      </c>
      <c r="C945">
        <f>IF($A945="","",IFERROR('TMP Paste'!$M945*1,0))</f>
        <v/>
      </c>
      <c r="D945">
        <f>IF($A945="","",SUMIF($B$2:$B945,$B945,$C$2:$C945))</f>
        <v/>
      </c>
      <c r="E945">
        <f>IF($A945="",0,IF('TMP Paste'!$B945="",0,1))</f>
        <v/>
      </c>
      <c r="F945">
        <f>IF(OR($A945="",$C945&lt;1),"",$A945&amp;"-"&amp;TEXT(($D945-$C945+1),"00")&amp;IF($C945&gt;=2,", "&amp;$A945&amp;"-"&amp;TEXT(($D945-$C945+1)+1,"00"),"")&amp;IF($C945&gt;=3,", "&amp;$A945&amp;"-"&amp;TEXT(($D945-$C945+1)+2,"00"),"")&amp;IF($C945&gt;=4,", "&amp;$A945&amp;"-"&amp;TEXT(($D945-$C945+1)+3,"00"),"")&amp;IF($C945&gt;=5,", "&amp;$A945&amp;"-"&amp;TEXT(($D945-$C945+1)+4,"00"),"")&amp;IF($C945&gt;=6,", "&amp;$A945&amp;"-"&amp;TEXT(($D945-$C945+1)+5,"00"),"")&amp;IF($C945&gt;=7,", "&amp;$A945&amp;"-"&amp;TEXT(($D945-$C945+1)+6,"00"),"")&amp;IF($C945&gt;=8,", "&amp;$A945&amp;"-"&amp;TEXT(($D945-$C945+1)+7,"00"),"")&amp;IF($C945&gt;=9,", "&amp;$A945&amp;"-"&amp;TEXT(($D945-$C945+1)+8,"00"),"")&amp;IF($C945&gt;=10,", "&amp;$A945&amp;"-"&amp;TEXT(($D945-$C945+1)+9,"00"),"")&amp;IF($C945&gt;=11,", "&amp;$A945&amp;"-"&amp;TEXT(($D945-$C945+1)+10,"00"),"")&amp;IF($C945&gt;=12,", "&amp;$A945&amp;"-"&amp;TEXT(($D945-$C945+1)+11,"00"),"")&amp;IF($C945&gt;=13,", "&amp;$A945&amp;"-"&amp;TEXT(($D945-$C945+1)+12,"00"),"")&amp;IF($C945&gt;=14,", "&amp;$A945&amp;"-"&amp;TEXT(($D945-$C945+1)+13,"00"),"")&amp;IF($C945&gt;=15,", "&amp;$A945&amp;"-"&amp;TEXT(($D945-$C945+1)+14,"00"),"")&amp;IF($C945&gt;=16,", "&amp;$A945&amp;"-"&amp;TEXT(($D945-$C945+1)+15,"00"),"")&amp;IF($C945&gt;=17,", "&amp;$A945&amp;"-"&amp;TEXT(($D945-$C945+1)+16,"00"),"")&amp;IF($C945&gt;=18,", "&amp;$A945&amp;"-"&amp;TEXT(($D945-$C945+1)+17,"00"),"")&amp;IF($C945&gt;=19,", "&amp;$A945&amp;"-"&amp;TEXT(($D945-$C945+1)+18,"00"),"")&amp;IF($C945&gt;=20,", "&amp;$A945&amp;"-"&amp;TEXT(($D945-$C945+1)+19,"00"),"")&amp;IF($C945&gt;=21,", "&amp;$A945&amp;"-"&amp;TEXT(($D945-$C945+1)+20,"00"),"")&amp;IF($C945&gt;=22,", "&amp;$A945&amp;"-"&amp;TEXT(($D945-$C945+1)+21,"00"),"")&amp;IF($C945&gt;=23,", "&amp;$A945&amp;"-"&amp;TEXT(($D945-$C945+1)+22,"00"),"")&amp;IF($C945&gt;=24,", "&amp;$A945&amp;"-"&amp;TEXT(($D945-$C945+1)+23,"00"),"")&amp;IF($C945&gt;=25,", "&amp;$A945&amp;"-"&amp;TEXT(($D945-$C945+1)+24,"00"),""))</f>
        <v/>
      </c>
      <c r="G945">
        <f>IF($A945="","",IF($E945=1,$F945,IF($F945="",$G944,IF($G944="",$F945,$G944&amp;", "&amp;$F945))))</f>
        <v/>
      </c>
      <c r="H945">
        <f>IF($A945="","",$A945&amp;" ("&amp;$C945&amp;")")</f>
        <v/>
      </c>
      <c r="I945">
        <f>IF($A945="","",IF($E945=1,$H945,$I944&amp;", "&amp;$H945))</f>
        <v/>
      </c>
      <c r="J945">
        <f>IF($A945="","",IF($E945=1,$B945,""))</f>
        <v/>
      </c>
      <c r="K945">
        <f>IF($A945="","",IF(COUNTIF($B$2:$B945,$B945)=COUNTIF($B$2:$B$1601,$B945),$B945,""))</f>
        <v/>
      </c>
    </row>
    <row r="946">
      <c r="A946">
        <f>IF('TMP Paste'!$E946="","",'TMP Paste'!$E946)</f>
        <v/>
      </c>
      <c r="B946">
        <f>IF($A946="","",COUNTIF('TMP Paste'!$B$2:$B946,"?*"))</f>
        <v/>
      </c>
      <c r="C946">
        <f>IF($A946="","",IFERROR('TMP Paste'!$M946*1,0))</f>
        <v/>
      </c>
      <c r="D946">
        <f>IF($A946="","",SUMIF($B$2:$B946,$B946,$C$2:$C946))</f>
        <v/>
      </c>
      <c r="E946">
        <f>IF($A946="",0,IF('TMP Paste'!$B946="",0,1))</f>
        <v/>
      </c>
      <c r="F946">
        <f>IF(OR($A946="",$C946&lt;1),"",$A946&amp;"-"&amp;TEXT(($D946-$C946+1),"00")&amp;IF($C946&gt;=2,", "&amp;$A946&amp;"-"&amp;TEXT(($D946-$C946+1)+1,"00"),"")&amp;IF($C946&gt;=3,", "&amp;$A946&amp;"-"&amp;TEXT(($D946-$C946+1)+2,"00"),"")&amp;IF($C946&gt;=4,", "&amp;$A946&amp;"-"&amp;TEXT(($D946-$C946+1)+3,"00"),"")&amp;IF($C946&gt;=5,", "&amp;$A946&amp;"-"&amp;TEXT(($D946-$C946+1)+4,"00"),"")&amp;IF($C946&gt;=6,", "&amp;$A946&amp;"-"&amp;TEXT(($D946-$C946+1)+5,"00"),"")&amp;IF($C946&gt;=7,", "&amp;$A946&amp;"-"&amp;TEXT(($D946-$C946+1)+6,"00"),"")&amp;IF($C946&gt;=8,", "&amp;$A946&amp;"-"&amp;TEXT(($D946-$C946+1)+7,"00"),"")&amp;IF($C946&gt;=9,", "&amp;$A946&amp;"-"&amp;TEXT(($D946-$C946+1)+8,"00"),"")&amp;IF($C946&gt;=10,", "&amp;$A946&amp;"-"&amp;TEXT(($D946-$C946+1)+9,"00"),"")&amp;IF($C946&gt;=11,", "&amp;$A946&amp;"-"&amp;TEXT(($D946-$C946+1)+10,"00"),"")&amp;IF($C946&gt;=12,", "&amp;$A946&amp;"-"&amp;TEXT(($D946-$C946+1)+11,"00"),"")&amp;IF($C946&gt;=13,", "&amp;$A946&amp;"-"&amp;TEXT(($D946-$C946+1)+12,"00"),"")&amp;IF($C946&gt;=14,", "&amp;$A946&amp;"-"&amp;TEXT(($D946-$C946+1)+13,"00"),"")&amp;IF($C946&gt;=15,", "&amp;$A946&amp;"-"&amp;TEXT(($D946-$C946+1)+14,"00"),"")&amp;IF($C946&gt;=16,", "&amp;$A946&amp;"-"&amp;TEXT(($D946-$C946+1)+15,"00"),"")&amp;IF($C946&gt;=17,", "&amp;$A946&amp;"-"&amp;TEXT(($D946-$C946+1)+16,"00"),"")&amp;IF($C946&gt;=18,", "&amp;$A946&amp;"-"&amp;TEXT(($D946-$C946+1)+17,"00"),"")&amp;IF($C946&gt;=19,", "&amp;$A946&amp;"-"&amp;TEXT(($D946-$C946+1)+18,"00"),"")&amp;IF($C946&gt;=20,", "&amp;$A946&amp;"-"&amp;TEXT(($D946-$C946+1)+19,"00"),"")&amp;IF($C946&gt;=21,", "&amp;$A946&amp;"-"&amp;TEXT(($D946-$C946+1)+20,"00"),"")&amp;IF($C946&gt;=22,", "&amp;$A946&amp;"-"&amp;TEXT(($D946-$C946+1)+21,"00"),"")&amp;IF($C946&gt;=23,", "&amp;$A946&amp;"-"&amp;TEXT(($D946-$C946+1)+22,"00"),"")&amp;IF($C946&gt;=24,", "&amp;$A946&amp;"-"&amp;TEXT(($D946-$C946+1)+23,"00"),"")&amp;IF($C946&gt;=25,", "&amp;$A946&amp;"-"&amp;TEXT(($D946-$C946+1)+24,"00"),""))</f>
        <v/>
      </c>
      <c r="G946">
        <f>IF($A946="","",IF($E946=1,$F946,IF($F946="",$G945,IF($G945="",$F946,$G945&amp;", "&amp;$F946))))</f>
        <v/>
      </c>
      <c r="H946">
        <f>IF($A946="","",$A946&amp;" ("&amp;$C946&amp;")")</f>
        <v/>
      </c>
      <c r="I946">
        <f>IF($A946="","",IF($E946=1,$H946,$I945&amp;", "&amp;$H946))</f>
        <v/>
      </c>
      <c r="J946">
        <f>IF($A946="","",IF($E946=1,$B946,""))</f>
        <v/>
      </c>
      <c r="K946">
        <f>IF($A946="","",IF(COUNTIF($B$2:$B946,$B946)=COUNTIF($B$2:$B$1601,$B946),$B946,""))</f>
        <v/>
      </c>
    </row>
    <row r="947">
      <c r="A947">
        <f>IF('TMP Paste'!$E947="","",'TMP Paste'!$E947)</f>
        <v/>
      </c>
      <c r="B947">
        <f>IF($A947="","",COUNTIF('TMP Paste'!$B$2:$B947,"?*"))</f>
        <v/>
      </c>
      <c r="C947">
        <f>IF($A947="","",IFERROR('TMP Paste'!$M947*1,0))</f>
        <v/>
      </c>
      <c r="D947">
        <f>IF($A947="","",SUMIF($B$2:$B947,$B947,$C$2:$C947))</f>
        <v/>
      </c>
      <c r="E947">
        <f>IF($A947="",0,IF('TMP Paste'!$B947="",0,1))</f>
        <v/>
      </c>
      <c r="F947">
        <f>IF(OR($A947="",$C947&lt;1),"",$A947&amp;"-"&amp;TEXT(($D947-$C947+1),"00")&amp;IF($C947&gt;=2,", "&amp;$A947&amp;"-"&amp;TEXT(($D947-$C947+1)+1,"00"),"")&amp;IF($C947&gt;=3,", "&amp;$A947&amp;"-"&amp;TEXT(($D947-$C947+1)+2,"00"),"")&amp;IF($C947&gt;=4,", "&amp;$A947&amp;"-"&amp;TEXT(($D947-$C947+1)+3,"00"),"")&amp;IF($C947&gt;=5,", "&amp;$A947&amp;"-"&amp;TEXT(($D947-$C947+1)+4,"00"),"")&amp;IF($C947&gt;=6,", "&amp;$A947&amp;"-"&amp;TEXT(($D947-$C947+1)+5,"00"),"")&amp;IF($C947&gt;=7,", "&amp;$A947&amp;"-"&amp;TEXT(($D947-$C947+1)+6,"00"),"")&amp;IF($C947&gt;=8,", "&amp;$A947&amp;"-"&amp;TEXT(($D947-$C947+1)+7,"00"),"")&amp;IF($C947&gt;=9,", "&amp;$A947&amp;"-"&amp;TEXT(($D947-$C947+1)+8,"00"),"")&amp;IF($C947&gt;=10,", "&amp;$A947&amp;"-"&amp;TEXT(($D947-$C947+1)+9,"00"),"")&amp;IF($C947&gt;=11,", "&amp;$A947&amp;"-"&amp;TEXT(($D947-$C947+1)+10,"00"),"")&amp;IF($C947&gt;=12,", "&amp;$A947&amp;"-"&amp;TEXT(($D947-$C947+1)+11,"00"),"")&amp;IF($C947&gt;=13,", "&amp;$A947&amp;"-"&amp;TEXT(($D947-$C947+1)+12,"00"),"")&amp;IF($C947&gt;=14,", "&amp;$A947&amp;"-"&amp;TEXT(($D947-$C947+1)+13,"00"),"")&amp;IF($C947&gt;=15,", "&amp;$A947&amp;"-"&amp;TEXT(($D947-$C947+1)+14,"00"),"")&amp;IF($C947&gt;=16,", "&amp;$A947&amp;"-"&amp;TEXT(($D947-$C947+1)+15,"00"),"")&amp;IF($C947&gt;=17,", "&amp;$A947&amp;"-"&amp;TEXT(($D947-$C947+1)+16,"00"),"")&amp;IF($C947&gt;=18,", "&amp;$A947&amp;"-"&amp;TEXT(($D947-$C947+1)+17,"00"),"")&amp;IF($C947&gt;=19,", "&amp;$A947&amp;"-"&amp;TEXT(($D947-$C947+1)+18,"00"),"")&amp;IF($C947&gt;=20,", "&amp;$A947&amp;"-"&amp;TEXT(($D947-$C947+1)+19,"00"),"")&amp;IF($C947&gt;=21,", "&amp;$A947&amp;"-"&amp;TEXT(($D947-$C947+1)+20,"00"),"")&amp;IF($C947&gt;=22,", "&amp;$A947&amp;"-"&amp;TEXT(($D947-$C947+1)+21,"00"),"")&amp;IF($C947&gt;=23,", "&amp;$A947&amp;"-"&amp;TEXT(($D947-$C947+1)+22,"00"),"")&amp;IF($C947&gt;=24,", "&amp;$A947&amp;"-"&amp;TEXT(($D947-$C947+1)+23,"00"),"")&amp;IF($C947&gt;=25,", "&amp;$A947&amp;"-"&amp;TEXT(($D947-$C947+1)+24,"00"),""))</f>
        <v/>
      </c>
      <c r="G947">
        <f>IF($A947="","",IF($E947=1,$F947,IF($F947="",$G946,IF($G946="",$F947,$G946&amp;", "&amp;$F947))))</f>
        <v/>
      </c>
      <c r="H947">
        <f>IF($A947="","",$A947&amp;" ("&amp;$C947&amp;")")</f>
        <v/>
      </c>
      <c r="I947">
        <f>IF($A947="","",IF($E947=1,$H947,$I946&amp;", "&amp;$H947))</f>
        <v/>
      </c>
      <c r="J947">
        <f>IF($A947="","",IF($E947=1,$B947,""))</f>
        <v/>
      </c>
      <c r="K947">
        <f>IF($A947="","",IF(COUNTIF($B$2:$B947,$B947)=COUNTIF($B$2:$B$1601,$B947),$B947,""))</f>
        <v/>
      </c>
    </row>
    <row r="948">
      <c r="A948">
        <f>IF('TMP Paste'!$E948="","",'TMP Paste'!$E948)</f>
        <v/>
      </c>
      <c r="B948">
        <f>IF($A948="","",COUNTIF('TMP Paste'!$B$2:$B948,"?*"))</f>
        <v/>
      </c>
      <c r="C948">
        <f>IF($A948="","",IFERROR('TMP Paste'!$M948*1,0))</f>
        <v/>
      </c>
      <c r="D948">
        <f>IF($A948="","",SUMIF($B$2:$B948,$B948,$C$2:$C948))</f>
        <v/>
      </c>
      <c r="E948">
        <f>IF($A948="",0,IF('TMP Paste'!$B948="",0,1))</f>
        <v/>
      </c>
      <c r="F948">
        <f>IF(OR($A948="",$C948&lt;1),"",$A948&amp;"-"&amp;TEXT(($D948-$C948+1),"00")&amp;IF($C948&gt;=2,", "&amp;$A948&amp;"-"&amp;TEXT(($D948-$C948+1)+1,"00"),"")&amp;IF($C948&gt;=3,", "&amp;$A948&amp;"-"&amp;TEXT(($D948-$C948+1)+2,"00"),"")&amp;IF($C948&gt;=4,", "&amp;$A948&amp;"-"&amp;TEXT(($D948-$C948+1)+3,"00"),"")&amp;IF($C948&gt;=5,", "&amp;$A948&amp;"-"&amp;TEXT(($D948-$C948+1)+4,"00"),"")&amp;IF($C948&gt;=6,", "&amp;$A948&amp;"-"&amp;TEXT(($D948-$C948+1)+5,"00"),"")&amp;IF($C948&gt;=7,", "&amp;$A948&amp;"-"&amp;TEXT(($D948-$C948+1)+6,"00"),"")&amp;IF($C948&gt;=8,", "&amp;$A948&amp;"-"&amp;TEXT(($D948-$C948+1)+7,"00"),"")&amp;IF($C948&gt;=9,", "&amp;$A948&amp;"-"&amp;TEXT(($D948-$C948+1)+8,"00"),"")&amp;IF($C948&gt;=10,", "&amp;$A948&amp;"-"&amp;TEXT(($D948-$C948+1)+9,"00"),"")&amp;IF($C948&gt;=11,", "&amp;$A948&amp;"-"&amp;TEXT(($D948-$C948+1)+10,"00"),"")&amp;IF($C948&gt;=12,", "&amp;$A948&amp;"-"&amp;TEXT(($D948-$C948+1)+11,"00"),"")&amp;IF($C948&gt;=13,", "&amp;$A948&amp;"-"&amp;TEXT(($D948-$C948+1)+12,"00"),"")&amp;IF($C948&gt;=14,", "&amp;$A948&amp;"-"&amp;TEXT(($D948-$C948+1)+13,"00"),"")&amp;IF($C948&gt;=15,", "&amp;$A948&amp;"-"&amp;TEXT(($D948-$C948+1)+14,"00"),"")&amp;IF($C948&gt;=16,", "&amp;$A948&amp;"-"&amp;TEXT(($D948-$C948+1)+15,"00"),"")&amp;IF($C948&gt;=17,", "&amp;$A948&amp;"-"&amp;TEXT(($D948-$C948+1)+16,"00"),"")&amp;IF($C948&gt;=18,", "&amp;$A948&amp;"-"&amp;TEXT(($D948-$C948+1)+17,"00"),"")&amp;IF($C948&gt;=19,", "&amp;$A948&amp;"-"&amp;TEXT(($D948-$C948+1)+18,"00"),"")&amp;IF($C948&gt;=20,", "&amp;$A948&amp;"-"&amp;TEXT(($D948-$C948+1)+19,"00"),"")&amp;IF($C948&gt;=21,", "&amp;$A948&amp;"-"&amp;TEXT(($D948-$C948+1)+20,"00"),"")&amp;IF($C948&gt;=22,", "&amp;$A948&amp;"-"&amp;TEXT(($D948-$C948+1)+21,"00"),"")&amp;IF($C948&gt;=23,", "&amp;$A948&amp;"-"&amp;TEXT(($D948-$C948+1)+22,"00"),"")&amp;IF($C948&gt;=24,", "&amp;$A948&amp;"-"&amp;TEXT(($D948-$C948+1)+23,"00"),"")&amp;IF($C948&gt;=25,", "&amp;$A948&amp;"-"&amp;TEXT(($D948-$C948+1)+24,"00"),""))</f>
        <v/>
      </c>
      <c r="G948">
        <f>IF($A948="","",IF($E948=1,$F948,IF($F948="",$G947,IF($G947="",$F948,$G947&amp;", "&amp;$F948))))</f>
        <v/>
      </c>
      <c r="H948">
        <f>IF($A948="","",$A948&amp;" ("&amp;$C948&amp;")")</f>
        <v/>
      </c>
      <c r="I948">
        <f>IF($A948="","",IF($E948=1,$H948,$I947&amp;", "&amp;$H948))</f>
        <v/>
      </c>
      <c r="J948">
        <f>IF($A948="","",IF($E948=1,$B948,""))</f>
        <v/>
      </c>
      <c r="K948">
        <f>IF($A948="","",IF(COUNTIF($B$2:$B948,$B948)=COUNTIF($B$2:$B$1601,$B948),$B948,""))</f>
        <v/>
      </c>
    </row>
    <row r="949">
      <c r="A949">
        <f>IF('TMP Paste'!$E949="","",'TMP Paste'!$E949)</f>
        <v/>
      </c>
      <c r="B949">
        <f>IF($A949="","",COUNTIF('TMP Paste'!$B$2:$B949,"?*"))</f>
        <v/>
      </c>
      <c r="C949">
        <f>IF($A949="","",IFERROR('TMP Paste'!$M949*1,0))</f>
        <v/>
      </c>
      <c r="D949">
        <f>IF($A949="","",SUMIF($B$2:$B949,$B949,$C$2:$C949))</f>
        <v/>
      </c>
      <c r="E949">
        <f>IF($A949="",0,IF('TMP Paste'!$B949="",0,1))</f>
        <v/>
      </c>
      <c r="F949">
        <f>IF(OR($A949="",$C949&lt;1),"",$A949&amp;"-"&amp;TEXT(($D949-$C949+1),"00")&amp;IF($C949&gt;=2,", "&amp;$A949&amp;"-"&amp;TEXT(($D949-$C949+1)+1,"00"),"")&amp;IF($C949&gt;=3,", "&amp;$A949&amp;"-"&amp;TEXT(($D949-$C949+1)+2,"00"),"")&amp;IF($C949&gt;=4,", "&amp;$A949&amp;"-"&amp;TEXT(($D949-$C949+1)+3,"00"),"")&amp;IF($C949&gt;=5,", "&amp;$A949&amp;"-"&amp;TEXT(($D949-$C949+1)+4,"00"),"")&amp;IF($C949&gt;=6,", "&amp;$A949&amp;"-"&amp;TEXT(($D949-$C949+1)+5,"00"),"")&amp;IF($C949&gt;=7,", "&amp;$A949&amp;"-"&amp;TEXT(($D949-$C949+1)+6,"00"),"")&amp;IF($C949&gt;=8,", "&amp;$A949&amp;"-"&amp;TEXT(($D949-$C949+1)+7,"00"),"")&amp;IF($C949&gt;=9,", "&amp;$A949&amp;"-"&amp;TEXT(($D949-$C949+1)+8,"00"),"")&amp;IF($C949&gt;=10,", "&amp;$A949&amp;"-"&amp;TEXT(($D949-$C949+1)+9,"00"),"")&amp;IF($C949&gt;=11,", "&amp;$A949&amp;"-"&amp;TEXT(($D949-$C949+1)+10,"00"),"")&amp;IF($C949&gt;=12,", "&amp;$A949&amp;"-"&amp;TEXT(($D949-$C949+1)+11,"00"),"")&amp;IF($C949&gt;=13,", "&amp;$A949&amp;"-"&amp;TEXT(($D949-$C949+1)+12,"00"),"")&amp;IF($C949&gt;=14,", "&amp;$A949&amp;"-"&amp;TEXT(($D949-$C949+1)+13,"00"),"")&amp;IF($C949&gt;=15,", "&amp;$A949&amp;"-"&amp;TEXT(($D949-$C949+1)+14,"00"),"")&amp;IF($C949&gt;=16,", "&amp;$A949&amp;"-"&amp;TEXT(($D949-$C949+1)+15,"00"),"")&amp;IF($C949&gt;=17,", "&amp;$A949&amp;"-"&amp;TEXT(($D949-$C949+1)+16,"00"),"")&amp;IF($C949&gt;=18,", "&amp;$A949&amp;"-"&amp;TEXT(($D949-$C949+1)+17,"00"),"")&amp;IF($C949&gt;=19,", "&amp;$A949&amp;"-"&amp;TEXT(($D949-$C949+1)+18,"00"),"")&amp;IF($C949&gt;=20,", "&amp;$A949&amp;"-"&amp;TEXT(($D949-$C949+1)+19,"00"),"")&amp;IF($C949&gt;=21,", "&amp;$A949&amp;"-"&amp;TEXT(($D949-$C949+1)+20,"00"),"")&amp;IF($C949&gt;=22,", "&amp;$A949&amp;"-"&amp;TEXT(($D949-$C949+1)+21,"00"),"")&amp;IF($C949&gt;=23,", "&amp;$A949&amp;"-"&amp;TEXT(($D949-$C949+1)+22,"00"),"")&amp;IF($C949&gt;=24,", "&amp;$A949&amp;"-"&amp;TEXT(($D949-$C949+1)+23,"00"),"")&amp;IF($C949&gt;=25,", "&amp;$A949&amp;"-"&amp;TEXT(($D949-$C949+1)+24,"00"),""))</f>
        <v/>
      </c>
      <c r="G949">
        <f>IF($A949="","",IF($E949=1,$F949,IF($F949="",$G948,IF($G948="",$F949,$G948&amp;", "&amp;$F949))))</f>
        <v/>
      </c>
      <c r="H949">
        <f>IF($A949="","",$A949&amp;" ("&amp;$C949&amp;")")</f>
        <v/>
      </c>
      <c r="I949">
        <f>IF($A949="","",IF($E949=1,$H949,$I948&amp;", "&amp;$H949))</f>
        <v/>
      </c>
      <c r="J949">
        <f>IF($A949="","",IF($E949=1,$B949,""))</f>
        <v/>
      </c>
      <c r="K949">
        <f>IF($A949="","",IF(COUNTIF($B$2:$B949,$B949)=COUNTIF($B$2:$B$1601,$B949),$B949,""))</f>
        <v/>
      </c>
    </row>
    <row r="950">
      <c r="A950">
        <f>IF('TMP Paste'!$E950="","",'TMP Paste'!$E950)</f>
        <v/>
      </c>
      <c r="B950">
        <f>IF($A950="","",COUNTIF('TMP Paste'!$B$2:$B950,"?*"))</f>
        <v/>
      </c>
      <c r="C950">
        <f>IF($A950="","",IFERROR('TMP Paste'!$M950*1,0))</f>
        <v/>
      </c>
      <c r="D950">
        <f>IF($A950="","",SUMIF($B$2:$B950,$B950,$C$2:$C950))</f>
        <v/>
      </c>
      <c r="E950">
        <f>IF($A950="",0,IF('TMP Paste'!$B950="",0,1))</f>
        <v/>
      </c>
      <c r="F950">
        <f>IF(OR($A950="",$C950&lt;1),"",$A950&amp;"-"&amp;TEXT(($D950-$C950+1),"00")&amp;IF($C950&gt;=2,", "&amp;$A950&amp;"-"&amp;TEXT(($D950-$C950+1)+1,"00"),"")&amp;IF($C950&gt;=3,", "&amp;$A950&amp;"-"&amp;TEXT(($D950-$C950+1)+2,"00"),"")&amp;IF($C950&gt;=4,", "&amp;$A950&amp;"-"&amp;TEXT(($D950-$C950+1)+3,"00"),"")&amp;IF($C950&gt;=5,", "&amp;$A950&amp;"-"&amp;TEXT(($D950-$C950+1)+4,"00"),"")&amp;IF($C950&gt;=6,", "&amp;$A950&amp;"-"&amp;TEXT(($D950-$C950+1)+5,"00"),"")&amp;IF($C950&gt;=7,", "&amp;$A950&amp;"-"&amp;TEXT(($D950-$C950+1)+6,"00"),"")&amp;IF($C950&gt;=8,", "&amp;$A950&amp;"-"&amp;TEXT(($D950-$C950+1)+7,"00"),"")&amp;IF($C950&gt;=9,", "&amp;$A950&amp;"-"&amp;TEXT(($D950-$C950+1)+8,"00"),"")&amp;IF($C950&gt;=10,", "&amp;$A950&amp;"-"&amp;TEXT(($D950-$C950+1)+9,"00"),"")&amp;IF($C950&gt;=11,", "&amp;$A950&amp;"-"&amp;TEXT(($D950-$C950+1)+10,"00"),"")&amp;IF($C950&gt;=12,", "&amp;$A950&amp;"-"&amp;TEXT(($D950-$C950+1)+11,"00"),"")&amp;IF($C950&gt;=13,", "&amp;$A950&amp;"-"&amp;TEXT(($D950-$C950+1)+12,"00"),"")&amp;IF($C950&gt;=14,", "&amp;$A950&amp;"-"&amp;TEXT(($D950-$C950+1)+13,"00"),"")&amp;IF($C950&gt;=15,", "&amp;$A950&amp;"-"&amp;TEXT(($D950-$C950+1)+14,"00"),"")&amp;IF($C950&gt;=16,", "&amp;$A950&amp;"-"&amp;TEXT(($D950-$C950+1)+15,"00"),"")&amp;IF($C950&gt;=17,", "&amp;$A950&amp;"-"&amp;TEXT(($D950-$C950+1)+16,"00"),"")&amp;IF($C950&gt;=18,", "&amp;$A950&amp;"-"&amp;TEXT(($D950-$C950+1)+17,"00"),"")&amp;IF($C950&gt;=19,", "&amp;$A950&amp;"-"&amp;TEXT(($D950-$C950+1)+18,"00"),"")&amp;IF($C950&gt;=20,", "&amp;$A950&amp;"-"&amp;TEXT(($D950-$C950+1)+19,"00"),"")&amp;IF($C950&gt;=21,", "&amp;$A950&amp;"-"&amp;TEXT(($D950-$C950+1)+20,"00"),"")&amp;IF($C950&gt;=22,", "&amp;$A950&amp;"-"&amp;TEXT(($D950-$C950+1)+21,"00"),"")&amp;IF($C950&gt;=23,", "&amp;$A950&amp;"-"&amp;TEXT(($D950-$C950+1)+22,"00"),"")&amp;IF($C950&gt;=24,", "&amp;$A950&amp;"-"&amp;TEXT(($D950-$C950+1)+23,"00"),"")&amp;IF($C950&gt;=25,", "&amp;$A950&amp;"-"&amp;TEXT(($D950-$C950+1)+24,"00"),""))</f>
        <v/>
      </c>
      <c r="G950">
        <f>IF($A950="","",IF($E950=1,$F950,IF($F950="",$G949,IF($G949="",$F950,$G949&amp;", "&amp;$F950))))</f>
        <v/>
      </c>
      <c r="H950">
        <f>IF($A950="","",$A950&amp;" ("&amp;$C950&amp;")")</f>
        <v/>
      </c>
      <c r="I950">
        <f>IF($A950="","",IF($E950=1,$H950,$I949&amp;", "&amp;$H950))</f>
        <v/>
      </c>
      <c r="J950">
        <f>IF($A950="","",IF($E950=1,$B950,""))</f>
        <v/>
      </c>
      <c r="K950">
        <f>IF($A950="","",IF(COUNTIF($B$2:$B950,$B950)=COUNTIF($B$2:$B$1601,$B950),$B950,""))</f>
        <v/>
      </c>
    </row>
    <row r="951">
      <c r="A951">
        <f>IF('TMP Paste'!$E951="","",'TMP Paste'!$E951)</f>
        <v/>
      </c>
      <c r="B951">
        <f>IF($A951="","",COUNTIF('TMP Paste'!$B$2:$B951,"?*"))</f>
        <v/>
      </c>
      <c r="C951">
        <f>IF($A951="","",IFERROR('TMP Paste'!$M951*1,0))</f>
        <v/>
      </c>
      <c r="D951">
        <f>IF($A951="","",SUMIF($B$2:$B951,$B951,$C$2:$C951))</f>
        <v/>
      </c>
      <c r="E951">
        <f>IF($A951="",0,IF('TMP Paste'!$B951="",0,1))</f>
        <v/>
      </c>
      <c r="F951">
        <f>IF(OR($A951="",$C951&lt;1),"",$A951&amp;"-"&amp;TEXT(($D951-$C951+1),"00")&amp;IF($C951&gt;=2,", "&amp;$A951&amp;"-"&amp;TEXT(($D951-$C951+1)+1,"00"),"")&amp;IF($C951&gt;=3,", "&amp;$A951&amp;"-"&amp;TEXT(($D951-$C951+1)+2,"00"),"")&amp;IF($C951&gt;=4,", "&amp;$A951&amp;"-"&amp;TEXT(($D951-$C951+1)+3,"00"),"")&amp;IF($C951&gt;=5,", "&amp;$A951&amp;"-"&amp;TEXT(($D951-$C951+1)+4,"00"),"")&amp;IF($C951&gt;=6,", "&amp;$A951&amp;"-"&amp;TEXT(($D951-$C951+1)+5,"00"),"")&amp;IF($C951&gt;=7,", "&amp;$A951&amp;"-"&amp;TEXT(($D951-$C951+1)+6,"00"),"")&amp;IF($C951&gt;=8,", "&amp;$A951&amp;"-"&amp;TEXT(($D951-$C951+1)+7,"00"),"")&amp;IF($C951&gt;=9,", "&amp;$A951&amp;"-"&amp;TEXT(($D951-$C951+1)+8,"00"),"")&amp;IF($C951&gt;=10,", "&amp;$A951&amp;"-"&amp;TEXT(($D951-$C951+1)+9,"00"),"")&amp;IF($C951&gt;=11,", "&amp;$A951&amp;"-"&amp;TEXT(($D951-$C951+1)+10,"00"),"")&amp;IF($C951&gt;=12,", "&amp;$A951&amp;"-"&amp;TEXT(($D951-$C951+1)+11,"00"),"")&amp;IF($C951&gt;=13,", "&amp;$A951&amp;"-"&amp;TEXT(($D951-$C951+1)+12,"00"),"")&amp;IF($C951&gt;=14,", "&amp;$A951&amp;"-"&amp;TEXT(($D951-$C951+1)+13,"00"),"")&amp;IF($C951&gt;=15,", "&amp;$A951&amp;"-"&amp;TEXT(($D951-$C951+1)+14,"00"),"")&amp;IF($C951&gt;=16,", "&amp;$A951&amp;"-"&amp;TEXT(($D951-$C951+1)+15,"00"),"")&amp;IF($C951&gt;=17,", "&amp;$A951&amp;"-"&amp;TEXT(($D951-$C951+1)+16,"00"),"")&amp;IF($C951&gt;=18,", "&amp;$A951&amp;"-"&amp;TEXT(($D951-$C951+1)+17,"00"),"")&amp;IF($C951&gt;=19,", "&amp;$A951&amp;"-"&amp;TEXT(($D951-$C951+1)+18,"00"),"")&amp;IF($C951&gt;=20,", "&amp;$A951&amp;"-"&amp;TEXT(($D951-$C951+1)+19,"00"),"")&amp;IF($C951&gt;=21,", "&amp;$A951&amp;"-"&amp;TEXT(($D951-$C951+1)+20,"00"),"")&amp;IF($C951&gt;=22,", "&amp;$A951&amp;"-"&amp;TEXT(($D951-$C951+1)+21,"00"),"")&amp;IF($C951&gt;=23,", "&amp;$A951&amp;"-"&amp;TEXT(($D951-$C951+1)+22,"00"),"")&amp;IF($C951&gt;=24,", "&amp;$A951&amp;"-"&amp;TEXT(($D951-$C951+1)+23,"00"),"")&amp;IF($C951&gt;=25,", "&amp;$A951&amp;"-"&amp;TEXT(($D951-$C951+1)+24,"00"),""))</f>
        <v/>
      </c>
      <c r="G951">
        <f>IF($A951="","",IF($E951=1,$F951,IF($F951="",$G950,IF($G950="",$F951,$G950&amp;", "&amp;$F951))))</f>
        <v/>
      </c>
      <c r="H951">
        <f>IF($A951="","",$A951&amp;" ("&amp;$C951&amp;")")</f>
        <v/>
      </c>
      <c r="I951">
        <f>IF($A951="","",IF($E951=1,$H951,$I950&amp;", "&amp;$H951))</f>
        <v/>
      </c>
      <c r="J951">
        <f>IF($A951="","",IF($E951=1,$B951,""))</f>
        <v/>
      </c>
      <c r="K951">
        <f>IF($A951="","",IF(COUNTIF($B$2:$B951,$B951)=COUNTIF($B$2:$B$1601,$B951),$B951,""))</f>
        <v/>
      </c>
    </row>
    <row r="952">
      <c r="A952">
        <f>IF('TMP Paste'!$E952="","",'TMP Paste'!$E952)</f>
        <v/>
      </c>
      <c r="B952">
        <f>IF($A952="","",COUNTIF('TMP Paste'!$B$2:$B952,"?*"))</f>
        <v/>
      </c>
      <c r="C952">
        <f>IF($A952="","",IFERROR('TMP Paste'!$M952*1,0))</f>
        <v/>
      </c>
      <c r="D952">
        <f>IF($A952="","",SUMIF($B$2:$B952,$B952,$C$2:$C952))</f>
        <v/>
      </c>
      <c r="E952">
        <f>IF($A952="",0,IF('TMP Paste'!$B952="",0,1))</f>
        <v/>
      </c>
      <c r="F952">
        <f>IF(OR($A952="",$C952&lt;1),"",$A952&amp;"-"&amp;TEXT(($D952-$C952+1),"00")&amp;IF($C952&gt;=2,", "&amp;$A952&amp;"-"&amp;TEXT(($D952-$C952+1)+1,"00"),"")&amp;IF($C952&gt;=3,", "&amp;$A952&amp;"-"&amp;TEXT(($D952-$C952+1)+2,"00"),"")&amp;IF($C952&gt;=4,", "&amp;$A952&amp;"-"&amp;TEXT(($D952-$C952+1)+3,"00"),"")&amp;IF($C952&gt;=5,", "&amp;$A952&amp;"-"&amp;TEXT(($D952-$C952+1)+4,"00"),"")&amp;IF($C952&gt;=6,", "&amp;$A952&amp;"-"&amp;TEXT(($D952-$C952+1)+5,"00"),"")&amp;IF($C952&gt;=7,", "&amp;$A952&amp;"-"&amp;TEXT(($D952-$C952+1)+6,"00"),"")&amp;IF($C952&gt;=8,", "&amp;$A952&amp;"-"&amp;TEXT(($D952-$C952+1)+7,"00"),"")&amp;IF($C952&gt;=9,", "&amp;$A952&amp;"-"&amp;TEXT(($D952-$C952+1)+8,"00"),"")&amp;IF($C952&gt;=10,", "&amp;$A952&amp;"-"&amp;TEXT(($D952-$C952+1)+9,"00"),"")&amp;IF($C952&gt;=11,", "&amp;$A952&amp;"-"&amp;TEXT(($D952-$C952+1)+10,"00"),"")&amp;IF($C952&gt;=12,", "&amp;$A952&amp;"-"&amp;TEXT(($D952-$C952+1)+11,"00"),"")&amp;IF($C952&gt;=13,", "&amp;$A952&amp;"-"&amp;TEXT(($D952-$C952+1)+12,"00"),"")&amp;IF($C952&gt;=14,", "&amp;$A952&amp;"-"&amp;TEXT(($D952-$C952+1)+13,"00"),"")&amp;IF($C952&gt;=15,", "&amp;$A952&amp;"-"&amp;TEXT(($D952-$C952+1)+14,"00"),"")&amp;IF($C952&gt;=16,", "&amp;$A952&amp;"-"&amp;TEXT(($D952-$C952+1)+15,"00"),"")&amp;IF($C952&gt;=17,", "&amp;$A952&amp;"-"&amp;TEXT(($D952-$C952+1)+16,"00"),"")&amp;IF($C952&gt;=18,", "&amp;$A952&amp;"-"&amp;TEXT(($D952-$C952+1)+17,"00"),"")&amp;IF($C952&gt;=19,", "&amp;$A952&amp;"-"&amp;TEXT(($D952-$C952+1)+18,"00"),"")&amp;IF($C952&gt;=20,", "&amp;$A952&amp;"-"&amp;TEXT(($D952-$C952+1)+19,"00"),"")&amp;IF($C952&gt;=21,", "&amp;$A952&amp;"-"&amp;TEXT(($D952-$C952+1)+20,"00"),"")&amp;IF($C952&gt;=22,", "&amp;$A952&amp;"-"&amp;TEXT(($D952-$C952+1)+21,"00"),"")&amp;IF($C952&gt;=23,", "&amp;$A952&amp;"-"&amp;TEXT(($D952-$C952+1)+22,"00"),"")&amp;IF($C952&gt;=24,", "&amp;$A952&amp;"-"&amp;TEXT(($D952-$C952+1)+23,"00"),"")&amp;IF($C952&gt;=25,", "&amp;$A952&amp;"-"&amp;TEXT(($D952-$C952+1)+24,"00"),""))</f>
        <v/>
      </c>
      <c r="G952">
        <f>IF($A952="","",IF($E952=1,$F952,IF($F952="",$G951,IF($G951="",$F952,$G951&amp;", "&amp;$F952))))</f>
        <v/>
      </c>
      <c r="H952">
        <f>IF($A952="","",$A952&amp;" ("&amp;$C952&amp;")")</f>
        <v/>
      </c>
      <c r="I952">
        <f>IF($A952="","",IF($E952=1,$H952,$I951&amp;", "&amp;$H952))</f>
        <v/>
      </c>
      <c r="J952">
        <f>IF($A952="","",IF($E952=1,$B952,""))</f>
        <v/>
      </c>
      <c r="K952">
        <f>IF($A952="","",IF(COUNTIF($B$2:$B952,$B952)=COUNTIF($B$2:$B$1601,$B952),$B952,""))</f>
        <v/>
      </c>
    </row>
    <row r="953">
      <c r="A953">
        <f>IF('TMP Paste'!$E953="","",'TMP Paste'!$E953)</f>
        <v/>
      </c>
      <c r="B953">
        <f>IF($A953="","",COUNTIF('TMP Paste'!$B$2:$B953,"?*"))</f>
        <v/>
      </c>
      <c r="C953">
        <f>IF($A953="","",IFERROR('TMP Paste'!$M953*1,0))</f>
        <v/>
      </c>
      <c r="D953">
        <f>IF($A953="","",SUMIF($B$2:$B953,$B953,$C$2:$C953))</f>
        <v/>
      </c>
      <c r="E953">
        <f>IF($A953="",0,IF('TMP Paste'!$B953="",0,1))</f>
        <v/>
      </c>
      <c r="F953">
        <f>IF(OR($A953="",$C953&lt;1),"",$A953&amp;"-"&amp;TEXT(($D953-$C953+1),"00")&amp;IF($C953&gt;=2,", "&amp;$A953&amp;"-"&amp;TEXT(($D953-$C953+1)+1,"00"),"")&amp;IF($C953&gt;=3,", "&amp;$A953&amp;"-"&amp;TEXT(($D953-$C953+1)+2,"00"),"")&amp;IF($C953&gt;=4,", "&amp;$A953&amp;"-"&amp;TEXT(($D953-$C953+1)+3,"00"),"")&amp;IF($C953&gt;=5,", "&amp;$A953&amp;"-"&amp;TEXT(($D953-$C953+1)+4,"00"),"")&amp;IF($C953&gt;=6,", "&amp;$A953&amp;"-"&amp;TEXT(($D953-$C953+1)+5,"00"),"")&amp;IF($C953&gt;=7,", "&amp;$A953&amp;"-"&amp;TEXT(($D953-$C953+1)+6,"00"),"")&amp;IF($C953&gt;=8,", "&amp;$A953&amp;"-"&amp;TEXT(($D953-$C953+1)+7,"00"),"")&amp;IF($C953&gt;=9,", "&amp;$A953&amp;"-"&amp;TEXT(($D953-$C953+1)+8,"00"),"")&amp;IF($C953&gt;=10,", "&amp;$A953&amp;"-"&amp;TEXT(($D953-$C953+1)+9,"00"),"")&amp;IF($C953&gt;=11,", "&amp;$A953&amp;"-"&amp;TEXT(($D953-$C953+1)+10,"00"),"")&amp;IF($C953&gt;=12,", "&amp;$A953&amp;"-"&amp;TEXT(($D953-$C953+1)+11,"00"),"")&amp;IF($C953&gt;=13,", "&amp;$A953&amp;"-"&amp;TEXT(($D953-$C953+1)+12,"00"),"")&amp;IF($C953&gt;=14,", "&amp;$A953&amp;"-"&amp;TEXT(($D953-$C953+1)+13,"00"),"")&amp;IF($C953&gt;=15,", "&amp;$A953&amp;"-"&amp;TEXT(($D953-$C953+1)+14,"00"),"")&amp;IF($C953&gt;=16,", "&amp;$A953&amp;"-"&amp;TEXT(($D953-$C953+1)+15,"00"),"")&amp;IF($C953&gt;=17,", "&amp;$A953&amp;"-"&amp;TEXT(($D953-$C953+1)+16,"00"),"")&amp;IF($C953&gt;=18,", "&amp;$A953&amp;"-"&amp;TEXT(($D953-$C953+1)+17,"00"),"")&amp;IF($C953&gt;=19,", "&amp;$A953&amp;"-"&amp;TEXT(($D953-$C953+1)+18,"00"),"")&amp;IF($C953&gt;=20,", "&amp;$A953&amp;"-"&amp;TEXT(($D953-$C953+1)+19,"00"),"")&amp;IF($C953&gt;=21,", "&amp;$A953&amp;"-"&amp;TEXT(($D953-$C953+1)+20,"00"),"")&amp;IF($C953&gt;=22,", "&amp;$A953&amp;"-"&amp;TEXT(($D953-$C953+1)+21,"00"),"")&amp;IF($C953&gt;=23,", "&amp;$A953&amp;"-"&amp;TEXT(($D953-$C953+1)+22,"00"),"")&amp;IF($C953&gt;=24,", "&amp;$A953&amp;"-"&amp;TEXT(($D953-$C953+1)+23,"00"),"")&amp;IF($C953&gt;=25,", "&amp;$A953&amp;"-"&amp;TEXT(($D953-$C953+1)+24,"00"),""))</f>
        <v/>
      </c>
      <c r="G953">
        <f>IF($A953="","",IF($E953=1,$F953,IF($F953="",$G952,IF($G952="",$F953,$G952&amp;", "&amp;$F953))))</f>
        <v/>
      </c>
      <c r="H953">
        <f>IF($A953="","",$A953&amp;" ("&amp;$C953&amp;")")</f>
        <v/>
      </c>
      <c r="I953">
        <f>IF($A953="","",IF($E953=1,$H953,$I952&amp;", "&amp;$H953))</f>
        <v/>
      </c>
      <c r="J953">
        <f>IF($A953="","",IF($E953=1,$B953,""))</f>
        <v/>
      </c>
      <c r="K953">
        <f>IF($A953="","",IF(COUNTIF($B$2:$B953,$B953)=COUNTIF($B$2:$B$1601,$B953),$B953,""))</f>
        <v/>
      </c>
    </row>
    <row r="954">
      <c r="A954">
        <f>IF('TMP Paste'!$E954="","",'TMP Paste'!$E954)</f>
        <v/>
      </c>
      <c r="B954">
        <f>IF($A954="","",COUNTIF('TMP Paste'!$B$2:$B954,"?*"))</f>
        <v/>
      </c>
      <c r="C954">
        <f>IF($A954="","",IFERROR('TMP Paste'!$M954*1,0))</f>
        <v/>
      </c>
      <c r="D954">
        <f>IF($A954="","",SUMIF($B$2:$B954,$B954,$C$2:$C954))</f>
        <v/>
      </c>
      <c r="E954">
        <f>IF($A954="",0,IF('TMP Paste'!$B954="",0,1))</f>
        <v/>
      </c>
      <c r="F954">
        <f>IF(OR($A954="",$C954&lt;1),"",$A954&amp;"-"&amp;TEXT(($D954-$C954+1),"00")&amp;IF($C954&gt;=2,", "&amp;$A954&amp;"-"&amp;TEXT(($D954-$C954+1)+1,"00"),"")&amp;IF($C954&gt;=3,", "&amp;$A954&amp;"-"&amp;TEXT(($D954-$C954+1)+2,"00"),"")&amp;IF($C954&gt;=4,", "&amp;$A954&amp;"-"&amp;TEXT(($D954-$C954+1)+3,"00"),"")&amp;IF($C954&gt;=5,", "&amp;$A954&amp;"-"&amp;TEXT(($D954-$C954+1)+4,"00"),"")&amp;IF($C954&gt;=6,", "&amp;$A954&amp;"-"&amp;TEXT(($D954-$C954+1)+5,"00"),"")&amp;IF($C954&gt;=7,", "&amp;$A954&amp;"-"&amp;TEXT(($D954-$C954+1)+6,"00"),"")&amp;IF($C954&gt;=8,", "&amp;$A954&amp;"-"&amp;TEXT(($D954-$C954+1)+7,"00"),"")&amp;IF($C954&gt;=9,", "&amp;$A954&amp;"-"&amp;TEXT(($D954-$C954+1)+8,"00"),"")&amp;IF($C954&gt;=10,", "&amp;$A954&amp;"-"&amp;TEXT(($D954-$C954+1)+9,"00"),"")&amp;IF($C954&gt;=11,", "&amp;$A954&amp;"-"&amp;TEXT(($D954-$C954+1)+10,"00"),"")&amp;IF($C954&gt;=12,", "&amp;$A954&amp;"-"&amp;TEXT(($D954-$C954+1)+11,"00"),"")&amp;IF($C954&gt;=13,", "&amp;$A954&amp;"-"&amp;TEXT(($D954-$C954+1)+12,"00"),"")&amp;IF($C954&gt;=14,", "&amp;$A954&amp;"-"&amp;TEXT(($D954-$C954+1)+13,"00"),"")&amp;IF($C954&gt;=15,", "&amp;$A954&amp;"-"&amp;TEXT(($D954-$C954+1)+14,"00"),"")&amp;IF($C954&gt;=16,", "&amp;$A954&amp;"-"&amp;TEXT(($D954-$C954+1)+15,"00"),"")&amp;IF($C954&gt;=17,", "&amp;$A954&amp;"-"&amp;TEXT(($D954-$C954+1)+16,"00"),"")&amp;IF($C954&gt;=18,", "&amp;$A954&amp;"-"&amp;TEXT(($D954-$C954+1)+17,"00"),"")&amp;IF($C954&gt;=19,", "&amp;$A954&amp;"-"&amp;TEXT(($D954-$C954+1)+18,"00"),"")&amp;IF($C954&gt;=20,", "&amp;$A954&amp;"-"&amp;TEXT(($D954-$C954+1)+19,"00"),"")&amp;IF($C954&gt;=21,", "&amp;$A954&amp;"-"&amp;TEXT(($D954-$C954+1)+20,"00"),"")&amp;IF($C954&gt;=22,", "&amp;$A954&amp;"-"&amp;TEXT(($D954-$C954+1)+21,"00"),"")&amp;IF($C954&gt;=23,", "&amp;$A954&amp;"-"&amp;TEXT(($D954-$C954+1)+22,"00"),"")&amp;IF($C954&gt;=24,", "&amp;$A954&amp;"-"&amp;TEXT(($D954-$C954+1)+23,"00"),"")&amp;IF($C954&gt;=25,", "&amp;$A954&amp;"-"&amp;TEXT(($D954-$C954+1)+24,"00"),""))</f>
        <v/>
      </c>
      <c r="G954">
        <f>IF($A954="","",IF($E954=1,$F954,IF($F954="",$G953,IF($G953="",$F954,$G953&amp;", "&amp;$F954))))</f>
        <v/>
      </c>
      <c r="H954">
        <f>IF($A954="","",$A954&amp;" ("&amp;$C954&amp;")")</f>
        <v/>
      </c>
      <c r="I954">
        <f>IF($A954="","",IF($E954=1,$H954,$I953&amp;", "&amp;$H954))</f>
        <v/>
      </c>
      <c r="J954">
        <f>IF($A954="","",IF($E954=1,$B954,""))</f>
        <v/>
      </c>
      <c r="K954">
        <f>IF($A954="","",IF(COUNTIF($B$2:$B954,$B954)=COUNTIF($B$2:$B$1601,$B954),$B954,""))</f>
        <v/>
      </c>
    </row>
    <row r="955">
      <c r="A955">
        <f>IF('TMP Paste'!$E955="","",'TMP Paste'!$E955)</f>
        <v/>
      </c>
      <c r="B955">
        <f>IF($A955="","",COUNTIF('TMP Paste'!$B$2:$B955,"?*"))</f>
        <v/>
      </c>
      <c r="C955">
        <f>IF($A955="","",IFERROR('TMP Paste'!$M955*1,0))</f>
        <v/>
      </c>
      <c r="D955">
        <f>IF($A955="","",SUMIF($B$2:$B955,$B955,$C$2:$C955))</f>
        <v/>
      </c>
      <c r="E955">
        <f>IF($A955="",0,IF('TMP Paste'!$B955="",0,1))</f>
        <v/>
      </c>
      <c r="F955">
        <f>IF(OR($A955="",$C955&lt;1),"",$A955&amp;"-"&amp;TEXT(($D955-$C955+1),"00")&amp;IF($C955&gt;=2,", "&amp;$A955&amp;"-"&amp;TEXT(($D955-$C955+1)+1,"00"),"")&amp;IF($C955&gt;=3,", "&amp;$A955&amp;"-"&amp;TEXT(($D955-$C955+1)+2,"00"),"")&amp;IF($C955&gt;=4,", "&amp;$A955&amp;"-"&amp;TEXT(($D955-$C955+1)+3,"00"),"")&amp;IF($C955&gt;=5,", "&amp;$A955&amp;"-"&amp;TEXT(($D955-$C955+1)+4,"00"),"")&amp;IF($C955&gt;=6,", "&amp;$A955&amp;"-"&amp;TEXT(($D955-$C955+1)+5,"00"),"")&amp;IF($C955&gt;=7,", "&amp;$A955&amp;"-"&amp;TEXT(($D955-$C955+1)+6,"00"),"")&amp;IF($C955&gt;=8,", "&amp;$A955&amp;"-"&amp;TEXT(($D955-$C955+1)+7,"00"),"")&amp;IF($C955&gt;=9,", "&amp;$A955&amp;"-"&amp;TEXT(($D955-$C955+1)+8,"00"),"")&amp;IF($C955&gt;=10,", "&amp;$A955&amp;"-"&amp;TEXT(($D955-$C955+1)+9,"00"),"")&amp;IF($C955&gt;=11,", "&amp;$A955&amp;"-"&amp;TEXT(($D955-$C955+1)+10,"00"),"")&amp;IF($C955&gt;=12,", "&amp;$A955&amp;"-"&amp;TEXT(($D955-$C955+1)+11,"00"),"")&amp;IF($C955&gt;=13,", "&amp;$A955&amp;"-"&amp;TEXT(($D955-$C955+1)+12,"00"),"")&amp;IF($C955&gt;=14,", "&amp;$A955&amp;"-"&amp;TEXT(($D955-$C955+1)+13,"00"),"")&amp;IF($C955&gt;=15,", "&amp;$A955&amp;"-"&amp;TEXT(($D955-$C955+1)+14,"00"),"")&amp;IF($C955&gt;=16,", "&amp;$A955&amp;"-"&amp;TEXT(($D955-$C955+1)+15,"00"),"")&amp;IF($C955&gt;=17,", "&amp;$A955&amp;"-"&amp;TEXT(($D955-$C955+1)+16,"00"),"")&amp;IF($C955&gt;=18,", "&amp;$A955&amp;"-"&amp;TEXT(($D955-$C955+1)+17,"00"),"")&amp;IF($C955&gt;=19,", "&amp;$A955&amp;"-"&amp;TEXT(($D955-$C955+1)+18,"00"),"")&amp;IF($C955&gt;=20,", "&amp;$A955&amp;"-"&amp;TEXT(($D955-$C955+1)+19,"00"),"")&amp;IF($C955&gt;=21,", "&amp;$A955&amp;"-"&amp;TEXT(($D955-$C955+1)+20,"00"),"")&amp;IF($C955&gt;=22,", "&amp;$A955&amp;"-"&amp;TEXT(($D955-$C955+1)+21,"00"),"")&amp;IF($C955&gt;=23,", "&amp;$A955&amp;"-"&amp;TEXT(($D955-$C955+1)+22,"00"),"")&amp;IF($C955&gt;=24,", "&amp;$A955&amp;"-"&amp;TEXT(($D955-$C955+1)+23,"00"),"")&amp;IF($C955&gt;=25,", "&amp;$A955&amp;"-"&amp;TEXT(($D955-$C955+1)+24,"00"),""))</f>
        <v/>
      </c>
      <c r="G955">
        <f>IF($A955="","",IF($E955=1,$F955,IF($F955="",$G954,IF($G954="",$F955,$G954&amp;", "&amp;$F955))))</f>
        <v/>
      </c>
      <c r="H955">
        <f>IF($A955="","",$A955&amp;" ("&amp;$C955&amp;")")</f>
        <v/>
      </c>
      <c r="I955">
        <f>IF($A955="","",IF($E955=1,$H955,$I954&amp;", "&amp;$H955))</f>
        <v/>
      </c>
      <c r="J955">
        <f>IF($A955="","",IF($E955=1,$B955,""))</f>
        <v/>
      </c>
      <c r="K955">
        <f>IF($A955="","",IF(COUNTIF($B$2:$B955,$B955)=COUNTIF($B$2:$B$1601,$B955),$B955,""))</f>
        <v/>
      </c>
    </row>
    <row r="956">
      <c r="A956">
        <f>IF('TMP Paste'!$E956="","",'TMP Paste'!$E956)</f>
        <v/>
      </c>
      <c r="B956">
        <f>IF($A956="","",COUNTIF('TMP Paste'!$B$2:$B956,"?*"))</f>
        <v/>
      </c>
      <c r="C956">
        <f>IF($A956="","",IFERROR('TMP Paste'!$M956*1,0))</f>
        <v/>
      </c>
      <c r="D956">
        <f>IF($A956="","",SUMIF($B$2:$B956,$B956,$C$2:$C956))</f>
        <v/>
      </c>
      <c r="E956">
        <f>IF($A956="",0,IF('TMP Paste'!$B956="",0,1))</f>
        <v/>
      </c>
      <c r="F956">
        <f>IF(OR($A956="",$C956&lt;1),"",$A956&amp;"-"&amp;TEXT(($D956-$C956+1),"00")&amp;IF($C956&gt;=2,", "&amp;$A956&amp;"-"&amp;TEXT(($D956-$C956+1)+1,"00"),"")&amp;IF($C956&gt;=3,", "&amp;$A956&amp;"-"&amp;TEXT(($D956-$C956+1)+2,"00"),"")&amp;IF($C956&gt;=4,", "&amp;$A956&amp;"-"&amp;TEXT(($D956-$C956+1)+3,"00"),"")&amp;IF($C956&gt;=5,", "&amp;$A956&amp;"-"&amp;TEXT(($D956-$C956+1)+4,"00"),"")&amp;IF($C956&gt;=6,", "&amp;$A956&amp;"-"&amp;TEXT(($D956-$C956+1)+5,"00"),"")&amp;IF($C956&gt;=7,", "&amp;$A956&amp;"-"&amp;TEXT(($D956-$C956+1)+6,"00"),"")&amp;IF($C956&gt;=8,", "&amp;$A956&amp;"-"&amp;TEXT(($D956-$C956+1)+7,"00"),"")&amp;IF($C956&gt;=9,", "&amp;$A956&amp;"-"&amp;TEXT(($D956-$C956+1)+8,"00"),"")&amp;IF($C956&gt;=10,", "&amp;$A956&amp;"-"&amp;TEXT(($D956-$C956+1)+9,"00"),"")&amp;IF($C956&gt;=11,", "&amp;$A956&amp;"-"&amp;TEXT(($D956-$C956+1)+10,"00"),"")&amp;IF($C956&gt;=12,", "&amp;$A956&amp;"-"&amp;TEXT(($D956-$C956+1)+11,"00"),"")&amp;IF($C956&gt;=13,", "&amp;$A956&amp;"-"&amp;TEXT(($D956-$C956+1)+12,"00"),"")&amp;IF($C956&gt;=14,", "&amp;$A956&amp;"-"&amp;TEXT(($D956-$C956+1)+13,"00"),"")&amp;IF($C956&gt;=15,", "&amp;$A956&amp;"-"&amp;TEXT(($D956-$C956+1)+14,"00"),"")&amp;IF($C956&gt;=16,", "&amp;$A956&amp;"-"&amp;TEXT(($D956-$C956+1)+15,"00"),"")&amp;IF($C956&gt;=17,", "&amp;$A956&amp;"-"&amp;TEXT(($D956-$C956+1)+16,"00"),"")&amp;IF($C956&gt;=18,", "&amp;$A956&amp;"-"&amp;TEXT(($D956-$C956+1)+17,"00"),"")&amp;IF($C956&gt;=19,", "&amp;$A956&amp;"-"&amp;TEXT(($D956-$C956+1)+18,"00"),"")&amp;IF($C956&gt;=20,", "&amp;$A956&amp;"-"&amp;TEXT(($D956-$C956+1)+19,"00"),"")&amp;IF($C956&gt;=21,", "&amp;$A956&amp;"-"&amp;TEXT(($D956-$C956+1)+20,"00"),"")&amp;IF($C956&gt;=22,", "&amp;$A956&amp;"-"&amp;TEXT(($D956-$C956+1)+21,"00"),"")&amp;IF($C956&gt;=23,", "&amp;$A956&amp;"-"&amp;TEXT(($D956-$C956+1)+22,"00"),"")&amp;IF($C956&gt;=24,", "&amp;$A956&amp;"-"&amp;TEXT(($D956-$C956+1)+23,"00"),"")&amp;IF($C956&gt;=25,", "&amp;$A956&amp;"-"&amp;TEXT(($D956-$C956+1)+24,"00"),""))</f>
        <v/>
      </c>
      <c r="G956">
        <f>IF($A956="","",IF($E956=1,$F956,IF($F956="",$G955,IF($G955="",$F956,$G955&amp;", "&amp;$F956))))</f>
        <v/>
      </c>
      <c r="H956">
        <f>IF($A956="","",$A956&amp;" ("&amp;$C956&amp;")")</f>
        <v/>
      </c>
      <c r="I956">
        <f>IF($A956="","",IF($E956=1,$H956,$I955&amp;", "&amp;$H956))</f>
        <v/>
      </c>
      <c r="J956">
        <f>IF($A956="","",IF($E956=1,$B956,""))</f>
        <v/>
      </c>
      <c r="K956">
        <f>IF($A956="","",IF(COUNTIF($B$2:$B956,$B956)=COUNTIF($B$2:$B$1601,$B956),$B956,""))</f>
        <v/>
      </c>
    </row>
    <row r="957">
      <c r="A957">
        <f>IF('TMP Paste'!$E957="","",'TMP Paste'!$E957)</f>
        <v/>
      </c>
      <c r="B957">
        <f>IF($A957="","",COUNTIF('TMP Paste'!$B$2:$B957,"?*"))</f>
        <v/>
      </c>
      <c r="C957">
        <f>IF($A957="","",IFERROR('TMP Paste'!$M957*1,0))</f>
        <v/>
      </c>
      <c r="D957">
        <f>IF($A957="","",SUMIF($B$2:$B957,$B957,$C$2:$C957))</f>
        <v/>
      </c>
      <c r="E957">
        <f>IF($A957="",0,IF('TMP Paste'!$B957="",0,1))</f>
        <v/>
      </c>
      <c r="F957">
        <f>IF(OR($A957="",$C957&lt;1),"",$A957&amp;"-"&amp;TEXT(($D957-$C957+1),"00")&amp;IF($C957&gt;=2,", "&amp;$A957&amp;"-"&amp;TEXT(($D957-$C957+1)+1,"00"),"")&amp;IF($C957&gt;=3,", "&amp;$A957&amp;"-"&amp;TEXT(($D957-$C957+1)+2,"00"),"")&amp;IF($C957&gt;=4,", "&amp;$A957&amp;"-"&amp;TEXT(($D957-$C957+1)+3,"00"),"")&amp;IF($C957&gt;=5,", "&amp;$A957&amp;"-"&amp;TEXT(($D957-$C957+1)+4,"00"),"")&amp;IF($C957&gt;=6,", "&amp;$A957&amp;"-"&amp;TEXT(($D957-$C957+1)+5,"00"),"")&amp;IF($C957&gt;=7,", "&amp;$A957&amp;"-"&amp;TEXT(($D957-$C957+1)+6,"00"),"")&amp;IF($C957&gt;=8,", "&amp;$A957&amp;"-"&amp;TEXT(($D957-$C957+1)+7,"00"),"")&amp;IF($C957&gt;=9,", "&amp;$A957&amp;"-"&amp;TEXT(($D957-$C957+1)+8,"00"),"")&amp;IF($C957&gt;=10,", "&amp;$A957&amp;"-"&amp;TEXT(($D957-$C957+1)+9,"00"),"")&amp;IF($C957&gt;=11,", "&amp;$A957&amp;"-"&amp;TEXT(($D957-$C957+1)+10,"00"),"")&amp;IF($C957&gt;=12,", "&amp;$A957&amp;"-"&amp;TEXT(($D957-$C957+1)+11,"00"),"")&amp;IF($C957&gt;=13,", "&amp;$A957&amp;"-"&amp;TEXT(($D957-$C957+1)+12,"00"),"")&amp;IF($C957&gt;=14,", "&amp;$A957&amp;"-"&amp;TEXT(($D957-$C957+1)+13,"00"),"")&amp;IF($C957&gt;=15,", "&amp;$A957&amp;"-"&amp;TEXT(($D957-$C957+1)+14,"00"),"")&amp;IF($C957&gt;=16,", "&amp;$A957&amp;"-"&amp;TEXT(($D957-$C957+1)+15,"00"),"")&amp;IF($C957&gt;=17,", "&amp;$A957&amp;"-"&amp;TEXT(($D957-$C957+1)+16,"00"),"")&amp;IF($C957&gt;=18,", "&amp;$A957&amp;"-"&amp;TEXT(($D957-$C957+1)+17,"00"),"")&amp;IF($C957&gt;=19,", "&amp;$A957&amp;"-"&amp;TEXT(($D957-$C957+1)+18,"00"),"")&amp;IF($C957&gt;=20,", "&amp;$A957&amp;"-"&amp;TEXT(($D957-$C957+1)+19,"00"),"")&amp;IF($C957&gt;=21,", "&amp;$A957&amp;"-"&amp;TEXT(($D957-$C957+1)+20,"00"),"")&amp;IF($C957&gt;=22,", "&amp;$A957&amp;"-"&amp;TEXT(($D957-$C957+1)+21,"00"),"")&amp;IF($C957&gt;=23,", "&amp;$A957&amp;"-"&amp;TEXT(($D957-$C957+1)+22,"00"),"")&amp;IF($C957&gt;=24,", "&amp;$A957&amp;"-"&amp;TEXT(($D957-$C957+1)+23,"00"),"")&amp;IF($C957&gt;=25,", "&amp;$A957&amp;"-"&amp;TEXT(($D957-$C957+1)+24,"00"),""))</f>
        <v/>
      </c>
      <c r="G957">
        <f>IF($A957="","",IF($E957=1,$F957,IF($F957="",$G956,IF($G956="",$F957,$G956&amp;", "&amp;$F957))))</f>
        <v/>
      </c>
      <c r="H957">
        <f>IF($A957="","",$A957&amp;" ("&amp;$C957&amp;")")</f>
        <v/>
      </c>
      <c r="I957">
        <f>IF($A957="","",IF($E957=1,$H957,$I956&amp;", "&amp;$H957))</f>
        <v/>
      </c>
      <c r="J957">
        <f>IF($A957="","",IF($E957=1,$B957,""))</f>
        <v/>
      </c>
      <c r="K957">
        <f>IF($A957="","",IF(COUNTIF($B$2:$B957,$B957)=COUNTIF($B$2:$B$1601,$B957),$B957,""))</f>
        <v/>
      </c>
    </row>
    <row r="958">
      <c r="A958">
        <f>IF('TMP Paste'!$E958="","",'TMP Paste'!$E958)</f>
        <v/>
      </c>
      <c r="B958">
        <f>IF($A958="","",COUNTIF('TMP Paste'!$B$2:$B958,"?*"))</f>
        <v/>
      </c>
      <c r="C958">
        <f>IF($A958="","",IFERROR('TMP Paste'!$M958*1,0))</f>
        <v/>
      </c>
      <c r="D958">
        <f>IF($A958="","",SUMIF($B$2:$B958,$B958,$C$2:$C958))</f>
        <v/>
      </c>
      <c r="E958">
        <f>IF($A958="",0,IF('TMP Paste'!$B958="",0,1))</f>
        <v/>
      </c>
      <c r="F958">
        <f>IF(OR($A958="",$C958&lt;1),"",$A958&amp;"-"&amp;TEXT(($D958-$C958+1),"00")&amp;IF($C958&gt;=2,", "&amp;$A958&amp;"-"&amp;TEXT(($D958-$C958+1)+1,"00"),"")&amp;IF($C958&gt;=3,", "&amp;$A958&amp;"-"&amp;TEXT(($D958-$C958+1)+2,"00"),"")&amp;IF($C958&gt;=4,", "&amp;$A958&amp;"-"&amp;TEXT(($D958-$C958+1)+3,"00"),"")&amp;IF($C958&gt;=5,", "&amp;$A958&amp;"-"&amp;TEXT(($D958-$C958+1)+4,"00"),"")&amp;IF($C958&gt;=6,", "&amp;$A958&amp;"-"&amp;TEXT(($D958-$C958+1)+5,"00"),"")&amp;IF($C958&gt;=7,", "&amp;$A958&amp;"-"&amp;TEXT(($D958-$C958+1)+6,"00"),"")&amp;IF($C958&gt;=8,", "&amp;$A958&amp;"-"&amp;TEXT(($D958-$C958+1)+7,"00"),"")&amp;IF($C958&gt;=9,", "&amp;$A958&amp;"-"&amp;TEXT(($D958-$C958+1)+8,"00"),"")&amp;IF($C958&gt;=10,", "&amp;$A958&amp;"-"&amp;TEXT(($D958-$C958+1)+9,"00"),"")&amp;IF($C958&gt;=11,", "&amp;$A958&amp;"-"&amp;TEXT(($D958-$C958+1)+10,"00"),"")&amp;IF($C958&gt;=12,", "&amp;$A958&amp;"-"&amp;TEXT(($D958-$C958+1)+11,"00"),"")&amp;IF($C958&gt;=13,", "&amp;$A958&amp;"-"&amp;TEXT(($D958-$C958+1)+12,"00"),"")&amp;IF($C958&gt;=14,", "&amp;$A958&amp;"-"&amp;TEXT(($D958-$C958+1)+13,"00"),"")&amp;IF($C958&gt;=15,", "&amp;$A958&amp;"-"&amp;TEXT(($D958-$C958+1)+14,"00"),"")&amp;IF($C958&gt;=16,", "&amp;$A958&amp;"-"&amp;TEXT(($D958-$C958+1)+15,"00"),"")&amp;IF($C958&gt;=17,", "&amp;$A958&amp;"-"&amp;TEXT(($D958-$C958+1)+16,"00"),"")&amp;IF($C958&gt;=18,", "&amp;$A958&amp;"-"&amp;TEXT(($D958-$C958+1)+17,"00"),"")&amp;IF($C958&gt;=19,", "&amp;$A958&amp;"-"&amp;TEXT(($D958-$C958+1)+18,"00"),"")&amp;IF($C958&gt;=20,", "&amp;$A958&amp;"-"&amp;TEXT(($D958-$C958+1)+19,"00"),"")&amp;IF($C958&gt;=21,", "&amp;$A958&amp;"-"&amp;TEXT(($D958-$C958+1)+20,"00"),"")&amp;IF($C958&gt;=22,", "&amp;$A958&amp;"-"&amp;TEXT(($D958-$C958+1)+21,"00"),"")&amp;IF($C958&gt;=23,", "&amp;$A958&amp;"-"&amp;TEXT(($D958-$C958+1)+22,"00"),"")&amp;IF($C958&gt;=24,", "&amp;$A958&amp;"-"&amp;TEXT(($D958-$C958+1)+23,"00"),"")&amp;IF($C958&gt;=25,", "&amp;$A958&amp;"-"&amp;TEXT(($D958-$C958+1)+24,"00"),""))</f>
        <v/>
      </c>
      <c r="G958">
        <f>IF($A958="","",IF($E958=1,$F958,IF($F958="",$G957,IF($G957="",$F958,$G957&amp;", "&amp;$F958))))</f>
        <v/>
      </c>
      <c r="H958">
        <f>IF($A958="","",$A958&amp;" ("&amp;$C958&amp;")")</f>
        <v/>
      </c>
      <c r="I958">
        <f>IF($A958="","",IF($E958=1,$H958,$I957&amp;", "&amp;$H958))</f>
        <v/>
      </c>
      <c r="J958">
        <f>IF($A958="","",IF($E958=1,$B958,""))</f>
        <v/>
      </c>
      <c r="K958">
        <f>IF($A958="","",IF(COUNTIF($B$2:$B958,$B958)=COUNTIF($B$2:$B$1601,$B958),$B958,""))</f>
        <v/>
      </c>
    </row>
    <row r="959">
      <c r="A959">
        <f>IF('TMP Paste'!$E959="","",'TMP Paste'!$E959)</f>
        <v/>
      </c>
      <c r="B959">
        <f>IF($A959="","",COUNTIF('TMP Paste'!$B$2:$B959,"?*"))</f>
        <v/>
      </c>
      <c r="C959">
        <f>IF($A959="","",IFERROR('TMP Paste'!$M959*1,0))</f>
        <v/>
      </c>
      <c r="D959">
        <f>IF($A959="","",SUMIF($B$2:$B959,$B959,$C$2:$C959))</f>
        <v/>
      </c>
      <c r="E959">
        <f>IF($A959="",0,IF('TMP Paste'!$B959="",0,1))</f>
        <v/>
      </c>
      <c r="F959">
        <f>IF(OR($A959="",$C959&lt;1),"",$A959&amp;"-"&amp;TEXT(($D959-$C959+1),"00")&amp;IF($C959&gt;=2,", "&amp;$A959&amp;"-"&amp;TEXT(($D959-$C959+1)+1,"00"),"")&amp;IF($C959&gt;=3,", "&amp;$A959&amp;"-"&amp;TEXT(($D959-$C959+1)+2,"00"),"")&amp;IF($C959&gt;=4,", "&amp;$A959&amp;"-"&amp;TEXT(($D959-$C959+1)+3,"00"),"")&amp;IF($C959&gt;=5,", "&amp;$A959&amp;"-"&amp;TEXT(($D959-$C959+1)+4,"00"),"")&amp;IF($C959&gt;=6,", "&amp;$A959&amp;"-"&amp;TEXT(($D959-$C959+1)+5,"00"),"")&amp;IF($C959&gt;=7,", "&amp;$A959&amp;"-"&amp;TEXT(($D959-$C959+1)+6,"00"),"")&amp;IF($C959&gt;=8,", "&amp;$A959&amp;"-"&amp;TEXT(($D959-$C959+1)+7,"00"),"")&amp;IF($C959&gt;=9,", "&amp;$A959&amp;"-"&amp;TEXT(($D959-$C959+1)+8,"00"),"")&amp;IF($C959&gt;=10,", "&amp;$A959&amp;"-"&amp;TEXT(($D959-$C959+1)+9,"00"),"")&amp;IF($C959&gt;=11,", "&amp;$A959&amp;"-"&amp;TEXT(($D959-$C959+1)+10,"00"),"")&amp;IF($C959&gt;=12,", "&amp;$A959&amp;"-"&amp;TEXT(($D959-$C959+1)+11,"00"),"")&amp;IF($C959&gt;=13,", "&amp;$A959&amp;"-"&amp;TEXT(($D959-$C959+1)+12,"00"),"")&amp;IF($C959&gt;=14,", "&amp;$A959&amp;"-"&amp;TEXT(($D959-$C959+1)+13,"00"),"")&amp;IF($C959&gt;=15,", "&amp;$A959&amp;"-"&amp;TEXT(($D959-$C959+1)+14,"00"),"")&amp;IF($C959&gt;=16,", "&amp;$A959&amp;"-"&amp;TEXT(($D959-$C959+1)+15,"00"),"")&amp;IF($C959&gt;=17,", "&amp;$A959&amp;"-"&amp;TEXT(($D959-$C959+1)+16,"00"),"")&amp;IF($C959&gt;=18,", "&amp;$A959&amp;"-"&amp;TEXT(($D959-$C959+1)+17,"00"),"")&amp;IF($C959&gt;=19,", "&amp;$A959&amp;"-"&amp;TEXT(($D959-$C959+1)+18,"00"),"")&amp;IF($C959&gt;=20,", "&amp;$A959&amp;"-"&amp;TEXT(($D959-$C959+1)+19,"00"),"")&amp;IF($C959&gt;=21,", "&amp;$A959&amp;"-"&amp;TEXT(($D959-$C959+1)+20,"00"),"")&amp;IF($C959&gt;=22,", "&amp;$A959&amp;"-"&amp;TEXT(($D959-$C959+1)+21,"00"),"")&amp;IF($C959&gt;=23,", "&amp;$A959&amp;"-"&amp;TEXT(($D959-$C959+1)+22,"00"),"")&amp;IF($C959&gt;=24,", "&amp;$A959&amp;"-"&amp;TEXT(($D959-$C959+1)+23,"00"),"")&amp;IF($C959&gt;=25,", "&amp;$A959&amp;"-"&amp;TEXT(($D959-$C959+1)+24,"00"),""))</f>
        <v/>
      </c>
      <c r="G959">
        <f>IF($A959="","",IF($E959=1,$F959,IF($F959="",$G958,IF($G958="",$F959,$G958&amp;", "&amp;$F959))))</f>
        <v/>
      </c>
      <c r="H959">
        <f>IF($A959="","",$A959&amp;" ("&amp;$C959&amp;")")</f>
        <v/>
      </c>
      <c r="I959">
        <f>IF($A959="","",IF($E959=1,$H959,$I958&amp;", "&amp;$H959))</f>
        <v/>
      </c>
      <c r="J959">
        <f>IF($A959="","",IF($E959=1,$B959,""))</f>
        <v/>
      </c>
      <c r="K959">
        <f>IF($A959="","",IF(COUNTIF($B$2:$B959,$B959)=COUNTIF($B$2:$B$1601,$B959),$B959,""))</f>
        <v/>
      </c>
    </row>
    <row r="960">
      <c r="A960">
        <f>IF('TMP Paste'!$E960="","",'TMP Paste'!$E960)</f>
        <v/>
      </c>
      <c r="B960">
        <f>IF($A960="","",COUNTIF('TMP Paste'!$B$2:$B960,"?*"))</f>
        <v/>
      </c>
      <c r="C960">
        <f>IF($A960="","",IFERROR('TMP Paste'!$M960*1,0))</f>
        <v/>
      </c>
      <c r="D960">
        <f>IF($A960="","",SUMIF($B$2:$B960,$B960,$C$2:$C960))</f>
        <v/>
      </c>
      <c r="E960">
        <f>IF($A960="",0,IF('TMP Paste'!$B960="",0,1))</f>
        <v/>
      </c>
      <c r="F960">
        <f>IF(OR($A960="",$C960&lt;1),"",$A960&amp;"-"&amp;TEXT(($D960-$C960+1),"00")&amp;IF($C960&gt;=2,", "&amp;$A960&amp;"-"&amp;TEXT(($D960-$C960+1)+1,"00"),"")&amp;IF($C960&gt;=3,", "&amp;$A960&amp;"-"&amp;TEXT(($D960-$C960+1)+2,"00"),"")&amp;IF($C960&gt;=4,", "&amp;$A960&amp;"-"&amp;TEXT(($D960-$C960+1)+3,"00"),"")&amp;IF($C960&gt;=5,", "&amp;$A960&amp;"-"&amp;TEXT(($D960-$C960+1)+4,"00"),"")&amp;IF($C960&gt;=6,", "&amp;$A960&amp;"-"&amp;TEXT(($D960-$C960+1)+5,"00"),"")&amp;IF($C960&gt;=7,", "&amp;$A960&amp;"-"&amp;TEXT(($D960-$C960+1)+6,"00"),"")&amp;IF($C960&gt;=8,", "&amp;$A960&amp;"-"&amp;TEXT(($D960-$C960+1)+7,"00"),"")&amp;IF($C960&gt;=9,", "&amp;$A960&amp;"-"&amp;TEXT(($D960-$C960+1)+8,"00"),"")&amp;IF($C960&gt;=10,", "&amp;$A960&amp;"-"&amp;TEXT(($D960-$C960+1)+9,"00"),"")&amp;IF($C960&gt;=11,", "&amp;$A960&amp;"-"&amp;TEXT(($D960-$C960+1)+10,"00"),"")&amp;IF($C960&gt;=12,", "&amp;$A960&amp;"-"&amp;TEXT(($D960-$C960+1)+11,"00"),"")&amp;IF($C960&gt;=13,", "&amp;$A960&amp;"-"&amp;TEXT(($D960-$C960+1)+12,"00"),"")&amp;IF($C960&gt;=14,", "&amp;$A960&amp;"-"&amp;TEXT(($D960-$C960+1)+13,"00"),"")&amp;IF($C960&gt;=15,", "&amp;$A960&amp;"-"&amp;TEXT(($D960-$C960+1)+14,"00"),"")&amp;IF($C960&gt;=16,", "&amp;$A960&amp;"-"&amp;TEXT(($D960-$C960+1)+15,"00"),"")&amp;IF($C960&gt;=17,", "&amp;$A960&amp;"-"&amp;TEXT(($D960-$C960+1)+16,"00"),"")&amp;IF($C960&gt;=18,", "&amp;$A960&amp;"-"&amp;TEXT(($D960-$C960+1)+17,"00"),"")&amp;IF($C960&gt;=19,", "&amp;$A960&amp;"-"&amp;TEXT(($D960-$C960+1)+18,"00"),"")&amp;IF($C960&gt;=20,", "&amp;$A960&amp;"-"&amp;TEXT(($D960-$C960+1)+19,"00"),"")&amp;IF($C960&gt;=21,", "&amp;$A960&amp;"-"&amp;TEXT(($D960-$C960+1)+20,"00"),"")&amp;IF($C960&gt;=22,", "&amp;$A960&amp;"-"&amp;TEXT(($D960-$C960+1)+21,"00"),"")&amp;IF($C960&gt;=23,", "&amp;$A960&amp;"-"&amp;TEXT(($D960-$C960+1)+22,"00"),"")&amp;IF($C960&gt;=24,", "&amp;$A960&amp;"-"&amp;TEXT(($D960-$C960+1)+23,"00"),"")&amp;IF($C960&gt;=25,", "&amp;$A960&amp;"-"&amp;TEXT(($D960-$C960+1)+24,"00"),""))</f>
        <v/>
      </c>
      <c r="G960">
        <f>IF($A960="","",IF($E960=1,$F960,IF($F960="",$G959,IF($G959="",$F960,$G959&amp;", "&amp;$F960))))</f>
        <v/>
      </c>
      <c r="H960">
        <f>IF($A960="","",$A960&amp;" ("&amp;$C960&amp;")")</f>
        <v/>
      </c>
      <c r="I960">
        <f>IF($A960="","",IF($E960=1,$H960,$I959&amp;", "&amp;$H960))</f>
        <v/>
      </c>
      <c r="J960">
        <f>IF($A960="","",IF($E960=1,$B960,""))</f>
        <v/>
      </c>
      <c r="K960">
        <f>IF($A960="","",IF(COUNTIF($B$2:$B960,$B960)=COUNTIF($B$2:$B$1601,$B960),$B960,""))</f>
        <v/>
      </c>
    </row>
    <row r="961">
      <c r="A961">
        <f>IF('TMP Paste'!$E961="","",'TMP Paste'!$E961)</f>
        <v/>
      </c>
      <c r="B961">
        <f>IF($A961="","",COUNTIF('TMP Paste'!$B$2:$B961,"?*"))</f>
        <v/>
      </c>
      <c r="C961">
        <f>IF($A961="","",IFERROR('TMP Paste'!$M961*1,0))</f>
        <v/>
      </c>
      <c r="D961">
        <f>IF($A961="","",SUMIF($B$2:$B961,$B961,$C$2:$C961))</f>
        <v/>
      </c>
      <c r="E961">
        <f>IF($A961="",0,IF('TMP Paste'!$B961="",0,1))</f>
        <v/>
      </c>
      <c r="F961">
        <f>IF(OR($A961="",$C961&lt;1),"",$A961&amp;"-"&amp;TEXT(($D961-$C961+1),"00")&amp;IF($C961&gt;=2,", "&amp;$A961&amp;"-"&amp;TEXT(($D961-$C961+1)+1,"00"),"")&amp;IF($C961&gt;=3,", "&amp;$A961&amp;"-"&amp;TEXT(($D961-$C961+1)+2,"00"),"")&amp;IF($C961&gt;=4,", "&amp;$A961&amp;"-"&amp;TEXT(($D961-$C961+1)+3,"00"),"")&amp;IF($C961&gt;=5,", "&amp;$A961&amp;"-"&amp;TEXT(($D961-$C961+1)+4,"00"),"")&amp;IF($C961&gt;=6,", "&amp;$A961&amp;"-"&amp;TEXT(($D961-$C961+1)+5,"00"),"")&amp;IF($C961&gt;=7,", "&amp;$A961&amp;"-"&amp;TEXT(($D961-$C961+1)+6,"00"),"")&amp;IF($C961&gt;=8,", "&amp;$A961&amp;"-"&amp;TEXT(($D961-$C961+1)+7,"00"),"")&amp;IF($C961&gt;=9,", "&amp;$A961&amp;"-"&amp;TEXT(($D961-$C961+1)+8,"00"),"")&amp;IF($C961&gt;=10,", "&amp;$A961&amp;"-"&amp;TEXT(($D961-$C961+1)+9,"00"),"")&amp;IF($C961&gt;=11,", "&amp;$A961&amp;"-"&amp;TEXT(($D961-$C961+1)+10,"00"),"")&amp;IF($C961&gt;=12,", "&amp;$A961&amp;"-"&amp;TEXT(($D961-$C961+1)+11,"00"),"")&amp;IF($C961&gt;=13,", "&amp;$A961&amp;"-"&amp;TEXT(($D961-$C961+1)+12,"00"),"")&amp;IF($C961&gt;=14,", "&amp;$A961&amp;"-"&amp;TEXT(($D961-$C961+1)+13,"00"),"")&amp;IF($C961&gt;=15,", "&amp;$A961&amp;"-"&amp;TEXT(($D961-$C961+1)+14,"00"),"")&amp;IF($C961&gt;=16,", "&amp;$A961&amp;"-"&amp;TEXT(($D961-$C961+1)+15,"00"),"")&amp;IF($C961&gt;=17,", "&amp;$A961&amp;"-"&amp;TEXT(($D961-$C961+1)+16,"00"),"")&amp;IF($C961&gt;=18,", "&amp;$A961&amp;"-"&amp;TEXT(($D961-$C961+1)+17,"00"),"")&amp;IF($C961&gt;=19,", "&amp;$A961&amp;"-"&amp;TEXT(($D961-$C961+1)+18,"00"),"")&amp;IF($C961&gt;=20,", "&amp;$A961&amp;"-"&amp;TEXT(($D961-$C961+1)+19,"00"),"")&amp;IF($C961&gt;=21,", "&amp;$A961&amp;"-"&amp;TEXT(($D961-$C961+1)+20,"00"),"")&amp;IF($C961&gt;=22,", "&amp;$A961&amp;"-"&amp;TEXT(($D961-$C961+1)+21,"00"),"")&amp;IF($C961&gt;=23,", "&amp;$A961&amp;"-"&amp;TEXT(($D961-$C961+1)+22,"00"),"")&amp;IF($C961&gt;=24,", "&amp;$A961&amp;"-"&amp;TEXT(($D961-$C961+1)+23,"00"),"")&amp;IF($C961&gt;=25,", "&amp;$A961&amp;"-"&amp;TEXT(($D961-$C961+1)+24,"00"),""))</f>
        <v/>
      </c>
      <c r="G961">
        <f>IF($A961="","",IF($E961=1,$F961,IF($F961="",$G960,IF($G960="",$F961,$G960&amp;", "&amp;$F961))))</f>
        <v/>
      </c>
      <c r="H961">
        <f>IF($A961="","",$A961&amp;" ("&amp;$C961&amp;")")</f>
        <v/>
      </c>
      <c r="I961">
        <f>IF($A961="","",IF($E961=1,$H961,$I960&amp;", "&amp;$H961))</f>
        <v/>
      </c>
      <c r="J961">
        <f>IF($A961="","",IF($E961=1,$B961,""))</f>
        <v/>
      </c>
      <c r="K961">
        <f>IF($A961="","",IF(COUNTIF($B$2:$B961,$B961)=COUNTIF($B$2:$B$1601,$B961),$B961,""))</f>
        <v/>
      </c>
    </row>
    <row r="962">
      <c r="A962">
        <f>IF('TMP Paste'!$E962="","",'TMP Paste'!$E962)</f>
        <v/>
      </c>
      <c r="B962">
        <f>IF($A962="","",COUNTIF('TMP Paste'!$B$2:$B962,"?*"))</f>
        <v/>
      </c>
      <c r="C962">
        <f>IF($A962="","",IFERROR('TMP Paste'!$M962*1,0))</f>
        <v/>
      </c>
      <c r="D962">
        <f>IF($A962="","",SUMIF($B$2:$B962,$B962,$C$2:$C962))</f>
        <v/>
      </c>
      <c r="E962">
        <f>IF($A962="",0,IF('TMP Paste'!$B962="",0,1))</f>
        <v/>
      </c>
      <c r="F962">
        <f>IF(OR($A962="",$C962&lt;1),"",$A962&amp;"-"&amp;TEXT(($D962-$C962+1),"00")&amp;IF($C962&gt;=2,", "&amp;$A962&amp;"-"&amp;TEXT(($D962-$C962+1)+1,"00"),"")&amp;IF($C962&gt;=3,", "&amp;$A962&amp;"-"&amp;TEXT(($D962-$C962+1)+2,"00"),"")&amp;IF($C962&gt;=4,", "&amp;$A962&amp;"-"&amp;TEXT(($D962-$C962+1)+3,"00"),"")&amp;IF($C962&gt;=5,", "&amp;$A962&amp;"-"&amp;TEXT(($D962-$C962+1)+4,"00"),"")&amp;IF($C962&gt;=6,", "&amp;$A962&amp;"-"&amp;TEXT(($D962-$C962+1)+5,"00"),"")&amp;IF($C962&gt;=7,", "&amp;$A962&amp;"-"&amp;TEXT(($D962-$C962+1)+6,"00"),"")&amp;IF($C962&gt;=8,", "&amp;$A962&amp;"-"&amp;TEXT(($D962-$C962+1)+7,"00"),"")&amp;IF($C962&gt;=9,", "&amp;$A962&amp;"-"&amp;TEXT(($D962-$C962+1)+8,"00"),"")&amp;IF($C962&gt;=10,", "&amp;$A962&amp;"-"&amp;TEXT(($D962-$C962+1)+9,"00"),"")&amp;IF($C962&gt;=11,", "&amp;$A962&amp;"-"&amp;TEXT(($D962-$C962+1)+10,"00"),"")&amp;IF($C962&gt;=12,", "&amp;$A962&amp;"-"&amp;TEXT(($D962-$C962+1)+11,"00"),"")&amp;IF($C962&gt;=13,", "&amp;$A962&amp;"-"&amp;TEXT(($D962-$C962+1)+12,"00"),"")&amp;IF($C962&gt;=14,", "&amp;$A962&amp;"-"&amp;TEXT(($D962-$C962+1)+13,"00"),"")&amp;IF($C962&gt;=15,", "&amp;$A962&amp;"-"&amp;TEXT(($D962-$C962+1)+14,"00"),"")&amp;IF($C962&gt;=16,", "&amp;$A962&amp;"-"&amp;TEXT(($D962-$C962+1)+15,"00"),"")&amp;IF($C962&gt;=17,", "&amp;$A962&amp;"-"&amp;TEXT(($D962-$C962+1)+16,"00"),"")&amp;IF($C962&gt;=18,", "&amp;$A962&amp;"-"&amp;TEXT(($D962-$C962+1)+17,"00"),"")&amp;IF($C962&gt;=19,", "&amp;$A962&amp;"-"&amp;TEXT(($D962-$C962+1)+18,"00"),"")&amp;IF($C962&gt;=20,", "&amp;$A962&amp;"-"&amp;TEXT(($D962-$C962+1)+19,"00"),"")&amp;IF($C962&gt;=21,", "&amp;$A962&amp;"-"&amp;TEXT(($D962-$C962+1)+20,"00"),"")&amp;IF($C962&gt;=22,", "&amp;$A962&amp;"-"&amp;TEXT(($D962-$C962+1)+21,"00"),"")&amp;IF($C962&gt;=23,", "&amp;$A962&amp;"-"&amp;TEXT(($D962-$C962+1)+22,"00"),"")&amp;IF($C962&gt;=24,", "&amp;$A962&amp;"-"&amp;TEXT(($D962-$C962+1)+23,"00"),"")&amp;IF($C962&gt;=25,", "&amp;$A962&amp;"-"&amp;TEXT(($D962-$C962+1)+24,"00"),""))</f>
        <v/>
      </c>
      <c r="G962">
        <f>IF($A962="","",IF($E962=1,$F962,IF($F962="",$G961,IF($G961="",$F962,$G961&amp;", "&amp;$F962))))</f>
        <v/>
      </c>
      <c r="H962">
        <f>IF($A962="","",$A962&amp;" ("&amp;$C962&amp;")")</f>
        <v/>
      </c>
      <c r="I962">
        <f>IF($A962="","",IF($E962=1,$H962,$I961&amp;", "&amp;$H962))</f>
        <v/>
      </c>
      <c r="J962">
        <f>IF($A962="","",IF($E962=1,$B962,""))</f>
        <v/>
      </c>
      <c r="K962">
        <f>IF($A962="","",IF(COUNTIF($B$2:$B962,$B962)=COUNTIF($B$2:$B$1601,$B962),$B962,""))</f>
        <v/>
      </c>
    </row>
    <row r="963">
      <c r="A963">
        <f>IF('TMP Paste'!$E963="","",'TMP Paste'!$E963)</f>
        <v/>
      </c>
      <c r="B963">
        <f>IF($A963="","",COUNTIF('TMP Paste'!$B$2:$B963,"?*"))</f>
        <v/>
      </c>
      <c r="C963">
        <f>IF($A963="","",IFERROR('TMP Paste'!$M963*1,0))</f>
        <v/>
      </c>
      <c r="D963">
        <f>IF($A963="","",SUMIF($B$2:$B963,$B963,$C$2:$C963))</f>
        <v/>
      </c>
      <c r="E963">
        <f>IF($A963="",0,IF('TMP Paste'!$B963="",0,1))</f>
        <v/>
      </c>
      <c r="F963">
        <f>IF(OR($A963="",$C963&lt;1),"",$A963&amp;"-"&amp;TEXT(($D963-$C963+1),"00")&amp;IF($C963&gt;=2,", "&amp;$A963&amp;"-"&amp;TEXT(($D963-$C963+1)+1,"00"),"")&amp;IF($C963&gt;=3,", "&amp;$A963&amp;"-"&amp;TEXT(($D963-$C963+1)+2,"00"),"")&amp;IF($C963&gt;=4,", "&amp;$A963&amp;"-"&amp;TEXT(($D963-$C963+1)+3,"00"),"")&amp;IF($C963&gt;=5,", "&amp;$A963&amp;"-"&amp;TEXT(($D963-$C963+1)+4,"00"),"")&amp;IF($C963&gt;=6,", "&amp;$A963&amp;"-"&amp;TEXT(($D963-$C963+1)+5,"00"),"")&amp;IF($C963&gt;=7,", "&amp;$A963&amp;"-"&amp;TEXT(($D963-$C963+1)+6,"00"),"")&amp;IF($C963&gt;=8,", "&amp;$A963&amp;"-"&amp;TEXT(($D963-$C963+1)+7,"00"),"")&amp;IF($C963&gt;=9,", "&amp;$A963&amp;"-"&amp;TEXT(($D963-$C963+1)+8,"00"),"")&amp;IF($C963&gt;=10,", "&amp;$A963&amp;"-"&amp;TEXT(($D963-$C963+1)+9,"00"),"")&amp;IF($C963&gt;=11,", "&amp;$A963&amp;"-"&amp;TEXT(($D963-$C963+1)+10,"00"),"")&amp;IF($C963&gt;=12,", "&amp;$A963&amp;"-"&amp;TEXT(($D963-$C963+1)+11,"00"),"")&amp;IF($C963&gt;=13,", "&amp;$A963&amp;"-"&amp;TEXT(($D963-$C963+1)+12,"00"),"")&amp;IF($C963&gt;=14,", "&amp;$A963&amp;"-"&amp;TEXT(($D963-$C963+1)+13,"00"),"")&amp;IF($C963&gt;=15,", "&amp;$A963&amp;"-"&amp;TEXT(($D963-$C963+1)+14,"00"),"")&amp;IF($C963&gt;=16,", "&amp;$A963&amp;"-"&amp;TEXT(($D963-$C963+1)+15,"00"),"")&amp;IF($C963&gt;=17,", "&amp;$A963&amp;"-"&amp;TEXT(($D963-$C963+1)+16,"00"),"")&amp;IF($C963&gt;=18,", "&amp;$A963&amp;"-"&amp;TEXT(($D963-$C963+1)+17,"00"),"")&amp;IF($C963&gt;=19,", "&amp;$A963&amp;"-"&amp;TEXT(($D963-$C963+1)+18,"00"),"")&amp;IF($C963&gt;=20,", "&amp;$A963&amp;"-"&amp;TEXT(($D963-$C963+1)+19,"00"),"")&amp;IF($C963&gt;=21,", "&amp;$A963&amp;"-"&amp;TEXT(($D963-$C963+1)+20,"00"),"")&amp;IF($C963&gt;=22,", "&amp;$A963&amp;"-"&amp;TEXT(($D963-$C963+1)+21,"00"),"")&amp;IF($C963&gt;=23,", "&amp;$A963&amp;"-"&amp;TEXT(($D963-$C963+1)+22,"00"),"")&amp;IF($C963&gt;=24,", "&amp;$A963&amp;"-"&amp;TEXT(($D963-$C963+1)+23,"00"),"")&amp;IF($C963&gt;=25,", "&amp;$A963&amp;"-"&amp;TEXT(($D963-$C963+1)+24,"00"),""))</f>
        <v/>
      </c>
      <c r="G963">
        <f>IF($A963="","",IF($E963=1,$F963,IF($F963="",$G962,IF($G962="",$F963,$G962&amp;", "&amp;$F963))))</f>
        <v/>
      </c>
      <c r="H963">
        <f>IF($A963="","",$A963&amp;" ("&amp;$C963&amp;")")</f>
        <v/>
      </c>
      <c r="I963">
        <f>IF($A963="","",IF($E963=1,$H963,$I962&amp;", "&amp;$H963))</f>
        <v/>
      </c>
      <c r="J963">
        <f>IF($A963="","",IF($E963=1,$B963,""))</f>
        <v/>
      </c>
      <c r="K963">
        <f>IF($A963="","",IF(COUNTIF($B$2:$B963,$B963)=COUNTIF($B$2:$B$1601,$B963),$B963,""))</f>
        <v/>
      </c>
    </row>
    <row r="964">
      <c r="A964">
        <f>IF('TMP Paste'!$E964="","",'TMP Paste'!$E964)</f>
        <v/>
      </c>
      <c r="B964">
        <f>IF($A964="","",COUNTIF('TMP Paste'!$B$2:$B964,"?*"))</f>
        <v/>
      </c>
      <c r="C964">
        <f>IF($A964="","",IFERROR('TMP Paste'!$M964*1,0))</f>
        <v/>
      </c>
      <c r="D964">
        <f>IF($A964="","",SUMIF($B$2:$B964,$B964,$C$2:$C964))</f>
        <v/>
      </c>
      <c r="E964">
        <f>IF($A964="",0,IF('TMP Paste'!$B964="",0,1))</f>
        <v/>
      </c>
      <c r="F964">
        <f>IF(OR($A964="",$C964&lt;1),"",$A964&amp;"-"&amp;TEXT(($D964-$C964+1),"00")&amp;IF($C964&gt;=2,", "&amp;$A964&amp;"-"&amp;TEXT(($D964-$C964+1)+1,"00"),"")&amp;IF($C964&gt;=3,", "&amp;$A964&amp;"-"&amp;TEXT(($D964-$C964+1)+2,"00"),"")&amp;IF($C964&gt;=4,", "&amp;$A964&amp;"-"&amp;TEXT(($D964-$C964+1)+3,"00"),"")&amp;IF($C964&gt;=5,", "&amp;$A964&amp;"-"&amp;TEXT(($D964-$C964+1)+4,"00"),"")&amp;IF($C964&gt;=6,", "&amp;$A964&amp;"-"&amp;TEXT(($D964-$C964+1)+5,"00"),"")&amp;IF($C964&gt;=7,", "&amp;$A964&amp;"-"&amp;TEXT(($D964-$C964+1)+6,"00"),"")&amp;IF($C964&gt;=8,", "&amp;$A964&amp;"-"&amp;TEXT(($D964-$C964+1)+7,"00"),"")&amp;IF($C964&gt;=9,", "&amp;$A964&amp;"-"&amp;TEXT(($D964-$C964+1)+8,"00"),"")&amp;IF($C964&gt;=10,", "&amp;$A964&amp;"-"&amp;TEXT(($D964-$C964+1)+9,"00"),"")&amp;IF($C964&gt;=11,", "&amp;$A964&amp;"-"&amp;TEXT(($D964-$C964+1)+10,"00"),"")&amp;IF($C964&gt;=12,", "&amp;$A964&amp;"-"&amp;TEXT(($D964-$C964+1)+11,"00"),"")&amp;IF($C964&gt;=13,", "&amp;$A964&amp;"-"&amp;TEXT(($D964-$C964+1)+12,"00"),"")&amp;IF($C964&gt;=14,", "&amp;$A964&amp;"-"&amp;TEXT(($D964-$C964+1)+13,"00"),"")&amp;IF($C964&gt;=15,", "&amp;$A964&amp;"-"&amp;TEXT(($D964-$C964+1)+14,"00"),"")&amp;IF($C964&gt;=16,", "&amp;$A964&amp;"-"&amp;TEXT(($D964-$C964+1)+15,"00"),"")&amp;IF($C964&gt;=17,", "&amp;$A964&amp;"-"&amp;TEXT(($D964-$C964+1)+16,"00"),"")&amp;IF($C964&gt;=18,", "&amp;$A964&amp;"-"&amp;TEXT(($D964-$C964+1)+17,"00"),"")&amp;IF($C964&gt;=19,", "&amp;$A964&amp;"-"&amp;TEXT(($D964-$C964+1)+18,"00"),"")&amp;IF($C964&gt;=20,", "&amp;$A964&amp;"-"&amp;TEXT(($D964-$C964+1)+19,"00"),"")&amp;IF($C964&gt;=21,", "&amp;$A964&amp;"-"&amp;TEXT(($D964-$C964+1)+20,"00"),"")&amp;IF($C964&gt;=22,", "&amp;$A964&amp;"-"&amp;TEXT(($D964-$C964+1)+21,"00"),"")&amp;IF($C964&gt;=23,", "&amp;$A964&amp;"-"&amp;TEXT(($D964-$C964+1)+22,"00"),"")&amp;IF($C964&gt;=24,", "&amp;$A964&amp;"-"&amp;TEXT(($D964-$C964+1)+23,"00"),"")&amp;IF($C964&gt;=25,", "&amp;$A964&amp;"-"&amp;TEXT(($D964-$C964+1)+24,"00"),""))</f>
        <v/>
      </c>
      <c r="G964">
        <f>IF($A964="","",IF($E964=1,$F964,IF($F964="",$G963,IF($G963="",$F964,$G963&amp;", "&amp;$F964))))</f>
        <v/>
      </c>
      <c r="H964">
        <f>IF($A964="","",$A964&amp;" ("&amp;$C964&amp;")")</f>
        <v/>
      </c>
      <c r="I964">
        <f>IF($A964="","",IF($E964=1,$H964,$I963&amp;", "&amp;$H964))</f>
        <v/>
      </c>
      <c r="J964">
        <f>IF($A964="","",IF($E964=1,$B964,""))</f>
        <v/>
      </c>
      <c r="K964">
        <f>IF($A964="","",IF(COUNTIF($B$2:$B964,$B964)=COUNTIF($B$2:$B$1601,$B964),$B964,""))</f>
        <v/>
      </c>
    </row>
    <row r="965">
      <c r="A965">
        <f>IF('TMP Paste'!$E965="","",'TMP Paste'!$E965)</f>
        <v/>
      </c>
      <c r="B965">
        <f>IF($A965="","",COUNTIF('TMP Paste'!$B$2:$B965,"?*"))</f>
        <v/>
      </c>
      <c r="C965">
        <f>IF($A965="","",IFERROR('TMP Paste'!$M965*1,0))</f>
        <v/>
      </c>
      <c r="D965">
        <f>IF($A965="","",SUMIF($B$2:$B965,$B965,$C$2:$C965))</f>
        <v/>
      </c>
      <c r="E965">
        <f>IF($A965="",0,IF('TMP Paste'!$B965="",0,1))</f>
        <v/>
      </c>
      <c r="F965">
        <f>IF(OR($A965="",$C965&lt;1),"",$A965&amp;"-"&amp;TEXT(($D965-$C965+1),"00")&amp;IF($C965&gt;=2,", "&amp;$A965&amp;"-"&amp;TEXT(($D965-$C965+1)+1,"00"),"")&amp;IF($C965&gt;=3,", "&amp;$A965&amp;"-"&amp;TEXT(($D965-$C965+1)+2,"00"),"")&amp;IF($C965&gt;=4,", "&amp;$A965&amp;"-"&amp;TEXT(($D965-$C965+1)+3,"00"),"")&amp;IF($C965&gt;=5,", "&amp;$A965&amp;"-"&amp;TEXT(($D965-$C965+1)+4,"00"),"")&amp;IF($C965&gt;=6,", "&amp;$A965&amp;"-"&amp;TEXT(($D965-$C965+1)+5,"00"),"")&amp;IF($C965&gt;=7,", "&amp;$A965&amp;"-"&amp;TEXT(($D965-$C965+1)+6,"00"),"")&amp;IF($C965&gt;=8,", "&amp;$A965&amp;"-"&amp;TEXT(($D965-$C965+1)+7,"00"),"")&amp;IF($C965&gt;=9,", "&amp;$A965&amp;"-"&amp;TEXT(($D965-$C965+1)+8,"00"),"")&amp;IF($C965&gt;=10,", "&amp;$A965&amp;"-"&amp;TEXT(($D965-$C965+1)+9,"00"),"")&amp;IF($C965&gt;=11,", "&amp;$A965&amp;"-"&amp;TEXT(($D965-$C965+1)+10,"00"),"")&amp;IF($C965&gt;=12,", "&amp;$A965&amp;"-"&amp;TEXT(($D965-$C965+1)+11,"00"),"")&amp;IF($C965&gt;=13,", "&amp;$A965&amp;"-"&amp;TEXT(($D965-$C965+1)+12,"00"),"")&amp;IF($C965&gt;=14,", "&amp;$A965&amp;"-"&amp;TEXT(($D965-$C965+1)+13,"00"),"")&amp;IF($C965&gt;=15,", "&amp;$A965&amp;"-"&amp;TEXT(($D965-$C965+1)+14,"00"),"")&amp;IF($C965&gt;=16,", "&amp;$A965&amp;"-"&amp;TEXT(($D965-$C965+1)+15,"00"),"")&amp;IF($C965&gt;=17,", "&amp;$A965&amp;"-"&amp;TEXT(($D965-$C965+1)+16,"00"),"")&amp;IF($C965&gt;=18,", "&amp;$A965&amp;"-"&amp;TEXT(($D965-$C965+1)+17,"00"),"")&amp;IF($C965&gt;=19,", "&amp;$A965&amp;"-"&amp;TEXT(($D965-$C965+1)+18,"00"),"")&amp;IF($C965&gt;=20,", "&amp;$A965&amp;"-"&amp;TEXT(($D965-$C965+1)+19,"00"),"")&amp;IF($C965&gt;=21,", "&amp;$A965&amp;"-"&amp;TEXT(($D965-$C965+1)+20,"00"),"")&amp;IF($C965&gt;=22,", "&amp;$A965&amp;"-"&amp;TEXT(($D965-$C965+1)+21,"00"),"")&amp;IF($C965&gt;=23,", "&amp;$A965&amp;"-"&amp;TEXT(($D965-$C965+1)+22,"00"),"")&amp;IF($C965&gt;=24,", "&amp;$A965&amp;"-"&amp;TEXT(($D965-$C965+1)+23,"00"),"")&amp;IF($C965&gt;=25,", "&amp;$A965&amp;"-"&amp;TEXT(($D965-$C965+1)+24,"00"),""))</f>
        <v/>
      </c>
      <c r="G965">
        <f>IF($A965="","",IF($E965=1,$F965,IF($F965="",$G964,IF($G964="",$F965,$G964&amp;", "&amp;$F965))))</f>
        <v/>
      </c>
      <c r="H965">
        <f>IF($A965="","",$A965&amp;" ("&amp;$C965&amp;")")</f>
        <v/>
      </c>
      <c r="I965">
        <f>IF($A965="","",IF($E965=1,$H965,$I964&amp;", "&amp;$H965))</f>
        <v/>
      </c>
      <c r="J965">
        <f>IF($A965="","",IF($E965=1,$B965,""))</f>
        <v/>
      </c>
      <c r="K965">
        <f>IF($A965="","",IF(COUNTIF($B$2:$B965,$B965)=COUNTIF($B$2:$B$1601,$B965),$B965,""))</f>
        <v/>
      </c>
    </row>
    <row r="966">
      <c r="A966">
        <f>IF('TMP Paste'!$E966="","",'TMP Paste'!$E966)</f>
        <v/>
      </c>
      <c r="B966">
        <f>IF($A966="","",COUNTIF('TMP Paste'!$B$2:$B966,"?*"))</f>
        <v/>
      </c>
      <c r="C966">
        <f>IF($A966="","",IFERROR('TMP Paste'!$M966*1,0))</f>
        <v/>
      </c>
      <c r="D966">
        <f>IF($A966="","",SUMIF($B$2:$B966,$B966,$C$2:$C966))</f>
        <v/>
      </c>
      <c r="E966">
        <f>IF($A966="",0,IF('TMP Paste'!$B966="",0,1))</f>
        <v/>
      </c>
      <c r="F966">
        <f>IF(OR($A966="",$C966&lt;1),"",$A966&amp;"-"&amp;TEXT(($D966-$C966+1),"00")&amp;IF($C966&gt;=2,", "&amp;$A966&amp;"-"&amp;TEXT(($D966-$C966+1)+1,"00"),"")&amp;IF($C966&gt;=3,", "&amp;$A966&amp;"-"&amp;TEXT(($D966-$C966+1)+2,"00"),"")&amp;IF($C966&gt;=4,", "&amp;$A966&amp;"-"&amp;TEXT(($D966-$C966+1)+3,"00"),"")&amp;IF($C966&gt;=5,", "&amp;$A966&amp;"-"&amp;TEXT(($D966-$C966+1)+4,"00"),"")&amp;IF($C966&gt;=6,", "&amp;$A966&amp;"-"&amp;TEXT(($D966-$C966+1)+5,"00"),"")&amp;IF($C966&gt;=7,", "&amp;$A966&amp;"-"&amp;TEXT(($D966-$C966+1)+6,"00"),"")&amp;IF($C966&gt;=8,", "&amp;$A966&amp;"-"&amp;TEXT(($D966-$C966+1)+7,"00"),"")&amp;IF($C966&gt;=9,", "&amp;$A966&amp;"-"&amp;TEXT(($D966-$C966+1)+8,"00"),"")&amp;IF($C966&gt;=10,", "&amp;$A966&amp;"-"&amp;TEXT(($D966-$C966+1)+9,"00"),"")&amp;IF($C966&gt;=11,", "&amp;$A966&amp;"-"&amp;TEXT(($D966-$C966+1)+10,"00"),"")&amp;IF($C966&gt;=12,", "&amp;$A966&amp;"-"&amp;TEXT(($D966-$C966+1)+11,"00"),"")&amp;IF($C966&gt;=13,", "&amp;$A966&amp;"-"&amp;TEXT(($D966-$C966+1)+12,"00"),"")&amp;IF($C966&gt;=14,", "&amp;$A966&amp;"-"&amp;TEXT(($D966-$C966+1)+13,"00"),"")&amp;IF($C966&gt;=15,", "&amp;$A966&amp;"-"&amp;TEXT(($D966-$C966+1)+14,"00"),"")&amp;IF($C966&gt;=16,", "&amp;$A966&amp;"-"&amp;TEXT(($D966-$C966+1)+15,"00"),"")&amp;IF($C966&gt;=17,", "&amp;$A966&amp;"-"&amp;TEXT(($D966-$C966+1)+16,"00"),"")&amp;IF($C966&gt;=18,", "&amp;$A966&amp;"-"&amp;TEXT(($D966-$C966+1)+17,"00"),"")&amp;IF($C966&gt;=19,", "&amp;$A966&amp;"-"&amp;TEXT(($D966-$C966+1)+18,"00"),"")&amp;IF($C966&gt;=20,", "&amp;$A966&amp;"-"&amp;TEXT(($D966-$C966+1)+19,"00"),"")&amp;IF($C966&gt;=21,", "&amp;$A966&amp;"-"&amp;TEXT(($D966-$C966+1)+20,"00"),"")&amp;IF($C966&gt;=22,", "&amp;$A966&amp;"-"&amp;TEXT(($D966-$C966+1)+21,"00"),"")&amp;IF($C966&gt;=23,", "&amp;$A966&amp;"-"&amp;TEXT(($D966-$C966+1)+22,"00"),"")&amp;IF($C966&gt;=24,", "&amp;$A966&amp;"-"&amp;TEXT(($D966-$C966+1)+23,"00"),"")&amp;IF($C966&gt;=25,", "&amp;$A966&amp;"-"&amp;TEXT(($D966-$C966+1)+24,"00"),""))</f>
        <v/>
      </c>
      <c r="G966">
        <f>IF($A966="","",IF($E966=1,$F966,IF($F966="",$G965,IF($G965="",$F966,$G965&amp;", "&amp;$F966))))</f>
        <v/>
      </c>
      <c r="H966">
        <f>IF($A966="","",$A966&amp;" ("&amp;$C966&amp;")")</f>
        <v/>
      </c>
      <c r="I966">
        <f>IF($A966="","",IF($E966=1,$H966,$I965&amp;", "&amp;$H966))</f>
        <v/>
      </c>
      <c r="J966">
        <f>IF($A966="","",IF($E966=1,$B966,""))</f>
        <v/>
      </c>
      <c r="K966">
        <f>IF($A966="","",IF(COUNTIF($B$2:$B966,$B966)=COUNTIF($B$2:$B$1601,$B966),$B966,""))</f>
        <v/>
      </c>
    </row>
    <row r="967">
      <c r="A967">
        <f>IF('TMP Paste'!$E967="","",'TMP Paste'!$E967)</f>
        <v/>
      </c>
      <c r="B967">
        <f>IF($A967="","",COUNTIF('TMP Paste'!$B$2:$B967,"?*"))</f>
        <v/>
      </c>
      <c r="C967">
        <f>IF($A967="","",IFERROR('TMP Paste'!$M967*1,0))</f>
        <v/>
      </c>
      <c r="D967">
        <f>IF($A967="","",SUMIF($B$2:$B967,$B967,$C$2:$C967))</f>
        <v/>
      </c>
      <c r="E967">
        <f>IF($A967="",0,IF('TMP Paste'!$B967="",0,1))</f>
        <v/>
      </c>
      <c r="F967">
        <f>IF(OR($A967="",$C967&lt;1),"",$A967&amp;"-"&amp;TEXT(($D967-$C967+1),"00")&amp;IF($C967&gt;=2,", "&amp;$A967&amp;"-"&amp;TEXT(($D967-$C967+1)+1,"00"),"")&amp;IF($C967&gt;=3,", "&amp;$A967&amp;"-"&amp;TEXT(($D967-$C967+1)+2,"00"),"")&amp;IF($C967&gt;=4,", "&amp;$A967&amp;"-"&amp;TEXT(($D967-$C967+1)+3,"00"),"")&amp;IF($C967&gt;=5,", "&amp;$A967&amp;"-"&amp;TEXT(($D967-$C967+1)+4,"00"),"")&amp;IF($C967&gt;=6,", "&amp;$A967&amp;"-"&amp;TEXT(($D967-$C967+1)+5,"00"),"")&amp;IF($C967&gt;=7,", "&amp;$A967&amp;"-"&amp;TEXT(($D967-$C967+1)+6,"00"),"")&amp;IF($C967&gt;=8,", "&amp;$A967&amp;"-"&amp;TEXT(($D967-$C967+1)+7,"00"),"")&amp;IF($C967&gt;=9,", "&amp;$A967&amp;"-"&amp;TEXT(($D967-$C967+1)+8,"00"),"")&amp;IF($C967&gt;=10,", "&amp;$A967&amp;"-"&amp;TEXT(($D967-$C967+1)+9,"00"),"")&amp;IF($C967&gt;=11,", "&amp;$A967&amp;"-"&amp;TEXT(($D967-$C967+1)+10,"00"),"")&amp;IF($C967&gt;=12,", "&amp;$A967&amp;"-"&amp;TEXT(($D967-$C967+1)+11,"00"),"")&amp;IF($C967&gt;=13,", "&amp;$A967&amp;"-"&amp;TEXT(($D967-$C967+1)+12,"00"),"")&amp;IF($C967&gt;=14,", "&amp;$A967&amp;"-"&amp;TEXT(($D967-$C967+1)+13,"00"),"")&amp;IF($C967&gt;=15,", "&amp;$A967&amp;"-"&amp;TEXT(($D967-$C967+1)+14,"00"),"")&amp;IF($C967&gt;=16,", "&amp;$A967&amp;"-"&amp;TEXT(($D967-$C967+1)+15,"00"),"")&amp;IF($C967&gt;=17,", "&amp;$A967&amp;"-"&amp;TEXT(($D967-$C967+1)+16,"00"),"")&amp;IF($C967&gt;=18,", "&amp;$A967&amp;"-"&amp;TEXT(($D967-$C967+1)+17,"00"),"")&amp;IF($C967&gt;=19,", "&amp;$A967&amp;"-"&amp;TEXT(($D967-$C967+1)+18,"00"),"")&amp;IF($C967&gt;=20,", "&amp;$A967&amp;"-"&amp;TEXT(($D967-$C967+1)+19,"00"),"")&amp;IF($C967&gt;=21,", "&amp;$A967&amp;"-"&amp;TEXT(($D967-$C967+1)+20,"00"),"")&amp;IF($C967&gt;=22,", "&amp;$A967&amp;"-"&amp;TEXT(($D967-$C967+1)+21,"00"),"")&amp;IF($C967&gt;=23,", "&amp;$A967&amp;"-"&amp;TEXT(($D967-$C967+1)+22,"00"),"")&amp;IF($C967&gt;=24,", "&amp;$A967&amp;"-"&amp;TEXT(($D967-$C967+1)+23,"00"),"")&amp;IF($C967&gt;=25,", "&amp;$A967&amp;"-"&amp;TEXT(($D967-$C967+1)+24,"00"),""))</f>
        <v/>
      </c>
      <c r="G967">
        <f>IF($A967="","",IF($E967=1,$F967,IF($F967="",$G966,IF($G966="",$F967,$G966&amp;", "&amp;$F967))))</f>
        <v/>
      </c>
      <c r="H967">
        <f>IF($A967="","",$A967&amp;" ("&amp;$C967&amp;")")</f>
        <v/>
      </c>
      <c r="I967">
        <f>IF($A967="","",IF($E967=1,$H967,$I966&amp;", "&amp;$H967))</f>
        <v/>
      </c>
      <c r="J967">
        <f>IF($A967="","",IF($E967=1,$B967,""))</f>
        <v/>
      </c>
      <c r="K967">
        <f>IF($A967="","",IF(COUNTIF($B$2:$B967,$B967)=COUNTIF($B$2:$B$1601,$B967),$B967,""))</f>
        <v/>
      </c>
    </row>
    <row r="968">
      <c r="A968">
        <f>IF('TMP Paste'!$E968="","",'TMP Paste'!$E968)</f>
        <v/>
      </c>
      <c r="B968">
        <f>IF($A968="","",COUNTIF('TMP Paste'!$B$2:$B968,"?*"))</f>
        <v/>
      </c>
      <c r="C968">
        <f>IF($A968="","",IFERROR('TMP Paste'!$M968*1,0))</f>
        <v/>
      </c>
      <c r="D968">
        <f>IF($A968="","",SUMIF($B$2:$B968,$B968,$C$2:$C968))</f>
        <v/>
      </c>
      <c r="E968">
        <f>IF($A968="",0,IF('TMP Paste'!$B968="",0,1))</f>
        <v/>
      </c>
      <c r="F968">
        <f>IF(OR($A968="",$C968&lt;1),"",$A968&amp;"-"&amp;TEXT(($D968-$C968+1),"00")&amp;IF($C968&gt;=2,", "&amp;$A968&amp;"-"&amp;TEXT(($D968-$C968+1)+1,"00"),"")&amp;IF($C968&gt;=3,", "&amp;$A968&amp;"-"&amp;TEXT(($D968-$C968+1)+2,"00"),"")&amp;IF($C968&gt;=4,", "&amp;$A968&amp;"-"&amp;TEXT(($D968-$C968+1)+3,"00"),"")&amp;IF($C968&gt;=5,", "&amp;$A968&amp;"-"&amp;TEXT(($D968-$C968+1)+4,"00"),"")&amp;IF($C968&gt;=6,", "&amp;$A968&amp;"-"&amp;TEXT(($D968-$C968+1)+5,"00"),"")&amp;IF($C968&gt;=7,", "&amp;$A968&amp;"-"&amp;TEXT(($D968-$C968+1)+6,"00"),"")&amp;IF($C968&gt;=8,", "&amp;$A968&amp;"-"&amp;TEXT(($D968-$C968+1)+7,"00"),"")&amp;IF($C968&gt;=9,", "&amp;$A968&amp;"-"&amp;TEXT(($D968-$C968+1)+8,"00"),"")&amp;IF($C968&gt;=10,", "&amp;$A968&amp;"-"&amp;TEXT(($D968-$C968+1)+9,"00"),"")&amp;IF($C968&gt;=11,", "&amp;$A968&amp;"-"&amp;TEXT(($D968-$C968+1)+10,"00"),"")&amp;IF($C968&gt;=12,", "&amp;$A968&amp;"-"&amp;TEXT(($D968-$C968+1)+11,"00"),"")&amp;IF($C968&gt;=13,", "&amp;$A968&amp;"-"&amp;TEXT(($D968-$C968+1)+12,"00"),"")&amp;IF($C968&gt;=14,", "&amp;$A968&amp;"-"&amp;TEXT(($D968-$C968+1)+13,"00"),"")&amp;IF($C968&gt;=15,", "&amp;$A968&amp;"-"&amp;TEXT(($D968-$C968+1)+14,"00"),"")&amp;IF($C968&gt;=16,", "&amp;$A968&amp;"-"&amp;TEXT(($D968-$C968+1)+15,"00"),"")&amp;IF($C968&gt;=17,", "&amp;$A968&amp;"-"&amp;TEXT(($D968-$C968+1)+16,"00"),"")&amp;IF($C968&gt;=18,", "&amp;$A968&amp;"-"&amp;TEXT(($D968-$C968+1)+17,"00"),"")&amp;IF($C968&gt;=19,", "&amp;$A968&amp;"-"&amp;TEXT(($D968-$C968+1)+18,"00"),"")&amp;IF($C968&gt;=20,", "&amp;$A968&amp;"-"&amp;TEXT(($D968-$C968+1)+19,"00"),"")&amp;IF($C968&gt;=21,", "&amp;$A968&amp;"-"&amp;TEXT(($D968-$C968+1)+20,"00"),"")&amp;IF($C968&gt;=22,", "&amp;$A968&amp;"-"&amp;TEXT(($D968-$C968+1)+21,"00"),"")&amp;IF($C968&gt;=23,", "&amp;$A968&amp;"-"&amp;TEXT(($D968-$C968+1)+22,"00"),"")&amp;IF($C968&gt;=24,", "&amp;$A968&amp;"-"&amp;TEXT(($D968-$C968+1)+23,"00"),"")&amp;IF($C968&gt;=25,", "&amp;$A968&amp;"-"&amp;TEXT(($D968-$C968+1)+24,"00"),""))</f>
        <v/>
      </c>
      <c r="G968">
        <f>IF($A968="","",IF($E968=1,$F968,IF($F968="",$G967,IF($G967="",$F968,$G967&amp;", "&amp;$F968))))</f>
        <v/>
      </c>
      <c r="H968">
        <f>IF($A968="","",$A968&amp;" ("&amp;$C968&amp;")")</f>
        <v/>
      </c>
      <c r="I968">
        <f>IF($A968="","",IF($E968=1,$H968,$I967&amp;", "&amp;$H968))</f>
        <v/>
      </c>
      <c r="J968">
        <f>IF($A968="","",IF($E968=1,$B968,""))</f>
        <v/>
      </c>
      <c r="K968">
        <f>IF($A968="","",IF(COUNTIF($B$2:$B968,$B968)=COUNTIF($B$2:$B$1601,$B968),$B968,""))</f>
        <v/>
      </c>
    </row>
    <row r="969">
      <c r="A969">
        <f>IF('TMP Paste'!$E969="","",'TMP Paste'!$E969)</f>
        <v/>
      </c>
      <c r="B969">
        <f>IF($A969="","",COUNTIF('TMP Paste'!$B$2:$B969,"?*"))</f>
        <v/>
      </c>
      <c r="C969">
        <f>IF($A969="","",IFERROR('TMP Paste'!$M969*1,0))</f>
        <v/>
      </c>
      <c r="D969">
        <f>IF($A969="","",SUMIF($B$2:$B969,$B969,$C$2:$C969))</f>
        <v/>
      </c>
      <c r="E969">
        <f>IF($A969="",0,IF('TMP Paste'!$B969="",0,1))</f>
        <v/>
      </c>
      <c r="F969">
        <f>IF(OR($A969="",$C969&lt;1),"",$A969&amp;"-"&amp;TEXT(($D969-$C969+1),"00")&amp;IF($C969&gt;=2,", "&amp;$A969&amp;"-"&amp;TEXT(($D969-$C969+1)+1,"00"),"")&amp;IF($C969&gt;=3,", "&amp;$A969&amp;"-"&amp;TEXT(($D969-$C969+1)+2,"00"),"")&amp;IF($C969&gt;=4,", "&amp;$A969&amp;"-"&amp;TEXT(($D969-$C969+1)+3,"00"),"")&amp;IF($C969&gt;=5,", "&amp;$A969&amp;"-"&amp;TEXT(($D969-$C969+1)+4,"00"),"")&amp;IF($C969&gt;=6,", "&amp;$A969&amp;"-"&amp;TEXT(($D969-$C969+1)+5,"00"),"")&amp;IF($C969&gt;=7,", "&amp;$A969&amp;"-"&amp;TEXT(($D969-$C969+1)+6,"00"),"")&amp;IF($C969&gt;=8,", "&amp;$A969&amp;"-"&amp;TEXT(($D969-$C969+1)+7,"00"),"")&amp;IF($C969&gt;=9,", "&amp;$A969&amp;"-"&amp;TEXT(($D969-$C969+1)+8,"00"),"")&amp;IF($C969&gt;=10,", "&amp;$A969&amp;"-"&amp;TEXT(($D969-$C969+1)+9,"00"),"")&amp;IF($C969&gt;=11,", "&amp;$A969&amp;"-"&amp;TEXT(($D969-$C969+1)+10,"00"),"")&amp;IF($C969&gt;=12,", "&amp;$A969&amp;"-"&amp;TEXT(($D969-$C969+1)+11,"00"),"")&amp;IF($C969&gt;=13,", "&amp;$A969&amp;"-"&amp;TEXT(($D969-$C969+1)+12,"00"),"")&amp;IF($C969&gt;=14,", "&amp;$A969&amp;"-"&amp;TEXT(($D969-$C969+1)+13,"00"),"")&amp;IF($C969&gt;=15,", "&amp;$A969&amp;"-"&amp;TEXT(($D969-$C969+1)+14,"00"),"")&amp;IF($C969&gt;=16,", "&amp;$A969&amp;"-"&amp;TEXT(($D969-$C969+1)+15,"00"),"")&amp;IF($C969&gt;=17,", "&amp;$A969&amp;"-"&amp;TEXT(($D969-$C969+1)+16,"00"),"")&amp;IF($C969&gt;=18,", "&amp;$A969&amp;"-"&amp;TEXT(($D969-$C969+1)+17,"00"),"")&amp;IF($C969&gt;=19,", "&amp;$A969&amp;"-"&amp;TEXT(($D969-$C969+1)+18,"00"),"")&amp;IF($C969&gt;=20,", "&amp;$A969&amp;"-"&amp;TEXT(($D969-$C969+1)+19,"00"),"")&amp;IF($C969&gt;=21,", "&amp;$A969&amp;"-"&amp;TEXT(($D969-$C969+1)+20,"00"),"")&amp;IF($C969&gt;=22,", "&amp;$A969&amp;"-"&amp;TEXT(($D969-$C969+1)+21,"00"),"")&amp;IF($C969&gt;=23,", "&amp;$A969&amp;"-"&amp;TEXT(($D969-$C969+1)+22,"00"),"")&amp;IF($C969&gt;=24,", "&amp;$A969&amp;"-"&amp;TEXT(($D969-$C969+1)+23,"00"),"")&amp;IF($C969&gt;=25,", "&amp;$A969&amp;"-"&amp;TEXT(($D969-$C969+1)+24,"00"),""))</f>
        <v/>
      </c>
      <c r="G969">
        <f>IF($A969="","",IF($E969=1,$F969,IF($F969="",$G968,IF($G968="",$F969,$G968&amp;", "&amp;$F969))))</f>
        <v/>
      </c>
      <c r="H969">
        <f>IF($A969="","",$A969&amp;" ("&amp;$C969&amp;")")</f>
        <v/>
      </c>
      <c r="I969">
        <f>IF($A969="","",IF($E969=1,$H969,$I968&amp;", "&amp;$H969))</f>
        <v/>
      </c>
      <c r="J969">
        <f>IF($A969="","",IF($E969=1,$B969,""))</f>
        <v/>
      </c>
      <c r="K969">
        <f>IF($A969="","",IF(COUNTIF($B$2:$B969,$B969)=COUNTIF($B$2:$B$1601,$B969),$B969,""))</f>
        <v/>
      </c>
    </row>
    <row r="970">
      <c r="A970">
        <f>IF('TMP Paste'!$E970="","",'TMP Paste'!$E970)</f>
        <v/>
      </c>
      <c r="B970">
        <f>IF($A970="","",COUNTIF('TMP Paste'!$B$2:$B970,"?*"))</f>
        <v/>
      </c>
      <c r="C970">
        <f>IF($A970="","",IFERROR('TMP Paste'!$M970*1,0))</f>
        <v/>
      </c>
      <c r="D970">
        <f>IF($A970="","",SUMIF($B$2:$B970,$B970,$C$2:$C970))</f>
        <v/>
      </c>
      <c r="E970">
        <f>IF($A970="",0,IF('TMP Paste'!$B970="",0,1))</f>
        <v/>
      </c>
      <c r="F970">
        <f>IF(OR($A970="",$C970&lt;1),"",$A970&amp;"-"&amp;TEXT(($D970-$C970+1),"00")&amp;IF($C970&gt;=2,", "&amp;$A970&amp;"-"&amp;TEXT(($D970-$C970+1)+1,"00"),"")&amp;IF($C970&gt;=3,", "&amp;$A970&amp;"-"&amp;TEXT(($D970-$C970+1)+2,"00"),"")&amp;IF($C970&gt;=4,", "&amp;$A970&amp;"-"&amp;TEXT(($D970-$C970+1)+3,"00"),"")&amp;IF($C970&gt;=5,", "&amp;$A970&amp;"-"&amp;TEXT(($D970-$C970+1)+4,"00"),"")&amp;IF($C970&gt;=6,", "&amp;$A970&amp;"-"&amp;TEXT(($D970-$C970+1)+5,"00"),"")&amp;IF($C970&gt;=7,", "&amp;$A970&amp;"-"&amp;TEXT(($D970-$C970+1)+6,"00"),"")&amp;IF($C970&gt;=8,", "&amp;$A970&amp;"-"&amp;TEXT(($D970-$C970+1)+7,"00"),"")&amp;IF($C970&gt;=9,", "&amp;$A970&amp;"-"&amp;TEXT(($D970-$C970+1)+8,"00"),"")&amp;IF($C970&gt;=10,", "&amp;$A970&amp;"-"&amp;TEXT(($D970-$C970+1)+9,"00"),"")&amp;IF($C970&gt;=11,", "&amp;$A970&amp;"-"&amp;TEXT(($D970-$C970+1)+10,"00"),"")&amp;IF($C970&gt;=12,", "&amp;$A970&amp;"-"&amp;TEXT(($D970-$C970+1)+11,"00"),"")&amp;IF($C970&gt;=13,", "&amp;$A970&amp;"-"&amp;TEXT(($D970-$C970+1)+12,"00"),"")&amp;IF($C970&gt;=14,", "&amp;$A970&amp;"-"&amp;TEXT(($D970-$C970+1)+13,"00"),"")&amp;IF($C970&gt;=15,", "&amp;$A970&amp;"-"&amp;TEXT(($D970-$C970+1)+14,"00"),"")&amp;IF($C970&gt;=16,", "&amp;$A970&amp;"-"&amp;TEXT(($D970-$C970+1)+15,"00"),"")&amp;IF($C970&gt;=17,", "&amp;$A970&amp;"-"&amp;TEXT(($D970-$C970+1)+16,"00"),"")&amp;IF($C970&gt;=18,", "&amp;$A970&amp;"-"&amp;TEXT(($D970-$C970+1)+17,"00"),"")&amp;IF($C970&gt;=19,", "&amp;$A970&amp;"-"&amp;TEXT(($D970-$C970+1)+18,"00"),"")&amp;IF($C970&gt;=20,", "&amp;$A970&amp;"-"&amp;TEXT(($D970-$C970+1)+19,"00"),"")&amp;IF($C970&gt;=21,", "&amp;$A970&amp;"-"&amp;TEXT(($D970-$C970+1)+20,"00"),"")&amp;IF($C970&gt;=22,", "&amp;$A970&amp;"-"&amp;TEXT(($D970-$C970+1)+21,"00"),"")&amp;IF($C970&gt;=23,", "&amp;$A970&amp;"-"&amp;TEXT(($D970-$C970+1)+22,"00"),"")&amp;IF($C970&gt;=24,", "&amp;$A970&amp;"-"&amp;TEXT(($D970-$C970+1)+23,"00"),"")&amp;IF($C970&gt;=25,", "&amp;$A970&amp;"-"&amp;TEXT(($D970-$C970+1)+24,"00"),""))</f>
        <v/>
      </c>
      <c r="G970">
        <f>IF($A970="","",IF($E970=1,$F970,IF($F970="",$G969,IF($G969="",$F970,$G969&amp;", "&amp;$F970))))</f>
        <v/>
      </c>
      <c r="H970">
        <f>IF($A970="","",$A970&amp;" ("&amp;$C970&amp;")")</f>
        <v/>
      </c>
      <c r="I970">
        <f>IF($A970="","",IF($E970=1,$H970,$I969&amp;", "&amp;$H970))</f>
        <v/>
      </c>
      <c r="J970">
        <f>IF($A970="","",IF($E970=1,$B970,""))</f>
        <v/>
      </c>
      <c r="K970">
        <f>IF($A970="","",IF(COUNTIF($B$2:$B970,$B970)=COUNTIF($B$2:$B$1601,$B970),$B970,""))</f>
        <v/>
      </c>
    </row>
    <row r="971">
      <c r="A971">
        <f>IF('TMP Paste'!$E971="","",'TMP Paste'!$E971)</f>
        <v/>
      </c>
      <c r="B971">
        <f>IF($A971="","",COUNTIF('TMP Paste'!$B$2:$B971,"?*"))</f>
        <v/>
      </c>
      <c r="C971">
        <f>IF($A971="","",IFERROR('TMP Paste'!$M971*1,0))</f>
        <v/>
      </c>
      <c r="D971">
        <f>IF($A971="","",SUMIF($B$2:$B971,$B971,$C$2:$C971))</f>
        <v/>
      </c>
      <c r="E971">
        <f>IF($A971="",0,IF('TMP Paste'!$B971="",0,1))</f>
        <v/>
      </c>
      <c r="F971">
        <f>IF(OR($A971="",$C971&lt;1),"",$A971&amp;"-"&amp;TEXT(($D971-$C971+1),"00")&amp;IF($C971&gt;=2,", "&amp;$A971&amp;"-"&amp;TEXT(($D971-$C971+1)+1,"00"),"")&amp;IF($C971&gt;=3,", "&amp;$A971&amp;"-"&amp;TEXT(($D971-$C971+1)+2,"00"),"")&amp;IF($C971&gt;=4,", "&amp;$A971&amp;"-"&amp;TEXT(($D971-$C971+1)+3,"00"),"")&amp;IF($C971&gt;=5,", "&amp;$A971&amp;"-"&amp;TEXT(($D971-$C971+1)+4,"00"),"")&amp;IF($C971&gt;=6,", "&amp;$A971&amp;"-"&amp;TEXT(($D971-$C971+1)+5,"00"),"")&amp;IF($C971&gt;=7,", "&amp;$A971&amp;"-"&amp;TEXT(($D971-$C971+1)+6,"00"),"")&amp;IF($C971&gt;=8,", "&amp;$A971&amp;"-"&amp;TEXT(($D971-$C971+1)+7,"00"),"")&amp;IF($C971&gt;=9,", "&amp;$A971&amp;"-"&amp;TEXT(($D971-$C971+1)+8,"00"),"")&amp;IF($C971&gt;=10,", "&amp;$A971&amp;"-"&amp;TEXT(($D971-$C971+1)+9,"00"),"")&amp;IF($C971&gt;=11,", "&amp;$A971&amp;"-"&amp;TEXT(($D971-$C971+1)+10,"00"),"")&amp;IF($C971&gt;=12,", "&amp;$A971&amp;"-"&amp;TEXT(($D971-$C971+1)+11,"00"),"")&amp;IF($C971&gt;=13,", "&amp;$A971&amp;"-"&amp;TEXT(($D971-$C971+1)+12,"00"),"")&amp;IF($C971&gt;=14,", "&amp;$A971&amp;"-"&amp;TEXT(($D971-$C971+1)+13,"00"),"")&amp;IF($C971&gt;=15,", "&amp;$A971&amp;"-"&amp;TEXT(($D971-$C971+1)+14,"00"),"")&amp;IF($C971&gt;=16,", "&amp;$A971&amp;"-"&amp;TEXT(($D971-$C971+1)+15,"00"),"")&amp;IF($C971&gt;=17,", "&amp;$A971&amp;"-"&amp;TEXT(($D971-$C971+1)+16,"00"),"")&amp;IF($C971&gt;=18,", "&amp;$A971&amp;"-"&amp;TEXT(($D971-$C971+1)+17,"00"),"")&amp;IF($C971&gt;=19,", "&amp;$A971&amp;"-"&amp;TEXT(($D971-$C971+1)+18,"00"),"")&amp;IF($C971&gt;=20,", "&amp;$A971&amp;"-"&amp;TEXT(($D971-$C971+1)+19,"00"),"")&amp;IF($C971&gt;=21,", "&amp;$A971&amp;"-"&amp;TEXT(($D971-$C971+1)+20,"00"),"")&amp;IF($C971&gt;=22,", "&amp;$A971&amp;"-"&amp;TEXT(($D971-$C971+1)+21,"00"),"")&amp;IF($C971&gt;=23,", "&amp;$A971&amp;"-"&amp;TEXT(($D971-$C971+1)+22,"00"),"")&amp;IF($C971&gt;=24,", "&amp;$A971&amp;"-"&amp;TEXT(($D971-$C971+1)+23,"00"),"")&amp;IF($C971&gt;=25,", "&amp;$A971&amp;"-"&amp;TEXT(($D971-$C971+1)+24,"00"),""))</f>
        <v/>
      </c>
      <c r="G971">
        <f>IF($A971="","",IF($E971=1,$F971,IF($F971="",$G970,IF($G970="",$F971,$G970&amp;", "&amp;$F971))))</f>
        <v/>
      </c>
      <c r="H971">
        <f>IF($A971="","",$A971&amp;" ("&amp;$C971&amp;")")</f>
        <v/>
      </c>
      <c r="I971">
        <f>IF($A971="","",IF($E971=1,$H971,$I970&amp;", "&amp;$H971))</f>
        <v/>
      </c>
      <c r="J971">
        <f>IF($A971="","",IF($E971=1,$B971,""))</f>
        <v/>
      </c>
      <c r="K971">
        <f>IF($A971="","",IF(COUNTIF($B$2:$B971,$B971)=COUNTIF($B$2:$B$1601,$B971),$B971,""))</f>
        <v/>
      </c>
    </row>
    <row r="972">
      <c r="A972">
        <f>IF('TMP Paste'!$E972="","",'TMP Paste'!$E972)</f>
        <v/>
      </c>
      <c r="B972">
        <f>IF($A972="","",COUNTIF('TMP Paste'!$B$2:$B972,"?*"))</f>
        <v/>
      </c>
      <c r="C972">
        <f>IF($A972="","",IFERROR('TMP Paste'!$M972*1,0))</f>
        <v/>
      </c>
      <c r="D972">
        <f>IF($A972="","",SUMIF($B$2:$B972,$B972,$C$2:$C972))</f>
        <v/>
      </c>
      <c r="E972">
        <f>IF($A972="",0,IF('TMP Paste'!$B972="",0,1))</f>
        <v/>
      </c>
      <c r="F972">
        <f>IF(OR($A972="",$C972&lt;1),"",$A972&amp;"-"&amp;TEXT(($D972-$C972+1),"00")&amp;IF($C972&gt;=2,", "&amp;$A972&amp;"-"&amp;TEXT(($D972-$C972+1)+1,"00"),"")&amp;IF($C972&gt;=3,", "&amp;$A972&amp;"-"&amp;TEXT(($D972-$C972+1)+2,"00"),"")&amp;IF($C972&gt;=4,", "&amp;$A972&amp;"-"&amp;TEXT(($D972-$C972+1)+3,"00"),"")&amp;IF($C972&gt;=5,", "&amp;$A972&amp;"-"&amp;TEXT(($D972-$C972+1)+4,"00"),"")&amp;IF($C972&gt;=6,", "&amp;$A972&amp;"-"&amp;TEXT(($D972-$C972+1)+5,"00"),"")&amp;IF($C972&gt;=7,", "&amp;$A972&amp;"-"&amp;TEXT(($D972-$C972+1)+6,"00"),"")&amp;IF($C972&gt;=8,", "&amp;$A972&amp;"-"&amp;TEXT(($D972-$C972+1)+7,"00"),"")&amp;IF($C972&gt;=9,", "&amp;$A972&amp;"-"&amp;TEXT(($D972-$C972+1)+8,"00"),"")&amp;IF($C972&gt;=10,", "&amp;$A972&amp;"-"&amp;TEXT(($D972-$C972+1)+9,"00"),"")&amp;IF($C972&gt;=11,", "&amp;$A972&amp;"-"&amp;TEXT(($D972-$C972+1)+10,"00"),"")&amp;IF($C972&gt;=12,", "&amp;$A972&amp;"-"&amp;TEXT(($D972-$C972+1)+11,"00"),"")&amp;IF($C972&gt;=13,", "&amp;$A972&amp;"-"&amp;TEXT(($D972-$C972+1)+12,"00"),"")&amp;IF($C972&gt;=14,", "&amp;$A972&amp;"-"&amp;TEXT(($D972-$C972+1)+13,"00"),"")&amp;IF($C972&gt;=15,", "&amp;$A972&amp;"-"&amp;TEXT(($D972-$C972+1)+14,"00"),"")&amp;IF($C972&gt;=16,", "&amp;$A972&amp;"-"&amp;TEXT(($D972-$C972+1)+15,"00"),"")&amp;IF($C972&gt;=17,", "&amp;$A972&amp;"-"&amp;TEXT(($D972-$C972+1)+16,"00"),"")&amp;IF($C972&gt;=18,", "&amp;$A972&amp;"-"&amp;TEXT(($D972-$C972+1)+17,"00"),"")&amp;IF($C972&gt;=19,", "&amp;$A972&amp;"-"&amp;TEXT(($D972-$C972+1)+18,"00"),"")&amp;IF($C972&gt;=20,", "&amp;$A972&amp;"-"&amp;TEXT(($D972-$C972+1)+19,"00"),"")&amp;IF($C972&gt;=21,", "&amp;$A972&amp;"-"&amp;TEXT(($D972-$C972+1)+20,"00"),"")&amp;IF($C972&gt;=22,", "&amp;$A972&amp;"-"&amp;TEXT(($D972-$C972+1)+21,"00"),"")&amp;IF($C972&gt;=23,", "&amp;$A972&amp;"-"&amp;TEXT(($D972-$C972+1)+22,"00"),"")&amp;IF($C972&gt;=24,", "&amp;$A972&amp;"-"&amp;TEXT(($D972-$C972+1)+23,"00"),"")&amp;IF($C972&gt;=25,", "&amp;$A972&amp;"-"&amp;TEXT(($D972-$C972+1)+24,"00"),""))</f>
        <v/>
      </c>
      <c r="G972">
        <f>IF($A972="","",IF($E972=1,$F972,IF($F972="",$G971,IF($G971="",$F972,$G971&amp;", "&amp;$F972))))</f>
        <v/>
      </c>
      <c r="H972">
        <f>IF($A972="","",$A972&amp;" ("&amp;$C972&amp;")")</f>
        <v/>
      </c>
      <c r="I972">
        <f>IF($A972="","",IF($E972=1,$H972,$I971&amp;", "&amp;$H972))</f>
        <v/>
      </c>
      <c r="J972">
        <f>IF($A972="","",IF($E972=1,$B972,""))</f>
        <v/>
      </c>
      <c r="K972">
        <f>IF($A972="","",IF(COUNTIF($B$2:$B972,$B972)=COUNTIF($B$2:$B$1601,$B972),$B972,""))</f>
        <v/>
      </c>
    </row>
    <row r="973">
      <c r="A973">
        <f>IF('TMP Paste'!$E973="","",'TMP Paste'!$E973)</f>
        <v/>
      </c>
      <c r="B973">
        <f>IF($A973="","",COUNTIF('TMP Paste'!$B$2:$B973,"?*"))</f>
        <v/>
      </c>
      <c r="C973">
        <f>IF($A973="","",IFERROR('TMP Paste'!$M973*1,0))</f>
        <v/>
      </c>
      <c r="D973">
        <f>IF($A973="","",SUMIF($B$2:$B973,$B973,$C$2:$C973))</f>
        <v/>
      </c>
      <c r="E973">
        <f>IF($A973="",0,IF('TMP Paste'!$B973="",0,1))</f>
        <v/>
      </c>
      <c r="F973">
        <f>IF(OR($A973="",$C973&lt;1),"",$A973&amp;"-"&amp;TEXT(($D973-$C973+1),"00")&amp;IF($C973&gt;=2,", "&amp;$A973&amp;"-"&amp;TEXT(($D973-$C973+1)+1,"00"),"")&amp;IF($C973&gt;=3,", "&amp;$A973&amp;"-"&amp;TEXT(($D973-$C973+1)+2,"00"),"")&amp;IF($C973&gt;=4,", "&amp;$A973&amp;"-"&amp;TEXT(($D973-$C973+1)+3,"00"),"")&amp;IF($C973&gt;=5,", "&amp;$A973&amp;"-"&amp;TEXT(($D973-$C973+1)+4,"00"),"")&amp;IF($C973&gt;=6,", "&amp;$A973&amp;"-"&amp;TEXT(($D973-$C973+1)+5,"00"),"")&amp;IF($C973&gt;=7,", "&amp;$A973&amp;"-"&amp;TEXT(($D973-$C973+1)+6,"00"),"")&amp;IF($C973&gt;=8,", "&amp;$A973&amp;"-"&amp;TEXT(($D973-$C973+1)+7,"00"),"")&amp;IF($C973&gt;=9,", "&amp;$A973&amp;"-"&amp;TEXT(($D973-$C973+1)+8,"00"),"")&amp;IF($C973&gt;=10,", "&amp;$A973&amp;"-"&amp;TEXT(($D973-$C973+1)+9,"00"),"")&amp;IF($C973&gt;=11,", "&amp;$A973&amp;"-"&amp;TEXT(($D973-$C973+1)+10,"00"),"")&amp;IF($C973&gt;=12,", "&amp;$A973&amp;"-"&amp;TEXT(($D973-$C973+1)+11,"00"),"")&amp;IF($C973&gt;=13,", "&amp;$A973&amp;"-"&amp;TEXT(($D973-$C973+1)+12,"00"),"")&amp;IF($C973&gt;=14,", "&amp;$A973&amp;"-"&amp;TEXT(($D973-$C973+1)+13,"00"),"")&amp;IF($C973&gt;=15,", "&amp;$A973&amp;"-"&amp;TEXT(($D973-$C973+1)+14,"00"),"")&amp;IF($C973&gt;=16,", "&amp;$A973&amp;"-"&amp;TEXT(($D973-$C973+1)+15,"00"),"")&amp;IF($C973&gt;=17,", "&amp;$A973&amp;"-"&amp;TEXT(($D973-$C973+1)+16,"00"),"")&amp;IF($C973&gt;=18,", "&amp;$A973&amp;"-"&amp;TEXT(($D973-$C973+1)+17,"00"),"")&amp;IF($C973&gt;=19,", "&amp;$A973&amp;"-"&amp;TEXT(($D973-$C973+1)+18,"00"),"")&amp;IF($C973&gt;=20,", "&amp;$A973&amp;"-"&amp;TEXT(($D973-$C973+1)+19,"00"),"")&amp;IF($C973&gt;=21,", "&amp;$A973&amp;"-"&amp;TEXT(($D973-$C973+1)+20,"00"),"")&amp;IF($C973&gt;=22,", "&amp;$A973&amp;"-"&amp;TEXT(($D973-$C973+1)+21,"00"),"")&amp;IF($C973&gt;=23,", "&amp;$A973&amp;"-"&amp;TEXT(($D973-$C973+1)+22,"00"),"")&amp;IF($C973&gt;=24,", "&amp;$A973&amp;"-"&amp;TEXT(($D973-$C973+1)+23,"00"),"")&amp;IF($C973&gt;=25,", "&amp;$A973&amp;"-"&amp;TEXT(($D973-$C973+1)+24,"00"),""))</f>
        <v/>
      </c>
      <c r="G973">
        <f>IF($A973="","",IF($E973=1,$F973,IF($F973="",$G972,IF($G972="",$F973,$G972&amp;", "&amp;$F973))))</f>
        <v/>
      </c>
      <c r="H973">
        <f>IF($A973="","",$A973&amp;" ("&amp;$C973&amp;")")</f>
        <v/>
      </c>
      <c r="I973">
        <f>IF($A973="","",IF($E973=1,$H973,$I972&amp;", "&amp;$H973))</f>
        <v/>
      </c>
      <c r="J973">
        <f>IF($A973="","",IF($E973=1,$B973,""))</f>
        <v/>
      </c>
      <c r="K973">
        <f>IF($A973="","",IF(COUNTIF($B$2:$B973,$B973)=COUNTIF($B$2:$B$1601,$B973),$B973,""))</f>
        <v/>
      </c>
    </row>
    <row r="974">
      <c r="A974">
        <f>IF('TMP Paste'!$E974="","",'TMP Paste'!$E974)</f>
        <v/>
      </c>
      <c r="B974">
        <f>IF($A974="","",COUNTIF('TMP Paste'!$B$2:$B974,"?*"))</f>
        <v/>
      </c>
      <c r="C974">
        <f>IF($A974="","",IFERROR('TMP Paste'!$M974*1,0))</f>
        <v/>
      </c>
      <c r="D974">
        <f>IF($A974="","",SUMIF($B$2:$B974,$B974,$C$2:$C974))</f>
        <v/>
      </c>
      <c r="E974">
        <f>IF($A974="",0,IF('TMP Paste'!$B974="",0,1))</f>
        <v/>
      </c>
      <c r="F974">
        <f>IF(OR($A974="",$C974&lt;1),"",$A974&amp;"-"&amp;TEXT(($D974-$C974+1),"00")&amp;IF($C974&gt;=2,", "&amp;$A974&amp;"-"&amp;TEXT(($D974-$C974+1)+1,"00"),"")&amp;IF($C974&gt;=3,", "&amp;$A974&amp;"-"&amp;TEXT(($D974-$C974+1)+2,"00"),"")&amp;IF($C974&gt;=4,", "&amp;$A974&amp;"-"&amp;TEXT(($D974-$C974+1)+3,"00"),"")&amp;IF($C974&gt;=5,", "&amp;$A974&amp;"-"&amp;TEXT(($D974-$C974+1)+4,"00"),"")&amp;IF($C974&gt;=6,", "&amp;$A974&amp;"-"&amp;TEXT(($D974-$C974+1)+5,"00"),"")&amp;IF($C974&gt;=7,", "&amp;$A974&amp;"-"&amp;TEXT(($D974-$C974+1)+6,"00"),"")&amp;IF($C974&gt;=8,", "&amp;$A974&amp;"-"&amp;TEXT(($D974-$C974+1)+7,"00"),"")&amp;IF($C974&gt;=9,", "&amp;$A974&amp;"-"&amp;TEXT(($D974-$C974+1)+8,"00"),"")&amp;IF($C974&gt;=10,", "&amp;$A974&amp;"-"&amp;TEXT(($D974-$C974+1)+9,"00"),"")&amp;IF($C974&gt;=11,", "&amp;$A974&amp;"-"&amp;TEXT(($D974-$C974+1)+10,"00"),"")&amp;IF($C974&gt;=12,", "&amp;$A974&amp;"-"&amp;TEXT(($D974-$C974+1)+11,"00"),"")&amp;IF($C974&gt;=13,", "&amp;$A974&amp;"-"&amp;TEXT(($D974-$C974+1)+12,"00"),"")&amp;IF($C974&gt;=14,", "&amp;$A974&amp;"-"&amp;TEXT(($D974-$C974+1)+13,"00"),"")&amp;IF($C974&gt;=15,", "&amp;$A974&amp;"-"&amp;TEXT(($D974-$C974+1)+14,"00"),"")&amp;IF($C974&gt;=16,", "&amp;$A974&amp;"-"&amp;TEXT(($D974-$C974+1)+15,"00"),"")&amp;IF($C974&gt;=17,", "&amp;$A974&amp;"-"&amp;TEXT(($D974-$C974+1)+16,"00"),"")&amp;IF($C974&gt;=18,", "&amp;$A974&amp;"-"&amp;TEXT(($D974-$C974+1)+17,"00"),"")&amp;IF($C974&gt;=19,", "&amp;$A974&amp;"-"&amp;TEXT(($D974-$C974+1)+18,"00"),"")&amp;IF($C974&gt;=20,", "&amp;$A974&amp;"-"&amp;TEXT(($D974-$C974+1)+19,"00"),"")&amp;IF($C974&gt;=21,", "&amp;$A974&amp;"-"&amp;TEXT(($D974-$C974+1)+20,"00"),"")&amp;IF($C974&gt;=22,", "&amp;$A974&amp;"-"&amp;TEXT(($D974-$C974+1)+21,"00"),"")&amp;IF($C974&gt;=23,", "&amp;$A974&amp;"-"&amp;TEXT(($D974-$C974+1)+22,"00"),"")&amp;IF($C974&gt;=24,", "&amp;$A974&amp;"-"&amp;TEXT(($D974-$C974+1)+23,"00"),"")&amp;IF($C974&gt;=25,", "&amp;$A974&amp;"-"&amp;TEXT(($D974-$C974+1)+24,"00"),""))</f>
        <v/>
      </c>
      <c r="G974">
        <f>IF($A974="","",IF($E974=1,$F974,IF($F974="",$G973,IF($G973="",$F974,$G973&amp;", "&amp;$F974))))</f>
        <v/>
      </c>
      <c r="H974">
        <f>IF($A974="","",$A974&amp;" ("&amp;$C974&amp;")")</f>
        <v/>
      </c>
      <c r="I974">
        <f>IF($A974="","",IF($E974=1,$H974,$I973&amp;", "&amp;$H974))</f>
        <v/>
      </c>
      <c r="J974">
        <f>IF($A974="","",IF($E974=1,$B974,""))</f>
        <v/>
      </c>
      <c r="K974">
        <f>IF($A974="","",IF(COUNTIF($B$2:$B974,$B974)=COUNTIF($B$2:$B$1601,$B974),$B974,""))</f>
        <v/>
      </c>
    </row>
    <row r="975">
      <c r="A975">
        <f>IF('TMP Paste'!$E975="","",'TMP Paste'!$E975)</f>
        <v/>
      </c>
      <c r="B975">
        <f>IF($A975="","",COUNTIF('TMP Paste'!$B$2:$B975,"?*"))</f>
        <v/>
      </c>
      <c r="C975">
        <f>IF($A975="","",IFERROR('TMP Paste'!$M975*1,0))</f>
        <v/>
      </c>
      <c r="D975">
        <f>IF($A975="","",SUMIF($B$2:$B975,$B975,$C$2:$C975))</f>
        <v/>
      </c>
      <c r="E975">
        <f>IF($A975="",0,IF('TMP Paste'!$B975="",0,1))</f>
        <v/>
      </c>
      <c r="F975">
        <f>IF(OR($A975="",$C975&lt;1),"",$A975&amp;"-"&amp;TEXT(($D975-$C975+1),"00")&amp;IF($C975&gt;=2,", "&amp;$A975&amp;"-"&amp;TEXT(($D975-$C975+1)+1,"00"),"")&amp;IF($C975&gt;=3,", "&amp;$A975&amp;"-"&amp;TEXT(($D975-$C975+1)+2,"00"),"")&amp;IF($C975&gt;=4,", "&amp;$A975&amp;"-"&amp;TEXT(($D975-$C975+1)+3,"00"),"")&amp;IF($C975&gt;=5,", "&amp;$A975&amp;"-"&amp;TEXT(($D975-$C975+1)+4,"00"),"")&amp;IF($C975&gt;=6,", "&amp;$A975&amp;"-"&amp;TEXT(($D975-$C975+1)+5,"00"),"")&amp;IF($C975&gt;=7,", "&amp;$A975&amp;"-"&amp;TEXT(($D975-$C975+1)+6,"00"),"")&amp;IF($C975&gt;=8,", "&amp;$A975&amp;"-"&amp;TEXT(($D975-$C975+1)+7,"00"),"")&amp;IF($C975&gt;=9,", "&amp;$A975&amp;"-"&amp;TEXT(($D975-$C975+1)+8,"00"),"")&amp;IF($C975&gt;=10,", "&amp;$A975&amp;"-"&amp;TEXT(($D975-$C975+1)+9,"00"),"")&amp;IF($C975&gt;=11,", "&amp;$A975&amp;"-"&amp;TEXT(($D975-$C975+1)+10,"00"),"")&amp;IF($C975&gt;=12,", "&amp;$A975&amp;"-"&amp;TEXT(($D975-$C975+1)+11,"00"),"")&amp;IF($C975&gt;=13,", "&amp;$A975&amp;"-"&amp;TEXT(($D975-$C975+1)+12,"00"),"")&amp;IF($C975&gt;=14,", "&amp;$A975&amp;"-"&amp;TEXT(($D975-$C975+1)+13,"00"),"")&amp;IF($C975&gt;=15,", "&amp;$A975&amp;"-"&amp;TEXT(($D975-$C975+1)+14,"00"),"")&amp;IF($C975&gt;=16,", "&amp;$A975&amp;"-"&amp;TEXT(($D975-$C975+1)+15,"00"),"")&amp;IF($C975&gt;=17,", "&amp;$A975&amp;"-"&amp;TEXT(($D975-$C975+1)+16,"00"),"")&amp;IF($C975&gt;=18,", "&amp;$A975&amp;"-"&amp;TEXT(($D975-$C975+1)+17,"00"),"")&amp;IF($C975&gt;=19,", "&amp;$A975&amp;"-"&amp;TEXT(($D975-$C975+1)+18,"00"),"")&amp;IF($C975&gt;=20,", "&amp;$A975&amp;"-"&amp;TEXT(($D975-$C975+1)+19,"00"),"")&amp;IF($C975&gt;=21,", "&amp;$A975&amp;"-"&amp;TEXT(($D975-$C975+1)+20,"00"),"")&amp;IF($C975&gt;=22,", "&amp;$A975&amp;"-"&amp;TEXT(($D975-$C975+1)+21,"00"),"")&amp;IF($C975&gt;=23,", "&amp;$A975&amp;"-"&amp;TEXT(($D975-$C975+1)+22,"00"),"")&amp;IF($C975&gt;=24,", "&amp;$A975&amp;"-"&amp;TEXT(($D975-$C975+1)+23,"00"),"")&amp;IF($C975&gt;=25,", "&amp;$A975&amp;"-"&amp;TEXT(($D975-$C975+1)+24,"00"),""))</f>
        <v/>
      </c>
      <c r="G975">
        <f>IF($A975="","",IF($E975=1,$F975,IF($F975="",$G974,IF($G974="",$F975,$G974&amp;", "&amp;$F975))))</f>
        <v/>
      </c>
      <c r="H975">
        <f>IF($A975="","",$A975&amp;" ("&amp;$C975&amp;")")</f>
        <v/>
      </c>
      <c r="I975">
        <f>IF($A975="","",IF($E975=1,$H975,$I974&amp;", "&amp;$H975))</f>
        <v/>
      </c>
      <c r="J975">
        <f>IF($A975="","",IF($E975=1,$B975,""))</f>
        <v/>
      </c>
      <c r="K975">
        <f>IF($A975="","",IF(COUNTIF($B$2:$B975,$B975)=COUNTIF($B$2:$B$1601,$B975),$B975,""))</f>
        <v/>
      </c>
    </row>
    <row r="976">
      <c r="A976">
        <f>IF('TMP Paste'!$E976="","",'TMP Paste'!$E976)</f>
        <v/>
      </c>
      <c r="B976">
        <f>IF($A976="","",COUNTIF('TMP Paste'!$B$2:$B976,"?*"))</f>
        <v/>
      </c>
      <c r="C976">
        <f>IF($A976="","",IFERROR('TMP Paste'!$M976*1,0))</f>
        <v/>
      </c>
      <c r="D976">
        <f>IF($A976="","",SUMIF($B$2:$B976,$B976,$C$2:$C976))</f>
        <v/>
      </c>
      <c r="E976">
        <f>IF($A976="",0,IF('TMP Paste'!$B976="",0,1))</f>
        <v/>
      </c>
      <c r="F976">
        <f>IF(OR($A976="",$C976&lt;1),"",$A976&amp;"-"&amp;TEXT(($D976-$C976+1),"00")&amp;IF($C976&gt;=2,", "&amp;$A976&amp;"-"&amp;TEXT(($D976-$C976+1)+1,"00"),"")&amp;IF($C976&gt;=3,", "&amp;$A976&amp;"-"&amp;TEXT(($D976-$C976+1)+2,"00"),"")&amp;IF($C976&gt;=4,", "&amp;$A976&amp;"-"&amp;TEXT(($D976-$C976+1)+3,"00"),"")&amp;IF($C976&gt;=5,", "&amp;$A976&amp;"-"&amp;TEXT(($D976-$C976+1)+4,"00"),"")&amp;IF($C976&gt;=6,", "&amp;$A976&amp;"-"&amp;TEXT(($D976-$C976+1)+5,"00"),"")&amp;IF($C976&gt;=7,", "&amp;$A976&amp;"-"&amp;TEXT(($D976-$C976+1)+6,"00"),"")&amp;IF($C976&gt;=8,", "&amp;$A976&amp;"-"&amp;TEXT(($D976-$C976+1)+7,"00"),"")&amp;IF($C976&gt;=9,", "&amp;$A976&amp;"-"&amp;TEXT(($D976-$C976+1)+8,"00"),"")&amp;IF($C976&gt;=10,", "&amp;$A976&amp;"-"&amp;TEXT(($D976-$C976+1)+9,"00"),"")&amp;IF($C976&gt;=11,", "&amp;$A976&amp;"-"&amp;TEXT(($D976-$C976+1)+10,"00"),"")&amp;IF($C976&gt;=12,", "&amp;$A976&amp;"-"&amp;TEXT(($D976-$C976+1)+11,"00"),"")&amp;IF($C976&gt;=13,", "&amp;$A976&amp;"-"&amp;TEXT(($D976-$C976+1)+12,"00"),"")&amp;IF($C976&gt;=14,", "&amp;$A976&amp;"-"&amp;TEXT(($D976-$C976+1)+13,"00"),"")&amp;IF($C976&gt;=15,", "&amp;$A976&amp;"-"&amp;TEXT(($D976-$C976+1)+14,"00"),"")&amp;IF($C976&gt;=16,", "&amp;$A976&amp;"-"&amp;TEXT(($D976-$C976+1)+15,"00"),"")&amp;IF($C976&gt;=17,", "&amp;$A976&amp;"-"&amp;TEXT(($D976-$C976+1)+16,"00"),"")&amp;IF($C976&gt;=18,", "&amp;$A976&amp;"-"&amp;TEXT(($D976-$C976+1)+17,"00"),"")&amp;IF($C976&gt;=19,", "&amp;$A976&amp;"-"&amp;TEXT(($D976-$C976+1)+18,"00"),"")&amp;IF($C976&gt;=20,", "&amp;$A976&amp;"-"&amp;TEXT(($D976-$C976+1)+19,"00"),"")&amp;IF($C976&gt;=21,", "&amp;$A976&amp;"-"&amp;TEXT(($D976-$C976+1)+20,"00"),"")&amp;IF($C976&gt;=22,", "&amp;$A976&amp;"-"&amp;TEXT(($D976-$C976+1)+21,"00"),"")&amp;IF($C976&gt;=23,", "&amp;$A976&amp;"-"&amp;TEXT(($D976-$C976+1)+22,"00"),"")&amp;IF($C976&gt;=24,", "&amp;$A976&amp;"-"&amp;TEXT(($D976-$C976+1)+23,"00"),"")&amp;IF($C976&gt;=25,", "&amp;$A976&amp;"-"&amp;TEXT(($D976-$C976+1)+24,"00"),""))</f>
        <v/>
      </c>
      <c r="G976">
        <f>IF($A976="","",IF($E976=1,$F976,IF($F976="",$G975,IF($G975="",$F976,$G975&amp;", "&amp;$F976))))</f>
        <v/>
      </c>
      <c r="H976">
        <f>IF($A976="","",$A976&amp;" ("&amp;$C976&amp;")")</f>
        <v/>
      </c>
      <c r="I976">
        <f>IF($A976="","",IF($E976=1,$H976,$I975&amp;", "&amp;$H976))</f>
        <v/>
      </c>
      <c r="J976">
        <f>IF($A976="","",IF($E976=1,$B976,""))</f>
        <v/>
      </c>
      <c r="K976">
        <f>IF($A976="","",IF(COUNTIF($B$2:$B976,$B976)=COUNTIF($B$2:$B$1601,$B976),$B976,""))</f>
        <v/>
      </c>
    </row>
    <row r="977">
      <c r="A977">
        <f>IF('TMP Paste'!$E977="","",'TMP Paste'!$E977)</f>
        <v/>
      </c>
      <c r="B977">
        <f>IF($A977="","",COUNTIF('TMP Paste'!$B$2:$B977,"?*"))</f>
        <v/>
      </c>
      <c r="C977">
        <f>IF($A977="","",IFERROR('TMP Paste'!$M977*1,0))</f>
        <v/>
      </c>
      <c r="D977">
        <f>IF($A977="","",SUMIF($B$2:$B977,$B977,$C$2:$C977))</f>
        <v/>
      </c>
      <c r="E977">
        <f>IF($A977="",0,IF('TMP Paste'!$B977="",0,1))</f>
        <v/>
      </c>
      <c r="F977">
        <f>IF(OR($A977="",$C977&lt;1),"",$A977&amp;"-"&amp;TEXT(($D977-$C977+1),"00")&amp;IF($C977&gt;=2,", "&amp;$A977&amp;"-"&amp;TEXT(($D977-$C977+1)+1,"00"),"")&amp;IF($C977&gt;=3,", "&amp;$A977&amp;"-"&amp;TEXT(($D977-$C977+1)+2,"00"),"")&amp;IF($C977&gt;=4,", "&amp;$A977&amp;"-"&amp;TEXT(($D977-$C977+1)+3,"00"),"")&amp;IF($C977&gt;=5,", "&amp;$A977&amp;"-"&amp;TEXT(($D977-$C977+1)+4,"00"),"")&amp;IF($C977&gt;=6,", "&amp;$A977&amp;"-"&amp;TEXT(($D977-$C977+1)+5,"00"),"")&amp;IF($C977&gt;=7,", "&amp;$A977&amp;"-"&amp;TEXT(($D977-$C977+1)+6,"00"),"")&amp;IF($C977&gt;=8,", "&amp;$A977&amp;"-"&amp;TEXT(($D977-$C977+1)+7,"00"),"")&amp;IF($C977&gt;=9,", "&amp;$A977&amp;"-"&amp;TEXT(($D977-$C977+1)+8,"00"),"")&amp;IF($C977&gt;=10,", "&amp;$A977&amp;"-"&amp;TEXT(($D977-$C977+1)+9,"00"),"")&amp;IF($C977&gt;=11,", "&amp;$A977&amp;"-"&amp;TEXT(($D977-$C977+1)+10,"00"),"")&amp;IF($C977&gt;=12,", "&amp;$A977&amp;"-"&amp;TEXT(($D977-$C977+1)+11,"00"),"")&amp;IF($C977&gt;=13,", "&amp;$A977&amp;"-"&amp;TEXT(($D977-$C977+1)+12,"00"),"")&amp;IF($C977&gt;=14,", "&amp;$A977&amp;"-"&amp;TEXT(($D977-$C977+1)+13,"00"),"")&amp;IF($C977&gt;=15,", "&amp;$A977&amp;"-"&amp;TEXT(($D977-$C977+1)+14,"00"),"")&amp;IF($C977&gt;=16,", "&amp;$A977&amp;"-"&amp;TEXT(($D977-$C977+1)+15,"00"),"")&amp;IF($C977&gt;=17,", "&amp;$A977&amp;"-"&amp;TEXT(($D977-$C977+1)+16,"00"),"")&amp;IF($C977&gt;=18,", "&amp;$A977&amp;"-"&amp;TEXT(($D977-$C977+1)+17,"00"),"")&amp;IF($C977&gt;=19,", "&amp;$A977&amp;"-"&amp;TEXT(($D977-$C977+1)+18,"00"),"")&amp;IF($C977&gt;=20,", "&amp;$A977&amp;"-"&amp;TEXT(($D977-$C977+1)+19,"00"),"")&amp;IF($C977&gt;=21,", "&amp;$A977&amp;"-"&amp;TEXT(($D977-$C977+1)+20,"00"),"")&amp;IF($C977&gt;=22,", "&amp;$A977&amp;"-"&amp;TEXT(($D977-$C977+1)+21,"00"),"")&amp;IF($C977&gt;=23,", "&amp;$A977&amp;"-"&amp;TEXT(($D977-$C977+1)+22,"00"),"")&amp;IF($C977&gt;=24,", "&amp;$A977&amp;"-"&amp;TEXT(($D977-$C977+1)+23,"00"),"")&amp;IF($C977&gt;=25,", "&amp;$A977&amp;"-"&amp;TEXT(($D977-$C977+1)+24,"00"),""))</f>
        <v/>
      </c>
      <c r="G977">
        <f>IF($A977="","",IF($E977=1,$F977,IF($F977="",$G976,IF($G976="",$F977,$G976&amp;", "&amp;$F977))))</f>
        <v/>
      </c>
      <c r="H977">
        <f>IF($A977="","",$A977&amp;" ("&amp;$C977&amp;")")</f>
        <v/>
      </c>
      <c r="I977">
        <f>IF($A977="","",IF($E977=1,$H977,$I976&amp;", "&amp;$H977))</f>
        <v/>
      </c>
      <c r="J977">
        <f>IF($A977="","",IF($E977=1,$B977,""))</f>
        <v/>
      </c>
      <c r="K977">
        <f>IF($A977="","",IF(COUNTIF($B$2:$B977,$B977)=COUNTIF($B$2:$B$1601,$B977),$B977,""))</f>
        <v/>
      </c>
    </row>
    <row r="978">
      <c r="A978">
        <f>IF('TMP Paste'!$E978="","",'TMP Paste'!$E978)</f>
        <v/>
      </c>
      <c r="B978">
        <f>IF($A978="","",COUNTIF('TMP Paste'!$B$2:$B978,"?*"))</f>
        <v/>
      </c>
      <c r="C978">
        <f>IF($A978="","",IFERROR('TMP Paste'!$M978*1,0))</f>
        <v/>
      </c>
      <c r="D978">
        <f>IF($A978="","",SUMIF($B$2:$B978,$B978,$C$2:$C978))</f>
        <v/>
      </c>
      <c r="E978">
        <f>IF($A978="",0,IF('TMP Paste'!$B978="",0,1))</f>
        <v/>
      </c>
      <c r="F978">
        <f>IF(OR($A978="",$C978&lt;1),"",$A978&amp;"-"&amp;TEXT(($D978-$C978+1),"00")&amp;IF($C978&gt;=2,", "&amp;$A978&amp;"-"&amp;TEXT(($D978-$C978+1)+1,"00"),"")&amp;IF($C978&gt;=3,", "&amp;$A978&amp;"-"&amp;TEXT(($D978-$C978+1)+2,"00"),"")&amp;IF($C978&gt;=4,", "&amp;$A978&amp;"-"&amp;TEXT(($D978-$C978+1)+3,"00"),"")&amp;IF($C978&gt;=5,", "&amp;$A978&amp;"-"&amp;TEXT(($D978-$C978+1)+4,"00"),"")&amp;IF($C978&gt;=6,", "&amp;$A978&amp;"-"&amp;TEXT(($D978-$C978+1)+5,"00"),"")&amp;IF($C978&gt;=7,", "&amp;$A978&amp;"-"&amp;TEXT(($D978-$C978+1)+6,"00"),"")&amp;IF($C978&gt;=8,", "&amp;$A978&amp;"-"&amp;TEXT(($D978-$C978+1)+7,"00"),"")&amp;IF($C978&gt;=9,", "&amp;$A978&amp;"-"&amp;TEXT(($D978-$C978+1)+8,"00"),"")&amp;IF($C978&gt;=10,", "&amp;$A978&amp;"-"&amp;TEXT(($D978-$C978+1)+9,"00"),"")&amp;IF($C978&gt;=11,", "&amp;$A978&amp;"-"&amp;TEXT(($D978-$C978+1)+10,"00"),"")&amp;IF($C978&gt;=12,", "&amp;$A978&amp;"-"&amp;TEXT(($D978-$C978+1)+11,"00"),"")&amp;IF($C978&gt;=13,", "&amp;$A978&amp;"-"&amp;TEXT(($D978-$C978+1)+12,"00"),"")&amp;IF($C978&gt;=14,", "&amp;$A978&amp;"-"&amp;TEXT(($D978-$C978+1)+13,"00"),"")&amp;IF($C978&gt;=15,", "&amp;$A978&amp;"-"&amp;TEXT(($D978-$C978+1)+14,"00"),"")&amp;IF($C978&gt;=16,", "&amp;$A978&amp;"-"&amp;TEXT(($D978-$C978+1)+15,"00"),"")&amp;IF($C978&gt;=17,", "&amp;$A978&amp;"-"&amp;TEXT(($D978-$C978+1)+16,"00"),"")&amp;IF($C978&gt;=18,", "&amp;$A978&amp;"-"&amp;TEXT(($D978-$C978+1)+17,"00"),"")&amp;IF($C978&gt;=19,", "&amp;$A978&amp;"-"&amp;TEXT(($D978-$C978+1)+18,"00"),"")&amp;IF($C978&gt;=20,", "&amp;$A978&amp;"-"&amp;TEXT(($D978-$C978+1)+19,"00"),"")&amp;IF($C978&gt;=21,", "&amp;$A978&amp;"-"&amp;TEXT(($D978-$C978+1)+20,"00"),"")&amp;IF($C978&gt;=22,", "&amp;$A978&amp;"-"&amp;TEXT(($D978-$C978+1)+21,"00"),"")&amp;IF($C978&gt;=23,", "&amp;$A978&amp;"-"&amp;TEXT(($D978-$C978+1)+22,"00"),"")&amp;IF($C978&gt;=24,", "&amp;$A978&amp;"-"&amp;TEXT(($D978-$C978+1)+23,"00"),"")&amp;IF($C978&gt;=25,", "&amp;$A978&amp;"-"&amp;TEXT(($D978-$C978+1)+24,"00"),""))</f>
        <v/>
      </c>
      <c r="G978">
        <f>IF($A978="","",IF($E978=1,$F978,IF($F978="",$G977,IF($G977="",$F978,$G977&amp;", "&amp;$F978))))</f>
        <v/>
      </c>
      <c r="H978">
        <f>IF($A978="","",$A978&amp;" ("&amp;$C978&amp;")")</f>
        <v/>
      </c>
      <c r="I978">
        <f>IF($A978="","",IF($E978=1,$H978,$I977&amp;", "&amp;$H978))</f>
        <v/>
      </c>
      <c r="J978">
        <f>IF($A978="","",IF($E978=1,$B978,""))</f>
        <v/>
      </c>
      <c r="K978">
        <f>IF($A978="","",IF(COUNTIF($B$2:$B978,$B978)=COUNTIF($B$2:$B$1601,$B978),$B978,""))</f>
        <v/>
      </c>
    </row>
    <row r="979">
      <c r="A979">
        <f>IF('TMP Paste'!$E979="","",'TMP Paste'!$E979)</f>
        <v/>
      </c>
      <c r="B979">
        <f>IF($A979="","",COUNTIF('TMP Paste'!$B$2:$B979,"?*"))</f>
        <v/>
      </c>
      <c r="C979">
        <f>IF($A979="","",IFERROR('TMP Paste'!$M979*1,0))</f>
        <v/>
      </c>
      <c r="D979">
        <f>IF($A979="","",SUMIF($B$2:$B979,$B979,$C$2:$C979))</f>
        <v/>
      </c>
      <c r="E979">
        <f>IF($A979="",0,IF('TMP Paste'!$B979="",0,1))</f>
        <v/>
      </c>
      <c r="F979">
        <f>IF(OR($A979="",$C979&lt;1),"",$A979&amp;"-"&amp;TEXT(($D979-$C979+1),"00")&amp;IF($C979&gt;=2,", "&amp;$A979&amp;"-"&amp;TEXT(($D979-$C979+1)+1,"00"),"")&amp;IF($C979&gt;=3,", "&amp;$A979&amp;"-"&amp;TEXT(($D979-$C979+1)+2,"00"),"")&amp;IF($C979&gt;=4,", "&amp;$A979&amp;"-"&amp;TEXT(($D979-$C979+1)+3,"00"),"")&amp;IF($C979&gt;=5,", "&amp;$A979&amp;"-"&amp;TEXT(($D979-$C979+1)+4,"00"),"")&amp;IF($C979&gt;=6,", "&amp;$A979&amp;"-"&amp;TEXT(($D979-$C979+1)+5,"00"),"")&amp;IF($C979&gt;=7,", "&amp;$A979&amp;"-"&amp;TEXT(($D979-$C979+1)+6,"00"),"")&amp;IF($C979&gt;=8,", "&amp;$A979&amp;"-"&amp;TEXT(($D979-$C979+1)+7,"00"),"")&amp;IF($C979&gt;=9,", "&amp;$A979&amp;"-"&amp;TEXT(($D979-$C979+1)+8,"00"),"")&amp;IF($C979&gt;=10,", "&amp;$A979&amp;"-"&amp;TEXT(($D979-$C979+1)+9,"00"),"")&amp;IF($C979&gt;=11,", "&amp;$A979&amp;"-"&amp;TEXT(($D979-$C979+1)+10,"00"),"")&amp;IF($C979&gt;=12,", "&amp;$A979&amp;"-"&amp;TEXT(($D979-$C979+1)+11,"00"),"")&amp;IF($C979&gt;=13,", "&amp;$A979&amp;"-"&amp;TEXT(($D979-$C979+1)+12,"00"),"")&amp;IF($C979&gt;=14,", "&amp;$A979&amp;"-"&amp;TEXT(($D979-$C979+1)+13,"00"),"")&amp;IF($C979&gt;=15,", "&amp;$A979&amp;"-"&amp;TEXT(($D979-$C979+1)+14,"00"),"")&amp;IF($C979&gt;=16,", "&amp;$A979&amp;"-"&amp;TEXT(($D979-$C979+1)+15,"00"),"")&amp;IF($C979&gt;=17,", "&amp;$A979&amp;"-"&amp;TEXT(($D979-$C979+1)+16,"00"),"")&amp;IF($C979&gt;=18,", "&amp;$A979&amp;"-"&amp;TEXT(($D979-$C979+1)+17,"00"),"")&amp;IF($C979&gt;=19,", "&amp;$A979&amp;"-"&amp;TEXT(($D979-$C979+1)+18,"00"),"")&amp;IF($C979&gt;=20,", "&amp;$A979&amp;"-"&amp;TEXT(($D979-$C979+1)+19,"00"),"")&amp;IF($C979&gt;=21,", "&amp;$A979&amp;"-"&amp;TEXT(($D979-$C979+1)+20,"00"),"")&amp;IF($C979&gt;=22,", "&amp;$A979&amp;"-"&amp;TEXT(($D979-$C979+1)+21,"00"),"")&amp;IF($C979&gt;=23,", "&amp;$A979&amp;"-"&amp;TEXT(($D979-$C979+1)+22,"00"),"")&amp;IF($C979&gt;=24,", "&amp;$A979&amp;"-"&amp;TEXT(($D979-$C979+1)+23,"00"),"")&amp;IF($C979&gt;=25,", "&amp;$A979&amp;"-"&amp;TEXT(($D979-$C979+1)+24,"00"),""))</f>
        <v/>
      </c>
      <c r="G979">
        <f>IF($A979="","",IF($E979=1,$F979,IF($F979="",$G978,IF($G978="",$F979,$G978&amp;", "&amp;$F979))))</f>
        <v/>
      </c>
      <c r="H979">
        <f>IF($A979="","",$A979&amp;" ("&amp;$C979&amp;")")</f>
        <v/>
      </c>
      <c r="I979">
        <f>IF($A979="","",IF($E979=1,$H979,$I978&amp;", "&amp;$H979))</f>
        <v/>
      </c>
      <c r="J979">
        <f>IF($A979="","",IF($E979=1,$B979,""))</f>
        <v/>
      </c>
      <c r="K979">
        <f>IF($A979="","",IF(COUNTIF($B$2:$B979,$B979)=COUNTIF($B$2:$B$1601,$B979),$B979,""))</f>
        <v/>
      </c>
    </row>
    <row r="980">
      <c r="A980">
        <f>IF('TMP Paste'!$E980="","",'TMP Paste'!$E980)</f>
        <v/>
      </c>
      <c r="B980">
        <f>IF($A980="","",COUNTIF('TMP Paste'!$B$2:$B980,"?*"))</f>
        <v/>
      </c>
      <c r="C980">
        <f>IF($A980="","",IFERROR('TMP Paste'!$M980*1,0))</f>
        <v/>
      </c>
      <c r="D980">
        <f>IF($A980="","",SUMIF($B$2:$B980,$B980,$C$2:$C980))</f>
        <v/>
      </c>
      <c r="E980">
        <f>IF($A980="",0,IF('TMP Paste'!$B980="",0,1))</f>
        <v/>
      </c>
      <c r="F980">
        <f>IF(OR($A980="",$C980&lt;1),"",$A980&amp;"-"&amp;TEXT(($D980-$C980+1),"00")&amp;IF($C980&gt;=2,", "&amp;$A980&amp;"-"&amp;TEXT(($D980-$C980+1)+1,"00"),"")&amp;IF($C980&gt;=3,", "&amp;$A980&amp;"-"&amp;TEXT(($D980-$C980+1)+2,"00"),"")&amp;IF($C980&gt;=4,", "&amp;$A980&amp;"-"&amp;TEXT(($D980-$C980+1)+3,"00"),"")&amp;IF($C980&gt;=5,", "&amp;$A980&amp;"-"&amp;TEXT(($D980-$C980+1)+4,"00"),"")&amp;IF($C980&gt;=6,", "&amp;$A980&amp;"-"&amp;TEXT(($D980-$C980+1)+5,"00"),"")&amp;IF($C980&gt;=7,", "&amp;$A980&amp;"-"&amp;TEXT(($D980-$C980+1)+6,"00"),"")&amp;IF($C980&gt;=8,", "&amp;$A980&amp;"-"&amp;TEXT(($D980-$C980+1)+7,"00"),"")&amp;IF($C980&gt;=9,", "&amp;$A980&amp;"-"&amp;TEXT(($D980-$C980+1)+8,"00"),"")&amp;IF($C980&gt;=10,", "&amp;$A980&amp;"-"&amp;TEXT(($D980-$C980+1)+9,"00"),"")&amp;IF($C980&gt;=11,", "&amp;$A980&amp;"-"&amp;TEXT(($D980-$C980+1)+10,"00"),"")&amp;IF($C980&gt;=12,", "&amp;$A980&amp;"-"&amp;TEXT(($D980-$C980+1)+11,"00"),"")&amp;IF($C980&gt;=13,", "&amp;$A980&amp;"-"&amp;TEXT(($D980-$C980+1)+12,"00"),"")&amp;IF($C980&gt;=14,", "&amp;$A980&amp;"-"&amp;TEXT(($D980-$C980+1)+13,"00"),"")&amp;IF($C980&gt;=15,", "&amp;$A980&amp;"-"&amp;TEXT(($D980-$C980+1)+14,"00"),"")&amp;IF($C980&gt;=16,", "&amp;$A980&amp;"-"&amp;TEXT(($D980-$C980+1)+15,"00"),"")&amp;IF($C980&gt;=17,", "&amp;$A980&amp;"-"&amp;TEXT(($D980-$C980+1)+16,"00"),"")&amp;IF($C980&gt;=18,", "&amp;$A980&amp;"-"&amp;TEXT(($D980-$C980+1)+17,"00"),"")&amp;IF($C980&gt;=19,", "&amp;$A980&amp;"-"&amp;TEXT(($D980-$C980+1)+18,"00"),"")&amp;IF($C980&gt;=20,", "&amp;$A980&amp;"-"&amp;TEXT(($D980-$C980+1)+19,"00"),"")&amp;IF($C980&gt;=21,", "&amp;$A980&amp;"-"&amp;TEXT(($D980-$C980+1)+20,"00"),"")&amp;IF($C980&gt;=22,", "&amp;$A980&amp;"-"&amp;TEXT(($D980-$C980+1)+21,"00"),"")&amp;IF($C980&gt;=23,", "&amp;$A980&amp;"-"&amp;TEXT(($D980-$C980+1)+22,"00"),"")&amp;IF($C980&gt;=24,", "&amp;$A980&amp;"-"&amp;TEXT(($D980-$C980+1)+23,"00"),"")&amp;IF($C980&gt;=25,", "&amp;$A980&amp;"-"&amp;TEXT(($D980-$C980+1)+24,"00"),""))</f>
        <v/>
      </c>
      <c r="G980">
        <f>IF($A980="","",IF($E980=1,$F980,IF($F980="",$G979,IF($G979="",$F980,$G979&amp;", "&amp;$F980))))</f>
        <v/>
      </c>
      <c r="H980">
        <f>IF($A980="","",$A980&amp;" ("&amp;$C980&amp;")")</f>
        <v/>
      </c>
      <c r="I980">
        <f>IF($A980="","",IF($E980=1,$H980,$I979&amp;", "&amp;$H980))</f>
        <v/>
      </c>
      <c r="J980">
        <f>IF($A980="","",IF($E980=1,$B980,""))</f>
        <v/>
      </c>
      <c r="K980">
        <f>IF($A980="","",IF(COUNTIF($B$2:$B980,$B980)=COUNTIF($B$2:$B$1601,$B980),$B980,""))</f>
        <v/>
      </c>
    </row>
    <row r="981">
      <c r="A981">
        <f>IF('TMP Paste'!$E981="","",'TMP Paste'!$E981)</f>
        <v/>
      </c>
      <c r="B981">
        <f>IF($A981="","",COUNTIF('TMP Paste'!$B$2:$B981,"?*"))</f>
        <v/>
      </c>
      <c r="C981">
        <f>IF($A981="","",IFERROR('TMP Paste'!$M981*1,0))</f>
        <v/>
      </c>
      <c r="D981">
        <f>IF($A981="","",SUMIF($B$2:$B981,$B981,$C$2:$C981))</f>
        <v/>
      </c>
      <c r="E981">
        <f>IF($A981="",0,IF('TMP Paste'!$B981="",0,1))</f>
        <v/>
      </c>
      <c r="F981">
        <f>IF(OR($A981="",$C981&lt;1),"",$A981&amp;"-"&amp;TEXT(($D981-$C981+1),"00")&amp;IF($C981&gt;=2,", "&amp;$A981&amp;"-"&amp;TEXT(($D981-$C981+1)+1,"00"),"")&amp;IF($C981&gt;=3,", "&amp;$A981&amp;"-"&amp;TEXT(($D981-$C981+1)+2,"00"),"")&amp;IF($C981&gt;=4,", "&amp;$A981&amp;"-"&amp;TEXT(($D981-$C981+1)+3,"00"),"")&amp;IF($C981&gt;=5,", "&amp;$A981&amp;"-"&amp;TEXT(($D981-$C981+1)+4,"00"),"")&amp;IF($C981&gt;=6,", "&amp;$A981&amp;"-"&amp;TEXT(($D981-$C981+1)+5,"00"),"")&amp;IF($C981&gt;=7,", "&amp;$A981&amp;"-"&amp;TEXT(($D981-$C981+1)+6,"00"),"")&amp;IF($C981&gt;=8,", "&amp;$A981&amp;"-"&amp;TEXT(($D981-$C981+1)+7,"00"),"")&amp;IF($C981&gt;=9,", "&amp;$A981&amp;"-"&amp;TEXT(($D981-$C981+1)+8,"00"),"")&amp;IF($C981&gt;=10,", "&amp;$A981&amp;"-"&amp;TEXT(($D981-$C981+1)+9,"00"),"")&amp;IF($C981&gt;=11,", "&amp;$A981&amp;"-"&amp;TEXT(($D981-$C981+1)+10,"00"),"")&amp;IF($C981&gt;=12,", "&amp;$A981&amp;"-"&amp;TEXT(($D981-$C981+1)+11,"00"),"")&amp;IF($C981&gt;=13,", "&amp;$A981&amp;"-"&amp;TEXT(($D981-$C981+1)+12,"00"),"")&amp;IF($C981&gt;=14,", "&amp;$A981&amp;"-"&amp;TEXT(($D981-$C981+1)+13,"00"),"")&amp;IF($C981&gt;=15,", "&amp;$A981&amp;"-"&amp;TEXT(($D981-$C981+1)+14,"00"),"")&amp;IF($C981&gt;=16,", "&amp;$A981&amp;"-"&amp;TEXT(($D981-$C981+1)+15,"00"),"")&amp;IF($C981&gt;=17,", "&amp;$A981&amp;"-"&amp;TEXT(($D981-$C981+1)+16,"00"),"")&amp;IF($C981&gt;=18,", "&amp;$A981&amp;"-"&amp;TEXT(($D981-$C981+1)+17,"00"),"")&amp;IF($C981&gt;=19,", "&amp;$A981&amp;"-"&amp;TEXT(($D981-$C981+1)+18,"00"),"")&amp;IF($C981&gt;=20,", "&amp;$A981&amp;"-"&amp;TEXT(($D981-$C981+1)+19,"00"),"")&amp;IF($C981&gt;=21,", "&amp;$A981&amp;"-"&amp;TEXT(($D981-$C981+1)+20,"00"),"")&amp;IF($C981&gt;=22,", "&amp;$A981&amp;"-"&amp;TEXT(($D981-$C981+1)+21,"00"),"")&amp;IF($C981&gt;=23,", "&amp;$A981&amp;"-"&amp;TEXT(($D981-$C981+1)+22,"00"),"")&amp;IF($C981&gt;=24,", "&amp;$A981&amp;"-"&amp;TEXT(($D981-$C981+1)+23,"00"),"")&amp;IF($C981&gt;=25,", "&amp;$A981&amp;"-"&amp;TEXT(($D981-$C981+1)+24,"00"),""))</f>
        <v/>
      </c>
      <c r="G981">
        <f>IF($A981="","",IF($E981=1,$F981,IF($F981="",$G980,IF($G980="",$F981,$G980&amp;", "&amp;$F981))))</f>
        <v/>
      </c>
      <c r="H981">
        <f>IF($A981="","",$A981&amp;" ("&amp;$C981&amp;")")</f>
        <v/>
      </c>
      <c r="I981">
        <f>IF($A981="","",IF($E981=1,$H981,$I980&amp;", "&amp;$H981))</f>
        <v/>
      </c>
      <c r="J981">
        <f>IF($A981="","",IF($E981=1,$B981,""))</f>
        <v/>
      </c>
      <c r="K981">
        <f>IF($A981="","",IF(COUNTIF($B$2:$B981,$B981)=COUNTIF($B$2:$B$1601,$B981),$B981,""))</f>
        <v/>
      </c>
    </row>
    <row r="982">
      <c r="A982">
        <f>IF('TMP Paste'!$E982="","",'TMP Paste'!$E982)</f>
        <v/>
      </c>
      <c r="B982">
        <f>IF($A982="","",COUNTIF('TMP Paste'!$B$2:$B982,"?*"))</f>
        <v/>
      </c>
      <c r="C982">
        <f>IF($A982="","",IFERROR('TMP Paste'!$M982*1,0))</f>
        <v/>
      </c>
      <c r="D982">
        <f>IF($A982="","",SUMIF($B$2:$B982,$B982,$C$2:$C982))</f>
        <v/>
      </c>
      <c r="E982">
        <f>IF($A982="",0,IF('TMP Paste'!$B982="",0,1))</f>
        <v/>
      </c>
      <c r="F982">
        <f>IF(OR($A982="",$C982&lt;1),"",$A982&amp;"-"&amp;TEXT(($D982-$C982+1),"00")&amp;IF($C982&gt;=2,", "&amp;$A982&amp;"-"&amp;TEXT(($D982-$C982+1)+1,"00"),"")&amp;IF($C982&gt;=3,", "&amp;$A982&amp;"-"&amp;TEXT(($D982-$C982+1)+2,"00"),"")&amp;IF($C982&gt;=4,", "&amp;$A982&amp;"-"&amp;TEXT(($D982-$C982+1)+3,"00"),"")&amp;IF($C982&gt;=5,", "&amp;$A982&amp;"-"&amp;TEXT(($D982-$C982+1)+4,"00"),"")&amp;IF($C982&gt;=6,", "&amp;$A982&amp;"-"&amp;TEXT(($D982-$C982+1)+5,"00"),"")&amp;IF($C982&gt;=7,", "&amp;$A982&amp;"-"&amp;TEXT(($D982-$C982+1)+6,"00"),"")&amp;IF($C982&gt;=8,", "&amp;$A982&amp;"-"&amp;TEXT(($D982-$C982+1)+7,"00"),"")&amp;IF($C982&gt;=9,", "&amp;$A982&amp;"-"&amp;TEXT(($D982-$C982+1)+8,"00"),"")&amp;IF($C982&gt;=10,", "&amp;$A982&amp;"-"&amp;TEXT(($D982-$C982+1)+9,"00"),"")&amp;IF($C982&gt;=11,", "&amp;$A982&amp;"-"&amp;TEXT(($D982-$C982+1)+10,"00"),"")&amp;IF($C982&gt;=12,", "&amp;$A982&amp;"-"&amp;TEXT(($D982-$C982+1)+11,"00"),"")&amp;IF($C982&gt;=13,", "&amp;$A982&amp;"-"&amp;TEXT(($D982-$C982+1)+12,"00"),"")&amp;IF($C982&gt;=14,", "&amp;$A982&amp;"-"&amp;TEXT(($D982-$C982+1)+13,"00"),"")&amp;IF($C982&gt;=15,", "&amp;$A982&amp;"-"&amp;TEXT(($D982-$C982+1)+14,"00"),"")&amp;IF($C982&gt;=16,", "&amp;$A982&amp;"-"&amp;TEXT(($D982-$C982+1)+15,"00"),"")&amp;IF($C982&gt;=17,", "&amp;$A982&amp;"-"&amp;TEXT(($D982-$C982+1)+16,"00"),"")&amp;IF($C982&gt;=18,", "&amp;$A982&amp;"-"&amp;TEXT(($D982-$C982+1)+17,"00"),"")&amp;IF($C982&gt;=19,", "&amp;$A982&amp;"-"&amp;TEXT(($D982-$C982+1)+18,"00"),"")&amp;IF($C982&gt;=20,", "&amp;$A982&amp;"-"&amp;TEXT(($D982-$C982+1)+19,"00"),"")&amp;IF($C982&gt;=21,", "&amp;$A982&amp;"-"&amp;TEXT(($D982-$C982+1)+20,"00"),"")&amp;IF($C982&gt;=22,", "&amp;$A982&amp;"-"&amp;TEXT(($D982-$C982+1)+21,"00"),"")&amp;IF($C982&gt;=23,", "&amp;$A982&amp;"-"&amp;TEXT(($D982-$C982+1)+22,"00"),"")&amp;IF($C982&gt;=24,", "&amp;$A982&amp;"-"&amp;TEXT(($D982-$C982+1)+23,"00"),"")&amp;IF($C982&gt;=25,", "&amp;$A982&amp;"-"&amp;TEXT(($D982-$C982+1)+24,"00"),""))</f>
        <v/>
      </c>
      <c r="G982">
        <f>IF($A982="","",IF($E982=1,$F982,IF($F982="",$G981,IF($G981="",$F982,$G981&amp;", "&amp;$F982))))</f>
        <v/>
      </c>
      <c r="H982">
        <f>IF($A982="","",$A982&amp;" ("&amp;$C982&amp;")")</f>
        <v/>
      </c>
      <c r="I982">
        <f>IF($A982="","",IF($E982=1,$H982,$I981&amp;", "&amp;$H982))</f>
        <v/>
      </c>
      <c r="J982">
        <f>IF($A982="","",IF($E982=1,$B982,""))</f>
        <v/>
      </c>
      <c r="K982">
        <f>IF($A982="","",IF(COUNTIF($B$2:$B982,$B982)=COUNTIF($B$2:$B$1601,$B982),$B982,""))</f>
        <v/>
      </c>
    </row>
    <row r="983">
      <c r="A983">
        <f>IF('TMP Paste'!$E983="","",'TMP Paste'!$E983)</f>
        <v/>
      </c>
      <c r="B983">
        <f>IF($A983="","",COUNTIF('TMP Paste'!$B$2:$B983,"?*"))</f>
        <v/>
      </c>
      <c r="C983">
        <f>IF($A983="","",IFERROR('TMP Paste'!$M983*1,0))</f>
        <v/>
      </c>
      <c r="D983">
        <f>IF($A983="","",SUMIF($B$2:$B983,$B983,$C$2:$C983))</f>
        <v/>
      </c>
      <c r="E983">
        <f>IF($A983="",0,IF('TMP Paste'!$B983="",0,1))</f>
        <v/>
      </c>
      <c r="F983">
        <f>IF(OR($A983="",$C983&lt;1),"",$A983&amp;"-"&amp;TEXT(($D983-$C983+1),"00")&amp;IF($C983&gt;=2,", "&amp;$A983&amp;"-"&amp;TEXT(($D983-$C983+1)+1,"00"),"")&amp;IF($C983&gt;=3,", "&amp;$A983&amp;"-"&amp;TEXT(($D983-$C983+1)+2,"00"),"")&amp;IF($C983&gt;=4,", "&amp;$A983&amp;"-"&amp;TEXT(($D983-$C983+1)+3,"00"),"")&amp;IF($C983&gt;=5,", "&amp;$A983&amp;"-"&amp;TEXT(($D983-$C983+1)+4,"00"),"")&amp;IF($C983&gt;=6,", "&amp;$A983&amp;"-"&amp;TEXT(($D983-$C983+1)+5,"00"),"")&amp;IF($C983&gt;=7,", "&amp;$A983&amp;"-"&amp;TEXT(($D983-$C983+1)+6,"00"),"")&amp;IF($C983&gt;=8,", "&amp;$A983&amp;"-"&amp;TEXT(($D983-$C983+1)+7,"00"),"")&amp;IF($C983&gt;=9,", "&amp;$A983&amp;"-"&amp;TEXT(($D983-$C983+1)+8,"00"),"")&amp;IF($C983&gt;=10,", "&amp;$A983&amp;"-"&amp;TEXT(($D983-$C983+1)+9,"00"),"")&amp;IF($C983&gt;=11,", "&amp;$A983&amp;"-"&amp;TEXT(($D983-$C983+1)+10,"00"),"")&amp;IF($C983&gt;=12,", "&amp;$A983&amp;"-"&amp;TEXT(($D983-$C983+1)+11,"00"),"")&amp;IF($C983&gt;=13,", "&amp;$A983&amp;"-"&amp;TEXT(($D983-$C983+1)+12,"00"),"")&amp;IF($C983&gt;=14,", "&amp;$A983&amp;"-"&amp;TEXT(($D983-$C983+1)+13,"00"),"")&amp;IF($C983&gt;=15,", "&amp;$A983&amp;"-"&amp;TEXT(($D983-$C983+1)+14,"00"),"")&amp;IF($C983&gt;=16,", "&amp;$A983&amp;"-"&amp;TEXT(($D983-$C983+1)+15,"00"),"")&amp;IF($C983&gt;=17,", "&amp;$A983&amp;"-"&amp;TEXT(($D983-$C983+1)+16,"00"),"")&amp;IF($C983&gt;=18,", "&amp;$A983&amp;"-"&amp;TEXT(($D983-$C983+1)+17,"00"),"")&amp;IF($C983&gt;=19,", "&amp;$A983&amp;"-"&amp;TEXT(($D983-$C983+1)+18,"00"),"")&amp;IF($C983&gt;=20,", "&amp;$A983&amp;"-"&amp;TEXT(($D983-$C983+1)+19,"00"),"")&amp;IF($C983&gt;=21,", "&amp;$A983&amp;"-"&amp;TEXT(($D983-$C983+1)+20,"00"),"")&amp;IF($C983&gt;=22,", "&amp;$A983&amp;"-"&amp;TEXT(($D983-$C983+1)+21,"00"),"")&amp;IF($C983&gt;=23,", "&amp;$A983&amp;"-"&amp;TEXT(($D983-$C983+1)+22,"00"),"")&amp;IF($C983&gt;=24,", "&amp;$A983&amp;"-"&amp;TEXT(($D983-$C983+1)+23,"00"),"")&amp;IF($C983&gt;=25,", "&amp;$A983&amp;"-"&amp;TEXT(($D983-$C983+1)+24,"00"),""))</f>
        <v/>
      </c>
      <c r="G983">
        <f>IF($A983="","",IF($E983=1,$F983,IF($F983="",$G982,IF($G982="",$F983,$G982&amp;", "&amp;$F983))))</f>
        <v/>
      </c>
      <c r="H983">
        <f>IF($A983="","",$A983&amp;" ("&amp;$C983&amp;")")</f>
        <v/>
      </c>
      <c r="I983">
        <f>IF($A983="","",IF($E983=1,$H983,$I982&amp;", "&amp;$H983))</f>
        <v/>
      </c>
      <c r="J983">
        <f>IF($A983="","",IF($E983=1,$B983,""))</f>
        <v/>
      </c>
      <c r="K983">
        <f>IF($A983="","",IF(COUNTIF($B$2:$B983,$B983)=COUNTIF($B$2:$B$1601,$B983),$B983,""))</f>
        <v/>
      </c>
    </row>
    <row r="984">
      <c r="A984">
        <f>IF('TMP Paste'!$E984="","",'TMP Paste'!$E984)</f>
        <v/>
      </c>
      <c r="B984">
        <f>IF($A984="","",COUNTIF('TMP Paste'!$B$2:$B984,"?*"))</f>
        <v/>
      </c>
      <c r="C984">
        <f>IF($A984="","",IFERROR('TMP Paste'!$M984*1,0))</f>
        <v/>
      </c>
      <c r="D984">
        <f>IF($A984="","",SUMIF($B$2:$B984,$B984,$C$2:$C984))</f>
        <v/>
      </c>
      <c r="E984">
        <f>IF($A984="",0,IF('TMP Paste'!$B984="",0,1))</f>
        <v/>
      </c>
      <c r="F984">
        <f>IF(OR($A984="",$C984&lt;1),"",$A984&amp;"-"&amp;TEXT(($D984-$C984+1),"00")&amp;IF($C984&gt;=2,", "&amp;$A984&amp;"-"&amp;TEXT(($D984-$C984+1)+1,"00"),"")&amp;IF($C984&gt;=3,", "&amp;$A984&amp;"-"&amp;TEXT(($D984-$C984+1)+2,"00"),"")&amp;IF($C984&gt;=4,", "&amp;$A984&amp;"-"&amp;TEXT(($D984-$C984+1)+3,"00"),"")&amp;IF($C984&gt;=5,", "&amp;$A984&amp;"-"&amp;TEXT(($D984-$C984+1)+4,"00"),"")&amp;IF($C984&gt;=6,", "&amp;$A984&amp;"-"&amp;TEXT(($D984-$C984+1)+5,"00"),"")&amp;IF($C984&gt;=7,", "&amp;$A984&amp;"-"&amp;TEXT(($D984-$C984+1)+6,"00"),"")&amp;IF($C984&gt;=8,", "&amp;$A984&amp;"-"&amp;TEXT(($D984-$C984+1)+7,"00"),"")&amp;IF($C984&gt;=9,", "&amp;$A984&amp;"-"&amp;TEXT(($D984-$C984+1)+8,"00"),"")&amp;IF($C984&gt;=10,", "&amp;$A984&amp;"-"&amp;TEXT(($D984-$C984+1)+9,"00"),"")&amp;IF($C984&gt;=11,", "&amp;$A984&amp;"-"&amp;TEXT(($D984-$C984+1)+10,"00"),"")&amp;IF($C984&gt;=12,", "&amp;$A984&amp;"-"&amp;TEXT(($D984-$C984+1)+11,"00"),"")&amp;IF($C984&gt;=13,", "&amp;$A984&amp;"-"&amp;TEXT(($D984-$C984+1)+12,"00"),"")&amp;IF($C984&gt;=14,", "&amp;$A984&amp;"-"&amp;TEXT(($D984-$C984+1)+13,"00"),"")&amp;IF($C984&gt;=15,", "&amp;$A984&amp;"-"&amp;TEXT(($D984-$C984+1)+14,"00"),"")&amp;IF($C984&gt;=16,", "&amp;$A984&amp;"-"&amp;TEXT(($D984-$C984+1)+15,"00"),"")&amp;IF($C984&gt;=17,", "&amp;$A984&amp;"-"&amp;TEXT(($D984-$C984+1)+16,"00"),"")&amp;IF($C984&gt;=18,", "&amp;$A984&amp;"-"&amp;TEXT(($D984-$C984+1)+17,"00"),"")&amp;IF($C984&gt;=19,", "&amp;$A984&amp;"-"&amp;TEXT(($D984-$C984+1)+18,"00"),"")&amp;IF($C984&gt;=20,", "&amp;$A984&amp;"-"&amp;TEXT(($D984-$C984+1)+19,"00"),"")&amp;IF($C984&gt;=21,", "&amp;$A984&amp;"-"&amp;TEXT(($D984-$C984+1)+20,"00"),"")&amp;IF($C984&gt;=22,", "&amp;$A984&amp;"-"&amp;TEXT(($D984-$C984+1)+21,"00"),"")&amp;IF($C984&gt;=23,", "&amp;$A984&amp;"-"&amp;TEXT(($D984-$C984+1)+22,"00"),"")&amp;IF($C984&gt;=24,", "&amp;$A984&amp;"-"&amp;TEXT(($D984-$C984+1)+23,"00"),"")&amp;IF($C984&gt;=25,", "&amp;$A984&amp;"-"&amp;TEXT(($D984-$C984+1)+24,"00"),""))</f>
        <v/>
      </c>
      <c r="G984">
        <f>IF($A984="","",IF($E984=1,$F984,IF($F984="",$G983,IF($G983="",$F984,$G983&amp;", "&amp;$F984))))</f>
        <v/>
      </c>
      <c r="H984">
        <f>IF($A984="","",$A984&amp;" ("&amp;$C984&amp;")")</f>
        <v/>
      </c>
      <c r="I984">
        <f>IF($A984="","",IF($E984=1,$H984,$I983&amp;", "&amp;$H984))</f>
        <v/>
      </c>
      <c r="J984">
        <f>IF($A984="","",IF($E984=1,$B984,""))</f>
        <v/>
      </c>
      <c r="K984">
        <f>IF($A984="","",IF(COUNTIF($B$2:$B984,$B984)=COUNTIF($B$2:$B$1601,$B984),$B984,""))</f>
        <v/>
      </c>
    </row>
    <row r="985">
      <c r="A985">
        <f>IF('TMP Paste'!$E985="","",'TMP Paste'!$E985)</f>
        <v/>
      </c>
      <c r="B985">
        <f>IF($A985="","",COUNTIF('TMP Paste'!$B$2:$B985,"?*"))</f>
        <v/>
      </c>
      <c r="C985">
        <f>IF($A985="","",IFERROR('TMP Paste'!$M985*1,0))</f>
        <v/>
      </c>
      <c r="D985">
        <f>IF($A985="","",SUMIF($B$2:$B985,$B985,$C$2:$C985))</f>
        <v/>
      </c>
      <c r="E985">
        <f>IF($A985="",0,IF('TMP Paste'!$B985="",0,1))</f>
        <v/>
      </c>
      <c r="F985">
        <f>IF(OR($A985="",$C985&lt;1),"",$A985&amp;"-"&amp;TEXT(($D985-$C985+1),"00")&amp;IF($C985&gt;=2,", "&amp;$A985&amp;"-"&amp;TEXT(($D985-$C985+1)+1,"00"),"")&amp;IF($C985&gt;=3,", "&amp;$A985&amp;"-"&amp;TEXT(($D985-$C985+1)+2,"00"),"")&amp;IF($C985&gt;=4,", "&amp;$A985&amp;"-"&amp;TEXT(($D985-$C985+1)+3,"00"),"")&amp;IF($C985&gt;=5,", "&amp;$A985&amp;"-"&amp;TEXT(($D985-$C985+1)+4,"00"),"")&amp;IF($C985&gt;=6,", "&amp;$A985&amp;"-"&amp;TEXT(($D985-$C985+1)+5,"00"),"")&amp;IF($C985&gt;=7,", "&amp;$A985&amp;"-"&amp;TEXT(($D985-$C985+1)+6,"00"),"")&amp;IF($C985&gt;=8,", "&amp;$A985&amp;"-"&amp;TEXT(($D985-$C985+1)+7,"00"),"")&amp;IF($C985&gt;=9,", "&amp;$A985&amp;"-"&amp;TEXT(($D985-$C985+1)+8,"00"),"")&amp;IF($C985&gt;=10,", "&amp;$A985&amp;"-"&amp;TEXT(($D985-$C985+1)+9,"00"),"")&amp;IF($C985&gt;=11,", "&amp;$A985&amp;"-"&amp;TEXT(($D985-$C985+1)+10,"00"),"")&amp;IF($C985&gt;=12,", "&amp;$A985&amp;"-"&amp;TEXT(($D985-$C985+1)+11,"00"),"")&amp;IF($C985&gt;=13,", "&amp;$A985&amp;"-"&amp;TEXT(($D985-$C985+1)+12,"00"),"")&amp;IF($C985&gt;=14,", "&amp;$A985&amp;"-"&amp;TEXT(($D985-$C985+1)+13,"00"),"")&amp;IF($C985&gt;=15,", "&amp;$A985&amp;"-"&amp;TEXT(($D985-$C985+1)+14,"00"),"")&amp;IF($C985&gt;=16,", "&amp;$A985&amp;"-"&amp;TEXT(($D985-$C985+1)+15,"00"),"")&amp;IF($C985&gt;=17,", "&amp;$A985&amp;"-"&amp;TEXT(($D985-$C985+1)+16,"00"),"")&amp;IF($C985&gt;=18,", "&amp;$A985&amp;"-"&amp;TEXT(($D985-$C985+1)+17,"00"),"")&amp;IF($C985&gt;=19,", "&amp;$A985&amp;"-"&amp;TEXT(($D985-$C985+1)+18,"00"),"")&amp;IF($C985&gt;=20,", "&amp;$A985&amp;"-"&amp;TEXT(($D985-$C985+1)+19,"00"),"")&amp;IF($C985&gt;=21,", "&amp;$A985&amp;"-"&amp;TEXT(($D985-$C985+1)+20,"00"),"")&amp;IF($C985&gt;=22,", "&amp;$A985&amp;"-"&amp;TEXT(($D985-$C985+1)+21,"00"),"")&amp;IF($C985&gt;=23,", "&amp;$A985&amp;"-"&amp;TEXT(($D985-$C985+1)+22,"00"),"")&amp;IF($C985&gt;=24,", "&amp;$A985&amp;"-"&amp;TEXT(($D985-$C985+1)+23,"00"),"")&amp;IF($C985&gt;=25,", "&amp;$A985&amp;"-"&amp;TEXT(($D985-$C985+1)+24,"00"),""))</f>
        <v/>
      </c>
      <c r="G985">
        <f>IF($A985="","",IF($E985=1,$F985,IF($F985="",$G984,IF($G984="",$F985,$G984&amp;", "&amp;$F985))))</f>
        <v/>
      </c>
      <c r="H985">
        <f>IF($A985="","",$A985&amp;" ("&amp;$C985&amp;")")</f>
        <v/>
      </c>
      <c r="I985">
        <f>IF($A985="","",IF($E985=1,$H985,$I984&amp;", "&amp;$H985))</f>
        <v/>
      </c>
      <c r="J985">
        <f>IF($A985="","",IF($E985=1,$B985,""))</f>
        <v/>
      </c>
      <c r="K985">
        <f>IF($A985="","",IF(COUNTIF($B$2:$B985,$B985)=COUNTIF($B$2:$B$1601,$B985),$B985,""))</f>
        <v/>
      </c>
    </row>
    <row r="986">
      <c r="A986">
        <f>IF('TMP Paste'!$E986="","",'TMP Paste'!$E986)</f>
        <v/>
      </c>
      <c r="B986">
        <f>IF($A986="","",COUNTIF('TMP Paste'!$B$2:$B986,"?*"))</f>
        <v/>
      </c>
      <c r="C986">
        <f>IF($A986="","",IFERROR('TMP Paste'!$M986*1,0))</f>
        <v/>
      </c>
      <c r="D986">
        <f>IF($A986="","",SUMIF($B$2:$B986,$B986,$C$2:$C986))</f>
        <v/>
      </c>
      <c r="E986">
        <f>IF($A986="",0,IF('TMP Paste'!$B986="",0,1))</f>
        <v/>
      </c>
      <c r="F986">
        <f>IF(OR($A986="",$C986&lt;1),"",$A986&amp;"-"&amp;TEXT(($D986-$C986+1),"00")&amp;IF($C986&gt;=2,", "&amp;$A986&amp;"-"&amp;TEXT(($D986-$C986+1)+1,"00"),"")&amp;IF($C986&gt;=3,", "&amp;$A986&amp;"-"&amp;TEXT(($D986-$C986+1)+2,"00"),"")&amp;IF($C986&gt;=4,", "&amp;$A986&amp;"-"&amp;TEXT(($D986-$C986+1)+3,"00"),"")&amp;IF($C986&gt;=5,", "&amp;$A986&amp;"-"&amp;TEXT(($D986-$C986+1)+4,"00"),"")&amp;IF($C986&gt;=6,", "&amp;$A986&amp;"-"&amp;TEXT(($D986-$C986+1)+5,"00"),"")&amp;IF($C986&gt;=7,", "&amp;$A986&amp;"-"&amp;TEXT(($D986-$C986+1)+6,"00"),"")&amp;IF($C986&gt;=8,", "&amp;$A986&amp;"-"&amp;TEXT(($D986-$C986+1)+7,"00"),"")&amp;IF($C986&gt;=9,", "&amp;$A986&amp;"-"&amp;TEXT(($D986-$C986+1)+8,"00"),"")&amp;IF($C986&gt;=10,", "&amp;$A986&amp;"-"&amp;TEXT(($D986-$C986+1)+9,"00"),"")&amp;IF($C986&gt;=11,", "&amp;$A986&amp;"-"&amp;TEXT(($D986-$C986+1)+10,"00"),"")&amp;IF($C986&gt;=12,", "&amp;$A986&amp;"-"&amp;TEXT(($D986-$C986+1)+11,"00"),"")&amp;IF($C986&gt;=13,", "&amp;$A986&amp;"-"&amp;TEXT(($D986-$C986+1)+12,"00"),"")&amp;IF($C986&gt;=14,", "&amp;$A986&amp;"-"&amp;TEXT(($D986-$C986+1)+13,"00"),"")&amp;IF($C986&gt;=15,", "&amp;$A986&amp;"-"&amp;TEXT(($D986-$C986+1)+14,"00"),"")&amp;IF($C986&gt;=16,", "&amp;$A986&amp;"-"&amp;TEXT(($D986-$C986+1)+15,"00"),"")&amp;IF($C986&gt;=17,", "&amp;$A986&amp;"-"&amp;TEXT(($D986-$C986+1)+16,"00"),"")&amp;IF($C986&gt;=18,", "&amp;$A986&amp;"-"&amp;TEXT(($D986-$C986+1)+17,"00"),"")&amp;IF($C986&gt;=19,", "&amp;$A986&amp;"-"&amp;TEXT(($D986-$C986+1)+18,"00"),"")&amp;IF($C986&gt;=20,", "&amp;$A986&amp;"-"&amp;TEXT(($D986-$C986+1)+19,"00"),"")&amp;IF($C986&gt;=21,", "&amp;$A986&amp;"-"&amp;TEXT(($D986-$C986+1)+20,"00"),"")&amp;IF($C986&gt;=22,", "&amp;$A986&amp;"-"&amp;TEXT(($D986-$C986+1)+21,"00"),"")&amp;IF($C986&gt;=23,", "&amp;$A986&amp;"-"&amp;TEXT(($D986-$C986+1)+22,"00"),"")&amp;IF($C986&gt;=24,", "&amp;$A986&amp;"-"&amp;TEXT(($D986-$C986+1)+23,"00"),"")&amp;IF($C986&gt;=25,", "&amp;$A986&amp;"-"&amp;TEXT(($D986-$C986+1)+24,"00"),""))</f>
        <v/>
      </c>
      <c r="G986">
        <f>IF($A986="","",IF($E986=1,$F986,IF($F986="",$G985,IF($G985="",$F986,$G985&amp;", "&amp;$F986))))</f>
        <v/>
      </c>
      <c r="H986">
        <f>IF($A986="","",$A986&amp;" ("&amp;$C986&amp;")")</f>
        <v/>
      </c>
      <c r="I986">
        <f>IF($A986="","",IF($E986=1,$H986,$I985&amp;", "&amp;$H986))</f>
        <v/>
      </c>
      <c r="J986">
        <f>IF($A986="","",IF($E986=1,$B986,""))</f>
        <v/>
      </c>
      <c r="K986">
        <f>IF($A986="","",IF(COUNTIF($B$2:$B986,$B986)=COUNTIF($B$2:$B$1601,$B986),$B986,""))</f>
        <v/>
      </c>
    </row>
    <row r="987">
      <c r="A987">
        <f>IF('TMP Paste'!$E987="","",'TMP Paste'!$E987)</f>
        <v/>
      </c>
      <c r="B987">
        <f>IF($A987="","",COUNTIF('TMP Paste'!$B$2:$B987,"?*"))</f>
        <v/>
      </c>
      <c r="C987">
        <f>IF($A987="","",IFERROR('TMP Paste'!$M987*1,0))</f>
        <v/>
      </c>
      <c r="D987">
        <f>IF($A987="","",SUMIF($B$2:$B987,$B987,$C$2:$C987))</f>
        <v/>
      </c>
      <c r="E987">
        <f>IF($A987="",0,IF('TMP Paste'!$B987="",0,1))</f>
        <v/>
      </c>
      <c r="F987">
        <f>IF(OR($A987="",$C987&lt;1),"",$A987&amp;"-"&amp;TEXT(($D987-$C987+1),"00")&amp;IF($C987&gt;=2,", "&amp;$A987&amp;"-"&amp;TEXT(($D987-$C987+1)+1,"00"),"")&amp;IF($C987&gt;=3,", "&amp;$A987&amp;"-"&amp;TEXT(($D987-$C987+1)+2,"00"),"")&amp;IF($C987&gt;=4,", "&amp;$A987&amp;"-"&amp;TEXT(($D987-$C987+1)+3,"00"),"")&amp;IF($C987&gt;=5,", "&amp;$A987&amp;"-"&amp;TEXT(($D987-$C987+1)+4,"00"),"")&amp;IF($C987&gt;=6,", "&amp;$A987&amp;"-"&amp;TEXT(($D987-$C987+1)+5,"00"),"")&amp;IF($C987&gt;=7,", "&amp;$A987&amp;"-"&amp;TEXT(($D987-$C987+1)+6,"00"),"")&amp;IF($C987&gt;=8,", "&amp;$A987&amp;"-"&amp;TEXT(($D987-$C987+1)+7,"00"),"")&amp;IF($C987&gt;=9,", "&amp;$A987&amp;"-"&amp;TEXT(($D987-$C987+1)+8,"00"),"")&amp;IF($C987&gt;=10,", "&amp;$A987&amp;"-"&amp;TEXT(($D987-$C987+1)+9,"00"),"")&amp;IF($C987&gt;=11,", "&amp;$A987&amp;"-"&amp;TEXT(($D987-$C987+1)+10,"00"),"")&amp;IF($C987&gt;=12,", "&amp;$A987&amp;"-"&amp;TEXT(($D987-$C987+1)+11,"00"),"")&amp;IF($C987&gt;=13,", "&amp;$A987&amp;"-"&amp;TEXT(($D987-$C987+1)+12,"00"),"")&amp;IF($C987&gt;=14,", "&amp;$A987&amp;"-"&amp;TEXT(($D987-$C987+1)+13,"00"),"")&amp;IF($C987&gt;=15,", "&amp;$A987&amp;"-"&amp;TEXT(($D987-$C987+1)+14,"00"),"")&amp;IF($C987&gt;=16,", "&amp;$A987&amp;"-"&amp;TEXT(($D987-$C987+1)+15,"00"),"")&amp;IF($C987&gt;=17,", "&amp;$A987&amp;"-"&amp;TEXT(($D987-$C987+1)+16,"00"),"")&amp;IF($C987&gt;=18,", "&amp;$A987&amp;"-"&amp;TEXT(($D987-$C987+1)+17,"00"),"")&amp;IF($C987&gt;=19,", "&amp;$A987&amp;"-"&amp;TEXT(($D987-$C987+1)+18,"00"),"")&amp;IF($C987&gt;=20,", "&amp;$A987&amp;"-"&amp;TEXT(($D987-$C987+1)+19,"00"),"")&amp;IF($C987&gt;=21,", "&amp;$A987&amp;"-"&amp;TEXT(($D987-$C987+1)+20,"00"),"")&amp;IF($C987&gt;=22,", "&amp;$A987&amp;"-"&amp;TEXT(($D987-$C987+1)+21,"00"),"")&amp;IF($C987&gt;=23,", "&amp;$A987&amp;"-"&amp;TEXT(($D987-$C987+1)+22,"00"),"")&amp;IF($C987&gt;=24,", "&amp;$A987&amp;"-"&amp;TEXT(($D987-$C987+1)+23,"00"),"")&amp;IF($C987&gt;=25,", "&amp;$A987&amp;"-"&amp;TEXT(($D987-$C987+1)+24,"00"),""))</f>
        <v/>
      </c>
      <c r="G987">
        <f>IF($A987="","",IF($E987=1,$F987,IF($F987="",$G986,IF($G986="",$F987,$G986&amp;", "&amp;$F987))))</f>
        <v/>
      </c>
      <c r="H987">
        <f>IF($A987="","",$A987&amp;" ("&amp;$C987&amp;")")</f>
        <v/>
      </c>
      <c r="I987">
        <f>IF($A987="","",IF($E987=1,$H987,$I986&amp;", "&amp;$H987))</f>
        <v/>
      </c>
      <c r="J987">
        <f>IF($A987="","",IF($E987=1,$B987,""))</f>
        <v/>
      </c>
      <c r="K987">
        <f>IF($A987="","",IF(COUNTIF($B$2:$B987,$B987)=COUNTIF($B$2:$B$1601,$B987),$B987,""))</f>
        <v/>
      </c>
    </row>
    <row r="988">
      <c r="A988">
        <f>IF('TMP Paste'!$E988="","",'TMP Paste'!$E988)</f>
        <v/>
      </c>
      <c r="B988">
        <f>IF($A988="","",COUNTIF('TMP Paste'!$B$2:$B988,"?*"))</f>
        <v/>
      </c>
      <c r="C988">
        <f>IF($A988="","",IFERROR('TMP Paste'!$M988*1,0))</f>
        <v/>
      </c>
      <c r="D988">
        <f>IF($A988="","",SUMIF($B$2:$B988,$B988,$C$2:$C988))</f>
        <v/>
      </c>
      <c r="E988">
        <f>IF($A988="",0,IF('TMP Paste'!$B988="",0,1))</f>
        <v/>
      </c>
      <c r="F988">
        <f>IF(OR($A988="",$C988&lt;1),"",$A988&amp;"-"&amp;TEXT(($D988-$C988+1),"00")&amp;IF($C988&gt;=2,", "&amp;$A988&amp;"-"&amp;TEXT(($D988-$C988+1)+1,"00"),"")&amp;IF($C988&gt;=3,", "&amp;$A988&amp;"-"&amp;TEXT(($D988-$C988+1)+2,"00"),"")&amp;IF($C988&gt;=4,", "&amp;$A988&amp;"-"&amp;TEXT(($D988-$C988+1)+3,"00"),"")&amp;IF($C988&gt;=5,", "&amp;$A988&amp;"-"&amp;TEXT(($D988-$C988+1)+4,"00"),"")&amp;IF($C988&gt;=6,", "&amp;$A988&amp;"-"&amp;TEXT(($D988-$C988+1)+5,"00"),"")&amp;IF($C988&gt;=7,", "&amp;$A988&amp;"-"&amp;TEXT(($D988-$C988+1)+6,"00"),"")&amp;IF($C988&gt;=8,", "&amp;$A988&amp;"-"&amp;TEXT(($D988-$C988+1)+7,"00"),"")&amp;IF($C988&gt;=9,", "&amp;$A988&amp;"-"&amp;TEXT(($D988-$C988+1)+8,"00"),"")&amp;IF($C988&gt;=10,", "&amp;$A988&amp;"-"&amp;TEXT(($D988-$C988+1)+9,"00"),"")&amp;IF($C988&gt;=11,", "&amp;$A988&amp;"-"&amp;TEXT(($D988-$C988+1)+10,"00"),"")&amp;IF($C988&gt;=12,", "&amp;$A988&amp;"-"&amp;TEXT(($D988-$C988+1)+11,"00"),"")&amp;IF($C988&gt;=13,", "&amp;$A988&amp;"-"&amp;TEXT(($D988-$C988+1)+12,"00"),"")&amp;IF($C988&gt;=14,", "&amp;$A988&amp;"-"&amp;TEXT(($D988-$C988+1)+13,"00"),"")&amp;IF($C988&gt;=15,", "&amp;$A988&amp;"-"&amp;TEXT(($D988-$C988+1)+14,"00"),"")&amp;IF($C988&gt;=16,", "&amp;$A988&amp;"-"&amp;TEXT(($D988-$C988+1)+15,"00"),"")&amp;IF($C988&gt;=17,", "&amp;$A988&amp;"-"&amp;TEXT(($D988-$C988+1)+16,"00"),"")&amp;IF($C988&gt;=18,", "&amp;$A988&amp;"-"&amp;TEXT(($D988-$C988+1)+17,"00"),"")&amp;IF($C988&gt;=19,", "&amp;$A988&amp;"-"&amp;TEXT(($D988-$C988+1)+18,"00"),"")&amp;IF($C988&gt;=20,", "&amp;$A988&amp;"-"&amp;TEXT(($D988-$C988+1)+19,"00"),"")&amp;IF($C988&gt;=21,", "&amp;$A988&amp;"-"&amp;TEXT(($D988-$C988+1)+20,"00"),"")&amp;IF($C988&gt;=22,", "&amp;$A988&amp;"-"&amp;TEXT(($D988-$C988+1)+21,"00"),"")&amp;IF($C988&gt;=23,", "&amp;$A988&amp;"-"&amp;TEXT(($D988-$C988+1)+22,"00"),"")&amp;IF($C988&gt;=24,", "&amp;$A988&amp;"-"&amp;TEXT(($D988-$C988+1)+23,"00"),"")&amp;IF($C988&gt;=25,", "&amp;$A988&amp;"-"&amp;TEXT(($D988-$C988+1)+24,"00"),""))</f>
        <v/>
      </c>
      <c r="G988">
        <f>IF($A988="","",IF($E988=1,$F988,IF($F988="",$G987,IF($G987="",$F988,$G987&amp;", "&amp;$F988))))</f>
        <v/>
      </c>
      <c r="H988">
        <f>IF($A988="","",$A988&amp;" ("&amp;$C988&amp;")")</f>
        <v/>
      </c>
      <c r="I988">
        <f>IF($A988="","",IF($E988=1,$H988,$I987&amp;", "&amp;$H988))</f>
        <v/>
      </c>
      <c r="J988">
        <f>IF($A988="","",IF($E988=1,$B988,""))</f>
        <v/>
      </c>
      <c r="K988">
        <f>IF($A988="","",IF(COUNTIF($B$2:$B988,$B988)=COUNTIF($B$2:$B$1601,$B988),$B988,""))</f>
        <v/>
      </c>
    </row>
    <row r="989">
      <c r="A989">
        <f>IF('TMP Paste'!$E989="","",'TMP Paste'!$E989)</f>
        <v/>
      </c>
      <c r="B989">
        <f>IF($A989="","",COUNTIF('TMP Paste'!$B$2:$B989,"?*"))</f>
        <v/>
      </c>
      <c r="C989">
        <f>IF($A989="","",IFERROR('TMP Paste'!$M989*1,0))</f>
        <v/>
      </c>
      <c r="D989">
        <f>IF($A989="","",SUMIF($B$2:$B989,$B989,$C$2:$C989))</f>
        <v/>
      </c>
      <c r="E989">
        <f>IF($A989="",0,IF('TMP Paste'!$B989="",0,1))</f>
        <v/>
      </c>
      <c r="F989">
        <f>IF(OR($A989="",$C989&lt;1),"",$A989&amp;"-"&amp;TEXT(($D989-$C989+1),"00")&amp;IF($C989&gt;=2,", "&amp;$A989&amp;"-"&amp;TEXT(($D989-$C989+1)+1,"00"),"")&amp;IF($C989&gt;=3,", "&amp;$A989&amp;"-"&amp;TEXT(($D989-$C989+1)+2,"00"),"")&amp;IF($C989&gt;=4,", "&amp;$A989&amp;"-"&amp;TEXT(($D989-$C989+1)+3,"00"),"")&amp;IF($C989&gt;=5,", "&amp;$A989&amp;"-"&amp;TEXT(($D989-$C989+1)+4,"00"),"")&amp;IF($C989&gt;=6,", "&amp;$A989&amp;"-"&amp;TEXT(($D989-$C989+1)+5,"00"),"")&amp;IF($C989&gt;=7,", "&amp;$A989&amp;"-"&amp;TEXT(($D989-$C989+1)+6,"00"),"")&amp;IF($C989&gt;=8,", "&amp;$A989&amp;"-"&amp;TEXT(($D989-$C989+1)+7,"00"),"")&amp;IF($C989&gt;=9,", "&amp;$A989&amp;"-"&amp;TEXT(($D989-$C989+1)+8,"00"),"")&amp;IF($C989&gt;=10,", "&amp;$A989&amp;"-"&amp;TEXT(($D989-$C989+1)+9,"00"),"")&amp;IF($C989&gt;=11,", "&amp;$A989&amp;"-"&amp;TEXT(($D989-$C989+1)+10,"00"),"")&amp;IF($C989&gt;=12,", "&amp;$A989&amp;"-"&amp;TEXT(($D989-$C989+1)+11,"00"),"")&amp;IF($C989&gt;=13,", "&amp;$A989&amp;"-"&amp;TEXT(($D989-$C989+1)+12,"00"),"")&amp;IF($C989&gt;=14,", "&amp;$A989&amp;"-"&amp;TEXT(($D989-$C989+1)+13,"00"),"")&amp;IF($C989&gt;=15,", "&amp;$A989&amp;"-"&amp;TEXT(($D989-$C989+1)+14,"00"),"")&amp;IF($C989&gt;=16,", "&amp;$A989&amp;"-"&amp;TEXT(($D989-$C989+1)+15,"00"),"")&amp;IF($C989&gt;=17,", "&amp;$A989&amp;"-"&amp;TEXT(($D989-$C989+1)+16,"00"),"")&amp;IF($C989&gt;=18,", "&amp;$A989&amp;"-"&amp;TEXT(($D989-$C989+1)+17,"00"),"")&amp;IF($C989&gt;=19,", "&amp;$A989&amp;"-"&amp;TEXT(($D989-$C989+1)+18,"00"),"")&amp;IF($C989&gt;=20,", "&amp;$A989&amp;"-"&amp;TEXT(($D989-$C989+1)+19,"00"),"")&amp;IF($C989&gt;=21,", "&amp;$A989&amp;"-"&amp;TEXT(($D989-$C989+1)+20,"00"),"")&amp;IF($C989&gt;=22,", "&amp;$A989&amp;"-"&amp;TEXT(($D989-$C989+1)+21,"00"),"")&amp;IF($C989&gt;=23,", "&amp;$A989&amp;"-"&amp;TEXT(($D989-$C989+1)+22,"00"),"")&amp;IF($C989&gt;=24,", "&amp;$A989&amp;"-"&amp;TEXT(($D989-$C989+1)+23,"00"),"")&amp;IF($C989&gt;=25,", "&amp;$A989&amp;"-"&amp;TEXT(($D989-$C989+1)+24,"00"),""))</f>
        <v/>
      </c>
      <c r="G989">
        <f>IF($A989="","",IF($E989=1,$F989,IF($F989="",$G988,IF($G988="",$F989,$G988&amp;", "&amp;$F989))))</f>
        <v/>
      </c>
      <c r="H989">
        <f>IF($A989="","",$A989&amp;" ("&amp;$C989&amp;")")</f>
        <v/>
      </c>
      <c r="I989">
        <f>IF($A989="","",IF($E989=1,$H989,$I988&amp;", "&amp;$H989))</f>
        <v/>
      </c>
      <c r="J989">
        <f>IF($A989="","",IF($E989=1,$B989,""))</f>
        <v/>
      </c>
      <c r="K989">
        <f>IF($A989="","",IF(COUNTIF($B$2:$B989,$B989)=COUNTIF($B$2:$B$1601,$B989),$B989,""))</f>
        <v/>
      </c>
    </row>
    <row r="990">
      <c r="A990">
        <f>IF('TMP Paste'!$E990="","",'TMP Paste'!$E990)</f>
        <v/>
      </c>
      <c r="B990">
        <f>IF($A990="","",COUNTIF('TMP Paste'!$B$2:$B990,"?*"))</f>
        <v/>
      </c>
      <c r="C990">
        <f>IF($A990="","",IFERROR('TMP Paste'!$M990*1,0))</f>
        <v/>
      </c>
      <c r="D990">
        <f>IF($A990="","",SUMIF($B$2:$B990,$B990,$C$2:$C990))</f>
        <v/>
      </c>
      <c r="E990">
        <f>IF($A990="",0,IF('TMP Paste'!$B990="",0,1))</f>
        <v/>
      </c>
      <c r="F990">
        <f>IF(OR($A990="",$C990&lt;1),"",$A990&amp;"-"&amp;TEXT(($D990-$C990+1),"00")&amp;IF($C990&gt;=2,", "&amp;$A990&amp;"-"&amp;TEXT(($D990-$C990+1)+1,"00"),"")&amp;IF($C990&gt;=3,", "&amp;$A990&amp;"-"&amp;TEXT(($D990-$C990+1)+2,"00"),"")&amp;IF($C990&gt;=4,", "&amp;$A990&amp;"-"&amp;TEXT(($D990-$C990+1)+3,"00"),"")&amp;IF($C990&gt;=5,", "&amp;$A990&amp;"-"&amp;TEXT(($D990-$C990+1)+4,"00"),"")&amp;IF($C990&gt;=6,", "&amp;$A990&amp;"-"&amp;TEXT(($D990-$C990+1)+5,"00"),"")&amp;IF($C990&gt;=7,", "&amp;$A990&amp;"-"&amp;TEXT(($D990-$C990+1)+6,"00"),"")&amp;IF($C990&gt;=8,", "&amp;$A990&amp;"-"&amp;TEXT(($D990-$C990+1)+7,"00"),"")&amp;IF($C990&gt;=9,", "&amp;$A990&amp;"-"&amp;TEXT(($D990-$C990+1)+8,"00"),"")&amp;IF($C990&gt;=10,", "&amp;$A990&amp;"-"&amp;TEXT(($D990-$C990+1)+9,"00"),"")&amp;IF($C990&gt;=11,", "&amp;$A990&amp;"-"&amp;TEXT(($D990-$C990+1)+10,"00"),"")&amp;IF($C990&gt;=12,", "&amp;$A990&amp;"-"&amp;TEXT(($D990-$C990+1)+11,"00"),"")&amp;IF($C990&gt;=13,", "&amp;$A990&amp;"-"&amp;TEXT(($D990-$C990+1)+12,"00"),"")&amp;IF($C990&gt;=14,", "&amp;$A990&amp;"-"&amp;TEXT(($D990-$C990+1)+13,"00"),"")&amp;IF($C990&gt;=15,", "&amp;$A990&amp;"-"&amp;TEXT(($D990-$C990+1)+14,"00"),"")&amp;IF($C990&gt;=16,", "&amp;$A990&amp;"-"&amp;TEXT(($D990-$C990+1)+15,"00"),"")&amp;IF($C990&gt;=17,", "&amp;$A990&amp;"-"&amp;TEXT(($D990-$C990+1)+16,"00"),"")&amp;IF($C990&gt;=18,", "&amp;$A990&amp;"-"&amp;TEXT(($D990-$C990+1)+17,"00"),"")&amp;IF($C990&gt;=19,", "&amp;$A990&amp;"-"&amp;TEXT(($D990-$C990+1)+18,"00"),"")&amp;IF($C990&gt;=20,", "&amp;$A990&amp;"-"&amp;TEXT(($D990-$C990+1)+19,"00"),"")&amp;IF($C990&gt;=21,", "&amp;$A990&amp;"-"&amp;TEXT(($D990-$C990+1)+20,"00"),"")&amp;IF($C990&gt;=22,", "&amp;$A990&amp;"-"&amp;TEXT(($D990-$C990+1)+21,"00"),"")&amp;IF($C990&gt;=23,", "&amp;$A990&amp;"-"&amp;TEXT(($D990-$C990+1)+22,"00"),"")&amp;IF($C990&gt;=24,", "&amp;$A990&amp;"-"&amp;TEXT(($D990-$C990+1)+23,"00"),"")&amp;IF($C990&gt;=25,", "&amp;$A990&amp;"-"&amp;TEXT(($D990-$C990+1)+24,"00"),""))</f>
        <v/>
      </c>
      <c r="G990">
        <f>IF($A990="","",IF($E990=1,$F990,IF($F990="",$G989,IF($G989="",$F990,$G989&amp;", "&amp;$F990))))</f>
        <v/>
      </c>
      <c r="H990">
        <f>IF($A990="","",$A990&amp;" ("&amp;$C990&amp;")")</f>
        <v/>
      </c>
      <c r="I990">
        <f>IF($A990="","",IF($E990=1,$H990,$I989&amp;", "&amp;$H990))</f>
        <v/>
      </c>
      <c r="J990">
        <f>IF($A990="","",IF($E990=1,$B990,""))</f>
        <v/>
      </c>
      <c r="K990">
        <f>IF($A990="","",IF(COUNTIF($B$2:$B990,$B990)=COUNTIF($B$2:$B$1601,$B990),$B990,""))</f>
        <v/>
      </c>
    </row>
    <row r="991">
      <c r="A991">
        <f>IF('TMP Paste'!$E991="","",'TMP Paste'!$E991)</f>
        <v/>
      </c>
      <c r="B991">
        <f>IF($A991="","",COUNTIF('TMP Paste'!$B$2:$B991,"?*"))</f>
        <v/>
      </c>
      <c r="C991">
        <f>IF($A991="","",IFERROR('TMP Paste'!$M991*1,0))</f>
        <v/>
      </c>
      <c r="D991">
        <f>IF($A991="","",SUMIF($B$2:$B991,$B991,$C$2:$C991))</f>
        <v/>
      </c>
      <c r="E991">
        <f>IF($A991="",0,IF('TMP Paste'!$B991="",0,1))</f>
        <v/>
      </c>
      <c r="F991">
        <f>IF(OR($A991="",$C991&lt;1),"",$A991&amp;"-"&amp;TEXT(($D991-$C991+1),"00")&amp;IF($C991&gt;=2,", "&amp;$A991&amp;"-"&amp;TEXT(($D991-$C991+1)+1,"00"),"")&amp;IF($C991&gt;=3,", "&amp;$A991&amp;"-"&amp;TEXT(($D991-$C991+1)+2,"00"),"")&amp;IF($C991&gt;=4,", "&amp;$A991&amp;"-"&amp;TEXT(($D991-$C991+1)+3,"00"),"")&amp;IF($C991&gt;=5,", "&amp;$A991&amp;"-"&amp;TEXT(($D991-$C991+1)+4,"00"),"")&amp;IF($C991&gt;=6,", "&amp;$A991&amp;"-"&amp;TEXT(($D991-$C991+1)+5,"00"),"")&amp;IF($C991&gt;=7,", "&amp;$A991&amp;"-"&amp;TEXT(($D991-$C991+1)+6,"00"),"")&amp;IF($C991&gt;=8,", "&amp;$A991&amp;"-"&amp;TEXT(($D991-$C991+1)+7,"00"),"")&amp;IF($C991&gt;=9,", "&amp;$A991&amp;"-"&amp;TEXT(($D991-$C991+1)+8,"00"),"")&amp;IF($C991&gt;=10,", "&amp;$A991&amp;"-"&amp;TEXT(($D991-$C991+1)+9,"00"),"")&amp;IF($C991&gt;=11,", "&amp;$A991&amp;"-"&amp;TEXT(($D991-$C991+1)+10,"00"),"")&amp;IF($C991&gt;=12,", "&amp;$A991&amp;"-"&amp;TEXT(($D991-$C991+1)+11,"00"),"")&amp;IF($C991&gt;=13,", "&amp;$A991&amp;"-"&amp;TEXT(($D991-$C991+1)+12,"00"),"")&amp;IF($C991&gt;=14,", "&amp;$A991&amp;"-"&amp;TEXT(($D991-$C991+1)+13,"00"),"")&amp;IF($C991&gt;=15,", "&amp;$A991&amp;"-"&amp;TEXT(($D991-$C991+1)+14,"00"),"")&amp;IF($C991&gt;=16,", "&amp;$A991&amp;"-"&amp;TEXT(($D991-$C991+1)+15,"00"),"")&amp;IF($C991&gt;=17,", "&amp;$A991&amp;"-"&amp;TEXT(($D991-$C991+1)+16,"00"),"")&amp;IF($C991&gt;=18,", "&amp;$A991&amp;"-"&amp;TEXT(($D991-$C991+1)+17,"00"),"")&amp;IF($C991&gt;=19,", "&amp;$A991&amp;"-"&amp;TEXT(($D991-$C991+1)+18,"00"),"")&amp;IF($C991&gt;=20,", "&amp;$A991&amp;"-"&amp;TEXT(($D991-$C991+1)+19,"00"),"")&amp;IF($C991&gt;=21,", "&amp;$A991&amp;"-"&amp;TEXT(($D991-$C991+1)+20,"00"),"")&amp;IF($C991&gt;=22,", "&amp;$A991&amp;"-"&amp;TEXT(($D991-$C991+1)+21,"00"),"")&amp;IF($C991&gt;=23,", "&amp;$A991&amp;"-"&amp;TEXT(($D991-$C991+1)+22,"00"),"")&amp;IF($C991&gt;=24,", "&amp;$A991&amp;"-"&amp;TEXT(($D991-$C991+1)+23,"00"),"")&amp;IF($C991&gt;=25,", "&amp;$A991&amp;"-"&amp;TEXT(($D991-$C991+1)+24,"00"),""))</f>
        <v/>
      </c>
      <c r="G991">
        <f>IF($A991="","",IF($E991=1,$F991,IF($F991="",$G990,IF($G990="",$F991,$G990&amp;", "&amp;$F991))))</f>
        <v/>
      </c>
      <c r="H991">
        <f>IF($A991="","",$A991&amp;" ("&amp;$C991&amp;")")</f>
        <v/>
      </c>
      <c r="I991">
        <f>IF($A991="","",IF($E991=1,$H991,$I990&amp;", "&amp;$H991))</f>
        <v/>
      </c>
      <c r="J991">
        <f>IF($A991="","",IF($E991=1,$B991,""))</f>
        <v/>
      </c>
      <c r="K991">
        <f>IF($A991="","",IF(COUNTIF($B$2:$B991,$B991)=COUNTIF($B$2:$B$1601,$B991),$B991,""))</f>
        <v/>
      </c>
    </row>
    <row r="992">
      <c r="A992">
        <f>IF('TMP Paste'!$E992="","",'TMP Paste'!$E992)</f>
        <v/>
      </c>
      <c r="B992">
        <f>IF($A992="","",COUNTIF('TMP Paste'!$B$2:$B992,"?*"))</f>
        <v/>
      </c>
      <c r="C992">
        <f>IF($A992="","",IFERROR('TMP Paste'!$M992*1,0))</f>
        <v/>
      </c>
      <c r="D992">
        <f>IF($A992="","",SUMIF($B$2:$B992,$B992,$C$2:$C992))</f>
        <v/>
      </c>
      <c r="E992">
        <f>IF($A992="",0,IF('TMP Paste'!$B992="",0,1))</f>
        <v/>
      </c>
      <c r="F992">
        <f>IF(OR($A992="",$C992&lt;1),"",$A992&amp;"-"&amp;TEXT(($D992-$C992+1),"00")&amp;IF($C992&gt;=2,", "&amp;$A992&amp;"-"&amp;TEXT(($D992-$C992+1)+1,"00"),"")&amp;IF($C992&gt;=3,", "&amp;$A992&amp;"-"&amp;TEXT(($D992-$C992+1)+2,"00"),"")&amp;IF($C992&gt;=4,", "&amp;$A992&amp;"-"&amp;TEXT(($D992-$C992+1)+3,"00"),"")&amp;IF($C992&gt;=5,", "&amp;$A992&amp;"-"&amp;TEXT(($D992-$C992+1)+4,"00"),"")&amp;IF($C992&gt;=6,", "&amp;$A992&amp;"-"&amp;TEXT(($D992-$C992+1)+5,"00"),"")&amp;IF($C992&gt;=7,", "&amp;$A992&amp;"-"&amp;TEXT(($D992-$C992+1)+6,"00"),"")&amp;IF($C992&gt;=8,", "&amp;$A992&amp;"-"&amp;TEXT(($D992-$C992+1)+7,"00"),"")&amp;IF($C992&gt;=9,", "&amp;$A992&amp;"-"&amp;TEXT(($D992-$C992+1)+8,"00"),"")&amp;IF($C992&gt;=10,", "&amp;$A992&amp;"-"&amp;TEXT(($D992-$C992+1)+9,"00"),"")&amp;IF($C992&gt;=11,", "&amp;$A992&amp;"-"&amp;TEXT(($D992-$C992+1)+10,"00"),"")&amp;IF($C992&gt;=12,", "&amp;$A992&amp;"-"&amp;TEXT(($D992-$C992+1)+11,"00"),"")&amp;IF($C992&gt;=13,", "&amp;$A992&amp;"-"&amp;TEXT(($D992-$C992+1)+12,"00"),"")&amp;IF($C992&gt;=14,", "&amp;$A992&amp;"-"&amp;TEXT(($D992-$C992+1)+13,"00"),"")&amp;IF($C992&gt;=15,", "&amp;$A992&amp;"-"&amp;TEXT(($D992-$C992+1)+14,"00"),"")&amp;IF($C992&gt;=16,", "&amp;$A992&amp;"-"&amp;TEXT(($D992-$C992+1)+15,"00"),"")&amp;IF($C992&gt;=17,", "&amp;$A992&amp;"-"&amp;TEXT(($D992-$C992+1)+16,"00"),"")&amp;IF($C992&gt;=18,", "&amp;$A992&amp;"-"&amp;TEXT(($D992-$C992+1)+17,"00"),"")&amp;IF($C992&gt;=19,", "&amp;$A992&amp;"-"&amp;TEXT(($D992-$C992+1)+18,"00"),"")&amp;IF($C992&gt;=20,", "&amp;$A992&amp;"-"&amp;TEXT(($D992-$C992+1)+19,"00"),"")&amp;IF($C992&gt;=21,", "&amp;$A992&amp;"-"&amp;TEXT(($D992-$C992+1)+20,"00"),"")&amp;IF($C992&gt;=22,", "&amp;$A992&amp;"-"&amp;TEXT(($D992-$C992+1)+21,"00"),"")&amp;IF($C992&gt;=23,", "&amp;$A992&amp;"-"&amp;TEXT(($D992-$C992+1)+22,"00"),"")&amp;IF($C992&gt;=24,", "&amp;$A992&amp;"-"&amp;TEXT(($D992-$C992+1)+23,"00"),"")&amp;IF($C992&gt;=25,", "&amp;$A992&amp;"-"&amp;TEXT(($D992-$C992+1)+24,"00"),""))</f>
        <v/>
      </c>
      <c r="G992">
        <f>IF($A992="","",IF($E992=1,$F992,IF($F992="",$G991,IF($G991="",$F992,$G991&amp;", "&amp;$F992))))</f>
        <v/>
      </c>
      <c r="H992">
        <f>IF($A992="","",$A992&amp;" ("&amp;$C992&amp;")")</f>
        <v/>
      </c>
      <c r="I992">
        <f>IF($A992="","",IF($E992=1,$H992,$I991&amp;", "&amp;$H992))</f>
        <v/>
      </c>
      <c r="J992">
        <f>IF($A992="","",IF($E992=1,$B992,""))</f>
        <v/>
      </c>
      <c r="K992">
        <f>IF($A992="","",IF(COUNTIF($B$2:$B992,$B992)=COUNTIF($B$2:$B$1601,$B992),$B992,""))</f>
        <v/>
      </c>
    </row>
    <row r="993">
      <c r="A993">
        <f>IF('TMP Paste'!$E993="","",'TMP Paste'!$E993)</f>
        <v/>
      </c>
      <c r="B993">
        <f>IF($A993="","",COUNTIF('TMP Paste'!$B$2:$B993,"?*"))</f>
        <v/>
      </c>
      <c r="C993">
        <f>IF($A993="","",IFERROR('TMP Paste'!$M993*1,0))</f>
        <v/>
      </c>
      <c r="D993">
        <f>IF($A993="","",SUMIF($B$2:$B993,$B993,$C$2:$C993))</f>
        <v/>
      </c>
      <c r="E993">
        <f>IF($A993="",0,IF('TMP Paste'!$B993="",0,1))</f>
        <v/>
      </c>
      <c r="F993">
        <f>IF(OR($A993="",$C993&lt;1),"",$A993&amp;"-"&amp;TEXT(($D993-$C993+1),"00")&amp;IF($C993&gt;=2,", "&amp;$A993&amp;"-"&amp;TEXT(($D993-$C993+1)+1,"00"),"")&amp;IF($C993&gt;=3,", "&amp;$A993&amp;"-"&amp;TEXT(($D993-$C993+1)+2,"00"),"")&amp;IF($C993&gt;=4,", "&amp;$A993&amp;"-"&amp;TEXT(($D993-$C993+1)+3,"00"),"")&amp;IF($C993&gt;=5,", "&amp;$A993&amp;"-"&amp;TEXT(($D993-$C993+1)+4,"00"),"")&amp;IF($C993&gt;=6,", "&amp;$A993&amp;"-"&amp;TEXT(($D993-$C993+1)+5,"00"),"")&amp;IF($C993&gt;=7,", "&amp;$A993&amp;"-"&amp;TEXT(($D993-$C993+1)+6,"00"),"")&amp;IF($C993&gt;=8,", "&amp;$A993&amp;"-"&amp;TEXT(($D993-$C993+1)+7,"00"),"")&amp;IF($C993&gt;=9,", "&amp;$A993&amp;"-"&amp;TEXT(($D993-$C993+1)+8,"00"),"")&amp;IF($C993&gt;=10,", "&amp;$A993&amp;"-"&amp;TEXT(($D993-$C993+1)+9,"00"),"")&amp;IF($C993&gt;=11,", "&amp;$A993&amp;"-"&amp;TEXT(($D993-$C993+1)+10,"00"),"")&amp;IF($C993&gt;=12,", "&amp;$A993&amp;"-"&amp;TEXT(($D993-$C993+1)+11,"00"),"")&amp;IF($C993&gt;=13,", "&amp;$A993&amp;"-"&amp;TEXT(($D993-$C993+1)+12,"00"),"")&amp;IF($C993&gt;=14,", "&amp;$A993&amp;"-"&amp;TEXT(($D993-$C993+1)+13,"00"),"")&amp;IF($C993&gt;=15,", "&amp;$A993&amp;"-"&amp;TEXT(($D993-$C993+1)+14,"00"),"")&amp;IF($C993&gt;=16,", "&amp;$A993&amp;"-"&amp;TEXT(($D993-$C993+1)+15,"00"),"")&amp;IF($C993&gt;=17,", "&amp;$A993&amp;"-"&amp;TEXT(($D993-$C993+1)+16,"00"),"")&amp;IF($C993&gt;=18,", "&amp;$A993&amp;"-"&amp;TEXT(($D993-$C993+1)+17,"00"),"")&amp;IF($C993&gt;=19,", "&amp;$A993&amp;"-"&amp;TEXT(($D993-$C993+1)+18,"00"),"")&amp;IF($C993&gt;=20,", "&amp;$A993&amp;"-"&amp;TEXT(($D993-$C993+1)+19,"00"),"")&amp;IF($C993&gt;=21,", "&amp;$A993&amp;"-"&amp;TEXT(($D993-$C993+1)+20,"00"),"")&amp;IF($C993&gt;=22,", "&amp;$A993&amp;"-"&amp;TEXT(($D993-$C993+1)+21,"00"),"")&amp;IF($C993&gt;=23,", "&amp;$A993&amp;"-"&amp;TEXT(($D993-$C993+1)+22,"00"),"")&amp;IF($C993&gt;=24,", "&amp;$A993&amp;"-"&amp;TEXT(($D993-$C993+1)+23,"00"),"")&amp;IF($C993&gt;=25,", "&amp;$A993&amp;"-"&amp;TEXT(($D993-$C993+1)+24,"00"),""))</f>
        <v/>
      </c>
      <c r="G993">
        <f>IF($A993="","",IF($E993=1,$F993,IF($F993="",$G992,IF($G992="",$F993,$G992&amp;", "&amp;$F993))))</f>
        <v/>
      </c>
      <c r="H993">
        <f>IF($A993="","",$A993&amp;" ("&amp;$C993&amp;")")</f>
        <v/>
      </c>
      <c r="I993">
        <f>IF($A993="","",IF($E993=1,$H993,$I992&amp;", "&amp;$H993))</f>
        <v/>
      </c>
      <c r="J993">
        <f>IF($A993="","",IF($E993=1,$B993,""))</f>
        <v/>
      </c>
      <c r="K993">
        <f>IF($A993="","",IF(COUNTIF($B$2:$B993,$B993)=COUNTIF($B$2:$B$1601,$B993),$B993,""))</f>
        <v/>
      </c>
    </row>
    <row r="994">
      <c r="A994">
        <f>IF('TMP Paste'!$E994="","",'TMP Paste'!$E994)</f>
        <v/>
      </c>
      <c r="B994">
        <f>IF($A994="","",COUNTIF('TMP Paste'!$B$2:$B994,"?*"))</f>
        <v/>
      </c>
      <c r="C994">
        <f>IF($A994="","",IFERROR('TMP Paste'!$M994*1,0))</f>
        <v/>
      </c>
      <c r="D994">
        <f>IF($A994="","",SUMIF($B$2:$B994,$B994,$C$2:$C994))</f>
        <v/>
      </c>
      <c r="E994">
        <f>IF($A994="",0,IF('TMP Paste'!$B994="",0,1))</f>
        <v/>
      </c>
      <c r="F994">
        <f>IF(OR($A994="",$C994&lt;1),"",$A994&amp;"-"&amp;TEXT(($D994-$C994+1),"00")&amp;IF($C994&gt;=2,", "&amp;$A994&amp;"-"&amp;TEXT(($D994-$C994+1)+1,"00"),"")&amp;IF($C994&gt;=3,", "&amp;$A994&amp;"-"&amp;TEXT(($D994-$C994+1)+2,"00"),"")&amp;IF($C994&gt;=4,", "&amp;$A994&amp;"-"&amp;TEXT(($D994-$C994+1)+3,"00"),"")&amp;IF($C994&gt;=5,", "&amp;$A994&amp;"-"&amp;TEXT(($D994-$C994+1)+4,"00"),"")&amp;IF($C994&gt;=6,", "&amp;$A994&amp;"-"&amp;TEXT(($D994-$C994+1)+5,"00"),"")&amp;IF($C994&gt;=7,", "&amp;$A994&amp;"-"&amp;TEXT(($D994-$C994+1)+6,"00"),"")&amp;IF($C994&gt;=8,", "&amp;$A994&amp;"-"&amp;TEXT(($D994-$C994+1)+7,"00"),"")&amp;IF($C994&gt;=9,", "&amp;$A994&amp;"-"&amp;TEXT(($D994-$C994+1)+8,"00"),"")&amp;IF($C994&gt;=10,", "&amp;$A994&amp;"-"&amp;TEXT(($D994-$C994+1)+9,"00"),"")&amp;IF($C994&gt;=11,", "&amp;$A994&amp;"-"&amp;TEXT(($D994-$C994+1)+10,"00"),"")&amp;IF($C994&gt;=12,", "&amp;$A994&amp;"-"&amp;TEXT(($D994-$C994+1)+11,"00"),"")&amp;IF($C994&gt;=13,", "&amp;$A994&amp;"-"&amp;TEXT(($D994-$C994+1)+12,"00"),"")&amp;IF($C994&gt;=14,", "&amp;$A994&amp;"-"&amp;TEXT(($D994-$C994+1)+13,"00"),"")&amp;IF($C994&gt;=15,", "&amp;$A994&amp;"-"&amp;TEXT(($D994-$C994+1)+14,"00"),"")&amp;IF($C994&gt;=16,", "&amp;$A994&amp;"-"&amp;TEXT(($D994-$C994+1)+15,"00"),"")&amp;IF($C994&gt;=17,", "&amp;$A994&amp;"-"&amp;TEXT(($D994-$C994+1)+16,"00"),"")&amp;IF($C994&gt;=18,", "&amp;$A994&amp;"-"&amp;TEXT(($D994-$C994+1)+17,"00"),"")&amp;IF($C994&gt;=19,", "&amp;$A994&amp;"-"&amp;TEXT(($D994-$C994+1)+18,"00"),"")&amp;IF($C994&gt;=20,", "&amp;$A994&amp;"-"&amp;TEXT(($D994-$C994+1)+19,"00"),"")&amp;IF($C994&gt;=21,", "&amp;$A994&amp;"-"&amp;TEXT(($D994-$C994+1)+20,"00"),"")&amp;IF($C994&gt;=22,", "&amp;$A994&amp;"-"&amp;TEXT(($D994-$C994+1)+21,"00"),"")&amp;IF($C994&gt;=23,", "&amp;$A994&amp;"-"&amp;TEXT(($D994-$C994+1)+22,"00"),"")&amp;IF($C994&gt;=24,", "&amp;$A994&amp;"-"&amp;TEXT(($D994-$C994+1)+23,"00"),"")&amp;IF($C994&gt;=25,", "&amp;$A994&amp;"-"&amp;TEXT(($D994-$C994+1)+24,"00"),""))</f>
        <v/>
      </c>
      <c r="G994">
        <f>IF($A994="","",IF($E994=1,$F994,IF($F994="",$G993,IF($G993="",$F994,$G993&amp;", "&amp;$F994))))</f>
        <v/>
      </c>
      <c r="H994">
        <f>IF($A994="","",$A994&amp;" ("&amp;$C994&amp;")")</f>
        <v/>
      </c>
      <c r="I994">
        <f>IF($A994="","",IF($E994=1,$H994,$I993&amp;", "&amp;$H994))</f>
        <v/>
      </c>
      <c r="J994">
        <f>IF($A994="","",IF($E994=1,$B994,""))</f>
        <v/>
      </c>
      <c r="K994">
        <f>IF($A994="","",IF(COUNTIF($B$2:$B994,$B994)=COUNTIF($B$2:$B$1601,$B994),$B994,""))</f>
        <v/>
      </c>
    </row>
    <row r="995">
      <c r="A995">
        <f>IF('TMP Paste'!$E995="","",'TMP Paste'!$E995)</f>
        <v/>
      </c>
      <c r="B995">
        <f>IF($A995="","",COUNTIF('TMP Paste'!$B$2:$B995,"?*"))</f>
        <v/>
      </c>
      <c r="C995">
        <f>IF($A995="","",IFERROR('TMP Paste'!$M995*1,0))</f>
        <v/>
      </c>
      <c r="D995">
        <f>IF($A995="","",SUMIF($B$2:$B995,$B995,$C$2:$C995))</f>
        <v/>
      </c>
      <c r="E995">
        <f>IF($A995="",0,IF('TMP Paste'!$B995="",0,1))</f>
        <v/>
      </c>
      <c r="F995">
        <f>IF(OR($A995="",$C995&lt;1),"",$A995&amp;"-"&amp;TEXT(($D995-$C995+1),"00")&amp;IF($C995&gt;=2,", "&amp;$A995&amp;"-"&amp;TEXT(($D995-$C995+1)+1,"00"),"")&amp;IF($C995&gt;=3,", "&amp;$A995&amp;"-"&amp;TEXT(($D995-$C995+1)+2,"00"),"")&amp;IF($C995&gt;=4,", "&amp;$A995&amp;"-"&amp;TEXT(($D995-$C995+1)+3,"00"),"")&amp;IF($C995&gt;=5,", "&amp;$A995&amp;"-"&amp;TEXT(($D995-$C995+1)+4,"00"),"")&amp;IF($C995&gt;=6,", "&amp;$A995&amp;"-"&amp;TEXT(($D995-$C995+1)+5,"00"),"")&amp;IF($C995&gt;=7,", "&amp;$A995&amp;"-"&amp;TEXT(($D995-$C995+1)+6,"00"),"")&amp;IF($C995&gt;=8,", "&amp;$A995&amp;"-"&amp;TEXT(($D995-$C995+1)+7,"00"),"")&amp;IF($C995&gt;=9,", "&amp;$A995&amp;"-"&amp;TEXT(($D995-$C995+1)+8,"00"),"")&amp;IF($C995&gt;=10,", "&amp;$A995&amp;"-"&amp;TEXT(($D995-$C995+1)+9,"00"),"")&amp;IF($C995&gt;=11,", "&amp;$A995&amp;"-"&amp;TEXT(($D995-$C995+1)+10,"00"),"")&amp;IF($C995&gt;=12,", "&amp;$A995&amp;"-"&amp;TEXT(($D995-$C995+1)+11,"00"),"")&amp;IF($C995&gt;=13,", "&amp;$A995&amp;"-"&amp;TEXT(($D995-$C995+1)+12,"00"),"")&amp;IF($C995&gt;=14,", "&amp;$A995&amp;"-"&amp;TEXT(($D995-$C995+1)+13,"00"),"")&amp;IF($C995&gt;=15,", "&amp;$A995&amp;"-"&amp;TEXT(($D995-$C995+1)+14,"00"),"")&amp;IF($C995&gt;=16,", "&amp;$A995&amp;"-"&amp;TEXT(($D995-$C995+1)+15,"00"),"")&amp;IF($C995&gt;=17,", "&amp;$A995&amp;"-"&amp;TEXT(($D995-$C995+1)+16,"00"),"")&amp;IF($C995&gt;=18,", "&amp;$A995&amp;"-"&amp;TEXT(($D995-$C995+1)+17,"00"),"")&amp;IF($C995&gt;=19,", "&amp;$A995&amp;"-"&amp;TEXT(($D995-$C995+1)+18,"00"),"")&amp;IF($C995&gt;=20,", "&amp;$A995&amp;"-"&amp;TEXT(($D995-$C995+1)+19,"00"),"")&amp;IF($C995&gt;=21,", "&amp;$A995&amp;"-"&amp;TEXT(($D995-$C995+1)+20,"00"),"")&amp;IF($C995&gt;=22,", "&amp;$A995&amp;"-"&amp;TEXT(($D995-$C995+1)+21,"00"),"")&amp;IF($C995&gt;=23,", "&amp;$A995&amp;"-"&amp;TEXT(($D995-$C995+1)+22,"00"),"")&amp;IF($C995&gt;=24,", "&amp;$A995&amp;"-"&amp;TEXT(($D995-$C995+1)+23,"00"),"")&amp;IF($C995&gt;=25,", "&amp;$A995&amp;"-"&amp;TEXT(($D995-$C995+1)+24,"00"),""))</f>
        <v/>
      </c>
      <c r="G995">
        <f>IF($A995="","",IF($E995=1,$F995,IF($F995="",$G994,IF($G994="",$F995,$G994&amp;", "&amp;$F995))))</f>
        <v/>
      </c>
      <c r="H995">
        <f>IF($A995="","",$A995&amp;" ("&amp;$C995&amp;")")</f>
        <v/>
      </c>
      <c r="I995">
        <f>IF($A995="","",IF($E995=1,$H995,$I994&amp;", "&amp;$H995))</f>
        <v/>
      </c>
      <c r="J995">
        <f>IF($A995="","",IF($E995=1,$B995,""))</f>
        <v/>
      </c>
      <c r="K995">
        <f>IF($A995="","",IF(COUNTIF($B$2:$B995,$B995)=COUNTIF($B$2:$B$1601,$B995),$B995,""))</f>
        <v/>
      </c>
    </row>
    <row r="996">
      <c r="A996">
        <f>IF('TMP Paste'!$E996="","",'TMP Paste'!$E996)</f>
        <v/>
      </c>
      <c r="B996">
        <f>IF($A996="","",COUNTIF('TMP Paste'!$B$2:$B996,"?*"))</f>
        <v/>
      </c>
      <c r="C996">
        <f>IF($A996="","",IFERROR('TMP Paste'!$M996*1,0))</f>
        <v/>
      </c>
      <c r="D996">
        <f>IF($A996="","",SUMIF($B$2:$B996,$B996,$C$2:$C996))</f>
        <v/>
      </c>
      <c r="E996">
        <f>IF($A996="",0,IF('TMP Paste'!$B996="",0,1))</f>
        <v/>
      </c>
      <c r="F996">
        <f>IF(OR($A996="",$C996&lt;1),"",$A996&amp;"-"&amp;TEXT(($D996-$C996+1),"00")&amp;IF($C996&gt;=2,", "&amp;$A996&amp;"-"&amp;TEXT(($D996-$C996+1)+1,"00"),"")&amp;IF($C996&gt;=3,", "&amp;$A996&amp;"-"&amp;TEXT(($D996-$C996+1)+2,"00"),"")&amp;IF($C996&gt;=4,", "&amp;$A996&amp;"-"&amp;TEXT(($D996-$C996+1)+3,"00"),"")&amp;IF($C996&gt;=5,", "&amp;$A996&amp;"-"&amp;TEXT(($D996-$C996+1)+4,"00"),"")&amp;IF($C996&gt;=6,", "&amp;$A996&amp;"-"&amp;TEXT(($D996-$C996+1)+5,"00"),"")&amp;IF($C996&gt;=7,", "&amp;$A996&amp;"-"&amp;TEXT(($D996-$C996+1)+6,"00"),"")&amp;IF($C996&gt;=8,", "&amp;$A996&amp;"-"&amp;TEXT(($D996-$C996+1)+7,"00"),"")&amp;IF($C996&gt;=9,", "&amp;$A996&amp;"-"&amp;TEXT(($D996-$C996+1)+8,"00"),"")&amp;IF($C996&gt;=10,", "&amp;$A996&amp;"-"&amp;TEXT(($D996-$C996+1)+9,"00"),"")&amp;IF($C996&gt;=11,", "&amp;$A996&amp;"-"&amp;TEXT(($D996-$C996+1)+10,"00"),"")&amp;IF($C996&gt;=12,", "&amp;$A996&amp;"-"&amp;TEXT(($D996-$C996+1)+11,"00"),"")&amp;IF($C996&gt;=13,", "&amp;$A996&amp;"-"&amp;TEXT(($D996-$C996+1)+12,"00"),"")&amp;IF($C996&gt;=14,", "&amp;$A996&amp;"-"&amp;TEXT(($D996-$C996+1)+13,"00"),"")&amp;IF($C996&gt;=15,", "&amp;$A996&amp;"-"&amp;TEXT(($D996-$C996+1)+14,"00"),"")&amp;IF($C996&gt;=16,", "&amp;$A996&amp;"-"&amp;TEXT(($D996-$C996+1)+15,"00"),"")&amp;IF($C996&gt;=17,", "&amp;$A996&amp;"-"&amp;TEXT(($D996-$C996+1)+16,"00"),"")&amp;IF($C996&gt;=18,", "&amp;$A996&amp;"-"&amp;TEXT(($D996-$C996+1)+17,"00"),"")&amp;IF($C996&gt;=19,", "&amp;$A996&amp;"-"&amp;TEXT(($D996-$C996+1)+18,"00"),"")&amp;IF($C996&gt;=20,", "&amp;$A996&amp;"-"&amp;TEXT(($D996-$C996+1)+19,"00"),"")&amp;IF($C996&gt;=21,", "&amp;$A996&amp;"-"&amp;TEXT(($D996-$C996+1)+20,"00"),"")&amp;IF($C996&gt;=22,", "&amp;$A996&amp;"-"&amp;TEXT(($D996-$C996+1)+21,"00"),"")&amp;IF($C996&gt;=23,", "&amp;$A996&amp;"-"&amp;TEXT(($D996-$C996+1)+22,"00"),"")&amp;IF($C996&gt;=24,", "&amp;$A996&amp;"-"&amp;TEXT(($D996-$C996+1)+23,"00"),"")&amp;IF($C996&gt;=25,", "&amp;$A996&amp;"-"&amp;TEXT(($D996-$C996+1)+24,"00"),""))</f>
        <v/>
      </c>
      <c r="G996">
        <f>IF($A996="","",IF($E996=1,$F996,IF($F996="",$G995,IF($G995="",$F996,$G995&amp;", "&amp;$F996))))</f>
        <v/>
      </c>
      <c r="H996">
        <f>IF($A996="","",$A996&amp;" ("&amp;$C996&amp;")")</f>
        <v/>
      </c>
      <c r="I996">
        <f>IF($A996="","",IF($E996=1,$H996,$I995&amp;", "&amp;$H996))</f>
        <v/>
      </c>
      <c r="J996">
        <f>IF($A996="","",IF($E996=1,$B996,""))</f>
        <v/>
      </c>
      <c r="K996">
        <f>IF($A996="","",IF(COUNTIF($B$2:$B996,$B996)=COUNTIF($B$2:$B$1601,$B996),$B996,""))</f>
        <v/>
      </c>
    </row>
    <row r="997">
      <c r="A997">
        <f>IF('TMP Paste'!$E997="","",'TMP Paste'!$E997)</f>
        <v/>
      </c>
      <c r="B997">
        <f>IF($A997="","",COUNTIF('TMP Paste'!$B$2:$B997,"?*"))</f>
        <v/>
      </c>
      <c r="C997">
        <f>IF($A997="","",IFERROR('TMP Paste'!$M997*1,0))</f>
        <v/>
      </c>
      <c r="D997">
        <f>IF($A997="","",SUMIF($B$2:$B997,$B997,$C$2:$C997))</f>
        <v/>
      </c>
      <c r="E997">
        <f>IF($A997="",0,IF('TMP Paste'!$B997="",0,1))</f>
        <v/>
      </c>
      <c r="F997">
        <f>IF(OR($A997="",$C997&lt;1),"",$A997&amp;"-"&amp;TEXT(($D997-$C997+1),"00")&amp;IF($C997&gt;=2,", "&amp;$A997&amp;"-"&amp;TEXT(($D997-$C997+1)+1,"00"),"")&amp;IF($C997&gt;=3,", "&amp;$A997&amp;"-"&amp;TEXT(($D997-$C997+1)+2,"00"),"")&amp;IF($C997&gt;=4,", "&amp;$A997&amp;"-"&amp;TEXT(($D997-$C997+1)+3,"00"),"")&amp;IF($C997&gt;=5,", "&amp;$A997&amp;"-"&amp;TEXT(($D997-$C997+1)+4,"00"),"")&amp;IF($C997&gt;=6,", "&amp;$A997&amp;"-"&amp;TEXT(($D997-$C997+1)+5,"00"),"")&amp;IF($C997&gt;=7,", "&amp;$A997&amp;"-"&amp;TEXT(($D997-$C997+1)+6,"00"),"")&amp;IF($C997&gt;=8,", "&amp;$A997&amp;"-"&amp;TEXT(($D997-$C997+1)+7,"00"),"")&amp;IF($C997&gt;=9,", "&amp;$A997&amp;"-"&amp;TEXT(($D997-$C997+1)+8,"00"),"")&amp;IF($C997&gt;=10,", "&amp;$A997&amp;"-"&amp;TEXT(($D997-$C997+1)+9,"00"),"")&amp;IF($C997&gt;=11,", "&amp;$A997&amp;"-"&amp;TEXT(($D997-$C997+1)+10,"00"),"")&amp;IF($C997&gt;=12,", "&amp;$A997&amp;"-"&amp;TEXT(($D997-$C997+1)+11,"00"),"")&amp;IF($C997&gt;=13,", "&amp;$A997&amp;"-"&amp;TEXT(($D997-$C997+1)+12,"00"),"")&amp;IF($C997&gt;=14,", "&amp;$A997&amp;"-"&amp;TEXT(($D997-$C997+1)+13,"00"),"")&amp;IF($C997&gt;=15,", "&amp;$A997&amp;"-"&amp;TEXT(($D997-$C997+1)+14,"00"),"")&amp;IF($C997&gt;=16,", "&amp;$A997&amp;"-"&amp;TEXT(($D997-$C997+1)+15,"00"),"")&amp;IF($C997&gt;=17,", "&amp;$A997&amp;"-"&amp;TEXT(($D997-$C997+1)+16,"00"),"")&amp;IF($C997&gt;=18,", "&amp;$A997&amp;"-"&amp;TEXT(($D997-$C997+1)+17,"00"),"")&amp;IF($C997&gt;=19,", "&amp;$A997&amp;"-"&amp;TEXT(($D997-$C997+1)+18,"00"),"")&amp;IF($C997&gt;=20,", "&amp;$A997&amp;"-"&amp;TEXT(($D997-$C997+1)+19,"00"),"")&amp;IF($C997&gt;=21,", "&amp;$A997&amp;"-"&amp;TEXT(($D997-$C997+1)+20,"00"),"")&amp;IF($C997&gt;=22,", "&amp;$A997&amp;"-"&amp;TEXT(($D997-$C997+1)+21,"00"),"")&amp;IF($C997&gt;=23,", "&amp;$A997&amp;"-"&amp;TEXT(($D997-$C997+1)+22,"00"),"")&amp;IF($C997&gt;=24,", "&amp;$A997&amp;"-"&amp;TEXT(($D997-$C997+1)+23,"00"),"")&amp;IF($C997&gt;=25,", "&amp;$A997&amp;"-"&amp;TEXT(($D997-$C997+1)+24,"00"),""))</f>
        <v/>
      </c>
      <c r="G997">
        <f>IF($A997="","",IF($E997=1,$F997,IF($F997="",$G996,IF($G996="",$F997,$G996&amp;", "&amp;$F997))))</f>
        <v/>
      </c>
      <c r="H997">
        <f>IF($A997="","",$A997&amp;" ("&amp;$C997&amp;")")</f>
        <v/>
      </c>
      <c r="I997">
        <f>IF($A997="","",IF($E997=1,$H997,$I996&amp;", "&amp;$H997))</f>
        <v/>
      </c>
      <c r="J997">
        <f>IF($A997="","",IF($E997=1,$B997,""))</f>
        <v/>
      </c>
      <c r="K997">
        <f>IF($A997="","",IF(COUNTIF($B$2:$B997,$B997)=COUNTIF($B$2:$B$1601,$B997),$B997,""))</f>
        <v/>
      </c>
    </row>
    <row r="998">
      <c r="A998">
        <f>IF('TMP Paste'!$E998="","",'TMP Paste'!$E998)</f>
        <v/>
      </c>
      <c r="B998">
        <f>IF($A998="","",COUNTIF('TMP Paste'!$B$2:$B998,"?*"))</f>
        <v/>
      </c>
      <c r="C998">
        <f>IF($A998="","",IFERROR('TMP Paste'!$M998*1,0))</f>
        <v/>
      </c>
      <c r="D998">
        <f>IF($A998="","",SUMIF($B$2:$B998,$B998,$C$2:$C998))</f>
        <v/>
      </c>
      <c r="E998">
        <f>IF($A998="",0,IF('TMP Paste'!$B998="",0,1))</f>
        <v/>
      </c>
      <c r="F998">
        <f>IF(OR($A998="",$C998&lt;1),"",$A998&amp;"-"&amp;TEXT(($D998-$C998+1),"00")&amp;IF($C998&gt;=2,", "&amp;$A998&amp;"-"&amp;TEXT(($D998-$C998+1)+1,"00"),"")&amp;IF($C998&gt;=3,", "&amp;$A998&amp;"-"&amp;TEXT(($D998-$C998+1)+2,"00"),"")&amp;IF($C998&gt;=4,", "&amp;$A998&amp;"-"&amp;TEXT(($D998-$C998+1)+3,"00"),"")&amp;IF($C998&gt;=5,", "&amp;$A998&amp;"-"&amp;TEXT(($D998-$C998+1)+4,"00"),"")&amp;IF($C998&gt;=6,", "&amp;$A998&amp;"-"&amp;TEXT(($D998-$C998+1)+5,"00"),"")&amp;IF($C998&gt;=7,", "&amp;$A998&amp;"-"&amp;TEXT(($D998-$C998+1)+6,"00"),"")&amp;IF($C998&gt;=8,", "&amp;$A998&amp;"-"&amp;TEXT(($D998-$C998+1)+7,"00"),"")&amp;IF($C998&gt;=9,", "&amp;$A998&amp;"-"&amp;TEXT(($D998-$C998+1)+8,"00"),"")&amp;IF($C998&gt;=10,", "&amp;$A998&amp;"-"&amp;TEXT(($D998-$C998+1)+9,"00"),"")&amp;IF($C998&gt;=11,", "&amp;$A998&amp;"-"&amp;TEXT(($D998-$C998+1)+10,"00"),"")&amp;IF($C998&gt;=12,", "&amp;$A998&amp;"-"&amp;TEXT(($D998-$C998+1)+11,"00"),"")&amp;IF($C998&gt;=13,", "&amp;$A998&amp;"-"&amp;TEXT(($D998-$C998+1)+12,"00"),"")&amp;IF($C998&gt;=14,", "&amp;$A998&amp;"-"&amp;TEXT(($D998-$C998+1)+13,"00"),"")&amp;IF($C998&gt;=15,", "&amp;$A998&amp;"-"&amp;TEXT(($D998-$C998+1)+14,"00"),"")&amp;IF($C998&gt;=16,", "&amp;$A998&amp;"-"&amp;TEXT(($D998-$C998+1)+15,"00"),"")&amp;IF($C998&gt;=17,", "&amp;$A998&amp;"-"&amp;TEXT(($D998-$C998+1)+16,"00"),"")&amp;IF($C998&gt;=18,", "&amp;$A998&amp;"-"&amp;TEXT(($D998-$C998+1)+17,"00"),"")&amp;IF($C998&gt;=19,", "&amp;$A998&amp;"-"&amp;TEXT(($D998-$C998+1)+18,"00"),"")&amp;IF($C998&gt;=20,", "&amp;$A998&amp;"-"&amp;TEXT(($D998-$C998+1)+19,"00"),"")&amp;IF($C998&gt;=21,", "&amp;$A998&amp;"-"&amp;TEXT(($D998-$C998+1)+20,"00"),"")&amp;IF($C998&gt;=22,", "&amp;$A998&amp;"-"&amp;TEXT(($D998-$C998+1)+21,"00"),"")&amp;IF($C998&gt;=23,", "&amp;$A998&amp;"-"&amp;TEXT(($D998-$C998+1)+22,"00"),"")&amp;IF($C998&gt;=24,", "&amp;$A998&amp;"-"&amp;TEXT(($D998-$C998+1)+23,"00"),"")&amp;IF($C998&gt;=25,", "&amp;$A998&amp;"-"&amp;TEXT(($D998-$C998+1)+24,"00"),""))</f>
        <v/>
      </c>
      <c r="G998">
        <f>IF($A998="","",IF($E998=1,$F998,IF($F998="",$G997,IF($G997="",$F998,$G997&amp;", "&amp;$F998))))</f>
        <v/>
      </c>
      <c r="H998">
        <f>IF($A998="","",$A998&amp;" ("&amp;$C998&amp;")")</f>
        <v/>
      </c>
      <c r="I998">
        <f>IF($A998="","",IF($E998=1,$H998,$I997&amp;", "&amp;$H998))</f>
        <v/>
      </c>
      <c r="J998">
        <f>IF($A998="","",IF($E998=1,$B998,""))</f>
        <v/>
      </c>
      <c r="K998">
        <f>IF($A998="","",IF(COUNTIF($B$2:$B998,$B998)=COUNTIF($B$2:$B$1601,$B998),$B998,""))</f>
        <v/>
      </c>
    </row>
    <row r="999">
      <c r="A999">
        <f>IF('TMP Paste'!$E999="","",'TMP Paste'!$E999)</f>
        <v/>
      </c>
      <c r="B999">
        <f>IF($A999="","",COUNTIF('TMP Paste'!$B$2:$B999,"?*"))</f>
        <v/>
      </c>
      <c r="C999">
        <f>IF($A999="","",IFERROR('TMP Paste'!$M999*1,0))</f>
        <v/>
      </c>
      <c r="D999">
        <f>IF($A999="","",SUMIF($B$2:$B999,$B999,$C$2:$C999))</f>
        <v/>
      </c>
      <c r="E999">
        <f>IF($A999="",0,IF('TMP Paste'!$B999="",0,1))</f>
        <v/>
      </c>
      <c r="F999">
        <f>IF(OR($A999="",$C999&lt;1),"",$A999&amp;"-"&amp;TEXT(($D999-$C999+1),"00")&amp;IF($C999&gt;=2,", "&amp;$A999&amp;"-"&amp;TEXT(($D999-$C999+1)+1,"00"),"")&amp;IF($C999&gt;=3,", "&amp;$A999&amp;"-"&amp;TEXT(($D999-$C999+1)+2,"00"),"")&amp;IF($C999&gt;=4,", "&amp;$A999&amp;"-"&amp;TEXT(($D999-$C999+1)+3,"00"),"")&amp;IF($C999&gt;=5,", "&amp;$A999&amp;"-"&amp;TEXT(($D999-$C999+1)+4,"00"),"")&amp;IF($C999&gt;=6,", "&amp;$A999&amp;"-"&amp;TEXT(($D999-$C999+1)+5,"00"),"")&amp;IF($C999&gt;=7,", "&amp;$A999&amp;"-"&amp;TEXT(($D999-$C999+1)+6,"00"),"")&amp;IF($C999&gt;=8,", "&amp;$A999&amp;"-"&amp;TEXT(($D999-$C999+1)+7,"00"),"")&amp;IF($C999&gt;=9,", "&amp;$A999&amp;"-"&amp;TEXT(($D999-$C999+1)+8,"00"),"")&amp;IF($C999&gt;=10,", "&amp;$A999&amp;"-"&amp;TEXT(($D999-$C999+1)+9,"00"),"")&amp;IF($C999&gt;=11,", "&amp;$A999&amp;"-"&amp;TEXT(($D999-$C999+1)+10,"00"),"")&amp;IF($C999&gt;=12,", "&amp;$A999&amp;"-"&amp;TEXT(($D999-$C999+1)+11,"00"),"")&amp;IF($C999&gt;=13,", "&amp;$A999&amp;"-"&amp;TEXT(($D999-$C999+1)+12,"00"),"")&amp;IF($C999&gt;=14,", "&amp;$A999&amp;"-"&amp;TEXT(($D999-$C999+1)+13,"00"),"")&amp;IF($C999&gt;=15,", "&amp;$A999&amp;"-"&amp;TEXT(($D999-$C999+1)+14,"00"),"")&amp;IF($C999&gt;=16,", "&amp;$A999&amp;"-"&amp;TEXT(($D999-$C999+1)+15,"00"),"")&amp;IF($C999&gt;=17,", "&amp;$A999&amp;"-"&amp;TEXT(($D999-$C999+1)+16,"00"),"")&amp;IF($C999&gt;=18,", "&amp;$A999&amp;"-"&amp;TEXT(($D999-$C999+1)+17,"00"),"")&amp;IF($C999&gt;=19,", "&amp;$A999&amp;"-"&amp;TEXT(($D999-$C999+1)+18,"00"),"")&amp;IF($C999&gt;=20,", "&amp;$A999&amp;"-"&amp;TEXT(($D999-$C999+1)+19,"00"),"")&amp;IF($C999&gt;=21,", "&amp;$A999&amp;"-"&amp;TEXT(($D999-$C999+1)+20,"00"),"")&amp;IF($C999&gt;=22,", "&amp;$A999&amp;"-"&amp;TEXT(($D999-$C999+1)+21,"00"),"")&amp;IF($C999&gt;=23,", "&amp;$A999&amp;"-"&amp;TEXT(($D999-$C999+1)+22,"00"),"")&amp;IF($C999&gt;=24,", "&amp;$A999&amp;"-"&amp;TEXT(($D999-$C999+1)+23,"00"),"")&amp;IF($C999&gt;=25,", "&amp;$A999&amp;"-"&amp;TEXT(($D999-$C999+1)+24,"00"),""))</f>
        <v/>
      </c>
      <c r="G999">
        <f>IF($A999="","",IF($E999=1,$F999,IF($F999="",$G998,IF($G998="",$F999,$G998&amp;", "&amp;$F999))))</f>
        <v/>
      </c>
      <c r="H999">
        <f>IF($A999="","",$A999&amp;" ("&amp;$C999&amp;")")</f>
        <v/>
      </c>
      <c r="I999">
        <f>IF($A999="","",IF($E999=1,$H999,$I998&amp;", "&amp;$H999))</f>
        <v/>
      </c>
      <c r="J999">
        <f>IF($A999="","",IF($E999=1,$B999,""))</f>
        <v/>
      </c>
      <c r="K999">
        <f>IF($A999="","",IF(COUNTIF($B$2:$B999,$B999)=COUNTIF($B$2:$B$1601,$B999),$B999,""))</f>
        <v/>
      </c>
    </row>
    <row r="1000">
      <c r="A1000">
        <f>IF('TMP Paste'!$E1000="","",'TMP Paste'!$E1000)</f>
        <v/>
      </c>
      <c r="B1000">
        <f>IF($A1000="","",COUNTIF('TMP Paste'!$B$2:$B1000,"?*"))</f>
        <v/>
      </c>
      <c r="C1000">
        <f>IF($A1000="","",IFERROR('TMP Paste'!$M1000*1,0))</f>
        <v/>
      </c>
      <c r="D1000">
        <f>IF($A1000="","",SUMIF($B$2:$B1000,$B1000,$C$2:$C1000))</f>
        <v/>
      </c>
      <c r="E1000">
        <f>IF($A1000="",0,IF('TMP Paste'!$B1000="",0,1))</f>
        <v/>
      </c>
      <c r="F1000">
        <f>IF(OR($A1000="",$C1000&lt;1),"",$A1000&amp;"-"&amp;TEXT(($D1000-$C1000+1),"00")&amp;IF($C1000&gt;=2,", "&amp;$A1000&amp;"-"&amp;TEXT(($D1000-$C1000+1)+1,"00"),"")&amp;IF($C1000&gt;=3,", "&amp;$A1000&amp;"-"&amp;TEXT(($D1000-$C1000+1)+2,"00"),"")&amp;IF($C1000&gt;=4,", "&amp;$A1000&amp;"-"&amp;TEXT(($D1000-$C1000+1)+3,"00"),"")&amp;IF($C1000&gt;=5,", "&amp;$A1000&amp;"-"&amp;TEXT(($D1000-$C1000+1)+4,"00"),"")&amp;IF($C1000&gt;=6,", "&amp;$A1000&amp;"-"&amp;TEXT(($D1000-$C1000+1)+5,"00"),"")&amp;IF($C1000&gt;=7,", "&amp;$A1000&amp;"-"&amp;TEXT(($D1000-$C1000+1)+6,"00"),"")&amp;IF($C1000&gt;=8,", "&amp;$A1000&amp;"-"&amp;TEXT(($D1000-$C1000+1)+7,"00"),"")&amp;IF($C1000&gt;=9,", "&amp;$A1000&amp;"-"&amp;TEXT(($D1000-$C1000+1)+8,"00"),"")&amp;IF($C1000&gt;=10,", "&amp;$A1000&amp;"-"&amp;TEXT(($D1000-$C1000+1)+9,"00"),"")&amp;IF($C1000&gt;=11,", "&amp;$A1000&amp;"-"&amp;TEXT(($D1000-$C1000+1)+10,"00"),"")&amp;IF($C1000&gt;=12,", "&amp;$A1000&amp;"-"&amp;TEXT(($D1000-$C1000+1)+11,"00"),"")&amp;IF($C1000&gt;=13,", "&amp;$A1000&amp;"-"&amp;TEXT(($D1000-$C1000+1)+12,"00"),"")&amp;IF($C1000&gt;=14,", "&amp;$A1000&amp;"-"&amp;TEXT(($D1000-$C1000+1)+13,"00"),"")&amp;IF($C1000&gt;=15,", "&amp;$A1000&amp;"-"&amp;TEXT(($D1000-$C1000+1)+14,"00"),"")&amp;IF($C1000&gt;=16,", "&amp;$A1000&amp;"-"&amp;TEXT(($D1000-$C1000+1)+15,"00"),"")&amp;IF($C1000&gt;=17,", "&amp;$A1000&amp;"-"&amp;TEXT(($D1000-$C1000+1)+16,"00"),"")&amp;IF($C1000&gt;=18,", "&amp;$A1000&amp;"-"&amp;TEXT(($D1000-$C1000+1)+17,"00"),"")&amp;IF($C1000&gt;=19,", "&amp;$A1000&amp;"-"&amp;TEXT(($D1000-$C1000+1)+18,"00"),"")&amp;IF($C1000&gt;=20,", "&amp;$A1000&amp;"-"&amp;TEXT(($D1000-$C1000+1)+19,"00"),"")&amp;IF($C1000&gt;=21,", "&amp;$A1000&amp;"-"&amp;TEXT(($D1000-$C1000+1)+20,"00"),"")&amp;IF($C1000&gt;=22,", "&amp;$A1000&amp;"-"&amp;TEXT(($D1000-$C1000+1)+21,"00"),"")&amp;IF($C1000&gt;=23,", "&amp;$A1000&amp;"-"&amp;TEXT(($D1000-$C1000+1)+22,"00"),"")&amp;IF($C1000&gt;=24,", "&amp;$A1000&amp;"-"&amp;TEXT(($D1000-$C1000+1)+23,"00"),"")&amp;IF($C1000&gt;=25,", "&amp;$A1000&amp;"-"&amp;TEXT(($D1000-$C1000+1)+24,"00"),""))</f>
        <v/>
      </c>
      <c r="G1000">
        <f>IF($A1000="","",IF($E1000=1,$F1000,IF($F1000="",$G999,IF($G999="",$F1000,$G999&amp;", "&amp;$F1000))))</f>
        <v/>
      </c>
      <c r="H1000">
        <f>IF($A1000="","",$A1000&amp;" ("&amp;$C1000&amp;")")</f>
        <v/>
      </c>
      <c r="I1000">
        <f>IF($A1000="","",IF($E1000=1,$H1000,$I999&amp;", "&amp;$H1000))</f>
        <v/>
      </c>
      <c r="J1000">
        <f>IF($A1000="","",IF($E1000=1,$B1000,""))</f>
        <v/>
      </c>
      <c r="K1000">
        <f>IF($A1000="","",IF(COUNTIF($B$2:$B1000,$B1000)=COUNTIF($B$2:$B$1601,$B1000),$B1000,""))</f>
        <v/>
      </c>
    </row>
    <row r="1001">
      <c r="A1001">
        <f>IF('TMP Paste'!$E1001="","",'TMP Paste'!$E1001)</f>
        <v/>
      </c>
      <c r="B1001">
        <f>IF($A1001="","",COUNTIF('TMP Paste'!$B$2:$B1001,"?*"))</f>
        <v/>
      </c>
      <c r="C1001">
        <f>IF($A1001="","",IFERROR('TMP Paste'!$M1001*1,0))</f>
        <v/>
      </c>
      <c r="D1001">
        <f>IF($A1001="","",SUMIF($B$2:$B1001,$B1001,$C$2:$C1001))</f>
        <v/>
      </c>
      <c r="E1001">
        <f>IF($A1001="",0,IF('TMP Paste'!$B1001="",0,1))</f>
        <v/>
      </c>
      <c r="F1001">
        <f>IF(OR($A1001="",$C1001&lt;1),"",$A1001&amp;"-"&amp;TEXT(($D1001-$C1001+1),"00")&amp;IF($C1001&gt;=2,", "&amp;$A1001&amp;"-"&amp;TEXT(($D1001-$C1001+1)+1,"00"),"")&amp;IF($C1001&gt;=3,", "&amp;$A1001&amp;"-"&amp;TEXT(($D1001-$C1001+1)+2,"00"),"")&amp;IF($C1001&gt;=4,", "&amp;$A1001&amp;"-"&amp;TEXT(($D1001-$C1001+1)+3,"00"),"")&amp;IF($C1001&gt;=5,", "&amp;$A1001&amp;"-"&amp;TEXT(($D1001-$C1001+1)+4,"00"),"")&amp;IF($C1001&gt;=6,", "&amp;$A1001&amp;"-"&amp;TEXT(($D1001-$C1001+1)+5,"00"),"")&amp;IF($C1001&gt;=7,", "&amp;$A1001&amp;"-"&amp;TEXT(($D1001-$C1001+1)+6,"00"),"")&amp;IF($C1001&gt;=8,", "&amp;$A1001&amp;"-"&amp;TEXT(($D1001-$C1001+1)+7,"00"),"")&amp;IF($C1001&gt;=9,", "&amp;$A1001&amp;"-"&amp;TEXT(($D1001-$C1001+1)+8,"00"),"")&amp;IF($C1001&gt;=10,", "&amp;$A1001&amp;"-"&amp;TEXT(($D1001-$C1001+1)+9,"00"),"")&amp;IF($C1001&gt;=11,", "&amp;$A1001&amp;"-"&amp;TEXT(($D1001-$C1001+1)+10,"00"),"")&amp;IF($C1001&gt;=12,", "&amp;$A1001&amp;"-"&amp;TEXT(($D1001-$C1001+1)+11,"00"),"")&amp;IF($C1001&gt;=13,", "&amp;$A1001&amp;"-"&amp;TEXT(($D1001-$C1001+1)+12,"00"),"")&amp;IF($C1001&gt;=14,", "&amp;$A1001&amp;"-"&amp;TEXT(($D1001-$C1001+1)+13,"00"),"")&amp;IF($C1001&gt;=15,", "&amp;$A1001&amp;"-"&amp;TEXT(($D1001-$C1001+1)+14,"00"),"")&amp;IF($C1001&gt;=16,", "&amp;$A1001&amp;"-"&amp;TEXT(($D1001-$C1001+1)+15,"00"),"")&amp;IF($C1001&gt;=17,", "&amp;$A1001&amp;"-"&amp;TEXT(($D1001-$C1001+1)+16,"00"),"")&amp;IF($C1001&gt;=18,", "&amp;$A1001&amp;"-"&amp;TEXT(($D1001-$C1001+1)+17,"00"),"")&amp;IF($C1001&gt;=19,", "&amp;$A1001&amp;"-"&amp;TEXT(($D1001-$C1001+1)+18,"00"),"")&amp;IF($C1001&gt;=20,", "&amp;$A1001&amp;"-"&amp;TEXT(($D1001-$C1001+1)+19,"00"),"")&amp;IF($C1001&gt;=21,", "&amp;$A1001&amp;"-"&amp;TEXT(($D1001-$C1001+1)+20,"00"),"")&amp;IF($C1001&gt;=22,", "&amp;$A1001&amp;"-"&amp;TEXT(($D1001-$C1001+1)+21,"00"),"")&amp;IF($C1001&gt;=23,", "&amp;$A1001&amp;"-"&amp;TEXT(($D1001-$C1001+1)+22,"00"),"")&amp;IF($C1001&gt;=24,", "&amp;$A1001&amp;"-"&amp;TEXT(($D1001-$C1001+1)+23,"00"),"")&amp;IF($C1001&gt;=25,", "&amp;$A1001&amp;"-"&amp;TEXT(($D1001-$C1001+1)+24,"00"),""))</f>
        <v/>
      </c>
      <c r="G1001">
        <f>IF($A1001="","",IF($E1001=1,$F1001,IF($F1001="",$G1000,IF($G1000="",$F1001,$G1000&amp;", "&amp;$F1001))))</f>
        <v/>
      </c>
      <c r="H1001">
        <f>IF($A1001="","",$A1001&amp;" ("&amp;$C1001&amp;")")</f>
        <v/>
      </c>
      <c r="I1001">
        <f>IF($A1001="","",IF($E1001=1,$H1001,$I1000&amp;", "&amp;$H1001))</f>
        <v/>
      </c>
      <c r="J1001">
        <f>IF($A1001="","",IF($E1001=1,$B1001,""))</f>
        <v/>
      </c>
      <c r="K1001">
        <f>IF($A1001="","",IF(COUNTIF($B$2:$B1001,$B1001)=COUNTIF($B$2:$B$1601,$B1001),$B1001,""))</f>
        <v/>
      </c>
    </row>
    <row r="1002">
      <c r="A1002">
        <f>IF('TMP Paste'!$E1002="","",'TMP Paste'!$E1002)</f>
        <v/>
      </c>
      <c r="B1002">
        <f>IF($A1002="","",COUNTIF('TMP Paste'!$B$2:$B1002,"?*"))</f>
        <v/>
      </c>
      <c r="C1002">
        <f>IF($A1002="","",IFERROR('TMP Paste'!$M1002*1,0))</f>
        <v/>
      </c>
      <c r="D1002">
        <f>IF($A1002="","",SUMIF($B$2:$B1002,$B1002,$C$2:$C1002))</f>
        <v/>
      </c>
      <c r="E1002">
        <f>IF($A1002="",0,IF('TMP Paste'!$B1002="",0,1))</f>
        <v/>
      </c>
      <c r="F1002">
        <f>IF(OR($A1002="",$C1002&lt;1),"",$A1002&amp;"-"&amp;TEXT(($D1002-$C1002+1),"00")&amp;IF($C1002&gt;=2,", "&amp;$A1002&amp;"-"&amp;TEXT(($D1002-$C1002+1)+1,"00"),"")&amp;IF($C1002&gt;=3,", "&amp;$A1002&amp;"-"&amp;TEXT(($D1002-$C1002+1)+2,"00"),"")&amp;IF($C1002&gt;=4,", "&amp;$A1002&amp;"-"&amp;TEXT(($D1002-$C1002+1)+3,"00"),"")&amp;IF($C1002&gt;=5,", "&amp;$A1002&amp;"-"&amp;TEXT(($D1002-$C1002+1)+4,"00"),"")&amp;IF($C1002&gt;=6,", "&amp;$A1002&amp;"-"&amp;TEXT(($D1002-$C1002+1)+5,"00"),"")&amp;IF($C1002&gt;=7,", "&amp;$A1002&amp;"-"&amp;TEXT(($D1002-$C1002+1)+6,"00"),"")&amp;IF($C1002&gt;=8,", "&amp;$A1002&amp;"-"&amp;TEXT(($D1002-$C1002+1)+7,"00"),"")&amp;IF($C1002&gt;=9,", "&amp;$A1002&amp;"-"&amp;TEXT(($D1002-$C1002+1)+8,"00"),"")&amp;IF($C1002&gt;=10,", "&amp;$A1002&amp;"-"&amp;TEXT(($D1002-$C1002+1)+9,"00"),"")&amp;IF($C1002&gt;=11,", "&amp;$A1002&amp;"-"&amp;TEXT(($D1002-$C1002+1)+10,"00"),"")&amp;IF($C1002&gt;=12,", "&amp;$A1002&amp;"-"&amp;TEXT(($D1002-$C1002+1)+11,"00"),"")&amp;IF($C1002&gt;=13,", "&amp;$A1002&amp;"-"&amp;TEXT(($D1002-$C1002+1)+12,"00"),"")&amp;IF($C1002&gt;=14,", "&amp;$A1002&amp;"-"&amp;TEXT(($D1002-$C1002+1)+13,"00"),"")&amp;IF($C1002&gt;=15,", "&amp;$A1002&amp;"-"&amp;TEXT(($D1002-$C1002+1)+14,"00"),"")&amp;IF($C1002&gt;=16,", "&amp;$A1002&amp;"-"&amp;TEXT(($D1002-$C1002+1)+15,"00"),"")&amp;IF($C1002&gt;=17,", "&amp;$A1002&amp;"-"&amp;TEXT(($D1002-$C1002+1)+16,"00"),"")&amp;IF($C1002&gt;=18,", "&amp;$A1002&amp;"-"&amp;TEXT(($D1002-$C1002+1)+17,"00"),"")&amp;IF($C1002&gt;=19,", "&amp;$A1002&amp;"-"&amp;TEXT(($D1002-$C1002+1)+18,"00"),"")&amp;IF($C1002&gt;=20,", "&amp;$A1002&amp;"-"&amp;TEXT(($D1002-$C1002+1)+19,"00"),"")&amp;IF($C1002&gt;=21,", "&amp;$A1002&amp;"-"&amp;TEXT(($D1002-$C1002+1)+20,"00"),"")&amp;IF($C1002&gt;=22,", "&amp;$A1002&amp;"-"&amp;TEXT(($D1002-$C1002+1)+21,"00"),"")&amp;IF($C1002&gt;=23,", "&amp;$A1002&amp;"-"&amp;TEXT(($D1002-$C1002+1)+22,"00"),"")&amp;IF($C1002&gt;=24,", "&amp;$A1002&amp;"-"&amp;TEXT(($D1002-$C1002+1)+23,"00"),"")&amp;IF($C1002&gt;=25,", "&amp;$A1002&amp;"-"&amp;TEXT(($D1002-$C1002+1)+24,"00"),""))</f>
        <v/>
      </c>
      <c r="G1002">
        <f>IF($A1002="","",IF($E1002=1,$F1002,IF($F1002="",$G1001,IF($G1001="",$F1002,$G1001&amp;", "&amp;$F1002))))</f>
        <v/>
      </c>
      <c r="H1002">
        <f>IF($A1002="","",$A1002&amp;" ("&amp;$C1002&amp;")")</f>
        <v/>
      </c>
      <c r="I1002">
        <f>IF($A1002="","",IF($E1002=1,$H1002,$I1001&amp;", "&amp;$H1002))</f>
        <v/>
      </c>
      <c r="J1002">
        <f>IF($A1002="","",IF($E1002=1,$B1002,""))</f>
        <v/>
      </c>
      <c r="K1002">
        <f>IF($A1002="","",IF(COUNTIF($B$2:$B1002,$B1002)=COUNTIF($B$2:$B$1601,$B1002),$B1002,""))</f>
        <v/>
      </c>
    </row>
    <row r="1003">
      <c r="A1003">
        <f>IF('TMP Paste'!$E1003="","",'TMP Paste'!$E1003)</f>
        <v/>
      </c>
      <c r="B1003">
        <f>IF($A1003="","",COUNTIF('TMP Paste'!$B$2:$B1003,"?*"))</f>
        <v/>
      </c>
      <c r="C1003">
        <f>IF($A1003="","",IFERROR('TMP Paste'!$M1003*1,0))</f>
        <v/>
      </c>
      <c r="D1003">
        <f>IF($A1003="","",SUMIF($B$2:$B1003,$B1003,$C$2:$C1003))</f>
        <v/>
      </c>
      <c r="E1003">
        <f>IF($A1003="",0,IF('TMP Paste'!$B1003="",0,1))</f>
        <v/>
      </c>
      <c r="F1003">
        <f>IF(OR($A1003="",$C1003&lt;1),"",$A1003&amp;"-"&amp;TEXT(($D1003-$C1003+1),"00")&amp;IF($C1003&gt;=2,", "&amp;$A1003&amp;"-"&amp;TEXT(($D1003-$C1003+1)+1,"00"),"")&amp;IF($C1003&gt;=3,", "&amp;$A1003&amp;"-"&amp;TEXT(($D1003-$C1003+1)+2,"00"),"")&amp;IF($C1003&gt;=4,", "&amp;$A1003&amp;"-"&amp;TEXT(($D1003-$C1003+1)+3,"00"),"")&amp;IF($C1003&gt;=5,", "&amp;$A1003&amp;"-"&amp;TEXT(($D1003-$C1003+1)+4,"00"),"")&amp;IF($C1003&gt;=6,", "&amp;$A1003&amp;"-"&amp;TEXT(($D1003-$C1003+1)+5,"00"),"")&amp;IF($C1003&gt;=7,", "&amp;$A1003&amp;"-"&amp;TEXT(($D1003-$C1003+1)+6,"00"),"")&amp;IF($C1003&gt;=8,", "&amp;$A1003&amp;"-"&amp;TEXT(($D1003-$C1003+1)+7,"00"),"")&amp;IF($C1003&gt;=9,", "&amp;$A1003&amp;"-"&amp;TEXT(($D1003-$C1003+1)+8,"00"),"")&amp;IF($C1003&gt;=10,", "&amp;$A1003&amp;"-"&amp;TEXT(($D1003-$C1003+1)+9,"00"),"")&amp;IF($C1003&gt;=11,", "&amp;$A1003&amp;"-"&amp;TEXT(($D1003-$C1003+1)+10,"00"),"")&amp;IF($C1003&gt;=12,", "&amp;$A1003&amp;"-"&amp;TEXT(($D1003-$C1003+1)+11,"00"),"")&amp;IF($C1003&gt;=13,", "&amp;$A1003&amp;"-"&amp;TEXT(($D1003-$C1003+1)+12,"00"),"")&amp;IF($C1003&gt;=14,", "&amp;$A1003&amp;"-"&amp;TEXT(($D1003-$C1003+1)+13,"00"),"")&amp;IF($C1003&gt;=15,", "&amp;$A1003&amp;"-"&amp;TEXT(($D1003-$C1003+1)+14,"00"),"")&amp;IF($C1003&gt;=16,", "&amp;$A1003&amp;"-"&amp;TEXT(($D1003-$C1003+1)+15,"00"),"")&amp;IF($C1003&gt;=17,", "&amp;$A1003&amp;"-"&amp;TEXT(($D1003-$C1003+1)+16,"00"),"")&amp;IF($C1003&gt;=18,", "&amp;$A1003&amp;"-"&amp;TEXT(($D1003-$C1003+1)+17,"00"),"")&amp;IF($C1003&gt;=19,", "&amp;$A1003&amp;"-"&amp;TEXT(($D1003-$C1003+1)+18,"00"),"")&amp;IF($C1003&gt;=20,", "&amp;$A1003&amp;"-"&amp;TEXT(($D1003-$C1003+1)+19,"00"),"")&amp;IF($C1003&gt;=21,", "&amp;$A1003&amp;"-"&amp;TEXT(($D1003-$C1003+1)+20,"00"),"")&amp;IF($C1003&gt;=22,", "&amp;$A1003&amp;"-"&amp;TEXT(($D1003-$C1003+1)+21,"00"),"")&amp;IF($C1003&gt;=23,", "&amp;$A1003&amp;"-"&amp;TEXT(($D1003-$C1003+1)+22,"00"),"")&amp;IF($C1003&gt;=24,", "&amp;$A1003&amp;"-"&amp;TEXT(($D1003-$C1003+1)+23,"00"),"")&amp;IF($C1003&gt;=25,", "&amp;$A1003&amp;"-"&amp;TEXT(($D1003-$C1003+1)+24,"00"),""))</f>
        <v/>
      </c>
      <c r="G1003">
        <f>IF($A1003="","",IF($E1003=1,$F1003,IF($F1003="",$G1002,IF($G1002="",$F1003,$G1002&amp;", "&amp;$F1003))))</f>
        <v/>
      </c>
      <c r="H1003">
        <f>IF($A1003="","",$A1003&amp;" ("&amp;$C1003&amp;")")</f>
        <v/>
      </c>
      <c r="I1003">
        <f>IF($A1003="","",IF($E1003=1,$H1003,$I1002&amp;", "&amp;$H1003))</f>
        <v/>
      </c>
      <c r="J1003">
        <f>IF($A1003="","",IF($E1003=1,$B1003,""))</f>
        <v/>
      </c>
      <c r="K1003">
        <f>IF($A1003="","",IF(COUNTIF($B$2:$B1003,$B1003)=COUNTIF($B$2:$B$1601,$B1003),$B1003,""))</f>
        <v/>
      </c>
    </row>
    <row r="1004">
      <c r="A1004">
        <f>IF('TMP Paste'!$E1004="","",'TMP Paste'!$E1004)</f>
        <v/>
      </c>
      <c r="B1004">
        <f>IF($A1004="","",COUNTIF('TMP Paste'!$B$2:$B1004,"?*"))</f>
        <v/>
      </c>
      <c r="C1004">
        <f>IF($A1004="","",IFERROR('TMP Paste'!$M1004*1,0))</f>
        <v/>
      </c>
      <c r="D1004">
        <f>IF($A1004="","",SUMIF($B$2:$B1004,$B1004,$C$2:$C1004))</f>
        <v/>
      </c>
      <c r="E1004">
        <f>IF($A1004="",0,IF('TMP Paste'!$B1004="",0,1))</f>
        <v/>
      </c>
      <c r="F1004">
        <f>IF(OR($A1004="",$C1004&lt;1),"",$A1004&amp;"-"&amp;TEXT(($D1004-$C1004+1),"00")&amp;IF($C1004&gt;=2,", "&amp;$A1004&amp;"-"&amp;TEXT(($D1004-$C1004+1)+1,"00"),"")&amp;IF($C1004&gt;=3,", "&amp;$A1004&amp;"-"&amp;TEXT(($D1004-$C1004+1)+2,"00"),"")&amp;IF($C1004&gt;=4,", "&amp;$A1004&amp;"-"&amp;TEXT(($D1004-$C1004+1)+3,"00"),"")&amp;IF($C1004&gt;=5,", "&amp;$A1004&amp;"-"&amp;TEXT(($D1004-$C1004+1)+4,"00"),"")&amp;IF($C1004&gt;=6,", "&amp;$A1004&amp;"-"&amp;TEXT(($D1004-$C1004+1)+5,"00"),"")&amp;IF($C1004&gt;=7,", "&amp;$A1004&amp;"-"&amp;TEXT(($D1004-$C1004+1)+6,"00"),"")&amp;IF($C1004&gt;=8,", "&amp;$A1004&amp;"-"&amp;TEXT(($D1004-$C1004+1)+7,"00"),"")&amp;IF($C1004&gt;=9,", "&amp;$A1004&amp;"-"&amp;TEXT(($D1004-$C1004+1)+8,"00"),"")&amp;IF($C1004&gt;=10,", "&amp;$A1004&amp;"-"&amp;TEXT(($D1004-$C1004+1)+9,"00"),"")&amp;IF($C1004&gt;=11,", "&amp;$A1004&amp;"-"&amp;TEXT(($D1004-$C1004+1)+10,"00"),"")&amp;IF($C1004&gt;=12,", "&amp;$A1004&amp;"-"&amp;TEXT(($D1004-$C1004+1)+11,"00"),"")&amp;IF($C1004&gt;=13,", "&amp;$A1004&amp;"-"&amp;TEXT(($D1004-$C1004+1)+12,"00"),"")&amp;IF($C1004&gt;=14,", "&amp;$A1004&amp;"-"&amp;TEXT(($D1004-$C1004+1)+13,"00"),"")&amp;IF($C1004&gt;=15,", "&amp;$A1004&amp;"-"&amp;TEXT(($D1004-$C1004+1)+14,"00"),"")&amp;IF($C1004&gt;=16,", "&amp;$A1004&amp;"-"&amp;TEXT(($D1004-$C1004+1)+15,"00"),"")&amp;IF($C1004&gt;=17,", "&amp;$A1004&amp;"-"&amp;TEXT(($D1004-$C1004+1)+16,"00"),"")&amp;IF($C1004&gt;=18,", "&amp;$A1004&amp;"-"&amp;TEXT(($D1004-$C1004+1)+17,"00"),"")&amp;IF($C1004&gt;=19,", "&amp;$A1004&amp;"-"&amp;TEXT(($D1004-$C1004+1)+18,"00"),"")&amp;IF($C1004&gt;=20,", "&amp;$A1004&amp;"-"&amp;TEXT(($D1004-$C1004+1)+19,"00"),"")&amp;IF($C1004&gt;=21,", "&amp;$A1004&amp;"-"&amp;TEXT(($D1004-$C1004+1)+20,"00"),"")&amp;IF($C1004&gt;=22,", "&amp;$A1004&amp;"-"&amp;TEXT(($D1004-$C1004+1)+21,"00"),"")&amp;IF($C1004&gt;=23,", "&amp;$A1004&amp;"-"&amp;TEXT(($D1004-$C1004+1)+22,"00"),"")&amp;IF($C1004&gt;=24,", "&amp;$A1004&amp;"-"&amp;TEXT(($D1004-$C1004+1)+23,"00"),"")&amp;IF($C1004&gt;=25,", "&amp;$A1004&amp;"-"&amp;TEXT(($D1004-$C1004+1)+24,"00"),""))</f>
        <v/>
      </c>
      <c r="G1004">
        <f>IF($A1004="","",IF($E1004=1,$F1004,IF($F1004="",$G1003,IF($G1003="",$F1004,$G1003&amp;", "&amp;$F1004))))</f>
        <v/>
      </c>
      <c r="H1004">
        <f>IF($A1004="","",$A1004&amp;" ("&amp;$C1004&amp;")")</f>
        <v/>
      </c>
      <c r="I1004">
        <f>IF($A1004="","",IF($E1004=1,$H1004,$I1003&amp;", "&amp;$H1004))</f>
        <v/>
      </c>
      <c r="J1004">
        <f>IF($A1004="","",IF($E1004=1,$B1004,""))</f>
        <v/>
      </c>
      <c r="K1004">
        <f>IF($A1004="","",IF(COUNTIF($B$2:$B1004,$B1004)=COUNTIF($B$2:$B$1601,$B1004),$B1004,""))</f>
        <v/>
      </c>
    </row>
    <row r="1005">
      <c r="A1005">
        <f>IF('TMP Paste'!$E1005="","",'TMP Paste'!$E1005)</f>
        <v/>
      </c>
      <c r="B1005">
        <f>IF($A1005="","",COUNTIF('TMP Paste'!$B$2:$B1005,"?*"))</f>
        <v/>
      </c>
      <c r="C1005">
        <f>IF($A1005="","",IFERROR('TMP Paste'!$M1005*1,0))</f>
        <v/>
      </c>
      <c r="D1005">
        <f>IF($A1005="","",SUMIF($B$2:$B1005,$B1005,$C$2:$C1005))</f>
        <v/>
      </c>
      <c r="E1005">
        <f>IF($A1005="",0,IF('TMP Paste'!$B1005="",0,1))</f>
        <v/>
      </c>
      <c r="F1005">
        <f>IF(OR($A1005="",$C1005&lt;1),"",$A1005&amp;"-"&amp;TEXT(($D1005-$C1005+1),"00")&amp;IF($C1005&gt;=2,", "&amp;$A1005&amp;"-"&amp;TEXT(($D1005-$C1005+1)+1,"00"),"")&amp;IF($C1005&gt;=3,", "&amp;$A1005&amp;"-"&amp;TEXT(($D1005-$C1005+1)+2,"00"),"")&amp;IF($C1005&gt;=4,", "&amp;$A1005&amp;"-"&amp;TEXT(($D1005-$C1005+1)+3,"00"),"")&amp;IF($C1005&gt;=5,", "&amp;$A1005&amp;"-"&amp;TEXT(($D1005-$C1005+1)+4,"00"),"")&amp;IF($C1005&gt;=6,", "&amp;$A1005&amp;"-"&amp;TEXT(($D1005-$C1005+1)+5,"00"),"")&amp;IF($C1005&gt;=7,", "&amp;$A1005&amp;"-"&amp;TEXT(($D1005-$C1005+1)+6,"00"),"")&amp;IF($C1005&gt;=8,", "&amp;$A1005&amp;"-"&amp;TEXT(($D1005-$C1005+1)+7,"00"),"")&amp;IF($C1005&gt;=9,", "&amp;$A1005&amp;"-"&amp;TEXT(($D1005-$C1005+1)+8,"00"),"")&amp;IF($C1005&gt;=10,", "&amp;$A1005&amp;"-"&amp;TEXT(($D1005-$C1005+1)+9,"00"),"")&amp;IF($C1005&gt;=11,", "&amp;$A1005&amp;"-"&amp;TEXT(($D1005-$C1005+1)+10,"00"),"")&amp;IF($C1005&gt;=12,", "&amp;$A1005&amp;"-"&amp;TEXT(($D1005-$C1005+1)+11,"00"),"")&amp;IF($C1005&gt;=13,", "&amp;$A1005&amp;"-"&amp;TEXT(($D1005-$C1005+1)+12,"00"),"")&amp;IF($C1005&gt;=14,", "&amp;$A1005&amp;"-"&amp;TEXT(($D1005-$C1005+1)+13,"00"),"")&amp;IF($C1005&gt;=15,", "&amp;$A1005&amp;"-"&amp;TEXT(($D1005-$C1005+1)+14,"00"),"")&amp;IF($C1005&gt;=16,", "&amp;$A1005&amp;"-"&amp;TEXT(($D1005-$C1005+1)+15,"00"),"")&amp;IF($C1005&gt;=17,", "&amp;$A1005&amp;"-"&amp;TEXT(($D1005-$C1005+1)+16,"00"),"")&amp;IF($C1005&gt;=18,", "&amp;$A1005&amp;"-"&amp;TEXT(($D1005-$C1005+1)+17,"00"),"")&amp;IF($C1005&gt;=19,", "&amp;$A1005&amp;"-"&amp;TEXT(($D1005-$C1005+1)+18,"00"),"")&amp;IF($C1005&gt;=20,", "&amp;$A1005&amp;"-"&amp;TEXT(($D1005-$C1005+1)+19,"00"),"")&amp;IF($C1005&gt;=21,", "&amp;$A1005&amp;"-"&amp;TEXT(($D1005-$C1005+1)+20,"00"),"")&amp;IF($C1005&gt;=22,", "&amp;$A1005&amp;"-"&amp;TEXT(($D1005-$C1005+1)+21,"00"),"")&amp;IF($C1005&gt;=23,", "&amp;$A1005&amp;"-"&amp;TEXT(($D1005-$C1005+1)+22,"00"),"")&amp;IF($C1005&gt;=24,", "&amp;$A1005&amp;"-"&amp;TEXT(($D1005-$C1005+1)+23,"00"),"")&amp;IF($C1005&gt;=25,", "&amp;$A1005&amp;"-"&amp;TEXT(($D1005-$C1005+1)+24,"00"),""))</f>
        <v/>
      </c>
      <c r="G1005">
        <f>IF($A1005="","",IF($E1005=1,$F1005,IF($F1005="",$G1004,IF($G1004="",$F1005,$G1004&amp;", "&amp;$F1005))))</f>
        <v/>
      </c>
      <c r="H1005">
        <f>IF($A1005="","",$A1005&amp;" ("&amp;$C1005&amp;")")</f>
        <v/>
      </c>
      <c r="I1005">
        <f>IF($A1005="","",IF($E1005=1,$H1005,$I1004&amp;", "&amp;$H1005))</f>
        <v/>
      </c>
      <c r="J1005">
        <f>IF($A1005="","",IF($E1005=1,$B1005,""))</f>
        <v/>
      </c>
      <c r="K1005">
        <f>IF($A1005="","",IF(COUNTIF($B$2:$B1005,$B1005)=COUNTIF($B$2:$B$1601,$B1005),$B1005,""))</f>
        <v/>
      </c>
    </row>
    <row r="1006">
      <c r="A1006">
        <f>IF('TMP Paste'!$E1006="","",'TMP Paste'!$E1006)</f>
        <v/>
      </c>
      <c r="B1006">
        <f>IF($A1006="","",COUNTIF('TMP Paste'!$B$2:$B1006,"?*"))</f>
        <v/>
      </c>
      <c r="C1006">
        <f>IF($A1006="","",IFERROR('TMP Paste'!$M1006*1,0))</f>
        <v/>
      </c>
      <c r="D1006">
        <f>IF($A1006="","",SUMIF($B$2:$B1006,$B1006,$C$2:$C1006))</f>
        <v/>
      </c>
      <c r="E1006">
        <f>IF($A1006="",0,IF('TMP Paste'!$B1006="",0,1))</f>
        <v/>
      </c>
      <c r="F1006">
        <f>IF(OR($A1006="",$C1006&lt;1),"",$A1006&amp;"-"&amp;TEXT(($D1006-$C1006+1),"00")&amp;IF($C1006&gt;=2,", "&amp;$A1006&amp;"-"&amp;TEXT(($D1006-$C1006+1)+1,"00"),"")&amp;IF($C1006&gt;=3,", "&amp;$A1006&amp;"-"&amp;TEXT(($D1006-$C1006+1)+2,"00"),"")&amp;IF($C1006&gt;=4,", "&amp;$A1006&amp;"-"&amp;TEXT(($D1006-$C1006+1)+3,"00"),"")&amp;IF($C1006&gt;=5,", "&amp;$A1006&amp;"-"&amp;TEXT(($D1006-$C1006+1)+4,"00"),"")&amp;IF($C1006&gt;=6,", "&amp;$A1006&amp;"-"&amp;TEXT(($D1006-$C1006+1)+5,"00"),"")&amp;IF($C1006&gt;=7,", "&amp;$A1006&amp;"-"&amp;TEXT(($D1006-$C1006+1)+6,"00"),"")&amp;IF($C1006&gt;=8,", "&amp;$A1006&amp;"-"&amp;TEXT(($D1006-$C1006+1)+7,"00"),"")&amp;IF($C1006&gt;=9,", "&amp;$A1006&amp;"-"&amp;TEXT(($D1006-$C1006+1)+8,"00"),"")&amp;IF($C1006&gt;=10,", "&amp;$A1006&amp;"-"&amp;TEXT(($D1006-$C1006+1)+9,"00"),"")&amp;IF($C1006&gt;=11,", "&amp;$A1006&amp;"-"&amp;TEXT(($D1006-$C1006+1)+10,"00"),"")&amp;IF($C1006&gt;=12,", "&amp;$A1006&amp;"-"&amp;TEXT(($D1006-$C1006+1)+11,"00"),"")&amp;IF($C1006&gt;=13,", "&amp;$A1006&amp;"-"&amp;TEXT(($D1006-$C1006+1)+12,"00"),"")&amp;IF($C1006&gt;=14,", "&amp;$A1006&amp;"-"&amp;TEXT(($D1006-$C1006+1)+13,"00"),"")&amp;IF($C1006&gt;=15,", "&amp;$A1006&amp;"-"&amp;TEXT(($D1006-$C1006+1)+14,"00"),"")&amp;IF($C1006&gt;=16,", "&amp;$A1006&amp;"-"&amp;TEXT(($D1006-$C1006+1)+15,"00"),"")&amp;IF($C1006&gt;=17,", "&amp;$A1006&amp;"-"&amp;TEXT(($D1006-$C1006+1)+16,"00"),"")&amp;IF($C1006&gt;=18,", "&amp;$A1006&amp;"-"&amp;TEXT(($D1006-$C1006+1)+17,"00"),"")&amp;IF($C1006&gt;=19,", "&amp;$A1006&amp;"-"&amp;TEXT(($D1006-$C1006+1)+18,"00"),"")&amp;IF($C1006&gt;=20,", "&amp;$A1006&amp;"-"&amp;TEXT(($D1006-$C1006+1)+19,"00"),"")&amp;IF($C1006&gt;=21,", "&amp;$A1006&amp;"-"&amp;TEXT(($D1006-$C1006+1)+20,"00"),"")&amp;IF($C1006&gt;=22,", "&amp;$A1006&amp;"-"&amp;TEXT(($D1006-$C1006+1)+21,"00"),"")&amp;IF($C1006&gt;=23,", "&amp;$A1006&amp;"-"&amp;TEXT(($D1006-$C1006+1)+22,"00"),"")&amp;IF($C1006&gt;=24,", "&amp;$A1006&amp;"-"&amp;TEXT(($D1006-$C1006+1)+23,"00"),"")&amp;IF($C1006&gt;=25,", "&amp;$A1006&amp;"-"&amp;TEXT(($D1006-$C1006+1)+24,"00"),""))</f>
        <v/>
      </c>
      <c r="G1006">
        <f>IF($A1006="","",IF($E1006=1,$F1006,IF($F1006="",$G1005,IF($G1005="",$F1006,$G1005&amp;", "&amp;$F1006))))</f>
        <v/>
      </c>
      <c r="H1006">
        <f>IF($A1006="","",$A1006&amp;" ("&amp;$C1006&amp;")")</f>
        <v/>
      </c>
      <c r="I1006">
        <f>IF($A1006="","",IF($E1006=1,$H1006,$I1005&amp;", "&amp;$H1006))</f>
        <v/>
      </c>
      <c r="J1006">
        <f>IF($A1006="","",IF($E1006=1,$B1006,""))</f>
        <v/>
      </c>
      <c r="K1006">
        <f>IF($A1006="","",IF(COUNTIF($B$2:$B1006,$B1006)=COUNTIF($B$2:$B$1601,$B1006),$B1006,""))</f>
        <v/>
      </c>
    </row>
    <row r="1007">
      <c r="A1007">
        <f>IF('TMP Paste'!$E1007="","",'TMP Paste'!$E1007)</f>
        <v/>
      </c>
      <c r="B1007">
        <f>IF($A1007="","",COUNTIF('TMP Paste'!$B$2:$B1007,"?*"))</f>
        <v/>
      </c>
      <c r="C1007">
        <f>IF($A1007="","",IFERROR('TMP Paste'!$M1007*1,0))</f>
        <v/>
      </c>
      <c r="D1007">
        <f>IF($A1007="","",SUMIF($B$2:$B1007,$B1007,$C$2:$C1007))</f>
        <v/>
      </c>
      <c r="E1007">
        <f>IF($A1007="",0,IF('TMP Paste'!$B1007="",0,1))</f>
        <v/>
      </c>
      <c r="F1007">
        <f>IF(OR($A1007="",$C1007&lt;1),"",$A1007&amp;"-"&amp;TEXT(($D1007-$C1007+1),"00")&amp;IF($C1007&gt;=2,", "&amp;$A1007&amp;"-"&amp;TEXT(($D1007-$C1007+1)+1,"00"),"")&amp;IF($C1007&gt;=3,", "&amp;$A1007&amp;"-"&amp;TEXT(($D1007-$C1007+1)+2,"00"),"")&amp;IF($C1007&gt;=4,", "&amp;$A1007&amp;"-"&amp;TEXT(($D1007-$C1007+1)+3,"00"),"")&amp;IF($C1007&gt;=5,", "&amp;$A1007&amp;"-"&amp;TEXT(($D1007-$C1007+1)+4,"00"),"")&amp;IF($C1007&gt;=6,", "&amp;$A1007&amp;"-"&amp;TEXT(($D1007-$C1007+1)+5,"00"),"")&amp;IF($C1007&gt;=7,", "&amp;$A1007&amp;"-"&amp;TEXT(($D1007-$C1007+1)+6,"00"),"")&amp;IF($C1007&gt;=8,", "&amp;$A1007&amp;"-"&amp;TEXT(($D1007-$C1007+1)+7,"00"),"")&amp;IF($C1007&gt;=9,", "&amp;$A1007&amp;"-"&amp;TEXT(($D1007-$C1007+1)+8,"00"),"")&amp;IF($C1007&gt;=10,", "&amp;$A1007&amp;"-"&amp;TEXT(($D1007-$C1007+1)+9,"00"),"")&amp;IF($C1007&gt;=11,", "&amp;$A1007&amp;"-"&amp;TEXT(($D1007-$C1007+1)+10,"00"),"")&amp;IF($C1007&gt;=12,", "&amp;$A1007&amp;"-"&amp;TEXT(($D1007-$C1007+1)+11,"00"),"")&amp;IF($C1007&gt;=13,", "&amp;$A1007&amp;"-"&amp;TEXT(($D1007-$C1007+1)+12,"00"),"")&amp;IF($C1007&gt;=14,", "&amp;$A1007&amp;"-"&amp;TEXT(($D1007-$C1007+1)+13,"00"),"")&amp;IF($C1007&gt;=15,", "&amp;$A1007&amp;"-"&amp;TEXT(($D1007-$C1007+1)+14,"00"),"")&amp;IF($C1007&gt;=16,", "&amp;$A1007&amp;"-"&amp;TEXT(($D1007-$C1007+1)+15,"00"),"")&amp;IF($C1007&gt;=17,", "&amp;$A1007&amp;"-"&amp;TEXT(($D1007-$C1007+1)+16,"00"),"")&amp;IF($C1007&gt;=18,", "&amp;$A1007&amp;"-"&amp;TEXT(($D1007-$C1007+1)+17,"00"),"")&amp;IF($C1007&gt;=19,", "&amp;$A1007&amp;"-"&amp;TEXT(($D1007-$C1007+1)+18,"00"),"")&amp;IF($C1007&gt;=20,", "&amp;$A1007&amp;"-"&amp;TEXT(($D1007-$C1007+1)+19,"00"),"")&amp;IF($C1007&gt;=21,", "&amp;$A1007&amp;"-"&amp;TEXT(($D1007-$C1007+1)+20,"00"),"")&amp;IF($C1007&gt;=22,", "&amp;$A1007&amp;"-"&amp;TEXT(($D1007-$C1007+1)+21,"00"),"")&amp;IF($C1007&gt;=23,", "&amp;$A1007&amp;"-"&amp;TEXT(($D1007-$C1007+1)+22,"00"),"")&amp;IF($C1007&gt;=24,", "&amp;$A1007&amp;"-"&amp;TEXT(($D1007-$C1007+1)+23,"00"),"")&amp;IF($C1007&gt;=25,", "&amp;$A1007&amp;"-"&amp;TEXT(($D1007-$C1007+1)+24,"00"),""))</f>
        <v/>
      </c>
      <c r="G1007">
        <f>IF($A1007="","",IF($E1007=1,$F1007,IF($F1007="",$G1006,IF($G1006="",$F1007,$G1006&amp;", "&amp;$F1007))))</f>
        <v/>
      </c>
      <c r="H1007">
        <f>IF($A1007="","",$A1007&amp;" ("&amp;$C1007&amp;")")</f>
        <v/>
      </c>
      <c r="I1007">
        <f>IF($A1007="","",IF($E1007=1,$H1007,$I1006&amp;", "&amp;$H1007))</f>
        <v/>
      </c>
      <c r="J1007">
        <f>IF($A1007="","",IF($E1007=1,$B1007,""))</f>
        <v/>
      </c>
      <c r="K1007">
        <f>IF($A1007="","",IF(COUNTIF($B$2:$B1007,$B1007)=COUNTIF($B$2:$B$1601,$B1007),$B1007,""))</f>
        <v/>
      </c>
    </row>
    <row r="1008">
      <c r="A1008">
        <f>IF('TMP Paste'!$E1008="","",'TMP Paste'!$E1008)</f>
        <v/>
      </c>
      <c r="B1008">
        <f>IF($A1008="","",COUNTIF('TMP Paste'!$B$2:$B1008,"?*"))</f>
        <v/>
      </c>
      <c r="C1008">
        <f>IF($A1008="","",IFERROR('TMP Paste'!$M1008*1,0))</f>
        <v/>
      </c>
      <c r="D1008">
        <f>IF($A1008="","",SUMIF($B$2:$B1008,$B1008,$C$2:$C1008))</f>
        <v/>
      </c>
      <c r="E1008">
        <f>IF($A1008="",0,IF('TMP Paste'!$B1008="",0,1))</f>
        <v/>
      </c>
      <c r="F1008">
        <f>IF(OR($A1008="",$C1008&lt;1),"",$A1008&amp;"-"&amp;TEXT(($D1008-$C1008+1),"00")&amp;IF($C1008&gt;=2,", "&amp;$A1008&amp;"-"&amp;TEXT(($D1008-$C1008+1)+1,"00"),"")&amp;IF($C1008&gt;=3,", "&amp;$A1008&amp;"-"&amp;TEXT(($D1008-$C1008+1)+2,"00"),"")&amp;IF($C1008&gt;=4,", "&amp;$A1008&amp;"-"&amp;TEXT(($D1008-$C1008+1)+3,"00"),"")&amp;IF($C1008&gt;=5,", "&amp;$A1008&amp;"-"&amp;TEXT(($D1008-$C1008+1)+4,"00"),"")&amp;IF($C1008&gt;=6,", "&amp;$A1008&amp;"-"&amp;TEXT(($D1008-$C1008+1)+5,"00"),"")&amp;IF($C1008&gt;=7,", "&amp;$A1008&amp;"-"&amp;TEXT(($D1008-$C1008+1)+6,"00"),"")&amp;IF($C1008&gt;=8,", "&amp;$A1008&amp;"-"&amp;TEXT(($D1008-$C1008+1)+7,"00"),"")&amp;IF($C1008&gt;=9,", "&amp;$A1008&amp;"-"&amp;TEXT(($D1008-$C1008+1)+8,"00"),"")&amp;IF($C1008&gt;=10,", "&amp;$A1008&amp;"-"&amp;TEXT(($D1008-$C1008+1)+9,"00"),"")&amp;IF($C1008&gt;=11,", "&amp;$A1008&amp;"-"&amp;TEXT(($D1008-$C1008+1)+10,"00"),"")&amp;IF($C1008&gt;=12,", "&amp;$A1008&amp;"-"&amp;TEXT(($D1008-$C1008+1)+11,"00"),"")&amp;IF($C1008&gt;=13,", "&amp;$A1008&amp;"-"&amp;TEXT(($D1008-$C1008+1)+12,"00"),"")&amp;IF($C1008&gt;=14,", "&amp;$A1008&amp;"-"&amp;TEXT(($D1008-$C1008+1)+13,"00"),"")&amp;IF($C1008&gt;=15,", "&amp;$A1008&amp;"-"&amp;TEXT(($D1008-$C1008+1)+14,"00"),"")&amp;IF($C1008&gt;=16,", "&amp;$A1008&amp;"-"&amp;TEXT(($D1008-$C1008+1)+15,"00"),"")&amp;IF($C1008&gt;=17,", "&amp;$A1008&amp;"-"&amp;TEXT(($D1008-$C1008+1)+16,"00"),"")&amp;IF($C1008&gt;=18,", "&amp;$A1008&amp;"-"&amp;TEXT(($D1008-$C1008+1)+17,"00"),"")&amp;IF($C1008&gt;=19,", "&amp;$A1008&amp;"-"&amp;TEXT(($D1008-$C1008+1)+18,"00"),"")&amp;IF($C1008&gt;=20,", "&amp;$A1008&amp;"-"&amp;TEXT(($D1008-$C1008+1)+19,"00"),"")&amp;IF($C1008&gt;=21,", "&amp;$A1008&amp;"-"&amp;TEXT(($D1008-$C1008+1)+20,"00"),"")&amp;IF($C1008&gt;=22,", "&amp;$A1008&amp;"-"&amp;TEXT(($D1008-$C1008+1)+21,"00"),"")&amp;IF($C1008&gt;=23,", "&amp;$A1008&amp;"-"&amp;TEXT(($D1008-$C1008+1)+22,"00"),"")&amp;IF($C1008&gt;=24,", "&amp;$A1008&amp;"-"&amp;TEXT(($D1008-$C1008+1)+23,"00"),"")&amp;IF($C1008&gt;=25,", "&amp;$A1008&amp;"-"&amp;TEXT(($D1008-$C1008+1)+24,"00"),""))</f>
        <v/>
      </c>
      <c r="G1008">
        <f>IF($A1008="","",IF($E1008=1,$F1008,IF($F1008="",$G1007,IF($G1007="",$F1008,$G1007&amp;", "&amp;$F1008))))</f>
        <v/>
      </c>
      <c r="H1008">
        <f>IF($A1008="","",$A1008&amp;" ("&amp;$C1008&amp;")")</f>
        <v/>
      </c>
      <c r="I1008">
        <f>IF($A1008="","",IF($E1008=1,$H1008,$I1007&amp;", "&amp;$H1008))</f>
        <v/>
      </c>
      <c r="J1008">
        <f>IF($A1008="","",IF($E1008=1,$B1008,""))</f>
        <v/>
      </c>
      <c r="K1008">
        <f>IF($A1008="","",IF(COUNTIF($B$2:$B1008,$B1008)=COUNTIF($B$2:$B$1601,$B1008),$B1008,""))</f>
        <v/>
      </c>
    </row>
    <row r="1009">
      <c r="A1009">
        <f>IF('TMP Paste'!$E1009="","",'TMP Paste'!$E1009)</f>
        <v/>
      </c>
      <c r="B1009">
        <f>IF($A1009="","",COUNTIF('TMP Paste'!$B$2:$B1009,"?*"))</f>
        <v/>
      </c>
      <c r="C1009">
        <f>IF($A1009="","",IFERROR('TMP Paste'!$M1009*1,0))</f>
        <v/>
      </c>
      <c r="D1009">
        <f>IF($A1009="","",SUMIF($B$2:$B1009,$B1009,$C$2:$C1009))</f>
        <v/>
      </c>
      <c r="E1009">
        <f>IF($A1009="",0,IF('TMP Paste'!$B1009="",0,1))</f>
        <v/>
      </c>
      <c r="F1009">
        <f>IF(OR($A1009="",$C1009&lt;1),"",$A1009&amp;"-"&amp;TEXT(($D1009-$C1009+1),"00")&amp;IF($C1009&gt;=2,", "&amp;$A1009&amp;"-"&amp;TEXT(($D1009-$C1009+1)+1,"00"),"")&amp;IF($C1009&gt;=3,", "&amp;$A1009&amp;"-"&amp;TEXT(($D1009-$C1009+1)+2,"00"),"")&amp;IF($C1009&gt;=4,", "&amp;$A1009&amp;"-"&amp;TEXT(($D1009-$C1009+1)+3,"00"),"")&amp;IF($C1009&gt;=5,", "&amp;$A1009&amp;"-"&amp;TEXT(($D1009-$C1009+1)+4,"00"),"")&amp;IF($C1009&gt;=6,", "&amp;$A1009&amp;"-"&amp;TEXT(($D1009-$C1009+1)+5,"00"),"")&amp;IF($C1009&gt;=7,", "&amp;$A1009&amp;"-"&amp;TEXT(($D1009-$C1009+1)+6,"00"),"")&amp;IF($C1009&gt;=8,", "&amp;$A1009&amp;"-"&amp;TEXT(($D1009-$C1009+1)+7,"00"),"")&amp;IF($C1009&gt;=9,", "&amp;$A1009&amp;"-"&amp;TEXT(($D1009-$C1009+1)+8,"00"),"")&amp;IF($C1009&gt;=10,", "&amp;$A1009&amp;"-"&amp;TEXT(($D1009-$C1009+1)+9,"00"),"")&amp;IF($C1009&gt;=11,", "&amp;$A1009&amp;"-"&amp;TEXT(($D1009-$C1009+1)+10,"00"),"")&amp;IF($C1009&gt;=12,", "&amp;$A1009&amp;"-"&amp;TEXT(($D1009-$C1009+1)+11,"00"),"")&amp;IF($C1009&gt;=13,", "&amp;$A1009&amp;"-"&amp;TEXT(($D1009-$C1009+1)+12,"00"),"")&amp;IF($C1009&gt;=14,", "&amp;$A1009&amp;"-"&amp;TEXT(($D1009-$C1009+1)+13,"00"),"")&amp;IF($C1009&gt;=15,", "&amp;$A1009&amp;"-"&amp;TEXT(($D1009-$C1009+1)+14,"00"),"")&amp;IF($C1009&gt;=16,", "&amp;$A1009&amp;"-"&amp;TEXT(($D1009-$C1009+1)+15,"00"),"")&amp;IF($C1009&gt;=17,", "&amp;$A1009&amp;"-"&amp;TEXT(($D1009-$C1009+1)+16,"00"),"")&amp;IF($C1009&gt;=18,", "&amp;$A1009&amp;"-"&amp;TEXT(($D1009-$C1009+1)+17,"00"),"")&amp;IF($C1009&gt;=19,", "&amp;$A1009&amp;"-"&amp;TEXT(($D1009-$C1009+1)+18,"00"),"")&amp;IF($C1009&gt;=20,", "&amp;$A1009&amp;"-"&amp;TEXT(($D1009-$C1009+1)+19,"00"),"")&amp;IF($C1009&gt;=21,", "&amp;$A1009&amp;"-"&amp;TEXT(($D1009-$C1009+1)+20,"00"),"")&amp;IF($C1009&gt;=22,", "&amp;$A1009&amp;"-"&amp;TEXT(($D1009-$C1009+1)+21,"00"),"")&amp;IF($C1009&gt;=23,", "&amp;$A1009&amp;"-"&amp;TEXT(($D1009-$C1009+1)+22,"00"),"")&amp;IF($C1009&gt;=24,", "&amp;$A1009&amp;"-"&amp;TEXT(($D1009-$C1009+1)+23,"00"),"")&amp;IF($C1009&gt;=25,", "&amp;$A1009&amp;"-"&amp;TEXT(($D1009-$C1009+1)+24,"00"),""))</f>
        <v/>
      </c>
      <c r="G1009">
        <f>IF($A1009="","",IF($E1009=1,$F1009,IF($F1009="",$G1008,IF($G1008="",$F1009,$G1008&amp;", "&amp;$F1009))))</f>
        <v/>
      </c>
      <c r="H1009">
        <f>IF($A1009="","",$A1009&amp;" ("&amp;$C1009&amp;")")</f>
        <v/>
      </c>
      <c r="I1009">
        <f>IF($A1009="","",IF($E1009=1,$H1009,$I1008&amp;", "&amp;$H1009))</f>
        <v/>
      </c>
      <c r="J1009">
        <f>IF($A1009="","",IF($E1009=1,$B1009,""))</f>
        <v/>
      </c>
      <c r="K1009">
        <f>IF($A1009="","",IF(COUNTIF($B$2:$B1009,$B1009)=COUNTIF($B$2:$B$1601,$B1009),$B1009,""))</f>
        <v/>
      </c>
    </row>
    <row r="1010">
      <c r="A1010">
        <f>IF('TMP Paste'!$E1010="","",'TMP Paste'!$E1010)</f>
        <v/>
      </c>
      <c r="B1010">
        <f>IF($A1010="","",COUNTIF('TMP Paste'!$B$2:$B1010,"?*"))</f>
        <v/>
      </c>
      <c r="C1010">
        <f>IF($A1010="","",IFERROR('TMP Paste'!$M1010*1,0))</f>
        <v/>
      </c>
      <c r="D1010">
        <f>IF($A1010="","",SUMIF($B$2:$B1010,$B1010,$C$2:$C1010))</f>
        <v/>
      </c>
      <c r="E1010">
        <f>IF($A1010="",0,IF('TMP Paste'!$B1010="",0,1))</f>
        <v/>
      </c>
      <c r="F1010">
        <f>IF(OR($A1010="",$C1010&lt;1),"",$A1010&amp;"-"&amp;TEXT(($D1010-$C1010+1),"00")&amp;IF($C1010&gt;=2,", "&amp;$A1010&amp;"-"&amp;TEXT(($D1010-$C1010+1)+1,"00"),"")&amp;IF($C1010&gt;=3,", "&amp;$A1010&amp;"-"&amp;TEXT(($D1010-$C1010+1)+2,"00"),"")&amp;IF($C1010&gt;=4,", "&amp;$A1010&amp;"-"&amp;TEXT(($D1010-$C1010+1)+3,"00"),"")&amp;IF($C1010&gt;=5,", "&amp;$A1010&amp;"-"&amp;TEXT(($D1010-$C1010+1)+4,"00"),"")&amp;IF($C1010&gt;=6,", "&amp;$A1010&amp;"-"&amp;TEXT(($D1010-$C1010+1)+5,"00"),"")&amp;IF($C1010&gt;=7,", "&amp;$A1010&amp;"-"&amp;TEXT(($D1010-$C1010+1)+6,"00"),"")&amp;IF($C1010&gt;=8,", "&amp;$A1010&amp;"-"&amp;TEXT(($D1010-$C1010+1)+7,"00"),"")&amp;IF($C1010&gt;=9,", "&amp;$A1010&amp;"-"&amp;TEXT(($D1010-$C1010+1)+8,"00"),"")&amp;IF($C1010&gt;=10,", "&amp;$A1010&amp;"-"&amp;TEXT(($D1010-$C1010+1)+9,"00"),"")&amp;IF($C1010&gt;=11,", "&amp;$A1010&amp;"-"&amp;TEXT(($D1010-$C1010+1)+10,"00"),"")&amp;IF($C1010&gt;=12,", "&amp;$A1010&amp;"-"&amp;TEXT(($D1010-$C1010+1)+11,"00"),"")&amp;IF($C1010&gt;=13,", "&amp;$A1010&amp;"-"&amp;TEXT(($D1010-$C1010+1)+12,"00"),"")&amp;IF($C1010&gt;=14,", "&amp;$A1010&amp;"-"&amp;TEXT(($D1010-$C1010+1)+13,"00"),"")&amp;IF($C1010&gt;=15,", "&amp;$A1010&amp;"-"&amp;TEXT(($D1010-$C1010+1)+14,"00"),"")&amp;IF($C1010&gt;=16,", "&amp;$A1010&amp;"-"&amp;TEXT(($D1010-$C1010+1)+15,"00"),"")&amp;IF($C1010&gt;=17,", "&amp;$A1010&amp;"-"&amp;TEXT(($D1010-$C1010+1)+16,"00"),"")&amp;IF($C1010&gt;=18,", "&amp;$A1010&amp;"-"&amp;TEXT(($D1010-$C1010+1)+17,"00"),"")&amp;IF($C1010&gt;=19,", "&amp;$A1010&amp;"-"&amp;TEXT(($D1010-$C1010+1)+18,"00"),"")&amp;IF($C1010&gt;=20,", "&amp;$A1010&amp;"-"&amp;TEXT(($D1010-$C1010+1)+19,"00"),"")&amp;IF($C1010&gt;=21,", "&amp;$A1010&amp;"-"&amp;TEXT(($D1010-$C1010+1)+20,"00"),"")&amp;IF($C1010&gt;=22,", "&amp;$A1010&amp;"-"&amp;TEXT(($D1010-$C1010+1)+21,"00"),"")&amp;IF($C1010&gt;=23,", "&amp;$A1010&amp;"-"&amp;TEXT(($D1010-$C1010+1)+22,"00"),"")&amp;IF($C1010&gt;=24,", "&amp;$A1010&amp;"-"&amp;TEXT(($D1010-$C1010+1)+23,"00"),"")&amp;IF($C1010&gt;=25,", "&amp;$A1010&amp;"-"&amp;TEXT(($D1010-$C1010+1)+24,"00"),""))</f>
        <v/>
      </c>
      <c r="G1010">
        <f>IF($A1010="","",IF($E1010=1,$F1010,IF($F1010="",$G1009,IF($G1009="",$F1010,$G1009&amp;", "&amp;$F1010))))</f>
        <v/>
      </c>
      <c r="H1010">
        <f>IF($A1010="","",$A1010&amp;" ("&amp;$C1010&amp;")")</f>
        <v/>
      </c>
      <c r="I1010">
        <f>IF($A1010="","",IF($E1010=1,$H1010,$I1009&amp;", "&amp;$H1010))</f>
        <v/>
      </c>
      <c r="J1010">
        <f>IF($A1010="","",IF($E1010=1,$B1010,""))</f>
        <v/>
      </c>
      <c r="K1010">
        <f>IF($A1010="","",IF(COUNTIF($B$2:$B1010,$B1010)=COUNTIF($B$2:$B$1601,$B1010),$B1010,""))</f>
        <v/>
      </c>
    </row>
    <row r="1011">
      <c r="A1011">
        <f>IF('TMP Paste'!$E1011="","",'TMP Paste'!$E1011)</f>
        <v/>
      </c>
      <c r="B1011">
        <f>IF($A1011="","",COUNTIF('TMP Paste'!$B$2:$B1011,"?*"))</f>
        <v/>
      </c>
      <c r="C1011">
        <f>IF($A1011="","",IFERROR('TMP Paste'!$M1011*1,0))</f>
        <v/>
      </c>
      <c r="D1011">
        <f>IF($A1011="","",SUMIF($B$2:$B1011,$B1011,$C$2:$C1011))</f>
        <v/>
      </c>
      <c r="E1011">
        <f>IF($A1011="",0,IF('TMP Paste'!$B1011="",0,1))</f>
        <v/>
      </c>
      <c r="F1011">
        <f>IF(OR($A1011="",$C1011&lt;1),"",$A1011&amp;"-"&amp;TEXT(($D1011-$C1011+1),"00")&amp;IF($C1011&gt;=2,", "&amp;$A1011&amp;"-"&amp;TEXT(($D1011-$C1011+1)+1,"00"),"")&amp;IF($C1011&gt;=3,", "&amp;$A1011&amp;"-"&amp;TEXT(($D1011-$C1011+1)+2,"00"),"")&amp;IF($C1011&gt;=4,", "&amp;$A1011&amp;"-"&amp;TEXT(($D1011-$C1011+1)+3,"00"),"")&amp;IF($C1011&gt;=5,", "&amp;$A1011&amp;"-"&amp;TEXT(($D1011-$C1011+1)+4,"00"),"")&amp;IF($C1011&gt;=6,", "&amp;$A1011&amp;"-"&amp;TEXT(($D1011-$C1011+1)+5,"00"),"")&amp;IF($C1011&gt;=7,", "&amp;$A1011&amp;"-"&amp;TEXT(($D1011-$C1011+1)+6,"00"),"")&amp;IF($C1011&gt;=8,", "&amp;$A1011&amp;"-"&amp;TEXT(($D1011-$C1011+1)+7,"00"),"")&amp;IF($C1011&gt;=9,", "&amp;$A1011&amp;"-"&amp;TEXT(($D1011-$C1011+1)+8,"00"),"")&amp;IF($C1011&gt;=10,", "&amp;$A1011&amp;"-"&amp;TEXT(($D1011-$C1011+1)+9,"00"),"")&amp;IF($C1011&gt;=11,", "&amp;$A1011&amp;"-"&amp;TEXT(($D1011-$C1011+1)+10,"00"),"")&amp;IF($C1011&gt;=12,", "&amp;$A1011&amp;"-"&amp;TEXT(($D1011-$C1011+1)+11,"00"),"")&amp;IF($C1011&gt;=13,", "&amp;$A1011&amp;"-"&amp;TEXT(($D1011-$C1011+1)+12,"00"),"")&amp;IF($C1011&gt;=14,", "&amp;$A1011&amp;"-"&amp;TEXT(($D1011-$C1011+1)+13,"00"),"")&amp;IF($C1011&gt;=15,", "&amp;$A1011&amp;"-"&amp;TEXT(($D1011-$C1011+1)+14,"00"),"")&amp;IF($C1011&gt;=16,", "&amp;$A1011&amp;"-"&amp;TEXT(($D1011-$C1011+1)+15,"00"),"")&amp;IF($C1011&gt;=17,", "&amp;$A1011&amp;"-"&amp;TEXT(($D1011-$C1011+1)+16,"00"),"")&amp;IF($C1011&gt;=18,", "&amp;$A1011&amp;"-"&amp;TEXT(($D1011-$C1011+1)+17,"00"),"")&amp;IF($C1011&gt;=19,", "&amp;$A1011&amp;"-"&amp;TEXT(($D1011-$C1011+1)+18,"00"),"")&amp;IF($C1011&gt;=20,", "&amp;$A1011&amp;"-"&amp;TEXT(($D1011-$C1011+1)+19,"00"),"")&amp;IF($C1011&gt;=21,", "&amp;$A1011&amp;"-"&amp;TEXT(($D1011-$C1011+1)+20,"00"),"")&amp;IF($C1011&gt;=22,", "&amp;$A1011&amp;"-"&amp;TEXT(($D1011-$C1011+1)+21,"00"),"")&amp;IF($C1011&gt;=23,", "&amp;$A1011&amp;"-"&amp;TEXT(($D1011-$C1011+1)+22,"00"),"")&amp;IF($C1011&gt;=24,", "&amp;$A1011&amp;"-"&amp;TEXT(($D1011-$C1011+1)+23,"00"),"")&amp;IF($C1011&gt;=25,", "&amp;$A1011&amp;"-"&amp;TEXT(($D1011-$C1011+1)+24,"00"),""))</f>
        <v/>
      </c>
      <c r="G1011">
        <f>IF($A1011="","",IF($E1011=1,$F1011,IF($F1011="",$G1010,IF($G1010="",$F1011,$G1010&amp;", "&amp;$F1011))))</f>
        <v/>
      </c>
      <c r="H1011">
        <f>IF($A1011="","",$A1011&amp;" ("&amp;$C1011&amp;")")</f>
        <v/>
      </c>
      <c r="I1011">
        <f>IF($A1011="","",IF($E1011=1,$H1011,$I1010&amp;", "&amp;$H1011))</f>
        <v/>
      </c>
      <c r="J1011">
        <f>IF($A1011="","",IF($E1011=1,$B1011,""))</f>
        <v/>
      </c>
      <c r="K1011">
        <f>IF($A1011="","",IF(COUNTIF($B$2:$B1011,$B1011)=COUNTIF($B$2:$B$1601,$B1011),$B1011,""))</f>
        <v/>
      </c>
    </row>
    <row r="1012">
      <c r="A1012">
        <f>IF('TMP Paste'!$E1012="","",'TMP Paste'!$E1012)</f>
        <v/>
      </c>
      <c r="B1012">
        <f>IF($A1012="","",COUNTIF('TMP Paste'!$B$2:$B1012,"?*"))</f>
        <v/>
      </c>
      <c r="C1012">
        <f>IF($A1012="","",IFERROR('TMP Paste'!$M1012*1,0))</f>
        <v/>
      </c>
      <c r="D1012">
        <f>IF($A1012="","",SUMIF($B$2:$B1012,$B1012,$C$2:$C1012))</f>
        <v/>
      </c>
      <c r="E1012">
        <f>IF($A1012="",0,IF('TMP Paste'!$B1012="",0,1))</f>
        <v/>
      </c>
      <c r="F1012">
        <f>IF(OR($A1012="",$C1012&lt;1),"",$A1012&amp;"-"&amp;TEXT(($D1012-$C1012+1),"00")&amp;IF($C1012&gt;=2,", "&amp;$A1012&amp;"-"&amp;TEXT(($D1012-$C1012+1)+1,"00"),"")&amp;IF($C1012&gt;=3,", "&amp;$A1012&amp;"-"&amp;TEXT(($D1012-$C1012+1)+2,"00"),"")&amp;IF($C1012&gt;=4,", "&amp;$A1012&amp;"-"&amp;TEXT(($D1012-$C1012+1)+3,"00"),"")&amp;IF($C1012&gt;=5,", "&amp;$A1012&amp;"-"&amp;TEXT(($D1012-$C1012+1)+4,"00"),"")&amp;IF($C1012&gt;=6,", "&amp;$A1012&amp;"-"&amp;TEXT(($D1012-$C1012+1)+5,"00"),"")&amp;IF($C1012&gt;=7,", "&amp;$A1012&amp;"-"&amp;TEXT(($D1012-$C1012+1)+6,"00"),"")&amp;IF($C1012&gt;=8,", "&amp;$A1012&amp;"-"&amp;TEXT(($D1012-$C1012+1)+7,"00"),"")&amp;IF($C1012&gt;=9,", "&amp;$A1012&amp;"-"&amp;TEXT(($D1012-$C1012+1)+8,"00"),"")&amp;IF($C1012&gt;=10,", "&amp;$A1012&amp;"-"&amp;TEXT(($D1012-$C1012+1)+9,"00"),"")&amp;IF($C1012&gt;=11,", "&amp;$A1012&amp;"-"&amp;TEXT(($D1012-$C1012+1)+10,"00"),"")&amp;IF($C1012&gt;=12,", "&amp;$A1012&amp;"-"&amp;TEXT(($D1012-$C1012+1)+11,"00"),"")&amp;IF($C1012&gt;=13,", "&amp;$A1012&amp;"-"&amp;TEXT(($D1012-$C1012+1)+12,"00"),"")&amp;IF($C1012&gt;=14,", "&amp;$A1012&amp;"-"&amp;TEXT(($D1012-$C1012+1)+13,"00"),"")&amp;IF($C1012&gt;=15,", "&amp;$A1012&amp;"-"&amp;TEXT(($D1012-$C1012+1)+14,"00"),"")&amp;IF($C1012&gt;=16,", "&amp;$A1012&amp;"-"&amp;TEXT(($D1012-$C1012+1)+15,"00"),"")&amp;IF($C1012&gt;=17,", "&amp;$A1012&amp;"-"&amp;TEXT(($D1012-$C1012+1)+16,"00"),"")&amp;IF($C1012&gt;=18,", "&amp;$A1012&amp;"-"&amp;TEXT(($D1012-$C1012+1)+17,"00"),"")&amp;IF($C1012&gt;=19,", "&amp;$A1012&amp;"-"&amp;TEXT(($D1012-$C1012+1)+18,"00"),"")&amp;IF($C1012&gt;=20,", "&amp;$A1012&amp;"-"&amp;TEXT(($D1012-$C1012+1)+19,"00"),"")&amp;IF($C1012&gt;=21,", "&amp;$A1012&amp;"-"&amp;TEXT(($D1012-$C1012+1)+20,"00"),"")&amp;IF($C1012&gt;=22,", "&amp;$A1012&amp;"-"&amp;TEXT(($D1012-$C1012+1)+21,"00"),"")&amp;IF($C1012&gt;=23,", "&amp;$A1012&amp;"-"&amp;TEXT(($D1012-$C1012+1)+22,"00"),"")&amp;IF($C1012&gt;=24,", "&amp;$A1012&amp;"-"&amp;TEXT(($D1012-$C1012+1)+23,"00"),"")&amp;IF($C1012&gt;=25,", "&amp;$A1012&amp;"-"&amp;TEXT(($D1012-$C1012+1)+24,"00"),""))</f>
        <v/>
      </c>
      <c r="G1012">
        <f>IF($A1012="","",IF($E1012=1,$F1012,IF($F1012="",$G1011,IF($G1011="",$F1012,$G1011&amp;", "&amp;$F1012))))</f>
        <v/>
      </c>
      <c r="H1012">
        <f>IF($A1012="","",$A1012&amp;" ("&amp;$C1012&amp;")")</f>
        <v/>
      </c>
      <c r="I1012">
        <f>IF($A1012="","",IF($E1012=1,$H1012,$I1011&amp;", "&amp;$H1012))</f>
        <v/>
      </c>
      <c r="J1012">
        <f>IF($A1012="","",IF($E1012=1,$B1012,""))</f>
        <v/>
      </c>
      <c r="K1012">
        <f>IF($A1012="","",IF(COUNTIF($B$2:$B1012,$B1012)=COUNTIF($B$2:$B$1601,$B1012),$B1012,""))</f>
        <v/>
      </c>
    </row>
    <row r="1013">
      <c r="A1013">
        <f>IF('TMP Paste'!$E1013="","",'TMP Paste'!$E1013)</f>
        <v/>
      </c>
      <c r="B1013">
        <f>IF($A1013="","",COUNTIF('TMP Paste'!$B$2:$B1013,"?*"))</f>
        <v/>
      </c>
      <c r="C1013">
        <f>IF($A1013="","",IFERROR('TMP Paste'!$M1013*1,0))</f>
        <v/>
      </c>
      <c r="D1013">
        <f>IF($A1013="","",SUMIF($B$2:$B1013,$B1013,$C$2:$C1013))</f>
        <v/>
      </c>
      <c r="E1013">
        <f>IF($A1013="",0,IF('TMP Paste'!$B1013="",0,1))</f>
        <v/>
      </c>
      <c r="F1013">
        <f>IF(OR($A1013="",$C1013&lt;1),"",$A1013&amp;"-"&amp;TEXT(($D1013-$C1013+1),"00")&amp;IF($C1013&gt;=2,", "&amp;$A1013&amp;"-"&amp;TEXT(($D1013-$C1013+1)+1,"00"),"")&amp;IF($C1013&gt;=3,", "&amp;$A1013&amp;"-"&amp;TEXT(($D1013-$C1013+1)+2,"00"),"")&amp;IF($C1013&gt;=4,", "&amp;$A1013&amp;"-"&amp;TEXT(($D1013-$C1013+1)+3,"00"),"")&amp;IF($C1013&gt;=5,", "&amp;$A1013&amp;"-"&amp;TEXT(($D1013-$C1013+1)+4,"00"),"")&amp;IF($C1013&gt;=6,", "&amp;$A1013&amp;"-"&amp;TEXT(($D1013-$C1013+1)+5,"00"),"")&amp;IF($C1013&gt;=7,", "&amp;$A1013&amp;"-"&amp;TEXT(($D1013-$C1013+1)+6,"00"),"")&amp;IF($C1013&gt;=8,", "&amp;$A1013&amp;"-"&amp;TEXT(($D1013-$C1013+1)+7,"00"),"")&amp;IF($C1013&gt;=9,", "&amp;$A1013&amp;"-"&amp;TEXT(($D1013-$C1013+1)+8,"00"),"")&amp;IF($C1013&gt;=10,", "&amp;$A1013&amp;"-"&amp;TEXT(($D1013-$C1013+1)+9,"00"),"")&amp;IF($C1013&gt;=11,", "&amp;$A1013&amp;"-"&amp;TEXT(($D1013-$C1013+1)+10,"00"),"")&amp;IF($C1013&gt;=12,", "&amp;$A1013&amp;"-"&amp;TEXT(($D1013-$C1013+1)+11,"00"),"")&amp;IF($C1013&gt;=13,", "&amp;$A1013&amp;"-"&amp;TEXT(($D1013-$C1013+1)+12,"00"),"")&amp;IF($C1013&gt;=14,", "&amp;$A1013&amp;"-"&amp;TEXT(($D1013-$C1013+1)+13,"00"),"")&amp;IF($C1013&gt;=15,", "&amp;$A1013&amp;"-"&amp;TEXT(($D1013-$C1013+1)+14,"00"),"")&amp;IF($C1013&gt;=16,", "&amp;$A1013&amp;"-"&amp;TEXT(($D1013-$C1013+1)+15,"00"),"")&amp;IF($C1013&gt;=17,", "&amp;$A1013&amp;"-"&amp;TEXT(($D1013-$C1013+1)+16,"00"),"")&amp;IF($C1013&gt;=18,", "&amp;$A1013&amp;"-"&amp;TEXT(($D1013-$C1013+1)+17,"00"),"")&amp;IF($C1013&gt;=19,", "&amp;$A1013&amp;"-"&amp;TEXT(($D1013-$C1013+1)+18,"00"),"")&amp;IF($C1013&gt;=20,", "&amp;$A1013&amp;"-"&amp;TEXT(($D1013-$C1013+1)+19,"00"),"")&amp;IF($C1013&gt;=21,", "&amp;$A1013&amp;"-"&amp;TEXT(($D1013-$C1013+1)+20,"00"),"")&amp;IF($C1013&gt;=22,", "&amp;$A1013&amp;"-"&amp;TEXT(($D1013-$C1013+1)+21,"00"),"")&amp;IF($C1013&gt;=23,", "&amp;$A1013&amp;"-"&amp;TEXT(($D1013-$C1013+1)+22,"00"),"")&amp;IF($C1013&gt;=24,", "&amp;$A1013&amp;"-"&amp;TEXT(($D1013-$C1013+1)+23,"00"),"")&amp;IF($C1013&gt;=25,", "&amp;$A1013&amp;"-"&amp;TEXT(($D1013-$C1013+1)+24,"00"),""))</f>
        <v/>
      </c>
      <c r="G1013">
        <f>IF($A1013="","",IF($E1013=1,$F1013,IF($F1013="",$G1012,IF($G1012="",$F1013,$G1012&amp;", "&amp;$F1013))))</f>
        <v/>
      </c>
      <c r="H1013">
        <f>IF($A1013="","",$A1013&amp;" ("&amp;$C1013&amp;")")</f>
        <v/>
      </c>
      <c r="I1013">
        <f>IF($A1013="","",IF($E1013=1,$H1013,$I1012&amp;", "&amp;$H1013))</f>
        <v/>
      </c>
      <c r="J1013">
        <f>IF($A1013="","",IF($E1013=1,$B1013,""))</f>
        <v/>
      </c>
      <c r="K1013">
        <f>IF($A1013="","",IF(COUNTIF($B$2:$B1013,$B1013)=COUNTIF($B$2:$B$1601,$B1013),$B1013,""))</f>
        <v/>
      </c>
    </row>
    <row r="1014">
      <c r="A1014">
        <f>IF('TMP Paste'!$E1014="","",'TMP Paste'!$E1014)</f>
        <v/>
      </c>
      <c r="B1014">
        <f>IF($A1014="","",COUNTIF('TMP Paste'!$B$2:$B1014,"?*"))</f>
        <v/>
      </c>
      <c r="C1014">
        <f>IF($A1014="","",IFERROR('TMP Paste'!$M1014*1,0))</f>
        <v/>
      </c>
      <c r="D1014">
        <f>IF($A1014="","",SUMIF($B$2:$B1014,$B1014,$C$2:$C1014))</f>
        <v/>
      </c>
      <c r="E1014">
        <f>IF($A1014="",0,IF('TMP Paste'!$B1014="",0,1))</f>
        <v/>
      </c>
      <c r="F1014">
        <f>IF(OR($A1014="",$C1014&lt;1),"",$A1014&amp;"-"&amp;TEXT(($D1014-$C1014+1),"00")&amp;IF($C1014&gt;=2,", "&amp;$A1014&amp;"-"&amp;TEXT(($D1014-$C1014+1)+1,"00"),"")&amp;IF($C1014&gt;=3,", "&amp;$A1014&amp;"-"&amp;TEXT(($D1014-$C1014+1)+2,"00"),"")&amp;IF($C1014&gt;=4,", "&amp;$A1014&amp;"-"&amp;TEXT(($D1014-$C1014+1)+3,"00"),"")&amp;IF($C1014&gt;=5,", "&amp;$A1014&amp;"-"&amp;TEXT(($D1014-$C1014+1)+4,"00"),"")&amp;IF($C1014&gt;=6,", "&amp;$A1014&amp;"-"&amp;TEXT(($D1014-$C1014+1)+5,"00"),"")&amp;IF($C1014&gt;=7,", "&amp;$A1014&amp;"-"&amp;TEXT(($D1014-$C1014+1)+6,"00"),"")&amp;IF($C1014&gt;=8,", "&amp;$A1014&amp;"-"&amp;TEXT(($D1014-$C1014+1)+7,"00"),"")&amp;IF($C1014&gt;=9,", "&amp;$A1014&amp;"-"&amp;TEXT(($D1014-$C1014+1)+8,"00"),"")&amp;IF($C1014&gt;=10,", "&amp;$A1014&amp;"-"&amp;TEXT(($D1014-$C1014+1)+9,"00"),"")&amp;IF($C1014&gt;=11,", "&amp;$A1014&amp;"-"&amp;TEXT(($D1014-$C1014+1)+10,"00"),"")&amp;IF($C1014&gt;=12,", "&amp;$A1014&amp;"-"&amp;TEXT(($D1014-$C1014+1)+11,"00"),"")&amp;IF($C1014&gt;=13,", "&amp;$A1014&amp;"-"&amp;TEXT(($D1014-$C1014+1)+12,"00"),"")&amp;IF($C1014&gt;=14,", "&amp;$A1014&amp;"-"&amp;TEXT(($D1014-$C1014+1)+13,"00"),"")&amp;IF($C1014&gt;=15,", "&amp;$A1014&amp;"-"&amp;TEXT(($D1014-$C1014+1)+14,"00"),"")&amp;IF($C1014&gt;=16,", "&amp;$A1014&amp;"-"&amp;TEXT(($D1014-$C1014+1)+15,"00"),"")&amp;IF($C1014&gt;=17,", "&amp;$A1014&amp;"-"&amp;TEXT(($D1014-$C1014+1)+16,"00"),"")&amp;IF($C1014&gt;=18,", "&amp;$A1014&amp;"-"&amp;TEXT(($D1014-$C1014+1)+17,"00"),"")&amp;IF($C1014&gt;=19,", "&amp;$A1014&amp;"-"&amp;TEXT(($D1014-$C1014+1)+18,"00"),"")&amp;IF($C1014&gt;=20,", "&amp;$A1014&amp;"-"&amp;TEXT(($D1014-$C1014+1)+19,"00"),"")&amp;IF($C1014&gt;=21,", "&amp;$A1014&amp;"-"&amp;TEXT(($D1014-$C1014+1)+20,"00"),"")&amp;IF($C1014&gt;=22,", "&amp;$A1014&amp;"-"&amp;TEXT(($D1014-$C1014+1)+21,"00"),"")&amp;IF($C1014&gt;=23,", "&amp;$A1014&amp;"-"&amp;TEXT(($D1014-$C1014+1)+22,"00"),"")&amp;IF($C1014&gt;=24,", "&amp;$A1014&amp;"-"&amp;TEXT(($D1014-$C1014+1)+23,"00"),"")&amp;IF($C1014&gt;=25,", "&amp;$A1014&amp;"-"&amp;TEXT(($D1014-$C1014+1)+24,"00"),""))</f>
        <v/>
      </c>
      <c r="G1014">
        <f>IF($A1014="","",IF($E1014=1,$F1014,IF($F1014="",$G1013,IF($G1013="",$F1014,$G1013&amp;", "&amp;$F1014))))</f>
        <v/>
      </c>
      <c r="H1014">
        <f>IF($A1014="","",$A1014&amp;" ("&amp;$C1014&amp;")")</f>
        <v/>
      </c>
      <c r="I1014">
        <f>IF($A1014="","",IF($E1014=1,$H1014,$I1013&amp;", "&amp;$H1014))</f>
        <v/>
      </c>
      <c r="J1014">
        <f>IF($A1014="","",IF($E1014=1,$B1014,""))</f>
        <v/>
      </c>
      <c r="K1014">
        <f>IF($A1014="","",IF(COUNTIF($B$2:$B1014,$B1014)=COUNTIF($B$2:$B$1601,$B1014),$B1014,""))</f>
        <v/>
      </c>
    </row>
    <row r="1015">
      <c r="A1015">
        <f>IF('TMP Paste'!$E1015="","",'TMP Paste'!$E1015)</f>
        <v/>
      </c>
      <c r="B1015">
        <f>IF($A1015="","",COUNTIF('TMP Paste'!$B$2:$B1015,"?*"))</f>
        <v/>
      </c>
      <c r="C1015">
        <f>IF($A1015="","",IFERROR('TMP Paste'!$M1015*1,0))</f>
        <v/>
      </c>
      <c r="D1015">
        <f>IF($A1015="","",SUMIF($B$2:$B1015,$B1015,$C$2:$C1015))</f>
        <v/>
      </c>
      <c r="E1015">
        <f>IF($A1015="",0,IF('TMP Paste'!$B1015="",0,1))</f>
        <v/>
      </c>
      <c r="F1015">
        <f>IF(OR($A1015="",$C1015&lt;1),"",$A1015&amp;"-"&amp;TEXT(($D1015-$C1015+1),"00")&amp;IF($C1015&gt;=2,", "&amp;$A1015&amp;"-"&amp;TEXT(($D1015-$C1015+1)+1,"00"),"")&amp;IF($C1015&gt;=3,", "&amp;$A1015&amp;"-"&amp;TEXT(($D1015-$C1015+1)+2,"00"),"")&amp;IF($C1015&gt;=4,", "&amp;$A1015&amp;"-"&amp;TEXT(($D1015-$C1015+1)+3,"00"),"")&amp;IF($C1015&gt;=5,", "&amp;$A1015&amp;"-"&amp;TEXT(($D1015-$C1015+1)+4,"00"),"")&amp;IF($C1015&gt;=6,", "&amp;$A1015&amp;"-"&amp;TEXT(($D1015-$C1015+1)+5,"00"),"")&amp;IF($C1015&gt;=7,", "&amp;$A1015&amp;"-"&amp;TEXT(($D1015-$C1015+1)+6,"00"),"")&amp;IF($C1015&gt;=8,", "&amp;$A1015&amp;"-"&amp;TEXT(($D1015-$C1015+1)+7,"00"),"")&amp;IF($C1015&gt;=9,", "&amp;$A1015&amp;"-"&amp;TEXT(($D1015-$C1015+1)+8,"00"),"")&amp;IF($C1015&gt;=10,", "&amp;$A1015&amp;"-"&amp;TEXT(($D1015-$C1015+1)+9,"00"),"")&amp;IF($C1015&gt;=11,", "&amp;$A1015&amp;"-"&amp;TEXT(($D1015-$C1015+1)+10,"00"),"")&amp;IF($C1015&gt;=12,", "&amp;$A1015&amp;"-"&amp;TEXT(($D1015-$C1015+1)+11,"00"),"")&amp;IF($C1015&gt;=13,", "&amp;$A1015&amp;"-"&amp;TEXT(($D1015-$C1015+1)+12,"00"),"")&amp;IF($C1015&gt;=14,", "&amp;$A1015&amp;"-"&amp;TEXT(($D1015-$C1015+1)+13,"00"),"")&amp;IF($C1015&gt;=15,", "&amp;$A1015&amp;"-"&amp;TEXT(($D1015-$C1015+1)+14,"00"),"")&amp;IF($C1015&gt;=16,", "&amp;$A1015&amp;"-"&amp;TEXT(($D1015-$C1015+1)+15,"00"),"")&amp;IF($C1015&gt;=17,", "&amp;$A1015&amp;"-"&amp;TEXT(($D1015-$C1015+1)+16,"00"),"")&amp;IF($C1015&gt;=18,", "&amp;$A1015&amp;"-"&amp;TEXT(($D1015-$C1015+1)+17,"00"),"")&amp;IF($C1015&gt;=19,", "&amp;$A1015&amp;"-"&amp;TEXT(($D1015-$C1015+1)+18,"00"),"")&amp;IF($C1015&gt;=20,", "&amp;$A1015&amp;"-"&amp;TEXT(($D1015-$C1015+1)+19,"00"),"")&amp;IF($C1015&gt;=21,", "&amp;$A1015&amp;"-"&amp;TEXT(($D1015-$C1015+1)+20,"00"),"")&amp;IF($C1015&gt;=22,", "&amp;$A1015&amp;"-"&amp;TEXT(($D1015-$C1015+1)+21,"00"),"")&amp;IF($C1015&gt;=23,", "&amp;$A1015&amp;"-"&amp;TEXT(($D1015-$C1015+1)+22,"00"),"")&amp;IF($C1015&gt;=24,", "&amp;$A1015&amp;"-"&amp;TEXT(($D1015-$C1015+1)+23,"00"),"")&amp;IF($C1015&gt;=25,", "&amp;$A1015&amp;"-"&amp;TEXT(($D1015-$C1015+1)+24,"00"),""))</f>
        <v/>
      </c>
      <c r="G1015">
        <f>IF($A1015="","",IF($E1015=1,$F1015,IF($F1015="",$G1014,IF($G1014="",$F1015,$G1014&amp;", "&amp;$F1015))))</f>
        <v/>
      </c>
      <c r="H1015">
        <f>IF($A1015="","",$A1015&amp;" ("&amp;$C1015&amp;")")</f>
        <v/>
      </c>
      <c r="I1015">
        <f>IF($A1015="","",IF($E1015=1,$H1015,$I1014&amp;", "&amp;$H1015))</f>
        <v/>
      </c>
      <c r="J1015">
        <f>IF($A1015="","",IF($E1015=1,$B1015,""))</f>
        <v/>
      </c>
      <c r="K1015">
        <f>IF($A1015="","",IF(COUNTIF($B$2:$B1015,$B1015)=COUNTIF($B$2:$B$1601,$B1015),$B1015,""))</f>
        <v/>
      </c>
    </row>
    <row r="1016">
      <c r="A1016">
        <f>IF('TMP Paste'!$E1016="","",'TMP Paste'!$E1016)</f>
        <v/>
      </c>
      <c r="B1016">
        <f>IF($A1016="","",COUNTIF('TMP Paste'!$B$2:$B1016,"?*"))</f>
        <v/>
      </c>
      <c r="C1016">
        <f>IF($A1016="","",IFERROR('TMP Paste'!$M1016*1,0))</f>
        <v/>
      </c>
      <c r="D1016">
        <f>IF($A1016="","",SUMIF($B$2:$B1016,$B1016,$C$2:$C1016))</f>
        <v/>
      </c>
      <c r="E1016">
        <f>IF($A1016="",0,IF('TMP Paste'!$B1016="",0,1))</f>
        <v/>
      </c>
      <c r="F1016">
        <f>IF(OR($A1016="",$C1016&lt;1),"",$A1016&amp;"-"&amp;TEXT(($D1016-$C1016+1),"00")&amp;IF($C1016&gt;=2,", "&amp;$A1016&amp;"-"&amp;TEXT(($D1016-$C1016+1)+1,"00"),"")&amp;IF($C1016&gt;=3,", "&amp;$A1016&amp;"-"&amp;TEXT(($D1016-$C1016+1)+2,"00"),"")&amp;IF($C1016&gt;=4,", "&amp;$A1016&amp;"-"&amp;TEXT(($D1016-$C1016+1)+3,"00"),"")&amp;IF($C1016&gt;=5,", "&amp;$A1016&amp;"-"&amp;TEXT(($D1016-$C1016+1)+4,"00"),"")&amp;IF($C1016&gt;=6,", "&amp;$A1016&amp;"-"&amp;TEXT(($D1016-$C1016+1)+5,"00"),"")&amp;IF($C1016&gt;=7,", "&amp;$A1016&amp;"-"&amp;TEXT(($D1016-$C1016+1)+6,"00"),"")&amp;IF($C1016&gt;=8,", "&amp;$A1016&amp;"-"&amp;TEXT(($D1016-$C1016+1)+7,"00"),"")&amp;IF($C1016&gt;=9,", "&amp;$A1016&amp;"-"&amp;TEXT(($D1016-$C1016+1)+8,"00"),"")&amp;IF($C1016&gt;=10,", "&amp;$A1016&amp;"-"&amp;TEXT(($D1016-$C1016+1)+9,"00"),"")&amp;IF($C1016&gt;=11,", "&amp;$A1016&amp;"-"&amp;TEXT(($D1016-$C1016+1)+10,"00"),"")&amp;IF($C1016&gt;=12,", "&amp;$A1016&amp;"-"&amp;TEXT(($D1016-$C1016+1)+11,"00"),"")&amp;IF($C1016&gt;=13,", "&amp;$A1016&amp;"-"&amp;TEXT(($D1016-$C1016+1)+12,"00"),"")&amp;IF($C1016&gt;=14,", "&amp;$A1016&amp;"-"&amp;TEXT(($D1016-$C1016+1)+13,"00"),"")&amp;IF($C1016&gt;=15,", "&amp;$A1016&amp;"-"&amp;TEXT(($D1016-$C1016+1)+14,"00"),"")&amp;IF($C1016&gt;=16,", "&amp;$A1016&amp;"-"&amp;TEXT(($D1016-$C1016+1)+15,"00"),"")&amp;IF($C1016&gt;=17,", "&amp;$A1016&amp;"-"&amp;TEXT(($D1016-$C1016+1)+16,"00"),"")&amp;IF($C1016&gt;=18,", "&amp;$A1016&amp;"-"&amp;TEXT(($D1016-$C1016+1)+17,"00"),"")&amp;IF($C1016&gt;=19,", "&amp;$A1016&amp;"-"&amp;TEXT(($D1016-$C1016+1)+18,"00"),"")&amp;IF($C1016&gt;=20,", "&amp;$A1016&amp;"-"&amp;TEXT(($D1016-$C1016+1)+19,"00"),"")&amp;IF($C1016&gt;=21,", "&amp;$A1016&amp;"-"&amp;TEXT(($D1016-$C1016+1)+20,"00"),"")&amp;IF($C1016&gt;=22,", "&amp;$A1016&amp;"-"&amp;TEXT(($D1016-$C1016+1)+21,"00"),"")&amp;IF($C1016&gt;=23,", "&amp;$A1016&amp;"-"&amp;TEXT(($D1016-$C1016+1)+22,"00"),"")&amp;IF($C1016&gt;=24,", "&amp;$A1016&amp;"-"&amp;TEXT(($D1016-$C1016+1)+23,"00"),"")&amp;IF($C1016&gt;=25,", "&amp;$A1016&amp;"-"&amp;TEXT(($D1016-$C1016+1)+24,"00"),""))</f>
        <v/>
      </c>
      <c r="G1016">
        <f>IF($A1016="","",IF($E1016=1,$F1016,IF($F1016="",$G1015,IF($G1015="",$F1016,$G1015&amp;", "&amp;$F1016))))</f>
        <v/>
      </c>
      <c r="H1016">
        <f>IF($A1016="","",$A1016&amp;" ("&amp;$C1016&amp;")")</f>
        <v/>
      </c>
      <c r="I1016">
        <f>IF($A1016="","",IF($E1016=1,$H1016,$I1015&amp;", "&amp;$H1016))</f>
        <v/>
      </c>
      <c r="J1016">
        <f>IF($A1016="","",IF($E1016=1,$B1016,""))</f>
        <v/>
      </c>
      <c r="K1016">
        <f>IF($A1016="","",IF(COUNTIF($B$2:$B1016,$B1016)=COUNTIF($B$2:$B$1601,$B1016),$B1016,""))</f>
        <v/>
      </c>
    </row>
    <row r="1017">
      <c r="A1017">
        <f>IF('TMP Paste'!$E1017="","",'TMP Paste'!$E1017)</f>
        <v/>
      </c>
      <c r="B1017">
        <f>IF($A1017="","",COUNTIF('TMP Paste'!$B$2:$B1017,"?*"))</f>
        <v/>
      </c>
      <c r="C1017">
        <f>IF($A1017="","",IFERROR('TMP Paste'!$M1017*1,0))</f>
        <v/>
      </c>
      <c r="D1017">
        <f>IF($A1017="","",SUMIF($B$2:$B1017,$B1017,$C$2:$C1017))</f>
        <v/>
      </c>
      <c r="E1017">
        <f>IF($A1017="",0,IF('TMP Paste'!$B1017="",0,1))</f>
        <v/>
      </c>
      <c r="F1017">
        <f>IF(OR($A1017="",$C1017&lt;1),"",$A1017&amp;"-"&amp;TEXT(($D1017-$C1017+1),"00")&amp;IF($C1017&gt;=2,", "&amp;$A1017&amp;"-"&amp;TEXT(($D1017-$C1017+1)+1,"00"),"")&amp;IF($C1017&gt;=3,", "&amp;$A1017&amp;"-"&amp;TEXT(($D1017-$C1017+1)+2,"00"),"")&amp;IF($C1017&gt;=4,", "&amp;$A1017&amp;"-"&amp;TEXT(($D1017-$C1017+1)+3,"00"),"")&amp;IF($C1017&gt;=5,", "&amp;$A1017&amp;"-"&amp;TEXT(($D1017-$C1017+1)+4,"00"),"")&amp;IF($C1017&gt;=6,", "&amp;$A1017&amp;"-"&amp;TEXT(($D1017-$C1017+1)+5,"00"),"")&amp;IF($C1017&gt;=7,", "&amp;$A1017&amp;"-"&amp;TEXT(($D1017-$C1017+1)+6,"00"),"")&amp;IF($C1017&gt;=8,", "&amp;$A1017&amp;"-"&amp;TEXT(($D1017-$C1017+1)+7,"00"),"")&amp;IF($C1017&gt;=9,", "&amp;$A1017&amp;"-"&amp;TEXT(($D1017-$C1017+1)+8,"00"),"")&amp;IF($C1017&gt;=10,", "&amp;$A1017&amp;"-"&amp;TEXT(($D1017-$C1017+1)+9,"00"),"")&amp;IF($C1017&gt;=11,", "&amp;$A1017&amp;"-"&amp;TEXT(($D1017-$C1017+1)+10,"00"),"")&amp;IF($C1017&gt;=12,", "&amp;$A1017&amp;"-"&amp;TEXT(($D1017-$C1017+1)+11,"00"),"")&amp;IF($C1017&gt;=13,", "&amp;$A1017&amp;"-"&amp;TEXT(($D1017-$C1017+1)+12,"00"),"")&amp;IF($C1017&gt;=14,", "&amp;$A1017&amp;"-"&amp;TEXT(($D1017-$C1017+1)+13,"00"),"")&amp;IF($C1017&gt;=15,", "&amp;$A1017&amp;"-"&amp;TEXT(($D1017-$C1017+1)+14,"00"),"")&amp;IF($C1017&gt;=16,", "&amp;$A1017&amp;"-"&amp;TEXT(($D1017-$C1017+1)+15,"00"),"")&amp;IF($C1017&gt;=17,", "&amp;$A1017&amp;"-"&amp;TEXT(($D1017-$C1017+1)+16,"00"),"")&amp;IF($C1017&gt;=18,", "&amp;$A1017&amp;"-"&amp;TEXT(($D1017-$C1017+1)+17,"00"),"")&amp;IF($C1017&gt;=19,", "&amp;$A1017&amp;"-"&amp;TEXT(($D1017-$C1017+1)+18,"00"),"")&amp;IF($C1017&gt;=20,", "&amp;$A1017&amp;"-"&amp;TEXT(($D1017-$C1017+1)+19,"00"),"")&amp;IF($C1017&gt;=21,", "&amp;$A1017&amp;"-"&amp;TEXT(($D1017-$C1017+1)+20,"00"),"")&amp;IF($C1017&gt;=22,", "&amp;$A1017&amp;"-"&amp;TEXT(($D1017-$C1017+1)+21,"00"),"")&amp;IF($C1017&gt;=23,", "&amp;$A1017&amp;"-"&amp;TEXT(($D1017-$C1017+1)+22,"00"),"")&amp;IF($C1017&gt;=24,", "&amp;$A1017&amp;"-"&amp;TEXT(($D1017-$C1017+1)+23,"00"),"")&amp;IF($C1017&gt;=25,", "&amp;$A1017&amp;"-"&amp;TEXT(($D1017-$C1017+1)+24,"00"),""))</f>
        <v/>
      </c>
      <c r="G1017">
        <f>IF($A1017="","",IF($E1017=1,$F1017,IF($F1017="",$G1016,IF($G1016="",$F1017,$G1016&amp;", "&amp;$F1017))))</f>
        <v/>
      </c>
      <c r="H1017">
        <f>IF($A1017="","",$A1017&amp;" ("&amp;$C1017&amp;")")</f>
        <v/>
      </c>
      <c r="I1017">
        <f>IF($A1017="","",IF($E1017=1,$H1017,$I1016&amp;", "&amp;$H1017))</f>
        <v/>
      </c>
      <c r="J1017">
        <f>IF($A1017="","",IF($E1017=1,$B1017,""))</f>
        <v/>
      </c>
      <c r="K1017">
        <f>IF($A1017="","",IF(COUNTIF($B$2:$B1017,$B1017)=COUNTIF($B$2:$B$1601,$B1017),$B1017,""))</f>
        <v/>
      </c>
    </row>
    <row r="1018">
      <c r="A1018">
        <f>IF('TMP Paste'!$E1018="","",'TMP Paste'!$E1018)</f>
        <v/>
      </c>
      <c r="B1018">
        <f>IF($A1018="","",COUNTIF('TMP Paste'!$B$2:$B1018,"?*"))</f>
        <v/>
      </c>
      <c r="C1018">
        <f>IF($A1018="","",IFERROR('TMP Paste'!$M1018*1,0))</f>
        <v/>
      </c>
      <c r="D1018">
        <f>IF($A1018="","",SUMIF($B$2:$B1018,$B1018,$C$2:$C1018))</f>
        <v/>
      </c>
      <c r="E1018">
        <f>IF($A1018="",0,IF('TMP Paste'!$B1018="",0,1))</f>
        <v/>
      </c>
      <c r="F1018">
        <f>IF(OR($A1018="",$C1018&lt;1),"",$A1018&amp;"-"&amp;TEXT(($D1018-$C1018+1),"00")&amp;IF($C1018&gt;=2,", "&amp;$A1018&amp;"-"&amp;TEXT(($D1018-$C1018+1)+1,"00"),"")&amp;IF($C1018&gt;=3,", "&amp;$A1018&amp;"-"&amp;TEXT(($D1018-$C1018+1)+2,"00"),"")&amp;IF($C1018&gt;=4,", "&amp;$A1018&amp;"-"&amp;TEXT(($D1018-$C1018+1)+3,"00"),"")&amp;IF($C1018&gt;=5,", "&amp;$A1018&amp;"-"&amp;TEXT(($D1018-$C1018+1)+4,"00"),"")&amp;IF($C1018&gt;=6,", "&amp;$A1018&amp;"-"&amp;TEXT(($D1018-$C1018+1)+5,"00"),"")&amp;IF($C1018&gt;=7,", "&amp;$A1018&amp;"-"&amp;TEXT(($D1018-$C1018+1)+6,"00"),"")&amp;IF($C1018&gt;=8,", "&amp;$A1018&amp;"-"&amp;TEXT(($D1018-$C1018+1)+7,"00"),"")&amp;IF($C1018&gt;=9,", "&amp;$A1018&amp;"-"&amp;TEXT(($D1018-$C1018+1)+8,"00"),"")&amp;IF($C1018&gt;=10,", "&amp;$A1018&amp;"-"&amp;TEXT(($D1018-$C1018+1)+9,"00"),"")&amp;IF($C1018&gt;=11,", "&amp;$A1018&amp;"-"&amp;TEXT(($D1018-$C1018+1)+10,"00"),"")&amp;IF($C1018&gt;=12,", "&amp;$A1018&amp;"-"&amp;TEXT(($D1018-$C1018+1)+11,"00"),"")&amp;IF($C1018&gt;=13,", "&amp;$A1018&amp;"-"&amp;TEXT(($D1018-$C1018+1)+12,"00"),"")&amp;IF($C1018&gt;=14,", "&amp;$A1018&amp;"-"&amp;TEXT(($D1018-$C1018+1)+13,"00"),"")&amp;IF($C1018&gt;=15,", "&amp;$A1018&amp;"-"&amp;TEXT(($D1018-$C1018+1)+14,"00"),"")&amp;IF($C1018&gt;=16,", "&amp;$A1018&amp;"-"&amp;TEXT(($D1018-$C1018+1)+15,"00"),"")&amp;IF($C1018&gt;=17,", "&amp;$A1018&amp;"-"&amp;TEXT(($D1018-$C1018+1)+16,"00"),"")&amp;IF($C1018&gt;=18,", "&amp;$A1018&amp;"-"&amp;TEXT(($D1018-$C1018+1)+17,"00"),"")&amp;IF($C1018&gt;=19,", "&amp;$A1018&amp;"-"&amp;TEXT(($D1018-$C1018+1)+18,"00"),"")&amp;IF($C1018&gt;=20,", "&amp;$A1018&amp;"-"&amp;TEXT(($D1018-$C1018+1)+19,"00"),"")&amp;IF($C1018&gt;=21,", "&amp;$A1018&amp;"-"&amp;TEXT(($D1018-$C1018+1)+20,"00"),"")&amp;IF($C1018&gt;=22,", "&amp;$A1018&amp;"-"&amp;TEXT(($D1018-$C1018+1)+21,"00"),"")&amp;IF($C1018&gt;=23,", "&amp;$A1018&amp;"-"&amp;TEXT(($D1018-$C1018+1)+22,"00"),"")&amp;IF($C1018&gt;=24,", "&amp;$A1018&amp;"-"&amp;TEXT(($D1018-$C1018+1)+23,"00"),"")&amp;IF($C1018&gt;=25,", "&amp;$A1018&amp;"-"&amp;TEXT(($D1018-$C1018+1)+24,"00"),""))</f>
        <v/>
      </c>
      <c r="G1018">
        <f>IF($A1018="","",IF($E1018=1,$F1018,IF($F1018="",$G1017,IF($G1017="",$F1018,$G1017&amp;", "&amp;$F1018))))</f>
        <v/>
      </c>
      <c r="H1018">
        <f>IF($A1018="","",$A1018&amp;" ("&amp;$C1018&amp;")")</f>
        <v/>
      </c>
      <c r="I1018">
        <f>IF($A1018="","",IF($E1018=1,$H1018,$I1017&amp;", "&amp;$H1018))</f>
        <v/>
      </c>
      <c r="J1018">
        <f>IF($A1018="","",IF($E1018=1,$B1018,""))</f>
        <v/>
      </c>
      <c r="K1018">
        <f>IF($A1018="","",IF(COUNTIF($B$2:$B1018,$B1018)=COUNTIF($B$2:$B$1601,$B1018),$B1018,""))</f>
        <v/>
      </c>
    </row>
    <row r="1019">
      <c r="A1019">
        <f>IF('TMP Paste'!$E1019="","",'TMP Paste'!$E1019)</f>
        <v/>
      </c>
      <c r="B1019">
        <f>IF($A1019="","",COUNTIF('TMP Paste'!$B$2:$B1019,"?*"))</f>
        <v/>
      </c>
      <c r="C1019">
        <f>IF($A1019="","",IFERROR('TMP Paste'!$M1019*1,0))</f>
        <v/>
      </c>
      <c r="D1019">
        <f>IF($A1019="","",SUMIF($B$2:$B1019,$B1019,$C$2:$C1019))</f>
        <v/>
      </c>
      <c r="E1019">
        <f>IF($A1019="",0,IF('TMP Paste'!$B1019="",0,1))</f>
        <v/>
      </c>
      <c r="F1019">
        <f>IF(OR($A1019="",$C1019&lt;1),"",$A1019&amp;"-"&amp;TEXT(($D1019-$C1019+1),"00")&amp;IF($C1019&gt;=2,", "&amp;$A1019&amp;"-"&amp;TEXT(($D1019-$C1019+1)+1,"00"),"")&amp;IF($C1019&gt;=3,", "&amp;$A1019&amp;"-"&amp;TEXT(($D1019-$C1019+1)+2,"00"),"")&amp;IF($C1019&gt;=4,", "&amp;$A1019&amp;"-"&amp;TEXT(($D1019-$C1019+1)+3,"00"),"")&amp;IF($C1019&gt;=5,", "&amp;$A1019&amp;"-"&amp;TEXT(($D1019-$C1019+1)+4,"00"),"")&amp;IF($C1019&gt;=6,", "&amp;$A1019&amp;"-"&amp;TEXT(($D1019-$C1019+1)+5,"00"),"")&amp;IF($C1019&gt;=7,", "&amp;$A1019&amp;"-"&amp;TEXT(($D1019-$C1019+1)+6,"00"),"")&amp;IF($C1019&gt;=8,", "&amp;$A1019&amp;"-"&amp;TEXT(($D1019-$C1019+1)+7,"00"),"")&amp;IF($C1019&gt;=9,", "&amp;$A1019&amp;"-"&amp;TEXT(($D1019-$C1019+1)+8,"00"),"")&amp;IF($C1019&gt;=10,", "&amp;$A1019&amp;"-"&amp;TEXT(($D1019-$C1019+1)+9,"00"),"")&amp;IF($C1019&gt;=11,", "&amp;$A1019&amp;"-"&amp;TEXT(($D1019-$C1019+1)+10,"00"),"")&amp;IF($C1019&gt;=12,", "&amp;$A1019&amp;"-"&amp;TEXT(($D1019-$C1019+1)+11,"00"),"")&amp;IF($C1019&gt;=13,", "&amp;$A1019&amp;"-"&amp;TEXT(($D1019-$C1019+1)+12,"00"),"")&amp;IF($C1019&gt;=14,", "&amp;$A1019&amp;"-"&amp;TEXT(($D1019-$C1019+1)+13,"00"),"")&amp;IF($C1019&gt;=15,", "&amp;$A1019&amp;"-"&amp;TEXT(($D1019-$C1019+1)+14,"00"),"")&amp;IF($C1019&gt;=16,", "&amp;$A1019&amp;"-"&amp;TEXT(($D1019-$C1019+1)+15,"00"),"")&amp;IF($C1019&gt;=17,", "&amp;$A1019&amp;"-"&amp;TEXT(($D1019-$C1019+1)+16,"00"),"")&amp;IF($C1019&gt;=18,", "&amp;$A1019&amp;"-"&amp;TEXT(($D1019-$C1019+1)+17,"00"),"")&amp;IF($C1019&gt;=19,", "&amp;$A1019&amp;"-"&amp;TEXT(($D1019-$C1019+1)+18,"00"),"")&amp;IF($C1019&gt;=20,", "&amp;$A1019&amp;"-"&amp;TEXT(($D1019-$C1019+1)+19,"00"),"")&amp;IF($C1019&gt;=21,", "&amp;$A1019&amp;"-"&amp;TEXT(($D1019-$C1019+1)+20,"00"),"")&amp;IF($C1019&gt;=22,", "&amp;$A1019&amp;"-"&amp;TEXT(($D1019-$C1019+1)+21,"00"),"")&amp;IF($C1019&gt;=23,", "&amp;$A1019&amp;"-"&amp;TEXT(($D1019-$C1019+1)+22,"00"),"")&amp;IF($C1019&gt;=24,", "&amp;$A1019&amp;"-"&amp;TEXT(($D1019-$C1019+1)+23,"00"),"")&amp;IF($C1019&gt;=25,", "&amp;$A1019&amp;"-"&amp;TEXT(($D1019-$C1019+1)+24,"00"),""))</f>
        <v/>
      </c>
      <c r="G1019">
        <f>IF($A1019="","",IF($E1019=1,$F1019,IF($F1019="",$G1018,IF($G1018="",$F1019,$G1018&amp;", "&amp;$F1019))))</f>
        <v/>
      </c>
      <c r="H1019">
        <f>IF($A1019="","",$A1019&amp;" ("&amp;$C1019&amp;")")</f>
        <v/>
      </c>
      <c r="I1019">
        <f>IF($A1019="","",IF($E1019=1,$H1019,$I1018&amp;", "&amp;$H1019))</f>
        <v/>
      </c>
      <c r="J1019">
        <f>IF($A1019="","",IF($E1019=1,$B1019,""))</f>
        <v/>
      </c>
      <c r="K1019">
        <f>IF($A1019="","",IF(COUNTIF($B$2:$B1019,$B1019)=COUNTIF($B$2:$B$1601,$B1019),$B1019,""))</f>
        <v/>
      </c>
    </row>
    <row r="1020">
      <c r="A1020">
        <f>IF('TMP Paste'!$E1020="","",'TMP Paste'!$E1020)</f>
        <v/>
      </c>
      <c r="B1020">
        <f>IF($A1020="","",COUNTIF('TMP Paste'!$B$2:$B1020,"?*"))</f>
        <v/>
      </c>
      <c r="C1020">
        <f>IF($A1020="","",IFERROR('TMP Paste'!$M1020*1,0))</f>
        <v/>
      </c>
      <c r="D1020">
        <f>IF($A1020="","",SUMIF($B$2:$B1020,$B1020,$C$2:$C1020))</f>
        <v/>
      </c>
      <c r="E1020">
        <f>IF($A1020="",0,IF('TMP Paste'!$B1020="",0,1))</f>
        <v/>
      </c>
      <c r="F1020">
        <f>IF(OR($A1020="",$C1020&lt;1),"",$A1020&amp;"-"&amp;TEXT(($D1020-$C1020+1),"00")&amp;IF($C1020&gt;=2,", "&amp;$A1020&amp;"-"&amp;TEXT(($D1020-$C1020+1)+1,"00"),"")&amp;IF($C1020&gt;=3,", "&amp;$A1020&amp;"-"&amp;TEXT(($D1020-$C1020+1)+2,"00"),"")&amp;IF($C1020&gt;=4,", "&amp;$A1020&amp;"-"&amp;TEXT(($D1020-$C1020+1)+3,"00"),"")&amp;IF($C1020&gt;=5,", "&amp;$A1020&amp;"-"&amp;TEXT(($D1020-$C1020+1)+4,"00"),"")&amp;IF($C1020&gt;=6,", "&amp;$A1020&amp;"-"&amp;TEXT(($D1020-$C1020+1)+5,"00"),"")&amp;IF($C1020&gt;=7,", "&amp;$A1020&amp;"-"&amp;TEXT(($D1020-$C1020+1)+6,"00"),"")&amp;IF($C1020&gt;=8,", "&amp;$A1020&amp;"-"&amp;TEXT(($D1020-$C1020+1)+7,"00"),"")&amp;IF($C1020&gt;=9,", "&amp;$A1020&amp;"-"&amp;TEXT(($D1020-$C1020+1)+8,"00"),"")&amp;IF($C1020&gt;=10,", "&amp;$A1020&amp;"-"&amp;TEXT(($D1020-$C1020+1)+9,"00"),"")&amp;IF($C1020&gt;=11,", "&amp;$A1020&amp;"-"&amp;TEXT(($D1020-$C1020+1)+10,"00"),"")&amp;IF($C1020&gt;=12,", "&amp;$A1020&amp;"-"&amp;TEXT(($D1020-$C1020+1)+11,"00"),"")&amp;IF($C1020&gt;=13,", "&amp;$A1020&amp;"-"&amp;TEXT(($D1020-$C1020+1)+12,"00"),"")&amp;IF($C1020&gt;=14,", "&amp;$A1020&amp;"-"&amp;TEXT(($D1020-$C1020+1)+13,"00"),"")&amp;IF($C1020&gt;=15,", "&amp;$A1020&amp;"-"&amp;TEXT(($D1020-$C1020+1)+14,"00"),"")&amp;IF($C1020&gt;=16,", "&amp;$A1020&amp;"-"&amp;TEXT(($D1020-$C1020+1)+15,"00"),"")&amp;IF($C1020&gt;=17,", "&amp;$A1020&amp;"-"&amp;TEXT(($D1020-$C1020+1)+16,"00"),"")&amp;IF($C1020&gt;=18,", "&amp;$A1020&amp;"-"&amp;TEXT(($D1020-$C1020+1)+17,"00"),"")&amp;IF($C1020&gt;=19,", "&amp;$A1020&amp;"-"&amp;TEXT(($D1020-$C1020+1)+18,"00"),"")&amp;IF($C1020&gt;=20,", "&amp;$A1020&amp;"-"&amp;TEXT(($D1020-$C1020+1)+19,"00"),"")&amp;IF($C1020&gt;=21,", "&amp;$A1020&amp;"-"&amp;TEXT(($D1020-$C1020+1)+20,"00"),"")&amp;IF($C1020&gt;=22,", "&amp;$A1020&amp;"-"&amp;TEXT(($D1020-$C1020+1)+21,"00"),"")&amp;IF($C1020&gt;=23,", "&amp;$A1020&amp;"-"&amp;TEXT(($D1020-$C1020+1)+22,"00"),"")&amp;IF($C1020&gt;=24,", "&amp;$A1020&amp;"-"&amp;TEXT(($D1020-$C1020+1)+23,"00"),"")&amp;IF($C1020&gt;=25,", "&amp;$A1020&amp;"-"&amp;TEXT(($D1020-$C1020+1)+24,"00"),""))</f>
        <v/>
      </c>
      <c r="G1020">
        <f>IF($A1020="","",IF($E1020=1,$F1020,IF($F1020="",$G1019,IF($G1019="",$F1020,$G1019&amp;", "&amp;$F1020))))</f>
        <v/>
      </c>
      <c r="H1020">
        <f>IF($A1020="","",$A1020&amp;" ("&amp;$C1020&amp;")")</f>
        <v/>
      </c>
      <c r="I1020">
        <f>IF($A1020="","",IF($E1020=1,$H1020,$I1019&amp;", "&amp;$H1020))</f>
        <v/>
      </c>
      <c r="J1020">
        <f>IF($A1020="","",IF($E1020=1,$B1020,""))</f>
        <v/>
      </c>
      <c r="K1020">
        <f>IF($A1020="","",IF(COUNTIF($B$2:$B1020,$B1020)=COUNTIF($B$2:$B$1601,$B1020),$B1020,""))</f>
        <v/>
      </c>
    </row>
    <row r="1021">
      <c r="A1021">
        <f>IF('TMP Paste'!$E1021="","",'TMP Paste'!$E1021)</f>
        <v/>
      </c>
      <c r="B1021">
        <f>IF($A1021="","",COUNTIF('TMP Paste'!$B$2:$B1021,"?*"))</f>
        <v/>
      </c>
      <c r="C1021">
        <f>IF($A1021="","",IFERROR('TMP Paste'!$M1021*1,0))</f>
        <v/>
      </c>
      <c r="D1021">
        <f>IF($A1021="","",SUMIF($B$2:$B1021,$B1021,$C$2:$C1021))</f>
        <v/>
      </c>
      <c r="E1021">
        <f>IF($A1021="",0,IF('TMP Paste'!$B1021="",0,1))</f>
        <v/>
      </c>
      <c r="F1021">
        <f>IF(OR($A1021="",$C1021&lt;1),"",$A1021&amp;"-"&amp;TEXT(($D1021-$C1021+1),"00")&amp;IF($C1021&gt;=2,", "&amp;$A1021&amp;"-"&amp;TEXT(($D1021-$C1021+1)+1,"00"),"")&amp;IF($C1021&gt;=3,", "&amp;$A1021&amp;"-"&amp;TEXT(($D1021-$C1021+1)+2,"00"),"")&amp;IF($C1021&gt;=4,", "&amp;$A1021&amp;"-"&amp;TEXT(($D1021-$C1021+1)+3,"00"),"")&amp;IF($C1021&gt;=5,", "&amp;$A1021&amp;"-"&amp;TEXT(($D1021-$C1021+1)+4,"00"),"")&amp;IF($C1021&gt;=6,", "&amp;$A1021&amp;"-"&amp;TEXT(($D1021-$C1021+1)+5,"00"),"")&amp;IF($C1021&gt;=7,", "&amp;$A1021&amp;"-"&amp;TEXT(($D1021-$C1021+1)+6,"00"),"")&amp;IF($C1021&gt;=8,", "&amp;$A1021&amp;"-"&amp;TEXT(($D1021-$C1021+1)+7,"00"),"")&amp;IF($C1021&gt;=9,", "&amp;$A1021&amp;"-"&amp;TEXT(($D1021-$C1021+1)+8,"00"),"")&amp;IF($C1021&gt;=10,", "&amp;$A1021&amp;"-"&amp;TEXT(($D1021-$C1021+1)+9,"00"),"")&amp;IF($C1021&gt;=11,", "&amp;$A1021&amp;"-"&amp;TEXT(($D1021-$C1021+1)+10,"00"),"")&amp;IF($C1021&gt;=12,", "&amp;$A1021&amp;"-"&amp;TEXT(($D1021-$C1021+1)+11,"00"),"")&amp;IF($C1021&gt;=13,", "&amp;$A1021&amp;"-"&amp;TEXT(($D1021-$C1021+1)+12,"00"),"")&amp;IF($C1021&gt;=14,", "&amp;$A1021&amp;"-"&amp;TEXT(($D1021-$C1021+1)+13,"00"),"")&amp;IF($C1021&gt;=15,", "&amp;$A1021&amp;"-"&amp;TEXT(($D1021-$C1021+1)+14,"00"),"")&amp;IF($C1021&gt;=16,", "&amp;$A1021&amp;"-"&amp;TEXT(($D1021-$C1021+1)+15,"00"),"")&amp;IF($C1021&gt;=17,", "&amp;$A1021&amp;"-"&amp;TEXT(($D1021-$C1021+1)+16,"00"),"")&amp;IF($C1021&gt;=18,", "&amp;$A1021&amp;"-"&amp;TEXT(($D1021-$C1021+1)+17,"00"),"")&amp;IF($C1021&gt;=19,", "&amp;$A1021&amp;"-"&amp;TEXT(($D1021-$C1021+1)+18,"00"),"")&amp;IF($C1021&gt;=20,", "&amp;$A1021&amp;"-"&amp;TEXT(($D1021-$C1021+1)+19,"00"),"")&amp;IF($C1021&gt;=21,", "&amp;$A1021&amp;"-"&amp;TEXT(($D1021-$C1021+1)+20,"00"),"")&amp;IF($C1021&gt;=22,", "&amp;$A1021&amp;"-"&amp;TEXT(($D1021-$C1021+1)+21,"00"),"")&amp;IF($C1021&gt;=23,", "&amp;$A1021&amp;"-"&amp;TEXT(($D1021-$C1021+1)+22,"00"),"")&amp;IF($C1021&gt;=24,", "&amp;$A1021&amp;"-"&amp;TEXT(($D1021-$C1021+1)+23,"00"),"")&amp;IF($C1021&gt;=25,", "&amp;$A1021&amp;"-"&amp;TEXT(($D1021-$C1021+1)+24,"00"),""))</f>
        <v/>
      </c>
      <c r="G1021">
        <f>IF($A1021="","",IF($E1021=1,$F1021,IF($F1021="",$G1020,IF($G1020="",$F1021,$G1020&amp;", "&amp;$F1021))))</f>
        <v/>
      </c>
      <c r="H1021">
        <f>IF($A1021="","",$A1021&amp;" ("&amp;$C1021&amp;")")</f>
        <v/>
      </c>
      <c r="I1021">
        <f>IF($A1021="","",IF($E1021=1,$H1021,$I1020&amp;", "&amp;$H1021))</f>
        <v/>
      </c>
      <c r="J1021">
        <f>IF($A1021="","",IF($E1021=1,$B1021,""))</f>
        <v/>
      </c>
      <c r="K1021">
        <f>IF($A1021="","",IF(COUNTIF($B$2:$B1021,$B1021)=COUNTIF($B$2:$B$1601,$B1021),$B1021,""))</f>
        <v/>
      </c>
    </row>
    <row r="1022">
      <c r="A1022">
        <f>IF('TMP Paste'!$E1022="","",'TMP Paste'!$E1022)</f>
        <v/>
      </c>
      <c r="B1022">
        <f>IF($A1022="","",COUNTIF('TMP Paste'!$B$2:$B1022,"?*"))</f>
        <v/>
      </c>
      <c r="C1022">
        <f>IF($A1022="","",IFERROR('TMP Paste'!$M1022*1,0))</f>
        <v/>
      </c>
      <c r="D1022">
        <f>IF($A1022="","",SUMIF($B$2:$B1022,$B1022,$C$2:$C1022))</f>
        <v/>
      </c>
      <c r="E1022">
        <f>IF($A1022="",0,IF('TMP Paste'!$B1022="",0,1))</f>
        <v/>
      </c>
      <c r="F1022">
        <f>IF(OR($A1022="",$C1022&lt;1),"",$A1022&amp;"-"&amp;TEXT(($D1022-$C1022+1),"00")&amp;IF($C1022&gt;=2,", "&amp;$A1022&amp;"-"&amp;TEXT(($D1022-$C1022+1)+1,"00"),"")&amp;IF($C1022&gt;=3,", "&amp;$A1022&amp;"-"&amp;TEXT(($D1022-$C1022+1)+2,"00"),"")&amp;IF($C1022&gt;=4,", "&amp;$A1022&amp;"-"&amp;TEXT(($D1022-$C1022+1)+3,"00"),"")&amp;IF($C1022&gt;=5,", "&amp;$A1022&amp;"-"&amp;TEXT(($D1022-$C1022+1)+4,"00"),"")&amp;IF($C1022&gt;=6,", "&amp;$A1022&amp;"-"&amp;TEXT(($D1022-$C1022+1)+5,"00"),"")&amp;IF($C1022&gt;=7,", "&amp;$A1022&amp;"-"&amp;TEXT(($D1022-$C1022+1)+6,"00"),"")&amp;IF($C1022&gt;=8,", "&amp;$A1022&amp;"-"&amp;TEXT(($D1022-$C1022+1)+7,"00"),"")&amp;IF($C1022&gt;=9,", "&amp;$A1022&amp;"-"&amp;TEXT(($D1022-$C1022+1)+8,"00"),"")&amp;IF($C1022&gt;=10,", "&amp;$A1022&amp;"-"&amp;TEXT(($D1022-$C1022+1)+9,"00"),"")&amp;IF($C1022&gt;=11,", "&amp;$A1022&amp;"-"&amp;TEXT(($D1022-$C1022+1)+10,"00"),"")&amp;IF($C1022&gt;=12,", "&amp;$A1022&amp;"-"&amp;TEXT(($D1022-$C1022+1)+11,"00"),"")&amp;IF($C1022&gt;=13,", "&amp;$A1022&amp;"-"&amp;TEXT(($D1022-$C1022+1)+12,"00"),"")&amp;IF($C1022&gt;=14,", "&amp;$A1022&amp;"-"&amp;TEXT(($D1022-$C1022+1)+13,"00"),"")&amp;IF($C1022&gt;=15,", "&amp;$A1022&amp;"-"&amp;TEXT(($D1022-$C1022+1)+14,"00"),"")&amp;IF($C1022&gt;=16,", "&amp;$A1022&amp;"-"&amp;TEXT(($D1022-$C1022+1)+15,"00"),"")&amp;IF($C1022&gt;=17,", "&amp;$A1022&amp;"-"&amp;TEXT(($D1022-$C1022+1)+16,"00"),"")&amp;IF($C1022&gt;=18,", "&amp;$A1022&amp;"-"&amp;TEXT(($D1022-$C1022+1)+17,"00"),"")&amp;IF($C1022&gt;=19,", "&amp;$A1022&amp;"-"&amp;TEXT(($D1022-$C1022+1)+18,"00"),"")&amp;IF($C1022&gt;=20,", "&amp;$A1022&amp;"-"&amp;TEXT(($D1022-$C1022+1)+19,"00"),"")&amp;IF($C1022&gt;=21,", "&amp;$A1022&amp;"-"&amp;TEXT(($D1022-$C1022+1)+20,"00"),"")&amp;IF($C1022&gt;=22,", "&amp;$A1022&amp;"-"&amp;TEXT(($D1022-$C1022+1)+21,"00"),"")&amp;IF($C1022&gt;=23,", "&amp;$A1022&amp;"-"&amp;TEXT(($D1022-$C1022+1)+22,"00"),"")&amp;IF($C1022&gt;=24,", "&amp;$A1022&amp;"-"&amp;TEXT(($D1022-$C1022+1)+23,"00"),"")&amp;IF($C1022&gt;=25,", "&amp;$A1022&amp;"-"&amp;TEXT(($D1022-$C1022+1)+24,"00"),""))</f>
        <v/>
      </c>
      <c r="G1022">
        <f>IF($A1022="","",IF($E1022=1,$F1022,IF($F1022="",$G1021,IF($G1021="",$F1022,$G1021&amp;", "&amp;$F1022))))</f>
        <v/>
      </c>
      <c r="H1022">
        <f>IF($A1022="","",$A1022&amp;" ("&amp;$C1022&amp;")")</f>
        <v/>
      </c>
      <c r="I1022">
        <f>IF($A1022="","",IF($E1022=1,$H1022,$I1021&amp;", "&amp;$H1022))</f>
        <v/>
      </c>
      <c r="J1022">
        <f>IF($A1022="","",IF($E1022=1,$B1022,""))</f>
        <v/>
      </c>
      <c r="K1022">
        <f>IF($A1022="","",IF(COUNTIF($B$2:$B1022,$B1022)=COUNTIF($B$2:$B$1601,$B1022),$B1022,""))</f>
        <v/>
      </c>
    </row>
    <row r="1023">
      <c r="A1023">
        <f>IF('TMP Paste'!$E1023="","",'TMP Paste'!$E1023)</f>
        <v/>
      </c>
      <c r="B1023">
        <f>IF($A1023="","",COUNTIF('TMP Paste'!$B$2:$B1023,"?*"))</f>
        <v/>
      </c>
      <c r="C1023">
        <f>IF($A1023="","",IFERROR('TMP Paste'!$M1023*1,0))</f>
        <v/>
      </c>
      <c r="D1023">
        <f>IF($A1023="","",SUMIF($B$2:$B1023,$B1023,$C$2:$C1023))</f>
        <v/>
      </c>
      <c r="E1023">
        <f>IF($A1023="",0,IF('TMP Paste'!$B1023="",0,1))</f>
        <v/>
      </c>
      <c r="F1023">
        <f>IF(OR($A1023="",$C1023&lt;1),"",$A1023&amp;"-"&amp;TEXT(($D1023-$C1023+1),"00")&amp;IF($C1023&gt;=2,", "&amp;$A1023&amp;"-"&amp;TEXT(($D1023-$C1023+1)+1,"00"),"")&amp;IF($C1023&gt;=3,", "&amp;$A1023&amp;"-"&amp;TEXT(($D1023-$C1023+1)+2,"00"),"")&amp;IF($C1023&gt;=4,", "&amp;$A1023&amp;"-"&amp;TEXT(($D1023-$C1023+1)+3,"00"),"")&amp;IF($C1023&gt;=5,", "&amp;$A1023&amp;"-"&amp;TEXT(($D1023-$C1023+1)+4,"00"),"")&amp;IF($C1023&gt;=6,", "&amp;$A1023&amp;"-"&amp;TEXT(($D1023-$C1023+1)+5,"00"),"")&amp;IF($C1023&gt;=7,", "&amp;$A1023&amp;"-"&amp;TEXT(($D1023-$C1023+1)+6,"00"),"")&amp;IF($C1023&gt;=8,", "&amp;$A1023&amp;"-"&amp;TEXT(($D1023-$C1023+1)+7,"00"),"")&amp;IF($C1023&gt;=9,", "&amp;$A1023&amp;"-"&amp;TEXT(($D1023-$C1023+1)+8,"00"),"")&amp;IF($C1023&gt;=10,", "&amp;$A1023&amp;"-"&amp;TEXT(($D1023-$C1023+1)+9,"00"),"")&amp;IF($C1023&gt;=11,", "&amp;$A1023&amp;"-"&amp;TEXT(($D1023-$C1023+1)+10,"00"),"")&amp;IF($C1023&gt;=12,", "&amp;$A1023&amp;"-"&amp;TEXT(($D1023-$C1023+1)+11,"00"),"")&amp;IF($C1023&gt;=13,", "&amp;$A1023&amp;"-"&amp;TEXT(($D1023-$C1023+1)+12,"00"),"")&amp;IF($C1023&gt;=14,", "&amp;$A1023&amp;"-"&amp;TEXT(($D1023-$C1023+1)+13,"00"),"")&amp;IF($C1023&gt;=15,", "&amp;$A1023&amp;"-"&amp;TEXT(($D1023-$C1023+1)+14,"00"),"")&amp;IF($C1023&gt;=16,", "&amp;$A1023&amp;"-"&amp;TEXT(($D1023-$C1023+1)+15,"00"),"")&amp;IF($C1023&gt;=17,", "&amp;$A1023&amp;"-"&amp;TEXT(($D1023-$C1023+1)+16,"00"),"")&amp;IF($C1023&gt;=18,", "&amp;$A1023&amp;"-"&amp;TEXT(($D1023-$C1023+1)+17,"00"),"")&amp;IF($C1023&gt;=19,", "&amp;$A1023&amp;"-"&amp;TEXT(($D1023-$C1023+1)+18,"00"),"")&amp;IF($C1023&gt;=20,", "&amp;$A1023&amp;"-"&amp;TEXT(($D1023-$C1023+1)+19,"00"),"")&amp;IF($C1023&gt;=21,", "&amp;$A1023&amp;"-"&amp;TEXT(($D1023-$C1023+1)+20,"00"),"")&amp;IF($C1023&gt;=22,", "&amp;$A1023&amp;"-"&amp;TEXT(($D1023-$C1023+1)+21,"00"),"")&amp;IF($C1023&gt;=23,", "&amp;$A1023&amp;"-"&amp;TEXT(($D1023-$C1023+1)+22,"00"),"")&amp;IF($C1023&gt;=24,", "&amp;$A1023&amp;"-"&amp;TEXT(($D1023-$C1023+1)+23,"00"),"")&amp;IF($C1023&gt;=25,", "&amp;$A1023&amp;"-"&amp;TEXT(($D1023-$C1023+1)+24,"00"),""))</f>
        <v/>
      </c>
      <c r="G1023">
        <f>IF($A1023="","",IF($E1023=1,$F1023,IF($F1023="",$G1022,IF($G1022="",$F1023,$G1022&amp;", "&amp;$F1023))))</f>
        <v/>
      </c>
      <c r="H1023">
        <f>IF($A1023="","",$A1023&amp;" ("&amp;$C1023&amp;")")</f>
        <v/>
      </c>
      <c r="I1023">
        <f>IF($A1023="","",IF($E1023=1,$H1023,$I1022&amp;", "&amp;$H1023))</f>
        <v/>
      </c>
      <c r="J1023">
        <f>IF($A1023="","",IF($E1023=1,$B1023,""))</f>
        <v/>
      </c>
      <c r="K1023">
        <f>IF($A1023="","",IF(COUNTIF($B$2:$B1023,$B1023)=COUNTIF($B$2:$B$1601,$B1023),$B1023,""))</f>
        <v/>
      </c>
    </row>
    <row r="1024">
      <c r="A1024">
        <f>IF('TMP Paste'!$E1024="","",'TMP Paste'!$E1024)</f>
        <v/>
      </c>
      <c r="B1024">
        <f>IF($A1024="","",COUNTIF('TMP Paste'!$B$2:$B1024,"?*"))</f>
        <v/>
      </c>
      <c r="C1024">
        <f>IF($A1024="","",IFERROR('TMP Paste'!$M1024*1,0))</f>
        <v/>
      </c>
      <c r="D1024">
        <f>IF($A1024="","",SUMIF($B$2:$B1024,$B1024,$C$2:$C1024))</f>
        <v/>
      </c>
      <c r="E1024">
        <f>IF($A1024="",0,IF('TMP Paste'!$B1024="",0,1))</f>
        <v/>
      </c>
      <c r="F1024">
        <f>IF(OR($A1024="",$C1024&lt;1),"",$A1024&amp;"-"&amp;TEXT(($D1024-$C1024+1),"00")&amp;IF($C1024&gt;=2,", "&amp;$A1024&amp;"-"&amp;TEXT(($D1024-$C1024+1)+1,"00"),"")&amp;IF($C1024&gt;=3,", "&amp;$A1024&amp;"-"&amp;TEXT(($D1024-$C1024+1)+2,"00"),"")&amp;IF($C1024&gt;=4,", "&amp;$A1024&amp;"-"&amp;TEXT(($D1024-$C1024+1)+3,"00"),"")&amp;IF($C1024&gt;=5,", "&amp;$A1024&amp;"-"&amp;TEXT(($D1024-$C1024+1)+4,"00"),"")&amp;IF($C1024&gt;=6,", "&amp;$A1024&amp;"-"&amp;TEXT(($D1024-$C1024+1)+5,"00"),"")&amp;IF($C1024&gt;=7,", "&amp;$A1024&amp;"-"&amp;TEXT(($D1024-$C1024+1)+6,"00"),"")&amp;IF($C1024&gt;=8,", "&amp;$A1024&amp;"-"&amp;TEXT(($D1024-$C1024+1)+7,"00"),"")&amp;IF($C1024&gt;=9,", "&amp;$A1024&amp;"-"&amp;TEXT(($D1024-$C1024+1)+8,"00"),"")&amp;IF($C1024&gt;=10,", "&amp;$A1024&amp;"-"&amp;TEXT(($D1024-$C1024+1)+9,"00"),"")&amp;IF($C1024&gt;=11,", "&amp;$A1024&amp;"-"&amp;TEXT(($D1024-$C1024+1)+10,"00"),"")&amp;IF($C1024&gt;=12,", "&amp;$A1024&amp;"-"&amp;TEXT(($D1024-$C1024+1)+11,"00"),"")&amp;IF($C1024&gt;=13,", "&amp;$A1024&amp;"-"&amp;TEXT(($D1024-$C1024+1)+12,"00"),"")&amp;IF($C1024&gt;=14,", "&amp;$A1024&amp;"-"&amp;TEXT(($D1024-$C1024+1)+13,"00"),"")&amp;IF($C1024&gt;=15,", "&amp;$A1024&amp;"-"&amp;TEXT(($D1024-$C1024+1)+14,"00"),"")&amp;IF($C1024&gt;=16,", "&amp;$A1024&amp;"-"&amp;TEXT(($D1024-$C1024+1)+15,"00"),"")&amp;IF($C1024&gt;=17,", "&amp;$A1024&amp;"-"&amp;TEXT(($D1024-$C1024+1)+16,"00"),"")&amp;IF($C1024&gt;=18,", "&amp;$A1024&amp;"-"&amp;TEXT(($D1024-$C1024+1)+17,"00"),"")&amp;IF($C1024&gt;=19,", "&amp;$A1024&amp;"-"&amp;TEXT(($D1024-$C1024+1)+18,"00"),"")&amp;IF($C1024&gt;=20,", "&amp;$A1024&amp;"-"&amp;TEXT(($D1024-$C1024+1)+19,"00"),"")&amp;IF($C1024&gt;=21,", "&amp;$A1024&amp;"-"&amp;TEXT(($D1024-$C1024+1)+20,"00"),"")&amp;IF($C1024&gt;=22,", "&amp;$A1024&amp;"-"&amp;TEXT(($D1024-$C1024+1)+21,"00"),"")&amp;IF($C1024&gt;=23,", "&amp;$A1024&amp;"-"&amp;TEXT(($D1024-$C1024+1)+22,"00"),"")&amp;IF($C1024&gt;=24,", "&amp;$A1024&amp;"-"&amp;TEXT(($D1024-$C1024+1)+23,"00"),"")&amp;IF($C1024&gt;=25,", "&amp;$A1024&amp;"-"&amp;TEXT(($D1024-$C1024+1)+24,"00"),""))</f>
        <v/>
      </c>
      <c r="G1024">
        <f>IF($A1024="","",IF($E1024=1,$F1024,IF($F1024="",$G1023,IF($G1023="",$F1024,$G1023&amp;", "&amp;$F1024))))</f>
        <v/>
      </c>
      <c r="H1024">
        <f>IF($A1024="","",$A1024&amp;" ("&amp;$C1024&amp;")")</f>
        <v/>
      </c>
      <c r="I1024">
        <f>IF($A1024="","",IF($E1024=1,$H1024,$I1023&amp;", "&amp;$H1024))</f>
        <v/>
      </c>
      <c r="J1024">
        <f>IF($A1024="","",IF($E1024=1,$B1024,""))</f>
        <v/>
      </c>
      <c r="K1024">
        <f>IF($A1024="","",IF(COUNTIF($B$2:$B1024,$B1024)=COUNTIF($B$2:$B$1601,$B1024),$B1024,""))</f>
        <v/>
      </c>
    </row>
    <row r="1025">
      <c r="A1025">
        <f>IF('TMP Paste'!$E1025="","",'TMP Paste'!$E1025)</f>
        <v/>
      </c>
      <c r="B1025">
        <f>IF($A1025="","",COUNTIF('TMP Paste'!$B$2:$B1025,"?*"))</f>
        <v/>
      </c>
      <c r="C1025">
        <f>IF($A1025="","",IFERROR('TMP Paste'!$M1025*1,0))</f>
        <v/>
      </c>
      <c r="D1025">
        <f>IF($A1025="","",SUMIF($B$2:$B1025,$B1025,$C$2:$C1025))</f>
        <v/>
      </c>
      <c r="E1025">
        <f>IF($A1025="",0,IF('TMP Paste'!$B1025="",0,1))</f>
        <v/>
      </c>
      <c r="F1025">
        <f>IF(OR($A1025="",$C1025&lt;1),"",$A1025&amp;"-"&amp;TEXT(($D1025-$C1025+1),"00")&amp;IF($C1025&gt;=2,", "&amp;$A1025&amp;"-"&amp;TEXT(($D1025-$C1025+1)+1,"00"),"")&amp;IF($C1025&gt;=3,", "&amp;$A1025&amp;"-"&amp;TEXT(($D1025-$C1025+1)+2,"00"),"")&amp;IF($C1025&gt;=4,", "&amp;$A1025&amp;"-"&amp;TEXT(($D1025-$C1025+1)+3,"00"),"")&amp;IF($C1025&gt;=5,", "&amp;$A1025&amp;"-"&amp;TEXT(($D1025-$C1025+1)+4,"00"),"")&amp;IF($C1025&gt;=6,", "&amp;$A1025&amp;"-"&amp;TEXT(($D1025-$C1025+1)+5,"00"),"")&amp;IF($C1025&gt;=7,", "&amp;$A1025&amp;"-"&amp;TEXT(($D1025-$C1025+1)+6,"00"),"")&amp;IF($C1025&gt;=8,", "&amp;$A1025&amp;"-"&amp;TEXT(($D1025-$C1025+1)+7,"00"),"")&amp;IF($C1025&gt;=9,", "&amp;$A1025&amp;"-"&amp;TEXT(($D1025-$C1025+1)+8,"00"),"")&amp;IF($C1025&gt;=10,", "&amp;$A1025&amp;"-"&amp;TEXT(($D1025-$C1025+1)+9,"00"),"")&amp;IF($C1025&gt;=11,", "&amp;$A1025&amp;"-"&amp;TEXT(($D1025-$C1025+1)+10,"00"),"")&amp;IF($C1025&gt;=12,", "&amp;$A1025&amp;"-"&amp;TEXT(($D1025-$C1025+1)+11,"00"),"")&amp;IF($C1025&gt;=13,", "&amp;$A1025&amp;"-"&amp;TEXT(($D1025-$C1025+1)+12,"00"),"")&amp;IF($C1025&gt;=14,", "&amp;$A1025&amp;"-"&amp;TEXT(($D1025-$C1025+1)+13,"00"),"")&amp;IF($C1025&gt;=15,", "&amp;$A1025&amp;"-"&amp;TEXT(($D1025-$C1025+1)+14,"00"),"")&amp;IF($C1025&gt;=16,", "&amp;$A1025&amp;"-"&amp;TEXT(($D1025-$C1025+1)+15,"00"),"")&amp;IF($C1025&gt;=17,", "&amp;$A1025&amp;"-"&amp;TEXT(($D1025-$C1025+1)+16,"00"),"")&amp;IF($C1025&gt;=18,", "&amp;$A1025&amp;"-"&amp;TEXT(($D1025-$C1025+1)+17,"00"),"")&amp;IF($C1025&gt;=19,", "&amp;$A1025&amp;"-"&amp;TEXT(($D1025-$C1025+1)+18,"00"),"")&amp;IF($C1025&gt;=20,", "&amp;$A1025&amp;"-"&amp;TEXT(($D1025-$C1025+1)+19,"00"),"")&amp;IF($C1025&gt;=21,", "&amp;$A1025&amp;"-"&amp;TEXT(($D1025-$C1025+1)+20,"00"),"")&amp;IF($C1025&gt;=22,", "&amp;$A1025&amp;"-"&amp;TEXT(($D1025-$C1025+1)+21,"00"),"")&amp;IF($C1025&gt;=23,", "&amp;$A1025&amp;"-"&amp;TEXT(($D1025-$C1025+1)+22,"00"),"")&amp;IF($C1025&gt;=24,", "&amp;$A1025&amp;"-"&amp;TEXT(($D1025-$C1025+1)+23,"00"),"")&amp;IF($C1025&gt;=25,", "&amp;$A1025&amp;"-"&amp;TEXT(($D1025-$C1025+1)+24,"00"),""))</f>
        <v/>
      </c>
      <c r="G1025">
        <f>IF($A1025="","",IF($E1025=1,$F1025,IF($F1025="",$G1024,IF($G1024="",$F1025,$G1024&amp;", "&amp;$F1025))))</f>
        <v/>
      </c>
      <c r="H1025">
        <f>IF($A1025="","",$A1025&amp;" ("&amp;$C1025&amp;")")</f>
        <v/>
      </c>
      <c r="I1025">
        <f>IF($A1025="","",IF($E1025=1,$H1025,$I1024&amp;", "&amp;$H1025))</f>
        <v/>
      </c>
      <c r="J1025">
        <f>IF($A1025="","",IF($E1025=1,$B1025,""))</f>
        <v/>
      </c>
      <c r="K1025">
        <f>IF($A1025="","",IF(COUNTIF($B$2:$B1025,$B1025)=COUNTIF($B$2:$B$1601,$B1025),$B1025,""))</f>
        <v/>
      </c>
    </row>
    <row r="1026">
      <c r="A1026">
        <f>IF('TMP Paste'!$E1026="","",'TMP Paste'!$E1026)</f>
        <v/>
      </c>
      <c r="B1026">
        <f>IF($A1026="","",COUNTIF('TMP Paste'!$B$2:$B1026,"?*"))</f>
        <v/>
      </c>
      <c r="C1026">
        <f>IF($A1026="","",IFERROR('TMP Paste'!$M1026*1,0))</f>
        <v/>
      </c>
      <c r="D1026">
        <f>IF($A1026="","",SUMIF($B$2:$B1026,$B1026,$C$2:$C1026))</f>
        <v/>
      </c>
      <c r="E1026">
        <f>IF($A1026="",0,IF('TMP Paste'!$B1026="",0,1))</f>
        <v/>
      </c>
      <c r="F1026">
        <f>IF(OR($A1026="",$C1026&lt;1),"",$A1026&amp;"-"&amp;TEXT(($D1026-$C1026+1),"00")&amp;IF($C1026&gt;=2,", "&amp;$A1026&amp;"-"&amp;TEXT(($D1026-$C1026+1)+1,"00"),"")&amp;IF($C1026&gt;=3,", "&amp;$A1026&amp;"-"&amp;TEXT(($D1026-$C1026+1)+2,"00"),"")&amp;IF($C1026&gt;=4,", "&amp;$A1026&amp;"-"&amp;TEXT(($D1026-$C1026+1)+3,"00"),"")&amp;IF($C1026&gt;=5,", "&amp;$A1026&amp;"-"&amp;TEXT(($D1026-$C1026+1)+4,"00"),"")&amp;IF($C1026&gt;=6,", "&amp;$A1026&amp;"-"&amp;TEXT(($D1026-$C1026+1)+5,"00"),"")&amp;IF($C1026&gt;=7,", "&amp;$A1026&amp;"-"&amp;TEXT(($D1026-$C1026+1)+6,"00"),"")&amp;IF($C1026&gt;=8,", "&amp;$A1026&amp;"-"&amp;TEXT(($D1026-$C1026+1)+7,"00"),"")&amp;IF($C1026&gt;=9,", "&amp;$A1026&amp;"-"&amp;TEXT(($D1026-$C1026+1)+8,"00"),"")&amp;IF($C1026&gt;=10,", "&amp;$A1026&amp;"-"&amp;TEXT(($D1026-$C1026+1)+9,"00"),"")&amp;IF($C1026&gt;=11,", "&amp;$A1026&amp;"-"&amp;TEXT(($D1026-$C1026+1)+10,"00"),"")&amp;IF($C1026&gt;=12,", "&amp;$A1026&amp;"-"&amp;TEXT(($D1026-$C1026+1)+11,"00"),"")&amp;IF($C1026&gt;=13,", "&amp;$A1026&amp;"-"&amp;TEXT(($D1026-$C1026+1)+12,"00"),"")&amp;IF($C1026&gt;=14,", "&amp;$A1026&amp;"-"&amp;TEXT(($D1026-$C1026+1)+13,"00"),"")&amp;IF($C1026&gt;=15,", "&amp;$A1026&amp;"-"&amp;TEXT(($D1026-$C1026+1)+14,"00"),"")&amp;IF($C1026&gt;=16,", "&amp;$A1026&amp;"-"&amp;TEXT(($D1026-$C1026+1)+15,"00"),"")&amp;IF($C1026&gt;=17,", "&amp;$A1026&amp;"-"&amp;TEXT(($D1026-$C1026+1)+16,"00"),"")&amp;IF($C1026&gt;=18,", "&amp;$A1026&amp;"-"&amp;TEXT(($D1026-$C1026+1)+17,"00"),"")&amp;IF($C1026&gt;=19,", "&amp;$A1026&amp;"-"&amp;TEXT(($D1026-$C1026+1)+18,"00"),"")&amp;IF($C1026&gt;=20,", "&amp;$A1026&amp;"-"&amp;TEXT(($D1026-$C1026+1)+19,"00"),"")&amp;IF($C1026&gt;=21,", "&amp;$A1026&amp;"-"&amp;TEXT(($D1026-$C1026+1)+20,"00"),"")&amp;IF($C1026&gt;=22,", "&amp;$A1026&amp;"-"&amp;TEXT(($D1026-$C1026+1)+21,"00"),"")&amp;IF($C1026&gt;=23,", "&amp;$A1026&amp;"-"&amp;TEXT(($D1026-$C1026+1)+22,"00"),"")&amp;IF($C1026&gt;=24,", "&amp;$A1026&amp;"-"&amp;TEXT(($D1026-$C1026+1)+23,"00"),"")&amp;IF($C1026&gt;=25,", "&amp;$A1026&amp;"-"&amp;TEXT(($D1026-$C1026+1)+24,"00"),""))</f>
        <v/>
      </c>
      <c r="G1026">
        <f>IF($A1026="","",IF($E1026=1,$F1026,IF($F1026="",$G1025,IF($G1025="",$F1026,$G1025&amp;", "&amp;$F1026))))</f>
        <v/>
      </c>
      <c r="H1026">
        <f>IF($A1026="","",$A1026&amp;" ("&amp;$C1026&amp;")")</f>
        <v/>
      </c>
      <c r="I1026">
        <f>IF($A1026="","",IF($E1026=1,$H1026,$I1025&amp;", "&amp;$H1026))</f>
        <v/>
      </c>
      <c r="J1026">
        <f>IF($A1026="","",IF($E1026=1,$B1026,""))</f>
        <v/>
      </c>
      <c r="K1026">
        <f>IF($A1026="","",IF(COUNTIF($B$2:$B1026,$B1026)=COUNTIF($B$2:$B$1601,$B1026),$B1026,""))</f>
        <v/>
      </c>
    </row>
    <row r="1027">
      <c r="A1027">
        <f>IF('TMP Paste'!$E1027="","",'TMP Paste'!$E1027)</f>
        <v/>
      </c>
      <c r="B1027">
        <f>IF($A1027="","",COUNTIF('TMP Paste'!$B$2:$B1027,"?*"))</f>
        <v/>
      </c>
      <c r="C1027">
        <f>IF($A1027="","",IFERROR('TMP Paste'!$M1027*1,0))</f>
        <v/>
      </c>
      <c r="D1027">
        <f>IF($A1027="","",SUMIF($B$2:$B1027,$B1027,$C$2:$C1027))</f>
        <v/>
      </c>
      <c r="E1027">
        <f>IF($A1027="",0,IF('TMP Paste'!$B1027="",0,1))</f>
        <v/>
      </c>
      <c r="F1027">
        <f>IF(OR($A1027="",$C1027&lt;1),"",$A1027&amp;"-"&amp;TEXT(($D1027-$C1027+1),"00")&amp;IF($C1027&gt;=2,", "&amp;$A1027&amp;"-"&amp;TEXT(($D1027-$C1027+1)+1,"00"),"")&amp;IF($C1027&gt;=3,", "&amp;$A1027&amp;"-"&amp;TEXT(($D1027-$C1027+1)+2,"00"),"")&amp;IF($C1027&gt;=4,", "&amp;$A1027&amp;"-"&amp;TEXT(($D1027-$C1027+1)+3,"00"),"")&amp;IF($C1027&gt;=5,", "&amp;$A1027&amp;"-"&amp;TEXT(($D1027-$C1027+1)+4,"00"),"")&amp;IF($C1027&gt;=6,", "&amp;$A1027&amp;"-"&amp;TEXT(($D1027-$C1027+1)+5,"00"),"")&amp;IF($C1027&gt;=7,", "&amp;$A1027&amp;"-"&amp;TEXT(($D1027-$C1027+1)+6,"00"),"")&amp;IF($C1027&gt;=8,", "&amp;$A1027&amp;"-"&amp;TEXT(($D1027-$C1027+1)+7,"00"),"")&amp;IF($C1027&gt;=9,", "&amp;$A1027&amp;"-"&amp;TEXT(($D1027-$C1027+1)+8,"00"),"")&amp;IF($C1027&gt;=10,", "&amp;$A1027&amp;"-"&amp;TEXT(($D1027-$C1027+1)+9,"00"),"")&amp;IF($C1027&gt;=11,", "&amp;$A1027&amp;"-"&amp;TEXT(($D1027-$C1027+1)+10,"00"),"")&amp;IF($C1027&gt;=12,", "&amp;$A1027&amp;"-"&amp;TEXT(($D1027-$C1027+1)+11,"00"),"")&amp;IF($C1027&gt;=13,", "&amp;$A1027&amp;"-"&amp;TEXT(($D1027-$C1027+1)+12,"00"),"")&amp;IF($C1027&gt;=14,", "&amp;$A1027&amp;"-"&amp;TEXT(($D1027-$C1027+1)+13,"00"),"")&amp;IF($C1027&gt;=15,", "&amp;$A1027&amp;"-"&amp;TEXT(($D1027-$C1027+1)+14,"00"),"")&amp;IF($C1027&gt;=16,", "&amp;$A1027&amp;"-"&amp;TEXT(($D1027-$C1027+1)+15,"00"),"")&amp;IF($C1027&gt;=17,", "&amp;$A1027&amp;"-"&amp;TEXT(($D1027-$C1027+1)+16,"00"),"")&amp;IF($C1027&gt;=18,", "&amp;$A1027&amp;"-"&amp;TEXT(($D1027-$C1027+1)+17,"00"),"")&amp;IF($C1027&gt;=19,", "&amp;$A1027&amp;"-"&amp;TEXT(($D1027-$C1027+1)+18,"00"),"")&amp;IF($C1027&gt;=20,", "&amp;$A1027&amp;"-"&amp;TEXT(($D1027-$C1027+1)+19,"00"),"")&amp;IF($C1027&gt;=21,", "&amp;$A1027&amp;"-"&amp;TEXT(($D1027-$C1027+1)+20,"00"),"")&amp;IF($C1027&gt;=22,", "&amp;$A1027&amp;"-"&amp;TEXT(($D1027-$C1027+1)+21,"00"),"")&amp;IF($C1027&gt;=23,", "&amp;$A1027&amp;"-"&amp;TEXT(($D1027-$C1027+1)+22,"00"),"")&amp;IF($C1027&gt;=24,", "&amp;$A1027&amp;"-"&amp;TEXT(($D1027-$C1027+1)+23,"00"),"")&amp;IF($C1027&gt;=25,", "&amp;$A1027&amp;"-"&amp;TEXT(($D1027-$C1027+1)+24,"00"),""))</f>
        <v/>
      </c>
      <c r="G1027">
        <f>IF($A1027="","",IF($E1027=1,$F1027,IF($F1027="",$G1026,IF($G1026="",$F1027,$G1026&amp;", "&amp;$F1027))))</f>
        <v/>
      </c>
      <c r="H1027">
        <f>IF($A1027="","",$A1027&amp;" ("&amp;$C1027&amp;")")</f>
        <v/>
      </c>
      <c r="I1027">
        <f>IF($A1027="","",IF($E1027=1,$H1027,$I1026&amp;", "&amp;$H1027))</f>
        <v/>
      </c>
      <c r="J1027">
        <f>IF($A1027="","",IF($E1027=1,$B1027,""))</f>
        <v/>
      </c>
      <c r="K1027">
        <f>IF($A1027="","",IF(COUNTIF($B$2:$B1027,$B1027)=COUNTIF($B$2:$B$1601,$B1027),$B1027,""))</f>
        <v/>
      </c>
    </row>
    <row r="1028">
      <c r="A1028">
        <f>IF('TMP Paste'!$E1028="","",'TMP Paste'!$E1028)</f>
        <v/>
      </c>
      <c r="B1028">
        <f>IF($A1028="","",COUNTIF('TMP Paste'!$B$2:$B1028,"?*"))</f>
        <v/>
      </c>
      <c r="C1028">
        <f>IF($A1028="","",IFERROR('TMP Paste'!$M1028*1,0))</f>
        <v/>
      </c>
      <c r="D1028">
        <f>IF($A1028="","",SUMIF($B$2:$B1028,$B1028,$C$2:$C1028))</f>
        <v/>
      </c>
      <c r="E1028">
        <f>IF($A1028="",0,IF('TMP Paste'!$B1028="",0,1))</f>
        <v/>
      </c>
      <c r="F1028">
        <f>IF(OR($A1028="",$C1028&lt;1),"",$A1028&amp;"-"&amp;TEXT(($D1028-$C1028+1),"00")&amp;IF($C1028&gt;=2,", "&amp;$A1028&amp;"-"&amp;TEXT(($D1028-$C1028+1)+1,"00"),"")&amp;IF($C1028&gt;=3,", "&amp;$A1028&amp;"-"&amp;TEXT(($D1028-$C1028+1)+2,"00"),"")&amp;IF($C1028&gt;=4,", "&amp;$A1028&amp;"-"&amp;TEXT(($D1028-$C1028+1)+3,"00"),"")&amp;IF($C1028&gt;=5,", "&amp;$A1028&amp;"-"&amp;TEXT(($D1028-$C1028+1)+4,"00"),"")&amp;IF($C1028&gt;=6,", "&amp;$A1028&amp;"-"&amp;TEXT(($D1028-$C1028+1)+5,"00"),"")&amp;IF($C1028&gt;=7,", "&amp;$A1028&amp;"-"&amp;TEXT(($D1028-$C1028+1)+6,"00"),"")&amp;IF($C1028&gt;=8,", "&amp;$A1028&amp;"-"&amp;TEXT(($D1028-$C1028+1)+7,"00"),"")&amp;IF($C1028&gt;=9,", "&amp;$A1028&amp;"-"&amp;TEXT(($D1028-$C1028+1)+8,"00"),"")&amp;IF($C1028&gt;=10,", "&amp;$A1028&amp;"-"&amp;TEXT(($D1028-$C1028+1)+9,"00"),"")&amp;IF($C1028&gt;=11,", "&amp;$A1028&amp;"-"&amp;TEXT(($D1028-$C1028+1)+10,"00"),"")&amp;IF($C1028&gt;=12,", "&amp;$A1028&amp;"-"&amp;TEXT(($D1028-$C1028+1)+11,"00"),"")&amp;IF($C1028&gt;=13,", "&amp;$A1028&amp;"-"&amp;TEXT(($D1028-$C1028+1)+12,"00"),"")&amp;IF($C1028&gt;=14,", "&amp;$A1028&amp;"-"&amp;TEXT(($D1028-$C1028+1)+13,"00"),"")&amp;IF($C1028&gt;=15,", "&amp;$A1028&amp;"-"&amp;TEXT(($D1028-$C1028+1)+14,"00"),"")&amp;IF($C1028&gt;=16,", "&amp;$A1028&amp;"-"&amp;TEXT(($D1028-$C1028+1)+15,"00"),"")&amp;IF($C1028&gt;=17,", "&amp;$A1028&amp;"-"&amp;TEXT(($D1028-$C1028+1)+16,"00"),"")&amp;IF($C1028&gt;=18,", "&amp;$A1028&amp;"-"&amp;TEXT(($D1028-$C1028+1)+17,"00"),"")&amp;IF($C1028&gt;=19,", "&amp;$A1028&amp;"-"&amp;TEXT(($D1028-$C1028+1)+18,"00"),"")&amp;IF($C1028&gt;=20,", "&amp;$A1028&amp;"-"&amp;TEXT(($D1028-$C1028+1)+19,"00"),"")&amp;IF($C1028&gt;=21,", "&amp;$A1028&amp;"-"&amp;TEXT(($D1028-$C1028+1)+20,"00"),"")&amp;IF($C1028&gt;=22,", "&amp;$A1028&amp;"-"&amp;TEXT(($D1028-$C1028+1)+21,"00"),"")&amp;IF($C1028&gt;=23,", "&amp;$A1028&amp;"-"&amp;TEXT(($D1028-$C1028+1)+22,"00"),"")&amp;IF($C1028&gt;=24,", "&amp;$A1028&amp;"-"&amp;TEXT(($D1028-$C1028+1)+23,"00"),"")&amp;IF($C1028&gt;=25,", "&amp;$A1028&amp;"-"&amp;TEXT(($D1028-$C1028+1)+24,"00"),""))</f>
        <v/>
      </c>
      <c r="G1028">
        <f>IF($A1028="","",IF($E1028=1,$F1028,IF($F1028="",$G1027,IF($G1027="",$F1028,$G1027&amp;", "&amp;$F1028))))</f>
        <v/>
      </c>
      <c r="H1028">
        <f>IF($A1028="","",$A1028&amp;" ("&amp;$C1028&amp;")")</f>
        <v/>
      </c>
      <c r="I1028">
        <f>IF($A1028="","",IF($E1028=1,$H1028,$I1027&amp;", "&amp;$H1028))</f>
        <v/>
      </c>
      <c r="J1028">
        <f>IF($A1028="","",IF($E1028=1,$B1028,""))</f>
        <v/>
      </c>
      <c r="K1028">
        <f>IF($A1028="","",IF(COUNTIF($B$2:$B1028,$B1028)=COUNTIF($B$2:$B$1601,$B1028),$B1028,""))</f>
        <v/>
      </c>
    </row>
    <row r="1029">
      <c r="A1029">
        <f>IF('TMP Paste'!$E1029="","",'TMP Paste'!$E1029)</f>
        <v/>
      </c>
      <c r="B1029">
        <f>IF($A1029="","",COUNTIF('TMP Paste'!$B$2:$B1029,"?*"))</f>
        <v/>
      </c>
      <c r="C1029">
        <f>IF($A1029="","",IFERROR('TMP Paste'!$M1029*1,0))</f>
        <v/>
      </c>
      <c r="D1029">
        <f>IF($A1029="","",SUMIF($B$2:$B1029,$B1029,$C$2:$C1029))</f>
        <v/>
      </c>
      <c r="E1029">
        <f>IF($A1029="",0,IF('TMP Paste'!$B1029="",0,1))</f>
        <v/>
      </c>
      <c r="F1029">
        <f>IF(OR($A1029="",$C1029&lt;1),"",$A1029&amp;"-"&amp;TEXT(($D1029-$C1029+1),"00")&amp;IF($C1029&gt;=2,", "&amp;$A1029&amp;"-"&amp;TEXT(($D1029-$C1029+1)+1,"00"),"")&amp;IF($C1029&gt;=3,", "&amp;$A1029&amp;"-"&amp;TEXT(($D1029-$C1029+1)+2,"00"),"")&amp;IF($C1029&gt;=4,", "&amp;$A1029&amp;"-"&amp;TEXT(($D1029-$C1029+1)+3,"00"),"")&amp;IF($C1029&gt;=5,", "&amp;$A1029&amp;"-"&amp;TEXT(($D1029-$C1029+1)+4,"00"),"")&amp;IF($C1029&gt;=6,", "&amp;$A1029&amp;"-"&amp;TEXT(($D1029-$C1029+1)+5,"00"),"")&amp;IF($C1029&gt;=7,", "&amp;$A1029&amp;"-"&amp;TEXT(($D1029-$C1029+1)+6,"00"),"")&amp;IF($C1029&gt;=8,", "&amp;$A1029&amp;"-"&amp;TEXT(($D1029-$C1029+1)+7,"00"),"")&amp;IF($C1029&gt;=9,", "&amp;$A1029&amp;"-"&amp;TEXT(($D1029-$C1029+1)+8,"00"),"")&amp;IF($C1029&gt;=10,", "&amp;$A1029&amp;"-"&amp;TEXT(($D1029-$C1029+1)+9,"00"),"")&amp;IF($C1029&gt;=11,", "&amp;$A1029&amp;"-"&amp;TEXT(($D1029-$C1029+1)+10,"00"),"")&amp;IF($C1029&gt;=12,", "&amp;$A1029&amp;"-"&amp;TEXT(($D1029-$C1029+1)+11,"00"),"")&amp;IF($C1029&gt;=13,", "&amp;$A1029&amp;"-"&amp;TEXT(($D1029-$C1029+1)+12,"00"),"")&amp;IF($C1029&gt;=14,", "&amp;$A1029&amp;"-"&amp;TEXT(($D1029-$C1029+1)+13,"00"),"")&amp;IF($C1029&gt;=15,", "&amp;$A1029&amp;"-"&amp;TEXT(($D1029-$C1029+1)+14,"00"),"")&amp;IF($C1029&gt;=16,", "&amp;$A1029&amp;"-"&amp;TEXT(($D1029-$C1029+1)+15,"00"),"")&amp;IF($C1029&gt;=17,", "&amp;$A1029&amp;"-"&amp;TEXT(($D1029-$C1029+1)+16,"00"),"")&amp;IF($C1029&gt;=18,", "&amp;$A1029&amp;"-"&amp;TEXT(($D1029-$C1029+1)+17,"00"),"")&amp;IF($C1029&gt;=19,", "&amp;$A1029&amp;"-"&amp;TEXT(($D1029-$C1029+1)+18,"00"),"")&amp;IF($C1029&gt;=20,", "&amp;$A1029&amp;"-"&amp;TEXT(($D1029-$C1029+1)+19,"00"),"")&amp;IF($C1029&gt;=21,", "&amp;$A1029&amp;"-"&amp;TEXT(($D1029-$C1029+1)+20,"00"),"")&amp;IF($C1029&gt;=22,", "&amp;$A1029&amp;"-"&amp;TEXT(($D1029-$C1029+1)+21,"00"),"")&amp;IF($C1029&gt;=23,", "&amp;$A1029&amp;"-"&amp;TEXT(($D1029-$C1029+1)+22,"00"),"")&amp;IF($C1029&gt;=24,", "&amp;$A1029&amp;"-"&amp;TEXT(($D1029-$C1029+1)+23,"00"),"")&amp;IF($C1029&gt;=25,", "&amp;$A1029&amp;"-"&amp;TEXT(($D1029-$C1029+1)+24,"00"),""))</f>
        <v/>
      </c>
      <c r="G1029">
        <f>IF($A1029="","",IF($E1029=1,$F1029,IF($F1029="",$G1028,IF($G1028="",$F1029,$G1028&amp;", "&amp;$F1029))))</f>
        <v/>
      </c>
      <c r="H1029">
        <f>IF($A1029="","",$A1029&amp;" ("&amp;$C1029&amp;")")</f>
        <v/>
      </c>
      <c r="I1029">
        <f>IF($A1029="","",IF($E1029=1,$H1029,$I1028&amp;", "&amp;$H1029))</f>
        <v/>
      </c>
      <c r="J1029">
        <f>IF($A1029="","",IF($E1029=1,$B1029,""))</f>
        <v/>
      </c>
      <c r="K1029">
        <f>IF($A1029="","",IF(COUNTIF($B$2:$B1029,$B1029)=COUNTIF($B$2:$B$1601,$B1029),$B1029,""))</f>
        <v/>
      </c>
    </row>
    <row r="1030">
      <c r="A1030">
        <f>IF('TMP Paste'!$E1030="","",'TMP Paste'!$E1030)</f>
        <v/>
      </c>
      <c r="B1030">
        <f>IF($A1030="","",COUNTIF('TMP Paste'!$B$2:$B1030,"?*"))</f>
        <v/>
      </c>
      <c r="C1030">
        <f>IF($A1030="","",IFERROR('TMP Paste'!$M1030*1,0))</f>
        <v/>
      </c>
      <c r="D1030">
        <f>IF($A1030="","",SUMIF($B$2:$B1030,$B1030,$C$2:$C1030))</f>
        <v/>
      </c>
      <c r="E1030">
        <f>IF($A1030="",0,IF('TMP Paste'!$B1030="",0,1))</f>
        <v/>
      </c>
      <c r="F1030">
        <f>IF(OR($A1030="",$C1030&lt;1),"",$A1030&amp;"-"&amp;TEXT(($D1030-$C1030+1),"00")&amp;IF($C1030&gt;=2,", "&amp;$A1030&amp;"-"&amp;TEXT(($D1030-$C1030+1)+1,"00"),"")&amp;IF($C1030&gt;=3,", "&amp;$A1030&amp;"-"&amp;TEXT(($D1030-$C1030+1)+2,"00"),"")&amp;IF($C1030&gt;=4,", "&amp;$A1030&amp;"-"&amp;TEXT(($D1030-$C1030+1)+3,"00"),"")&amp;IF($C1030&gt;=5,", "&amp;$A1030&amp;"-"&amp;TEXT(($D1030-$C1030+1)+4,"00"),"")&amp;IF($C1030&gt;=6,", "&amp;$A1030&amp;"-"&amp;TEXT(($D1030-$C1030+1)+5,"00"),"")&amp;IF($C1030&gt;=7,", "&amp;$A1030&amp;"-"&amp;TEXT(($D1030-$C1030+1)+6,"00"),"")&amp;IF($C1030&gt;=8,", "&amp;$A1030&amp;"-"&amp;TEXT(($D1030-$C1030+1)+7,"00"),"")&amp;IF($C1030&gt;=9,", "&amp;$A1030&amp;"-"&amp;TEXT(($D1030-$C1030+1)+8,"00"),"")&amp;IF($C1030&gt;=10,", "&amp;$A1030&amp;"-"&amp;TEXT(($D1030-$C1030+1)+9,"00"),"")&amp;IF($C1030&gt;=11,", "&amp;$A1030&amp;"-"&amp;TEXT(($D1030-$C1030+1)+10,"00"),"")&amp;IF($C1030&gt;=12,", "&amp;$A1030&amp;"-"&amp;TEXT(($D1030-$C1030+1)+11,"00"),"")&amp;IF($C1030&gt;=13,", "&amp;$A1030&amp;"-"&amp;TEXT(($D1030-$C1030+1)+12,"00"),"")&amp;IF($C1030&gt;=14,", "&amp;$A1030&amp;"-"&amp;TEXT(($D1030-$C1030+1)+13,"00"),"")&amp;IF($C1030&gt;=15,", "&amp;$A1030&amp;"-"&amp;TEXT(($D1030-$C1030+1)+14,"00"),"")&amp;IF($C1030&gt;=16,", "&amp;$A1030&amp;"-"&amp;TEXT(($D1030-$C1030+1)+15,"00"),"")&amp;IF($C1030&gt;=17,", "&amp;$A1030&amp;"-"&amp;TEXT(($D1030-$C1030+1)+16,"00"),"")&amp;IF($C1030&gt;=18,", "&amp;$A1030&amp;"-"&amp;TEXT(($D1030-$C1030+1)+17,"00"),"")&amp;IF($C1030&gt;=19,", "&amp;$A1030&amp;"-"&amp;TEXT(($D1030-$C1030+1)+18,"00"),"")&amp;IF($C1030&gt;=20,", "&amp;$A1030&amp;"-"&amp;TEXT(($D1030-$C1030+1)+19,"00"),"")&amp;IF($C1030&gt;=21,", "&amp;$A1030&amp;"-"&amp;TEXT(($D1030-$C1030+1)+20,"00"),"")&amp;IF($C1030&gt;=22,", "&amp;$A1030&amp;"-"&amp;TEXT(($D1030-$C1030+1)+21,"00"),"")&amp;IF($C1030&gt;=23,", "&amp;$A1030&amp;"-"&amp;TEXT(($D1030-$C1030+1)+22,"00"),"")&amp;IF($C1030&gt;=24,", "&amp;$A1030&amp;"-"&amp;TEXT(($D1030-$C1030+1)+23,"00"),"")&amp;IF($C1030&gt;=25,", "&amp;$A1030&amp;"-"&amp;TEXT(($D1030-$C1030+1)+24,"00"),""))</f>
        <v/>
      </c>
      <c r="G1030">
        <f>IF($A1030="","",IF($E1030=1,$F1030,IF($F1030="",$G1029,IF($G1029="",$F1030,$G1029&amp;", "&amp;$F1030))))</f>
        <v/>
      </c>
      <c r="H1030">
        <f>IF($A1030="","",$A1030&amp;" ("&amp;$C1030&amp;")")</f>
        <v/>
      </c>
      <c r="I1030">
        <f>IF($A1030="","",IF($E1030=1,$H1030,$I1029&amp;", "&amp;$H1030))</f>
        <v/>
      </c>
      <c r="J1030">
        <f>IF($A1030="","",IF($E1030=1,$B1030,""))</f>
        <v/>
      </c>
      <c r="K1030">
        <f>IF($A1030="","",IF(COUNTIF($B$2:$B1030,$B1030)=COUNTIF($B$2:$B$1601,$B1030),$B1030,""))</f>
        <v/>
      </c>
    </row>
    <row r="1031">
      <c r="A1031">
        <f>IF('TMP Paste'!$E1031="","",'TMP Paste'!$E1031)</f>
        <v/>
      </c>
      <c r="B1031">
        <f>IF($A1031="","",COUNTIF('TMP Paste'!$B$2:$B1031,"?*"))</f>
        <v/>
      </c>
      <c r="C1031">
        <f>IF($A1031="","",IFERROR('TMP Paste'!$M1031*1,0))</f>
        <v/>
      </c>
      <c r="D1031">
        <f>IF($A1031="","",SUMIF($B$2:$B1031,$B1031,$C$2:$C1031))</f>
        <v/>
      </c>
      <c r="E1031">
        <f>IF($A1031="",0,IF('TMP Paste'!$B1031="",0,1))</f>
        <v/>
      </c>
      <c r="F1031">
        <f>IF(OR($A1031="",$C1031&lt;1),"",$A1031&amp;"-"&amp;TEXT(($D1031-$C1031+1),"00")&amp;IF($C1031&gt;=2,", "&amp;$A1031&amp;"-"&amp;TEXT(($D1031-$C1031+1)+1,"00"),"")&amp;IF($C1031&gt;=3,", "&amp;$A1031&amp;"-"&amp;TEXT(($D1031-$C1031+1)+2,"00"),"")&amp;IF($C1031&gt;=4,", "&amp;$A1031&amp;"-"&amp;TEXT(($D1031-$C1031+1)+3,"00"),"")&amp;IF($C1031&gt;=5,", "&amp;$A1031&amp;"-"&amp;TEXT(($D1031-$C1031+1)+4,"00"),"")&amp;IF($C1031&gt;=6,", "&amp;$A1031&amp;"-"&amp;TEXT(($D1031-$C1031+1)+5,"00"),"")&amp;IF($C1031&gt;=7,", "&amp;$A1031&amp;"-"&amp;TEXT(($D1031-$C1031+1)+6,"00"),"")&amp;IF($C1031&gt;=8,", "&amp;$A1031&amp;"-"&amp;TEXT(($D1031-$C1031+1)+7,"00"),"")&amp;IF($C1031&gt;=9,", "&amp;$A1031&amp;"-"&amp;TEXT(($D1031-$C1031+1)+8,"00"),"")&amp;IF($C1031&gt;=10,", "&amp;$A1031&amp;"-"&amp;TEXT(($D1031-$C1031+1)+9,"00"),"")&amp;IF($C1031&gt;=11,", "&amp;$A1031&amp;"-"&amp;TEXT(($D1031-$C1031+1)+10,"00"),"")&amp;IF($C1031&gt;=12,", "&amp;$A1031&amp;"-"&amp;TEXT(($D1031-$C1031+1)+11,"00"),"")&amp;IF($C1031&gt;=13,", "&amp;$A1031&amp;"-"&amp;TEXT(($D1031-$C1031+1)+12,"00"),"")&amp;IF($C1031&gt;=14,", "&amp;$A1031&amp;"-"&amp;TEXT(($D1031-$C1031+1)+13,"00"),"")&amp;IF($C1031&gt;=15,", "&amp;$A1031&amp;"-"&amp;TEXT(($D1031-$C1031+1)+14,"00"),"")&amp;IF($C1031&gt;=16,", "&amp;$A1031&amp;"-"&amp;TEXT(($D1031-$C1031+1)+15,"00"),"")&amp;IF($C1031&gt;=17,", "&amp;$A1031&amp;"-"&amp;TEXT(($D1031-$C1031+1)+16,"00"),"")&amp;IF($C1031&gt;=18,", "&amp;$A1031&amp;"-"&amp;TEXT(($D1031-$C1031+1)+17,"00"),"")&amp;IF($C1031&gt;=19,", "&amp;$A1031&amp;"-"&amp;TEXT(($D1031-$C1031+1)+18,"00"),"")&amp;IF($C1031&gt;=20,", "&amp;$A1031&amp;"-"&amp;TEXT(($D1031-$C1031+1)+19,"00"),"")&amp;IF($C1031&gt;=21,", "&amp;$A1031&amp;"-"&amp;TEXT(($D1031-$C1031+1)+20,"00"),"")&amp;IF($C1031&gt;=22,", "&amp;$A1031&amp;"-"&amp;TEXT(($D1031-$C1031+1)+21,"00"),"")&amp;IF($C1031&gt;=23,", "&amp;$A1031&amp;"-"&amp;TEXT(($D1031-$C1031+1)+22,"00"),"")&amp;IF($C1031&gt;=24,", "&amp;$A1031&amp;"-"&amp;TEXT(($D1031-$C1031+1)+23,"00"),"")&amp;IF($C1031&gt;=25,", "&amp;$A1031&amp;"-"&amp;TEXT(($D1031-$C1031+1)+24,"00"),""))</f>
        <v/>
      </c>
      <c r="G1031">
        <f>IF($A1031="","",IF($E1031=1,$F1031,IF($F1031="",$G1030,IF($G1030="",$F1031,$G1030&amp;", "&amp;$F1031))))</f>
        <v/>
      </c>
      <c r="H1031">
        <f>IF($A1031="","",$A1031&amp;" ("&amp;$C1031&amp;")")</f>
        <v/>
      </c>
      <c r="I1031">
        <f>IF($A1031="","",IF($E1031=1,$H1031,$I1030&amp;", "&amp;$H1031))</f>
        <v/>
      </c>
      <c r="J1031">
        <f>IF($A1031="","",IF($E1031=1,$B1031,""))</f>
        <v/>
      </c>
      <c r="K1031">
        <f>IF($A1031="","",IF(COUNTIF($B$2:$B1031,$B1031)=COUNTIF($B$2:$B$1601,$B1031),$B1031,""))</f>
        <v/>
      </c>
    </row>
    <row r="1032">
      <c r="A1032">
        <f>IF('TMP Paste'!$E1032="","",'TMP Paste'!$E1032)</f>
        <v/>
      </c>
      <c r="B1032">
        <f>IF($A1032="","",COUNTIF('TMP Paste'!$B$2:$B1032,"?*"))</f>
        <v/>
      </c>
      <c r="C1032">
        <f>IF($A1032="","",IFERROR('TMP Paste'!$M1032*1,0))</f>
        <v/>
      </c>
      <c r="D1032">
        <f>IF($A1032="","",SUMIF($B$2:$B1032,$B1032,$C$2:$C1032))</f>
        <v/>
      </c>
      <c r="E1032">
        <f>IF($A1032="",0,IF('TMP Paste'!$B1032="",0,1))</f>
        <v/>
      </c>
      <c r="F1032">
        <f>IF(OR($A1032="",$C1032&lt;1),"",$A1032&amp;"-"&amp;TEXT(($D1032-$C1032+1),"00")&amp;IF($C1032&gt;=2,", "&amp;$A1032&amp;"-"&amp;TEXT(($D1032-$C1032+1)+1,"00"),"")&amp;IF($C1032&gt;=3,", "&amp;$A1032&amp;"-"&amp;TEXT(($D1032-$C1032+1)+2,"00"),"")&amp;IF($C1032&gt;=4,", "&amp;$A1032&amp;"-"&amp;TEXT(($D1032-$C1032+1)+3,"00"),"")&amp;IF($C1032&gt;=5,", "&amp;$A1032&amp;"-"&amp;TEXT(($D1032-$C1032+1)+4,"00"),"")&amp;IF($C1032&gt;=6,", "&amp;$A1032&amp;"-"&amp;TEXT(($D1032-$C1032+1)+5,"00"),"")&amp;IF($C1032&gt;=7,", "&amp;$A1032&amp;"-"&amp;TEXT(($D1032-$C1032+1)+6,"00"),"")&amp;IF($C1032&gt;=8,", "&amp;$A1032&amp;"-"&amp;TEXT(($D1032-$C1032+1)+7,"00"),"")&amp;IF($C1032&gt;=9,", "&amp;$A1032&amp;"-"&amp;TEXT(($D1032-$C1032+1)+8,"00"),"")&amp;IF($C1032&gt;=10,", "&amp;$A1032&amp;"-"&amp;TEXT(($D1032-$C1032+1)+9,"00"),"")&amp;IF($C1032&gt;=11,", "&amp;$A1032&amp;"-"&amp;TEXT(($D1032-$C1032+1)+10,"00"),"")&amp;IF($C1032&gt;=12,", "&amp;$A1032&amp;"-"&amp;TEXT(($D1032-$C1032+1)+11,"00"),"")&amp;IF($C1032&gt;=13,", "&amp;$A1032&amp;"-"&amp;TEXT(($D1032-$C1032+1)+12,"00"),"")&amp;IF($C1032&gt;=14,", "&amp;$A1032&amp;"-"&amp;TEXT(($D1032-$C1032+1)+13,"00"),"")&amp;IF($C1032&gt;=15,", "&amp;$A1032&amp;"-"&amp;TEXT(($D1032-$C1032+1)+14,"00"),"")&amp;IF($C1032&gt;=16,", "&amp;$A1032&amp;"-"&amp;TEXT(($D1032-$C1032+1)+15,"00"),"")&amp;IF($C1032&gt;=17,", "&amp;$A1032&amp;"-"&amp;TEXT(($D1032-$C1032+1)+16,"00"),"")&amp;IF($C1032&gt;=18,", "&amp;$A1032&amp;"-"&amp;TEXT(($D1032-$C1032+1)+17,"00"),"")&amp;IF($C1032&gt;=19,", "&amp;$A1032&amp;"-"&amp;TEXT(($D1032-$C1032+1)+18,"00"),"")&amp;IF($C1032&gt;=20,", "&amp;$A1032&amp;"-"&amp;TEXT(($D1032-$C1032+1)+19,"00"),"")&amp;IF($C1032&gt;=21,", "&amp;$A1032&amp;"-"&amp;TEXT(($D1032-$C1032+1)+20,"00"),"")&amp;IF($C1032&gt;=22,", "&amp;$A1032&amp;"-"&amp;TEXT(($D1032-$C1032+1)+21,"00"),"")&amp;IF($C1032&gt;=23,", "&amp;$A1032&amp;"-"&amp;TEXT(($D1032-$C1032+1)+22,"00"),"")&amp;IF($C1032&gt;=24,", "&amp;$A1032&amp;"-"&amp;TEXT(($D1032-$C1032+1)+23,"00"),"")&amp;IF($C1032&gt;=25,", "&amp;$A1032&amp;"-"&amp;TEXT(($D1032-$C1032+1)+24,"00"),""))</f>
        <v/>
      </c>
      <c r="G1032">
        <f>IF($A1032="","",IF($E1032=1,$F1032,IF($F1032="",$G1031,IF($G1031="",$F1032,$G1031&amp;", "&amp;$F1032))))</f>
        <v/>
      </c>
      <c r="H1032">
        <f>IF($A1032="","",$A1032&amp;" ("&amp;$C1032&amp;")")</f>
        <v/>
      </c>
      <c r="I1032">
        <f>IF($A1032="","",IF($E1032=1,$H1032,$I1031&amp;", "&amp;$H1032))</f>
        <v/>
      </c>
      <c r="J1032">
        <f>IF($A1032="","",IF($E1032=1,$B1032,""))</f>
        <v/>
      </c>
      <c r="K1032">
        <f>IF($A1032="","",IF(COUNTIF($B$2:$B1032,$B1032)=COUNTIF($B$2:$B$1601,$B1032),$B1032,""))</f>
        <v/>
      </c>
    </row>
    <row r="1033">
      <c r="A1033">
        <f>IF('TMP Paste'!$E1033="","",'TMP Paste'!$E1033)</f>
        <v/>
      </c>
      <c r="B1033">
        <f>IF($A1033="","",COUNTIF('TMP Paste'!$B$2:$B1033,"?*"))</f>
        <v/>
      </c>
      <c r="C1033">
        <f>IF($A1033="","",IFERROR('TMP Paste'!$M1033*1,0))</f>
        <v/>
      </c>
      <c r="D1033">
        <f>IF($A1033="","",SUMIF($B$2:$B1033,$B1033,$C$2:$C1033))</f>
        <v/>
      </c>
      <c r="E1033">
        <f>IF($A1033="",0,IF('TMP Paste'!$B1033="",0,1))</f>
        <v/>
      </c>
      <c r="F1033">
        <f>IF(OR($A1033="",$C1033&lt;1),"",$A1033&amp;"-"&amp;TEXT(($D1033-$C1033+1),"00")&amp;IF($C1033&gt;=2,", "&amp;$A1033&amp;"-"&amp;TEXT(($D1033-$C1033+1)+1,"00"),"")&amp;IF($C1033&gt;=3,", "&amp;$A1033&amp;"-"&amp;TEXT(($D1033-$C1033+1)+2,"00"),"")&amp;IF($C1033&gt;=4,", "&amp;$A1033&amp;"-"&amp;TEXT(($D1033-$C1033+1)+3,"00"),"")&amp;IF($C1033&gt;=5,", "&amp;$A1033&amp;"-"&amp;TEXT(($D1033-$C1033+1)+4,"00"),"")&amp;IF($C1033&gt;=6,", "&amp;$A1033&amp;"-"&amp;TEXT(($D1033-$C1033+1)+5,"00"),"")&amp;IF($C1033&gt;=7,", "&amp;$A1033&amp;"-"&amp;TEXT(($D1033-$C1033+1)+6,"00"),"")&amp;IF($C1033&gt;=8,", "&amp;$A1033&amp;"-"&amp;TEXT(($D1033-$C1033+1)+7,"00"),"")&amp;IF($C1033&gt;=9,", "&amp;$A1033&amp;"-"&amp;TEXT(($D1033-$C1033+1)+8,"00"),"")&amp;IF($C1033&gt;=10,", "&amp;$A1033&amp;"-"&amp;TEXT(($D1033-$C1033+1)+9,"00"),"")&amp;IF($C1033&gt;=11,", "&amp;$A1033&amp;"-"&amp;TEXT(($D1033-$C1033+1)+10,"00"),"")&amp;IF($C1033&gt;=12,", "&amp;$A1033&amp;"-"&amp;TEXT(($D1033-$C1033+1)+11,"00"),"")&amp;IF($C1033&gt;=13,", "&amp;$A1033&amp;"-"&amp;TEXT(($D1033-$C1033+1)+12,"00"),"")&amp;IF($C1033&gt;=14,", "&amp;$A1033&amp;"-"&amp;TEXT(($D1033-$C1033+1)+13,"00"),"")&amp;IF($C1033&gt;=15,", "&amp;$A1033&amp;"-"&amp;TEXT(($D1033-$C1033+1)+14,"00"),"")&amp;IF($C1033&gt;=16,", "&amp;$A1033&amp;"-"&amp;TEXT(($D1033-$C1033+1)+15,"00"),"")&amp;IF($C1033&gt;=17,", "&amp;$A1033&amp;"-"&amp;TEXT(($D1033-$C1033+1)+16,"00"),"")&amp;IF($C1033&gt;=18,", "&amp;$A1033&amp;"-"&amp;TEXT(($D1033-$C1033+1)+17,"00"),"")&amp;IF($C1033&gt;=19,", "&amp;$A1033&amp;"-"&amp;TEXT(($D1033-$C1033+1)+18,"00"),"")&amp;IF($C1033&gt;=20,", "&amp;$A1033&amp;"-"&amp;TEXT(($D1033-$C1033+1)+19,"00"),"")&amp;IF($C1033&gt;=21,", "&amp;$A1033&amp;"-"&amp;TEXT(($D1033-$C1033+1)+20,"00"),"")&amp;IF($C1033&gt;=22,", "&amp;$A1033&amp;"-"&amp;TEXT(($D1033-$C1033+1)+21,"00"),"")&amp;IF($C1033&gt;=23,", "&amp;$A1033&amp;"-"&amp;TEXT(($D1033-$C1033+1)+22,"00"),"")&amp;IF($C1033&gt;=24,", "&amp;$A1033&amp;"-"&amp;TEXT(($D1033-$C1033+1)+23,"00"),"")&amp;IF($C1033&gt;=25,", "&amp;$A1033&amp;"-"&amp;TEXT(($D1033-$C1033+1)+24,"00"),""))</f>
        <v/>
      </c>
      <c r="G1033">
        <f>IF($A1033="","",IF($E1033=1,$F1033,IF($F1033="",$G1032,IF($G1032="",$F1033,$G1032&amp;", "&amp;$F1033))))</f>
        <v/>
      </c>
      <c r="H1033">
        <f>IF($A1033="","",$A1033&amp;" ("&amp;$C1033&amp;")")</f>
        <v/>
      </c>
      <c r="I1033">
        <f>IF($A1033="","",IF($E1033=1,$H1033,$I1032&amp;", "&amp;$H1033))</f>
        <v/>
      </c>
      <c r="J1033">
        <f>IF($A1033="","",IF($E1033=1,$B1033,""))</f>
        <v/>
      </c>
      <c r="K1033">
        <f>IF($A1033="","",IF(COUNTIF($B$2:$B1033,$B1033)=COUNTIF($B$2:$B$1601,$B1033),$B1033,""))</f>
        <v/>
      </c>
    </row>
    <row r="1034">
      <c r="A1034">
        <f>IF('TMP Paste'!$E1034="","",'TMP Paste'!$E1034)</f>
        <v/>
      </c>
      <c r="B1034">
        <f>IF($A1034="","",COUNTIF('TMP Paste'!$B$2:$B1034,"?*"))</f>
        <v/>
      </c>
      <c r="C1034">
        <f>IF($A1034="","",IFERROR('TMP Paste'!$M1034*1,0))</f>
        <v/>
      </c>
      <c r="D1034">
        <f>IF($A1034="","",SUMIF($B$2:$B1034,$B1034,$C$2:$C1034))</f>
        <v/>
      </c>
      <c r="E1034">
        <f>IF($A1034="",0,IF('TMP Paste'!$B1034="",0,1))</f>
        <v/>
      </c>
      <c r="F1034">
        <f>IF(OR($A1034="",$C1034&lt;1),"",$A1034&amp;"-"&amp;TEXT(($D1034-$C1034+1),"00")&amp;IF($C1034&gt;=2,", "&amp;$A1034&amp;"-"&amp;TEXT(($D1034-$C1034+1)+1,"00"),"")&amp;IF($C1034&gt;=3,", "&amp;$A1034&amp;"-"&amp;TEXT(($D1034-$C1034+1)+2,"00"),"")&amp;IF($C1034&gt;=4,", "&amp;$A1034&amp;"-"&amp;TEXT(($D1034-$C1034+1)+3,"00"),"")&amp;IF($C1034&gt;=5,", "&amp;$A1034&amp;"-"&amp;TEXT(($D1034-$C1034+1)+4,"00"),"")&amp;IF($C1034&gt;=6,", "&amp;$A1034&amp;"-"&amp;TEXT(($D1034-$C1034+1)+5,"00"),"")&amp;IF($C1034&gt;=7,", "&amp;$A1034&amp;"-"&amp;TEXT(($D1034-$C1034+1)+6,"00"),"")&amp;IF($C1034&gt;=8,", "&amp;$A1034&amp;"-"&amp;TEXT(($D1034-$C1034+1)+7,"00"),"")&amp;IF($C1034&gt;=9,", "&amp;$A1034&amp;"-"&amp;TEXT(($D1034-$C1034+1)+8,"00"),"")&amp;IF($C1034&gt;=10,", "&amp;$A1034&amp;"-"&amp;TEXT(($D1034-$C1034+1)+9,"00"),"")&amp;IF($C1034&gt;=11,", "&amp;$A1034&amp;"-"&amp;TEXT(($D1034-$C1034+1)+10,"00"),"")&amp;IF($C1034&gt;=12,", "&amp;$A1034&amp;"-"&amp;TEXT(($D1034-$C1034+1)+11,"00"),"")&amp;IF($C1034&gt;=13,", "&amp;$A1034&amp;"-"&amp;TEXT(($D1034-$C1034+1)+12,"00"),"")&amp;IF($C1034&gt;=14,", "&amp;$A1034&amp;"-"&amp;TEXT(($D1034-$C1034+1)+13,"00"),"")&amp;IF($C1034&gt;=15,", "&amp;$A1034&amp;"-"&amp;TEXT(($D1034-$C1034+1)+14,"00"),"")&amp;IF($C1034&gt;=16,", "&amp;$A1034&amp;"-"&amp;TEXT(($D1034-$C1034+1)+15,"00"),"")&amp;IF($C1034&gt;=17,", "&amp;$A1034&amp;"-"&amp;TEXT(($D1034-$C1034+1)+16,"00"),"")&amp;IF($C1034&gt;=18,", "&amp;$A1034&amp;"-"&amp;TEXT(($D1034-$C1034+1)+17,"00"),"")&amp;IF($C1034&gt;=19,", "&amp;$A1034&amp;"-"&amp;TEXT(($D1034-$C1034+1)+18,"00"),"")&amp;IF($C1034&gt;=20,", "&amp;$A1034&amp;"-"&amp;TEXT(($D1034-$C1034+1)+19,"00"),"")&amp;IF($C1034&gt;=21,", "&amp;$A1034&amp;"-"&amp;TEXT(($D1034-$C1034+1)+20,"00"),"")&amp;IF($C1034&gt;=22,", "&amp;$A1034&amp;"-"&amp;TEXT(($D1034-$C1034+1)+21,"00"),"")&amp;IF($C1034&gt;=23,", "&amp;$A1034&amp;"-"&amp;TEXT(($D1034-$C1034+1)+22,"00"),"")&amp;IF($C1034&gt;=24,", "&amp;$A1034&amp;"-"&amp;TEXT(($D1034-$C1034+1)+23,"00"),"")&amp;IF($C1034&gt;=25,", "&amp;$A1034&amp;"-"&amp;TEXT(($D1034-$C1034+1)+24,"00"),""))</f>
        <v/>
      </c>
      <c r="G1034">
        <f>IF($A1034="","",IF($E1034=1,$F1034,IF($F1034="",$G1033,IF($G1033="",$F1034,$G1033&amp;", "&amp;$F1034))))</f>
        <v/>
      </c>
      <c r="H1034">
        <f>IF($A1034="","",$A1034&amp;" ("&amp;$C1034&amp;")")</f>
        <v/>
      </c>
      <c r="I1034">
        <f>IF($A1034="","",IF($E1034=1,$H1034,$I1033&amp;", "&amp;$H1034))</f>
        <v/>
      </c>
      <c r="J1034">
        <f>IF($A1034="","",IF($E1034=1,$B1034,""))</f>
        <v/>
      </c>
      <c r="K1034">
        <f>IF($A1034="","",IF(COUNTIF($B$2:$B1034,$B1034)=COUNTIF($B$2:$B$1601,$B1034),$B1034,""))</f>
        <v/>
      </c>
    </row>
    <row r="1035">
      <c r="A1035">
        <f>IF('TMP Paste'!$E1035="","",'TMP Paste'!$E1035)</f>
        <v/>
      </c>
      <c r="B1035">
        <f>IF($A1035="","",COUNTIF('TMP Paste'!$B$2:$B1035,"?*"))</f>
        <v/>
      </c>
      <c r="C1035">
        <f>IF($A1035="","",IFERROR('TMP Paste'!$M1035*1,0))</f>
        <v/>
      </c>
      <c r="D1035">
        <f>IF($A1035="","",SUMIF($B$2:$B1035,$B1035,$C$2:$C1035))</f>
        <v/>
      </c>
      <c r="E1035">
        <f>IF($A1035="",0,IF('TMP Paste'!$B1035="",0,1))</f>
        <v/>
      </c>
      <c r="F1035">
        <f>IF(OR($A1035="",$C1035&lt;1),"",$A1035&amp;"-"&amp;TEXT(($D1035-$C1035+1),"00")&amp;IF($C1035&gt;=2,", "&amp;$A1035&amp;"-"&amp;TEXT(($D1035-$C1035+1)+1,"00"),"")&amp;IF($C1035&gt;=3,", "&amp;$A1035&amp;"-"&amp;TEXT(($D1035-$C1035+1)+2,"00"),"")&amp;IF($C1035&gt;=4,", "&amp;$A1035&amp;"-"&amp;TEXT(($D1035-$C1035+1)+3,"00"),"")&amp;IF($C1035&gt;=5,", "&amp;$A1035&amp;"-"&amp;TEXT(($D1035-$C1035+1)+4,"00"),"")&amp;IF($C1035&gt;=6,", "&amp;$A1035&amp;"-"&amp;TEXT(($D1035-$C1035+1)+5,"00"),"")&amp;IF($C1035&gt;=7,", "&amp;$A1035&amp;"-"&amp;TEXT(($D1035-$C1035+1)+6,"00"),"")&amp;IF($C1035&gt;=8,", "&amp;$A1035&amp;"-"&amp;TEXT(($D1035-$C1035+1)+7,"00"),"")&amp;IF($C1035&gt;=9,", "&amp;$A1035&amp;"-"&amp;TEXT(($D1035-$C1035+1)+8,"00"),"")&amp;IF($C1035&gt;=10,", "&amp;$A1035&amp;"-"&amp;TEXT(($D1035-$C1035+1)+9,"00"),"")&amp;IF($C1035&gt;=11,", "&amp;$A1035&amp;"-"&amp;TEXT(($D1035-$C1035+1)+10,"00"),"")&amp;IF($C1035&gt;=12,", "&amp;$A1035&amp;"-"&amp;TEXT(($D1035-$C1035+1)+11,"00"),"")&amp;IF($C1035&gt;=13,", "&amp;$A1035&amp;"-"&amp;TEXT(($D1035-$C1035+1)+12,"00"),"")&amp;IF($C1035&gt;=14,", "&amp;$A1035&amp;"-"&amp;TEXT(($D1035-$C1035+1)+13,"00"),"")&amp;IF($C1035&gt;=15,", "&amp;$A1035&amp;"-"&amp;TEXT(($D1035-$C1035+1)+14,"00"),"")&amp;IF($C1035&gt;=16,", "&amp;$A1035&amp;"-"&amp;TEXT(($D1035-$C1035+1)+15,"00"),"")&amp;IF($C1035&gt;=17,", "&amp;$A1035&amp;"-"&amp;TEXT(($D1035-$C1035+1)+16,"00"),"")&amp;IF($C1035&gt;=18,", "&amp;$A1035&amp;"-"&amp;TEXT(($D1035-$C1035+1)+17,"00"),"")&amp;IF($C1035&gt;=19,", "&amp;$A1035&amp;"-"&amp;TEXT(($D1035-$C1035+1)+18,"00"),"")&amp;IF($C1035&gt;=20,", "&amp;$A1035&amp;"-"&amp;TEXT(($D1035-$C1035+1)+19,"00"),"")&amp;IF($C1035&gt;=21,", "&amp;$A1035&amp;"-"&amp;TEXT(($D1035-$C1035+1)+20,"00"),"")&amp;IF($C1035&gt;=22,", "&amp;$A1035&amp;"-"&amp;TEXT(($D1035-$C1035+1)+21,"00"),"")&amp;IF($C1035&gt;=23,", "&amp;$A1035&amp;"-"&amp;TEXT(($D1035-$C1035+1)+22,"00"),"")&amp;IF($C1035&gt;=24,", "&amp;$A1035&amp;"-"&amp;TEXT(($D1035-$C1035+1)+23,"00"),"")&amp;IF($C1035&gt;=25,", "&amp;$A1035&amp;"-"&amp;TEXT(($D1035-$C1035+1)+24,"00"),""))</f>
        <v/>
      </c>
      <c r="G1035">
        <f>IF($A1035="","",IF($E1035=1,$F1035,IF($F1035="",$G1034,IF($G1034="",$F1035,$G1034&amp;", "&amp;$F1035))))</f>
        <v/>
      </c>
      <c r="H1035">
        <f>IF($A1035="","",$A1035&amp;" ("&amp;$C1035&amp;")")</f>
        <v/>
      </c>
      <c r="I1035">
        <f>IF($A1035="","",IF($E1035=1,$H1035,$I1034&amp;", "&amp;$H1035))</f>
        <v/>
      </c>
      <c r="J1035">
        <f>IF($A1035="","",IF($E1035=1,$B1035,""))</f>
        <v/>
      </c>
      <c r="K1035">
        <f>IF($A1035="","",IF(COUNTIF($B$2:$B1035,$B1035)=COUNTIF($B$2:$B$1601,$B1035),$B1035,""))</f>
        <v/>
      </c>
    </row>
    <row r="1036">
      <c r="A1036">
        <f>IF('TMP Paste'!$E1036="","",'TMP Paste'!$E1036)</f>
        <v/>
      </c>
      <c r="B1036">
        <f>IF($A1036="","",COUNTIF('TMP Paste'!$B$2:$B1036,"?*"))</f>
        <v/>
      </c>
      <c r="C1036">
        <f>IF($A1036="","",IFERROR('TMP Paste'!$M1036*1,0))</f>
        <v/>
      </c>
      <c r="D1036">
        <f>IF($A1036="","",SUMIF($B$2:$B1036,$B1036,$C$2:$C1036))</f>
        <v/>
      </c>
      <c r="E1036">
        <f>IF($A1036="",0,IF('TMP Paste'!$B1036="",0,1))</f>
        <v/>
      </c>
      <c r="F1036">
        <f>IF(OR($A1036="",$C1036&lt;1),"",$A1036&amp;"-"&amp;TEXT(($D1036-$C1036+1),"00")&amp;IF($C1036&gt;=2,", "&amp;$A1036&amp;"-"&amp;TEXT(($D1036-$C1036+1)+1,"00"),"")&amp;IF($C1036&gt;=3,", "&amp;$A1036&amp;"-"&amp;TEXT(($D1036-$C1036+1)+2,"00"),"")&amp;IF($C1036&gt;=4,", "&amp;$A1036&amp;"-"&amp;TEXT(($D1036-$C1036+1)+3,"00"),"")&amp;IF($C1036&gt;=5,", "&amp;$A1036&amp;"-"&amp;TEXT(($D1036-$C1036+1)+4,"00"),"")&amp;IF($C1036&gt;=6,", "&amp;$A1036&amp;"-"&amp;TEXT(($D1036-$C1036+1)+5,"00"),"")&amp;IF($C1036&gt;=7,", "&amp;$A1036&amp;"-"&amp;TEXT(($D1036-$C1036+1)+6,"00"),"")&amp;IF($C1036&gt;=8,", "&amp;$A1036&amp;"-"&amp;TEXT(($D1036-$C1036+1)+7,"00"),"")&amp;IF($C1036&gt;=9,", "&amp;$A1036&amp;"-"&amp;TEXT(($D1036-$C1036+1)+8,"00"),"")&amp;IF($C1036&gt;=10,", "&amp;$A1036&amp;"-"&amp;TEXT(($D1036-$C1036+1)+9,"00"),"")&amp;IF($C1036&gt;=11,", "&amp;$A1036&amp;"-"&amp;TEXT(($D1036-$C1036+1)+10,"00"),"")&amp;IF($C1036&gt;=12,", "&amp;$A1036&amp;"-"&amp;TEXT(($D1036-$C1036+1)+11,"00"),"")&amp;IF($C1036&gt;=13,", "&amp;$A1036&amp;"-"&amp;TEXT(($D1036-$C1036+1)+12,"00"),"")&amp;IF($C1036&gt;=14,", "&amp;$A1036&amp;"-"&amp;TEXT(($D1036-$C1036+1)+13,"00"),"")&amp;IF($C1036&gt;=15,", "&amp;$A1036&amp;"-"&amp;TEXT(($D1036-$C1036+1)+14,"00"),"")&amp;IF($C1036&gt;=16,", "&amp;$A1036&amp;"-"&amp;TEXT(($D1036-$C1036+1)+15,"00"),"")&amp;IF($C1036&gt;=17,", "&amp;$A1036&amp;"-"&amp;TEXT(($D1036-$C1036+1)+16,"00"),"")&amp;IF($C1036&gt;=18,", "&amp;$A1036&amp;"-"&amp;TEXT(($D1036-$C1036+1)+17,"00"),"")&amp;IF($C1036&gt;=19,", "&amp;$A1036&amp;"-"&amp;TEXT(($D1036-$C1036+1)+18,"00"),"")&amp;IF($C1036&gt;=20,", "&amp;$A1036&amp;"-"&amp;TEXT(($D1036-$C1036+1)+19,"00"),"")&amp;IF($C1036&gt;=21,", "&amp;$A1036&amp;"-"&amp;TEXT(($D1036-$C1036+1)+20,"00"),"")&amp;IF($C1036&gt;=22,", "&amp;$A1036&amp;"-"&amp;TEXT(($D1036-$C1036+1)+21,"00"),"")&amp;IF($C1036&gt;=23,", "&amp;$A1036&amp;"-"&amp;TEXT(($D1036-$C1036+1)+22,"00"),"")&amp;IF($C1036&gt;=24,", "&amp;$A1036&amp;"-"&amp;TEXT(($D1036-$C1036+1)+23,"00"),"")&amp;IF($C1036&gt;=25,", "&amp;$A1036&amp;"-"&amp;TEXT(($D1036-$C1036+1)+24,"00"),""))</f>
        <v/>
      </c>
      <c r="G1036">
        <f>IF($A1036="","",IF($E1036=1,$F1036,IF($F1036="",$G1035,IF($G1035="",$F1036,$G1035&amp;", "&amp;$F1036))))</f>
        <v/>
      </c>
      <c r="H1036">
        <f>IF($A1036="","",$A1036&amp;" ("&amp;$C1036&amp;")")</f>
        <v/>
      </c>
      <c r="I1036">
        <f>IF($A1036="","",IF($E1036=1,$H1036,$I1035&amp;", "&amp;$H1036))</f>
        <v/>
      </c>
      <c r="J1036">
        <f>IF($A1036="","",IF($E1036=1,$B1036,""))</f>
        <v/>
      </c>
      <c r="K1036">
        <f>IF($A1036="","",IF(COUNTIF($B$2:$B1036,$B1036)=COUNTIF($B$2:$B$1601,$B1036),$B1036,""))</f>
        <v/>
      </c>
    </row>
    <row r="1037">
      <c r="A1037">
        <f>IF('TMP Paste'!$E1037="","",'TMP Paste'!$E1037)</f>
        <v/>
      </c>
      <c r="B1037">
        <f>IF($A1037="","",COUNTIF('TMP Paste'!$B$2:$B1037,"?*"))</f>
        <v/>
      </c>
      <c r="C1037">
        <f>IF($A1037="","",IFERROR('TMP Paste'!$M1037*1,0))</f>
        <v/>
      </c>
      <c r="D1037">
        <f>IF($A1037="","",SUMIF($B$2:$B1037,$B1037,$C$2:$C1037))</f>
        <v/>
      </c>
      <c r="E1037">
        <f>IF($A1037="",0,IF('TMP Paste'!$B1037="",0,1))</f>
        <v/>
      </c>
      <c r="F1037">
        <f>IF(OR($A1037="",$C1037&lt;1),"",$A1037&amp;"-"&amp;TEXT(($D1037-$C1037+1),"00")&amp;IF($C1037&gt;=2,", "&amp;$A1037&amp;"-"&amp;TEXT(($D1037-$C1037+1)+1,"00"),"")&amp;IF($C1037&gt;=3,", "&amp;$A1037&amp;"-"&amp;TEXT(($D1037-$C1037+1)+2,"00"),"")&amp;IF($C1037&gt;=4,", "&amp;$A1037&amp;"-"&amp;TEXT(($D1037-$C1037+1)+3,"00"),"")&amp;IF($C1037&gt;=5,", "&amp;$A1037&amp;"-"&amp;TEXT(($D1037-$C1037+1)+4,"00"),"")&amp;IF($C1037&gt;=6,", "&amp;$A1037&amp;"-"&amp;TEXT(($D1037-$C1037+1)+5,"00"),"")&amp;IF($C1037&gt;=7,", "&amp;$A1037&amp;"-"&amp;TEXT(($D1037-$C1037+1)+6,"00"),"")&amp;IF($C1037&gt;=8,", "&amp;$A1037&amp;"-"&amp;TEXT(($D1037-$C1037+1)+7,"00"),"")&amp;IF($C1037&gt;=9,", "&amp;$A1037&amp;"-"&amp;TEXT(($D1037-$C1037+1)+8,"00"),"")&amp;IF($C1037&gt;=10,", "&amp;$A1037&amp;"-"&amp;TEXT(($D1037-$C1037+1)+9,"00"),"")&amp;IF($C1037&gt;=11,", "&amp;$A1037&amp;"-"&amp;TEXT(($D1037-$C1037+1)+10,"00"),"")&amp;IF($C1037&gt;=12,", "&amp;$A1037&amp;"-"&amp;TEXT(($D1037-$C1037+1)+11,"00"),"")&amp;IF($C1037&gt;=13,", "&amp;$A1037&amp;"-"&amp;TEXT(($D1037-$C1037+1)+12,"00"),"")&amp;IF($C1037&gt;=14,", "&amp;$A1037&amp;"-"&amp;TEXT(($D1037-$C1037+1)+13,"00"),"")&amp;IF($C1037&gt;=15,", "&amp;$A1037&amp;"-"&amp;TEXT(($D1037-$C1037+1)+14,"00"),"")&amp;IF($C1037&gt;=16,", "&amp;$A1037&amp;"-"&amp;TEXT(($D1037-$C1037+1)+15,"00"),"")&amp;IF($C1037&gt;=17,", "&amp;$A1037&amp;"-"&amp;TEXT(($D1037-$C1037+1)+16,"00"),"")&amp;IF($C1037&gt;=18,", "&amp;$A1037&amp;"-"&amp;TEXT(($D1037-$C1037+1)+17,"00"),"")&amp;IF($C1037&gt;=19,", "&amp;$A1037&amp;"-"&amp;TEXT(($D1037-$C1037+1)+18,"00"),"")&amp;IF($C1037&gt;=20,", "&amp;$A1037&amp;"-"&amp;TEXT(($D1037-$C1037+1)+19,"00"),"")&amp;IF($C1037&gt;=21,", "&amp;$A1037&amp;"-"&amp;TEXT(($D1037-$C1037+1)+20,"00"),"")&amp;IF($C1037&gt;=22,", "&amp;$A1037&amp;"-"&amp;TEXT(($D1037-$C1037+1)+21,"00"),"")&amp;IF($C1037&gt;=23,", "&amp;$A1037&amp;"-"&amp;TEXT(($D1037-$C1037+1)+22,"00"),"")&amp;IF($C1037&gt;=24,", "&amp;$A1037&amp;"-"&amp;TEXT(($D1037-$C1037+1)+23,"00"),"")&amp;IF($C1037&gt;=25,", "&amp;$A1037&amp;"-"&amp;TEXT(($D1037-$C1037+1)+24,"00"),""))</f>
        <v/>
      </c>
      <c r="G1037">
        <f>IF($A1037="","",IF($E1037=1,$F1037,IF($F1037="",$G1036,IF($G1036="",$F1037,$G1036&amp;", "&amp;$F1037))))</f>
        <v/>
      </c>
      <c r="H1037">
        <f>IF($A1037="","",$A1037&amp;" ("&amp;$C1037&amp;")")</f>
        <v/>
      </c>
      <c r="I1037">
        <f>IF($A1037="","",IF($E1037=1,$H1037,$I1036&amp;", "&amp;$H1037))</f>
        <v/>
      </c>
      <c r="J1037">
        <f>IF($A1037="","",IF($E1037=1,$B1037,""))</f>
        <v/>
      </c>
      <c r="K1037">
        <f>IF($A1037="","",IF(COUNTIF($B$2:$B1037,$B1037)=COUNTIF($B$2:$B$1601,$B1037),$B1037,""))</f>
        <v/>
      </c>
    </row>
    <row r="1038">
      <c r="A1038">
        <f>IF('TMP Paste'!$E1038="","",'TMP Paste'!$E1038)</f>
        <v/>
      </c>
      <c r="B1038">
        <f>IF($A1038="","",COUNTIF('TMP Paste'!$B$2:$B1038,"?*"))</f>
        <v/>
      </c>
      <c r="C1038">
        <f>IF($A1038="","",IFERROR('TMP Paste'!$M1038*1,0))</f>
        <v/>
      </c>
      <c r="D1038">
        <f>IF($A1038="","",SUMIF($B$2:$B1038,$B1038,$C$2:$C1038))</f>
        <v/>
      </c>
      <c r="E1038">
        <f>IF($A1038="",0,IF('TMP Paste'!$B1038="",0,1))</f>
        <v/>
      </c>
      <c r="F1038">
        <f>IF(OR($A1038="",$C1038&lt;1),"",$A1038&amp;"-"&amp;TEXT(($D1038-$C1038+1),"00")&amp;IF($C1038&gt;=2,", "&amp;$A1038&amp;"-"&amp;TEXT(($D1038-$C1038+1)+1,"00"),"")&amp;IF($C1038&gt;=3,", "&amp;$A1038&amp;"-"&amp;TEXT(($D1038-$C1038+1)+2,"00"),"")&amp;IF($C1038&gt;=4,", "&amp;$A1038&amp;"-"&amp;TEXT(($D1038-$C1038+1)+3,"00"),"")&amp;IF($C1038&gt;=5,", "&amp;$A1038&amp;"-"&amp;TEXT(($D1038-$C1038+1)+4,"00"),"")&amp;IF($C1038&gt;=6,", "&amp;$A1038&amp;"-"&amp;TEXT(($D1038-$C1038+1)+5,"00"),"")&amp;IF($C1038&gt;=7,", "&amp;$A1038&amp;"-"&amp;TEXT(($D1038-$C1038+1)+6,"00"),"")&amp;IF($C1038&gt;=8,", "&amp;$A1038&amp;"-"&amp;TEXT(($D1038-$C1038+1)+7,"00"),"")&amp;IF($C1038&gt;=9,", "&amp;$A1038&amp;"-"&amp;TEXT(($D1038-$C1038+1)+8,"00"),"")&amp;IF($C1038&gt;=10,", "&amp;$A1038&amp;"-"&amp;TEXT(($D1038-$C1038+1)+9,"00"),"")&amp;IF($C1038&gt;=11,", "&amp;$A1038&amp;"-"&amp;TEXT(($D1038-$C1038+1)+10,"00"),"")&amp;IF($C1038&gt;=12,", "&amp;$A1038&amp;"-"&amp;TEXT(($D1038-$C1038+1)+11,"00"),"")&amp;IF($C1038&gt;=13,", "&amp;$A1038&amp;"-"&amp;TEXT(($D1038-$C1038+1)+12,"00"),"")&amp;IF($C1038&gt;=14,", "&amp;$A1038&amp;"-"&amp;TEXT(($D1038-$C1038+1)+13,"00"),"")&amp;IF($C1038&gt;=15,", "&amp;$A1038&amp;"-"&amp;TEXT(($D1038-$C1038+1)+14,"00"),"")&amp;IF($C1038&gt;=16,", "&amp;$A1038&amp;"-"&amp;TEXT(($D1038-$C1038+1)+15,"00"),"")&amp;IF($C1038&gt;=17,", "&amp;$A1038&amp;"-"&amp;TEXT(($D1038-$C1038+1)+16,"00"),"")&amp;IF($C1038&gt;=18,", "&amp;$A1038&amp;"-"&amp;TEXT(($D1038-$C1038+1)+17,"00"),"")&amp;IF($C1038&gt;=19,", "&amp;$A1038&amp;"-"&amp;TEXT(($D1038-$C1038+1)+18,"00"),"")&amp;IF($C1038&gt;=20,", "&amp;$A1038&amp;"-"&amp;TEXT(($D1038-$C1038+1)+19,"00"),"")&amp;IF($C1038&gt;=21,", "&amp;$A1038&amp;"-"&amp;TEXT(($D1038-$C1038+1)+20,"00"),"")&amp;IF($C1038&gt;=22,", "&amp;$A1038&amp;"-"&amp;TEXT(($D1038-$C1038+1)+21,"00"),"")&amp;IF($C1038&gt;=23,", "&amp;$A1038&amp;"-"&amp;TEXT(($D1038-$C1038+1)+22,"00"),"")&amp;IF($C1038&gt;=24,", "&amp;$A1038&amp;"-"&amp;TEXT(($D1038-$C1038+1)+23,"00"),"")&amp;IF($C1038&gt;=25,", "&amp;$A1038&amp;"-"&amp;TEXT(($D1038-$C1038+1)+24,"00"),""))</f>
        <v/>
      </c>
      <c r="G1038">
        <f>IF($A1038="","",IF($E1038=1,$F1038,IF($F1038="",$G1037,IF($G1037="",$F1038,$G1037&amp;", "&amp;$F1038))))</f>
        <v/>
      </c>
      <c r="H1038">
        <f>IF($A1038="","",$A1038&amp;" ("&amp;$C1038&amp;")")</f>
        <v/>
      </c>
      <c r="I1038">
        <f>IF($A1038="","",IF($E1038=1,$H1038,$I1037&amp;", "&amp;$H1038))</f>
        <v/>
      </c>
      <c r="J1038">
        <f>IF($A1038="","",IF($E1038=1,$B1038,""))</f>
        <v/>
      </c>
      <c r="K1038">
        <f>IF($A1038="","",IF(COUNTIF($B$2:$B1038,$B1038)=COUNTIF($B$2:$B$1601,$B1038),$B1038,""))</f>
        <v/>
      </c>
    </row>
    <row r="1039">
      <c r="A1039">
        <f>IF('TMP Paste'!$E1039="","",'TMP Paste'!$E1039)</f>
        <v/>
      </c>
      <c r="B1039">
        <f>IF($A1039="","",COUNTIF('TMP Paste'!$B$2:$B1039,"?*"))</f>
        <v/>
      </c>
      <c r="C1039">
        <f>IF($A1039="","",IFERROR('TMP Paste'!$M1039*1,0))</f>
        <v/>
      </c>
      <c r="D1039">
        <f>IF($A1039="","",SUMIF($B$2:$B1039,$B1039,$C$2:$C1039))</f>
        <v/>
      </c>
      <c r="E1039">
        <f>IF($A1039="",0,IF('TMP Paste'!$B1039="",0,1))</f>
        <v/>
      </c>
      <c r="F1039">
        <f>IF(OR($A1039="",$C1039&lt;1),"",$A1039&amp;"-"&amp;TEXT(($D1039-$C1039+1),"00")&amp;IF($C1039&gt;=2,", "&amp;$A1039&amp;"-"&amp;TEXT(($D1039-$C1039+1)+1,"00"),"")&amp;IF($C1039&gt;=3,", "&amp;$A1039&amp;"-"&amp;TEXT(($D1039-$C1039+1)+2,"00"),"")&amp;IF($C1039&gt;=4,", "&amp;$A1039&amp;"-"&amp;TEXT(($D1039-$C1039+1)+3,"00"),"")&amp;IF($C1039&gt;=5,", "&amp;$A1039&amp;"-"&amp;TEXT(($D1039-$C1039+1)+4,"00"),"")&amp;IF($C1039&gt;=6,", "&amp;$A1039&amp;"-"&amp;TEXT(($D1039-$C1039+1)+5,"00"),"")&amp;IF($C1039&gt;=7,", "&amp;$A1039&amp;"-"&amp;TEXT(($D1039-$C1039+1)+6,"00"),"")&amp;IF($C1039&gt;=8,", "&amp;$A1039&amp;"-"&amp;TEXT(($D1039-$C1039+1)+7,"00"),"")&amp;IF($C1039&gt;=9,", "&amp;$A1039&amp;"-"&amp;TEXT(($D1039-$C1039+1)+8,"00"),"")&amp;IF($C1039&gt;=10,", "&amp;$A1039&amp;"-"&amp;TEXT(($D1039-$C1039+1)+9,"00"),"")&amp;IF($C1039&gt;=11,", "&amp;$A1039&amp;"-"&amp;TEXT(($D1039-$C1039+1)+10,"00"),"")&amp;IF($C1039&gt;=12,", "&amp;$A1039&amp;"-"&amp;TEXT(($D1039-$C1039+1)+11,"00"),"")&amp;IF($C1039&gt;=13,", "&amp;$A1039&amp;"-"&amp;TEXT(($D1039-$C1039+1)+12,"00"),"")&amp;IF($C1039&gt;=14,", "&amp;$A1039&amp;"-"&amp;TEXT(($D1039-$C1039+1)+13,"00"),"")&amp;IF($C1039&gt;=15,", "&amp;$A1039&amp;"-"&amp;TEXT(($D1039-$C1039+1)+14,"00"),"")&amp;IF($C1039&gt;=16,", "&amp;$A1039&amp;"-"&amp;TEXT(($D1039-$C1039+1)+15,"00"),"")&amp;IF($C1039&gt;=17,", "&amp;$A1039&amp;"-"&amp;TEXT(($D1039-$C1039+1)+16,"00"),"")&amp;IF($C1039&gt;=18,", "&amp;$A1039&amp;"-"&amp;TEXT(($D1039-$C1039+1)+17,"00"),"")&amp;IF($C1039&gt;=19,", "&amp;$A1039&amp;"-"&amp;TEXT(($D1039-$C1039+1)+18,"00"),"")&amp;IF($C1039&gt;=20,", "&amp;$A1039&amp;"-"&amp;TEXT(($D1039-$C1039+1)+19,"00"),"")&amp;IF($C1039&gt;=21,", "&amp;$A1039&amp;"-"&amp;TEXT(($D1039-$C1039+1)+20,"00"),"")&amp;IF($C1039&gt;=22,", "&amp;$A1039&amp;"-"&amp;TEXT(($D1039-$C1039+1)+21,"00"),"")&amp;IF($C1039&gt;=23,", "&amp;$A1039&amp;"-"&amp;TEXT(($D1039-$C1039+1)+22,"00"),"")&amp;IF($C1039&gt;=24,", "&amp;$A1039&amp;"-"&amp;TEXT(($D1039-$C1039+1)+23,"00"),"")&amp;IF($C1039&gt;=25,", "&amp;$A1039&amp;"-"&amp;TEXT(($D1039-$C1039+1)+24,"00"),""))</f>
        <v/>
      </c>
      <c r="G1039">
        <f>IF($A1039="","",IF($E1039=1,$F1039,IF($F1039="",$G1038,IF($G1038="",$F1039,$G1038&amp;", "&amp;$F1039))))</f>
        <v/>
      </c>
      <c r="H1039">
        <f>IF($A1039="","",$A1039&amp;" ("&amp;$C1039&amp;")")</f>
        <v/>
      </c>
      <c r="I1039">
        <f>IF($A1039="","",IF($E1039=1,$H1039,$I1038&amp;", "&amp;$H1039))</f>
        <v/>
      </c>
      <c r="J1039">
        <f>IF($A1039="","",IF($E1039=1,$B1039,""))</f>
        <v/>
      </c>
      <c r="K1039">
        <f>IF($A1039="","",IF(COUNTIF($B$2:$B1039,$B1039)=COUNTIF($B$2:$B$1601,$B1039),$B1039,""))</f>
        <v/>
      </c>
    </row>
    <row r="1040">
      <c r="A1040">
        <f>IF('TMP Paste'!$E1040="","",'TMP Paste'!$E1040)</f>
        <v/>
      </c>
      <c r="B1040">
        <f>IF($A1040="","",COUNTIF('TMP Paste'!$B$2:$B1040,"?*"))</f>
        <v/>
      </c>
      <c r="C1040">
        <f>IF($A1040="","",IFERROR('TMP Paste'!$M1040*1,0))</f>
        <v/>
      </c>
      <c r="D1040">
        <f>IF($A1040="","",SUMIF($B$2:$B1040,$B1040,$C$2:$C1040))</f>
        <v/>
      </c>
      <c r="E1040">
        <f>IF($A1040="",0,IF('TMP Paste'!$B1040="",0,1))</f>
        <v/>
      </c>
      <c r="F1040">
        <f>IF(OR($A1040="",$C1040&lt;1),"",$A1040&amp;"-"&amp;TEXT(($D1040-$C1040+1),"00")&amp;IF($C1040&gt;=2,", "&amp;$A1040&amp;"-"&amp;TEXT(($D1040-$C1040+1)+1,"00"),"")&amp;IF($C1040&gt;=3,", "&amp;$A1040&amp;"-"&amp;TEXT(($D1040-$C1040+1)+2,"00"),"")&amp;IF($C1040&gt;=4,", "&amp;$A1040&amp;"-"&amp;TEXT(($D1040-$C1040+1)+3,"00"),"")&amp;IF($C1040&gt;=5,", "&amp;$A1040&amp;"-"&amp;TEXT(($D1040-$C1040+1)+4,"00"),"")&amp;IF($C1040&gt;=6,", "&amp;$A1040&amp;"-"&amp;TEXT(($D1040-$C1040+1)+5,"00"),"")&amp;IF($C1040&gt;=7,", "&amp;$A1040&amp;"-"&amp;TEXT(($D1040-$C1040+1)+6,"00"),"")&amp;IF($C1040&gt;=8,", "&amp;$A1040&amp;"-"&amp;TEXT(($D1040-$C1040+1)+7,"00"),"")&amp;IF($C1040&gt;=9,", "&amp;$A1040&amp;"-"&amp;TEXT(($D1040-$C1040+1)+8,"00"),"")&amp;IF($C1040&gt;=10,", "&amp;$A1040&amp;"-"&amp;TEXT(($D1040-$C1040+1)+9,"00"),"")&amp;IF($C1040&gt;=11,", "&amp;$A1040&amp;"-"&amp;TEXT(($D1040-$C1040+1)+10,"00"),"")&amp;IF($C1040&gt;=12,", "&amp;$A1040&amp;"-"&amp;TEXT(($D1040-$C1040+1)+11,"00"),"")&amp;IF($C1040&gt;=13,", "&amp;$A1040&amp;"-"&amp;TEXT(($D1040-$C1040+1)+12,"00"),"")&amp;IF($C1040&gt;=14,", "&amp;$A1040&amp;"-"&amp;TEXT(($D1040-$C1040+1)+13,"00"),"")&amp;IF($C1040&gt;=15,", "&amp;$A1040&amp;"-"&amp;TEXT(($D1040-$C1040+1)+14,"00"),"")&amp;IF($C1040&gt;=16,", "&amp;$A1040&amp;"-"&amp;TEXT(($D1040-$C1040+1)+15,"00"),"")&amp;IF($C1040&gt;=17,", "&amp;$A1040&amp;"-"&amp;TEXT(($D1040-$C1040+1)+16,"00"),"")&amp;IF($C1040&gt;=18,", "&amp;$A1040&amp;"-"&amp;TEXT(($D1040-$C1040+1)+17,"00"),"")&amp;IF($C1040&gt;=19,", "&amp;$A1040&amp;"-"&amp;TEXT(($D1040-$C1040+1)+18,"00"),"")&amp;IF($C1040&gt;=20,", "&amp;$A1040&amp;"-"&amp;TEXT(($D1040-$C1040+1)+19,"00"),"")&amp;IF($C1040&gt;=21,", "&amp;$A1040&amp;"-"&amp;TEXT(($D1040-$C1040+1)+20,"00"),"")&amp;IF($C1040&gt;=22,", "&amp;$A1040&amp;"-"&amp;TEXT(($D1040-$C1040+1)+21,"00"),"")&amp;IF($C1040&gt;=23,", "&amp;$A1040&amp;"-"&amp;TEXT(($D1040-$C1040+1)+22,"00"),"")&amp;IF($C1040&gt;=24,", "&amp;$A1040&amp;"-"&amp;TEXT(($D1040-$C1040+1)+23,"00"),"")&amp;IF($C1040&gt;=25,", "&amp;$A1040&amp;"-"&amp;TEXT(($D1040-$C1040+1)+24,"00"),""))</f>
        <v/>
      </c>
      <c r="G1040">
        <f>IF($A1040="","",IF($E1040=1,$F1040,IF($F1040="",$G1039,IF($G1039="",$F1040,$G1039&amp;", "&amp;$F1040))))</f>
        <v/>
      </c>
      <c r="H1040">
        <f>IF($A1040="","",$A1040&amp;" ("&amp;$C1040&amp;")")</f>
        <v/>
      </c>
      <c r="I1040">
        <f>IF($A1040="","",IF($E1040=1,$H1040,$I1039&amp;", "&amp;$H1040))</f>
        <v/>
      </c>
      <c r="J1040">
        <f>IF($A1040="","",IF($E1040=1,$B1040,""))</f>
        <v/>
      </c>
      <c r="K1040">
        <f>IF($A1040="","",IF(COUNTIF($B$2:$B1040,$B1040)=COUNTIF($B$2:$B$1601,$B1040),$B1040,""))</f>
        <v/>
      </c>
    </row>
    <row r="1041">
      <c r="A1041">
        <f>IF('TMP Paste'!$E1041="","",'TMP Paste'!$E1041)</f>
        <v/>
      </c>
      <c r="B1041">
        <f>IF($A1041="","",COUNTIF('TMP Paste'!$B$2:$B1041,"?*"))</f>
        <v/>
      </c>
      <c r="C1041">
        <f>IF($A1041="","",IFERROR('TMP Paste'!$M1041*1,0))</f>
        <v/>
      </c>
      <c r="D1041">
        <f>IF($A1041="","",SUMIF($B$2:$B1041,$B1041,$C$2:$C1041))</f>
        <v/>
      </c>
      <c r="E1041">
        <f>IF($A1041="",0,IF('TMP Paste'!$B1041="",0,1))</f>
        <v/>
      </c>
      <c r="F1041">
        <f>IF(OR($A1041="",$C1041&lt;1),"",$A1041&amp;"-"&amp;TEXT(($D1041-$C1041+1),"00")&amp;IF($C1041&gt;=2,", "&amp;$A1041&amp;"-"&amp;TEXT(($D1041-$C1041+1)+1,"00"),"")&amp;IF($C1041&gt;=3,", "&amp;$A1041&amp;"-"&amp;TEXT(($D1041-$C1041+1)+2,"00"),"")&amp;IF($C1041&gt;=4,", "&amp;$A1041&amp;"-"&amp;TEXT(($D1041-$C1041+1)+3,"00"),"")&amp;IF($C1041&gt;=5,", "&amp;$A1041&amp;"-"&amp;TEXT(($D1041-$C1041+1)+4,"00"),"")&amp;IF($C1041&gt;=6,", "&amp;$A1041&amp;"-"&amp;TEXT(($D1041-$C1041+1)+5,"00"),"")&amp;IF($C1041&gt;=7,", "&amp;$A1041&amp;"-"&amp;TEXT(($D1041-$C1041+1)+6,"00"),"")&amp;IF($C1041&gt;=8,", "&amp;$A1041&amp;"-"&amp;TEXT(($D1041-$C1041+1)+7,"00"),"")&amp;IF($C1041&gt;=9,", "&amp;$A1041&amp;"-"&amp;TEXT(($D1041-$C1041+1)+8,"00"),"")&amp;IF($C1041&gt;=10,", "&amp;$A1041&amp;"-"&amp;TEXT(($D1041-$C1041+1)+9,"00"),"")&amp;IF($C1041&gt;=11,", "&amp;$A1041&amp;"-"&amp;TEXT(($D1041-$C1041+1)+10,"00"),"")&amp;IF($C1041&gt;=12,", "&amp;$A1041&amp;"-"&amp;TEXT(($D1041-$C1041+1)+11,"00"),"")&amp;IF($C1041&gt;=13,", "&amp;$A1041&amp;"-"&amp;TEXT(($D1041-$C1041+1)+12,"00"),"")&amp;IF($C1041&gt;=14,", "&amp;$A1041&amp;"-"&amp;TEXT(($D1041-$C1041+1)+13,"00"),"")&amp;IF($C1041&gt;=15,", "&amp;$A1041&amp;"-"&amp;TEXT(($D1041-$C1041+1)+14,"00"),"")&amp;IF($C1041&gt;=16,", "&amp;$A1041&amp;"-"&amp;TEXT(($D1041-$C1041+1)+15,"00"),"")&amp;IF($C1041&gt;=17,", "&amp;$A1041&amp;"-"&amp;TEXT(($D1041-$C1041+1)+16,"00"),"")&amp;IF($C1041&gt;=18,", "&amp;$A1041&amp;"-"&amp;TEXT(($D1041-$C1041+1)+17,"00"),"")&amp;IF($C1041&gt;=19,", "&amp;$A1041&amp;"-"&amp;TEXT(($D1041-$C1041+1)+18,"00"),"")&amp;IF($C1041&gt;=20,", "&amp;$A1041&amp;"-"&amp;TEXT(($D1041-$C1041+1)+19,"00"),"")&amp;IF($C1041&gt;=21,", "&amp;$A1041&amp;"-"&amp;TEXT(($D1041-$C1041+1)+20,"00"),"")&amp;IF($C1041&gt;=22,", "&amp;$A1041&amp;"-"&amp;TEXT(($D1041-$C1041+1)+21,"00"),"")&amp;IF($C1041&gt;=23,", "&amp;$A1041&amp;"-"&amp;TEXT(($D1041-$C1041+1)+22,"00"),"")&amp;IF($C1041&gt;=24,", "&amp;$A1041&amp;"-"&amp;TEXT(($D1041-$C1041+1)+23,"00"),"")&amp;IF($C1041&gt;=25,", "&amp;$A1041&amp;"-"&amp;TEXT(($D1041-$C1041+1)+24,"00"),""))</f>
        <v/>
      </c>
      <c r="G1041">
        <f>IF($A1041="","",IF($E1041=1,$F1041,IF($F1041="",$G1040,IF($G1040="",$F1041,$G1040&amp;", "&amp;$F1041))))</f>
        <v/>
      </c>
      <c r="H1041">
        <f>IF($A1041="","",$A1041&amp;" ("&amp;$C1041&amp;")")</f>
        <v/>
      </c>
      <c r="I1041">
        <f>IF($A1041="","",IF($E1041=1,$H1041,$I1040&amp;", "&amp;$H1041))</f>
        <v/>
      </c>
      <c r="J1041">
        <f>IF($A1041="","",IF($E1041=1,$B1041,""))</f>
        <v/>
      </c>
      <c r="K1041">
        <f>IF($A1041="","",IF(COUNTIF($B$2:$B1041,$B1041)=COUNTIF($B$2:$B$1601,$B1041),$B1041,""))</f>
        <v/>
      </c>
    </row>
    <row r="1042">
      <c r="A1042">
        <f>IF('TMP Paste'!$E1042="","",'TMP Paste'!$E1042)</f>
        <v/>
      </c>
      <c r="B1042">
        <f>IF($A1042="","",COUNTIF('TMP Paste'!$B$2:$B1042,"?*"))</f>
        <v/>
      </c>
      <c r="C1042">
        <f>IF($A1042="","",IFERROR('TMP Paste'!$M1042*1,0))</f>
        <v/>
      </c>
      <c r="D1042">
        <f>IF($A1042="","",SUMIF($B$2:$B1042,$B1042,$C$2:$C1042))</f>
        <v/>
      </c>
      <c r="E1042">
        <f>IF($A1042="",0,IF('TMP Paste'!$B1042="",0,1))</f>
        <v/>
      </c>
      <c r="F1042">
        <f>IF(OR($A1042="",$C1042&lt;1),"",$A1042&amp;"-"&amp;TEXT(($D1042-$C1042+1),"00")&amp;IF($C1042&gt;=2,", "&amp;$A1042&amp;"-"&amp;TEXT(($D1042-$C1042+1)+1,"00"),"")&amp;IF($C1042&gt;=3,", "&amp;$A1042&amp;"-"&amp;TEXT(($D1042-$C1042+1)+2,"00"),"")&amp;IF($C1042&gt;=4,", "&amp;$A1042&amp;"-"&amp;TEXT(($D1042-$C1042+1)+3,"00"),"")&amp;IF($C1042&gt;=5,", "&amp;$A1042&amp;"-"&amp;TEXT(($D1042-$C1042+1)+4,"00"),"")&amp;IF($C1042&gt;=6,", "&amp;$A1042&amp;"-"&amp;TEXT(($D1042-$C1042+1)+5,"00"),"")&amp;IF($C1042&gt;=7,", "&amp;$A1042&amp;"-"&amp;TEXT(($D1042-$C1042+1)+6,"00"),"")&amp;IF($C1042&gt;=8,", "&amp;$A1042&amp;"-"&amp;TEXT(($D1042-$C1042+1)+7,"00"),"")&amp;IF($C1042&gt;=9,", "&amp;$A1042&amp;"-"&amp;TEXT(($D1042-$C1042+1)+8,"00"),"")&amp;IF($C1042&gt;=10,", "&amp;$A1042&amp;"-"&amp;TEXT(($D1042-$C1042+1)+9,"00"),"")&amp;IF($C1042&gt;=11,", "&amp;$A1042&amp;"-"&amp;TEXT(($D1042-$C1042+1)+10,"00"),"")&amp;IF($C1042&gt;=12,", "&amp;$A1042&amp;"-"&amp;TEXT(($D1042-$C1042+1)+11,"00"),"")&amp;IF($C1042&gt;=13,", "&amp;$A1042&amp;"-"&amp;TEXT(($D1042-$C1042+1)+12,"00"),"")&amp;IF($C1042&gt;=14,", "&amp;$A1042&amp;"-"&amp;TEXT(($D1042-$C1042+1)+13,"00"),"")&amp;IF($C1042&gt;=15,", "&amp;$A1042&amp;"-"&amp;TEXT(($D1042-$C1042+1)+14,"00"),"")&amp;IF($C1042&gt;=16,", "&amp;$A1042&amp;"-"&amp;TEXT(($D1042-$C1042+1)+15,"00"),"")&amp;IF($C1042&gt;=17,", "&amp;$A1042&amp;"-"&amp;TEXT(($D1042-$C1042+1)+16,"00"),"")&amp;IF($C1042&gt;=18,", "&amp;$A1042&amp;"-"&amp;TEXT(($D1042-$C1042+1)+17,"00"),"")&amp;IF($C1042&gt;=19,", "&amp;$A1042&amp;"-"&amp;TEXT(($D1042-$C1042+1)+18,"00"),"")&amp;IF($C1042&gt;=20,", "&amp;$A1042&amp;"-"&amp;TEXT(($D1042-$C1042+1)+19,"00"),"")&amp;IF($C1042&gt;=21,", "&amp;$A1042&amp;"-"&amp;TEXT(($D1042-$C1042+1)+20,"00"),"")&amp;IF($C1042&gt;=22,", "&amp;$A1042&amp;"-"&amp;TEXT(($D1042-$C1042+1)+21,"00"),"")&amp;IF($C1042&gt;=23,", "&amp;$A1042&amp;"-"&amp;TEXT(($D1042-$C1042+1)+22,"00"),"")&amp;IF($C1042&gt;=24,", "&amp;$A1042&amp;"-"&amp;TEXT(($D1042-$C1042+1)+23,"00"),"")&amp;IF($C1042&gt;=25,", "&amp;$A1042&amp;"-"&amp;TEXT(($D1042-$C1042+1)+24,"00"),""))</f>
        <v/>
      </c>
      <c r="G1042">
        <f>IF($A1042="","",IF($E1042=1,$F1042,IF($F1042="",$G1041,IF($G1041="",$F1042,$G1041&amp;", "&amp;$F1042))))</f>
        <v/>
      </c>
      <c r="H1042">
        <f>IF($A1042="","",$A1042&amp;" ("&amp;$C1042&amp;")")</f>
        <v/>
      </c>
      <c r="I1042">
        <f>IF($A1042="","",IF($E1042=1,$H1042,$I1041&amp;", "&amp;$H1042))</f>
        <v/>
      </c>
      <c r="J1042">
        <f>IF($A1042="","",IF($E1042=1,$B1042,""))</f>
        <v/>
      </c>
      <c r="K1042">
        <f>IF($A1042="","",IF(COUNTIF($B$2:$B1042,$B1042)=COUNTIF($B$2:$B$1601,$B1042),$B1042,""))</f>
        <v/>
      </c>
    </row>
    <row r="1043">
      <c r="A1043">
        <f>IF('TMP Paste'!$E1043="","",'TMP Paste'!$E1043)</f>
        <v/>
      </c>
      <c r="B1043">
        <f>IF($A1043="","",COUNTIF('TMP Paste'!$B$2:$B1043,"?*"))</f>
        <v/>
      </c>
      <c r="C1043">
        <f>IF($A1043="","",IFERROR('TMP Paste'!$M1043*1,0))</f>
        <v/>
      </c>
      <c r="D1043">
        <f>IF($A1043="","",SUMIF($B$2:$B1043,$B1043,$C$2:$C1043))</f>
        <v/>
      </c>
      <c r="E1043">
        <f>IF($A1043="",0,IF('TMP Paste'!$B1043="",0,1))</f>
        <v/>
      </c>
      <c r="F1043">
        <f>IF(OR($A1043="",$C1043&lt;1),"",$A1043&amp;"-"&amp;TEXT(($D1043-$C1043+1),"00")&amp;IF($C1043&gt;=2,", "&amp;$A1043&amp;"-"&amp;TEXT(($D1043-$C1043+1)+1,"00"),"")&amp;IF($C1043&gt;=3,", "&amp;$A1043&amp;"-"&amp;TEXT(($D1043-$C1043+1)+2,"00"),"")&amp;IF($C1043&gt;=4,", "&amp;$A1043&amp;"-"&amp;TEXT(($D1043-$C1043+1)+3,"00"),"")&amp;IF($C1043&gt;=5,", "&amp;$A1043&amp;"-"&amp;TEXT(($D1043-$C1043+1)+4,"00"),"")&amp;IF($C1043&gt;=6,", "&amp;$A1043&amp;"-"&amp;TEXT(($D1043-$C1043+1)+5,"00"),"")&amp;IF($C1043&gt;=7,", "&amp;$A1043&amp;"-"&amp;TEXT(($D1043-$C1043+1)+6,"00"),"")&amp;IF($C1043&gt;=8,", "&amp;$A1043&amp;"-"&amp;TEXT(($D1043-$C1043+1)+7,"00"),"")&amp;IF($C1043&gt;=9,", "&amp;$A1043&amp;"-"&amp;TEXT(($D1043-$C1043+1)+8,"00"),"")&amp;IF($C1043&gt;=10,", "&amp;$A1043&amp;"-"&amp;TEXT(($D1043-$C1043+1)+9,"00"),"")&amp;IF($C1043&gt;=11,", "&amp;$A1043&amp;"-"&amp;TEXT(($D1043-$C1043+1)+10,"00"),"")&amp;IF($C1043&gt;=12,", "&amp;$A1043&amp;"-"&amp;TEXT(($D1043-$C1043+1)+11,"00"),"")&amp;IF($C1043&gt;=13,", "&amp;$A1043&amp;"-"&amp;TEXT(($D1043-$C1043+1)+12,"00"),"")&amp;IF($C1043&gt;=14,", "&amp;$A1043&amp;"-"&amp;TEXT(($D1043-$C1043+1)+13,"00"),"")&amp;IF($C1043&gt;=15,", "&amp;$A1043&amp;"-"&amp;TEXT(($D1043-$C1043+1)+14,"00"),"")&amp;IF($C1043&gt;=16,", "&amp;$A1043&amp;"-"&amp;TEXT(($D1043-$C1043+1)+15,"00"),"")&amp;IF($C1043&gt;=17,", "&amp;$A1043&amp;"-"&amp;TEXT(($D1043-$C1043+1)+16,"00"),"")&amp;IF($C1043&gt;=18,", "&amp;$A1043&amp;"-"&amp;TEXT(($D1043-$C1043+1)+17,"00"),"")&amp;IF($C1043&gt;=19,", "&amp;$A1043&amp;"-"&amp;TEXT(($D1043-$C1043+1)+18,"00"),"")&amp;IF($C1043&gt;=20,", "&amp;$A1043&amp;"-"&amp;TEXT(($D1043-$C1043+1)+19,"00"),"")&amp;IF($C1043&gt;=21,", "&amp;$A1043&amp;"-"&amp;TEXT(($D1043-$C1043+1)+20,"00"),"")&amp;IF($C1043&gt;=22,", "&amp;$A1043&amp;"-"&amp;TEXT(($D1043-$C1043+1)+21,"00"),"")&amp;IF($C1043&gt;=23,", "&amp;$A1043&amp;"-"&amp;TEXT(($D1043-$C1043+1)+22,"00"),"")&amp;IF($C1043&gt;=24,", "&amp;$A1043&amp;"-"&amp;TEXT(($D1043-$C1043+1)+23,"00"),"")&amp;IF($C1043&gt;=25,", "&amp;$A1043&amp;"-"&amp;TEXT(($D1043-$C1043+1)+24,"00"),""))</f>
        <v/>
      </c>
      <c r="G1043">
        <f>IF($A1043="","",IF($E1043=1,$F1043,IF($F1043="",$G1042,IF($G1042="",$F1043,$G1042&amp;", "&amp;$F1043))))</f>
        <v/>
      </c>
      <c r="H1043">
        <f>IF($A1043="","",$A1043&amp;" ("&amp;$C1043&amp;")")</f>
        <v/>
      </c>
      <c r="I1043">
        <f>IF($A1043="","",IF($E1043=1,$H1043,$I1042&amp;", "&amp;$H1043))</f>
        <v/>
      </c>
      <c r="J1043">
        <f>IF($A1043="","",IF($E1043=1,$B1043,""))</f>
        <v/>
      </c>
      <c r="K1043">
        <f>IF($A1043="","",IF(COUNTIF($B$2:$B1043,$B1043)=COUNTIF($B$2:$B$1601,$B1043),$B1043,""))</f>
        <v/>
      </c>
    </row>
    <row r="1044">
      <c r="A1044">
        <f>IF('TMP Paste'!$E1044="","",'TMP Paste'!$E1044)</f>
        <v/>
      </c>
      <c r="B1044">
        <f>IF($A1044="","",COUNTIF('TMP Paste'!$B$2:$B1044,"?*"))</f>
        <v/>
      </c>
      <c r="C1044">
        <f>IF($A1044="","",IFERROR('TMP Paste'!$M1044*1,0))</f>
        <v/>
      </c>
      <c r="D1044">
        <f>IF($A1044="","",SUMIF($B$2:$B1044,$B1044,$C$2:$C1044))</f>
        <v/>
      </c>
      <c r="E1044">
        <f>IF($A1044="",0,IF('TMP Paste'!$B1044="",0,1))</f>
        <v/>
      </c>
      <c r="F1044">
        <f>IF(OR($A1044="",$C1044&lt;1),"",$A1044&amp;"-"&amp;TEXT(($D1044-$C1044+1),"00")&amp;IF($C1044&gt;=2,", "&amp;$A1044&amp;"-"&amp;TEXT(($D1044-$C1044+1)+1,"00"),"")&amp;IF($C1044&gt;=3,", "&amp;$A1044&amp;"-"&amp;TEXT(($D1044-$C1044+1)+2,"00"),"")&amp;IF($C1044&gt;=4,", "&amp;$A1044&amp;"-"&amp;TEXT(($D1044-$C1044+1)+3,"00"),"")&amp;IF($C1044&gt;=5,", "&amp;$A1044&amp;"-"&amp;TEXT(($D1044-$C1044+1)+4,"00"),"")&amp;IF($C1044&gt;=6,", "&amp;$A1044&amp;"-"&amp;TEXT(($D1044-$C1044+1)+5,"00"),"")&amp;IF($C1044&gt;=7,", "&amp;$A1044&amp;"-"&amp;TEXT(($D1044-$C1044+1)+6,"00"),"")&amp;IF($C1044&gt;=8,", "&amp;$A1044&amp;"-"&amp;TEXT(($D1044-$C1044+1)+7,"00"),"")&amp;IF($C1044&gt;=9,", "&amp;$A1044&amp;"-"&amp;TEXT(($D1044-$C1044+1)+8,"00"),"")&amp;IF($C1044&gt;=10,", "&amp;$A1044&amp;"-"&amp;TEXT(($D1044-$C1044+1)+9,"00"),"")&amp;IF($C1044&gt;=11,", "&amp;$A1044&amp;"-"&amp;TEXT(($D1044-$C1044+1)+10,"00"),"")&amp;IF($C1044&gt;=12,", "&amp;$A1044&amp;"-"&amp;TEXT(($D1044-$C1044+1)+11,"00"),"")&amp;IF($C1044&gt;=13,", "&amp;$A1044&amp;"-"&amp;TEXT(($D1044-$C1044+1)+12,"00"),"")&amp;IF($C1044&gt;=14,", "&amp;$A1044&amp;"-"&amp;TEXT(($D1044-$C1044+1)+13,"00"),"")&amp;IF($C1044&gt;=15,", "&amp;$A1044&amp;"-"&amp;TEXT(($D1044-$C1044+1)+14,"00"),"")&amp;IF($C1044&gt;=16,", "&amp;$A1044&amp;"-"&amp;TEXT(($D1044-$C1044+1)+15,"00"),"")&amp;IF($C1044&gt;=17,", "&amp;$A1044&amp;"-"&amp;TEXT(($D1044-$C1044+1)+16,"00"),"")&amp;IF($C1044&gt;=18,", "&amp;$A1044&amp;"-"&amp;TEXT(($D1044-$C1044+1)+17,"00"),"")&amp;IF($C1044&gt;=19,", "&amp;$A1044&amp;"-"&amp;TEXT(($D1044-$C1044+1)+18,"00"),"")&amp;IF($C1044&gt;=20,", "&amp;$A1044&amp;"-"&amp;TEXT(($D1044-$C1044+1)+19,"00"),"")&amp;IF($C1044&gt;=21,", "&amp;$A1044&amp;"-"&amp;TEXT(($D1044-$C1044+1)+20,"00"),"")&amp;IF($C1044&gt;=22,", "&amp;$A1044&amp;"-"&amp;TEXT(($D1044-$C1044+1)+21,"00"),"")&amp;IF($C1044&gt;=23,", "&amp;$A1044&amp;"-"&amp;TEXT(($D1044-$C1044+1)+22,"00"),"")&amp;IF($C1044&gt;=24,", "&amp;$A1044&amp;"-"&amp;TEXT(($D1044-$C1044+1)+23,"00"),"")&amp;IF($C1044&gt;=25,", "&amp;$A1044&amp;"-"&amp;TEXT(($D1044-$C1044+1)+24,"00"),""))</f>
        <v/>
      </c>
      <c r="G1044">
        <f>IF($A1044="","",IF($E1044=1,$F1044,IF($F1044="",$G1043,IF($G1043="",$F1044,$G1043&amp;", "&amp;$F1044))))</f>
        <v/>
      </c>
      <c r="H1044">
        <f>IF($A1044="","",$A1044&amp;" ("&amp;$C1044&amp;")")</f>
        <v/>
      </c>
      <c r="I1044">
        <f>IF($A1044="","",IF($E1044=1,$H1044,$I1043&amp;", "&amp;$H1044))</f>
        <v/>
      </c>
      <c r="J1044">
        <f>IF($A1044="","",IF($E1044=1,$B1044,""))</f>
        <v/>
      </c>
      <c r="K1044">
        <f>IF($A1044="","",IF(COUNTIF($B$2:$B1044,$B1044)=COUNTIF($B$2:$B$1601,$B1044),$B1044,""))</f>
        <v/>
      </c>
    </row>
    <row r="1045">
      <c r="A1045">
        <f>IF('TMP Paste'!$E1045="","",'TMP Paste'!$E1045)</f>
        <v/>
      </c>
      <c r="B1045">
        <f>IF($A1045="","",COUNTIF('TMP Paste'!$B$2:$B1045,"?*"))</f>
        <v/>
      </c>
      <c r="C1045">
        <f>IF($A1045="","",IFERROR('TMP Paste'!$M1045*1,0))</f>
        <v/>
      </c>
      <c r="D1045">
        <f>IF($A1045="","",SUMIF($B$2:$B1045,$B1045,$C$2:$C1045))</f>
        <v/>
      </c>
      <c r="E1045">
        <f>IF($A1045="",0,IF('TMP Paste'!$B1045="",0,1))</f>
        <v/>
      </c>
      <c r="F1045">
        <f>IF(OR($A1045="",$C1045&lt;1),"",$A1045&amp;"-"&amp;TEXT(($D1045-$C1045+1),"00")&amp;IF($C1045&gt;=2,", "&amp;$A1045&amp;"-"&amp;TEXT(($D1045-$C1045+1)+1,"00"),"")&amp;IF($C1045&gt;=3,", "&amp;$A1045&amp;"-"&amp;TEXT(($D1045-$C1045+1)+2,"00"),"")&amp;IF($C1045&gt;=4,", "&amp;$A1045&amp;"-"&amp;TEXT(($D1045-$C1045+1)+3,"00"),"")&amp;IF($C1045&gt;=5,", "&amp;$A1045&amp;"-"&amp;TEXT(($D1045-$C1045+1)+4,"00"),"")&amp;IF($C1045&gt;=6,", "&amp;$A1045&amp;"-"&amp;TEXT(($D1045-$C1045+1)+5,"00"),"")&amp;IF($C1045&gt;=7,", "&amp;$A1045&amp;"-"&amp;TEXT(($D1045-$C1045+1)+6,"00"),"")&amp;IF($C1045&gt;=8,", "&amp;$A1045&amp;"-"&amp;TEXT(($D1045-$C1045+1)+7,"00"),"")&amp;IF($C1045&gt;=9,", "&amp;$A1045&amp;"-"&amp;TEXT(($D1045-$C1045+1)+8,"00"),"")&amp;IF($C1045&gt;=10,", "&amp;$A1045&amp;"-"&amp;TEXT(($D1045-$C1045+1)+9,"00"),"")&amp;IF($C1045&gt;=11,", "&amp;$A1045&amp;"-"&amp;TEXT(($D1045-$C1045+1)+10,"00"),"")&amp;IF($C1045&gt;=12,", "&amp;$A1045&amp;"-"&amp;TEXT(($D1045-$C1045+1)+11,"00"),"")&amp;IF($C1045&gt;=13,", "&amp;$A1045&amp;"-"&amp;TEXT(($D1045-$C1045+1)+12,"00"),"")&amp;IF($C1045&gt;=14,", "&amp;$A1045&amp;"-"&amp;TEXT(($D1045-$C1045+1)+13,"00"),"")&amp;IF($C1045&gt;=15,", "&amp;$A1045&amp;"-"&amp;TEXT(($D1045-$C1045+1)+14,"00"),"")&amp;IF($C1045&gt;=16,", "&amp;$A1045&amp;"-"&amp;TEXT(($D1045-$C1045+1)+15,"00"),"")&amp;IF($C1045&gt;=17,", "&amp;$A1045&amp;"-"&amp;TEXT(($D1045-$C1045+1)+16,"00"),"")&amp;IF($C1045&gt;=18,", "&amp;$A1045&amp;"-"&amp;TEXT(($D1045-$C1045+1)+17,"00"),"")&amp;IF($C1045&gt;=19,", "&amp;$A1045&amp;"-"&amp;TEXT(($D1045-$C1045+1)+18,"00"),"")&amp;IF($C1045&gt;=20,", "&amp;$A1045&amp;"-"&amp;TEXT(($D1045-$C1045+1)+19,"00"),"")&amp;IF($C1045&gt;=21,", "&amp;$A1045&amp;"-"&amp;TEXT(($D1045-$C1045+1)+20,"00"),"")&amp;IF($C1045&gt;=22,", "&amp;$A1045&amp;"-"&amp;TEXT(($D1045-$C1045+1)+21,"00"),"")&amp;IF($C1045&gt;=23,", "&amp;$A1045&amp;"-"&amp;TEXT(($D1045-$C1045+1)+22,"00"),"")&amp;IF($C1045&gt;=24,", "&amp;$A1045&amp;"-"&amp;TEXT(($D1045-$C1045+1)+23,"00"),"")&amp;IF($C1045&gt;=25,", "&amp;$A1045&amp;"-"&amp;TEXT(($D1045-$C1045+1)+24,"00"),""))</f>
        <v/>
      </c>
      <c r="G1045">
        <f>IF($A1045="","",IF($E1045=1,$F1045,IF($F1045="",$G1044,IF($G1044="",$F1045,$G1044&amp;", "&amp;$F1045))))</f>
        <v/>
      </c>
      <c r="H1045">
        <f>IF($A1045="","",$A1045&amp;" ("&amp;$C1045&amp;")")</f>
        <v/>
      </c>
      <c r="I1045">
        <f>IF($A1045="","",IF($E1045=1,$H1045,$I1044&amp;", "&amp;$H1045))</f>
        <v/>
      </c>
      <c r="J1045">
        <f>IF($A1045="","",IF($E1045=1,$B1045,""))</f>
        <v/>
      </c>
      <c r="K1045">
        <f>IF($A1045="","",IF(COUNTIF($B$2:$B1045,$B1045)=COUNTIF($B$2:$B$1601,$B1045),$B1045,""))</f>
        <v/>
      </c>
    </row>
    <row r="1046">
      <c r="A1046">
        <f>IF('TMP Paste'!$E1046="","",'TMP Paste'!$E1046)</f>
        <v/>
      </c>
      <c r="B1046">
        <f>IF($A1046="","",COUNTIF('TMP Paste'!$B$2:$B1046,"?*"))</f>
        <v/>
      </c>
      <c r="C1046">
        <f>IF($A1046="","",IFERROR('TMP Paste'!$M1046*1,0))</f>
        <v/>
      </c>
      <c r="D1046">
        <f>IF($A1046="","",SUMIF($B$2:$B1046,$B1046,$C$2:$C1046))</f>
        <v/>
      </c>
      <c r="E1046">
        <f>IF($A1046="",0,IF('TMP Paste'!$B1046="",0,1))</f>
        <v/>
      </c>
      <c r="F1046">
        <f>IF(OR($A1046="",$C1046&lt;1),"",$A1046&amp;"-"&amp;TEXT(($D1046-$C1046+1),"00")&amp;IF($C1046&gt;=2,", "&amp;$A1046&amp;"-"&amp;TEXT(($D1046-$C1046+1)+1,"00"),"")&amp;IF($C1046&gt;=3,", "&amp;$A1046&amp;"-"&amp;TEXT(($D1046-$C1046+1)+2,"00"),"")&amp;IF($C1046&gt;=4,", "&amp;$A1046&amp;"-"&amp;TEXT(($D1046-$C1046+1)+3,"00"),"")&amp;IF($C1046&gt;=5,", "&amp;$A1046&amp;"-"&amp;TEXT(($D1046-$C1046+1)+4,"00"),"")&amp;IF($C1046&gt;=6,", "&amp;$A1046&amp;"-"&amp;TEXT(($D1046-$C1046+1)+5,"00"),"")&amp;IF($C1046&gt;=7,", "&amp;$A1046&amp;"-"&amp;TEXT(($D1046-$C1046+1)+6,"00"),"")&amp;IF($C1046&gt;=8,", "&amp;$A1046&amp;"-"&amp;TEXT(($D1046-$C1046+1)+7,"00"),"")&amp;IF($C1046&gt;=9,", "&amp;$A1046&amp;"-"&amp;TEXT(($D1046-$C1046+1)+8,"00"),"")&amp;IF($C1046&gt;=10,", "&amp;$A1046&amp;"-"&amp;TEXT(($D1046-$C1046+1)+9,"00"),"")&amp;IF($C1046&gt;=11,", "&amp;$A1046&amp;"-"&amp;TEXT(($D1046-$C1046+1)+10,"00"),"")&amp;IF($C1046&gt;=12,", "&amp;$A1046&amp;"-"&amp;TEXT(($D1046-$C1046+1)+11,"00"),"")&amp;IF($C1046&gt;=13,", "&amp;$A1046&amp;"-"&amp;TEXT(($D1046-$C1046+1)+12,"00"),"")&amp;IF($C1046&gt;=14,", "&amp;$A1046&amp;"-"&amp;TEXT(($D1046-$C1046+1)+13,"00"),"")&amp;IF($C1046&gt;=15,", "&amp;$A1046&amp;"-"&amp;TEXT(($D1046-$C1046+1)+14,"00"),"")&amp;IF($C1046&gt;=16,", "&amp;$A1046&amp;"-"&amp;TEXT(($D1046-$C1046+1)+15,"00"),"")&amp;IF($C1046&gt;=17,", "&amp;$A1046&amp;"-"&amp;TEXT(($D1046-$C1046+1)+16,"00"),"")&amp;IF($C1046&gt;=18,", "&amp;$A1046&amp;"-"&amp;TEXT(($D1046-$C1046+1)+17,"00"),"")&amp;IF($C1046&gt;=19,", "&amp;$A1046&amp;"-"&amp;TEXT(($D1046-$C1046+1)+18,"00"),"")&amp;IF($C1046&gt;=20,", "&amp;$A1046&amp;"-"&amp;TEXT(($D1046-$C1046+1)+19,"00"),"")&amp;IF($C1046&gt;=21,", "&amp;$A1046&amp;"-"&amp;TEXT(($D1046-$C1046+1)+20,"00"),"")&amp;IF($C1046&gt;=22,", "&amp;$A1046&amp;"-"&amp;TEXT(($D1046-$C1046+1)+21,"00"),"")&amp;IF($C1046&gt;=23,", "&amp;$A1046&amp;"-"&amp;TEXT(($D1046-$C1046+1)+22,"00"),"")&amp;IF($C1046&gt;=24,", "&amp;$A1046&amp;"-"&amp;TEXT(($D1046-$C1046+1)+23,"00"),"")&amp;IF($C1046&gt;=25,", "&amp;$A1046&amp;"-"&amp;TEXT(($D1046-$C1046+1)+24,"00"),""))</f>
        <v/>
      </c>
      <c r="G1046">
        <f>IF($A1046="","",IF($E1046=1,$F1046,IF($F1046="",$G1045,IF($G1045="",$F1046,$G1045&amp;", "&amp;$F1046))))</f>
        <v/>
      </c>
      <c r="H1046">
        <f>IF($A1046="","",$A1046&amp;" ("&amp;$C1046&amp;")")</f>
        <v/>
      </c>
      <c r="I1046">
        <f>IF($A1046="","",IF($E1046=1,$H1046,$I1045&amp;", "&amp;$H1046))</f>
        <v/>
      </c>
      <c r="J1046">
        <f>IF($A1046="","",IF($E1046=1,$B1046,""))</f>
        <v/>
      </c>
      <c r="K1046">
        <f>IF($A1046="","",IF(COUNTIF($B$2:$B1046,$B1046)=COUNTIF($B$2:$B$1601,$B1046),$B1046,""))</f>
        <v/>
      </c>
    </row>
    <row r="1047">
      <c r="A1047">
        <f>IF('TMP Paste'!$E1047="","",'TMP Paste'!$E1047)</f>
        <v/>
      </c>
      <c r="B1047">
        <f>IF($A1047="","",COUNTIF('TMP Paste'!$B$2:$B1047,"?*"))</f>
        <v/>
      </c>
      <c r="C1047">
        <f>IF($A1047="","",IFERROR('TMP Paste'!$M1047*1,0))</f>
        <v/>
      </c>
      <c r="D1047">
        <f>IF($A1047="","",SUMIF($B$2:$B1047,$B1047,$C$2:$C1047))</f>
        <v/>
      </c>
      <c r="E1047">
        <f>IF($A1047="",0,IF('TMP Paste'!$B1047="",0,1))</f>
        <v/>
      </c>
      <c r="F1047">
        <f>IF(OR($A1047="",$C1047&lt;1),"",$A1047&amp;"-"&amp;TEXT(($D1047-$C1047+1),"00")&amp;IF($C1047&gt;=2,", "&amp;$A1047&amp;"-"&amp;TEXT(($D1047-$C1047+1)+1,"00"),"")&amp;IF($C1047&gt;=3,", "&amp;$A1047&amp;"-"&amp;TEXT(($D1047-$C1047+1)+2,"00"),"")&amp;IF($C1047&gt;=4,", "&amp;$A1047&amp;"-"&amp;TEXT(($D1047-$C1047+1)+3,"00"),"")&amp;IF($C1047&gt;=5,", "&amp;$A1047&amp;"-"&amp;TEXT(($D1047-$C1047+1)+4,"00"),"")&amp;IF($C1047&gt;=6,", "&amp;$A1047&amp;"-"&amp;TEXT(($D1047-$C1047+1)+5,"00"),"")&amp;IF($C1047&gt;=7,", "&amp;$A1047&amp;"-"&amp;TEXT(($D1047-$C1047+1)+6,"00"),"")&amp;IF($C1047&gt;=8,", "&amp;$A1047&amp;"-"&amp;TEXT(($D1047-$C1047+1)+7,"00"),"")&amp;IF($C1047&gt;=9,", "&amp;$A1047&amp;"-"&amp;TEXT(($D1047-$C1047+1)+8,"00"),"")&amp;IF($C1047&gt;=10,", "&amp;$A1047&amp;"-"&amp;TEXT(($D1047-$C1047+1)+9,"00"),"")&amp;IF($C1047&gt;=11,", "&amp;$A1047&amp;"-"&amp;TEXT(($D1047-$C1047+1)+10,"00"),"")&amp;IF($C1047&gt;=12,", "&amp;$A1047&amp;"-"&amp;TEXT(($D1047-$C1047+1)+11,"00"),"")&amp;IF($C1047&gt;=13,", "&amp;$A1047&amp;"-"&amp;TEXT(($D1047-$C1047+1)+12,"00"),"")&amp;IF($C1047&gt;=14,", "&amp;$A1047&amp;"-"&amp;TEXT(($D1047-$C1047+1)+13,"00"),"")&amp;IF($C1047&gt;=15,", "&amp;$A1047&amp;"-"&amp;TEXT(($D1047-$C1047+1)+14,"00"),"")&amp;IF($C1047&gt;=16,", "&amp;$A1047&amp;"-"&amp;TEXT(($D1047-$C1047+1)+15,"00"),"")&amp;IF($C1047&gt;=17,", "&amp;$A1047&amp;"-"&amp;TEXT(($D1047-$C1047+1)+16,"00"),"")&amp;IF($C1047&gt;=18,", "&amp;$A1047&amp;"-"&amp;TEXT(($D1047-$C1047+1)+17,"00"),"")&amp;IF($C1047&gt;=19,", "&amp;$A1047&amp;"-"&amp;TEXT(($D1047-$C1047+1)+18,"00"),"")&amp;IF($C1047&gt;=20,", "&amp;$A1047&amp;"-"&amp;TEXT(($D1047-$C1047+1)+19,"00"),"")&amp;IF($C1047&gt;=21,", "&amp;$A1047&amp;"-"&amp;TEXT(($D1047-$C1047+1)+20,"00"),"")&amp;IF($C1047&gt;=22,", "&amp;$A1047&amp;"-"&amp;TEXT(($D1047-$C1047+1)+21,"00"),"")&amp;IF($C1047&gt;=23,", "&amp;$A1047&amp;"-"&amp;TEXT(($D1047-$C1047+1)+22,"00"),"")&amp;IF($C1047&gt;=24,", "&amp;$A1047&amp;"-"&amp;TEXT(($D1047-$C1047+1)+23,"00"),"")&amp;IF($C1047&gt;=25,", "&amp;$A1047&amp;"-"&amp;TEXT(($D1047-$C1047+1)+24,"00"),""))</f>
        <v/>
      </c>
      <c r="G1047">
        <f>IF($A1047="","",IF($E1047=1,$F1047,IF($F1047="",$G1046,IF($G1046="",$F1047,$G1046&amp;", "&amp;$F1047))))</f>
        <v/>
      </c>
      <c r="H1047">
        <f>IF($A1047="","",$A1047&amp;" ("&amp;$C1047&amp;")")</f>
        <v/>
      </c>
      <c r="I1047">
        <f>IF($A1047="","",IF($E1047=1,$H1047,$I1046&amp;", "&amp;$H1047))</f>
        <v/>
      </c>
      <c r="J1047">
        <f>IF($A1047="","",IF($E1047=1,$B1047,""))</f>
        <v/>
      </c>
      <c r="K1047">
        <f>IF($A1047="","",IF(COUNTIF($B$2:$B1047,$B1047)=COUNTIF($B$2:$B$1601,$B1047),$B1047,""))</f>
        <v/>
      </c>
    </row>
    <row r="1048">
      <c r="A1048">
        <f>IF('TMP Paste'!$E1048="","",'TMP Paste'!$E1048)</f>
        <v/>
      </c>
      <c r="B1048">
        <f>IF($A1048="","",COUNTIF('TMP Paste'!$B$2:$B1048,"?*"))</f>
        <v/>
      </c>
      <c r="C1048">
        <f>IF($A1048="","",IFERROR('TMP Paste'!$M1048*1,0))</f>
        <v/>
      </c>
      <c r="D1048">
        <f>IF($A1048="","",SUMIF($B$2:$B1048,$B1048,$C$2:$C1048))</f>
        <v/>
      </c>
      <c r="E1048">
        <f>IF($A1048="",0,IF('TMP Paste'!$B1048="",0,1))</f>
        <v/>
      </c>
      <c r="F1048">
        <f>IF(OR($A1048="",$C1048&lt;1),"",$A1048&amp;"-"&amp;TEXT(($D1048-$C1048+1),"00")&amp;IF($C1048&gt;=2,", "&amp;$A1048&amp;"-"&amp;TEXT(($D1048-$C1048+1)+1,"00"),"")&amp;IF($C1048&gt;=3,", "&amp;$A1048&amp;"-"&amp;TEXT(($D1048-$C1048+1)+2,"00"),"")&amp;IF($C1048&gt;=4,", "&amp;$A1048&amp;"-"&amp;TEXT(($D1048-$C1048+1)+3,"00"),"")&amp;IF($C1048&gt;=5,", "&amp;$A1048&amp;"-"&amp;TEXT(($D1048-$C1048+1)+4,"00"),"")&amp;IF($C1048&gt;=6,", "&amp;$A1048&amp;"-"&amp;TEXT(($D1048-$C1048+1)+5,"00"),"")&amp;IF($C1048&gt;=7,", "&amp;$A1048&amp;"-"&amp;TEXT(($D1048-$C1048+1)+6,"00"),"")&amp;IF($C1048&gt;=8,", "&amp;$A1048&amp;"-"&amp;TEXT(($D1048-$C1048+1)+7,"00"),"")&amp;IF($C1048&gt;=9,", "&amp;$A1048&amp;"-"&amp;TEXT(($D1048-$C1048+1)+8,"00"),"")&amp;IF($C1048&gt;=10,", "&amp;$A1048&amp;"-"&amp;TEXT(($D1048-$C1048+1)+9,"00"),"")&amp;IF($C1048&gt;=11,", "&amp;$A1048&amp;"-"&amp;TEXT(($D1048-$C1048+1)+10,"00"),"")&amp;IF($C1048&gt;=12,", "&amp;$A1048&amp;"-"&amp;TEXT(($D1048-$C1048+1)+11,"00"),"")&amp;IF($C1048&gt;=13,", "&amp;$A1048&amp;"-"&amp;TEXT(($D1048-$C1048+1)+12,"00"),"")&amp;IF($C1048&gt;=14,", "&amp;$A1048&amp;"-"&amp;TEXT(($D1048-$C1048+1)+13,"00"),"")&amp;IF($C1048&gt;=15,", "&amp;$A1048&amp;"-"&amp;TEXT(($D1048-$C1048+1)+14,"00"),"")&amp;IF($C1048&gt;=16,", "&amp;$A1048&amp;"-"&amp;TEXT(($D1048-$C1048+1)+15,"00"),"")&amp;IF($C1048&gt;=17,", "&amp;$A1048&amp;"-"&amp;TEXT(($D1048-$C1048+1)+16,"00"),"")&amp;IF($C1048&gt;=18,", "&amp;$A1048&amp;"-"&amp;TEXT(($D1048-$C1048+1)+17,"00"),"")&amp;IF($C1048&gt;=19,", "&amp;$A1048&amp;"-"&amp;TEXT(($D1048-$C1048+1)+18,"00"),"")&amp;IF($C1048&gt;=20,", "&amp;$A1048&amp;"-"&amp;TEXT(($D1048-$C1048+1)+19,"00"),"")&amp;IF($C1048&gt;=21,", "&amp;$A1048&amp;"-"&amp;TEXT(($D1048-$C1048+1)+20,"00"),"")&amp;IF($C1048&gt;=22,", "&amp;$A1048&amp;"-"&amp;TEXT(($D1048-$C1048+1)+21,"00"),"")&amp;IF($C1048&gt;=23,", "&amp;$A1048&amp;"-"&amp;TEXT(($D1048-$C1048+1)+22,"00"),"")&amp;IF($C1048&gt;=24,", "&amp;$A1048&amp;"-"&amp;TEXT(($D1048-$C1048+1)+23,"00"),"")&amp;IF($C1048&gt;=25,", "&amp;$A1048&amp;"-"&amp;TEXT(($D1048-$C1048+1)+24,"00"),""))</f>
        <v/>
      </c>
      <c r="G1048">
        <f>IF($A1048="","",IF($E1048=1,$F1048,IF($F1048="",$G1047,IF($G1047="",$F1048,$G1047&amp;", "&amp;$F1048))))</f>
        <v/>
      </c>
      <c r="H1048">
        <f>IF($A1048="","",$A1048&amp;" ("&amp;$C1048&amp;")")</f>
        <v/>
      </c>
      <c r="I1048">
        <f>IF($A1048="","",IF($E1048=1,$H1048,$I1047&amp;", "&amp;$H1048))</f>
        <v/>
      </c>
      <c r="J1048">
        <f>IF($A1048="","",IF($E1048=1,$B1048,""))</f>
        <v/>
      </c>
      <c r="K1048">
        <f>IF($A1048="","",IF(COUNTIF($B$2:$B1048,$B1048)=COUNTIF($B$2:$B$1601,$B1048),$B1048,""))</f>
        <v/>
      </c>
    </row>
    <row r="1049">
      <c r="A1049">
        <f>IF('TMP Paste'!$E1049="","",'TMP Paste'!$E1049)</f>
        <v/>
      </c>
      <c r="B1049">
        <f>IF($A1049="","",COUNTIF('TMP Paste'!$B$2:$B1049,"?*"))</f>
        <v/>
      </c>
      <c r="C1049">
        <f>IF($A1049="","",IFERROR('TMP Paste'!$M1049*1,0))</f>
        <v/>
      </c>
      <c r="D1049">
        <f>IF($A1049="","",SUMIF($B$2:$B1049,$B1049,$C$2:$C1049))</f>
        <v/>
      </c>
      <c r="E1049">
        <f>IF($A1049="",0,IF('TMP Paste'!$B1049="",0,1))</f>
        <v/>
      </c>
      <c r="F1049">
        <f>IF(OR($A1049="",$C1049&lt;1),"",$A1049&amp;"-"&amp;TEXT(($D1049-$C1049+1),"00")&amp;IF($C1049&gt;=2,", "&amp;$A1049&amp;"-"&amp;TEXT(($D1049-$C1049+1)+1,"00"),"")&amp;IF($C1049&gt;=3,", "&amp;$A1049&amp;"-"&amp;TEXT(($D1049-$C1049+1)+2,"00"),"")&amp;IF($C1049&gt;=4,", "&amp;$A1049&amp;"-"&amp;TEXT(($D1049-$C1049+1)+3,"00"),"")&amp;IF($C1049&gt;=5,", "&amp;$A1049&amp;"-"&amp;TEXT(($D1049-$C1049+1)+4,"00"),"")&amp;IF($C1049&gt;=6,", "&amp;$A1049&amp;"-"&amp;TEXT(($D1049-$C1049+1)+5,"00"),"")&amp;IF($C1049&gt;=7,", "&amp;$A1049&amp;"-"&amp;TEXT(($D1049-$C1049+1)+6,"00"),"")&amp;IF($C1049&gt;=8,", "&amp;$A1049&amp;"-"&amp;TEXT(($D1049-$C1049+1)+7,"00"),"")&amp;IF($C1049&gt;=9,", "&amp;$A1049&amp;"-"&amp;TEXT(($D1049-$C1049+1)+8,"00"),"")&amp;IF($C1049&gt;=10,", "&amp;$A1049&amp;"-"&amp;TEXT(($D1049-$C1049+1)+9,"00"),"")&amp;IF($C1049&gt;=11,", "&amp;$A1049&amp;"-"&amp;TEXT(($D1049-$C1049+1)+10,"00"),"")&amp;IF($C1049&gt;=12,", "&amp;$A1049&amp;"-"&amp;TEXT(($D1049-$C1049+1)+11,"00"),"")&amp;IF($C1049&gt;=13,", "&amp;$A1049&amp;"-"&amp;TEXT(($D1049-$C1049+1)+12,"00"),"")&amp;IF($C1049&gt;=14,", "&amp;$A1049&amp;"-"&amp;TEXT(($D1049-$C1049+1)+13,"00"),"")&amp;IF($C1049&gt;=15,", "&amp;$A1049&amp;"-"&amp;TEXT(($D1049-$C1049+1)+14,"00"),"")&amp;IF($C1049&gt;=16,", "&amp;$A1049&amp;"-"&amp;TEXT(($D1049-$C1049+1)+15,"00"),"")&amp;IF($C1049&gt;=17,", "&amp;$A1049&amp;"-"&amp;TEXT(($D1049-$C1049+1)+16,"00"),"")&amp;IF($C1049&gt;=18,", "&amp;$A1049&amp;"-"&amp;TEXT(($D1049-$C1049+1)+17,"00"),"")&amp;IF($C1049&gt;=19,", "&amp;$A1049&amp;"-"&amp;TEXT(($D1049-$C1049+1)+18,"00"),"")&amp;IF($C1049&gt;=20,", "&amp;$A1049&amp;"-"&amp;TEXT(($D1049-$C1049+1)+19,"00"),"")&amp;IF($C1049&gt;=21,", "&amp;$A1049&amp;"-"&amp;TEXT(($D1049-$C1049+1)+20,"00"),"")&amp;IF($C1049&gt;=22,", "&amp;$A1049&amp;"-"&amp;TEXT(($D1049-$C1049+1)+21,"00"),"")&amp;IF($C1049&gt;=23,", "&amp;$A1049&amp;"-"&amp;TEXT(($D1049-$C1049+1)+22,"00"),"")&amp;IF($C1049&gt;=24,", "&amp;$A1049&amp;"-"&amp;TEXT(($D1049-$C1049+1)+23,"00"),"")&amp;IF($C1049&gt;=25,", "&amp;$A1049&amp;"-"&amp;TEXT(($D1049-$C1049+1)+24,"00"),""))</f>
        <v/>
      </c>
      <c r="G1049">
        <f>IF($A1049="","",IF($E1049=1,$F1049,IF($F1049="",$G1048,IF($G1048="",$F1049,$G1048&amp;", "&amp;$F1049))))</f>
        <v/>
      </c>
      <c r="H1049">
        <f>IF($A1049="","",$A1049&amp;" ("&amp;$C1049&amp;")")</f>
        <v/>
      </c>
      <c r="I1049">
        <f>IF($A1049="","",IF($E1049=1,$H1049,$I1048&amp;", "&amp;$H1049))</f>
        <v/>
      </c>
      <c r="J1049">
        <f>IF($A1049="","",IF($E1049=1,$B1049,""))</f>
        <v/>
      </c>
      <c r="K1049">
        <f>IF($A1049="","",IF(COUNTIF($B$2:$B1049,$B1049)=COUNTIF($B$2:$B$1601,$B1049),$B1049,""))</f>
        <v/>
      </c>
    </row>
    <row r="1050">
      <c r="A1050">
        <f>IF('TMP Paste'!$E1050="","",'TMP Paste'!$E1050)</f>
        <v/>
      </c>
      <c r="B1050">
        <f>IF($A1050="","",COUNTIF('TMP Paste'!$B$2:$B1050,"?*"))</f>
        <v/>
      </c>
      <c r="C1050">
        <f>IF($A1050="","",IFERROR('TMP Paste'!$M1050*1,0))</f>
        <v/>
      </c>
      <c r="D1050">
        <f>IF($A1050="","",SUMIF($B$2:$B1050,$B1050,$C$2:$C1050))</f>
        <v/>
      </c>
      <c r="E1050">
        <f>IF($A1050="",0,IF('TMP Paste'!$B1050="",0,1))</f>
        <v/>
      </c>
      <c r="F1050">
        <f>IF(OR($A1050="",$C1050&lt;1),"",$A1050&amp;"-"&amp;TEXT(($D1050-$C1050+1),"00")&amp;IF($C1050&gt;=2,", "&amp;$A1050&amp;"-"&amp;TEXT(($D1050-$C1050+1)+1,"00"),"")&amp;IF($C1050&gt;=3,", "&amp;$A1050&amp;"-"&amp;TEXT(($D1050-$C1050+1)+2,"00"),"")&amp;IF($C1050&gt;=4,", "&amp;$A1050&amp;"-"&amp;TEXT(($D1050-$C1050+1)+3,"00"),"")&amp;IF($C1050&gt;=5,", "&amp;$A1050&amp;"-"&amp;TEXT(($D1050-$C1050+1)+4,"00"),"")&amp;IF($C1050&gt;=6,", "&amp;$A1050&amp;"-"&amp;TEXT(($D1050-$C1050+1)+5,"00"),"")&amp;IF($C1050&gt;=7,", "&amp;$A1050&amp;"-"&amp;TEXT(($D1050-$C1050+1)+6,"00"),"")&amp;IF($C1050&gt;=8,", "&amp;$A1050&amp;"-"&amp;TEXT(($D1050-$C1050+1)+7,"00"),"")&amp;IF($C1050&gt;=9,", "&amp;$A1050&amp;"-"&amp;TEXT(($D1050-$C1050+1)+8,"00"),"")&amp;IF($C1050&gt;=10,", "&amp;$A1050&amp;"-"&amp;TEXT(($D1050-$C1050+1)+9,"00"),"")&amp;IF($C1050&gt;=11,", "&amp;$A1050&amp;"-"&amp;TEXT(($D1050-$C1050+1)+10,"00"),"")&amp;IF($C1050&gt;=12,", "&amp;$A1050&amp;"-"&amp;TEXT(($D1050-$C1050+1)+11,"00"),"")&amp;IF($C1050&gt;=13,", "&amp;$A1050&amp;"-"&amp;TEXT(($D1050-$C1050+1)+12,"00"),"")&amp;IF($C1050&gt;=14,", "&amp;$A1050&amp;"-"&amp;TEXT(($D1050-$C1050+1)+13,"00"),"")&amp;IF($C1050&gt;=15,", "&amp;$A1050&amp;"-"&amp;TEXT(($D1050-$C1050+1)+14,"00"),"")&amp;IF($C1050&gt;=16,", "&amp;$A1050&amp;"-"&amp;TEXT(($D1050-$C1050+1)+15,"00"),"")&amp;IF($C1050&gt;=17,", "&amp;$A1050&amp;"-"&amp;TEXT(($D1050-$C1050+1)+16,"00"),"")&amp;IF($C1050&gt;=18,", "&amp;$A1050&amp;"-"&amp;TEXT(($D1050-$C1050+1)+17,"00"),"")&amp;IF($C1050&gt;=19,", "&amp;$A1050&amp;"-"&amp;TEXT(($D1050-$C1050+1)+18,"00"),"")&amp;IF($C1050&gt;=20,", "&amp;$A1050&amp;"-"&amp;TEXT(($D1050-$C1050+1)+19,"00"),"")&amp;IF($C1050&gt;=21,", "&amp;$A1050&amp;"-"&amp;TEXT(($D1050-$C1050+1)+20,"00"),"")&amp;IF($C1050&gt;=22,", "&amp;$A1050&amp;"-"&amp;TEXT(($D1050-$C1050+1)+21,"00"),"")&amp;IF($C1050&gt;=23,", "&amp;$A1050&amp;"-"&amp;TEXT(($D1050-$C1050+1)+22,"00"),"")&amp;IF($C1050&gt;=24,", "&amp;$A1050&amp;"-"&amp;TEXT(($D1050-$C1050+1)+23,"00"),"")&amp;IF($C1050&gt;=25,", "&amp;$A1050&amp;"-"&amp;TEXT(($D1050-$C1050+1)+24,"00"),""))</f>
        <v/>
      </c>
      <c r="G1050">
        <f>IF($A1050="","",IF($E1050=1,$F1050,IF($F1050="",$G1049,IF($G1049="",$F1050,$G1049&amp;", "&amp;$F1050))))</f>
        <v/>
      </c>
      <c r="H1050">
        <f>IF($A1050="","",$A1050&amp;" ("&amp;$C1050&amp;")")</f>
        <v/>
      </c>
      <c r="I1050">
        <f>IF($A1050="","",IF($E1050=1,$H1050,$I1049&amp;", "&amp;$H1050))</f>
        <v/>
      </c>
      <c r="J1050">
        <f>IF($A1050="","",IF($E1050=1,$B1050,""))</f>
        <v/>
      </c>
      <c r="K1050">
        <f>IF($A1050="","",IF(COUNTIF($B$2:$B1050,$B1050)=COUNTIF($B$2:$B$1601,$B1050),$B1050,""))</f>
        <v/>
      </c>
    </row>
    <row r="1051">
      <c r="A1051">
        <f>IF('TMP Paste'!$E1051="","",'TMP Paste'!$E1051)</f>
        <v/>
      </c>
      <c r="B1051">
        <f>IF($A1051="","",COUNTIF('TMP Paste'!$B$2:$B1051,"?*"))</f>
        <v/>
      </c>
      <c r="C1051">
        <f>IF($A1051="","",IFERROR('TMP Paste'!$M1051*1,0))</f>
        <v/>
      </c>
      <c r="D1051">
        <f>IF($A1051="","",SUMIF($B$2:$B1051,$B1051,$C$2:$C1051))</f>
        <v/>
      </c>
      <c r="E1051">
        <f>IF($A1051="",0,IF('TMP Paste'!$B1051="",0,1))</f>
        <v/>
      </c>
      <c r="F1051">
        <f>IF(OR($A1051="",$C1051&lt;1),"",$A1051&amp;"-"&amp;TEXT(($D1051-$C1051+1),"00")&amp;IF($C1051&gt;=2,", "&amp;$A1051&amp;"-"&amp;TEXT(($D1051-$C1051+1)+1,"00"),"")&amp;IF($C1051&gt;=3,", "&amp;$A1051&amp;"-"&amp;TEXT(($D1051-$C1051+1)+2,"00"),"")&amp;IF($C1051&gt;=4,", "&amp;$A1051&amp;"-"&amp;TEXT(($D1051-$C1051+1)+3,"00"),"")&amp;IF($C1051&gt;=5,", "&amp;$A1051&amp;"-"&amp;TEXT(($D1051-$C1051+1)+4,"00"),"")&amp;IF($C1051&gt;=6,", "&amp;$A1051&amp;"-"&amp;TEXT(($D1051-$C1051+1)+5,"00"),"")&amp;IF($C1051&gt;=7,", "&amp;$A1051&amp;"-"&amp;TEXT(($D1051-$C1051+1)+6,"00"),"")&amp;IF($C1051&gt;=8,", "&amp;$A1051&amp;"-"&amp;TEXT(($D1051-$C1051+1)+7,"00"),"")&amp;IF($C1051&gt;=9,", "&amp;$A1051&amp;"-"&amp;TEXT(($D1051-$C1051+1)+8,"00"),"")&amp;IF($C1051&gt;=10,", "&amp;$A1051&amp;"-"&amp;TEXT(($D1051-$C1051+1)+9,"00"),"")&amp;IF($C1051&gt;=11,", "&amp;$A1051&amp;"-"&amp;TEXT(($D1051-$C1051+1)+10,"00"),"")&amp;IF($C1051&gt;=12,", "&amp;$A1051&amp;"-"&amp;TEXT(($D1051-$C1051+1)+11,"00"),"")&amp;IF($C1051&gt;=13,", "&amp;$A1051&amp;"-"&amp;TEXT(($D1051-$C1051+1)+12,"00"),"")&amp;IF($C1051&gt;=14,", "&amp;$A1051&amp;"-"&amp;TEXT(($D1051-$C1051+1)+13,"00"),"")&amp;IF($C1051&gt;=15,", "&amp;$A1051&amp;"-"&amp;TEXT(($D1051-$C1051+1)+14,"00"),"")&amp;IF($C1051&gt;=16,", "&amp;$A1051&amp;"-"&amp;TEXT(($D1051-$C1051+1)+15,"00"),"")&amp;IF($C1051&gt;=17,", "&amp;$A1051&amp;"-"&amp;TEXT(($D1051-$C1051+1)+16,"00"),"")&amp;IF($C1051&gt;=18,", "&amp;$A1051&amp;"-"&amp;TEXT(($D1051-$C1051+1)+17,"00"),"")&amp;IF($C1051&gt;=19,", "&amp;$A1051&amp;"-"&amp;TEXT(($D1051-$C1051+1)+18,"00"),"")&amp;IF($C1051&gt;=20,", "&amp;$A1051&amp;"-"&amp;TEXT(($D1051-$C1051+1)+19,"00"),"")&amp;IF($C1051&gt;=21,", "&amp;$A1051&amp;"-"&amp;TEXT(($D1051-$C1051+1)+20,"00"),"")&amp;IF($C1051&gt;=22,", "&amp;$A1051&amp;"-"&amp;TEXT(($D1051-$C1051+1)+21,"00"),"")&amp;IF($C1051&gt;=23,", "&amp;$A1051&amp;"-"&amp;TEXT(($D1051-$C1051+1)+22,"00"),"")&amp;IF($C1051&gt;=24,", "&amp;$A1051&amp;"-"&amp;TEXT(($D1051-$C1051+1)+23,"00"),"")&amp;IF($C1051&gt;=25,", "&amp;$A1051&amp;"-"&amp;TEXT(($D1051-$C1051+1)+24,"00"),""))</f>
        <v/>
      </c>
      <c r="G1051">
        <f>IF($A1051="","",IF($E1051=1,$F1051,IF($F1051="",$G1050,IF($G1050="",$F1051,$G1050&amp;", "&amp;$F1051))))</f>
        <v/>
      </c>
      <c r="H1051">
        <f>IF($A1051="","",$A1051&amp;" ("&amp;$C1051&amp;")")</f>
        <v/>
      </c>
      <c r="I1051">
        <f>IF($A1051="","",IF($E1051=1,$H1051,$I1050&amp;", "&amp;$H1051))</f>
        <v/>
      </c>
      <c r="J1051">
        <f>IF($A1051="","",IF($E1051=1,$B1051,""))</f>
        <v/>
      </c>
      <c r="K1051">
        <f>IF($A1051="","",IF(COUNTIF($B$2:$B1051,$B1051)=COUNTIF($B$2:$B$1601,$B1051),$B1051,""))</f>
        <v/>
      </c>
    </row>
    <row r="1052">
      <c r="A1052">
        <f>IF('TMP Paste'!$E1052="","",'TMP Paste'!$E1052)</f>
        <v/>
      </c>
      <c r="B1052">
        <f>IF($A1052="","",COUNTIF('TMP Paste'!$B$2:$B1052,"?*"))</f>
        <v/>
      </c>
      <c r="C1052">
        <f>IF($A1052="","",IFERROR('TMP Paste'!$M1052*1,0))</f>
        <v/>
      </c>
      <c r="D1052">
        <f>IF($A1052="","",SUMIF($B$2:$B1052,$B1052,$C$2:$C1052))</f>
        <v/>
      </c>
      <c r="E1052">
        <f>IF($A1052="",0,IF('TMP Paste'!$B1052="",0,1))</f>
        <v/>
      </c>
      <c r="F1052">
        <f>IF(OR($A1052="",$C1052&lt;1),"",$A1052&amp;"-"&amp;TEXT(($D1052-$C1052+1),"00")&amp;IF($C1052&gt;=2,", "&amp;$A1052&amp;"-"&amp;TEXT(($D1052-$C1052+1)+1,"00"),"")&amp;IF($C1052&gt;=3,", "&amp;$A1052&amp;"-"&amp;TEXT(($D1052-$C1052+1)+2,"00"),"")&amp;IF($C1052&gt;=4,", "&amp;$A1052&amp;"-"&amp;TEXT(($D1052-$C1052+1)+3,"00"),"")&amp;IF($C1052&gt;=5,", "&amp;$A1052&amp;"-"&amp;TEXT(($D1052-$C1052+1)+4,"00"),"")&amp;IF($C1052&gt;=6,", "&amp;$A1052&amp;"-"&amp;TEXT(($D1052-$C1052+1)+5,"00"),"")&amp;IF($C1052&gt;=7,", "&amp;$A1052&amp;"-"&amp;TEXT(($D1052-$C1052+1)+6,"00"),"")&amp;IF($C1052&gt;=8,", "&amp;$A1052&amp;"-"&amp;TEXT(($D1052-$C1052+1)+7,"00"),"")&amp;IF($C1052&gt;=9,", "&amp;$A1052&amp;"-"&amp;TEXT(($D1052-$C1052+1)+8,"00"),"")&amp;IF($C1052&gt;=10,", "&amp;$A1052&amp;"-"&amp;TEXT(($D1052-$C1052+1)+9,"00"),"")&amp;IF($C1052&gt;=11,", "&amp;$A1052&amp;"-"&amp;TEXT(($D1052-$C1052+1)+10,"00"),"")&amp;IF($C1052&gt;=12,", "&amp;$A1052&amp;"-"&amp;TEXT(($D1052-$C1052+1)+11,"00"),"")&amp;IF($C1052&gt;=13,", "&amp;$A1052&amp;"-"&amp;TEXT(($D1052-$C1052+1)+12,"00"),"")&amp;IF($C1052&gt;=14,", "&amp;$A1052&amp;"-"&amp;TEXT(($D1052-$C1052+1)+13,"00"),"")&amp;IF($C1052&gt;=15,", "&amp;$A1052&amp;"-"&amp;TEXT(($D1052-$C1052+1)+14,"00"),"")&amp;IF($C1052&gt;=16,", "&amp;$A1052&amp;"-"&amp;TEXT(($D1052-$C1052+1)+15,"00"),"")&amp;IF($C1052&gt;=17,", "&amp;$A1052&amp;"-"&amp;TEXT(($D1052-$C1052+1)+16,"00"),"")&amp;IF($C1052&gt;=18,", "&amp;$A1052&amp;"-"&amp;TEXT(($D1052-$C1052+1)+17,"00"),"")&amp;IF($C1052&gt;=19,", "&amp;$A1052&amp;"-"&amp;TEXT(($D1052-$C1052+1)+18,"00"),"")&amp;IF($C1052&gt;=20,", "&amp;$A1052&amp;"-"&amp;TEXT(($D1052-$C1052+1)+19,"00"),"")&amp;IF($C1052&gt;=21,", "&amp;$A1052&amp;"-"&amp;TEXT(($D1052-$C1052+1)+20,"00"),"")&amp;IF($C1052&gt;=22,", "&amp;$A1052&amp;"-"&amp;TEXT(($D1052-$C1052+1)+21,"00"),"")&amp;IF($C1052&gt;=23,", "&amp;$A1052&amp;"-"&amp;TEXT(($D1052-$C1052+1)+22,"00"),"")&amp;IF($C1052&gt;=24,", "&amp;$A1052&amp;"-"&amp;TEXT(($D1052-$C1052+1)+23,"00"),"")&amp;IF($C1052&gt;=25,", "&amp;$A1052&amp;"-"&amp;TEXT(($D1052-$C1052+1)+24,"00"),""))</f>
        <v/>
      </c>
      <c r="G1052">
        <f>IF($A1052="","",IF($E1052=1,$F1052,IF($F1052="",$G1051,IF($G1051="",$F1052,$G1051&amp;", "&amp;$F1052))))</f>
        <v/>
      </c>
      <c r="H1052">
        <f>IF($A1052="","",$A1052&amp;" ("&amp;$C1052&amp;")")</f>
        <v/>
      </c>
      <c r="I1052">
        <f>IF($A1052="","",IF($E1052=1,$H1052,$I1051&amp;", "&amp;$H1052))</f>
        <v/>
      </c>
      <c r="J1052">
        <f>IF($A1052="","",IF($E1052=1,$B1052,""))</f>
        <v/>
      </c>
      <c r="K1052">
        <f>IF($A1052="","",IF(COUNTIF($B$2:$B1052,$B1052)=COUNTIF($B$2:$B$1601,$B1052),$B1052,""))</f>
        <v/>
      </c>
    </row>
    <row r="1053">
      <c r="A1053">
        <f>IF('TMP Paste'!$E1053="","",'TMP Paste'!$E1053)</f>
        <v/>
      </c>
      <c r="B1053">
        <f>IF($A1053="","",COUNTIF('TMP Paste'!$B$2:$B1053,"?*"))</f>
        <v/>
      </c>
      <c r="C1053">
        <f>IF($A1053="","",IFERROR('TMP Paste'!$M1053*1,0))</f>
        <v/>
      </c>
      <c r="D1053">
        <f>IF($A1053="","",SUMIF($B$2:$B1053,$B1053,$C$2:$C1053))</f>
        <v/>
      </c>
      <c r="E1053">
        <f>IF($A1053="",0,IF('TMP Paste'!$B1053="",0,1))</f>
        <v/>
      </c>
      <c r="F1053">
        <f>IF(OR($A1053="",$C1053&lt;1),"",$A1053&amp;"-"&amp;TEXT(($D1053-$C1053+1),"00")&amp;IF($C1053&gt;=2,", "&amp;$A1053&amp;"-"&amp;TEXT(($D1053-$C1053+1)+1,"00"),"")&amp;IF($C1053&gt;=3,", "&amp;$A1053&amp;"-"&amp;TEXT(($D1053-$C1053+1)+2,"00"),"")&amp;IF($C1053&gt;=4,", "&amp;$A1053&amp;"-"&amp;TEXT(($D1053-$C1053+1)+3,"00"),"")&amp;IF($C1053&gt;=5,", "&amp;$A1053&amp;"-"&amp;TEXT(($D1053-$C1053+1)+4,"00"),"")&amp;IF($C1053&gt;=6,", "&amp;$A1053&amp;"-"&amp;TEXT(($D1053-$C1053+1)+5,"00"),"")&amp;IF($C1053&gt;=7,", "&amp;$A1053&amp;"-"&amp;TEXT(($D1053-$C1053+1)+6,"00"),"")&amp;IF($C1053&gt;=8,", "&amp;$A1053&amp;"-"&amp;TEXT(($D1053-$C1053+1)+7,"00"),"")&amp;IF($C1053&gt;=9,", "&amp;$A1053&amp;"-"&amp;TEXT(($D1053-$C1053+1)+8,"00"),"")&amp;IF($C1053&gt;=10,", "&amp;$A1053&amp;"-"&amp;TEXT(($D1053-$C1053+1)+9,"00"),"")&amp;IF($C1053&gt;=11,", "&amp;$A1053&amp;"-"&amp;TEXT(($D1053-$C1053+1)+10,"00"),"")&amp;IF($C1053&gt;=12,", "&amp;$A1053&amp;"-"&amp;TEXT(($D1053-$C1053+1)+11,"00"),"")&amp;IF($C1053&gt;=13,", "&amp;$A1053&amp;"-"&amp;TEXT(($D1053-$C1053+1)+12,"00"),"")&amp;IF($C1053&gt;=14,", "&amp;$A1053&amp;"-"&amp;TEXT(($D1053-$C1053+1)+13,"00"),"")&amp;IF($C1053&gt;=15,", "&amp;$A1053&amp;"-"&amp;TEXT(($D1053-$C1053+1)+14,"00"),"")&amp;IF($C1053&gt;=16,", "&amp;$A1053&amp;"-"&amp;TEXT(($D1053-$C1053+1)+15,"00"),"")&amp;IF($C1053&gt;=17,", "&amp;$A1053&amp;"-"&amp;TEXT(($D1053-$C1053+1)+16,"00"),"")&amp;IF($C1053&gt;=18,", "&amp;$A1053&amp;"-"&amp;TEXT(($D1053-$C1053+1)+17,"00"),"")&amp;IF($C1053&gt;=19,", "&amp;$A1053&amp;"-"&amp;TEXT(($D1053-$C1053+1)+18,"00"),"")&amp;IF($C1053&gt;=20,", "&amp;$A1053&amp;"-"&amp;TEXT(($D1053-$C1053+1)+19,"00"),"")&amp;IF($C1053&gt;=21,", "&amp;$A1053&amp;"-"&amp;TEXT(($D1053-$C1053+1)+20,"00"),"")&amp;IF($C1053&gt;=22,", "&amp;$A1053&amp;"-"&amp;TEXT(($D1053-$C1053+1)+21,"00"),"")&amp;IF($C1053&gt;=23,", "&amp;$A1053&amp;"-"&amp;TEXT(($D1053-$C1053+1)+22,"00"),"")&amp;IF($C1053&gt;=24,", "&amp;$A1053&amp;"-"&amp;TEXT(($D1053-$C1053+1)+23,"00"),"")&amp;IF($C1053&gt;=25,", "&amp;$A1053&amp;"-"&amp;TEXT(($D1053-$C1053+1)+24,"00"),""))</f>
        <v/>
      </c>
      <c r="G1053">
        <f>IF($A1053="","",IF($E1053=1,$F1053,IF($F1053="",$G1052,IF($G1052="",$F1053,$G1052&amp;", "&amp;$F1053))))</f>
        <v/>
      </c>
      <c r="H1053">
        <f>IF($A1053="","",$A1053&amp;" ("&amp;$C1053&amp;")")</f>
        <v/>
      </c>
      <c r="I1053">
        <f>IF($A1053="","",IF($E1053=1,$H1053,$I1052&amp;", "&amp;$H1053))</f>
        <v/>
      </c>
      <c r="J1053">
        <f>IF($A1053="","",IF($E1053=1,$B1053,""))</f>
        <v/>
      </c>
      <c r="K1053">
        <f>IF($A1053="","",IF(COUNTIF($B$2:$B1053,$B1053)=COUNTIF($B$2:$B$1601,$B1053),$B1053,""))</f>
        <v/>
      </c>
    </row>
    <row r="1054">
      <c r="A1054">
        <f>IF('TMP Paste'!$E1054="","",'TMP Paste'!$E1054)</f>
        <v/>
      </c>
      <c r="B1054">
        <f>IF($A1054="","",COUNTIF('TMP Paste'!$B$2:$B1054,"?*"))</f>
        <v/>
      </c>
      <c r="C1054">
        <f>IF($A1054="","",IFERROR('TMP Paste'!$M1054*1,0))</f>
        <v/>
      </c>
      <c r="D1054">
        <f>IF($A1054="","",SUMIF($B$2:$B1054,$B1054,$C$2:$C1054))</f>
        <v/>
      </c>
      <c r="E1054">
        <f>IF($A1054="",0,IF('TMP Paste'!$B1054="",0,1))</f>
        <v/>
      </c>
      <c r="F1054">
        <f>IF(OR($A1054="",$C1054&lt;1),"",$A1054&amp;"-"&amp;TEXT(($D1054-$C1054+1),"00")&amp;IF($C1054&gt;=2,", "&amp;$A1054&amp;"-"&amp;TEXT(($D1054-$C1054+1)+1,"00"),"")&amp;IF($C1054&gt;=3,", "&amp;$A1054&amp;"-"&amp;TEXT(($D1054-$C1054+1)+2,"00"),"")&amp;IF($C1054&gt;=4,", "&amp;$A1054&amp;"-"&amp;TEXT(($D1054-$C1054+1)+3,"00"),"")&amp;IF($C1054&gt;=5,", "&amp;$A1054&amp;"-"&amp;TEXT(($D1054-$C1054+1)+4,"00"),"")&amp;IF($C1054&gt;=6,", "&amp;$A1054&amp;"-"&amp;TEXT(($D1054-$C1054+1)+5,"00"),"")&amp;IF($C1054&gt;=7,", "&amp;$A1054&amp;"-"&amp;TEXT(($D1054-$C1054+1)+6,"00"),"")&amp;IF($C1054&gt;=8,", "&amp;$A1054&amp;"-"&amp;TEXT(($D1054-$C1054+1)+7,"00"),"")&amp;IF($C1054&gt;=9,", "&amp;$A1054&amp;"-"&amp;TEXT(($D1054-$C1054+1)+8,"00"),"")&amp;IF($C1054&gt;=10,", "&amp;$A1054&amp;"-"&amp;TEXT(($D1054-$C1054+1)+9,"00"),"")&amp;IF($C1054&gt;=11,", "&amp;$A1054&amp;"-"&amp;TEXT(($D1054-$C1054+1)+10,"00"),"")&amp;IF($C1054&gt;=12,", "&amp;$A1054&amp;"-"&amp;TEXT(($D1054-$C1054+1)+11,"00"),"")&amp;IF($C1054&gt;=13,", "&amp;$A1054&amp;"-"&amp;TEXT(($D1054-$C1054+1)+12,"00"),"")&amp;IF($C1054&gt;=14,", "&amp;$A1054&amp;"-"&amp;TEXT(($D1054-$C1054+1)+13,"00"),"")&amp;IF($C1054&gt;=15,", "&amp;$A1054&amp;"-"&amp;TEXT(($D1054-$C1054+1)+14,"00"),"")&amp;IF($C1054&gt;=16,", "&amp;$A1054&amp;"-"&amp;TEXT(($D1054-$C1054+1)+15,"00"),"")&amp;IF($C1054&gt;=17,", "&amp;$A1054&amp;"-"&amp;TEXT(($D1054-$C1054+1)+16,"00"),"")&amp;IF($C1054&gt;=18,", "&amp;$A1054&amp;"-"&amp;TEXT(($D1054-$C1054+1)+17,"00"),"")&amp;IF($C1054&gt;=19,", "&amp;$A1054&amp;"-"&amp;TEXT(($D1054-$C1054+1)+18,"00"),"")&amp;IF($C1054&gt;=20,", "&amp;$A1054&amp;"-"&amp;TEXT(($D1054-$C1054+1)+19,"00"),"")&amp;IF($C1054&gt;=21,", "&amp;$A1054&amp;"-"&amp;TEXT(($D1054-$C1054+1)+20,"00"),"")&amp;IF($C1054&gt;=22,", "&amp;$A1054&amp;"-"&amp;TEXT(($D1054-$C1054+1)+21,"00"),"")&amp;IF($C1054&gt;=23,", "&amp;$A1054&amp;"-"&amp;TEXT(($D1054-$C1054+1)+22,"00"),"")&amp;IF($C1054&gt;=24,", "&amp;$A1054&amp;"-"&amp;TEXT(($D1054-$C1054+1)+23,"00"),"")&amp;IF($C1054&gt;=25,", "&amp;$A1054&amp;"-"&amp;TEXT(($D1054-$C1054+1)+24,"00"),""))</f>
        <v/>
      </c>
      <c r="G1054">
        <f>IF($A1054="","",IF($E1054=1,$F1054,IF($F1054="",$G1053,IF($G1053="",$F1054,$G1053&amp;", "&amp;$F1054))))</f>
        <v/>
      </c>
      <c r="H1054">
        <f>IF($A1054="","",$A1054&amp;" ("&amp;$C1054&amp;")")</f>
        <v/>
      </c>
      <c r="I1054">
        <f>IF($A1054="","",IF($E1054=1,$H1054,$I1053&amp;", "&amp;$H1054))</f>
        <v/>
      </c>
      <c r="J1054">
        <f>IF($A1054="","",IF($E1054=1,$B1054,""))</f>
        <v/>
      </c>
      <c r="K1054">
        <f>IF($A1054="","",IF(COUNTIF($B$2:$B1054,$B1054)=COUNTIF($B$2:$B$1601,$B1054),$B1054,""))</f>
        <v/>
      </c>
    </row>
    <row r="1055">
      <c r="A1055">
        <f>IF('TMP Paste'!$E1055="","",'TMP Paste'!$E1055)</f>
        <v/>
      </c>
      <c r="B1055">
        <f>IF($A1055="","",COUNTIF('TMP Paste'!$B$2:$B1055,"?*"))</f>
        <v/>
      </c>
      <c r="C1055">
        <f>IF($A1055="","",IFERROR('TMP Paste'!$M1055*1,0))</f>
        <v/>
      </c>
      <c r="D1055">
        <f>IF($A1055="","",SUMIF($B$2:$B1055,$B1055,$C$2:$C1055))</f>
        <v/>
      </c>
      <c r="E1055">
        <f>IF($A1055="",0,IF('TMP Paste'!$B1055="",0,1))</f>
        <v/>
      </c>
      <c r="F1055">
        <f>IF(OR($A1055="",$C1055&lt;1),"",$A1055&amp;"-"&amp;TEXT(($D1055-$C1055+1),"00")&amp;IF($C1055&gt;=2,", "&amp;$A1055&amp;"-"&amp;TEXT(($D1055-$C1055+1)+1,"00"),"")&amp;IF($C1055&gt;=3,", "&amp;$A1055&amp;"-"&amp;TEXT(($D1055-$C1055+1)+2,"00"),"")&amp;IF($C1055&gt;=4,", "&amp;$A1055&amp;"-"&amp;TEXT(($D1055-$C1055+1)+3,"00"),"")&amp;IF($C1055&gt;=5,", "&amp;$A1055&amp;"-"&amp;TEXT(($D1055-$C1055+1)+4,"00"),"")&amp;IF($C1055&gt;=6,", "&amp;$A1055&amp;"-"&amp;TEXT(($D1055-$C1055+1)+5,"00"),"")&amp;IF($C1055&gt;=7,", "&amp;$A1055&amp;"-"&amp;TEXT(($D1055-$C1055+1)+6,"00"),"")&amp;IF($C1055&gt;=8,", "&amp;$A1055&amp;"-"&amp;TEXT(($D1055-$C1055+1)+7,"00"),"")&amp;IF($C1055&gt;=9,", "&amp;$A1055&amp;"-"&amp;TEXT(($D1055-$C1055+1)+8,"00"),"")&amp;IF($C1055&gt;=10,", "&amp;$A1055&amp;"-"&amp;TEXT(($D1055-$C1055+1)+9,"00"),"")&amp;IF($C1055&gt;=11,", "&amp;$A1055&amp;"-"&amp;TEXT(($D1055-$C1055+1)+10,"00"),"")&amp;IF($C1055&gt;=12,", "&amp;$A1055&amp;"-"&amp;TEXT(($D1055-$C1055+1)+11,"00"),"")&amp;IF($C1055&gt;=13,", "&amp;$A1055&amp;"-"&amp;TEXT(($D1055-$C1055+1)+12,"00"),"")&amp;IF($C1055&gt;=14,", "&amp;$A1055&amp;"-"&amp;TEXT(($D1055-$C1055+1)+13,"00"),"")&amp;IF($C1055&gt;=15,", "&amp;$A1055&amp;"-"&amp;TEXT(($D1055-$C1055+1)+14,"00"),"")&amp;IF($C1055&gt;=16,", "&amp;$A1055&amp;"-"&amp;TEXT(($D1055-$C1055+1)+15,"00"),"")&amp;IF($C1055&gt;=17,", "&amp;$A1055&amp;"-"&amp;TEXT(($D1055-$C1055+1)+16,"00"),"")&amp;IF($C1055&gt;=18,", "&amp;$A1055&amp;"-"&amp;TEXT(($D1055-$C1055+1)+17,"00"),"")&amp;IF($C1055&gt;=19,", "&amp;$A1055&amp;"-"&amp;TEXT(($D1055-$C1055+1)+18,"00"),"")&amp;IF($C1055&gt;=20,", "&amp;$A1055&amp;"-"&amp;TEXT(($D1055-$C1055+1)+19,"00"),"")&amp;IF($C1055&gt;=21,", "&amp;$A1055&amp;"-"&amp;TEXT(($D1055-$C1055+1)+20,"00"),"")&amp;IF($C1055&gt;=22,", "&amp;$A1055&amp;"-"&amp;TEXT(($D1055-$C1055+1)+21,"00"),"")&amp;IF($C1055&gt;=23,", "&amp;$A1055&amp;"-"&amp;TEXT(($D1055-$C1055+1)+22,"00"),"")&amp;IF($C1055&gt;=24,", "&amp;$A1055&amp;"-"&amp;TEXT(($D1055-$C1055+1)+23,"00"),"")&amp;IF($C1055&gt;=25,", "&amp;$A1055&amp;"-"&amp;TEXT(($D1055-$C1055+1)+24,"00"),""))</f>
        <v/>
      </c>
      <c r="G1055">
        <f>IF($A1055="","",IF($E1055=1,$F1055,IF($F1055="",$G1054,IF($G1054="",$F1055,$G1054&amp;", "&amp;$F1055))))</f>
        <v/>
      </c>
      <c r="H1055">
        <f>IF($A1055="","",$A1055&amp;" ("&amp;$C1055&amp;")")</f>
        <v/>
      </c>
      <c r="I1055">
        <f>IF($A1055="","",IF($E1055=1,$H1055,$I1054&amp;", "&amp;$H1055))</f>
        <v/>
      </c>
      <c r="J1055">
        <f>IF($A1055="","",IF($E1055=1,$B1055,""))</f>
        <v/>
      </c>
      <c r="K1055">
        <f>IF($A1055="","",IF(COUNTIF($B$2:$B1055,$B1055)=COUNTIF($B$2:$B$1601,$B1055),$B1055,""))</f>
        <v/>
      </c>
    </row>
    <row r="1056">
      <c r="A1056">
        <f>IF('TMP Paste'!$E1056="","",'TMP Paste'!$E1056)</f>
        <v/>
      </c>
      <c r="B1056">
        <f>IF($A1056="","",COUNTIF('TMP Paste'!$B$2:$B1056,"?*"))</f>
        <v/>
      </c>
      <c r="C1056">
        <f>IF($A1056="","",IFERROR('TMP Paste'!$M1056*1,0))</f>
        <v/>
      </c>
      <c r="D1056">
        <f>IF($A1056="","",SUMIF($B$2:$B1056,$B1056,$C$2:$C1056))</f>
        <v/>
      </c>
      <c r="E1056">
        <f>IF($A1056="",0,IF('TMP Paste'!$B1056="",0,1))</f>
        <v/>
      </c>
      <c r="F1056">
        <f>IF(OR($A1056="",$C1056&lt;1),"",$A1056&amp;"-"&amp;TEXT(($D1056-$C1056+1),"00")&amp;IF($C1056&gt;=2,", "&amp;$A1056&amp;"-"&amp;TEXT(($D1056-$C1056+1)+1,"00"),"")&amp;IF($C1056&gt;=3,", "&amp;$A1056&amp;"-"&amp;TEXT(($D1056-$C1056+1)+2,"00"),"")&amp;IF($C1056&gt;=4,", "&amp;$A1056&amp;"-"&amp;TEXT(($D1056-$C1056+1)+3,"00"),"")&amp;IF($C1056&gt;=5,", "&amp;$A1056&amp;"-"&amp;TEXT(($D1056-$C1056+1)+4,"00"),"")&amp;IF($C1056&gt;=6,", "&amp;$A1056&amp;"-"&amp;TEXT(($D1056-$C1056+1)+5,"00"),"")&amp;IF($C1056&gt;=7,", "&amp;$A1056&amp;"-"&amp;TEXT(($D1056-$C1056+1)+6,"00"),"")&amp;IF($C1056&gt;=8,", "&amp;$A1056&amp;"-"&amp;TEXT(($D1056-$C1056+1)+7,"00"),"")&amp;IF($C1056&gt;=9,", "&amp;$A1056&amp;"-"&amp;TEXT(($D1056-$C1056+1)+8,"00"),"")&amp;IF($C1056&gt;=10,", "&amp;$A1056&amp;"-"&amp;TEXT(($D1056-$C1056+1)+9,"00"),"")&amp;IF($C1056&gt;=11,", "&amp;$A1056&amp;"-"&amp;TEXT(($D1056-$C1056+1)+10,"00"),"")&amp;IF($C1056&gt;=12,", "&amp;$A1056&amp;"-"&amp;TEXT(($D1056-$C1056+1)+11,"00"),"")&amp;IF($C1056&gt;=13,", "&amp;$A1056&amp;"-"&amp;TEXT(($D1056-$C1056+1)+12,"00"),"")&amp;IF($C1056&gt;=14,", "&amp;$A1056&amp;"-"&amp;TEXT(($D1056-$C1056+1)+13,"00"),"")&amp;IF($C1056&gt;=15,", "&amp;$A1056&amp;"-"&amp;TEXT(($D1056-$C1056+1)+14,"00"),"")&amp;IF($C1056&gt;=16,", "&amp;$A1056&amp;"-"&amp;TEXT(($D1056-$C1056+1)+15,"00"),"")&amp;IF($C1056&gt;=17,", "&amp;$A1056&amp;"-"&amp;TEXT(($D1056-$C1056+1)+16,"00"),"")&amp;IF($C1056&gt;=18,", "&amp;$A1056&amp;"-"&amp;TEXT(($D1056-$C1056+1)+17,"00"),"")&amp;IF($C1056&gt;=19,", "&amp;$A1056&amp;"-"&amp;TEXT(($D1056-$C1056+1)+18,"00"),"")&amp;IF($C1056&gt;=20,", "&amp;$A1056&amp;"-"&amp;TEXT(($D1056-$C1056+1)+19,"00"),"")&amp;IF($C1056&gt;=21,", "&amp;$A1056&amp;"-"&amp;TEXT(($D1056-$C1056+1)+20,"00"),"")&amp;IF($C1056&gt;=22,", "&amp;$A1056&amp;"-"&amp;TEXT(($D1056-$C1056+1)+21,"00"),"")&amp;IF($C1056&gt;=23,", "&amp;$A1056&amp;"-"&amp;TEXT(($D1056-$C1056+1)+22,"00"),"")&amp;IF($C1056&gt;=24,", "&amp;$A1056&amp;"-"&amp;TEXT(($D1056-$C1056+1)+23,"00"),"")&amp;IF($C1056&gt;=25,", "&amp;$A1056&amp;"-"&amp;TEXT(($D1056-$C1056+1)+24,"00"),""))</f>
        <v/>
      </c>
      <c r="G1056">
        <f>IF($A1056="","",IF($E1056=1,$F1056,IF($F1056="",$G1055,IF($G1055="",$F1056,$G1055&amp;", "&amp;$F1056))))</f>
        <v/>
      </c>
      <c r="H1056">
        <f>IF($A1056="","",$A1056&amp;" ("&amp;$C1056&amp;")")</f>
        <v/>
      </c>
      <c r="I1056">
        <f>IF($A1056="","",IF($E1056=1,$H1056,$I1055&amp;", "&amp;$H1056))</f>
        <v/>
      </c>
      <c r="J1056">
        <f>IF($A1056="","",IF($E1056=1,$B1056,""))</f>
        <v/>
      </c>
      <c r="K1056">
        <f>IF($A1056="","",IF(COUNTIF($B$2:$B1056,$B1056)=COUNTIF($B$2:$B$1601,$B1056),$B1056,""))</f>
        <v/>
      </c>
    </row>
    <row r="1057">
      <c r="A1057">
        <f>IF('TMP Paste'!$E1057="","",'TMP Paste'!$E1057)</f>
        <v/>
      </c>
      <c r="B1057">
        <f>IF($A1057="","",COUNTIF('TMP Paste'!$B$2:$B1057,"?*"))</f>
        <v/>
      </c>
      <c r="C1057">
        <f>IF($A1057="","",IFERROR('TMP Paste'!$M1057*1,0))</f>
        <v/>
      </c>
      <c r="D1057">
        <f>IF($A1057="","",SUMIF($B$2:$B1057,$B1057,$C$2:$C1057))</f>
        <v/>
      </c>
      <c r="E1057">
        <f>IF($A1057="",0,IF('TMP Paste'!$B1057="",0,1))</f>
        <v/>
      </c>
      <c r="F1057">
        <f>IF(OR($A1057="",$C1057&lt;1),"",$A1057&amp;"-"&amp;TEXT(($D1057-$C1057+1),"00")&amp;IF($C1057&gt;=2,", "&amp;$A1057&amp;"-"&amp;TEXT(($D1057-$C1057+1)+1,"00"),"")&amp;IF($C1057&gt;=3,", "&amp;$A1057&amp;"-"&amp;TEXT(($D1057-$C1057+1)+2,"00"),"")&amp;IF($C1057&gt;=4,", "&amp;$A1057&amp;"-"&amp;TEXT(($D1057-$C1057+1)+3,"00"),"")&amp;IF($C1057&gt;=5,", "&amp;$A1057&amp;"-"&amp;TEXT(($D1057-$C1057+1)+4,"00"),"")&amp;IF($C1057&gt;=6,", "&amp;$A1057&amp;"-"&amp;TEXT(($D1057-$C1057+1)+5,"00"),"")&amp;IF($C1057&gt;=7,", "&amp;$A1057&amp;"-"&amp;TEXT(($D1057-$C1057+1)+6,"00"),"")&amp;IF($C1057&gt;=8,", "&amp;$A1057&amp;"-"&amp;TEXT(($D1057-$C1057+1)+7,"00"),"")&amp;IF($C1057&gt;=9,", "&amp;$A1057&amp;"-"&amp;TEXT(($D1057-$C1057+1)+8,"00"),"")&amp;IF($C1057&gt;=10,", "&amp;$A1057&amp;"-"&amp;TEXT(($D1057-$C1057+1)+9,"00"),"")&amp;IF($C1057&gt;=11,", "&amp;$A1057&amp;"-"&amp;TEXT(($D1057-$C1057+1)+10,"00"),"")&amp;IF($C1057&gt;=12,", "&amp;$A1057&amp;"-"&amp;TEXT(($D1057-$C1057+1)+11,"00"),"")&amp;IF($C1057&gt;=13,", "&amp;$A1057&amp;"-"&amp;TEXT(($D1057-$C1057+1)+12,"00"),"")&amp;IF($C1057&gt;=14,", "&amp;$A1057&amp;"-"&amp;TEXT(($D1057-$C1057+1)+13,"00"),"")&amp;IF($C1057&gt;=15,", "&amp;$A1057&amp;"-"&amp;TEXT(($D1057-$C1057+1)+14,"00"),"")&amp;IF($C1057&gt;=16,", "&amp;$A1057&amp;"-"&amp;TEXT(($D1057-$C1057+1)+15,"00"),"")&amp;IF($C1057&gt;=17,", "&amp;$A1057&amp;"-"&amp;TEXT(($D1057-$C1057+1)+16,"00"),"")&amp;IF($C1057&gt;=18,", "&amp;$A1057&amp;"-"&amp;TEXT(($D1057-$C1057+1)+17,"00"),"")&amp;IF($C1057&gt;=19,", "&amp;$A1057&amp;"-"&amp;TEXT(($D1057-$C1057+1)+18,"00"),"")&amp;IF($C1057&gt;=20,", "&amp;$A1057&amp;"-"&amp;TEXT(($D1057-$C1057+1)+19,"00"),"")&amp;IF($C1057&gt;=21,", "&amp;$A1057&amp;"-"&amp;TEXT(($D1057-$C1057+1)+20,"00"),"")&amp;IF($C1057&gt;=22,", "&amp;$A1057&amp;"-"&amp;TEXT(($D1057-$C1057+1)+21,"00"),"")&amp;IF($C1057&gt;=23,", "&amp;$A1057&amp;"-"&amp;TEXT(($D1057-$C1057+1)+22,"00"),"")&amp;IF($C1057&gt;=24,", "&amp;$A1057&amp;"-"&amp;TEXT(($D1057-$C1057+1)+23,"00"),"")&amp;IF($C1057&gt;=25,", "&amp;$A1057&amp;"-"&amp;TEXT(($D1057-$C1057+1)+24,"00"),""))</f>
        <v/>
      </c>
      <c r="G1057">
        <f>IF($A1057="","",IF($E1057=1,$F1057,IF($F1057="",$G1056,IF($G1056="",$F1057,$G1056&amp;", "&amp;$F1057))))</f>
        <v/>
      </c>
      <c r="H1057">
        <f>IF($A1057="","",$A1057&amp;" ("&amp;$C1057&amp;")")</f>
        <v/>
      </c>
      <c r="I1057">
        <f>IF($A1057="","",IF($E1057=1,$H1057,$I1056&amp;", "&amp;$H1057))</f>
        <v/>
      </c>
      <c r="J1057">
        <f>IF($A1057="","",IF($E1057=1,$B1057,""))</f>
        <v/>
      </c>
      <c r="K1057">
        <f>IF($A1057="","",IF(COUNTIF($B$2:$B1057,$B1057)=COUNTIF($B$2:$B$1601,$B1057),$B1057,""))</f>
        <v/>
      </c>
    </row>
    <row r="1058">
      <c r="A1058">
        <f>IF('TMP Paste'!$E1058="","",'TMP Paste'!$E1058)</f>
        <v/>
      </c>
      <c r="B1058">
        <f>IF($A1058="","",COUNTIF('TMP Paste'!$B$2:$B1058,"?*"))</f>
        <v/>
      </c>
      <c r="C1058">
        <f>IF($A1058="","",IFERROR('TMP Paste'!$M1058*1,0))</f>
        <v/>
      </c>
      <c r="D1058">
        <f>IF($A1058="","",SUMIF($B$2:$B1058,$B1058,$C$2:$C1058))</f>
        <v/>
      </c>
      <c r="E1058">
        <f>IF($A1058="",0,IF('TMP Paste'!$B1058="",0,1))</f>
        <v/>
      </c>
      <c r="F1058">
        <f>IF(OR($A1058="",$C1058&lt;1),"",$A1058&amp;"-"&amp;TEXT(($D1058-$C1058+1),"00")&amp;IF($C1058&gt;=2,", "&amp;$A1058&amp;"-"&amp;TEXT(($D1058-$C1058+1)+1,"00"),"")&amp;IF($C1058&gt;=3,", "&amp;$A1058&amp;"-"&amp;TEXT(($D1058-$C1058+1)+2,"00"),"")&amp;IF($C1058&gt;=4,", "&amp;$A1058&amp;"-"&amp;TEXT(($D1058-$C1058+1)+3,"00"),"")&amp;IF($C1058&gt;=5,", "&amp;$A1058&amp;"-"&amp;TEXT(($D1058-$C1058+1)+4,"00"),"")&amp;IF($C1058&gt;=6,", "&amp;$A1058&amp;"-"&amp;TEXT(($D1058-$C1058+1)+5,"00"),"")&amp;IF($C1058&gt;=7,", "&amp;$A1058&amp;"-"&amp;TEXT(($D1058-$C1058+1)+6,"00"),"")&amp;IF($C1058&gt;=8,", "&amp;$A1058&amp;"-"&amp;TEXT(($D1058-$C1058+1)+7,"00"),"")&amp;IF($C1058&gt;=9,", "&amp;$A1058&amp;"-"&amp;TEXT(($D1058-$C1058+1)+8,"00"),"")&amp;IF($C1058&gt;=10,", "&amp;$A1058&amp;"-"&amp;TEXT(($D1058-$C1058+1)+9,"00"),"")&amp;IF($C1058&gt;=11,", "&amp;$A1058&amp;"-"&amp;TEXT(($D1058-$C1058+1)+10,"00"),"")&amp;IF($C1058&gt;=12,", "&amp;$A1058&amp;"-"&amp;TEXT(($D1058-$C1058+1)+11,"00"),"")&amp;IF($C1058&gt;=13,", "&amp;$A1058&amp;"-"&amp;TEXT(($D1058-$C1058+1)+12,"00"),"")&amp;IF($C1058&gt;=14,", "&amp;$A1058&amp;"-"&amp;TEXT(($D1058-$C1058+1)+13,"00"),"")&amp;IF($C1058&gt;=15,", "&amp;$A1058&amp;"-"&amp;TEXT(($D1058-$C1058+1)+14,"00"),"")&amp;IF($C1058&gt;=16,", "&amp;$A1058&amp;"-"&amp;TEXT(($D1058-$C1058+1)+15,"00"),"")&amp;IF($C1058&gt;=17,", "&amp;$A1058&amp;"-"&amp;TEXT(($D1058-$C1058+1)+16,"00"),"")&amp;IF($C1058&gt;=18,", "&amp;$A1058&amp;"-"&amp;TEXT(($D1058-$C1058+1)+17,"00"),"")&amp;IF($C1058&gt;=19,", "&amp;$A1058&amp;"-"&amp;TEXT(($D1058-$C1058+1)+18,"00"),"")&amp;IF($C1058&gt;=20,", "&amp;$A1058&amp;"-"&amp;TEXT(($D1058-$C1058+1)+19,"00"),"")&amp;IF($C1058&gt;=21,", "&amp;$A1058&amp;"-"&amp;TEXT(($D1058-$C1058+1)+20,"00"),"")&amp;IF($C1058&gt;=22,", "&amp;$A1058&amp;"-"&amp;TEXT(($D1058-$C1058+1)+21,"00"),"")&amp;IF($C1058&gt;=23,", "&amp;$A1058&amp;"-"&amp;TEXT(($D1058-$C1058+1)+22,"00"),"")&amp;IF($C1058&gt;=24,", "&amp;$A1058&amp;"-"&amp;TEXT(($D1058-$C1058+1)+23,"00"),"")&amp;IF($C1058&gt;=25,", "&amp;$A1058&amp;"-"&amp;TEXT(($D1058-$C1058+1)+24,"00"),""))</f>
        <v/>
      </c>
      <c r="G1058">
        <f>IF($A1058="","",IF($E1058=1,$F1058,IF($F1058="",$G1057,IF($G1057="",$F1058,$G1057&amp;", "&amp;$F1058))))</f>
        <v/>
      </c>
      <c r="H1058">
        <f>IF($A1058="","",$A1058&amp;" ("&amp;$C1058&amp;")")</f>
        <v/>
      </c>
      <c r="I1058">
        <f>IF($A1058="","",IF($E1058=1,$H1058,$I1057&amp;", "&amp;$H1058))</f>
        <v/>
      </c>
      <c r="J1058">
        <f>IF($A1058="","",IF($E1058=1,$B1058,""))</f>
        <v/>
      </c>
      <c r="K1058">
        <f>IF($A1058="","",IF(COUNTIF($B$2:$B1058,$B1058)=COUNTIF($B$2:$B$1601,$B1058),$B1058,""))</f>
        <v/>
      </c>
    </row>
    <row r="1059">
      <c r="A1059">
        <f>IF('TMP Paste'!$E1059="","",'TMP Paste'!$E1059)</f>
        <v/>
      </c>
      <c r="B1059">
        <f>IF($A1059="","",COUNTIF('TMP Paste'!$B$2:$B1059,"?*"))</f>
        <v/>
      </c>
      <c r="C1059">
        <f>IF($A1059="","",IFERROR('TMP Paste'!$M1059*1,0))</f>
        <v/>
      </c>
      <c r="D1059">
        <f>IF($A1059="","",SUMIF($B$2:$B1059,$B1059,$C$2:$C1059))</f>
        <v/>
      </c>
      <c r="E1059">
        <f>IF($A1059="",0,IF('TMP Paste'!$B1059="",0,1))</f>
        <v/>
      </c>
      <c r="F1059">
        <f>IF(OR($A1059="",$C1059&lt;1),"",$A1059&amp;"-"&amp;TEXT(($D1059-$C1059+1),"00")&amp;IF($C1059&gt;=2,", "&amp;$A1059&amp;"-"&amp;TEXT(($D1059-$C1059+1)+1,"00"),"")&amp;IF($C1059&gt;=3,", "&amp;$A1059&amp;"-"&amp;TEXT(($D1059-$C1059+1)+2,"00"),"")&amp;IF($C1059&gt;=4,", "&amp;$A1059&amp;"-"&amp;TEXT(($D1059-$C1059+1)+3,"00"),"")&amp;IF($C1059&gt;=5,", "&amp;$A1059&amp;"-"&amp;TEXT(($D1059-$C1059+1)+4,"00"),"")&amp;IF($C1059&gt;=6,", "&amp;$A1059&amp;"-"&amp;TEXT(($D1059-$C1059+1)+5,"00"),"")&amp;IF($C1059&gt;=7,", "&amp;$A1059&amp;"-"&amp;TEXT(($D1059-$C1059+1)+6,"00"),"")&amp;IF($C1059&gt;=8,", "&amp;$A1059&amp;"-"&amp;TEXT(($D1059-$C1059+1)+7,"00"),"")&amp;IF($C1059&gt;=9,", "&amp;$A1059&amp;"-"&amp;TEXT(($D1059-$C1059+1)+8,"00"),"")&amp;IF($C1059&gt;=10,", "&amp;$A1059&amp;"-"&amp;TEXT(($D1059-$C1059+1)+9,"00"),"")&amp;IF($C1059&gt;=11,", "&amp;$A1059&amp;"-"&amp;TEXT(($D1059-$C1059+1)+10,"00"),"")&amp;IF($C1059&gt;=12,", "&amp;$A1059&amp;"-"&amp;TEXT(($D1059-$C1059+1)+11,"00"),"")&amp;IF($C1059&gt;=13,", "&amp;$A1059&amp;"-"&amp;TEXT(($D1059-$C1059+1)+12,"00"),"")&amp;IF($C1059&gt;=14,", "&amp;$A1059&amp;"-"&amp;TEXT(($D1059-$C1059+1)+13,"00"),"")&amp;IF($C1059&gt;=15,", "&amp;$A1059&amp;"-"&amp;TEXT(($D1059-$C1059+1)+14,"00"),"")&amp;IF($C1059&gt;=16,", "&amp;$A1059&amp;"-"&amp;TEXT(($D1059-$C1059+1)+15,"00"),"")&amp;IF($C1059&gt;=17,", "&amp;$A1059&amp;"-"&amp;TEXT(($D1059-$C1059+1)+16,"00"),"")&amp;IF($C1059&gt;=18,", "&amp;$A1059&amp;"-"&amp;TEXT(($D1059-$C1059+1)+17,"00"),"")&amp;IF($C1059&gt;=19,", "&amp;$A1059&amp;"-"&amp;TEXT(($D1059-$C1059+1)+18,"00"),"")&amp;IF($C1059&gt;=20,", "&amp;$A1059&amp;"-"&amp;TEXT(($D1059-$C1059+1)+19,"00"),"")&amp;IF($C1059&gt;=21,", "&amp;$A1059&amp;"-"&amp;TEXT(($D1059-$C1059+1)+20,"00"),"")&amp;IF($C1059&gt;=22,", "&amp;$A1059&amp;"-"&amp;TEXT(($D1059-$C1059+1)+21,"00"),"")&amp;IF($C1059&gt;=23,", "&amp;$A1059&amp;"-"&amp;TEXT(($D1059-$C1059+1)+22,"00"),"")&amp;IF($C1059&gt;=24,", "&amp;$A1059&amp;"-"&amp;TEXT(($D1059-$C1059+1)+23,"00"),"")&amp;IF($C1059&gt;=25,", "&amp;$A1059&amp;"-"&amp;TEXT(($D1059-$C1059+1)+24,"00"),""))</f>
        <v/>
      </c>
      <c r="G1059">
        <f>IF($A1059="","",IF($E1059=1,$F1059,IF($F1059="",$G1058,IF($G1058="",$F1059,$G1058&amp;", "&amp;$F1059))))</f>
        <v/>
      </c>
      <c r="H1059">
        <f>IF($A1059="","",$A1059&amp;" ("&amp;$C1059&amp;")")</f>
        <v/>
      </c>
      <c r="I1059">
        <f>IF($A1059="","",IF($E1059=1,$H1059,$I1058&amp;", "&amp;$H1059))</f>
        <v/>
      </c>
      <c r="J1059">
        <f>IF($A1059="","",IF($E1059=1,$B1059,""))</f>
        <v/>
      </c>
      <c r="K1059">
        <f>IF($A1059="","",IF(COUNTIF($B$2:$B1059,$B1059)=COUNTIF($B$2:$B$1601,$B1059),$B1059,""))</f>
        <v/>
      </c>
    </row>
    <row r="1060">
      <c r="A1060">
        <f>IF('TMP Paste'!$E1060="","",'TMP Paste'!$E1060)</f>
        <v/>
      </c>
      <c r="B1060">
        <f>IF($A1060="","",COUNTIF('TMP Paste'!$B$2:$B1060,"?*"))</f>
        <v/>
      </c>
      <c r="C1060">
        <f>IF($A1060="","",IFERROR('TMP Paste'!$M1060*1,0))</f>
        <v/>
      </c>
      <c r="D1060">
        <f>IF($A1060="","",SUMIF($B$2:$B1060,$B1060,$C$2:$C1060))</f>
        <v/>
      </c>
      <c r="E1060">
        <f>IF($A1060="",0,IF('TMP Paste'!$B1060="",0,1))</f>
        <v/>
      </c>
      <c r="F1060">
        <f>IF(OR($A1060="",$C1060&lt;1),"",$A1060&amp;"-"&amp;TEXT(($D1060-$C1060+1),"00")&amp;IF($C1060&gt;=2,", "&amp;$A1060&amp;"-"&amp;TEXT(($D1060-$C1060+1)+1,"00"),"")&amp;IF($C1060&gt;=3,", "&amp;$A1060&amp;"-"&amp;TEXT(($D1060-$C1060+1)+2,"00"),"")&amp;IF($C1060&gt;=4,", "&amp;$A1060&amp;"-"&amp;TEXT(($D1060-$C1060+1)+3,"00"),"")&amp;IF($C1060&gt;=5,", "&amp;$A1060&amp;"-"&amp;TEXT(($D1060-$C1060+1)+4,"00"),"")&amp;IF($C1060&gt;=6,", "&amp;$A1060&amp;"-"&amp;TEXT(($D1060-$C1060+1)+5,"00"),"")&amp;IF($C1060&gt;=7,", "&amp;$A1060&amp;"-"&amp;TEXT(($D1060-$C1060+1)+6,"00"),"")&amp;IF($C1060&gt;=8,", "&amp;$A1060&amp;"-"&amp;TEXT(($D1060-$C1060+1)+7,"00"),"")&amp;IF($C1060&gt;=9,", "&amp;$A1060&amp;"-"&amp;TEXT(($D1060-$C1060+1)+8,"00"),"")&amp;IF($C1060&gt;=10,", "&amp;$A1060&amp;"-"&amp;TEXT(($D1060-$C1060+1)+9,"00"),"")&amp;IF($C1060&gt;=11,", "&amp;$A1060&amp;"-"&amp;TEXT(($D1060-$C1060+1)+10,"00"),"")&amp;IF($C1060&gt;=12,", "&amp;$A1060&amp;"-"&amp;TEXT(($D1060-$C1060+1)+11,"00"),"")&amp;IF($C1060&gt;=13,", "&amp;$A1060&amp;"-"&amp;TEXT(($D1060-$C1060+1)+12,"00"),"")&amp;IF($C1060&gt;=14,", "&amp;$A1060&amp;"-"&amp;TEXT(($D1060-$C1060+1)+13,"00"),"")&amp;IF($C1060&gt;=15,", "&amp;$A1060&amp;"-"&amp;TEXT(($D1060-$C1060+1)+14,"00"),"")&amp;IF($C1060&gt;=16,", "&amp;$A1060&amp;"-"&amp;TEXT(($D1060-$C1060+1)+15,"00"),"")&amp;IF($C1060&gt;=17,", "&amp;$A1060&amp;"-"&amp;TEXT(($D1060-$C1060+1)+16,"00"),"")&amp;IF($C1060&gt;=18,", "&amp;$A1060&amp;"-"&amp;TEXT(($D1060-$C1060+1)+17,"00"),"")&amp;IF($C1060&gt;=19,", "&amp;$A1060&amp;"-"&amp;TEXT(($D1060-$C1060+1)+18,"00"),"")&amp;IF($C1060&gt;=20,", "&amp;$A1060&amp;"-"&amp;TEXT(($D1060-$C1060+1)+19,"00"),"")&amp;IF($C1060&gt;=21,", "&amp;$A1060&amp;"-"&amp;TEXT(($D1060-$C1060+1)+20,"00"),"")&amp;IF($C1060&gt;=22,", "&amp;$A1060&amp;"-"&amp;TEXT(($D1060-$C1060+1)+21,"00"),"")&amp;IF($C1060&gt;=23,", "&amp;$A1060&amp;"-"&amp;TEXT(($D1060-$C1060+1)+22,"00"),"")&amp;IF($C1060&gt;=24,", "&amp;$A1060&amp;"-"&amp;TEXT(($D1060-$C1060+1)+23,"00"),"")&amp;IF($C1060&gt;=25,", "&amp;$A1060&amp;"-"&amp;TEXT(($D1060-$C1060+1)+24,"00"),""))</f>
        <v/>
      </c>
      <c r="G1060">
        <f>IF($A1060="","",IF($E1060=1,$F1060,IF($F1060="",$G1059,IF($G1059="",$F1060,$G1059&amp;", "&amp;$F1060))))</f>
        <v/>
      </c>
      <c r="H1060">
        <f>IF($A1060="","",$A1060&amp;" ("&amp;$C1060&amp;")")</f>
        <v/>
      </c>
      <c r="I1060">
        <f>IF($A1060="","",IF($E1060=1,$H1060,$I1059&amp;", "&amp;$H1060))</f>
        <v/>
      </c>
      <c r="J1060">
        <f>IF($A1060="","",IF($E1060=1,$B1060,""))</f>
        <v/>
      </c>
      <c r="K1060">
        <f>IF($A1060="","",IF(COUNTIF($B$2:$B1060,$B1060)=COUNTIF($B$2:$B$1601,$B1060),$B1060,""))</f>
        <v/>
      </c>
    </row>
    <row r="1061">
      <c r="A1061">
        <f>IF('TMP Paste'!$E1061="","",'TMP Paste'!$E1061)</f>
        <v/>
      </c>
      <c r="B1061">
        <f>IF($A1061="","",COUNTIF('TMP Paste'!$B$2:$B1061,"?*"))</f>
        <v/>
      </c>
      <c r="C1061">
        <f>IF($A1061="","",IFERROR('TMP Paste'!$M1061*1,0))</f>
        <v/>
      </c>
      <c r="D1061">
        <f>IF($A1061="","",SUMIF($B$2:$B1061,$B1061,$C$2:$C1061))</f>
        <v/>
      </c>
      <c r="E1061">
        <f>IF($A1061="",0,IF('TMP Paste'!$B1061="",0,1))</f>
        <v/>
      </c>
      <c r="F1061">
        <f>IF(OR($A1061="",$C1061&lt;1),"",$A1061&amp;"-"&amp;TEXT(($D1061-$C1061+1),"00")&amp;IF($C1061&gt;=2,", "&amp;$A1061&amp;"-"&amp;TEXT(($D1061-$C1061+1)+1,"00"),"")&amp;IF($C1061&gt;=3,", "&amp;$A1061&amp;"-"&amp;TEXT(($D1061-$C1061+1)+2,"00"),"")&amp;IF($C1061&gt;=4,", "&amp;$A1061&amp;"-"&amp;TEXT(($D1061-$C1061+1)+3,"00"),"")&amp;IF($C1061&gt;=5,", "&amp;$A1061&amp;"-"&amp;TEXT(($D1061-$C1061+1)+4,"00"),"")&amp;IF($C1061&gt;=6,", "&amp;$A1061&amp;"-"&amp;TEXT(($D1061-$C1061+1)+5,"00"),"")&amp;IF($C1061&gt;=7,", "&amp;$A1061&amp;"-"&amp;TEXT(($D1061-$C1061+1)+6,"00"),"")&amp;IF($C1061&gt;=8,", "&amp;$A1061&amp;"-"&amp;TEXT(($D1061-$C1061+1)+7,"00"),"")&amp;IF($C1061&gt;=9,", "&amp;$A1061&amp;"-"&amp;TEXT(($D1061-$C1061+1)+8,"00"),"")&amp;IF($C1061&gt;=10,", "&amp;$A1061&amp;"-"&amp;TEXT(($D1061-$C1061+1)+9,"00"),"")&amp;IF($C1061&gt;=11,", "&amp;$A1061&amp;"-"&amp;TEXT(($D1061-$C1061+1)+10,"00"),"")&amp;IF($C1061&gt;=12,", "&amp;$A1061&amp;"-"&amp;TEXT(($D1061-$C1061+1)+11,"00"),"")&amp;IF($C1061&gt;=13,", "&amp;$A1061&amp;"-"&amp;TEXT(($D1061-$C1061+1)+12,"00"),"")&amp;IF($C1061&gt;=14,", "&amp;$A1061&amp;"-"&amp;TEXT(($D1061-$C1061+1)+13,"00"),"")&amp;IF($C1061&gt;=15,", "&amp;$A1061&amp;"-"&amp;TEXT(($D1061-$C1061+1)+14,"00"),"")&amp;IF($C1061&gt;=16,", "&amp;$A1061&amp;"-"&amp;TEXT(($D1061-$C1061+1)+15,"00"),"")&amp;IF($C1061&gt;=17,", "&amp;$A1061&amp;"-"&amp;TEXT(($D1061-$C1061+1)+16,"00"),"")&amp;IF($C1061&gt;=18,", "&amp;$A1061&amp;"-"&amp;TEXT(($D1061-$C1061+1)+17,"00"),"")&amp;IF($C1061&gt;=19,", "&amp;$A1061&amp;"-"&amp;TEXT(($D1061-$C1061+1)+18,"00"),"")&amp;IF($C1061&gt;=20,", "&amp;$A1061&amp;"-"&amp;TEXT(($D1061-$C1061+1)+19,"00"),"")&amp;IF($C1061&gt;=21,", "&amp;$A1061&amp;"-"&amp;TEXT(($D1061-$C1061+1)+20,"00"),"")&amp;IF($C1061&gt;=22,", "&amp;$A1061&amp;"-"&amp;TEXT(($D1061-$C1061+1)+21,"00"),"")&amp;IF($C1061&gt;=23,", "&amp;$A1061&amp;"-"&amp;TEXT(($D1061-$C1061+1)+22,"00"),"")&amp;IF($C1061&gt;=24,", "&amp;$A1061&amp;"-"&amp;TEXT(($D1061-$C1061+1)+23,"00"),"")&amp;IF($C1061&gt;=25,", "&amp;$A1061&amp;"-"&amp;TEXT(($D1061-$C1061+1)+24,"00"),""))</f>
        <v/>
      </c>
      <c r="G1061">
        <f>IF($A1061="","",IF($E1061=1,$F1061,IF($F1061="",$G1060,IF($G1060="",$F1061,$G1060&amp;", "&amp;$F1061))))</f>
        <v/>
      </c>
      <c r="H1061">
        <f>IF($A1061="","",$A1061&amp;" ("&amp;$C1061&amp;")")</f>
        <v/>
      </c>
      <c r="I1061">
        <f>IF($A1061="","",IF($E1061=1,$H1061,$I1060&amp;", "&amp;$H1061))</f>
        <v/>
      </c>
      <c r="J1061">
        <f>IF($A1061="","",IF($E1061=1,$B1061,""))</f>
        <v/>
      </c>
      <c r="K1061">
        <f>IF($A1061="","",IF(COUNTIF($B$2:$B1061,$B1061)=COUNTIF($B$2:$B$1601,$B1061),$B1061,""))</f>
        <v/>
      </c>
    </row>
    <row r="1062">
      <c r="A1062">
        <f>IF('TMP Paste'!$E1062="","",'TMP Paste'!$E1062)</f>
        <v/>
      </c>
      <c r="B1062">
        <f>IF($A1062="","",COUNTIF('TMP Paste'!$B$2:$B1062,"?*"))</f>
        <v/>
      </c>
      <c r="C1062">
        <f>IF($A1062="","",IFERROR('TMP Paste'!$M1062*1,0))</f>
        <v/>
      </c>
      <c r="D1062">
        <f>IF($A1062="","",SUMIF($B$2:$B1062,$B1062,$C$2:$C1062))</f>
        <v/>
      </c>
      <c r="E1062">
        <f>IF($A1062="",0,IF('TMP Paste'!$B1062="",0,1))</f>
        <v/>
      </c>
      <c r="F1062">
        <f>IF(OR($A1062="",$C1062&lt;1),"",$A1062&amp;"-"&amp;TEXT(($D1062-$C1062+1),"00")&amp;IF($C1062&gt;=2,", "&amp;$A1062&amp;"-"&amp;TEXT(($D1062-$C1062+1)+1,"00"),"")&amp;IF($C1062&gt;=3,", "&amp;$A1062&amp;"-"&amp;TEXT(($D1062-$C1062+1)+2,"00"),"")&amp;IF($C1062&gt;=4,", "&amp;$A1062&amp;"-"&amp;TEXT(($D1062-$C1062+1)+3,"00"),"")&amp;IF($C1062&gt;=5,", "&amp;$A1062&amp;"-"&amp;TEXT(($D1062-$C1062+1)+4,"00"),"")&amp;IF($C1062&gt;=6,", "&amp;$A1062&amp;"-"&amp;TEXT(($D1062-$C1062+1)+5,"00"),"")&amp;IF($C1062&gt;=7,", "&amp;$A1062&amp;"-"&amp;TEXT(($D1062-$C1062+1)+6,"00"),"")&amp;IF($C1062&gt;=8,", "&amp;$A1062&amp;"-"&amp;TEXT(($D1062-$C1062+1)+7,"00"),"")&amp;IF($C1062&gt;=9,", "&amp;$A1062&amp;"-"&amp;TEXT(($D1062-$C1062+1)+8,"00"),"")&amp;IF($C1062&gt;=10,", "&amp;$A1062&amp;"-"&amp;TEXT(($D1062-$C1062+1)+9,"00"),"")&amp;IF($C1062&gt;=11,", "&amp;$A1062&amp;"-"&amp;TEXT(($D1062-$C1062+1)+10,"00"),"")&amp;IF($C1062&gt;=12,", "&amp;$A1062&amp;"-"&amp;TEXT(($D1062-$C1062+1)+11,"00"),"")&amp;IF($C1062&gt;=13,", "&amp;$A1062&amp;"-"&amp;TEXT(($D1062-$C1062+1)+12,"00"),"")&amp;IF($C1062&gt;=14,", "&amp;$A1062&amp;"-"&amp;TEXT(($D1062-$C1062+1)+13,"00"),"")&amp;IF($C1062&gt;=15,", "&amp;$A1062&amp;"-"&amp;TEXT(($D1062-$C1062+1)+14,"00"),"")&amp;IF($C1062&gt;=16,", "&amp;$A1062&amp;"-"&amp;TEXT(($D1062-$C1062+1)+15,"00"),"")&amp;IF($C1062&gt;=17,", "&amp;$A1062&amp;"-"&amp;TEXT(($D1062-$C1062+1)+16,"00"),"")&amp;IF($C1062&gt;=18,", "&amp;$A1062&amp;"-"&amp;TEXT(($D1062-$C1062+1)+17,"00"),"")&amp;IF($C1062&gt;=19,", "&amp;$A1062&amp;"-"&amp;TEXT(($D1062-$C1062+1)+18,"00"),"")&amp;IF($C1062&gt;=20,", "&amp;$A1062&amp;"-"&amp;TEXT(($D1062-$C1062+1)+19,"00"),"")&amp;IF($C1062&gt;=21,", "&amp;$A1062&amp;"-"&amp;TEXT(($D1062-$C1062+1)+20,"00"),"")&amp;IF($C1062&gt;=22,", "&amp;$A1062&amp;"-"&amp;TEXT(($D1062-$C1062+1)+21,"00"),"")&amp;IF($C1062&gt;=23,", "&amp;$A1062&amp;"-"&amp;TEXT(($D1062-$C1062+1)+22,"00"),"")&amp;IF($C1062&gt;=24,", "&amp;$A1062&amp;"-"&amp;TEXT(($D1062-$C1062+1)+23,"00"),"")&amp;IF($C1062&gt;=25,", "&amp;$A1062&amp;"-"&amp;TEXT(($D1062-$C1062+1)+24,"00"),""))</f>
        <v/>
      </c>
      <c r="G1062">
        <f>IF($A1062="","",IF($E1062=1,$F1062,IF($F1062="",$G1061,IF($G1061="",$F1062,$G1061&amp;", "&amp;$F1062))))</f>
        <v/>
      </c>
      <c r="H1062">
        <f>IF($A1062="","",$A1062&amp;" ("&amp;$C1062&amp;")")</f>
        <v/>
      </c>
      <c r="I1062">
        <f>IF($A1062="","",IF($E1062=1,$H1062,$I1061&amp;", "&amp;$H1062))</f>
        <v/>
      </c>
      <c r="J1062">
        <f>IF($A1062="","",IF($E1062=1,$B1062,""))</f>
        <v/>
      </c>
      <c r="K1062">
        <f>IF($A1062="","",IF(COUNTIF($B$2:$B1062,$B1062)=COUNTIF($B$2:$B$1601,$B1062),$B1062,""))</f>
        <v/>
      </c>
    </row>
    <row r="1063">
      <c r="A1063">
        <f>IF('TMP Paste'!$E1063="","",'TMP Paste'!$E1063)</f>
        <v/>
      </c>
      <c r="B1063">
        <f>IF($A1063="","",COUNTIF('TMP Paste'!$B$2:$B1063,"?*"))</f>
        <v/>
      </c>
      <c r="C1063">
        <f>IF($A1063="","",IFERROR('TMP Paste'!$M1063*1,0))</f>
        <v/>
      </c>
      <c r="D1063">
        <f>IF($A1063="","",SUMIF($B$2:$B1063,$B1063,$C$2:$C1063))</f>
        <v/>
      </c>
      <c r="E1063">
        <f>IF($A1063="",0,IF('TMP Paste'!$B1063="",0,1))</f>
        <v/>
      </c>
      <c r="F1063">
        <f>IF(OR($A1063="",$C1063&lt;1),"",$A1063&amp;"-"&amp;TEXT(($D1063-$C1063+1),"00")&amp;IF($C1063&gt;=2,", "&amp;$A1063&amp;"-"&amp;TEXT(($D1063-$C1063+1)+1,"00"),"")&amp;IF($C1063&gt;=3,", "&amp;$A1063&amp;"-"&amp;TEXT(($D1063-$C1063+1)+2,"00"),"")&amp;IF($C1063&gt;=4,", "&amp;$A1063&amp;"-"&amp;TEXT(($D1063-$C1063+1)+3,"00"),"")&amp;IF($C1063&gt;=5,", "&amp;$A1063&amp;"-"&amp;TEXT(($D1063-$C1063+1)+4,"00"),"")&amp;IF($C1063&gt;=6,", "&amp;$A1063&amp;"-"&amp;TEXT(($D1063-$C1063+1)+5,"00"),"")&amp;IF($C1063&gt;=7,", "&amp;$A1063&amp;"-"&amp;TEXT(($D1063-$C1063+1)+6,"00"),"")&amp;IF($C1063&gt;=8,", "&amp;$A1063&amp;"-"&amp;TEXT(($D1063-$C1063+1)+7,"00"),"")&amp;IF($C1063&gt;=9,", "&amp;$A1063&amp;"-"&amp;TEXT(($D1063-$C1063+1)+8,"00"),"")&amp;IF($C1063&gt;=10,", "&amp;$A1063&amp;"-"&amp;TEXT(($D1063-$C1063+1)+9,"00"),"")&amp;IF($C1063&gt;=11,", "&amp;$A1063&amp;"-"&amp;TEXT(($D1063-$C1063+1)+10,"00"),"")&amp;IF($C1063&gt;=12,", "&amp;$A1063&amp;"-"&amp;TEXT(($D1063-$C1063+1)+11,"00"),"")&amp;IF($C1063&gt;=13,", "&amp;$A1063&amp;"-"&amp;TEXT(($D1063-$C1063+1)+12,"00"),"")&amp;IF($C1063&gt;=14,", "&amp;$A1063&amp;"-"&amp;TEXT(($D1063-$C1063+1)+13,"00"),"")&amp;IF($C1063&gt;=15,", "&amp;$A1063&amp;"-"&amp;TEXT(($D1063-$C1063+1)+14,"00"),"")&amp;IF($C1063&gt;=16,", "&amp;$A1063&amp;"-"&amp;TEXT(($D1063-$C1063+1)+15,"00"),"")&amp;IF($C1063&gt;=17,", "&amp;$A1063&amp;"-"&amp;TEXT(($D1063-$C1063+1)+16,"00"),"")&amp;IF($C1063&gt;=18,", "&amp;$A1063&amp;"-"&amp;TEXT(($D1063-$C1063+1)+17,"00"),"")&amp;IF($C1063&gt;=19,", "&amp;$A1063&amp;"-"&amp;TEXT(($D1063-$C1063+1)+18,"00"),"")&amp;IF($C1063&gt;=20,", "&amp;$A1063&amp;"-"&amp;TEXT(($D1063-$C1063+1)+19,"00"),"")&amp;IF($C1063&gt;=21,", "&amp;$A1063&amp;"-"&amp;TEXT(($D1063-$C1063+1)+20,"00"),"")&amp;IF($C1063&gt;=22,", "&amp;$A1063&amp;"-"&amp;TEXT(($D1063-$C1063+1)+21,"00"),"")&amp;IF($C1063&gt;=23,", "&amp;$A1063&amp;"-"&amp;TEXT(($D1063-$C1063+1)+22,"00"),"")&amp;IF($C1063&gt;=24,", "&amp;$A1063&amp;"-"&amp;TEXT(($D1063-$C1063+1)+23,"00"),"")&amp;IF($C1063&gt;=25,", "&amp;$A1063&amp;"-"&amp;TEXT(($D1063-$C1063+1)+24,"00"),""))</f>
        <v/>
      </c>
      <c r="G1063">
        <f>IF($A1063="","",IF($E1063=1,$F1063,IF($F1063="",$G1062,IF($G1062="",$F1063,$G1062&amp;", "&amp;$F1063))))</f>
        <v/>
      </c>
      <c r="H1063">
        <f>IF($A1063="","",$A1063&amp;" ("&amp;$C1063&amp;")")</f>
        <v/>
      </c>
      <c r="I1063">
        <f>IF($A1063="","",IF($E1063=1,$H1063,$I1062&amp;", "&amp;$H1063))</f>
        <v/>
      </c>
      <c r="J1063">
        <f>IF($A1063="","",IF($E1063=1,$B1063,""))</f>
        <v/>
      </c>
      <c r="K1063">
        <f>IF($A1063="","",IF(COUNTIF($B$2:$B1063,$B1063)=COUNTIF($B$2:$B$1601,$B1063),$B1063,""))</f>
        <v/>
      </c>
    </row>
    <row r="1064">
      <c r="A1064">
        <f>IF('TMP Paste'!$E1064="","",'TMP Paste'!$E1064)</f>
        <v/>
      </c>
      <c r="B1064">
        <f>IF($A1064="","",COUNTIF('TMP Paste'!$B$2:$B1064,"?*"))</f>
        <v/>
      </c>
      <c r="C1064">
        <f>IF($A1064="","",IFERROR('TMP Paste'!$M1064*1,0))</f>
        <v/>
      </c>
      <c r="D1064">
        <f>IF($A1064="","",SUMIF($B$2:$B1064,$B1064,$C$2:$C1064))</f>
        <v/>
      </c>
      <c r="E1064">
        <f>IF($A1064="",0,IF('TMP Paste'!$B1064="",0,1))</f>
        <v/>
      </c>
      <c r="F1064">
        <f>IF(OR($A1064="",$C1064&lt;1),"",$A1064&amp;"-"&amp;TEXT(($D1064-$C1064+1),"00")&amp;IF($C1064&gt;=2,", "&amp;$A1064&amp;"-"&amp;TEXT(($D1064-$C1064+1)+1,"00"),"")&amp;IF($C1064&gt;=3,", "&amp;$A1064&amp;"-"&amp;TEXT(($D1064-$C1064+1)+2,"00"),"")&amp;IF($C1064&gt;=4,", "&amp;$A1064&amp;"-"&amp;TEXT(($D1064-$C1064+1)+3,"00"),"")&amp;IF($C1064&gt;=5,", "&amp;$A1064&amp;"-"&amp;TEXT(($D1064-$C1064+1)+4,"00"),"")&amp;IF($C1064&gt;=6,", "&amp;$A1064&amp;"-"&amp;TEXT(($D1064-$C1064+1)+5,"00"),"")&amp;IF($C1064&gt;=7,", "&amp;$A1064&amp;"-"&amp;TEXT(($D1064-$C1064+1)+6,"00"),"")&amp;IF($C1064&gt;=8,", "&amp;$A1064&amp;"-"&amp;TEXT(($D1064-$C1064+1)+7,"00"),"")&amp;IF($C1064&gt;=9,", "&amp;$A1064&amp;"-"&amp;TEXT(($D1064-$C1064+1)+8,"00"),"")&amp;IF($C1064&gt;=10,", "&amp;$A1064&amp;"-"&amp;TEXT(($D1064-$C1064+1)+9,"00"),"")&amp;IF($C1064&gt;=11,", "&amp;$A1064&amp;"-"&amp;TEXT(($D1064-$C1064+1)+10,"00"),"")&amp;IF($C1064&gt;=12,", "&amp;$A1064&amp;"-"&amp;TEXT(($D1064-$C1064+1)+11,"00"),"")&amp;IF($C1064&gt;=13,", "&amp;$A1064&amp;"-"&amp;TEXT(($D1064-$C1064+1)+12,"00"),"")&amp;IF($C1064&gt;=14,", "&amp;$A1064&amp;"-"&amp;TEXT(($D1064-$C1064+1)+13,"00"),"")&amp;IF($C1064&gt;=15,", "&amp;$A1064&amp;"-"&amp;TEXT(($D1064-$C1064+1)+14,"00"),"")&amp;IF($C1064&gt;=16,", "&amp;$A1064&amp;"-"&amp;TEXT(($D1064-$C1064+1)+15,"00"),"")&amp;IF($C1064&gt;=17,", "&amp;$A1064&amp;"-"&amp;TEXT(($D1064-$C1064+1)+16,"00"),"")&amp;IF($C1064&gt;=18,", "&amp;$A1064&amp;"-"&amp;TEXT(($D1064-$C1064+1)+17,"00"),"")&amp;IF($C1064&gt;=19,", "&amp;$A1064&amp;"-"&amp;TEXT(($D1064-$C1064+1)+18,"00"),"")&amp;IF($C1064&gt;=20,", "&amp;$A1064&amp;"-"&amp;TEXT(($D1064-$C1064+1)+19,"00"),"")&amp;IF($C1064&gt;=21,", "&amp;$A1064&amp;"-"&amp;TEXT(($D1064-$C1064+1)+20,"00"),"")&amp;IF($C1064&gt;=22,", "&amp;$A1064&amp;"-"&amp;TEXT(($D1064-$C1064+1)+21,"00"),"")&amp;IF($C1064&gt;=23,", "&amp;$A1064&amp;"-"&amp;TEXT(($D1064-$C1064+1)+22,"00"),"")&amp;IF($C1064&gt;=24,", "&amp;$A1064&amp;"-"&amp;TEXT(($D1064-$C1064+1)+23,"00"),"")&amp;IF($C1064&gt;=25,", "&amp;$A1064&amp;"-"&amp;TEXT(($D1064-$C1064+1)+24,"00"),""))</f>
        <v/>
      </c>
      <c r="G1064">
        <f>IF($A1064="","",IF($E1064=1,$F1064,IF($F1064="",$G1063,IF($G1063="",$F1064,$G1063&amp;", "&amp;$F1064))))</f>
        <v/>
      </c>
      <c r="H1064">
        <f>IF($A1064="","",$A1064&amp;" ("&amp;$C1064&amp;")")</f>
        <v/>
      </c>
      <c r="I1064">
        <f>IF($A1064="","",IF($E1064=1,$H1064,$I1063&amp;", "&amp;$H1064))</f>
        <v/>
      </c>
      <c r="J1064">
        <f>IF($A1064="","",IF($E1064=1,$B1064,""))</f>
        <v/>
      </c>
      <c r="K1064">
        <f>IF($A1064="","",IF(COUNTIF($B$2:$B1064,$B1064)=COUNTIF($B$2:$B$1601,$B1064),$B1064,""))</f>
        <v/>
      </c>
    </row>
    <row r="1065">
      <c r="A1065">
        <f>IF('TMP Paste'!$E1065="","",'TMP Paste'!$E1065)</f>
        <v/>
      </c>
      <c r="B1065">
        <f>IF($A1065="","",COUNTIF('TMP Paste'!$B$2:$B1065,"?*"))</f>
        <v/>
      </c>
      <c r="C1065">
        <f>IF($A1065="","",IFERROR('TMP Paste'!$M1065*1,0))</f>
        <v/>
      </c>
      <c r="D1065">
        <f>IF($A1065="","",SUMIF($B$2:$B1065,$B1065,$C$2:$C1065))</f>
        <v/>
      </c>
      <c r="E1065">
        <f>IF($A1065="",0,IF('TMP Paste'!$B1065="",0,1))</f>
        <v/>
      </c>
      <c r="F1065">
        <f>IF(OR($A1065="",$C1065&lt;1),"",$A1065&amp;"-"&amp;TEXT(($D1065-$C1065+1),"00")&amp;IF($C1065&gt;=2,", "&amp;$A1065&amp;"-"&amp;TEXT(($D1065-$C1065+1)+1,"00"),"")&amp;IF($C1065&gt;=3,", "&amp;$A1065&amp;"-"&amp;TEXT(($D1065-$C1065+1)+2,"00"),"")&amp;IF($C1065&gt;=4,", "&amp;$A1065&amp;"-"&amp;TEXT(($D1065-$C1065+1)+3,"00"),"")&amp;IF($C1065&gt;=5,", "&amp;$A1065&amp;"-"&amp;TEXT(($D1065-$C1065+1)+4,"00"),"")&amp;IF($C1065&gt;=6,", "&amp;$A1065&amp;"-"&amp;TEXT(($D1065-$C1065+1)+5,"00"),"")&amp;IF($C1065&gt;=7,", "&amp;$A1065&amp;"-"&amp;TEXT(($D1065-$C1065+1)+6,"00"),"")&amp;IF($C1065&gt;=8,", "&amp;$A1065&amp;"-"&amp;TEXT(($D1065-$C1065+1)+7,"00"),"")&amp;IF($C1065&gt;=9,", "&amp;$A1065&amp;"-"&amp;TEXT(($D1065-$C1065+1)+8,"00"),"")&amp;IF($C1065&gt;=10,", "&amp;$A1065&amp;"-"&amp;TEXT(($D1065-$C1065+1)+9,"00"),"")&amp;IF($C1065&gt;=11,", "&amp;$A1065&amp;"-"&amp;TEXT(($D1065-$C1065+1)+10,"00"),"")&amp;IF($C1065&gt;=12,", "&amp;$A1065&amp;"-"&amp;TEXT(($D1065-$C1065+1)+11,"00"),"")&amp;IF($C1065&gt;=13,", "&amp;$A1065&amp;"-"&amp;TEXT(($D1065-$C1065+1)+12,"00"),"")&amp;IF($C1065&gt;=14,", "&amp;$A1065&amp;"-"&amp;TEXT(($D1065-$C1065+1)+13,"00"),"")&amp;IF($C1065&gt;=15,", "&amp;$A1065&amp;"-"&amp;TEXT(($D1065-$C1065+1)+14,"00"),"")&amp;IF($C1065&gt;=16,", "&amp;$A1065&amp;"-"&amp;TEXT(($D1065-$C1065+1)+15,"00"),"")&amp;IF($C1065&gt;=17,", "&amp;$A1065&amp;"-"&amp;TEXT(($D1065-$C1065+1)+16,"00"),"")&amp;IF($C1065&gt;=18,", "&amp;$A1065&amp;"-"&amp;TEXT(($D1065-$C1065+1)+17,"00"),"")&amp;IF($C1065&gt;=19,", "&amp;$A1065&amp;"-"&amp;TEXT(($D1065-$C1065+1)+18,"00"),"")&amp;IF($C1065&gt;=20,", "&amp;$A1065&amp;"-"&amp;TEXT(($D1065-$C1065+1)+19,"00"),"")&amp;IF($C1065&gt;=21,", "&amp;$A1065&amp;"-"&amp;TEXT(($D1065-$C1065+1)+20,"00"),"")&amp;IF($C1065&gt;=22,", "&amp;$A1065&amp;"-"&amp;TEXT(($D1065-$C1065+1)+21,"00"),"")&amp;IF($C1065&gt;=23,", "&amp;$A1065&amp;"-"&amp;TEXT(($D1065-$C1065+1)+22,"00"),"")&amp;IF($C1065&gt;=24,", "&amp;$A1065&amp;"-"&amp;TEXT(($D1065-$C1065+1)+23,"00"),"")&amp;IF($C1065&gt;=25,", "&amp;$A1065&amp;"-"&amp;TEXT(($D1065-$C1065+1)+24,"00"),""))</f>
        <v/>
      </c>
      <c r="G1065">
        <f>IF($A1065="","",IF($E1065=1,$F1065,IF($F1065="",$G1064,IF($G1064="",$F1065,$G1064&amp;", "&amp;$F1065))))</f>
        <v/>
      </c>
      <c r="H1065">
        <f>IF($A1065="","",$A1065&amp;" ("&amp;$C1065&amp;")")</f>
        <v/>
      </c>
      <c r="I1065">
        <f>IF($A1065="","",IF($E1065=1,$H1065,$I1064&amp;", "&amp;$H1065))</f>
        <v/>
      </c>
      <c r="J1065">
        <f>IF($A1065="","",IF($E1065=1,$B1065,""))</f>
        <v/>
      </c>
      <c r="K1065">
        <f>IF($A1065="","",IF(COUNTIF($B$2:$B1065,$B1065)=COUNTIF($B$2:$B$1601,$B1065),$B1065,""))</f>
        <v/>
      </c>
    </row>
    <row r="1066">
      <c r="A1066">
        <f>IF('TMP Paste'!$E1066="","",'TMP Paste'!$E1066)</f>
        <v/>
      </c>
      <c r="B1066">
        <f>IF($A1066="","",COUNTIF('TMP Paste'!$B$2:$B1066,"?*"))</f>
        <v/>
      </c>
      <c r="C1066">
        <f>IF($A1066="","",IFERROR('TMP Paste'!$M1066*1,0))</f>
        <v/>
      </c>
      <c r="D1066">
        <f>IF($A1066="","",SUMIF($B$2:$B1066,$B1066,$C$2:$C1066))</f>
        <v/>
      </c>
      <c r="E1066">
        <f>IF($A1066="",0,IF('TMP Paste'!$B1066="",0,1))</f>
        <v/>
      </c>
      <c r="F1066">
        <f>IF(OR($A1066="",$C1066&lt;1),"",$A1066&amp;"-"&amp;TEXT(($D1066-$C1066+1),"00")&amp;IF($C1066&gt;=2,", "&amp;$A1066&amp;"-"&amp;TEXT(($D1066-$C1066+1)+1,"00"),"")&amp;IF($C1066&gt;=3,", "&amp;$A1066&amp;"-"&amp;TEXT(($D1066-$C1066+1)+2,"00"),"")&amp;IF($C1066&gt;=4,", "&amp;$A1066&amp;"-"&amp;TEXT(($D1066-$C1066+1)+3,"00"),"")&amp;IF($C1066&gt;=5,", "&amp;$A1066&amp;"-"&amp;TEXT(($D1066-$C1066+1)+4,"00"),"")&amp;IF($C1066&gt;=6,", "&amp;$A1066&amp;"-"&amp;TEXT(($D1066-$C1066+1)+5,"00"),"")&amp;IF($C1066&gt;=7,", "&amp;$A1066&amp;"-"&amp;TEXT(($D1066-$C1066+1)+6,"00"),"")&amp;IF($C1066&gt;=8,", "&amp;$A1066&amp;"-"&amp;TEXT(($D1066-$C1066+1)+7,"00"),"")&amp;IF($C1066&gt;=9,", "&amp;$A1066&amp;"-"&amp;TEXT(($D1066-$C1066+1)+8,"00"),"")&amp;IF($C1066&gt;=10,", "&amp;$A1066&amp;"-"&amp;TEXT(($D1066-$C1066+1)+9,"00"),"")&amp;IF($C1066&gt;=11,", "&amp;$A1066&amp;"-"&amp;TEXT(($D1066-$C1066+1)+10,"00"),"")&amp;IF($C1066&gt;=12,", "&amp;$A1066&amp;"-"&amp;TEXT(($D1066-$C1066+1)+11,"00"),"")&amp;IF($C1066&gt;=13,", "&amp;$A1066&amp;"-"&amp;TEXT(($D1066-$C1066+1)+12,"00"),"")&amp;IF($C1066&gt;=14,", "&amp;$A1066&amp;"-"&amp;TEXT(($D1066-$C1066+1)+13,"00"),"")&amp;IF($C1066&gt;=15,", "&amp;$A1066&amp;"-"&amp;TEXT(($D1066-$C1066+1)+14,"00"),"")&amp;IF($C1066&gt;=16,", "&amp;$A1066&amp;"-"&amp;TEXT(($D1066-$C1066+1)+15,"00"),"")&amp;IF($C1066&gt;=17,", "&amp;$A1066&amp;"-"&amp;TEXT(($D1066-$C1066+1)+16,"00"),"")&amp;IF($C1066&gt;=18,", "&amp;$A1066&amp;"-"&amp;TEXT(($D1066-$C1066+1)+17,"00"),"")&amp;IF($C1066&gt;=19,", "&amp;$A1066&amp;"-"&amp;TEXT(($D1066-$C1066+1)+18,"00"),"")&amp;IF($C1066&gt;=20,", "&amp;$A1066&amp;"-"&amp;TEXT(($D1066-$C1066+1)+19,"00"),"")&amp;IF($C1066&gt;=21,", "&amp;$A1066&amp;"-"&amp;TEXT(($D1066-$C1066+1)+20,"00"),"")&amp;IF($C1066&gt;=22,", "&amp;$A1066&amp;"-"&amp;TEXT(($D1066-$C1066+1)+21,"00"),"")&amp;IF($C1066&gt;=23,", "&amp;$A1066&amp;"-"&amp;TEXT(($D1066-$C1066+1)+22,"00"),"")&amp;IF($C1066&gt;=24,", "&amp;$A1066&amp;"-"&amp;TEXT(($D1066-$C1066+1)+23,"00"),"")&amp;IF($C1066&gt;=25,", "&amp;$A1066&amp;"-"&amp;TEXT(($D1066-$C1066+1)+24,"00"),""))</f>
        <v/>
      </c>
      <c r="G1066">
        <f>IF($A1066="","",IF($E1066=1,$F1066,IF($F1066="",$G1065,IF($G1065="",$F1066,$G1065&amp;", "&amp;$F1066))))</f>
        <v/>
      </c>
      <c r="H1066">
        <f>IF($A1066="","",$A1066&amp;" ("&amp;$C1066&amp;")")</f>
        <v/>
      </c>
      <c r="I1066">
        <f>IF($A1066="","",IF($E1066=1,$H1066,$I1065&amp;", "&amp;$H1066))</f>
        <v/>
      </c>
      <c r="J1066">
        <f>IF($A1066="","",IF($E1066=1,$B1066,""))</f>
        <v/>
      </c>
      <c r="K1066">
        <f>IF($A1066="","",IF(COUNTIF($B$2:$B1066,$B1066)=COUNTIF($B$2:$B$1601,$B1066),$B1066,""))</f>
        <v/>
      </c>
    </row>
    <row r="1067">
      <c r="A1067">
        <f>IF('TMP Paste'!$E1067="","",'TMP Paste'!$E1067)</f>
        <v/>
      </c>
      <c r="B1067">
        <f>IF($A1067="","",COUNTIF('TMP Paste'!$B$2:$B1067,"?*"))</f>
        <v/>
      </c>
      <c r="C1067">
        <f>IF($A1067="","",IFERROR('TMP Paste'!$M1067*1,0))</f>
        <v/>
      </c>
      <c r="D1067">
        <f>IF($A1067="","",SUMIF($B$2:$B1067,$B1067,$C$2:$C1067))</f>
        <v/>
      </c>
      <c r="E1067">
        <f>IF($A1067="",0,IF('TMP Paste'!$B1067="",0,1))</f>
        <v/>
      </c>
      <c r="F1067">
        <f>IF(OR($A1067="",$C1067&lt;1),"",$A1067&amp;"-"&amp;TEXT(($D1067-$C1067+1),"00")&amp;IF($C1067&gt;=2,", "&amp;$A1067&amp;"-"&amp;TEXT(($D1067-$C1067+1)+1,"00"),"")&amp;IF($C1067&gt;=3,", "&amp;$A1067&amp;"-"&amp;TEXT(($D1067-$C1067+1)+2,"00"),"")&amp;IF($C1067&gt;=4,", "&amp;$A1067&amp;"-"&amp;TEXT(($D1067-$C1067+1)+3,"00"),"")&amp;IF($C1067&gt;=5,", "&amp;$A1067&amp;"-"&amp;TEXT(($D1067-$C1067+1)+4,"00"),"")&amp;IF($C1067&gt;=6,", "&amp;$A1067&amp;"-"&amp;TEXT(($D1067-$C1067+1)+5,"00"),"")&amp;IF($C1067&gt;=7,", "&amp;$A1067&amp;"-"&amp;TEXT(($D1067-$C1067+1)+6,"00"),"")&amp;IF($C1067&gt;=8,", "&amp;$A1067&amp;"-"&amp;TEXT(($D1067-$C1067+1)+7,"00"),"")&amp;IF($C1067&gt;=9,", "&amp;$A1067&amp;"-"&amp;TEXT(($D1067-$C1067+1)+8,"00"),"")&amp;IF($C1067&gt;=10,", "&amp;$A1067&amp;"-"&amp;TEXT(($D1067-$C1067+1)+9,"00"),"")&amp;IF($C1067&gt;=11,", "&amp;$A1067&amp;"-"&amp;TEXT(($D1067-$C1067+1)+10,"00"),"")&amp;IF($C1067&gt;=12,", "&amp;$A1067&amp;"-"&amp;TEXT(($D1067-$C1067+1)+11,"00"),"")&amp;IF($C1067&gt;=13,", "&amp;$A1067&amp;"-"&amp;TEXT(($D1067-$C1067+1)+12,"00"),"")&amp;IF($C1067&gt;=14,", "&amp;$A1067&amp;"-"&amp;TEXT(($D1067-$C1067+1)+13,"00"),"")&amp;IF($C1067&gt;=15,", "&amp;$A1067&amp;"-"&amp;TEXT(($D1067-$C1067+1)+14,"00"),"")&amp;IF($C1067&gt;=16,", "&amp;$A1067&amp;"-"&amp;TEXT(($D1067-$C1067+1)+15,"00"),"")&amp;IF($C1067&gt;=17,", "&amp;$A1067&amp;"-"&amp;TEXT(($D1067-$C1067+1)+16,"00"),"")&amp;IF($C1067&gt;=18,", "&amp;$A1067&amp;"-"&amp;TEXT(($D1067-$C1067+1)+17,"00"),"")&amp;IF($C1067&gt;=19,", "&amp;$A1067&amp;"-"&amp;TEXT(($D1067-$C1067+1)+18,"00"),"")&amp;IF($C1067&gt;=20,", "&amp;$A1067&amp;"-"&amp;TEXT(($D1067-$C1067+1)+19,"00"),"")&amp;IF($C1067&gt;=21,", "&amp;$A1067&amp;"-"&amp;TEXT(($D1067-$C1067+1)+20,"00"),"")&amp;IF($C1067&gt;=22,", "&amp;$A1067&amp;"-"&amp;TEXT(($D1067-$C1067+1)+21,"00"),"")&amp;IF($C1067&gt;=23,", "&amp;$A1067&amp;"-"&amp;TEXT(($D1067-$C1067+1)+22,"00"),"")&amp;IF($C1067&gt;=24,", "&amp;$A1067&amp;"-"&amp;TEXT(($D1067-$C1067+1)+23,"00"),"")&amp;IF($C1067&gt;=25,", "&amp;$A1067&amp;"-"&amp;TEXT(($D1067-$C1067+1)+24,"00"),""))</f>
        <v/>
      </c>
      <c r="G1067">
        <f>IF($A1067="","",IF($E1067=1,$F1067,IF($F1067="",$G1066,IF($G1066="",$F1067,$G1066&amp;", "&amp;$F1067))))</f>
        <v/>
      </c>
      <c r="H1067">
        <f>IF($A1067="","",$A1067&amp;" ("&amp;$C1067&amp;")")</f>
        <v/>
      </c>
      <c r="I1067">
        <f>IF($A1067="","",IF($E1067=1,$H1067,$I1066&amp;", "&amp;$H1067))</f>
        <v/>
      </c>
      <c r="J1067">
        <f>IF($A1067="","",IF($E1067=1,$B1067,""))</f>
        <v/>
      </c>
      <c r="K1067">
        <f>IF($A1067="","",IF(COUNTIF($B$2:$B1067,$B1067)=COUNTIF($B$2:$B$1601,$B1067),$B1067,""))</f>
        <v/>
      </c>
    </row>
    <row r="1068">
      <c r="A1068">
        <f>IF('TMP Paste'!$E1068="","",'TMP Paste'!$E1068)</f>
        <v/>
      </c>
      <c r="B1068">
        <f>IF($A1068="","",COUNTIF('TMP Paste'!$B$2:$B1068,"?*"))</f>
        <v/>
      </c>
      <c r="C1068">
        <f>IF($A1068="","",IFERROR('TMP Paste'!$M1068*1,0))</f>
        <v/>
      </c>
      <c r="D1068">
        <f>IF($A1068="","",SUMIF($B$2:$B1068,$B1068,$C$2:$C1068))</f>
        <v/>
      </c>
      <c r="E1068">
        <f>IF($A1068="",0,IF('TMP Paste'!$B1068="",0,1))</f>
        <v/>
      </c>
      <c r="F1068">
        <f>IF(OR($A1068="",$C1068&lt;1),"",$A1068&amp;"-"&amp;TEXT(($D1068-$C1068+1),"00")&amp;IF($C1068&gt;=2,", "&amp;$A1068&amp;"-"&amp;TEXT(($D1068-$C1068+1)+1,"00"),"")&amp;IF($C1068&gt;=3,", "&amp;$A1068&amp;"-"&amp;TEXT(($D1068-$C1068+1)+2,"00"),"")&amp;IF($C1068&gt;=4,", "&amp;$A1068&amp;"-"&amp;TEXT(($D1068-$C1068+1)+3,"00"),"")&amp;IF($C1068&gt;=5,", "&amp;$A1068&amp;"-"&amp;TEXT(($D1068-$C1068+1)+4,"00"),"")&amp;IF($C1068&gt;=6,", "&amp;$A1068&amp;"-"&amp;TEXT(($D1068-$C1068+1)+5,"00"),"")&amp;IF($C1068&gt;=7,", "&amp;$A1068&amp;"-"&amp;TEXT(($D1068-$C1068+1)+6,"00"),"")&amp;IF($C1068&gt;=8,", "&amp;$A1068&amp;"-"&amp;TEXT(($D1068-$C1068+1)+7,"00"),"")&amp;IF($C1068&gt;=9,", "&amp;$A1068&amp;"-"&amp;TEXT(($D1068-$C1068+1)+8,"00"),"")&amp;IF($C1068&gt;=10,", "&amp;$A1068&amp;"-"&amp;TEXT(($D1068-$C1068+1)+9,"00"),"")&amp;IF($C1068&gt;=11,", "&amp;$A1068&amp;"-"&amp;TEXT(($D1068-$C1068+1)+10,"00"),"")&amp;IF($C1068&gt;=12,", "&amp;$A1068&amp;"-"&amp;TEXT(($D1068-$C1068+1)+11,"00"),"")&amp;IF($C1068&gt;=13,", "&amp;$A1068&amp;"-"&amp;TEXT(($D1068-$C1068+1)+12,"00"),"")&amp;IF($C1068&gt;=14,", "&amp;$A1068&amp;"-"&amp;TEXT(($D1068-$C1068+1)+13,"00"),"")&amp;IF($C1068&gt;=15,", "&amp;$A1068&amp;"-"&amp;TEXT(($D1068-$C1068+1)+14,"00"),"")&amp;IF($C1068&gt;=16,", "&amp;$A1068&amp;"-"&amp;TEXT(($D1068-$C1068+1)+15,"00"),"")&amp;IF($C1068&gt;=17,", "&amp;$A1068&amp;"-"&amp;TEXT(($D1068-$C1068+1)+16,"00"),"")&amp;IF($C1068&gt;=18,", "&amp;$A1068&amp;"-"&amp;TEXT(($D1068-$C1068+1)+17,"00"),"")&amp;IF($C1068&gt;=19,", "&amp;$A1068&amp;"-"&amp;TEXT(($D1068-$C1068+1)+18,"00"),"")&amp;IF($C1068&gt;=20,", "&amp;$A1068&amp;"-"&amp;TEXT(($D1068-$C1068+1)+19,"00"),"")&amp;IF($C1068&gt;=21,", "&amp;$A1068&amp;"-"&amp;TEXT(($D1068-$C1068+1)+20,"00"),"")&amp;IF($C1068&gt;=22,", "&amp;$A1068&amp;"-"&amp;TEXT(($D1068-$C1068+1)+21,"00"),"")&amp;IF($C1068&gt;=23,", "&amp;$A1068&amp;"-"&amp;TEXT(($D1068-$C1068+1)+22,"00"),"")&amp;IF($C1068&gt;=24,", "&amp;$A1068&amp;"-"&amp;TEXT(($D1068-$C1068+1)+23,"00"),"")&amp;IF($C1068&gt;=25,", "&amp;$A1068&amp;"-"&amp;TEXT(($D1068-$C1068+1)+24,"00"),""))</f>
        <v/>
      </c>
      <c r="G1068">
        <f>IF($A1068="","",IF($E1068=1,$F1068,IF($F1068="",$G1067,IF($G1067="",$F1068,$G1067&amp;", "&amp;$F1068))))</f>
        <v/>
      </c>
      <c r="H1068">
        <f>IF($A1068="","",$A1068&amp;" ("&amp;$C1068&amp;")")</f>
        <v/>
      </c>
      <c r="I1068">
        <f>IF($A1068="","",IF($E1068=1,$H1068,$I1067&amp;", "&amp;$H1068))</f>
        <v/>
      </c>
      <c r="J1068">
        <f>IF($A1068="","",IF($E1068=1,$B1068,""))</f>
        <v/>
      </c>
      <c r="K1068">
        <f>IF($A1068="","",IF(COUNTIF($B$2:$B1068,$B1068)=COUNTIF($B$2:$B$1601,$B1068),$B1068,""))</f>
        <v/>
      </c>
    </row>
    <row r="1069">
      <c r="A1069">
        <f>IF('TMP Paste'!$E1069="","",'TMP Paste'!$E1069)</f>
        <v/>
      </c>
      <c r="B1069">
        <f>IF($A1069="","",COUNTIF('TMP Paste'!$B$2:$B1069,"?*"))</f>
        <v/>
      </c>
      <c r="C1069">
        <f>IF($A1069="","",IFERROR('TMP Paste'!$M1069*1,0))</f>
        <v/>
      </c>
      <c r="D1069">
        <f>IF($A1069="","",SUMIF($B$2:$B1069,$B1069,$C$2:$C1069))</f>
        <v/>
      </c>
      <c r="E1069">
        <f>IF($A1069="",0,IF('TMP Paste'!$B1069="",0,1))</f>
        <v/>
      </c>
      <c r="F1069">
        <f>IF(OR($A1069="",$C1069&lt;1),"",$A1069&amp;"-"&amp;TEXT(($D1069-$C1069+1),"00")&amp;IF($C1069&gt;=2,", "&amp;$A1069&amp;"-"&amp;TEXT(($D1069-$C1069+1)+1,"00"),"")&amp;IF($C1069&gt;=3,", "&amp;$A1069&amp;"-"&amp;TEXT(($D1069-$C1069+1)+2,"00"),"")&amp;IF($C1069&gt;=4,", "&amp;$A1069&amp;"-"&amp;TEXT(($D1069-$C1069+1)+3,"00"),"")&amp;IF($C1069&gt;=5,", "&amp;$A1069&amp;"-"&amp;TEXT(($D1069-$C1069+1)+4,"00"),"")&amp;IF($C1069&gt;=6,", "&amp;$A1069&amp;"-"&amp;TEXT(($D1069-$C1069+1)+5,"00"),"")&amp;IF($C1069&gt;=7,", "&amp;$A1069&amp;"-"&amp;TEXT(($D1069-$C1069+1)+6,"00"),"")&amp;IF($C1069&gt;=8,", "&amp;$A1069&amp;"-"&amp;TEXT(($D1069-$C1069+1)+7,"00"),"")&amp;IF($C1069&gt;=9,", "&amp;$A1069&amp;"-"&amp;TEXT(($D1069-$C1069+1)+8,"00"),"")&amp;IF($C1069&gt;=10,", "&amp;$A1069&amp;"-"&amp;TEXT(($D1069-$C1069+1)+9,"00"),"")&amp;IF($C1069&gt;=11,", "&amp;$A1069&amp;"-"&amp;TEXT(($D1069-$C1069+1)+10,"00"),"")&amp;IF($C1069&gt;=12,", "&amp;$A1069&amp;"-"&amp;TEXT(($D1069-$C1069+1)+11,"00"),"")&amp;IF($C1069&gt;=13,", "&amp;$A1069&amp;"-"&amp;TEXT(($D1069-$C1069+1)+12,"00"),"")&amp;IF($C1069&gt;=14,", "&amp;$A1069&amp;"-"&amp;TEXT(($D1069-$C1069+1)+13,"00"),"")&amp;IF($C1069&gt;=15,", "&amp;$A1069&amp;"-"&amp;TEXT(($D1069-$C1069+1)+14,"00"),"")&amp;IF($C1069&gt;=16,", "&amp;$A1069&amp;"-"&amp;TEXT(($D1069-$C1069+1)+15,"00"),"")&amp;IF($C1069&gt;=17,", "&amp;$A1069&amp;"-"&amp;TEXT(($D1069-$C1069+1)+16,"00"),"")&amp;IF($C1069&gt;=18,", "&amp;$A1069&amp;"-"&amp;TEXT(($D1069-$C1069+1)+17,"00"),"")&amp;IF($C1069&gt;=19,", "&amp;$A1069&amp;"-"&amp;TEXT(($D1069-$C1069+1)+18,"00"),"")&amp;IF($C1069&gt;=20,", "&amp;$A1069&amp;"-"&amp;TEXT(($D1069-$C1069+1)+19,"00"),"")&amp;IF($C1069&gt;=21,", "&amp;$A1069&amp;"-"&amp;TEXT(($D1069-$C1069+1)+20,"00"),"")&amp;IF($C1069&gt;=22,", "&amp;$A1069&amp;"-"&amp;TEXT(($D1069-$C1069+1)+21,"00"),"")&amp;IF($C1069&gt;=23,", "&amp;$A1069&amp;"-"&amp;TEXT(($D1069-$C1069+1)+22,"00"),"")&amp;IF($C1069&gt;=24,", "&amp;$A1069&amp;"-"&amp;TEXT(($D1069-$C1069+1)+23,"00"),"")&amp;IF($C1069&gt;=25,", "&amp;$A1069&amp;"-"&amp;TEXT(($D1069-$C1069+1)+24,"00"),""))</f>
        <v/>
      </c>
      <c r="G1069">
        <f>IF($A1069="","",IF($E1069=1,$F1069,IF($F1069="",$G1068,IF($G1068="",$F1069,$G1068&amp;", "&amp;$F1069))))</f>
        <v/>
      </c>
      <c r="H1069">
        <f>IF($A1069="","",$A1069&amp;" ("&amp;$C1069&amp;")")</f>
        <v/>
      </c>
      <c r="I1069">
        <f>IF($A1069="","",IF($E1069=1,$H1069,$I1068&amp;", "&amp;$H1069))</f>
        <v/>
      </c>
      <c r="J1069">
        <f>IF($A1069="","",IF($E1069=1,$B1069,""))</f>
        <v/>
      </c>
      <c r="K1069">
        <f>IF($A1069="","",IF(COUNTIF($B$2:$B1069,$B1069)=COUNTIF($B$2:$B$1601,$B1069),$B1069,""))</f>
        <v/>
      </c>
    </row>
    <row r="1070">
      <c r="A1070">
        <f>IF('TMP Paste'!$E1070="","",'TMP Paste'!$E1070)</f>
        <v/>
      </c>
      <c r="B1070">
        <f>IF($A1070="","",COUNTIF('TMP Paste'!$B$2:$B1070,"?*"))</f>
        <v/>
      </c>
      <c r="C1070">
        <f>IF($A1070="","",IFERROR('TMP Paste'!$M1070*1,0))</f>
        <v/>
      </c>
      <c r="D1070">
        <f>IF($A1070="","",SUMIF($B$2:$B1070,$B1070,$C$2:$C1070))</f>
        <v/>
      </c>
      <c r="E1070">
        <f>IF($A1070="",0,IF('TMP Paste'!$B1070="",0,1))</f>
        <v/>
      </c>
      <c r="F1070">
        <f>IF(OR($A1070="",$C1070&lt;1),"",$A1070&amp;"-"&amp;TEXT(($D1070-$C1070+1),"00")&amp;IF($C1070&gt;=2,", "&amp;$A1070&amp;"-"&amp;TEXT(($D1070-$C1070+1)+1,"00"),"")&amp;IF($C1070&gt;=3,", "&amp;$A1070&amp;"-"&amp;TEXT(($D1070-$C1070+1)+2,"00"),"")&amp;IF($C1070&gt;=4,", "&amp;$A1070&amp;"-"&amp;TEXT(($D1070-$C1070+1)+3,"00"),"")&amp;IF($C1070&gt;=5,", "&amp;$A1070&amp;"-"&amp;TEXT(($D1070-$C1070+1)+4,"00"),"")&amp;IF($C1070&gt;=6,", "&amp;$A1070&amp;"-"&amp;TEXT(($D1070-$C1070+1)+5,"00"),"")&amp;IF($C1070&gt;=7,", "&amp;$A1070&amp;"-"&amp;TEXT(($D1070-$C1070+1)+6,"00"),"")&amp;IF($C1070&gt;=8,", "&amp;$A1070&amp;"-"&amp;TEXT(($D1070-$C1070+1)+7,"00"),"")&amp;IF($C1070&gt;=9,", "&amp;$A1070&amp;"-"&amp;TEXT(($D1070-$C1070+1)+8,"00"),"")&amp;IF($C1070&gt;=10,", "&amp;$A1070&amp;"-"&amp;TEXT(($D1070-$C1070+1)+9,"00"),"")&amp;IF($C1070&gt;=11,", "&amp;$A1070&amp;"-"&amp;TEXT(($D1070-$C1070+1)+10,"00"),"")&amp;IF($C1070&gt;=12,", "&amp;$A1070&amp;"-"&amp;TEXT(($D1070-$C1070+1)+11,"00"),"")&amp;IF($C1070&gt;=13,", "&amp;$A1070&amp;"-"&amp;TEXT(($D1070-$C1070+1)+12,"00"),"")&amp;IF($C1070&gt;=14,", "&amp;$A1070&amp;"-"&amp;TEXT(($D1070-$C1070+1)+13,"00"),"")&amp;IF($C1070&gt;=15,", "&amp;$A1070&amp;"-"&amp;TEXT(($D1070-$C1070+1)+14,"00"),"")&amp;IF($C1070&gt;=16,", "&amp;$A1070&amp;"-"&amp;TEXT(($D1070-$C1070+1)+15,"00"),"")&amp;IF($C1070&gt;=17,", "&amp;$A1070&amp;"-"&amp;TEXT(($D1070-$C1070+1)+16,"00"),"")&amp;IF($C1070&gt;=18,", "&amp;$A1070&amp;"-"&amp;TEXT(($D1070-$C1070+1)+17,"00"),"")&amp;IF($C1070&gt;=19,", "&amp;$A1070&amp;"-"&amp;TEXT(($D1070-$C1070+1)+18,"00"),"")&amp;IF($C1070&gt;=20,", "&amp;$A1070&amp;"-"&amp;TEXT(($D1070-$C1070+1)+19,"00"),"")&amp;IF($C1070&gt;=21,", "&amp;$A1070&amp;"-"&amp;TEXT(($D1070-$C1070+1)+20,"00"),"")&amp;IF($C1070&gt;=22,", "&amp;$A1070&amp;"-"&amp;TEXT(($D1070-$C1070+1)+21,"00"),"")&amp;IF($C1070&gt;=23,", "&amp;$A1070&amp;"-"&amp;TEXT(($D1070-$C1070+1)+22,"00"),"")&amp;IF($C1070&gt;=24,", "&amp;$A1070&amp;"-"&amp;TEXT(($D1070-$C1070+1)+23,"00"),"")&amp;IF($C1070&gt;=25,", "&amp;$A1070&amp;"-"&amp;TEXT(($D1070-$C1070+1)+24,"00"),""))</f>
        <v/>
      </c>
      <c r="G1070">
        <f>IF($A1070="","",IF($E1070=1,$F1070,IF($F1070="",$G1069,IF($G1069="",$F1070,$G1069&amp;", "&amp;$F1070))))</f>
        <v/>
      </c>
      <c r="H1070">
        <f>IF($A1070="","",$A1070&amp;" ("&amp;$C1070&amp;")")</f>
        <v/>
      </c>
      <c r="I1070">
        <f>IF($A1070="","",IF($E1070=1,$H1070,$I1069&amp;", "&amp;$H1070))</f>
        <v/>
      </c>
      <c r="J1070">
        <f>IF($A1070="","",IF($E1070=1,$B1070,""))</f>
        <v/>
      </c>
      <c r="K1070">
        <f>IF($A1070="","",IF(COUNTIF($B$2:$B1070,$B1070)=COUNTIF($B$2:$B$1601,$B1070),$B1070,""))</f>
        <v/>
      </c>
    </row>
    <row r="1071">
      <c r="A1071">
        <f>IF('TMP Paste'!$E1071="","",'TMP Paste'!$E1071)</f>
        <v/>
      </c>
      <c r="B1071">
        <f>IF($A1071="","",COUNTIF('TMP Paste'!$B$2:$B1071,"?*"))</f>
        <v/>
      </c>
      <c r="C1071">
        <f>IF($A1071="","",IFERROR('TMP Paste'!$M1071*1,0))</f>
        <v/>
      </c>
      <c r="D1071">
        <f>IF($A1071="","",SUMIF($B$2:$B1071,$B1071,$C$2:$C1071))</f>
        <v/>
      </c>
      <c r="E1071">
        <f>IF($A1071="",0,IF('TMP Paste'!$B1071="",0,1))</f>
        <v/>
      </c>
      <c r="F1071">
        <f>IF(OR($A1071="",$C1071&lt;1),"",$A1071&amp;"-"&amp;TEXT(($D1071-$C1071+1),"00")&amp;IF($C1071&gt;=2,", "&amp;$A1071&amp;"-"&amp;TEXT(($D1071-$C1071+1)+1,"00"),"")&amp;IF($C1071&gt;=3,", "&amp;$A1071&amp;"-"&amp;TEXT(($D1071-$C1071+1)+2,"00"),"")&amp;IF($C1071&gt;=4,", "&amp;$A1071&amp;"-"&amp;TEXT(($D1071-$C1071+1)+3,"00"),"")&amp;IF($C1071&gt;=5,", "&amp;$A1071&amp;"-"&amp;TEXT(($D1071-$C1071+1)+4,"00"),"")&amp;IF($C1071&gt;=6,", "&amp;$A1071&amp;"-"&amp;TEXT(($D1071-$C1071+1)+5,"00"),"")&amp;IF($C1071&gt;=7,", "&amp;$A1071&amp;"-"&amp;TEXT(($D1071-$C1071+1)+6,"00"),"")&amp;IF($C1071&gt;=8,", "&amp;$A1071&amp;"-"&amp;TEXT(($D1071-$C1071+1)+7,"00"),"")&amp;IF($C1071&gt;=9,", "&amp;$A1071&amp;"-"&amp;TEXT(($D1071-$C1071+1)+8,"00"),"")&amp;IF($C1071&gt;=10,", "&amp;$A1071&amp;"-"&amp;TEXT(($D1071-$C1071+1)+9,"00"),"")&amp;IF($C1071&gt;=11,", "&amp;$A1071&amp;"-"&amp;TEXT(($D1071-$C1071+1)+10,"00"),"")&amp;IF($C1071&gt;=12,", "&amp;$A1071&amp;"-"&amp;TEXT(($D1071-$C1071+1)+11,"00"),"")&amp;IF($C1071&gt;=13,", "&amp;$A1071&amp;"-"&amp;TEXT(($D1071-$C1071+1)+12,"00"),"")&amp;IF($C1071&gt;=14,", "&amp;$A1071&amp;"-"&amp;TEXT(($D1071-$C1071+1)+13,"00"),"")&amp;IF($C1071&gt;=15,", "&amp;$A1071&amp;"-"&amp;TEXT(($D1071-$C1071+1)+14,"00"),"")&amp;IF($C1071&gt;=16,", "&amp;$A1071&amp;"-"&amp;TEXT(($D1071-$C1071+1)+15,"00"),"")&amp;IF($C1071&gt;=17,", "&amp;$A1071&amp;"-"&amp;TEXT(($D1071-$C1071+1)+16,"00"),"")&amp;IF($C1071&gt;=18,", "&amp;$A1071&amp;"-"&amp;TEXT(($D1071-$C1071+1)+17,"00"),"")&amp;IF($C1071&gt;=19,", "&amp;$A1071&amp;"-"&amp;TEXT(($D1071-$C1071+1)+18,"00"),"")&amp;IF($C1071&gt;=20,", "&amp;$A1071&amp;"-"&amp;TEXT(($D1071-$C1071+1)+19,"00"),"")&amp;IF($C1071&gt;=21,", "&amp;$A1071&amp;"-"&amp;TEXT(($D1071-$C1071+1)+20,"00"),"")&amp;IF($C1071&gt;=22,", "&amp;$A1071&amp;"-"&amp;TEXT(($D1071-$C1071+1)+21,"00"),"")&amp;IF($C1071&gt;=23,", "&amp;$A1071&amp;"-"&amp;TEXT(($D1071-$C1071+1)+22,"00"),"")&amp;IF($C1071&gt;=24,", "&amp;$A1071&amp;"-"&amp;TEXT(($D1071-$C1071+1)+23,"00"),"")&amp;IF($C1071&gt;=25,", "&amp;$A1071&amp;"-"&amp;TEXT(($D1071-$C1071+1)+24,"00"),""))</f>
        <v/>
      </c>
      <c r="G1071">
        <f>IF($A1071="","",IF($E1071=1,$F1071,IF($F1071="",$G1070,IF($G1070="",$F1071,$G1070&amp;", "&amp;$F1071))))</f>
        <v/>
      </c>
      <c r="H1071">
        <f>IF($A1071="","",$A1071&amp;" ("&amp;$C1071&amp;")")</f>
        <v/>
      </c>
      <c r="I1071">
        <f>IF($A1071="","",IF($E1071=1,$H1071,$I1070&amp;", "&amp;$H1071))</f>
        <v/>
      </c>
      <c r="J1071">
        <f>IF($A1071="","",IF($E1071=1,$B1071,""))</f>
        <v/>
      </c>
      <c r="K1071">
        <f>IF($A1071="","",IF(COUNTIF($B$2:$B1071,$B1071)=COUNTIF($B$2:$B$1601,$B1071),$B1071,""))</f>
        <v/>
      </c>
    </row>
    <row r="1072">
      <c r="A1072">
        <f>IF('TMP Paste'!$E1072="","",'TMP Paste'!$E1072)</f>
        <v/>
      </c>
      <c r="B1072">
        <f>IF($A1072="","",COUNTIF('TMP Paste'!$B$2:$B1072,"?*"))</f>
        <v/>
      </c>
      <c r="C1072">
        <f>IF($A1072="","",IFERROR('TMP Paste'!$M1072*1,0))</f>
        <v/>
      </c>
      <c r="D1072">
        <f>IF($A1072="","",SUMIF($B$2:$B1072,$B1072,$C$2:$C1072))</f>
        <v/>
      </c>
      <c r="E1072">
        <f>IF($A1072="",0,IF('TMP Paste'!$B1072="",0,1))</f>
        <v/>
      </c>
      <c r="F1072">
        <f>IF(OR($A1072="",$C1072&lt;1),"",$A1072&amp;"-"&amp;TEXT(($D1072-$C1072+1),"00")&amp;IF($C1072&gt;=2,", "&amp;$A1072&amp;"-"&amp;TEXT(($D1072-$C1072+1)+1,"00"),"")&amp;IF($C1072&gt;=3,", "&amp;$A1072&amp;"-"&amp;TEXT(($D1072-$C1072+1)+2,"00"),"")&amp;IF($C1072&gt;=4,", "&amp;$A1072&amp;"-"&amp;TEXT(($D1072-$C1072+1)+3,"00"),"")&amp;IF($C1072&gt;=5,", "&amp;$A1072&amp;"-"&amp;TEXT(($D1072-$C1072+1)+4,"00"),"")&amp;IF($C1072&gt;=6,", "&amp;$A1072&amp;"-"&amp;TEXT(($D1072-$C1072+1)+5,"00"),"")&amp;IF($C1072&gt;=7,", "&amp;$A1072&amp;"-"&amp;TEXT(($D1072-$C1072+1)+6,"00"),"")&amp;IF($C1072&gt;=8,", "&amp;$A1072&amp;"-"&amp;TEXT(($D1072-$C1072+1)+7,"00"),"")&amp;IF($C1072&gt;=9,", "&amp;$A1072&amp;"-"&amp;TEXT(($D1072-$C1072+1)+8,"00"),"")&amp;IF($C1072&gt;=10,", "&amp;$A1072&amp;"-"&amp;TEXT(($D1072-$C1072+1)+9,"00"),"")&amp;IF($C1072&gt;=11,", "&amp;$A1072&amp;"-"&amp;TEXT(($D1072-$C1072+1)+10,"00"),"")&amp;IF($C1072&gt;=12,", "&amp;$A1072&amp;"-"&amp;TEXT(($D1072-$C1072+1)+11,"00"),"")&amp;IF($C1072&gt;=13,", "&amp;$A1072&amp;"-"&amp;TEXT(($D1072-$C1072+1)+12,"00"),"")&amp;IF($C1072&gt;=14,", "&amp;$A1072&amp;"-"&amp;TEXT(($D1072-$C1072+1)+13,"00"),"")&amp;IF($C1072&gt;=15,", "&amp;$A1072&amp;"-"&amp;TEXT(($D1072-$C1072+1)+14,"00"),"")&amp;IF($C1072&gt;=16,", "&amp;$A1072&amp;"-"&amp;TEXT(($D1072-$C1072+1)+15,"00"),"")&amp;IF($C1072&gt;=17,", "&amp;$A1072&amp;"-"&amp;TEXT(($D1072-$C1072+1)+16,"00"),"")&amp;IF($C1072&gt;=18,", "&amp;$A1072&amp;"-"&amp;TEXT(($D1072-$C1072+1)+17,"00"),"")&amp;IF($C1072&gt;=19,", "&amp;$A1072&amp;"-"&amp;TEXT(($D1072-$C1072+1)+18,"00"),"")&amp;IF($C1072&gt;=20,", "&amp;$A1072&amp;"-"&amp;TEXT(($D1072-$C1072+1)+19,"00"),"")&amp;IF($C1072&gt;=21,", "&amp;$A1072&amp;"-"&amp;TEXT(($D1072-$C1072+1)+20,"00"),"")&amp;IF($C1072&gt;=22,", "&amp;$A1072&amp;"-"&amp;TEXT(($D1072-$C1072+1)+21,"00"),"")&amp;IF($C1072&gt;=23,", "&amp;$A1072&amp;"-"&amp;TEXT(($D1072-$C1072+1)+22,"00"),"")&amp;IF($C1072&gt;=24,", "&amp;$A1072&amp;"-"&amp;TEXT(($D1072-$C1072+1)+23,"00"),"")&amp;IF($C1072&gt;=25,", "&amp;$A1072&amp;"-"&amp;TEXT(($D1072-$C1072+1)+24,"00"),""))</f>
        <v/>
      </c>
      <c r="G1072">
        <f>IF($A1072="","",IF($E1072=1,$F1072,IF($F1072="",$G1071,IF($G1071="",$F1072,$G1071&amp;", "&amp;$F1072))))</f>
        <v/>
      </c>
      <c r="H1072">
        <f>IF($A1072="","",$A1072&amp;" ("&amp;$C1072&amp;")")</f>
        <v/>
      </c>
      <c r="I1072">
        <f>IF($A1072="","",IF($E1072=1,$H1072,$I1071&amp;", "&amp;$H1072))</f>
        <v/>
      </c>
      <c r="J1072">
        <f>IF($A1072="","",IF($E1072=1,$B1072,""))</f>
        <v/>
      </c>
      <c r="K1072">
        <f>IF($A1072="","",IF(COUNTIF($B$2:$B1072,$B1072)=COUNTIF($B$2:$B$1601,$B1072),$B1072,""))</f>
        <v/>
      </c>
    </row>
    <row r="1073">
      <c r="A1073">
        <f>IF('TMP Paste'!$E1073="","",'TMP Paste'!$E1073)</f>
        <v/>
      </c>
      <c r="B1073">
        <f>IF($A1073="","",COUNTIF('TMP Paste'!$B$2:$B1073,"?*"))</f>
        <v/>
      </c>
      <c r="C1073">
        <f>IF($A1073="","",IFERROR('TMP Paste'!$M1073*1,0))</f>
        <v/>
      </c>
      <c r="D1073">
        <f>IF($A1073="","",SUMIF($B$2:$B1073,$B1073,$C$2:$C1073))</f>
        <v/>
      </c>
      <c r="E1073">
        <f>IF($A1073="",0,IF('TMP Paste'!$B1073="",0,1))</f>
        <v/>
      </c>
      <c r="F1073">
        <f>IF(OR($A1073="",$C1073&lt;1),"",$A1073&amp;"-"&amp;TEXT(($D1073-$C1073+1),"00")&amp;IF($C1073&gt;=2,", "&amp;$A1073&amp;"-"&amp;TEXT(($D1073-$C1073+1)+1,"00"),"")&amp;IF($C1073&gt;=3,", "&amp;$A1073&amp;"-"&amp;TEXT(($D1073-$C1073+1)+2,"00"),"")&amp;IF($C1073&gt;=4,", "&amp;$A1073&amp;"-"&amp;TEXT(($D1073-$C1073+1)+3,"00"),"")&amp;IF($C1073&gt;=5,", "&amp;$A1073&amp;"-"&amp;TEXT(($D1073-$C1073+1)+4,"00"),"")&amp;IF($C1073&gt;=6,", "&amp;$A1073&amp;"-"&amp;TEXT(($D1073-$C1073+1)+5,"00"),"")&amp;IF($C1073&gt;=7,", "&amp;$A1073&amp;"-"&amp;TEXT(($D1073-$C1073+1)+6,"00"),"")&amp;IF($C1073&gt;=8,", "&amp;$A1073&amp;"-"&amp;TEXT(($D1073-$C1073+1)+7,"00"),"")&amp;IF($C1073&gt;=9,", "&amp;$A1073&amp;"-"&amp;TEXT(($D1073-$C1073+1)+8,"00"),"")&amp;IF($C1073&gt;=10,", "&amp;$A1073&amp;"-"&amp;TEXT(($D1073-$C1073+1)+9,"00"),"")&amp;IF($C1073&gt;=11,", "&amp;$A1073&amp;"-"&amp;TEXT(($D1073-$C1073+1)+10,"00"),"")&amp;IF($C1073&gt;=12,", "&amp;$A1073&amp;"-"&amp;TEXT(($D1073-$C1073+1)+11,"00"),"")&amp;IF($C1073&gt;=13,", "&amp;$A1073&amp;"-"&amp;TEXT(($D1073-$C1073+1)+12,"00"),"")&amp;IF($C1073&gt;=14,", "&amp;$A1073&amp;"-"&amp;TEXT(($D1073-$C1073+1)+13,"00"),"")&amp;IF($C1073&gt;=15,", "&amp;$A1073&amp;"-"&amp;TEXT(($D1073-$C1073+1)+14,"00"),"")&amp;IF($C1073&gt;=16,", "&amp;$A1073&amp;"-"&amp;TEXT(($D1073-$C1073+1)+15,"00"),"")&amp;IF($C1073&gt;=17,", "&amp;$A1073&amp;"-"&amp;TEXT(($D1073-$C1073+1)+16,"00"),"")&amp;IF($C1073&gt;=18,", "&amp;$A1073&amp;"-"&amp;TEXT(($D1073-$C1073+1)+17,"00"),"")&amp;IF($C1073&gt;=19,", "&amp;$A1073&amp;"-"&amp;TEXT(($D1073-$C1073+1)+18,"00"),"")&amp;IF($C1073&gt;=20,", "&amp;$A1073&amp;"-"&amp;TEXT(($D1073-$C1073+1)+19,"00"),"")&amp;IF($C1073&gt;=21,", "&amp;$A1073&amp;"-"&amp;TEXT(($D1073-$C1073+1)+20,"00"),"")&amp;IF($C1073&gt;=22,", "&amp;$A1073&amp;"-"&amp;TEXT(($D1073-$C1073+1)+21,"00"),"")&amp;IF($C1073&gt;=23,", "&amp;$A1073&amp;"-"&amp;TEXT(($D1073-$C1073+1)+22,"00"),"")&amp;IF($C1073&gt;=24,", "&amp;$A1073&amp;"-"&amp;TEXT(($D1073-$C1073+1)+23,"00"),"")&amp;IF($C1073&gt;=25,", "&amp;$A1073&amp;"-"&amp;TEXT(($D1073-$C1073+1)+24,"00"),""))</f>
        <v/>
      </c>
      <c r="G1073">
        <f>IF($A1073="","",IF($E1073=1,$F1073,IF($F1073="",$G1072,IF($G1072="",$F1073,$G1072&amp;", "&amp;$F1073))))</f>
        <v/>
      </c>
      <c r="H1073">
        <f>IF($A1073="","",$A1073&amp;" ("&amp;$C1073&amp;")")</f>
        <v/>
      </c>
      <c r="I1073">
        <f>IF($A1073="","",IF($E1073=1,$H1073,$I1072&amp;", "&amp;$H1073))</f>
        <v/>
      </c>
      <c r="J1073">
        <f>IF($A1073="","",IF($E1073=1,$B1073,""))</f>
        <v/>
      </c>
      <c r="K1073">
        <f>IF($A1073="","",IF(COUNTIF($B$2:$B1073,$B1073)=COUNTIF($B$2:$B$1601,$B1073),$B1073,""))</f>
        <v/>
      </c>
    </row>
    <row r="1074">
      <c r="A1074">
        <f>IF('TMP Paste'!$E1074="","",'TMP Paste'!$E1074)</f>
        <v/>
      </c>
      <c r="B1074">
        <f>IF($A1074="","",COUNTIF('TMP Paste'!$B$2:$B1074,"?*"))</f>
        <v/>
      </c>
      <c r="C1074">
        <f>IF($A1074="","",IFERROR('TMP Paste'!$M1074*1,0))</f>
        <v/>
      </c>
      <c r="D1074">
        <f>IF($A1074="","",SUMIF($B$2:$B1074,$B1074,$C$2:$C1074))</f>
        <v/>
      </c>
      <c r="E1074">
        <f>IF($A1074="",0,IF('TMP Paste'!$B1074="",0,1))</f>
        <v/>
      </c>
      <c r="F1074">
        <f>IF(OR($A1074="",$C1074&lt;1),"",$A1074&amp;"-"&amp;TEXT(($D1074-$C1074+1),"00")&amp;IF($C1074&gt;=2,", "&amp;$A1074&amp;"-"&amp;TEXT(($D1074-$C1074+1)+1,"00"),"")&amp;IF($C1074&gt;=3,", "&amp;$A1074&amp;"-"&amp;TEXT(($D1074-$C1074+1)+2,"00"),"")&amp;IF($C1074&gt;=4,", "&amp;$A1074&amp;"-"&amp;TEXT(($D1074-$C1074+1)+3,"00"),"")&amp;IF($C1074&gt;=5,", "&amp;$A1074&amp;"-"&amp;TEXT(($D1074-$C1074+1)+4,"00"),"")&amp;IF($C1074&gt;=6,", "&amp;$A1074&amp;"-"&amp;TEXT(($D1074-$C1074+1)+5,"00"),"")&amp;IF($C1074&gt;=7,", "&amp;$A1074&amp;"-"&amp;TEXT(($D1074-$C1074+1)+6,"00"),"")&amp;IF($C1074&gt;=8,", "&amp;$A1074&amp;"-"&amp;TEXT(($D1074-$C1074+1)+7,"00"),"")&amp;IF($C1074&gt;=9,", "&amp;$A1074&amp;"-"&amp;TEXT(($D1074-$C1074+1)+8,"00"),"")&amp;IF($C1074&gt;=10,", "&amp;$A1074&amp;"-"&amp;TEXT(($D1074-$C1074+1)+9,"00"),"")&amp;IF($C1074&gt;=11,", "&amp;$A1074&amp;"-"&amp;TEXT(($D1074-$C1074+1)+10,"00"),"")&amp;IF($C1074&gt;=12,", "&amp;$A1074&amp;"-"&amp;TEXT(($D1074-$C1074+1)+11,"00"),"")&amp;IF($C1074&gt;=13,", "&amp;$A1074&amp;"-"&amp;TEXT(($D1074-$C1074+1)+12,"00"),"")&amp;IF($C1074&gt;=14,", "&amp;$A1074&amp;"-"&amp;TEXT(($D1074-$C1074+1)+13,"00"),"")&amp;IF($C1074&gt;=15,", "&amp;$A1074&amp;"-"&amp;TEXT(($D1074-$C1074+1)+14,"00"),"")&amp;IF($C1074&gt;=16,", "&amp;$A1074&amp;"-"&amp;TEXT(($D1074-$C1074+1)+15,"00"),"")&amp;IF($C1074&gt;=17,", "&amp;$A1074&amp;"-"&amp;TEXT(($D1074-$C1074+1)+16,"00"),"")&amp;IF($C1074&gt;=18,", "&amp;$A1074&amp;"-"&amp;TEXT(($D1074-$C1074+1)+17,"00"),"")&amp;IF($C1074&gt;=19,", "&amp;$A1074&amp;"-"&amp;TEXT(($D1074-$C1074+1)+18,"00"),"")&amp;IF($C1074&gt;=20,", "&amp;$A1074&amp;"-"&amp;TEXT(($D1074-$C1074+1)+19,"00"),"")&amp;IF($C1074&gt;=21,", "&amp;$A1074&amp;"-"&amp;TEXT(($D1074-$C1074+1)+20,"00"),"")&amp;IF($C1074&gt;=22,", "&amp;$A1074&amp;"-"&amp;TEXT(($D1074-$C1074+1)+21,"00"),"")&amp;IF($C1074&gt;=23,", "&amp;$A1074&amp;"-"&amp;TEXT(($D1074-$C1074+1)+22,"00"),"")&amp;IF($C1074&gt;=24,", "&amp;$A1074&amp;"-"&amp;TEXT(($D1074-$C1074+1)+23,"00"),"")&amp;IF($C1074&gt;=25,", "&amp;$A1074&amp;"-"&amp;TEXT(($D1074-$C1074+1)+24,"00"),""))</f>
        <v/>
      </c>
      <c r="G1074">
        <f>IF($A1074="","",IF($E1074=1,$F1074,IF($F1074="",$G1073,IF($G1073="",$F1074,$G1073&amp;", "&amp;$F1074))))</f>
        <v/>
      </c>
      <c r="H1074">
        <f>IF($A1074="","",$A1074&amp;" ("&amp;$C1074&amp;")")</f>
        <v/>
      </c>
      <c r="I1074">
        <f>IF($A1074="","",IF($E1074=1,$H1074,$I1073&amp;", "&amp;$H1074))</f>
        <v/>
      </c>
      <c r="J1074">
        <f>IF($A1074="","",IF($E1074=1,$B1074,""))</f>
        <v/>
      </c>
      <c r="K1074">
        <f>IF($A1074="","",IF(COUNTIF($B$2:$B1074,$B1074)=COUNTIF($B$2:$B$1601,$B1074),$B1074,""))</f>
        <v/>
      </c>
    </row>
    <row r="1075">
      <c r="A1075">
        <f>IF('TMP Paste'!$E1075="","",'TMP Paste'!$E1075)</f>
        <v/>
      </c>
      <c r="B1075">
        <f>IF($A1075="","",COUNTIF('TMP Paste'!$B$2:$B1075,"?*"))</f>
        <v/>
      </c>
      <c r="C1075">
        <f>IF($A1075="","",IFERROR('TMP Paste'!$M1075*1,0))</f>
        <v/>
      </c>
      <c r="D1075">
        <f>IF($A1075="","",SUMIF($B$2:$B1075,$B1075,$C$2:$C1075))</f>
        <v/>
      </c>
      <c r="E1075">
        <f>IF($A1075="",0,IF('TMP Paste'!$B1075="",0,1))</f>
        <v/>
      </c>
      <c r="F1075">
        <f>IF(OR($A1075="",$C1075&lt;1),"",$A1075&amp;"-"&amp;TEXT(($D1075-$C1075+1),"00")&amp;IF($C1075&gt;=2,", "&amp;$A1075&amp;"-"&amp;TEXT(($D1075-$C1075+1)+1,"00"),"")&amp;IF($C1075&gt;=3,", "&amp;$A1075&amp;"-"&amp;TEXT(($D1075-$C1075+1)+2,"00"),"")&amp;IF($C1075&gt;=4,", "&amp;$A1075&amp;"-"&amp;TEXT(($D1075-$C1075+1)+3,"00"),"")&amp;IF($C1075&gt;=5,", "&amp;$A1075&amp;"-"&amp;TEXT(($D1075-$C1075+1)+4,"00"),"")&amp;IF($C1075&gt;=6,", "&amp;$A1075&amp;"-"&amp;TEXT(($D1075-$C1075+1)+5,"00"),"")&amp;IF($C1075&gt;=7,", "&amp;$A1075&amp;"-"&amp;TEXT(($D1075-$C1075+1)+6,"00"),"")&amp;IF($C1075&gt;=8,", "&amp;$A1075&amp;"-"&amp;TEXT(($D1075-$C1075+1)+7,"00"),"")&amp;IF($C1075&gt;=9,", "&amp;$A1075&amp;"-"&amp;TEXT(($D1075-$C1075+1)+8,"00"),"")&amp;IF($C1075&gt;=10,", "&amp;$A1075&amp;"-"&amp;TEXT(($D1075-$C1075+1)+9,"00"),"")&amp;IF($C1075&gt;=11,", "&amp;$A1075&amp;"-"&amp;TEXT(($D1075-$C1075+1)+10,"00"),"")&amp;IF($C1075&gt;=12,", "&amp;$A1075&amp;"-"&amp;TEXT(($D1075-$C1075+1)+11,"00"),"")&amp;IF($C1075&gt;=13,", "&amp;$A1075&amp;"-"&amp;TEXT(($D1075-$C1075+1)+12,"00"),"")&amp;IF($C1075&gt;=14,", "&amp;$A1075&amp;"-"&amp;TEXT(($D1075-$C1075+1)+13,"00"),"")&amp;IF($C1075&gt;=15,", "&amp;$A1075&amp;"-"&amp;TEXT(($D1075-$C1075+1)+14,"00"),"")&amp;IF($C1075&gt;=16,", "&amp;$A1075&amp;"-"&amp;TEXT(($D1075-$C1075+1)+15,"00"),"")&amp;IF($C1075&gt;=17,", "&amp;$A1075&amp;"-"&amp;TEXT(($D1075-$C1075+1)+16,"00"),"")&amp;IF($C1075&gt;=18,", "&amp;$A1075&amp;"-"&amp;TEXT(($D1075-$C1075+1)+17,"00"),"")&amp;IF($C1075&gt;=19,", "&amp;$A1075&amp;"-"&amp;TEXT(($D1075-$C1075+1)+18,"00"),"")&amp;IF($C1075&gt;=20,", "&amp;$A1075&amp;"-"&amp;TEXT(($D1075-$C1075+1)+19,"00"),"")&amp;IF($C1075&gt;=21,", "&amp;$A1075&amp;"-"&amp;TEXT(($D1075-$C1075+1)+20,"00"),"")&amp;IF($C1075&gt;=22,", "&amp;$A1075&amp;"-"&amp;TEXT(($D1075-$C1075+1)+21,"00"),"")&amp;IF($C1075&gt;=23,", "&amp;$A1075&amp;"-"&amp;TEXT(($D1075-$C1075+1)+22,"00"),"")&amp;IF($C1075&gt;=24,", "&amp;$A1075&amp;"-"&amp;TEXT(($D1075-$C1075+1)+23,"00"),"")&amp;IF($C1075&gt;=25,", "&amp;$A1075&amp;"-"&amp;TEXT(($D1075-$C1075+1)+24,"00"),""))</f>
        <v/>
      </c>
      <c r="G1075">
        <f>IF($A1075="","",IF($E1075=1,$F1075,IF($F1075="",$G1074,IF($G1074="",$F1075,$G1074&amp;", "&amp;$F1075))))</f>
        <v/>
      </c>
      <c r="H1075">
        <f>IF($A1075="","",$A1075&amp;" ("&amp;$C1075&amp;")")</f>
        <v/>
      </c>
      <c r="I1075">
        <f>IF($A1075="","",IF($E1075=1,$H1075,$I1074&amp;", "&amp;$H1075))</f>
        <v/>
      </c>
      <c r="J1075">
        <f>IF($A1075="","",IF($E1075=1,$B1075,""))</f>
        <v/>
      </c>
      <c r="K1075">
        <f>IF($A1075="","",IF(COUNTIF($B$2:$B1075,$B1075)=COUNTIF($B$2:$B$1601,$B1075),$B1075,""))</f>
        <v/>
      </c>
    </row>
    <row r="1076">
      <c r="A1076">
        <f>IF('TMP Paste'!$E1076="","",'TMP Paste'!$E1076)</f>
        <v/>
      </c>
      <c r="B1076">
        <f>IF($A1076="","",COUNTIF('TMP Paste'!$B$2:$B1076,"?*"))</f>
        <v/>
      </c>
      <c r="C1076">
        <f>IF($A1076="","",IFERROR('TMP Paste'!$M1076*1,0))</f>
        <v/>
      </c>
      <c r="D1076">
        <f>IF($A1076="","",SUMIF($B$2:$B1076,$B1076,$C$2:$C1076))</f>
        <v/>
      </c>
      <c r="E1076">
        <f>IF($A1076="",0,IF('TMP Paste'!$B1076="",0,1))</f>
        <v/>
      </c>
      <c r="F1076">
        <f>IF(OR($A1076="",$C1076&lt;1),"",$A1076&amp;"-"&amp;TEXT(($D1076-$C1076+1),"00")&amp;IF($C1076&gt;=2,", "&amp;$A1076&amp;"-"&amp;TEXT(($D1076-$C1076+1)+1,"00"),"")&amp;IF($C1076&gt;=3,", "&amp;$A1076&amp;"-"&amp;TEXT(($D1076-$C1076+1)+2,"00"),"")&amp;IF($C1076&gt;=4,", "&amp;$A1076&amp;"-"&amp;TEXT(($D1076-$C1076+1)+3,"00"),"")&amp;IF($C1076&gt;=5,", "&amp;$A1076&amp;"-"&amp;TEXT(($D1076-$C1076+1)+4,"00"),"")&amp;IF($C1076&gt;=6,", "&amp;$A1076&amp;"-"&amp;TEXT(($D1076-$C1076+1)+5,"00"),"")&amp;IF($C1076&gt;=7,", "&amp;$A1076&amp;"-"&amp;TEXT(($D1076-$C1076+1)+6,"00"),"")&amp;IF($C1076&gt;=8,", "&amp;$A1076&amp;"-"&amp;TEXT(($D1076-$C1076+1)+7,"00"),"")&amp;IF($C1076&gt;=9,", "&amp;$A1076&amp;"-"&amp;TEXT(($D1076-$C1076+1)+8,"00"),"")&amp;IF($C1076&gt;=10,", "&amp;$A1076&amp;"-"&amp;TEXT(($D1076-$C1076+1)+9,"00"),"")&amp;IF($C1076&gt;=11,", "&amp;$A1076&amp;"-"&amp;TEXT(($D1076-$C1076+1)+10,"00"),"")&amp;IF($C1076&gt;=12,", "&amp;$A1076&amp;"-"&amp;TEXT(($D1076-$C1076+1)+11,"00"),"")&amp;IF($C1076&gt;=13,", "&amp;$A1076&amp;"-"&amp;TEXT(($D1076-$C1076+1)+12,"00"),"")&amp;IF($C1076&gt;=14,", "&amp;$A1076&amp;"-"&amp;TEXT(($D1076-$C1076+1)+13,"00"),"")&amp;IF($C1076&gt;=15,", "&amp;$A1076&amp;"-"&amp;TEXT(($D1076-$C1076+1)+14,"00"),"")&amp;IF($C1076&gt;=16,", "&amp;$A1076&amp;"-"&amp;TEXT(($D1076-$C1076+1)+15,"00"),"")&amp;IF($C1076&gt;=17,", "&amp;$A1076&amp;"-"&amp;TEXT(($D1076-$C1076+1)+16,"00"),"")&amp;IF($C1076&gt;=18,", "&amp;$A1076&amp;"-"&amp;TEXT(($D1076-$C1076+1)+17,"00"),"")&amp;IF($C1076&gt;=19,", "&amp;$A1076&amp;"-"&amp;TEXT(($D1076-$C1076+1)+18,"00"),"")&amp;IF($C1076&gt;=20,", "&amp;$A1076&amp;"-"&amp;TEXT(($D1076-$C1076+1)+19,"00"),"")&amp;IF($C1076&gt;=21,", "&amp;$A1076&amp;"-"&amp;TEXT(($D1076-$C1076+1)+20,"00"),"")&amp;IF($C1076&gt;=22,", "&amp;$A1076&amp;"-"&amp;TEXT(($D1076-$C1076+1)+21,"00"),"")&amp;IF($C1076&gt;=23,", "&amp;$A1076&amp;"-"&amp;TEXT(($D1076-$C1076+1)+22,"00"),"")&amp;IF($C1076&gt;=24,", "&amp;$A1076&amp;"-"&amp;TEXT(($D1076-$C1076+1)+23,"00"),"")&amp;IF($C1076&gt;=25,", "&amp;$A1076&amp;"-"&amp;TEXT(($D1076-$C1076+1)+24,"00"),""))</f>
        <v/>
      </c>
      <c r="G1076">
        <f>IF($A1076="","",IF($E1076=1,$F1076,IF($F1076="",$G1075,IF($G1075="",$F1076,$G1075&amp;", "&amp;$F1076))))</f>
        <v/>
      </c>
      <c r="H1076">
        <f>IF($A1076="","",$A1076&amp;" ("&amp;$C1076&amp;")")</f>
        <v/>
      </c>
      <c r="I1076">
        <f>IF($A1076="","",IF($E1076=1,$H1076,$I1075&amp;", "&amp;$H1076))</f>
        <v/>
      </c>
      <c r="J1076">
        <f>IF($A1076="","",IF($E1076=1,$B1076,""))</f>
        <v/>
      </c>
      <c r="K1076">
        <f>IF($A1076="","",IF(COUNTIF($B$2:$B1076,$B1076)=COUNTIF($B$2:$B$1601,$B1076),$B1076,""))</f>
        <v/>
      </c>
    </row>
    <row r="1077">
      <c r="A1077">
        <f>IF('TMP Paste'!$E1077="","",'TMP Paste'!$E1077)</f>
        <v/>
      </c>
      <c r="B1077">
        <f>IF($A1077="","",COUNTIF('TMP Paste'!$B$2:$B1077,"?*"))</f>
        <v/>
      </c>
      <c r="C1077">
        <f>IF($A1077="","",IFERROR('TMP Paste'!$M1077*1,0))</f>
        <v/>
      </c>
      <c r="D1077">
        <f>IF($A1077="","",SUMIF($B$2:$B1077,$B1077,$C$2:$C1077))</f>
        <v/>
      </c>
      <c r="E1077">
        <f>IF($A1077="",0,IF('TMP Paste'!$B1077="",0,1))</f>
        <v/>
      </c>
      <c r="F1077">
        <f>IF(OR($A1077="",$C1077&lt;1),"",$A1077&amp;"-"&amp;TEXT(($D1077-$C1077+1),"00")&amp;IF($C1077&gt;=2,", "&amp;$A1077&amp;"-"&amp;TEXT(($D1077-$C1077+1)+1,"00"),"")&amp;IF($C1077&gt;=3,", "&amp;$A1077&amp;"-"&amp;TEXT(($D1077-$C1077+1)+2,"00"),"")&amp;IF($C1077&gt;=4,", "&amp;$A1077&amp;"-"&amp;TEXT(($D1077-$C1077+1)+3,"00"),"")&amp;IF($C1077&gt;=5,", "&amp;$A1077&amp;"-"&amp;TEXT(($D1077-$C1077+1)+4,"00"),"")&amp;IF($C1077&gt;=6,", "&amp;$A1077&amp;"-"&amp;TEXT(($D1077-$C1077+1)+5,"00"),"")&amp;IF($C1077&gt;=7,", "&amp;$A1077&amp;"-"&amp;TEXT(($D1077-$C1077+1)+6,"00"),"")&amp;IF($C1077&gt;=8,", "&amp;$A1077&amp;"-"&amp;TEXT(($D1077-$C1077+1)+7,"00"),"")&amp;IF($C1077&gt;=9,", "&amp;$A1077&amp;"-"&amp;TEXT(($D1077-$C1077+1)+8,"00"),"")&amp;IF($C1077&gt;=10,", "&amp;$A1077&amp;"-"&amp;TEXT(($D1077-$C1077+1)+9,"00"),"")&amp;IF($C1077&gt;=11,", "&amp;$A1077&amp;"-"&amp;TEXT(($D1077-$C1077+1)+10,"00"),"")&amp;IF($C1077&gt;=12,", "&amp;$A1077&amp;"-"&amp;TEXT(($D1077-$C1077+1)+11,"00"),"")&amp;IF($C1077&gt;=13,", "&amp;$A1077&amp;"-"&amp;TEXT(($D1077-$C1077+1)+12,"00"),"")&amp;IF($C1077&gt;=14,", "&amp;$A1077&amp;"-"&amp;TEXT(($D1077-$C1077+1)+13,"00"),"")&amp;IF($C1077&gt;=15,", "&amp;$A1077&amp;"-"&amp;TEXT(($D1077-$C1077+1)+14,"00"),"")&amp;IF($C1077&gt;=16,", "&amp;$A1077&amp;"-"&amp;TEXT(($D1077-$C1077+1)+15,"00"),"")&amp;IF($C1077&gt;=17,", "&amp;$A1077&amp;"-"&amp;TEXT(($D1077-$C1077+1)+16,"00"),"")&amp;IF($C1077&gt;=18,", "&amp;$A1077&amp;"-"&amp;TEXT(($D1077-$C1077+1)+17,"00"),"")&amp;IF($C1077&gt;=19,", "&amp;$A1077&amp;"-"&amp;TEXT(($D1077-$C1077+1)+18,"00"),"")&amp;IF($C1077&gt;=20,", "&amp;$A1077&amp;"-"&amp;TEXT(($D1077-$C1077+1)+19,"00"),"")&amp;IF($C1077&gt;=21,", "&amp;$A1077&amp;"-"&amp;TEXT(($D1077-$C1077+1)+20,"00"),"")&amp;IF($C1077&gt;=22,", "&amp;$A1077&amp;"-"&amp;TEXT(($D1077-$C1077+1)+21,"00"),"")&amp;IF($C1077&gt;=23,", "&amp;$A1077&amp;"-"&amp;TEXT(($D1077-$C1077+1)+22,"00"),"")&amp;IF($C1077&gt;=24,", "&amp;$A1077&amp;"-"&amp;TEXT(($D1077-$C1077+1)+23,"00"),"")&amp;IF($C1077&gt;=25,", "&amp;$A1077&amp;"-"&amp;TEXT(($D1077-$C1077+1)+24,"00"),""))</f>
        <v/>
      </c>
      <c r="G1077">
        <f>IF($A1077="","",IF($E1077=1,$F1077,IF($F1077="",$G1076,IF($G1076="",$F1077,$G1076&amp;", "&amp;$F1077))))</f>
        <v/>
      </c>
      <c r="H1077">
        <f>IF($A1077="","",$A1077&amp;" ("&amp;$C1077&amp;")")</f>
        <v/>
      </c>
      <c r="I1077">
        <f>IF($A1077="","",IF($E1077=1,$H1077,$I1076&amp;", "&amp;$H1077))</f>
        <v/>
      </c>
      <c r="J1077">
        <f>IF($A1077="","",IF($E1077=1,$B1077,""))</f>
        <v/>
      </c>
      <c r="K1077">
        <f>IF($A1077="","",IF(COUNTIF($B$2:$B1077,$B1077)=COUNTIF($B$2:$B$1601,$B1077),$B1077,""))</f>
        <v/>
      </c>
    </row>
    <row r="1078">
      <c r="A1078">
        <f>IF('TMP Paste'!$E1078="","",'TMP Paste'!$E1078)</f>
        <v/>
      </c>
      <c r="B1078">
        <f>IF($A1078="","",COUNTIF('TMP Paste'!$B$2:$B1078,"?*"))</f>
        <v/>
      </c>
      <c r="C1078">
        <f>IF($A1078="","",IFERROR('TMP Paste'!$M1078*1,0))</f>
        <v/>
      </c>
      <c r="D1078">
        <f>IF($A1078="","",SUMIF($B$2:$B1078,$B1078,$C$2:$C1078))</f>
        <v/>
      </c>
      <c r="E1078">
        <f>IF($A1078="",0,IF('TMP Paste'!$B1078="",0,1))</f>
        <v/>
      </c>
      <c r="F1078">
        <f>IF(OR($A1078="",$C1078&lt;1),"",$A1078&amp;"-"&amp;TEXT(($D1078-$C1078+1),"00")&amp;IF($C1078&gt;=2,", "&amp;$A1078&amp;"-"&amp;TEXT(($D1078-$C1078+1)+1,"00"),"")&amp;IF($C1078&gt;=3,", "&amp;$A1078&amp;"-"&amp;TEXT(($D1078-$C1078+1)+2,"00"),"")&amp;IF($C1078&gt;=4,", "&amp;$A1078&amp;"-"&amp;TEXT(($D1078-$C1078+1)+3,"00"),"")&amp;IF($C1078&gt;=5,", "&amp;$A1078&amp;"-"&amp;TEXT(($D1078-$C1078+1)+4,"00"),"")&amp;IF($C1078&gt;=6,", "&amp;$A1078&amp;"-"&amp;TEXT(($D1078-$C1078+1)+5,"00"),"")&amp;IF($C1078&gt;=7,", "&amp;$A1078&amp;"-"&amp;TEXT(($D1078-$C1078+1)+6,"00"),"")&amp;IF($C1078&gt;=8,", "&amp;$A1078&amp;"-"&amp;TEXT(($D1078-$C1078+1)+7,"00"),"")&amp;IF($C1078&gt;=9,", "&amp;$A1078&amp;"-"&amp;TEXT(($D1078-$C1078+1)+8,"00"),"")&amp;IF($C1078&gt;=10,", "&amp;$A1078&amp;"-"&amp;TEXT(($D1078-$C1078+1)+9,"00"),"")&amp;IF($C1078&gt;=11,", "&amp;$A1078&amp;"-"&amp;TEXT(($D1078-$C1078+1)+10,"00"),"")&amp;IF($C1078&gt;=12,", "&amp;$A1078&amp;"-"&amp;TEXT(($D1078-$C1078+1)+11,"00"),"")&amp;IF($C1078&gt;=13,", "&amp;$A1078&amp;"-"&amp;TEXT(($D1078-$C1078+1)+12,"00"),"")&amp;IF($C1078&gt;=14,", "&amp;$A1078&amp;"-"&amp;TEXT(($D1078-$C1078+1)+13,"00"),"")&amp;IF($C1078&gt;=15,", "&amp;$A1078&amp;"-"&amp;TEXT(($D1078-$C1078+1)+14,"00"),"")&amp;IF($C1078&gt;=16,", "&amp;$A1078&amp;"-"&amp;TEXT(($D1078-$C1078+1)+15,"00"),"")&amp;IF($C1078&gt;=17,", "&amp;$A1078&amp;"-"&amp;TEXT(($D1078-$C1078+1)+16,"00"),"")&amp;IF($C1078&gt;=18,", "&amp;$A1078&amp;"-"&amp;TEXT(($D1078-$C1078+1)+17,"00"),"")&amp;IF($C1078&gt;=19,", "&amp;$A1078&amp;"-"&amp;TEXT(($D1078-$C1078+1)+18,"00"),"")&amp;IF($C1078&gt;=20,", "&amp;$A1078&amp;"-"&amp;TEXT(($D1078-$C1078+1)+19,"00"),"")&amp;IF($C1078&gt;=21,", "&amp;$A1078&amp;"-"&amp;TEXT(($D1078-$C1078+1)+20,"00"),"")&amp;IF($C1078&gt;=22,", "&amp;$A1078&amp;"-"&amp;TEXT(($D1078-$C1078+1)+21,"00"),"")&amp;IF($C1078&gt;=23,", "&amp;$A1078&amp;"-"&amp;TEXT(($D1078-$C1078+1)+22,"00"),"")&amp;IF($C1078&gt;=24,", "&amp;$A1078&amp;"-"&amp;TEXT(($D1078-$C1078+1)+23,"00"),"")&amp;IF($C1078&gt;=25,", "&amp;$A1078&amp;"-"&amp;TEXT(($D1078-$C1078+1)+24,"00"),""))</f>
        <v/>
      </c>
      <c r="G1078">
        <f>IF($A1078="","",IF($E1078=1,$F1078,IF($F1078="",$G1077,IF($G1077="",$F1078,$G1077&amp;", "&amp;$F1078))))</f>
        <v/>
      </c>
      <c r="H1078">
        <f>IF($A1078="","",$A1078&amp;" ("&amp;$C1078&amp;")")</f>
        <v/>
      </c>
      <c r="I1078">
        <f>IF($A1078="","",IF($E1078=1,$H1078,$I1077&amp;", "&amp;$H1078))</f>
        <v/>
      </c>
      <c r="J1078">
        <f>IF($A1078="","",IF($E1078=1,$B1078,""))</f>
        <v/>
      </c>
      <c r="K1078">
        <f>IF($A1078="","",IF(COUNTIF($B$2:$B1078,$B1078)=COUNTIF($B$2:$B$1601,$B1078),$B1078,""))</f>
        <v/>
      </c>
    </row>
    <row r="1079">
      <c r="A1079">
        <f>IF('TMP Paste'!$E1079="","",'TMP Paste'!$E1079)</f>
        <v/>
      </c>
      <c r="B1079">
        <f>IF($A1079="","",COUNTIF('TMP Paste'!$B$2:$B1079,"?*"))</f>
        <v/>
      </c>
      <c r="C1079">
        <f>IF($A1079="","",IFERROR('TMP Paste'!$M1079*1,0))</f>
        <v/>
      </c>
      <c r="D1079">
        <f>IF($A1079="","",SUMIF($B$2:$B1079,$B1079,$C$2:$C1079))</f>
        <v/>
      </c>
      <c r="E1079">
        <f>IF($A1079="",0,IF('TMP Paste'!$B1079="",0,1))</f>
        <v/>
      </c>
      <c r="F1079">
        <f>IF(OR($A1079="",$C1079&lt;1),"",$A1079&amp;"-"&amp;TEXT(($D1079-$C1079+1),"00")&amp;IF($C1079&gt;=2,", "&amp;$A1079&amp;"-"&amp;TEXT(($D1079-$C1079+1)+1,"00"),"")&amp;IF($C1079&gt;=3,", "&amp;$A1079&amp;"-"&amp;TEXT(($D1079-$C1079+1)+2,"00"),"")&amp;IF($C1079&gt;=4,", "&amp;$A1079&amp;"-"&amp;TEXT(($D1079-$C1079+1)+3,"00"),"")&amp;IF($C1079&gt;=5,", "&amp;$A1079&amp;"-"&amp;TEXT(($D1079-$C1079+1)+4,"00"),"")&amp;IF($C1079&gt;=6,", "&amp;$A1079&amp;"-"&amp;TEXT(($D1079-$C1079+1)+5,"00"),"")&amp;IF($C1079&gt;=7,", "&amp;$A1079&amp;"-"&amp;TEXT(($D1079-$C1079+1)+6,"00"),"")&amp;IF($C1079&gt;=8,", "&amp;$A1079&amp;"-"&amp;TEXT(($D1079-$C1079+1)+7,"00"),"")&amp;IF($C1079&gt;=9,", "&amp;$A1079&amp;"-"&amp;TEXT(($D1079-$C1079+1)+8,"00"),"")&amp;IF($C1079&gt;=10,", "&amp;$A1079&amp;"-"&amp;TEXT(($D1079-$C1079+1)+9,"00"),"")&amp;IF($C1079&gt;=11,", "&amp;$A1079&amp;"-"&amp;TEXT(($D1079-$C1079+1)+10,"00"),"")&amp;IF($C1079&gt;=12,", "&amp;$A1079&amp;"-"&amp;TEXT(($D1079-$C1079+1)+11,"00"),"")&amp;IF($C1079&gt;=13,", "&amp;$A1079&amp;"-"&amp;TEXT(($D1079-$C1079+1)+12,"00"),"")&amp;IF($C1079&gt;=14,", "&amp;$A1079&amp;"-"&amp;TEXT(($D1079-$C1079+1)+13,"00"),"")&amp;IF($C1079&gt;=15,", "&amp;$A1079&amp;"-"&amp;TEXT(($D1079-$C1079+1)+14,"00"),"")&amp;IF($C1079&gt;=16,", "&amp;$A1079&amp;"-"&amp;TEXT(($D1079-$C1079+1)+15,"00"),"")&amp;IF($C1079&gt;=17,", "&amp;$A1079&amp;"-"&amp;TEXT(($D1079-$C1079+1)+16,"00"),"")&amp;IF($C1079&gt;=18,", "&amp;$A1079&amp;"-"&amp;TEXT(($D1079-$C1079+1)+17,"00"),"")&amp;IF($C1079&gt;=19,", "&amp;$A1079&amp;"-"&amp;TEXT(($D1079-$C1079+1)+18,"00"),"")&amp;IF($C1079&gt;=20,", "&amp;$A1079&amp;"-"&amp;TEXT(($D1079-$C1079+1)+19,"00"),"")&amp;IF($C1079&gt;=21,", "&amp;$A1079&amp;"-"&amp;TEXT(($D1079-$C1079+1)+20,"00"),"")&amp;IF($C1079&gt;=22,", "&amp;$A1079&amp;"-"&amp;TEXT(($D1079-$C1079+1)+21,"00"),"")&amp;IF($C1079&gt;=23,", "&amp;$A1079&amp;"-"&amp;TEXT(($D1079-$C1079+1)+22,"00"),"")&amp;IF($C1079&gt;=24,", "&amp;$A1079&amp;"-"&amp;TEXT(($D1079-$C1079+1)+23,"00"),"")&amp;IF($C1079&gt;=25,", "&amp;$A1079&amp;"-"&amp;TEXT(($D1079-$C1079+1)+24,"00"),""))</f>
        <v/>
      </c>
      <c r="G1079">
        <f>IF($A1079="","",IF($E1079=1,$F1079,IF($F1079="",$G1078,IF($G1078="",$F1079,$G1078&amp;", "&amp;$F1079))))</f>
        <v/>
      </c>
      <c r="H1079">
        <f>IF($A1079="","",$A1079&amp;" ("&amp;$C1079&amp;")")</f>
        <v/>
      </c>
      <c r="I1079">
        <f>IF($A1079="","",IF($E1079=1,$H1079,$I1078&amp;", "&amp;$H1079))</f>
        <v/>
      </c>
      <c r="J1079">
        <f>IF($A1079="","",IF($E1079=1,$B1079,""))</f>
        <v/>
      </c>
      <c r="K1079">
        <f>IF($A1079="","",IF(COUNTIF($B$2:$B1079,$B1079)=COUNTIF($B$2:$B$1601,$B1079),$B1079,""))</f>
        <v/>
      </c>
    </row>
    <row r="1080">
      <c r="A1080">
        <f>IF('TMP Paste'!$E1080="","",'TMP Paste'!$E1080)</f>
        <v/>
      </c>
      <c r="B1080">
        <f>IF($A1080="","",COUNTIF('TMP Paste'!$B$2:$B1080,"?*"))</f>
        <v/>
      </c>
      <c r="C1080">
        <f>IF($A1080="","",IFERROR('TMP Paste'!$M1080*1,0))</f>
        <v/>
      </c>
      <c r="D1080">
        <f>IF($A1080="","",SUMIF($B$2:$B1080,$B1080,$C$2:$C1080))</f>
        <v/>
      </c>
      <c r="E1080">
        <f>IF($A1080="",0,IF('TMP Paste'!$B1080="",0,1))</f>
        <v/>
      </c>
      <c r="F1080">
        <f>IF(OR($A1080="",$C1080&lt;1),"",$A1080&amp;"-"&amp;TEXT(($D1080-$C1080+1),"00")&amp;IF($C1080&gt;=2,", "&amp;$A1080&amp;"-"&amp;TEXT(($D1080-$C1080+1)+1,"00"),"")&amp;IF($C1080&gt;=3,", "&amp;$A1080&amp;"-"&amp;TEXT(($D1080-$C1080+1)+2,"00"),"")&amp;IF($C1080&gt;=4,", "&amp;$A1080&amp;"-"&amp;TEXT(($D1080-$C1080+1)+3,"00"),"")&amp;IF($C1080&gt;=5,", "&amp;$A1080&amp;"-"&amp;TEXT(($D1080-$C1080+1)+4,"00"),"")&amp;IF($C1080&gt;=6,", "&amp;$A1080&amp;"-"&amp;TEXT(($D1080-$C1080+1)+5,"00"),"")&amp;IF($C1080&gt;=7,", "&amp;$A1080&amp;"-"&amp;TEXT(($D1080-$C1080+1)+6,"00"),"")&amp;IF($C1080&gt;=8,", "&amp;$A1080&amp;"-"&amp;TEXT(($D1080-$C1080+1)+7,"00"),"")&amp;IF($C1080&gt;=9,", "&amp;$A1080&amp;"-"&amp;TEXT(($D1080-$C1080+1)+8,"00"),"")&amp;IF($C1080&gt;=10,", "&amp;$A1080&amp;"-"&amp;TEXT(($D1080-$C1080+1)+9,"00"),"")&amp;IF($C1080&gt;=11,", "&amp;$A1080&amp;"-"&amp;TEXT(($D1080-$C1080+1)+10,"00"),"")&amp;IF($C1080&gt;=12,", "&amp;$A1080&amp;"-"&amp;TEXT(($D1080-$C1080+1)+11,"00"),"")&amp;IF($C1080&gt;=13,", "&amp;$A1080&amp;"-"&amp;TEXT(($D1080-$C1080+1)+12,"00"),"")&amp;IF($C1080&gt;=14,", "&amp;$A1080&amp;"-"&amp;TEXT(($D1080-$C1080+1)+13,"00"),"")&amp;IF($C1080&gt;=15,", "&amp;$A1080&amp;"-"&amp;TEXT(($D1080-$C1080+1)+14,"00"),"")&amp;IF($C1080&gt;=16,", "&amp;$A1080&amp;"-"&amp;TEXT(($D1080-$C1080+1)+15,"00"),"")&amp;IF($C1080&gt;=17,", "&amp;$A1080&amp;"-"&amp;TEXT(($D1080-$C1080+1)+16,"00"),"")&amp;IF($C1080&gt;=18,", "&amp;$A1080&amp;"-"&amp;TEXT(($D1080-$C1080+1)+17,"00"),"")&amp;IF($C1080&gt;=19,", "&amp;$A1080&amp;"-"&amp;TEXT(($D1080-$C1080+1)+18,"00"),"")&amp;IF($C1080&gt;=20,", "&amp;$A1080&amp;"-"&amp;TEXT(($D1080-$C1080+1)+19,"00"),"")&amp;IF($C1080&gt;=21,", "&amp;$A1080&amp;"-"&amp;TEXT(($D1080-$C1080+1)+20,"00"),"")&amp;IF($C1080&gt;=22,", "&amp;$A1080&amp;"-"&amp;TEXT(($D1080-$C1080+1)+21,"00"),"")&amp;IF($C1080&gt;=23,", "&amp;$A1080&amp;"-"&amp;TEXT(($D1080-$C1080+1)+22,"00"),"")&amp;IF($C1080&gt;=24,", "&amp;$A1080&amp;"-"&amp;TEXT(($D1080-$C1080+1)+23,"00"),"")&amp;IF($C1080&gt;=25,", "&amp;$A1080&amp;"-"&amp;TEXT(($D1080-$C1080+1)+24,"00"),""))</f>
        <v/>
      </c>
      <c r="G1080">
        <f>IF($A1080="","",IF($E1080=1,$F1080,IF($F1080="",$G1079,IF($G1079="",$F1080,$G1079&amp;", "&amp;$F1080))))</f>
        <v/>
      </c>
      <c r="H1080">
        <f>IF($A1080="","",$A1080&amp;" ("&amp;$C1080&amp;")")</f>
        <v/>
      </c>
      <c r="I1080">
        <f>IF($A1080="","",IF($E1080=1,$H1080,$I1079&amp;", "&amp;$H1080))</f>
        <v/>
      </c>
      <c r="J1080">
        <f>IF($A1080="","",IF($E1080=1,$B1080,""))</f>
        <v/>
      </c>
      <c r="K1080">
        <f>IF($A1080="","",IF(COUNTIF($B$2:$B1080,$B1080)=COUNTIF($B$2:$B$1601,$B1080),$B1080,""))</f>
        <v/>
      </c>
    </row>
    <row r="1081">
      <c r="A1081">
        <f>IF('TMP Paste'!$E1081="","",'TMP Paste'!$E1081)</f>
        <v/>
      </c>
      <c r="B1081">
        <f>IF($A1081="","",COUNTIF('TMP Paste'!$B$2:$B1081,"?*"))</f>
        <v/>
      </c>
      <c r="C1081">
        <f>IF($A1081="","",IFERROR('TMP Paste'!$M1081*1,0))</f>
        <v/>
      </c>
      <c r="D1081">
        <f>IF($A1081="","",SUMIF($B$2:$B1081,$B1081,$C$2:$C1081))</f>
        <v/>
      </c>
      <c r="E1081">
        <f>IF($A1081="",0,IF('TMP Paste'!$B1081="",0,1))</f>
        <v/>
      </c>
      <c r="F1081">
        <f>IF(OR($A1081="",$C1081&lt;1),"",$A1081&amp;"-"&amp;TEXT(($D1081-$C1081+1),"00")&amp;IF($C1081&gt;=2,", "&amp;$A1081&amp;"-"&amp;TEXT(($D1081-$C1081+1)+1,"00"),"")&amp;IF($C1081&gt;=3,", "&amp;$A1081&amp;"-"&amp;TEXT(($D1081-$C1081+1)+2,"00"),"")&amp;IF($C1081&gt;=4,", "&amp;$A1081&amp;"-"&amp;TEXT(($D1081-$C1081+1)+3,"00"),"")&amp;IF($C1081&gt;=5,", "&amp;$A1081&amp;"-"&amp;TEXT(($D1081-$C1081+1)+4,"00"),"")&amp;IF($C1081&gt;=6,", "&amp;$A1081&amp;"-"&amp;TEXT(($D1081-$C1081+1)+5,"00"),"")&amp;IF($C1081&gt;=7,", "&amp;$A1081&amp;"-"&amp;TEXT(($D1081-$C1081+1)+6,"00"),"")&amp;IF($C1081&gt;=8,", "&amp;$A1081&amp;"-"&amp;TEXT(($D1081-$C1081+1)+7,"00"),"")&amp;IF($C1081&gt;=9,", "&amp;$A1081&amp;"-"&amp;TEXT(($D1081-$C1081+1)+8,"00"),"")&amp;IF($C1081&gt;=10,", "&amp;$A1081&amp;"-"&amp;TEXT(($D1081-$C1081+1)+9,"00"),"")&amp;IF($C1081&gt;=11,", "&amp;$A1081&amp;"-"&amp;TEXT(($D1081-$C1081+1)+10,"00"),"")&amp;IF($C1081&gt;=12,", "&amp;$A1081&amp;"-"&amp;TEXT(($D1081-$C1081+1)+11,"00"),"")&amp;IF($C1081&gt;=13,", "&amp;$A1081&amp;"-"&amp;TEXT(($D1081-$C1081+1)+12,"00"),"")&amp;IF($C1081&gt;=14,", "&amp;$A1081&amp;"-"&amp;TEXT(($D1081-$C1081+1)+13,"00"),"")&amp;IF($C1081&gt;=15,", "&amp;$A1081&amp;"-"&amp;TEXT(($D1081-$C1081+1)+14,"00"),"")&amp;IF($C1081&gt;=16,", "&amp;$A1081&amp;"-"&amp;TEXT(($D1081-$C1081+1)+15,"00"),"")&amp;IF($C1081&gt;=17,", "&amp;$A1081&amp;"-"&amp;TEXT(($D1081-$C1081+1)+16,"00"),"")&amp;IF($C1081&gt;=18,", "&amp;$A1081&amp;"-"&amp;TEXT(($D1081-$C1081+1)+17,"00"),"")&amp;IF($C1081&gt;=19,", "&amp;$A1081&amp;"-"&amp;TEXT(($D1081-$C1081+1)+18,"00"),"")&amp;IF($C1081&gt;=20,", "&amp;$A1081&amp;"-"&amp;TEXT(($D1081-$C1081+1)+19,"00"),"")&amp;IF($C1081&gt;=21,", "&amp;$A1081&amp;"-"&amp;TEXT(($D1081-$C1081+1)+20,"00"),"")&amp;IF($C1081&gt;=22,", "&amp;$A1081&amp;"-"&amp;TEXT(($D1081-$C1081+1)+21,"00"),"")&amp;IF($C1081&gt;=23,", "&amp;$A1081&amp;"-"&amp;TEXT(($D1081-$C1081+1)+22,"00"),"")&amp;IF($C1081&gt;=24,", "&amp;$A1081&amp;"-"&amp;TEXT(($D1081-$C1081+1)+23,"00"),"")&amp;IF($C1081&gt;=25,", "&amp;$A1081&amp;"-"&amp;TEXT(($D1081-$C1081+1)+24,"00"),""))</f>
        <v/>
      </c>
      <c r="G1081">
        <f>IF($A1081="","",IF($E1081=1,$F1081,IF($F1081="",$G1080,IF($G1080="",$F1081,$G1080&amp;", "&amp;$F1081))))</f>
        <v/>
      </c>
      <c r="H1081">
        <f>IF($A1081="","",$A1081&amp;" ("&amp;$C1081&amp;")")</f>
        <v/>
      </c>
      <c r="I1081">
        <f>IF($A1081="","",IF($E1081=1,$H1081,$I1080&amp;", "&amp;$H1081))</f>
        <v/>
      </c>
      <c r="J1081">
        <f>IF($A1081="","",IF($E1081=1,$B1081,""))</f>
        <v/>
      </c>
      <c r="K1081">
        <f>IF($A1081="","",IF(COUNTIF($B$2:$B1081,$B1081)=COUNTIF($B$2:$B$1601,$B1081),$B1081,""))</f>
        <v/>
      </c>
    </row>
    <row r="1082">
      <c r="A1082">
        <f>IF('TMP Paste'!$E1082="","",'TMP Paste'!$E1082)</f>
        <v/>
      </c>
      <c r="B1082">
        <f>IF($A1082="","",COUNTIF('TMP Paste'!$B$2:$B1082,"?*"))</f>
        <v/>
      </c>
      <c r="C1082">
        <f>IF($A1082="","",IFERROR('TMP Paste'!$M1082*1,0))</f>
        <v/>
      </c>
      <c r="D1082">
        <f>IF($A1082="","",SUMIF($B$2:$B1082,$B1082,$C$2:$C1082))</f>
        <v/>
      </c>
      <c r="E1082">
        <f>IF($A1082="",0,IF('TMP Paste'!$B1082="",0,1))</f>
        <v/>
      </c>
      <c r="F1082">
        <f>IF(OR($A1082="",$C1082&lt;1),"",$A1082&amp;"-"&amp;TEXT(($D1082-$C1082+1),"00")&amp;IF($C1082&gt;=2,", "&amp;$A1082&amp;"-"&amp;TEXT(($D1082-$C1082+1)+1,"00"),"")&amp;IF($C1082&gt;=3,", "&amp;$A1082&amp;"-"&amp;TEXT(($D1082-$C1082+1)+2,"00"),"")&amp;IF($C1082&gt;=4,", "&amp;$A1082&amp;"-"&amp;TEXT(($D1082-$C1082+1)+3,"00"),"")&amp;IF($C1082&gt;=5,", "&amp;$A1082&amp;"-"&amp;TEXT(($D1082-$C1082+1)+4,"00"),"")&amp;IF($C1082&gt;=6,", "&amp;$A1082&amp;"-"&amp;TEXT(($D1082-$C1082+1)+5,"00"),"")&amp;IF($C1082&gt;=7,", "&amp;$A1082&amp;"-"&amp;TEXT(($D1082-$C1082+1)+6,"00"),"")&amp;IF($C1082&gt;=8,", "&amp;$A1082&amp;"-"&amp;TEXT(($D1082-$C1082+1)+7,"00"),"")&amp;IF($C1082&gt;=9,", "&amp;$A1082&amp;"-"&amp;TEXT(($D1082-$C1082+1)+8,"00"),"")&amp;IF($C1082&gt;=10,", "&amp;$A1082&amp;"-"&amp;TEXT(($D1082-$C1082+1)+9,"00"),"")&amp;IF($C1082&gt;=11,", "&amp;$A1082&amp;"-"&amp;TEXT(($D1082-$C1082+1)+10,"00"),"")&amp;IF($C1082&gt;=12,", "&amp;$A1082&amp;"-"&amp;TEXT(($D1082-$C1082+1)+11,"00"),"")&amp;IF($C1082&gt;=13,", "&amp;$A1082&amp;"-"&amp;TEXT(($D1082-$C1082+1)+12,"00"),"")&amp;IF($C1082&gt;=14,", "&amp;$A1082&amp;"-"&amp;TEXT(($D1082-$C1082+1)+13,"00"),"")&amp;IF($C1082&gt;=15,", "&amp;$A1082&amp;"-"&amp;TEXT(($D1082-$C1082+1)+14,"00"),"")&amp;IF($C1082&gt;=16,", "&amp;$A1082&amp;"-"&amp;TEXT(($D1082-$C1082+1)+15,"00"),"")&amp;IF($C1082&gt;=17,", "&amp;$A1082&amp;"-"&amp;TEXT(($D1082-$C1082+1)+16,"00"),"")&amp;IF($C1082&gt;=18,", "&amp;$A1082&amp;"-"&amp;TEXT(($D1082-$C1082+1)+17,"00"),"")&amp;IF($C1082&gt;=19,", "&amp;$A1082&amp;"-"&amp;TEXT(($D1082-$C1082+1)+18,"00"),"")&amp;IF($C1082&gt;=20,", "&amp;$A1082&amp;"-"&amp;TEXT(($D1082-$C1082+1)+19,"00"),"")&amp;IF($C1082&gt;=21,", "&amp;$A1082&amp;"-"&amp;TEXT(($D1082-$C1082+1)+20,"00"),"")&amp;IF($C1082&gt;=22,", "&amp;$A1082&amp;"-"&amp;TEXT(($D1082-$C1082+1)+21,"00"),"")&amp;IF($C1082&gt;=23,", "&amp;$A1082&amp;"-"&amp;TEXT(($D1082-$C1082+1)+22,"00"),"")&amp;IF($C1082&gt;=24,", "&amp;$A1082&amp;"-"&amp;TEXT(($D1082-$C1082+1)+23,"00"),"")&amp;IF($C1082&gt;=25,", "&amp;$A1082&amp;"-"&amp;TEXT(($D1082-$C1082+1)+24,"00"),""))</f>
        <v/>
      </c>
      <c r="G1082">
        <f>IF($A1082="","",IF($E1082=1,$F1082,IF($F1082="",$G1081,IF($G1081="",$F1082,$G1081&amp;", "&amp;$F1082))))</f>
        <v/>
      </c>
      <c r="H1082">
        <f>IF($A1082="","",$A1082&amp;" ("&amp;$C1082&amp;")")</f>
        <v/>
      </c>
      <c r="I1082">
        <f>IF($A1082="","",IF($E1082=1,$H1082,$I1081&amp;", "&amp;$H1082))</f>
        <v/>
      </c>
      <c r="J1082">
        <f>IF($A1082="","",IF($E1082=1,$B1082,""))</f>
        <v/>
      </c>
      <c r="K1082">
        <f>IF($A1082="","",IF(COUNTIF($B$2:$B1082,$B1082)=COUNTIF($B$2:$B$1601,$B1082),$B1082,""))</f>
        <v/>
      </c>
    </row>
    <row r="1083">
      <c r="A1083">
        <f>IF('TMP Paste'!$E1083="","",'TMP Paste'!$E1083)</f>
        <v/>
      </c>
      <c r="B1083">
        <f>IF($A1083="","",COUNTIF('TMP Paste'!$B$2:$B1083,"?*"))</f>
        <v/>
      </c>
      <c r="C1083">
        <f>IF($A1083="","",IFERROR('TMP Paste'!$M1083*1,0))</f>
        <v/>
      </c>
      <c r="D1083">
        <f>IF($A1083="","",SUMIF($B$2:$B1083,$B1083,$C$2:$C1083))</f>
        <v/>
      </c>
      <c r="E1083">
        <f>IF($A1083="",0,IF('TMP Paste'!$B1083="",0,1))</f>
        <v/>
      </c>
      <c r="F1083">
        <f>IF(OR($A1083="",$C1083&lt;1),"",$A1083&amp;"-"&amp;TEXT(($D1083-$C1083+1),"00")&amp;IF($C1083&gt;=2,", "&amp;$A1083&amp;"-"&amp;TEXT(($D1083-$C1083+1)+1,"00"),"")&amp;IF($C1083&gt;=3,", "&amp;$A1083&amp;"-"&amp;TEXT(($D1083-$C1083+1)+2,"00"),"")&amp;IF($C1083&gt;=4,", "&amp;$A1083&amp;"-"&amp;TEXT(($D1083-$C1083+1)+3,"00"),"")&amp;IF($C1083&gt;=5,", "&amp;$A1083&amp;"-"&amp;TEXT(($D1083-$C1083+1)+4,"00"),"")&amp;IF($C1083&gt;=6,", "&amp;$A1083&amp;"-"&amp;TEXT(($D1083-$C1083+1)+5,"00"),"")&amp;IF($C1083&gt;=7,", "&amp;$A1083&amp;"-"&amp;TEXT(($D1083-$C1083+1)+6,"00"),"")&amp;IF($C1083&gt;=8,", "&amp;$A1083&amp;"-"&amp;TEXT(($D1083-$C1083+1)+7,"00"),"")&amp;IF($C1083&gt;=9,", "&amp;$A1083&amp;"-"&amp;TEXT(($D1083-$C1083+1)+8,"00"),"")&amp;IF($C1083&gt;=10,", "&amp;$A1083&amp;"-"&amp;TEXT(($D1083-$C1083+1)+9,"00"),"")&amp;IF($C1083&gt;=11,", "&amp;$A1083&amp;"-"&amp;TEXT(($D1083-$C1083+1)+10,"00"),"")&amp;IF($C1083&gt;=12,", "&amp;$A1083&amp;"-"&amp;TEXT(($D1083-$C1083+1)+11,"00"),"")&amp;IF($C1083&gt;=13,", "&amp;$A1083&amp;"-"&amp;TEXT(($D1083-$C1083+1)+12,"00"),"")&amp;IF($C1083&gt;=14,", "&amp;$A1083&amp;"-"&amp;TEXT(($D1083-$C1083+1)+13,"00"),"")&amp;IF($C1083&gt;=15,", "&amp;$A1083&amp;"-"&amp;TEXT(($D1083-$C1083+1)+14,"00"),"")&amp;IF($C1083&gt;=16,", "&amp;$A1083&amp;"-"&amp;TEXT(($D1083-$C1083+1)+15,"00"),"")&amp;IF($C1083&gt;=17,", "&amp;$A1083&amp;"-"&amp;TEXT(($D1083-$C1083+1)+16,"00"),"")&amp;IF($C1083&gt;=18,", "&amp;$A1083&amp;"-"&amp;TEXT(($D1083-$C1083+1)+17,"00"),"")&amp;IF($C1083&gt;=19,", "&amp;$A1083&amp;"-"&amp;TEXT(($D1083-$C1083+1)+18,"00"),"")&amp;IF($C1083&gt;=20,", "&amp;$A1083&amp;"-"&amp;TEXT(($D1083-$C1083+1)+19,"00"),"")&amp;IF($C1083&gt;=21,", "&amp;$A1083&amp;"-"&amp;TEXT(($D1083-$C1083+1)+20,"00"),"")&amp;IF($C1083&gt;=22,", "&amp;$A1083&amp;"-"&amp;TEXT(($D1083-$C1083+1)+21,"00"),"")&amp;IF($C1083&gt;=23,", "&amp;$A1083&amp;"-"&amp;TEXT(($D1083-$C1083+1)+22,"00"),"")&amp;IF($C1083&gt;=24,", "&amp;$A1083&amp;"-"&amp;TEXT(($D1083-$C1083+1)+23,"00"),"")&amp;IF($C1083&gt;=25,", "&amp;$A1083&amp;"-"&amp;TEXT(($D1083-$C1083+1)+24,"00"),""))</f>
        <v/>
      </c>
      <c r="G1083">
        <f>IF($A1083="","",IF($E1083=1,$F1083,IF($F1083="",$G1082,IF($G1082="",$F1083,$G1082&amp;", "&amp;$F1083))))</f>
        <v/>
      </c>
      <c r="H1083">
        <f>IF($A1083="","",$A1083&amp;" ("&amp;$C1083&amp;")")</f>
        <v/>
      </c>
      <c r="I1083">
        <f>IF($A1083="","",IF($E1083=1,$H1083,$I1082&amp;", "&amp;$H1083))</f>
        <v/>
      </c>
      <c r="J1083">
        <f>IF($A1083="","",IF($E1083=1,$B1083,""))</f>
        <v/>
      </c>
      <c r="K1083">
        <f>IF($A1083="","",IF(COUNTIF($B$2:$B1083,$B1083)=COUNTIF($B$2:$B$1601,$B1083),$B1083,""))</f>
        <v/>
      </c>
    </row>
    <row r="1084">
      <c r="A1084">
        <f>IF('TMP Paste'!$E1084="","",'TMP Paste'!$E1084)</f>
        <v/>
      </c>
      <c r="B1084">
        <f>IF($A1084="","",COUNTIF('TMP Paste'!$B$2:$B1084,"?*"))</f>
        <v/>
      </c>
      <c r="C1084">
        <f>IF($A1084="","",IFERROR('TMP Paste'!$M1084*1,0))</f>
        <v/>
      </c>
      <c r="D1084">
        <f>IF($A1084="","",SUMIF($B$2:$B1084,$B1084,$C$2:$C1084))</f>
        <v/>
      </c>
      <c r="E1084">
        <f>IF($A1084="",0,IF('TMP Paste'!$B1084="",0,1))</f>
        <v/>
      </c>
      <c r="F1084">
        <f>IF(OR($A1084="",$C1084&lt;1),"",$A1084&amp;"-"&amp;TEXT(($D1084-$C1084+1),"00")&amp;IF($C1084&gt;=2,", "&amp;$A1084&amp;"-"&amp;TEXT(($D1084-$C1084+1)+1,"00"),"")&amp;IF($C1084&gt;=3,", "&amp;$A1084&amp;"-"&amp;TEXT(($D1084-$C1084+1)+2,"00"),"")&amp;IF($C1084&gt;=4,", "&amp;$A1084&amp;"-"&amp;TEXT(($D1084-$C1084+1)+3,"00"),"")&amp;IF($C1084&gt;=5,", "&amp;$A1084&amp;"-"&amp;TEXT(($D1084-$C1084+1)+4,"00"),"")&amp;IF($C1084&gt;=6,", "&amp;$A1084&amp;"-"&amp;TEXT(($D1084-$C1084+1)+5,"00"),"")&amp;IF($C1084&gt;=7,", "&amp;$A1084&amp;"-"&amp;TEXT(($D1084-$C1084+1)+6,"00"),"")&amp;IF($C1084&gt;=8,", "&amp;$A1084&amp;"-"&amp;TEXT(($D1084-$C1084+1)+7,"00"),"")&amp;IF($C1084&gt;=9,", "&amp;$A1084&amp;"-"&amp;TEXT(($D1084-$C1084+1)+8,"00"),"")&amp;IF($C1084&gt;=10,", "&amp;$A1084&amp;"-"&amp;TEXT(($D1084-$C1084+1)+9,"00"),"")&amp;IF($C1084&gt;=11,", "&amp;$A1084&amp;"-"&amp;TEXT(($D1084-$C1084+1)+10,"00"),"")&amp;IF($C1084&gt;=12,", "&amp;$A1084&amp;"-"&amp;TEXT(($D1084-$C1084+1)+11,"00"),"")&amp;IF($C1084&gt;=13,", "&amp;$A1084&amp;"-"&amp;TEXT(($D1084-$C1084+1)+12,"00"),"")&amp;IF($C1084&gt;=14,", "&amp;$A1084&amp;"-"&amp;TEXT(($D1084-$C1084+1)+13,"00"),"")&amp;IF($C1084&gt;=15,", "&amp;$A1084&amp;"-"&amp;TEXT(($D1084-$C1084+1)+14,"00"),"")&amp;IF($C1084&gt;=16,", "&amp;$A1084&amp;"-"&amp;TEXT(($D1084-$C1084+1)+15,"00"),"")&amp;IF($C1084&gt;=17,", "&amp;$A1084&amp;"-"&amp;TEXT(($D1084-$C1084+1)+16,"00"),"")&amp;IF($C1084&gt;=18,", "&amp;$A1084&amp;"-"&amp;TEXT(($D1084-$C1084+1)+17,"00"),"")&amp;IF($C1084&gt;=19,", "&amp;$A1084&amp;"-"&amp;TEXT(($D1084-$C1084+1)+18,"00"),"")&amp;IF($C1084&gt;=20,", "&amp;$A1084&amp;"-"&amp;TEXT(($D1084-$C1084+1)+19,"00"),"")&amp;IF($C1084&gt;=21,", "&amp;$A1084&amp;"-"&amp;TEXT(($D1084-$C1084+1)+20,"00"),"")&amp;IF($C1084&gt;=22,", "&amp;$A1084&amp;"-"&amp;TEXT(($D1084-$C1084+1)+21,"00"),"")&amp;IF($C1084&gt;=23,", "&amp;$A1084&amp;"-"&amp;TEXT(($D1084-$C1084+1)+22,"00"),"")&amp;IF($C1084&gt;=24,", "&amp;$A1084&amp;"-"&amp;TEXT(($D1084-$C1084+1)+23,"00"),"")&amp;IF($C1084&gt;=25,", "&amp;$A1084&amp;"-"&amp;TEXT(($D1084-$C1084+1)+24,"00"),""))</f>
        <v/>
      </c>
      <c r="G1084">
        <f>IF($A1084="","",IF($E1084=1,$F1084,IF($F1084="",$G1083,IF($G1083="",$F1084,$G1083&amp;", "&amp;$F1084))))</f>
        <v/>
      </c>
      <c r="H1084">
        <f>IF($A1084="","",$A1084&amp;" ("&amp;$C1084&amp;")")</f>
        <v/>
      </c>
      <c r="I1084">
        <f>IF($A1084="","",IF($E1084=1,$H1084,$I1083&amp;", "&amp;$H1084))</f>
        <v/>
      </c>
      <c r="J1084">
        <f>IF($A1084="","",IF($E1084=1,$B1084,""))</f>
        <v/>
      </c>
      <c r="K1084">
        <f>IF($A1084="","",IF(COUNTIF($B$2:$B1084,$B1084)=COUNTIF($B$2:$B$1601,$B1084),$B1084,""))</f>
        <v/>
      </c>
    </row>
    <row r="1085">
      <c r="A1085">
        <f>IF('TMP Paste'!$E1085="","",'TMP Paste'!$E1085)</f>
        <v/>
      </c>
      <c r="B1085">
        <f>IF($A1085="","",COUNTIF('TMP Paste'!$B$2:$B1085,"?*"))</f>
        <v/>
      </c>
      <c r="C1085">
        <f>IF($A1085="","",IFERROR('TMP Paste'!$M1085*1,0))</f>
        <v/>
      </c>
      <c r="D1085">
        <f>IF($A1085="","",SUMIF($B$2:$B1085,$B1085,$C$2:$C1085))</f>
        <v/>
      </c>
      <c r="E1085">
        <f>IF($A1085="",0,IF('TMP Paste'!$B1085="",0,1))</f>
        <v/>
      </c>
      <c r="F1085">
        <f>IF(OR($A1085="",$C1085&lt;1),"",$A1085&amp;"-"&amp;TEXT(($D1085-$C1085+1),"00")&amp;IF($C1085&gt;=2,", "&amp;$A1085&amp;"-"&amp;TEXT(($D1085-$C1085+1)+1,"00"),"")&amp;IF($C1085&gt;=3,", "&amp;$A1085&amp;"-"&amp;TEXT(($D1085-$C1085+1)+2,"00"),"")&amp;IF($C1085&gt;=4,", "&amp;$A1085&amp;"-"&amp;TEXT(($D1085-$C1085+1)+3,"00"),"")&amp;IF($C1085&gt;=5,", "&amp;$A1085&amp;"-"&amp;TEXT(($D1085-$C1085+1)+4,"00"),"")&amp;IF($C1085&gt;=6,", "&amp;$A1085&amp;"-"&amp;TEXT(($D1085-$C1085+1)+5,"00"),"")&amp;IF($C1085&gt;=7,", "&amp;$A1085&amp;"-"&amp;TEXT(($D1085-$C1085+1)+6,"00"),"")&amp;IF($C1085&gt;=8,", "&amp;$A1085&amp;"-"&amp;TEXT(($D1085-$C1085+1)+7,"00"),"")&amp;IF($C1085&gt;=9,", "&amp;$A1085&amp;"-"&amp;TEXT(($D1085-$C1085+1)+8,"00"),"")&amp;IF($C1085&gt;=10,", "&amp;$A1085&amp;"-"&amp;TEXT(($D1085-$C1085+1)+9,"00"),"")&amp;IF($C1085&gt;=11,", "&amp;$A1085&amp;"-"&amp;TEXT(($D1085-$C1085+1)+10,"00"),"")&amp;IF($C1085&gt;=12,", "&amp;$A1085&amp;"-"&amp;TEXT(($D1085-$C1085+1)+11,"00"),"")&amp;IF($C1085&gt;=13,", "&amp;$A1085&amp;"-"&amp;TEXT(($D1085-$C1085+1)+12,"00"),"")&amp;IF($C1085&gt;=14,", "&amp;$A1085&amp;"-"&amp;TEXT(($D1085-$C1085+1)+13,"00"),"")&amp;IF($C1085&gt;=15,", "&amp;$A1085&amp;"-"&amp;TEXT(($D1085-$C1085+1)+14,"00"),"")&amp;IF($C1085&gt;=16,", "&amp;$A1085&amp;"-"&amp;TEXT(($D1085-$C1085+1)+15,"00"),"")&amp;IF($C1085&gt;=17,", "&amp;$A1085&amp;"-"&amp;TEXT(($D1085-$C1085+1)+16,"00"),"")&amp;IF($C1085&gt;=18,", "&amp;$A1085&amp;"-"&amp;TEXT(($D1085-$C1085+1)+17,"00"),"")&amp;IF($C1085&gt;=19,", "&amp;$A1085&amp;"-"&amp;TEXT(($D1085-$C1085+1)+18,"00"),"")&amp;IF($C1085&gt;=20,", "&amp;$A1085&amp;"-"&amp;TEXT(($D1085-$C1085+1)+19,"00"),"")&amp;IF($C1085&gt;=21,", "&amp;$A1085&amp;"-"&amp;TEXT(($D1085-$C1085+1)+20,"00"),"")&amp;IF($C1085&gt;=22,", "&amp;$A1085&amp;"-"&amp;TEXT(($D1085-$C1085+1)+21,"00"),"")&amp;IF($C1085&gt;=23,", "&amp;$A1085&amp;"-"&amp;TEXT(($D1085-$C1085+1)+22,"00"),"")&amp;IF($C1085&gt;=24,", "&amp;$A1085&amp;"-"&amp;TEXT(($D1085-$C1085+1)+23,"00"),"")&amp;IF($C1085&gt;=25,", "&amp;$A1085&amp;"-"&amp;TEXT(($D1085-$C1085+1)+24,"00"),""))</f>
        <v/>
      </c>
      <c r="G1085">
        <f>IF($A1085="","",IF($E1085=1,$F1085,IF($F1085="",$G1084,IF($G1084="",$F1085,$G1084&amp;", "&amp;$F1085))))</f>
        <v/>
      </c>
      <c r="H1085">
        <f>IF($A1085="","",$A1085&amp;" ("&amp;$C1085&amp;")")</f>
        <v/>
      </c>
      <c r="I1085">
        <f>IF($A1085="","",IF($E1085=1,$H1085,$I1084&amp;", "&amp;$H1085))</f>
        <v/>
      </c>
      <c r="J1085">
        <f>IF($A1085="","",IF($E1085=1,$B1085,""))</f>
        <v/>
      </c>
      <c r="K1085">
        <f>IF($A1085="","",IF(COUNTIF($B$2:$B1085,$B1085)=COUNTIF($B$2:$B$1601,$B1085),$B1085,""))</f>
        <v/>
      </c>
    </row>
    <row r="1086">
      <c r="A1086">
        <f>IF('TMP Paste'!$E1086="","",'TMP Paste'!$E1086)</f>
        <v/>
      </c>
      <c r="B1086">
        <f>IF($A1086="","",COUNTIF('TMP Paste'!$B$2:$B1086,"?*"))</f>
        <v/>
      </c>
      <c r="C1086">
        <f>IF($A1086="","",IFERROR('TMP Paste'!$M1086*1,0))</f>
        <v/>
      </c>
      <c r="D1086">
        <f>IF($A1086="","",SUMIF($B$2:$B1086,$B1086,$C$2:$C1086))</f>
        <v/>
      </c>
      <c r="E1086">
        <f>IF($A1086="",0,IF('TMP Paste'!$B1086="",0,1))</f>
        <v/>
      </c>
      <c r="F1086">
        <f>IF(OR($A1086="",$C1086&lt;1),"",$A1086&amp;"-"&amp;TEXT(($D1086-$C1086+1),"00")&amp;IF($C1086&gt;=2,", "&amp;$A1086&amp;"-"&amp;TEXT(($D1086-$C1086+1)+1,"00"),"")&amp;IF($C1086&gt;=3,", "&amp;$A1086&amp;"-"&amp;TEXT(($D1086-$C1086+1)+2,"00"),"")&amp;IF($C1086&gt;=4,", "&amp;$A1086&amp;"-"&amp;TEXT(($D1086-$C1086+1)+3,"00"),"")&amp;IF($C1086&gt;=5,", "&amp;$A1086&amp;"-"&amp;TEXT(($D1086-$C1086+1)+4,"00"),"")&amp;IF($C1086&gt;=6,", "&amp;$A1086&amp;"-"&amp;TEXT(($D1086-$C1086+1)+5,"00"),"")&amp;IF($C1086&gt;=7,", "&amp;$A1086&amp;"-"&amp;TEXT(($D1086-$C1086+1)+6,"00"),"")&amp;IF($C1086&gt;=8,", "&amp;$A1086&amp;"-"&amp;TEXT(($D1086-$C1086+1)+7,"00"),"")&amp;IF($C1086&gt;=9,", "&amp;$A1086&amp;"-"&amp;TEXT(($D1086-$C1086+1)+8,"00"),"")&amp;IF($C1086&gt;=10,", "&amp;$A1086&amp;"-"&amp;TEXT(($D1086-$C1086+1)+9,"00"),"")&amp;IF($C1086&gt;=11,", "&amp;$A1086&amp;"-"&amp;TEXT(($D1086-$C1086+1)+10,"00"),"")&amp;IF($C1086&gt;=12,", "&amp;$A1086&amp;"-"&amp;TEXT(($D1086-$C1086+1)+11,"00"),"")&amp;IF($C1086&gt;=13,", "&amp;$A1086&amp;"-"&amp;TEXT(($D1086-$C1086+1)+12,"00"),"")&amp;IF($C1086&gt;=14,", "&amp;$A1086&amp;"-"&amp;TEXT(($D1086-$C1086+1)+13,"00"),"")&amp;IF($C1086&gt;=15,", "&amp;$A1086&amp;"-"&amp;TEXT(($D1086-$C1086+1)+14,"00"),"")&amp;IF($C1086&gt;=16,", "&amp;$A1086&amp;"-"&amp;TEXT(($D1086-$C1086+1)+15,"00"),"")&amp;IF($C1086&gt;=17,", "&amp;$A1086&amp;"-"&amp;TEXT(($D1086-$C1086+1)+16,"00"),"")&amp;IF($C1086&gt;=18,", "&amp;$A1086&amp;"-"&amp;TEXT(($D1086-$C1086+1)+17,"00"),"")&amp;IF($C1086&gt;=19,", "&amp;$A1086&amp;"-"&amp;TEXT(($D1086-$C1086+1)+18,"00"),"")&amp;IF($C1086&gt;=20,", "&amp;$A1086&amp;"-"&amp;TEXT(($D1086-$C1086+1)+19,"00"),"")&amp;IF($C1086&gt;=21,", "&amp;$A1086&amp;"-"&amp;TEXT(($D1086-$C1086+1)+20,"00"),"")&amp;IF($C1086&gt;=22,", "&amp;$A1086&amp;"-"&amp;TEXT(($D1086-$C1086+1)+21,"00"),"")&amp;IF($C1086&gt;=23,", "&amp;$A1086&amp;"-"&amp;TEXT(($D1086-$C1086+1)+22,"00"),"")&amp;IF($C1086&gt;=24,", "&amp;$A1086&amp;"-"&amp;TEXT(($D1086-$C1086+1)+23,"00"),"")&amp;IF($C1086&gt;=25,", "&amp;$A1086&amp;"-"&amp;TEXT(($D1086-$C1086+1)+24,"00"),""))</f>
        <v/>
      </c>
      <c r="G1086">
        <f>IF($A1086="","",IF($E1086=1,$F1086,IF($F1086="",$G1085,IF($G1085="",$F1086,$G1085&amp;", "&amp;$F1086))))</f>
        <v/>
      </c>
      <c r="H1086">
        <f>IF($A1086="","",$A1086&amp;" ("&amp;$C1086&amp;")")</f>
        <v/>
      </c>
      <c r="I1086">
        <f>IF($A1086="","",IF($E1086=1,$H1086,$I1085&amp;", "&amp;$H1086))</f>
        <v/>
      </c>
      <c r="J1086">
        <f>IF($A1086="","",IF($E1086=1,$B1086,""))</f>
        <v/>
      </c>
      <c r="K1086">
        <f>IF($A1086="","",IF(COUNTIF($B$2:$B1086,$B1086)=COUNTIF($B$2:$B$1601,$B1086),$B1086,""))</f>
        <v/>
      </c>
    </row>
    <row r="1087">
      <c r="A1087">
        <f>IF('TMP Paste'!$E1087="","",'TMP Paste'!$E1087)</f>
        <v/>
      </c>
      <c r="B1087">
        <f>IF($A1087="","",COUNTIF('TMP Paste'!$B$2:$B1087,"?*"))</f>
        <v/>
      </c>
      <c r="C1087">
        <f>IF($A1087="","",IFERROR('TMP Paste'!$M1087*1,0))</f>
        <v/>
      </c>
      <c r="D1087">
        <f>IF($A1087="","",SUMIF($B$2:$B1087,$B1087,$C$2:$C1087))</f>
        <v/>
      </c>
      <c r="E1087">
        <f>IF($A1087="",0,IF('TMP Paste'!$B1087="",0,1))</f>
        <v/>
      </c>
      <c r="F1087">
        <f>IF(OR($A1087="",$C1087&lt;1),"",$A1087&amp;"-"&amp;TEXT(($D1087-$C1087+1),"00")&amp;IF($C1087&gt;=2,", "&amp;$A1087&amp;"-"&amp;TEXT(($D1087-$C1087+1)+1,"00"),"")&amp;IF($C1087&gt;=3,", "&amp;$A1087&amp;"-"&amp;TEXT(($D1087-$C1087+1)+2,"00"),"")&amp;IF($C1087&gt;=4,", "&amp;$A1087&amp;"-"&amp;TEXT(($D1087-$C1087+1)+3,"00"),"")&amp;IF($C1087&gt;=5,", "&amp;$A1087&amp;"-"&amp;TEXT(($D1087-$C1087+1)+4,"00"),"")&amp;IF($C1087&gt;=6,", "&amp;$A1087&amp;"-"&amp;TEXT(($D1087-$C1087+1)+5,"00"),"")&amp;IF($C1087&gt;=7,", "&amp;$A1087&amp;"-"&amp;TEXT(($D1087-$C1087+1)+6,"00"),"")&amp;IF($C1087&gt;=8,", "&amp;$A1087&amp;"-"&amp;TEXT(($D1087-$C1087+1)+7,"00"),"")&amp;IF($C1087&gt;=9,", "&amp;$A1087&amp;"-"&amp;TEXT(($D1087-$C1087+1)+8,"00"),"")&amp;IF($C1087&gt;=10,", "&amp;$A1087&amp;"-"&amp;TEXT(($D1087-$C1087+1)+9,"00"),"")&amp;IF($C1087&gt;=11,", "&amp;$A1087&amp;"-"&amp;TEXT(($D1087-$C1087+1)+10,"00"),"")&amp;IF($C1087&gt;=12,", "&amp;$A1087&amp;"-"&amp;TEXT(($D1087-$C1087+1)+11,"00"),"")&amp;IF($C1087&gt;=13,", "&amp;$A1087&amp;"-"&amp;TEXT(($D1087-$C1087+1)+12,"00"),"")&amp;IF($C1087&gt;=14,", "&amp;$A1087&amp;"-"&amp;TEXT(($D1087-$C1087+1)+13,"00"),"")&amp;IF($C1087&gt;=15,", "&amp;$A1087&amp;"-"&amp;TEXT(($D1087-$C1087+1)+14,"00"),"")&amp;IF($C1087&gt;=16,", "&amp;$A1087&amp;"-"&amp;TEXT(($D1087-$C1087+1)+15,"00"),"")&amp;IF($C1087&gt;=17,", "&amp;$A1087&amp;"-"&amp;TEXT(($D1087-$C1087+1)+16,"00"),"")&amp;IF($C1087&gt;=18,", "&amp;$A1087&amp;"-"&amp;TEXT(($D1087-$C1087+1)+17,"00"),"")&amp;IF($C1087&gt;=19,", "&amp;$A1087&amp;"-"&amp;TEXT(($D1087-$C1087+1)+18,"00"),"")&amp;IF($C1087&gt;=20,", "&amp;$A1087&amp;"-"&amp;TEXT(($D1087-$C1087+1)+19,"00"),"")&amp;IF($C1087&gt;=21,", "&amp;$A1087&amp;"-"&amp;TEXT(($D1087-$C1087+1)+20,"00"),"")&amp;IF($C1087&gt;=22,", "&amp;$A1087&amp;"-"&amp;TEXT(($D1087-$C1087+1)+21,"00"),"")&amp;IF($C1087&gt;=23,", "&amp;$A1087&amp;"-"&amp;TEXT(($D1087-$C1087+1)+22,"00"),"")&amp;IF($C1087&gt;=24,", "&amp;$A1087&amp;"-"&amp;TEXT(($D1087-$C1087+1)+23,"00"),"")&amp;IF($C1087&gt;=25,", "&amp;$A1087&amp;"-"&amp;TEXT(($D1087-$C1087+1)+24,"00"),""))</f>
        <v/>
      </c>
      <c r="G1087">
        <f>IF($A1087="","",IF($E1087=1,$F1087,IF($F1087="",$G1086,IF($G1086="",$F1087,$G1086&amp;", "&amp;$F1087))))</f>
        <v/>
      </c>
      <c r="H1087">
        <f>IF($A1087="","",$A1087&amp;" ("&amp;$C1087&amp;")")</f>
        <v/>
      </c>
      <c r="I1087">
        <f>IF($A1087="","",IF($E1087=1,$H1087,$I1086&amp;", "&amp;$H1087))</f>
        <v/>
      </c>
      <c r="J1087">
        <f>IF($A1087="","",IF($E1087=1,$B1087,""))</f>
        <v/>
      </c>
      <c r="K1087">
        <f>IF($A1087="","",IF(COUNTIF($B$2:$B1087,$B1087)=COUNTIF($B$2:$B$1601,$B1087),$B1087,""))</f>
        <v/>
      </c>
    </row>
    <row r="1088">
      <c r="A1088">
        <f>IF('TMP Paste'!$E1088="","",'TMP Paste'!$E1088)</f>
        <v/>
      </c>
      <c r="B1088">
        <f>IF($A1088="","",COUNTIF('TMP Paste'!$B$2:$B1088,"?*"))</f>
        <v/>
      </c>
      <c r="C1088">
        <f>IF($A1088="","",IFERROR('TMP Paste'!$M1088*1,0))</f>
        <v/>
      </c>
      <c r="D1088">
        <f>IF($A1088="","",SUMIF($B$2:$B1088,$B1088,$C$2:$C1088))</f>
        <v/>
      </c>
      <c r="E1088">
        <f>IF($A1088="",0,IF('TMP Paste'!$B1088="",0,1))</f>
        <v/>
      </c>
      <c r="F1088">
        <f>IF(OR($A1088="",$C1088&lt;1),"",$A1088&amp;"-"&amp;TEXT(($D1088-$C1088+1),"00")&amp;IF($C1088&gt;=2,", "&amp;$A1088&amp;"-"&amp;TEXT(($D1088-$C1088+1)+1,"00"),"")&amp;IF($C1088&gt;=3,", "&amp;$A1088&amp;"-"&amp;TEXT(($D1088-$C1088+1)+2,"00"),"")&amp;IF($C1088&gt;=4,", "&amp;$A1088&amp;"-"&amp;TEXT(($D1088-$C1088+1)+3,"00"),"")&amp;IF($C1088&gt;=5,", "&amp;$A1088&amp;"-"&amp;TEXT(($D1088-$C1088+1)+4,"00"),"")&amp;IF($C1088&gt;=6,", "&amp;$A1088&amp;"-"&amp;TEXT(($D1088-$C1088+1)+5,"00"),"")&amp;IF($C1088&gt;=7,", "&amp;$A1088&amp;"-"&amp;TEXT(($D1088-$C1088+1)+6,"00"),"")&amp;IF($C1088&gt;=8,", "&amp;$A1088&amp;"-"&amp;TEXT(($D1088-$C1088+1)+7,"00"),"")&amp;IF($C1088&gt;=9,", "&amp;$A1088&amp;"-"&amp;TEXT(($D1088-$C1088+1)+8,"00"),"")&amp;IF($C1088&gt;=10,", "&amp;$A1088&amp;"-"&amp;TEXT(($D1088-$C1088+1)+9,"00"),"")&amp;IF($C1088&gt;=11,", "&amp;$A1088&amp;"-"&amp;TEXT(($D1088-$C1088+1)+10,"00"),"")&amp;IF($C1088&gt;=12,", "&amp;$A1088&amp;"-"&amp;TEXT(($D1088-$C1088+1)+11,"00"),"")&amp;IF($C1088&gt;=13,", "&amp;$A1088&amp;"-"&amp;TEXT(($D1088-$C1088+1)+12,"00"),"")&amp;IF($C1088&gt;=14,", "&amp;$A1088&amp;"-"&amp;TEXT(($D1088-$C1088+1)+13,"00"),"")&amp;IF($C1088&gt;=15,", "&amp;$A1088&amp;"-"&amp;TEXT(($D1088-$C1088+1)+14,"00"),"")&amp;IF($C1088&gt;=16,", "&amp;$A1088&amp;"-"&amp;TEXT(($D1088-$C1088+1)+15,"00"),"")&amp;IF($C1088&gt;=17,", "&amp;$A1088&amp;"-"&amp;TEXT(($D1088-$C1088+1)+16,"00"),"")&amp;IF($C1088&gt;=18,", "&amp;$A1088&amp;"-"&amp;TEXT(($D1088-$C1088+1)+17,"00"),"")&amp;IF($C1088&gt;=19,", "&amp;$A1088&amp;"-"&amp;TEXT(($D1088-$C1088+1)+18,"00"),"")&amp;IF($C1088&gt;=20,", "&amp;$A1088&amp;"-"&amp;TEXT(($D1088-$C1088+1)+19,"00"),"")&amp;IF($C1088&gt;=21,", "&amp;$A1088&amp;"-"&amp;TEXT(($D1088-$C1088+1)+20,"00"),"")&amp;IF($C1088&gt;=22,", "&amp;$A1088&amp;"-"&amp;TEXT(($D1088-$C1088+1)+21,"00"),"")&amp;IF($C1088&gt;=23,", "&amp;$A1088&amp;"-"&amp;TEXT(($D1088-$C1088+1)+22,"00"),"")&amp;IF($C1088&gt;=24,", "&amp;$A1088&amp;"-"&amp;TEXT(($D1088-$C1088+1)+23,"00"),"")&amp;IF($C1088&gt;=25,", "&amp;$A1088&amp;"-"&amp;TEXT(($D1088-$C1088+1)+24,"00"),""))</f>
        <v/>
      </c>
      <c r="G1088">
        <f>IF($A1088="","",IF($E1088=1,$F1088,IF($F1088="",$G1087,IF($G1087="",$F1088,$G1087&amp;", "&amp;$F1088))))</f>
        <v/>
      </c>
      <c r="H1088">
        <f>IF($A1088="","",$A1088&amp;" ("&amp;$C1088&amp;")")</f>
        <v/>
      </c>
      <c r="I1088">
        <f>IF($A1088="","",IF($E1088=1,$H1088,$I1087&amp;", "&amp;$H1088))</f>
        <v/>
      </c>
      <c r="J1088">
        <f>IF($A1088="","",IF($E1088=1,$B1088,""))</f>
        <v/>
      </c>
      <c r="K1088">
        <f>IF($A1088="","",IF(COUNTIF($B$2:$B1088,$B1088)=COUNTIF($B$2:$B$1601,$B1088),$B1088,""))</f>
        <v/>
      </c>
    </row>
    <row r="1089">
      <c r="A1089">
        <f>IF('TMP Paste'!$E1089="","",'TMP Paste'!$E1089)</f>
        <v/>
      </c>
      <c r="B1089">
        <f>IF($A1089="","",COUNTIF('TMP Paste'!$B$2:$B1089,"?*"))</f>
        <v/>
      </c>
      <c r="C1089">
        <f>IF($A1089="","",IFERROR('TMP Paste'!$M1089*1,0))</f>
        <v/>
      </c>
      <c r="D1089">
        <f>IF($A1089="","",SUMIF($B$2:$B1089,$B1089,$C$2:$C1089))</f>
        <v/>
      </c>
      <c r="E1089">
        <f>IF($A1089="",0,IF('TMP Paste'!$B1089="",0,1))</f>
        <v/>
      </c>
      <c r="F1089">
        <f>IF(OR($A1089="",$C1089&lt;1),"",$A1089&amp;"-"&amp;TEXT(($D1089-$C1089+1),"00")&amp;IF($C1089&gt;=2,", "&amp;$A1089&amp;"-"&amp;TEXT(($D1089-$C1089+1)+1,"00"),"")&amp;IF($C1089&gt;=3,", "&amp;$A1089&amp;"-"&amp;TEXT(($D1089-$C1089+1)+2,"00"),"")&amp;IF($C1089&gt;=4,", "&amp;$A1089&amp;"-"&amp;TEXT(($D1089-$C1089+1)+3,"00"),"")&amp;IF($C1089&gt;=5,", "&amp;$A1089&amp;"-"&amp;TEXT(($D1089-$C1089+1)+4,"00"),"")&amp;IF($C1089&gt;=6,", "&amp;$A1089&amp;"-"&amp;TEXT(($D1089-$C1089+1)+5,"00"),"")&amp;IF($C1089&gt;=7,", "&amp;$A1089&amp;"-"&amp;TEXT(($D1089-$C1089+1)+6,"00"),"")&amp;IF($C1089&gt;=8,", "&amp;$A1089&amp;"-"&amp;TEXT(($D1089-$C1089+1)+7,"00"),"")&amp;IF($C1089&gt;=9,", "&amp;$A1089&amp;"-"&amp;TEXT(($D1089-$C1089+1)+8,"00"),"")&amp;IF($C1089&gt;=10,", "&amp;$A1089&amp;"-"&amp;TEXT(($D1089-$C1089+1)+9,"00"),"")&amp;IF($C1089&gt;=11,", "&amp;$A1089&amp;"-"&amp;TEXT(($D1089-$C1089+1)+10,"00"),"")&amp;IF($C1089&gt;=12,", "&amp;$A1089&amp;"-"&amp;TEXT(($D1089-$C1089+1)+11,"00"),"")&amp;IF($C1089&gt;=13,", "&amp;$A1089&amp;"-"&amp;TEXT(($D1089-$C1089+1)+12,"00"),"")&amp;IF($C1089&gt;=14,", "&amp;$A1089&amp;"-"&amp;TEXT(($D1089-$C1089+1)+13,"00"),"")&amp;IF($C1089&gt;=15,", "&amp;$A1089&amp;"-"&amp;TEXT(($D1089-$C1089+1)+14,"00"),"")&amp;IF($C1089&gt;=16,", "&amp;$A1089&amp;"-"&amp;TEXT(($D1089-$C1089+1)+15,"00"),"")&amp;IF($C1089&gt;=17,", "&amp;$A1089&amp;"-"&amp;TEXT(($D1089-$C1089+1)+16,"00"),"")&amp;IF($C1089&gt;=18,", "&amp;$A1089&amp;"-"&amp;TEXT(($D1089-$C1089+1)+17,"00"),"")&amp;IF($C1089&gt;=19,", "&amp;$A1089&amp;"-"&amp;TEXT(($D1089-$C1089+1)+18,"00"),"")&amp;IF($C1089&gt;=20,", "&amp;$A1089&amp;"-"&amp;TEXT(($D1089-$C1089+1)+19,"00"),"")&amp;IF($C1089&gt;=21,", "&amp;$A1089&amp;"-"&amp;TEXT(($D1089-$C1089+1)+20,"00"),"")&amp;IF($C1089&gt;=22,", "&amp;$A1089&amp;"-"&amp;TEXT(($D1089-$C1089+1)+21,"00"),"")&amp;IF($C1089&gt;=23,", "&amp;$A1089&amp;"-"&amp;TEXT(($D1089-$C1089+1)+22,"00"),"")&amp;IF($C1089&gt;=24,", "&amp;$A1089&amp;"-"&amp;TEXT(($D1089-$C1089+1)+23,"00"),"")&amp;IF($C1089&gt;=25,", "&amp;$A1089&amp;"-"&amp;TEXT(($D1089-$C1089+1)+24,"00"),""))</f>
        <v/>
      </c>
      <c r="G1089">
        <f>IF($A1089="","",IF($E1089=1,$F1089,IF($F1089="",$G1088,IF($G1088="",$F1089,$G1088&amp;", "&amp;$F1089))))</f>
        <v/>
      </c>
      <c r="H1089">
        <f>IF($A1089="","",$A1089&amp;" ("&amp;$C1089&amp;")")</f>
        <v/>
      </c>
      <c r="I1089">
        <f>IF($A1089="","",IF($E1089=1,$H1089,$I1088&amp;", "&amp;$H1089))</f>
        <v/>
      </c>
      <c r="J1089">
        <f>IF($A1089="","",IF($E1089=1,$B1089,""))</f>
        <v/>
      </c>
      <c r="K1089">
        <f>IF($A1089="","",IF(COUNTIF($B$2:$B1089,$B1089)=COUNTIF($B$2:$B$1601,$B1089),$B1089,""))</f>
        <v/>
      </c>
    </row>
    <row r="1090">
      <c r="A1090">
        <f>IF('TMP Paste'!$E1090="","",'TMP Paste'!$E1090)</f>
        <v/>
      </c>
      <c r="B1090">
        <f>IF($A1090="","",COUNTIF('TMP Paste'!$B$2:$B1090,"?*"))</f>
        <v/>
      </c>
      <c r="C1090">
        <f>IF($A1090="","",IFERROR('TMP Paste'!$M1090*1,0))</f>
        <v/>
      </c>
      <c r="D1090">
        <f>IF($A1090="","",SUMIF($B$2:$B1090,$B1090,$C$2:$C1090))</f>
        <v/>
      </c>
      <c r="E1090">
        <f>IF($A1090="",0,IF('TMP Paste'!$B1090="",0,1))</f>
        <v/>
      </c>
      <c r="F1090">
        <f>IF(OR($A1090="",$C1090&lt;1),"",$A1090&amp;"-"&amp;TEXT(($D1090-$C1090+1),"00")&amp;IF($C1090&gt;=2,", "&amp;$A1090&amp;"-"&amp;TEXT(($D1090-$C1090+1)+1,"00"),"")&amp;IF($C1090&gt;=3,", "&amp;$A1090&amp;"-"&amp;TEXT(($D1090-$C1090+1)+2,"00"),"")&amp;IF($C1090&gt;=4,", "&amp;$A1090&amp;"-"&amp;TEXT(($D1090-$C1090+1)+3,"00"),"")&amp;IF($C1090&gt;=5,", "&amp;$A1090&amp;"-"&amp;TEXT(($D1090-$C1090+1)+4,"00"),"")&amp;IF($C1090&gt;=6,", "&amp;$A1090&amp;"-"&amp;TEXT(($D1090-$C1090+1)+5,"00"),"")&amp;IF($C1090&gt;=7,", "&amp;$A1090&amp;"-"&amp;TEXT(($D1090-$C1090+1)+6,"00"),"")&amp;IF($C1090&gt;=8,", "&amp;$A1090&amp;"-"&amp;TEXT(($D1090-$C1090+1)+7,"00"),"")&amp;IF($C1090&gt;=9,", "&amp;$A1090&amp;"-"&amp;TEXT(($D1090-$C1090+1)+8,"00"),"")&amp;IF($C1090&gt;=10,", "&amp;$A1090&amp;"-"&amp;TEXT(($D1090-$C1090+1)+9,"00"),"")&amp;IF($C1090&gt;=11,", "&amp;$A1090&amp;"-"&amp;TEXT(($D1090-$C1090+1)+10,"00"),"")&amp;IF($C1090&gt;=12,", "&amp;$A1090&amp;"-"&amp;TEXT(($D1090-$C1090+1)+11,"00"),"")&amp;IF($C1090&gt;=13,", "&amp;$A1090&amp;"-"&amp;TEXT(($D1090-$C1090+1)+12,"00"),"")&amp;IF($C1090&gt;=14,", "&amp;$A1090&amp;"-"&amp;TEXT(($D1090-$C1090+1)+13,"00"),"")&amp;IF($C1090&gt;=15,", "&amp;$A1090&amp;"-"&amp;TEXT(($D1090-$C1090+1)+14,"00"),"")&amp;IF($C1090&gt;=16,", "&amp;$A1090&amp;"-"&amp;TEXT(($D1090-$C1090+1)+15,"00"),"")&amp;IF($C1090&gt;=17,", "&amp;$A1090&amp;"-"&amp;TEXT(($D1090-$C1090+1)+16,"00"),"")&amp;IF($C1090&gt;=18,", "&amp;$A1090&amp;"-"&amp;TEXT(($D1090-$C1090+1)+17,"00"),"")&amp;IF($C1090&gt;=19,", "&amp;$A1090&amp;"-"&amp;TEXT(($D1090-$C1090+1)+18,"00"),"")&amp;IF($C1090&gt;=20,", "&amp;$A1090&amp;"-"&amp;TEXT(($D1090-$C1090+1)+19,"00"),"")&amp;IF($C1090&gt;=21,", "&amp;$A1090&amp;"-"&amp;TEXT(($D1090-$C1090+1)+20,"00"),"")&amp;IF($C1090&gt;=22,", "&amp;$A1090&amp;"-"&amp;TEXT(($D1090-$C1090+1)+21,"00"),"")&amp;IF($C1090&gt;=23,", "&amp;$A1090&amp;"-"&amp;TEXT(($D1090-$C1090+1)+22,"00"),"")&amp;IF($C1090&gt;=24,", "&amp;$A1090&amp;"-"&amp;TEXT(($D1090-$C1090+1)+23,"00"),"")&amp;IF($C1090&gt;=25,", "&amp;$A1090&amp;"-"&amp;TEXT(($D1090-$C1090+1)+24,"00"),""))</f>
        <v/>
      </c>
      <c r="G1090">
        <f>IF($A1090="","",IF($E1090=1,$F1090,IF($F1090="",$G1089,IF($G1089="",$F1090,$G1089&amp;", "&amp;$F1090))))</f>
        <v/>
      </c>
      <c r="H1090">
        <f>IF($A1090="","",$A1090&amp;" ("&amp;$C1090&amp;")")</f>
        <v/>
      </c>
      <c r="I1090">
        <f>IF($A1090="","",IF($E1090=1,$H1090,$I1089&amp;", "&amp;$H1090))</f>
        <v/>
      </c>
      <c r="J1090">
        <f>IF($A1090="","",IF($E1090=1,$B1090,""))</f>
        <v/>
      </c>
      <c r="K1090">
        <f>IF($A1090="","",IF(COUNTIF($B$2:$B1090,$B1090)=COUNTIF($B$2:$B$1601,$B1090),$B1090,""))</f>
        <v/>
      </c>
    </row>
    <row r="1091">
      <c r="A1091">
        <f>IF('TMP Paste'!$E1091="","",'TMP Paste'!$E1091)</f>
        <v/>
      </c>
      <c r="B1091">
        <f>IF($A1091="","",COUNTIF('TMP Paste'!$B$2:$B1091,"?*"))</f>
        <v/>
      </c>
      <c r="C1091">
        <f>IF($A1091="","",IFERROR('TMP Paste'!$M1091*1,0))</f>
        <v/>
      </c>
      <c r="D1091">
        <f>IF($A1091="","",SUMIF($B$2:$B1091,$B1091,$C$2:$C1091))</f>
        <v/>
      </c>
      <c r="E1091">
        <f>IF($A1091="",0,IF('TMP Paste'!$B1091="",0,1))</f>
        <v/>
      </c>
      <c r="F1091">
        <f>IF(OR($A1091="",$C1091&lt;1),"",$A1091&amp;"-"&amp;TEXT(($D1091-$C1091+1),"00")&amp;IF($C1091&gt;=2,", "&amp;$A1091&amp;"-"&amp;TEXT(($D1091-$C1091+1)+1,"00"),"")&amp;IF($C1091&gt;=3,", "&amp;$A1091&amp;"-"&amp;TEXT(($D1091-$C1091+1)+2,"00"),"")&amp;IF($C1091&gt;=4,", "&amp;$A1091&amp;"-"&amp;TEXT(($D1091-$C1091+1)+3,"00"),"")&amp;IF($C1091&gt;=5,", "&amp;$A1091&amp;"-"&amp;TEXT(($D1091-$C1091+1)+4,"00"),"")&amp;IF($C1091&gt;=6,", "&amp;$A1091&amp;"-"&amp;TEXT(($D1091-$C1091+1)+5,"00"),"")&amp;IF($C1091&gt;=7,", "&amp;$A1091&amp;"-"&amp;TEXT(($D1091-$C1091+1)+6,"00"),"")&amp;IF($C1091&gt;=8,", "&amp;$A1091&amp;"-"&amp;TEXT(($D1091-$C1091+1)+7,"00"),"")&amp;IF($C1091&gt;=9,", "&amp;$A1091&amp;"-"&amp;TEXT(($D1091-$C1091+1)+8,"00"),"")&amp;IF($C1091&gt;=10,", "&amp;$A1091&amp;"-"&amp;TEXT(($D1091-$C1091+1)+9,"00"),"")&amp;IF($C1091&gt;=11,", "&amp;$A1091&amp;"-"&amp;TEXT(($D1091-$C1091+1)+10,"00"),"")&amp;IF($C1091&gt;=12,", "&amp;$A1091&amp;"-"&amp;TEXT(($D1091-$C1091+1)+11,"00"),"")&amp;IF($C1091&gt;=13,", "&amp;$A1091&amp;"-"&amp;TEXT(($D1091-$C1091+1)+12,"00"),"")&amp;IF($C1091&gt;=14,", "&amp;$A1091&amp;"-"&amp;TEXT(($D1091-$C1091+1)+13,"00"),"")&amp;IF($C1091&gt;=15,", "&amp;$A1091&amp;"-"&amp;TEXT(($D1091-$C1091+1)+14,"00"),"")&amp;IF($C1091&gt;=16,", "&amp;$A1091&amp;"-"&amp;TEXT(($D1091-$C1091+1)+15,"00"),"")&amp;IF($C1091&gt;=17,", "&amp;$A1091&amp;"-"&amp;TEXT(($D1091-$C1091+1)+16,"00"),"")&amp;IF($C1091&gt;=18,", "&amp;$A1091&amp;"-"&amp;TEXT(($D1091-$C1091+1)+17,"00"),"")&amp;IF($C1091&gt;=19,", "&amp;$A1091&amp;"-"&amp;TEXT(($D1091-$C1091+1)+18,"00"),"")&amp;IF($C1091&gt;=20,", "&amp;$A1091&amp;"-"&amp;TEXT(($D1091-$C1091+1)+19,"00"),"")&amp;IF($C1091&gt;=21,", "&amp;$A1091&amp;"-"&amp;TEXT(($D1091-$C1091+1)+20,"00"),"")&amp;IF($C1091&gt;=22,", "&amp;$A1091&amp;"-"&amp;TEXT(($D1091-$C1091+1)+21,"00"),"")&amp;IF($C1091&gt;=23,", "&amp;$A1091&amp;"-"&amp;TEXT(($D1091-$C1091+1)+22,"00"),"")&amp;IF($C1091&gt;=24,", "&amp;$A1091&amp;"-"&amp;TEXT(($D1091-$C1091+1)+23,"00"),"")&amp;IF($C1091&gt;=25,", "&amp;$A1091&amp;"-"&amp;TEXT(($D1091-$C1091+1)+24,"00"),""))</f>
        <v/>
      </c>
      <c r="G1091">
        <f>IF($A1091="","",IF($E1091=1,$F1091,IF($F1091="",$G1090,IF($G1090="",$F1091,$G1090&amp;", "&amp;$F1091))))</f>
        <v/>
      </c>
      <c r="H1091">
        <f>IF($A1091="","",$A1091&amp;" ("&amp;$C1091&amp;")")</f>
        <v/>
      </c>
      <c r="I1091">
        <f>IF($A1091="","",IF($E1091=1,$H1091,$I1090&amp;", "&amp;$H1091))</f>
        <v/>
      </c>
      <c r="J1091">
        <f>IF($A1091="","",IF($E1091=1,$B1091,""))</f>
        <v/>
      </c>
      <c r="K1091">
        <f>IF($A1091="","",IF(COUNTIF($B$2:$B1091,$B1091)=COUNTIF($B$2:$B$1601,$B1091),$B1091,""))</f>
        <v/>
      </c>
    </row>
    <row r="1092">
      <c r="A1092">
        <f>IF('TMP Paste'!$E1092="","",'TMP Paste'!$E1092)</f>
        <v/>
      </c>
      <c r="B1092">
        <f>IF($A1092="","",COUNTIF('TMP Paste'!$B$2:$B1092,"?*"))</f>
        <v/>
      </c>
      <c r="C1092">
        <f>IF($A1092="","",IFERROR('TMP Paste'!$M1092*1,0))</f>
        <v/>
      </c>
      <c r="D1092">
        <f>IF($A1092="","",SUMIF($B$2:$B1092,$B1092,$C$2:$C1092))</f>
        <v/>
      </c>
      <c r="E1092">
        <f>IF($A1092="",0,IF('TMP Paste'!$B1092="",0,1))</f>
        <v/>
      </c>
      <c r="F1092">
        <f>IF(OR($A1092="",$C1092&lt;1),"",$A1092&amp;"-"&amp;TEXT(($D1092-$C1092+1),"00")&amp;IF($C1092&gt;=2,", "&amp;$A1092&amp;"-"&amp;TEXT(($D1092-$C1092+1)+1,"00"),"")&amp;IF($C1092&gt;=3,", "&amp;$A1092&amp;"-"&amp;TEXT(($D1092-$C1092+1)+2,"00"),"")&amp;IF($C1092&gt;=4,", "&amp;$A1092&amp;"-"&amp;TEXT(($D1092-$C1092+1)+3,"00"),"")&amp;IF($C1092&gt;=5,", "&amp;$A1092&amp;"-"&amp;TEXT(($D1092-$C1092+1)+4,"00"),"")&amp;IF($C1092&gt;=6,", "&amp;$A1092&amp;"-"&amp;TEXT(($D1092-$C1092+1)+5,"00"),"")&amp;IF($C1092&gt;=7,", "&amp;$A1092&amp;"-"&amp;TEXT(($D1092-$C1092+1)+6,"00"),"")&amp;IF($C1092&gt;=8,", "&amp;$A1092&amp;"-"&amp;TEXT(($D1092-$C1092+1)+7,"00"),"")&amp;IF($C1092&gt;=9,", "&amp;$A1092&amp;"-"&amp;TEXT(($D1092-$C1092+1)+8,"00"),"")&amp;IF($C1092&gt;=10,", "&amp;$A1092&amp;"-"&amp;TEXT(($D1092-$C1092+1)+9,"00"),"")&amp;IF($C1092&gt;=11,", "&amp;$A1092&amp;"-"&amp;TEXT(($D1092-$C1092+1)+10,"00"),"")&amp;IF($C1092&gt;=12,", "&amp;$A1092&amp;"-"&amp;TEXT(($D1092-$C1092+1)+11,"00"),"")&amp;IF($C1092&gt;=13,", "&amp;$A1092&amp;"-"&amp;TEXT(($D1092-$C1092+1)+12,"00"),"")&amp;IF($C1092&gt;=14,", "&amp;$A1092&amp;"-"&amp;TEXT(($D1092-$C1092+1)+13,"00"),"")&amp;IF($C1092&gt;=15,", "&amp;$A1092&amp;"-"&amp;TEXT(($D1092-$C1092+1)+14,"00"),"")&amp;IF($C1092&gt;=16,", "&amp;$A1092&amp;"-"&amp;TEXT(($D1092-$C1092+1)+15,"00"),"")&amp;IF($C1092&gt;=17,", "&amp;$A1092&amp;"-"&amp;TEXT(($D1092-$C1092+1)+16,"00"),"")&amp;IF($C1092&gt;=18,", "&amp;$A1092&amp;"-"&amp;TEXT(($D1092-$C1092+1)+17,"00"),"")&amp;IF($C1092&gt;=19,", "&amp;$A1092&amp;"-"&amp;TEXT(($D1092-$C1092+1)+18,"00"),"")&amp;IF($C1092&gt;=20,", "&amp;$A1092&amp;"-"&amp;TEXT(($D1092-$C1092+1)+19,"00"),"")&amp;IF($C1092&gt;=21,", "&amp;$A1092&amp;"-"&amp;TEXT(($D1092-$C1092+1)+20,"00"),"")&amp;IF($C1092&gt;=22,", "&amp;$A1092&amp;"-"&amp;TEXT(($D1092-$C1092+1)+21,"00"),"")&amp;IF($C1092&gt;=23,", "&amp;$A1092&amp;"-"&amp;TEXT(($D1092-$C1092+1)+22,"00"),"")&amp;IF($C1092&gt;=24,", "&amp;$A1092&amp;"-"&amp;TEXT(($D1092-$C1092+1)+23,"00"),"")&amp;IF($C1092&gt;=25,", "&amp;$A1092&amp;"-"&amp;TEXT(($D1092-$C1092+1)+24,"00"),""))</f>
        <v/>
      </c>
      <c r="G1092">
        <f>IF($A1092="","",IF($E1092=1,$F1092,IF($F1092="",$G1091,IF($G1091="",$F1092,$G1091&amp;", "&amp;$F1092))))</f>
        <v/>
      </c>
      <c r="H1092">
        <f>IF($A1092="","",$A1092&amp;" ("&amp;$C1092&amp;")")</f>
        <v/>
      </c>
      <c r="I1092">
        <f>IF($A1092="","",IF($E1092=1,$H1092,$I1091&amp;", "&amp;$H1092))</f>
        <v/>
      </c>
      <c r="J1092">
        <f>IF($A1092="","",IF($E1092=1,$B1092,""))</f>
        <v/>
      </c>
      <c r="K1092">
        <f>IF($A1092="","",IF(COUNTIF($B$2:$B1092,$B1092)=COUNTIF($B$2:$B$1601,$B1092),$B1092,""))</f>
        <v/>
      </c>
    </row>
    <row r="1093">
      <c r="A1093">
        <f>IF('TMP Paste'!$E1093="","",'TMP Paste'!$E1093)</f>
        <v/>
      </c>
      <c r="B1093">
        <f>IF($A1093="","",COUNTIF('TMP Paste'!$B$2:$B1093,"?*"))</f>
        <v/>
      </c>
      <c r="C1093">
        <f>IF($A1093="","",IFERROR('TMP Paste'!$M1093*1,0))</f>
        <v/>
      </c>
      <c r="D1093">
        <f>IF($A1093="","",SUMIF($B$2:$B1093,$B1093,$C$2:$C1093))</f>
        <v/>
      </c>
      <c r="E1093">
        <f>IF($A1093="",0,IF('TMP Paste'!$B1093="",0,1))</f>
        <v/>
      </c>
      <c r="F1093">
        <f>IF(OR($A1093="",$C1093&lt;1),"",$A1093&amp;"-"&amp;TEXT(($D1093-$C1093+1),"00")&amp;IF($C1093&gt;=2,", "&amp;$A1093&amp;"-"&amp;TEXT(($D1093-$C1093+1)+1,"00"),"")&amp;IF($C1093&gt;=3,", "&amp;$A1093&amp;"-"&amp;TEXT(($D1093-$C1093+1)+2,"00"),"")&amp;IF($C1093&gt;=4,", "&amp;$A1093&amp;"-"&amp;TEXT(($D1093-$C1093+1)+3,"00"),"")&amp;IF($C1093&gt;=5,", "&amp;$A1093&amp;"-"&amp;TEXT(($D1093-$C1093+1)+4,"00"),"")&amp;IF($C1093&gt;=6,", "&amp;$A1093&amp;"-"&amp;TEXT(($D1093-$C1093+1)+5,"00"),"")&amp;IF($C1093&gt;=7,", "&amp;$A1093&amp;"-"&amp;TEXT(($D1093-$C1093+1)+6,"00"),"")&amp;IF($C1093&gt;=8,", "&amp;$A1093&amp;"-"&amp;TEXT(($D1093-$C1093+1)+7,"00"),"")&amp;IF($C1093&gt;=9,", "&amp;$A1093&amp;"-"&amp;TEXT(($D1093-$C1093+1)+8,"00"),"")&amp;IF($C1093&gt;=10,", "&amp;$A1093&amp;"-"&amp;TEXT(($D1093-$C1093+1)+9,"00"),"")&amp;IF($C1093&gt;=11,", "&amp;$A1093&amp;"-"&amp;TEXT(($D1093-$C1093+1)+10,"00"),"")&amp;IF($C1093&gt;=12,", "&amp;$A1093&amp;"-"&amp;TEXT(($D1093-$C1093+1)+11,"00"),"")&amp;IF($C1093&gt;=13,", "&amp;$A1093&amp;"-"&amp;TEXT(($D1093-$C1093+1)+12,"00"),"")&amp;IF($C1093&gt;=14,", "&amp;$A1093&amp;"-"&amp;TEXT(($D1093-$C1093+1)+13,"00"),"")&amp;IF($C1093&gt;=15,", "&amp;$A1093&amp;"-"&amp;TEXT(($D1093-$C1093+1)+14,"00"),"")&amp;IF($C1093&gt;=16,", "&amp;$A1093&amp;"-"&amp;TEXT(($D1093-$C1093+1)+15,"00"),"")&amp;IF($C1093&gt;=17,", "&amp;$A1093&amp;"-"&amp;TEXT(($D1093-$C1093+1)+16,"00"),"")&amp;IF($C1093&gt;=18,", "&amp;$A1093&amp;"-"&amp;TEXT(($D1093-$C1093+1)+17,"00"),"")&amp;IF($C1093&gt;=19,", "&amp;$A1093&amp;"-"&amp;TEXT(($D1093-$C1093+1)+18,"00"),"")&amp;IF($C1093&gt;=20,", "&amp;$A1093&amp;"-"&amp;TEXT(($D1093-$C1093+1)+19,"00"),"")&amp;IF($C1093&gt;=21,", "&amp;$A1093&amp;"-"&amp;TEXT(($D1093-$C1093+1)+20,"00"),"")&amp;IF($C1093&gt;=22,", "&amp;$A1093&amp;"-"&amp;TEXT(($D1093-$C1093+1)+21,"00"),"")&amp;IF($C1093&gt;=23,", "&amp;$A1093&amp;"-"&amp;TEXT(($D1093-$C1093+1)+22,"00"),"")&amp;IF($C1093&gt;=24,", "&amp;$A1093&amp;"-"&amp;TEXT(($D1093-$C1093+1)+23,"00"),"")&amp;IF($C1093&gt;=25,", "&amp;$A1093&amp;"-"&amp;TEXT(($D1093-$C1093+1)+24,"00"),""))</f>
        <v/>
      </c>
      <c r="G1093">
        <f>IF($A1093="","",IF($E1093=1,$F1093,IF($F1093="",$G1092,IF($G1092="",$F1093,$G1092&amp;", "&amp;$F1093))))</f>
        <v/>
      </c>
      <c r="H1093">
        <f>IF($A1093="","",$A1093&amp;" ("&amp;$C1093&amp;")")</f>
        <v/>
      </c>
      <c r="I1093">
        <f>IF($A1093="","",IF($E1093=1,$H1093,$I1092&amp;", "&amp;$H1093))</f>
        <v/>
      </c>
      <c r="J1093">
        <f>IF($A1093="","",IF($E1093=1,$B1093,""))</f>
        <v/>
      </c>
      <c r="K1093">
        <f>IF($A1093="","",IF(COUNTIF($B$2:$B1093,$B1093)=COUNTIF($B$2:$B$1601,$B1093),$B1093,""))</f>
        <v/>
      </c>
    </row>
    <row r="1094">
      <c r="A1094">
        <f>IF('TMP Paste'!$E1094="","",'TMP Paste'!$E1094)</f>
        <v/>
      </c>
      <c r="B1094">
        <f>IF($A1094="","",COUNTIF('TMP Paste'!$B$2:$B1094,"?*"))</f>
        <v/>
      </c>
      <c r="C1094">
        <f>IF($A1094="","",IFERROR('TMP Paste'!$M1094*1,0))</f>
        <v/>
      </c>
      <c r="D1094">
        <f>IF($A1094="","",SUMIF($B$2:$B1094,$B1094,$C$2:$C1094))</f>
        <v/>
      </c>
      <c r="E1094">
        <f>IF($A1094="",0,IF('TMP Paste'!$B1094="",0,1))</f>
        <v/>
      </c>
      <c r="F1094">
        <f>IF(OR($A1094="",$C1094&lt;1),"",$A1094&amp;"-"&amp;TEXT(($D1094-$C1094+1),"00")&amp;IF($C1094&gt;=2,", "&amp;$A1094&amp;"-"&amp;TEXT(($D1094-$C1094+1)+1,"00"),"")&amp;IF($C1094&gt;=3,", "&amp;$A1094&amp;"-"&amp;TEXT(($D1094-$C1094+1)+2,"00"),"")&amp;IF($C1094&gt;=4,", "&amp;$A1094&amp;"-"&amp;TEXT(($D1094-$C1094+1)+3,"00"),"")&amp;IF($C1094&gt;=5,", "&amp;$A1094&amp;"-"&amp;TEXT(($D1094-$C1094+1)+4,"00"),"")&amp;IF($C1094&gt;=6,", "&amp;$A1094&amp;"-"&amp;TEXT(($D1094-$C1094+1)+5,"00"),"")&amp;IF($C1094&gt;=7,", "&amp;$A1094&amp;"-"&amp;TEXT(($D1094-$C1094+1)+6,"00"),"")&amp;IF($C1094&gt;=8,", "&amp;$A1094&amp;"-"&amp;TEXT(($D1094-$C1094+1)+7,"00"),"")&amp;IF($C1094&gt;=9,", "&amp;$A1094&amp;"-"&amp;TEXT(($D1094-$C1094+1)+8,"00"),"")&amp;IF($C1094&gt;=10,", "&amp;$A1094&amp;"-"&amp;TEXT(($D1094-$C1094+1)+9,"00"),"")&amp;IF($C1094&gt;=11,", "&amp;$A1094&amp;"-"&amp;TEXT(($D1094-$C1094+1)+10,"00"),"")&amp;IF($C1094&gt;=12,", "&amp;$A1094&amp;"-"&amp;TEXT(($D1094-$C1094+1)+11,"00"),"")&amp;IF($C1094&gt;=13,", "&amp;$A1094&amp;"-"&amp;TEXT(($D1094-$C1094+1)+12,"00"),"")&amp;IF($C1094&gt;=14,", "&amp;$A1094&amp;"-"&amp;TEXT(($D1094-$C1094+1)+13,"00"),"")&amp;IF($C1094&gt;=15,", "&amp;$A1094&amp;"-"&amp;TEXT(($D1094-$C1094+1)+14,"00"),"")&amp;IF($C1094&gt;=16,", "&amp;$A1094&amp;"-"&amp;TEXT(($D1094-$C1094+1)+15,"00"),"")&amp;IF($C1094&gt;=17,", "&amp;$A1094&amp;"-"&amp;TEXT(($D1094-$C1094+1)+16,"00"),"")&amp;IF($C1094&gt;=18,", "&amp;$A1094&amp;"-"&amp;TEXT(($D1094-$C1094+1)+17,"00"),"")&amp;IF($C1094&gt;=19,", "&amp;$A1094&amp;"-"&amp;TEXT(($D1094-$C1094+1)+18,"00"),"")&amp;IF($C1094&gt;=20,", "&amp;$A1094&amp;"-"&amp;TEXT(($D1094-$C1094+1)+19,"00"),"")&amp;IF($C1094&gt;=21,", "&amp;$A1094&amp;"-"&amp;TEXT(($D1094-$C1094+1)+20,"00"),"")&amp;IF($C1094&gt;=22,", "&amp;$A1094&amp;"-"&amp;TEXT(($D1094-$C1094+1)+21,"00"),"")&amp;IF($C1094&gt;=23,", "&amp;$A1094&amp;"-"&amp;TEXT(($D1094-$C1094+1)+22,"00"),"")&amp;IF($C1094&gt;=24,", "&amp;$A1094&amp;"-"&amp;TEXT(($D1094-$C1094+1)+23,"00"),"")&amp;IF($C1094&gt;=25,", "&amp;$A1094&amp;"-"&amp;TEXT(($D1094-$C1094+1)+24,"00"),""))</f>
        <v/>
      </c>
      <c r="G1094">
        <f>IF($A1094="","",IF($E1094=1,$F1094,IF($F1094="",$G1093,IF($G1093="",$F1094,$G1093&amp;", "&amp;$F1094))))</f>
        <v/>
      </c>
      <c r="H1094">
        <f>IF($A1094="","",$A1094&amp;" ("&amp;$C1094&amp;")")</f>
        <v/>
      </c>
      <c r="I1094">
        <f>IF($A1094="","",IF($E1094=1,$H1094,$I1093&amp;", "&amp;$H1094))</f>
        <v/>
      </c>
      <c r="J1094">
        <f>IF($A1094="","",IF($E1094=1,$B1094,""))</f>
        <v/>
      </c>
      <c r="K1094">
        <f>IF($A1094="","",IF(COUNTIF($B$2:$B1094,$B1094)=COUNTIF($B$2:$B$1601,$B1094),$B1094,""))</f>
        <v/>
      </c>
    </row>
    <row r="1095">
      <c r="A1095">
        <f>IF('TMP Paste'!$E1095="","",'TMP Paste'!$E1095)</f>
        <v/>
      </c>
      <c r="B1095">
        <f>IF($A1095="","",COUNTIF('TMP Paste'!$B$2:$B1095,"?*"))</f>
        <v/>
      </c>
      <c r="C1095">
        <f>IF($A1095="","",IFERROR('TMP Paste'!$M1095*1,0))</f>
        <v/>
      </c>
      <c r="D1095">
        <f>IF($A1095="","",SUMIF($B$2:$B1095,$B1095,$C$2:$C1095))</f>
        <v/>
      </c>
      <c r="E1095">
        <f>IF($A1095="",0,IF('TMP Paste'!$B1095="",0,1))</f>
        <v/>
      </c>
      <c r="F1095">
        <f>IF(OR($A1095="",$C1095&lt;1),"",$A1095&amp;"-"&amp;TEXT(($D1095-$C1095+1),"00")&amp;IF($C1095&gt;=2,", "&amp;$A1095&amp;"-"&amp;TEXT(($D1095-$C1095+1)+1,"00"),"")&amp;IF($C1095&gt;=3,", "&amp;$A1095&amp;"-"&amp;TEXT(($D1095-$C1095+1)+2,"00"),"")&amp;IF($C1095&gt;=4,", "&amp;$A1095&amp;"-"&amp;TEXT(($D1095-$C1095+1)+3,"00"),"")&amp;IF($C1095&gt;=5,", "&amp;$A1095&amp;"-"&amp;TEXT(($D1095-$C1095+1)+4,"00"),"")&amp;IF($C1095&gt;=6,", "&amp;$A1095&amp;"-"&amp;TEXT(($D1095-$C1095+1)+5,"00"),"")&amp;IF($C1095&gt;=7,", "&amp;$A1095&amp;"-"&amp;TEXT(($D1095-$C1095+1)+6,"00"),"")&amp;IF($C1095&gt;=8,", "&amp;$A1095&amp;"-"&amp;TEXT(($D1095-$C1095+1)+7,"00"),"")&amp;IF($C1095&gt;=9,", "&amp;$A1095&amp;"-"&amp;TEXT(($D1095-$C1095+1)+8,"00"),"")&amp;IF($C1095&gt;=10,", "&amp;$A1095&amp;"-"&amp;TEXT(($D1095-$C1095+1)+9,"00"),"")&amp;IF($C1095&gt;=11,", "&amp;$A1095&amp;"-"&amp;TEXT(($D1095-$C1095+1)+10,"00"),"")&amp;IF($C1095&gt;=12,", "&amp;$A1095&amp;"-"&amp;TEXT(($D1095-$C1095+1)+11,"00"),"")&amp;IF($C1095&gt;=13,", "&amp;$A1095&amp;"-"&amp;TEXT(($D1095-$C1095+1)+12,"00"),"")&amp;IF($C1095&gt;=14,", "&amp;$A1095&amp;"-"&amp;TEXT(($D1095-$C1095+1)+13,"00"),"")&amp;IF($C1095&gt;=15,", "&amp;$A1095&amp;"-"&amp;TEXT(($D1095-$C1095+1)+14,"00"),"")&amp;IF($C1095&gt;=16,", "&amp;$A1095&amp;"-"&amp;TEXT(($D1095-$C1095+1)+15,"00"),"")&amp;IF($C1095&gt;=17,", "&amp;$A1095&amp;"-"&amp;TEXT(($D1095-$C1095+1)+16,"00"),"")&amp;IF($C1095&gt;=18,", "&amp;$A1095&amp;"-"&amp;TEXT(($D1095-$C1095+1)+17,"00"),"")&amp;IF($C1095&gt;=19,", "&amp;$A1095&amp;"-"&amp;TEXT(($D1095-$C1095+1)+18,"00"),"")&amp;IF($C1095&gt;=20,", "&amp;$A1095&amp;"-"&amp;TEXT(($D1095-$C1095+1)+19,"00"),"")&amp;IF($C1095&gt;=21,", "&amp;$A1095&amp;"-"&amp;TEXT(($D1095-$C1095+1)+20,"00"),"")&amp;IF($C1095&gt;=22,", "&amp;$A1095&amp;"-"&amp;TEXT(($D1095-$C1095+1)+21,"00"),"")&amp;IF($C1095&gt;=23,", "&amp;$A1095&amp;"-"&amp;TEXT(($D1095-$C1095+1)+22,"00"),"")&amp;IF($C1095&gt;=24,", "&amp;$A1095&amp;"-"&amp;TEXT(($D1095-$C1095+1)+23,"00"),"")&amp;IF($C1095&gt;=25,", "&amp;$A1095&amp;"-"&amp;TEXT(($D1095-$C1095+1)+24,"00"),""))</f>
        <v/>
      </c>
      <c r="G1095">
        <f>IF($A1095="","",IF($E1095=1,$F1095,IF($F1095="",$G1094,IF($G1094="",$F1095,$G1094&amp;", "&amp;$F1095))))</f>
        <v/>
      </c>
      <c r="H1095">
        <f>IF($A1095="","",$A1095&amp;" ("&amp;$C1095&amp;")")</f>
        <v/>
      </c>
      <c r="I1095">
        <f>IF($A1095="","",IF($E1095=1,$H1095,$I1094&amp;", "&amp;$H1095))</f>
        <v/>
      </c>
      <c r="J1095">
        <f>IF($A1095="","",IF($E1095=1,$B1095,""))</f>
        <v/>
      </c>
      <c r="K1095">
        <f>IF($A1095="","",IF(COUNTIF($B$2:$B1095,$B1095)=COUNTIF($B$2:$B$1601,$B1095),$B1095,""))</f>
        <v/>
      </c>
    </row>
    <row r="1096">
      <c r="A1096">
        <f>IF('TMP Paste'!$E1096="","",'TMP Paste'!$E1096)</f>
        <v/>
      </c>
      <c r="B1096">
        <f>IF($A1096="","",COUNTIF('TMP Paste'!$B$2:$B1096,"?*"))</f>
        <v/>
      </c>
      <c r="C1096">
        <f>IF($A1096="","",IFERROR('TMP Paste'!$M1096*1,0))</f>
        <v/>
      </c>
      <c r="D1096">
        <f>IF($A1096="","",SUMIF($B$2:$B1096,$B1096,$C$2:$C1096))</f>
        <v/>
      </c>
      <c r="E1096">
        <f>IF($A1096="",0,IF('TMP Paste'!$B1096="",0,1))</f>
        <v/>
      </c>
      <c r="F1096">
        <f>IF(OR($A1096="",$C1096&lt;1),"",$A1096&amp;"-"&amp;TEXT(($D1096-$C1096+1),"00")&amp;IF($C1096&gt;=2,", "&amp;$A1096&amp;"-"&amp;TEXT(($D1096-$C1096+1)+1,"00"),"")&amp;IF($C1096&gt;=3,", "&amp;$A1096&amp;"-"&amp;TEXT(($D1096-$C1096+1)+2,"00"),"")&amp;IF($C1096&gt;=4,", "&amp;$A1096&amp;"-"&amp;TEXT(($D1096-$C1096+1)+3,"00"),"")&amp;IF($C1096&gt;=5,", "&amp;$A1096&amp;"-"&amp;TEXT(($D1096-$C1096+1)+4,"00"),"")&amp;IF($C1096&gt;=6,", "&amp;$A1096&amp;"-"&amp;TEXT(($D1096-$C1096+1)+5,"00"),"")&amp;IF($C1096&gt;=7,", "&amp;$A1096&amp;"-"&amp;TEXT(($D1096-$C1096+1)+6,"00"),"")&amp;IF($C1096&gt;=8,", "&amp;$A1096&amp;"-"&amp;TEXT(($D1096-$C1096+1)+7,"00"),"")&amp;IF($C1096&gt;=9,", "&amp;$A1096&amp;"-"&amp;TEXT(($D1096-$C1096+1)+8,"00"),"")&amp;IF($C1096&gt;=10,", "&amp;$A1096&amp;"-"&amp;TEXT(($D1096-$C1096+1)+9,"00"),"")&amp;IF($C1096&gt;=11,", "&amp;$A1096&amp;"-"&amp;TEXT(($D1096-$C1096+1)+10,"00"),"")&amp;IF($C1096&gt;=12,", "&amp;$A1096&amp;"-"&amp;TEXT(($D1096-$C1096+1)+11,"00"),"")&amp;IF($C1096&gt;=13,", "&amp;$A1096&amp;"-"&amp;TEXT(($D1096-$C1096+1)+12,"00"),"")&amp;IF($C1096&gt;=14,", "&amp;$A1096&amp;"-"&amp;TEXT(($D1096-$C1096+1)+13,"00"),"")&amp;IF($C1096&gt;=15,", "&amp;$A1096&amp;"-"&amp;TEXT(($D1096-$C1096+1)+14,"00"),"")&amp;IF($C1096&gt;=16,", "&amp;$A1096&amp;"-"&amp;TEXT(($D1096-$C1096+1)+15,"00"),"")&amp;IF($C1096&gt;=17,", "&amp;$A1096&amp;"-"&amp;TEXT(($D1096-$C1096+1)+16,"00"),"")&amp;IF($C1096&gt;=18,", "&amp;$A1096&amp;"-"&amp;TEXT(($D1096-$C1096+1)+17,"00"),"")&amp;IF($C1096&gt;=19,", "&amp;$A1096&amp;"-"&amp;TEXT(($D1096-$C1096+1)+18,"00"),"")&amp;IF($C1096&gt;=20,", "&amp;$A1096&amp;"-"&amp;TEXT(($D1096-$C1096+1)+19,"00"),"")&amp;IF($C1096&gt;=21,", "&amp;$A1096&amp;"-"&amp;TEXT(($D1096-$C1096+1)+20,"00"),"")&amp;IF($C1096&gt;=22,", "&amp;$A1096&amp;"-"&amp;TEXT(($D1096-$C1096+1)+21,"00"),"")&amp;IF($C1096&gt;=23,", "&amp;$A1096&amp;"-"&amp;TEXT(($D1096-$C1096+1)+22,"00"),"")&amp;IF($C1096&gt;=24,", "&amp;$A1096&amp;"-"&amp;TEXT(($D1096-$C1096+1)+23,"00"),"")&amp;IF($C1096&gt;=25,", "&amp;$A1096&amp;"-"&amp;TEXT(($D1096-$C1096+1)+24,"00"),""))</f>
        <v/>
      </c>
      <c r="G1096">
        <f>IF($A1096="","",IF($E1096=1,$F1096,IF($F1096="",$G1095,IF($G1095="",$F1096,$G1095&amp;", "&amp;$F1096))))</f>
        <v/>
      </c>
      <c r="H1096">
        <f>IF($A1096="","",$A1096&amp;" ("&amp;$C1096&amp;")")</f>
        <v/>
      </c>
      <c r="I1096">
        <f>IF($A1096="","",IF($E1096=1,$H1096,$I1095&amp;", "&amp;$H1096))</f>
        <v/>
      </c>
      <c r="J1096">
        <f>IF($A1096="","",IF($E1096=1,$B1096,""))</f>
        <v/>
      </c>
      <c r="K1096">
        <f>IF($A1096="","",IF(COUNTIF($B$2:$B1096,$B1096)=COUNTIF($B$2:$B$1601,$B1096),$B1096,""))</f>
        <v/>
      </c>
    </row>
    <row r="1097">
      <c r="A1097">
        <f>IF('TMP Paste'!$E1097="","",'TMP Paste'!$E1097)</f>
        <v/>
      </c>
      <c r="B1097">
        <f>IF($A1097="","",COUNTIF('TMP Paste'!$B$2:$B1097,"?*"))</f>
        <v/>
      </c>
      <c r="C1097">
        <f>IF($A1097="","",IFERROR('TMP Paste'!$M1097*1,0))</f>
        <v/>
      </c>
      <c r="D1097">
        <f>IF($A1097="","",SUMIF($B$2:$B1097,$B1097,$C$2:$C1097))</f>
        <v/>
      </c>
      <c r="E1097">
        <f>IF($A1097="",0,IF('TMP Paste'!$B1097="",0,1))</f>
        <v/>
      </c>
      <c r="F1097">
        <f>IF(OR($A1097="",$C1097&lt;1),"",$A1097&amp;"-"&amp;TEXT(($D1097-$C1097+1),"00")&amp;IF($C1097&gt;=2,", "&amp;$A1097&amp;"-"&amp;TEXT(($D1097-$C1097+1)+1,"00"),"")&amp;IF($C1097&gt;=3,", "&amp;$A1097&amp;"-"&amp;TEXT(($D1097-$C1097+1)+2,"00"),"")&amp;IF($C1097&gt;=4,", "&amp;$A1097&amp;"-"&amp;TEXT(($D1097-$C1097+1)+3,"00"),"")&amp;IF($C1097&gt;=5,", "&amp;$A1097&amp;"-"&amp;TEXT(($D1097-$C1097+1)+4,"00"),"")&amp;IF($C1097&gt;=6,", "&amp;$A1097&amp;"-"&amp;TEXT(($D1097-$C1097+1)+5,"00"),"")&amp;IF($C1097&gt;=7,", "&amp;$A1097&amp;"-"&amp;TEXT(($D1097-$C1097+1)+6,"00"),"")&amp;IF($C1097&gt;=8,", "&amp;$A1097&amp;"-"&amp;TEXT(($D1097-$C1097+1)+7,"00"),"")&amp;IF($C1097&gt;=9,", "&amp;$A1097&amp;"-"&amp;TEXT(($D1097-$C1097+1)+8,"00"),"")&amp;IF($C1097&gt;=10,", "&amp;$A1097&amp;"-"&amp;TEXT(($D1097-$C1097+1)+9,"00"),"")&amp;IF($C1097&gt;=11,", "&amp;$A1097&amp;"-"&amp;TEXT(($D1097-$C1097+1)+10,"00"),"")&amp;IF($C1097&gt;=12,", "&amp;$A1097&amp;"-"&amp;TEXT(($D1097-$C1097+1)+11,"00"),"")&amp;IF($C1097&gt;=13,", "&amp;$A1097&amp;"-"&amp;TEXT(($D1097-$C1097+1)+12,"00"),"")&amp;IF($C1097&gt;=14,", "&amp;$A1097&amp;"-"&amp;TEXT(($D1097-$C1097+1)+13,"00"),"")&amp;IF($C1097&gt;=15,", "&amp;$A1097&amp;"-"&amp;TEXT(($D1097-$C1097+1)+14,"00"),"")&amp;IF($C1097&gt;=16,", "&amp;$A1097&amp;"-"&amp;TEXT(($D1097-$C1097+1)+15,"00"),"")&amp;IF($C1097&gt;=17,", "&amp;$A1097&amp;"-"&amp;TEXT(($D1097-$C1097+1)+16,"00"),"")&amp;IF($C1097&gt;=18,", "&amp;$A1097&amp;"-"&amp;TEXT(($D1097-$C1097+1)+17,"00"),"")&amp;IF($C1097&gt;=19,", "&amp;$A1097&amp;"-"&amp;TEXT(($D1097-$C1097+1)+18,"00"),"")&amp;IF($C1097&gt;=20,", "&amp;$A1097&amp;"-"&amp;TEXT(($D1097-$C1097+1)+19,"00"),"")&amp;IF($C1097&gt;=21,", "&amp;$A1097&amp;"-"&amp;TEXT(($D1097-$C1097+1)+20,"00"),"")&amp;IF($C1097&gt;=22,", "&amp;$A1097&amp;"-"&amp;TEXT(($D1097-$C1097+1)+21,"00"),"")&amp;IF($C1097&gt;=23,", "&amp;$A1097&amp;"-"&amp;TEXT(($D1097-$C1097+1)+22,"00"),"")&amp;IF($C1097&gt;=24,", "&amp;$A1097&amp;"-"&amp;TEXT(($D1097-$C1097+1)+23,"00"),"")&amp;IF($C1097&gt;=25,", "&amp;$A1097&amp;"-"&amp;TEXT(($D1097-$C1097+1)+24,"00"),""))</f>
        <v/>
      </c>
      <c r="G1097">
        <f>IF($A1097="","",IF($E1097=1,$F1097,IF($F1097="",$G1096,IF($G1096="",$F1097,$G1096&amp;", "&amp;$F1097))))</f>
        <v/>
      </c>
      <c r="H1097">
        <f>IF($A1097="","",$A1097&amp;" ("&amp;$C1097&amp;")")</f>
        <v/>
      </c>
      <c r="I1097">
        <f>IF($A1097="","",IF($E1097=1,$H1097,$I1096&amp;", "&amp;$H1097))</f>
        <v/>
      </c>
      <c r="J1097">
        <f>IF($A1097="","",IF($E1097=1,$B1097,""))</f>
        <v/>
      </c>
      <c r="K1097">
        <f>IF($A1097="","",IF(COUNTIF($B$2:$B1097,$B1097)=COUNTIF($B$2:$B$1601,$B1097),$B1097,""))</f>
        <v/>
      </c>
    </row>
    <row r="1098">
      <c r="A1098">
        <f>IF('TMP Paste'!$E1098="","",'TMP Paste'!$E1098)</f>
        <v/>
      </c>
      <c r="B1098">
        <f>IF($A1098="","",COUNTIF('TMP Paste'!$B$2:$B1098,"?*"))</f>
        <v/>
      </c>
      <c r="C1098">
        <f>IF($A1098="","",IFERROR('TMP Paste'!$M1098*1,0))</f>
        <v/>
      </c>
      <c r="D1098">
        <f>IF($A1098="","",SUMIF($B$2:$B1098,$B1098,$C$2:$C1098))</f>
        <v/>
      </c>
      <c r="E1098">
        <f>IF($A1098="",0,IF('TMP Paste'!$B1098="",0,1))</f>
        <v/>
      </c>
      <c r="F1098">
        <f>IF(OR($A1098="",$C1098&lt;1),"",$A1098&amp;"-"&amp;TEXT(($D1098-$C1098+1),"00")&amp;IF($C1098&gt;=2,", "&amp;$A1098&amp;"-"&amp;TEXT(($D1098-$C1098+1)+1,"00"),"")&amp;IF($C1098&gt;=3,", "&amp;$A1098&amp;"-"&amp;TEXT(($D1098-$C1098+1)+2,"00"),"")&amp;IF($C1098&gt;=4,", "&amp;$A1098&amp;"-"&amp;TEXT(($D1098-$C1098+1)+3,"00"),"")&amp;IF($C1098&gt;=5,", "&amp;$A1098&amp;"-"&amp;TEXT(($D1098-$C1098+1)+4,"00"),"")&amp;IF($C1098&gt;=6,", "&amp;$A1098&amp;"-"&amp;TEXT(($D1098-$C1098+1)+5,"00"),"")&amp;IF($C1098&gt;=7,", "&amp;$A1098&amp;"-"&amp;TEXT(($D1098-$C1098+1)+6,"00"),"")&amp;IF($C1098&gt;=8,", "&amp;$A1098&amp;"-"&amp;TEXT(($D1098-$C1098+1)+7,"00"),"")&amp;IF($C1098&gt;=9,", "&amp;$A1098&amp;"-"&amp;TEXT(($D1098-$C1098+1)+8,"00"),"")&amp;IF($C1098&gt;=10,", "&amp;$A1098&amp;"-"&amp;TEXT(($D1098-$C1098+1)+9,"00"),"")&amp;IF($C1098&gt;=11,", "&amp;$A1098&amp;"-"&amp;TEXT(($D1098-$C1098+1)+10,"00"),"")&amp;IF($C1098&gt;=12,", "&amp;$A1098&amp;"-"&amp;TEXT(($D1098-$C1098+1)+11,"00"),"")&amp;IF($C1098&gt;=13,", "&amp;$A1098&amp;"-"&amp;TEXT(($D1098-$C1098+1)+12,"00"),"")&amp;IF($C1098&gt;=14,", "&amp;$A1098&amp;"-"&amp;TEXT(($D1098-$C1098+1)+13,"00"),"")&amp;IF($C1098&gt;=15,", "&amp;$A1098&amp;"-"&amp;TEXT(($D1098-$C1098+1)+14,"00"),"")&amp;IF($C1098&gt;=16,", "&amp;$A1098&amp;"-"&amp;TEXT(($D1098-$C1098+1)+15,"00"),"")&amp;IF($C1098&gt;=17,", "&amp;$A1098&amp;"-"&amp;TEXT(($D1098-$C1098+1)+16,"00"),"")&amp;IF($C1098&gt;=18,", "&amp;$A1098&amp;"-"&amp;TEXT(($D1098-$C1098+1)+17,"00"),"")&amp;IF($C1098&gt;=19,", "&amp;$A1098&amp;"-"&amp;TEXT(($D1098-$C1098+1)+18,"00"),"")&amp;IF($C1098&gt;=20,", "&amp;$A1098&amp;"-"&amp;TEXT(($D1098-$C1098+1)+19,"00"),"")&amp;IF($C1098&gt;=21,", "&amp;$A1098&amp;"-"&amp;TEXT(($D1098-$C1098+1)+20,"00"),"")&amp;IF($C1098&gt;=22,", "&amp;$A1098&amp;"-"&amp;TEXT(($D1098-$C1098+1)+21,"00"),"")&amp;IF($C1098&gt;=23,", "&amp;$A1098&amp;"-"&amp;TEXT(($D1098-$C1098+1)+22,"00"),"")&amp;IF($C1098&gt;=24,", "&amp;$A1098&amp;"-"&amp;TEXT(($D1098-$C1098+1)+23,"00"),"")&amp;IF($C1098&gt;=25,", "&amp;$A1098&amp;"-"&amp;TEXT(($D1098-$C1098+1)+24,"00"),""))</f>
        <v/>
      </c>
      <c r="G1098">
        <f>IF($A1098="","",IF($E1098=1,$F1098,IF($F1098="",$G1097,IF($G1097="",$F1098,$G1097&amp;", "&amp;$F1098))))</f>
        <v/>
      </c>
      <c r="H1098">
        <f>IF($A1098="","",$A1098&amp;" ("&amp;$C1098&amp;")")</f>
        <v/>
      </c>
      <c r="I1098">
        <f>IF($A1098="","",IF($E1098=1,$H1098,$I1097&amp;", "&amp;$H1098))</f>
        <v/>
      </c>
      <c r="J1098">
        <f>IF($A1098="","",IF($E1098=1,$B1098,""))</f>
        <v/>
      </c>
      <c r="K1098">
        <f>IF($A1098="","",IF(COUNTIF($B$2:$B1098,$B1098)=COUNTIF($B$2:$B$1601,$B1098),$B1098,""))</f>
        <v/>
      </c>
    </row>
    <row r="1099">
      <c r="A1099">
        <f>IF('TMP Paste'!$E1099="","",'TMP Paste'!$E1099)</f>
        <v/>
      </c>
      <c r="B1099">
        <f>IF($A1099="","",COUNTIF('TMP Paste'!$B$2:$B1099,"?*"))</f>
        <v/>
      </c>
      <c r="C1099">
        <f>IF($A1099="","",IFERROR('TMP Paste'!$M1099*1,0))</f>
        <v/>
      </c>
      <c r="D1099">
        <f>IF($A1099="","",SUMIF($B$2:$B1099,$B1099,$C$2:$C1099))</f>
        <v/>
      </c>
      <c r="E1099">
        <f>IF($A1099="",0,IF('TMP Paste'!$B1099="",0,1))</f>
        <v/>
      </c>
      <c r="F1099">
        <f>IF(OR($A1099="",$C1099&lt;1),"",$A1099&amp;"-"&amp;TEXT(($D1099-$C1099+1),"00")&amp;IF($C1099&gt;=2,", "&amp;$A1099&amp;"-"&amp;TEXT(($D1099-$C1099+1)+1,"00"),"")&amp;IF($C1099&gt;=3,", "&amp;$A1099&amp;"-"&amp;TEXT(($D1099-$C1099+1)+2,"00"),"")&amp;IF($C1099&gt;=4,", "&amp;$A1099&amp;"-"&amp;TEXT(($D1099-$C1099+1)+3,"00"),"")&amp;IF($C1099&gt;=5,", "&amp;$A1099&amp;"-"&amp;TEXT(($D1099-$C1099+1)+4,"00"),"")&amp;IF($C1099&gt;=6,", "&amp;$A1099&amp;"-"&amp;TEXT(($D1099-$C1099+1)+5,"00"),"")&amp;IF($C1099&gt;=7,", "&amp;$A1099&amp;"-"&amp;TEXT(($D1099-$C1099+1)+6,"00"),"")&amp;IF($C1099&gt;=8,", "&amp;$A1099&amp;"-"&amp;TEXT(($D1099-$C1099+1)+7,"00"),"")&amp;IF($C1099&gt;=9,", "&amp;$A1099&amp;"-"&amp;TEXT(($D1099-$C1099+1)+8,"00"),"")&amp;IF($C1099&gt;=10,", "&amp;$A1099&amp;"-"&amp;TEXT(($D1099-$C1099+1)+9,"00"),"")&amp;IF($C1099&gt;=11,", "&amp;$A1099&amp;"-"&amp;TEXT(($D1099-$C1099+1)+10,"00"),"")&amp;IF($C1099&gt;=12,", "&amp;$A1099&amp;"-"&amp;TEXT(($D1099-$C1099+1)+11,"00"),"")&amp;IF($C1099&gt;=13,", "&amp;$A1099&amp;"-"&amp;TEXT(($D1099-$C1099+1)+12,"00"),"")&amp;IF($C1099&gt;=14,", "&amp;$A1099&amp;"-"&amp;TEXT(($D1099-$C1099+1)+13,"00"),"")&amp;IF($C1099&gt;=15,", "&amp;$A1099&amp;"-"&amp;TEXT(($D1099-$C1099+1)+14,"00"),"")&amp;IF($C1099&gt;=16,", "&amp;$A1099&amp;"-"&amp;TEXT(($D1099-$C1099+1)+15,"00"),"")&amp;IF($C1099&gt;=17,", "&amp;$A1099&amp;"-"&amp;TEXT(($D1099-$C1099+1)+16,"00"),"")&amp;IF($C1099&gt;=18,", "&amp;$A1099&amp;"-"&amp;TEXT(($D1099-$C1099+1)+17,"00"),"")&amp;IF($C1099&gt;=19,", "&amp;$A1099&amp;"-"&amp;TEXT(($D1099-$C1099+1)+18,"00"),"")&amp;IF($C1099&gt;=20,", "&amp;$A1099&amp;"-"&amp;TEXT(($D1099-$C1099+1)+19,"00"),"")&amp;IF($C1099&gt;=21,", "&amp;$A1099&amp;"-"&amp;TEXT(($D1099-$C1099+1)+20,"00"),"")&amp;IF($C1099&gt;=22,", "&amp;$A1099&amp;"-"&amp;TEXT(($D1099-$C1099+1)+21,"00"),"")&amp;IF($C1099&gt;=23,", "&amp;$A1099&amp;"-"&amp;TEXT(($D1099-$C1099+1)+22,"00"),"")&amp;IF($C1099&gt;=24,", "&amp;$A1099&amp;"-"&amp;TEXT(($D1099-$C1099+1)+23,"00"),"")&amp;IF($C1099&gt;=25,", "&amp;$A1099&amp;"-"&amp;TEXT(($D1099-$C1099+1)+24,"00"),""))</f>
        <v/>
      </c>
      <c r="G1099">
        <f>IF($A1099="","",IF($E1099=1,$F1099,IF($F1099="",$G1098,IF($G1098="",$F1099,$G1098&amp;", "&amp;$F1099))))</f>
        <v/>
      </c>
      <c r="H1099">
        <f>IF($A1099="","",$A1099&amp;" ("&amp;$C1099&amp;")")</f>
        <v/>
      </c>
      <c r="I1099">
        <f>IF($A1099="","",IF($E1099=1,$H1099,$I1098&amp;", "&amp;$H1099))</f>
        <v/>
      </c>
      <c r="J1099">
        <f>IF($A1099="","",IF($E1099=1,$B1099,""))</f>
        <v/>
      </c>
      <c r="K1099">
        <f>IF($A1099="","",IF(COUNTIF($B$2:$B1099,$B1099)=COUNTIF($B$2:$B$1601,$B1099),$B1099,""))</f>
        <v/>
      </c>
    </row>
    <row r="1100">
      <c r="A1100">
        <f>IF('TMP Paste'!$E1100="","",'TMP Paste'!$E1100)</f>
        <v/>
      </c>
      <c r="B1100">
        <f>IF($A1100="","",COUNTIF('TMP Paste'!$B$2:$B1100,"?*"))</f>
        <v/>
      </c>
      <c r="C1100">
        <f>IF($A1100="","",IFERROR('TMP Paste'!$M1100*1,0))</f>
        <v/>
      </c>
      <c r="D1100">
        <f>IF($A1100="","",SUMIF($B$2:$B1100,$B1100,$C$2:$C1100))</f>
        <v/>
      </c>
      <c r="E1100">
        <f>IF($A1100="",0,IF('TMP Paste'!$B1100="",0,1))</f>
        <v/>
      </c>
      <c r="F1100">
        <f>IF(OR($A1100="",$C1100&lt;1),"",$A1100&amp;"-"&amp;TEXT(($D1100-$C1100+1),"00")&amp;IF($C1100&gt;=2,", "&amp;$A1100&amp;"-"&amp;TEXT(($D1100-$C1100+1)+1,"00"),"")&amp;IF($C1100&gt;=3,", "&amp;$A1100&amp;"-"&amp;TEXT(($D1100-$C1100+1)+2,"00"),"")&amp;IF($C1100&gt;=4,", "&amp;$A1100&amp;"-"&amp;TEXT(($D1100-$C1100+1)+3,"00"),"")&amp;IF($C1100&gt;=5,", "&amp;$A1100&amp;"-"&amp;TEXT(($D1100-$C1100+1)+4,"00"),"")&amp;IF($C1100&gt;=6,", "&amp;$A1100&amp;"-"&amp;TEXT(($D1100-$C1100+1)+5,"00"),"")&amp;IF($C1100&gt;=7,", "&amp;$A1100&amp;"-"&amp;TEXT(($D1100-$C1100+1)+6,"00"),"")&amp;IF($C1100&gt;=8,", "&amp;$A1100&amp;"-"&amp;TEXT(($D1100-$C1100+1)+7,"00"),"")&amp;IF($C1100&gt;=9,", "&amp;$A1100&amp;"-"&amp;TEXT(($D1100-$C1100+1)+8,"00"),"")&amp;IF($C1100&gt;=10,", "&amp;$A1100&amp;"-"&amp;TEXT(($D1100-$C1100+1)+9,"00"),"")&amp;IF($C1100&gt;=11,", "&amp;$A1100&amp;"-"&amp;TEXT(($D1100-$C1100+1)+10,"00"),"")&amp;IF($C1100&gt;=12,", "&amp;$A1100&amp;"-"&amp;TEXT(($D1100-$C1100+1)+11,"00"),"")&amp;IF($C1100&gt;=13,", "&amp;$A1100&amp;"-"&amp;TEXT(($D1100-$C1100+1)+12,"00"),"")&amp;IF($C1100&gt;=14,", "&amp;$A1100&amp;"-"&amp;TEXT(($D1100-$C1100+1)+13,"00"),"")&amp;IF($C1100&gt;=15,", "&amp;$A1100&amp;"-"&amp;TEXT(($D1100-$C1100+1)+14,"00"),"")&amp;IF($C1100&gt;=16,", "&amp;$A1100&amp;"-"&amp;TEXT(($D1100-$C1100+1)+15,"00"),"")&amp;IF($C1100&gt;=17,", "&amp;$A1100&amp;"-"&amp;TEXT(($D1100-$C1100+1)+16,"00"),"")&amp;IF($C1100&gt;=18,", "&amp;$A1100&amp;"-"&amp;TEXT(($D1100-$C1100+1)+17,"00"),"")&amp;IF($C1100&gt;=19,", "&amp;$A1100&amp;"-"&amp;TEXT(($D1100-$C1100+1)+18,"00"),"")&amp;IF($C1100&gt;=20,", "&amp;$A1100&amp;"-"&amp;TEXT(($D1100-$C1100+1)+19,"00"),"")&amp;IF($C1100&gt;=21,", "&amp;$A1100&amp;"-"&amp;TEXT(($D1100-$C1100+1)+20,"00"),"")&amp;IF($C1100&gt;=22,", "&amp;$A1100&amp;"-"&amp;TEXT(($D1100-$C1100+1)+21,"00"),"")&amp;IF($C1100&gt;=23,", "&amp;$A1100&amp;"-"&amp;TEXT(($D1100-$C1100+1)+22,"00"),"")&amp;IF($C1100&gt;=24,", "&amp;$A1100&amp;"-"&amp;TEXT(($D1100-$C1100+1)+23,"00"),"")&amp;IF($C1100&gt;=25,", "&amp;$A1100&amp;"-"&amp;TEXT(($D1100-$C1100+1)+24,"00"),""))</f>
        <v/>
      </c>
      <c r="G1100">
        <f>IF($A1100="","",IF($E1100=1,$F1100,IF($F1100="",$G1099,IF($G1099="",$F1100,$G1099&amp;", "&amp;$F1100))))</f>
        <v/>
      </c>
      <c r="H1100">
        <f>IF($A1100="","",$A1100&amp;" ("&amp;$C1100&amp;")")</f>
        <v/>
      </c>
      <c r="I1100">
        <f>IF($A1100="","",IF($E1100=1,$H1100,$I1099&amp;", "&amp;$H1100))</f>
        <v/>
      </c>
      <c r="J1100">
        <f>IF($A1100="","",IF($E1100=1,$B1100,""))</f>
        <v/>
      </c>
      <c r="K1100">
        <f>IF($A1100="","",IF(COUNTIF($B$2:$B1100,$B1100)=COUNTIF($B$2:$B$1601,$B1100),$B1100,""))</f>
        <v/>
      </c>
    </row>
    <row r="1101">
      <c r="A1101">
        <f>IF('TMP Paste'!$E1101="","",'TMP Paste'!$E1101)</f>
        <v/>
      </c>
      <c r="B1101">
        <f>IF($A1101="","",COUNTIF('TMP Paste'!$B$2:$B1101,"?*"))</f>
        <v/>
      </c>
      <c r="C1101">
        <f>IF($A1101="","",IFERROR('TMP Paste'!$M1101*1,0))</f>
        <v/>
      </c>
      <c r="D1101">
        <f>IF($A1101="","",SUMIF($B$2:$B1101,$B1101,$C$2:$C1101))</f>
        <v/>
      </c>
      <c r="E1101">
        <f>IF($A1101="",0,IF('TMP Paste'!$B1101="",0,1))</f>
        <v/>
      </c>
      <c r="F1101">
        <f>IF(OR($A1101="",$C1101&lt;1),"",$A1101&amp;"-"&amp;TEXT(($D1101-$C1101+1),"00")&amp;IF($C1101&gt;=2,", "&amp;$A1101&amp;"-"&amp;TEXT(($D1101-$C1101+1)+1,"00"),"")&amp;IF($C1101&gt;=3,", "&amp;$A1101&amp;"-"&amp;TEXT(($D1101-$C1101+1)+2,"00"),"")&amp;IF($C1101&gt;=4,", "&amp;$A1101&amp;"-"&amp;TEXT(($D1101-$C1101+1)+3,"00"),"")&amp;IF($C1101&gt;=5,", "&amp;$A1101&amp;"-"&amp;TEXT(($D1101-$C1101+1)+4,"00"),"")&amp;IF($C1101&gt;=6,", "&amp;$A1101&amp;"-"&amp;TEXT(($D1101-$C1101+1)+5,"00"),"")&amp;IF($C1101&gt;=7,", "&amp;$A1101&amp;"-"&amp;TEXT(($D1101-$C1101+1)+6,"00"),"")&amp;IF($C1101&gt;=8,", "&amp;$A1101&amp;"-"&amp;TEXT(($D1101-$C1101+1)+7,"00"),"")&amp;IF($C1101&gt;=9,", "&amp;$A1101&amp;"-"&amp;TEXT(($D1101-$C1101+1)+8,"00"),"")&amp;IF($C1101&gt;=10,", "&amp;$A1101&amp;"-"&amp;TEXT(($D1101-$C1101+1)+9,"00"),"")&amp;IF($C1101&gt;=11,", "&amp;$A1101&amp;"-"&amp;TEXT(($D1101-$C1101+1)+10,"00"),"")&amp;IF($C1101&gt;=12,", "&amp;$A1101&amp;"-"&amp;TEXT(($D1101-$C1101+1)+11,"00"),"")&amp;IF($C1101&gt;=13,", "&amp;$A1101&amp;"-"&amp;TEXT(($D1101-$C1101+1)+12,"00"),"")&amp;IF($C1101&gt;=14,", "&amp;$A1101&amp;"-"&amp;TEXT(($D1101-$C1101+1)+13,"00"),"")&amp;IF($C1101&gt;=15,", "&amp;$A1101&amp;"-"&amp;TEXT(($D1101-$C1101+1)+14,"00"),"")&amp;IF($C1101&gt;=16,", "&amp;$A1101&amp;"-"&amp;TEXT(($D1101-$C1101+1)+15,"00"),"")&amp;IF($C1101&gt;=17,", "&amp;$A1101&amp;"-"&amp;TEXT(($D1101-$C1101+1)+16,"00"),"")&amp;IF($C1101&gt;=18,", "&amp;$A1101&amp;"-"&amp;TEXT(($D1101-$C1101+1)+17,"00"),"")&amp;IF($C1101&gt;=19,", "&amp;$A1101&amp;"-"&amp;TEXT(($D1101-$C1101+1)+18,"00"),"")&amp;IF($C1101&gt;=20,", "&amp;$A1101&amp;"-"&amp;TEXT(($D1101-$C1101+1)+19,"00"),"")&amp;IF($C1101&gt;=21,", "&amp;$A1101&amp;"-"&amp;TEXT(($D1101-$C1101+1)+20,"00"),"")&amp;IF($C1101&gt;=22,", "&amp;$A1101&amp;"-"&amp;TEXT(($D1101-$C1101+1)+21,"00"),"")&amp;IF($C1101&gt;=23,", "&amp;$A1101&amp;"-"&amp;TEXT(($D1101-$C1101+1)+22,"00"),"")&amp;IF($C1101&gt;=24,", "&amp;$A1101&amp;"-"&amp;TEXT(($D1101-$C1101+1)+23,"00"),"")&amp;IF($C1101&gt;=25,", "&amp;$A1101&amp;"-"&amp;TEXT(($D1101-$C1101+1)+24,"00"),""))</f>
        <v/>
      </c>
      <c r="G1101">
        <f>IF($A1101="","",IF($E1101=1,$F1101,IF($F1101="",$G1100,IF($G1100="",$F1101,$G1100&amp;", "&amp;$F1101))))</f>
        <v/>
      </c>
      <c r="H1101">
        <f>IF($A1101="","",$A1101&amp;" ("&amp;$C1101&amp;")")</f>
        <v/>
      </c>
      <c r="I1101">
        <f>IF($A1101="","",IF($E1101=1,$H1101,$I1100&amp;", "&amp;$H1101))</f>
        <v/>
      </c>
      <c r="J1101">
        <f>IF($A1101="","",IF($E1101=1,$B1101,""))</f>
        <v/>
      </c>
      <c r="K1101">
        <f>IF($A1101="","",IF(COUNTIF($B$2:$B1101,$B1101)=COUNTIF($B$2:$B$1601,$B1101),$B1101,""))</f>
        <v/>
      </c>
    </row>
    <row r="1102">
      <c r="A1102">
        <f>IF('TMP Paste'!$E1102="","",'TMP Paste'!$E1102)</f>
        <v/>
      </c>
      <c r="B1102">
        <f>IF($A1102="","",COUNTIF('TMP Paste'!$B$2:$B1102,"?*"))</f>
        <v/>
      </c>
      <c r="C1102">
        <f>IF($A1102="","",IFERROR('TMP Paste'!$M1102*1,0))</f>
        <v/>
      </c>
      <c r="D1102">
        <f>IF($A1102="","",SUMIF($B$2:$B1102,$B1102,$C$2:$C1102))</f>
        <v/>
      </c>
      <c r="E1102">
        <f>IF($A1102="",0,IF('TMP Paste'!$B1102="",0,1))</f>
        <v/>
      </c>
      <c r="F1102">
        <f>IF(OR($A1102="",$C1102&lt;1),"",$A1102&amp;"-"&amp;TEXT(($D1102-$C1102+1),"00")&amp;IF($C1102&gt;=2,", "&amp;$A1102&amp;"-"&amp;TEXT(($D1102-$C1102+1)+1,"00"),"")&amp;IF($C1102&gt;=3,", "&amp;$A1102&amp;"-"&amp;TEXT(($D1102-$C1102+1)+2,"00"),"")&amp;IF($C1102&gt;=4,", "&amp;$A1102&amp;"-"&amp;TEXT(($D1102-$C1102+1)+3,"00"),"")&amp;IF($C1102&gt;=5,", "&amp;$A1102&amp;"-"&amp;TEXT(($D1102-$C1102+1)+4,"00"),"")&amp;IF($C1102&gt;=6,", "&amp;$A1102&amp;"-"&amp;TEXT(($D1102-$C1102+1)+5,"00"),"")&amp;IF($C1102&gt;=7,", "&amp;$A1102&amp;"-"&amp;TEXT(($D1102-$C1102+1)+6,"00"),"")&amp;IF($C1102&gt;=8,", "&amp;$A1102&amp;"-"&amp;TEXT(($D1102-$C1102+1)+7,"00"),"")&amp;IF($C1102&gt;=9,", "&amp;$A1102&amp;"-"&amp;TEXT(($D1102-$C1102+1)+8,"00"),"")&amp;IF($C1102&gt;=10,", "&amp;$A1102&amp;"-"&amp;TEXT(($D1102-$C1102+1)+9,"00"),"")&amp;IF($C1102&gt;=11,", "&amp;$A1102&amp;"-"&amp;TEXT(($D1102-$C1102+1)+10,"00"),"")&amp;IF($C1102&gt;=12,", "&amp;$A1102&amp;"-"&amp;TEXT(($D1102-$C1102+1)+11,"00"),"")&amp;IF($C1102&gt;=13,", "&amp;$A1102&amp;"-"&amp;TEXT(($D1102-$C1102+1)+12,"00"),"")&amp;IF($C1102&gt;=14,", "&amp;$A1102&amp;"-"&amp;TEXT(($D1102-$C1102+1)+13,"00"),"")&amp;IF($C1102&gt;=15,", "&amp;$A1102&amp;"-"&amp;TEXT(($D1102-$C1102+1)+14,"00"),"")&amp;IF($C1102&gt;=16,", "&amp;$A1102&amp;"-"&amp;TEXT(($D1102-$C1102+1)+15,"00"),"")&amp;IF($C1102&gt;=17,", "&amp;$A1102&amp;"-"&amp;TEXT(($D1102-$C1102+1)+16,"00"),"")&amp;IF($C1102&gt;=18,", "&amp;$A1102&amp;"-"&amp;TEXT(($D1102-$C1102+1)+17,"00"),"")&amp;IF($C1102&gt;=19,", "&amp;$A1102&amp;"-"&amp;TEXT(($D1102-$C1102+1)+18,"00"),"")&amp;IF($C1102&gt;=20,", "&amp;$A1102&amp;"-"&amp;TEXT(($D1102-$C1102+1)+19,"00"),"")&amp;IF($C1102&gt;=21,", "&amp;$A1102&amp;"-"&amp;TEXT(($D1102-$C1102+1)+20,"00"),"")&amp;IF($C1102&gt;=22,", "&amp;$A1102&amp;"-"&amp;TEXT(($D1102-$C1102+1)+21,"00"),"")&amp;IF($C1102&gt;=23,", "&amp;$A1102&amp;"-"&amp;TEXT(($D1102-$C1102+1)+22,"00"),"")&amp;IF($C1102&gt;=24,", "&amp;$A1102&amp;"-"&amp;TEXT(($D1102-$C1102+1)+23,"00"),"")&amp;IF($C1102&gt;=25,", "&amp;$A1102&amp;"-"&amp;TEXT(($D1102-$C1102+1)+24,"00"),""))</f>
        <v/>
      </c>
      <c r="G1102">
        <f>IF($A1102="","",IF($E1102=1,$F1102,IF($F1102="",$G1101,IF($G1101="",$F1102,$G1101&amp;", "&amp;$F1102))))</f>
        <v/>
      </c>
      <c r="H1102">
        <f>IF($A1102="","",$A1102&amp;" ("&amp;$C1102&amp;")")</f>
        <v/>
      </c>
      <c r="I1102">
        <f>IF($A1102="","",IF($E1102=1,$H1102,$I1101&amp;", "&amp;$H1102))</f>
        <v/>
      </c>
      <c r="J1102">
        <f>IF($A1102="","",IF($E1102=1,$B1102,""))</f>
        <v/>
      </c>
      <c r="K1102">
        <f>IF($A1102="","",IF(COUNTIF($B$2:$B1102,$B1102)=COUNTIF($B$2:$B$1601,$B1102),$B1102,""))</f>
        <v/>
      </c>
    </row>
    <row r="1103">
      <c r="A1103">
        <f>IF('TMP Paste'!$E1103="","",'TMP Paste'!$E1103)</f>
        <v/>
      </c>
      <c r="B1103">
        <f>IF($A1103="","",COUNTIF('TMP Paste'!$B$2:$B1103,"?*"))</f>
        <v/>
      </c>
      <c r="C1103">
        <f>IF($A1103="","",IFERROR('TMP Paste'!$M1103*1,0))</f>
        <v/>
      </c>
      <c r="D1103">
        <f>IF($A1103="","",SUMIF($B$2:$B1103,$B1103,$C$2:$C1103))</f>
        <v/>
      </c>
      <c r="E1103">
        <f>IF($A1103="",0,IF('TMP Paste'!$B1103="",0,1))</f>
        <v/>
      </c>
      <c r="F1103">
        <f>IF(OR($A1103="",$C1103&lt;1),"",$A1103&amp;"-"&amp;TEXT(($D1103-$C1103+1),"00")&amp;IF($C1103&gt;=2,", "&amp;$A1103&amp;"-"&amp;TEXT(($D1103-$C1103+1)+1,"00"),"")&amp;IF($C1103&gt;=3,", "&amp;$A1103&amp;"-"&amp;TEXT(($D1103-$C1103+1)+2,"00"),"")&amp;IF($C1103&gt;=4,", "&amp;$A1103&amp;"-"&amp;TEXT(($D1103-$C1103+1)+3,"00"),"")&amp;IF($C1103&gt;=5,", "&amp;$A1103&amp;"-"&amp;TEXT(($D1103-$C1103+1)+4,"00"),"")&amp;IF($C1103&gt;=6,", "&amp;$A1103&amp;"-"&amp;TEXT(($D1103-$C1103+1)+5,"00"),"")&amp;IF($C1103&gt;=7,", "&amp;$A1103&amp;"-"&amp;TEXT(($D1103-$C1103+1)+6,"00"),"")&amp;IF($C1103&gt;=8,", "&amp;$A1103&amp;"-"&amp;TEXT(($D1103-$C1103+1)+7,"00"),"")&amp;IF($C1103&gt;=9,", "&amp;$A1103&amp;"-"&amp;TEXT(($D1103-$C1103+1)+8,"00"),"")&amp;IF($C1103&gt;=10,", "&amp;$A1103&amp;"-"&amp;TEXT(($D1103-$C1103+1)+9,"00"),"")&amp;IF($C1103&gt;=11,", "&amp;$A1103&amp;"-"&amp;TEXT(($D1103-$C1103+1)+10,"00"),"")&amp;IF($C1103&gt;=12,", "&amp;$A1103&amp;"-"&amp;TEXT(($D1103-$C1103+1)+11,"00"),"")&amp;IF($C1103&gt;=13,", "&amp;$A1103&amp;"-"&amp;TEXT(($D1103-$C1103+1)+12,"00"),"")&amp;IF($C1103&gt;=14,", "&amp;$A1103&amp;"-"&amp;TEXT(($D1103-$C1103+1)+13,"00"),"")&amp;IF($C1103&gt;=15,", "&amp;$A1103&amp;"-"&amp;TEXT(($D1103-$C1103+1)+14,"00"),"")&amp;IF($C1103&gt;=16,", "&amp;$A1103&amp;"-"&amp;TEXT(($D1103-$C1103+1)+15,"00"),"")&amp;IF($C1103&gt;=17,", "&amp;$A1103&amp;"-"&amp;TEXT(($D1103-$C1103+1)+16,"00"),"")&amp;IF($C1103&gt;=18,", "&amp;$A1103&amp;"-"&amp;TEXT(($D1103-$C1103+1)+17,"00"),"")&amp;IF($C1103&gt;=19,", "&amp;$A1103&amp;"-"&amp;TEXT(($D1103-$C1103+1)+18,"00"),"")&amp;IF($C1103&gt;=20,", "&amp;$A1103&amp;"-"&amp;TEXT(($D1103-$C1103+1)+19,"00"),"")&amp;IF($C1103&gt;=21,", "&amp;$A1103&amp;"-"&amp;TEXT(($D1103-$C1103+1)+20,"00"),"")&amp;IF($C1103&gt;=22,", "&amp;$A1103&amp;"-"&amp;TEXT(($D1103-$C1103+1)+21,"00"),"")&amp;IF($C1103&gt;=23,", "&amp;$A1103&amp;"-"&amp;TEXT(($D1103-$C1103+1)+22,"00"),"")&amp;IF($C1103&gt;=24,", "&amp;$A1103&amp;"-"&amp;TEXT(($D1103-$C1103+1)+23,"00"),"")&amp;IF($C1103&gt;=25,", "&amp;$A1103&amp;"-"&amp;TEXT(($D1103-$C1103+1)+24,"00"),""))</f>
        <v/>
      </c>
      <c r="G1103">
        <f>IF($A1103="","",IF($E1103=1,$F1103,IF($F1103="",$G1102,IF($G1102="",$F1103,$G1102&amp;", "&amp;$F1103))))</f>
        <v/>
      </c>
      <c r="H1103">
        <f>IF($A1103="","",$A1103&amp;" ("&amp;$C1103&amp;")")</f>
        <v/>
      </c>
      <c r="I1103">
        <f>IF($A1103="","",IF($E1103=1,$H1103,$I1102&amp;", "&amp;$H1103))</f>
        <v/>
      </c>
      <c r="J1103">
        <f>IF($A1103="","",IF($E1103=1,$B1103,""))</f>
        <v/>
      </c>
      <c r="K1103">
        <f>IF($A1103="","",IF(COUNTIF($B$2:$B1103,$B1103)=COUNTIF($B$2:$B$1601,$B1103),$B1103,""))</f>
        <v/>
      </c>
    </row>
    <row r="1104">
      <c r="A1104">
        <f>IF('TMP Paste'!$E1104="","",'TMP Paste'!$E1104)</f>
        <v/>
      </c>
      <c r="B1104">
        <f>IF($A1104="","",COUNTIF('TMP Paste'!$B$2:$B1104,"?*"))</f>
        <v/>
      </c>
      <c r="C1104">
        <f>IF($A1104="","",IFERROR('TMP Paste'!$M1104*1,0))</f>
        <v/>
      </c>
      <c r="D1104">
        <f>IF($A1104="","",SUMIF($B$2:$B1104,$B1104,$C$2:$C1104))</f>
        <v/>
      </c>
      <c r="E1104">
        <f>IF($A1104="",0,IF('TMP Paste'!$B1104="",0,1))</f>
        <v/>
      </c>
      <c r="F1104">
        <f>IF(OR($A1104="",$C1104&lt;1),"",$A1104&amp;"-"&amp;TEXT(($D1104-$C1104+1),"00")&amp;IF($C1104&gt;=2,", "&amp;$A1104&amp;"-"&amp;TEXT(($D1104-$C1104+1)+1,"00"),"")&amp;IF($C1104&gt;=3,", "&amp;$A1104&amp;"-"&amp;TEXT(($D1104-$C1104+1)+2,"00"),"")&amp;IF($C1104&gt;=4,", "&amp;$A1104&amp;"-"&amp;TEXT(($D1104-$C1104+1)+3,"00"),"")&amp;IF($C1104&gt;=5,", "&amp;$A1104&amp;"-"&amp;TEXT(($D1104-$C1104+1)+4,"00"),"")&amp;IF($C1104&gt;=6,", "&amp;$A1104&amp;"-"&amp;TEXT(($D1104-$C1104+1)+5,"00"),"")&amp;IF($C1104&gt;=7,", "&amp;$A1104&amp;"-"&amp;TEXT(($D1104-$C1104+1)+6,"00"),"")&amp;IF($C1104&gt;=8,", "&amp;$A1104&amp;"-"&amp;TEXT(($D1104-$C1104+1)+7,"00"),"")&amp;IF($C1104&gt;=9,", "&amp;$A1104&amp;"-"&amp;TEXT(($D1104-$C1104+1)+8,"00"),"")&amp;IF($C1104&gt;=10,", "&amp;$A1104&amp;"-"&amp;TEXT(($D1104-$C1104+1)+9,"00"),"")&amp;IF($C1104&gt;=11,", "&amp;$A1104&amp;"-"&amp;TEXT(($D1104-$C1104+1)+10,"00"),"")&amp;IF($C1104&gt;=12,", "&amp;$A1104&amp;"-"&amp;TEXT(($D1104-$C1104+1)+11,"00"),"")&amp;IF($C1104&gt;=13,", "&amp;$A1104&amp;"-"&amp;TEXT(($D1104-$C1104+1)+12,"00"),"")&amp;IF($C1104&gt;=14,", "&amp;$A1104&amp;"-"&amp;TEXT(($D1104-$C1104+1)+13,"00"),"")&amp;IF($C1104&gt;=15,", "&amp;$A1104&amp;"-"&amp;TEXT(($D1104-$C1104+1)+14,"00"),"")&amp;IF($C1104&gt;=16,", "&amp;$A1104&amp;"-"&amp;TEXT(($D1104-$C1104+1)+15,"00"),"")&amp;IF($C1104&gt;=17,", "&amp;$A1104&amp;"-"&amp;TEXT(($D1104-$C1104+1)+16,"00"),"")&amp;IF($C1104&gt;=18,", "&amp;$A1104&amp;"-"&amp;TEXT(($D1104-$C1104+1)+17,"00"),"")&amp;IF($C1104&gt;=19,", "&amp;$A1104&amp;"-"&amp;TEXT(($D1104-$C1104+1)+18,"00"),"")&amp;IF($C1104&gt;=20,", "&amp;$A1104&amp;"-"&amp;TEXT(($D1104-$C1104+1)+19,"00"),"")&amp;IF($C1104&gt;=21,", "&amp;$A1104&amp;"-"&amp;TEXT(($D1104-$C1104+1)+20,"00"),"")&amp;IF($C1104&gt;=22,", "&amp;$A1104&amp;"-"&amp;TEXT(($D1104-$C1104+1)+21,"00"),"")&amp;IF($C1104&gt;=23,", "&amp;$A1104&amp;"-"&amp;TEXT(($D1104-$C1104+1)+22,"00"),"")&amp;IF($C1104&gt;=24,", "&amp;$A1104&amp;"-"&amp;TEXT(($D1104-$C1104+1)+23,"00"),"")&amp;IF($C1104&gt;=25,", "&amp;$A1104&amp;"-"&amp;TEXT(($D1104-$C1104+1)+24,"00"),""))</f>
        <v/>
      </c>
      <c r="G1104">
        <f>IF($A1104="","",IF($E1104=1,$F1104,IF($F1104="",$G1103,IF($G1103="",$F1104,$G1103&amp;", "&amp;$F1104))))</f>
        <v/>
      </c>
      <c r="H1104">
        <f>IF($A1104="","",$A1104&amp;" ("&amp;$C1104&amp;")")</f>
        <v/>
      </c>
      <c r="I1104">
        <f>IF($A1104="","",IF($E1104=1,$H1104,$I1103&amp;", "&amp;$H1104))</f>
        <v/>
      </c>
      <c r="J1104">
        <f>IF($A1104="","",IF($E1104=1,$B1104,""))</f>
        <v/>
      </c>
      <c r="K1104">
        <f>IF($A1104="","",IF(COUNTIF($B$2:$B1104,$B1104)=COUNTIF($B$2:$B$1601,$B1104),$B1104,""))</f>
        <v/>
      </c>
    </row>
    <row r="1105">
      <c r="A1105">
        <f>IF('TMP Paste'!$E1105="","",'TMP Paste'!$E1105)</f>
        <v/>
      </c>
      <c r="B1105">
        <f>IF($A1105="","",COUNTIF('TMP Paste'!$B$2:$B1105,"?*"))</f>
        <v/>
      </c>
      <c r="C1105">
        <f>IF($A1105="","",IFERROR('TMP Paste'!$M1105*1,0))</f>
        <v/>
      </c>
      <c r="D1105">
        <f>IF($A1105="","",SUMIF($B$2:$B1105,$B1105,$C$2:$C1105))</f>
        <v/>
      </c>
      <c r="E1105">
        <f>IF($A1105="",0,IF('TMP Paste'!$B1105="",0,1))</f>
        <v/>
      </c>
      <c r="F1105">
        <f>IF(OR($A1105="",$C1105&lt;1),"",$A1105&amp;"-"&amp;TEXT(($D1105-$C1105+1),"00")&amp;IF($C1105&gt;=2,", "&amp;$A1105&amp;"-"&amp;TEXT(($D1105-$C1105+1)+1,"00"),"")&amp;IF($C1105&gt;=3,", "&amp;$A1105&amp;"-"&amp;TEXT(($D1105-$C1105+1)+2,"00"),"")&amp;IF($C1105&gt;=4,", "&amp;$A1105&amp;"-"&amp;TEXT(($D1105-$C1105+1)+3,"00"),"")&amp;IF($C1105&gt;=5,", "&amp;$A1105&amp;"-"&amp;TEXT(($D1105-$C1105+1)+4,"00"),"")&amp;IF($C1105&gt;=6,", "&amp;$A1105&amp;"-"&amp;TEXT(($D1105-$C1105+1)+5,"00"),"")&amp;IF($C1105&gt;=7,", "&amp;$A1105&amp;"-"&amp;TEXT(($D1105-$C1105+1)+6,"00"),"")&amp;IF($C1105&gt;=8,", "&amp;$A1105&amp;"-"&amp;TEXT(($D1105-$C1105+1)+7,"00"),"")&amp;IF($C1105&gt;=9,", "&amp;$A1105&amp;"-"&amp;TEXT(($D1105-$C1105+1)+8,"00"),"")&amp;IF($C1105&gt;=10,", "&amp;$A1105&amp;"-"&amp;TEXT(($D1105-$C1105+1)+9,"00"),"")&amp;IF($C1105&gt;=11,", "&amp;$A1105&amp;"-"&amp;TEXT(($D1105-$C1105+1)+10,"00"),"")&amp;IF($C1105&gt;=12,", "&amp;$A1105&amp;"-"&amp;TEXT(($D1105-$C1105+1)+11,"00"),"")&amp;IF($C1105&gt;=13,", "&amp;$A1105&amp;"-"&amp;TEXT(($D1105-$C1105+1)+12,"00"),"")&amp;IF($C1105&gt;=14,", "&amp;$A1105&amp;"-"&amp;TEXT(($D1105-$C1105+1)+13,"00"),"")&amp;IF($C1105&gt;=15,", "&amp;$A1105&amp;"-"&amp;TEXT(($D1105-$C1105+1)+14,"00"),"")&amp;IF($C1105&gt;=16,", "&amp;$A1105&amp;"-"&amp;TEXT(($D1105-$C1105+1)+15,"00"),"")&amp;IF($C1105&gt;=17,", "&amp;$A1105&amp;"-"&amp;TEXT(($D1105-$C1105+1)+16,"00"),"")&amp;IF($C1105&gt;=18,", "&amp;$A1105&amp;"-"&amp;TEXT(($D1105-$C1105+1)+17,"00"),"")&amp;IF($C1105&gt;=19,", "&amp;$A1105&amp;"-"&amp;TEXT(($D1105-$C1105+1)+18,"00"),"")&amp;IF($C1105&gt;=20,", "&amp;$A1105&amp;"-"&amp;TEXT(($D1105-$C1105+1)+19,"00"),"")&amp;IF($C1105&gt;=21,", "&amp;$A1105&amp;"-"&amp;TEXT(($D1105-$C1105+1)+20,"00"),"")&amp;IF($C1105&gt;=22,", "&amp;$A1105&amp;"-"&amp;TEXT(($D1105-$C1105+1)+21,"00"),"")&amp;IF($C1105&gt;=23,", "&amp;$A1105&amp;"-"&amp;TEXT(($D1105-$C1105+1)+22,"00"),"")&amp;IF($C1105&gt;=24,", "&amp;$A1105&amp;"-"&amp;TEXT(($D1105-$C1105+1)+23,"00"),"")&amp;IF($C1105&gt;=25,", "&amp;$A1105&amp;"-"&amp;TEXT(($D1105-$C1105+1)+24,"00"),""))</f>
        <v/>
      </c>
      <c r="G1105">
        <f>IF($A1105="","",IF($E1105=1,$F1105,IF($F1105="",$G1104,IF($G1104="",$F1105,$G1104&amp;", "&amp;$F1105))))</f>
        <v/>
      </c>
      <c r="H1105">
        <f>IF($A1105="","",$A1105&amp;" ("&amp;$C1105&amp;")")</f>
        <v/>
      </c>
      <c r="I1105">
        <f>IF($A1105="","",IF($E1105=1,$H1105,$I1104&amp;", "&amp;$H1105))</f>
        <v/>
      </c>
      <c r="J1105">
        <f>IF($A1105="","",IF($E1105=1,$B1105,""))</f>
        <v/>
      </c>
      <c r="K1105">
        <f>IF($A1105="","",IF(COUNTIF($B$2:$B1105,$B1105)=COUNTIF($B$2:$B$1601,$B1105),$B1105,""))</f>
        <v/>
      </c>
    </row>
    <row r="1106">
      <c r="A1106">
        <f>IF('TMP Paste'!$E1106="","",'TMP Paste'!$E1106)</f>
        <v/>
      </c>
      <c r="B1106">
        <f>IF($A1106="","",COUNTIF('TMP Paste'!$B$2:$B1106,"?*"))</f>
        <v/>
      </c>
      <c r="C1106">
        <f>IF($A1106="","",IFERROR('TMP Paste'!$M1106*1,0))</f>
        <v/>
      </c>
      <c r="D1106">
        <f>IF($A1106="","",SUMIF($B$2:$B1106,$B1106,$C$2:$C1106))</f>
        <v/>
      </c>
      <c r="E1106">
        <f>IF($A1106="",0,IF('TMP Paste'!$B1106="",0,1))</f>
        <v/>
      </c>
      <c r="F1106">
        <f>IF(OR($A1106="",$C1106&lt;1),"",$A1106&amp;"-"&amp;TEXT(($D1106-$C1106+1),"00")&amp;IF($C1106&gt;=2,", "&amp;$A1106&amp;"-"&amp;TEXT(($D1106-$C1106+1)+1,"00"),"")&amp;IF($C1106&gt;=3,", "&amp;$A1106&amp;"-"&amp;TEXT(($D1106-$C1106+1)+2,"00"),"")&amp;IF($C1106&gt;=4,", "&amp;$A1106&amp;"-"&amp;TEXT(($D1106-$C1106+1)+3,"00"),"")&amp;IF($C1106&gt;=5,", "&amp;$A1106&amp;"-"&amp;TEXT(($D1106-$C1106+1)+4,"00"),"")&amp;IF($C1106&gt;=6,", "&amp;$A1106&amp;"-"&amp;TEXT(($D1106-$C1106+1)+5,"00"),"")&amp;IF($C1106&gt;=7,", "&amp;$A1106&amp;"-"&amp;TEXT(($D1106-$C1106+1)+6,"00"),"")&amp;IF($C1106&gt;=8,", "&amp;$A1106&amp;"-"&amp;TEXT(($D1106-$C1106+1)+7,"00"),"")&amp;IF($C1106&gt;=9,", "&amp;$A1106&amp;"-"&amp;TEXT(($D1106-$C1106+1)+8,"00"),"")&amp;IF($C1106&gt;=10,", "&amp;$A1106&amp;"-"&amp;TEXT(($D1106-$C1106+1)+9,"00"),"")&amp;IF($C1106&gt;=11,", "&amp;$A1106&amp;"-"&amp;TEXT(($D1106-$C1106+1)+10,"00"),"")&amp;IF($C1106&gt;=12,", "&amp;$A1106&amp;"-"&amp;TEXT(($D1106-$C1106+1)+11,"00"),"")&amp;IF($C1106&gt;=13,", "&amp;$A1106&amp;"-"&amp;TEXT(($D1106-$C1106+1)+12,"00"),"")&amp;IF($C1106&gt;=14,", "&amp;$A1106&amp;"-"&amp;TEXT(($D1106-$C1106+1)+13,"00"),"")&amp;IF($C1106&gt;=15,", "&amp;$A1106&amp;"-"&amp;TEXT(($D1106-$C1106+1)+14,"00"),"")&amp;IF($C1106&gt;=16,", "&amp;$A1106&amp;"-"&amp;TEXT(($D1106-$C1106+1)+15,"00"),"")&amp;IF($C1106&gt;=17,", "&amp;$A1106&amp;"-"&amp;TEXT(($D1106-$C1106+1)+16,"00"),"")&amp;IF($C1106&gt;=18,", "&amp;$A1106&amp;"-"&amp;TEXT(($D1106-$C1106+1)+17,"00"),"")&amp;IF($C1106&gt;=19,", "&amp;$A1106&amp;"-"&amp;TEXT(($D1106-$C1106+1)+18,"00"),"")&amp;IF($C1106&gt;=20,", "&amp;$A1106&amp;"-"&amp;TEXT(($D1106-$C1106+1)+19,"00"),"")&amp;IF($C1106&gt;=21,", "&amp;$A1106&amp;"-"&amp;TEXT(($D1106-$C1106+1)+20,"00"),"")&amp;IF($C1106&gt;=22,", "&amp;$A1106&amp;"-"&amp;TEXT(($D1106-$C1106+1)+21,"00"),"")&amp;IF($C1106&gt;=23,", "&amp;$A1106&amp;"-"&amp;TEXT(($D1106-$C1106+1)+22,"00"),"")&amp;IF($C1106&gt;=24,", "&amp;$A1106&amp;"-"&amp;TEXT(($D1106-$C1106+1)+23,"00"),"")&amp;IF($C1106&gt;=25,", "&amp;$A1106&amp;"-"&amp;TEXT(($D1106-$C1106+1)+24,"00"),""))</f>
        <v/>
      </c>
      <c r="G1106">
        <f>IF($A1106="","",IF($E1106=1,$F1106,IF($F1106="",$G1105,IF($G1105="",$F1106,$G1105&amp;", "&amp;$F1106))))</f>
        <v/>
      </c>
      <c r="H1106">
        <f>IF($A1106="","",$A1106&amp;" ("&amp;$C1106&amp;")")</f>
        <v/>
      </c>
      <c r="I1106">
        <f>IF($A1106="","",IF($E1106=1,$H1106,$I1105&amp;", "&amp;$H1106))</f>
        <v/>
      </c>
      <c r="J1106">
        <f>IF($A1106="","",IF($E1106=1,$B1106,""))</f>
        <v/>
      </c>
      <c r="K1106">
        <f>IF($A1106="","",IF(COUNTIF($B$2:$B1106,$B1106)=COUNTIF($B$2:$B$1601,$B1106),$B1106,""))</f>
        <v/>
      </c>
    </row>
    <row r="1107">
      <c r="A1107">
        <f>IF('TMP Paste'!$E1107="","",'TMP Paste'!$E1107)</f>
        <v/>
      </c>
      <c r="B1107">
        <f>IF($A1107="","",COUNTIF('TMP Paste'!$B$2:$B1107,"?*"))</f>
        <v/>
      </c>
      <c r="C1107">
        <f>IF($A1107="","",IFERROR('TMP Paste'!$M1107*1,0))</f>
        <v/>
      </c>
      <c r="D1107">
        <f>IF($A1107="","",SUMIF($B$2:$B1107,$B1107,$C$2:$C1107))</f>
        <v/>
      </c>
      <c r="E1107">
        <f>IF($A1107="",0,IF('TMP Paste'!$B1107="",0,1))</f>
        <v/>
      </c>
      <c r="F1107">
        <f>IF(OR($A1107="",$C1107&lt;1),"",$A1107&amp;"-"&amp;TEXT(($D1107-$C1107+1),"00")&amp;IF($C1107&gt;=2,", "&amp;$A1107&amp;"-"&amp;TEXT(($D1107-$C1107+1)+1,"00"),"")&amp;IF($C1107&gt;=3,", "&amp;$A1107&amp;"-"&amp;TEXT(($D1107-$C1107+1)+2,"00"),"")&amp;IF($C1107&gt;=4,", "&amp;$A1107&amp;"-"&amp;TEXT(($D1107-$C1107+1)+3,"00"),"")&amp;IF($C1107&gt;=5,", "&amp;$A1107&amp;"-"&amp;TEXT(($D1107-$C1107+1)+4,"00"),"")&amp;IF($C1107&gt;=6,", "&amp;$A1107&amp;"-"&amp;TEXT(($D1107-$C1107+1)+5,"00"),"")&amp;IF($C1107&gt;=7,", "&amp;$A1107&amp;"-"&amp;TEXT(($D1107-$C1107+1)+6,"00"),"")&amp;IF($C1107&gt;=8,", "&amp;$A1107&amp;"-"&amp;TEXT(($D1107-$C1107+1)+7,"00"),"")&amp;IF($C1107&gt;=9,", "&amp;$A1107&amp;"-"&amp;TEXT(($D1107-$C1107+1)+8,"00"),"")&amp;IF($C1107&gt;=10,", "&amp;$A1107&amp;"-"&amp;TEXT(($D1107-$C1107+1)+9,"00"),"")&amp;IF($C1107&gt;=11,", "&amp;$A1107&amp;"-"&amp;TEXT(($D1107-$C1107+1)+10,"00"),"")&amp;IF($C1107&gt;=12,", "&amp;$A1107&amp;"-"&amp;TEXT(($D1107-$C1107+1)+11,"00"),"")&amp;IF($C1107&gt;=13,", "&amp;$A1107&amp;"-"&amp;TEXT(($D1107-$C1107+1)+12,"00"),"")&amp;IF($C1107&gt;=14,", "&amp;$A1107&amp;"-"&amp;TEXT(($D1107-$C1107+1)+13,"00"),"")&amp;IF($C1107&gt;=15,", "&amp;$A1107&amp;"-"&amp;TEXT(($D1107-$C1107+1)+14,"00"),"")&amp;IF($C1107&gt;=16,", "&amp;$A1107&amp;"-"&amp;TEXT(($D1107-$C1107+1)+15,"00"),"")&amp;IF($C1107&gt;=17,", "&amp;$A1107&amp;"-"&amp;TEXT(($D1107-$C1107+1)+16,"00"),"")&amp;IF($C1107&gt;=18,", "&amp;$A1107&amp;"-"&amp;TEXT(($D1107-$C1107+1)+17,"00"),"")&amp;IF($C1107&gt;=19,", "&amp;$A1107&amp;"-"&amp;TEXT(($D1107-$C1107+1)+18,"00"),"")&amp;IF($C1107&gt;=20,", "&amp;$A1107&amp;"-"&amp;TEXT(($D1107-$C1107+1)+19,"00"),"")&amp;IF($C1107&gt;=21,", "&amp;$A1107&amp;"-"&amp;TEXT(($D1107-$C1107+1)+20,"00"),"")&amp;IF($C1107&gt;=22,", "&amp;$A1107&amp;"-"&amp;TEXT(($D1107-$C1107+1)+21,"00"),"")&amp;IF($C1107&gt;=23,", "&amp;$A1107&amp;"-"&amp;TEXT(($D1107-$C1107+1)+22,"00"),"")&amp;IF($C1107&gt;=24,", "&amp;$A1107&amp;"-"&amp;TEXT(($D1107-$C1107+1)+23,"00"),"")&amp;IF($C1107&gt;=25,", "&amp;$A1107&amp;"-"&amp;TEXT(($D1107-$C1107+1)+24,"00"),""))</f>
        <v/>
      </c>
      <c r="G1107">
        <f>IF($A1107="","",IF($E1107=1,$F1107,IF($F1107="",$G1106,IF($G1106="",$F1107,$G1106&amp;", "&amp;$F1107))))</f>
        <v/>
      </c>
      <c r="H1107">
        <f>IF($A1107="","",$A1107&amp;" ("&amp;$C1107&amp;")")</f>
        <v/>
      </c>
      <c r="I1107">
        <f>IF($A1107="","",IF($E1107=1,$H1107,$I1106&amp;", "&amp;$H1107))</f>
        <v/>
      </c>
      <c r="J1107">
        <f>IF($A1107="","",IF($E1107=1,$B1107,""))</f>
        <v/>
      </c>
      <c r="K1107">
        <f>IF($A1107="","",IF(COUNTIF($B$2:$B1107,$B1107)=COUNTIF($B$2:$B$1601,$B1107),$B1107,""))</f>
        <v/>
      </c>
    </row>
    <row r="1108">
      <c r="A1108">
        <f>IF('TMP Paste'!$E1108="","",'TMP Paste'!$E1108)</f>
        <v/>
      </c>
      <c r="B1108">
        <f>IF($A1108="","",COUNTIF('TMP Paste'!$B$2:$B1108,"?*"))</f>
        <v/>
      </c>
      <c r="C1108">
        <f>IF($A1108="","",IFERROR('TMP Paste'!$M1108*1,0))</f>
        <v/>
      </c>
      <c r="D1108">
        <f>IF($A1108="","",SUMIF($B$2:$B1108,$B1108,$C$2:$C1108))</f>
        <v/>
      </c>
      <c r="E1108">
        <f>IF($A1108="",0,IF('TMP Paste'!$B1108="",0,1))</f>
        <v/>
      </c>
      <c r="F1108">
        <f>IF(OR($A1108="",$C1108&lt;1),"",$A1108&amp;"-"&amp;TEXT(($D1108-$C1108+1),"00")&amp;IF($C1108&gt;=2,", "&amp;$A1108&amp;"-"&amp;TEXT(($D1108-$C1108+1)+1,"00"),"")&amp;IF($C1108&gt;=3,", "&amp;$A1108&amp;"-"&amp;TEXT(($D1108-$C1108+1)+2,"00"),"")&amp;IF($C1108&gt;=4,", "&amp;$A1108&amp;"-"&amp;TEXT(($D1108-$C1108+1)+3,"00"),"")&amp;IF($C1108&gt;=5,", "&amp;$A1108&amp;"-"&amp;TEXT(($D1108-$C1108+1)+4,"00"),"")&amp;IF($C1108&gt;=6,", "&amp;$A1108&amp;"-"&amp;TEXT(($D1108-$C1108+1)+5,"00"),"")&amp;IF($C1108&gt;=7,", "&amp;$A1108&amp;"-"&amp;TEXT(($D1108-$C1108+1)+6,"00"),"")&amp;IF($C1108&gt;=8,", "&amp;$A1108&amp;"-"&amp;TEXT(($D1108-$C1108+1)+7,"00"),"")&amp;IF($C1108&gt;=9,", "&amp;$A1108&amp;"-"&amp;TEXT(($D1108-$C1108+1)+8,"00"),"")&amp;IF($C1108&gt;=10,", "&amp;$A1108&amp;"-"&amp;TEXT(($D1108-$C1108+1)+9,"00"),"")&amp;IF($C1108&gt;=11,", "&amp;$A1108&amp;"-"&amp;TEXT(($D1108-$C1108+1)+10,"00"),"")&amp;IF($C1108&gt;=12,", "&amp;$A1108&amp;"-"&amp;TEXT(($D1108-$C1108+1)+11,"00"),"")&amp;IF($C1108&gt;=13,", "&amp;$A1108&amp;"-"&amp;TEXT(($D1108-$C1108+1)+12,"00"),"")&amp;IF($C1108&gt;=14,", "&amp;$A1108&amp;"-"&amp;TEXT(($D1108-$C1108+1)+13,"00"),"")&amp;IF($C1108&gt;=15,", "&amp;$A1108&amp;"-"&amp;TEXT(($D1108-$C1108+1)+14,"00"),"")&amp;IF($C1108&gt;=16,", "&amp;$A1108&amp;"-"&amp;TEXT(($D1108-$C1108+1)+15,"00"),"")&amp;IF($C1108&gt;=17,", "&amp;$A1108&amp;"-"&amp;TEXT(($D1108-$C1108+1)+16,"00"),"")&amp;IF($C1108&gt;=18,", "&amp;$A1108&amp;"-"&amp;TEXT(($D1108-$C1108+1)+17,"00"),"")&amp;IF($C1108&gt;=19,", "&amp;$A1108&amp;"-"&amp;TEXT(($D1108-$C1108+1)+18,"00"),"")&amp;IF($C1108&gt;=20,", "&amp;$A1108&amp;"-"&amp;TEXT(($D1108-$C1108+1)+19,"00"),"")&amp;IF($C1108&gt;=21,", "&amp;$A1108&amp;"-"&amp;TEXT(($D1108-$C1108+1)+20,"00"),"")&amp;IF($C1108&gt;=22,", "&amp;$A1108&amp;"-"&amp;TEXT(($D1108-$C1108+1)+21,"00"),"")&amp;IF($C1108&gt;=23,", "&amp;$A1108&amp;"-"&amp;TEXT(($D1108-$C1108+1)+22,"00"),"")&amp;IF($C1108&gt;=24,", "&amp;$A1108&amp;"-"&amp;TEXT(($D1108-$C1108+1)+23,"00"),"")&amp;IF($C1108&gt;=25,", "&amp;$A1108&amp;"-"&amp;TEXT(($D1108-$C1108+1)+24,"00"),""))</f>
        <v/>
      </c>
      <c r="G1108">
        <f>IF($A1108="","",IF($E1108=1,$F1108,IF($F1108="",$G1107,IF($G1107="",$F1108,$G1107&amp;", "&amp;$F1108))))</f>
        <v/>
      </c>
      <c r="H1108">
        <f>IF($A1108="","",$A1108&amp;" ("&amp;$C1108&amp;")")</f>
        <v/>
      </c>
      <c r="I1108">
        <f>IF($A1108="","",IF($E1108=1,$H1108,$I1107&amp;", "&amp;$H1108))</f>
        <v/>
      </c>
      <c r="J1108">
        <f>IF($A1108="","",IF($E1108=1,$B1108,""))</f>
        <v/>
      </c>
      <c r="K1108">
        <f>IF($A1108="","",IF(COUNTIF($B$2:$B1108,$B1108)=COUNTIF($B$2:$B$1601,$B1108),$B1108,""))</f>
        <v/>
      </c>
    </row>
    <row r="1109">
      <c r="A1109">
        <f>IF('TMP Paste'!$E1109="","",'TMP Paste'!$E1109)</f>
        <v/>
      </c>
      <c r="B1109">
        <f>IF($A1109="","",COUNTIF('TMP Paste'!$B$2:$B1109,"?*"))</f>
        <v/>
      </c>
      <c r="C1109">
        <f>IF($A1109="","",IFERROR('TMP Paste'!$M1109*1,0))</f>
        <v/>
      </c>
      <c r="D1109">
        <f>IF($A1109="","",SUMIF($B$2:$B1109,$B1109,$C$2:$C1109))</f>
        <v/>
      </c>
      <c r="E1109">
        <f>IF($A1109="",0,IF('TMP Paste'!$B1109="",0,1))</f>
        <v/>
      </c>
      <c r="F1109">
        <f>IF(OR($A1109="",$C1109&lt;1),"",$A1109&amp;"-"&amp;TEXT(($D1109-$C1109+1),"00")&amp;IF($C1109&gt;=2,", "&amp;$A1109&amp;"-"&amp;TEXT(($D1109-$C1109+1)+1,"00"),"")&amp;IF($C1109&gt;=3,", "&amp;$A1109&amp;"-"&amp;TEXT(($D1109-$C1109+1)+2,"00"),"")&amp;IF($C1109&gt;=4,", "&amp;$A1109&amp;"-"&amp;TEXT(($D1109-$C1109+1)+3,"00"),"")&amp;IF($C1109&gt;=5,", "&amp;$A1109&amp;"-"&amp;TEXT(($D1109-$C1109+1)+4,"00"),"")&amp;IF($C1109&gt;=6,", "&amp;$A1109&amp;"-"&amp;TEXT(($D1109-$C1109+1)+5,"00"),"")&amp;IF($C1109&gt;=7,", "&amp;$A1109&amp;"-"&amp;TEXT(($D1109-$C1109+1)+6,"00"),"")&amp;IF($C1109&gt;=8,", "&amp;$A1109&amp;"-"&amp;TEXT(($D1109-$C1109+1)+7,"00"),"")&amp;IF($C1109&gt;=9,", "&amp;$A1109&amp;"-"&amp;TEXT(($D1109-$C1109+1)+8,"00"),"")&amp;IF($C1109&gt;=10,", "&amp;$A1109&amp;"-"&amp;TEXT(($D1109-$C1109+1)+9,"00"),"")&amp;IF($C1109&gt;=11,", "&amp;$A1109&amp;"-"&amp;TEXT(($D1109-$C1109+1)+10,"00"),"")&amp;IF($C1109&gt;=12,", "&amp;$A1109&amp;"-"&amp;TEXT(($D1109-$C1109+1)+11,"00"),"")&amp;IF($C1109&gt;=13,", "&amp;$A1109&amp;"-"&amp;TEXT(($D1109-$C1109+1)+12,"00"),"")&amp;IF($C1109&gt;=14,", "&amp;$A1109&amp;"-"&amp;TEXT(($D1109-$C1109+1)+13,"00"),"")&amp;IF($C1109&gt;=15,", "&amp;$A1109&amp;"-"&amp;TEXT(($D1109-$C1109+1)+14,"00"),"")&amp;IF($C1109&gt;=16,", "&amp;$A1109&amp;"-"&amp;TEXT(($D1109-$C1109+1)+15,"00"),"")&amp;IF($C1109&gt;=17,", "&amp;$A1109&amp;"-"&amp;TEXT(($D1109-$C1109+1)+16,"00"),"")&amp;IF($C1109&gt;=18,", "&amp;$A1109&amp;"-"&amp;TEXT(($D1109-$C1109+1)+17,"00"),"")&amp;IF($C1109&gt;=19,", "&amp;$A1109&amp;"-"&amp;TEXT(($D1109-$C1109+1)+18,"00"),"")&amp;IF($C1109&gt;=20,", "&amp;$A1109&amp;"-"&amp;TEXT(($D1109-$C1109+1)+19,"00"),"")&amp;IF($C1109&gt;=21,", "&amp;$A1109&amp;"-"&amp;TEXT(($D1109-$C1109+1)+20,"00"),"")&amp;IF($C1109&gt;=22,", "&amp;$A1109&amp;"-"&amp;TEXT(($D1109-$C1109+1)+21,"00"),"")&amp;IF($C1109&gt;=23,", "&amp;$A1109&amp;"-"&amp;TEXT(($D1109-$C1109+1)+22,"00"),"")&amp;IF($C1109&gt;=24,", "&amp;$A1109&amp;"-"&amp;TEXT(($D1109-$C1109+1)+23,"00"),"")&amp;IF($C1109&gt;=25,", "&amp;$A1109&amp;"-"&amp;TEXT(($D1109-$C1109+1)+24,"00"),""))</f>
        <v/>
      </c>
      <c r="G1109">
        <f>IF($A1109="","",IF($E1109=1,$F1109,IF($F1109="",$G1108,IF($G1108="",$F1109,$G1108&amp;", "&amp;$F1109))))</f>
        <v/>
      </c>
      <c r="H1109">
        <f>IF($A1109="","",$A1109&amp;" ("&amp;$C1109&amp;")")</f>
        <v/>
      </c>
      <c r="I1109">
        <f>IF($A1109="","",IF($E1109=1,$H1109,$I1108&amp;", "&amp;$H1109))</f>
        <v/>
      </c>
      <c r="J1109">
        <f>IF($A1109="","",IF($E1109=1,$B1109,""))</f>
        <v/>
      </c>
      <c r="K1109">
        <f>IF($A1109="","",IF(COUNTIF($B$2:$B1109,$B1109)=COUNTIF($B$2:$B$1601,$B1109),$B1109,""))</f>
        <v/>
      </c>
    </row>
    <row r="1110">
      <c r="A1110">
        <f>IF('TMP Paste'!$E1110="","",'TMP Paste'!$E1110)</f>
        <v/>
      </c>
      <c r="B1110">
        <f>IF($A1110="","",COUNTIF('TMP Paste'!$B$2:$B1110,"?*"))</f>
        <v/>
      </c>
      <c r="C1110">
        <f>IF($A1110="","",IFERROR('TMP Paste'!$M1110*1,0))</f>
        <v/>
      </c>
      <c r="D1110">
        <f>IF($A1110="","",SUMIF($B$2:$B1110,$B1110,$C$2:$C1110))</f>
        <v/>
      </c>
      <c r="E1110">
        <f>IF($A1110="",0,IF('TMP Paste'!$B1110="",0,1))</f>
        <v/>
      </c>
      <c r="F1110">
        <f>IF(OR($A1110="",$C1110&lt;1),"",$A1110&amp;"-"&amp;TEXT(($D1110-$C1110+1),"00")&amp;IF($C1110&gt;=2,", "&amp;$A1110&amp;"-"&amp;TEXT(($D1110-$C1110+1)+1,"00"),"")&amp;IF($C1110&gt;=3,", "&amp;$A1110&amp;"-"&amp;TEXT(($D1110-$C1110+1)+2,"00"),"")&amp;IF($C1110&gt;=4,", "&amp;$A1110&amp;"-"&amp;TEXT(($D1110-$C1110+1)+3,"00"),"")&amp;IF($C1110&gt;=5,", "&amp;$A1110&amp;"-"&amp;TEXT(($D1110-$C1110+1)+4,"00"),"")&amp;IF($C1110&gt;=6,", "&amp;$A1110&amp;"-"&amp;TEXT(($D1110-$C1110+1)+5,"00"),"")&amp;IF($C1110&gt;=7,", "&amp;$A1110&amp;"-"&amp;TEXT(($D1110-$C1110+1)+6,"00"),"")&amp;IF($C1110&gt;=8,", "&amp;$A1110&amp;"-"&amp;TEXT(($D1110-$C1110+1)+7,"00"),"")&amp;IF($C1110&gt;=9,", "&amp;$A1110&amp;"-"&amp;TEXT(($D1110-$C1110+1)+8,"00"),"")&amp;IF($C1110&gt;=10,", "&amp;$A1110&amp;"-"&amp;TEXT(($D1110-$C1110+1)+9,"00"),"")&amp;IF($C1110&gt;=11,", "&amp;$A1110&amp;"-"&amp;TEXT(($D1110-$C1110+1)+10,"00"),"")&amp;IF($C1110&gt;=12,", "&amp;$A1110&amp;"-"&amp;TEXT(($D1110-$C1110+1)+11,"00"),"")&amp;IF($C1110&gt;=13,", "&amp;$A1110&amp;"-"&amp;TEXT(($D1110-$C1110+1)+12,"00"),"")&amp;IF($C1110&gt;=14,", "&amp;$A1110&amp;"-"&amp;TEXT(($D1110-$C1110+1)+13,"00"),"")&amp;IF($C1110&gt;=15,", "&amp;$A1110&amp;"-"&amp;TEXT(($D1110-$C1110+1)+14,"00"),"")&amp;IF($C1110&gt;=16,", "&amp;$A1110&amp;"-"&amp;TEXT(($D1110-$C1110+1)+15,"00"),"")&amp;IF($C1110&gt;=17,", "&amp;$A1110&amp;"-"&amp;TEXT(($D1110-$C1110+1)+16,"00"),"")&amp;IF($C1110&gt;=18,", "&amp;$A1110&amp;"-"&amp;TEXT(($D1110-$C1110+1)+17,"00"),"")&amp;IF($C1110&gt;=19,", "&amp;$A1110&amp;"-"&amp;TEXT(($D1110-$C1110+1)+18,"00"),"")&amp;IF($C1110&gt;=20,", "&amp;$A1110&amp;"-"&amp;TEXT(($D1110-$C1110+1)+19,"00"),"")&amp;IF($C1110&gt;=21,", "&amp;$A1110&amp;"-"&amp;TEXT(($D1110-$C1110+1)+20,"00"),"")&amp;IF($C1110&gt;=22,", "&amp;$A1110&amp;"-"&amp;TEXT(($D1110-$C1110+1)+21,"00"),"")&amp;IF($C1110&gt;=23,", "&amp;$A1110&amp;"-"&amp;TEXT(($D1110-$C1110+1)+22,"00"),"")&amp;IF($C1110&gt;=24,", "&amp;$A1110&amp;"-"&amp;TEXT(($D1110-$C1110+1)+23,"00"),"")&amp;IF($C1110&gt;=25,", "&amp;$A1110&amp;"-"&amp;TEXT(($D1110-$C1110+1)+24,"00"),""))</f>
        <v/>
      </c>
      <c r="G1110">
        <f>IF($A1110="","",IF($E1110=1,$F1110,IF($F1110="",$G1109,IF($G1109="",$F1110,$G1109&amp;", "&amp;$F1110))))</f>
        <v/>
      </c>
      <c r="H1110">
        <f>IF($A1110="","",$A1110&amp;" ("&amp;$C1110&amp;")")</f>
        <v/>
      </c>
      <c r="I1110">
        <f>IF($A1110="","",IF($E1110=1,$H1110,$I1109&amp;", "&amp;$H1110))</f>
        <v/>
      </c>
      <c r="J1110">
        <f>IF($A1110="","",IF($E1110=1,$B1110,""))</f>
        <v/>
      </c>
      <c r="K1110">
        <f>IF($A1110="","",IF(COUNTIF($B$2:$B1110,$B1110)=COUNTIF($B$2:$B$1601,$B1110),$B1110,""))</f>
        <v/>
      </c>
    </row>
    <row r="1111">
      <c r="A1111">
        <f>IF('TMP Paste'!$E1111="","",'TMP Paste'!$E1111)</f>
        <v/>
      </c>
      <c r="B1111">
        <f>IF($A1111="","",COUNTIF('TMP Paste'!$B$2:$B1111,"?*"))</f>
        <v/>
      </c>
      <c r="C1111">
        <f>IF($A1111="","",IFERROR('TMP Paste'!$M1111*1,0))</f>
        <v/>
      </c>
      <c r="D1111">
        <f>IF($A1111="","",SUMIF($B$2:$B1111,$B1111,$C$2:$C1111))</f>
        <v/>
      </c>
      <c r="E1111">
        <f>IF($A1111="",0,IF('TMP Paste'!$B1111="",0,1))</f>
        <v/>
      </c>
      <c r="F1111">
        <f>IF(OR($A1111="",$C1111&lt;1),"",$A1111&amp;"-"&amp;TEXT(($D1111-$C1111+1),"00")&amp;IF($C1111&gt;=2,", "&amp;$A1111&amp;"-"&amp;TEXT(($D1111-$C1111+1)+1,"00"),"")&amp;IF($C1111&gt;=3,", "&amp;$A1111&amp;"-"&amp;TEXT(($D1111-$C1111+1)+2,"00"),"")&amp;IF($C1111&gt;=4,", "&amp;$A1111&amp;"-"&amp;TEXT(($D1111-$C1111+1)+3,"00"),"")&amp;IF($C1111&gt;=5,", "&amp;$A1111&amp;"-"&amp;TEXT(($D1111-$C1111+1)+4,"00"),"")&amp;IF($C1111&gt;=6,", "&amp;$A1111&amp;"-"&amp;TEXT(($D1111-$C1111+1)+5,"00"),"")&amp;IF($C1111&gt;=7,", "&amp;$A1111&amp;"-"&amp;TEXT(($D1111-$C1111+1)+6,"00"),"")&amp;IF($C1111&gt;=8,", "&amp;$A1111&amp;"-"&amp;TEXT(($D1111-$C1111+1)+7,"00"),"")&amp;IF($C1111&gt;=9,", "&amp;$A1111&amp;"-"&amp;TEXT(($D1111-$C1111+1)+8,"00"),"")&amp;IF($C1111&gt;=10,", "&amp;$A1111&amp;"-"&amp;TEXT(($D1111-$C1111+1)+9,"00"),"")&amp;IF($C1111&gt;=11,", "&amp;$A1111&amp;"-"&amp;TEXT(($D1111-$C1111+1)+10,"00"),"")&amp;IF($C1111&gt;=12,", "&amp;$A1111&amp;"-"&amp;TEXT(($D1111-$C1111+1)+11,"00"),"")&amp;IF($C1111&gt;=13,", "&amp;$A1111&amp;"-"&amp;TEXT(($D1111-$C1111+1)+12,"00"),"")&amp;IF($C1111&gt;=14,", "&amp;$A1111&amp;"-"&amp;TEXT(($D1111-$C1111+1)+13,"00"),"")&amp;IF($C1111&gt;=15,", "&amp;$A1111&amp;"-"&amp;TEXT(($D1111-$C1111+1)+14,"00"),"")&amp;IF($C1111&gt;=16,", "&amp;$A1111&amp;"-"&amp;TEXT(($D1111-$C1111+1)+15,"00"),"")&amp;IF($C1111&gt;=17,", "&amp;$A1111&amp;"-"&amp;TEXT(($D1111-$C1111+1)+16,"00"),"")&amp;IF($C1111&gt;=18,", "&amp;$A1111&amp;"-"&amp;TEXT(($D1111-$C1111+1)+17,"00"),"")&amp;IF($C1111&gt;=19,", "&amp;$A1111&amp;"-"&amp;TEXT(($D1111-$C1111+1)+18,"00"),"")&amp;IF($C1111&gt;=20,", "&amp;$A1111&amp;"-"&amp;TEXT(($D1111-$C1111+1)+19,"00"),"")&amp;IF($C1111&gt;=21,", "&amp;$A1111&amp;"-"&amp;TEXT(($D1111-$C1111+1)+20,"00"),"")&amp;IF($C1111&gt;=22,", "&amp;$A1111&amp;"-"&amp;TEXT(($D1111-$C1111+1)+21,"00"),"")&amp;IF($C1111&gt;=23,", "&amp;$A1111&amp;"-"&amp;TEXT(($D1111-$C1111+1)+22,"00"),"")&amp;IF($C1111&gt;=24,", "&amp;$A1111&amp;"-"&amp;TEXT(($D1111-$C1111+1)+23,"00"),"")&amp;IF($C1111&gt;=25,", "&amp;$A1111&amp;"-"&amp;TEXT(($D1111-$C1111+1)+24,"00"),""))</f>
        <v/>
      </c>
      <c r="G1111">
        <f>IF($A1111="","",IF($E1111=1,$F1111,IF($F1111="",$G1110,IF($G1110="",$F1111,$G1110&amp;", "&amp;$F1111))))</f>
        <v/>
      </c>
      <c r="H1111">
        <f>IF($A1111="","",$A1111&amp;" ("&amp;$C1111&amp;")")</f>
        <v/>
      </c>
      <c r="I1111">
        <f>IF($A1111="","",IF($E1111=1,$H1111,$I1110&amp;", "&amp;$H1111))</f>
        <v/>
      </c>
      <c r="J1111">
        <f>IF($A1111="","",IF($E1111=1,$B1111,""))</f>
        <v/>
      </c>
      <c r="K1111">
        <f>IF($A1111="","",IF(COUNTIF($B$2:$B1111,$B1111)=COUNTIF($B$2:$B$1601,$B1111),$B1111,""))</f>
        <v/>
      </c>
    </row>
    <row r="1112">
      <c r="A1112">
        <f>IF('TMP Paste'!$E1112="","",'TMP Paste'!$E1112)</f>
        <v/>
      </c>
      <c r="B1112">
        <f>IF($A1112="","",COUNTIF('TMP Paste'!$B$2:$B1112,"?*"))</f>
        <v/>
      </c>
      <c r="C1112">
        <f>IF($A1112="","",IFERROR('TMP Paste'!$M1112*1,0))</f>
        <v/>
      </c>
      <c r="D1112">
        <f>IF($A1112="","",SUMIF($B$2:$B1112,$B1112,$C$2:$C1112))</f>
        <v/>
      </c>
      <c r="E1112">
        <f>IF($A1112="",0,IF('TMP Paste'!$B1112="",0,1))</f>
        <v/>
      </c>
      <c r="F1112">
        <f>IF(OR($A1112="",$C1112&lt;1),"",$A1112&amp;"-"&amp;TEXT(($D1112-$C1112+1),"00")&amp;IF($C1112&gt;=2,", "&amp;$A1112&amp;"-"&amp;TEXT(($D1112-$C1112+1)+1,"00"),"")&amp;IF($C1112&gt;=3,", "&amp;$A1112&amp;"-"&amp;TEXT(($D1112-$C1112+1)+2,"00"),"")&amp;IF($C1112&gt;=4,", "&amp;$A1112&amp;"-"&amp;TEXT(($D1112-$C1112+1)+3,"00"),"")&amp;IF($C1112&gt;=5,", "&amp;$A1112&amp;"-"&amp;TEXT(($D1112-$C1112+1)+4,"00"),"")&amp;IF($C1112&gt;=6,", "&amp;$A1112&amp;"-"&amp;TEXT(($D1112-$C1112+1)+5,"00"),"")&amp;IF($C1112&gt;=7,", "&amp;$A1112&amp;"-"&amp;TEXT(($D1112-$C1112+1)+6,"00"),"")&amp;IF($C1112&gt;=8,", "&amp;$A1112&amp;"-"&amp;TEXT(($D1112-$C1112+1)+7,"00"),"")&amp;IF($C1112&gt;=9,", "&amp;$A1112&amp;"-"&amp;TEXT(($D1112-$C1112+1)+8,"00"),"")&amp;IF($C1112&gt;=10,", "&amp;$A1112&amp;"-"&amp;TEXT(($D1112-$C1112+1)+9,"00"),"")&amp;IF($C1112&gt;=11,", "&amp;$A1112&amp;"-"&amp;TEXT(($D1112-$C1112+1)+10,"00"),"")&amp;IF($C1112&gt;=12,", "&amp;$A1112&amp;"-"&amp;TEXT(($D1112-$C1112+1)+11,"00"),"")&amp;IF($C1112&gt;=13,", "&amp;$A1112&amp;"-"&amp;TEXT(($D1112-$C1112+1)+12,"00"),"")&amp;IF($C1112&gt;=14,", "&amp;$A1112&amp;"-"&amp;TEXT(($D1112-$C1112+1)+13,"00"),"")&amp;IF($C1112&gt;=15,", "&amp;$A1112&amp;"-"&amp;TEXT(($D1112-$C1112+1)+14,"00"),"")&amp;IF($C1112&gt;=16,", "&amp;$A1112&amp;"-"&amp;TEXT(($D1112-$C1112+1)+15,"00"),"")&amp;IF($C1112&gt;=17,", "&amp;$A1112&amp;"-"&amp;TEXT(($D1112-$C1112+1)+16,"00"),"")&amp;IF($C1112&gt;=18,", "&amp;$A1112&amp;"-"&amp;TEXT(($D1112-$C1112+1)+17,"00"),"")&amp;IF($C1112&gt;=19,", "&amp;$A1112&amp;"-"&amp;TEXT(($D1112-$C1112+1)+18,"00"),"")&amp;IF($C1112&gt;=20,", "&amp;$A1112&amp;"-"&amp;TEXT(($D1112-$C1112+1)+19,"00"),"")&amp;IF($C1112&gt;=21,", "&amp;$A1112&amp;"-"&amp;TEXT(($D1112-$C1112+1)+20,"00"),"")&amp;IF($C1112&gt;=22,", "&amp;$A1112&amp;"-"&amp;TEXT(($D1112-$C1112+1)+21,"00"),"")&amp;IF($C1112&gt;=23,", "&amp;$A1112&amp;"-"&amp;TEXT(($D1112-$C1112+1)+22,"00"),"")&amp;IF($C1112&gt;=24,", "&amp;$A1112&amp;"-"&amp;TEXT(($D1112-$C1112+1)+23,"00"),"")&amp;IF($C1112&gt;=25,", "&amp;$A1112&amp;"-"&amp;TEXT(($D1112-$C1112+1)+24,"00"),""))</f>
        <v/>
      </c>
      <c r="G1112">
        <f>IF($A1112="","",IF($E1112=1,$F1112,IF($F1112="",$G1111,IF($G1111="",$F1112,$G1111&amp;", "&amp;$F1112))))</f>
        <v/>
      </c>
      <c r="H1112">
        <f>IF($A1112="","",$A1112&amp;" ("&amp;$C1112&amp;")")</f>
        <v/>
      </c>
      <c r="I1112">
        <f>IF($A1112="","",IF($E1112=1,$H1112,$I1111&amp;", "&amp;$H1112))</f>
        <v/>
      </c>
      <c r="J1112">
        <f>IF($A1112="","",IF($E1112=1,$B1112,""))</f>
        <v/>
      </c>
      <c r="K1112">
        <f>IF($A1112="","",IF(COUNTIF($B$2:$B1112,$B1112)=COUNTIF($B$2:$B$1601,$B1112),$B1112,""))</f>
        <v/>
      </c>
    </row>
    <row r="1113">
      <c r="A1113">
        <f>IF('TMP Paste'!$E1113="","",'TMP Paste'!$E1113)</f>
        <v/>
      </c>
      <c r="B1113">
        <f>IF($A1113="","",COUNTIF('TMP Paste'!$B$2:$B1113,"?*"))</f>
        <v/>
      </c>
      <c r="C1113">
        <f>IF($A1113="","",IFERROR('TMP Paste'!$M1113*1,0))</f>
        <v/>
      </c>
      <c r="D1113">
        <f>IF($A1113="","",SUMIF($B$2:$B1113,$B1113,$C$2:$C1113))</f>
        <v/>
      </c>
      <c r="E1113">
        <f>IF($A1113="",0,IF('TMP Paste'!$B1113="",0,1))</f>
        <v/>
      </c>
      <c r="F1113">
        <f>IF(OR($A1113="",$C1113&lt;1),"",$A1113&amp;"-"&amp;TEXT(($D1113-$C1113+1),"00")&amp;IF($C1113&gt;=2,", "&amp;$A1113&amp;"-"&amp;TEXT(($D1113-$C1113+1)+1,"00"),"")&amp;IF($C1113&gt;=3,", "&amp;$A1113&amp;"-"&amp;TEXT(($D1113-$C1113+1)+2,"00"),"")&amp;IF($C1113&gt;=4,", "&amp;$A1113&amp;"-"&amp;TEXT(($D1113-$C1113+1)+3,"00"),"")&amp;IF($C1113&gt;=5,", "&amp;$A1113&amp;"-"&amp;TEXT(($D1113-$C1113+1)+4,"00"),"")&amp;IF($C1113&gt;=6,", "&amp;$A1113&amp;"-"&amp;TEXT(($D1113-$C1113+1)+5,"00"),"")&amp;IF($C1113&gt;=7,", "&amp;$A1113&amp;"-"&amp;TEXT(($D1113-$C1113+1)+6,"00"),"")&amp;IF($C1113&gt;=8,", "&amp;$A1113&amp;"-"&amp;TEXT(($D1113-$C1113+1)+7,"00"),"")&amp;IF($C1113&gt;=9,", "&amp;$A1113&amp;"-"&amp;TEXT(($D1113-$C1113+1)+8,"00"),"")&amp;IF($C1113&gt;=10,", "&amp;$A1113&amp;"-"&amp;TEXT(($D1113-$C1113+1)+9,"00"),"")&amp;IF($C1113&gt;=11,", "&amp;$A1113&amp;"-"&amp;TEXT(($D1113-$C1113+1)+10,"00"),"")&amp;IF($C1113&gt;=12,", "&amp;$A1113&amp;"-"&amp;TEXT(($D1113-$C1113+1)+11,"00"),"")&amp;IF($C1113&gt;=13,", "&amp;$A1113&amp;"-"&amp;TEXT(($D1113-$C1113+1)+12,"00"),"")&amp;IF($C1113&gt;=14,", "&amp;$A1113&amp;"-"&amp;TEXT(($D1113-$C1113+1)+13,"00"),"")&amp;IF($C1113&gt;=15,", "&amp;$A1113&amp;"-"&amp;TEXT(($D1113-$C1113+1)+14,"00"),"")&amp;IF($C1113&gt;=16,", "&amp;$A1113&amp;"-"&amp;TEXT(($D1113-$C1113+1)+15,"00"),"")&amp;IF($C1113&gt;=17,", "&amp;$A1113&amp;"-"&amp;TEXT(($D1113-$C1113+1)+16,"00"),"")&amp;IF($C1113&gt;=18,", "&amp;$A1113&amp;"-"&amp;TEXT(($D1113-$C1113+1)+17,"00"),"")&amp;IF($C1113&gt;=19,", "&amp;$A1113&amp;"-"&amp;TEXT(($D1113-$C1113+1)+18,"00"),"")&amp;IF($C1113&gt;=20,", "&amp;$A1113&amp;"-"&amp;TEXT(($D1113-$C1113+1)+19,"00"),"")&amp;IF($C1113&gt;=21,", "&amp;$A1113&amp;"-"&amp;TEXT(($D1113-$C1113+1)+20,"00"),"")&amp;IF($C1113&gt;=22,", "&amp;$A1113&amp;"-"&amp;TEXT(($D1113-$C1113+1)+21,"00"),"")&amp;IF($C1113&gt;=23,", "&amp;$A1113&amp;"-"&amp;TEXT(($D1113-$C1113+1)+22,"00"),"")&amp;IF($C1113&gt;=24,", "&amp;$A1113&amp;"-"&amp;TEXT(($D1113-$C1113+1)+23,"00"),"")&amp;IF($C1113&gt;=25,", "&amp;$A1113&amp;"-"&amp;TEXT(($D1113-$C1113+1)+24,"00"),""))</f>
        <v/>
      </c>
      <c r="G1113">
        <f>IF($A1113="","",IF($E1113=1,$F1113,IF($F1113="",$G1112,IF($G1112="",$F1113,$G1112&amp;", "&amp;$F1113))))</f>
        <v/>
      </c>
      <c r="H1113">
        <f>IF($A1113="","",$A1113&amp;" ("&amp;$C1113&amp;")")</f>
        <v/>
      </c>
      <c r="I1113">
        <f>IF($A1113="","",IF($E1113=1,$H1113,$I1112&amp;", "&amp;$H1113))</f>
        <v/>
      </c>
      <c r="J1113">
        <f>IF($A1113="","",IF($E1113=1,$B1113,""))</f>
        <v/>
      </c>
      <c r="K1113">
        <f>IF($A1113="","",IF(COUNTIF($B$2:$B1113,$B1113)=COUNTIF($B$2:$B$1601,$B1113),$B1113,""))</f>
        <v/>
      </c>
    </row>
    <row r="1114">
      <c r="A1114">
        <f>IF('TMP Paste'!$E1114="","",'TMP Paste'!$E1114)</f>
        <v/>
      </c>
      <c r="B1114">
        <f>IF($A1114="","",COUNTIF('TMP Paste'!$B$2:$B1114,"?*"))</f>
        <v/>
      </c>
      <c r="C1114">
        <f>IF($A1114="","",IFERROR('TMP Paste'!$M1114*1,0))</f>
        <v/>
      </c>
      <c r="D1114">
        <f>IF($A1114="","",SUMIF($B$2:$B1114,$B1114,$C$2:$C1114))</f>
        <v/>
      </c>
      <c r="E1114">
        <f>IF($A1114="",0,IF('TMP Paste'!$B1114="",0,1))</f>
        <v/>
      </c>
      <c r="F1114">
        <f>IF(OR($A1114="",$C1114&lt;1),"",$A1114&amp;"-"&amp;TEXT(($D1114-$C1114+1),"00")&amp;IF($C1114&gt;=2,", "&amp;$A1114&amp;"-"&amp;TEXT(($D1114-$C1114+1)+1,"00"),"")&amp;IF($C1114&gt;=3,", "&amp;$A1114&amp;"-"&amp;TEXT(($D1114-$C1114+1)+2,"00"),"")&amp;IF($C1114&gt;=4,", "&amp;$A1114&amp;"-"&amp;TEXT(($D1114-$C1114+1)+3,"00"),"")&amp;IF($C1114&gt;=5,", "&amp;$A1114&amp;"-"&amp;TEXT(($D1114-$C1114+1)+4,"00"),"")&amp;IF($C1114&gt;=6,", "&amp;$A1114&amp;"-"&amp;TEXT(($D1114-$C1114+1)+5,"00"),"")&amp;IF($C1114&gt;=7,", "&amp;$A1114&amp;"-"&amp;TEXT(($D1114-$C1114+1)+6,"00"),"")&amp;IF($C1114&gt;=8,", "&amp;$A1114&amp;"-"&amp;TEXT(($D1114-$C1114+1)+7,"00"),"")&amp;IF($C1114&gt;=9,", "&amp;$A1114&amp;"-"&amp;TEXT(($D1114-$C1114+1)+8,"00"),"")&amp;IF($C1114&gt;=10,", "&amp;$A1114&amp;"-"&amp;TEXT(($D1114-$C1114+1)+9,"00"),"")&amp;IF($C1114&gt;=11,", "&amp;$A1114&amp;"-"&amp;TEXT(($D1114-$C1114+1)+10,"00"),"")&amp;IF($C1114&gt;=12,", "&amp;$A1114&amp;"-"&amp;TEXT(($D1114-$C1114+1)+11,"00"),"")&amp;IF($C1114&gt;=13,", "&amp;$A1114&amp;"-"&amp;TEXT(($D1114-$C1114+1)+12,"00"),"")&amp;IF($C1114&gt;=14,", "&amp;$A1114&amp;"-"&amp;TEXT(($D1114-$C1114+1)+13,"00"),"")&amp;IF($C1114&gt;=15,", "&amp;$A1114&amp;"-"&amp;TEXT(($D1114-$C1114+1)+14,"00"),"")&amp;IF($C1114&gt;=16,", "&amp;$A1114&amp;"-"&amp;TEXT(($D1114-$C1114+1)+15,"00"),"")&amp;IF($C1114&gt;=17,", "&amp;$A1114&amp;"-"&amp;TEXT(($D1114-$C1114+1)+16,"00"),"")&amp;IF($C1114&gt;=18,", "&amp;$A1114&amp;"-"&amp;TEXT(($D1114-$C1114+1)+17,"00"),"")&amp;IF($C1114&gt;=19,", "&amp;$A1114&amp;"-"&amp;TEXT(($D1114-$C1114+1)+18,"00"),"")&amp;IF($C1114&gt;=20,", "&amp;$A1114&amp;"-"&amp;TEXT(($D1114-$C1114+1)+19,"00"),"")&amp;IF($C1114&gt;=21,", "&amp;$A1114&amp;"-"&amp;TEXT(($D1114-$C1114+1)+20,"00"),"")&amp;IF($C1114&gt;=22,", "&amp;$A1114&amp;"-"&amp;TEXT(($D1114-$C1114+1)+21,"00"),"")&amp;IF($C1114&gt;=23,", "&amp;$A1114&amp;"-"&amp;TEXT(($D1114-$C1114+1)+22,"00"),"")&amp;IF($C1114&gt;=24,", "&amp;$A1114&amp;"-"&amp;TEXT(($D1114-$C1114+1)+23,"00"),"")&amp;IF($C1114&gt;=25,", "&amp;$A1114&amp;"-"&amp;TEXT(($D1114-$C1114+1)+24,"00"),""))</f>
        <v/>
      </c>
      <c r="G1114">
        <f>IF($A1114="","",IF($E1114=1,$F1114,IF($F1114="",$G1113,IF($G1113="",$F1114,$G1113&amp;", "&amp;$F1114))))</f>
        <v/>
      </c>
      <c r="H1114">
        <f>IF($A1114="","",$A1114&amp;" ("&amp;$C1114&amp;")")</f>
        <v/>
      </c>
      <c r="I1114">
        <f>IF($A1114="","",IF($E1114=1,$H1114,$I1113&amp;", "&amp;$H1114))</f>
        <v/>
      </c>
      <c r="J1114">
        <f>IF($A1114="","",IF($E1114=1,$B1114,""))</f>
        <v/>
      </c>
      <c r="K1114">
        <f>IF($A1114="","",IF(COUNTIF($B$2:$B1114,$B1114)=COUNTIF($B$2:$B$1601,$B1114),$B1114,""))</f>
        <v/>
      </c>
    </row>
    <row r="1115">
      <c r="A1115">
        <f>IF('TMP Paste'!$E1115="","",'TMP Paste'!$E1115)</f>
        <v/>
      </c>
      <c r="B1115">
        <f>IF($A1115="","",COUNTIF('TMP Paste'!$B$2:$B1115,"?*"))</f>
        <v/>
      </c>
      <c r="C1115">
        <f>IF($A1115="","",IFERROR('TMP Paste'!$M1115*1,0))</f>
        <v/>
      </c>
      <c r="D1115">
        <f>IF($A1115="","",SUMIF($B$2:$B1115,$B1115,$C$2:$C1115))</f>
        <v/>
      </c>
      <c r="E1115">
        <f>IF($A1115="",0,IF('TMP Paste'!$B1115="",0,1))</f>
        <v/>
      </c>
      <c r="F1115">
        <f>IF(OR($A1115="",$C1115&lt;1),"",$A1115&amp;"-"&amp;TEXT(($D1115-$C1115+1),"00")&amp;IF($C1115&gt;=2,", "&amp;$A1115&amp;"-"&amp;TEXT(($D1115-$C1115+1)+1,"00"),"")&amp;IF($C1115&gt;=3,", "&amp;$A1115&amp;"-"&amp;TEXT(($D1115-$C1115+1)+2,"00"),"")&amp;IF($C1115&gt;=4,", "&amp;$A1115&amp;"-"&amp;TEXT(($D1115-$C1115+1)+3,"00"),"")&amp;IF($C1115&gt;=5,", "&amp;$A1115&amp;"-"&amp;TEXT(($D1115-$C1115+1)+4,"00"),"")&amp;IF($C1115&gt;=6,", "&amp;$A1115&amp;"-"&amp;TEXT(($D1115-$C1115+1)+5,"00"),"")&amp;IF($C1115&gt;=7,", "&amp;$A1115&amp;"-"&amp;TEXT(($D1115-$C1115+1)+6,"00"),"")&amp;IF($C1115&gt;=8,", "&amp;$A1115&amp;"-"&amp;TEXT(($D1115-$C1115+1)+7,"00"),"")&amp;IF($C1115&gt;=9,", "&amp;$A1115&amp;"-"&amp;TEXT(($D1115-$C1115+1)+8,"00"),"")&amp;IF($C1115&gt;=10,", "&amp;$A1115&amp;"-"&amp;TEXT(($D1115-$C1115+1)+9,"00"),"")&amp;IF($C1115&gt;=11,", "&amp;$A1115&amp;"-"&amp;TEXT(($D1115-$C1115+1)+10,"00"),"")&amp;IF($C1115&gt;=12,", "&amp;$A1115&amp;"-"&amp;TEXT(($D1115-$C1115+1)+11,"00"),"")&amp;IF($C1115&gt;=13,", "&amp;$A1115&amp;"-"&amp;TEXT(($D1115-$C1115+1)+12,"00"),"")&amp;IF($C1115&gt;=14,", "&amp;$A1115&amp;"-"&amp;TEXT(($D1115-$C1115+1)+13,"00"),"")&amp;IF($C1115&gt;=15,", "&amp;$A1115&amp;"-"&amp;TEXT(($D1115-$C1115+1)+14,"00"),"")&amp;IF($C1115&gt;=16,", "&amp;$A1115&amp;"-"&amp;TEXT(($D1115-$C1115+1)+15,"00"),"")&amp;IF($C1115&gt;=17,", "&amp;$A1115&amp;"-"&amp;TEXT(($D1115-$C1115+1)+16,"00"),"")&amp;IF($C1115&gt;=18,", "&amp;$A1115&amp;"-"&amp;TEXT(($D1115-$C1115+1)+17,"00"),"")&amp;IF($C1115&gt;=19,", "&amp;$A1115&amp;"-"&amp;TEXT(($D1115-$C1115+1)+18,"00"),"")&amp;IF($C1115&gt;=20,", "&amp;$A1115&amp;"-"&amp;TEXT(($D1115-$C1115+1)+19,"00"),"")&amp;IF($C1115&gt;=21,", "&amp;$A1115&amp;"-"&amp;TEXT(($D1115-$C1115+1)+20,"00"),"")&amp;IF($C1115&gt;=22,", "&amp;$A1115&amp;"-"&amp;TEXT(($D1115-$C1115+1)+21,"00"),"")&amp;IF($C1115&gt;=23,", "&amp;$A1115&amp;"-"&amp;TEXT(($D1115-$C1115+1)+22,"00"),"")&amp;IF($C1115&gt;=24,", "&amp;$A1115&amp;"-"&amp;TEXT(($D1115-$C1115+1)+23,"00"),"")&amp;IF($C1115&gt;=25,", "&amp;$A1115&amp;"-"&amp;TEXT(($D1115-$C1115+1)+24,"00"),""))</f>
        <v/>
      </c>
      <c r="G1115">
        <f>IF($A1115="","",IF($E1115=1,$F1115,IF($F1115="",$G1114,IF($G1114="",$F1115,$G1114&amp;", "&amp;$F1115))))</f>
        <v/>
      </c>
      <c r="H1115">
        <f>IF($A1115="","",$A1115&amp;" ("&amp;$C1115&amp;")")</f>
        <v/>
      </c>
      <c r="I1115">
        <f>IF($A1115="","",IF($E1115=1,$H1115,$I1114&amp;", "&amp;$H1115))</f>
        <v/>
      </c>
      <c r="J1115">
        <f>IF($A1115="","",IF($E1115=1,$B1115,""))</f>
        <v/>
      </c>
      <c r="K1115">
        <f>IF($A1115="","",IF(COUNTIF($B$2:$B1115,$B1115)=COUNTIF($B$2:$B$1601,$B1115),$B1115,""))</f>
        <v/>
      </c>
    </row>
    <row r="1116">
      <c r="A1116">
        <f>IF('TMP Paste'!$E1116="","",'TMP Paste'!$E1116)</f>
        <v/>
      </c>
      <c r="B1116">
        <f>IF($A1116="","",COUNTIF('TMP Paste'!$B$2:$B1116,"?*"))</f>
        <v/>
      </c>
      <c r="C1116">
        <f>IF($A1116="","",IFERROR('TMP Paste'!$M1116*1,0))</f>
        <v/>
      </c>
      <c r="D1116">
        <f>IF($A1116="","",SUMIF($B$2:$B1116,$B1116,$C$2:$C1116))</f>
        <v/>
      </c>
      <c r="E1116">
        <f>IF($A1116="",0,IF('TMP Paste'!$B1116="",0,1))</f>
        <v/>
      </c>
      <c r="F1116">
        <f>IF(OR($A1116="",$C1116&lt;1),"",$A1116&amp;"-"&amp;TEXT(($D1116-$C1116+1),"00")&amp;IF($C1116&gt;=2,", "&amp;$A1116&amp;"-"&amp;TEXT(($D1116-$C1116+1)+1,"00"),"")&amp;IF($C1116&gt;=3,", "&amp;$A1116&amp;"-"&amp;TEXT(($D1116-$C1116+1)+2,"00"),"")&amp;IF($C1116&gt;=4,", "&amp;$A1116&amp;"-"&amp;TEXT(($D1116-$C1116+1)+3,"00"),"")&amp;IF($C1116&gt;=5,", "&amp;$A1116&amp;"-"&amp;TEXT(($D1116-$C1116+1)+4,"00"),"")&amp;IF($C1116&gt;=6,", "&amp;$A1116&amp;"-"&amp;TEXT(($D1116-$C1116+1)+5,"00"),"")&amp;IF($C1116&gt;=7,", "&amp;$A1116&amp;"-"&amp;TEXT(($D1116-$C1116+1)+6,"00"),"")&amp;IF($C1116&gt;=8,", "&amp;$A1116&amp;"-"&amp;TEXT(($D1116-$C1116+1)+7,"00"),"")&amp;IF($C1116&gt;=9,", "&amp;$A1116&amp;"-"&amp;TEXT(($D1116-$C1116+1)+8,"00"),"")&amp;IF($C1116&gt;=10,", "&amp;$A1116&amp;"-"&amp;TEXT(($D1116-$C1116+1)+9,"00"),"")&amp;IF($C1116&gt;=11,", "&amp;$A1116&amp;"-"&amp;TEXT(($D1116-$C1116+1)+10,"00"),"")&amp;IF($C1116&gt;=12,", "&amp;$A1116&amp;"-"&amp;TEXT(($D1116-$C1116+1)+11,"00"),"")&amp;IF($C1116&gt;=13,", "&amp;$A1116&amp;"-"&amp;TEXT(($D1116-$C1116+1)+12,"00"),"")&amp;IF($C1116&gt;=14,", "&amp;$A1116&amp;"-"&amp;TEXT(($D1116-$C1116+1)+13,"00"),"")&amp;IF($C1116&gt;=15,", "&amp;$A1116&amp;"-"&amp;TEXT(($D1116-$C1116+1)+14,"00"),"")&amp;IF($C1116&gt;=16,", "&amp;$A1116&amp;"-"&amp;TEXT(($D1116-$C1116+1)+15,"00"),"")&amp;IF($C1116&gt;=17,", "&amp;$A1116&amp;"-"&amp;TEXT(($D1116-$C1116+1)+16,"00"),"")&amp;IF($C1116&gt;=18,", "&amp;$A1116&amp;"-"&amp;TEXT(($D1116-$C1116+1)+17,"00"),"")&amp;IF($C1116&gt;=19,", "&amp;$A1116&amp;"-"&amp;TEXT(($D1116-$C1116+1)+18,"00"),"")&amp;IF($C1116&gt;=20,", "&amp;$A1116&amp;"-"&amp;TEXT(($D1116-$C1116+1)+19,"00"),"")&amp;IF($C1116&gt;=21,", "&amp;$A1116&amp;"-"&amp;TEXT(($D1116-$C1116+1)+20,"00"),"")&amp;IF($C1116&gt;=22,", "&amp;$A1116&amp;"-"&amp;TEXT(($D1116-$C1116+1)+21,"00"),"")&amp;IF($C1116&gt;=23,", "&amp;$A1116&amp;"-"&amp;TEXT(($D1116-$C1116+1)+22,"00"),"")&amp;IF($C1116&gt;=24,", "&amp;$A1116&amp;"-"&amp;TEXT(($D1116-$C1116+1)+23,"00"),"")&amp;IF($C1116&gt;=25,", "&amp;$A1116&amp;"-"&amp;TEXT(($D1116-$C1116+1)+24,"00"),""))</f>
        <v/>
      </c>
      <c r="G1116">
        <f>IF($A1116="","",IF($E1116=1,$F1116,IF($F1116="",$G1115,IF($G1115="",$F1116,$G1115&amp;", "&amp;$F1116))))</f>
        <v/>
      </c>
      <c r="H1116">
        <f>IF($A1116="","",$A1116&amp;" ("&amp;$C1116&amp;")")</f>
        <v/>
      </c>
      <c r="I1116">
        <f>IF($A1116="","",IF($E1116=1,$H1116,$I1115&amp;", "&amp;$H1116))</f>
        <v/>
      </c>
      <c r="J1116">
        <f>IF($A1116="","",IF($E1116=1,$B1116,""))</f>
        <v/>
      </c>
      <c r="K1116">
        <f>IF($A1116="","",IF(COUNTIF($B$2:$B1116,$B1116)=COUNTIF($B$2:$B$1601,$B1116),$B1116,""))</f>
        <v/>
      </c>
    </row>
    <row r="1117">
      <c r="A1117">
        <f>IF('TMP Paste'!$E1117="","",'TMP Paste'!$E1117)</f>
        <v/>
      </c>
      <c r="B1117">
        <f>IF($A1117="","",COUNTIF('TMP Paste'!$B$2:$B1117,"?*"))</f>
        <v/>
      </c>
      <c r="C1117">
        <f>IF($A1117="","",IFERROR('TMP Paste'!$M1117*1,0))</f>
        <v/>
      </c>
      <c r="D1117">
        <f>IF($A1117="","",SUMIF($B$2:$B1117,$B1117,$C$2:$C1117))</f>
        <v/>
      </c>
      <c r="E1117">
        <f>IF($A1117="",0,IF('TMP Paste'!$B1117="",0,1))</f>
        <v/>
      </c>
      <c r="F1117">
        <f>IF(OR($A1117="",$C1117&lt;1),"",$A1117&amp;"-"&amp;TEXT(($D1117-$C1117+1),"00")&amp;IF($C1117&gt;=2,", "&amp;$A1117&amp;"-"&amp;TEXT(($D1117-$C1117+1)+1,"00"),"")&amp;IF($C1117&gt;=3,", "&amp;$A1117&amp;"-"&amp;TEXT(($D1117-$C1117+1)+2,"00"),"")&amp;IF($C1117&gt;=4,", "&amp;$A1117&amp;"-"&amp;TEXT(($D1117-$C1117+1)+3,"00"),"")&amp;IF($C1117&gt;=5,", "&amp;$A1117&amp;"-"&amp;TEXT(($D1117-$C1117+1)+4,"00"),"")&amp;IF($C1117&gt;=6,", "&amp;$A1117&amp;"-"&amp;TEXT(($D1117-$C1117+1)+5,"00"),"")&amp;IF($C1117&gt;=7,", "&amp;$A1117&amp;"-"&amp;TEXT(($D1117-$C1117+1)+6,"00"),"")&amp;IF($C1117&gt;=8,", "&amp;$A1117&amp;"-"&amp;TEXT(($D1117-$C1117+1)+7,"00"),"")&amp;IF($C1117&gt;=9,", "&amp;$A1117&amp;"-"&amp;TEXT(($D1117-$C1117+1)+8,"00"),"")&amp;IF($C1117&gt;=10,", "&amp;$A1117&amp;"-"&amp;TEXT(($D1117-$C1117+1)+9,"00"),"")&amp;IF($C1117&gt;=11,", "&amp;$A1117&amp;"-"&amp;TEXT(($D1117-$C1117+1)+10,"00"),"")&amp;IF($C1117&gt;=12,", "&amp;$A1117&amp;"-"&amp;TEXT(($D1117-$C1117+1)+11,"00"),"")&amp;IF($C1117&gt;=13,", "&amp;$A1117&amp;"-"&amp;TEXT(($D1117-$C1117+1)+12,"00"),"")&amp;IF($C1117&gt;=14,", "&amp;$A1117&amp;"-"&amp;TEXT(($D1117-$C1117+1)+13,"00"),"")&amp;IF($C1117&gt;=15,", "&amp;$A1117&amp;"-"&amp;TEXT(($D1117-$C1117+1)+14,"00"),"")&amp;IF($C1117&gt;=16,", "&amp;$A1117&amp;"-"&amp;TEXT(($D1117-$C1117+1)+15,"00"),"")&amp;IF($C1117&gt;=17,", "&amp;$A1117&amp;"-"&amp;TEXT(($D1117-$C1117+1)+16,"00"),"")&amp;IF($C1117&gt;=18,", "&amp;$A1117&amp;"-"&amp;TEXT(($D1117-$C1117+1)+17,"00"),"")&amp;IF($C1117&gt;=19,", "&amp;$A1117&amp;"-"&amp;TEXT(($D1117-$C1117+1)+18,"00"),"")&amp;IF($C1117&gt;=20,", "&amp;$A1117&amp;"-"&amp;TEXT(($D1117-$C1117+1)+19,"00"),"")&amp;IF($C1117&gt;=21,", "&amp;$A1117&amp;"-"&amp;TEXT(($D1117-$C1117+1)+20,"00"),"")&amp;IF($C1117&gt;=22,", "&amp;$A1117&amp;"-"&amp;TEXT(($D1117-$C1117+1)+21,"00"),"")&amp;IF($C1117&gt;=23,", "&amp;$A1117&amp;"-"&amp;TEXT(($D1117-$C1117+1)+22,"00"),"")&amp;IF($C1117&gt;=24,", "&amp;$A1117&amp;"-"&amp;TEXT(($D1117-$C1117+1)+23,"00"),"")&amp;IF($C1117&gt;=25,", "&amp;$A1117&amp;"-"&amp;TEXT(($D1117-$C1117+1)+24,"00"),""))</f>
        <v/>
      </c>
      <c r="G1117">
        <f>IF($A1117="","",IF($E1117=1,$F1117,IF($F1117="",$G1116,IF($G1116="",$F1117,$G1116&amp;", "&amp;$F1117))))</f>
        <v/>
      </c>
      <c r="H1117">
        <f>IF($A1117="","",$A1117&amp;" ("&amp;$C1117&amp;")")</f>
        <v/>
      </c>
      <c r="I1117">
        <f>IF($A1117="","",IF($E1117=1,$H1117,$I1116&amp;", "&amp;$H1117))</f>
        <v/>
      </c>
      <c r="J1117">
        <f>IF($A1117="","",IF($E1117=1,$B1117,""))</f>
        <v/>
      </c>
      <c r="K1117">
        <f>IF($A1117="","",IF(COUNTIF($B$2:$B1117,$B1117)=COUNTIF($B$2:$B$1601,$B1117),$B1117,""))</f>
        <v/>
      </c>
    </row>
    <row r="1118">
      <c r="A1118">
        <f>IF('TMP Paste'!$E1118="","",'TMP Paste'!$E1118)</f>
        <v/>
      </c>
      <c r="B1118">
        <f>IF($A1118="","",COUNTIF('TMP Paste'!$B$2:$B1118,"?*"))</f>
        <v/>
      </c>
      <c r="C1118">
        <f>IF($A1118="","",IFERROR('TMP Paste'!$M1118*1,0))</f>
        <v/>
      </c>
      <c r="D1118">
        <f>IF($A1118="","",SUMIF($B$2:$B1118,$B1118,$C$2:$C1118))</f>
        <v/>
      </c>
      <c r="E1118">
        <f>IF($A1118="",0,IF('TMP Paste'!$B1118="",0,1))</f>
        <v/>
      </c>
      <c r="F1118">
        <f>IF(OR($A1118="",$C1118&lt;1),"",$A1118&amp;"-"&amp;TEXT(($D1118-$C1118+1),"00")&amp;IF($C1118&gt;=2,", "&amp;$A1118&amp;"-"&amp;TEXT(($D1118-$C1118+1)+1,"00"),"")&amp;IF($C1118&gt;=3,", "&amp;$A1118&amp;"-"&amp;TEXT(($D1118-$C1118+1)+2,"00"),"")&amp;IF($C1118&gt;=4,", "&amp;$A1118&amp;"-"&amp;TEXT(($D1118-$C1118+1)+3,"00"),"")&amp;IF($C1118&gt;=5,", "&amp;$A1118&amp;"-"&amp;TEXT(($D1118-$C1118+1)+4,"00"),"")&amp;IF($C1118&gt;=6,", "&amp;$A1118&amp;"-"&amp;TEXT(($D1118-$C1118+1)+5,"00"),"")&amp;IF($C1118&gt;=7,", "&amp;$A1118&amp;"-"&amp;TEXT(($D1118-$C1118+1)+6,"00"),"")&amp;IF($C1118&gt;=8,", "&amp;$A1118&amp;"-"&amp;TEXT(($D1118-$C1118+1)+7,"00"),"")&amp;IF($C1118&gt;=9,", "&amp;$A1118&amp;"-"&amp;TEXT(($D1118-$C1118+1)+8,"00"),"")&amp;IF($C1118&gt;=10,", "&amp;$A1118&amp;"-"&amp;TEXT(($D1118-$C1118+1)+9,"00"),"")&amp;IF($C1118&gt;=11,", "&amp;$A1118&amp;"-"&amp;TEXT(($D1118-$C1118+1)+10,"00"),"")&amp;IF($C1118&gt;=12,", "&amp;$A1118&amp;"-"&amp;TEXT(($D1118-$C1118+1)+11,"00"),"")&amp;IF($C1118&gt;=13,", "&amp;$A1118&amp;"-"&amp;TEXT(($D1118-$C1118+1)+12,"00"),"")&amp;IF($C1118&gt;=14,", "&amp;$A1118&amp;"-"&amp;TEXT(($D1118-$C1118+1)+13,"00"),"")&amp;IF($C1118&gt;=15,", "&amp;$A1118&amp;"-"&amp;TEXT(($D1118-$C1118+1)+14,"00"),"")&amp;IF($C1118&gt;=16,", "&amp;$A1118&amp;"-"&amp;TEXT(($D1118-$C1118+1)+15,"00"),"")&amp;IF($C1118&gt;=17,", "&amp;$A1118&amp;"-"&amp;TEXT(($D1118-$C1118+1)+16,"00"),"")&amp;IF($C1118&gt;=18,", "&amp;$A1118&amp;"-"&amp;TEXT(($D1118-$C1118+1)+17,"00"),"")&amp;IF($C1118&gt;=19,", "&amp;$A1118&amp;"-"&amp;TEXT(($D1118-$C1118+1)+18,"00"),"")&amp;IF($C1118&gt;=20,", "&amp;$A1118&amp;"-"&amp;TEXT(($D1118-$C1118+1)+19,"00"),"")&amp;IF($C1118&gt;=21,", "&amp;$A1118&amp;"-"&amp;TEXT(($D1118-$C1118+1)+20,"00"),"")&amp;IF($C1118&gt;=22,", "&amp;$A1118&amp;"-"&amp;TEXT(($D1118-$C1118+1)+21,"00"),"")&amp;IF($C1118&gt;=23,", "&amp;$A1118&amp;"-"&amp;TEXT(($D1118-$C1118+1)+22,"00"),"")&amp;IF($C1118&gt;=24,", "&amp;$A1118&amp;"-"&amp;TEXT(($D1118-$C1118+1)+23,"00"),"")&amp;IF($C1118&gt;=25,", "&amp;$A1118&amp;"-"&amp;TEXT(($D1118-$C1118+1)+24,"00"),""))</f>
        <v/>
      </c>
      <c r="G1118">
        <f>IF($A1118="","",IF($E1118=1,$F1118,IF($F1118="",$G1117,IF($G1117="",$F1118,$G1117&amp;", "&amp;$F1118))))</f>
        <v/>
      </c>
      <c r="H1118">
        <f>IF($A1118="","",$A1118&amp;" ("&amp;$C1118&amp;")")</f>
        <v/>
      </c>
      <c r="I1118">
        <f>IF($A1118="","",IF($E1118=1,$H1118,$I1117&amp;", "&amp;$H1118))</f>
        <v/>
      </c>
      <c r="J1118">
        <f>IF($A1118="","",IF($E1118=1,$B1118,""))</f>
        <v/>
      </c>
      <c r="K1118">
        <f>IF($A1118="","",IF(COUNTIF($B$2:$B1118,$B1118)=COUNTIF($B$2:$B$1601,$B1118),$B1118,""))</f>
        <v/>
      </c>
    </row>
    <row r="1119">
      <c r="A1119">
        <f>IF('TMP Paste'!$E1119="","",'TMP Paste'!$E1119)</f>
        <v/>
      </c>
      <c r="B1119">
        <f>IF($A1119="","",COUNTIF('TMP Paste'!$B$2:$B1119,"?*"))</f>
        <v/>
      </c>
      <c r="C1119">
        <f>IF($A1119="","",IFERROR('TMP Paste'!$M1119*1,0))</f>
        <v/>
      </c>
      <c r="D1119">
        <f>IF($A1119="","",SUMIF($B$2:$B1119,$B1119,$C$2:$C1119))</f>
        <v/>
      </c>
      <c r="E1119">
        <f>IF($A1119="",0,IF('TMP Paste'!$B1119="",0,1))</f>
        <v/>
      </c>
      <c r="F1119">
        <f>IF(OR($A1119="",$C1119&lt;1),"",$A1119&amp;"-"&amp;TEXT(($D1119-$C1119+1),"00")&amp;IF($C1119&gt;=2,", "&amp;$A1119&amp;"-"&amp;TEXT(($D1119-$C1119+1)+1,"00"),"")&amp;IF($C1119&gt;=3,", "&amp;$A1119&amp;"-"&amp;TEXT(($D1119-$C1119+1)+2,"00"),"")&amp;IF($C1119&gt;=4,", "&amp;$A1119&amp;"-"&amp;TEXT(($D1119-$C1119+1)+3,"00"),"")&amp;IF($C1119&gt;=5,", "&amp;$A1119&amp;"-"&amp;TEXT(($D1119-$C1119+1)+4,"00"),"")&amp;IF($C1119&gt;=6,", "&amp;$A1119&amp;"-"&amp;TEXT(($D1119-$C1119+1)+5,"00"),"")&amp;IF($C1119&gt;=7,", "&amp;$A1119&amp;"-"&amp;TEXT(($D1119-$C1119+1)+6,"00"),"")&amp;IF($C1119&gt;=8,", "&amp;$A1119&amp;"-"&amp;TEXT(($D1119-$C1119+1)+7,"00"),"")&amp;IF($C1119&gt;=9,", "&amp;$A1119&amp;"-"&amp;TEXT(($D1119-$C1119+1)+8,"00"),"")&amp;IF($C1119&gt;=10,", "&amp;$A1119&amp;"-"&amp;TEXT(($D1119-$C1119+1)+9,"00"),"")&amp;IF($C1119&gt;=11,", "&amp;$A1119&amp;"-"&amp;TEXT(($D1119-$C1119+1)+10,"00"),"")&amp;IF($C1119&gt;=12,", "&amp;$A1119&amp;"-"&amp;TEXT(($D1119-$C1119+1)+11,"00"),"")&amp;IF($C1119&gt;=13,", "&amp;$A1119&amp;"-"&amp;TEXT(($D1119-$C1119+1)+12,"00"),"")&amp;IF($C1119&gt;=14,", "&amp;$A1119&amp;"-"&amp;TEXT(($D1119-$C1119+1)+13,"00"),"")&amp;IF($C1119&gt;=15,", "&amp;$A1119&amp;"-"&amp;TEXT(($D1119-$C1119+1)+14,"00"),"")&amp;IF($C1119&gt;=16,", "&amp;$A1119&amp;"-"&amp;TEXT(($D1119-$C1119+1)+15,"00"),"")&amp;IF($C1119&gt;=17,", "&amp;$A1119&amp;"-"&amp;TEXT(($D1119-$C1119+1)+16,"00"),"")&amp;IF($C1119&gt;=18,", "&amp;$A1119&amp;"-"&amp;TEXT(($D1119-$C1119+1)+17,"00"),"")&amp;IF($C1119&gt;=19,", "&amp;$A1119&amp;"-"&amp;TEXT(($D1119-$C1119+1)+18,"00"),"")&amp;IF($C1119&gt;=20,", "&amp;$A1119&amp;"-"&amp;TEXT(($D1119-$C1119+1)+19,"00"),"")&amp;IF($C1119&gt;=21,", "&amp;$A1119&amp;"-"&amp;TEXT(($D1119-$C1119+1)+20,"00"),"")&amp;IF($C1119&gt;=22,", "&amp;$A1119&amp;"-"&amp;TEXT(($D1119-$C1119+1)+21,"00"),"")&amp;IF($C1119&gt;=23,", "&amp;$A1119&amp;"-"&amp;TEXT(($D1119-$C1119+1)+22,"00"),"")&amp;IF($C1119&gt;=24,", "&amp;$A1119&amp;"-"&amp;TEXT(($D1119-$C1119+1)+23,"00"),"")&amp;IF($C1119&gt;=25,", "&amp;$A1119&amp;"-"&amp;TEXT(($D1119-$C1119+1)+24,"00"),""))</f>
        <v/>
      </c>
      <c r="G1119">
        <f>IF($A1119="","",IF($E1119=1,$F1119,IF($F1119="",$G1118,IF($G1118="",$F1119,$G1118&amp;", "&amp;$F1119))))</f>
        <v/>
      </c>
      <c r="H1119">
        <f>IF($A1119="","",$A1119&amp;" ("&amp;$C1119&amp;")")</f>
        <v/>
      </c>
      <c r="I1119">
        <f>IF($A1119="","",IF($E1119=1,$H1119,$I1118&amp;", "&amp;$H1119))</f>
        <v/>
      </c>
      <c r="J1119">
        <f>IF($A1119="","",IF($E1119=1,$B1119,""))</f>
        <v/>
      </c>
      <c r="K1119">
        <f>IF($A1119="","",IF(COUNTIF($B$2:$B1119,$B1119)=COUNTIF($B$2:$B$1601,$B1119),$B1119,""))</f>
        <v/>
      </c>
    </row>
    <row r="1120">
      <c r="A1120">
        <f>IF('TMP Paste'!$E1120="","",'TMP Paste'!$E1120)</f>
        <v/>
      </c>
      <c r="B1120">
        <f>IF($A1120="","",COUNTIF('TMP Paste'!$B$2:$B1120,"?*"))</f>
        <v/>
      </c>
      <c r="C1120">
        <f>IF($A1120="","",IFERROR('TMP Paste'!$M1120*1,0))</f>
        <v/>
      </c>
      <c r="D1120">
        <f>IF($A1120="","",SUMIF($B$2:$B1120,$B1120,$C$2:$C1120))</f>
        <v/>
      </c>
      <c r="E1120">
        <f>IF($A1120="",0,IF('TMP Paste'!$B1120="",0,1))</f>
        <v/>
      </c>
      <c r="F1120">
        <f>IF(OR($A1120="",$C1120&lt;1),"",$A1120&amp;"-"&amp;TEXT(($D1120-$C1120+1),"00")&amp;IF($C1120&gt;=2,", "&amp;$A1120&amp;"-"&amp;TEXT(($D1120-$C1120+1)+1,"00"),"")&amp;IF($C1120&gt;=3,", "&amp;$A1120&amp;"-"&amp;TEXT(($D1120-$C1120+1)+2,"00"),"")&amp;IF($C1120&gt;=4,", "&amp;$A1120&amp;"-"&amp;TEXT(($D1120-$C1120+1)+3,"00"),"")&amp;IF($C1120&gt;=5,", "&amp;$A1120&amp;"-"&amp;TEXT(($D1120-$C1120+1)+4,"00"),"")&amp;IF($C1120&gt;=6,", "&amp;$A1120&amp;"-"&amp;TEXT(($D1120-$C1120+1)+5,"00"),"")&amp;IF($C1120&gt;=7,", "&amp;$A1120&amp;"-"&amp;TEXT(($D1120-$C1120+1)+6,"00"),"")&amp;IF($C1120&gt;=8,", "&amp;$A1120&amp;"-"&amp;TEXT(($D1120-$C1120+1)+7,"00"),"")&amp;IF($C1120&gt;=9,", "&amp;$A1120&amp;"-"&amp;TEXT(($D1120-$C1120+1)+8,"00"),"")&amp;IF($C1120&gt;=10,", "&amp;$A1120&amp;"-"&amp;TEXT(($D1120-$C1120+1)+9,"00"),"")&amp;IF($C1120&gt;=11,", "&amp;$A1120&amp;"-"&amp;TEXT(($D1120-$C1120+1)+10,"00"),"")&amp;IF($C1120&gt;=12,", "&amp;$A1120&amp;"-"&amp;TEXT(($D1120-$C1120+1)+11,"00"),"")&amp;IF($C1120&gt;=13,", "&amp;$A1120&amp;"-"&amp;TEXT(($D1120-$C1120+1)+12,"00"),"")&amp;IF($C1120&gt;=14,", "&amp;$A1120&amp;"-"&amp;TEXT(($D1120-$C1120+1)+13,"00"),"")&amp;IF($C1120&gt;=15,", "&amp;$A1120&amp;"-"&amp;TEXT(($D1120-$C1120+1)+14,"00"),"")&amp;IF($C1120&gt;=16,", "&amp;$A1120&amp;"-"&amp;TEXT(($D1120-$C1120+1)+15,"00"),"")&amp;IF($C1120&gt;=17,", "&amp;$A1120&amp;"-"&amp;TEXT(($D1120-$C1120+1)+16,"00"),"")&amp;IF($C1120&gt;=18,", "&amp;$A1120&amp;"-"&amp;TEXT(($D1120-$C1120+1)+17,"00"),"")&amp;IF($C1120&gt;=19,", "&amp;$A1120&amp;"-"&amp;TEXT(($D1120-$C1120+1)+18,"00"),"")&amp;IF($C1120&gt;=20,", "&amp;$A1120&amp;"-"&amp;TEXT(($D1120-$C1120+1)+19,"00"),"")&amp;IF($C1120&gt;=21,", "&amp;$A1120&amp;"-"&amp;TEXT(($D1120-$C1120+1)+20,"00"),"")&amp;IF($C1120&gt;=22,", "&amp;$A1120&amp;"-"&amp;TEXT(($D1120-$C1120+1)+21,"00"),"")&amp;IF($C1120&gt;=23,", "&amp;$A1120&amp;"-"&amp;TEXT(($D1120-$C1120+1)+22,"00"),"")&amp;IF($C1120&gt;=24,", "&amp;$A1120&amp;"-"&amp;TEXT(($D1120-$C1120+1)+23,"00"),"")&amp;IF($C1120&gt;=25,", "&amp;$A1120&amp;"-"&amp;TEXT(($D1120-$C1120+1)+24,"00"),""))</f>
        <v/>
      </c>
      <c r="G1120">
        <f>IF($A1120="","",IF($E1120=1,$F1120,IF($F1120="",$G1119,IF($G1119="",$F1120,$G1119&amp;", "&amp;$F1120))))</f>
        <v/>
      </c>
      <c r="H1120">
        <f>IF($A1120="","",$A1120&amp;" ("&amp;$C1120&amp;")")</f>
        <v/>
      </c>
      <c r="I1120">
        <f>IF($A1120="","",IF($E1120=1,$H1120,$I1119&amp;", "&amp;$H1120))</f>
        <v/>
      </c>
      <c r="J1120">
        <f>IF($A1120="","",IF($E1120=1,$B1120,""))</f>
        <v/>
      </c>
      <c r="K1120">
        <f>IF($A1120="","",IF(COUNTIF($B$2:$B1120,$B1120)=COUNTIF($B$2:$B$1601,$B1120),$B1120,""))</f>
        <v/>
      </c>
    </row>
    <row r="1121">
      <c r="A1121">
        <f>IF('TMP Paste'!$E1121="","",'TMP Paste'!$E1121)</f>
        <v/>
      </c>
      <c r="B1121">
        <f>IF($A1121="","",COUNTIF('TMP Paste'!$B$2:$B1121,"?*"))</f>
        <v/>
      </c>
      <c r="C1121">
        <f>IF($A1121="","",IFERROR('TMP Paste'!$M1121*1,0))</f>
        <v/>
      </c>
      <c r="D1121">
        <f>IF($A1121="","",SUMIF($B$2:$B1121,$B1121,$C$2:$C1121))</f>
        <v/>
      </c>
      <c r="E1121">
        <f>IF($A1121="",0,IF('TMP Paste'!$B1121="",0,1))</f>
        <v/>
      </c>
      <c r="F1121">
        <f>IF(OR($A1121="",$C1121&lt;1),"",$A1121&amp;"-"&amp;TEXT(($D1121-$C1121+1),"00")&amp;IF($C1121&gt;=2,", "&amp;$A1121&amp;"-"&amp;TEXT(($D1121-$C1121+1)+1,"00"),"")&amp;IF($C1121&gt;=3,", "&amp;$A1121&amp;"-"&amp;TEXT(($D1121-$C1121+1)+2,"00"),"")&amp;IF($C1121&gt;=4,", "&amp;$A1121&amp;"-"&amp;TEXT(($D1121-$C1121+1)+3,"00"),"")&amp;IF($C1121&gt;=5,", "&amp;$A1121&amp;"-"&amp;TEXT(($D1121-$C1121+1)+4,"00"),"")&amp;IF($C1121&gt;=6,", "&amp;$A1121&amp;"-"&amp;TEXT(($D1121-$C1121+1)+5,"00"),"")&amp;IF($C1121&gt;=7,", "&amp;$A1121&amp;"-"&amp;TEXT(($D1121-$C1121+1)+6,"00"),"")&amp;IF($C1121&gt;=8,", "&amp;$A1121&amp;"-"&amp;TEXT(($D1121-$C1121+1)+7,"00"),"")&amp;IF($C1121&gt;=9,", "&amp;$A1121&amp;"-"&amp;TEXT(($D1121-$C1121+1)+8,"00"),"")&amp;IF($C1121&gt;=10,", "&amp;$A1121&amp;"-"&amp;TEXT(($D1121-$C1121+1)+9,"00"),"")&amp;IF($C1121&gt;=11,", "&amp;$A1121&amp;"-"&amp;TEXT(($D1121-$C1121+1)+10,"00"),"")&amp;IF($C1121&gt;=12,", "&amp;$A1121&amp;"-"&amp;TEXT(($D1121-$C1121+1)+11,"00"),"")&amp;IF($C1121&gt;=13,", "&amp;$A1121&amp;"-"&amp;TEXT(($D1121-$C1121+1)+12,"00"),"")&amp;IF($C1121&gt;=14,", "&amp;$A1121&amp;"-"&amp;TEXT(($D1121-$C1121+1)+13,"00"),"")&amp;IF($C1121&gt;=15,", "&amp;$A1121&amp;"-"&amp;TEXT(($D1121-$C1121+1)+14,"00"),"")&amp;IF($C1121&gt;=16,", "&amp;$A1121&amp;"-"&amp;TEXT(($D1121-$C1121+1)+15,"00"),"")&amp;IF($C1121&gt;=17,", "&amp;$A1121&amp;"-"&amp;TEXT(($D1121-$C1121+1)+16,"00"),"")&amp;IF($C1121&gt;=18,", "&amp;$A1121&amp;"-"&amp;TEXT(($D1121-$C1121+1)+17,"00"),"")&amp;IF($C1121&gt;=19,", "&amp;$A1121&amp;"-"&amp;TEXT(($D1121-$C1121+1)+18,"00"),"")&amp;IF($C1121&gt;=20,", "&amp;$A1121&amp;"-"&amp;TEXT(($D1121-$C1121+1)+19,"00"),"")&amp;IF($C1121&gt;=21,", "&amp;$A1121&amp;"-"&amp;TEXT(($D1121-$C1121+1)+20,"00"),"")&amp;IF($C1121&gt;=22,", "&amp;$A1121&amp;"-"&amp;TEXT(($D1121-$C1121+1)+21,"00"),"")&amp;IF($C1121&gt;=23,", "&amp;$A1121&amp;"-"&amp;TEXT(($D1121-$C1121+1)+22,"00"),"")&amp;IF($C1121&gt;=24,", "&amp;$A1121&amp;"-"&amp;TEXT(($D1121-$C1121+1)+23,"00"),"")&amp;IF($C1121&gt;=25,", "&amp;$A1121&amp;"-"&amp;TEXT(($D1121-$C1121+1)+24,"00"),""))</f>
        <v/>
      </c>
      <c r="G1121">
        <f>IF($A1121="","",IF($E1121=1,$F1121,IF($F1121="",$G1120,IF($G1120="",$F1121,$G1120&amp;", "&amp;$F1121))))</f>
        <v/>
      </c>
      <c r="H1121">
        <f>IF($A1121="","",$A1121&amp;" ("&amp;$C1121&amp;")")</f>
        <v/>
      </c>
      <c r="I1121">
        <f>IF($A1121="","",IF($E1121=1,$H1121,$I1120&amp;", "&amp;$H1121))</f>
        <v/>
      </c>
      <c r="J1121">
        <f>IF($A1121="","",IF($E1121=1,$B1121,""))</f>
        <v/>
      </c>
      <c r="K1121">
        <f>IF($A1121="","",IF(COUNTIF($B$2:$B1121,$B1121)=COUNTIF($B$2:$B$1601,$B1121),$B1121,""))</f>
        <v/>
      </c>
    </row>
    <row r="1122">
      <c r="A1122">
        <f>IF('TMP Paste'!$E1122="","",'TMP Paste'!$E1122)</f>
        <v/>
      </c>
      <c r="B1122">
        <f>IF($A1122="","",COUNTIF('TMP Paste'!$B$2:$B1122,"?*"))</f>
        <v/>
      </c>
      <c r="C1122">
        <f>IF($A1122="","",IFERROR('TMP Paste'!$M1122*1,0))</f>
        <v/>
      </c>
      <c r="D1122">
        <f>IF($A1122="","",SUMIF($B$2:$B1122,$B1122,$C$2:$C1122))</f>
        <v/>
      </c>
      <c r="E1122">
        <f>IF($A1122="",0,IF('TMP Paste'!$B1122="",0,1))</f>
        <v/>
      </c>
      <c r="F1122">
        <f>IF(OR($A1122="",$C1122&lt;1),"",$A1122&amp;"-"&amp;TEXT(($D1122-$C1122+1),"00")&amp;IF($C1122&gt;=2,", "&amp;$A1122&amp;"-"&amp;TEXT(($D1122-$C1122+1)+1,"00"),"")&amp;IF($C1122&gt;=3,", "&amp;$A1122&amp;"-"&amp;TEXT(($D1122-$C1122+1)+2,"00"),"")&amp;IF($C1122&gt;=4,", "&amp;$A1122&amp;"-"&amp;TEXT(($D1122-$C1122+1)+3,"00"),"")&amp;IF($C1122&gt;=5,", "&amp;$A1122&amp;"-"&amp;TEXT(($D1122-$C1122+1)+4,"00"),"")&amp;IF($C1122&gt;=6,", "&amp;$A1122&amp;"-"&amp;TEXT(($D1122-$C1122+1)+5,"00"),"")&amp;IF($C1122&gt;=7,", "&amp;$A1122&amp;"-"&amp;TEXT(($D1122-$C1122+1)+6,"00"),"")&amp;IF($C1122&gt;=8,", "&amp;$A1122&amp;"-"&amp;TEXT(($D1122-$C1122+1)+7,"00"),"")&amp;IF($C1122&gt;=9,", "&amp;$A1122&amp;"-"&amp;TEXT(($D1122-$C1122+1)+8,"00"),"")&amp;IF($C1122&gt;=10,", "&amp;$A1122&amp;"-"&amp;TEXT(($D1122-$C1122+1)+9,"00"),"")&amp;IF($C1122&gt;=11,", "&amp;$A1122&amp;"-"&amp;TEXT(($D1122-$C1122+1)+10,"00"),"")&amp;IF($C1122&gt;=12,", "&amp;$A1122&amp;"-"&amp;TEXT(($D1122-$C1122+1)+11,"00"),"")&amp;IF($C1122&gt;=13,", "&amp;$A1122&amp;"-"&amp;TEXT(($D1122-$C1122+1)+12,"00"),"")&amp;IF($C1122&gt;=14,", "&amp;$A1122&amp;"-"&amp;TEXT(($D1122-$C1122+1)+13,"00"),"")&amp;IF($C1122&gt;=15,", "&amp;$A1122&amp;"-"&amp;TEXT(($D1122-$C1122+1)+14,"00"),"")&amp;IF($C1122&gt;=16,", "&amp;$A1122&amp;"-"&amp;TEXT(($D1122-$C1122+1)+15,"00"),"")&amp;IF($C1122&gt;=17,", "&amp;$A1122&amp;"-"&amp;TEXT(($D1122-$C1122+1)+16,"00"),"")&amp;IF($C1122&gt;=18,", "&amp;$A1122&amp;"-"&amp;TEXT(($D1122-$C1122+1)+17,"00"),"")&amp;IF($C1122&gt;=19,", "&amp;$A1122&amp;"-"&amp;TEXT(($D1122-$C1122+1)+18,"00"),"")&amp;IF($C1122&gt;=20,", "&amp;$A1122&amp;"-"&amp;TEXT(($D1122-$C1122+1)+19,"00"),"")&amp;IF($C1122&gt;=21,", "&amp;$A1122&amp;"-"&amp;TEXT(($D1122-$C1122+1)+20,"00"),"")&amp;IF($C1122&gt;=22,", "&amp;$A1122&amp;"-"&amp;TEXT(($D1122-$C1122+1)+21,"00"),"")&amp;IF($C1122&gt;=23,", "&amp;$A1122&amp;"-"&amp;TEXT(($D1122-$C1122+1)+22,"00"),"")&amp;IF($C1122&gt;=24,", "&amp;$A1122&amp;"-"&amp;TEXT(($D1122-$C1122+1)+23,"00"),"")&amp;IF($C1122&gt;=25,", "&amp;$A1122&amp;"-"&amp;TEXT(($D1122-$C1122+1)+24,"00"),""))</f>
        <v/>
      </c>
      <c r="G1122">
        <f>IF($A1122="","",IF($E1122=1,$F1122,IF($F1122="",$G1121,IF($G1121="",$F1122,$G1121&amp;", "&amp;$F1122))))</f>
        <v/>
      </c>
      <c r="H1122">
        <f>IF($A1122="","",$A1122&amp;" ("&amp;$C1122&amp;")")</f>
        <v/>
      </c>
      <c r="I1122">
        <f>IF($A1122="","",IF($E1122=1,$H1122,$I1121&amp;", "&amp;$H1122))</f>
        <v/>
      </c>
      <c r="J1122">
        <f>IF($A1122="","",IF($E1122=1,$B1122,""))</f>
        <v/>
      </c>
      <c r="K1122">
        <f>IF($A1122="","",IF(COUNTIF($B$2:$B1122,$B1122)=COUNTIF($B$2:$B$1601,$B1122),$B1122,""))</f>
        <v/>
      </c>
    </row>
    <row r="1123">
      <c r="A1123">
        <f>IF('TMP Paste'!$E1123="","",'TMP Paste'!$E1123)</f>
        <v/>
      </c>
      <c r="B1123">
        <f>IF($A1123="","",COUNTIF('TMP Paste'!$B$2:$B1123,"?*"))</f>
        <v/>
      </c>
      <c r="C1123">
        <f>IF($A1123="","",IFERROR('TMP Paste'!$M1123*1,0))</f>
        <v/>
      </c>
      <c r="D1123">
        <f>IF($A1123="","",SUMIF($B$2:$B1123,$B1123,$C$2:$C1123))</f>
        <v/>
      </c>
      <c r="E1123">
        <f>IF($A1123="",0,IF('TMP Paste'!$B1123="",0,1))</f>
        <v/>
      </c>
      <c r="F1123">
        <f>IF(OR($A1123="",$C1123&lt;1),"",$A1123&amp;"-"&amp;TEXT(($D1123-$C1123+1),"00")&amp;IF($C1123&gt;=2,", "&amp;$A1123&amp;"-"&amp;TEXT(($D1123-$C1123+1)+1,"00"),"")&amp;IF($C1123&gt;=3,", "&amp;$A1123&amp;"-"&amp;TEXT(($D1123-$C1123+1)+2,"00"),"")&amp;IF($C1123&gt;=4,", "&amp;$A1123&amp;"-"&amp;TEXT(($D1123-$C1123+1)+3,"00"),"")&amp;IF($C1123&gt;=5,", "&amp;$A1123&amp;"-"&amp;TEXT(($D1123-$C1123+1)+4,"00"),"")&amp;IF($C1123&gt;=6,", "&amp;$A1123&amp;"-"&amp;TEXT(($D1123-$C1123+1)+5,"00"),"")&amp;IF($C1123&gt;=7,", "&amp;$A1123&amp;"-"&amp;TEXT(($D1123-$C1123+1)+6,"00"),"")&amp;IF($C1123&gt;=8,", "&amp;$A1123&amp;"-"&amp;TEXT(($D1123-$C1123+1)+7,"00"),"")&amp;IF($C1123&gt;=9,", "&amp;$A1123&amp;"-"&amp;TEXT(($D1123-$C1123+1)+8,"00"),"")&amp;IF($C1123&gt;=10,", "&amp;$A1123&amp;"-"&amp;TEXT(($D1123-$C1123+1)+9,"00"),"")&amp;IF($C1123&gt;=11,", "&amp;$A1123&amp;"-"&amp;TEXT(($D1123-$C1123+1)+10,"00"),"")&amp;IF($C1123&gt;=12,", "&amp;$A1123&amp;"-"&amp;TEXT(($D1123-$C1123+1)+11,"00"),"")&amp;IF($C1123&gt;=13,", "&amp;$A1123&amp;"-"&amp;TEXT(($D1123-$C1123+1)+12,"00"),"")&amp;IF($C1123&gt;=14,", "&amp;$A1123&amp;"-"&amp;TEXT(($D1123-$C1123+1)+13,"00"),"")&amp;IF($C1123&gt;=15,", "&amp;$A1123&amp;"-"&amp;TEXT(($D1123-$C1123+1)+14,"00"),"")&amp;IF($C1123&gt;=16,", "&amp;$A1123&amp;"-"&amp;TEXT(($D1123-$C1123+1)+15,"00"),"")&amp;IF($C1123&gt;=17,", "&amp;$A1123&amp;"-"&amp;TEXT(($D1123-$C1123+1)+16,"00"),"")&amp;IF($C1123&gt;=18,", "&amp;$A1123&amp;"-"&amp;TEXT(($D1123-$C1123+1)+17,"00"),"")&amp;IF($C1123&gt;=19,", "&amp;$A1123&amp;"-"&amp;TEXT(($D1123-$C1123+1)+18,"00"),"")&amp;IF($C1123&gt;=20,", "&amp;$A1123&amp;"-"&amp;TEXT(($D1123-$C1123+1)+19,"00"),"")&amp;IF($C1123&gt;=21,", "&amp;$A1123&amp;"-"&amp;TEXT(($D1123-$C1123+1)+20,"00"),"")&amp;IF($C1123&gt;=22,", "&amp;$A1123&amp;"-"&amp;TEXT(($D1123-$C1123+1)+21,"00"),"")&amp;IF($C1123&gt;=23,", "&amp;$A1123&amp;"-"&amp;TEXT(($D1123-$C1123+1)+22,"00"),"")&amp;IF($C1123&gt;=24,", "&amp;$A1123&amp;"-"&amp;TEXT(($D1123-$C1123+1)+23,"00"),"")&amp;IF($C1123&gt;=25,", "&amp;$A1123&amp;"-"&amp;TEXT(($D1123-$C1123+1)+24,"00"),""))</f>
        <v/>
      </c>
      <c r="G1123">
        <f>IF($A1123="","",IF($E1123=1,$F1123,IF($F1123="",$G1122,IF($G1122="",$F1123,$G1122&amp;", "&amp;$F1123))))</f>
        <v/>
      </c>
      <c r="H1123">
        <f>IF($A1123="","",$A1123&amp;" ("&amp;$C1123&amp;")")</f>
        <v/>
      </c>
      <c r="I1123">
        <f>IF($A1123="","",IF($E1123=1,$H1123,$I1122&amp;", "&amp;$H1123))</f>
        <v/>
      </c>
      <c r="J1123">
        <f>IF($A1123="","",IF($E1123=1,$B1123,""))</f>
        <v/>
      </c>
      <c r="K1123">
        <f>IF($A1123="","",IF(COUNTIF($B$2:$B1123,$B1123)=COUNTIF($B$2:$B$1601,$B1123),$B1123,""))</f>
        <v/>
      </c>
    </row>
    <row r="1124">
      <c r="A1124">
        <f>IF('TMP Paste'!$E1124="","",'TMP Paste'!$E1124)</f>
        <v/>
      </c>
      <c r="B1124">
        <f>IF($A1124="","",COUNTIF('TMP Paste'!$B$2:$B1124,"?*"))</f>
        <v/>
      </c>
      <c r="C1124">
        <f>IF($A1124="","",IFERROR('TMP Paste'!$M1124*1,0))</f>
        <v/>
      </c>
      <c r="D1124">
        <f>IF($A1124="","",SUMIF($B$2:$B1124,$B1124,$C$2:$C1124))</f>
        <v/>
      </c>
      <c r="E1124">
        <f>IF($A1124="",0,IF('TMP Paste'!$B1124="",0,1))</f>
        <v/>
      </c>
      <c r="F1124">
        <f>IF(OR($A1124="",$C1124&lt;1),"",$A1124&amp;"-"&amp;TEXT(($D1124-$C1124+1),"00")&amp;IF($C1124&gt;=2,", "&amp;$A1124&amp;"-"&amp;TEXT(($D1124-$C1124+1)+1,"00"),"")&amp;IF($C1124&gt;=3,", "&amp;$A1124&amp;"-"&amp;TEXT(($D1124-$C1124+1)+2,"00"),"")&amp;IF($C1124&gt;=4,", "&amp;$A1124&amp;"-"&amp;TEXT(($D1124-$C1124+1)+3,"00"),"")&amp;IF($C1124&gt;=5,", "&amp;$A1124&amp;"-"&amp;TEXT(($D1124-$C1124+1)+4,"00"),"")&amp;IF($C1124&gt;=6,", "&amp;$A1124&amp;"-"&amp;TEXT(($D1124-$C1124+1)+5,"00"),"")&amp;IF($C1124&gt;=7,", "&amp;$A1124&amp;"-"&amp;TEXT(($D1124-$C1124+1)+6,"00"),"")&amp;IF($C1124&gt;=8,", "&amp;$A1124&amp;"-"&amp;TEXT(($D1124-$C1124+1)+7,"00"),"")&amp;IF($C1124&gt;=9,", "&amp;$A1124&amp;"-"&amp;TEXT(($D1124-$C1124+1)+8,"00"),"")&amp;IF($C1124&gt;=10,", "&amp;$A1124&amp;"-"&amp;TEXT(($D1124-$C1124+1)+9,"00"),"")&amp;IF($C1124&gt;=11,", "&amp;$A1124&amp;"-"&amp;TEXT(($D1124-$C1124+1)+10,"00"),"")&amp;IF($C1124&gt;=12,", "&amp;$A1124&amp;"-"&amp;TEXT(($D1124-$C1124+1)+11,"00"),"")&amp;IF($C1124&gt;=13,", "&amp;$A1124&amp;"-"&amp;TEXT(($D1124-$C1124+1)+12,"00"),"")&amp;IF($C1124&gt;=14,", "&amp;$A1124&amp;"-"&amp;TEXT(($D1124-$C1124+1)+13,"00"),"")&amp;IF($C1124&gt;=15,", "&amp;$A1124&amp;"-"&amp;TEXT(($D1124-$C1124+1)+14,"00"),"")&amp;IF($C1124&gt;=16,", "&amp;$A1124&amp;"-"&amp;TEXT(($D1124-$C1124+1)+15,"00"),"")&amp;IF($C1124&gt;=17,", "&amp;$A1124&amp;"-"&amp;TEXT(($D1124-$C1124+1)+16,"00"),"")&amp;IF($C1124&gt;=18,", "&amp;$A1124&amp;"-"&amp;TEXT(($D1124-$C1124+1)+17,"00"),"")&amp;IF($C1124&gt;=19,", "&amp;$A1124&amp;"-"&amp;TEXT(($D1124-$C1124+1)+18,"00"),"")&amp;IF($C1124&gt;=20,", "&amp;$A1124&amp;"-"&amp;TEXT(($D1124-$C1124+1)+19,"00"),"")&amp;IF($C1124&gt;=21,", "&amp;$A1124&amp;"-"&amp;TEXT(($D1124-$C1124+1)+20,"00"),"")&amp;IF($C1124&gt;=22,", "&amp;$A1124&amp;"-"&amp;TEXT(($D1124-$C1124+1)+21,"00"),"")&amp;IF($C1124&gt;=23,", "&amp;$A1124&amp;"-"&amp;TEXT(($D1124-$C1124+1)+22,"00"),"")&amp;IF($C1124&gt;=24,", "&amp;$A1124&amp;"-"&amp;TEXT(($D1124-$C1124+1)+23,"00"),"")&amp;IF($C1124&gt;=25,", "&amp;$A1124&amp;"-"&amp;TEXT(($D1124-$C1124+1)+24,"00"),""))</f>
        <v/>
      </c>
      <c r="G1124">
        <f>IF($A1124="","",IF($E1124=1,$F1124,IF($F1124="",$G1123,IF($G1123="",$F1124,$G1123&amp;", "&amp;$F1124))))</f>
        <v/>
      </c>
      <c r="H1124">
        <f>IF($A1124="","",$A1124&amp;" ("&amp;$C1124&amp;")")</f>
        <v/>
      </c>
      <c r="I1124">
        <f>IF($A1124="","",IF($E1124=1,$H1124,$I1123&amp;", "&amp;$H1124))</f>
        <v/>
      </c>
      <c r="J1124">
        <f>IF($A1124="","",IF($E1124=1,$B1124,""))</f>
        <v/>
      </c>
      <c r="K1124">
        <f>IF($A1124="","",IF(COUNTIF($B$2:$B1124,$B1124)=COUNTIF($B$2:$B$1601,$B1124),$B1124,""))</f>
        <v/>
      </c>
    </row>
    <row r="1125">
      <c r="A1125">
        <f>IF('TMP Paste'!$E1125="","",'TMP Paste'!$E1125)</f>
        <v/>
      </c>
      <c r="B1125">
        <f>IF($A1125="","",COUNTIF('TMP Paste'!$B$2:$B1125,"?*"))</f>
        <v/>
      </c>
      <c r="C1125">
        <f>IF($A1125="","",IFERROR('TMP Paste'!$M1125*1,0))</f>
        <v/>
      </c>
      <c r="D1125">
        <f>IF($A1125="","",SUMIF($B$2:$B1125,$B1125,$C$2:$C1125))</f>
        <v/>
      </c>
      <c r="E1125">
        <f>IF($A1125="",0,IF('TMP Paste'!$B1125="",0,1))</f>
        <v/>
      </c>
      <c r="F1125">
        <f>IF(OR($A1125="",$C1125&lt;1),"",$A1125&amp;"-"&amp;TEXT(($D1125-$C1125+1),"00")&amp;IF($C1125&gt;=2,", "&amp;$A1125&amp;"-"&amp;TEXT(($D1125-$C1125+1)+1,"00"),"")&amp;IF($C1125&gt;=3,", "&amp;$A1125&amp;"-"&amp;TEXT(($D1125-$C1125+1)+2,"00"),"")&amp;IF($C1125&gt;=4,", "&amp;$A1125&amp;"-"&amp;TEXT(($D1125-$C1125+1)+3,"00"),"")&amp;IF($C1125&gt;=5,", "&amp;$A1125&amp;"-"&amp;TEXT(($D1125-$C1125+1)+4,"00"),"")&amp;IF($C1125&gt;=6,", "&amp;$A1125&amp;"-"&amp;TEXT(($D1125-$C1125+1)+5,"00"),"")&amp;IF($C1125&gt;=7,", "&amp;$A1125&amp;"-"&amp;TEXT(($D1125-$C1125+1)+6,"00"),"")&amp;IF($C1125&gt;=8,", "&amp;$A1125&amp;"-"&amp;TEXT(($D1125-$C1125+1)+7,"00"),"")&amp;IF($C1125&gt;=9,", "&amp;$A1125&amp;"-"&amp;TEXT(($D1125-$C1125+1)+8,"00"),"")&amp;IF($C1125&gt;=10,", "&amp;$A1125&amp;"-"&amp;TEXT(($D1125-$C1125+1)+9,"00"),"")&amp;IF($C1125&gt;=11,", "&amp;$A1125&amp;"-"&amp;TEXT(($D1125-$C1125+1)+10,"00"),"")&amp;IF($C1125&gt;=12,", "&amp;$A1125&amp;"-"&amp;TEXT(($D1125-$C1125+1)+11,"00"),"")&amp;IF($C1125&gt;=13,", "&amp;$A1125&amp;"-"&amp;TEXT(($D1125-$C1125+1)+12,"00"),"")&amp;IF($C1125&gt;=14,", "&amp;$A1125&amp;"-"&amp;TEXT(($D1125-$C1125+1)+13,"00"),"")&amp;IF($C1125&gt;=15,", "&amp;$A1125&amp;"-"&amp;TEXT(($D1125-$C1125+1)+14,"00"),"")&amp;IF($C1125&gt;=16,", "&amp;$A1125&amp;"-"&amp;TEXT(($D1125-$C1125+1)+15,"00"),"")&amp;IF($C1125&gt;=17,", "&amp;$A1125&amp;"-"&amp;TEXT(($D1125-$C1125+1)+16,"00"),"")&amp;IF($C1125&gt;=18,", "&amp;$A1125&amp;"-"&amp;TEXT(($D1125-$C1125+1)+17,"00"),"")&amp;IF($C1125&gt;=19,", "&amp;$A1125&amp;"-"&amp;TEXT(($D1125-$C1125+1)+18,"00"),"")&amp;IF($C1125&gt;=20,", "&amp;$A1125&amp;"-"&amp;TEXT(($D1125-$C1125+1)+19,"00"),"")&amp;IF($C1125&gt;=21,", "&amp;$A1125&amp;"-"&amp;TEXT(($D1125-$C1125+1)+20,"00"),"")&amp;IF($C1125&gt;=22,", "&amp;$A1125&amp;"-"&amp;TEXT(($D1125-$C1125+1)+21,"00"),"")&amp;IF($C1125&gt;=23,", "&amp;$A1125&amp;"-"&amp;TEXT(($D1125-$C1125+1)+22,"00"),"")&amp;IF($C1125&gt;=24,", "&amp;$A1125&amp;"-"&amp;TEXT(($D1125-$C1125+1)+23,"00"),"")&amp;IF($C1125&gt;=25,", "&amp;$A1125&amp;"-"&amp;TEXT(($D1125-$C1125+1)+24,"00"),""))</f>
        <v/>
      </c>
      <c r="G1125">
        <f>IF($A1125="","",IF($E1125=1,$F1125,IF($F1125="",$G1124,IF($G1124="",$F1125,$G1124&amp;", "&amp;$F1125))))</f>
        <v/>
      </c>
      <c r="H1125">
        <f>IF($A1125="","",$A1125&amp;" ("&amp;$C1125&amp;")")</f>
        <v/>
      </c>
      <c r="I1125">
        <f>IF($A1125="","",IF($E1125=1,$H1125,$I1124&amp;", "&amp;$H1125))</f>
        <v/>
      </c>
      <c r="J1125">
        <f>IF($A1125="","",IF($E1125=1,$B1125,""))</f>
        <v/>
      </c>
      <c r="K1125">
        <f>IF($A1125="","",IF(COUNTIF($B$2:$B1125,$B1125)=COUNTIF($B$2:$B$1601,$B1125),$B1125,""))</f>
        <v/>
      </c>
    </row>
    <row r="1126">
      <c r="A1126">
        <f>IF('TMP Paste'!$E1126="","",'TMP Paste'!$E1126)</f>
        <v/>
      </c>
      <c r="B1126">
        <f>IF($A1126="","",COUNTIF('TMP Paste'!$B$2:$B1126,"?*"))</f>
        <v/>
      </c>
      <c r="C1126">
        <f>IF($A1126="","",IFERROR('TMP Paste'!$M1126*1,0))</f>
        <v/>
      </c>
      <c r="D1126">
        <f>IF($A1126="","",SUMIF($B$2:$B1126,$B1126,$C$2:$C1126))</f>
        <v/>
      </c>
      <c r="E1126">
        <f>IF($A1126="",0,IF('TMP Paste'!$B1126="",0,1))</f>
        <v/>
      </c>
      <c r="F1126">
        <f>IF(OR($A1126="",$C1126&lt;1),"",$A1126&amp;"-"&amp;TEXT(($D1126-$C1126+1),"00")&amp;IF($C1126&gt;=2,", "&amp;$A1126&amp;"-"&amp;TEXT(($D1126-$C1126+1)+1,"00"),"")&amp;IF($C1126&gt;=3,", "&amp;$A1126&amp;"-"&amp;TEXT(($D1126-$C1126+1)+2,"00"),"")&amp;IF($C1126&gt;=4,", "&amp;$A1126&amp;"-"&amp;TEXT(($D1126-$C1126+1)+3,"00"),"")&amp;IF($C1126&gt;=5,", "&amp;$A1126&amp;"-"&amp;TEXT(($D1126-$C1126+1)+4,"00"),"")&amp;IF($C1126&gt;=6,", "&amp;$A1126&amp;"-"&amp;TEXT(($D1126-$C1126+1)+5,"00"),"")&amp;IF($C1126&gt;=7,", "&amp;$A1126&amp;"-"&amp;TEXT(($D1126-$C1126+1)+6,"00"),"")&amp;IF($C1126&gt;=8,", "&amp;$A1126&amp;"-"&amp;TEXT(($D1126-$C1126+1)+7,"00"),"")&amp;IF($C1126&gt;=9,", "&amp;$A1126&amp;"-"&amp;TEXT(($D1126-$C1126+1)+8,"00"),"")&amp;IF($C1126&gt;=10,", "&amp;$A1126&amp;"-"&amp;TEXT(($D1126-$C1126+1)+9,"00"),"")&amp;IF($C1126&gt;=11,", "&amp;$A1126&amp;"-"&amp;TEXT(($D1126-$C1126+1)+10,"00"),"")&amp;IF($C1126&gt;=12,", "&amp;$A1126&amp;"-"&amp;TEXT(($D1126-$C1126+1)+11,"00"),"")&amp;IF($C1126&gt;=13,", "&amp;$A1126&amp;"-"&amp;TEXT(($D1126-$C1126+1)+12,"00"),"")&amp;IF($C1126&gt;=14,", "&amp;$A1126&amp;"-"&amp;TEXT(($D1126-$C1126+1)+13,"00"),"")&amp;IF($C1126&gt;=15,", "&amp;$A1126&amp;"-"&amp;TEXT(($D1126-$C1126+1)+14,"00"),"")&amp;IF($C1126&gt;=16,", "&amp;$A1126&amp;"-"&amp;TEXT(($D1126-$C1126+1)+15,"00"),"")&amp;IF($C1126&gt;=17,", "&amp;$A1126&amp;"-"&amp;TEXT(($D1126-$C1126+1)+16,"00"),"")&amp;IF($C1126&gt;=18,", "&amp;$A1126&amp;"-"&amp;TEXT(($D1126-$C1126+1)+17,"00"),"")&amp;IF($C1126&gt;=19,", "&amp;$A1126&amp;"-"&amp;TEXT(($D1126-$C1126+1)+18,"00"),"")&amp;IF($C1126&gt;=20,", "&amp;$A1126&amp;"-"&amp;TEXT(($D1126-$C1126+1)+19,"00"),"")&amp;IF($C1126&gt;=21,", "&amp;$A1126&amp;"-"&amp;TEXT(($D1126-$C1126+1)+20,"00"),"")&amp;IF($C1126&gt;=22,", "&amp;$A1126&amp;"-"&amp;TEXT(($D1126-$C1126+1)+21,"00"),"")&amp;IF($C1126&gt;=23,", "&amp;$A1126&amp;"-"&amp;TEXT(($D1126-$C1126+1)+22,"00"),"")&amp;IF($C1126&gt;=24,", "&amp;$A1126&amp;"-"&amp;TEXT(($D1126-$C1126+1)+23,"00"),"")&amp;IF($C1126&gt;=25,", "&amp;$A1126&amp;"-"&amp;TEXT(($D1126-$C1126+1)+24,"00"),""))</f>
        <v/>
      </c>
      <c r="G1126">
        <f>IF($A1126="","",IF($E1126=1,$F1126,IF($F1126="",$G1125,IF($G1125="",$F1126,$G1125&amp;", "&amp;$F1126))))</f>
        <v/>
      </c>
      <c r="H1126">
        <f>IF($A1126="","",$A1126&amp;" ("&amp;$C1126&amp;")")</f>
        <v/>
      </c>
      <c r="I1126">
        <f>IF($A1126="","",IF($E1126=1,$H1126,$I1125&amp;", "&amp;$H1126))</f>
        <v/>
      </c>
      <c r="J1126">
        <f>IF($A1126="","",IF($E1126=1,$B1126,""))</f>
        <v/>
      </c>
      <c r="K1126">
        <f>IF($A1126="","",IF(COUNTIF($B$2:$B1126,$B1126)=COUNTIF($B$2:$B$1601,$B1126),$B1126,""))</f>
        <v/>
      </c>
    </row>
    <row r="1127">
      <c r="A1127">
        <f>IF('TMP Paste'!$E1127="","",'TMP Paste'!$E1127)</f>
        <v/>
      </c>
      <c r="B1127">
        <f>IF($A1127="","",COUNTIF('TMP Paste'!$B$2:$B1127,"?*"))</f>
        <v/>
      </c>
      <c r="C1127">
        <f>IF($A1127="","",IFERROR('TMP Paste'!$M1127*1,0))</f>
        <v/>
      </c>
      <c r="D1127">
        <f>IF($A1127="","",SUMIF($B$2:$B1127,$B1127,$C$2:$C1127))</f>
        <v/>
      </c>
      <c r="E1127">
        <f>IF($A1127="",0,IF('TMP Paste'!$B1127="",0,1))</f>
        <v/>
      </c>
      <c r="F1127">
        <f>IF(OR($A1127="",$C1127&lt;1),"",$A1127&amp;"-"&amp;TEXT(($D1127-$C1127+1),"00")&amp;IF($C1127&gt;=2,", "&amp;$A1127&amp;"-"&amp;TEXT(($D1127-$C1127+1)+1,"00"),"")&amp;IF($C1127&gt;=3,", "&amp;$A1127&amp;"-"&amp;TEXT(($D1127-$C1127+1)+2,"00"),"")&amp;IF($C1127&gt;=4,", "&amp;$A1127&amp;"-"&amp;TEXT(($D1127-$C1127+1)+3,"00"),"")&amp;IF($C1127&gt;=5,", "&amp;$A1127&amp;"-"&amp;TEXT(($D1127-$C1127+1)+4,"00"),"")&amp;IF($C1127&gt;=6,", "&amp;$A1127&amp;"-"&amp;TEXT(($D1127-$C1127+1)+5,"00"),"")&amp;IF($C1127&gt;=7,", "&amp;$A1127&amp;"-"&amp;TEXT(($D1127-$C1127+1)+6,"00"),"")&amp;IF($C1127&gt;=8,", "&amp;$A1127&amp;"-"&amp;TEXT(($D1127-$C1127+1)+7,"00"),"")&amp;IF($C1127&gt;=9,", "&amp;$A1127&amp;"-"&amp;TEXT(($D1127-$C1127+1)+8,"00"),"")&amp;IF($C1127&gt;=10,", "&amp;$A1127&amp;"-"&amp;TEXT(($D1127-$C1127+1)+9,"00"),"")&amp;IF($C1127&gt;=11,", "&amp;$A1127&amp;"-"&amp;TEXT(($D1127-$C1127+1)+10,"00"),"")&amp;IF($C1127&gt;=12,", "&amp;$A1127&amp;"-"&amp;TEXT(($D1127-$C1127+1)+11,"00"),"")&amp;IF($C1127&gt;=13,", "&amp;$A1127&amp;"-"&amp;TEXT(($D1127-$C1127+1)+12,"00"),"")&amp;IF($C1127&gt;=14,", "&amp;$A1127&amp;"-"&amp;TEXT(($D1127-$C1127+1)+13,"00"),"")&amp;IF($C1127&gt;=15,", "&amp;$A1127&amp;"-"&amp;TEXT(($D1127-$C1127+1)+14,"00"),"")&amp;IF($C1127&gt;=16,", "&amp;$A1127&amp;"-"&amp;TEXT(($D1127-$C1127+1)+15,"00"),"")&amp;IF($C1127&gt;=17,", "&amp;$A1127&amp;"-"&amp;TEXT(($D1127-$C1127+1)+16,"00"),"")&amp;IF($C1127&gt;=18,", "&amp;$A1127&amp;"-"&amp;TEXT(($D1127-$C1127+1)+17,"00"),"")&amp;IF($C1127&gt;=19,", "&amp;$A1127&amp;"-"&amp;TEXT(($D1127-$C1127+1)+18,"00"),"")&amp;IF($C1127&gt;=20,", "&amp;$A1127&amp;"-"&amp;TEXT(($D1127-$C1127+1)+19,"00"),"")&amp;IF($C1127&gt;=21,", "&amp;$A1127&amp;"-"&amp;TEXT(($D1127-$C1127+1)+20,"00"),"")&amp;IF($C1127&gt;=22,", "&amp;$A1127&amp;"-"&amp;TEXT(($D1127-$C1127+1)+21,"00"),"")&amp;IF($C1127&gt;=23,", "&amp;$A1127&amp;"-"&amp;TEXT(($D1127-$C1127+1)+22,"00"),"")&amp;IF($C1127&gt;=24,", "&amp;$A1127&amp;"-"&amp;TEXT(($D1127-$C1127+1)+23,"00"),"")&amp;IF($C1127&gt;=25,", "&amp;$A1127&amp;"-"&amp;TEXT(($D1127-$C1127+1)+24,"00"),""))</f>
        <v/>
      </c>
      <c r="G1127">
        <f>IF($A1127="","",IF($E1127=1,$F1127,IF($F1127="",$G1126,IF($G1126="",$F1127,$G1126&amp;", "&amp;$F1127))))</f>
        <v/>
      </c>
      <c r="H1127">
        <f>IF($A1127="","",$A1127&amp;" ("&amp;$C1127&amp;")")</f>
        <v/>
      </c>
      <c r="I1127">
        <f>IF($A1127="","",IF($E1127=1,$H1127,$I1126&amp;", "&amp;$H1127))</f>
        <v/>
      </c>
      <c r="J1127">
        <f>IF($A1127="","",IF($E1127=1,$B1127,""))</f>
        <v/>
      </c>
      <c r="K1127">
        <f>IF($A1127="","",IF(COUNTIF($B$2:$B1127,$B1127)=COUNTIF($B$2:$B$1601,$B1127),$B1127,""))</f>
        <v/>
      </c>
    </row>
    <row r="1128">
      <c r="A1128">
        <f>IF('TMP Paste'!$E1128="","",'TMP Paste'!$E1128)</f>
        <v/>
      </c>
      <c r="B1128">
        <f>IF($A1128="","",COUNTIF('TMP Paste'!$B$2:$B1128,"?*"))</f>
        <v/>
      </c>
      <c r="C1128">
        <f>IF($A1128="","",IFERROR('TMP Paste'!$M1128*1,0))</f>
        <v/>
      </c>
      <c r="D1128">
        <f>IF($A1128="","",SUMIF($B$2:$B1128,$B1128,$C$2:$C1128))</f>
        <v/>
      </c>
      <c r="E1128">
        <f>IF($A1128="",0,IF('TMP Paste'!$B1128="",0,1))</f>
        <v/>
      </c>
      <c r="F1128">
        <f>IF(OR($A1128="",$C1128&lt;1),"",$A1128&amp;"-"&amp;TEXT(($D1128-$C1128+1),"00")&amp;IF($C1128&gt;=2,", "&amp;$A1128&amp;"-"&amp;TEXT(($D1128-$C1128+1)+1,"00"),"")&amp;IF($C1128&gt;=3,", "&amp;$A1128&amp;"-"&amp;TEXT(($D1128-$C1128+1)+2,"00"),"")&amp;IF($C1128&gt;=4,", "&amp;$A1128&amp;"-"&amp;TEXT(($D1128-$C1128+1)+3,"00"),"")&amp;IF($C1128&gt;=5,", "&amp;$A1128&amp;"-"&amp;TEXT(($D1128-$C1128+1)+4,"00"),"")&amp;IF($C1128&gt;=6,", "&amp;$A1128&amp;"-"&amp;TEXT(($D1128-$C1128+1)+5,"00"),"")&amp;IF($C1128&gt;=7,", "&amp;$A1128&amp;"-"&amp;TEXT(($D1128-$C1128+1)+6,"00"),"")&amp;IF($C1128&gt;=8,", "&amp;$A1128&amp;"-"&amp;TEXT(($D1128-$C1128+1)+7,"00"),"")&amp;IF($C1128&gt;=9,", "&amp;$A1128&amp;"-"&amp;TEXT(($D1128-$C1128+1)+8,"00"),"")&amp;IF($C1128&gt;=10,", "&amp;$A1128&amp;"-"&amp;TEXT(($D1128-$C1128+1)+9,"00"),"")&amp;IF($C1128&gt;=11,", "&amp;$A1128&amp;"-"&amp;TEXT(($D1128-$C1128+1)+10,"00"),"")&amp;IF($C1128&gt;=12,", "&amp;$A1128&amp;"-"&amp;TEXT(($D1128-$C1128+1)+11,"00"),"")&amp;IF($C1128&gt;=13,", "&amp;$A1128&amp;"-"&amp;TEXT(($D1128-$C1128+1)+12,"00"),"")&amp;IF($C1128&gt;=14,", "&amp;$A1128&amp;"-"&amp;TEXT(($D1128-$C1128+1)+13,"00"),"")&amp;IF($C1128&gt;=15,", "&amp;$A1128&amp;"-"&amp;TEXT(($D1128-$C1128+1)+14,"00"),"")&amp;IF($C1128&gt;=16,", "&amp;$A1128&amp;"-"&amp;TEXT(($D1128-$C1128+1)+15,"00"),"")&amp;IF($C1128&gt;=17,", "&amp;$A1128&amp;"-"&amp;TEXT(($D1128-$C1128+1)+16,"00"),"")&amp;IF($C1128&gt;=18,", "&amp;$A1128&amp;"-"&amp;TEXT(($D1128-$C1128+1)+17,"00"),"")&amp;IF($C1128&gt;=19,", "&amp;$A1128&amp;"-"&amp;TEXT(($D1128-$C1128+1)+18,"00"),"")&amp;IF($C1128&gt;=20,", "&amp;$A1128&amp;"-"&amp;TEXT(($D1128-$C1128+1)+19,"00"),"")&amp;IF($C1128&gt;=21,", "&amp;$A1128&amp;"-"&amp;TEXT(($D1128-$C1128+1)+20,"00"),"")&amp;IF($C1128&gt;=22,", "&amp;$A1128&amp;"-"&amp;TEXT(($D1128-$C1128+1)+21,"00"),"")&amp;IF($C1128&gt;=23,", "&amp;$A1128&amp;"-"&amp;TEXT(($D1128-$C1128+1)+22,"00"),"")&amp;IF($C1128&gt;=24,", "&amp;$A1128&amp;"-"&amp;TEXT(($D1128-$C1128+1)+23,"00"),"")&amp;IF($C1128&gt;=25,", "&amp;$A1128&amp;"-"&amp;TEXT(($D1128-$C1128+1)+24,"00"),""))</f>
        <v/>
      </c>
      <c r="G1128">
        <f>IF($A1128="","",IF($E1128=1,$F1128,IF($F1128="",$G1127,IF($G1127="",$F1128,$G1127&amp;", "&amp;$F1128))))</f>
        <v/>
      </c>
      <c r="H1128">
        <f>IF($A1128="","",$A1128&amp;" ("&amp;$C1128&amp;")")</f>
        <v/>
      </c>
      <c r="I1128">
        <f>IF($A1128="","",IF($E1128=1,$H1128,$I1127&amp;", "&amp;$H1128))</f>
        <v/>
      </c>
      <c r="J1128">
        <f>IF($A1128="","",IF($E1128=1,$B1128,""))</f>
        <v/>
      </c>
      <c r="K1128">
        <f>IF($A1128="","",IF(COUNTIF($B$2:$B1128,$B1128)=COUNTIF($B$2:$B$1601,$B1128),$B1128,""))</f>
        <v/>
      </c>
    </row>
    <row r="1129">
      <c r="A1129">
        <f>IF('TMP Paste'!$E1129="","",'TMP Paste'!$E1129)</f>
        <v/>
      </c>
      <c r="B1129">
        <f>IF($A1129="","",COUNTIF('TMP Paste'!$B$2:$B1129,"?*"))</f>
        <v/>
      </c>
      <c r="C1129">
        <f>IF($A1129="","",IFERROR('TMP Paste'!$M1129*1,0))</f>
        <v/>
      </c>
      <c r="D1129">
        <f>IF($A1129="","",SUMIF($B$2:$B1129,$B1129,$C$2:$C1129))</f>
        <v/>
      </c>
      <c r="E1129">
        <f>IF($A1129="",0,IF('TMP Paste'!$B1129="",0,1))</f>
        <v/>
      </c>
      <c r="F1129">
        <f>IF(OR($A1129="",$C1129&lt;1),"",$A1129&amp;"-"&amp;TEXT(($D1129-$C1129+1),"00")&amp;IF($C1129&gt;=2,", "&amp;$A1129&amp;"-"&amp;TEXT(($D1129-$C1129+1)+1,"00"),"")&amp;IF($C1129&gt;=3,", "&amp;$A1129&amp;"-"&amp;TEXT(($D1129-$C1129+1)+2,"00"),"")&amp;IF($C1129&gt;=4,", "&amp;$A1129&amp;"-"&amp;TEXT(($D1129-$C1129+1)+3,"00"),"")&amp;IF($C1129&gt;=5,", "&amp;$A1129&amp;"-"&amp;TEXT(($D1129-$C1129+1)+4,"00"),"")&amp;IF($C1129&gt;=6,", "&amp;$A1129&amp;"-"&amp;TEXT(($D1129-$C1129+1)+5,"00"),"")&amp;IF($C1129&gt;=7,", "&amp;$A1129&amp;"-"&amp;TEXT(($D1129-$C1129+1)+6,"00"),"")&amp;IF($C1129&gt;=8,", "&amp;$A1129&amp;"-"&amp;TEXT(($D1129-$C1129+1)+7,"00"),"")&amp;IF($C1129&gt;=9,", "&amp;$A1129&amp;"-"&amp;TEXT(($D1129-$C1129+1)+8,"00"),"")&amp;IF($C1129&gt;=10,", "&amp;$A1129&amp;"-"&amp;TEXT(($D1129-$C1129+1)+9,"00"),"")&amp;IF($C1129&gt;=11,", "&amp;$A1129&amp;"-"&amp;TEXT(($D1129-$C1129+1)+10,"00"),"")&amp;IF($C1129&gt;=12,", "&amp;$A1129&amp;"-"&amp;TEXT(($D1129-$C1129+1)+11,"00"),"")&amp;IF($C1129&gt;=13,", "&amp;$A1129&amp;"-"&amp;TEXT(($D1129-$C1129+1)+12,"00"),"")&amp;IF($C1129&gt;=14,", "&amp;$A1129&amp;"-"&amp;TEXT(($D1129-$C1129+1)+13,"00"),"")&amp;IF($C1129&gt;=15,", "&amp;$A1129&amp;"-"&amp;TEXT(($D1129-$C1129+1)+14,"00"),"")&amp;IF($C1129&gt;=16,", "&amp;$A1129&amp;"-"&amp;TEXT(($D1129-$C1129+1)+15,"00"),"")&amp;IF($C1129&gt;=17,", "&amp;$A1129&amp;"-"&amp;TEXT(($D1129-$C1129+1)+16,"00"),"")&amp;IF($C1129&gt;=18,", "&amp;$A1129&amp;"-"&amp;TEXT(($D1129-$C1129+1)+17,"00"),"")&amp;IF($C1129&gt;=19,", "&amp;$A1129&amp;"-"&amp;TEXT(($D1129-$C1129+1)+18,"00"),"")&amp;IF($C1129&gt;=20,", "&amp;$A1129&amp;"-"&amp;TEXT(($D1129-$C1129+1)+19,"00"),"")&amp;IF($C1129&gt;=21,", "&amp;$A1129&amp;"-"&amp;TEXT(($D1129-$C1129+1)+20,"00"),"")&amp;IF($C1129&gt;=22,", "&amp;$A1129&amp;"-"&amp;TEXT(($D1129-$C1129+1)+21,"00"),"")&amp;IF($C1129&gt;=23,", "&amp;$A1129&amp;"-"&amp;TEXT(($D1129-$C1129+1)+22,"00"),"")&amp;IF($C1129&gt;=24,", "&amp;$A1129&amp;"-"&amp;TEXT(($D1129-$C1129+1)+23,"00"),"")&amp;IF($C1129&gt;=25,", "&amp;$A1129&amp;"-"&amp;TEXT(($D1129-$C1129+1)+24,"00"),""))</f>
        <v/>
      </c>
      <c r="G1129">
        <f>IF($A1129="","",IF($E1129=1,$F1129,IF($F1129="",$G1128,IF($G1128="",$F1129,$G1128&amp;", "&amp;$F1129))))</f>
        <v/>
      </c>
      <c r="H1129">
        <f>IF($A1129="","",$A1129&amp;" ("&amp;$C1129&amp;")")</f>
        <v/>
      </c>
      <c r="I1129">
        <f>IF($A1129="","",IF($E1129=1,$H1129,$I1128&amp;", "&amp;$H1129))</f>
        <v/>
      </c>
      <c r="J1129">
        <f>IF($A1129="","",IF($E1129=1,$B1129,""))</f>
        <v/>
      </c>
      <c r="K1129">
        <f>IF($A1129="","",IF(COUNTIF($B$2:$B1129,$B1129)=COUNTIF($B$2:$B$1601,$B1129),$B1129,""))</f>
        <v/>
      </c>
    </row>
    <row r="1130">
      <c r="A1130">
        <f>IF('TMP Paste'!$E1130="","",'TMP Paste'!$E1130)</f>
        <v/>
      </c>
      <c r="B1130">
        <f>IF($A1130="","",COUNTIF('TMP Paste'!$B$2:$B1130,"?*"))</f>
        <v/>
      </c>
      <c r="C1130">
        <f>IF($A1130="","",IFERROR('TMP Paste'!$M1130*1,0))</f>
        <v/>
      </c>
      <c r="D1130">
        <f>IF($A1130="","",SUMIF($B$2:$B1130,$B1130,$C$2:$C1130))</f>
        <v/>
      </c>
      <c r="E1130">
        <f>IF($A1130="",0,IF('TMP Paste'!$B1130="",0,1))</f>
        <v/>
      </c>
      <c r="F1130">
        <f>IF(OR($A1130="",$C1130&lt;1),"",$A1130&amp;"-"&amp;TEXT(($D1130-$C1130+1),"00")&amp;IF($C1130&gt;=2,", "&amp;$A1130&amp;"-"&amp;TEXT(($D1130-$C1130+1)+1,"00"),"")&amp;IF($C1130&gt;=3,", "&amp;$A1130&amp;"-"&amp;TEXT(($D1130-$C1130+1)+2,"00"),"")&amp;IF($C1130&gt;=4,", "&amp;$A1130&amp;"-"&amp;TEXT(($D1130-$C1130+1)+3,"00"),"")&amp;IF($C1130&gt;=5,", "&amp;$A1130&amp;"-"&amp;TEXT(($D1130-$C1130+1)+4,"00"),"")&amp;IF($C1130&gt;=6,", "&amp;$A1130&amp;"-"&amp;TEXT(($D1130-$C1130+1)+5,"00"),"")&amp;IF($C1130&gt;=7,", "&amp;$A1130&amp;"-"&amp;TEXT(($D1130-$C1130+1)+6,"00"),"")&amp;IF($C1130&gt;=8,", "&amp;$A1130&amp;"-"&amp;TEXT(($D1130-$C1130+1)+7,"00"),"")&amp;IF($C1130&gt;=9,", "&amp;$A1130&amp;"-"&amp;TEXT(($D1130-$C1130+1)+8,"00"),"")&amp;IF($C1130&gt;=10,", "&amp;$A1130&amp;"-"&amp;TEXT(($D1130-$C1130+1)+9,"00"),"")&amp;IF($C1130&gt;=11,", "&amp;$A1130&amp;"-"&amp;TEXT(($D1130-$C1130+1)+10,"00"),"")&amp;IF($C1130&gt;=12,", "&amp;$A1130&amp;"-"&amp;TEXT(($D1130-$C1130+1)+11,"00"),"")&amp;IF($C1130&gt;=13,", "&amp;$A1130&amp;"-"&amp;TEXT(($D1130-$C1130+1)+12,"00"),"")&amp;IF($C1130&gt;=14,", "&amp;$A1130&amp;"-"&amp;TEXT(($D1130-$C1130+1)+13,"00"),"")&amp;IF($C1130&gt;=15,", "&amp;$A1130&amp;"-"&amp;TEXT(($D1130-$C1130+1)+14,"00"),"")&amp;IF($C1130&gt;=16,", "&amp;$A1130&amp;"-"&amp;TEXT(($D1130-$C1130+1)+15,"00"),"")&amp;IF($C1130&gt;=17,", "&amp;$A1130&amp;"-"&amp;TEXT(($D1130-$C1130+1)+16,"00"),"")&amp;IF($C1130&gt;=18,", "&amp;$A1130&amp;"-"&amp;TEXT(($D1130-$C1130+1)+17,"00"),"")&amp;IF($C1130&gt;=19,", "&amp;$A1130&amp;"-"&amp;TEXT(($D1130-$C1130+1)+18,"00"),"")&amp;IF($C1130&gt;=20,", "&amp;$A1130&amp;"-"&amp;TEXT(($D1130-$C1130+1)+19,"00"),"")&amp;IF($C1130&gt;=21,", "&amp;$A1130&amp;"-"&amp;TEXT(($D1130-$C1130+1)+20,"00"),"")&amp;IF($C1130&gt;=22,", "&amp;$A1130&amp;"-"&amp;TEXT(($D1130-$C1130+1)+21,"00"),"")&amp;IF($C1130&gt;=23,", "&amp;$A1130&amp;"-"&amp;TEXT(($D1130-$C1130+1)+22,"00"),"")&amp;IF($C1130&gt;=24,", "&amp;$A1130&amp;"-"&amp;TEXT(($D1130-$C1130+1)+23,"00"),"")&amp;IF($C1130&gt;=25,", "&amp;$A1130&amp;"-"&amp;TEXT(($D1130-$C1130+1)+24,"00"),""))</f>
        <v/>
      </c>
      <c r="G1130">
        <f>IF($A1130="","",IF($E1130=1,$F1130,IF($F1130="",$G1129,IF($G1129="",$F1130,$G1129&amp;", "&amp;$F1130))))</f>
        <v/>
      </c>
      <c r="H1130">
        <f>IF($A1130="","",$A1130&amp;" ("&amp;$C1130&amp;")")</f>
        <v/>
      </c>
      <c r="I1130">
        <f>IF($A1130="","",IF($E1130=1,$H1130,$I1129&amp;", "&amp;$H1130))</f>
        <v/>
      </c>
      <c r="J1130">
        <f>IF($A1130="","",IF($E1130=1,$B1130,""))</f>
        <v/>
      </c>
      <c r="K1130">
        <f>IF($A1130="","",IF(COUNTIF($B$2:$B1130,$B1130)=COUNTIF($B$2:$B$1601,$B1130),$B1130,""))</f>
        <v/>
      </c>
    </row>
    <row r="1131">
      <c r="A1131">
        <f>IF('TMP Paste'!$E1131="","",'TMP Paste'!$E1131)</f>
        <v/>
      </c>
      <c r="B1131">
        <f>IF($A1131="","",COUNTIF('TMP Paste'!$B$2:$B1131,"?*"))</f>
        <v/>
      </c>
      <c r="C1131">
        <f>IF($A1131="","",IFERROR('TMP Paste'!$M1131*1,0))</f>
        <v/>
      </c>
      <c r="D1131">
        <f>IF($A1131="","",SUMIF($B$2:$B1131,$B1131,$C$2:$C1131))</f>
        <v/>
      </c>
      <c r="E1131">
        <f>IF($A1131="",0,IF('TMP Paste'!$B1131="",0,1))</f>
        <v/>
      </c>
      <c r="F1131">
        <f>IF(OR($A1131="",$C1131&lt;1),"",$A1131&amp;"-"&amp;TEXT(($D1131-$C1131+1),"00")&amp;IF($C1131&gt;=2,", "&amp;$A1131&amp;"-"&amp;TEXT(($D1131-$C1131+1)+1,"00"),"")&amp;IF($C1131&gt;=3,", "&amp;$A1131&amp;"-"&amp;TEXT(($D1131-$C1131+1)+2,"00"),"")&amp;IF($C1131&gt;=4,", "&amp;$A1131&amp;"-"&amp;TEXT(($D1131-$C1131+1)+3,"00"),"")&amp;IF($C1131&gt;=5,", "&amp;$A1131&amp;"-"&amp;TEXT(($D1131-$C1131+1)+4,"00"),"")&amp;IF($C1131&gt;=6,", "&amp;$A1131&amp;"-"&amp;TEXT(($D1131-$C1131+1)+5,"00"),"")&amp;IF($C1131&gt;=7,", "&amp;$A1131&amp;"-"&amp;TEXT(($D1131-$C1131+1)+6,"00"),"")&amp;IF($C1131&gt;=8,", "&amp;$A1131&amp;"-"&amp;TEXT(($D1131-$C1131+1)+7,"00"),"")&amp;IF($C1131&gt;=9,", "&amp;$A1131&amp;"-"&amp;TEXT(($D1131-$C1131+1)+8,"00"),"")&amp;IF($C1131&gt;=10,", "&amp;$A1131&amp;"-"&amp;TEXT(($D1131-$C1131+1)+9,"00"),"")&amp;IF($C1131&gt;=11,", "&amp;$A1131&amp;"-"&amp;TEXT(($D1131-$C1131+1)+10,"00"),"")&amp;IF($C1131&gt;=12,", "&amp;$A1131&amp;"-"&amp;TEXT(($D1131-$C1131+1)+11,"00"),"")&amp;IF($C1131&gt;=13,", "&amp;$A1131&amp;"-"&amp;TEXT(($D1131-$C1131+1)+12,"00"),"")&amp;IF($C1131&gt;=14,", "&amp;$A1131&amp;"-"&amp;TEXT(($D1131-$C1131+1)+13,"00"),"")&amp;IF($C1131&gt;=15,", "&amp;$A1131&amp;"-"&amp;TEXT(($D1131-$C1131+1)+14,"00"),"")&amp;IF($C1131&gt;=16,", "&amp;$A1131&amp;"-"&amp;TEXT(($D1131-$C1131+1)+15,"00"),"")&amp;IF($C1131&gt;=17,", "&amp;$A1131&amp;"-"&amp;TEXT(($D1131-$C1131+1)+16,"00"),"")&amp;IF($C1131&gt;=18,", "&amp;$A1131&amp;"-"&amp;TEXT(($D1131-$C1131+1)+17,"00"),"")&amp;IF($C1131&gt;=19,", "&amp;$A1131&amp;"-"&amp;TEXT(($D1131-$C1131+1)+18,"00"),"")&amp;IF($C1131&gt;=20,", "&amp;$A1131&amp;"-"&amp;TEXT(($D1131-$C1131+1)+19,"00"),"")&amp;IF($C1131&gt;=21,", "&amp;$A1131&amp;"-"&amp;TEXT(($D1131-$C1131+1)+20,"00"),"")&amp;IF($C1131&gt;=22,", "&amp;$A1131&amp;"-"&amp;TEXT(($D1131-$C1131+1)+21,"00"),"")&amp;IF($C1131&gt;=23,", "&amp;$A1131&amp;"-"&amp;TEXT(($D1131-$C1131+1)+22,"00"),"")&amp;IF($C1131&gt;=24,", "&amp;$A1131&amp;"-"&amp;TEXT(($D1131-$C1131+1)+23,"00"),"")&amp;IF($C1131&gt;=25,", "&amp;$A1131&amp;"-"&amp;TEXT(($D1131-$C1131+1)+24,"00"),""))</f>
        <v/>
      </c>
      <c r="G1131">
        <f>IF($A1131="","",IF($E1131=1,$F1131,IF($F1131="",$G1130,IF($G1130="",$F1131,$G1130&amp;", "&amp;$F1131))))</f>
        <v/>
      </c>
      <c r="H1131">
        <f>IF($A1131="","",$A1131&amp;" ("&amp;$C1131&amp;")")</f>
        <v/>
      </c>
      <c r="I1131">
        <f>IF($A1131="","",IF($E1131=1,$H1131,$I1130&amp;", "&amp;$H1131))</f>
        <v/>
      </c>
      <c r="J1131">
        <f>IF($A1131="","",IF($E1131=1,$B1131,""))</f>
        <v/>
      </c>
      <c r="K1131">
        <f>IF($A1131="","",IF(COUNTIF($B$2:$B1131,$B1131)=COUNTIF($B$2:$B$1601,$B1131),$B1131,""))</f>
        <v/>
      </c>
    </row>
    <row r="1132">
      <c r="A1132">
        <f>IF('TMP Paste'!$E1132="","",'TMP Paste'!$E1132)</f>
        <v/>
      </c>
      <c r="B1132">
        <f>IF($A1132="","",COUNTIF('TMP Paste'!$B$2:$B1132,"?*"))</f>
        <v/>
      </c>
      <c r="C1132">
        <f>IF($A1132="","",IFERROR('TMP Paste'!$M1132*1,0))</f>
        <v/>
      </c>
      <c r="D1132">
        <f>IF($A1132="","",SUMIF($B$2:$B1132,$B1132,$C$2:$C1132))</f>
        <v/>
      </c>
      <c r="E1132">
        <f>IF($A1132="",0,IF('TMP Paste'!$B1132="",0,1))</f>
        <v/>
      </c>
      <c r="F1132">
        <f>IF(OR($A1132="",$C1132&lt;1),"",$A1132&amp;"-"&amp;TEXT(($D1132-$C1132+1),"00")&amp;IF($C1132&gt;=2,", "&amp;$A1132&amp;"-"&amp;TEXT(($D1132-$C1132+1)+1,"00"),"")&amp;IF($C1132&gt;=3,", "&amp;$A1132&amp;"-"&amp;TEXT(($D1132-$C1132+1)+2,"00"),"")&amp;IF($C1132&gt;=4,", "&amp;$A1132&amp;"-"&amp;TEXT(($D1132-$C1132+1)+3,"00"),"")&amp;IF($C1132&gt;=5,", "&amp;$A1132&amp;"-"&amp;TEXT(($D1132-$C1132+1)+4,"00"),"")&amp;IF($C1132&gt;=6,", "&amp;$A1132&amp;"-"&amp;TEXT(($D1132-$C1132+1)+5,"00"),"")&amp;IF($C1132&gt;=7,", "&amp;$A1132&amp;"-"&amp;TEXT(($D1132-$C1132+1)+6,"00"),"")&amp;IF($C1132&gt;=8,", "&amp;$A1132&amp;"-"&amp;TEXT(($D1132-$C1132+1)+7,"00"),"")&amp;IF($C1132&gt;=9,", "&amp;$A1132&amp;"-"&amp;TEXT(($D1132-$C1132+1)+8,"00"),"")&amp;IF($C1132&gt;=10,", "&amp;$A1132&amp;"-"&amp;TEXT(($D1132-$C1132+1)+9,"00"),"")&amp;IF($C1132&gt;=11,", "&amp;$A1132&amp;"-"&amp;TEXT(($D1132-$C1132+1)+10,"00"),"")&amp;IF($C1132&gt;=12,", "&amp;$A1132&amp;"-"&amp;TEXT(($D1132-$C1132+1)+11,"00"),"")&amp;IF($C1132&gt;=13,", "&amp;$A1132&amp;"-"&amp;TEXT(($D1132-$C1132+1)+12,"00"),"")&amp;IF($C1132&gt;=14,", "&amp;$A1132&amp;"-"&amp;TEXT(($D1132-$C1132+1)+13,"00"),"")&amp;IF($C1132&gt;=15,", "&amp;$A1132&amp;"-"&amp;TEXT(($D1132-$C1132+1)+14,"00"),"")&amp;IF($C1132&gt;=16,", "&amp;$A1132&amp;"-"&amp;TEXT(($D1132-$C1132+1)+15,"00"),"")&amp;IF($C1132&gt;=17,", "&amp;$A1132&amp;"-"&amp;TEXT(($D1132-$C1132+1)+16,"00"),"")&amp;IF($C1132&gt;=18,", "&amp;$A1132&amp;"-"&amp;TEXT(($D1132-$C1132+1)+17,"00"),"")&amp;IF($C1132&gt;=19,", "&amp;$A1132&amp;"-"&amp;TEXT(($D1132-$C1132+1)+18,"00"),"")&amp;IF($C1132&gt;=20,", "&amp;$A1132&amp;"-"&amp;TEXT(($D1132-$C1132+1)+19,"00"),"")&amp;IF($C1132&gt;=21,", "&amp;$A1132&amp;"-"&amp;TEXT(($D1132-$C1132+1)+20,"00"),"")&amp;IF($C1132&gt;=22,", "&amp;$A1132&amp;"-"&amp;TEXT(($D1132-$C1132+1)+21,"00"),"")&amp;IF($C1132&gt;=23,", "&amp;$A1132&amp;"-"&amp;TEXT(($D1132-$C1132+1)+22,"00"),"")&amp;IF($C1132&gt;=24,", "&amp;$A1132&amp;"-"&amp;TEXT(($D1132-$C1132+1)+23,"00"),"")&amp;IF($C1132&gt;=25,", "&amp;$A1132&amp;"-"&amp;TEXT(($D1132-$C1132+1)+24,"00"),""))</f>
        <v/>
      </c>
      <c r="G1132">
        <f>IF($A1132="","",IF($E1132=1,$F1132,IF($F1132="",$G1131,IF($G1131="",$F1132,$G1131&amp;", "&amp;$F1132))))</f>
        <v/>
      </c>
      <c r="H1132">
        <f>IF($A1132="","",$A1132&amp;" ("&amp;$C1132&amp;")")</f>
        <v/>
      </c>
      <c r="I1132">
        <f>IF($A1132="","",IF($E1132=1,$H1132,$I1131&amp;", "&amp;$H1132))</f>
        <v/>
      </c>
      <c r="J1132">
        <f>IF($A1132="","",IF($E1132=1,$B1132,""))</f>
        <v/>
      </c>
      <c r="K1132">
        <f>IF($A1132="","",IF(COUNTIF($B$2:$B1132,$B1132)=COUNTIF($B$2:$B$1601,$B1132),$B1132,""))</f>
        <v/>
      </c>
    </row>
    <row r="1133">
      <c r="A1133">
        <f>IF('TMP Paste'!$E1133="","",'TMP Paste'!$E1133)</f>
        <v/>
      </c>
      <c r="B1133">
        <f>IF($A1133="","",COUNTIF('TMP Paste'!$B$2:$B1133,"?*"))</f>
        <v/>
      </c>
      <c r="C1133">
        <f>IF($A1133="","",IFERROR('TMP Paste'!$M1133*1,0))</f>
        <v/>
      </c>
      <c r="D1133">
        <f>IF($A1133="","",SUMIF($B$2:$B1133,$B1133,$C$2:$C1133))</f>
        <v/>
      </c>
      <c r="E1133">
        <f>IF($A1133="",0,IF('TMP Paste'!$B1133="",0,1))</f>
        <v/>
      </c>
      <c r="F1133">
        <f>IF(OR($A1133="",$C1133&lt;1),"",$A1133&amp;"-"&amp;TEXT(($D1133-$C1133+1),"00")&amp;IF($C1133&gt;=2,", "&amp;$A1133&amp;"-"&amp;TEXT(($D1133-$C1133+1)+1,"00"),"")&amp;IF($C1133&gt;=3,", "&amp;$A1133&amp;"-"&amp;TEXT(($D1133-$C1133+1)+2,"00"),"")&amp;IF($C1133&gt;=4,", "&amp;$A1133&amp;"-"&amp;TEXT(($D1133-$C1133+1)+3,"00"),"")&amp;IF($C1133&gt;=5,", "&amp;$A1133&amp;"-"&amp;TEXT(($D1133-$C1133+1)+4,"00"),"")&amp;IF($C1133&gt;=6,", "&amp;$A1133&amp;"-"&amp;TEXT(($D1133-$C1133+1)+5,"00"),"")&amp;IF($C1133&gt;=7,", "&amp;$A1133&amp;"-"&amp;TEXT(($D1133-$C1133+1)+6,"00"),"")&amp;IF($C1133&gt;=8,", "&amp;$A1133&amp;"-"&amp;TEXT(($D1133-$C1133+1)+7,"00"),"")&amp;IF($C1133&gt;=9,", "&amp;$A1133&amp;"-"&amp;TEXT(($D1133-$C1133+1)+8,"00"),"")&amp;IF($C1133&gt;=10,", "&amp;$A1133&amp;"-"&amp;TEXT(($D1133-$C1133+1)+9,"00"),"")&amp;IF($C1133&gt;=11,", "&amp;$A1133&amp;"-"&amp;TEXT(($D1133-$C1133+1)+10,"00"),"")&amp;IF($C1133&gt;=12,", "&amp;$A1133&amp;"-"&amp;TEXT(($D1133-$C1133+1)+11,"00"),"")&amp;IF($C1133&gt;=13,", "&amp;$A1133&amp;"-"&amp;TEXT(($D1133-$C1133+1)+12,"00"),"")&amp;IF($C1133&gt;=14,", "&amp;$A1133&amp;"-"&amp;TEXT(($D1133-$C1133+1)+13,"00"),"")&amp;IF($C1133&gt;=15,", "&amp;$A1133&amp;"-"&amp;TEXT(($D1133-$C1133+1)+14,"00"),"")&amp;IF($C1133&gt;=16,", "&amp;$A1133&amp;"-"&amp;TEXT(($D1133-$C1133+1)+15,"00"),"")&amp;IF($C1133&gt;=17,", "&amp;$A1133&amp;"-"&amp;TEXT(($D1133-$C1133+1)+16,"00"),"")&amp;IF($C1133&gt;=18,", "&amp;$A1133&amp;"-"&amp;TEXT(($D1133-$C1133+1)+17,"00"),"")&amp;IF($C1133&gt;=19,", "&amp;$A1133&amp;"-"&amp;TEXT(($D1133-$C1133+1)+18,"00"),"")&amp;IF($C1133&gt;=20,", "&amp;$A1133&amp;"-"&amp;TEXT(($D1133-$C1133+1)+19,"00"),"")&amp;IF($C1133&gt;=21,", "&amp;$A1133&amp;"-"&amp;TEXT(($D1133-$C1133+1)+20,"00"),"")&amp;IF($C1133&gt;=22,", "&amp;$A1133&amp;"-"&amp;TEXT(($D1133-$C1133+1)+21,"00"),"")&amp;IF($C1133&gt;=23,", "&amp;$A1133&amp;"-"&amp;TEXT(($D1133-$C1133+1)+22,"00"),"")&amp;IF($C1133&gt;=24,", "&amp;$A1133&amp;"-"&amp;TEXT(($D1133-$C1133+1)+23,"00"),"")&amp;IF($C1133&gt;=25,", "&amp;$A1133&amp;"-"&amp;TEXT(($D1133-$C1133+1)+24,"00"),""))</f>
        <v/>
      </c>
      <c r="G1133">
        <f>IF($A1133="","",IF($E1133=1,$F1133,IF($F1133="",$G1132,IF($G1132="",$F1133,$G1132&amp;", "&amp;$F1133))))</f>
        <v/>
      </c>
      <c r="H1133">
        <f>IF($A1133="","",$A1133&amp;" ("&amp;$C1133&amp;")")</f>
        <v/>
      </c>
      <c r="I1133">
        <f>IF($A1133="","",IF($E1133=1,$H1133,$I1132&amp;", "&amp;$H1133))</f>
        <v/>
      </c>
      <c r="J1133">
        <f>IF($A1133="","",IF($E1133=1,$B1133,""))</f>
        <v/>
      </c>
      <c r="K1133">
        <f>IF($A1133="","",IF(COUNTIF($B$2:$B1133,$B1133)=COUNTIF($B$2:$B$1601,$B1133),$B1133,""))</f>
        <v/>
      </c>
    </row>
    <row r="1134">
      <c r="A1134">
        <f>IF('TMP Paste'!$E1134="","",'TMP Paste'!$E1134)</f>
        <v/>
      </c>
      <c r="B1134">
        <f>IF($A1134="","",COUNTIF('TMP Paste'!$B$2:$B1134,"?*"))</f>
        <v/>
      </c>
      <c r="C1134">
        <f>IF($A1134="","",IFERROR('TMP Paste'!$M1134*1,0))</f>
        <v/>
      </c>
      <c r="D1134">
        <f>IF($A1134="","",SUMIF($B$2:$B1134,$B1134,$C$2:$C1134))</f>
        <v/>
      </c>
      <c r="E1134">
        <f>IF($A1134="",0,IF('TMP Paste'!$B1134="",0,1))</f>
        <v/>
      </c>
      <c r="F1134">
        <f>IF(OR($A1134="",$C1134&lt;1),"",$A1134&amp;"-"&amp;TEXT(($D1134-$C1134+1),"00")&amp;IF($C1134&gt;=2,", "&amp;$A1134&amp;"-"&amp;TEXT(($D1134-$C1134+1)+1,"00"),"")&amp;IF($C1134&gt;=3,", "&amp;$A1134&amp;"-"&amp;TEXT(($D1134-$C1134+1)+2,"00"),"")&amp;IF($C1134&gt;=4,", "&amp;$A1134&amp;"-"&amp;TEXT(($D1134-$C1134+1)+3,"00"),"")&amp;IF($C1134&gt;=5,", "&amp;$A1134&amp;"-"&amp;TEXT(($D1134-$C1134+1)+4,"00"),"")&amp;IF($C1134&gt;=6,", "&amp;$A1134&amp;"-"&amp;TEXT(($D1134-$C1134+1)+5,"00"),"")&amp;IF($C1134&gt;=7,", "&amp;$A1134&amp;"-"&amp;TEXT(($D1134-$C1134+1)+6,"00"),"")&amp;IF($C1134&gt;=8,", "&amp;$A1134&amp;"-"&amp;TEXT(($D1134-$C1134+1)+7,"00"),"")&amp;IF($C1134&gt;=9,", "&amp;$A1134&amp;"-"&amp;TEXT(($D1134-$C1134+1)+8,"00"),"")&amp;IF($C1134&gt;=10,", "&amp;$A1134&amp;"-"&amp;TEXT(($D1134-$C1134+1)+9,"00"),"")&amp;IF($C1134&gt;=11,", "&amp;$A1134&amp;"-"&amp;TEXT(($D1134-$C1134+1)+10,"00"),"")&amp;IF($C1134&gt;=12,", "&amp;$A1134&amp;"-"&amp;TEXT(($D1134-$C1134+1)+11,"00"),"")&amp;IF($C1134&gt;=13,", "&amp;$A1134&amp;"-"&amp;TEXT(($D1134-$C1134+1)+12,"00"),"")&amp;IF($C1134&gt;=14,", "&amp;$A1134&amp;"-"&amp;TEXT(($D1134-$C1134+1)+13,"00"),"")&amp;IF($C1134&gt;=15,", "&amp;$A1134&amp;"-"&amp;TEXT(($D1134-$C1134+1)+14,"00"),"")&amp;IF($C1134&gt;=16,", "&amp;$A1134&amp;"-"&amp;TEXT(($D1134-$C1134+1)+15,"00"),"")&amp;IF($C1134&gt;=17,", "&amp;$A1134&amp;"-"&amp;TEXT(($D1134-$C1134+1)+16,"00"),"")&amp;IF($C1134&gt;=18,", "&amp;$A1134&amp;"-"&amp;TEXT(($D1134-$C1134+1)+17,"00"),"")&amp;IF($C1134&gt;=19,", "&amp;$A1134&amp;"-"&amp;TEXT(($D1134-$C1134+1)+18,"00"),"")&amp;IF($C1134&gt;=20,", "&amp;$A1134&amp;"-"&amp;TEXT(($D1134-$C1134+1)+19,"00"),"")&amp;IF($C1134&gt;=21,", "&amp;$A1134&amp;"-"&amp;TEXT(($D1134-$C1134+1)+20,"00"),"")&amp;IF($C1134&gt;=22,", "&amp;$A1134&amp;"-"&amp;TEXT(($D1134-$C1134+1)+21,"00"),"")&amp;IF($C1134&gt;=23,", "&amp;$A1134&amp;"-"&amp;TEXT(($D1134-$C1134+1)+22,"00"),"")&amp;IF($C1134&gt;=24,", "&amp;$A1134&amp;"-"&amp;TEXT(($D1134-$C1134+1)+23,"00"),"")&amp;IF($C1134&gt;=25,", "&amp;$A1134&amp;"-"&amp;TEXT(($D1134-$C1134+1)+24,"00"),""))</f>
        <v/>
      </c>
      <c r="G1134">
        <f>IF($A1134="","",IF($E1134=1,$F1134,IF($F1134="",$G1133,IF($G1133="",$F1134,$G1133&amp;", "&amp;$F1134))))</f>
        <v/>
      </c>
      <c r="H1134">
        <f>IF($A1134="","",$A1134&amp;" ("&amp;$C1134&amp;")")</f>
        <v/>
      </c>
      <c r="I1134">
        <f>IF($A1134="","",IF($E1134=1,$H1134,$I1133&amp;", "&amp;$H1134))</f>
        <v/>
      </c>
      <c r="J1134">
        <f>IF($A1134="","",IF($E1134=1,$B1134,""))</f>
        <v/>
      </c>
      <c r="K1134">
        <f>IF($A1134="","",IF(COUNTIF($B$2:$B1134,$B1134)=COUNTIF($B$2:$B$1601,$B1134),$B1134,""))</f>
        <v/>
      </c>
    </row>
    <row r="1135">
      <c r="A1135">
        <f>IF('TMP Paste'!$E1135="","",'TMP Paste'!$E1135)</f>
        <v/>
      </c>
      <c r="B1135">
        <f>IF($A1135="","",COUNTIF('TMP Paste'!$B$2:$B1135,"?*"))</f>
        <v/>
      </c>
      <c r="C1135">
        <f>IF($A1135="","",IFERROR('TMP Paste'!$M1135*1,0))</f>
        <v/>
      </c>
      <c r="D1135">
        <f>IF($A1135="","",SUMIF($B$2:$B1135,$B1135,$C$2:$C1135))</f>
        <v/>
      </c>
      <c r="E1135">
        <f>IF($A1135="",0,IF('TMP Paste'!$B1135="",0,1))</f>
        <v/>
      </c>
      <c r="F1135">
        <f>IF(OR($A1135="",$C1135&lt;1),"",$A1135&amp;"-"&amp;TEXT(($D1135-$C1135+1),"00")&amp;IF($C1135&gt;=2,", "&amp;$A1135&amp;"-"&amp;TEXT(($D1135-$C1135+1)+1,"00"),"")&amp;IF($C1135&gt;=3,", "&amp;$A1135&amp;"-"&amp;TEXT(($D1135-$C1135+1)+2,"00"),"")&amp;IF($C1135&gt;=4,", "&amp;$A1135&amp;"-"&amp;TEXT(($D1135-$C1135+1)+3,"00"),"")&amp;IF($C1135&gt;=5,", "&amp;$A1135&amp;"-"&amp;TEXT(($D1135-$C1135+1)+4,"00"),"")&amp;IF($C1135&gt;=6,", "&amp;$A1135&amp;"-"&amp;TEXT(($D1135-$C1135+1)+5,"00"),"")&amp;IF($C1135&gt;=7,", "&amp;$A1135&amp;"-"&amp;TEXT(($D1135-$C1135+1)+6,"00"),"")&amp;IF($C1135&gt;=8,", "&amp;$A1135&amp;"-"&amp;TEXT(($D1135-$C1135+1)+7,"00"),"")&amp;IF($C1135&gt;=9,", "&amp;$A1135&amp;"-"&amp;TEXT(($D1135-$C1135+1)+8,"00"),"")&amp;IF($C1135&gt;=10,", "&amp;$A1135&amp;"-"&amp;TEXT(($D1135-$C1135+1)+9,"00"),"")&amp;IF($C1135&gt;=11,", "&amp;$A1135&amp;"-"&amp;TEXT(($D1135-$C1135+1)+10,"00"),"")&amp;IF($C1135&gt;=12,", "&amp;$A1135&amp;"-"&amp;TEXT(($D1135-$C1135+1)+11,"00"),"")&amp;IF($C1135&gt;=13,", "&amp;$A1135&amp;"-"&amp;TEXT(($D1135-$C1135+1)+12,"00"),"")&amp;IF($C1135&gt;=14,", "&amp;$A1135&amp;"-"&amp;TEXT(($D1135-$C1135+1)+13,"00"),"")&amp;IF($C1135&gt;=15,", "&amp;$A1135&amp;"-"&amp;TEXT(($D1135-$C1135+1)+14,"00"),"")&amp;IF($C1135&gt;=16,", "&amp;$A1135&amp;"-"&amp;TEXT(($D1135-$C1135+1)+15,"00"),"")&amp;IF($C1135&gt;=17,", "&amp;$A1135&amp;"-"&amp;TEXT(($D1135-$C1135+1)+16,"00"),"")&amp;IF($C1135&gt;=18,", "&amp;$A1135&amp;"-"&amp;TEXT(($D1135-$C1135+1)+17,"00"),"")&amp;IF($C1135&gt;=19,", "&amp;$A1135&amp;"-"&amp;TEXT(($D1135-$C1135+1)+18,"00"),"")&amp;IF($C1135&gt;=20,", "&amp;$A1135&amp;"-"&amp;TEXT(($D1135-$C1135+1)+19,"00"),"")&amp;IF($C1135&gt;=21,", "&amp;$A1135&amp;"-"&amp;TEXT(($D1135-$C1135+1)+20,"00"),"")&amp;IF($C1135&gt;=22,", "&amp;$A1135&amp;"-"&amp;TEXT(($D1135-$C1135+1)+21,"00"),"")&amp;IF($C1135&gt;=23,", "&amp;$A1135&amp;"-"&amp;TEXT(($D1135-$C1135+1)+22,"00"),"")&amp;IF($C1135&gt;=24,", "&amp;$A1135&amp;"-"&amp;TEXT(($D1135-$C1135+1)+23,"00"),"")&amp;IF($C1135&gt;=25,", "&amp;$A1135&amp;"-"&amp;TEXT(($D1135-$C1135+1)+24,"00"),""))</f>
        <v/>
      </c>
      <c r="G1135">
        <f>IF($A1135="","",IF($E1135=1,$F1135,IF($F1135="",$G1134,IF($G1134="",$F1135,$G1134&amp;", "&amp;$F1135))))</f>
        <v/>
      </c>
      <c r="H1135">
        <f>IF($A1135="","",$A1135&amp;" ("&amp;$C1135&amp;")")</f>
        <v/>
      </c>
      <c r="I1135">
        <f>IF($A1135="","",IF($E1135=1,$H1135,$I1134&amp;", "&amp;$H1135))</f>
        <v/>
      </c>
      <c r="J1135">
        <f>IF($A1135="","",IF($E1135=1,$B1135,""))</f>
        <v/>
      </c>
      <c r="K1135">
        <f>IF($A1135="","",IF(COUNTIF($B$2:$B1135,$B1135)=COUNTIF($B$2:$B$1601,$B1135),$B1135,""))</f>
        <v/>
      </c>
    </row>
    <row r="1136">
      <c r="A1136">
        <f>IF('TMP Paste'!$E1136="","",'TMP Paste'!$E1136)</f>
        <v/>
      </c>
      <c r="B1136">
        <f>IF($A1136="","",COUNTIF('TMP Paste'!$B$2:$B1136,"?*"))</f>
        <v/>
      </c>
      <c r="C1136">
        <f>IF($A1136="","",IFERROR('TMP Paste'!$M1136*1,0))</f>
        <v/>
      </c>
      <c r="D1136">
        <f>IF($A1136="","",SUMIF($B$2:$B1136,$B1136,$C$2:$C1136))</f>
        <v/>
      </c>
      <c r="E1136">
        <f>IF($A1136="",0,IF('TMP Paste'!$B1136="",0,1))</f>
        <v/>
      </c>
      <c r="F1136">
        <f>IF(OR($A1136="",$C1136&lt;1),"",$A1136&amp;"-"&amp;TEXT(($D1136-$C1136+1),"00")&amp;IF($C1136&gt;=2,", "&amp;$A1136&amp;"-"&amp;TEXT(($D1136-$C1136+1)+1,"00"),"")&amp;IF($C1136&gt;=3,", "&amp;$A1136&amp;"-"&amp;TEXT(($D1136-$C1136+1)+2,"00"),"")&amp;IF($C1136&gt;=4,", "&amp;$A1136&amp;"-"&amp;TEXT(($D1136-$C1136+1)+3,"00"),"")&amp;IF($C1136&gt;=5,", "&amp;$A1136&amp;"-"&amp;TEXT(($D1136-$C1136+1)+4,"00"),"")&amp;IF($C1136&gt;=6,", "&amp;$A1136&amp;"-"&amp;TEXT(($D1136-$C1136+1)+5,"00"),"")&amp;IF($C1136&gt;=7,", "&amp;$A1136&amp;"-"&amp;TEXT(($D1136-$C1136+1)+6,"00"),"")&amp;IF($C1136&gt;=8,", "&amp;$A1136&amp;"-"&amp;TEXT(($D1136-$C1136+1)+7,"00"),"")&amp;IF($C1136&gt;=9,", "&amp;$A1136&amp;"-"&amp;TEXT(($D1136-$C1136+1)+8,"00"),"")&amp;IF($C1136&gt;=10,", "&amp;$A1136&amp;"-"&amp;TEXT(($D1136-$C1136+1)+9,"00"),"")&amp;IF($C1136&gt;=11,", "&amp;$A1136&amp;"-"&amp;TEXT(($D1136-$C1136+1)+10,"00"),"")&amp;IF($C1136&gt;=12,", "&amp;$A1136&amp;"-"&amp;TEXT(($D1136-$C1136+1)+11,"00"),"")&amp;IF($C1136&gt;=13,", "&amp;$A1136&amp;"-"&amp;TEXT(($D1136-$C1136+1)+12,"00"),"")&amp;IF($C1136&gt;=14,", "&amp;$A1136&amp;"-"&amp;TEXT(($D1136-$C1136+1)+13,"00"),"")&amp;IF($C1136&gt;=15,", "&amp;$A1136&amp;"-"&amp;TEXT(($D1136-$C1136+1)+14,"00"),"")&amp;IF($C1136&gt;=16,", "&amp;$A1136&amp;"-"&amp;TEXT(($D1136-$C1136+1)+15,"00"),"")&amp;IF($C1136&gt;=17,", "&amp;$A1136&amp;"-"&amp;TEXT(($D1136-$C1136+1)+16,"00"),"")&amp;IF($C1136&gt;=18,", "&amp;$A1136&amp;"-"&amp;TEXT(($D1136-$C1136+1)+17,"00"),"")&amp;IF($C1136&gt;=19,", "&amp;$A1136&amp;"-"&amp;TEXT(($D1136-$C1136+1)+18,"00"),"")&amp;IF($C1136&gt;=20,", "&amp;$A1136&amp;"-"&amp;TEXT(($D1136-$C1136+1)+19,"00"),"")&amp;IF($C1136&gt;=21,", "&amp;$A1136&amp;"-"&amp;TEXT(($D1136-$C1136+1)+20,"00"),"")&amp;IF($C1136&gt;=22,", "&amp;$A1136&amp;"-"&amp;TEXT(($D1136-$C1136+1)+21,"00"),"")&amp;IF($C1136&gt;=23,", "&amp;$A1136&amp;"-"&amp;TEXT(($D1136-$C1136+1)+22,"00"),"")&amp;IF($C1136&gt;=24,", "&amp;$A1136&amp;"-"&amp;TEXT(($D1136-$C1136+1)+23,"00"),"")&amp;IF($C1136&gt;=25,", "&amp;$A1136&amp;"-"&amp;TEXT(($D1136-$C1136+1)+24,"00"),""))</f>
        <v/>
      </c>
      <c r="G1136">
        <f>IF($A1136="","",IF($E1136=1,$F1136,IF($F1136="",$G1135,IF($G1135="",$F1136,$G1135&amp;", "&amp;$F1136))))</f>
        <v/>
      </c>
      <c r="H1136">
        <f>IF($A1136="","",$A1136&amp;" ("&amp;$C1136&amp;")")</f>
        <v/>
      </c>
      <c r="I1136">
        <f>IF($A1136="","",IF($E1136=1,$H1136,$I1135&amp;", "&amp;$H1136))</f>
        <v/>
      </c>
      <c r="J1136">
        <f>IF($A1136="","",IF($E1136=1,$B1136,""))</f>
        <v/>
      </c>
      <c r="K1136">
        <f>IF($A1136="","",IF(COUNTIF($B$2:$B1136,$B1136)=COUNTIF($B$2:$B$1601,$B1136),$B1136,""))</f>
        <v/>
      </c>
    </row>
    <row r="1137">
      <c r="A1137">
        <f>IF('TMP Paste'!$E1137="","",'TMP Paste'!$E1137)</f>
        <v/>
      </c>
      <c r="B1137">
        <f>IF($A1137="","",COUNTIF('TMP Paste'!$B$2:$B1137,"?*"))</f>
        <v/>
      </c>
      <c r="C1137">
        <f>IF($A1137="","",IFERROR('TMP Paste'!$M1137*1,0))</f>
        <v/>
      </c>
      <c r="D1137">
        <f>IF($A1137="","",SUMIF($B$2:$B1137,$B1137,$C$2:$C1137))</f>
        <v/>
      </c>
      <c r="E1137">
        <f>IF($A1137="",0,IF('TMP Paste'!$B1137="",0,1))</f>
        <v/>
      </c>
      <c r="F1137">
        <f>IF(OR($A1137="",$C1137&lt;1),"",$A1137&amp;"-"&amp;TEXT(($D1137-$C1137+1),"00")&amp;IF($C1137&gt;=2,", "&amp;$A1137&amp;"-"&amp;TEXT(($D1137-$C1137+1)+1,"00"),"")&amp;IF($C1137&gt;=3,", "&amp;$A1137&amp;"-"&amp;TEXT(($D1137-$C1137+1)+2,"00"),"")&amp;IF($C1137&gt;=4,", "&amp;$A1137&amp;"-"&amp;TEXT(($D1137-$C1137+1)+3,"00"),"")&amp;IF($C1137&gt;=5,", "&amp;$A1137&amp;"-"&amp;TEXT(($D1137-$C1137+1)+4,"00"),"")&amp;IF($C1137&gt;=6,", "&amp;$A1137&amp;"-"&amp;TEXT(($D1137-$C1137+1)+5,"00"),"")&amp;IF($C1137&gt;=7,", "&amp;$A1137&amp;"-"&amp;TEXT(($D1137-$C1137+1)+6,"00"),"")&amp;IF($C1137&gt;=8,", "&amp;$A1137&amp;"-"&amp;TEXT(($D1137-$C1137+1)+7,"00"),"")&amp;IF($C1137&gt;=9,", "&amp;$A1137&amp;"-"&amp;TEXT(($D1137-$C1137+1)+8,"00"),"")&amp;IF($C1137&gt;=10,", "&amp;$A1137&amp;"-"&amp;TEXT(($D1137-$C1137+1)+9,"00"),"")&amp;IF($C1137&gt;=11,", "&amp;$A1137&amp;"-"&amp;TEXT(($D1137-$C1137+1)+10,"00"),"")&amp;IF($C1137&gt;=12,", "&amp;$A1137&amp;"-"&amp;TEXT(($D1137-$C1137+1)+11,"00"),"")&amp;IF($C1137&gt;=13,", "&amp;$A1137&amp;"-"&amp;TEXT(($D1137-$C1137+1)+12,"00"),"")&amp;IF($C1137&gt;=14,", "&amp;$A1137&amp;"-"&amp;TEXT(($D1137-$C1137+1)+13,"00"),"")&amp;IF($C1137&gt;=15,", "&amp;$A1137&amp;"-"&amp;TEXT(($D1137-$C1137+1)+14,"00"),"")&amp;IF($C1137&gt;=16,", "&amp;$A1137&amp;"-"&amp;TEXT(($D1137-$C1137+1)+15,"00"),"")&amp;IF($C1137&gt;=17,", "&amp;$A1137&amp;"-"&amp;TEXT(($D1137-$C1137+1)+16,"00"),"")&amp;IF($C1137&gt;=18,", "&amp;$A1137&amp;"-"&amp;TEXT(($D1137-$C1137+1)+17,"00"),"")&amp;IF($C1137&gt;=19,", "&amp;$A1137&amp;"-"&amp;TEXT(($D1137-$C1137+1)+18,"00"),"")&amp;IF($C1137&gt;=20,", "&amp;$A1137&amp;"-"&amp;TEXT(($D1137-$C1137+1)+19,"00"),"")&amp;IF($C1137&gt;=21,", "&amp;$A1137&amp;"-"&amp;TEXT(($D1137-$C1137+1)+20,"00"),"")&amp;IF($C1137&gt;=22,", "&amp;$A1137&amp;"-"&amp;TEXT(($D1137-$C1137+1)+21,"00"),"")&amp;IF($C1137&gt;=23,", "&amp;$A1137&amp;"-"&amp;TEXT(($D1137-$C1137+1)+22,"00"),"")&amp;IF($C1137&gt;=24,", "&amp;$A1137&amp;"-"&amp;TEXT(($D1137-$C1137+1)+23,"00"),"")&amp;IF($C1137&gt;=25,", "&amp;$A1137&amp;"-"&amp;TEXT(($D1137-$C1137+1)+24,"00"),""))</f>
        <v/>
      </c>
      <c r="G1137">
        <f>IF($A1137="","",IF($E1137=1,$F1137,IF($F1137="",$G1136,IF($G1136="",$F1137,$G1136&amp;", "&amp;$F1137))))</f>
        <v/>
      </c>
      <c r="H1137">
        <f>IF($A1137="","",$A1137&amp;" ("&amp;$C1137&amp;")")</f>
        <v/>
      </c>
      <c r="I1137">
        <f>IF($A1137="","",IF($E1137=1,$H1137,$I1136&amp;", "&amp;$H1137))</f>
        <v/>
      </c>
      <c r="J1137">
        <f>IF($A1137="","",IF($E1137=1,$B1137,""))</f>
        <v/>
      </c>
      <c r="K1137">
        <f>IF($A1137="","",IF(COUNTIF($B$2:$B1137,$B1137)=COUNTIF($B$2:$B$1601,$B1137),$B1137,""))</f>
        <v/>
      </c>
    </row>
    <row r="1138">
      <c r="A1138">
        <f>IF('TMP Paste'!$E1138="","",'TMP Paste'!$E1138)</f>
        <v/>
      </c>
      <c r="B1138">
        <f>IF($A1138="","",COUNTIF('TMP Paste'!$B$2:$B1138,"?*"))</f>
        <v/>
      </c>
      <c r="C1138">
        <f>IF($A1138="","",IFERROR('TMP Paste'!$M1138*1,0))</f>
        <v/>
      </c>
      <c r="D1138">
        <f>IF($A1138="","",SUMIF($B$2:$B1138,$B1138,$C$2:$C1138))</f>
        <v/>
      </c>
      <c r="E1138">
        <f>IF($A1138="",0,IF('TMP Paste'!$B1138="",0,1))</f>
        <v/>
      </c>
      <c r="F1138">
        <f>IF(OR($A1138="",$C1138&lt;1),"",$A1138&amp;"-"&amp;TEXT(($D1138-$C1138+1),"00")&amp;IF($C1138&gt;=2,", "&amp;$A1138&amp;"-"&amp;TEXT(($D1138-$C1138+1)+1,"00"),"")&amp;IF($C1138&gt;=3,", "&amp;$A1138&amp;"-"&amp;TEXT(($D1138-$C1138+1)+2,"00"),"")&amp;IF($C1138&gt;=4,", "&amp;$A1138&amp;"-"&amp;TEXT(($D1138-$C1138+1)+3,"00"),"")&amp;IF($C1138&gt;=5,", "&amp;$A1138&amp;"-"&amp;TEXT(($D1138-$C1138+1)+4,"00"),"")&amp;IF($C1138&gt;=6,", "&amp;$A1138&amp;"-"&amp;TEXT(($D1138-$C1138+1)+5,"00"),"")&amp;IF($C1138&gt;=7,", "&amp;$A1138&amp;"-"&amp;TEXT(($D1138-$C1138+1)+6,"00"),"")&amp;IF($C1138&gt;=8,", "&amp;$A1138&amp;"-"&amp;TEXT(($D1138-$C1138+1)+7,"00"),"")&amp;IF($C1138&gt;=9,", "&amp;$A1138&amp;"-"&amp;TEXT(($D1138-$C1138+1)+8,"00"),"")&amp;IF($C1138&gt;=10,", "&amp;$A1138&amp;"-"&amp;TEXT(($D1138-$C1138+1)+9,"00"),"")&amp;IF($C1138&gt;=11,", "&amp;$A1138&amp;"-"&amp;TEXT(($D1138-$C1138+1)+10,"00"),"")&amp;IF($C1138&gt;=12,", "&amp;$A1138&amp;"-"&amp;TEXT(($D1138-$C1138+1)+11,"00"),"")&amp;IF($C1138&gt;=13,", "&amp;$A1138&amp;"-"&amp;TEXT(($D1138-$C1138+1)+12,"00"),"")&amp;IF($C1138&gt;=14,", "&amp;$A1138&amp;"-"&amp;TEXT(($D1138-$C1138+1)+13,"00"),"")&amp;IF($C1138&gt;=15,", "&amp;$A1138&amp;"-"&amp;TEXT(($D1138-$C1138+1)+14,"00"),"")&amp;IF($C1138&gt;=16,", "&amp;$A1138&amp;"-"&amp;TEXT(($D1138-$C1138+1)+15,"00"),"")&amp;IF($C1138&gt;=17,", "&amp;$A1138&amp;"-"&amp;TEXT(($D1138-$C1138+1)+16,"00"),"")&amp;IF($C1138&gt;=18,", "&amp;$A1138&amp;"-"&amp;TEXT(($D1138-$C1138+1)+17,"00"),"")&amp;IF($C1138&gt;=19,", "&amp;$A1138&amp;"-"&amp;TEXT(($D1138-$C1138+1)+18,"00"),"")&amp;IF($C1138&gt;=20,", "&amp;$A1138&amp;"-"&amp;TEXT(($D1138-$C1138+1)+19,"00"),"")&amp;IF($C1138&gt;=21,", "&amp;$A1138&amp;"-"&amp;TEXT(($D1138-$C1138+1)+20,"00"),"")&amp;IF($C1138&gt;=22,", "&amp;$A1138&amp;"-"&amp;TEXT(($D1138-$C1138+1)+21,"00"),"")&amp;IF($C1138&gt;=23,", "&amp;$A1138&amp;"-"&amp;TEXT(($D1138-$C1138+1)+22,"00"),"")&amp;IF($C1138&gt;=24,", "&amp;$A1138&amp;"-"&amp;TEXT(($D1138-$C1138+1)+23,"00"),"")&amp;IF($C1138&gt;=25,", "&amp;$A1138&amp;"-"&amp;TEXT(($D1138-$C1138+1)+24,"00"),""))</f>
        <v/>
      </c>
      <c r="G1138">
        <f>IF($A1138="","",IF($E1138=1,$F1138,IF($F1138="",$G1137,IF($G1137="",$F1138,$G1137&amp;", "&amp;$F1138))))</f>
        <v/>
      </c>
      <c r="H1138">
        <f>IF($A1138="","",$A1138&amp;" ("&amp;$C1138&amp;")")</f>
        <v/>
      </c>
      <c r="I1138">
        <f>IF($A1138="","",IF($E1138=1,$H1138,$I1137&amp;", "&amp;$H1138))</f>
        <v/>
      </c>
      <c r="J1138">
        <f>IF($A1138="","",IF($E1138=1,$B1138,""))</f>
        <v/>
      </c>
      <c r="K1138">
        <f>IF($A1138="","",IF(COUNTIF($B$2:$B1138,$B1138)=COUNTIF($B$2:$B$1601,$B1138),$B1138,""))</f>
        <v/>
      </c>
    </row>
    <row r="1139">
      <c r="A1139">
        <f>IF('TMP Paste'!$E1139="","",'TMP Paste'!$E1139)</f>
        <v/>
      </c>
      <c r="B1139">
        <f>IF($A1139="","",COUNTIF('TMP Paste'!$B$2:$B1139,"?*"))</f>
        <v/>
      </c>
      <c r="C1139">
        <f>IF($A1139="","",IFERROR('TMP Paste'!$M1139*1,0))</f>
        <v/>
      </c>
      <c r="D1139">
        <f>IF($A1139="","",SUMIF($B$2:$B1139,$B1139,$C$2:$C1139))</f>
        <v/>
      </c>
      <c r="E1139">
        <f>IF($A1139="",0,IF('TMP Paste'!$B1139="",0,1))</f>
        <v/>
      </c>
      <c r="F1139">
        <f>IF(OR($A1139="",$C1139&lt;1),"",$A1139&amp;"-"&amp;TEXT(($D1139-$C1139+1),"00")&amp;IF($C1139&gt;=2,", "&amp;$A1139&amp;"-"&amp;TEXT(($D1139-$C1139+1)+1,"00"),"")&amp;IF($C1139&gt;=3,", "&amp;$A1139&amp;"-"&amp;TEXT(($D1139-$C1139+1)+2,"00"),"")&amp;IF($C1139&gt;=4,", "&amp;$A1139&amp;"-"&amp;TEXT(($D1139-$C1139+1)+3,"00"),"")&amp;IF($C1139&gt;=5,", "&amp;$A1139&amp;"-"&amp;TEXT(($D1139-$C1139+1)+4,"00"),"")&amp;IF($C1139&gt;=6,", "&amp;$A1139&amp;"-"&amp;TEXT(($D1139-$C1139+1)+5,"00"),"")&amp;IF($C1139&gt;=7,", "&amp;$A1139&amp;"-"&amp;TEXT(($D1139-$C1139+1)+6,"00"),"")&amp;IF($C1139&gt;=8,", "&amp;$A1139&amp;"-"&amp;TEXT(($D1139-$C1139+1)+7,"00"),"")&amp;IF($C1139&gt;=9,", "&amp;$A1139&amp;"-"&amp;TEXT(($D1139-$C1139+1)+8,"00"),"")&amp;IF($C1139&gt;=10,", "&amp;$A1139&amp;"-"&amp;TEXT(($D1139-$C1139+1)+9,"00"),"")&amp;IF($C1139&gt;=11,", "&amp;$A1139&amp;"-"&amp;TEXT(($D1139-$C1139+1)+10,"00"),"")&amp;IF($C1139&gt;=12,", "&amp;$A1139&amp;"-"&amp;TEXT(($D1139-$C1139+1)+11,"00"),"")&amp;IF($C1139&gt;=13,", "&amp;$A1139&amp;"-"&amp;TEXT(($D1139-$C1139+1)+12,"00"),"")&amp;IF($C1139&gt;=14,", "&amp;$A1139&amp;"-"&amp;TEXT(($D1139-$C1139+1)+13,"00"),"")&amp;IF($C1139&gt;=15,", "&amp;$A1139&amp;"-"&amp;TEXT(($D1139-$C1139+1)+14,"00"),"")&amp;IF($C1139&gt;=16,", "&amp;$A1139&amp;"-"&amp;TEXT(($D1139-$C1139+1)+15,"00"),"")&amp;IF($C1139&gt;=17,", "&amp;$A1139&amp;"-"&amp;TEXT(($D1139-$C1139+1)+16,"00"),"")&amp;IF($C1139&gt;=18,", "&amp;$A1139&amp;"-"&amp;TEXT(($D1139-$C1139+1)+17,"00"),"")&amp;IF($C1139&gt;=19,", "&amp;$A1139&amp;"-"&amp;TEXT(($D1139-$C1139+1)+18,"00"),"")&amp;IF($C1139&gt;=20,", "&amp;$A1139&amp;"-"&amp;TEXT(($D1139-$C1139+1)+19,"00"),"")&amp;IF($C1139&gt;=21,", "&amp;$A1139&amp;"-"&amp;TEXT(($D1139-$C1139+1)+20,"00"),"")&amp;IF($C1139&gt;=22,", "&amp;$A1139&amp;"-"&amp;TEXT(($D1139-$C1139+1)+21,"00"),"")&amp;IF($C1139&gt;=23,", "&amp;$A1139&amp;"-"&amp;TEXT(($D1139-$C1139+1)+22,"00"),"")&amp;IF($C1139&gt;=24,", "&amp;$A1139&amp;"-"&amp;TEXT(($D1139-$C1139+1)+23,"00"),"")&amp;IF($C1139&gt;=25,", "&amp;$A1139&amp;"-"&amp;TEXT(($D1139-$C1139+1)+24,"00"),""))</f>
        <v/>
      </c>
      <c r="G1139">
        <f>IF($A1139="","",IF($E1139=1,$F1139,IF($F1139="",$G1138,IF($G1138="",$F1139,$G1138&amp;", "&amp;$F1139))))</f>
        <v/>
      </c>
      <c r="H1139">
        <f>IF($A1139="","",$A1139&amp;" ("&amp;$C1139&amp;")")</f>
        <v/>
      </c>
      <c r="I1139">
        <f>IF($A1139="","",IF($E1139=1,$H1139,$I1138&amp;", "&amp;$H1139))</f>
        <v/>
      </c>
      <c r="J1139">
        <f>IF($A1139="","",IF($E1139=1,$B1139,""))</f>
        <v/>
      </c>
      <c r="K1139">
        <f>IF($A1139="","",IF(COUNTIF($B$2:$B1139,$B1139)=COUNTIF($B$2:$B$1601,$B1139),$B1139,""))</f>
        <v/>
      </c>
    </row>
    <row r="1140">
      <c r="A1140">
        <f>IF('TMP Paste'!$E1140="","",'TMP Paste'!$E1140)</f>
        <v/>
      </c>
      <c r="B1140">
        <f>IF($A1140="","",COUNTIF('TMP Paste'!$B$2:$B1140,"?*"))</f>
        <v/>
      </c>
      <c r="C1140">
        <f>IF($A1140="","",IFERROR('TMP Paste'!$M1140*1,0))</f>
        <v/>
      </c>
      <c r="D1140">
        <f>IF($A1140="","",SUMIF($B$2:$B1140,$B1140,$C$2:$C1140))</f>
        <v/>
      </c>
      <c r="E1140">
        <f>IF($A1140="",0,IF('TMP Paste'!$B1140="",0,1))</f>
        <v/>
      </c>
      <c r="F1140">
        <f>IF(OR($A1140="",$C1140&lt;1),"",$A1140&amp;"-"&amp;TEXT(($D1140-$C1140+1),"00")&amp;IF($C1140&gt;=2,", "&amp;$A1140&amp;"-"&amp;TEXT(($D1140-$C1140+1)+1,"00"),"")&amp;IF($C1140&gt;=3,", "&amp;$A1140&amp;"-"&amp;TEXT(($D1140-$C1140+1)+2,"00"),"")&amp;IF($C1140&gt;=4,", "&amp;$A1140&amp;"-"&amp;TEXT(($D1140-$C1140+1)+3,"00"),"")&amp;IF($C1140&gt;=5,", "&amp;$A1140&amp;"-"&amp;TEXT(($D1140-$C1140+1)+4,"00"),"")&amp;IF($C1140&gt;=6,", "&amp;$A1140&amp;"-"&amp;TEXT(($D1140-$C1140+1)+5,"00"),"")&amp;IF($C1140&gt;=7,", "&amp;$A1140&amp;"-"&amp;TEXT(($D1140-$C1140+1)+6,"00"),"")&amp;IF($C1140&gt;=8,", "&amp;$A1140&amp;"-"&amp;TEXT(($D1140-$C1140+1)+7,"00"),"")&amp;IF($C1140&gt;=9,", "&amp;$A1140&amp;"-"&amp;TEXT(($D1140-$C1140+1)+8,"00"),"")&amp;IF($C1140&gt;=10,", "&amp;$A1140&amp;"-"&amp;TEXT(($D1140-$C1140+1)+9,"00"),"")&amp;IF($C1140&gt;=11,", "&amp;$A1140&amp;"-"&amp;TEXT(($D1140-$C1140+1)+10,"00"),"")&amp;IF($C1140&gt;=12,", "&amp;$A1140&amp;"-"&amp;TEXT(($D1140-$C1140+1)+11,"00"),"")&amp;IF($C1140&gt;=13,", "&amp;$A1140&amp;"-"&amp;TEXT(($D1140-$C1140+1)+12,"00"),"")&amp;IF($C1140&gt;=14,", "&amp;$A1140&amp;"-"&amp;TEXT(($D1140-$C1140+1)+13,"00"),"")&amp;IF($C1140&gt;=15,", "&amp;$A1140&amp;"-"&amp;TEXT(($D1140-$C1140+1)+14,"00"),"")&amp;IF($C1140&gt;=16,", "&amp;$A1140&amp;"-"&amp;TEXT(($D1140-$C1140+1)+15,"00"),"")&amp;IF($C1140&gt;=17,", "&amp;$A1140&amp;"-"&amp;TEXT(($D1140-$C1140+1)+16,"00"),"")&amp;IF($C1140&gt;=18,", "&amp;$A1140&amp;"-"&amp;TEXT(($D1140-$C1140+1)+17,"00"),"")&amp;IF($C1140&gt;=19,", "&amp;$A1140&amp;"-"&amp;TEXT(($D1140-$C1140+1)+18,"00"),"")&amp;IF($C1140&gt;=20,", "&amp;$A1140&amp;"-"&amp;TEXT(($D1140-$C1140+1)+19,"00"),"")&amp;IF($C1140&gt;=21,", "&amp;$A1140&amp;"-"&amp;TEXT(($D1140-$C1140+1)+20,"00"),"")&amp;IF($C1140&gt;=22,", "&amp;$A1140&amp;"-"&amp;TEXT(($D1140-$C1140+1)+21,"00"),"")&amp;IF($C1140&gt;=23,", "&amp;$A1140&amp;"-"&amp;TEXT(($D1140-$C1140+1)+22,"00"),"")&amp;IF($C1140&gt;=24,", "&amp;$A1140&amp;"-"&amp;TEXT(($D1140-$C1140+1)+23,"00"),"")&amp;IF($C1140&gt;=25,", "&amp;$A1140&amp;"-"&amp;TEXT(($D1140-$C1140+1)+24,"00"),""))</f>
        <v/>
      </c>
      <c r="G1140">
        <f>IF($A1140="","",IF($E1140=1,$F1140,IF($F1140="",$G1139,IF($G1139="",$F1140,$G1139&amp;", "&amp;$F1140))))</f>
        <v/>
      </c>
      <c r="H1140">
        <f>IF($A1140="","",$A1140&amp;" ("&amp;$C1140&amp;")")</f>
        <v/>
      </c>
      <c r="I1140">
        <f>IF($A1140="","",IF($E1140=1,$H1140,$I1139&amp;", "&amp;$H1140))</f>
        <v/>
      </c>
      <c r="J1140">
        <f>IF($A1140="","",IF($E1140=1,$B1140,""))</f>
        <v/>
      </c>
      <c r="K1140">
        <f>IF($A1140="","",IF(COUNTIF($B$2:$B1140,$B1140)=COUNTIF($B$2:$B$1601,$B1140),$B1140,""))</f>
        <v/>
      </c>
    </row>
    <row r="1141">
      <c r="A1141">
        <f>IF('TMP Paste'!$E1141="","",'TMP Paste'!$E1141)</f>
        <v/>
      </c>
      <c r="B1141">
        <f>IF($A1141="","",COUNTIF('TMP Paste'!$B$2:$B1141,"?*"))</f>
        <v/>
      </c>
      <c r="C1141">
        <f>IF($A1141="","",IFERROR('TMP Paste'!$M1141*1,0))</f>
        <v/>
      </c>
      <c r="D1141">
        <f>IF($A1141="","",SUMIF($B$2:$B1141,$B1141,$C$2:$C1141))</f>
        <v/>
      </c>
      <c r="E1141">
        <f>IF($A1141="",0,IF('TMP Paste'!$B1141="",0,1))</f>
        <v/>
      </c>
      <c r="F1141">
        <f>IF(OR($A1141="",$C1141&lt;1),"",$A1141&amp;"-"&amp;TEXT(($D1141-$C1141+1),"00")&amp;IF($C1141&gt;=2,", "&amp;$A1141&amp;"-"&amp;TEXT(($D1141-$C1141+1)+1,"00"),"")&amp;IF($C1141&gt;=3,", "&amp;$A1141&amp;"-"&amp;TEXT(($D1141-$C1141+1)+2,"00"),"")&amp;IF($C1141&gt;=4,", "&amp;$A1141&amp;"-"&amp;TEXT(($D1141-$C1141+1)+3,"00"),"")&amp;IF($C1141&gt;=5,", "&amp;$A1141&amp;"-"&amp;TEXT(($D1141-$C1141+1)+4,"00"),"")&amp;IF($C1141&gt;=6,", "&amp;$A1141&amp;"-"&amp;TEXT(($D1141-$C1141+1)+5,"00"),"")&amp;IF($C1141&gt;=7,", "&amp;$A1141&amp;"-"&amp;TEXT(($D1141-$C1141+1)+6,"00"),"")&amp;IF($C1141&gt;=8,", "&amp;$A1141&amp;"-"&amp;TEXT(($D1141-$C1141+1)+7,"00"),"")&amp;IF($C1141&gt;=9,", "&amp;$A1141&amp;"-"&amp;TEXT(($D1141-$C1141+1)+8,"00"),"")&amp;IF($C1141&gt;=10,", "&amp;$A1141&amp;"-"&amp;TEXT(($D1141-$C1141+1)+9,"00"),"")&amp;IF($C1141&gt;=11,", "&amp;$A1141&amp;"-"&amp;TEXT(($D1141-$C1141+1)+10,"00"),"")&amp;IF($C1141&gt;=12,", "&amp;$A1141&amp;"-"&amp;TEXT(($D1141-$C1141+1)+11,"00"),"")&amp;IF($C1141&gt;=13,", "&amp;$A1141&amp;"-"&amp;TEXT(($D1141-$C1141+1)+12,"00"),"")&amp;IF($C1141&gt;=14,", "&amp;$A1141&amp;"-"&amp;TEXT(($D1141-$C1141+1)+13,"00"),"")&amp;IF($C1141&gt;=15,", "&amp;$A1141&amp;"-"&amp;TEXT(($D1141-$C1141+1)+14,"00"),"")&amp;IF($C1141&gt;=16,", "&amp;$A1141&amp;"-"&amp;TEXT(($D1141-$C1141+1)+15,"00"),"")&amp;IF($C1141&gt;=17,", "&amp;$A1141&amp;"-"&amp;TEXT(($D1141-$C1141+1)+16,"00"),"")&amp;IF($C1141&gt;=18,", "&amp;$A1141&amp;"-"&amp;TEXT(($D1141-$C1141+1)+17,"00"),"")&amp;IF($C1141&gt;=19,", "&amp;$A1141&amp;"-"&amp;TEXT(($D1141-$C1141+1)+18,"00"),"")&amp;IF($C1141&gt;=20,", "&amp;$A1141&amp;"-"&amp;TEXT(($D1141-$C1141+1)+19,"00"),"")&amp;IF($C1141&gt;=21,", "&amp;$A1141&amp;"-"&amp;TEXT(($D1141-$C1141+1)+20,"00"),"")&amp;IF($C1141&gt;=22,", "&amp;$A1141&amp;"-"&amp;TEXT(($D1141-$C1141+1)+21,"00"),"")&amp;IF($C1141&gt;=23,", "&amp;$A1141&amp;"-"&amp;TEXT(($D1141-$C1141+1)+22,"00"),"")&amp;IF($C1141&gt;=24,", "&amp;$A1141&amp;"-"&amp;TEXT(($D1141-$C1141+1)+23,"00"),"")&amp;IF($C1141&gt;=25,", "&amp;$A1141&amp;"-"&amp;TEXT(($D1141-$C1141+1)+24,"00"),""))</f>
        <v/>
      </c>
      <c r="G1141">
        <f>IF($A1141="","",IF($E1141=1,$F1141,IF($F1141="",$G1140,IF($G1140="",$F1141,$G1140&amp;", "&amp;$F1141))))</f>
        <v/>
      </c>
      <c r="H1141">
        <f>IF($A1141="","",$A1141&amp;" ("&amp;$C1141&amp;")")</f>
        <v/>
      </c>
      <c r="I1141">
        <f>IF($A1141="","",IF($E1141=1,$H1141,$I1140&amp;", "&amp;$H1141))</f>
        <v/>
      </c>
      <c r="J1141">
        <f>IF($A1141="","",IF($E1141=1,$B1141,""))</f>
        <v/>
      </c>
      <c r="K1141">
        <f>IF($A1141="","",IF(COUNTIF($B$2:$B1141,$B1141)=COUNTIF($B$2:$B$1601,$B1141),$B1141,""))</f>
        <v/>
      </c>
    </row>
    <row r="1142">
      <c r="A1142">
        <f>IF('TMP Paste'!$E1142="","",'TMP Paste'!$E1142)</f>
        <v/>
      </c>
      <c r="B1142">
        <f>IF($A1142="","",COUNTIF('TMP Paste'!$B$2:$B1142,"?*"))</f>
        <v/>
      </c>
      <c r="C1142">
        <f>IF($A1142="","",IFERROR('TMP Paste'!$M1142*1,0))</f>
        <v/>
      </c>
      <c r="D1142">
        <f>IF($A1142="","",SUMIF($B$2:$B1142,$B1142,$C$2:$C1142))</f>
        <v/>
      </c>
      <c r="E1142">
        <f>IF($A1142="",0,IF('TMP Paste'!$B1142="",0,1))</f>
        <v/>
      </c>
      <c r="F1142">
        <f>IF(OR($A1142="",$C1142&lt;1),"",$A1142&amp;"-"&amp;TEXT(($D1142-$C1142+1),"00")&amp;IF($C1142&gt;=2,", "&amp;$A1142&amp;"-"&amp;TEXT(($D1142-$C1142+1)+1,"00"),"")&amp;IF($C1142&gt;=3,", "&amp;$A1142&amp;"-"&amp;TEXT(($D1142-$C1142+1)+2,"00"),"")&amp;IF($C1142&gt;=4,", "&amp;$A1142&amp;"-"&amp;TEXT(($D1142-$C1142+1)+3,"00"),"")&amp;IF($C1142&gt;=5,", "&amp;$A1142&amp;"-"&amp;TEXT(($D1142-$C1142+1)+4,"00"),"")&amp;IF($C1142&gt;=6,", "&amp;$A1142&amp;"-"&amp;TEXT(($D1142-$C1142+1)+5,"00"),"")&amp;IF($C1142&gt;=7,", "&amp;$A1142&amp;"-"&amp;TEXT(($D1142-$C1142+1)+6,"00"),"")&amp;IF($C1142&gt;=8,", "&amp;$A1142&amp;"-"&amp;TEXT(($D1142-$C1142+1)+7,"00"),"")&amp;IF($C1142&gt;=9,", "&amp;$A1142&amp;"-"&amp;TEXT(($D1142-$C1142+1)+8,"00"),"")&amp;IF($C1142&gt;=10,", "&amp;$A1142&amp;"-"&amp;TEXT(($D1142-$C1142+1)+9,"00"),"")&amp;IF($C1142&gt;=11,", "&amp;$A1142&amp;"-"&amp;TEXT(($D1142-$C1142+1)+10,"00"),"")&amp;IF($C1142&gt;=12,", "&amp;$A1142&amp;"-"&amp;TEXT(($D1142-$C1142+1)+11,"00"),"")&amp;IF($C1142&gt;=13,", "&amp;$A1142&amp;"-"&amp;TEXT(($D1142-$C1142+1)+12,"00"),"")&amp;IF($C1142&gt;=14,", "&amp;$A1142&amp;"-"&amp;TEXT(($D1142-$C1142+1)+13,"00"),"")&amp;IF($C1142&gt;=15,", "&amp;$A1142&amp;"-"&amp;TEXT(($D1142-$C1142+1)+14,"00"),"")&amp;IF($C1142&gt;=16,", "&amp;$A1142&amp;"-"&amp;TEXT(($D1142-$C1142+1)+15,"00"),"")&amp;IF($C1142&gt;=17,", "&amp;$A1142&amp;"-"&amp;TEXT(($D1142-$C1142+1)+16,"00"),"")&amp;IF($C1142&gt;=18,", "&amp;$A1142&amp;"-"&amp;TEXT(($D1142-$C1142+1)+17,"00"),"")&amp;IF($C1142&gt;=19,", "&amp;$A1142&amp;"-"&amp;TEXT(($D1142-$C1142+1)+18,"00"),"")&amp;IF($C1142&gt;=20,", "&amp;$A1142&amp;"-"&amp;TEXT(($D1142-$C1142+1)+19,"00"),"")&amp;IF($C1142&gt;=21,", "&amp;$A1142&amp;"-"&amp;TEXT(($D1142-$C1142+1)+20,"00"),"")&amp;IF($C1142&gt;=22,", "&amp;$A1142&amp;"-"&amp;TEXT(($D1142-$C1142+1)+21,"00"),"")&amp;IF($C1142&gt;=23,", "&amp;$A1142&amp;"-"&amp;TEXT(($D1142-$C1142+1)+22,"00"),"")&amp;IF($C1142&gt;=24,", "&amp;$A1142&amp;"-"&amp;TEXT(($D1142-$C1142+1)+23,"00"),"")&amp;IF($C1142&gt;=25,", "&amp;$A1142&amp;"-"&amp;TEXT(($D1142-$C1142+1)+24,"00"),""))</f>
        <v/>
      </c>
      <c r="G1142">
        <f>IF($A1142="","",IF($E1142=1,$F1142,IF($F1142="",$G1141,IF($G1141="",$F1142,$G1141&amp;", "&amp;$F1142))))</f>
        <v/>
      </c>
      <c r="H1142">
        <f>IF($A1142="","",$A1142&amp;" ("&amp;$C1142&amp;")")</f>
        <v/>
      </c>
      <c r="I1142">
        <f>IF($A1142="","",IF($E1142=1,$H1142,$I1141&amp;", "&amp;$H1142))</f>
        <v/>
      </c>
      <c r="J1142">
        <f>IF($A1142="","",IF($E1142=1,$B1142,""))</f>
        <v/>
      </c>
      <c r="K1142">
        <f>IF($A1142="","",IF(COUNTIF($B$2:$B1142,$B1142)=COUNTIF($B$2:$B$1601,$B1142),$B1142,""))</f>
        <v/>
      </c>
    </row>
    <row r="1143">
      <c r="A1143">
        <f>IF('TMP Paste'!$E1143="","",'TMP Paste'!$E1143)</f>
        <v/>
      </c>
      <c r="B1143">
        <f>IF($A1143="","",COUNTIF('TMP Paste'!$B$2:$B1143,"?*"))</f>
        <v/>
      </c>
      <c r="C1143">
        <f>IF($A1143="","",IFERROR('TMP Paste'!$M1143*1,0))</f>
        <v/>
      </c>
      <c r="D1143">
        <f>IF($A1143="","",SUMIF($B$2:$B1143,$B1143,$C$2:$C1143))</f>
        <v/>
      </c>
      <c r="E1143">
        <f>IF($A1143="",0,IF('TMP Paste'!$B1143="",0,1))</f>
        <v/>
      </c>
      <c r="F1143">
        <f>IF(OR($A1143="",$C1143&lt;1),"",$A1143&amp;"-"&amp;TEXT(($D1143-$C1143+1),"00")&amp;IF($C1143&gt;=2,", "&amp;$A1143&amp;"-"&amp;TEXT(($D1143-$C1143+1)+1,"00"),"")&amp;IF($C1143&gt;=3,", "&amp;$A1143&amp;"-"&amp;TEXT(($D1143-$C1143+1)+2,"00"),"")&amp;IF($C1143&gt;=4,", "&amp;$A1143&amp;"-"&amp;TEXT(($D1143-$C1143+1)+3,"00"),"")&amp;IF($C1143&gt;=5,", "&amp;$A1143&amp;"-"&amp;TEXT(($D1143-$C1143+1)+4,"00"),"")&amp;IF($C1143&gt;=6,", "&amp;$A1143&amp;"-"&amp;TEXT(($D1143-$C1143+1)+5,"00"),"")&amp;IF($C1143&gt;=7,", "&amp;$A1143&amp;"-"&amp;TEXT(($D1143-$C1143+1)+6,"00"),"")&amp;IF($C1143&gt;=8,", "&amp;$A1143&amp;"-"&amp;TEXT(($D1143-$C1143+1)+7,"00"),"")&amp;IF($C1143&gt;=9,", "&amp;$A1143&amp;"-"&amp;TEXT(($D1143-$C1143+1)+8,"00"),"")&amp;IF($C1143&gt;=10,", "&amp;$A1143&amp;"-"&amp;TEXT(($D1143-$C1143+1)+9,"00"),"")&amp;IF($C1143&gt;=11,", "&amp;$A1143&amp;"-"&amp;TEXT(($D1143-$C1143+1)+10,"00"),"")&amp;IF($C1143&gt;=12,", "&amp;$A1143&amp;"-"&amp;TEXT(($D1143-$C1143+1)+11,"00"),"")&amp;IF($C1143&gt;=13,", "&amp;$A1143&amp;"-"&amp;TEXT(($D1143-$C1143+1)+12,"00"),"")&amp;IF($C1143&gt;=14,", "&amp;$A1143&amp;"-"&amp;TEXT(($D1143-$C1143+1)+13,"00"),"")&amp;IF($C1143&gt;=15,", "&amp;$A1143&amp;"-"&amp;TEXT(($D1143-$C1143+1)+14,"00"),"")&amp;IF($C1143&gt;=16,", "&amp;$A1143&amp;"-"&amp;TEXT(($D1143-$C1143+1)+15,"00"),"")&amp;IF($C1143&gt;=17,", "&amp;$A1143&amp;"-"&amp;TEXT(($D1143-$C1143+1)+16,"00"),"")&amp;IF($C1143&gt;=18,", "&amp;$A1143&amp;"-"&amp;TEXT(($D1143-$C1143+1)+17,"00"),"")&amp;IF($C1143&gt;=19,", "&amp;$A1143&amp;"-"&amp;TEXT(($D1143-$C1143+1)+18,"00"),"")&amp;IF($C1143&gt;=20,", "&amp;$A1143&amp;"-"&amp;TEXT(($D1143-$C1143+1)+19,"00"),"")&amp;IF($C1143&gt;=21,", "&amp;$A1143&amp;"-"&amp;TEXT(($D1143-$C1143+1)+20,"00"),"")&amp;IF($C1143&gt;=22,", "&amp;$A1143&amp;"-"&amp;TEXT(($D1143-$C1143+1)+21,"00"),"")&amp;IF($C1143&gt;=23,", "&amp;$A1143&amp;"-"&amp;TEXT(($D1143-$C1143+1)+22,"00"),"")&amp;IF($C1143&gt;=24,", "&amp;$A1143&amp;"-"&amp;TEXT(($D1143-$C1143+1)+23,"00"),"")&amp;IF($C1143&gt;=25,", "&amp;$A1143&amp;"-"&amp;TEXT(($D1143-$C1143+1)+24,"00"),""))</f>
        <v/>
      </c>
      <c r="G1143">
        <f>IF($A1143="","",IF($E1143=1,$F1143,IF($F1143="",$G1142,IF($G1142="",$F1143,$G1142&amp;", "&amp;$F1143))))</f>
        <v/>
      </c>
      <c r="H1143">
        <f>IF($A1143="","",$A1143&amp;" ("&amp;$C1143&amp;")")</f>
        <v/>
      </c>
      <c r="I1143">
        <f>IF($A1143="","",IF($E1143=1,$H1143,$I1142&amp;", "&amp;$H1143))</f>
        <v/>
      </c>
      <c r="J1143">
        <f>IF($A1143="","",IF($E1143=1,$B1143,""))</f>
        <v/>
      </c>
      <c r="K1143">
        <f>IF($A1143="","",IF(COUNTIF($B$2:$B1143,$B1143)=COUNTIF($B$2:$B$1601,$B1143),$B1143,""))</f>
        <v/>
      </c>
    </row>
    <row r="1144">
      <c r="A1144">
        <f>IF('TMP Paste'!$E1144="","",'TMP Paste'!$E1144)</f>
        <v/>
      </c>
      <c r="B1144">
        <f>IF($A1144="","",COUNTIF('TMP Paste'!$B$2:$B1144,"?*"))</f>
        <v/>
      </c>
      <c r="C1144">
        <f>IF($A1144="","",IFERROR('TMP Paste'!$M1144*1,0))</f>
        <v/>
      </c>
      <c r="D1144">
        <f>IF($A1144="","",SUMIF($B$2:$B1144,$B1144,$C$2:$C1144))</f>
        <v/>
      </c>
      <c r="E1144">
        <f>IF($A1144="",0,IF('TMP Paste'!$B1144="",0,1))</f>
        <v/>
      </c>
      <c r="F1144">
        <f>IF(OR($A1144="",$C1144&lt;1),"",$A1144&amp;"-"&amp;TEXT(($D1144-$C1144+1),"00")&amp;IF($C1144&gt;=2,", "&amp;$A1144&amp;"-"&amp;TEXT(($D1144-$C1144+1)+1,"00"),"")&amp;IF($C1144&gt;=3,", "&amp;$A1144&amp;"-"&amp;TEXT(($D1144-$C1144+1)+2,"00"),"")&amp;IF($C1144&gt;=4,", "&amp;$A1144&amp;"-"&amp;TEXT(($D1144-$C1144+1)+3,"00"),"")&amp;IF($C1144&gt;=5,", "&amp;$A1144&amp;"-"&amp;TEXT(($D1144-$C1144+1)+4,"00"),"")&amp;IF($C1144&gt;=6,", "&amp;$A1144&amp;"-"&amp;TEXT(($D1144-$C1144+1)+5,"00"),"")&amp;IF($C1144&gt;=7,", "&amp;$A1144&amp;"-"&amp;TEXT(($D1144-$C1144+1)+6,"00"),"")&amp;IF($C1144&gt;=8,", "&amp;$A1144&amp;"-"&amp;TEXT(($D1144-$C1144+1)+7,"00"),"")&amp;IF($C1144&gt;=9,", "&amp;$A1144&amp;"-"&amp;TEXT(($D1144-$C1144+1)+8,"00"),"")&amp;IF($C1144&gt;=10,", "&amp;$A1144&amp;"-"&amp;TEXT(($D1144-$C1144+1)+9,"00"),"")&amp;IF($C1144&gt;=11,", "&amp;$A1144&amp;"-"&amp;TEXT(($D1144-$C1144+1)+10,"00"),"")&amp;IF($C1144&gt;=12,", "&amp;$A1144&amp;"-"&amp;TEXT(($D1144-$C1144+1)+11,"00"),"")&amp;IF($C1144&gt;=13,", "&amp;$A1144&amp;"-"&amp;TEXT(($D1144-$C1144+1)+12,"00"),"")&amp;IF($C1144&gt;=14,", "&amp;$A1144&amp;"-"&amp;TEXT(($D1144-$C1144+1)+13,"00"),"")&amp;IF($C1144&gt;=15,", "&amp;$A1144&amp;"-"&amp;TEXT(($D1144-$C1144+1)+14,"00"),"")&amp;IF($C1144&gt;=16,", "&amp;$A1144&amp;"-"&amp;TEXT(($D1144-$C1144+1)+15,"00"),"")&amp;IF($C1144&gt;=17,", "&amp;$A1144&amp;"-"&amp;TEXT(($D1144-$C1144+1)+16,"00"),"")&amp;IF($C1144&gt;=18,", "&amp;$A1144&amp;"-"&amp;TEXT(($D1144-$C1144+1)+17,"00"),"")&amp;IF($C1144&gt;=19,", "&amp;$A1144&amp;"-"&amp;TEXT(($D1144-$C1144+1)+18,"00"),"")&amp;IF($C1144&gt;=20,", "&amp;$A1144&amp;"-"&amp;TEXT(($D1144-$C1144+1)+19,"00"),"")&amp;IF($C1144&gt;=21,", "&amp;$A1144&amp;"-"&amp;TEXT(($D1144-$C1144+1)+20,"00"),"")&amp;IF($C1144&gt;=22,", "&amp;$A1144&amp;"-"&amp;TEXT(($D1144-$C1144+1)+21,"00"),"")&amp;IF($C1144&gt;=23,", "&amp;$A1144&amp;"-"&amp;TEXT(($D1144-$C1144+1)+22,"00"),"")&amp;IF($C1144&gt;=24,", "&amp;$A1144&amp;"-"&amp;TEXT(($D1144-$C1144+1)+23,"00"),"")&amp;IF($C1144&gt;=25,", "&amp;$A1144&amp;"-"&amp;TEXT(($D1144-$C1144+1)+24,"00"),""))</f>
        <v/>
      </c>
      <c r="G1144">
        <f>IF($A1144="","",IF($E1144=1,$F1144,IF($F1144="",$G1143,IF($G1143="",$F1144,$G1143&amp;", "&amp;$F1144))))</f>
        <v/>
      </c>
      <c r="H1144">
        <f>IF($A1144="","",$A1144&amp;" ("&amp;$C1144&amp;")")</f>
        <v/>
      </c>
      <c r="I1144">
        <f>IF($A1144="","",IF($E1144=1,$H1144,$I1143&amp;", "&amp;$H1144))</f>
        <v/>
      </c>
      <c r="J1144">
        <f>IF($A1144="","",IF($E1144=1,$B1144,""))</f>
        <v/>
      </c>
      <c r="K1144">
        <f>IF($A1144="","",IF(COUNTIF($B$2:$B1144,$B1144)=COUNTIF($B$2:$B$1601,$B1144),$B1144,""))</f>
        <v/>
      </c>
    </row>
    <row r="1145">
      <c r="A1145">
        <f>IF('TMP Paste'!$E1145="","",'TMP Paste'!$E1145)</f>
        <v/>
      </c>
      <c r="B1145">
        <f>IF($A1145="","",COUNTIF('TMP Paste'!$B$2:$B1145,"?*"))</f>
        <v/>
      </c>
      <c r="C1145">
        <f>IF($A1145="","",IFERROR('TMP Paste'!$M1145*1,0))</f>
        <v/>
      </c>
      <c r="D1145">
        <f>IF($A1145="","",SUMIF($B$2:$B1145,$B1145,$C$2:$C1145))</f>
        <v/>
      </c>
      <c r="E1145">
        <f>IF($A1145="",0,IF('TMP Paste'!$B1145="",0,1))</f>
        <v/>
      </c>
      <c r="F1145">
        <f>IF(OR($A1145="",$C1145&lt;1),"",$A1145&amp;"-"&amp;TEXT(($D1145-$C1145+1),"00")&amp;IF($C1145&gt;=2,", "&amp;$A1145&amp;"-"&amp;TEXT(($D1145-$C1145+1)+1,"00"),"")&amp;IF($C1145&gt;=3,", "&amp;$A1145&amp;"-"&amp;TEXT(($D1145-$C1145+1)+2,"00"),"")&amp;IF($C1145&gt;=4,", "&amp;$A1145&amp;"-"&amp;TEXT(($D1145-$C1145+1)+3,"00"),"")&amp;IF($C1145&gt;=5,", "&amp;$A1145&amp;"-"&amp;TEXT(($D1145-$C1145+1)+4,"00"),"")&amp;IF($C1145&gt;=6,", "&amp;$A1145&amp;"-"&amp;TEXT(($D1145-$C1145+1)+5,"00"),"")&amp;IF($C1145&gt;=7,", "&amp;$A1145&amp;"-"&amp;TEXT(($D1145-$C1145+1)+6,"00"),"")&amp;IF($C1145&gt;=8,", "&amp;$A1145&amp;"-"&amp;TEXT(($D1145-$C1145+1)+7,"00"),"")&amp;IF($C1145&gt;=9,", "&amp;$A1145&amp;"-"&amp;TEXT(($D1145-$C1145+1)+8,"00"),"")&amp;IF($C1145&gt;=10,", "&amp;$A1145&amp;"-"&amp;TEXT(($D1145-$C1145+1)+9,"00"),"")&amp;IF($C1145&gt;=11,", "&amp;$A1145&amp;"-"&amp;TEXT(($D1145-$C1145+1)+10,"00"),"")&amp;IF($C1145&gt;=12,", "&amp;$A1145&amp;"-"&amp;TEXT(($D1145-$C1145+1)+11,"00"),"")&amp;IF($C1145&gt;=13,", "&amp;$A1145&amp;"-"&amp;TEXT(($D1145-$C1145+1)+12,"00"),"")&amp;IF($C1145&gt;=14,", "&amp;$A1145&amp;"-"&amp;TEXT(($D1145-$C1145+1)+13,"00"),"")&amp;IF($C1145&gt;=15,", "&amp;$A1145&amp;"-"&amp;TEXT(($D1145-$C1145+1)+14,"00"),"")&amp;IF($C1145&gt;=16,", "&amp;$A1145&amp;"-"&amp;TEXT(($D1145-$C1145+1)+15,"00"),"")&amp;IF($C1145&gt;=17,", "&amp;$A1145&amp;"-"&amp;TEXT(($D1145-$C1145+1)+16,"00"),"")&amp;IF($C1145&gt;=18,", "&amp;$A1145&amp;"-"&amp;TEXT(($D1145-$C1145+1)+17,"00"),"")&amp;IF($C1145&gt;=19,", "&amp;$A1145&amp;"-"&amp;TEXT(($D1145-$C1145+1)+18,"00"),"")&amp;IF($C1145&gt;=20,", "&amp;$A1145&amp;"-"&amp;TEXT(($D1145-$C1145+1)+19,"00"),"")&amp;IF($C1145&gt;=21,", "&amp;$A1145&amp;"-"&amp;TEXT(($D1145-$C1145+1)+20,"00"),"")&amp;IF($C1145&gt;=22,", "&amp;$A1145&amp;"-"&amp;TEXT(($D1145-$C1145+1)+21,"00"),"")&amp;IF($C1145&gt;=23,", "&amp;$A1145&amp;"-"&amp;TEXT(($D1145-$C1145+1)+22,"00"),"")&amp;IF($C1145&gt;=24,", "&amp;$A1145&amp;"-"&amp;TEXT(($D1145-$C1145+1)+23,"00"),"")&amp;IF($C1145&gt;=25,", "&amp;$A1145&amp;"-"&amp;TEXT(($D1145-$C1145+1)+24,"00"),""))</f>
        <v/>
      </c>
      <c r="G1145">
        <f>IF($A1145="","",IF($E1145=1,$F1145,IF($F1145="",$G1144,IF($G1144="",$F1145,$G1144&amp;", "&amp;$F1145))))</f>
        <v/>
      </c>
      <c r="H1145">
        <f>IF($A1145="","",$A1145&amp;" ("&amp;$C1145&amp;")")</f>
        <v/>
      </c>
      <c r="I1145">
        <f>IF($A1145="","",IF($E1145=1,$H1145,$I1144&amp;", "&amp;$H1145))</f>
        <v/>
      </c>
      <c r="J1145">
        <f>IF($A1145="","",IF($E1145=1,$B1145,""))</f>
        <v/>
      </c>
      <c r="K1145">
        <f>IF($A1145="","",IF(COUNTIF($B$2:$B1145,$B1145)=COUNTIF($B$2:$B$1601,$B1145),$B1145,""))</f>
        <v/>
      </c>
    </row>
    <row r="1146">
      <c r="A1146">
        <f>IF('TMP Paste'!$E1146="","",'TMP Paste'!$E1146)</f>
        <v/>
      </c>
      <c r="B1146">
        <f>IF($A1146="","",COUNTIF('TMP Paste'!$B$2:$B1146,"?*"))</f>
        <v/>
      </c>
      <c r="C1146">
        <f>IF($A1146="","",IFERROR('TMP Paste'!$M1146*1,0))</f>
        <v/>
      </c>
      <c r="D1146">
        <f>IF($A1146="","",SUMIF($B$2:$B1146,$B1146,$C$2:$C1146))</f>
        <v/>
      </c>
      <c r="E1146">
        <f>IF($A1146="",0,IF('TMP Paste'!$B1146="",0,1))</f>
        <v/>
      </c>
      <c r="F1146">
        <f>IF(OR($A1146="",$C1146&lt;1),"",$A1146&amp;"-"&amp;TEXT(($D1146-$C1146+1),"00")&amp;IF($C1146&gt;=2,", "&amp;$A1146&amp;"-"&amp;TEXT(($D1146-$C1146+1)+1,"00"),"")&amp;IF($C1146&gt;=3,", "&amp;$A1146&amp;"-"&amp;TEXT(($D1146-$C1146+1)+2,"00"),"")&amp;IF($C1146&gt;=4,", "&amp;$A1146&amp;"-"&amp;TEXT(($D1146-$C1146+1)+3,"00"),"")&amp;IF($C1146&gt;=5,", "&amp;$A1146&amp;"-"&amp;TEXT(($D1146-$C1146+1)+4,"00"),"")&amp;IF($C1146&gt;=6,", "&amp;$A1146&amp;"-"&amp;TEXT(($D1146-$C1146+1)+5,"00"),"")&amp;IF($C1146&gt;=7,", "&amp;$A1146&amp;"-"&amp;TEXT(($D1146-$C1146+1)+6,"00"),"")&amp;IF($C1146&gt;=8,", "&amp;$A1146&amp;"-"&amp;TEXT(($D1146-$C1146+1)+7,"00"),"")&amp;IF($C1146&gt;=9,", "&amp;$A1146&amp;"-"&amp;TEXT(($D1146-$C1146+1)+8,"00"),"")&amp;IF($C1146&gt;=10,", "&amp;$A1146&amp;"-"&amp;TEXT(($D1146-$C1146+1)+9,"00"),"")&amp;IF($C1146&gt;=11,", "&amp;$A1146&amp;"-"&amp;TEXT(($D1146-$C1146+1)+10,"00"),"")&amp;IF($C1146&gt;=12,", "&amp;$A1146&amp;"-"&amp;TEXT(($D1146-$C1146+1)+11,"00"),"")&amp;IF($C1146&gt;=13,", "&amp;$A1146&amp;"-"&amp;TEXT(($D1146-$C1146+1)+12,"00"),"")&amp;IF($C1146&gt;=14,", "&amp;$A1146&amp;"-"&amp;TEXT(($D1146-$C1146+1)+13,"00"),"")&amp;IF($C1146&gt;=15,", "&amp;$A1146&amp;"-"&amp;TEXT(($D1146-$C1146+1)+14,"00"),"")&amp;IF($C1146&gt;=16,", "&amp;$A1146&amp;"-"&amp;TEXT(($D1146-$C1146+1)+15,"00"),"")&amp;IF($C1146&gt;=17,", "&amp;$A1146&amp;"-"&amp;TEXT(($D1146-$C1146+1)+16,"00"),"")&amp;IF($C1146&gt;=18,", "&amp;$A1146&amp;"-"&amp;TEXT(($D1146-$C1146+1)+17,"00"),"")&amp;IF($C1146&gt;=19,", "&amp;$A1146&amp;"-"&amp;TEXT(($D1146-$C1146+1)+18,"00"),"")&amp;IF($C1146&gt;=20,", "&amp;$A1146&amp;"-"&amp;TEXT(($D1146-$C1146+1)+19,"00"),"")&amp;IF($C1146&gt;=21,", "&amp;$A1146&amp;"-"&amp;TEXT(($D1146-$C1146+1)+20,"00"),"")&amp;IF($C1146&gt;=22,", "&amp;$A1146&amp;"-"&amp;TEXT(($D1146-$C1146+1)+21,"00"),"")&amp;IF($C1146&gt;=23,", "&amp;$A1146&amp;"-"&amp;TEXT(($D1146-$C1146+1)+22,"00"),"")&amp;IF($C1146&gt;=24,", "&amp;$A1146&amp;"-"&amp;TEXT(($D1146-$C1146+1)+23,"00"),"")&amp;IF($C1146&gt;=25,", "&amp;$A1146&amp;"-"&amp;TEXT(($D1146-$C1146+1)+24,"00"),""))</f>
        <v/>
      </c>
      <c r="G1146">
        <f>IF($A1146="","",IF($E1146=1,$F1146,IF($F1146="",$G1145,IF($G1145="",$F1146,$G1145&amp;", "&amp;$F1146))))</f>
        <v/>
      </c>
      <c r="H1146">
        <f>IF($A1146="","",$A1146&amp;" ("&amp;$C1146&amp;")")</f>
        <v/>
      </c>
      <c r="I1146">
        <f>IF($A1146="","",IF($E1146=1,$H1146,$I1145&amp;", "&amp;$H1146))</f>
        <v/>
      </c>
      <c r="J1146">
        <f>IF($A1146="","",IF($E1146=1,$B1146,""))</f>
        <v/>
      </c>
      <c r="K1146">
        <f>IF($A1146="","",IF(COUNTIF($B$2:$B1146,$B1146)=COUNTIF($B$2:$B$1601,$B1146),$B1146,""))</f>
        <v/>
      </c>
    </row>
    <row r="1147">
      <c r="A1147">
        <f>IF('TMP Paste'!$E1147="","",'TMP Paste'!$E1147)</f>
        <v/>
      </c>
      <c r="B1147">
        <f>IF($A1147="","",COUNTIF('TMP Paste'!$B$2:$B1147,"?*"))</f>
        <v/>
      </c>
      <c r="C1147">
        <f>IF($A1147="","",IFERROR('TMP Paste'!$M1147*1,0))</f>
        <v/>
      </c>
      <c r="D1147">
        <f>IF($A1147="","",SUMIF($B$2:$B1147,$B1147,$C$2:$C1147))</f>
        <v/>
      </c>
      <c r="E1147">
        <f>IF($A1147="",0,IF('TMP Paste'!$B1147="",0,1))</f>
        <v/>
      </c>
      <c r="F1147">
        <f>IF(OR($A1147="",$C1147&lt;1),"",$A1147&amp;"-"&amp;TEXT(($D1147-$C1147+1),"00")&amp;IF($C1147&gt;=2,", "&amp;$A1147&amp;"-"&amp;TEXT(($D1147-$C1147+1)+1,"00"),"")&amp;IF($C1147&gt;=3,", "&amp;$A1147&amp;"-"&amp;TEXT(($D1147-$C1147+1)+2,"00"),"")&amp;IF($C1147&gt;=4,", "&amp;$A1147&amp;"-"&amp;TEXT(($D1147-$C1147+1)+3,"00"),"")&amp;IF($C1147&gt;=5,", "&amp;$A1147&amp;"-"&amp;TEXT(($D1147-$C1147+1)+4,"00"),"")&amp;IF($C1147&gt;=6,", "&amp;$A1147&amp;"-"&amp;TEXT(($D1147-$C1147+1)+5,"00"),"")&amp;IF($C1147&gt;=7,", "&amp;$A1147&amp;"-"&amp;TEXT(($D1147-$C1147+1)+6,"00"),"")&amp;IF($C1147&gt;=8,", "&amp;$A1147&amp;"-"&amp;TEXT(($D1147-$C1147+1)+7,"00"),"")&amp;IF($C1147&gt;=9,", "&amp;$A1147&amp;"-"&amp;TEXT(($D1147-$C1147+1)+8,"00"),"")&amp;IF($C1147&gt;=10,", "&amp;$A1147&amp;"-"&amp;TEXT(($D1147-$C1147+1)+9,"00"),"")&amp;IF($C1147&gt;=11,", "&amp;$A1147&amp;"-"&amp;TEXT(($D1147-$C1147+1)+10,"00"),"")&amp;IF($C1147&gt;=12,", "&amp;$A1147&amp;"-"&amp;TEXT(($D1147-$C1147+1)+11,"00"),"")&amp;IF($C1147&gt;=13,", "&amp;$A1147&amp;"-"&amp;TEXT(($D1147-$C1147+1)+12,"00"),"")&amp;IF($C1147&gt;=14,", "&amp;$A1147&amp;"-"&amp;TEXT(($D1147-$C1147+1)+13,"00"),"")&amp;IF($C1147&gt;=15,", "&amp;$A1147&amp;"-"&amp;TEXT(($D1147-$C1147+1)+14,"00"),"")&amp;IF($C1147&gt;=16,", "&amp;$A1147&amp;"-"&amp;TEXT(($D1147-$C1147+1)+15,"00"),"")&amp;IF($C1147&gt;=17,", "&amp;$A1147&amp;"-"&amp;TEXT(($D1147-$C1147+1)+16,"00"),"")&amp;IF($C1147&gt;=18,", "&amp;$A1147&amp;"-"&amp;TEXT(($D1147-$C1147+1)+17,"00"),"")&amp;IF($C1147&gt;=19,", "&amp;$A1147&amp;"-"&amp;TEXT(($D1147-$C1147+1)+18,"00"),"")&amp;IF($C1147&gt;=20,", "&amp;$A1147&amp;"-"&amp;TEXT(($D1147-$C1147+1)+19,"00"),"")&amp;IF($C1147&gt;=21,", "&amp;$A1147&amp;"-"&amp;TEXT(($D1147-$C1147+1)+20,"00"),"")&amp;IF($C1147&gt;=22,", "&amp;$A1147&amp;"-"&amp;TEXT(($D1147-$C1147+1)+21,"00"),"")&amp;IF($C1147&gt;=23,", "&amp;$A1147&amp;"-"&amp;TEXT(($D1147-$C1147+1)+22,"00"),"")&amp;IF($C1147&gt;=24,", "&amp;$A1147&amp;"-"&amp;TEXT(($D1147-$C1147+1)+23,"00"),"")&amp;IF($C1147&gt;=25,", "&amp;$A1147&amp;"-"&amp;TEXT(($D1147-$C1147+1)+24,"00"),""))</f>
        <v/>
      </c>
      <c r="G1147">
        <f>IF($A1147="","",IF($E1147=1,$F1147,IF($F1147="",$G1146,IF($G1146="",$F1147,$G1146&amp;", "&amp;$F1147))))</f>
        <v/>
      </c>
      <c r="H1147">
        <f>IF($A1147="","",$A1147&amp;" ("&amp;$C1147&amp;")")</f>
        <v/>
      </c>
      <c r="I1147">
        <f>IF($A1147="","",IF($E1147=1,$H1147,$I1146&amp;", "&amp;$H1147))</f>
        <v/>
      </c>
      <c r="J1147">
        <f>IF($A1147="","",IF($E1147=1,$B1147,""))</f>
        <v/>
      </c>
      <c r="K1147">
        <f>IF($A1147="","",IF(COUNTIF($B$2:$B1147,$B1147)=COUNTIF($B$2:$B$1601,$B1147),$B1147,""))</f>
        <v/>
      </c>
    </row>
    <row r="1148">
      <c r="A1148">
        <f>IF('TMP Paste'!$E1148="","",'TMP Paste'!$E1148)</f>
        <v/>
      </c>
      <c r="B1148">
        <f>IF($A1148="","",COUNTIF('TMP Paste'!$B$2:$B1148,"?*"))</f>
        <v/>
      </c>
      <c r="C1148">
        <f>IF($A1148="","",IFERROR('TMP Paste'!$M1148*1,0))</f>
        <v/>
      </c>
      <c r="D1148">
        <f>IF($A1148="","",SUMIF($B$2:$B1148,$B1148,$C$2:$C1148))</f>
        <v/>
      </c>
      <c r="E1148">
        <f>IF($A1148="",0,IF('TMP Paste'!$B1148="",0,1))</f>
        <v/>
      </c>
      <c r="F1148">
        <f>IF(OR($A1148="",$C1148&lt;1),"",$A1148&amp;"-"&amp;TEXT(($D1148-$C1148+1),"00")&amp;IF($C1148&gt;=2,", "&amp;$A1148&amp;"-"&amp;TEXT(($D1148-$C1148+1)+1,"00"),"")&amp;IF($C1148&gt;=3,", "&amp;$A1148&amp;"-"&amp;TEXT(($D1148-$C1148+1)+2,"00"),"")&amp;IF($C1148&gt;=4,", "&amp;$A1148&amp;"-"&amp;TEXT(($D1148-$C1148+1)+3,"00"),"")&amp;IF($C1148&gt;=5,", "&amp;$A1148&amp;"-"&amp;TEXT(($D1148-$C1148+1)+4,"00"),"")&amp;IF($C1148&gt;=6,", "&amp;$A1148&amp;"-"&amp;TEXT(($D1148-$C1148+1)+5,"00"),"")&amp;IF($C1148&gt;=7,", "&amp;$A1148&amp;"-"&amp;TEXT(($D1148-$C1148+1)+6,"00"),"")&amp;IF($C1148&gt;=8,", "&amp;$A1148&amp;"-"&amp;TEXT(($D1148-$C1148+1)+7,"00"),"")&amp;IF($C1148&gt;=9,", "&amp;$A1148&amp;"-"&amp;TEXT(($D1148-$C1148+1)+8,"00"),"")&amp;IF($C1148&gt;=10,", "&amp;$A1148&amp;"-"&amp;TEXT(($D1148-$C1148+1)+9,"00"),"")&amp;IF($C1148&gt;=11,", "&amp;$A1148&amp;"-"&amp;TEXT(($D1148-$C1148+1)+10,"00"),"")&amp;IF($C1148&gt;=12,", "&amp;$A1148&amp;"-"&amp;TEXT(($D1148-$C1148+1)+11,"00"),"")&amp;IF($C1148&gt;=13,", "&amp;$A1148&amp;"-"&amp;TEXT(($D1148-$C1148+1)+12,"00"),"")&amp;IF($C1148&gt;=14,", "&amp;$A1148&amp;"-"&amp;TEXT(($D1148-$C1148+1)+13,"00"),"")&amp;IF($C1148&gt;=15,", "&amp;$A1148&amp;"-"&amp;TEXT(($D1148-$C1148+1)+14,"00"),"")&amp;IF($C1148&gt;=16,", "&amp;$A1148&amp;"-"&amp;TEXT(($D1148-$C1148+1)+15,"00"),"")&amp;IF($C1148&gt;=17,", "&amp;$A1148&amp;"-"&amp;TEXT(($D1148-$C1148+1)+16,"00"),"")&amp;IF($C1148&gt;=18,", "&amp;$A1148&amp;"-"&amp;TEXT(($D1148-$C1148+1)+17,"00"),"")&amp;IF($C1148&gt;=19,", "&amp;$A1148&amp;"-"&amp;TEXT(($D1148-$C1148+1)+18,"00"),"")&amp;IF($C1148&gt;=20,", "&amp;$A1148&amp;"-"&amp;TEXT(($D1148-$C1148+1)+19,"00"),"")&amp;IF($C1148&gt;=21,", "&amp;$A1148&amp;"-"&amp;TEXT(($D1148-$C1148+1)+20,"00"),"")&amp;IF($C1148&gt;=22,", "&amp;$A1148&amp;"-"&amp;TEXT(($D1148-$C1148+1)+21,"00"),"")&amp;IF($C1148&gt;=23,", "&amp;$A1148&amp;"-"&amp;TEXT(($D1148-$C1148+1)+22,"00"),"")&amp;IF($C1148&gt;=24,", "&amp;$A1148&amp;"-"&amp;TEXT(($D1148-$C1148+1)+23,"00"),"")&amp;IF($C1148&gt;=25,", "&amp;$A1148&amp;"-"&amp;TEXT(($D1148-$C1148+1)+24,"00"),""))</f>
        <v/>
      </c>
      <c r="G1148">
        <f>IF($A1148="","",IF($E1148=1,$F1148,IF($F1148="",$G1147,IF($G1147="",$F1148,$G1147&amp;", "&amp;$F1148))))</f>
        <v/>
      </c>
      <c r="H1148">
        <f>IF($A1148="","",$A1148&amp;" ("&amp;$C1148&amp;")")</f>
        <v/>
      </c>
      <c r="I1148">
        <f>IF($A1148="","",IF($E1148=1,$H1148,$I1147&amp;", "&amp;$H1148))</f>
        <v/>
      </c>
      <c r="J1148">
        <f>IF($A1148="","",IF($E1148=1,$B1148,""))</f>
        <v/>
      </c>
      <c r="K1148">
        <f>IF($A1148="","",IF(COUNTIF($B$2:$B1148,$B1148)=COUNTIF($B$2:$B$1601,$B1148),$B1148,""))</f>
        <v/>
      </c>
    </row>
    <row r="1149">
      <c r="A1149">
        <f>IF('TMP Paste'!$E1149="","",'TMP Paste'!$E1149)</f>
        <v/>
      </c>
      <c r="B1149">
        <f>IF($A1149="","",COUNTIF('TMP Paste'!$B$2:$B1149,"?*"))</f>
        <v/>
      </c>
      <c r="C1149">
        <f>IF($A1149="","",IFERROR('TMP Paste'!$M1149*1,0))</f>
        <v/>
      </c>
      <c r="D1149">
        <f>IF($A1149="","",SUMIF($B$2:$B1149,$B1149,$C$2:$C1149))</f>
        <v/>
      </c>
      <c r="E1149">
        <f>IF($A1149="",0,IF('TMP Paste'!$B1149="",0,1))</f>
        <v/>
      </c>
      <c r="F1149">
        <f>IF(OR($A1149="",$C1149&lt;1),"",$A1149&amp;"-"&amp;TEXT(($D1149-$C1149+1),"00")&amp;IF($C1149&gt;=2,", "&amp;$A1149&amp;"-"&amp;TEXT(($D1149-$C1149+1)+1,"00"),"")&amp;IF($C1149&gt;=3,", "&amp;$A1149&amp;"-"&amp;TEXT(($D1149-$C1149+1)+2,"00"),"")&amp;IF($C1149&gt;=4,", "&amp;$A1149&amp;"-"&amp;TEXT(($D1149-$C1149+1)+3,"00"),"")&amp;IF($C1149&gt;=5,", "&amp;$A1149&amp;"-"&amp;TEXT(($D1149-$C1149+1)+4,"00"),"")&amp;IF($C1149&gt;=6,", "&amp;$A1149&amp;"-"&amp;TEXT(($D1149-$C1149+1)+5,"00"),"")&amp;IF($C1149&gt;=7,", "&amp;$A1149&amp;"-"&amp;TEXT(($D1149-$C1149+1)+6,"00"),"")&amp;IF($C1149&gt;=8,", "&amp;$A1149&amp;"-"&amp;TEXT(($D1149-$C1149+1)+7,"00"),"")&amp;IF($C1149&gt;=9,", "&amp;$A1149&amp;"-"&amp;TEXT(($D1149-$C1149+1)+8,"00"),"")&amp;IF($C1149&gt;=10,", "&amp;$A1149&amp;"-"&amp;TEXT(($D1149-$C1149+1)+9,"00"),"")&amp;IF($C1149&gt;=11,", "&amp;$A1149&amp;"-"&amp;TEXT(($D1149-$C1149+1)+10,"00"),"")&amp;IF($C1149&gt;=12,", "&amp;$A1149&amp;"-"&amp;TEXT(($D1149-$C1149+1)+11,"00"),"")&amp;IF($C1149&gt;=13,", "&amp;$A1149&amp;"-"&amp;TEXT(($D1149-$C1149+1)+12,"00"),"")&amp;IF($C1149&gt;=14,", "&amp;$A1149&amp;"-"&amp;TEXT(($D1149-$C1149+1)+13,"00"),"")&amp;IF($C1149&gt;=15,", "&amp;$A1149&amp;"-"&amp;TEXT(($D1149-$C1149+1)+14,"00"),"")&amp;IF($C1149&gt;=16,", "&amp;$A1149&amp;"-"&amp;TEXT(($D1149-$C1149+1)+15,"00"),"")&amp;IF($C1149&gt;=17,", "&amp;$A1149&amp;"-"&amp;TEXT(($D1149-$C1149+1)+16,"00"),"")&amp;IF($C1149&gt;=18,", "&amp;$A1149&amp;"-"&amp;TEXT(($D1149-$C1149+1)+17,"00"),"")&amp;IF($C1149&gt;=19,", "&amp;$A1149&amp;"-"&amp;TEXT(($D1149-$C1149+1)+18,"00"),"")&amp;IF($C1149&gt;=20,", "&amp;$A1149&amp;"-"&amp;TEXT(($D1149-$C1149+1)+19,"00"),"")&amp;IF($C1149&gt;=21,", "&amp;$A1149&amp;"-"&amp;TEXT(($D1149-$C1149+1)+20,"00"),"")&amp;IF($C1149&gt;=22,", "&amp;$A1149&amp;"-"&amp;TEXT(($D1149-$C1149+1)+21,"00"),"")&amp;IF($C1149&gt;=23,", "&amp;$A1149&amp;"-"&amp;TEXT(($D1149-$C1149+1)+22,"00"),"")&amp;IF($C1149&gt;=24,", "&amp;$A1149&amp;"-"&amp;TEXT(($D1149-$C1149+1)+23,"00"),"")&amp;IF($C1149&gt;=25,", "&amp;$A1149&amp;"-"&amp;TEXT(($D1149-$C1149+1)+24,"00"),""))</f>
        <v/>
      </c>
      <c r="G1149">
        <f>IF($A1149="","",IF($E1149=1,$F1149,IF($F1149="",$G1148,IF($G1148="",$F1149,$G1148&amp;", "&amp;$F1149))))</f>
        <v/>
      </c>
      <c r="H1149">
        <f>IF($A1149="","",$A1149&amp;" ("&amp;$C1149&amp;")")</f>
        <v/>
      </c>
      <c r="I1149">
        <f>IF($A1149="","",IF($E1149=1,$H1149,$I1148&amp;", "&amp;$H1149))</f>
        <v/>
      </c>
      <c r="J1149">
        <f>IF($A1149="","",IF($E1149=1,$B1149,""))</f>
        <v/>
      </c>
      <c r="K1149">
        <f>IF($A1149="","",IF(COUNTIF($B$2:$B1149,$B1149)=COUNTIF($B$2:$B$1601,$B1149),$B1149,""))</f>
        <v/>
      </c>
    </row>
    <row r="1150">
      <c r="A1150">
        <f>IF('TMP Paste'!$E1150="","",'TMP Paste'!$E1150)</f>
        <v/>
      </c>
      <c r="B1150">
        <f>IF($A1150="","",COUNTIF('TMP Paste'!$B$2:$B1150,"?*"))</f>
        <v/>
      </c>
      <c r="C1150">
        <f>IF($A1150="","",IFERROR('TMP Paste'!$M1150*1,0))</f>
        <v/>
      </c>
      <c r="D1150">
        <f>IF($A1150="","",SUMIF($B$2:$B1150,$B1150,$C$2:$C1150))</f>
        <v/>
      </c>
      <c r="E1150">
        <f>IF($A1150="",0,IF('TMP Paste'!$B1150="",0,1))</f>
        <v/>
      </c>
      <c r="F1150">
        <f>IF(OR($A1150="",$C1150&lt;1),"",$A1150&amp;"-"&amp;TEXT(($D1150-$C1150+1),"00")&amp;IF($C1150&gt;=2,", "&amp;$A1150&amp;"-"&amp;TEXT(($D1150-$C1150+1)+1,"00"),"")&amp;IF($C1150&gt;=3,", "&amp;$A1150&amp;"-"&amp;TEXT(($D1150-$C1150+1)+2,"00"),"")&amp;IF($C1150&gt;=4,", "&amp;$A1150&amp;"-"&amp;TEXT(($D1150-$C1150+1)+3,"00"),"")&amp;IF($C1150&gt;=5,", "&amp;$A1150&amp;"-"&amp;TEXT(($D1150-$C1150+1)+4,"00"),"")&amp;IF($C1150&gt;=6,", "&amp;$A1150&amp;"-"&amp;TEXT(($D1150-$C1150+1)+5,"00"),"")&amp;IF($C1150&gt;=7,", "&amp;$A1150&amp;"-"&amp;TEXT(($D1150-$C1150+1)+6,"00"),"")&amp;IF($C1150&gt;=8,", "&amp;$A1150&amp;"-"&amp;TEXT(($D1150-$C1150+1)+7,"00"),"")&amp;IF($C1150&gt;=9,", "&amp;$A1150&amp;"-"&amp;TEXT(($D1150-$C1150+1)+8,"00"),"")&amp;IF($C1150&gt;=10,", "&amp;$A1150&amp;"-"&amp;TEXT(($D1150-$C1150+1)+9,"00"),"")&amp;IF($C1150&gt;=11,", "&amp;$A1150&amp;"-"&amp;TEXT(($D1150-$C1150+1)+10,"00"),"")&amp;IF($C1150&gt;=12,", "&amp;$A1150&amp;"-"&amp;TEXT(($D1150-$C1150+1)+11,"00"),"")&amp;IF($C1150&gt;=13,", "&amp;$A1150&amp;"-"&amp;TEXT(($D1150-$C1150+1)+12,"00"),"")&amp;IF($C1150&gt;=14,", "&amp;$A1150&amp;"-"&amp;TEXT(($D1150-$C1150+1)+13,"00"),"")&amp;IF($C1150&gt;=15,", "&amp;$A1150&amp;"-"&amp;TEXT(($D1150-$C1150+1)+14,"00"),"")&amp;IF($C1150&gt;=16,", "&amp;$A1150&amp;"-"&amp;TEXT(($D1150-$C1150+1)+15,"00"),"")&amp;IF($C1150&gt;=17,", "&amp;$A1150&amp;"-"&amp;TEXT(($D1150-$C1150+1)+16,"00"),"")&amp;IF($C1150&gt;=18,", "&amp;$A1150&amp;"-"&amp;TEXT(($D1150-$C1150+1)+17,"00"),"")&amp;IF($C1150&gt;=19,", "&amp;$A1150&amp;"-"&amp;TEXT(($D1150-$C1150+1)+18,"00"),"")&amp;IF($C1150&gt;=20,", "&amp;$A1150&amp;"-"&amp;TEXT(($D1150-$C1150+1)+19,"00"),"")&amp;IF($C1150&gt;=21,", "&amp;$A1150&amp;"-"&amp;TEXT(($D1150-$C1150+1)+20,"00"),"")&amp;IF($C1150&gt;=22,", "&amp;$A1150&amp;"-"&amp;TEXT(($D1150-$C1150+1)+21,"00"),"")&amp;IF($C1150&gt;=23,", "&amp;$A1150&amp;"-"&amp;TEXT(($D1150-$C1150+1)+22,"00"),"")&amp;IF($C1150&gt;=24,", "&amp;$A1150&amp;"-"&amp;TEXT(($D1150-$C1150+1)+23,"00"),"")&amp;IF($C1150&gt;=25,", "&amp;$A1150&amp;"-"&amp;TEXT(($D1150-$C1150+1)+24,"00"),""))</f>
        <v/>
      </c>
      <c r="G1150">
        <f>IF($A1150="","",IF($E1150=1,$F1150,IF($F1150="",$G1149,IF($G1149="",$F1150,$G1149&amp;", "&amp;$F1150))))</f>
        <v/>
      </c>
      <c r="H1150">
        <f>IF($A1150="","",$A1150&amp;" ("&amp;$C1150&amp;")")</f>
        <v/>
      </c>
      <c r="I1150">
        <f>IF($A1150="","",IF($E1150=1,$H1150,$I1149&amp;", "&amp;$H1150))</f>
        <v/>
      </c>
      <c r="J1150">
        <f>IF($A1150="","",IF($E1150=1,$B1150,""))</f>
        <v/>
      </c>
      <c r="K1150">
        <f>IF($A1150="","",IF(COUNTIF($B$2:$B1150,$B1150)=COUNTIF($B$2:$B$1601,$B1150),$B1150,""))</f>
        <v/>
      </c>
    </row>
    <row r="1151">
      <c r="A1151">
        <f>IF('TMP Paste'!$E1151="","",'TMP Paste'!$E1151)</f>
        <v/>
      </c>
      <c r="B1151">
        <f>IF($A1151="","",COUNTIF('TMP Paste'!$B$2:$B1151,"?*"))</f>
        <v/>
      </c>
      <c r="C1151">
        <f>IF($A1151="","",IFERROR('TMP Paste'!$M1151*1,0))</f>
        <v/>
      </c>
      <c r="D1151">
        <f>IF($A1151="","",SUMIF($B$2:$B1151,$B1151,$C$2:$C1151))</f>
        <v/>
      </c>
      <c r="E1151">
        <f>IF($A1151="",0,IF('TMP Paste'!$B1151="",0,1))</f>
        <v/>
      </c>
      <c r="F1151">
        <f>IF(OR($A1151="",$C1151&lt;1),"",$A1151&amp;"-"&amp;TEXT(($D1151-$C1151+1),"00")&amp;IF($C1151&gt;=2,", "&amp;$A1151&amp;"-"&amp;TEXT(($D1151-$C1151+1)+1,"00"),"")&amp;IF($C1151&gt;=3,", "&amp;$A1151&amp;"-"&amp;TEXT(($D1151-$C1151+1)+2,"00"),"")&amp;IF($C1151&gt;=4,", "&amp;$A1151&amp;"-"&amp;TEXT(($D1151-$C1151+1)+3,"00"),"")&amp;IF($C1151&gt;=5,", "&amp;$A1151&amp;"-"&amp;TEXT(($D1151-$C1151+1)+4,"00"),"")&amp;IF($C1151&gt;=6,", "&amp;$A1151&amp;"-"&amp;TEXT(($D1151-$C1151+1)+5,"00"),"")&amp;IF($C1151&gt;=7,", "&amp;$A1151&amp;"-"&amp;TEXT(($D1151-$C1151+1)+6,"00"),"")&amp;IF($C1151&gt;=8,", "&amp;$A1151&amp;"-"&amp;TEXT(($D1151-$C1151+1)+7,"00"),"")&amp;IF($C1151&gt;=9,", "&amp;$A1151&amp;"-"&amp;TEXT(($D1151-$C1151+1)+8,"00"),"")&amp;IF($C1151&gt;=10,", "&amp;$A1151&amp;"-"&amp;TEXT(($D1151-$C1151+1)+9,"00"),"")&amp;IF($C1151&gt;=11,", "&amp;$A1151&amp;"-"&amp;TEXT(($D1151-$C1151+1)+10,"00"),"")&amp;IF($C1151&gt;=12,", "&amp;$A1151&amp;"-"&amp;TEXT(($D1151-$C1151+1)+11,"00"),"")&amp;IF($C1151&gt;=13,", "&amp;$A1151&amp;"-"&amp;TEXT(($D1151-$C1151+1)+12,"00"),"")&amp;IF($C1151&gt;=14,", "&amp;$A1151&amp;"-"&amp;TEXT(($D1151-$C1151+1)+13,"00"),"")&amp;IF($C1151&gt;=15,", "&amp;$A1151&amp;"-"&amp;TEXT(($D1151-$C1151+1)+14,"00"),"")&amp;IF($C1151&gt;=16,", "&amp;$A1151&amp;"-"&amp;TEXT(($D1151-$C1151+1)+15,"00"),"")&amp;IF($C1151&gt;=17,", "&amp;$A1151&amp;"-"&amp;TEXT(($D1151-$C1151+1)+16,"00"),"")&amp;IF($C1151&gt;=18,", "&amp;$A1151&amp;"-"&amp;TEXT(($D1151-$C1151+1)+17,"00"),"")&amp;IF($C1151&gt;=19,", "&amp;$A1151&amp;"-"&amp;TEXT(($D1151-$C1151+1)+18,"00"),"")&amp;IF($C1151&gt;=20,", "&amp;$A1151&amp;"-"&amp;TEXT(($D1151-$C1151+1)+19,"00"),"")&amp;IF($C1151&gt;=21,", "&amp;$A1151&amp;"-"&amp;TEXT(($D1151-$C1151+1)+20,"00"),"")&amp;IF($C1151&gt;=22,", "&amp;$A1151&amp;"-"&amp;TEXT(($D1151-$C1151+1)+21,"00"),"")&amp;IF($C1151&gt;=23,", "&amp;$A1151&amp;"-"&amp;TEXT(($D1151-$C1151+1)+22,"00"),"")&amp;IF($C1151&gt;=24,", "&amp;$A1151&amp;"-"&amp;TEXT(($D1151-$C1151+1)+23,"00"),"")&amp;IF($C1151&gt;=25,", "&amp;$A1151&amp;"-"&amp;TEXT(($D1151-$C1151+1)+24,"00"),""))</f>
        <v/>
      </c>
      <c r="G1151">
        <f>IF($A1151="","",IF($E1151=1,$F1151,IF($F1151="",$G1150,IF($G1150="",$F1151,$G1150&amp;", "&amp;$F1151))))</f>
        <v/>
      </c>
      <c r="H1151">
        <f>IF($A1151="","",$A1151&amp;" ("&amp;$C1151&amp;")")</f>
        <v/>
      </c>
      <c r="I1151">
        <f>IF($A1151="","",IF($E1151=1,$H1151,$I1150&amp;", "&amp;$H1151))</f>
        <v/>
      </c>
      <c r="J1151">
        <f>IF($A1151="","",IF($E1151=1,$B1151,""))</f>
        <v/>
      </c>
      <c r="K1151">
        <f>IF($A1151="","",IF(COUNTIF($B$2:$B1151,$B1151)=COUNTIF($B$2:$B$1601,$B1151),$B1151,""))</f>
        <v/>
      </c>
    </row>
    <row r="1152">
      <c r="A1152">
        <f>IF('TMP Paste'!$E1152="","",'TMP Paste'!$E1152)</f>
        <v/>
      </c>
      <c r="B1152">
        <f>IF($A1152="","",COUNTIF('TMP Paste'!$B$2:$B1152,"?*"))</f>
        <v/>
      </c>
      <c r="C1152">
        <f>IF($A1152="","",IFERROR('TMP Paste'!$M1152*1,0))</f>
        <v/>
      </c>
      <c r="D1152">
        <f>IF($A1152="","",SUMIF($B$2:$B1152,$B1152,$C$2:$C1152))</f>
        <v/>
      </c>
      <c r="E1152">
        <f>IF($A1152="",0,IF('TMP Paste'!$B1152="",0,1))</f>
        <v/>
      </c>
      <c r="F1152">
        <f>IF(OR($A1152="",$C1152&lt;1),"",$A1152&amp;"-"&amp;TEXT(($D1152-$C1152+1),"00")&amp;IF($C1152&gt;=2,", "&amp;$A1152&amp;"-"&amp;TEXT(($D1152-$C1152+1)+1,"00"),"")&amp;IF($C1152&gt;=3,", "&amp;$A1152&amp;"-"&amp;TEXT(($D1152-$C1152+1)+2,"00"),"")&amp;IF($C1152&gt;=4,", "&amp;$A1152&amp;"-"&amp;TEXT(($D1152-$C1152+1)+3,"00"),"")&amp;IF($C1152&gt;=5,", "&amp;$A1152&amp;"-"&amp;TEXT(($D1152-$C1152+1)+4,"00"),"")&amp;IF($C1152&gt;=6,", "&amp;$A1152&amp;"-"&amp;TEXT(($D1152-$C1152+1)+5,"00"),"")&amp;IF($C1152&gt;=7,", "&amp;$A1152&amp;"-"&amp;TEXT(($D1152-$C1152+1)+6,"00"),"")&amp;IF($C1152&gt;=8,", "&amp;$A1152&amp;"-"&amp;TEXT(($D1152-$C1152+1)+7,"00"),"")&amp;IF($C1152&gt;=9,", "&amp;$A1152&amp;"-"&amp;TEXT(($D1152-$C1152+1)+8,"00"),"")&amp;IF($C1152&gt;=10,", "&amp;$A1152&amp;"-"&amp;TEXT(($D1152-$C1152+1)+9,"00"),"")&amp;IF($C1152&gt;=11,", "&amp;$A1152&amp;"-"&amp;TEXT(($D1152-$C1152+1)+10,"00"),"")&amp;IF($C1152&gt;=12,", "&amp;$A1152&amp;"-"&amp;TEXT(($D1152-$C1152+1)+11,"00"),"")&amp;IF($C1152&gt;=13,", "&amp;$A1152&amp;"-"&amp;TEXT(($D1152-$C1152+1)+12,"00"),"")&amp;IF($C1152&gt;=14,", "&amp;$A1152&amp;"-"&amp;TEXT(($D1152-$C1152+1)+13,"00"),"")&amp;IF($C1152&gt;=15,", "&amp;$A1152&amp;"-"&amp;TEXT(($D1152-$C1152+1)+14,"00"),"")&amp;IF($C1152&gt;=16,", "&amp;$A1152&amp;"-"&amp;TEXT(($D1152-$C1152+1)+15,"00"),"")&amp;IF($C1152&gt;=17,", "&amp;$A1152&amp;"-"&amp;TEXT(($D1152-$C1152+1)+16,"00"),"")&amp;IF($C1152&gt;=18,", "&amp;$A1152&amp;"-"&amp;TEXT(($D1152-$C1152+1)+17,"00"),"")&amp;IF($C1152&gt;=19,", "&amp;$A1152&amp;"-"&amp;TEXT(($D1152-$C1152+1)+18,"00"),"")&amp;IF($C1152&gt;=20,", "&amp;$A1152&amp;"-"&amp;TEXT(($D1152-$C1152+1)+19,"00"),"")&amp;IF($C1152&gt;=21,", "&amp;$A1152&amp;"-"&amp;TEXT(($D1152-$C1152+1)+20,"00"),"")&amp;IF($C1152&gt;=22,", "&amp;$A1152&amp;"-"&amp;TEXT(($D1152-$C1152+1)+21,"00"),"")&amp;IF($C1152&gt;=23,", "&amp;$A1152&amp;"-"&amp;TEXT(($D1152-$C1152+1)+22,"00"),"")&amp;IF($C1152&gt;=24,", "&amp;$A1152&amp;"-"&amp;TEXT(($D1152-$C1152+1)+23,"00"),"")&amp;IF($C1152&gt;=25,", "&amp;$A1152&amp;"-"&amp;TEXT(($D1152-$C1152+1)+24,"00"),""))</f>
        <v/>
      </c>
      <c r="G1152">
        <f>IF($A1152="","",IF($E1152=1,$F1152,IF($F1152="",$G1151,IF($G1151="",$F1152,$G1151&amp;", "&amp;$F1152))))</f>
        <v/>
      </c>
      <c r="H1152">
        <f>IF($A1152="","",$A1152&amp;" ("&amp;$C1152&amp;")")</f>
        <v/>
      </c>
      <c r="I1152">
        <f>IF($A1152="","",IF($E1152=1,$H1152,$I1151&amp;", "&amp;$H1152))</f>
        <v/>
      </c>
      <c r="J1152">
        <f>IF($A1152="","",IF($E1152=1,$B1152,""))</f>
        <v/>
      </c>
      <c r="K1152">
        <f>IF($A1152="","",IF(COUNTIF($B$2:$B1152,$B1152)=COUNTIF($B$2:$B$1601,$B1152),$B1152,""))</f>
        <v/>
      </c>
    </row>
    <row r="1153">
      <c r="A1153">
        <f>IF('TMP Paste'!$E1153="","",'TMP Paste'!$E1153)</f>
        <v/>
      </c>
      <c r="B1153">
        <f>IF($A1153="","",COUNTIF('TMP Paste'!$B$2:$B1153,"?*"))</f>
        <v/>
      </c>
      <c r="C1153">
        <f>IF($A1153="","",IFERROR('TMP Paste'!$M1153*1,0))</f>
        <v/>
      </c>
      <c r="D1153">
        <f>IF($A1153="","",SUMIF($B$2:$B1153,$B1153,$C$2:$C1153))</f>
        <v/>
      </c>
      <c r="E1153">
        <f>IF($A1153="",0,IF('TMP Paste'!$B1153="",0,1))</f>
        <v/>
      </c>
      <c r="F1153">
        <f>IF(OR($A1153="",$C1153&lt;1),"",$A1153&amp;"-"&amp;TEXT(($D1153-$C1153+1),"00")&amp;IF($C1153&gt;=2,", "&amp;$A1153&amp;"-"&amp;TEXT(($D1153-$C1153+1)+1,"00"),"")&amp;IF($C1153&gt;=3,", "&amp;$A1153&amp;"-"&amp;TEXT(($D1153-$C1153+1)+2,"00"),"")&amp;IF($C1153&gt;=4,", "&amp;$A1153&amp;"-"&amp;TEXT(($D1153-$C1153+1)+3,"00"),"")&amp;IF($C1153&gt;=5,", "&amp;$A1153&amp;"-"&amp;TEXT(($D1153-$C1153+1)+4,"00"),"")&amp;IF($C1153&gt;=6,", "&amp;$A1153&amp;"-"&amp;TEXT(($D1153-$C1153+1)+5,"00"),"")&amp;IF($C1153&gt;=7,", "&amp;$A1153&amp;"-"&amp;TEXT(($D1153-$C1153+1)+6,"00"),"")&amp;IF($C1153&gt;=8,", "&amp;$A1153&amp;"-"&amp;TEXT(($D1153-$C1153+1)+7,"00"),"")&amp;IF($C1153&gt;=9,", "&amp;$A1153&amp;"-"&amp;TEXT(($D1153-$C1153+1)+8,"00"),"")&amp;IF($C1153&gt;=10,", "&amp;$A1153&amp;"-"&amp;TEXT(($D1153-$C1153+1)+9,"00"),"")&amp;IF($C1153&gt;=11,", "&amp;$A1153&amp;"-"&amp;TEXT(($D1153-$C1153+1)+10,"00"),"")&amp;IF($C1153&gt;=12,", "&amp;$A1153&amp;"-"&amp;TEXT(($D1153-$C1153+1)+11,"00"),"")&amp;IF($C1153&gt;=13,", "&amp;$A1153&amp;"-"&amp;TEXT(($D1153-$C1153+1)+12,"00"),"")&amp;IF($C1153&gt;=14,", "&amp;$A1153&amp;"-"&amp;TEXT(($D1153-$C1153+1)+13,"00"),"")&amp;IF($C1153&gt;=15,", "&amp;$A1153&amp;"-"&amp;TEXT(($D1153-$C1153+1)+14,"00"),"")&amp;IF($C1153&gt;=16,", "&amp;$A1153&amp;"-"&amp;TEXT(($D1153-$C1153+1)+15,"00"),"")&amp;IF($C1153&gt;=17,", "&amp;$A1153&amp;"-"&amp;TEXT(($D1153-$C1153+1)+16,"00"),"")&amp;IF($C1153&gt;=18,", "&amp;$A1153&amp;"-"&amp;TEXT(($D1153-$C1153+1)+17,"00"),"")&amp;IF($C1153&gt;=19,", "&amp;$A1153&amp;"-"&amp;TEXT(($D1153-$C1153+1)+18,"00"),"")&amp;IF($C1153&gt;=20,", "&amp;$A1153&amp;"-"&amp;TEXT(($D1153-$C1153+1)+19,"00"),"")&amp;IF($C1153&gt;=21,", "&amp;$A1153&amp;"-"&amp;TEXT(($D1153-$C1153+1)+20,"00"),"")&amp;IF($C1153&gt;=22,", "&amp;$A1153&amp;"-"&amp;TEXT(($D1153-$C1153+1)+21,"00"),"")&amp;IF($C1153&gt;=23,", "&amp;$A1153&amp;"-"&amp;TEXT(($D1153-$C1153+1)+22,"00"),"")&amp;IF($C1153&gt;=24,", "&amp;$A1153&amp;"-"&amp;TEXT(($D1153-$C1153+1)+23,"00"),"")&amp;IF($C1153&gt;=25,", "&amp;$A1153&amp;"-"&amp;TEXT(($D1153-$C1153+1)+24,"00"),""))</f>
        <v/>
      </c>
      <c r="G1153">
        <f>IF($A1153="","",IF($E1153=1,$F1153,IF($F1153="",$G1152,IF($G1152="",$F1153,$G1152&amp;", "&amp;$F1153))))</f>
        <v/>
      </c>
      <c r="H1153">
        <f>IF($A1153="","",$A1153&amp;" ("&amp;$C1153&amp;")")</f>
        <v/>
      </c>
      <c r="I1153">
        <f>IF($A1153="","",IF($E1153=1,$H1153,$I1152&amp;", "&amp;$H1153))</f>
        <v/>
      </c>
      <c r="J1153">
        <f>IF($A1153="","",IF($E1153=1,$B1153,""))</f>
        <v/>
      </c>
      <c r="K1153">
        <f>IF($A1153="","",IF(COUNTIF($B$2:$B1153,$B1153)=COUNTIF($B$2:$B$1601,$B1153),$B1153,""))</f>
        <v/>
      </c>
    </row>
    <row r="1154">
      <c r="A1154">
        <f>IF('TMP Paste'!$E1154="","",'TMP Paste'!$E1154)</f>
        <v/>
      </c>
      <c r="B1154">
        <f>IF($A1154="","",COUNTIF('TMP Paste'!$B$2:$B1154,"?*"))</f>
        <v/>
      </c>
      <c r="C1154">
        <f>IF($A1154="","",IFERROR('TMP Paste'!$M1154*1,0))</f>
        <v/>
      </c>
      <c r="D1154">
        <f>IF($A1154="","",SUMIF($B$2:$B1154,$B1154,$C$2:$C1154))</f>
        <v/>
      </c>
      <c r="E1154">
        <f>IF($A1154="",0,IF('TMP Paste'!$B1154="",0,1))</f>
        <v/>
      </c>
      <c r="F1154">
        <f>IF(OR($A1154="",$C1154&lt;1),"",$A1154&amp;"-"&amp;TEXT(($D1154-$C1154+1),"00")&amp;IF($C1154&gt;=2,", "&amp;$A1154&amp;"-"&amp;TEXT(($D1154-$C1154+1)+1,"00"),"")&amp;IF($C1154&gt;=3,", "&amp;$A1154&amp;"-"&amp;TEXT(($D1154-$C1154+1)+2,"00"),"")&amp;IF($C1154&gt;=4,", "&amp;$A1154&amp;"-"&amp;TEXT(($D1154-$C1154+1)+3,"00"),"")&amp;IF($C1154&gt;=5,", "&amp;$A1154&amp;"-"&amp;TEXT(($D1154-$C1154+1)+4,"00"),"")&amp;IF($C1154&gt;=6,", "&amp;$A1154&amp;"-"&amp;TEXT(($D1154-$C1154+1)+5,"00"),"")&amp;IF($C1154&gt;=7,", "&amp;$A1154&amp;"-"&amp;TEXT(($D1154-$C1154+1)+6,"00"),"")&amp;IF($C1154&gt;=8,", "&amp;$A1154&amp;"-"&amp;TEXT(($D1154-$C1154+1)+7,"00"),"")&amp;IF($C1154&gt;=9,", "&amp;$A1154&amp;"-"&amp;TEXT(($D1154-$C1154+1)+8,"00"),"")&amp;IF($C1154&gt;=10,", "&amp;$A1154&amp;"-"&amp;TEXT(($D1154-$C1154+1)+9,"00"),"")&amp;IF($C1154&gt;=11,", "&amp;$A1154&amp;"-"&amp;TEXT(($D1154-$C1154+1)+10,"00"),"")&amp;IF($C1154&gt;=12,", "&amp;$A1154&amp;"-"&amp;TEXT(($D1154-$C1154+1)+11,"00"),"")&amp;IF($C1154&gt;=13,", "&amp;$A1154&amp;"-"&amp;TEXT(($D1154-$C1154+1)+12,"00"),"")&amp;IF($C1154&gt;=14,", "&amp;$A1154&amp;"-"&amp;TEXT(($D1154-$C1154+1)+13,"00"),"")&amp;IF($C1154&gt;=15,", "&amp;$A1154&amp;"-"&amp;TEXT(($D1154-$C1154+1)+14,"00"),"")&amp;IF($C1154&gt;=16,", "&amp;$A1154&amp;"-"&amp;TEXT(($D1154-$C1154+1)+15,"00"),"")&amp;IF($C1154&gt;=17,", "&amp;$A1154&amp;"-"&amp;TEXT(($D1154-$C1154+1)+16,"00"),"")&amp;IF($C1154&gt;=18,", "&amp;$A1154&amp;"-"&amp;TEXT(($D1154-$C1154+1)+17,"00"),"")&amp;IF($C1154&gt;=19,", "&amp;$A1154&amp;"-"&amp;TEXT(($D1154-$C1154+1)+18,"00"),"")&amp;IF($C1154&gt;=20,", "&amp;$A1154&amp;"-"&amp;TEXT(($D1154-$C1154+1)+19,"00"),"")&amp;IF($C1154&gt;=21,", "&amp;$A1154&amp;"-"&amp;TEXT(($D1154-$C1154+1)+20,"00"),"")&amp;IF($C1154&gt;=22,", "&amp;$A1154&amp;"-"&amp;TEXT(($D1154-$C1154+1)+21,"00"),"")&amp;IF($C1154&gt;=23,", "&amp;$A1154&amp;"-"&amp;TEXT(($D1154-$C1154+1)+22,"00"),"")&amp;IF($C1154&gt;=24,", "&amp;$A1154&amp;"-"&amp;TEXT(($D1154-$C1154+1)+23,"00"),"")&amp;IF($C1154&gt;=25,", "&amp;$A1154&amp;"-"&amp;TEXT(($D1154-$C1154+1)+24,"00"),""))</f>
        <v/>
      </c>
      <c r="G1154">
        <f>IF($A1154="","",IF($E1154=1,$F1154,IF($F1154="",$G1153,IF($G1153="",$F1154,$G1153&amp;", "&amp;$F1154))))</f>
        <v/>
      </c>
      <c r="H1154">
        <f>IF($A1154="","",$A1154&amp;" ("&amp;$C1154&amp;")")</f>
        <v/>
      </c>
      <c r="I1154">
        <f>IF($A1154="","",IF($E1154=1,$H1154,$I1153&amp;", "&amp;$H1154))</f>
        <v/>
      </c>
      <c r="J1154">
        <f>IF($A1154="","",IF($E1154=1,$B1154,""))</f>
        <v/>
      </c>
      <c r="K1154">
        <f>IF($A1154="","",IF(COUNTIF($B$2:$B1154,$B1154)=COUNTIF($B$2:$B$1601,$B1154),$B1154,""))</f>
        <v/>
      </c>
    </row>
    <row r="1155">
      <c r="A1155">
        <f>IF('TMP Paste'!$E1155="","",'TMP Paste'!$E1155)</f>
        <v/>
      </c>
      <c r="B1155">
        <f>IF($A1155="","",COUNTIF('TMP Paste'!$B$2:$B1155,"?*"))</f>
        <v/>
      </c>
      <c r="C1155">
        <f>IF($A1155="","",IFERROR('TMP Paste'!$M1155*1,0))</f>
        <v/>
      </c>
      <c r="D1155">
        <f>IF($A1155="","",SUMIF($B$2:$B1155,$B1155,$C$2:$C1155))</f>
        <v/>
      </c>
      <c r="E1155">
        <f>IF($A1155="",0,IF('TMP Paste'!$B1155="",0,1))</f>
        <v/>
      </c>
      <c r="F1155">
        <f>IF(OR($A1155="",$C1155&lt;1),"",$A1155&amp;"-"&amp;TEXT(($D1155-$C1155+1),"00")&amp;IF($C1155&gt;=2,", "&amp;$A1155&amp;"-"&amp;TEXT(($D1155-$C1155+1)+1,"00"),"")&amp;IF($C1155&gt;=3,", "&amp;$A1155&amp;"-"&amp;TEXT(($D1155-$C1155+1)+2,"00"),"")&amp;IF($C1155&gt;=4,", "&amp;$A1155&amp;"-"&amp;TEXT(($D1155-$C1155+1)+3,"00"),"")&amp;IF($C1155&gt;=5,", "&amp;$A1155&amp;"-"&amp;TEXT(($D1155-$C1155+1)+4,"00"),"")&amp;IF($C1155&gt;=6,", "&amp;$A1155&amp;"-"&amp;TEXT(($D1155-$C1155+1)+5,"00"),"")&amp;IF($C1155&gt;=7,", "&amp;$A1155&amp;"-"&amp;TEXT(($D1155-$C1155+1)+6,"00"),"")&amp;IF($C1155&gt;=8,", "&amp;$A1155&amp;"-"&amp;TEXT(($D1155-$C1155+1)+7,"00"),"")&amp;IF($C1155&gt;=9,", "&amp;$A1155&amp;"-"&amp;TEXT(($D1155-$C1155+1)+8,"00"),"")&amp;IF($C1155&gt;=10,", "&amp;$A1155&amp;"-"&amp;TEXT(($D1155-$C1155+1)+9,"00"),"")&amp;IF($C1155&gt;=11,", "&amp;$A1155&amp;"-"&amp;TEXT(($D1155-$C1155+1)+10,"00"),"")&amp;IF($C1155&gt;=12,", "&amp;$A1155&amp;"-"&amp;TEXT(($D1155-$C1155+1)+11,"00"),"")&amp;IF($C1155&gt;=13,", "&amp;$A1155&amp;"-"&amp;TEXT(($D1155-$C1155+1)+12,"00"),"")&amp;IF($C1155&gt;=14,", "&amp;$A1155&amp;"-"&amp;TEXT(($D1155-$C1155+1)+13,"00"),"")&amp;IF($C1155&gt;=15,", "&amp;$A1155&amp;"-"&amp;TEXT(($D1155-$C1155+1)+14,"00"),"")&amp;IF($C1155&gt;=16,", "&amp;$A1155&amp;"-"&amp;TEXT(($D1155-$C1155+1)+15,"00"),"")&amp;IF($C1155&gt;=17,", "&amp;$A1155&amp;"-"&amp;TEXT(($D1155-$C1155+1)+16,"00"),"")&amp;IF($C1155&gt;=18,", "&amp;$A1155&amp;"-"&amp;TEXT(($D1155-$C1155+1)+17,"00"),"")&amp;IF($C1155&gt;=19,", "&amp;$A1155&amp;"-"&amp;TEXT(($D1155-$C1155+1)+18,"00"),"")&amp;IF($C1155&gt;=20,", "&amp;$A1155&amp;"-"&amp;TEXT(($D1155-$C1155+1)+19,"00"),"")&amp;IF($C1155&gt;=21,", "&amp;$A1155&amp;"-"&amp;TEXT(($D1155-$C1155+1)+20,"00"),"")&amp;IF($C1155&gt;=22,", "&amp;$A1155&amp;"-"&amp;TEXT(($D1155-$C1155+1)+21,"00"),"")&amp;IF($C1155&gt;=23,", "&amp;$A1155&amp;"-"&amp;TEXT(($D1155-$C1155+1)+22,"00"),"")&amp;IF($C1155&gt;=24,", "&amp;$A1155&amp;"-"&amp;TEXT(($D1155-$C1155+1)+23,"00"),"")&amp;IF($C1155&gt;=25,", "&amp;$A1155&amp;"-"&amp;TEXT(($D1155-$C1155+1)+24,"00"),""))</f>
        <v/>
      </c>
      <c r="G1155">
        <f>IF($A1155="","",IF($E1155=1,$F1155,IF($F1155="",$G1154,IF($G1154="",$F1155,$G1154&amp;", "&amp;$F1155))))</f>
        <v/>
      </c>
      <c r="H1155">
        <f>IF($A1155="","",$A1155&amp;" ("&amp;$C1155&amp;")")</f>
        <v/>
      </c>
      <c r="I1155">
        <f>IF($A1155="","",IF($E1155=1,$H1155,$I1154&amp;", "&amp;$H1155))</f>
        <v/>
      </c>
      <c r="J1155">
        <f>IF($A1155="","",IF($E1155=1,$B1155,""))</f>
        <v/>
      </c>
      <c r="K1155">
        <f>IF($A1155="","",IF(COUNTIF($B$2:$B1155,$B1155)=COUNTIF($B$2:$B$1601,$B1155),$B1155,""))</f>
        <v/>
      </c>
    </row>
    <row r="1156">
      <c r="A1156">
        <f>IF('TMP Paste'!$E1156="","",'TMP Paste'!$E1156)</f>
        <v/>
      </c>
      <c r="B1156">
        <f>IF($A1156="","",COUNTIF('TMP Paste'!$B$2:$B1156,"?*"))</f>
        <v/>
      </c>
      <c r="C1156">
        <f>IF($A1156="","",IFERROR('TMP Paste'!$M1156*1,0))</f>
        <v/>
      </c>
      <c r="D1156">
        <f>IF($A1156="","",SUMIF($B$2:$B1156,$B1156,$C$2:$C1156))</f>
        <v/>
      </c>
      <c r="E1156">
        <f>IF($A1156="",0,IF('TMP Paste'!$B1156="",0,1))</f>
        <v/>
      </c>
      <c r="F1156">
        <f>IF(OR($A1156="",$C1156&lt;1),"",$A1156&amp;"-"&amp;TEXT(($D1156-$C1156+1),"00")&amp;IF($C1156&gt;=2,", "&amp;$A1156&amp;"-"&amp;TEXT(($D1156-$C1156+1)+1,"00"),"")&amp;IF($C1156&gt;=3,", "&amp;$A1156&amp;"-"&amp;TEXT(($D1156-$C1156+1)+2,"00"),"")&amp;IF($C1156&gt;=4,", "&amp;$A1156&amp;"-"&amp;TEXT(($D1156-$C1156+1)+3,"00"),"")&amp;IF($C1156&gt;=5,", "&amp;$A1156&amp;"-"&amp;TEXT(($D1156-$C1156+1)+4,"00"),"")&amp;IF($C1156&gt;=6,", "&amp;$A1156&amp;"-"&amp;TEXT(($D1156-$C1156+1)+5,"00"),"")&amp;IF($C1156&gt;=7,", "&amp;$A1156&amp;"-"&amp;TEXT(($D1156-$C1156+1)+6,"00"),"")&amp;IF($C1156&gt;=8,", "&amp;$A1156&amp;"-"&amp;TEXT(($D1156-$C1156+1)+7,"00"),"")&amp;IF($C1156&gt;=9,", "&amp;$A1156&amp;"-"&amp;TEXT(($D1156-$C1156+1)+8,"00"),"")&amp;IF($C1156&gt;=10,", "&amp;$A1156&amp;"-"&amp;TEXT(($D1156-$C1156+1)+9,"00"),"")&amp;IF($C1156&gt;=11,", "&amp;$A1156&amp;"-"&amp;TEXT(($D1156-$C1156+1)+10,"00"),"")&amp;IF($C1156&gt;=12,", "&amp;$A1156&amp;"-"&amp;TEXT(($D1156-$C1156+1)+11,"00"),"")&amp;IF($C1156&gt;=13,", "&amp;$A1156&amp;"-"&amp;TEXT(($D1156-$C1156+1)+12,"00"),"")&amp;IF($C1156&gt;=14,", "&amp;$A1156&amp;"-"&amp;TEXT(($D1156-$C1156+1)+13,"00"),"")&amp;IF($C1156&gt;=15,", "&amp;$A1156&amp;"-"&amp;TEXT(($D1156-$C1156+1)+14,"00"),"")&amp;IF($C1156&gt;=16,", "&amp;$A1156&amp;"-"&amp;TEXT(($D1156-$C1156+1)+15,"00"),"")&amp;IF($C1156&gt;=17,", "&amp;$A1156&amp;"-"&amp;TEXT(($D1156-$C1156+1)+16,"00"),"")&amp;IF($C1156&gt;=18,", "&amp;$A1156&amp;"-"&amp;TEXT(($D1156-$C1156+1)+17,"00"),"")&amp;IF($C1156&gt;=19,", "&amp;$A1156&amp;"-"&amp;TEXT(($D1156-$C1156+1)+18,"00"),"")&amp;IF($C1156&gt;=20,", "&amp;$A1156&amp;"-"&amp;TEXT(($D1156-$C1156+1)+19,"00"),"")&amp;IF($C1156&gt;=21,", "&amp;$A1156&amp;"-"&amp;TEXT(($D1156-$C1156+1)+20,"00"),"")&amp;IF($C1156&gt;=22,", "&amp;$A1156&amp;"-"&amp;TEXT(($D1156-$C1156+1)+21,"00"),"")&amp;IF($C1156&gt;=23,", "&amp;$A1156&amp;"-"&amp;TEXT(($D1156-$C1156+1)+22,"00"),"")&amp;IF($C1156&gt;=24,", "&amp;$A1156&amp;"-"&amp;TEXT(($D1156-$C1156+1)+23,"00"),"")&amp;IF($C1156&gt;=25,", "&amp;$A1156&amp;"-"&amp;TEXT(($D1156-$C1156+1)+24,"00"),""))</f>
        <v/>
      </c>
      <c r="G1156">
        <f>IF($A1156="","",IF($E1156=1,$F1156,IF($F1156="",$G1155,IF($G1155="",$F1156,$G1155&amp;", "&amp;$F1156))))</f>
        <v/>
      </c>
      <c r="H1156">
        <f>IF($A1156="","",$A1156&amp;" ("&amp;$C1156&amp;")")</f>
        <v/>
      </c>
      <c r="I1156">
        <f>IF($A1156="","",IF($E1156=1,$H1156,$I1155&amp;", "&amp;$H1156))</f>
        <v/>
      </c>
      <c r="J1156">
        <f>IF($A1156="","",IF($E1156=1,$B1156,""))</f>
        <v/>
      </c>
      <c r="K1156">
        <f>IF($A1156="","",IF(COUNTIF($B$2:$B1156,$B1156)=COUNTIF($B$2:$B$1601,$B1156),$B1156,""))</f>
        <v/>
      </c>
    </row>
    <row r="1157">
      <c r="A1157">
        <f>IF('TMP Paste'!$E1157="","",'TMP Paste'!$E1157)</f>
        <v/>
      </c>
      <c r="B1157">
        <f>IF($A1157="","",COUNTIF('TMP Paste'!$B$2:$B1157,"?*"))</f>
        <v/>
      </c>
      <c r="C1157">
        <f>IF($A1157="","",IFERROR('TMP Paste'!$M1157*1,0))</f>
        <v/>
      </c>
      <c r="D1157">
        <f>IF($A1157="","",SUMIF($B$2:$B1157,$B1157,$C$2:$C1157))</f>
        <v/>
      </c>
      <c r="E1157">
        <f>IF($A1157="",0,IF('TMP Paste'!$B1157="",0,1))</f>
        <v/>
      </c>
      <c r="F1157">
        <f>IF(OR($A1157="",$C1157&lt;1),"",$A1157&amp;"-"&amp;TEXT(($D1157-$C1157+1),"00")&amp;IF($C1157&gt;=2,", "&amp;$A1157&amp;"-"&amp;TEXT(($D1157-$C1157+1)+1,"00"),"")&amp;IF($C1157&gt;=3,", "&amp;$A1157&amp;"-"&amp;TEXT(($D1157-$C1157+1)+2,"00"),"")&amp;IF($C1157&gt;=4,", "&amp;$A1157&amp;"-"&amp;TEXT(($D1157-$C1157+1)+3,"00"),"")&amp;IF($C1157&gt;=5,", "&amp;$A1157&amp;"-"&amp;TEXT(($D1157-$C1157+1)+4,"00"),"")&amp;IF($C1157&gt;=6,", "&amp;$A1157&amp;"-"&amp;TEXT(($D1157-$C1157+1)+5,"00"),"")&amp;IF($C1157&gt;=7,", "&amp;$A1157&amp;"-"&amp;TEXT(($D1157-$C1157+1)+6,"00"),"")&amp;IF($C1157&gt;=8,", "&amp;$A1157&amp;"-"&amp;TEXT(($D1157-$C1157+1)+7,"00"),"")&amp;IF($C1157&gt;=9,", "&amp;$A1157&amp;"-"&amp;TEXT(($D1157-$C1157+1)+8,"00"),"")&amp;IF($C1157&gt;=10,", "&amp;$A1157&amp;"-"&amp;TEXT(($D1157-$C1157+1)+9,"00"),"")&amp;IF($C1157&gt;=11,", "&amp;$A1157&amp;"-"&amp;TEXT(($D1157-$C1157+1)+10,"00"),"")&amp;IF($C1157&gt;=12,", "&amp;$A1157&amp;"-"&amp;TEXT(($D1157-$C1157+1)+11,"00"),"")&amp;IF($C1157&gt;=13,", "&amp;$A1157&amp;"-"&amp;TEXT(($D1157-$C1157+1)+12,"00"),"")&amp;IF($C1157&gt;=14,", "&amp;$A1157&amp;"-"&amp;TEXT(($D1157-$C1157+1)+13,"00"),"")&amp;IF($C1157&gt;=15,", "&amp;$A1157&amp;"-"&amp;TEXT(($D1157-$C1157+1)+14,"00"),"")&amp;IF($C1157&gt;=16,", "&amp;$A1157&amp;"-"&amp;TEXT(($D1157-$C1157+1)+15,"00"),"")&amp;IF($C1157&gt;=17,", "&amp;$A1157&amp;"-"&amp;TEXT(($D1157-$C1157+1)+16,"00"),"")&amp;IF($C1157&gt;=18,", "&amp;$A1157&amp;"-"&amp;TEXT(($D1157-$C1157+1)+17,"00"),"")&amp;IF($C1157&gt;=19,", "&amp;$A1157&amp;"-"&amp;TEXT(($D1157-$C1157+1)+18,"00"),"")&amp;IF($C1157&gt;=20,", "&amp;$A1157&amp;"-"&amp;TEXT(($D1157-$C1157+1)+19,"00"),"")&amp;IF($C1157&gt;=21,", "&amp;$A1157&amp;"-"&amp;TEXT(($D1157-$C1157+1)+20,"00"),"")&amp;IF($C1157&gt;=22,", "&amp;$A1157&amp;"-"&amp;TEXT(($D1157-$C1157+1)+21,"00"),"")&amp;IF($C1157&gt;=23,", "&amp;$A1157&amp;"-"&amp;TEXT(($D1157-$C1157+1)+22,"00"),"")&amp;IF($C1157&gt;=24,", "&amp;$A1157&amp;"-"&amp;TEXT(($D1157-$C1157+1)+23,"00"),"")&amp;IF($C1157&gt;=25,", "&amp;$A1157&amp;"-"&amp;TEXT(($D1157-$C1157+1)+24,"00"),""))</f>
        <v/>
      </c>
      <c r="G1157">
        <f>IF($A1157="","",IF($E1157=1,$F1157,IF($F1157="",$G1156,IF($G1156="",$F1157,$G1156&amp;", "&amp;$F1157))))</f>
        <v/>
      </c>
      <c r="H1157">
        <f>IF($A1157="","",$A1157&amp;" ("&amp;$C1157&amp;")")</f>
        <v/>
      </c>
      <c r="I1157">
        <f>IF($A1157="","",IF($E1157=1,$H1157,$I1156&amp;", "&amp;$H1157))</f>
        <v/>
      </c>
      <c r="J1157">
        <f>IF($A1157="","",IF($E1157=1,$B1157,""))</f>
        <v/>
      </c>
      <c r="K1157">
        <f>IF($A1157="","",IF(COUNTIF($B$2:$B1157,$B1157)=COUNTIF($B$2:$B$1601,$B1157),$B1157,""))</f>
        <v/>
      </c>
    </row>
    <row r="1158">
      <c r="A1158">
        <f>IF('TMP Paste'!$E1158="","",'TMP Paste'!$E1158)</f>
        <v/>
      </c>
      <c r="B1158">
        <f>IF($A1158="","",COUNTIF('TMP Paste'!$B$2:$B1158,"?*"))</f>
        <v/>
      </c>
      <c r="C1158">
        <f>IF($A1158="","",IFERROR('TMP Paste'!$M1158*1,0))</f>
        <v/>
      </c>
      <c r="D1158">
        <f>IF($A1158="","",SUMIF($B$2:$B1158,$B1158,$C$2:$C1158))</f>
        <v/>
      </c>
      <c r="E1158">
        <f>IF($A1158="",0,IF('TMP Paste'!$B1158="",0,1))</f>
        <v/>
      </c>
      <c r="F1158">
        <f>IF(OR($A1158="",$C1158&lt;1),"",$A1158&amp;"-"&amp;TEXT(($D1158-$C1158+1),"00")&amp;IF($C1158&gt;=2,", "&amp;$A1158&amp;"-"&amp;TEXT(($D1158-$C1158+1)+1,"00"),"")&amp;IF($C1158&gt;=3,", "&amp;$A1158&amp;"-"&amp;TEXT(($D1158-$C1158+1)+2,"00"),"")&amp;IF($C1158&gt;=4,", "&amp;$A1158&amp;"-"&amp;TEXT(($D1158-$C1158+1)+3,"00"),"")&amp;IF($C1158&gt;=5,", "&amp;$A1158&amp;"-"&amp;TEXT(($D1158-$C1158+1)+4,"00"),"")&amp;IF($C1158&gt;=6,", "&amp;$A1158&amp;"-"&amp;TEXT(($D1158-$C1158+1)+5,"00"),"")&amp;IF($C1158&gt;=7,", "&amp;$A1158&amp;"-"&amp;TEXT(($D1158-$C1158+1)+6,"00"),"")&amp;IF($C1158&gt;=8,", "&amp;$A1158&amp;"-"&amp;TEXT(($D1158-$C1158+1)+7,"00"),"")&amp;IF($C1158&gt;=9,", "&amp;$A1158&amp;"-"&amp;TEXT(($D1158-$C1158+1)+8,"00"),"")&amp;IF($C1158&gt;=10,", "&amp;$A1158&amp;"-"&amp;TEXT(($D1158-$C1158+1)+9,"00"),"")&amp;IF($C1158&gt;=11,", "&amp;$A1158&amp;"-"&amp;TEXT(($D1158-$C1158+1)+10,"00"),"")&amp;IF($C1158&gt;=12,", "&amp;$A1158&amp;"-"&amp;TEXT(($D1158-$C1158+1)+11,"00"),"")&amp;IF($C1158&gt;=13,", "&amp;$A1158&amp;"-"&amp;TEXT(($D1158-$C1158+1)+12,"00"),"")&amp;IF($C1158&gt;=14,", "&amp;$A1158&amp;"-"&amp;TEXT(($D1158-$C1158+1)+13,"00"),"")&amp;IF($C1158&gt;=15,", "&amp;$A1158&amp;"-"&amp;TEXT(($D1158-$C1158+1)+14,"00"),"")&amp;IF($C1158&gt;=16,", "&amp;$A1158&amp;"-"&amp;TEXT(($D1158-$C1158+1)+15,"00"),"")&amp;IF($C1158&gt;=17,", "&amp;$A1158&amp;"-"&amp;TEXT(($D1158-$C1158+1)+16,"00"),"")&amp;IF($C1158&gt;=18,", "&amp;$A1158&amp;"-"&amp;TEXT(($D1158-$C1158+1)+17,"00"),"")&amp;IF($C1158&gt;=19,", "&amp;$A1158&amp;"-"&amp;TEXT(($D1158-$C1158+1)+18,"00"),"")&amp;IF($C1158&gt;=20,", "&amp;$A1158&amp;"-"&amp;TEXT(($D1158-$C1158+1)+19,"00"),"")&amp;IF($C1158&gt;=21,", "&amp;$A1158&amp;"-"&amp;TEXT(($D1158-$C1158+1)+20,"00"),"")&amp;IF($C1158&gt;=22,", "&amp;$A1158&amp;"-"&amp;TEXT(($D1158-$C1158+1)+21,"00"),"")&amp;IF($C1158&gt;=23,", "&amp;$A1158&amp;"-"&amp;TEXT(($D1158-$C1158+1)+22,"00"),"")&amp;IF($C1158&gt;=24,", "&amp;$A1158&amp;"-"&amp;TEXT(($D1158-$C1158+1)+23,"00"),"")&amp;IF($C1158&gt;=25,", "&amp;$A1158&amp;"-"&amp;TEXT(($D1158-$C1158+1)+24,"00"),""))</f>
        <v/>
      </c>
      <c r="G1158">
        <f>IF($A1158="","",IF($E1158=1,$F1158,IF($F1158="",$G1157,IF($G1157="",$F1158,$G1157&amp;", "&amp;$F1158))))</f>
        <v/>
      </c>
      <c r="H1158">
        <f>IF($A1158="","",$A1158&amp;" ("&amp;$C1158&amp;")")</f>
        <v/>
      </c>
      <c r="I1158">
        <f>IF($A1158="","",IF($E1158=1,$H1158,$I1157&amp;", "&amp;$H1158))</f>
        <v/>
      </c>
      <c r="J1158">
        <f>IF($A1158="","",IF($E1158=1,$B1158,""))</f>
        <v/>
      </c>
      <c r="K1158">
        <f>IF($A1158="","",IF(COUNTIF($B$2:$B1158,$B1158)=COUNTIF($B$2:$B$1601,$B1158),$B1158,""))</f>
        <v/>
      </c>
    </row>
    <row r="1159">
      <c r="A1159">
        <f>IF('TMP Paste'!$E1159="","",'TMP Paste'!$E1159)</f>
        <v/>
      </c>
      <c r="B1159">
        <f>IF($A1159="","",COUNTIF('TMP Paste'!$B$2:$B1159,"?*"))</f>
        <v/>
      </c>
      <c r="C1159">
        <f>IF($A1159="","",IFERROR('TMP Paste'!$M1159*1,0))</f>
        <v/>
      </c>
      <c r="D1159">
        <f>IF($A1159="","",SUMIF($B$2:$B1159,$B1159,$C$2:$C1159))</f>
        <v/>
      </c>
      <c r="E1159">
        <f>IF($A1159="",0,IF('TMP Paste'!$B1159="",0,1))</f>
        <v/>
      </c>
      <c r="F1159">
        <f>IF(OR($A1159="",$C1159&lt;1),"",$A1159&amp;"-"&amp;TEXT(($D1159-$C1159+1),"00")&amp;IF($C1159&gt;=2,", "&amp;$A1159&amp;"-"&amp;TEXT(($D1159-$C1159+1)+1,"00"),"")&amp;IF($C1159&gt;=3,", "&amp;$A1159&amp;"-"&amp;TEXT(($D1159-$C1159+1)+2,"00"),"")&amp;IF($C1159&gt;=4,", "&amp;$A1159&amp;"-"&amp;TEXT(($D1159-$C1159+1)+3,"00"),"")&amp;IF($C1159&gt;=5,", "&amp;$A1159&amp;"-"&amp;TEXT(($D1159-$C1159+1)+4,"00"),"")&amp;IF($C1159&gt;=6,", "&amp;$A1159&amp;"-"&amp;TEXT(($D1159-$C1159+1)+5,"00"),"")&amp;IF($C1159&gt;=7,", "&amp;$A1159&amp;"-"&amp;TEXT(($D1159-$C1159+1)+6,"00"),"")&amp;IF($C1159&gt;=8,", "&amp;$A1159&amp;"-"&amp;TEXT(($D1159-$C1159+1)+7,"00"),"")&amp;IF($C1159&gt;=9,", "&amp;$A1159&amp;"-"&amp;TEXT(($D1159-$C1159+1)+8,"00"),"")&amp;IF($C1159&gt;=10,", "&amp;$A1159&amp;"-"&amp;TEXT(($D1159-$C1159+1)+9,"00"),"")&amp;IF($C1159&gt;=11,", "&amp;$A1159&amp;"-"&amp;TEXT(($D1159-$C1159+1)+10,"00"),"")&amp;IF($C1159&gt;=12,", "&amp;$A1159&amp;"-"&amp;TEXT(($D1159-$C1159+1)+11,"00"),"")&amp;IF($C1159&gt;=13,", "&amp;$A1159&amp;"-"&amp;TEXT(($D1159-$C1159+1)+12,"00"),"")&amp;IF($C1159&gt;=14,", "&amp;$A1159&amp;"-"&amp;TEXT(($D1159-$C1159+1)+13,"00"),"")&amp;IF($C1159&gt;=15,", "&amp;$A1159&amp;"-"&amp;TEXT(($D1159-$C1159+1)+14,"00"),"")&amp;IF($C1159&gt;=16,", "&amp;$A1159&amp;"-"&amp;TEXT(($D1159-$C1159+1)+15,"00"),"")&amp;IF($C1159&gt;=17,", "&amp;$A1159&amp;"-"&amp;TEXT(($D1159-$C1159+1)+16,"00"),"")&amp;IF($C1159&gt;=18,", "&amp;$A1159&amp;"-"&amp;TEXT(($D1159-$C1159+1)+17,"00"),"")&amp;IF($C1159&gt;=19,", "&amp;$A1159&amp;"-"&amp;TEXT(($D1159-$C1159+1)+18,"00"),"")&amp;IF($C1159&gt;=20,", "&amp;$A1159&amp;"-"&amp;TEXT(($D1159-$C1159+1)+19,"00"),"")&amp;IF($C1159&gt;=21,", "&amp;$A1159&amp;"-"&amp;TEXT(($D1159-$C1159+1)+20,"00"),"")&amp;IF($C1159&gt;=22,", "&amp;$A1159&amp;"-"&amp;TEXT(($D1159-$C1159+1)+21,"00"),"")&amp;IF($C1159&gt;=23,", "&amp;$A1159&amp;"-"&amp;TEXT(($D1159-$C1159+1)+22,"00"),"")&amp;IF($C1159&gt;=24,", "&amp;$A1159&amp;"-"&amp;TEXT(($D1159-$C1159+1)+23,"00"),"")&amp;IF($C1159&gt;=25,", "&amp;$A1159&amp;"-"&amp;TEXT(($D1159-$C1159+1)+24,"00"),""))</f>
        <v/>
      </c>
      <c r="G1159">
        <f>IF($A1159="","",IF($E1159=1,$F1159,IF($F1159="",$G1158,IF($G1158="",$F1159,$G1158&amp;", "&amp;$F1159))))</f>
        <v/>
      </c>
      <c r="H1159">
        <f>IF($A1159="","",$A1159&amp;" ("&amp;$C1159&amp;")")</f>
        <v/>
      </c>
      <c r="I1159">
        <f>IF($A1159="","",IF($E1159=1,$H1159,$I1158&amp;", "&amp;$H1159))</f>
        <v/>
      </c>
      <c r="J1159">
        <f>IF($A1159="","",IF($E1159=1,$B1159,""))</f>
        <v/>
      </c>
      <c r="K1159">
        <f>IF($A1159="","",IF(COUNTIF($B$2:$B1159,$B1159)=COUNTIF($B$2:$B$1601,$B1159),$B1159,""))</f>
        <v/>
      </c>
    </row>
    <row r="1160">
      <c r="A1160">
        <f>IF('TMP Paste'!$E1160="","",'TMP Paste'!$E1160)</f>
        <v/>
      </c>
      <c r="B1160">
        <f>IF($A1160="","",COUNTIF('TMP Paste'!$B$2:$B1160,"?*"))</f>
        <v/>
      </c>
      <c r="C1160">
        <f>IF($A1160="","",IFERROR('TMP Paste'!$M1160*1,0))</f>
        <v/>
      </c>
      <c r="D1160">
        <f>IF($A1160="","",SUMIF($B$2:$B1160,$B1160,$C$2:$C1160))</f>
        <v/>
      </c>
      <c r="E1160">
        <f>IF($A1160="",0,IF('TMP Paste'!$B1160="",0,1))</f>
        <v/>
      </c>
      <c r="F1160">
        <f>IF(OR($A1160="",$C1160&lt;1),"",$A1160&amp;"-"&amp;TEXT(($D1160-$C1160+1),"00")&amp;IF($C1160&gt;=2,", "&amp;$A1160&amp;"-"&amp;TEXT(($D1160-$C1160+1)+1,"00"),"")&amp;IF($C1160&gt;=3,", "&amp;$A1160&amp;"-"&amp;TEXT(($D1160-$C1160+1)+2,"00"),"")&amp;IF($C1160&gt;=4,", "&amp;$A1160&amp;"-"&amp;TEXT(($D1160-$C1160+1)+3,"00"),"")&amp;IF($C1160&gt;=5,", "&amp;$A1160&amp;"-"&amp;TEXT(($D1160-$C1160+1)+4,"00"),"")&amp;IF($C1160&gt;=6,", "&amp;$A1160&amp;"-"&amp;TEXT(($D1160-$C1160+1)+5,"00"),"")&amp;IF($C1160&gt;=7,", "&amp;$A1160&amp;"-"&amp;TEXT(($D1160-$C1160+1)+6,"00"),"")&amp;IF($C1160&gt;=8,", "&amp;$A1160&amp;"-"&amp;TEXT(($D1160-$C1160+1)+7,"00"),"")&amp;IF($C1160&gt;=9,", "&amp;$A1160&amp;"-"&amp;TEXT(($D1160-$C1160+1)+8,"00"),"")&amp;IF($C1160&gt;=10,", "&amp;$A1160&amp;"-"&amp;TEXT(($D1160-$C1160+1)+9,"00"),"")&amp;IF($C1160&gt;=11,", "&amp;$A1160&amp;"-"&amp;TEXT(($D1160-$C1160+1)+10,"00"),"")&amp;IF($C1160&gt;=12,", "&amp;$A1160&amp;"-"&amp;TEXT(($D1160-$C1160+1)+11,"00"),"")&amp;IF($C1160&gt;=13,", "&amp;$A1160&amp;"-"&amp;TEXT(($D1160-$C1160+1)+12,"00"),"")&amp;IF($C1160&gt;=14,", "&amp;$A1160&amp;"-"&amp;TEXT(($D1160-$C1160+1)+13,"00"),"")&amp;IF($C1160&gt;=15,", "&amp;$A1160&amp;"-"&amp;TEXT(($D1160-$C1160+1)+14,"00"),"")&amp;IF($C1160&gt;=16,", "&amp;$A1160&amp;"-"&amp;TEXT(($D1160-$C1160+1)+15,"00"),"")&amp;IF($C1160&gt;=17,", "&amp;$A1160&amp;"-"&amp;TEXT(($D1160-$C1160+1)+16,"00"),"")&amp;IF($C1160&gt;=18,", "&amp;$A1160&amp;"-"&amp;TEXT(($D1160-$C1160+1)+17,"00"),"")&amp;IF($C1160&gt;=19,", "&amp;$A1160&amp;"-"&amp;TEXT(($D1160-$C1160+1)+18,"00"),"")&amp;IF($C1160&gt;=20,", "&amp;$A1160&amp;"-"&amp;TEXT(($D1160-$C1160+1)+19,"00"),"")&amp;IF($C1160&gt;=21,", "&amp;$A1160&amp;"-"&amp;TEXT(($D1160-$C1160+1)+20,"00"),"")&amp;IF($C1160&gt;=22,", "&amp;$A1160&amp;"-"&amp;TEXT(($D1160-$C1160+1)+21,"00"),"")&amp;IF($C1160&gt;=23,", "&amp;$A1160&amp;"-"&amp;TEXT(($D1160-$C1160+1)+22,"00"),"")&amp;IF($C1160&gt;=24,", "&amp;$A1160&amp;"-"&amp;TEXT(($D1160-$C1160+1)+23,"00"),"")&amp;IF($C1160&gt;=25,", "&amp;$A1160&amp;"-"&amp;TEXT(($D1160-$C1160+1)+24,"00"),""))</f>
        <v/>
      </c>
      <c r="G1160">
        <f>IF($A1160="","",IF($E1160=1,$F1160,IF($F1160="",$G1159,IF($G1159="",$F1160,$G1159&amp;", "&amp;$F1160))))</f>
        <v/>
      </c>
      <c r="H1160">
        <f>IF($A1160="","",$A1160&amp;" ("&amp;$C1160&amp;")")</f>
        <v/>
      </c>
      <c r="I1160">
        <f>IF($A1160="","",IF($E1160=1,$H1160,$I1159&amp;", "&amp;$H1160))</f>
        <v/>
      </c>
      <c r="J1160">
        <f>IF($A1160="","",IF($E1160=1,$B1160,""))</f>
        <v/>
      </c>
      <c r="K1160">
        <f>IF($A1160="","",IF(COUNTIF($B$2:$B1160,$B1160)=COUNTIF($B$2:$B$1601,$B1160),$B1160,""))</f>
        <v/>
      </c>
    </row>
    <row r="1161">
      <c r="A1161">
        <f>IF('TMP Paste'!$E1161="","",'TMP Paste'!$E1161)</f>
        <v/>
      </c>
      <c r="B1161">
        <f>IF($A1161="","",COUNTIF('TMP Paste'!$B$2:$B1161,"?*"))</f>
        <v/>
      </c>
      <c r="C1161">
        <f>IF($A1161="","",IFERROR('TMP Paste'!$M1161*1,0))</f>
        <v/>
      </c>
      <c r="D1161">
        <f>IF($A1161="","",SUMIF($B$2:$B1161,$B1161,$C$2:$C1161))</f>
        <v/>
      </c>
      <c r="E1161">
        <f>IF($A1161="",0,IF('TMP Paste'!$B1161="",0,1))</f>
        <v/>
      </c>
      <c r="F1161">
        <f>IF(OR($A1161="",$C1161&lt;1),"",$A1161&amp;"-"&amp;TEXT(($D1161-$C1161+1),"00")&amp;IF($C1161&gt;=2,", "&amp;$A1161&amp;"-"&amp;TEXT(($D1161-$C1161+1)+1,"00"),"")&amp;IF($C1161&gt;=3,", "&amp;$A1161&amp;"-"&amp;TEXT(($D1161-$C1161+1)+2,"00"),"")&amp;IF($C1161&gt;=4,", "&amp;$A1161&amp;"-"&amp;TEXT(($D1161-$C1161+1)+3,"00"),"")&amp;IF($C1161&gt;=5,", "&amp;$A1161&amp;"-"&amp;TEXT(($D1161-$C1161+1)+4,"00"),"")&amp;IF($C1161&gt;=6,", "&amp;$A1161&amp;"-"&amp;TEXT(($D1161-$C1161+1)+5,"00"),"")&amp;IF($C1161&gt;=7,", "&amp;$A1161&amp;"-"&amp;TEXT(($D1161-$C1161+1)+6,"00"),"")&amp;IF($C1161&gt;=8,", "&amp;$A1161&amp;"-"&amp;TEXT(($D1161-$C1161+1)+7,"00"),"")&amp;IF($C1161&gt;=9,", "&amp;$A1161&amp;"-"&amp;TEXT(($D1161-$C1161+1)+8,"00"),"")&amp;IF($C1161&gt;=10,", "&amp;$A1161&amp;"-"&amp;TEXT(($D1161-$C1161+1)+9,"00"),"")&amp;IF($C1161&gt;=11,", "&amp;$A1161&amp;"-"&amp;TEXT(($D1161-$C1161+1)+10,"00"),"")&amp;IF($C1161&gt;=12,", "&amp;$A1161&amp;"-"&amp;TEXT(($D1161-$C1161+1)+11,"00"),"")&amp;IF($C1161&gt;=13,", "&amp;$A1161&amp;"-"&amp;TEXT(($D1161-$C1161+1)+12,"00"),"")&amp;IF($C1161&gt;=14,", "&amp;$A1161&amp;"-"&amp;TEXT(($D1161-$C1161+1)+13,"00"),"")&amp;IF($C1161&gt;=15,", "&amp;$A1161&amp;"-"&amp;TEXT(($D1161-$C1161+1)+14,"00"),"")&amp;IF($C1161&gt;=16,", "&amp;$A1161&amp;"-"&amp;TEXT(($D1161-$C1161+1)+15,"00"),"")&amp;IF($C1161&gt;=17,", "&amp;$A1161&amp;"-"&amp;TEXT(($D1161-$C1161+1)+16,"00"),"")&amp;IF($C1161&gt;=18,", "&amp;$A1161&amp;"-"&amp;TEXT(($D1161-$C1161+1)+17,"00"),"")&amp;IF($C1161&gt;=19,", "&amp;$A1161&amp;"-"&amp;TEXT(($D1161-$C1161+1)+18,"00"),"")&amp;IF($C1161&gt;=20,", "&amp;$A1161&amp;"-"&amp;TEXT(($D1161-$C1161+1)+19,"00"),"")&amp;IF($C1161&gt;=21,", "&amp;$A1161&amp;"-"&amp;TEXT(($D1161-$C1161+1)+20,"00"),"")&amp;IF($C1161&gt;=22,", "&amp;$A1161&amp;"-"&amp;TEXT(($D1161-$C1161+1)+21,"00"),"")&amp;IF($C1161&gt;=23,", "&amp;$A1161&amp;"-"&amp;TEXT(($D1161-$C1161+1)+22,"00"),"")&amp;IF($C1161&gt;=24,", "&amp;$A1161&amp;"-"&amp;TEXT(($D1161-$C1161+1)+23,"00"),"")&amp;IF($C1161&gt;=25,", "&amp;$A1161&amp;"-"&amp;TEXT(($D1161-$C1161+1)+24,"00"),""))</f>
        <v/>
      </c>
      <c r="G1161">
        <f>IF($A1161="","",IF($E1161=1,$F1161,IF($F1161="",$G1160,IF($G1160="",$F1161,$G1160&amp;", "&amp;$F1161))))</f>
        <v/>
      </c>
      <c r="H1161">
        <f>IF($A1161="","",$A1161&amp;" ("&amp;$C1161&amp;")")</f>
        <v/>
      </c>
      <c r="I1161">
        <f>IF($A1161="","",IF($E1161=1,$H1161,$I1160&amp;", "&amp;$H1161))</f>
        <v/>
      </c>
      <c r="J1161">
        <f>IF($A1161="","",IF($E1161=1,$B1161,""))</f>
        <v/>
      </c>
      <c r="K1161">
        <f>IF($A1161="","",IF(COUNTIF($B$2:$B1161,$B1161)=COUNTIF($B$2:$B$1601,$B1161),$B1161,""))</f>
        <v/>
      </c>
    </row>
    <row r="1162">
      <c r="A1162">
        <f>IF('TMP Paste'!$E1162="","",'TMP Paste'!$E1162)</f>
        <v/>
      </c>
      <c r="B1162">
        <f>IF($A1162="","",COUNTIF('TMP Paste'!$B$2:$B1162,"?*"))</f>
        <v/>
      </c>
      <c r="C1162">
        <f>IF($A1162="","",IFERROR('TMP Paste'!$M1162*1,0))</f>
        <v/>
      </c>
      <c r="D1162">
        <f>IF($A1162="","",SUMIF($B$2:$B1162,$B1162,$C$2:$C1162))</f>
        <v/>
      </c>
      <c r="E1162">
        <f>IF($A1162="",0,IF('TMP Paste'!$B1162="",0,1))</f>
        <v/>
      </c>
      <c r="F1162">
        <f>IF(OR($A1162="",$C1162&lt;1),"",$A1162&amp;"-"&amp;TEXT(($D1162-$C1162+1),"00")&amp;IF($C1162&gt;=2,", "&amp;$A1162&amp;"-"&amp;TEXT(($D1162-$C1162+1)+1,"00"),"")&amp;IF($C1162&gt;=3,", "&amp;$A1162&amp;"-"&amp;TEXT(($D1162-$C1162+1)+2,"00"),"")&amp;IF($C1162&gt;=4,", "&amp;$A1162&amp;"-"&amp;TEXT(($D1162-$C1162+1)+3,"00"),"")&amp;IF($C1162&gt;=5,", "&amp;$A1162&amp;"-"&amp;TEXT(($D1162-$C1162+1)+4,"00"),"")&amp;IF($C1162&gt;=6,", "&amp;$A1162&amp;"-"&amp;TEXT(($D1162-$C1162+1)+5,"00"),"")&amp;IF($C1162&gt;=7,", "&amp;$A1162&amp;"-"&amp;TEXT(($D1162-$C1162+1)+6,"00"),"")&amp;IF($C1162&gt;=8,", "&amp;$A1162&amp;"-"&amp;TEXT(($D1162-$C1162+1)+7,"00"),"")&amp;IF($C1162&gt;=9,", "&amp;$A1162&amp;"-"&amp;TEXT(($D1162-$C1162+1)+8,"00"),"")&amp;IF($C1162&gt;=10,", "&amp;$A1162&amp;"-"&amp;TEXT(($D1162-$C1162+1)+9,"00"),"")&amp;IF($C1162&gt;=11,", "&amp;$A1162&amp;"-"&amp;TEXT(($D1162-$C1162+1)+10,"00"),"")&amp;IF($C1162&gt;=12,", "&amp;$A1162&amp;"-"&amp;TEXT(($D1162-$C1162+1)+11,"00"),"")&amp;IF($C1162&gt;=13,", "&amp;$A1162&amp;"-"&amp;TEXT(($D1162-$C1162+1)+12,"00"),"")&amp;IF($C1162&gt;=14,", "&amp;$A1162&amp;"-"&amp;TEXT(($D1162-$C1162+1)+13,"00"),"")&amp;IF($C1162&gt;=15,", "&amp;$A1162&amp;"-"&amp;TEXT(($D1162-$C1162+1)+14,"00"),"")&amp;IF($C1162&gt;=16,", "&amp;$A1162&amp;"-"&amp;TEXT(($D1162-$C1162+1)+15,"00"),"")&amp;IF($C1162&gt;=17,", "&amp;$A1162&amp;"-"&amp;TEXT(($D1162-$C1162+1)+16,"00"),"")&amp;IF($C1162&gt;=18,", "&amp;$A1162&amp;"-"&amp;TEXT(($D1162-$C1162+1)+17,"00"),"")&amp;IF($C1162&gt;=19,", "&amp;$A1162&amp;"-"&amp;TEXT(($D1162-$C1162+1)+18,"00"),"")&amp;IF($C1162&gt;=20,", "&amp;$A1162&amp;"-"&amp;TEXT(($D1162-$C1162+1)+19,"00"),"")&amp;IF($C1162&gt;=21,", "&amp;$A1162&amp;"-"&amp;TEXT(($D1162-$C1162+1)+20,"00"),"")&amp;IF($C1162&gt;=22,", "&amp;$A1162&amp;"-"&amp;TEXT(($D1162-$C1162+1)+21,"00"),"")&amp;IF($C1162&gt;=23,", "&amp;$A1162&amp;"-"&amp;TEXT(($D1162-$C1162+1)+22,"00"),"")&amp;IF($C1162&gt;=24,", "&amp;$A1162&amp;"-"&amp;TEXT(($D1162-$C1162+1)+23,"00"),"")&amp;IF($C1162&gt;=25,", "&amp;$A1162&amp;"-"&amp;TEXT(($D1162-$C1162+1)+24,"00"),""))</f>
        <v/>
      </c>
      <c r="G1162">
        <f>IF($A1162="","",IF($E1162=1,$F1162,IF($F1162="",$G1161,IF($G1161="",$F1162,$G1161&amp;", "&amp;$F1162))))</f>
        <v/>
      </c>
      <c r="H1162">
        <f>IF($A1162="","",$A1162&amp;" ("&amp;$C1162&amp;")")</f>
        <v/>
      </c>
      <c r="I1162">
        <f>IF($A1162="","",IF($E1162=1,$H1162,$I1161&amp;", "&amp;$H1162))</f>
        <v/>
      </c>
      <c r="J1162">
        <f>IF($A1162="","",IF($E1162=1,$B1162,""))</f>
        <v/>
      </c>
      <c r="K1162">
        <f>IF($A1162="","",IF(COUNTIF($B$2:$B1162,$B1162)=COUNTIF($B$2:$B$1601,$B1162),$B1162,""))</f>
        <v/>
      </c>
    </row>
    <row r="1163">
      <c r="A1163">
        <f>IF('TMP Paste'!$E1163="","",'TMP Paste'!$E1163)</f>
        <v/>
      </c>
      <c r="B1163">
        <f>IF($A1163="","",COUNTIF('TMP Paste'!$B$2:$B1163,"?*"))</f>
        <v/>
      </c>
      <c r="C1163">
        <f>IF($A1163="","",IFERROR('TMP Paste'!$M1163*1,0))</f>
        <v/>
      </c>
      <c r="D1163">
        <f>IF($A1163="","",SUMIF($B$2:$B1163,$B1163,$C$2:$C1163))</f>
        <v/>
      </c>
      <c r="E1163">
        <f>IF($A1163="",0,IF('TMP Paste'!$B1163="",0,1))</f>
        <v/>
      </c>
      <c r="F1163">
        <f>IF(OR($A1163="",$C1163&lt;1),"",$A1163&amp;"-"&amp;TEXT(($D1163-$C1163+1),"00")&amp;IF($C1163&gt;=2,", "&amp;$A1163&amp;"-"&amp;TEXT(($D1163-$C1163+1)+1,"00"),"")&amp;IF($C1163&gt;=3,", "&amp;$A1163&amp;"-"&amp;TEXT(($D1163-$C1163+1)+2,"00"),"")&amp;IF($C1163&gt;=4,", "&amp;$A1163&amp;"-"&amp;TEXT(($D1163-$C1163+1)+3,"00"),"")&amp;IF($C1163&gt;=5,", "&amp;$A1163&amp;"-"&amp;TEXT(($D1163-$C1163+1)+4,"00"),"")&amp;IF($C1163&gt;=6,", "&amp;$A1163&amp;"-"&amp;TEXT(($D1163-$C1163+1)+5,"00"),"")&amp;IF($C1163&gt;=7,", "&amp;$A1163&amp;"-"&amp;TEXT(($D1163-$C1163+1)+6,"00"),"")&amp;IF($C1163&gt;=8,", "&amp;$A1163&amp;"-"&amp;TEXT(($D1163-$C1163+1)+7,"00"),"")&amp;IF($C1163&gt;=9,", "&amp;$A1163&amp;"-"&amp;TEXT(($D1163-$C1163+1)+8,"00"),"")&amp;IF($C1163&gt;=10,", "&amp;$A1163&amp;"-"&amp;TEXT(($D1163-$C1163+1)+9,"00"),"")&amp;IF($C1163&gt;=11,", "&amp;$A1163&amp;"-"&amp;TEXT(($D1163-$C1163+1)+10,"00"),"")&amp;IF($C1163&gt;=12,", "&amp;$A1163&amp;"-"&amp;TEXT(($D1163-$C1163+1)+11,"00"),"")&amp;IF($C1163&gt;=13,", "&amp;$A1163&amp;"-"&amp;TEXT(($D1163-$C1163+1)+12,"00"),"")&amp;IF($C1163&gt;=14,", "&amp;$A1163&amp;"-"&amp;TEXT(($D1163-$C1163+1)+13,"00"),"")&amp;IF($C1163&gt;=15,", "&amp;$A1163&amp;"-"&amp;TEXT(($D1163-$C1163+1)+14,"00"),"")&amp;IF($C1163&gt;=16,", "&amp;$A1163&amp;"-"&amp;TEXT(($D1163-$C1163+1)+15,"00"),"")&amp;IF($C1163&gt;=17,", "&amp;$A1163&amp;"-"&amp;TEXT(($D1163-$C1163+1)+16,"00"),"")&amp;IF($C1163&gt;=18,", "&amp;$A1163&amp;"-"&amp;TEXT(($D1163-$C1163+1)+17,"00"),"")&amp;IF($C1163&gt;=19,", "&amp;$A1163&amp;"-"&amp;TEXT(($D1163-$C1163+1)+18,"00"),"")&amp;IF($C1163&gt;=20,", "&amp;$A1163&amp;"-"&amp;TEXT(($D1163-$C1163+1)+19,"00"),"")&amp;IF($C1163&gt;=21,", "&amp;$A1163&amp;"-"&amp;TEXT(($D1163-$C1163+1)+20,"00"),"")&amp;IF($C1163&gt;=22,", "&amp;$A1163&amp;"-"&amp;TEXT(($D1163-$C1163+1)+21,"00"),"")&amp;IF($C1163&gt;=23,", "&amp;$A1163&amp;"-"&amp;TEXT(($D1163-$C1163+1)+22,"00"),"")&amp;IF($C1163&gt;=24,", "&amp;$A1163&amp;"-"&amp;TEXT(($D1163-$C1163+1)+23,"00"),"")&amp;IF($C1163&gt;=25,", "&amp;$A1163&amp;"-"&amp;TEXT(($D1163-$C1163+1)+24,"00"),""))</f>
        <v/>
      </c>
      <c r="G1163">
        <f>IF($A1163="","",IF($E1163=1,$F1163,IF($F1163="",$G1162,IF($G1162="",$F1163,$G1162&amp;", "&amp;$F1163))))</f>
        <v/>
      </c>
      <c r="H1163">
        <f>IF($A1163="","",$A1163&amp;" ("&amp;$C1163&amp;")")</f>
        <v/>
      </c>
      <c r="I1163">
        <f>IF($A1163="","",IF($E1163=1,$H1163,$I1162&amp;", "&amp;$H1163))</f>
        <v/>
      </c>
      <c r="J1163">
        <f>IF($A1163="","",IF($E1163=1,$B1163,""))</f>
        <v/>
      </c>
      <c r="K1163">
        <f>IF($A1163="","",IF(COUNTIF($B$2:$B1163,$B1163)=COUNTIF($B$2:$B$1601,$B1163),$B1163,""))</f>
        <v/>
      </c>
    </row>
    <row r="1164">
      <c r="A1164">
        <f>IF('TMP Paste'!$E1164="","",'TMP Paste'!$E1164)</f>
        <v/>
      </c>
      <c r="B1164">
        <f>IF($A1164="","",COUNTIF('TMP Paste'!$B$2:$B1164,"?*"))</f>
        <v/>
      </c>
      <c r="C1164">
        <f>IF($A1164="","",IFERROR('TMP Paste'!$M1164*1,0))</f>
        <v/>
      </c>
      <c r="D1164">
        <f>IF($A1164="","",SUMIF($B$2:$B1164,$B1164,$C$2:$C1164))</f>
        <v/>
      </c>
      <c r="E1164">
        <f>IF($A1164="",0,IF('TMP Paste'!$B1164="",0,1))</f>
        <v/>
      </c>
      <c r="F1164">
        <f>IF(OR($A1164="",$C1164&lt;1),"",$A1164&amp;"-"&amp;TEXT(($D1164-$C1164+1),"00")&amp;IF($C1164&gt;=2,", "&amp;$A1164&amp;"-"&amp;TEXT(($D1164-$C1164+1)+1,"00"),"")&amp;IF($C1164&gt;=3,", "&amp;$A1164&amp;"-"&amp;TEXT(($D1164-$C1164+1)+2,"00"),"")&amp;IF($C1164&gt;=4,", "&amp;$A1164&amp;"-"&amp;TEXT(($D1164-$C1164+1)+3,"00"),"")&amp;IF($C1164&gt;=5,", "&amp;$A1164&amp;"-"&amp;TEXT(($D1164-$C1164+1)+4,"00"),"")&amp;IF($C1164&gt;=6,", "&amp;$A1164&amp;"-"&amp;TEXT(($D1164-$C1164+1)+5,"00"),"")&amp;IF($C1164&gt;=7,", "&amp;$A1164&amp;"-"&amp;TEXT(($D1164-$C1164+1)+6,"00"),"")&amp;IF($C1164&gt;=8,", "&amp;$A1164&amp;"-"&amp;TEXT(($D1164-$C1164+1)+7,"00"),"")&amp;IF($C1164&gt;=9,", "&amp;$A1164&amp;"-"&amp;TEXT(($D1164-$C1164+1)+8,"00"),"")&amp;IF($C1164&gt;=10,", "&amp;$A1164&amp;"-"&amp;TEXT(($D1164-$C1164+1)+9,"00"),"")&amp;IF($C1164&gt;=11,", "&amp;$A1164&amp;"-"&amp;TEXT(($D1164-$C1164+1)+10,"00"),"")&amp;IF($C1164&gt;=12,", "&amp;$A1164&amp;"-"&amp;TEXT(($D1164-$C1164+1)+11,"00"),"")&amp;IF($C1164&gt;=13,", "&amp;$A1164&amp;"-"&amp;TEXT(($D1164-$C1164+1)+12,"00"),"")&amp;IF($C1164&gt;=14,", "&amp;$A1164&amp;"-"&amp;TEXT(($D1164-$C1164+1)+13,"00"),"")&amp;IF($C1164&gt;=15,", "&amp;$A1164&amp;"-"&amp;TEXT(($D1164-$C1164+1)+14,"00"),"")&amp;IF($C1164&gt;=16,", "&amp;$A1164&amp;"-"&amp;TEXT(($D1164-$C1164+1)+15,"00"),"")&amp;IF($C1164&gt;=17,", "&amp;$A1164&amp;"-"&amp;TEXT(($D1164-$C1164+1)+16,"00"),"")&amp;IF($C1164&gt;=18,", "&amp;$A1164&amp;"-"&amp;TEXT(($D1164-$C1164+1)+17,"00"),"")&amp;IF($C1164&gt;=19,", "&amp;$A1164&amp;"-"&amp;TEXT(($D1164-$C1164+1)+18,"00"),"")&amp;IF($C1164&gt;=20,", "&amp;$A1164&amp;"-"&amp;TEXT(($D1164-$C1164+1)+19,"00"),"")&amp;IF($C1164&gt;=21,", "&amp;$A1164&amp;"-"&amp;TEXT(($D1164-$C1164+1)+20,"00"),"")&amp;IF($C1164&gt;=22,", "&amp;$A1164&amp;"-"&amp;TEXT(($D1164-$C1164+1)+21,"00"),"")&amp;IF($C1164&gt;=23,", "&amp;$A1164&amp;"-"&amp;TEXT(($D1164-$C1164+1)+22,"00"),"")&amp;IF($C1164&gt;=24,", "&amp;$A1164&amp;"-"&amp;TEXT(($D1164-$C1164+1)+23,"00"),"")&amp;IF($C1164&gt;=25,", "&amp;$A1164&amp;"-"&amp;TEXT(($D1164-$C1164+1)+24,"00"),""))</f>
        <v/>
      </c>
      <c r="G1164">
        <f>IF($A1164="","",IF($E1164=1,$F1164,IF($F1164="",$G1163,IF($G1163="",$F1164,$G1163&amp;", "&amp;$F1164))))</f>
        <v/>
      </c>
      <c r="H1164">
        <f>IF($A1164="","",$A1164&amp;" ("&amp;$C1164&amp;")")</f>
        <v/>
      </c>
      <c r="I1164">
        <f>IF($A1164="","",IF($E1164=1,$H1164,$I1163&amp;", "&amp;$H1164))</f>
        <v/>
      </c>
      <c r="J1164">
        <f>IF($A1164="","",IF($E1164=1,$B1164,""))</f>
        <v/>
      </c>
      <c r="K1164">
        <f>IF($A1164="","",IF(COUNTIF($B$2:$B1164,$B1164)=COUNTIF($B$2:$B$1601,$B1164),$B1164,""))</f>
        <v/>
      </c>
    </row>
    <row r="1165">
      <c r="A1165">
        <f>IF('TMP Paste'!$E1165="","",'TMP Paste'!$E1165)</f>
        <v/>
      </c>
      <c r="B1165">
        <f>IF($A1165="","",COUNTIF('TMP Paste'!$B$2:$B1165,"?*"))</f>
        <v/>
      </c>
      <c r="C1165">
        <f>IF($A1165="","",IFERROR('TMP Paste'!$M1165*1,0))</f>
        <v/>
      </c>
      <c r="D1165">
        <f>IF($A1165="","",SUMIF($B$2:$B1165,$B1165,$C$2:$C1165))</f>
        <v/>
      </c>
      <c r="E1165">
        <f>IF($A1165="",0,IF('TMP Paste'!$B1165="",0,1))</f>
        <v/>
      </c>
      <c r="F1165">
        <f>IF(OR($A1165="",$C1165&lt;1),"",$A1165&amp;"-"&amp;TEXT(($D1165-$C1165+1),"00")&amp;IF($C1165&gt;=2,", "&amp;$A1165&amp;"-"&amp;TEXT(($D1165-$C1165+1)+1,"00"),"")&amp;IF($C1165&gt;=3,", "&amp;$A1165&amp;"-"&amp;TEXT(($D1165-$C1165+1)+2,"00"),"")&amp;IF($C1165&gt;=4,", "&amp;$A1165&amp;"-"&amp;TEXT(($D1165-$C1165+1)+3,"00"),"")&amp;IF($C1165&gt;=5,", "&amp;$A1165&amp;"-"&amp;TEXT(($D1165-$C1165+1)+4,"00"),"")&amp;IF($C1165&gt;=6,", "&amp;$A1165&amp;"-"&amp;TEXT(($D1165-$C1165+1)+5,"00"),"")&amp;IF($C1165&gt;=7,", "&amp;$A1165&amp;"-"&amp;TEXT(($D1165-$C1165+1)+6,"00"),"")&amp;IF($C1165&gt;=8,", "&amp;$A1165&amp;"-"&amp;TEXT(($D1165-$C1165+1)+7,"00"),"")&amp;IF($C1165&gt;=9,", "&amp;$A1165&amp;"-"&amp;TEXT(($D1165-$C1165+1)+8,"00"),"")&amp;IF($C1165&gt;=10,", "&amp;$A1165&amp;"-"&amp;TEXT(($D1165-$C1165+1)+9,"00"),"")&amp;IF($C1165&gt;=11,", "&amp;$A1165&amp;"-"&amp;TEXT(($D1165-$C1165+1)+10,"00"),"")&amp;IF($C1165&gt;=12,", "&amp;$A1165&amp;"-"&amp;TEXT(($D1165-$C1165+1)+11,"00"),"")&amp;IF($C1165&gt;=13,", "&amp;$A1165&amp;"-"&amp;TEXT(($D1165-$C1165+1)+12,"00"),"")&amp;IF($C1165&gt;=14,", "&amp;$A1165&amp;"-"&amp;TEXT(($D1165-$C1165+1)+13,"00"),"")&amp;IF($C1165&gt;=15,", "&amp;$A1165&amp;"-"&amp;TEXT(($D1165-$C1165+1)+14,"00"),"")&amp;IF($C1165&gt;=16,", "&amp;$A1165&amp;"-"&amp;TEXT(($D1165-$C1165+1)+15,"00"),"")&amp;IF($C1165&gt;=17,", "&amp;$A1165&amp;"-"&amp;TEXT(($D1165-$C1165+1)+16,"00"),"")&amp;IF($C1165&gt;=18,", "&amp;$A1165&amp;"-"&amp;TEXT(($D1165-$C1165+1)+17,"00"),"")&amp;IF($C1165&gt;=19,", "&amp;$A1165&amp;"-"&amp;TEXT(($D1165-$C1165+1)+18,"00"),"")&amp;IF($C1165&gt;=20,", "&amp;$A1165&amp;"-"&amp;TEXT(($D1165-$C1165+1)+19,"00"),"")&amp;IF($C1165&gt;=21,", "&amp;$A1165&amp;"-"&amp;TEXT(($D1165-$C1165+1)+20,"00"),"")&amp;IF($C1165&gt;=22,", "&amp;$A1165&amp;"-"&amp;TEXT(($D1165-$C1165+1)+21,"00"),"")&amp;IF($C1165&gt;=23,", "&amp;$A1165&amp;"-"&amp;TEXT(($D1165-$C1165+1)+22,"00"),"")&amp;IF($C1165&gt;=24,", "&amp;$A1165&amp;"-"&amp;TEXT(($D1165-$C1165+1)+23,"00"),"")&amp;IF($C1165&gt;=25,", "&amp;$A1165&amp;"-"&amp;TEXT(($D1165-$C1165+1)+24,"00"),""))</f>
        <v/>
      </c>
      <c r="G1165">
        <f>IF($A1165="","",IF($E1165=1,$F1165,IF($F1165="",$G1164,IF($G1164="",$F1165,$G1164&amp;", "&amp;$F1165))))</f>
        <v/>
      </c>
      <c r="H1165">
        <f>IF($A1165="","",$A1165&amp;" ("&amp;$C1165&amp;")")</f>
        <v/>
      </c>
      <c r="I1165">
        <f>IF($A1165="","",IF($E1165=1,$H1165,$I1164&amp;", "&amp;$H1165))</f>
        <v/>
      </c>
      <c r="J1165">
        <f>IF($A1165="","",IF($E1165=1,$B1165,""))</f>
        <v/>
      </c>
      <c r="K1165">
        <f>IF($A1165="","",IF(COUNTIF($B$2:$B1165,$B1165)=COUNTIF($B$2:$B$1601,$B1165),$B1165,""))</f>
        <v/>
      </c>
    </row>
    <row r="1166">
      <c r="A1166">
        <f>IF('TMP Paste'!$E1166="","",'TMP Paste'!$E1166)</f>
        <v/>
      </c>
      <c r="B1166">
        <f>IF($A1166="","",COUNTIF('TMP Paste'!$B$2:$B1166,"?*"))</f>
        <v/>
      </c>
      <c r="C1166">
        <f>IF($A1166="","",IFERROR('TMP Paste'!$M1166*1,0))</f>
        <v/>
      </c>
      <c r="D1166">
        <f>IF($A1166="","",SUMIF($B$2:$B1166,$B1166,$C$2:$C1166))</f>
        <v/>
      </c>
      <c r="E1166">
        <f>IF($A1166="",0,IF('TMP Paste'!$B1166="",0,1))</f>
        <v/>
      </c>
      <c r="F1166">
        <f>IF(OR($A1166="",$C1166&lt;1),"",$A1166&amp;"-"&amp;TEXT(($D1166-$C1166+1),"00")&amp;IF($C1166&gt;=2,", "&amp;$A1166&amp;"-"&amp;TEXT(($D1166-$C1166+1)+1,"00"),"")&amp;IF($C1166&gt;=3,", "&amp;$A1166&amp;"-"&amp;TEXT(($D1166-$C1166+1)+2,"00"),"")&amp;IF($C1166&gt;=4,", "&amp;$A1166&amp;"-"&amp;TEXT(($D1166-$C1166+1)+3,"00"),"")&amp;IF($C1166&gt;=5,", "&amp;$A1166&amp;"-"&amp;TEXT(($D1166-$C1166+1)+4,"00"),"")&amp;IF($C1166&gt;=6,", "&amp;$A1166&amp;"-"&amp;TEXT(($D1166-$C1166+1)+5,"00"),"")&amp;IF($C1166&gt;=7,", "&amp;$A1166&amp;"-"&amp;TEXT(($D1166-$C1166+1)+6,"00"),"")&amp;IF($C1166&gt;=8,", "&amp;$A1166&amp;"-"&amp;TEXT(($D1166-$C1166+1)+7,"00"),"")&amp;IF($C1166&gt;=9,", "&amp;$A1166&amp;"-"&amp;TEXT(($D1166-$C1166+1)+8,"00"),"")&amp;IF($C1166&gt;=10,", "&amp;$A1166&amp;"-"&amp;TEXT(($D1166-$C1166+1)+9,"00"),"")&amp;IF($C1166&gt;=11,", "&amp;$A1166&amp;"-"&amp;TEXT(($D1166-$C1166+1)+10,"00"),"")&amp;IF($C1166&gt;=12,", "&amp;$A1166&amp;"-"&amp;TEXT(($D1166-$C1166+1)+11,"00"),"")&amp;IF($C1166&gt;=13,", "&amp;$A1166&amp;"-"&amp;TEXT(($D1166-$C1166+1)+12,"00"),"")&amp;IF($C1166&gt;=14,", "&amp;$A1166&amp;"-"&amp;TEXT(($D1166-$C1166+1)+13,"00"),"")&amp;IF($C1166&gt;=15,", "&amp;$A1166&amp;"-"&amp;TEXT(($D1166-$C1166+1)+14,"00"),"")&amp;IF($C1166&gt;=16,", "&amp;$A1166&amp;"-"&amp;TEXT(($D1166-$C1166+1)+15,"00"),"")&amp;IF($C1166&gt;=17,", "&amp;$A1166&amp;"-"&amp;TEXT(($D1166-$C1166+1)+16,"00"),"")&amp;IF($C1166&gt;=18,", "&amp;$A1166&amp;"-"&amp;TEXT(($D1166-$C1166+1)+17,"00"),"")&amp;IF($C1166&gt;=19,", "&amp;$A1166&amp;"-"&amp;TEXT(($D1166-$C1166+1)+18,"00"),"")&amp;IF($C1166&gt;=20,", "&amp;$A1166&amp;"-"&amp;TEXT(($D1166-$C1166+1)+19,"00"),"")&amp;IF($C1166&gt;=21,", "&amp;$A1166&amp;"-"&amp;TEXT(($D1166-$C1166+1)+20,"00"),"")&amp;IF($C1166&gt;=22,", "&amp;$A1166&amp;"-"&amp;TEXT(($D1166-$C1166+1)+21,"00"),"")&amp;IF($C1166&gt;=23,", "&amp;$A1166&amp;"-"&amp;TEXT(($D1166-$C1166+1)+22,"00"),"")&amp;IF($C1166&gt;=24,", "&amp;$A1166&amp;"-"&amp;TEXT(($D1166-$C1166+1)+23,"00"),"")&amp;IF($C1166&gt;=25,", "&amp;$A1166&amp;"-"&amp;TEXT(($D1166-$C1166+1)+24,"00"),""))</f>
        <v/>
      </c>
      <c r="G1166">
        <f>IF($A1166="","",IF($E1166=1,$F1166,IF($F1166="",$G1165,IF($G1165="",$F1166,$G1165&amp;", "&amp;$F1166))))</f>
        <v/>
      </c>
      <c r="H1166">
        <f>IF($A1166="","",$A1166&amp;" ("&amp;$C1166&amp;")")</f>
        <v/>
      </c>
      <c r="I1166">
        <f>IF($A1166="","",IF($E1166=1,$H1166,$I1165&amp;", "&amp;$H1166))</f>
        <v/>
      </c>
      <c r="J1166">
        <f>IF($A1166="","",IF($E1166=1,$B1166,""))</f>
        <v/>
      </c>
      <c r="K1166">
        <f>IF($A1166="","",IF(COUNTIF($B$2:$B1166,$B1166)=COUNTIF($B$2:$B$1601,$B1166),$B1166,""))</f>
        <v/>
      </c>
    </row>
    <row r="1167">
      <c r="A1167">
        <f>IF('TMP Paste'!$E1167="","",'TMP Paste'!$E1167)</f>
        <v/>
      </c>
      <c r="B1167">
        <f>IF($A1167="","",COUNTIF('TMP Paste'!$B$2:$B1167,"?*"))</f>
        <v/>
      </c>
      <c r="C1167">
        <f>IF($A1167="","",IFERROR('TMP Paste'!$M1167*1,0))</f>
        <v/>
      </c>
      <c r="D1167">
        <f>IF($A1167="","",SUMIF($B$2:$B1167,$B1167,$C$2:$C1167))</f>
        <v/>
      </c>
      <c r="E1167">
        <f>IF($A1167="",0,IF('TMP Paste'!$B1167="",0,1))</f>
        <v/>
      </c>
      <c r="F1167">
        <f>IF(OR($A1167="",$C1167&lt;1),"",$A1167&amp;"-"&amp;TEXT(($D1167-$C1167+1),"00")&amp;IF($C1167&gt;=2,", "&amp;$A1167&amp;"-"&amp;TEXT(($D1167-$C1167+1)+1,"00"),"")&amp;IF($C1167&gt;=3,", "&amp;$A1167&amp;"-"&amp;TEXT(($D1167-$C1167+1)+2,"00"),"")&amp;IF($C1167&gt;=4,", "&amp;$A1167&amp;"-"&amp;TEXT(($D1167-$C1167+1)+3,"00"),"")&amp;IF($C1167&gt;=5,", "&amp;$A1167&amp;"-"&amp;TEXT(($D1167-$C1167+1)+4,"00"),"")&amp;IF($C1167&gt;=6,", "&amp;$A1167&amp;"-"&amp;TEXT(($D1167-$C1167+1)+5,"00"),"")&amp;IF($C1167&gt;=7,", "&amp;$A1167&amp;"-"&amp;TEXT(($D1167-$C1167+1)+6,"00"),"")&amp;IF($C1167&gt;=8,", "&amp;$A1167&amp;"-"&amp;TEXT(($D1167-$C1167+1)+7,"00"),"")&amp;IF($C1167&gt;=9,", "&amp;$A1167&amp;"-"&amp;TEXT(($D1167-$C1167+1)+8,"00"),"")&amp;IF($C1167&gt;=10,", "&amp;$A1167&amp;"-"&amp;TEXT(($D1167-$C1167+1)+9,"00"),"")&amp;IF($C1167&gt;=11,", "&amp;$A1167&amp;"-"&amp;TEXT(($D1167-$C1167+1)+10,"00"),"")&amp;IF($C1167&gt;=12,", "&amp;$A1167&amp;"-"&amp;TEXT(($D1167-$C1167+1)+11,"00"),"")&amp;IF($C1167&gt;=13,", "&amp;$A1167&amp;"-"&amp;TEXT(($D1167-$C1167+1)+12,"00"),"")&amp;IF($C1167&gt;=14,", "&amp;$A1167&amp;"-"&amp;TEXT(($D1167-$C1167+1)+13,"00"),"")&amp;IF($C1167&gt;=15,", "&amp;$A1167&amp;"-"&amp;TEXT(($D1167-$C1167+1)+14,"00"),"")&amp;IF($C1167&gt;=16,", "&amp;$A1167&amp;"-"&amp;TEXT(($D1167-$C1167+1)+15,"00"),"")&amp;IF($C1167&gt;=17,", "&amp;$A1167&amp;"-"&amp;TEXT(($D1167-$C1167+1)+16,"00"),"")&amp;IF($C1167&gt;=18,", "&amp;$A1167&amp;"-"&amp;TEXT(($D1167-$C1167+1)+17,"00"),"")&amp;IF($C1167&gt;=19,", "&amp;$A1167&amp;"-"&amp;TEXT(($D1167-$C1167+1)+18,"00"),"")&amp;IF($C1167&gt;=20,", "&amp;$A1167&amp;"-"&amp;TEXT(($D1167-$C1167+1)+19,"00"),"")&amp;IF($C1167&gt;=21,", "&amp;$A1167&amp;"-"&amp;TEXT(($D1167-$C1167+1)+20,"00"),"")&amp;IF($C1167&gt;=22,", "&amp;$A1167&amp;"-"&amp;TEXT(($D1167-$C1167+1)+21,"00"),"")&amp;IF($C1167&gt;=23,", "&amp;$A1167&amp;"-"&amp;TEXT(($D1167-$C1167+1)+22,"00"),"")&amp;IF($C1167&gt;=24,", "&amp;$A1167&amp;"-"&amp;TEXT(($D1167-$C1167+1)+23,"00"),"")&amp;IF($C1167&gt;=25,", "&amp;$A1167&amp;"-"&amp;TEXT(($D1167-$C1167+1)+24,"00"),""))</f>
        <v/>
      </c>
      <c r="G1167">
        <f>IF($A1167="","",IF($E1167=1,$F1167,IF($F1167="",$G1166,IF($G1166="",$F1167,$G1166&amp;", "&amp;$F1167))))</f>
        <v/>
      </c>
      <c r="H1167">
        <f>IF($A1167="","",$A1167&amp;" ("&amp;$C1167&amp;")")</f>
        <v/>
      </c>
      <c r="I1167">
        <f>IF($A1167="","",IF($E1167=1,$H1167,$I1166&amp;", "&amp;$H1167))</f>
        <v/>
      </c>
      <c r="J1167">
        <f>IF($A1167="","",IF($E1167=1,$B1167,""))</f>
        <v/>
      </c>
      <c r="K1167">
        <f>IF($A1167="","",IF(COUNTIF($B$2:$B1167,$B1167)=COUNTIF($B$2:$B$1601,$B1167),$B1167,""))</f>
        <v/>
      </c>
    </row>
    <row r="1168">
      <c r="A1168">
        <f>IF('TMP Paste'!$E1168="","",'TMP Paste'!$E1168)</f>
        <v/>
      </c>
      <c r="B1168">
        <f>IF($A1168="","",COUNTIF('TMP Paste'!$B$2:$B1168,"?*"))</f>
        <v/>
      </c>
      <c r="C1168">
        <f>IF($A1168="","",IFERROR('TMP Paste'!$M1168*1,0))</f>
        <v/>
      </c>
      <c r="D1168">
        <f>IF($A1168="","",SUMIF($B$2:$B1168,$B1168,$C$2:$C1168))</f>
        <v/>
      </c>
      <c r="E1168">
        <f>IF($A1168="",0,IF('TMP Paste'!$B1168="",0,1))</f>
        <v/>
      </c>
      <c r="F1168">
        <f>IF(OR($A1168="",$C1168&lt;1),"",$A1168&amp;"-"&amp;TEXT(($D1168-$C1168+1),"00")&amp;IF($C1168&gt;=2,", "&amp;$A1168&amp;"-"&amp;TEXT(($D1168-$C1168+1)+1,"00"),"")&amp;IF($C1168&gt;=3,", "&amp;$A1168&amp;"-"&amp;TEXT(($D1168-$C1168+1)+2,"00"),"")&amp;IF($C1168&gt;=4,", "&amp;$A1168&amp;"-"&amp;TEXT(($D1168-$C1168+1)+3,"00"),"")&amp;IF($C1168&gt;=5,", "&amp;$A1168&amp;"-"&amp;TEXT(($D1168-$C1168+1)+4,"00"),"")&amp;IF($C1168&gt;=6,", "&amp;$A1168&amp;"-"&amp;TEXT(($D1168-$C1168+1)+5,"00"),"")&amp;IF($C1168&gt;=7,", "&amp;$A1168&amp;"-"&amp;TEXT(($D1168-$C1168+1)+6,"00"),"")&amp;IF($C1168&gt;=8,", "&amp;$A1168&amp;"-"&amp;TEXT(($D1168-$C1168+1)+7,"00"),"")&amp;IF($C1168&gt;=9,", "&amp;$A1168&amp;"-"&amp;TEXT(($D1168-$C1168+1)+8,"00"),"")&amp;IF($C1168&gt;=10,", "&amp;$A1168&amp;"-"&amp;TEXT(($D1168-$C1168+1)+9,"00"),"")&amp;IF($C1168&gt;=11,", "&amp;$A1168&amp;"-"&amp;TEXT(($D1168-$C1168+1)+10,"00"),"")&amp;IF($C1168&gt;=12,", "&amp;$A1168&amp;"-"&amp;TEXT(($D1168-$C1168+1)+11,"00"),"")&amp;IF($C1168&gt;=13,", "&amp;$A1168&amp;"-"&amp;TEXT(($D1168-$C1168+1)+12,"00"),"")&amp;IF($C1168&gt;=14,", "&amp;$A1168&amp;"-"&amp;TEXT(($D1168-$C1168+1)+13,"00"),"")&amp;IF($C1168&gt;=15,", "&amp;$A1168&amp;"-"&amp;TEXT(($D1168-$C1168+1)+14,"00"),"")&amp;IF($C1168&gt;=16,", "&amp;$A1168&amp;"-"&amp;TEXT(($D1168-$C1168+1)+15,"00"),"")&amp;IF($C1168&gt;=17,", "&amp;$A1168&amp;"-"&amp;TEXT(($D1168-$C1168+1)+16,"00"),"")&amp;IF($C1168&gt;=18,", "&amp;$A1168&amp;"-"&amp;TEXT(($D1168-$C1168+1)+17,"00"),"")&amp;IF($C1168&gt;=19,", "&amp;$A1168&amp;"-"&amp;TEXT(($D1168-$C1168+1)+18,"00"),"")&amp;IF($C1168&gt;=20,", "&amp;$A1168&amp;"-"&amp;TEXT(($D1168-$C1168+1)+19,"00"),"")&amp;IF($C1168&gt;=21,", "&amp;$A1168&amp;"-"&amp;TEXT(($D1168-$C1168+1)+20,"00"),"")&amp;IF($C1168&gt;=22,", "&amp;$A1168&amp;"-"&amp;TEXT(($D1168-$C1168+1)+21,"00"),"")&amp;IF($C1168&gt;=23,", "&amp;$A1168&amp;"-"&amp;TEXT(($D1168-$C1168+1)+22,"00"),"")&amp;IF($C1168&gt;=24,", "&amp;$A1168&amp;"-"&amp;TEXT(($D1168-$C1168+1)+23,"00"),"")&amp;IF($C1168&gt;=25,", "&amp;$A1168&amp;"-"&amp;TEXT(($D1168-$C1168+1)+24,"00"),""))</f>
        <v/>
      </c>
      <c r="G1168">
        <f>IF($A1168="","",IF($E1168=1,$F1168,IF($F1168="",$G1167,IF($G1167="",$F1168,$G1167&amp;", "&amp;$F1168))))</f>
        <v/>
      </c>
      <c r="H1168">
        <f>IF($A1168="","",$A1168&amp;" ("&amp;$C1168&amp;")")</f>
        <v/>
      </c>
      <c r="I1168">
        <f>IF($A1168="","",IF($E1168=1,$H1168,$I1167&amp;", "&amp;$H1168))</f>
        <v/>
      </c>
      <c r="J1168">
        <f>IF($A1168="","",IF($E1168=1,$B1168,""))</f>
        <v/>
      </c>
      <c r="K1168">
        <f>IF($A1168="","",IF(COUNTIF($B$2:$B1168,$B1168)=COUNTIF($B$2:$B$1601,$B1168),$B1168,""))</f>
        <v/>
      </c>
    </row>
    <row r="1169">
      <c r="A1169">
        <f>IF('TMP Paste'!$E1169="","",'TMP Paste'!$E1169)</f>
        <v/>
      </c>
      <c r="B1169">
        <f>IF($A1169="","",COUNTIF('TMP Paste'!$B$2:$B1169,"?*"))</f>
        <v/>
      </c>
      <c r="C1169">
        <f>IF($A1169="","",IFERROR('TMP Paste'!$M1169*1,0))</f>
        <v/>
      </c>
      <c r="D1169">
        <f>IF($A1169="","",SUMIF($B$2:$B1169,$B1169,$C$2:$C1169))</f>
        <v/>
      </c>
      <c r="E1169">
        <f>IF($A1169="",0,IF('TMP Paste'!$B1169="",0,1))</f>
        <v/>
      </c>
      <c r="F1169">
        <f>IF(OR($A1169="",$C1169&lt;1),"",$A1169&amp;"-"&amp;TEXT(($D1169-$C1169+1),"00")&amp;IF($C1169&gt;=2,", "&amp;$A1169&amp;"-"&amp;TEXT(($D1169-$C1169+1)+1,"00"),"")&amp;IF($C1169&gt;=3,", "&amp;$A1169&amp;"-"&amp;TEXT(($D1169-$C1169+1)+2,"00"),"")&amp;IF($C1169&gt;=4,", "&amp;$A1169&amp;"-"&amp;TEXT(($D1169-$C1169+1)+3,"00"),"")&amp;IF($C1169&gt;=5,", "&amp;$A1169&amp;"-"&amp;TEXT(($D1169-$C1169+1)+4,"00"),"")&amp;IF($C1169&gt;=6,", "&amp;$A1169&amp;"-"&amp;TEXT(($D1169-$C1169+1)+5,"00"),"")&amp;IF($C1169&gt;=7,", "&amp;$A1169&amp;"-"&amp;TEXT(($D1169-$C1169+1)+6,"00"),"")&amp;IF($C1169&gt;=8,", "&amp;$A1169&amp;"-"&amp;TEXT(($D1169-$C1169+1)+7,"00"),"")&amp;IF($C1169&gt;=9,", "&amp;$A1169&amp;"-"&amp;TEXT(($D1169-$C1169+1)+8,"00"),"")&amp;IF($C1169&gt;=10,", "&amp;$A1169&amp;"-"&amp;TEXT(($D1169-$C1169+1)+9,"00"),"")&amp;IF($C1169&gt;=11,", "&amp;$A1169&amp;"-"&amp;TEXT(($D1169-$C1169+1)+10,"00"),"")&amp;IF($C1169&gt;=12,", "&amp;$A1169&amp;"-"&amp;TEXT(($D1169-$C1169+1)+11,"00"),"")&amp;IF($C1169&gt;=13,", "&amp;$A1169&amp;"-"&amp;TEXT(($D1169-$C1169+1)+12,"00"),"")&amp;IF($C1169&gt;=14,", "&amp;$A1169&amp;"-"&amp;TEXT(($D1169-$C1169+1)+13,"00"),"")&amp;IF($C1169&gt;=15,", "&amp;$A1169&amp;"-"&amp;TEXT(($D1169-$C1169+1)+14,"00"),"")&amp;IF($C1169&gt;=16,", "&amp;$A1169&amp;"-"&amp;TEXT(($D1169-$C1169+1)+15,"00"),"")&amp;IF($C1169&gt;=17,", "&amp;$A1169&amp;"-"&amp;TEXT(($D1169-$C1169+1)+16,"00"),"")&amp;IF($C1169&gt;=18,", "&amp;$A1169&amp;"-"&amp;TEXT(($D1169-$C1169+1)+17,"00"),"")&amp;IF($C1169&gt;=19,", "&amp;$A1169&amp;"-"&amp;TEXT(($D1169-$C1169+1)+18,"00"),"")&amp;IF($C1169&gt;=20,", "&amp;$A1169&amp;"-"&amp;TEXT(($D1169-$C1169+1)+19,"00"),"")&amp;IF($C1169&gt;=21,", "&amp;$A1169&amp;"-"&amp;TEXT(($D1169-$C1169+1)+20,"00"),"")&amp;IF($C1169&gt;=22,", "&amp;$A1169&amp;"-"&amp;TEXT(($D1169-$C1169+1)+21,"00"),"")&amp;IF($C1169&gt;=23,", "&amp;$A1169&amp;"-"&amp;TEXT(($D1169-$C1169+1)+22,"00"),"")&amp;IF($C1169&gt;=24,", "&amp;$A1169&amp;"-"&amp;TEXT(($D1169-$C1169+1)+23,"00"),"")&amp;IF($C1169&gt;=25,", "&amp;$A1169&amp;"-"&amp;TEXT(($D1169-$C1169+1)+24,"00"),""))</f>
        <v/>
      </c>
      <c r="G1169">
        <f>IF($A1169="","",IF($E1169=1,$F1169,IF($F1169="",$G1168,IF($G1168="",$F1169,$G1168&amp;", "&amp;$F1169))))</f>
        <v/>
      </c>
      <c r="H1169">
        <f>IF($A1169="","",$A1169&amp;" ("&amp;$C1169&amp;")")</f>
        <v/>
      </c>
      <c r="I1169">
        <f>IF($A1169="","",IF($E1169=1,$H1169,$I1168&amp;", "&amp;$H1169))</f>
        <v/>
      </c>
      <c r="J1169">
        <f>IF($A1169="","",IF($E1169=1,$B1169,""))</f>
        <v/>
      </c>
      <c r="K1169">
        <f>IF($A1169="","",IF(COUNTIF($B$2:$B1169,$B1169)=COUNTIF($B$2:$B$1601,$B1169),$B1169,""))</f>
        <v/>
      </c>
    </row>
    <row r="1170">
      <c r="A1170">
        <f>IF('TMP Paste'!$E1170="","",'TMP Paste'!$E1170)</f>
        <v/>
      </c>
      <c r="B1170">
        <f>IF($A1170="","",COUNTIF('TMP Paste'!$B$2:$B1170,"?*"))</f>
        <v/>
      </c>
      <c r="C1170">
        <f>IF($A1170="","",IFERROR('TMP Paste'!$M1170*1,0))</f>
        <v/>
      </c>
      <c r="D1170">
        <f>IF($A1170="","",SUMIF($B$2:$B1170,$B1170,$C$2:$C1170))</f>
        <v/>
      </c>
      <c r="E1170">
        <f>IF($A1170="",0,IF('TMP Paste'!$B1170="",0,1))</f>
        <v/>
      </c>
      <c r="F1170">
        <f>IF(OR($A1170="",$C1170&lt;1),"",$A1170&amp;"-"&amp;TEXT(($D1170-$C1170+1),"00")&amp;IF($C1170&gt;=2,", "&amp;$A1170&amp;"-"&amp;TEXT(($D1170-$C1170+1)+1,"00"),"")&amp;IF($C1170&gt;=3,", "&amp;$A1170&amp;"-"&amp;TEXT(($D1170-$C1170+1)+2,"00"),"")&amp;IF($C1170&gt;=4,", "&amp;$A1170&amp;"-"&amp;TEXT(($D1170-$C1170+1)+3,"00"),"")&amp;IF($C1170&gt;=5,", "&amp;$A1170&amp;"-"&amp;TEXT(($D1170-$C1170+1)+4,"00"),"")&amp;IF($C1170&gt;=6,", "&amp;$A1170&amp;"-"&amp;TEXT(($D1170-$C1170+1)+5,"00"),"")&amp;IF($C1170&gt;=7,", "&amp;$A1170&amp;"-"&amp;TEXT(($D1170-$C1170+1)+6,"00"),"")&amp;IF($C1170&gt;=8,", "&amp;$A1170&amp;"-"&amp;TEXT(($D1170-$C1170+1)+7,"00"),"")&amp;IF($C1170&gt;=9,", "&amp;$A1170&amp;"-"&amp;TEXT(($D1170-$C1170+1)+8,"00"),"")&amp;IF($C1170&gt;=10,", "&amp;$A1170&amp;"-"&amp;TEXT(($D1170-$C1170+1)+9,"00"),"")&amp;IF($C1170&gt;=11,", "&amp;$A1170&amp;"-"&amp;TEXT(($D1170-$C1170+1)+10,"00"),"")&amp;IF($C1170&gt;=12,", "&amp;$A1170&amp;"-"&amp;TEXT(($D1170-$C1170+1)+11,"00"),"")&amp;IF($C1170&gt;=13,", "&amp;$A1170&amp;"-"&amp;TEXT(($D1170-$C1170+1)+12,"00"),"")&amp;IF($C1170&gt;=14,", "&amp;$A1170&amp;"-"&amp;TEXT(($D1170-$C1170+1)+13,"00"),"")&amp;IF($C1170&gt;=15,", "&amp;$A1170&amp;"-"&amp;TEXT(($D1170-$C1170+1)+14,"00"),"")&amp;IF($C1170&gt;=16,", "&amp;$A1170&amp;"-"&amp;TEXT(($D1170-$C1170+1)+15,"00"),"")&amp;IF($C1170&gt;=17,", "&amp;$A1170&amp;"-"&amp;TEXT(($D1170-$C1170+1)+16,"00"),"")&amp;IF($C1170&gt;=18,", "&amp;$A1170&amp;"-"&amp;TEXT(($D1170-$C1170+1)+17,"00"),"")&amp;IF($C1170&gt;=19,", "&amp;$A1170&amp;"-"&amp;TEXT(($D1170-$C1170+1)+18,"00"),"")&amp;IF($C1170&gt;=20,", "&amp;$A1170&amp;"-"&amp;TEXT(($D1170-$C1170+1)+19,"00"),"")&amp;IF($C1170&gt;=21,", "&amp;$A1170&amp;"-"&amp;TEXT(($D1170-$C1170+1)+20,"00"),"")&amp;IF($C1170&gt;=22,", "&amp;$A1170&amp;"-"&amp;TEXT(($D1170-$C1170+1)+21,"00"),"")&amp;IF($C1170&gt;=23,", "&amp;$A1170&amp;"-"&amp;TEXT(($D1170-$C1170+1)+22,"00"),"")&amp;IF($C1170&gt;=24,", "&amp;$A1170&amp;"-"&amp;TEXT(($D1170-$C1170+1)+23,"00"),"")&amp;IF($C1170&gt;=25,", "&amp;$A1170&amp;"-"&amp;TEXT(($D1170-$C1170+1)+24,"00"),""))</f>
        <v/>
      </c>
      <c r="G1170">
        <f>IF($A1170="","",IF($E1170=1,$F1170,IF($F1170="",$G1169,IF($G1169="",$F1170,$G1169&amp;", "&amp;$F1170))))</f>
        <v/>
      </c>
      <c r="H1170">
        <f>IF($A1170="","",$A1170&amp;" ("&amp;$C1170&amp;")")</f>
        <v/>
      </c>
      <c r="I1170">
        <f>IF($A1170="","",IF($E1170=1,$H1170,$I1169&amp;", "&amp;$H1170))</f>
        <v/>
      </c>
      <c r="J1170">
        <f>IF($A1170="","",IF($E1170=1,$B1170,""))</f>
        <v/>
      </c>
      <c r="K1170">
        <f>IF($A1170="","",IF(COUNTIF($B$2:$B1170,$B1170)=COUNTIF($B$2:$B$1601,$B1170),$B1170,""))</f>
        <v/>
      </c>
    </row>
    <row r="1171">
      <c r="A1171">
        <f>IF('TMP Paste'!$E1171="","",'TMP Paste'!$E1171)</f>
        <v/>
      </c>
      <c r="B1171">
        <f>IF($A1171="","",COUNTIF('TMP Paste'!$B$2:$B1171,"?*"))</f>
        <v/>
      </c>
      <c r="C1171">
        <f>IF($A1171="","",IFERROR('TMP Paste'!$M1171*1,0))</f>
        <v/>
      </c>
      <c r="D1171">
        <f>IF($A1171="","",SUMIF($B$2:$B1171,$B1171,$C$2:$C1171))</f>
        <v/>
      </c>
      <c r="E1171">
        <f>IF($A1171="",0,IF('TMP Paste'!$B1171="",0,1))</f>
        <v/>
      </c>
      <c r="F1171">
        <f>IF(OR($A1171="",$C1171&lt;1),"",$A1171&amp;"-"&amp;TEXT(($D1171-$C1171+1),"00")&amp;IF($C1171&gt;=2,", "&amp;$A1171&amp;"-"&amp;TEXT(($D1171-$C1171+1)+1,"00"),"")&amp;IF($C1171&gt;=3,", "&amp;$A1171&amp;"-"&amp;TEXT(($D1171-$C1171+1)+2,"00"),"")&amp;IF($C1171&gt;=4,", "&amp;$A1171&amp;"-"&amp;TEXT(($D1171-$C1171+1)+3,"00"),"")&amp;IF($C1171&gt;=5,", "&amp;$A1171&amp;"-"&amp;TEXT(($D1171-$C1171+1)+4,"00"),"")&amp;IF($C1171&gt;=6,", "&amp;$A1171&amp;"-"&amp;TEXT(($D1171-$C1171+1)+5,"00"),"")&amp;IF($C1171&gt;=7,", "&amp;$A1171&amp;"-"&amp;TEXT(($D1171-$C1171+1)+6,"00"),"")&amp;IF($C1171&gt;=8,", "&amp;$A1171&amp;"-"&amp;TEXT(($D1171-$C1171+1)+7,"00"),"")&amp;IF($C1171&gt;=9,", "&amp;$A1171&amp;"-"&amp;TEXT(($D1171-$C1171+1)+8,"00"),"")&amp;IF($C1171&gt;=10,", "&amp;$A1171&amp;"-"&amp;TEXT(($D1171-$C1171+1)+9,"00"),"")&amp;IF($C1171&gt;=11,", "&amp;$A1171&amp;"-"&amp;TEXT(($D1171-$C1171+1)+10,"00"),"")&amp;IF($C1171&gt;=12,", "&amp;$A1171&amp;"-"&amp;TEXT(($D1171-$C1171+1)+11,"00"),"")&amp;IF($C1171&gt;=13,", "&amp;$A1171&amp;"-"&amp;TEXT(($D1171-$C1171+1)+12,"00"),"")&amp;IF($C1171&gt;=14,", "&amp;$A1171&amp;"-"&amp;TEXT(($D1171-$C1171+1)+13,"00"),"")&amp;IF($C1171&gt;=15,", "&amp;$A1171&amp;"-"&amp;TEXT(($D1171-$C1171+1)+14,"00"),"")&amp;IF($C1171&gt;=16,", "&amp;$A1171&amp;"-"&amp;TEXT(($D1171-$C1171+1)+15,"00"),"")&amp;IF($C1171&gt;=17,", "&amp;$A1171&amp;"-"&amp;TEXT(($D1171-$C1171+1)+16,"00"),"")&amp;IF($C1171&gt;=18,", "&amp;$A1171&amp;"-"&amp;TEXT(($D1171-$C1171+1)+17,"00"),"")&amp;IF($C1171&gt;=19,", "&amp;$A1171&amp;"-"&amp;TEXT(($D1171-$C1171+1)+18,"00"),"")&amp;IF($C1171&gt;=20,", "&amp;$A1171&amp;"-"&amp;TEXT(($D1171-$C1171+1)+19,"00"),"")&amp;IF($C1171&gt;=21,", "&amp;$A1171&amp;"-"&amp;TEXT(($D1171-$C1171+1)+20,"00"),"")&amp;IF($C1171&gt;=22,", "&amp;$A1171&amp;"-"&amp;TEXT(($D1171-$C1171+1)+21,"00"),"")&amp;IF($C1171&gt;=23,", "&amp;$A1171&amp;"-"&amp;TEXT(($D1171-$C1171+1)+22,"00"),"")&amp;IF($C1171&gt;=24,", "&amp;$A1171&amp;"-"&amp;TEXT(($D1171-$C1171+1)+23,"00"),"")&amp;IF($C1171&gt;=25,", "&amp;$A1171&amp;"-"&amp;TEXT(($D1171-$C1171+1)+24,"00"),""))</f>
        <v/>
      </c>
      <c r="G1171">
        <f>IF($A1171="","",IF($E1171=1,$F1171,IF($F1171="",$G1170,IF($G1170="",$F1171,$G1170&amp;", "&amp;$F1171))))</f>
        <v/>
      </c>
      <c r="H1171">
        <f>IF($A1171="","",$A1171&amp;" ("&amp;$C1171&amp;")")</f>
        <v/>
      </c>
      <c r="I1171">
        <f>IF($A1171="","",IF($E1171=1,$H1171,$I1170&amp;", "&amp;$H1171))</f>
        <v/>
      </c>
      <c r="J1171">
        <f>IF($A1171="","",IF($E1171=1,$B1171,""))</f>
        <v/>
      </c>
      <c r="K1171">
        <f>IF($A1171="","",IF(COUNTIF($B$2:$B1171,$B1171)=COUNTIF($B$2:$B$1601,$B1171),$B1171,""))</f>
        <v/>
      </c>
    </row>
    <row r="1172">
      <c r="A1172">
        <f>IF('TMP Paste'!$E1172="","",'TMP Paste'!$E1172)</f>
        <v/>
      </c>
      <c r="B1172">
        <f>IF($A1172="","",COUNTIF('TMP Paste'!$B$2:$B1172,"?*"))</f>
        <v/>
      </c>
      <c r="C1172">
        <f>IF($A1172="","",IFERROR('TMP Paste'!$M1172*1,0))</f>
        <v/>
      </c>
      <c r="D1172">
        <f>IF($A1172="","",SUMIF($B$2:$B1172,$B1172,$C$2:$C1172))</f>
        <v/>
      </c>
      <c r="E1172">
        <f>IF($A1172="",0,IF('TMP Paste'!$B1172="",0,1))</f>
        <v/>
      </c>
      <c r="F1172">
        <f>IF(OR($A1172="",$C1172&lt;1),"",$A1172&amp;"-"&amp;TEXT(($D1172-$C1172+1),"00")&amp;IF($C1172&gt;=2,", "&amp;$A1172&amp;"-"&amp;TEXT(($D1172-$C1172+1)+1,"00"),"")&amp;IF($C1172&gt;=3,", "&amp;$A1172&amp;"-"&amp;TEXT(($D1172-$C1172+1)+2,"00"),"")&amp;IF($C1172&gt;=4,", "&amp;$A1172&amp;"-"&amp;TEXT(($D1172-$C1172+1)+3,"00"),"")&amp;IF($C1172&gt;=5,", "&amp;$A1172&amp;"-"&amp;TEXT(($D1172-$C1172+1)+4,"00"),"")&amp;IF($C1172&gt;=6,", "&amp;$A1172&amp;"-"&amp;TEXT(($D1172-$C1172+1)+5,"00"),"")&amp;IF($C1172&gt;=7,", "&amp;$A1172&amp;"-"&amp;TEXT(($D1172-$C1172+1)+6,"00"),"")&amp;IF($C1172&gt;=8,", "&amp;$A1172&amp;"-"&amp;TEXT(($D1172-$C1172+1)+7,"00"),"")&amp;IF($C1172&gt;=9,", "&amp;$A1172&amp;"-"&amp;TEXT(($D1172-$C1172+1)+8,"00"),"")&amp;IF($C1172&gt;=10,", "&amp;$A1172&amp;"-"&amp;TEXT(($D1172-$C1172+1)+9,"00"),"")&amp;IF($C1172&gt;=11,", "&amp;$A1172&amp;"-"&amp;TEXT(($D1172-$C1172+1)+10,"00"),"")&amp;IF($C1172&gt;=12,", "&amp;$A1172&amp;"-"&amp;TEXT(($D1172-$C1172+1)+11,"00"),"")&amp;IF($C1172&gt;=13,", "&amp;$A1172&amp;"-"&amp;TEXT(($D1172-$C1172+1)+12,"00"),"")&amp;IF($C1172&gt;=14,", "&amp;$A1172&amp;"-"&amp;TEXT(($D1172-$C1172+1)+13,"00"),"")&amp;IF($C1172&gt;=15,", "&amp;$A1172&amp;"-"&amp;TEXT(($D1172-$C1172+1)+14,"00"),"")&amp;IF($C1172&gt;=16,", "&amp;$A1172&amp;"-"&amp;TEXT(($D1172-$C1172+1)+15,"00"),"")&amp;IF($C1172&gt;=17,", "&amp;$A1172&amp;"-"&amp;TEXT(($D1172-$C1172+1)+16,"00"),"")&amp;IF($C1172&gt;=18,", "&amp;$A1172&amp;"-"&amp;TEXT(($D1172-$C1172+1)+17,"00"),"")&amp;IF($C1172&gt;=19,", "&amp;$A1172&amp;"-"&amp;TEXT(($D1172-$C1172+1)+18,"00"),"")&amp;IF($C1172&gt;=20,", "&amp;$A1172&amp;"-"&amp;TEXT(($D1172-$C1172+1)+19,"00"),"")&amp;IF($C1172&gt;=21,", "&amp;$A1172&amp;"-"&amp;TEXT(($D1172-$C1172+1)+20,"00"),"")&amp;IF($C1172&gt;=22,", "&amp;$A1172&amp;"-"&amp;TEXT(($D1172-$C1172+1)+21,"00"),"")&amp;IF($C1172&gt;=23,", "&amp;$A1172&amp;"-"&amp;TEXT(($D1172-$C1172+1)+22,"00"),"")&amp;IF($C1172&gt;=24,", "&amp;$A1172&amp;"-"&amp;TEXT(($D1172-$C1172+1)+23,"00"),"")&amp;IF($C1172&gt;=25,", "&amp;$A1172&amp;"-"&amp;TEXT(($D1172-$C1172+1)+24,"00"),""))</f>
        <v/>
      </c>
      <c r="G1172">
        <f>IF($A1172="","",IF($E1172=1,$F1172,IF($F1172="",$G1171,IF($G1171="",$F1172,$G1171&amp;", "&amp;$F1172))))</f>
        <v/>
      </c>
      <c r="H1172">
        <f>IF($A1172="","",$A1172&amp;" ("&amp;$C1172&amp;")")</f>
        <v/>
      </c>
      <c r="I1172">
        <f>IF($A1172="","",IF($E1172=1,$H1172,$I1171&amp;", "&amp;$H1172))</f>
        <v/>
      </c>
      <c r="J1172">
        <f>IF($A1172="","",IF($E1172=1,$B1172,""))</f>
        <v/>
      </c>
      <c r="K1172">
        <f>IF($A1172="","",IF(COUNTIF($B$2:$B1172,$B1172)=COUNTIF($B$2:$B$1601,$B1172),$B1172,""))</f>
        <v/>
      </c>
    </row>
    <row r="1173">
      <c r="A1173">
        <f>IF('TMP Paste'!$E1173="","",'TMP Paste'!$E1173)</f>
        <v/>
      </c>
      <c r="B1173">
        <f>IF($A1173="","",COUNTIF('TMP Paste'!$B$2:$B1173,"?*"))</f>
        <v/>
      </c>
      <c r="C1173">
        <f>IF($A1173="","",IFERROR('TMP Paste'!$M1173*1,0))</f>
        <v/>
      </c>
      <c r="D1173">
        <f>IF($A1173="","",SUMIF($B$2:$B1173,$B1173,$C$2:$C1173))</f>
        <v/>
      </c>
      <c r="E1173">
        <f>IF($A1173="",0,IF('TMP Paste'!$B1173="",0,1))</f>
        <v/>
      </c>
      <c r="F1173">
        <f>IF(OR($A1173="",$C1173&lt;1),"",$A1173&amp;"-"&amp;TEXT(($D1173-$C1173+1),"00")&amp;IF($C1173&gt;=2,", "&amp;$A1173&amp;"-"&amp;TEXT(($D1173-$C1173+1)+1,"00"),"")&amp;IF($C1173&gt;=3,", "&amp;$A1173&amp;"-"&amp;TEXT(($D1173-$C1173+1)+2,"00"),"")&amp;IF($C1173&gt;=4,", "&amp;$A1173&amp;"-"&amp;TEXT(($D1173-$C1173+1)+3,"00"),"")&amp;IF($C1173&gt;=5,", "&amp;$A1173&amp;"-"&amp;TEXT(($D1173-$C1173+1)+4,"00"),"")&amp;IF($C1173&gt;=6,", "&amp;$A1173&amp;"-"&amp;TEXT(($D1173-$C1173+1)+5,"00"),"")&amp;IF($C1173&gt;=7,", "&amp;$A1173&amp;"-"&amp;TEXT(($D1173-$C1173+1)+6,"00"),"")&amp;IF($C1173&gt;=8,", "&amp;$A1173&amp;"-"&amp;TEXT(($D1173-$C1173+1)+7,"00"),"")&amp;IF($C1173&gt;=9,", "&amp;$A1173&amp;"-"&amp;TEXT(($D1173-$C1173+1)+8,"00"),"")&amp;IF($C1173&gt;=10,", "&amp;$A1173&amp;"-"&amp;TEXT(($D1173-$C1173+1)+9,"00"),"")&amp;IF($C1173&gt;=11,", "&amp;$A1173&amp;"-"&amp;TEXT(($D1173-$C1173+1)+10,"00"),"")&amp;IF($C1173&gt;=12,", "&amp;$A1173&amp;"-"&amp;TEXT(($D1173-$C1173+1)+11,"00"),"")&amp;IF($C1173&gt;=13,", "&amp;$A1173&amp;"-"&amp;TEXT(($D1173-$C1173+1)+12,"00"),"")&amp;IF($C1173&gt;=14,", "&amp;$A1173&amp;"-"&amp;TEXT(($D1173-$C1173+1)+13,"00"),"")&amp;IF($C1173&gt;=15,", "&amp;$A1173&amp;"-"&amp;TEXT(($D1173-$C1173+1)+14,"00"),"")&amp;IF($C1173&gt;=16,", "&amp;$A1173&amp;"-"&amp;TEXT(($D1173-$C1173+1)+15,"00"),"")&amp;IF($C1173&gt;=17,", "&amp;$A1173&amp;"-"&amp;TEXT(($D1173-$C1173+1)+16,"00"),"")&amp;IF($C1173&gt;=18,", "&amp;$A1173&amp;"-"&amp;TEXT(($D1173-$C1173+1)+17,"00"),"")&amp;IF($C1173&gt;=19,", "&amp;$A1173&amp;"-"&amp;TEXT(($D1173-$C1173+1)+18,"00"),"")&amp;IF($C1173&gt;=20,", "&amp;$A1173&amp;"-"&amp;TEXT(($D1173-$C1173+1)+19,"00"),"")&amp;IF($C1173&gt;=21,", "&amp;$A1173&amp;"-"&amp;TEXT(($D1173-$C1173+1)+20,"00"),"")&amp;IF($C1173&gt;=22,", "&amp;$A1173&amp;"-"&amp;TEXT(($D1173-$C1173+1)+21,"00"),"")&amp;IF($C1173&gt;=23,", "&amp;$A1173&amp;"-"&amp;TEXT(($D1173-$C1173+1)+22,"00"),"")&amp;IF($C1173&gt;=24,", "&amp;$A1173&amp;"-"&amp;TEXT(($D1173-$C1173+1)+23,"00"),"")&amp;IF($C1173&gt;=25,", "&amp;$A1173&amp;"-"&amp;TEXT(($D1173-$C1173+1)+24,"00"),""))</f>
        <v/>
      </c>
      <c r="G1173">
        <f>IF($A1173="","",IF($E1173=1,$F1173,IF($F1173="",$G1172,IF($G1172="",$F1173,$G1172&amp;", "&amp;$F1173))))</f>
        <v/>
      </c>
      <c r="H1173">
        <f>IF($A1173="","",$A1173&amp;" ("&amp;$C1173&amp;")")</f>
        <v/>
      </c>
      <c r="I1173">
        <f>IF($A1173="","",IF($E1173=1,$H1173,$I1172&amp;", "&amp;$H1173))</f>
        <v/>
      </c>
      <c r="J1173">
        <f>IF($A1173="","",IF($E1173=1,$B1173,""))</f>
        <v/>
      </c>
      <c r="K1173">
        <f>IF($A1173="","",IF(COUNTIF($B$2:$B1173,$B1173)=COUNTIF($B$2:$B$1601,$B1173),$B1173,""))</f>
        <v/>
      </c>
    </row>
    <row r="1174">
      <c r="A1174">
        <f>IF('TMP Paste'!$E1174="","",'TMP Paste'!$E1174)</f>
        <v/>
      </c>
      <c r="B1174">
        <f>IF($A1174="","",COUNTIF('TMP Paste'!$B$2:$B1174,"?*"))</f>
        <v/>
      </c>
      <c r="C1174">
        <f>IF($A1174="","",IFERROR('TMP Paste'!$M1174*1,0))</f>
        <v/>
      </c>
      <c r="D1174">
        <f>IF($A1174="","",SUMIF($B$2:$B1174,$B1174,$C$2:$C1174))</f>
        <v/>
      </c>
      <c r="E1174">
        <f>IF($A1174="",0,IF('TMP Paste'!$B1174="",0,1))</f>
        <v/>
      </c>
      <c r="F1174">
        <f>IF(OR($A1174="",$C1174&lt;1),"",$A1174&amp;"-"&amp;TEXT(($D1174-$C1174+1),"00")&amp;IF($C1174&gt;=2,", "&amp;$A1174&amp;"-"&amp;TEXT(($D1174-$C1174+1)+1,"00"),"")&amp;IF($C1174&gt;=3,", "&amp;$A1174&amp;"-"&amp;TEXT(($D1174-$C1174+1)+2,"00"),"")&amp;IF($C1174&gt;=4,", "&amp;$A1174&amp;"-"&amp;TEXT(($D1174-$C1174+1)+3,"00"),"")&amp;IF($C1174&gt;=5,", "&amp;$A1174&amp;"-"&amp;TEXT(($D1174-$C1174+1)+4,"00"),"")&amp;IF($C1174&gt;=6,", "&amp;$A1174&amp;"-"&amp;TEXT(($D1174-$C1174+1)+5,"00"),"")&amp;IF($C1174&gt;=7,", "&amp;$A1174&amp;"-"&amp;TEXT(($D1174-$C1174+1)+6,"00"),"")&amp;IF($C1174&gt;=8,", "&amp;$A1174&amp;"-"&amp;TEXT(($D1174-$C1174+1)+7,"00"),"")&amp;IF($C1174&gt;=9,", "&amp;$A1174&amp;"-"&amp;TEXT(($D1174-$C1174+1)+8,"00"),"")&amp;IF($C1174&gt;=10,", "&amp;$A1174&amp;"-"&amp;TEXT(($D1174-$C1174+1)+9,"00"),"")&amp;IF($C1174&gt;=11,", "&amp;$A1174&amp;"-"&amp;TEXT(($D1174-$C1174+1)+10,"00"),"")&amp;IF($C1174&gt;=12,", "&amp;$A1174&amp;"-"&amp;TEXT(($D1174-$C1174+1)+11,"00"),"")&amp;IF($C1174&gt;=13,", "&amp;$A1174&amp;"-"&amp;TEXT(($D1174-$C1174+1)+12,"00"),"")&amp;IF($C1174&gt;=14,", "&amp;$A1174&amp;"-"&amp;TEXT(($D1174-$C1174+1)+13,"00"),"")&amp;IF($C1174&gt;=15,", "&amp;$A1174&amp;"-"&amp;TEXT(($D1174-$C1174+1)+14,"00"),"")&amp;IF($C1174&gt;=16,", "&amp;$A1174&amp;"-"&amp;TEXT(($D1174-$C1174+1)+15,"00"),"")&amp;IF($C1174&gt;=17,", "&amp;$A1174&amp;"-"&amp;TEXT(($D1174-$C1174+1)+16,"00"),"")&amp;IF($C1174&gt;=18,", "&amp;$A1174&amp;"-"&amp;TEXT(($D1174-$C1174+1)+17,"00"),"")&amp;IF($C1174&gt;=19,", "&amp;$A1174&amp;"-"&amp;TEXT(($D1174-$C1174+1)+18,"00"),"")&amp;IF($C1174&gt;=20,", "&amp;$A1174&amp;"-"&amp;TEXT(($D1174-$C1174+1)+19,"00"),"")&amp;IF($C1174&gt;=21,", "&amp;$A1174&amp;"-"&amp;TEXT(($D1174-$C1174+1)+20,"00"),"")&amp;IF($C1174&gt;=22,", "&amp;$A1174&amp;"-"&amp;TEXT(($D1174-$C1174+1)+21,"00"),"")&amp;IF($C1174&gt;=23,", "&amp;$A1174&amp;"-"&amp;TEXT(($D1174-$C1174+1)+22,"00"),"")&amp;IF($C1174&gt;=24,", "&amp;$A1174&amp;"-"&amp;TEXT(($D1174-$C1174+1)+23,"00"),"")&amp;IF($C1174&gt;=25,", "&amp;$A1174&amp;"-"&amp;TEXT(($D1174-$C1174+1)+24,"00"),""))</f>
        <v/>
      </c>
      <c r="G1174">
        <f>IF($A1174="","",IF($E1174=1,$F1174,IF($F1174="",$G1173,IF($G1173="",$F1174,$G1173&amp;", "&amp;$F1174))))</f>
        <v/>
      </c>
      <c r="H1174">
        <f>IF($A1174="","",$A1174&amp;" ("&amp;$C1174&amp;")")</f>
        <v/>
      </c>
      <c r="I1174">
        <f>IF($A1174="","",IF($E1174=1,$H1174,$I1173&amp;", "&amp;$H1174))</f>
        <v/>
      </c>
      <c r="J1174">
        <f>IF($A1174="","",IF($E1174=1,$B1174,""))</f>
        <v/>
      </c>
      <c r="K1174">
        <f>IF($A1174="","",IF(COUNTIF($B$2:$B1174,$B1174)=COUNTIF($B$2:$B$1601,$B1174),$B1174,""))</f>
        <v/>
      </c>
    </row>
    <row r="1175">
      <c r="A1175">
        <f>IF('TMP Paste'!$E1175="","",'TMP Paste'!$E1175)</f>
        <v/>
      </c>
      <c r="B1175">
        <f>IF($A1175="","",COUNTIF('TMP Paste'!$B$2:$B1175,"?*"))</f>
        <v/>
      </c>
      <c r="C1175">
        <f>IF($A1175="","",IFERROR('TMP Paste'!$M1175*1,0))</f>
        <v/>
      </c>
      <c r="D1175">
        <f>IF($A1175="","",SUMIF($B$2:$B1175,$B1175,$C$2:$C1175))</f>
        <v/>
      </c>
      <c r="E1175">
        <f>IF($A1175="",0,IF('TMP Paste'!$B1175="",0,1))</f>
        <v/>
      </c>
      <c r="F1175">
        <f>IF(OR($A1175="",$C1175&lt;1),"",$A1175&amp;"-"&amp;TEXT(($D1175-$C1175+1),"00")&amp;IF($C1175&gt;=2,", "&amp;$A1175&amp;"-"&amp;TEXT(($D1175-$C1175+1)+1,"00"),"")&amp;IF($C1175&gt;=3,", "&amp;$A1175&amp;"-"&amp;TEXT(($D1175-$C1175+1)+2,"00"),"")&amp;IF($C1175&gt;=4,", "&amp;$A1175&amp;"-"&amp;TEXT(($D1175-$C1175+1)+3,"00"),"")&amp;IF($C1175&gt;=5,", "&amp;$A1175&amp;"-"&amp;TEXT(($D1175-$C1175+1)+4,"00"),"")&amp;IF($C1175&gt;=6,", "&amp;$A1175&amp;"-"&amp;TEXT(($D1175-$C1175+1)+5,"00"),"")&amp;IF($C1175&gt;=7,", "&amp;$A1175&amp;"-"&amp;TEXT(($D1175-$C1175+1)+6,"00"),"")&amp;IF($C1175&gt;=8,", "&amp;$A1175&amp;"-"&amp;TEXT(($D1175-$C1175+1)+7,"00"),"")&amp;IF($C1175&gt;=9,", "&amp;$A1175&amp;"-"&amp;TEXT(($D1175-$C1175+1)+8,"00"),"")&amp;IF($C1175&gt;=10,", "&amp;$A1175&amp;"-"&amp;TEXT(($D1175-$C1175+1)+9,"00"),"")&amp;IF($C1175&gt;=11,", "&amp;$A1175&amp;"-"&amp;TEXT(($D1175-$C1175+1)+10,"00"),"")&amp;IF($C1175&gt;=12,", "&amp;$A1175&amp;"-"&amp;TEXT(($D1175-$C1175+1)+11,"00"),"")&amp;IF($C1175&gt;=13,", "&amp;$A1175&amp;"-"&amp;TEXT(($D1175-$C1175+1)+12,"00"),"")&amp;IF($C1175&gt;=14,", "&amp;$A1175&amp;"-"&amp;TEXT(($D1175-$C1175+1)+13,"00"),"")&amp;IF($C1175&gt;=15,", "&amp;$A1175&amp;"-"&amp;TEXT(($D1175-$C1175+1)+14,"00"),"")&amp;IF($C1175&gt;=16,", "&amp;$A1175&amp;"-"&amp;TEXT(($D1175-$C1175+1)+15,"00"),"")&amp;IF($C1175&gt;=17,", "&amp;$A1175&amp;"-"&amp;TEXT(($D1175-$C1175+1)+16,"00"),"")&amp;IF($C1175&gt;=18,", "&amp;$A1175&amp;"-"&amp;TEXT(($D1175-$C1175+1)+17,"00"),"")&amp;IF($C1175&gt;=19,", "&amp;$A1175&amp;"-"&amp;TEXT(($D1175-$C1175+1)+18,"00"),"")&amp;IF($C1175&gt;=20,", "&amp;$A1175&amp;"-"&amp;TEXT(($D1175-$C1175+1)+19,"00"),"")&amp;IF($C1175&gt;=21,", "&amp;$A1175&amp;"-"&amp;TEXT(($D1175-$C1175+1)+20,"00"),"")&amp;IF($C1175&gt;=22,", "&amp;$A1175&amp;"-"&amp;TEXT(($D1175-$C1175+1)+21,"00"),"")&amp;IF($C1175&gt;=23,", "&amp;$A1175&amp;"-"&amp;TEXT(($D1175-$C1175+1)+22,"00"),"")&amp;IF($C1175&gt;=24,", "&amp;$A1175&amp;"-"&amp;TEXT(($D1175-$C1175+1)+23,"00"),"")&amp;IF($C1175&gt;=25,", "&amp;$A1175&amp;"-"&amp;TEXT(($D1175-$C1175+1)+24,"00"),""))</f>
        <v/>
      </c>
      <c r="G1175">
        <f>IF($A1175="","",IF($E1175=1,$F1175,IF($F1175="",$G1174,IF($G1174="",$F1175,$G1174&amp;", "&amp;$F1175))))</f>
        <v/>
      </c>
      <c r="H1175">
        <f>IF($A1175="","",$A1175&amp;" ("&amp;$C1175&amp;")")</f>
        <v/>
      </c>
      <c r="I1175">
        <f>IF($A1175="","",IF($E1175=1,$H1175,$I1174&amp;", "&amp;$H1175))</f>
        <v/>
      </c>
      <c r="J1175">
        <f>IF($A1175="","",IF($E1175=1,$B1175,""))</f>
        <v/>
      </c>
      <c r="K1175">
        <f>IF($A1175="","",IF(COUNTIF($B$2:$B1175,$B1175)=COUNTIF($B$2:$B$1601,$B1175),$B1175,""))</f>
        <v/>
      </c>
    </row>
    <row r="1176">
      <c r="A1176">
        <f>IF('TMP Paste'!$E1176="","",'TMP Paste'!$E1176)</f>
        <v/>
      </c>
      <c r="B1176">
        <f>IF($A1176="","",COUNTIF('TMP Paste'!$B$2:$B1176,"?*"))</f>
        <v/>
      </c>
      <c r="C1176">
        <f>IF($A1176="","",IFERROR('TMP Paste'!$M1176*1,0))</f>
        <v/>
      </c>
      <c r="D1176">
        <f>IF($A1176="","",SUMIF($B$2:$B1176,$B1176,$C$2:$C1176))</f>
        <v/>
      </c>
      <c r="E1176">
        <f>IF($A1176="",0,IF('TMP Paste'!$B1176="",0,1))</f>
        <v/>
      </c>
      <c r="F1176">
        <f>IF(OR($A1176="",$C1176&lt;1),"",$A1176&amp;"-"&amp;TEXT(($D1176-$C1176+1),"00")&amp;IF($C1176&gt;=2,", "&amp;$A1176&amp;"-"&amp;TEXT(($D1176-$C1176+1)+1,"00"),"")&amp;IF($C1176&gt;=3,", "&amp;$A1176&amp;"-"&amp;TEXT(($D1176-$C1176+1)+2,"00"),"")&amp;IF($C1176&gt;=4,", "&amp;$A1176&amp;"-"&amp;TEXT(($D1176-$C1176+1)+3,"00"),"")&amp;IF($C1176&gt;=5,", "&amp;$A1176&amp;"-"&amp;TEXT(($D1176-$C1176+1)+4,"00"),"")&amp;IF($C1176&gt;=6,", "&amp;$A1176&amp;"-"&amp;TEXT(($D1176-$C1176+1)+5,"00"),"")&amp;IF($C1176&gt;=7,", "&amp;$A1176&amp;"-"&amp;TEXT(($D1176-$C1176+1)+6,"00"),"")&amp;IF($C1176&gt;=8,", "&amp;$A1176&amp;"-"&amp;TEXT(($D1176-$C1176+1)+7,"00"),"")&amp;IF($C1176&gt;=9,", "&amp;$A1176&amp;"-"&amp;TEXT(($D1176-$C1176+1)+8,"00"),"")&amp;IF($C1176&gt;=10,", "&amp;$A1176&amp;"-"&amp;TEXT(($D1176-$C1176+1)+9,"00"),"")&amp;IF($C1176&gt;=11,", "&amp;$A1176&amp;"-"&amp;TEXT(($D1176-$C1176+1)+10,"00"),"")&amp;IF($C1176&gt;=12,", "&amp;$A1176&amp;"-"&amp;TEXT(($D1176-$C1176+1)+11,"00"),"")&amp;IF($C1176&gt;=13,", "&amp;$A1176&amp;"-"&amp;TEXT(($D1176-$C1176+1)+12,"00"),"")&amp;IF($C1176&gt;=14,", "&amp;$A1176&amp;"-"&amp;TEXT(($D1176-$C1176+1)+13,"00"),"")&amp;IF($C1176&gt;=15,", "&amp;$A1176&amp;"-"&amp;TEXT(($D1176-$C1176+1)+14,"00"),"")&amp;IF($C1176&gt;=16,", "&amp;$A1176&amp;"-"&amp;TEXT(($D1176-$C1176+1)+15,"00"),"")&amp;IF($C1176&gt;=17,", "&amp;$A1176&amp;"-"&amp;TEXT(($D1176-$C1176+1)+16,"00"),"")&amp;IF($C1176&gt;=18,", "&amp;$A1176&amp;"-"&amp;TEXT(($D1176-$C1176+1)+17,"00"),"")&amp;IF($C1176&gt;=19,", "&amp;$A1176&amp;"-"&amp;TEXT(($D1176-$C1176+1)+18,"00"),"")&amp;IF($C1176&gt;=20,", "&amp;$A1176&amp;"-"&amp;TEXT(($D1176-$C1176+1)+19,"00"),"")&amp;IF($C1176&gt;=21,", "&amp;$A1176&amp;"-"&amp;TEXT(($D1176-$C1176+1)+20,"00"),"")&amp;IF($C1176&gt;=22,", "&amp;$A1176&amp;"-"&amp;TEXT(($D1176-$C1176+1)+21,"00"),"")&amp;IF($C1176&gt;=23,", "&amp;$A1176&amp;"-"&amp;TEXT(($D1176-$C1176+1)+22,"00"),"")&amp;IF($C1176&gt;=24,", "&amp;$A1176&amp;"-"&amp;TEXT(($D1176-$C1176+1)+23,"00"),"")&amp;IF($C1176&gt;=25,", "&amp;$A1176&amp;"-"&amp;TEXT(($D1176-$C1176+1)+24,"00"),""))</f>
        <v/>
      </c>
      <c r="G1176">
        <f>IF($A1176="","",IF($E1176=1,$F1176,IF($F1176="",$G1175,IF($G1175="",$F1176,$G1175&amp;", "&amp;$F1176))))</f>
        <v/>
      </c>
      <c r="H1176">
        <f>IF($A1176="","",$A1176&amp;" ("&amp;$C1176&amp;")")</f>
        <v/>
      </c>
      <c r="I1176">
        <f>IF($A1176="","",IF($E1176=1,$H1176,$I1175&amp;", "&amp;$H1176))</f>
        <v/>
      </c>
      <c r="J1176">
        <f>IF($A1176="","",IF($E1176=1,$B1176,""))</f>
        <v/>
      </c>
      <c r="K1176">
        <f>IF($A1176="","",IF(COUNTIF($B$2:$B1176,$B1176)=COUNTIF($B$2:$B$1601,$B1176),$B1176,""))</f>
        <v/>
      </c>
    </row>
    <row r="1177">
      <c r="A1177">
        <f>IF('TMP Paste'!$E1177="","",'TMP Paste'!$E1177)</f>
        <v/>
      </c>
      <c r="B1177">
        <f>IF($A1177="","",COUNTIF('TMP Paste'!$B$2:$B1177,"?*"))</f>
        <v/>
      </c>
      <c r="C1177">
        <f>IF($A1177="","",IFERROR('TMP Paste'!$M1177*1,0))</f>
        <v/>
      </c>
      <c r="D1177">
        <f>IF($A1177="","",SUMIF($B$2:$B1177,$B1177,$C$2:$C1177))</f>
        <v/>
      </c>
      <c r="E1177">
        <f>IF($A1177="",0,IF('TMP Paste'!$B1177="",0,1))</f>
        <v/>
      </c>
      <c r="F1177">
        <f>IF(OR($A1177="",$C1177&lt;1),"",$A1177&amp;"-"&amp;TEXT(($D1177-$C1177+1),"00")&amp;IF($C1177&gt;=2,", "&amp;$A1177&amp;"-"&amp;TEXT(($D1177-$C1177+1)+1,"00"),"")&amp;IF($C1177&gt;=3,", "&amp;$A1177&amp;"-"&amp;TEXT(($D1177-$C1177+1)+2,"00"),"")&amp;IF($C1177&gt;=4,", "&amp;$A1177&amp;"-"&amp;TEXT(($D1177-$C1177+1)+3,"00"),"")&amp;IF($C1177&gt;=5,", "&amp;$A1177&amp;"-"&amp;TEXT(($D1177-$C1177+1)+4,"00"),"")&amp;IF($C1177&gt;=6,", "&amp;$A1177&amp;"-"&amp;TEXT(($D1177-$C1177+1)+5,"00"),"")&amp;IF($C1177&gt;=7,", "&amp;$A1177&amp;"-"&amp;TEXT(($D1177-$C1177+1)+6,"00"),"")&amp;IF($C1177&gt;=8,", "&amp;$A1177&amp;"-"&amp;TEXT(($D1177-$C1177+1)+7,"00"),"")&amp;IF($C1177&gt;=9,", "&amp;$A1177&amp;"-"&amp;TEXT(($D1177-$C1177+1)+8,"00"),"")&amp;IF($C1177&gt;=10,", "&amp;$A1177&amp;"-"&amp;TEXT(($D1177-$C1177+1)+9,"00"),"")&amp;IF($C1177&gt;=11,", "&amp;$A1177&amp;"-"&amp;TEXT(($D1177-$C1177+1)+10,"00"),"")&amp;IF($C1177&gt;=12,", "&amp;$A1177&amp;"-"&amp;TEXT(($D1177-$C1177+1)+11,"00"),"")&amp;IF($C1177&gt;=13,", "&amp;$A1177&amp;"-"&amp;TEXT(($D1177-$C1177+1)+12,"00"),"")&amp;IF($C1177&gt;=14,", "&amp;$A1177&amp;"-"&amp;TEXT(($D1177-$C1177+1)+13,"00"),"")&amp;IF($C1177&gt;=15,", "&amp;$A1177&amp;"-"&amp;TEXT(($D1177-$C1177+1)+14,"00"),"")&amp;IF($C1177&gt;=16,", "&amp;$A1177&amp;"-"&amp;TEXT(($D1177-$C1177+1)+15,"00"),"")&amp;IF($C1177&gt;=17,", "&amp;$A1177&amp;"-"&amp;TEXT(($D1177-$C1177+1)+16,"00"),"")&amp;IF($C1177&gt;=18,", "&amp;$A1177&amp;"-"&amp;TEXT(($D1177-$C1177+1)+17,"00"),"")&amp;IF($C1177&gt;=19,", "&amp;$A1177&amp;"-"&amp;TEXT(($D1177-$C1177+1)+18,"00"),"")&amp;IF($C1177&gt;=20,", "&amp;$A1177&amp;"-"&amp;TEXT(($D1177-$C1177+1)+19,"00"),"")&amp;IF($C1177&gt;=21,", "&amp;$A1177&amp;"-"&amp;TEXT(($D1177-$C1177+1)+20,"00"),"")&amp;IF($C1177&gt;=22,", "&amp;$A1177&amp;"-"&amp;TEXT(($D1177-$C1177+1)+21,"00"),"")&amp;IF($C1177&gt;=23,", "&amp;$A1177&amp;"-"&amp;TEXT(($D1177-$C1177+1)+22,"00"),"")&amp;IF($C1177&gt;=24,", "&amp;$A1177&amp;"-"&amp;TEXT(($D1177-$C1177+1)+23,"00"),"")&amp;IF($C1177&gt;=25,", "&amp;$A1177&amp;"-"&amp;TEXT(($D1177-$C1177+1)+24,"00"),""))</f>
        <v/>
      </c>
      <c r="G1177">
        <f>IF($A1177="","",IF($E1177=1,$F1177,IF($F1177="",$G1176,IF($G1176="",$F1177,$G1176&amp;", "&amp;$F1177))))</f>
        <v/>
      </c>
      <c r="H1177">
        <f>IF($A1177="","",$A1177&amp;" ("&amp;$C1177&amp;")")</f>
        <v/>
      </c>
      <c r="I1177">
        <f>IF($A1177="","",IF($E1177=1,$H1177,$I1176&amp;", "&amp;$H1177))</f>
        <v/>
      </c>
      <c r="J1177">
        <f>IF($A1177="","",IF($E1177=1,$B1177,""))</f>
        <v/>
      </c>
      <c r="K1177">
        <f>IF($A1177="","",IF(COUNTIF($B$2:$B1177,$B1177)=COUNTIF($B$2:$B$1601,$B1177),$B1177,""))</f>
        <v/>
      </c>
    </row>
    <row r="1178">
      <c r="A1178">
        <f>IF('TMP Paste'!$E1178="","",'TMP Paste'!$E1178)</f>
        <v/>
      </c>
      <c r="B1178">
        <f>IF($A1178="","",COUNTIF('TMP Paste'!$B$2:$B1178,"?*"))</f>
        <v/>
      </c>
      <c r="C1178">
        <f>IF($A1178="","",IFERROR('TMP Paste'!$M1178*1,0))</f>
        <v/>
      </c>
      <c r="D1178">
        <f>IF($A1178="","",SUMIF($B$2:$B1178,$B1178,$C$2:$C1178))</f>
        <v/>
      </c>
      <c r="E1178">
        <f>IF($A1178="",0,IF('TMP Paste'!$B1178="",0,1))</f>
        <v/>
      </c>
      <c r="F1178">
        <f>IF(OR($A1178="",$C1178&lt;1),"",$A1178&amp;"-"&amp;TEXT(($D1178-$C1178+1),"00")&amp;IF($C1178&gt;=2,", "&amp;$A1178&amp;"-"&amp;TEXT(($D1178-$C1178+1)+1,"00"),"")&amp;IF($C1178&gt;=3,", "&amp;$A1178&amp;"-"&amp;TEXT(($D1178-$C1178+1)+2,"00"),"")&amp;IF($C1178&gt;=4,", "&amp;$A1178&amp;"-"&amp;TEXT(($D1178-$C1178+1)+3,"00"),"")&amp;IF($C1178&gt;=5,", "&amp;$A1178&amp;"-"&amp;TEXT(($D1178-$C1178+1)+4,"00"),"")&amp;IF($C1178&gt;=6,", "&amp;$A1178&amp;"-"&amp;TEXT(($D1178-$C1178+1)+5,"00"),"")&amp;IF($C1178&gt;=7,", "&amp;$A1178&amp;"-"&amp;TEXT(($D1178-$C1178+1)+6,"00"),"")&amp;IF($C1178&gt;=8,", "&amp;$A1178&amp;"-"&amp;TEXT(($D1178-$C1178+1)+7,"00"),"")&amp;IF($C1178&gt;=9,", "&amp;$A1178&amp;"-"&amp;TEXT(($D1178-$C1178+1)+8,"00"),"")&amp;IF($C1178&gt;=10,", "&amp;$A1178&amp;"-"&amp;TEXT(($D1178-$C1178+1)+9,"00"),"")&amp;IF($C1178&gt;=11,", "&amp;$A1178&amp;"-"&amp;TEXT(($D1178-$C1178+1)+10,"00"),"")&amp;IF($C1178&gt;=12,", "&amp;$A1178&amp;"-"&amp;TEXT(($D1178-$C1178+1)+11,"00"),"")&amp;IF($C1178&gt;=13,", "&amp;$A1178&amp;"-"&amp;TEXT(($D1178-$C1178+1)+12,"00"),"")&amp;IF($C1178&gt;=14,", "&amp;$A1178&amp;"-"&amp;TEXT(($D1178-$C1178+1)+13,"00"),"")&amp;IF($C1178&gt;=15,", "&amp;$A1178&amp;"-"&amp;TEXT(($D1178-$C1178+1)+14,"00"),"")&amp;IF($C1178&gt;=16,", "&amp;$A1178&amp;"-"&amp;TEXT(($D1178-$C1178+1)+15,"00"),"")&amp;IF($C1178&gt;=17,", "&amp;$A1178&amp;"-"&amp;TEXT(($D1178-$C1178+1)+16,"00"),"")&amp;IF($C1178&gt;=18,", "&amp;$A1178&amp;"-"&amp;TEXT(($D1178-$C1178+1)+17,"00"),"")&amp;IF($C1178&gt;=19,", "&amp;$A1178&amp;"-"&amp;TEXT(($D1178-$C1178+1)+18,"00"),"")&amp;IF($C1178&gt;=20,", "&amp;$A1178&amp;"-"&amp;TEXT(($D1178-$C1178+1)+19,"00"),"")&amp;IF($C1178&gt;=21,", "&amp;$A1178&amp;"-"&amp;TEXT(($D1178-$C1178+1)+20,"00"),"")&amp;IF($C1178&gt;=22,", "&amp;$A1178&amp;"-"&amp;TEXT(($D1178-$C1178+1)+21,"00"),"")&amp;IF($C1178&gt;=23,", "&amp;$A1178&amp;"-"&amp;TEXT(($D1178-$C1178+1)+22,"00"),"")&amp;IF($C1178&gt;=24,", "&amp;$A1178&amp;"-"&amp;TEXT(($D1178-$C1178+1)+23,"00"),"")&amp;IF($C1178&gt;=25,", "&amp;$A1178&amp;"-"&amp;TEXT(($D1178-$C1178+1)+24,"00"),""))</f>
        <v/>
      </c>
      <c r="G1178">
        <f>IF($A1178="","",IF($E1178=1,$F1178,IF($F1178="",$G1177,IF($G1177="",$F1178,$G1177&amp;", "&amp;$F1178))))</f>
        <v/>
      </c>
      <c r="H1178">
        <f>IF($A1178="","",$A1178&amp;" ("&amp;$C1178&amp;")")</f>
        <v/>
      </c>
      <c r="I1178">
        <f>IF($A1178="","",IF($E1178=1,$H1178,$I1177&amp;", "&amp;$H1178))</f>
        <v/>
      </c>
      <c r="J1178">
        <f>IF($A1178="","",IF($E1178=1,$B1178,""))</f>
        <v/>
      </c>
      <c r="K1178">
        <f>IF($A1178="","",IF(COUNTIF($B$2:$B1178,$B1178)=COUNTIF($B$2:$B$1601,$B1178),$B1178,""))</f>
        <v/>
      </c>
    </row>
    <row r="1179">
      <c r="A1179">
        <f>IF('TMP Paste'!$E1179="","",'TMP Paste'!$E1179)</f>
        <v/>
      </c>
      <c r="B1179">
        <f>IF($A1179="","",COUNTIF('TMP Paste'!$B$2:$B1179,"?*"))</f>
        <v/>
      </c>
      <c r="C1179">
        <f>IF($A1179="","",IFERROR('TMP Paste'!$M1179*1,0))</f>
        <v/>
      </c>
      <c r="D1179">
        <f>IF($A1179="","",SUMIF($B$2:$B1179,$B1179,$C$2:$C1179))</f>
        <v/>
      </c>
      <c r="E1179">
        <f>IF($A1179="",0,IF('TMP Paste'!$B1179="",0,1))</f>
        <v/>
      </c>
      <c r="F1179">
        <f>IF(OR($A1179="",$C1179&lt;1),"",$A1179&amp;"-"&amp;TEXT(($D1179-$C1179+1),"00")&amp;IF($C1179&gt;=2,", "&amp;$A1179&amp;"-"&amp;TEXT(($D1179-$C1179+1)+1,"00"),"")&amp;IF($C1179&gt;=3,", "&amp;$A1179&amp;"-"&amp;TEXT(($D1179-$C1179+1)+2,"00"),"")&amp;IF($C1179&gt;=4,", "&amp;$A1179&amp;"-"&amp;TEXT(($D1179-$C1179+1)+3,"00"),"")&amp;IF($C1179&gt;=5,", "&amp;$A1179&amp;"-"&amp;TEXT(($D1179-$C1179+1)+4,"00"),"")&amp;IF($C1179&gt;=6,", "&amp;$A1179&amp;"-"&amp;TEXT(($D1179-$C1179+1)+5,"00"),"")&amp;IF($C1179&gt;=7,", "&amp;$A1179&amp;"-"&amp;TEXT(($D1179-$C1179+1)+6,"00"),"")&amp;IF($C1179&gt;=8,", "&amp;$A1179&amp;"-"&amp;TEXT(($D1179-$C1179+1)+7,"00"),"")&amp;IF($C1179&gt;=9,", "&amp;$A1179&amp;"-"&amp;TEXT(($D1179-$C1179+1)+8,"00"),"")&amp;IF($C1179&gt;=10,", "&amp;$A1179&amp;"-"&amp;TEXT(($D1179-$C1179+1)+9,"00"),"")&amp;IF($C1179&gt;=11,", "&amp;$A1179&amp;"-"&amp;TEXT(($D1179-$C1179+1)+10,"00"),"")&amp;IF($C1179&gt;=12,", "&amp;$A1179&amp;"-"&amp;TEXT(($D1179-$C1179+1)+11,"00"),"")&amp;IF($C1179&gt;=13,", "&amp;$A1179&amp;"-"&amp;TEXT(($D1179-$C1179+1)+12,"00"),"")&amp;IF($C1179&gt;=14,", "&amp;$A1179&amp;"-"&amp;TEXT(($D1179-$C1179+1)+13,"00"),"")&amp;IF($C1179&gt;=15,", "&amp;$A1179&amp;"-"&amp;TEXT(($D1179-$C1179+1)+14,"00"),"")&amp;IF($C1179&gt;=16,", "&amp;$A1179&amp;"-"&amp;TEXT(($D1179-$C1179+1)+15,"00"),"")&amp;IF($C1179&gt;=17,", "&amp;$A1179&amp;"-"&amp;TEXT(($D1179-$C1179+1)+16,"00"),"")&amp;IF($C1179&gt;=18,", "&amp;$A1179&amp;"-"&amp;TEXT(($D1179-$C1179+1)+17,"00"),"")&amp;IF($C1179&gt;=19,", "&amp;$A1179&amp;"-"&amp;TEXT(($D1179-$C1179+1)+18,"00"),"")&amp;IF($C1179&gt;=20,", "&amp;$A1179&amp;"-"&amp;TEXT(($D1179-$C1179+1)+19,"00"),"")&amp;IF($C1179&gt;=21,", "&amp;$A1179&amp;"-"&amp;TEXT(($D1179-$C1179+1)+20,"00"),"")&amp;IF($C1179&gt;=22,", "&amp;$A1179&amp;"-"&amp;TEXT(($D1179-$C1179+1)+21,"00"),"")&amp;IF($C1179&gt;=23,", "&amp;$A1179&amp;"-"&amp;TEXT(($D1179-$C1179+1)+22,"00"),"")&amp;IF($C1179&gt;=24,", "&amp;$A1179&amp;"-"&amp;TEXT(($D1179-$C1179+1)+23,"00"),"")&amp;IF($C1179&gt;=25,", "&amp;$A1179&amp;"-"&amp;TEXT(($D1179-$C1179+1)+24,"00"),""))</f>
        <v/>
      </c>
      <c r="G1179">
        <f>IF($A1179="","",IF($E1179=1,$F1179,IF($F1179="",$G1178,IF($G1178="",$F1179,$G1178&amp;", "&amp;$F1179))))</f>
        <v/>
      </c>
      <c r="H1179">
        <f>IF($A1179="","",$A1179&amp;" ("&amp;$C1179&amp;")")</f>
        <v/>
      </c>
      <c r="I1179">
        <f>IF($A1179="","",IF($E1179=1,$H1179,$I1178&amp;", "&amp;$H1179))</f>
        <v/>
      </c>
      <c r="J1179">
        <f>IF($A1179="","",IF($E1179=1,$B1179,""))</f>
        <v/>
      </c>
      <c r="K1179">
        <f>IF($A1179="","",IF(COUNTIF($B$2:$B1179,$B1179)=COUNTIF($B$2:$B$1601,$B1179),$B1179,""))</f>
        <v/>
      </c>
    </row>
    <row r="1180">
      <c r="A1180">
        <f>IF('TMP Paste'!$E1180="","",'TMP Paste'!$E1180)</f>
        <v/>
      </c>
      <c r="B1180">
        <f>IF($A1180="","",COUNTIF('TMP Paste'!$B$2:$B1180,"?*"))</f>
        <v/>
      </c>
      <c r="C1180">
        <f>IF($A1180="","",IFERROR('TMP Paste'!$M1180*1,0))</f>
        <v/>
      </c>
      <c r="D1180">
        <f>IF($A1180="","",SUMIF($B$2:$B1180,$B1180,$C$2:$C1180))</f>
        <v/>
      </c>
      <c r="E1180">
        <f>IF($A1180="",0,IF('TMP Paste'!$B1180="",0,1))</f>
        <v/>
      </c>
      <c r="F1180">
        <f>IF(OR($A1180="",$C1180&lt;1),"",$A1180&amp;"-"&amp;TEXT(($D1180-$C1180+1),"00")&amp;IF($C1180&gt;=2,", "&amp;$A1180&amp;"-"&amp;TEXT(($D1180-$C1180+1)+1,"00"),"")&amp;IF($C1180&gt;=3,", "&amp;$A1180&amp;"-"&amp;TEXT(($D1180-$C1180+1)+2,"00"),"")&amp;IF($C1180&gt;=4,", "&amp;$A1180&amp;"-"&amp;TEXT(($D1180-$C1180+1)+3,"00"),"")&amp;IF($C1180&gt;=5,", "&amp;$A1180&amp;"-"&amp;TEXT(($D1180-$C1180+1)+4,"00"),"")&amp;IF($C1180&gt;=6,", "&amp;$A1180&amp;"-"&amp;TEXT(($D1180-$C1180+1)+5,"00"),"")&amp;IF($C1180&gt;=7,", "&amp;$A1180&amp;"-"&amp;TEXT(($D1180-$C1180+1)+6,"00"),"")&amp;IF($C1180&gt;=8,", "&amp;$A1180&amp;"-"&amp;TEXT(($D1180-$C1180+1)+7,"00"),"")&amp;IF($C1180&gt;=9,", "&amp;$A1180&amp;"-"&amp;TEXT(($D1180-$C1180+1)+8,"00"),"")&amp;IF($C1180&gt;=10,", "&amp;$A1180&amp;"-"&amp;TEXT(($D1180-$C1180+1)+9,"00"),"")&amp;IF($C1180&gt;=11,", "&amp;$A1180&amp;"-"&amp;TEXT(($D1180-$C1180+1)+10,"00"),"")&amp;IF($C1180&gt;=12,", "&amp;$A1180&amp;"-"&amp;TEXT(($D1180-$C1180+1)+11,"00"),"")&amp;IF($C1180&gt;=13,", "&amp;$A1180&amp;"-"&amp;TEXT(($D1180-$C1180+1)+12,"00"),"")&amp;IF($C1180&gt;=14,", "&amp;$A1180&amp;"-"&amp;TEXT(($D1180-$C1180+1)+13,"00"),"")&amp;IF($C1180&gt;=15,", "&amp;$A1180&amp;"-"&amp;TEXT(($D1180-$C1180+1)+14,"00"),"")&amp;IF($C1180&gt;=16,", "&amp;$A1180&amp;"-"&amp;TEXT(($D1180-$C1180+1)+15,"00"),"")&amp;IF($C1180&gt;=17,", "&amp;$A1180&amp;"-"&amp;TEXT(($D1180-$C1180+1)+16,"00"),"")&amp;IF($C1180&gt;=18,", "&amp;$A1180&amp;"-"&amp;TEXT(($D1180-$C1180+1)+17,"00"),"")&amp;IF($C1180&gt;=19,", "&amp;$A1180&amp;"-"&amp;TEXT(($D1180-$C1180+1)+18,"00"),"")&amp;IF($C1180&gt;=20,", "&amp;$A1180&amp;"-"&amp;TEXT(($D1180-$C1180+1)+19,"00"),"")&amp;IF($C1180&gt;=21,", "&amp;$A1180&amp;"-"&amp;TEXT(($D1180-$C1180+1)+20,"00"),"")&amp;IF($C1180&gt;=22,", "&amp;$A1180&amp;"-"&amp;TEXT(($D1180-$C1180+1)+21,"00"),"")&amp;IF($C1180&gt;=23,", "&amp;$A1180&amp;"-"&amp;TEXT(($D1180-$C1180+1)+22,"00"),"")&amp;IF($C1180&gt;=24,", "&amp;$A1180&amp;"-"&amp;TEXT(($D1180-$C1180+1)+23,"00"),"")&amp;IF($C1180&gt;=25,", "&amp;$A1180&amp;"-"&amp;TEXT(($D1180-$C1180+1)+24,"00"),""))</f>
        <v/>
      </c>
      <c r="G1180">
        <f>IF($A1180="","",IF($E1180=1,$F1180,IF($F1180="",$G1179,IF($G1179="",$F1180,$G1179&amp;", "&amp;$F1180))))</f>
        <v/>
      </c>
      <c r="H1180">
        <f>IF($A1180="","",$A1180&amp;" ("&amp;$C1180&amp;")")</f>
        <v/>
      </c>
      <c r="I1180">
        <f>IF($A1180="","",IF($E1180=1,$H1180,$I1179&amp;", "&amp;$H1180))</f>
        <v/>
      </c>
      <c r="J1180">
        <f>IF($A1180="","",IF($E1180=1,$B1180,""))</f>
        <v/>
      </c>
      <c r="K1180">
        <f>IF($A1180="","",IF(COUNTIF($B$2:$B1180,$B1180)=COUNTIF($B$2:$B$1601,$B1180),$B1180,""))</f>
        <v/>
      </c>
    </row>
    <row r="1181">
      <c r="A1181">
        <f>IF('TMP Paste'!$E1181="","",'TMP Paste'!$E1181)</f>
        <v/>
      </c>
      <c r="B1181">
        <f>IF($A1181="","",COUNTIF('TMP Paste'!$B$2:$B1181,"?*"))</f>
        <v/>
      </c>
      <c r="C1181">
        <f>IF($A1181="","",IFERROR('TMP Paste'!$M1181*1,0))</f>
        <v/>
      </c>
      <c r="D1181">
        <f>IF($A1181="","",SUMIF($B$2:$B1181,$B1181,$C$2:$C1181))</f>
        <v/>
      </c>
      <c r="E1181">
        <f>IF($A1181="",0,IF('TMP Paste'!$B1181="",0,1))</f>
        <v/>
      </c>
      <c r="F1181">
        <f>IF(OR($A1181="",$C1181&lt;1),"",$A1181&amp;"-"&amp;TEXT(($D1181-$C1181+1),"00")&amp;IF($C1181&gt;=2,", "&amp;$A1181&amp;"-"&amp;TEXT(($D1181-$C1181+1)+1,"00"),"")&amp;IF($C1181&gt;=3,", "&amp;$A1181&amp;"-"&amp;TEXT(($D1181-$C1181+1)+2,"00"),"")&amp;IF($C1181&gt;=4,", "&amp;$A1181&amp;"-"&amp;TEXT(($D1181-$C1181+1)+3,"00"),"")&amp;IF($C1181&gt;=5,", "&amp;$A1181&amp;"-"&amp;TEXT(($D1181-$C1181+1)+4,"00"),"")&amp;IF($C1181&gt;=6,", "&amp;$A1181&amp;"-"&amp;TEXT(($D1181-$C1181+1)+5,"00"),"")&amp;IF($C1181&gt;=7,", "&amp;$A1181&amp;"-"&amp;TEXT(($D1181-$C1181+1)+6,"00"),"")&amp;IF($C1181&gt;=8,", "&amp;$A1181&amp;"-"&amp;TEXT(($D1181-$C1181+1)+7,"00"),"")&amp;IF($C1181&gt;=9,", "&amp;$A1181&amp;"-"&amp;TEXT(($D1181-$C1181+1)+8,"00"),"")&amp;IF($C1181&gt;=10,", "&amp;$A1181&amp;"-"&amp;TEXT(($D1181-$C1181+1)+9,"00"),"")&amp;IF($C1181&gt;=11,", "&amp;$A1181&amp;"-"&amp;TEXT(($D1181-$C1181+1)+10,"00"),"")&amp;IF($C1181&gt;=12,", "&amp;$A1181&amp;"-"&amp;TEXT(($D1181-$C1181+1)+11,"00"),"")&amp;IF($C1181&gt;=13,", "&amp;$A1181&amp;"-"&amp;TEXT(($D1181-$C1181+1)+12,"00"),"")&amp;IF($C1181&gt;=14,", "&amp;$A1181&amp;"-"&amp;TEXT(($D1181-$C1181+1)+13,"00"),"")&amp;IF($C1181&gt;=15,", "&amp;$A1181&amp;"-"&amp;TEXT(($D1181-$C1181+1)+14,"00"),"")&amp;IF($C1181&gt;=16,", "&amp;$A1181&amp;"-"&amp;TEXT(($D1181-$C1181+1)+15,"00"),"")&amp;IF($C1181&gt;=17,", "&amp;$A1181&amp;"-"&amp;TEXT(($D1181-$C1181+1)+16,"00"),"")&amp;IF($C1181&gt;=18,", "&amp;$A1181&amp;"-"&amp;TEXT(($D1181-$C1181+1)+17,"00"),"")&amp;IF($C1181&gt;=19,", "&amp;$A1181&amp;"-"&amp;TEXT(($D1181-$C1181+1)+18,"00"),"")&amp;IF($C1181&gt;=20,", "&amp;$A1181&amp;"-"&amp;TEXT(($D1181-$C1181+1)+19,"00"),"")&amp;IF($C1181&gt;=21,", "&amp;$A1181&amp;"-"&amp;TEXT(($D1181-$C1181+1)+20,"00"),"")&amp;IF($C1181&gt;=22,", "&amp;$A1181&amp;"-"&amp;TEXT(($D1181-$C1181+1)+21,"00"),"")&amp;IF($C1181&gt;=23,", "&amp;$A1181&amp;"-"&amp;TEXT(($D1181-$C1181+1)+22,"00"),"")&amp;IF($C1181&gt;=24,", "&amp;$A1181&amp;"-"&amp;TEXT(($D1181-$C1181+1)+23,"00"),"")&amp;IF($C1181&gt;=25,", "&amp;$A1181&amp;"-"&amp;TEXT(($D1181-$C1181+1)+24,"00"),""))</f>
        <v/>
      </c>
      <c r="G1181">
        <f>IF($A1181="","",IF($E1181=1,$F1181,IF($F1181="",$G1180,IF($G1180="",$F1181,$G1180&amp;", "&amp;$F1181))))</f>
        <v/>
      </c>
      <c r="H1181">
        <f>IF($A1181="","",$A1181&amp;" ("&amp;$C1181&amp;")")</f>
        <v/>
      </c>
      <c r="I1181">
        <f>IF($A1181="","",IF($E1181=1,$H1181,$I1180&amp;", "&amp;$H1181))</f>
        <v/>
      </c>
      <c r="J1181">
        <f>IF($A1181="","",IF($E1181=1,$B1181,""))</f>
        <v/>
      </c>
      <c r="K1181">
        <f>IF($A1181="","",IF(COUNTIF($B$2:$B1181,$B1181)=COUNTIF($B$2:$B$1601,$B1181),$B1181,""))</f>
        <v/>
      </c>
    </row>
    <row r="1182">
      <c r="A1182">
        <f>IF('TMP Paste'!$E1182="","",'TMP Paste'!$E1182)</f>
        <v/>
      </c>
      <c r="B1182">
        <f>IF($A1182="","",COUNTIF('TMP Paste'!$B$2:$B1182,"?*"))</f>
        <v/>
      </c>
      <c r="C1182">
        <f>IF($A1182="","",IFERROR('TMP Paste'!$M1182*1,0))</f>
        <v/>
      </c>
      <c r="D1182">
        <f>IF($A1182="","",SUMIF($B$2:$B1182,$B1182,$C$2:$C1182))</f>
        <v/>
      </c>
      <c r="E1182">
        <f>IF($A1182="",0,IF('TMP Paste'!$B1182="",0,1))</f>
        <v/>
      </c>
      <c r="F1182">
        <f>IF(OR($A1182="",$C1182&lt;1),"",$A1182&amp;"-"&amp;TEXT(($D1182-$C1182+1),"00")&amp;IF($C1182&gt;=2,", "&amp;$A1182&amp;"-"&amp;TEXT(($D1182-$C1182+1)+1,"00"),"")&amp;IF($C1182&gt;=3,", "&amp;$A1182&amp;"-"&amp;TEXT(($D1182-$C1182+1)+2,"00"),"")&amp;IF($C1182&gt;=4,", "&amp;$A1182&amp;"-"&amp;TEXT(($D1182-$C1182+1)+3,"00"),"")&amp;IF($C1182&gt;=5,", "&amp;$A1182&amp;"-"&amp;TEXT(($D1182-$C1182+1)+4,"00"),"")&amp;IF($C1182&gt;=6,", "&amp;$A1182&amp;"-"&amp;TEXT(($D1182-$C1182+1)+5,"00"),"")&amp;IF($C1182&gt;=7,", "&amp;$A1182&amp;"-"&amp;TEXT(($D1182-$C1182+1)+6,"00"),"")&amp;IF($C1182&gt;=8,", "&amp;$A1182&amp;"-"&amp;TEXT(($D1182-$C1182+1)+7,"00"),"")&amp;IF($C1182&gt;=9,", "&amp;$A1182&amp;"-"&amp;TEXT(($D1182-$C1182+1)+8,"00"),"")&amp;IF($C1182&gt;=10,", "&amp;$A1182&amp;"-"&amp;TEXT(($D1182-$C1182+1)+9,"00"),"")&amp;IF($C1182&gt;=11,", "&amp;$A1182&amp;"-"&amp;TEXT(($D1182-$C1182+1)+10,"00"),"")&amp;IF($C1182&gt;=12,", "&amp;$A1182&amp;"-"&amp;TEXT(($D1182-$C1182+1)+11,"00"),"")&amp;IF($C1182&gt;=13,", "&amp;$A1182&amp;"-"&amp;TEXT(($D1182-$C1182+1)+12,"00"),"")&amp;IF($C1182&gt;=14,", "&amp;$A1182&amp;"-"&amp;TEXT(($D1182-$C1182+1)+13,"00"),"")&amp;IF($C1182&gt;=15,", "&amp;$A1182&amp;"-"&amp;TEXT(($D1182-$C1182+1)+14,"00"),"")&amp;IF($C1182&gt;=16,", "&amp;$A1182&amp;"-"&amp;TEXT(($D1182-$C1182+1)+15,"00"),"")&amp;IF($C1182&gt;=17,", "&amp;$A1182&amp;"-"&amp;TEXT(($D1182-$C1182+1)+16,"00"),"")&amp;IF($C1182&gt;=18,", "&amp;$A1182&amp;"-"&amp;TEXT(($D1182-$C1182+1)+17,"00"),"")&amp;IF($C1182&gt;=19,", "&amp;$A1182&amp;"-"&amp;TEXT(($D1182-$C1182+1)+18,"00"),"")&amp;IF($C1182&gt;=20,", "&amp;$A1182&amp;"-"&amp;TEXT(($D1182-$C1182+1)+19,"00"),"")&amp;IF($C1182&gt;=21,", "&amp;$A1182&amp;"-"&amp;TEXT(($D1182-$C1182+1)+20,"00"),"")&amp;IF($C1182&gt;=22,", "&amp;$A1182&amp;"-"&amp;TEXT(($D1182-$C1182+1)+21,"00"),"")&amp;IF($C1182&gt;=23,", "&amp;$A1182&amp;"-"&amp;TEXT(($D1182-$C1182+1)+22,"00"),"")&amp;IF($C1182&gt;=24,", "&amp;$A1182&amp;"-"&amp;TEXT(($D1182-$C1182+1)+23,"00"),"")&amp;IF($C1182&gt;=25,", "&amp;$A1182&amp;"-"&amp;TEXT(($D1182-$C1182+1)+24,"00"),""))</f>
        <v/>
      </c>
      <c r="G1182">
        <f>IF($A1182="","",IF($E1182=1,$F1182,IF($F1182="",$G1181,IF($G1181="",$F1182,$G1181&amp;", "&amp;$F1182))))</f>
        <v/>
      </c>
      <c r="H1182">
        <f>IF($A1182="","",$A1182&amp;" ("&amp;$C1182&amp;")")</f>
        <v/>
      </c>
      <c r="I1182">
        <f>IF($A1182="","",IF($E1182=1,$H1182,$I1181&amp;", "&amp;$H1182))</f>
        <v/>
      </c>
      <c r="J1182">
        <f>IF($A1182="","",IF($E1182=1,$B1182,""))</f>
        <v/>
      </c>
      <c r="K1182">
        <f>IF($A1182="","",IF(COUNTIF($B$2:$B1182,$B1182)=COUNTIF($B$2:$B$1601,$B1182),$B1182,""))</f>
        <v/>
      </c>
    </row>
    <row r="1183">
      <c r="A1183">
        <f>IF('TMP Paste'!$E1183="","",'TMP Paste'!$E1183)</f>
        <v/>
      </c>
      <c r="B1183">
        <f>IF($A1183="","",COUNTIF('TMP Paste'!$B$2:$B1183,"?*"))</f>
        <v/>
      </c>
      <c r="C1183">
        <f>IF($A1183="","",IFERROR('TMP Paste'!$M1183*1,0))</f>
        <v/>
      </c>
      <c r="D1183">
        <f>IF($A1183="","",SUMIF($B$2:$B1183,$B1183,$C$2:$C1183))</f>
        <v/>
      </c>
      <c r="E1183">
        <f>IF($A1183="",0,IF('TMP Paste'!$B1183="",0,1))</f>
        <v/>
      </c>
      <c r="F1183">
        <f>IF(OR($A1183="",$C1183&lt;1),"",$A1183&amp;"-"&amp;TEXT(($D1183-$C1183+1),"00")&amp;IF($C1183&gt;=2,", "&amp;$A1183&amp;"-"&amp;TEXT(($D1183-$C1183+1)+1,"00"),"")&amp;IF($C1183&gt;=3,", "&amp;$A1183&amp;"-"&amp;TEXT(($D1183-$C1183+1)+2,"00"),"")&amp;IF($C1183&gt;=4,", "&amp;$A1183&amp;"-"&amp;TEXT(($D1183-$C1183+1)+3,"00"),"")&amp;IF($C1183&gt;=5,", "&amp;$A1183&amp;"-"&amp;TEXT(($D1183-$C1183+1)+4,"00"),"")&amp;IF($C1183&gt;=6,", "&amp;$A1183&amp;"-"&amp;TEXT(($D1183-$C1183+1)+5,"00"),"")&amp;IF($C1183&gt;=7,", "&amp;$A1183&amp;"-"&amp;TEXT(($D1183-$C1183+1)+6,"00"),"")&amp;IF($C1183&gt;=8,", "&amp;$A1183&amp;"-"&amp;TEXT(($D1183-$C1183+1)+7,"00"),"")&amp;IF($C1183&gt;=9,", "&amp;$A1183&amp;"-"&amp;TEXT(($D1183-$C1183+1)+8,"00"),"")&amp;IF($C1183&gt;=10,", "&amp;$A1183&amp;"-"&amp;TEXT(($D1183-$C1183+1)+9,"00"),"")&amp;IF($C1183&gt;=11,", "&amp;$A1183&amp;"-"&amp;TEXT(($D1183-$C1183+1)+10,"00"),"")&amp;IF($C1183&gt;=12,", "&amp;$A1183&amp;"-"&amp;TEXT(($D1183-$C1183+1)+11,"00"),"")&amp;IF($C1183&gt;=13,", "&amp;$A1183&amp;"-"&amp;TEXT(($D1183-$C1183+1)+12,"00"),"")&amp;IF($C1183&gt;=14,", "&amp;$A1183&amp;"-"&amp;TEXT(($D1183-$C1183+1)+13,"00"),"")&amp;IF($C1183&gt;=15,", "&amp;$A1183&amp;"-"&amp;TEXT(($D1183-$C1183+1)+14,"00"),"")&amp;IF($C1183&gt;=16,", "&amp;$A1183&amp;"-"&amp;TEXT(($D1183-$C1183+1)+15,"00"),"")&amp;IF($C1183&gt;=17,", "&amp;$A1183&amp;"-"&amp;TEXT(($D1183-$C1183+1)+16,"00"),"")&amp;IF($C1183&gt;=18,", "&amp;$A1183&amp;"-"&amp;TEXT(($D1183-$C1183+1)+17,"00"),"")&amp;IF($C1183&gt;=19,", "&amp;$A1183&amp;"-"&amp;TEXT(($D1183-$C1183+1)+18,"00"),"")&amp;IF($C1183&gt;=20,", "&amp;$A1183&amp;"-"&amp;TEXT(($D1183-$C1183+1)+19,"00"),"")&amp;IF($C1183&gt;=21,", "&amp;$A1183&amp;"-"&amp;TEXT(($D1183-$C1183+1)+20,"00"),"")&amp;IF($C1183&gt;=22,", "&amp;$A1183&amp;"-"&amp;TEXT(($D1183-$C1183+1)+21,"00"),"")&amp;IF($C1183&gt;=23,", "&amp;$A1183&amp;"-"&amp;TEXT(($D1183-$C1183+1)+22,"00"),"")&amp;IF($C1183&gt;=24,", "&amp;$A1183&amp;"-"&amp;TEXT(($D1183-$C1183+1)+23,"00"),"")&amp;IF($C1183&gt;=25,", "&amp;$A1183&amp;"-"&amp;TEXT(($D1183-$C1183+1)+24,"00"),""))</f>
        <v/>
      </c>
      <c r="G1183">
        <f>IF($A1183="","",IF($E1183=1,$F1183,IF($F1183="",$G1182,IF($G1182="",$F1183,$G1182&amp;", "&amp;$F1183))))</f>
        <v/>
      </c>
      <c r="H1183">
        <f>IF($A1183="","",$A1183&amp;" ("&amp;$C1183&amp;")")</f>
        <v/>
      </c>
      <c r="I1183">
        <f>IF($A1183="","",IF($E1183=1,$H1183,$I1182&amp;", "&amp;$H1183))</f>
        <v/>
      </c>
      <c r="J1183">
        <f>IF($A1183="","",IF($E1183=1,$B1183,""))</f>
        <v/>
      </c>
      <c r="K1183">
        <f>IF($A1183="","",IF(COUNTIF($B$2:$B1183,$B1183)=COUNTIF($B$2:$B$1601,$B1183),$B1183,""))</f>
        <v/>
      </c>
    </row>
    <row r="1184">
      <c r="A1184">
        <f>IF('TMP Paste'!$E1184="","",'TMP Paste'!$E1184)</f>
        <v/>
      </c>
      <c r="B1184">
        <f>IF($A1184="","",COUNTIF('TMP Paste'!$B$2:$B1184,"?*"))</f>
        <v/>
      </c>
      <c r="C1184">
        <f>IF($A1184="","",IFERROR('TMP Paste'!$M1184*1,0))</f>
        <v/>
      </c>
      <c r="D1184">
        <f>IF($A1184="","",SUMIF($B$2:$B1184,$B1184,$C$2:$C1184))</f>
        <v/>
      </c>
      <c r="E1184">
        <f>IF($A1184="",0,IF('TMP Paste'!$B1184="",0,1))</f>
        <v/>
      </c>
      <c r="F1184">
        <f>IF(OR($A1184="",$C1184&lt;1),"",$A1184&amp;"-"&amp;TEXT(($D1184-$C1184+1),"00")&amp;IF($C1184&gt;=2,", "&amp;$A1184&amp;"-"&amp;TEXT(($D1184-$C1184+1)+1,"00"),"")&amp;IF($C1184&gt;=3,", "&amp;$A1184&amp;"-"&amp;TEXT(($D1184-$C1184+1)+2,"00"),"")&amp;IF($C1184&gt;=4,", "&amp;$A1184&amp;"-"&amp;TEXT(($D1184-$C1184+1)+3,"00"),"")&amp;IF($C1184&gt;=5,", "&amp;$A1184&amp;"-"&amp;TEXT(($D1184-$C1184+1)+4,"00"),"")&amp;IF($C1184&gt;=6,", "&amp;$A1184&amp;"-"&amp;TEXT(($D1184-$C1184+1)+5,"00"),"")&amp;IF($C1184&gt;=7,", "&amp;$A1184&amp;"-"&amp;TEXT(($D1184-$C1184+1)+6,"00"),"")&amp;IF($C1184&gt;=8,", "&amp;$A1184&amp;"-"&amp;TEXT(($D1184-$C1184+1)+7,"00"),"")&amp;IF($C1184&gt;=9,", "&amp;$A1184&amp;"-"&amp;TEXT(($D1184-$C1184+1)+8,"00"),"")&amp;IF($C1184&gt;=10,", "&amp;$A1184&amp;"-"&amp;TEXT(($D1184-$C1184+1)+9,"00"),"")&amp;IF($C1184&gt;=11,", "&amp;$A1184&amp;"-"&amp;TEXT(($D1184-$C1184+1)+10,"00"),"")&amp;IF($C1184&gt;=12,", "&amp;$A1184&amp;"-"&amp;TEXT(($D1184-$C1184+1)+11,"00"),"")&amp;IF($C1184&gt;=13,", "&amp;$A1184&amp;"-"&amp;TEXT(($D1184-$C1184+1)+12,"00"),"")&amp;IF($C1184&gt;=14,", "&amp;$A1184&amp;"-"&amp;TEXT(($D1184-$C1184+1)+13,"00"),"")&amp;IF($C1184&gt;=15,", "&amp;$A1184&amp;"-"&amp;TEXT(($D1184-$C1184+1)+14,"00"),"")&amp;IF($C1184&gt;=16,", "&amp;$A1184&amp;"-"&amp;TEXT(($D1184-$C1184+1)+15,"00"),"")&amp;IF($C1184&gt;=17,", "&amp;$A1184&amp;"-"&amp;TEXT(($D1184-$C1184+1)+16,"00"),"")&amp;IF($C1184&gt;=18,", "&amp;$A1184&amp;"-"&amp;TEXT(($D1184-$C1184+1)+17,"00"),"")&amp;IF($C1184&gt;=19,", "&amp;$A1184&amp;"-"&amp;TEXT(($D1184-$C1184+1)+18,"00"),"")&amp;IF($C1184&gt;=20,", "&amp;$A1184&amp;"-"&amp;TEXT(($D1184-$C1184+1)+19,"00"),"")&amp;IF($C1184&gt;=21,", "&amp;$A1184&amp;"-"&amp;TEXT(($D1184-$C1184+1)+20,"00"),"")&amp;IF($C1184&gt;=22,", "&amp;$A1184&amp;"-"&amp;TEXT(($D1184-$C1184+1)+21,"00"),"")&amp;IF($C1184&gt;=23,", "&amp;$A1184&amp;"-"&amp;TEXT(($D1184-$C1184+1)+22,"00"),"")&amp;IF($C1184&gt;=24,", "&amp;$A1184&amp;"-"&amp;TEXT(($D1184-$C1184+1)+23,"00"),"")&amp;IF($C1184&gt;=25,", "&amp;$A1184&amp;"-"&amp;TEXT(($D1184-$C1184+1)+24,"00"),""))</f>
        <v/>
      </c>
      <c r="G1184">
        <f>IF($A1184="","",IF($E1184=1,$F1184,IF($F1184="",$G1183,IF($G1183="",$F1184,$G1183&amp;", "&amp;$F1184))))</f>
        <v/>
      </c>
      <c r="H1184">
        <f>IF($A1184="","",$A1184&amp;" ("&amp;$C1184&amp;")")</f>
        <v/>
      </c>
      <c r="I1184">
        <f>IF($A1184="","",IF($E1184=1,$H1184,$I1183&amp;", "&amp;$H1184))</f>
        <v/>
      </c>
      <c r="J1184">
        <f>IF($A1184="","",IF($E1184=1,$B1184,""))</f>
        <v/>
      </c>
      <c r="K1184">
        <f>IF($A1184="","",IF(COUNTIF($B$2:$B1184,$B1184)=COUNTIF($B$2:$B$1601,$B1184),$B1184,""))</f>
        <v/>
      </c>
    </row>
    <row r="1185">
      <c r="A1185">
        <f>IF('TMP Paste'!$E1185="","",'TMP Paste'!$E1185)</f>
        <v/>
      </c>
      <c r="B1185">
        <f>IF($A1185="","",COUNTIF('TMP Paste'!$B$2:$B1185,"?*"))</f>
        <v/>
      </c>
      <c r="C1185">
        <f>IF($A1185="","",IFERROR('TMP Paste'!$M1185*1,0))</f>
        <v/>
      </c>
      <c r="D1185">
        <f>IF($A1185="","",SUMIF($B$2:$B1185,$B1185,$C$2:$C1185))</f>
        <v/>
      </c>
      <c r="E1185">
        <f>IF($A1185="",0,IF('TMP Paste'!$B1185="",0,1))</f>
        <v/>
      </c>
      <c r="F1185">
        <f>IF(OR($A1185="",$C1185&lt;1),"",$A1185&amp;"-"&amp;TEXT(($D1185-$C1185+1),"00")&amp;IF($C1185&gt;=2,", "&amp;$A1185&amp;"-"&amp;TEXT(($D1185-$C1185+1)+1,"00"),"")&amp;IF($C1185&gt;=3,", "&amp;$A1185&amp;"-"&amp;TEXT(($D1185-$C1185+1)+2,"00"),"")&amp;IF($C1185&gt;=4,", "&amp;$A1185&amp;"-"&amp;TEXT(($D1185-$C1185+1)+3,"00"),"")&amp;IF($C1185&gt;=5,", "&amp;$A1185&amp;"-"&amp;TEXT(($D1185-$C1185+1)+4,"00"),"")&amp;IF($C1185&gt;=6,", "&amp;$A1185&amp;"-"&amp;TEXT(($D1185-$C1185+1)+5,"00"),"")&amp;IF($C1185&gt;=7,", "&amp;$A1185&amp;"-"&amp;TEXT(($D1185-$C1185+1)+6,"00"),"")&amp;IF($C1185&gt;=8,", "&amp;$A1185&amp;"-"&amp;TEXT(($D1185-$C1185+1)+7,"00"),"")&amp;IF($C1185&gt;=9,", "&amp;$A1185&amp;"-"&amp;TEXT(($D1185-$C1185+1)+8,"00"),"")&amp;IF($C1185&gt;=10,", "&amp;$A1185&amp;"-"&amp;TEXT(($D1185-$C1185+1)+9,"00"),"")&amp;IF($C1185&gt;=11,", "&amp;$A1185&amp;"-"&amp;TEXT(($D1185-$C1185+1)+10,"00"),"")&amp;IF($C1185&gt;=12,", "&amp;$A1185&amp;"-"&amp;TEXT(($D1185-$C1185+1)+11,"00"),"")&amp;IF($C1185&gt;=13,", "&amp;$A1185&amp;"-"&amp;TEXT(($D1185-$C1185+1)+12,"00"),"")&amp;IF($C1185&gt;=14,", "&amp;$A1185&amp;"-"&amp;TEXT(($D1185-$C1185+1)+13,"00"),"")&amp;IF($C1185&gt;=15,", "&amp;$A1185&amp;"-"&amp;TEXT(($D1185-$C1185+1)+14,"00"),"")&amp;IF($C1185&gt;=16,", "&amp;$A1185&amp;"-"&amp;TEXT(($D1185-$C1185+1)+15,"00"),"")&amp;IF($C1185&gt;=17,", "&amp;$A1185&amp;"-"&amp;TEXT(($D1185-$C1185+1)+16,"00"),"")&amp;IF($C1185&gt;=18,", "&amp;$A1185&amp;"-"&amp;TEXT(($D1185-$C1185+1)+17,"00"),"")&amp;IF($C1185&gt;=19,", "&amp;$A1185&amp;"-"&amp;TEXT(($D1185-$C1185+1)+18,"00"),"")&amp;IF($C1185&gt;=20,", "&amp;$A1185&amp;"-"&amp;TEXT(($D1185-$C1185+1)+19,"00"),"")&amp;IF($C1185&gt;=21,", "&amp;$A1185&amp;"-"&amp;TEXT(($D1185-$C1185+1)+20,"00"),"")&amp;IF($C1185&gt;=22,", "&amp;$A1185&amp;"-"&amp;TEXT(($D1185-$C1185+1)+21,"00"),"")&amp;IF($C1185&gt;=23,", "&amp;$A1185&amp;"-"&amp;TEXT(($D1185-$C1185+1)+22,"00"),"")&amp;IF($C1185&gt;=24,", "&amp;$A1185&amp;"-"&amp;TEXT(($D1185-$C1185+1)+23,"00"),"")&amp;IF($C1185&gt;=25,", "&amp;$A1185&amp;"-"&amp;TEXT(($D1185-$C1185+1)+24,"00"),""))</f>
        <v/>
      </c>
      <c r="G1185">
        <f>IF($A1185="","",IF($E1185=1,$F1185,IF($F1185="",$G1184,IF($G1184="",$F1185,$G1184&amp;", "&amp;$F1185))))</f>
        <v/>
      </c>
      <c r="H1185">
        <f>IF($A1185="","",$A1185&amp;" ("&amp;$C1185&amp;")")</f>
        <v/>
      </c>
      <c r="I1185">
        <f>IF($A1185="","",IF($E1185=1,$H1185,$I1184&amp;", "&amp;$H1185))</f>
        <v/>
      </c>
      <c r="J1185">
        <f>IF($A1185="","",IF($E1185=1,$B1185,""))</f>
        <v/>
      </c>
      <c r="K1185">
        <f>IF($A1185="","",IF(COUNTIF($B$2:$B1185,$B1185)=COUNTIF($B$2:$B$1601,$B1185),$B1185,""))</f>
        <v/>
      </c>
    </row>
    <row r="1186">
      <c r="A1186">
        <f>IF('TMP Paste'!$E1186="","",'TMP Paste'!$E1186)</f>
        <v/>
      </c>
      <c r="B1186">
        <f>IF($A1186="","",COUNTIF('TMP Paste'!$B$2:$B1186,"?*"))</f>
        <v/>
      </c>
      <c r="C1186">
        <f>IF($A1186="","",IFERROR('TMP Paste'!$M1186*1,0))</f>
        <v/>
      </c>
      <c r="D1186">
        <f>IF($A1186="","",SUMIF($B$2:$B1186,$B1186,$C$2:$C1186))</f>
        <v/>
      </c>
      <c r="E1186">
        <f>IF($A1186="",0,IF('TMP Paste'!$B1186="",0,1))</f>
        <v/>
      </c>
      <c r="F1186">
        <f>IF(OR($A1186="",$C1186&lt;1),"",$A1186&amp;"-"&amp;TEXT(($D1186-$C1186+1),"00")&amp;IF($C1186&gt;=2,", "&amp;$A1186&amp;"-"&amp;TEXT(($D1186-$C1186+1)+1,"00"),"")&amp;IF($C1186&gt;=3,", "&amp;$A1186&amp;"-"&amp;TEXT(($D1186-$C1186+1)+2,"00"),"")&amp;IF($C1186&gt;=4,", "&amp;$A1186&amp;"-"&amp;TEXT(($D1186-$C1186+1)+3,"00"),"")&amp;IF($C1186&gt;=5,", "&amp;$A1186&amp;"-"&amp;TEXT(($D1186-$C1186+1)+4,"00"),"")&amp;IF($C1186&gt;=6,", "&amp;$A1186&amp;"-"&amp;TEXT(($D1186-$C1186+1)+5,"00"),"")&amp;IF($C1186&gt;=7,", "&amp;$A1186&amp;"-"&amp;TEXT(($D1186-$C1186+1)+6,"00"),"")&amp;IF($C1186&gt;=8,", "&amp;$A1186&amp;"-"&amp;TEXT(($D1186-$C1186+1)+7,"00"),"")&amp;IF($C1186&gt;=9,", "&amp;$A1186&amp;"-"&amp;TEXT(($D1186-$C1186+1)+8,"00"),"")&amp;IF($C1186&gt;=10,", "&amp;$A1186&amp;"-"&amp;TEXT(($D1186-$C1186+1)+9,"00"),"")&amp;IF($C1186&gt;=11,", "&amp;$A1186&amp;"-"&amp;TEXT(($D1186-$C1186+1)+10,"00"),"")&amp;IF($C1186&gt;=12,", "&amp;$A1186&amp;"-"&amp;TEXT(($D1186-$C1186+1)+11,"00"),"")&amp;IF($C1186&gt;=13,", "&amp;$A1186&amp;"-"&amp;TEXT(($D1186-$C1186+1)+12,"00"),"")&amp;IF($C1186&gt;=14,", "&amp;$A1186&amp;"-"&amp;TEXT(($D1186-$C1186+1)+13,"00"),"")&amp;IF($C1186&gt;=15,", "&amp;$A1186&amp;"-"&amp;TEXT(($D1186-$C1186+1)+14,"00"),"")&amp;IF($C1186&gt;=16,", "&amp;$A1186&amp;"-"&amp;TEXT(($D1186-$C1186+1)+15,"00"),"")&amp;IF($C1186&gt;=17,", "&amp;$A1186&amp;"-"&amp;TEXT(($D1186-$C1186+1)+16,"00"),"")&amp;IF($C1186&gt;=18,", "&amp;$A1186&amp;"-"&amp;TEXT(($D1186-$C1186+1)+17,"00"),"")&amp;IF($C1186&gt;=19,", "&amp;$A1186&amp;"-"&amp;TEXT(($D1186-$C1186+1)+18,"00"),"")&amp;IF($C1186&gt;=20,", "&amp;$A1186&amp;"-"&amp;TEXT(($D1186-$C1186+1)+19,"00"),"")&amp;IF($C1186&gt;=21,", "&amp;$A1186&amp;"-"&amp;TEXT(($D1186-$C1186+1)+20,"00"),"")&amp;IF($C1186&gt;=22,", "&amp;$A1186&amp;"-"&amp;TEXT(($D1186-$C1186+1)+21,"00"),"")&amp;IF($C1186&gt;=23,", "&amp;$A1186&amp;"-"&amp;TEXT(($D1186-$C1186+1)+22,"00"),"")&amp;IF($C1186&gt;=24,", "&amp;$A1186&amp;"-"&amp;TEXT(($D1186-$C1186+1)+23,"00"),"")&amp;IF($C1186&gt;=25,", "&amp;$A1186&amp;"-"&amp;TEXT(($D1186-$C1186+1)+24,"00"),""))</f>
        <v/>
      </c>
      <c r="G1186">
        <f>IF($A1186="","",IF($E1186=1,$F1186,IF($F1186="",$G1185,IF($G1185="",$F1186,$G1185&amp;", "&amp;$F1186))))</f>
        <v/>
      </c>
      <c r="H1186">
        <f>IF($A1186="","",$A1186&amp;" ("&amp;$C1186&amp;")")</f>
        <v/>
      </c>
      <c r="I1186">
        <f>IF($A1186="","",IF($E1186=1,$H1186,$I1185&amp;", "&amp;$H1186))</f>
        <v/>
      </c>
      <c r="J1186">
        <f>IF($A1186="","",IF($E1186=1,$B1186,""))</f>
        <v/>
      </c>
      <c r="K1186">
        <f>IF($A1186="","",IF(COUNTIF($B$2:$B1186,$B1186)=COUNTIF($B$2:$B$1601,$B1186),$B1186,""))</f>
        <v/>
      </c>
    </row>
    <row r="1187">
      <c r="A1187">
        <f>IF('TMP Paste'!$E1187="","",'TMP Paste'!$E1187)</f>
        <v/>
      </c>
      <c r="B1187">
        <f>IF($A1187="","",COUNTIF('TMP Paste'!$B$2:$B1187,"?*"))</f>
        <v/>
      </c>
      <c r="C1187">
        <f>IF($A1187="","",IFERROR('TMP Paste'!$M1187*1,0))</f>
        <v/>
      </c>
      <c r="D1187">
        <f>IF($A1187="","",SUMIF($B$2:$B1187,$B1187,$C$2:$C1187))</f>
        <v/>
      </c>
      <c r="E1187">
        <f>IF($A1187="",0,IF('TMP Paste'!$B1187="",0,1))</f>
        <v/>
      </c>
      <c r="F1187">
        <f>IF(OR($A1187="",$C1187&lt;1),"",$A1187&amp;"-"&amp;TEXT(($D1187-$C1187+1),"00")&amp;IF($C1187&gt;=2,", "&amp;$A1187&amp;"-"&amp;TEXT(($D1187-$C1187+1)+1,"00"),"")&amp;IF($C1187&gt;=3,", "&amp;$A1187&amp;"-"&amp;TEXT(($D1187-$C1187+1)+2,"00"),"")&amp;IF($C1187&gt;=4,", "&amp;$A1187&amp;"-"&amp;TEXT(($D1187-$C1187+1)+3,"00"),"")&amp;IF($C1187&gt;=5,", "&amp;$A1187&amp;"-"&amp;TEXT(($D1187-$C1187+1)+4,"00"),"")&amp;IF($C1187&gt;=6,", "&amp;$A1187&amp;"-"&amp;TEXT(($D1187-$C1187+1)+5,"00"),"")&amp;IF($C1187&gt;=7,", "&amp;$A1187&amp;"-"&amp;TEXT(($D1187-$C1187+1)+6,"00"),"")&amp;IF($C1187&gt;=8,", "&amp;$A1187&amp;"-"&amp;TEXT(($D1187-$C1187+1)+7,"00"),"")&amp;IF($C1187&gt;=9,", "&amp;$A1187&amp;"-"&amp;TEXT(($D1187-$C1187+1)+8,"00"),"")&amp;IF($C1187&gt;=10,", "&amp;$A1187&amp;"-"&amp;TEXT(($D1187-$C1187+1)+9,"00"),"")&amp;IF($C1187&gt;=11,", "&amp;$A1187&amp;"-"&amp;TEXT(($D1187-$C1187+1)+10,"00"),"")&amp;IF($C1187&gt;=12,", "&amp;$A1187&amp;"-"&amp;TEXT(($D1187-$C1187+1)+11,"00"),"")&amp;IF($C1187&gt;=13,", "&amp;$A1187&amp;"-"&amp;TEXT(($D1187-$C1187+1)+12,"00"),"")&amp;IF($C1187&gt;=14,", "&amp;$A1187&amp;"-"&amp;TEXT(($D1187-$C1187+1)+13,"00"),"")&amp;IF($C1187&gt;=15,", "&amp;$A1187&amp;"-"&amp;TEXT(($D1187-$C1187+1)+14,"00"),"")&amp;IF($C1187&gt;=16,", "&amp;$A1187&amp;"-"&amp;TEXT(($D1187-$C1187+1)+15,"00"),"")&amp;IF($C1187&gt;=17,", "&amp;$A1187&amp;"-"&amp;TEXT(($D1187-$C1187+1)+16,"00"),"")&amp;IF($C1187&gt;=18,", "&amp;$A1187&amp;"-"&amp;TEXT(($D1187-$C1187+1)+17,"00"),"")&amp;IF($C1187&gt;=19,", "&amp;$A1187&amp;"-"&amp;TEXT(($D1187-$C1187+1)+18,"00"),"")&amp;IF($C1187&gt;=20,", "&amp;$A1187&amp;"-"&amp;TEXT(($D1187-$C1187+1)+19,"00"),"")&amp;IF($C1187&gt;=21,", "&amp;$A1187&amp;"-"&amp;TEXT(($D1187-$C1187+1)+20,"00"),"")&amp;IF($C1187&gt;=22,", "&amp;$A1187&amp;"-"&amp;TEXT(($D1187-$C1187+1)+21,"00"),"")&amp;IF($C1187&gt;=23,", "&amp;$A1187&amp;"-"&amp;TEXT(($D1187-$C1187+1)+22,"00"),"")&amp;IF($C1187&gt;=24,", "&amp;$A1187&amp;"-"&amp;TEXT(($D1187-$C1187+1)+23,"00"),"")&amp;IF($C1187&gt;=25,", "&amp;$A1187&amp;"-"&amp;TEXT(($D1187-$C1187+1)+24,"00"),""))</f>
        <v/>
      </c>
      <c r="G1187">
        <f>IF($A1187="","",IF($E1187=1,$F1187,IF($F1187="",$G1186,IF($G1186="",$F1187,$G1186&amp;", "&amp;$F1187))))</f>
        <v/>
      </c>
      <c r="H1187">
        <f>IF($A1187="","",$A1187&amp;" ("&amp;$C1187&amp;")")</f>
        <v/>
      </c>
      <c r="I1187">
        <f>IF($A1187="","",IF($E1187=1,$H1187,$I1186&amp;", "&amp;$H1187))</f>
        <v/>
      </c>
      <c r="J1187">
        <f>IF($A1187="","",IF($E1187=1,$B1187,""))</f>
        <v/>
      </c>
      <c r="K1187">
        <f>IF($A1187="","",IF(COUNTIF($B$2:$B1187,$B1187)=COUNTIF($B$2:$B$1601,$B1187),$B1187,""))</f>
        <v/>
      </c>
    </row>
    <row r="1188">
      <c r="A1188">
        <f>IF('TMP Paste'!$E1188="","",'TMP Paste'!$E1188)</f>
        <v/>
      </c>
      <c r="B1188">
        <f>IF($A1188="","",COUNTIF('TMP Paste'!$B$2:$B1188,"?*"))</f>
        <v/>
      </c>
      <c r="C1188">
        <f>IF($A1188="","",IFERROR('TMP Paste'!$M1188*1,0))</f>
        <v/>
      </c>
      <c r="D1188">
        <f>IF($A1188="","",SUMIF($B$2:$B1188,$B1188,$C$2:$C1188))</f>
        <v/>
      </c>
      <c r="E1188">
        <f>IF($A1188="",0,IF('TMP Paste'!$B1188="",0,1))</f>
        <v/>
      </c>
      <c r="F1188">
        <f>IF(OR($A1188="",$C1188&lt;1),"",$A1188&amp;"-"&amp;TEXT(($D1188-$C1188+1),"00")&amp;IF($C1188&gt;=2,", "&amp;$A1188&amp;"-"&amp;TEXT(($D1188-$C1188+1)+1,"00"),"")&amp;IF($C1188&gt;=3,", "&amp;$A1188&amp;"-"&amp;TEXT(($D1188-$C1188+1)+2,"00"),"")&amp;IF($C1188&gt;=4,", "&amp;$A1188&amp;"-"&amp;TEXT(($D1188-$C1188+1)+3,"00"),"")&amp;IF($C1188&gt;=5,", "&amp;$A1188&amp;"-"&amp;TEXT(($D1188-$C1188+1)+4,"00"),"")&amp;IF($C1188&gt;=6,", "&amp;$A1188&amp;"-"&amp;TEXT(($D1188-$C1188+1)+5,"00"),"")&amp;IF($C1188&gt;=7,", "&amp;$A1188&amp;"-"&amp;TEXT(($D1188-$C1188+1)+6,"00"),"")&amp;IF($C1188&gt;=8,", "&amp;$A1188&amp;"-"&amp;TEXT(($D1188-$C1188+1)+7,"00"),"")&amp;IF($C1188&gt;=9,", "&amp;$A1188&amp;"-"&amp;TEXT(($D1188-$C1188+1)+8,"00"),"")&amp;IF($C1188&gt;=10,", "&amp;$A1188&amp;"-"&amp;TEXT(($D1188-$C1188+1)+9,"00"),"")&amp;IF($C1188&gt;=11,", "&amp;$A1188&amp;"-"&amp;TEXT(($D1188-$C1188+1)+10,"00"),"")&amp;IF($C1188&gt;=12,", "&amp;$A1188&amp;"-"&amp;TEXT(($D1188-$C1188+1)+11,"00"),"")&amp;IF($C1188&gt;=13,", "&amp;$A1188&amp;"-"&amp;TEXT(($D1188-$C1188+1)+12,"00"),"")&amp;IF($C1188&gt;=14,", "&amp;$A1188&amp;"-"&amp;TEXT(($D1188-$C1188+1)+13,"00"),"")&amp;IF($C1188&gt;=15,", "&amp;$A1188&amp;"-"&amp;TEXT(($D1188-$C1188+1)+14,"00"),"")&amp;IF($C1188&gt;=16,", "&amp;$A1188&amp;"-"&amp;TEXT(($D1188-$C1188+1)+15,"00"),"")&amp;IF($C1188&gt;=17,", "&amp;$A1188&amp;"-"&amp;TEXT(($D1188-$C1188+1)+16,"00"),"")&amp;IF($C1188&gt;=18,", "&amp;$A1188&amp;"-"&amp;TEXT(($D1188-$C1188+1)+17,"00"),"")&amp;IF($C1188&gt;=19,", "&amp;$A1188&amp;"-"&amp;TEXT(($D1188-$C1188+1)+18,"00"),"")&amp;IF($C1188&gt;=20,", "&amp;$A1188&amp;"-"&amp;TEXT(($D1188-$C1188+1)+19,"00"),"")&amp;IF($C1188&gt;=21,", "&amp;$A1188&amp;"-"&amp;TEXT(($D1188-$C1188+1)+20,"00"),"")&amp;IF($C1188&gt;=22,", "&amp;$A1188&amp;"-"&amp;TEXT(($D1188-$C1188+1)+21,"00"),"")&amp;IF($C1188&gt;=23,", "&amp;$A1188&amp;"-"&amp;TEXT(($D1188-$C1188+1)+22,"00"),"")&amp;IF($C1188&gt;=24,", "&amp;$A1188&amp;"-"&amp;TEXT(($D1188-$C1188+1)+23,"00"),"")&amp;IF($C1188&gt;=25,", "&amp;$A1188&amp;"-"&amp;TEXT(($D1188-$C1188+1)+24,"00"),""))</f>
        <v/>
      </c>
      <c r="G1188">
        <f>IF($A1188="","",IF($E1188=1,$F1188,IF($F1188="",$G1187,IF($G1187="",$F1188,$G1187&amp;", "&amp;$F1188))))</f>
        <v/>
      </c>
      <c r="H1188">
        <f>IF($A1188="","",$A1188&amp;" ("&amp;$C1188&amp;")")</f>
        <v/>
      </c>
      <c r="I1188">
        <f>IF($A1188="","",IF($E1188=1,$H1188,$I1187&amp;", "&amp;$H1188))</f>
        <v/>
      </c>
      <c r="J1188">
        <f>IF($A1188="","",IF($E1188=1,$B1188,""))</f>
        <v/>
      </c>
      <c r="K1188">
        <f>IF($A1188="","",IF(COUNTIF($B$2:$B1188,$B1188)=COUNTIF($B$2:$B$1601,$B1188),$B1188,""))</f>
        <v/>
      </c>
    </row>
    <row r="1189">
      <c r="A1189">
        <f>IF('TMP Paste'!$E1189="","",'TMP Paste'!$E1189)</f>
        <v/>
      </c>
      <c r="B1189">
        <f>IF($A1189="","",COUNTIF('TMP Paste'!$B$2:$B1189,"?*"))</f>
        <v/>
      </c>
      <c r="C1189">
        <f>IF($A1189="","",IFERROR('TMP Paste'!$M1189*1,0))</f>
        <v/>
      </c>
      <c r="D1189">
        <f>IF($A1189="","",SUMIF($B$2:$B1189,$B1189,$C$2:$C1189))</f>
        <v/>
      </c>
      <c r="E1189">
        <f>IF($A1189="",0,IF('TMP Paste'!$B1189="",0,1))</f>
        <v/>
      </c>
      <c r="F1189">
        <f>IF(OR($A1189="",$C1189&lt;1),"",$A1189&amp;"-"&amp;TEXT(($D1189-$C1189+1),"00")&amp;IF($C1189&gt;=2,", "&amp;$A1189&amp;"-"&amp;TEXT(($D1189-$C1189+1)+1,"00"),"")&amp;IF($C1189&gt;=3,", "&amp;$A1189&amp;"-"&amp;TEXT(($D1189-$C1189+1)+2,"00"),"")&amp;IF($C1189&gt;=4,", "&amp;$A1189&amp;"-"&amp;TEXT(($D1189-$C1189+1)+3,"00"),"")&amp;IF($C1189&gt;=5,", "&amp;$A1189&amp;"-"&amp;TEXT(($D1189-$C1189+1)+4,"00"),"")&amp;IF($C1189&gt;=6,", "&amp;$A1189&amp;"-"&amp;TEXT(($D1189-$C1189+1)+5,"00"),"")&amp;IF($C1189&gt;=7,", "&amp;$A1189&amp;"-"&amp;TEXT(($D1189-$C1189+1)+6,"00"),"")&amp;IF($C1189&gt;=8,", "&amp;$A1189&amp;"-"&amp;TEXT(($D1189-$C1189+1)+7,"00"),"")&amp;IF($C1189&gt;=9,", "&amp;$A1189&amp;"-"&amp;TEXT(($D1189-$C1189+1)+8,"00"),"")&amp;IF($C1189&gt;=10,", "&amp;$A1189&amp;"-"&amp;TEXT(($D1189-$C1189+1)+9,"00"),"")&amp;IF($C1189&gt;=11,", "&amp;$A1189&amp;"-"&amp;TEXT(($D1189-$C1189+1)+10,"00"),"")&amp;IF($C1189&gt;=12,", "&amp;$A1189&amp;"-"&amp;TEXT(($D1189-$C1189+1)+11,"00"),"")&amp;IF($C1189&gt;=13,", "&amp;$A1189&amp;"-"&amp;TEXT(($D1189-$C1189+1)+12,"00"),"")&amp;IF($C1189&gt;=14,", "&amp;$A1189&amp;"-"&amp;TEXT(($D1189-$C1189+1)+13,"00"),"")&amp;IF($C1189&gt;=15,", "&amp;$A1189&amp;"-"&amp;TEXT(($D1189-$C1189+1)+14,"00"),"")&amp;IF($C1189&gt;=16,", "&amp;$A1189&amp;"-"&amp;TEXT(($D1189-$C1189+1)+15,"00"),"")&amp;IF($C1189&gt;=17,", "&amp;$A1189&amp;"-"&amp;TEXT(($D1189-$C1189+1)+16,"00"),"")&amp;IF($C1189&gt;=18,", "&amp;$A1189&amp;"-"&amp;TEXT(($D1189-$C1189+1)+17,"00"),"")&amp;IF($C1189&gt;=19,", "&amp;$A1189&amp;"-"&amp;TEXT(($D1189-$C1189+1)+18,"00"),"")&amp;IF($C1189&gt;=20,", "&amp;$A1189&amp;"-"&amp;TEXT(($D1189-$C1189+1)+19,"00"),"")&amp;IF($C1189&gt;=21,", "&amp;$A1189&amp;"-"&amp;TEXT(($D1189-$C1189+1)+20,"00"),"")&amp;IF($C1189&gt;=22,", "&amp;$A1189&amp;"-"&amp;TEXT(($D1189-$C1189+1)+21,"00"),"")&amp;IF($C1189&gt;=23,", "&amp;$A1189&amp;"-"&amp;TEXT(($D1189-$C1189+1)+22,"00"),"")&amp;IF($C1189&gt;=24,", "&amp;$A1189&amp;"-"&amp;TEXT(($D1189-$C1189+1)+23,"00"),"")&amp;IF($C1189&gt;=25,", "&amp;$A1189&amp;"-"&amp;TEXT(($D1189-$C1189+1)+24,"00"),""))</f>
        <v/>
      </c>
      <c r="G1189">
        <f>IF($A1189="","",IF($E1189=1,$F1189,IF($F1189="",$G1188,IF($G1188="",$F1189,$G1188&amp;", "&amp;$F1189))))</f>
        <v/>
      </c>
      <c r="H1189">
        <f>IF($A1189="","",$A1189&amp;" ("&amp;$C1189&amp;")")</f>
        <v/>
      </c>
      <c r="I1189">
        <f>IF($A1189="","",IF($E1189=1,$H1189,$I1188&amp;", "&amp;$H1189))</f>
        <v/>
      </c>
      <c r="J1189">
        <f>IF($A1189="","",IF($E1189=1,$B1189,""))</f>
        <v/>
      </c>
      <c r="K1189">
        <f>IF($A1189="","",IF(COUNTIF($B$2:$B1189,$B1189)=COUNTIF($B$2:$B$1601,$B1189),$B1189,""))</f>
        <v/>
      </c>
    </row>
    <row r="1190">
      <c r="A1190">
        <f>IF('TMP Paste'!$E1190="","",'TMP Paste'!$E1190)</f>
        <v/>
      </c>
      <c r="B1190">
        <f>IF($A1190="","",COUNTIF('TMP Paste'!$B$2:$B1190,"?*"))</f>
        <v/>
      </c>
      <c r="C1190">
        <f>IF($A1190="","",IFERROR('TMP Paste'!$M1190*1,0))</f>
        <v/>
      </c>
      <c r="D1190">
        <f>IF($A1190="","",SUMIF($B$2:$B1190,$B1190,$C$2:$C1190))</f>
        <v/>
      </c>
      <c r="E1190">
        <f>IF($A1190="",0,IF('TMP Paste'!$B1190="",0,1))</f>
        <v/>
      </c>
      <c r="F1190">
        <f>IF(OR($A1190="",$C1190&lt;1),"",$A1190&amp;"-"&amp;TEXT(($D1190-$C1190+1),"00")&amp;IF($C1190&gt;=2,", "&amp;$A1190&amp;"-"&amp;TEXT(($D1190-$C1190+1)+1,"00"),"")&amp;IF($C1190&gt;=3,", "&amp;$A1190&amp;"-"&amp;TEXT(($D1190-$C1190+1)+2,"00"),"")&amp;IF($C1190&gt;=4,", "&amp;$A1190&amp;"-"&amp;TEXT(($D1190-$C1190+1)+3,"00"),"")&amp;IF($C1190&gt;=5,", "&amp;$A1190&amp;"-"&amp;TEXT(($D1190-$C1190+1)+4,"00"),"")&amp;IF($C1190&gt;=6,", "&amp;$A1190&amp;"-"&amp;TEXT(($D1190-$C1190+1)+5,"00"),"")&amp;IF($C1190&gt;=7,", "&amp;$A1190&amp;"-"&amp;TEXT(($D1190-$C1190+1)+6,"00"),"")&amp;IF($C1190&gt;=8,", "&amp;$A1190&amp;"-"&amp;TEXT(($D1190-$C1190+1)+7,"00"),"")&amp;IF($C1190&gt;=9,", "&amp;$A1190&amp;"-"&amp;TEXT(($D1190-$C1190+1)+8,"00"),"")&amp;IF($C1190&gt;=10,", "&amp;$A1190&amp;"-"&amp;TEXT(($D1190-$C1190+1)+9,"00"),"")&amp;IF($C1190&gt;=11,", "&amp;$A1190&amp;"-"&amp;TEXT(($D1190-$C1190+1)+10,"00"),"")&amp;IF($C1190&gt;=12,", "&amp;$A1190&amp;"-"&amp;TEXT(($D1190-$C1190+1)+11,"00"),"")&amp;IF($C1190&gt;=13,", "&amp;$A1190&amp;"-"&amp;TEXT(($D1190-$C1190+1)+12,"00"),"")&amp;IF($C1190&gt;=14,", "&amp;$A1190&amp;"-"&amp;TEXT(($D1190-$C1190+1)+13,"00"),"")&amp;IF($C1190&gt;=15,", "&amp;$A1190&amp;"-"&amp;TEXT(($D1190-$C1190+1)+14,"00"),"")&amp;IF($C1190&gt;=16,", "&amp;$A1190&amp;"-"&amp;TEXT(($D1190-$C1190+1)+15,"00"),"")&amp;IF($C1190&gt;=17,", "&amp;$A1190&amp;"-"&amp;TEXT(($D1190-$C1190+1)+16,"00"),"")&amp;IF($C1190&gt;=18,", "&amp;$A1190&amp;"-"&amp;TEXT(($D1190-$C1190+1)+17,"00"),"")&amp;IF($C1190&gt;=19,", "&amp;$A1190&amp;"-"&amp;TEXT(($D1190-$C1190+1)+18,"00"),"")&amp;IF($C1190&gt;=20,", "&amp;$A1190&amp;"-"&amp;TEXT(($D1190-$C1190+1)+19,"00"),"")&amp;IF($C1190&gt;=21,", "&amp;$A1190&amp;"-"&amp;TEXT(($D1190-$C1190+1)+20,"00"),"")&amp;IF($C1190&gt;=22,", "&amp;$A1190&amp;"-"&amp;TEXT(($D1190-$C1190+1)+21,"00"),"")&amp;IF($C1190&gt;=23,", "&amp;$A1190&amp;"-"&amp;TEXT(($D1190-$C1190+1)+22,"00"),"")&amp;IF($C1190&gt;=24,", "&amp;$A1190&amp;"-"&amp;TEXT(($D1190-$C1190+1)+23,"00"),"")&amp;IF($C1190&gt;=25,", "&amp;$A1190&amp;"-"&amp;TEXT(($D1190-$C1190+1)+24,"00"),""))</f>
        <v/>
      </c>
      <c r="G1190">
        <f>IF($A1190="","",IF($E1190=1,$F1190,IF($F1190="",$G1189,IF($G1189="",$F1190,$G1189&amp;", "&amp;$F1190))))</f>
        <v/>
      </c>
      <c r="H1190">
        <f>IF($A1190="","",$A1190&amp;" ("&amp;$C1190&amp;")")</f>
        <v/>
      </c>
      <c r="I1190">
        <f>IF($A1190="","",IF($E1190=1,$H1190,$I1189&amp;", "&amp;$H1190))</f>
        <v/>
      </c>
      <c r="J1190">
        <f>IF($A1190="","",IF($E1190=1,$B1190,""))</f>
        <v/>
      </c>
      <c r="K1190">
        <f>IF($A1190="","",IF(COUNTIF($B$2:$B1190,$B1190)=COUNTIF($B$2:$B$1601,$B1190),$B1190,""))</f>
        <v/>
      </c>
    </row>
    <row r="1191">
      <c r="A1191">
        <f>IF('TMP Paste'!$E1191="","",'TMP Paste'!$E1191)</f>
        <v/>
      </c>
      <c r="B1191">
        <f>IF($A1191="","",COUNTIF('TMP Paste'!$B$2:$B1191,"?*"))</f>
        <v/>
      </c>
      <c r="C1191">
        <f>IF($A1191="","",IFERROR('TMP Paste'!$M1191*1,0))</f>
        <v/>
      </c>
      <c r="D1191">
        <f>IF($A1191="","",SUMIF($B$2:$B1191,$B1191,$C$2:$C1191))</f>
        <v/>
      </c>
      <c r="E1191">
        <f>IF($A1191="",0,IF('TMP Paste'!$B1191="",0,1))</f>
        <v/>
      </c>
      <c r="F1191">
        <f>IF(OR($A1191="",$C1191&lt;1),"",$A1191&amp;"-"&amp;TEXT(($D1191-$C1191+1),"00")&amp;IF($C1191&gt;=2,", "&amp;$A1191&amp;"-"&amp;TEXT(($D1191-$C1191+1)+1,"00"),"")&amp;IF($C1191&gt;=3,", "&amp;$A1191&amp;"-"&amp;TEXT(($D1191-$C1191+1)+2,"00"),"")&amp;IF($C1191&gt;=4,", "&amp;$A1191&amp;"-"&amp;TEXT(($D1191-$C1191+1)+3,"00"),"")&amp;IF($C1191&gt;=5,", "&amp;$A1191&amp;"-"&amp;TEXT(($D1191-$C1191+1)+4,"00"),"")&amp;IF($C1191&gt;=6,", "&amp;$A1191&amp;"-"&amp;TEXT(($D1191-$C1191+1)+5,"00"),"")&amp;IF($C1191&gt;=7,", "&amp;$A1191&amp;"-"&amp;TEXT(($D1191-$C1191+1)+6,"00"),"")&amp;IF($C1191&gt;=8,", "&amp;$A1191&amp;"-"&amp;TEXT(($D1191-$C1191+1)+7,"00"),"")&amp;IF($C1191&gt;=9,", "&amp;$A1191&amp;"-"&amp;TEXT(($D1191-$C1191+1)+8,"00"),"")&amp;IF($C1191&gt;=10,", "&amp;$A1191&amp;"-"&amp;TEXT(($D1191-$C1191+1)+9,"00"),"")&amp;IF($C1191&gt;=11,", "&amp;$A1191&amp;"-"&amp;TEXT(($D1191-$C1191+1)+10,"00"),"")&amp;IF($C1191&gt;=12,", "&amp;$A1191&amp;"-"&amp;TEXT(($D1191-$C1191+1)+11,"00"),"")&amp;IF($C1191&gt;=13,", "&amp;$A1191&amp;"-"&amp;TEXT(($D1191-$C1191+1)+12,"00"),"")&amp;IF($C1191&gt;=14,", "&amp;$A1191&amp;"-"&amp;TEXT(($D1191-$C1191+1)+13,"00"),"")&amp;IF($C1191&gt;=15,", "&amp;$A1191&amp;"-"&amp;TEXT(($D1191-$C1191+1)+14,"00"),"")&amp;IF($C1191&gt;=16,", "&amp;$A1191&amp;"-"&amp;TEXT(($D1191-$C1191+1)+15,"00"),"")&amp;IF($C1191&gt;=17,", "&amp;$A1191&amp;"-"&amp;TEXT(($D1191-$C1191+1)+16,"00"),"")&amp;IF($C1191&gt;=18,", "&amp;$A1191&amp;"-"&amp;TEXT(($D1191-$C1191+1)+17,"00"),"")&amp;IF($C1191&gt;=19,", "&amp;$A1191&amp;"-"&amp;TEXT(($D1191-$C1191+1)+18,"00"),"")&amp;IF($C1191&gt;=20,", "&amp;$A1191&amp;"-"&amp;TEXT(($D1191-$C1191+1)+19,"00"),"")&amp;IF($C1191&gt;=21,", "&amp;$A1191&amp;"-"&amp;TEXT(($D1191-$C1191+1)+20,"00"),"")&amp;IF($C1191&gt;=22,", "&amp;$A1191&amp;"-"&amp;TEXT(($D1191-$C1191+1)+21,"00"),"")&amp;IF($C1191&gt;=23,", "&amp;$A1191&amp;"-"&amp;TEXT(($D1191-$C1191+1)+22,"00"),"")&amp;IF($C1191&gt;=24,", "&amp;$A1191&amp;"-"&amp;TEXT(($D1191-$C1191+1)+23,"00"),"")&amp;IF($C1191&gt;=25,", "&amp;$A1191&amp;"-"&amp;TEXT(($D1191-$C1191+1)+24,"00"),""))</f>
        <v/>
      </c>
      <c r="G1191">
        <f>IF($A1191="","",IF($E1191=1,$F1191,IF($F1191="",$G1190,IF($G1190="",$F1191,$G1190&amp;", "&amp;$F1191))))</f>
        <v/>
      </c>
      <c r="H1191">
        <f>IF($A1191="","",$A1191&amp;" ("&amp;$C1191&amp;")")</f>
        <v/>
      </c>
      <c r="I1191">
        <f>IF($A1191="","",IF($E1191=1,$H1191,$I1190&amp;", "&amp;$H1191))</f>
        <v/>
      </c>
      <c r="J1191">
        <f>IF($A1191="","",IF($E1191=1,$B1191,""))</f>
        <v/>
      </c>
      <c r="K1191">
        <f>IF($A1191="","",IF(COUNTIF($B$2:$B1191,$B1191)=COUNTIF($B$2:$B$1601,$B1191),$B1191,""))</f>
        <v/>
      </c>
    </row>
    <row r="1192">
      <c r="A1192">
        <f>IF('TMP Paste'!$E1192="","",'TMP Paste'!$E1192)</f>
        <v/>
      </c>
      <c r="B1192">
        <f>IF($A1192="","",COUNTIF('TMP Paste'!$B$2:$B1192,"?*"))</f>
        <v/>
      </c>
      <c r="C1192">
        <f>IF($A1192="","",IFERROR('TMP Paste'!$M1192*1,0))</f>
        <v/>
      </c>
      <c r="D1192">
        <f>IF($A1192="","",SUMIF($B$2:$B1192,$B1192,$C$2:$C1192))</f>
        <v/>
      </c>
      <c r="E1192">
        <f>IF($A1192="",0,IF('TMP Paste'!$B1192="",0,1))</f>
        <v/>
      </c>
      <c r="F1192">
        <f>IF(OR($A1192="",$C1192&lt;1),"",$A1192&amp;"-"&amp;TEXT(($D1192-$C1192+1),"00")&amp;IF($C1192&gt;=2,", "&amp;$A1192&amp;"-"&amp;TEXT(($D1192-$C1192+1)+1,"00"),"")&amp;IF($C1192&gt;=3,", "&amp;$A1192&amp;"-"&amp;TEXT(($D1192-$C1192+1)+2,"00"),"")&amp;IF($C1192&gt;=4,", "&amp;$A1192&amp;"-"&amp;TEXT(($D1192-$C1192+1)+3,"00"),"")&amp;IF($C1192&gt;=5,", "&amp;$A1192&amp;"-"&amp;TEXT(($D1192-$C1192+1)+4,"00"),"")&amp;IF($C1192&gt;=6,", "&amp;$A1192&amp;"-"&amp;TEXT(($D1192-$C1192+1)+5,"00"),"")&amp;IF($C1192&gt;=7,", "&amp;$A1192&amp;"-"&amp;TEXT(($D1192-$C1192+1)+6,"00"),"")&amp;IF($C1192&gt;=8,", "&amp;$A1192&amp;"-"&amp;TEXT(($D1192-$C1192+1)+7,"00"),"")&amp;IF($C1192&gt;=9,", "&amp;$A1192&amp;"-"&amp;TEXT(($D1192-$C1192+1)+8,"00"),"")&amp;IF($C1192&gt;=10,", "&amp;$A1192&amp;"-"&amp;TEXT(($D1192-$C1192+1)+9,"00"),"")&amp;IF($C1192&gt;=11,", "&amp;$A1192&amp;"-"&amp;TEXT(($D1192-$C1192+1)+10,"00"),"")&amp;IF($C1192&gt;=12,", "&amp;$A1192&amp;"-"&amp;TEXT(($D1192-$C1192+1)+11,"00"),"")&amp;IF($C1192&gt;=13,", "&amp;$A1192&amp;"-"&amp;TEXT(($D1192-$C1192+1)+12,"00"),"")&amp;IF($C1192&gt;=14,", "&amp;$A1192&amp;"-"&amp;TEXT(($D1192-$C1192+1)+13,"00"),"")&amp;IF($C1192&gt;=15,", "&amp;$A1192&amp;"-"&amp;TEXT(($D1192-$C1192+1)+14,"00"),"")&amp;IF($C1192&gt;=16,", "&amp;$A1192&amp;"-"&amp;TEXT(($D1192-$C1192+1)+15,"00"),"")&amp;IF($C1192&gt;=17,", "&amp;$A1192&amp;"-"&amp;TEXT(($D1192-$C1192+1)+16,"00"),"")&amp;IF($C1192&gt;=18,", "&amp;$A1192&amp;"-"&amp;TEXT(($D1192-$C1192+1)+17,"00"),"")&amp;IF($C1192&gt;=19,", "&amp;$A1192&amp;"-"&amp;TEXT(($D1192-$C1192+1)+18,"00"),"")&amp;IF($C1192&gt;=20,", "&amp;$A1192&amp;"-"&amp;TEXT(($D1192-$C1192+1)+19,"00"),"")&amp;IF($C1192&gt;=21,", "&amp;$A1192&amp;"-"&amp;TEXT(($D1192-$C1192+1)+20,"00"),"")&amp;IF($C1192&gt;=22,", "&amp;$A1192&amp;"-"&amp;TEXT(($D1192-$C1192+1)+21,"00"),"")&amp;IF($C1192&gt;=23,", "&amp;$A1192&amp;"-"&amp;TEXT(($D1192-$C1192+1)+22,"00"),"")&amp;IF($C1192&gt;=24,", "&amp;$A1192&amp;"-"&amp;TEXT(($D1192-$C1192+1)+23,"00"),"")&amp;IF($C1192&gt;=25,", "&amp;$A1192&amp;"-"&amp;TEXT(($D1192-$C1192+1)+24,"00"),""))</f>
        <v/>
      </c>
      <c r="G1192">
        <f>IF($A1192="","",IF($E1192=1,$F1192,IF($F1192="",$G1191,IF($G1191="",$F1192,$G1191&amp;", "&amp;$F1192))))</f>
        <v/>
      </c>
      <c r="H1192">
        <f>IF($A1192="","",$A1192&amp;" ("&amp;$C1192&amp;")")</f>
        <v/>
      </c>
      <c r="I1192">
        <f>IF($A1192="","",IF($E1192=1,$H1192,$I1191&amp;", "&amp;$H1192))</f>
        <v/>
      </c>
      <c r="J1192">
        <f>IF($A1192="","",IF($E1192=1,$B1192,""))</f>
        <v/>
      </c>
      <c r="K1192">
        <f>IF($A1192="","",IF(COUNTIF($B$2:$B1192,$B1192)=COUNTIF($B$2:$B$1601,$B1192),$B1192,""))</f>
        <v/>
      </c>
    </row>
    <row r="1193">
      <c r="A1193">
        <f>IF('TMP Paste'!$E1193="","",'TMP Paste'!$E1193)</f>
        <v/>
      </c>
      <c r="B1193">
        <f>IF($A1193="","",COUNTIF('TMP Paste'!$B$2:$B1193,"?*"))</f>
        <v/>
      </c>
      <c r="C1193">
        <f>IF($A1193="","",IFERROR('TMP Paste'!$M1193*1,0))</f>
        <v/>
      </c>
      <c r="D1193">
        <f>IF($A1193="","",SUMIF($B$2:$B1193,$B1193,$C$2:$C1193))</f>
        <v/>
      </c>
      <c r="E1193">
        <f>IF($A1193="",0,IF('TMP Paste'!$B1193="",0,1))</f>
        <v/>
      </c>
      <c r="F1193">
        <f>IF(OR($A1193="",$C1193&lt;1),"",$A1193&amp;"-"&amp;TEXT(($D1193-$C1193+1),"00")&amp;IF($C1193&gt;=2,", "&amp;$A1193&amp;"-"&amp;TEXT(($D1193-$C1193+1)+1,"00"),"")&amp;IF($C1193&gt;=3,", "&amp;$A1193&amp;"-"&amp;TEXT(($D1193-$C1193+1)+2,"00"),"")&amp;IF($C1193&gt;=4,", "&amp;$A1193&amp;"-"&amp;TEXT(($D1193-$C1193+1)+3,"00"),"")&amp;IF($C1193&gt;=5,", "&amp;$A1193&amp;"-"&amp;TEXT(($D1193-$C1193+1)+4,"00"),"")&amp;IF($C1193&gt;=6,", "&amp;$A1193&amp;"-"&amp;TEXT(($D1193-$C1193+1)+5,"00"),"")&amp;IF($C1193&gt;=7,", "&amp;$A1193&amp;"-"&amp;TEXT(($D1193-$C1193+1)+6,"00"),"")&amp;IF($C1193&gt;=8,", "&amp;$A1193&amp;"-"&amp;TEXT(($D1193-$C1193+1)+7,"00"),"")&amp;IF($C1193&gt;=9,", "&amp;$A1193&amp;"-"&amp;TEXT(($D1193-$C1193+1)+8,"00"),"")&amp;IF($C1193&gt;=10,", "&amp;$A1193&amp;"-"&amp;TEXT(($D1193-$C1193+1)+9,"00"),"")&amp;IF($C1193&gt;=11,", "&amp;$A1193&amp;"-"&amp;TEXT(($D1193-$C1193+1)+10,"00"),"")&amp;IF($C1193&gt;=12,", "&amp;$A1193&amp;"-"&amp;TEXT(($D1193-$C1193+1)+11,"00"),"")&amp;IF($C1193&gt;=13,", "&amp;$A1193&amp;"-"&amp;TEXT(($D1193-$C1193+1)+12,"00"),"")&amp;IF($C1193&gt;=14,", "&amp;$A1193&amp;"-"&amp;TEXT(($D1193-$C1193+1)+13,"00"),"")&amp;IF($C1193&gt;=15,", "&amp;$A1193&amp;"-"&amp;TEXT(($D1193-$C1193+1)+14,"00"),"")&amp;IF($C1193&gt;=16,", "&amp;$A1193&amp;"-"&amp;TEXT(($D1193-$C1193+1)+15,"00"),"")&amp;IF($C1193&gt;=17,", "&amp;$A1193&amp;"-"&amp;TEXT(($D1193-$C1193+1)+16,"00"),"")&amp;IF($C1193&gt;=18,", "&amp;$A1193&amp;"-"&amp;TEXT(($D1193-$C1193+1)+17,"00"),"")&amp;IF($C1193&gt;=19,", "&amp;$A1193&amp;"-"&amp;TEXT(($D1193-$C1193+1)+18,"00"),"")&amp;IF($C1193&gt;=20,", "&amp;$A1193&amp;"-"&amp;TEXT(($D1193-$C1193+1)+19,"00"),"")&amp;IF($C1193&gt;=21,", "&amp;$A1193&amp;"-"&amp;TEXT(($D1193-$C1193+1)+20,"00"),"")&amp;IF($C1193&gt;=22,", "&amp;$A1193&amp;"-"&amp;TEXT(($D1193-$C1193+1)+21,"00"),"")&amp;IF($C1193&gt;=23,", "&amp;$A1193&amp;"-"&amp;TEXT(($D1193-$C1193+1)+22,"00"),"")&amp;IF($C1193&gt;=24,", "&amp;$A1193&amp;"-"&amp;TEXT(($D1193-$C1193+1)+23,"00"),"")&amp;IF($C1193&gt;=25,", "&amp;$A1193&amp;"-"&amp;TEXT(($D1193-$C1193+1)+24,"00"),""))</f>
        <v/>
      </c>
      <c r="G1193">
        <f>IF($A1193="","",IF($E1193=1,$F1193,IF($F1193="",$G1192,IF($G1192="",$F1193,$G1192&amp;", "&amp;$F1193))))</f>
        <v/>
      </c>
      <c r="H1193">
        <f>IF($A1193="","",$A1193&amp;" ("&amp;$C1193&amp;")")</f>
        <v/>
      </c>
      <c r="I1193">
        <f>IF($A1193="","",IF($E1193=1,$H1193,$I1192&amp;", "&amp;$H1193))</f>
        <v/>
      </c>
      <c r="J1193">
        <f>IF($A1193="","",IF($E1193=1,$B1193,""))</f>
        <v/>
      </c>
      <c r="K1193">
        <f>IF($A1193="","",IF(COUNTIF($B$2:$B1193,$B1193)=COUNTIF($B$2:$B$1601,$B1193),$B1193,""))</f>
        <v/>
      </c>
    </row>
    <row r="1194">
      <c r="A1194">
        <f>IF('TMP Paste'!$E1194="","",'TMP Paste'!$E1194)</f>
        <v/>
      </c>
      <c r="B1194">
        <f>IF($A1194="","",COUNTIF('TMP Paste'!$B$2:$B1194,"?*"))</f>
        <v/>
      </c>
      <c r="C1194">
        <f>IF($A1194="","",IFERROR('TMP Paste'!$M1194*1,0))</f>
        <v/>
      </c>
      <c r="D1194">
        <f>IF($A1194="","",SUMIF($B$2:$B1194,$B1194,$C$2:$C1194))</f>
        <v/>
      </c>
      <c r="E1194">
        <f>IF($A1194="",0,IF('TMP Paste'!$B1194="",0,1))</f>
        <v/>
      </c>
      <c r="F1194">
        <f>IF(OR($A1194="",$C1194&lt;1),"",$A1194&amp;"-"&amp;TEXT(($D1194-$C1194+1),"00")&amp;IF($C1194&gt;=2,", "&amp;$A1194&amp;"-"&amp;TEXT(($D1194-$C1194+1)+1,"00"),"")&amp;IF($C1194&gt;=3,", "&amp;$A1194&amp;"-"&amp;TEXT(($D1194-$C1194+1)+2,"00"),"")&amp;IF($C1194&gt;=4,", "&amp;$A1194&amp;"-"&amp;TEXT(($D1194-$C1194+1)+3,"00"),"")&amp;IF($C1194&gt;=5,", "&amp;$A1194&amp;"-"&amp;TEXT(($D1194-$C1194+1)+4,"00"),"")&amp;IF($C1194&gt;=6,", "&amp;$A1194&amp;"-"&amp;TEXT(($D1194-$C1194+1)+5,"00"),"")&amp;IF($C1194&gt;=7,", "&amp;$A1194&amp;"-"&amp;TEXT(($D1194-$C1194+1)+6,"00"),"")&amp;IF($C1194&gt;=8,", "&amp;$A1194&amp;"-"&amp;TEXT(($D1194-$C1194+1)+7,"00"),"")&amp;IF($C1194&gt;=9,", "&amp;$A1194&amp;"-"&amp;TEXT(($D1194-$C1194+1)+8,"00"),"")&amp;IF($C1194&gt;=10,", "&amp;$A1194&amp;"-"&amp;TEXT(($D1194-$C1194+1)+9,"00"),"")&amp;IF($C1194&gt;=11,", "&amp;$A1194&amp;"-"&amp;TEXT(($D1194-$C1194+1)+10,"00"),"")&amp;IF($C1194&gt;=12,", "&amp;$A1194&amp;"-"&amp;TEXT(($D1194-$C1194+1)+11,"00"),"")&amp;IF($C1194&gt;=13,", "&amp;$A1194&amp;"-"&amp;TEXT(($D1194-$C1194+1)+12,"00"),"")&amp;IF($C1194&gt;=14,", "&amp;$A1194&amp;"-"&amp;TEXT(($D1194-$C1194+1)+13,"00"),"")&amp;IF($C1194&gt;=15,", "&amp;$A1194&amp;"-"&amp;TEXT(($D1194-$C1194+1)+14,"00"),"")&amp;IF($C1194&gt;=16,", "&amp;$A1194&amp;"-"&amp;TEXT(($D1194-$C1194+1)+15,"00"),"")&amp;IF($C1194&gt;=17,", "&amp;$A1194&amp;"-"&amp;TEXT(($D1194-$C1194+1)+16,"00"),"")&amp;IF($C1194&gt;=18,", "&amp;$A1194&amp;"-"&amp;TEXT(($D1194-$C1194+1)+17,"00"),"")&amp;IF($C1194&gt;=19,", "&amp;$A1194&amp;"-"&amp;TEXT(($D1194-$C1194+1)+18,"00"),"")&amp;IF($C1194&gt;=20,", "&amp;$A1194&amp;"-"&amp;TEXT(($D1194-$C1194+1)+19,"00"),"")&amp;IF($C1194&gt;=21,", "&amp;$A1194&amp;"-"&amp;TEXT(($D1194-$C1194+1)+20,"00"),"")&amp;IF($C1194&gt;=22,", "&amp;$A1194&amp;"-"&amp;TEXT(($D1194-$C1194+1)+21,"00"),"")&amp;IF($C1194&gt;=23,", "&amp;$A1194&amp;"-"&amp;TEXT(($D1194-$C1194+1)+22,"00"),"")&amp;IF($C1194&gt;=24,", "&amp;$A1194&amp;"-"&amp;TEXT(($D1194-$C1194+1)+23,"00"),"")&amp;IF($C1194&gt;=25,", "&amp;$A1194&amp;"-"&amp;TEXT(($D1194-$C1194+1)+24,"00"),""))</f>
        <v/>
      </c>
      <c r="G1194">
        <f>IF($A1194="","",IF($E1194=1,$F1194,IF($F1194="",$G1193,IF($G1193="",$F1194,$G1193&amp;", "&amp;$F1194))))</f>
        <v/>
      </c>
      <c r="H1194">
        <f>IF($A1194="","",$A1194&amp;" ("&amp;$C1194&amp;")")</f>
        <v/>
      </c>
      <c r="I1194">
        <f>IF($A1194="","",IF($E1194=1,$H1194,$I1193&amp;", "&amp;$H1194))</f>
        <v/>
      </c>
      <c r="J1194">
        <f>IF($A1194="","",IF($E1194=1,$B1194,""))</f>
        <v/>
      </c>
      <c r="K1194">
        <f>IF($A1194="","",IF(COUNTIF($B$2:$B1194,$B1194)=COUNTIF($B$2:$B$1601,$B1194),$B1194,""))</f>
        <v/>
      </c>
    </row>
    <row r="1195">
      <c r="A1195">
        <f>IF('TMP Paste'!$E1195="","",'TMP Paste'!$E1195)</f>
        <v/>
      </c>
      <c r="B1195">
        <f>IF($A1195="","",COUNTIF('TMP Paste'!$B$2:$B1195,"?*"))</f>
        <v/>
      </c>
      <c r="C1195">
        <f>IF($A1195="","",IFERROR('TMP Paste'!$M1195*1,0))</f>
        <v/>
      </c>
      <c r="D1195">
        <f>IF($A1195="","",SUMIF($B$2:$B1195,$B1195,$C$2:$C1195))</f>
        <v/>
      </c>
      <c r="E1195">
        <f>IF($A1195="",0,IF('TMP Paste'!$B1195="",0,1))</f>
        <v/>
      </c>
      <c r="F1195">
        <f>IF(OR($A1195="",$C1195&lt;1),"",$A1195&amp;"-"&amp;TEXT(($D1195-$C1195+1),"00")&amp;IF($C1195&gt;=2,", "&amp;$A1195&amp;"-"&amp;TEXT(($D1195-$C1195+1)+1,"00"),"")&amp;IF($C1195&gt;=3,", "&amp;$A1195&amp;"-"&amp;TEXT(($D1195-$C1195+1)+2,"00"),"")&amp;IF($C1195&gt;=4,", "&amp;$A1195&amp;"-"&amp;TEXT(($D1195-$C1195+1)+3,"00"),"")&amp;IF($C1195&gt;=5,", "&amp;$A1195&amp;"-"&amp;TEXT(($D1195-$C1195+1)+4,"00"),"")&amp;IF($C1195&gt;=6,", "&amp;$A1195&amp;"-"&amp;TEXT(($D1195-$C1195+1)+5,"00"),"")&amp;IF($C1195&gt;=7,", "&amp;$A1195&amp;"-"&amp;TEXT(($D1195-$C1195+1)+6,"00"),"")&amp;IF($C1195&gt;=8,", "&amp;$A1195&amp;"-"&amp;TEXT(($D1195-$C1195+1)+7,"00"),"")&amp;IF($C1195&gt;=9,", "&amp;$A1195&amp;"-"&amp;TEXT(($D1195-$C1195+1)+8,"00"),"")&amp;IF($C1195&gt;=10,", "&amp;$A1195&amp;"-"&amp;TEXT(($D1195-$C1195+1)+9,"00"),"")&amp;IF($C1195&gt;=11,", "&amp;$A1195&amp;"-"&amp;TEXT(($D1195-$C1195+1)+10,"00"),"")&amp;IF($C1195&gt;=12,", "&amp;$A1195&amp;"-"&amp;TEXT(($D1195-$C1195+1)+11,"00"),"")&amp;IF($C1195&gt;=13,", "&amp;$A1195&amp;"-"&amp;TEXT(($D1195-$C1195+1)+12,"00"),"")&amp;IF($C1195&gt;=14,", "&amp;$A1195&amp;"-"&amp;TEXT(($D1195-$C1195+1)+13,"00"),"")&amp;IF($C1195&gt;=15,", "&amp;$A1195&amp;"-"&amp;TEXT(($D1195-$C1195+1)+14,"00"),"")&amp;IF($C1195&gt;=16,", "&amp;$A1195&amp;"-"&amp;TEXT(($D1195-$C1195+1)+15,"00"),"")&amp;IF($C1195&gt;=17,", "&amp;$A1195&amp;"-"&amp;TEXT(($D1195-$C1195+1)+16,"00"),"")&amp;IF($C1195&gt;=18,", "&amp;$A1195&amp;"-"&amp;TEXT(($D1195-$C1195+1)+17,"00"),"")&amp;IF($C1195&gt;=19,", "&amp;$A1195&amp;"-"&amp;TEXT(($D1195-$C1195+1)+18,"00"),"")&amp;IF($C1195&gt;=20,", "&amp;$A1195&amp;"-"&amp;TEXT(($D1195-$C1195+1)+19,"00"),"")&amp;IF($C1195&gt;=21,", "&amp;$A1195&amp;"-"&amp;TEXT(($D1195-$C1195+1)+20,"00"),"")&amp;IF($C1195&gt;=22,", "&amp;$A1195&amp;"-"&amp;TEXT(($D1195-$C1195+1)+21,"00"),"")&amp;IF($C1195&gt;=23,", "&amp;$A1195&amp;"-"&amp;TEXT(($D1195-$C1195+1)+22,"00"),"")&amp;IF($C1195&gt;=24,", "&amp;$A1195&amp;"-"&amp;TEXT(($D1195-$C1195+1)+23,"00"),"")&amp;IF($C1195&gt;=25,", "&amp;$A1195&amp;"-"&amp;TEXT(($D1195-$C1195+1)+24,"00"),""))</f>
        <v/>
      </c>
      <c r="G1195">
        <f>IF($A1195="","",IF($E1195=1,$F1195,IF($F1195="",$G1194,IF($G1194="",$F1195,$G1194&amp;", "&amp;$F1195))))</f>
        <v/>
      </c>
      <c r="H1195">
        <f>IF($A1195="","",$A1195&amp;" ("&amp;$C1195&amp;")")</f>
        <v/>
      </c>
      <c r="I1195">
        <f>IF($A1195="","",IF($E1195=1,$H1195,$I1194&amp;", "&amp;$H1195))</f>
        <v/>
      </c>
      <c r="J1195">
        <f>IF($A1195="","",IF($E1195=1,$B1195,""))</f>
        <v/>
      </c>
      <c r="K1195">
        <f>IF($A1195="","",IF(COUNTIF($B$2:$B1195,$B1195)=COUNTIF($B$2:$B$1601,$B1195),$B1195,""))</f>
        <v/>
      </c>
    </row>
    <row r="1196">
      <c r="A1196">
        <f>IF('TMP Paste'!$E1196="","",'TMP Paste'!$E1196)</f>
        <v/>
      </c>
      <c r="B1196">
        <f>IF($A1196="","",COUNTIF('TMP Paste'!$B$2:$B1196,"?*"))</f>
        <v/>
      </c>
      <c r="C1196">
        <f>IF($A1196="","",IFERROR('TMP Paste'!$M1196*1,0))</f>
        <v/>
      </c>
      <c r="D1196">
        <f>IF($A1196="","",SUMIF($B$2:$B1196,$B1196,$C$2:$C1196))</f>
        <v/>
      </c>
      <c r="E1196">
        <f>IF($A1196="",0,IF('TMP Paste'!$B1196="",0,1))</f>
        <v/>
      </c>
      <c r="F1196">
        <f>IF(OR($A1196="",$C1196&lt;1),"",$A1196&amp;"-"&amp;TEXT(($D1196-$C1196+1),"00")&amp;IF($C1196&gt;=2,", "&amp;$A1196&amp;"-"&amp;TEXT(($D1196-$C1196+1)+1,"00"),"")&amp;IF($C1196&gt;=3,", "&amp;$A1196&amp;"-"&amp;TEXT(($D1196-$C1196+1)+2,"00"),"")&amp;IF($C1196&gt;=4,", "&amp;$A1196&amp;"-"&amp;TEXT(($D1196-$C1196+1)+3,"00"),"")&amp;IF($C1196&gt;=5,", "&amp;$A1196&amp;"-"&amp;TEXT(($D1196-$C1196+1)+4,"00"),"")&amp;IF($C1196&gt;=6,", "&amp;$A1196&amp;"-"&amp;TEXT(($D1196-$C1196+1)+5,"00"),"")&amp;IF($C1196&gt;=7,", "&amp;$A1196&amp;"-"&amp;TEXT(($D1196-$C1196+1)+6,"00"),"")&amp;IF($C1196&gt;=8,", "&amp;$A1196&amp;"-"&amp;TEXT(($D1196-$C1196+1)+7,"00"),"")&amp;IF($C1196&gt;=9,", "&amp;$A1196&amp;"-"&amp;TEXT(($D1196-$C1196+1)+8,"00"),"")&amp;IF($C1196&gt;=10,", "&amp;$A1196&amp;"-"&amp;TEXT(($D1196-$C1196+1)+9,"00"),"")&amp;IF($C1196&gt;=11,", "&amp;$A1196&amp;"-"&amp;TEXT(($D1196-$C1196+1)+10,"00"),"")&amp;IF($C1196&gt;=12,", "&amp;$A1196&amp;"-"&amp;TEXT(($D1196-$C1196+1)+11,"00"),"")&amp;IF($C1196&gt;=13,", "&amp;$A1196&amp;"-"&amp;TEXT(($D1196-$C1196+1)+12,"00"),"")&amp;IF($C1196&gt;=14,", "&amp;$A1196&amp;"-"&amp;TEXT(($D1196-$C1196+1)+13,"00"),"")&amp;IF($C1196&gt;=15,", "&amp;$A1196&amp;"-"&amp;TEXT(($D1196-$C1196+1)+14,"00"),"")&amp;IF($C1196&gt;=16,", "&amp;$A1196&amp;"-"&amp;TEXT(($D1196-$C1196+1)+15,"00"),"")&amp;IF($C1196&gt;=17,", "&amp;$A1196&amp;"-"&amp;TEXT(($D1196-$C1196+1)+16,"00"),"")&amp;IF($C1196&gt;=18,", "&amp;$A1196&amp;"-"&amp;TEXT(($D1196-$C1196+1)+17,"00"),"")&amp;IF($C1196&gt;=19,", "&amp;$A1196&amp;"-"&amp;TEXT(($D1196-$C1196+1)+18,"00"),"")&amp;IF($C1196&gt;=20,", "&amp;$A1196&amp;"-"&amp;TEXT(($D1196-$C1196+1)+19,"00"),"")&amp;IF($C1196&gt;=21,", "&amp;$A1196&amp;"-"&amp;TEXT(($D1196-$C1196+1)+20,"00"),"")&amp;IF($C1196&gt;=22,", "&amp;$A1196&amp;"-"&amp;TEXT(($D1196-$C1196+1)+21,"00"),"")&amp;IF($C1196&gt;=23,", "&amp;$A1196&amp;"-"&amp;TEXT(($D1196-$C1196+1)+22,"00"),"")&amp;IF($C1196&gt;=24,", "&amp;$A1196&amp;"-"&amp;TEXT(($D1196-$C1196+1)+23,"00"),"")&amp;IF($C1196&gt;=25,", "&amp;$A1196&amp;"-"&amp;TEXT(($D1196-$C1196+1)+24,"00"),""))</f>
        <v/>
      </c>
      <c r="G1196">
        <f>IF($A1196="","",IF($E1196=1,$F1196,IF($F1196="",$G1195,IF($G1195="",$F1196,$G1195&amp;", "&amp;$F1196))))</f>
        <v/>
      </c>
      <c r="H1196">
        <f>IF($A1196="","",$A1196&amp;" ("&amp;$C1196&amp;")")</f>
        <v/>
      </c>
      <c r="I1196">
        <f>IF($A1196="","",IF($E1196=1,$H1196,$I1195&amp;", "&amp;$H1196))</f>
        <v/>
      </c>
      <c r="J1196">
        <f>IF($A1196="","",IF($E1196=1,$B1196,""))</f>
        <v/>
      </c>
      <c r="K1196">
        <f>IF($A1196="","",IF(COUNTIF($B$2:$B1196,$B1196)=COUNTIF($B$2:$B$1601,$B1196),$B1196,""))</f>
        <v/>
      </c>
    </row>
    <row r="1197">
      <c r="A1197">
        <f>IF('TMP Paste'!$E1197="","",'TMP Paste'!$E1197)</f>
        <v/>
      </c>
      <c r="B1197">
        <f>IF($A1197="","",COUNTIF('TMP Paste'!$B$2:$B1197,"?*"))</f>
        <v/>
      </c>
      <c r="C1197">
        <f>IF($A1197="","",IFERROR('TMP Paste'!$M1197*1,0))</f>
        <v/>
      </c>
      <c r="D1197">
        <f>IF($A1197="","",SUMIF($B$2:$B1197,$B1197,$C$2:$C1197))</f>
        <v/>
      </c>
      <c r="E1197">
        <f>IF($A1197="",0,IF('TMP Paste'!$B1197="",0,1))</f>
        <v/>
      </c>
      <c r="F1197">
        <f>IF(OR($A1197="",$C1197&lt;1),"",$A1197&amp;"-"&amp;TEXT(($D1197-$C1197+1),"00")&amp;IF($C1197&gt;=2,", "&amp;$A1197&amp;"-"&amp;TEXT(($D1197-$C1197+1)+1,"00"),"")&amp;IF($C1197&gt;=3,", "&amp;$A1197&amp;"-"&amp;TEXT(($D1197-$C1197+1)+2,"00"),"")&amp;IF($C1197&gt;=4,", "&amp;$A1197&amp;"-"&amp;TEXT(($D1197-$C1197+1)+3,"00"),"")&amp;IF($C1197&gt;=5,", "&amp;$A1197&amp;"-"&amp;TEXT(($D1197-$C1197+1)+4,"00"),"")&amp;IF($C1197&gt;=6,", "&amp;$A1197&amp;"-"&amp;TEXT(($D1197-$C1197+1)+5,"00"),"")&amp;IF($C1197&gt;=7,", "&amp;$A1197&amp;"-"&amp;TEXT(($D1197-$C1197+1)+6,"00"),"")&amp;IF($C1197&gt;=8,", "&amp;$A1197&amp;"-"&amp;TEXT(($D1197-$C1197+1)+7,"00"),"")&amp;IF($C1197&gt;=9,", "&amp;$A1197&amp;"-"&amp;TEXT(($D1197-$C1197+1)+8,"00"),"")&amp;IF($C1197&gt;=10,", "&amp;$A1197&amp;"-"&amp;TEXT(($D1197-$C1197+1)+9,"00"),"")&amp;IF($C1197&gt;=11,", "&amp;$A1197&amp;"-"&amp;TEXT(($D1197-$C1197+1)+10,"00"),"")&amp;IF($C1197&gt;=12,", "&amp;$A1197&amp;"-"&amp;TEXT(($D1197-$C1197+1)+11,"00"),"")&amp;IF($C1197&gt;=13,", "&amp;$A1197&amp;"-"&amp;TEXT(($D1197-$C1197+1)+12,"00"),"")&amp;IF($C1197&gt;=14,", "&amp;$A1197&amp;"-"&amp;TEXT(($D1197-$C1197+1)+13,"00"),"")&amp;IF($C1197&gt;=15,", "&amp;$A1197&amp;"-"&amp;TEXT(($D1197-$C1197+1)+14,"00"),"")&amp;IF($C1197&gt;=16,", "&amp;$A1197&amp;"-"&amp;TEXT(($D1197-$C1197+1)+15,"00"),"")&amp;IF($C1197&gt;=17,", "&amp;$A1197&amp;"-"&amp;TEXT(($D1197-$C1197+1)+16,"00"),"")&amp;IF($C1197&gt;=18,", "&amp;$A1197&amp;"-"&amp;TEXT(($D1197-$C1197+1)+17,"00"),"")&amp;IF($C1197&gt;=19,", "&amp;$A1197&amp;"-"&amp;TEXT(($D1197-$C1197+1)+18,"00"),"")&amp;IF($C1197&gt;=20,", "&amp;$A1197&amp;"-"&amp;TEXT(($D1197-$C1197+1)+19,"00"),"")&amp;IF($C1197&gt;=21,", "&amp;$A1197&amp;"-"&amp;TEXT(($D1197-$C1197+1)+20,"00"),"")&amp;IF($C1197&gt;=22,", "&amp;$A1197&amp;"-"&amp;TEXT(($D1197-$C1197+1)+21,"00"),"")&amp;IF($C1197&gt;=23,", "&amp;$A1197&amp;"-"&amp;TEXT(($D1197-$C1197+1)+22,"00"),"")&amp;IF($C1197&gt;=24,", "&amp;$A1197&amp;"-"&amp;TEXT(($D1197-$C1197+1)+23,"00"),"")&amp;IF($C1197&gt;=25,", "&amp;$A1197&amp;"-"&amp;TEXT(($D1197-$C1197+1)+24,"00"),""))</f>
        <v/>
      </c>
      <c r="G1197">
        <f>IF($A1197="","",IF($E1197=1,$F1197,IF($F1197="",$G1196,IF($G1196="",$F1197,$G1196&amp;", "&amp;$F1197))))</f>
        <v/>
      </c>
      <c r="H1197">
        <f>IF($A1197="","",$A1197&amp;" ("&amp;$C1197&amp;")")</f>
        <v/>
      </c>
      <c r="I1197">
        <f>IF($A1197="","",IF($E1197=1,$H1197,$I1196&amp;", "&amp;$H1197))</f>
        <v/>
      </c>
      <c r="J1197">
        <f>IF($A1197="","",IF($E1197=1,$B1197,""))</f>
        <v/>
      </c>
      <c r="K1197">
        <f>IF($A1197="","",IF(COUNTIF($B$2:$B1197,$B1197)=COUNTIF($B$2:$B$1601,$B1197),$B1197,""))</f>
        <v/>
      </c>
    </row>
    <row r="1198">
      <c r="A1198">
        <f>IF('TMP Paste'!$E1198="","",'TMP Paste'!$E1198)</f>
        <v/>
      </c>
      <c r="B1198">
        <f>IF($A1198="","",COUNTIF('TMP Paste'!$B$2:$B1198,"?*"))</f>
        <v/>
      </c>
      <c r="C1198">
        <f>IF($A1198="","",IFERROR('TMP Paste'!$M1198*1,0))</f>
        <v/>
      </c>
      <c r="D1198">
        <f>IF($A1198="","",SUMIF($B$2:$B1198,$B1198,$C$2:$C1198))</f>
        <v/>
      </c>
      <c r="E1198">
        <f>IF($A1198="",0,IF('TMP Paste'!$B1198="",0,1))</f>
        <v/>
      </c>
      <c r="F1198">
        <f>IF(OR($A1198="",$C1198&lt;1),"",$A1198&amp;"-"&amp;TEXT(($D1198-$C1198+1),"00")&amp;IF($C1198&gt;=2,", "&amp;$A1198&amp;"-"&amp;TEXT(($D1198-$C1198+1)+1,"00"),"")&amp;IF($C1198&gt;=3,", "&amp;$A1198&amp;"-"&amp;TEXT(($D1198-$C1198+1)+2,"00"),"")&amp;IF($C1198&gt;=4,", "&amp;$A1198&amp;"-"&amp;TEXT(($D1198-$C1198+1)+3,"00"),"")&amp;IF($C1198&gt;=5,", "&amp;$A1198&amp;"-"&amp;TEXT(($D1198-$C1198+1)+4,"00"),"")&amp;IF($C1198&gt;=6,", "&amp;$A1198&amp;"-"&amp;TEXT(($D1198-$C1198+1)+5,"00"),"")&amp;IF($C1198&gt;=7,", "&amp;$A1198&amp;"-"&amp;TEXT(($D1198-$C1198+1)+6,"00"),"")&amp;IF($C1198&gt;=8,", "&amp;$A1198&amp;"-"&amp;TEXT(($D1198-$C1198+1)+7,"00"),"")&amp;IF($C1198&gt;=9,", "&amp;$A1198&amp;"-"&amp;TEXT(($D1198-$C1198+1)+8,"00"),"")&amp;IF($C1198&gt;=10,", "&amp;$A1198&amp;"-"&amp;TEXT(($D1198-$C1198+1)+9,"00"),"")&amp;IF($C1198&gt;=11,", "&amp;$A1198&amp;"-"&amp;TEXT(($D1198-$C1198+1)+10,"00"),"")&amp;IF($C1198&gt;=12,", "&amp;$A1198&amp;"-"&amp;TEXT(($D1198-$C1198+1)+11,"00"),"")&amp;IF($C1198&gt;=13,", "&amp;$A1198&amp;"-"&amp;TEXT(($D1198-$C1198+1)+12,"00"),"")&amp;IF($C1198&gt;=14,", "&amp;$A1198&amp;"-"&amp;TEXT(($D1198-$C1198+1)+13,"00"),"")&amp;IF($C1198&gt;=15,", "&amp;$A1198&amp;"-"&amp;TEXT(($D1198-$C1198+1)+14,"00"),"")&amp;IF($C1198&gt;=16,", "&amp;$A1198&amp;"-"&amp;TEXT(($D1198-$C1198+1)+15,"00"),"")&amp;IF($C1198&gt;=17,", "&amp;$A1198&amp;"-"&amp;TEXT(($D1198-$C1198+1)+16,"00"),"")&amp;IF($C1198&gt;=18,", "&amp;$A1198&amp;"-"&amp;TEXT(($D1198-$C1198+1)+17,"00"),"")&amp;IF($C1198&gt;=19,", "&amp;$A1198&amp;"-"&amp;TEXT(($D1198-$C1198+1)+18,"00"),"")&amp;IF($C1198&gt;=20,", "&amp;$A1198&amp;"-"&amp;TEXT(($D1198-$C1198+1)+19,"00"),"")&amp;IF($C1198&gt;=21,", "&amp;$A1198&amp;"-"&amp;TEXT(($D1198-$C1198+1)+20,"00"),"")&amp;IF($C1198&gt;=22,", "&amp;$A1198&amp;"-"&amp;TEXT(($D1198-$C1198+1)+21,"00"),"")&amp;IF($C1198&gt;=23,", "&amp;$A1198&amp;"-"&amp;TEXT(($D1198-$C1198+1)+22,"00"),"")&amp;IF($C1198&gt;=24,", "&amp;$A1198&amp;"-"&amp;TEXT(($D1198-$C1198+1)+23,"00"),"")&amp;IF($C1198&gt;=25,", "&amp;$A1198&amp;"-"&amp;TEXT(($D1198-$C1198+1)+24,"00"),""))</f>
        <v/>
      </c>
      <c r="G1198">
        <f>IF($A1198="","",IF($E1198=1,$F1198,IF($F1198="",$G1197,IF($G1197="",$F1198,$G1197&amp;", "&amp;$F1198))))</f>
        <v/>
      </c>
      <c r="H1198">
        <f>IF($A1198="","",$A1198&amp;" ("&amp;$C1198&amp;")")</f>
        <v/>
      </c>
      <c r="I1198">
        <f>IF($A1198="","",IF($E1198=1,$H1198,$I1197&amp;", "&amp;$H1198))</f>
        <v/>
      </c>
      <c r="J1198">
        <f>IF($A1198="","",IF($E1198=1,$B1198,""))</f>
        <v/>
      </c>
      <c r="K1198">
        <f>IF($A1198="","",IF(COUNTIF($B$2:$B1198,$B1198)=COUNTIF($B$2:$B$1601,$B1198),$B1198,""))</f>
        <v/>
      </c>
    </row>
    <row r="1199">
      <c r="A1199">
        <f>IF('TMP Paste'!$E1199="","",'TMP Paste'!$E1199)</f>
        <v/>
      </c>
      <c r="B1199">
        <f>IF($A1199="","",COUNTIF('TMP Paste'!$B$2:$B1199,"?*"))</f>
        <v/>
      </c>
      <c r="C1199">
        <f>IF($A1199="","",IFERROR('TMP Paste'!$M1199*1,0))</f>
        <v/>
      </c>
      <c r="D1199">
        <f>IF($A1199="","",SUMIF($B$2:$B1199,$B1199,$C$2:$C1199))</f>
        <v/>
      </c>
      <c r="E1199">
        <f>IF($A1199="",0,IF('TMP Paste'!$B1199="",0,1))</f>
        <v/>
      </c>
      <c r="F1199">
        <f>IF(OR($A1199="",$C1199&lt;1),"",$A1199&amp;"-"&amp;TEXT(($D1199-$C1199+1),"00")&amp;IF($C1199&gt;=2,", "&amp;$A1199&amp;"-"&amp;TEXT(($D1199-$C1199+1)+1,"00"),"")&amp;IF($C1199&gt;=3,", "&amp;$A1199&amp;"-"&amp;TEXT(($D1199-$C1199+1)+2,"00"),"")&amp;IF($C1199&gt;=4,", "&amp;$A1199&amp;"-"&amp;TEXT(($D1199-$C1199+1)+3,"00"),"")&amp;IF($C1199&gt;=5,", "&amp;$A1199&amp;"-"&amp;TEXT(($D1199-$C1199+1)+4,"00"),"")&amp;IF($C1199&gt;=6,", "&amp;$A1199&amp;"-"&amp;TEXT(($D1199-$C1199+1)+5,"00"),"")&amp;IF($C1199&gt;=7,", "&amp;$A1199&amp;"-"&amp;TEXT(($D1199-$C1199+1)+6,"00"),"")&amp;IF($C1199&gt;=8,", "&amp;$A1199&amp;"-"&amp;TEXT(($D1199-$C1199+1)+7,"00"),"")&amp;IF($C1199&gt;=9,", "&amp;$A1199&amp;"-"&amp;TEXT(($D1199-$C1199+1)+8,"00"),"")&amp;IF($C1199&gt;=10,", "&amp;$A1199&amp;"-"&amp;TEXT(($D1199-$C1199+1)+9,"00"),"")&amp;IF($C1199&gt;=11,", "&amp;$A1199&amp;"-"&amp;TEXT(($D1199-$C1199+1)+10,"00"),"")&amp;IF($C1199&gt;=12,", "&amp;$A1199&amp;"-"&amp;TEXT(($D1199-$C1199+1)+11,"00"),"")&amp;IF($C1199&gt;=13,", "&amp;$A1199&amp;"-"&amp;TEXT(($D1199-$C1199+1)+12,"00"),"")&amp;IF($C1199&gt;=14,", "&amp;$A1199&amp;"-"&amp;TEXT(($D1199-$C1199+1)+13,"00"),"")&amp;IF($C1199&gt;=15,", "&amp;$A1199&amp;"-"&amp;TEXT(($D1199-$C1199+1)+14,"00"),"")&amp;IF($C1199&gt;=16,", "&amp;$A1199&amp;"-"&amp;TEXT(($D1199-$C1199+1)+15,"00"),"")&amp;IF($C1199&gt;=17,", "&amp;$A1199&amp;"-"&amp;TEXT(($D1199-$C1199+1)+16,"00"),"")&amp;IF($C1199&gt;=18,", "&amp;$A1199&amp;"-"&amp;TEXT(($D1199-$C1199+1)+17,"00"),"")&amp;IF($C1199&gt;=19,", "&amp;$A1199&amp;"-"&amp;TEXT(($D1199-$C1199+1)+18,"00"),"")&amp;IF($C1199&gt;=20,", "&amp;$A1199&amp;"-"&amp;TEXT(($D1199-$C1199+1)+19,"00"),"")&amp;IF($C1199&gt;=21,", "&amp;$A1199&amp;"-"&amp;TEXT(($D1199-$C1199+1)+20,"00"),"")&amp;IF($C1199&gt;=22,", "&amp;$A1199&amp;"-"&amp;TEXT(($D1199-$C1199+1)+21,"00"),"")&amp;IF($C1199&gt;=23,", "&amp;$A1199&amp;"-"&amp;TEXT(($D1199-$C1199+1)+22,"00"),"")&amp;IF($C1199&gt;=24,", "&amp;$A1199&amp;"-"&amp;TEXT(($D1199-$C1199+1)+23,"00"),"")&amp;IF($C1199&gt;=25,", "&amp;$A1199&amp;"-"&amp;TEXT(($D1199-$C1199+1)+24,"00"),""))</f>
        <v/>
      </c>
      <c r="G1199">
        <f>IF($A1199="","",IF($E1199=1,$F1199,IF($F1199="",$G1198,IF($G1198="",$F1199,$G1198&amp;", "&amp;$F1199))))</f>
        <v/>
      </c>
      <c r="H1199">
        <f>IF($A1199="","",$A1199&amp;" ("&amp;$C1199&amp;")")</f>
        <v/>
      </c>
      <c r="I1199">
        <f>IF($A1199="","",IF($E1199=1,$H1199,$I1198&amp;", "&amp;$H1199))</f>
        <v/>
      </c>
      <c r="J1199">
        <f>IF($A1199="","",IF($E1199=1,$B1199,""))</f>
        <v/>
      </c>
      <c r="K1199">
        <f>IF($A1199="","",IF(COUNTIF($B$2:$B1199,$B1199)=COUNTIF($B$2:$B$1601,$B1199),$B1199,""))</f>
        <v/>
      </c>
    </row>
    <row r="1200">
      <c r="A1200">
        <f>IF('TMP Paste'!$E1200="","",'TMP Paste'!$E1200)</f>
        <v/>
      </c>
      <c r="B1200">
        <f>IF($A1200="","",COUNTIF('TMP Paste'!$B$2:$B1200,"?*"))</f>
        <v/>
      </c>
      <c r="C1200">
        <f>IF($A1200="","",IFERROR('TMP Paste'!$M1200*1,0))</f>
        <v/>
      </c>
      <c r="D1200">
        <f>IF($A1200="","",SUMIF($B$2:$B1200,$B1200,$C$2:$C1200))</f>
        <v/>
      </c>
      <c r="E1200">
        <f>IF($A1200="",0,IF('TMP Paste'!$B1200="",0,1))</f>
        <v/>
      </c>
      <c r="F1200">
        <f>IF(OR($A1200="",$C1200&lt;1),"",$A1200&amp;"-"&amp;TEXT(($D1200-$C1200+1),"00")&amp;IF($C1200&gt;=2,", "&amp;$A1200&amp;"-"&amp;TEXT(($D1200-$C1200+1)+1,"00"),"")&amp;IF($C1200&gt;=3,", "&amp;$A1200&amp;"-"&amp;TEXT(($D1200-$C1200+1)+2,"00"),"")&amp;IF($C1200&gt;=4,", "&amp;$A1200&amp;"-"&amp;TEXT(($D1200-$C1200+1)+3,"00"),"")&amp;IF($C1200&gt;=5,", "&amp;$A1200&amp;"-"&amp;TEXT(($D1200-$C1200+1)+4,"00"),"")&amp;IF($C1200&gt;=6,", "&amp;$A1200&amp;"-"&amp;TEXT(($D1200-$C1200+1)+5,"00"),"")&amp;IF($C1200&gt;=7,", "&amp;$A1200&amp;"-"&amp;TEXT(($D1200-$C1200+1)+6,"00"),"")&amp;IF($C1200&gt;=8,", "&amp;$A1200&amp;"-"&amp;TEXT(($D1200-$C1200+1)+7,"00"),"")&amp;IF($C1200&gt;=9,", "&amp;$A1200&amp;"-"&amp;TEXT(($D1200-$C1200+1)+8,"00"),"")&amp;IF($C1200&gt;=10,", "&amp;$A1200&amp;"-"&amp;TEXT(($D1200-$C1200+1)+9,"00"),"")&amp;IF($C1200&gt;=11,", "&amp;$A1200&amp;"-"&amp;TEXT(($D1200-$C1200+1)+10,"00"),"")&amp;IF($C1200&gt;=12,", "&amp;$A1200&amp;"-"&amp;TEXT(($D1200-$C1200+1)+11,"00"),"")&amp;IF($C1200&gt;=13,", "&amp;$A1200&amp;"-"&amp;TEXT(($D1200-$C1200+1)+12,"00"),"")&amp;IF($C1200&gt;=14,", "&amp;$A1200&amp;"-"&amp;TEXT(($D1200-$C1200+1)+13,"00"),"")&amp;IF($C1200&gt;=15,", "&amp;$A1200&amp;"-"&amp;TEXT(($D1200-$C1200+1)+14,"00"),"")&amp;IF($C1200&gt;=16,", "&amp;$A1200&amp;"-"&amp;TEXT(($D1200-$C1200+1)+15,"00"),"")&amp;IF($C1200&gt;=17,", "&amp;$A1200&amp;"-"&amp;TEXT(($D1200-$C1200+1)+16,"00"),"")&amp;IF($C1200&gt;=18,", "&amp;$A1200&amp;"-"&amp;TEXT(($D1200-$C1200+1)+17,"00"),"")&amp;IF($C1200&gt;=19,", "&amp;$A1200&amp;"-"&amp;TEXT(($D1200-$C1200+1)+18,"00"),"")&amp;IF($C1200&gt;=20,", "&amp;$A1200&amp;"-"&amp;TEXT(($D1200-$C1200+1)+19,"00"),"")&amp;IF($C1200&gt;=21,", "&amp;$A1200&amp;"-"&amp;TEXT(($D1200-$C1200+1)+20,"00"),"")&amp;IF($C1200&gt;=22,", "&amp;$A1200&amp;"-"&amp;TEXT(($D1200-$C1200+1)+21,"00"),"")&amp;IF($C1200&gt;=23,", "&amp;$A1200&amp;"-"&amp;TEXT(($D1200-$C1200+1)+22,"00"),"")&amp;IF($C1200&gt;=24,", "&amp;$A1200&amp;"-"&amp;TEXT(($D1200-$C1200+1)+23,"00"),"")&amp;IF($C1200&gt;=25,", "&amp;$A1200&amp;"-"&amp;TEXT(($D1200-$C1200+1)+24,"00"),""))</f>
        <v/>
      </c>
      <c r="G1200">
        <f>IF($A1200="","",IF($E1200=1,$F1200,IF($F1200="",$G1199,IF($G1199="",$F1200,$G1199&amp;", "&amp;$F1200))))</f>
        <v/>
      </c>
      <c r="H1200">
        <f>IF($A1200="","",$A1200&amp;" ("&amp;$C1200&amp;")")</f>
        <v/>
      </c>
      <c r="I1200">
        <f>IF($A1200="","",IF($E1200=1,$H1200,$I1199&amp;", "&amp;$H1200))</f>
        <v/>
      </c>
      <c r="J1200">
        <f>IF($A1200="","",IF($E1200=1,$B1200,""))</f>
        <v/>
      </c>
      <c r="K1200">
        <f>IF($A1200="","",IF(COUNTIF($B$2:$B1200,$B1200)=COUNTIF($B$2:$B$1601,$B1200),$B1200,""))</f>
        <v/>
      </c>
    </row>
    <row r="1201">
      <c r="A1201">
        <f>IF('TMP Paste'!$E1201="","",'TMP Paste'!$E1201)</f>
        <v/>
      </c>
      <c r="B1201">
        <f>IF($A1201="","",COUNTIF('TMP Paste'!$B$2:$B1201,"?*"))</f>
        <v/>
      </c>
      <c r="C1201">
        <f>IF($A1201="","",IFERROR('TMP Paste'!$M1201*1,0))</f>
        <v/>
      </c>
      <c r="D1201">
        <f>IF($A1201="","",SUMIF($B$2:$B1201,$B1201,$C$2:$C1201))</f>
        <v/>
      </c>
      <c r="E1201">
        <f>IF($A1201="",0,IF('TMP Paste'!$B1201="",0,1))</f>
        <v/>
      </c>
      <c r="F1201">
        <f>IF(OR($A1201="",$C1201&lt;1),"",$A1201&amp;"-"&amp;TEXT(($D1201-$C1201+1),"00")&amp;IF($C1201&gt;=2,", "&amp;$A1201&amp;"-"&amp;TEXT(($D1201-$C1201+1)+1,"00"),"")&amp;IF($C1201&gt;=3,", "&amp;$A1201&amp;"-"&amp;TEXT(($D1201-$C1201+1)+2,"00"),"")&amp;IF($C1201&gt;=4,", "&amp;$A1201&amp;"-"&amp;TEXT(($D1201-$C1201+1)+3,"00"),"")&amp;IF($C1201&gt;=5,", "&amp;$A1201&amp;"-"&amp;TEXT(($D1201-$C1201+1)+4,"00"),"")&amp;IF($C1201&gt;=6,", "&amp;$A1201&amp;"-"&amp;TEXT(($D1201-$C1201+1)+5,"00"),"")&amp;IF($C1201&gt;=7,", "&amp;$A1201&amp;"-"&amp;TEXT(($D1201-$C1201+1)+6,"00"),"")&amp;IF($C1201&gt;=8,", "&amp;$A1201&amp;"-"&amp;TEXT(($D1201-$C1201+1)+7,"00"),"")&amp;IF($C1201&gt;=9,", "&amp;$A1201&amp;"-"&amp;TEXT(($D1201-$C1201+1)+8,"00"),"")&amp;IF($C1201&gt;=10,", "&amp;$A1201&amp;"-"&amp;TEXT(($D1201-$C1201+1)+9,"00"),"")&amp;IF($C1201&gt;=11,", "&amp;$A1201&amp;"-"&amp;TEXT(($D1201-$C1201+1)+10,"00"),"")&amp;IF($C1201&gt;=12,", "&amp;$A1201&amp;"-"&amp;TEXT(($D1201-$C1201+1)+11,"00"),"")&amp;IF($C1201&gt;=13,", "&amp;$A1201&amp;"-"&amp;TEXT(($D1201-$C1201+1)+12,"00"),"")&amp;IF($C1201&gt;=14,", "&amp;$A1201&amp;"-"&amp;TEXT(($D1201-$C1201+1)+13,"00"),"")&amp;IF($C1201&gt;=15,", "&amp;$A1201&amp;"-"&amp;TEXT(($D1201-$C1201+1)+14,"00"),"")&amp;IF($C1201&gt;=16,", "&amp;$A1201&amp;"-"&amp;TEXT(($D1201-$C1201+1)+15,"00"),"")&amp;IF($C1201&gt;=17,", "&amp;$A1201&amp;"-"&amp;TEXT(($D1201-$C1201+1)+16,"00"),"")&amp;IF($C1201&gt;=18,", "&amp;$A1201&amp;"-"&amp;TEXT(($D1201-$C1201+1)+17,"00"),"")&amp;IF($C1201&gt;=19,", "&amp;$A1201&amp;"-"&amp;TEXT(($D1201-$C1201+1)+18,"00"),"")&amp;IF($C1201&gt;=20,", "&amp;$A1201&amp;"-"&amp;TEXT(($D1201-$C1201+1)+19,"00"),"")&amp;IF($C1201&gt;=21,", "&amp;$A1201&amp;"-"&amp;TEXT(($D1201-$C1201+1)+20,"00"),"")&amp;IF($C1201&gt;=22,", "&amp;$A1201&amp;"-"&amp;TEXT(($D1201-$C1201+1)+21,"00"),"")&amp;IF($C1201&gt;=23,", "&amp;$A1201&amp;"-"&amp;TEXT(($D1201-$C1201+1)+22,"00"),"")&amp;IF($C1201&gt;=24,", "&amp;$A1201&amp;"-"&amp;TEXT(($D1201-$C1201+1)+23,"00"),"")&amp;IF($C1201&gt;=25,", "&amp;$A1201&amp;"-"&amp;TEXT(($D1201-$C1201+1)+24,"00"),""))</f>
        <v/>
      </c>
      <c r="G1201">
        <f>IF($A1201="","",IF($E1201=1,$F1201,IF($F1201="",$G1200,IF($G1200="",$F1201,$G1200&amp;", "&amp;$F1201))))</f>
        <v/>
      </c>
      <c r="H1201">
        <f>IF($A1201="","",$A1201&amp;" ("&amp;$C1201&amp;")")</f>
        <v/>
      </c>
      <c r="I1201">
        <f>IF($A1201="","",IF($E1201=1,$H1201,$I1200&amp;", "&amp;$H1201))</f>
        <v/>
      </c>
      <c r="J1201">
        <f>IF($A1201="","",IF($E1201=1,$B1201,""))</f>
        <v/>
      </c>
      <c r="K1201">
        <f>IF($A1201="","",IF(COUNTIF($B$2:$B1201,$B1201)=COUNTIF($B$2:$B$1601,$B1201),$B1201,""))</f>
        <v/>
      </c>
    </row>
    <row r="1202">
      <c r="A1202">
        <f>IF('TMP Paste'!$E1202="","",'TMP Paste'!$E1202)</f>
        <v/>
      </c>
      <c r="B1202">
        <f>IF($A1202="","",COUNTIF('TMP Paste'!$B$2:$B1202,"?*"))</f>
        <v/>
      </c>
      <c r="C1202">
        <f>IF($A1202="","",IFERROR('TMP Paste'!$M1202*1,0))</f>
        <v/>
      </c>
      <c r="D1202">
        <f>IF($A1202="","",SUMIF($B$2:$B1202,$B1202,$C$2:$C1202))</f>
        <v/>
      </c>
      <c r="E1202">
        <f>IF($A1202="",0,IF('TMP Paste'!$B1202="",0,1))</f>
        <v/>
      </c>
      <c r="F1202">
        <f>IF(OR($A1202="",$C1202&lt;1),"",$A1202&amp;"-"&amp;TEXT(($D1202-$C1202+1),"00")&amp;IF($C1202&gt;=2,", "&amp;$A1202&amp;"-"&amp;TEXT(($D1202-$C1202+1)+1,"00"),"")&amp;IF($C1202&gt;=3,", "&amp;$A1202&amp;"-"&amp;TEXT(($D1202-$C1202+1)+2,"00"),"")&amp;IF($C1202&gt;=4,", "&amp;$A1202&amp;"-"&amp;TEXT(($D1202-$C1202+1)+3,"00"),"")&amp;IF($C1202&gt;=5,", "&amp;$A1202&amp;"-"&amp;TEXT(($D1202-$C1202+1)+4,"00"),"")&amp;IF($C1202&gt;=6,", "&amp;$A1202&amp;"-"&amp;TEXT(($D1202-$C1202+1)+5,"00"),"")&amp;IF($C1202&gt;=7,", "&amp;$A1202&amp;"-"&amp;TEXT(($D1202-$C1202+1)+6,"00"),"")&amp;IF($C1202&gt;=8,", "&amp;$A1202&amp;"-"&amp;TEXT(($D1202-$C1202+1)+7,"00"),"")&amp;IF($C1202&gt;=9,", "&amp;$A1202&amp;"-"&amp;TEXT(($D1202-$C1202+1)+8,"00"),"")&amp;IF($C1202&gt;=10,", "&amp;$A1202&amp;"-"&amp;TEXT(($D1202-$C1202+1)+9,"00"),"")&amp;IF($C1202&gt;=11,", "&amp;$A1202&amp;"-"&amp;TEXT(($D1202-$C1202+1)+10,"00"),"")&amp;IF($C1202&gt;=12,", "&amp;$A1202&amp;"-"&amp;TEXT(($D1202-$C1202+1)+11,"00"),"")&amp;IF($C1202&gt;=13,", "&amp;$A1202&amp;"-"&amp;TEXT(($D1202-$C1202+1)+12,"00"),"")&amp;IF($C1202&gt;=14,", "&amp;$A1202&amp;"-"&amp;TEXT(($D1202-$C1202+1)+13,"00"),"")&amp;IF($C1202&gt;=15,", "&amp;$A1202&amp;"-"&amp;TEXT(($D1202-$C1202+1)+14,"00"),"")&amp;IF($C1202&gt;=16,", "&amp;$A1202&amp;"-"&amp;TEXT(($D1202-$C1202+1)+15,"00"),"")&amp;IF($C1202&gt;=17,", "&amp;$A1202&amp;"-"&amp;TEXT(($D1202-$C1202+1)+16,"00"),"")&amp;IF($C1202&gt;=18,", "&amp;$A1202&amp;"-"&amp;TEXT(($D1202-$C1202+1)+17,"00"),"")&amp;IF($C1202&gt;=19,", "&amp;$A1202&amp;"-"&amp;TEXT(($D1202-$C1202+1)+18,"00"),"")&amp;IF($C1202&gt;=20,", "&amp;$A1202&amp;"-"&amp;TEXT(($D1202-$C1202+1)+19,"00"),"")&amp;IF($C1202&gt;=21,", "&amp;$A1202&amp;"-"&amp;TEXT(($D1202-$C1202+1)+20,"00"),"")&amp;IF($C1202&gt;=22,", "&amp;$A1202&amp;"-"&amp;TEXT(($D1202-$C1202+1)+21,"00"),"")&amp;IF($C1202&gt;=23,", "&amp;$A1202&amp;"-"&amp;TEXT(($D1202-$C1202+1)+22,"00"),"")&amp;IF($C1202&gt;=24,", "&amp;$A1202&amp;"-"&amp;TEXT(($D1202-$C1202+1)+23,"00"),"")&amp;IF($C1202&gt;=25,", "&amp;$A1202&amp;"-"&amp;TEXT(($D1202-$C1202+1)+24,"00"),""))</f>
        <v/>
      </c>
      <c r="G1202">
        <f>IF($A1202="","",IF($E1202=1,$F1202,IF($F1202="",$G1201,IF($G1201="",$F1202,$G1201&amp;", "&amp;$F1202))))</f>
        <v/>
      </c>
      <c r="H1202">
        <f>IF($A1202="","",$A1202&amp;" ("&amp;$C1202&amp;")")</f>
        <v/>
      </c>
      <c r="I1202">
        <f>IF($A1202="","",IF($E1202=1,$H1202,$I1201&amp;", "&amp;$H1202))</f>
        <v/>
      </c>
      <c r="J1202">
        <f>IF($A1202="","",IF($E1202=1,$B1202,""))</f>
        <v/>
      </c>
      <c r="K1202">
        <f>IF($A1202="","",IF(COUNTIF($B$2:$B1202,$B1202)=COUNTIF($B$2:$B$1601,$B1202),$B1202,""))</f>
        <v/>
      </c>
    </row>
    <row r="1203">
      <c r="A1203">
        <f>IF('TMP Paste'!$E1203="","",'TMP Paste'!$E1203)</f>
        <v/>
      </c>
      <c r="B1203">
        <f>IF($A1203="","",COUNTIF('TMP Paste'!$B$2:$B1203,"?*"))</f>
        <v/>
      </c>
      <c r="C1203">
        <f>IF($A1203="","",IFERROR('TMP Paste'!$M1203*1,0))</f>
        <v/>
      </c>
      <c r="D1203">
        <f>IF($A1203="","",SUMIF($B$2:$B1203,$B1203,$C$2:$C1203))</f>
        <v/>
      </c>
      <c r="E1203">
        <f>IF($A1203="",0,IF('TMP Paste'!$B1203="",0,1))</f>
        <v/>
      </c>
      <c r="F1203">
        <f>IF(OR($A1203="",$C1203&lt;1),"",$A1203&amp;"-"&amp;TEXT(($D1203-$C1203+1),"00")&amp;IF($C1203&gt;=2,", "&amp;$A1203&amp;"-"&amp;TEXT(($D1203-$C1203+1)+1,"00"),"")&amp;IF($C1203&gt;=3,", "&amp;$A1203&amp;"-"&amp;TEXT(($D1203-$C1203+1)+2,"00"),"")&amp;IF($C1203&gt;=4,", "&amp;$A1203&amp;"-"&amp;TEXT(($D1203-$C1203+1)+3,"00"),"")&amp;IF($C1203&gt;=5,", "&amp;$A1203&amp;"-"&amp;TEXT(($D1203-$C1203+1)+4,"00"),"")&amp;IF($C1203&gt;=6,", "&amp;$A1203&amp;"-"&amp;TEXT(($D1203-$C1203+1)+5,"00"),"")&amp;IF($C1203&gt;=7,", "&amp;$A1203&amp;"-"&amp;TEXT(($D1203-$C1203+1)+6,"00"),"")&amp;IF($C1203&gt;=8,", "&amp;$A1203&amp;"-"&amp;TEXT(($D1203-$C1203+1)+7,"00"),"")&amp;IF($C1203&gt;=9,", "&amp;$A1203&amp;"-"&amp;TEXT(($D1203-$C1203+1)+8,"00"),"")&amp;IF($C1203&gt;=10,", "&amp;$A1203&amp;"-"&amp;TEXT(($D1203-$C1203+1)+9,"00"),"")&amp;IF($C1203&gt;=11,", "&amp;$A1203&amp;"-"&amp;TEXT(($D1203-$C1203+1)+10,"00"),"")&amp;IF($C1203&gt;=12,", "&amp;$A1203&amp;"-"&amp;TEXT(($D1203-$C1203+1)+11,"00"),"")&amp;IF($C1203&gt;=13,", "&amp;$A1203&amp;"-"&amp;TEXT(($D1203-$C1203+1)+12,"00"),"")&amp;IF($C1203&gt;=14,", "&amp;$A1203&amp;"-"&amp;TEXT(($D1203-$C1203+1)+13,"00"),"")&amp;IF($C1203&gt;=15,", "&amp;$A1203&amp;"-"&amp;TEXT(($D1203-$C1203+1)+14,"00"),"")&amp;IF($C1203&gt;=16,", "&amp;$A1203&amp;"-"&amp;TEXT(($D1203-$C1203+1)+15,"00"),"")&amp;IF($C1203&gt;=17,", "&amp;$A1203&amp;"-"&amp;TEXT(($D1203-$C1203+1)+16,"00"),"")&amp;IF($C1203&gt;=18,", "&amp;$A1203&amp;"-"&amp;TEXT(($D1203-$C1203+1)+17,"00"),"")&amp;IF($C1203&gt;=19,", "&amp;$A1203&amp;"-"&amp;TEXT(($D1203-$C1203+1)+18,"00"),"")&amp;IF($C1203&gt;=20,", "&amp;$A1203&amp;"-"&amp;TEXT(($D1203-$C1203+1)+19,"00"),"")&amp;IF($C1203&gt;=21,", "&amp;$A1203&amp;"-"&amp;TEXT(($D1203-$C1203+1)+20,"00"),"")&amp;IF($C1203&gt;=22,", "&amp;$A1203&amp;"-"&amp;TEXT(($D1203-$C1203+1)+21,"00"),"")&amp;IF($C1203&gt;=23,", "&amp;$A1203&amp;"-"&amp;TEXT(($D1203-$C1203+1)+22,"00"),"")&amp;IF($C1203&gt;=24,", "&amp;$A1203&amp;"-"&amp;TEXT(($D1203-$C1203+1)+23,"00"),"")&amp;IF($C1203&gt;=25,", "&amp;$A1203&amp;"-"&amp;TEXT(($D1203-$C1203+1)+24,"00"),""))</f>
        <v/>
      </c>
      <c r="G1203">
        <f>IF($A1203="","",IF($E1203=1,$F1203,IF($F1203="",$G1202,IF($G1202="",$F1203,$G1202&amp;", "&amp;$F1203))))</f>
        <v/>
      </c>
      <c r="H1203">
        <f>IF($A1203="","",$A1203&amp;" ("&amp;$C1203&amp;")")</f>
        <v/>
      </c>
      <c r="I1203">
        <f>IF($A1203="","",IF($E1203=1,$H1203,$I1202&amp;", "&amp;$H1203))</f>
        <v/>
      </c>
      <c r="J1203">
        <f>IF($A1203="","",IF($E1203=1,$B1203,""))</f>
        <v/>
      </c>
      <c r="K1203">
        <f>IF($A1203="","",IF(COUNTIF($B$2:$B1203,$B1203)=COUNTIF($B$2:$B$1601,$B1203),$B1203,""))</f>
        <v/>
      </c>
    </row>
    <row r="1204">
      <c r="A1204">
        <f>IF('TMP Paste'!$E1204="","",'TMP Paste'!$E1204)</f>
        <v/>
      </c>
      <c r="B1204">
        <f>IF($A1204="","",COUNTIF('TMP Paste'!$B$2:$B1204,"?*"))</f>
        <v/>
      </c>
      <c r="C1204">
        <f>IF($A1204="","",IFERROR('TMP Paste'!$M1204*1,0))</f>
        <v/>
      </c>
      <c r="D1204">
        <f>IF($A1204="","",SUMIF($B$2:$B1204,$B1204,$C$2:$C1204))</f>
        <v/>
      </c>
      <c r="E1204">
        <f>IF($A1204="",0,IF('TMP Paste'!$B1204="",0,1))</f>
        <v/>
      </c>
      <c r="F1204">
        <f>IF(OR($A1204="",$C1204&lt;1),"",$A1204&amp;"-"&amp;TEXT(($D1204-$C1204+1),"00")&amp;IF($C1204&gt;=2,", "&amp;$A1204&amp;"-"&amp;TEXT(($D1204-$C1204+1)+1,"00"),"")&amp;IF($C1204&gt;=3,", "&amp;$A1204&amp;"-"&amp;TEXT(($D1204-$C1204+1)+2,"00"),"")&amp;IF($C1204&gt;=4,", "&amp;$A1204&amp;"-"&amp;TEXT(($D1204-$C1204+1)+3,"00"),"")&amp;IF($C1204&gt;=5,", "&amp;$A1204&amp;"-"&amp;TEXT(($D1204-$C1204+1)+4,"00"),"")&amp;IF($C1204&gt;=6,", "&amp;$A1204&amp;"-"&amp;TEXT(($D1204-$C1204+1)+5,"00"),"")&amp;IF($C1204&gt;=7,", "&amp;$A1204&amp;"-"&amp;TEXT(($D1204-$C1204+1)+6,"00"),"")&amp;IF($C1204&gt;=8,", "&amp;$A1204&amp;"-"&amp;TEXT(($D1204-$C1204+1)+7,"00"),"")&amp;IF($C1204&gt;=9,", "&amp;$A1204&amp;"-"&amp;TEXT(($D1204-$C1204+1)+8,"00"),"")&amp;IF($C1204&gt;=10,", "&amp;$A1204&amp;"-"&amp;TEXT(($D1204-$C1204+1)+9,"00"),"")&amp;IF($C1204&gt;=11,", "&amp;$A1204&amp;"-"&amp;TEXT(($D1204-$C1204+1)+10,"00"),"")&amp;IF($C1204&gt;=12,", "&amp;$A1204&amp;"-"&amp;TEXT(($D1204-$C1204+1)+11,"00"),"")&amp;IF($C1204&gt;=13,", "&amp;$A1204&amp;"-"&amp;TEXT(($D1204-$C1204+1)+12,"00"),"")&amp;IF($C1204&gt;=14,", "&amp;$A1204&amp;"-"&amp;TEXT(($D1204-$C1204+1)+13,"00"),"")&amp;IF($C1204&gt;=15,", "&amp;$A1204&amp;"-"&amp;TEXT(($D1204-$C1204+1)+14,"00"),"")&amp;IF($C1204&gt;=16,", "&amp;$A1204&amp;"-"&amp;TEXT(($D1204-$C1204+1)+15,"00"),"")&amp;IF($C1204&gt;=17,", "&amp;$A1204&amp;"-"&amp;TEXT(($D1204-$C1204+1)+16,"00"),"")&amp;IF($C1204&gt;=18,", "&amp;$A1204&amp;"-"&amp;TEXT(($D1204-$C1204+1)+17,"00"),"")&amp;IF($C1204&gt;=19,", "&amp;$A1204&amp;"-"&amp;TEXT(($D1204-$C1204+1)+18,"00"),"")&amp;IF($C1204&gt;=20,", "&amp;$A1204&amp;"-"&amp;TEXT(($D1204-$C1204+1)+19,"00"),"")&amp;IF($C1204&gt;=21,", "&amp;$A1204&amp;"-"&amp;TEXT(($D1204-$C1204+1)+20,"00"),"")&amp;IF($C1204&gt;=22,", "&amp;$A1204&amp;"-"&amp;TEXT(($D1204-$C1204+1)+21,"00"),"")&amp;IF($C1204&gt;=23,", "&amp;$A1204&amp;"-"&amp;TEXT(($D1204-$C1204+1)+22,"00"),"")&amp;IF($C1204&gt;=24,", "&amp;$A1204&amp;"-"&amp;TEXT(($D1204-$C1204+1)+23,"00"),"")&amp;IF($C1204&gt;=25,", "&amp;$A1204&amp;"-"&amp;TEXT(($D1204-$C1204+1)+24,"00"),""))</f>
        <v/>
      </c>
      <c r="G1204">
        <f>IF($A1204="","",IF($E1204=1,$F1204,IF($F1204="",$G1203,IF($G1203="",$F1204,$G1203&amp;", "&amp;$F1204))))</f>
        <v/>
      </c>
      <c r="H1204">
        <f>IF($A1204="","",$A1204&amp;" ("&amp;$C1204&amp;")")</f>
        <v/>
      </c>
      <c r="I1204">
        <f>IF($A1204="","",IF($E1204=1,$H1204,$I1203&amp;", "&amp;$H1204))</f>
        <v/>
      </c>
      <c r="J1204">
        <f>IF($A1204="","",IF($E1204=1,$B1204,""))</f>
        <v/>
      </c>
      <c r="K1204">
        <f>IF($A1204="","",IF(COUNTIF($B$2:$B1204,$B1204)=COUNTIF($B$2:$B$1601,$B1204),$B1204,""))</f>
        <v/>
      </c>
    </row>
    <row r="1205">
      <c r="A1205">
        <f>IF('TMP Paste'!$E1205="","",'TMP Paste'!$E1205)</f>
        <v/>
      </c>
      <c r="B1205">
        <f>IF($A1205="","",COUNTIF('TMP Paste'!$B$2:$B1205,"?*"))</f>
        <v/>
      </c>
      <c r="C1205">
        <f>IF($A1205="","",IFERROR('TMP Paste'!$M1205*1,0))</f>
        <v/>
      </c>
      <c r="D1205">
        <f>IF($A1205="","",SUMIF($B$2:$B1205,$B1205,$C$2:$C1205))</f>
        <v/>
      </c>
      <c r="E1205">
        <f>IF($A1205="",0,IF('TMP Paste'!$B1205="",0,1))</f>
        <v/>
      </c>
      <c r="F1205">
        <f>IF(OR($A1205="",$C1205&lt;1),"",$A1205&amp;"-"&amp;TEXT(($D1205-$C1205+1),"00")&amp;IF($C1205&gt;=2,", "&amp;$A1205&amp;"-"&amp;TEXT(($D1205-$C1205+1)+1,"00"),"")&amp;IF($C1205&gt;=3,", "&amp;$A1205&amp;"-"&amp;TEXT(($D1205-$C1205+1)+2,"00"),"")&amp;IF($C1205&gt;=4,", "&amp;$A1205&amp;"-"&amp;TEXT(($D1205-$C1205+1)+3,"00"),"")&amp;IF($C1205&gt;=5,", "&amp;$A1205&amp;"-"&amp;TEXT(($D1205-$C1205+1)+4,"00"),"")&amp;IF($C1205&gt;=6,", "&amp;$A1205&amp;"-"&amp;TEXT(($D1205-$C1205+1)+5,"00"),"")&amp;IF($C1205&gt;=7,", "&amp;$A1205&amp;"-"&amp;TEXT(($D1205-$C1205+1)+6,"00"),"")&amp;IF($C1205&gt;=8,", "&amp;$A1205&amp;"-"&amp;TEXT(($D1205-$C1205+1)+7,"00"),"")&amp;IF($C1205&gt;=9,", "&amp;$A1205&amp;"-"&amp;TEXT(($D1205-$C1205+1)+8,"00"),"")&amp;IF($C1205&gt;=10,", "&amp;$A1205&amp;"-"&amp;TEXT(($D1205-$C1205+1)+9,"00"),"")&amp;IF($C1205&gt;=11,", "&amp;$A1205&amp;"-"&amp;TEXT(($D1205-$C1205+1)+10,"00"),"")&amp;IF($C1205&gt;=12,", "&amp;$A1205&amp;"-"&amp;TEXT(($D1205-$C1205+1)+11,"00"),"")&amp;IF($C1205&gt;=13,", "&amp;$A1205&amp;"-"&amp;TEXT(($D1205-$C1205+1)+12,"00"),"")&amp;IF($C1205&gt;=14,", "&amp;$A1205&amp;"-"&amp;TEXT(($D1205-$C1205+1)+13,"00"),"")&amp;IF($C1205&gt;=15,", "&amp;$A1205&amp;"-"&amp;TEXT(($D1205-$C1205+1)+14,"00"),"")&amp;IF($C1205&gt;=16,", "&amp;$A1205&amp;"-"&amp;TEXT(($D1205-$C1205+1)+15,"00"),"")&amp;IF($C1205&gt;=17,", "&amp;$A1205&amp;"-"&amp;TEXT(($D1205-$C1205+1)+16,"00"),"")&amp;IF($C1205&gt;=18,", "&amp;$A1205&amp;"-"&amp;TEXT(($D1205-$C1205+1)+17,"00"),"")&amp;IF($C1205&gt;=19,", "&amp;$A1205&amp;"-"&amp;TEXT(($D1205-$C1205+1)+18,"00"),"")&amp;IF($C1205&gt;=20,", "&amp;$A1205&amp;"-"&amp;TEXT(($D1205-$C1205+1)+19,"00"),"")&amp;IF($C1205&gt;=21,", "&amp;$A1205&amp;"-"&amp;TEXT(($D1205-$C1205+1)+20,"00"),"")&amp;IF($C1205&gt;=22,", "&amp;$A1205&amp;"-"&amp;TEXT(($D1205-$C1205+1)+21,"00"),"")&amp;IF($C1205&gt;=23,", "&amp;$A1205&amp;"-"&amp;TEXT(($D1205-$C1205+1)+22,"00"),"")&amp;IF($C1205&gt;=24,", "&amp;$A1205&amp;"-"&amp;TEXT(($D1205-$C1205+1)+23,"00"),"")&amp;IF($C1205&gt;=25,", "&amp;$A1205&amp;"-"&amp;TEXT(($D1205-$C1205+1)+24,"00"),""))</f>
        <v/>
      </c>
      <c r="G1205">
        <f>IF($A1205="","",IF($E1205=1,$F1205,IF($F1205="",$G1204,IF($G1204="",$F1205,$G1204&amp;", "&amp;$F1205))))</f>
        <v/>
      </c>
      <c r="H1205">
        <f>IF($A1205="","",$A1205&amp;" ("&amp;$C1205&amp;")")</f>
        <v/>
      </c>
      <c r="I1205">
        <f>IF($A1205="","",IF($E1205=1,$H1205,$I1204&amp;", "&amp;$H1205))</f>
        <v/>
      </c>
      <c r="J1205">
        <f>IF($A1205="","",IF($E1205=1,$B1205,""))</f>
        <v/>
      </c>
      <c r="K1205">
        <f>IF($A1205="","",IF(COUNTIF($B$2:$B1205,$B1205)=COUNTIF($B$2:$B$1601,$B1205),$B1205,""))</f>
        <v/>
      </c>
    </row>
    <row r="1206">
      <c r="A1206">
        <f>IF('TMP Paste'!$E1206="","",'TMP Paste'!$E1206)</f>
        <v/>
      </c>
      <c r="B1206">
        <f>IF($A1206="","",COUNTIF('TMP Paste'!$B$2:$B1206,"?*"))</f>
        <v/>
      </c>
      <c r="C1206">
        <f>IF($A1206="","",IFERROR('TMP Paste'!$M1206*1,0))</f>
        <v/>
      </c>
      <c r="D1206">
        <f>IF($A1206="","",SUMIF($B$2:$B1206,$B1206,$C$2:$C1206))</f>
        <v/>
      </c>
      <c r="E1206">
        <f>IF($A1206="",0,IF('TMP Paste'!$B1206="",0,1))</f>
        <v/>
      </c>
      <c r="F1206">
        <f>IF(OR($A1206="",$C1206&lt;1),"",$A1206&amp;"-"&amp;TEXT(($D1206-$C1206+1),"00")&amp;IF($C1206&gt;=2,", "&amp;$A1206&amp;"-"&amp;TEXT(($D1206-$C1206+1)+1,"00"),"")&amp;IF($C1206&gt;=3,", "&amp;$A1206&amp;"-"&amp;TEXT(($D1206-$C1206+1)+2,"00"),"")&amp;IF($C1206&gt;=4,", "&amp;$A1206&amp;"-"&amp;TEXT(($D1206-$C1206+1)+3,"00"),"")&amp;IF($C1206&gt;=5,", "&amp;$A1206&amp;"-"&amp;TEXT(($D1206-$C1206+1)+4,"00"),"")&amp;IF($C1206&gt;=6,", "&amp;$A1206&amp;"-"&amp;TEXT(($D1206-$C1206+1)+5,"00"),"")&amp;IF($C1206&gt;=7,", "&amp;$A1206&amp;"-"&amp;TEXT(($D1206-$C1206+1)+6,"00"),"")&amp;IF($C1206&gt;=8,", "&amp;$A1206&amp;"-"&amp;TEXT(($D1206-$C1206+1)+7,"00"),"")&amp;IF($C1206&gt;=9,", "&amp;$A1206&amp;"-"&amp;TEXT(($D1206-$C1206+1)+8,"00"),"")&amp;IF($C1206&gt;=10,", "&amp;$A1206&amp;"-"&amp;TEXT(($D1206-$C1206+1)+9,"00"),"")&amp;IF($C1206&gt;=11,", "&amp;$A1206&amp;"-"&amp;TEXT(($D1206-$C1206+1)+10,"00"),"")&amp;IF($C1206&gt;=12,", "&amp;$A1206&amp;"-"&amp;TEXT(($D1206-$C1206+1)+11,"00"),"")&amp;IF($C1206&gt;=13,", "&amp;$A1206&amp;"-"&amp;TEXT(($D1206-$C1206+1)+12,"00"),"")&amp;IF($C1206&gt;=14,", "&amp;$A1206&amp;"-"&amp;TEXT(($D1206-$C1206+1)+13,"00"),"")&amp;IF($C1206&gt;=15,", "&amp;$A1206&amp;"-"&amp;TEXT(($D1206-$C1206+1)+14,"00"),"")&amp;IF($C1206&gt;=16,", "&amp;$A1206&amp;"-"&amp;TEXT(($D1206-$C1206+1)+15,"00"),"")&amp;IF($C1206&gt;=17,", "&amp;$A1206&amp;"-"&amp;TEXT(($D1206-$C1206+1)+16,"00"),"")&amp;IF($C1206&gt;=18,", "&amp;$A1206&amp;"-"&amp;TEXT(($D1206-$C1206+1)+17,"00"),"")&amp;IF($C1206&gt;=19,", "&amp;$A1206&amp;"-"&amp;TEXT(($D1206-$C1206+1)+18,"00"),"")&amp;IF($C1206&gt;=20,", "&amp;$A1206&amp;"-"&amp;TEXT(($D1206-$C1206+1)+19,"00"),"")&amp;IF($C1206&gt;=21,", "&amp;$A1206&amp;"-"&amp;TEXT(($D1206-$C1206+1)+20,"00"),"")&amp;IF($C1206&gt;=22,", "&amp;$A1206&amp;"-"&amp;TEXT(($D1206-$C1206+1)+21,"00"),"")&amp;IF($C1206&gt;=23,", "&amp;$A1206&amp;"-"&amp;TEXT(($D1206-$C1206+1)+22,"00"),"")&amp;IF($C1206&gt;=24,", "&amp;$A1206&amp;"-"&amp;TEXT(($D1206-$C1206+1)+23,"00"),"")&amp;IF($C1206&gt;=25,", "&amp;$A1206&amp;"-"&amp;TEXT(($D1206-$C1206+1)+24,"00"),""))</f>
        <v/>
      </c>
      <c r="G1206">
        <f>IF($A1206="","",IF($E1206=1,$F1206,IF($F1206="",$G1205,IF($G1205="",$F1206,$G1205&amp;", "&amp;$F1206))))</f>
        <v/>
      </c>
      <c r="H1206">
        <f>IF($A1206="","",$A1206&amp;" ("&amp;$C1206&amp;")")</f>
        <v/>
      </c>
      <c r="I1206">
        <f>IF($A1206="","",IF($E1206=1,$H1206,$I1205&amp;", "&amp;$H1206))</f>
        <v/>
      </c>
      <c r="J1206">
        <f>IF($A1206="","",IF($E1206=1,$B1206,""))</f>
        <v/>
      </c>
      <c r="K1206">
        <f>IF($A1206="","",IF(COUNTIF($B$2:$B1206,$B1206)=COUNTIF($B$2:$B$1601,$B1206),$B1206,""))</f>
        <v/>
      </c>
    </row>
    <row r="1207">
      <c r="A1207">
        <f>IF('TMP Paste'!$E1207="","",'TMP Paste'!$E1207)</f>
        <v/>
      </c>
      <c r="B1207">
        <f>IF($A1207="","",COUNTIF('TMP Paste'!$B$2:$B1207,"?*"))</f>
        <v/>
      </c>
      <c r="C1207">
        <f>IF($A1207="","",IFERROR('TMP Paste'!$M1207*1,0))</f>
        <v/>
      </c>
      <c r="D1207">
        <f>IF($A1207="","",SUMIF($B$2:$B1207,$B1207,$C$2:$C1207))</f>
        <v/>
      </c>
      <c r="E1207">
        <f>IF($A1207="",0,IF('TMP Paste'!$B1207="",0,1))</f>
        <v/>
      </c>
      <c r="F1207">
        <f>IF(OR($A1207="",$C1207&lt;1),"",$A1207&amp;"-"&amp;TEXT(($D1207-$C1207+1),"00")&amp;IF($C1207&gt;=2,", "&amp;$A1207&amp;"-"&amp;TEXT(($D1207-$C1207+1)+1,"00"),"")&amp;IF($C1207&gt;=3,", "&amp;$A1207&amp;"-"&amp;TEXT(($D1207-$C1207+1)+2,"00"),"")&amp;IF($C1207&gt;=4,", "&amp;$A1207&amp;"-"&amp;TEXT(($D1207-$C1207+1)+3,"00"),"")&amp;IF($C1207&gt;=5,", "&amp;$A1207&amp;"-"&amp;TEXT(($D1207-$C1207+1)+4,"00"),"")&amp;IF($C1207&gt;=6,", "&amp;$A1207&amp;"-"&amp;TEXT(($D1207-$C1207+1)+5,"00"),"")&amp;IF($C1207&gt;=7,", "&amp;$A1207&amp;"-"&amp;TEXT(($D1207-$C1207+1)+6,"00"),"")&amp;IF($C1207&gt;=8,", "&amp;$A1207&amp;"-"&amp;TEXT(($D1207-$C1207+1)+7,"00"),"")&amp;IF($C1207&gt;=9,", "&amp;$A1207&amp;"-"&amp;TEXT(($D1207-$C1207+1)+8,"00"),"")&amp;IF($C1207&gt;=10,", "&amp;$A1207&amp;"-"&amp;TEXT(($D1207-$C1207+1)+9,"00"),"")&amp;IF($C1207&gt;=11,", "&amp;$A1207&amp;"-"&amp;TEXT(($D1207-$C1207+1)+10,"00"),"")&amp;IF($C1207&gt;=12,", "&amp;$A1207&amp;"-"&amp;TEXT(($D1207-$C1207+1)+11,"00"),"")&amp;IF($C1207&gt;=13,", "&amp;$A1207&amp;"-"&amp;TEXT(($D1207-$C1207+1)+12,"00"),"")&amp;IF($C1207&gt;=14,", "&amp;$A1207&amp;"-"&amp;TEXT(($D1207-$C1207+1)+13,"00"),"")&amp;IF($C1207&gt;=15,", "&amp;$A1207&amp;"-"&amp;TEXT(($D1207-$C1207+1)+14,"00"),"")&amp;IF($C1207&gt;=16,", "&amp;$A1207&amp;"-"&amp;TEXT(($D1207-$C1207+1)+15,"00"),"")&amp;IF($C1207&gt;=17,", "&amp;$A1207&amp;"-"&amp;TEXT(($D1207-$C1207+1)+16,"00"),"")&amp;IF($C1207&gt;=18,", "&amp;$A1207&amp;"-"&amp;TEXT(($D1207-$C1207+1)+17,"00"),"")&amp;IF($C1207&gt;=19,", "&amp;$A1207&amp;"-"&amp;TEXT(($D1207-$C1207+1)+18,"00"),"")&amp;IF($C1207&gt;=20,", "&amp;$A1207&amp;"-"&amp;TEXT(($D1207-$C1207+1)+19,"00"),"")&amp;IF($C1207&gt;=21,", "&amp;$A1207&amp;"-"&amp;TEXT(($D1207-$C1207+1)+20,"00"),"")&amp;IF($C1207&gt;=22,", "&amp;$A1207&amp;"-"&amp;TEXT(($D1207-$C1207+1)+21,"00"),"")&amp;IF($C1207&gt;=23,", "&amp;$A1207&amp;"-"&amp;TEXT(($D1207-$C1207+1)+22,"00"),"")&amp;IF($C1207&gt;=24,", "&amp;$A1207&amp;"-"&amp;TEXT(($D1207-$C1207+1)+23,"00"),"")&amp;IF($C1207&gt;=25,", "&amp;$A1207&amp;"-"&amp;TEXT(($D1207-$C1207+1)+24,"00"),""))</f>
        <v/>
      </c>
      <c r="G1207">
        <f>IF($A1207="","",IF($E1207=1,$F1207,IF($F1207="",$G1206,IF($G1206="",$F1207,$G1206&amp;", "&amp;$F1207))))</f>
        <v/>
      </c>
      <c r="H1207">
        <f>IF($A1207="","",$A1207&amp;" ("&amp;$C1207&amp;")")</f>
        <v/>
      </c>
      <c r="I1207">
        <f>IF($A1207="","",IF($E1207=1,$H1207,$I1206&amp;", "&amp;$H1207))</f>
        <v/>
      </c>
      <c r="J1207">
        <f>IF($A1207="","",IF($E1207=1,$B1207,""))</f>
        <v/>
      </c>
      <c r="K1207">
        <f>IF($A1207="","",IF(COUNTIF($B$2:$B1207,$B1207)=COUNTIF($B$2:$B$1601,$B1207),$B1207,""))</f>
        <v/>
      </c>
    </row>
    <row r="1208">
      <c r="A1208">
        <f>IF('TMP Paste'!$E1208="","",'TMP Paste'!$E1208)</f>
        <v/>
      </c>
      <c r="B1208">
        <f>IF($A1208="","",COUNTIF('TMP Paste'!$B$2:$B1208,"?*"))</f>
        <v/>
      </c>
      <c r="C1208">
        <f>IF($A1208="","",IFERROR('TMP Paste'!$M1208*1,0))</f>
        <v/>
      </c>
      <c r="D1208">
        <f>IF($A1208="","",SUMIF($B$2:$B1208,$B1208,$C$2:$C1208))</f>
        <v/>
      </c>
      <c r="E1208">
        <f>IF($A1208="",0,IF('TMP Paste'!$B1208="",0,1))</f>
        <v/>
      </c>
      <c r="F1208">
        <f>IF(OR($A1208="",$C1208&lt;1),"",$A1208&amp;"-"&amp;TEXT(($D1208-$C1208+1),"00")&amp;IF($C1208&gt;=2,", "&amp;$A1208&amp;"-"&amp;TEXT(($D1208-$C1208+1)+1,"00"),"")&amp;IF($C1208&gt;=3,", "&amp;$A1208&amp;"-"&amp;TEXT(($D1208-$C1208+1)+2,"00"),"")&amp;IF($C1208&gt;=4,", "&amp;$A1208&amp;"-"&amp;TEXT(($D1208-$C1208+1)+3,"00"),"")&amp;IF($C1208&gt;=5,", "&amp;$A1208&amp;"-"&amp;TEXT(($D1208-$C1208+1)+4,"00"),"")&amp;IF($C1208&gt;=6,", "&amp;$A1208&amp;"-"&amp;TEXT(($D1208-$C1208+1)+5,"00"),"")&amp;IF($C1208&gt;=7,", "&amp;$A1208&amp;"-"&amp;TEXT(($D1208-$C1208+1)+6,"00"),"")&amp;IF($C1208&gt;=8,", "&amp;$A1208&amp;"-"&amp;TEXT(($D1208-$C1208+1)+7,"00"),"")&amp;IF($C1208&gt;=9,", "&amp;$A1208&amp;"-"&amp;TEXT(($D1208-$C1208+1)+8,"00"),"")&amp;IF($C1208&gt;=10,", "&amp;$A1208&amp;"-"&amp;TEXT(($D1208-$C1208+1)+9,"00"),"")&amp;IF($C1208&gt;=11,", "&amp;$A1208&amp;"-"&amp;TEXT(($D1208-$C1208+1)+10,"00"),"")&amp;IF($C1208&gt;=12,", "&amp;$A1208&amp;"-"&amp;TEXT(($D1208-$C1208+1)+11,"00"),"")&amp;IF($C1208&gt;=13,", "&amp;$A1208&amp;"-"&amp;TEXT(($D1208-$C1208+1)+12,"00"),"")&amp;IF($C1208&gt;=14,", "&amp;$A1208&amp;"-"&amp;TEXT(($D1208-$C1208+1)+13,"00"),"")&amp;IF($C1208&gt;=15,", "&amp;$A1208&amp;"-"&amp;TEXT(($D1208-$C1208+1)+14,"00"),"")&amp;IF($C1208&gt;=16,", "&amp;$A1208&amp;"-"&amp;TEXT(($D1208-$C1208+1)+15,"00"),"")&amp;IF($C1208&gt;=17,", "&amp;$A1208&amp;"-"&amp;TEXT(($D1208-$C1208+1)+16,"00"),"")&amp;IF($C1208&gt;=18,", "&amp;$A1208&amp;"-"&amp;TEXT(($D1208-$C1208+1)+17,"00"),"")&amp;IF($C1208&gt;=19,", "&amp;$A1208&amp;"-"&amp;TEXT(($D1208-$C1208+1)+18,"00"),"")&amp;IF($C1208&gt;=20,", "&amp;$A1208&amp;"-"&amp;TEXT(($D1208-$C1208+1)+19,"00"),"")&amp;IF($C1208&gt;=21,", "&amp;$A1208&amp;"-"&amp;TEXT(($D1208-$C1208+1)+20,"00"),"")&amp;IF($C1208&gt;=22,", "&amp;$A1208&amp;"-"&amp;TEXT(($D1208-$C1208+1)+21,"00"),"")&amp;IF($C1208&gt;=23,", "&amp;$A1208&amp;"-"&amp;TEXT(($D1208-$C1208+1)+22,"00"),"")&amp;IF($C1208&gt;=24,", "&amp;$A1208&amp;"-"&amp;TEXT(($D1208-$C1208+1)+23,"00"),"")&amp;IF($C1208&gt;=25,", "&amp;$A1208&amp;"-"&amp;TEXT(($D1208-$C1208+1)+24,"00"),""))</f>
        <v/>
      </c>
      <c r="G1208">
        <f>IF($A1208="","",IF($E1208=1,$F1208,IF($F1208="",$G1207,IF($G1207="",$F1208,$G1207&amp;", "&amp;$F1208))))</f>
        <v/>
      </c>
      <c r="H1208">
        <f>IF($A1208="","",$A1208&amp;" ("&amp;$C1208&amp;")")</f>
        <v/>
      </c>
      <c r="I1208">
        <f>IF($A1208="","",IF($E1208=1,$H1208,$I1207&amp;", "&amp;$H1208))</f>
        <v/>
      </c>
      <c r="J1208">
        <f>IF($A1208="","",IF($E1208=1,$B1208,""))</f>
        <v/>
      </c>
      <c r="K1208">
        <f>IF($A1208="","",IF(COUNTIF($B$2:$B1208,$B1208)=COUNTIF($B$2:$B$1601,$B1208),$B1208,""))</f>
        <v/>
      </c>
    </row>
    <row r="1209">
      <c r="A1209">
        <f>IF('TMP Paste'!$E1209="","",'TMP Paste'!$E1209)</f>
        <v/>
      </c>
      <c r="B1209">
        <f>IF($A1209="","",COUNTIF('TMP Paste'!$B$2:$B1209,"?*"))</f>
        <v/>
      </c>
      <c r="C1209">
        <f>IF($A1209="","",IFERROR('TMP Paste'!$M1209*1,0))</f>
        <v/>
      </c>
      <c r="D1209">
        <f>IF($A1209="","",SUMIF($B$2:$B1209,$B1209,$C$2:$C1209))</f>
        <v/>
      </c>
      <c r="E1209">
        <f>IF($A1209="",0,IF('TMP Paste'!$B1209="",0,1))</f>
        <v/>
      </c>
      <c r="F1209">
        <f>IF(OR($A1209="",$C1209&lt;1),"",$A1209&amp;"-"&amp;TEXT(($D1209-$C1209+1),"00")&amp;IF($C1209&gt;=2,", "&amp;$A1209&amp;"-"&amp;TEXT(($D1209-$C1209+1)+1,"00"),"")&amp;IF($C1209&gt;=3,", "&amp;$A1209&amp;"-"&amp;TEXT(($D1209-$C1209+1)+2,"00"),"")&amp;IF($C1209&gt;=4,", "&amp;$A1209&amp;"-"&amp;TEXT(($D1209-$C1209+1)+3,"00"),"")&amp;IF($C1209&gt;=5,", "&amp;$A1209&amp;"-"&amp;TEXT(($D1209-$C1209+1)+4,"00"),"")&amp;IF($C1209&gt;=6,", "&amp;$A1209&amp;"-"&amp;TEXT(($D1209-$C1209+1)+5,"00"),"")&amp;IF($C1209&gt;=7,", "&amp;$A1209&amp;"-"&amp;TEXT(($D1209-$C1209+1)+6,"00"),"")&amp;IF($C1209&gt;=8,", "&amp;$A1209&amp;"-"&amp;TEXT(($D1209-$C1209+1)+7,"00"),"")&amp;IF($C1209&gt;=9,", "&amp;$A1209&amp;"-"&amp;TEXT(($D1209-$C1209+1)+8,"00"),"")&amp;IF($C1209&gt;=10,", "&amp;$A1209&amp;"-"&amp;TEXT(($D1209-$C1209+1)+9,"00"),"")&amp;IF($C1209&gt;=11,", "&amp;$A1209&amp;"-"&amp;TEXT(($D1209-$C1209+1)+10,"00"),"")&amp;IF($C1209&gt;=12,", "&amp;$A1209&amp;"-"&amp;TEXT(($D1209-$C1209+1)+11,"00"),"")&amp;IF($C1209&gt;=13,", "&amp;$A1209&amp;"-"&amp;TEXT(($D1209-$C1209+1)+12,"00"),"")&amp;IF($C1209&gt;=14,", "&amp;$A1209&amp;"-"&amp;TEXT(($D1209-$C1209+1)+13,"00"),"")&amp;IF($C1209&gt;=15,", "&amp;$A1209&amp;"-"&amp;TEXT(($D1209-$C1209+1)+14,"00"),"")&amp;IF($C1209&gt;=16,", "&amp;$A1209&amp;"-"&amp;TEXT(($D1209-$C1209+1)+15,"00"),"")&amp;IF($C1209&gt;=17,", "&amp;$A1209&amp;"-"&amp;TEXT(($D1209-$C1209+1)+16,"00"),"")&amp;IF($C1209&gt;=18,", "&amp;$A1209&amp;"-"&amp;TEXT(($D1209-$C1209+1)+17,"00"),"")&amp;IF($C1209&gt;=19,", "&amp;$A1209&amp;"-"&amp;TEXT(($D1209-$C1209+1)+18,"00"),"")&amp;IF($C1209&gt;=20,", "&amp;$A1209&amp;"-"&amp;TEXT(($D1209-$C1209+1)+19,"00"),"")&amp;IF($C1209&gt;=21,", "&amp;$A1209&amp;"-"&amp;TEXT(($D1209-$C1209+1)+20,"00"),"")&amp;IF($C1209&gt;=22,", "&amp;$A1209&amp;"-"&amp;TEXT(($D1209-$C1209+1)+21,"00"),"")&amp;IF($C1209&gt;=23,", "&amp;$A1209&amp;"-"&amp;TEXT(($D1209-$C1209+1)+22,"00"),"")&amp;IF($C1209&gt;=24,", "&amp;$A1209&amp;"-"&amp;TEXT(($D1209-$C1209+1)+23,"00"),"")&amp;IF($C1209&gt;=25,", "&amp;$A1209&amp;"-"&amp;TEXT(($D1209-$C1209+1)+24,"00"),""))</f>
        <v/>
      </c>
      <c r="G1209">
        <f>IF($A1209="","",IF($E1209=1,$F1209,IF($F1209="",$G1208,IF($G1208="",$F1209,$G1208&amp;", "&amp;$F1209))))</f>
        <v/>
      </c>
      <c r="H1209">
        <f>IF($A1209="","",$A1209&amp;" ("&amp;$C1209&amp;")")</f>
        <v/>
      </c>
      <c r="I1209">
        <f>IF($A1209="","",IF($E1209=1,$H1209,$I1208&amp;", "&amp;$H1209))</f>
        <v/>
      </c>
      <c r="J1209">
        <f>IF($A1209="","",IF($E1209=1,$B1209,""))</f>
        <v/>
      </c>
      <c r="K1209">
        <f>IF($A1209="","",IF(COUNTIF($B$2:$B1209,$B1209)=COUNTIF($B$2:$B$1601,$B1209),$B1209,""))</f>
        <v/>
      </c>
    </row>
    <row r="1210">
      <c r="A1210">
        <f>IF('TMP Paste'!$E1210="","",'TMP Paste'!$E1210)</f>
        <v/>
      </c>
      <c r="B1210">
        <f>IF($A1210="","",COUNTIF('TMP Paste'!$B$2:$B1210,"?*"))</f>
        <v/>
      </c>
      <c r="C1210">
        <f>IF($A1210="","",IFERROR('TMP Paste'!$M1210*1,0))</f>
        <v/>
      </c>
      <c r="D1210">
        <f>IF($A1210="","",SUMIF($B$2:$B1210,$B1210,$C$2:$C1210))</f>
        <v/>
      </c>
      <c r="E1210">
        <f>IF($A1210="",0,IF('TMP Paste'!$B1210="",0,1))</f>
        <v/>
      </c>
      <c r="F1210">
        <f>IF(OR($A1210="",$C1210&lt;1),"",$A1210&amp;"-"&amp;TEXT(($D1210-$C1210+1),"00")&amp;IF($C1210&gt;=2,", "&amp;$A1210&amp;"-"&amp;TEXT(($D1210-$C1210+1)+1,"00"),"")&amp;IF($C1210&gt;=3,", "&amp;$A1210&amp;"-"&amp;TEXT(($D1210-$C1210+1)+2,"00"),"")&amp;IF($C1210&gt;=4,", "&amp;$A1210&amp;"-"&amp;TEXT(($D1210-$C1210+1)+3,"00"),"")&amp;IF($C1210&gt;=5,", "&amp;$A1210&amp;"-"&amp;TEXT(($D1210-$C1210+1)+4,"00"),"")&amp;IF($C1210&gt;=6,", "&amp;$A1210&amp;"-"&amp;TEXT(($D1210-$C1210+1)+5,"00"),"")&amp;IF($C1210&gt;=7,", "&amp;$A1210&amp;"-"&amp;TEXT(($D1210-$C1210+1)+6,"00"),"")&amp;IF($C1210&gt;=8,", "&amp;$A1210&amp;"-"&amp;TEXT(($D1210-$C1210+1)+7,"00"),"")&amp;IF($C1210&gt;=9,", "&amp;$A1210&amp;"-"&amp;TEXT(($D1210-$C1210+1)+8,"00"),"")&amp;IF($C1210&gt;=10,", "&amp;$A1210&amp;"-"&amp;TEXT(($D1210-$C1210+1)+9,"00"),"")&amp;IF($C1210&gt;=11,", "&amp;$A1210&amp;"-"&amp;TEXT(($D1210-$C1210+1)+10,"00"),"")&amp;IF($C1210&gt;=12,", "&amp;$A1210&amp;"-"&amp;TEXT(($D1210-$C1210+1)+11,"00"),"")&amp;IF($C1210&gt;=13,", "&amp;$A1210&amp;"-"&amp;TEXT(($D1210-$C1210+1)+12,"00"),"")&amp;IF($C1210&gt;=14,", "&amp;$A1210&amp;"-"&amp;TEXT(($D1210-$C1210+1)+13,"00"),"")&amp;IF($C1210&gt;=15,", "&amp;$A1210&amp;"-"&amp;TEXT(($D1210-$C1210+1)+14,"00"),"")&amp;IF($C1210&gt;=16,", "&amp;$A1210&amp;"-"&amp;TEXT(($D1210-$C1210+1)+15,"00"),"")&amp;IF($C1210&gt;=17,", "&amp;$A1210&amp;"-"&amp;TEXT(($D1210-$C1210+1)+16,"00"),"")&amp;IF($C1210&gt;=18,", "&amp;$A1210&amp;"-"&amp;TEXT(($D1210-$C1210+1)+17,"00"),"")&amp;IF($C1210&gt;=19,", "&amp;$A1210&amp;"-"&amp;TEXT(($D1210-$C1210+1)+18,"00"),"")&amp;IF($C1210&gt;=20,", "&amp;$A1210&amp;"-"&amp;TEXT(($D1210-$C1210+1)+19,"00"),"")&amp;IF($C1210&gt;=21,", "&amp;$A1210&amp;"-"&amp;TEXT(($D1210-$C1210+1)+20,"00"),"")&amp;IF($C1210&gt;=22,", "&amp;$A1210&amp;"-"&amp;TEXT(($D1210-$C1210+1)+21,"00"),"")&amp;IF($C1210&gt;=23,", "&amp;$A1210&amp;"-"&amp;TEXT(($D1210-$C1210+1)+22,"00"),"")&amp;IF($C1210&gt;=24,", "&amp;$A1210&amp;"-"&amp;TEXT(($D1210-$C1210+1)+23,"00"),"")&amp;IF($C1210&gt;=25,", "&amp;$A1210&amp;"-"&amp;TEXT(($D1210-$C1210+1)+24,"00"),""))</f>
        <v/>
      </c>
      <c r="G1210">
        <f>IF($A1210="","",IF($E1210=1,$F1210,IF($F1210="",$G1209,IF($G1209="",$F1210,$G1209&amp;", "&amp;$F1210))))</f>
        <v/>
      </c>
      <c r="H1210">
        <f>IF($A1210="","",$A1210&amp;" ("&amp;$C1210&amp;")")</f>
        <v/>
      </c>
      <c r="I1210">
        <f>IF($A1210="","",IF($E1210=1,$H1210,$I1209&amp;", "&amp;$H1210))</f>
        <v/>
      </c>
      <c r="J1210">
        <f>IF($A1210="","",IF($E1210=1,$B1210,""))</f>
        <v/>
      </c>
      <c r="K1210">
        <f>IF($A1210="","",IF(COUNTIF($B$2:$B1210,$B1210)=COUNTIF($B$2:$B$1601,$B1210),$B1210,""))</f>
        <v/>
      </c>
    </row>
    <row r="1211">
      <c r="A1211">
        <f>IF('TMP Paste'!$E1211="","",'TMP Paste'!$E1211)</f>
        <v/>
      </c>
      <c r="B1211">
        <f>IF($A1211="","",COUNTIF('TMP Paste'!$B$2:$B1211,"?*"))</f>
        <v/>
      </c>
      <c r="C1211">
        <f>IF($A1211="","",IFERROR('TMP Paste'!$M1211*1,0))</f>
        <v/>
      </c>
      <c r="D1211">
        <f>IF($A1211="","",SUMIF($B$2:$B1211,$B1211,$C$2:$C1211))</f>
        <v/>
      </c>
      <c r="E1211">
        <f>IF($A1211="",0,IF('TMP Paste'!$B1211="",0,1))</f>
        <v/>
      </c>
      <c r="F1211">
        <f>IF(OR($A1211="",$C1211&lt;1),"",$A1211&amp;"-"&amp;TEXT(($D1211-$C1211+1),"00")&amp;IF($C1211&gt;=2,", "&amp;$A1211&amp;"-"&amp;TEXT(($D1211-$C1211+1)+1,"00"),"")&amp;IF($C1211&gt;=3,", "&amp;$A1211&amp;"-"&amp;TEXT(($D1211-$C1211+1)+2,"00"),"")&amp;IF($C1211&gt;=4,", "&amp;$A1211&amp;"-"&amp;TEXT(($D1211-$C1211+1)+3,"00"),"")&amp;IF($C1211&gt;=5,", "&amp;$A1211&amp;"-"&amp;TEXT(($D1211-$C1211+1)+4,"00"),"")&amp;IF($C1211&gt;=6,", "&amp;$A1211&amp;"-"&amp;TEXT(($D1211-$C1211+1)+5,"00"),"")&amp;IF($C1211&gt;=7,", "&amp;$A1211&amp;"-"&amp;TEXT(($D1211-$C1211+1)+6,"00"),"")&amp;IF($C1211&gt;=8,", "&amp;$A1211&amp;"-"&amp;TEXT(($D1211-$C1211+1)+7,"00"),"")&amp;IF($C1211&gt;=9,", "&amp;$A1211&amp;"-"&amp;TEXT(($D1211-$C1211+1)+8,"00"),"")&amp;IF($C1211&gt;=10,", "&amp;$A1211&amp;"-"&amp;TEXT(($D1211-$C1211+1)+9,"00"),"")&amp;IF($C1211&gt;=11,", "&amp;$A1211&amp;"-"&amp;TEXT(($D1211-$C1211+1)+10,"00"),"")&amp;IF($C1211&gt;=12,", "&amp;$A1211&amp;"-"&amp;TEXT(($D1211-$C1211+1)+11,"00"),"")&amp;IF($C1211&gt;=13,", "&amp;$A1211&amp;"-"&amp;TEXT(($D1211-$C1211+1)+12,"00"),"")&amp;IF($C1211&gt;=14,", "&amp;$A1211&amp;"-"&amp;TEXT(($D1211-$C1211+1)+13,"00"),"")&amp;IF($C1211&gt;=15,", "&amp;$A1211&amp;"-"&amp;TEXT(($D1211-$C1211+1)+14,"00"),"")&amp;IF($C1211&gt;=16,", "&amp;$A1211&amp;"-"&amp;TEXT(($D1211-$C1211+1)+15,"00"),"")&amp;IF($C1211&gt;=17,", "&amp;$A1211&amp;"-"&amp;TEXT(($D1211-$C1211+1)+16,"00"),"")&amp;IF($C1211&gt;=18,", "&amp;$A1211&amp;"-"&amp;TEXT(($D1211-$C1211+1)+17,"00"),"")&amp;IF($C1211&gt;=19,", "&amp;$A1211&amp;"-"&amp;TEXT(($D1211-$C1211+1)+18,"00"),"")&amp;IF($C1211&gt;=20,", "&amp;$A1211&amp;"-"&amp;TEXT(($D1211-$C1211+1)+19,"00"),"")&amp;IF($C1211&gt;=21,", "&amp;$A1211&amp;"-"&amp;TEXT(($D1211-$C1211+1)+20,"00"),"")&amp;IF($C1211&gt;=22,", "&amp;$A1211&amp;"-"&amp;TEXT(($D1211-$C1211+1)+21,"00"),"")&amp;IF($C1211&gt;=23,", "&amp;$A1211&amp;"-"&amp;TEXT(($D1211-$C1211+1)+22,"00"),"")&amp;IF($C1211&gt;=24,", "&amp;$A1211&amp;"-"&amp;TEXT(($D1211-$C1211+1)+23,"00"),"")&amp;IF($C1211&gt;=25,", "&amp;$A1211&amp;"-"&amp;TEXT(($D1211-$C1211+1)+24,"00"),""))</f>
        <v/>
      </c>
      <c r="G1211">
        <f>IF($A1211="","",IF($E1211=1,$F1211,IF($F1211="",$G1210,IF($G1210="",$F1211,$G1210&amp;", "&amp;$F1211))))</f>
        <v/>
      </c>
      <c r="H1211">
        <f>IF($A1211="","",$A1211&amp;" ("&amp;$C1211&amp;")")</f>
        <v/>
      </c>
      <c r="I1211">
        <f>IF($A1211="","",IF($E1211=1,$H1211,$I1210&amp;", "&amp;$H1211))</f>
        <v/>
      </c>
      <c r="J1211">
        <f>IF($A1211="","",IF($E1211=1,$B1211,""))</f>
        <v/>
      </c>
      <c r="K1211">
        <f>IF($A1211="","",IF(COUNTIF($B$2:$B1211,$B1211)=COUNTIF($B$2:$B$1601,$B1211),$B1211,""))</f>
        <v/>
      </c>
    </row>
    <row r="1212">
      <c r="A1212">
        <f>IF('TMP Paste'!$E1212="","",'TMP Paste'!$E1212)</f>
        <v/>
      </c>
      <c r="B1212">
        <f>IF($A1212="","",COUNTIF('TMP Paste'!$B$2:$B1212,"?*"))</f>
        <v/>
      </c>
      <c r="C1212">
        <f>IF($A1212="","",IFERROR('TMP Paste'!$M1212*1,0))</f>
        <v/>
      </c>
      <c r="D1212">
        <f>IF($A1212="","",SUMIF($B$2:$B1212,$B1212,$C$2:$C1212))</f>
        <v/>
      </c>
      <c r="E1212">
        <f>IF($A1212="",0,IF('TMP Paste'!$B1212="",0,1))</f>
        <v/>
      </c>
      <c r="F1212">
        <f>IF(OR($A1212="",$C1212&lt;1),"",$A1212&amp;"-"&amp;TEXT(($D1212-$C1212+1),"00")&amp;IF($C1212&gt;=2,", "&amp;$A1212&amp;"-"&amp;TEXT(($D1212-$C1212+1)+1,"00"),"")&amp;IF($C1212&gt;=3,", "&amp;$A1212&amp;"-"&amp;TEXT(($D1212-$C1212+1)+2,"00"),"")&amp;IF($C1212&gt;=4,", "&amp;$A1212&amp;"-"&amp;TEXT(($D1212-$C1212+1)+3,"00"),"")&amp;IF($C1212&gt;=5,", "&amp;$A1212&amp;"-"&amp;TEXT(($D1212-$C1212+1)+4,"00"),"")&amp;IF($C1212&gt;=6,", "&amp;$A1212&amp;"-"&amp;TEXT(($D1212-$C1212+1)+5,"00"),"")&amp;IF($C1212&gt;=7,", "&amp;$A1212&amp;"-"&amp;TEXT(($D1212-$C1212+1)+6,"00"),"")&amp;IF($C1212&gt;=8,", "&amp;$A1212&amp;"-"&amp;TEXT(($D1212-$C1212+1)+7,"00"),"")&amp;IF($C1212&gt;=9,", "&amp;$A1212&amp;"-"&amp;TEXT(($D1212-$C1212+1)+8,"00"),"")&amp;IF($C1212&gt;=10,", "&amp;$A1212&amp;"-"&amp;TEXT(($D1212-$C1212+1)+9,"00"),"")&amp;IF($C1212&gt;=11,", "&amp;$A1212&amp;"-"&amp;TEXT(($D1212-$C1212+1)+10,"00"),"")&amp;IF($C1212&gt;=12,", "&amp;$A1212&amp;"-"&amp;TEXT(($D1212-$C1212+1)+11,"00"),"")&amp;IF($C1212&gt;=13,", "&amp;$A1212&amp;"-"&amp;TEXT(($D1212-$C1212+1)+12,"00"),"")&amp;IF($C1212&gt;=14,", "&amp;$A1212&amp;"-"&amp;TEXT(($D1212-$C1212+1)+13,"00"),"")&amp;IF($C1212&gt;=15,", "&amp;$A1212&amp;"-"&amp;TEXT(($D1212-$C1212+1)+14,"00"),"")&amp;IF($C1212&gt;=16,", "&amp;$A1212&amp;"-"&amp;TEXT(($D1212-$C1212+1)+15,"00"),"")&amp;IF($C1212&gt;=17,", "&amp;$A1212&amp;"-"&amp;TEXT(($D1212-$C1212+1)+16,"00"),"")&amp;IF($C1212&gt;=18,", "&amp;$A1212&amp;"-"&amp;TEXT(($D1212-$C1212+1)+17,"00"),"")&amp;IF($C1212&gt;=19,", "&amp;$A1212&amp;"-"&amp;TEXT(($D1212-$C1212+1)+18,"00"),"")&amp;IF($C1212&gt;=20,", "&amp;$A1212&amp;"-"&amp;TEXT(($D1212-$C1212+1)+19,"00"),"")&amp;IF($C1212&gt;=21,", "&amp;$A1212&amp;"-"&amp;TEXT(($D1212-$C1212+1)+20,"00"),"")&amp;IF($C1212&gt;=22,", "&amp;$A1212&amp;"-"&amp;TEXT(($D1212-$C1212+1)+21,"00"),"")&amp;IF($C1212&gt;=23,", "&amp;$A1212&amp;"-"&amp;TEXT(($D1212-$C1212+1)+22,"00"),"")&amp;IF($C1212&gt;=24,", "&amp;$A1212&amp;"-"&amp;TEXT(($D1212-$C1212+1)+23,"00"),"")&amp;IF($C1212&gt;=25,", "&amp;$A1212&amp;"-"&amp;TEXT(($D1212-$C1212+1)+24,"00"),""))</f>
        <v/>
      </c>
      <c r="G1212">
        <f>IF($A1212="","",IF($E1212=1,$F1212,IF($F1212="",$G1211,IF($G1211="",$F1212,$G1211&amp;", "&amp;$F1212))))</f>
        <v/>
      </c>
      <c r="H1212">
        <f>IF($A1212="","",$A1212&amp;" ("&amp;$C1212&amp;")")</f>
        <v/>
      </c>
      <c r="I1212">
        <f>IF($A1212="","",IF($E1212=1,$H1212,$I1211&amp;", "&amp;$H1212))</f>
        <v/>
      </c>
      <c r="J1212">
        <f>IF($A1212="","",IF($E1212=1,$B1212,""))</f>
        <v/>
      </c>
      <c r="K1212">
        <f>IF($A1212="","",IF(COUNTIF($B$2:$B1212,$B1212)=COUNTIF($B$2:$B$1601,$B1212),$B1212,""))</f>
        <v/>
      </c>
    </row>
    <row r="1213">
      <c r="A1213">
        <f>IF('TMP Paste'!$E1213="","",'TMP Paste'!$E1213)</f>
        <v/>
      </c>
      <c r="B1213">
        <f>IF($A1213="","",COUNTIF('TMP Paste'!$B$2:$B1213,"?*"))</f>
        <v/>
      </c>
      <c r="C1213">
        <f>IF($A1213="","",IFERROR('TMP Paste'!$M1213*1,0))</f>
        <v/>
      </c>
      <c r="D1213">
        <f>IF($A1213="","",SUMIF($B$2:$B1213,$B1213,$C$2:$C1213))</f>
        <v/>
      </c>
      <c r="E1213">
        <f>IF($A1213="",0,IF('TMP Paste'!$B1213="",0,1))</f>
        <v/>
      </c>
      <c r="F1213">
        <f>IF(OR($A1213="",$C1213&lt;1),"",$A1213&amp;"-"&amp;TEXT(($D1213-$C1213+1),"00")&amp;IF($C1213&gt;=2,", "&amp;$A1213&amp;"-"&amp;TEXT(($D1213-$C1213+1)+1,"00"),"")&amp;IF($C1213&gt;=3,", "&amp;$A1213&amp;"-"&amp;TEXT(($D1213-$C1213+1)+2,"00"),"")&amp;IF($C1213&gt;=4,", "&amp;$A1213&amp;"-"&amp;TEXT(($D1213-$C1213+1)+3,"00"),"")&amp;IF($C1213&gt;=5,", "&amp;$A1213&amp;"-"&amp;TEXT(($D1213-$C1213+1)+4,"00"),"")&amp;IF($C1213&gt;=6,", "&amp;$A1213&amp;"-"&amp;TEXT(($D1213-$C1213+1)+5,"00"),"")&amp;IF($C1213&gt;=7,", "&amp;$A1213&amp;"-"&amp;TEXT(($D1213-$C1213+1)+6,"00"),"")&amp;IF($C1213&gt;=8,", "&amp;$A1213&amp;"-"&amp;TEXT(($D1213-$C1213+1)+7,"00"),"")&amp;IF($C1213&gt;=9,", "&amp;$A1213&amp;"-"&amp;TEXT(($D1213-$C1213+1)+8,"00"),"")&amp;IF($C1213&gt;=10,", "&amp;$A1213&amp;"-"&amp;TEXT(($D1213-$C1213+1)+9,"00"),"")&amp;IF($C1213&gt;=11,", "&amp;$A1213&amp;"-"&amp;TEXT(($D1213-$C1213+1)+10,"00"),"")&amp;IF($C1213&gt;=12,", "&amp;$A1213&amp;"-"&amp;TEXT(($D1213-$C1213+1)+11,"00"),"")&amp;IF($C1213&gt;=13,", "&amp;$A1213&amp;"-"&amp;TEXT(($D1213-$C1213+1)+12,"00"),"")&amp;IF($C1213&gt;=14,", "&amp;$A1213&amp;"-"&amp;TEXT(($D1213-$C1213+1)+13,"00"),"")&amp;IF($C1213&gt;=15,", "&amp;$A1213&amp;"-"&amp;TEXT(($D1213-$C1213+1)+14,"00"),"")&amp;IF($C1213&gt;=16,", "&amp;$A1213&amp;"-"&amp;TEXT(($D1213-$C1213+1)+15,"00"),"")&amp;IF($C1213&gt;=17,", "&amp;$A1213&amp;"-"&amp;TEXT(($D1213-$C1213+1)+16,"00"),"")&amp;IF($C1213&gt;=18,", "&amp;$A1213&amp;"-"&amp;TEXT(($D1213-$C1213+1)+17,"00"),"")&amp;IF($C1213&gt;=19,", "&amp;$A1213&amp;"-"&amp;TEXT(($D1213-$C1213+1)+18,"00"),"")&amp;IF($C1213&gt;=20,", "&amp;$A1213&amp;"-"&amp;TEXT(($D1213-$C1213+1)+19,"00"),"")&amp;IF($C1213&gt;=21,", "&amp;$A1213&amp;"-"&amp;TEXT(($D1213-$C1213+1)+20,"00"),"")&amp;IF($C1213&gt;=22,", "&amp;$A1213&amp;"-"&amp;TEXT(($D1213-$C1213+1)+21,"00"),"")&amp;IF($C1213&gt;=23,", "&amp;$A1213&amp;"-"&amp;TEXT(($D1213-$C1213+1)+22,"00"),"")&amp;IF($C1213&gt;=24,", "&amp;$A1213&amp;"-"&amp;TEXT(($D1213-$C1213+1)+23,"00"),"")&amp;IF($C1213&gt;=25,", "&amp;$A1213&amp;"-"&amp;TEXT(($D1213-$C1213+1)+24,"00"),""))</f>
        <v/>
      </c>
      <c r="G1213">
        <f>IF($A1213="","",IF($E1213=1,$F1213,IF($F1213="",$G1212,IF($G1212="",$F1213,$G1212&amp;", "&amp;$F1213))))</f>
        <v/>
      </c>
      <c r="H1213">
        <f>IF($A1213="","",$A1213&amp;" ("&amp;$C1213&amp;")")</f>
        <v/>
      </c>
      <c r="I1213">
        <f>IF($A1213="","",IF($E1213=1,$H1213,$I1212&amp;", "&amp;$H1213))</f>
        <v/>
      </c>
      <c r="J1213">
        <f>IF($A1213="","",IF($E1213=1,$B1213,""))</f>
        <v/>
      </c>
      <c r="K1213">
        <f>IF($A1213="","",IF(COUNTIF($B$2:$B1213,$B1213)=COUNTIF($B$2:$B$1601,$B1213),$B1213,""))</f>
        <v/>
      </c>
    </row>
    <row r="1214">
      <c r="A1214">
        <f>IF('TMP Paste'!$E1214="","",'TMP Paste'!$E1214)</f>
        <v/>
      </c>
      <c r="B1214">
        <f>IF($A1214="","",COUNTIF('TMP Paste'!$B$2:$B1214,"?*"))</f>
        <v/>
      </c>
      <c r="C1214">
        <f>IF($A1214="","",IFERROR('TMP Paste'!$M1214*1,0))</f>
        <v/>
      </c>
      <c r="D1214">
        <f>IF($A1214="","",SUMIF($B$2:$B1214,$B1214,$C$2:$C1214))</f>
        <v/>
      </c>
      <c r="E1214">
        <f>IF($A1214="",0,IF('TMP Paste'!$B1214="",0,1))</f>
        <v/>
      </c>
      <c r="F1214">
        <f>IF(OR($A1214="",$C1214&lt;1),"",$A1214&amp;"-"&amp;TEXT(($D1214-$C1214+1),"00")&amp;IF($C1214&gt;=2,", "&amp;$A1214&amp;"-"&amp;TEXT(($D1214-$C1214+1)+1,"00"),"")&amp;IF($C1214&gt;=3,", "&amp;$A1214&amp;"-"&amp;TEXT(($D1214-$C1214+1)+2,"00"),"")&amp;IF($C1214&gt;=4,", "&amp;$A1214&amp;"-"&amp;TEXT(($D1214-$C1214+1)+3,"00"),"")&amp;IF($C1214&gt;=5,", "&amp;$A1214&amp;"-"&amp;TEXT(($D1214-$C1214+1)+4,"00"),"")&amp;IF($C1214&gt;=6,", "&amp;$A1214&amp;"-"&amp;TEXT(($D1214-$C1214+1)+5,"00"),"")&amp;IF($C1214&gt;=7,", "&amp;$A1214&amp;"-"&amp;TEXT(($D1214-$C1214+1)+6,"00"),"")&amp;IF($C1214&gt;=8,", "&amp;$A1214&amp;"-"&amp;TEXT(($D1214-$C1214+1)+7,"00"),"")&amp;IF($C1214&gt;=9,", "&amp;$A1214&amp;"-"&amp;TEXT(($D1214-$C1214+1)+8,"00"),"")&amp;IF($C1214&gt;=10,", "&amp;$A1214&amp;"-"&amp;TEXT(($D1214-$C1214+1)+9,"00"),"")&amp;IF($C1214&gt;=11,", "&amp;$A1214&amp;"-"&amp;TEXT(($D1214-$C1214+1)+10,"00"),"")&amp;IF($C1214&gt;=12,", "&amp;$A1214&amp;"-"&amp;TEXT(($D1214-$C1214+1)+11,"00"),"")&amp;IF($C1214&gt;=13,", "&amp;$A1214&amp;"-"&amp;TEXT(($D1214-$C1214+1)+12,"00"),"")&amp;IF($C1214&gt;=14,", "&amp;$A1214&amp;"-"&amp;TEXT(($D1214-$C1214+1)+13,"00"),"")&amp;IF($C1214&gt;=15,", "&amp;$A1214&amp;"-"&amp;TEXT(($D1214-$C1214+1)+14,"00"),"")&amp;IF($C1214&gt;=16,", "&amp;$A1214&amp;"-"&amp;TEXT(($D1214-$C1214+1)+15,"00"),"")&amp;IF($C1214&gt;=17,", "&amp;$A1214&amp;"-"&amp;TEXT(($D1214-$C1214+1)+16,"00"),"")&amp;IF($C1214&gt;=18,", "&amp;$A1214&amp;"-"&amp;TEXT(($D1214-$C1214+1)+17,"00"),"")&amp;IF($C1214&gt;=19,", "&amp;$A1214&amp;"-"&amp;TEXT(($D1214-$C1214+1)+18,"00"),"")&amp;IF($C1214&gt;=20,", "&amp;$A1214&amp;"-"&amp;TEXT(($D1214-$C1214+1)+19,"00"),"")&amp;IF($C1214&gt;=21,", "&amp;$A1214&amp;"-"&amp;TEXT(($D1214-$C1214+1)+20,"00"),"")&amp;IF($C1214&gt;=22,", "&amp;$A1214&amp;"-"&amp;TEXT(($D1214-$C1214+1)+21,"00"),"")&amp;IF($C1214&gt;=23,", "&amp;$A1214&amp;"-"&amp;TEXT(($D1214-$C1214+1)+22,"00"),"")&amp;IF($C1214&gt;=24,", "&amp;$A1214&amp;"-"&amp;TEXT(($D1214-$C1214+1)+23,"00"),"")&amp;IF($C1214&gt;=25,", "&amp;$A1214&amp;"-"&amp;TEXT(($D1214-$C1214+1)+24,"00"),""))</f>
        <v/>
      </c>
      <c r="G1214">
        <f>IF($A1214="","",IF($E1214=1,$F1214,IF($F1214="",$G1213,IF($G1213="",$F1214,$G1213&amp;", "&amp;$F1214))))</f>
        <v/>
      </c>
      <c r="H1214">
        <f>IF($A1214="","",$A1214&amp;" ("&amp;$C1214&amp;")")</f>
        <v/>
      </c>
      <c r="I1214">
        <f>IF($A1214="","",IF($E1214=1,$H1214,$I1213&amp;", "&amp;$H1214))</f>
        <v/>
      </c>
      <c r="J1214">
        <f>IF($A1214="","",IF($E1214=1,$B1214,""))</f>
        <v/>
      </c>
      <c r="K1214">
        <f>IF($A1214="","",IF(COUNTIF($B$2:$B1214,$B1214)=COUNTIF($B$2:$B$1601,$B1214),$B1214,""))</f>
        <v/>
      </c>
    </row>
    <row r="1215">
      <c r="A1215">
        <f>IF('TMP Paste'!$E1215="","",'TMP Paste'!$E1215)</f>
        <v/>
      </c>
      <c r="B1215">
        <f>IF($A1215="","",COUNTIF('TMP Paste'!$B$2:$B1215,"?*"))</f>
        <v/>
      </c>
      <c r="C1215">
        <f>IF($A1215="","",IFERROR('TMP Paste'!$M1215*1,0))</f>
        <v/>
      </c>
      <c r="D1215">
        <f>IF($A1215="","",SUMIF($B$2:$B1215,$B1215,$C$2:$C1215))</f>
        <v/>
      </c>
      <c r="E1215">
        <f>IF($A1215="",0,IF('TMP Paste'!$B1215="",0,1))</f>
        <v/>
      </c>
      <c r="F1215">
        <f>IF(OR($A1215="",$C1215&lt;1),"",$A1215&amp;"-"&amp;TEXT(($D1215-$C1215+1),"00")&amp;IF($C1215&gt;=2,", "&amp;$A1215&amp;"-"&amp;TEXT(($D1215-$C1215+1)+1,"00"),"")&amp;IF($C1215&gt;=3,", "&amp;$A1215&amp;"-"&amp;TEXT(($D1215-$C1215+1)+2,"00"),"")&amp;IF($C1215&gt;=4,", "&amp;$A1215&amp;"-"&amp;TEXT(($D1215-$C1215+1)+3,"00"),"")&amp;IF($C1215&gt;=5,", "&amp;$A1215&amp;"-"&amp;TEXT(($D1215-$C1215+1)+4,"00"),"")&amp;IF($C1215&gt;=6,", "&amp;$A1215&amp;"-"&amp;TEXT(($D1215-$C1215+1)+5,"00"),"")&amp;IF($C1215&gt;=7,", "&amp;$A1215&amp;"-"&amp;TEXT(($D1215-$C1215+1)+6,"00"),"")&amp;IF($C1215&gt;=8,", "&amp;$A1215&amp;"-"&amp;TEXT(($D1215-$C1215+1)+7,"00"),"")&amp;IF($C1215&gt;=9,", "&amp;$A1215&amp;"-"&amp;TEXT(($D1215-$C1215+1)+8,"00"),"")&amp;IF($C1215&gt;=10,", "&amp;$A1215&amp;"-"&amp;TEXT(($D1215-$C1215+1)+9,"00"),"")&amp;IF($C1215&gt;=11,", "&amp;$A1215&amp;"-"&amp;TEXT(($D1215-$C1215+1)+10,"00"),"")&amp;IF($C1215&gt;=12,", "&amp;$A1215&amp;"-"&amp;TEXT(($D1215-$C1215+1)+11,"00"),"")&amp;IF($C1215&gt;=13,", "&amp;$A1215&amp;"-"&amp;TEXT(($D1215-$C1215+1)+12,"00"),"")&amp;IF($C1215&gt;=14,", "&amp;$A1215&amp;"-"&amp;TEXT(($D1215-$C1215+1)+13,"00"),"")&amp;IF($C1215&gt;=15,", "&amp;$A1215&amp;"-"&amp;TEXT(($D1215-$C1215+1)+14,"00"),"")&amp;IF($C1215&gt;=16,", "&amp;$A1215&amp;"-"&amp;TEXT(($D1215-$C1215+1)+15,"00"),"")&amp;IF($C1215&gt;=17,", "&amp;$A1215&amp;"-"&amp;TEXT(($D1215-$C1215+1)+16,"00"),"")&amp;IF($C1215&gt;=18,", "&amp;$A1215&amp;"-"&amp;TEXT(($D1215-$C1215+1)+17,"00"),"")&amp;IF($C1215&gt;=19,", "&amp;$A1215&amp;"-"&amp;TEXT(($D1215-$C1215+1)+18,"00"),"")&amp;IF($C1215&gt;=20,", "&amp;$A1215&amp;"-"&amp;TEXT(($D1215-$C1215+1)+19,"00"),"")&amp;IF($C1215&gt;=21,", "&amp;$A1215&amp;"-"&amp;TEXT(($D1215-$C1215+1)+20,"00"),"")&amp;IF($C1215&gt;=22,", "&amp;$A1215&amp;"-"&amp;TEXT(($D1215-$C1215+1)+21,"00"),"")&amp;IF($C1215&gt;=23,", "&amp;$A1215&amp;"-"&amp;TEXT(($D1215-$C1215+1)+22,"00"),"")&amp;IF($C1215&gt;=24,", "&amp;$A1215&amp;"-"&amp;TEXT(($D1215-$C1215+1)+23,"00"),"")&amp;IF($C1215&gt;=25,", "&amp;$A1215&amp;"-"&amp;TEXT(($D1215-$C1215+1)+24,"00"),""))</f>
        <v/>
      </c>
      <c r="G1215">
        <f>IF($A1215="","",IF($E1215=1,$F1215,IF($F1215="",$G1214,IF($G1214="",$F1215,$G1214&amp;", "&amp;$F1215))))</f>
        <v/>
      </c>
      <c r="H1215">
        <f>IF($A1215="","",$A1215&amp;" ("&amp;$C1215&amp;")")</f>
        <v/>
      </c>
      <c r="I1215">
        <f>IF($A1215="","",IF($E1215=1,$H1215,$I1214&amp;", "&amp;$H1215))</f>
        <v/>
      </c>
      <c r="J1215">
        <f>IF($A1215="","",IF($E1215=1,$B1215,""))</f>
        <v/>
      </c>
      <c r="K1215">
        <f>IF($A1215="","",IF(COUNTIF($B$2:$B1215,$B1215)=COUNTIF($B$2:$B$1601,$B1215),$B1215,""))</f>
        <v/>
      </c>
    </row>
    <row r="1216">
      <c r="A1216">
        <f>IF('TMP Paste'!$E1216="","",'TMP Paste'!$E1216)</f>
        <v/>
      </c>
      <c r="B1216">
        <f>IF($A1216="","",COUNTIF('TMP Paste'!$B$2:$B1216,"?*"))</f>
        <v/>
      </c>
      <c r="C1216">
        <f>IF($A1216="","",IFERROR('TMP Paste'!$M1216*1,0))</f>
        <v/>
      </c>
      <c r="D1216">
        <f>IF($A1216="","",SUMIF($B$2:$B1216,$B1216,$C$2:$C1216))</f>
        <v/>
      </c>
      <c r="E1216">
        <f>IF($A1216="",0,IF('TMP Paste'!$B1216="",0,1))</f>
        <v/>
      </c>
      <c r="F1216">
        <f>IF(OR($A1216="",$C1216&lt;1),"",$A1216&amp;"-"&amp;TEXT(($D1216-$C1216+1),"00")&amp;IF($C1216&gt;=2,", "&amp;$A1216&amp;"-"&amp;TEXT(($D1216-$C1216+1)+1,"00"),"")&amp;IF($C1216&gt;=3,", "&amp;$A1216&amp;"-"&amp;TEXT(($D1216-$C1216+1)+2,"00"),"")&amp;IF($C1216&gt;=4,", "&amp;$A1216&amp;"-"&amp;TEXT(($D1216-$C1216+1)+3,"00"),"")&amp;IF($C1216&gt;=5,", "&amp;$A1216&amp;"-"&amp;TEXT(($D1216-$C1216+1)+4,"00"),"")&amp;IF($C1216&gt;=6,", "&amp;$A1216&amp;"-"&amp;TEXT(($D1216-$C1216+1)+5,"00"),"")&amp;IF($C1216&gt;=7,", "&amp;$A1216&amp;"-"&amp;TEXT(($D1216-$C1216+1)+6,"00"),"")&amp;IF($C1216&gt;=8,", "&amp;$A1216&amp;"-"&amp;TEXT(($D1216-$C1216+1)+7,"00"),"")&amp;IF($C1216&gt;=9,", "&amp;$A1216&amp;"-"&amp;TEXT(($D1216-$C1216+1)+8,"00"),"")&amp;IF($C1216&gt;=10,", "&amp;$A1216&amp;"-"&amp;TEXT(($D1216-$C1216+1)+9,"00"),"")&amp;IF($C1216&gt;=11,", "&amp;$A1216&amp;"-"&amp;TEXT(($D1216-$C1216+1)+10,"00"),"")&amp;IF($C1216&gt;=12,", "&amp;$A1216&amp;"-"&amp;TEXT(($D1216-$C1216+1)+11,"00"),"")&amp;IF($C1216&gt;=13,", "&amp;$A1216&amp;"-"&amp;TEXT(($D1216-$C1216+1)+12,"00"),"")&amp;IF($C1216&gt;=14,", "&amp;$A1216&amp;"-"&amp;TEXT(($D1216-$C1216+1)+13,"00"),"")&amp;IF($C1216&gt;=15,", "&amp;$A1216&amp;"-"&amp;TEXT(($D1216-$C1216+1)+14,"00"),"")&amp;IF($C1216&gt;=16,", "&amp;$A1216&amp;"-"&amp;TEXT(($D1216-$C1216+1)+15,"00"),"")&amp;IF($C1216&gt;=17,", "&amp;$A1216&amp;"-"&amp;TEXT(($D1216-$C1216+1)+16,"00"),"")&amp;IF($C1216&gt;=18,", "&amp;$A1216&amp;"-"&amp;TEXT(($D1216-$C1216+1)+17,"00"),"")&amp;IF($C1216&gt;=19,", "&amp;$A1216&amp;"-"&amp;TEXT(($D1216-$C1216+1)+18,"00"),"")&amp;IF($C1216&gt;=20,", "&amp;$A1216&amp;"-"&amp;TEXT(($D1216-$C1216+1)+19,"00"),"")&amp;IF($C1216&gt;=21,", "&amp;$A1216&amp;"-"&amp;TEXT(($D1216-$C1216+1)+20,"00"),"")&amp;IF($C1216&gt;=22,", "&amp;$A1216&amp;"-"&amp;TEXT(($D1216-$C1216+1)+21,"00"),"")&amp;IF($C1216&gt;=23,", "&amp;$A1216&amp;"-"&amp;TEXT(($D1216-$C1216+1)+22,"00"),"")&amp;IF($C1216&gt;=24,", "&amp;$A1216&amp;"-"&amp;TEXT(($D1216-$C1216+1)+23,"00"),"")&amp;IF($C1216&gt;=25,", "&amp;$A1216&amp;"-"&amp;TEXT(($D1216-$C1216+1)+24,"00"),""))</f>
        <v/>
      </c>
      <c r="G1216">
        <f>IF($A1216="","",IF($E1216=1,$F1216,IF($F1216="",$G1215,IF($G1215="",$F1216,$G1215&amp;", "&amp;$F1216))))</f>
        <v/>
      </c>
      <c r="H1216">
        <f>IF($A1216="","",$A1216&amp;" ("&amp;$C1216&amp;")")</f>
        <v/>
      </c>
      <c r="I1216">
        <f>IF($A1216="","",IF($E1216=1,$H1216,$I1215&amp;", "&amp;$H1216))</f>
        <v/>
      </c>
      <c r="J1216">
        <f>IF($A1216="","",IF($E1216=1,$B1216,""))</f>
        <v/>
      </c>
      <c r="K1216">
        <f>IF($A1216="","",IF(COUNTIF($B$2:$B1216,$B1216)=COUNTIF($B$2:$B$1601,$B1216),$B1216,""))</f>
        <v/>
      </c>
    </row>
    <row r="1217">
      <c r="A1217">
        <f>IF('TMP Paste'!$E1217="","",'TMP Paste'!$E1217)</f>
        <v/>
      </c>
      <c r="B1217">
        <f>IF($A1217="","",COUNTIF('TMP Paste'!$B$2:$B1217,"?*"))</f>
        <v/>
      </c>
      <c r="C1217">
        <f>IF($A1217="","",IFERROR('TMP Paste'!$M1217*1,0))</f>
        <v/>
      </c>
      <c r="D1217">
        <f>IF($A1217="","",SUMIF($B$2:$B1217,$B1217,$C$2:$C1217))</f>
        <v/>
      </c>
      <c r="E1217">
        <f>IF($A1217="",0,IF('TMP Paste'!$B1217="",0,1))</f>
        <v/>
      </c>
      <c r="F1217">
        <f>IF(OR($A1217="",$C1217&lt;1),"",$A1217&amp;"-"&amp;TEXT(($D1217-$C1217+1),"00")&amp;IF($C1217&gt;=2,", "&amp;$A1217&amp;"-"&amp;TEXT(($D1217-$C1217+1)+1,"00"),"")&amp;IF($C1217&gt;=3,", "&amp;$A1217&amp;"-"&amp;TEXT(($D1217-$C1217+1)+2,"00"),"")&amp;IF($C1217&gt;=4,", "&amp;$A1217&amp;"-"&amp;TEXT(($D1217-$C1217+1)+3,"00"),"")&amp;IF($C1217&gt;=5,", "&amp;$A1217&amp;"-"&amp;TEXT(($D1217-$C1217+1)+4,"00"),"")&amp;IF($C1217&gt;=6,", "&amp;$A1217&amp;"-"&amp;TEXT(($D1217-$C1217+1)+5,"00"),"")&amp;IF($C1217&gt;=7,", "&amp;$A1217&amp;"-"&amp;TEXT(($D1217-$C1217+1)+6,"00"),"")&amp;IF($C1217&gt;=8,", "&amp;$A1217&amp;"-"&amp;TEXT(($D1217-$C1217+1)+7,"00"),"")&amp;IF($C1217&gt;=9,", "&amp;$A1217&amp;"-"&amp;TEXT(($D1217-$C1217+1)+8,"00"),"")&amp;IF($C1217&gt;=10,", "&amp;$A1217&amp;"-"&amp;TEXT(($D1217-$C1217+1)+9,"00"),"")&amp;IF($C1217&gt;=11,", "&amp;$A1217&amp;"-"&amp;TEXT(($D1217-$C1217+1)+10,"00"),"")&amp;IF($C1217&gt;=12,", "&amp;$A1217&amp;"-"&amp;TEXT(($D1217-$C1217+1)+11,"00"),"")&amp;IF($C1217&gt;=13,", "&amp;$A1217&amp;"-"&amp;TEXT(($D1217-$C1217+1)+12,"00"),"")&amp;IF($C1217&gt;=14,", "&amp;$A1217&amp;"-"&amp;TEXT(($D1217-$C1217+1)+13,"00"),"")&amp;IF($C1217&gt;=15,", "&amp;$A1217&amp;"-"&amp;TEXT(($D1217-$C1217+1)+14,"00"),"")&amp;IF($C1217&gt;=16,", "&amp;$A1217&amp;"-"&amp;TEXT(($D1217-$C1217+1)+15,"00"),"")&amp;IF($C1217&gt;=17,", "&amp;$A1217&amp;"-"&amp;TEXT(($D1217-$C1217+1)+16,"00"),"")&amp;IF($C1217&gt;=18,", "&amp;$A1217&amp;"-"&amp;TEXT(($D1217-$C1217+1)+17,"00"),"")&amp;IF($C1217&gt;=19,", "&amp;$A1217&amp;"-"&amp;TEXT(($D1217-$C1217+1)+18,"00"),"")&amp;IF($C1217&gt;=20,", "&amp;$A1217&amp;"-"&amp;TEXT(($D1217-$C1217+1)+19,"00"),"")&amp;IF($C1217&gt;=21,", "&amp;$A1217&amp;"-"&amp;TEXT(($D1217-$C1217+1)+20,"00"),"")&amp;IF($C1217&gt;=22,", "&amp;$A1217&amp;"-"&amp;TEXT(($D1217-$C1217+1)+21,"00"),"")&amp;IF($C1217&gt;=23,", "&amp;$A1217&amp;"-"&amp;TEXT(($D1217-$C1217+1)+22,"00"),"")&amp;IF($C1217&gt;=24,", "&amp;$A1217&amp;"-"&amp;TEXT(($D1217-$C1217+1)+23,"00"),"")&amp;IF($C1217&gt;=25,", "&amp;$A1217&amp;"-"&amp;TEXT(($D1217-$C1217+1)+24,"00"),""))</f>
        <v/>
      </c>
      <c r="G1217">
        <f>IF($A1217="","",IF($E1217=1,$F1217,IF($F1217="",$G1216,IF($G1216="",$F1217,$G1216&amp;", "&amp;$F1217))))</f>
        <v/>
      </c>
      <c r="H1217">
        <f>IF($A1217="","",$A1217&amp;" ("&amp;$C1217&amp;")")</f>
        <v/>
      </c>
      <c r="I1217">
        <f>IF($A1217="","",IF($E1217=1,$H1217,$I1216&amp;", "&amp;$H1217))</f>
        <v/>
      </c>
      <c r="J1217">
        <f>IF($A1217="","",IF($E1217=1,$B1217,""))</f>
        <v/>
      </c>
      <c r="K1217">
        <f>IF($A1217="","",IF(COUNTIF($B$2:$B1217,$B1217)=COUNTIF($B$2:$B$1601,$B1217),$B1217,""))</f>
        <v/>
      </c>
    </row>
    <row r="1218">
      <c r="A1218">
        <f>IF('TMP Paste'!$E1218="","",'TMP Paste'!$E1218)</f>
        <v/>
      </c>
      <c r="B1218">
        <f>IF($A1218="","",COUNTIF('TMP Paste'!$B$2:$B1218,"?*"))</f>
        <v/>
      </c>
      <c r="C1218">
        <f>IF($A1218="","",IFERROR('TMP Paste'!$M1218*1,0))</f>
        <v/>
      </c>
      <c r="D1218">
        <f>IF($A1218="","",SUMIF($B$2:$B1218,$B1218,$C$2:$C1218))</f>
        <v/>
      </c>
      <c r="E1218">
        <f>IF($A1218="",0,IF('TMP Paste'!$B1218="",0,1))</f>
        <v/>
      </c>
      <c r="F1218">
        <f>IF(OR($A1218="",$C1218&lt;1),"",$A1218&amp;"-"&amp;TEXT(($D1218-$C1218+1),"00")&amp;IF($C1218&gt;=2,", "&amp;$A1218&amp;"-"&amp;TEXT(($D1218-$C1218+1)+1,"00"),"")&amp;IF($C1218&gt;=3,", "&amp;$A1218&amp;"-"&amp;TEXT(($D1218-$C1218+1)+2,"00"),"")&amp;IF($C1218&gt;=4,", "&amp;$A1218&amp;"-"&amp;TEXT(($D1218-$C1218+1)+3,"00"),"")&amp;IF($C1218&gt;=5,", "&amp;$A1218&amp;"-"&amp;TEXT(($D1218-$C1218+1)+4,"00"),"")&amp;IF($C1218&gt;=6,", "&amp;$A1218&amp;"-"&amp;TEXT(($D1218-$C1218+1)+5,"00"),"")&amp;IF($C1218&gt;=7,", "&amp;$A1218&amp;"-"&amp;TEXT(($D1218-$C1218+1)+6,"00"),"")&amp;IF($C1218&gt;=8,", "&amp;$A1218&amp;"-"&amp;TEXT(($D1218-$C1218+1)+7,"00"),"")&amp;IF($C1218&gt;=9,", "&amp;$A1218&amp;"-"&amp;TEXT(($D1218-$C1218+1)+8,"00"),"")&amp;IF($C1218&gt;=10,", "&amp;$A1218&amp;"-"&amp;TEXT(($D1218-$C1218+1)+9,"00"),"")&amp;IF($C1218&gt;=11,", "&amp;$A1218&amp;"-"&amp;TEXT(($D1218-$C1218+1)+10,"00"),"")&amp;IF($C1218&gt;=12,", "&amp;$A1218&amp;"-"&amp;TEXT(($D1218-$C1218+1)+11,"00"),"")&amp;IF($C1218&gt;=13,", "&amp;$A1218&amp;"-"&amp;TEXT(($D1218-$C1218+1)+12,"00"),"")&amp;IF($C1218&gt;=14,", "&amp;$A1218&amp;"-"&amp;TEXT(($D1218-$C1218+1)+13,"00"),"")&amp;IF($C1218&gt;=15,", "&amp;$A1218&amp;"-"&amp;TEXT(($D1218-$C1218+1)+14,"00"),"")&amp;IF($C1218&gt;=16,", "&amp;$A1218&amp;"-"&amp;TEXT(($D1218-$C1218+1)+15,"00"),"")&amp;IF($C1218&gt;=17,", "&amp;$A1218&amp;"-"&amp;TEXT(($D1218-$C1218+1)+16,"00"),"")&amp;IF($C1218&gt;=18,", "&amp;$A1218&amp;"-"&amp;TEXT(($D1218-$C1218+1)+17,"00"),"")&amp;IF($C1218&gt;=19,", "&amp;$A1218&amp;"-"&amp;TEXT(($D1218-$C1218+1)+18,"00"),"")&amp;IF($C1218&gt;=20,", "&amp;$A1218&amp;"-"&amp;TEXT(($D1218-$C1218+1)+19,"00"),"")&amp;IF($C1218&gt;=21,", "&amp;$A1218&amp;"-"&amp;TEXT(($D1218-$C1218+1)+20,"00"),"")&amp;IF($C1218&gt;=22,", "&amp;$A1218&amp;"-"&amp;TEXT(($D1218-$C1218+1)+21,"00"),"")&amp;IF($C1218&gt;=23,", "&amp;$A1218&amp;"-"&amp;TEXT(($D1218-$C1218+1)+22,"00"),"")&amp;IF($C1218&gt;=24,", "&amp;$A1218&amp;"-"&amp;TEXT(($D1218-$C1218+1)+23,"00"),"")&amp;IF($C1218&gt;=25,", "&amp;$A1218&amp;"-"&amp;TEXT(($D1218-$C1218+1)+24,"00"),""))</f>
        <v/>
      </c>
      <c r="G1218">
        <f>IF($A1218="","",IF($E1218=1,$F1218,IF($F1218="",$G1217,IF($G1217="",$F1218,$G1217&amp;", "&amp;$F1218))))</f>
        <v/>
      </c>
      <c r="H1218">
        <f>IF($A1218="","",$A1218&amp;" ("&amp;$C1218&amp;")")</f>
        <v/>
      </c>
      <c r="I1218">
        <f>IF($A1218="","",IF($E1218=1,$H1218,$I1217&amp;", "&amp;$H1218))</f>
        <v/>
      </c>
      <c r="J1218">
        <f>IF($A1218="","",IF($E1218=1,$B1218,""))</f>
        <v/>
      </c>
      <c r="K1218">
        <f>IF($A1218="","",IF(COUNTIF($B$2:$B1218,$B1218)=COUNTIF($B$2:$B$1601,$B1218),$B1218,""))</f>
        <v/>
      </c>
    </row>
    <row r="1219">
      <c r="A1219">
        <f>IF('TMP Paste'!$E1219="","",'TMP Paste'!$E1219)</f>
        <v/>
      </c>
      <c r="B1219">
        <f>IF($A1219="","",COUNTIF('TMP Paste'!$B$2:$B1219,"?*"))</f>
        <v/>
      </c>
      <c r="C1219">
        <f>IF($A1219="","",IFERROR('TMP Paste'!$M1219*1,0))</f>
        <v/>
      </c>
      <c r="D1219">
        <f>IF($A1219="","",SUMIF($B$2:$B1219,$B1219,$C$2:$C1219))</f>
        <v/>
      </c>
      <c r="E1219">
        <f>IF($A1219="",0,IF('TMP Paste'!$B1219="",0,1))</f>
        <v/>
      </c>
      <c r="F1219">
        <f>IF(OR($A1219="",$C1219&lt;1),"",$A1219&amp;"-"&amp;TEXT(($D1219-$C1219+1),"00")&amp;IF($C1219&gt;=2,", "&amp;$A1219&amp;"-"&amp;TEXT(($D1219-$C1219+1)+1,"00"),"")&amp;IF($C1219&gt;=3,", "&amp;$A1219&amp;"-"&amp;TEXT(($D1219-$C1219+1)+2,"00"),"")&amp;IF($C1219&gt;=4,", "&amp;$A1219&amp;"-"&amp;TEXT(($D1219-$C1219+1)+3,"00"),"")&amp;IF($C1219&gt;=5,", "&amp;$A1219&amp;"-"&amp;TEXT(($D1219-$C1219+1)+4,"00"),"")&amp;IF($C1219&gt;=6,", "&amp;$A1219&amp;"-"&amp;TEXT(($D1219-$C1219+1)+5,"00"),"")&amp;IF($C1219&gt;=7,", "&amp;$A1219&amp;"-"&amp;TEXT(($D1219-$C1219+1)+6,"00"),"")&amp;IF($C1219&gt;=8,", "&amp;$A1219&amp;"-"&amp;TEXT(($D1219-$C1219+1)+7,"00"),"")&amp;IF($C1219&gt;=9,", "&amp;$A1219&amp;"-"&amp;TEXT(($D1219-$C1219+1)+8,"00"),"")&amp;IF($C1219&gt;=10,", "&amp;$A1219&amp;"-"&amp;TEXT(($D1219-$C1219+1)+9,"00"),"")&amp;IF($C1219&gt;=11,", "&amp;$A1219&amp;"-"&amp;TEXT(($D1219-$C1219+1)+10,"00"),"")&amp;IF($C1219&gt;=12,", "&amp;$A1219&amp;"-"&amp;TEXT(($D1219-$C1219+1)+11,"00"),"")&amp;IF($C1219&gt;=13,", "&amp;$A1219&amp;"-"&amp;TEXT(($D1219-$C1219+1)+12,"00"),"")&amp;IF($C1219&gt;=14,", "&amp;$A1219&amp;"-"&amp;TEXT(($D1219-$C1219+1)+13,"00"),"")&amp;IF($C1219&gt;=15,", "&amp;$A1219&amp;"-"&amp;TEXT(($D1219-$C1219+1)+14,"00"),"")&amp;IF($C1219&gt;=16,", "&amp;$A1219&amp;"-"&amp;TEXT(($D1219-$C1219+1)+15,"00"),"")&amp;IF($C1219&gt;=17,", "&amp;$A1219&amp;"-"&amp;TEXT(($D1219-$C1219+1)+16,"00"),"")&amp;IF($C1219&gt;=18,", "&amp;$A1219&amp;"-"&amp;TEXT(($D1219-$C1219+1)+17,"00"),"")&amp;IF($C1219&gt;=19,", "&amp;$A1219&amp;"-"&amp;TEXT(($D1219-$C1219+1)+18,"00"),"")&amp;IF($C1219&gt;=20,", "&amp;$A1219&amp;"-"&amp;TEXT(($D1219-$C1219+1)+19,"00"),"")&amp;IF($C1219&gt;=21,", "&amp;$A1219&amp;"-"&amp;TEXT(($D1219-$C1219+1)+20,"00"),"")&amp;IF($C1219&gt;=22,", "&amp;$A1219&amp;"-"&amp;TEXT(($D1219-$C1219+1)+21,"00"),"")&amp;IF($C1219&gt;=23,", "&amp;$A1219&amp;"-"&amp;TEXT(($D1219-$C1219+1)+22,"00"),"")&amp;IF($C1219&gt;=24,", "&amp;$A1219&amp;"-"&amp;TEXT(($D1219-$C1219+1)+23,"00"),"")&amp;IF($C1219&gt;=25,", "&amp;$A1219&amp;"-"&amp;TEXT(($D1219-$C1219+1)+24,"00"),""))</f>
        <v/>
      </c>
      <c r="G1219">
        <f>IF($A1219="","",IF($E1219=1,$F1219,IF($F1219="",$G1218,IF($G1218="",$F1219,$G1218&amp;", "&amp;$F1219))))</f>
        <v/>
      </c>
      <c r="H1219">
        <f>IF($A1219="","",$A1219&amp;" ("&amp;$C1219&amp;")")</f>
        <v/>
      </c>
      <c r="I1219">
        <f>IF($A1219="","",IF($E1219=1,$H1219,$I1218&amp;", "&amp;$H1219))</f>
        <v/>
      </c>
      <c r="J1219">
        <f>IF($A1219="","",IF($E1219=1,$B1219,""))</f>
        <v/>
      </c>
      <c r="K1219">
        <f>IF($A1219="","",IF(COUNTIF($B$2:$B1219,$B1219)=COUNTIF($B$2:$B$1601,$B1219),$B1219,""))</f>
        <v/>
      </c>
    </row>
    <row r="1220">
      <c r="A1220">
        <f>IF('TMP Paste'!$E1220="","",'TMP Paste'!$E1220)</f>
        <v/>
      </c>
      <c r="B1220">
        <f>IF($A1220="","",COUNTIF('TMP Paste'!$B$2:$B1220,"?*"))</f>
        <v/>
      </c>
      <c r="C1220">
        <f>IF($A1220="","",IFERROR('TMP Paste'!$M1220*1,0))</f>
        <v/>
      </c>
      <c r="D1220">
        <f>IF($A1220="","",SUMIF($B$2:$B1220,$B1220,$C$2:$C1220))</f>
        <v/>
      </c>
      <c r="E1220">
        <f>IF($A1220="",0,IF('TMP Paste'!$B1220="",0,1))</f>
        <v/>
      </c>
      <c r="F1220">
        <f>IF(OR($A1220="",$C1220&lt;1),"",$A1220&amp;"-"&amp;TEXT(($D1220-$C1220+1),"00")&amp;IF($C1220&gt;=2,", "&amp;$A1220&amp;"-"&amp;TEXT(($D1220-$C1220+1)+1,"00"),"")&amp;IF($C1220&gt;=3,", "&amp;$A1220&amp;"-"&amp;TEXT(($D1220-$C1220+1)+2,"00"),"")&amp;IF($C1220&gt;=4,", "&amp;$A1220&amp;"-"&amp;TEXT(($D1220-$C1220+1)+3,"00"),"")&amp;IF($C1220&gt;=5,", "&amp;$A1220&amp;"-"&amp;TEXT(($D1220-$C1220+1)+4,"00"),"")&amp;IF($C1220&gt;=6,", "&amp;$A1220&amp;"-"&amp;TEXT(($D1220-$C1220+1)+5,"00"),"")&amp;IF($C1220&gt;=7,", "&amp;$A1220&amp;"-"&amp;TEXT(($D1220-$C1220+1)+6,"00"),"")&amp;IF($C1220&gt;=8,", "&amp;$A1220&amp;"-"&amp;TEXT(($D1220-$C1220+1)+7,"00"),"")&amp;IF($C1220&gt;=9,", "&amp;$A1220&amp;"-"&amp;TEXT(($D1220-$C1220+1)+8,"00"),"")&amp;IF($C1220&gt;=10,", "&amp;$A1220&amp;"-"&amp;TEXT(($D1220-$C1220+1)+9,"00"),"")&amp;IF($C1220&gt;=11,", "&amp;$A1220&amp;"-"&amp;TEXT(($D1220-$C1220+1)+10,"00"),"")&amp;IF($C1220&gt;=12,", "&amp;$A1220&amp;"-"&amp;TEXT(($D1220-$C1220+1)+11,"00"),"")&amp;IF($C1220&gt;=13,", "&amp;$A1220&amp;"-"&amp;TEXT(($D1220-$C1220+1)+12,"00"),"")&amp;IF($C1220&gt;=14,", "&amp;$A1220&amp;"-"&amp;TEXT(($D1220-$C1220+1)+13,"00"),"")&amp;IF($C1220&gt;=15,", "&amp;$A1220&amp;"-"&amp;TEXT(($D1220-$C1220+1)+14,"00"),"")&amp;IF($C1220&gt;=16,", "&amp;$A1220&amp;"-"&amp;TEXT(($D1220-$C1220+1)+15,"00"),"")&amp;IF($C1220&gt;=17,", "&amp;$A1220&amp;"-"&amp;TEXT(($D1220-$C1220+1)+16,"00"),"")&amp;IF($C1220&gt;=18,", "&amp;$A1220&amp;"-"&amp;TEXT(($D1220-$C1220+1)+17,"00"),"")&amp;IF($C1220&gt;=19,", "&amp;$A1220&amp;"-"&amp;TEXT(($D1220-$C1220+1)+18,"00"),"")&amp;IF($C1220&gt;=20,", "&amp;$A1220&amp;"-"&amp;TEXT(($D1220-$C1220+1)+19,"00"),"")&amp;IF($C1220&gt;=21,", "&amp;$A1220&amp;"-"&amp;TEXT(($D1220-$C1220+1)+20,"00"),"")&amp;IF($C1220&gt;=22,", "&amp;$A1220&amp;"-"&amp;TEXT(($D1220-$C1220+1)+21,"00"),"")&amp;IF($C1220&gt;=23,", "&amp;$A1220&amp;"-"&amp;TEXT(($D1220-$C1220+1)+22,"00"),"")&amp;IF($C1220&gt;=24,", "&amp;$A1220&amp;"-"&amp;TEXT(($D1220-$C1220+1)+23,"00"),"")&amp;IF($C1220&gt;=25,", "&amp;$A1220&amp;"-"&amp;TEXT(($D1220-$C1220+1)+24,"00"),""))</f>
        <v/>
      </c>
      <c r="G1220">
        <f>IF($A1220="","",IF($E1220=1,$F1220,IF($F1220="",$G1219,IF($G1219="",$F1220,$G1219&amp;", "&amp;$F1220))))</f>
        <v/>
      </c>
      <c r="H1220">
        <f>IF($A1220="","",$A1220&amp;" ("&amp;$C1220&amp;")")</f>
        <v/>
      </c>
      <c r="I1220">
        <f>IF($A1220="","",IF($E1220=1,$H1220,$I1219&amp;", "&amp;$H1220))</f>
        <v/>
      </c>
      <c r="J1220">
        <f>IF($A1220="","",IF($E1220=1,$B1220,""))</f>
        <v/>
      </c>
      <c r="K1220">
        <f>IF($A1220="","",IF(COUNTIF($B$2:$B1220,$B1220)=COUNTIF($B$2:$B$1601,$B1220),$B1220,""))</f>
        <v/>
      </c>
    </row>
    <row r="1221">
      <c r="A1221">
        <f>IF('TMP Paste'!$E1221="","",'TMP Paste'!$E1221)</f>
        <v/>
      </c>
      <c r="B1221">
        <f>IF($A1221="","",COUNTIF('TMP Paste'!$B$2:$B1221,"?*"))</f>
        <v/>
      </c>
      <c r="C1221">
        <f>IF($A1221="","",IFERROR('TMP Paste'!$M1221*1,0))</f>
        <v/>
      </c>
      <c r="D1221">
        <f>IF($A1221="","",SUMIF($B$2:$B1221,$B1221,$C$2:$C1221))</f>
        <v/>
      </c>
      <c r="E1221">
        <f>IF($A1221="",0,IF('TMP Paste'!$B1221="",0,1))</f>
        <v/>
      </c>
      <c r="F1221">
        <f>IF(OR($A1221="",$C1221&lt;1),"",$A1221&amp;"-"&amp;TEXT(($D1221-$C1221+1),"00")&amp;IF($C1221&gt;=2,", "&amp;$A1221&amp;"-"&amp;TEXT(($D1221-$C1221+1)+1,"00"),"")&amp;IF($C1221&gt;=3,", "&amp;$A1221&amp;"-"&amp;TEXT(($D1221-$C1221+1)+2,"00"),"")&amp;IF($C1221&gt;=4,", "&amp;$A1221&amp;"-"&amp;TEXT(($D1221-$C1221+1)+3,"00"),"")&amp;IF($C1221&gt;=5,", "&amp;$A1221&amp;"-"&amp;TEXT(($D1221-$C1221+1)+4,"00"),"")&amp;IF($C1221&gt;=6,", "&amp;$A1221&amp;"-"&amp;TEXT(($D1221-$C1221+1)+5,"00"),"")&amp;IF($C1221&gt;=7,", "&amp;$A1221&amp;"-"&amp;TEXT(($D1221-$C1221+1)+6,"00"),"")&amp;IF($C1221&gt;=8,", "&amp;$A1221&amp;"-"&amp;TEXT(($D1221-$C1221+1)+7,"00"),"")&amp;IF($C1221&gt;=9,", "&amp;$A1221&amp;"-"&amp;TEXT(($D1221-$C1221+1)+8,"00"),"")&amp;IF($C1221&gt;=10,", "&amp;$A1221&amp;"-"&amp;TEXT(($D1221-$C1221+1)+9,"00"),"")&amp;IF($C1221&gt;=11,", "&amp;$A1221&amp;"-"&amp;TEXT(($D1221-$C1221+1)+10,"00"),"")&amp;IF($C1221&gt;=12,", "&amp;$A1221&amp;"-"&amp;TEXT(($D1221-$C1221+1)+11,"00"),"")&amp;IF($C1221&gt;=13,", "&amp;$A1221&amp;"-"&amp;TEXT(($D1221-$C1221+1)+12,"00"),"")&amp;IF($C1221&gt;=14,", "&amp;$A1221&amp;"-"&amp;TEXT(($D1221-$C1221+1)+13,"00"),"")&amp;IF($C1221&gt;=15,", "&amp;$A1221&amp;"-"&amp;TEXT(($D1221-$C1221+1)+14,"00"),"")&amp;IF($C1221&gt;=16,", "&amp;$A1221&amp;"-"&amp;TEXT(($D1221-$C1221+1)+15,"00"),"")&amp;IF($C1221&gt;=17,", "&amp;$A1221&amp;"-"&amp;TEXT(($D1221-$C1221+1)+16,"00"),"")&amp;IF($C1221&gt;=18,", "&amp;$A1221&amp;"-"&amp;TEXT(($D1221-$C1221+1)+17,"00"),"")&amp;IF($C1221&gt;=19,", "&amp;$A1221&amp;"-"&amp;TEXT(($D1221-$C1221+1)+18,"00"),"")&amp;IF($C1221&gt;=20,", "&amp;$A1221&amp;"-"&amp;TEXT(($D1221-$C1221+1)+19,"00"),"")&amp;IF($C1221&gt;=21,", "&amp;$A1221&amp;"-"&amp;TEXT(($D1221-$C1221+1)+20,"00"),"")&amp;IF($C1221&gt;=22,", "&amp;$A1221&amp;"-"&amp;TEXT(($D1221-$C1221+1)+21,"00"),"")&amp;IF($C1221&gt;=23,", "&amp;$A1221&amp;"-"&amp;TEXT(($D1221-$C1221+1)+22,"00"),"")&amp;IF($C1221&gt;=24,", "&amp;$A1221&amp;"-"&amp;TEXT(($D1221-$C1221+1)+23,"00"),"")&amp;IF($C1221&gt;=25,", "&amp;$A1221&amp;"-"&amp;TEXT(($D1221-$C1221+1)+24,"00"),""))</f>
        <v/>
      </c>
      <c r="G1221">
        <f>IF($A1221="","",IF($E1221=1,$F1221,IF($F1221="",$G1220,IF($G1220="",$F1221,$G1220&amp;", "&amp;$F1221))))</f>
        <v/>
      </c>
      <c r="H1221">
        <f>IF($A1221="","",$A1221&amp;" ("&amp;$C1221&amp;")")</f>
        <v/>
      </c>
      <c r="I1221">
        <f>IF($A1221="","",IF($E1221=1,$H1221,$I1220&amp;", "&amp;$H1221))</f>
        <v/>
      </c>
      <c r="J1221">
        <f>IF($A1221="","",IF($E1221=1,$B1221,""))</f>
        <v/>
      </c>
      <c r="K1221">
        <f>IF($A1221="","",IF(COUNTIF($B$2:$B1221,$B1221)=COUNTIF($B$2:$B$1601,$B1221),$B1221,""))</f>
        <v/>
      </c>
    </row>
    <row r="1222">
      <c r="A1222">
        <f>IF('TMP Paste'!$E1222="","",'TMP Paste'!$E1222)</f>
        <v/>
      </c>
      <c r="B1222">
        <f>IF($A1222="","",COUNTIF('TMP Paste'!$B$2:$B1222,"?*"))</f>
        <v/>
      </c>
      <c r="C1222">
        <f>IF($A1222="","",IFERROR('TMP Paste'!$M1222*1,0))</f>
        <v/>
      </c>
      <c r="D1222">
        <f>IF($A1222="","",SUMIF($B$2:$B1222,$B1222,$C$2:$C1222))</f>
        <v/>
      </c>
      <c r="E1222">
        <f>IF($A1222="",0,IF('TMP Paste'!$B1222="",0,1))</f>
        <v/>
      </c>
      <c r="F1222">
        <f>IF(OR($A1222="",$C1222&lt;1),"",$A1222&amp;"-"&amp;TEXT(($D1222-$C1222+1),"00")&amp;IF($C1222&gt;=2,", "&amp;$A1222&amp;"-"&amp;TEXT(($D1222-$C1222+1)+1,"00"),"")&amp;IF($C1222&gt;=3,", "&amp;$A1222&amp;"-"&amp;TEXT(($D1222-$C1222+1)+2,"00"),"")&amp;IF($C1222&gt;=4,", "&amp;$A1222&amp;"-"&amp;TEXT(($D1222-$C1222+1)+3,"00"),"")&amp;IF($C1222&gt;=5,", "&amp;$A1222&amp;"-"&amp;TEXT(($D1222-$C1222+1)+4,"00"),"")&amp;IF($C1222&gt;=6,", "&amp;$A1222&amp;"-"&amp;TEXT(($D1222-$C1222+1)+5,"00"),"")&amp;IF($C1222&gt;=7,", "&amp;$A1222&amp;"-"&amp;TEXT(($D1222-$C1222+1)+6,"00"),"")&amp;IF($C1222&gt;=8,", "&amp;$A1222&amp;"-"&amp;TEXT(($D1222-$C1222+1)+7,"00"),"")&amp;IF($C1222&gt;=9,", "&amp;$A1222&amp;"-"&amp;TEXT(($D1222-$C1222+1)+8,"00"),"")&amp;IF($C1222&gt;=10,", "&amp;$A1222&amp;"-"&amp;TEXT(($D1222-$C1222+1)+9,"00"),"")&amp;IF($C1222&gt;=11,", "&amp;$A1222&amp;"-"&amp;TEXT(($D1222-$C1222+1)+10,"00"),"")&amp;IF($C1222&gt;=12,", "&amp;$A1222&amp;"-"&amp;TEXT(($D1222-$C1222+1)+11,"00"),"")&amp;IF($C1222&gt;=13,", "&amp;$A1222&amp;"-"&amp;TEXT(($D1222-$C1222+1)+12,"00"),"")&amp;IF($C1222&gt;=14,", "&amp;$A1222&amp;"-"&amp;TEXT(($D1222-$C1222+1)+13,"00"),"")&amp;IF($C1222&gt;=15,", "&amp;$A1222&amp;"-"&amp;TEXT(($D1222-$C1222+1)+14,"00"),"")&amp;IF($C1222&gt;=16,", "&amp;$A1222&amp;"-"&amp;TEXT(($D1222-$C1222+1)+15,"00"),"")&amp;IF($C1222&gt;=17,", "&amp;$A1222&amp;"-"&amp;TEXT(($D1222-$C1222+1)+16,"00"),"")&amp;IF($C1222&gt;=18,", "&amp;$A1222&amp;"-"&amp;TEXT(($D1222-$C1222+1)+17,"00"),"")&amp;IF($C1222&gt;=19,", "&amp;$A1222&amp;"-"&amp;TEXT(($D1222-$C1222+1)+18,"00"),"")&amp;IF($C1222&gt;=20,", "&amp;$A1222&amp;"-"&amp;TEXT(($D1222-$C1222+1)+19,"00"),"")&amp;IF($C1222&gt;=21,", "&amp;$A1222&amp;"-"&amp;TEXT(($D1222-$C1222+1)+20,"00"),"")&amp;IF($C1222&gt;=22,", "&amp;$A1222&amp;"-"&amp;TEXT(($D1222-$C1222+1)+21,"00"),"")&amp;IF($C1222&gt;=23,", "&amp;$A1222&amp;"-"&amp;TEXT(($D1222-$C1222+1)+22,"00"),"")&amp;IF($C1222&gt;=24,", "&amp;$A1222&amp;"-"&amp;TEXT(($D1222-$C1222+1)+23,"00"),"")&amp;IF($C1222&gt;=25,", "&amp;$A1222&amp;"-"&amp;TEXT(($D1222-$C1222+1)+24,"00"),""))</f>
        <v/>
      </c>
      <c r="G1222">
        <f>IF($A1222="","",IF($E1222=1,$F1222,IF($F1222="",$G1221,IF($G1221="",$F1222,$G1221&amp;", "&amp;$F1222))))</f>
        <v/>
      </c>
      <c r="H1222">
        <f>IF($A1222="","",$A1222&amp;" ("&amp;$C1222&amp;")")</f>
        <v/>
      </c>
      <c r="I1222">
        <f>IF($A1222="","",IF($E1222=1,$H1222,$I1221&amp;", "&amp;$H1222))</f>
        <v/>
      </c>
      <c r="J1222">
        <f>IF($A1222="","",IF($E1222=1,$B1222,""))</f>
        <v/>
      </c>
      <c r="K1222">
        <f>IF($A1222="","",IF(COUNTIF($B$2:$B1222,$B1222)=COUNTIF($B$2:$B$1601,$B1222),$B1222,""))</f>
        <v/>
      </c>
    </row>
    <row r="1223">
      <c r="A1223">
        <f>IF('TMP Paste'!$E1223="","",'TMP Paste'!$E1223)</f>
        <v/>
      </c>
      <c r="B1223">
        <f>IF($A1223="","",COUNTIF('TMP Paste'!$B$2:$B1223,"?*"))</f>
        <v/>
      </c>
      <c r="C1223">
        <f>IF($A1223="","",IFERROR('TMP Paste'!$M1223*1,0))</f>
        <v/>
      </c>
      <c r="D1223">
        <f>IF($A1223="","",SUMIF($B$2:$B1223,$B1223,$C$2:$C1223))</f>
        <v/>
      </c>
      <c r="E1223">
        <f>IF($A1223="",0,IF('TMP Paste'!$B1223="",0,1))</f>
        <v/>
      </c>
      <c r="F1223">
        <f>IF(OR($A1223="",$C1223&lt;1),"",$A1223&amp;"-"&amp;TEXT(($D1223-$C1223+1),"00")&amp;IF($C1223&gt;=2,", "&amp;$A1223&amp;"-"&amp;TEXT(($D1223-$C1223+1)+1,"00"),"")&amp;IF($C1223&gt;=3,", "&amp;$A1223&amp;"-"&amp;TEXT(($D1223-$C1223+1)+2,"00"),"")&amp;IF($C1223&gt;=4,", "&amp;$A1223&amp;"-"&amp;TEXT(($D1223-$C1223+1)+3,"00"),"")&amp;IF($C1223&gt;=5,", "&amp;$A1223&amp;"-"&amp;TEXT(($D1223-$C1223+1)+4,"00"),"")&amp;IF($C1223&gt;=6,", "&amp;$A1223&amp;"-"&amp;TEXT(($D1223-$C1223+1)+5,"00"),"")&amp;IF($C1223&gt;=7,", "&amp;$A1223&amp;"-"&amp;TEXT(($D1223-$C1223+1)+6,"00"),"")&amp;IF($C1223&gt;=8,", "&amp;$A1223&amp;"-"&amp;TEXT(($D1223-$C1223+1)+7,"00"),"")&amp;IF($C1223&gt;=9,", "&amp;$A1223&amp;"-"&amp;TEXT(($D1223-$C1223+1)+8,"00"),"")&amp;IF($C1223&gt;=10,", "&amp;$A1223&amp;"-"&amp;TEXT(($D1223-$C1223+1)+9,"00"),"")&amp;IF($C1223&gt;=11,", "&amp;$A1223&amp;"-"&amp;TEXT(($D1223-$C1223+1)+10,"00"),"")&amp;IF($C1223&gt;=12,", "&amp;$A1223&amp;"-"&amp;TEXT(($D1223-$C1223+1)+11,"00"),"")&amp;IF($C1223&gt;=13,", "&amp;$A1223&amp;"-"&amp;TEXT(($D1223-$C1223+1)+12,"00"),"")&amp;IF($C1223&gt;=14,", "&amp;$A1223&amp;"-"&amp;TEXT(($D1223-$C1223+1)+13,"00"),"")&amp;IF($C1223&gt;=15,", "&amp;$A1223&amp;"-"&amp;TEXT(($D1223-$C1223+1)+14,"00"),"")&amp;IF($C1223&gt;=16,", "&amp;$A1223&amp;"-"&amp;TEXT(($D1223-$C1223+1)+15,"00"),"")&amp;IF($C1223&gt;=17,", "&amp;$A1223&amp;"-"&amp;TEXT(($D1223-$C1223+1)+16,"00"),"")&amp;IF($C1223&gt;=18,", "&amp;$A1223&amp;"-"&amp;TEXT(($D1223-$C1223+1)+17,"00"),"")&amp;IF($C1223&gt;=19,", "&amp;$A1223&amp;"-"&amp;TEXT(($D1223-$C1223+1)+18,"00"),"")&amp;IF($C1223&gt;=20,", "&amp;$A1223&amp;"-"&amp;TEXT(($D1223-$C1223+1)+19,"00"),"")&amp;IF($C1223&gt;=21,", "&amp;$A1223&amp;"-"&amp;TEXT(($D1223-$C1223+1)+20,"00"),"")&amp;IF($C1223&gt;=22,", "&amp;$A1223&amp;"-"&amp;TEXT(($D1223-$C1223+1)+21,"00"),"")&amp;IF($C1223&gt;=23,", "&amp;$A1223&amp;"-"&amp;TEXT(($D1223-$C1223+1)+22,"00"),"")&amp;IF($C1223&gt;=24,", "&amp;$A1223&amp;"-"&amp;TEXT(($D1223-$C1223+1)+23,"00"),"")&amp;IF($C1223&gt;=25,", "&amp;$A1223&amp;"-"&amp;TEXT(($D1223-$C1223+1)+24,"00"),""))</f>
        <v/>
      </c>
      <c r="G1223">
        <f>IF($A1223="","",IF($E1223=1,$F1223,IF($F1223="",$G1222,IF($G1222="",$F1223,$G1222&amp;", "&amp;$F1223))))</f>
        <v/>
      </c>
      <c r="H1223">
        <f>IF($A1223="","",$A1223&amp;" ("&amp;$C1223&amp;")")</f>
        <v/>
      </c>
      <c r="I1223">
        <f>IF($A1223="","",IF($E1223=1,$H1223,$I1222&amp;", "&amp;$H1223))</f>
        <v/>
      </c>
      <c r="J1223">
        <f>IF($A1223="","",IF($E1223=1,$B1223,""))</f>
        <v/>
      </c>
      <c r="K1223">
        <f>IF($A1223="","",IF(COUNTIF($B$2:$B1223,$B1223)=COUNTIF($B$2:$B$1601,$B1223),$B1223,""))</f>
        <v/>
      </c>
    </row>
    <row r="1224">
      <c r="A1224">
        <f>IF('TMP Paste'!$E1224="","",'TMP Paste'!$E1224)</f>
        <v/>
      </c>
      <c r="B1224">
        <f>IF($A1224="","",COUNTIF('TMP Paste'!$B$2:$B1224,"?*"))</f>
        <v/>
      </c>
      <c r="C1224">
        <f>IF($A1224="","",IFERROR('TMP Paste'!$M1224*1,0))</f>
        <v/>
      </c>
      <c r="D1224">
        <f>IF($A1224="","",SUMIF($B$2:$B1224,$B1224,$C$2:$C1224))</f>
        <v/>
      </c>
      <c r="E1224">
        <f>IF($A1224="",0,IF('TMP Paste'!$B1224="",0,1))</f>
        <v/>
      </c>
      <c r="F1224">
        <f>IF(OR($A1224="",$C1224&lt;1),"",$A1224&amp;"-"&amp;TEXT(($D1224-$C1224+1),"00")&amp;IF($C1224&gt;=2,", "&amp;$A1224&amp;"-"&amp;TEXT(($D1224-$C1224+1)+1,"00"),"")&amp;IF($C1224&gt;=3,", "&amp;$A1224&amp;"-"&amp;TEXT(($D1224-$C1224+1)+2,"00"),"")&amp;IF($C1224&gt;=4,", "&amp;$A1224&amp;"-"&amp;TEXT(($D1224-$C1224+1)+3,"00"),"")&amp;IF($C1224&gt;=5,", "&amp;$A1224&amp;"-"&amp;TEXT(($D1224-$C1224+1)+4,"00"),"")&amp;IF($C1224&gt;=6,", "&amp;$A1224&amp;"-"&amp;TEXT(($D1224-$C1224+1)+5,"00"),"")&amp;IF($C1224&gt;=7,", "&amp;$A1224&amp;"-"&amp;TEXT(($D1224-$C1224+1)+6,"00"),"")&amp;IF($C1224&gt;=8,", "&amp;$A1224&amp;"-"&amp;TEXT(($D1224-$C1224+1)+7,"00"),"")&amp;IF($C1224&gt;=9,", "&amp;$A1224&amp;"-"&amp;TEXT(($D1224-$C1224+1)+8,"00"),"")&amp;IF($C1224&gt;=10,", "&amp;$A1224&amp;"-"&amp;TEXT(($D1224-$C1224+1)+9,"00"),"")&amp;IF($C1224&gt;=11,", "&amp;$A1224&amp;"-"&amp;TEXT(($D1224-$C1224+1)+10,"00"),"")&amp;IF($C1224&gt;=12,", "&amp;$A1224&amp;"-"&amp;TEXT(($D1224-$C1224+1)+11,"00"),"")&amp;IF($C1224&gt;=13,", "&amp;$A1224&amp;"-"&amp;TEXT(($D1224-$C1224+1)+12,"00"),"")&amp;IF($C1224&gt;=14,", "&amp;$A1224&amp;"-"&amp;TEXT(($D1224-$C1224+1)+13,"00"),"")&amp;IF($C1224&gt;=15,", "&amp;$A1224&amp;"-"&amp;TEXT(($D1224-$C1224+1)+14,"00"),"")&amp;IF($C1224&gt;=16,", "&amp;$A1224&amp;"-"&amp;TEXT(($D1224-$C1224+1)+15,"00"),"")&amp;IF($C1224&gt;=17,", "&amp;$A1224&amp;"-"&amp;TEXT(($D1224-$C1224+1)+16,"00"),"")&amp;IF($C1224&gt;=18,", "&amp;$A1224&amp;"-"&amp;TEXT(($D1224-$C1224+1)+17,"00"),"")&amp;IF($C1224&gt;=19,", "&amp;$A1224&amp;"-"&amp;TEXT(($D1224-$C1224+1)+18,"00"),"")&amp;IF($C1224&gt;=20,", "&amp;$A1224&amp;"-"&amp;TEXT(($D1224-$C1224+1)+19,"00"),"")&amp;IF($C1224&gt;=21,", "&amp;$A1224&amp;"-"&amp;TEXT(($D1224-$C1224+1)+20,"00"),"")&amp;IF($C1224&gt;=22,", "&amp;$A1224&amp;"-"&amp;TEXT(($D1224-$C1224+1)+21,"00"),"")&amp;IF($C1224&gt;=23,", "&amp;$A1224&amp;"-"&amp;TEXT(($D1224-$C1224+1)+22,"00"),"")&amp;IF($C1224&gt;=24,", "&amp;$A1224&amp;"-"&amp;TEXT(($D1224-$C1224+1)+23,"00"),"")&amp;IF($C1224&gt;=25,", "&amp;$A1224&amp;"-"&amp;TEXT(($D1224-$C1224+1)+24,"00"),""))</f>
        <v/>
      </c>
      <c r="G1224">
        <f>IF($A1224="","",IF($E1224=1,$F1224,IF($F1224="",$G1223,IF($G1223="",$F1224,$G1223&amp;", "&amp;$F1224))))</f>
        <v/>
      </c>
      <c r="H1224">
        <f>IF($A1224="","",$A1224&amp;" ("&amp;$C1224&amp;")")</f>
        <v/>
      </c>
      <c r="I1224">
        <f>IF($A1224="","",IF($E1224=1,$H1224,$I1223&amp;", "&amp;$H1224))</f>
        <v/>
      </c>
      <c r="J1224">
        <f>IF($A1224="","",IF($E1224=1,$B1224,""))</f>
        <v/>
      </c>
      <c r="K1224">
        <f>IF($A1224="","",IF(COUNTIF($B$2:$B1224,$B1224)=COUNTIF($B$2:$B$1601,$B1224),$B1224,""))</f>
        <v/>
      </c>
    </row>
    <row r="1225">
      <c r="A1225">
        <f>IF('TMP Paste'!$E1225="","",'TMP Paste'!$E1225)</f>
        <v/>
      </c>
      <c r="B1225">
        <f>IF($A1225="","",COUNTIF('TMP Paste'!$B$2:$B1225,"?*"))</f>
        <v/>
      </c>
      <c r="C1225">
        <f>IF($A1225="","",IFERROR('TMP Paste'!$M1225*1,0))</f>
        <v/>
      </c>
      <c r="D1225">
        <f>IF($A1225="","",SUMIF($B$2:$B1225,$B1225,$C$2:$C1225))</f>
        <v/>
      </c>
      <c r="E1225">
        <f>IF($A1225="",0,IF('TMP Paste'!$B1225="",0,1))</f>
        <v/>
      </c>
      <c r="F1225">
        <f>IF(OR($A1225="",$C1225&lt;1),"",$A1225&amp;"-"&amp;TEXT(($D1225-$C1225+1),"00")&amp;IF($C1225&gt;=2,", "&amp;$A1225&amp;"-"&amp;TEXT(($D1225-$C1225+1)+1,"00"),"")&amp;IF($C1225&gt;=3,", "&amp;$A1225&amp;"-"&amp;TEXT(($D1225-$C1225+1)+2,"00"),"")&amp;IF($C1225&gt;=4,", "&amp;$A1225&amp;"-"&amp;TEXT(($D1225-$C1225+1)+3,"00"),"")&amp;IF($C1225&gt;=5,", "&amp;$A1225&amp;"-"&amp;TEXT(($D1225-$C1225+1)+4,"00"),"")&amp;IF($C1225&gt;=6,", "&amp;$A1225&amp;"-"&amp;TEXT(($D1225-$C1225+1)+5,"00"),"")&amp;IF($C1225&gt;=7,", "&amp;$A1225&amp;"-"&amp;TEXT(($D1225-$C1225+1)+6,"00"),"")&amp;IF($C1225&gt;=8,", "&amp;$A1225&amp;"-"&amp;TEXT(($D1225-$C1225+1)+7,"00"),"")&amp;IF($C1225&gt;=9,", "&amp;$A1225&amp;"-"&amp;TEXT(($D1225-$C1225+1)+8,"00"),"")&amp;IF($C1225&gt;=10,", "&amp;$A1225&amp;"-"&amp;TEXT(($D1225-$C1225+1)+9,"00"),"")&amp;IF($C1225&gt;=11,", "&amp;$A1225&amp;"-"&amp;TEXT(($D1225-$C1225+1)+10,"00"),"")&amp;IF($C1225&gt;=12,", "&amp;$A1225&amp;"-"&amp;TEXT(($D1225-$C1225+1)+11,"00"),"")&amp;IF($C1225&gt;=13,", "&amp;$A1225&amp;"-"&amp;TEXT(($D1225-$C1225+1)+12,"00"),"")&amp;IF($C1225&gt;=14,", "&amp;$A1225&amp;"-"&amp;TEXT(($D1225-$C1225+1)+13,"00"),"")&amp;IF($C1225&gt;=15,", "&amp;$A1225&amp;"-"&amp;TEXT(($D1225-$C1225+1)+14,"00"),"")&amp;IF($C1225&gt;=16,", "&amp;$A1225&amp;"-"&amp;TEXT(($D1225-$C1225+1)+15,"00"),"")&amp;IF($C1225&gt;=17,", "&amp;$A1225&amp;"-"&amp;TEXT(($D1225-$C1225+1)+16,"00"),"")&amp;IF($C1225&gt;=18,", "&amp;$A1225&amp;"-"&amp;TEXT(($D1225-$C1225+1)+17,"00"),"")&amp;IF($C1225&gt;=19,", "&amp;$A1225&amp;"-"&amp;TEXT(($D1225-$C1225+1)+18,"00"),"")&amp;IF($C1225&gt;=20,", "&amp;$A1225&amp;"-"&amp;TEXT(($D1225-$C1225+1)+19,"00"),"")&amp;IF($C1225&gt;=21,", "&amp;$A1225&amp;"-"&amp;TEXT(($D1225-$C1225+1)+20,"00"),"")&amp;IF($C1225&gt;=22,", "&amp;$A1225&amp;"-"&amp;TEXT(($D1225-$C1225+1)+21,"00"),"")&amp;IF($C1225&gt;=23,", "&amp;$A1225&amp;"-"&amp;TEXT(($D1225-$C1225+1)+22,"00"),"")&amp;IF($C1225&gt;=24,", "&amp;$A1225&amp;"-"&amp;TEXT(($D1225-$C1225+1)+23,"00"),"")&amp;IF($C1225&gt;=25,", "&amp;$A1225&amp;"-"&amp;TEXT(($D1225-$C1225+1)+24,"00"),""))</f>
        <v/>
      </c>
      <c r="G1225">
        <f>IF($A1225="","",IF($E1225=1,$F1225,IF($F1225="",$G1224,IF($G1224="",$F1225,$G1224&amp;", "&amp;$F1225))))</f>
        <v/>
      </c>
      <c r="H1225">
        <f>IF($A1225="","",$A1225&amp;" ("&amp;$C1225&amp;")")</f>
        <v/>
      </c>
      <c r="I1225">
        <f>IF($A1225="","",IF($E1225=1,$H1225,$I1224&amp;", "&amp;$H1225))</f>
        <v/>
      </c>
      <c r="J1225">
        <f>IF($A1225="","",IF($E1225=1,$B1225,""))</f>
        <v/>
      </c>
      <c r="K1225">
        <f>IF($A1225="","",IF(COUNTIF($B$2:$B1225,$B1225)=COUNTIF($B$2:$B$1601,$B1225),$B1225,""))</f>
        <v/>
      </c>
    </row>
    <row r="1226">
      <c r="A1226">
        <f>IF('TMP Paste'!$E1226="","",'TMP Paste'!$E1226)</f>
        <v/>
      </c>
      <c r="B1226">
        <f>IF($A1226="","",COUNTIF('TMP Paste'!$B$2:$B1226,"?*"))</f>
        <v/>
      </c>
      <c r="C1226">
        <f>IF($A1226="","",IFERROR('TMP Paste'!$M1226*1,0))</f>
        <v/>
      </c>
      <c r="D1226">
        <f>IF($A1226="","",SUMIF($B$2:$B1226,$B1226,$C$2:$C1226))</f>
        <v/>
      </c>
      <c r="E1226">
        <f>IF($A1226="",0,IF('TMP Paste'!$B1226="",0,1))</f>
        <v/>
      </c>
      <c r="F1226">
        <f>IF(OR($A1226="",$C1226&lt;1),"",$A1226&amp;"-"&amp;TEXT(($D1226-$C1226+1),"00")&amp;IF($C1226&gt;=2,", "&amp;$A1226&amp;"-"&amp;TEXT(($D1226-$C1226+1)+1,"00"),"")&amp;IF($C1226&gt;=3,", "&amp;$A1226&amp;"-"&amp;TEXT(($D1226-$C1226+1)+2,"00"),"")&amp;IF($C1226&gt;=4,", "&amp;$A1226&amp;"-"&amp;TEXT(($D1226-$C1226+1)+3,"00"),"")&amp;IF($C1226&gt;=5,", "&amp;$A1226&amp;"-"&amp;TEXT(($D1226-$C1226+1)+4,"00"),"")&amp;IF($C1226&gt;=6,", "&amp;$A1226&amp;"-"&amp;TEXT(($D1226-$C1226+1)+5,"00"),"")&amp;IF($C1226&gt;=7,", "&amp;$A1226&amp;"-"&amp;TEXT(($D1226-$C1226+1)+6,"00"),"")&amp;IF($C1226&gt;=8,", "&amp;$A1226&amp;"-"&amp;TEXT(($D1226-$C1226+1)+7,"00"),"")&amp;IF($C1226&gt;=9,", "&amp;$A1226&amp;"-"&amp;TEXT(($D1226-$C1226+1)+8,"00"),"")&amp;IF($C1226&gt;=10,", "&amp;$A1226&amp;"-"&amp;TEXT(($D1226-$C1226+1)+9,"00"),"")&amp;IF($C1226&gt;=11,", "&amp;$A1226&amp;"-"&amp;TEXT(($D1226-$C1226+1)+10,"00"),"")&amp;IF($C1226&gt;=12,", "&amp;$A1226&amp;"-"&amp;TEXT(($D1226-$C1226+1)+11,"00"),"")&amp;IF($C1226&gt;=13,", "&amp;$A1226&amp;"-"&amp;TEXT(($D1226-$C1226+1)+12,"00"),"")&amp;IF($C1226&gt;=14,", "&amp;$A1226&amp;"-"&amp;TEXT(($D1226-$C1226+1)+13,"00"),"")&amp;IF($C1226&gt;=15,", "&amp;$A1226&amp;"-"&amp;TEXT(($D1226-$C1226+1)+14,"00"),"")&amp;IF($C1226&gt;=16,", "&amp;$A1226&amp;"-"&amp;TEXT(($D1226-$C1226+1)+15,"00"),"")&amp;IF($C1226&gt;=17,", "&amp;$A1226&amp;"-"&amp;TEXT(($D1226-$C1226+1)+16,"00"),"")&amp;IF($C1226&gt;=18,", "&amp;$A1226&amp;"-"&amp;TEXT(($D1226-$C1226+1)+17,"00"),"")&amp;IF($C1226&gt;=19,", "&amp;$A1226&amp;"-"&amp;TEXT(($D1226-$C1226+1)+18,"00"),"")&amp;IF($C1226&gt;=20,", "&amp;$A1226&amp;"-"&amp;TEXT(($D1226-$C1226+1)+19,"00"),"")&amp;IF($C1226&gt;=21,", "&amp;$A1226&amp;"-"&amp;TEXT(($D1226-$C1226+1)+20,"00"),"")&amp;IF($C1226&gt;=22,", "&amp;$A1226&amp;"-"&amp;TEXT(($D1226-$C1226+1)+21,"00"),"")&amp;IF($C1226&gt;=23,", "&amp;$A1226&amp;"-"&amp;TEXT(($D1226-$C1226+1)+22,"00"),"")&amp;IF($C1226&gt;=24,", "&amp;$A1226&amp;"-"&amp;TEXT(($D1226-$C1226+1)+23,"00"),"")&amp;IF($C1226&gt;=25,", "&amp;$A1226&amp;"-"&amp;TEXT(($D1226-$C1226+1)+24,"00"),""))</f>
        <v/>
      </c>
      <c r="G1226">
        <f>IF($A1226="","",IF($E1226=1,$F1226,IF($F1226="",$G1225,IF($G1225="",$F1226,$G1225&amp;", "&amp;$F1226))))</f>
        <v/>
      </c>
      <c r="H1226">
        <f>IF($A1226="","",$A1226&amp;" ("&amp;$C1226&amp;")")</f>
        <v/>
      </c>
      <c r="I1226">
        <f>IF($A1226="","",IF($E1226=1,$H1226,$I1225&amp;", "&amp;$H1226))</f>
        <v/>
      </c>
      <c r="J1226">
        <f>IF($A1226="","",IF($E1226=1,$B1226,""))</f>
        <v/>
      </c>
      <c r="K1226">
        <f>IF($A1226="","",IF(COUNTIF($B$2:$B1226,$B1226)=COUNTIF($B$2:$B$1601,$B1226),$B1226,""))</f>
        <v/>
      </c>
    </row>
    <row r="1227">
      <c r="A1227">
        <f>IF('TMP Paste'!$E1227="","",'TMP Paste'!$E1227)</f>
        <v/>
      </c>
      <c r="B1227">
        <f>IF($A1227="","",COUNTIF('TMP Paste'!$B$2:$B1227,"?*"))</f>
        <v/>
      </c>
      <c r="C1227">
        <f>IF($A1227="","",IFERROR('TMP Paste'!$M1227*1,0))</f>
        <v/>
      </c>
      <c r="D1227">
        <f>IF($A1227="","",SUMIF($B$2:$B1227,$B1227,$C$2:$C1227))</f>
        <v/>
      </c>
      <c r="E1227">
        <f>IF($A1227="",0,IF('TMP Paste'!$B1227="",0,1))</f>
        <v/>
      </c>
      <c r="F1227">
        <f>IF(OR($A1227="",$C1227&lt;1),"",$A1227&amp;"-"&amp;TEXT(($D1227-$C1227+1),"00")&amp;IF($C1227&gt;=2,", "&amp;$A1227&amp;"-"&amp;TEXT(($D1227-$C1227+1)+1,"00"),"")&amp;IF($C1227&gt;=3,", "&amp;$A1227&amp;"-"&amp;TEXT(($D1227-$C1227+1)+2,"00"),"")&amp;IF($C1227&gt;=4,", "&amp;$A1227&amp;"-"&amp;TEXT(($D1227-$C1227+1)+3,"00"),"")&amp;IF($C1227&gt;=5,", "&amp;$A1227&amp;"-"&amp;TEXT(($D1227-$C1227+1)+4,"00"),"")&amp;IF($C1227&gt;=6,", "&amp;$A1227&amp;"-"&amp;TEXT(($D1227-$C1227+1)+5,"00"),"")&amp;IF($C1227&gt;=7,", "&amp;$A1227&amp;"-"&amp;TEXT(($D1227-$C1227+1)+6,"00"),"")&amp;IF($C1227&gt;=8,", "&amp;$A1227&amp;"-"&amp;TEXT(($D1227-$C1227+1)+7,"00"),"")&amp;IF($C1227&gt;=9,", "&amp;$A1227&amp;"-"&amp;TEXT(($D1227-$C1227+1)+8,"00"),"")&amp;IF($C1227&gt;=10,", "&amp;$A1227&amp;"-"&amp;TEXT(($D1227-$C1227+1)+9,"00"),"")&amp;IF($C1227&gt;=11,", "&amp;$A1227&amp;"-"&amp;TEXT(($D1227-$C1227+1)+10,"00"),"")&amp;IF($C1227&gt;=12,", "&amp;$A1227&amp;"-"&amp;TEXT(($D1227-$C1227+1)+11,"00"),"")&amp;IF($C1227&gt;=13,", "&amp;$A1227&amp;"-"&amp;TEXT(($D1227-$C1227+1)+12,"00"),"")&amp;IF($C1227&gt;=14,", "&amp;$A1227&amp;"-"&amp;TEXT(($D1227-$C1227+1)+13,"00"),"")&amp;IF($C1227&gt;=15,", "&amp;$A1227&amp;"-"&amp;TEXT(($D1227-$C1227+1)+14,"00"),"")&amp;IF($C1227&gt;=16,", "&amp;$A1227&amp;"-"&amp;TEXT(($D1227-$C1227+1)+15,"00"),"")&amp;IF($C1227&gt;=17,", "&amp;$A1227&amp;"-"&amp;TEXT(($D1227-$C1227+1)+16,"00"),"")&amp;IF($C1227&gt;=18,", "&amp;$A1227&amp;"-"&amp;TEXT(($D1227-$C1227+1)+17,"00"),"")&amp;IF($C1227&gt;=19,", "&amp;$A1227&amp;"-"&amp;TEXT(($D1227-$C1227+1)+18,"00"),"")&amp;IF($C1227&gt;=20,", "&amp;$A1227&amp;"-"&amp;TEXT(($D1227-$C1227+1)+19,"00"),"")&amp;IF($C1227&gt;=21,", "&amp;$A1227&amp;"-"&amp;TEXT(($D1227-$C1227+1)+20,"00"),"")&amp;IF($C1227&gt;=22,", "&amp;$A1227&amp;"-"&amp;TEXT(($D1227-$C1227+1)+21,"00"),"")&amp;IF($C1227&gt;=23,", "&amp;$A1227&amp;"-"&amp;TEXT(($D1227-$C1227+1)+22,"00"),"")&amp;IF($C1227&gt;=24,", "&amp;$A1227&amp;"-"&amp;TEXT(($D1227-$C1227+1)+23,"00"),"")&amp;IF($C1227&gt;=25,", "&amp;$A1227&amp;"-"&amp;TEXT(($D1227-$C1227+1)+24,"00"),""))</f>
        <v/>
      </c>
      <c r="G1227">
        <f>IF($A1227="","",IF($E1227=1,$F1227,IF($F1227="",$G1226,IF($G1226="",$F1227,$G1226&amp;", "&amp;$F1227))))</f>
        <v/>
      </c>
      <c r="H1227">
        <f>IF($A1227="","",$A1227&amp;" ("&amp;$C1227&amp;")")</f>
        <v/>
      </c>
      <c r="I1227">
        <f>IF($A1227="","",IF($E1227=1,$H1227,$I1226&amp;", "&amp;$H1227))</f>
        <v/>
      </c>
      <c r="J1227">
        <f>IF($A1227="","",IF($E1227=1,$B1227,""))</f>
        <v/>
      </c>
      <c r="K1227">
        <f>IF($A1227="","",IF(COUNTIF($B$2:$B1227,$B1227)=COUNTIF($B$2:$B$1601,$B1227),$B1227,""))</f>
        <v/>
      </c>
    </row>
    <row r="1228">
      <c r="A1228">
        <f>IF('TMP Paste'!$E1228="","",'TMP Paste'!$E1228)</f>
        <v/>
      </c>
      <c r="B1228">
        <f>IF($A1228="","",COUNTIF('TMP Paste'!$B$2:$B1228,"?*"))</f>
        <v/>
      </c>
      <c r="C1228">
        <f>IF($A1228="","",IFERROR('TMP Paste'!$M1228*1,0))</f>
        <v/>
      </c>
      <c r="D1228">
        <f>IF($A1228="","",SUMIF($B$2:$B1228,$B1228,$C$2:$C1228))</f>
        <v/>
      </c>
      <c r="E1228">
        <f>IF($A1228="",0,IF('TMP Paste'!$B1228="",0,1))</f>
        <v/>
      </c>
      <c r="F1228">
        <f>IF(OR($A1228="",$C1228&lt;1),"",$A1228&amp;"-"&amp;TEXT(($D1228-$C1228+1),"00")&amp;IF($C1228&gt;=2,", "&amp;$A1228&amp;"-"&amp;TEXT(($D1228-$C1228+1)+1,"00"),"")&amp;IF($C1228&gt;=3,", "&amp;$A1228&amp;"-"&amp;TEXT(($D1228-$C1228+1)+2,"00"),"")&amp;IF($C1228&gt;=4,", "&amp;$A1228&amp;"-"&amp;TEXT(($D1228-$C1228+1)+3,"00"),"")&amp;IF($C1228&gt;=5,", "&amp;$A1228&amp;"-"&amp;TEXT(($D1228-$C1228+1)+4,"00"),"")&amp;IF($C1228&gt;=6,", "&amp;$A1228&amp;"-"&amp;TEXT(($D1228-$C1228+1)+5,"00"),"")&amp;IF($C1228&gt;=7,", "&amp;$A1228&amp;"-"&amp;TEXT(($D1228-$C1228+1)+6,"00"),"")&amp;IF($C1228&gt;=8,", "&amp;$A1228&amp;"-"&amp;TEXT(($D1228-$C1228+1)+7,"00"),"")&amp;IF($C1228&gt;=9,", "&amp;$A1228&amp;"-"&amp;TEXT(($D1228-$C1228+1)+8,"00"),"")&amp;IF($C1228&gt;=10,", "&amp;$A1228&amp;"-"&amp;TEXT(($D1228-$C1228+1)+9,"00"),"")&amp;IF($C1228&gt;=11,", "&amp;$A1228&amp;"-"&amp;TEXT(($D1228-$C1228+1)+10,"00"),"")&amp;IF($C1228&gt;=12,", "&amp;$A1228&amp;"-"&amp;TEXT(($D1228-$C1228+1)+11,"00"),"")&amp;IF($C1228&gt;=13,", "&amp;$A1228&amp;"-"&amp;TEXT(($D1228-$C1228+1)+12,"00"),"")&amp;IF($C1228&gt;=14,", "&amp;$A1228&amp;"-"&amp;TEXT(($D1228-$C1228+1)+13,"00"),"")&amp;IF($C1228&gt;=15,", "&amp;$A1228&amp;"-"&amp;TEXT(($D1228-$C1228+1)+14,"00"),"")&amp;IF($C1228&gt;=16,", "&amp;$A1228&amp;"-"&amp;TEXT(($D1228-$C1228+1)+15,"00"),"")&amp;IF($C1228&gt;=17,", "&amp;$A1228&amp;"-"&amp;TEXT(($D1228-$C1228+1)+16,"00"),"")&amp;IF($C1228&gt;=18,", "&amp;$A1228&amp;"-"&amp;TEXT(($D1228-$C1228+1)+17,"00"),"")&amp;IF($C1228&gt;=19,", "&amp;$A1228&amp;"-"&amp;TEXT(($D1228-$C1228+1)+18,"00"),"")&amp;IF($C1228&gt;=20,", "&amp;$A1228&amp;"-"&amp;TEXT(($D1228-$C1228+1)+19,"00"),"")&amp;IF($C1228&gt;=21,", "&amp;$A1228&amp;"-"&amp;TEXT(($D1228-$C1228+1)+20,"00"),"")&amp;IF($C1228&gt;=22,", "&amp;$A1228&amp;"-"&amp;TEXT(($D1228-$C1228+1)+21,"00"),"")&amp;IF($C1228&gt;=23,", "&amp;$A1228&amp;"-"&amp;TEXT(($D1228-$C1228+1)+22,"00"),"")&amp;IF($C1228&gt;=24,", "&amp;$A1228&amp;"-"&amp;TEXT(($D1228-$C1228+1)+23,"00"),"")&amp;IF($C1228&gt;=25,", "&amp;$A1228&amp;"-"&amp;TEXT(($D1228-$C1228+1)+24,"00"),""))</f>
        <v/>
      </c>
      <c r="G1228">
        <f>IF($A1228="","",IF($E1228=1,$F1228,IF($F1228="",$G1227,IF($G1227="",$F1228,$G1227&amp;", "&amp;$F1228))))</f>
        <v/>
      </c>
      <c r="H1228">
        <f>IF($A1228="","",$A1228&amp;" ("&amp;$C1228&amp;")")</f>
        <v/>
      </c>
      <c r="I1228">
        <f>IF($A1228="","",IF($E1228=1,$H1228,$I1227&amp;", "&amp;$H1228))</f>
        <v/>
      </c>
      <c r="J1228">
        <f>IF($A1228="","",IF($E1228=1,$B1228,""))</f>
        <v/>
      </c>
      <c r="K1228">
        <f>IF($A1228="","",IF(COUNTIF($B$2:$B1228,$B1228)=COUNTIF($B$2:$B$1601,$B1228),$B1228,""))</f>
        <v/>
      </c>
    </row>
    <row r="1229">
      <c r="A1229">
        <f>IF('TMP Paste'!$E1229="","",'TMP Paste'!$E1229)</f>
        <v/>
      </c>
      <c r="B1229">
        <f>IF($A1229="","",COUNTIF('TMP Paste'!$B$2:$B1229,"?*"))</f>
        <v/>
      </c>
      <c r="C1229">
        <f>IF($A1229="","",IFERROR('TMP Paste'!$M1229*1,0))</f>
        <v/>
      </c>
      <c r="D1229">
        <f>IF($A1229="","",SUMIF($B$2:$B1229,$B1229,$C$2:$C1229))</f>
        <v/>
      </c>
      <c r="E1229">
        <f>IF($A1229="",0,IF('TMP Paste'!$B1229="",0,1))</f>
        <v/>
      </c>
      <c r="F1229">
        <f>IF(OR($A1229="",$C1229&lt;1),"",$A1229&amp;"-"&amp;TEXT(($D1229-$C1229+1),"00")&amp;IF($C1229&gt;=2,", "&amp;$A1229&amp;"-"&amp;TEXT(($D1229-$C1229+1)+1,"00"),"")&amp;IF($C1229&gt;=3,", "&amp;$A1229&amp;"-"&amp;TEXT(($D1229-$C1229+1)+2,"00"),"")&amp;IF($C1229&gt;=4,", "&amp;$A1229&amp;"-"&amp;TEXT(($D1229-$C1229+1)+3,"00"),"")&amp;IF($C1229&gt;=5,", "&amp;$A1229&amp;"-"&amp;TEXT(($D1229-$C1229+1)+4,"00"),"")&amp;IF($C1229&gt;=6,", "&amp;$A1229&amp;"-"&amp;TEXT(($D1229-$C1229+1)+5,"00"),"")&amp;IF($C1229&gt;=7,", "&amp;$A1229&amp;"-"&amp;TEXT(($D1229-$C1229+1)+6,"00"),"")&amp;IF($C1229&gt;=8,", "&amp;$A1229&amp;"-"&amp;TEXT(($D1229-$C1229+1)+7,"00"),"")&amp;IF($C1229&gt;=9,", "&amp;$A1229&amp;"-"&amp;TEXT(($D1229-$C1229+1)+8,"00"),"")&amp;IF($C1229&gt;=10,", "&amp;$A1229&amp;"-"&amp;TEXT(($D1229-$C1229+1)+9,"00"),"")&amp;IF($C1229&gt;=11,", "&amp;$A1229&amp;"-"&amp;TEXT(($D1229-$C1229+1)+10,"00"),"")&amp;IF($C1229&gt;=12,", "&amp;$A1229&amp;"-"&amp;TEXT(($D1229-$C1229+1)+11,"00"),"")&amp;IF($C1229&gt;=13,", "&amp;$A1229&amp;"-"&amp;TEXT(($D1229-$C1229+1)+12,"00"),"")&amp;IF($C1229&gt;=14,", "&amp;$A1229&amp;"-"&amp;TEXT(($D1229-$C1229+1)+13,"00"),"")&amp;IF($C1229&gt;=15,", "&amp;$A1229&amp;"-"&amp;TEXT(($D1229-$C1229+1)+14,"00"),"")&amp;IF($C1229&gt;=16,", "&amp;$A1229&amp;"-"&amp;TEXT(($D1229-$C1229+1)+15,"00"),"")&amp;IF($C1229&gt;=17,", "&amp;$A1229&amp;"-"&amp;TEXT(($D1229-$C1229+1)+16,"00"),"")&amp;IF($C1229&gt;=18,", "&amp;$A1229&amp;"-"&amp;TEXT(($D1229-$C1229+1)+17,"00"),"")&amp;IF($C1229&gt;=19,", "&amp;$A1229&amp;"-"&amp;TEXT(($D1229-$C1229+1)+18,"00"),"")&amp;IF($C1229&gt;=20,", "&amp;$A1229&amp;"-"&amp;TEXT(($D1229-$C1229+1)+19,"00"),"")&amp;IF($C1229&gt;=21,", "&amp;$A1229&amp;"-"&amp;TEXT(($D1229-$C1229+1)+20,"00"),"")&amp;IF($C1229&gt;=22,", "&amp;$A1229&amp;"-"&amp;TEXT(($D1229-$C1229+1)+21,"00"),"")&amp;IF($C1229&gt;=23,", "&amp;$A1229&amp;"-"&amp;TEXT(($D1229-$C1229+1)+22,"00"),"")&amp;IF($C1229&gt;=24,", "&amp;$A1229&amp;"-"&amp;TEXT(($D1229-$C1229+1)+23,"00"),"")&amp;IF($C1229&gt;=25,", "&amp;$A1229&amp;"-"&amp;TEXT(($D1229-$C1229+1)+24,"00"),""))</f>
        <v/>
      </c>
      <c r="G1229">
        <f>IF($A1229="","",IF($E1229=1,$F1229,IF($F1229="",$G1228,IF($G1228="",$F1229,$G1228&amp;", "&amp;$F1229))))</f>
        <v/>
      </c>
      <c r="H1229">
        <f>IF($A1229="","",$A1229&amp;" ("&amp;$C1229&amp;")")</f>
        <v/>
      </c>
      <c r="I1229">
        <f>IF($A1229="","",IF($E1229=1,$H1229,$I1228&amp;", "&amp;$H1229))</f>
        <v/>
      </c>
      <c r="J1229">
        <f>IF($A1229="","",IF($E1229=1,$B1229,""))</f>
        <v/>
      </c>
      <c r="K1229">
        <f>IF($A1229="","",IF(COUNTIF($B$2:$B1229,$B1229)=COUNTIF($B$2:$B$1601,$B1229),$B1229,""))</f>
        <v/>
      </c>
    </row>
    <row r="1230">
      <c r="A1230">
        <f>IF('TMP Paste'!$E1230="","",'TMP Paste'!$E1230)</f>
        <v/>
      </c>
      <c r="B1230">
        <f>IF($A1230="","",COUNTIF('TMP Paste'!$B$2:$B1230,"?*"))</f>
        <v/>
      </c>
      <c r="C1230">
        <f>IF($A1230="","",IFERROR('TMP Paste'!$M1230*1,0))</f>
        <v/>
      </c>
      <c r="D1230">
        <f>IF($A1230="","",SUMIF($B$2:$B1230,$B1230,$C$2:$C1230))</f>
        <v/>
      </c>
      <c r="E1230">
        <f>IF($A1230="",0,IF('TMP Paste'!$B1230="",0,1))</f>
        <v/>
      </c>
      <c r="F1230">
        <f>IF(OR($A1230="",$C1230&lt;1),"",$A1230&amp;"-"&amp;TEXT(($D1230-$C1230+1),"00")&amp;IF($C1230&gt;=2,", "&amp;$A1230&amp;"-"&amp;TEXT(($D1230-$C1230+1)+1,"00"),"")&amp;IF($C1230&gt;=3,", "&amp;$A1230&amp;"-"&amp;TEXT(($D1230-$C1230+1)+2,"00"),"")&amp;IF($C1230&gt;=4,", "&amp;$A1230&amp;"-"&amp;TEXT(($D1230-$C1230+1)+3,"00"),"")&amp;IF($C1230&gt;=5,", "&amp;$A1230&amp;"-"&amp;TEXT(($D1230-$C1230+1)+4,"00"),"")&amp;IF($C1230&gt;=6,", "&amp;$A1230&amp;"-"&amp;TEXT(($D1230-$C1230+1)+5,"00"),"")&amp;IF($C1230&gt;=7,", "&amp;$A1230&amp;"-"&amp;TEXT(($D1230-$C1230+1)+6,"00"),"")&amp;IF($C1230&gt;=8,", "&amp;$A1230&amp;"-"&amp;TEXT(($D1230-$C1230+1)+7,"00"),"")&amp;IF($C1230&gt;=9,", "&amp;$A1230&amp;"-"&amp;TEXT(($D1230-$C1230+1)+8,"00"),"")&amp;IF($C1230&gt;=10,", "&amp;$A1230&amp;"-"&amp;TEXT(($D1230-$C1230+1)+9,"00"),"")&amp;IF($C1230&gt;=11,", "&amp;$A1230&amp;"-"&amp;TEXT(($D1230-$C1230+1)+10,"00"),"")&amp;IF($C1230&gt;=12,", "&amp;$A1230&amp;"-"&amp;TEXT(($D1230-$C1230+1)+11,"00"),"")&amp;IF($C1230&gt;=13,", "&amp;$A1230&amp;"-"&amp;TEXT(($D1230-$C1230+1)+12,"00"),"")&amp;IF($C1230&gt;=14,", "&amp;$A1230&amp;"-"&amp;TEXT(($D1230-$C1230+1)+13,"00"),"")&amp;IF($C1230&gt;=15,", "&amp;$A1230&amp;"-"&amp;TEXT(($D1230-$C1230+1)+14,"00"),"")&amp;IF($C1230&gt;=16,", "&amp;$A1230&amp;"-"&amp;TEXT(($D1230-$C1230+1)+15,"00"),"")&amp;IF($C1230&gt;=17,", "&amp;$A1230&amp;"-"&amp;TEXT(($D1230-$C1230+1)+16,"00"),"")&amp;IF($C1230&gt;=18,", "&amp;$A1230&amp;"-"&amp;TEXT(($D1230-$C1230+1)+17,"00"),"")&amp;IF($C1230&gt;=19,", "&amp;$A1230&amp;"-"&amp;TEXT(($D1230-$C1230+1)+18,"00"),"")&amp;IF($C1230&gt;=20,", "&amp;$A1230&amp;"-"&amp;TEXT(($D1230-$C1230+1)+19,"00"),"")&amp;IF($C1230&gt;=21,", "&amp;$A1230&amp;"-"&amp;TEXT(($D1230-$C1230+1)+20,"00"),"")&amp;IF($C1230&gt;=22,", "&amp;$A1230&amp;"-"&amp;TEXT(($D1230-$C1230+1)+21,"00"),"")&amp;IF($C1230&gt;=23,", "&amp;$A1230&amp;"-"&amp;TEXT(($D1230-$C1230+1)+22,"00"),"")&amp;IF($C1230&gt;=24,", "&amp;$A1230&amp;"-"&amp;TEXT(($D1230-$C1230+1)+23,"00"),"")&amp;IF($C1230&gt;=25,", "&amp;$A1230&amp;"-"&amp;TEXT(($D1230-$C1230+1)+24,"00"),""))</f>
        <v/>
      </c>
      <c r="G1230">
        <f>IF($A1230="","",IF($E1230=1,$F1230,IF($F1230="",$G1229,IF($G1229="",$F1230,$G1229&amp;", "&amp;$F1230))))</f>
        <v/>
      </c>
      <c r="H1230">
        <f>IF($A1230="","",$A1230&amp;" ("&amp;$C1230&amp;")")</f>
        <v/>
      </c>
      <c r="I1230">
        <f>IF($A1230="","",IF($E1230=1,$H1230,$I1229&amp;", "&amp;$H1230))</f>
        <v/>
      </c>
      <c r="J1230">
        <f>IF($A1230="","",IF($E1230=1,$B1230,""))</f>
        <v/>
      </c>
      <c r="K1230">
        <f>IF($A1230="","",IF(COUNTIF($B$2:$B1230,$B1230)=COUNTIF($B$2:$B$1601,$B1230),$B1230,""))</f>
        <v/>
      </c>
    </row>
    <row r="1231">
      <c r="A1231">
        <f>IF('TMP Paste'!$E1231="","",'TMP Paste'!$E1231)</f>
        <v/>
      </c>
      <c r="B1231">
        <f>IF($A1231="","",COUNTIF('TMP Paste'!$B$2:$B1231,"?*"))</f>
        <v/>
      </c>
      <c r="C1231">
        <f>IF($A1231="","",IFERROR('TMP Paste'!$M1231*1,0))</f>
        <v/>
      </c>
      <c r="D1231">
        <f>IF($A1231="","",SUMIF($B$2:$B1231,$B1231,$C$2:$C1231))</f>
        <v/>
      </c>
      <c r="E1231">
        <f>IF($A1231="",0,IF('TMP Paste'!$B1231="",0,1))</f>
        <v/>
      </c>
      <c r="F1231">
        <f>IF(OR($A1231="",$C1231&lt;1),"",$A1231&amp;"-"&amp;TEXT(($D1231-$C1231+1),"00")&amp;IF($C1231&gt;=2,", "&amp;$A1231&amp;"-"&amp;TEXT(($D1231-$C1231+1)+1,"00"),"")&amp;IF($C1231&gt;=3,", "&amp;$A1231&amp;"-"&amp;TEXT(($D1231-$C1231+1)+2,"00"),"")&amp;IF($C1231&gt;=4,", "&amp;$A1231&amp;"-"&amp;TEXT(($D1231-$C1231+1)+3,"00"),"")&amp;IF($C1231&gt;=5,", "&amp;$A1231&amp;"-"&amp;TEXT(($D1231-$C1231+1)+4,"00"),"")&amp;IF($C1231&gt;=6,", "&amp;$A1231&amp;"-"&amp;TEXT(($D1231-$C1231+1)+5,"00"),"")&amp;IF($C1231&gt;=7,", "&amp;$A1231&amp;"-"&amp;TEXT(($D1231-$C1231+1)+6,"00"),"")&amp;IF($C1231&gt;=8,", "&amp;$A1231&amp;"-"&amp;TEXT(($D1231-$C1231+1)+7,"00"),"")&amp;IF($C1231&gt;=9,", "&amp;$A1231&amp;"-"&amp;TEXT(($D1231-$C1231+1)+8,"00"),"")&amp;IF($C1231&gt;=10,", "&amp;$A1231&amp;"-"&amp;TEXT(($D1231-$C1231+1)+9,"00"),"")&amp;IF($C1231&gt;=11,", "&amp;$A1231&amp;"-"&amp;TEXT(($D1231-$C1231+1)+10,"00"),"")&amp;IF($C1231&gt;=12,", "&amp;$A1231&amp;"-"&amp;TEXT(($D1231-$C1231+1)+11,"00"),"")&amp;IF($C1231&gt;=13,", "&amp;$A1231&amp;"-"&amp;TEXT(($D1231-$C1231+1)+12,"00"),"")&amp;IF($C1231&gt;=14,", "&amp;$A1231&amp;"-"&amp;TEXT(($D1231-$C1231+1)+13,"00"),"")&amp;IF($C1231&gt;=15,", "&amp;$A1231&amp;"-"&amp;TEXT(($D1231-$C1231+1)+14,"00"),"")&amp;IF($C1231&gt;=16,", "&amp;$A1231&amp;"-"&amp;TEXT(($D1231-$C1231+1)+15,"00"),"")&amp;IF($C1231&gt;=17,", "&amp;$A1231&amp;"-"&amp;TEXT(($D1231-$C1231+1)+16,"00"),"")&amp;IF($C1231&gt;=18,", "&amp;$A1231&amp;"-"&amp;TEXT(($D1231-$C1231+1)+17,"00"),"")&amp;IF($C1231&gt;=19,", "&amp;$A1231&amp;"-"&amp;TEXT(($D1231-$C1231+1)+18,"00"),"")&amp;IF($C1231&gt;=20,", "&amp;$A1231&amp;"-"&amp;TEXT(($D1231-$C1231+1)+19,"00"),"")&amp;IF($C1231&gt;=21,", "&amp;$A1231&amp;"-"&amp;TEXT(($D1231-$C1231+1)+20,"00"),"")&amp;IF($C1231&gt;=22,", "&amp;$A1231&amp;"-"&amp;TEXT(($D1231-$C1231+1)+21,"00"),"")&amp;IF($C1231&gt;=23,", "&amp;$A1231&amp;"-"&amp;TEXT(($D1231-$C1231+1)+22,"00"),"")&amp;IF($C1231&gt;=24,", "&amp;$A1231&amp;"-"&amp;TEXT(($D1231-$C1231+1)+23,"00"),"")&amp;IF($C1231&gt;=25,", "&amp;$A1231&amp;"-"&amp;TEXT(($D1231-$C1231+1)+24,"00"),""))</f>
        <v/>
      </c>
      <c r="G1231">
        <f>IF($A1231="","",IF($E1231=1,$F1231,IF($F1231="",$G1230,IF($G1230="",$F1231,$G1230&amp;", "&amp;$F1231))))</f>
        <v/>
      </c>
      <c r="H1231">
        <f>IF($A1231="","",$A1231&amp;" ("&amp;$C1231&amp;")")</f>
        <v/>
      </c>
      <c r="I1231">
        <f>IF($A1231="","",IF($E1231=1,$H1231,$I1230&amp;", "&amp;$H1231))</f>
        <v/>
      </c>
      <c r="J1231">
        <f>IF($A1231="","",IF($E1231=1,$B1231,""))</f>
        <v/>
      </c>
      <c r="K1231">
        <f>IF($A1231="","",IF(COUNTIF($B$2:$B1231,$B1231)=COUNTIF($B$2:$B$1601,$B1231),$B1231,""))</f>
        <v/>
      </c>
    </row>
    <row r="1232">
      <c r="A1232">
        <f>IF('TMP Paste'!$E1232="","",'TMP Paste'!$E1232)</f>
        <v/>
      </c>
      <c r="B1232">
        <f>IF($A1232="","",COUNTIF('TMP Paste'!$B$2:$B1232,"?*"))</f>
        <v/>
      </c>
      <c r="C1232">
        <f>IF($A1232="","",IFERROR('TMP Paste'!$M1232*1,0))</f>
        <v/>
      </c>
      <c r="D1232">
        <f>IF($A1232="","",SUMIF($B$2:$B1232,$B1232,$C$2:$C1232))</f>
        <v/>
      </c>
      <c r="E1232">
        <f>IF($A1232="",0,IF('TMP Paste'!$B1232="",0,1))</f>
        <v/>
      </c>
      <c r="F1232">
        <f>IF(OR($A1232="",$C1232&lt;1),"",$A1232&amp;"-"&amp;TEXT(($D1232-$C1232+1),"00")&amp;IF($C1232&gt;=2,", "&amp;$A1232&amp;"-"&amp;TEXT(($D1232-$C1232+1)+1,"00"),"")&amp;IF($C1232&gt;=3,", "&amp;$A1232&amp;"-"&amp;TEXT(($D1232-$C1232+1)+2,"00"),"")&amp;IF($C1232&gt;=4,", "&amp;$A1232&amp;"-"&amp;TEXT(($D1232-$C1232+1)+3,"00"),"")&amp;IF($C1232&gt;=5,", "&amp;$A1232&amp;"-"&amp;TEXT(($D1232-$C1232+1)+4,"00"),"")&amp;IF($C1232&gt;=6,", "&amp;$A1232&amp;"-"&amp;TEXT(($D1232-$C1232+1)+5,"00"),"")&amp;IF($C1232&gt;=7,", "&amp;$A1232&amp;"-"&amp;TEXT(($D1232-$C1232+1)+6,"00"),"")&amp;IF($C1232&gt;=8,", "&amp;$A1232&amp;"-"&amp;TEXT(($D1232-$C1232+1)+7,"00"),"")&amp;IF($C1232&gt;=9,", "&amp;$A1232&amp;"-"&amp;TEXT(($D1232-$C1232+1)+8,"00"),"")&amp;IF($C1232&gt;=10,", "&amp;$A1232&amp;"-"&amp;TEXT(($D1232-$C1232+1)+9,"00"),"")&amp;IF($C1232&gt;=11,", "&amp;$A1232&amp;"-"&amp;TEXT(($D1232-$C1232+1)+10,"00"),"")&amp;IF($C1232&gt;=12,", "&amp;$A1232&amp;"-"&amp;TEXT(($D1232-$C1232+1)+11,"00"),"")&amp;IF($C1232&gt;=13,", "&amp;$A1232&amp;"-"&amp;TEXT(($D1232-$C1232+1)+12,"00"),"")&amp;IF($C1232&gt;=14,", "&amp;$A1232&amp;"-"&amp;TEXT(($D1232-$C1232+1)+13,"00"),"")&amp;IF($C1232&gt;=15,", "&amp;$A1232&amp;"-"&amp;TEXT(($D1232-$C1232+1)+14,"00"),"")&amp;IF($C1232&gt;=16,", "&amp;$A1232&amp;"-"&amp;TEXT(($D1232-$C1232+1)+15,"00"),"")&amp;IF($C1232&gt;=17,", "&amp;$A1232&amp;"-"&amp;TEXT(($D1232-$C1232+1)+16,"00"),"")&amp;IF($C1232&gt;=18,", "&amp;$A1232&amp;"-"&amp;TEXT(($D1232-$C1232+1)+17,"00"),"")&amp;IF($C1232&gt;=19,", "&amp;$A1232&amp;"-"&amp;TEXT(($D1232-$C1232+1)+18,"00"),"")&amp;IF($C1232&gt;=20,", "&amp;$A1232&amp;"-"&amp;TEXT(($D1232-$C1232+1)+19,"00"),"")&amp;IF($C1232&gt;=21,", "&amp;$A1232&amp;"-"&amp;TEXT(($D1232-$C1232+1)+20,"00"),"")&amp;IF($C1232&gt;=22,", "&amp;$A1232&amp;"-"&amp;TEXT(($D1232-$C1232+1)+21,"00"),"")&amp;IF($C1232&gt;=23,", "&amp;$A1232&amp;"-"&amp;TEXT(($D1232-$C1232+1)+22,"00"),"")&amp;IF($C1232&gt;=24,", "&amp;$A1232&amp;"-"&amp;TEXT(($D1232-$C1232+1)+23,"00"),"")&amp;IF($C1232&gt;=25,", "&amp;$A1232&amp;"-"&amp;TEXT(($D1232-$C1232+1)+24,"00"),""))</f>
        <v/>
      </c>
      <c r="G1232">
        <f>IF($A1232="","",IF($E1232=1,$F1232,IF($F1232="",$G1231,IF($G1231="",$F1232,$G1231&amp;", "&amp;$F1232))))</f>
        <v/>
      </c>
      <c r="H1232">
        <f>IF($A1232="","",$A1232&amp;" ("&amp;$C1232&amp;")")</f>
        <v/>
      </c>
      <c r="I1232">
        <f>IF($A1232="","",IF($E1232=1,$H1232,$I1231&amp;", "&amp;$H1232))</f>
        <v/>
      </c>
      <c r="J1232">
        <f>IF($A1232="","",IF($E1232=1,$B1232,""))</f>
        <v/>
      </c>
      <c r="K1232">
        <f>IF($A1232="","",IF(COUNTIF($B$2:$B1232,$B1232)=COUNTIF($B$2:$B$1601,$B1232),$B1232,""))</f>
        <v/>
      </c>
    </row>
    <row r="1233">
      <c r="A1233">
        <f>IF('TMP Paste'!$E1233="","",'TMP Paste'!$E1233)</f>
        <v/>
      </c>
      <c r="B1233">
        <f>IF($A1233="","",COUNTIF('TMP Paste'!$B$2:$B1233,"?*"))</f>
        <v/>
      </c>
      <c r="C1233">
        <f>IF($A1233="","",IFERROR('TMP Paste'!$M1233*1,0))</f>
        <v/>
      </c>
      <c r="D1233">
        <f>IF($A1233="","",SUMIF($B$2:$B1233,$B1233,$C$2:$C1233))</f>
        <v/>
      </c>
      <c r="E1233">
        <f>IF($A1233="",0,IF('TMP Paste'!$B1233="",0,1))</f>
        <v/>
      </c>
      <c r="F1233">
        <f>IF(OR($A1233="",$C1233&lt;1),"",$A1233&amp;"-"&amp;TEXT(($D1233-$C1233+1),"00")&amp;IF($C1233&gt;=2,", "&amp;$A1233&amp;"-"&amp;TEXT(($D1233-$C1233+1)+1,"00"),"")&amp;IF($C1233&gt;=3,", "&amp;$A1233&amp;"-"&amp;TEXT(($D1233-$C1233+1)+2,"00"),"")&amp;IF($C1233&gt;=4,", "&amp;$A1233&amp;"-"&amp;TEXT(($D1233-$C1233+1)+3,"00"),"")&amp;IF($C1233&gt;=5,", "&amp;$A1233&amp;"-"&amp;TEXT(($D1233-$C1233+1)+4,"00"),"")&amp;IF($C1233&gt;=6,", "&amp;$A1233&amp;"-"&amp;TEXT(($D1233-$C1233+1)+5,"00"),"")&amp;IF($C1233&gt;=7,", "&amp;$A1233&amp;"-"&amp;TEXT(($D1233-$C1233+1)+6,"00"),"")&amp;IF($C1233&gt;=8,", "&amp;$A1233&amp;"-"&amp;TEXT(($D1233-$C1233+1)+7,"00"),"")&amp;IF($C1233&gt;=9,", "&amp;$A1233&amp;"-"&amp;TEXT(($D1233-$C1233+1)+8,"00"),"")&amp;IF($C1233&gt;=10,", "&amp;$A1233&amp;"-"&amp;TEXT(($D1233-$C1233+1)+9,"00"),"")&amp;IF($C1233&gt;=11,", "&amp;$A1233&amp;"-"&amp;TEXT(($D1233-$C1233+1)+10,"00"),"")&amp;IF($C1233&gt;=12,", "&amp;$A1233&amp;"-"&amp;TEXT(($D1233-$C1233+1)+11,"00"),"")&amp;IF($C1233&gt;=13,", "&amp;$A1233&amp;"-"&amp;TEXT(($D1233-$C1233+1)+12,"00"),"")&amp;IF($C1233&gt;=14,", "&amp;$A1233&amp;"-"&amp;TEXT(($D1233-$C1233+1)+13,"00"),"")&amp;IF($C1233&gt;=15,", "&amp;$A1233&amp;"-"&amp;TEXT(($D1233-$C1233+1)+14,"00"),"")&amp;IF($C1233&gt;=16,", "&amp;$A1233&amp;"-"&amp;TEXT(($D1233-$C1233+1)+15,"00"),"")&amp;IF($C1233&gt;=17,", "&amp;$A1233&amp;"-"&amp;TEXT(($D1233-$C1233+1)+16,"00"),"")&amp;IF($C1233&gt;=18,", "&amp;$A1233&amp;"-"&amp;TEXT(($D1233-$C1233+1)+17,"00"),"")&amp;IF($C1233&gt;=19,", "&amp;$A1233&amp;"-"&amp;TEXT(($D1233-$C1233+1)+18,"00"),"")&amp;IF($C1233&gt;=20,", "&amp;$A1233&amp;"-"&amp;TEXT(($D1233-$C1233+1)+19,"00"),"")&amp;IF($C1233&gt;=21,", "&amp;$A1233&amp;"-"&amp;TEXT(($D1233-$C1233+1)+20,"00"),"")&amp;IF($C1233&gt;=22,", "&amp;$A1233&amp;"-"&amp;TEXT(($D1233-$C1233+1)+21,"00"),"")&amp;IF($C1233&gt;=23,", "&amp;$A1233&amp;"-"&amp;TEXT(($D1233-$C1233+1)+22,"00"),"")&amp;IF($C1233&gt;=24,", "&amp;$A1233&amp;"-"&amp;TEXT(($D1233-$C1233+1)+23,"00"),"")&amp;IF($C1233&gt;=25,", "&amp;$A1233&amp;"-"&amp;TEXT(($D1233-$C1233+1)+24,"00"),""))</f>
        <v/>
      </c>
      <c r="G1233">
        <f>IF($A1233="","",IF($E1233=1,$F1233,IF($F1233="",$G1232,IF($G1232="",$F1233,$G1232&amp;", "&amp;$F1233))))</f>
        <v/>
      </c>
      <c r="H1233">
        <f>IF($A1233="","",$A1233&amp;" ("&amp;$C1233&amp;")")</f>
        <v/>
      </c>
      <c r="I1233">
        <f>IF($A1233="","",IF($E1233=1,$H1233,$I1232&amp;", "&amp;$H1233))</f>
        <v/>
      </c>
      <c r="J1233">
        <f>IF($A1233="","",IF($E1233=1,$B1233,""))</f>
        <v/>
      </c>
      <c r="K1233">
        <f>IF($A1233="","",IF(COUNTIF($B$2:$B1233,$B1233)=COUNTIF($B$2:$B$1601,$B1233),$B1233,""))</f>
        <v/>
      </c>
    </row>
    <row r="1234">
      <c r="A1234">
        <f>IF('TMP Paste'!$E1234="","",'TMP Paste'!$E1234)</f>
        <v/>
      </c>
      <c r="B1234">
        <f>IF($A1234="","",COUNTIF('TMP Paste'!$B$2:$B1234,"?*"))</f>
        <v/>
      </c>
      <c r="C1234">
        <f>IF($A1234="","",IFERROR('TMP Paste'!$M1234*1,0))</f>
        <v/>
      </c>
      <c r="D1234">
        <f>IF($A1234="","",SUMIF($B$2:$B1234,$B1234,$C$2:$C1234))</f>
        <v/>
      </c>
      <c r="E1234">
        <f>IF($A1234="",0,IF('TMP Paste'!$B1234="",0,1))</f>
        <v/>
      </c>
      <c r="F1234">
        <f>IF(OR($A1234="",$C1234&lt;1),"",$A1234&amp;"-"&amp;TEXT(($D1234-$C1234+1),"00")&amp;IF($C1234&gt;=2,", "&amp;$A1234&amp;"-"&amp;TEXT(($D1234-$C1234+1)+1,"00"),"")&amp;IF($C1234&gt;=3,", "&amp;$A1234&amp;"-"&amp;TEXT(($D1234-$C1234+1)+2,"00"),"")&amp;IF($C1234&gt;=4,", "&amp;$A1234&amp;"-"&amp;TEXT(($D1234-$C1234+1)+3,"00"),"")&amp;IF($C1234&gt;=5,", "&amp;$A1234&amp;"-"&amp;TEXT(($D1234-$C1234+1)+4,"00"),"")&amp;IF($C1234&gt;=6,", "&amp;$A1234&amp;"-"&amp;TEXT(($D1234-$C1234+1)+5,"00"),"")&amp;IF($C1234&gt;=7,", "&amp;$A1234&amp;"-"&amp;TEXT(($D1234-$C1234+1)+6,"00"),"")&amp;IF($C1234&gt;=8,", "&amp;$A1234&amp;"-"&amp;TEXT(($D1234-$C1234+1)+7,"00"),"")&amp;IF($C1234&gt;=9,", "&amp;$A1234&amp;"-"&amp;TEXT(($D1234-$C1234+1)+8,"00"),"")&amp;IF($C1234&gt;=10,", "&amp;$A1234&amp;"-"&amp;TEXT(($D1234-$C1234+1)+9,"00"),"")&amp;IF($C1234&gt;=11,", "&amp;$A1234&amp;"-"&amp;TEXT(($D1234-$C1234+1)+10,"00"),"")&amp;IF($C1234&gt;=12,", "&amp;$A1234&amp;"-"&amp;TEXT(($D1234-$C1234+1)+11,"00"),"")&amp;IF($C1234&gt;=13,", "&amp;$A1234&amp;"-"&amp;TEXT(($D1234-$C1234+1)+12,"00"),"")&amp;IF($C1234&gt;=14,", "&amp;$A1234&amp;"-"&amp;TEXT(($D1234-$C1234+1)+13,"00"),"")&amp;IF($C1234&gt;=15,", "&amp;$A1234&amp;"-"&amp;TEXT(($D1234-$C1234+1)+14,"00"),"")&amp;IF($C1234&gt;=16,", "&amp;$A1234&amp;"-"&amp;TEXT(($D1234-$C1234+1)+15,"00"),"")&amp;IF($C1234&gt;=17,", "&amp;$A1234&amp;"-"&amp;TEXT(($D1234-$C1234+1)+16,"00"),"")&amp;IF($C1234&gt;=18,", "&amp;$A1234&amp;"-"&amp;TEXT(($D1234-$C1234+1)+17,"00"),"")&amp;IF($C1234&gt;=19,", "&amp;$A1234&amp;"-"&amp;TEXT(($D1234-$C1234+1)+18,"00"),"")&amp;IF($C1234&gt;=20,", "&amp;$A1234&amp;"-"&amp;TEXT(($D1234-$C1234+1)+19,"00"),"")&amp;IF($C1234&gt;=21,", "&amp;$A1234&amp;"-"&amp;TEXT(($D1234-$C1234+1)+20,"00"),"")&amp;IF($C1234&gt;=22,", "&amp;$A1234&amp;"-"&amp;TEXT(($D1234-$C1234+1)+21,"00"),"")&amp;IF($C1234&gt;=23,", "&amp;$A1234&amp;"-"&amp;TEXT(($D1234-$C1234+1)+22,"00"),"")&amp;IF($C1234&gt;=24,", "&amp;$A1234&amp;"-"&amp;TEXT(($D1234-$C1234+1)+23,"00"),"")&amp;IF($C1234&gt;=25,", "&amp;$A1234&amp;"-"&amp;TEXT(($D1234-$C1234+1)+24,"00"),""))</f>
        <v/>
      </c>
      <c r="G1234">
        <f>IF($A1234="","",IF($E1234=1,$F1234,IF($F1234="",$G1233,IF($G1233="",$F1234,$G1233&amp;", "&amp;$F1234))))</f>
        <v/>
      </c>
      <c r="H1234">
        <f>IF($A1234="","",$A1234&amp;" ("&amp;$C1234&amp;")")</f>
        <v/>
      </c>
      <c r="I1234">
        <f>IF($A1234="","",IF($E1234=1,$H1234,$I1233&amp;", "&amp;$H1234))</f>
        <v/>
      </c>
      <c r="J1234">
        <f>IF($A1234="","",IF($E1234=1,$B1234,""))</f>
        <v/>
      </c>
      <c r="K1234">
        <f>IF($A1234="","",IF(COUNTIF($B$2:$B1234,$B1234)=COUNTIF($B$2:$B$1601,$B1234),$B1234,""))</f>
        <v/>
      </c>
    </row>
    <row r="1235">
      <c r="A1235">
        <f>IF('TMP Paste'!$E1235="","",'TMP Paste'!$E1235)</f>
        <v/>
      </c>
      <c r="B1235">
        <f>IF($A1235="","",COUNTIF('TMP Paste'!$B$2:$B1235,"?*"))</f>
        <v/>
      </c>
      <c r="C1235">
        <f>IF($A1235="","",IFERROR('TMP Paste'!$M1235*1,0))</f>
        <v/>
      </c>
      <c r="D1235">
        <f>IF($A1235="","",SUMIF($B$2:$B1235,$B1235,$C$2:$C1235))</f>
        <v/>
      </c>
      <c r="E1235">
        <f>IF($A1235="",0,IF('TMP Paste'!$B1235="",0,1))</f>
        <v/>
      </c>
      <c r="F1235">
        <f>IF(OR($A1235="",$C1235&lt;1),"",$A1235&amp;"-"&amp;TEXT(($D1235-$C1235+1),"00")&amp;IF($C1235&gt;=2,", "&amp;$A1235&amp;"-"&amp;TEXT(($D1235-$C1235+1)+1,"00"),"")&amp;IF($C1235&gt;=3,", "&amp;$A1235&amp;"-"&amp;TEXT(($D1235-$C1235+1)+2,"00"),"")&amp;IF($C1235&gt;=4,", "&amp;$A1235&amp;"-"&amp;TEXT(($D1235-$C1235+1)+3,"00"),"")&amp;IF($C1235&gt;=5,", "&amp;$A1235&amp;"-"&amp;TEXT(($D1235-$C1235+1)+4,"00"),"")&amp;IF($C1235&gt;=6,", "&amp;$A1235&amp;"-"&amp;TEXT(($D1235-$C1235+1)+5,"00"),"")&amp;IF($C1235&gt;=7,", "&amp;$A1235&amp;"-"&amp;TEXT(($D1235-$C1235+1)+6,"00"),"")&amp;IF($C1235&gt;=8,", "&amp;$A1235&amp;"-"&amp;TEXT(($D1235-$C1235+1)+7,"00"),"")&amp;IF($C1235&gt;=9,", "&amp;$A1235&amp;"-"&amp;TEXT(($D1235-$C1235+1)+8,"00"),"")&amp;IF($C1235&gt;=10,", "&amp;$A1235&amp;"-"&amp;TEXT(($D1235-$C1235+1)+9,"00"),"")&amp;IF($C1235&gt;=11,", "&amp;$A1235&amp;"-"&amp;TEXT(($D1235-$C1235+1)+10,"00"),"")&amp;IF($C1235&gt;=12,", "&amp;$A1235&amp;"-"&amp;TEXT(($D1235-$C1235+1)+11,"00"),"")&amp;IF($C1235&gt;=13,", "&amp;$A1235&amp;"-"&amp;TEXT(($D1235-$C1235+1)+12,"00"),"")&amp;IF($C1235&gt;=14,", "&amp;$A1235&amp;"-"&amp;TEXT(($D1235-$C1235+1)+13,"00"),"")&amp;IF($C1235&gt;=15,", "&amp;$A1235&amp;"-"&amp;TEXT(($D1235-$C1235+1)+14,"00"),"")&amp;IF($C1235&gt;=16,", "&amp;$A1235&amp;"-"&amp;TEXT(($D1235-$C1235+1)+15,"00"),"")&amp;IF($C1235&gt;=17,", "&amp;$A1235&amp;"-"&amp;TEXT(($D1235-$C1235+1)+16,"00"),"")&amp;IF($C1235&gt;=18,", "&amp;$A1235&amp;"-"&amp;TEXT(($D1235-$C1235+1)+17,"00"),"")&amp;IF($C1235&gt;=19,", "&amp;$A1235&amp;"-"&amp;TEXT(($D1235-$C1235+1)+18,"00"),"")&amp;IF($C1235&gt;=20,", "&amp;$A1235&amp;"-"&amp;TEXT(($D1235-$C1235+1)+19,"00"),"")&amp;IF($C1235&gt;=21,", "&amp;$A1235&amp;"-"&amp;TEXT(($D1235-$C1235+1)+20,"00"),"")&amp;IF($C1235&gt;=22,", "&amp;$A1235&amp;"-"&amp;TEXT(($D1235-$C1235+1)+21,"00"),"")&amp;IF($C1235&gt;=23,", "&amp;$A1235&amp;"-"&amp;TEXT(($D1235-$C1235+1)+22,"00"),"")&amp;IF($C1235&gt;=24,", "&amp;$A1235&amp;"-"&amp;TEXT(($D1235-$C1235+1)+23,"00"),"")&amp;IF($C1235&gt;=25,", "&amp;$A1235&amp;"-"&amp;TEXT(($D1235-$C1235+1)+24,"00"),""))</f>
        <v/>
      </c>
      <c r="G1235">
        <f>IF($A1235="","",IF($E1235=1,$F1235,IF($F1235="",$G1234,IF($G1234="",$F1235,$G1234&amp;", "&amp;$F1235))))</f>
        <v/>
      </c>
      <c r="H1235">
        <f>IF($A1235="","",$A1235&amp;" ("&amp;$C1235&amp;")")</f>
        <v/>
      </c>
      <c r="I1235">
        <f>IF($A1235="","",IF($E1235=1,$H1235,$I1234&amp;", "&amp;$H1235))</f>
        <v/>
      </c>
      <c r="J1235">
        <f>IF($A1235="","",IF($E1235=1,$B1235,""))</f>
        <v/>
      </c>
      <c r="K1235">
        <f>IF($A1235="","",IF(COUNTIF($B$2:$B1235,$B1235)=COUNTIF($B$2:$B$1601,$B1235),$B1235,""))</f>
        <v/>
      </c>
    </row>
    <row r="1236">
      <c r="A1236">
        <f>IF('TMP Paste'!$E1236="","",'TMP Paste'!$E1236)</f>
        <v/>
      </c>
      <c r="B1236">
        <f>IF($A1236="","",COUNTIF('TMP Paste'!$B$2:$B1236,"?*"))</f>
        <v/>
      </c>
      <c r="C1236">
        <f>IF($A1236="","",IFERROR('TMP Paste'!$M1236*1,0))</f>
        <v/>
      </c>
      <c r="D1236">
        <f>IF($A1236="","",SUMIF($B$2:$B1236,$B1236,$C$2:$C1236))</f>
        <v/>
      </c>
      <c r="E1236">
        <f>IF($A1236="",0,IF('TMP Paste'!$B1236="",0,1))</f>
        <v/>
      </c>
      <c r="F1236">
        <f>IF(OR($A1236="",$C1236&lt;1),"",$A1236&amp;"-"&amp;TEXT(($D1236-$C1236+1),"00")&amp;IF($C1236&gt;=2,", "&amp;$A1236&amp;"-"&amp;TEXT(($D1236-$C1236+1)+1,"00"),"")&amp;IF($C1236&gt;=3,", "&amp;$A1236&amp;"-"&amp;TEXT(($D1236-$C1236+1)+2,"00"),"")&amp;IF($C1236&gt;=4,", "&amp;$A1236&amp;"-"&amp;TEXT(($D1236-$C1236+1)+3,"00"),"")&amp;IF($C1236&gt;=5,", "&amp;$A1236&amp;"-"&amp;TEXT(($D1236-$C1236+1)+4,"00"),"")&amp;IF($C1236&gt;=6,", "&amp;$A1236&amp;"-"&amp;TEXT(($D1236-$C1236+1)+5,"00"),"")&amp;IF($C1236&gt;=7,", "&amp;$A1236&amp;"-"&amp;TEXT(($D1236-$C1236+1)+6,"00"),"")&amp;IF($C1236&gt;=8,", "&amp;$A1236&amp;"-"&amp;TEXT(($D1236-$C1236+1)+7,"00"),"")&amp;IF($C1236&gt;=9,", "&amp;$A1236&amp;"-"&amp;TEXT(($D1236-$C1236+1)+8,"00"),"")&amp;IF($C1236&gt;=10,", "&amp;$A1236&amp;"-"&amp;TEXT(($D1236-$C1236+1)+9,"00"),"")&amp;IF($C1236&gt;=11,", "&amp;$A1236&amp;"-"&amp;TEXT(($D1236-$C1236+1)+10,"00"),"")&amp;IF($C1236&gt;=12,", "&amp;$A1236&amp;"-"&amp;TEXT(($D1236-$C1236+1)+11,"00"),"")&amp;IF($C1236&gt;=13,", "&amp;$A1236&amp;"-"&amp;TEXT(($D1236-$C1236+1)+12,"00"),"")&amp;IF($C1236&gt;=14,", "&amp;$A1236&amp;"-"&amp;TEXT(($D1236-$C1236+1)+13,"00"),"")&amp;IF($C1236&gt;=15,", "&amp;$A1236&amp;"-"&amp;TEXT(($D1236-$C1236+1)+14,"00"),"")&amp;IF($C1236&gt;=16,", "&amp;$A1236&amp;"-"&amp;TEXT(($D1236-$C1236+1)+15,"00"),"")&amp;IF($C1236&gt;=17,", "&amp;$A1236&amp;"-"&amp;TEXT(($D1236-$C1236+1)+16,"00"),"")&amp;IF($C1236&gt;=18,", "&amp;$A1236&amp;"-"&amp;TEXT(($D1236-$C1236+1)+17,"00"),"")&amp;IF($C1236&gt;=19,", "&amp;$A1236&amp;"-"&amp;TEXT(($D1236-$C1236+1)+18,"00"),"")&amp;IF($C1236&gt;=20,", "&amp;$A1236&amp;"-"&amp;TEXT(($D1236-$C1236+1)+19,"00"),"")&amp;IF($C1236&gt;=21,", "&amp;$A1236&amp;"-"&amp;TEXT(($D1236-$C1236+1)+20,"00"),"")&amp;IF($C1236&gt;=22,", "&amp;$A1236&amp;"-"&amp;TEXT(($D1236-$C1236+1)+21,"00"),"")&amp;IF($C1236&gt;=23,", "&amp;$A1236&amp;"-"&amp;TEXT(($D1236-$C1236+1)+22,"00"),"")&amp;IF($C1236&gt;=24,", "&amp;$A1236&amp;"-"&amp;TEXT(($D1236-$C1236+1)+23,"00"),"")&amp;IF($C1236&gt;=25,", "&amp;$A1236&amp;"-"&amp;TEXT(($D1236-$C1236+1)+24,"00"),""))</f>
        <v/>
      </c>
      <c r="G1236">
        <f>IF($A1236="","",IF($E1236=1,$F1236,IF($F1236="",$G1235,IF($G1235="",$F1236,$G1235&amp;", "&amp;$F1236))))</f>
        <v/>
      </c>
      <c r="H1236">
        <f>IF($A1236="","",$A1236&amp;" ("&amp;$C1236&amp;")")</f>
        <v/>
      </c>
      <c r="I1236">
        <f>IF($A1236="","",IF($E1236=1,$H1236,$I1235&amp;", "&amp;$H1236))</f>
        <v/>
      </c>
      <c r="J1236">
        <f>IF($A1236="","",IF($E1236=1,$B1236,""))</f>
        <v/>
      </c>
      <c r="K1236">
        <f>IF($A1236="","",IF(COUNTIF($B$2:$B1236,$B1236)=COUNTIF($B$2:$B$1601,$B1236),$B1236,""))</f>
        <v/>
      </c>
    </row>
    <row r="1237">
      <c r="A1237">
        <f>IF('TMP Paste'!$E1237="","",'TMP Paste'!$E1237)</f>
        <v/>
      </c>
      <c r="B1237">
        <f>IF($A1237="","",COUNTIF('TMP Paste'!$B$2:$B1237,"?*"))</f>
        <v/>
      </c>
      <c r="C1237">
        <f>IF($A1237="","",IFERROR('TMP Paste'!$M1237*1,0))</f>
        <v/>
      </c>
      <c r="D1237">
        <f>IF($A1237="","",SUMIF($B$2:$B1237,$B1237,$C$2:$C1237))</f>
        <v/>
      </c>
      <c r="E1237">
        <f>IF($A1237="",0,IF('TMP Paste'!$B1237="",0,1))</f>
        <v/>
      </c>
      <c r="F1237">
        <f>IF(OR($A1237="",$C1237&lt;1),"",$A1237&amp;"-"&amp;TEXT(($D1237-$C1237+1),"00")&amp;IF($C1237&gt;=2,", "&amp;$A1237&amp;"-"&amp;TEXT(($D1237-$C1237+1)+1,"00"),"")&amp;IF($C1237&gt;=3,", "&amp;$A1237&amp;"-"&amp;TEXT(($D1237-$C1237+1)+2,"00"),"")&amp;IF($C1237&gt;=4,", "&amp;$A1237&amp;"-"&amp;TEXT(($D1237-$C1237+1)+3,"00"),"")&amp;IF($C1237&gt;=5,", "&amp;$A1237&amp;"-"&amp;TEXT(($D1237-$C1237+1)+4,"00"),"")&amp;IF($C1237&gt;=6,", "&amp;$A1237&amp;"-"&amp;TEXT(($D1237-$C1237+1)+5,"00"),"")&amp;IF($C1237&gt;=7,", "&amp;$A1237&amp;"-"&amp;TEXT(($D1237-$C1237+1)+6,"00"),"")&amp;IF($C1237&gt;=8,", "&amp;$A1237&amp;"-"&amp;TEXT(($D1237-$C1237+1)+7,"00"),"")&amp;IF($C1237&gt;=9,", "&amp;$A1237&amp;"-"&amp;TEXT(($D1237-$C1237+1)+8,"00"),"")&amp;IF($C1237&gt;=10,", "&amp;$A1237&amp;"-"&amp;TEXT(($D1237-$C1237+1)+9,"00"),"")&amp;IF($C1237&gt;=11,", "&amp;$A1237&amp;"-"&amp;TEXT(($D1237-$C1237+1)+10,"00"),"")&amp;IF($C1237&gt;=12,", "&amp;$A1237&amp;"-"&amp;TEXT(($D1237-$C1237+1)+11,"00"),"")&amp;IF($C1237&gt;=13,", "&amp;$A1237&amp;"-"&amp;TEXT(($D1237-$C1237+1)+12,"00"),"")&amp;IF($C1237&gt;=14,", "&amp;$A1237&amp;"-"&amp;TEXT(($D1237-$C1237+1)+13,"00"),"")&amp;IF($C1237&gt;=15,", "&amp;$A1237&amp;"-"&amp;TEXT(($D1237-$C1237+1)+14,"00"),"")&amp;IF($C1237&gt;=16,", "&amp;$A1237&amp;"-"&amp;TEXT(($D1237-$C1237+1)+15,"00"),"")&amp;IF($C1237&gt;=17,", "&amp;$A1237&amp;"-"&amp;TEXT(($D1237-$C1237+1)+16,"00"),"")&amp;IF($C1237&gt;=18,", "&amp;$A1237&amp;"-"&amp;TEXT(($D1237-$C1237+1)+17,"00"),"")&amp;IF($C1237&gt;=19,", "&amp;$A1237&amp;"-"&amp;TEXT(($D1237-$C1237+1)+18,"00"),"")&amp;IF($C1237&gt;=20,", "&amp;$A1237&amp;"-"&amp;TEXT(($D1237-$C1237+1)+19,"00"),"")&amp;IF($C1237&gt;=21,", "&amp;$A1237&amp;"-"&amp;TEXT(($D1237-$C1237+1)+20,"00"),"")&amp;IF($C1237&gt;=22,", "&amp;$A1237&amp;"-"&amp;TEXT(($D1237-$C1237+1)+21,"00"),"")&amp;IF($C1237&gt;=23,", "&amp;$A1237&amp;"-"&amp;TEXT(($D1237-$C1237+1)+22,"00"),"")&amp;IF($C1237&gt;=24,", "&amp;$A1237&amp;"-"&amp;TEXT(($D1237-$C1237+1)+23,"00"),"")&amp;IF($C1237&gt;=25,", "&amp;$A1237&amp;"-"&amp;TEXT(($D1237-$C1237+1)+24,"00"),""))</f>
        <v/>
      </c>
      <c r="G1237">
        <f>IF($A1237="","",IF($E1237=1,$F1237,IF($F1237="",$G1236,IF($G1236="",$F1237,$G1236&amp;", "&amp;$F1237))))</f>
        <v/>
      </c>
      <c r="H1237">
        <f>IF($A1237="","",$A1237&amp;" ("&amp;$C1237&amp;")")</f>
        <v/>
      </c>
      <c r="I1237">
        <f>IF($A1237="","",IF($E1237=1,$H1237,$I1236&amp;", "&amp;$H1237))</f>
        <v/>
      </c>
      <c r="J1237">
        <f>IF($A1237="","",IF($E1237=1,$B1237,""))</f>
        <v/>
      </c>
      <c r="K1237">
        <f>IF($A1237="","",IF(COUNTIF($B$2:$B1237,$B1237)=COUNTIF($B$2:$B$1601,$B1237),$B1237,""))</f>
        <v/>
      </c>
    </row>
    <row r="1238">
      <c r="A1238">
        <f>IF('TMP Paste'!$E1238="","",'TMP Paste'!$E1238)</f>
        <v/>
      </c>
      <c r="B1238">
        <f>IF($A1238="","",COUNTIF('TMP Paste'!$B$2:$B1238,"?*"))</f>
        <v/>
      </c>
      <c r="C1238">
        <f>IF($A1238="","",IFERROR('TMP Paste'!$M1238*1,0))</f>
        <v/>
      </c>
      <c r="D1238">
        <f>IF($A1238="","",SUMIF($B$2:$B1238,$B1238,$C$2:$C1238))</f>
        <v/>
      </c>
      <c r="E1238">
        <f>IF($A1238="",0,IF('TMP Paste'!$B1238="",0,1))</f>
        <v/>
      </c>
      <c r="F1238">
        <f>IF(OR($A1238="",$C1238&lt;1),"",$A1238&amp;"-"&amp;TEXT(($D1238-$C1238+1),"00")&amp;IF($C1238&gt;=2,", "&amp;$A1238&amp;"-"&amp;TEXT(($D1238-$C1238+1)+1,"00"),"")&amp;IF($C1238&gt;=3,", "&amp;$A1238&amp;"-"&amp;TEXT(($D1238-$C1238+1)+2,"00"),"")&amp;IF($C1238&gt;=4,", "&amp;$A1238&amp;"-"&amp;TEXT(($D1238-$C1238+1)+3,"00"),"")&amp;IF($C1238&gt;=5,", "&amp;$A1238&amp;"-"&amp;TEXT(($D1238-$C1238+1)+4,"00"),"")&amp;IF($C1238&gt;=6,", "&amp;$A1238&amp;"-"&amp;TEXT(($D1238-$C1238+1)+5,"00"),"")&amp;IF($C1238&gt;=7,", "&amp;$A1238&amp;"-"&amp;TEXT(($D1238-$C1238+1)+6,"00"),"")&amp;IF($C1238&gt;=8,", "&amp;$A1238&amp;"-"&amp;TEXT(($D1238-$C1238+1)+7,"00"),"")&amp;IF($C1238&gt;=9,", "&amp;$A1238&amp;"-"&amp;TEXT(($D1238-$C1238+1)+8,"00"),"")&amp;IF($C1238&gt;=10,", "&amp;$A1238&amp;"-"&amp;TEXT(($D1238-$C1238+1)+9,"00"),"")&amp;IF($C1238&gt;=11,", "&amp;$A1238&amp;"-"&amp;TEXT(($D1238-$C1238+1)+10,"00"),"")&amp;IF($C1238&gt;=12,", "&amp;$A1238&amp;"-"&amp;TEXT(($D1238-$C1238+1)+11,"00"),"")&amp;IF($C1238&gt;=13,", "&amp;$A1238&amp;"-"&amp;TEXT(($D1238-$C1238+1)+12,"00"),"")&amp;IF($C1238&gt;=14,", "&amp;$A1238&amp;"-"&amp;TEXT(($D1238-$C1238+1)+13,"00"),"")&amp;IF($C1238&gt;=15,", "&amp;$A1238&amp;"-"&amp;TEXT(($D1238-$C1238+1)+14,"00"),"")&amp;IF($C1238&gt;=16,", "&amp;$A1238&amp;"-"&amp;TEXT(($D1238-$C1238+1)+15,"00"),"")&amp;IF($C1238&gt;=17,", "&amp;$A1238&amp;"-"&amp;TEXT(($D1238-$C1238+1)+16,"00"),"")&amp;IF($C1238&gt;=18,", "&amp;$A1238&amp;"-"&amp;TEXT(($D1238-$C1238+1)+17,"00"),"")&amp;IF($C1238&gt;=19,", "&amp;$A1238&amp;"-"&amp;TEXT(($D1238-$C1238+1)+18,"00"),"")&amp;IF($C1238&gt;=20,", "&amp;$A1238&amp;"-"&amp;TEXT(($D1238-$C1238+1)+19,"00"),"")&amp;IF($C1238&gt;=21,", "&amp;$A1238&amp;"-"&amp;TEXT(($D1238-$C1238+1)+20,"00"),"")&amp;IF($C1238&gt;=22,", "&amp;$A1238&amp;"-"&amp;TEXT(($D1238-$C1238+1)+21,"00"),"")&amp;IF($C1238&gt;=23,", "&amp;$A1238&amp;"-"&amp;TEXT(($D1238-$C1238+1)+22,"00"),"")&amp;IF($C1238&gt;=24,", "&amp;$A1238&amp;"-"&amp;TEXT(($D1238-$C1238+1)+23,"00"),"")&amp;IF($C1238&gt;=25,", "&amp;$A1238&amp;"-"&amp;TEXT(($D1238-$C1238+1)+24,"00"),""))</f>
        <v/>
      </c>
      <c r="G1238">
        <f>IF($A1238="","",IF($E1238=1,$F1238,IF($F1238="",$G1237,IF($G1237="",$F1238,$G1237&amp;", "&amp;$F1238))))</f>
        <v/>
      </c>
      <c r="H1238">
        <f>IF($A1238="","",$A1238&amp;" ("&amp;$C1238&amp;")")</f>
        <v/>
      </c>
      <c r="I1238">
        <f>IF($A1238="","",IF($E1238=1,$H1238,$I1237&amp;", "&amp;$H1238))</f>
        <v/>
      </c>
      <c r="J1238">
        <f>IF($A1238="","",IF($E1238=1,$B1238,""))</f>
        <v/>
      </c>
      <c r="K1238">
        <f>IF($A1238="","",IF(COUNTIF($B$2:$B1238,$B1238)=COUNTIF($B$2:$B$1601,$B1238),$B1238,""))</f>
        <v/>
      </c>
    </row>
    <row r="1239">
      <c r="A1239">
        <f>IF('TMP Paste'!$E1239="","",'TMP Paste'!$E1239)</f>
        <v/>
      </c>
      <c r="B1239">
        <f>IF($A1239="","",COUNTIF('TMP Paste'!$B$2:$B1239,"?*"))</f>
        <v/>
      </c>
      <c r="C1239">
        <f>IF($A1239="","",IFERROR('TMP Paste'!$M1239*1,0))</f>
        <v/>
      </c>
      <c r="D1239">
        <f>IF($A1239="","",SUMIF($B$2:$B1239,$B1239,$C$2:$C1239))</f>
        <v/>
      </c>
      <c r="E1239">
        <f>IF($A1239="",0,IF('TMP Paste'!$B1239="",0,1))</f>
        <v/>
      </c>
      <c r="F1239">
        <f>IF(OR($A1239="",$C1239&lt;1),"",$A1239&amp;"-"&amp;TEXT(($D1239-$C1239+1),"00")&amp;IF($C1239&gt;=2,", "&amp;$A1239&amp;"-"&amp;TEXT(($D1239-$C1239+1)+1,"00"),"")&amp;IF($C1239&gt;=3,", "&amp;$A1239&amp;"-"&amp;TEXT(($D1239-$C1239+1)+2,"00"),"")&amp;IF($C1239&gt;=4,", "&amp;$A1239&amp;"-"&amp;TEXT(($D1239-$C1239+1)+3,"00"),"")&amp;IF($C1239&gt;=5,", "&amp;$A1239&amp;"-"&amp;TEXT(($D1239-$C1239+1)+4,"00"),"")&amp;IF($C1239&gt;=6,", "&amp;$A1239&amp;"-"&amp;TEXT(($D1239-$C1239+1)+5,"00"),"")&amp;IF($C1239&gt;=7,", "&amp;$A1239&amp;"-"&amp;TEXT(($D1239-$C1239+1)+6,"00"),"")&amp;IF($C1239&gt;=8,", "&amp;$A1239&amp;"-"&amp;TEXT(($D1239-$C1239+1)+7,"00"),"")&amp;IF($C1239&gt;=9,", "&amp;$A1239&amp;"-"&amp;TEXT(($D1239-$C1239+1)+8,"00"),"")&amp;IF($C1239&gt;=10,", "&amp;$A1239&amp;"-"&amp;TEXT(($D1239-$C1239+1)+9,"00"),"")&amp;IF($C1239&gt;=11,", "&amp;$A1239&amp;"-"&amp;TEXT(($D1239-$C1239+1)+10,"00"),"")&amp;IF($C1239&gt;=12,", "&amp;$A1239&amp;"-"&amp;TEXT(($D1239-$C1239+1)+11,"00"),"")&amp;IF($C1239&gt;=13,", "&amp;$A1239&amp;"-"&amp;TEXT(($D1239-$C1239+1)+12,"00"),"")&amp;IF($C1239&gt;=14,", "&amp;$A1239&amp;"-"&amp;TEXT(($D1239-$C1239+1)+13,"00"),"")&amp;IF($C1239&gt;=15,", "&amp;$A1239&amp;"-"&amp;TEXT(($D1239-$C1239+1)+14,"00"),"")&amp;IF($C1239&gt;=16,", "&amp;$A1239&amp;"-"&amp;TEXT(($D1239-$C1239+1)+15,"00"),"")&amp;IF($C1239&gt;=17,", "&amp;$A1239&amp;"-"&amp;TEXT(($D1239-$C1239+1)+16,"00"),"")&amp;IF($C1239&gt;=18,", "&amp;$A1239&amp;"-"&amp;TEXT(($D1239-$C1239+1)+17,"00"),"")&amp;IF($C1239&gt;=19,", "&amp;$A1239&amp;"-"&amp;TEXT(($D1239-$C1239+1)+18,"00"),"")&amp;IF($C1239&gt;=20,", "&amp;$A1239&amp;"-"&amp;TEXT(($D1239-$C1239+1)+19,"00"),"")&amp;IF($C1239&gt;=21,", "&amp;$A1239&amp;"-"&amp;TEXT(($D1239-$C1239+1)+20,"00"),"")&amp;IF($C1239&gt;=22,", "&amp;$A1239&amp;"-"&amp;TEXT(($D1239-$C1239+1)+21,"00"),"")&amp;IF($C1239&gt;=23,", "&amp;$A1239&amp;"-"&amp;TEXT(($D1239-$C1239+1)+22,"00"),"")&amp;IF($C1239&gt;=24,", "&amp;$A1239&amp;"-"&amp;TEXT(($D1239-$C1239+1)+23,"00"),"")&amp;IF($C1239&gt;=25,", "&amp;$A1239&amp;"-"&amp;TEXT(($D1239-$C1239+1)+24,"00"),""))</f>
        <v/>
      </c>
      <c r="G1239">
        <f>IF($A1239="","",IF($E1239=1,$F1239,IF($F1239="",$G1238,IF($G1238="",$F1239,$G1238&amp;", "&amp;$F1239))))</f>
        <v/>
      </c>
      <c r="H1239">
        <f>IF($A1239="","",$A1239&amp;" ("&amp;$C1239&amp;")")</f>
        <v/>
      </c>
      <c r="I1239">
        <f>IF($A1239="","",IF($E1239=1,$H1239,$I1238&amp;", "&amp;$H1239))</f>
        <v/>
      </c>
      <c r="J1239">
        <f>IF($A1239="","",IF($E1239=1,$B1239,""))</f>
        <v/>
      </c>
      <c r="K1239">
        <f>IF($A1239="","",IF(COUNTIF($B$2:$B1239,$B1239)=COUNTIF($B$2:$B$1601,$B1239),$B1239,""))</f>
        <v/>
      </c>
    </row>
    <row r="1240">
      <c r="A1240">
        <f>IF('TMP Paste'!$E1240="","",'TMP Paste'!$E1240)</f>
        <v/>
      </c>
      <c r="B1240">
        <f>IF($A1240="","",COUNTIF('TMP Paste'!$B$2:$B1240,"?*"))</f>
        <v/>
      </c>
      <c r="C1240">
        <f>IF($A1240="","",IFERROR('TMP Paste'!$M1240*1,0))</f>
        <v/>
      </c>
      <c r="D1240">
        <f>IF($A1240="","",SUMIF($B$2:$B1240,$B1240,$C$2:$C1240))</f>
        <v/>
      </c>
      <c r="E1240">
        <f>IF($A1240="",0,IF('TMP Paste'!$B1240="",0,1))</f>
        <v/>
      </c>
      <c r="F1240">
        <f>IF(OR($A1240="",$C1240&lt;1),"",$A1240&amp;"-"&amp;TEXT(($D1240-$C1240+1),"00")&amp;IF($C1240&gt;=2,", "&amp;$A1240&amp;"-"&amp;TEXT(($D1240-$C1240+1)+1,"00"),"")&amp;IF($C1240&gt;=3,", "&amp;$A1240&amp;"-"&amp;TEXT(($D1240-$C1240+1)+2,"00"),"")&amp;IF($C1240&gt;=4,", "&amp;$A1240&amp;"-"&amp;TEXT(($D1240-$C1240+1)+3,"00"),"")&amp;IF($C1240&gt;=5,", "&amp;$A1240&amp;"-"&amp;TEXT(($D1240-$C1240+1)+4,"00"),"")&amp;IF($C1240&gt;=6,", "&amp;$A1240&amp;"-"&amp;TEXT(($D1240-$C1240+1)+5,"00"),"")&amp;IF($C1240&gt;=7,", "&amp;$A1240&amp;"-"&amp;TEXT(($D1240-$C1240+1)+6,"00"),"")&amp;IF($C1240&gt;=8,", "&amp;$A1240&amp;"-"&amp;TEXT(($D1240-$C1240+1)+7,"00"),"")&amp;IF($C1240&gt;=9,", "&amp;$A1240&amp;"-"&amp;TEXT(($D1240-$C1240+1)+8,"00"),"")&amp;IF($C1240&gt;=10,", "&amp;$A1240&amp;"-"&amp;TEXT(($D1240-$C1240+1)+9,"00"),"")&amp;IF($C1240&gt;=11,", "&amp;$A1240&amp;"-"&amp;TEXT(($D1240-$C1240+1)+10,"00"),"")&amp;IF($C1240&gt;=12,", "&amp;$A1240&amp;"-"&amp;TEXT(($D1240-$C1240+1)+11,"00"),"")&amp;IF($C1240&gt;=13,", "&amp;$A1240&amp;"-"&amp;TEXT(($D1240-$C1240+1)+12,"00"),"")&amp;IF($C1240&gt;=14,", "&amp;$A1240&amp;"-"&amp;TEXT(($D1240-$C1240+1)+13,"00"),"")&amp;IF($C1240&gt;=15,", "&amp;$A1240&amp;"-"&amp;TEXT(($D1240-$C1240+1)+14,"00"),"")&amp;IF($C1240&gt;=16,", "&amp;$A1240&amp;"-"&amp;TEXT(($D1240-$C1240+1)+15,"00"),"")&amp;IF($C1240&gt;=17,", "&amp;$A1240&amp;"-"&amp;TEXT(($D1240-$C1240+1)+16,"00"),"")&amp;IF($C1240&gt;=18,", "&amp;$A1240&amp;"-"&amp;TEXT(($D1240-$C1240+1)+17,"00"),"")&amp;IF($C1240&gt;=19,", "&amp;$A1240&amp;"-"&amp;TEXT(($D1240-$C1240+1)+18,"00"),"")&amp;IF($C1240&gt;=20,", "&amp;$A1240&amp;"-"&amp;TEXT(($D1240-$C1240+1)+19,"00"),"")&amp;IF($C1240&gt;=21,", "&amp;$A1240&amp;"-"&amp;TEXT(($D1240-$C1240+1)+20,"00"),"")&amp;IF($C1240&gt;=22,", "&amp;$A1240&amp;"-"&amp;TEXT(($D1240-$C1240+1)+21,"00"),"")&amp;IF($C1240&gt;=23,", "&amp;$A1240&amp;"-"&amp;TEXT(($D1240-$C1240+1)+22,"00"),"")&amp;IF($C1240&gt;=24,", "&amp;$A1240&amp;"-"&amp;TEXT(($D1240-$C1240+1)+23,"00"),"")&amp;IF($C1240&gt;=25,", "&amp;$A1240&amp;"-"&amp;TEXT(($D1240-$C1240+1)+24,"00"),""))</f>
        <v/>
      </c>
      <c r="G1240">
        <f>IF($A1240="","",IF($E1240=1,$F1240,IF($F1240="",$G1239,IF($G1239="",$F1240,$G1239&amp;", "&amp;$F1240))))</f>
        <v/>
      </c>
      <c r="H1240">
        <f>IF($A1240="","",$A1240&amp;" ("&amp;$C1240&amp;")")</f>
        <v/>
      </c>
      <c r="I1240">
        <f>IF($A1240="","",IF($E1240=1,$H1240,$I1239&amp;", "&amp;$H1240))</f>
        <v/>
      </c>
      <c r="J1240">
        <f>IF($A1240="","",IF($E1240=1,$B1240,""))</f>
        <v/>
      </c>
      <c r="K1240">
        <f>IF($A1240="","",IF(COUNTIF($B$2:$B1240,$B1240)=COUNTIF($B$2:$B$1601,$B1240),$B1240,""))</f>
        <v/>
      </c>
    </row>
    <row r="1241">
      <c r="A1241">
        <f>IF('TMP Paste'!$E1241="","",'TMP Paste'!$E1241)</f>
        <v/>
      </c>
      <c r="B1241">
        <f>IF($A1241="","",COUNTIF('TMP Paste'!$B$2:$B1241,"?*"))</f>
        <v/>
      </c>
      <c r="C1241">
        <f>IF($A1241="","",IFERROR('TMP Paste'!$M1241*1,0))</f>
        <v/>
      </c>
      <c r="D1241">
        <f>IF($A1241="","",SUMIF($B$2:$B1241,$B1241,$C$2:$C1241))</f>
        <v/>
      </c>
      <c r="E1241">
        <f>IF($A1241="",0,IF('TMP Paste'!$B1241="",0,1))</f>
        <v/>
      </c>
      <c r="F1241">
        <f>IF(OR($A1241="",$C1241&lt;1),"",$A1241&amp;"-"&amp;TEXT(($D1241-$C1241+1),"00")&amp;IF($C1241&gt;=2,", "&amp;$A1241&amp;"-"&amp;TEXT(($D1241-$C1241+1)+1,"00"),"")&amp;IF($C1241&gt;=3,", "&amp;$A1241&amp;"-"&amp;TEXT(($D1241-$C1241+1)+2,"00"),"")&amp;IF($C1241&gt;=4,", "&amp;$A1241&amp;"-"&amp;TEXT(($D1241-$C1241+1)+3,"00"),"")&amp;IF($C1241&gt;=5,", "&amp;$A1241&amp;"-"&amp;TEXT(($D1241-$C1241+1)+4,"00"),"")&amp;IF($C1241&gt;=6,", "&amp;$A1241&amp;"-"&amp;TEXT(($D1241-$C1241+1)+5,"00"),"")&amp;IF($C1241&gt;=7,", "&amp;$A1241&amp;"-"&amp;TEXT(($D1241-$C1241+1)+6,"00"),"")&amp;IF($C1241&gt;=8,", "&amp;$A1241&amp;"-"&amp;TEXT(($D1241-$C1241+1)+7,"00"),"")&amp;IF($C1241&gt;=9,", "&amp;$A1241&amp;"-"&amp;TEXT(($D1241-$C1241+1)+8,"00"),"")&amp;IF($C1241&gt;=10,", "&amp;$A1241&amp;"-"&amp;TEXT(($D1241-$C1241+1)+9,"00"),"")&amp;IF($C1241&gt;=11,", "&amp;$A1241&amp;"-"&amp;TEXT(($D1241-$C1241+1)+10,"00"),"")&amp;IF($C1241&gt;=12,", "&amp;$A1241&amp;"-"&amp;TEXT(($D1241-$C1241+1)+11,"00"),"")&amp;IF($C1241&gt;=13,", "&amp;$A1241&amp;"-"&amp;TEXT(($D1241-$C1241+1)+12,"00"),"")&amp;IF($C1241&gt;=14,", "&amp;$A1241&amp;"-"&amp;TEXT(($D1241-$C1241+1)+13,"00"),"")&amp;IF($C1241&gt;=15,", "&amp;$A1241&amp;"-"&amp;TEXT(($D1241-$C1241+1)+14,"00"),"")&amp;IF($C1241&gt;=16,", "&amp;$A1241&amp;"-"&amp;TEXT(($D1241-$C1241+1)+15,"00"),"")&amp;IF($C1241&gt;=17,", "&amp;$A1241&amp;"-"&amp;TEXT(($D1241-$C1241+1)+16,"00"),"")&amp;IF($C1241&gt;=18,", "&amp;$A1241&amp;"-"&amp;TEXT(($D1241-$C1241+1)+17,"00"),"")&amp;IF($C1241&gt;=19,", "&amp;$A1241&amp;"-"&amp;TEXT(($D1241-$C1241+1)+18,"00"),"")&amp;IF($C1241&gt;=20,", "&amp;$A1241&amp;"-"&amp;TEXT(($D1241-$C1241+1)+19,"00"),"")&amp;IF($C1241&gt;=21,", "&amp;$A1241&amp;"-"&amp;TEXT(($D1241-$C1241+1)+20,"00"),"")&amp;IF($C1241&gt;=22,", "&amp;$A1241&amp;"-"&amp;TEXT(($D1241-$C1241+1)+21,"00"),"")&amp;IF($C1241&gt;=23,", "&amp;$A1241&amp;"-"&amp;TEXT(($D1241-$C1241+1)+22,"00"),"")&amp;IF($C1241&gt;=24,", "&amp;$A1241&amp;"-"&amp;TEXT(($D1241-$C1241+1)+23,"00"),"")&amp;IF($C1241&gt;=25,", "&amp;$A1241&amp;"-"&amp;TEXT(($D1241-$C1241+1)+24,"00"),""))</f>
        <v/>
      </c>
      <c r="G1241">
        <f>IF($A1241="","",IF($E1241=1,$F1241,IF($F1241="",$G1240,IF($G1240="",$F1241,$G1240&amp;", "&amp;$F1241))))</f>
        <v/>
      </c>
      <c r="H1241">
        <f>IF($A1241="","",$A1241&amp;" ("&amp;$C1241&amp;")")</f>
        <v/>
      </c>
      <c r="I1241">
        <f>IF($A1241="","",IF($E1241=1,$H1241,$I1240&amp;", "&amp;$H1241))</f>
        <v/>
      </c>
      <c r="J1241">
        <f>IF($A1241="","",IF($E1241=1,$B1241,""))</f>
        <v/>
      </c>
      <c r="K1241">
        <f>IF($A1241="","",IF(COUNTIF($B$2:$B1241,$B1241)=COUNTIF($B$2:$B$1601,$B1241),$B1241,""))</f>
        <v/>
      </c>
    </row>
    <row r="1242">
      <c r="A1242">
        <f>IF('TMP Paste'!$E1242="","",'TMP Paste'!$E1242)</f>
        <v/>
      </c>
      <c r="B1242">
        <f>IF($A1242="","",COUNTIF('TMP Paste'!$B$2:$B1242,"?*"))</f>
        <v/>
      </c>
      <c r="C1242">
        <f>IF($A1242="","",IFERROR('TMP Paste'!$M1242*1,0))</f>
        <v/>
      </c>
      <c r="D1242">
        <f>IF($A1242="","",SUMIF($B$2:$B1242,$B1242,$C$2:$C1242))</f>
        <v/>
      </c>
      <c r="E1242">
        <f>IF($A1242="",0,IF('TMP Paste'!$B1242="",0,1))</f>
        <v/>
      </c>
      <c r="F1242">
        <f>IF(OR($A1242="",$C1242&lt;1),"",$A1242&amp;"-"&amp;TEXT(($D1242-$C1242+1),"00")&amp;IF($C1242&gt;=2,", "&amp;$A1242&amp;"-"&amp;TEXT(($D1242-$C1242+1)+1,"00"),"")&amp;IF($C1242&gt;=3,", "&amp;$A1242&amp;"-"&amp;TEXT(($D1242-$C1242+1)+2,"00"),"")&amp;IF($C1242&gt;=4,", "&amp;$A1242&amp;"-"&amp;TEXT(($D1242-$C1242+1)+3,"00"),"")&amp;IF($C1242&gt;=5,", "&amp;$A1242&amp;"-"&amp;TEXT(($D1242-$C1242+1)+4,"00"),"")&amp;IF($C1242&gt;=6,", "&amp;$A1242&amp;"-"&amp;TEXT(($D1242-$C1242+1)+5,"00"),"")&amp;IF($C1242&gt;=7,", "&amp;$A1242&amp;"-"&amp;TEXT(($D1242-$C1242+1)+6,"00"),"")&amp;IF($C1242&gt;=8,", "&amp;$A1242&amp;"-"&amp;TEXT(($D1242-$C1242+1)+7,"00"),"")&amp;IF($C1242&gt;=9,", "&amp;$A1242&amp;"-"&amp;TEXT(($D1242-$C1242+1)+8,"00"),"")&amp;IF($C1242&gt;=10,", "&amp;$A1242&amp;"-"&amp;TEXT(($D1242-$C1242+1)+9,"00"),"")&amp;IF($C1242&gt;=11,", "&amp;$A1242&amp;"-"&amp;TEXT(($D1242-$C1242+1)+10,"00"),"")&amp;IF($C1242&gt;=12,", "&amp;$A1242&amp;"-"&amp;TEXT(($D1242-$C1242+1)+11,"00"),"")&amp;IF($C1242&gt;=13,", "&amp;$A1242&amp;"-"&amp;TEXT(($D1242-$C1242+1)+12,"00"),"")&amp;IF($C1242&gt;=14,", "&amp;$A1242&amp;"-"&amp;TEXT(($D1242-$C1242+1)+13,"00"),"")&amp;IF($C1242&gt;=15,", "&amp;$A1242&amp;"-"&amp;TEXT(($D1242-$C1242+1)+14,"00"),"")&amp;IF($C1242&gt;=16,", "&amp;$A1242&amp;"-"&amp;TEXT(($D1242-$C1242+1)+15,"00"),"")&amp;IF($C1242&gt;=17,", "&amp;$A1242&amp;"-"&amp;TEXT(($D1242-$C1242+1)+16,"00"),"")&amp;IF($C1242&gt;=18,", "&amp;$A1242&amp;"-"&amp;TEXT(($D1242-$C1242+1)+17,"00"),"")&amp;IF($C1242&gt;=19,", "&amp;$A1242&amp;"-"&amp;TEXT(($D1242-$C1242+1)+18,"00"),"")&amp;IF($C1242&gt;=20,", "&amp;$A1242&amp;"-"&amp;TEXT(($D1242-$C1242+1)+19,"00"),"")&amp;IF($C1242&gt;=21,", "&amp;$A1242&amp;"-"&amp;TEXT(($D1242-$C1242+1)+20,"00"),"")&amp;IF($C1242&gt;=22,", "&amp;$A1242&amp;"-"&amp;TEXT(($D1242-$C1242+1)+21,"00"),"")&amp;IF($C1242&gt;=23,", "&amp;$A1242&amp;"-"&amp;TEXT(($D1242-$C1242+1)+22,"00"),"")&amp;IF($C1242&gt;=24,", "&amp;$A1242&amp;"-"&amp;TEXT(($D1242-$C1242+1)+23,"00"),"")&amp;IF($C1242&gt;=25,", "&amp;$A1242&amp;"-"&amp;TEXT(($D1242-$C1242+1)+24,"00"),""))</f>
        <v/>
      </c>
      <c r="G1242">
        <f>IF($A1242="","",IF($E1242=1,$F1242,IF($F1242="",$G1241,IF($G1241="",$F1242,$G1241&amp;", "&amp;$F1242))))</f>
        <v/>
      </c>
      <c r="H1242">
        <f>IF($A1242="","",$A1242&amp;" ("&amp;$C1242&amp;")")</f>
        <v/>
      </c>
      <c r="I1242">
        <f>IF($A1242="","",IF($E1242=1,$H1242,$I1241&amp;", "&amp;$H1242))</f>
        <v/>
      </c>
      <c r="J1242">
        <f>IF($A1242="","",IF($E1242=1,$B1242,""))</f>
        <v/>
      </c>
      <c r="K1242">
        <f>IF($A1242="","",IF(COUNTIF($B$2:$B1242,$B1242)=COUNTIF($B$2:$B$1601,$B1242),$B1242,""))</f>
        <v/>
      </c>
    </row>
    <row r="1243">
      <c r="A1243">
        <f>IF('TMP Paste'!$E1243="","",'TMP Paste'!$E1243)</f>
        <v/>
      </c>
      <c r="B1243">
        <f>IF($A1243="","",COUNTIF('TMP Paste'!$B$2:$B1243,"?*"))</f>
        <v/>
      </c>
      <c r="C1243">
        <f>IF($A1243="","",IFERROR('TMP Paste'!$M1243*1,0))</f>
        <v/>
      </c>
      <c r="D1243">
        <f>IF($A1243="","",SUMIF($B$2:$B1243,$B1243,$C$2:$C1243))</f>
        <v/>
      </c>
      <c r="E1243">
        <f>IF($A1243="",0,IF('TMP Paste'!$B1243="",0,1))</f>
        <v/>
      </c>
      <c r="F1243">
        <f>IF(OR($A1243="",$C1243&lt;1),"",$A1243&amp;"-"&amp;TEXT(($D1243-$C1243+1),"00")&amp;IF($C1243&gt;=2,", "&amp;$A1243&amp;"-"&amp;TEXT(($D1243-$C1243+1)+1,"00"),"")&amp;IF($C1243&gt;=3,", "&amp;$A1243&amp;"-"&amp;TEXT(($D1243-$C1243+1)+2,"00"),"")&amp;IF($C1243&gt;=4,", "&amp;$A1243&amp;"-"&amp;TEXT(($D1243-$C1243+1)+3,"00"),"")&amp;IF($C1243&gt;=5,", "&amp;$A1243&amp;"-"&amp;TEXT(($D1243-$C1243+1)+4,"00"),"")&amp;IF($C1243&gt;=6,", "&amp;$A1243&amp;"-"&amp;TEXT(($D1243-$C1243+1)+5,"00"),"")&amp;IF($C1243&gt;=7,", "&amp;$A1243&amp;"-"&amp;TEXT(($D1243-$C1243+1)+6,"00"),"")&amp;IF($C1243&gt;=8,", "&amp;$A1243&amp;"-"&amp;TEXT(($D1243-$C1243+1)+7,"00"),"")&amp;IF($C1243&gt;=9,", "&amp;$A1243&amp;"-"&amp;TEXT(($D1243-$C1243+1)+8,"00"),"")&amp;IF($C1243&gt;=10,", "&amp;$A1243&amp;"-"&amp;TEXT(($D1243-$C1243+1)+9,"00"),"")&amp;IF($C1243&gt;=11,", "&amp;$A1243&amp;"-"&amp;TEXT(($D1243-$C1243+1)+10,"00"),"")&amp;IF($C1243&gt;=12,", "&amp;$A1243&amp;"-"&amp;TEXT(($D1243-$C1243+1)+11,"00"),"")&amp;IF($C1243&gt;=13,", "&amp;$A1243&amp;"-"&amp;TEXT(($D1243-$C1243+1)+12,"00"),"")&amp;IF($C1243&gt;=14,", "&amp;$A1243&amp;"-"&amp;TEXT(($D1243-$C1243+1)+13,"00"),"")&amp;IF($C1243&gt;=15,", "&amp;$A1243&amp;"-"&amp;TEXT(($D1243-$C1243+1)+14,"00"),"")&amp;IF($C1243&gt;=16,", "&amp;$A1243&amp;"-"&amp;TEXT(($D1243-$C1243+1)+15,"00"),"")&amp;IF($C1243&gt;=17,", "&amp;$A1243&amp;"-"&amp;TEXT(($D1243-$C1243+1)+16,"00"),"")&amp;IF($C1243&gt;=18,", "&amp;$A1243&amp;"-"&amp;TEXT(($D1243-$C1243+1)+17,"00"),"")&amp;IF($C1243&gt;=19,", "&amp;$A1243&amp;"-"&amp;TEXT(($D1243-$C1243+1)+18,"00"),"")&amp;IF($C1243&gt;=20,", "&amp;$A1243&amp;"-"&amp;TEXT(($D1243-$C1243+1)+19,"00"),"")&amp;IF($C1243&gt;=21,", "&amp;$A1243&amp;"-"&amp;TEXT(($D1243-$C1243+1)+20,"00"),"")&amp;IF($C1243&gt;=22,", "&amp;$A1243&amp;"-"&amp;TEXT(($D1243-$C1243+1)+21,"00"),"")&amp;IF($C1243&gt;=23,", "&amp;$A1243&amp;"-"&amp;TEXT(($D1243-$C1243+1)+22,"00"),"")&amp;IF($C1243&gt;=24,", "&amp;$A1243&amp;"-"&amp;TEXT(($D1243-$C1243+1)+23,"00"),"")&amp;IF($C1243&gt;=25,", "&amp;$A1243&amp;"-"&amp;TEXT(($D1243-$C1243+1)+24,"00"),""))</f>
        <v/>
      </c>
      <c r="G1243">
        <f>IF($A1243="","",IF($E1243=1,$F1243,IF($F1243="",$G1242,IF($G1242="",$F1243,$G1242&amp;", "&amp;$F1243))))</f>
        <v/>
      </c>
      <c r="H1243">
        <f>IF($A1243="","",$A1243&amp;" ("&amp;$C1243&amp;")")</f>
        <v/>
      </c>
      <c r="I1243">
        <f>IF($A1243="","",IF($E1243=1,$H1243,$I1242&amp;", "&amp;$H1243))</f>
        <v/>
      </c>
      <c r="J1243">
        <f>IF($A1243="","",IF($E1243=1,$B1243,""))</f>
        <v/>
      </c>
      <c r="K1243">
        <f>IF($A1243="","",IF(COUNTIF($B$2:$B1243,$B1243)=COUNTIF($B$2:$B$1601,$B1243),$B1243,""))</f>
        <v/>
      </c>
    </row>
    <row r="1244">
      <c r="A1244">
        <f>IF('TMP Paste'!$E1244="","",'TMP Paste'!$E1244)</f>
        <v/>
      </c>
      <c r="B1244">
        <f>IF($A1244="","",COUNTIF('TMP Paste'!$B$2:$B1244,"?*"))</f>
        <v/>
      </c>
      <c r="C1244">
        <f>IF($A1244="","",IFERROR('TMP Paste'!$M1244*1,0))</f>
        <v/>
      </c>
      <c r="D1244">
        <f>IF($A1244="","",SUMIF($B$2:$B1244,$B1244,$C$2:$C1244))</f>
        <v/>
      </c>
      <c r="E1244">
        <f>IF($A1244="",0,IF('TMP Paste'!$B1244="",0,1))</f>
        <v/>
      </c>
      <c r="F1244">
        <f>IF(OR($A1244="",$C1244&lt;1),"",$A1244&amp;"-"&amp;TEXT(($D1244-$C1244+1),"00")&amp;IF($C1244&gt;=2,", "&amp;$A1244&amp;"-"&amp;TEXT(($D1244-$C1244+1)+1,"00"),"")&amp;IF($C1244&gt;=3,", "&amp;$A1244&amp;"-"&amp;TEXT(($D1244-$C1244+1)+2,"00"),"")&amp;IF($C1244&gt;=4,", "&amp;$A1244&amp;"-"&amp;TEXT(($D1244-$C1244+1)+3,"00"),"")&amp;IF($C1244&gt;=5,", "&amp;$A1244&amp;"-"&amp;TEXT(($D1244-$C1244+1)+4,"00"),"")&amp;IF($C1244&gt;=6,", "&amp;$A1244&amp;"-"&amp;TEXT(($D1244-$C1244+1)+5,"00"),"")&amp;IF($C1244&gt;=7,", "&amp;$A1244&amp;"-"&amp;TEXT(($D1244-$C1244+1)+6,"00"),"")&amp;IF($C1244&gt;=8,", "&amp;$A1244&amp;"-"&amp;TEXT(($D1244-$C1244+1)+7,"00"),"")&amp;IF($C1244&gt;=9,", "&amp;$A1244&amp;"-"&amp;TEXT(($D1244-$C1244+1)+8,"00"),"")&amp;IF($C1244&gt;=10,", "&amp;$A1244&amp;"-"&amp;TEXT(($D1244-$C1244+1)+9,"00"),"")&amp;IF($C1244&gt;=11,", "&amp;$A1244&amp;"-"&amp;TEXT(($D1244-$C1244+1)+10,"00"),"")&amp;IF($C1244&gt;=12,", "&amp;$A1244&amp;"-"&amp;TEXT(($D1244-$C1244+1)+11,"00"),"")&amp;IF($C1244&gt;=13,", "&amp;$A1244&amp;"-"&amp;TEXT(($D1244-$C1244+1)+12,"00"),"")&amp;IF($C1244&gt;=14,", "&amp;$A1244&amp;"-"&amp;TEXT(($D1244-$C1244+1)+13,"00"),"")&amp;IF($C1244&gt;=15,", "&amp;$A1244&amp;"-"&amp;TEXT(($D1244-$C1244+1)+14,"00"),"")&amp;IF($C1244&gt;=16,", "&amp;$A1244&amp;"-"&amp;TEXT(($D1244-$C1244+1)+15,"00"),"")&amp;IF($C1244&gt;=17,", "&amp;$A1244&amp;"-"&amp;TEXT(($D1244-$C1244+1)+16,"00"),"")&amp;IF($C1244&gt;=18,", "&amp;$A1244&amp;"-"&amp;TEXT(($D1244-$C1244+1)+17,"00"),"")&amp;IF($C1244&gt;=19,", "&amp;$A1244&amp;"-"&amp;TEXT(($D1244-$C1244+1)+18,"00"),"")&amp;IF($C1244&gt;=20,", "&amp;$A1244&amp;"-"&amp;TEXT(($D1244-$C1244+1)+19,"00"),"")&amp;IF($C1244&gt;=21,", "&amp;$A1244&amp;"-"&amp;TEXT(($D1244-$C1244+1)+20,"00"),"")&amp;IF($C1244&gt;=22,", "&amp;$A1244&amp;"-"&amp;TEXT(($D1244-$C1244+1)+21,"00"),"")&amp;IF($C1244&gt;=23,", "&amp;$A1244&amp;"-"&amp;TEXT(($D1244-$C1244+1)+22,"00"),"")&amp;IF($C1244&gt;=24,", "&amp;$A1244&amp;"-"&amp;TEXT(($D1244-$C1244+1)+23,"00"),"")&amp;IF($C1244&gt;=25,", "&amp;$A1244&amp;"-"&amp;TEXT(($D1244-$C1244+1)+24,"00"),""))</f>
        <v/>
      </c>
      <c r="G1244">
        <f>IF($A1244="","",IF($E1244=1,$F1244,IF($F1244="",$G1243,IF($G1243="",$F1244,$G1243&amp;", "&amp;$F1244))))</f>
        <v/>
      </c>
      <c r="H1244">
        <f>IF($A1244="","",$A1244&amp;" ("&amp;$C1244&amp;")")</f>
        <v/>
      </c>
      <c r="I1244">
        <f>IF($A1244="","",IF($E1244=1,$H1244,$I1243&amp;", "&amp;$H1244))</f>
        <v/>
      </c>
      <c r="J1244">
        <f>IF($A1244="","",IF($E1244=1,$B1244,""))</f>
        <v/>
      </c>
      <c r="K1244">
        <f>IF($A1244="","",IF(COUNTIF($B$2:$B1244,$B1244)=COUNTIF($B$2:$B$1601,$B1244),$B1244,""))</f>
        <v/>
      </c>
    </row>
    <row r="1245">
      <c r="A1245">
        <f>IF('TMP Paste'!$E1245="","",'TMP Paste'!$E1245)</f>
        <v/>
      </c>
      <c r="B1245">
        <f>IF($A1245="","",COUNTIF('TMP Paste'!$B$2:$B1245,"?*"))</f>
        <v/>
      </c>
      <c r="C1245">
        <f>IF($A1245="","",IFERROR('TMP Paste'!$M1245*1,0))</f>
        <v/>
      </c>
      <c r="D1245">
        <f>IF($A1245="","",SUMIF($B$2:$B1245,$B1245,$C$2:$C1245))</f>
        <v/>
      </c>
      <c r="E1245">
        <f>IF($A1245="",0,IF('TMP Paste'!$B1245="",0,1))</f>
        <v/>
      </c>
      <c r="F1245">
        <f>IF(OR($A1245="",$C1245&lt;1),"",$A1245&amp;"-"&amp;TEXT(($D1245-$C1245+1),"00")&amp;IF($C1245&gt;=2,", "&amp;$A1245&amp;"-"&amp;TEXT(($D1245-$C1245+1)+1,"00"),"")&amp;IF($C1245&gt;=3,", "&amp;$A1245&amp;"-"&amp;TEXT(($D1245-$C1245+1)+2,"00"),"")&amp;IF($C1245&gt;=4,", "&amp;$A1245&amp;"-"&amp;TEXT(($D1245-$C1245+1)+3,"00"),"")&amp;IF($C1245&gt;=5,", "&amp;$A1245&amp;"-"&amp;TEXT(($D1245-$C1245+1)+4,"00"),"")&amp;IF($C1245&gt;=6,", "&amp;$A1245&amp;"-"&amp;TEXT(($D1245-$C1245+1)+5,"00"),"")&amp;IF($C1245&gt;=7,", "&amp;$A1245&amp;"-"&amp;TEXT(($D1245-$C1245+1)+6,"00"),"")&amp;IF($C1245&gt;=8,", "&amp;$A1245&amp;"-"&amp;TEXT(($D1245-$C1245+1)+7,"00"),"")&amp;IF($C1245&gt;=9,", "&amp;$A1245&amp;"-"&amp;TEXT(($D1245-$C1245+1)+8,"00"),"")&amp;IF($C1245&gt;=10,", "&amp;$A1245&amp;"-"&amp;TEXT(($D1245-$C1245+1)+9,"00"),"")&amp;IF($C1245&gt;=11,", "&amp;$A1245&amp;"-"&amp;TEXT(($D1245-$C1245+1)+10,"00"),"")&amp;IF($C1245&gt;=12,", "&amp;$A1245&amp;"-"&amp;TEXT(($D1245-$C1245+1)+11,"00"),"")&amp;IF($C1245&gt;=13,", "&amp;$A1245&amp;"-"&amp;TEXT(($D1245-$C1245+1)+12,"00"),"")&amp;IF($C1245&gt;=14,", "&amp;$A1245&amp;"-"&amp;TEXT(($D1245-$C1245+1)+13,"00"),"")&amp;IF($C1245&gt;=15,", "&amp;$A1245&amp;"-"&amp;TEXT(($D1245-$C1245+1)+14,"00"),"")&amp;IF($C1245&gt;=16,", "&amp;$A1245&amp;"-"&amp;TEXT(($D1245-$C1245+1)+15,"00"),"")&amp;IF($C1245&gt;=17,", "&amp;$A1245&amp;"-"&amp;TEXT(($D1245-$C1245+1)+16,"00"),"")&amp;IF($C1245&gt;=18,", "&amp;$A1245&amp;"-"&amp;TEXT(($D1245-$C1245+1)+17,"00"),"")&amp;IF($C1245&gt;=19,", "&amp;$A1245&amp;"-"&amp;TEXT(($D1245-$C1245+1)+18,"00"),"")&amp;IF($C1245&gt;=20,", "&amp;$A1245&amp;"-"&amp;TEXT(($D1245-$C1245+1)+19,"00"),"")&amp;IF($C1245&gt;=21,", "&amp;$A1245&amp;"-"&amp;TEXT(($D1245-$C1245+1)+20,"00"),"")&amp;IF($C1245&gt;=22,", "&amp;$A1245&amp;"-"&amp;TEXT(($D1245-$C1245+1)+21,"00"),"")&amp;IF($C1245&gt;=23,", "&amp;$A1245&amp;"-"&amp;TEXT(($D1245-$C1245+1)+22,"00"),"")&amp;IF($C1245&gt;=24,", "&amp;$A1245&amp;"-"&amp;TEXT(($D1245-$C1245+1)+23,"00"),"")&amp;IF($C1245&gt;=25,", "&amp;$A1245&amp;"-"&amp;TEXT(($D1245-$C1245+1)+24,"00"),""))</f>
        <v/>
      </c>
      <c r="G1245">
        <f>IF($A1245="","",IF($E1245=1,$F1245,IF($F1245="",$G1244,IF($G1244="",$F1245,$G1244&amp;", "&amp;$F1245))))</f>
        <v/>
      </c>
      <c r="H1245">
        <f>IF($A1245="","",$A1245&amp;" ("&amp;$C1245&amp;")")</f>
        <v/>
      </c>
      <c r="I1245">
        <f>IF($A1245="","",IF($E1245=1,$H1245,$I1244&amp;", "&amp;$H1245))</f>
        <v/>
      </c>
      <c r="J1245">
        <f>IF($A1245="","",IF($E1245=1,$B1245,""))</f>
        <v/>
      </c>
      <c r="K1245">
        <f>IF($A1245="","",IF(COUNTIF($B$2:$B1245,$B1245)=COUNTIF($B$2:$B$1601,$B1245),$B1245,""))</f>
        <v/>
      </c>
    </row>
    <row r="1246">
      <c r="A1246">
        <f>IF('TMP Paste'!$E1246="","",'TMP Paste'!$E1246)</f>
        <v/>
      </c>
      <c r="B1246">
        <f>IF($A1246="","",COUNTIF('TMP Paste'!$B$2:$B1246,"?*"))</f>
        <v/>
      </c>
      <c r="C1246">
        <f>IF($A1246="","",IFERROR('TMP Paste'!$M1246*1,0))</f>
        <v/>
      </c>
      <c r="D1246">
        <f>IF($A1246="","",SUMIF($B$2:$B1246,$B1246,$C$2:$C1246))</f>
        <v/>
      </c>
      <c r="E1246">
        <f>IF($A1246="",0,IF('TMP Paste'!$B1246="",0,1))</f>
        <v/>
      </c>
      <c r="F1246">
        <f>IF(OR($A1246="",$C1246&lt;1),"",$A1246&amp;"-"&amp;TEXT(($D1246-$C1246+1),"00")&amp;IF($C1246&gt;=2,", "&amp;$A1246&amp;"-"&amp;TEXT(($D1246-$C1246+1)+1,"00"),"")&amp;IF($C1246&gt;=3,", "&amp;$A1246&amp;"-"&amp;TEXT(($D1246-$C1246+1)+2,"00"),"")&amp;IF($C1246&gt;=4,", "&amp;$A1246&amp;"-"&amp;TEXT(($D1246-$C1246+1)+3,"00"),"")&amp;IF($C1246&gt;=5,", "&amp;$A1246&amp;"-"&amp;TEXT(($D1246-$C1246+1)+4,"00"),"")&amp;IF($C1246&gt;=6,", "&amp;$A1246&amp;"-"&amp;TEXT(($D1246-$C1246+1)+5,"00"),"")&amp;IF($C1246&gt;=7,", "&amp;$A1246&amp;"-"&amp;TEXT(($D1246-$C1246+1)+6,"00"),"")&amp;IF($C1246&gt;=8,", "&amp;$A1246&amp;"-"&amp;TEXT(($D1246-$C1246+1)+7,"00"),"")&amp;IF($C1246&gt;=9,", "&amp;$A1246&amp;"-"&amp;TEXT(($D1246-$C1246+1)+8,"00"),"")&amp;IF($C1246&gt;=10,", "&amp;$A1246&amp;"-"&amp;TEXT(($D1246-$C1246+1)+9,"00"),"")&amp;IF($C1246&gt;=11,", "&amp;$A1246&amp;"-"&amp;TEXT(($D1246-$C1246+1)+10,"00"),"")&amp;IF($C1246&gt;=12,", "&amp;$A1246&amp;"-"&amp;TEXT(($D1246-$C1246+1)+11,"00"),"")&amp;IF($C1246&gt;=13,", "&amp;$A1246&amp;"-"&amp;TEXT(($D1246-$C1246+1)+12,"00"),"")&amp;IF($C1246&gt;=14,", "&amp;$A1246&amp;"-"&amp;TEXT(($D1246-$C1246+1)+13,"00"),"")&amp;IF($C1246&gt;=15,", "&amp;$A1246&amp;"-"&amp;TEXT(($D1246-$C1246+1)+14,"00"),"")&amp;IF($C1246&gt;=16,", "&amp;$A1246&amp;"-"&amp;TEXT(($D1246-$C1246+1)+15,"00"),"")&amp;IF($C1246&gt;=17,", "&amp;$A1246&amp;"-"&amp;TEXT(($D1246-$C1246+1)+16,"00"),"")&amp;IF($C1246&gt;=18,", "&amp;$A1246&amp;"-"&amp;TEXT(($D1246-$C1246+1)+17,"00"),"")&amp;IF($C1246&gt;=19,", "&amp;$A1246&amp;"-"&amp;TEXT(($D1246-$C1246+1)+18,"00"),"")&amp;IF($C1246&gt;=20,", "&amp;$A1246&amp;"-"&amp;TEXT(($D1246-$C1246+1)+19,"00"),"")&amp;IF($C1246&gt;=21,", "&amp;$A1246&amp;"-"&amp;TEXT(($D1246-$C1246+1)+20,"00"),"")&amp;IF($C1246&gt;=22,", "&amp;$A1246&amp;"-"&amp;TEXT(($D1246-$C1246+1)+21,"00"),"")&amp;IF($C1246&gt;=23,", "&amp;$A1246&amp;"-"&amp;TEXT(($D1246-$C1246+1)+22,"00"),"")&amp;IF($C1246&gt;=24,", "&amp;$A1246&amp;"-"&amp;TEXT(($D1246-$C1246+1)+23,"00"),"")&amp;IF($C1246&gt;=25,", "&amp;$A1246&amp;"-"&amp;TEXT(($D1246-$C1246+1)+24,"00"),""))</f>
        <v/>
      </c>
      <c r="G1246">
        <f>IF($A1246="","",IF($E1246=1,$F1246,IF($F1246="",$G1245,IF($G1245="",$F1246,$G1245&amp;", "&amp;$F1246))))</f>
        <v/>
      </c>
      <c r="H1246">
        <f>IF($A1246="","",$A1246&amp;" ("&amp;$C1246&amp;")")</f>
        <v/>
      </c>
      <c r="I1246">
        <f>IF($A1246="","",IF($E1246=1,$H1246,$I1245&amp;", "&amp;$H1246))</f>
        <v/>
      </c>
      <c r="J1246">
        <f>IF($A1246="","",IF($E1246=1,$B1246,""))</f>
        <v/>
      </c>
      <c r="K1246">
        <f>IF($A1246="","",IF(COUNTIF($B$2:$B1246,$B1246)=COUNTIF($B$2:$B$1601,$B1246),$B1246,""))</f>
        <v/>
      </c>
    </row>
    <row r="1247">
      <c r="A1247">
        <f>IF('TMP Paste'!$E1247="","",'TMP Paste'!$E1247)</f>
        <v/>
      </c>
      <c r="B1247">
        <f>IF($A1247="","",COUNTIF('TMP Paste'!$B$2:$B1247,"?*"))</f>
        <v/>
      </c>
      <c r="C1247">
        <f>IF($A1247="","",IFERROR('TMP Paste'!$M1247*1,0))</f>
        <v/>
      </c>
      <c r="D1247">
        <f>IF($A1247="","",SUMIF($B$2:$B1247,$B1247,$C$2:$C1247))</f>
        <v/>
      </c>
      <c r="E1247">
        <f>IF($A1247="",0,IF('TMP Paste'!$B1247="",0,1))</f>
        <v/>
      </c>
      <c r="F1247">
        <f>IF(OR($A1247="",$C1247&lt;1),"",$A1247&amp;"-"&amp;TEXT(($D1247-$C1247+1),"00")&amp;IF($C1247&gt;=2,", "&amp;$A1247&amp;"-"&amp;TEXT(($D1247-$C1247+1)+1,"00"),"")&amp;IF($C1247&gt;=3,", "&amp;$A1247&amp;"-"&amp;TEXT(($D1247-$C1247+1)+2,"00"),"")&amp;IF($C1247&gt;=4,", "&amp;$A1247&amp;"-"&amp;TEXT(($D1247-$C1247+1)+3,"00"),"")&amp;IF($C1247&gt;=5,", "&amp;$A1247&amp;"-"&amp;TEXT(($D1247-$C1247+1)+4,"00"),"")&amp;IF($C1247&gt;=6,", "&amp;$A1247&amp;"-"&amp;TEXT(($D1247-$C1247+1)+5,"00"),"")&amp;IF($C1247&gt;=7,", "&amp;$A1247&amp;"-"&amp;TEXT(($D1247-$C1247+1)+6,"00"),"")&amp;IF($C1247&gt;=8,", "&amp;$A1247&amp;"-"&amp;TEXT(($D1247-$C1247+1)+7,"00"),"")&amp;IF($C1247&gt;=9,", "&amp;$A1247&amp;"-"&amp;TEXT(($D1247-$C1247+1)+8,"00"),"")&amp;IF($C1247&gt;=10,", "&amp;$A1247&amp;"-"&amp;TEXT(($D1247-$C1247+1)+9,"00"),"")&amp;IF($C1247&gt;=11,", "&amp;$A1247&amp;"-"&amp;TEXT(($D1247-$C1247+1)+10,"00"),"")&amp;IF($C1247&gt;=12,", "&amp;$A1247&amp;"-"&amp;TEXT(($D1247-$C1247+1)+11,"00"),"")&amp;IF($C1247&gt;=13,", "&amp;$A1247&amp;"-"&amp;TEXT(($D1247-$C1247+1)+12,"00"),"")&amp;IF($C1247&gt;=14,", "&amp;$A1247&amp;"-"&amp;TEXT(($D1247-$C1247+1)+13,"00"),"")&amp;IF($C1247&gt;=15,", "&amp;$A1247&amp;"-"&amp;TEXT(($D1247-$C1247+1)+14,"00"),"")&amp;IF($C1247&gt;=16,", "&amp;$A1247&amp;"-"&amp;TEXT(($D1247-$C1247+1)+15,"00"),"")&amp;IF($C1247&gt;=17,", "&amp;$A1247&amp;"-"&amp;TEXT(($D1247-$C1247+1)+16,"00"),"")&amp;IF($C1247&gt;=18,", "&amp;$A1247&amp;"-"&amp;TEXT(($D1247-$C1247+1)+17,"00"),"")&amp;IF($C1247&gt;=19,", "&amp;$A1247&amp;"-"&amp;TEXT(($D1247-$C1247+1)+18,"00"),"")&amp;IF($C1247&gt;=20,", "&amp;$A1247&amp;"-"&amp;TEXT(($D1247-$C1247+1)+19,"00"),"")&amp;IF($C1247&gt;=21,", "&amp;$A1247&amp;"-"&amp;TEXT(($D1247-$C1247+1)+20,"00"),"")&amp;IF($C1247&gt;=22,", "&amp;$A1247&amp;"-"&amp;TEXT(($D1247-$C1247+1)+21,"00"),"")&amp;IF($C1247&gt;=23,", "&amp;$A1247&amp;"-"&amp;TEXT(($D1247-$C1247+1)+22,"00"),"")&amp;IF($C1247&gt;=24,", "&amp;$A1247&amp;"-"&amp;TEXT(($D1247-$C1247+1)+23,"00"),"")&amp;IF($C1247&gt;=25,", "&amp;$A1247&amp;"-"&amp;TEXT(($D1247-$C1247+1)+24,"00"),""))</f>
        <v/>
      </c>
      <c r="G1247">
        <f>IF($A1247="","",IF($E1247=1,$F1247,IF($F1247="",$G1246,IF($G1246="",$F1247,$G1246&amp;", "&amp;$F1247))))</f>
        <v/>
      </c>
      <c r="H1247">
        <f>IF($A1247="","",$A1247&amp;" ("&amp;$C1247&amp;")")</f>
        <v/>
      </c>
      <c r="I1247">
        <f>IF($A1247="","",IF($E1247=1,$H1247,$I1246&amp;", "&amp;$H1247))</f>
        <v/>
      </c>
      <c r="J1247">
        <f>IF($A1247="","",IF($E1247=1,$B1247,""))</f>
        <v/>
      </c>
      <c r="K1247">
        <f>IF($A1247="","",IF(COUNTIF($B$2:$B1247,$B1247)=COUNTIF($B$2:$B$1601,$B1247),$B1247,""))</f>
        <v/>
      </c>
    </row>
    <row r="1248">
      <c r="A1248">
        <f>IF('TMP Paste'!$E1248="","",'TMP Paste'!$E1248)</f>
        <v/>
      </c>
      <c r="B1248">
        <f>IF($A1248="","",COUNTIF('TMP Paste'!$B$2:$B1248,"?*"))</f>
        <v/>
      </c>
      <c r="C1248">
        <f>IF($A1248="","",IFERROR('TMP Paste'!$M1248*1,0))</f>
        <v/>
      </c>
      <c r="D1248">
        <f>IF($A1248="","",SUMIF($B$2:$B1248,$B1248,$C$2:$C1248))</f>
        <v/>
      </c>
      <c r="E1248">
        <f>IF($A1248="",0,IF('TMP Paste'!$B1248="",0,1))</f>
        <v/>
      </c>
      <c r="F1248">
        <f>IF(OR($A1248="",$C1248&lt;1),"",$A1248&amp;"-"&amp;TEXT(($D1248-$C1248+1),"00")&amp;IF($C1248&gt;=2,", "&amp;$A1248&amp;"-"&amp;TEXT(($D1248-$C1248+1)+1,"00"),"")&amp;IF($C1248&gt;=3,", "&amp;$A1248&amp;"-"&amp;TEXT(($D1248-$C1248+1)+2,"00"),"")&amp;IF($C1248&gt;=4,", "&amp;$A1248&amp;"-"&amp;TEXT(($D1248-$C1248+1)+3,"00"),"")&amp;IF($C1248&gt;=5,", "&amp;$A1248&amp;"-"&amp;TEXT(($D1248-$C1248+1)+4,"00"),"")&amp;IF($C1248&gt;=6,", "&amp;$A1248&amp;"-"&amp;TEXT(($D1248-$C1248+1)+5,"00"),"")&amp;IF($C1248&gt;=7,", "&amp;$A1248&amp;"-"&amp;TEXT(($D1248-$C1248+1)+6,"00"),"")&amp;IF($C1248&gt;=8,", "&amp;$A1248&amp;"-"&amp;TEXT(($D1248-$C1248+1)+7,"00"),"")&amp;IF($C1248&gt;=9,", "&amp;$A1248&amp;"-"&amp;TEXT(($D1248-$C1248+1)+8,"00"),"")&amp;IF($C1248&gt;=10,", "&amp;$A1248&amp;"-"&amp;TEXT(($D1248-$C1248+1)+9,"00"),"")&amp;IF($C1248&gt;=11,", "&amp;$A1248&amp;"-"&amp;TEXT(($D1248-$C1248+1)+10,"00"),"")&amp;IF($C1248&gt;=12,", "&amp;$A1248&amp;"-"&amp;TEXT(($D1248-$C1248+1)+11,"00"),"")&amp;IF($C1248&gt;=13,", "&amp;$A1248&amp;"-"&amp;TEXT(($D1248-$C1248+1)+12,"00"),"")&amp;IF($C1248&gt;=14,", "&amp;$A1248&amp;"-"&amp;TEXT(($D1248-$C1248+1)+13,"00"),"")&amp;IF($C1248&gt;=15,", "&amp;$A1248&amp;"-"&amp;TEXT(($D1248-$C1248+1)+14,"00"),"")&amp;IF($C1248&gt;=16,", "&amp;$A1248&amp;"-"&amp;TEXT(($D1248-$C1248+1)+15,"00"),"")&amp;IF($C1248&gt;=17,", "&amp;$A1248&amp;"-"&amp;TEXT(($D1248-$C1248+1)+16,"00"),"")&amp;IF($C1248&gt;=18,", "&amp;$A1248&amp;"-"&amp;TEXT(($D1248-$C1248+1)+17,"00"),"")&amp;IF($C1248&gt;=19,", "&amp;$A1248&amp;"-"&amp;TEXT(($D1248-$C1248+1)+18,"00"),"")&amp;IF($C1248&gt;=20,", "&amp;$A1248&amp;"-"&amp;TEXT(($D1248-$C1248+1)+19,"00"),"")&amp;IF($C1248&gt;=21,", "&amp;$A1248&amp;"-"&amp;TEXT(($D1248-$C1248+1)+20,"00"),"")&amp;IF($C1248&gt;=22,", "&amp;$A1248&amp;"-"&amp;TEXT(($D1248-$C1248+1)+21,"00"),"")&amp;IF($C1248&gt;=23,", "&amp;$A1248&amp;"-"&amp;TEXT(($D1248-$C1248+1)+22,"00"),"")&amp;IF($C1248&gt;=24,", "&amp;$A1248&amp;"-"&amp;TEXT(($D1248-$C1248+1)+23,"00"),"")&amp;IF($C1248&gt;=25,", "&amp;$A1248&amp;"-"&amp;TEXT(($D1248-$C1248+1)+24,"00"),""))</f>
        <v/>
      </c>
      <c r="G1248">
        <f>IF($A1248="","",IF($E1248=1,$F1248,IF($F1248="",$G1247,IF($G1247="",$F1248,$G1247&amp;", "&amp;$F1248))))</f>
        <v/>
      </c>
      <c r="H1248">
        <f>IF($A1248="","",$A1248&amp;" ("&amp;$C1248&amp;")")</f>
        <v/>
      </c>
      <c r="I1248">
        <f>IF($A1248="","",IF($E1248=1,$H1248,$I1247&amp;", "&amp;$H1248))</f>
        <v/>
      </c>
      <c r="J1248">
        <f>IF($A1248="","",IF($E1248=1,$B1248,""))</f>
        <v/>
      </c>
      <c r="K1248">
        <f>IF($A1248="","",IF(COUNTIF($B$2:$B1248,$B1248)=COUNTIF($B$2:$B$1601,$B1248),$B1248,""))</f>
        <v/>
      </c>
    </row>
    <row r="1249">
      <c r="A1249">
        <f>IF('TMP Paste'!$E1249="","",'TMP Paste'!$E1249)</f>
        <v/>
      </c>
      <c r="B1249">
        <f>IF($A1249="","",COUNTIF('TMP Paste'!$B$2:$B1249,"?*"))</f>
        <v/>
      </c>
      <c r="C1249">
        <f>IF($A1249="","",IFERROR('TMP Paste'!$M1249*1,0))</f>
        <v/>
      </c>
      <c r="D1249">
        <f>IF($A1249="","",SUMIF($B$2:$B1249,$B1249,$C$2:$C1249))</f>
        <v/>
      </c>
      <c r="E1249">
        <f>IF($A1249="",0,IF('TMP Paste'!$B1249="",0,1))</f>
        <v/>
      </c>
      <c r="F1249">
        <f>IF(OR($A1249="",$C1249&lt;1),"",$A1249&amp;"-"&amp;TEXT(($D1249-$C1249+1),"00")&amp;IF($C1249&gt;=2,", "&amp;$A1249&amp;"-"&amp;TEXT(($D1249-$C1249+1)+1,"00"),"")&amp;IF($C1249&gt;=3,", "&amp;$A1249&amp;"-"&amp;TEXT(($D1249-$C1249+1)+2,"00"),"")&amp;IF($C1249&gt;=4,", "&amp;$A1249&amp;"-"&amp;TEXT(($D1249-$C1249+1)+3,"00"),"")&amp;IF($C1249&gt;=5,", "&amp;$A1249&amp;"-"&amp;TEXT(($D1249-$C1249+1)+4,"00"),"")&amp;IF($C1249&gt;=6,", "&amp;$A1249&amp;"-"&amp;TEXT(($D1249-$C1249+1)+5,"00"),"")&amp;IF($C1249&gt;=7,", "&amp;$A1249&amp;"-"&amp;TEXT(($D1249-$C1249+1)+6,"00"),"")&amp;IF($C1249&gt;=8,", "&amp;$A1249&amp;"-"&amp;TEXT(($D1249-$C1249+1)+7,"00"),"")&amp;IF($C1249&gt;=9,", "&amp;$A1249&amp;"-"&amp;TEXT(($D1249-$C1249+1)+8,"00"),"")&amp;IF($C1249&gt;=10,", "&amp;$A1249&amp;"-"&amp;TEXT(($D1249-$C1249+1)+9,"00"),"")&amp;IF($C1249&gt;=11,", "&amp;$A1249&amp;"-"&amp;TEXT(($D1249-$C1249+1)+10,"00"),"")&amp;IF($C1249&gt;=12,", "&amp;$A1249&amp;"-"&amp;TEXT(($D1249-$C1249+1)+11,"00"),"")&amp;IF($C1249&gt;=13,", "&amp;$A1249&amp;"-"&amp;TEXT(($D1249-$C1249+1)+12,"00"),"")&amp;IF($C1249&gt;=14,", "&amp;$A1249&amp;"-"&amp;TEXT(($D1249-$C1249+1)+13,"00"),"")&amp;IF($C1249&gt;=15,", "&amp;$A1249&amp;"-"&amp;TEXT(($D1249-$C1249+1)+14,"00"),"")&amp;IF($C1249&gt;=16,", "&amp;$A1249&amp;"-"&amp;TEXT(($D1249-$C1249+1)+15,"00"),"")&amp;IF($C1249&gt;=17,", "&amp;$A1249&amp;"-"&amp;TEXT(($D1249-$C1249+1)+16,"00"),"")&amp;IF($C1249&gt;=18,", "&amp;$A1249&amp;"-"&amp;TEXT(($D1249-$C1249+1)+17,"00"),"")&amp;IF($C1249&gt;=19,", "&amp;$A1249&amp;"-"&amp;TEXT(($D1249-$C1249+1)+18,"00"),"")&amp;IF($C1249&gt;=20,", "&amp;$A1249&amp;"-"&amp;TEXT(($D1249-$C1249+1)+19,"00"),"")&amp;IF($C1249&gt;=21,", "&amp;$A1249&amp;"-"&amp;TEXT(($D1249-$C1249+1)+20,"00"),"")&amp;IF($C1249&gt;=22,", "&amp;$A1249&amp;"-"&amp;TEXT(($D1249-$C1249+1)+21,"00"),"")&amp;IF($C1249&gt;=23,", "&amp;$A1249&amp;"-"&amp;TEXT(($D1249-$C1249+1)+22,"00"),"")&amp;IF($C1249&gt;=24,", "&amp;$A1249&amp;"-"&amp;TEXT(($D1249-$C1249+1)+23,"00"),"")&amp;IF($C1249&gt;=25,", "&amp;$A1249&amp;"-"&amp;TEXT(($D1249-$C1249+1)+24,"00"),""))</f>
        <v/>
      </c>
      <c r="G1249">
        <f>IF($A1249="","",IF($E1249=1,$F1249,IF($F1249="",$G1248,IF($G1248="",$F1249,$G1248&amp;", "&amp;$F1249))))</f>
        <v/>
      </c>
      <c r="H1249">
        <f>IF($A1249="","",$A1249&amp;" ("&amp;$C1249&amp;")")</f>
        <v/>
      </c>
      <c r="I1249">
        <f>IF($A1249="","",IF($E1249=1,$H1249,$I1248&amp;", "&amp;$H1249))</f>
        <v/>
      </c>
      <c r="J1249">
        <f>IF($A1249="","",IF($E1249=1,$B1249,""))</f>
        <v/>
      </c>
      <c r="K1249">
        <f>IF($A1249="","",IF(COUNTIF($B$2:$B1249,$B1249)=COUNTIF($B$2:$B$1601,$B1249),$B1249,""))</f>
        <v/>
      </c>
    </row>
    <row r="1250">
      <c r="A1250">
        <f>IF('TMP Paste'!$E1250="","",'TMP Paste'!$E1250)</f>
        <v/>
      </c>
      <c r="B1250">
        <f>IF($A1250="","",COUNTIF('TMP Paste'!$B$2:$B1250,"?*"))</f>
        <v/>
      </c>
      <c r="C1250">
        <f>IF($A1250="","",IFERROR('TMP Paste'!$M1250*1,0))</f>
        <v/>
      </c>
      <c r="D1250">
        <f>IF($A1250="","",SUMIF($B$2:$B1250,$B1250,$C$2:$C1250))</f>
        <v/>
      </c>
      <c r="E1250">
        <f>IF($A1250="",0,IF('TMP Paste'!$B1250="",0,1))</f>
        <v/>
      </c>
      <c r="F1250">
        <f>IF(OR($A1250="",$C1250&lt;1),"",$A1250&amp;"-"&amp;TEXT(($D1250-$C1250+1),"00")&amp;IF($C1250&gt;=2,", "&amp;$A1250&amp;"-"&amp;TEXT(($D1250-$C1250+1)+1,"00"),"")&amp;IF($C1250&gt;=3,", "&amp;$A1250&amp;"-"&amp;TEXT(($D1250-$C1250+1)+2,"00"),"")&amp;IF($C1250&gt;=4,", "&amp;$A1250&amp;"-"&amp;TEXT(($D1250-$C1250+1)+3,"00"),"")&amp;IF($C1250&gt;=5,", "&amp;$A1250&amp;"-"&amp;TEXT(($D1250-$C1250+1)+4,"00"),"")&amp;IF($C1250&gt;=6,", "&amp;$A1250&amp;"-"&amp;TEXT(($D1250-$C1250+1)+5,"00"),"")&amp;IF($C1250&gt;=7,", "&amp;$A1250&amp;"-"&amp;TEXT(($D1250-$C1250+1)+6,"00"),"")&amp;IF($C1250&gt;=8,", "&amp;$A1250&amp;"-"&amp;TEXT(($D1250-$C1250+1)+7,"00"),"")&amp;IF($C1250&gt;=9,", "&amp;$A1250&amp;"-"&amp;TEXT(($D1250-$C1250+1)+8,"00"),"")&amp;IF($C1250&gt;=10,", "&amp;$A1250&amp;"-"&amp;TEXT(($D1250-$C1250+1)+9,"00"),"")&amp;IF($C1250&gt;=11,", "&amp;$A1250&amp;"-"&amp;TEXT(($D1250-$C1250+1)+10,"00"),"")&amp;IF($C1250&gt;=12,", "&amp;$A1250&amp;"-"&amp;TEXT(($D1250-$C1250+1)+11,"00"),"")&amp;IF($C1250&gt;=13,", "&amp;$A1250&amp;"-"&amp;TEXT(($D1250-$C1250+1)+12,"00"),"")&amp;IF($C1250&gt;=14,", "&amp;$A1250&amp;"-"&amp;TEXT(($D1250-$C1250+1)+13,"00"),"")&amp;IF($C1250&gt;=15,", "&amp;$A1250&amp;"-"&amp;TEXT(($D1250-$C1250+1)+14,"00"),"")&amp;IF($C1250&gt;=16,", "&amp;$A1250&amp;"-"&amp;TEXT(($D1250-$C1250+1)+15,"00"),"")&amp;IF($C1250&gt;=17,", "&amp;$A1250&amp;"-"&amp;TEXT(($D1250-$C1250+1)+16,"00"),"")&amp;IF($C1250&gt;=18,", "&amp;$A1250&amp;"-"&amp;TEXT(($D1250-$C1250+1)+17,"00"),"")&amp;IF($C1250&gt;=19,", "&amp;$A1250&amp;"-"&amp;TEXT(($D1250-$C1250+1)+18,"00"),"")&amp;IF($C1250&gt;=20,", "&amp;$A1250&amp;"-"&amp;TEXT(($D1250-$C1250+1)+19,"00"),"")&amp;IF($C1250&gt;=21,", "&amp;$A1250&amp;"-"&amp;TEXT(($D1250-$C1250+1)+20,"00"),"")&amp;IF($C1250&gt;=22,", "&amp;$A1250&amp;"-"&amp;TEXT(($D1250-$C1250+1)+21,"00"),"")&amp;IF($C1250&gt;=23,", "&amp;$A1250&amp;"-"&amp;TEXT(($D1250-$C1250+1)+22,"00"),"")&amp;IF($C1250&gt;=24,", "&amp;$A1250&amp;"-"&amp;TEXT(($D1250-$C1250+1)+23,"00"),"")&amp;IF($C1250&gt;=25,", "&amp;$A1250&amp;"-"&amp;TEXT(($D1250-$C1250+1)+24,"00"),""))</f>
        <v/>
      </c>
      <c r="G1250">
        <f>IF($A1250="","",IF($E1250=1,$F1250,IF($F1250="",$G1249,IF($G1249="",$F1250,$G1249&amp;", "&amp;$F1250))))</f>
        <v/>
      </c>
      <c r="H1250">
        <f>IF($A1250="","",$A1250&amp;" ("&amp;$C1250&amp;")")</f>
        <v/>
      </c>
      <c r="I1250">
        <f>IF($A1250="","",IF($E1250=1,$H1250,$I1249&amp;", "&amp;$H1250))</f>
        <v/>
      </c>
      <c r="J1250">
        <f>IF($A1250="","",IF($E1250=1,$B1250,""))</f>
        <v/>
      </c>
      <c r="K1250">
        <f>IF($A1250="","",IF(COUNTIF($B$2:$B1250,$B1250)=COUNTIF($B$2:$B$1601,$B1250),$B1250,""))</f>
        <v/>
      </c>
    </row>
    <row r="1251">
      <c r="A1251">
        <f>IF('TMP Paste'!$E1251="","",'TMP Paste'!$E1251)</f>
        <v/>
      </c>
      <c r="B1251">
        <f>IF($A1251="","",COUNTIF('TMP Paste'!$B$2:$B1251,"?*"))</f>
        <v/>
      </c>
      <c r="C1251">
        <f>IF($A1251="","",IFERROR('TMP Paste'!$M1251*1,0))</f>
        <v/>
      </c>
      <c r="D1251">
        <f>IF($A1251="","",SUMIF($B$2:$B1251,$B1251,$C$2:$C1251))</f>
        <v/>
      </c>
      <c r="E1251">
        <f>IF($A1251="",0,IF('TMP Paste'!$B1251="",0,1))</f>
        <v/>
      </c>
      <c r="F1251">
        <f>IF(OR($A1251="",$C1251&lt;1),"",$A1251&amp;"-"&amp;TEXT(($D1251-$C1251+1),"00")&amp;IF($C1251&gt;=2,", "&amp;$A1251&amp;"-"&amp;TEXT(($D1251-$C1251+1)+1,"00"),"")&amp;IF($C1251&gt;=3,", "&amp;$A1251&amp;"-"&amp;TEXT(($D1251-$C1251+1)+2,"00"),"")&amp;IF($C1251&gt;=4,", "&amp;$A1251&amp;"-"&amp;TEXT(($D1251-$C1251+1)+3,"00"),"")&amp;IF($C1251&gt;=5,", "&amp;$A1251&amp;"-"&amp;TEXT(($D1251-$C1251+1)+4,"00"),"")&amp;IF($C1251&gt;=6,", "&amp;$A1251&amp;"-"&amp;TEXT(($D1251-$C1251+1)+5,"00"),"")&amp;IF($C1251&gt;=7,", "&amp;$A1251&amp;"-"&amp;TEXT(($D1251-$C1251+1)+6,"00"),"")&amp;IF($C1251&gt;=8,", "&amp;$A1251&amp;"-"&amp;TEXT(($D1251-$C1251+1)+7,"00"),"")&amp;IF($C1251&gt;=9,", "&amp;$A1251&amp;"-"&amp;TEXT(($D1251-$C1251+1)+8,"00"),"")&amp;IF($C1251&gt;=10,", "&amp;$A1251&amp;"-"&amp;TEXT(($D1251-$C1251+1)+9,"00"),"")&amp;IF($C1251&gt;=11,", "&amp;$A1251&amp;"-"&amp;TEXT(($D1251-$C1251+1)+10,"00"),"")&amp;IF($C1251&gt;=12,", "&amp;$A1251&amp;"-"&amp;TEXT(($D1251-$C1251+1)+11,"00"),"")&amp;IF($C1251&gt;=13,", "&amp;$A1251&amp;"-"&amp;TEXT(($D1251-$C1251+1)+12,"00"),"")&amp;IF($C1251&gt;=14,", "&amp;$A1251&amp;"-"&amp;TEXT(($D1251-$C1251+1)+13,"00"),"")&amp;IF($C1251&gt;=15,", "&amp;$A1251&amp;"-"&amp;TEXT(($D1251-$C1251+1)+14,"00"),"")&amp;IF($C1251&gt;=16,", "&amp;$A1251&amp;"-"&amp;TEXT(($D1251-$C1251+1)+15,"00"),"")&amp;IF($C1251&gt;=17,", "&amp;$A1251&amp;"-"&amp;TEXT(($D1251-$C1251+1)+16,"00"),"")&amp;IF($C1251&gt;=18,", "&amp;$A1251&amp;"-"&amp;TEXT(($D1251-$C1251+1)+17,"00"),"")&amp;IF($C1251&gt;=19,", "&amp;$A1251&amp;"-"&amp;TEXT(($D1251-$C1251+1)+18,"00"),"")&amp;IF($C1251&gt;=20,", "&amp;$A1251&amp;"-"&amp;TEXT(($D1251-$C1251+1)+19,"00"),"")&amp;IF($C1251&gt;=21,", "&amp;$A1251&amp;"-"&amp;TEXT(($D1251-$C1251+1)+20,"00"),"")&amp;IF($C1251&gt;=22,", "&amp;$A1251&amp;"-"&amp;TEXT(($D1251-$C1251+1)+21,"00"),"")&amp;IF($C1251&gt;=23,", "&amp;$A1251&amp;"-"&amp;TEXT(($D1251-$C1251+1)+22,"00"),"")&amp;IF($C1251&gt;=24,", "&amp;$A1251&amp;"-"&amp;TEXT(($D1251-$C1251+1)+23,"00"),"")&amp;IF($C1251&gt;=25,", "&amp;$A1251&amp;"-"&amp;TEXT(($D1251-$C1251+1)+24,"00"),""))</f>
        <v/>
      </c>
      <c r="G1251">
        <f>IF($A1251="","",IF($E1251=1,$F1251,IF($F1251="",$G1250,IF($G1250="",$F1251,$G1250&amp;", "&amp;$F1251))))</f>
        <v/>
      </c>
      <c r="H1251">
        <f>IF($A1251="","",$A1251&amp;" ("&amp;$C1251&amp;")")</f>
        <v/>
      </c>
      <c r="I1251">
        <f>IF($A1251="","",IF($E1251=1,$H1251,$I1250&amp;", "&amp;$H1251))</f>
        <v/>
      </c>
      <c r="J1251">
        <f>IF($A1251="","",IF($E1251=1,$B1251,""))</f>
        <v/>
      </c>
      <c r="K1251">
        <f>IF($A1251="","",IF(COUNTIF($B$2:$B1251,$B1251)=COUNTIF($B$2:$B$1601,$B1251),$B1251,""))</f>
        <v/>
      </c>
    </row>
    <row r="1252">
      <c r="A1252">
        <f>IF('TMP Paste'!$E1252="","",'TMP Paste'!$E1252)</f>
        <v/>
      </c>
      <c r="B1252">
        <f>IF($A1252="","",COUNTIF('TMP Paste'!$B$2:$B1252,"?*"))</f>
        <v/>
      </c>
      <c r="C1252">
        <f>IF($A1252="","",IFERROR('TMP Paste'!$M1252*1,0))</f>
        <v/>
      </c>
      <c r="D1252">
        <f>IF($A1252="","",SUMIF($B$2:$B1252,$B1252,$C$2:$C1252))</f>
        <v/>
      </c>
      <c r="E1252">
        <f>IF($A1252="",0,IF('TMP Paste'!$B1252="",0,1))</f>
        <v/>
      </c>
      <c r="F1252">
        <f>IF(OR($A1252="",$C1252&lt;1),"",$A1252&amp;"-"&amp;TEXT(($D1252-$C1252+1),"00")&amp;IF($C1252&gt;=2,", "&amp;$A1252&amp;"-"&amp;TEXT(($D1252-$C1252+1)+1,"00"),"")&amp;IF($C1252&gt;=3,", "&amp;$A1252&amp;"-"&amp;TEXT(($D1252-$C1252+1)+2,"00"),"")&amp;IF($C1252&gt;=4,", "&amp;$A1252&amp;"-"&amp;TEXT(($D1252-$C1252+1)+3,"00"),"")&amp;IF($C1252&gt;=5,", "&amp;$A1252&amp;"-"&amp;TEXT(($D1252-$C1252+1)+4,"00"),"")&amp;IF($C1252&gt;=6,", "&amp;$A1252&amp;"-"&amp;TEXT(($D1252-$C1252+1)+5,"00"),"")&amp;IF($C1252&gt;=7,", "&amp;$A1252&amp;"-"&amp;TEXT(($D1252-$C1252+1)+6,"00"),"")&amp;IF($C1252&gt;=8,", "&amp;$A1252&amp;"-"&amp;TEXT(($D1252-$C1252+1)+7,"00"),"")&amp;IF($C1252&gt;=9,", "&amp;$A1252&amp;"-"&amp;TEXT(($D1252-$C1252+1)+8,"00"),"")&amp;IF($C1252&gt;=10,", "&amp;$A1252&amp;"-"&amp;TEXT(($D1252-$C1252+1)+9,"00"),"")&amp;IF($C1252&gt;=11,", "&amp;$A1252&amp;"-"&amp;TEXT(($D1252-$C1252+1)+10,"00"),"")&amp;IF($C1252&gt;=12,", "&amp;$A1252&amp;"-"&amp;TEXT(($D1252-$C1252+1)+11,"00"),"")&amp;IF($C1252&gt;=13,", "&amp;$A1252&amp;"-"&amp;TEXT(($D1252-$C1252+1)+12,"00"),"")&amp;IF($C1252&gt;=14,", "&amp;$A1252&amp;"-"&amp;TEXT(($D1252-$C1252+1)+13,"00"),"")&amp;IF($C1252&gt;=15,", "&amp;$A1252&amp;"-"&amp;TEXT(($D1252-$C1252+1)+14,"00"),"")&amp;IF($C1252&gt;=16,", "&amp;$A1252&amp;"-"&amp;TEXT(($D1252-$C1252+1)+15,"00"),"")&amp;IF($C1252&gt;=17,", "&amp;$A1252&amp;"-"&amp;TEXT(($D1252-$C1252+1)+16,"00"),"")&amp;IF($C1252&gt;=18,", "&amp;$A1252&amp;"-"&amp;TEXT(($D1252-$C1252+1)+17,"00"),"")&amp;IF($C1252&gt;=19,", "&amp;$A1252&amp;"-"&amp;TEXT(($D1252-$C1252+1)+18,"00"),"")&amp;IF($C1252&gt;=20,", "&amp;$A1252&amp;"-"&amp;TEXT(($D1252-$C1252+1)+19,"00"),"")&amp;IF($C1252&gt;=21,", "&amp;$A1252&amp;"-"&amp;TEXT(($D1252-$C1252+1)+20,"00"),"")&amp;IF($C1252&gt;=22,", "&amp;$A1252&amp;"-"&amp;TEXT(($D1252-$C1252+1)+21,"00"),"")&amp;IF($C1252&gt;=23,", "&amp;$A1252&amp;"-"&amp;TEXT(($D1252-$C1252+1)+22,"00"),"")&amp;IF($C1252&gt;=24,", "&amp;$A1252&amp;"-"&amp;TEXT(($D1252-$C1252+1)+23,"00"),"")&amp;IF($C1252&gt;=25,", "&amp;$A1252&amp;"-"&amp;TEXT(($D1252-$C1252+1)+24,"00"),""))</f>
        <v/>
      </c>
      <c r="G1252">
        <f>IF($A1252="","",IF($E1252=1,$F1252,IF($F1252="",$G1251,IF($G1251="",$F1252,$G1251&amp;", "&amp;$F1252))))</f>
        <v/>
      </c>
      <c r="H1252">
        <f>IF($A1252="","",$A1252&amp;" ("&amp;$C1252&amp;")")</f>
        <v/>
      </c>
      <c r="I1252">
        <f>IF($A1252="","",IF($E1252=1,$H1252,$I1251&amp;", "&amp;$H1252))</f>
        <v/>
      </c>
      <c r="J1252">
        <f>IF($A1252="","",IF($E1252=1,$B1252,""))</f>
        <v/>
      </c>
      <c r="K1252">
        <f>IF($A1252="","",IF(COUNTIF($B$2:$B1252,$B1252)=COUNTIF($B$2:$B$1601,$B1252),$B1252,""))</f>
        <v/>
      </c>
    </row>
    <row r="1253">
      <c r="A1253">
        <f>IF('TMP Paste'!$E1253="","",'TMP Paste'!$E1253)</f>
        <v/>
      </c>
      <c r="B1253">
        <f>IF($A1253="","",COUNTIF('TMP Paste'!$B$2:$B1253,"?*"))</f>
        <v/>
      </c>
      <c r="C1253">
        <f>IF($A1253="","",IFERROR('TMP Paste'!$M1253*1,0))</f>
        <v/>
      </c>
      <c r="D1253">
        <f>IF($A1253="","",SUMIF($B$2:$B1253,$B1253,$C$2:$C1253))</f>
        <v/>
      </c>
      <c r="E1253">
        <f>IF($A1253="",0,IF('TMP Paste'!$B1253="",0,1))</f>
        <v/>
      </c>
      <c r="F1253">
        <f>IF(OR($A1253="",$C1253&lt;1),"",$A1253&amp;"-"&amp;TEXT(($D1253-$C1253+1),"00")&amp;IF($C1253&gt;=2,", "&amp;$A1253&amp;"-"&amp;TEXT(($D1253-$C1253+1)+1,"00"),"")&amp;IF($C1253&gt;=3,", "&amp;$A1253&amp;"-"&amp;TEXT(($D1253-$C1253+1)+2,"00"),"")&amp;IF($C1253&gt;=4,", "&amp;$A1253&amp;"-"&amp;TEXT(($D1253-$C1253+1)+3,"00"),"")&amp;IF($C1253&gt;=5,", "&amp;$A1253&amp;"-"&amp;TEXT(($D1253-$C1253+1)+4,"00"),"")&amp;IF($C1253&gt;=6,", "&amp;$A1253&amp;"-"&amp;TEXT(($D1253-$C1253+1)+5,"00"),"")&amp;IF($C1253&gt;=7,", "&amp;$A1253&amp;"-"&amp;TEXT(($D1253-$C1253+1)+6,"00"),"")&amp;IF($C1253&gt;=8,", "&amp;$A1253&amp;"-"&amp;TEXT(($D1253-$C1253+1)+7,"00"),"")&amp;IF($C1253&gt;=9,", "&amp;$A1253&amp;"-"&amp;TEXT(($D1253-$C1253+1)+8,"00"),"")&amp;IF($C1253&gt;=10,", "&amp;$A1253&amp;"-"&amp;TEXT(($D1253-$C1253+1)+9,"00"),"")&amp;IF($C1253&gt;=11,", "&amp;$A1253&amp;"-"&amp;TEXT(($D1253-$C1253+1)+10,"00"),"")&amp;IF($C1253&gt;=12,", "&amp;$A1253&amp;"-"&amp;TEXT(($D1253-$C1253+1)+11,"00"),"")&amp;IF($C1253&gt;=13,", "&amp;$A1253&amp;"-"&amp;TEXT(($D1253-$C1253+1)+12,"00"),"")&amp;IF($C1253&gt;=14,", "&amp;$A1253&amp;"-"&amp;TEXT(($D1253-$C1253+1)+13,"00"),"")&amp;IF($C1253&gt;=15,", "&amp;$A1253&amp;"-"&amp;TEXT(($D1253-$C1253+1)+14,"00"),"")&amp;IF($C1253&gt;=16,", "&amp;$A1253&amp;"-"&amp;TEXT(($D1253-$C1253+1)+15,"00"),"")&amp;IF($C1253&gt;=17,", "&amp;$A1253&amp;"-"&amp;TEXT(($D1253-$C1253+1)+16,"00"),"")&amp;IF($C1253&gt;=18,", "&amp;$A1253&amp;"-"&amp;TEXT(($D1253-$C1253+1)+17,"00"),"")&amp;IF($C1253&gt;=19,", "&amp;$A1253&amp;"-"&amp;TEXT(($D1253-$C1253+1)+18,"00"),"")&amp;IF($C1253&gt;=20,", "&amp;$A1253&amp;"-"&amp;TEXT(($D1253-$C1253+1)+19,"00"),"")&amp;IF($C1253&gt;=21,", "&amp;$A1253&amp;"-"&amp;TEXT(($D1253-$C1253+1)+20,"00"),"")&amp;IF($C1253&gt;=22,", "&amp;$A1253&amp;"-"&amp;TEXT(($D1253-$C1253+1)+21,"00"),"")&amp;IF($C1253&gt;=23,", "&amp;$A1253&amp;"-"&amp;TEXT(($D1253-$C1253+1)+22,"00"),"")&amp;IF($C1253&gt;=24,", "&amp;$A1253&amp;"-"&amp;TEXT(($D1253-$C1253+1)+23,"00"),"")&amp;IF($C1253&gt;=25,", "&amp;$A1253&amp;"-"&amp;TEXT(($D1253-$C1253+1)+24,"00"),""))</f>
        <v/>
      </c>
      <c r="G1253">
        <f>IF($A1253="","",IF($E1253=1,$F1253,IF($F1253="",$G1252,IF($G1252="",$F1253,$G1252&amp;", "&amp;$F1253))))</f>
        <v/>
      </c>
      <c r="H1253">
        <f>IF($A1253="","",$A1253&amp;" ("&amp;$C1253&amp;")")</f>
        <v/>
      </c>
      <c r="I1253">
        <f>IF($A1253="","",IF($E1253=1,$H1253,$I1252&amp;", "&amp;$H1253))</f>
        <v/>
      </c>
      <c r="J1253">
        <f>IF($A1253="","",IF($E1253=1,$B1253,""))</f>
        <v/>
      </c>
      <c r="K1253">
        <f>IF($A1253="","",IF(COUNTIF($B$2:$B1253,$B1253)=COUNTIF($B$2:$B$1601,$B1253),$B1253,""))</f>
        <v/>
      </c>
    </row>
    <row r="1254">
      <c r="A1254">
        <f>IF('TMP Paste'!$E1254="","",'TMP Paste'!$E1254)</f>
        <v/>
      </c>
      <c r="B1254">
        <f>IF($A1254="","",COUNTIF('TMP Paste'!$B$2:$B1254,"?*"))</f>
        <v/>
      </c>
      <c r="C1254">
        <f>IF($A1254="","",IFERROR('TMP Paste'!$M1254*1,0))</f>
        <v/>
      </c>
      <c r="D1254">
        <f>IF($A1254="","",SUMIF($B$2:$B1254,$B1254,$C$2:$C1254))</f>
        <v/>
      </c>
      <c r="E1254">
        <f>IF($A1254="",0,IF('TMP Paste'!$B1254="",0,1))</f>
        <v/>
      </c>
      <c r="F1254">
        <f>IF(OR($A1254="",$C1254&lt;1),"",$A1254&amp;"-"&amp;TEXT(($D1254-$C1254+1),"00")&amp;IF($C1254&gt;=2,", "&amp;$A1254&amp;"-"&amp;TEXT(($D1254-$C1254+1)+1,"00"),"")&amp;IF($C1254&gt;=3,", "&amp;$A1254&amp;"-"&amp;TEXT(($D1254-$C1254+1)+2,"00"),"")&amp;IF($C1254&gt;=4,", "&amp;$A1254&amp;"-"&amp;TEXT(($D1254-$C1254+1)+3,"00"),"")&amp;IF($C1254&gt;=5,", "&amp;$A1254&amp;"-"&amp;TEXT(($D1254-$C1254+1)+4,"00"),"")&amp;IF($C1254&gt;=6,", "&amp;$A1254&amp;"-"&amp;TEXT(($D1254-$C1254+1)+5,"00"),"")&amp;IF($C1254&gt;=7,", "&amp;$A1254&amp;"-"&amp;TEXT(($D1254-$C1254+1)+6,"00"),"")&amp;IF($C1254&gt;=8,", "&amp;$A1254&amp;"-"&amp;TEXT(($D1254-$C1254+1)+7,"00"),"")&amp;IF($C1254&gt;=9,", "&amp;$A1254&amp;"-"&amp;TEXT(($D1254-$C1254+1)+8,"00"),"")&amp;IF($C1254&gt;=10,", "&amp;$A1254&amp;"-"&amp;TEXT(($D1254-$C1254+1)+9,"00"),"")&amp;IF($C1254&gt;=11,", "&amp;$A1254&amp;"-"&amp;TEXT(($D1254-$C1254+1)+10,"00"),"")&amp;IF($C1254&gt;=12,", "&amp;$A1254&amp;"-"&amp;TEXT(($D1254-$C1254+1)+11,"00"),"")&amp;IF($C1254&gt;=13,", "&amp;$A1254&amp;"-"&amp;TEXT(($D1254-$C1254+1)+12,"00"),"")&amp;IF($C1254&gt;=14,", "&amp;$A1254&amp;"-"&amp;TEXT(($D1254-$C1254+1)+13,"00"),"")&amp;IF($C1254&gt;=15,", "&amp;$A1254&amp;"-"&amp;TEXT(($D1254-$C1254+1)+14,"00"),"")&amp;IF($C1254&gt;=16,", "&amp;$A1254&amp;"-"&amp;TEXT(($D1254-$C1254+1)+15,"00"),"")&amp;IF($C1254&gt;=17,", "&amp;$A1254&amp;"-"&amp;TEXT(($D1254-$C1254+1)+16,"00"),"")&amp;IF($C1254&gt;=18,", "&amp;$A1254&amp;"-"&amp;TEXT(($D1254-$C1254+1)+17,"00"),"")&amp;IF($C1254&gt;=19,", "&amp;$A1254&amp;"-"&amp;TEXT(($D1254-$C1254+1)+18,"00"),"")&amp;IF($C1254&gt;=20,", "&amp;$A1254&amp;"-"&amp;TEXT(($D1254-$C1254+1)+19,"00"),"")&amp;IF($C1254&gt;=21,", "&amp;$A1254&amp;"-"&amp;TEXT(($D1254-$C1254+1)+20,"00"),"")&amp;IF($C1254&gt;=22,", "&amp;$A1254&amp;"-"&amp;TEXT(($D1254-$C1254+1)+21,"00"),"")&amp;IF($C1254&gt;=23,", "&amp;$A1254&amp;"-"&amp;TEXT(($D1254-$C1254+1)+22,"00"),"")&amp;IF($C1254&gt;=24,", "&amp;$A1254&amp;"-"&amp;TEXT(($D1254-$C1254+1)+23,"00"),"")&amp;IF($C1254&gt;=25,", "&amp;$A1254&amp;"-"&amp;TEXT(($D1254-$C1254+1)+24,"00"),""))</f>
        <v/>
      </c>
      <c r="G1254">
        <f>IF($A1254="","",IF($E1254=1,$F1254,IF($F1254="",$G1253,IF($G1253="",$F1254,$G1253&amp;", "&amp;$F1254))))</f>
        <v/>
      </c>
      <c r="H1254">
        <f>IF($A1254="","",$A1254&amp;" ("&amp;$C1254&amp;")")</f>
        <v/>
      </c>
      <c r="I1254">
        <f>IF($A1254="","",IF($E1254=1,$H1254,$I1253&amp;", "&amp;$H1254))</f>
        <v/>
      </c>
      <c r="J1254">
        <f>IF($A1254="","",IF($E1254=1,$B1254,""))</f>
        <v/>
      </c>
      <c r="K1254">
        <f>IF($A1254="","",IF(COUNTIF($B$2:$B1254,$B1254)=COUNTIF($B$2:$B$1601,$B1254),$B1254,""))</f>
        <v/>
      </c>
    </row>
    <row r="1255">
      <c r="A1255">
        <f>IF('TMP Paste'!$E1255="","",'TMP Paste'!$E1255)</f>
        <v/>
      </c>
      <c r="B1255">
        <f>IF($A1255="","",COUNTIF('TMP Paste'!$B$2:$B1255,"?*"))</f>
        <v/>
      </c>
      <c r="C1255">
        <f>IF($A1255="","",IFERROR('TMP Paste'!$M1255*1,0))</f>
        <v/>
      </c>
      <c r="D1255">
        <f>IF($A1255="","",SUMIF($B$2:$B1255,$B1255,$C$2:$C1255))</f>
        <v/>
      </c>
      <c r="E1255">
        <f>IF($A1255="",0,IF('TMP Paste'!$B1255="",0,1))</f>
        <v/>
      </c>
      <c r="F1255">
        <f>IF(OR($A1255="",$C1255&lt;1),"",$A1255&amp;"-"&amp;TEXT(($D1255-$C1255+1),"00")&amp;IF($C1255&gt;=2,", "&amp;$A1255&amp;"-"&amp;TEXT(($D1255-$C1255+1)+1,"00"),"")&amp;IF($C1255&gt;=3,", "&amp;$A1255&amp;"-"&amp;TEXT(($D1255-$C1255+1)+2,"00"),"")&amp;IF($C1255&gt;=4,", "&amp;$A1255&amp;"-"&amp;TEXT(($D1255-$C1255+1)+3,"00"),"")&amp;IF($C1255&gt;=5,", "&amp;$A1255&amp;"-"&amp;TEXT(($D1255-$C1255+1)+4,"00"),"")&amp;IF($C1255&gt;=6,", "&amp;$A1255&amp;"-"&amp;TEXT(($D1255-$C1255+1)+5,"00"),"")&amp;IF($C1255&gt;=7,", "&amp;$A1255&amp;"-"&amp;TEXT(($D1255-$C1255+1)+6,"00"),"")&amp;IF($C1255&gt;=8,", "&amp;$A1255&amp;"-"&amp;TEXT(($D1255-$C1255+1)+7,"00"),"")&amp;IF($C1255&gt;=9,", "&amp;$A1255&amp;"-"&amp;TEXT(($D1255-$C1255+1)+8,"00"),"")&amp;IF($C1255&gt;=10,", "&amp;$A1255&amp;"-"&amp;TEXT(($D1255-$C1255+1)+9,"00"),"")&amp;IF($C1255&gt;=11,", "&amp;$A1255&amp;"-"&amp;TEXT(($D1255-$C1255+1)+10,"00"),"")&amp;IF($C1255&gt;=12,", "&amp;$A1255&amp;"-"&amp;TEXT(($D1255-$C1255+1)+11,"00"),"")&amp;IF($C1255&gt;=13,", "&amp;$A1255&amp;"-"&amp;TEXT(($D1255-$C1255+1)+12,"00"),"")&amp;IF($C1255&gt;=14,", "&amp;$A1255&amp;"-"&amp;TEXT(($D1255-$C1255+1)+13,"00"),"")&amp;IF($C1255&gt;=15,", "&amp;$A1255&amp;"-"&amp;TEXT(($D1255-$C1255+1)+14,"00"),"")&amp;IF($C1255&gt;=16,", "&amp;$A1255&amp;"-"&amp;TEXT(($D1255-$C1255+1)+15,"00"),"")&amp;IF($C1255&gt;=17,", "&amp;$A1255&amp;"-"&amp;TEXT(($D1255-$C1255+1)+16,"00"),"")&amp;IF($C1255&gt;=18,", "&amp;$A1255&amp;"-"&amp;TEXT(($D1255-$C1255+1)+17,"00"),"")&amp;IF($C1255&gt;=19,", "&amp;$A1255&amp;"-"&amp;TEXT(($D1255-$C1255+1)+18,"00"),"")&amp;IF($C1255&gt;=20,", "&amp;$A1255&amp;"-"&amp;TEXT(($D1255-$C1255+1)+19,"00"),"")&amp;IF($C1255&gt;=21,", "&amp;$A1255&amp;"-"&amp;TEXT(($D1255-$C1255+1)+20,"00"),"")&amp;IF($C1255&gt;=22,", "&amp;$A1255&amp;"-"&amp;TEXT(($D1255-$C1255+1)+21,"00"),"")&amp;IF($C1255&gt;=23,", "&amp;$A1255&amp;"-"&amp;TEXT(($D1255-$C1255+1)+22,"00"),"")&amp;IF($C1255&gt;=24,", "&amp;$A1255&amp;"-"&amp;TEXT(($D1255-$C1255+1)+23,"00"),"")&amp;IF($C1255&gt;=25,", "&amp;$A1255&amp;"-"&amp;TEXT(($D1255-$C1255+1)+24,"00"),""))</f>
        <v/>
      </c>
      <c r="G1255">
        <f>IF($A1255="","",IF($E1255=1,$F1255,IF($F1255="",$G1254,IF($G1254="",$F1255,$G1254&amp;", "&amp;$F1255))))</f>
        <v/>
      </c>
      <c r="H1255">
        <f>IF($A1255="","",$A1255&amp;" ("&amp;$C1255&amp;")")</f>
        <v/>
      </c>
      <c r="I1255">
        <f>IF($A1255="","",IF($E1255=1,$H1255,$I1254&amp;", "&amp;$H1255))</f>
        <v/>
      </c>
      <c r="J1255">
        <f>IF($A1255="","",IF($E1255=1,$B1255,""))</f>
        <v/>
      </c>
      <c r="K1255">
        <f>IF($A1255="","",IF(COUNTIF($B$2:$B1255,$B1255)=COUNTIF($B$2:$B$1601,$B1255),$B1255,""))</f>
        <v/>
      </c>
    </row>
    <row r="1256">
      <c r="A1256">
        <f>IF('TMP Paste'!$E1256="","",'TMP Paste'!$E1256)</f>
        <v/>
      </c>
      <c r="B1256">
        <f>IF($A1256="","",COUNTIF('TMP Paste'!$B$2:$B1256,"?*"))</f>
        <v/>
      </c>
      <c r="C1256">
        <f>IF($A1256="","",IFERROR('TMP Paste'!$M1256*1,0))</f>
        <v/>
      </c>
      <c r="D1256">
        <f>IF($A1256="","",SUMIF($B$2:$B1256,$B1256,$C$2:$C1256))</f>
        <v/>
      </c>
      <c r="E1256">
        <f>IF($A1256="",0,IF('TMP Paste'!$B1256="",0,1))</f>
        <v/>
      </c>
      <c r="F1256">
        <f>IF(OR($A1256="",$C1256&lt;1),"",$A1256&amp;"-"&amp;TEXT(($D1256-$C1256+1),"00")&amp;IF($C1256&gt;=2,", "&amp;$A1256&amp;"-"&amp;TEXT(($D1256-$C1256+1)+1,"00"),"")&amp;IF($C1256&gt;=3,", "&amp;$A1256&amp;"-"&amp;TEXT(($D1256-$C1256+1)+2,"00"),"")&amp;IF($C1256&gt;=4,", "&amp;$A1256&amp;"-"&amp;TEXT(($D1256-$C1256+1)+3,"00"),"")&amp;IF($C1256&gt;=5,", "&amp;$A1256&amp;"-"&amp;TEXT(($D1256-$C1256+1)+4,"00"),"")&amp;IF($C1256&gt;=6,", "&amp;$A1256&amp;"-"&amp;TEXT(($D1256-$C1256+1)+5,"00"),"")&amp;IF($C1256&gt;=7,", "&amp;$A1256&amp;"-"&amp;TEXT(($D1256-$C1256+1)+6,"00"),"")&amp;IF($C1256&gt;=8,", "&amp;$A1256&amp;"-"&amp;TEXT(($D1256-$C1256+1)+7,"00"),"")&amp;IF($C1256&gt;=9,", "&amp;$A1256&amp;"-"&amp;TEXT(($D1256-$C1256+1)+8,"00"),"")&amp;IF($C1256&gt;=10,", "&amp;$A1256&amp;"-"&amp;TEXT(($D1256-$C1256+1)+9,"00"),"")&amp;IF($C1256&gt;=11,", "&amp;$A1256&amp;"-"&amp;TEXT(($D1256-$C1256+1)+10,"00"),"")&amp;IF($C1256&gt;=12,", "&amp;$A1256&amp;"-"&amp;TEXT(($D1256-$C1256+1)+11,"00"),"")&amp;IF($C1256&gt;=13,", "&amp;$A1256&amp;"-"&amp;TEXT(($D1256-$C1256+1)+12,"00"),"")&amp;IF($C1256&gt;=14,", "&amp;$A1256&amp;"-"&amp;TEXT(($D1256-$C1256+1)+13,"00"),"")&amp;IF($C1256&gt;=15,", "&amp;$A1256&amp;"-"&amp;TEXT(($D1256-$C1256+1)+14,"00"),"")&amp;IF($C1256&gt;=16,", "&amp;$A1256&amp;"-"&amp;TEXT(($D1256-$C1256+1)+15,"00"),"")&amp;IF($C1256&gt;=17,", "&amp;$A1256&amp;"-"&amp;TEXT(($D1256-$C1256+1)+16,"00"),"")&amp;IF($C1256&gt;=18,", "&amp;$A1256&amp;"-"&amp;TEXT(($D1256-$C1256+1)+17,"00"),"")&amp;IF($C1256&gt;=19,", "&amp;$A1256&amp;"-"&amp;TEXT(($D1256-$C1256+1)+18,"00"),"")&amp;IF($C1256&gt;=20,", "&amp;$A1256&amp;"-"&amp;TEXT(($D1256-$C1256+1)+19,"00"),"")&amp;IF($C1256&gt;=21,", "&amp;$A1256&amp;"-"&amp;TEXT(($D1256-$C1256+1)+20,"00"),"")&amp;IF($C1256&gt;=22,", "&amp;$A1256&amp;"-"&amp;TEXT(($D1256-$C1256+1)+21,"00"),"")&amp;IF($C1256&gt;=23,", "&amp;$A1256&amp;"-"&amp;TEXT(($D1256-$C1256+1)+22,"00"),"")&amp;IF($C1256&gt;=24,", "&amp;$A1256&amp;"-"&amp;TEXT(($D1256-$C1256+1)+23,"00"),"")&amp;IF($C1256&gt;=25,", "&amp;$A1256&amp;"-"&amp;TEXT(($D1256-$C1256+1)+24,"00"),""))</f>
        <v/>
      </c>
      <c r="G1256">
        <f>IF($A1256="","",IF($E1256=1,$F1256,IF($F1256="",$G1255,IF($G1255="",$F1256,$G1255&amp;", "&amp;$F1256))))</f>
        <v/>
      </c>
      <c r="H1256">
        <f>IF($A1256="","",$A1256&amp;" ("&amp;$C1256&amp;")")</f>
        <v/>
      </c>
      <c r="I1256">
        <f>IF($A1256="","",IF($E1256=1,$H1256,$I1255&amp;", "&amp;$H1256))</f>
        <v/>
      </c>
      <c r="J1256">
        <f>IF($A1256="","",IF($E1256=1,$B1256,""))</f>
        <v/>
      </c>
      <c r="K1256">
        <f>IF($A1256="","",IF(COUNTIF($B$2:$B1256,$B1256)=COUNTIF($B$2:$B$1601,$B1256),$B1256,""))</f>
        <v/>
      </c>
    </row>
    <row r="1257">
      <c r="A1257">
        <f>IF('TMP Paste'!$E1257="","",'TMP Paste'!$E1257)</f>
        <v/>
      </c>
      <c r="B1257">
        <f>IF($A1257="","",COUNTIF('TMP Paste'!$B$2:$B1257,"?*"))</f>
        <v/>
      </c>
      <c r="C1257">
        <f>IF($A1257="","",IFERROR('TMP Paste'!$M1257*1,0))</f>
        <v/>
      </c>
      <c r="D1257">
        <f>IF($A1257="","",SUMIF($B$2:$B1257,$B1257,$C$2:$C1257))</f>
        <v/>
      </c>
      <c r="E1257">
        <f>IF($A1257="",0,IF('TMP Paste'!$B1257="",0,1))</f>
        <v/>
      </c>
      <c r="F1257">
        <f>IF(OR($A1257="",$C1257&lt;1),"",$A1257&amp;"-"&amp;TEXT(($D1257-$C1257+1),"00")&amp;IF($C1257&gt;=2,", "&amp;$A1257&amp;"-"&amp;TEXT(($D1257-$C1257+1)+1,"00"),"")&amp;IF($C1257&gt;=3,", "&amp;$A1257&amp;"-"&amp;TEXT(($D1257-$C1257+1)+2,"00"),"")&amp;IF($C1257&gt;=4,", "&amp;$A1257&amp;"-"&amp;TEXT(($D1257-$C1257+1)+3,"00"),"")&amp;IF($C1257&gt;=5,", "&amp;$A1257&amp;"-"&amp;TEXT(($D1257-$C1257+1)+4,"00"),"")&amp;IF($C1257&gt;=6,", "&amp;$A1257&amp;"-"&amp;TEXT(($D1257-$C1257+1)+5,"00"),"")&amp;IF($C1257&gt;=7,", "&amp;$A1257&amp;"-"&amp;TEXT(($D1257-$C1257+1)+6,"00"),"")&amp;IF($C1257&gt;=8,", "&amp;$A1257&amp;"-"&amp;TEXT(($D1257-$C1257+1)+7,"00"),"")&amp;IF($C1257&gt;=9,", "&amp;$A1257&amp;"-"&amp;TEXT(($D1257-$C1257+1)+8,"00"),"")&amp;IF($C1257&gt;=10,", "&amp;$A1257&amp;"-"&amp;TEXT(($D1257-$C1257+1)+9,"00"),"")&amp;IF($C1257&gt;=11,", "&amp;$A1257&amp;"-"&amp;TEXT(($D1257-$C1257+1)+10,"00"),"")&amp;IF($C1257&gt;=12,", "&amp;$A1257&amp;"-"&amp;TEXT(($D1257-$C1257+1)+11,"00"),"")&amp;IF($C1257&gt;=13,", "&amp;$A1257&amp;"-"&amp;TEXT(($D1257-$C1257+1)+12,"00"),"")&amp;IF($C1257&gt;=14,", "&amp;$A1257&amp;"-"&amp;TEXT(($D1257-$C1257+1)+13,"00"),"")&amp;IF($C1257&gt;=15,", "&amp;$A1257&amp;"-"&amp;TEXT(($D1257-$C1257+1)+14,"00"),"")&amp;IF($C1257&gt;=16,", "&amp;$A1257&amp;"-"&amp;TEXT(($D1257-$C1257+1)+15,"00"),"")&amp;IF($C1257&gt;=17,", "&amp;$A1257&amp;"-"&amp;TEXT(($D1257-$C1257+1)+16,"00"),"")&amp;IF($C1257&gt;=18,", "&amp;$A1257&amp;"-"&amp;TEXT(($D1257-$C1257+1)+17,"00"),"")&amp;IF($C1257&gt;=19,", "&amp;$A1257&amp;"-"&amp;TEXT(($D1257-$C1257+1)+18,"00"),"")&amp;IF($C1257&gt;=20,", "&amp;$A1257&amp;"-"&amp;TEXT(($D1257-$C1257+1)+19,"00"),"")&amp;IF($C1257&gt;=21,", "&amp;$A1257&amp;"-"&amp;TEXT(($D1257-$C1257+1)+20,"00"),"")&amp;IF($C1257&gt;=22,", "&amp;$A1257&amp;"-"&amp;TEXT(($D1257-$C1257+1)+21,"00"),"")&amp;IF($C1257&gt;=23,", "&amp;$A1257&amp;"-"&amp;TEXT(($D1257-$C1257+1)+22,"00"),"")&amp;IF($C1257&gt;=24,", "&amp;$A1257&amp;"-"&amp;TEXT(($D1257-$C1257+1)+23,"00"),"")&amp;IF($C1257&gt;=25,", "&amp;$A1257&amp;"-"&amp;TEXT(($D1257-$C1257+1)+24,"00"),""))</f>
        <v/>
      </c>
      <c r="G1257">
        <f>IF($A1257="","",IF($E1257=1,$F1257,IF($F1257="",$G1256,IF($G1256="",$F1257,$G1256&amp;", "&amp;$F1257))))</f>
        <v/>
      </c>
      <c r="H1257">
        <f>IF($A1257="","",$A1257&amp;" ("&amp;$C1257&amp;")")</f>
        <v/>
      </c>
      <c r="I1257">
        <f>IF($A1257="","",IF($E1257=1,$H1257,$I1256&amp;", "&amp;$H1257))</f>
        <v/>
      </c>
      <c r="J1257">
        <f>IF($A1257="","",IF($E1257=1,$B1257,""))</f>
        <v/>
      </c>
      <c r="K1257">
        <f>IF($A1257="","",IF(COUNTIF($B$2:$B1257,$B1257)=COUNTIF($B$2:$B$1601,$B1257),$B1257,""))</f>
        <v/>
      </c>
    </row>
    <row r="1258">
      <c r="A1258">
        <f>IF('TMP Paste'!$E1258="","",'TMP Paste'!$E1258)</f>
        <v/>
      </c>
      <c r="B1258">
        <f>IF($A1258="","",COUNTIF('TMP Paste'!$B$2:$B1258,"?*"))</f>
        <v/>
      </c>
      <c r="C1258">
        <f>IF($A1258="","",IFERROR('TMP Paste'!$M1258*1,0))</f>
        <v/>
      </c>
      <c r="D1258">
        <f>IF($A1258="","",SUMIF($B$2:$B1258,$B1258,$C$2:$C1258))</f>
        <v/>
      </c>
      <c r="E1258">
        <f>IF($A1258="",0,IF('TMP Paste'!$B1258="",0,1))</f>
        <v/>
      </c>
      <c r="F1258">
        <f>IF(OR($A1258="",$C1258&lt;1),"",$A1258&amp;"-"&amp;TEXT(($D1258-$C1258+1),"00")&amp;IF($C1258&gt;=2,", "&amp;$A1258&amp;"-"&amp;TEXT(($D1258-$C1258+1)+1,"00"),"")&amp;IF($C1258&gt;=3,", "&amp;$A1258&amp;"-"&amp;TEXT(($D1258-$C1258+1)+2,"00"),"")&amp;IF($C1258&gt;=4,", "&amp;$A1258&amp;"-"&amp;TEXT(($D1258-$C1258+1)+3,"00"),"")&amp;IF($C1258&gt;=5,", "&amp;$A1258&amp;"-"&amp;TEXT(($D1258-$C1258+1)+4,"00"),"")&amp;IF($C1258&gt;=6,", "&amp;$A1258&amp;"-"&amp;TEXT(($D1258-$C1258+1)+5,"00"),"")&amp;IF($C1258&gt;=7,", "&amp;$A1258&amp;"-"&amp;TEXT(($D1258-$C1258+1)+6,"00"),"")&amp;IF($C1258&gt;=8,", "&amp;$A1258&amp;"-"&amp;TEXT(($D1258-$C1258+1)+7,"00"),"")&amp;IF($C1258&gt;=9,", "&amp;$A1258&amp;"-"&amp;TEXT(($D1258-$C1258+1)+8,"00"),"")&amp;IF($C1258&gt;=10,", "&amp;$A1258&amp;"-"&amp;TEXT(($D1258-$C1258+1)+9,"00"),"")&amp;IF($C1258&gt;=11,", "&amp;$A1258&amp;"-"&amp;TEXT(($D1258-$C1258+1)+10,"00"),"")&amp;IF($C1258&gt;=12,", "&amp;$A1258&amp;"-"&amp;TEXT(($D1258-$C1258+1)+11,"00"),"")&amp;IF($C1258&gt;=13,", "&amp;$A1258&amp;"-"&amp;TEXT(($D1258-$C1258+1)+12,"00"),"")&amp;IF($C1258&gt;=14,", "&amp;$A1258&amp;"-"&amp;TEXT(($D1258-$C1258+1)+13,"00"),"")&amp;IF($C1258&gt;=15,", "&amp;$A1258&amp;"-"&amp;TEXT(($D1258-$C1258+1)+14,"00"),"")&amp;IF($C1258&gt;=16,", "&amp;$A1258&amp;"-"&amp;TEXT(($D1258-$C1258+1)+15,"00"),"")&amp;IF($C1258&gt;=17,", "&amp;$A1258&amp;"-"&amp;TEXT(($D1258-$C1258+1)+16,"00"),"")&amp;IF($C1258&gt;=18,", "&amp;$A1258&amp;"-"&amp;TEXT(($D1258-$C1258+1)+17,"00"),"")&amp;IF($C1258&gt;=19,", "&amp;$A1258&amp;"-"&amp;TEXT(($D1258-$C1258+1)+18,"00"),"")&amp;IF($C1258&gt;=20,", "&amp;$A1258&amp;"-"&amp;TEXT(($D1258-$C1258+1)+19,"00"),"")&amp;IF($C1258&gt;=21,", "&amp;$A1258&amp;"-"&amp;TEXT(($D1258-$C1258+1)+20,"00"),"")&amp;IF($C1258&gt;=22,", "&amp;$A1258&amp;"-"&amp;TEXT(($D1258-$C1258+1)+21,"00"),"")&amp;IF($C1258&gt;=23,", "&amp;$A1258&amp;"-"&amp;TEXT(($D1258-$C1258+1)+22,"00"),"")&amp;IF($C1258&gt;=24,", "&amp;$A1258&amp;"-"&amp;TEXT(($D1258-$C1258+1)+23,"00"),"")&amp;IF($C1258&gt;=25,", "&amp;$A1258&amp;"-"&amp;TEXT(($D1258-$C1258+1)+24,"00"),""))</f>
        <v/>
      </c>
      <c r="G1258">
        <f>IF($A1258="","",IF($E1258=1,$F1258,IF($F1258="",$G1257,IF($G1257="",$F1258,$G1257&amp;", "&amp;$F1258))))</f>
        <v/>
      </c>
      <c r="H1258">
        <f>IF($A1258="","",$A1258&amp;" ("&amp;$C1258&amp;")")</f>
        <v/>
      </c>
      <c r="I1258">
        <f>IF($A1258="","",IF($E1258=1,$H1258,$I1257&amp;", "&amp;$H1258))</f>
        <v/>
      </c>
      <c r="J1258">
        <f>IF($A1258="","",IF($E1258=1,$B1258,""))</f>
        <v/>
      </c>
      <c r="K1258">
        <f>IF($A1258="","",IF(COUNTIF($B$2:$B1258,$B1258)=COUNTIF($B$2:$B$1601,$B1258),$B1258,""))</f>
        <v/>
      </c>
    </row>
    <row r="1259">
      <c r="A1259">
        <f>IF('TMP Paste'!$E1259="","",'TMP Paste'!$E1259)</f>
        <v/>
      </c>
      <c r="B1259">
        <f>IF($A1259="","",COUNTIF('TMP Paste'!$B$2:$B1259,"?*"))</f>
        <v/>
      </c>
      <c r="C1259">
        <f>IF($A1259="","",IFERROR('TMP Paste'!$M1259*1,0))</f>
        <v/>
      </c>
      <c r="D1259">
        <f>IF($A1259="","",SUMIF($B$2:$B1259,$B1259,$C$2:$C1259))</f>
        <v/>
      </c>
      <c r="E1259">
        <f>IF($A1259="",0,IF('TMP Paste'!$B1259="",0,1))</f>
        <v/>
      </c>
      <c r="F1259">
        <f>IF(OR($A1259="",$C1259&lt;1),"",$A1259&amp;"-"&amp;TEXT(($D1259-$C1259+1),"00")&amp;IF($C1259&gt;=2,", "&amp;$A1259&amp;"-"&amp;TEXT(($D1259-$C1259+1)+1,"00"),"")&amp;IF($C1259&gt;=3,", "&amp;$A1259&amp;"-"&amp;TEXT(($D1259-$C1259+1)+2,"00"),"")&amp;IF($C1259&gt;=4,", "&amp;$A1259&amp;"-"&amp;TEXT(($D1259-$C1259+1)+3,"00"),"")&amp;IF($C1259&gt;=5,", "&amp;$A1259&amp;"-"&amp;TEXT(($D1259-$C1259+1)+4,"00"),"")&amp;IF($C1259&gt;=6,", "&amp;$A1259&amp;"-"&amp;TEXT(($D1259-$C1259+1)+5,"00"),"")&amp;IF($C1259&gt;=7,", "&amp;$A1259&amp;"-"&amp;TEXT(($D1259-$C1259+1)+6,"00"),"")&amp;IF($C1259&gt;=8,", "&amp;$A1259&amp;"-"&amp;TEXT(($D1259-$C1259+1)+7,"00"),"")&amp;IF($C1259&gt;=9,", "&amp;$A1259&amp;"-"&amp;TEXT(($D1259-$C1259+1)+8,"00"),"")&amp;IF($C1259&gt;=10,", "&amp;$A1259&amp;"-"&amp;TEXT(($D1259-$C1259+1)+9,"00"),"")&amp;IF($C1259&gt;=11,", "&amp;$A1259&amp;"-"&amp;TEXT(($D1259-$C1259+1)+10,"00"),"")&amp;IF($C1259&gt;=12,", "&amp;$A1259&amp;"-"&amp;TEXT(($D1259-$C1259+1)+11,"00"),"")&amp;IF($C1259&gt;=13,", "&amp;$A1259&amp;"-"&amp;TEXT(($D1259-$C1259+1)+12,"00"),"")&amp;IF($C1259&gt;=14,", "&amp;$A1259&amp;"-"&amp;TEXT(($D1259-$C1259+1)+13,"00"),"")&amp;IF($C1259&gt;=15,", "&amp;$A1259&amp;"-"&amp;TEXT(($D1259-$C1259+1)+14,"00"),"")&amp;IF($C1259&gt;=16,", "&amp;$A1259&amp;"-"&amp;TEXT(($D1259-$C1259+1)+15,"00"),"")&amp;IF($C1259&gt;=17,", "&amp;$A1259&amp;"-"&amp;TEXT(($D1259-$C1259+1)+16,"00"),"")&amp;IF($C1259&gt;=18,", "&amp;$A1259&amp;"-"&amp;TEXT(($D1259-$C1259+1)+17,"00"),"")&amp;IF($C1259&gt;=19,", "&amp;$A1259&amp;"-"&amp;TEXT(($D1259-$C1259+1)+18,"00"),"")&amp;IF($C1259&gt;=20,", "&amp;$A1259&amp;"-"&amp;TEXT(($D1259-$C1259+1)+19,"00"),"")&amp;IF($C1259&gt;=21,", "&amp;$A1259&amp;"-"&amp;TEXT(($D1259-$C1259+1)+20,"00"),"")&amp;IF($C1259&gt;=22,", "&amp;$A1259&amp;"-"&amp;TEXT(($D1259-$C1259+1)+21,"00"),"")&amp;IF($C1259&gt;=23,", "&amp;$A1259&amp;"-"&amp;TEXT(($D1259-$C1259+1)+22,"00"),"")&amp;IF($C1259&gt;=24,", "&amp;$A1259&amp;"-"&amp;TEXT(($D1259-$C1259+1)+23,"00"),"")&amp;IF($C1259&gt;=25,", "&amp;$A1259&amp;"-"&amp;TEXT(($D1259-$C1259+1)+24,"00"),""))</f>
        <v/>
      </c>
      <c r="G1259">
        <f>IF($A1259="","",IF($E1259=1,$F1259,IF($F1259="",$G1258,IF($G1258="",$F1259,$G1258&amp;", "&amp;$F1259))))</f>
        <v/>
      </c>
      <c r="H1259">
        <f>IF($A1259="","",$A1259&amp;" ("&amp;$C1259&amp;")")</f>
        <v/>
      </c>
      <c r="I1259">
        <f>IF($A1259="","",IF($E1259=1,$H1259,$I1258&amp;", "&amp;$H1259))</f>
        <v/>
      </c>
      <c r="J1259">
        <f>IF($A1259="","",IF($E1259=1,$B1259,""))</f>
        <v/>
      </c>
      <c r="K1259">
        <f>IF($A1259="","",IF(COUNTIF($B$2:$B1259,$B1259)=COUNTIF($B$2:$B$1601,$B1259),$B1259,""))</f>
        <v/>
      </c>
    </row>
    <row r="1260">
      <c r="A1260">
        <f>IF('TMP Paste'!$E1260="","",'TMP Paste'!$E1260)</f>
        <v/>
      </c>
      <c r="B1260">
        <f>IF($A1260="","",COUNTIF('TMP Paste'!$B$2:$B1260,"?*"))</f>
        <v/>
      </c>
      <c r="C1260">
        <f>IF($A1260="","",IFERROR('TMP Paste'!$M1260*1,0))</f>
        <v/>
      </c>
      <c r="D1260">
        <f>IF($A1260="","",SUMIF($B$2:$B1260,$B1260,$C$2:$C1260))</f>
        <v/>
      </c>
      <c r="E1260">
        <f>IF($A1260="",0,IF('TMP Paste'!$B1260="",0,1))</f>
        <v/>
      </c>
      <c r="F1260">
        <f>IF(OR($A1260="",$C1260&lt;1),"",$A1260&amp;"-"&amp;TEXT(($D1260-$C1260+1),"00")&amp;IF($C1260&gt;=2,", "&amp;$A1260&amp;"-"&amp;TEXT(($D1260-$C1260+1)+1,"00"),"")&amp;IF($C1260&gt;=3,", "&amp;$A1260&amp;"-"&amp;TEXT(($D1260-$C1260+1)+2,"00"),"")&amp;IF($C1260&gt;=4,", "&amp;$A1260&amp;"-"&amp;TEXT(($D1260-$C1260+1)+3,"00"),"")&amp;IF($C1260&gt;=5,", "&amp;$A1260&amp;"-"&amp;TEXT(($D1260-$C1260+1)+4,"00"),"")&amp;IF($C1260&gt;=6,", "&amp;$A1260&amp;"-"&amp;TEXT(($D1260-$C1260+1)+5,"00"),"")&amp;IF($C1260&gt;=7,", "&amp;$A1260&amp;"-"&amp;TEXT(($D1260-$C1260+1)+6,"00"),"")&amp;IF($C1260&gt;=8,", "&amp;$A1260&amp;"-"&amp;TEXT(($D1260-$C1260+1)+7,"00"),"")&amp;IF($C1260&gt;=9,", "&amp;$A1260&amp;"-"&amp;TEXT(($D1260-$C1260+1)+8,"00"),"")&amp;IF($C1260&gt;=10,", "&amp;$A1260&amp;"-"&amp;TEXT(($D1260-$C1260+1)+9,"00"),"")&amp;IF($C1260&gt;=11,", "&amp;$A1260&amp;"-"&amp;TEXT(($D1260-$C1260+1)+10,"00"),"")&amp;IF($C1260&gt;=12,", "&amp;$A1260&amp;"-"&amp;TEXT(($D1260-$C1260+1)+11,"00"),"")&amp;IF($C1260&gt;=13,", "&amp;$A1260&amp;"-"&amp;TEXT(($D1260-$C1260+1)+12,"00"),"")&amp;IF($C1260&gt;=14,", "&amp;$A1260&amp;"-"&amp;TEXT(($D1260-$C1260+1)+13,"00"),"")&amp;IF($C1260&gt;=15,", "&amp;$A1260&amp;"-"&amp;TEXT(($D1260-$C1260+1)+14,"00"),"")&amp;IF($C1260&gt;=16,", "&amp;$A1260&amp;"-"&amp;TEXT(($D1260-$C1260+1)+15,"00"),"")&amp;IF($C1260&gt;=17,", "&amp;$A1260&amp;"-"&amp;TEXT(($D1260-$C1260+1)+16,"00"),"")&amp;IF($C1260&gt;=18,", "&amp;$A1260&amp;"-"&amp;TEXT(($D1260-$C1260+1)+17,"00"),"")&amp;IF($C1260&gt;=19,", "&amp;$A1260&amp;"-"&amp;TEXT(($D1260-$C1260+1)+18,"00"),"")&amp;IF($C1260&gt;=20,", "&amp;$A1260&amp;"-"&amp;TEXT(($D1260-$C1260+1)+19,"00"),"")&amp;IF($C1260&gt;=21,", "&amp;$A1260&amp;"-"&amp;TEXT(($D1260-$C1260+1)+20,"00"),"")&amp;IF($C1260&gt;=22,", "&amp;$A1260&amp;"-"&amp;TEXT(($D1260-$C1260+1)+21,"00"),"")&amp;IF($C1260&gt;=23,", "&amp;$A1260&amp;"-"&amp;TEXT(($D1260-$C1260+1)+22,"00"),"")&amp;IF($C1260&gt;=24,", "&amp;$A1260&amp;"-"&amp;TEXT(($D1260-$C1260+1)+23,"00"),"")&amp;IF($C1260&gt;=25,", "&amp;$A1260&amp;"-"&amp;TEXT(($D1260-$C1260+1)+24,"00"),""))</f>
        <v/>
      </c>
      <c r="G1260">
        <f>IF($A1260="","",IF($E1260=1,$F1260,IF($F1260="",$G1259,IF($G1259="",$F1260,$G1259&amp;", "&amp;$F1260))))</f>
        <v/>
      </c>
      <c r="H1260">
        <f>IF($A1260="","",$A1260&amp;" ("&amp;$C1260&amp;")")</f>
        <v/>
      </c>
      <c r="I1260">
        <f>IF($A1260="","",IF($E1260=1,$H1260,$I1259&amp;", "&amp;$H1260))</f>
        <v/>
      </c>
      <c r="J1260">
        <f>IF($A1260="","",IF($E1260=1,$B1260,""))</f>
        <v/>
      </c>
      <c r="K1260">
        <f>IF($A1260="","",IF(COUNTIF($B$2:$B1260,$B1260)=COUNTIF($B$2:$B$1601,$B1260),$B1260,""))</f>
        <v/>
      </c>
    </row>
    <row r="1261">
      <c r="A1261">
        <f>IF('TMP Paste'!$E1261="","",'TMP Paste'!$E1261)</f>
        <v/>
      </c>
      <c r="B1261">
        <f>IF($A1261="","",COUNTIF('TMP Paste'!$B$2:$B1261,"?*"))</f>
        <v/>
      </c>
      <c r="C1261">
        <f>IF($A1261="","",IFERROR('TMP Paste'!$M1261*1,0))</f>
        <v/>
      </c>
      <c r="D1261">
        <f>IF($A1261="","",SUMIF($B$2:$B1261,$B1261,$C$2:$C1261))</f>
        <v/>
      </c>
      <c r="E1261">
        <f>IF($A1261="",0,IF('TMP Paste'!$B1261="",0,1))</f>
        <v/>
      </c>
      <c r="F1261">
        <f>IF(OR($A1261="",$C1261&lt;1),"",$A1261&amp;"-"&amp;TEXT(($D1261-$C1261+1),"00")&amp;IF($C1261&gt;=2,", "&amp;$A1261&amp;"-"&amp;TEXT(($D1261-$C1261+1)+1,"00"),"")&amp;IF($C1261&gt;=3,", "&amp;$A1261&amp;"-"&amp;TEXT(($D1261-$C1261+1)+2,"00"),"")&amp;IF($C1261&gt;=4,", "&amp;$A1261&amp;"-"&amp;TEXT(($D1261-$C1261+1)+3,"00"),"")&amp;IF($C1261&gt;=5,", "&amp;$A1261&amp;"-"&amp;TEXT(($D1261-$C1261+1)+4,"00"),"")&amp;IF($C1261&gt;=6,", "&amp;$A1261&amp;"-"&amp;TEXT(($D1261-$C1261+1)+5,"00"),"")&amp;IF($C1261&gt;=7,", "&amp;$A1261&amp;"-"&amp;TEXT(($D1261-$C1261+1)+6,"00"),"")&amp;IF($C1261&gt;=8,", "&amp;$A1261&amp;"-"&amp;TEXT(($D1261-$C1261+1)+7,"00"),"")&amp;IF($C1261&gt;=9,", "&amp;$A1261&amp;"-"&amp;TEXT(($D1261-$C1261+1)+8,"00"),"")&amp;IF($C1261&gt;=10,", "&amp;$A1261&amp;"-"&amp;TEXT(($D1261-$C1261+1)+9,"00"),"")&amp;IF($C1261&gt;=11,", "&amp;$A1261&amp;"-"&amp;TEXT(($D1261-$C1261+1)+10,"00"),"")&amp;IF($C1261&gt;=12,", "&amp;$A1261&amp;"-"&amp;TEXT(($D1261-$C1261+1)+11,"00"),"")&amp;IF($C1261&gt;=13,", "&amp;$A1261&amp;"-"&amp;TEXT(($D1261-$C1261+1)+12,"00"),"")&amp;IF($C1261&gt;=14,", "&amp;$A1261&amp;"-"&amp;TEXT(($D1261-$C1261+1)+13,"00"),"")&amp;IF($C1261&gt;=15,", "&amp;$A1261&amp;"-"&amp;TEXT(($D1261-$C1261+1)+14,"00"),"")&amp;IF($C1261&gt;=16,", "&amp;$A1261&amp;"-"&amp;TEXT(($D1261-$C1261+1)+15,"00"),"")&amp;IF($C1261&gt;=17,", "&amp;$A1261&amp;"-"&amp;TEXT(($D1261-$C1261+1)+16,"00"),"")&amp;IF($C1261&gt;=18,", "&amp;$A1261&amp;"-"&amp;TEXT(($D1261-$C1261+1)+17,"00"),"")&amp;IF($C1261&gt;=19,", "&amp;$A1261&amp;"-"&amp;TEXT(($D1261-$C1261+1)+18,"00"),"")&amp;IF($C1261&gt;=20,", "&amp;$A1261&amp;"-"&amp;TEXT(($D1261-$C1261+1)+19,"00"),"")&amp;IF($C1261&gt;=21,", "&amp;$A1261&amp;"-"&amp;TEXT(($D1261-$C1261+1)+20,"00"),"")&amp;IF($C1261&gt;=22,", "&amp;$A1261&amp;"-"&amp;TEXT(($D1261-$C1261+1)+21,"00"),"")&amp;IF($C1261&gt;=23,", "&amp;$A1261&amp;"-"&amp;TEXT(($D1261-$C1261+1)+22,"00"),"")&amp;IF($C1261&gt;=24,", "&amp;$A1261&amp;"-"&amp;TEXT(($D1261-$C1261+1)+23,"00"),"")&amp;IF($C1261&gt;=25,", "&amp;$A1261&amp;"-"&amp;TEXT(($D1261-$C1261+1)+24,"00"),""))</f>
        <v/>
      </c>
      <c r="G1261">
        <f>IF($A1261="","",IF($E1261=1,$F1261,IF($F1261="",$G1260,IF($G1260="",$F1261,$G1260&amp;", "&amp;$F1261))))</f>
        <v/>
      </c>
      <c r="H1261">
        <f>IF($A1261="","",$A1261&amp;" ("&amp;$C1261&amp;")")</f>
        <v/>
      </c>
      <c r="I1261">
        <f>IF($A1261="","",IF($E1261=1,$H1261,$I1260&amp;", "&amp;$H1261))</f>
        <v/>
      </c>
      <c r="J1261">
        <f>IF($A1261="","",IF($E1261=1,$B1261,""))</f>
        <v/>
      </c>
      <c r="K1261">
        <f>IF($A1261="","",IF(COUNTIF($B$2:$B1261,$B1261)=COUNTIF($B$2:$B$1601,$B1261),$B1261,""))</f>
        <v/>
      </c>
    </row>
    <row r="1262">
      <c r="A1262">
        <f>IF('TMP Paste'!$E1262="","",'TMP Paste'!$E1262)</f>
        <v/>
      </c>
      <c r="B1262">
        <f>IF($A1262="","",COUNTIF('TMP Paste'!$B$2:$B1262,"?*"))</f>
        <v/>
      </c>
      <c r="C1262">
        <f>IF($A1262="","",IFERROR('TMP Paste'!$M1262*1,0))</f>
        <v/>
      </c>
      <c r="D1262">
        <f>IF($A1262="","",SUMIF($B$2:$B1262,$B1262,$C$2:$C1262))</f>
        <v/>
      </c>
      <c r="E1262">
        <f>IF($A1262="",0,IF('TMP Paste'!$B1262="",0,1))</f>
        <v/>
      </c>
      <c r="F1262">
        <f>IF(OR($A1262="",$C1262&lt;1),"",$A1262&amp;"-"&amp;TEXT(($D1262-$C1262+1),"00")&amp;IF($C1262&gt;=2,", "&amp;$A1262&amp;"-"&amp;TEXT(($D1262-$C1262+1)+1,"00"),"")&amp;IF($C1262&gt;=3,", "&amp;$A1262&amp;"-"&amp;TEXT(($D1262-$C1262+1)+2,"00"),"")&amp;IF($C1262&gt;=4,", "&amp;$A1262&amp;"-"&amp;TEXT(($D1262-$C1262+1)+3,"00"),"")&amp;IF($C1262&gt;=5,", "&amp;$A1262&amp;"-"&amp;TEXT(($D1262-$C1262+1)+4,"00"),"")&amp;IF($C1262&gt;=6,", "&amp;$A1262&amp;"-"&amp;TEXT(($D1262-$C1262+1)+5,"00"),"")&amp;IF($C1262&gt;=7,", "&amp;$A1262&amp;"-"&amp;TEXT(($D1262-$C1262+1)+6,"00"),"")&amp;IF($C1262&gt;=8,", "&amp;$A1262&amp;"-"&amp;TEXT(($D1262-$C1262+1)+7,"00"),"")&amp;IF($C1262&gt;=9,", "&amp;$A1262&amp;"-"&amp;TEXT(($D1262-$C1262+1)+8,"00"),"")&amp;IF($C1262&gt;=10,", "&amp;$A1262&amp;"-"&amp;TEXT(($D1262-$C1262+1)+9,"00"),"")&amp;IF($C1262&gt;=11,", "&amp;$A1262&amp;"-"&amp;TEXT(($D1262-$C1262+1)+10,"00"),"")&amp;IF($C1262&gt;=12,", "&amp;$A1262&amp;"-"&amp;TEXT(($D1262-$C1262+1)+11,"00"),"")&amp;IF($C1262&gt;=13,", "&amp;$A1262&amp;"-"&amp;TEXT(($D1262-$C1262+1)+12,"00"),"")&amp;IF($C1262&gt;=14,", "&amp;$A1262&amp;"-"&amp;TEXT(($D1262-$C1262+1)+13,"00"),"")&amp;IF($C1262&gt;=15,", "&amp;$A1262&amp;"-"&amp;TEXT(($D1262-$C1262+1)+14,"00"),"")&amp;IF($C1262&gt;=16,", "&amp;$A1262&amp;"-"&amp;TEXT(($D1262-$C1262+1)+15,"00"),"")&amp;IF($C1262&gt;=17,", "&amp;$A1262&amp;"-"&amp;TEXT(($D1262-$C1262+1)+16,"00"),"")&amp;IF($C1262&gt;=18,", "&amp;$A1262&amp;"-"&amp;TEXT(($D1262-$C1262+1)+17,"00"),"")&amp;IF($C1262&gt;=19,", "&amp;$A1262&amp;"-"&amp;TEXT(($D1262-$C1262+1)+18,"00"),"")&amp;IF($C1262&gt;=20,", "&amp;$A1262&amp;"-"&amp;TEXT(($D1262-$C1262+1)+19,"00"),"")&amp;IF($C1262&gt;=21,", "&amp;$A1262&amp;"-"&amp;TEXT(($D1262-$C1262+1)+20,"00"),"")&amp;IF($C1262&gt;=22,", "&amp;$A1262&amp;"-"&amp;TEXT(($D1262-$C1262+1)+21,"00"),"")&amp;IF($C1262&gt;=23,", "&amp;$A1262&amp;"-"&amp;TEXT(($D1262-$C1262+1)+22,"00"),"")&amp;IF($C1262&gt;=24,", "&amp;$A1262&amp;"-"&amp;TEXT(($D1262-$C1262+1)+23,"00"),"")&amp;IF($C1262&gt;=25,", "&amp;$A1262&amp;"-"&amp;TEXT(($D1262-$C1262+1)+24,"00"),""))</f>
        <v/>
      </c>
      <c r="G1262">
        <f>IF($A1262="","",IF($E1262=1,$F1262,IF($F1262="",$G1261,IF($G1261="",$F1262,$G1261&amp;", "&amp;$F1262))))</f>
        <v/>
      </c>
      <c r="H1262">
        <f>IF($A1262="","",$A1262&amp;" ("&amp;$C1262&amp;")")</f>
        <v/>
      </c>
      <c r="I1262">
        <f>IF($A1262="","",IF($E1262=1,$H1262,$I1261&amp;", "&amp;$H1262))</f>
        <v/>
      </c>
      <c r="J1262">
        <f>IF($A1262="","",IF($E1262=1,$B1262,""))</f>
        <v/>
      </c>
      <c r="K1262">
        <f>IF($A1262="","",IF(COUNTIF($B$2:$B1262,$B1262)=COUNTIF($B$2:$B$1601,$B1262),$B1262,""))</f>
        <v/>
      </c>
    </row>
    <row r="1263">
      <c r="A1263">
        <f>IF('TMP Paste'!$E1263="","",'TMP Paste'!$E1263)</f>
        <v/>
      </c>
      <c r="B1263">
        <f>IF($A1263="","",COUNTIF('TMP Paste'!$B$2:$B1263,"?*"))</f>
        <v/>
      </c>
      <c r="C1263">
        <f>IF($A1263="","",IFERROR('TMP Paste'!$M1263*1,0))</f>
        <v/>
      </c>
      <c r="D1263">
        <f>IF($A1263="","",SUMIF($B$2:$B1263,$B1263,$C$2:$C1263))</f>
        <v/>
      </c>
      <c r="E1263">
        <f>IF($A1263="",0,IF('TMP Paste'!$B1263="",0,1))</f>
        <v/>
      </c>
      <c r="F1263">
        <f>IF(OR($A1263="",$C1263&lt;1),"",$A1263&amp;"-"&amp;TEXT(($D1263-$C1263+1),"00")&amp;IF($C1263&gt;=2,", "&amp;$A1263&amp;"-"&amp;TEXT(($D1263-$C1263+1)+1,"00"),"")&amp;IF($C1263&gt;=3,", "&amp;$A1263&amp;"-"&amp;TEXT(($D1263-$C1263+1)+2,"00"),"")&amp;IF($C1263&gt;=4,", "&amp;$A1263&amp;"-"&amp;TEXT(($D1263-$C1263+1)+3,"00"),"")&amp;IF($C1263&gt;=5,", "&amp;$A1263&amp;"-"&amp;TEXT(($D1263-$C1263+1)+4,"00"),"")&amp;IF($C1263&gt;=6,", "&amp;$A1263&amp;"-"&amp;TEXT(($D1263-$C1263+1)+5,"00"),"")&amp;IF($C1263&gt;=7,", "&amp;$A1263&amp;"-"&amp;TEXT(($D1263-$C1263+1)+6,"00"),"")&amp;IF($C1263&gt;=8,", "&amp;$A1263&amp;"-"&amp;TEXT(($D1263-$C1263+1)+7,"00"),"")&amp;IF($C1263&gt;=9,", "&amp;$A1263&amp;"-"&amp;TEXT(($D1263-$C1263+1)+8,"00"),"")&amp;IF($C1263&gt;=10,", "&amp;$A1263&amp;"-"&amp;TEXT(($D1263-$C1263+1)+9,"00"),"")&amp;IF($C1263&gt;=11,", "&amp;$A1263&amp;"-"&amp;TEXT(($D1263-$C1263+1)+10,"00"),"")&amp;IF($C1263&gt;=12,", "&amp;$A1263&amp;"-"&amp;TEXT(($D1263-$C1263+1)+11,"00"),"")&amp;IF($C1263&gt;=13,", "&amp;$A1263&amp;"-"&amp;TEXT(($D1263-$C1263+1)+12,"00"),"")&amp;IF($C1263&gt;=14,", "&amp;$A1263&amp;"-"&amp;TEXT(($D1263-$C1263+1)+13,"00"),"")&amp;IF($C1263&gt;=15,", "&amp;$A1263&amp;"-"&amp;TEXT(($D1263-$C1263+1)+14,"00"),"")&amp;IF($C1263&gt;=16,", "&amp;$A1263&amp;"-"&amp;TEXT(($D1263-$C1263+1)+15,"00"),"")&amp;IF($C1263&gt;=17,", "&amp;$A1263&amp;"-"&amp;TEXT(($D1263-$C1263+1)+16,"00"),"")&amp;IF($C1263&gt;=18,", "&amp;$A1263&amp;"-"&amp;TEXT(($D1263-$C1263+1)+17,"00"),"")&amp;IF($C1263&gt;=19,", "&amp;$A1263&amp;"-"&amp;TEXT(($D1263-$C1263+1)+18,"00"),"")&amp;IF($C1263&gt;=20,", "&amp;$A1263&amp;"-"&amp;TEXT(($D1263-$C1263+1)+19,"00"),"")&amp;IF($C1263&gt;=21,", "&amp;$A1263&amp;"-"&amp;TEXT(($D1263-$C1263+1)+20,"00"),"")&amp;IF($C1263&gt;=22,", "&amp;$A1263&amp;"-"&amp;TEXT(($D1263-$C1263+1)+21,"00"),"")&amp;IF($C1263&gt;=23,", "&amp;$A1263&amp;"-"&amp;TEXT(($D1263-$C1263+1)+22,"00"),"")&amp;IF($C1263&gt;=24,", "&amp;$A1263&amp;"-"&amp;TEXT(($D1263-$C1263+1)+23,"00"),"")&amp;IF($C1263&gt;=25,", "&amp;$A1263&amp;"-"&amp;TEXT(($D1263-$C1263+1)+24,"00"),""))</f>
        <v/>
      </c>
      <c r="G1263">
        <f>IF($A1263="","",IF($E1263=1,$F1263,IF($F1263="",$G1262,IF($G1262="",$F1263,$G1262&amp;", "&amp;$F1263))))</f>
        <v/>
      </c>
      <c r="H1263">
        <f>IF($A1263="","",$A1263&amp;" ("&amp;$C1263&amp;")")</f>
        <v/>
      </c>
      <c r="I1263">
        <f>IF($A1263="","",IF($E1263=1,$H1263,$I1262&amp;", "&amp;$H1263))</f>
        <v/>
      </c>
      <c r="J1263">
        <f>IF($A1263="","",IF($E1263=1,$B1263,""))</f>
        <v/>
      </c>
      <c r="K1263">
        <f>IF($A1263="","",IF(COUNTIF($B$2:$B1263,$B1263)=COUNTIF($B$2:$B$1601,$B1263),$B1263,""))</f>
        <v/>
      </c>
    </row>
    <row r="1264">
      <c r="A1264">
        <f>IF('TMP Paste'!$E1264="","",'TMP Paste'!$E1264)</f>
        <v/>
      </c>
      <c r="B1264">
        <f>IF($A1264="","",COUNTIF('TMP Paste'!$B$2:$B1264,"?*"))</f>
        <v/>
      </c>
      <c r="C1264">
        <f>IF($A1264="","",IFERROR('TMP Paste'!$M1264*1,0))</f>
        <v/>
      </c>
      <c r="D1264">
        <f>IF($A1264="","",SUMIF($B$2:$B1264,$B1264,$C$2:$C1264))</f>
        <v/>
      </c>
      <c r="E1264">
        <f>IF($A1264="",0,IF('TMP Paste'!$B1264="",0,1))</f>
        <v/>
      </c>
      <c r="F1264">
        <f>IF(OR($A1264="",$C1264&lt;1),"",$A1264&amp;"-"&amp;TEXT(($D1264-$C1264+1),"00")&amp;IF($C1264&gt;=2,", "&amp;$A1264&amp;"-"&amp;TEXT(($D1264-$C1264+1)+1,"00"),"")&amp;IF($C1264&gt;=3,", "&amp;$A1264&amp;"-"&amp;TEXT(($D1264-$C1264+1)+2,"00"),"")&amp;IF($C1264&gt;=4,", "&amp;$A1264&amp;"-"&amp;TEXT(($D1264-$C1264+1)+3,"00"),"")&amp;IF($C1264&gt;=5,", "&amp;$A1264&amp;"-"&amp;TEXT(($D1264-$C1264+1)+4,"00"),"")&amp;IF($C1264&gt;=6,", "&amp;$A1264&amp;"-"&amp;TEXT(($D1264-$C1264+1)+5,"00"),"")&amp;IF($C1264&gt;=7,", "&amp;$A1264&amp;"-"&amp;TEXT(($D1264-$C1264+1)+6,"00"),"")&amp;IF($C1264&gt;=8,", "&amp;$A1264&amp;"-"&amp;TEXT(($D1264-$C1264+1)+7,"00"),"")&amp;IF($C1264&gt;=9,", "&amp;$A1264&amp;"-"&amp;TEXT(($D1264-$C1264+1)+8,"00"),"")&amp;IF($C1264&gt;=10,", "&amp;$A1264&amp;"-"&amp;TEXT(($D1264-$C1264+1)+9,"00"),"")&amp;IF($C1264&gt;=11,", "&amp;$A1264&amp;"-"&amp;TEXT(($D1264-$C1264+1)+10,"00"),"")&amp;IF($C1264&gt;=12,", "&amp;$A1264&amp;"-"&amp;TEXT(($D1264-$C1264+1)+11,"00"),"")&amp;IF($C1264&gt;=13,", "&amp;$A1264&amp;"-"&amp;TEXT(($D1264-$C1264+1)+12,"00"),"")&amp;IF($C1264&gt;=14,", "&amp;$A1264&amp;"-"&amp;TEXT(($D1264-$C1264+1)+13,"00"),"")&amp;IF($C1264&gt;=15,", "&amp;$A1264&amp;"-"&amp;TEXT(($D1264-$C1264+1)+14,"00"),"")&amp;IF($C1264&gt;=16,", "&amp;$A1264&amp;"-"&amp;TEXT(($D1264-$C1264+1)+15,"00"),"")&amp;IF($C1264&gt;=17,", "&amp;$A1264&amp;"-"&amp;TEXT(($D1264-$C1264+1)+16,"00"),"")&amp;IF($C1264&gt;=18,", "&amp;$A1264&amp;"-"&amp;TEXT(($D1264-$C1264+1)+17,"00"),"")&amp;IF($C1264&gt;=19,", "&amp;$A1264&amp;"-"&amp;TEXT(($D1264-$C1264+1)+18,"00"),"")&amp;IF($C1264&gt;=20,", "&amp;$A1264&amp;"-"&amp;TEXT(($D1264-$C1264+1)+19,"00"),"")&amp;IF($C1264&gt;=21,", "&amp;$A1264&amp;"-"&amp;TEXT(($D1264-$C1264+1)+20,"00"),"")&amp;IF($C1264&gt;=22,", "&amp;$A1264&amp;"-"&amp;TEXT(($D1264-$C1264+1)+21,"00"),"")&amp;IF($C1264&gt;=23,", "&amp;$A1264&amp;"-"&amp;TEXT(($D1264-$C1264+1)+22,"00"),"")&amp;IF($C1264&gt;=24,", "&amp;$A1264&amp;"-"&amp;TEXT(($D1264-$C1264+1)+23,"00"),"")&amp;IF($C1264&gt;=25,", "&amp;$A1264&amp;"-"&amp;TEXT(($D1264-$C1264+1)+24,"00"),""))</f>
        <v/>
      </c>
      <c r="G1264">
        <f>IF($A1264="","",IF($E1264=1,$F1264,IF($F1264="",$G1263,IF($G1263="",$F1264,$G1263&amp;", "&amp;$F1264))))</f>
        <v/>
      </c>
      <c r="H1264">
        <f>IF($A1264="","",$A1264&amp;" ("&amp;$C1264&amp;")")</f>
        <v/>
      </c>
      <c r="I1264">
        <f>IF($A1264="","",IF($E1264=1,$H1264,$I1263&amp;", "&amp;$H1264))</f>
        <v/>
      </c>
      <c r="J1264">
        <f>IF($A1264="","",IF($E1264=1,$B1264,""))</f>
        <v/>
      </c>
      <c r="K1264">
        <f>IF($A1264="","",IF(COUNTIF($B$2:$B1264,$B1264)=COUNTIF($B$2:$B$1601,$B1264),$B1264,""))</f>
        <v/>
      </c>
    </row>
    <row r="1265">
      <c r="A1265">
        <f>IF('TMP Paste'!$E1265="","",'TMP Paste'!$E1265)</f>
        <v/>
      </c>
      <c r="B1265">
        <f>IF($A1265="","",COUNTIF('TMP Paste'!$B$2:$B1265,"?*"))</f>
        <v/>
      </c>
      <c r="C1265">
        <f>IF($A1265="","",IFERROR('TMP Paste'!$M1265*1,0))</f>
        <v/>
      </c>
      <c r="D1265">
        <f>IF($A1265="","",SUMIF($B$2:$B1265,$B1265,$C$2:$C1265))</f>
        <v/>
      </c>
      <c r="E1265">
        <f>IF($A1265="",0,IF('TMP Paste'!$B1265="",0,1))</f>
        <v/>
      </c>
      <c r="F1265">
        <f>IF(OR($A1265="",$C1265&lt;1),"",$A1265&amp;"-"&amp;TEXT(($D1265-$C1265+1),"00")&amp;IF($C1265&gt;=2,", "&amp;$A1265&amp;"-"&amp;TEXT(($D1265-$C1265+1)+1,"00"),"")&amp;IF($C1265&gt;=3,", "&amp;$A1265&amp;"-"&amp;TEXT(($D1265-$C1265+1)+2,"00"),"")&amp;IF($C1265&gt;=4,", "&amp;$A1265&amp;"-"&amp;TEXT(($D1265-$C1265+1)+3,"00"),"")&amp;IF($C1265&gt;=5,", "&amp;$A1265&amp;"-"&amp;TEXT(($D1265-$C1265+1)+4,"00"),"")&amp;IF($C1265&gt;=6,", "&amp;$A1265&amp;"-"&amp;TEXT(($D1265-$C1265+1)+5,"00"),"")&amp;IF($C1265&gt;=7,", "&amp;$A1265&amp;"-"&amp;TEXT(($D1265-$C1265+1)+6,"00"),"")&amp;IF($C1265&gt;=8,", "&amp;$A1265&amp;"-"&amp;TEXT(($D1265-$C1265+1)+7,"00"),"")&amp;IF($C1265&gt;=9,", "&amp;$A1265&amp;"-"&amp;TEXT(($D1265-$C1265+1)+8,"00"),"")&amp;IF($C1265&gt;=10,", "&amp;$A1265&amp;"-"&amp;TEXT(($D1265-$C1265+1)+9,"00"),"")&amp;IF($C1265&gt;=11,", "&amp;$A1265&amp;"-"&amp;TEXT(($D1265-$C1265+1)+10,"00"),"")&amp;IF($C1265&gt;=12,", "&amp;$A1265&amp;"-"&amp;TEXT(($D1265-$C1265+1)+11,"00"),"")&amp;IF($C1265&gt;=13,", "&amp;$A1265&amp;"-"&amp;TEXT(($D1265-$C1265+1)+12,"00"),"")&amp;IF($C1265&gt;=14,", "&amp;$A1265&amp;"-"&amp;TEXT(($D1265-$C1265+1)+13,"00"),"")&amp;IF($C1265&gt;=15,", "&amp;$A1265&amp;"-"&amp;TEXT(($D1265-$C1265+1)+14,"00"),"")&amp;IF($C1265&gt;=16,", "&amp;$A1265&amp;"-"&amp;TEXT(($D1265-$C1265+1)+15,"00"),"")&amp;IF($C1265&gt;=17,", "&amp;$A1265&amp;"-"&amp;TEXT(($D1265-$C1265+1)+16,"00"),"")&amp;IF($C1265&gt;=18,", "&amp;$A1265&amp;"-"&amp;TEXT(($D1265-$C1265+1)+17,"00"),"")&amp;IF($C1265&gt;=19,", "&amp;$A1265&amp;"-"&amp;TEXT(($D1265-$C1265+1)+18,"00"),"")&amp;IF($C1265&gt;=20,", "&amp;$A1265&amp;"-"&amp;TEXT(($D1265-$C1265+1)+19,"00"),"")&amp;IF($C1265&gt;=21,", "&amp;$A1265&amp;"-"&amp;TEXT(($D1265-$C1265+1)+20,"00"),"")&amp;IF($C1265&gt;=22,", "&amp;$A1265&amp;"-"&amp;TEXT(($D1265-$C1265+1)+21,"00"),"")&amp;IF($C1265&gt;=23,", "&amp;$A1265&amp;"-"&amp;TEXT(($D1265-$C1265+1)+22,"00"),"")&amp;IF($C1265&gt;=24,", "&amp;$A1265&amp;"-"&amp;TEXT(($D1265-$C1265+1)+23,"00"),"")&amp;IF($C1265&gt;=25,", "&amp;$A1265&amp;"-"&amp;TEXT(($D1265-$C1265+1)+24,"00"),""))</f>
        <v/>
      </c>
      <c r="G1265">
        <f>IF($A1265="","",IF($E1265=1,$F1265,IF($F1265="",$G1264,IF($G1264="",$F1265,$G1264&amp;", "&amp;$F1265))))</f>
        <v/>
      </c>
      <c r="H1265">
        <f>IF($A1265="","",$A1265&amp;" ("&amp;$C1265&amp;")")</f>
        <v/>
      </c>
      <c r="I1265">
        <f>IF($A1265="","",IF($E1265=1,$H1265,$I1264&amp;", "&amp;$H1265))</f>
        <v/>
      </c>
      <c r="J1265">
        <f>IF($A1265="","",IF($E1265=1,$B1265,""))</f>
        <v/>
      </c>
      <c r="K1265">
        <f>IF($A1265="","",IF(COUNTIF($B$2:$B1265,$B1265)=COUNTIF($B$2:$B$1601,$B1265),$B1265,""))</f>
        <v/>
      </c>
    </row>
    <row r="1266">
      <c r="A1266">
        <f>IF('TMP Paste'!$E1266="","",'TMP Paste'!$E1266)</f>
        <v/>
      </c>
      <c r="B1266">
        <f>IF($A1266="","",COUNTIF('TMP Paste'!$B$2:$B1266,"?*"))</f>
        <v/>
      </c>
      <c r="C1266">
        <f>IF($A1266="","",IFERROR('TMP Paste'!$M1266*1,0))</f>
        <v/>
      </c>
      <c r="D1266">
        <f>IF($A1266="","",SUMIF($B$2:$B1266,$B1266,$C$2:$C1266))</f>
        <v/>
      </c>
      <c r="E1266">
        <f>IF($A1266="",0,IF('TMP Paste'!$B1266="",0,1))</f>
        <v/>
      </c>
      <c r="F1266">
        <f>IF(OR($A1266="",$C1266&lt;1),"",$A1266&amp;"-"&amp;TEXT(($D1266-$C1266+1),"00")&amp;IF($C1266&gt;=2,", "&amp;$A1266&amp;"-"&amp;TEXT(($D1266-$C1266+1)+1,"00"),"")&amp;IF($C1266&gt;=3,", "&amp;$A1266&amp;"-"&amp;TEXT(($D1266-$C1266+1)+2,"00"),"")&amp;IF($C1266&gt;=4,", "&amp;$A1266&amp;"-"&amp;TEXT(($D1266-$C1266+1)+3,"00"),"")&amp;IF($C1266&gt;=5,", "&amp;$A1266&amp;"-"&amp;TEXT(($D1266-$C1266+1)+4,"00"),"")&amp;IF($C1266&gt;=6,", "&amp;$A1266&amp;"-"&amp;TEXT(($D1266-$C1266+1)+5,"00"),"")&amp;IF($C1266&gt;=7,", "&amp;$A1266&amp;"-"&amp;TEXT(($D1266-$C1266+1)+6,"00"),"")&amp;IF($C1266&gt;=8,", "&amp;$A1266&amp;"-"&amp;TEXT(($D1266-$C1266+1)+7,"00"),"")&amp;IF($C1266&gt;=9,", "&amp;$A1266&amp;"-"&amp;TEXT(($D1266-$C1266+1)+8,"00"),"")&amp;IF($C1266&gt;=10,", "&amp;$A1266&amp;"-"&amp;TEXT(($D1266-$C1266+1)+9,"00"),"")&amp;IF($C1266&gt;=11,", "&amp;$A1266&amp;"-"&amp;TEXT(($D1266-$C1266+1)+10,"00"),"")&amp;IF($C1266&gt;=12,", "&amp;$A1266&amp;"-"&amp;TEXT(($D1266-$C1266+1)+11,"00"),"")&amp;IF($C1266&gt;=13,", "&amp;$A1266&amp;"-"&amp;TEXT(($D1266-$C1266+1)+12,"00"),"")&amp;IF($C1266&gt;=14,", "&amp;$A1266&amp;"-"&amp;TEXT(($D1266-$C1266+1)+13,"00"),"")&amp;IF($C1266&gt;=15,", "&amp;$A1266&amp;"-"&amp;TEXT(($D1266-$C1266+1)+14,"00"),"")&amp;IF($C1266&gt;=16,", "&amp;$A1266&amp;"-"&amp;TEXT(($D1266-$C1266+1)+15,"00"),"")&amp;IF($C1266&gt;=17,", "&amp;$A1266&amp;"-"&amp;TEXT(($D1266-$C1266+1)+16,"00"),"")&amp;IF($C1266&gt;=18,", "&amp;$A1266&amp;"-"&amp;TEXT(($D1266-$C1266+1)+17,"00"),"")&amp;IF($C1266&gt;=19,", "&amp;$A1266&amp;"-"&amp;TEXT(($D1266-$C1266+1)+18,"00"),"")&amp;IF($C1266&gt;=20,", "&amp;$A1266&amp;"-"&amp;TEXT(($D1266-$C1266+1)+19,"00"),"")&amp;IF($C1266&gt;=21,", "&amp;$A1266&amp;"-"&amp;TEXT(($D1266-$C1266+1)+20,"00"),"")&amp;IF($C1266&gt;=22,", "&amp;$A1266&amp;"-"&amp;TEXT(($D1266-$C1266+1)+21,"00"),"")&amp;IF($C1266&gt;=23,", "&amp;$A1266&amp;"-"&amp;TEXT(($D1266-$C1266+1)+22,"00"),"")&amp;IF($C1266&gt;=24,", "&amp;$A1266&amp;"-"&amp;TEXT(($D1266-$C1266+1)+23,"00"),"")&amp;IF($C1266&gt;=25,", "&amp;$A1266&amp;"-"&amp;TEXT(($D1266-$C1266+1)+24,"00"),""))</f>
        <v/>
      </c>
      <c r="G1266">
        <f>IF($A1266="","",IF($E1266=1,$F1266,IF($F1266="",$G1265,IF($G1265="",$F1266,$G1265&amp;", "&amp;$F1266))))</f>
        <v/>
      </c>
      <c r="H1266">
        <f>IF($A1266="","",$A1266&amp;" ("&amp;$C1266&amp;")")</f>
        <v/>
      </c>
      <c r="I1266">
        <f>IF($A1266="","",IF($E1266=1,$H1266,$I1265&amp;", "&amp;$H1266))</f>
        <v/>
      </c>
      <c r="J1266">
        <f>IF($A1266="","",IF($E1266=1,$B1266,""))</f>
        <v/>
      </c>
      <c r="K1266">
        <f>IF($A1266="","",IF(COUNTIF($B$2:$B1266,$B1266)=COUNTIF($B$2:$B$1601,$B1266),$B1266,""))</f>
        <v/>
      </c>
    </row>
    <row r="1267">
      <c r="A1267">
        <f>IF('TMP Paste'!$E1267="","",'TMP Paste'!$E1267)</f>
        <v/>
      </c>
      <c r="B1267">
        <f>IF($A1267="","",COUNTIF('TMP Paste'!$B$2:$B1267,"?*"))</f>
        <v/>
      </c>
      <c r="C1267">
        <f>IF($A1267="","",IFERROR('TMP Paste'!$M1267*1,0))</f>
        <v/>
      </c>
      <c r="D1267">
        <f>IF($A1267="","",SUMIF($B$2:$B1267,$B1267,$C$2:$C1267))</f>
        <v/>
      </c>
      <c r="E1267">
        <f>IF($A1267="",0,IF('TMP Paste'!$B1267="",0,1))</f>
        <v/>
      </c>
      <c r="F1267">
        <f>IF(OR($A1267="",$C1267&lt;1),"",$A1267&amp;"-"&amp;TEXT(($D1267-$C1267+1),"00")&amp;IF($C1267&gt;=2,", "&amp;$A1267&amp;"-"&amp;TEXT(($D1267-$C1267+1)+1,"00"),"")&amp;IF($C1267&gt;=3,", "&amp;$A1267&amp;"-"&amp;TEXT(($D1267-$C1267+1)+2,"00"),"")&amp;IF($C1267&gt;=4,", "&amp;$A1267&amp;"-"&amp;TEXT(($D1267-$C1267+1)+3,"00"),"")&amp;IF($C1267&gt;=5,", "&amp;$A1267&amp;"-"&amp;TEXT(($D1267-$C1267+1)+4,"00"),"")&amp;IF($C1267&gt;=6,", "&amp;$A1267&amp;"-"&amp;TEXT(($D1267-$C1267+1)+5,"00"),"")&amp;IF($C1267&gt;=7,", "&amp;$A1267&amp;"-"&amp;TEXT(($D1267-$C1267+1)+6,"00"),"")&amp;IF($C1267&gt;=8,", "&amp;$A1267&amp;"-"&amp;TEXT(($D1267-$C1267+1)+7,"00"),"")&amp;IF($C1267&gt;=9,", "&amp;$A1267&amp;"-"&amp;TEXT(($D1267-$C1267+1)+8,"00"),"")&amp;IF($C1267&gt;=10,", "&amp;$A1267&amp;"-"&amp;TEXT(($D1267-$C1267+1)+9,"00"),"")&amp;IF($C1267&gt;=11,", "&amp;$A1267&amp;"-"&amp;TEXT(($D1267-$C1267+1)+10,"00"),"")&amp;IF($C1267&gt;=12,", "&amp;$A1267&amp;"-"&amp;TEXT(($D1267-$C1267+1)+11,"00"),"")&amp;IF($C1267&gt;=13,", "&amp;$A1267&amp;"-"&amp;TEXT(($D1267-$C1267+1)+12,"00"),"")&amp;IF($C1267&gt;=14,", "&amp;$A1267&amp;"-"&amp;TEXT(($D1267-$C1267+1)+13,"00"),"")&amp;IF($C1267&gt;=15,", "&amp;$A1267&amp;"-"&amp;TEXT(($D1267-$C1267+1)+14,"00"),"")&amp;IF($C1267&gt;=16,", "&amp;$A1267&amp;"-"&amp;TEXT(($D1267-$C1267+1)+15,"00"),"")&amp;IF($C1267&gt;=17,", "&amp;$A1267&amp;"-"&amp;TEXT(($D1267-$C1267+1)+16,"00"),"")&amp;IF($C1267&gt;=18,", "&amp;$A1267&amp;"-"&amp;TEXT(($D1267-$C1267+1)+17,"00"),"")&amp;IF($C1267&gt;=19,", "&amp;$A1267&amp;"-"&amp;TEXT(($D1267-$C1267+1)+18,"00"),"")&amp;IF($C1267&gt;=20,", "&amp;$A1267&amp;"-"&amp;TEXT(($D1267-$C1267+1)+19,"00"),"")&amp;IF($C1267&gt;=21,", "&amp;$A1267&amp;"-"&amp;TEXT(($D1267-$C1267+1)+20,"00"),"")&amp;IF($C1267&gt;=22,", "&amp;$A1267&amp;"-"&amp;TEXT(($D1267-$C1267+1)+21,"00"),"")&amp;IF($C1267&gt;=23,", "&amp;$A1267&amp;"-"&amp;TEXT(($D1267-$C1267+1)+22,"00"),"")&amp;IF($C1267&gt;=24,", "&amp;$A1267&amp;"-"&amp;TEXT(($D1267-$C1267+1)+23,"00"),"")&amp;IF($C1267&gt;=25,", "&amp;$A1267&amp;"-"&amp;TEXT(($D1267-$C1267+1)+24,"00"),""))</f>
        <v/>
      </c>
      <c r="G1267">
        <f>IF($A1267="","",IF($E1267=1,$F1267,IF($F1267="",$G1266,IF($G1266="",$F1267,$G1266&amp;", "&amp;$F1267))))</f>
        <v/>
      </c>
      <c r="H1267">
        <f>IF($A1267="","",$A1267&amp;" ("&amp;$C1267&amp;")")</f>
        <v/>
      </c>
      <c r="I1267">
        <f>IF($A1267="","",IF($E1267=1,$H1267,$I1266&amp;", "&amp;$H1267))</f>
        <v/>
      </c>
      <c r="J1267">
        <f>IF($A1267="","",IF($E1267=1,$B1267,""))</f>
        <v/>
      </c>
      <c r="K1267">
        <f>IF($A1267="","",IF(COUNTIF($B$2:$B1267,$B1267)=COUNTIF($B$2:$B$1601,$B1267),$B1267,""))</f>
        <v/>
      </c>
    </row>
    <row r="1268">
      <c r="A1268">
        <f>IF('TMP Paste'!$E1268="","",'TMP Paste'!$E1268)</f>
        <v/>
      </c>
      <c r="B1268">
        <f>IF($A1268="","",COUNTIF('TMP Paste'!$B$2:$B1268,"?*"))</f>
        <v/>
      </c>
      <c r="C1268">
        <f>IF($A1268="","",IFERROR('TMP Paste'!$M1268*1,0))</f>
        <v/>
      </c>
      <c r="D1268">
        <f>IF($A1268="","",SUMIF($B$2:$B1268,$B1268,$C$2:$C1268))</f>
        <v/>
      </c>
      <c r="E1268">
        <f>IF($A1268="",0,IF('TMP Paste'!$B1268="",0,1))</f>
        <v/>
      </c>
      <c r="F1268">
        <f>IF(OR($A1268="",$C1268&lt;1),"",$A1268&amp;"-"&amp;TEXT(($D1268-$C1268+1),"00")&amp;IF($C1268&gt;=2,", "&amp;$A1268&amp;"-"&amp;TEXT(($D1268-$C1268+1)+1,"00"),"")&amp;IF($C1268&gt;=3,", "&amp;$A1268&amp;"-"&amp;TEXT(($D1268-$C1268+1)+2,"00"),"")&amp;IF($C1268&gt;=4,", "&amp;$A1268&amp;"-"&amp;TEXT(($D1268-$C1268+1)+3,"00"),"")&amp;IF($C1268&gt;=5,", "&amp;$A1268&amp;"-"&amp;TEXT(($D1268-$C1268+1)+4,"00"),"")&amp;IF($C1268&gt;=6,", "&amp;$A1268&amp;"-"&amp;TEXT(($D1268-$C1268+1)+5,"00"),"")&amp;IF($C1268&gt;=7,", "&amp;$A1268&amp;"-"&amp;TEXT(($D1268-$C1268+1)+6,"00"),"")&amp;IF($C1268&gt;=8,", "&amp;$A1268&amp;"-"&amp;TEXT(($D1268-$C1268+1)+7,"00"),"")&amp;IF($C1268&gt;=9,", "&amp;$A1268&amp;"-"&amp;TEXT(($D1268-$C1268+1)+8,"00"),"")&amp;IF($C1268&gt;=10,", "&amp;$A1268&amp;"-"&amp;TEXT(($D1268-$C1268+1)+9,"00"),"")&amp;IF($C1268&gt;=11,", "&amp;$A1268&amp;"-"&amp;TEXT(($D1268-$C1268+1)+10,"00"),"")&amp;IF($C1268&gt;=12,", "&amp;$A1268&amp;"-"&amp;TEXT(($D1268-$C1268+1)+11,"00"),"")&amp;IF($C1268&gt;=13,", "&amp;$A1268&amp;"-"&amp;TEXT(($D1268-$C1268+1)+12,"00"),"")&amp;IF($C1268&gt;=14,", "&amp;$A1268&amp;"-"&amp;TEXT(($D1268-$C1268+1)+13,"00"),"")&amp;IF($C1268&gt;=15,", "&amp;$A1268&amp;"-"&amp;TEXT(($D1268-$C1268+1)+14,"00"),"")&amp;IF($C1268&gt;=16,", "&amp;$A1268&amp;"-"&amp;TEXT(($D1268-$C1268+1)+15,"00"),"")&amp;IF($C1268&gt;=17,", "&amp;$A1268&amp;"-"&amp;TEXT(($D1268-$C1268+1)+16,"00"),"")&amp;IF($C1268&gt;=18,", "&amp;$A1268&amp;"-"&amp;TEXT(($D1268-$C1268+1)+17,"00"),"")&amp;IF($C1268&gt;=19,", "&amp;$A1268&amp;"-"&amp;TEXT(($D1268-$C1268+1)+18,"00"),"")&amp;IF($C1268&gt;=20,", "&amp;$A1268&amp;"-"&amp;TEXT(($D1268-$C1268+1)+19,"00"),"")&amp;IF($C1268&gt;=21,", "&amp;$A1268&amp;"-"&amp;TEXT(($D1268-$C1268+1)+20,"00"),"")&amp;IF($C1268&gt;=22,", "&amp;$A1268&amp;"-"&amp;TEXT(($D1268-$C1268+1)+21,"00"),"")&amp;IF($C1268&gt;=23,", "&amp;$A1268&amp;"-"&amp;TEXT(($D1268-$C1268+1)+22,"00"),"")&amp;IF($C1268&gt;=24,", "&amp;$A1268&amp;"-"&amp;TEXT(($D1268-$C1268+1)+23,"00"),"")&amp;IF($C1268&gt;=25,", "&amp;$A1268&amp;"-"&amp;TEXT(($D1268-$C1268+1)+24,"00"),""))</f>
        <v/>
      </c>
      <c r="G1268">
        <f>IF($A1268="","",IF($E1268=1,$F1268,IF($F1268="",$G1267,IF($G1267="",$F1268,$G1267&amp;", "&amp;$F1268))))</f>
        <v/>
      </c>
      <c r="H1268">
        <f>IF($A1268="","",$A1268&amp;" ("&amp;$C1268&amp;")")</f>
        <v/>
      </c>
      <c r="I1268">
        <f>IF($A1268="","",IF($E1268=1,$H1268,$I1267&amp;", "&amp;$H1268))</f>
        <v/>
      </c>
      <c r="J1268">
        <f>IF($A1268="","",IF($E1268=1,$B1268,""))</f>
        <v/>
      </c>
      <c r="K1268">
        <f>IF($A1268="","",IF(COUNTIF($B$2:$B1268,$B1268)=COUNTIF($B$2:$B$1601,$B1268),$B1268,""))</f>
        <v/>
      </c>
    </row>
    <row r="1269">
      <c r="A1269">
        <f>IF('TMP Paste'!$E1269="","",'TMP Paste'!$E1269)</f>
        <v/>
      </c>
      <c r="B1269">
        <f>IF($A1269="","",COUNTIF('TMP Paste'!$B$2:$B1269,"?*"))</f>
        <v/>
      </c>
      <c r="C1269">
        <f>IF($A1269="","",IFERROR('TMP Paste'!$M1269*1,0))</f>
        <v/>
      </c>
      <c r="D1269">
        <f>IF($A1269="","",SUMIF($B$2:$B1269,$B1269,$C$2:$C1269))</f>
        <v/>
      </c>
      <c r="E1269">
        <f>IF($A1269="",0,IF('TMP Paste'!$B1269="",0,1))</f>
        <v/>
      </c>
      <c r="F1269">
        <f>IF(OR($A1269="",$C1269&lt;1),"",$A1269&amp;"-"&amp;TEXT(($D1269-$C1269+1),"00")&amp;IF($C1269&gt;=2,", "&amp;$A1269&amp;"-"&amp;TEXT(($D1269-$C1269+1)+1,"00"),"")&amp;IF($C1269&gt;=3,", "&amp;$A1269&amp;"-"&amp;TEXT(($D1269-$C1269+1)+2,"00"),"")&amp;IF($C1269&gt;=4,", "&amp;$A1269&amp;"-"&amp;TEXT(($D1269-$C1269+1)+3,"00"),"")&amp;IF($C1269&gt;=5,", "&amp;$A1269&amp;"-"&amp;TEXT(($D1269-$C1269+1)+4,"00"),"")&amp;IF($C1269&gt;=6,", "&amp;$A1269&amp;"-"&amp;TEXT(($D1269-$C1269+1)+5,"00"),"")&amp;IF($C1269&gt;=7,", "&amp;$A1269&amp;"-"&amp;TEXT(($D1269-$C1269+1)+6,"00"),"")&amp;IF($C1269&gt;=8,", "&amp;$A1269&amp;"-"&amp;TEXT(($D1269-$C1269+1)+7,"00"),"")&amp;IF($C1269&gt;=9,", "&amp;$A1269&amp;"-"&amp;TEXT(($D1269-$C1269+1)+8,"00"),"")&amp;IF($C1269&gt;=10,", "&amp;$A1269&amp;"-"&amp;TEXT(($D1269-$C1269+1)+9,"00"),"")&amp;IF($C1269&gt;=11,", "&amp;$A1269&amp;"-"&amp;TEXT(($D1269-$C1269+1)+10,"00"),"")&amp;IF($C1269&gt;=12,", "&amp;$A1269&amp;"-"&amp;TEXT(($D1269-$C1269+1)+11,"00"),"")&amp;IF($C1269&gt;=13,", "&amp;$A1269&amp;"-"&amp;TEXT(($D1269-$C1269+1)+12,"00"),"")&amp;IF($C1269&gt;=14,", "&amp;$A1269&amp;"-"&amp;TEXT(($D1269-$C1269+1)+13,"00"),"")&amp;IF($C1269&gt;=15,", "&amp;$A1269&amp;"-"&amp;TEXT(($D1269-$C1269+1)+14,"00"),"")&amp;IF($C1269&gt;=16,", "&amp;$A1269&amp;"-"&amp;TEXT(($D1269-$C1269+1)+15,"00"),"")&amp;IF($C1269&gt;=17,", "&amp;$A1269&amp;"-"&amp;TEXT(($D1269-$C1269+1)+16,"00"),"")&amp;IF($C1269&gt;=18,", "&amp;$A1269&amp;"-"&amp;TEXT(($D1269-$C1269+1)+17,"00"),"")&amp;IF($C1269&gt;=19,", "&amp;$A1269&amp;"-"&amp;TEXT(($D1269-$C1269+1)+18,"00"),"")&amp;IF($C1269&gt;=20,", "&amp;$A1269&amp;"-"&amp;TEXT(($D1269-$C1269+1)+19,"00"),"")&amp;IF($C1269&gt;=21,", "&amp;$A1269&amp;"-"&amp;TEXT(($D1269-$C1269+1)+20,"00"),"")&amp;IF($C1269&gt;=22,", "&amp;$A1269&amp;"-"&amp;TEXT(($D1269-$C1269+1)+21,"00"),"")&amp;IF($C1269&gt;=23,", "&amp;$A1269&amp;"-"&amp;TEXT(($D1269-$C1269+1)+22,"00"),"")&amp;IF($C1269&gt;=24,", "&amp;$A1269&amp;"-"&amp;TEXT(($D1269-$C1269+1)+23,"00"),"")&amp;IF($C1269&gt;=25,", "&amp;$A1269&amp;"-"&amp;TEXT(($D1269-$C1269+1)+24,"00"),""))</f>
        <v/>
      </c>
      <c r="G1269">
        <f>IF($A1269="","",IF($E1269=1,$F1269,IF($F1269="",$G1268,IF($G1268="",$F1269,$G1268&amp;", "&amp;$F1269))))</f>
        <v/>
      </c>
      <c r="H1269">
        <f>IF($A1269="","",$A1269&amp;" ("&amp;$C1269&amp;")")</f>
        <v/>
      </c>
      <c r="I1269">
        <f>IF($A1269="","",IF($E1269=1,$H1269,$I1268&amp;", "&amp;$H1269))</f>
        <v/>
      </c>
      <c r="J1269">
        <f>IF($A1269="","",IF($E1269=1,$B1269,""))</f>
        <v/>
      </c>
      <c r="K1269">
        <f>IF($A1269="","",IF(COUNTIF($B$2:$B1269,$B1269)=COUNTIF($B$2:$B$1601,$B1269),$B1269,""))</f>
        <v/>
      </c>
    </row>
    <row r="1270">
      <c r="A1270">
        <f>IF('TMP Paste'!$E1270="","",'TMP Paste'!$E1270)</f>
        <v/>
      </c>
      <c r="B1270">
        <f>IF($A1270="","",COUNTIF('TMP Paste'!$B$2:$B1270,"?*"))</f>
        <v/>
      </c>
      <c r="C1270">
        <f>IF($A1270="","",IFERROR('TMP Paste'!$M1270*1,0))</f>
        <v/>
      </c>
      <c r="D1270">
        <f>IF($A1270="","",SUMIF($B$2:$B1270,$B1270,$C$2:$C1270))</f>
        <v/>
      </c>
      <c r="E1270">
        <f>IF($A1270="",0,IF('TMP Paste'!$B1270="",0,1))</f>
        <v/>
      </c>
      <c r="F1270">
        <f>IF(OR($A1270="",$C1270&lt;1),"",$A1270&amp;"-"&amp;TEXT(($D1270-$C1270+1),"00")&amp;IF($C1270&gt;=2,", "&amp;$A1270&amp;"-"&amp;TEXT(($D1270-$C1270+1)+1,"00"),"")&amp;IF($C1270&gt;=3,", "&amp;$A1270&amp;"-"&amp;TEXT(($D1270-$C1270+1)+2,"00"),"")&amp;IF($C1270&gt;=4,", "&amp;$A1270&amp;"-"&amp;TEXT(($D1270-$C1270+1)+3,"00"),"")&amp;IF($C1270&gt;=5,", "&amp;$A1270&amp;"-"&amp;TEXT(($D1270-$C1270+1)+4,"00"),"")&amp;IF($C1270&gt;=6,", "&amp;$A1270&amp;"-"&amp;TEXT(($D1270-$C1270+1)+5,"00"),"")&amp;IF($C1270&gt;=7,", "&amp;$A1270&amp;"-"&amp;TEXT(($D1270-$C1270+1)+6,"00"),"")&amp;IF($C1270&gt;=8,", "&amp;$A1270&amp;"-"&amp;TEXT(($D1270-$C1270+1)+7,"00"),"")&amp;IF($C1270&gt;=9,", "&amp;$A1270&amp;"-"&amp;TEXT(($D1270-$C1270+1)+8,"00"),"")&amp;IF($C1270&gt;=10,", "&amp;$A1270&amp;"-"&amp;TEXT(($D1270-$C1270+1)+9,"00"),"")&amp;IF($C1270&gt;=11,", "&amp;$A1270&amp;"-"&amp;TEXT(($D1270-$C1270+1)+10,"00"),"")&amp;IF($C1270&gt;=12,", "&amp;$A1270&amp;"-"&amp;TEXT(($D1270-$C1270+1)+11,"00"),"")&amp;IF($C1270&gt;=13,", "&amp;$A1270&amp;"-"&amp;TEXT(($D1270-$C1270+1)+12,"00"),"")&amp;IF($C1270&gt;=14,", "&amp;$A1270&amp;"-"&amp;TEXT(($D1270-$C1270+1)+13,"00"),"")&amp;IF($C1270&gt;=15,", "&amp;$A1270&amp;"-"&amp;TEXT(($D1270-$C1270+1)+14,"00"),"")&amp;IF($C1270&gt;=16,", "&amp;$A1270&amp;"-"&amp;TEXT(($D1270-$C1270+1)+15,"00"),"")&amp;IF($C1270&gt;=17,", "&amp;$A1270&amp;"-"&amp;TEXT(($D1270-$C1270+1)+16,"00"),"")&amp;IF($C1270&gt;=18,", "&amp;$A1270&amp;"-"&amp;TEXT(($D1270-$C1270+1)+17,"00"),"")&amp;IF($C1270&gt;=19,", "&amp;$A1270&amp;"-"&amp;TEXT(($D1270-$C1270+1)+18,"00"),"")&amp;IF($C1270&gt;=20,", "&amp;$A1270&amp;"-"&amp;TEXT(($D1270-$C1270+1)+19,"00"),"")&amp;IF($C1270&gt;=21,", "&amp;$A1270&amp;"-"&amp;TEXT(($D1270-$C1270+1)+20,"00"),"")&amp;IF($C1270&gt;=22,", "&amp;$A1270&amp;"-"&amp;TEXT(($D1270-$C1270+1)+21,"00"),"")&amp;IF($C1270&gt;=23,", "&amp;$A1270&amp;"-"&amp;TEXT(($D1270-$C1270+1)+22,"00"),"")&amp;IF($C1270&gt;=24,", "&amp;$A1270&amp;"-"&amp;TEXT(($D1270-$C1270+1)+23,"00"),"")&amp;IF($C1270&gt;=25,", "&amp;$A1270&amp;"-"&amp;TEXT(($D1270-$C1270+1)+24,"00"),""))</f>
        <v/>
      </c>
      <c r="G1270">
        <f>IF($A1270="","",IF($E1270=1,$F1270,IF($F1270="",$G1269,IF($G1269="",$F1270,$G1269&amp;", "&amp;$F1270))))</f>
        <v/>
      </c>
      <c r="H1270">
        <f>IF($A1270="","",$A1270&amp;" ("&amp;$C1270&amp;")")</f>
        <v/>
      </c>
      <c r="I1270">
        <f>IF($A1270="","",IF($E1270=1,$H1270,$I1269&amp;", "&amp;$H1270))</f>
        <v/>
      </c>
      <c r="J1270">
        <f>IF($A1270="","",IF($E1270=1,$B1270,""))</f>
        <v/>
      </c>
      <c r="K1270">
        <f>IF($A1270="","",IF(COUNTIF($B$2:$B1270,$B1270)=COUNTIF($B$2:$B$1601,$B1270),$B1270,""))</f>
        <v/>
      </c>
    </row>
    <row r="1271">
      <c r="A1271">
        <f>IF('TMP Paste'!$E1271="","",'TMP Paste'!$E1271)</f>
        <v/>
      </c>
      <c r="B1271">
        <f>IF($A1271="","",COUNTIF('TMP Paste'!$B$2:$B1271,"?*"))</f>
        <v/>
      </c>
      <c r="C1271">
        <f>IF($A1271="","",IFERROR('TMP Paste'!$M1271*1,0))</f>
        <v/>
      </c>
      <c r="D1271">
        <f>IF($A1271="","",SUMIF($B$2:$B1271,$B1271,$C$2:$C1271))</f>
        <v/>
      </c>
      <c r="E1271">
        <f>IF($A1271="",0,IF('TMP Paste'!$B1271="",0,1))</f>
        <v/>
      </c>
      <c r="F1271">
        <f>IF(OR($A1271="",$C1271&lt;1),"",$A1271&amp;"-"&amp;TEXT(($D1271-$C1271+1),"00")&amp;IF($C1271&gt;=2,", "&amp;$A1271&amp;"-"&amp;TEXT(($D1271-$C1271+1)+1,"00"),"")&amp;IF($C1271&gt;=3,", "&amp;$A1271&amp;"-"&amp;TEXT(($D1271-$C1271+1)+2,"00"),"")&amp;IF($C1271&gt;=4,", "&amp;$A1271&amp;"-"&amp;TEXT(($D1271-$C1271+1)+3,"00"),"")&amp;IF($C1271&gt;=5,", "&amp;$A1271&amp;"-"&amp;TEXT(($D1271-$C1271+1)+4,"00"),"")&amp;IF($C1271&gt;=6,", "&amp;$A1271&amp;"-"&amp;TEXT(($D1271-$C1271+1)+5,"00"),"")&amp;IF($C1271&gt;=7,", "&amp;$A1271&amp;"-"&amp;TEXT(($D1271-$C1271+1)+6,"00"),"")&amp;IF($C1271&gt;=8,", "&amp;$A1271&amp;"-"&amp;TEXT(($D1271-$C1271+1)+7,"00"),"")&amp;IF($C1271&gt;=9,", "&amp;$A1271&amp;"-"&amp;TEXT(($D1271-$C1271+1)+8,"00"),"")&amp;IF($C1271&gt;=10,", "&amp;$A1271&amp;"-"&amp;TEXT(($D1271-$C1271+1)+9,"00"),"")&amp;IF($C1271&gt;=11,", "&amp;$A1271&amp;"-"&amp;TEXT(($D1271-$C1271+1)+10,"00"),"")&amp;IF($C1271&gt;=12,", "&amp;$A1271&amp;"-"&amp;TEXT(($D1271-$C1271+1)+11,"00"),"")&amp;IF($C1271&gt;=13,", "&amp;$A1271&amp;"-"&amp;TEXT(($D1271-$C1271+1)+12,"00"),"")&amp;IF($C1271&gt;=14,", "&amp;$A1271&amp;"-"&amp;TEXT(($D1271-$C1271+1)+13,"00"),"")&amp;IF($C1271&gt;=15,", "&amp;$A1271&amp;"-"&amp;TEXT(($D1271-$C1271+1)+14,"00"),"")&amp;IF($C1271&gt;=16,", "&amp;$A1271&amp;"-"&amp;TEXT(($D1271-$C1271+1)+15,"00"),"")&amp;IF($C1271&gt;=17,", "&amp;$A1271&amp;"-"&amp;TEXT(($D1271-$C1271+1)+16,"00"),"")&amp;IF($C1271&gt;=18,", "&amp;$A1271&amp;"-"&amp;TEXT(($D1271-$C1271+1)+17,"00"),"")&amp;IF($C1271&gt;=19,", "&amp;$A1271&amp;"-"&amp;TEXT(($D1271-$C1271+1)+18,"00"),"")&amp;IF($C1271&gt;=20,", "&amp;$A1271&amp;"-"&amp;TEXT(($D1271-$C1271+1)+19,"00"),"")&amp;IF($C1271&gt;=21,", "&amp;$A1271&amp;"-"&amp;TEXT(($D1271-$C1271+1)+20,"00"),"")&amp;IF($C1271&gt;=22,", "&amp;$A1271&amp;"-"&amp;TEXT(($D1271-$C1271+1)+21,"00"),"")&amp;IF($C1271&gt;=23,", "&amp;$A1271&amp;"-"&amp;TEXT(($D1271-$C1271+1)+22,"00"),"")&amp;IF($C1271&gt;=24,", "&amp;$A1271&amp;"-"&amp;TEXT(($D1271-$C1271+1)+23,"00"),"")&amp;IF($C1271&gt;=25,", "&amp;$A1271&amp;"-"&amp;TEXT(($D1271-$C1271+1)+24,"00"),""))</f>
        <v/>
      </c>
      <c r="G1271">
        <f>IF($A1271="","",IF($E1271=1,$F1271,IF($F1271="",$G1270,IF($G1270="",$F1271,$G1270&amp;", "&amp;$F1271))))</f>
        <v/>
      </c>
      <c r="H1271">
        <f>IF($A1271="","",$A1271&amp;" ("&amp;$C1271&amp;")")</f>
        <v/>
      </c>
      <c r="I1271">
        <f>IF($A1271="","",IF($E1271=1,$H1271,$I1270&amp;", "&amp;$H1271))</f>
        <v/>
      </c>
      <c r="J1271">
        <f>IF($A1271="","",IF($E1271=1,$B1271,""))</f>
        <v/>
      </c>
      <c r="K1271">
        <f>IF($A1271="","",IF(COUNTIF($B$2:$B1271,$B1271)=COUNTIF($B$2:$B$1601,$B1271),$B1271,""))</f>
        <v/>
      </c>
    </row>
    <row r="1272">
      <c r="A1272">
        <f>IF('TMP Paste'!$E1272="","",'TMP Paste'!$E1272)</f>
        <v/>
      </c>
      <c r="B1272">
        <f>IF($A1272="","",COUNTIF('TMP Paste'!$B$2:$B1272,"?*"))</f>
        <v/>
      </c>
      <c r="C1272">
        <f>IF($A1272="","",IFERROR('TMP Paste'!$M1272*1,0))</f>
        <v/>
      </c>
      <c r="D1272">
        <f>IF($A1272="","",SUMIF($B$2:$B1272,$B1272,$C$2:$C1272))</f>
        <v/>
      </c>
      <c r="E1272">
        <f>IF($A1272="",0,IF('TMP Paste'!$B1272="",0,1))</f>
        <v/>
      </c>
      <c r="F1272">
        <f>IF(OR($A1272="",$C1272&lt;1),"",$A1272&amp;"-"&amp;TEXT(($D1272-$C1272+1),"00")&amp;IF($C1272&gt;=2,", "&amp;$A1272&amp;"-"&amp;TEXT(($D1272-$C1272+1)+1,"00"),"")&amp;IF($C1272&gt;=3,", "&amp;$A1272&amp;"-"&amp;TEXT(($D1272-$C1272+1)+2,"00"),"")&amp;IF($C1272&gt;=4,", "&amp;$A1272&amp;"-"&amp;TEXT(($D1272-$C1272+1)+3,"00"),"")&amp;IF($C1272&gt;=5,", "&amp;$A1272&amp;"-"&amp;TEXT(($D1272-$C1272+1)+4,"00"),"")&amp;IF($C1272&gt;=6,", "&amp;$A1272&amp;"-"&amp;TEXT(($D1272-$C1272+1)+5,"00"),"")&amp;IF($C1272&gt;=7,", "&amp;$A1272&amp;"-"&amp;TEXT(($D1272-$C1272+1)+6,"00"),"")&amp;IF($C1272&gt;=8,", "&amp;$A1272&amp;"-"&amp;TEXT(($D1272-$C1272+1)+7,"00"),"")&amp;IF($C1272&gt;=9,", "&amp;$A1272&amp;"-"&amp;TEXT(($D1272-$C1272+1)+8,"00"),"")&amp;IF($C1272&gt;=10,", "&amp;$A1272&amp;"-"&amp;TEXT(($D1272-$C1272+1)+9,"00"),"")&amp;IF($C1272&gt;=11,", "&amp;$A1272&amp;"-"&amp;TEXT(($D1272-$C1272+1)+10,"00"),"")&amp;IF($C1272&gt;=12,", "&amp;$A1272&amp;"-"&amp;TEXT(($D1272-$C1272+1)+11,"00"),"")&amp;IF($C1272&gt;=13,", "&amp;$A1272&amp;"-"&amp;TEXT(($D1272-$C1272+1)+12,"00"),"")&amp;IF($C1272&gt;=14,", "&amp;$A1272&amp;"-"&amp;TEXT(($D1272-$C1272+1)+13,"00"),"")&amp;IF($C1272&gt;=15,", "&amp;$A1272&amp;"-"&amp;TEXT(($D1272-$C1272+1)+14,"00"),"")&amp;IF($C1272&gt;=16,", "&amp;$A1272&amp;"-"&amp;TEXT(($D1272-$C1272+1)+15,"00"),"")&amp;IF($C1272&gt;=17,", "&amp;$A1272&amp;"-"&amp;TEXT(($D1272-$C1272+1)+16,"00"),"")&amp;IF($C1272&gt;=18,", "&amp;$A1272&amp;"-"&amp;TEXT(($D1272-$C1272+1)+17,"00"),"")&amp;IF($C1272&gt;=19,", "&amp;$A1272&amp;"-"&amp;TEXT(($D1272-$C1272+1)+18,"00"),"")&amp;IF($C1272&gt;=20,", "&amp;$A1272&amp;"-"&amp;TEXT(($D1272-$C1272+1)+19,"00"),"")&amp;IF($C1272&gt;=21,", "&amp;$A1272&amp;"-"&amp;TEXT(($D1272-$C1272+1)+20,"00"),"")&amp;IF($C1272&gt;=22,", "&amp;$A1272&amp;"-"&amp;TEXT(($D1272-$C1272+1)+21,"00"),"")&amp;IF($C1272&gt;=23,", "&amp;$A1272&amp;"-"&amp;TEXT(($D1272-$C1272+1)+22,"00"),"")&amp;IF($C1272&gt;=24,", "&amp;$A1272&amp;"-"&amp;TEXT(($D1272-$C1272+1)+23,"00"),"")&amp;IF($C1272&gt;=25,", "&amp;$A1272&amp;"-"&amp;TEXT(($D1272-$C1272+1)+24,"00"),""))</f>
        <v/>
      </c>
      <c r="G1272">
        <f>IF($A1272="","",IF($E1272=1,$F1272,IF($F1272="",$G1271,IF($G1271="",$F1272,$G1271&amp;", "&amp;$F1272))))</f>
        <v/>
      </c>
      <c r="H1272">
        <f>IF($A1272="","",$A1272&amp;" ("&amp;$C1272&amp;")")</f>
        <v/>
      </c>
      <c r="I1272">
        <f>IF($A1272="","",IF($E1272=1,$H1272,$I1271&amp;", "&amp;$H1272))</f>
        <v/>
      </c>
      <c r="J1272">
        <f>IF($A1272="","",IF($E1272=1,$B1272,""))</f>
        <v/>
      </c>
      <c r="K1272">
        <f>IF($A1272="","",IF(COUNTIF($B$2:$B1272,$B1272)=COUNTIF($B$2:$B$1601,$B1272),$B1272,""))</f>
        <v/>
      </c>
    </row>
    <row r="1273">
      <c r="A1273">
        <f>IF('TMP Paste'!$E1273="","",'TMP Paste'!$E1273)</f>
        <v/>
      </c>
      <c r="B1273">
        <f>IF($A1273="","",COUNTIF('TMP Paste'!$B$2:$B1273,"?*"))</f>
        <v/>
      </c>
      <c r="C1273">
        <f>IF($A1273="","",IFERROR('TMP Paste'!$M1273*1,0))</f>
        <v/>
      </c>
      <c r="D1273">
        <f>IF($A1273="","",SUMIF($B$2:$B1273,$B1273,$C$2:$C1273))</f>
        <v/>
      </c>
      <c r="E1273">
        <f>IF($A1273="",0,IF('TMP Paste'!$B1273="",0,1))</f>
        <v/>
      </c>
      <c r="F1273">
        <f>IF(OR($A1273="",$C1273&lt;1),"",$A1273&amp;"-"&amp;TEXT(($D1273-$C1273+1),"00")&amp;IF($C1273&gt;=2,", "&amp;$A1273&amp;"-"&amp;TEXT(($D1273-$C1273+1)+1,"00"),"")&amp;IF($C1273&gt;=3,", "&amp;$A1273&amp;"-"&amp;TEXT(($D1273-$C1273+1)+2,"00"),"")&amp;IF($C1273&gt;=4,", "&amp;$A1273&amp;"-"&amp;TEXT(($D1273-$C1273+1)+3,"00"),"")&amp;IF($C1273&gt;=5,", "&amp;$A1273&amp;"-"&amp;TEXT(($D1273-$C1273+1)+4,"00"),"")&amp;IF($C1273&gt;=6,", "&amp;$A1273&amp;"-"&amp;TEXT(($D1273-$C1273+1)+5,"00"),"")&amp;IF($C1273&gt;=7,", "&amp;$A1273&amp;"-"&amp;TEXT(($D1273-$C1273+1)+6,"00"),"")&amp;IF($C1273&gt;=8,", "&amp;$A1273&amp;"-"&amp;TEXT(($D1273-$C1273+1)+7,"00"),"")&amp;IF($C1273&gt;=9,", "&amp;$A1273&amp;"-"&amp;TEXT(($D1273-$C1273+1)+8,"00"),"")&amp;IF($C1273&gt;=10,", "&amp;$A1273&amp;"-"&amp;TEXT(($D1273-$C1273+1)+9,"00"),"")&amp;IF($C1273&gt;=11,", "&amp;$A1273&amp;"-"&amp;TEXT(($D1273-$C1273+1)+10,"00"),"")&amp;IF($C1273&gt;=12,", "&amp;$A1273&amp;"-"&amp;TEXT(($D1273-$C1273+1)+11,"00"),"")&amp;IF($C1273&gt;=13,", "&amp;$A1273&amp;"-"&amp;TEXT(($D1273-$C1273+1)+12,"00"),"")&amp;IF($C1273&gt;=14,", "&amp;$A1273&amp;"-"&amp;TEXT(($D1273-$C1273+1)+13,"00"),"")&amp;IF($C1273&gt;=15,", "&amp;$A1273&amp;"-"&amp;TEXT(($D1273-$C1273+1)+14,"00"),"")&amp;IF($C1273&gt;=16,", "&amp;$A1273&amp;"-"&amp;TEXT(($D1273-$C1273+1)+15,"00"),"")&amp;IF($C1273&gt;=17,", "&amp;$A1273&amp;"-"&amp;TEXT(($D1273-$C1273+1)+16,"00"),"")&amp;IF($C1273&gt;=18,", "&amp;$A1273&amp;"-"&amp;TEXT(($D1273-$C1273+1)+17,"00"),"")&amp;IF($C1273&gt;=19,", "&amp;$A1273&amp;"-"&amp;TEXT(($D1273-$C1273+1)+18,"00"),"")&amp;IF($C1273&gt;=20,", "&amp;$A1273&amp;"-"&amp;TEXT(($D1273-$C1273+1)+19,"00"),"")&amp;IF($C1273&gt;=21,", "&amp;$A1273&amp;"-"&amp;TEXT(($D1273-$C1273+1)+20,"00"),"")&amp;IF($C1273&gt;=22,", "&amp;$A1273&amp;"-"&amp;TEXT(($D1273-$C1273+1)+21,"00"),"")&amp;IF($C1273&gt;=23,", "&amp;$A1273&amp;"-"&amp;TEXT(($D1273-$C1273+1)+22,"00"),"")&amp;IF($C1273&gt;=24,", "&amp;$A1273&amp;"-"&amp;TEXT(($D1273-$C1273+1)+23,"00"),"")&amp;IF($C1273&gt;=25,", "&amp;$A1273&amp;"-"&amp;TEXT(($D1273-$C1273+1)+24,"00"),""))</f>
        <v/>
      </c>
      <c r="G1273">
        <f>IF($A1273="","",IF($E1273=1,$F1273,IF($F1273="",$G1272,IF($G1272="",$F1273,$G1272&amp;", "&amp;$F1273))))</f>
        <v/>
      </c>
      <c r="H1273">
        <f>IF($A1273="","",$A1273&amp;" ("&amp;$C1273&amp;")")</f>
        <v/>
      </c>
      <c r="I1273">
        <f>IF($A1273="","",IF($E1273=1,$H1273,$I1272&amp;", "&amp;$H1273))</f>
        <v/>
      </c>
      <c r="J1273">
        <f>IF($A1273="","",IF($E1273=1,$B1273,""))</f>
        <v/>
      </c>
      <c r="K1273">
        <f>IF($A1273="","",IF(COUNTIF($B$2:$B1273,$B1273)=COUNTIF($B$2:$B$1601,$B1273),$B1273,""))</f>
        <v/>
      </c>
    </row>
    <row r="1274">
      <c r="A1274">
        <f>IF('TMP Paste'!$E1274="","",'TMP Paste'!$E1274)</f>
        <v/>
      </c>
      <c r="B1274">
        <f>IF($A1274="","",COUNTIF('TMP Paste'!$B$2:$B1274,"?*"))</f>
        <v/>
      </c>
      <c r="C1274">
        <f>IF($A1274="","",IFERROR('TMP Paste'!$M1274*1,0))</f>
        <v/>
      </c>
      <c r="D1274">
        <f>IF($A1274="","",SUMIF($B$2:$B1274,$B1274,$C$2:$C1274))</f>
        <v/>
      </c>
      <c r="E1274">
        <f>IF($A1274="",0,IF('TMP Paste'!$B1274="",0,1))</f>
        <v/>
      </c>
      <c r="F1274">
        <f>IF(OR($A1274="",$C1274&lt;1),"",$A1274&amp;"-"&amp;TEXT(($D1274-$C1274+1),"00")&amp;IF($C1274&gt;=2,", "&amp;$A1274&amp;"-"&amp;TEXT(($D1274-$C1274+1)+1,"00"),"")&amp;IF($C1274&gt;=3,", "&amp;$A1274&amp;"-"&amp;TEXT(($D1274-$C1274+1)+2,"00"),"")&amp;IF($C1274&gt;=4,", "&amp;$A1274&amp;"-"&amp;TEXT(($D1274-$C1274+1)+3,"00"),"")&amp;IF($C1274&gt;=5,", "&amp;$A1274&amp;"-"&amp;TEXT(($D1274-$C1274+1)+4,"00"),"")&amp;IF($C1274&gt;=6,", "&amp;$A1274&amp;"-"&amp;TEXT(($D1274-$C1274+1)+5,"00"),"")&amp;IF($C1274&gt;=7,", "&amp;$A1274&amp;"-"&amp;TEXT(($D1274-$C1274+1)+6,"00"),"")&amp;IF($C1274&gt;=8,", "&amp;$A1274&amp;"-"&amp;TEXT(($D1274-$C1274+1)+7,"00"),"")&amp;IF($C1274&gt;=9,", "&amp;$A1274&amp;"-"&amp;TEXT(($D1274-$C1274+1)+8,"00"),"")&amp;IF($C1274&gt;=10,", "&amp;$A1274&amp;"-"&amp;TEXT(($D1274-$C1274+1)+9,"00"),"")&amp;IF($C1274&gt;=11,", "&amp;$A1274&amp;"-"&amp;TEXT(($D1274-$C1274+1)+10,"00"),"")&amp;IF($C1274&gt;=12,", "&amp;$A1274&amp;"-"&amp;TEXT(($D1274-$C1274+1)+11,"00"),"")&amp;IF($C1274&gt;=13,", "&amp;$A1274&amp;"-"&amp;TEXT(($D1274-$C1274+1)+12,"00"),"")&amp;IF($C1274&gt;=14,", "&amp;$A1274&amp;"-"&amp;TEXT(($D1274-$C1274+1)+13,"00"),"")&amp;IF($C1274&gt;=15,", "&amp;$A1274&amp;"-"&amp;TEXT(($D1274-$C1274+1)+14,"00"),"")&amp;IF($C1274&gt;=16,", "&amp;$A1274&amp;"-"&amp;TEXT(($D1274-$C1274+1)+15,"00"),"")&amp;IF($C1274&gt;=17,", "&amp;$A1274&amp;"-"&amp;TEXT(($D1274-$C1274+1)+16,"00"),"")&amp;IF($C1274&gt;=18,", "&amp;$A1274&amp;"-"&amp;TEXT(($D1274-$C1274+1)+17,"00"),"")&amp;IF($C1274&gt;=19,", "&amp;$A1274&amp;"-"&amp;TEXT(($D1274-$C1274+1)+18,"00"),"")&amp;IF($C1274&gt;=20,", "&amp;$A1274&amp;"-"&amp;TEXT(($D1274-$C1274+1)+19,"00"),"")&amp;IF($C1274&gt;=21,", "&amp;$A1274&amp;"-"&amp;TEXT(($D1274-$C1274+1)+20,"00"),"")&amp;IF($C1274&gt;=22,", "&amp;$A1274&amp;"-"&amp;TEXT(($D1274-$C1274+1)+21,"00"),"")&amp;IF($C1274&gt;=23,", "&amp;$A1274&amp;"-"&amp;TEXT(($D1274-$C1274+1)+22,"00"),"")&amp;IF($C1274&gt;=24,", "&amp;$A1274&amp;"-"&amp;TEXT(($D1274-$C1274+1)+23,"00"),"")&amp;IF($C1274&gt;=25,", "&amp;$A1274&amp;"-"&amp;TEXT(($D1274-$C1274+1)+24,"00"),""))</f>
        <v/>
      </c>
      <c r="G1274">
        <f>IF($A1274="","",IF($E1274=1,$F1274,IF($F1274="",$G1273,IF($G1273="",$F1274,$G1273&amp;", "&amp;$F1274))))</f>
        <v/>
      </c>
      <c r="H1274">
        <f>IF($A1274="","",$A1274&amp;" ("&amp;$C1274&amp;")")</f>
        <v/>
      </c>
      <c r="I1274">
        <f>IF($A1274="","",IF($E1274=1,$H1274,$I1273&amp;", "&amp;$H1274))</f>
        <v/>
      </c>
      <c r="J1274">
        <f>IF($A1274="","",IF($E1274=1,$B1274,""))</f>
        <v/>
      </c>
      <c r="K1274">
        <f>IF($A1274="","",IF(COUNTIF($B$2:$B1274,$B1274)=COUNTIF($B$2:$B$1601,$B1274),$B1274,""))</f>
        <v/>
      </c>
    </row>
    <row r="1275">
      <c r="A1275">
        <f>IF('TMP Paste'!$E1275="","",'TMP Paste'!$E1275)</f>
        <v/>
      </c>
      <c r="B1275">
        <f>IF($A1275="","",COUNTIF('TMP Paste'!$B$2:$B1275,"?*"))</f>
        <v/>
      </c>
      <c r="C1275">
        <f>IF($A1275="","",IFERROR('TMP Paste'!$M1275*1,0))</f>
        <v/>
      </c>
      <c r="D1275">
        <f>IF($A1275="","",SUMIF($B$2:$B1275,$B1275,$C$2:$C1275))</f>
        <v/>
      </c>
      <c r="E1275">
        <f>IF($A1275="",0,IF('TMP Paste'!$B1275="",0,1))</f>
        <v/>
      </c>
      <c r="F1275">
        <f>IF(OR($A1275="",$C1275&lt;1),"",$A1275&amp;"-"&amp;TEXT(($D1275-$C1275+1),"00")&amp;IF($C1275&gt;=2,", "&amp;$A1275&amp;"-"&amp;TEXT(($D1275-$C1275+1)+1,"00"),"")&amp;IF($C1275&gt;=3,", "&amp;$A1275&amp;"-"&amp;TEXT(($D1275-$C1275+1)+2,"00"),"")&amp;IF($C1275&gt;=4,", "&amp;$A1275&amp;"-"&amp;TEXT(($D1275-$C1275+1)+3,"00"),"")&amp;IF($C1275&gt;=5,", "&amp;$A1275&amp;"-"&amp;TEXT(($D1275-$C1275+1)+4,"00"),"")&amp;IF($C1275&gt;=6,", "&amp;$A1275&amp;"-"&amp;TEXT(($D1275-$C1275+1)+5,"00"),"")&amp;IF($C1275&gt;=7,", "&amp;$A1275&amp;"-"&amp;TEXT(($D1275-$C1275+1)+6,"00"),"")&amp;IF($C1275&gt;=8,", "&amp;$A1275&amp;"-"&amp;TEXT(($D1275-$C1275+1)+7,"00"),"")&amp;IF($C1275&gt;=9,", "&amp;$A1275&amp;"-"&amp;TEXT(($D1275-$C1275+1)+8,"00"),"")&amp;IF($C1275&gt;=10,", "&amp;$A1275&amp;"-"&amp;TEXT(($D1275-$C1275+1)+9,"00"),"")&amp;IF($C1275&gt;=11,", "&amp;$A1275&amp;"-"&amp;TEXT(($D1275-$C1275+1)+10,"00"),"")&amp;IF($C1275&gt;=12,", "&amp;$A1275&amp;"-"&amp;TEXT(($D1275-$C1275+1)+11,"00"),"")&amp;IF($C1275&gt;=13,", "&amp;$A1275&amp;"-"&amp;TEXT(($D1275-$C1275+1)+12,"00"),"")&amp;IF($C1275&gt;=14,", "&amp;$A1275&amp;"-"&amp;TEXT(($D1275-$C1275+1)+13,"00"),"")&amp;IF($C1275&gt;=15,", "&amp;$A1275&amp;"-"&amp;TEXT(($D1275-$C1275+1)+14,"00"),"")&amp;IF($C1275&gt;=16,", "&amp;$A1275&amp;"-"&amp;TEXT(($D1275-$C1275+1)+15,"00"),"")&amp;IF($C1275&gt;=17,", "&amp;$A1275&amp;"-"&amp;TEXT(($D1275-$C1275+1)+16,"00"),"")&amp;IF($C1275&gt;=18,", "&amp;$A1275&amp;"-"&amp;TEXT(($D1275-$C1275+1)+17,"00"),"")&amp;IF($C1275&gt;=19,", "&amp;$A1275&amp;"-"&amp;TEXT(($D1275-$C1275+1)+18,"00"),"")&amp;IF($C1275&gt;=20,", "&amp;$A1275&amp;"-"&amp;TEXT(($D1275-$C1275+1)+19,"00"),"")&amp;IF($C1275&gt;=21,", "&amp;$A1275&amp;"-"&amp;TEXT(($D1275-$C1275+1)+20,"00"),"")&amp;IF($C1275&gt;=22,", "&amp;$A1275&amp;"-"&amp;TEXT(($D1275-$C1275+1)+21,"00"),"")&amp;IF($C1275&gt;=23,", "&amp;$A1275&amp;"-"&amp;TEXT(($D1275-$C1275+1)+22,"00"),"")&amp;IF($C1275&gt;=24,", "&amp;$A1275&amp;"-"&amp;TEXT(($D1275-$C1275+1)+23,"00"),"")&amp;IF($C1275&gt;=25,", "&amp;$A1275&amp;"-"&amp;TEXT(($D1275-$C1275+1)+24,"00"),""))</f>
        <v/>
      </c>
      <c r="G1275">
        <f>IF($A1275="","",IF($E1275=1,$F1275,IF($F1275="",$G1274,IF($G1274="",$F1275,$G1274&amp;", "&amp;$F1275))))</f>
        <v/>
      </c>
      <c r="H1275">
        <f>IF($A1275="","",$A1275&amp;" ("&amp;$C1275&amp;")")</f>
        <v/>
      </c>
      <c r="I1275">
        <f>IF($A1275="","",IF($E1275=1,$H1275,$I1274&amp;", "&amp;$H1275))</f>
        <v/>
      </c>
      <c r="J1275">
        <f>IF($A1275="","",IF($E1275=1,$B1275,""))</f>
        <v/>
      </c>
      <c r="K1275">
        <f>IF($A1275="","",IF(COUNTIF($B$2:$B1275,$B1275)=COUNTIF($B$2:$B$1601,$B1275),$B1275,""))</f>
        <v/>
      </c>
    </row>
    <row r="1276">
      <c r="A1276">
        <f>IF('TMP Paste'!$E1276="","",'TMP Paste'!$E1276)</f>
        <v/>
      </c>
      <c r="B1276">
        <f>IF($A1276="","",COUNTIF('TMP Paste'!$B$2:$B1276,"?*"))</f>
        <v/>
      </c>
      <c r="C1276">
        <f>IF($A1276="","",IFERROR('TMP Paste'!$M1276*1,0))</f>
        <v/>
      </c>
      <c r="D1276">
        <f>IF($A1276="","",SUMIF($B$2:$B1276,$B1276,$C$2:$C1276))</f>
        <v/>
      </c>
      <c r="E1276">
        <f>IF($A1276="",0,IF('TMP Paste'!$B1276="",0,1))</f>
        <v/>
      </c>
      <c r="F1276">
        <f>IF(OR($A1276="",$C1276&lt;1),"",$A1276&amp;"-"&amp;TEXT(($D1276-$C1276+1),"00")&amp;IF($C1276&gt;=2,", "&amp;$A1276&amp;"-"&amp;TEXT(($D1276-$C1276+1)+1,"00"),"")&amp;IF($C1276&gt;=3,", "&amp;$A1276&amp;"-"&amp;TEXT(($D1276-$C1276+1)+2,"00"),"")&amp;IF($C1276&gt;=4,", "&amp;$A1276&amp;"-"&amp;TEXT(($D1276-$C1276+1)+3,"00"),"")&amp;IF($C1276&gt;=5,", "&amp;$A1276&amp;"-"&amp;TEXT(($D1276-$C1276+1)+4,"00"),"")&amp;IF($C1276&gt;=6,", "&amp;$A1276&amp;"-"&amp;TEXT(($D1276-$C1276+1)+5,"00"),"")&amp;IF($C1276&gt;=7,", "&amp;$A1276&amp;"-"&amp;TEXT(($D1276-$C1276+1)+6,"00"),"")&amp;IF($C1276&gt;=8,", "&amp;$A1276&amp;"-"&amp;TEXT(($D1276-$C1276+1)+7,"00"),"")&amp;IF($C1276&gt;=9,", "&amp;$A1276&amp;"-"&amp;TEXT(($D1276-$C1276+1)+8,"00"),"")&amp;IF($C1276&gt;=10,", "&amp;$A1276&amp;"-"&amp;TEXT(($D1276-$C1276+1)+9,"00"),"")&amp;IF($C1276&gt;=11,", "&amp;$A1276&amp;"-"&amp;TEXT(($D1276-$C1276+1)+10,"00"),"")&amp;IF($C1276&gt;=12,", "&amp;$A1276&amp;"-"&amp;TEXT(($D1276-$C1276+1)+11,"00"),"")&amp;IF($C1276&gt;=13,", "&amp;$A1276&amp;"-"&amp;TEXT(($D1276-$C1276+1)+12,"00"),"")&amp;IF($C1276&gt;=14,", "&amp;$A1276&amp;"-"&amp;TEXT(($D1276-$C1276+1)+13,"00"),"")&amp;IF($C1276&gt;=15,", "&amp;$A1276&amp;"-"&amp;TEXT(($D1276-$C1276+1)+14,"00"),"")&amp;IF($C1276&gt;=16,", "&amp;$A1276&amp;"-"&amp;TEXT(($D1276-$C1276+1)+15,"00"),"")&amp;IF($C1276&gt;=17,", "&amp;$A1276&amp;"-"&amp;TEXT(($D1276-$C1276+1)+16,"00"),"")&amp;IF($C1276&gt;=18,", "&amp;$A1276&amp;"-"&amp;TEXT(($D1276-$C1276+1)+17,"00"),"")&amp;IF($C1276&gt;=19,", "&amp;$A1276&amp;"-"&amp;TEXT(($D1276-$C1276+1)+18,"00"),"")&amp;IF($C1276&gt;=20,", "&amp;$A1276&amp;"-"&amp;TEXT(($D1276-$C1276+1)+19,"00"),"")&amp;IF($C1276&gt;=21,", "&amp;$A1276&amp;"-"&amp;TEXT(($D1276-$C1276+1)+20,"00"),"")&amp;IF($C1276&gt;=22,", "&amp;$A1276&amp;"-"&amp;TEXT(($D1276-$C1276+1)+21,"00"),"")&amp;IF($C1276&gt;=23,", "&amp;$A1276&amp;"-"&amp;TEXT(($D1276-$C1276+1)+22,"00"),"")&amp;IF($C1276&gt;=24,", "&amp;$A1276&amp;"-"&amp;TEXT(($D1276-$C1276+1)+23,"00"),"")&amp;IF($C1276&gt;=25,", "&amp;$A1276&amp;"-"&amp;TEXT(($D1276-$C1276+1)+24,"00"),""))</f>
        <v/>
      </c>
      <c r="G1276">
        <f>IF($A1276="","",IF($E1276=1,$F1276,IF($F1276="",$G1275,IF($G1275="",$F1276,$G1275&amp;", "&amp;$F1276))))</f>
        <v/>
      </c>
      <c r="H1276">
        <f>IF($A1276="","",$A1276&amp;" ("&amp;$C1276&amp;")")</f>
        <v/>
      </c>
      <c r="I1276">
        <f>IF($A1276="","",IF($E1276=1,$H1276,$I1275&amp;", "&amp;$H1276))</f>
        <v/>
      </c>
      <c r="J1276">
        <f>IF($A1276="","",IF($E1276=1,$B1276,""))</f>
        <v/>
      </c>
      <c r="K1276">
        <f>IF($A1276="","",IF(COUNTIF($B$2:$B1276,$B1276)=COUNTIF($B$2:$B$1601,$B1276),$B1276,""))</f>
        <v/>
      </c>
    </row>
    <row r="1277">
      <c r="A1277">
        <f>IF('TMP Paste'!$E1277="","",'TMP Paste'!$E1277)</f>
        <v/>
      </c>
      <c r="B1277">
        <f>IF($A1277="","",COUNTIF('TMP Paste'!$B$2:$B1277,"?*"))</f>
        <v/>
      </c>
      <c r="C1277">
        <f>IF($A1277="","",IFERROR('TMP Paste'!$M1277*1,0))</f>
        <v/>
      </c>
      <c r="D1277">
        <f>IF($A1277="","",SUMIF($B$2:$B1277,$B1277,$C$2:$C1277))</f>
        <v/>
      </c>
      <c r="E1277">
        <f>IF($A1277="",0,IF('TMP Paste'!$B1277="",0,1))</f>
        <v/>
      </c>
      <c r="F1277">
        <f>IF(OR($A1277="",$C1277&lt;1),"",$A1277&amp;"-"&amp;TEXT(($D1277-$C1277+1),"00")&amp;IF($C1277&gt;=2,", "&amp;$A1277&amp;"-"&amp;TEXT(($D1277-$C1277+1)+1,"00"),"")&amp;IF($C1277&gt;=3,", "&amp;$A1277&amp;"-"&amp;TEXT(($D1277-$C1277+1)+2,"00"),"")&amp;IF($C1277&gt;=4,", "&amp;$A1277&amp;"-"&amp;TEXT(($D1277-$C1277+1)+3,"00"),"")&amp;IF($C1277&gt;=5,", "&amp;$A1277&amp;"-"&amp;TEXT(($D1277-$C1277+1)+4,"00"),"")&amp;IF($C1277&gt;=6,", "&amp;$A1277&amp;"-"&amp;TEXT(($D1277-$C1277+1)+5,"00"),"")&amp;IF($C1277&gt;=7,", "&amp;$A1277&amp;"-"&amp;TEXT(($D1277-$C1277+1)+6,"00"),"")&amp;IF($C1277&gt;=8,", "&amp;$A1277&amp;"-"&amp;TEXT(($D1277-$C1277+1)+7,"00"),"")&amp;IF($C1277&gt;=9,", "&amp;$A1277&amp;"-"&amp;TEXT(($D1277-$C1277+1)+8,"00"),"")&amp;IF($C1277&gt;=10,", "&amp;$A1277&amp;"-"&amp;TEXT(($D1277-$C1277+1)+9,"00"),"")&amp;IF($C1277&gt;=11,", "&amp;$A1277&amp;"-"&amp;TEXT(($D1277-$C1277+1)+10,"00"),"")&amp;IF($C1277&gt;=12,", "&amp;$A1277&amp;"-"&amp;TEXT(($D1277-$C1277+1)+11,"00"),"")&amp;IF($C1277&gt;=13,", "&amp;$A1277&amp;"-"&amp;TEXT(($D1277-$C1277+1)+12,"00"),"")&amp;IF($C1277&gt;=14,", "&amp;$A1277&amp;"-"&amp;TEXT(($D1277-$C1277+1)+13,"00"),"")&amp;IF($C1277&gt;=15,", "&amp;$A1277&amp;"-"&amp;TEXT(($D1277-$C1277+1)+14,"00"),"")&amp;IF($C1277&gt;=16,", "&amp;$A1277&amp;"-"&amp;TEXT(($D1277-$C1277+1)+15,"00"),"")&amp;IF($C1277&gt;=17,", "&amp;$A1277&amp;"-"&amp;TEXT(($D1277-$C1277+1)+16,"00"),"")&amp;IF($C1277&gt;=18,", "&amp;$A1277&amp;"-"&amp;TEXT(($D1277-$C1277+1)+17,"00"),"")&amp;IF($C1277&gt;=19,", "&amp;$A1277&amp;"-"&amp;TEXT(($D1277-$C1277+1)+18,"00"),"")&amp;IF($C1277&gt;=20,", "&amp;$A1277&amp;"-"&amp;TEXT(($D1277-$C1277+1)+19,"00"),"")&amp;IF($C1277&gt;=21,", "&amp;$A1277&amp;"-"&amp;TEXT(($D1277-$C1277+1)+20,"00"),"")&amp;IF($C1277&gt;=22,", "&amp;$A1277&amp;"-"&amp;TEXT(($D1277-$C1277+1)+21,"00"),"")&amp;IF($C1277&gt;=23,", "&amp;$A1277&amp;"-"&amp;TEXT(($D1277-$C1277+1)+22,"00"),"")&amp;IF($C1277&gt;=24,", "&amp;$A1277&amp;"-"&amp;TEXT(($D1277-$C1277+1)+23,"00"),"")&amp;IF($C1277&gt;=25,", "&amp;$A1277&amp;"-"&amp;TEXT(($D1277-$C1277+1)+24,"00"),""))</f>
        <v/>
      </c>
      <c r="G1277">
        <f>IF($A1277="","",IF($E1277=1,$F1277,IF($F1277="",$G1276,IF($G1276="",$F1277,$G1276&amp;", "&amp;$F1277))))</f>
        <v/>
      </c>
      <c r="H1277">
        <f>IF($A1277="","",$A1277&amp;" ("&amp;$C1277&amp;")")</f>
        <v/>
      </c>
      <c r="I1277">
        <f>IF($A1277="","",IF($E1277=1,$H1277,$I1276&amp;", "&amp;$H1277))</f>
        <v/>
      </c>
      <c r="J1277">
        <f>IF($A1277="","",IF($E1277=1,$B1277,""))</f>
        <v/>
      </c>
      <c r="K1277">
        <f>IF($A1277="","",IF(COUNTIF($B$2:$B1277,$B1277)=COUNTIF($B$2:$B$1601,$B1277),$B1277,""))</f>
        <v/>
      </c>
    </row>
    <row r="1278">
      <c r="A1278">
        <f>IF('TMP Paste'!$E1278="","",'TMP Paste'!$E1278)</f>
        <v/>
      </c>
      <c r="B1278">
        <f>IF($A1278="","",COUNTIF('TMP Paste'!$B$2:$B1278,"?*"))</f>
        <v/>
      </c>
      <c r="C1278">
        <f>IF($A1278="","",IFERROR('TMP Paste'!$M1278*1,0))</f>
        <v/>
      </c>
      <c r="D1278">
        <f>IF($A1278="","",SUMIF($B$2:$B1278,$B1278,$C$2:$C1278))</f>
        <v/>
      </c>
      <c r="E1278">
        <f>IF($A1278="",0,IF('TMP Paste'!$B1278="",0,1))</f>
        <v/>
      </c>
      <c r="F1278">
        <f>IF(OR($A1278="",$C1278&lt;1),"",$A1278&amp;"-"&amp;TEXT(($D1278-$C1278+1),"00")&amp;IF($C1278&gt;=2,", "&amp;$A1278&amp;"-"&amp;TEXT(($D1278-$C1278+1)+1,"00"),"")&amp;IF($C1278&gt;=3,", "&amp;$A1278&amp;"-"&amp;TEXT(($D1278-$C1278+1)+2,"00"),"")&amp;IF($C1278&gt;=4,", "&amp;$A1278&amp;"-"&amp;TEXT(($D1278-$C1278+1)+3,"00"),"")&amp;IF($C1278&gt;=5,", "&amp;$A1278&amp;"-"&amp;TEXT(($D1278-$C1278+1)+4,"00"),"")&amp;IF($C1278&gt;=6,", "&amp;$A1278&amp;"-"&amp;TEXT(($D1278-$C1278+1)+5,"00"),"")&amp;IF($C1278&gt;=7,", "&amp;$A1278&amp;"-"&amp;TEXT(($D1278-$C1278+1)+6,"00"),"")&amp;IF($C1278&gt;=8,", "&amp;$A1278&amp;"-"&amp;TEXT(($D1278-$C1278+1)+7,"00"),"")&amp;IF($C1278&gt;=9,", "&amp;$A1278&amp;"-"&amp;TEXT(($D1278-$C1278+1)+8,"00"),"")&amp;IF($C1278&gt;=10,", "&amp;$A1278&amp;"-"&amp;TEXT(($D1278-$C1278+1)+9,"00"),"")&amp;IF($C1278&gt;=11,", "&amp;$A1278&amp;"-"&amp;TEXT(($D1278-$C1278+1)+10,"00"),"")&amp;IF($C1278&gt;=12,", "&amp;$A1278&amp;"-"&amp;TEXT(($D1278-$C1278+1)+11,"00"),"")&amp;IF($C1278&gt;=13,", "&amp;$A1278&amp;"-"&amp;TEXT(($D1278-$C1278+1)+12,"00"),"")&amp;IF($C1278&gt;=14,", "&amp;$A1278&amp;"-"&amp;TEXT(($D1278-$C1278+1)+13,"00"),"")&amp;IF($C1278&gt;=15,", "&amp;$A1278&amp;"-"&amp;TEXT(($D1278-$C1278+1)+14,"00"),"")&amp;IF($C1278&gt;=16,", "&amp;$A1278&amp;"-"&amp;TEXT(($D1278-$C1278+1)+15,"00"),"")&amp;IF($C1278&gt;=17,", "&amp;$A1278&amp;"-"&amp;TEXT(($D1278-$C1278+1)+16,"00"),"")&amp;IF($C1278&gt;=18,", "&amp;$A1278&amp;"-"&amp;TEXT(($D1278-$C1278+1)+17,"00"),"")&amp;IF($C1278&gt;=19,", "&amp;$A1278&amp;"-"&amp;TEXT(($D1278-$C1278+1)+18,"00"),"")&amp;IF($C1278&gt;=20,", "&amp;$A1278&amp;"-"&amp;TEXT(($D1278-$C1278+1)+19,"00"),"")&amp;IF($C1278&gt;=21,", "&amp;$A1278&amp;"-"&amp;TEXT(($D1278-$C1278+1)+20,"00"),"")&amp;IF($C1278&gt;=22,", "&amp;$A1278&amp;"-"&amp;TEXT(($D1278-$C1278+1)+21,"00"),"")&amp;IF($C1278&gt;=23,", "&amp;$A1278&amp;"-"&amp;TEXT(($D1278-$C1278+1)+22,"00"),"")&amp;IF($C1278&gt;=24,", "&amp;$A1278&amp;"-"&amp;TEXT(($D1278-$C1278+1)+23,"00"),"")&amp;IF($C1278&gt;=25,", "&amp;$A1278&amp;"-"&amp;TEXT(($D1278-$C1278+1)+24,"00"),""))</f>
        <v/>
      </c>
      <c r="G1278">
        <f>IF($A1278="","",IF($E1278=1,$F1278,IF($F1278="",$G1277,IF($G1277="",$F1278,$G1277&amp;", "&amp;$F1278))))</f>
        <v/>
      </c>
      <c r="H1278">
        <f>IF($A1278="","",$A1278&amp;" ("&amp;$C1278&amp;")")</f>
        <v/>
      </c>
      <c r="I1278">
        <f>IF($A1278="","",IF($E1278=1,$H1278,$I1277&amp;", "&amp;$H1278))</f>
        <v/>
      </c>
      <c r="J1278">
        <f>IF($A1278="","",IF($E1278=1,$B1278,""))</f>
        <v/>
      </c>
      <c r="K1278">
        <f>IF($A1278="","",IF(COUNTIF($B$2:$B1278,$B1278)=COUNTIF($B$2:$B$1601,$B1278),$B1278,""))</f>
        <v/>
      </c>
    </row>
    <row r="1279">
      <c r="A1279">
        <f>IF('TMP Paste'!$E1279="","",'TMP Paste'!$E1279)</f>
        <v/>
      </c>
      <c r="B1279">
        <f>IF($A1279="","",COUNTIF('TMP Paste'!$B$2:$B1279,"?*"))</f>
        <v/>
      </c>
      <c r="C1279">
        <f>IF($A1279="","",IFERROR('TMP Paste'!$M1279*1,0))</f>
        <v/>
      </c>
      <c r="D1279">
        <f>IF($A1279="","",SUMIF($B$2:$B1279,$B1279,$C$2:$C1279))</f>
        <v/>
      </c>
      <c r="E1279">
        <f>IF($A1279="",0,IF('TMP Paste'!$B1279="",0,1))</f>
        <v/>
      </c>
      <c r="F1279">
        <f>IF(OR($A1279="",$C1279&lt;1),"",$A1279&amp;"-"&amp;TEXT(($D1279-$C1279+1),"00")&amp;IF($C1279&gt;=2,", "&amp;$A1279&amp;"-"&amp;TEXT(($D1279-$C1279+1)+1,"00"),"")&amp;IF($C1279&gt;=3,", "&amp;$A1279&amp;"-"&amp;TEXT(($D1279-$C1279+1)+2,"00"),"")&amp;IF($C1279&gt;=4,", "&amp;$A1279&amp;"-"&amp;TEXT(($D1279-$C1279+1)+3,"00"),"")&amp;IF($C1279&gt;=5,", "&amp;$A1279&amp;"-"&amp;TEXT(($D1279-$C1279+1)+4,"00"),"")&amp;IF($C1279&gt;=6,", "&amp;$A1279&amp;"-"&amp;TEXT(($D1279-$C1279+1)+5,"00"),"")&amp;IF($C1279&gt;=7,", "&amp;$A1279&amp;"-"&amp;TEXT(($D1279-$C1279+1)+6,"00"),"")&amp;IF($C1279&gt;=8,", "&amp;$A1279&amp;"-"&amp;TEXT(($D1279-$C1279+1)+7,"00"),"")&amp;IF($C1279&gt;=9,", "&amp;$A1279&amp;"-"&amp;TEXT(($D1279-$C1279+1)+8,"00"),"")&amp;IF($C1279&gt;=10,", "&amp;$A1279&amp;"-"&amp;TEXT(($D1279-$C1279+1)+9,"00"),"")&amp;IF($C1279&gt;=11,", "&amp;$A1279&amp;"-"&amp;TEXT(($D1279-$C1279+1)+10,"00"),"")&amp;IF($C1279&gt;=12,", "&amp;$A1279&amp;"-"&amp;TEXT(($D1279-$C1279+1)+11,"00"),"")&amp;IF($C1279&gt;=13,", "&amp;$A1279&amp;"-"&amp;TEXT(($D1279-$C1279+1)+12,"00"),"")&amp;IF($C1279&gt;=14,", "&amp;$A1279&amp;"-"&amp;TEXT(($D1279-$C1279+1)+13,"00"),"")&amp;IF($C1279&gt;=15,", "&amp;$A1279&amp;"-"&amp;TEXT(($D1279-$C1279+1)+14,"00"),"")&amp;IF($C1279&gt;=16,", "&amp;$A1279&amp;"-"&amp;TEXT(($D1279-$C1279+1)+15,"00"),"")&amp;IF($C1279&gt;=17,", "&amp;$A1279&amp;"-"&amp;TEXT(($D1279-$C1279+1)+16,"00"),"")&amp;IF($C1279&gt;=18,", "&amp;$A1279&amp;"-"&amp;TEXT(($D1279-$C1279+1)+17,"00"),"")&amp;IF($C1279&gt;=19,", "&amp;$A1279&amp;"-"&amp;TEXT(($D1279-$C1279+1)+18,"00"),"")&amp;IF($C1279&gt;=20,", "&amp;$A1279&amp;"-"&amp;TEXT(($D1279-$C1279+1)+19,"00"),"")&amp;IF($C1279&gt;=21,", "&amp;$A1279&amp;"-"&amp;TEXT(($D1279-$C1279+1)+20,"00"),"")&amp;IF($C1279&gt;=22,", "&amp;$A1279&amp;"-"&amp;TEXT(($D1279-$C1279+1)+21,"00"),"")&amp;IF($C1279&gt;=23,", "&amp;$A1279&amp;"-"&amp;TEXT(($D1279-$C1279+1)+22,"00"),"")&amp;IF($C1279&gt;=24,", "&amp;$A1279&amp;"-"&amp;TEXT(($D1279-$C1279+1)+23,"00"),"")&amp;IF($C1279&gt;=25,", "&amp;$A1279&amp;"-"&amp;TEXT(($D1279-$C1279+1)+24,"00"),""))</f>
        <v/>
      </c>
      <c r="G1279">
        <f>IF($A1279="","",IF($E1279=1,$F1279,IF($F1279="",$G1278,IF($G1278="",$F1279,$G1278&amp;", "&amp;$F1279))))</f>
        <v/>
      </c>
      <c r="H1279">
        <f>IF($A1279="","",$A1279&amp;" ("&amp;$C1279&amp;")")</f>
        <v/>
      </c>
      <c r="I1279">
        <f>IF($A1279="","",IF($E1279=1,$H1279,$I1278&amp;", "&amp;$H1279))</f>
        <v/>
      </c>
      <c r="J1279">
        <f>IF($A1279="","",IF($E1279=1,$B1279,""))</f>
        <v/>
      </c>
      <c r="K1279">
        <f>IF($A1279="","",IF(COUNTIF($B$2:$B1279,$B1279)=COUNTIF($B$2:$B$1601,$B1279),$B1279,""))</f>
        <v/>
      </c>
    </row>
    <row r="1280">
      <c r="A1280">
        <f>IF('TMP Paste'!$E1280="","",'TMP Paste'!$E1280)</f>
        <v/>
      </c>
      <c r="B1280">
        <f>IF($A1280="","",COUNTIF('TMP Paste'!$B$2:$B1280,"?*"))</f>
        <v/>
      </c>
      <c r="C1280">
        <f>IF($A1280="","",IFERROR('TMP Paste'!$M1280*1,0))</f>
        <v/>
      </c>
      <c r="D1280">
        <f>IF($A1280="","",SUMIF($B$2:$B1280,$B1280,$C$2:$C1280))</f>
        <v/>
      </c>
      <c r="E1280">
        <f>IF($A1280="",0,IF('TMP Paste'!$B1280="",0,1))</f>
        <v/>
      </c>
      <c r="F1280">
        <f>IF(OR($A1280="",$C1280&lt;1),"",$A1280&amp;"-"&amp;TEXT(($D1280-$C1280+1),"00")&amp;IF($C1280&gt;=2,", "&amp;$A1280&amp;"-"&amp;TEXT(($D1280-$C1280+1)+1,"00"),"")&amp;IF($C1280&gt;=3,", "&amp;$A1280&amp;"-"&amp;TEXT(($D1280-$C1280+1)+2,"00"),"")&amp;IF($C1280&gt;=4,", "&amp;$A1280&amp;"-"&amp;TEXT(($D1280-$C1280+1)+3,"00"),"")&amp;IF($C1280&gt;=5,", "&amp;$A1280&amp;"-"&amp;TEXT(($D1280-$C1280+1)+4,"00"),"")&amp;IF($C1280&gt;=6,", "&amp;$A1280&amp;"-"&amp;TEXT(($D1280-$C1280+1)+5,"00"),"")&amp;IF($C1280&gt;=7,", "&amp;$A1280&amp;"-"&amp;TEXT(($D1280-$C1280+1)+6,"00"),"")&amp;IF($C1280&gt;=8,", "&amp;$A1280&amp;"-"&amp;TEXT(($D1280-$C1280+1)+7,"00"),"")&amp;IF($C1280&gt;=9,", "&amp;$A1280&amp;"-"&amp;TEXT(($D1280-$C1280+1)+8,"00"),"")&amp;IF($C1280&gt;=10,", "&amp;$A1280&amp;"-"&amp;TEXT(($D1280-$C1280+1)+9,"00"),"")&amp;IF($C1280&gt;=11,", "&amp;$A1280&amp;"-"&amp;TEXT(($D1280-$C1280+1)+10,"00"),"")&amp;IF($C1280&gt;=12,", "&amp;$A1280&amp;"-"&amp;TEXT(($D1280-$C1280+1)+11,"00"),"")&amp;IF($C1280&gt;=13,", "&amp;$A1280&amp;"-"&amp;TEXT(($D1280-$C1280+1)+12,"00"),"")&amp;IF($C1280&gt;=14,", "&amp;$A1280&amp;"-"&amp;TEXT(($D1280-$C1280+1)+13,"00"),"")&amp;IF($C1280&gt;=15,", "&amp;$A1280&amp;"-"&amp;TEXT(($D1280-$C1280+1)+14,"00"),"")&amp;IF($C1280&gt;=16,", "&amp;$A1280&amp;"-"&amp;TEXT(($D1280-$C1280+1)+15,"00"),"")&amp;IF($C1280&gt;=17,", "&amp;$A1280&amp;"-"&amp;TEXT(($D1280-$C1280+1)+16,"00"),"")&amp;IF($C1280&gt;=18,", "&amp;$A1280&amp;"-"&amp;TEXT(($D1280-$C1280+1)+17,"00"),"")&amp;IF($C1280&gt;=19,", "&amp;$A1280&amp;"-"&amp;TEXT(($D1280-$C1280+1)+18,"00"),"")&amp;IF($C1280&gt;=20,", "&amp;$A1280&amp;"-"&amp;TEXT(($D1280-$C1280+1)+19,"00"),"")&amp;IF($C1280&gt;=21,", "&amp;$A1280&amp;"-"&amp;TEXT(($D1280-$C1280+1)+20,"00"),"")&amp;IF($C1280&gt;=22,", "&amp;$A1280&amp;"-"&amp;TEXT(($D1280-$C1280+1)+21,"00"),"")&amp;IF($C1280&gt;=23,", "&amp;$A1280&amp;"-"&amp;TEXT(($D1280-$C1280+1)+22,"00"),"")&amp;IF($C1280&gt;=24,", "&amp;$A1280&amp;"-"&amp;TEXT(($D1280-$C1280+1)+23,"00"),"")&amp;IF($C1280&gt;=25,", "&amp;$A1280&amp;"-"&amp;TEXT(($D1280-$C1280+1)+24,"00"),""))</f>
        <v/>
      </c>
      <c r="G1280">
        <f>IF($A1280="","",IF($E1280=1,$F1280,IF($F1280="",$G1279,IF($G1279="",$F1280,$G1279&amp;", "&amp;$F1280))))</f>
        <v/>
      </c>
      <c r="H1280">
        <f>IF($A1280="","",$A1280&amp;" ("&amp;$C1280&amp;")")</f>
        <v/>
      </c>
      <c r="I1280">
        <f>IF($A1280="","",IF($E1280=1,$H1280,$I1279&amp;", "&amp;$H1280))</f>
        <v/>
      </c>
      <c r="J1280">
        <f>IF($A1280="","",IF($E1280=1,$B1280,""))</f>
        <v/>
      </c>
      <c r="K1280">
        <f>IF($A1280="","",IF(COUNTIF($B$2:$B1280,$B1280)=COUNTIF($B$2:$B$1601,$B1280),$B1280,""))</f>
        <v/>
      </c>
    </row>
    <row r="1281">
      <c r="A1281">
        <f>IF('TMP Paste'!$E1281="","",'TMP Paste'!$E1281)</f>
        <v/>
      </c>
      <c r="B1281">
        <f>IF($A1281="","",COUNTIF('TMP Paste'!$B$2:$B1281,"?*"))</f>
        <v/>
      </c>
      <c r="C1281">
        <f>IF($A1281="","",IFERROR('TMP Paste'!$M1281*1,0))</f>
        <v/>
      </c>
      <c r="D1281">
        <f>IF($A1281="","",SUMIF($B$2:$B1281,$B1281,$C$2:$C1281))</f>
        <v/>
      </c>
      <c r="E1281">
        <f>IF($A1281="",0,IF('TMP Paste'!$B1281="",0,1))</f>
        <v/>
      </c>
      <c r="F1281">
        <f>IF(OR($A1281="",$C1281&lt;1),"",$A1281&amp;"-"&amp;TEXT(($D1281-$C1281+1),"00")&amp;IF($C1281&gt;=2,", "&amp;$A1281&amp;"-"&amp;TEXT(($D1281-$C1281+1)+1,"00"),"")&amp;IF($C1281&gt;=3,", "&amp;$A1281&amp;"-"&amp;TEXT(($D1281-$C1281+1)+2,"00"),"")&amp;IF($C1281&gt;=4,", "&amp;$A1281&amp;"-"&amp;TEXT(($D1281-$C1281+1)+3,"00"),"")&amp;IF($C1281&gt;=5,", "&amp;$A1281&amp;"-"&amp;TEXT(($D1281-$C1281+1)+4,"00"),"")&amp;IF($C1281&gt;=6,", "&amp;$A1281&amp;"-"&amp;TEXT(($D1281-$C1281+1)+5,"00"),"")&amp;IF($C1281&gt;=7,", "&amp;$A1281&amp;"-"&amp;TEXT(($D1281-$C1281+1)+6,"00"),"")&amp;IF($C1281&gt;=8,", "&amp;$A1281&amp;"-"&amp;TEXT(($D1281-$C1281+1)+7,"00"),"")&amp;IF($C1281&gt;=9,", "&amp;$A1281&amp;"-"&amp;TEXT(($D1281-$C1281+1)+8,"00"),"")&amp;IF($C1281&gt;=10,", "&amp;$A1281&amp;"-"&amp;TEXT(($D1281-$C1281+1)+9,"00"),"")&amp;IF($C1281&gt;=11,", "&amp;$A1281&amp;"-"&amp;TEXT(($D1281-$C1281+1)+10,"00"),"")&amp;IF($C1281&gt;=12,", "&amp;$A1281&amp;"-"&amp;TEXT(($D1281-$C1281+1)+11,"00"),"")&amp;IF($C1281&gt;=13,", "&amp;$A1281&amp;"-"&amp;TEXT(($D1281-$C1281+1)+12,"00"),"")&amp;IF($C1281&gt;=14,", "&amp;$A1281&amp;"-"&amp;TEXT(($D1281-$C1281+1)+13,"00"),"")&amp;IF($C1281&gt;=15,", "&amp;$A1281&amp;"-"&amp;TEXT(($D1281-$C1281+1)+14,"00"),"")&amp;IF($C1281&gt;=16,", "&amp;$A1281&amp;"-"&amp;TEXT(($D1281-$C1281+1)+15,"00"),"")&amp;IF($C1281&gt;=17,", "&amp;$A1281&amp;"-"&amp;TEXT(($D1281-$C1281+1)+16,"00"),"")&amp;IF($C1281&gt;=18,", "&amp;$A1281&amp;"-"&amp;TEXT(($D1281-$C1281+1)+17,"00"),"")&amp;IF($C1281&gt;=19,", "&amp;$A1281&amp;"-"&amp;TEXT(($D1281-$C1281+1)+18,"00"),"")&amp;IF($C1281&gt;=20,", "&amp;$A1281&amp;"-"&amp;TEXT(($D1281-$C1281+1)+19,"00"),"")&amp;IF($C1281&gt;=21,", "&amp;$A1281&amp;"-"&amp;TEXT(($D1281-$C1281+1)+20,"00"),"")&amp;IF($C1281&gt;=22,", "&amp;$A1281&amp;"-"&amp;TEXT(($D1281-$C1281+1)+21,"00"),"")&amp;IF($C1281&gt;=23,", "&amp;$A1281&amp;"-"&amp;TEXT(($D1281-$C1281+1)+22,"00"),"")&amp;IF($C1281&gt;=24,", "&amp;$A1281&amp;"-"&amp;TEXT(($D1281-$C1281+1)+23,"00"),"")&amp;IF($C1281&gt;=25,", "&amp;$A1281&amp;"-"&amp;TEXT(($D1281-$C1281+1)+24,"00"),""))</f>
        <v/>
      </c>
      <c r="G1281">
        <f>IF($A1281="","",IF($E1281=1,$F1281,IF($F1281="",$G1280,IF($G1280="",$F1281,$G1280&amp;", "&amp;$F1281))))</f>
        <v/>
      </c>
      <c r="H1281">
        <f>IF($A1281="","",$A1281&amp;" ("&amp;$C1281&amp;")")</f>
        <v/>
      </c>
      <c r="I1281">
        <f>IF($A1281="","",IF($E1281=1,$H1281,$I1280&amp;", "&amp;$H1281))</f>
        <v/>
      </c>
      <c r="J1281">
        <f>IF($A1281="","",IF($E1281=1,$B1281,""))</f>
        <v/>
      </c>
      <c r="K1281">
        <f>IF($A1281="","",IF(COUNTIF($B$2:$B1281,$B1281)=COUNTIF($B$2:$B$1601,$B1281),$B1281,""))</f>
        <v/>
      </c>
    </row>
    <row r="1282">
      <c r="A1282">
        <f>IF('TMP Paste'!$E1282="","",'TMP Paste'!$E1282)</f>
        <v/>
      </c>
      <c r="B1282">
        <f>IF($A1282="","",COUNTIF('TMP Paste'!$B$2:$B1282,"?*"))</f>
        <v/>
      </c>
      <c r="C1282">
        <f>IF($A1282="","",IFERROR('TMP Paste'!$M1282*1,0))</f>
        <v/>
      </c>
      <c r="D1282">
        <f>IF($A1282="","",SUMIF($B$2:$B1282,$B1282,$C$2:$C1282))</f>
        <v/>
      </c>
      <c r="E1282">
        <f>IF($A1282="",0,IF('TMP Paste'!$B1282="",0,1))</f>
        <v/>
      </c>
      <c r="F1282">
        <f>IF(OR($A1282="",$C1282&lt;1),"",$A1282&amp;"-"&amp;TEXT(($D1282-$C1282+1),"00")&amp;IF($C1282&gt;=2,", "&amp;$A1282&amp;"-"&amp;TEXT(($D1282-$C1282+1)+1,"00"),"")&amp;IF($C1282&gt;=3,", "&amp;$A1282&amp;"-"&amp;TEXT(($D1282-$C1282+1)+2,"00"),"")&amp;IF($C1282&gt;=4,", "&amp;$A1282&amp;"-"&amp;TEXT(($D1282-$C1282+1)+3,"00"),"")&amp;IF($C1282&gt;=5,", "&amp;$A1282&amp;"-"&amp;TEXT(($D1282-$C1282+1)+4,"00"),"")&amp;IF($C1282&gt;=6,", "&amp;$A1282&amp;"-"&amp;TEXT(($D1282-$C1282+1)+5,"00"),"")&amp;IF($C1282&gt;=7,", "&amp;$A1282&amp;"-"&amp;TEXT(($D1282-$C1282+1)+6,"00"),"")&amp;IF($C1282&gt;=8,", "&amp;$A1282&amp;"-"&amp;TEXT(($D1282-$C1282+1)+7,"00"),"")&amp;IF($C1282&gt;=9,", "&amp;$A1282&amp;"-"&amp;TEXT(($D1282-$C1282+1)+8,"00"),"")&amp;IF($C1282&gt;=10,", "&amp;$A1282&amp;"-"&amp;TEXT(($D1282-$C1282+1)+9,"00"),"")&amp;IF($C1282&gt;=11,", "&amp;$A1282&amp;"-"&amp;TEXT(($D1282-$C1282+1)+10,"00"),"")&amp;IF($C1282&gt;=12,", "&amp;$A1282&amp;"-"&amp;TEXT(($D1282-$C1282+1)+11,"00"),"")&amp;IF($C1282&gt;=13,", "&amp;$A1282&amp;"-"&amp;TEXT(($D1282-$C1282+1)+12,"00"),"")&amp;IF($C1282&gt;=14,", "&amp;$A1282&amp;"-"&amp;TEXT(($D1282-$C1282+1)+13,"00"),"")&amp;IF($C1282&gt;=15,", "&amp;$A1282&amp;"-"&amp;TEXT(($D1282-$C1282+1)+14,"00"),"")&amp;IF($C1282&gt;=16,", "&amp;$A1282&amp;"-"&amp;TEXT(($D1282-$C1282+1)+15,"00"),"")&amp;IF($C1282&gt;=17,", "&amp;$A1282&amp;"-"&amp;TEXT(($D1282-$C1282+1)+16,"00"),"")&amp;IF($C1282&gt;=18,", "&amp;$A1282&amp;"-"&amp;TEXT(($D1282-$C1282+1)+17,"00"),"")&amp;IF($C1282&gt;=19,", "&amp;$A1282&amp;"-"&amp;TEXT(($D1282-$C1282+1)+18,"00"),"")&amp;IF($C1282&gt;=20,", "&amp;$A1282&amp;"-"&amp;TEXT(($D1282-$C1282+1)+19,"00"),"")&amp;IF($C1282&gt;=21,", "&amp;$A1282&amp;"-"&amp;TEXT(($D1282-$C1282+1)+20,"00"),"")&amp;IF($C1282&gt;=22,", "&amp;$A1282&amp;"-"&amp;TEXT(($D1282-$C1282+1)+21,"00"),"")&amp;IF($C1282&gt;=23,", "&amp;$A1282&amp;"-"&amp;TEXT(($D1282-$C1282+1)+22,"00"),"")&amp;IF($C1282&gt;=24,", "&amp;$A1282&amp;"-"&amp;TEXT(($D1282-$C1282+1)+23,"00"),"")&amp;IF($C1282&gt;=25,", "&amp;$A1282&amp;"-"&amp;TEXT(($D1282-$C1282+1)+24,"00"),""))</f>
        <v/>
      </c>
      <c r="G1282">
        <f>IF($A1282="","",IF($E1282=1,$F1282,IF($F1282="",$G1281,IF($G1281="",$F1282,$G1281&amp;", "&amp;$F1282))))</f>
        <v/>
      </c>
      <c r="H1282">
        <f>IF($A1282="","",$A1282&amp;" ("&amp;$C1282&amp;")")</f>
        <v/>
      </c>
      <c r="I1282">
        <f>IF($A1282="","",IF($E1282=1,$H1282,$I1281&amp;", "&amp;$H1282))</f>
        <v/>
      </c>
      <c r="J1282">
        <f>IF($A1282="","",IF($E1282=1,$B1282,""))</f>
        <v/>
      </c>
      <c r="K1282">
        <f>IF($A1282="","",IF(COUNTIF($B$2:$B1282,$B1282)=COUNTIF($B$2:$B$1601,$B1282),$B1282,""))</f>
        <v/>
      </c>
    </row>
    <row r="1283">
      <c r="A1283">
        <f>IF('TMP Paste'!$E1283="","",'TMP Paste'!$E1283)</f>
        <v/>
      </c>
      <c r="B1283">
        <f>IF($A1283="","",COUNTIF('TMP Paste'!$B$2:$B1283,"?*"))</f>
        <v/>
      </c>
      <c r="C1283">
        <f>IF($A1283="","",IFERROR('TMP Paste'!$M1283*1,0))</f>
        <v/>
      </c>
      <c r="D1283">
        <f>IF($A1283="","",SUMIF($B$2:$B1283,$B1283,$C$2:$C1283))</f>
        <v/>
      </c>
      <c r="E1283">
        <f>IF($A1283="",0,IF('TMP Paste'!$B1283="",0,1))</f>
        <v/>
      </c>
      <c r="F1283">
        <f>IF(OR($A1283="",$C1283&lt;1),"",$A1283&amp;"-"&amp;TEXT(($D1283-$C1283+1),"00")&amp;IF($C1283&gt;=2,", "&amp;$A1283&amp;"-"&amp;TEXT(($D1283-$C1283+1)+1,"00"),"")&amp;IF($C1283&gt;=3,", "&amp;$A1283&amp;"-"&amp;TEXT(($D1283-$C1283+1)+2,"00"),"")&amp;IF($C1283&gt;=4,", "&amp;$A1283&amp;"-"&amp;TEXT(($D1283-$C1283+1)+3,"00"),"")&amp;IF($C1283&gt;=5,", "&amp;$A1283&amp;"-"&amp;TEXT(($D1283-$C1283+1)+4,"00"),"")&amp;IF($C1283&gt;=6,", "&amp;$A1283&amp;"-"&amp;TEXT(($D1283-$C1283+1)+5,"00"),"")&amp;IF($C1283&gt;=7,", "&amp;$A1283&amp;"-"&amp;TEXT(($D1283-$C1283+1)+6,"00"),"")&amp;IF($C1283&gt;=8,", "&amp;$A1283&amp;"-"&amp;TEXT(($D1283-$C1283+1)+7,"00"),"")&amp;IF($C1283&gt;=9,", "&amp;$A1283&amp;"-"&amp;TEXT(($D1283-$C1283+1)+8,"00"),"")&amp;IF($C1283&gt;=10,", "&amp;$A1283&amp;"-"&amp;TEXT(($D1283-$C1283+1)+9,"00"),"")&amp;IF($C1283&gt;=11,", "&amp;$A1283&amp;"-"&amp;TEXT(($D1283-$C1283+1)+10,"00"),"")&amp;IF($C1283&gt;=12,", "&amp;$A1283&amp;"-"&amp;TEXT(($D1283-$C1283+1)+11,"00"),"")&amp;IF($C1283&gt;=13,", "&amp;$A1283&amp;"-"&amp;TEXT(($D1283-$C1283+1)+12,"00"),"")&amp;IF($C1283&gt;=14,", "&amp;$A1283&amp;"-"&amp;TEXT(($D1283-$C1283+1)+13,"00"),"")&amp;IF($C1283&gt;=15,", "&amp;$A1283&amp;"-"&amp;TEXT(($D1283-$C1283+1)+14,"00"),"")&amp;IF($C1283&gt;=16,", "&amp;$A1283&amp;"-"&amp;TEXT(($D1283-$C1283+1)+15,"00"),"")&amp;IF($C1283&gt;=17,", "&amp;$A1283&amp;"-"&amp;TEXT(($D1283-$C1283+1)+16,"00"),"")&amp;IF($C1283&gt;=18,", "&amp;$A1283&amp;"-"&amp;TEXT(($D1283-$C1283+1)+17,"00"),"")&amp;IF($C1283&gt;=19,", "&amp;$A1283&amp;"-"&amp;TEXT(($D1283-$C1283+1)+18,"00"),"")&amp;IF($C1283&gt;=20,", "&amp;$A1283&amp;"-"&amp;TEXT(($D1283-$C1283+1)+19,"00"),"")&amp;IF($C1283&gt;=21,", "&amp;$A1283&amp;"-"&amp;TEXT(($D1283-$C1283+1)+20,"00"),"")&amp;IF($C1283&gt;=22,", "&amp;$A1283&amp;"-"&amp;TEXT(($D1283-$C1283+1)+21,"00"),"")&amp;IF($C1283&gt;=23,", "&amp;$A1283&amp;"-"&amp;TEXT(($D1283-$C1283+1)+22,"00"),"")&amp;IF($C1283&gt;=24,", "&amp;$A1283&amp;"-"&amp;TEXT(($D1283-$C1283+1)+23,"00"),"")&amp;IF($C1283&gt;=25,", "&amp;$A1283&amp;"-"&amp;TEXT(($D1283-$C1283+1)+24,"00"),""))</f>
        <v/>
      </c>
      <c r="G1283">
        <f>IF($A1283="","",IF($E1283=1,$F1283,IF($F1283="",$G1282,IF($G1282="",$F1283,$G1282&amp;", "&amp;$F1283))))</f>
        <v/>
      </c>
      <c r="H1283">
        <f>IF($A1283="","",$A1283&amp;" ("&amp;$C1283&amp;")")</f>
        <v/>
      </c>
      <c r="I1283">
        <f>IF($A1283="","",IF($E1283=1,$H1283,$I1282&amp;", "&amp;$H1283))</f>
        <v/>
      </c>
      <c r="J1283">
        <f>IF($A1283="","",IF($E1283=1,$B1283,""))</f>
        <v/>
      </c>
      <c r="K1283">
        <f>IF($A1283="","",IF(COUNTIF($B$2:$B1283,$B1283)=COUNTIF($B$2:$B$1601,$B1283),$B1283,""))</f>
        <v/>
      </c>
    </row>
    <row r="1284">
      <c r="A1284">
        <f>IF('TMP Paste'!$E1284="","",'TMP Paste'!$E1284)</f>
        <v/>
      </c>
      <c r="B1284">
        <f>IF($A1284="","",COUNTIF('TMP Paste'!$B$2:$B1284,"?*"))</f>
        <v/>
      </c>
      <c r="C1284">
        <f>IF($A1284="","",IFERROR('TMP Paste'!$M1284*1,0))</f>
        <v/>
      </c>
      <c r="D1284">
        <f>IF($A1284="","",SUMIF($B$2:$B1284,$B1284,$C$2:$C1284))</f>
        <v/>
      </c>
      <c r="E1284">
        <f>IF($A1284="",0,IF('TMP Paste'!$B1284="",0,1))</f>
        <v/>
      </c>
      <c r="F1284">
        <f>IF(OR($A1284="",$C1284&lt;1),"",$A1284&amp;"-"&amp;TEXT(($D1284-$C1284+1),"00")&amp;IF($C1284&gt;=2,", "&amp;$A1284&amp;"-"&amp;TEXT(($D1284-$C1284+1)+1,"00"),"")&amp;IF($C1284&gt;=3,", "&amp;$A1284&amp;"-"&amp;TEXT(($D1284-$C1284+1)+2,"00"),"")&amp;IF($C1284&gt;=4,", "&amp;$A1284&amp;"-"&amp;TEXT(($D1284-$C1284+1)+3,"00"),"")&amp;IF($C1284&gt;=5,", "&amp;$A1284&amp;"-"&amp;TEXT(($D1284-$C1284+1)+4,"00"),"")&amp;IF($C1284&gt;=6,", "&amp;$A1284&amp;"-"&amp;TEXT(($D1284-$C1284+1)+5,"00"),"")&amp;IF($C1284&gt;=7,", "&amp;$A1284&amp;"-"&amp;TEXT(($D1284-$C1284+1)+6,"00"),"")&amp;IF($C1284&gt;=8,", "&amp;$A1284&amp;"-"&amp;TEXT(($D1284-$C1284+1)+7,"00"),"")&amp;IF($C1284&gt;=9,", "&amp;$A1284&amp;"-"&amp;TEXT(($D1284-$C1284+1)+8,"00"),"")&amp;IF($C1284&gt;=10,", "&amp;$A1284&amp;"-"&amp;TEXT(($D1284-$C1284+1)+9,"00"),"")&amp;IF($C1284&gt;=11,", "&amp;$A1284&amp;"-"&amp;TEXT(($D1284-$C1284+1)+10,"00"),"")&amp;IF($C1284&gt;=12,", "&amp;$A1284&amp;"-"&amp;TEXT(($D1284-$C1284+1)+11,"00"),"")&amp;IF($C1284&gt;=13,", "&amp;$A1284&amp;"-"&amp;TEXT(($D1284-$C1284+1)+12,"00"),"")&amp;IF($C1284&gt;=14,", "&amp;$A1284&amp;"-"&amp;TEXT(($D1284-$C1284+1)+13,"00"),"")&amp;IF($C1284&gt;=15,", "&amp;$A1284&amp;"-"&amp;TEXT(($D1284-$C1284+1)+14,"00"),"")&amp;IF($C1284&gt;=16,", "&amp;$A1284&amp;"-"&amp;TEXT(($D1284-$C1284+1)+15,"00"),"")&amp;IF($C1284&gt;=17,", "&amp;$A1284&amp;"-"&amp;TEXT(($D1284-$C1284+1)+16,"00"),"")&amp;IF($C1284&gt;=18,", "&amp;$A1284&amp;"-"&amp;TEXT(($D1284-$C1284+1)+17,"00"),"")&amp;IF($C1284&gt;=19,", "&amp;$A1284&amp;"-"&amp;TEXT(($D1284-$C1284+1)+18,"00"),"")&amp;IF($C1284&gt;=20,", "&amp;$A1284&amp;"-"&amp;TEXT(($D1284-$C1284+1)+19,"00"),"")&amp;IF($C1284&gt;=21,", "&amp;$A1284&amp;"-"&amp;TEXT(($D1284-$C1284+1)+20,"00"),"")&amp;IF($C1284&gt;=22,", "&amp;$A1284&amp;"-"&amp;TEXT(($D1284-$C1284+1)+21,"00"),"")&amp;IF($C1284&gt;=23,", "&amp;$A1284&amp;"-"&amp;TEXT(($D1284-$C1284+1)+22,"00"),"")&amp;IF($C1284&gt;=24,", "&amp;$A1284&amp;"-"&amp;TEXT(($D1284-$C1284+1)+23,"00"),"")&amp;IF($C1284&gt;=25,", "&amp;$A1284&amp;"-"&amp;TEXT(($D1284-$C1284+1)+24,"00"),""))</f>
        <v/>
      </c>
      <c r="G1284">
        <f>IF($A1284="","",IF($E1284=1,$F1284,IF($F1284="",$G1283,IF($G1283="",$F1284,$G1283&amp;", "&amp;$F1284))))</f>
        <v/>
      </c>
      <c r="H1284">
        <f>IF($A1284="","",$A1284&amp;" ("&amp;$C1284&amp;")")</f>
        <v/>
      </c>
      <c r="I1284">
        <f>IF($A1284="","",IF($E1284=1,$H1284,$I1283&amp;", "&amp;$H1284))</f>
        <v/>
      </c>
      <c r="J1284">
        <f>IF($A1284="","",IF($E1284=1,$B1284,""))</f>
        <v/>
      </c>
      <c r="K1284">
        <f>IF($A1284="","",IF(COUNTIF($B$2:$B1284,$B1284)=COUNTIF($B$2:$B$1601,$B1284),$B1284,""))</f>
        <v/>
      </c>
    </row>
    <row r="1285">
      <c r="A1285">
        <f>IF('TMP Paste'!$E1285="","",'TMP Paste'!$E1285)</f>
        <v/>
      </c>
      <c r="B1285">
        <f>IF($A1285="","",COUNTIF('TMP Paste'!$B$2:$B1285,"?*"))</f>
        <v/>
      </c>
      <c r="C1285">
        <f>IF($A1285="","",IFERROR('TMP Paste'!$M1285*1,0))</f>
        <v/>
      </c>
      <c r="D1285">
        <f>IF($A1285="","",SUMIF($B$2:$B1285,$B1285,$C$2:$C1285))</f>
        <v/>
      </c>
      <c r="E1285">
        <f>IF($A1285="",0,IF('TMP Paste'!$B1285="",0,1))</f>
        <v/>
      </c>
      <c r="F1285">
        <f>IF(OR($A1285="",$C1285&lt;1),"",$A1285&amp;"-"&amp;TEXT(($D1285-$C1285+1),"00")&amp;IF($C1285&gt;=2,", "&amp;$A1285&amp;"-"&amp;TEXT(($D1285-$C1285+1)+1,"00"),"")&amp;IF($C1285&gt;=3,", "&amp;$A1285&amp;"-"&amp;TEXT(($D1285-$C1285+1)+2,"00"),"")&amp;IF($C1285&gt;=4,", "&amp;$A1285&amp;"-"&amp;TEXT(($D1285-$C1285+1)+3,"00"),"")&amp;IF($C1285&gt;=5,", "&amp;$A1285&amp;"-"&amp;TEXT(($D1285-$C1285+1)+4,"00"),"")&amp;IF($C1285&gt;=6,", "&amp;$A1285&amp;"-"&amp;TEXT(($D1285-$C1285+1)+5,"00"),"")&amp;IF($C1285&gt;=7,", "&amp;$A1285&amp;"-"&amp;TEXT(($D1285-$C1285+1)+6,"00"),"")&amp;IF($C1285&gt;=8,", "&amp;$A1285&amp;"-"&amp;TEXT(($D1285-$C1285+1)+7,"00"),"")&amp;IF($C1285&gt;=9,", "&amp;$A1285&amp;"-"&amp;TEXT(($D1285-$C1285+1)+8,"00"),"")&amp;IF($C1285&gt;=10,", "&amp;$A1285&amp;"-"&amp;TEXT(($D1285-$C1285+1)+9,"00"),"")&amp;IF($C1285&gt;=11,", "&amp;$A1285&amp;"-"&amp;TEXT(($D1285-$C1285+1)+10,"00"),"")&amp;IF($C1285&gt;=12,", "&amp;$A1285&amp;"-"&amp;TEXT(($D1285-$C1285+1)+11,"00"),"")&amp;IF($C1285&gt;=13,", "&amp;$A1285&amp;"-"&amp;TEXT(($D1285-$C1285+1)+12,"00"),"")&amp;IF($C1285&gt;=14,", "&amp;$A1285&amp;"-"&amp;TEXT(($D1285-$C1285+1)+13,"00"),"")&amp;IF($C1285&gt;=15,", "&amp;$A1285&amp;"-"&amp;TEXT(($D1285-$C1285+1)+14,"00"),"")&amp;IF($C1285&gt;=16,", "&amp;$A1285&amp;"-"&amp;TEXT(($D1285-$C1285+1)+15,"00"),"")&amp;IF($C1285&gt;=17,", "&amp;$A1285&amp;"-"&amp;TEXT(($D1285-$C1285+1)+16,"00"),"")&amp;IF($C1285&gt;=18,", "&amp;$A1285&amp;"-"&amp;TEXT(($D1285-$C1285+1)+17,"00"),"")&amp;IF($C1285&gt;=19,", "&amp;$A1285&amp;"-"&amp;TEXT(($D1285-$C1285+1)+18,"00"),"")&amp;IF($C1285&gt;=20,", "&amp;$A1285&amp;"-"&amp;TEXT(($D1285-$C1285+1)+19,"00"),"")&amp;IF($C1285&gt;=21,", "&amp;$A1285&amp;"-"&amp;TEXT(($D1285-$C1285+1)+20,"00"),"")&amp;IF($C1285&gt;=22,", "&amp;$A1285&amp;"-"&amp;TEXT(($D1285-$C1285+1)+21,"00"),"")&amp;IF($C1285&gt;=23,", "&amp;$A1285&amp;"-"&amp;TEXT(($D1285-$C1285+1)+22,"00"),"")&amp;IF($C1285&gt;=24,", "&amp;$A1285&amp;"-"&amp;TEXT(($D1285-$C1285+1)+23,"00"),"")&amp;IF($C1285&gt;=25,", "&amp;$A1285&amp;"-"&amp;TEXT(($D1285-$C1285+1)+24,"00"),""))</f>
        <v/>
      </c>
      <c r="G1285">
        <f>IF($A1285="","",IF($E1285=1,$F1285,IF($F1285="",$G1284,IF($G1284="",$F1285,$G1284&amp;", "&amp;$F1285))))</f>
        <v/>
      </c>
      <c r="H1285">
        <f>IF($A1285="","",$A1285&amp;" ("&amp;$C1285&amp;")")</f>
        <v/>
      </c>
      <c r="I1285">
        <f>IF($A1285="","",IF($E1285=1,$H1285,$I1284&amp;", "&amp;$H1285))</f>
        <v/>
      </c>
      <c r="J1285">
        <f>IF($A1285="","",IF($E1285=1,$B1285,""))</f>
        <v/>
      </c>
      <c r="K1285">
        <f>IF($A1285="","",IF(COUNTIF($B$2:$B1285,$B1285)=COUNTIF($B$2:$B$1601,$B1285),$B1285,""))</f>
        <v/>
      </c>
    </row>
    <row r="1286">
      <c r="A1286">
        <f>IF('TMP Paste'!$E1286="","",'TMP Paste'!$E1286)</f>
        <v/>
      </c>
      <c r="B1286">
        <f>IF($A1286="","",COUNTIF('TMP Paste'!$B$2:$B1286,"?*"))</f>
        <v/>
      </c>
      <c r="C1286">
        <f>IF($A1286="","",IFERROR('TMP Paste'!$M1286*1,0))</f>
        <v/>
      </c>
      <c r="D1286">
        <f>IF($A1286="","",SUMIF($B$2:$B1286,$B1286,$C$2:$C1286))</f>
        <v/>
      </c>
      <c r="E1286">
        <f>IF($A1286="",0,IF('TMP Paste'!$B1286="",0,1))</f>
        <v/>
      </c>
      <c r="F1286">
        <f>IF(OR($A1286="",$C1286&lt;1),"",$A1286&amp;"-"&amp;TEXT(($D1286-$C1286+1),"00")&amp;IF($C1286&gt;=2,", "&amp;$A1286&amp;"-"&amp;TEXT(($D1286-$C1286+1)+1,"00"),"")&amp;IF($C1286&gt;=3,", "&amp;$A1286&amp;"-"&amp;TEXT(($D1286-$C1286+1)+2,"00"),"")&amp;IF($C1286&gt;=4,", "&amp;$A1286&amp;"-"&amp;TEXT(($D1286-$C1286+1)+3,"00"),"")&amp;IF($C1286&gt;=5,", "&amp;$A1286&amp;"-"&amp;TEXT(($D1286-$C1286+1)+4,"00"),"")&amp;IF($C1286&gt;=6,", "&amp;$A1286&amp;"-"&amp;TEXT(($D1286-$C1286+1)+5,"00"),"")&amp;IF($C1286&gt;=7,", "&amp;$A1286&amp;"-"&amp;TEXT(($D1286-$C1286+1)+6,"00"),"")&amp;IF($C1286&gt;=8,", "&amp;$A1286&amp;"-"&amp;TEXT(($D1286-$C1286+1)+7,"00"),"")&amp;IF($C1286&gt;=9,", "&amp;$A1286&amp;"-"&amp;TEXT(($D1286-$C1286+1)+8,"00"),"")&amp;IF($C1286&gt;=10,", "&amp;$A1286&amp;"-"&amp;TEXT(($D1286-$C1286+1)+9,"00"),"")&amp;IF($C1286&gt;=11,", "&amp;$A1286&amp;"-"&amp;TEXT(($D1286-$C1286+1)+10,"00"),"")&amp;IF($C1286&gt;=12,", "&amp;$A1286&amp;"-"&amp;TEXT(($D1286-$C1286+1)+11,"00"),"")&amp;IF($C1286&gt;=13,", "&amp;$A1286&amp;"-"&amp;TEXT(($D1286-$C1286+1)+12,"00"),"")&amp;IF($C1286&gt;=14,", "&amp;$A1286&amp;"-"&amp;TEXT(($D1286-$C1286+1)+13,"00"),"")&amp;IF($C1286&gt;=15,", "&amp;$A1286&amp;"-"&amp;TEXT(($D1286-$C1286+1)+14,"00"),"")&amp;IF($C1286&gt;=16,", "&amp;$A1286&amp;"-"&amp;TEXT(($D1286-$C1286+1)+15,"00"),"")&amp;IF($C1286&gt;=17,", "&amp;$A1286&amp;"-"&amp;TEXT(($D1286-$C1286+1)+16,"00"),"")&amp;IF($C1286&gt;=18,", "&amp;$A1286&amp;"-"&amp;TEXT(($D1286-$C1286+1)+17,"00"),"")&amp;IF($C1286&gt;=19,", "&amp;$A1286&amp;"-"&amp;TEXT(($D1286-$C1286+1)+18,"00"),"")&amp;IF($C1286&gt;=20,", "&amp;$A1286&amp;"-"&amp;TEXT(($D1286-$C1286+1)+19,"00"),"")&amp;IF($C1286&gt;=21,", "&amp;$A1286&amp;"-"&amp;TEXT(($D1286-$C1286+1)+20,"00"),"")&amp;IF($C1286&gt;=22,", "&amp;$A1286&amp;"-"&amp;TEXT(($D1286-$C1286+1)+21,"00"),"")&amp;IF($C1286&gt;=23,", "&amp;$A1286&amp;"-"&amp;TEXT(($D1286-$C1286+1)+22,"00"),"")&amp;IF($C1286&gt;=24,", "&amp;$A1286&amp;"-"&amp;TEXT(($D1286-$C1286+1)+23,"00"),"")&amp;IF($C1286&gt;=25,", "&amp;$A1286&amp;"-"&amp;TEXT(($D1286-$C1286+1)+24,"00"),""))</f>
        <v/>
      </c>
      <c r="G1286">
        <f>IF($A1286="","",IF($E1286=1,$F1286,IF($F1286="",$G1285,IF($G1285="",$F1286,$G1285&amp;", "&amp;$F1286))))</f>
        <v/>
      </c>
      <c r="H1286">
        <f>IF($A1286="","",$A1286&amp;" ("&amp;$C1286&amp;")")</f>
        <v/>
      </c>
      <c r="I1286">
        <f>IF($A1286="","",IF($E1286=1,$H1286,$I1285&amp;", "&amp;$H1286))</f>
        <v/>
      </c>
      <c r="J1286">
        <f>IF($A1286="","",IF($E1286=1,$B1286,""))</f>
        <v/>
      </c>
      <c r="K1286">
        <f>IF($A1286="","",IF(COUNTIF($B$2:$B1286,$B1286)=COUNTIF($B$2:$B$1601,$B1286),$B1286,""))</f>
        <v/>
      </c>
    </row>
    <row r="1287">
      <c r="A1287">
        <f>IF('TMP Paste'!$E1287="","",'TMP Paste'!$E1287)</f>
        <v/>
      </c>
      <c r="B1287">
        <f>IF($A1287="","",COUNTIF('TMP Paste'!$B$2:$B1287,"?*"))</f>
        <v/>
      </c>
      <c r="C1287">
        <f>IF($A1287="","",IFERROR('TMP Paste'!$M1287*1,0))</f>
        <v/>
      </c>
      <c r="D1287">
        <f>IF($A1287="","",SUMIF($B$2:$B1287,$B1287,$C$2:$C1287))</f>
        <v/>
      </c>
      <c r="E1287">
        <f>IF($A1287="",0,IF('TMP Paste'!$B1287="",0,1))</f>
        <v/>
      </c>
      <c r="F1287">
        <f>IF(OR($A1287="",$C1287&lt;1),"",$A1287&amp;"-"&amp;TEXT(($D1287-$C1287+1),"00")&amp;IF($C1287&gt;=2,", "&amp;$A1287&amp;"-"&amp;TEXT(($D1287-$C1287+1)+1,"00"),"")&amp;IF($C1287&gt;=3,", "&amp;$A1287&amp;"-"&amp;TEXT(($D1287-$C1287+1)+2,"00"),"")&amp;IF($C1287&gt;=4,", "&amp;$A1287&amp;"-"&amp;TEXT(($D1287-$C1287+1)+3,"00"),"")&amp;IF($C1287&gt;=5,", "&amp;$A1287&amp;"-"&amp;TEXT(($D1287-$C1287+1)+4,"00"),"")&amp;IF($C1287&gt;=6,", "&amp;$A1287&amp;"-"&amp;TEXT(($D1287-$C1287+1)+5,"00"),"")&amp;IF($C1287&gt;=7,", "&amp;$A1287&amp;"-"&amp;TEXT(($D1287-$C1287+1)+6,"00"),"")&amp;IF($C1287&gt;=8,", "&amp;$A1287&amp;"-"&amp;TEXT(($D1287-$C1287+1)+7,"00"),"")&amp;IF($C1287&gt;=9,", "&amp;$A1287&amp;"-"&amp;TEXT(($D1287-$C1287+1)+8,"00"),"")&amp;IF($C1287&gt;=10,", "&amp;$A1287&amp;"-"&amp;TEXT(($D1287-$C1287+1)+9,"00"),"")&amp;IF($C1287&gt;=11,", "&amp;$A1287&amp;"-"&amp;TEXT(($D1287-$C1287+1)+10,"00"),"")&amp;IF($C1287&gt;=12,", "&amp;$A1287&amp;"-"&amp;TEXT(($D1287-$C1287+1)+11,"00"),"")&amp;IF($C1287&gt;=13,", "&amp;$A1287&amp;"-"&amp;TEXT(($D1287-$C1287+1)+12,"00"),"")&amp;IF($C1287&gt;=14,", "&amp;$A1287&amp;"-"&amp;TEXT(($D1287-$C1287+1)+13,"00"),"")&amp;IF($C1287&gt;=15,", "&amp;$A1287&amp;"-"&amp;TEXT(($D1287-$C1287+1)+14,"00"),"")&amp;IF($C1287&gt;=16,", "&amp;$A1287&amp;"-"&amp;TEXT(($D1287-$C1287+1)+15,"00"),"")&amp;IF($C1287&gt;=17,", "&amp;$A1287&amp;"-"&amp;TEXT(($D1287-$C1287+1)+16,"00"),"")&amp;IF($C1287&gt;=18,", "&amp;$A1287&amp;"-"&amp;TEXT(($D1287-$C1287+1)+17,"00"),"")&amp;IF($C1287&gt;=19,", "&amp;$A1287&amp;"-"&amp;TEXT(($D1287-$C1287+1)+18,"00"),"")&amp;IF($C1287&gt;=20,", "&amp;$A1287&amp;"-"&amp;TEXT(($D1287-$C1287+1)+19,"00"),"")&amp;IF($C1287&gt;=21,", "&amp;$A1287&amp;"-"&amp;TEXT(($D1287-$C1287+1)+20,"00"),"")&amp;IF($C1287&gt;=22,", "&amp;$A1287&amp;"-"&amp;TEXT(($D1287-$C1287+1)+21,"00"),"")&amp;IF($C1287&gt;=23,", "&amp;$A1287&amp;"-"&amp;TEXT(($D1287-$C1287+1)+22,"00"),"")&amp;IF($C1287&gt;=24,", "&amp;$A1287&amp;"-"&amp;TEXT(($D1287-$C1287+1)+23,"00"),"")&amp;IF($C1287&gt;=25,", "&amp;$A1287&amp;"-"&amp;TEXT(($D1287-$C1287+1)+24,"00"),""))</f>
        <v/>
      </c>
      <c r="G1287">
        <f>IF($A1287="","",IF($E1287=1,$F1287,IF($F1287="",$G1286,IF($G1286="",$F1287,$G1286&amp;", "&amp;$F1287))))</f>
        <v/>
      </c>
      <c r="H1287">
        <f>IF($A1287="","",$A1287&amp;" ("&amp;$C1287&amp;")")</f>
        <v/>
      </c>
      <c r="I1287">
        <f>IF($A1287="","",IF($E1287=1,$H1287,$I1286&amp;", "&amp;$H1287))</f>
        <v/>
      </c>
      <c r="J1287">
        <f>IF($A1287="","",IF($E1287=1,$B1287,""))</f>
        <v/>
      </c>
      <c r="K1287">
        <f>IF($A1287="","",IF(COUNTIF($B$2:$B1287,$B1287)=COUNTIF($B$2:$B$1601,$B1287),$B1287,""))</f>
        <v/>
      </c>
    </row>
    <row r="1288">
      <c r="A1288">
        <f>IF('TMP Paste'!$E1288="","",'TMP Paste'!$E1288)</f>
        <v/>
      </c>
      <c r="B1288">
        <f>IF($A1288="","",COUNTIF('TMP Paste'!$B$2:$B1288,"?*"))</f>
        <v/>
      </c>
      <c r="C1288">
        <f>IF($A1288="","",IFERROR('TMP Paste'!$M1288*1,0))</f>
        <v/>
      </c>
      <c r="D1288">
        <f>IF($A1288="","",SUMIF($B$2:$B1288,$B1288,$C$2:$C1288))</f>
        <v/>
      </c>
      <c r="E1288">
        <f>IF($A1288="",0,IF('TMP Paste'!$B1288="",0,1))</f>
        <v/>
      </c>
      <c r="F1288">
        <f>IF(OR($A1288="",$C1288&lt;1),"",$A1288&amp;"-"&amp;TEXT(($D1288-$C1288+1),"00")&amp;IF($C1288&gt;=2,", "&amp;$A1288&amp;"-"&amp;TEXT(($D1288-$C1288+1)+1,"00"),"")&amp;IF($C1288&gt;=3,", "&amp;$A1288&amp;"-"&amp;TEXT(($D1288-$C1288+1)+2,"00"),"")&amp;IF($C1288&gt;=4,", "&amp;$A1288&amp;"-"&amp;TEXT(($D1288-$C1288+1)+3,"00"),"")&amp;IF($C1288&gt;=5,", "&amp;$A1288&amp;"-"&amp;TEXT(($D1288-$C1288+1)+4,"00"),"")&amp;IF($C1288&gt;=6,", "&amp;$A1288&amp;"-"&amp;TEXT(($D1288-$C1288+1)+5,"00"),"")&amp;IF($C1288&gt;=7,", "&amp;$A1288&amp;"-"&amp;TEXT(($D1288-$C1288+1)+6,"00"),"")&amp;IF($C1288&gt;=8,", "&amp;$A1288&amp;"-"&amp;TEXT(($D1288-$C1288+1)+7,"00"),"")&amp;IF($C1288&gt;=9,", "&amp;$A1288&amp;"-"&amp;TEXT(($D1288-$C1288+1)+8,"00"),"")&amp;IF($C1288&gt;=10,", "&amp;$A1288&amp;"-"&amp;TEXT(($D1288-$C1288+1)+9,"00"),"")&amp;IF($C1288&gt;=11,", "&amp;$A1288&amp;"-"&amp;TEXT(($D1288-$C1288+1)+10,"00"),"")&amp;IF($C1288&gt;=12,", "&amp;$A1288&amp;"-"&amp;TEXT(($D1288-$C1288+1)+11,"00"),"")&amp;IF($C1288&gt;=13,", "&amp;$A1288&amp;"-"&amp;TEXT(($D1288-$C1288+1)+12,"00"),"")&amp;IF($C1288&gt;=14,", "&amp;$A1288&amp;"-"&amp;TEXT(($D1288-$C1288+1)+13,"00"),"")&amp;IF($C1288&gt;=15,", "&amp;$A1288&amp;"-"&amp;TEXT(($D1288-$C1288+1)+14,"00"),"")&amp;IF($C1288&gt;=16,", "&amp;$A1288&amp;"-"&amp;TEXT(($D1288-$C1288+1)+15,"00"),"")&amp;IF($C1288&gt;=17,", "&amp;$A1288&amp;"-"&amp;TEXT(($D1288-$C1288+1)+16,"00"),"")&amp;IF($C1288&gt;=18,", "&amp;$A1288&amp;"-"&amp;TEXT(($D1288-$C1288+1)+17,"00"),"")&amp;IF($C1288&gt;=19,", "&amp;$A1288&amp;"-"&amp;TEXT(($D1288-$C1288+1)+18,"00"),"")&amp;IF($C1288&gt;=20,", "&amp;$A1288&amp;"-"&amp;TEXT(($D1288-$C1288+1)+19,"00"),"")&amp;IF($C1288&gt;=21,", "&amp;$A1288&amp;"-"&amp;TEXT(($D1288-$C1288+1)+20,"00"),"")&amp;IF($C1288&gt;=22,", "&amp;$A1288&amp;"-"&amp;TEXT(($D1288-$C1288+1)+21,"00"),"")&amp;IF($C1288&gt;=23,", "&amp;$A1288&amp;"-"&amp;TEXT(($D1288-$C1288+1)+22,"00"),"")&amp;IF($C1288&gt;=24,", "&amp;$A1288&amp;"-"&amp;TEXT(($D1288-$C1288+1)+23,"00"),"")&amp;IF($C1288&gt;=25,", "&amp;$A1288&amp;"-"&amp;TEXT(($D1288-$C1288+1)+24,"00"),""))</f>
        <v/>
      </c>
      <c r="G1288">
        <f>IF($A1288="","",IF($E1288=1,$F1288,IF($F1288="",$G1287,IF($G1287="",$F1288,$G1287&amp;", "&amp;$F1288))))</f>
        <v/>
      </c>
      <c r="H1288">
        <f>IF($A1288="","",$A1288&amp;" ("&amp;$C1288&amp;")")</f>
        <v/>
      </c>
      <c r="I1288">
        <f>IF($A1288="","",IF($E1288=1,$H1288,$I1287&amp;", "&amp;$H1288))</f>
        <v/>
      </c>
      <c r="J1288">
        <f>IF($A1288="","",IF($E1288=1,$B1288,""))</f>
        <v/>
      </c>
      <c r="K1288">
        <f>IF($A1288="","",IF(COUNTIF($B$2:$B1288,$B1288)=COUNTIF($B$2:$B$1601,$B1288),$B1288,""))</f>
        <v/>
      </c>
    </row>
    <row r="1289">
      <c r="A1289">
        <f>IF('TMP Paste'!$E1289="","",'TMP Paste'!$E1289)</f>
        <v/>
      </c>
      <c r="B1289">
        <f>IF($A1289="","",COUNTIF('TMP Paste'!$B$2:$B1289,"?*"))</f>
        <v/>
      </c>
      <c r="C1289">
        <f>IF($A1289="","",IFERROR('TMP Paste'!$M1289*1,0))</f>
        <v/>
      </c>
      <c r="D1289">
        <f>IF($A1289="","",SUMIF($B$2:$B1289,$B1289,$C$2:$C1289))</f>
        <v/>
      </c>
      <c r="E1289">
        <f>IF($A1289="",0,IF('TMP Paste'!$B1289="",0,1))</f>
        <v/>
      </c>
      <c r="F1289">
        <f>IF(OR($A1289="",$C1289&lt;1),"",$A1289&amp;"-"&amp;TEXT(($D1289-$C1289+1),"00")&amp;IF($C1289&gt;=2,", "&amp;$A1289&amp;"-"&amp;TEXT(($D1289-$C1289+1)+1,"00"),"")&amp;IF($C1289&gt;=3,", "&amp;$A1289&amp;"-"&amp;TEXT(($D1289-$C1289+1)+2,"00"),"")&amp;IF($C1289&gt;=4,", "&amp;$A1289&amp;"-"&amp;TEXT(($D1289-$C1289+1)+3,"00"),"")&amp;IF($C1289&gt;=5,", "&amp;$A1289&amp;"-"&amp;TEXT(($D1289-$C1289+1)+4,"00"),"")&amp;IF($C1289&gt;=6,", "&amp;$A1289&amp;"-"&amp;TEXT(($D1289-$C1289+1)+5,"00"),"")&amp;IF($C1289&gt;=7,", "&amp;$A1289&amp;"-"&amp;TEXT(($D1289-$C1289+1)+6,"00"),"")&amp;IF($C1289&gt;=8,", "&amp;$A1289&amp;"-"&amp;TEXT(($D1289-$C1289+1)+7,"00"),"")&amp;IF($C1289&gt;=9,", "&amp;$A1289&amp;"-"&amp;TEXT(($D1289-$C1289+1)+8,"00"),"")&amp;IF($C1289&gt;=10,", "&amp;$A1289&amp;"-"&amp;TEXT(($D1289-$C1289+1)+9,"00"),"")&amp;IF($C1289&gt;=11,", "&amp;$A1289&amp;"-"&amp;TEXT(($D1289-$C1289+1)+10,"00"),"")&amp;IF($C1289&gt;=12,", "&amp;$A1289&amp;"-"&amp;TEXT(($D1289-$C1289+1)+11,"00"),"")&amp;IF($C1289&gt;=13,", "&amp;$A1289&amp;"-"&amp;TEXT(($D1289-$C1289+1)+12,"00"),"")&amp;IF($C1289&gt;=14,", "&amp;$A1289&amp;"-"&amp;TEXT(($D1289-$C1289+1)+13,"00"),"")&amp;IF($C1289&gt;=15,", "&amp;$A1289&amp;"-"&amp;TEXT(($D1289-$C1289+1)+14,"00"),"")&amp;IF($C1289&gt;=16,", "&amp;$A1289&amp;"-"&amp;TEXT(($D1289-$C1289+1)+15,"00"),"")&amp;IF($C1289&gt;=17,", "&amp;$A1289&amp;"-"&amp;TEXT(($D1289-$C1289+1)+16,"00"),"")&amp;IF($C1289&gt;=18,", "&amp;$A1289&amp;"-"&amp;TEXT(($D1289-$C1289+1)+17,"00"),"")&amp;IF($C1289&gt;=19,", "&amp;$A1289&amp;"-"&amp;TEXT(($D1289-$C1289+1)+18,"00"),"")&amp;IF($C1289&gt;=20,", "&amp;$A1289&amp;"-"&amp;TEXT(($D1289-$C1289+1)+19,"00"),"")&amp;IF($C1289&gt;=21,", "&amp;$A1289&amp;"-"&amp;TEXT(($D1289-$C1289+1)+20,"00"),"")&amp;IF($C1289&gt;=22,", "&amp;$A1289&amp;"-"&amp;TEXT(($D1289-$C1289+1)+21,"00"),"")&amp;IF($C1289&gt;=23,", "&amp;$A1289&amp;"-"&amp;TEXT(($D1289-$C1289+1)+22,"00"),"")&amp;IF($C1289&gt;=24,", "&amp;$A1289&amp;"-"&amp;TEXT(($D1289-$C1289+1)+23,"00"),"")&amp;IF($C1289&gt;=25,", "&amp;$A1289&amp;"-"&amp;TEXT(($D1289-$C1289+1)+24,"00"),""))</f>
        <v/>
      </c>
      <c r="G1289">
        <f>IF($A1289="","",IF($E1289=1,$F1289,IF($F1289="",$G1288,IF($G1288="",$F1289,$G1288&amp;", "&amp;$F1289))))</f>
        <v/>
      </c>
      <c r="H1289">
        <f>IF($A1289="","",$A1289&amp;" ("&amp;$C1289&amp;")")</f>
        <v/>
      </c>
      <c r="I1289">
        <f>IF($A1289="","",IF($E1289=1,$H1289,$I1288&amp;", "&amp;$H1289))</f>
        <v/>
      </c>
      <c r="J1289">
        <f>IF($A1289="","",IF($E1289=1,$B1289,""))</f>
        <v/>
      </c>
      <c r="K1289">
        <f>IF($A1289="","",IF(COUNTIF($B$2:$B1289,$B1289)=COUNTIF($B$2:$B$1601,$B1289),$B1289,""))</f>
        <v/>
      </c>
    </row>
    <row r="1290">
      <c r="A1290">
        <f>IF('TMP Paste'!$E1290="","",'TMP Paste'!$E1290)</f>
        <v/>
      </c>
      <c r="B1290">
        <f>IF($A1290="","",COUNTIF('TMP Paste'!$B$2:$B1290,"?*"))</f>
        <v/>
      </c>
      <c r="C1290">
        <f>IF($A1290="","",IFERROR('TMP Paste'!$M1290*1,0))</f>
        <v/>
      </c>
      <c r="D1290">
        <f>IF($A1290="","",SUMIF($B$2:$B1290,$B1290,$C$2:$C1290))</f>
        <v/>
      </c>
      <c r="E1290">
        <f>IF($A1290="",0,IF('TMP Paste'!$B1290="",0,1))</f>
        <v/>
      </c>
      <c r="F1290">
        <f>IF(OR($A1290="",$C1290&lt;1),"",$A1290&amp;"-"&amp;TEXT(($D1290-$C1290+1),"00")&amp;IF($C1290&gt;=2,", "&amp;$A1290&amp;"-"&amp;TEXT(($D1290-$C1290+1)+1,"00"),"")&amp;IF($C1290&gt;=3,", "&amp;$A1290&amp;"-"&amp;TEXT(($D1290-$C1290+1)+2,"00"),"")&amp;IF($C1290&gt;=4,", "&amp;$A1290&amp;"-"&amp;TEXT(($D1290-$C1290+1)+3,"00"),"")&amp;IF($C1290&gt;=5,", "&amp;$A1290&amp;"-"&amp;TEXT(($D1290-$C1290+1)+4,"00"),"")&amp;IF($C1290&gt;=6,", "&amp;$A1290&amp;"-"&amp;TEXT(($D1290-$C1290+1)+5,"00"),"")&amp;IF($C1290&gt;=7,", "&amp;$A1290&amp;"-"&amp;TEXT(($D1290-$C1290+1)+6,"00"),"")&amp;IF($C1290&gt;=8,", "&amp;$A1290&amp;"-"&amp;TEXT(($D1290-$C1290+1)+7,"00"),"")&amp;IF($C1290&gt;=9,", "&amp;$A1290&amp;"-"&amp;TEXT(($D1290-$C1290+1)+8,"00"),"")&amp;IF($C1290&gt;=10,", "&amp;$A1290&amp;"-"&amp;TEXT(($D1290-$C1290+1)+9,"00"),"")&amp;IF($C1290&gt;=11,", "&amp;$A1290&amp;"-"&amp;TEXT(($D1290-$C1290+1)+10,"00"),"")&amp;IF($C1290&gt;=12,", "&amp;$A1290&amp;"-"&amp;TEXT(($D1290-$C1290+1)+11,"00"),"")&amp;IF($C1290&gt;=13,", "&amp;$A1290&amp;"-"&amp;TEXT(($D1290-$C1290+1)+12,"00"),"")&amp;IF($C1290&gt;=14,", "&amp;$A1290&amp;"-"&amp;TEXT(($D1290-$C1290+1)+13,"00"),"")&amp;IF($C1290&gt;=15,", "&amp;$A1290&amp;"-"&amp;TEXT(($D1290-$C1290+1)+14,"00"),"")&amp;IF($C1290&gt;=16,", "&amp;$A1290&amp;"-"&amp;TEXT(($D1290-$C1290+1)+15,"00"),"")&amp;IF($C1290&gt;=17,", "&amp;$A1290&amp;"-"&amp;TEXT(($D1290-$C1290+1)+16,"00"),"")&amp;IF($C1290&gt;=18,", "&amp;$A1290&amp;"-"&amp;TEXT(($D1290-$C1290+1)+17,"00"),"")&amp;IF($C1290&gt;=19,", "&amp;$A1290&amp;"-"&amp;TEXT(($D1290-$C1290+1)+18,"00"),"")&amp;IF($C1290&gt;=20,", "&amp;$A1290&amp;"-"&amp;TEXT(($D1290-$C1290+1)+19,"00"),"")&amp;IF($C1290&gt;=21,", "&amp;$A1290&amp;"-"&amp;TEXT(($D1290-$C1290+1)+20,"00"),"")&amp;IF($C1290&gt;=22,", "&amp;$A1290&amp;"-"&amp;TEXT(($D1290-$C1290+1)+21,"00"),"")&amp;IF($C1290&gt;=23,", "&amp;$A1290&amp;"-"&amp;TEXT(($D1290-$C1290+1)+22,"00"),"")&amp;IF($C1290&gt;=24,", "&amp;$A1290&amp;"-"&amp;TEXT(($D1290-$C1290+1)+23,"00"),"")&amp;IF($C1290&gt;=25,", "&amp;$A1290&amp;"-"&amp;TEXT(($D1290-$C1290+1)+24,"00"),""))</f>
        <v/>
      </c>
      <c r="G1290">
        <f>IF($A1290="","",IF($E1290=1,$F1290,IF($F1290="",$G1289,IF($G1289="",$F1290,$G1289&amp;", "&amp;$F1290))))</f>
        <v/>
      </c>
      <c r="H1290">
        <f>IF($A1290="","",$A1290&amp;" ("&amp;$C1290&amp;")")</f>
        <v/>
      </c>
      <c r="I1290">
        <f>IF($A1290="","",IF($E1290=1,$H1290,$I1289&amp;", "&amp;$H1290))</f>
        <v/>
      </c>
      <c r="J1290">
        <f>IF($A1290="","",IF($E1290=1,$B1290,""))</f>
        <v/>
      </c>
      <c r="K1290">
        <f>IF($A1290="","",IF(COUNTIF($B$2:$B1290,$B1290)=COUNTIF($B$2:$B$1601,$B1290),$B1290,""))</f>
        <v/>
      </c>
    </row>
    <row r="1291">
      <c r="A1291">
        <f>IF('TMP Paste'!$E1291="","",'TMP Paste'!$E1291)</f>
        <v/>
      </c>
      <c r="B1291">
        <f>IF($A1291="","",COUNTIF('TMP Paste'!$B$2:$B1291,"?*"))</f>
        <v/>
      </c>
      <c r="C1291">
        <f>IF($A1291="","",IFERROR('TMP Paste'!$M1291*1,0))</f>
        <v/>
      </c>
      <c r="D1291">
        <f>IF($A1291="","",SUMIF($B$2:$B1291,$B1291,$C$2:$C1291))</f>
        <v/>
      </c>
      <c r="E1291">
        <f>IF($A1291="",0,IF('TMP Paste'!$B1291="",0,1))</f>
        <v/>
      </c>
      <c r="F1291">
        <f>IF(OR($A1291="",$C1291&lt;1),"",$A1291&amp;"-"&amp;TEXT(($D1291-$C1291+1),"00")&amp;IF($C1291&gt;=2,", "&amp;$A1291&amp;"-"&amp;TEXT(($D1291-$C1291+1)+1,"00"),"")&amp;IF($C1291&gt;=3,", "&amp;$A1291&amp;"-"&amp;TEXT(($D1291-$C1291+1)+2,"00"),"")&amp;IF($C1291&gt;=4,", "&amp;$A1291&amp;"-"&amp;TEXT(($D1291-$C1291+1)+3,"00"),"")&amp;IF($C1291&gt;=5,", "&amp;$A1291&amp;"-"&amp;TEXT(($D1291-$C1291+1)+4,"00"),"")&amp;IF($C1291&gt;=6,", "&amp;$A1291&amp;"-"&amp;TEXT(($D1291-$C1291+1)+5,"00"),"")&amp;IF($C1291&gt;=7,", "&amp;$A1291&amp;"-"&amp;TEXT(($D1291-$C1291+1)+6,"00"),"")&amp;IF($C1291&gt;=8,", "&amp;$A1291&amp;"-"&amp;TEXT(($D1291-$C1291+1)+7,"00"),"")&amp;IF($C1291&gt;=9,", "&amp;$A1291&amp;"-"&amp;TEXT(($D1291-$C1291+1)+8,"00"),"")&amp;IF($C1291&gt;=10,", "&amp;$A1291&amp;"-"&amp;TEXT(($D1291-$C1291+1)+9,"00"),"")&amp;IF($C1291&gt;=11,", "&amp;$A1291&amp;"-"&amp;TEXT(($D1291-$C1291+1)+10,"00"),"")&amp;IF($C1291&gt;=12,", "&amp;$A1291&amp;"-"&amp;TEXT(($D1291-$C1291+1)+11,"00"),"")&amp;IF($C1291&gt;=13,", "&amp;$A1291&amp;"-"&amp;TEXT(($D1291-$C1291+1)+12,"00"),"")&amp;IF($C1291&gt;=14,", "&amp;$A1291&amp;"-"&amp;TEXT(($D1291-$C1291+1)+13,"00"),"")&amp;IF($C1291&gt;=15,", "&amp;$A1291&amp;"-"&amp;TEXT(($D1291-$C1291+1)+14,"00"),"")&amp;IF($C1291&gt;=16,", "&amp;$A1291&amp;"-"&amp;TEXT(($D1291-$C1291+1)+15,"00"),"")&amp;IF($C1291&gt;=17,", "&amp;$A1291&amp;"-"&amp;TEXT(($D1291-$C1291+1)+16,"00"),"")&amp;IF($C1291&gt;=18,", "&amp;$A1291&amp;"-"&amp;TEXT(($D1291-$C1291+1)+17,"00"),"")&amp;IF($C1291&gt;=19,", "&amp;$A1291&amp;"-"&amp;TEXT(($D1291-$C1291+1)+18,"00"),"")&amp;IF($C1291&gt;=20,", "&amp;$A1291&amp;"-"&amp;TEXT(($D1291-$C1291+1)+19,"00"),"")&amp;IF($C1291&gt;=21,", "&amp;$A1291&amp;"-"&amp;TEXT(($D1291-$C1291+1)+20,"00"),"")&amp;IF($C1291&gt;=22,", "&amp;$A1291&amp;"-"&amp;TEXT(($D1291-$C1291+1)+21,"00"),"")&amp;IF($C1291&gt;=23,", "&amp;$A1291&amp;"-"&amp;TEXT(($D1291-$C1291+1)+22,"00"),"")&amp;IF($C1291&gt;=24,", "&amp;$A1291&amp;"-"&amp;TEXT(($D1291-$C1291+1)+23,"00"),"")&amp;IF($C1291&gt;=25,", "&amp;$A1291&amp;"-"&amp;TEXT(($D1291-$C1291+1)+24,"00"),""))</f>
        <v/>
      </c>
      <c r="G1291">
        <f>IF($A1291="","",IF($E1291=1,$F1291,IF($F1291="",$G1290,IF($G1290="",$F1291,$G1290&amp;", "&amp;$F1291))))</f>
        <v/>
      </c>
      <c r="H1291">
        <f>IF($A1291="","",$A1291&amp;" ("&amp;$C1291&amp;")")</f>
        <v/>
      </c>
      <c r="I1291">
        <f>IF($A1291="","",IF($E1291=1,$H1291,$I1290&amp;", "&amp;$H1291))</f>
        <v/>
      </c>
      <c r="J1291">
        <f>IF($A1291="","",IF($E1291=1,$B1291,""))</f>
        <v/>
      </c>
      <c r="K1291">
        <f>IF($A1291="","",IF(COUNTIF($B$2:$B1291,$B1291)=COUNTIF($B$2:$B$1601,$B1291),$B1291,""))</f>
        <v/>
      </c>
    </row>
    <row r="1292">
      <c r="A1292">
        <f>IF('TMP Paste'!$E1292="","",'TMP Paste'!$E1292)</f>
        <v/>
      </c>
      <c r="B1292">
        <f>IF($A1292="","",COUNTIF('TMP Paste'!$B$2:$B1292,"?*"))</f>
        <v/>
      </c>
      <c r="C1292">
        <f>IF($A1292="","",IFERROR('TMP Paste'!$M1292*1,0))</f>
        <v/>
      </c>
      <c r="D1292">
        <f>IF($A1292="","",SUMIF($B$2:$B1292,$B1292,$C$2:$C1292))</f>
        <v/>
      </c>
      <c r="E1292">
        <f>IF($A1292="",0,IF('TMP Paste'!$B1292="",0,1))</f>
        <v/>
      </c>
      <c r="F1292">
        <f>IF(OR($A1292="",$C1292&lt;1),"",$A1292&amp;"-"&amp;TEXT(($D1292-$C1292+1),"00")&amp;IF($C1292&gt;=2,", "&amp;$A1292&amp;"-"&amp;TEXT(($D1292-$C1292+1)+1,"00"),"")&amp;IF($C1292&gt;=3,", "&amp;$A1292&amp;"-"&amp;TEXT(($D1292-$C1292+1)+2,"00"),"")&amp;IF($C1292&gt;=4,", "&amp;$A1292&amp;"-"&amp;TEXT(($D1292-$C1292+1)+3,"00"),"")&amp;IF($C1292&gt;=5,", "&amp;$A1292&amp;"-"&amp;TEXT(($D1292-$C1292+1)+4,"00"),"")&amp;IF($C1292&gt;=6,", "&amp;$A1292&amp;"-"&amp;TEXT(($D1292-$C1292+1)+5,"00"),"")&amp;IF($C1292&gt;=7,", "&amp;$A1292&amp;"-"&amp;TEXT(($D1292-$C1292+1)+6,"00"),"")&amp;IF($C1292&gt;=8,", "&amp;$A1292&amp;"-"&amp;TEXT(($D1292-$C1292+1)+7,"00"),"")&amp;IF($C1292&gt;=9,", "&amp;$A1292&amp;"-"&amp;TEXT(($D1292-$C1292+1)+8,"00"),"")&amp;IF($C1292&gt;=10,", "&amp;$A1292&amp;"-"&amp;TEXT(($D1292-$C1292+1)+9,"00"),"")&amp;IF($C1292&gt;=11,", "&amp;$A1292&amp;"-"&amp;TEXT(($D1292-$C1292+1)+10,"00"),"")&amp;IF($C1292&gt;=12,", "&amp;$A1292&amp;"-"&amp;TEXT(($D1292-$C1292+1)+11,"00"),"")&amp;IF($C1292&gt;=13,", "&amp;$A1292&amp;"-"&amp;TEXT(($D1292-$C1292+1)+12,"00"),"")&amp;IF($C1292&gt;=14,", "&amp;$A1292&amp;"-"&amp;TEXT(($D1292-$C1292+1)+13,"00"),"")&amp;IF($C1292&gt;=15,", "&amp;$A1292&amp;"-"&amp;TEXT(($D1292-$C1292+1)+14,"00"),"")&amp;IF($C1292&gt;=16,", "&amp;$A1292&amp;"-"&amp;TEXT(($D1292-$C1292+1)+15,"00"),"")&amp;IF($C1292&gt;=17,", "&amp;$A1292&amp;"-"&amp;TEXT(($D1292-$C1292+1)+16,"00"),"")&amp;IF($C1292&gt;=18,", "&amp;$A1292&amp;"-"&amp;TEXT(($D1292-$C1292+1)+17,"00"),"")&amp;IF($C1292&gt;=19,", "&amp;$A1292&amp;"-"&amp;TEXT(($D1292-$C1292+1)+18,"00"),"")&amp;IF($C1292&gt;=20,", "&amp;$A1292&amp;"-"&amp;TEXT(($D1292-$C1292+1)+19,"00"),"")&amp;IF($C1292&gt;=21,", "&amp;$A1292&amp;"-"&amp;TEXT(($D1292-$C1292+1)+20,"00"),"")&amp;IF($C1292&gt;=22,", "&amp;$A1292&amp;"-"&amp;TEXT(($D1292-$C1292+1)+21,"00"),"")&amp;IF($C1292&gt;=23,", "&amp;$A1292&amp;"-"&amp;TEXT(($D1292-$C1292+1)+22,"00"),"")&amp;IF($C1292&gt;=24,", "&amp;$A1292&amp;"-"&amp;TEXT(($D1292-$C1292+1)+23,"00"),"")&amp;IF($C1292&gt;=25,", "&amp;$A1292&amp;"-"&amp;TEXT(($D1292-$C1292+1)+24,"00"),""))</f>
        <v/>
      </c>
      <c r="G1292">
        <f>IF($A1292="","",IF($E1292=1,$F1292,IF($F1292="",$G1291,IF($G1291="",$F1292,$G1291&amp;", "&amp;$F1292))))</f>
        <v/>
      </c>
      <c r="H1292">
        <f>IF($A1292="","",$A1292&amp;" ("&amp;$C1292&amp;")")</f>
        <v/>
      </c>
      <c r="I1292">
        <f>IF($A1292="","",IF($E1292=1,$H1292,$I1291&amp;", "&amp;$H1292))</f>
        <v/>
      </c>
      <c r="J1292">
        <f>IF($A1292="","",IF($E1292=1,$B1292,""))</f>
        <v/>
      </c>
      <c r="K1292">
        <f>IF($A1292="","",IF(COUNTIF($B$2:$B1292,$B1292)=COUNTIF($B$2:$B$1601,$B1292),$B1292,""))</f>
        <v/>
      </c>
    </row>
    <row r="1293">
      <c r="A1293">
        <f>IF('TMP Paste'!$E1293="","",'TMP Paste'!$E1293)</f>
        <v/>
      </c>
      <c r="B1293">
        <f>IF($A1293="","",COUNTIF('TMP Paste'!$B$2:$B1293,"?*"))</f>
        <v/>
      </c>
      <c r="C1293">
        <f>IF($A1293="","",IFERROR('TMP Paste'!$M1293*1,0))</f>
        <v/>
      </c>
      <c r="D1293">
        <f>IF($A1293="","",SUMIF($B$2:$B1293,$B1293,$C$2:$C1293))</f>
        <v/>
      </c>
      <c r="E1293">
        <f>IF($A1293="",0,IF('TMP Paste'!$B1293="",0,1))</f>
        <v/>
      </c>
      <c r="F1293">
        <f>IF(OR($A1293="",$C1293&lt;1),"",$A1293&amp;"-"&amp;TEXT(($D1293-$C1293+1),"00")&amp;IF($C1293&gt;=2,", "&amp;$A1293&amp;"-"&amp;TEXT(($D1293-$C1293+1)+1,"00"),"")&amp;IF($C1293&gt;=3,", "&amp;$A1293&amp;"-"&amp;TEXT(($D1293-$C1293+1)+2,"00"),"")&amp;IF($C1293&gt;=4,", "&amp;$A1293&amp;"-"&amp;TEXT(($D1293-$C1293+1)+3,"00"),"")&amp;IF($C1293&gt;=5,", "&amp;$A1293&amp;"-"&amp;TEXT(($D1293-$C1293+1)+4,"00"),"")&amp;IF($C1293&gt;=6,", "&amp;$A1293&amp;"-"&amp;TEXT(($D1293-$C1293+1)+5,"00"),"")&amp;IF($C1293&gt;=7,", "&amp;$A1293&amp;"-"&amp;TEXT(($D1293-$C1293+1)+6,"00"),"")&amp;IF($C1293&gt;=8,", "&amp;$A1293&amp;"-"&amp;TEXT(($D1293-$C1293+1)+7,"00"),"")&amp;IF($C1293&gt;=9,", "&amp;$A1293&amp;"-"&amp;TEXT(($D1293-$C1293+1)+8,"00"),"")&amp;IF($C1293&gt;=10,", "&amp;$A1293&amp;"-"&amp;TEXT(($D1293-$C1293+1)+9,"00"),"")&amp;IF($C1293&gt;=11,", "&amp;$A1293&amp;"-"&amp;TEXT(($D1293-$C1293+1)+10,"00"),"")&amp;IF($C1293&gt;=12,", "&amp;$A1293&amp;"-"&amp;TEXT(($D1293-$C1293+1)+11,"00"),"")&amp;IF($C1293&gt;=13,", "&amp;$A1293&amp;"-"&amp;TEXT(($D1293-$C1293+1)+12,"00"),"")&amp;IF($C1293&gt;=14,", "&amp;$A1293&amp;"-"&amp;TEXT(($D1293-$C1293+1)+13,"00"),"")&amp;IF($C1293&gt;=15,", "&amp;$A1293&amp;"-"&amp;TEXT(($D1293-$C1293+1)+14,"00"),"")&amp;IF($C1293&gt;=16,", "&amp;$A1293&amp;"-"&amp;TEXT(($D1293-$C1293+1)+15,"00"),"")&amp;IF($C1293&gt;=17,", "&amp;$A1293&amp;"-"&amp;TEXT(($D1293-$C1293+1)+16,"00"),"")&amp;IF($C1293&gt;=18,", "&amp;$A1293&amp;"-"&amp;TEXT(($D1293-$C1293+1)+17,"00"),"")&amp;IF($C1293&gt;=19,", "&amp;$A1293&amp;"-"&amp;TEXT(($D1293-$C1293+1)+18,"00"),"")&amp;IF($C1293&gt;=20,", "&amp;$A1293&amp;"-"&amp;TEXT(($D1293-$C1293+1)+19,"00"),"")&amp;IF($C1293&gt;=21,", "&amp;$A1293&amp;"-"&amp;TEXT(($D1293-$C1293+1)+20,"00"),"")&amp;IF($C1293&gt;=22,", "&amp;$A1293&amp;"-"&amp;TEXT(($D1293-$C1293+1)+21,"00"),"")&amp;IF($C1293&gt;=23,", "&amp;$A1293&amp;"-"&amp;TEXT(($D1293-$C1293+1)+22,"00"),"")&amp;IF($C1293&gt;=24,", "&amp;$A1293&amp;"-"&amp;TEXT(($D1293-$C1293+1)+23,"00"),"")&amp;IF($C1293&gt;=25,", "&amp;$A1293&amp;"-"&amp;TEXT(($D1293-$C1293+1)+24,"00"),""))</f>
        <v/>
      </c>
      <c r="G1293">
        <f>IF($A1293="","",IF($E1293=1,$F1293,IF($F1293="",$G1292,IF($G1292="",$F1293,$G1292&amp;", "&amp;$F1293))))</f>
        <v/>
      </c>
      <c r="H1293">
        <f>IF($A1293="","",$A1293&amp;" ("&amp;$C1293&amp;")")</f>
        <v/>
      </c>
      <c r="I1293">
        <f>IF($A1293="","",IF($E1293=1,$H1293,$I1292&amp;", "&amp;$H1293))</f>
        <v/>
      </c>
      <c r="J1293">
        <f>IF($A1293="","",IF($E1293=1,$B1293,""))</f>
        <v/>
      </c>
      <c r="K1293">
        <f>IF($A1293="","",IF(COUNTIF($B$2:$B1293,$B1293)=COUNTIF($B$2:$B$1601,$B1293),$B1293,""))</f>
        <v/>
      </c>
    </row>
    <row r="1294">
      <c r="A1294">
        <f>IF('TMP Paste'!$E1294="","",'TMP Paste'!$E1294)</f>
        <v/>
      </c>
      <c r="B1294">
        <f>IF($A1294="","",COUNTIF('TMP Paste'!$B$2:$B1294,"?*"))</f>
        <v/>
      </c>
      <c r="C1294">
        <f>IF($A1294="","",IFERROR('TMP Paste'!$M1294*1,0))</f>
        <v/>
      </c>
      <c r="D1294">
        <f>IF($A1294="","",SUMIF($B$2:$B1294,$B1294,$C$2:$C1294))</f>
        <v/>
      </c>
      <c r="E1294">
        <f>IF($A1294="",0,IF('TMP Paste'!$B1294="",0,1))</f>
        <v/>
      </c>
      <c r="F1294">
        <f>IF(OR($A1294="",$C1294&lt;1),"",$A1294&amp;"-"&amp;TEXT(($D1294-$C1294+1),"00")&amp;IF($C1294&gt;=2,", "&amp;$A1294&amp;"-"&amp;TEXT(($D1294-$C1294+1)+1,"00"),"")&amp;IF($C1294&gt;=3,", "&amp;$A1294&amp;"-"&amp;TEXT(($D1294-$C1294+1)+2,"00"),"")&amp;IF($C1294&gt;=4,", "&amp;$A1294&amp;"-"&amp;TEXT(($D1294-$C1294+1)+3,"00"),"")&amp;IF($C1294&gt;=5,", "&amp;$A1294&amp;"-"&amp;TEXT(($D1294-$C1294+1)+4,"00"),"")&amp;IF($C1294&gt;=6,", "&amp;$A1294&amp;"-"&amp;TEXT(($D1294-$C1294+1)+5,"00"),"")&amp;IF($C1294&gt;=7,", "&amp;$A1294&amp;"-"&amp;TEXT(($D1294-$C1294+1)+6,"00"),"")&amp;IF($C1294&gt;=8,", "&amp;$A1294&amp;"-"&amp;TEXT(($D1294-$C1294+1)+7,"00"),"")&amp;IF($C1294&gt;=9,", "&amp;$A1294&amp;"-"&amp;TEXT(($D1294-$C1294+1)+8,"00"),"")&amp;IF($C1294&gt;=10,", "&amp;$A1294&amp;"-"&amp;TEXT(($D1294-$C1294+1)+9,"00"),"")&amp;IF($C1294&gt;=11,", "&amp;$A1294&amp;"-"&amp;TEXT(($D1294-$C1294+1)+10,"00"),"")&amp;IF($C1294&gt;=12,", "&amp;$A1294&amp;"-"&amp;TEXT(($D1294-$C1294+1)+11,"00"),"")&amp;IF($C1294&gt;=13,", "&amp;$A1294&amp;"-"&amp;TEXT(($D1294-$C1294+1)+12,"00"),"")&amp;IF($C1294&gt;=14,", "&amp;$A1294&amp;"-"&amp;TEXT(($D1294-$C1294+1)+13,"00"),"")&amp;IF($C1294&gt;=15,", "&amp;$A1294&amp;"-"&amp;TEXT(($D1294-$C1294+1)+14,"00"),"")&amp;IF($C1294&gt;=16,", "&amp;$A1294&amp;"-"&amp;TEXT(($D1294-$C1294+1)+15,"00"),"")&amp;IF($C1294&gt;=17,", "&amp;$A1294&amp;"-"&amp;TEXT(($D1294-$C1294+1)+16,"00"),"")&amp;IF($C1294&gt;=18,", "&amp;$A1294&amp;"-"&amp;TEXT(($D1294-$C1294+1)+17,"00"),"")&amp;IF($C1294&gt;=19,", "&amp;$A1294&amp;"-"&amp;TEXT(($D1294-$C1294+1)+18,"00"),"")&amp;IF($C1294&gt;=20,", "&amp;$A1294&amp;"-"&amp;TEXT(($D1294-$C1294+1)+19,"00"),"")&amp;IF($C1294&gt;=21,", "&amp;$A1294&amp;"-"&amp;TEXT(($D1294-$C1294+1)+20,"00"),"")&amp;IF($C1294&gt;=22,", "&amp;$A1294&amp;"-"&amp;TEXT(($D1294-$C1294+1)+21,"00"),"")&amp;IF($C1294&gt;=23,", "&amp;$A1294&amp;"-"&amp;TEXT(($D1294-$C1294+1)+22,"00"),"")&amp;IF($C1294&gt;=24,", "&amp;$A1294&amp;"-"&amp;TEXT(($D1294-$C1294+1)+23,"00"),"")&amp;IF($C1294&gt;=25,", "&amp;$A1294&amp;"-"&amp;TEXT(($D1294-$C1294+1)+24,"00"),""))</f>
        <v/>
      </c>
      <c r="G1294">
        <f>IF($A1294="","",IF($E1294=1,$F1294,IF($F1294="",$G1293,IF($G1293="",$F1294,$G1293&amp;", "&amp;$F1294))))</f>
        <v/>
      </c>
      <c r="H1294">
        <f>IF($A1294="","",$A1294&amp;" ("&amp;$C1294&amp;")")</f>
        <v/>
      </c>
      <c r="I1294">
        <f>IF($A1294="","",IF($E1294=1,$H1294,$I1293&amp;", "&amp;$H1294))</f>
        <v/>
      </c>
      <c r="J1294">
        <f>IF($A1294="","",IF($E1294=1,$B1294,""))</f>
        <v/>
      </c>
      <c r="K1294">
        <f>IF($A1294="","",IF(COUNTIF($B$2:$B1294,$B1294)=COUNTIF($B$2:$B$1601,$B1294),$B1294,""))</f>
        <v/>
      </c>
    </row>
    <row r="1295">
      <c r="A1295">
        <f>IF('TMP Paste'!$E1295="","",'TMP Paste'!$E1295)</f>
        <v/>
      </c>
      <c r="B1295">
        <f>IF($A1295="","",COUNTIF('TMP Paste'!$B$2:$B1295,"?*"))</f>
        <v/>
      </c>
      <c r="C1295">
        <f>IF($A1295="","",IFERROR('TMP Paste'!$M1295*1,0))</f>
        <v/>
      </c>
      <c r="D1295">
        <f>IF($A1295="","",SUMIF($B$2:$B1295,$B1295,$C$2:$C1295))</f>
        <v/>
      </c>
      <c r="E1295">
        <f>IF($A1295="",0,IF('TMP Paste'!$B1295="",0,1))</f>
        <v/>
      </c>
      <c r="F1295">
        <f>IF(OR($A1295="",$C1295&lt;1),"",$A1295&amp;"-"&amp;TEXT(($D1295-$C1295+1),"00")&amp;IF($C1295&gt;=2,", "&amp;$A1295&amp;"-"&amp;TEXT(($D1295-$C1295+1)+1,"00"),"")&amp;IF($C1295&gt;=3,", "&amp;$A1295&amp;"-"&amp;TEXT(($D1295-$C1295+1)+2,"00"),"")&amp;IF($C1295&gt;=4,", "&amp;$A1295&amp;"-"&amp;TEXT(($D1295-$C1295+1)+3,"00"),"")&amp;IF($C1295&gt;=5,", "&amp;$A1295&amp;"-"&amp;TEXT(($D1295-$C1295+1)+4,"00"),"")&amp;IF($C1295&gt;=6,", "&amp;$A1295&amp;"-"&amp;TEXT(($D1295-$C1295+1)+5,"00"),"")&amp;IF($C1295&gt;=7,", "&amp;$A1295&amp;"-"&amp;TEXT(($D1295-$C1295+1)+6,"00"),"")&amp;IF($C1295&gt;=8,", "&amp;$A1295&amp;"-"&amp;TEXT(($D1295-$C1295+1)+7,"00"),"")&amp;IF($C1295&gt;=9,", "&amp;$A1295&amp;"-"&amp;TEXT(($D1295-$C1295+1)+8,"00"),"")&amp;IF($C1295&gt;=10,", "&amp;$A1295&amp;"-"&amp;TEXT(($D1295-$C1295+1)+9,"00"),"")&amp;IF($C1295&gt;=11,", "&amp;$A1295&amp;"-"&amp;TEXT(($D1295-$C1295+1)+10,"00"),"")&amp;IF($C1295&gt;=12,", "&amp;$A1295&amp;"-"&amp;TEXT(($D1295-$C1295+1)+11,"00"),"")&amp;IF($C1295&gt;=13,", "&amp;$A1295&amp;"-"&amp;TEXT(($D1295-$C1295+1)+12,"00"),"")&amp;IF($C1295&gt;=14,", "&amp;$A1295&amp;"-"&amp;TEXT(($D1295-$C1295+1)+13,"00"),"")&amp;IF($C1295&gt;=15,", "&amp;$A1295&amp;"-"&amp;TEXT(($D1295-$C1295+1)+14,"00"),"")&amp;IF($C1295&gt;=16,", "&amp;$A1295&amp;"-"&amp;TEXT(($D1295-$C1295+1)+15,"00"),"")&amp;IF($C1295&gt;=17,", "&amp;$A1295&amp;"-"&amp;TEXT(($D1295-$C1295+1)+16,"00"),"")&amp;IF($C1295&gt;=18,", "&amp;$A1295&amp;"-"&amp;TEXT(($D1295-$C1295+1)+17,"00"),"")&amp;IF($C1295&gt;=19,", "&amp;$A1295&amp;"-"&amp;TEXT(($D1295-$C1295+1)+18,"00"),"")&amp;IF($C1295&gt;=20,", "&amp;$A1295&amp;"-"&amp;TEXT(($D1295-$C1295+1)+19,"00"),"")&amp;IF($C1295&gt;=21,", "&amp;$A1295&amp;"-"&amp;TEXT(($D1295-$C1295+1)+20,"00"),"")&amp;IF($C1295&gt;=22,", "&amp;$A1295&amp;"-"&amp;TEXT(($D1295-$C1295+1)+21,"00"),"")&amp;IF($C1295&gt;=23,", "&amp;$A1295&amp;"-"&amp;TEXT(($D1295-$C1295+1)+22,"00"),"")&amp;IF($C1295&gt;=24,", "&amp;$A1295&amp;"-"&amp;TEXT(($D1295-$C1295+1)+23,"00"),"")&amp;IF($C1295&gt;=25,", "&amp;$A1295&amp;"-"&amp;TEXT(($D1295-$C1295+1)+24,"00"),""))</f>
        <v/>
      </c>
      <c r="G1295">
        <f>IF($A1295="","",IF($E1295=1,$F1295,IF($F1295="",$G1294,IF($G1294="",$F1295,$G1294&amp;", "&amp;$F1295))))</f>
        <v/>
      </c>
      <c r="H1295">
        <f>IF($A1295="","",$A1295&amp;" ("&amp;$C1295&amp;")")</f>
        <v/>
      </c>
      <c r="I1295">
        <f>IF($A1295="","",IF($E1295=1,$H1295,$I1294&amp;", "&amp;$H1295))</f>
        <v/>
      </c>
      <c r="J1295">
        <f>IF($A1295="","",IF($E1295=1,$B1295,""))</f>
        <v/>
      </c>
      <c r="K1295">
        <f>IF($A1295="","",IF(COUNTIF($B$2:$B1295,$B1295)=COUNTIF($B$2:$B$1601,$B1295),$B1295,""))</f>
        <v/>
      </c>
    </row>
    <row r="1296">
      <c r="A1296">
        <f>IF('TMP Paste'!$E1296="","",'TMP Paste'!$E1296)</f>
        <v/>
      </c>
      <c r="B1296">
        <f>IF($A1296="","",COUNTIF('TMP Paste'!$B$2:$B1296,"?*"))</f>
        <v/>
      </c>
      <c r="C1296">
        <f>IF($A1296="","",IFERROR('TMP Paste'!$M1296*1,0))</f>
        <v/>
      </c>
      <c r="D1296">
        <f>IF($A1296="","",SUMIF($B$2:$B1296,$B1296,$C$2:$C1296))</f>
        <v/>
      </c>
      <c r="E1296">
        <f>IF($A1296="",0,IF('TMP Paste'!$B1296="",0,1))</f>
        <v/>
      </c>
      <c r="F1296">
        <f>IF(OR($A1296="",$C1296&lt;1),"",$A1296&amp;"-"&amp;TEXT(($D1296-$C1296+1),"00")&amp;IF($C1296&gt;=2,", "&amp;$A1296&amp;"-"&amp;TEXT(($D1296-$C1296+1)+1,"00"),"")&amp;IF($C1296&gt;=3,", "&amp;$A1296&amp;"-"&amp;TEXT(($D1296-$C1296+1)+2,"00"),"")&amp;IF($C1296&gt;=4,", "&amp;$A1296&amp;"-"&amp;TEXT(($D1296-$C1296+1)+3,"00"),"")&amp;IF($C1296&gt;=5,", "&amp;$A1296&amp;"-"&amp;TEXT(($D1296-$C1296+1)+4,"00"),"")&amp;IF($C1296&gt;=6,", "&amp;$A1296&amp;"-"&amp;TEXT(($D1296-$C1296+1)+5,"00"),"")&amp;IF($C1296&gt;=7,", "&amp;$A1296&amp;"-"&amp;TEXT(($D1296-$C1296+1)+6,"00"),"")&amp;IF($C1296&gt;=8,", "&amp;$A1296&amp;"-"&amp;TEXT(($D1296-$C1296+1)+7,"00"),"")&amp;IF($C1296&gt;=9,", "&amp;$A1296&amp;"-"&amp;TEXT(($D1296-$C1296+1)+8,"00"),"")&amp;IF($C1296&gt;=10,", "&amp;$A1296&amp;"-"&amp;TEXT(($D1296-$C1296+1)+9,"00"),"")&amp;IF($C1296&gt;=11,", "&amp;$A1296&amp;"-"&amp;TEXT(($D1296-$C1296+1)+10,"00"),"")&amp;IF($C1296&gt;=12,", "&amp;$A1296&amp;"-"&amp;TEXT(($D1296-$C1296+1)+11,"00"),"")&amp;IF($C1296&gt;=13,", "&amp;$A1296&amp;"-"&amp;TEXT(($D1296-$C1296+1)+12,"00"),"")&amp;IF($C1296&gt;=14,", "&amp;$A1296&amp;"-"&amp;TEXT(($D1296-$C1296+1)+13,"00"),"")&amp;IF($C1296&gt;=15,", "&amp;$A1296&amp;"-"&amp;TEXT(($D1296-$C1296+1)+14,"00"),"")&amp;IF($C1296&gt;=16,", "&amp;$A1296&amp;"-"&amp;TEXT(($D1296-$C1296+1)+15,"00"),"")&amp;IF($C1296&gt;=17,", "&amp;$A1296&amp;"-"&amp;TEXT(($D1296-$C1296+1)+16,"00"),"")&amp;IF($C1296&gt;=18,", "&amp;$A1296&amp;"-"&amp;TEXT(($D1296-$C1296+1)+17,"00"),"")&amp;IF($C1296&gt;=19,", "&amp;$A1296&amp;"-"&amp;TEXT(($D1296-$C1296+1)+18,"00"),"")&amp;IF($C1296&gt;=20,", "&amp;$A1296&amp;"-"&amp;TEXT(($D1296-$C1296+1)+19,"00"),"")&amp;IF($C1296&gt;=21,", "&amp;$A1296&amp;"-"&amp;TEXT(($D1296-$C1296+1)+20,"00"),"")&amp;IF($C1296&gt;=22,", "&amp;$A1296&amp;"-"&amp;TEXT(($D1296-$C1296+1)+21,"00"),"")&amp;IF($C1296&gt;=23,", "&amp;$A1296&amp;"-"&amp;TEXT(($D1296-$C1296+1)+22,"00"),"")&amp;IF($C1296&gt;=24,", "&amp;$A1296&amp;"-"&amp;TEXT(($D1296-$C1296+1)+23,"00"),"")&amp;IF($C1296&gt;=25,", "&amp;$A1296&amp;"-"&amp;TEXT(($D1296-$C1296+1)+24,"00"),""))</f>
        <v/>
      </c>
      <c r="G1296">
        <f>IF($A1296="","",IF($E1296=1,$F1296,IF($F1296="",$G1295,IF($G1295="",$F1296,$G1295&amp;", "&amp;$F1296))))</f>
        <v/>
      </c>
      <c r="H1296">
        <f>IF($A1296="","",$A1296&amp;" ("&amp;$C1296&amp;")")</f>
        <v/>
      </c>
      <c r="I1296">
        <f>IF($A1296="","",IF($E1296=1,$H1296,$I1295&amp;", "&amp;$H1296))</f>
        <v/>
      </c>
      <c r="J1296">
        <f>IF($A1296="","",IF($E1296=1,$B1296,""))</f>
        <v/>
      </c>
      <c r="K1296">
        <f>IF($A1296="","",IF(COUNTIF($B$2:$B1296,$B1296)=COUNTIF($B$2:$B$1601,$B1296),$B1296,""))</f>
        <v/>
      </c>
    </row>
    <row r="1297">
      <c r="A1297">
        <f>IF('TMP Paste'!$E1297="","",'TMP Paste'!$E1297)</f>
        <v/>
      </c>
      <c r="B1297">
        <f>IF($A1297="","",COUNTIF('TMP Paste'!$B$2:$B1297,"?*"))</f>
        <v/>
      </c>
      <c r="C1297">
        <f>IF($A1297="","",IFERROR('TMP Paste'!$M1297*1,0))</f>
        <v/>
      </c>
      <c r="D1297">
        <f>IF($A1297="","",SUMIF($B$2:$B1297,$B1297,$C$2:$C1297))</f>
        <v/>
      </c>
      <c r="E1297">
        <f>IF($A1297="",0,IF('TMP Paste'!$B1297="",0,1))</f>
        <v/>
      </c>
      <c r="F1297">
        <f>IF(OR($A1297="",$C1297&lt;1),"",$A1297&amp;"-"&amp;TEXT(($D1297-$C1297+1),"00")&amp;IF($C1297&gt;=2,", "&amp;$A1297&amp;"-"&amp;TEXT(($D1297-$C1297+1)+1,"00"),"")&amp;IF($C1297&gt;=3,", "&amp;$A1297&amp;"-"&amp;TEXT(($D1297-$C1297+1)+2,"00"),"")&amp;IF($C1297&gt;=4,", "&amp;$A1297&amp;"-"&amp;TEXT(($D1297-$C1297+1)+3,"00"),"")&amp;IF($C1297&gt;=5,", "&amp;$A1297&amp;"-"&amp;TEXT(($D1297-$C1297+1)+4,"00"),"")&amp;IF($C1297&gt;=6,", "&amp;$A1297&amp;"-"&amp;TEXT(($D1297-$C1297+1)+5,"00"),"")&amp;IF($C1297&gt;=7,", "&amp;$A1297&amp;"-"&amp;TEXT(($D1297-$C1297+1)+6,"00"),"")&amp;IF($C1297&gt;=8,", "&amp;$A1297&amp;"-"&amp;TEXT(($D1297-$C1297+1)+7,"00"),"")&amp;IF($C1297&gt;=9,", "&amp;$A1297&amp;"-"&amp;TEXT(($D1297-$C1297+1)+8,"00"),"")&amp;IF($C1297&gt;=10,", "&amp;$A1297&amp;"-"&amp;TEXT(($D1297-$C1297+1)+9,"00"),"")&amp;IF($C1297&gt;=11,", "&amp;$A1297&amp;"-"&amp;TEXT(($D1297-$C1297+1)+10,"00"),"")&amp;IF($C1297&gt;=12,", "&amp;$A1297&amp;"-"&amp;TEXT(($D1297-$C1297+1)+11,"00"),"")&amp;IF($C1297&gt;=13,", "&amp;$A1297&amp;"-"&amp;TEXT(($D1297-$C1297+1)+12,"00"),"")&amp;IF($C1297&gt;=14,", "&amp;$A1297&amp;"-"&amp;TEXT(($D1297-$C1297+1)+13,"00"),"")&amp;IF($C1297&gt;=15,", "&amp;$A1297&amp;"-"&amp;TEXT(($D1297-$C1297+1)+14,"00"),"")&amp;IF($C1297&gt;=16,", "&amp;$A1297&amp;"-"&amp;TEXT(($D1297-$C1297+1)+15,"00"),"")&amp;IF($C1297&gt;=17,", "&amp;$A1297&amp;"-"&amp;TEXT(($D1297-$C1297+1)+16,"00"),"")&amp;IF($C1297&gt;=18,", "&amp;$A1297&amp;"-"&amp;TEXT(($D1297-$C1297+1)+17,"00"),"")&amp;IF($C1297&gt;=19,", "&amp;$A1297&amp;"-"&amp;TEXT(($D1297-$C1297+1)+18,"00"),"")&amp;IF($C1297&gt;=20,", "&amp;$A1297&amp;"-"&amp;TEXT(($D1297-$C1297+1)+19,"00"),"")&amp;IF($C1297&gt;=21,", "&amp;$A1297&amp;"-"&amp;TEXT(($D1297-$C1297+1)+20,"00"),"")&amp;IF($C1297&gt;=22,", "&amp;$A1297&amp;"-"&amp;TEXT(($D1297-$C1297+1)+21,"00"),"")&amp;IF($C1297&gt;=23,", "&amp;$A1297&amp;"-"&amp;TEXT(($D1297-$C1297+1)+22,"00"),"")&amp;IF($C1297&gt;=24,", "&amp;$A1297&amp;"-"&amp;TEXT(($D1297-$C1297+1)+23,"00"),"")&amp;IF($C1297&gt;=25,", "&amp;$A1297&amp;"-"&amp;TEXT(($D1297-$C1297+1)+24,"00"),""))</f>
        <v/>
      </c>
      <c r="G1297">
        <f>IF($A1297="","",IF($E1297=1,$F1297,IF($F1297="",$G1296,IF($G1296="",$F1297,$G1296&amp;", "&amp;$F1297))))</f>
        <v/>
      </c>
      <c r="H1297">
        <f>IF($A1297="","",$A1297&amp;" ("&amp;$C1297&amp;")")</f>
        <v/>
      </c>
      <c r="I1297">
        <f>IF($A1297="","",IF($E1297=1,$H1297,$I1296&amp;", "&amp;$H1297))</f>
        <v/>
      </c>
      <c r="J1297">
        <f>IF($A1297="","",IF($E1297=1,$B1297,""))</f>
        <v/>
      </c>
      <c r="K1297">
        <f>IF($A1297="","",IF(COUNTIF($B$2:$B1297,$B1297)=COUNTIF($B$2:$B$1601,$B1297),$B1297,""))</f>
        <v/>
      </c>
    </row>
    <row r="1298">
      <c r="A1298">
        <f>IF('TMP Paste'!$E1298="","",'TMP Paste'!$E1298)</f>
        <v/>
      </c>
      <c r="B1298">
        <f>IF($A1298="","",COUNTIF('TMP Paste'!$B$2:$B1298,"?*"))</f>
        <v/>
      </c>
      <c r="C1298">
        <f>IF($A1298="","",IFERROR('TMP Paste'!$M1298*1,0))</f>
        <v/>
      </c>
      <c r="D1298">
        <f>IF($A1298="","",SUMIF($B$2:$B1298,$B1298,$C$2:$C1298))</f>
        <v/>
      </c>
      <c r="E1298">
        <f>IF($A1298="",0,IF('TMP Paste'!$B1298="",0,1))</f>
        <v/>
      </c>
      <c r="F1298">
        <f>IF(OR($A1298="",$C1298&lt;1),"",$A1298&amp;"-"&amp;TEXT(($D1298-$C1298+1),"00")&amp;IF($C1298&gt;=2,", "&amp;$A1298&amp;"-"&amp;TEXT(($D1298-$C1298+1)+1,"00"),"")&amp;IF($C1298&gt;=3,", "&amp;$A1298&amp;"-"&amp;TEXT(($D1298-$C1298+1)+2,"00"),"")&amp;IF($C1298&gt;=4,", "&amp;$A1298&amp;"-"&amp;TEXT(($D1298-$C1298+1)+3,"00"),"")&amp;IF($C1298&gt;=5,", "&amp;$A1298&amp;"-"&amp;TEXT(($D1298-$C1298+1)+4,"00"),"")&amp;IF($C1298&gt;=6,", "&amp;$A1298&amp;"-"&amp;TEXT(($D1298-$C1298+1)+5,"00"),"")&amp;IF($C1298&gt;=7,", "&amp;$A1298&amp;"-"&amp;TEXT(($D1298-$C1298+1)+6,"00"),"")&amp;IF($C1298&gt;=8,", "&amp;$A1298&amp;"-"&amp;TEXT(($D1298-$C1298+1)+7,"00"),"")&amp;IF($C1298&gt;=9,", "&amp;$A1298&amp;"-"&amp;TEXT(($D1298-$C1298+1)+8,"00"),"")&amp;IF($C1298&gt;=10,", "&amp;$A1298&amp;"-"&amp;TEXT(($D1298-$C1298+1)+9,"00"),"")&amp;IF($C1298&gt;=11,", "&amp;$A1298&amp;"-"&amp;TEXT(($D1298-$C1298+1)+10,"00"),"")&amp;IF($C1298&gt;=12,", "&amp;$A1298&amp;"-"&amp;TEXT(($D1298-$C1298+1)+11,"00"),"")&amp;IF($C1298&gt;=13,", "&amp;$A1298&amp;"-"&amp;TEXT(($D1298-$C1298+1)+12,"00"),"")&amp;IF($C1298&gt;=14,", "&amp;$A1298&amp;"-"&amp;TEXT(($D1298-$C1298+1)+13,"00"),"")&amp;IF($C1298&gt;=15,", "&amp;$A1298&amp;"-"&amp;TEXT(($D1298-$C1298+1)+14,"00"),"")&amp;IF($C1298&gt;=16,", "&amp;$A1298&amp;"-"&amp;TEXT(($D1298-$C1298+1)+15,"00"),"")&amp;IF($C1298&gt;=17,", "&amp;$A1298&amp;"-"&amp;TEXT(($D1298-$C1298+1)+16,"00"),"")&amp;IF($C1298&gt;=18,", "&amp;$A1298&amp;"-"&amp;TEXT(($D1298-$C1298+1)+17,"00"),"")&amp;IF($C1298&gt;=19,", "&amp;$A1298&amp;"-"&amp;TEXT(($D1298-$C1298+1)+18,"00"),"")&amp;IF($C1298&gt;=20,", "&amp;$A1298&amp;"-"&amp;TEXT(($D1298-$C1298+1)+19,"00"),"")&amp;IF($C1298&gt;=21,", "&amp;$A1298&amp;"-"&amp;TEXT(($D1298-$C1298+1)+20,"00"),"")&amp;IF($C1298&gt;=22,", "&amp;$A1298&amp;"-"&amp;TEXT(($D1298-$C1298+1)+21,"00"),"")&amp;IF($C1298&gt;=23,", "&amp;$A1298&amp;"-"&amp;TEXT(($D1298-$C1298+1)+22,"00"),"")&amp;IF($C1298&gt;=24,", "&amp;$A1298&amp;"-"&amp;TEXT(($D1298-$C1298+1)+23,"00"),"")&amp;IF($C1298&gt;=25,", "&amp;$A1298&amp;"-"&amp;TEXT(($D1298-$C1298+1)+24,"00"),""))</f>
        <v/>
      </c>
      <c r="G1298">
        <f>IF($A1298="","",IF($E1298=1,$F1298,IF($F1298="",$G1297,IF($G1297="",$F1298,$G1297&amp;", "&amp;$F1298))))</f>
        <v/>
      </c>
      <c r="H1298">
        <f>IF($A1298="","",$A1298&amp;" ("&amp;$C1298&amp;")")</f>
        <v/>
      </c>
      <c r="I1298">
        <f>IF($A1298="","",IF($E1298=1,$H1298,$I1297&amp;", "&amp;$H1298))</f>
        <v/>
      </c>
      <c r="J1298">
        <f>IF($A1298="","",IF($E1298=1,$B1298,""))</f>
        <v/>
      </c>
      <c r="K1298">
        <f>IF($A1298="","",IF(COUNTIF($B$2:$B1298,$B1298)=COUNTIF($B$2:$B$1601,$B1298),$B1298,""))</f>
        <v/>
      </c>
    </row>
    <row r="1299">
      <c r="A1299">
        <f>IF('TMP Paste'!$E1299="","",'TMP Paste'!$E1299)</f>
        <v/>
      </c>
      <c r="B1299">
        <f>IF($A1299="","",COUNTIF('TMP Paste'!$B$2:$B1299,"?*"))</f>
        <v/>
      </c>
      <c r="C1299">
        <f>IF($A1299="","",IFERROR('TMP Paste'!$M1299*1,0))</f>
        <v/>
      </c>
      <c r="D1299">
        <f>IF($A1299="","",SUMIF($B$2:$B1299,$B1299,$C$2:$C1299))</f>
        <v/>
      </c>
      <c r="E1299">
        <f>IF($A1299="",0,IF('TMP Paste'!$B1299="",0,1))</f>
        <v/>
      </c>
      <c r="F1299">
        <f>IF(OR($A1299="",$C1299&lt;1),"",$A1299&amp;"-"&amp;TEXT(($D1299-$C1299+1),"00")&amp;IF($C1299&gt;=2,", "&amp;$A1299&amp;"-"&amp;TEXT(($D1299-$C1299+1)+1,"00"),"")&amp;IF($C1299&gt;=3,", "&amp;$A1299&amp;"-"&amp;TEXT(($D1299-$C1299+1)+2,"00"),"")&amp;IF($C1299&gt;=4,", "&amp;$A1299&amp;"-"&amp;TEXT(($D1299-$C1299+1)+3,"00"),"")&amp;IF($C1299&gt;=5,", "&amp;$A1299&amp;"-"&amp;TEXT(($D1299-$C1299+1)+4,"00"),"")&amp;IF($C1299&gt;=6,", "&amp;$A1299&amp;"-"&amp;TEXT(($D1299-$C1299+1)+5,"00"),"")&amp;IF($C1299&gt;=7,", "&amp;$A1299&amp;"-"&amp;TEXT(($D1299-$C1299+1)+6,"00"),"")&amp;IF($C1299&gt;=8,", "&amp;$A1299&amp;"-"&amp;TEXT(($D1299-$C1299+1)+7,"00"),"")&amp;IF($C1299&gt;=9,", "&amp;$A1299&amp;"-"&amp;TEXT(($D1299-$C1299+1)+8,"00"),"")&amp;IF($C1299&gt;=10,", "&amp;$A1299&amp;"-"&amp;TEXT(($D1299-$C1299+1)+9,"00"),"")&amp;IF($C1299&gt;=11,", "&amp;$A1299&amp;"-"&amp;TEXT(($D1299-$C1299+1)+10,"00"),"")&amp;IF($C1299&gt;=12,", "&amp;$A1299&amp;"-"&amp;TEXT(($D1299-$C1299+1)+11,"00"),"")&amp;IF($C1299&gt;=13,", "&amp;$A1299&amp;"-"&amp;TEXT(($D1299-$C1299+1)+12,"00"),"")&amp;IF($C1299&gt;=14,", "&amp;$A1299&amp;"-"&amp;TEXT(($D1299-$C1299+1)+13,"00"),"")&amp;IF($C1299&gt;=15,", "&amp;$A1299&amp;"-"&amp;TEXT(($D1299-$C1299+1)+14,"00"),"")&amp;IF($C1299&gt;=16,", "&amp;$A1299&amp;"-"&amp;TEXT(($D1299-$C1299+1)+15,"00"),"")&amp;IF($C1299&gt;=17,", "&amp;$A1299&amp;"-"&amp;TEXT(($D1299-$C1299+1)+16,"00"),"")&amp;IF($C1299&gt;=18,", "&amp;$A1299&amp;"-"&amp;TEXT(($D1299-$C1299+1)+17,"00"),"")&amp;IF($C1299&gt;=19,", "&amp;$A1299&amp;"-"&amp;TEXT(($D1299-$C1299+1)+18,"00"),"")&amp;IF($C1299&gt;=20,", "&amp;$A1299&amp;"-"&amp;TEXT(($D1299-$C1299+1)+19,"00"),"")&amp;IF($C1299&gt;=21,", "&amp;$A1299&amp;"-"&amp;TEXT(($D1299-$C1299+1)+20,"00"),"")&amp;IF($C1299&gt;=22,", "&amp;$A1299&amp;"-"&amp;TEXT(($D1299-$C1299+1)+21,"00"),"")&amp;IF($C1299&gt;=23,", "&amp;$A1299&amp;"-"&amp;TEXT(($D1299-$C1299+1)+22,"00"),"")&amp;IF($C1299&gt;=24,", "&amp;$A1299&amp;"-"&amp;TEXT(($D1299-$C1299+1)+23,"00"),"")&amp;IF($C1299&gt;=25,", "&amp;$A1299&amp;"-"&amp;TEXT(($D1299-$C1299+1)+24,"00"),""))</f>
        <v/>
      </c>
      <c r="G1299">
        <f>IF($A1299="","",IF($E1299=1,$F1299,IF($F1299="",$G1298,IF($G1298="",$F1299,$G1298&amp;", "&amp;$F1299))))</f>
        <v/>
      </c>
      <c r="H1299">
        <f>IF($A1299="","",$A1299&amp;" ("&amp;$C1299&amp;")")</f>
        <v/>
      </c>
      <c r="I1299">
        <f>IF($A1299="","",IF($E1299=1,$H1299,$I1298&amp;", "&amp;$H1299))</f>
        <v/>
      </c>
      <c r="J1299">
        <f>IF($A1299="","",IF($E1299=1,$B1299,""))</f>
        <v/>
      </c>
      <c r="K1299">
        <f>IF($A1299="","",IF(COUNTIF($B$2:$B1299,$B1299)=COUNTIF($B$2:$B$1601,$B1299),$B1299,""))</f>
        <v/>
      </c>
    </row>
    <row r="1300">
      <c r="A1300">
        <f>IF('TMP Paste'!$E1300="","",'TMP Paste'!$E1300)</f>
        <v/>
      </c>
      <c r="B1300">
        <f>IF($A1300="","",COUNTIF('TMP Paste'!$B$2:$B1300,"?*"))</f>
        <v/>
      </c>
      <c r="C1300">
        <f>IF($A1300="","",IFERROR('TMP Paste'!$M1300*1,0))</f>
        <v/>
      </c>
      <c r="D1300">
        <f>IF($A1300="","",SUMIF($B$2:$B1300,$B1300,$C$2:$C1300))</f>
        <v/>
      </c>
      <c r="E1300">
        <f>IF($A1300="",0,IF('TMP Paste'!$B1300="",0,1))</f>
        <v/>
      </c>
      <c r="F1300">
        <f>IF(OR($A1300="",$C1300&lt;1),"",$A1300&amp;"-"&amp;TEXT(($D1300-$C1300+1),"00")&amp;IF($C1300&gt;=2,", "&amp;$A1300&amp;"-"&amp;TEXT(($D1300-$C1300+1)+1,"00"),"")&amp;IF($C1300&gt;=3,", "&amp;$A1300&amp;"-"&amp;TEXT(($D1300-$C1300+1)+2,"00"),"")&amp;IF($C1300&gt;=4,", "&amp;$A1300&amp;"-"&amp;TEXT(($D1300-$C1300+1)+3,"00"),"")&amp;IF($C1300&gt;=5,", "&amp;$A1300&amp;"-"&amp;TEXT(($D1300-$C1300+1)+4,"00"),"")&amp;IF($C1300&gt;=6,", "&amp;$A1300&amp;"-"&amp;TEXT(($D1300-$C1300+1)+5,"00"),"")&amp;IF($C1300&gt;=7,", "&amp;$A1300&amp;"-"&amp;TEXT(($D1300-$C1300+1)+6,"00"),"")&amp;IF($C1300&gt;=8,", "&amp;$A1300&amp;"-"&amp;TEXT(($D1300-$C1300+1)+7,"00"),"")&amp;IF($C1300&gt;=9,", "&amp;$A1300&amp;"-"&amp;TEXT(($D1300-$C1300+1)+8,"00"),"")&amp;IF($C1300&gt;=10,", "&amp;$A1300&amp;"-"&amp;TEXT(($D1300-$C1300+1)+9,"00"),"")&amp;IF($C1300&gt;=11,", "&amp;$A1300&amp;"-"&amp;TEXT(($D1300-$C1300+1)+10,"00"),"")&amp;IF($C1300&gt;=12,", "&amp;$A1300&amp;"-"&amp;TEXT(($D1300-$C1300+1)+11,"00"),"")&amp;IF($C1300&gt;=13,", "&amp;$A1300&amp;"-"&amp;TEXT(($D1300-$C1300+1)+12,"00"),"")&amp;IF($C1300&gt;=14,", "&amp;$A1300&amp;"-"&amp;TEXT(($D1300-$C1300+1)+13,"00"),"")&amp;IF($C1300&gt;=15,", "&amp;$A1300&amp;"-"&amp;TEXT(($D1300-$C1300+1)+14,"00"),"")&amp;IF($C1300&gt;=16,", "&amp;$A1300&amp;"-"&amp;TEXT(($D1300-$C1300+1)+15,"00"),"")&amp;IF($C1300&gt;=17,", "&amp;$A1300&amp;"-"&amp;TEXT(($D1300-$C1300+1)+16,"00"),"")&amp;IF($C1300&gt;=18,", "&amp;$A1300&amp;"-"&amp;TEXT(($D1300-$C1300+1)+17,"00"),"")&amp;IF($C1300&gt;=19,", "&amp;$A1300&amp;"-"&amp;TEXT(($D1300-$C1300+1)+18,"00"),"")&amp;IF($C1300&gt;=20,", "&amp;$A1300&amp;"-"&amp;TEXT(($D1300-$C1300+1)+19,"00"),"")&amp;IF($C1300&gt;=21,", "&amp;$A1300&amp;"-"&amp;TEXT(($D1300-$C1300+1)+20,"00"),"")&amp;IF($C1300&gt;=22,", "&amp;$A1300&amp;"-"&amp;TEXT(($D1300-$C1300+1)+21,"00"),"")&amp;IF($C1300&gt;=23,", "&amp;$A1300&amp;"-"&amp;TEXT(($D1300-$C1300+1)+22,"00"),"")&amp;IF($C1300&gt;=24,", "&amp;$A1300&amp;"-"&amp;TEXT(($D1300-$C1300+1)+23,"00"),"")&amp;IF($C1300&gt;=25,", "&amp;$A1300&amp;"-"&amp;TEXT(($D1300-$C1300+1)+24,"00"),""))</f>
        <v/>
      </c>
      <c r="G1300">
        <f>IF($A1300="","",IF($E1300=1,$F1300,IF($F1300="",$G1299,IF($G1299="",$F1300,$G1299&amp;", "&amp;$F1300))))</f>
        <v/>
      </c>
      <c r="H1300">
        <f>IF($A1300="","",$A1300&amp;" ("&amp;$C1300&amp;")")</f>
        <v/>
      </c>
      <c r="I1300">
        <f>IF($A1300="","",IF($E1300=1,$H1300,$I1299&amp;", "&amp;$H1300))</f>
        <v/>
      </c>
      <c r="J1300">
        <f>IF($A1300="","",IF($E1300=1,$B1300,""))</f>
        <v/>
      </c>
      <c r="K1300">
        <f>IF($A1300="","",IF(COUNTIF($B$2:$B1300,$B1300)=COUNTIF($B$2:$B$1601,$B1300),$B1300,""))</f>
        <v/>
      </c>
    </row>
    <row r="1301">
      <c r="A1301">
        <f>IF('TMP Paste'!$E1301="","",'TMP Paste'!$E1301)</f>
        <v/>
      </c>
      <c r="B1301">
        <f>IF($A1301="","",COUNTIF('TMP Paste'!$B$2:$B1301,"?*"))</f>
        <v/>
      </c>
      <c r="C1301">
        <f>IF($A1301="","",IFERROR('TMP Paste'!$M1301*1,0))</f>
        <v/>
      </c>
      <c r="D1301">
        <f>IF($A1301="","",SUMIF($B$2:$B1301,$B1301,$C$2:$C1301))</f>
        <v/>
      </c>
      <c r="E1301">
        <f>IF($A1301="",0,IF('TMP Paste'!$B1301="",0,1))</f>
        <v/>
      </c>
      <c r="F1301">
        <f>IF(OR($A1301="",$C1301&lt;1),"",$A1301&amp;"-"&amp;TEXT(($D1301-$C1301+1),"00")&amp;IF($C1301&gt;=2,", "&amp;$A1301&amp;"-"&amp;TEXT(($D1301-$C1301+1)+1,"00"),"")&amp;IF($C1301&gt;=3,", "&amp;$A1301&amp;"-"&amp;TEXT(($D1301-$C1301+1)+2,"00"),"")&amp;IF($C1301&gt;=4,", "&amp;$A1301&amp;"-"&amp;TEXT(($D1301-$C1301+1)+3,"00"),"")&amp;IF($C1301&gt;=5,", "&amp;$A1301&amp;"-"&amp;TEXT(($D1301-$C1301+1)+4,"00"),"")&amp;IF($C1301&gt;=6,", "&amp;$A1301&amp;"-"&amp;TEXT(($D1301-$C1301+1)+5,"00"),"")&amp;IF($C1301&gt;=7,", "&amp;$A1301&amp;"-"&amp;TEXT(($D1301-$C1301+1)+6,"00"),"")&amp;IF($C1301&gt;=8,", "&amp;$A1301&amp;"-"&amp;TEXT(($D1301-$C1301+1)+7,"00"),"")&amp;IF($C1301&gt;=9,", "&amp;$A1301&amp;"-"&amp;TEXT(($D1301-$C1301+1)+8,"00"),"")&amp;IF($C1301&gt;=10,", "&amp;$A1301&amp;"-"&amp;TEXT(($D1301-$C1301+1)+9,"00"),"")&amp;IF($C1301&gt;=11,", "&amp;$A1301&amp;"-"&amp;TEXT(($D1301-$C1301+1)+10,"00"),"")&amp;IF($C1301&gt;=12,", "&amp;$A1301&amp;"-"&amp;TEXT(($D1301-$C1301+1)+11,"00"),"")&amp;IF($C1301&gt;=13,", "&amp;$A1301&amp;"-"&amp;TEXT(($D1301-$C1301+1)+12,"00"),"")&amp;IF($C1301&gt;=14,", "&amp;$A1301&amp;"-"&amp;TEXT(($D1301-$C1301+1)+13,"00"),"")&amp;IF($C1301&gt;=15,", "&amp;$A1301&amp;"-"&amp;TEXT(($D1301-$C1301+1)+14,"00"),"")&amp;IF($C1301&gt;=16,", "&amp;$A1301&amp;"-"&amp;TEXT(($D1301-$C1301+1)+15,"00"),"")&amp;IF($C1301&gt;=17,", "&amp;$A1301&amp;"-"&amp;TEXT(($D1301-$C1301+1)+16,"00"),"")&amp;IF($C1301&gt;=18,", "&amp;$A1301&amp;"-"&amp;TEXT(($D1301-$C1301+1)+17,"00"),"")&amp;IF($C1301&gt;=19,", "&amp;$A1301&amp;"-"&amp;TEXT(($D1301-$C1301+1)+18,"00"),"")&amp;IF($C1301&gt;=20,", "&amp;$A1301&amp;"-"&amp;TEXT(($D1301-$C1301+1)+19,"00"),"")&amp;IF($C1301&gt;=21,", "&amp;$A1301&amp;"-"&amp;TEXT(($D1301-$C1301+1)+20,"00"),"")&amp;IF($C1301&gt;=22,", "&amp;$A1301&amp;"-"&amp;TEXT(($D1301-$C1301+1)+21,"00"),"")&amp;IF($C1301&gt;=23,", "&amp;$A1301&amp;"-"&amp;TEXT(($D1301-$C1301+1)+22,"00"),"")&amp;IF($C1301&gt;=24,", "&amp;$A1301&amp;"-"&amp;TEXT(($D1301-$C1301+1)+23,"00"),"")&amp;IF($C1301&gt;=25,", "&amp;$A1301&amp;"-"&amp;TEXT(($D1301-$C1301+1)+24,"00"),""))</f>
        <v/>
      </c>
      <c r="G1301">
        <f>IF($A1301="","",IF($E1301=1,$F1301,IF($F1301="",$G1300,IF($G1300="",$F1301,$G1300&amp;", "&amp;$F1301))))</f>
        <v/>
      </c>
      <c r="H1301">
        <f>IF($A1301="","",$A1301&amp;" ("&amp;$C1301&amp;")")</f>
        <v/>
      </c>
      <c r="I1301">
        <f>IF($A1301="","",IF($E1301=1,$H1301,$I1300&amp;", "&amp;$H1301))</f>
        <v/>
      </c>
      <c r="J1301">
        <f>IF($A1301="","",IF($E1301=1,$B1301,""))</f>
        <v/>
      </c>
      <c r="K1301">
        <f>IF($A1301="","",IF(COUNTIF($B$2:$B1301,$B1301)=COUNTIF($B$2:$B$1601,$B1301),$B1301,""))</f>
        <v/>
      </c>
    </row>
    <row r="1302">
      <c r="A1302">
        <f>IF('TMP Paste'!$E1302="","",'TMP Paste'!$E1302)</f>
        <v/>
      </c>
      <c r="B1302">
        <f>IF($A1302="","",COUNTIF('TMP Paste'!$B$2:$B1302,"?*"))</f>
        <v/>
      </c>
      <c r="C1302">
        <f>IF($A1302="","",IFERROR('TMP Paste'!$M1302*1,0))</f>
        <v/>
      </c>
      <c r="D1302">
        <f>IF($A1302="","",SUMIF($B$2:$B1302,$B1302,$C$2:$C1302))</f>
        <v/>
      </c>
      <c r="E1302">
        <f>IF($A1302="",0,IF('TMP Paste'!$B1302="",0,1))</f>
        <v/>
      </c>
      <c r="F1302">
        <f>IF(OR($A1302="",$C1302&lt;1),"",$A1302&amp;"-"&amp;TEXT(($D1302-$C1302+1),"00")&amp;IF($C1302&gt;=2,", "&amp;$A1302&amp;"-"&amp;TEXT(($D1302-$C1302+1)+1,"00"),"")&amp;IF($C1302&gt;=3,", "&amp;$A1302&amp;"-"&amp;TEXT(($D1302-$C1302+1)+2,"00"),"")&amp;IF($C1302&gt;=4,", "&amp;$A1302&amp;"-"&amp;TEXT(($D1302-$C1302+1)+3,"00"),"")&amp;IF($C1302&gt;=5,", "&amp;$A1302&amp;"-"&amp;TEXT(($D1302-$C1302+1)+4,"00"),"")&amp;IF($C1302&gt;=6,", "&amp;$A1302&amp;"-"&amp;TEXT(($D1302-$C1302+1)+5,"00"),"")&amp;IF($C1302&gt;=7,", "&amp;$A1302&amp;"-"&amp;TEXT(($D1302-$C1302+1)+6,"00"),"")&amp;IF($C1302&gt;=8,", "&amp;$A1302&amp;"-"&amp;TEXT(($D1302-$C1302+1)+7,"00"),"")&amp;IF($C1302&gt;=9,", "&amp;$A1302&amp;"-"&amp;TEXT(($D1302-$C1302+1)+8,"00"),"")&amp;IF($C1302&gt;=10,", "&amp;$A1302&amp;"-"&amp;TEXT(($D1302-$C1302+1)+9,"00"),"")&amp;IF($C1302&gt;=11,", "&amp;$A1302&amp;"-"&amp;TEXT(($D1302-$C1302+1)+10,"00"),"")&amp;IF($C1302&gt;=12,", "&amp;$A1302&amp;"-"&amp;TEXT(($D1302-$C1302+1)+11,"00"),"")&amp;IF($C1302&gt;=13,", "&amp;$A1302&amp;"-"&amp;TEXT(($D1302-$C1302+1)+12,"00"),"")&amp;IF($C1302&gt;=14,", "&amp;$A1302&amp;"-"&amp;TEXT(($D1302-$C1302+1)+13,"00"),"")&amp;IF($C1302&gt;=15,", "&amp;$A1302&amp;"-"&amp;TEXT(($D1302-$C1302+1)+14,"00"),"")&amp;IF($C1302&gt;=16,", "&amp;$A1302&amp;"-"&amp;TEXT(($D1302-$C1302+1)+15,"00"),"")&amp;IF($C1302&gt;=17,", "&amp;$A1302&amp;"-"&amp;TEXT(($D1302-$C1302+1)+16,"00"),"")&amp;IF($C1302&gt;=18,", "&amp;$A1302&amp;"-"&amp;TEXT(($D1302-$C1302+1)+17,"00"),"")&amp;IF($C1302&gt;=19,", "&amp;$A1302&amp;"-"&amp;TEXT(($D1302-$C1302+1)+18,"00"),"")&amp;IF($C1302&gt;=20,", "&amp;$A1302&amp;"-"&amp;TEXT(($D1302-$C1302+1)+19,"00"),"")&amp;IF($C1302&gt;=21,", "&amp;$A1302&amp;"-"&amp;TEXT(($D1302-$C1302+1)+20,"00"),"")&amp;IF($C1302&gt;=22,", "&amp;$A1302&amp;"-"&amp;TEXT(($D1302-$C1302+1)+21,"00"),"")&amp;IF($C1302&gt;=23,", "&amp;$A1302&amp;"-"&amp;TEXT(($D1302-$C1302+1)+22,"00"),"")&amp;IF($C1302&gt;=24,", "&amp;$A1302&amp;"-"&amp;TEXT(($D1302-$C1302+1)+23,"00"),"")&amp;IF($C1302&gt;=25,", "&amp;$A1302&amp;"-"&amp;TEXT(($D1302-$C1302+1)+24,"00"),""))</f>
        <v/>
      </c>
      <c r="G1302">
        <f>IF($A1302="","",IF($E1302=1,$F1302,IF($F1302="",$G1301,IF($G1301="",$F1302,$G1301&amp;", "&amp;$F1302))))</f>
        <v/>
      </c>
      <c r="H1302">
        <f>IF($A1302="","",$A1302&amp;" ("&amp;$C1302&amp;")")</f>
        <v/>
      </c>
      <c r="I1302">
        <f>IF($A1302="","",IF($E1302=1,$H1302,$I1301&amp;", "&amp;$H1302))</f>
        <v/>
      </c>
      <c r="J1302">
        <f>IF($A1302="","",IF($E1302=1,$B1302,""))</f>
        <v/>
      </c>
      <c r="K1302">
        <f>IF($A1302="","",IF(COUNTIF($B$2:$B1302,$B1302)=COUNTIF($B$2:$B$1601,$B1302),$B1302,""))</f>
        <v/>
      </c>
    </row>
    <row r="1303">
      <c r="A1303">
        <f>IF('TMP Paste'!$E1303="","",'TMP Paste'!$E1303)</f>
        <v/>
      </c>
      <c r="B1303">
        <f>IF($A1303="","",COUNTIF('TMP Paste'!$B$2:$B1303,"?*"))</f>
        <v/>
      </c>
      <c r="C1303">
        <f>IF($A1303="","",IFERROR('TMP Paste'!$M1303*1,0))</f>
        <v/>
      </c>
      <c r="D1303">
        <f>IF($A1303="","",SUMIF($B$2:$B1303,$B1303,$C$2:$C1303))</f>
        <v/>
      </c>
      <c r="E1303">
        <f>IF($A1303="",0,IF('TMP Paste'!$B1303="",0,1))</f>
        <v/>
      </c>
      <c r="F1303">
        <f>IF(OR($A1303="",$C1303&lt;1),"",$A1303&amp;"-"&amp;TEXT(($D1303-$C1303+1),"00")&amp;IF($C1303&gt;=2,", "&amp;$A1303&amp;"-"&amp;TEXT(($D1303-$C1303+1)+1,"00"),"")&amp;IF($C1303&gt;=3,", "&amp;$A1303&amp;"-"&amp;TEXT(($D1303-$C1303+1)+2,"00"),"")&amp;IF($C1303&gt;=4,", "&amp;$A1303&amp;"-"&amp;TEXT(($D1303-$C1303+1)+3,"00"),"")&amp;IF($C1303&gt;=5,", "&amp;$A1303&amp;"-"&amp;TEXT(($D1303-$C1303+1)+4,"00"),"")&amp;IF($C1303&gt;=6,", "&amp;$A1303&amp;"-"&amp;TEXT(($D1303-$C1303+1)+5,"00"),"")&amp;IF($C1303&gt;=7,", "&amp;$A1303&amp;"-"&amp;TEXT(($D1303-$C1303+1)+6,"00"),"")&amp;IF($C1303&gt;=8,", "&amp;$A1303&amp;"-"&amp;TEXT(($D1303-$C1303+1)+7,"00"),"")&amp;IF($C1303&gt;=9,", "&amp;$A1303&amp;"-"&amp;TEXT(($D1303-$C1303+1)+8,"00"),"")&amp;IF($C1303&gt;=10,", "&amp;$A1303&amp;"-"&amp;TEXT(($D1303-$C1303+1)+9,"00"),"")&amp;IF($C1303&gt;=11,", "&amp;$A1303&amp;"-"&amp;TEXT(($D1303-$C1303+1)+10,"00"),"")&amp;IF($C1303&gt;=12,", "&amp;$A1303&amp;"-"&amp;TEXT(($D1303-$C1303+1)+11,"00"),"")&amp;IF($C1303&gt;=13,", "&amp;$A1303&amp;"-"&amp;TEXT(($D1303-$C1303+1)+12,"00"),"")&amp;IF($C1303&gt;=14,", "&amp;$A1303&amp;"-"&amp;TEXT(($D1303-$C1303+1)+13,"00"),"")&amp;IF($C1303&gt;=15,", "&amp;$A1303&amp;"-"&amp;TEXT(($D1303-$C1303+1)+14,"00"),"")&amp;IF($C1303&gt;=16,", "&amp;$A1303&amp;"-"&amp;TEXT(($D1303-$C1303+1)+15,"00"),"")&amp;IF($C1303&gt;=17,", "&amp;$A1303&amp;"-"&amp;TEXT(($D1303-$C1303+1)+16,"00"),"")&amp;IF($C1303&gt;=18,", "&amp;$A1303&amp;"-"&amp;TEXT(($D1303-$C1303+1)+17,"00"),"")&amp;IF($C1303&gt;=19,", "&amp;$A1303&amp;"-"&amp;TEXT(($D1303-$C1303+1)+18,"00"),"")&amp;IF($C1303&gt;=20,", "&amp;$A1303&amp;"-"&amp;TEXT(($D1303-$C1303+1)+19,"00"),"")&amp;IF($C1303&gt;=21,", "&amp;$A1303&amp;"-"&amp;TEXT(($D1303-$C1303+1)+20,"00"),"")&amp;IF($C1303&gt;=22,", "&amp;$A1303&amp;"-"&amp;TEXT(($D1303-$C1303+1)+21,"00"),"")&amp;IF($C1303&gt;=23,", "&amp;$A1303&amp;"-"&amp;TEXT(($D1303-$C1303+1)+22,"00"),"")&amp;IF($C1303&gt;=24,", "&amp;$A1303&amp;"-"&amp;TEXT(($D1303-$C1303+1)+23,"00"),"")&amp;IF($C1303&gt;=25,", "&amp;$A1303&amp;"-"&amp;TEXT(($D1303-$C1303+1)+24,"00"),""))</f>
        <v/>
      </c>
      <c r="G1303">
        <f>IF($A1303="","",IF($E1303=1,$F1303,IF($F1303="",$G1302,IF($G1302="",$F1303,$G1302&amp;", "&amp;$F1303))))</f>
        <v/>
      </c>
      <c r="H1303">
        <f>IF($A1303="","",$A1303&amp;" ("&amp;$C1303&amp;")")</f>
        <v/>
      </c>
      <c r="I1303">
        <f>IF($A1303="","",IF($E1303=1,$H1303,$I1302&amp;", "&amp;$H1303))</f>
        <v/>
      </c>
      <c r="J1303">
        <f>IF($A1303="","",IF($E1303=1,$B1303,""))</f>
        <v/>
      </c>
      <c r="K1303">
        <f>IF($A1303="","",IF(COUNTIF($B$2:$B1303,$B1303)=COUNTIF($B$2:$B$1601,$B1303),$B1303,""))</f>
        <v/>
      </c>
    </row>
    <row r="1304">
      <c r="A1304">
        <f>IF('TMP Paste'!$E1304="","",'TMP Paste'!$E1304)</f>
        <v/>
      </c>
      <c r="B1304">
        <f>IF($A1304="","",COUNTIF('TMP Paste'!$B$2:$B1304,"?*"))</f>
        <v/>
      </c>
      <c r="C1304">
        <f>IF($A1304="","",IFERROR('TMP Paste'!$M1304*1,0))</f>
        <v/>
      </c>
      <c r="D1304">
        <f>IF($A1304="","",SUMIF($B$2:$B1304,$B1304,$C$2:$C1304))</f>
        <v/>
      </c>
      <c r="E1304">
        <f>IF($A1304="",0,IF('TMP Paste'!$B1304="",0,1))</f>
        <v/>
      </c>
      <c r="F1304">
        <f>IF(OR($A1304="",$C1304&lt;1),"",$A1304&amp;"-"&amp;TEXT(($D1304-$C1304+1),"00")&amp;IF($C1304&gt;=2,", "&amp;$A1304&amp;"-"&amp;TEXT(($D1304-$C1304+1)+1,"00"),"")&amp;IF($C1304&gt;=3,", "&amp;$A1304&amp;"-"&amp;TEXT(($D1304-$C1304+1)+2,"00"),"")&amp;IF($C1304&gt;=4,", "&amp;$A1304&amp;"-"&amp;TEXT(($D1304-$C1304+1)+3,"00"),"")&amp;IF($C1304&gt;=5,", "&amp;$A1304&amp;"-"&amp;TEXT(($D1304-$C1304+1)+4,"00"),"")&amp;IF($C1304&gt;=6,", "&amp;$A1304&amp;"-"&amp;TEXT(($D1304-$C1304+1)+5,"00"),"")&amp;IF($C1304&gt;=7,", "&amp;$A1304&amp;"-"&amp;TEXT(($D1304-$C1304+1)+6,"00"),"")&amp;IF($C1304&gt;=8,", "&amp;$A1304&amp;"-"&amp;TEXT(($D1304-$C1304+1)+7,"00"),"")&amp;IF($C1304&gt;=9,", "&amp;$A1304&amp;"-"&amp;TEXT(($D1304-$C1304+1)+8,"00"),"")&amp;IF($C1304&gt;=10,", "&amp;$A1304&amp;"-"&amp;TEXT(($D1304-$C1304+1)+9,"00"),"")&amp;IF($C1304&gt;=11,", "&amp;$A1304&amp;"-"&amp;TEXT(($D1304-$C1304+1)+10,"00"),"")&amp;IF($C1304&gt;=12,", "&amp;$A1304&amp;"-"&amp;TEXT(($D1304-$C1304+1)+11,"00"),"")&amp;IF($C1304&gt;=13,", "&amp;$A1304&amp;"-"&amp;TEXT(($D1304-$C1304+1)+12,"00"),"")&amp;IF($C1304&gt;=14,", "&amp;$A1304&amp;"-"&amp;TEXT(($D1304-$C1304+1)+13,"00"),"")&amp;IF($C1304&gt;=15,", "&amp;$A1304&amp;"-"&amp;TEXT(($D1304-$C1304+1)+14,"00"),"")&amp;IF($C1304&gt;=16,", "&amp;$A1304&amp;"-"&amp;TEXT(($D1304-$C1304+1)+15,"00"),"")&amp;IF($C1304&gt;=17,", "&amp;$A1304&amp;"-"&amp;TEXT(($D1304-$C1304+1)+16,"00"),"")&amp;IF($C1304&gt;=18,", "&amp;$A1304&amp;"-"&amp;TEXT(($D1304-$C1304+1)+17,"00"),"")&amp;IF($C1304&gt;=19,", "&amp;$A1304&amp;"-"&amp;TEXT(($D1304-$C1304+1)+18,"00"),"")&amp;IF($C1304&gt;=20,", "&amp;$A1304&amp;"-"&amp;TEXT(($D1304-$C1304+1)+19,"00"),"")&amp;IF($C1304&gt;=21,", "&amp;$A1304&amp;"-"&amp;TEXT(($D1304-$C1304+1)+20,"00"),"")&amp;IF($C1304&gt;=22,", "&amp;$A1304&amp;"-"&amp;TEXT(($D1304-$C1304+1)+21,"00"),"")&amp;IF($C1304&gt;=23,", "&amp;$A1304&amp;"-"&amp;TEXT(($D1304-$C1304+1)+22,"00"),"")&amp;IF($C1304&gt;=24,", "&amp;$A1304&amp;"-"&amp;TEXT(($D1304-$C1304+1)+23,"00"),"")&amp;IF($C1304&gt;=25,", "&amp;$A1304&amp;"-"&amp;TEXT(($D1304-$C1304+1)+24,"00"),""))</f>
        <v/>
      </c>
      <c r="G1304">
        <f>IF($A1304="","",IF($E1304=1,$F1304,IF($F1304="",$G1303,IF($G1303="",$F1304,$G1303&amp;", "&amp;$F1304))))</f>
        <v/>
      </c>
      <c r="H1304">
        <f>IF($A1304="","",$A1304&amp;" ("&amp;$C1304&amp;")")</f>
        <v/>
      </c>
      <c r="I1304">
        <f>IF($A1304="","",IF($E1304=1,$H1304,$I1303&amp;", "&amp;$H1304))</f>
        <v/>
      </c>
      <c r="J1304">
        <f>IF($A1304="","",IF($E1304=1,$B1304,""))</f>
        <v/>
      </c>
      <c r="K1304">
        <f>IF($A1304="","",IF(COUNTIF($B$2:$B1304,$B1304)=COUNTIF($B$2:$B$1601,$B1304),$B1304,""))</f>
        <v/>
      </c>
    </row>
    <row r="1305">
      <c r="A1305">
        <f>IF('TMP Paste'!$E1305="","",'TMP Paste'!$E1305)</f>
        <v/>
      </c>
      <c r="B1305">
        <f>IF($A1305="","",COUNTIF('TMP Paste'!$B$2:$B1305,"?*"))</f>
        <v/>
      </c>
      <c r="C1305">
        <f>IF($A1305="","",IFERROR('TMP Paste'!$M1305*1,0))</f>
        <v/>
      </c>
      <c r="D1305">
        <f>IF($A1305="","",SUMIF($B$2:$B1305,$B1305,$C$2:$C1305))</f>
        <v/>
      </c>
      <c r="E1305">
        <f>IF($A1305="",0,IF('TMP Paste'!$B1305="",0,1))</f>
        <v/>
      </c>
      <c r="F1305">
        <f>IF(OR($A1305="",$C1305&lt;1),"",$A1305&amp;"-"&amp;TEXT(($D1305-$C1305+1),"00")&amp;IF($C1305&gt;=2,", "&amp;$A1305&amp;"-"&amp;TEXT(($D1305-$C1305+1)+1,"00"),"")&amp;IF($C1305&gt;=3,", "&amp;$A1305&amp;"-"&amp;TEXT(($D1305-$C1305+1)+2,"00"),"")&amp;IF($C1305&gt;=4,", "&amp;$A1305&amp;"-"&amp;TEXT(($D1305-$C1305+1)+3,"00"),"")&amp;IF($C1305&gt;=5,", "&amp;$A1305&amp;"-"&amp;TEXT(($D1305-$C1305+1)+4,"00"),"")&amp;IF($C1305&gt;=6,", "&amp;$A1305&amp;"-"&amp;TEXT(($D1305-$C1305+1)+5,"00"),"")&amp;IF($C1305&gt;=7,", "&amp;$A1305&amp;"-"&amp;TEXT(($D1305-$C1305+1)+6,"00"),"")&amp;IF($C1305&gt;=8,", "&amp;$A1305&amp;"-"&amp;TEXT(($D1305-$C1305+1)+7,"00"),"")&amp;IF($C1305&gt;=9,", "&amp;$A1305&amp;"-"&amp;TEXT(($D1305-$C1305+1)+8,"00"),"")&amp;IF($C1305&gt;=10,", "&amp;$A1305&amp;"-"&amp;TEXT(($D1305-$C1305+1)+9,"00"),"")&amp;IF($C1305&gt;=11,", "&amp;$A1305&amp;"-"&amp;TEXT(($D1305-$C1305+1)+10,"00"),"")&amp;IF($C1305&gt;=12,", "&amp;$A1305&amp;"-"&amp;TEXT(($D1305-$C1305+1)+11,"00"),"")&amp;IF($C1305&gt;=13,", "&amp;$A1305&amp;"-"&amp;TEXT(($D1305-$C1305+1)+12,"00"),"")&amp;IF($C1305&gt;=14,", "&amp;$A1305&amp;"-"&amp;TEXT(($D1305-$C1305+1)+13,"00"),"")&amp;IF($C1305&gt;=15,", "&amp;$A1305&amp;"-"&amp;TEXT(($D1305-$C1305+1)+14,"00"),"")&amp;IF($C1305&gt;=16,", "&amp;$A1305&amp;"-"&amp;TEXT(($D1305-$C1305+1)+15,"00"),"")&amp;IF($C1305&gt;=17,", "&amp;$A1305&amp;"-"&amp;TEXT(($D1305-$C1305+1)+16,"00"),"")&amp;IF($C1305&gt;=18,", "&amp;$A1305&amp;"-"&amp;TEXT(($D1305-$C1305+1)+17,"00"),"")&amp;IF($C1305&gt;=19,", "&amp;$A1305&amp;"-"&amp;TEXT(($D1305-$C1305+1)+18,"00"),"")&amp;IF($C1305&gt;=20,", "&amp;$A1305&amp;"-"&amp;TEXT(($D1305-$C1305+1)+19,"00"),"")&amp;IF($C1305&gt;=21,", "&amp;$A1305&amp;"-"&amp;TEXT(($D1305-$C1305+1)+20,"00"),"")&amp;IF($C1305&gt;=22,", "&amp;$A1305&amp;"-"&amp;TEXT(($D1305-$C1305+1)+21,"00"),"")&amp;IF($C1305&gt;=23,", "&amp;$A1305&amp;"-"&amp;TEXT(($D1305-$C1305+1)+22,"00"),"")&amp;IF($C1305&gt;=24,", "&amp;$A1305&amp;"-"&amp;TEXT(($D1305-$C1305+1)+23,"00"),"")&amp;IF($C1305&gt;=25,", "&amp;$A1305&amp;"-"&amp;TEXT(($D1305-$C1305+1)+24,"00"),""))</f>
        <v/>
      </c>
      <c r="G1305">
        <f>IF($A1305="","",IF($E1305=1,$F1305,IF($F1305="",$G1304,IF($G1304="",$F1305,$G1304&amp;", "&amp;$F1305))))</f>
        <v/>
      </c>
      <c r="H1305">
        <f>IF($A1305="","",$A1305&amp;" ("&amp;$C1305&amp;")")</f>
        <v/>
      </c>
      <c r="I1305">
        <f>IF($A1305="","",IF($E1305=1,$H1305,$I1304&amp;", "&amp;$H1305))</f>
        <v/>
      </c>
      <c r="J1305">
        <f>IF($A1305="","",IF($E1305=1,$B1305,""))</f>
        <v/>
      </c>
      <c r="K1305">
        <f>IF($A1305="","",IF(COUNTIF($B$2:$B1305,$B1305)=COUNTIF($B$2:$B$1601,$B1305),$B1305,""))</f>
        <v/>
      </c>
    </row>
    <row r="1306">
      <c r="A1306">
        <f>IF('TMP Paste'!$E1306="","",'TMP Paste'!$E1306)</f>
        <v/>
      </c>
      <c r="B1306">
        <f>IF($A1306="","",COUNTIF('TMP Paste'!$B$2:$B1306,"?*"))</f>
        <v/>
      </c>
      <c r="C1306">
        <f>IF($A1306="","",IFERROR('TMP Paste'!$M1306*1,0))</f>
        <v/>
      </c>
      <c r="D1306">
        <f>IF($A1306="","",SUMIF($B$2:$B1306,$B1306,$C$2:$C1306))</f>
        <v/>
      </c>
      <c r="E1306">
        <f>IF($A1306="",0,IF('TMP Paste'!$B1306="",0,1))</f>
        <v/>
      </c>
      <c r="F1306">
        <f>IF(OR($A1306="",$C1306&lt;1),"",$A1306&amp;"-"&amp;TEXT(($D1306-$C1306+1),"00")&amp;IF($C1306&gt;=2,", "&amp;$A1306&amp;"-"&amp;TEXT(($D1306-$C1306+1)+1,"00"),"")&amp;IF($C1306&gt;=3,", "&amp;$A1306&amp;"-"&amp;TEXT(($D1306-$C1306+1)+2,"00"),"")&amp;IF($C1306&gt;=4,", "&amp;$A1306&amp;"-"&amp;TEXT(($D1306-$C1306+1)+3,"00"),"")&amp;IF($C1306&gt;=5,", "&amp;$A1306&amp;"-"&amp;TEXT(($D1306-$C1306+1)+4,"00"),"")&amp;IF($C1306&gt;=6,", "&amp;$A1306&amp;"-"&amp;TEXT(($D1306-$C1306+1)+5,"00"),"")&amp;IF($C1306&gt;=7,", "&amp;$A1306&amp;"-"&amp;TEXT(($D1306-$C1306+1)+6,"00"),"")&amp;IF($C1306&gt;=8,", "&amp;$A1306&amp;"-"&amp;TEXT(($D1306-$C1306+1)+7,"00"),"")&amp;IF($C1306&gt;=9,", "&amp;$A1306&amp;"-"&amp;TEXT(($D1306-$C1306+1)+8,"00"),"")&amp;IF($C1306&gt;=10,", "&amp;$A1306&amp;"-"&amp;TEXT(($D1306-$C1306+1)+9,"00"),"")&amp;IF($C1306&gt;=11,", "&amp;$A1306&amp;"-"&amp;TEXT(($D1306-$C1306+1)+10,"00"),"")&amp;IF($C1306&gt;=12,", "&amp;$A1306&amp;"-"&amp;TEXT(($D1306-$C1306+1)+11,"00"),"")&amp;IF($C1306&gt;=13,", "&amp;$A1306&amp;"-"&amp;TEXT(($D1306-$C1306+1)+12,"00"),"")&amp;IF($C1306&gt;=14,", "&amp;$A1306&amp;"-"&amp;TEXT(($D1306-$C1306+1)+13,"00"),"")&amp;IF($C1306&gt;=15,", "&amp;$A1306&amp;"-"&amp;TEXT(($D1306-$C1306+1)+14,"00"),"")&amp;IF($C1306&gt;=16,", "&amp;$A1306&amp;"-"&amp;TEXT(($D1306-$C1306+1)+15,"00"),"")&amp;IF($C1306&gt;=17,", "&amp;$A1306&amp;"-"&amp;TEXT(($D1306-$C1306+1)+16,"00"),"")&amp;IF($C1306&gt;=18,", "&amp;$A1306&amp;"-"&amp;TEXT(($D1306-$C1306+1)+17,"00"),"")&amp;IF($C1306&gt;=19,", "&amp;$A1306&amp;"-"&amp;TEXT(($D1306-$C1306+1)+18,"00"),"")&amp;IF($C1306&gt;=20,", "&amp;$A1306&amp;"-"&amp;TEXT(($D1306-$C1306+1)+19,"00"),"")&amp;IF($C1306&gt;=21,", "&amp;$A1306&amp;"-"&amp;TEXT(($D1306-$C1306+1)+20,"00"),"")&amp;IF($C1306&gt;=22,", "&amp;$A1306&amp;"-"&amp;TEXT(($D1306-$C1306+1)+21,"00"),"")&amp;IF($C1306&gt;=23,", "&amp;$A1306&amp;"-"&amp;TEXT(($D1306-$C1306+1)+22,"00"),"")&amp;IF($C1306&gt;=24,", "&amp;$A1306&amp;"-"&amp;TEXT(($D1306-$C1306+1)+23,"00"),"")&amp;IF($C1306&gt;=25,", "&amp;$A1306&amp;"-"&amp;TEXT(($D1306-$C1306+1)+24,"00"),""))</f>
        <v/>
      </c>
      <c r="G1306">
        <f>IF($A1306="","",IF($E1306=1,$F1306,IF($F1306="",$G1305,IF($G1305="",$F1306,$G1305&amp;", "&amp;$F1306))))</f>
        <v/>
      </c>
      <c r="H1306">
        <f>IF($A1306="","",$A1306&amp;" ("&amp;$C1306&amp;")")</f>
        <v/>
      </c>
      <c r="I1306">
        <f>IF($A1306="","",IF($E1306=1,$H1306,$I1305&amp;", "&amp;$H1306))</f>
        <v/>
      </c>
      <c r="J1306">
        <f>IF($A1306="","",IF($E1306=1,$B1306,""))</f>
        <v/>
      </c>
      <c r="K1306">
        <f>IF($A1306="","",IF(COUNTIF($B$2:$B1306,$B1306)=COUNTIF($B$2:$B$1601,$B1306),$B1306,""))</f>
        <v/>
      </c>
    </row>
    <row r="1307">
      <c r="A1307">
        <f>IF('TMP Paste'!$E1307="","",'TMP Paste'!$E1307)</f>
        <v/>
      </c>
      <c r="B1307">
        <f>IF($A1307="","",COUNTIF('TMP Paste'!$B$2:$B1307,"?*"))</f>
        <v/>
      </c>
      <c r="C1307">
        <f>IF($A1307="","",IFERROR('TMP Paste'!$M1307*1,0))</f>
        <v/>
      </c>
      <c r="D1307">
        <f>IF($A1307="","",SUMIF($B$2:$B1307,$B1307,$C$2:$C1307))</f>
        <v/>
      </c>
      <c r="E1307">
        <f>IF($A1307="",0,IF('TMP Paste'!$B1307="",0,1))</f>
        <v/>
      </c>
      <c r="F1307">
        <f>IF(OR($A1307="",$C1307&lt;1),"",$A1307&amp;"-"&amp;TEXT(($D1307-$C1307+1),"00")&amp;IF($C1307&gt;=2,", "&amp;$A1307&amp;"-"&amp;TEXT(($D1307-$C1307+1)+1,"00"),"")&amp;IF($C1307&gt;=3,", "&amp;$A1307&amp;"-"&amp;TEXT(($D1307-$C1307+1)+2,"00"),"")&amp;IF($C1307&gt;=4,", "&amp;$A1307&amp;"-"&amp;TEXT(($D1307-$C1307+1)+3,"00"),"")&amp;IF($C1307&gt;=5,", "&amp;$A1307&amp;"-"&amp;TEXT(($D1307-$C1307+1)+4,"00"),"")&amp;IF($C1307&gt;=6,", "&amp;$A1307&amp;"-"&amp;TEXT(($D1307-$C1307+1)+5,"00"),"")&amp;IF($C1307&gt;=7,", "&amp;$A1307&amp;"-"&amp;TEXT(($D1307-$C1307+1)+6,"00"),"")&amp;IF($C1307&gt;=8,", "&amp;$A1307&amp;"-"&amp;TEXT(($D1307-$C1307+1)+7,"00"),"")&amp;IF($C1307&gt;=9,", "&amp;$A1307&amp;"-"&amp;TEXT(($D1307-$C1307+1)+8,"00"),"")&amp;IF($C1307&gt;=10,", "&amp;$A1307&amp;"-"&amp;TEXT(($D1307-$C1307+1)+9,"00"),"")&amp;IF($C1307&gt;=11,", "&amp;$A1307&amp;"-"&amp;TEXT(($D1307-$C1307+1)+10,"00"),"")&amp;IF($C1307&gt;=12,", "&amp;$A1307&amp;"-"&amp;TEXT(($D1307-$C1307+1)+11,"00"),"")&amp;IF($C1307&gt;=13,", "&amp;$A1307&amp;"-"&amp;TEXT(($D1307-$C1307+1)+12,"00"),"")&amp;IF($C1307&gt;=14,", "&amp;$A1307&amp;"-"&amp;TEXT(($D1307-$C1307+1)+13,"00"),"")&amp;IF($C1307&gt;=15,", "&amp;$A1307&amp;"-"&amp;TEXT(($D1307-$C1307+1)+14,"00"),"")&amp;IF($C1307&gt;=16,", "&amp;$A1307&amp;"-"&amp;TEXT(($D1307-$C1307+1)+15,"00"),"")&amp;IF($C1307&gt;=17,", "&amp;$A1307&amp;"-"&amp;TEXT(($D1307-$C1307+1)+16,"00"),"")&amp;IF($C1307&gt;=18,", "&amp;$A1307&amp;"-"&amp;TEXT(($D1307-$C1307+1)+17,"00"),"")&amp;IF($C1307&gt;=19,", "&amp;$A1307&amp;"-"&amp;TEXT(($D1307-$C1307+1)+18,"00"),"")&amp;IF($C1307&gt;=20,", "&amp;$A1307&amp;"-"&amp;TEXT(($D1307-$C1307+1)+19,"00"),"")&amp;IF($C1307&gt;=21,", "&amp;$A1307&amp;"-"&amp;TEXT(($D1307-$C1307+1)+20,"00"),"")&amp;IF($C1307&gt;=22,", "&amp;$A1307&amp;"-"&amp;TEXT(($D1307-$C1307+1)+21,"00"),"")&amp;IF($C1307&gt;=23,", "&amp;$A1307&amp;"-"&amp;TEXT(($D1307-$C1307+1)+22,"00"),"")&amp;IF($C1307&gt;=24,", "&amp;$A1307&amp;"-"&amp;TEXT(($D1307-$C1307+1)+23,"00"),"")&amp;IF($C1307&gt;=25,", "&amp;$A1307&amp;"-"&amp;TEXT(($D1307-$C1307+1)+24,"00"),""))</f>
        <v/>
      </c>
      <c r="G1307">
        <f>IF($A1307="","",IF($E1307=1,$F1307,IF($F1307="",$G1306,IF($G1306="",$F1307,$G1306&amp;", "&amp;$F1307))))</f>
        <v/>
      </c>
      <c r="H1307">
        <f>IF($A1307="","",$A1307&amp;" ("&amp;$C1307&amp;")")</f>
        <v/>
      </c>
      <c r="I1307">
        <f>IF($A1307="","",IF($E1307=1,$H1307,$I1306&amp;", "&amp;$H1307))</f>
        <v/>
      </c>
      <c r="J1307">
        <f>IF($A1307="","",IF($E1307=1,$B1307,""))</f>
        <v/>
      </c>
      <c r="K1307">
        <f>IF($A1307="","",IF(COUNTIF($B$2:$B1307,$B1307)=COUNTIF($B$2:$B$1601,$B1307),$B1307,""))</f>
        <v/>
      </c>
    </row>
    <row r="1308">
      <c r="A1308">
        <f>IF('TMP Paste'!$E1308="","",'TMP Paste'!$E1308)</f>
        <v/>
      </c>
      <c r="B1308">
        <f>IF($A1308="","",COUNTIF('TMP Paste'!$B$2:$B1308,"?*"))</f>
        <v/>
      </c>
      <c r="C1308">
        <f>IF($A1308="","",IFERROR('TMP Paste'!$M1308*1,0))</f>
        <v/>
      </c>
      <c r="D1308">
        <f>IF($A1308="","",SUMIF($B$2:$B1308,$B1308,$C$2:$C1308))</f>
        <v/>
      </c>
      <c r="E1308">
        <f>IF($A1308="",0,IF('TMP Paste'!$B1308="",0,1))</f>
        <v/>
      </c>
      <c r="F1308">
        <f>IF(OR($A1308="",$C1308&lt;1),"",$A1308&amp;"-"&amp;TEXT(($D1308-$C1308+1),"00")&amp;IF($C1308&gt;=2,", "&amp;$A1308&amp;"-"&amp;TEXT(($D1308-$C1308+1)+1,"00"),"")&amp;IF($C1308&gt;=3,", "&amp;$A1308&amp;"-"&amp;TEXT(($D1308-$C1308+1)+2,"00"),"")&amp;IF($C1308&gt;=4,", "&amp;$A1308&amp;"-"&amp;TEXT(($D1308-$C1308+1)+3,"00"),"")&amp;IF($C1308&gt;=5,", "&amp;$A1308&amp;"-"&amp;TEXT(($D1308-$C1308+1)+4,"00"),"")&amp;IF($C1308&gt;=6,", "&amp;$A1308&amp;"-"&amp;TEXT(($D1308-$C1308+1)+5,"00"),"")&amp;IF($C1308&gt;=7,", "&amp;$A1308&amp;"-"&amp;TEXT(($D1308-$C1308+1)+6,"00"),"")&amp;IF($C1308&gt;=8,", "&amp;$A1308&amp;"-"&amp;TEXT(($D1308-$C1308+1)+7,"00"),"")&amp;IF($C1308&gt;=9,", "&amp;$A1308&amp;"-"&amp;TEXT(($D1308-$C1308+1)+8,"00"),"")&amp;IF($C1308&gt;=10,", "&amp;$A1308&amp;"-"&amp;TEXT(($D1308-$C1308+1)+9,"00"),"")&amp;IF($C1308&gt;=11,", "&amp;$A1308&amp;"-"&amp;TEXT(($D1308-$C1308+1)+10,"00"),"")&amp;IF($C1308&gt;=12,", "&amp;$A1308&amp;"-"&amp;TEXT(($D1308-$C1308+1)+11,"00"),"")&amp;IF($C1308&gt;=13,", "&amp;$A1308&amp;"-"&amp;TEXT(($D1308-$C1308+1)+12,"00"),"")&amp;IF($C1308&gt;=14,", "&amp;$A1308&amp;"-"&amp;TEXT(($D1308-$C1308+1)+13,"00"),"")&amp;IF($C1308&gt;=15,", "&amp;$A1308&amp;"-"&amp;TEXT(($D1308-$C1308+1)+14,"00"),"")&amp;IF($C1308&gt;=16,", "&amp;$A1308&amp;"-"&amp;TEXT(($D1308-$C1308+1)+15,"00"),"")&amp;IF($C1308&gt;=17,", "&amp;$A1308&amp;"-"&amp;TEXT(($D1308-$C1308+1)+16,"00"),"")&amp;IF($C1308&gt;=18,", "&amp;$A1308&amp;"-"&amp;TEXT(($D1308-$C1308+1)+17,"00"),"")&amp;IF($C1308&gt;=19,", "&amp;$A1308&amp;"-"&amp;TEXT(($D1308-$C1308+1)+18,"00"),"")&amp;IF($C1308&gt;=20,", "&amp;$A1308&amp;"-"&amp;TEXT(($D1308-$C1308+1)+19,"00"),"")&amp;IF($C1308&gt;=21,", "&amp;$A1308&amp;"-"&amp;TEXT(($D1308-$C1308+1)+20,"00"),"")&amp;IF($C1308&gt;=22,", "&amp;$A1308&amp;"-"&amp;TEXT(($D1308-$C1308+1)+21,"00"),"")&amp;IF($C1308&gt;=23,", "&amp;$A1308&amp;"-"&amp;TEXT(($D1308-$C1308+1)+22,"00"),"")&amp;IF($C1308&gt;=24,", "&amp;$A1308&amp;"-"&amp;TEXT(($D1308-$C1308+1)+23,"00"),"")&amp;IF($C1308&gt;=25,", "&amp;$A1308&amp;"-"&amp;TEXT(($D1308-$C1308+1)+24,"00"),""))</f>
        <v/>
      </c>
      <c r="G1308">
        <f>IF($A1308="","",IF($E1308=1,$F1308,IF($F1308="",$G1307,IF($G1307="",$F1308,$G1307&amp;", "&amp;$F1308))))</f>
        <v/>
      </c>
      <c r="H1308">
        <f>IF($A1308="","",$A1308&amp;" ("&amp;$C1308&amp;")")</f>
        <v/>
      </c>
      <c r="I1308">
        <f>IF($A1308="","",IF($E1308=1,$H1308,$I1307&amp;", "&amp;$H1308))</f>
        <v/>
      </c>
      <c r="J1308">
        <f>IF($A1308="","",IF($E1308=1,$B1308,""))</f>
        <v/>
      </c>
      <c r="K1308">
        <f>IF($A1308="","",IF(COUNTIF($B$2:$B1308,$B1308)=COUNTIF($B$2:$B$1601,$B1308),$B1308,""))</f>
        <v/>
      </c>
    </row>
    <row r="1309">
      <c r="A1309">
        <f>IF('TMP Paste'!$E1309="","",'TMP Paste'!$E1309)</f>
        <v/>
      </c>
      <c r="B1309">
        <f>IF($A1309="","",COUNTIF('TMP Paste'!$B$2:$B1309,"?*"))</f>
        <v/>
      </c>
      <c r="C1309">
        <f>IF($A1309="","",IFERROR('TMP Paste'!$M1309*1,0))</f>
        <v/>
      </c>
      <c r="D1309">
        <f>IF($A1309="","",SUMIF($B$2:$B1309,$B1309,$C$2:$C1309))</f>
        <v/>
      </c>
      <c r="E1309">
        <f>IF($A1309="",0,IF('TMP Paste'!$B1309="",0,1))</f>
        <v/>
      </c>
      <c r="F1309">
        <f>IF(OR($A1309="",$C1309&lt;1),"",$A1309&amp;"-"&amp;TEXT(($D1309-$C1309+1),"00")&amp;IF($C1309&gt;=2,", "&amp;$A1309&amp;"-"&amp;TEXT(($D1309-$C1309+1)+1,"00"),"")&amp;IF($C1309&gt;=3,", "&amp;$A1309&amp;"-"&amp;TEXT(($D1309-$C1309+1)+2,"00"),"")&amp;IF($C1309&gt;=4,", "&amp;$A1309&amp;"-"&amp;TEXT(($D1309-$C1309+1)+3,"00"),"")&amp;IF($C1309&gt;=5,", "&amp;$A1309&amp;"-"&amp;TEXT(($D1309-$C1309+1)+4,"00"),"")&amp;IF($C1309&gt;=6,", "&amp;$A1309&amp;"-"&amp;TEXT(($D1309-$C1309+1)+5,"00"),"")&amp;IF($C1309&gt;=7,", "&amp;$A1309&amp;"-"&amp;TEXT(($D1309-$C1309+1)+6,"00"),"")&amp;IF($C1309&gt;=8,", "&amp;$A1309&amp;"-"&amp;TEXT(($D1309-$C1309+1)+7,"00"),"")&amp;IF($C1309&gt;=9,", "&amp;$A1309&amp;"-"&amp;TEXT(($D1309-$C1309+1)+8,"00"),"")&amp;IF($C1309&gt;=10,", "&amp;$A1309&amp;"-"&amp;TEXT(($D1309-$C1309+1)+9,"00"),"")&amp;IF($C1309&gt;=11,", "&amp;$A1309&amp;"-"&amp;TEXT(($D1309-$C1309+1)+10,"00"),"")&amp;IF($C1309&gt;=12,", "&amp;$A1309&amp;"-"&amp;TEXT(($D1309-$C1309+1)+11,"00"),"")&amp;IF($C1309&gt;=13,", "&amp;$A1309&amp;"-"&amp;TEXT(($D1309-$C1309+1)+12,"00"),"")&amp;IF($C1309&gt;=14,", "&amp;$A1309&amp;"-"&amp;TEXT(($D1309-$C1309+1)+13,"00"),"")&amp;IF($C1309&gt;=15,", "&amp;$A1309&amp;"-"&amp;TEXT(($D1309-$C1309+1)+14,"00"),"")&amp;IF($C1309&gt;=16,", "&amp;$A1309&amp;"-"&amp;TEXT(($D1309-$C1309+1)+15,"00"),"")&amp;IF($C1309&gt;=17,", "&amp;$A1309&amp;"-"&amp;TEXT(($D1309-$C1309+1)+16,"00"),"")&amp;IF($C1309&gt;=18,", "&amp;$A1309&amp;"-"&amp;TEXT(($D1309-$C1309+1)+17,"00"),"")&amp;IF($C1309&gt;=19,", "&amp;$A1309&amp;"-"&amp;TEXT(($D1309-$C1309+1)+18,"00"),"")&amp;IF($C1309&gt;=20,", "&amp;$A1309&amp;"-"&amp;TEXT(($D1309-$C1309+1)+19,"00"),"")&amp;IF($C1309&gt;=21,", "&amp;$A1309&amp;"-"&amp;TEXT(($D1309-$C1309+1)+20,"00"),"")&amp;IF($C1309&gt;=22,", "&amp;$A1309&amp;"-"&amp;TEXT(($D1309-$C1309+1)+21,"00"),"")&amp;IF($C1309&gt;=23,", "&amp;$A1309&amp;"-"&amp;TEXT(($D1309-$C1309+1)+22,"00"),"")&amp;IF($C1309&gt;=24,", "&amp;$A1309&amp;"-"&amp;TEXT(($D1309-$C1309+1)+23,"00"),"")&amp;IF($C1309&gt;=25,", "&amp;$A1309&amp;"-"&amp;TEXT(($D1309-$C1309+1)+24,"00"),""))</f>
        <v/>
      </c>
      <c r="G1309">
        <f>IF($A1309="","",IF($E1309=1,$F1309,IF($F1309="",$G1308,IF($G1308="",$F1309,$G1308&amp;", "&amp;$F1309))))</f>
        <v/>
      </c>
      <c r="H1309">
        <f>IF($A1309="","",$A1309&amp;" ("&amp;$C1309&amp;")")</f>
        <v/>
      </c>
      <c r="I1309">
        <f>IF($A1309="","",IF($E1309=1,$H1309,$I1308&amp;", "&amp;$H1309))</f>
        <v/>
      </c>
      <c r="J1309">
        <f>IF($A1309="","",IF($E1309=1,$B1309,""))</f>
        <v/>
      </c>
      <c r="K1309">
        <f>IF($A1309="","",IF(COUNTIF($B$2:$B1309,$B1309)=COUNTIF($B$2:$B$1601,$B1309),$B1309,""))</f>
        <v/>
      </c>
    </row>
    <row r="1310">
      <c r="A1310">
        <f>IF('TMP Paste'!$E1310="","",'TMP Paste'!$E1310)</f>
        <v/>
      </c>
      <c r="B1310">
        <f>IF($A1310="","",COUNTIF('TMP Paste'!$B$2:$B1310,"?*"))</f>
        <v/>
      </c>
      <c r="C1310">
        <f>IF($A1310="","",IFERROR('TMP Paste'!$M1310*1,0))</f>
        <v/>
      </c>
      <c r="D1310">
        <f>IF($A1310="","",SUMIF($B$2:$B1310,$B1310,$C$2:$C1310))</f>
        <v/>
      </c>
      <c r="E1310">
        <f>IF($A1310="",0,IF('TMP Paste'!$B1310="",0,1))</f>
        <v/>
      </c>
      <c r="F1310">
        <f>IF(OR($A1310="",$C1310&lt;1),"",$A1310&amp;"-"&amp;TEXT(($D1310-$C1310+1),"00")&amp;IF($C1310&gt;=2,", "&amp;$A1310&amp;"-"&amp;TEXT(($D1310-$C1310+1)+1,"00"),"")&amp;IF($C1310&gt;=3,", "&amp;$A1310&amp;"-"&amp;TEXT(($D1310-$C1310+1)+2,"00"),"")&amp;IF($C1310&gt;=4,", "&amp;$A1310&amp;"-"&amp;TEXT(($D1310-$C1310+1)+3,"00"),"")&amp;IF($C1310&gt;=5,", "&amp;$A1310&amp;"-"&amp;TEXT(($D1310-$C1310+1)+4,"00"),"")&amp;IF($C1310&gt;=6,", "&amp;$A1310&amp;"-"&amp;TEXT(($D1310-$C1310+1)+5,"00"),"")&amp;IF($C1310&gt;=7,", "&amp;$A1310&amp;"-"&amp;TEXT(($D1310-$C1310+1)+6,"00"),"")&amp;IF($C1310&gt;=8,", "&amp;$A1310&amp;"-"&amp;TEXT(($D1310-$C1310+1)+7,"00"),"")&amp;IF($C1310&gt;=9,", "&amp;$A1310&amp;"-"&amp;TEXT(($D1310-$C1310+1)+8,"00"),"")&amp;IF($C1310&gt;=10,", "&amp;$A1310&amp;"-"&amp;TEXT(($D1310-$C1310+1)+9,"00"),"")&amp;IF($C1310&gt;=11,", "&amp;$A1310&amp;"-"&amp;TEXT(($D1310-$C1310+1)+10,"00"),"")&amp;IF($C1310&gt;=12,", "&amp;$A1310&amp;"-"&amp;TEXT(($D1310-$C1310+1)+11,"00"),"")&amp;IF($C1310&gt;=13,", "&amp;$A1310&amp;"-"&amp;TEXT(($D1310-$C1310+1)+12,"00"),"")&amp;IF($C1310&gt;=14,", "&amp;$A1310&amp;"-"&amp;TEXT(($D1310-$C1310+1)+13,"00"),"")&amp;IF($C1310&gt;=15,", "&amp;$A1310&amp;"-"&amp;TEXT(($D1310-$C1310+1)+14,"00"),"")&amp;IF($C1310&gt;=16,", "&amp;$A1310&amp;"-"&amp;TEXT(($D1310-$C1310+1)+15,"00"),"")&amp;IF($C1310&gt;=17,", "&amp;$A1310&amp;"-"&amp;TEXT(($D1310-$C1310+1)+16,"00"),"")&amp;IF($C1310&gt;=18,", "&amp;$A1310&amp;"-"&amp;TEXT(($D1310-$C1310+1)+17,"00"),"")&amp;IF($C1310&gt;=19,", "&amp;$A1310&amp;"-"&amp;TEXT(($D1310-$C1310+1)+18,"00"),"")&amp;IF($C1310&gt;=20,", "&amp;$A1310&amp;"-"&amp;TEXT(($D1310-$C1310+1)+19,"00"),"")&amp;IF($C1310&gt;=21,", "&amp;$A1310&amp;"-"&amp;TEXT(($D1310-$C1310+1)+20,"00"),"")&amp;IF($C1310&gt;=22,", "&amp;$A1310&amp;"-"&amp;TEXT(($D1310-$C1310+1)+21,"00"),"")&amp;IF($C1310&gt;=23,", "&amp;$A1310&amp;"-"&amp;TEXT(($D1310-$C1310+1)+22,"00"),"")&amp;IF($C1310&gt;=24,", "&amp;$A1310&amp;"-"&amp;TEXT(($D1310-$C1310+1)+23,"00"),"")&amp;IF($C1310&gt;=25,", "&amp;$A1310&amp;"-"&amp;TEXT(($D1310-$C1310+1)+24,"00"),""))</f>
        <v/>
      </c>
      <c r="G1310">
        <f>IF($A1310="","",IF($E1310=1,$F1310,IF($F1310="",$G1309,IF($G1309="",$F1310,$G1309&amp;", "&amp;$F1310))))</f>
        <v/>
      </c>
      <c r="H1310">
        <f>IF($A1310="","",$A1310&amp;" ("&amp;$C1310&amp;")")</f>
        <v/>
      </c>
      <c r="I1310">
        <f>IF($A1310="","",IF($E1310=1,$H1310,$I1309&amp;", "&amp;$H1310))</f>
        <v/>
      </c>
      <c r="J1310">
        <f>IF($A1310="","",IF($E1310=1,$B1310,""))</f>
        <v/>
      </c>
      <c r="K1310">
        <f>IF($A1310="","",IF(COUNTIF($B$2:$B1310,$B1310)=COUNTIF($B$2:$B$1601,$B1310),$B1310,""))</f>
        <v/>
      </c>
    </row>
    <row r="1311">
      <c r="A1311">
        <f>IF('TMP Paste'!$E1311="","",'TMP Paste'!$E1311)</f>
        <v/>
      </c>
      <c r="B1311">
        <f>IF($A1311="","",COUNTIF('TMP Paste'!$B$2:$B1311,"?*"))</f>
        <v/>
      </c>
      <c r="C1311">
        <f>IF($A1311="","",IFERROR('TMP Paste'!$M1311*1,0))</f>
        <v/>
      </c>
      <c r="D1311">
        <f>IF($A1311="","",SUMIF($B$2:$B1311,$B1311,$C$2:$C1311))</f>
        <v/>
      </c>
      <c r="E1311">
        <f>IF($A1311="",0,IF('TMP Paste'!$B1311="",0,1))</f>
        <v/>
      </c>
      <c r="F1311">
        <f>IF(OR($A1311="",$C1311&lt;1),"",$A1311&amp;"-"&amp;TEXT(($D1311-$C1311+1),"00")&amp;IF($C1311&gt;=2,", "&amp;$A1311&amp;"-"&amp;TEXT(($D1311-$C1311+1)+1,"00"),"")&amp;IF($C1311&gt;=3,", "&amp;$A1311&amp;"-"&amp;TEXT(($D1311-$C1311+1)+2,"00"),"")&amp;IF($C1311&gt;=4,", "&amp;$A1311&amp;"-"&amp;TEXT(($D1311-$C1311+1)+3,"00"),"")&amp;IF($C1311&gt;=5,", "&amp;$A1311&amp;"-"&amp;TEXT(($D1311-$C1311+1)+4,"00"),"")&amp;IF($C1311&gt;=6,", "&amp;$A1311&amp;"-"&amp;TEXT(($D1311-$C1311+1)+5,"00"),"")&amp;IF($C1311&gt;=7,", "&amp;$A1311&amp;"-"&amp;TEXT(($D1311-$C1311+1)+6,"00"),"")&amp;IF($C1311&gt;=8,", "&amp;$A1311&amp;"-"&amp;TEXT(($D1311-$C1311+1)+7,"00"),"")&amp;IF($C1311&gt;=9,", "&amp;$A1311&amp;"-"&amp;TEXT(($D1311-$C1311+1)+8,"00"),"")&amp;IF($C1311&gt;=10,", "&amp;$A1311&amp;"-"&amp;TEXT(($D1311-$C1311+1)+9,"00"),"")&amp;IF($C1311&gt;=11,", "&amp;$A1311&amp;"-"&amp;TEXT(($D1311-$C1311+1)+10,"00"),"")&amp;IF($C1311&gt;=12,", "&amp;$A1311&amp;"-"&amp;TEXT(($D1311-$C1311+1)+11,"00"),"")&amp;IF($C1311&gt;=13,", "&amp;$A1311&amp;"-"&amp;TEXT(($D1311-$C1311+1)+12,"00"),"")&amp;IF($C1311&gt;=14,", "&amp;$A1311&amp;"-"&amp;TEXT(($D1311-$C1311+1)+13,"00"),"")&amp;IF($C1311&gt;=15,", "&amp;$A1311&amp;"-"&amp;TEXT(($D1311-$C1311+1)+14,"00"),"")&amp;IF($C1311&gt;=16,", "&amp;$A1311&amp;"-"&amp;TEXT(($D1311-$C1311+1)+15,"00"),"")&amp;IF($C1311&gt;=17,", "&amp;$A1311&amp;"-"&amp;TEXT(($D1311-$C1311+1)+16,"00"),"")&amp;IF($C1311&gt;=18,", "&amp;$A1311&amp;"-"&amp;TEXT(($D1311-$C1311+1)+17,"00"),"")&amp;IF($C1311&gt;=19,", "&amp;$A1311&amp;"-"&amp;TEXT(($D1311-$C1311+1)+18,"00"),"")&amp;IF($C1311&gt;=20,", "&amp;$A1311&amp;"-"&amp;TEXT(($D1311-$C1311+1)+19,"00"),"")&amp;IF($C1311&gt;=21,", "&amp;$A1311&amp;"-"&amp;TEXT(($D1311-$C1311+1)+20,"00"),"")&amp;IF($C1311&gt;=22,", "&amp;$A1311&amp;"-"&amp;TEXT(($D1311-$C1311+1)+21,"00"),"")&amp;IF($C1311&gt;=23,", "&amp;$A1311&amp;"-"&amp;TEXT(($D1311-$C1311+1)+22,"00"),"")&amp;IF($C1311&gt;=24,", "&amp;$A1311&amp;"-"&amp;TEXT(($D1311-$C1311+1)+23,"00"),"")&amp;IF($C1311&gt;=25,", "&amp;$A1311&amp;"-"&amp;TEXT(($D1311-$C1311+1)+24,"00"),""))</f>
        <v/>
      </c>
      <c r="G1311">
        <f>IF($A1311="","",IF($E1311=1,$F1311,IF($F1311="",$G1310,IF($G1310="",$F1311,$G1310&amp;", "&amp;$F1311))))</f>
        <v/>
      </c>
      <c r="H1311">
        <f>IF($A1311="","",$A1311&amp;" ("&amp;$C1311&amp;")")</f>
        <v/>
      </c>
      <c r="I1311">
        <f>IF($A1311="","",IF($E1311=1,$H1311,$I1310&amp;", "&amp;$H1311))</f>
        <v/>
      </c>
      <c r="J1311">
        <f>IF($A1311="","",IF($E1311=1,$B1311,""))</f>
        <v/>
      </c>
      <c r="K1311">
        <f>IF($A1311="","",IF(COUNTIF($B$2:$B1311,$B1311)=COUNTIF($B$2:$B$1601,$B1311),$B1311,""))</f>
        <v/>
      </c>
    </row>
    <row r="1312">
      <c r="A1312">
        <f>IF('TMP Paste'!$E1312="","",'TMP Paste'!$E1312)</f>
        <v/>
      </c>
      <c r="B1312">
        <f>IF($A1312="","",COUNTIF('TMP Paste'!$B$2:$B1312,"?*"))</f>
        <v/>
      </c>
      <c r="C1312">
        <f>IF($A1312="","",IFERROR('TMP Paste'!$M1312*1,0))</f>
        <v/>
      </c>
      <c r="D1312">
        <f>IF($A1312="","",SUMIF($B$2:$B1312,$B1312,$C$2:$C1312))</f>
        <v/>
      </c>
      <c r="E1312">
        <f>IF($A1312="",0,IF('TMP Paste'!$B1312="",0,1))</f>
        <v/>
      </c>
      <c r="F1312">
        <f>IF(OR($A1312="",$C1312&lt;1),"",$A1312&amp;"-"&amp;TEXT(($D1312-$C1312+1),"00")&amp;IF($C1312&gt;=2,", "&amp;$A1312&amp;"-"&amp;TEXT(($D1312-$C1312+1)+1,"00"),"")&amp;IF($C1312&gt;=3,", "&amp;$A1312&amp;"-"&amp;TEXT(($D1312-$C1312+1)+2,"00"),"")&amp;IF($C1312&gt;=4,", "&amp;$A1312&amp;"-"&amp;TEXT(($D1312-$C1312+1)+3,"00"),"")&amp;IF($C1312&gt;=5,", "&amp;$A1312&amp;"-"&amp;TEXT(($D1312-$C1312+1)+4,"00"),"")&amp;IF($C1312&gt;=6,", "&amp;$A1312&amp;"-"&amp;TEXT(($D1312-$C1312+1)+5,"00"),"")&amp;IF($C1312&gt;=7,", "&amp;$A1312&amp;"-"&amp;TEXT(($D1312-$C1312+1)+6,"00"),"")&amp;IF($C1312&gt;=8,", "&amp;$A1312&amp;"-"&amp;TEXT(($D1312-$C1312+1)+7,"00"),"")&amp;IF($C1312&gt;=9,", "&amp;$A1312&amp;"-"&amp;TEXT(($D1312-$C1312+1)+8,"00"),"")&amp;IF($C1312&gt;=10,", "&amp;$A1312&amp;"-"&amp;TEXT(($D1312-$C1312+1)+9,"00"),"")&amp;IF($C1312&gt;=11,", "&amp;$A1312&amp;"-"&amp;TEXT(($D1312-$C1312+1)+10,"00"),"")&amp;IF($C1312&gt;=12,", "&amp;$A1312&amp;"-"&amp;TEXT(($D1312-$C1312+1)+11,"00"),"")&amp;IF($C1312&gt;=13,", "&amp;$A1312&amp;"-"&amp;TEXT(($D1312-$C1312+1)+12,"00"),"")&amp;IF($C1312&gt;=14,", "&amp;$A1312&amp;"-"&amp;TEXT(($D1312-$C1312+1)+13,"00"),"")&amp;IF($C1312&gt;=15,", "&amp;$A1312&amp;"-"&amp;TEXT(($D1312-$C1312+1)+14,"00"),"")&amp;IF($C1312&gt;=16,", "&amp;$A1312&amp;"-"&amp;TEXT(($D1312-$C1312+1)+15,"00"),"")&amp;IF($C1312&gt;=17,", "&amp;$A1312&amp;"-"&amp;TEXT(($D1312-$C1312+1)+16,"00"),"")&amp;IF($C1312&gt;=18,", "&amp;$A1312&amp;"-"&amp;TEXT(($D1312-$C1312+1)+17,"00"),"")&amp;IF($C1312&gt;=19,", "&amp;$A1312&amp;"-"&amp;TEXT(($D1312-$C1312+1)+18,"00"),"")&amp;IF($C1312&gt;=20,", "&amp;$A1312&amp;"-"&amp;TEXT(($D1312-$C1312+1)+19,"00"),"")&amp;IF($C1312&gt;=21,", "&amp;$A1312&amp;"-"&amp;TEXT(($D1312-$C1312+1)+20,"00"),"")&amp;IF($C1312&gt;=22,", "&amp;$A1312&amp;"-"&amp;TEXT(($D1312-$C1312+1)+21,"00"),"")&amp;IF($C1312&gt;=23,", "&amp;$A1312&amp;"-"&amp;TEXT(($D1312-$C1312+1)+22,"00"),"")&amp;IF($C1312&gt;=24,", "&amp;$A1312&amp;"-"&amp;TEXT(($D1312-$C1312+1)+23,"00"),"")&amp;IF($C1312&gt;=25,", "&amp;$A1312&amp;"-"&amp;TEXT(($D1312-$C1312+1)+24,"00"),""))</f>
        <v/>
      </c>
      <c r="G1312">
        <f>IF($A1312="","",IF($E1312=1,$F1312,IF($F1312="",$G1311,IF($G1311="",$F1312,$G1311&amp;", "&amp;$F1312))))</f>
        <v/>
      </c>
      <c r="H1312">
        <f>IF($A1312="","",$A1312&amp;" ("&amp;$C1312&amp;")")</f>
        <v/>
      </c>
      <c r="I1312">
        <f>IF($A1312="","",IF($E1312=1,$H1312,$I1311&amp;", "&amp;$H1312))</f>
        <v/>
      </c>
      <c r="J1312">
        <f>IF($A1312="","",IF($E1312=1,$B1312,""))</f>
        <v/>
      </c>
      <c r="K1312">
        <f>IF($A1312="","",IF(COUNTIF($B$2:$B1312,$B1312)=COUNTIF($B$2:$B$1601,$B1312),$B1312,""))</f>
        <v/>
      </c>
    </row>
    <row r="1313">
      <c r="A1313">
        <f>IF('TMP Paste'!$E1313="","",'TMP Paste'!$E1313)</f>
        <v/>
      </c>
      <c r="B1313">
        <f>IF($A1313="","",COUNTIF('TMP Paste'!$B$2:$B1313,"?*"))</f>
        <v/>
      </c>
      <c r="C1313">
        <f>IF($A1313="","",IFERROR('TMP Paste'!$M1313*1,0))</f>
        <v/>
      </c>
      <c r="D1313">
        <f>IF($A1313="","",SUMIF($B$2:$B1313,$B1313,$C$2:$C1313))</f>
        <v/>
      </c>
      <c r="E1313">
        <f>IF($A1313="",0,IF('TMP Paste'!$B1313="",0,1))</f>
        <v/>
      </c>
      <c r="F1313">
        <f>IF(OR($A1313="",$C1313&lt;1),"",$A1313&amp;"-"&amp;TEXT(($D1313-$C1313+1),"00")&amp;IF($C1313&gt;=2,", "&amp;$A1313&amp;"-"&amp;TEXT(($D1313-$C1313+1)+1,"00"),"")&amp;IF($C1313&gt;=3,", "&amp;$A1313&amp;"-"&amp;TEXT(($D1313-$C1313+1)+2,"00"),"")&amp;IF($C1313&gt;=4,", "&amp;$A1313&amp;"-"&amp;TEXT(($D1313-$C1313+1)+3,"00"),"")&amp;IF($C1313&gt;=5,", "&amp;$A1313&amp;"-"&amp;TEXT(($D1313-$C1313+1)+4,"00"),"")&amp;IF($C1313&gt;=6,", "&amp;$A1313&amp;"-"&amp;TEXT(($D1313-$C1313+1)+5,"00"),"")&amp;IF($C1313&gt;=7,", "&amp;$A1313&amp;"-"&amp;TEXT(($D1313-$C1313+1)+6,"00"),"")&amp;IF($C1313&gt;=8,", "&amp;$A1313&amp;"-"&amp;TEXT(($D1313-$C1313+1)+7,"00"),"")&amp;IF($C1313&gt;=9,", "&amp;$A1313&amp;"-"&amp;TEXT(($D1313-$C1313+1)+8,"00"),"")&amp;IF($C1313&gt;=10,", "&amp;$A1313&amp;"-"&amp;TEXT(($D1313-$C1313+1)+9,"00"),"")&amp;IF($C1313&gt;=11,", "&amp;$A1313&amp;"-"&amp;TEXT(($D1313-$C1313+1)+10,"00"),"")&amp;IF($C1313&gt;=12,", "&amp;$A1313&amp;"-"&amp;TEXT(($D1313-$C1313+1)+11,"00"),"")&amp;IF($C1313&gt;=13,", "&amp;$A1313&amp;"-"&amp;TEXT(($D1313-$C1313+1)+12,"00"),"")&amp;IF($C1313&gt;=14,", "&amp;$A1313&amp;"-"&amp;TEXT(($D1313-$C1313+1)+13,"00"),"")&amp;IF($C1313&gt;=15,", "&amp;$A1313&amp;"-"&amp;TEXT(($D1313-$C1313+1)+14,"00"),"")&amp;IF($C1313&gt;=16,", "&amp;$A1313&amp;"-"&amp;TEXT(($D1313-$C1313+1)+15,"00"),"")&amp;IF($C1313&gt;=17,", "&amp;$A1313&amp;"-"&amp;TEXT(($D1313-$C1313+1)+16,"00"),"")&amp;IF($C1313&gt;=18,", "&amp;$A1313&amp;"-"&amp;TEXT(($D1313-$C1313+1)+17,"00"),"")&amp;IF($C1313&gt;=19,", "&amp;$A1313&amp;"-"&amp;TEXT(($D1313-$C1313+1)+18,"00"),"")&amp;IF($C1313&gt;=20,", "&amp;$A1313&amp;"-"&amp;TEXT(($D1313-$C1313+1)+19,"00"),"")&amp;IF($C1313&gt;=21,", "&amp;$A1313&amp;"-"&amp;TEXT(($D1313-$C1313+1)+20,"00"),"")&amp;IF($C1313&gt;=22,", "&amp;$A1313&amp;"-"&amp;TEXT(($D1313-$C1313+1)+21,"00"),"")&amp;IF($C1313&gt;=23,", "&amp;$A1313&amp;"-"&amp;TEXT(($D1313-$C1313+1)+22,"00"),"")&amp;IF($C1313&gt;=24,", "&amp;$A1313&amp;"-"&amp;TEXT(($D1313-$C1313+1)+23,"00"),"")&amp;IF($C1313&gt;=25,", "&amp;$A1313&amp;"-"&amp;TEXT(($D1313-$C1313+1)+24,"00"),""))</f>
        <v/>
      </c>
      <c r="G1313">
        <f>IF($A1313="","",IF($E1313=1,$F1313,IF($F1313="",$G1312,IF($G1312="",$F1313,$G1312&amp;", "&amp;$F1313))))</f>
        <v/>
      </c>
      <c r="H1313">
        <f>IF($A1313="","",$A1313&amp;" ("&amp;$C1313&amp;")")</f>
        <v/>
      </c>
      <c r="I1313">
        <f>IF($A1313="","",IF($E1313=1,$H1313,$I1312&amp;", "&amp;$H1313))</f>
        <v/>
      </c>
      <c r="J1313">
        <f>IF($A1313="","",IF($E1313=1,$B1313,""))</f>
        <v/>
      </c>
      <c r="K1313">
        <f>IF($A1313="","",IF(COUNTIF($B$2:$B1313,$B1313)=COUNTIF($B$2:$B$1601,$B1313),$B1313,""))</f>
        <v/>
      </c>
    </row>
    <row r="1314">
      <c r="A1314">
        <f>IF('TMP Paste'!$E1314="","",'TMP Paste'!$E1314)</f>
        <v/>
      </c>
      <c r="B1314">
        <f>IF($A1314="","",COUNTIF('TMP Paste'!$B$2:$B1314,"?*"))</f>
        <v/>
      </c>
      <c r="C1314">
        <f>IF($A1314="","",IFERROR('TMP Paste'!$M1314*1,0))</f>
        <v/>
      </c>
      <c r="D1314">
        <f>IF($A1314="","",SUMIF($B$2:$B1314,$B1314,$C$2:$C1314))</f>
        <v/>
      </c>
      <c r="E1314">
        <f>IF($A1314="",0,IF('TMP Paste'!$B1314="",0,1))</f>
        <v/>
      </c>
      <c r="F1314">
        <f>IF(OR($A1314="",$C1314&lt;1),"",$A1314&amp;"-"&amp;TEXT(($D1314-$C1314+1),"00")&amp;IF($C1314&gt;=2,", "&amp;$A1314&amp;"-"&amp;TEXT(($D1314-$C1314+1)+1,"00"),"")&amp;IF($C1314&gt;=3,", "&amp;$A1314&amp;"-"&amp;TEXT(($D1314-$C1314+1)+2,"00"),"")&amp;IF($C1314&gt;=4,", "&amp;$A1314&amp;"-"&amp;TEXT(($D1314-$C1314+1)+3,"00"),"")&amp;IF($C1314&gt;=5,", "&amp;$A1314&amp;"-"&amp;TEXT(($D1314-$C1314+1)+4,"00"),"")&amp;IF($C1314&gt;=6,", "&amp;$A1314&amp;"-"&amp;TEXT(($D1314-$C1314+1)+5,"00"),"")&amp;IF($C1314&gt;=7,", "&amp;$A1314&amp;"-"&amp;TEXT(($D1314-$C1314+1)+6,"00"),"")&amp;IF($C1314&gt;=8,", "&amp;$A1314&amp;"-"&amp;TEXT(($D1314-$C1314+1)+7,"00"),"")&amp;IF($C1314&gt;=9,", "&amp;$A1314&amp;"-"&amp;TEXT(($D1314-$C1314+1)+8,"00"),"")&amp;IF($C1314&gt;=10,", "&amp;$A1314&amp;"-"&amp;TEXT(($D1314-$C1314+1)+9,"00"),"")&amp;IF($C1314&gt;=11,", "&amp;$A1314&amp;"-"&amp;TEXT(($D1314-$C1314+1)+10,"00"),"")&amp;IF($C1314&gt;=12,", "&amp;$A1314&amp;"-"&amp;TEXT(($D1314-$C1314+1)+11,"00"),"")&amp;IF($C1314&gt;=13,", "&amp;$A1314&amp;"-"&amp;TEXT(($D1314-$C1314+1)+12,"00"),"")&amp;IF($C1314&gt;=14,", "&amp;$A1314&amp;"-"&amp;TEXT(($D1314-$C1314+1)+13,"00"),"")&amp;IF($C1314&gt;=15,", "&amp;$A1314&amp;"-"&amp;TEXT(($D1314-$C1314+1)+14,"00"),"")&amp;IF($C1314&gt;=16,", "&amp;$A1314&amp;"-"&amp;TEXT(($D1314-$C1314+1)+15,"00"),"")&amp;IF($C1314&gt;=17,", "&amp;$A1314&amp;"-"&amp;TEXT(($D1314-$C1314+1)+16,"00"),"")&amp;IF($C1314&gt;=18,", "&amp;$A1314&amp;"-"&amp;TEXT(($D1314-$C1314+1)+17,"00"),"")&amp;IF($C1314&gt;=19,", "&amp;$A1314&amp;"-"&amp;TEXT(($D1314-$C1314+1)+18,"00"),"")&amp;IF($C1314&gt;=20,", "&amp;$A1314&amp;"-"&amp;TEXT(($D1314-$C1314+1)+19,"00"),"")&amp;IF($C1314&gt;=21,", "&amp;$A1314&amp;"-"&amp;TEXT(($D1314-$C1314+1)+20,"00"),"")&amp;IF($C1314&gt;=22,", "&amp;$A1314&amp;"-"&amp;TEXT(($D1314-$C1314+1)+21,"00"),"")&amp;IF($C1314&gt;=23,", "&amp;$A1314&amp;"-"&amp;TEXT(($D1314-$C1314+1)+22,"00"),"")&amp;IF($C1314&gt;=24,", "&amp;$A1314&amp;"-"&amp;TEXT(($D1314-$C1314+1)+23,"00"),"")&amp;IF($C1314&gt;=25,", "&amp;$A1314&amp;"-"&amp;TEXT(($D1314-$C1314+1)+24,"00"),""))</f>
        <v/>
      </c>
      <c r="G1314">
        <f>IF($A1314="","",IF($E1314=1,$F1314,IF($F1314="",$G1313,IF($G1313="",$F1314,$G1313&amp;", "&amp;$F1314))))</f>
        <v/>
      </c>
      <c r="H1314">
        <f>IF($A1314="","",$A1314&amp;" ("&amp;$C1314&amp;")")</f>
        <v/>
      </c>
      <c r="I1314">
        <f>IF($A1314="","",IF($E1314=1,$H1314,$I1313&amp;", "&amp;$H1314))</f>
        <v/>
      </c>
      <c r="J1314">
        <f>IF($A1314="","",IF($E1314=1,$B1314,""))</f>
        <v/>
      </c>
      <c r="K1314">
        <f>IF($A1314="","",IF(COUNTIF($B$2:$B1314,$B1314)=COUNTIF($B$2:$B$1601,$B1314),$B1314,""))</f>
        <v/>
      </c>
    </row>
    <row r="1315">
      <c r="A1315">
        <f>IF('TMP Paste'!$E1315="","",'TMP Paste'!$E1315)</f>
        <v/>
      </c>
      <c r="B1315">
        <f>IF($A1315="","",COUNTIF('TMP Paste'!$B$2:$B1315,"?*"))</f>
        <v/>
      </c>
      <c r="C1315">
        <f>IF($A1315="","",IFERROR('TMP Paste'!$M1315*1,0))</f>
        <v/>
      </c>
      <c r="D1315">
        <f>IF($A1315="","",SUMIF($B$2:$B1315,$B1315,$C$2:$C1315))</f>
        <v/>
      </c>
      <c r="E1315">
        <f>IF($A1315="",0,IF('TMP Paste'!$B1315="",0,1))</f>
        <v/>
      </c>
      <c r="F1315">
        <f>IF(OR($A1315="",$C1315&lt;1),"",$A1315&amp;"-"&amp;TEXT(($D1315-$C1315+1),"00")&amp;IF($C1315&gt;=2,", "&amp;$A1315&amp;"-"&amp;TEXT(($D1315-$C1315+1)+1,"00"),"")&amp;IF($C1315&gt;=3,", "&amp;$A1315&amp;"-"&amp;TEXT(($D1315-$C1315+1)+2,"00"),"")&amp;IF($C1315&gt;=4,", "&amp;$A1315&amp;"-"&amp;TEXT(($D1315-$C1315+1)+3,"00"),"")&amp;IF($C1315&gt;=5,", "&amp;$A1315&amp;"-"&amp;TEXT(($D1315-$C1315+1)+4,"00"),"")&amp;IF($C1315&gt;=6,", "&amp;$A1315&amp;"-"&amp;TEXT(($D1315-$C1315+1)+5,"00"),"")&amp;IF($C1315&gt;=7,", "&amp;$A1315&amp;"-"&amp;TEXT(($D1315-$C1315+1)+6,"00"),"")&amp;IF($C1315&gt;=8,", "&amp;$A1315&amp;"-"&amp;TEXT(($D1315-$C1315+1)+7,"00"),"")&amp;IF($C1315&gt;=9,", "&amp;$A1315&amp;"-"&amp;TEXT(($D1315-$C1315+1)+8,"00"),"")&amp;IF($C1315&gt;=10,", "&amp;$A1315&amp;"-"&amp;TEXT(($D1315-$C1315+1)+9,"00"),"")&amp;IF($C1315&gt;=11,", "&amp;$A1315&amp;"-"&amp;TEXT(($D1315-$C1315+1)+10,"00"),"")&amp;IF($C1315&gt;=12,", "&amp;$A1315&amp;"-"&amp;TEXT(($D1315-$C1315+1)+11,"00"),"")&amp;IF($C1315&gt;=13,", "&amp;$A1315&amp;"-"&amp;TEXT(($D1315-$C1315+1)+12,"00"),"")&amp;IF($C1315&gt;=14,", "&amp;$A1315&amp;"-"&amp;TEXT(($D1315-$C1315+1)+13,"00"),"")&amp;IF($C1315&gt;=15,", "&amp;$A1315&amp;"-"&amp;TEXT(($D1315-$C1315+1)+14,"00"),"")&amp;IF($C1315&gt;=16,", "&amp;$A1315&amp;"-"&amp;TEXT(($D1315-$C1315+1)+15,"00"),"")&amp;IF($C1315&gt;=17,", "&amp;$A1315&amp;"-"&amp;TEXT(($D1315-$C1315+1)+16,"00"),"")&amp;IF($C1315&gt;=18,", "&amp;$A1315&amp;"-"&amp;TEXT(($D1315-$C1315+1)+17,"00"),"")&amp;IF($C1315&gt;=19,", "&amp;$A1315&amp;"-"&amp;TEXT(($D1315-$C1315+1)+18,"00"),"")&amp;IF($C1315&gt;=20,", "&amp;$A1315&amp;"-"&amp;TEXT(($D1315-$C1315+1)+19,"00"),"")&amp;IF($C1315&gt;=21,", "&amp;$A1315&amp;"-"&amp;TEXT(($D1315-$C1315+1)+20,"00"),"")&amp;IF($C1315&gt;=22,", "&amp;$A1315&amp;"-"&amp;TEXT(($D1315-$C1315+1)+21,"00"),"")&amp;IF($C1315&gt;=23,", "&amp;$A1315&amp;"-"&amp;TEXT(($D1315-$C1315+1)+22,"00"),"")&amp;IF($C1315&gt;=24,", "&amp;$A1315&amp;"-"&amp;TEXT(($D1315-$C1315+1)+23,"00"),"")&amp;IF($C1315&gt;=25,", "&amp;$A1315&amp;"-"&amp;TEXT(($D1315-$C1315+1)+24,"00"),""))</f>
        <v/>
      </c>
      <c r="G1315">
        <f>IF($A1315="","",IF($E1315=1,$F1315,IF($F1315="",$G1314,IF($G1314="",$F1315,$G1314&amp;", "&amp;$F1315))))</f>
        <v/>
      </c>
      <c r="H1315">
        <f>IF($A1315="","",$A1315&amp;" ("&amp;$C1315&amp;")")</f>
        <v/>
      </c>
      <c r="I1315">
        <f>IF($A1315="","",IF($E1315=1,$H1315,$I1314&amp;", "&amp;$H1315))</f>
        <v/>
      </c>
      <c r="J1315">
        <f>IF($A1315="","",IF($E1315=1,$B1315,""))</f>
        <v/>
      </c>
      <c r="K1315">
        <f>IF($A1315="","",IF(COUNTIF($B$2:$B1315,$B1315)=COUNTIF($B$2:$B$1601,$B1315),$B1315,""))</f>
        <v/>
      </c>
    </row>
    <row r="1316">
      <c r="A1316">
        <f>IF('TMP Paste'!$E1316="","",'TMP Paste'!$E1316)</f>
        <v/>
      </c>
      <c r="B1316">
        <f>IF($A1316="","",COUNTIF('TMP Paste'!$B$2:$B1316,"?*"))</f>
        <v/>
      </c>
      <c r="C1316">
        <f>IF($A1316="","",IFERROR('TMP Paste'!$M1316*1,0))</f>
        <v/>
      </c>
      <c r="D1316">
        <f>IF($A1316="","",SUMIF($B$2:$B1316,$B1316,$C$2:$C1316))</f>
        <v/>
      </c>
      <c r="E1316">
        <f>IF($A1316="",0,IF('TMP Paste'!$B1316="",0,1))</f>
        <v/>
      </c>
      <c r="F1316">
        <f>IF(OR($A1316="",$C1316&lt;1),"",$A1316&amp;"-"&amp;TEXT(($D1316-$C1316+1),"00")&amp;IF($C1316&gt;=2,", "&amp;$A1316&amp;"-"&amp;TEXT(($D1316-$C1316+1)+1,"00"),"")&amp;IF($C1316&gt;=3,", "&amp;$A1316&amp;"-"&amp;TEXT(($D1316-$C1316+1)+2,"00"),"")&amp;IF($C1316&gt;=4,", "&amp;$A1316&amp;"-"&amp;TEXT(($D1316-$C1316+1)+3,"00"),"")&amp;IF($C1316&gt;=5,", "&amp;$A1316&amp;"-"&amp;TEXT(($D1316-$C1316+1)+4,"00"),"")&amp;IF($C1316&gt;=6,", "&amp;$A1316&amp;"-"&amp;TEXT(($D1316-$C1316+1)+5,"00"),"")&amp;IF($C1316&gt;=7,", "&amp;$A1316&amp;"-"&amp;TEXT(($D1316-$C1316+1)+6,"00"),"")&amp;IF($C1316&gt;=8,", "&amp;$A1316&amp;"-"&amp;TEXT(($D1316-$C1316+1)+7,"00"),"")&amp;IF($C1316&gt;=9,", "&amp;$A1316&amp;"-"&amp;TEXT(($D1316-$C1316+1)+8,"00"),"")&amp;IF($C1316&gt;=10,", "&amp;$A1316&amp;"-"&amp;TEXT(($D1316-$C1316+1)+9,"00"),"")&amp;IF($C1316&gt;=11,", "&amp;$A1316&amp;"-"&amp;TEXT(($D1316-$C1316+1)+10,"00"),"")&amp;IF($C1316&gt;=12,", "&amp;$A1316&amp;"-"&amp;TEXT(($D1316-$C1316+1)+11,"00"),"")&amp;IF($C1316&gt;=13,", "&amp;$A1316&amp;"-"&amp;TEXT(($D1316-$C1316+1)+12,"00"),"")&amp;IF($C1316&gt;=14,", "&amp;$A1316&amp;"-"&amp;TEXT(($D1316-$C1316+1)+13,"00"),"")&amp;IF($C1316&gt;=15,", "&amp;$A1316&amp;"-"&amp;TEXT(($D1316-$C1316+1)+14,"00"),"")&amp;IF($C1316&gt;=16,", "&amp;$A1316&amp;"-"&amp;TEXT(($D1316-$C1316+1)+15,"00"),"")&amp;IF($C1316&gt;=17,", "&amp;$A1316&amp;"-"&amp;TEXT(($D1316-$C1316+1)+16,"00"),"")&amp;IF($C1316&gt;=18,", "&amp;$A1316&amp;"-"&amp;TEXT(($D1316-$C1316+1)+17,"00"),"")&amp;IF($C1316&gt;=19,", "&amp;$A1316&amp;"-"&amp;TEXT(($D1316-$C1316+1)+18,"00"),"")&amp;IF($C1316&gt;=20,", "&amp;$A1316&amp;"-"&amp;TEXT(($D1316-$C1316+1)+19,"00"),"")&amp;IF($C1316&gt;=21,", "&amp;$A1316&amp;"-"&amp;TEXT(($D1316-$C1316+1)+20,"00"),"")&amp;IF($C1316&gt;=22,", "&amp;$A1316&amp;"-"&amp;TEXT(($D1316-$C1316+1)+21,"00"),"")&amp;IF($C1316&gt;=23,", "&amp;$A1316&amp;"-"&amp;TEXT(($D1316-$C1316+1)+22,"00"),"")&amp;IF($C1316&gt;=24,", "&amp;$A1316&amp;"-"&amp;TEXT(($D1316-$C1316+1)+23,"00"),"")&amp;IF($C1316&gt;=25,", "&amp;$A1316&amp;"-"&amp;TEXT(($D1316-$C1316+1)+24,"00"),""))</f>
        <v/>
      </c>
      <c r="G1316">
        <f>IF($A1316="","",IF($E1316=1,$F1316,IF($F1316="",$G1315,IF($G1315="",$F1316,$G1315&amp;", "&amp;$F1316))))</f>
        <v/>
      </c>
      <c r="H1316">
        <f>IF($A1316="","",$A1316&amp;" ("&amp;$C1316&amp;")")</f>
        <v/>
      </c>
      <c r="I1316">
        <f>IF($A1316="","",IF($E1316=1,$H1316,$I1315&amp;", "&amp;$H1316))</f>
        <v/>
      </c>
      <c r="J1316">
        <f>IF($A1316="","",IF($E1316=1,$B1316,""))</f>
        <v/>
      </c>
      <c r="K1316">
        <f>IF($A1316="","",IF(COUNTIF($B$2:$B1316,$B1316)=COUNTIF($B$2:$B$1601,$B1316),$B1316,""))</f>
        <v/>
      </c>
    </row>
    <row r="1317">
      <c r="A1317">
        <f>IF('TMP Paste'!$E1317="","",'TMP Paste'!$E1317)</f>
        <v/>
      </c>
      <c r="B1317">
        <f>IF($A1317="","",COUNTIF('TMP Paste'!$B$2:$B1317,"?*"))</f>
        <v/>
      </c>
      <c r="C1317">
        <f>IF($A1317="","",IFERROR('TMP Paste'!$M1317*1,0))</f>
        <v/>
      </c>
      <c r="D1317">
        <f>IF($A1317="","",SUMIF($B$2:$B1317,$B1317,$C$2:$C1317))</f>
        <v/>
      </c>
      <c r="E1317">
        <f>IF($A1317="",0,IF('TMP Paste'!$B1317="",0,1))</f>
        <v/>
      </c>
      <c r="F1317">
        <f>IF(OR($A1317="",$C1317&lt;1),"",$A1317&amp;"-"&amp;TEXT(($D1317-$C1317+1),"00")&amp;IF($C1317&gt;=2,", "&amp;$A1317&amp;"-"&amp;TEXT(($D1317-$C1317+1)+1,"00"),"")&amp;IF($C1317&gt;=3,", "&amp;$A1317&amp;"-"&amp;TEXT(($D1317-$C1317+1)+2,"00"),"")&amp;IF($C1317&gt;=4,", "&amp;$A1317&amp;"-"&amp;TEXT(($D1317-$C1317+1)+3,"00"),"")&amp;IF($C1317&gt;=5,", "&amp;$A1317&amp;"-"&amp;TEXT(($D1317-$C1317+1)+4,"00"),"")&amp;IF($C1317&gt;=6,", "&amp;$A1317&amp;"-"&amp;TEXT(($D1317-$C1317+1)+5,"00"),"")&amp;IF($C1317&gt;=7,", "&amp;$A1317&amp;"-"&amp;TEXT(($D1317-$C1317+1)+6,"00"),"")&amp;IF($C1317&gt;=8,", "&amp;$A1317&amp;"-"&amp;TEXT(($D1317-$C1317+1)+7,"00"),"")&amp;IF($C1317&gt;=9,", "&amp;$A1317&amp;"-"&amp;TEXT(($D1317-$C1317+1)+8,"00"),"")&amp;IF($C1317&gt;=10,", "&amp;$A1317&amp;"-"&amp;TEXT(($D1317-$C1317+1)+9,"00"),"")&amp;IF($C1317&gt;=11,", "&amp;$A1317&amp;"-"&amp;TEXT(($D1317-$C1317+1)+10,"00"),"")&amp;IF($C1317&gt;=12,", "&amp;$A1317&amp;"-"&amp;TEXT(($D1317-$C1317+1)+11,"00"),"")&amp;IF($C1317&gt;=13,", "&amp;$A1317&amp;"-"&amp;TEXT(($D1317-$C1317+1)+12,"00"),"")&amp;IF($C1317&gt;=14,", "&amp;$A1317&amp;"-"&amp;TEXT(($D1317-$C1317+1)+13,"00"),"")&amp;IF($C1317&gt;=15,", "&amp;$A1317&amp;"-"&amp;TEXT(($D1317-$C1317+1)+14,"00"),"")&amp;IF($C1317&gt;=16,", "&amp;$A1317&amp;"-"&amp;TEXT(($D1317-$C1317+1)+15,"00"),"")&amp;IF($C1317&gt;=17,", "&amp;$A1317&amp;"-"&amp;TEXT(($D1317-$C1317+1)+16,"00"),"")&amp;IF($C1317&gt;=18,", "&amp;$A1317&amp;"-"&amp;TEXT(($D1317-$C1317+1)+17,"00"),"")&amp;IF($C1317&gt;=19,", "&amp;$A1317&amp;"-"&amp;TEXT(($D1317-$C1317+1)+18,"00"),"")&amp;IF($C1317&gt;=20,", "&amp;$A1317&amp;"-"&amp;TEXT(($D1317-$C1317+1)+19,"00"),"")&amp;IF($C1317&gt;=21,", "&amp;$A1317&amp;"-"&amp;TEXT(($D1317-$C1317+1)+20,"00"),"")&amp;IF($C1317&gt;=22,", "&amp;$A1317&amp;"-"&amp;TEXT(($D1317-$C1317+1)+21,"00"),"")&amp;IF($C1317&gt;=23,", "&amp;$A1317&amp;"-"&amp;TEXT(($D1317-$C1317+1)+22,"00"),"")&amp;IF($C1317&gt;=24,", "&amp;$A1317&amp;"-"&amp;TEXT(($D1317-$C1317+1)+23,"00"),"")&amp;IF($C1317&gt;=25,", "&amp;$A1317&amp;"-"&amp;TEXT(($D1317-$C1317+1)+24,"00"),""))</f>
        <v/>
      </c>
      <c r="G1317">
        <f>IF($A1317="","",IF($E1317=1,$F1317,IF($F1317="",$G1316,IF($G1316="",$F1317,$G1316&amp;", "&amp;$F1317))))</f>
        <v/>
      </c>
      <c r="H1317">
        <f>IF($A1317="","",$A1317&amp;" ("&amp;$C1317&amp;")")</f>
        <v/>
      </c>
      <c r="I1317">
        <f>IF($A1317="","",IF($E1317=1,$H1317,$I1316&amp;", "&amp;$H1317))</f>
        <v/>
      </c>
      <c r="J1317">
        <f>IF($A1317="","",IF($E1317=1,$B1317,""))</f>
        <v/>
      </c>
      <c r="K1317">
        <f>IF($A1317="","",IF(COUNTIF($B$2:$B1317,$B1317)=COUNTIF($B$2:$B$1601,$B1317),$B1317,""))</f>
        <v/>
      </c>
    </row>
    <row r="1318">
      <c r="A1318">
        <f>IF('TMP Paste'!$E1318="","",'TMP Paste'!$E1318)</f>
        <v/>
      </c>
      <c r="B1318">
        <f>IF($A1318="","",COUNTIF('TMP Paste'!$B$2:$B1318,"?*"))</f>
        <v/>
      </c>
      <c r="C1318">
        <f>IF($A1318="","",IFERROR('TMP Paste'!$M1318*1,0))</f>
        <v/>
      </c>
      <c r="D1318">
        <f>IF($A1318="","",SUMIF($B$2:$B1318,$B1318,$C$2:$C1318))</f>
        <v/>
      </c>
      <c r="E1318">
        <f>IF($A1318="",0,IF('TMP Paste'!$B1318="",0,1))</f>
        <v/>
      </c>
      <c r="F1318">
        <f>IF(OR($A1318="",$C1318&lt;1),"",$A1318&amp;"-"&amp;TEXT(($D1318-$C1318+1),"00")&amp;IF($C1318&gt;=2,", "&amp;$A1318&amp;"-"&amp;TEXT(($D1318-$C1318+1)+1,"00"),"")&amp;IF($C1318&gt;=3,", "&amp;$A1318&amp;"-"&amp;TEXT(($D1318-$C1318+1)+2,"00"),"")&amp;IF($C1318&gt;=4,", "&amp;$A1318&amp;"-"&amp;TEXT(($D1318-$C1318+1)+3,"00"),"")&amp;IF($C1318&gt;=5,", "&amp;$A1318&amp;"-"&amp;TEXT(($D1318-$C1318+1)+4,"00"),"")&amp;IF($C1318&gt;=6,", "&amp;$A1318&amp;"-"&amp;TEXT(($D1318-$C1318+1)+5,"00"),"")&amp;IF($C1318&gt;=7,", "&amp;$A1318&amp;"-"&amp;TEXT(($D1318-$C1318+1)+6,"00"),"")&amp;IF($C1318&gt;=8,", "&amp;$A1318&amp;"-"&amp;TEXT(($D1318-$C1318+1)+7,"00"),"")&amp;IF($C1318&gt;=9,", "&amp;$A1318&amp;"-"&amp;TEXT(($D1318-$C1318+1)+8,"00"),"")&amp;IF($C1318&gt;=10,", "&amp;$A1318&amp;"-"&amp;TEXT(($D1318-$C1318+1)+9,"00"),"")&amp;IF($C1318&gt;=11,", "&amp;$A1318&amp;"-"&amp;TEXT(($D1318-$C1318+1)+10,"00"),"")&amp;IF($C1318&gt;=12,", "&amp;$A1318&amp;"-"&amp;TEXT(($D1318-$C1318+1)+11,"00"),"")&amp;IF($C1318&gt;=13,", "&amp;$A1318&amp;"-"&amp;TEXT(($D1318-$C1318+1)+12,"00"),"")&amp;IF($C1318&gt;=14,", "&amp;$A1318&amp;"-"&amp;TEXT(($D1318-$C1318+1)+13,"00"),"")&amp;IF($C1318&gt;=15,", "&amp;$A1318&amp;"-"&amp;TEXT(($D1318-$C1318+1)+14,"00"),"")&amp;IF($C1318&gt;=16,", "&amp;$A1318&amp;"-"&amp;TEXT(($D1318-$C1318+1)+15,"00"),"")&amp;IF($C1318&gt;=17,", "&amp;$A1318&amp;"-"&amp;TEXT(($D1318-$C1318+1)+16,"00"),"")&amp;IF($C1318&gt;=18,", "&amp;$A1318&amp;"-"&amp;TEXT(($D1318-$C1318+1)+17,"00"),"")&amp;IF($C1318&gt;=19,", "&amp;$A1318&amp;"-"&amp;TEXT(($D1318-$C1318+1)+18,"00"),"")&amp;IF($C1318&gt;=20,", "&amp;$A1318&amp;"-"&amp;TEXT(($D1318-$C1318+1)+19,"00"),"")&amp;IF($C1318&gt;=21,", "&amp;$A1318&amp;"-"&amp;TEXT(($D1318-$C1318+1)+20,"00"),"")&amp;IF($C1318&gt;=22,", "&amp;$A1318&amp;"-"&amp;TEXT(($D1318-$C1318+1)+21,"00"),"")&amp;IF($C1318&gt;=23,", "&amp;$A1318&amp;"-"&amp;TEXT(($D1318-$C1318+1)+22,"00"),"")&amp;IF($C1318&gt;=24,", "&amp;$A1318&amp;"-"&amp;TEXT(($D1318-$C1318+1)+23,"00"),"")&amp;IF($C1318&gt;=25,", "&amp;$A1318&amp;"-"&amp;TEXT(($D1318-$C1318+1)+24,"00"),""))</f>
        <v/>
      </c>
      <c r="G1318">
        <f>IF($A1318="","",IF($E1318=1,$F1318,IF($F1318="",$G1317,IF($G1317="",$F1318,$G1317&amp;", "&amp;$F1318))))</f>
        <v/>
      </c>
      <c r="H1318">
        <f>IF($A1318="","",$A1318&amp;" ("&amp;$C1318&amp;")")</f>
        <v/>
      </c>
      <c r="I1318">
        <f>IF($A1318="","",IF($E1318=1,$H1318,$I1317&amp;", "&amp;$H1318))</f>
        <v/>
      </c>
      <c r="J1318">
        <f>IF($A1318="","",IF($E1318=1,$B1318,""))</f>
        <v/>
      </c>
      <c r="K1318">
        <f>IF($A1318="","",IF(COUNTIF($B$2:$B1318,$B1318)=COUNTIF($B$2:$B$1601,$B1318),$B1318,""))</f>
        <v/>
      </c>
    </row>
    <row r="1319">
      <c r="A1319">
        <f>IF('TMP Paste'!$E1319="","",'TMP Paste'!$E1319)</f>
        <v/>
      </c>
      <c r="B1319">
        <f>IF($A1319="","",COUNTIF('TMP Paste'!$B$2:$B1319,"?*"))</f>
        <v/>
      </c>
      <c r="C1319">
        <f>IF($A1319="","",IFERROR('TMP Paste'!$M1319*1,0))</f>
        <v/>
      </c>
      <c r="D1319">
        <f>IF($A1319="","",SUMIF($B$2:$B1319,$B1319,$C$2:$C1319))</f>
        <v/>
      </c>
      <c r="E1319">
        <f>IF($A1319="",0,IF('TMP Paste'!$B1319="",0,1))</f>
        <v/>
      </c>
      <c r="F1319">
        <f>IF(OR($A1319="",$C1319&lt;1),"",$A1319&amp;"-"&amp;TEXT(($D1319-$C1319+1),"00")&amp;IF($C1319&gt;=2,", "&amp;$A1319&amp;"-"&amp;TEXT(($D1319-$C1319+1)+1,"00"),"")&amp;IF($C1319&gt;=3,", "&amp;$A1319&amp;"-"&amp;TEXT(($D1319-$C1319+1)+2,"00"),"")&amp;IF($C1319&gt;=4,", "&amp;$A1319&amp;"-"&amp;TEXT(($D1319-$C1319+1)+3,"00"),"")&amp;IF($C1319&gt;=5,", "&amp;$A1319&amp;"-"&amp;TEXT(($D1319-$C1319+1)+4,"00"),"")&amp;IF($C1319&gt;=6,", "&amp;$A1319&amp;"-"&amp;TEXT(($D1319-$C1319+1)+5,"00"),"")&amp;IF($C1319&gt;=7,", "&amp;$A1319&amp;"-"&amp;TEXT(($D1319-$C1319+1)+6,"00"),"")&amp;IF($C1319&gt;=8,", "&amp;$A1319&amp;"-"&amp;TEXT(($D1319-$C1319+1)+7,"00"),"")&amp;IF($C1319&gt;=9,", "&amp;$A1319&amp;"-"&amp;TEXT(($D1319-$C1319+1)+8,"00"),"")&amp;IF($C1319&gt;=10,", "&amp;$A1319&amp;"-"&amp;TEXT(($D1319-$C1319+1)+9,"00"),"")&amp;IF($C1319&gt;=11,", "&amp;$A1319&amp;"-"&amp;TEXT(($D1319-$C1319+1)+10,"00"),"")&amp;IF($C1319&gt;=12,", "&amp;$A1319&amp;"-"&amp;TEXT(($D1319-$C1319+1)+11,"00"),"")&amp;IF($C1319&gt;=13,", "&amp;$A1319&amp;"-"&amp;TEXT(($D1319-$C1319+1)+12,"00"),"")&amp;IF($C1319&gt;=14,", "&amp;$A1319&amp;"-"&amp;TEXT(($D1319-$C1319+1)+13,"00"),"")&amp;IF($C1319&gt;=15,", "&amp;$A1319&amp;"-"&amp;TEXT(($D1319-$C1319+1)+14,"00"),"")&amp;IF($C1319&gt;=16,", "&amp;$A1319&amp;"-"&amp;TEXT(($D1319-$C1319+1)+15,"00"),"")&amp;IF($C1319&gt;=17,", "&amp;$A1319&amp;"-"&amp;TEXT(($D1319-$C1319+1)+16,"00"),"")&amp;IF($C1319&gt;=18,", "&amp;$A1319&amp;"-"&amp;TEXT(($D1319-$C1319+1)+17,"00"),"")&amp;IF($C1319&gt;=19,", "&amp;$A1319&amp;"-"&amp;TEXT(($D1319-$C1319+1)+18,"00"),"")&amp;IF($C1319&gt;=20,", "&amp;$A1319&amp;"-"&amp;TEXT(($D1319-$C1319+1)+19,"00"),"")&amp;IF($C1319&gt;=21,", "&amp;$A1319&amp;"-"&amp;TEXT(($D1319-$C1319+1)+20,"00"),"")&amp;IF($C1319&gt;=22,", "&amp;$A1319&amp;"-"&amp;TEXT(($D1319-$C1319+1)+21,"00"),"")&amp;IF($C1319&gt;=23,", "&amp;$A1319&amp;"-"&amp;TEXT(($D1319-$C1319+1)+22,"00"),"")&amp;IF($C1319&gt;=24,", "&amp;$A1319&amp;"-"&amp;TEXT(($D1319-$C1319+1)+23,"00"),"")&amp;IF($C1319&gt;=25,", "&amp;$A1319&amp;"-"&amp;TEXT(($D1319-$C1319+1)+24,"00"),""))</f>
        <v/>
      </c>
      <c r="G1319">
        <f>IF($A1319="","",IF($E1319=1,$F1319,IF($F1319="",$G1318,IF($G1318="",$F1319,$G1318&amp;", "&amp;$F1319))))</f>
        <v/>
      </c>
      <c r="H1319">
        <f>IF($A1319="","",$A1319&amp;" ("&amp;$C1319&amp;")")</f>
        <v/>
      </c>
      <c r="I1319">
        <f>IF($A1319="","",IF($E1319=1,$H1319,$I1318&amp;", "&amp;$H1319))</f>
        <v/>
      </c>
      <c r="J1319">
        <f>IF($A1319="","",IF($E1319=1,$B1319,""))</f>
        <v/>
      </c>
      <c r="K1319">
        <f>IF($A1319="","",IF(COUNTIF($B$2:$B1319,$B1319)=COUNTIF($B$2:$B$1601,$B1319),$B1319,""))</f>
        <v/>
      </c>
    </row>
    <row r="1320">
      <c r="A1320">
        <f>IF('TMP Paste'!$E1320="","",'TMP Paste'!$E1320)</f>
        <v/>
      </c>
      <c r="B1320">
        <f>IF($A1320="","",COUNTIF('TMP Paste'!$B$2:$B1320,"?*"))</f>
        <v/>
      </c>
      <c r="C1320">
        <f>IF($A1320="","",IFERROR('TMP Paste'!$M1320*1,0))</f>
        <v/>
      </c>
      <c r="D1320">
        <f>IF($A1320="","",SUMIF($B$2:$B1320,$B1320,$C$2:$C1320))</f>
        <v/>
      </c>
      <c r="E1320">
        <f>IF($A1320="",0,IF('TMP Paste'!$B1320="",0,1))</f>
        <v/>
      </c>
      <c r="F1320">
        <f>IF(OR($A1320="",$C1320&lt;1),"",$A1320&amp;"-"&amp;TEXT(($D1320-$C1320+1),"00")&amp;IF($C1320&gt;=2,", "&amp;$A1320&amp;"-"&amp;TEXT(($D1320-$C1320+1)+1,"00"),"")&amp;IF($C1320&gt;=3,", "&amp;$A1320&amp;"-"&amp;TEXT(($D1320-$C1320+1)+2,"00"),"")&amp;IF($C1320&gt;=4,", "&amp;$A1320&amp;"-"&amp;TEXT(($D1320-$C1320+1)+3,"00"),"")&amp;IF($C1320&gt;=5,", "&amp;$A1320&amp;"-"&amp;TEXT(($D1320-$C1320+1)+4,"00"),"")&amp;IF($C1320&gt;=6,", "&amp;$A1320&amp;"-"&amp;TEXT(($D1320-$C1320+1)+5,"00"),"")&amp;IF($C1320&gt;=7,", "&amp;$A1320&amp;"-"&amp;TEXT(($D1320-$C1320+1)+6,"00"),"")&amp;IF($C1320&gt;=8,", "&amp;$A1320&amp;"-"&amp;TEXT(($D1320-$C1320+1)+7,"00"),"")&amp;IF($C1320&gt;=9,", "&amp;$A1320&amp;"-"&amp;TEXT(($D1320-$C1320+1)+8,"00"),"")&amp;IF($C1320&gt;=10,", "&amp;$A1320&amp;"-"&amp;TEXT(($D1320-$C1320+1)+9,"00"),"")&amp;IF($C1320&gt;=11,", "&amp;$A1320&amp;"-"&amp;TEXT(($D1320-$C1320+1)+10,"00"),"")&amp;IF($C1320&gt;=12,", "&amp;$A1320&amp;"-"&amp;TEXT(($D1320-$C1320+1)+11,"00"),"")&amp;IF($C1320&gt;=13,", "&amp;$A1320&amp;"-"&amp;TEXT(($D1320-$C1320+1)+12,"00"),"")&amp;IF($C1320&gt;=14,", "&amp;$A1320&amp;"-"&amp;TEXT(($D1320-$C1320+1)+13,"00"),"")&amp;IF($C1320&gt;=15,", "&amp;$A1320&amp;"-"&amp;TEXT(($D1320-$C1320+1)+14,"00"),"")&amp;IF($C1320&gt;=16,", "&amp;$A1320&amp;"-"&amp;TEXT(($D1320-$C1320+1)+15,"00"),"")&amp;IF($C1320&gt;=17,", "&amp;$A1320&amp;"-"&amp;TEXT(($D1320-$C1320+1)+16,"00"),"")&amp;IF($C1320&gt;=18,", "&amp;$A1320&amp;"-"&amp;TEXT(($D1320-$C1320+1)+17,"00"),"")&amp;IF($C1320&gt;=19,", "&amp;$A1320&amp;"-"&amp;TEXT(($D1320-$C1320+1)+18,"00"),"")&amp;IF($C1320&gt;=20,", "&amp;$A1320&amp;"-"&amp;TEXT(($D1320-$C1320+1)+19,"00"),"")&amp;IF($C1320&gt;=21,", "&amp;$A1320&amp;"-"&amp;TEXT(($D1320-$C1320+1)+20,"00"),"")&amp;IF($C1320&gt;=22,", "&amp;$A1320&amp;"-"&amp;TEXT(($D1320-$C1320+1)+21,"00"),"")&amp;IF($C1320&gt;=23,", "&amp;$A1320&amp;"-"&amp;TEXT(($D1320-$C1320+1)+22,"00"),"")&amp;IF($C1320&gt;=24,", "&amp;$A1320&amp;"-"&amp;TEXT(($D1320-$C1320+1)+23,"00"),"")&amp;IF($C1320&gt;=25,", "&amp;$A1320&amp;"-"&amp;TEXT(($D1320-$C1320+1)+24,"00"),""))</f>
        <v/>
      </c>
      <c r="G1320">
        <f>IF($A1320="","",IF($E1320=1,$F1320,IF($F1320="",$G1319,IF($G1319="",$F1320,$G1319&amp;", "&amp;$F1320))))</f>
        <v/>
      </c>
      <c r="H1320">
        <f>IF($A1320="","",$A1320&amp;" ("&amp;$C1320&amp;")")</f>
        <v/>
      </c>
      <c r="I1320">
        <f>IF($A1320="","",IF($E1320=1,$H1320,$I1319&amp;", "&amp;$H1320))</f>
        <v/>
      </c>
      <c r="J1320">
        <f>IF($A1320="","",IF($E1320=1,$B1320,""))</f>
        <v/>
      </c>
      <c r="K1320">
        <f>IF($A1320="","",IF(COUNTIF($B$2:$B1320,$B1320)=COUNTIF($B$2:$B$1601,$B1320),$B1320,""))</f>
        <v/>
      </c>
    </row>
    <row r="1321">
      <c r="A1321">
        <f>IF('TMP Paste'!$E1321="","",'TMP Paste'!$E1321)</f>
        <v/>
      </c>
      <c r="B1321">
        <f>IF($A1321="","",COUNTIF('TMP Paste'!$B$2:$B1321,"?*"))</f>
        <v/>
      </c>
      <c r="C1321">
        <f>IF($A1321="","",IFERROR('TMP Paste'!$M1321*1,0))</f>
        <v/>
      </c>
      <c r="D1321">
        <f>IF($A1321="","",SUMIF($B$2:$B1321,$B1321,$C$2:$C1321))</f>
        <v/>
      </c>
      <c r="E1321">
        <f>IF($A1321="",0,IF('TMP Paste'!$B1321="",0,1))</f>
        <v/>
      </c>
      <c r="F1321">
        <f>IF(OR($A1321="",$C1321&lt;1),"",$A1321&amp;"-"&amp;TEXT(($D1321-$C1321+1),"00")&amp;IF($C1321&gt;=2,", "&amp;$A1321&amp;"-"&amp;TEXT(($D1321-$C1321+1)+1,"00"),"")&amp;IF($C1321&gt;=3,", "&amp;$A1321&amp;"-"&amp;TEXT(($D1321-$C1321+1)+2,"00"),"")&amp;IF($C1321&gt;=4,", "&amp;$A1321&amp;"-"&amp;TEXT(($D1321-$C1321+1)+3,"00"),"")&amp;IF($C1321&gt;=5,", "&amp;$A1321&amp;"-"&amp;TEXT(($D1321-$C1321+1)+4,"00"),"")&amp;IF($C1321&gt;=6,", "&amp;$A1321&amp;"-"&amp;TEXT(($D1321-$C1321+1)+5,"00"),"")&amp;IF($C1321&gt;=7,", "&amp;$A1321&amp;"-"&amp;TEXT(($D1321-$C1321+1)+6,"00"),"")&amp;IF($C1321&gt;=8,", "&amp;$A1321&amp;"-"&amp;TEXT(($D1321-$C1321+1)+7,"00"),"")&amp;IF($C1321&gt;=9,", "&amp;$A1321&amp;"-"&amp;TEXT(($D1321-$C1321+1)+8,"00"),"")&amp;IF($C1321&gt;=10,", "&amp;$A1321&amp;"-"&amp;TEXT(($D1321-$C1321+1)+9,"00"),"")&amp;IF($C1321&gt;=11,", "&amp;$A1321&amp;"-"&amp;TEXT(($D1321-$C1321+1)+10,"00"),"")&amp;IF($C1321&gt;=12,", "&amp;$A1321&amp;"-"&amp;TEXT(($D1321-$C1321+1)+11,"00"),"")&amp;IF($C1321&gt;=13,", "&amp;$A1321&amp;"-"&amp;TEXT(($D1321-$C1321+1)+12,"00"),"")&amp;IF($C1321&gt;=14,", "&amp;$A1321&amp;"-"&amp;TEXT(($D1321-$C1321+1)+13,"00"),"")&amp;IF($C1321&gt;=15,", "&amp;$A1321&amp;"-"&amp;TEXT(($D1321-$C1321+1)+14,"00"),"")&amp;IF($C1321&gt;=16,", "&amp;$A1321&amp;"-"&amp;TEXT(($D1321-$C1321+1)+15,"00"),"")&amp;IF($C1321&gt;=17,", "&amp;$A1321&amp;"-"&amp;TEXT(($D1321-$C1321+1)+16,"00"),"")&amp;IF($C1321&gt;=18,", "&amp;$A1321&amp;"-"&amp;TEXT(($D1321-$C1321+1)+17,"00"),"")&amp;IF($C1321&gt;=19,", "&amp;$A1321&amp;"-"&amp;TEXT(($D1321-$C1321+1)+18,"00"),"")&amp;IF($C1321&gt;=20,", "&amp;$A1321&amp;"-"&amp;TEXT(($D1321-$C1321+1)+19,"00"),"")&amp;IF($C1321&gt;=21,", "&amp;$A1321&amp;"-"&amp;TEXT(($D1321-$C1321+1)+20,"00"),"")&amp;IF($C1321&gt;=22,", "&amp;$A1321&amp;"-"&amp;TEXT(($D1321-$C1321+1)+21,"00"),"")&amp;IF($C1321&gt;=23,", "&amp;$A1321&amp;"-"&amp;TEXT(($D1321-$C1321+1)+22,"00"),"")&amp;IF($C1321&gt;=24,", "&amp;$A1321&amp;"-"&amp;TEXT(($D1321-$C1321+1)+23,"00"),"")&amp;IF($C1321&gt;=25,", "&amp;$A1321&amp;"-"&amp;TEXT(($D1321-$C1321+1)+24,"00"),""))</f>
        <v/>
      </c>
      <c r="G1321">
        <f>IF($A1321="","",IF($E1321=1,$F1321,IF($F1321="",$G1320,IF($G1320="",$F1321,$G1320&amp;", "&amp;$F1321))))</f>
        <v/>
      </c>
      <c r="H1321">
        <f>IF($A1321="","",$A1321&amp;" ("&amp;$C1321&amp;")")</f>
        <v/>
      </c>
      <c r="I1321">
        <f>IF($A1321="","",IF($E1321=1,$H1321,$I1320&amp;", "&amp;$H1321))</f>
        <v/>
      </c>
      <c r="J1321">
        <f>IF($A1321="","",IF($E1321=1,$B1321,""))</f>
        <v/>
      </c>
      <c r="K1321">
        <f>IF($A1321="","",IF(COUNTIF($B$2:$B1321,$B1321)=COUNTIF($B$2:$B$1601,$B1321),$B1321,""))</f>
        <v/>
      </c>
    </row>
    <row r="1322">
      <c r="A1322">
        <f>IF('TMP Paste'!$E1322="","",'TMP Paste'!$E1322)</f>
        <v/>
      </c>
      <c r="B1322">
        <f>IF($A1322="","",COUNTIF('TMP Paste'!$B$2:$B1322,"?*"))</f>
        <v/>
      </c>
      <c r="C1322">
        <f>IF($A1322="","",IFERROR('TMP Paste'!$M1322*1,0))</f>
        <v/>
      </c>
      <c r="D1322">
        <f>IF($A1322="","",SUMIF($B$2:$B1322,$B1322,$C$2:$C1322))</f>
        <v/>
      </c>
      <c r="E1322">
        <f>IF($A1322="",0,IF('TMP Paste'!$B1322="",0,1))</f>
        <v/>
      </c>
      <c r="F1322">
        <f>IF(OR($A1322="",$C1322&lt;1),"",$A1322&amp;"-"&amp;TEXT(($D1322-$C1322+1),"00")&amp;IF($C1322&gt;=2,", "&amp;$A1322&amp;"-"&amp;TEXT(($D1322-$C1322+1)+1,"00"),"")&amp;IF($C1322&gt;=3,", "&amp;$A1322&amp;"-"&amp;TEXT(($D1322-$C1322+1)+2,"00"),"")&amp;IF($C1322&gt;=4,", "&amp;$A1322&amp;"-"&amp;TEXT(($D1322-$C1322+1)+3,"00"),"")&amp;IF($C1322&gt;=5,", "&amp;$A1322&amp;"-"&amp;TEXT(($D1322-$C1322+1)+4,"00"),"")&amp;IF($C1322&gt;=6,", "&amp;$A1322&amp;"-"&amp;TEXT(($D1322-$C1322+1)+5,"00"),"")&amp;IF($C1322&gt;=7,", "&amp;$A1322&amp;"-"&amp;TEXT(($D1322-$C1322+1)+6,"00"),"")&amp;IF($C1322&gt;=8,", "&amp;$A1322&amp;"-"&amp;TEXT(($D1322-$C1322+1)+7,"00"),"")&amp;IF($C1322&gt;=9,", "&amp;$A1322&amp;"-"&amp;TEXT(($D1322-$C1322+1)+8,"00"),"")&amp;IF($C1322&gt;=10,", "&amp;$A1322&amp;"-"&amp;TEXT(($D1322-$C1322+1)+9,"00"),"")&amp;IF($C1322&gt;=11,", "&amp;$A1322&amp;"-"&amp;TEXT(($D1322-$C1322+1)+10,"00"),"")&amp;IF($C1322&gt;=12,", "&amp;$A1322&amp;"-"&amp;TEXT(($D1322-$C1322+1)+11,"00"),"")&amp;IF($C1322&gt;=13,", "&amp;$A1322&amp;"-"&amp;TEXT(($D1322-$C1322+1)+12,"00"),"")&amp;IF($C1322&gt;=14,", "&amp;$A1322&amp;"-"&amp;TEXT(($D1322-$C1322+1)+13,"00"),"")&amp;IF($C1322&gt;=15,", "&amp;$A1322&amp;"-"&amp;TEXT(($D1322-$C1322+1)+14,"00"),"")&amp;IF($C1322&gt;=16,", "&amp;$A1322&amp;"-"&amp;TEXT(($D1322-$C1322+1)+15,"00"),"")&amp;IF($C1322&gt;=17,", "&amp;$A1322&amp;"-"&amp;TEXT(($D1322-$C1322+1)+16,"00"),"")&amp;IF($C1322&gt;=18,", "&amp;$A1322&amp;"-"&amp;TEXT(($D1322-$C1322+1)+17,"00"),"")&amp;IF($C1322&gt;=19,", "&amp;$A1322&amp;"-"&amp;TEXT(($D1322-$C1322+1)+18,"00"),"")&amp;IF($C1322&gt;=20,", "&amp;$A1322&amp;"-"&amp;TEXT(($D1322-$C1322+1)+19,"00"),"")&amp;IF($C1322&gt;=21,", "&amp;$A1322&amp;"-"&amp;TEXT(($D1322-$C1322+1)+20,"00"),"")&amp;IF($C1322&gt;=22,", "&amp;$A1322&amp;"-"&amp;TEXT(($D1322-$C1322+1)+21,"00"),"")&amp;IF($C1322&gt;=23,", "&amp;$A1322&amp;"-"&amp;TEXT(($D1322-$C1322+1)+22,"00"),"")&amp;IF($C1322&gt;=24,", "&amp;$A1322&amp;"-"&amp;TEXT(($D1322-$C1322+1)+23,"00"),"")&amp;IF($C1322&gt;=25,", "&amp;$A1322&amp;"-"&amp;TEXT(($D1322-$C1322+1)+24,"00"),""))</f>
        <v/>
      </c>
      <c r="G1322">
        <f>IF($A1322="","",IF($E1322=1,$F1322,IF($F1322="",$G1321,IF($G1321="",$F1322,$G1321&amp;", "&amp;$F1322))))</f>
        <v/>
      </c>
      <c r="H1322">
        <f>IF($A1322="","",$A1322&amp;" ("&amp;$C1322&amp;")")</f>
        <v/>
      </c>
      <c r="I1322">
        <f>IF($A1322="","",IF($E1322=1,$H1322,$I1321&amp;", "&amp;$H1322))</f>
        <v/>
      </c>
      <c r="J1322">
        <f>IF($A1322="","",IF($E1322=1,$B1322,""))</f>
        <v/>
      </c>
      <c r="K1322">
        <f>IF($A1322="","",IF(COUNTIF($B$2:$B1322,$B1322)=COUNTIF($B$2:$B$1601,$B1322),$B1322,""))</f>
        <v/>
      </c>
    </row>
    <row r="1323">
      <c r="A1323">
        <f>IF('TMP Paste'!$E1323="","",'TMP Paste'!$E1323)</f>
        <v/>
      </c>
      <c r="B1323">
        <f>IF($A1323="","",COUNTIF('TMP Paste'!$B$2:$B1323,"?*"))</f>
        <v/>
      </c>
      <c r="C1323">
        <f>IF($A1323="","",IFERROR('TMP Paste'!$M1323*1,0))</f>
        <v/>
      </c>
      <c r="D1323">
        <f>IF($A1323="","",SUMIF($B$2:$B1323,$B1323,$C$2:$C1323))</f>
        <v/>
      </c>
      <c r="E1323">
        <f>IF($A1323="",0,IF('TMP Paste'!$B1323="",0,1))</f>
        <v/>
      </c>
      <c r="F1323">
        <f>IF(OR($A1323="",$C1323&lt;1),"",$A1323&amp;"-"&amp;TEXT(($D1323-$C1323+1),"00")&amp;IF($C1323&gt;=2,", "&amp;$A1323&amp;"-"&amp;TEXT(($D1323-$C1323+1)+1,"00"),"")&amp;IF($C1323&gt;=3,", "&amp;$A1323&amp;"-"&amp;TEXT(($D1323-$C1323+1)+2,"00"),"")&amp;IF($C1323&gt;=4,", "&amp;$A1323&amp;"-"&amp;TEXT(($D1323-$C1323+1)+3,"00"),"")&amp;IF($C1323&gt;=5,", "&amp;$A1323&amp;"-"&amp;TEXT(($D1323-$C1323+1)+4,"00"),"")&amp;IF($C1323&gt;=6,", "&amp;$A1323&amp;"-"&amp;TEXT(($D1323-$C1323+1)+5,"00"),"")&amp;IF($C1323&gt;=7,", "&amp;$A1323&amp;"-"&amp;TEXT(($D1323-$C1323+1)+6,"00"),"")&amp;IF($C1323&gt;=8,", "&amp;$A1323&amp;"-"&amp;TEXT(($D1323-$C1323+1)+7,"00"),"")&amp;IF($C1323&gt;=9,", "&amp;$A1323&amp;"-"&amp;TEXT(($D1323-$C1323+1)+8,"00"),"")&amp;IF($C1323&gt;=10,", "&amp;$A1323&amp;"-"&amp;TEXT(($D1323-$C1323+1)+9,"00"),"")&amp;IF($C1323&gt;=11,", "&amp;$A1323&amp;"-"&amp;TEXT(($D1323-$C1323+1)+10,"00"),"")&amp;IF($C1323&gt;=12,", "&amp;$A1323&amp;"-"&amp;TEXT(($D1323-$C1323+1)+11,"00"),"")&amp;IF($C1323&gt;=13,", "&amp;$A1323&amp;"-"&amp;TEXT(($D1323-$C1323+1)+12,"00"),"")&amp;IF($C1323&gt;=14,", "&amp;$A1323&amp;"-"&amp;TEXT(($D1323-$C1323+1)+13,"00"),"")&amp;IF($C1323&gt;=15,", "&amp;$A1323&amp;"-"&amp;TEXT(($D1323-$C1323+1)+14,"00"),"")&amp;IF($C1323&gt;=16,", "&amp;$A1323&amp;"-"&amp;TEXT(($D1323-$C1323+1)+15,"00"),"")&amp;IF($C1323&gt;=17,", "&amp;$A1323&amp;"-"&amp;TEXT(($D1323-$C1323+1)+16,"00"),"")&amp;IF($C1323&gt;=18,", "&amp;$A1323&amp;"-"&amp;TEXT(($D1323-$C1323+1)+17,"00"),"")&amp;IF($C1323&gt;=19,", "&amp;$A1323&amp;"-"&amp;TEXT(($D1323-$C1323+1)+18,"00"),"")&amp;IF($C1323&gt;=20,", "&amp;$A1323&amp;"-"&amp;TEXT(($D1323-$C1323+1)+19,"00"),"")&amp;IF($C1323&gt;=21,", "&amp;$A1323&amp;"-"&amp;TEXT(($D1323-$C1323+1)+20,"00"),"")&amp;IF($C1323&gt;=22,", "&amp;$A1323&amp;"-"&amp;TEXT(($D1323-$C1323+1)+21,"00"),"")&amp;IF($C1323&gt;=23,", "&amp;$A1323&amp;"-"&amp;TEXT(($D1323-$C1323+1)+22,"00"),"")&amp;IF($C1323&gt;=24,", "&amp;$A1323&amp;"-"&amp;TEXT(($D1323-$C1323+1)+23,"00"),"")&amp;IF($C1323&gt;=25,", "&amp;$A1323&amp;"-"&amp;TEXT(($D1323-$C1323+1)+24,"00"),""))</f>
        <v/>
      </c>
      <c r="G1323">
        <f>IF($A1323="","",IF($E1323=1,$F1323,IF($F1323="",$G1322,IF($G1322="",$F1323,$G1322&amp;", "&amp;$F1323))))</f>
        <v/>
      </c>
      <c r="H1323">
        <f>IF($A1323="","",$A1323&amp;" ("&amp;$C1323&amp;")")</f>
        <v/>
      </c>
      <c r="I1323">
        <f>IF($A1323="","",IF($E1323=1,$H1323,$I1322&amp;", "&amp;$H1323))</f>
        <v/>
      </c>
      <c r="J1323">
        <f>IF($A1323="","",IF($E1323=1,$B1323,""))</f>
        <v/>
      </c>
      <c r="K1323">
        <f>IF($A1323="","",IF(COUNTIF($B$2:$B1323,$B1323)=COUNTIF($B$2:$B$1601,$B1323),$B1323,""))</f>
        <v/>
      </c>
    </row>
    <row r="1324">
      <c r="A1324">
        <f>IF('TMP Paste'!$E1324="","",'TMP Paste'!$E1324)</f>
        <v/>
      </c>
      <c r="B1324">
        <f>IF($A1324="","",COUNTIF('TMP Paste'!$B$2:$B1324,"?*"))</f>
        <v/>
      </c>
      <c r="C1324">
        <f>IF($A1324="","",IFERROR('TMP Paste'!$M1324*1,0))</f>
        <v/>
      </c>
      <c r="D1324">
        <f>IF($A1324="","",SUMIF($B$2:$B1324,$B1324,$C$2:$C1324))</f>
        <v/>
      </c>
      <c r="E1324">
        <f>IF($A1324="",0,IF('TMP Paste'!$B1324="",0,1))</f>
        <v/>
      </c>
      <c r="F1324">
        <f>IF(OR($A1324="",$C1324&lt;1),"",$A1324&amp;"-"&amp;TEXT(($D1324-$C1324+1),"00")&amp;IF($C1324&gt;=2,", "&amp;$A1324&amp;"-"&amp;TEXT(($D1324-$C1324+1)+1,"00"),"")&amp;IF($C1324&gt;=3,", "&amp;$A1324&amp;"-"&amp;TEXT(($D1324-$C1324+1)+2,"00"),"")&amp;IF($C1324&gt;=4,", "&amp;$A1324&amp;"-"&amp;TEXT(($D1324-$C1324+1)+3,"00"),"")&amp;IF($C1324&gt;=5,", "&amp;$A1324&amp;"-"&amp;TEXT(($D1324-$C1324+1)+4,"00"),"")&amp;IF($C1324&gt;=6,", "&amp;$A1324&amp;"-"&amp;TEXT(($D1324-$C1324+1)+5,"00"),"")&amp;IF($C1324&gt;=7,", "&amp;$A1324&amp;"-"&amp;TEXT(($D1324-$C1324+1)+6,"00"),"")&amp;IF($C1324&gt;=8,", "&amp;$A1324&amp;"-"&amp;TEXT(($D1324-$C1324+1)+7,"00"),"")&amp;IF($C1324&gt;=9,", "&amp;$A1324&amp;"-"&amp;TEXT(($D1324-$C1324+1)+8,"00"),"")&amp;IF($C1324&gt;=10,", "&amp;$A1324&amp;"-"&amp;TEXT(($D1324-$C1324+1)+9,"00"),"")&amp;IF($C1324&gt;=11,", "&amp;$A1324&amp;"-"&amp;TEXT(($D1324-$C1324+1)+10,"00"),"")&amp;IF($C1324&gt;=12,", "&amp;$A1324&amp;"-"&amp;TEXT(($D1324-$C1324+1)+11,"00"),"")&amp;IF($C1324&gt;=13,", "&amp;$A1324&amp;"-"&amp;TEXT(($D1324-$C1324+1)+12,"00"),"")&amp;IF($C1324&gt;=14,", "&amp;$A1324&amp;"-"&amp;TEXT(($D1324-$C1324+1)+13,"00"),"")&amp;IF($C1324&gt;=15,", "&amp;$A1324&amp;"-"&amp;TEXT(($D1324-$C1324+1)+14,"00"),"")&amp;IF($C1324&gt;=16,", "&amp;$A1324&amp;"-"&amp;TEXT(($D1324-$C1324+1)+15,"00"),"")&amp;IF($C1324&gt;=17,", "&amp;$A1324&amp;"-"&amp;TEXT(($D1324-$C1324+1)+16,"00"),"")&amp;IF($C1324&gt;=18,", "&amp;$A1324&amp;"-"&amp;TEXT(($D1324-$C1324+1)+17,"00"),"")&amp;IF($C1324&gt;=19,", "&amp;$A1324&amp;"-"&amp;TEXT(($D1324-$C1324+1)+18,"00"),"")&amp;IF($C1324&gt;=20,", "&amp;$A1324&amp;"-"&amp;TEXT(($D1324-$C1324+1)+19,"00"),"")&amp;IF($C1324&gt;=21,", "&amp;$A1324&amp;"-"&amp;TEXT(($D1324-$C1324+1)+20,"00"),"")&amp;IF($C1324&gt;=22,", "&amp;$A1324&amp;"-"&amp;TEXT(($D1324-$C1324+1)+21,"00"),"")&amp;IF($C1324&gt;=23,", "&amp;$A1324&amp;"-"&amp;TEXT(($D1324-$C1324+1)+22,"00"),"")&amp;IF($C1324&gt;=24,", "&amp;$A1324&amp;"-"&amp;TEXT(($D1324-$C1324+1)+23,"00"),"")&amp;IF($C1324&gt;=25,", "&amp;$A1324&amp;"-"&amp;TEXT(($D1324-$C1324+1)+24,"00"),""))</f>
        <v/>
      </c>
      <c r="G1324">
        <f>IF($A1324="","",IF($E1324=1,$F1324,IF($F1324="",$G1323,IF($G1323="",$F1324,$G1323&amp;", "&amp;$F1324))))</f>
        <v/>
      </c>
      <c r="H1324">
        <f>IF($A1324="","",$A1324&amp;" ("&amp;$C1324&amp;")")</f>
        <v/>
      </c>
      <c r="I1324">
        <f>IF($A1324="","",IF($E1324=1,$H1324,$I1323&amp;", "&amp;$H1324))</f>
        <v/>
      </c>
      <c r="J1324">
        <f>IF($A1324="","",IF($E1324=1,$B1324,""))</f>
        <v/>
      </c>
      <c r="K1324">
        <f>IF($A1324="","",IF(COUNTIF($B$2:$B1324,$B1324)=COUNTIF($B$2:$B$1601,$B1324),$B1324,""))</f>
        <v/>
      </c>
    </row>
    <row r="1325">
      <c r="A1325">
        <f>IF('TMP Paste'!$E1325="","",'TMP Paste'!$E1325)</f>
        <v/>
      </c>
      <c r="B1325">
        <f>IF($A1325="","",COUNTIF('TMP Paste'!$B$2:$B1325,"?*"))</f>
        <v/>
      </c>
      <c r="C1325">
        <f>IF($A1325="","",IFERROR('TMP Paste'!$M1325*1,0))</f>
        <v/>
      </c>
      <c r="D1325">
        <f>IF($A1325="","",SUMIF($B$2:$B1325,$B1325,$C$2:$C1325))</f>
        <v/>
      </c>
      <c r="E1325">
        <f>IF($A1325="",0,IF('TMP Paste'!$B1325="",0,1))</f>
        <v/>
      </c>
      <c r="F1325">
        <f>IF(OR($A1325="",$C1325&lt;1),"",$A1325&amp;"-"&amp;TEXT(($D1325-$C1325+1),"00")&amp;IF($C1325&gt;=2,", "&amp;$A1325&amp;"-"&amp;TEXT(($D1325-$C1325+1)+1,"00"),"")&amp;IF($C1325&gt;=3,", "&amp;$A1325&amp;"-"&amp;TEXT(($D1325-$C1325+1)+2,"00"),"")&amp;IF($C1325&gt;=4,", "&amp;$A1325&amp;"-"&amp;TEXT(($D1325-$C1325+1)+3,"00"),"")&amp;IF($C1325&gt;=5,", "&amp;$A1325&amp;"-"&amp;TEXT(($D1325-$C1325+1)+4,"00"),"")&amp;IF($C1325&gt;=6,", "&amp;$A1325&amp;"-"&amp;TEXT(($D1325-$C1325+1)+5,"00"),"")&amp;IF($C1325&gt;=7,", "&amp;$A1325&amp;"-"&amp;TEXT(($D1325-$C1325+1)+6,"00"),"")&amp;IF($C1325&gt;=8,", "&amp;$A1325&amp;"-"&amp;TEXT(($D1325-$C1325+1)+7,"00"),"")&amp;IF($C1325&gt;=9,", "&amp;$A1325&amp;"-"&amp;TEXT(($D1325-$C1325+1)+8,"00"),"")&amp;IF($C1325&gt;=10,", "&amp;$A1325&amp;"-"&amp;TEXT(($D1325-$C1325+1)+9,"00"),"")&amp;IF($C1325&gt;=11,", "&amp;$A1325&amp;"-"&amp;TEXT(($D1325-$C1325+1)+10,"00"),"")&amp;IF($C1325&gt;=12,", "&amp;$A1325&amp;"-"&amp;TEXT(($D1325-$C1325+1)+11,"00"),"")&amp;IF($C1325&gt;=13,", "&amp;$A1325&amp;"-"&amp;TEXT(($D1325-$C1325+1)+12,"00"),"")&amp;IF($C1325&gt;=14,", "&amp;$A1325&amp;"-"&amp;TEXT(($D1325-$C1325+1)+13,"00"),"")&amp;IF($C1325&gt;=15,", "&amp;$A1325&amp;"-"&amp;TEXT(($D1325-$C1325+1)+14,"00"),"")&amp;IF($C1325&gt;=16,", "&amp;$A1325&amp;"-"&amp;TEXT(($D1325-$C1325+1)+15,"00"),"")&amp;IF($C1325&gt;=17,", "&amp;$A1325&amp;"-"&amp;TEXT(($D1325-$C1325+1)+16,"00"),"")&amp;IF($C1325&gt;=18,", "&amp;$A1325&amp;"-"&amp;TEXT(($D1325-$C1325+1)+17,"00"),"")&amp;IF($C1325&gt;=19,", "&amp;$A1325&amp;"-"&amp;TEXT(($D1325-$C1325+1)+18,"00"),"")&amp;IF($C1325&gt;=20,", "&amp;$A1325&amp;"-"&amp;TEXT(($D1325-$C1325+1)+19,"00"),"")&amp;IF($C1325&gt;=21,", "&amp;$A1325&amp;"-"&amp;TEXT(($D1325-$C1325+1)+20,"00"),"")&amp;IF($C1325&gt;=22,", "&amp;$A1325&amp;"-"&amp;TEXT(($D1325-$C1325+1)+21,"00"),"")&amp;IF($C1325&gt;=23,", "&amp;$A1325&amp;"-"&amp;TEXT(($D1325-$C1325+1)+22,"00"),"")&amp;IF($C1325&gt;=24,", "&amp;$A1325&amp;"-"&amp;TEXT(($D1325-$C1325+1)+23,"00"),"")&amp;IF($C1325&gt;=25,", "&amp;$A1325&amp;"-"&amp;TEXT(($D1325-$C1325+1)+24,"00"),""))</f>
        <v/>
      </c>
      <c r="G1325">
        <f>IF($A1325="","",IF($E1325=1,$F1325,IF($F1325="",$G1324,IF($G1324="",$F1325,$G1324&amp;", "&amp;$F1325))))</f>
        <v/>
      </c>
      <c r="H1325">
        <f>IF($A1325="","",$A1325&amp;" ("&amp;$C1325&amp;")")</f>
        <v/>
      </c>
      <c r="I1325">
        <f>IF($A1325="","",IF($E1325=1,$H1325,$I1324&amp;", "&amp;$H1325))</f>
        <v/>
      </c>
      <c r="J1325">
        <f>IF($A1325="","",IF($E1325=1,$B1325,""))</f>
        <v/>
      </c>
      <c r="K1325">
        <f>IF($A1325="","",IF(COUNTIF($B$2:$B1325,$B1325)=COUNTIF($B$2:$B$1601,$B1325),$B1325,""))</f>
        <v/>
      </c>
    </row>
    <row r="1326">
      <c r="A1326">
        <f>IF('TMP Paste'!$E1326="","",'TMP Paste'!$E1326)</f>
        <v/>
      </c>
      <c r="B1326">
        <f>IF($A1326="","",COUNTIF('TMP Paste'!$B$2:$B1326,"?*"))</f>
        <v/>
      </c>
      <c r="C1326">
        <f>IF($A1326="","",IFERROR('TMP Paste'!$M1326*1,0))</f>
        <v/>
      </c>
      <c r="D1326">
        <f>IF($A1326="","",SUMIF($B$2:$B1326,$B1326,$C$2:$C1326))</f>
        <v/>
      </c>
      <c r="E1326">
        <f>IF($A1326="",0,IF('TMP Paste'!$B1326="",0,1))</f>
        <v/>
      </c>
      <c r="F1326">
        <f>IF(OR($A1326="",$C1326&lt;1),"",$A1326&amp;"-"&amp;TEXT(($D1326-$C1326+1),"00")&amp;IF($C1326&gt;=2,", "&amp;$A1326&amp;"-"&amp;TEXT(($D1326-$C1326+1)+1,"00"),"")&amp;IF($C1326&gt;=3,", "&amp;$A1326&amp;"-"&amp;TEXT(($D1326-$C1326+1)+2,"00"),"")&amp;IF($C1326&gt;=4,", "&amp;$A1326&amp;"-"&amp;TEXT(($D1326-$C1326+1)+3,"00"),"")&amp;IF($C1326&gt;=5,", "&amp;$A1326&amp;"-"&amp;TEXT(($D1326-$C1326+1)+4,"00"),"")&amp;IF($C1326&gt;=6,", "&amp;$A1326&amp;"-"&amp;TEXT(($D1326-$C1326+1)+5,"00"),"")&amp;IF($C1326&gt;=7,", "&amp;$A1326&amp;"-"&amp;TEXT(($D1326-$C1326+1)+6,"00"),"")&amp;IF($C1326&gt;=8,", "&amp;$A1326&amp;"-"&amp;TEXT(($D1326-$C1326+1)+7,"00"),"")&amp;IF($C1326&gt;=9,", "&amp;$A1326&amp;"-"&amp;TEXT(($D1326-$C1326+1)+8,"00"),"")&amp;IF($C1326&gt;=10,", "&amp;$A1326&amp;"-"&amp;TEXT(($D1326-$C1326+1)+9,"00"),"")&amp;IF($C1326&gt;=11,", "&amp;$A1326&amp;"-"&amp;TEXT(($D1326-$C1326+1)+10,"00"),"")&amp;IF($C1326&gt;=12,", "&amp;$A1326&amp;"-"&amp;TEXT(($D1326-$C1326+1)+11,"00"),"")&amp;IF($C1326&gt;=13,", "&amp;$A1326&amp;"-"&amp;TEXT(($D1326-$C1326+1)+12,"00"),"")&amp;IF($C1326&gt;=14,", "&amp;$A1326&amp;"-"&amp;TEXT(($D1326-$C1326+1)+13,"00"),"")&amp;IF($C1326&gt;=15,", "&amp;$A1326&amp;"-"&amp;TEXT(($D1326-$C1326+1)+14,"00"),"")&amp;IF($C1326&gt;=16,", "&amp;$A1326&amp;"-"&amp;TEXT(($D1326-$C1326+1)+15,"00"),"")&amp;IF($C1326&gt;=17,", "&amp;$A1326&amp;"-"&amp;TEXT(($D1326-$C1326+1)+16,"00"),"")&amp;IF($C1326&gt;=18,", "&amp;$A1326&amp;"-"&amp;TEXT(($D1326-$C1326+1)+17,"00"),"")&amp;IF($C1326&gt;=19,", "&amp;$A1326&amp;"-"&amp;TEXT(($D1326-$C1326+1)+18,"00"),"")&amp;IF($C1326&gt;=20,", "&amp;$A1326&amp;"-"&amp;TEXT(($D1326-$C1326+1)+19,"00"),"")&amp;IF($C1326&gt;=21,", "&amp;$A1326&amp;"-"&amp;TEXT(($D1326-$C1326+1)+20,"00"),"")&amp;IF($C1326&gt;=22,", "&amp;$A1326&amp;"-"&amp;TEXT(($D1326-$C1326+1)+21,"00"),"")&amp;IF($C1326&gt;=23,", "&amp;$A1326&amp;"-"&amp;TEXT(($D1326-$C1326+1)+22,"00"),"")&amp;IF($C1326&gt;=24,", "&amp;$A1326&amp;"-"&amp;TEXT(($D1326-$C1326+1)+23,"00"),"")&amp;IF($C1326&gt;=25,", "&amp;$A1326&amp;"-"&amp;TEXT(($D1326-$C1326+1)+24,"00"),""))</f>
        <v/>
      </c>
      <c r="G1326">
        <f>IF($A1326="","",IF($E1326=1,$F1326,IF($F1326="",$G1325,IF($G1325="",$F1326,$G1325&amp;", "&amp;$F1326))))</f>
        <v/>
      </c>
      <c r="H1326">
        <f>IF($A1326="","",$A1326&amp;" ("&amp;$C1326&amp;")")</f>
        <v/>
      </c>
      <c r="I1326">
        <f>IF($A1326="","",IF($E1326=1,$H1326,$I1325&amp;", "&amp;$H1326))</f>
        <v/>
      </c>
      <c r="J1326">
        <f>IF($A1326="","",IF($E1326=1,$B1326,""))</f>
        <v/>
      </c>
      <c r="K1326">
        <f>IF($A1326="","",IF(COUNTIF($B$2:$B1326,$B1326)=COUNTIF($B$2:$B$1601,$B1326),$B1326,""))</f>
        <v/>
      </c>
    </row>
    <row r="1327">
      <c r="A1327">
        <f>IF('TMP Paste'!$E1327="","",'TMP Paste'!$E1327)</f>
        <v/>
      </c>
      <c r="B1327">
        <f>IF($A1327="","",COUNTIF('TMP Paste'!$B$2:$B1327,"?*"))</f>
        <v/>
      </c>
      <c r="C1327">
        <f>IF($A1327="","",IFERROR('TMP Paste'!$M1327*1,0))</f>
        <v/>
      </c>
      <c r="D1327">
        <f>IF($A1327="","",SUMIF($B$2:$B1327,$B1327,$C$2:$C1327))</f>
        <v/>
      </c>
      <c r="E1327">
        <f>IF($A1327="",0,IF('TMP Paste'!$B1327="",0,1))</f>
        <v/>
      </c>
      <c r="F1327">
        <f>IF(OR($A1327="",$C1327&lt;1),"",$A1327&amp;"-"&amp;TEXT(($D1327-$C1327+1),"00")&amp;IF($C1327&gt;=2,", "&amp;$A1327&amp;"-"&amp;TEXT(($D1327-$C1327+1)+1,"00"),"")&amp;IF($C1327&gt;=3,", "&amp;$A1327&amp;"-"&amp;TEXT(($D1327-$C1327+1)+2,"00"),"")&amp;IF($C1327&gt;=4,", "&amp;$A1327&amp;"-"&amp;TEXT(($D1327-$C1327+1)+3,"00"),"")&amp;IF($C1327&gt;=5,", "&amp;$A1327&amp;"-"&amp;TEXT(($D1327-$C1327+1)+4,"00"),"")&amp;IF($C1327&gt;=6,", "&amp;$A1327&amp;"-"&amp;TEXT(($D1327-$C1327+1)+5,"00"),"")&amp;IF($C1327&gt;=7,", "&amp;$A1327&amp;"-"&amp;TEXT(($D1327-$C1327+1)+6,"00"),"")&amp;IF($C1327&gt;=8,", "&amp;$A1327&amp;"-"&amp;TEXT(($D1327-$C1327+1)+7,"00"),"")&amp;IF($C1327&gt;=9,", "&amp;$A1327&amp;"-"&amp;TEXT(($D1327-$C1327+1)+8,"00"),"")&amp;IF($C1327&gt;=10,", "&amp;$A1327&amp;"-"&amp;TEXT(($D1327-$C1327+1)+9,"00"),"")&amp;IF($C1327&gt;=11,", "&amp;$A1327&amp;"-"&amp;TEXT(($D1327-$C1327+1)+10,"00"),"")&amp;IF($C1327&gt;=12,", "&amp;$A1327&amp;"-"&amp;TEXT(($D1327-$C1327+1)+11,"00"),"")&amp;IF($C1327&gt;=13,", "&amp;$A1327&amp;"-"&amp;TEXT(($D1327-$C1327+1)+12,"00"),"")&amp;IF($C1327&gt;=14,", "&amp;$A1327&amp;"-"&amp;TEXT(($D1327-$C1327+1)+13,"00"),"")&amp;IF($C1327&gt;=15,", "&amp;$A1327&amp;"-"&amp;TEXT(($D1327-$C1327+1)+14,"00"),"")&amp;IF($C1327&gt;=16,", "&amp;$A1327&amp;"-"&amp;TEXT(($D1327-$C1327+1)+15,"00"),"")&amp;IF($C1327&gt;=17,", "&amp;$A1327&amp;"-"&amp;TEXT(($D1327-$C1327+1)+16,"00"),"")&amp;IF($C1327&gt;=18,", "&amp;$A1327&amp;"-"&amp;TEXT(($D1327-$C1327+1)+17,"00"),"")&amp;IF($C1327&gt;=19,", "&amp;$A1327&amp;"-"&amp;TEXT(($D1327-$C1327+1)+18,"00"),"")&amp;IF($C1327&gt;=20,", "&amp;$A1327&amp;"-"&amp;TEXT(($D1327-$C1327+1)+19,"00"),"")&amp;IF($C1327&gt;=21,", "&amp;$A1327&amp;"-"&amp;TEXT(($D1327-$C1327+1)+20,"00"),"")&amp;IF($C1327&gt;=22,", "&amp;$A1327&amp;"-"&amp;TEXT(($D1327-$C1327+1)+21,"00"),"")&amp;IF($C1327&gt;=23,", "&amp;$A1327&amp;"-"&amp;TEXT(($D1327-$C1327+1)+22,"00"),"")&amp;IF($C1327&gt;=24,", "&amp;$A1327&amp;"-"&amp;TEXT(($D1327-$C1327+1)+23,"00"),"")&amp;IF($C1327&gt;=25,", "&amp;$A1327&amp;"-"&amp;TEXT(($D1327-$C1327+1)+24,"00"),""))</f>
        <v/>
      </c>
      <c r="G1327">
        <f>IF($A1327="","",IF($E1327=1,$F1327,IF($F1327="",$G1326,IF($G1326="",$F1327,$G1326&amp;", "&amp;$F1327))))</f>
        <v/>
      </c>
      <c r="H1327">
        <f>IF($A1327="","",$A1327&amp;" ("&amp;$C1327&amp;")")</f>
        <v/>
      </c>
      <c r="I1327">
        <f>IF($A1327="","",IF($E1327=1,$H1327,$I1326&amp;", "&amp;$H1327))</f>
        <v/>
      </c>
      <c r="J1327">
        <f>IF($A1327="","",IF($E1327=1,$B1327,""))</f>
        <v/>
      </c>
      <c r="K1327">
        <f>IF($A1327="","",IF(COUNTIF($B$2:$B1327,$B1327)=COUNTIF($B$2:$B$1601,$B1327),$B1327,""))</f>
        <v/>
      </c>
    </row>
    <row r="1328">
      <c r="A1328">
        <f>IF('TMP Paste'!$E1328="","",'TMP Paste'!$E1328)</f>
        <v/>
      </c>
      <c r="B1328">
        <f>IF($A1328="","",COUNTIF('TMP Paste'!$B$2:$B1328,"?*"))</f>
        <v/>
      </c>
      <c r="C1328">
        <f>IF($A1328="","",IFERROR('TMP Paste'!$M1328*1,0))</f>
        <v/>
      </c>
      <c r="D1328">
        <f>IF($A1328="","",SUMIF($B$2:$B1328,$B1328,$C$2:$C1328))</f>
        <v/>
      </c>
      <c r="E1328">
        <f>IF($A1328="",0,IF('TMP Paste'!$B1328="",0,1))</f>
        <v/>
      </c>
      <c r="F1328">
        <f>IF(OR($A1328="",$C1328&lt;1),"",$A1328&amp;"-"&amp;TEXT(($D1328-$C1328+1),"00")&amp;IF($C1328&gt;=2,", "&amp;$A1328&amp;"-"&amp;TEXT(($D1328-$C1328+1)+1,"00"),"")&amp;IF($C1328&gt;=3,", "&amp;$A1328&amp;"-"&amp;TEXT(($D1328-$C1328+1)+2,"00"),"")&amp;IF($C1328&gt;=4,", "&amp;$A1328&amp;"-"&amp;TEXT(($D1328-$C1328+1)+3,"00"),"")&amp;IF($C1328&gt;=5,", "&amp;$A1328&amp;"-"&amp;TEXT(($D1328-$C1328+1)+4,"00"),"")&amp;IF($C1328&gt;=6,", "&amp;$A1328&amp;"-"&amp;TEXT(($D1328-$C1328+1)+5,"00"),"")&amp;IF($C1328&gt;=7,", "&amp;$A1328&amp;"-"&amp;TEXT(($D1328-$C1328+1)+6,"00"),"")&amp;IF($C1328&gt;=8,", "&amp;$A1328&amp;"-"&amp;TEXT(($D1328-$C1328+1)+7,"00"),"")&amp;IF($C1328&gt;=9,", "&amp;$A1328&amp;"-"&amp;TEXT(($D1328-$C1328+1)+8,"00"),"")&amp;IF($C1328&gt;=10,", "&amp;$A1328&amp;"-"&amp;TEXT(($D1328-$C1328+1)+9,"00"),"")&amp;IF($C1328&gt;=11,", "&amp;$A1328&amp;"-"&amp;TEXT(($D1328-$C1328+1)+10,"00"),"")&amp;IF($C1328&gt;=12,", "&amp;$A1328&amp;"-"&amp;TEXT(($D1328-$C1328+1)+11,"00"),"")&amp;IF($C1328&gt;=13,", "&amp;$A1328&amp;"-"&amp;TEXT(($D1328-$C1328+1)+12,"00"),"")&amp;IF($C1328&gt;=14,", "&amp;$A1328&amp;"-"&amp;TEXT(($D1328-$C1328+1)+13,"00"),"")&amp;IF($C1328&gt;=15,", "&amp;$A1328&amp;"-"&amp;TEXT(($D1328-$C1328+1)+14,"00"),"")&amp;IF($C1328&gt;=16,", "&amp;$A1328&amp;"-"&amp;TEXT(($D1328-$C1328+1)+15,"00"),"")&amp;IF($C1328&gt;=17,", "&amp;$A1328&amp;"-"&amp;TEXT(($D1328-$C1328+1)+16,"00"),"")&amp;IF($C1328&gt;=18,", "&amp;$A1328&amp;"-"&amp;TEXT(($D1328-$C1328+1)+17,"00"),"")&amp;IF($C1328&gt;=19,", "&amp;$A1328&amp;"-"&amp;TEXT(($D1328-$C1328+1)+18,"00"),"")&amp;IF($C1328&gt;=20,", "&amp;$A1328&amp;"-"&amp;TEXT(($D1328-$C1328+1)+19,"00"),"")&amp;IF($C1328&gt;=21,", "&amp;$A1328&amp;"-"&amp;TEXT(($D1328-$C1328+1)+20,"00"),"")&amp;IF($C1328&gt;=22,", "&amp;$A1328&amp;"-"&amp;TEXT(($D1328-$C1328+1)+21,"00"),"")&amp;IF($C1328&gt;=23,", "&amp;$A1328&amp;"-"&amp;TEXT(($D1328-$C1328+1)+22,"00"),"")&amp;IF($C1328&gt;=24,", "&amp;$A1328&amp;"-"&amp;TEXT(($D1328-$C1328+1)+23,"00"),"")&amp;IF($C1328&gt;=25,", "&amp;$A1328&amp;"-"&amp;TEXT(($D1328-$C1328+1)+24,"00"),""))</f>
        <v/>
      </c>
      <c r="G1328">
        <f>IF($A1328="","",IF($E1328=1,$F1328,IF($F1328="",$G1327,IF($G1327="",$F1328,$G1327&amp;", "&amp;$F1328))))</f>
        <v/>
      </c>
      <c r="H1328">
        <f>IF($A1328="","",$A1328&amp;" ("&amp;$C1328&amp;")")</f>
        <v/>
      </c>
      <c r="I1328">
        <f>IF($A1328="","",IF($E1328=1,$H1328,$I1327&amp;", "&amp;$H1328))</f>
        <v/>
      </c>
      <c r="J1328">
        <f>IF($A1328="","",IF($E1328=1,$B1328,""))</f>
        <v/>
      </c>
      <c r="K1328">
        <f>IF($A1328="","",IF(COUNTIF($B$2:$B1328,$B1328)=COUNTIF($B$2:$B$1601,$B1328),$B1328,""))</f>
        <v/>
      </c>
    </row>
    <row r="1329">
      <c r="A1329">
        <f>IF('TMP Paste'!$E1329="","",'TMP Paste'!$E1329)</f>
        <v/>
      </c>
      <c r="B1329">
        <f>IF($A1329="","",COUNTIF('TMP Paste'!$B$2:$B1329,"?*"))</f>
        <v/>
      </c>
      <c r="C1329">
        <f>IF($A1329="","",IFERROR('TMP Paste'!$M1329*1,0))</f>
        <v/>
      </c>
      <c r="D1329">
        <f>IF($A1329="","",SUMIF($B$2:$B1329,$B1329,$C$2:$C1329))</f>
        <v/>
      </c>
      <c r="E1329">
        <f>IF($A1329="",0,IF('TMP Paste'!$B1329="",0,1))</f>
        <v/>
      </c>
      <c r="F1329">
        <f>IF(OR($A1329="",$C1329&lt;1),"",$A1329&amp;"-"&amp;TEXT(($D1329-$C1329+1),"00")&amp;IF($C1329&gt;=2,", "&amp;$A1329&amp;"-"&amp;TEXT(($D1329-$C1329+1)+1,"00"),"")&amp;IF($C1329&gt;=3,", "&amp;$A1329&amp;"-"&amp;TEXT(($D1329-$C1329+1)+2,"00"),"")&amp;IF($C1329&gt;=4,", "&amp;$A1329&amp;"-"&amp;TEXT(($D1329-$C1329+1)+3,"00"),"")&amp;IF($C1329&gt;=5,", "&amp;$A1329&amp;"-"&amp;TEXT(($D1329-$C1329+1)+4,"00"),"")&amp;IF($C1329&gt;=6,", "&amp;$A1329&amp;"-"&amp;TEXT(($D1329-$C1329+1)+5,"00"),"")&amp;IF($C1329&gt;=7,", "&amp;$A1329&amp;"-"&amp;TEXT(($D1329-$C1329+1)+6,"00"),"")&amp;IF($C1329&gt;=8,", "&amp;$A1329&amp;"-"&amp;TEXT(($D1329-$C1329+1)+7,"00"),"")&amp;IF($C1329&gt;=9,", "&amp;$A1329&amp;"-"&amp;TEXT(($D1329-$C1329+1)+8,"00"),"")&amp;IF($C1329&gt;=10,", "&amp;$A1329&amp;"-"&amp;TEXT(($D1329-$C1329+1)+9,"00"),"")&amp;IF($C1329&gt;=11,", "&amp;$A1329&amp;"-"&amp;TEXT(($D1329-$C1329+1)+10,"00"),"")&amp;IF($C1329&gt;=12,", "&amp;$A1329&amp;"-"&amp;TEXT(($D1329-$C1329+1)+11,"00"),"")&amp;IF($C1329&gt;=13,", "&amp;$A1329&amp;"-"&amp;TEXT(($D1329-$C1329+1)+12,"00"),"")&amp;IF($C1329&gt;=14,", "&amp;$A1329&amp;"-"&amp;TEXT(($D1329-$C1329+1)+13,"00"),"")&amp;IF($C1329&gt;=15,", "&amp;$A1329&amp;"-"&amp;TEXT(($D1329-$C1329+1)+14,"00"),"")&amp;IF($C1329&gt;=16,", "&amp;$A1329&amp;"-"&amp;TEXT(($D1329-$C1329+1)+15,"00"),"")&amp;IF($C1329&gt;=17,", "&amp;$A1329&amp;"-"&amp;TEXT(($D1329-$C1329+1)+16,"00"),"")&amp;IF($C1329&gt;=18,", "&amp;$A1329&amp;"-"&amp;TEXT(($D1329-$C1329+1)+17,"00"),"")&amp;IF($C1329&gt;=19,", "&amp;$A1329&amp;"-"&amp;TEXT(($D1329-$C1329+1)+18,"00"),"")&amp;IF($C1329&gt;=20,", "&amp;$A1329&amp;"-"&amp;TEXT(($D1329-$C1329+1)+19,"00"),"")&amp;IF($C1329&gt;=21,", "&amp;$A1329&amp;"-"&amp;TEXT(($D1329-$C1329+1)+20,"00"),"")&amp;IF($C1329&gt;=22,", "&amp;$A1329&amp;"-"&amp;TEXT(($D1329-$C1329+1)+21,"00"),"")&amp;IF($C1329&gt;=23,", "&amp;$A1329&amp;"-"&amp;TEXT(($D1329-$C1329+1)+22,"00"),"")&amp;IF($C1329&gt;=24,", "&amp;$A1329&amp;"-"&amp;TEXT(($D1329-$C1329+1)+23,"00"),"")&amp;IF($C1329&gt;=25,", "&amp;$A1329&amp;"-"&amp;TEXT(($D1329-$C1329+1)+24,"00"),""))</f>
        <v/>
      </c>
      <c r="G1329">
        <f>IF($A1329="","",IF($E1329=1,$F1329,IF($F1329="",$G1328,IF($G1328="",$F1329,$G1328&amp;", "&amp;$F1329))))</f>
        <v/>
      </c>
      <c r="H1329">
        <f>IF($A1329="","",$A1329&amp;" ("&amp;$C1329&amp;")")</f>
        <v/>
      </c>
      <c r="I1329">
        <f>IF($A1329="","",IF($E1329=1,$H1329,$I1328&amp;", "&amp;$H1329))</f>
        <v/>
      </c>
      <c r="J1329">
        <f>IF($A1329="","",IF($E1329=1,$B1329,""))</f>
        <v/>
      </c>
      <c r="K1329">
        <f>IF($A1329="","",IF(COUNTIF($B$2:$B1329,$B1329)=COUNTIF($B$2:$B$1601,$B1329),$B1329,""))</f>
        <v/>
      </c>
    </row>
    <row r="1330">
      <c r="A1330">
        <f>IF('TMP Paste'!$E1330="","",'TMP Paste'!$E1330)</f>
        <v/>
      </c>
      <c r="B1330">
        <f>IF($A1330="","",COUNTIF('TMP Paste'!$B$2:$B1330,"?*"))</f>
        <v/>
      </c>
      <c r="C1330">
        <f>IF($A1330="","",IFERROR('TMP Paste'!$M1330*1,0))</f>
        <v/>
      </c>
      <c r="D1330">
        <f>IF($A1330="","",SUMIF($B$2:$B1330,$B1330,$C$2:$C1330))</f>
        <v/>
      </c>
      <c r="E1330">
        <f>IF($A1330="",0,IF('TMP Paste'!$B1330="",0,1))</f>
        <v/>
      </c>
      <c r="F1330">
        <f>IF(OR($A1330="",$C1330&lt;1),"",$A1330&amp;"-"&amp;TEXT(($D1330-$C1330+1),"00")&amp;IF($C1330&gt;=2,", "&amp;$A1330&amp;"-"&amp;TEXT(($D1330-$C1330+1)+1,"00"),"")&amp;IF($C1330&gt;=3,", "&amp;$A1330&amp;"-"&amp;TEXT(($D1330-$C1330+1)+2,"00"),"")&amp;IF($C1330&gt;=4,", "&amp;$A1330&amp;"-"&amp;TEXT(($D1330-$C1330+1)+3,"00"),"")&amp;IF($C1330&gt;=5,", "&amp;$A1330&amp;"-"&amp;TEXT(($D1330-$C1330+1)+4,"00"),"")&amp;IF($C1330&gt;=6,", "&amp;$A1330&amp;"-"&amp;TEXT(($D1330-$C1330+1)+5,"00"),"")&amp;IF($C1330&gt;=7,", "&amp;$A1330&amp;"-"&amp;TEXT(($D1330-$C1330+1)+6,"00"),"")&amp;IF($C1330&gt;=8,", "&amp;$A1330&amp;"-"&amp;TEXT(($D1330-$C1330+1)+7,"00"),"")&amp;IF($C1330&gt;=9,", "&amp;$A1330&amp;"-"&amp;TEXT(($D1330-$C1330+1)+8,"00"),"")&amp;IF($C1330&gt;=10,", "&amp;$A1330&amp;"-"&amp;TEXT(($D1330-$C1330+1)+9,"00"),"")&amp;IF($C1330&gt;=11,", "&amp;$A1330&amp;"-"&amp;TEXT(($D1330-$C1330+1)+10,"00"),"")&amp;IF($C1330&gt;=12,", "&amp;$A1330&amp;"-"&amp;TEXT(($D1330-$C1330+1)+11,"00"),"")&amp;IF($C1330&gt;=13,", "&amp;$A1330&amp;"-"&amp;TEXT(($D1330-$C1330+1)+12,"00"),"")&amp;IF($C1330&gt;=14,", "&amp;$A1330&amp;"-"&amp;TEXT(($D1330-$C1330+1)+13,"00"),"")&amp;IF($C1330&gt;=15,", "&amp;$A1330&amp;"-"&amp;TEXT(($D1330-$C1330+1)+14,"00"),"")&amp;IF($C1330&gt;=16,", "&amp;$A1330&amp;"-"&amp;TEXT(($D1330-$C1330+1)+15,"00"),"")&amp;IF($C1330&gt;=17,", "&amp;$A1330&amp;"-"&amp;TEXT(($D1330-$C1330+1)+16,"00"),"")&amp;IF($C1330&gt;=18,", "&amp;$A1330&amp;"-"&amp;TEXT(($D1330-$C1330+1)+17,"00"),"")&amp;IF($C1330&gt;=19,", "&amp;$A1330&amp;"-"&amp;TEXT(($D1330-$C1330+1)+18,"00"),"")&amp;IF($C1330&gt;=20,", "&amp;$A1330&amp;"-"&amp;TEXT(($D1330-$C1330+1)+19,"00"),"")&amp;IF($C1330&gt;=21,", "&amp;$A1330&amp;"-"&amp;TEXT(($D1330-$C1330+1)+20,"00"),"")&amp;IF($C1330&gt;=22,", "&amp;$A1330&amp;"-"&amp;TEXT(($D1330-$C1330+1)+21,"00"),"")&amp;IF($C1330&gt;=23,", "&amp;$A1330&amp;"-"&amp;TEXT(($D1330-$C1330+1)+22,"00"),"")&amp;IF($C1330&gt;=24,", "&amp;$A1330&amp;"-"&amp;TEXT(($D1330-$C1330+1)+23,"00"),"")&amp;IF($C1330&gt;=25,", "&amp;$A1330&amp;"-"&amp;TEXT(($D1330-$C1330+1)+24,"00"),""))</f>
        <v/>
      </c>
      <c r="G1330">
        <f>IF($A1330="","",IF($E1330=1,$F1330,IF($F1330="",$G1329,IF($G1329="",$F1330,$G1329&amp;", "&amp;$F1330))))</f>
        <v/>
      </c>
      <c r="H1330">
        <f>IF($A1330="","",$A1330&amp;" ("&amp;$C1330&amp;")")</f>
        <v/>
      </c>
      <c r="I1330">
        <f>IF($A1330="","",IF($E1330=1,$H1330,$I1329&amp;", "&amp;$H1330))</f>
        <v/>
      </c>
      <c r="J1330">
        <f>IF($A1330="","",IF($E1330=1,$B1330,""))</f>
        <v/>
      </c>
      <c r="K1330">
        <f>IF($A1330="","",IF(COUNTIF($B$2:$B1330,$B1330)=COUNTIF($B$2:$B$1601,$B1330),$B1330,""))</f>
        <v/>
      </c>
    </row>
    <row r="1331">
      <c r="A1331">
        <f>IF('TMP Paste'!$E1331="","",'TMP Paste'!$E1331)</f>
        <v/>
      </c>
      <c r="B1331">
        <f>IF($A1331="","",COUNTIF('TMP Paste'!$B$2:$B1331,"?*"))</f>
        <v/>
      </c>
      <c r="C1331">
        <f>IF($A1331="","",IFERROR('TMP Paste'!$M1331*1,0))</f>
        <v/>
      </c>
      <c r="D1331">
        <f>IF($A1331="","",SUMIF($B$2:$B1331,$B1331,$C$2:$C1331))</f>
        <v/>
      </c>
      <c r="E1331">
        <f>IF($A1331="",0,IF('TMP Paste'!$B1331="",0,1))</f>
        <v/>
      </c>
      <c r="F1331">
        <f>IF(OR($A1331="",$C1331&lt;1),"",$A1331&amp;"-"&amp;TEXT(($D1331-$C1331+1),"00")&amp;IF($C1331&gt;=2,", "&amp;$A1331&amp;"-"&amp;TEXT(($D1331-$C1331+1)+1,"00"),"")&amp;IF($C1331&gt;=3,", "&amp;$A1331&amp;"-"&amp;TEXT(($D1331-$C1331+1)+2,"00"),"")&amp;IF($C1331&gt;=4,", "&amp;$A1331&amp;"-"&amp;TEXT(($D1331-$C1331+1)+3,"00"),"")&amp;IF($C1331&gt;=5,", "&amp;$A1331&amp;"-"&amp;TEXT(($D1331-$C1331+1)+4,"00"),"")&amp;IF($C1331&gt;=6,", "&amp;$A1331&amp;"-"&amp;TEXT(($D1331-$C1331+1)+5,"00"),"")&amp;IF($C1331&gt;=7,", "&amp;$A1331&amp;"-"&amp;TEXT(($D1331-$C1331+1)+6,"00"),"")&amp;IF($C1331&gt;=8,", "&amp;$A1331&amp;"-"&amp;TEXT(($D1331-$C1331+1)+7,"00"),"")&amp;IF($C1331&gt;=9,", "&amp;$A1331&amp;"-"&amp;TEXT(($D1331-$C1331+1)+8,"00"),"")&amp;IF($C1331&gt;=10,", "&amp;$A1331&amp;"-"&amp;TEXT(($D1331-$C1331+1)+9,"00"),"")&amp;IF($C1331&gt;=11,", "&amp;$A1331&amp;"-"&amp;TEXT(($D1331-$C1331+1)+10,"00"),"")&amp;IF($C1331&gt;=12,", "&amp;$A1331&amp;"-"&amp;TEXT(($D1331-$C1331+1)+11,"00"),"")&amp;IF($C1331&gt;=13,", "&amp;$A1331&amp;"-"&amp;TEXT(($D1331-$C1331+1)+12,"00"),"")&amp;IF($C1331&gt;=14,", "&amp;$A1331&amp;"-"&amp;TEXT(($D1331-$C1331+1)+13,"00"),"")&amp;IF($C1331&gt;=15,", "&amp;$A1331&amp;"-"&amp;TEXT(($D1331-$C1331+1)+14,"00"),"")&amp;IF($C1331&gt;=16,", "&amp;$A1331&amp;"-"&amp;TEXT(($D1331-$C1331+1)+15,"00"),"")&amp;IF($C1331&gt;=17,", "&amp;$A1331&amp;"-"&amp;TEXT(($D1331-$C1331+1)+16,"00"),"")&amp;IF($C1331&gt;=18,", "&amp;$A1331&amp;"-"&amp;TEXT(($D1331-$C1331+1)+17,"00"),"")&amp;IF($C1331&gt;=19,", "&amp;$A1331&amp;"-"&amp;TEXT(($D1331-$C1331+1)+18,"00"),"")&amp;IF($C1331&gt;=20,", "&amp;$A1331&amp;"-"&amp;TEXT(($D1331-$C1331+1)+19,"00"),"")&amp;IF($C1331&gt;=21,", "&amp;$A1331&amp;"-"&amp;TEXT(($D1331-$C1331+1)+20,"00"),"")&amp;IF($C1331&gt;=22,", "&amp;$A1331&amp;"-"&amp;TEXT(($D1331-$C1331+1)+21,"00"),"")&amp;IF($C1331&gt;=23,", "&amp;$A1331&amp;"-"&amp;TEXT(($D1331-$C1331+1)+22,"00"),"")&amp;IF($C1331&gt;=24,", "&amp;$A1331&amp;"-"&amp;TEXT(($D1331-$C1331+1)+23,"00"),"")&amp;IF($C1331&gt;=25,", "&amp;$A1331&amp;"-"&amp;TEXT(($D1331-$C1331+1)+24,"00"),""))</f>
        <v/>
      </c>
      <c r="G1331">
        <f>IF($A1331="","",IF($E1331=1,$F1331,IF($F1331="",$G1330,IF($G1330="",$F1331,$G1330&amp;", "&amp;$F1331))))</f>
        <v/>
      </c>
      <c r="H1331">
        <f>IF($A1331="","",$A1331&amp;" ("&amp;$C1331&amp;")")</f>
        <v/>
      </c>
      <c r="I1331">
        <f>IF($A1331="","",IF($E1331=1,$H1331,$I1330&amp;", "&amp;$H1331))</f>
        <v/>
      </c>
      <c r="J1331">
        <f>IF($A1331="","",IF($E1331=1,$B1331,""))</f>
        <v/>
      </c>
      <c r="K1331">
        <f>IF($A1331="","",IF(COUNTIF($B$2:$B1331,$B1331)=COUNTIF($B$2:$B$1601,$B1331),$B1331,""))</f>
        <v/>
      </c>
    </row>
    <row r="1332">
      <c r="A1332">
        <f>IF('TMP Paste'!$E1332="","",'TMP Paste'!$E1332)</f>
        <v/>
      </c>
      <c r="B1332">
        <f>IF($A1332="","",COUNTIF('TMP Paste'!$B$2:$B1332,"?*"))</f>
        <v/>
      </c>
      <c r="C1332">
        <f>IF($A1332="","",IFERROR('TMP Paste'!$M1332*1,0))</f>
        <v/>
      </c>
      <c r="D1332">
        <f>IF($A1332="","",SUMIF($B$2:$B1332,$B1332,$C$2:$C1332))</f>
        <v/>
      </c>
      <c r="E1332">
        <f>IF($A1332="",0,IF('TMP Paste'!$B1332="",0,1))</f>
        <v/>
      </c>
      <c r="F1332">
        <f>IF(OR($A1332="",$C1332&lt;1),"",$A1332&amp;"-"&amp;TEXT(($D1332-$C1332+1),"00")&amp;IF($C1332&gt;=2,", "&amp;$A1332&amp;"-"&amp;TEXT(($D1332-$C1332+1)+1,"00"),"")&amp;IF($C1332&gt;=3,", "&amp;$A1332&amp;"-"&amp;TEXT(($D1332-$C1332+1)+2,"00"),"")&amp;IF($C1332&gt;=4,", "&amp;$A1332&amp;"-"&amp;TEXT(($D1332-$C1332+1)+3,"00"),"")&amp;IF($C1332&gt;=5,", "&amp;$A1332&amp;"-"&amp;TEXT(($D1332-$C1332+1)+4,"00"),"")&amp;IF($C1332&gt;=6,", "&amp;$A1332&amp;"-"&amp;TEXT(($D1332-$C1332+1)+5,"00"),"")&amp;IF($C1332&gt;=7,", "&amp;$A1332&amp;"-"&amp;TEXT(($D1332-$C1332+1)+6,"00"),"")&amp;IF($C1332&gt;=8,", "&amp;$A1332&amp;"-"&amp;TEXT(($D1332-$C1332+1)+7,"00"),"")&amp;IF($C1332&gt;=9,", "&amp;$A1332&amp;"-"&amp;TEXT(($D1332-$C1332+1)+8,"00"),"")&amp;IF($C1332&gt;=10,", "&amp;$A1332&amp;"-"&amp;TEXT(($D1332-$C1332+1)+9,"00"),"")&amp;IF($C1332&gt;=11,", "&amp;$A1332&amp;"-"&amp;TEXT(($D1332-$C1332+1)+10,"00"),"")&amp;IF($C1332&gt;=12,", "&amp;$A1332&amp;"-"&amp;TEXT(($D1332-$C1332+1)+11,"00"),"")&amp;IF($C1332&gt;=13,", "&amp;$A1332&amp;"-"&amp;TEXT(($D1332-$C1332+1)+12,"00"),"")&amp;IF($C1332&gt;=14,", "&amp;$A1332&amp;"-"&amp;TEXT(($D1332-$C1332+1)+13,"00"),"")&amp;IF($C1332&gt;=15,", "&amp;$A1332&amp;"-"&amp;TEXT(($D1332-$C1332+1)+14,"00"),"")&amp;IF($C1332&gt;=16,", "&amp;$A1332&amp;"-"&amp;TEXT(($D1332-$C1332+1)+15,"00"),"")&amp;IF($C1332&gt;=17,", "&amp;$A1332&amp;"-"&amp;TEXT(($D1332-$C1332+1)+16,"00"),"")&amp;IF($C1332&gt;=18,", "&amp;$A1332&amp;"-"&amp;TEXT(($D1332-$C1332+1)+17,"00"),"")&amp;IF($C1332&gt;=19,", "&amp;$A1332&amp;"-"&amp;TEXT(($D1332-$C1332+1)+18,"00"),"")&amp;IF($C1332&gt;=20,", "&amp;$A1332&amp;"-"&amp;TEXT(($D1332-$C1332+1)+19,"00"),"")&amp;IF($C1332&gt;=21,", "&amp;$A1332&amp;"-"&amp;TEXT(($D1332-$C1332+1)+20,"00"),"")&amp;IF($C1332&gt;=22,", "&amp;$A1332&amp;"-"&amp;TEXT(($D1332-$C1332+1)+21,"00"),"")&amp;IF($C1332&gt;=23,", "&amp;$A1332&amp;"-"&amp;TEXT(($D1332-$C1332+1)+22,"00"),"")&amp;IF($C1332&gt;=24,", "&amp;$A1332&amp;"-"&amp;TEXT(($D1332-$C1332+1)+23,"00"),"")&amp;IF($C1332&gt;=25,", "&amp;$A1332&amp;"-"&amp;TEXT(($D1332-$C1332+1)+24,"00"),""))</f>
        <v/>
      </c>
      <c r="G1332">
        <f>IF($A1332="","",IF($E1332=1,$F1332,IF($F1332="",$G1331,IF($G1331="",$F1332,$G1331&amp;", "&amp;$F1332))))</f>
        <v/>
      </c>
      <c r="H1332">
        <f>IF($A1332="","",$A1332&amp;" ("&amp;$C1332&amp;")")</f>
        <v/>
      </c>
      <c r="I1332">
        <f>IF($A1332="","",IF($E1332=1,$H1332,$I1331&amp;", "&amp;$H1332))</f>
        <v/>
      </c>
      <c r="J1332">
        <f>IF($A1332="","",IF($E1332=1,$B1332,""))</f>
        <v/>
      </c>
      <c r="K1332">
        <f>IF($A1332="","",IF(COUNTIF($B$2:$B1332,$B1332)=COUNTIF($B$2:$B$1601,$B1332),$B1332,""))</f>
        <v/>
      </c>
    </row>
    <row r="1333">
      <c r="A1333">
        <f>IF('TMP Paste'!$E1333="","",'TMP Paste'!$E1333)</f>
        <v/>
      </c>
      <c r="B1333">
        <f>IF($A1333="","",COUNTIF('TMP Paste'!$B$2:$B1333,"?*"))</f>
        <v/>
      </c>
      <c r="C1333">
        <f>IF($A1333="","",IFERROR('TMP Paste'!$M1333*1,0))</f>
        <v/>
      </c>
      <c r="D1333">
        <f>IF($A1333="","",SUMIF($B$2:$B1333,$B1333,$C$2:$C1333))</f>
        <v/>
      </c>
      <c r="E1333">
        <f>IF($A1333="",0,IF('TMP Paste'!$B1333="",0,1))</f>
        <v/>
      </c>
      <c r="F1333">
        <f>IF(OR($A1333="",$C1333&lt;1),"",$A1333&amp;"-"&amp;TEXT(($D1333-$C1333+1),"00")&amp;IF($C1333&gt;=2,", "&amp;$A1333&amp;"-"&amp;TEXT(($D1333-$C1333+1)+1,"00"),"")&amp;IF($C1333&gt;=3,", "&amp;$A1333&amp;"-"&amp;TEXT(($D1333-$C1333+1)+2,"00"),"")&amp;IF($C1333&gt;=4,", "&amp;$A1333&amp;"-"&amp;TEXT(($D1333-$C1333+1)+3,"00"),"")&amp;IF($C1333&gt;=5,", "&amp;$A1333&amp;"-"&amp;TEXT(($D1333-$C1333+1)+4,"00"),"")&amp;IF($C1333&gt;=6,", "&amp;$A1333&amp;"-"&amp;TEXT(($D1333-$C1333+1)+5,"00"),"")&amp;IF($C1333&gt;=7,", "&amp;$A1333&amp;"-"&amp;TEXT(($D1333-$C1333+1)+6,"00"),"")&amp;IF($C1333&gt;=8,", "&amp;$A1333&amp;"-"&amp;TEXT(($D1333-$C1333+1)+7,"00"),"")&amp;IF($C1333&gt;=9,", "&amp;$A1333&amp;"-"&amp;TEXT(($D1333-$C1333+1)+8,"00"),"")&amp;IF($C1333&gt;=10,", "&amp;$A1333&amp;"-"&amp;TEXT(($D1333-$C1333+1)+9,"00"),"")&amp;IF($C1333&gt;=11,", "&amp;$A1333&amp;"-"&amp;TEXT(($D1333-$C1333+1)+10,"00"),"")&amp;IF($C1333&gt;=12,", "&amp;$A1333&amp;"-"&amp;TEXT(($D1333-$C1333+1)+11,"00"),"")&amp;IF($C1333&gt;=13,", "&amp;$A1333&amp;"-"&amp;TEXT(($D1333-$C1333+1)+12,"00"),"")&amp;IF($C1333&gt;=14,", "&amp;$A1333&amp;"-"&amp;TEXT(($D1333-$C1333+1)+13,"00"),"")&amp;IF($C1333&gt;=15,", "&amp;$A1333&amp;"-"&amp;TEXT(($D1333-$C1333+1)+14,"00"),"")&amp;IF($C1333&gt;=16,", "&amp;$A1333&amp;"-"&amp;TEXT(($D1333-$C1333+1)+15,"00"),"")&amp;IF($C1333&gt;=17,", "&amp;$A1333&amp;"-"&amp;TEXT(($D1333-$C1333+1)+16,"00"),"")&amp;IF($C1333&gt;=18,", "&amp;$A1333&amp;"-"&amp;TEXT(($D1333-$C1333+1)+17,"00"),"")&amp;IF($C1333&gt;=19,", "&amp;$A1333&amp;"-"&amp;TEXT(($D1333-$C1333+1)+18,"00"),"")&amp;IF($C1333&gt;=20,", "&amp;$A1333&amp;"-"&amp;TEXT(($D1333-$C1333+1)+19,"00"),"")&amp;IF($C1333&gt;=21,", "&amp;$A1333&amp;"-"&amp;TEXT(($D1333-$C1333+1)+20,"00"),"")&amp;IF($C1333&gt;=22,", "&amp;$A1333&amp;"-"&amp;TEXT(($D1333-$C1333+1)+21,"00"),"")&amp;IF($C1333&gt;=23,", "&amp;$A1333&amp;"-"&amp;TEXT(($D1333-$C1333+1)+22,"00"),"")&amp;IF($C1333&gt;=24,", "&amp;$A1333&amp;"-"&amp;TEXT(($D1333-$C1333+1)+23,"00"),"")&amp;IF($C1333&gt;=25,", "&amp;$A1333&amp;"-"&amp;TEXT(($D1333-$C1333+1)+24,"00"),""))</f>
        <v/>
      </c>
      <c r="G1333">
        <f>IF($A1333="","",IF($E1333=1,$F1333,IF($F1333="",$G1332,IF($G1332="",$F1333,$G1332&amp;", "&amp;$F1333))))</f>
        <v/>
      </c>
      <c r="H1333">
        <f>IF($A1333="","",$A1333&amp;" ("&amp;$C1333&amp;")")</f>
        <v/>
      </c>
      <c r="I1333">
        <f>IF($A1333="","",IF($E1333=1,$H1333,$I1332&amp;", "&amp;$H1333))</f>
        <v/>
      </c>
      <c r="J1333">
        <f>IF($A1333="","",IF($E1333=1,$B1333,""))</f>
        <v/>
      </c>
      <c r="K1333">
        <f>IF($A1333="","",IF(COUNTIF($B$2:$B1333,$B1333)=COUNTIF($B$2:$B$1601,$B1333),$B1333,""))</f>
        <v/>
      </c>
    </row>
    <row r="1334">
      <c r="A1334">
        <f>IF('TMP Paste'!$E1334="","",'TMP Paste'!$E1334)</f>
        <v/>
      </c>
      <c r="B1334">
        <f>IF($A1334="","",COUNTIF('TMP Paste'!$B$2:$B1334,"?*"))</f>
        <v/>
      </c>
      <c r="C1334">
        <f>IF($A1334="","",IFERROR('TMP Paste'!$M1334*1,0))</f>
        <v/>
      </c>
      <c r="D1334">
        <f>IF($A1334="","",SUMIF($B$2:$B1334,$B1334,$C$2:$C1334))</f>
        <v/>
      </c>
      <c r="E1334">
        <f>IF($A1334="",0,IF('TMP Paste'!$B1334="",0,1))</f>
        <v/>
      </c>
      <c r="F1334">
        <f>IF(OR($A1334="",$C1334&lt;1),"",$A1334&amp;"-"&amp;TEXT(($D1334-$C1334+1),"00")&amp;IF($C1334&gt;=2,", "&amp;$A1334&amp;"-"&amp;TEXT(($D1334-$C1334+1)+1,"00"),"")&amp;IF($C1334&gt;=3,", "&amp;$A1334&amp;"-"&amp;TEXT(($D1334-$C1334+1)+2,"00"),"")&amp;IF($C1334&gt;=4,", "&amp;$A1334&amp;"-"&amp;TEXT(($D1334-$C1334+1)+3,"00"),"")&amp;IF($C1334&gt;=5,", "&amp;$A1334&amp;"-"&amp;TEXT(($D1334-$C1334+1)+4,"00"),"")&amp;IF($C1334&gt;=6,", "&amp;$A1334&amp;"-"&amp;TEXT(($D1334-$C1334+1)+5,"00"),"")&amp;IF($C1334&gt;=7,", "&amp;$A1334&amp;"-"&amp;TEXT(($D1334-$C1334+1)+6,"00"),"")&amp;IF($C1334&gt;=8,", "&amp;$A1334&amp;"-"&amp;TEXT(($D1334-$C1334+1)+7,"00"),"")&amp;IF($C1334&gt;=9,", "&amp;$A1334&amp;"-"&amp;TEXT(($D1334-$C1334+1)+8,"00"),"")&amp;IF($C1334&gt;=10,", "&amp;$A1334&amp;"-"&amp;TEXT(($D1334-$C1334+1)+9,"00"),"")&amp;IF($C1334&gt;=11,", "&amp;$A1334&amp;"-"&amp;TEXT(($D1334-$C1334+1)+10,"00"),"")&amp;IF($C1334&gt;=12,", "&amp;$A1334&amp;"-"&amp;TEXT(($D1334-$C1334+1)+11,"00"),"")&amp;IF($C1334&gt;=13,", "&amp;$A1334&amp;"-"&amp;TEXT(($D1334-$C1334+1)+12,"00"),"")&amp;IF($C1334&gt;=14,", "&amp;$A1334&amp;"-"&amp;TEXT(($D1334-$C1334+1)+13,"00"),"")&amp;IF($C1334&gt;=15,", "&amp;$A1334&amp;"-"&amp;TEXT(($D1334-$C1334+1)+14,"00"),"")&amp;IF($C1334&gt;=16,", "&amp;$A1334&amp;"-"&amp;TEXT(($D1334-$C1334+1)+15,"00"),"")&amp;IF($C1334&gt;=17,", "&amp;$A1334&amp;"-"&amp;TEXT(($D1334-$C1334+1)+16,"00"),"")&amp;IF($C1334&gt;=18,", "&amp;$A1334&amp;"-"&amp;TEXT(($D1334-$C1334+1)+17,"00"),"")&amp;IF($C1334&gt;=19,", "&amp;$A1334&amp;"-"&amp;TEXT(($D1334-$C1334+1)+18,"00"),"")&amp;IF($C1334&gt;=20,", "&amp;$A1334&amp;"-"&amp;TEXT(($D1334-$C1334+1)+19,"00"),"")&amp;IF($C1334&gt;=21,", "&amp;$A1334&amp;"-"&amp;TEXT(($D1334-$C1334+1)+20,"00"),"")&amp;IF($C1334&gt;=22,", "&amp;$A1334&amp;"-"&amp;TEXT(($D1334-$C1334+1)+21,"00"),"")&amp;IF($C1334&gt;=23,", "&amp;$A1334&amp;"-"&amp;TEXT(($D1334-$C1334+1)+22,"00"),"")&amp;IF($C1334&gt;=24,", "&amp;$A1334&amp;"-"&amp;TEXT(($D1334-$C1334+1)+23,"00"),"")&amp;IF($C1334&gt;=25,", "&amp;$A1334&amp;"-"&amp;TEXT(($D1334-$C1334+1)+24,"00"),""))</f>
        <v/>
      </c>
      <c r="G1334">
        <f>IF($A1334="","",IF($E1334=1,$F1334,IF($F1334="",$G1333,IF($G1333="",$F1334,$G1333&amp;", "&amp;$F1334))))</f>
        <v/>
      </c>
      <c r="H1334">
        <f>IF($A1334="","",$A1334&amp;" ("&amp;$C1334&amp;")")</f>
        <v/>
      </c>
      <c r="I1334">
        <f>IF($A1334="","",IF($E1334=1,$H1334,$I1333&amp;", "&amp;$H1334))</f>
        <v/>
      </c>
      <c r="J1334">
        <f>IF($A1334="","",IF($E1334=1,$B1334,""))</f>
        <v/>
      </c>
      <c r="K1334">
        <f>IF($A1334="","",IF(COUNTIF($B$2:$B1334,$B1334)=COUNTIF($B$2:$B$1601,$B1334),$B1334,""))</f>
        <v/>
      </c>
    </row>
    <row r="1335">
      <c r="A1335">
        <f>IF('TMP Paste'!$E1335="","",'TMP Paste'!$E1335)</f>
        <v/>
      </c>
      <c r="B1335">
        <f>IF($A1335="","",COUNTIF('TMP Paste'!$B$2:$B1335,"?*"))</f>
        <v/>
      </c>
      <c r="C1335">
        <f>IF($A1335="","",IFERROR('TMP Paste'!$M1335*1,0))</f>
        <v/>
      </c>
      <c r="D1335">
        <f>IF($A1335="","",SUMIF($B$2:$B1335,$B1335,$C$2:$C1335))</f>
        <v/>
      </c>
      <c r="E1335">
        <f>IF($A1335="",0,IF('TMP Paste'!$B1335="",0,1))</f>
        <v/>
      </c>
      <c r="F1335">
        <f>IF(OR($A1335="",$C1335&lt;1),"",$A1335&amp;"-"&amp;TEXT(($D1335-$C1335+1),"00")&amp;IF($C1335&gt;=2,", "&amp;$A1335&amp;"-"&amp;TEXT(($D1335-$C1335+1)+1,"00"),"")&amp;IF($C1335&gt;=3,", "&amp;$A1335&amp;"-"&amp;TEXT(($D1335-$C1335+1)+2,"00"),"")&amp;IF($C1335&gt;=4,", "&amp;$A1335&amp;"-"&amp;TEXT(($D1335-$C1335+1)+3,"00"),"")&amp;IF($C1335&gt;=5,", "&amp;$A1335&amp;"-"&amp;TEXT(($D1335-$C1335+1)+4,"00"),"")&amp;IF($C1335&gt;=6,", "&amp;$A1335&amp;"-"&amp;TEXT(($D1335-$C1335+1)+5,"00"),"")&amp;IF($C1335&gt;=7,", "&amp;$A1335&amp;"-"&amp;TEXT(($D1335-$C1335+1)+6,"00"),"")&amp;IF($C1335&gt;=8,", "&amp;$A1335&amp;"-"&amp;TEXT(($D1335-$C1335+1)+7,"00"),"")&amp;IF($C1335&gt;=9,", "&amp;$A1335&amp;"-"&amp;TEXT(($D1335-$C1335+1)+8,"00"),"")&amp;IF($C1335&gt;=10,", "&amp;$A1335&amp;"-"&amp;TEXT(($D1335-$C1335+1)+9,"00"),"")&amp;IF($C1335&gt;=11,", "&amp;$A1335&amp;"-"&amp;TEXT(($D1335-$C1335+1)+10,"00"),"")&amp;IF($C1335&gt;=12,", "&amp;$A1335&amp;"-"&amp;TEXT(($D1335-$C1335+1)+11,"00"),"")&amp;IF($C1335&gt;=13,", "&amp;$A1335&amp;"-"&amp;TEXT(($D1335-$C1335+1)+12,"00"),"")&amp;IF($C1335&gt;=14,", "&amp;$A1335&amp;"-"&amp;TEXT(($D1335-$C1335+1)+13,"00"),"")&amp;IF($C1335&gt;=15,", "&amp;$A1335&amp;"-"&amp;TEXT(($D1335-$C1335+1)+14,"00"),"")&amp;IF($C1335&gt;=16,", "&amp;$A1335&amp;"-"&amp;TEXT(($D1335-$C1335+1)+15,"00"),"")&amp;IF($C1335&gt;=17,", "&amp;$A1335&amp;"-"&amp;TEXT(($D1335-$C1335+1)+16,"00"),"")&amp;IF($C1335&gt;=18,", "&amp;$A1335&amp;"-"&amp;TEXT(($D1335-$C1335+1)+17,"00"),"")&amp;IF($C1335&gt;=19,", "&amp;$A1335&amp;"-"&amp;TEXT(($D1335-$C1335+1)+18,"00"),"")&amp;IF($C1335&gt;=20,", "&amp;$A1335&amp;"-"&amp;TEXT(($D1335-$C1335+1)+19,"00"),"")&amp;IF($C1335&gt;=21,", "&amp;$A1335&amp;"-"&amp;TEXT(($D1335-$C1335+1)+20,"00"),"")&amp;IF($C1335&gt;=22,", "&amp;$A1335&amp;"-"&amp;TEXT(($D1335-$C1335+1)+21,"00"),"")&amp;IF($C1335&gt;=23,", "&amp;$A1335&amp;"-"&amp;TEXT(($D1335-$C1335+1)+22,"00"),"")&amp;IF($C1335&gt;=24,", "&amp;$A1335&amp;"-"&amp;TEXT(($D1335-$C1335+1)+23,"00"),"")&amp;IF($C1335&gt;=25,", "&amp;$A1335&amp;"-"&amp;TEXT(($D1335-$C1335+1)+24,"00"),""))</f>
        <v/>
      </c>
      <c r="G1335">
        <f>IF($A1335="","",IF($E1335=1,$F1335,IF($F1335="",$G1334,IF($G1334="",$F1335,$G1334&amp;", "&amp;$F1335))))</f>
        <v/>
      </c>
      <c r="H1335">
        <f>IF($A1335="","",$A1335&amp;" ("&amp;$C1335&amp;")")</f>
        <v/>
      </c>
      <c r="I1335">
        <f>IF($A1335="","",IF($E1335=1,$H1335,$I1334&amp;", "&amp;$H1335))</f>
        <v/>
      </c>
      <c r="J1335">
        <f>IF($A1335="","",IF($E1335=1,$B1335,""))</f>
        <v/>
      </c>
      <c r="K1335">
        <f>IF($A1335="","",IF(COUNTIF($B$2:$B1335,$B1335)=COUNTIF($B$2:$B$1601,$B1335),$B1335,""))</f>
        <v/>
      </c>
    </row>
    <row r="1336">
      <c r="A1336">
        <f>IF('TMP Paste'!$E1336="","",'TMP Paste'!$E1336)</f>
        <v/>
      </c>
      <c r="B1336">
        <f>IF($A1336="","",COUNTIF('TMP Paste'!$B$2:$B1336,"?*"))</f>
        <v/>
      </c>
      <c r="C1336">
        <f>IF($A1336="","",IFERROR('TMP Paste'!$M1336*1,0))</f>
        <v/>
      </c>
      <c r="D1336">
        <f>IF($A1336="","",SUMIF($B$2:$B1336,$B1336,$C$2:$C1336))</f>
        <v/>
      </c>
      <c r="E1336">
        <f>IF($A1336="",0,IF('TMP Paste'!$B1336="",0,1))</f>
        <v/>
      </c>
      <c r="F1336">
        <f>IF(OR($A1336="",$C1336&lt;1),"",$A1336&amp;"-"&amp;TEXT(($D1336-$C1336+1),"00")&amp;IF($C1336&gt;=2,", "&amp;$A1336&amp;"-"&amp;TEXT(($D1336-$C1336+1)+1,"00"),"")&amp;IF($C1336&gt;=3,", "&amp;$A1336&amp;"-"&amp;TEXT(($D1336-$C1336+1)+2,"00"),"")&amp;IF($C1336&gt;=4,", "&amp;$A1336&amp;"-"&amp;TEXT(($D1336-$C1336+1)+3,"00"),"")&amp;IF($C1336&gt;=5,", "&amp;$A1336&amp;"-"&amp;TEXT(($D1336-$C1336+1)+4,"00"),"")&amp;IF($C1336&gt;=6,", "&amp;$A1336&amp;"-"&amp;TEXT(($D1336-$C1336+1)+5,"00"),"")&amp;IF($C1336&gt;=7,", "&amp;$A1336&amp;"-"&amp;TEXT(($D1336-$C1336+1)+6,"00"),"")&amp;IF($C1336&gt;=8,", "&amp;$A1336&amp;"-"&amp;TEXT(($D1336-$C1336+1)+7,"00"),"")&amp;IF($C1336&gt;=9,", "&amp;$A1336&amp;"-"&amp;TEXT(($D1336-$C1336+1)+8,"00"),"")&amp;IF($C1336&gt;=10,", "&amp;$A1336&amp;"-"&amp;TEXT(($D1336-$C1336+1)+9,"00"),"")&amp;IF($C1336&gt;=11,", "&amp;$A1336&amp;"-"&amp;TEXT(($D1336-$C1336+1)+10,"00"),"")&amp;IF($C1336&gt;=12,", "&amp;$A1336&amp;"-"&amp;TEXT(($D1336-$C1336+1)+11,"00"),"")&amp;IF($C1336&gt;=13,", "&amp;$A1336&amp;"-"&amp;TEXT(($D1336-$C1336+1)+12,"00"),"")&amp;IF($C1336&gt;=14,", "&amp;$A1336&amp;"-"&amp;TEXT(($D1336-$C1336+1)+13,"00"),"")&amp;IF($C1336&gt;=15,", "&amp;$A1336&amp;"-"&amp;TEXT(($D1336-$C1336+1)+14,"00"),"")&amp;IF($C1336&gt;=16,", "&amp;$A1336&amp;"-"&amp;TEXT(($D1336-$C1336+1)+15,"00"),"")&amp;IF($C1336&gt;=17,", "&amp;$A1336&amp;"-"&amp;TEXT(($D1336-$C1336+1)+16,"00"),"")&amp;IF($C1336&gt;=18,", "&amp;$A1336&amp;"-"&amp;TEXT(($D1336-$C1336+1)+17,"00"),"")&amp;IF($C1336&gt;=19,", "&amp;$A1336&amp;"-"&amp;TEXT(($D1336-$C1336+1)+18,"00"),"")&amp;IF($C1336&gt;=20,", "&amp;$A1336&amp;"-"&amp;TEXT(($D1336-$C1336+1)+19,"00"),"")&amp;IF($C1336&gt;=21,", "&amp;$A1336&amp;"-"&amp;TEXT(($D1336-$C1336+1)+20,"00"),"")&amp;IF($C1336&gt;=22,", "&amp;$A1336&amp;"-"&amp;TEXT(($D1336-$C1336+1)+21,"00"),"")&amp;IF($C1336&gt;=23,", "&amp;$A1336&amp;"-"&amp;TEXT(($D1336-$C1336+1)+22,"00"),"")&amp;IF($C1336&gt;=24,", "&amp;$A1336&amp;"-"&amp;TEXT(($D1336-$C1336+1)+23,"00"),"")&amp;IF($C1336&gt;=25,", "&amp;$A1336&amp;"-"&amp;TEXT(($D1336-$C1336+1)+24,"00"),""))</f>
        <v/>
      </c>
      <c r="G1336">
        <f>IF($A1336="","",IF($E1336=1,$F1336,IF($F1336="",$G1335,IF($G1335="",$F1336,$G1335&amp;", "&amp;$F1336))))</f>
        <v/>
      </c>
      <c r="H1336">
        <f>IF($A1336="","",$A1336&amp;" ("&amp;$C1336&amp;")")</f>
        <v/>
      </c>
      <c r="I1336">
        <f>IF($A1336="","",IF($E1336=1,$H1336,$I1335&amp;", "&amp;$H1336))</f>
        <v/>
      </c>
      <c r="J1336">
        <f>IF($A1336="","",IF($E1336=1,$B1336,""))</f>
        <v/>
      </c>
      <c r="K1336">
        <f>IF($A1336="","",IF(COUNTIF($B$2:$B1336,$B1336)=COUNTIF($B$2:$B$1601,$B1336),$B1336,""))</f>
        <v/>
      </c>
    </row>
    <row r="1337">
      <c r="A1337">
        <f>IF('TMP Paste'!$E1337="","",'TMP Paste'!$E1337)</f>
        <v/>
      </c>
      <c r="B1337">
        <f>IF($A1337="","",COUNTIF('TMP Paste'!$B$2:$B1337,"?*"))</f>
        <v/>
      </c>
      <c r="C1337">
        <f>IF($A1337="","",IFERROR('TMP Paste'!$M1337*1,0))</f>
        <v/>
      </c>
      <c r="D1337">
        <f>IF($A1337="","",SUMIF($B$2:$B1337,$B1337,$C$2:$C1337))</f>
        <v/>
      </c>
      <c r="E1337">
        <f>IF($A1337="",0,IF('TMP Paste'!$B1337="",0,1))</f>
        <v/>
      </c>
      <c r="F1337">
        <f>IF(OR($A1337="",$C1337&lt;1),"",$A1337&amp;"-"&amp;TEXT(($D1337-$C1337+1),"00")&amp;IF($C1337&gt;=2,", "&amp;$A1337&amp;"-"&amp;TEXT(($D1337-$C1337+1)+1,"00"),"")&amp;IF($C1337&gt;=3,", "&amp;$A1337&amp;"-"&amp;TEXT(($D1337-$C1337+1)+2,"00"),"")&amp;IF($C1337&gt;=4,", "&amp;$A1337&amp;"-"&amp;TEXT(($D1337-$C1337+1)+3,"00"),"")&amp;IF($C1337&gt;=5,", "&amp;$A1337&amp;"-"&amp;TEXT(($D1337-$C1337+1)+4,"00"),"")&amp;IF($C1337&gt;=6,", "&amp;$A1337&amp;"-"&amp;TEXT(($D1337-$C1337+1)+5,"00"),"")&amp;IF($C1337&gt;=7,", "&amp;$A1337&amp;"-"&amp;TEXT(($D1337-$C1337+1)+6,"00"),"")&amp;IF($C1337&gt;=8,", "&amp;$A1337&amp;"-"&amp;TEXT(($D1337-$C1337+1)+7,"00"),"")&amp;IF($C1337&gt;=9,", "&amp;$A1337&amp;"-"&amp;TEXT(($D1337-$C1337+1)+8,"00"),"")&amp;IF($C1337&gt;=10,", "&amp;$A1337&amp;"-"&amp;TEXT(($D1337-$C1337+1)+9,"00"),"")&amp;IF($C1337&gt;=11,", "&amp;$A1337&amp;"-"&amp;TEXT(($D1337-$C1337+1)+10,"00"),"")&amp;IF($C1337&gt;=12,", "&amp;$A1337&amp;"-"&amp;TEXT(($D1337-$C1337+1)+11,"00"),"")&amp;IF($C1337&gt;=13,", "&amp;$A1337&amp;"-"&amp;TEXT(($D1337-$C1337+1)+12,"00"),"")&amp;IF($C1337&gt;=14,", "&amp;$A1337&amp;"-"&amp;TEXT(($D1337-$C1337+1)+13,"00"),"")&amp;IF($C1337&gt;=15,", "&amp;$A1337&amp;"-"&amp;TEXT(($D1337-$C1337+1)+14,"00"),"")&amp;IF($C1337&gt;=16,", "&amp;$A1337&amp;"-"&amp;TEXT(($D1337-$C1337+1)+15,"00"),"")&amp;IF($C1337&gt;=17,", "&amp;$A1337&amp;"-"&amp;TEXT(($D1337-$C1337+1)+16,"00"),"")&amp;IF($C1337&gt;=18,", "&amp;$A1337&amp;"-"&amp;TEXT(($D1337-$C1337+1)+17,"00"),"")&amp;IF($C1337&gt;=19,", "&amp;$A1337&amp;"-"&amp;TEXT(($D1337-$C1337+1)+18,"00"),"")&amp;IF($C1337&gt;=20,", "&amp;$A1337&amp;"-"&amp;TEXT(($D1337-$C1337+1)+19,"00"),"")&amp;IF($C1337&gt;=21,", "&amp;$A1337&amp;"-"&amp;TEXT(($D1337-$C1337+1)+20,"00"),"")&amp;IF($C1337&gt;=22,", "&amp;$A1337&amp;"-"&amp;TEXT(($D1337-$C1337+1)+21,"00"),"")&amp;IF($C1337&gt;=23,", "&amp;$A1337&amp;"-"&amp;TEXT(($D1337-$C1337+1)+22,"00"),"")&amp;IF($C1337&gt;=24,", "&amp;$A1337&amp;"-"&amp;TEXT(($D1337-$C1337+1)+23,"00"),"")&amp;IF($C1337&gt;=25,", "&amp;$A1337&amp;"-"&amp;TEXT(($D1337-$C1337+1)+24,"00"),""))</f>
        <v/>
      </c>
      <c r="G1337">
        <f>IF($A1337="","",IF($E1337=1,$F1337,IF($F1337="",$G1336,IF($G1336="",$F1337,$G1336&amp;", "&amp;$F1337))))</f>
        <v/>
      </c>
      <c r="H1337">
        <f>IF($A1337="","",$A1337&amp;" ("&amp;$C1337&amp;")")</f>
        <v/>
      </c>
      <c r="I1337">
        <f>IF($A1337="","",IF($E1337=1,$H1337,$I1336&amp;", "&amp;$H1337))</f>
        <v/>
      </c>
      <c r="J1337">
        <f>IF($A1337="","",IF($E1337=1,$B1337,""))</f>
        <v/>
      </c>
      <c r="K1337">
        <f>IF($A1337="","",IF(COUNTIF($B$2:$B1337,$B1337)=COUNTIF($B$2:$B$1601,$B1337),$B1337,""))</f>
        <v/>
      </c>
    </row>
    <row r="1338">
      <c r="A1338">
        <f>IF('TMP Paste'!$E1338="","",'TMP Paste'!$E1338)</f>
        <v/>
      </c>
      <c r="B1338">
        <f>IF($A1338="","",COUNTIF('TMP Paste'!$B$2:$B1338,"?*"))</f>
        <v/>
      </c>
      <c r="C1338">
        <f>IF($A1338="","",IFERROR('TMP Paste'!$M1338*1,0))</f>
        <v/>
      </c>
      <c r="D1338">
        <f>IF($A1338="","",SUMIF($B$2:$B1338,$B1338,$C$2:$C1338))</f>
        <v/>
      </c>
      <c r="E1338">
        <f>IF($A1338="",0,IF('TMP Paste'!$B1338="",0,1))</f>
        <v/>
      </c>
      <c r="F1338">
        <f>IF(OR($A1338="",$C1338&lt;1),"",$A1338&amp;"-"&amp;TEXT(($D1338-$C1338+1),"00")&amp;IF($C1338&gt;=2,", "&amp;$A1338&amp;"-"&amp;TEXT(($D1338-$C1338+1)+1,"00"),"")&amp;IF($C1338&gt;=3,", "&amp;$A1338&amp;"-"&amp;TEXT(($D1338-$C1338+1)+2,"00"),"")&amp;IF($C1338&gt;=4,", "&amp;$A1338&amp;"-"&amp;TEXT(($D1338-$C1338+1)+3,"00"),"")&amp;IF($C1338&gt;=5,", "&amp;$A1338&amp;"-"&amp;TEXT(($D1338-$C1338+1)+4,"00"),"")&amp;IF($C1338&gt;=6,", "&amp;$A1338&amp;"-"&amp;TEXT(($D1338-$C1338+1)+5,"00"),"")&amp;IF($C1338&gt;=7,", "&amp;$A1338&amp;"-"&amp;TEXT(($D1338-$C1338+1)+6,"00"),"")&amp;IF($C1338&gt;=8,", "&amp;$A1338&amp;"-"&amp;TEXT(($D1338-$C1338+1)+7,"00"),"")&amp;IF($C1338&gt;=9,", "&amp;$A1338&amp;"-"&amp;TEXT(($D1338-$C1338+1)+8,"00"),"")&amp;IF($C1338&gt;=10,", "&amp;$A1338&amp;"-"&amp;TEXT(($D1338-$C1338+1)+9,"00"),"")&amp;IF($C1338&gt;=11,", "&amp;$A1338&amp;"-"&amp;TEXT(($D1338-$C1338+1)+10,"00"),"")&amp;IF($C1338&gt;=12,", "&amp;$A1338&amp;"-"&amp;TEXT(($D1338-$C1338+1)+11,"00"),"")&amp;IF($C1338&gt;=13,", "&amp;$A1338&amp;"-"&amp;TEXT(($D1338-$C1338+1)+12,"00"),"")&amp;IF($C1338&gt;=14,", "&amp;$A1338&amp;"-"&amp;TEXT(($D1338-$C1338+1)+13,"00"),"")&amp;IF($C1338&gt;=15,", "&amp;$A1338&amp;"-"&amp;TEXT(($D1338-$C1338+1)+14,"00"),"")&amp;IF($C1338&gt;=16,", "&amp;$A1338&amp;"-"&amp;TEXT(($D1338-$C1338+1)+15,"00"),"")&amp;IF($C1338&gt;=17,", "&amp;$A1338&amp;"-"&amp;TEXT(($D1338-$C1338+1)+16,"00"),"")&amp;IF($C1338&gt;=18,", "&amp;$A1338&amp;"-"&amp;TEXT(($D1338-$C1338+1)+17,"00"),"")&amp;IF($C1338&gt;=19,", "&amp;$A1338&amp;"-"&amp;TEXT(($D1338-$C1338+1)+18,"00"),"")&amp;IF($C1338&gt;=20,", "&amp;$A1338&amp;"-"&amp;TEXT(($D1338-$C1338+1)+19,"00"),"")&amp;IF($C1338&gt;=21,", "&amp;$A1338&amp;"-"&amp;TEXT(($D1338-$C1338+1)+20,"00"),"")&amp;IF($C1338&gt;=22,", "&amp;$A1338&amp;"-"&amp;TEXT(($D1338-$C1338+1)+21,"00"),"")&amp;IF($C1338&gt;=23,", "&amp;$A1338&amp;"-"&amp;TEXT(($D1338-$C1338+1)+22,"00"),"")&amp;IF($C1338&gt;=24,", "&amp;$A1338&amp;"-"&amp;TEXT(($D1338-$C1338+1)+23,"00"),"")&amp;IF($C1338&gt;=25,", "&amp;$A1338&amp;"-"&amp;TEXT(($D1338-$C1338+1)+24,"00"),""))</f>
        <v/>
      </c>
      <c r="G1338">
        <f>IF($A1338="","",IF($E1338=1,$F1338,IF($F1338="",$G1337,IF($G1337="",$F1338,$G1337&amp;", "&amp;$F1338))))</f>
        <v/>
      </c>
      <c r="H1338">
        <f>IF($A1338="","",$A1338&amp;" ("&amp;$C1338&amp;")")</f>
        <v/>
      </c>
      <c r="I1338">
        <f>IF($A1338="","",IF($E1338=1,$H1338,$I1337&amp;", "&amp;$H1338))</f>
        <v/>
      </c>
      <c r="J1338">
        <f>IF($A1338="","",IF($E1338=1,$B1338,""))</f>
        <v/>
      </c>
      <c r="K1338">
        <f>IF($A1338="","",IF(COUNTIF($B$2:$B1338,$B1338)=COUNTIF($B$2:$B$1601,$B1338),$B1338,""))</f>
        <v/>
      </c>
    </row>
    <row r="1339">
      <c r="A1339">
        <f>IF('TMP Paste'!$E1339="","",'TMP Paste'!$E1339)</f>
        <v/>
      </c>
      <c r="B1339">
        <f>IF($A1339="","",COUNTIF('TMP Paste'!$B$2:$B1339,"?*"))</f>
        <v/>
      </c>
      <c r="C1339">
        <f>IF($A1339="","",IFERROR('TMP Paste'!$M1339*1,0))</f>
        <v/>
      </c>
      <c r="D1339">
        <f>IF($A1339="","",SUMIF($B$2:$B1339,$B1339,$C$2:$C1339))</f>
        <v/>
      </c>
      <c r="E1339">
        <f>IF($A1339="",0,IF('TMP Paste'!$B1339="",0,1))</f>
        <v/>
      </c>
      <c r="F1339">
        <f>IF(OR($A1339="",$C1339&lt;1),"",$A1339&amp;"-"&amp;TEXT(($D1339-$C1339+1),"00")&amp;IF($C1339&gt;=2,", "&amp;$A1339&amp;"-"&amp;TEXT(($D1339-$C1339+1)+1,"00"),"")&amp;IF($C1339&gt;=3,", "&amp;$A1339&amp;"-"&amp;TEXT(($D1339-$C1339+1)+2,"00"),"")&amp;IF($C1339&gt;=4,", "&amp;$A1339&amp;"-"&amp;TEXT(($D1339-$C1339+1)+3,"00"),"")&amp;IF($C1339&gt;=5,", "&amp;$A1339&amp;"-"&amp;TEXT(($D1339-$C1339+1)+4,"00"),"")&amp;IF($C1339&gt;=6,", "&amp;$A1339&amp;"-"&amp;TEXT(($D1339-$C1339+1)+5,"00"),"")&amp;IF($C1339&gt;=7,", "&amp;$A1339&amp;"-"&amp;TEXT(($D1339-$C1339+1)+6,"00"),"")&amp;IF($C1339&gt;=8,", "&amp;$A1339&amp;"-"&amp;TEXT(($D1339-$C1339+1)+7,"00"),"")&amp;IF($C1339&gt;=9,", "&amp;$A1339&amp;"-"&amp;TEXT(($D1339-$C1339+1)+8,"00"),"")&amp;IF($C1339&gt;=10,", "&amp;$A1339&amp;"-"&amp;TEXT(($D1339-$C1339+1)+9,"00"),"")&amp;IF($C1339&gt;=11,", "&amp;$A1339&amp;"-"&amp;TEXT(($D1339-$C1339+1)+10,"00"),"")&amp;IF($C1339&gt;=12,", "&amp;$A1339&amp;"-"&amp;TEXT(($D1339-$C1339+1)+11,"00"),"")&amp;IF($C1339&gt;=13,", "&amp;$A1339&amp;"-"&amp;TEXT(($D1339-$C1339+1)+12,"00"),"")&amp;IF($C1339&gt;=14,", "&amp;$A1339&amp;"-"&amp;TEXT(($D1339-$C1339+1)+13,"00"),"")&amp;IF($C1339&gt;=15,", "&amp;$A1339&amp;"-"&amp;TEXT(($D1339-$C1339+1)+14,"00"),"")&amp;IF($C1339&gt;=16,", "&amp;$A1339&amp;"-"&amp;TEXT(($D1339-$C1339+1)+15,"00"),"")&amp;IF($C1339&gt;=17,", "&amp;$A1339&amp;"-"&amp;TEXT(($D1339-$C1339+1)+16,"00"),"")&amp;IF($C1339&gt;=18,", "&amp;$A1339&amp;"-"&amp;TEXT(($D1339-$C1339+1)+17,"00"),"")&amp;IF($C1339&gt;=19,", "&amp;$A1339&amp;"-"&amp;TEXT(($D1339-$C1339+1)+18,"00"),"")&amp;IF($C1339&gt;=20,", "&amp;$A1339&amp;"-"&amp;TEXT(($D1339-$C1339+1)+19,"00"),"")&amp;IF($C1339&gt;=21,", "&amp;$A1339&amp;"-"&amp;TEXT(($D1339-$C1339+1)+20,"00"),"")&amp;IF($C1339&gt;=22,", "&amp;$A1339&amp;"-"&amp;TEXT(($D1339-$C1339+1)+21,"00"),"")&amp;IF($C1339&gt;=23,", "&amp;$A1339&amp;"-"&amp;TEXT(($D1339-$C1339+1)+22,"00"),"")&amp;IF($C1339&gt;=24,", "&amp;$A1339&amp;"-"&amp;TEXT(($D1339-$C1339+1)+23,"00"),"")&amp;IF($C1339&gt;=25,", "&amp;$A1339&amp;"-"&amp;TEXT(($D1339-$C1339+1)+24,"00"),""))</f>
        <v/>
      </c>
      <c r="G1339">
        <f>IF($A1339="","",IF($E1339=1,$F1339,IF($F1339="",$G1338,IF($G1338="",$F1339,$G1338&amp;", "&amp;$F1339))))</f>
        <v/>
      </c>
      <c r="H1339">
        <f>IF($A1339="","",$A1339&amp;" ("&amp;$C1339&amp;")")</f>
        <v/>
      </c>
      <c r="I1339">
        <f>IF($A1339="","",IF($E1339=1,$H1339,$I1338&amp;", "&amp;$H1339))</f>
        <v/>
      </c>
      <c r="J1339">
        <f>IF($A1339="","",IF($E1339=1,$B1339,""))</f>
        <v/>
      </c>
      <c r="K1339">
        <f>IF($A1339="","",IF(COUNTIF($B$2:$B1339,$B1339)=COUNTIF($B$2:$B$1601,$B1339),$B1339,""))</f>
        <v/>
      </c>
    </row>
    <row r="1340">
      <c r="A1340">
        <f>IF('TMP Paste'!$E1340="","",'TMP Paste'!$E1340)</f>
        <v/>
      </c>
      <c r="B1340">
        <f>IF($A1340="","",COUNTIF('TMP Paste'!$B$2:$B1340,"?*"))</f>
        <v/>
      </c>
      <c r="C1340">
        <f>IF($A1340="","",IFERROR('TMP Paste'!$M1340*1,0))</f>
        <v/>
      </c>
      <c r="D1340">
        <f>IF($A1340="","",SUMIF($B$2:$B1340,$B1340,$C$2:$C1340))</f>
        <v/>
      </c>
      <c r="E1340">
        <f>IF($A1340="",0,IF('TMP Paste'!$B1340="",0,1))</f>
        <v/>
      </c>
      <c r="F1340">
        <f>IF(OR($A1340="",$C1340&lt;1),"",$A1340&amp;"-"&amp;TEXT(($D1340-$C1340+1),"00")&amp;IF($C1340&gt;=2,", "&amp;$A1340&amp;"-"&amp;TEXT(($D1340-$C1340+1)+1,"00"),"")&amp;IF($C1340&gt;=3,", "&amp;$A1340&amp;"-"&amp;TEXT(($D1340-$C1340+1)+2,"00"),"")&amp;IF($C1340&gt;=4,", "&amp;$A1340&amp;"-"&amp;TEXT(($D1340-$C1340+1)+3,"00"),"")&amp;IF($C1340&gt;=5,", "&amp;$A1340&amp;"-"&amp;TEXT(($D1340-$C1340+1)+4,"00"),"")&amp;IF($C1340&gt;=6,", "&amp;$A1340&amp;"-"&amp;TEXT(($D1340-$C1340+1)+5,"00"),"")&amp;IF($C1340&gt;=7,", "&amp;$A1340&amp;"-"&amp;TEXT(($D1340-$C1340+1)+6,"00"),"")&amp;IF($C1340&gt;=8,", "&amp;$A1340&amp;"-"&amp;TEXT(($D1340-$C1340+1)+7,"00"),"")&amp;IF($C1340&gt;=9,", "&amp;$A1340&amp;"-"&amp;TEXT(($D1340-$C1340+1)+8,"00"),"")&amp;IF($C1340&gt;=10,", "&amp;$A1340&amp;"-"&amp;TEXT(($D1340-$C1340+1)+9,"00"),"")&amp;IF($C1340&gt;=11,", "&amp;$A1340&amp;"-"&amp;TEXT(($D1340-$C1340+1)+10,"00"),"")&amp;IF($C1340&gt;=12,", "&amp;$A1340&amp;"-"&amp;TEXT(($D1340-$C1340+1)+11,"00"),"")&amp;IF($C1340&gt;=13,", "&amp;$A1340&amp;"-"&amp;TEXT(($D1340-$C1340+1)+12,"00"),"")&amp;IF($C1340&gt;=14,", "&amp;$A1340&amp;"-"&amp;TEXT(($D1340-$C1340+1)+13,"00"),"")&amp;IF($C1340&gt;=15,", "&amp;$A1340&amp;"-"&amp;TEXT(($D1340-$C1340+1)+14,"00"),"")&amp;IF($C1340&gt;=16,", "&amp;$A1340&amp;"-"&amp;TEXT(($D1340-$C1340+1)+15,"00"),"")&amp;IF($C1340&gt;=17,", "&amp;$A1340&amp;"-"&amp;TEXT(($D1340-$C1340+1)+16,"00"),"")&amp;IF($C1340&gt;=18,", "&amp;$A1340&amp;"-"&amp;TEXT(($D1340-$C1340+1)+17,"00"),"")&amp;IF($C1340&gt;=19,", "&amp;$A1340&amp;"-"&amp;TEXT(($D1340-$C1340+1)+18,"00"),"")&amp;IF($C1340&gt;=20,", "&amp;$A1340&amp;"-"&amp;TEXT(($D1340-$C1340+1)+19,"00"),"")&amp;IF($C1340&gt;=21,", "&amp;$A1340&amp;"-"&amp;TEXT(($D1340-$C1340+1)+20,"00"),"")&amp;IF($C1340&gt;=22,", "&amp;$A1340&amp;"-"&amp;TEXT(($D1340-$C1340+1)+21,"00"),"")&amp;IF($C1340&gt;=23,", "&amp;$A1340&amp;"-"&amp;TEXT(($D1340-$C1340+1)+22,"00"),"")&amp;IF($C1340&gt;=24,", "&amp;$A1340&amp;"-"&amp;TEXT(($D1340-$C1340+1)+23,"00"),"")&amp;IF($C1340&gt;=25,", "&amp;$A1340&amp;"-"&amp;TEXT(($D1340-$C1340+1)+24,"00"),""))</f>
        <v/>
      </c>
      <c r="G1340">
        <f>IF($A1340="","",IF($E1340=1,$F1340,IF($F1340="",$G1339,IF($G1339="",$F1340,$G1339&amp;", "&amp;$F1340))))</f>
        <v/>
      </c>
      <c r="H1340">
        <f>IF($A1340="","",$A1340&amp;" ("&amp;$C1340&amp;")")</f>
        <v/>
      </c>
      <c r="I1340">
        <f>IF($A1340="","",IF($E1340=1,$H1340,$I1339&amp;", "&amp;$H1340))</f>
        <v/>
      </c>
      <c r="J1340">
        <f>IF($A1340="","",IF($E1340=1,$B1340,""))</f>
        <v/>
      </c>
      <c r="K1340">
        <f>IF($A1340="","",IF(COUNTIF($B$2:$B1340,$B1340)=COUNTIF($B$2:$B$1601,$B1340),$B1340,""))</f>
        <v/>
      </c>
    </row>
    <row r="1341">
      <c r="A1341">
        <f>IF('TMP Paste'!$E1341="","",'TMP Paste'!$E1341)</f>
        <v/>
      </c>
      <c r="B1341">
        <f>IF($A1341="","",COUNTIF('TMP Paste'!$B$2:$B1341,"?*"))</f>
        <v/>
      </c>
      <c r="C1341">
        <f>IF($A1341="","",IFERROR('TMP Paste'!$M1341*1,0))</f>
        <v/>
      </c>
      <c r="D1341">
        <f>IF($A1341="","",SUMIF($B$2:$B1341,$B1341,$C$2:$C1341))</f>
        <v/>
      </c>
      <c r="E1341">
        <f>IF($A1341="",0,IF('TMP Paste'!$B1341="",0,1))</f>
        <v/>
      </c>
      <c r="F1341">
        <f>IF(OR($A1341="",$C1341&lt;1),"",$A1341&amp;"-"&amp;TEXT(($D1341-$C1341+1),"00")&amp;IF($C1341&gt;=2,", "&amp;$A1341&amp;"-"&amp;TEXT(($D1341-$C1341+1)+1,"00"),"")&amp;IF($C1341&gt;=3,", "&amp;$A1341&amp;"-"&amp;TEXT(($D1341-$C1341+1)+2,"00"),"")&amp;IF($C1341&gt;=4,", "&amp;$A1341&amp;"-"&amp;TEXT(($D1341-$C1341+1)+3,"00"),"")&amp;IF($C1341&gt;=5,", "&amp;$A1341&amp;"-"&amp;TEXT(($D1341-$C1341+1)+4,"00"),"")&amp;IF($C1341&gt;=6,", "&amp;$A1341&amp;"-"&amp;TEXT(($D1341-$C1341+1)+5,"00"),"")&amp;IF($C1341&gt;=7,", "&amp;$A1341&amp;"-"&amp;TEXT(($D1341-$C1341+1)+6,"00"),"")&amp;IF($C1341&gt;=8,", "&amp;$A1341&amp;"-"&amp;TEXT(($D1341-$C1341+1)+7,"00"),"")&amp;IF($C1341&gt;=9,", "&amp;$A1341&amp;"-"&amp;TEXT(($D1341-$C1341+1)+8,"00"),"")&amp;IF($C1341&gt;=10,", "&amp;$A1341&amp;"-"&amp;TEXT(($D1341-$C1341+1)+9,"00"),"")&amp;IF($C1341&gt;=11,", "&amp;$A1341&amp;"-"&amp;TEXT(($D1341-$C1341+1)+10,"00"),"")&amp;IF($C1341&gt;=12,", "&amp;$A1341&amp;"-"&amp;TEXT(($D1341-$C1341+1)+11,"00"),"")&amp;IF($C1341&gt;=13,", "&amp;$A1341&amp;"-"&amp;TEXT(($D1341-$C1341+1)+12,"00"),"")&amp;IF($C1341&gt;=14,", "&amp;$A1341&amp;"-"&amp;TEXT(($D1341-$C1341+1)+13,"00"),"")&amp;IF($C1341&gt;=15,", "&amp;$A1341&amp;"-"&amp;TEXT(($D1341-$C1341+1)+14,"00"),"")&amp;IF($C1341&gt;=16,", "&amp;$A1341&amp;"-"&amp;TEXT(($D1341-$C1341+1)+15,"00"),"")&amp;IF($C1341&gt;=17,", "&amp;$A1341&amp;"-"&amp;TEXT(($D1341-$C1341+1)+16,"00"),"")&amp;IF($C1341&gt;=18,", "&amp;$A1341&amp;"-"&amp;TEXT(($D1341-$C1341+1)+17,"00"),"")&amp;IF($C1341&gt;=19,", "&amp;$A1341&amp;"-"&amp;TEXT(($D1341-$C1341+1)+18,"00"),"")&amp;IF($C1341&gt;=20,", "&amp;$A1341&amp;"-"&amp;TEXT(($D1341-$C1341+1)+19,"00"),"")&amp;IF($C1341&gt;=21,", "&amp;$A1341&amp;"-"&amp;TEXT(($D1341-$C1341+1)+20,"00"),"")&amp;IF($C1341&gt;=22,", "&amp;$A1341&amp;"-"&amp;TEXT(($D1341-$C1341+1)+21,"00"),"")&amp;IF($C1341&gt;=23,", "&amp;$A1341&amp;"-"&amp;TEXT(($D1341-$C1341+1)+22,"00"),"")&amp;IF($C1341&gt;=24,", "&amp;$A1341&amp;"-"&amp;TEXT(($D1341-$C1341+1)+23,"00"),"")&amp;IF($C1341&gt;=25,", "&amp;$A1341&amp;"-"&amp;TEXT(($D1341-$C1341+1)+24,"00"),""))</f>
        <v/>
      </c>
      <c r="G1341">
        <f>IF($A1341="","",IF($E1341=1,$F1341,IF($F1341="",$G1340,IF($G1340="",$F1341,$G1340&amp;", "&amp;$F1341))))</f>
        <v/>
      </c>
      <c r="H1341">
        <f>IF($A1341="","",$A1341&amp;" ("&amp;$C1341&amp;")")</f>
        <v/>
      </c>
      <c r="I1341">
        <f>IF($A1341="","",IF($E1341=1,$H1341,$I1340&amp;", "&amp;$H1341))</f>
        <v/>
      </c>
      <c r="J1341">
        <f>IF($A1341="","",IF($E1341=1,$B1341,""))</f>
        <v/>
      </c>
      <c r="K1341">
        <f>IF($A1341="","",IF(COUNTIF($B$2:$B1341,$B1341)=COUNTIF($B$2:$B$1601,$B1341),$B1341,""))</f>
        <v/>
      </c>
    </row>
    <row r="1342">
      <c r="A1342">
        <f>IF('TMP Paste'!$E1342="","",'TMP Paste'!$E1342)</f>
        <v/>
      </c>
      <c r="B1342">
        <f>IF($A1342="","",COUNTIF('TMP Paste'!$B$2:$B1342,"?*"))</f>
        <v/>
      </c>
      <c r="C1342">
        <f>IF($A1342="","",IFERROR('TMP Paste'!$M1342*1,0))</f>
        <v/>
      </c>
      <c r="D1342">
        <f>IF($A1342="","",SUMIF($B$2:$B1342,$B1342,$C$2:$C1342))</f>
        <v/>
      </c>
      <c r="E1342">
        <f>IF($A1342="",0,IF('TMP Paste'!$B1342="",0,1))</f>
        <v/>
      </c>
      <c r="F1342">
        <f>IF(OR($A1342="",$C1342&lt;1),"",$A1342&amp;"-"&amp;TEXT(($D1342-$C1342+1),"00")&amp;IF($C1342&gt;=2,", "&amp;$A1342&amp;"-"&amp;TEXT(($D1342-$C1342+1)+1,"00"),"")&amp;IF($C1342&gt;=3,", "&amp;$A1342&amp;"-"&amp;TEXT(($D1342-$C1342+1)+2,"00"),"")&amp;IF($C1342&gt;=4,", "&amp;$A1342&amp;"-"&amp;TEXT(($D1342-$C1342+1)+3,"00"),"")&amp;IF($C1342&gt;=5,", "&amp;$A1342&amp;"-"&amp;TEXT(($D1342-$C1342+1)+4,"00"),"")&amp;IF($C1342&gt;=6,", "&amp;$A1342&amp;"-"&amp;TEXT(($D1342-$C1342+1)+5,"00"),"")&amp;IF($C1342&gt;=7,", "&amp;$A1342&amp;"-"&amp;TEXT(($D1342-$C1342+1)+6,"00"),"")&amp;IF($C1342&gt;=8,", "&amp;$A1342&amp;"-"&amp;TEXT(($D1342-$C1342+1)+7,"00"),"")&amp;IF($C1342&gt;=9,", "&amp;$A1342&amp;"-"&amp;TEXT(($D1342-$C1342+1)+8,"00"),"")&amp;IF($C1342&gt;=10,", "&amp;$A1342&amp;"-"&amp;TEXT(($D1342-$C1342+1)+9,"00"),"")&amp;IF($C1342&gt;=11,", "&amp;$A1342&amp;"-"&amp;TEXT(($D1342-$C1342+1)+10,"00"),"")&amp;IF($C1342&gt;=12,", "&amp;$A1342&amp;"-"&amp;TEXT(($D1342-$C1342+1)+11,"00"),"")&amp;IF($C1342&gt;=13,", "&amp;$A1342&amp;"-"&amp;TEXT(($D1342-$C1342+1)+12,"00"),"")&amp;IF($C1342&gt;=14,", "&amp;$A1342&amp;"-"&amp;TEXT(($D1342-$C1342+1)+13,"00"),"")&amp;IF($C1342&gt;=15,", "&amp;$A1342&amp;"-"&amp;TEXT(($D1342-$C1342+1)+14,"00"),"")&amp;IF($C1342&gt;=16,", "&amp;$A1342&amp;"-"&amp;TEXT(($D1342-$C1342+1)+15,"00"),"")&amp;IF($C1342&gt;=17,", "&amp;$A1342&amp;"-"&amp;TEXT(($D1342-$C1342+1)+16,"00"),"")&amp;IF($C1342&gt;=18,", "&amp;$A1342&amp;"-"&amp;TEXT(($D1342-$C1342+1)+17,"00"),"")&amp;IF($C1342&gt;=19,", "&amp;$A1342&amp;"-"&amp;TEXT(($D1342-$C1342+1)+18,"00"),"")&amp;IF($C1342&gt;=20,", "&amp;$A1342&amp;"-"&amp;TEXT(($D1342-$C1342+1)+19,"00"),"")&amp;IF($C1342&gt;=21,", "&amp;$A1342&amp;"-"&amp;TEXT(($D1342-$C1342+1)+20,"00"),"")&amp;IF($C1342&gt;=22,", "&amp;$A1342&amp;"-"&amp;TEXT(($D1342-$C1342+1)+21,"00"),"")&amp;IF($C1342&gt;=23,", "&amp;$A1342&amp;"-"&amp;TEXT(($D1342-$C1342+1)+22,"00"),"")&amp;IF($C1342&gt;=24,", "&amp;$A1342&amp;"-"&amp;TEXT(($D1342-$C1342+1)+23,"00"),"")&amp;IF($C1342&gt;=25,", "&amp;$A1342&amp;"-"&amp;TEXT(($D1342-$C1342+1)+24,"00"),""))</f>
        <v/>
      </c>
      <c r="G1342">
        <f>IF($A1342="","",IF($E1342=1,$F1342,IF($F1342="",$G1341,IF($G1341="",$F1342,$G1341&amp;", "&amp;$F1342))))</f>
        <v/>
      </c>
      <c r="H1342">
        <f>IF($A1342="","",$A1342&amp;" ("&amp;$C1342&amp;")")</f>
        <v/>
      </c>
      <c r="I1342">
        <f>IF($A1342="","",IF($E1342=1,$H1342,$I1341&amp;", "&amp;$H1342))</f>
        <v/>
      </c>
      <c r="J1342">
        <f>IF($A1342="","",IF($E1342=1,$B1342,""))</f>
        <v/>
      </c>
      <c r="K1342">
        <f>IF($A1342="","",IF(COUNTIF($B$2:$B1342,$B1342)=COUNTIF($B$2:$B$1601,$B1342),$B1342,""))</f>
        <v/>
      </c>
    </row>
    <row r="1343">
      <c r="A1343">
        <f>IF('TMP Paste'!$E1343="","",'TMP Paste'!$E1343)</f>
        <v/>
      </c>
      <c r="B1343">
        <f>IF($A1343="","",COUNTIF('TMP Paste'!$B$2:$B1343,"?*"))</f>
        <v/>
      </c>
      <c r="C1343">
        <f>IF($A1343="","",IFERROR('TMP Paste'!$M1343*1,0))</f>
        <v/>
      </c>
      <c r="D1343">
        <f>IF($A1343="","",SUMIF($B$2:$B1343,$B1343,$C$2:$C1343))</f>
        <v/>
      </c>
      <c r="E1343">
        <f>IF($A1343="",0,IF('TMP Paste'!$B1343="",0,1))</f>
        <v/>
      </c>
      <c r="F1343">
        <f>IF(OR($A1343="",$C1343&lt;1),"",$A1343&amp;"-"&amp;TEXT(($D1343-$C1343+1),"00")&amp;IF($C1343&gt;=2,", "&amp;$A1343&amp;"-"&amp;TEXT(($D1343-$C1343+1)+1,"00"),"")&amp;IF($C1343&gt;=3,", "&amp;$A1343&amp;"-"&amp;TEXT(($D1343-$C1343+1)+2,"00"),"")&amp;IF($C1343&gt;=4,", "&amp;$A1343&amp;"-"&amp;TEXT(($D1343-$C1343+1)+3,"00"),"")&amp;IF($C1343&gt;=5,", "&amp;$A1343&amp;"-"&amp;TEXT(($D1343-$C1343+1)+4,"00"),"")&amp;IF($C1343&gt;=6,", "&amp;$A1343&amp;"-"&amp;TEXT(($D1343-$C1343+1)+5,"00"),"")&amp;IF($C1343&gt;=7,", "&amp;$A1343&amp;"-"&amp;TEXT(($D1343-$C1343+1)+6,"00"),"")&amp;IF($C1343&gt;=8,", "&amp;$A1343&amp;"-"&amp;TEXT(($D1343-$C1343+1)+7,"00"),"")&amp;IF($C1343&gt;=9,", "&amp;$A1343&amp;"-"&amp;TEXT(($D1343-$C1343+1)+8,"00"),"")&amp;IF($C1343&gt;=10,", "&amp;$A1343&amp;"-"&amp;TEXT(($D1343-$C1343+1)+9,"00"),"")&amp;IF($C1343&gt;=11,", "&amp;$A1343&amp;"-"&amp;TEXT(($D1343-$C1343+1)+10,"00"),"")&amp;IF($C1343&gt;=12,", "&amp;$A1343&amp;"-"&amp;TEXT(($D1343-$C1343+1)+11,"00"),"")&amp;IF($C1343&gt;=13,", "&amp;$A1343&amp;"-"&amp;TEXT(($D1343-$C1343+1)+12,"00"),"")&amp;IF($C1343&gt;=14,", "&amp;$A1343&amp;"-"&amp;TEXT(($D1343-$C1343+1)+13,"00"),"")&amp;IF($C1343&gt;=15,", "&amp;$A1343&amp;"-"&amp;TEXT(($D1343-$C1343+1)+14,"00"),"")&amp;IF($C1343&gt;=16,", "&amp;$A1343&amp;"-"&amp;TEXT(($D1343-$C1343+1)+15,"00"),"")&amp;IF($C1343&gt;=17,", "&amp;$A1343&amp;"-"&amp;TEXT(($D1343-$C1343+1)+16,"00"),"")&amp;IF($C1343&gt;=18,", "&amp;$A1343&amp;"-"&amp;TEXT(($D1343-$C1343+1)+17,"00"),"")&amp;IF($C1343&gt;=19,", "&amp;$A1343&amp;"-"&amp;TEXT(($D1343-$C1343+1)+18,"00"),"")&amp;IF($C1343&gt;=20,", "&amp;$A1343&amp;"-"&amp;TEXT(($D1343-$C1343+1)+19,"00"),"")&amp;IF($C1343&gt;=21,", "&amp;$A1343&amp;"-"&amp;TEXT(($D1343-$C1343+1)+20,"00"),"")&amp;IF($C1343&gt;=22,", "&amp;$A1343&amp;"-"&amp;TEXT(($D1343-$C1343+1)+21,"00"),"")&amp;IF($C1343&gt;=23,", "&amp;$A1343&amp;"-"&amp;TEXT(($D1343-$C1343+1)+22,"00"),"")&amp;IF($C1343&gt;=24,", "&amp;$A1343&amp;"-"&amp;TEXT(($D1343-$C1343+1)+23,"00"),"")&amp;IF($C1343&gt;=25,", "&amp;$A1343&amp;"-"&amp;TEXT(($D1343-$C1343+1)+24,"00"),""))</f>
        <v/>
      </c>
      <c r="G1343">
        <f>IF($A1343="","",IF($E1343=1,$F1343,IF($F1343="",$G1342,IF($G1342="",$F1343,$G1342&amp;", "&amp;$F1343))))</f>
        <v/>
      </c>
      <c r="H1343">
        <f>IF($A1343="","",$A1343&amp;" ("&amp;$C1343&amp;")")</f>
        <v/>
      </c>
      <c r="I1343">
        <f>IF($A1343="","",IF($E1343=1,$H1343,$I1342&amp;", "&amp;$H1343))</f>
        <v/>
      </c>
      <c r="J1343">
        <f>IF($A1343="","",IF($E1343=1,$B1343,""))</f>
        <v/>
      </c>
      <c r="K1343">
        <f>IF($A1343="","",IF(COUNTIF($B$2:$B1343,$B1343)=COUNTIF($B$2:$B$1601,$B1343),$B1343,""))</f>
        <v/>
      </c>
    </row>
    <row r="1344">
      <c r="A1344">
        <f>IF('TMP Paste'!$E1344="","",'TMP Paste'!$E1344)</f>
        <v/>
      </c>
      <c r="B1344">
        <f>IF($A1344="","",COUNTIF('TMP Paste'!$B$2:$B1344,"?*"))</f>
        <v/>
      </c>
      <c r="C1344">
        <f>IF($A1344="","",IFERROR('TMP Paste'!$M1344*1,0))</f>
        <v/>
      </c>
      <c r="D1344">
        <f>IF($A1344="","",SUMIF($B$2:$B1344,$B1344,$C$2:$C1344))</f>
        <v/>
      </c>
      <c r="E1344">
        <f>IF($A1344="",0,IF('TMP Paste'!$B1344="",0,1))</f>
        <v/>
      </c>
      <c r="F1344">
        <f>IF(OR($A1344="",$C1344&lt;1),"",$A1344&amp;"-"&amp;TEXT(($D1344-$C1344+1),"00")&amp;IF($C1344&gt;=2,", "&amp;$A1344&amp;"-"&amp;TEXT(($D1344-$C1344+1)+1,"00"),"")&amp;IF($C1344&gt;=3,", "&amp;$A1344&amp;"-"&amp;TEXT(($D1344-$C1344+1)+2,"00"),"")&amp;IF($C1344&gt;=4,", "&amp;$A1344&amp;"-"&amp;TEXT(($D1344-$C1344+1)+3,"00"),"")&amp;IF($C1344&gt;=5,", "&amp;$A1344&amp;"-"&amp;TEXT(($D1344-$C1344+1)+4,"00"),"")&amp;IF($C1344&gt;=6,", "&amp;$A1344&amp;"-"&amp;TEXT(($D1344-$C1344+1)+5,"00"),"")&amp;IF($C1344&gt;=7,", "&amp;$A1344&amp;"-"&amp;TEXT(($D1344-$C1344+1)+6,"00"),"")&amp;IF($C1344&gt;=8,", "&amp;$A1344&amp;"-"&amp;TEXT(($D1344-$C1344+1)+7,"00"),"")&amp;IF($C1344&gt;=9,", "&amp;$A1344&amp;"-"&amp;TEXT(($D1344-$C1344+1)+8,"00"),"")&amp;IF($C1344&gt;=10,", "&amp;$A1344&amp;"-"&amp;TEXT(($D1344-$C1344+1)+9,"00"),"")&amp;IF($C1344&gt;=11,", "&amp;$A1344&amp;"-"&amp;TEXT(($D1344-$C1344+1)+10,"00"),"")&amp;IF($C1344&gt;=12,", "&amp;$A1344&amp;"-"&amp;TEXT(($D1344-$C1344+1)+11,"00"),"")&amp;IF($C1344&gt;=13,", "&amp;$A1344&amp;"-"&amp;TEXT(($D1344-$C1344+1)+12,"00"),"")&amp;IF($C1344&gt;=14,", "&amp;$A1344&amp;"-"&amp;TEXT(($D1344-$C1344+1)+13,"00"),"")&amp;IF($C1344&gt;=15,", "&amp;$A1344&amp;"-"&amp;TEXT(($D1344-$C1344+1)+14,"00"),"")&amp;IF($C1344&gt;=16,", "&amp;$A1344&amp;"-"&amp;TEXT(($D1344-$C1344+1)+15,"00"),"")&amp;IF($C1344&gt;=17,", "&amp;$A1344&amp;"-"&amp;TEXT(($D1344-$C1344+1)+16,"00"),"")&amp;IF($C1344&gt;=18,", "&amp;$A1344&amp;"-"&amp;TEXT(($D1344-$C1344+1)+17,"00"),"")&amp;IF($C1344&gt;=19,", "&amp;$A1344&amp;"-"&amp;TEXT(($D1344-$C1344+1)+18,"00"),"")&amp;IF($C1344&gt;=20,", "&amp;$A1344&amp;"-"&amp;TEXT(($D1344-$C1344+1)+19,"00"),"")&amp;IF($C1344&gt;=21,", "&amp;$A1344&amp;"-"&amp;TEXT(($D1344-$C1344+1)+20,"00"),"")&amp;IF($C1344&gt;=22,", "&amp;$A1344&amp;"-"&amp;TEXT(($D1344-$C1344+1)+21,"00"),"")&amp;IF($C1344&gt;=23,", "&amp;$A1344&amp;"-"&amp;TEXT(($D1344-$C1344+1)+22,"00"),"")&amp;IF($C1344&gt;=24,", "&amp;$A1344&amp;"-"&amp;TEXT(($D1344-$C1344+1)+23,"00"),"")&amp;IF($C1344&gt;=25,", "&amp;$A1344&amp;"-"&amp;TEXT(($D1344-$C1344+1)+24,"00"),""))</f>
        <v/>
      </c>
      <c r="G1344">
        <f>IF($A1344="","",IF($E1344=1,$F1344,IF($F1344="",$G1343,IF($G1343="",$F1344,$G1343&amp;", "&amp;$F1344))))</f>
        <v/>
      </c>
      <c r="H1344">
        <f>IF($A1344="","",$A1344&amp;" ("&amp;$C1344&amp;")")</f>
        <v/>
      </c>
      <c r="I1344">
        <f>IF($A1344="","",IF($E1344=1,$H1344,$I1343&amp;", "&amp;$H1344))</f>
        <v/>
      </c>
      <c r="J1344">
        <f>IF($A1344="","",IF($E1344=1,$B1344,""))</f>
        <v/>
      </c>
      <c r="K1344">
        <f>IF($A1344="","",IF(COUNTIF($B$2:$B1344,$B1344)=COUNTIF($B$2:$B$1601,$B1344),$B1344,""))</f>
        <v/>
      </c>
    </row>
    <row r="1345">
      <c r="A1345">
        <f>IF('TMP Paste'!$E1345="","",'TMP Paste'!$E1345)</f>
        <v/>
      </c>
      <c r="B1345">
        <f>IF($A1345="","",COUNTIF('TMP Paste'!$B$2:$B1345,"?*"))</f>
        <v/>
      </c>
      <c r="C1345">
        <f>IF($A1345="","",IFERROR('TMP Paste'!$M1345*1,0))</f>
        <v/>
      </c>
      <c r="D1345">
        <f>IF($A1345="","",SUMIF($B$2:$B1345,$B1345,$C$2:$C1345))</f>
        <v/>
      </c>
      <c r="E1345">
        <f>IF($A1345="",0,IF('TMP Paste'!$B1345="",0,1))</f>
        <v/>
      </c>
      <c r="F1345">
        <f>IF(OR($A1345="",$C1345&lt;1),"",$A1345&amp;"-"&amp;TEXT(($D1345-$C1345+1),"00")&amp;IF($C1345&gt;=2,", "&amp;$A1345&amp;"-"&amp;TEXT(($D1345-$C1345+1)+1,"00"),"")&amp;IF($C1345&gt;=3,", "&amp;$A1345&amp;"-"&amp;TEXT(($D1345-$C1345+1)+2,"00"),"")&amp;IF($C1345&gt;=4,", "&amp;$A1345&amp;"-"&amp;TEXT(($D1345-$C1345+1)+3,"00"),"")&amp;IF($C1345&gt;=5,", "&amp;$A1345&amp;"-"&amp;TEXT(($D1345-$C1345+1)+4,"00"),"")&amp;IF($C1345&gt;=6,", "&amp;$A1345&amp;"-"&amp;TEXT(($D1345-$C1345+1)+5,"00"),"")&amp;IF($C1345&gt;=7,", "&amp;$A1345&amp;"-"&amp;TEXT(($D1345-$C1345+1)+6,"00"),"")&amp;IF($C1345&gt;=8,", "&amp;$A1345&amp;"-"&amp;TEXT(($D1345-$C1345+1)+7,"00"),"")&amp;IF($C1345&gt;=9,", "&amp;$A1345&amp;"-"&amp;TEXT(($D1345-$C1345+1)+8,"00"),"")&amp;IF($C1345&gt;=10,", "&amp;$A1345&amp;"-"&amp;TEXT(($D1345-$C1345+1)+9,"00"),"")&amp;IF($C1345&gt;=11,", "&amp;$A1345&amp;"-"&amp;TEXT(($D1345-$C1345+1)+10,"00"),"")&amp;IF($C1345&gt;=12,", "&amp;$A1345&amp;"-"&amp;TEXT(($D1345-$C1345+1)+11,"00"),"")&amp;IF($C1345&gt;=13,", "&amp;$A1345&amp;"-"&amp;TEXT(($D1345-$C1345+1)+12,"00"),"")&amp;IF($C1345&gt;=14,", "&amp;$A1345&amp;"-"&amp;TEXT(($D1345-$C1345+1)+13,"00"),"")&amp;IF($C1345&gt;=15,", "&amp;$A1345&amp;"-"&amp;TEXT(($D1345-$C1345+1)+14,"00"),"")&amp;IF($C1345&gt;=16,", "&amp;$A1345&amp;"-"&amp;TEXT(($D1345-$C1345+1)+15,"00"),"")&amp;IF($C1345&gt;=17,", "&amp;$A1345&amp;"-"&amp;TEXT(($D1345-$C1345+1)+16,"00"),"")&amp;IF($C1345&gt;=18,", "&amp;$A1345&amp;"-"&amp;TEXT(($D1345-$C1345+1)+17,"00"),"")&amp;IF($C1345&gt;=19,", "&amp;$A1345&amp;"-"&amp;TEXT(($D1345-$C1345+1)+18,"00"),"")&amp;IF($C1345&gt;=20,", "&amp;$A1345&amp;"-"&amp;TEXT(($D1345-$C1345+1)+19,"00"),"")&amp;IF($C1345&gt;=21,", "&amp;$A1345&amp;"-"&amp;TEXT(($D1345-$C1345+1)+20,"00"),"")&amp;IF($C1345&gt;=22,", "&amp;$A1345&amp;"-"&amp;TEXT(($D1345-$C1345+1)+21,"00"),"")&amp;IF($C1345&gt;=23,", "&amp;$A1345&amp;"-"&amp;TEXT(($D1345-$C1345+1)+22,"00"),"")&amp;IF($C1345&gt;=24,", "&amp;$A1345&amp;"-"&amp;TEXT(($D1345-$C1345+1)+23,"00"),"")&amp;IF($C1345&gt;=25,", "&amp;$A1345&amp;"-"&amp;TEXT(($D1345-$C1345+1)+24,"00"),""))</f>
        <v/>
      </c>
      <c r="G1345">
        <f>IF($A1345="","",IF($E1345=1,$F1345,IF($F1345="",$G1344,IF($G1344="",$F1345,$G1344&amp;", "&amp;$F1345))))</f>
        <v/>
      </c>
      <c r="H1345">
        <f>IF($A1345="","",$A1345&amp;" ("&amp;$C1345&amp;")")</f>
        <v/>
      </c>
      <c r="I1345">
        <f>IF($A1345="","",IF($E1345=1,$H1345,$I1344&amp;", "&amp;$H1345))</f>
        <v/>
      </c>
      <c r="J1345">
        <f>IF($A1345="","",IF($E1345=1,$B1345,""))</f>
        <v/>
      </c>
      <c r="K1345">
        <f>IF($A1345="","",IF(COUNTIF($B$2:$B1345,$B1345)=COUNTIF($B$2:$B$1601,$B1345),$B1345,""))</f>
        <v/>
      </c>
    </row>
    <row r="1346">
      <c r="A1346">
        <f>IF('TMP Paste'!$E1346="","",'TMP Paste'!$E1346)</f>
        <v/>
      </c>
      <c r="B1346">
        <f>IF($A1346="","",COUNTIF('TMP Paste'!$B$2:$B1346,"?*"))</f>
        <v/>
      </c>
      <c r="C1346">
        <f>IF($A1346="","",IFERROR('TMP Paste'!$M1346*1,0))</f>
        <v/>
      </c>
      <c r="D1346">
        <f>IF($A1346="","",SUMIF($B$2:$B1346,$B1346,$C$2:$C1346))</f>
        <v/>
      </c>
      <c r="E1346">
        <f>IF($A1346="",0,IF('TMP Paste'!$B1346="",0,1))</f>
        <v/>
      </c>
      <c r="F1346">
        <f>IF(OR($A1346="",$C1346&lt;1),"",$A1346&amp;"-"&amp;TEXT(($D1346-$C1346+1),"00")&amp;IF($C1346&gt;=2,", "&amp;$A1346&amp;"-"&amp;TEXT(($D1346-$C1346+1)+1,"00"),"")&amp;IF($C1346&gt;=3,", "&amp;$A1346&amp;"-"&amp;TEXT(($D1346-$C1346+1)+2,"00"),"")&amp;IF($C1346&gt;=4,", "&amp;$A1346&amp;"-"&amp;TEXT(($D1346-$C1346+1)+3,"00"),"")&amp;IF($C1346&gt;=5,", "&amp;$A1346&amp;"-"&amp;TEXT(($D1346-$C1346+1)+4,"00"),"")&amp;IF($C1346&gt;=6,", "&amp;$A1346&amp;"-"&amp;TEXT(($D1346-$C1346+1)+5,"00"),"")&amp;IF($C1346&gt;=7,", "&amp;$A1346&amp;"-"&amp;TEXT(($D1346-$C1346+1)+6,"00"),"")&amp;IF($C1346&gt;=8,", "&amp;$A1346&amp;"-"&amp;TEXT(($D1346-$C1346+1)+7,"00"),"")&amp;IF($C1346&gt;=9,", "&amp;$A1346&amp;"-"&amp;TEXT(($D1346-$C1346+1)+8,"00"),"")&amp;IF($C1346&gt;=10,", "&amp;$A1346&amp;"-"&amp;TEXT(($D1346-$C1346+1)+9,"00"),"")&amp;IF($C1346&gt;=11,", "&amp;$A1346&amp;"-"&amp;TEXT(($D1346-$C1346+1)+10,"00"),"")&amp;IF($C1346&gt;=12,", "&amp;$A1346&amp;"-"&amp;TEXT(($D1346-$C1346+1)+11,"00"),"")&amp;IF($C1346&gt;=13,", "&amp;$A1346&amp;"-"&amp;TEXT(($D1346-$C1346+1)+12,"00"),"")&amp;IF($C1346&gt;=14,", "&amp;$A1346&amp;"-"&amp;TEXT(($D1346-$C1346+1)+13,"00"),"")&amp;IF($C1346&gt;=15,", "&amp;$A1346&amp;"-"&amp;TEXT(($D1346-$C1346+1)+14,"00"),"")&amp;IF($C1346&gt;=16,", "&amp;$A1346&amp;"-"&amp;TEXT(($D1346-$C1346+1)+15,"00"),"")&amp;IF($C1346&gt;=17,", "&amp;$A1346&amp;"-"&amp;TEXT(($D1346-$C1346+1)+16,"00"),"")&amp;IF($C1346&gt;=18,", "&amp;$A1346&amp;"-"&amp;TEXT(($D1346-$C1346+1)+17,"00"),"")&amp;IF($C1346&gt;=19,", "&amp;$A1346&amp;"-"&amp;TEXT(($D1346-$C1346+1)+18,"00"),"")&amp;IF($C1346&gt;=20,", "&amp;$A1346&amp;"-"&amp;TEXT(($D1346-$C1346+1)+19,"00"),"")&amp;IF($C1346&gt;=21,", "&amp;$A1346&amp;"-"&amp;TEXT(($D1346-$C1346+1)+20,"00"),"")&amp;IF($C1346&gt;=22,", "&amp;$A1346&amp;"-"&amp;TEXT(($D1346-$C1346+1)+21,"00"),"")&amp;IF($C1346&gt;=23,", "&amp;$A1346&amp;"-"&amp;TEXT(($D1346-$C1346+1)+22,"00"),"")&amp;IF($C1346&gt;=24,", "&amp;$A1346&amp;"-"&amp;TEXT(($D1346-$C1346+1)+23,"00"),"")&amp;IF($C1346&gt;=25,", "&amp;$A1346&amp;"-"&amp;TEXT(($D1346-$C1346+1)+24,"00"),""))</f>
        <v/>
      </c>
      <c r="G1346">
        <f>IF($A1346="","",IF($E1346=1,$F1346,IF($F1346="",$G1345,IF($G1345="",$F1346,$G1345&amp;", "&amp;$F1346))))</f>
        <v/>
      </c>
      <c r="H1346">
        <f>IF($A1346="","",$A1346&amp;" ("&amp;$C1346&amp;")")</f>
        <v/>
      </c>
      <c r="I1346">
        <f>IF($A1346="","",IF($E1346=1,$H1346,$I1345&amp;", "&amp;$H1346))</f>
        <v/>
      </c>
      <c r="J1346">
        <f>IF($A1346="","",IF($E1346=1,$B1346,""))</f>
        <v/>
      </c>
      <c r="K1346">
        <f>IF($A1346="","",IF(COUNTIF($B$2:$B1346,$B1346)=COUNTIF($B$2:$B$1601,$B1346),$B1346,""))</f>
        <v/>
      </c>
    </row>
    <row r="1347">
      <c r="A1347">
        <f>IF('TMP Paste'!$E1347="","",'TMP Paste'!$E1347)</f>
        <v/>
      </c>
      <c r="B1347">
        <f>IF($A1347="","",COUNTIF('TMP Paste'!$B$2:$B1347,"?*"))</f>
        <v/>
      </c>
      <c r="C1347">
        <f>IF($A1347="","",IFERROR('TMP Paste'!$M1347*1,0))</f>
        <v/>
      </c>
      <c r="D1347">
        <f>IF($A1347="","",SUMIF($B$2:$B1347,$B1347,$C$2:$C1347))</f>
        <v/>
      </c>
      <c r="E1347">
        <f>IF($A1347="",0,IF('TMP Paste'!$B1347="",0,1))</f>
        <v/>
      </c>
      <c r="F1347">
        <f>IF(OR($A1347="",$C1347&lt;1),"",$A1347&amp;"-"&amp;TEXT(($D1347-$C1347+1),"00")&amp;IF($C1347&gt;=2,", "&amp;$A1347&amp;"-"&amp;TEXT(($D1347-$C1347+1)+1,"00"),"")&amp;IF($C1347&gt;=3,", "&amp;$A1347&amp;"-"&amp;TEXT(($D1347-$C1347+1)+2,"00"),"")&amp;IF($C1347&gt;=4,", "&amp;$A1347&amp;"-"&amp;TEXT(($D1347-$C1347+1)+3,"00"),"")&amp;IF($C1347&gt;=5,", "&amp;$A1347&amp;"-"&amp;TEXT(($D1347-$C1347+1)+4,"00"),"")&amp;IF($C1347&gt;=6,", "&amp;$A1347&amp;"-"&amp;TEXT(($D1347-$C1347+1)+5,"00"),"")&amp;IF($C1347&gt;=7,", "&amp;$A1347&amp;"-"&amp;TEXT(($D1347-$C1347+1)+6,"00"),"")&amp;IF($C1347&gt;=8,", "&amp;$A1347&amp;"-"&amp;TEXT(($D1347-$C1347+1)+7,"00"),"")&amp;IF($C1347&gt;=9,", "&amp;$A1347&amp;"-"&amp;TEXT(($D1347-$C1347+1)+8,"00"),"")&amp;IF($C1347&gt;=10,", "&amp;$A1347&amp;"-"&amp;TEXT(($D1347-$C1347+1)+9,"00"),"")&amp;IF($C1347&gt;=11,", "&amp;$A1347&amp;"-"&amp;TEXT(($D1347-$C1347+1)+10,"00"),"")&amp;IF($C1347&gt;=12,", "&amp;$A1347&amp;"-"&amp;TEXT(($D1347-$C1347+1)+11,"00"),"")&amp;IF($C1347&gt;=13,", "&amp;$A1347&amp;"-"&amp;TEXT(($D1347-$C1347+1)+12,"00"),"")&amp;IF($C1347&gt;=14,", "&amp;$A1347&amp;"-"&amp;TEXT(($D1347-$C1347+1)+13,"00"),"")&amp;IF($C1347&gt;=15,", "&amp;$A1347&amp;"-"&amp;TEXT(($D1347-$C1347+1)+14,"00"),"")&amp;IF($C1347&gt;=16,", "&amp;$A1347&amp;"-"&amp;TEXT(($D1347-$C1347+1)+15,"00"),"")&amp;IF($C1347&gt;=17,", "&amp;$A1347&amp;"-"&amp;TEXT(($D1347-$C1347+1)+16,"00"),"")&amp;IF($C1347&gt;=18,", "&amp;$A1347&amp;"-"&amp;TEXT(($D1347-$C1347+1)+17,"00"),"")&amp;IF($C1347&gt;=19,", "&amp;$A1347&amp;"-"&amp;TEXT(($D1347-$C1347+1)+18,"00"),"")&amp;IF($C1347&gt;=20,", "&amp;$A1347&amp;"-"&amp;TEXT(($D1347-$C1347+1)+19,"00"),"")&amp;IF($C1347&gt;=21,", "&amp;$A1347&amp;"-"&amp;TEXT(($D1347-$C1347+1)+20,"00"),"")&amp;IF($C1347&gt;=22,", "&amp;$A1347&amp;"-"&amp;TEXT(($D1347-$C1347+1)+21,"00"),"")&amp;IF($C1347&gt;=23,", "&amp;$A1347&amp;"-"&amp;TEXT(($D1347-$C1347+1)+22,"00"),"")&amp;IF($C1347&gt;=24,", "&amp;$A1347&amp;"-"&amp;TEXT(($D1347-$C1347+1)+23,"00"),"")&amp;IF($C1347&gt;=25,", "&amp;$A1347&amp;"-"&amp;TEXT(($D1347-$C1347+1)+24,"00"),""))</f>
        <v/>
      </c>
      <c r="G1347">
        <f>IF($A1347="","",IF($E1347=1,$F1347,IF($F1347="",$G1346,IF($G1346="",$F1347,$G1346&amp;", "&amp;$F1347))))</f>
        <v/>
      </c>
      <c r="H1347">
        <f>IF($A1347="","",$A1347&amp;" ("&amp;$C1347&amp;")")</f>
        <v/>
      </c>
      <c r="I1347">
        <f>IF($A1347="","",IF($E1347=1,$H1347,$I1346&amp;", "&amp;$H1347))</f>
        <v/>
      </c>
      <c r="J1347">
        <f>IF($A1347="","",IF($E1347=1,$B1347,""))</f>
        <v/>
      </c>
      <c r="K1347">
        <f>IF($A1347="","",IF(COUNTIF($B$2:$B1347,$B1347)=COUNTIF($B$2:$B$1601,$B1347),$B1347,""))</f>
        <v/>
      </c>
    </row>
    <row r="1348">
      <c r="A1348">
        <f>IF('TMP Paste'!$E1348="","",'TMP Paste'!$E1348)</f>
        <v/>
      </c>
      <c r="B1348">
        <f>IF($A1348="","",COUNTIF('TMP Paste'!$B$2:$B1348,"?*"))</f>
        <v/>
      </c>
      <c r="C1348">
        <f>IF($A1348="","",IFERROR('TMP Paste'!$M1348*1,0))</f>
        <v/>
      </c>
      <c r="D1348">
        <f>IF($A1348="","",SUMIF($B$2:$B1348,$B1348,$C$2:$C1348))</f>
        <v/>
      </c>
      <c r="E1348">
        <f>IF($A1348="",0,IF('TMP Paste'!$B1348="",0,1))</f>
        <v/>
      </c>
      <c r="F1348">
        <f>IF(OR($A1348="",$C1348&lt;1),"",$A1348&amp;"-"&amp;TEXT(($D1348-$C1348+1),"00")&amp;IF($C1348&gt;=2,", "&amp;$A1348&amp;"-"&amp;TEXT(($D1348-$C1348+1)+1,"00"),"")&amp;IF($C1348&gt;=3,", "&amp;$A1348&amp;"-"&amp;TEXT(($D1348-$C1348+1)+2,"00"),"")&amp;IF($C1348&gt;=4,", "&amp;$A1348&amp;"-"&amp;TEXT(($D1348-$C1348+1)+3,"00"),"")&amp;IF($C1348&gt;=5,", "&amp;$A1348&amp;"-"&amp;TEXT(($D1348-$C1348+1)+4,"00"),"")&amp;IF($C1348&gt;=6,", "&amp;$A1348&amp;"-"&amp;TEXT(($D1348-$C1348+1)+5,"00"),"")&amp;IF($C1348&gt;=7,", "&amp;$A1348&amp;"-"&amp;TEXT(($D1348-$C1348+1)+6,"00"),"")&amp;IF($C1348&gt;=8,", "&amp;$A1348&amp;"-"&amp;TEXT(($D1348-$C1348+1)+7,"00"),"")&amp;IF($C1348&gt;=9,", "&amp;$A1348&amp;"-"&amp;TEXT(($D1348-$C1348+1)+8,"00"),"")&amp;IF($C1348&gt;=10,", "&amp;$A1348&amp;"-"&amp;TEXT(($D1348-$C1348+1)+9,"00"),"")&amp;IF($C1348&gt;=11,", "&amp;$A1348&amp;"-"&amp;TEXT(($D1348-$C1348+1)+10,"00"),"")&amp;IF($C1348&gt;=12,", "&amp;$A1348&amp;"-"&amp;TEXT(($D1348-$C1348+1)+11,"00"),"")&amp;IF($C1348&gt;=13,", "&amp;$A1348&amp;"-"&amp;TEXT(($D1348-$C1348+1)+12,"00"),"")&amp;IF($C1348&gt;=14,", "&amp;$A1348&amp;"-"&amp;TEXT(($D1348-$C1348+1)+13,"00"),"")&amp;IF($C1348&gt;=15,", "&amp;$A1348&amp;"-"&amp;TEXT(($D1348-$C1348+1)+14,"00"),"")&amp;IF($C1348&gt;=16,", "&amp;$A1348&amp;"-"&amp;TEXT(($D1348-$C1348+1)+15,"00"),"")&amp;IF($C1348&gt;=17,", "&amp;$A1348&amp;"-"&amp;TEXT(($D1348-$C1348+1)+16,"00"),"")&amp;IF($C1348&gt;=18,", "&amp;$A1348&amp;"-"&amp;TEXT(($D1348-$C1348+1)+17,"00"),"")&amp;IF($C1348&gt;=19,", "&amp;$A1348&amp;"-"&amp;TEXT(($D1348-$C1348+1)+18,"00"),"")&amp;IF($C1348&gt;=20,", "&amp;$A1348&amp;"-"&amp;TEXT(($D1348-$C1348+1)+19,"00"),"")&amp;IF($C1348&gt;=21,", "&amp;$A1348&amp;"-"&amp;TEXT(($D1348-$C1348+1)+20,"00"),"")&amp;IF($C1348&gt;=22,", "&amp;$A1348&amp;"-"&amp;TEXT(($D1348-$C1348+1)+21,"00"),"")&amp;IF($C1348&gt;=23,", "&amp;$A1348&amp;"-"&amp;TEXT(($D1348-$C1348+1)+22,"00"),"")&amp;IF($C1348&gt;=24,", "&amp;$A1348&amp;"-"&amp;TEXT(($D1348-$C1348+1)+23,"00"),"")&amp;IF($C1348&gt;=25,", "&amp;$A1348&amp;"-"&amp;TEXT(($D1348-$C1348+1)+24,"00"),""))</f>
        <v/>
      </c>
      <c r="G1348">
        <f>IF($A1348="","",IF($E1348=1,$F1348,IF($F1348="",$G1347,IF($G1347="",$F1348,$G1347&amp;", "&amp;$F1348))))</f>
        <v/>
      </c>
      <c r="H1348">
        <f>IF($A1348="","",$A1348&amp;" ("&amp;$C1348&amp;")")</f>
        <v/>
      </c>
      <c r="I1348">
        <f>IF($A1348="","",IF($E1348=1,$H1348,$I1347&amp;", "&amp;$H1348))</f>
        <v/>
      </c>
      <c r="J1348">
        <f>IF($A1348="","",IF($E1348=1,$B1348,""))</f>
        <v/>
      </c>
      <c r="K1348">
        <f>IF($A1348="","",IF(COUNTIF($B$2:$B1348,$B1348)=COUNTIF($B$2:$B$1601,$B1348),$B1348,""))</f>
        <v/>
      </c>
    </row>
    <row r="1349">
      <c r="A1349">
        <f>IF('TMP Paste'!$E1349="","",'TMP Paste'!$E1349)</f>
        <v/>
      </c>
      <c r="B1349">
        <f>IF($A1349="","",COUNTIF('TMP Paste'!$B$2:$B1349,"?*"))</f>
        <v/>
      </c>
      <c r="C1349">
        <f>IF($A1349="","",IFERROR('TMP Paste'!$M1349*1,0))</f>
        <v/>
      </c>
      <c r="D1349">
        <f>IF($A1349="","",SUMIF($B$2:$B1349,$B1349,$C$2:$C1349))</f>
        <v/>
      </c>
      <c r="E1349">
        <f>IF($A1349="",0,IF('TMP Paste'!$B1349="",0,1))</f>
        <v/>
      </c>
      <c r="F1349">
        <f>IF(OR($A1349="",$C1349&lt;1),"",$A1349&amp;"-"&amp;TEXT(($D1349-$C1349+1),"00")&amp;IF($C1349&gt;=2,", "&amp;$A1349&amp;"-"&amp;TEXT(($D1349-$C1349+1)+1,"00"),"")&amp;IF($C1349&gt;=3,", "&amp;$A1349&amp;"-"&amp;TEXT(($D1349-$C1349+1)+2,"00"),"")&amp;IF($C1349&gt;=4,", "&amp;$A1349&amp;"-"&amp;TEXT(($D1349-$C1349+1)+3,"00"),"")&amp;IF($C1349&gt;=5,", "&amp;$A1349&amp;"-"&amp;TEXT(($D1349-$C1349+1)+4,"00"),"")&amp;IF($C1349&gt;=6,", "&amp;$A1349&amp;"-"&amp;TEXT(($D1349-$C1349+1)+5,"00"),"")&amp;IF($C1349&gt;=7,", "&amp;$A1349&amp;"-"&amp;TEXT(($D1349-$C1349+1)+6,"00"),"")&amp;IF($C1349&gt;=8,", "&amp;$A1349&amp;"-"&amp;TEXT(($D1349-$C1349+1)+7,"00"),"")&amp;IF($C1349&gt;=9,", "&amp;$A1349&amp;"-"&amp;TEXT(($D1349-$C1349+1)+8,"00"),"")&amp;IF($C1349&gt;=10,", "&amp;$A1349&amp;"-"&amp;TEXT(($D1349-$C1349+1)+9,"00"),"")&amp;IF($C1349&gt;=11,", "&amp;$A1349&amp;"-"&amp;TEXT(($D1349-$C1349+1)+10,"00"),"")&amp;IF($C1349&gt;=12,", "&amp;$A1349&amp;"-"&amp;TEXT(($D1349-$C1349+1)+11,"00"),"")&amp;IF($C1349&gt;=13,", "&amp;$A1349&amp;"-"&amp;TEXT(($D1349-$C1349+1)+12,"00"),"")&amp;IF($C1349&gt;=14,", "&amp;$A1349&amp;"-"&amp;TEXT(($D1349-$C1349+1)+13,"00"),"")&amp;IF($C1349&gt;=15,", "&amp;$A1349&amp;"-"&amp;TEXT(($D1349-$C1349+1)+14,"00"),"")&amp;IF($C1349&gt;=16,", "&amp;$A1349&amp;"-"&amp;TEXT(($D1349-$C1349+1)+15,"00"),"")&amp;IF($C1349&gt;=17,", "&amp;$A1349&amp;"-"&amp;TEXT(($D1349-$C1349+1)+16,"00"),"")&amp;IF($C1349&gt;=18,", "&amp;$A1349&amp;"-"&amp;TEXT(($D1349-$C1349+1)+17,"00"),"")&amp;IF($C1349&gt;=19,", "&amp;$A1349&amp;"-"&amp;TEXT(($D1349-$C1349+1)+18,"00"),"")&amp;IF($C1349&gt;=20,", "&amp;$A1349&amp;"-"&amp;TEXT(($D1349-$C1349+1)+19,"00"),"")&amp;IF($C1349&gt;=21,", "&amp;$A1349&amp;"-"&amp;TEXT(($D1349-$C1349+1)+20,"00"),"")&amp;IF($C1349&gt;=22,", "&amp;$A1349&amp;"-"&amp;TEXT(($D1349-$C1349+1)+21,"00"),"")&amp;IF($C1349&gt;=23,", "&amp;$A1349&amp;"-"&amp;TEXT(($D1349-$C1349+1)+22,"00"),"")&amp;IF($C1349&gt;=24,", "&amp;$A1349&amp;"-"&amp;TEXT(($D1349-$C1349+1)+23,"00"),"")&amp;IF($C1349&gt;=25,", "&amp;$A1349&amp;"-"&amp;TEXT(($D1349-$C1349+1)+24,"00"),""))</f>
        <v/>
      </c>
      <c r="G1349">
        <f>IF($A1349="","",IF($E1349=1,$F1349,IF($F1349="",$G1348,IF($G1348="",$F1349,$G1348&amp;", "&amp;$F1349))))</f>
        <v/>
      </c>
      <c r="H1349">
        <f>IF($A1349="","",$A1349&amp;" ("&amp;$C1349&amp;")")</f>
        <v/>
      </c>
      <c r="I1349">
        <f>IF($A1349="","",IF($E1349=1,$H1349,$I1348&amp;", "&amp;$H1349))</f>
        <v/>
      </c>
      <c r="J1349">
        <f>IF($A1349="","",IF($E1349=1,$B1349,""))</f>
        <v/>
      </c>
      <c r="K1349">
        <f>IF($A1349="","",IF(COUNTIF($B$2:$B1349,$B1349)=COUNTIF($B$2:$B$1601,$B1349),$B1349,""))</f>
        <v/>
      </c>
    </row>
    <row r="1350">
      <c r="A1350">
        <f>IF('TMP Paste'!$E1350="","",'TMP Paste'!$E1350)</f>
        <v/>
      </c>
      <c r="B1350">
        <f>IF($A1350="","",COUNTIF('TMP Paste'!$B$2:$B1350,"?*"))</f>
        <v/>
      </c>
      <c r="C1350">
        <f>IF($A1350="","",IFERROR('TMP Paste'!$M1350*1,0))</f>
        <v/>
      </c>
      <c r="D1350">
        <f>IF($A1350="","",SUMIF($B$2:$B1350,$B1350,$C$2:$C1350))</f>
        <v/>
      </c>
      <c r="E1350">
        <f>IF($A1350="",0,IF('TMP Paste'!$B1350="",0,1))</f>
        <v/>
      </c>
      <c r="F1350">
        <f>IF(OR($A1350="",$C1350&lt;1),"",$A1350&amp;"-"&amp;TEXT(($D1350-$C1350+1),"00")&amp;IF($C1350&gt;=2,", "&amp;$A1350&amp;"-"&amp;TEXT(($D1350-$C1350+1)+1,"00"),"")&amp;IF($C1350&gt;=3,", "&amp;$A1350&amp;"-"&amp;TEXT(($D1350-$C1350+1)+2,"00"),"")&amp;IF($C1350&gt;=4,", "&amp;$A1350&amp;"-"&amp;TEXT(($D1350-$C1350+1)+3,"00"),"")&amp;IF($C1350&gt;=5,", "&amp;$A1350&amp;"-"&amp;TEXT(($D1350-$C1350+1)+4,"00"),"")&amp;IF($C1350&gt;=6,", "&amp;$A1350&amp;"-"&amp;TEXT(($D1350-$C1350+1)+5,"00"),"")&amp;IF($C1350&gt;=7,", "&amp;$A1350&amp;"-"&amp;TEXT(($D1350-$C1350+1)+6,"00"),"")&amp;IF($C1350&gt;=8,", "&amp;$A1350&amp;"-"&amp;TEXT(($D1350-$C1350+1)+7,"00"),"")&amp;IF($C1350&gt;=9,", "&amp;$A1350&amp;"-"&amp;TEXT(($D1350-$C1350+1)+8,"00"),"")&amp;IF($C1350&gt;=10,", "&amp;$A1350&amp;"-"&amp;TEXT(($D1350-$C1350+1)+9,"00"),"")&amp;IF($C1350&gt;=11,", "&amp;$A1350&amp;"-"&amp;TEXT(($D1350-$C1350+1)+10,"00"),"")&amp;IF($C1350&gt;=12,", "&amp;$A1350&amp;"-"&amp;TEXT(($D1350-$C1350+1)+11,"00"),"")&amp;IF($C1350&gt;=13,", "&amp;$A1350&amp;"-"&amp;TEXT(($D1350-$C1350+1)+12,"00"),"")&amp;IF($C1350&gt;=14,", "&amp;$A1350&amp;"-"&amp;TEXT(($D1350-$C1350+1)+13,"00"),"")&amp;IF($C1350&gt;=15,", "&amp;$A1350&amp;"-"&amp;TEXT(($D1350-$C1350+1)+14,"00"),"")&amp;IF($C1350&gt;=16,", "&amp;$A1350&amp;"-"&amp;TEXT(($D1350-$C1350+1)+15,"00"),"")&amp;IF($C1350&gt;=17,", "&amp;$A1350&amp;"-"&amp;TEXT(($D1350-$C1350+1)+16,"00"),"")&amp;IF($C1350&gt;=18,", "&amp;$A1350&amp;"-"&amp;TEXT(($D1350-$C1350+1)+17,"00"),"")&amp;IF($C1350&gt;=19,", "&amp;$A1350&amp;"-"&amp;TEXT(($D1350-$C1350+1)+18,"00"),"")&amp;IF($C1350&gt;=20,", "&amp;$A1350&amp;"-"&amp;TEXT(($D1350-$C1350+1)+19,"00"),"")&amp;IF($C1350&gt;=21,", "&amp;$A1350&amp;"-"&amp;TEXT(($D1350-$C1350+1)+20,"00"),"")&amp;IF($C1350&gt;=22,", "&amp;$A1350&amp;"-"&amp;TEXT(($D1350-$C1350+1)+21,"00"),"")&amp;IF($C1350&gt;=23,", "&amp;$A1350&amp;"-"&amp;TEXT(($D1350-$C1350+1)+22,"00"),"")&amp;IF($C1350&gt;=24,", "&amp;$A1350&amp;"-"&amp;TEXT(($D1350-$C1350+1)+23,"00"),"")&amp;IF($C1350&gt;=25,", "&amp;$A1350&amp;"-"&amp;TEXT(($D1350-$C1350+1)+24,"00"),""))</f>
        <v/>
      </c>
      <c r="G1350">
        <f>IF($A1350="","",IF($E1350=1,$F1350,IF($F1350="",$G1349,IF($G1349="",$F1350,$G1349&amp;", "&amp;$F1350))))</f>
        <v/>
      </c>
      <c r="H1350">
        <f>IF($A1350="","",$A1350&amp;" ("&amp;$C1350&amp;")")</f>
        <v/>
      </c>
      <c r="I1350">
        <f>IF($A1350="","",IF($E1350=1,$H1350,$I1349&amp;", "&amp;$H1350))</f>
        <v/>
      </c>
      <c r="J1350">
        <f>IF($A1350="","",IF($E1350=1,$B1350,""))</f>
        <v/>
      </c>
      <c r="K1350">
        <f>IF($A1350="","",IF(COUNTIF($B$2:$B1350,$B1350)=COUNTIF($B$2:$B$1601,$B1350),$B1350,""))</f>
        <v/>
      </c>
    </row>
    <row r="1351">
      <c r="A1351">
        <f>IF('TMP Paste'!$E1351="","",'TMP Paste'!$E1351)</f>
        <v/>
      </c>
      <c r="B1351">
        <f>IF($A1351="","",COUNTIF('TMP Paste'!$B$2:$B1351,"?*"))</f>
        <v/>
      </c>
      <c r="C1351">
        <f>IF($A1351="","",IFERROR('TMP Paste'!$M1351*1,0))</f>
        <v/>
      </c>
      <c r="D1351">
        <f>IF($A1351="","",SUMIF($B$2:$B1351,$B1351,$C$2:$C1351))</f>
        <v/>
      </c>
      <c r="E1351">
        <f>IF($A1351="",0,IF('TMP Paste'!$B1351="",0,1))</f>
        <v/>
      </c>
      <c r="F1351">
        <f>IF(OR($A1351="",$C1351&lt;1),"",$A1351&amp;"-"&amp;TEXT(($D1351-$C1351+1),"00")&amp;IF($C1351&gt;=2,", "&amp;$A1351&amp;"-"&amp;TEXT(($D1351-$C1351+1)+1,"00"),"")&amp;IF($C1351&gt;=3,", "&amp;$A1351&amp;"-"&amp;TEXT(($D1351-$C1351+1)+2,"00"),"")&amp;IF($C1351&gt;=4,", "&amp;$A1351&amp;"-"&amp;TEXT(($D1351-$C1351+1)+3,"00"),"")&amp;IF($C1351&gt;=5,", "&amp;$A1351&amp;"-"&amp;TEXT(($D1351-$C1351+1)+4,"00"),"")&amp;IF($C1351&gt;=6,", "&amp;$A1351&amp;"-"&amp;TEXT(($D1351-$C1351+1)+5,"00"),"")&amp;IF($C1351&gt;=7,", "&amp;$A1351&amp;"-"&amp;TEXT(($D1351-$C1351+1)+6,"00"),"")&amp;IF($C1351&gt;=8,", "&amp;$A1351&amp;"-"&amp;TEXT(($D1351-$C1351+1)+7,"00"),"")&amp;IF($C1351&gt;=9,", "&amp;$A1351&amp;"-"&amp;TEXT(($D1351-$C1351+1)+8,"00"),"")&amp;IF($C1351&gt;=10,", "&amp;$A1351&amp;"-"&amp;TEXT(($D1351-$C1351+1)+9,"00"),"")&amp;IF($C1351&gt;=11,", "&amp;$A1351&amp;"-"&amp;TEXT(($D1351-$C1351+1)+10,"00"),"")&amp;IF($C1351&gt;=12,", "&amp;$A1351&amp;"-"&amp;TEXT(($D1351-$C1351+1)+11,"00"),"")&amp;IF($C1351&gt;=13,", "&amp;$A1351&amp;"-"&amp;TEXT(($D1351-$C1351+1)+12,"00"),"")&amp;IF($C1351&gt;=14,", "&amp;$A1351&amp;"-"&amp;TEXT(($D1351-$C1351+1)+13,"00"),"")&amp;IF($C1351&gt;=15,", "&amp;$A1351&amp;"-"&amp;TEXT(($D1351-$C1351+1)+14,"00"),"")&amp;IF($C1351&gt;=16,", "&amp;$A1351&amp;"-"&amp;TEXT(($D1351-$C1351+1)+15,"00"),"")&amp;IF($C1351&gt;=17,", "&amp;$A1351&amp;"-"&amp;TEXT(($D1351-$C1351+1)+16,"00"),"")&amp;IF($C1351&gt;=18,", "&amp;$A1351&amp;"-"&amp;TEXT(($D1351-$C1351+1)+17,"00"),"")&amp;IF($C1351&gt;=19,", "&amp;$A1351&amp;"-"&amp;TEXT(($D1351-$C1351+1)+18,"00"),"")&amp;IF($C1351&gt;=20,", "&amp;$A1351&amp;"-"&amp;TEXT(($D1351-$C1351+1)+19,"00"),"")&amp;IF($C1351&gt;=21,", "&amp;$A1351&amp;"-"&amp;TEXT(($D1351-$C1351+1)+20,"00"),"")&amp;IF($C1351&gt;=22,", "&amp;$A1351&amp;"-"&amp;TEXT(($D1351-$C1351+1)+21,"00"),"")&amp;IF($C1351&gt;=23,", "&amp;$A1351&amp;"-"&amp;TEXT(($D1351-$C1351+1)+22,"00"),"")&amp;IF($C1351&gt;=24,", "&amp;$A1351&amp;"-"&amp;TEXT(($D1351-$C1351+1)+23,"00"),"")&amp;IF($C1351&gt;=25,", "&amp;$A1351&amp;"-"&amp;TEXT(($D1351-$C1351+1)+24,"00"),""))</f>
        <v/>
      </c>
      <c r="G1351">
        <f>IF($A1351="","",IF($E1351=1,$F1351,IF($F1351="",$G1350,IF($G1350="",$F1351,$G1350&amp;", "&amp;$F1351))))</f>
        <v/>
      </c>
      <c r="H1351">
        <f>IF($A1351="","",$A1351&amp;" ("&amp;$C1351&amp;")")</f>
        <v/>
      </c>
      <c r="I1351">
        <f>IF($A1351="","",IF($E1351=1,$H1351,$I1350&amp;", "&amp;$H1351))</f>
        <v/>
      </c>
      <c r="J1351">
        <f>IF($A1351="","",IF($E1351=1,$B1351,""))</f>
        <v/>
      </c>
      <c r="K1351">
        <f>IF($A1351="","",IF(COUNTIF($B$2:$B1351,$B1351)=COUNTIF($B$2:$B$1601,$B1351),$B1351,""))</f>
        <v/>
      </c>
    </row>
    <row r="1352">
      <c r="A1352">
        <f>IF('TMP Paste'!$E1352="","",'TMP Paste'!$E1352)</f>
        <v/>
      </c>
      <c r="B1352">
        <f>IF($A1352="","",COUNTIF('TMP Paste'!$B$2:$B1352,"?*"))</f>
        <v/>
      </c>
      <c r="C1352">
        <f>IF($A1352="","",IFERROR('TMP Paste'!$M1352*1,0))</f>
        <v/>
      </c>
      <c r="D1352">
        <f>IF($A1352="","",SUMIF($B$2:$B1352,$B1352,$C$2:$C1352))</f>
        <v/>
      </c>
      <c r="E1352">
        <f>IF($A1352="",0,IF('TMP Paste'!$B1352="",0,1))</f>
        <v/>
      </c>
      <c r="F1352">
        <f>IF(OR($A1352="",$C1352&lt;1),"",$A1352&amp;"-"&amp;TEXT(($D1352-$C1352+1),"00")&amp;IF($C1352&gt;=2,", "&amp;$A1352&amp;"-"&amp;TEXT(($D1352-$C1352+1)+1,"00"),"")&amp;IF($C1352&gt;=3,", "&amp;$A1352&amp;"-"&amp;TEXT(($D1352-$C1352+1)+2,"00"),"")&amp;IF($C1352&gt;=4,", "&amp;$A1352&amp;"-"&amp;TEXT(($D1352-$C1352+1)+3,"00"),"")&amp;IF($C1352&gt;=5,", "&amp;$A1352&amp;"-"&amp;TEXT(($D1352-$C1352+1)+4,"00"),"")&amp;IF($C1352&gt;=6,", "&amp;$A1352&amp;"-"&amp;TEXT(($D1352-$C1352+1)+5,"00"),"")&amp;IF($C1352&gt;=7,", "&amp;$A1352&amp;"-"&amp;TEXT(($D1352-$C1352+1)+6,"00"),"")&amp;IF($C1352&gt;=8,", "&amp;$A1352&amp;"-"&amp;TEXT(($D1352-$C1352+1)+7,"00"),"")&amp;IF($C1352&gt;=9,", "&amp;$A1352&amp;"-"&amp;TEXT(($D1352-$C1352+1)+8,"00"),"")&amp;IF($C1352&gt;=10,", "&amp;$A1352&amp;"-"&amp;TEXT(($D1352-$C1352+1)+9,"00"),"")&amp;IF($C1352&gt;=11,", "&amp;$A1352&amp;"-"&amp;TEXT(($D1352-$C1352+1)+10,"00"),"")&amp;IF($C1352&gt;=12,", "&amp;$A1352&amp;"-"&amp;TEXT(($D1352-$C1352+1)+11,"00"),"")&amp;IF($C1352&gt;=13,", "&amp;$A1352&amp;"-"&amp;TEXT(($D1352-$C1352+1)+12,"00"),"")&amp;IF($C1352&gt;=14,", "&amp;$A1352&amp;"-"&amp;TEXT(($D1352-$C1352+1)+13,"00"),"")&amp;IF($C1352&gt;=15,", "&amp;$A1352&amp;"-"&amp;TEXT(($D1352-$C1352+1)+14,"00"),"")&amp;IF($C1352&gt;=16,", "&amp;$A1352&amp;"-"&amp;TEXT(($D1352-$C1352+1)+15,"00"),"")&amp;IF($C1352&gt;=17,", "&amp;$A1352&amp;"-"&amp;TEXT(($D1352-$C1352+1)+16,"00"),"")&amp;IF($C1352&gt;=18,", "&amp;$A1352&amp;"-"&amp;TEXT(($D1352-$C1352+1)+17,"00"),"")&amp;IF($C1352&gt;=19,", "&amp;$A1352&amp;"-"&amp;TEXT(($D1352-$C1352+1)+18,"00"),"")&amp;IF($C1352&gt;=20,", "&amp;$A1352&amp;"-"&amp;TEXT(($D1352-$C1352+1)+19,"00"),"")&amp;IF($C1352&gt;=21,", "&amp;$A1352&amp;"-"&amp;TEXT(($D1352-$C1352+1)+20,"00"),"")&amp;IF($C1352&gt;=22,", "&amp;$A1352&amp;"-"&amp;TEXT(($D1352-$C1352+1)+21,"00"),"")&amp;IF($C1352&gt;=23,", "&amp;$A1352&amp;"-"&amp;TEXT(($D1352-$C1352+1)+22,"00"),"")&amp;IF($C1352&gt;=24,", "&amp;$A1352&amp;"-"&amp;TEXT(($D1352-$C1352+1)+23,"00"),"")&amp;IF($C1352&gt;=25,", "&amp;$A1352&amp;"-"&amp;TEXT(($D1352-$C1352+1)+24,"00"),""))</f>
        <v/>
      </c>
      <c r="G1352">
        <f>IF($A1352="","",IF($E1352=1,$F1352,IF($F1352="",$G1351,IF($G1351="",$F1352,$G1351&amp;", "&amp;$F1352))))</f>
        <v/>
      </c>
      <c r="H1352">
        <f>IF($A1352="","",$A1352&amp;" ("&amp;$C1352&amp;")")</f>
        <v/>
      </c>
      <c r="I1352">
        <f>IF($A1352="","",IF($E1352=1,$H1352,$I1351&amp;", "&amp;$H1352))</f>
        <v/>
      </c>
      <c r="J1352">
        <f>IF($A1352="","",IF($E1352=1,$B1352,""))</f>
        <v/>
      </c>
      <c r="K1352">
        <f>IF($A1352="","",IF(COUNTIF($B$2:$B1352,$B1352)=COUNTIF($B$2:$B$1601,$B1352),$B1352,""))</f>
        <v/>
      </c>
    </row>
    <row r="1353">
      <c r="A1353">
        <f>IF('TMP Paste'!$E1353="","",'TMP Paste'!$E1353)</f>
        <v/>
      </c>
      <c r="B1353">
        <f>IF($A1353="","",COUNTIF('TMP Paste'!$B$2:$B1353,"?*"))</f>
        <v/>
      </c>
      <c r="C1353">
        <f>IF($A1353="","",IFERROR('TMP Paste'!$M1353*1,0))</f>
        <v/>
      </c>
      <c r="D1353">
        <f>IF($A1353="","",SUMIF($B$2:$B1353,$B1353,$C$2:$C1353))</f>
        <v/>
      </c>
      <c r="E1353">
        <f>IF($A1353="",0,IF('TMP Paste'!$B1353="",0,1))</f>
        <v/>
      </c>
      <c r="F1353">
        <f>IF(OR($A1353="",$C1353&lt;1),"",$A1353&amp;"-"&amp;TEXT(($D1353-$C1353+1),"00")&amp;IF($C1353&gt;=2,", "&amp;$A1353&amp;"-"&amp;TEXT(($D1353-$C1353+1)+1,"00"),"")&amp;IF($C1353&gt;=3,", "&amp;$A1353&amp;"-"&amp;TEXT(($D1353-$C1353+1)+2,"00"),"")&amp;IF($C1353&gt;=4,", "&amp;$A1353&amp;"-"&amp;TEXT(($D1353-$C1353+1)+3,"00"),"")&amp;IF($C1353&gt;=5,", "&amp;$A1353&amp;"-"&amp;TEXT(($D1353-$C1353+1)+4,"00"),"")&amp;IF($C1353&gt;=6,", "&amp;$A1353&amp;"-"&amp;TEXT(($D1353-$C1353+1)+5,"00"),"")&amp;IF($C1353&gt;=7,", "&amp;$A1353&amp;"-"&amp;TEXT(($D1353-$C1353+1)+6,"00"),"")&amp;IF($C1353&gt;=8,", "&amp;$A1353&amp;"-"&amp;TEXT(($D1353-$C1353+1)+7,"00"),"")&amp;IF($C1353&gt;=9,", "&amp;$A1353&amp;"-"&amp;TEXT(($D1353-$C1353+1)+8,"00"),"")&amp;IF($C1353&gt;=10,", "&amp;$A1353&amp;"-"&amp;TEXT(($D1353-$C1353+1)+9,"00"),"")&amp;IF($C1353&gt;=11,", "&amp;$A1353&amp;"-"&amp;TEXT(($D1353-$C1353+1)+10,"00"),"")&amp;IF($C1353&gt;=12,", "&amp;$A1353&amp;"-"&amp;TEXT(($D1353-$C1353+1)+11,"00"),"")&amp;IF($C1353&gt;=13,", "&amp;$A1353&amp;"-"&amp;TEXT(($D1353-$C1353+1)+12,"00"),"")&amp;IF($C1353&gt;=14,", "&amp;$A1353&amp;"-"&amp;TEXT(($D1353-$C1353+1)+13,"00"),"")&amp;IF($C1353&gt;=15,", "&amp;$A1353&amp;"-"&amp;TEXT(($D1353-$C1353+1)+14,"00"),"")&amp;IF($C1353&gt;=16,", "&amp;$A1353&amp;"-"&amp;TEXT(($D1353-$C1353+1)+15,"00"),"")&amp;IF($C1353&gt;=17,", "&amp;$A1353&amp;"-"&amp;TEXT(($D1353-$C1353+1)+16,"00"),"")&amp;IF($C1353&gt;=18,", "&amp;$A1353&amp;"-"&amp;TEXT(($D1353-$C1353+1)+17,"00"),"")&amp;IF($C1353&gt;=19,", "&amp;$A1353&amp;"-"&amp;TEXT(($D1353-$C1353+1)+18,"00"),"")&amp;IF($C1353&gt;=20,", "&amp;$A1353&amp;"-"&amp;TEXT(($D1353-$C1353+1)+19,"00"),"")&amp;IF($C1353&gt;=21,", "&amp;$A1353&amp;"-"&amp;TEXT(($D1353-$C1353+1)+20,"00"),"")&amp;IF($C1353&gt;=22,", "&amp;$A1353&amp;"-"&amp;TEXT(($D1353-$C1353+1)+21,"00"),"")&amp;IF($C1353&gt;=23,", "&amp;$A1353&amp;"-"&amp;TEXT(($D1353-$C1353+1)+22,"00"),"")&amp;IF($C1353&gt;=24,", "&amp;$A1353&amp;"-"&amp;TEXT(($D1353-$C1353+1)+23,"00"),"")&amp;IF($C1353&gt;=25,", "&amp;$A1353&amp;"-"&amp;TEXT(($D1353-$C1353+1)+24,"00"),""))</f>
        <v/>
      </c>
      <c r="G1353">
        <f>IF($A1353="","",IF($E1353=1,$F1353,IF($F1353="",$G1352,IF($G1352="",$F1353,$G1352&amp;", "&amp;$F1353))))</f>
        <v/>
      </c>
      <c r="H1353">
        <f>IF($A1353="","",$A1353&amp;" ("&amp;$C1353&amp;")")</f>
        <v/>
      </c>
      <c r="I1353">
        <f>IF($A1353="","",IF($E1353=1,$H1353,$I1352&amp;", "&amp;$H1353))</f>
        <v/>
      </c>
      <c r="J1353">
        <f>IF($A1353="","",IF($E1353=1,$B1353,""))</f>
        <v/>
      </c>
      <c r="K1353">
        <f>IF($A1353="","",IF(COUNTIF($B$2:$B1353,$B1353)=COUNTIF($B$2:$B$1601,$B1353),$B1353,""))</f>
        <v/>
      </c>
    </row>
    <row r="1354">
      <c r="A1354">
        <f>IF('TMP Paste'!$E1354="","",'TMP Paste'!$E1354)</f>
        <v/>
      </c>
      <c r="B1354">
        <f>IF($A1354="","",COUNTIF('TMP Paste'!$B$2:$B1354,"?*"))</f>
        <v/>
      </c>
      <c r="C1354">
        <f>IF($A1354="","",IFERROR('TMP Paste'!$M1354*1,0))</f>
        <v/>
      </c>
      <c r="D1354">
        <f>IF($A1354="","",SUMIF($B$2:$B1354,$B1354,$C$2:$C1354))</f>
        <v/>
      </c>
      <c r="E1354">
        <f>IF($A1354="",0,IF('TMP Paste'!$B1354="",0,1))</f>
        <v/>
      </c>
      <c r="F1354">
        <f>IF(OR($A1354="",$C1354&lt;1),"",$A1354&amp;"-"&amp;TEXT(($D1354-$C1354+1),"00")&amp;IF($C1354&gt;=2,", "&amp;$A1354&amp;"-"&amp;TEXT(($D1354-$C1354+1)+1,"00"),"")&amp;IF($C1354&gt;=3,", "&amp;$A1354&amp;"-"&amp;TEXT(($D1354-$C1354+1)+2,"00"),"")&amp;IF($C1354&gt;=4,", "&amp;$A1354&amp;"-"&amp;TEXT(($D1354-$C1354+1)+3,"00"),"")&amp;IF($C1354&gt;=5,", "&amp;$A1354&amp;"-"&amp;TEXT(($D1354-$C1354+1)+4,"00"),"")&amp;IF($C1354&gt;=6,", "&amp;$A1354&amp;"-"&amp;TEXT(($D1354-$C1354+1)+5,"00"),"")&amp;IF($C1354&gt;=7,", "&amp;$A1354&amp;"-"&amp;TEXT(($D1354-$C1354+1)+6,"00"),"")&amp;IF($C1354&gt;=8,", "&amp;$A1354&amp;"-"&amp;TEXT(($D1354-$C1354+1)+7,"00"),"")&amp;IF($C1354&gt;=9,", "&amp;$A1354&amp;"-"&amp;TEXT(($D1354-$C1354+1)+8,"00"),"")&amp;IF($C1354&gt;=10,", "&amp;$A1354&amp;"-"&amp;TEXT(($D1354-$C1354+1)+9,"00"),"")&amp;IF($C1354&gt;=11,", "&amp;$A1354&amp;"-"&amp;TEXT(($D1354-$C1354+1)+10,"00"),"")&amp;IF($C1354&gt;=12,", "&amp;$A1354&amp;"-"&amp;TEXT(($D1354-$C1354+1)+11,"00"),"")&amp;IF($C1354&gt;=13,", "&amp;$A1354&amp;"-"&amp;TEXT(($D1354-$C1354+1)+12,"00"),"")&amp;IF($C1354&gt;=14,", "&amp;$A1354&amp;"-"&amp;TEXT(($D1354-$C1354+1)+13,"00"),"")&amp;IF($C1354&gt;=15,", "&amp;$A1354&amp;"-"&amp;TEXT(($D1354-$C1354+1)+14,"00"),"")&amp;IF($C1354&gt;=16,", "&amp;$A1354&amp;"-"&amp;TEXT(($D1354-$C1354+1)+15,"00"),"")&amp;IF($C1354&gt;=17,", "&amp;$A1354&amp;"-"&amp;TEXT(($D1354-$C1354+1)+16,"00"),"")&amp;IF($C1354&gt;=18,", "&amp;$A1354&amp;"-"&amp;TEXT(($D1354-$C1354+1)+17,"00"),"")&amp;IF($C1354&gt;=19,", "&amp;$A1354&amp;"-"&amp;TEXT(($D1354-$C1354+1)+18,"00"),"")&amp;IF($C1354&gt;=20,", "&amp;$A1354&amp;"-"&amp;TEXT(($D1354-$C1354+1)+19,"00"),"")&amp;IF($C1354&gt;=21,", "&amp;$A1354&amp;"-"&amp;TEXT(($D1354-$C1354+1)+20,"00"),"")&amp;IF($C1354&gt;=22,", "&amp;$A1354&amp;"-"&amp;TEXT(($D1354-$C1354+1)+21,"00"),"")&amp;IF($C1354&gt;=23,", "&amp;$A1354&amp;"-"&amp;TEXT(($D1354-$C1354+1)+22,"00"),"")&amp;IF($C1354&gt;=24,", "&amp;$A1354&amp;"-"&amp;TEXT(($D1354-$C1354+1)+23,"00"),"")&amp;IF($C1354&gt;=25,", "&amp;$A1354&amp;"-"&amp;TEXT(($D1354-$C1354+1)+24,"00"),""))</f>
        <v/>
      </c>
      <c r="G1354">
        <f>IF($A1354="","",IF($E1354=1,$F1354,IF($F1354="",$G1353,IF($G1353="",$F1354,$G1353&amp;", "&amp;$F1354))))</f>
        <v/>
      </c>
      <c r="H1354">
        <f>IF($A1354="","",$A1354&amp;" ("&amp;$C1354&amp;")")</f>
        <v/>
      </c>
      <c r="I1354">
        <f>IF($A1354="","",IF($E1354=1,$H1354,$I1353&amp;", "&amp;$H1354))</f>
        <v/>
      </c>
      <c r="J1354">
        <f>IF($A1354="","",IF($E1354=1,$B1354,""))</f>
        <v/>
      </c>
      <c r="K1354">
        <f>IF($A1354="","",IF(COUNTIF($B$2:$B1354,$B1354)=COUNTIF($B$2:$B$1601,$B1354),$B1354,""))</f>
        <v/>
      </c>
    </row>
    <row r="1355">
      <c r="A1355">
        <f>IF('TMP Paste'!$E1355="","",'TMP Paste'!$E1355)</f>
        <v/>
      </c>
      <c r="B1355">
        <f>IF($A1355="","",COUNTIF('TMP Paste'!$B$2:$B1355,"?*"))</f>
        <v/>
      </c>
      <c r="C1355">
        <f>IF($A1355="","",IFERROR('TMP Paste'!$M1355*1,0))</f>
        <v/>
      </c>
      <c r="D1355">
        <f>IF($A1355="","",SUMIF($B$2:$B1355,$B1355,$C$2:$C1355))</f>
        <v/>
      </c>
      <c r="E1355">
        <f>IF($A1355="",0,IF('TMP Paste'!$B1355="",0,1))</f>
        <v/>
      </c>
      <c r="F1355">
        <f>IF(OR($A1355="",$C1355&lt;1),"",$A1355&amp;"-"&amp;TEXT(($D1355-$C1355+1),"00")&amp;IF($C1355&gt;=2,", "&amp;$A1355&amp;"-"&amp;TEXT(($D1355-$C1355+1)+1,"00"),"")&amp;IF($C1355&gt;=3,", "&amp;$A1355&amp;"-"&amp;TEXT(($D1355-$C1355+1)+2,"00"),"")&amp;IF($C1355&gt;=4,", "&amp;$A1355&amp;"-"&amp;TEXT(($D1355-$C1355+1)+3,"00"),"")&amp;IF($C1355&gt;=5,", "&amp;$A1355&amp;"-"&amp;TEXT(($D1355-$C1355+1)+4,"00"),"")&amp;IF($C1355&gt;=6,", "&amp;$A1355&amp;"-"&amp;TEXT(($D1355-$C1355+1)+5,"00"),"")&amp;IF($C1355&gt;=7,", "&amp;$A1355&amp;"-"&amp;TEXT(($D1355-$C1355+1)+6,"00"),"")&amp;IF($C1355&gt;=8,", "&amp;$A1355&amp;"-"&amp;TEXT(($D1355-$C1355+1)+7,"00"),"")&amp;IF($C1355&gt;=9,", "&amp;$A1355&amp;"-"&amp;TEXT(($D1355-$C1355+1)+8,"00"),"")&amp;IF($C1355&gt;=10,", "&amp;$A1355&amp;"-"&amp;TEXT(($D1355-$C1355+1)+9,"00"),"")&amp;IF($C1355&gt;=11,", "&amp;$A1355&amp;"-"&amp;TEXT(($D1355-$C1355+1)+10,"00"),"")&amp;IF($C1355&gt;=12,", "&amp;$A1355&amp;"-"&amp;TEXT(($D1355-$C1355+1)+11,"00"),"")&amp;IF($C1355&gt;=13,", "&amp;$A1355&amp;"-"&amp;TEXT(($D1355-$C1355+1)+12,"00"),"")&amp;IF($C1355&gt;=14,", "&amp;$A1355&amp;"-"&amp;TEXT(($D1355-$C1355+1)+13,"00"),"")&amp;IF($C1355&gt;=15,", "&amp;$A1355&amp;"-"&amp;TEXT(($D1355-$C1355+1)+14,"00"),"")&amp;IF($C1355&gt;=16,", "&amp;$A1355&amp;"-"&amp;TEXT(($D1355-$C1355+1)+15,"00"),"")&amp;IF($C1355&gt;=17,", "&amp;$A1355&amp;"-"&amp;TEXT(($D1355-$C1355+1)+16,"00"),"")&amp;IF($C1355&gt;=18,", "&amp;$A1355&amp;"-"&amp;TEXT(($D1355-$C1355+1)+17,"00"),"")&amp;IF($C1355&gt;=19,", "&amp;$A1355&amp;"-"&amp;TEXT(($D1355-$C1355+1)+18,"00"),"")&amp;IF($C1355&gt;=20,", "&amp;$A1355&amp;"-"&amp;TEXT(($D1355-$C1355+1)+19,"00"),"")&amp;IF($C1355&gt;=21,", "&amp;$A1355&amp;"-"&amp;TEXT(($D1355-$C1355+1)+20,"00"),"")&amp;IF($C1355&gt;=22,", "&amp;$A1355&amp;"-"&amp;TEXT(($D1355-$C1355+1)+21,"00"),"")&amp;IF($C1355&gt;=23,", "&amp;$A1355&amp;"-"&amp;TEXT(($D1355-$C1355+1)+22,"00"),"")&amp;IF($C1355&gt;=24,", "&amp;$A1355&amp;"-"&amp;TEXT(($D1355-$C1355+1)+23,"00"),"")&amp;IF($C1355&gt;=25,", "&amp;$A1355&amp;"-"&amp;TEXT(($D1355-$C1355+1)+24,"00"),""))</f>
        <v/>
      </c>
      <c r="G1355">
        <f>IF($A1355="","",IF($E1355=1,$F1355,IF($F1355="",$G1354,IF($G1354="",$F1355,$G1354&amp;", "&amp;$F1355))))</f>
        <v/>
      </c>
      <c r="H1355">
        <f>IF($A1355="","",$A1355&amp;" ("&amp;$C1355&amp;")")</f>
        <v/>
      </c>
      <c r="I1355">
        <f>IF($A1355="","",IF($E1355=1,$H1355,$I1354&amp;", "&amp;$H1355))</f>
        <v/>
      </c>
      <c r="J1355">
        <f>IF($A1355="","",IF($E1355=1,$B1355,""))</f>
        <v/>
      </c>
      <c r="K1355">
        <f>IF($A1355="","",IF(COUNTIF($B$2:$B1355,$B1355)=COUNTIF($B$2:$B$1601,$B1355),$B1355,""))</f>
        <v/>
      </c>
    </row>
    <row r="1356">
      <c r="A1356">
        <f>IF('TMP Paste'!$E1356="","",'TMP Paste'!$E1356)</f>
        <v/>
      </c>
      <c r="B1356">
        <f>IF($A1356="","",COUNTIF('TMP Paste'!$B$2:$B1356,"?*"))</f>
        <v/>
      </c>
      <c r="C1356">
        <f>IF($A1356="","",IFERROR('TMP Paste'!$M1356*1,0))</f>
        <v/>
      </c>
      <c r="D1356">
        <f>IF($A1356="","",SUMIF($B$2:$B1356,$B1356,$C$2:$C1356))</f>
        <v/>
      </c>
      <c r="E1356">
        <f>IF($A1356="",0,IF('TMP Paste'!$B1356="",0,1))</f>
        <v/>
      </c>
      <c r="F1356">
        <f>IF(OR($A1356="",$C1356&lt;1),"",$A1356&amp;"-"&amp;TEXT(($D1356-$C1356+1),"00")&amp;IF($C1356&gt;=2,", "&amp;$A1356&amp;"-"&amp;TEXT(($D1356-$C1356+1)+1,"00"),"")&amp;IF($C1356&gt;=3,", "&amp;$A1356&amp;"-"&amp;TEXT(($D1356-$C1356+1)+2,"00"),"")&amp;IF($C1356&gt;=4,", "&amp;$A1356&amp;"-"&amp;TEXT(($D1356-$C1356+1)+3,"00"),"")&amp;IF($C1356&gt;=5,", "&amp;$A1356&amp;"-"&amp;TEXT(($D1356-$C1356+1)+4,"00"),"")&amp;IF($C1356&gt;=6,", "&amp;$A1356&amp;"-"&amp;TEXT(($D1356-$C1356+1)+5,"00"),"")&amp;IF($C1356&gt;=7,", "&amp;$A1356&amp;"-"&amp;TEXT(($D1356-$C1356+1)+6,"00"),"")&amp;IF($C1356&gt;=8,", "&amp;$A1356&amp;"-"&amp;TEXT(($D1356-$C1356+1)+7,"00"),"")&amp;IF($C1356&gt;=9,", "&amp;$A1356&amp;"-"&amp;TEXT(($D1356-$C1356+1)+8,"00"),"")&amp;IF($C1356&gt;=10,", "&amp;$A1356&amp;"-"&amp;TEXT(($D1356-$C1356+1)+9,"00"),"")&amp;IF($C1356&gt;=11,", "&amp;$A1356&amp;"-"&amp;TEXT(($D1356-$C1356+1)+10,"00"),"")&amp;IF($C1356&gt;=12,", "&amp;$A1356&amp;"-"&amp;TEXT(($D1356-$C1356+1)+11,"00"),"")&amp;IF($C1356&gt;=13,", "&amp;$A1356&amp;"-"&amp;TEXT(($D1356-$C1356+1)+12,"00"),"")&amp;IF($C1356&gt;=14,", "&amp;$A1356&amp;"-"&amp;TEXT(($D1356-$C1356+1)+13,"00"),"")&amp;IF($C1356&gt;=15,", "&amp;$A1356&amp;"-"&amp;TEXT(($D1356-$C1356+1)+14,"00"),"")&amp;IF($C1356&gt;=16,", "&amp;$A1356&amp;"-"&amp;TEXT(($D1356-$C1356+1)+15,"00"),"")&amp;IF($C1356&gt;=17,", "&amp;$A1356&amp;"-"&amp;TEXT(($D1356-$C1356+1)+16,"00"),"")&amp;IF($C1356&gt;=18,", "&amp;$A1356&amp;"-"&amp;TEXT(($D1356-$C1356+1)+17,"00"),"")&amp;IF($C1356&gt;=19,", "&amp;$A1356&amp;"-"&amp;TEXT(($D1356-$C1356+1)+18,"00"),"")&amp;IF($C1356&gt;=20,", "&amp;$A1356&amp;"-"&amp;TEXT(($D1356-$C1356+1)+19,"00"),"")&amp;IF($C1356&gt;=21,", "&amp;$A1356&amp;"-"&amp;TEXT(($D1356-$C1356+1)+20,"00"),"")&amp;IF($C1356&gt;=22,", "&amp;$A1356&amp;"-"&amp;TEXT(($D1356-$C1356+1)+21,"00"),"")&amp;IF($C1356&gt;=23,", "&amp;$A1356&amp;"-"&amp;TEXT(($D1356-$C1356+1)+22,"00"),"")&amp;IF($C1356&gt;=24,", "&amp;$A1356&amp;"-"&amp;TEXT(($D1356-$C1356+1)+23,"00"),"")&amp;IF($C1356&gt;=25,", "&amp;$A1356&amp;"-"&amp;TEXT(($D1356-$C1356+1)+24,"00"),""))</f>
        <v/>
      </c>
      <c r="G1356">
        <f>IF($A1356="","",IF($E1356=1,$F1356,IF($F1356="",$G1355,IF($G1355="",$F1356,$G1355&amp;", "&amp;$F1356))))</f>
        <v/>
      </c>
      <c r="H1356">
        <f>IF($A1356="","",$A1356&amp;" ("&amp;$C1356&amp;")")</f>
        <v/>
      </c>
      <c r="I1356">
        <f>IF($A1356="","",IF($E1356=1,$H1356,$I1355&amp;", "&amp;$H1356))</f>
        <v/>
      </c>
      <c r="J1356">
        <f>IF($A1356="","",IF($E1356=1,$B1356,""))</f>
        <v/>
      </c>
      <c r="K1356">
        <f>IF($A1356="","",IF(COUNTIF($B$2:$B1356,$B1356)=COUNTIF($B$2:$B$1601,$B1356),$B1356,""))</f>
        <v/>
      </c>
    </row>
    <row r="1357">
      <c r="A1357">
        <f>IF('TMP Paste'!$E1357="","",'TMP Paste'!$E1357)</f>
        <v/>
      </c>
      <c r="B1357">
        <f>IF($A1357="","",COUNTIF('TMP Paste'!$B$2:$B1357,"?*"))</f>
        <v/>
      </c>
      <c r="C1357">
        <f>IF($A1357="","",IFERROR('TMP Paste'!$M1357*1,0))</f>
        <v/>
      </c>
      <c r="D1357">
        <f>IF($A1357="","",SUMIF($B$2:$B1357,$B1357,$C$2:$C1357))</f>
        <v/>
      </c>
      <c r="E1357">
        <f>IF($A1357="",0,IF('TMP Paste'!$B1357="",0,1))</f>
        <v/>
      </c>
      <c r="F1357">
        <f>IF(OR($A1357="",$C1357&lt;1),"",$A1357&amp;"-"&amp;TEXT(($D1357-$C1357+1),"00")&amp;IF($C1357&gt;=2,", "&amp;$A1357&amp;"-"&amp;TEXT(($D1357-$C1357+1)+1,"00"),"")&amp;IF($C1357&gt;=3,", "&amp;$A1357&amp;"-"&amp;TEXT(($D1357-$C1357+1)+2,"00"),"")&amp;IF($C1357&gt;=4,", "&amp;$A1357&amp;"-"&amp;TEXT(($D1357-$C1357+1)+3,"00"),"")&amp;IF($C1357&gt;=5,", "&amp;$A1357&amp;"-"&amp;TEXT(($D1357-$C1357+1)+4,"00"),"")&amp;IF($C1357&gt;=6,", "&amp;$A1357&amp;"-"&amp;TEXT(($D1357-$C1357+1)+5,"00"),"")&amp;IF($C1357&gt;=7,", "&amp;$A1357&amp;"-"&amp;TEXT(($D1357-$C1357+1)+6,"00"),"")&amp;IF($C1357&gt;=8,", "&amp;$A1357&amp;"-"&amp;TEXT(($D1357-$C1357+1)+7,"00"),"")&amp;IF($C1357&gt;=9,", "&amp;$A1357&amp;"-"&amp;TEXT(($D1357-$C1357+1)+8,"00"),"")&amp;IF($C1357&gt;=10,", "&amp;$A1357&amp;"-"&amp;TEXT(($D1357-$C1357+1)+9,"00"),"")&amp;IF($C1357&gt;=11,", "&amp;$A1357&amp;"-"&amp;TEXT(($D1357-$C1357+1)+10,"00"),"")&amp;IF($C1357&gt;=12,", "&amp;$A1357&amp;"-"&amp;TEXT(($D1357-$C1357+1)+11,"00"),"")&amp;IF($C1357&gt;=13,", "&amp;$A1357&amp;"-"&amp;TEXT(($D1357-$C1357+1)+12,"00"),"")&amp;IF($C1357&gt;=14,", "&amp;$A1357&amp;"-"&amp;TEXT(($D1357-$C1357+1)+13,"00"),"")&amp;IF($C1357&gt;=15,", "&amp;$A1357&amp;"-"&amp;TEXT(($D1357-$C1357+1)+14,"00"),"")&amp;IF($C1357&gt;=16,", "&amp;$A1357&amp;"-"&amp;TEXT(($D1357-$C1357+1)+15,"00"),"")&amp;IF($C1357&gt;=17,", "&amp;$A1357&amp;"-"&amp;TEXT(($D1357-$C1357+1)+16,"00"),"")&amp;IF($C1357&gt;=18,", "&amp;$A1357&amp;"-"&amp;TEXT(($D1357-$C1357+1)+17,"00"),"")&amp;IF($C1357&gt;=19,", "&amp;$A1357&amp;"-"&amp;TEXT(($D1357-$C1357+1)+18,"00"),"")&amp;IF($C1357&gt;=20,", "&amp;$A1357&amp;"-"&amp;TEXT(($D1357-$C1357+1)+19,"00"),"")&amp;IF($C1357&gt;=21,", "&amp;$A1357&amp;"-"&amp;TEXT(($D1357-$C1357+1)+20,"00"),"")&amp;IF($C1357&gt;=22,", "&amp;$A1357&amp;"-"&amp;TEXT(($D1357-$C1357+1)+21,"00"),"")&amp;IF($C1357&gt;=23,", "&amp;$A1357&amp;"-"&amp;TEXT(($D1357-$C1357+1)+22,"00"),"")&amp;IF($C1357&gt;=24,", "&amp;$A1357&amp;"-"&amp;TEXT(($D1357-$C1357+1)+23,"00"),"")&amp;IF($C1357&gt;=25,", "&amp;$A1357&amp;"-"&amp;TEXT(($D1357-$C1357+1)+24,"00"),""))</f>
        <v/>
      </c>
      <c r="G1357">
        <f>IF($A1357="","",IF($E1357=1,$F1357,IF($F1357="",$G1356,IF($G1356="",$F1357,$G1356&amp;", "&amp;$F1357))))</f>
        <v/>
      </c>
      <c r="H1357">
        <f>IF($A1357="","",$A1357&amp;" ("&amp;$C1357&amp;")")</f>
        <v/>
      </c>
      <c r="I1357">
        <f>IF($A1357="","",IF($E1357=1,$H1357,$I1356&amp;", "&amp;$H1357))</f>
        <v/>
      </c>
      <c r="J1357">
        <f>IF($A1357="","",IF($E1357=1,$B1357,""))</f>
        <v/>
      </c>
      <c r="K1357">
        <f>IF($A1357="","",IF(COUNTIF($B$2:$B1357,$B1357)=COUNTIF($B$2:$B$1601,$B1357),$B1357,""))</f>
        <v/>
      </c>
    </row>
    <row r="1358">
      <c r="A1358">
        <f>IF('TMP Paste'!$E1358="","",'TMP Paste'!$E1358)</f>
        <v/>
      </c>
      <c r="B1358">
        <f>IF($A1358="","",COUNTIF('TMP Paste'!$B$2:$B1358,"?*"))</f>
        <v/>
      </c>
      <c r="C1358">
        <f>IF($A1358="","",IFERROR('TMP Paste'!$M1358*1,0))</f>
        <v/>
      </c>
      <c r="D1358">
        <f>IF($A1358="","",SUMIF($B$2:$B1358,$B1358,$C$2:$C1358))</f>
        <v/>
      </c>
      <c r="E1358">
        <f>IF($A1358="",0,IF('TMP Paste'!$B1358="",0,1))</f>
        <v/>
      </c>
      <c r="F1358">
        <f>IF(OR($A1358="",$C1358&lt;1),"",$A1358&amp;"-"&amp;TEXT(($D1358-$C1358+1),"00")&amp;IF($C1358&gt;=2,", "&amp;$A1358&amp;"-"&amp;TEXT(($D1358-$C1358+1)+1,"00"),"")&amp;IF($C1358&gt;=3,", "&amp;$A1358&amp;"-"&amp;TEXT(($D1358-$C1358+1)+2,"00"),"")&amp;IF($C1358&gt;=4,", "&amp;$A1358&amp;"-"&amp;TEXT(($D1358-$C1358+1)+3,"00"),"")&amp;IF($C1358&gt;=5,", "&amp;$A1358&amp;"-"&amp;TEXT(($D1358-$C1358+1)+4,"00"),"")&amp;IF($C1358&gt;=6,", "&amp;$A1358&amp;"-"&amp;TEXT(($D1358-$C1358+1)+5,"00"),"")&amp;IF($C1358&gt;=7,", "&amp;$A1358&amp;"-"&amp;TEXT(($D1358-$C1358+1)+6,"00"),"")&amp;IF($C1358&gt;=8,", "&amp;$A1358&amp;"-"&amp;TEXT(($D1358-$C1358+1)+7,"00"),"")&amp;IF($C1358&gt;=9,", "&amp;$A1358&amp;"-"&amp;TEXT(($D1358-$C1358+1)+8,"00"),"")&amp;IF($C1358&gt;=10,", "&amp;$A1358&amp;"-"&amp;TEXT(($D1358-$C1358+1)+9,"00"),"")&amp;IF($C1358&gt;=11,", "&amp;$A1358&amp;"-"&amp;TEXT(($D1358-$C1358+1)+10,"00"),"")&amp;IF($C1358&gt;=12,", "&amp;$A1358&amp;"-"&amp;TEXT(($D1358-$C1358+1)+11,"00"),"")&amp;IF($C1358&gt;=13,", "&amp;$A1358&amp;"-"&amp;TEXT(($D1358-$C1358+1)+12,"00"),"")&amp;IF($C1358&gt;=14,", "&amp;$A1358&amp;"-"&amp;TEXT(($D1358-$C1358+1)+13,"00"),"")&amp;IF($C1358&gt;=15,", "&amp;$A1358&amp;"-"&amp;TEXT(($D1358-$C1358+1)+14,"00"),"")&amp;IF($C1358&gt;=16,", "&amp;$A1358&amp;"-"&amp;TEXT(($D1358-$C1358+1)+15,"00"),"")&amp;IF($C1358&gt;=17,", "&amp;$A1358&amp;"-"&amp;TEXT(($D1358-$C1358+1)+16,"00"),"")&amp;IF($C1358&gt;=18,", "&amp;$A1358&amp;"-"&amp;TEXT(($D1358-$C1358+1)+17,"00"),"")&amp;IF($C1358&gt;=19,", "&amp;$A1358&amp;"-"&amp;TEXT(($D1358-$C1358+1)+18,"00"),"")&amp;IF($C1358&gt;=20,", "&amp;$A1358&amp;"-"&amp;TEXT(($D1358-$C1358+1)+19,"00"),"")&amp;IF($C1358&gt;=21,", "&amp;$A1358&amp;"-"&amp;TEXT(($D1358-$C1358+1)+20,"00"),"")&amp;IF($C1358&gt;=22,", "&amp;$A1358&amp;"-"&amp;TEXT(($D1358-$C1358+1)+21,"00"),"")&amp;IF($C1358&gt;=23,", "&amp;$A1358&amp;"-"&amp;TEXT(($D1358-$C1358+1)+22,"00"),"")&amp;IF($C1358&gt;=24,", "&amp;$A1358&amp;"-"&amp;TEXT(($D1358-$C1358+1)+23,"00"),"")&amp;IF($C1358&gt;=25,", "&amp;$A1358&amp;"-"&amp;TEXT(($D1358-$C1358+1)+24,"00"),""))</f>
        <v/>
      </c>
      <c r="G1358">
        <f>IF($A1358="","",IF($E1358=1,$F1358,IF($F1358="",$G1357,IF($G1357="",$F1358,$G1357&amp;", "&amp;$F1358))))</f>
        <v/>
      </c>
      <c r="H1358">
        <f>IF($A1358="","",$A1358&amp;" ("&amp;$C1358&amp;")")</f>
        <v/>
      </c>
      <c r="I1358">
        <f>IF($A1358="","",IF($E1358=1,$H1358,$I1357&amp;", "&amp;$H1358))</f>
        <v/>
      </c>
      <c r="J1358">
        <f>IF($A1358="","",IF($E1358=1,$B1358,""))</f>
        <v/>
      </c>
      <c r="K1358">
        <f>IF($A1358="","",IF(COUNTIF($B$2:$B1358,$B1358)=COUNTIF($B$2:$B$1601,$B1358),$B1358,""))</f>
        <v/>
      </c>
    </row>
    <row r="1359">
      <c r="A1359">
        <f>IF('TMP Paste'!$E1359="","",'TMP Paste'!$E1359)</f>
        <v/>
      </c>
      <c r="B1359">
        <f>IF($A1359="","",COUNTIF('TMP Paste'!$B$2:$B1359,"?*"))</f>
        <v/>
      </c>
      <c r="C1359">
        <f>IF($A1359="","",IFERROR('TMP Paste'!$M1359*1,0))</f>
        <v/>
      </c>
      <c r="D1359">
        <f>IF($A1359="","",SUMIF($B$2:$B1359,$B1359,$C$2:$C1359))</f>
        <v/>
      </c>
      <c r="E1359">
        <f>IF($A1359="",0,IF('TMP Paste'!$B1359="",0,1))</f>
        <v/>
      </c>
      <c r="F1359">
        <f>IF(OR($A1359="",$C1359&lt;1),"",$A1359&amp;"-"&amp;TEXT(($D1359-$C1359+1),"00")&amp;IF($C1359&gt;=2,", "&amp;$A1359&amp;"-"&amp;TEXT(($D1359-$C1359+1)+1,"00"),"")&amp;IF($C1359&gt;=3,", "&amp;$A1359&amp;"-"&amp;TEXT(($D1359-$C1359+1)+2,"00"),"")&amp;IF($C1359&gt;=4,", "&amp;$A1359&amp;"-"&amp;TEXT(($D1359-$C1359+1)+3,"00"),"")&amp;IF($C1359&gt;=5,", "&amp;$A1359&amp;"-"&amp;TEXT(($D1359-$C1359+1)+4,"00"),"")&amp;IF($C1359&gt;=6,", "&amp;$A1359&amp;"-"&amp;TEXT(($D1359-$C1359+1)+5,"00"),"")&amp;IF($C1359&gt;=7,", "&amp;$A1359&amp;"-"&amp;TEXT(($D1359-$C1359+1)+6,"00"),"")&amp;IF($C1359&gt;=8,", "&amp;$A1359&amp;"-"&amp;TEXT(($D1359-$C1359+1)+7,"00"),"")&amp;IF($C1359&gt;=9,", "&amp;$A1359&amp;"-"&amp;TEXT(($D1359-$C1359+1)+8,"00"),"")&amp;IF($C1359&gt;=10,", "&amp;$A1359&amp;"-"&amp;TEXT(($D1359-$C1359+1)+9,"00"),"")&amp;IF($C1359&gt;=11,", "&amp;$A1359&amp;"-"&amp;TEXT(($D1359-$C1359+1)+10,"00"),"")&amp;IF($C1359&gt;=12,", "&amp;$A1359&amp;"-"&amp;TEXT(($D1359-$C1359+1)+11,"00"),"")&amp;IF($C1359&gt;=13,", "&amp;$A1359&amp;"-"&amp;TEXT(($D1359-$C1359+1)+12,"00"),"")&amp;IF($C1359&gt;=14,", "&amp;$A1359&amp;"-"&amp;TEXT(($D1359-$C1359+1)+13,"00"),"")&amp;IF($C1359&gt;=15,", "&amp;$A1359&amp;"-"&amp;TEXT(($D1359-$C1359+1)+14,"00"),"")&amp;IF($C1359&gt;=16,", "&amp;$A1359&amp;"-"&amp;TEXT(($D1359-$C1359+1)+15,"00"),"")&amp;IF($C1359&gt;=17,", "&amp;$A1359&amp;"-"&amp;TEXT(($D1359-$C1359+1)+16,"00"),"")&amp;IF($C1359&gt;=18,", "&amp;$A1359&amp;"-"&amp;TEXT(($D1359-$C1359+1)+17,"00"),"")&amp;IF($C1359&gt;=19,", "&amp;$A1359&amp;"-"&amp;TEXT(($D1359-$C1359+1)+18,"00"),"")&amp;IF($C1359&gt;=20,", "&amp;$A1359&amp;"-"&amp;TEXT(($D1359-$C1359+1)+19,"00"),"")&amp;IF($C1359&gt;=21,", "&amp;$A1359&amp;"-"&amp;TEXT(($D1359-$C1359+1)+20,"00"),"")&amp;IF($C1359&gt;=22,", "&amp;$A1359&amp;"-"&amp;TEXT(($D1359-$C1359+1)+21,"00"),"")&amp;IF($C1359&gt;=23,", "&amp;$A1359&amp;"-"&amp;TEXT(($D1359-$C1359+1)+22,"00"),"")&amp;IF($C1359&gt;=24,", "&amp;$A1359&amp;"-"&amp;TEXT(($D1359-$C1359+1)+23,"00"),"")&amp;IF($C1359&gt;=25,", "&amp;$A1359&amp;"-"&amp;TEXT(($D1359-$C1359+1)+24,"00"),""))</f>
        <v/>
      </c>
      <c r="G1359">
        <f>IF($A1359="","",IF($E1359=1,$F1359,IF($F1359="",$G1358,IF($G1358="",$F1359,$G1358&amp;", "&amp;$F1359))))</f>
        <v/>
      </c>
      <c r="H1359">
        <f>IF($A1359="","",$A1359&amp;" ("&amp;$C1359&amp;")")</f>
        <v/>
      </c>
      <c r="I1359">
        <f>IF($A1359="","",IF($E1359=1,$H1359,$I1358&amp;", "&amp;$H1359))</f>
        <v/>
      </c>
      <c r="J1359">
        <f>IF($A1359="","",IF($E1359=1,$B1359,""))</f>
        <v/>
      </c>
      <c r="K1359">
        <f>IF($A1359="","",IF(COUNTIF($B$2:$B1359,$B1359)=COUNTIF($B$2:$B$1601,$B1359),$B1359,""))</f>
        <v/>
      </c>
    </row>
    <row r="1360">
      <c r="A1360">
        <f>IF('TMP Paste'!$E1360="","",'TMP Paste'!$E1360)</f>
        <v/>
      </c>
      <c r="B1360">
        <f>IF($A1360="","",COUNTIF('TMP Paste'!$B$2:$B1360,"?*"))</f>
        <v/>
      </c>
      <c r="C1360">
        <f>IF($A1360="","",IFERROR('TMP Paste'!$M1360*1,0))</f>
        <v/>
      </c>
      <c r="D1360">
        <f>IF($A1360="","",SUMIF($B$2:$B1360,$B1360,$C$2:$C1360))</f>
        <v/>
      </c>
      <c r="E1360">
        <f>IF($A1360="",0,IF('TMP Paste'!$B1360="",0,1))</f>
        <v/>
      </c>
      <c r="F1360">
        <f>IF(OR($A1360="",$C1360&lt;1),"",$A1360&amp;"-"&amp;TEXT(($D1360-$C1360+1),"00")&amp;IF($C1360&gt;=2,", "&amp;$A1360&amp;"-"&amp;TEXT(($D1360-$C1360+1)+1,"00"),"")&amp;IF($C1360&gt;=3,", "&amp;$A1360&amp;"-"&amp;TEXT(($D1360-$C1360+1)+2,"00"),"")&amp;IF($C1360&gt;=4,", "&amp;$A1360&amp;"-"&amp;TEXT(($D1360-$C1360+1)+3,"00"),"")&amp;IF($C1360&gt;=5,", "&amp;$A1360&amp;"-"&amp;TEXT(($D1360-$C1360+1)+4,"00"),"")&amp;IF($C1360&gt;=6,", "&amp;$A1360&amp;"-"&amp;TEXT(($D1360-$C1360+1)+5,"00"),"")&amp;IF($C1360&gt;=7,", "&amp;$A1360&amp;"-"&amp;TEXT(($D1360-$C1360+1)+6,"00"),"")&amp;IF($C1360&gt;=8,", "&amp;$A1360&amp;"-"&amp;TEXT(($D1360-$C1360+1)+7,"00"),"")&amp;IF($C1360&gt;=9,", "&amp;$A1360&amp;"-"&amp;TEXT(($D1360-$C1360+1)+8,"00"),"")&amp;IF($C1360&gt;=10,", "&amp;$A1360&amp;"-"&amp;TEXT(($D1360-$C1360+1)+9,"00"),"")&amp;IF($C1360&gt;=11,", "&amp;$A1360&amp;"-"&amp;TEXT(($D1360-$C1360+1)+10,"00"),"")&amp;IF($C1360&gt;=12,", "&amp;$A1360&amp;"-"&amp;TEXT(($D1360-$C1360+1)+11,"00"),"")&amp;IF($C1360&gt;=13,", "&amp;$A1360&amp;"-"&amp;TEXT(($D1360-$C1360+1)+12,"00"),"")&amp;IF($C1360&gt;=14,", "&amp;$A1360&amp;"-"&amp;TEXT(($D1360-$C1360+1)+13,"00"),"")&amp;IF($C1360&gt;=15,", "&amp;$A1360&amp;"-"&amp;TEXT(($D1360-$C1360+1)+14,"00"),"")&amp;IF($C1360&gt;=16,", "&amp;$A1360&amp;"-"&amp;TEXT(($D1360-$C1360+1)+15,"00"),"")&amp;IF($C1360&gt;=17,", "&amp;$A1360&amp;"-"&amp;TEXT(($D1360-$C1360+1)+16,"00"),"")&amp;IF($C1360&gt;=18,", "&amp;$A1360&amp;"-"&amp;TEXT(($D1360-$C1360+1)+17,"00"),"")&amp;IF($C1360&gt;=19,", "&amp;$A1360&amp;"-"&amp;TEXT(($D1360-$C1360+1)+18,"00"),"")&amp;IF($C1360&gt;=20,", "&amp;$A1360&amp;"-"&amp;TEXT(($D1360-$C1360+1)+19,"00"),"")&amp;IF($C1360&gt;=21,", "&amp;$A1360&amp;"-"&amp;TEXT(($D1360-$C1360+1)+20,"00"),"")&amp;IF($C1360&gt;=22,", "&amp;$A1360&amp;"-"&amp;TEXT(($D1360-$C1360+1)+21,"00"),"")&amp;IF($C1360&gt;=23,", "&amp;$A1360&amp;"-"&amp;TEXT(($D1360-$C1360+1)+22,"00"),"")&amp;IF($C1360&gt;=24,", "&amp;$A1360&amp;"-"&amp;TEXT(($D1360-$C1360+1)+23,"00"),"")&amp;IF($C1360&gt;=25,", "&amp;$A1360&amp;"-"&amp;TEXT(($D1360-$C1360+1)+24,"00"),""))</f>
        <v/>
      </c>
      <c r="G1360">
        <f>IF($A1360="","",IF($E1360=1,$F1360,IF($F1360="",$G1359,IF($G1359="",$F1360,$G1359&amp;", "&amp;$F1360))))</f>
        <v/>
      </c>
      <c r="H1360">
        <f>IF($A1360="","",$A1360&amp;" ("&amp;$C1360&amp;")")</f>
        <v/>
      </c>
      <c r="I1360">
        <f>IF($A1360="","",IF($E1360=1,$H1360,$I1359&amp;", "&amp;$H1360))</f>
        <v/>
      </c>
      <c r="J1360">
        <f>IF($A1360="","",IF($E1360=1,$B1360,""))</f>
        <v/>
      </c>
      <c r="K1360">
        <f>IF($A1360="","",IF(COUNTIF($B$2:$B1360,$B1360)=COUNTIF($B$2:$B$1601,$B1360),$B1360,""))</f>
        <v/>
      </c>
    </row>
    <row r="1361">
      <c r="A1361">
        <f>IF('TMP Paste'!$E1361="","",'TMP Paste'!$E1361)</f>
        <v/>
      </c>
      <c r="B1361">
        <f>IF($A1361="","",COUNTIF('TMP Paste'!$B$2:$B1361,"?*"))</f>
        <v/>
      </c>
      <c r="C1361">
        <f>IF($A1361="","",IFERROR('TMP Paste'!$M1361*1,0))</f>
        <v/>
      </c>
      <c r="D1361">
        <f>IF($A1361="","",SUMIF($B$2:$B1361,$B1361,$C$2:$C1361))</f>
        <v/>
      </c>
      <c r="E1361">
        <f>IF($A1361="",0,IF('TMP Paste'!$B1361="",0,1))</f>
        <v/>
      </c>
      <c r="F1361">
        <f>IF(OR($A1361="",$C1361&lt;1),"",$A1361&amp;"-"&amp;TEXT(($D1361-$C1361+1),"00")&amp;IF($C1361&gt;=2,", "&amp;$A1361&amp;"-"&amp;TEXT(($D1361-$C1361+1)+1,"00"),"")&amp;IF($C1361&gt;=3,", "&amp;$A1361&amp;"-"&amp;TEXT(($D1361-$C1361+1)+2,"00"),"")&amp;IF($C1361&gt;=4,", "&amp;$A1361&amp;"-"&amp;TEXT(($D1361-$C1361+1)+3,"00"),"")&amp;IF($C1361&gt;=5,", "&amp;$A1361&amp;"-"&amp;TEXT(($D1361-$C1361+1)+4,"00"),"")&amp;IF($C1361&gt;=6,", "&amp;$A1361&amp;"-"&amp;TEXT(($D1361-$C1361+1)+5,"00"),"")&amp;IF($C1361&gt;=7,", "&amp;$A1361&amp;"-"&amp;TEXT(($D1361-$C1361+1)+6,"00"),"")&amp;IF($C1361&gt;=8,", "&amp;$A1361&amp;"-"&amp;TEXT(($D1361-$C1361+1)+7,"00"),"")&amp;IF($C1361&gt;=9,", "&amp;$A1361&amp;"-"&amp;TEXT(($D1361-$C1361+1)+8,"00"),"")&amp;IF($C1361&gt;=10,", "&amp;$A1361&amp;"-"&amp;TEXT(($D1361-$C1361+1)+9,"00"),"")&amp;IF($C1361&gt;=11,", "&amp;$A1361&amp;"-"&amp;TEXT(($D1361-$C1361+1)+10,"00"),"")&amp;IF($C1361&gt;=12,", "&amp;$A1361&amp;"-"&amp;TEXT(($D1361-$C1361+1)+11,"00"),"")&amp;IF($C1361&gt;=13,", "&amp;$A1361&amp;"-"&amp;TEXT(($D1361-$C1361+1)+12,"00"),"")&amp;IF($C1361&gt;=14,", "&amp;$A1361&amp;"-"&amp;TEXT(($D1361-$C1361+1)+13,"00"),"")&amp;IF($C1361&gt;=15,", "&amp;$A1361&amp;"-"&amp;TEXT(($D1361-$C1361+1)+14,"00"),"")&amp;IF($C1361&gt;=16,", "&amp;$A1361&amp;"-"&amp;TEXT(($D1361-$C1361+1)+15,"00"),"")&amp;IF($C1361&gt;=17,", "&amp;$A1361&amp;"-"&amp;TEXT(($D1361-$C1361+1)+16,"00"),"")&amp;IF($C1361&gt;=18,", "&amp;$A1361&amp;"-"&amp;TEXT(($D1361-$C1361+1)+17,"00"),"")&amp;IF($C1361&gt;=19,", "&amp;$A1361&amp;"-"&amp;TEXT(($D1361-$C1361+1)+18,"00"),"")&amp;IF($C1361&gt;=20,", "&amp;$A1361&amp;"-"&amp;TEXT(($D1361-$C1361+1)+19,"00"),"")&amp;IF($C1361&gt;=21,", "&amp;$A1361&amp;"-"&amp;TEXT(($D1361-$C1361+1)+20,"00"),"")&amp;IF($C1361&gt;=22,", "&amp;$A1361&amp;"-"&amp;TEXT(($D1361-$C1361+1)+21,"00"),"")&amp;IF($C1361&gt;=23,", "&amp;$A1361&amp;"-"&amp;TEXT(($D1361-$C1361+1)+22,"00"),"")&amp;IF($C1361&gt;=24,", "&amp;$A1361&amp;"-"&amp;TEXT(($D1361-$C1361+1)+23,"00"),"")&amp;IF($C1361&gt;=25,", "&amp;$A1361&amp;"-"&amp;TEXT(($D1361-$C1361+1)+24,"00"),""))</f>
        <v/>
      </c>
      <c r="G1361">
        <f>IF($A1361="","",IF($E1361=1,$F1361,IF($F1361="",$G1360,IF($G1360="",$F1361,$G1360&amp;", "&amp;$F1361))))</f>
        <v/>
      </c>
      <c r="H1361">
        <f>IF($A1361="","",$A1361&amp;" ("&amp;$C1361&amp;")")</f>
        <v/>
      </c>
      <c r="I1361">
        <f>IF($A1361="","",IF($E1361=1,$H1361,$I1360&amp;", "&amp;$H1361))</f>
        <v/>
      </c>
      <c r="J1361">
        <f>IF($A1361="","",IF($E1361=1,$B1361,""))</f>
        <v/>
      </c>
      <c r="K1361">
        <f>IF($A1361="","",IF(COUNTIF($B$2:$B1361,$B1361)=COUNTIF($B$2:$B$1601,$B1361),$B1361,""))</f>
        <v/>
      </c>
    </row>
    <row r="1362">
      <c r="A1362">
        <f>IF('TMP Paste'!$E1362="","",'TMP Paste'!$E1362)</f>
        <v/>
      </c>
      <c r="B1362">
        <f>IF($A1362="","",COUNTIF('TMP Paste'!$B$2:$B1362,"?*"))</f>
        <v/>
      </c>
      <c r="C1362">
        <f>IF($A1362="","",IFERROR('TMP Paste'!$M1362*1,0))</f>
        <v/>
      </c>
      <c r="D1362">
        <f>IF($A1362="","",SUMIF($B$2:$B1362,$B1362,$C$2:$C1362))</f>
        <v/>
      </c>
      <c r="E1362">
        <f>IF($A1362="",0,IF('TMP Paste'!$B1362="",0,1))</f>
        <v/>
      </c>
      <c r="F1362">
        <f>IF(OR($A1362="",$C1362&lt;1),"",$A1362&amp;"-"&amp;TEXT(($D1362-$C1362+1),"00")&amp;IF($C1362&gt;=2,", "&amp;$A1362&amp;"-"&amp;TEXT(($D1362-$C1362+1)+1,"00"),"")&amp;IF($C1362&gt;=3,", "&amp;$A1362&amp;"-"&amp;TEXT(($D1362-$C1362+1)+2,"00"),"")&amp;IF($C1362&gt;=4,", "&amp;$A1362&amp;"-"&amp;TEXT(($D1362-$C1362+1)+3,"00"),"")&amp;IF($C1362&gt;=5,", "&amp;$A1362&amp;"-"&amp;TEXT(($D1362-$C1362+1)+4,"00"),"")&amp;IF($C1362&gt;=6,", "&amp;$A1362&amp;"-"&amp;TEXT(($D1362-$C1362+1)+5,"00"),"")&amp;IF($C1362&gt;=7,", "&amp;$A1362&amp;"-"&amp;TEXT(($D1362-$C1362+1)+6,"00"),"")&amp;IF($C1362&gt;=8,", "&amp;$A1362&amp;"-"&amp;TEXT(($D1362-$C1362+1)+7,"00"),"")&amp;IF($C1362&gt;=9,", "&amp;$A1362&amp;"-"&amp;TEXT(($D1362-$C1362+1)+8,"00"),"")&amp;IF($C1362&gt;=10,", "&amp;$A1362&amp;"-"&amp;TEXT(($D1362-$C1362+1)+9,"00"),"")&amp;IF($C1362&gt;=11,", "&amp;$A1362&amp;"-"&amp;TEXT(($D1362-$C1362+1)+10,"00"),"")&amp;IF($C1362&gt;=12,", "&amp;$A1362&amp;"-"&amp;TEXT(($D1362-$C1362+1)+11,"00"),"")&amp;IF($C1362&gt;=13,", "&amp;$A1362&amp;"-"&amp;TEXT(($D1362-$C1362+1)+12,"00"),"")&amp;IF($C1362&gt;=14,", "&amp;$A1362&amp;"-"&amp;TEXT(($D1362-$C1362+1)+13,"00"),"")&amp;IF($C1362&gt;=15,", "&amp;$A1362&amp;"-"&amp;TEXT(($D1362-$C1362+1)+14,"00"),"")&amp;IF($C1362&gt;=16,", "&amp;$A1362&amp;"-"&amp;TEXT(($D1362-$C1362+1)+15,"00"),"")&amp;IF($C1362&gt;=17,", "&amp;$A1362&amp;"-"&amp;TEXT(($D1362-$C1362+1)+16,"00"),"")&amp;IF($C1362&gt;=18,", "&amp;$A1362&amp;"-"&amp;TEXT(($D1362-$C1362+1)+17,"00"),"")&amp;IF($C1362&gt;=19,", "&amp;$A1362&amp;"-"&amp;TEXT(($D1362-$C1362+1)+18,"00"),"")&amp;IF($C1362&gt;=20,", "&amp;$A1362&amp;"-"&amp;TEXT(($D1362-$C1362+1)+19,"00"),"")&amp;IF($C1362&gt;=21,", "&amp;$A1362&amp;"-"&amp;TEXT(($D1362-$C1362+1)+20,"00"),"")&amp;IF($C1362&gt;=22,", "&amp;$A1362&amp;"-"&amp;TEXT(($D1362-$C1362+1)+21,"00"),"")&amp;IF($C1362&gt;=23,", "&amp;$A1362&amp;"-"&amp;TEXT(($D1362-$C1362+1)+22,"00"),"")&amp;IF($C1362&gt;=24,", "&amp;$A1362&amp;"-"&amp;TEXT(($D1362-$C1362+1)+23,"00"),"")&amp;IF($C1362&gt;=25,", "&amp;$A1362&amp;"-"&amp;TEXT(($D1362-$C1362+1)+24,"00"),""))</f>
        <v/>
      </c>
      <c r="G1362">
        <f>IF($A1362="","",IF($E1362=1,$F1362,IF($F1362="",$G1361,IF($G1361="",$F1362,$G1361&amp;", "&amp;$F1362))))</f>
        <v/>
      </c>
      <c r="H1362">
        <f>IF($A1362="","",$A1362&amp;" ("&amp;$C1362&amp;")")</f>
        <v/>
      </c>
      <c r="I1362">
        <f>IF($A1362="","",IF($E1362=1,$H1362,$I1361&amp;", "&amp;$H1362))</f>
        <v/>
      </c>
      <c r="J1362">
        <f>IF($A1362="","",IF($E1362=1,$B1362,""))</f>
        <v/>
      </c>
      <c r="K1362">
        <f>IF($A1362="","",IF(COUNTIF($B$2:$B1362,$B1362)=COUNTIF($B$2:$B$1601,$B1362),$B1362,""))</f>
        <v/>
      </c>
    </row>
    <row r="1363">
      <c r="A1363">
        <f>IF('TMP Paste'!$E1363="","",'TMP Paste'!$E1363)</f>
        <v/>
      </c>
      <c r="B1363">
        <f>IF($A1363="","",COUNTIF('TMP Paste'!$B$2:$B1363,"?*"))</f>
        <v/>
      </c>
      <c r="C1363">
        <f>IF($A1363="","",IFERROR('TMP Paste'!$M1363*1,0))</f>
        <v/>
      </c>
      <c r="D1363">
        <f>IF($A1363="","",SUMIF($B$2:$B1363,$B1363,$C$2:$C1363))</f>
        <v/>
      </c>
      <c r="E1363">
        <f>IF($A1363="",0,IF('TMP Paste'!$B1363="",0,1))</f>
        <v/>
      </c>
      <c r="F1363">
        <f>IF(OR($A1363="",$C1363&lt;1),"",$A1363&amp;"-"&amp;TEXT(($D1363-$C1363+1),"00")&amp;IF($C1363&gt;=2,", "&amp;$A1363&amp;"-"&amp;TEXT(($D1363-$C1363+1)+1,"00"),"")&amp;IF($C1363&gt;=3,", "&amp;$A1363&amp;"-"&amp;TEXT(($D1363-$C1363+1)+2,"00"),"")&amp;IF($C1363&gt;=4,", "&amp;$A1363&amp;"-"&amp;TEXT(($D1363-$C1363+1)+3,"00"),"")&amp;IF($C1363&gt;=5,", "&amp;$A1363&amp;"-"&amp;TEXT(($D1363-$C1363+1)+4,"00"),"")&amp;IF($C1363&gt;=6,", "&amp;$A1363&amp;"-"&amp;TEXT(($D1363-$C1363+1)+5,"00"),"")&amp;IF($C1363&gt;=7,", "&amp;$A1363&amp;"-"&amp;TEXT(($D1363-$C1363+1)+6,"00"),"")&amp;IF($C1363&gt;=8,", "&amp;$A1363&amp;"-"&amp;TEXT(($D1363-$C1363+1)+7,"00"),"")&amp;IF($C1363&gt;=9,", "&amp;$A1363&amp;"-"&amp;TEXT(($D1363-$C1363+1)+8,"00"),"")&amp;IF($C1363&gt;=10,", "&amp;$A1363&amp;"-"&amp;TEXT(($D1363-$C1363+1)+9,"00"),"")&amp;IF($C1363&gt;=11,", "&amp;$A1363&amp;"-"&amp;TEXT(($D1363-$C1363+1)+10,"00"),"")&amp;IF($C1363&gt;=12,", "&amp;$A1363&amp;"-"&amp;TEXT(($D1363-$C1363+1)+11,"00"),"")&amp;IF($C1363&gt;=13,", "&amp;$A1363&amp;"-"&amp;TEXT(($D1363-$C1363+1)+12,"00"),"")&amp;IF($C1363&gt;=14,", "&amp;$A1363&amp;"-"&amp;TEXT(($D1363-$C1363+1)+13,"00"),"")&amp;IF($C1363&gt;=15,", "&amp;$A1363&amp;"-"&amp;TEXT(($D1363-$C1363+1)+14,"00"),"")&amp;IF($C1363&gt;=16,", "&amp;$A1363&amp;"-"&amp;TEXT(($D1363-$C1363+1)+15,"00"),"")&amp;IF($C1363&gt;=17,", "&amp;$A1363&amp;"-"&amp;TEXT(($D1363-$C1363+1)+16,"00"),"")&amp;IF($C1363&gt;=18,", "&amp;$A1363&amp;"-"&amp;TEXT(($D1363-$C1363+1)+17,"00"),"")&amp;IF($C1363&gt;=19,", "&amp;$A1363&amp;"-"&amp;TEXT(($D1363-$C1363+1)+18,"00"),"")&amp;IF($C1363&gt;=20,", "&amp;$A1363&amp;"-"&amp;TEXT(($D1363-$C1363+1)+19,"00"),"")&amp;IF($C1363&gt;=21,", "&amp;$A1363&amp;"-"&amp;TEXT(($D1363-$C1363+1)+20,"00"),"")&amp;IF($C1363&gt;=22,", "&amp;$A1363&amp;"-"&amp;TEXT(($D1363-$C1363+1)+21,"00"),"")&amp;IF($C1363&gt;=23,", "&amp;$A1363&amp;"-"&amp;TEXT(($D1363-$C1363+1)+22,"00"),"")&amp;IF($C1363&gt;=24,", "&amp;$A1363&amp;"-"&amp;TEXT(($D1363-$C1363+1)+23,"00"),"")&amp;IF($C1363&gt;=25,", "&amp;$A1363&amp;"-"&amp;TEXT(($D1363-$C1363+1)+24,"00"),""))</f>
        <v/>
      </c>
      <c r="G1363">
        <f>IF($A1363="","",IF($E1363=1,$F1363,IF($F1363="",$G1362,IF($G1362="",$F1363,$G1362&amp;", "&amp;$F1363))))</f>
        <v/>
      </c>
      <c r="H1363">
        <f>IF($A1363="","",$A1363&amp;" ("&amp;$C1363&amp;")")</f>
        <v/>
      </c>
      <c r="I1363">
        <f>IF($A1363="","",IF($E1363=1,$H1363,$I1362&amp;", "&amp;$H1363))</f>
        <v/>
      </c>
      <c r="J1363">
        <f>IF($A1363="","",IF($E1363=1,$B1363,""))</f>
        <v/>
      </c>
      <c r="K1363">
        <f>IF($A1363="","",IF(COUNTIF($B$2:$B1363,$B1363)=COUNTIF($B$2:$B$1601,$B1363),$B1363,""))</f>
        <v/>
      </c>
    </row>
    <row r="1364">
      <c r="A1364">
        <f>IF('TMP Paste'!$E1364="","",'TMP Paste'!$E1364)</f>
        <v/>
      </c>
      <c r="B1364">
        <f>IF($A1364="","",COUNTIF('TMP Paste'!$B$2:$B1364,"?*"))</f>
        <v/>
      </c>
      <c r="C1364">
        <f>IF($A1364="","",IFERROR('TMP Paste'!$M1364*1,0))</f>
        <v/>
      </c>
      <c r="D1364">
        <f>IF($A1364="","",SUMIF($B$2:$B1364,$B1364,$C$2:$C1364))</f>
        <v/>
      </c>
      <c r="E1364">
        <f>IF($A1364="",0,IF('TMP Paste'!$B1364="",0,1))</f>
        <v/>
      </c>
      <c r="F1364">
        <f>IF(OR($A1364="",$C1364&lt;1),"",$A1364&amp;"-"&amp;TEXT(($D1364-$C1364+1),"00")&amp;IF($C1364&gt;=2,", "&amp;$A1364&amp;"-"&amp;TEXT(($D1364-$C1364+1)+1,"00"),"")&amp;IF($C1364&gt;=3,", "&amp;$A1364&amp;"-"&amp;TEXT(($D1364-$C1364+1)+2,"00"),"")&amp;IF($C1364&gt;=4,", "&amp;$A1364&amp;"-"&amp;TEXT(($D1364-$C1364+1)+3,"00"),"")&amp;IF($C1364&gt;=5,", "&amp;$A1364&amp;"-"&amp;TEXT(($D1364-$C1364+1)+4,"00"),"")&amp;IF($C1364&gt;=6,", "&amp;$A1364&amp;"-"&amp;TEXT(($D1364-$C1364+1)+5,"00"),"")&amp;IF($C1364&gt;=7,", "&amp;$A1364&amp;"-"&amp;TEXT(($D1364-$C1364+1)+6,"00"),"")&amp;IF($C1364&gt;=8,", "&amp;$A1364&amp;"-"&amp;TEXT(($D1364-$C1364+1)+7,"00"),"")&amp;IF($C1364&gt;=9,", "&amp;$A1364&amp;"-"&amp;TEXT(($D1364-$C1364+1)+8,"00"),"")&amp;IF($C1364&gt;=10,", "&amp;$A1364&amp;"-"&amp;TEXT(($D1364-$C1364+1)+9,"00"),"")&amp;IF($C1364&gt;=11,", "&amp;$A1364&amp;"-"&amp;TEXT(($D1364-$C1364+1)+10,"00"),"")&amp;IF($C1364&gt;=12,", "&amp;$A1364&amp;"-"&amp;TEXT(($D1364-$C1364+1)+11,"00"),"")&amp;IF($C1364&gt;=13,", "&amp;$A1364&amp;"-"&amp;TEXT(($D1364-$C1364+1)+12,"00"),"")&amp;IF($C1364&gt;=14,", "&amp;$A1364&amp;"-"&amp;TEXT(($D1364-$C1364+1)+13,"00"),"")&amp;IF($C1364&gt;=15,", "&amp;$A1364&amp;"-"&amp;TEXT(($D1364-$C1364+1)+14,"00"),"")&amp;IF($C1364&gt;=16,", "&amp;$A1364&amp;"-"&amp;TEXT(($D1364-$C1364+1)+15,"00"),"")&amp;IF($C1364&gt;=17,", "&amp;$A1364&amp;"-"&amp;TEXT(($D1364-$C1364+1)+16,"00"),"")&amp;IF($C1364&gt;=18,", "&amp;$A1364&amp;"-"&amp;TEXT(($D1364-$C1364+1)+17,"00"),"")&amp;IF($C1364&gt;=19,", "&amp;$A1364&amp;"-"&amp;TEXT(($D1364-$C1364+1)+18,"00"),"")&amp;IF($C1364&gt;=20,", "&amp;$A1364&amp;"-"&amp;TEXT(($D1364-$C1364+1)+19,"00"),"")&amp;IF($C1364&gt;=21,", "&amp;$A1364&amp;"-"&amp;TEXT(($D1364-$C1364+1)+20,"00"),"")&amp;IF($C1364&gt;=22,", "&amp;$A1364&amp;"-"&amp;TEXT(($D1364-$C1364+1)+21,"00"),"")&amp;IF($C1364&gt;=23,", "&amp;$A1364&amp;"-"&amp;TEXT(($D1364-$C1364+1)+22,"00"),"")&amp;IF($C1364&gt;=24,", "&amp;$A1364&amp;"-"&amp;TEXT(($D1364-$C1364+1)+23,"00"),"")&amp;IF($C1364&gt;=25,", "&amp;$A1364&amp;"-"&amp;TEXT(($D1364-$C1364+1)+24,"00"),""))</f>
        <v/>
      </c>
      <c r="G1364">
        <f>IF($A1364="","",IF($E1364=1,$F1364,IF($F1364="",$G1363,IF($G1363="",$F1364,$G1363&amp;", "&amp;$F1364))))</f>
        <v/>
      </c>
      <c r="H1364">
        <f>IF($A1364="","",$A1364&amp;" ("&amp;$C1364&amp;")")</f>
        <v/>
      </c>
      <c r="I1364">
        <f>IF($A1364="","",IF($E1364=1,$H1364,$I1363&amp;", "&amp;$H1364))</f>
        <v/>
      </c>
      <c r="J1364">
        <f>IF($A1364="","",IF($E1364=1,$B1364,""))</f>
        <v/>
      </c>
      <c r="K1364">
        <f>IF($A1364="","",IF(COUNTIF($B$2:$B1364,$B1364)=COUNTIF($B$2:$B$1601,$B1364),$B1364,""))</f>
        <v/>
      </c>
    </row>
    <row r="1365">
      <c r="A1365">
        <f>IF('TMP Paste'!$E1365="","",'TMP Paste'!$E1365)</f>
        <v/>
      </c>
      <c r="B1365">
        <f>IF($A1365="","",COUNTIF('TMP Paste'!$B$2:$B1365,"?*"))</f>
        <v/>
      </c>
      <c r="C1365">
        <f>IF($A1365="","",IFERROR('TMP Paste'!$M1365*1,0))</f>
        <v/>
      </c>
      <c r="D1365">
        <f>IF($A1365="","",SUMIF($B$2:$B1365,$B1365,$C$2:$C1365))</f>
        <v/>
      </c>
      <c r="E1365">
        <f>IF($A1365="",0,IF('TMP Paste'!$B1365="",0,1))</f>
        <v/>
      </c>
      <c r="F1365">
        <f>IF(OR($A1365="",$C1365&lt;1),"",$A1365&amp;"-"&amp;TEXT(($D1365-$C1365+1),"00")&amp;IF($C1365&gt;=2,", "&amp;$A1365&amp;"-"&amp;TEXT(($D1365-$C1365+1)+1,"00"),"")&amp;IF($C1365&gt;=3,", "&amp;$A1365&amp;"-"&amp;TEXT(($D1365-$C1365+1)+2,"00"),"")&amp;IF($C1365&gt;=4,", "&amp;$A1365&amp;"-"&amp;TEXT(($D1365-$C1365+1)+3,"00"),"")&amp;IF($C1365&gt;=5,", "&amp;$A1365&amp;"-"&amp;TEXT(($D1365-$C1365+1)+4,"00"),"")&amp;IF($C1365&gt;=6,", "&amp;$A1365&amp;"-"&amp;TEXT(($D1365-$C1365+1)+5,"00"),"")&amp;IF($C1365&gt;=7,", "&amp;$A1365&amp;"-"&amp;TEXT(($D1365-$C1365+1)+6,"00"),"")&amp;IF($C1365&gt;=8,", "&amp;$A1365&amp;"-"&amp;TEXT(($D1365-$C1365+1)+7,"00"),"")&amp;IF($C1365&gt;=9,", "&amp;$A1365&amp;"-"&amp;TEXT(($D1365-$C1365+1)+8,"00"),"")&amp;IF($C1365&gt;=10,", "&amp;$A1365&amp;"-"&amp;TEXT(($D1365-$C1365+1)+9,"00"),"")&amp;IF($C1365&gt;=11,", "&amp;$A1365&amp;"-"&amp;TEXT(($D1365-$C1365+1)+10,"00"),"")&amp;IF($C1365&gt;=12,", "&amp;$A1365&amp;"-"&amp;TEXT(($D1365-$C1365+1)+11,"00"),"")&amp;IF($C1365&gt;=13,", "&amp;$A1365&amp;"-"&amp;TEXT(($D1365-$C1365+1)+12,"00"),"")&amp;IF($C1365&gt;=14,", "&amp;$A1365&amp;"-"&amp;TEXT(($D1365-$C1365+1)+13,"00"),"")&amp;IF($C1365&gt;=15,", "&amp;$A1365&amp;"-"&amp;TEXT(($D1365-$C1365+1)+14,"00"),"")&amp;IF($C1365&gt;=16,", "&amp;$A1365&amp;"-"&amp;TEXT(($D1365-$C1365+1)+15,"00"),"")&amp;IF($C1365&gt;=17,", "&amp;$A1365&amp;"-"&amp;TEXT(($D1365-$C1365+1)+16,"00"),"")&amp;IF($C1365&gt;=18,", "&amp;$A1365&amp;"-"&amp;TEXT(($D1365-$C1365+1)+17,"00"),"")&amp;IF($C1365&gt;=19,", "&amp;$A1365&amp;"-"&amp;TEXT(($D1365-$C1365+1)+18,"00"),"")&amp;IF($C1365&gt;=20,", "&amp;$A1365&amp;"-"&amp;TEXT(($D1365-$C1365+1)+19,"00"),"")&amp;IF($C1365&gt;=21,", "&amp;$A1365&amp;"-"&amp;TEXT(($D1365-$C1365+1)+20,"00"),"")&amp;IF($C1365&gt;=22,", "&amp;$A1365&amp;"-"&amp;TEXT(($D1365-$C1365+1)+21,"00"),"")&amp;IF($C1365&gt;=23,", "&amp;$A1365&amp;"-"&amp;TEXT(($D1365-$C1365+1)+22,"00"),"")&amp;IF($C1365&gt;=24,", "&amp;$A1365&amp;"-"&amp;TEXT(($D1365-$C1365+1)+23,"00"),"")&amp;IF($C1365&gt;=25,", "&amp;$A1365&amp;"-"&amp;TEXT(($D1365-$C1365+1)+24,"00"),""))</f>
        <v/>
      </c>
      <c r="G1365">
        <f>IF($A1365="","",IF($E1365=1,$F1365,IF($F1365="",$G1364,IF($G1364="",$F1365,$G1364&amp;", "&amp;$F1365))))</f>
        <v/>
      </c>
      <c r="H1365">
        <f>IF($A1365="","",$A1365&amp;" ("&amp;$C1365&amp;")")</f>
        <v/>
      </c>
      <c r="I1365">
        <f>IF($A1365="","",IF($E1365=1,$H1365,$I1364&amp;", "&amp;$H1365))</f>
        <v/>
      </c>
      <c r="J1365">
        <f>IF($A1365="","",IF($E1365=1,$B1365,""))</f>
        <v/>
      </c>
      <c r="K1365">
        <f>IF($A1365="","",IF(COUNTIF($B$2:$B1365,$B1365)=COUNTIF($B$2:$B$1601,$B1365),$B1365,""))</f>
        <v/>
      </c>
    </row>
    <row r="1366">
      <c r="A1366">
        <f>IF('TMP Paste'!$E1366="","",'TMP Paste'!$E1366)</f>
        <v/>
      </c>
      <c r="B1366">
        <f>IF($A1366="","",COUNTIF('TMP Paste'!$B$2:$B1366,"?*"))</f>
        <v/>
      </c>
      <c r="C1366">
        <f>IF($A1366="","",IFERROR('TMP Paste'!$M1366*1,0))</f>
        <v/>
      </c>
      <c r="D1366">
        <f>IF($A1366="","",SUMIF($B$2:$B1366,$B1366,$C$2:$C1366))</f>
        <v/>
      </c>
      <c r="E1366">
        <f>IF($A1366="",0,IF('TMP Paste'!$B1366="",0,1))</f>
        <v/>
      </c>
      <c r="F1366">
        <f>IF(OR($A1366="",$C1366&lt;1),"",$A1366&amp;"-"&amp;TEXT(($D1366-$C1366+1),"00")&amp;IF($C1366&gt;=2,", "&amp;$A1366&amp;"-"&amp;TEXT(($D1366-$C1366+1)+1,"00"),"")&amp;IF($C1366&gt;=3,", "&amp;$A1366&amp;"-"&amp;TEXT(($D1366-$C1366+1)+2,"00"),"")&amp;IF($C1366&gt;=4,", "&amp;$A1366&amp;"-"&amp;TEXT(($D1366-$C1366+1)+3,"00"),"")&amp;IF($C1366&gt;=5,", "&amp;$A1366&amp;"-"&amp;TEXT(($D1366-$C1366+1)+4,"00"),"")&amp;IF($C1366&gt;=6,", "&amp;$A1366&amp;"-"&amp;TEXT(($D1366-$C1366+1)+5,"00"),"")&amp;IF($C1366&gt;=7,", "&amp;$A1366&amp;"-"&amp;TEXT(($D1366-$C1366+1)+6,"00"),"")&amp;IF($C1366&gt;=8,", "&amp;$A1366&amp;"-"&amp;TEXT(($D1366-$C1366+1)+7,"00"),"")&amp;IF($C1366&gt;=9,", "&amp;$A1366&amp;"-"&amp;TEXT(($D1366-$C1366+1)+8,"00"),"")&amp;IF($C1366&gt;=10,", "&amp;$A1366&amp;"-"&amp;TEXT(($D1366-$C1366+1)+9,"00"),"")&amp;IF($C1366&gt;=11,", "&amp;$A1366&amp;"-"&amp;TEXT(($D1366-$C1366+1)+10,"00"),"")&amp;IF($C1366&gt;=12,", "&amp;$A1366&amp;"-"&amp;TEXT(($D1366-$C1366+1)+11,"00"),"")&amp;IF($C1366&gt;=13,", "&amp;$A1366&amp;"-"&amp;TEXT(($D1366-$C1366+1)+12,"00"),"")&amp;IF($C1366&gt;=14,", "&amp;$A1366&amp;"-"&amp;TEXT(($D1366-$C1366+1)+13,"00"),"")&amp;IF($C1366&gt;=15,", "&amp;$A1366&amp;"-"&amp;TEXT(($D1366-$C1366+1)+14,"00"),"")&amp;IF($C1366&gt;=16,", "&amp;$A1366&amp;"-"&amp;TEXT(($D1366-$C1366+1)+15,"00"),"")&amp;IF($C1366&gt;=17,", "&amp;$A1366&amp;"-"&amp;TEXT(($D1366-$C1366+1)+16,"00"),"")&amp;IF($C1366&gt;=18,", "&amp;$A1366&amp;"-"&amp;TEXT(($D1366-$C1366+1)+17,"00"),"")&amp;IF($C1366&gt;=19,", "&amp;$A1366&amp;"-"&amp;TEXT(($D1366-$C1366+1)+18,"00"),"")&amp;IF($C1366&gt;=20,", "&amp;$A1366&amp;"-"&amp;TEXT(($D1366-$C1366+1)+19,"00"),"")&amp;IF($C1366&gt;=21,", "&amp;$A1366&amp;"-"&amp;TEXT(($D1366-$C1366+1)+20,"00"),"")&amp;IF($C1366&gt;=22,", "&amp;$A1366&amp;"-"&amp;TEXT(($D1366-$C1366+1)+21,"00"),"")&amp;IF($C1366&gt;=23,", "&amp;$A1366&amp;"-"&amp;TEXT(($D1366-$C1366+1)+22,"00"),"")&amp;IF($C1366&gt;=24,", "&amp;$A1366&amp;"-"&amp;TEXT(($D1366-$C1366+1)+23,"00"),"")&amp;IF($C1366&gt;=25,", "&amp;$A1366&amp;"-"&amp;TEXT(($D1366-$C1366+1)+24,"00"),""))</f>
        <v/>
      </c>
      <c r="G1366">
        <f>IF($A1366="","",IF($E1366=1,$F1366,IF($F1366="",$G1365,IF($G1365="",$F1366,$G1365&amp;", "&amp;$F1366))))</f>
        <v/>
      </c>
      <c r="H1366">
        <f>IF($A1366="","",$A1366&amp;" ("&amp;$C1366&amp;")")</f>
        <v/>
      </c>
      <c r="I1366">
        <f>IF($A1366="","",IF($E1366=1,$H1366,$I1365&amp;", "&amp;$H1366))</f>
        <v/>
      </c>
      <c r="J1366">
        <f>IF($A1366="","",IF($E1366=1,$B1366,""))</f>
        <v/>
      </c>
      <c r="K1366">
        <f>IF($A1366="","",IF(COUNTIF($B$2:$B1366,$B1366)=COUNTIF($B$2:$B$1601,$B1366),$B1366,""))</f>
        <v/>
      </c>
    </row>
    <row r="1367">
      <c r="A1367">
        <f>IF('TMP Paste'!$E1367="","",'TMP Paste'!$E1367)</f>
        <v/>
      </c>
      <c r="B1367">
        <f>IF($A1367="","",COUNTIF('TMP Paste'!$B$2:$B1367,"?*"))</f>
        <v/>
      </c>
      <c r="C1367">
        <f>IF($A1367="","",IFERROR('TMP Paste'!$M1367*1,0))</f>
        <v/>
      </c>
      <c r="D1367">
        <f>IF($A1367="","",SUMIF($B$2:$B1367,$B1367,$C$2:$C1367))</f>
        <v/>
      </c>
      <c r="E1367">
        <f>IF($A1367="",0,IF('TMP Paste'!$B1367="",0,1))</f>
        <v/>
      </c>
      <c r="F1367">
        <f>IF(OR($A1367="",$C1367&lt;1),"",$A1367&amp;"-"&amp;TEXT(($D1367-$C1367+1),"00")&amp;IF($C1367&gt;=2,", "&amp;$A1367&amp;"-"&amp;TEXT(($D1367-$C1367+1)+1,"00"),"")&amp;IF($C1367&gt;=3,", "&amp;$A1367&amp;"-"&amp;TEXT(($D1367-$C1367+1)+2,"00"),"")&amp;IF($C1367&gt;=4,", "&amp;$A1367&amp;"-"&amp;TEXT(($D1367-$C1367+1)+3,"00"),"")&amp;IF($C1367&gt;=5,", "&amp;$A1367&amp;"-"&amp;TEXT(($D1367-$C1367+1)+4,"00"),"")&amp;IF($C1367&gt;=6,", "&amp;$A1367&amp;"-"&amp;TEXT(($D1367-$C1367+1)+5,"00"),"")&amp;IF($C1367&gt;=7,", "&amp;$A1367&amp;"-"&amp;TEXT(($D1367-$C1367+1)+6,"00"),"")&amp;IF($C1367&gt;=8,", "&amp;$A1367&amp;"-"&amp;TEXT(($D1367-$C1367+1)+7,"00"),"")&amp;IF($C1367&gt;=9,", "&amp;$A1367&amp;"-"&amp;TEXT(($D1367-$C1367+1)+8,"00"),"")&amp;IF($C1367&gt;=10,", "&amp;$A1367&amp;"-"&amp;TEXT(($D1367-$C1367+1)+9,"00"),"")&amp;IF($C1367&gt;=11,", "&amp;$A1367&amp;"-"&amp;TEXT(($D1367-$C1367+1)+10,"00"),"")&amp;IF($C1367&gt;=12,", "&amp;$A1367&amp;"-"&amp;TEXT(($D1367-$C1367+1)+11,"00"),"")&amp;IF($C1367&gt;=13,", "&amp;$A1367&amp;"-"&amp;TEXT(($D1367-$C1367+1)+12,"00"),"")&amp;IF($C1367&gt;=14,", "&amp;$A1367&amp;"-"&amp;TEXT(($D1367-$C1367+1)+13,"00"),"")&amp;IF($C1367&gt;=15,", "&amp;$A1367&amp;"-"&amp;TEXT(($D1367-$C1367+1)+14,"00"),"")&amp;IF($C1367&gt;=16,", "&amp;$A1367&amp;"-"&amp;TEXT(($D1367-$C1367+1)+15,"00"),"")&amp;IF($C1367&gt;=17,", "&amp;$A1367&amp;"-"&amp;TEXT(($D1367-$C1367+1)+16,"00"),"")&amp;IF($C1367&gt;=18,", "&amp;$A1367&amp;"-"&amp;TEXT(($D1367-$C1367+1)+17,"00"),"")&amp;IF($C1367&gt;=19,", "&amp;$A1367&amp;"-"&amp;TEXT(($D1367-$C1367+1)+18,"00"),"")&amp;IF($C1367&gt;=20,", "&amp;$A1367&amp;"-"&amp;TEXT(($D1367-$C1367+1)+19,"00"),"")&amp;IF($C1367&gt;=21,", "&amp;$A1367&amp;"-"&amp;TEXT(($D1367-$C1367+1)+20,"00"),"")&amp;IF($C1367&gt;=22,", "&amp;$A1367&amp;"-"&amp;TEXT(($D1367-$C1367+1)+21,"00"),"")&amp;IF($C1367&gt;=23,", "&amp;$A1367&amp;"-"&amp;TEXT(($D1367-$C1367+1)+22,"00"),"")&amp;IF($C1367&gt;=24,", "&amp;$A1367&amp;"-"&amp;TEXT(($D1367-$C1367+1)+23,"00"),"")&amp;IF($C1367&gt;=25,", "&amp;$A1367&amp;"-"&amp;TEXT(($D1367-$C1367+1)+24,"00"),""))</f>
        <v/>
      </c>
      <c r="G1367">
        <f>IF($A1367="","",IF($E1367=1,$F1367,IF($F1367="",$G1366,IF($G1366="",$F1367,$G1366&amp;", "&amp;$F1367))))</f>
        <v/>
      </c>
      <c r="H1367">
        <f>IF($A1367="","",$A1367&amp;" ("&amp;$C1367&amp;")")</f>
        <v/>
      </c>
      <c r="I1367">
        <f>IF($A1367="","",IF($E1367=1,$H1367,$I1366&amp;", "&amp;$H1367))</f>
        <v/>
      </c>
      <c r="J1367">
        <f>IF($A1367="","",IF($E1367=1,$B1367,""))</f>
        <v/>
      </c>
      <c r="K1367">
        <f>IF($A1367="","",IF(COUNTIF($B$2:$B1367,$B1367)=COUNTIF($B$2:$B$1601,$B1367),$B1367,""))</f>
        <v/>
      </c>
    </row>
    <row r="1368">
      <c r="A1368">
        <f>IF('TMP Paste'!$E1368="","",'TMP Paste'!$E1368)</f>
        <v/>
      </c>
      <c r="B1368">
        <f>IF($A1368="","",COUNTIF('TMP Paste'!$B$2:$B1368,"?*"))</f>
        <v/>
      </c>
      <c r="C1368">
        <f>IF($A1368="","",IFERROR('TMP Paste'!$M1368*1,0))</f>
        <v/>
      </c>
      <c r="D1368">
        <f>IF($A1368="","",SUMIF($B$2:$B1368,$B1368,$C$2:$C1368))</f>
        <v/>
      </c>
      <c r="E1368">
        <f>IF($A1368="",0,IF('TMP Paste'!$B1368="",0,1))</f>
        <v/>
      </c>
      <c r="F1368">
        <f>IF(OR($A1368="",$C1368&lt;1),"",$A1368&amp;"-"&amp;TEXT(($D1368-$C1368+1),"00")&amp;IF($C1368&gt;=2,", "&amp;$A1368&amp;"-"&amp;TEXT(($D1368-$C1368+1)+1,"00"),"")&amp;IF($C1368&gt;=3,", "&amp;$A1368&amp;"-"&amp;TEXT(($D1368-$C1368+1)+2,"00"),"")&amp;IF($C1368&gt;=4,", "&amp;$A1368&amp;"-"&amp;TEXT(($D1368-$C1368+1)+3,"00"),"")&amp;IF($C1368&gt;=5,", "&amp;$A1368&amp;"-"&amp;TEXT(($D1368-$C1368+1)+4,"00"),"")&amp;IF($C1368&gt;=6,", "&amp;$A1368&amp;"-"&amp;TEXT(($D1368-$C1368+1)+5,"00"),"")&amp;IF($C1368&gt;=7,", "&amp;$A1368&amp;"-"&amp;TEXT(($D1368-$C1368+1)+6,"00"),"")&amp;IF($C1368&gt;=8,", "&amp;$A1368&amp;"-"&amp;TEXT(($D1368-$C1368+1)+7,"00"),"")&amp;IF($C1368&gt;=9,", "&amp;$A1368&amp;"-"&amp;TEXT(($D1368-$C1368+1)+8,"00"),"")&amp;IF($C1368&gt;=10,", "&amp;$A1368&amp;"-"&amp;TEXT(($D1368-$C1368+1)+9,"00"),"")&amp;IF($C1368&gt;=11,", "&amp;$A1368&amp;"-"&amp;TEXT(($D1368-$C1368+1)+10,"00"),"")&amp;IF($C1368&gt;=12,", "&amp;$A1368&amp;"-"&amp;TEXT(($D1368-$C1368+1)+11,"00"),"")&amp;IF($C1368&gt;=13,", "&amp;$A1368&amp;"-"&amp;TEXT(($D1368-$C1368+1)+12,"00"),"")&amp;IF($C1368&gt;=14,", "&amp;$A1368&amp;"-"&amp;TEXT(($D1368-$C1368+1)+13,"00"),"")&amp;IF($C1368&gt;=15,", "&amp;$A1368&amp;"-"&amp;TEXT(($D1368-$C1368+1)+14,"00"),"")&amp;IF($C1368&gt;=16,", "&amp;$A1368&amp;"-"&amp;TEXT(($D1368-$C1368+1)+15,"00"),"")&amp;IF($C1368&gt;=17,", "&amp;$A1368&amp;"-"&amp;TEXT(($D1368-$C1368+1)+16,"00"),"")&amp;IF($C1368&gt;=18,", "&amp;$A1368&amp;"-"&amp;TEXT(($D1368-$C1368+1)+17,"00"),"")&amp;IF($C1368&gt;=19,", "&amp;$A1368&amp;"-"&amp;TEXT(($D1368-$C1368+1)+18,"00"),"")&amp;IF($C1368&gt;=20,", "&amp;$A1368&amp;"-"&amp;TEXT(($D1368-$C1368+1)+19,"00"),"")&amp;IF($C1368&gt;=21,", "&amp;$A1368&amp;"-"&amp;TEXT(($D1368-$C1368+1)+20,"00"),"")&amp;IF($C1368&gt;=22,", "&amp;$A1368&amp;"-"&amp;TEXT(($D1368-$C1368+1)+21,"00"),"")&amp;IF($C1368&gt;=23,", "&amp;$A1368&amp;"-"&amp;TEXT(($D1368-$C1368+1)+22,"00"),"")&amp;IF($C1368&gt;=24,", "&amp;$A1368&amp;"-"&amp;TEXT(($D1368-$C1368+1)+23,"00"),"")&amp;IF($C1368&gt;=25,", "&amp;$A1368&amp;"-"&amp;TEXT(($D1368-$C1368+1)+24,"00"),""))</f>
        <v/>
      </c>
      <c r="G1368">
        <f>IF($A1368="","",IF($E1368=1,$F1368,IF($F1368="",$G1367,IF($G1367="",$F1368,$G1367&amp;", "&amp;$F1368))))</f>
        <v/>
      </c>
      <c r="H1368">
        <f>IF($A1368="","",$A1368&amp;" ("&amp;$C1368&amp;")")</f>
        <v/>
      </c>
      <c r="I1368">
        <f>IF($A1368="","",IF($E1368=1,$H1368,$I1367&amp;", "&amp;$H1368))</f>
        <v/>
      </c>
      <c r="J1368">
        <f>IF($A1368="","",IF($E1368=1,$B1368,""))</f>
        <v/>
      </c>
      <c r="K1368">
        <f>IF($A1368="","",IF(COUNTIF($B$2:$B1368,$B1368)=COUNTIF($B$2:$B$1601,$B1368),$B1368,""))</f>
        <v/>
      </c>
    </row>
    <row r="1369">
      <c r="A1369">
        <f>IF('TMP Paste'!$E1369="","",'TMP Paste'!$E1369)</f>
        <v/>
      </c>
      <c r="B1369">
        <f>IF($A1369="","",COUNTIF('TMP Paste'!$B$2:$B1369,"?*"))</f>
        <v/>
      </c>
      <c r="C1369">
        <f>IF($A1369="","",IFERROR('TMP Paste'!$M1369*1,0))</f>
        <v/>
      </c>
      <c r="D1369">
        <f>IF($A1369="","",SUMIF($B$2:$B1369,$B1369,$C$2:$C1369))</f>
        <v/>
      </c>
      <c r="E1369">
        <f>IF($A1369="",0,IF('TMP Paste'!$B1369="",0,1))</f>
        <v/>
      </c>
      <c r="F1369">
        <f>IF(OR($A1369="",$C1369&lt;1),"",$A1369&amp;"-"&amp;TEXT(($D1369-$C1369+1),"00")&amp;IF($C1369&gt;=2,", "&amp;$A1369&amp;"-"&amp;TEXT(($D1369-$C1369+1)+1,"00"),"")&amp;IF($C1369&gt;=3,", "&amp;$A1369&amp;"-"&amp;TEXT(($D1369-$C1369+1)+2,"00"),"")&amp;IF($C1369&gt;=4,", "&amp;$A1369&amp;"-"&amp;TEXT(($D1369-$C1369+1)+3,"00"),"")&amp;IF($C1369&gt;=5,", "&amp;$A1369&amp;"-"&amp;TEXT(($D1369-$C1369+1)+4,"00"),"")&amp;IF($C1369&gt;=6,", "&amp;$A1369&amp;"-"&amp;TEXT(($D1369-$C1369+1)+5,"00"),"")&amp;IF($C1369&gt;=7,", "&amp;$A1369&amp;"-"&amp;TEXT(($D1369-$C1369+1)+6,"00"),"")&amp;IF($C1369&gt;=8,", "&amp;$A1369&amp;"-"&amp;TEXT(($D1369-$C1369+1)+7,"00"),"")&amp;IF($C1369&gt;=9,", "&amp;$A1369&amp;"-"&amp;TEXT(($D1369-$C1369+1)+8,"00"),"")&amp;IF($C1369&gt;=10,", "&amp;$A1369&amp;"-"&amp;TEXT(($D1369-$C1369+1)+9,"00"),"")&amp;IF($C1369&gt;=11,", "&amp;$A1369&amp;"-"&amp;TEXT(($D1369-$C1369+1)+10,"00"),"")&amp;IF($C1369&gt;=12,", "&amp;$A1369&amp;"-"&amp;TEXT(($D1369-$C1369+1)+11,"00"),"")&amp;IF($C1369&gt;=13,", "&amp;$A1369&amp;"-"&amp;TEXT(($D1369-$C1369+1)+12,"00"),"")&amp;IF($C1369&gt;=14,", "&amp;$A1369&amp;"-"&amp;TEXT(($D1369-$C1369+1)+13,"00"),"")&amp;IF($C1369&gt;=15,", "&amp;$A1369&amp;"-"&amp;TEXT(($D1369-$C1369+1)+14,"00"),"")&amp;IF($C1369&gt;=16,", "&amp;$A1369&amp;"-"&amp;TEXT(($D1369-$C1369+1)+15,"00"),"")&amp;IF($C1369&gt;=17,", "&amp;$A1369&amp;"-"&amp;TEXT(($D1369-$C1369+1)+16,"00"),"")&amp;IF($C1369&gt;=18,", "&amp;$A1369&amp;"-"&amp;TEXT(($D1369-$C1369+1)+17,"00"),"")&amp;IF($C1369&gt;=19,", "&amp;$A1369&amp;"-"&amp;TEXT(($D1369-$C1369+1)+18,"00"),"")&amp;IF($C1369&gt;=20,", "&amp;$A1369&amp;"-"&amp;TEXT(($D1369-$C1369+1)+19,"00"),"")&amp;IF($C1369&gt;=21,", "&amp;$A1369&amp;"-"&amp;TEXT(($D1369-$C1369+1)+20,"00"),"")&amp;IF($C1369&gt;=22,", "&amp;$A1369&amp;"-"&amp;TEXT(($D1369-$C1369+1)+21,"00"),"")&amp;IF($C1369&gt;=23,", "&amp;$A1369&amp;"-"&amp;TEXT(($D1369-$C1369+1)+22,"00"),"")&amp;IF($C1369&gt;=24,", "&amp;$A1369&amp;"-"&amp;TEXT(($D1369-$C1369+1)+23,"00"),"")&amp;IF($C1369&gt;=25,", "&amp;$A1369&amp;"-"&amp;TEXT(($D1369-$C1369+1)+24,"00"),""))</f>
        <v/>
      </c>
      <c r="G1369">
        <f>IF($A1369="","",IF($E1369=1,$F1369,IF($F1369="",$G1368,IF($G1368="",$F1369,$G1368&amp;", "&amp;$F1369))))</f>
        <v/>
      </c>
      <c r="H1369">
        <f>IF($A1369="","",$A1369&amp;" ("&amp;$C1369&amp;")")</f>
        <v/>
      </c>
      <c r="I1369">
        <f>IF($A1369="","",IF($E1369=1,$H1369,$I1368&amp;", "&amp;$H1369))</f>
        <v/>
      </c>
      <c r="J1369">
        <f>IF($A1369="","",IF($E1369=1,$B1369,""))</f>
        <v/>
      </c>
      <c r="K1369">
        <f>IF($A1369="","",IF(COUNTIF($B$2:$B1369,$B1369)=COUNTIF($B$2:$B$1601,$B1369),$B1369,""))</f>
        <v/>
      </c>
    </row>
    <row r="1370">
      <c r="A1370">
        <f>IF('TMP Paste'!$E1370="","",'TMP Paste'!$E1370)</f>
        <v/>
      </c>
      <c r="B1370">
        <f>IF($A1370="","",COUNTIF('TMP Paste'!$B$2:$B1370,"?*"))</f>
        <v/>
      </c>
      <c r="C1370">
        <f>IF($A1370="","",IFERROR('TMP Paste'!$M1370*1,0))</f>
        <v/>
      </c>
      <c r="D1370">
        <f>IF($A1370="","",SUMIF($B$2:$B1370,$B1370,$C$2:$C1370))</f>
        <v/>
      </c>
      <c r="E1370">
        <f>IF($A1370="",0,IF('TMP Paste'!$B1370="",0,1))</f>
        <v/>
      </c>
      <c r="F1370">
        <f>IF(OR($A1370="",$C1370&lt;1),"",$A1370&amp;"-"&amp;TEXT(($D1370-$C1370+1),"00")&amp;IF($C1370&gt;=2,", "&amp;$A1370&amp;"-"&amp;TEXT(($D1370-$C1370+1)+1,"00"),"")&amp;IF($C1370&gt;=3,", "&amp;$A1370&amp;"-"&amp;TEXT(($D1370-$C1370+1)+2,"00"),"")&amp;IF($C1370&gt;=4,", "&amp;$A1370&amp;"-"&amp;TEXT(($D1370-$C1370+1)+3,"00"),"")&amp;IF($C1370&gt;=5,", "&amp;$A1370&amp;"-"&amp;TEXT(($D1370-$C1370+1)+4,"00"),"")&amp;IF($C1370&gt;=6,", "&amp;$A1370&amp;"-"&amp;TEXT(($D1370-$C1370+1)+5,"00"),"")&amp;IF($C1370&gt;=7,", "&amp;$A1370&amp;"-"&amp;TEXT(($D1370-$C1370+1)+6,"00"),"")&amp;IF($C1370&gt;=8,", "&amp;$A1370&amp;"-"&amp;TEXT(($D1370-$C1370+1)+7,"00"),"")&amp;IF($C1370&gt;=9,", "&amp;$A1370&amp;"-"&amp;TEXT(($D1370-$C1370+1)+8,"00"),"")&amp;IF($C1370&gt;=10,", "&amp;$A1370&amp;"-"&amp;TEXT(($D1370-$C1370+1)+9,"00"),"")&amp;IF($C1370&gt;=11,", "&amp;$A1370&amp;"-"&amp;TEXT(($D1370-$C1370+1)+10,"00"),"")&amp;IF($C1370&gt;=12,", "&amp;$A1370&amp;"-"&amp;TEXT(($D1370-$C1370+1)+11,"00"),"")&amp;IF($C1370&gt;=13,", "&amp;$A1370&amp;"-"&amp;TEXT(($D1370-$C1370+1)+12,"00"),"")&amp;IF($C1370&gt;=14,", "&amp;$A1370&amp;"-"&amp;TEXT(($D1370-$C1370+1)+13,"00"),"")&amp;IF($C1370&gt;=15,", "&amp;$A1370&amp;"-"&amp;TEXT(($D1370-$C1370+1)+14,"00"),"")&amp;IF($C1370&gt;=16,", "&amp;$A1370&amp;"-"&amp;TEXT(($D1370-$C1370+1)+15,"00"),"")&amp;IF($C1370&gt;=17,", "&amp;$A1370&amp;"-"&amp;TEXT(($D1370-$C1370+1)+16,"00"),"")&amp;IF($C1370&gt;=18,", "&amp;$A1370&amp;"-"&amp;TEXT(($D1370-$C1370+1)+17,"00"),"")&amp;IF($C1370&gt;=19,", "&amp;$A1370&amp;"-"&amp;TEXT(($D1370-$C1370+1)+18,"00"),"")&amp;IF($C1370&gt;=20,", "&amp;$A1370&amp;"-"&amp;TEXT(($D1370-$C1370+1)+19,"00"),"")&amp;IF($C1370&gt;=21,", "&amp;$A1370&amp;"-"&amp;TEXT(($D1370-$C1370+1)+20,"00"),"")&amp;IF($C1370&gt;=22,", "&amp;$A1370&amp;"-"&amp;TEXT(($D1370-$C1370+1)+21,"00"),"")&amp;IF($C1370&gt;=23,", "&amp;$A1370&amp;"-"&amp;TEXT(($D1370-$C1370+1)+22,"00"),"")&amp;IF($C1370&gt;=24,", "&amp;$A1370&amp;"-"&amp;TEXT(($D1370-$C1370+1)+23,"00"),"")&amp;IF($C1370&gt;=25,", "&amp;$A1370&amp;"-"&amp;TEXT(($D1370-$C1370+1)+24,"00"),""))</f>
        <v/>
      </c>
      <c r="G1370">
        <f>IF($A1370="","",IF($E1370=1,$F1370,IF($F1370="",$G1369,IF($G1369="",$F1370,$G1369&amp;", "&amp;$F1370))))</f>
        <v/>
      </c>
      <c r="H1370">
        <f>IF($A1370="","",$A1370&amp;" ("&amp;$C1370&amp;")")</f>
        <v/>
      </c>
      <c r="I1370">
        <f>IF($A1370="","",IF($E1370=1,$H1370,$I1369&amp;", "&amp;$H1370))</f>
        <v/>
      </c>
      <c r="J1370">
        <f>IF($A1370="","",IF($E1370=1,$B1370,""))</f>
        <v/>
      </c>
      <c r="K1370">
        <f>IF($A1370="","",IF(COUNTIF($B$2:$B1370,$B1370)=COUNTIF($B$2:$B$1601,$B1370),$B1370,""))</f>
        <v/>
      </c>
    </row>
    <row r="1371">
      <c r="A1371">
        <f>IF('TMP Paste'!$E1371="","",'TMP Paste'!$E1371)</f>
        <v/>
      </c>
      <c r="B1371">
        <f>IF($A1371="","",COUNTIF('TMP Paste'!$B$2:$B1371,"?*"))</f>
        <v/>
      </c>
      <c r="C1371">
        <f>IF($A1371="","",IFERROR('TMP Paste'!$M1371*1,0))</f>
        <v/>
      </c>
      <c r="D1371">
        <f>IF($A1371="","",SUMIF($B$2:$B1371,$B1371,$C$2:$C1371))</f>
        <v/>
      </c>
      <c r="E1371">
        <f>IF($A1371="",0,IF('TMP Paste'!$B1371="",0,1))</f>
        <v/>
      </c>
      <c r="F1371">
        <f>IF(OR($A1371="",$C1371&lt;1),"",$A1371&amp;"-"&amp;TEXT(($D1371-$C1371+1),"00")&amp;IF($C1371&gt;=2,", "&amp;$A1371&amp;"-"&amp;TEXT(($D1371-$C1371+1)+1,"00"),"")&amp;IF($C1371&gt;=3,", "&amp;$A1371&amp;"-"&amp;TEXT(($D1371-$C1371+1)+2,"00"),"")&amp;IF($C1371&gt;=4,", "&amp;$A1371&amp;"-"&amp;TEXT(($D1371-$C1371+1)+3,"00"),"")&amp;IF($C1371&gt;=5,", "&amp;$A1371&amp;"-"&amp;TEXT(($D1371-$C1371+1)+4,"00"),"")&amp;IF($C1371&gt;=6,", "&amp;$A1371&amp;"-"&amp;TEXT(($D1371-$C1371+1)+5,"00"),"")&amp;IF($C1371&gt;=7,", "&amp;$A1371&amp;"-"&amp;TEXT(($D1371-$C1371+1)+6,"00"),"")&amp;IF($C1371&gt;=8,", "&amp;$A1371&amp;"-"&amp;TEXT(($D1371-$C1371+1)+7,"00"),"")&amp;IF($C1371&gt;=9,", "&amp;$A1371&amp;"-"&amp;TEXT(($D1371-$C1371+1)+8,"00"),"")&amp;IF($C1371&gt;=10,", "&amp;$A1371&amp;"-"&amp;TEXT(($D1371-$C1371+1)+9,"00"),"")&amp;IF($C1371&gt;=11,", "&amp;$A1371&amp;"-"&amp;TEXT(($D1371-$C1371+1)+10,"00"),"")&amp;IF($C1371&gt;=12,", "&amp;$A1371&amp;"-"&amp;TEXT(($D1371-$C1371+1)+11,"00"),"")&amp;IF($C1371&gt;=13,", "&amp;$A1371&amp;"-"&amp;TEXT(($D1371-$C1371+1)+12,"00"),"")&amp;IF($C1371&gt;=14,", "&amp;$A1371&amp;"-"&amp;TEXT(($D1371-$C1371+1)+13,"00"),"")&amp;IF($C1371&gt;=15,", "&amp;$A1371&amp;"-"&amp;TEXT(($D1371-$C1371+1)+14,"00"),"")&amp;IF($C1371&gt;=16,", "&amp;$A1371&amp;"-"&amp;TEXT(($D1371-$C1371+1)+15,"00"),"")&amp;IF($C1371&gt;=17,", "&amp;$A1371&amp;"-"&amp;TEXT(($D1371-$C1371+1)+16,"00"),"")&amp;IF($C1371&gt;=18,", "&amp;$A1371&amp;"-"&amp;TEXT(($D1371-$C1371+1)+17,"00"),"")&amp;IF($C1371&gt;=19,", "&amp;$A1371&amp;"-"&amp;TEXT(($D1371-$C1371+1)+18,"00"),"")&amp;IF($C1371&gt;=20,", "&amp;$A1371&amp;"-"&amp;TEXT(($D1371-$C1371+1)+19,"00"),"")&amp;IF($C1371&gt;=21,", "&amp;$A1371&amp;"-"&amp;TEXT(($D1371-$C1371+1)+20,"00"),"")&amp;IF($C1371&gt;=22,", "&amp;$A1371&amp;"-"&amp;TEXT(($D1371-$C1371+1)+21,"00"),"")&amp;IF($C1371&gt;=23,", "&amp;$A1371&amp;"-"&amp;TEXT(($D1371-$C1371+1)+22,"00"),"")&amp;IF($C1371&gt;=24,", "&amp;$A1371&amp;"-"&amp;TEXT(($D1371-$C1371+1)+23,"00"),"")&amp;IF($C1371&gt;=25,", "&amp;$A1371&amp;"-"&amp;TEXT(($D1371-$C1371+1)+24,"00"),""))</f>
        <v/>
      </c>
      <c r="G1371">
        <f>IF($A1371="","",IF($E1371=1,$F1371,IF($F1371="",$G1370,IF($G1370="",$F1371,$G1370&amp;", "&amp;$F1371))))</f>
        <v/>
      </c>
      <c r="H1371">
        <f>IF($A1371="","",$A1371&amp;" ("&amp;$C1371&amp;")")</f>
        <v/>
      </c>
      <c r="I1371">
        <f>IF($A1371="","",IF($E1371=1,$H1371,$I1370&amp;", "&amp;$H1371))</f>
        <v/>
      </c>
      <c r="J1371">
        <f>IF($A1371="","",IF($E1371=1,$B1371,""))</f>
        <v/>
      </c>
      <c r="K1371">
        <f>IF($A1371="","",IF(COUNTIF($B$2:$B1371,$B1371)=COUNTIF($B$2:$B$1601,$B1371),$B1371,""))</f>
        <v/>
      </c>
    </row>
    <row r="1372">
      <c r="A1372">
        <f>IF('TMP Paste'!$E1372="","",'TMP Paste'!$E1372)</f>
        <v/>
      </c>
      <c r="B1372">
        <f>IF($A1372="","",COUNTIF('TMP Paste'!$B$2:$B1372,"?*"))</f>
        <v/>
      </c>
      <c r="C1372">
        <f>IF($A1372="","",IFERROR('TMP Paste'!$M1372*1,0))</f>
        <v/>
      </c>
      <c r="D1372">
        <f>IF($A1372="","",SUMIF($B$2:$B1372,$B1372,$C$2:$C1372))</f>
        <v/>
      </c>
      <c r="E1372">
        <f>IF($A1372="",0,IF('TMP Paste'!$B1372="",0,1))</f>
        <v/>
      </c>
      <c r="F1372">
        <f>IF(OR($A1372="",$C1372&lt;1),"",$A1372&amp;"-"&amp;TEXT(($D1372-$C1372+1),"00")&amp;IF($C1372&gt;=2,", "&amp;$A1372&amp;"-"&amp;TEXT(($D1372-$C1372+1)+1,"00"),"")&amp;IF($C1372&gt;=3,", "&amp;$A1372&amp;"-"&amp;TEXT(($D1372-$C1372+1)+2,"00"),"")&amp;IF($C1372&gt;=4,", "&amp;$A1372&amp;"-"&amp;TEXT(($D1372-$C1372+1)+3,"00"),"")&amp;IF($C1372&gt;=5,", "&amp;$A1372&amp;"-"&amp;TEXT(($D1372-$C1372+1)+4,"00"),"")&amp;IF($C1372&gt;=6,", "&amp;$A1372&amp;"-"&amp;TEXT(($D1372-$C1372+1)+5,"00"),"")&amp;IF($C1372&gt;=7,", "&amp;$A1372&amp;"-"&amp;TEXT(($D1372-$C1372+1)+6,"00"),"")&amp;IF($C1372&gt;=8,", "&amp;$A1372&amp;"-"&amp;TEXT(($D1372-$C1372+1)+7,"00"),"")&amp;IF($C1372&gt;=9,", "&amp;$A1372&amp;"-"&amp;TEXT(($D1372-$C1372+1)+8,"00"),"")&amp;IF($C1372&gt;=10,", "&amp;$A1372&amp;"-"&amp;TEXT(($D1372-$C1372+1)+9,"00"),"")&amp;IF($C1372&gt;=11,", "&amp;$A1372&amp;"-"&amp;TEXT(($D1372-$C1372+1)+10,"00"),"")&amp;IF($C1372&gt;=12,", "&amp;$A1372&amp;"-"&amp;TEXT(($D1372-$C1372+1)+11,"00"),"")&amp;IF($C1372&gt;=13,", "&amp;$A1372&amp;"-"&amp;TEXT(($D1372-$C1372+1)+12,"00"),"")&amp;IF($C1372&gt;=14,", "&amp;$A1372&amp;"-"&amp;TEXT(($D1372-$C1372+1)+13,"00"),"")&amp;IF($C1372&gt;=15,", "&amp;$A1372&amp;"-"&amp;TEXT(($D1372-$C1372+1)+14,"00"),"")&amp;IF($C1372&gt;=16,", "&amp;$A1372&amp;"-"&amp;TEXT(($D1372-$C1372+1)+15,"00"),"")&amp;IF($C1372&gt;=17,", "&amp;$A1372&amp;"-"&amp;TEXT(($D1372-$C1372+1)+16,"00"),"")&amp;IF($C1372&gt;=18,", "&amp;$A1372&amp;"-"&amp;TEXT(($D1372-$C1372+1)+17,"00"),"")&amp;IF($C1372&gt;=19,", "&amp;$A1372&amp;"-"&amp;TEXT(($D1372-$C1372+1)+18,"00"),"")&amp;IF($C1372&gt;=20,", "&amp;$A1372&amp;"-"&amp;TEXT(($D1372-$C1372+1)+19,"00"),"")&amp;IF($C1372&gt;=21,", "&amp;$A1372&amp;"-"&amp;TEXT(($D1372-$C1372+1)+20,"00"),"")&amp;IF($C1372&gt;=22,", "&amp;$A1372&amp;"-"&amp;TEXT(($D1372-$C1372+1)+21,"00"),"")&amp;IF($C1372&gt;=23,", "&amp;$A1372&amp;"-"&amp;TEXT(($D1372-$C1372+1)+22,"00"),"")&amp;IF($C1372&gt;=24,", "&amp;$A1372&amp;"-"&amp;TEXT(($D1372-$C1372+1)+23,"00"),"")&amp;IF($C1372&gt;=25,", "&amp;$A1372&amp;"-"&amp;TEXT(($D1372-$C1372+1)+24,"00"),""))</f>
        <v/>
      </c>
      <c r="G1372">
        <f>IF($A1372="","",IF($E1372=1,$F1372,IF($F1372="",$G1371,IF($G1371="",$F1372,$G1371&amp;", "&amp;$F1372))))</f>
        <v/>
      </c>
      <c r="H1372">
        <f>IF($A1372="","",$A1372&amp;" ("&amp;$C1372&amp;")")</f>
        <v/>
      </c>
      <c r="I1372">
        <f>IF($A1372="","",IF($E1372=1,$H1372,$I1371&amp;", "&amp;$H1372))</f>
        <v/>
      </c>
      <c r="J1372">
        <f>IF($A1372="","",IF($E1372=1,$B1372,""))</f>
        <v/>
      </c>
      <c r="K1372">
        <f>IF($A1372="","",IF(COUNTIF($B$2:$B1372,$B1372)=COUNTIF($B$2:$B$1601,$B1372),$B1372,""))</f>
        <v/>
      </c>
    </row>
    <row r="1373">
      <c r="A1373">
        <f>IF('TMP Paste'!$E1373="","",'TMP Paste'!$E1373)</f>
        <v/>
      </c>
      <c r="B1373">
        <f>IF($A1373="","",COUNTIF('TMP Paste'!$B$2:$B1373,"?*"))</f>
        <v/>
      </c>
      <c r="C1373">
        <f>IF($A1373="","",IFERROR('TMP Paste'!$M1373*1,0))</f>
        <v/>
      </c>
      <c r="D1373">
        <f>IF($A1373="","",SUMIF($B$2:$B1373,$B1373,$C$2:$C1373))</f>
        <v/>
      </c>
      <c r="E1373">
        <f>IF($A1373="",0,IF('TMP Paste'!$B1373="",0,1))</f>
        <v/>
      </c>
      <c r="F1373">
        <f>IF(OR($A1373="",$C1373&lt;1),"",$A1373&amp;"-"&amp;TEXT(($D1373-$C1373+1),"00")&amp;IF($C1373&gt;=2,", "&amp;$A1373&amp;"-"&amp;TEXT(($D1373-$C1373+1)+1,"00"),"")&amp;IF($C1373&gt;=3,", "&amp;$A1373&amp;"-"&amp;TEXT(($D1373-$C1373+1)+2,"00"),"")&amp;IF($C1373&gt;=4,", "&amp;$A1373&amp;"-"&amp;TEXT(($D1373-$C1373+1)+3,"00"),"")&amp;IF($C1373&gt;=5,", "&amp;$A1373&amp;"-"&amp;TEXT(($D1373-$C1373+1)+4,"00"),"")&amp;IF($C1373&gt;=6,", "&amp;$A1373&amp;"-"&amp;TEXT(($D1373-$C1373+1)+5,"00"),"")&amp;IF($C1373&gt;=7,", "&amp;$A1373&amp;"-"&amp;TEXT(($D1373-$C1373+1)+6,"00"),"")&amp;IF($C1373&gt;=8,", "&amp;$A1373&amp;"-"&amp;TEXT(($D1373-$C1373+1)+7,"00"),"")&amp;IF($C1373&gt;=9,", "&amp;$A1373&amp;"-"&amp;TEXT(($D1373-$C1373+1)+8,"00"),"")&amp;IF($C1373&gt;=10,", "&amp;$A1373&amp;"-"&amp;TEXT(($D1373-$C1373+1)+9,"00"),"")&amp;IF($C1373&gt;=11,", "&amp;$A1373&amp;"-"&amp;TEXT(($D1373-$C1373+1)+10,"00"),"")&amp;IF($C1373&gt;=12,", "&amp;$A1373&amp;"-"&amp;TEXT(($D1373-$C1373+1)+11,"00"),"")&amp;IF($C1373&gt;=13,", "&amp;$A1373&amp;"-"&amp;TEXT(($D1373-$C1373+1)+12,"00"),"")&amp;IF($C1373&gt;=14,", "&amp;$A1373&amp;"-"&amp;TEXT(($D1373-$C1373+1)+13,"00"),"")&amp;IF($C1373&gt;=15,", "&amp;$A1373&amp;"-"&amp;TEXT(($D1373-$C1373+1)+14,"00"),"")&amp;IF($C1373&gt;=16,", "&amp;$A1373&amp;"-"&amp;TEXT(($D1373-$C1373+1)+15,"00"),"")&amp;IF($C1373&gt;=17,", "&amp;$A1373&amp;"-"&amp;TEXT(($D1373-$C1373+1)+16,"00"),"")&amp;IF($C1373&gt;=18,", "&amp;$A1373&amp;"-"&amp;TEXT(($D1373-$C1373+1)+17,"00"),"")&amp;IF($C1373&gt;=19,", "&amp;$A1373&amp;"-"&amp;TEXT(($D1373-$C1373+1)+18,"00"),"")&amp;IF($C1373&gt;=20,", "&amp;$A1373&amp;"-"&amp;TEXT(($D1373-$C1373+1)+19,"00"),"")&amp;IF($C1373&gt;=21,", "&amp;$A1373&amp;"-"&amp;TEXT(($D1373-$C1373+1)+20,"00"),"")&amp;IF($C1373&gt;=22,", "&amp;$A1373&amp;"-"&amp;TEXT(($D1373-$C1373+1)+21,"00"),"")&amp;IF($C1373&gt;=23,", "&amp;$A1373&amp;"-"&amp;TEXT(($D1373-$C1373+1)+22,"00"),"")&amp;IF($C1373&gt;=24,", "&amp;$A1373&amp;"-"&amp;TEXT(($D1373-$C1373+1)+23,"00"),"")&amp;IF($C1373&gt;=25,", "&amp;$A1373&amp;"-"&amp;TEXT(($D1373-$C1373+1)+24,"00"),""))</f>
        <v/>
      </c>
      <c r="G1373">
        <f>IF($A1373="","",IF($E1373=1,$F1373,IF($F1373="",$G1372,IF($G1372="",$F1373,$G1372&amp;", "&amp;$F1373))))</f>
        <v/>
      </c>
      <c r="H1373">
        <f>IF($A1373="","",$A1373&amp;" ("&amp;$C1373&amp;")")</f>
        <v/>
      </c>
      <c r="I1373">
        <f>IF($A1373="","",IF($E1373=1,$H1373,$I1372&amp;", "&amp;$H1373))</f>
        <v/>
      </c>
      <c r="J1373">
        <f>IF($A1373="","",IF($E1373=1,$B1373,""))</f>
        <v/>
      </c>
      <c r="K1373">
        <f>IF($A1373="","",IF(COUNTIF($B$2:$B1373,$B1373)=COUNTIF($B$2:$B$1601,$B1373),$B1373,""))</f>
        <v/>
      </c>
    </row>
    <row r="1374">
      <c r="A1374">
        <f>IF('TMP Paste'!$E1374="","",'TMP Paste'!$E1374)</f>
        <v/>
      </c>
      <c r="B1374">
        <f>IF($A1374="","",COUNTIF('TMP Paste'!$B$2:$B1374,"?*"))</f>
        <v/>
      </c>
      <c r="C1374">
        <f>IF($A1374="","",IFERROR('TMP Paste'!$M1374*1,0))</f>
        <v/>
      </c>
      <c r="D1374">
        <f>IF($A1374="","",SUMIF($B$2:$B1374,$B1374,$C$2:$C1374))</f>
        <v/>
      </c>
      <c r="E1374">
        <f>IF($A1374="",0,IF('TMP Paste'!$B1374="",0,1))</f>
        <v/>
      </c>
      <c r="F1374">
        <f>IF(OR($A1374="",$C1374&lt;1),"",$A1374&amp;"-"&amp;TEXT(($D1374-$C1374+1),"00")&amp;IF($C1374&gt;=2,", "&amp;$A1374&amp;"-"&amp;TEXT(($D1374-$C1374+1)+1,"00"),"")&amp;IF($C1374&gt;=3,", "&amp;$A1374&amp;"-"&amp;TEXT(($D1374-$C1374+1)+2,"00"),"")&amp;IF($C1374&gt;=4,", "&amp;$A1374&amp;"-"&amp;TEXT(($D1374-$C1374+1)+3,"00"),"")&amp;IF($C1374&gt;=5,", "&amp;$A1374&amp;"-"&amp;TEXT(($D1374-$C1374+1)+4,"00"),"")&amp;IF($C1374&gt;=6,", "&amp;$A1374&amp;"-"&amp;TEXT(($D1374-$C1374+1)+5,"00"),"")&amp;IF($C1374&gt;=7,", "&amp;$A1374&amp;"-"&amp;TEXT(($D1374-$C1374+1)+6,"00"),"")&amp;IF($C1374&gt;=8,", "&amp;$A1374&amp;"-"&amp;TEXT(($D1374-$C1374+1)+7,"00"),"")&amp;IF($C1374&gt;=9,", "&amp;$A1374&amp;"-"&amp;TEXT(($D1374-$C1374+1)+8,"00"),"")&amp;IF($C1374&gt;=10,", "&amp;$A1374&amp;"-"&amp;TEXT(($D1374-$C1374+1)+9,"00"),"")&amp;IF($C1374&gt;=11,", "&amp;$A1374&amp;"-"&amp;TEXT(($D1374-$C1374+1)+10,"00"),"")&amp;IF($C1374&gt;=12,", "&amp;$A1374&amp;"-"&amp;TEXT(($D1374-$C1374+1)+11,"00"),"")&amp;IF($C1374&gt;=13,", "&amp;$A1374&amp;"-"&amp;TEXT(($D1374-$C1374+1)+12,"00"),"")&amp;IF($C1374&gt;=14,", "&amp;$A1374&amp;"-"&amp;TEXT(($D1374-$C1374+1)+13,"00"),"")&amp;IF($C1374&gt;=15,", "&amp;$A1374&amp;"-"&amp;TEXT(($D1374-$C1374+1)+14,"00"),"")&amp;IF($C1374&gt;=16,", "&amp;$A1374&amp;"-"&amp;TEXT(($D1374-$C1374+1)+15,"00"),"")&amp;IF($C1374&gt;=17,", "&amp;$A1374&amp;"-"&amp;TEXT(($D1374-$C1374+1)+16,"00"),"")&amp;IF($C1374&gt;=18,", "&amp;$A1374&amp;"-"&amp;TEXT(($D1374-$C1374+1)+17,"00"),"")&amp;IF($C1374&gt;=19,", "&amp;$A1374&amp;"-"&amp;TEXT(($D1374-$C1374+1)+18,"00"),"")&amp;IF($C1374&gt;=20,", "&amp;$A1374&amp;"-"&amp;TEXT(($D1374-$C1374+1)+19,"00"),"")&amp;IF($C1374&gt;=21,", "&amp;$A1374&amp;"-"&amp;TEXT(($D1374-$C1374+1)+20,"00"),"")&amp;IF($C1374&gt;=22,", "&amp;$A1374&amp;"-"&amp;TEXT(($D1374-$C1374+1)+21,"00"),"")&amp;IF($C1374&gt;=23,", "&amp;$A1374&amp;"-"&amp;TEXT(($D1374-$C1374+1)+22,"00"),"")&amp;IF($C1374&gt;=24,", "&amp;$A1374&amp;"-"&amp;TEXT(($D1374-$C1374+1)+23,"00"),"")&amp;IF($C1374&gt;=25,", "&amp;$A1374&amp;"-"&amp;TEXT(($D1374-$C1374+1)+24,"00"),""))</f>
        <v/>
      </c>
      <c r="G1374">
        <f>IF($A1374="","",IF($E1374=1,$F1374,IF($F1374="",$G1373,IF($G1373="",$F1374,$G1373&amp;", "&amp;$F1374))))</f>
        <v/>
      </c>
      <c r="H1374">
        <f>IF($A1374="","",$A1374&amp;" ("&amp;$C1374&amp;")")</f>
        <v/>
      </c>
      <c r="I1374">
        <f>IF($A1374="","",IF($E1374=1,$H1374,$I1373&amp;", "&amp;$H1374))</f>
        <v/>
      </c>
      <c r="J1374">
        <f>IF($A1374="","",IF($E1374=1,$B1374,""))</f>
        <v/>
      </c>
      <c r="K1374">
        <f>IF($A1374="","",IF(COUNTIF($B$2:$B1374,$B1374)=COUNTIF($B$2:$B$1601,$B1374),$B1374,""))</f>
        <v/>
      </c>
    </row>
    <row r="1375">
      <c r="A1375">
        <f>IF('TMP Paste'!$E1375="","",'TMP Paste'!$E1375)</f>
        <v/>
      </c>
      <c r="B1375">
        <f>IF($A1375="","",COUNTIF('TMP Paste'!$B$2:$B1375,"?*"))</f>
        <v/>
      </c>
      <c r="C1375">
        <f>IF($A1375="","",IFERROR('TMP Paste'!$M1375*1,0))</f>
        <v/>
      </c>
      <c r="D1375">
        <f>IF($A1375="","",SUMIF($B$2:$B1375,$B1375,$C$2:$C1375))</f>
        <v/>
      </c>
      <c r="E1375">
        <f>IF($A1375="",0,IF('TMP Paste'!$B1375="",0,1))</f>
        <v/>
      </c>
      <c r="F1375">
        <f>IF(OR($A1375="",$C1375&lt;1),"",$A1375&amp;"-"&amp;TEXT(($D1375-$C1375+1),"00")&amp;IF($C1375&gt;=2,", "&amp;$A1375&amp;"-"&amp;TEXT(($D1375-$C1375+1)+1,"00"),"")&amp;IF($C1375&gt;=3,", "&amp;$A1375&amp;"-"&amp;TEXT(($D1375-$C1375+1)+2,"00"),"")&amp;IF($C1375&gt;=4,", "&amp;$A1375&amp;"-"&amp;TEXT(($D1375-$C1375+1)+3,"00"),"")&amp;IF($C1375&gt;=5,", "&amp;$A1375&amp;"-"&amp;TEXT(($D1375-$C1375+1)+4,"00"),"")&amp;IF($C1375&gt;=6,", "&amp;$A1375&amp;"-"&amp;TEXT(($D1375-$C1375+1)+5,"00"),"")&amp;IF($C1375&gt;=7,", "&amp;$A1375&amp;"-"&amp;TEXT(($D1375-$C1375+1)+6,"00"),"")&amp;IF($C1375&gt;=8,", "&amp;$A1375&amp;"-"&amp;TEXT(($D1375-$C1375+1)+7,"00"),"")&amp;IF($C1375&gt;=9,", "&amp;$A1375&amp;"-"&amp;TEXT(($D1375-$C1375+1)+8,"00"),"")&amp;IF($C1375&gt;=10,", "&amp;$A1375&amp;"-"&amp;TEXT(($D1375-$C1375+1)+9,"00"),"")&amp;IF($C1375&gt;=11,", "&amp;$A1375&amp;"-"&amp;TEXT(($D1375-$C1375+1)+10,"00"),"")&amp;IF($C1375&gt;=12,", "&amp;$A1375&amp;"-"&amp;TEXT(($D1375-$C1375+1)+11,"00"),"")&amp;IF($C1375&gt;=13,", "&amp;$A1375&amp;"-"&amp;TEXT(($D1375-$C1375+1)+12,"00"),"")&amp;IF($C1375&gt;=14,", "&amp;$A1375&amp;"-"&amp;TEXT(($D1375-$C1375+1)+13,"00"),"")&amp;IF($C1375&gt;=15,", "&amp;$A1375&amp;"-"&amp;TEXT(($D1375-$C1375+1)+14,"00"),"")&amp;IF($C1375&gt;=16,", "&amp;$A1375&amp;"-"&amp;TEXT(($D1375-$C1375+1)+15,"00"),"")&amp;IF($C1375&gt;=17,", "&amp;$A1375&amp;"-"&amp;TEXT(($D1375-$C1375+1)+16,"00"),"")&amp;IF($C1375&gt;=18,", "&amp;$A1375&amp;"-"&amp;TEXT(($D1375-$C1375+1)+17,"00"),"")&amp;IF($C1375&gt;=19,", "&amp;$A1375&amp;"-"&amp;TEXT(($D1375-$C1375+1)+18,"00"),"")&amp;IF($C1375&gt;=20,", "&amp;$A1375&amp;"-"&amp;TEXT(($D1375-$C1375+1)+19,"00"),"")&amp;IF($C1375&gt;=21,", "&amp;$A1375&amp;"-"&amp;TEXT(($D1375-$C1375+1)+20,"00"),"")&amp;IF($C1375&gt;=22,", "&amp;$A1375&amp;"-"&amp;TEXT(($D1375-$C1375+1)+21,"00"),"")&amp;IF($C1375&gt;=23,", "&amp;$A1375&amp;"-"&amp;TEXT(($D1375-$C1375+1)+22,"00"),"")&amp;IF($C1375&gt;=24,", "&amp;$A1375&amp;"-"&amp;TEXT(($D1375-$C1375+1)+23,"00"),"")&amp;IF($C1375&gt;=25,", "&amp;$A1375&amp;"-"&amp;TEXT(($D1375-$C1375+1)+24,"00"),""))</f>
        <v/>
      </c>
      <c r="G1375">
        <f>IF($A1375="","",IF($E1375=1,$F1375,IF($F1375="",$G1374,IF($G1374="",$F1375,$G1374&amp;", "&amp;$F1375))))</f>
        <v/>
      </c>
      <c r="H1375">
        <f>IF($A1375="","",$A1375&amp;" ("&amp;$C1375&amp;")")</f>
        <v/>
      </c>
      <c r="I1375">
        <f>IF($A1375="","",IF($E1375=1,$H1375,$I1374&amp;", "&amp;$H1375))</f>
        <v/>
      </c>
      <c r="J1375">
        <f>IF($A1375="","",IF($E1375=1,$B1375,""))</f>
        <v/>
      </c>
      <c r="K1375">
        <f>IF($A1375="","",IF(COUNTIF($B$2:$B1375,$B1375)=COUNTIF($B$2:$B$1601,$B1375),$B1375,""))</f>
        <v/>
      </c>
    </row>
    <row r="1376">
      <c r="A1376">
        <f>IF('TMP Paste'!$E1376="","",'TMP Paste'!$E1376)</f>
        <v/>
      </c>
      <c r="B1376">
        <f>IF($A1376="","",COUNTIF('TMP Paste'!$B$2:$B1376,"?*"))</f>
        <v/>
      </c>
      <c r="C1376">
        <f>IF($A1376="","",IFERROR('TMP Paste'!$M1376*1,0))</f>
        <v/>
      </c>
      <c r="D1376">
        <f>IF($A1376="","",SUMIF($B$2:$B1376,$B1376,$C$2:$C1376))</f>
        <v/>
      </c>
      <c r="E1376">
        <f>IF($A1376="",0,IF('TMP Paste'!$B1376="",0,1))</f>
        <v/>
      </c>
      <c r="F1376">
        <f>IF(OR($A1376="",$C1376&lt;1),"",$A1376&amp;"-"&amp;TEXT(($D1376-$C1376+1),"00")&amp;IF($C1376&gt;=2,", "&amp;$A1376&amp;"-"&amp;TEXT(($D1376-$C1376+1)+1,"00"),"")&amp;IF($C1376&gt;=3,", "&amp;$A1376&amp;"-"&amp;TEXT(($D1376-$C1376+1)+2,"00"),"")&amp;IF($C1376&gt;=4,", "&amp;$A1376&amp;"-"&amp;TEXT(($D1376-$C1376+1)+3,"00"),"")&amp;IF($C1376&gt;=5,", "&amp;$A1376&amp;"-"&amp;TEXT(($D1376-$C1376+1)+4,"00"),"")&amp;IF($C1376&gt;=6,", "&amp;$A1376&amp;"-"&amp;TEXT(($D1376-$C1376+1)+5,"00"),"")&amp;IF($C1376&gt;=7,", "&amp;$A1376&amp;"-"&amp;TEXT(($D1376-$C1376+1)+6,"00"),"")&amp;IF($C1376&gt;=8,", "&amp;$A1376&amp;"-"&amp;TEXT(($D1376-$C1376+1)+7,"00"),"")&amp;IF($C1376&gt;=9,", "&amp;$A1376&amp;"-"&amp;TEXT(($D1376-$C1376+1)+8,"00"),"")&amp;IF($C1376&gt;=10,", "&amp;$A1376&amp;"-"&amp;TEXT(($D1376-$C1376+1)+9,"00"),"")&amp;IF($C1376&gt;=11,", "&amp;$A1376&amp;"-"&amp;TEXT(($D1376-$C1376+1)+10,"00"),"")&amp;IF($C1376&gt;=12,", "&amp;$A1376&amp;"-"&amp;TEXT(($D1376-$C1376+1)+11,"00"),"")&amp;IF($C1376&gt;=13,", "&amp;$A1376&amp;"-"&amp;TEXT(($D1376-$C1376+1)+12,"00"),"")&amp;IF($C1376&gt;=14,", "&amp;$A1376&amp;"-"&amp;TEXT(($D1376-$C1376+1)+13,"00"),"")&amp;IF($C1376&gt;=15,", "&amp;$A1376&amp;"-"&amp;TEXT(($D1376-$C1376+1)+14,"00"),"")&amp;IF($C1376&gt;=16,", "&amp;$A1376&amp;"-"&amp;TEXT(($D1376-$C1376+1)+15,"00"),"")&amp;IF($C1376&gt;=17,", "&amp;$A1376&amp;"-"&amp;TEXT(($D1376-$C1376+1)+16,"00"),"")&amp;IF($C1376&gt;=18,", "&amp;$A1376&amp;"-"&amp;TEXT(($D1376-$C1376+1)+17,"00"),"")&amp;IF($C1376&gt;=19,", "&amp;$A1376&amp;"-"&amp;TEXT(($D1376-$C1376+1)+18,"00"),"")&amp;IF($C1376&gt;=20,", "&amp;$A1376&amp;"-"&amp;TEXT(($D1376-$C1376+1)+19,"00"),"")&amp;IF($C1376&gt;=21,", "&amp;$A1376&amp;"-"&amp;TEXT(($D1376-$C1376+1)+20,"00"),"")&amp;IF($C1376&gt;=22,", "&amp;$A1376&amp;"-"&amp;TEXT(($D1376-$C1376+1)+21,"00"),"")&amp;IF($C1376&gt;=23,", "&amp;$A1376&amp;"-"&amp;TEXT(($D1376-$C1376+1)+22,"00"),"")&amp;IF($C1376&gt;=24,", "&amp;$A1376&amp;"-"&amp;TEXT(($D1376-$C1376+1)+23,"00"),"")&amp;IF($C1376&gt;=25,", "&amp;$A1376&amp;"-"&amp;TEXT(($D1376-$C1376+1)+24,"00"),""))</f>
        <v/>
      </c>
      <c r="G1376">
        <f>IF($A1376="","",IF($E1376=1,$F1376,IF($F1376="",$G1375,IF($G1375="",$F1376,$G1375&amp;", "&amp;$F1376))))</f>
        <v/>
      </c>
      <c r="H1376">
        <f>IF($A1376="","",$A1376&amp;" ("&amp;$C1376&amp;")")</f>
        <v/>
      </c>
      <c r="I1376">
        <f>IF($A1376="","",IF($E1376=1,$H1376,$I1375&amp;", "&amp;$H1376))</f>
        <v/>
      </c>
      <c r="J1376">
        <f>IF($A1376="","",IF($E1376=1,$B1376,""))</f>
        <v/>
      </c>
      <c r="K1376">
        <f>IF($A1376="","",IF(COUNTIF($B$2:$B1376,$B1376)=COUNTIF($B$2:$B$1601,$B1376),$B1376,""))</f>
        <v/>
      </c>
    </row>
    <row r="1377">
      <c r="A1377">
        <f>IF('TMP Paste'!$E1377="","",'TMP Paste'!$E1377)</f>
        <v/>
      </c>
      <c r="B1377">
        <f>IF($A1377="","",COUNTIF('TMP Paste'!$B$2:$B1377,"?*"))</f>
        <v/>
      </c>
      <c r="C1377">
        <f>IF($A1377="","",IFERROR('TMP Paste'!$M1377*1,0))</f>
        <v/>
      </c>
      <c r="D1377">
        <f>IF($A1377="","",SUMIF($B$2:$B1377,$B1377,$C$2:$C1377))</f>
        <v/>
      </c>
      <c r="E1377">
        <f>IF($A1377="",0,IF('TMP Paste'!$B1377="",0,1))</f>
        <v/>
      </c>
      <c r="F1377">
        <f>IF(OR($A1377="",$C1377&lt;1),"",$A1377&amp;"-"&amp;TEXT(($D1377-$C1377+1),"00")&amp;IF($C1377&gt;=2,", "&amp;$A1377&amp;"-"&amp;TEXT(($D1377-$C1377+1)+1,"00"),"")&amp;IF($C1377&gt;=3,", "&amp;$A1377&amp;"-"&amp;TEXT(($D1377-$C1377+1)+2,"00"),"")&amp;IF($C1377&gt;=4,", "&amp;$A1377&amp;"-"&amp;TEXT(($D1377-$C1377+1)+3,"00"),"")&amp;IF($C1377&gt;=5,", "&amp;$A1377&amp;"-"&amp;TEXT(($D1377-$C1377+1)+4,"00"),"")&amp;IF($C1377&gt;=6,", "&amp;$A1377&amp;"-"&amp;TEXT(($D1377-$C1377+1)+5,"00"),"")&amp;IF($C1377&gt;=7,", "&amp;$A1377&amp;"-"&amp;TEXT(($D1377-$C1377+1)+6,"00"),"")&amp;IF($C1377&gt;=8,", "&amp;$A1377&amp;"-"&amp;TEXT(($D1377-$C1377+1)+7,"00"),"")&amp;IF($C1377&gt;=9,", "&amp;$A1377&amp;"-"&amp;TEXT(($D1377-$C1377+1)+8,"00"),"")&amp;IF($C1377&gt;=10,", "&amp;$A1377&amp;"-"&amp;TEXT(($D1377-$C1377+1)+9,"00"),"")&amp;IF($C1377&gt;=11,", "&amp;$A1377&amp;"-"&amp;TEXT(($D1377-$C1377+1)+10,"00"),"")&amp;IF($C1377&gt;=12,", "&amp;$A1377&amp;"-"&amp;TEXT(($D1377-$C1377+1)+11,"00"),"")&amp;IF($C1377&gt;=13,", "&amp;$A1377&amp;"-"&amp;TEXT(($D1377-$C1377+1)+12,"00"),"")&amp;IF($C1377&gt;=14,", "&amp;$A1377&amp;"-"&amp;TEXT(($D1377-$C1377+1)+13,"00"),"")&amp;IF($C1377&gt;=15,", "&amp;$A1377&amp;"-"&amp;TEXT(($D1377-$C1377+1)+14,"00"),"")&amp;IF($C1377&gt;=16,", "&amp;$A1377&amp;"-"&amp;TEXT(($D1377-$C1377+1)+15,"00"),"")&amp;IF($C1377&gt;=17,", "&amp;$A1377&amp;"-"&amp;TEXT(($D1377-$C1377+1)+16,"00"),"")&amp;IF($C1377&gt;=18,", "&amp;$A1377&amp;"-"&amp;TEXT(($D1377-$C1377+1)+17,"00"),"")&amp;IF($C1377&gt;=19,", "&amp;$A1377&amp;"-"&amp;TEXT(($D1377-$C1377+1)+18,"00"),"")&amp;IF($C1377&gt;=20,", "&amp;$A1377&amp;"-"&amp;TEXT(($D1377-$C1377+1)+19,"00"),"")&amp;IF($C1377&gt;=21,", "&amp;$A1377&amp;"-"&amp;TEXT(($D1377-$C1377+1)+20,"00"),"")&amp;IF($C1377&gt;=22,", "&amp;$A1377&amp;"-"&amp;TEXT(($D1377-$C1377+1)+21,"00"),"")&amp;IF($C1377&gt;=23,", "&amp;$A1377&amp;"-"&amp;TEXT(($D1377-$C1377+1)+22,"00"),"")&amp;IF($C1377&gt;=24,", "&amp;$A1377&amp;"-"&amp;TEXT(($D1377-$C1377+1)+23,"00"),"")&amp;IF($C1377&gt;=25,", "&amp;$A1377&amp;"-"&amp;TEXT(($D1377-$C1377+1)+24,"00"),""))</f>
        <v/>
      </c>
      <c r="G1377">
        <f>IF($A1377="","",IF($E1377=1,$F1377,IF($F1377="",$G1376,IF($G1376="",$F1377,$G1376&amp;", "&amp;$F1377))))</f>
        <v/>
      </c>
      <c r="H1377">
        <f>IF($A1377="","",$A1377&amp;" ("&amp;$C1377&amp;")")</f>
        <v/>
      </c>
      <c r="I1377">
        <f>IF($A1377="","",IF($E1377=1,$H1377,$I1376&amp;", "&amp;$H1377))</f>
        <v/>
      </c>
      <c r="J1377">
        <f>IF($A1377="","",IF($E1377=1,$B1377,""))</f>
        <v/>
      </c>
      <c r="K1377">
        <f>IF($A1377="","",IF(COUNTIF($B$2:$B1377,$B1377)=COUNTIF($B$2:$B$1601,$B1377),$B1377,""))</f>
        <v/>
      </c>
    </row>
    <row r="1378">
      <c r="A1378">
        <f>IF('TMP Paste'!$E1378="","",'TMP Paste'!$E1378)</f>
        <v/>
      </c>
      <c r="B1378">
        <f>IF($A1378="","",COUNTIF('TMP Paste'!$B$2:$B1378,"?*"))</f>
        <v/>
      </c>
      <c r="C1378">
        <f>IF($A1378="","",IFERROR('TMP Paste'!$M1378*1,0))</f>
        <v/>
      </c>
      <c r="D1378">
        <f>IF($A1378="","",SUMIF($B$2:$B1378,$B1378,$C$2:$C1378))</f>
        <v/>
      </c>
      <c r="E1378">
        <f>IF($A1378="",0,IF('TMP Paste'!$B1378="",0,1))</f>
        <v/>
      </c>
      <c r="F1378">
        <f>IF(OR($A1378="",$C1378&lt;1),"",$A1378&amp;"-"&amp;TEXT(($D1378-$C1378+1),"00")&amp;IF($C1378&gt;=2,", "&amp;$A1378&amp;"-"&amp;TEXT(($D1378-$C1378+1)+1,"00"),"")&amp;IF($C1378&gt;=3,", "&amp;$A1378&amp;"-"&amp;TEXT(($D1378-$C1378+1)+2,"00"),"")&amp;IF($C1378&gt;=4,", "&amp;$A1378&amp;"-"&amp;TEXT(($D1378-$C1378+1)+3,"00"),"")&amp;IF($C1378&gt;=5,", "&amp;$A1378&amp;"-"&amp;TEXT(($D1378-$C1378+1)+4,"00"),"")&amp;IF($C1378&gt;=6,", "&amp;$A1378&amp;"-"&amp;TEXT(($D1378-$C1378+1)+5,"00"),"")&amp;IF($C1378&gt;=7,", "&amp;$A1378&amp;"-"&amp;TEXT(($D1378-$C1378+1)+6,"00"),"")&amp;IF($C1378&gt;=8,", "&amp;$A1378&amp;"-"&amp;TEXT(($D1378-$C1378+1)+7,"00"),"")&amp;IF($C1378&gt;=9,", "&amp;$A1378&amp;"-"&amp;TEXT(($D1378-$C1378+1)+8,"00"),"")&amp;IF($C1378&gt;=10,", "&amp;$A1378&amp;"-"&amp;TEXT(($D1378-$C1378+1)+9,"00"),"")&amp;IF($C1378&gt;=11,", "&amp;$A1378&amp;"-"&amp;TEXT(($D1378-$C1378+1)+10,"00"),"")&amp;IF($C1378&gt;=12,", "&amp;$A1378&amp;"-"&amp;TEXT(($D1378-$C1378+1)+11,"00"),"")&amp;IF($C1378&gt;=13,", "&amp;$A1378&amp;"-"&amp;TEXT(($D1378-$C1378+1)+12,"00"),"")&amp;IF($C1378&gt;=14,", "&amp;$A1378&amp;"-"&amp;TEXT(($D1378-$C1378+1)+13,"00"),"")&amp;IF($C1378&gt;=15,", "&amp;$A1378&amp;"-"&amp;TEXT(($D1378-$C1378+1)+14,"00"),"")&amp;IF($C1378&gt;=16,", "&amp;$A1378&amp;"-"&amp;TEXT(($D1378-$C1378+1)+15,"00"),"")&amp;IF($C1378&gt;=17,", "&amp;$A1378&amp;"-"&amp;TEXT(($D1378-$C1378+1)+16,"00"),"")&amp;IF($C1378&gt;=18,", "&amp;$A1378&amp;"-"&amp;TEXT(($D1378-$C1378+1)+17,"00"),"")&amp;IF($C1378&gt;=19,", "&amp;$A1378&amp;"-"&amp;TEXT(($D1378-$C1378+1)+18,"00"),"")&amp;IF($C1378&gt;=20,", "&amp;$A1378&amp;"-"&amp;TEXT(($D1378-$C1378+1)+19,"00"),"")&amp;IF($C1378&gt;=21,", "&amp;$A1378&amp;"-"&amp;TEXT(($D1378-$C1378+1)+20,"00"),"")&amp;IF($C1378&gt;=22,", "&amp;$A1378&amp;"-"&amp;TEXT(($D1378-$C1378+1)+21,"00"),"")&amp;IF($C1378&gt;=23,", "&amp;$A1378&amp;"-"&amp;TEXT(($D1378-$C1378+1)+22,"00"),"")&amp;IF($C1378&gt;=24,", "&amp;$A1378&amp;"-"&amp;TEXT(($D1378-$C1378+1)+23,"00"),"")&amp;IF($C1378&gt;=25,", "&amp;$A1378&amp;"-"&amp;TEXT(($D1378-$C1378+1)+24,"00"),""))</f>
        <v/>
      </c>
      <c r="G1378">
        <f>IF($A1378="","",IF($E1378=1,$F1378,IF($F1378="",$G1377,IF($G1377="",$F1378,$G1377&amp;", "&amp;$F1378))))</f>
        <v/>
      </c>
      <c r="H1378">
        <f>IF($A1378="","",$A1378&amp;" ("&amp;$C1378&amp;")")</f>
        <v/>
      </c>
      <c r="I1378">
        <f>IF($A1378="","",IF($E1378=1,$H1378,$I1377&amp;", "&amp;$H1378))</f>
        <v/>
      </c>
      <c r="J1378">
        <f>IF($A1378="","",IF($E1378=1,$B1378,""))</f>
        <v/>
      </c>
      <c r="K1378">
        <f>IF($A1378="","",IF(COUNTIF($B$2:$B1378,$B1378)=COUNTIF($B$2:$B$1601,$B1378),$B1378,""))</f>
        <v/>
      </c>
    </row>
    <row r="1379">
      <c r="A1379">
        <f>IF('TMP Paste'!$E1379="","",'TMP Paste'!$E1379)</f>
        <v/>
      </c>
      <c r="B1379">
        <f>IF($A1379="","",COUNTIF('TMP Paste'!$B$2:$B1379,"?*"))</f>
        <v/>
      </c>
      <c r="C1379">
        <f>IF($A1379="","",IFERROR('TMP Paste'!$M1379*1,0))</f>
        <v/>
      </c>
      <c r="D1379">
        <f>IF($A1379="","",SUMIF($B$2:$B1379,$B1379,$C$2:$C1379))</f>
        <v/>
      </c>
      <c r="E1379">
        <f>IF($A1379="",0,IF('TMP Paste'!$B1379="",0,1))</f>
        <v/>
      </c>
      <c r="F1379">
        <f>IF(OR($A1379="",$C1379&lt;1),"",$A1379&amp;"-"&amp;TEXT(($D1379-$C1379+1),"00")&amp;IF($C1379&gt;=2,", "&amp;$A1379&amp;"-"&amp;TEXT(($D1379-$C1379+1)+1,"00"),"")&amp;IF($C1379&gt;=3,", "&amp;$A1379&amp;"-"&amp;TEXT(($D1379-$C1379+1)+2,"00"),"")&amp;IF($C1379&gt;=4,", "&amp;$A1379&amp;"-"&amp;TEXT(($D1379-$C1379+1)+3,"00"),"")&amp;IF($C1379&gt;=5,", "&amp;$A1379&amp;"-"&amp;TEXT(($D1379-$C1379+1)+4,"00"),"")&amp;IF($C1379&gt;=6,", "&amp;$A1379&amp;"-"&amp;TEXT(($D1379-$C1379+1)+5,"00"),"")&amp;IF($C1379&gt;=7,", "&amp;$A1379&amp;"-"&amp;TEXT(($D1379-$C1379+1)+6,"00"),"")&amp;IF($C1379&gt;=8,", "&amp;$A1379&amp;"-"&amp;TEXT(($D1379-$C1379+1)+7,"00"),"")&amp;IF($C1379&gt;=9,", "&amp;$A1379&amp;"-"&amp;TEXT(($D1379-$C1379+1)+8,"00"),"")&amp;IF($C1379&gt;=10,", "&amp;$A1379&amp;"-"&amp;TEXT(($D1379-$C1379+1)+9,"00"),"")&amp;IF($C1379&gt;=11,", "&amp;$A1379&amp;"-"&amp;TEXT(($D1379-$C1379+1)+10,"00"),"")&amp;IF($C1379&gt;=12,", "&amp;$A1379&amp;"-"&amp;TEXT(($D1379-$C1379+1)+11,"00"),"")&amp;IF($C1379&gt;=13,", "&amp;$A1379&amp;"-"&amp;TEXT(($D1379-$C1379+1)+12,"00"),"")&amp;IF($C1379&gt;=14,", "&amp;$A1379&amp;"-"&amp;TEXT(($D1379-$C1379+1)+13,"00"),"")&amp;IF($C1379&gt;=15,", "&amp;$A1379&amp;"-"&amp;TEXT(($D1379-$C1379+1)+14,"00"),"")&amp;IF($C1379&gt;=16,", "&amp;$A1379&amp;"-"&amp;TEXT(($D1379-$C1379+1)+15,"00"),"")&amp;IF($C1379&gt;=17,", "&amp;$A1379&amp;"-"&amp;TEXT(($D1379-$C1379+1)+16,"00"),"")&amp;IF($C1379&gt;=18,", "&amp;$A1379&amp;"-"&amp;TEXT(($D1379-$C1379+1)+17,"00"),"")&amp;IF($C1379&gt;=19,", "&amp;$A1379&amp;"-"&amp;TEXT(($D1379-$C1379+1)+18,"00"),"")&amp;IF($C1379&gt;=20,", "&amp;$A1379&amp;"-"&amp;TEXT(($D1379-$C1379+1)+19,"00"),"")&amp;IF($C1379&gt;=21,", "&amp;$A1379&amp;"-"&amp;TEXT(($D1379-$C1379+1)+20,"00"),"")&amp;IF($C1379&gt;=22,", "&amp;$A1379&amp;"-"&amp;TEXT(($D1379-$C1379+1)+21,"00"),"")&amp;IF($C1379&gt;=23,", "&amp;$A1379&amp;"-"&amp;TEXT(($D1379-$C1379+1)+22,"00"),"")&amp;IF($C1379&gt;=24,", "&amp;$A1379&amp;"-"&amp;TEXT(($D1379-$C1379+1)+23,"00"),"")&amp;IF($C1379&gt;=25,", "&amp;$A1379&amp;"-"&amp;TEXT(($D1379-$C1379+1)+24,"00"),""))</f>
        <v/>
      </c>
      <c r="G1379">
        <f>IF($A1379="","",IF($E1379=1,$F1379,IF($F1379="",$G1378,IF($G1378="",$F1379,$G1378&amp;", "&amp;$F1379))))</f>
        <v/>
      </c>
      <c r="H1379">
        <f>IF($A1379="","",$A1379&amp;" ("&amp;$C1379&amp;")")</f>
        <v/>
      </c>
      <c r="I1379">
        <f>IF($A1379="","",IF($E1379=1,$H1379,$I1378&amp;", "&amp;$H1379))</f>
        <v/>
      </c>
      <c r="J1379">
        <f>IF($A1379="","",IF($E1379=1,$B1379,""))</f>
        <v/>
      </c>
      <c r="K1379">
        <f>IF($A1379="","",IF(COUNTIF($B$2:$B1379,$B1379)=COUNTIF($B$2:$B$1601,$B1379),$B1379,""))</f>
        <v/>
      </c>
    </row>
    <row r="1380">
      <c r="A1380">
        <f>IF('TMP Paste'!$E1380="","",'TMP Paste'!$E1380)</f>
        <v/>
      </c>
      <c r="B1380">
        <f>IF($A1380="","",COUNTIF('TMP Paste'!$B$2:$B1380,"?*"))</f>
        <v/>
      </c>
      <c r="C1380">
        <f>IF($A1380="","",IFERROR('TMP Paste'!$M1380*1,0))</f>
        <v/>
      </c>
      <c r="D1380">
        <f>IF($A1380="","",SUMIF($B$2:$B1380,$B1380,$C$2:$C1380))</f>
        <v/>
      </c>
      <c r="E1380">
        <f>IF($A1380="",0,IF('TMP Paste'!$B1380="",0,1))</f>
        <v/>
      </c>
      <c r="F1380">
        <f>IF(OR($A1380="",$C1380&lt;1),"",$A1380&amp;"-"&amp;TEXT(($D1380-$C1380+1),"00")&amp;IF($C1380&gt;=2,", "&amp;$A1380&amp;"-"&amp;TEXT(($D1380-$C1380+1)+1,"00"),"")&amp;IF($C1380&gt;=3,", "&amp;$A1380&amp;"-"&amp;TEXT(($D1380-$C1380+1)+2,"00"),"")&amp;IF($C1380&gt;=4,", "&amp;$A1380&amp;"-"&amp;TEXT(($D1380-$C1380+1)+3,"00"),"")&amp;IF($C1380&gt;=5,", "&amp;$A1380&amp;"-"&amp;TEXT(($D1380-$C1380+1)+4,"00"),"")&amp;IF($C1380&gt;=6,", "&amp;$A1380&amp;"-"&amp;TEXT(($D1380-$C1380+1)+5,"00"),"")&amp;IF($C1380&gt;=7,", "&amp;$A1380&amp;"-"&amp;TEXT(($D1380-$C1380+1)+6,"00"),"")&amp;IF($C1380&gt;=8,", "&amp;$A1380&amp;"-"&amp;TEXT(($D1380-$C1380+1)+7,"00"),"")&amp;IF($C1380&gt;=9,", "&amp;$A1380&amp;"-"&amp;TEXT(($D1380-$C1380+1)+8,"00"),"")&amp;IF($C1380&gt;=10,", "&amp;$A1380&amp;"-"&amp;TEXT(($D1380-$C1380+1)+9,"00"),"")&amp;IF($C1380&gt;=11,", "&amp;$A1380&amp;"-"&amp;TEXT(($D1380-$C1380+1)+10,"00"),"")&amp;IF($C1380&gt;=12,", "&amp;$A1380&amp;"-"&amp;TEXT(($D1380-$C1380+1)+11,"00"),"")&amp;IF($C1380&gt;=13,", "&amp;$A1380&amp;"-"&amp;TEXT(($D1380-$C1380+1)+12,"00"),"")&amp;IF($C1380&gt;=14,", "&amp;$A1380&amp;"-"&amp;TEXT(($D1380-$C1380+1)+13,"00"),"")&amp;IF($C1380&gt;=15,", "&amp;$A1380&amp;"-"&amp;TEXT(($D1380-$C1380+1)+14,"00"),"")&amp;IF($C1380&gt;=16,", "&amp;$A1380&amp;"-"&amp;TEXT(($D1380-$C1380+1)+15,"00"),"")&amp;IF($C1380&gt;=17,", "&amp;$A1380&amp;"-"&amp;TEXT(($D1380-$C1380+1)+16,"00"),"")&amp;IF($C1380&gt;=18,", "&amp;$A1380&amp;"-"&amp;TEXT(($D1380-$C1380+1)+17,"00"),"")&amp;IF($C1380&gt;=19,", "&amp;$A1380&amp;"-"&amp;TEXT(($D1380-$C1380+1)+18,"00"),"")&amp;IF($C1380&gt;=20,", "&amp;$A1380&amp;"-"&amp;TEXT(($D1380-$C1380+1)+19,"00"),"")&amp;IF($C1380&gt;=21,", "&amp;$A1380&amp;"-"&amp;TEXT(($D1380-$C1380+1)+20,"00"),"")&amp;IF($C1380&gt;=22,", "&amp;$A1380&amp;"-"&amp;TEXT(($D1380-$C1380+1)+21,"00"),"")&amp;IF($C1380&gt;=23,", "&amp;$A1380&amp;"-"&amp;TEXT(($D1380-$C1380+1)+22,"00"),"")&amp;IF($C1380&gt;=24,", "&amp;$A1380&amp;"-"&amp;TEXT(($D1380-$C1380+1)+23,"00"),"")&amp;IF($C1380&gt;=25,", "&amp;$A1380&amp;"-"&amp;TEXT(($D1380-$C1380+1)+24,"00"),""))</f>
        <v/>
      </c>
      <c r="G1380">
        <f>IF($A1380="","",IF($E1380=1,$F1380,IF($F1380="",$G1379,IF($G1379="",$F1380,$G1379&amp;", "&amp;$F1380))))</f>
        <v/>
      </c>
      <c r="H1380">
        <f>IF($A1380="","",$A1380&amp;" ("&amp;$C1380&amp;")")</f>
        <v/>
      </c>
      <c r="I1380">
        <f>IF($A1380="","",IF($E1380=1,$H1380,$I1379&amp;", "&amp;$H1380))</f>
        <v/>
      </c>
      <c r="J1380">
        <f>IF($A1380="","",IF($E1380=1,$B1380,""))</f>
        <v/>
      </c>
      <c r="K1380">
        <f>IF($A1380="","",IF(COUNTIF($B$2:$B1380,$B1380)=COUNTIF($B$2:$B$1601,$B1380),$B1380,""))</f>
        <v/>
      </c>
    </row>
    <row r="1381">
      <c r="A1381">
        <f>IF('TMP Paste'!$E1381="","",'TMP Paste'!$E1381)</f>
        <v/>
      </c>
      <c r="B1381">
        <f>IF($A1381="","",COUNTIF('TMP Paste'!$B$2:$B1381,"?*"))</f>
        <v/>
      </c>
      <c r="C1381">
        <f>IF($A1381="","",IFERROR('TMP Paste'!$M1381*1,0))</f>
        <v/>
      </c>
      <c r="D1381">
        <f>IF($A1381="","",SUMIF($B$2:$B1381,$B1381,$C$2:$C1381))</f>
        <v/>
      </c>
      <c r="E1381">
        <f>IF($A1381="",0,IF('TMP Paste'!$B1381="",0,1))</f>
        <v/>
      </c>
      <c r="F1381">
        <f>IF(OR($A1381="",$C1381&lt;1),"",$A1381&amp;"-"&amp;TEXT(($D1381-$C1381+1),"00")&amp;IF($C1381&gt;=2,", "&amp;$A1381&amp;"-"&amp;TEXT(($D1381-$C1381+1)+1,"00"),"")&amp;IF($C1381&gt;=3,", "&amp;$A1381&amp;"-"&amp;TEXT(($D1381-$C1381+1)+2,"00"),"")&amp;IF($C1381&gt;=4,", "&amp;$A1381&amp;"-"&amp;TEXT(($D1381-$C1381+1)+3,"00"),"")&amp;IF($C1381&gt;=5,", "&amp;$A1381&amp;"-"&amp;TEXT(($D1381-$C1381+1)+4,"00"),"")&amp;IF($C1381&gt;=6,", "&amp;$A1381&amp;"-"&amp;TEXT(($D1381-$C1381+1)+5,"00"),"")&amp;IF($C1381&gt;=7,", "&amp;$A1381&amp;"-"&amp;TEXT(($D1381-$C1381+1)+6,"00"),"")&amp;IF($C1381&gt;=8,", "&amp;$A1381&amp;"-"&amp;TEXT(($D1381-$C1381+1)+7,"00"),"")&amp;IF($C1381&gt;=9,", "&amp;$A1381&amp;"-"&amp;TEXT(($D1381-$C1381+1)+8,"00"),"")&amp;IF($C1381&gt;=10,", "&amp;$A1381&amp;"-"&amp;TEXT(($D1381-$C1381+1)+9,"00"),"")&amp;IF($C1381&gt;=11,", "&amp;$A1381&amp;"-"&amp;TEXT(($D1381-$C1381+1)+10,"00"),"")&amp;IF($C1381&gt;=12,", "&amp;$A1381&amp;"-"&amp;TEXT(($D1381-$C1381+1)+11,"00"),"")&amp;IF($C1381&gt;=13,", "&amp;$A1381&amp;"-"&amp;TEXT(($D1381-$C1381+1)+12,"00"),"")&amp;IF($C1381&gt;=14,", "&amp;$A1381&amp;"-"&amp;TEXT(($D1381-$C1381+1)+13,"00"),"")&amp;IF($C1381&gt;=15,", "&amp;$A1381&amp;"-"&amp;TEXT(($D1381-$C1381+1)+14,"00"),"")&amp;IF($C1381&gt;=16,", "&amp;$A1381&amp;"-"&amp;TEXT(($D1381-$C1381+1)+15,"00"),"")&amp;IF($C1381&gt;=17,", "&amp;$A1381&amp;"-"&amp;TEXT(($D1381-$C1381+1)+16,"00"),"")&amp;IF($C1381&gt;=18,", "&amp;$A1381&amp;"-"&amp;TEXT(($D1381-$C1381+1)+17,"00"),"")&amp;IF($C1381&gt;=19,", "&amp;$A1381&amp;"-"&amp;TEXT(($D1381-$C1381+1)+18,"00"),"")&amp;IF($C1381&gt;=20,", "&amp;$A1381&amp;"-"&amp;TEXT(($D1381-$C1381+1)+19,"00"),"")&amp;IF($C1381&gt;=21,", "&amp;$A1381&amp;"-"&amp;TEXT(($D1381-$C1381+1)+20,"00"),"")&amp;IF($C1381&gt;=22,", "&amp;$A1381&amp;"-"&amp;TEXT(($D1381-$C1381+1)+21,"00"),"")&amp;IF($C1381&gt;=23,", "&amp;$A1381&amp;"-"&amp;TEXT(($D1381-$C1381+1)+22,"00"),"")&amp;IF($C1381&gt;=24,", "&amp;$A1381&amp;"-"&amp;TEXT(($D1381-$C1381+1)+23,"00"),"")&amp;IF($C1381&gt;=25,", "&amp;$A1381&amp;"-"&amp;TEXT(($D1381-$C1381+1)+24,"00"),""))</f>
        <v/>
      </c>
      <c r="G1381">
        <f>IF($A1381="","",IF($E1381=1,$F1381,IF($F1381="",$G1380,IF($G1380="",$F1381,$G1380&amp;", "&amp;$F1381))))</f>
        <v/>
      </c>
      <c r="H1381">
        <f>IF($A1381="","",$A1381&amp;" ("&amp;$C1381&amp;")")</f>
        <v/>
      </c>
      <c r="I1381">
        <f>IF($A1381="","",IF($E1381=1,$H1381,$I1380&amp;", "&amp;$H1381))</f>
        <v/>
      </c>
      <c r="J1381">
        <f>IF($A1381="","",IF($E1381=1,$B1381,""))</f>
        <v/>
      </c>
      <c r="K1381">
        <f>IF($A1381="","",IF(COUNTIF($B$2:$B1381,$B1381)=COUNTIF($B$2:$B$1601,$B1381),$B1381,""))</f>
        <v/>
      </c>
    </row>
    <row r="1382">
      <c r="A1382">
        <f>IF('TMP Paste'!$E1382="","",'TMP Paste'!$E1382)</f>
        <v/>
      </c>
      <c r="B1382">
        <f>IF($A1382="","",COUNTIF('TMP Paste'!$B$2:$B1382,"?*"))</f>
        <v/>
      </c>
      <c r="C1382">
        <f>IF($A1382="","",IFERROR('TMP Paste'!$M1382*1,0))</f>
        <v/>
      </c>
      <c r="D1382">
        <f>IF($A1382="","",SUMIF($B$2:$B1382,$B1382,$C$2:$C1382))</f>
        <v/>
      </c>
      <c r="E1382">
        <f>IF($A1382="",0,IF('TMP Paste'!$B1382="",0,1))</f>
        <v/>
      </c>
      <c r="F1382">
        <f>IF(OR($A1382="",$C1382&lt;1),"",$A1382&amp;"-"&amp;TEXT(($D1382-$C1382+1),"00")&amp;IF($C1382&gt;=2,", "&amp;$A1382&amp;"-"&amp;TEXT(($D1382-$C1382+1)+1,"00"),"")&amp;IF($C1382&gt;=3,", "&amp;$A1382&amp;"-"&amp;TEXT(($D1382-$C1382+1)+2,"00"),"")&amp;IF($C1382&gt;=4,", "&amp;$A1382&amp;"-"&amp;TEXT(($D1382-$C1382+1)+3,"00"),"")&amp;IF($C1382&gt;=5,", "&amp;$A1382&amp;"-"&amp;TEXT(($D1382-$C1382+1)+4,"00"),"")&amp;IF($C1382&gt;=6,", "&amp;$A1382&amp;"-"&amp;TEXT(($D1382-$C1382+1)+5,"00"),"")&amp;IF($C1382&gt;=7,", "&amp;$A1382&amp;"-"&amp;TEXT(($D1382-$C1382+1)+6,"00"),"")&amp;IF($C1382&gt;=8,", "&amp;$A1382&amp;"-"&amp;TEXT(($D1382-$C1382+1)+7,"00"),"")&amp;IF($C1382&gt;=9,", "&amp;$A1382&amp;"-"&amp;TEXT(($D1382-$C1382+1)+8,"00"),"")&amp;IF($C1382&gt;=10,", "&amp;$A1382&amp;"-"&amp;TEXT(($D1382-$C1382+1)+9,"00"),"")&amp;IF($C1382&gt;=11,", "&amp;$A1382&amp;"-"&amp;TEXT(($D1382-$C1382+1)+10,"00"),"")&amp;IF($C1382&gt;=12,", "&amp;$A1382&amp;"-"&amp;TEXT(($D1382-$C1382+1)+11,"00"),"")&amp;IF($C1382&gt;=13,", "&amp;$A1382&amp;"-"&amp;TEXT(($D1382-$C1382+1)+12,"00"),"")&amp;IF($C1382&gt;=14,", "&amp;$A1382&amp;"-"&amp;TEXT(($D1382-$C1382+1)+13,"00"),"")&amp;IF($C1382&gt;=15,", "&amp;$A1382&amp;"-"&amp;TEXT(($D1382-$C1382+1)+14,"00"),"")&amp;IF($C1382&gt;=16,", "&amp;$A1382&amp;"-"&amp;TEXT(($D1382-$C1382+1)+15,"00"),"")&amp;IF($C1382&gt;=17,", "&amp;$A1382&amp;"-"&amp;TEXT(($D1382-$C1382+1)+16,"00"),"")&amp;IF($C1382&gt;=18,", "&amp;$A1382&amp;"-"&amp;TEXT(($D1382-$C1382+1)+17,"00"),"")&amp;IF($C1382&gt;=19,", "&amp;$A1382&amp;"-"&amp;TEXT(($D1382-$C1382+1)+18,"00"),"")&amp;IF($C1382&gt;=20,", "&amp;$A1382&amp;"-"&amp;TEXT(($D1382-$C1382+1)+19,"00"),"")&amp;IF($C1382&gt;=21,", "&amp;$A1382&amp;"-"&amp;TEXT(($D1382-$C1382+1)+20,"00"),"")&amp;IF($C1382&gt;=22,", "&amp;$A1382&amp;"-"&amp;TEXT(($D1382-$C1382+1)+21,"00"),"")&amp;IF($C1382&gt;=23,", "&amp;$A1382&amp;"-"&amp;TEXT(($D1382-$C1382+1)+22,"00"),"")&amp;IF($C1382&gt;=24,", "&amp;$A1382&amp;"-"&amp;TEXT(($D1382-$C1382+1)+23,"00"),"")&amp;IF($C1382&gt;=25,", "&amp;$A1382&amp;"-"&amp;TEXT(($D1382-$C1382+1)+24,"00"),""))</f>
        <v/>
      </c>
      <c r="G1382">
        <f>IF($A1382="","",IF($E1382=1,$F1382,IF($F1382="",$G1381,IF($G1381="",$F1382,$G1381&amp;", "&amp;$F1382))))</f>
        <v/>
      </c>
      <c r="H1382">
        <f>IF($A1382="","",$A1382&amp;" ("&amp;$C1382&amp;")")</f>
        <v/>
      </c>
      <c r="I1382">
        <f>IF($A1382="","",IF($E1382=1,$H1382,$I1381&amp;", "&amp;$H1382))</f>
        <v/>
      </c>
      <c r="J1382">
        <f>IF($A1382="","",IF($E1382=1,$B1382,""))</f>
        <v/>
      </c>
      <c r="K1382">
        <f>IF($A1382="","",IF(COUNTIF($B$2:$B1382,$B1382)=COUNTIF($B$2:$B$1601,$B1382),$B1382,""))</f>
        <v/>
      </c>
    </row>
    <row r="1383">
      <c r="A1383">
        <f>IF('TMP Paste'!$E1383="","",'TMP Paste'!$E1383)</f>
        <v/>
      </c>
      <c r="B1383">
        <f>IF($A1383="","",COUNTIF('TMP Paste'!$B$2:$B1383,"?*"))</f>
        <v/>
      </c>
      <c r="C1383">
        <f>IF($A1383="","",IFERROR('TMP Paste'!$M1383*1,0))</f>
        <v/>
      </c>
      <c r="D1383">
        <f>IF($A1383="","",SUMIF($B$2:$B1383,$B1383,$C$2:$C1383))</f>
        <v/>
      </c>
      <c r="E1383">
        <f>IF($A1383="",0,IF('TMP Paste'!$B1383="",0,1))</f>
        <v/>
      </c>
      <c r="F1383">
        <f>IF(OR($A1383="",$C1383&lt;1),"",$A1383&amp;"-"&amp;TEXT(($D1383-$C1383+1),"00")&amp;IF($C1383&gt;=2,", "&amp;$A1383&amp;"-"&amp;TEXT(($D1383-$C1383+1)+1,"00"),"")&amp;IF($C1383&gt;=3,", "&amp;$A1383&amp;"-"&amp;TEXT(($D1383-$C1383+1)+2,"00"),"")&amp;IF($C1383&gt;=4,", "&amp;$A1383&amp;"-"&amp;TEXT(($D1383-$C1383+1)+3,"00"),"")&amp;IF($C1383&gt;=5,", "&amp;$A1383&amp;"-"&amp;TEXT(($D1383-$C1383+1)+4,"00"),"")&amp;IF($C1383&gt;=6,", "&amp;$A1383&amp;"-"&amp;TEXT(($D1383-$C1383+1)+5,"00"),"")&amp;IF($C1383&gt;=7,", "&amp;$A1383&amp;"-"&amp;TEXT(($D1383-$C1383+1)+6,"00"),"")&amp;IF($C1383&gt;=8,", "&amp;$A1383&amp;"-"&amp;TEXT(($D1383-$C1383+1)+7,"00"),"")&amp;IF($C1383&gt;=9,", "&amp;$A1383&amp;"-"&amp;TEXT(($D1383-$C1383+1)+8,"00"),"")&amp;IF($C1383&gt;=10,", "&amp;$A1383&amp;"-"&amp;TEXT(($D1383-$C1383+1)+9,"00"),"")&amp;IF($C1383&gt;=11,", "&amp;$A1383&amp;"-"&amp;TEXT(($D1383-$C1383+1)+10,"00"),"")&amp;IF($C1383&gt;=12,", "&amp;$A1383&amp;"-"&amp;TEXT(($D1383-$C1383+1)+11,"00"),"")&amp;IF($C1383&gt;=13,", "&amp;$A1383&amp;"-"&amp;TEXT(($D1383-$C1383+1)+12,"00"),"")&amp;IF($C1383&gt;=14,", "&amp;$A1383&amp;"-"&amp;TEXT(($D1383-$C1383+1)+13,"00"),"")&amp;IF($C1383&gt;=15,", "&amp;$A1383&amp;"-"&amp;TEXT(($D1383-$C1383+1)+14,"00"),"")&amp;IF($C1383&gt;=16,", "&amp;$A1383&amp;"-"&amp;TEXT(($D1383-$C1383+1)+15,"00"),"")&amp;IF($C1383&gt;=17,", "&amp;$A1383&amp;"-"&amp;TEXT(($D1383-$C1383+1)+16,"00"),"")&amp;IF($C1383&gt;=18,", "&amp;$A1383&amp;"-"&amp;TEXT(($D1383-$C1383+1)+17,"00"),"")&amp;IF($C1383&gt;=19,", "&amp;$A1383&amp;"-"&amp;TEXT(($D1383-$C1383+1)+18,"00"),"")&amp;IF($C1383&gt;=20,", "&amp;$A1383&amp;"-"&amp;TEXT(($D1383-$C1383+1)+19,"00"),"")&amp;IF($C1383&gt;=21,", "&amp;$A1383&amp;"-"&amp;TEXT(($D1383-$C1383+1)+20,"00"),"")&amp;IF($C1383&gt;=22,", "&amp;$A1383&amp;"-"&amp;TEXT(($D1383-$C1383+1)+21,"00"),"")&amp;IF($C1383&gt;=23,", "&amp;$A1383&amp;"-"&amp;TEXT(($D1383-$C1383+1)+22,"00"),"")&amp;IF($C1383&gt;=24,", "&amp;$A1383&amp;"-"&amp;TEXT(($D1383-$C1383+1)+23,"00"),"")&amp;IF($C1383&gt;=25,", "&amp;$A1383&amp;"-"&amp;TEXT(($D1383-$C1383+1)+24,"00"),""))</f>
        <v/>
      </c>
      <c r="G1383">
        <f>IF($A1383="","",IF($E1383=1,$F1383,IF($F1383="",$G1382,IF($G1382="",$F1383,$G1382&amp;", "&amp;$F1383))))</f>
        <v/>
      </c>
      <c r="H1383">
        <f>IF($A1383="","",$A1383&amp;" ("&amp;$C1383&amp;")")</f>
        <v/>
      </c>
      <c r="I1383">
        <f>IF($A1383="","",IF($E1383=1,$H1383,$I1382&amp;", "&amp;$H1383))</f>
        <v/>
      </c>
      <c r="J1383">
        <f>IF($A1383="","",IF($E1383=1,$B1383,""))</f>
        <v/>
      </c>
      <c r="K1383">
        <f>IF($A1383="","",IF(COUNTIF($B$2:$B1383,$B1383)=COUNTIF($B$2:$B$1601,$B1383),$B1383,""))</f>
        <v/>
      </c>
    </row>
    <row r="1384">
      <c r="A1384">
        <f>IF('TMP Paste'!$E1384="","",'TMP Paste'!$E1384)</f>
        <v/>
      </c>
      <c r="B1384">
        <f>IF($A1384="","",COUNTIF('TMP Paste'!$B$2:$B1384,"?*"))</f>
        <v/>
      </c>
      <c r="C1384">
        <f>IF($A1384="","",IFERROR('TMP Paste'!$M1384*1,0))</f>
        <v/>
      </c>
      <c r="D1384">
        <f>IF($A1384="","",SUMIF($B$2:$B1384,$B1384,$C$2:$C1384))</f>
        <v/>
      </c>
      <c r="E1384">
        <f>IF($A1384="",0,IF('TMP Paste'!$B1384="",0,1))</f>
        <v/>
      </c>
      <c r="F1384">
        <f>IF(OR($A1384="",$C1384&lt;1),"",$A1384&amp;"-"&amp;TEXT(($D1384-$C1384+1),"00")&amp;IF($C1384&gt;=2,", "&amp;$A1384&amp;"-"&amp;TEXT(($D1384-$C1384+1)+1,"00"),"")&amp;IF($C1384&gt;=3,", "&amp;$A1384&amp;"-"&amp;TEXT(($D1384-$C1384+1)+2,"00"),"")&amp;IF($C1384&gt;=4,", "&amp;$A1384&amp;"-"&amp;TEXT(($D1384-$C1384+1)+3,"00"),"")&amp;IF($C1384&gt;=5,", "&amp;$A1384&amp;"-"&amp;TEXT(($D1384-$C1384+1)+4,"00"),"")&amp;IF($C1384&gt;=6,", "&amp;$A1384&amp;"-"&amp;TEXT(($D1384-$C1384+1)+5,"00"),"")&amp;IF($C1384&gt;=7,", "&amp;$A1384&amp;"-"&amp;TEXT(($D1384-$C1384+1)+6,"00"),"")&amp;IF($C1384&gt;=8,", "&amp;$A1384&amp;"-"&amp;TEXT(($D1384-$C1384+1)+7,"00"),"")&amp;IF($C1384&gt;=9,", "&amp;$A1384&amp;"-"&amp;TEXT(($D1384-$C1384+1)+8,"00"),"")&amp;IF($C1384&gt;=10,", "&amp;$A1384&amp;"-"&amp;TEXT(($D1384-$C1384+1)+9,"00"),"")&amp;IF($C1384&gt;=11,", "&amp;$A1384&amp;"-"&amp;TEXT(($D1384-$C1384+1)+10,"00"),"")&amp;IF($C1384&gt;=12,", "&amp;$A1384&amp;"-"&amp;TEXT(($D1384-$C1384+1)+11,"00"),"")&amp;IF($C1384&gt;=13,", "&amp;$A1384&amp;"-"&amp;TEXT(($D1384-$C1384+1)+12,"00"),"")&amp;IF($C1384&gt;=14,", "&amp;$A1384&amp;"-"&amp;TEXT(($D1384-$C1384+1)+13,"00"),"")&amp;IF($C1384&gt;=15,", "&amp;$A1384&amp;"-"&amp;TEXT(($D1384-$C1384+1)+14,"00"),"")&amp;IF($C1384&gt;=16,", "&amp;$A1384&amp;"-"&amp;TEXT(($D1384-$C1384+1)+15,"00"),"")&amp;IF($C1384&gt;=17,", "&amp;$A1384&amp;"-"&amp;TEXT(($D1384-$C1384+1)+16,"00"),"")&amp;IF($C1384&gt;=18,", "&amp;$A1384&amp;"-"&amp;TEXT(($D1384-$C1384+1)+17,"00"),"")&amp;IF($C1384&gt;=19,", "&amp;$A1384&amp;"-"&amp;TEXT(($D1384-$C1384+1)+18,"00"),"")&amp;IF($C1384&gt;=20,", "&amp;$A1384&amp;"-"&amp;TEXT(($D1384-$C1384+1)+19,"00"),"")&amp;IF($C1384&gt;=21,", "&amp;$A1384&amp;"-"&amp;TEXT(($D1384-$C1384+1)+20,"00"),"")&amp;IF($C1384&gt;=22,", "&amp;$A1384&amp;"-"&amp;TEXT(($D1384-$C1384+1)+21,"00"),"")&amp;IF($C1384&gt;=23,", "&amp;$A1384&amp;"-"&amp;TEXT(($D1384-$C1384+1)+22,"00"),"")&amp;IF($C1384&gt;=24,", "&amp;$A1384&amp;"-"&amp;TEXT(($D1384-$C1384+1)+23,"00"),"")&amp;IF($C1384&gt;=25,", "&amp;$A1384&amp;"-"&amp;TEXT(($D1384-$C1384+1)+24,"00"),""))</f>
        <v/>
      </c>
      <c r="G1384">
        <f>IF($A1384="","",IF($E1384=1,$F1384,IF($F1384="",$G1383,IF($G1383="",$F1384,$G1383&amp;", "&amp;$F1384))))</f>
        <v/>
      </c>
      <c r="H1384">
        <f>IF($A1384="","",$A1384&amp;" ("&amp;$C1384&amp;")")</f>
        <v/>
      </c>
      <c r="I1384">
        <f>IF($A1384="","",IF($E1384=1,$H1384,$I1383&amp;", "&amp;$H1384))</f>
        <v/>
      </c>
      <c r="J1384">
        <f>IF($A1384="","",IF($E1384=1,$B1384,""))</f>
        <v/>
      </c>
      <c r="K1384">
        <f>IF($A1384="","",IF(COUNTIF($B$2:$B1384,$B1384)=COUNTIF($B$2:$B$1601,$B1384),$B1384,""))</f>
        <v/>
      </c>
    </row>
    <row r="1385">
      <c r="A1385">
        <f>IF('TMP Paste'!$E1385="","",'TMP Paste'!$E1385)</f>
        <v/>
      </c>
      <c r="B1385">
        <f>IF($A1385="","",COUNTIF('TMP Paste'!$B$2:$B1385,"?*"))</f>
        <v/>
      </c>
      <c r="C1385">
        <f>IF($A1385="","",IFERROR('TMP Paste'!$M1385*1,0))</f>
        <v/>
      </c>
      <c r="D1385">
        <f>IF($A1385="","",SUMIF($B$2:$B1385,$B1385,$C$2:$C1385))</f>
        <v/>
      </c>
      <c r="E1385">
        <f>IF($A1385="",0,IF('TMP Paste'!$B1385="",0,1))</f>
        <v/>
      </c>
      <c r="F1385">
        <f>IF(OR($A1385="",$C1385&lt;1),"",$A1385&amp;"-"&amp;TEXT(($D1385-$C1385+1),"00")&amp;IF($C1385&gt;=2,", "&amp;$A1385&amp;"-"&amp;TEXT(($D1385-$C1385+1)+1,"00"),"")&amp;IF($C1385&gt;=3,", "&amp;$A1385&amp;"-"&amp;TEXT(($D1385-$C1385+1)+2,"00"),"")&amp;IF($C1385&gt;=4,", "&amp;$A1385&amp;"-"&amp;TEXT(($D1385-$C1385+1)+3,"00"),"")&amp;IF($C1385&gt;=5,", "&amp;$A1385&amp;"-"&amp;TEXT(($D1385-$C1385+1)+4,"00"),"")&amp;IF($C1385&gt;=6,", "&amp;$A1385&amp;"-"&amp;TEXT(($D1385-$C1385+1)+5,"00"),"")&amp;IF($C1385&gt;=7,", "&amp;$A1385&amp;"-"&amp;TEXT(($D1385-$C1385+1)+6,"00"),"")&amp;IF($C1385&gt;=8,", "&amp;$A1385&amp;"-"&amp;TEXT(($D1385-$C1385+1)+7,"00"),"")&amp;IF($C1385&gt;=9,", "&amp;$A1385&amp;"-"&amp;TEXT(($D1385-$C1385+1)+8,"00"),"")&amp;IF($C1385&gt;=10,", "&amp;$A1385&amp;"-"&amp;TEXT(($D1385-$C1385+1)+9,"00"),"")&amp;IF($C1385&gt;=11,", "&amp;$A1385&amp;"-"&amp;TEXT(($D1385-$C1385+1)+10,"00"),"")&amp;IF($C1385&gt;=12,", "&amp;$A1385&amp;"-"&amp;TEXT(($D1385-$C1385+1)+11,"00"),"")&amp;IF($C1385&gt;=13,", "&amp;$A1385&amp;"-"&amp;TEXT(($D1385-$C1385+1)+12,"00"),"")&amp;IF($C1385&gt;=14,", "&amp;$A1385&amp;"-"&amp;TEXT(($D1385-$C1385+1)+13,"00"),"")&amp;IF($C1385&gt;=15,", "&amp;$A1385&amp;"-"&amp;TEXT(($D1385-$C1385+1)+14,"00"),"")&amp;IF($C1385&gt;=16,", "&amp;$A1385&amp;"-"&amp;TEXT(($D1385-$C1385+1)+15,"00"),"")&amp;IF($C1385&gt;=17,", "&amp;$A1385&amp;"-"&amp;TEXT(($D1385-$C1385+1)+16,"00"),"")&amp;IF($C1385&gt;=18,", "&amp;$A1385&amp;"-"&amp;TEXT(($D1385-$C1385+1)+17,"00"),"")&amp;IF($C1385&gt;=19,", "&amp;$A1385&amp;"-"&amp;TEXT(($D1385-$C1385+1)+18,"00"),"")&amp;IF($C1385&gt;=20,", "&amp;$A1385&amp;"-"&amp;TEXT(($D1385-$C1385+1)+19,"00"),"")&amp;IF($C1385&gt;=21,", "&amp;$A1385&amp;"-"&amp;TEXT(($D1385-$C1385+1)+20,"00"),"")&amp;IF($C1385&gt;=22,", "&amp;$A1385&amp;"-"&amp;TEXT(($D1385-$C1385+1)+21,"00"),"")&amp;IF($C1385&gt;=23,", "&amp;$A1385&amp;"-"&amp;TEXT(($D1385-$C1385+1)+22,"00"),"")&amp;IF($C1385&gt;=24,", "&amp;$A1385&amp;"-"&amp;TEXT(($D1385-$C1385+1)+23,"00"),"")&amp;IF($C1385&gt;=25,", "&amp;$A1385&amp;"-"&amp;TEXT(($D1385-$C1385+1)+24,"00"),""))</f>
        <v/>
      </c>
      <c r="G1385">
        <f>IF($A1385="","",IF($E1385=1,$F1385,IF($F1385="",$G1384,IF($G1384="",$F1385,$G1384&amp;", "&amp;$F1385))))</f>
        <v/>
      </c>
      <c r="H1385">
        <f>IF($A1385="","",$A1385&amp;" ("&amp;$C1385&amp;")")</f>
        <v/>
      </c>
      <c r="I1385">
        <f>IF($A1385="","",IF($E1385=1,$H1385,$I1384&amp;", "&amp;$H1385))</f>
        <v/>
      </c>
      <c r="J1385">
        <f>IF($A1385="","",IF($E1385=1,$B1385,""))</f>
        <v/>
      </c>
      <c r="K1385">
        <f>IF($A1385="","",IF(COUNTIF($B$2:$B1385,$B1385)=COUNTIF($B$2:$B$1601,$B1385),$B1385,""))</f>
        <v/>
      </c>
    </row>
    <row r="1386">
      <c r="A1386">
        <f>IF('TMP Paste'!$E1386="","",'TMP Paste'!$E1386)</f>
        <v/>
      </c>
      <c r="B1386">
        <f>IF($A1386="","",COUNTIF('TMP Paste'!$B$2:$B1386,"?*"))</f>
        <v/>
      </c>
      <c r="C1386">
        <f>IF($A1386="","",IFERROR('TMP Paste'!$M1386*1,0))</f>
        <v/>
      </c>
      <c r="D1386">
        <f>IF($A1386="","",SUMIF($B$2:$B1386,$B1386,$C$2:$C1386))</f>
        <v/>
      </c>
      <c r="E1386">
        <f>IF($A1386="",0,IF('TMP Paste'!$B1386="",0,1))</f>
        <v/>
      </c>
      <c r="F1386">
        <f>IF(OR($A1386="",$C1386&lt;1),"",$A1386&amp;"-"&amp;TEXT(($D1386-$C1386+1),"00")&amp;IF($C1386&gt;=2,", "&amp;$A1386&amp;"-"&amp;TEXT(($D1386-$C1386+1)+1,"00"),"")&amp;IF($C1386&gt;=3,", "&amp;$A1386&amp;"-"&amp;TEXT(($D1386-$C1386+1)+2,"00"),"")&amp;IF($C1386&gt;=4,", "&amp;$A1386&amp;"-"&amp;TEXT(($D1386-$C1386+1)+3,"00"),"")&amp;IF($C1386&gt;=5,", "&amp;$A1386&amp;"-"&amp;TEXT(($D1386-$C1386+1)+4,"00"),"")&amp;IF($C1386&gt;=6,", "&amp;$A1386&amp;"-"&amp;TEXT(($D1386-$C1386+1)+5,"00"),"")&amp;IF($C1386&gt;=7,", "&amp;$A1386&amp;"-"&amp;TEXT(($D1386-$C1386+1)+6,"00"),"")&amp;IF($C1386&gt;=8,", "&amp;$A1386&amp;"-"&amp;TEXT(($D1386-$C1386+1)+7,"00"),"")&amp;IF($C1386&gt;=9,", "&amp;$A1386&amp;"-"&amp;TEXT(($D1386-$C1386+1)+8,"00"),"")&amp;IF($C1386&gt;=10,", "&amp;$A1386&amp;"-"&amp;TEXT(($D1386-$C1386+1)+9,"00"),"")&amp;IF($C1386&gt;=11,", "&amp;$A1386&amp;"-"&amp;TEXT(($D1386-$C1386+1)+10,"00"),"")&amp;IF($C1386&gt;=12,", "&amp;$A1386&amp;"-"&amp;TEXT(($D1386-$C1386+1)+11,"00"),"")&amp;IF($C1386&gt;=13,", "&amp;$A1386&amp;"-"&amp;TEXT(($D1386-$C1386+1)+12,"00"),"")&amp;IF($C1386&gt;=14,", "&amp;$A1386&amp;"-"&amp;TEXT(($D1386-$C1386+1)+13,"00"),"")&amp;IF($C1386&gt;=15,", "&amp;$A1386&amp;"-"&amp;TEXT(($D1386-$C1386+1)+14,"00"),"")&amp;IF($C1386&gt;=16,", "&amp;$A1386&amp;"-"&amp;TEXT(($D1386-$C1386+1)+15,"00"),"")&amp;IF($C1386&gt;=17,", "&amp;$A1386&amp;"-"&amp;TEXT(($D1386-$C1386+1)+16,"00"),"")&amp;IF($C1386&gt;=18,", "&amp;$A1386&amp;"-"&amp;TEXT(($D1386-$C1386+1)+17,"00"),"")&amp;IF($C1386&gt;=19,", "&amp;$A1386&amp;"-"&amp;TEXT(($D1386-$C1386+1)+18,"00"),"")&amp;IF($C1386&gt;=20,", "&amp;$A1386&amp;"-"&amp;TEXT(($D1386-$C1386+1)+19,"00"),"")&amp;IF($C1386&gt;=21,", "&amp;$A1386&amp;"-"&amp;TEXT(($D1386-$C1386+1)+20,"00"),"")&amp;IF($C1386&gt;=22,", "&amp;$A1386&amp;"-"&amp;TEXT(($D1386-$C1386+1)+21,"00"),"")&amp;IF($C1386&gt;=23,", "&amp;$A1386&amp;"-"&amp;TEXT(($D1386-$C1386+1)+22,"00"),"")&amp;IF($C1386&gt;=24,", "&amp;$A1386&amp;"-"&amp;TEXT(($D1386-$C1386+1)+23,"00"),"")&amp;IF($C1386&gt;=25,", "&amp;$A1386&amp;"-"&amp;TEXT(($D1386-$C1386+1)+24,"00"),""))</f>
        <v/>
      </c>
      <c r="G1386">
        <f>IF($A1386="","",IF($E1386=1,$F1386,IF($F1386="",$G1385,IF($G1385="",$F1386,$G1385&amp;", "&amp;$F1386))))</f>
        <v/>
      </c>
      <c r="H1386">
        <f>IF($A1386="","",$A1386&amp;" ("&amp;$C1386&amp;")")</f>
        <v/>
      </c>
      <c r="I1386">
        <f>IF($A1386="","",IF($E1386=1,$H1386,$I1385&amp;", "&amp;$H1386))</f>
        <v/>
      </c>
      <c r="J1386">
        <f>IF($A1386="","",IF($E1386=1,$B1386,""))</f>
        <v/>
      </c>
      <c r="K1386">
        <f>IF($A1386="","",IF(COUNTIF($B$2:$B1386,$B1386)=COUNTIF($B$2:$B$1601,$B1386),$B1386,""))</f>
        <v/>
      </c>
    </row>
    <row r="1387">
      <c r="A1387">
        <f>IF('TMP Paste'!$E1387="","",'TMP Paste'!$E1387)</f>
        <v/>
      </c>
      <c r="B1387">
        <f>IF($A1387="","",COUNTIF('TMP Paste'!$B$2:$B1387,"?*"))</f>
        <v/>
      </c>
      <c r="C1387">
        <f>IF($A1387="","",IFERROR('TMP Paste'!$M1387*1,0))</f>
        <v/>
      </c>
      <c r="D1387">
        <f>IF($A1387="","",SUMIF($B$2:$B1387,$B1387,$C$2:$C1387))</f>
        <v/>
      </c>
      <c r="E1387">
        <f>IF($A1387="",0,IF('TMP Paste'!$B1387="",0,1))</f>
        <v/>
      </c>
      <c r="F1387">
        <f>IF(OR($A1387="",$C1387&lt;1),"",$A1387&amp;"-"&amp;TEXT(($D1387-$C1387+1),"00")&amp;IF($C1387&gt;=2,", "&amp;$A1387&amp;"-"&amp;TEXT(($D1387-$C1387+1)+1,"00"),"")&amp;IF($C1387&gt;=3,", "&amp;$A1387&amp;"-"&amp;TEXT(($D1387-$C1387+1)+2,"00"),"")&amp;IF($C1387&gt;=4,", "&amp;$A1387&amp;"-"&amp;TEXT(($D1387-$C1387+1)+3,"00"),"")&amp;IF($C1387&gt;=5,", "&amp;$A1387&amp;"-"&amp;TEXT(($D1387-$C1387+1)+4,"00"),"")&amp;IF($C1387&gt;=6,", "&amp;$A1387&amp;"-"&amp;TEXT(($D1387-$C1387+1)+5,"00"),"")&amp;IF($C1387&gt;=7,", "&amp;$A1387&amp;"-"&amp;TEXT(($D1387-$C1387+1)+6,"00"),"")&amp;IF($C1387&gt;=8,", "&amp;$A1387&amp;"-"&amp;TEXT(($D1387-$C1387+1)+7,"00"),"")&amp;IF($C1387&gt;=9,", "&amp;$A1387&amp;"-"&amp;TEXT(($D1387-$C1387+1)+8,"00"),"")&amp;IF($C1387&gt;=10,", "&amp;$A1387&amp;"-"&amp;TEXT(($D1387-$C1387+1)+9,"00"),"")&amp;IF($C1387&gt;=11,", "&amp;$A1387&amp;"-"&amp;TEXT(($D1387-$C1387+1)+10,"00"),"")&amp;IF($C1387&gt;=12,", "&amp;$A1387&amp;"-"&amp;TEXT(($D1387-$C1387+1)+11,"00"),"")&amp;IF($C1387&gt;=13,", "&amp;$A1387&amp;"-"&amp;TEXT(($D1387-$C1387+1)+12,"00"),"")&amp;IF($C1387&gt;=14,", "&amp;$A1387&amp;"-"&amp;TEXT(($D1387-$C1387+1)+13,"00"),"")&amp;IF($C1387&gt;=15,", "&amp;$A1387&amp;"-"&amp;TEXT(($D1387-$C1387+1)+14,"00"),"")&amp;IF($C1387&gt;=16,", "&amp;$A1387&amp;"-"&amp;TEXT(($D1387-$C1387+1)+15,"00"),"")&amp;IF($C1387&gt;=17,", "&amp;$A1387&amp;"-"&amp;TEXT(($D1387-$C1387+1)+16,"00"),"")&amp;IF($C1387&gt;=18,", "&amp;$A1387&amp;"-"&amp;TEXT(($D1387-$C1387+1)+17,"00"),"")&amp;IF($C1387&gt;=19,", "&amp;$A1387&amp;"-"&amp;TEXT(($D1387-$C1387+1)+18,"00"),"")&amp;IF($C1387&gt;=20,", "&amp;$A1387&amp;"-"&amp;TEXT(($D1387-$C1387+1)+19,"00"),"")&amp;IF($C1387&gt;=21,", "&amp;$A1387&amp;"-"&amp;TEXT(($D1387-$C1387+1)+20,"00"),"")&amp;IF($C1387&gt;=22,", "&amp;$A1387&amp;"-"&amp;TEXT(($D1387-$C1387+1)+21,"00"),"")&amp;IF($C1387&gt;=23,", "&amp;$A1387&amp;"-"&amp;TEXT(($D1387-$C1387+1)+22,"00"),"")&amp;IF($C1387&gt;=24,", "&amp;$A1387&amp;"-"&amp;TEXT(($D1387-$C1387+1)+23,"00"),"")&amp;IF($C1387&gt;=25,", "&amp;$A1387&amp;"-"&amp;TEXT(($D1387-$C1387+1)+24,"00"),""))</f>
        <v/>
      </c>
      <c r="G1387">
        <f>IF($A1387="","",IF($E1387=1,$F1387,IF($F1387="",$G1386,IF($G1386="",$F1387,$G1386&amp;", "&amp;$F1387))))</f>
        <v/>
      </c>
      <c r="H1387">
        <f>IF($A1387="","",$A1387&amp;" ("&amp;$C1387&amp;")")</f>
        <v/>
      </c>
      <c r="I1387">
        <f>IF($A1387="","",IF($E1387=1,$H1387,$I1386&amp;", "&amp;$H1387))</f>
        <v/>
      </c>
      <c r="J1387">
        <f>IF($A1387="","",IF($E1387=1,$B1387,""))</f>
        <v/>
      </c>
      <c r="K1387">
        <f>IF($A1387="","",IF(COUNTIF($B$2:$B1387,$B1387)=COUNTIF($B$2:$B$1601,$B1387),$B1387,""))</f>
        <v/>
      </c>
    </row>
    <row r="1388">
      <c r="A1388">
        <f>IF('TMP Paste'!$E1388="","",'TMP Paste'!$E1388)</f>
        <v/>
      </c>
      <c r="B1388">
        <f>IF($A1388="","",COUNTIF('TMP Paste'!$B$2:$B1388,"?*"))</f>
        <v/>
      </c>
      <c r="C1388">
        <f>IF($A1388="","",IFERROR('TMP Paste'!$M1388*1,0))</f>
        <v/>
      </c>
      <c r="D1388">
        <f>IF($A1388="","",SUMIF($B$2:$B1388,$B1388,$C$2:$C1388))</f>
        <v/>
      </c>
      <c r="E1388">
        <f>IF($A1388="",0,IF('TMP Paste'!$B1388="",0,1))</f>
        <v/>
      </c>
      <c r="F1388">
        <f>IF(OR($A1388="",$C1388&lt;1),"",$A1388&amp;"-"&amp;TEXT(($D1388-$C1388+1),"00")&amp;IF($C1388&gt;=2,", "&amp;$A1388&amp;"-"&amp;TEXT(($D1388-$C1388+1)+1,"00"),"")&amp;IF($C1388&gt;=3,", "&amp;$A1388&amp;"-"&amp;TEXT(($D1388-$C1388+1)+2,"00"),"")&amp;IF($C1388&gt;=4,", "&amp;$A1388&amp;"-"&amp;TEXT(($D1388-$C1388+1)+3,"00"),"")&amp;IF($C1388&gt;=5,", "&amp;$A1388&amp;"-"&amp;TEXT(($D1388-$C1388+1)+4,"00"),"")&amp;IF($C1388&gt;=6,", "&amp;$A1388&amp;"-"&amp;TEXT(($D1388-$C1388+1)+5,"00"),"")&amp;IF($C1388&gt;=7,", "&amp;$A1388&amp;"-"&amp;TEXT(($D1388-$C1388+1)+6,"00"),"")&amp;IF($C1388&gt;=8,", "&amp;$A1388&amp;"-"&amp;TEXT(($D1388-$C1388+1)+7,"00"),"")&amp;IF($C1388&gt;=9,", "&amp;$A1388&amp;"-"&amp;TEXT(($D1388-$C1388+1)+8,"00"),"")&amp;IF($C1388&gt;=10,", "&amp;$A1388&amp;"-"&amp;TEXT(($D1388-$C1388+1)+9,"00"),"")&amp;IF($C1388&gt;=11,", "&amp;$A1388&amp;"-"&amp;TEXT(($D1388-$C1388+1)+10,"00"),"")&amp;IF($C1388&gt;=12,", "&amp;$A1388&amp;"-"&amp;TEXT(($D1388-$C1388+1)+11,"00"),"")&amp;IF($C1388&gt;=13,", "&amp;$A1388&amp;"-"&amp;TEXT(($D1388-$C1388+1)+12,"00"),"")&amp;IF($C1388&gt;=14,", "&amp;$A1388&amp;"-"&amp;TEXT(($D1388-$C1388+1)+13,"00"),"")&amp;IF($C1388&gt;=15,", "&amp;$A1388&amp;"-"&amp;TEXT(($D1388-$C1388+1)+14,"00"),"")&amp;IF($C1388&gt;=16,", "&amp;$A1388&amp;"-"&amp;TEXT(($D1388-$C1388+1)+15,"00"),"")&amp;IF($C1388&gt;=17,", "&amp;$A1388&amp;"-"&amp;TEXT(($D1388-$C1388+1)+16,"00"),"")&amp;IF($C1388&gt;=18,", "&amp;$A1388&amp;"-"&amp;TEXT(($D1388-$C1388+1)+17,"00"),"")&amp;IF($C1388&gt;=19,", "&amp;$A1388&amp;"-"&amp;TEXT(($D1388-$C1388+1)+18,"00"),"")&amp;IF($C1388&gt;=20,", "&amp;$A1388&amp;"-"&amp;TEXT(($D1388-$C1388+1)+19,"00"),"")&amp;IF($C1388&gt;=21,", "&amp;$A1388&amp;"-"&amp;TEXT(($D1388-$C1388+1)+20,"00"),"")&amp;IF($C1388&gt;=22,", "&amp;$A1388&amp;"-"&amp;TEXT(($D1388-$C1388+1)+21,"00"),"")&amp;IF($C1388&gt;=23,", "&amp;$A1388&amp;"-"&amp;TEXT(($D1388-$C1388+1)+22,"00"),"")&amp;IF($C1388&gt;=24,", "&amp;$A1388&amp;"-"&amp;TEXT(($D1388-$C1388+1)+23,"00"),"")&amp;IF($C1388&gt;=25,", "&amp;$A1388&amp;"-"&amp;TEXT(($D1388-$C1388+1)+24,"00"),""))</f>
        <v/>
      </c>
      <c r="G1388">
        <f>IF($A1388="","",IF($E1388=1,$F1388,IF($F1388="",$G1387,IF($G1387="",$F1388,$G1387&amp;", "&amp;$F1388))))</f>
        <v/>
      </c>
      <c r="H1388">
        <f>IF($A1388="","",$A1388&amp;" ("&amp;$C1388&amp;")")</f>
        <v/>
      </c>
      <c r="I1388">
        <f>IF($A1388="","",IF($E1388=1,$H1388,$I1387&amp;", "&amp;$H1388))</f>
        <v/>
      </c>
      <c r="J1388">
        <f>IF($A1388="","",IF($E1388=1,$B1388,""))</f>
        <v/>
      </c>
      <c r="K1388">
        <f>IF($A1388="","",IF(COUNTIF($B$2:$B1388,$B1388)=COUNTIF($B$2:$B$1601,$B1388),$B1388,""))</f>
        <v/>
      </c>
    </row>
    <row r="1389">
      <c r="A1389">
        <f>IF('TMP Paste'!$E1389="","",'TMP Paste'!$E1389)</f>
        <v/>
      </c>
      <c r="B1389">
        <f>IF($A1389="","",COUNTIF('TMP Paste'!$B$2:$B1389,"?*"))</f>
        <v/>
      </c>
      <c r="C1389">
        <f>IF($A1389="","",IFERROR('TMP Paste'!$M1389*1,0))</f>
        <v/>
      </c>
      <c r="D1389">
        <f>IF($A1389="","",SUMIF($B$2:$B1389,$B1389,$C$2:$C1389))</f>
        <v/>
      </c>
      <c r="E1389">
        <f>IF($A1389="",0,IF('TMP Paste'!$B1389="",0,1))</f>
        <v/>
      </c>
      <c r="F1389">
        <f>IF(OR($A1389="",$C1389&lt;1),"",$A1389&amp;"-"&amp;TEXT(($D1389-$C1389+1),"00")&amp;IF($C1389&gt;=2,", "&amp;$A1389&amp;"-"&amp;TEXT(($D1389-$C1389+1)+1,"00"),"")&amp;IF($C1389&gt;=3,", "&amp;$A1389&amp;"-"&amp;TEXT(($D1389-$C1389+1)+2,"00"),"")&amp;IF($C1389&gt;=4,", "&amp;$A1389&amp;"-"&amp;TEXT(($D1389-$C1389+1)+3,"00"),"")&amp;IF($C1389&gt;=5,", "&amp;$A1389&amp;"-"&amp;TEXT(($D1389-$C1389+1)+4,"00"),"")&amp;IF($C1389&gt;=6,", "&amp;$A1389&amp;"-"&amp;TEXT(($D1389-$C1389+1)+5,"00"),"")&amp;IF($C1389&gt;=7,", "&amp;$A1389&amp;"-"&amp;TEXT(($D1389-$C1389+1)+6,"00"),"")&amp;IF($C1389&gt;=8,", "&amp;$A1389&amp;"-"&amp;TEXT(($D1389-$C1389+1)+7,"00"),"")&amp;IF($C1389&gt;=9,", "&amp;$A1389&amp;"-"&amp;TEXT(($D1389-$C1389+1)+8,"00"),"")&amp;IF($C1389&gt;=10,", "&amp;$A1389&amp;"-"&amp;TEXT(($D1389-$C1389+1)+9,"00"),"")&amp;IF($C1389&gt;=11,", "&amp;$A1389&amp;"-"&amp;TEXT(($D1389-$C1389+1)+10,"00"),"")&amp;IF($C1389&gt;=12,", "&amp;$A1389&amp;"-"&amp;TEXT(($D1389-$C1389+1)+11,"00"),"")&amp;IF($C1389&gt;=13,", "&amp;$A1389&amp;"-"&amp;TEXT(($D1389-$C1389+1)+12,"00"),"")&amp;IF($C1389&gt;=14,", "&amp;$A1389&amp;"-"&amp;TEXT(($D1389-$C1389+1)+13,"00"),"")&amp;IF($C1389&gt;=15,", "&amp;$A1389&amp;"-"&amp;TEXT(($D1389-$C1389+1)+14,"00"),"")&amp;IF($C1389&gt;=16,", "&amp;$A1389&amp;"-"&amp;TEXT(($D1389-$C1389+1)+15,"00"),"")&amp;IF($C1389&gt;=17,", "&amp;$A1389&amp;"-"&amp;TEXT(($D1389-$C1389+1)+16,"00"),"")&amp;IF($C1389&gt;=18,", "&amp;$A1389&amp;"-"&amp;TEXT(($D1389-$C1389+1)+17,"00"),"")&amp;IF($C1389&gt;=19,", "&amp;$A1389&amp;"-"&amp;TEXT(($D1389-$C1389+1)+18,"00"),"")&amp;IF($C1389&gt;=20,", "&amp;$A1389&amp;"-"&amp;TEXT(($D1389-$C1389+1)+19,"00"),"")&amp;IF($C1389&gt;=21,", "&amp;$A1389&amp;"-"&amp;TEXT(($D1389-$C1389+1)+20,"00"),"")&amp;IF($C1389&gt;=22,", "&amp;$A1389&amp;"-"&amp;TEXT(($D1389-$C1389+1)+21,"00"),"")&amp;IF($C1389&gt;=23,", "&amp;$A1389&amp;"-"&amp;TEXT(($D1389-$C1389+1)+22,"00"),"")&amp;IF($C1389&gt;=24,", "&amp;$A1389&amp;"-"&amp;TEXT(($D1389-$C1389+1)+23,"00"),"")&amp;IF($C1389&gt;=25,", "&amp;$A1389&amp;"-"&amp;TEXT(($D1389-$C1389+1)+24,"00"),""))</f>
        <v/>
      </c>
      <c r="G1389">
        <f>IF($A1389="","",IF($E1389=1,$F1389,IF($F1389="",$G1388,IF($G1388="",$F1389,$G1388&amp;", "&amp;$F1389))))</f>
        <v/>
      </c>
      <c r="H1389">
        <f>IF($A1389="","",$A1389&amp;" ("&amp;$C1389&amp;")")</f>
        <v/>
      </c>
      <c r="I1389">
        <f>IF($A1389="","",IF($E1389=1,$H1389,$I1388&amp;", "&amp;$H1389))</f>
        <v/>
      </c>
      <c r="J1389">
        <f>IF($A1389="","",IF($E1389=1,$B1389,""))</f>
        <v/>
      </c>
      <c r="K1389">
        <f>IF($A1389="","",IF(COUNTIF($B$2:$B1389,$B1389)=COUNTIF($B$2:$B$1601,$B1389),$B1389,""))</f>
        <v/>
      </c>
    </row>
    <row r="1390">
      <c r="A1390">
        <f>IF('TMP Paste'!$E1390="","",'TMP Paste'!$E1390)</f>
        <v/>
      </c>
      <c r="B1390">
        <f>IF($A1390="","",COUNTIF('TMP Paste'!$B$2:$B1390,"?*"))</f>
        <v/>
      </c>
      <c r="C1390">
        <f>IF($A1390="","",IFERROR('TMP Paste'!$M1390*1,0))</f>
        <v/>
      </c>
      <c r="D1390">
        <f>IF($A1390="","",SUMIF($B$2:$B1390,$B1390,$C$2:$C1390))</f>
        <v/>
      </c>
      <c r="E1390">
        <f>IF($A1390="",0,IF('TMP Paste'!$B1390="",0,1))</f>
        <v/>
      </c>
      <c r="F1390">
        <f>IF(OR($A1390="",$C1390&lt;1),"",$A1390&amp;"-"&amp;TEXT(($D1390-$C1390+1),"00")&amp;IF($C1390&gt;=2,", "&amp;$A1390&amp;"-"&amp;TEXT(($D1390-$C1390+1)+1,"00"),"")&amp;IF($C1390&gt;=3,", "&amp;$A1390&amp;"-"&amp;TEXT(($D1390-$C1390+1)+2,"00"),"")&amp;IF($C1390&gt;=4,", "&amp;$A1390&amp;"-"&amp;TEXT(($D1390-$C1390+1)+3,"00"),"")&amp;IF($C1390&gt;=5,", "&amp;$A1390&amp;"-"&amp;TEXT(($D1390-$C1390+1)+4,"00"),"")&amp;IF($C1390&gt;=6,", "&amp;$A1390&amp;"-"&amp;TEXT(($D1390-$C1390+1)+5,"00"),"")&amp;IF($C1390&gt;=7,", "&amp;$A1390&amp;"-"&amp;TEXT(($D1390-$C1390+1)+6,"00"),"")&amp;IF($C1390&gt;=8,", "&amp;$A1390&amp;"-"&amp;TEXT(($D1390-$C1390+1)+7,"00"),"")&amp;IF($C1390&gt;=9,", "&amp;$A1390&amp;"-"&amp;TEXT(($D1390-$C1390+1)+8,"00"),"")&amp;IF($C1390&gt;=10,", "&amp;$A1390&amp;"-"&amp;TEXT(($D1390-$C1390+1)+9,"00"),"")&amp;IF($C1390&gt;=11,", "&amp;$A1390&amp;"-"&amp;TEXT(($D1390-$C1390+1)+10,"00"),"")&amp;IF($C1390&gt;=12,", "&amp;$A1390&amp;"-"&amp;TEXT(($D1390-$C1390+1)+11,"00"),"")&amp;IF($C1390&gt;=13,", "&amp;$A1390&amp;"-"&amp;TEXT(($D1390-$C1390+1)+12,"00"),"")&amp;IF($C1390&gt;=14,", "&amp;$A1390&amp;"-"&amp;TEXT(($D1390-$C1390+1)+13,"00"),"")&amp;IF($C1390&gt;=15,", "&amp;$A1390&amp;"-"&amp;TEXT(($D1390-$C1390+1)+14,"00"),"")&amp;IF($C1390&gt;=16,", "&amp;$A1390&amp;"-"&amp;TEXT(($D1390-$C1390+1)+15,"00"),"")&amp;IF($C1390&gt;=17,", "&amp;$A1390&amp;"-"&amp;TEXT(($D1390-$C1390+1)+16,"00"),"")&amp;IF($C1390&gt;=18,", "&amp;$A1390&amp;"-"&amp;TEXT(($D1390-$C1390+1)+17,"00"),"")&amp;IF($C1390&gt;=19,", "&amp;$A1390&amp;"-"&amp;TEXT(($D1390-$C1390+1)+18,"00"),"")&amp;IF($C1390&gt;=20,", "&amp;$A1390&amp;"-"&amp;TEXT(($D1390-$C1390+1)+19,"00"),"")&amp;IF($C1390&gt;=21,", "&amp;$A1390&amp;"-"&amp;TEXT(($D1390-$C1390+1)+20,"00"),"")&amp;IF($C1390&gt;=22,", "&amp;$A1390&amp;"-"&amp;TEXT(($D1390-$C1390+1)+21,"00"),"")&amp;IF($C1390&gt;=23,", "&amp;$A1390&amp;"-"&amp;TEXT(($D1390-$C1390+1)+22,"00"),"")&amp;IF($C1390&gt;=24,", "&amp;$A1390&amp;"-"&amp;TEXT(($D1390-$C1390+1)+23,"00"),"")&amp;IF($C1390&gt;=25,", "&amp;$A1390&amp;"-"&amp;TEXT(($D1390-$C1390+1)+24,"00"),""))</f>
        <v/>
      </c>
      <c r="G1390">
        <f>IF($A1390="","",IF($E1390=1,$F1390,IF($F1390="",$G1389,IF($G1389="",$F1390,$G1389&amp;", "&amp;$F1390))))</f>
        <v/>
      </c>
      <c r="H1390">
        <f>IF($A1390="","",$A1390&amp;" ("&amp;$C1390&amp;")")</f>
        <v/>
      </c>
      <c r="I1390">
        <f>IF($A1390="","",IF($E1390=1,$H1390,$I1389&amp;", "&amp;$H1390))</f>
        <v/>
      </c>
      <c r="J1390">
        <f>IF($A1390="","",IF($E1390=1,$B1390,""))</f>
        <v/>
      </c>
      <c r="K1390">
        <f>IF($A1390="","",IF(COUNTIF($B$2:$B1390,$B1390)=COUNTIF($B$2:$B$1601,$B1390),$B1390,""))</f>
        <v/>
      </c>
    </row>
    <row r="1391">
      <c r="A1391">
        <f>IF('TMP Paste'!$E1391="","",'TMP Paste'!$E1391)</f>
        <v/>
      </c>
      <c r="B1391">
        <f>IF($A1391="","",COUNTIF('TMP Paste'!$B$2:$B1391,"?*"))</f>
        <v/>
      </c>
      <c r="C1391">
        <f>IF($A1391="","",IFERROR('TMP Paste'!$M1391*1,0))</f>
        <v/>
      </c>
      <c r="D1391">
        <f>IF($A1391="","",SUMIF($B$2:$B1391,$B1391,$C$2:$C1391))</f>
        <v/>
      </c>
      <c r="E1391">
        <f>IF($A1391="",0,IF('TMP Paste'!$B1391="",0,1))</f>
        <v/>
      </c>
      <c r="F1391">
        <f>IF(OR($A1391="",$C1391&lt;1),"",$A1391&amp;"-"&amp;TEXT(($D1391-$C1391+1),"00")&amp;IF($C1391&gt;=2,", "&amp;$A1391&amp;"-"&amp;TEXT(($D1391-$C1391+1)+1,"00"),"")&amp;IF($C1391&gt;=3,", "&amp;$A1391&amp;"-"&amp;TEXT(($D1391-$C1391+1)+2,"00"),"")&amp;IF($C1391&gt;=4,", "&amp;$A1391&amp;"-"&amp;TEXT(($D1391-$C1391+1)+3,"00"),"")&amp;IF($C1391&gt;=5,", "&amp;$A1391&amp;"-"&amp;TEXT(($D1391-$C1391+1)+4,"00"),"")&amp;IF($C1391&gt;=6,", "&amp;$A1391&amp;"-"&amp;TEXT(($D1391-$C1391+1)+5,"00"),"")&amp;IF($C1391&gt;=7,", "&amp;$A1391&amp;"-"&amp;TEXT(($D1391-$C1391+1)+6,"00"),"")&amp;IF($C1391&gt;=8,", "&amp;$A1391&amp;"-"&amp;TEXT(($D1391-$C1391+1)+7,"00"),"")&amp;IF($C1391&gt;=9,", "&amp;$A1391&amp;"-"&amp;TEXT(($D1391-$C1391+1)+8,"00"),"")&amp;IF($C1391&gt;=10,", "&amp;$A1391&amp;"-"&amp;TEXT(($D1391-$C1391+1)+9,"00"),"")&amp;IF($C1391&gt;=11,", "&amp;$A1391&amp;"-"&amp;TEXT(($D1391-$C1391+1)+10,"00"),"")&amp;IF($C1391&gt;=12,", "&amp;$A1391&amp;"-"&amp;TEXT(($D1391-$C1391+1)+11,"00"),"")&amp;IF($C1391&gt;=13,", "&amp;$A1391&amp;"-"&amp;TEXT(($D1391-$C1391+1)+12,"00"),"")&amp;IF($C1391&gt;=14,", "&amp;$A1391&amp;"-"&amp;TEXT(($D1391-$C1391+1)+13,"00"),"")&amp;IF($C1391&gt;=15,", "&amp;$A1391&amp;"-"&amp;TEXT(($D1391-$C1391+1)+14,"00"),"")&amp;IF($C1391&gt;=16,", "&amp;$A1391&amp;"-"&amp;TEXT(($D1391-$C1391+1)+15,"00"),"")&amp;IF($C1391&gt;=17,", "&amp;$A1391&amp;"-"&amp;TEXT(($D1391-$C1391+1)+16,"00"),"")&amp;IF($C1391&gt;=18,", "&amp;$A1391&amp;"-"&amp;TEXT(($D1391-$C1391+1)+17,"00"),"")&amp;IF($C1391&gt;=19,", "&amp;$A1391&amp;"-"&amp;TEXT(($D1391-$C1391+1)+18,"00"),"")&amp;IF($C1391&gt;=20,", "&amp;$A1391&amp;"-"&amp;TEXT(($D1391-$C1391+1)+19,"00"),"")&amp;IF($C1391&gt;=21,", "&amp;$A1391&amp;"-"&amp;TEXT(($D1391-$C1391+1)+20,"00"),"")&amp;IF($C1391&gt;=22,", "&amp;$A1391&amp;"-"&amp;TEXT(($D1391-$C1391+1)+21,"00"),"")&amp;IF($C1391&gt;=23,", "&amp;$A1391&amp;"-"&amp;TEXT(($D1391-$C1391+1)+22,"00"),"")&amp;IF($C1391&gt;=24,", "&amp;$A1391&amp;"-"&amp;TEXT(($D1391-$C1391+1)+23,"00"),"")&amp;IF($C1391&gt;=25,", "&amp;$A1391&amp;"-"&amp;TEXT(($D1391-$C1391+1)+24,"00"),""))</f>
        <v/>
      </c>
      <c r="G1391">
        <f>IF($A1391="","",IF($E1391=1,$F1391,IF($F1391="",$G1390,IF($G1390="",$F1391,$G1390&amp;", "&amp;$F1391))))</f>
        <v/>
      </c>
      <c r="H1391">
        <f>IF($A1391="","",$A1391&amp;" ("&amp;$C1391&amp;")")</f>
        <v/>
      </c>
      <c r="I1391">
        <f>IF($A1391="","",IF($E1391=1,$H1391,$I1390&amp;", "&amp;$H1391))</f>
        <v/>
      </c>
      <c r="J1391">
        <f>IF($A1391="","",IF($E1391=1,$B1391,""))</f>
        <v/>
      </c>
      <c r="K1391">
        <f>IF($A1391="","",IF(COUNTIF($B$2:$B1391,$B1391)=COUNTIF($B$2:$B$1601,$B1391),$B1391,""))</f>
        <v/>
      </c>
    </row>
    <row r="1392">
      <c r="A1392">
        <f>IF('TMP Paste'!$E1392="","",'TMP Paste'!$E1392)</f>
        <v/>
      </c>
      <c r="B1392">
        <f>IF($A1392="","",COUNTIF('TMP Paste'!$B$2:$B1392,"?*"))</f>
        <v/>
      </c>
      <c r="C1392">
        <f>IF($A1392="","",IFERROR('TMP Paste'!$M1392*1,0))</f>
        <v/>
      </c>
      <c r="D1392">
        <f>IF($A1392="","",SUMIF($B$2:$B1392,$B1392,$C$2:$C1392))</f>
        <v/>
      </c>
      <c r="E1392">
        <f>IF($A1392="",0,IF('TMP Paste'!$B1392="",0,1))</f>
        <v/>
      </c>
      <c r="F1392">
        <f>IF(OR($A1392="",$C1392&lt;1),"",$A1392&amp;"-"&amp;TEXT(($D1392-$C1392+1),"00")&amp;IF($C1392&gt;=2,", "&amp;$A1392&amp;"-"&amp;TEXT(($D1392-$C1392+1)+1,"00"),"")&amp;IF($C1392&gt;=3,", "&amp;$A1392&amp;"-"&amp;TEXT(($D1392-$C1392+1)+2,"00"),"")&amp;IF($C1392&gt;=4,", "&amp;$A1392&amp;"-"&amp;TEXT(($D1392-$C1392+1)+3,"00"),"")&amp;IF($C1392&gt;=5,", "&amp;$A1392&amp;"-"&amp;TEXT(($D1392-$C1392+1)+4,"00"),"")&amp;IF($C1392&gt;=6,", "&amp;$A1392&amp;"-"&amp;TEXT(($D1392-$C1392+1)+5,"00"),"")&amp;IF($C1392&gt;=7,", "&amp;$A1392&amp;"-"&amp;TEXT(($D1392-$C1392+1)+6,"00"),"")&amp;IF($C1392&gt;=8,", "&amp;$A1392&amp;"-"&amp;TEXT(($D1392-$C1392+1)+7,"00"),"")&amp;IF($C1392&gt;=9,", "&amp;$A1392&amp;"-"&amp;TEXT(($D1392-$C1392+1)+8,"00"),"")&amp;IF($C1392&gt;=10,", "&amp;$A1392&amp;"-"&amp;TEXT(($D1392-$C1392+1)+9,"00"),"")&amp;IF($C1392&gt;=11,", "&amp;$A1392&amp;"-"&amp;TEXT(($D1392-$C1392+1)+10,"00"),"")&amp;IF($C1392&gt;=12,", "&amp;$A1392&amp;"-"&amp;TEXT(($D1392-$C1392+1)+11,"00"),"")&amp;IF($C1392&gt;=13,", "&amp;$A1392&amp;"-"&amp;TEXT(($D1392-$C1392+1)+12,"00"),"")&amp;IF($C1392&gt;=14,", "&amp;$A1392&amp;"-"&amp;TEXT(($D1392-$C1392+1)+13,"00"),"")&amp;IF($C1392&gt;=15,", "&amp;$A1392&amp;"-"&amp;TEXT(($D1392-$C1392+1)+14,"00"),"")&amp;IF($C1392&gt;=16,", "&amp;$A1392&amp;"-"&amp;TEXT(($D1392-$C1392+1)+15,"00"),"")&amp;IF($C1392&gt;=17,", "&amp;$A1392&amp;"-"&amp;TEXT(($D1392-$C1392+1)+16,"00"),"")&amp;IF($C1392&gt;=18,", "&amp;$A1392&amp;"-"&amp;TEXT(($D1392-$C1392+1)+17,"00"),"")&amp;IF($C1392&gt;=19,", "&amp;$A1392&amp;"-"&amp;TEXT(($D1392-$C1392+1)+18,"00"),"")&amp;IF($C1392&gt;=20,", "&amp;$A1392&amp;"-"&amp;TEXT(($D1392-$C1392+1)+19,"00"),"")&amp;IF($C1392&gt;=21,", "&amp;$A1392&amp;"-"&amp;TEXT(($D1392-$C1392+1)+20,"00"),"")&amp;IF($C1392&gt;=22,", "&amp;$A1392&amp;"-"&amp;TEXT(($D1392-$C1392+1)+21,"00"),"")&amp;IF($C1392&gt;=23,", "&amp;$A1392&amp;"-"&amp;TEXT(($D1392-$C1392+1)+22,"00"),"")&amp;IF($C1392&gt;=24,", "&amp;$A1392&amp;"-"&amp;TEXT(($D1392-$C1392+1)+23,"00"),"")&amp;IF($C1392&gt;=25,", "&amp;$A1392&amp;"-"&amp;TEXT(($D1392-$C1392+1)+24,"00"),""))</f>
        <v/>
      </c>
      <c r="G1392">
        <f>IF($A1392="","",IF($E1392=1,$F1392,IF($F1392="",$G1391,IF($G1391="",$F1392,$G1391&amp;", "&amp;$F1392))))</f>
        <v/>
      </c>
      <c r="H1392">
        <f>IF($A1392="","",$A1392&amp;" ("&amp;$C1392&amp;")")</f>
        <v/>
      </c>
      <c r="I1392">
        <f>IF($A1392="","",IF($E1392=1,$H1392,$I1391&amp;", "&amp;$H1392))</f>
        <v/>
      </c>
      <c r="J1392">
        <f>IF($A1392="","",IF($E1392=1,$B1392,""))</f>
        <v/>
      </c>
      <c r="K1392">
        <f>IF($A1392="","",IF(COUNTIF($B$2:$B1392,$B1392)=COUNTIF($B$2:$B$1601,$B1392),$B1392,""))</f>
        <v/>
      </c>
    </row>
    <row r="1393">
      <c r="A1393">
        <f>IF('TMP Paste'!$E1393="","",'TMP Paste'!$E1393)</f>
        <v/>
      </c>
      <c r="B1393">
        <f>IF($A1393="","",COUNTIF('TMP Paste'!$B$2:$B1393,"?*"))</f>
        <v/>
      </c>
      <c r="C1393">
        <f>IF($A1393="","",IFERROR('TMP Paste'!$M1393*1,0))</f>
        <v/>
      </c>
      <c r="D1393">
        <f>IF($A1393="","",SUMIF($B$2:$B1393,$B1393,$C$2:$C1393))</f>
        <v/>
      </c>
      <c r="E1393">
        <f>IF($A1393="",0,IF('TMP Paste'!$B1393="",0,1))</f>
        <v/>
      </c>
      <c r="F1393">
        <f>IF(OR($A1393="",$C1393&lt;1),"",$A1393&amp;"-"&amp;TEXT(($D1393-$C1393+1),"00")&amp;IF($C1393&gt;=2,", "&amp;$A1393&amp;"-"&amp;TEXT(($D1393-$C1393+1)+1,"00"),"")&amp;IF($C1393&gt;=3,", "&amp;$A1393&amp;"-"&amp;TEXT(($D1393-$C1393+1)+2,"00"),"")&amp;IF($C1393&gt;=4,", "&amp;$A1393&amp;"-"&amp;TEXT(($D1393-$C1393+1)+3,"00"),"")&amp;IF($C1393&gt;=5,", "&amp;$A1393&amp;"-"&amp;TEXT(($D1393-$C1393+1)+4,"00"),"")&amp;IF($C1393&gt;=6,", "&amp;$A1393&amp;"-"&amp;TEXT(($D1393-$C1393+1)+5,"00"),"")&amp;IF($C1393&gt;=7,", "&amp;$A1393&amp;"-"&amp;TEXT(($D1393-$C1393+1)+6,"00"),"")&amp;IF($C1393&gt;=8,", "&amp;$A1393&amp;"-"&amp;TEXT(($D1393-$C1393+1)+7,"00"),"")&amp;IF($C1393&gt;=9,", "&amp;$A1393&amp;"-"&amp;TEXT(($D1393-$C1393+1)+8,"00"),"")&amp;IF($C1393&gt;=10,", "&amp;$A1393&amp;"-"&amp;TEXT(($D1393-$C1393+1)+9,"00"),"")&amp;IF($C1393&gt;=11,", "&amp;$A1393&amp;"-"&amp;TEXT(($D1393-$C1393+1)+10,"00"),"")&amp;IF($C1393&gt;=12,", "&amp;$A1393&amp;"-"&amp;TEXT(($D1393-$C1393+1)+11,"00"),"")&amp;IF($C1393&gt;=13,", "&amp;$A1393&amp;"-"&amp;TEXT(($D1393-$C1393+1)+12,"00"),"")&amp;IF($C1393&gt;=14,", "&amp;$A1393&amp;"-"&amp;TEXT(($D1393-$C1393+1)+13,"00"),"")&amp;IF($C1393&gt;=15,", "&amp;$A1393&amp;"-"&amp;TEXT(($D1393-$C1393+1)+14,"00"),"")&amp;IF($C1393&gt;=16,", "&amp;$A1393&amp;"-"&amp;TEXT(($D1393-$C1393+1)+15,"00"),"")&amp;IF($C1393&gt;=17,", "&amp;$A1393&amp;"-"&amp;TEXT(($D1393-$C1393+1)+16,"00"),"")&amp;IF($C1393&gt;=18,", "&amp;$A1393&amp;"-"&amp;TEXT(($D1393-$C1393+1)+17,"00"),"")&amp;IF($C1393&gt;=19,", "&amp;$A1393&amp;"-"&amp;TEXT(($D1393-$C1393+1)+18,"00"),"")&amp;IF($C1393&gt;=20,", "&amp;$A1393&amp;"-"&amp;TEXT(($D1393-$C1393+1)+19,"00"),"")&amp;IF($C1393&gt;=21,", "&amp;$A1393&amp;"-"&amp;TEXT(($D1393-$C1393+1)+20,"00"),"")&amp;IF($C1393&gt;=22,", "&amp;$A1393&amp;"-"&amp;TEXT(($D1393-$C1393+1)+21,"00"),"")&amp;IF($C1393&gt;=23,", "&amp;$A1393&amp;"-"&amp;TEXT(($D1393-$C1393+1)+22,"00"),"")&amp;IF($C1393&gt;=24,", "&amp;$A1393&amp;"-"&amp;TEXT(($D1393-$C1393+1)+23,"00"),"")&amp;IF($C1393&gt;=25,", "&amp;$A1393&amp;"-"&amp;TEXT(($D1393-$C1393+1)+24,"00"),""))</f>
        <v/>
      </c>
      <c r="G1393">
        <f>IF($A1393="","",IF($E1393=1,$F1393,IF($F1393="",$G1392,IF($G1392="",$F1393,$G1392&amp;", "&amp;$F1393))))</f>
        <v/>
      </c>
      <c r="H1393">
        <f>IF($A1393="","",$A1393&amp;" ("&amp;$C1393&amp;")")</f>
        <v/>
      </c>
      <c r="I1393">
        <f>IF($A1393="","",IF($E1393=1,$H1393,$I1392&amp;", "&amp;$H1393))</f>
        <v/>
      </c>
      <c r="J1393">
        <f>IF($A1393="","",IF($E1393=1,$B1393,""))</f>
        <v/>
      </c>
      <c r="K1393">
        <f>IF($A1393="","",IF(COUNTIF($B$2:$B1393,$B1393)=COUNTIF($B$2:$B$1601,$B1393),$B1393,""))</f>
        <v/>
      </c>
    </row>
    <row r="1394">
      <c r="A1394">
        <f>IF('TMP Paste'!$E1394="","",'TMP Paste'!$E1394)</f>
        <v/>
      </c>
      <c r="B1394">
        <f>IF($A1394="","",COUNTIF('TMP Paste'!$B$2:$B1394,"?*"))</f>
        <v/>
      </c>
      <c r="C1394">
        <f>IF($A1394="","",IFERROR('TMP Paste'!$M1394*1,0))</f>
        <v/>
      </c>
      <c r="D1394">
        <f>IF($A1394="","",SUMIF($B$2:$B1394,$B1394,$C$2:$C1394))</f>
        <v/>
      </c>
      <c r="E1394">
        <f>IF($A1394="",0,IF('TMP Paste'!$B1394="",0,1))</f>
        <v/>
      </c>
      <c r="F1394">
        <f>IF(OR($A1394="",$C1394&lt;1),"",$A1394&amp;"-"&amp;TEXT(($D1394-$C1394+1),"00")&amp;IF($C1394&gt;=2,", "&amp;$A1394&amp;"-"&amp;TEXT(($D1394-$C1394+1)+1,"00"),"")&amp;IF($C1394&gt;=3,", "&amp;$A1394&amp;"-"&amp;TEXT(($D1394-$C1394+1)+2,"00"),"")&amp;IF($C1394&gt;=4,", "&amp;$A1394&amp;"-"&amp;TEXT(($D1394-$C1394+1)+3,"00"),"")&amp;IF($C1394&gt;=5,", "&amp;$A1394&amp;"-"&amp;TEXT(($D1394-$C1394+1)+4,"00"),"")&amp;IF($C1394&gt;=6,", "&amp;$A1394&amp;"-"&amp;TEXT(($D1394-$C1394+1)+5,"00"),"")&amp;IF($C1394&gt;=7,", "&amp;$A1394&amp;"-"&amp;TEXT(($D1394-$C1394+1)+6,"00"),"")&amp;IF($C1394&gt;=8,", "&amp;$A1394&amp;"-"&amp;TEXT(($D1394-$C1394+1)+7,"00"),"")&amp;IF($C1394&gt;=9,", "&amp;$A1394&amp;"-"&amp;TEXT(($D1394-$C1394+1)+8,"00"),"")&amp;IF($C1394&gt;=10,", "&amp;$A1394&amp;"-"&amp;TEXT(($D1394-$C1394+1)+9,"00"),"")&amp;IF($C1394&gt;=11,", "&amp;$A1394&amp;"-"&amp;TEXT(($D1394-$C1394+1)+10,"00"),"")&amp;IF($C1394&gt;=12,", "&amp;$A1394&amp;"-"&amp;TEXT(($D1394-$C1394+1)+11,"00"),"")&amp;IF($C1394&gt;=13,", "&amp;$A1394&amp;"-"&amp;TEXT(($D1394-$C1394+1)+12,"00"),"")&amp;IF($C1394&gt;=14,", "&amp;$A1394&amp;"-"&amp;TEXT(($D1394-$C1394+1)+13,"00"),"")&amp;IF($C1394&gt;=15,", "&amp;$A1394&amp;"-"&amp;TEXT(($D1394-$C1394+1)+14,"00"),"")&amp;IF($C1394&gt;=16,", "&amp;$A1394&amp;"-"&amp;TEXT(($D1394-$C1394+1)+15,"00"),"")&amp;IF($C1394&gt;=17,", "&amp;$A1394&amp;"-"&amp;TEXT(($D1394-$C1394+1)+16,"00"),"")&amp;IF($C1394&gt;=18,", "&amp;$A1394&amp;"-"&amp;TEXT(($D1394-$C1394+1)+17,"00"),"")&amp;IF($C1394&gt;=19,", "&amp;$A1394&amp;"-"&amp;TEXT(($D1394-$C1394+1)+18,"00"),"")&amp;IF($C1394&gt;=20,", "&amp;$A1394&amp;"-"&amp;TEXT(($D1394-$C1394+1)+19,"00"),"")&amp;IF($C1394&gt;=21,", "&amp;$A1394&amp;"-"&amp;TEXT(($D1394-$C1394+1)+20,"00"),"")&amp;IF($C1394&gt;=22,", "&amp;$A1394&amp;"-"&amp;TEXT(($D1394-$C1394+1)+21,"00"),"")&amp;IF($C1394&gt;=23,", "&amp;$A1394&amp;"-"&amp;TEXT(($D1394-$C1394+1)+22,"00"),"")&amp;IF($C1394&gt;=24,", "&amp;$A1394&amp;"-"&amp;TEXT(($D1394-$C1394+1)+23,"00"),"")&amp;IF($C1394&gt;=25,", "&amp;$A1394&amp;"-"&amp;TEXT(($D1394-$C1394+1)+24,"00"),""))</f>
        <v/>
      </c>
      <c r="G1394">
        <f>IF($A1394="","",IF($E1394=1,$F1394,IF($F1394="",$G1393,IF($G1393="",$F1394,$G1393&amp;", "&amp;$F1394))))</f>
        <v/>
      </c>
      <c r="H1394">
        <f>IF($A1394="","",$A1394&amp;" ("&amp;$C1394&amp;")")</f>
        <v/>
      </c>
      <c r="I1394">
        <f>IF($A1394="","",IF($E1394=1,$H1394,$I1393&amp;", "&amp;$H1394))</f>
        <v/>
      </c>
      <c r="J1394">
        <f>IF($A1394="","",IF($E1394=1,$B1394,""))</f>
        <v/>
      </c>
      <c r="K1394">
        <f>IF($A1394="","",IF(COUNTIF($B$2:$B1394,$B1394)=COUNTIF($B$2:$B$1601,$B1394),$B1394,""))</f>
        <v/>
      </c>
    </row>
    <row r="1395">
      <c r="A1395">
        <f>IF('TMP Paste'!$E1395="","",'TMP Paste'!$E1395)</f>
        <v/>
      </c>
      <c r="B1395">
        <f>IF($A1395="","",COUNTIF('TMP Paste'!$B$2:$B1395,"?*"))</f>
        <v/>
      </c>
      <c r="C1395">
        <f>IF($A1395="","",IFERROR('TMP Paste'!$M1395*1,0))</f>
        <v/>
      </c>
      <c r="D1395">
        <f>IF($A1395="","",SUMIF($B$2:$B1395,$B1395,$C$2:$C1395))</f>
        <v/>
      </c>
      <c r="E1395">
        <f>IF($A1395="",0,IF('TMP Paste'!$B1395="",0,1))</f>
        <v/>
      </c>
      <c r="F1395">
        <f>IF(OR($A1395="",$C1395&lt;1),"",$A1395&amp;"-"&amp;TEXT(($D1395-$C1395+1),"00")&amp;IF($C1395&gt;=2,", "&amp;$A1395&amp;"-"&amp;TEXT(($D1395-$C1395+1)+1,"00"),"")&amp;IF($C1395&gt;=3,", "&amp;$A1395&amp;"-"&amp;TEXT(($D1395-$C1395+1)+2,"00"),"")&amp;IF($C1395&gt;=4,", "&amp;$A1395&amp;"-"&amp;TEXT(($D1395-$C1395+1)+3,"00"),"")&amp;IF($C1395&gt;=5,", "&amp;$A1395&amp;"-"&amp;TEXT(($D1395-$C1395+1)+4,"00"),"")&amp;IF($C1395&gt;=6,", "&amp;$A1395&amp;"-"&amp;TEXT(($D1395-$C1395+1)+5,"00"),"")&amp;IF($C1395&gt;=7,", "&amp;$A1395&amp;"-"&amp;TEXT(($D1395-$C1395+1)+6,"00"),"")&amp;IF($C1395&gt;=8,", "&amp;$A1395&amp;"-"&amp;TEXT(($D1395-$C1395+1)+7,"00"),"")&amp;IF($C1395&gt;=9,", "&amp;$A1395&amp;"-"&amp;TEXT(($D1395-$C1395+1)+8,"00"),"")&amp;IF($C1395&gt;=10,", "&amp;$A1395&amp;"-"&amp;TEXT(($D1395-$C1395+1)+9,"00"),"")&amp;IF($C1395&gt;=11,", "&amp;$A1395&amp;"-"&amp;TEXT(($D1395-$C1395+1)+10,"00"),"")&amp;IF($C1395&gt;=12,", "&amp;$A1395&amp;"-"&amp;TEXT(($D1395-$C1395+1)+11,"00"),"")&amp;IF($C1395&gt;=13,", "&amp;$A1395&amp;"-"&amp;TEXT(($D1395-$C1395+1)+12,"00"),"")&amp;IF($C1395&gt;=14,", "&amp;$A1395&amp;"-"&amp;TEXT(($D1395-$C1395+1)+13,"00"),"")&amp;IF($C1395&gt;=15,", "&amp;$A1395&amp;"-"&amp;TEXT(($D1395-$C1395+1)+14,"00"),"")&amp;IF($C1395&gt;=16,", "&amp;$A1395&amp;"-"&amp;TEXT(($D1395-$C1395+1)+15,"00"),"")&amp;IF($C1395&gt;=17,", "&amp;$A1395&amp;"-"&amp;TEXT(($D1395-$C1395+1)+16,"00"),"")&amp;IF($C1395&gt;=18,", "&amp;$A1395&amp;"-"&amp;TEXT(($D1395-$C1395+1)+17,"00"),"")&amp;IF($C1395&gt;=19,", "&amp;$A1395&amp;"-"&amp;TEXT(($D1395-$C1395+1)+18,"00"),"")&amp;IF($C1395&gt;=20,", "&amp;$A1395&amp;"-"&amp;TEXT(($D1395-$C1395+1)+19,"00"),"")&amp;IF($C1395&gt;=21,", "&amp;$A1395&amp;"-"&amp;TEXT(($D1395-$C1395+1)+20,"00"),"")&amp;IF($C1395&gt;=22,", "&amp;$A1395&amp;"-"&amp;TEXT(($D1395-$C1395+1)+21,"00"),"")&amp;IF($C1395&gt;=23,", "&amp;$A1395&amp;"-"&amp;TEXT(($D1395-$C1395+1)+22,"00"),"")&amp;IF($C1395&gt;=24,", "&amp;$A1395&amp;"-"&amp;TEXT(($D1395-$C1395+1)+23,"00"),"")&amp;IF($C1395&gt;=25,", "&amp;$A1395&amp;"-"&amp;TEXT(($D1395-$C1395+1)+24,"00"),""))</f>
        <v/>
      </c>
      <c r="G1395">
        <f>IF($A1395="","",IF($E1395=1,$F1395,IF($F1395="",$G1394,IF($G1394="",$F1395,$G1394&amp;", "&amp;$F1395))))</f>
        <v/>
      </c>
      <c r="H1395">
        <f>IF($A1395="","",$A1395&amp;" ("&amp;$C1395&amp;")")</f>
        <v/>
      </c>
      <c r="I1395">
        <f>IF($A1395="","",IF($E1395=1,$H1395,$I1394&amp;", "&amp;$H1395))</f>
        <v/>
      </c>
      <c r="J1395">
        <f>IF($A1395="","",IF($E1395=1,$B1395,""))</f>
        <v/>
      </c>
      <c r="K1395">
        <f>IF($A1395="","",IF(COUNTIF($B$2:$B1395,$B1395)=COUNTIF($B$2:$B$1601,$B1395),$B1395,""))</f>
        <v/>
      </c>
    </row>
    <row r="1396">
      <c r="A1396">
        <f>IF('TMP Paste'!$E1396="","",'TMP Paste'!$E1396)</f>
        <v/>
      </c>
      <c r="B1396">
        <f>IF($A1396="","",COUNTIF('TMP Paste'!$B$2:$B1396,"?*"))</f>
        <v/>
      </c>
      <c r="C1396">
        <f>IF($A1396="","",IFERROR('TMP Paste'!$M1396*1,0))</f>
        <v/>
      </c>
      <c r="D1396">
        <f>IF($A1396="","",SUMIF($B$2:$B1396,$B1396,$C$2:$C1396))</f>
        <v/>
      </c>
      <c r="E1396">
        <f>IF($A1396="",0,IF('TMP Paste'!$B1396="",0,1))</f>
        <v/>
      </c>
      <c r="F1396">
        <f>IF(OR($A1396="",$C1396&lt;1),"",$A1396&amp;"-"&amp;TEXT(($D1396-$C1396+1),"00")&amp;IF($C1396&gt;=2,", "&amp;$A1396&amp;"-"&amp;TEXT(($D1396-$C1396+1)+1,"00"),"")&amp;IF($C1396&gt;=3,", "&amp;$A1396&amp;"-"&amp;TEXT(($D1396-$C1396+1)+2,"00"),"")&amp;IF($C1396&gt;=4,", "&amp;$A1396&amp;"-"&amp;TEXT(($D1396-$C1396+1)+3,"00"),"")&amp;IF($C1396&gt;=5,", "&amp;$A1396&amp;"-"&amp;TEXT(($D1396-$C1396+1)+4,"00"),"")&amp;IF($C1396&gt;=6,", "&amp;$A1396&amp;"-"&amp;TEXT(($D1396-$C1396+1)+5,"00"),"")&amp;IF($C1396&gt;=7,", "&amp;$A1396&amp;"-"&amp;TEXT(($D1396-$C1396+1)+6,"00"),"")&amp;IF($C1396&gt;=8,", "&amp;$A1396&amp;"-"&amp;TEXT(($D1396-$C1396+1)+7,"00"),"")&amp;IF($C1396&gt;=9,", "&amp;$A1396&amp;"-"&amp;TEXT(($D1396-$C1396+1)+8,"00"),"")&amp;IF($C1396&gt;=10,", "&amp;$A1396&amp;"-"&amp;TEXT(($D1396-$C1396+1)+9,"00"),"")&amp;IF($C1396&gt;=11,", "&amp;$A1396&amp;"-"&amp;TEXT(($D1396-$C1396+1)+10,"00"),"")&amp;IF($C1396&gt;=12,", "&amp;$A1396&amp;"-"&amp;TEXT(($D1396-$C1396+1)+11,"00"),"")&amp;IF($C1396&gt;=13,", "&amp;$A1396&amp;"-"&amp;TEXT(($D1396-$C1396+1)+12,"00"),"")&amp;IF($C1396&gt;=14,", "&amp;$A1396&amp;"-"&amp;TEXT(($D1396-$C1396+1)+13,"00"),"")&amp;IF($C1396&gt;=15,", "&amp;$A1396&amp;"-"&amp;TEXT(($D1396-$C1396+1)+14,"00"),"")&amp;IF($C1396&gt;=16,", "&amp;$A1396&amp;"-"&amp;TEXT(($D1396-$C1396+1)+15,"00"),"")&amp;IF($C1396&gt;=17,", "&amp;$A1396&amp;"-"&amp;TEXT(($D1396-$C1396+1)+16,"00"),"")&amp;IF($C1396&gt;=18,", "&amp;$A1396&amp;"-"&amp;TEXT(($D1396-$C1396+1)+17,"00"),"")&amp;IF($C1396&gt;=19,", "&amp;$A1396&amp;"-"&amp;TEXT(($D1396-$C1396+1)+18,"00"),"")&amp;IF($C1396&gt;=20,", "&amp;$A1396&amp;"-"&amp;TEXT(($D1396-$C1396+1)+19,"00"),"")&amp;IF($C1396&gt;=21,", "&amp;$A1396&amp;"-"&amp;TEXT(($D1396-$C1396+1)+20,"00"),"")&amp;IF($C1396&gt;=22,", "&amp;$A1396&amp;"-"&amp;TEXT(($D1396-$C1396+1)+21,"00"),"")&amp;IF($C1396&gt;=23,", "&amp;$A1396&amp;"-"&amp;TEXT(($D1396-$C1396+1)+22,"00"),"")&amp;IF($C1396&gt;=24,", "&amp;$A1396&amp;"-"&amp;TEXT(($D1396-$C1396+1)+23,"00"),"")&amp;IF($C1396&gt;=25,", "&amp;$A1396&amp;"-"&amp;TEXT(($D1396-$C1396+1)+24,"00"),""))</f>
        <v/>
      </c>
      <c r="G1396">
        <f>IF($A1396="","",IF($E1396=1,$F1396,IF($F1396="",$G1395,IF($G1395="",$F1396,$G1395&amp;", "&amp;$F1396))))</f>
        <v/>
      </c>
      <c r="H1396">
        <f>IF($A1396="","",$A1396&amp;" ("&amp;$C1396&amp;")")</f>
        <v/>
      </c>
      <c r="I1396">
        <f>IF($A1396="","",IF($E1396=1,$H1396,$I1395&amp;", "&amp;$H1396))</f>
        <v/>
      </c>
      <c r="J1396">
        <f>IF($A1396="","",IF($E1396=1,$B1396,""))</f>
        <v/>
      </c>
      <c r="K1396">
        <f>IF($A1396="","",IF(COUNTIF($B$2:$B1396,$B1396)=COUNTIF($B$2:$B$1601,$B1396),$B1396,""))</f>
        <v/>
      </c>
    </row>
    <row r="1397">
      <c r="A1397">
        <f>IF('TMP Paste'!$E1397="","",'TMP Paste'!$E1397)</f>
        <v/>
      </c>
      <c r="B1397">
        <f>IF($A1397="","",COUNTIF('TMP Paste'!$B$2:$B1397,"?*"))</f>
        <v/>
      </c>
      <c r="C1397">
        <f>IF($A1397="","",IFERROR('TMP Paste'!$M1397*1,0))</f>
        <v/>
      </c>
      <c r="D1397">
        <f>IF($A1397="","",SUMIF($B$2:$B1397,$B1397,$C$2:$C1397))</f>
        <v/>
      </c>
      <c r="E1397">
        <f>IF($A1397="",0,IF('TMP Paste'!$B1397="",0,1))</f>
        <v/>
      </c>
      <c r="F1397">
        <f>IF(OR($A1397="",$C1397&lt;1),"",$A1397&amp;"-"&amp;TEXT(($D1397-$C1397+1),"00")&amp;IF($C1397&gt;=2,", "&amp;$A1397&amp;"-"&amp;TEXT(($D1397-$C1397+1)+1,"00"),"")&amp;IF($C1397&gt;=3,", "&amp;$A1397&amp;"-"&amp;TEXT(($D1397-$C1397+1)+2,"00"),"")&amp;IF($C1397&gt;=4,", "&amp;$A1397&amp;"-"&amp;TEXT(($D1397-$C1397+1)+3,"00"),"")&amp;IF($C1397&gt;=5,", "&amp;$A1397&amp;"-"&amp;TEXT(($D1397-$C1397+1)+4,"00"),"")&amp;IF($C1397&gt;=6,", "&amp;$A1397&amp;"-"&amp;TEXT(($D1397-$C1397+1)+5,"00"),"")&amp;IF($C1397&gt;=7,", "&amp;$A1397&amp;"-"&amp;TEXT(($D1397-$C1397+1)+6,"00"),"")&amp;IF($C1397&gt;=8,", "&amp;$A1397&amp;"-"&amp;TEXT(($D1397-$C1397+1)+7,"00"),"")&amp;IF($C1397&gt;=9,", "&amp;$A1397&amp;"-"&amp;TEXT(($D1397-$C1397+1)+8,"00"),"")&amp;IF($C1397&gt;=10,", "&amp;$A1397&amp;"-"&amp;TEXT(($D1397-$C1397+1)+9,"00"),"")&amp;IF($C1397&gt;=11,", "&amp;$A1397&amp;"-"&amp;TEXT(($D1397-$C1397+1)+10,"00"),"")&amp;IF($C1397&gt;=12,", "&amp;$A1397&amp;"-"&amp;TEXT(($D1397-$C1397+1)+11,"00"),"")&amp;IF($C1397&gt;=13,", "&amp;$A1397&amp;"-"&amp;TEXT(($D1397-$C1397+1)+12,"00"),"")&amp;IF($C1397&gt;=14,", "&amp;$A1397&amp;"-"&amp;TEXT(($D1397-$C1397+1)+13,"00"),"")&amp;IF($C1397&gt;=15,", "&amp;$A1397&amp;"-"&amp;TEXT(($D1397-$C1397+1)+14,"00"),"")&amp;IF($C1397&gt;=16,", "&amp;$A1397&amp;"-"&amp;TEXT(($D1397-$C1397+1)+15,"00"),"")&amp;IF($C1397&gt;=17,", "&amp;$A1397&amp;"-"&amp;TEXT(($D1397-$C1397+1)+16,"00"),"")&amp;IF($C1397&gt;=18,", "&amp;$A1397&amp;"-"&amp;TEXT(($D1397-$C1397+1)+17,"00"),"")&amp;IF($C1397&gt;=19,", "&amp;$A1397&amp;"-"&amp;TEXT(($D1397-$C1397+1)+18,"00"),"")&amp;IF($C1397&gt;=20,", "&amp;$A1397&amp;"-"&amp;TEXT(($D1397-$C1397+1)+19,"00"),"")&amp;IF($C1397&gt;=21,", "&amp;$A1397&amp;"-"&amp;TEXT(($D1397-$C1397+1)+20,"00"),"")&amp;IF($C1397&gt;=22,", "&amp;$A1397&amp;"-"&amp;TEXT(($D1397-$C1397+1)+21,"00"),"")&amp;IF($C1397&gt;=23,", "&amp;$A1397&amp;"-"&amp;TEXT(($D1397-$C1397+1)+22,"00"),"")&amp;IF($C1397&gt;=24,", "&amp;$A1397&amp;"-"&amp;TEXT(($D1397-$C1397+1)+23,"00"),"")&amp;IF($C1397&gt;=25,", "&amp;$A1397&amp;"-"&amp;TEXT(($D1397-$C1397+1)+24,"00"),""))</f>
        <v/>
      </c>
      <c r="G1397">
        <f>IF($A1397="","",IF($E1397=1,$F1397,IF($F1397="",$G1396,IF($G1396="",$F1397,$G1396&amp;", "&amp;$F1397))))</f>
        <v/>
      </c>
      <c r="H1397">
        <f>IF($A1397="","",$A1397&amp;" ("&amp;$C1397&amp;")")</f>
        <v/>
      </c>
      <c r="I1397">
        <f>IF($A1397="","",IF($E1397=1,$H1397,$I1396&amp;", "&amp;$H1397))</f>
        <v/>
      </c>
      <c r="J1397">
        <f>IF($A1397="","",IF($E1397=1,$B1397,""))</f>
        <v/>
      </c>
      <c r="K1397">
        <f>IF($A1397="","",IF(COUNTIF($B$2:$B1397,$B1397)=COUNTIF($B$2:$B$1601,$B1397),$B1397,""))</f>
        <v/>
      </c>
    </row>
    <row r="1398">
      <c r="A1398">
        <f>IF('TMP Paste'!$E1398="","",'TMP Paste'!$E1398)</f>
        <v/>
      </c>
      <c r="B1398">
        <f>IF($A1398="","",COUNTIF('TMP Paste'!$B$2:$B1398,"?*"))</f>
        <v/>
      </c>
      <c r="C1398">
        <f>IF($A1398="","",IFERROR('TMP Paste'!$M1398*1,0))</f>
        <v/>
      </c>
      <c r="D1398">
        <f>IF($A1398="","",SUMIF($B$2:$B1398,$B1398,$C$2:$C1398))</f>
        <v/>
      </c>
      <c r="E1398">
        <f>IF($A1398="",0,IF('TMP Paste'!$B1398="",0,1))</f>
        <v/>
      </c>
      <c r="F1398">
        <f>IF(OR($A1398="",$C1398&lt;1),"",$A1398&amp;"-"&amp;TEXT(($D1398-$C1398+1),"00")&amp;IF($C1398&gt;=2,", "&amp;$A1398&amp;"-"&amp;TEXT(($D1398-$C1398+1)+1,"00"),"")&amp;IF($C1398&gt;=3,", "&amp;$A1398&amp;"-"&amp;TEXT(($D1398-$C1398+1)+2,"00"),"")&amp;IF($C1398&gt;=4,", "&amp;$A1398&amp;"-"&amp;TEXT(($D1398-$C1398+1)+3,"00"),"")&amp;IF($C1398&gt;=5,", "&amp;$A1398&amp;"-"&amp;TEXT(($D1398-$C1398+1)+4,"00"),"")&amp;IF($C1398&gt;=6,", "&amp;$A1398&amp;"-"&amp;TEXT(($D1398-$C1398+1)+5,"00"),"")&amp;IF($C1398&gt;=7,", "&amp;$A1398&amp;"-"&amp;TEXT(($D1398-$C1398+1)+6,"00"),"")&amp;IF($C1398&gt;=8,", "&amp;$A1398&amp;"-"&amp;TEXT(($D1398-$C1398+1)+7,"00"),"")&amp;IF($C1398&gt;=9,", "&amp;$A1398&amp;"-"&amp;TEXT(($D1398-$C1398+1)+8,"00"),"")&amp;IF($C1398&gt;=10,", "&amp;$A1398&amp;"-"&amp;TEXT(($D1398-$C1398+1)+9,"00"),"")&amp;IF($C1398&gt;=11,", "&amp;$A1398&amp;"-"&amp;TEXT(($D1398-$C1398+1)+10,"00"),"")&amp;IF($C1398&gt;=12,", "&amp;$A1398&amp;"-"&amp;TEXT(($D1398-$C1398+1)+11,"00"),"")&amp;IF($C1398&gt;=13,", "&amp;$A1398&amp;"-"&amp;TEXT(($D1398-$C1398+1)+12,"00"),"")&amp;IF($C1398&gt;=14,", "&amp;$A1398&amp;"-"&amp;TEXT(($D1398-$C1398+1)+13,"00"),"")&amp;IF($C1398&gt;=15,", "&amp;$A1398&amp;"-"&amp;TEXT(($D1398-$C1398+1)+14,"00"),"")&amp;IF($C1398&gt;=16,", "&amp;$A1398&amp;"-"&amp;TEXT(($D1398-$C1398+1)+15,"00"),"")&amp;IF($C1398&gt;=17,", "&amp;$A1398&amp;"-"&amp;TEXT(($D1398-$C1398+1)+16,"00"),"")&amp;IF($C1398&gt;=18,", "&amp;$A1398&amp;"-"&amp;TEXT(($D1398-$C1398+1)+17,"00"),"")&amp;IF($C1398&gt;=19,", "&amp;$A1398&amp;"-"&amp;TEXT(($D1398-$C1398+1)+18,"00"),"")&amp;IF($C1398&gt;=20,", "&amp;$A1398&amp;"-"&amp;TEXT(($D1398-$C1398+1)+19,"00"),"")&amp;IF($C1398&gt;=21,", "&amp;$A1398&amp;"-"&amp;TEXT(($D1398-$C1398+1)+20,"00"),"")&amp;IF($C1398&gt;=22,", "&amp;$A1398&amp;"-"&amp;TEXT(($D1398-$C1398+1)+21,"00"),"")&amp;IF($C1398&gt;=23,", "&amp;$A1398&amp;"-"&amp;TEXT(($D1398-$C1398+1)+22,"00"),"")&amp;IF($C1398&gt;=24,", "&amp;$A1398&amp;"-"&amp;TEXT(($D1398-$C1398+1)+23,"00"),"")&amp;IF($C1398&gt;=25,", "&amp;$A1398&amp;"-"&amp;TEXT(($D1398-$C1398+1)+24,"00"),""))</f>
        <v/>
      </c>
      <c r="G1398">
        <f>IF($A1398="","",IF($E1398=1,$F1398,IF($F1398="",$G1397,IF($G1397="",$F1398,$G1397&amp;", "&amp;$F1398))))</f>
        <v/>
      </c>
      <c r="H1398">
        <f>IF($A1398="","",$A1398&amp;" ("&amp;$C1398&amp;")")</f>
        <v/>
      </c>
      <c r="I1398">
        <f>IF($A1398="","",IF($E1398=1,$H1398,$I1397&amp;", "&amp;$H1398))</f>
        <v/>
      </c>
      <c r="J1398">
        <f>IF($A1398="","",IF($E1398=1,$B1398,""))</f>
        <v/>
      </c>
      <c r="K1398">
        <f>IF($A1398="","",IF(COUNTIF($B$2:$B1398,$B1398)=COUNTIF($B$2:$B$1601,$B1398),$B1398,""))</f>
        <v/>
      </c>
    </row>
    <row r="1399">
      <c r="A1399">
        <f>IF('TMP Paste'!$E1399="","",'TMP Paste'!$E1399)</f>
        <v/>
      </c>
      <c r="B1399">
        <f>IF($A1399="","",COUNTIF('TMP Paste'!$B$2:$B1399,"?*"))</f>
        <v/>
      </c>
      <c r="C1399">
        <f>IF($A1399="","",IFERROR('TMP Paste'!$M1399*1,0))</f>
        <v/>
      </c>
      <c r="D1399">
        <f>IF($A1399="","",SUMIF($B$2:$B1399,$B1399,$C$2:$C1399))</f>
        <v/>
      </c>
      <c r="E1399">
        <f>IF($A1399="",0,IF('TMP Paste'!$B1399="",0,1))</f>
        <v/>
      </c>
      <c r="F1399">
        <f>IF(OR($A1399="",$C1399&lt;1),"",$A1399&amp;"-"&amp;TEXT(($D1399-$C1399+1),"00")&amp;IF($C1399&gt;=2,", "&amp;$A1399&amp;"-"&amp;TEXT(($D1399-$C1399+1)+1,"00"),"")&amp;IF($C1399&gt;=3,", "&amp;$A1399&amp;"-"&amp;TEXT(($D1399-$C1399+1)+2,"00"),"")&amp;IF($C1399&gt;=4,", "&amp;$A1399&amp;"-"&amp;TEXT(($D1399-$C1399+1)+3,"00"),"")&amp;IF($C1399&gt;=5,", "&amp;$A1399&amp;"-"&amp;TEXT(($D1399-$C1399+1)+4,"00"),"")&amp;IF($C1399&gt;=6,", "&amp;$A1399&amp;"-"&amp;TEXT(($D1399-$C1399+1)+5,"00"),"")&amp;IF($C1399&gt;=7,", "&amp;$A1399&amp;"-"&amp;TEXT(($D1399-$C1399+1)+6,"00"),"")&amp;IF($C1399&gt;=8,", "&amp;$A1399&amp;"-"&amp;TEXT(($D1399-$C1399+1)+7,"00"),"")&amp;IF($C1399&gt;=9,", "&amp;$A1399&amp;"-"&amp;TEXT(($D1399-$C1399+1)+8,"00"),"")&amp;IF($C1399&gt;=10,", "&amp;$A1399&amp;"-"&amp;TEXT(($D1399-$C1399+1)+9,"00"),"")&amp;IF($C1399&gt;=11,", "&amp;$A1399&amp;"-"&amp;TEXT(($D1399-$C1399+1)+10,"00"),"")&amp;IF($C1399&gt;=12,", "&amp;$A1399&amp;"-"&amp;TEXT(($D1399-$C1399+1)+11,"00"),"")&amp;IF($C1399&gt;=13,", "&amp;$A1399&amp;"-"&amp;TEXT(($D1399-$C1399+1)+12,"00"),"")&amp;IF($C1399&gt;=14,", "&amp;$A1399&amp;"-"&amp;TEXT(($D1399-$C1399+1)+13,"00"),"")&amp;IF($C1399&gt;=15,", "&amp;$A1399&amp;"-"&amp;TEXT(($D1399-$C1399+1)+14,"00"),"")&amp;IF($C1399&gt;=16,", "&amp;$A1399&amp;"-"&amp;TEXT(($D1399-$C1399+1)+15,"00"),"")&amp;IF($C1399&gt;=17,", "&amp;$A1399&amp;"-"&amp;TEXT(($D1399-$C1399+1)+16,"00"),"")&amp;IF($C1399&gt;=18,", "&amp;$A1399&amp;"-"&amp;TEXT(($D1399-$C1399+1)+17,"00"),"")&amp;IF($C1399&gt;=19,", "&amp;$A1399&amp;"-"&amp;TEXT(($D1399-$C1399+1)+18,"00"),"")&amp;IF($C1399&gt;=20,", "&amp;$A1399&amp;"-"&amp;TEXT(($D1399-$C1399+1)+19,"00"),"")&amp;IF($C1399&gt;=21,", "&amp;$A1399&amp;"-"&amp;TEXT(($D1399-$C1399+1)+20,"00"),"")&amp;IF($C1399&gt;=22,", "&amp;$A1399&amp;"-"&amp;TEXT(($D1399-$C1399+1)+21,"00"),"")&amp;IF($C1399&gt;=23,", "&amp;$A1399&amp;"-"&amp;TEXT(($D1399-$C1399+1)+22,"00"),"")&amp;IF($C1399&gt;=24,", "&amp;$A1399&amp;"-"&amp;TEXT(($D1399-$C1399+1)+23,"00"),"")&amp;IF($C1399&gt;=25,", "&amp;$A1399&amp;"-"&amp;TEXT(($D1399-$C1399+1)+24,"00"),""))</f>
        <v/>
      </c>
      <c r="G1399">
        <f>IF($A1399="","",IF($E1399=1,$F1399,IF($F1399="",$G1398,IF($G1398="",$F1399,$G1398&amp;", "&amp;$F1399))))</f>
        <v/>
      </c>
      <c r="H1399">
        <f>IF($A1399="","",$A1399&amp;" ("&amp;$C1399&amp;")")</f>
        <v/>
      </c>
      <c r="I1399">
        <f>IF($A1399="","",IF($E1399=1,$H1399,$I1398&amp;", "&amp;$H1399))</f>
        <v/>
      </c>
      <c r="J1399">
        <f>IF($A1399="","",IF($E1399=1,$B1399,""))</f>
        <v/>
      </c>
      <c r="K1399">
        <f>IF($A1399="","",IF(COUNTIF($B$2:$B1399,$B1399)=COUNTIF($B$2:$B$1601,$B1399),$B1399,""))</f>
        <v/>
      </c>
    </row>
    <row r="1400">
      <c r="A1400">
        <f>IF('TMP Paste'!$E1400="","",'TMP Paste'!$E1400)</f>
        <v/>
      </c>
      <c r="B1400">
        <f>IF($A1400="","",COUNTIF('TMP Paste'!$B$2:$B1400,"?*"))</f>
        <v/>
      </c>
      <c r="C1400">
        <f>IF($A1400="","",IFERROR('TMP Paste'!$M1400*1,0))</f>
        <v/>
      </c>
      <c r="D1400">
        <f>IF($A1400="","",SUMIF($B$2:$B1400,$B1400,$C$2:$C1400))</f>
        <v/>
      </c>
      <c r="E1400">
        <f>IF($A1400="",0,IF('TMP Paste'!$B1400="",0,1))</f>
        <v/>
      </c>
      <c r="F1400">
        <f>IF(OR($A1400="",$C1400&lt;1),"",$A1400&amp;"-"&amp;TEXT(($D1400-$C1400+1),"00")&amp;IF($C1400&gt;=2,", "&amp;$A1400&amp;"-"&amp;TEXT(($D1400-$C1400+1)+1,"00"),"")&amp;IF($C1400&gt;=3,", "&amp;$A1400&amp;"-"&amp;TEXT(($D1400-$C1400+1)+2,"00"),"")&amp;IF($C1400&gt;=4,", "&amp;$A1400&amp;"-"&amp;TEXT(($D1400-$C1400+1)+3,"00"),"")&amp;IF($C1400&gt;=5,", "&amp;$A1400&amp;"-"&amp;TEXT(($D1400-$C1400+1)+4,"00"),"")&amp;IF($C1400&gt;=6,", "&amp;$A1400&amp;"-"&amp;TEXT(($D1400-$C1400+1)+5,"00"),"")&amp;IF($C1400&gt;=7,", "&amp;$A1400&amp;"-"&amp;TEXT(($D1400-$C1400+1)+6,"00"),"")&amp;IF($C1400&gt;=8,", "&amp;$A1400&amp;"-"&amp;TEXT(($D1400-$C1400+1)+7,"00"),"")&amp;IF($C1400&gt;=9,", "&amp;$A1400&amp;"-"&amp;TEXT(($D1400-$C1400+1)+8,"00"),"")&amp;IF($C1400&gt;=10,", "&amp;$A1400&amp;"-"&amp;TEXT(($D1400-$C1400+1)+9,"00"),"")&amp;IF($C1400&gt;=11,", "&amp;$A1400&amp;"-"&amp;TEXT(($D1400-$C1400+1)+10,"00"),"")&amp;IF($C1400&gt;=12,", "&amp;$A1400&amp;"-"&amp;TEXT(($D1400-$C1400+1)+11,"00"),"")&amp;IF($C1400&gt;=13,", "&amp;$A1400&amp;"-"&amp;TEXT(($D1400-$C1400+1)+12,"00"),"")&amp;IF($C1400&gt;=14,", "&amp;$A1400&amp;"-"&amp;TEXT(($D1400-$C1400+1)+13,"00"),"")&amp;IF($C1400&gt;=15,", "&amp;$A1400&amp;"-"&amp;TEXT(($D1400-$C1400+1)+14,"00"),"")&amp;IF($C1400&gt;=16,", "&amp;$A1400&amp;"-"&amp;TEXT(($D1400-$C1400+1)+15,"00"),"")&amp;IF($C1400&gt;=17,", "&amp;$A1400&amp;"-"&amp;TEXT(($D1400-$C1400+1)+16,"00"),"")&amp;IF($C1400&gt;=18,", "&amp;$A1400&amp;"-"&amp;TEXT(($D1400-$C1400+1)+17,"00"),"")&amp;IF($C1400&gt;=19,", "&amp;$A1400&amp;"-"&amp;TEXT(($D1400-$C1400+1)+18,"00"),"")&amp;IF($C1400&gt;=20,", "&amp;$A1400&amp;"-"&amp;TEXT(($D1400-$C1400+1)+19,"00"),"")&amp;IF($C1400&gt;=21,", "&amp;$A1400&amp;"-"&amp;TEXT(($D1400-$C1400+1)+20,"00"),"")&amp;IF($C1400&gt;=22,", "&amp;$A1400&amp;"-"&amp;TEXT(($D1400-$C1400+1)+21,"00"),"")&amp;IF($C1400&gt;=23,", "&amp;$A1400&amp;"-"&amp;TEXT(($D1400-$C1400+1)+22,"00"),"")&amp;IF($C1400&gt;=24,", "&amp;$A1400&amp;"-"&amp;TEXT(($D1400-$C1400+1)+23,"00"),"")&amp;IF($C1400&gt;=25,", "&amp;$A1400&amp;"-"&amp;TEXT(($D1400-$C1400+1)+24,"00"),""))</f>
        <v/>
      </c>
      <c r="G1400">
        <f>IF($A1400="","",IF($E1400=1,$F1400,IF($F1400="",$G1399,IF($G1399="",$F1400,$G1399&amp;", "&amp;$F1400))))</f>
        <v/>
      </c>
      <c r="H1400">
        <f>IF($A1400="","",$A1400&amp;" ("&amp;$C1400&amp;")")</f>
        <v/>
      </c>
      <c r="I1400">
        <f>IF($A1400="","",IF($E1400=1,$H1400,$I1399&amp;", "&amp;$H1400))</f>
        <v/>
      </c>
      <c r="J1400">
        <f>IF($A1400="","",IF($E1400=1,$B1400,""))</f>
        <v/>
      </c>
      <c r="K1400">
        <f>IF($A1400="","",IF(COUNTIF($B$2:$B1400,$B1400)=COUNTIF($B$2:$B$1601,$B1400),$B1400,""))</f>
        <v/>
      </c>
    </row>
    <row r="1401">
      <c r="A1401">
        <f>IF('TMP Paste'!$E1401="","",'TMP Paste'!$E1401)</f>
        <v/>
      </c>
      <c r="B1401">
        <f>IF($A1401="","",COUNTIF('TMP Paste'!$B$2:$B1401,"?*"))</f>
        <v/>
      </c>
      <c r="C1401">
        <f>IF($A1401="","",IFERROR('TMP Paste'!$M1401*1,0))</f>
        <v/>
      </c>
      <c r="D1401">
        <f>IF($A1401="","",SUMIF($B$2:$B1401,$B1401,$C$2:$C1401))</f>
        <v/>
      </c>
      <c r="E1401">
        <f>IF($A1401="",0,IF('TMP Paste'!$B1401="",0,1))</f>
        <v/>
      </c>
      <c r="F1401">
        <f>IF(OR($A1401="",$C1401&lt;1),"",$A1401&amp;"-"&amp;TEXT(($D1401-$C1401+1),"00")&amp;IF($C1401&gt;=2,", "&amp;$A1401&amp;"-"&amp;TEXT(($D1401-$C1401+1)+1,"00"),"")&amp;IF($C1401&gt;=3,", "&amp;$A1401&amp;"-"&amp;TEXT(($D1401-$C1401+1)+2,"00"),"")&amp;IF($C1401&gt;=4,", "&amp;$A1401&amp;"-"&amp;TEXT(($D1401-$C1401+1)+3,"00"),"")&amp;IF($C1401&gt;=5,", "&amp;$A1401&amp;"-"&amp;TEXT(($D1401-$C1401+1)+4,"00"),"")&amp;IF($C1401&gt;=6,", "&amp;$A1401&amp;"-"&amp;TEXT(($D1401-$C1401+1)+5,"00"),"")&amp;IF($C1401&gt;=7,", "&amp;$A1401&amp;"-"&amp;TEXT(($D1401-$C1401+1)+6,"00"),"")&amp;IF($C1401&gt;=8,", "&amp;$A1401&amp;"-"&amp;TEXT(($D1401-$C1401+1)+7,"00"),"")&amp;IF($C1401&gt;=9,", "&amp;$A1401&amp;"-"&amp;TEXT(($D1401-$C1401+1)+8,"00"),"")&amp;IF($C1401&gt;=10,", "&amp;$A1401&amp;"-"&amp;TEXT(($D1401-$C1401+1)+9,"00"),"")&amp;IF($C1401&gt;=11,", "&amp;$A1401&amp;"-"&amp;TEXT(($D1401-$C1401+1)+10,"00"),"")&amp;IF($C1401&gt;=12,", "&amp;$A1401&amp;"-"&amp;TEXT(($D1401-$C1401+1)+11,"00"),"")&amp;IF($C1401&gt;=13,", "&amp;$A1401&amp;"-"&amp;TEXT(($D1401-$C1401+1)+12,"00"),"")&amp;IF($C1401&gt;=14,", "&amp;$A1401&amp;"-"&amp;TEXT(($D1401-$C1401+1)+13,"00"),"")&amp;IF($C1401&gt;=15,", "&amp;$A1401&amp;"-"&amp;TEXT(($D1401-$C1401+1)+14,"00"),"")&amp;IF($C1401&gt;=16,", "&amp;$A1401&amp;"-"&amp;TEXT(($D1401-$C1401+1)+15,"00"),"")&amp;IF($C1401&gt;=17,", "&amp;$A1401&amp;"-"&amp;TEXT(($D1401-$C1401+1)+16,"00"),"")&amp;IF($C1401&gt;=18,", "&amp;$A1401&amp;"-"&amp;TEXT(($D1401-$C1401+1)+17,"00"),"")&amp;IF($C1401&gt;=19,", "&amp;$A1401&amp;"-"&amp;TEXT(($D1401-$C1401+1)+18,"00"),"")&amp;IF($C1401&gt;=20,", "&amp;$A1401&amp;"-"&amp;TEXT(($D1401-$C1401+1)+19,"00"),"")&amp;IF($C1401&gt;=21,", "&amp;$A1401&amp;"-"&amp;TEXT(($D1401-$C1401+1)+20,"00"),"")&amp;IF($C1401&gt;=22,", "&amp;$A1401&amp;"-"&amp;TEXT(($D1401-$C1401+1)+21,"00"),"")&amp;IF($C1401&gt;=23,", "&amp;$A1401&amp;"-"&amp;TEXT(($D1401-$C1401+1)+22,"00"),"")&amp;IF($C1401&gt;=24,", "&amp;$A1401&amp;"-"&amp;TEXT(($D1401-$C1401+1)+23,"00"),"")&amp;IF($C1401&gt;=25,", "&amp;$A1401&amp;"-"&amp;TEXT(($D1401-$C1401+1)+24,"00"),""))</f>
        <v/>
      </c>
      <c r="G1401">
        <f>IF($A1401="","",IF($E1401=1,$F1401,IF($F1401="",$G1400,IF($G1400="",$F1401,$G1400&amp;", "&amp;$F1401))))</f>
        <v/>
      </c>
      <c r="H1401">
        <f>IF($A1401="","",$A1401&amp;" ("&amp;$C1401&amp;")")</f>
        <v/>
      </c>
      <c r="I1401">
        <f>IF($A1401="","",IF($E1401=1,$H1401,$I1400&amp;", "&amp;$H1401))</f>
        <v/>
      </c>
      <c r="J1401">
        <f>IF($A1401="","",IF($E1401=1,$B1401,""))</f>
        <v/>
      </c>
      <c r="K1401">
        <f>IF($A1401="","",IF(COUNTIF($B$2:$B1401,$B1401)=COUNTIF($B$2:$B$1601,$B1401),$B1401,""))</f>
        <v/>
      </c>
    </row>
    <row r="1402">
      <c r="A1402">
        <f>IF('TMP Paste'!$E1402="","",'TMP Paste'!$E1402)</f>
        <v/>
      </c>
      <c r="B1402">
        <f>IF($A1402="","",COUNTIF('TMP Paste'!$B$2:$B1402,"?*"))</f>
        <v/>
      </c>
      <c r="C1402">
        <f>IF($A1402="","",IFERROR('TMP Paste'!$M1402*1,0))</f>
        <v/>
      </c>
      <c r="D1402">
        <f>IF($A1402="","",SUMIF($B$2:$B1402,$B1402,$C$2:$C1402))</f>
        <v/>
      </c>
      <c r="E1402">
        <f>IF($A1402="",0,IF('TMP Paste'!$B1402="",0,1))</f>
        <v/>
      </c>
      <c r="F1402">
        <f>IF(OR($A1402="",$C1402&lt;1),"",$A1402&amp;"-"&amp;TEXT(($D1402-$C1402+1),"00")&amp;IF($C1402&gt;=2,", "&amp;$A1402&amp;"-"&amp;TEXT(($D1402-$C1402+1)+1,"00"),"")&amp;IF($C1402&gt;=3,", "&amp;$A1402&amp;"-"&amp;TEXT(($D1402-$C1402+1)+2,"00"),"")&amp;IF($C1402&gt;=4,", "&amp;$A1402&amp;"-"&amp;TEXT(($D1402-$C1402+1)+3,"00"),"")&amp;IF($C1402&gt;=5,", "&amp;$A1402&amp;"-"&amp;TEXT(($D1402-$C1402+1)+4,"00"),"")&amp;IF($C1402&gt;=6,", "&amp;$A1402&amp;"-"&amp;TEXT(($D1402-$C1402+1)+5,"00"),"")&amp;IF($C1402&gt;=7,", "&amp;$A1402&amp;"-"&amp;TEXT(($D1402-$C1402+1)+6,"00"),"")&amp;IF($C1402&gt;=8,", "&amp;$A1402&amp;"-"&amp;TEXT(($D1402-$C1402+1)+7,"00"),"")&amp;IF($C1402&gt;=9,", "&amp;$A1402&amp;"-"&amp;TEXT(($D1402-$C1402+1)+8,"00"),"")&amp;IF($C1402&gt;=10,", "&amp;$A1402&amp;"-"&amp;TEXT(($D1402-$C1402+1)+9,"00"),"")&amp;IF($C1402&gt;=11,", "&amp;$A1402&amp;"-"&amp;TEXT(($D1402-$C1402+1)+10,"00"),"")&amp;IF($C1402&gt;=12,", "&amp;$A1402&amp;"-"&amp;TEXT(($D1402-$C1402+1)+11,"00"),"")&amp;IF($C1402&gt;=13,", "&amp;$A1402&amp;"-"&amp;TEXT(($D1402-$C1402+1)+12,"00"),"")&amp;IF($C1402&gt;=14,", "&amp;$A1402&amp;"-"&amp;TEXT(($D1402-$C1402+1)+13,"00"),"")&amp;IF($C1402&gt;=15,", "&amp;$A1402&amp;"-"&amp;TEXT(($D1402-$C1402+1)+14,"00"),"")&amp;IF($C1402&gt;=16,", "&amp;$A1402&amp;"-"&amp;TEXT(($D1402-$C1402+1)+15,"00"),"")&amp;IF($C1402&gt;=17,", "&amp;$A1402&amp;"-"&amp;TEXT(($D1402-$C1402+1)+16,"00"),"")&amp;IF($C1402&gt;=18,", "&amp;$A1402&amp;"-"&amp;TEXT(($D1402-$C1402+1)+17,"00"),"")&amp;IF($C1402&gt;=19,", "&amp;$A1402&amp;"-"&amp;TEXT(($D1402-$C1402+1)+18,"00"),"")&amp;IF($C1402&gt;=20,", "&amp;$A1402&amp;"-"&amp;TEXT(($D1402-$C1402+1)+19,"00"),"")&amp;IF($C1402&gt;=21,", "&amp;$A1402&amp;"-"&amp;TEXT(($D1402-$C1402+1)+20,"00"),"")&amp;IF($C1402&gt;=22,", "&amp;$A1402&amp;"-"&amp;TEXT(($D1402-$C1402+1)+21,"00"),"")&amp;IF($C1402&gt;=23,", "&amp;$A1402&amp;"-"&amp;TEXT(($D1402-$C1402+1)+22,"00"),"")&amp;IF($C1402&gt;=24,", "&amp;$A1402&amp;"-"&amp;TEXT(($D1402-$C1402+1)+23,"00"),"")&amp;IF($C1402&gt;=25,", "&amp;$A1402&amp;"-"&amp;TEXT(($D1402-$C1402+1)+24,"00"),""))</f>
        <v/>
      </c>
      <c r="G1402">
        <f>IF($A1402="","",IF($E1402=1,$F1402,IF($F1402="",$G1401,IF($G1401="",$F1402,$G1401&amp;", "&amp;$F1402))))</f>
        <v/>
      </c>
      <c r="H1402">
        <f>IF($A1402="","",$A1402&amp;" ("&amp;$C1402&amp;")")</f>
        <v/>
      </c>
      <c r="I1402">
        <f>IF($A1402="","",IF($E1402=1,$H1402,$I1401&amp;", "&amp;$H1402))</f>
        <v/>
      </c>
      <c r="J1402">
        <f>IF($A1402="","",IF($E1402=1,$B1402,""))</f>
        <v/>
      </c>
      <c r="K1402">
        <f>IF($A1402="","",IF(COUNTIF($B$2:$B1402,$B1402)=COUNTIF($B$2:$B$1601,$B1402),$B1402,""))</f>
        <v/>
      </c>
    </row>
    <row r="1403">
      <c r="A1403">
        <f>IF('TMP Paste'!$E1403="","",'TMP Paste'!$E1403)</f>
        <v/>
      </c>
      <c r="B1403">
        <f>IF($A1403="","",COUNTIF('TMP Paste'!$B$2:$B1403,"?*"))</f>
        <v/>
      </c>
      <c r="C1403">
        <f>IF($A1403="","",IFERROR('TMP Paste'!$M1403*1,0))</f>
        <v/>
      </c>
      <c r="D1403">
        <f>IF($A1403="","",SUMIF($B$2:$B1403,$B1403,$C$2:$C1403))</f>
        <v/>
      </c>
      <c r="E1403">
        <f>IF($A1403="",0,IF('TMP Paste'!$B1403="",0,1))</f>
        <v/>
      </c>
      <c r="F1403">
        <f>IF(OR($A1403="",$C1403&lt;1),"",$A1403&amp;"-"&amp;TEXT(($D1403-$C1403+1),"00")&amp;IF($C1403&gt;=2,", "&amp;$A1403&amp;"-"&amp;TEXT(($D1403-$C1403+1)+1,"00"),"")&amp;IF($C1403&gt;=3,", "&amp;$A1403&amp;"-"&amp;TEXT(($D1403-$C1403+1)+2,"00"),"")&amp;IF($C1403&gt;=4,", "&amp;$A1403&amp;"-"&amp;TEXT(($D1403-$C1403+1)+3,"00"),"")&amp;IF($C1403&gt;=5,", "&amp;$A1403&amp;"-"&amp;TEXT(($D1403-$C1403+1)+4,"00"),"")&amp;IF($C1403&gt;=6,", "&amp;$A1403&amp;"-"&amp;TEXT(($D1403-$C1403+1)+5,"00"),"")&amp;IF($C1403&gt;=7,", "&amp;$A1403&amp;"-"&amp;TEXT(($D1403-$C1403+1)+6,"00"),"")&amp;IF($C1403&gt;=8,", "&amp;$A1403&amp;"-"&amp;TEXT(($D1403-$C1403+1)+7,"00"),"")&amp;IF($C1403&gt;=9,", "&amp;$A1403&amp;"-"&amp;TEXT(($D1403-$C1403+1)+8,"00"),"")&amp;IF($C1403&gt;=10,", "&amp;$A1403&amp;"-"&amp;TEXT(($D1403-$C1403+1)+9,"00"),"")&amp;IF($C1403&gt;=11,", "&amp;$A1403&amp;"-"&amp;TEXT(($D1403-$C1403+1)+10,"00"),"")&amp;IF($C1403&gt;=12,", "&amp;$A1403&amp;"-"&amp;TEXT(($D1403-$C1403+1)+11,"00"),"")&amp;IF($C1403&gt;=13,", "&amp;$A1403&amp;"-"&amp;TEXT(($D1403-$C1403+1)+12,"00"),"")&amp;IF($C1403&gt;=14,", "&amp;$A1403&amp;"-"&amp;TEXT(($D1403-$C1403+1)+13,"00"),"")&amp;IF($C1403&gt;=15,", "&amp;$A1403&amp;"-"&amp;TEXT(($D1403-$C1403+1)+14,"00"),"")&amp;IF($C1403&gt;=16,", "&amp;$A1403&amp;"-"&amp;TEXT(($D1403-$C1403+1)+15,"00"),"")&amp;IF($C1403&gt;=17,", "&amp;$A1403&amp;"-"&amp;TEXT(($D1403-$C1403+1)+16,"00"),"")&amp;IF($C1403&gt;=18,", "&amp;$A1403&amp;"-"&amp;TEXT(($D1403-$C1403+1)+17,"00"),"")&amp;IF($C1403&gt;=19,", "&amp;$A1403&amp;"-"&amp;TEXT(($D1403-$C1403+1)+18,"00"),"")&amp;IF($C1403&gt;=20,", "&amp;$A1403&amp;"-"&amp;TEXT(($D1403-$C1403+1)+19,"00"),"")&amp;IF($C1403&gt;=21,", "&amp;$A1403&amp;"-"&amp;TEXT(($D1403-$C1403+1)+20,"00"),"")&amp;IF($C1403&gt;=22,", "&amp;$A1403&amp;"-"&amp;TEXT(($D1403-$C1403+1)+21,"00"),"")&amp;IF($C1403&gt;=23,", "&amp;$A1403&amp;"-"&amp;TEXT(($D1403-$C1403+1)+22,"00"),"")&amp;IF($C1403&gt;=24,", "&amp;$A1403&amp;"-"&amp;TEXT(($D1403-$C1403+1)+23,"00"),"")&amp;IF($C1403&gt;=25,", "&amp;$A1403&amp;"-"&amp;TEXT(($D1403-$C1403+1)+24,"00"),""))</f>
        <v/>
      </c>
      <c r="G1403">
        <f>IF($A1403="","",IF($E1403=1,$F1403,IF($F1403="",$G1402,IF($G1402="",$F1403,$G1402&amp;", "&amp;$F1403))))</f>
        <v/>
      </c>
      <c r="H1403">
        <f>IF($A1403="","",$A1403&amp;" ("&amp;$C1403&amp;")")</f>
        <v/>
      </c>
      <c r="I1403">
        <f>IF($A1403="","",IF($E1403=1,$H1403,$I1402&amp;", "&amp;$H1403))</f>
        <v/>
      </c>
      <c r="J1403">
        <f>IF($A1403="","",IF($E1403=1,$B1403,""))</f>
        <v/>
      </c>
      <c r="K1403">
        <f>IF($A1403="","",IF(COUNTIF($B$2:$B1403,$B1403)=COUNTIF($B$2:$B$1601,$B1403),$B1403,""))</f>
        <v/>
      </c>
    </row>
    <row r="1404">
      <c r="A1404">
        <f>IF('TMP Paste'!$E1404="","",'TMP Paste'!$E1404)</f>
        <v/>
      </c>
      <c r="B1404">
        <f>IF($A1404="","",COUNTIF('TMP Paste'!$B$2:$B1404,"?*"))</f>
        <v/>
      </c>
      <c r="C1404">
        <f>IF($A1404="","",IFERROR('TMP Paste'!$M1404*1,0))</f>
        <v/>
      </c>
      <c r="D1404">
        <f>IF($A1404="","",SUMIF($B$2:$B1404,$B1404,$C$2:$C1404))</f>
        <v/>
      </c>
      <c r="E1404">
        <f>IF($A1404="",0,IF('TMP Paste'!$B1404="",0,1))</f>
        <v/>
      </c>
      <c r="F1404">
        <f>IF(OR($A1404="",$C1404&lt;1),"",$A1404&amp;"-"&amp;TEXT(($D1404-$C1404+1),"00")&amp;IF($C1404&gt;=2,", "&amp;$A1404&amp;"-"&amp;TEXT(($D1404-$C1404+1)+1,"00"),"")&amp;IF($C1404&gt;=3,", "&amp;$A1404&amp;"-"&amp;TEXT(($D1404-$C1404+1)+2,"00"),"")&amp;IF($C1404&gt;=4,", "&amp;$A1404&amp;"-"&amp;TEXT(($D1404-$C1404+1)+3,"00"),"")&amp;IF($C1404&gt;=5,", "&amp;$A1404&amp;"-"&amp;TEXT(($D1404-$C1404+1)+4,"00"),"")&amp;IF($C1404&gt;=6,", "&amp;$A1404&amp;"-"&amp;TEXT(($D1404-$C1404+1)+5,"00"),"")&amp;IF($C1404&gt;=7,", "&amp;$A1404&amp;"-"&amp;TEXT(($D1404-$C1404+1)+6,"00"),"")&amp;IF($C1404&gt;=8,", "&amp;$A1404&amp;"-"&amp;TEXT(($D1404-$C1404+1)+7,"00"),"")&amp;IF($C1404&gt;=9,", "&amp;$A1404&amp;"-"&amp;TEXT(($D1404-$C1404+1)+8,"00"),"")&amp;IF($C1404&gt;=10,", "&amp;$A1404&amp;"-"&amp;TEXT(($D1404-$C1404+1)+9,"00"),"")&amp;IF($C1404&gt;=11,", "&amp;$A1404&amp;"-"&amp;TEXT(($D1404-$C1404+1)+10,"00"),"")&amp;IF($C1404&gt;=12,", "&amp;$A1404&amp;"-"&amp;TEXT(($D1404-$C1404+1)+11,"00"),"")&amp;IF($C1404&gt;=13,", "&amp;$A1404&amp;"-"&amp;TEXT(($D1404-$C1404+1)+12,"00"),"")&amp;IF($C1404&gt;=14,", "&amp;$A1404&amp;"-"&amp;TEXT(($D1404-$C1404+1)+13,"00"),"")&amp;IF($C1404&gt;=15,", "&amp;$A1404&amp;"-"&amp;TEXT(($D1404-$C1404+1)+14,"00"),"")&amp;IF($C1404&gt;=16,", "&amp;$A1404&amp;"-"&amp;TEXT(($D1404-$C1404+1)+15,"00"),"")&amp;IF($C1404&gt;=17,", "&amp;$A1404&amp;"-"&amp;TEXT(($D1404-$C1404+1)+16,"00"),"")&amp;IF($C1404&gt;=18,", "&amp;$A1404&amp;"-"&amp;TEXT(($D1404-$C1404+1)+17,"00"),"")&amp;IF($C1404&gt;=19,", "&amp;$A1404&amp;"-"&amp;TEXT(($D1404-$C1404+1)+18,"00"),"")&amp;IF($C1404&gt;=20,", "&amp;$A1404&amp;"-"&amp;TEXT(($D1404-$C1404+1)+19,"00"),"")&amp;IF($C1404&gt;=21,", "&amp;$A1404&amp;"-"&amp;TEXT(($D1404-$C1404+1)+20,"00"),"")&amp;IF($C1404&gt;=22,", "&amp;$A1404&amp;"-"&amp;TEXT(($D1404-$C1404+1)+21,"00"),"")&amp;IF($C1404&gt;=23,", "&amp;$A1404&amp;"-"&amp;TEXT(($D1404-$C1404+1)+22,"00"),"")&amp;IF($C1404&gt;=24,", "&amp;$A1404&amp;"-"&amp;TEXT(($D1404-$C1404+1)+23,"00"),"")&amp;IF($C1404&gt;=25,", "&amp;$A1404&amp;"-"&amp;TEXT(($D1404-$C1404+1)+24,"00"),""))</f>
        <v/>
      </c>
      <c r="G1404">
        <f>IF($A1404="","",IF($E1404=1,$F1404,IF($F1404="",$G1403,IF($G1403="",$F1404,$G1403&amp;", "&amp;$F1404))))</f>
        <v/>
      </c>
      <c r="H1404">
        <f>IF($A1404="","",$A1404&amp;" ("&amp;$C1404&amp;")")</f>
        <v/>
      </c>
      <c r="I1404">
        <f>IF($A1404="","",IF($E1404=1,$H1404,$I1403&amp;", "&amp;$H1404))</f>
        <v/>
      </c>
      <c r="J1404">
        <f>IF($A1404="","",IF($E1404=1,$B1404,""))</f>
        <v/>
      </c>
      <c r="K1404">
        <f>IF($A1404="","",IF(COUNTIF($B$2:$B1404,$B1404)=COUNTIF($B$2:$B$1601,$B1404),$B1404,""))</f>
        <v/>
      </c>
    </row>
    <row r="1405">
      <c r="A1405">
        <f>IF('TMP Paste'!$E1405="","",'TMP Paste'!$E1405)</f>
        <v/>
      </c>
      <c r="B1405">
        <f>IF($A1405="","",COUNTIF('TMP Paste'!$B$2:$B1405,"?*"))</f>
        <v/>
      </c>
      <c r="C1405">
        <f>IF($A1405="","",IFERROR('TMP Paste'!$M1405*1,0))</f>
        <v/>
      </c>
      <c r="D1405">
        <f>IF($A1405="","",SUMIF($B$2:$B1405,$B1405,$C$2:$C1405))</f>
        <v/>
      </c>
      <c r="E1405">
        <f>IF($A1405="",0,IF('TMP Paste'!$B1405="",0,1))</f>
        <v/>
      </c>
      <c r="F1405">
        <f>IF(OR($A1405="",$C1405&lt;1),"",$A1405&amp;"-"&amp;TEXT(($D1405-$C1405+1),"00")&amp;IF($C1405&gt;=2,", "&amp;$A1405&amp;"-"&amp;TEXT(($D1405-$C1405+1)+1,"00"),"")&amp;IF($C1405&gt;=3,", "&amp;$A1405&amp;"-"&amp;TEXT(($D1405-$C1405+1)+2,"00"),"")&amp;IF($C1405&gt;=4,", "&amp;$A1405&amp;"-"&amp;TEXT(($D1405-$C1405+1)+3,"00"),"")&amp;IF($C1405&gt;=5,", "&amp;$A1405&amp;"-"&amp;TEXT(($D1405-$C1405+1)+4,"00"),"")&amp;IF($C1405&gt;=6,", "&amp;$A1405&amp;"-"&amp;TEXT(($D1405-$C1405+1)+5,"00"),"")&amp;IF($C1405&gt;=7,", "&amp;$A1405&amp;"-"&amp;TEXT(($D1405-$C1405+1)+6,"00"),"")&amp;IF($C1405&gt;=8,", "&amp;$A1405&amp;"-"&amp;TEXT(($D1405-$C1405+1)+7,"00"),"")&amp;IF($C1405&gt;=9,", "&amp;$A1405&amp;"-"&amp;TEXT(($D1405-$C1405+1)+8,"00"),"")&amp;IF($C1405&gt;=10,", "&amp;$A1405&amp;"-"&amp;TEXT(($D1405-$C1405+1)+9,"00"),"")&amp;IF($C1405&gt;=11,", "&amp;$A1405&amp;"-"&amp;TEXT(($D1405-$C1405+1)+10,"00"),"")&amp;IF($C1405&gt;=12,", "&amp;$A1405&amp;"-"&amp;TEXT(($D1405-$C1405+1)+11,"00"),"")&amp;IF($C1405&gt;=13,", "&amp;$A1405&amp;"-"&amp;TEXT(($D1405-$C1405+1)+12,"00"),"")&amp;IF($C1405&gt;=14,", "&amp;$A1405&amp;"-"&amp;TEXT(($D1405-$C1405+1)+13,"00"),"")&amp;IF($C1405&gt;=15,", "&amp;$A1405&amp;"-"&amp;TEXT(($D1405-$C1405+1)+14,"00"),"")&amp;IF($C1405&gt;=16,", "&amp;$A1405&amp;"-"&amp;TEXT(($D1405-$C1405+1)+15,"00"),"")&amp;IF($C1405&gt;=17,", "&amp;$A1405&amp;"-"&amp;TEXT(($D1405-$C1405+1)+16,"00"),"")&amp;IF($C1405&gt;=18,", "&amp;$A1405&amp;"-"&amp;TEXT(($D1405-$C1405+1)+17,"00"),"")&amp;IF($C1405&gt;=19,", "&amp;$A1405&amp;"-"&amp;TEXT(($D1405-$C1405+1)+18,"00"),"")&amp;IF($C1405&gt;=20,", "&amp;$A1405&amp;"-"&amp;TEXT(($D1405-$C1405+1)+19,"00"),"")&amp;IF($C1405&gt;=21,", "&amp;$A1405&amp;"-"&amp;TEXT(($D1405-$C1405+1)+20,"00"),"")&amp;IF($C1405&gt;=22,", "&amp;$A1405&amp;"-"&amp;TEXT(($D1405-$C1405+1)+21,"00"),"")&amp;IF($C1405&gt;=23,", "&amp;$A1405&amp;"-"&amp;TEXT(($D1405-$C1405+1)+22,"00"),"")&amp;IF($C1405&gt;=24,", "&amp;$A1405&amp;"-"&amp;TEXT(($D1405-$C1405+1)+23,"00"),"")&amp;IF($C1405&gt;=25,", "&amp;$A1405&amp;"-"&amp;TEXT(($D1405-$C1405+1)+24,"00"),""))</f>
        <v/>
      </c>
      <c r="G1405">
        <f>IF($A1405="","",IF($E1405=1,$F1405,IF($F1405="",$G1404,IF($G1404="",$F1405,$G1404&amp;", "&amp;$F1405))))</f>
        <v/>
      </c>
      <c r="H1405">
        <f>IF($A1405="","",$A1405&amp;" ("&amp;$C1405&amp;")")</f>
        <v/>
      </c>
      <c r="I1405">
        <f>IF($A1405="","",IF($E1405=1,$H1405,$I1404&amp;", "&amp;$H1405))</f>
        <v/>
      </c>
      <c r="J1405">
        <f>IF($A1405="","",IF($E1405=1,$B1405,""))</f>
        <v/>
      </c>
      <c r="K1405">
        <f>IF($A1405="","",IF(COUNTIF($B$2:$B1405,$B1405)=COUNTIF($B$2:$B$1601,$B1405),$B1405,""))</f>
        <v/>
      </c>
    </row>
    <row r="1406">
      <c r="A1406">
        <f>IF('TMP Paste'!$E1406="","",'TMP Paste'!$E1406)</f>
        <v/>
      </c>
      <c r="B1406">
        <f>IF($A1406="","",COUNTIF('TMP Paste'!$B$2:$B1406,"?*"))</f>
        <v/>
      </c>
      <c r="C1406">
        <f>IF($A1406="","",IFERROR('TMP Paste'!$M1406*1,0))</f>
        <v/>
      </c>
      <c r="D1406">
        <f>IF($A1406="","",SUMIF($B$2:$B1406,$B1406,$C$2:$C1406))</f>
        <v/>
      </c>
      <c r="E1406">
        <f>IF($A1406="",0,IF('TMP Paste'!$B1406="",0,1))</f>
        <v/>
      </c>
      <c r="F1406">
        <f>IF(OR($A1406="",$C1406&lt;1),"",$A1406&amp;"-"&amp;TEXT(($D1406-$C1406+1),"00")&amp;IF($C1406&gt;=2,", "&amp;$A1406&amp;"-"&amp;TEXT(($D1406-$C1406+1)+1,"00"),"")&amp;IF($C1406&gt;=3,", "&amp;$A1406&amp;"-"&amp;TEXT(($D1406-$C1406+1)+2,"00"),"")&amp;IF($C1406&gt;=4,", "&amp;$A1406&amp;"-"&amp;TEXT(($D1406-$C1406+1)+3,"00"),"")&amp;IF($C1406&gt;=5,", "&amp;$A1406&amp;"-"&amp;TEXT(($D1406-$C1406+1)+4,"00"),"")&amp;IF($C1406&gt;=6,", "&amp;$A1406&amp;"-"&amp;TEXT(($D1406-$C1406+1)+5,"00"),"")&amp;IF($C1406&gt;=7,", "&amp;$A1406&amp;"-"&amp;TEXT(($D1406-$C1406+1)+6,"00"),"")&amp;IF($C1406&gt;=8,", "&amp;$A1406&amp;"-"&amp;TEXT(($D1406-$C1406+1)+7,"00"),"")&amp;IF($C1406&gt;=9,", "&amp;$A1406&amp;"-"&amp;TEXT(($D1406-$C1406+1)+8,"00"),"")&amp;IF($C1406&gt;=10,", "&amp;$A1406&amp;"-"&amp;TEXT(($D1406-$C1406+1)+9,"00"),"")&amp;IF($C1406&gt;=11,", "&amp;$A1406&amp;"-"&amp;TEXT(($D1406-$C1406+1)+10,"00"),"")&amp;IF($C1406&gt;=12,", "&amp;$A1406&amp;"-"&amp;TEXT(($D1406-$C1406+1)+11,"00"),"")&amp;IF($C1406&gt;=13,", "&amp;$A1406&amp;"-"&amp;TEXT(($D1406-$C1406+1)+12,"00"),"")&amp;IF($C1406&gt;=14,", "&amp;$A1406&amp;"-"&amp;TEXT(($D1406-$C1406+1)+13,"00"),"")&amp;IF($C1406&gt;=15,", "&amp;$A1406&amp;"-"&amp;TEXT(($D1406-$C1406+1)+14,"00"),"")&amp;IF($C1406&gt;=16,", "&amp;$A1406&amp;"-"&amp;TEXT(($D1406-$C1406+1)+15,"00"),"")&amp;IF($C1406&gt;=17,", "&amp;$A1406&amp;"-"&amp;TEXT(($D1406-$C1406+1)+16,"00"),"")&amp;IF($C1406&gt;=18,", "&amp;$A1406&amp;"-"&amp;TEXT(($D1406-$C1406+1)+17,"00"),"")&amp;IF($C1406&gt;=19,", "&amp;$A1406&amp;"-"&amp;TEXT(($D1406-$C1406+1)+18,"00"),"")&amp;IF($C1406&gt;=20,", "&amp;$A1406&amp;"-"&amp;TEXT(($D1406-$C1406+1)+19,"00"),"")&amp;IF($C1406&gt;=21,", "&amp;$A1406&amp;"-"&amp;TEXT(($D1406-$C1406+1)+20,"00"),"")&amp;IF($C1406&gt;=22,", "&amp;$A1406&amp;"-"&amp;TEXT(($D1406-$C1406+1)+21,"00"),"")&amp;IF($C1406&gt;=23,", "&amp;$A1406&amp;"-"&amp;TEXT(($D1406-$C1406+1)+22,"00"),"")&amp;IF($C1406&gt;=24,", "&amp;$A1406&amp;"-"&amp;TEXT(($D1406-$C1406+1)+23,"00"),"")&amp;IF($C1406&gt;=25,", "&amp;$A1406&amp;"-"&amp;TEXT(($D1406-$C1406+1)+24,"00"),""))</f>
        <v/>
      </c>
      <c r="G1406">
        <f>IF($A1406="","",IF($E1406=1,$F1406,IF($F1406="",$G1405,IF($G1405="",$F1406,$G1405&amp;", "&amp;$F1406))))</f>
        <v/>
      </c>
      <c r="H1406">
        <f>IF($A1406="","",$A1406&amp;" ("&amp;$C1406&amp;")")</f>
        <v/>
      </c>
      <c r="I1406">
        <f>IF($A1406="","",IF($E1406=1,$H1406,$I1405&amp;", "&amp;$H1406))</f>
        <v/>
      </c>
      <c r="J1406">
        <f>IF($A1406="","",IF($E1406=1,$B1406,""))</f>
        <v/>
      </c>
      <c r="K1406">
        <f>IF($A1406="","",IF(COUNTIF($B$2:$B1406,$B1406)=COUNTIF($B$2:$B$1601,$B1406),$B1406,""))</f>
        <v/>
      </c>
    </row>
    <row r="1407">
      <c r="A1407">
        <f>IF('TMP Paste'!$E1407="","",'TMP Paste'!$E1407)</f>
        <v/>
      </c>
      <c r="B1407">
        <f>IF($A1407="","",COUNTIF('TMP Paste'!$B$2:$B1407,"?*"))</f>
        <v/>
      </c>
      <c r="C1407">
        <f>IF($A1407="","",IFERROR('TMP Paste'!$M1407*1,0))</f>
        <v/>
      </c>
      <c r="D1407">
        <f>IF($A1407="","",SUMIF($B$2:$B1407,$B1407,$C$2:$C1407))</f>
        <v/>
      </c>
      <c r="E1407">
        <f>IF($A1407="",0,IF('TMP Paste'!$B1407="",0,1))</f>
        <v/>
      </c>
      <c r="F1407">
        <f>IF(OR($A1407="",$C1407&lt;1),"",$A1407&amp;"-"&amp;TEXT(($D1407-$C1407+1),"00")&amp;IF($C1407&gt;=2,", "&amp;$A1407&amp;"-"&amp;TEXT(($D1407-$C1407+1)+1,"00"),"")&amp;IF($C1407&gt;=3,", "&amp;$A1407&amp;"-"&amp;TEXT(($D1407-$C1407+1)+2,"00"),"")&amp;IF($C1407&gt;=4,", "&amp;$A1407&amp;"-"&amp;TEXT(($D1407-$C1407+1)+3,"00"),"")&amp;IF($C1407&gt;=5,", "&amp;$A1407&amp;"-"&amp;TEXT(($D1407-$C1407+1)+4,"00"),"")&amp;IF($C1407&gt;=6,", "&amp;$A1407&amp;"-"&amp;TEXT(($D1407-$C1407+1)+5,"00"),"")&amp;IF($C1407&gt;=7,", "&amp;$A1407&amp;"-"&amp;TEXT(($D1407-$C1407+1)+6,"00"),"")&amp;IF($C1407&gt;=8,", "&amp;$A1407&amp;"-"&amp;TEXT(($D1407-$C1407+1)+7,"00"),"")&amp;IF($C1407&gt;=9,", "&amp;$A1407&amp;"-"&amp;TEXT(($D1407-$C1407+1)+8,"00"),"")&amp;IF($C1407&gt;=10,", "&amp;$A1407&amp;"-"&amp;TEXT(($D1407-$C1407+1)+9,"00"),"")&amp;IF($C1407&gt;=11,", "&amp;$A1407&amp;"-"&amp;TEXT(($D1407-$C1407+1)+10,"00"),"")&amp;IF($C1407&gt;=12,", "&amp;$A1407&amp;"-"&amp;TEXT(($D1407-$C1407+1)+11,"00"),"")&amp;IF($C1407&gt;=13,", "&amp;$A1407&amp;"-"&amp;TEXT(($D1407-$C1407+1)+12,"00"),"")&amp;IF($C1407&gt;=14,", "&amp;$A1407&amp;"-"&amp;TEXT(($D1407-$C1407+1)+13,"00"),"")&amp;IF($C1407&gt;=15,", "&amp;$A1407&amp;"-"&amp;TEXT(($D1407-$C1407+1)+14,"00"),"")&amp;IF($C1407&gt;=16,", "&amp;$A1407&amp;"-"&amp;TEXT(($D1407-$C1407+1)+15,"00"),"")&amp;IF($C1407&gt;=17,", "&amp;$A1407&amp;"-"&amp;TEXT(($D1407-$C1407+1)+16,"00"),"")&amp;IF($C1407&gt;=18,", "&amp;$A1407&amp;"-"&amp;TEXT(($D1407-$C1407+1)+17,"00"),"")&amp;IF($C1407&gt;=19,", "&amp;$A1407&amp;"-"&amp;TEXT(($D1407-$C1407+1)+18,"00"),"")&amp;IF($C1407&gt;=20,", "&amp;$A1407&amp;"-"&amp;TEXT(($D1407-$C1407+1)+19,"00"),"")&amp;IF($C1407&gt;=21,", "&amp;$A1407&amp;"-"&amp;TEXT(($D1407-$C1407+1)+20,"00"),"")&amp;IF($C1407&gt;=22,", "&amp;$A1407&amp;"-"&amp;TEXT(($D1407-$C1407+1)+21,"00"),"")&amp;IF($C1407&gt;=23,", "&amp;$A1407&amp;"-"&amp;TEXT(($D1407-$C1407+1)+22,"00"),"")&amp;IF($C1407&gt;=24,", "&amp;$A1407&amp;"-"&amp;TEXT(($D1407-$C1407+1)+23,"00"),"")&amp;IF($C1407&gt;=25,", "&amp;$A1407&amp;"-"&amp;TEXT(($D1407-$C1407+1)+24,"00"),""))</f>
        <v/>
      </c>
      <c r="G1407">
        <f>IF($A1407="","",IF($E1407=1,$F1407,IF($F1407="",$G1406,IF($G1406="",$F1407,$G1406&amp;", "&amp;$F1407))))</f>
        <v/>
      </c>
      <c r="H1407">
        <f>IF($A1407="","",$A1407&amp;" ("&amp;$C1407&amp;")")</f>
        <v/>
      </c>
      <c r="I1407">
        <f>IF($A1407="","",IF($E1407=1,$H1407,$I1406&amp;", "&amp;$H1407))</f>
        <v/>
      </c>
      <c r="J1407">
        <f>IF($A1407="","",IF($E1407=1,$B1407,""))</f>
        <v/>
      </c>
      <c r="K1407">
        <f>IF($A1407="","",IF(COUNTIF($B$2:$B1407,$B1407)=COUNTIF($B$2:$B$1601,$B1407),$B1407,""))</f>
        <v/>
      </c>
    </row>
    <row r="1408">
      <c r="A1408">
        <f>IF('TMP Paste'!$E1408="","",'TMP Paste'!$E1408)</f>
        <v/>
      </c>
      <c r="B1408">
        <f>IF($A1408="","",COUNTIF('TMP Paste'!$B$2:$B1408,"?*"))</f>
        <v/>
      </c>
      <c r="C1408">
        <f>IF($A1408="","",IFERROR('TMP Paste'!$M1408*1,0))</f>
        <v/>
      </c>
      <c r="D1408">
        <f>IF($A1408="","",SUMIF($B$2:$B1408,$B1408,$C$2:$C1408))</f>
        <v/>
      </c>
      <c r="E1408">
        <f>IF($A1408="",0,IF('TMP Paste'!$B1408="",0,1))</f>
        <v/>
      </c>
      <c r="F1408">
        <f>IF(OR($A1408="",$C1408&lt;1),"",$A1408&amp;"-"&amp;TEXT(($D1408-$C1408+1),"00")&amp;IF($C1408&gt;=2,", "&amp;$A1408&amp;"-"&amp;TEXT(($D1408-$C1408+1)+1,"00"),"")&amp;IF($C1408&gt;=3,", "&amp;$A1408&amp;"-"&amp;TEXT(($D1408-$C1408+1)+2,"00"),"")&amp;IF($C1408&gt;=4,", "&amp;$A1408&amp;"-"&amp;TEXT(($D1408-$C1408+1)+3,"00"),"")&amp;IF($C1408&gt;=5,", "&amp;$A1408&amp;"-"&amp;TEXT(($D1408-$C1408+1)+4,"00"),"")&amp;IF($C1408&gt;=6,", "&amp;$A1408&amp;"-"&amp;TEXT(($D1408-$C1408+1)+5,"00"),"")&amp;IF($C1408&gt;=7,", "&amp;$A1408&amp;"-"&amp;TEXT(($D1408-$C1408+1)+6,"00"),"")&amp;IF($C1408&gt;=8,", "&amp;$A1408&amp;"-"&amp;TEXT(($D1408-$C1408+1)+7,"00"),"")&amp;IF($C1408&gt;=9,", "&amp;$A1408&amp;"-"&amp;TEXT(($D1408-$C1408+1)+8,"00"),"")&amp;IF($C1408&gt;=10,", "&amp;$A1408&amp;"-"&amp;TEXT(($D1408-$C1408+1)+9,"00"),"")&amp;IF($C1408&gt;=11,", "&amp;$A1408&amp;"-"&amp;TEXT(($D1408-$C1408+1)+10,"00"),"")&amp;IF($C1408&gt;=12,", "&amp;$A1408&amp;"-"&amp;TEXT(($D1408-$C1408+1)+11,"00"),"")&amp;IF($C1408&gt;=13,", "&amp;$A1408&amp;"-"&amp;TEXT(($D1408-$C1408+1)+12,"00"),"")&amp;IF($C1408&gt;=14,", "&amp;$A1408&amp;"-"&amp;TEXT(($D1408-$C1408+1)+13,"00"),"")&amp;IF($C1408&gt;=15,", "&amp;$A1408&amp;"-"&amp;TEXT(($D1408-$C1408+1)+14,"00"),"")&amp;IF($C1408&gt;=16,", "&amp;$A1408&amp;"-"&amp;TEXT(($D1408-$C1408+1)+15,"00"),"")&amp;IF($C1408&gt;=17,", "&amp;$A1408&amp;"-"&amp;TEXT(($D1408-$C1408+1)+16,"00"),"")&amp;IF($C1408&gt;=18,", "&amp;$A1408&amp;"-"&amp;TEXT(($D1408-$C1408+1)+17,"00"),"")&amp;IF($C1408&gt;=19,", "&amp;$A1408&amp;"-"&amp;TEXT(($D1408-$C1408+1)+18,"00"),"")&amp;IF($C1408&gt;=20,", "&amp;$A1408&amp;"-"&amp;TEXT(($D1408-$C1408+1)+19,"00"),"")&amp;IF($C1408&gt;=21,", "&amp;$A1408&amp;"-"&amp;TEXT(($D1408-$C1408+1)+20,"00"),"")&amp;IF($C1408&gt;=22,", "&amp;$A1408&amp;"-"&amp;TEXT(($D1408-$C1408+1)+21,"00"),"")&amp;IF($C1408&gt;=23,", "&amp;$A1408&amp;"-"&amp;TEXT(($D1408-$C1408+1)+22,"00"),"")&amp;IF($C1408&gt;=24,", "&amp;$A1408&amp;"-"&amp;TEXT(($D1408-$C1408+1)+23,"00"),"")&amp;IF($C1408&gt;=25,", "&amp;$A1408&amp;"-"&amp;TEXT(($D1408-$C1408+1)+24,"00"),""))</f>
        <v/>
      </c>
      <c r="G1408">
        <f>IF($A1408="","",IF($E1408=1,$F1408,IF($F1408="",$G1407,IF($G1407="",$F1408,$G1407&amp;", "&amp;$F1408))))</f>
        <v/>
      </c>
      <c r="H1408">
        <f>IF($A1408="","",$A1408&amp;" ("&amp;$C1408&amp;")")</f>
        <v/>
      </c>
      <c r="I1408">
        <f>IF($A1408="","",IF($E1408=1,$H1408,$I1407&amp;", "&amp;$H1408))</f>
        <v/>
      </c>
      <c r="J1408">
        <f>IF($A1408="","",IF($E1408=1,$B1408,""))</f>
        <v/>
      </c>
      <c r="K1408">
        <f>IF($A1408="","",IF(COUNTIF($B$2:$B1408,$B1408)=COUNTIF($B$2:$B$1601,$B1408),$B1408,""))</f>
        <v/>
      </c>
    </row>
    <row r="1409">
      <c r="A1409">
        <f>IF('TMP Paste'!$E1409="","",'TMP Paste'!$E1409)</f>
        <v/>
      </c>
      <c r="B1409">
        <f>IF($A1409="","",COUNTIF('TMP Paste'!$B$2:$B1409,"?*"))</f>
        <v/>
      </c>
      <c r="C1409">
        <f>IF($A1409="","",IFERROR('TMP Paste'!$M1409*1,0))</f>
        <v/>
      </c>
      <c r="D1409">
        <f>IF($A1409="","",SUMIF($B$2:$B1409,$B1409,$C$2:$C1409))</f>
        <v/>
      </c>
      <c r="E1409">
        <f>IF($A1409="",0,IF('TMP Paste'!$B1409="",0,1))</f>
        <v/>
      </c>
      <c r="F1409">
        <f>IF(OR($A1409="",$C1409&lt;1),"",$A1409&amp;"-"&amp;TEXT(($D1409-$C1409+1),"00")&amp;IF($C1409&gt;=2,", "&amp;$A1409&amp;"-"&amp;TEXT(($D1409-$C1409+1)+1,"00"),"")&amp;IF($C1409&gt;=3,", "&amp;$A1409&amp;"-"&amp;TEXT(($D1409-$C1409+1)+2,"00"),"")&amp;IF($C1409&gt;=4,", "&amp;$A1409&amp;"-"&amp;TEXT(($D1409-$C1409+1)+3,"00"),"")&amp;IF($C1409&gt;=5,", "&amp;$A1409&amp;"-"&amp;TEXT(($D1409-$C1409+1)+4,"00"),"")&amp;IF($C1409&gt;=6,", "&amp;$A1409&amp;"-"&amp;TEXT(($D1409-$C1409+1)+5,"00"),"")&amp;IF($C1409&gt;=7,", "&amp;$A1409&amp;"-"&amp;TEXT(($D1409-$C1409+1)+6,"00"),"")&amp;IF($C1409&gt;=8,", "&amp;$A1409&amp;"-"&amp;TEXT(($D1409-$C1409+1)+7,"00"),"")&amp;IF($C1409&gt;=9,", "&amp;$A1409&amp;"-"&amp;TEXT(($D1409-$C1409+1)+8,"00"),"")&amp;IF($C1409&gt;=10,", "&amp;$A1409&amp;"-"&amp;TEXT(($D1409-$C1409+1)+9,"00"),"")&amp;IF($C1409&gt;=11,", "&amp;$A1409&amp;"-"&amp;TEXT(($D1409-$C1409+1)+10,"00"),"")&amp;IF($C1409&gt;=12,", "&amp;$A1409&amp;"-"&amp;TEXT(($D1409-$C1409+1)+11,"00"),"")&amp;IF($C1409&gt;=13,", "&amp;$A1409&amp;"-"&amp;TEXT(($D1409-$C1409+1)+12,"00"),"")&amp;IF($C1409&gt;=14,", "&amp;$A1409&amp;"-"&amp;TEXT(($D1409-$C1409+1)+13,"00"),"")&amp;IF($C1409&gt;=15,", "&amp;$A1409&amp;"-"&amp;TEXT(($D1409-$C1409+1)+14,"00"),"")&amp;IF($C1409&gt;=16,", "&amp;$A1409&amp;"-"&amp;TEXT(($D1409-$C1409+1)+15,"00"),"")&amp;IF($C1409&gt;=17,", "&amp;$A1409&amp;"-"&amp;TEXT(($D1409-$C1409+1)+16,"00"),"")&amp;IF($C1409&gt;=18,", "&amp;$A1409&amp;"-"&amp;TEXT(($D1409-$C1409+1)+17,"00"),"")&amp;IF($C1409&gt;=19,", "&amp;$A1409&amp;"-"&amp;TEXT(($D1409-$C1409+1)+18,"00"),"")&amp;IF($C1409&gt;=20,", "&amp;$A1409&amp;"-"&amp;TEXT(($D1409-$C1409+1)+19,"00"),"")&amp;IF($C1409&gt;=21,", "&amp;$A1409&amp;"-"&amp;TEXT(($D1409-$C1409+1)+20,"00"),"")&amp;IF($C1409&gt;=22,", "&amp;$A1409&amp;"-"&amp;TEXT(($D1409-$C1409+1)+21,"00"),"")&amp;IF($C1409&gt;=23,", "&amp;$A1409&amp;"-"&amp;TEXT(($D1409-$C1409+1)+22,"00"),"")&amp;IF($C1409&gt;=24,", "&amp;$A1409&amp;"-"&amp;TEXT(($D1409-$C1409+1)+23,"00"),"")&amp;IF($C1409&gt;=25,", "&amp;$A1409&amp;"-"&amp;TEXT(($D1409-$C1409+1)+24,"00"),""))</f>
        <v/>
      </c>
      <c r="G1409">
        <f>IF($A1409="","",IF($E1409=1,$F1409,IF($F1409="",$G1408,IF($G1408="",$F1409,$G1408&amp;", "&amp;$F1409))))</f>
        <v/>
      </c>
      <c r="H1409">
        <f>IF($A1409="","",$A1409&amp;" ("&amp;$C1409&amp;")")</f>
        <v/>
      </c>
      <c r="I1409">
        <f>IF($A1409="","",IF($E1409=1,$H1409,$I1408&amp;", "&amp;$H1409))</f>
        <v/>
      </c>
      <c r="J1409">
        <f>IF($A1409="","",IF($E1409=1,$B1409,""))</f>
        <v/>
      </c>
      <c r="K1409">
        <f>IF($A1409="","",IF(COUNTIF($B$2:$B1409,$B1409)=COUNTIF($B$2:$B$1601,$B1409),$B1409,""))</f>
        <v/>
      </c>
    </row>
    <row r="1410">
      <c r="A1410">
        <f>IF('TMP Paste'!$E1410="","",'TMP Paste'!$E1410)</f>
        <v/>
      </c>
      <c r="B1410">
        <f>IF($A1410="","",COUNTIF('TMP Paste'!$B$2:$B1410,"?*"))</f>
        <v/>
      </c>
      <c r="C1410">
        <f>IF($A1410="","",IFERROR('TMP Paste'!$M1410*1,0))</f>
        <v/>
      </c>
      <c r="D1410">
        <f>IF($A1410="","",SUMIF($B$2:$B1410,$B1410,$C$2:$C1410))</f>
        <v/>
      </c>
      <c r="E1410">
        <f>IF($A1410="",0,IF('TMP Paste'!$B1410="",0,1))</f>
        <v/>
      </c>
      <c r="F1410">
        <f>IF(OR($A1410="",$C1410&lt;1),"",$A1410&amp;"-"&amp;TEXT(($D1410-$C1410+1),"00")&amp;IF($C1410&gt;=2,", "&amp;$A1410&amp;"-"&amp;TEXT(($D1410-$C1410+1)+1,"00"),"")&amp;IF($C1410&gt;=3,", "&amp;$A1410&amp;"-"&amp;TEXT(($D1410-$C1410+1)+2,"00"),"")&amp;IF($C1410&gt;=4,", "&amp;$A1410&amp;"-"&amp;TEXT(($D1410-$C1410+1)+3,"00"),"")&amp;IF($C1410&gt;=5,", "&amp;$A1410&amp;"-"&amp;TEXT(($D1410-$C1410+1)+4,"00"),"")&amp;IF($C1410&gt;=6,", "&amp;$A1410&amp;"-"&amp;TEXT(($D1410-$C1410+1)+5,"00"),"")&amp;IF($C1410&gt;=7,", "&amp;$A1410&amp;"-"&amp;TEXT(($D1410-$C1410+1)+6,"00"),"")&amp;IF($C1410&gt;=8,", "&amp;$A1410&amp;"-"&amp;TEXT(($D1410-$C1410+1)+7,"00"),"")&amp;IF($C1410&gt;=9,", "&amp;$A1410&amp;"-"&amp;TEXT(($D1410-$C1410+1)+8,"00"),"")&amp;IF($C1410&gt;=10,", "&amp;$A1410&amp;"-"&amp;TEXT(($D1410-$C1410+1)+9,"00"),"")&amp;IF($C1410&gt;=11,", "&amp;$A1410&amp;"-"&amp;TEXT(($D1410-$C1410+1)+10,"00"),"")&amp;IF($C1410&gt;=12,", "&amp;$A1410&amp;"-"&amp;TEXT(($D1410-$C1410+1)+11,"00"),"")&amp;IF($C1410&gt;=13,", "&amp;$A1410&amp;"-"&amp;TEXT(($D1410-$C1410+1)+12,"00"),"")&amp;IF($C1410&gt;=14,", "&amp;$A1410&amp;"-"&amp;TEXT(($D1410-$C1410+1)+13,"00"),"")&amp;IF($C1410&gt;=15,", "&amp;$A1410&amp;"-"&amp;TEXT(($D1410-$C1410+1)+14,"00"),"")&amp;IF($C1410&gt;=16,", "&amp;$A1410&amp;"-"&amp;TEXT(($D1410-$C1410+1)+15,"00"),"")&amp;IF($C1410&gt;=17,", "&amp;$A1410&amp;"-"&amp;TEXT(($D1410-$C1410+1)+16,"00"),"")&amp;IF($C1410&gt;=18,", "&amp;$A1410&amp;"-"&amp;TEXT(($D1410-$C1410+1)+17,"00"),"")&amp;IF($C1410&gt;=19,", "&amp;$A1410&amp;"-"&amp;TEXT(($D1410-$C1410+1)+18,"00"),"")&amp;IF($C1410&gt;=20,", "&amp;$A1410&amp;"-"&amp;TEXT(($D1410-$C1410+1)+19,"00"),"")&amp;IF($C1410&gt;=21,", "&amp;$A1410&amp;"-"&amp;TEXT(($D1410-$C1410+1)+20,"00"),"")&amp;IF($C1410&gt;=22,", "&amp;$A1410&amp;"-"&amp;TEXT(($D1410-$C1410+1)+21,"00"),"")&amp;IF($C1410&gt;=23,", "&amp;$A1410&amp;"-"&amp;TEXT(($D1410-$C1410+1)+22,"00"),"")&amp;IF($C1410&gt;=24,", "&amp;$A1410&amp;"-"&amp;TEXT(($D1410-$C1410+1)+23,"00"),"")&amp;IF($C1410&gt;=25,", "&amp;$A1410&amp;"-"&amp;TEXT(($D1410-$C1410+1)+24,"00"),""))</f>
        <v/>
      </c>
      <c r="G1410">
        <f>IF($A1410="","",IF($E1410=1,$F1410,IF($F1410="",$G1409,IF($G1409="",$F1410,$G1409&amp;", "&amp;$F1410))))</f>
        <v/>
      </c>
      <c r="H1410">
        <f>IF($A1410="","",$A1410&amp;" ("&amp;$C1410&amp;")")</f>
        <v/>
      </c>
      <c r="I1410">
        <f>IF($A1410="","",IF($E1410=1,$H1410,$I1409&amp;", "&amp;$H1410))</f>
        <v/>
      </c>
      <c r="J1410">
        <f>IF($A1410="","",IF($E1410=1,$B1410,""))</f>
        <v/>
      </c>
      <c r="K1410">
        <f>IF($A1410="","",IF(COUNTIF($B$2:$B1410,$B1410)=COUNTIF($B$2:$B$1601,$B1410),$B1410,""))</f>
        <v/>
      </c>
    </row>
    <row r="1411">
      <c r="A1411">
        <f>IF('TMP Paste'!$E1411="","",'TMP Paste'!$E1411)</f>
        <v/>
      </c>
      <c r="B1411">
        <f>IF($A1411="","",COUNTIF('TMP Paste'!$B$2:$B1411,"?*"))</f>
        <v/>
      </c>
      <c r="C1411">
        <f>IF($A1411="","",IFERROR('TMP Paste'!$M1411*1,0))</f>
        <v/>
      </c>
      <c r="D1411">
        <f>IF($A1411="","",SUMIF($B$2:$B1411,$B1411,$C$2:$C1411))</f>
        <v/>
      </c>
      <c r="E1411">
        <f>IF($A1411="",0,IF('TMP Paste'!$B1411="",0,1))</f>
        <v/>
      </c>
      <c r="F1411">
        <f>IF(OR($A1411="",$C1411&lt;1),"",$A1411&amp;"-"&amp;TEXT(($D1411-$C1411+1),"00")&amp;IF($C1411&gt;=2,", "&amp;$A1411&amp;"-"&amp;TEXT(($D1411-$C1411+1)+1,"00"),"")&amp;IF($C1411&gt;=3,", "&amp;$A1411&amp;"-"&amp;TEXT(($D1411-$C1411+1)+2,"00"),"")&amp;IF($C1411&gt;=4,", "&amp;$A1411&amp;"-"&amp;TEXT(($D1411-$C1411+1)+3,"00"),"")&amp;IF($C1411&gt;=5,", "&amp;$A1411&amp;"-"&amp;TEXT(($D1411-$C1411+1)+4,"00"),"")&amp;IF($C1411&gt;=6,", "&amp;$A1411&amp;"-"&amp;TEXT(($D1411-$C1411+1)+5,"00"),"")&amp;IF($C1411&gt;=7,", "&amp;$A1411&amp;"-"&amp;TEXT(($D1411-$C1411+1)+6,"00"),"")&amp;IF($C1411&gt;=8,", "&amp;$A1411&amp;"-"&amp;TEXT(($D1411-$C1411+1)+7,"00"),"")&amp;IF($C1411&gt;=9,", "&amp;$A1411&amp;"-"&amp;TEXT(($D1411-$C1411+1)+8,"00"),"")&amp;IF($C1411&gt;=10,", "&amp;$A1411&amp;"-"&amp;TEXT(($D1411-$C1411+1)+9,"00"),"")&amp;IF($C1411&gt;=11,", "&amp;$A1411&amp;"-"&amp;TEXT(($D1411-$C1411+1)+10,"00"),"")&amp;IF($C1411&gt;=12,", "&amp;$A1411&amp;"-"&amp;TEXT(($D1411-$C1411+1)+11,"00"),"")&amp;IF($C1411&gt;=13,", "&amp;$A1411&amp;"-"&amp;TEXT(($D1411-$C1411+1)+12,"00"),"")&amp;IF($C1411&gt;=14,", "&amp;$A1411&amp;"-"&amp;TEXT(($D1411-$C1411+1)+13,"00"),"")&amp;IF($C1411&gt;=15,", "&amp;$A1411&amp;"-"&amp;TEXT(($D1411-$C1411+1)+14,"00"),"")&amp;IF($C1411&gt;=16,", "&amp;$A1411&amp;"-"&amp;TEXT(($D1411-$C1411+1)+15,"00"),"")&amp;IF($C1411&gt;=17,", "&amp;$A1411&amp;"-"&amp;TEXT(($D1411-$C1411+1)+16,"00"),"")&amp;IF($C1411&gt;=18,", "&amp;$A1411&amp;"-"&amp;TEXT(($D1411-$C1411+1)+17,"00"),"")&amp;IF($C1411&gt;=19,", "&amp;$A1411&amp;"-"&amp;TEXT(($D1411-$C1411+1)+18,"00"),"")&amp;IF($C1411&gt;=20,", "&amp;$A1411&amp;"-"&amp;TEXT(($D1411-$C1411+1)+19,"00"),"")&amp;IF($C1411&gt;=21,", "&amp;$A1411&amp;"-"&amp;TEXT(($D1411-$C1411+1)+20,"00"),"")&amp;IF($C1411&gt;=22,", "&amp;$A1411&amp;"-"&amp;TEXT(($D1411-$C1411+1)+21,"00"),"")&amp;IF($C1411&gt;=23,", "&amp;$A1411&amp;"-"&amp;TEXT(($D1411-$C1411+1)+22,"00"),"")&amp;IF($C1411&gt;=24,", "&amp;$A1411&amp;"-"&amp;TEXT(($D1411-$C1411+1)+23,"00"),"")&amp;IF($C1411&gt;=25,", "&amp;$A1411&amp;"-"&amp;TEXT(($D1411-$C1411+1)+24,"00"),""))</f>
        <v/>
      </c>
      <c r="G1411">
        <f>IF($A1411="","",IF($E1411=1,$F1411,IF($F1411="",$G1410,IF($G1410="",$F1411,$G1410&amp;", "&amp;$F1411))))</f>
        <v/>
      </c>
      <c r="H1411">
        <f>IF($A1411="","",$A1411&amp;" ("&amp;$C1411&amp;")")</f>
        <v/>
      </c>
      <c r="I1411">
        <f>IF($A1411="","",IF($E1411=1,$H1411,$I1410&amp;", "&amp;$H1411))</f>
        <v/>
      </c>
      <c r="J1411">
        <f>IF($A1411="","",IF($E1411=1,$B1411,""))</f>
        <v/>
      </c>
      <c r="K1411">
        <f>IF($A1411="","",IF(COUNTIF($B$2:$B1411,$B1411)=COUNTIF($B$2:$B$1601,$B1411),$B1411,""))</f>
        <v/>
      </c>
    </row>
    <row r="1412">
      <c r="A1412">
        <f>IF('TMP Paste'!$E1412="","",'TMP Paste'!$E1412)</f>
        <v/>
      </c>
      <c r="B1412">
        <f>IF($A1412="","",COUNTIF('TMP Paste'!$B$2:$B1412,"?*"))</f>
        <v/>
      </c>
      <c r="C1412">
        <f>IF($A1412="","",IFERROR('TMP Paste'!$M1412*1,0))</f>
        <v/>
      </c>
      <c r="D1412">
        <f>IF($A1412="","",SUMIF($B$2:$B1412,$B1412,$C$2:$C1412))</f>
        <v/>
      </c>
      <c r="E1412">
        <f>IF($A1412="",0,IF('TMP Paste'!$B1412="",0,1))</f>
        <v/>
      </c>
      <c r="F1412">
        <f>IF(OR($A1412="",$C1412&lt;1),"",$A1412&amp;"-"&amp;TEXT(($D1412-$C1412+1),"00")&amp;IF($C1412&gt;=2,", "&amp;$A1412&amp;"-"&amp;TEXT(($D1412-$C1412+1)+1,"00"),"")&amp;IF($C1412&gt;=3,", "&amp;$A1412&amp;"-"&amp;TEXT(($D1412-$C1412+1)+2,"00"),"")&amp;IF($C1412&gt;=4,", "&amp;$A1412&amp;"-"&amp;TEXT(($D1412-$C1412+1)+3,"00"),"")&amp;IF($C1412&gt;=5,", "&amp;$A1412&amp;"-"&amp;TEXT(($D1412-$C1412+1)+4,"00"),"")&amp;IF($C1412&gt;=6,", "&amp;$A1412&amp;"-"&amp;TEXT(($D1412-$C1412+1)+5,"00"),"")&amp;IF($C1412&gt;=7,", "&amp;$A1412&amp;"-"&amp;TEXT(($D1412-$C1412+1)+6,"00"),"")&amp;IF($C1412&gt;=8,", "&amp;$A1412&amp;"-"&amp;TEXT(($D1412-$C1412+1)+7,"00"),"")&amp;IF($C1412&gt;=9,", "&amp;$A1412&amp;"-"&amp;TEXT(($D1412-$C1412+1)+8,"00"),"")&amp;IF($C1412&gt;=10,", "&amp;$A1412&amp;"-"&amp;TEXT(($D1412-$C1412+1)+9,"00"),"")&amp;IF($C1412&gt;=11,", "&amp;$A1412&amp;"-"&amp;TEXT(($D1412-$C1412+1)+10,"00"),"")&amp;IF($C1412&gt;=12,", "&amp;$A1412&amp;"-"&amp;TEXT(($D1412-$C1412+1)+11,"00"),"")&amp;IF($C1412&gt;=13,", "&amp;$A1412&amp;"-"&amp;TEXT(($D1412-$C1412+1)+12,"00"),"")&amp;IF($C1412&gt;=14,", "&amp;$A1412&amp;"-"&amp;TEXT(($D1412-$C1412+1)+13,"00"),"")&amp;IF($C1412&gt;=15,", "&amp;$A1412&amp;"-"&amp;TEXT(($D1412-$C1412+1)+14,"00"),"")&amp;IF($C1412&gt;=16,", "&amp;$A1412&amp;"-"&amp;TEXT(($D1412-$C1412+1)+15,"00"),"")&amp;IF($C1412&gt;=17,", "&amp;$A1412&amp;"-"&amp;TEXT(($D1412-$C1412+1)+16,"00"),"")&amp;IF($C1412&gt;=18,", "&amp;$A1412&amp;"-"&amp;TEXT(($D1412-$C1412+1)+17,"00"),"")&amp;IF($C1412&gt;=19,", "&amp;$A1412&amp;"-"&amp;TEXT(($D1412-$C1412+1)+18,"00"),"")&amp;IF($C1412&gt;=20,", "&amp;$A1412&amp;"-"&amp;TEXT(($D1412-$C1412+1)+19,"00"),"")&amp;IF($C1412&gt;=21,", "&amp;$A1412&amp;"-"&amp;TEXT(($D1412-$C1412+1)+20,"00"),"")&amp;IF($C1412&gt;=22,", "&amp;$A1412&amp;"-"&amp;TEXT(($D1412-$C1412+1)+21,"00"),"")&amp;IF($C1412&gt;=23,", "&amp;$A1412&amp;"-"&amp;TEXT(($D1412-$C1412+1)+22,"00"),"")&amp;IF($C1412&gt;=24,", "&amp;$A1412&amp;"-"&amp;TEXT(($D1412-$C1412+1)+23,"00"),"")&amp;IF($C1412&gt;=25,", "&amp;$A1412&amp;"-"&amp;TEXT(($D1412-$C1412+1)+24,"00"),""))</f>
        <v/>
      </c>
      <c r="G1412">
        <f>IF($A1412="","",IF($E1412=1,$F1412,IF($F1412="",$G1411,IF($G1411="",$F1412,$G1411&amp;", "&amp;$F1412))))</f>
        <v/>
      </c>
      <c r="H1412">
        <f>IF($A1412="","",$A1412&amp;" ("&amp;$C1412&amp;")")</f>
        <v/>
      </c>
      <c r="I1412">
        <f>IF($A1412="","",IF($E1412=1,$H1412,$I1411&amp;", "&amp;$H1412))</f>
        <v/>
      </c>
      <c r="J1412">
        <f>IF($A1412="","",IF($E1412=1,$B1412,""))</f>
        <v/>
      </c>
      <c r="K1412">
        <f>IF($A1412="","",IF(COUNTIF($B$2:$B1412,$B1412)=COUNTIF($B$2:$B$1601,$B1412),$B1412,""))</f>
        <v/>
      </c>
    </row>
    <row r="1413">
      <c r="A1413">
        <f>IF('TMP Paste'!$E1413="","",'TMP Paste'!$E1413)</f>
        <v/>
      </c>
      <c r="B1413">
        <f>IF($A1413="","",COUNTIF('TMP Paste'!$B$2:$B1413,"?*"))</f>
        <v/>
      </c>
      <c r="C1413">
        <f>IF($A1413="","",IFERROR('TMP Paste'!$M1413*1,0))</f>
        <v/>
      </c>
      <c r="D1413">
        <f>IF($A1413="","",SUMIF($B$2:$B1413,$B1413,$C$2:$C1413))</f>
        <v/>
      </c>
      <c r="E1413">
        <f>IF($A1413="",0,IF('TMP Paste'!$B1413="",0,1))</f>
        <v/>
      </c>
      <c r="F1413">
        <f>IF(OR($A1413="",$C1413&lt;1),"",$A1413&amp;"-"&amp;TEXT(($D1413-$C1413+1),"00")&amp;IF($C1413&gt;=2,", "&amp;$A1413&amp;"-"&amp;TEXT(($D1413-$C1413+1)+1,"00"),"")&amp;IF($C1413&gt;=3,", "&amp;$A1413&amp;"-"&amp;TEXT(($D1413-$C1413+1)+2,"00"),"")&amp;IF($C1413&gt;=4,", "&amp;$A1413&amp;"-"&amp;TEXT(($D1413-$C1413+1)+3,"00"),"")&amp;IF($C1413&gt;=5,", "&amp;$A1413&amp;"-"&amp;TEXT(($D1413-$C1413+1)+4,"00"),"")&amp;IF($C1413&gt;=6,", "&amp;$A1413&amp;"-"&amp;TEXT(($D1413-$C1413+1)+5,"00"),"")&amp;IF($C1413&gt;=7,", "&amp;$A1413&amp;"-"&amp;TEXT(($D1413-$C1413+1)+6,"00"),"")&amp;IF($C1413&gt;=8,", "&amp;$A1413&amp;"-"&amp;TEXT(($D1413-$C1413+1)+7,"00"),"")&amp;IF($C1413&gt;=9,", "&amp;$A1413&amp;"-"&amp;TEXT(($D1413-$C1413+1)+8,"00"),"")&amp;IF($C1413&gt;=10,", "&amp;$A1413&amp;"-"&amp;TEXT(($D1413-$C1413+1)+9,"00"),"")&amp;IF($C1413&gt;=11,", "&amp;$A1413&amp;"-"&amp;TEXT(($D1413-$C1413+1)+10,"00"),"")&amp;IF($C1413&gt;=12,", "&amp;$A1413&amp;"-"&amp;TEXT(($D1413-$C1413+1)+11,"00"),"")&amp;IF($C1413&gt;=13,", "&amp;$A1413&amp;"-"&amp;TEXT(($D1413-$C1413+1)+12,"00"),"")&amp;IF($C1413&gt;=14,", "&amp;$A1413&amp;"-"&amp;TEXT(($D1413-$C1413+1)+13,"00"),"")&amp;IF($C1413&gt;=15,", "&amp;$A1413&amp;"-"&amp;TEXT(($D1413-$C1413+1)+14,"00"),"")&amp;IF($C1413&gt;=16,", "&amp;$A1413&amp;"-"&amp;TEXT(($D1413-$C1413+1)+15,"00"),"")&amp;IF($C1413&gt;=17,", "&amp;$A1413&amp;"-"&amp;TEXT(($D1413-$C1413+1)+16,"00"),"")&amp;IF($C1413&gt;=18,", "&amp;$A1413&amp;"-"&amp;TEXT(($D1413-$C1413+1)+17,"00"),"")&amp;IF($C1413&gt;=19,", "&amp;$A1413&amp;"-"&amp;TEXT(($D1413-$C1413+1)+18,"00"),"")&amp;IF($C1413&gt;=20,", "&amp;$A1413&amp;"-"&amp;TEXT(($D1413-$C1413+1)+19,"00"),"")&amp;IF($C1413&gt;=21,", "&amp;$A1413&amp;"-"&amp;TEXT(($D1413-$C1413+1)+20,"00"),"")&amp;IF($C1413&gt;=22,", "&amp;$A1413&amp;"-"&amp;TEXT(($D1413-$C1413+1)+21,"00"),"")&amp;IF($C1413&gt;=23,", "&amp;$A1413&amp;"-"&amp;TEXT(($D1413-$C1413+1)+22,"00"),"")&amp;IF($C1413&gt;=24,", "&amp;$A1413&amp;"-"&amp;TEXT(($D1413-$C1413+1)+23,"00"),"")&amp;IF($C1413&gt;=25,", "&amp;$A1413&amp;"-"&amp;TEXT(($D1413-$C1413+1)+24,"00"),""))</f>
        <v/>
      </c>
      <c r="G1413">
        <f>IF($A1413="","",IF($E1413=1,$F1413,IF($F1413="",$G1412,IF($G1412="",$F1413,$G1412&amp;", "&amp;$F1413))))</f>
        <v/>
      </c>
      <c r="H1413">
        <f>IF($A1413="","",$A1413&amp;" ("&amp;$C1413&amp;")")</f>
        <v/>
      </c>
      <c r="I1413">
        <f>IF($A1413="","",IF($E1413=1,$H1413,$I1412&amp;", "&amp;$H1413))</f>
        <v/>
      </c>
      <c r="J1413">
        <f>IF($A1413="","",IF($E1413=1,$B1413,""))</f>
        <v/>
      </c>
      <c r="K1413">
        <f>IF($A1413="","",IF(COUNTIF($B$2:$B1413,$B1413)=COUNTIF($B$2:$B$1601,$B1413),$B1413,""))</f>
        <v/>
      </c>
    </row>
    <row r="1414">
      <c r="A1414">
        <f>IF('TMP Paste'!$E1414="","",'TMP Paste'!$E1414)</f>
        <v/>
      </c>
      <c r="B1414">
        <f>IF($A1414="","",COUNTIF('TMP Paste'!$B$2:$B1414,"?*"))</f>
        <v/>
      </c>
      <c r="C1414">
        <f>IF($A1414="","",IFERROR('TMP Paste'!$M1414*1,0))</f>
        <v/>
      </c>
      <c r="D1414">
        <f>IF($A1414="","",SUMIF($B$2:$B1414,$B1414,$C$2:$C1414))</f>
        <v/>
      </c>
      <c r="E1414">
        <f>IF($A1414="",0,IF('TMP Paste'!$B1414="",0,1))</f>
        <v/>
      </c>
      <c r="F1414">
        <f>IF(OR($A1414="",$C1414&lt;1),"",$A1414&amp;"-"&amp;TEXT(($D1414-$C1414+1),"00")&amp;IF($C1414&gt;=2,", "&amp;$A1414&amp;"-"&amp;TEXT(($D1414-$C1414+1)+1,"00"),"")&amp;IF($C1414&gt;=3,", "&amp;$A1414&amp;"-"&amp;TEXT(($D1414-$C1414+1)+2,"00"),"")&amp;IF($C1414&gt;=4,", "&amp;$A1414&amp;"-"&amp;TEXT(($D1414-$C1414+1)+3,"00"),"")&amp;IF($C1414&gt;=5,", "&amp;$A1414&amp;"-"&amp;TEXT(($D1414-$C1414+1)+4,"00"),"")&amp;IF($C1414&gt;=6,", "&amp;$A1414&amp;"-"&amp;TEXT(($D1414-$C1414+1)+5,"00"),"")&amp;IF($C1414&gt;=7,", "&amp;$A1414&amp;"-"&amp;TEXT(($D1414-$C1414+1)+6,"00"),"")&amp;IF($C1414&gt;=8,", "&amp;$A1414&amp;"-"&amp;TEXT(($D1414-$C1414+1)+7,"00"),"")&amp;IF($C1414&gt;=9,", "&amp;$A1414&amp;"-"&amp;TEXT(($D1414-$C1414+1)+8,"00"),"")&amp;IF($C1414&gt;=10,", "&amp;$A1414&amp;"-"&amp;TEXT(($D1414-$C1414+1)+9,"00"),"")&amp;IF($C1414&gt;=11,", "&amp;$A1414&amp;"-"&amp;TEXT(($D1414-$C1414+1)+10,"00"),"")&amp;IF($C1414&gt;=12,", "&amp;$A1414&amp;"-"&amp;TEXT(($D1414-$C1414+1)+11,"00"),"")&amp;IF($C1414&gt;=13,", "&amp;$A1414&amp;"-"&amp;TEXT(($D1414-$C1414+1)+12,"00"),"")&amp;IF($C1414&gt;=14,", "&amp;$A1414&amp;"-"&amp;TEXT(($D1414-$C1414+1)+13,"00"),"")&amp;IF($C1414&gt;=15,", "&amp;$A1414&amp;"-"&amp;TEXT(($D1414-$C1414+1)+14,"00"),"")&amp;IF($C1414&gt;=16,", "&amp;$A1414&amp;"-"&amp;TEXT(($D1414-$C1414+1)+15,"00"),"")&amp;IF($C1414&gt;=17,", "&amp;$A1414&amp;"-"&amp;TEXT(($D1414-$C1414+1)+16,"00"),"")&amp;IF($C1414&gt;=18,", "&amp;$A1414&amp;"-"&amp;TEXT(($D1414-$C1414+1)+17,"00"),"")&amp;IF($C1414&gt;=19,", "&amp;$A1414&amp;"-"&amp;TEXT(($D1414-$C1414+1)+18,"00"),"")&amp;IF($C1414&gt;=20,", "&amp;$A1414&amp;"-"&amp;TEXT(($D1414-$C1414+1)+19,"00"),"")&amp;IF($C1414&gt;=21,", "&amp;$A1414&amp;"-"&amp;TEXT(($D1414-$C1414+1)+20,"00"),"")&amp;IF($C1414&gt;=22,", "&amp;$A1414&amp;"-"&amp;TEXT(($D1414-$C1414+1)+21,"00"),"")&amp;IF($C1414&gt;=23,", "&amp;$A1414&amp;"-"&amp;TEXT(($D1414-$C1414+1)+22,"00"),"")&amp;IF($C1414&gt;=24,", "&amp;$A1414&amp;"-"&amp;TEXT(($D1414-$C1414+1)+23,"00"),"")&amp;IF($C1414&gt;=25,", "&amp;$A1414&amp;"-"&amp;TEXT(($D1414-$C1414+1)+24,"00"),""))</f>
        <v/>
      </c>
      <c r="G1414">
        <f>IF($A1414="","",IF($E1414=1,$F1414,IF($F1414="",$G1413,IF($G1413="",$F1414,$G1413&amp;", "&amp;$F1414))))</f>
        <v/>
      </c>
      <c r="H1414">
        <f>IF($A1414="","",$A1414&amp;" ("&amp;$C1414&amp;")")</f>
        <v/>
      </c>
      <c r="I1414">
        <f>IF($A1414="","",IF($E1414=1,$H1414,$I1413&amp;", "&amp;$H1414))</f>
        <v/>
      </c>
      <c r="J1414">
        <f>IF($A1414="","",IF($E1414=1,$B1414,""))</f>
        <v/>
      </c>
      <c r="K1414">
        <f>IF($A1414="","",IF(COUNTIF($B$2:$B1414,$B1414)=COUNTIF($B$2:$B$1601,$B1414),$B1414,""))</f>
        <v/>
      </c>
    </row>
    <row r="1415">
      <c r="A1415">
        <f>IF('TMP Paste'!$E1415="","",'TMP Paste'!$E1415)</f>
        <v/>
      </c>
      <c r="B1415">
        <f>IF($A1415="","",COUNTIF('TMP Paste'!$B$2:$B1415,"?*"))</f>
        <v/>
      </c>
      <c r="C1415">
        <f>IF($A1415="","",IFERROR('TMP Paste'!$M1415*1,0))</f>
        <v/>
      </c>
      <c r="D1415">
        <f>IF($A1415="","",SUMIF($B$2:$B1415,$B1415,$C$2:$C1415))</f>
        <v/>
      </c>
      <c r="E1415">
        <f>IF($A1415="",0,IF('TMP Paste'!$B1415="",0,1))</f>
        <v/>
      </c>
      <c r="F1415">
        <f>IF(OR($A1415="",$C1415&lt;1),"",$A1415&amp;"-"&amp;TEXT(($D1415-$C1415+1),"00")&amp;IF($C1415&gt;=2,", "&amp;$A1415&amp;"-"&amp;TEXT(($D1415-$C1415+1)+1,"00"),"")&amp;IF($C1415&gt;=3,", "&amp;$A1415&amp;"-"&amp;TEXT(($D1415-$C1415+1)+2,"00"),"")&amp;IF($C1415&gt;=4,", "&amp;$A1415&amp;"-"&amp;TEXT(($D1415-$C1415+1)+3,"00"),"")&amp;IF($C1415&gt;=5,", "&amp;$A1415&amp;"-"&amp;TEXT(($D1415-$C1415+1)+4,"00"),"")&amp;IF($C1415&gt;=6,", "&amp;$A1415&amp;"-"&amp;TEXT(($D1415-$C1415+1)+5,"00"),"")&amp;IF($C1415&gt;=7,", "&amp;$A1415&amp;"-"&amp;TEXT(($D1415-$C1415+1)+6,"00"),"")&amp;IF($C1415&gt;=8,", "&amp;$A1415&amp;"-"&amp;TEXT(($D1415-$C1415+1)+7,"00"),"")&amp;IF($C1415&gt;=9,", "&amp;$A1415&amp;"-"&amp;TEXT(($D1415-$C1415+1)+8,"00"),"")&amp;IF($C1415&gt;=10,", "&amp;$A1415&amp;"-"&amp;TEXT(($D1415-$C1415+1)+9,"00"),"")&amp;IF($C1415&gt;=11,", "&amp;$A1415&amp;"-"&amp;TEXT(($D1415-$C1415+1)+10,"00"),"")&amp;IF($C1415&gt;=12,", "&amp;$A1415&amp;"-"&amp;TEXT(($D1415-$C1415+1)+11,"00"),"")&amp;IF($C1415&gt;=13,", "&amp;$A1415&amp;"-"&amp;TEXT(($D1415-$C1415+1)+12,"00"),"")&amp;IF($C1415&gt;=14,", "&amp;$A1415&amp;"-"&amp;TEXT(($D1415-$C1415+1)+13,"00"),"")&amp;IF($C1415&gt;=15,", "&amp;$A1415&amp;"-"&amp;TEXT(($D1415-$C1415+1)+14,"00"),"")&amp;IF($C1415&gt;=16,", "&amp;$A1415&amp;"-"&amp;TEXT(($D1415-$C1415+1)+15,"00"),"")&amp;IF($C1415&gt;=17,", "&amp;$A1415&amp;"-"&amp;TEXT(($D1415-$C1415+1)+16,"00"),"")&amp;IF($C1415&gt;=18,", "&amp;$A1415&amp;"-"&amp;TEXT(($D1415-$C1415+1)+17,"00"),"")&amp;IF($C1415&gt;=19,", "&amp;$A1415&amp;"-"&amp;TEXT(($D1415-$C1415+1)+18,"00"),"")&amp;IF($C1415&gt;=20,", "&amp;$A1415&amp;"-"&amp;TEXT(($D1415-$C1415+1)+19,"00"),"")&amp;IF($C1415&gt;=21,", "&amp;$A1415&amp;"-"&amp;TEXT(($D1415-$C1415+1)+20,"00"),"")&amp;IF($C1415&gt;=22,", "&amp;$A1415&amp;"-"&amp;TEXT(($D1415-$C1415+1)+21,"00"),"")&amp;IF($C1415&gt;=23,", "&amp;$A1415&amp;"-"&amp;TEXT(($D1415-$C1415+1)+22,"00"),"")&amp;IF($C1415&gt;=24,", "&amp;$A1415&amp;"-"&amp;TEXT(($D1415-$C1415+1)+23,"00"),"")&amp;IF($C1415&gt;=25,", "&amp;$A1415&amp;"-"&amp;TEXT(($D1415-$C1415+1)+24,"00"),""))</f>
        <v/>
      </c>
      <c r="G1415">
        <f>IF($A1415="","",IF($E1415=1,$F1415,IF($F1415="",$G1414,IF($G1414="",$F1415,$G1414&amp;", "&amp;$F1415))))</f>
        <v/>
      </c>
      <c r="H1415">
        <f>IF($A1415="","",$A1415&amp;" ("&amp;$C1415&amp;")")</f>
        <v/>
      </c>
      <c r="I1415">
        <f>IF($A1415="","",IF($E1415=1,$H1415,$I1414&amp;", "&amp;$H1415))</f>
        <v/>
      </c>
      <c r="J1415">
        <f>IF($A1415="","",IF($E1415=1,$B1415,""))</f>
        <v/>
      </c>
      <c r="K1415">
        <f>IF($A1415="","",IF(COUNTIF($B$2:$B1415,$B1415)=COUNTIF($B$2:$B$1601,$B1415),$B1415,""))</f>
        <v/>
      </c>
    </row>
    <row r="1416">
      <c r="A1416">
        <f>IF('TMP Paste'!$E1416="","",'TMP Paste'!$E1416)</f>
        <v/>
      </c>
      <c r="B1416">
        <f>IF($A1416="","",COUNTIF('TMP Paste'!$B$2:$B1416,"?*"))</f>
        <v/>
      </c>
      <c r="C1416">
        <f>IF($A1416="","",IFERROR('TMP Paste'!$M1416*1,0))</f>
        <v/>
      </c>
      <c r="D1416">
        <f>IF($A1416="","",SUMIF($B$2:$B1416,$B1416,$C$2:$C1416))</f>
        <v/>
      </c>
      <c r="E1416">
        <f>IF($A1416="",0,IF('TMP Paste'!$B1416="",0,1))</f>
        <v/>
      </c>
      <c r="F1416">
        <f>IF(OR($A1416="",$C1416&lt;1),"",$A1416&amp;"-"&amp;TEXT(($D1416-$C1416+1),"00")&amp;IF($C1416&gt;=2,", "&amp;$A1416&amp;"-"&amp;TEXT(($D1416-$C1416+1)+1,"00"),"")&amp;IF($C1416&gt;=3,", "&amp;$A1416&amp;"-"&amp;TEXT(($D1416-$C1416+1)+2,"00"),"")&amp;IF($C1416&gt;=4,", "&amp;$A1416&amp;"-"&amp;TEXT(($D1416-$C1416+1)+3,"00"),"")&amp;IF($C1416&gt;=5,", "&amp;$A1416&amp;"-"&amp;TEXT(($D1416-$C1416+1)+4,"00"),"")&amp;IF($C1416&gt;=6,", "&amp;$A1416&amp;"-"&amp;TEXT(($D1416-$C1416+1)+5,"00"),"")&amp;IF($C1416&gt;=7,", "&amp;$A1416&amp;"-"&amp;TEXT(($D1416-$C1416+1)+6,"00"),"")&amp;IF($C1416&gt;=8,", "&amp;$A1416&amp;"-"&amp;TEXT(($D1416-$C1416+1)+7,"00"),"")&amp;IF($C1416&gt;=9,", "&amp;$A1416&amp;"-"&amp;TEXT(($D1416-$C1416+1)+8,"00"),"")&amp;IF($C1416&gt;=10,", "&amp;$A1416&amp;"-"&amp;TEXT(($D1416-$C1416+1)+9,"00"),"")&amp;IF($C1416&gt;=11,", "&amp;$A1416&amp;"-"&amp;TEXT(($D1416-$C1416+1)+10,"00"),"")&amp;IF($C1416&gt;=12,", "&amp;$A1416&amp;"-"&amp;TEXT(($D1416-$C1416+1)+11,"00"),"")&amp;IF($C1416&gt;=13,", "&amp;$A1416&amp;"-"&amp;TEXT(($D1416-$C1416+1)+12,"00"),"")&amp;IF($C1416&gt;=14,", "&amp;$A1416&amp;"-"&amp;TEXT(($D1416-$C1416+1)+13,"00"),"")&amp;IF($C1416&gt;=15,", "&amp;$A1416&amp;"-"&amp;TEXT(($D1416-$C1416+1)+14,"00"),"")&amp;IF($C1416&gt;=16,", "&amp;$A1416&amp;"-"&amp;TEXT(($D1416-$C1416+1)+15,"00"),"")&amp;IF($C1416&gt;=17,", "&amp;$A1416&amp;"-"&amp;TEXT(($D1416-$C1416+1)+16,"00"),"")&amp;IF($C1416&gt;=18,", "&amp;$A1416&amp;"-"&amp;TEXT(($D1416-$C1416+1)+17,"00"),"")&amp;IF($C1416&gt;=19,", "&amp;$A1416&amp;"-"&amp;TEXT(($D1416-$C1416+1)+18,"00"),"")&amp;IF($C1416&gt;=20,", "&amp;$A1416&amp;"-"&amp;TEXT(($D1416-$C1416+1)+19,"00"),"")&amp;IF($C1416&gt;=21,", "&amp;$A1416&amp;"-"&amp;TEXT(($D1416-$C1416+1)+20,"00"),"")&amp;IF($C1416&gt;=22,", "&amp;$A1416&amp;"-"&amp;TEXT(($D1416-$C1416+1)+21,"00"),"")&amp;IF($C1416&gt;=23,", "&amp;$A1416&amp;"-"&amp;TEXT(($D1416-$C1416+1)+22,"00"),"")&amp;IF($C1416&gt;=24,", "&amp;$A1416&amp;"-"&amp;TEXT(($D1416-$C1416+1)+23,"00"),"")&amp;IF($C1416&gt;=25,", "&amp;$A1416&amp;"-"&amp;TEXT(($D1416-$C1416+1)+24,"00"),""))</f>
        <v/>
      </c>
      <c r="G1416">
        <f>IF($A1416="","",IF($E1416=1,$F1416,IF($F1416="",$G1415,IF($G1415="",$F1416,$G1415&amp;", "&amp;$F1416))))</f>
        <v/>
      </c>
      <c r="H1416">
        <f>IF($A1416="","",$A1416&amp;" ("&amp;$C1416&amp;")")</f>
        <v/>
      </c>
      <c r="I1416">
        <f>IF($A1416="","",IF($E1416=1,$H1416,$I1415&amp;", "&amp;$H1416))</f>
        <v/>
      </c>
      <c r="J1416">
        <f>IF($A1416="","",IF($E1416=1,$B1416,""))</f>
        <v/>
      </c>
      <c r="K1416">
        <f>IF($A1416="","",IF(COUNTIF($B$2:$B1416,$B1416)=COUNTIF($B$2:$B$1601,$B1416),$B1416,""))</f>
        <v/>
      </c>
    </row>
    <row r="1417">
      <c r="A1417">
        <f>IF('TMP Paste'!$E1417="","",'TMP Paste'!$E1417)</f>
        <v/>
      </c>
      <c r="B1417">
        <f>IF($A1417="","",COUNTIF('TMP Paste'!$B$2:$B1417,"?*"))</f>
        <v/>
      </c>
      <c r="C1417">
        <f>IF($A1417="","",IFERROR('TMP Paste'!$M1417*1,0))</f>
        <v/>
      </c>
      <c r="D1417">
        <f>IF($A1417="","",SUMIF($B$2:$B1417,$B1417,$C$2:$C1417))</f>
        <v/>
      </c>
      <c r="E1417">
        <f>IF($A1417="",0,IF('TMP Paste'!$B1417="",0,1))</f>
        <v/>
      </c>
      <c r="F1417">
        <f>IF(OR($A1417="",$C1417&lt;1),"",$A1417&amp;"-"&amp;TEXT(($D1417-$C1417+1),"00")&amp;IF($C1417&gt;=2,", "&amp;$A1417&amp;"-"&amp;TEXT(($D1417-$C1417+1)+1,"00"),"")&amp;IF($C1417&gt;=3,", "&amp;$A1417&amp;"-"&amp;TEXT(($D1417-$C1417+1)+2,"00"),"")&amp;IF($C1417&gt;=4,", "&amp;$A1417&amp;"-"&amp;TEXT(($D1417-$C1417+1)+3,"00"),"")&amp;IF($C1417&gt;=5,", "&amp;$A1417&amp;"-"&amp;TEXT(($D1417-$C1417+1)+4,"00"),"")&amp;IF($C1417&gt;=6,", "&amp;$A1417&amp;"-"&amp;TEXT(($D1417-$C1417+1)+5,"00"),"")&amp;IF($C1417&gt;=7,", "&amp;$A1417&amp;"-"&amp;TEXT(($D1417-$C1417+1)+6,"00"),"")&amp;IF($C1417&gt;=8,", "&amp;$A1417&amp;"-"&amp;TEXT(($D1417-$C1417+1)+7,"00"),"")&amp;IF($C1417&gt;=9,", "&amp;$A1417&amp;"-"&amp;TEXT(($D1417-$C1417+1)+8,"00"),"")&amp;IF($C1417&gt;=10,", "&amp;$A1417&amp;"-"&amp;TEXT(($D1417-$C1417+1)+9,"00"),"")&amp;IF($C1417&gt;=11,", "&amp;$A1417&amp;"-"&amp;TEXT(($D1417-$C1417+1)+10,"00"),"")&amp;IF($C1417&gt;=12,", "&amp;$A1417&amp;"-"&amp;TEXT(($D1417-$C1417+1)+11,"00"),"")&amp;IF($C1417&gt;=13,", "&amp;$A1417&amp;"-"&amp;TEXT(($D1417-$C1417+1)+12,"00"),"")&amp;IF($C1417&gt;=14,", "&amp;$A1417&amp;"-"&amp;TEXT(($D1417-$C1417+1)+13,"00"),"")&amp;IF($C1417&gt;=15,", "&amp;$A1417&amp;"-"&amp;TEXT(($D1417-$C1417+1)+14,"00"),"")&amp;IF($C1417&gt;=16,", "&amp;$A1417&amp;"-"&amp;TEXT(($D1417-$C1417+1)+15,"00"),"")&amp;IF($C1417&gt;=17,", "&amp;$A1417&amp;"-"&amp;TEXT(($D1417-$C1417+1)+16,"00"),"")&amp;IF($C1417&gt;=18,", "&amp;$A1417&amp;"-"&amp;TEXT(($D1417-$C1417+1)+17,"00"),"")&amp;IF($C1417&gt;=19,", "&amp;$A1417&amp;"-"&amp;TEXT(($D1417-$C1417+1)+18,"00"),"")&amp;IF($C1417&gt;=20,", "&amp;$A1417&amp;"-"&amp;TEXT(($D1417-$C1417+1)+19,"00"),"")&amp;IF($C1417&gt;=21,", "&amp;$A1417&amp;"-"&amp;TEXT(($D1417-$C1417+1)+20,"00"),"")&amp;IF($C1417&gt;=22,", "&amp;$A1417&amp;"-"&amp;TEXT(($D1417-$C1417+1)+21,"00"),"")&amp;IF($C1417&gt;=23,", "&amp;$A1417&amp;"-"&amp;TEXT(($D1417-$C1417+1)+22,"00"),"")&amp;IF($C1417&gt;=24,", "&amp;$A1417&amp;"-"&amp;TEXT(($D1417-$C1417+1)+23,"00"),"")&amp;IF($C1417&gt;=25,", "&amp;$A1417&amp;"-"&amp;TEXT(($D1417-$C1417+1)+24,"00"),""))</f>
        <v/>
      </c>
      <c r="G1417">
        <f>IF($A1417="","",IF($E1417=1,$F1417,IF($F1417="",$G1416,IF($G1416="",$F1417,$G1416&amp;", "&amp;$F1417))))</f>
        <v/>
      </c>
      <c r="H1417">
        <f>IF($A1417="","",$A1417&amp;" ("&amp;$C1417&amp;")")</f>
        <v/>
      </c>
      <c r="I1417">
        <f>IF($A1417="","",IF($E1417=1,$H1417,$I1416&amp;", "&amp;$H1417))</f>
        <v/>
      </c>
      <c r="J1417">
        <f>IF($A1417="","",IF($E1417=1,$B1417,""))</f>
        <v/>
      </c>
      <c r="K1417">
        <f>IF($A1417="","",IF(COUNTIF($B$2:$B1417,$B1417)=COUNTIF($B$2:$B$1601,$B1417),$B1417,""))</f>
        <v/>
      </c>
    </row>
    <row r="1418">
      <c r="A1418">
        <f>IF('TMP Paste'!$E1418="","",'TMP Paste'!$E1418)</f>
        <v/>
      </c>
      <c r="B1418">
        <f>IF($A1418="","",COUNTIF('TMP Paste'!$B$2:$B1418,"?*"))</f>
        <v/>
      </c>
      <c r="C1418">
        <f>IF($A1418="","",IFERROR('TMP Paste'!$M1418*1,0))</f>
        <v/>
      </c>
      <c r="D1418">
        <f>IF($A1418="","",SUMIF($B$2:$B1418,$B1418,$C$2:$C1418))</f>
        <v/>
      </c>
      <c r="E1418">
        <f>IF($A1418="",0,IF('TMP Paste'!$B1418="",0,1))</f>
        <v/>
      </c>
      <c r="F1418">
        <f>IF(OR($A1418="",$C1418&lt;1),"",$A1418&amp;"-"&amp;TEXT(($D1418-$C1418+1),"00")&amp;IF($C1418&gt;=2,", "&amp;$A1418&amp;"-"&amp;TEXT(($D1418-$C1418+1)+1,"00"),"")&amp;IF($C1418&gt;=3,", "&amp;$A1418&amp;"-"&amp;TEXT(($D1418-$C1418+1)+2,"00"),"")&amp;IF($C1418&gt;=4,", "&amp;$A1418&amp;"-"&amp;TEXT(($D1418-$C1418+1)+3,"00"),"")&amp;IF($C1418&gt;=5,", "&amp;$A1418&amp;"-"&amp;TEXT(($D1418-$C1418+1)+4,"00"),"")&amp;IF($C1418&gt;=6,", "&amp;$A1418&amp;"-"&amp;TEXT(($D1418-$C1418+1)+5,"00"),"")&amp;IF($C1418&gt;=7,", "&amp;$A1418&amp;"-"&amp;TEXT(($D1418-$C1418+1)+6,"00"),"")&amp;IF($C1418&gt;=8,", "&amp;$A1418&amp;"-"&amp;TEXT(($D1418-$C1418+1)+7,"00"),"")&amp;IF($C1418&gt;=9,", "&amp;$A1418&amp;"-"&amp;TEXT(($D1418-$C1418+1)+8,"00"),"")&amp;IF($C1418&gt;=10,", "&amp;$A1418&amp;"-"&amp;TEXT(($D1418-$C1418+1)+9,"00"),"")&amp;IF($C1418&gt;=11,", "&amp;$A1418&amp;"-"&amp;TEXT(($D1418-$C1418+1)+10,"00"),"")&amp;IF($C1418&gt;=12,", "&amp;$A1418&amp;"-"&amp;TEXT(($D1418-$C1418+1)+11,"00"),"")&amp;IF($C1418&gt;=13,", "&amp;$A1418&amp;"-"&amp;TEXT(($D1418-$C1418+1)+12,"00"),"")&amp;IF($C1418&gt;=14,", "&amp;$A1418&amp;"-"&amp;TEXT(($D1418-$C1418+1)+13,"00"),"")&amp;IF($C1418&gt;=15,", "&amp;$A1418&amp;"-"&amp;TEXT(($D1418-$C1418+1)+14,"00"),"")&amp;IF($C1418&gt;=16,", "&amp;$A1418&amp;"-"&amp;TEXT(($D1418-$C1418+1)+15,"00"),"")&amp;IF($C1418&gt;=17,", "&amp;$A1418&amp;"-"&amp;TEXT(($D1418-$C1418+1)+16,"00"),"")&amp;IF($C1418&gt;=18,", "&amp;$A1418&amp;"-"&amp;TEXT(($D1418-$C1418+1)+17,"00"),"")&amp;IF($C1418&gt;=19,", "&amp;$A1418&amp;"-"&amp;TEXT(($D1418-$C1418+1)+18,"00"),"")&amp;IF($C1418&gt;=20,", "&amp;$A1418&amp;"-"&amp;TEXT(($D1418-$C1418+1)+19,"00"),"")&amp;IF($C1418&gt;=21,", "&amp;$A1418&amp;"-"&amp;TEXT(($D1418-$C1418+1)+20,"00"),"")&amp;IF($C1418&gt;=22,", "&amp;$A1418&amp;"-"&amp;TEXT(($D1418-$C1418+1)+21,"00"),"")&amp;IF($C1418&gt;=23,", "&amp;$A1418&amp;"-"&amp;TEXT(($D1418-$C1418+1)+22,"00"),"")&amp;IF($C1418&gt;=24,", "&amp;$A1418&amp;"-"&amp;TEXT(($D1418-$C1418+1)+23,"00"),"")&amp;IF($C1418&gt;=25,", "&amp;$A1418&amp;"-"&amp;TEXT(($D1418-$C1418+1)+24,"00"),""))</f>
        <v/>
      </c>
      <c r="G1418">
        <f>IF($A1418="","",IF($E1418=1,$F1418,IF($F1418="",$G1417,IF($G1417="",$F1418,$G1417&amp;", "&amp;$F1418))))</f>
        <v/>
      </c>
      <c r="H1418">
        <f>IF($A1418="","",$A1418&amp;" ("&amp;$C1418&amp;")")</f>
        <v/>
      </c>
      <c r="I1418">
        <f>IF($A1418="","",IF($E1418=1,$H1418,$I1417&amp;", "&amp;$H1418))</f>
        <v/>
      </c>
      <c r="J1418">
        <f>IF($A1418="","",IF($E1418=1,$B1418,""))</f>
        <v/>
      </c>
      <c r="K1418">
        <f>IF($A1418="","",IF(COUNTIF($B$2:$B1418,$B1418)=COUNTIF($B$2:$B$1601,$B1418),$B1418,""))</f>
        <v/>
      </c>
    </row>
    <row r="1419">
      <c r="A1419">
        <f>IF('TMP Paste'!$E1419="","",'TMP Paste'!$E1419)</f>
        <v/>
      </c>
      <c r="B1419">
        <f>IF($A1419="","",COUNTIF('TMP Paste'!$B$2:$B1419,"?*"))</f>
        <v/>
      </c>
      <c r="C1419">
        <f>IF($A1419="","",IFERROR('TMP Paste'!$M1419*1,0))</f>
        <v/>
      </c>
      <c r="D1419">
        <f>IF($A1419="","",SUMIF($B$2:$B1419,$B1419,$C$2:$C1419))</f>
        <v/>
      </c>
      <c r="E1419">
        <f>IF($A1419="",0,IF('TMP Paste'!$B1419="",0,1))</f>
        <v/>
      </c>
      <c r="F1419">
        <f>IF(OR($A1419="",$C1419&lt;1),"",$A1419&amp;"-"&amp;TEXT(($D1419-$C1419+1),"00")&amp;IF($C1419&gt;=2,", "&amp;$A1419&amp;"-"&amp;TEXT(($D1419-$C1419+1)+1,"00"),"")&amp;IF($C1419&gt;=3,", "&amp;$A1419&amp;"-"&amp;TEXT(($D1419-$C1419+1)+2,"00"),"")&amp;IF($C1419&gt;=4,", "&amp;$A1419&amp;"-"&amp;TEXT(($D1419-$C1419+1)+3,"00"),"")&amp;IF($C1419&gt;=5,", "&amp;$A1419&amp;"-"&amp;TEXT(($D1419-$C1419+1)+4,"00"),"")&amp;IF($C1419&gt;=6,", "&amp;$A1419&amp;"-"&amp;TEXT(($D1419-$C1419+1)+5,"00"),"")&amp;IF($C1419&gt;=7,", "&amp;$A1419&amp;"-"&amp;TEXT(($D1419-$C1419+1)+6,"00"),"")&amp;IF($C1419&gt;=8,", "&amp;$A1419&amp;"-"&amp;TEXT(($D1419-$C1419+1)+7,"00"),"")&amp;IF($C1419&gt;=9,", "&amp;$A1419&amp;"-"&amp;TEXT(($D1419-$C1419+1)+8,"00"),"")&amp;IF($C1419&gt;=10,", "&amp;$A1419&amp;"-"&amp;TEXT(($D1419-$C1419+1)+9,"00"),"")&amp;IF($C1419&gt;=11,", "&amp;$A1419&amp;"-"&amp;TEXT(($D1419-$C1419+1)+10,"00"),"")&amp;IF($C1419&gt;=12,", "&amp;$A1419&amp;"-"&amp;TEXT(($D1419-$C1419+1)+11,"00"),"")&amp;IF($C1419&gt;=13,", "&amp;$A1419&amp;"-"&amp;TEXT(($D1419-$C1419+1)+12,"00"),"")&amp;IF($C1419&gt;=14,", "&amp;$A1419&amp;"-"&amp;TEXT(($D1419-$C1419+1)+13,"00"),"")&amp;IF($C1419&gt;=15,", "&amp;$A1419&amp;"-"&amp;TEXT(($D1419-$C1419+1)+14,"00"),"")&amp;IF($C1419&gt;=16,", "&amp;$A1419&amp;"-"&amp;TEXT(($D1419-$C1419+1)+15,"00"),"")&amp;IF($C1419&gt;=17,", "&amp;$A1419&amp;"-"&amp;TEXT(($D1419-$C1419+1)+16,"00"),"")&amp;IF($C1419&gt;=18,", "&amp;$A1419&amp;"-"&amp;TEXT(($D1419-$C1419+1)+17,"00"),"")&amp;IF($C1419&gt;=19,", "&amp;$A1419&amp;"-"&amp;TEXT(($D1419-$C1419+1)+18,"00"),"")&amp;IF($C1419&gt;=20,", "&amp;$A1419&amp;"-"&amp;TEXT(($D1419-$C1419+1)+19,"00"),"")&amp;IF($C1419&gt;=21,", "&amp;$A1419&amp;"-"&amp;TEXT(($D1419-$C1419+1)+20,"00"),"")&amp;IF($C1419&gt;=22,", "&amp;$A1419&amp;"-"&amp;TEXT(($D1419-$C1419+1)+21,"00"),"")&amp;IF($C1419&gt;=23,", "&amp;$A1419&amp;"-"&amp;TEXT(($D1419-$C1419+1)+22,"00"),"")&amp;IF($C1419&gt;=24,", "&amp;$A1419&amp;"-"&amp;TEXT(($D1419-$C1419+1)+23,"00"),"")&amp;IF($C1419&gt;=25,", "&amp;$A1419&amp;"-"&amp;TEXT(($D1419-$C1419+1)+24,"00"),""))</f>
        <v/>
      </c>
      <c r="G1419">
        <f>IF($A1419="","",IF($E1419=1,$F1419,IF($F1419="",$G1418,IF($G1418="",$F1419,$G1418&amp;", "&amp;$F1419))))</f>
        <v/>
      </c>
      <c r="H1419">
        <f>IF($A1419="","",$A1419&amp;" ("&amp;$C1419&amp;")")</f>
        <v/>
      </c>
      <c r="I1419">
        <f>IF($A1419="","",IF($E1419=1,$H1419,$I1418&amp;", "&amp;$H1419))</f>
        <v/>
      </c>
      <c r="J1419">
        <f>IF($A1419="","",IF($E1419=1,$B1419,""))</f>
        <v/>
      </c>
      <c r="K1419">
        <f>IF($A1419="","",IF(COUNTIF($B$2:$B1419,$B1419)=COUNTIF($B$2:$B$1601,$B1419),$B1419,""))</f>
        <v/>
      </c>
    </row>
    <row r="1420">
      <c r="A1420">
        <f>IF('TMP Paste'!$E1420="","",'TMP Paste'!$E1420)</f>
        <v/>
      </c>
      <c r="B1420">
        <f>IF($A1420="","",COUNTIF('TMP Paste'!$B$2:$B1420,"?*"))</f>
        <v/>
      </c>
      <c r="C1420">
        <f>IF($A1420="","",IFERROR('TMP Paste'!$M1420*1,0))</f>
        <v/>
      </c>
      <c r="D1420">
        <f>IF($A1420="","",SUMIF($B$2:$B1420,$B1420,$C$2:$C1420))</f>
        <v/>
      </c>
      <c r="E1420">
        <f>IF($A1420="",0,IF('TMP Paste'!$B1420="",0,1))</f>
        <v/>
      </c>
      <c r="F1420">
        <f>IF(OR($A1420="",$C1420&lt;1),"",$A1420&amp;"-"&amp;TEXT(($D1420-$C1420+1),"00")&amp;IF($C1420&gt;=2,", "&amp;$A1420&amp;"-"&amp;TEXT(($D1420-$C1420+1)+1,"00"),"")&amp;IF($C1420&gt;=3,", "&amp;$A1420&amp;"-"&amp;TEXT(($D1420-$C1420+1)+2,"00"),"")&amp;IF($C1420&gt;=4,", "&amp;$A1420&amp;"-"&amp;TEXT(($D1420-$C1420+1)+3,"00"),"")&amp;IF($C1420&gt;=5,", "&amp;$A1420&amp;"-"&amp;TEXT(($D1420-$C1420+1)+4,"00"),"")&amp;IF($C1420&gt;=6,", "&amp;$A1420&amp;"-"&amp;TEXT(($D1420-$C1420+1)+5,"00"),"")&amp;IF($C1420&gt;=7,", "&amp;$A1420&amp;"-"&amp;TEXT(($D1420-$C1420+1)+6,"00"),"")&amp;IF($C1420&gt;=8,", "&amp;$A1420&amp;"-"&amp;TEXT(($D1420-$C1420+1)+7,"00"),"")&amp;IF($C1420&gt;=9,", "&amp;$A1420&amp;"-"&amp;TEXT(($D1420-$C1420+1)+8,"00"),"")&amp;IF($C1420&gt;=10,", "&amp;$A1420&amp;"-"&amp;TEXT(($D1420-$C1420+1)+9,"00"),"")&amp;IF($C1420&gt;=11,", "&amp;$A1420&amp;"-"&amp;TEXT(($D1420-$C1420+1)+10,"00"),"")&amp;IF($C1420&gt;=12,", "&amp;$A1420&amp;"-"&amp;TEXT(($D1420-$C1420+1)+11,"00"),"")&amp;IF($C1420&gt;=13,", "&amp;$A1420&amp;"-"&amp;TEXT(($D1420-$C1420+1)+12,"00"),"")&amp;IF($C1420&gt;=14,", "&amp;$A1420&amp;"-"&amp;TEXT(($D1420-$C1420+1)+13,"00"),"")&amp;IF($C1420&gt;=15,", "&amp;$A1420&amp;"-"&amp;TEXT(($D1420-$C1420+1)+14,"00"),"")&amp;IF($C1420&gt;=16,", "&amp;$A1420&amp;"-"&amp;TEXT(($D1420-$C1420+1)+15,"00"),"")&amp;IF($C1420&gt;=17,", "&amp;$A1420&amp;"-"&amp;TEXT(($D1420-$C1420+1)+16,"00"),"")&amp;IF($C1420&gt;=18,", "&amp;$A1420&amp;"-"&amp;TEXT(($D1420-$C1420+1)+17,"00"),"")&amp;IF($C1420&gt;=19,", "&amp;$A1420&amp;"-"&amp;TEXT(($D1420-$C1420+1)+18,"00"),"")&amp;IF($C1420&gt;=20,", "&amp;$A1420&amp;"-"&amp;TEXT(($D1420-$C1420+1)+19,"00"),"")&amp;IF($C1420&gt;=21,", "&amp;$A1420&amp;"-"&amp;TEXT(($D1420-$C1420+1)+20,"00"),"")&amp;IF($C1420&gt;=22,", "&amp;$A1420&amp;"-"&amp;TEXT(($D1420-$C1420+1)+21,"00"),"")&amp;IF($C1420&gt;=23,", "&amp;$A1420&amp;"-"&amp;TEXT(($D1420-$C1420+1)+22,"00"),"")&amp;IF($C1420&gt;=24,", "&amp;$A1420&amp;"-"&amp;TEXT(($D1420-$C1420+1)+23,"00"),"")&amp;IF($C1420&gt;=25,", "&amp;$A1420&amp;"-"&amp;TEXT(($D1420-$C1420+1)+24,"00"),""))</f>
        <v/>
      </c>
      <c r="G1420">
        <f>IF($A1420="","",IF($E1420=1,$F1420,IF($F1420="",$G1419,IF($G1419="",$F1420,$G1419&amp;", "&amp;$F1420))))</f>
        <v/>
      </c>
      <c r="H1420">
        <f>IF($A1420="","",$A1420&amp;" ("&amp;$C1420&amp;")")</f>
        <v/>
      </c>
      <c r="I1420">
        <f>IF($A1420="","",IF($E1420=1,$H1420,$I1419&amp;", "&amp;$H1420))</f>
        <v/>
      </c>
      <c r="J1420">
        <f>IF($A1420="","",IF($E1420=1,$B1420,""))</f>
        <v/>
      </c>
      <c r="K1420">
        <f>IF($A1420="","",IF(COUNTIF($B$2:$B1420,$B1420)=COUNTIF($B$2:$B$1601,$B1420),$B1420,""))</f>
        <v/>
      </c>
    </row>
    <row r="1421">
      <c r="A1421">
        <f>IF('TMP Paste'!$E1421="","",'TMP Paste'!$E1421)</f>
        <v/>
      </c>
      <c r="B1421">
        <f>IF($A1421="","",COUNTIF('TMP Paste'!$B$2:$B1421,"?*"))</f>
        <v/>
      </c>
      <c r="C1421">
        <f>IF($A1421="","",IFERROR('TMP Paste'!$M1421*1,0))</f>
        <v/>
      </c>
      <c r="D1421">
        <f>IF($A1421="","",SUMIF($B$2:$B1421,$B1421,$C$2:$C1421))</f>
        <v/>
      </c>
      <c r="E1421">
        <f>IF($A1421="",0,IF('TMP Paste'!$B1421="",0,1))</f>
        <v/>
      </c>
      <c r="F1421">
        <f>IF(OR($A1421="",$C1421&lt;1),"",$A1421&amp;"-"&amp;TEXT(($D1421-$C1421+1),"00")&amp;IF($C1421&gt;=2,", "&amp;$A1421&amp;"-"&amp;TEXT(($D1421-$C1421+1)+1,"00"),"")&amp;IF($C1421&gt;=3,", "&amp;$A1421&amp;"-"&amp;TEXT(($D1421-$C1421+1)+2,"00"),"")&amp;IF($C1421&gt;=4,", "&amp;$A1421&amp;"-"&amp;TEXT(($D1421-$C1421+1)+3,"00"),"")&amp;IF($C1421&gt;=5,", "&amp;$A1421&amp;"-"&amp;TEXT(($D1421-$C1421+1)+4,"00"),"")&amp;IF($C1421&gt;=6,", "&amp;$A1421&amp;"-"&amp;TEXT(($D1421-$C1421+1)+5,"00"),"")&amp;IF($C1421&gt;=7,", "&amp;$A1421&amp;"-"&amp;TEXT(($D1421-$C1421+1)+6,"00"),"")&amp;IF($C1421&gt;=8,", "&amp;$A1421&amp;"-"&amp;TEXT(($D1421-$C1421+1)+7,"00"),"")&amp;IF($C1421&gt;=9,", "&amp;$A1421&amp;"-"&amp;TEXT(($D1421-$C1421+1)+8,"00"),"")&amp;IF($C1421&gt;=10,", "&amp;$A1421&amp;"-"&amp;TEXT(($D1421-$C1421+1)+9,"00"),"")&amp;IF($C1421&gt;=11,", "&amp;$A1421&amp;"-"&amp;TEXT(($D1421-$C1421+1)+10,"00"),"")&amp;IF($C1421&gt;=12,", "&amp;$A1421&amp;"-"&amp;TEXT(($D1421-$C1421+1)+11,"00"),"")&amp;IF($C1421&gt;=13,", "&amp;$A1421&amp;"-"&amp;TEXT(($D1421-$C1421+1)+12,"00"),"")&amp;IF($C1421&gt;=14,", "&amp;$A1421&amp;"-"&amp;TEXT(($D1421-$C1421+1)+13,"00"),"")&amp;IF($C1421&gt;=15,", "&amp;$A1421&amp;"-"&amp;TEXT(($D1421-$C1421+1)+14,"00"),"")&amp;IF($C1421&gt;=16,", "&amp;$A1421&amp;"-"&amp;TEXT(($D1421-$C1421+1)+15,"00"),"")&amp;IF($C1421&gt;=17,", "&amp;$A1421&amp;"-"&amp;TEXT(($D1421-$C1421+1)+16,"00"),"")&amp;IF($C1421&gt;=18,", "&amp;$A1421&amp;"-"&amp;TEXT(($D1421-$C1421+1)+17,"00"),"")&amp;IF($C1421&gt;=19,", "&amp;$A1421&amp;"-"&amp;TEXT(($D1421-$C1421+1)+18,"00"),"")&amp;IF($C1421&gt;=20,", "&amp;$A1421&amp;"-"&amp;TEXT(($D1421-$C1421+1)+19,"00"),"")&amp;IF($C1421&gt;=21,", "&amp;$A1421&amp;"-"&amp;TEXT(($D1421-$C1421+1)+20,"00"),"")&amp;IF($C1421&gt;=22,", "&amp;$A1421&amp;"-"&amp;TEXT(($D1421-$C1421+1)+21,"00"),"")&amp;IF($C1421&gt;=23,", "&amp;$A1421&amp;"-"&amp;TEXT(($D1421-$C1421+1)+22,"00"),"")&amp;IF($C1421&gt;=24,", "&amp;$A1421&amp;"-"&amp;TEXT(($D1421-$C1421+1)+23,"00"),"")&amp;IF($C1421&gt;=25,", "&amp;$A1421&amp;"-"&amp;TEXT(($D1421-$C1421+1)+24,"00"),""))</f>
        <v/>
      </c>
      <c r="G1421">
        <f>IF($A1421="","",IF($E1421=1,$F1421,IF($F1421="",$G1420,IF($G1420="",$F1421,$G1420&amp;", "&amp;$F1421))))</f>
        <v/>
      </c>
      <c r="H1421">
        <f>IF($A1421="","",$A1421&amp;" ("&amp;$C1421&amp;")")</f>
        <v/>
      </c>
      <c r="I1421">
        <f>IF($A1421="","",IF($E1421=1,$H1421,$I1420&amp;", "&amp;$H1421))</f>
        <v/>
      </c>
      <c r="J1421">
        <f>IF($A1421="","",IF($E1421=1,$B1421,""))</f>
        <v/>
      </c>
      <c r="K1421">
        <f>IF($A1421="","",IF(COUNTIF($B$2:$B1421,$B1421)=COUNTIF($B$2:$B$1601,$B1421),$B1421,""))</f>
        <v/>
      </c>
    </row>
    <row r="1422">
      <c r="A1422">
        <f>IF('TMP Paste'!$E1422="","",'TMP Paste'!$E1422)</f>
        <v/>
      </c>
      <c r="B1422">
        <f>IF($A1422="","",COUNTIF('TMP Paste'!$B$2:$B1422,"?*"))</f>
        <v/>
      </c>
      <c r="C1422">
        <f>IF($A1422="","",IFERROR('TMP Paste'!$M1422*1,0))</f>
        <v/>
      </c>
      <c r="D1422">
        <f>IF($A1422="","",SUMIF($B$2:$B1422,$B1422,$C$2:$C1422))</f>
        <v/>
      </c>
      <c r="E1422">
        <f>IF($A1422="",0,IF('TMP Paste'!$B1422="",0,1))</f>
        <v/>
      </c>
      <c r="F1422">
        <f>IF(OR($A1422="",$C1422&lt;1),"",$A1422&amp;"-"&amp;TEXT(($D1422-$C1422+1),"00")&amp;IF($C1422&gt;=2,", "&amp;$A1422&amp;"-"&amp;TEXT(($D1422-$C1422+1)+1,"00"),"")&amp;IF($C1422&gt;=3,", "&amp;$A1422&amp;"-"&amp;TEXT(($D1422-$C1422+1)+2,"00"),"")&amp;IF($C1422&gt;=4,", "&amp;$A1422&amp;"-"&amp;TEXT(($D1422-$C1422+1)+3,"00"),"")&amp;IF($C1422&gt;=5,", "&amp;$A1422&amp;"-"&amp;TEXT(($D1422-$C1422+1)+4,"00"),"")&amp;IF($C1422&gt;=6,", "&amp;$A1422&amp;"-"&amp;TEXT(($D1422-$C1422+1)+5,"00"),"")&amp;IF($C1422&gt;=7,", "&amp;$A1422&amp;"-"&amp;TEXT(($D1422-$C1422+1)+6,"00"),"")&amp;IF($C1422&gt;=8,", "&amp;$A1422&amp;"-"&amp;TEXT(($D1422-$C1422+1)+7,"00"),"")&amp;IF($C1422&gt;=9,", "&amp;$A1422&amp;"-"&amp;TEXT(($D1422-$C1422+1)+8,"00"),"")&amp;IF($C1422&gt;=10,", "&amp;$A1422&amp;"-"&amp;TEXT(($D1422-$C1422+1)+9,"00"),"")&amp;IF($C1422&gt;=11,", "&amp;$A1422&amp;"-"&amp;TEXT(($D1422-$C1422+1)+10,"00"),"")&amp;IF($C1422&gt;=12,", "&amp;$A1422&amp;"-"&amp;TEXT(($D1422-$C1422+1)+11,"00"),"")&amp;IF($C1422&gt;=13,", "&amp;$A1422&amp;"-"&amp;TEXT(($D1422-$C1422+1)+12,"00"),"")&amp;IF($C1422&gt;=14,", "&amp;$A1422&amp;"-"&amp;TEXT(($D1422-$C1422+1)+13,"00"),"")&amp;IF($C1422&gt;=15,", "&amp;$A1422&amp;"-"&amp;TEXT(($D1422-$C1422+1)+14,"00"),"")&amp;IF($C1422&gt;=16,", "&amp;$A1422&amp;"-"&amp;TEXT(($D1422-$C1422+1)+15,"00"),"")&amp;IF($C1422&gt;=17,", "&amp;$A1422&amp;"-"&amp;TEXT(($D1422-$C1422+1)+16,"00"),"")&amp;IF($C1422&gt;=18,", "&amp;$A1422&amp;"-"&amp;TEXT(($D1422-$C1422+1)+17,"00"),"")&amp;IF($C1422&gt;=19,", "&amp;$A1422&amp;"-"&amp;TEXT(($D1422-$C1422+1)+18,"00"),"")&amp;IF($C1422&gt;=20,", "&amp;$A1422&amp;"-"&amp;TEXT(($D1422-$C1422+1)+19,"00"),"")&amp;IF($C1422&gt;=21,", "&amp;$A1422&amp;"-"&amp;TEXT(($D1422-$C1422+1)+20,"00"),"")&amp;IF($C1422&gt;=22,", "&amp;$A1422&amp;"-"&amp;TEXT(($D1422-$C1422+1)+21,"00"),"")&amp;IF($C1422&gt;=23,", "&amp;$A1422&amp;"-"&amp;TEXT(($D1422-$C1422+1)+22,"00"),"")&amp;IF($C1422&gt;=24,", "&amp;$A1422&amp;"-"&amp;TEXT(($D1422-$C1422+1)+23,"00"),"")&amp;IF($C1422&gt;=25,", "&amp;$A1422&amp;"-"&amp;TEXT(($D1422-$C1422+1)+24,"00"),""))</f>
        <v/>
      </c>
      <c r="G1422">
        <f>IF($A1422="","",IF($E1422=1,$F1422,IF($F1422="",$G1421,IF($G1421="",$F1422,$G1421&amp;", "&amp;$F1422))))</f>
        <v/>
      </c>
      <c r="H1422">
        <f>IF($A1422="","",$A1422&amp;" ("&amp;$C1422&amp;")")</f>
        <v/>
      </c>
      <c r="I1422">
        <f>IF($A1422="","",IF($E1422=1,$H1422,$I1421&amp;", "&amp;$H1422))</f>
        <v/>
      </c>
      <c r="J1422">
        <f>IF($A1422="","",IF($E1422=1,$B1422,""))</f>
        <v/>
      </c>
      <c r="K1422">
        <f>IF($A1422="","",IF(COUNTIF($B$2:$B1422,$B1422)=COUNTIF($B$2:$B$1601,$B1422),$B1422,""))</f>
        <v/>
      </c>
    </row>
    <row r="1423">
      <c r="A1423">
        <f>IF('TMP Paste'!$E1423="","",'TMP Paste'!$E1423)</f>
        <v/>
      </c>
      <c r="B1423">
        <f>IF($A1423="","",COUNTIF('TMP Paste'!$B$2:$B1423,"?*"))</f>
        <v/>
      </c>
      <c r="C1423">
        <f>IF($A1423="","",IFERROR('TMP Paste'!$M1423*1,0))</f>
        <v/>
      </c>
      <c r="D1423">
        <f>IF($A1423="","",SUMIF($B$2:$B1423,$B1423,$C$2:$C1423))</f>
        <v/>
      </c>
      <c r="E1423">
        <f>IF($A1423="",0,IF('TMP Paste'!$B1423="",0,1))</f>
        <v/>
      </c>
      <c r="F1423">
        <f>IF(OR($A1423="",$C1423&lt;1),"",$A1423&amp;"-"&amp;TEXT(($D1423-$C1423+1),"00")&amp;IF($C1423&gt;=2,", "&amp;$A1423&amp;"-"&amp;TEXT(($D1423-$C1423+1)+1,"00"),"")&amp;IF($C1423&gt;=3,", "&amp;$A1423&amp;"-"&amp;TEXT(($D1423-$C1423+1)+2,"00"),"")&amp;IF($C1423&gt;=4,", "&amp;$A1423&amp;"-"&amp;TEXT(($D1423-$C1423+1)+3,"00"),"")&amp;IF($C1423&gt;=5,", "&amp;$A1423&amp;"-"&amp;TEXT(($D1423-$C1423+1)+4,"00"),"")&amp;IF($C1423&gt;=6,", "&amp;$A1423&amp;"-"&amp;TEXT(($D1423-$C1423+1)+5,"00"),"")&amp;IF($C1423&gt;=7,", "&amp;$A1423&amp;"-"&amp;TEXT(($D1423-$C1423+1)+6,"00"),"")&amp;IF($C1423&gt;=8,", "&amp;$A1423&amp;"-"&amp;TEXT(($D1423-$C1423+1)+7,"00"),"")&amp;IF($C1423&gt;=9,", "&amp;$A1423&amp;"-"&amp;TEXT(($D1423-$C1423+1)+8,"00"),"")&amp;IF($C1423&gt;=10,", "&amp;$A1423&amp;"-"&amp;TEXT(($D1423-$C1423+1)+9,"00"),"")&amp;IF($C1423&gt;=11,", "&amp;$A1423&amp;"-"&amp;TEXT(($D1423-$C1423+1)+10,"00"),"")&amp;IF($C1423&gt;=12,", "&amp;$A1423&amp;"-"&amp;TEXT(($D1423-$C1423+1)+11,"00"),"")&amp;IF($C1423&gt;=13,", "&amp;$A1423&amp;"-"&amp;TEXT(($D1423-$C1423+1)+12,"00"),"")&amp;IF($C1423&gt;=14,", "&amp;$A1423&amp;"-"&amp;TEXT(($D1423-$C1423+1)+13,"00"),"")&amp;IF($C1423&gt;=15,", "&amp;$A1423&amp;"-"&amp;TEXT(($D1423-$C1423+1)+14,"00"),"")&amp;IF($C1423&gt;=16,", "&amp;$A1423&amp;"-"&amp;TEXT(($D1423-$C1423+1)+15,"00"),"")&amp;IF($C1423&gt;=17,", "&amp;$A1423&amp;"-"&amp;TEXT(($D1423-$C1423+1)+16,"00"),"")&amp;IF($C1423&gt;=18,", "&amp;$A1423&amp;"-"&amp;TEXT(($D1423-$C1423+1)+17,"00"),"")&amp;IF($C1423&gt;=19,", "&amp;$A1423&amp;"-"&amp;TEXT(($D1423-$C1423+1)+18,"00"),"")&amp;IF($C1423&gt;=20,", "&amp;$A1423&amp;"-"&amp;TEXT(($D1423-$C1423+1)+19,"00"),"")&amp;IF($C1423&gt;=21,", "&amp;$A1423&amp;"-"&amp;TEXT(($D1423-$C1423+1)+20,"00"),"")&amp;IF($C1423&gt;=22,", "&amp;$A1423&amp;"-"&amp;TEXT(($D1423-$C1423+1)+21,"00"),"")&amp;IF($C1423&gt;=23,", "&amp;$A1423&amp;"-"&amp;TEXT(($D1423-$C1423+1)+22,"00"),"")&amp;IF($C1423&gt;=24,", "&amp;$A1423&amp;"-"&amp;TEXT(($D1423-$C1423+1)+23,"00"),"")&amp;IF($C1423&gt;=25,", "&amp;$A1423&amp;"-"&amp;TEXT(($D1423-$C1423+1)+24,"00"),""))</f>
        <v/>
      </c>
      <c r="G1423">
        <f>IF($A1423="","",IF($E1423=1,$F1423,IF($F1423="",$G1422,IF($G1422="",$F1423,$G1422&amp;", "&amp;$F1423))))</f>
        <v/>
      </c>
      <c r="H1423">
        <f>IF($A1423="","",$A1423&amp;" ("&amp;$C1423&amp;")")</f>
        <v/>
      </c>
      <c r="I1423">
        <f>IF($A1423="","",IF($E1423=1,$H1423,$I1422&amp;", "&amp;$H1423))</f>
        <v/>
      </c>
      <c r="J1423">
        <f>IF($A1423="","",IF($E1423=1,$B1423,""))</f>
        <v/>
      </c>
      <c r="K1423">
        <f>IF($A1423="","",IF(COUNTIF($B$2:$B1423,$B1423)=COUNTIF($B$2:$B$1601,$B1423),$B1423,""))</f>
        <v/>
      </c>
    </row>
    <row r="1424">
      <c r="A1424">
        <f>IF('TMP Paste'!$E1424="","",'TMP Paste'!$E1424)</f>
        <v/>
      </c>
      <c r="B1424">
        <f>IF($A1424="","",COUNTIF('TMP Paste'!$B$2:$B1424,"?*"))</f>
        <v/>
      </c>
      <c r="C1424">
        <f>IF($A1424="","",IFERROR('TMP Paste'!$M1424*1,0))</f>
        <v/>
      </c>
      <c r="D1424">
        <f>IF($A1424="","",SUMIF($B$2:$B1424,$B1424,$C$2:$C1424))</f>
        <v/>
      </c>
      <c r="E1424">
        <f>IF($A1424="",0,IF('TMP Paste'!$B1424="",0,1))</f>
        <v/>
      </c>
      <c r="F1424">
        <f>IF(OR($A1424="",$C1424&lt;1),"",$A1424&amp;"-"&amp;TEXT(($D1424-$C1424+1),"00")&amp;IF($C1424&gt;=2,", "&amp;$A1424&amp;"-"&amp;TEXT(($D1424-$C1424+1)+1,"00"),"")&amp;IF($C1424&gt;=3,", "&amp;$A1424&amp;"-"&amp;TEXT(($D1424-$C1424+1)+2,"00"),"")&amp;IF($C1424&gt;=4,", "&amp;$A1424&amp;"-"&amp;TEXT(($D1424-$C1424+1)+3,"00"),"")&amp;IF($C1424&gt;=5,", "&amp;$A1424&amp;"-"&amp;TEXT(($D1424-$C1424+1)+4,"00"),"")&amp;IF($C1424&gt;=6,", "&amp;$A1424&amp;"-"&amp;TEXT(($D1424-$C1424+1)+5,"00"),"")&amp;IF($C1424&gt;=7,", "&amp;$A1424&amp;"-"&amp;TEXT(($D1424-$C1424+1)+6,"00"),"")&amp;IF($C1424&gt;=8,", "&amp;$A1424&amp;"-"&amp;TEXT(($D1424-$C1424+1)+7,"00"),"")&amp;IF($C1424&gt;=9,", "&amp;$A1424&amp;"-"&amp;TEXT(($D1424-$C1424+1)+8,"00"),"")&amp;IF($C1424&gt;=10,", "&amp;$A1424&amp;"-"&amp;TEXT(($D1424-$C1424+1)+9,"00"),"")&amp;IF($C1424&gt;=11,", "&amp;$A1424&amp;"-"&amp;TEXT(($D1424-$C1424+1)+10,"00"),"")&amp;IF($C1424&gt;=12,", "&amp;$A1424&amp;"-"&amp;TEXT(($D1424-$C1424+1)+11,"00"),"")&amp;IF($C1424&gt;=13,", "&amp;$A1424&amp;"-"&amp;TEXT(($D1424-$C1424+1)+12,"00"),"")&amp;IF($C1424&gt;=14,", "&amp;$A1424&amp;"-"&amp;TEXT(($D1424-$C1424+1)+13,"00"),"")&amp;IF($C1424&gt;=15,", "&amp;$A1424&amp;"-"&amp;TEXT(($D1424-$C1424+1)+14,"00"),"")&amp;IF($C1424&gt;=16,", "&amp;$A1424&amp;"-"&amp;TEXT(($D1424-$C1424+1)+15,"00"),"")&amp;IF($C1424&gt;=17,", "&amp;$A1424&amp;"-"&amp;TEXT(($D1424-$C1424+1)+16,"00"),"")&amp;IF($C1424&gt;=18,", "&amp;$A1424&amp;"-"&amp;TEXT(($D1424-$C1424+1)+17,"00"),"")&amp;IF($C1424&gt;=19,", "&amp;$A1424&amp;"-"&amp;TEXT(($D1424-$C1424+1)+18,"00"),"")&amp;IF($C1424&gt;=20,", "&amp;$A1424&amp;"-"&amp;TEXT(($D1424-$C1424+1)+19,"00"),"")&amp;IF($C1424&gt;=21,", "&amp;$A1424&amp;"-"&amp;TEXT(($D1424-$C1424+1)+20,"00"),"")&amp;IF($C1424&gt;=22,", "&amp;$A1424&amp;"-"&amp;TEXT(($D1424-$C1424+1)+21,"00"),"")&amp;IF($C1424&gt;=23,", "&amp;$A1424&amp;"-"&amp;TEXT(($D1424-$C1424+1)+22,"00"),"")&amp;IF($C1424&gt;=24,", "&amp;$A1424&amp;"-"&amp;TEXT(($D1424-$C1424+1)+23,"00"),"")&amp;IF($C1424&gt;=25,", "&amp;$A1424&amp;"-"&amp;TEXT(($D1424-$C1424+1)+24,"00"),""))</f>
        <v/>
      </c>
      <c r="G1424">
        <f>IF($A1424="","",IF($E1424=1,$F1424,IF($F1424="",$G1423,IF($G1423="",$F1424,$G1423&amp;", "&amp;$F1424))))</f>
        <v/>
      </c>
      <c r="H1424">
        <f>IF($A1424="","",$A1424&amp;" ("&amp;$C1424&amp;")")</f>
        <v/>
      </c>
      <c r="I1424">
        <f>IF($A1424="","",IF($E1424=1,$H1424,$I1423&amp;", "&amp;$H1424))</f>
        <v/>
      </c>
      <c r="J1424">
        <f>IF($A1424="","",IF($E1424=1,$B1424,""))</f>
        <v/>
      </c>
      <c r="K1424">
        <f>IF($A1424="","",IF(COUNTIF($B$2:$B1424,$B1424)=COUNTIF($B$2:$B$1601,$B1424),$B1424,""))</f>
        <v/>
      </c>
    </row>
    <row r="1425">
      <c r="A1425">
        <f>IF('TMP Paste'!$E1425="","",'TMP Paste'!$E1425)</f>
        <v/>
      </c>
      <c r="B1425">
        <f>IF($A1425="","",COUNTIF('TMP Paste'!$B$2:$B1425,"?*"))</f>
        <v/>
      </c>
      <c r="C1425">
        <f>IF($A1425="","",IFERROR('TMP Paste'!$M1425*1,0))</f>
        <v/>
      </c>
      <c r="D1425">
        <f>IF($A1425="","",SUMIF($B$2:$B1425,$B1425,$C$2:$C1425))</f>
        <v/>
      </c>
      <c r="E1425">
        <f>IF($A1425="",0,IF('TMP Paste'!$B1425="",0,1))</f>
        <v/>
      </c>
      <c r="F1425">
        <f>IF(OR($A1425="",$C1425&lt;1),"",$A1425&amp;"-"&amp;TEXT(($D1425-$C1425+1),"00")&amp;IF($C1425&gt;=2,", "&amp;$A1425&amp;"-"&amp;TEXT(($D1425-$C1425+1)+1,"00"),"")&amp;IF($C1425&gt;=3,", "&amp;$A1425&amp;"-"&amp;TEXT(($D1425-$C1425+1)+2,"00"),"")&amp;IF($C1425&gt;=4,", "&amp;$A1425&amp;"-"&amp;TEXT(($D1425-$C1425+1)+3,"00"),"")&amp;IF($C1425&gt;=5,", "&amp;$A1425&amp;"-"&amp;TEXT(($D1425-$C1425+1)+4,"00"),"")&amp;IF($C1425&gt;=6,", "&amp;$A1425&amp;"-"&amp;TEXT(($D1425-$C1425+1)+5,"00"),"")&amp;IF($C1425&gt;=7,", "&amp;$A1425&amp;"-"&amp;TEXT(($D1425-$C1425+1)+6,"00"),"")&amp;IF($C1425&gt;=8,", "&amp;$A1425&amp;"-"&amp;TEXT(($D1425-$C1425+1)+7,"00"),"")&amp;IF($C1425&gt;=9,", "&amp;$A1425&amp;"-"&amp;TEXT(($D1425-$C1425+1)+8,"00"),"")&amp;IF($C1425&gt;=10,", "&amp;$A1425&amp;"-"&amp;TEXT(($D1425-$C1425+1)+9,"00"),"")&amp;IF($C1425&gt;=11,", "&amp;$A1425&amp;"-"&amp;TEXT(($D1425-$C1425+1)+10,"00"),"")&amp;IF($C1425&gt;=12,", "&amp;$A1425&amp;"-"&amp;TEXT(($D1425-$C1425+1)+11,"00"),"")&amp;IF($C1425&gt;=13,", "&amp;$A1425&amp;"-"&amp;TEXT(($D1425-$C1425+1)+12,"00"),"")&amp;IF($C1425&gt;=14,", "&amp;$A1425&amp;"-"&amp;TEXT(($D1425-$C1425+1)+13,"00"),"")&amp;IF($C1425&gt;=15,", "&amp;$A1425&amp;"-"&amp;TEXT(($D1425-$C1425+1)+14,"00"),"")&amp;IF($C1425&gt;=16,", "&amp;$A1425&amp;"-"&amp;TEXT(($D1425-$C1425+1)+15,"00"),"")&amp;IF($C1425&gt;=17,", "&amp;$A1425&amp;"-"&amp;TEXT(($D1425-$C1425+1)+16,"00"),"")&amp;IF($C1425&gt;=18,", "&amp;$A1425&amp;"-"&amp;TEXT(($D1425-$C1425+1)+17,"00"),"")&amp;IF($C1425&gt;=19,", "&amp;$A1425&amp;"-"&amp;TEXT(($D1425-$C1425+1)+18,"00"),"")&amp;IF($C1425&gt;=20,", "&amp;$A1425&amp;"-"&amp;TEXT(($D1425-$C1425+1)+19,"00"),"")&amp;IF($C1425&gt;=21,", "&amp;$A1425&amp;"-"&amp;TEXT(($D1425-$C1425+1)+20,"00"),"")&amp;IF($C1425&gt;=22,", "&amp;$A1425&amp;"-"&amp;TEXT(($D1425-$C1425+1)+21,"00"),"")&amp;IF($C1425&gt;=23,", "&amp;$A1425&amp;"-"&amp;TEXT(($D1425-$C1425+1)+22,"00"),"")&amp;IF($C1425&gt;=24,", "&amp;$A1425&amp;"-"&amp;TEXT(($D1425-$C1425+1)+23,"00"),"")&amp;IF($C1425&gt;=25,", "&amp;$A1425&amp;"-"&amp;TEXT(($D1425-$C1425+1)+24,"00"),""))</f>
        <v/>
      </c>
      <c r="G1425">
        <f>IF($A1425="","",IF($E1425=1,$F1425,IF($F1425="",$G1424,IF($G1424="",$F1425,$G1424&amp;", "&amp;$F1425))))</f>
        <v/>
      </c>
      <c r="H1425">
        <f>IF($A1425="","",$A1425&amp;" ("&amp;$C1425&amp;")")</f>
        <v/>
      </c>
      <c r="I1425">
        <f>IF($A1425="","",IF($E1425=1,$H1425,$I1424&amp;", "&amp;$H1425))</f>
        <v/>
      </c>
      <c r="J1425">
        <f>IF($A1425="","",IF($E1425=1,$B1425,""))</f>
        <v/>
      </c>
      <c r="K1425">
        <f>IF($A1425="","",IF(COUNTIF($B$2:$B1425,$B1425)=COUNTIF($B$2:$B$1601,$B1425),$B1425,""))</f>
        <v/>
      </c>
    </row>
    <row r="1426">
      <c r="A1426">
        <f>IF('TMP Paste'!$E1426="","",'TMP Paste'!$E1426)</f>
        <v/>
      </c>
      <c r="B1426">
        <f>IF($A1426="","",COUNTIF('TMP Paste'!$B$2:$B1426,"?*"))</f>
        <v/>
      </c>
      <c r="C1426">
        <f>IF($A1426="","",IFERROR('TMP Paste'!$M1426*1,0))</f>
        <v/>
      </c>
      <c r="D1426">
        <f>IF($A1426="","",SUMIF($B$2:$B1426,$B1426,$C$2:$C1426))</f>
        <v/>
      </c>
      <c r="E1426">
        <f>IF($A1426="",0,IF('TMP Paste'!$B1426="",0,1))</f>
        <v/>
      </c>
      <c r="F1426">
        <f>IF(OR($A1426="",$C1426&lt;1),"",$A1426&amp;"-"&amp;TEXT(($D1426-$C1426+1),"00")&amp;IF($C1426&gt;=2,", "&amp;$A1426&amp;"-"&amp;TEXT(($D1426-$C1426+1)+1,"00"),"")&amp;IF($C1426&gt;=3,", "&amp;$A1426&amp;"-"&amp;TEXT(($D1426-$C1426+1)+2,"00"),"")&amp;IF($C1426&gt;=4,", "&amp;$A1426&amp;"-"&amp;TEXT(($D1426-$C1426+1)+3,"00"),"")&amp;IF($C1426&gt;=5,", "&amp;$A1426&amp;"-"&amp;TEXT(($D1426-$C1426+1)+4,"00"),"")&amp;IF($C1426&gt;=6,", "&amp;$A1426&amp;"-"&amp;TEXT(($D1426-$C1426+1)+5,"00"),"")&amp;IF($C1426&gt;=7,", "&amp;$A1426&amp;"-"&amp;TEXT(($D1426-$C1426+1)+6,"00"),"")&amp;IF($C1426&gt;=8,", "&amp;$A1426&amp;"-"&amp;TEXT(($D1426-$C1426+1)+7,"00"),"")&amp;IF($C1426&gt;=9,", "&amp;$A1426&amp;"-"&amp;TEXT(($D1426-$C1426+1)+8,"00"),"")&amp;IF($C1426&gt;=10,", "&amp;$A1426&amp;"-"&amp;TEXT(($D1426-$C1426+1)+9,"00"),"")&amp;IF($C1426&gt;=11,", "&amp;$A1426&amp;"-"&amp;TEXT(($D1426-$C1426+1)+10,"00"),"")&amp;IF($C1426&gt;=12,", "&amp;$A1426&amp;"-"&amp;TEXT(($D1426-$C1426+1)+11,"00"),"")&amp;IF($C1426&gt;=13,", "&amp;$A1426&amp;"-"&amp;TEXT(($D1426-$C1426+1)+12,"00"),"")&amp;IF($C1426&gt;=14,", "&amp;$A1426&amp;"-"&amp;TEXT(($D1426-$C1426+1)+13,"00"),"")&amp;IF($C1426&gt;=15,", "&amp;$A1426&amp;"-"&amp;TEXT(($D1426-$C1426+1)+14,"00"),"")&amp;IF($C1426&gt;=16,", "&amp;$A1426&amp;"-"&amp;TEXT(($D1426-$C1426+1)+15,"00"),"")&amp;IF($C1426&gt;=17,", "&amp;$A1426&amp;"-"&amp;TEXT(($D1426-$C1426+1)+16,"00"),"")&amp;IF($C1426&gt;=18,", "&amp;$A1426&amp;"-"&amp;TEXT(($D1426-$C1426+1)+17,"00"),"")&amp;IF($C1426&gt;=19,", "&amp;$A1426&amp;"-"&amp;TEXT(($D1426-$C1426+1)+18,"00"),"")&amp;IF($C1426&gt;=20,", "&amp;$A1426&amp;"-"&amp;TEXT(($D1426-$C1426+1)+19,"00"),"")&amp;IF($C1426&gt;=21,", "&amp;$A1426&amp;"-"&amp;TEXT(($D1426-$C1426+1)+20,"00"),"")&amp;IF($C1426&gt;=22,", "&amp;$A1426&amp;"-"&amp;TEXT(($D1426-$C1426+1)+21,"00"),"")&amp;IF($C1426&gt;=23,", "&amp;$A1426&amp;"-"&amp;TEXT(($D1426-$C1426+1)+22,"00"),"")&amp;IF($C1426&gt;=24,", "&amp;$A1426&amp;"-"&amp;TEXT(($D1426-$C1426+1)+23,"00"),"")&amp;IF($C1426&gt;=25,", "&amp;$A1426&amp;"-"&amp;TEXT(($D1426-$C1426+1)+24,"00"),""))</f>
        <v/>
      </c>
      <c r="G1426">
        <f>IF($A1426="","",IF($E1426=1,$F1426,IF($F1426="",$G1425,IF($G1425="",$F1426,$G1425&amp;", "&amp;$F1426))))</f>
        <v/>
      </c>
      <c r="H1426">
        <f>IF($A1426="","",$A1426&amp;" ("&amp;$C1426&amp;")")</f>
        <v/>
      </c>
      <c r="I1426">
        <f>IF($A1426="","",IF($E1426=1,$H1426,$I1425&amp;", "&amp;$H1426))</f>
        <v/>
      </c>
      <c r="J1426">
        <f>IF($A1426="","",IF($E1426=1,$B1426,""))</f>
        <v/>
      </c>
      <c r="K1426">
        <f>IF($A1426="","",IF(COUNTIF($B$2:$B1426,$B1426)=COUNTIF($B$2:$B$1601,$B1426),$B1426,""))</f>
        <v/>
      </c>
    </row>
    <row r="1427">
      <c r="A1427">
        <f>IF('TMP Paste'!$E1427="","",'TMP Paste'!$E1427)</f>
        <v/>
      </c>
      <c r="B1427">
        <f>IF($A1427="","",COUNTIF('TMP Paste'!$B$2:$B1427,"?*"))</f>
        <v/>
      </c>
      <c r="C1427">
        <f>IF($A1427="","",IFERROR('TMP Paste'!$M1427*1,0))</f>
        <v/>
      </c>
      <c r="D1427">
        <f>IF($A1427="","",SUMIF($B$2:$B1427,$B1427,$C$2:$C1427))</f>
        <v/>
      </c>
      <c r="E1427">
        <f>IF($A1427="",0,IF('TMP Paste'!$B1427="",0,1))</f>
        <v/>
      </c>
      <c r="F1427">
        <f>IF(OR($A1427="",$C1427&lt;1),"",$A1427&amp;"-"&amp;TEXT(($D1427-$C1427+1),"00")&amp;IF($C1427&gt;=2,", "&amp;$A1427&amp;"-"&amp;TEXT(($D1427-$C1427+1)+1,"00"),"")&amp;IF($C1427&gt;=3,", "&amp;$A1427&amp;"-"&amp;TEXT(($D1427-$C1427+1)+2,"00"),"")&amp;IF($C1427&gt;=4,", "&amp;$A1427&amp;"-"&amp;TEXT(($D1427-$C1427+1)+3,"00"),"")&amp;IF($C1427&gt;=5,", "&amp;$A1427&amp;"-"&amp;TEXT(($D1427-$C1427+1)+4,"00"),"")&amp;IF($C1427&gt;=6,", "&amp;$A1427&amp;"-"&amp;TEXT(($D1427-$C1427+1)+5,"00"),"")&amp;IF($C1427&gt;=7,", "&amp;$A1427&amp;"-"&amp;TEXT(($D1427-$C1427+1)+6,"00"),"")&amp;IF($C1427&gt;=8,", "&amp;$A1427&amp;"-"&amp;TEXT(($D1427-$C1427+1)+7,"00"),"")&amp;IF($C1427&gt;=9,", "&amp;$A1427&amp;"-"&amp;TEXT(($D1427-$C1427+1)+8,"00"),"")&amp;IF($C1427&gt;=10,", "&amp;$A1427&amp;"-"&amp;TEXT(($D1427-$C1427+1)+9,"00"),"")&amp;IF($C1427&gt;=11,", "&amp;$A1427&amp;"-"&amp;TEXT(($D1427-$C1427+1)+10,"00"),"")&amp;IF($C1427&gt;=12,", "&amp;$A1427&amp;"-"&amp;TEXT(($D1427-$C1427+1)+11,"00"),"")&amp;IF($C1427&gt;=13,", "&amp;$A1427&amp;"-"&amp;TEXT(($D1427-$C1427+1)+12,"00"),"")&amp;IF($C1427&gt;=14,", "&amp;$A1427&amp;"-"&amp;TEXT(($D1427-$C1427+1)+13,"00"),"")&amp;IF($C1427&gt;=15,", "&amp;$A1427&amp;"-"&amp;TEXT(($D1427-$C1427+1)+14,"00"),"")&amp;IF($C1427&gt;=16,", "&amp;$A1427&amp;"-"&amp;TEXT(($D1427-$C1427+1)+15,"00"),"")&amp;IF($C1427&gt;=17,", "&amp;$A1427&amp;"-"&amp;TEXT(($D1427-$C1427+1)+16,"00"),"")&amp;IF($C1427&gt;=18,", "&amp;$A1427&amp;"-"&amp;TEXT(($D1427-$C1427+1)+17,"00"),"")&amp;IF($C1427&gt;=19,", "&amp;$A1427&amp;"-"&amp;TEXT(($D1427-$C1427+1)+18,"00"),"")&amp;IF($C1427&gt;=20,", "&amp;$A1427&amp;"-"&amp;TEXT(($D1427-$C1427+1)+19,"00"),"")&amp;IF($C1427&gt;=21,", "&amp;$A1427&amp;"-"&amp;TEXT(($D1427-$C1427+1)+20,"00"),"")&amp;IF($C1427&gt;=22,", "&amp;$A1427&amp;"-"&amp;TEXT(($D1427-$C1427+1)+21,"00"),"")&amp;IF($C1427&gt;=23,", "&amp;$A1427&amp;"-"&amp;TEXT(($D1427-$C1427+1)+22,"00"),"")&amp;IF($C1427&gt;=24,", "&amp;$A1427&amp;"-"&amp;TEXT(($D1427-$C1427+1)+23,"00"),"")&amp;IF($C1427&gt;=25,", "&amp;$A1427&amp;"-"&amp;TEXT(($D1427-$C1427+1)+24,"00"),""))</f>
        <v/>
      </c>
      <c r="G1427">
        <f>IF($A1427="","",IF($E1427=1,$F1427,IF($F1427="",$G1426,IF($G1426="",$F1427,$G1426&amp;", "&amp;$F1427))))</f>
        <v/>
      </c>
      <c r="H1427">
        <f>IF($A1427="","",$A1427&amp;" ("&amp;$C1427&amp;")")</f>
        <v/>
      </c>
      <c r="I1427">
        <f>IF($A1427="","",IF($E1427=1,$H1427,$I1426&amp;", "&amp;$H1427))</f>
        <v/>
      </c>
      <c r="J1427">
        <f>IF($A1427="","",IF($E1427=1,$B1427,""))</f>
        <v/>
      </c>
      <c r="K1427">
        <f>IF($A1427="","",IF(COUNTIF($B$2:$B1427,$B1427)=COUNTIF($B$2:$B$1601,$B1427),$B1427,""))</f>
        <v/>
      </c>
    </row>
    <row r="1428">
      <c r="A1428">
        <f>IF('TMP Paste'!$E1428="","",'TMP Paste'!$E1428)</f>
        <v/>
      </c>
      <c r="B1428">
        <f>IF($A1428="","",COUNTIF('TMP Paste'!$B$2:$B1428,"?*"))</f>
        <v/>
      </c>
      <c r="C1428">
        <f>IF($A1428="","",IFERROR('TMP Paste'!$M1428*1,0))</f>
        <v/>
      </c>
      <c r="D1428">
        <f>IF($A1428="","",SUMIF($B$2:$B1428,$B1428,$C$2:$C1428))</f>
        <v/>
      </c>
      <c r="E1428">
        <f>IF($A1428="",0,IF('TMP Paste'!$B1428="",0,1))</f>
        <v/>
      </c>
      <c r="F1428">
        <f>IF(OR($A1428="",$C1428&lt;1),"",$A1428&amp;"-"&amp;TEXT(($D1428-$C1428+1),"00")&amp;IF($C1428&gt;=2,", "&amp;$A1428&amp;"-"&amp;TEXT(($D1428-$C1428+1)+1,"00"),"")&amp;IF($C1428&gt;=3,", "&amp;$A1428&amp;"-"&amp;TEXT(($D1428-$C1428+1)+2,"00"),"")&amp;IF($C1428&gt;=4,", "&amp;$A1428&amp;"-"&amp;TEXT(($D1428-$C1428+1)+3,"00"),"")&amp;IF($C1428&gt;=5,", "&amp;$A1428&amp;"-"&amp;TEXT(($D1428-$C1428+1)+4,"00"),"")&amp;IF($C1428&gt;=6,", "&amp;$A1428&amp;"-"&amp;TEXT(($D1428-$C1428+1)+5,"00"),"")&amp;IF($C1428&gt;=7,", "&amp;$A1428&amp;"-"&amp;TEXT(($D1428-$C1428+1)+6,"00"),"")&amp;IF($C1428&gt;=8,", "&amp;$A1428&amp;"-"&amp;TEXT(($D1428-$C1428+1)+7,"00"),"")&amp;IF($C1428&gt;=9,", "&amp;$A1428&amp;"-"&amp;TEXT(($D1428-$C1428+1)+8,"00"),"")&amp;IF($C1428&gt;=10,", "&amp;$A1428&amp;"-"&amp;TEXT(($D1428-$C1428+1)+9,"00"),"")&amp;IF($C1428&gt;=11,", "&amp;$A1428&amp;"-"&amp;TEXT(($D1428-$C1428+1)+10,"00"),"")&amp;IF($C1428&gt;=12,", "&amp;$A1428&amp;"-"&amp;TEXT(($D1428-$C1428+1)+11,"00"),"")&amp;IF($C1428&gt;=13,", "&amp;$A1428&amp;"-"&amp;TEXT(($D1428-$C1428+1)+12,"00"),"")&amp;IF($C1428&gt;=14,", "&amp;$A1428&amp;"-"&amp;TEXT(($D1428-$C1428+1)+13,"00"),"")&amp;IF($C1428&gt;=15,", "&amp;$A1428&amp;"-"&amp;TEXT(($D1428-$C1428+1)+14,"00"),"")&amp;IF($C1428&gt;=16,", "&amp;$A1428&amp;"-"&amp;TEXT(($D1428-$C1428+1)+15,"00"),"")&amp;IF($C1428&gt;=17,", "&amp;$A1428&amp;"-"&amp;TEXT(($D1428-$C1428+1)+16,"00"),"")&amp;IF($C1428&gt;=18,", "&amp;$A1428&amp;"-"&amp;TEXT(($D1428-$C1428+1)+17,"00"),"")&amp;IF($C1428&gt;=19,", "&amp;$A1428&amp;"-"&amp;TEXT(($D1428-$C1428+1)+18,"00"),"")&amp;IF($C1428&gt;=20,", "&amp;$A1428&amp;"-"&amp;TEXT(($D1428-$C1428+1)+19,"00"),"")&amp;IF($C1428&gt;=21,", "&amp;$A1428&amp;"-"&amp;TEXT(($D1428-$C1428+1)+20,"00"),"")&amp;IF($C1428&gt;=22,", "&amp;$A1428&amp;"-"&amp;TEXT(($D1428-$C1428+1)+21,"00"),"")&amp;IF($C1428&gt;=23,", "&amp;$A1428&amp;"-"&amp;TEXT(($D1428-$C1428+1)+22,"00"),"")&amp;IF($C1428&gt;=24,", "&amp;$A1428&amp;"-"&amp;TEXT(($D1428-$C1428+1)+23,"00"),"")&amp;IF($C1428&gt;=25,", "&amp;$A1428&amp;"-"&amp;TEXT(($D1428-$C1428+1)+24,"00"),""))</f>
        <v/>
      </c>
      <c r="G1428">
        <f>IF($A1428="","",IF($E1428=1,$F1428,IF($F1428="",$G1427,IF($G1427="",$F1428,$G1427&amp;", "&amp;$F1428))))</f>
        <v/>
      </c>
      <c r="H1428">
        <f>IF($A1428="","",$A1428&amp;" ("&amp;$C1428&amp;")")</f>
        <v/>
      </c>
      <c r="I1428">
        <f>IF($A1428="","",IF($E1428=1,$H1428,$I1427&amp;", "&amp;$H1428))</f>
        <v/>
      </c>
      <c r="J1428">
        <f>IF($A1428="","",IF($E1428=1,$B1428,""))</f>
        <v/>
      </c>
      <c r="K1428">
        <f>IF($A1428="","",IF(COUNTIF($B$2:$B1428,$B1428)=COUNTIF($B$2:$B$1601,$B1428),$B1428,""))</f>
        <v/>
      </c>
    </row>
    <row r="1429">
      <c r="A1429">
        <f>IF('TMP Paste'!$E1429="","",'TMP Paste'!$E1429)</f>
        <v/>
      </c>
      <c r="B1429">
        <f>IF($A1429="","",COUNTIF('TMP Paste'!$B$2:$B1429,"?*"))</f>
        <v/>
      </c>
      <c r="C1429">
        <f>IF($A1429="","",IFERROR('TMP Paste'!$M1429*1,0))</f>
        <v/>
      </c>
      <c r="D1429">
        <f>IF($A1429="","",SUMIF($B$2:$B1429,$B1429,$C$2:$C1429))</f>
        <v/>
      </c>
      <c r="E1429">
        <f>IF($A1429="",0,IF('TMP Paste'!$B1429="",0,1))</f>
        <v/>
      </c>
      <c r="F1429">
        <f>IF(OR($A1429="",$C1429&lt;1),"",$A1429&amp;"-"&amp;TEXT(($D1429-$C1429+1),"00")&amp;IF($C1429&gt;=2,", "&amp;$A1429&amp;"-"&amp;TEXT(($D1429-$C1429+1)+1,"00"),"")&amp;IF($C1429&gt;=3,", "&amp;$A1429&amp;"-"&amp;TEXT(($D1429-$C1429+1)+2,"00"),"")&amp;IF($C1429&gt;=4,", "&amp;$A1429&amp;"-"&amp;TEXT(($D1429-$C1429+1)+3,"00"),"")&amp;IF($C1429&gt;=5,", "&amp;$A1429&amp;"-"&amp;TEXT(($D1429-$C1429+1)+4,"00"),"")&amp;IF($C1429&gt;=6,", "&amp;$A1429&amp;"-"&amp;TEXT(($D1429-$C1429+1)+5,"00"),"")&amp;IF($C1429&gt;=7,", "&amp;$A1429&amp;"-"&amp;TEXT(($D1429-$C1429+1)+6,"00"),"")&amp;IF($C1429&gt;=8,", "&amp;$A1429&amp;"-"&amp;TEXT(($D1429-$C1429+1)+7,"00"),"")&amp;IF($C1429&gt;=9,", "&amp;$A1429&amp;"-"&amp;TEXT(($D1429-$C1429+1)+8,"00"),"")&amp;IF($C1429&gt;=10,", "&amp;$A1429&amp;"-"&amp;TEXT(($D1429-$C1429+1)+9,"00"),"")&amp;IF($C1429&gt;=11,", "&amp;$A1429&amp;"-"&amp;TEXT(($D1429-$C1429+1)+10,"00"),"")&amp;IF($C1429&gt;=12,", "&amp;$A1429&amp;"-"&amp;TEXT(($D1429-$C1429+1)+11,"00"),"")&amp;IF($C1429&gt;=13,", "&amp;$A1429&amp;"-"&amp;TEXT(($D1429-$C1429+1)+12,"00"),"")&amp;IF($C1429&gt;=14,", "&amp;$A1429&amp;"-"&amp;TEXT(($D1429-$C1429+1)+13,"00"),"")&amp;IF($C1429&gt;=15,", "&amp;$A1429&amp;"-"&amp;TEXT(($D1429-$C1429+1)+14,"00"),"")&amp;IF($C1429&gt;=16,", "&amp;$A1429&amp;"-"&amp;TEXT(($D1429-$C1429+1)+15,"00"),"")&amp;IF($C1429&gt;=17,", "&amp;$A1429&amp;"-"&amp;TEXT(($D1429-$C1429+1)+16,"00"),"")&amp;IF($C1429&gt;=18,", "&amp;$A1429&amp;"-"&amp;TEXT(($D1429-$C1429+1)+17,"00"),"")&amp;IF($C1429&gt;=19,", "&amp;$A1429&amp;"-"&amp;TEXT(($D1429-$C1429+1)+18,"00"),"")&amp;IF($C1429&gt;=20,", "&amp;$A1429&amp;"-"&amp;TEXT(($D1429-$C1429+1)+19,"00"),"")&amp;IF($C1429&gt;=21,", "&amp;$A1429&amp;"-"&amp;TEXT(($D1429-$C1429+1)+20,"00"),"")&amp;IF($C1429&gt;=22,", "&amp;$A1429&amp;"-"&amp;TEXT(($D1429-$C1429+1)+21,"00"),"")&amp;IF($C1429&gt;=23,", "&amp;$A1429&amp;"-"&amp;TEXT(($D1429-$C1429+1)+22,"00"),"")&amp;IF($C1429&gt;=24,", "&amp;$A1429&amp;"-"&amp;TEXT(($D1429-$C1429+1)+23,"00"),"")&amp;IF($C1429&gt;=25,", "&amp;$A1429&amp;"-"&amp;TEXT(($D1429-$C1429+1)+24,"00"),""))</f>
        <v/>
      </c>
      <c r="G1429">
        <f>IF($A1429="","",IF($E1429=1,$F1429,IF($F1429="",$G1428,IF($G1428="",$F1429,$G1428&amp;", "&amp;$F1429))))</f>
        <v/>
      </c>
      <c r="H1429">
        <f>IF($A1429="","",$A1429&amp;" ("&amp;$C1429&amp;")")</f>
        <v/>
      </c>
      <c r="I1429">
        <f>IF($A1429="","",IF($E1429=1,$H1429,$I1428&amp;", "&amp;$H1429))</f>
        <v/>
      </c>
      <c r="J1429">
        <f>IF($A1429="","",IF($E1429=1,$B1429,""))</f>
        <v/>
      </c>
      <c r="K1429">
        <f>IF($A1429="","",IF(COUNTIF($B$2:$B1429,$B1429)=COUNTIF($B$2:$B$1601,$B1429),$B1429,""))</f>
        <v/>
      </c>
    </row>
    <row r="1430">
      <c r="A1430">
        <f>IF('TMP Paste'!$E1430="","",'TMP Paste'!$E1430)</f>
        <v/>
      </c>
      <c r="B1430">
        <f>IF($A1430="","",COUNTIF('TMP Paste'!$B$2:$B1430,"?*"))</f>
        <v/>
      </c>
      <c r="C1430">
        <f>IF($A1430="","",IFERROR('TMP Paste'!$M1430*1,0))</f>
        <v/>
      </c>
      <c r="D1430">
        <f>IF($A1430="","",SUMIF($B$2:$B1430,$B1430,$C$2:$C1430))</f>
        <v/>
      </c>
      <c r="E1430">
        <f>IF($A1430="",0,IF('TMP Paste'!$B1430="",0,1))</f>
        <v/>
      </c>
      <c r="F1430">
        <f>IF(OR($A1430="",$C1430&lt;1),"",$A1430&amp;"-"&amp;TEXT(($D1430-$C1430+1),"00")&amp;IF($C1430&gt;=2,", "&amp;$A1430&amp;"-"&amp;TEXT(($D1430-$C1430+1)+1,"00"),"")&amp;IF($C1430&gt;=3,", "&amp;$A1430&amp;"-"&amp;TEXT(($D1430-$C1430+1)+2,"00"),"")&amp;IF($C1430&gt;=4,", "&amp;$A1430&amp;"-"&amp;TEXT(($D1430-$C1430+1)+3,"00"),"")&amp;IF($C1430&gt;=5,", "&amp;$A1430&amp;"-"&amp;TEXT(($D1430-$C1430+1)+4,"00"),"")&amp;IF($C1430&gt;=6,", "&amp;$A1430&amp;"-"&amp;TEXT(($D1430-$C1430+1)+5,"00"),"")&amp;IF($C1430&gt;=7,", "&amp;$A1430&amp;"-"&amp;TEXT(($D1430-$C1430+1)+6,"00"),"")&amp;IF($C1430&gt;=8,", "&amp;$A1430&amp;"-"&amp;TEXT(($D1430-$C1430+1)+7,"00"),"")&amp;IF($C1430&gt;=9,", "&amp;$A1430&amp;"-"&amp;TEXT(($D1430-$C1430+1)+8,"00"),"")&amp;IF($C1430&gt;=10,", "&amp;$A1430&amp;"-"&amp;TEXT(($D1430-$C1430+1)+9,"00"),"")&amp;IF($C1430&gt;=11,", "&amp;$A1430&amp;"-"&amp;TEXT(($D1430-$C1430+1)+10,"00"),"")&amp;IF($C1430&gt;=12,", "&amp;$A1430&amp;"-"&amp;TEXT(($D1430-$C1430+1)+11,"00"),"")&amp;IF($C1430&gt;=13,", "&amp;$A1430&amp;"-"&amp;TEXT(($D1430-$C1430+1)+12,"00"),"")&amp;IF($C1430&gt;=14,", "&amp;$A1430&amp;"-"&amp;TEXT(($D1430-$C1430+1)+13,"00"),"")&amp;IF($C1430&gt;=15,", "&amp;$A1430&amp;"-"&amp;TEXT(($D1430-$C1430+1)+14,"00"),"")&amp;IF($C1430&gt;=16,", "&amp;$A1430&amp;"-"&amp;TEXT(($D1430-$C1430+1)+15,"00"),"")&amp;IF($C1430&gt;=17,", "&amp;$A1430&amp;"-"&amp;TEXT(($D1430-$C1430+1)+16,"00"),"")&amp;IF($C1430&gt;=18,", "&amp;$A1430&amp;"-"&amp;TEXT(($D1430-$C1430+1)+17,"00"),"")&amp;IF($C1430&gt;=19,", "&amp;$A1430&amp;"-"&amp;TEXT(($D1430-$C1430+1)+18,"00"),"")&amp;IF($C1430&gt;=20,", "&amp;$A1430&amp;"-"&amp;TEXT(($D1430-$C1430+1)+19,"00"),"")&amp;IF($C1430&gt;=21,", "&amp;$A1430&amp;"-"&amp;TEXT(($D1430-$C1430+1)+20,"00"),"")&amp;IF($C1430&gt;=22,", "&amp;$A1430&amp;"-"&amp;TEXT(($D1430-$C1430+1)+21,"00"),"")&amp;IF($C1430&gt;=23,", "&amp;$A1430&amp;"-"&amp;TEXT(($D1430-$C1430+1)+22,"00"),"")&amp;IF($C1430&gt;=24,", "&amp;$A1430&amp;"-"&amp;TEXT(($D1430-$C1430+1)+23,"00"),"")&amp;IF($C1430&gt;=25,", "&amp;$A1430&amp;"-"&amp;TEXT(($D1430-$C1430+1)+24,"00"),""))</f>
        <v/>
      </c>
      <c r="G1430">
        <f>IF($A1430="","",IF($E1430=1,$F1430,IF($F1430="",$G1429,IF($G1429="",$F1430,$G1429&amp;", "&amp;$F1430))))</f>
        <v/>
      </c>
      <c r="H1430">
        <f>IF($A1430="","",$A1430&amp;" ("&amp;$C1430&amp;")")</f>
        <v/>
      </c>
      <c r="I1430">
        <f>IF($A1430="","",IF($E1430=1,$H1430,$I1429&amp;", "&amp;$H1430))</f>
        <v/>
      </c>
      <c r="J1430">
        <f>IF($A1430="","",IF($E1430=1,$B1430,""))</f>
        <v/>
      </c>
      <c r="K1430">
        <f>IF($A1430="","",IF(COUNTIF($B$2:$B1430,$B1430)=COUNTIF($B$2:$B$1601,$B1430),$B1430,""))</f>
        <v/>
      </c>
    </row>
    <row r="1431">
      <c r="A1431">
        <f>IF('TMP Paste'!$E1431="","",'TMP Paste'!$E1431)</f>
        <v/>
      </c>
      <c r="B1431">
        <f>IF($A1431="","",COUNTIF('TMP Paste'!$B$2:$B1431,"?*"))</f>
        <v/>
      </c>
      <c r="C1431">
        <f>IF($A1431="","",IFERROR('TMP Paste'!$M1431*1,0))</f>
        <v/>
      </c>
      <c r="D1431">
        <f>IF($A1431="","",SUMIF($B$2:$B1431,$B1431,$C$2:$C1431))</f>
        <v/>
      </c>
      <c r="E1431">
        <f>IF($A1431="",0,IF('TMP Paste'!$B1431="",0,1))</f>
        <v/>
      </c>
      <c r="F1431">
        <f>IF(OR($A1431="",$C1431&lt;1),"",$A1431&amp;"-"&amp;TEXT(($D1431-$C1431+1),"00")&amp;IF($C1431&gt;=2,", "&amp;$A1431&amp;"-"&amp;TEXT(($D1431-$C1431+1)+1,"00"),"")&amp;IF($C1431&gt;=3,", "&amp;$A1431&amp;"-"&amp;TEXT(($D1431-$C1431+1)+2,"00"),"")&amp;IF($C1431&gt;=4,", "&amp;$A1431&amp;"-"&amp;TEXT(($D1431-$C1431+1)+3,"00"),"")&amp;IF($C1431&gt;=5,", "&amp;$A1431&amp;"-"&amp;TEXT(($D1431-$C1431+1)+4,"00"),"")&amp;IF($C1431&gt;=6,", "&amp;$A1431&amp;"-"&amp;TEXT(($D1431-$C1431+1)+5,"00"),"")&amp;IF($C1431&gt;=7,", "&amp;$A1431&amp;"-"&amp;TEXT(($D1431-$C1431+1)+6,"00"),"")&amp;IF($C1431&gt;=8,", "&amp;$A1431&amp;"-"&amp;TEXT(($D1431-$C1431+1)+7,"00"),"")&amp;IF($C1431&gt;=9,", "&amp;$A1431&amp;"-"&amp;TEXT(($D1431-$C1431+1)+8,"00"),"")&amp;IF($C1431&gt;=10,", "&amp;$A1431&amp;"-"&amp;TEXT(($D1431-$C1431+1)+9,"00"),"")&amp;IF($C1431&gt;=11,", "&amp;$A1431&amp;"-"&amp;TEXT(($D1431-$C1431+1)+10,"00"),"")&amp;IF($C1431&gt;=12,", "&amp;$A1431&amp;"-"&amp;TEXT(($D1431-$C1431+1)+11,"00"),"")&amp;IF($C1431&gt;=13,", "&amp;$A1431&amp;"-"&amp;TEXT(($D1431-$C1431+1)+12,"00"),"")&amp;IF($C1431&gt;=14,", "&amp;$A1431&amp;"-"&amp;TEXT(($D1431-$C1431+1)+13,"00"),"")&amp;IF($C1431&gt;=15,", "&amp;$A1431&amp;"-"&amp;TEXT(($D1431-$C1431+1)+14,"00"),"")&amp;IF($C1431&gt;=16,", "&amp;$A1431&amp;"-"&amp;TEXT(($D1431-$C1431+1)+15,"00"),"")&amp;IF($C1431&gt;=17,", "&amp;$A1431&amp;"-"&amp;TEXT(($D1431-$C1431+1)+16,"00"),"")&amp;IF($C1431&gt;=18,", "&amp;$A1431&amp;"-"&amp;TEXT(($D1431-$C1431+1)+17,"00"),"")&amp;IF($C1431&gt;=19,", "&amp;$A1431&amp;"-"&amp;TEXT(($D1431-$C1431+1)+18,"00"),"")&amp;IF($C1431&gt;=20,", "&amp;$A1431&amp;"-"&amp;TEXT(($D1431-$C1431+1)+19,"00"),"")&amp;IF($C1431&gt;=21,", "&amp;$A1431&amp;"-"&amp;TEXT(($D1431-$C1431+1)+20,"00"),"")&amp;IF($C1431&gt;=22,", "&amp;$A1431&amp;"-"&amp;TEXT(($D1431-$C1431+1)+21,"00"),"")&amp;IF($C1431&gt;=23,", "&amp;$A1431&amp;"-"&amp;TEXT(($D1431-$C1431+1)+22,"00"),"")&amp;IF($C1431&gt;=24,", "&amp;$A1431&amp;"-"&amp;TEXT(($D1431-$C1431+1)+23,"00"),"")&amp;IF($C1431&gt;=25,", "&amp;$A1431&amp;"-"&amp;TEXT(($D1431-$C1431+1)+24,"00"),""))</f>
        <v/>
      </c>
      <c r="G1431">
        <f>IF($A1431="","",IF($E1431=1,$F1431,IF($F1431="",$G1430,IF($G1430="",$F1431,$G1430&amp;", "&amp;$F1431))))</f>
        <v/>
      </c>
      <c r="H1431">
        <f>IF($A1431="","",$A1431&amp;" ("&amp;$C1431&amp;")")</f>
        <v/>
      </c>
      <c r="I1431">
        <f>IF($A1431="","",IF($E1431=1,$H1431,$I1430&amp;", "&amp;$H1431))</f>
        <v/>
      </c>
      <c r="J1431">
        <f>IF($A1431="","",IF($E1431=1,$B1431,""))</f>
        <v/>
      </c>
      <c r="K1431">
        <f>IF($A1431="","",IF(COUNTIF($B$2:$B1431,$B1431)=COUNTIF($B$2:$B$1601,$B1431),$B1431,""))</f>
        <v/>
      </c>
    </row>
    <row r="1432">
      <c r="A1432">
        <f>IF('TMP Paste'!$E1432="","",'TMP Paste'!$E1432)</f>
        <v/>
      </c>
      <c r="B1432">
        <f>IF($A1432="","",COUNTIF('TMP Paste'!$B$2:$B1432,"?*"))</f>
        <v/>
      </c>
      <c r="C1432">
        <f>IF($A1432="","",IFERROR('TMP Paste'!$M1432*1,0))</f>
        <v/>
      </c>
      <c r="D1432">
        <f>IF($A1432="","",SUMIF($B$2:$B1432,$B1432,$C$2:$C1432))</f>
        <v/>
      </c>
      <c r="E1432">
        <f>IF($A1432="",0,IF('TMP Paste'!$B1432="",0,1))</f>
        <v/>
      </c>
      <c r="F1432">
        <f>IF(OR($A1432="",$C1432&lt;1),"",$A1432&amp;"-"&amp;TEXT(($D1432-$C1432+1),"00")&amp;IF($C1432&gt;=2,", "&amp;$A1432&amp;"-"&amp;TEXT(($D1432-$C1432+1)+1,"00"),"")&amp;IF($C1432&gt;=3,", "&amp;$A1432&amp;"-"&amp;TEXT(($D1432-$C1432+1)+2,"00"),"")&amp;IF($C1432&gt;=4,", "&amp;$A1432&amp;"-"&amp;TEXT(($D1432-$C1432+1)+3,"00"),"")&amp;IF($C1432&gt;=5,", "&amp;$A1432&amp;"-"&amp;TEXT(($D1432-$C1432+1)+4,"00"),"")&amp;IF($C1432&gt;=6,", "&amp;$A1432&amp;"-"&amp;TEXT(($D1432-$C1432+1)+5,"00"),"")&amp;IF($C1432&gt;=7,", "&amp;$A1432&amp;"-"&amp;TEXT(($D1432-$C1432+1)+6,"00"),"")&amp;IF($C1432&gt;=8,", "&amp;$A1432&amp;"-"&amp;TEXT(($D1432-$C1432+1)+7,"00"),"")&amp;IF($C1432&gt;=9,", "&amp;$A1432&amp;"-"&amp;TEXT(($D1432-$C1432+1)+8,"00"),"")&amp;IF($C1432&gt;=10,", "&amp;$A1432&amp;"-"&amp;TEXT(($D1432-$C1432+1)+9,"00"),"")&amp;IF($C1432&gt;=11,", "&amp;$A1432&amp;"-"&amp;TEXT(($D1432-$C1432+1)+10,"00"),"")&amp;IF($C1432&gt;=12,", "&amp;$A1432&amp;"-"&amp;TEXT(($D1432-$C1432+1)+11,"00"),"")&amp;IF($C1432&gt;=13,", "&amp;$A1432&amp;"-"&amp;TEXT(($D1432-$C1432+1)+12,"00"),"")&amp;IF($C1432&gt;=14,", "&amp;$A1432&amp;"-"&amp;TEXT(($D1432-$C1432+1)+13,"00"),"")&amp;IF($C1432&gt;=15,", "&amp;$A1432&amp;"-"&amp;TEXT(($D1432-$C1432+1)+14,"00"),"")&amp;IF($C1432&gt;=16,", "&amp;$A1432&amp;"-"&amp;TEXT(($D1432-$C1432+1)+15,"00"),"")&amp;IF($C1432&gt;=17,", "&amp;$A1432&amp;"-"&amp;TEXT(($D1432-$C1432+1)+16,"00"),"")&amp;IF($C1432&gt;=18,", "&amp;$A1432&amp;"-"&amp;TEXT(($D1432-$C1432+1)+17,"00"),"")&amp;IF($C1432&gt;=19,", "&amp;$A1432&amp;"-"&amp;TEXT(($D1432-$C1432+1)+18,"00"),"")&amp;IF($C1432&gt;=20,", "&amp;$A1432&amp;"-"&amp;TEXT(($D1432-$C1432+1)+19,"00"),"")&amp;IF($C1432&gt;=21,", "&amp;$A1432&amp;"-"&amp;TEXT(($D1432-$C1432+1)+20,"00"),"")&amp;IF($C1432&gt;=22,", "&amp;$A1432&amp;"-"&amp;TEXT(($D1432-$C1432+1)+21,"00"),"")&amp;IF($C1432&gt;=23,", "&amp;$A1432&amp;"-"&amp;TEXT(($D1432-$C1432+1)+22,"00"),"")&amp;IF($C1432&gt;=24,", "&amp;$A1432&amp;"-"&amp;TEXT(($D1432-$C1432+1)+23,"00"),"")&amp;IF($C1432&gt;=25,", "&amp;$A1432&amp;"-"&amp;TEXT(($D1432-$C1432+1)+24,"00"),""))</f>
        <v/>
      </c>
      <c r="G1432">
        <f>IF($A1432="","",IF($E1432=1,$F1432,IF($F1432="",$G1431,IF($G1431="",$F1432,$G1431&amp;", "&amp;$F1432))))</f>
        <v/>
      </c>
      <c r="H1432">
        <f>IF($A1432="","",$A1432&amp;" ("&amp;$C1432&amp;")")</f>
        <v/>
      </c>
      <c r="I1432">
        <f>IF($A1432="","",IF($E1432=1,$H1432,$I1431&amp;", "&amp;$H1432))</f>
        <v/>
      </c>
      <c r="J1432">
        <f>IF($A1432="","",IF($E1432=1,$B1432,""))</f>
        <v/>
      </c>
      <c r="K1432">
        <f>IF($A1432="","",IF(COUNTIF($B$2:$B1432,$B1432)=COUNTIF($B$2:$B$1601,$B1432),$B1432,""))</f>
        <v/>
      </c>
    </row>
    <row r="1433">
      <c r="A1433">
        <f>IF('TMP Paste'!$E1433="","",'TMP Paste'!$E1433)</f>
        <v/>
      </c>
      <c r="B1433">
        <f>IF($A1433="","",COUNTIF('TMP Paste'!$B$2:$B1433,"?*"))</f>
        <v/>
      </c>
      <c r="C1433">
        <f>IF($A1433="","",IFERROR('TMP Paste'!$M1433*1,0))</f>
        <v/>
      </c>
      <c r="D1433">
        <f>IF($A1433="","",SUMIF($B$2:$B1433,$B1433,$C$2:$C1433))</f>
        <v/>
      </c>
      <c r="E1433">
        <f>IF($A1433="",0,IF('TMP Paste'!$B1433="",0,1))</f>
        <v/>
      </c>
      <c r="F1433">
        <f>IF(OR($A1433="",$C1433&lt;1),"",$A1433&amp;"-"&amp;TEXT(($D1433-$C1433+1),"00")&amp;IF($C1433&gt;=2,", "&amp;$A1433&amp;"-"&amp;TEXT(($D1433-$C1433+1)+1,"00"),"")&amp;IF($C1433&gt;=3,", "&amp;$A1433&amp;"-"&amp;TEXT(($D1433-$C1433+1)+2,"00"),"")&amp;IF($C1433&gt;=4,", "&amp;$A1433&amp;"-"&amp;TEXT(($D1433-$C1433+1)+3,"00"),"")&amp;IF($C1433&gt;=5,", "&amp;$A1433&amp;"-"&amp;TEXT(($D1433-$C1433+1)+4,"00"),"")&amp;IF($C1433&gt;=6,", "&amp;$A1433&amp;"-"&amp;TEXT(($D1433-$C1433+1)+5,"00"),"")&amp;IF($C1433&gt;=7,", "&amp;$A1433&amp;"-"&amp;TEXT(($D1433-$C1433+1)+6,"00"),"")&amp;IF($C1433&gt;=8,", "&amp;$A1433&amp;"-"&amp;TEXT(($D1433-$C1433+1)+7,"00"),"")&amp;IF($C1433&gt;=9,", "&amp;$A1433&amp;"-"&amp;TEXT(($D1433-$C1433+1)+8,"00"),"")&amp;IF($C1433&gt;=10,", "&amp;$A1433&amp;"-"&amp;TEXT(($D1433-$C1433+1)+9,"00"),"")&amp;IF($C1433&gt;=11,", "&amp;$A1433&amp;"-"&amp;TEXT(($D1433-$C1433+1)+10,"00"),"")&amp;IF($C1433&gt;=12,", "&amp;$A1433&amp;"-"&amp;TEXT(($D1433-$C1433+1)+11,"00"),"")&amp;IF($C1433&gt;=13,", "&amp;$A1433&amp;"-"&amp;TEXT(($D1433-$C1433+1)+12,"00"),"")&amp;IF($C1433&gt;=14,", "&amp;$A1433&amp;"-"&amp;TEXT(($D1433-$C1433+1)+13,"00"),"")&amp;IF($C1433&gt;=15,", "&amp;$A1433&amp;"-"&amp;TEXT(($D1433-$C1433+1)+14,"00"),"")&amp;IF($C1433&gt;=16,", "&amp;$A1433&amp;"-"&amp;TEXT(($D1433-$C1433+1)+15,"00"),"")&amp;IF($C1433&gt;=17,", "&amp;$A1433&amp;"-"&amp;TEXT(($D1433-$C1433+1)+16,"00"),"")&amp;IF($C1433&gt;=18,", "&amp;$A1433&amp;"-"&amp;TEXT(($D1433-$C1433+1)+17,"00"),"")&amp;IF($C1433&gt;=19,", "&amp;$A1433&amp;"-"&amp;TEXT(($D1433-$C1433+1)+18,"00"),"")&amp;IF($C1433&gt;=20,", "&amp;$A1433&amp;"-"&amp;TEXT(($D1433-$C1433+1)+19,"00"),"")&amp;IF($C1433&gt;=21,", "&amp;$A1433&amp;"-"&amp;TEXT(($D1433-$C1433+1)+20,"00"),"")&amp;IF($C1433&gt;=22,", "&amp;$A1433&amp;"-"&amp;TEXT(($D1433-$C1433+1)+21,"00"),"")&amp;IF($C1433&gt;=23,", "&amp;$A1433&amp;"-"&amp;TEXT(($D1433-$C1433+1)+22,"00"),"")&amp;IF($C1433&gt;=24,", "&amp;$A1433&amp;"-"&amp;TEXT(($D1433-$C1433+1)+23,"00"),"")&amp;IF($C1433&gt;=25,", "&amp;$A1433&amp;"-"&amp;TEXT(($D1433-$C1433+1)+24,"00"),""))</f>
        <v/>
      </c>
      <c r="G1433">
        <f>IF($A1433="","",IF($E1433=1,$F1433,IF($F1433="",$G1432,IF($G1432="",$F1433,$G1432&amp;", "&amp;$F1433))))</f>
        <v/>
      </c>
      <c r="H1433">
        <f>IF($A1433="","",$A1433&amp;" ("&amp;$C1433&amp;")")</f>
        <v/>
      </c>
      <c r="I1433">
        <f>IF($A1433="","",IF($E1433=1,$H1433,$I1432&amp;", "&amp;$H1433))</f>
        <v/>
      </c>
      <c r="J1433">
        <f>IF($A1433="","",IF($E1433=1,$B1433,""))</f>
        <v/>
      </c>
      <c r="K1433">
        <f>IF($A1433="","",IF(COUNTIF($B$2:$B1433,$B1433)=COUNTIF($B$2:$B$1601,$B1433),$B1433,""))</f>
        <v/>
      </c>
    </row>
    <row r="1434">
      <c r="A1434">
        <f>IF('TMP Paste'!$E1434="","",'TMP Paste'!$E1434)</f>
        <v/>
      </c>
      <c r="B1434">
        <f>IF($A1434="","",COUNTIF('TMP Paste'!$B$2:$B1434,"?*"))</f>
        <v/>
      </c>
      <c r="C1434">
        <f>IF($A1434="","",IFERROR('TMP Paste'!$M1434*1,0))</f>
        <v/>
      </c>
      <c r="D1434">
        <f>IF($A1434="","",SUMIF($B$2:$B1434,$B1434,$C$2:$C1434))</f>
        <v/>
      </c>
      <c r="E1434">
        <f>IF($A1434="",0,IF('TMP Paste'!$B1434="",0,1))</f>
        <v/>
      </c>
      <c r="F1434">
        <f>IF(OR($A1434="",$C1434&lt;1),"",$A1434&amp;"-"&amp;TEXT(($D1434-$C1434+1),"00")&amp;IF($C1434&gt;=2,", "&amp;$A1434&amp;"-"&amp;TEXT(($D1434-$C1434+1)+1,"00"),"")&amp;IF($C1434&gt;=3,", "&amp;$A1434&amp;"-"&amp;TEXT(($D1434-$C1434+1)+2,"00"),"")&amp;IF($C1434&gt;=4,", "&amp;$A1434&amp;"-"&amp;TEXT(($D1434-$C1434+1)+3,"00"),"")&amp;IF($C1434&gt;=5,", "&amp;$A1434&amp;"-"&amp;TEXT(($D1434-$C1434+1)+4,"00"),"")&amp;IF($C1434&gt;=6,", "&amp;$A1434&amp;"-"&amp;TEXT(($D1434-$C1434+1)+5,"00"),"")&amp;IF($C1434&gt;=7,", "&amp;$A1434&amp;"-"&amp;TEXT(($D1434-$C1434+1)+6,"00"),"")&amp;IF($C1434&gt;=8,", "&amp;$A1434&amp;"-"&amp;TEXT(($D1434-$C1434+1)+7,"00"),"")&amp;IF($C1434&gt;=9,", "&amp;$A1434&amp;"-"&amp;TEXT(($D1434-$C1434+1)+8,"00"),"")&amp;IF($C1434&gt;=10,", "&amp;$A1434&amp;"-"&amp;TEXT(($D1434-$C1434+1)+9,"00"),"")&amp;IF($C1434&gt;=11,", "&amp;$A1434&amp;"-"&amp;TEXT(($D1434-$C1434+1)+10,"00"),"")&amp;IF($C1434&gt;=12,", "&amp;$A1434&amp;"-"&amp;TEXT(($D1434-$C1434+1)+11,"00"),"")&amp;IF($C1434&gt;=13,", "&amp;$A1434&amp;"-"&amp;TEXT(($D1434-$C1434+1)+12,"00"),"")&amp;IF($C1434&gt;=14,", "&amp;$A1434&amp;"-"&amp;TEXT(($D1434-$C1434+1)+13,"00"),"")&amp;IF($C1434&gt;=15,", "&amp;$A1434&amp;"-"&amp;TEXT(($D1434-$C1434+1)+14,"00"),"")&amp;IF($C1434&gt;=16,", "&amp;$A1434&amp;"-"&amp;TEXT(($D1434-$C1434+1)+15,"00"),"")&amp;IF($C1434&gt;=17,", "&amp;$A1434&amp;"-"&amp;TEXT(($D1434-$C1434+1)+16,"00"),"")&amp;IF($C1434&gt;=18,", "&amp;$A1434&amp;"-"&amp;TEXT(($D1434-$C1434+1)+17,"00"),"")&amp;IF($C1434&gt;=19,", "&amp;$A1434&amp;"-"&amp;TEXT(($D1434-$C1434+1)+18,"00"),"")&amp;IF($C1434&gt;=20,", "&amp;$A1434&amp;"-"&amp;TEXT(($D1434-$C1434+1)+19,"00"),"")&amp;IF($C1434&gt;=21,", "&amp;$A1434&amp;"-"&amp;TEXT(($D1434-$C1434+1)+20,"00"),"")&amp;IF($C1434&gt;=22,", "&amp;$A1434&amp;"-"&amp;TEXT(($D1434-$C1434+1)+21,"00"),"")&amp;IF($C1434&gt;=23,", "&amp;$A1434&amp;"-"&amp;TEXT(($D1434-$C1434+1)+22,"00"),"")&amp;IF($C1434&gt;=24,", "&amp;$A1434&amp;"-"&amp;TEXT(($D1434-$C1434+1)+23,"00"),"")&amp;IF($C1434&gt;=25,", "&amp;$A1434&amp;"-"&amp;TEXT(($D1434-$C1434+1)+24,"00"),""))</f>
        <v/>
      </c>
      <c r="G1434">
        <f>IF($A1434="","",IF($E1434=1,$F1434,IF($F1434="",$G1433,IF($G1433="",$F1434,$G1433&amp;", "&amp;$F1434))))</f>
        <v/>
      </c>
      <c r="H1434">
        <f>IF($A1434="","",$A1434&amp;" ("&amp;$C1434&amp;")")</f>
        <v/>
      </c>
      <c r="I1434">
        <f>IF($A1434="","",IF($E1434=1,$H1434,$I1433&amp;", "&amp;$H1434))</f>
        <v/>
      </c>
      <c r="J1434">
        <f>IF($A1434="","",IF($E1434=1,$B1434,""))</f>
        <v/>
      </c>
      <c r="K1434">
        <f>IF($A1434="","",IF(COUNTIF($B$2:$B1434,$B1434)=COUNTIF($B$2:$B$1601,$B1434),$B1434,""))</f>
        <v/>
      </c>
    </row>
    <row r="1435">
      <c r="A1435">
        <f>IF('TMP Paste'!$E1435="","",'TMP Paste'!$E1435)</f>
        <v/>
      </c>
      <c r="B1435">
        <f>IF($A1435="","",COUNTIF('TMP Paste'!$B$2:$B1435,"?*"))</f>
        <v/>
      </c>
      <c r="C1435">
        <f>IF($A1435="","",IFERROR('TMP Paste'!$M1435*1,0))</f>
        <v/>
      </c>
      <c r="D1435">
        <f>IF($A1435="","",SUMIF($B$2:$B1435,$B1435,$C$2:$C1435))</f>
        <v/>
      </c>
      <c r="E1435">
        <f>IF($A1435="",0,IF('TMP Paste'!$B1435="",0,1))</f>
        <v/>
      </c>
      <c r="F1435">
        <f>IF(OR($A1435="",$C1435&lt;1),"",$A1435&amp;"-"&amp;TEXT(($D1435-$C1435+1),"00")&amp;IF($C1435&gt;=2,", "&amp;$A1435&amp;"-"&amp;TEXT(($D1435-$C1435+1)+1,"00"),"")&amp;IF($C1435&gt;=3,", "&amp;$A1435&amp;"-"&amp;TEXT(($D1435-$C1435+1)+2,"00"),"")&amp;IF($C1435&gt;=4,", "&amp;$A1435&amp;"-"&amp;TEXT(($D1435-$C1435+1)+3,"00"),"")&amp;IF($C1435&gt;=5,", "&amp;$A1435&amp;"-"&amp;TEXT(($D1435-$C1435+1)+4,"00"),"")&amp;IF($C1435&gt;=6,", "&amp;$A1435&amp;"-"&amp;TEXT(($D1435-$C1435+1)+5,"00"),"")&amp;IF($C1435&gt;=7,", "&amp;$A1435&amp;"-"&amp;TEXT(($D1435-$C1435+1)+6,"00"),"")&amp;IF($C1435&gt;=8,", "&amp;$A1435&amp;"-"&amp;TEXT(($D1435-$C1435+1)+7,"00"),"")&amp;IF($C1435&gt;=9,", "&amp;$A1435&amp;"-"&amp;TEXT(($D1435-$C1435+1)+8,"00"),"")&amp;IF($C1435&gt;=10,", "&amp;$A1435&amp;"-"&amp;TEXT(($D1435-$C1435+1)+9,"00"),"")&amp;IF($C1435&gt;=11,", "&amp;$A1435&amp;"-"&amp;TEXT(($D1435-$C1435+1)+10,"00"),"")&amp;IF($C1435&gt;=12,", "&amp;$A1435&amp;"-"&amp;TEXT(($D1435-$C1435+1)+11,"00"),"")&amp;IF($C1435&gt;=13,", "&amp;$A1435&amp;"-"&amp;TEXT(($D1435-$C1435+1)+12,"00"),"")&amp;IF($C1435&gt;=14,", "&amp;$A1435&amp;"-"&amp;TEXT(($D1435-$C1435+1)+13,"00"),"")&amp;IF($C1435&gt;=15,", "&amp;$A1435&amp;"-"&amp;TEXT(($D1435-$C1435+1)+14,"00"),"")&amp;IF($C1435&gt;=16,", "&amp;$A1435&amp;"-"&amp;TEXT(($D1435-$C1435+1)+15,"00"),"")&amp;IF($C1435&gt;=17,", "&amp;$A1435&amp;"-"&amp;TEXT(($D1435-$C1435+1)+16,"00"),"")&amp;IF($C1435&gt;=18,", "&amp;$A1435&amp;"-"&amp;TEXT(($D1435-$C1435+1)+17,"00"),"")&amp;IF($C1435&gt;=19,", "&amp;$A1435&amp;"-"&amp;TEXT(($D1435-$C1435+1)+18,"00"),"")&amp;IF($C1435&gt;=20,", "&amp;$A1435&amp;"-"&amp;TEXT(($D1435-$C1435+1)+19,"00"),"")&amp;IF($C1435&gt;=21,", "&amp;$A1435&amp;"-"&amp;TEXT(($D1435-$C1435+1)+20,"00"),"")&amp;IF($C1435&gt;=22,", "&amp;$A1435&amp;"-"&amp;TEXT(($D1435-$C1435+1)+21,"00"),"")&amp;IF($C1435&gt;=23,", "&amp;$A1435&amp;"-"&amp;TEXT(($D1435-$C1435+1)+22,"00"),"")&amp;IF($C1435&gt;=24,", "&amp;$A1435&amp;"-"&amp;TEXT(($D1435-$C1435+1)+23,"00"),"")&amp;IF($C1435&gt;=25,", "&amp;$A1435&amp;"-"&amp;TEXT(($D1435-$C1435+1)+24,"00"),""))</f>
        <v/>
      </c>
      <c r="G1435">
        <f>IF($A1435="","",IF($E1435=1,$F1435,IF($F1435="",$G1434,IF($G1434="",$F1435,$G1434&amp;", "&amp;$F1435))))</f>
        <v/>
      </c>
      <c r="H1435">
        <f>IF($A1435="","",$A1435&amp;" ("&amp;$C1435&amp;")")</f>
        <v/>
      </c>
      <c r="I1435">
        <f>IF($A1435="","",IF($E1435=1,$H1435,$I1434&amp;", "&amp;$H1435))</f>
        <v/>
      </c>
      <c r="J1435">
        <f>IF($A1435="","",IF($E1435=1,$B1435,""))</f>
        <v/>
      </c>
      <c r="K1435">
        <f>IF($A1435="","",IF(COUNTIF($B$2:$B1435,$B1435)=COUNTIF($B$2:$B$1601,$B1435),$B1435,""))</f>
        <v/>
      </c>
    </row>
    <row r="1436">
      <c r="A1436">
        <f>IF('TMP Paste'!$E1436="","",'TMP Paste'!$E1436)</f>
        <v/>
      </c>
      <c r="B1436">
        <f>IF($A1436="","",COUNTIF('TMP Paste'!$B$2:$B1436,"?*"))</f>
        <v/>
      </c>
      <c r="C1436">
        <f>IF($A1436="","",IFERROR('TMP Paste'!$M1436*1,0))</f>
        <v/>
      </c>
      <c r="D1436">
        <f>IF($A1436="","",SUMIF($B$2:$B1436,$B1436,$C$2:$C1436))</f>
        <v/>
      </c>
      <c r="E1436">
        <f>IF($A1436="",0,IF('TMP Paste'!$B1436="",0,1))</f>
        <v/>
      </c>
      <c r="F1436">
        <f>IF(OR($A1436="",$C1436&lt;1),"",$A1436&amp;"-"&amp;TEXT(($D1436-$C1436+1),"00")&amp;IF($C1436&gt;=2,", "&amp;$A1436&amp;"-"&amp;TEXT(($D1436-$C1436+1)+1,"00"),"")&amp;IF($C1436&gt;=3,", "&amp;$A1436&amp;"-"&amp;TEXT(($D1436-$C1436+1)+2,"00"),"")&amp;IF($C1436&gt;=4,", "&amp;$A1436&amp;"-"&amp;TEXT(($D1436-$C1436+1)+3,"00"),"")&amp;IF($C1436&gt;=5,", "&amp;$A1436&amp;"-"&amp;TEXT(($D1436-$C1436+1)+4,"00"),"")&amp;IF($C1436&gt;=6,", "&amp;$A1436&amp;"-"&amp;TEXT(($D1436-$C1436+1)+5,"00"),"")&amp;IF($C1436&gt;=7,", "&amp;$A1436&amp;"-"&amp;TEXT(($D1436-$C1436+1)+6,"00"),"")&amp;IF($C1436&gt;=8,", "&amp;$A1436&amp;"-"&amp;TEXT(($D1436-$C1436+1)+7,"00"),"")&amp;IF($C1436&gt;=9,", "&amp;$A1436&amp;"-"&amp;TEXT(($D1436-$C1436+1)+8,"00"),"")&amp;IF($C1436&gt;=10,", "&amp;$A1436&amp;"-"&amp;TEXT(($D1436-$C1436+1)+9,"00"),"")&amp;IF($C1436&gt;=11,", "&amp;$A1436&amp;"-"&amp;TEXT(($D1436-$C1436+1)+10,"00"),"")&amp;IF($C1436&gt;=12,", "&amp;$A1436&amp;"-"&amp;TEXT(($D1436-$C1436+1)+11,"00"),"")&amp;IF($C1436&gt;=13,", "&amp;$A1436&amp;"-"&amp;TEXT(($D1436-$C1436+1)+12,"00"),"")&amp;IF($C1436&gt;=14,", "&amp;$A1436&amp;"-"&amp;TEXT(($D1436-$C1436+1)+13,"00"),"")&amp;IF($C1436&gt;=15,", "&amp;$A1436&amp;"-"&amp;TEXT(($D1436-$C1436+1)+14,"00"),"")&amp;IF($C1436&gt;=16,", "&amp;$A1436&amp;"-"&amp;TEXT(($D1436-$C1436+1)+15,"00"),"")&amp;IF($C1436&gt;=17,", "&amp;$A1436&amp;"-"&amp;TEXT(($D1436-$C1436+1)+16,"00"),"")&amp;IF($C1436&gt;=18,", "&amp;$A1436&amp;"-"&amp;TEXT(($D1436-$C1436+1)+17,"00"),"")&amp;IF($C1436&gt;=19,", "&amp;$A1436&amp;"-"&amp;TEXT(($D1436-$C1436+1)+18,"00"),"")&amp;IF($C1436&gt;=20,", "&amp;$A1436&amp;"-"&amp;TEXT(($D1436-$C1436+1)+19,"00"),"")&amp;IF($C1436&gt;=21,", "&amp;$A1436&amp;"-"&amp;TEXT(($D1436-$C1436+1)+20,"00"),"")&amp;IF($C1436&gt;=22,", "&amp;$A1436&amp;"-"&amp;TEXT(($D1436-$C1436+1)+21,"00"),"")&amp;IF($C1436&gt;=23,", "&amp;$A1436&amp;"-"&amp;TEXT(($D1436-$C1436+1)+22,"00"),"")&amp;IF($C1436&gt;=24,", "&amp;$A1436&amp;"-"&amp;TEXT(($D1436-$C1436+1)+23,"00"),"")&amp;IF($C1436&gt;=25,", "&amp;$A1436&amp;"-"&amp;TEXT(($D1436-$C1436+1)+24,"00"),""))</f>
        <v/>
      </c>
      <c r="G1436">
        <f>IF($A1436="","",IF($E1436=1,$F1436,IF($F1436="",$G1435,IF($G1435="",$F1436,$G1435&amp;", "&amp;$F1436))))</f>
        <v/>
      </c>
      <c r="H1436">
        <f>IF($A1436="","",$A1436&amp;" ("&amp;$C1436&amp;")")</f>
        <v/>
      </c>
      <c r="I1436">
        <f>IF($A1436="","",IF($E1436=1,$H1436,$I1435&amp;", "&amp;$H1436))</f>
        <v/>
      </c>
      <c r="J1436">
        <f>IF($A1436="","",IF($E1436=1,$B1436,""))</f>
        <v/>
      </c>
      <c r="K1436">
        <f>IF($A1436="","",IF(COUNTIF($B$2:$B1436,$B1436)=COUNTIF($B$2:$B$1601,$B1436),$B1436,""))</f>
        <v/>
      </c>
    </row>
    <row r="1437">
      <c r="A1437">
        <f>IF('TMP Paste'!$E1437="","",'TMP Paste'!$E1437)</f>
        <v/>
      </c>
      <c r="B1437">
        <f>IF($A1437="","",COUNTIF('TMP Paste'!$B$2:$B1437,"?*"))</f>
        <v/>
      </c>
      <c r="C1437">
        <f>IF($A1437="","",IFERROR('TMP Paste'!$M1437*1,0))</f>
        <v/>
      </c>
      <c r="D1437">
        <f>IF($A1437="","",SUMIF($B$2:$B1437,$B1437,$C$2:$C1437))</f>
        <v/>
      </c>
      <c r="E1437">
        <f>IF($A1437="",0,IF('TMP Paste'!$B1437="",0,1))</f>
        <v/>
      </c>
      <c r="F1437">
        <f>IF(OR($A1437="",$C1437&lt;1),"",$A1437&amp;"-"&amp;TEXT(($D1437-$C1437+1),"00")&amp;IF($C1437&gt;=2,", "&amp;$A1437&amp;"-"&amp;TEXT(($D1437-$C1437+1)+1,"00"),"")&amp;IF($C1437&gt;=3,", "&amp;$A1437&amp;"-"&amp;TEXT(($D1437-$C1437+1)+2,"00"),"")&amp;IF($C1437&gt;=4,", "&amp;$A1437&amp;"-"&amp;TEXT(($D1437-$C1437+1)+3,"00"),"")&amp;IF($C1437&gt;=5,", "&amp;$A1437&amp;"-"&amp;TEXT(($D1437-$C1437+1)+4,"00"),"")&amp;IF($C1437&gt;=6,", "&amp;$A1437&amp;"-"&amp;TEXT(($D1437-$C1437+1)+5,"00"),"")&amp;IF($C1437&gt;=7,", "&amp;$A1437&amp;"-"&amp;TEXT(($D1437-$C1437+1)+6,"00"),"")&amp;IF($C1437&gt;=8,", "&amp;$A1437&amp;"-"&amp;TEXT(($D1437-$C1437+1)+7,"00"),"")&amp;IF($C1437&gt;=9,", "&amp;$A1437&amp;"-"&amp;TEXT(($D1437-$C1437+1)+8,"00"),"")&amp;IF($C1437&gt;=10,", "&amp;$A1437&amp;"-"&amp;TEXT(($D1437-$C1437+1)+9,"00"),"")&amp;IF($C1437&gt;=11,", "&amp;$A1437&amp;"-"&amp;TEXT(($D1437-$C1437+1)+10,"00"),"")&amp;IF($C1437&gt;=12,", "&amp;$A1437&amp;"-"&amp;TEXT(($D1437-$C1437+1)+11,"00"),"")&amp;IF($C1437&gt;=13,", "&amp;$A1437&amp;"-"&amp;TEXT(($D1437-$C1437+1)+12,"00"),"")&amp;IF($C1437&gt;=14,", "&amp;$A1437&amp;"-"&amp;TEXT(($D1437-$C1437+1)+13,"00"),"")&amp;IF($C1437&gt;=15,", "&amp;$A1437&amp;"-"&amp;TEXT(($D1437-$C1437+1)+14,"00"),"")&amp;IF($C1437&gt;=16,", "&amp;$A1437&amp;"-"&amp;TEXT(($D1437-$C1437+1)+15,"00"),"")&amp;IF($C1437&gt;=17,", "&amp;$A1437&amp;"-"&amp;TEXT(($D1437-$C1437+1)+16,"00"),"")&amp;IF($C1437&gt;=18,", "&amp;$A1437&amp;"-"&amp;TEXT(($D1437-$C1437+1)+17,"00"),"")&amp;IF($C1437&gt;=19,", "&amp;$A1437&amp;"-"&amp;TEXT(($D1437-$C1437+1)+18,"00"),"")&amp;IF($C1437&gt;=20,", "&amp;$A1437&amp;"-"&amp;TEXT(($D1437-$C1437+1)+19,"00"),"")&amp;IF($C1437&gt;=21,", "&amp;$A1437&amp;"-"&amp;TEXT(($D1437-$C1437+1)+20,"00"),"")&amp;IF($C1437&gt;=22,", "&amp;$A1437&amp;"-"&amp;TEXT(($D1437-$C1437+1)+21,"00"),"")&amp;IF($C1437&gt;=23,", "&amp;$A1437&amp;"-"&amp;TEXT(($D1437-$C1437+1)+22,"00"),"")&amp;IF($C1437&gt;=24,", "&amp;$A1437&amp;"-"&amp;TEXT(($D1437-$C1437+1)+23,"00"),"")&amp;IF($C1437&gt;=25,", "&amp;$A1437&amp;"-"&amp;TEXT(($D1437-$C1437+1)+24,"00"),""))</f>
        <v/>
      </c>
      <c r="G1437">
        <f>IF($A1437="","",IF($E1437=1,$F1437,IF($F1437="",$G1436,IF($G1436="",$F1437,$G1436&amp;", "&amp;$F1437))))</f>
        <v/>
      </c>
      <c r="H1437">
        <f>IF($A1437="","",$A1437&amp;" ("&amp;$C1437&amp;")")</f>
        <v/>
      </c>
      <c r="I1437">
        <f>IF($A1437="","",IF($E1437=1,$H1437,$I1436&amp;", "&amp;$H1437))</f>
        <v/>
      </c>
      <c r="J1437">
        <f>IF($A1437="","",IF($E1437=1,$B1437,""))</f>
        <v/>
      </c>
      <c r="K1437">
        <f>IF($A1437="","",IF(COUNTIF($B$2:$B1437,$B1437)=COUNTIF($B$2:$B$1601,$B1437),$B1437,""))</f>
        <v/>
      </c>
    </row>
    <row r="1438">
      <c r="A1438">
        <f>IF('TMP Paste'!$E1438="","",'TMP Paste'!$E1438)</f>
        <v/>
      </c>
      <c r="B1438">
        <f>IF($A1438="","",COUNTIF('TMP Paste'!$B$2:$B1438,"?*"))</f>
        <v/>
      </c>
      <c r="C1438">
        <f>IF($A1438="","",IFERROR('TMP Paste'!$M1438*1,0))</f>
        <v/>
      </c>
      <c r="D1438">
        <f>IF($A1438="","",SUMIF($B$2:$B1438,$B1438,$C$2:$C1438))</f>
        <v/>
      </c>
      <c r="E1438">
        <f>IF($A1438="",0,IF('TMP Paste'!$B1438="",0,1))</f>
        <v/>
      </c>
      <c r="F1438">
        <f>IF(OR($A1438="",$C1438&lt;1),"",$A1438&amp;"-"&amp;TEXT(($D1438-$C1438+1),"00")&amp;IF($C1438&gt;=2,", "&amp;$A1438&amp;"-"&amp;TEXT(($D1438-$C1438+1)+1,"00"),"")&amp;IF($C1438&gt;=3,", "&amp;$A1438&amp;"-"&amp;TEXT(($D1438-$C1438+1)+2,"00"),"")&amp;IF($C1438&gt;=4,", "&amp;$A1438&amp;"-"&amp;TEXT(($D1438-$C1438+1)+3,"00"),"")&amp;IF($C1438&gt;=5,", "&amp;$A1438&amp;"-"&amp;TEXT(($D1438-$C1438+1)+4,"00"),"")&amp;IF($C1438&gt;=6,", "&amp;$A1438&amp;"-"&amp;TEXT(($D1438-$C1438+1)+5,"00"),"")&amp;IF($C1438&gt;=7,", "&amp;$A1438&amp;"-"&amp;TEXT(($D1438-$C1438+1)+6,"00"),"")&amp;IF($C1438&gt;=8,", "&amp;$A1438&amp;"-"&amp;TEXT(($D1438-$C1438+1)+7,"00"),"")&amp;IF($C1438&gt;=9,", "&amp;$A1438&amp;"-"&amp;TEXT(($D1438-$C1438+1)+8,"00"),"")&amp;IF($C1438&gt;=10,", "&amp;$A1438&amp;"-"&amp;TEXT(($D1438-$C1438+1)+9,"00"),"")&amp;IF($C1438&gt;=11,", "&amp;$A1438&amp;"-"&amp;TEXT(($D1438-$C1438+1)+10,"00"),"")&amp;IF($C1438&gt;=12,", "&amp;$A1438&amp;"-"&amp;TEXT(($D1438-$C1438+1)+11,"00"),"")&amp;IF($C1438&gt;=13,", "&amp;$A1438&amp;"-"&amp;TEXT(($D1438-$C1438+1)+12,"00"),"")&amp;IF($C1438&gt;=14,", "&amp;$A1438&amp;"-"&amp;TEXT(($D1438-$C1438+1)+13,"00"),"")&amp;IF($C1438&gt;=15,", "&amp;$A1438&amp;"-"&amp;TEXT(($D1438-$C1438+1)+14,"00"),"")&amp;IF($C1438&gt;=16,", "&amp;$A1438&amp;"-"&amp;TEXT(($D1438-$C1438+1)+15,"00"),"")&amp;IF($C1438&gt;=17,", "&amp;$A1438&amp;"-"&amp;TEXT(($D1438-$C1438+1)+16,"00"),"")&amp;IF($C1438&gt;=18,", "&amp;$A1438&amp;"-"&amp;TEXT(($D1438-$C1438+1)+17,"00"),"")&amp;IF($C1438&gt;=19,", "&amp;$A1438&amp;"-"&amp;TEXT(($D1438-$C1438+1)+18,"00"),"")&amp;IF($C1438&gt;=20,", "&amp;$A1438&amp;"-"&amp;TEXT(($D1438-$C1438+1)+19,"00"),"")&amp;IF($C1438&gt;=21,", "&amp;$A1438&amp;"-"&amp;TEXT(($D1438-$C1438+1)+20,"00"),"")&amp;IF($C1438&gt;=22,", "&amp;$A1438&amp;"-"&amp;TEXT(($D1438-$C1438+1)+21,"00"),"")&amp;IF($C1438&gt;=23,", "&amp;$A1438&amp;"-"&amp;TEXT(($D1438-$C1438+1)+22,"00"),"")&amp;IF($C1438&gt;=24,", "&amp;$A1438&amp;"-"&amp;TEXT(($D1438-$C1438+1)+23,"00"),"")&amp;IF($C1438&gt;=25,", "&amp;$A1438&amp;"-"&amp;TEXT(($D1438-$C1438+1)+24,"00"),""))</f>
        <v/>
      </c>
      <c r="G1438">
        <f>IF($A1438="","",IF($E1438=1,$F1438,IF($F1438="",$G1437,IF($G1437="",$F1438,$G1437&amp;", "&amp;$F1438))))</f>
        <v/>
      </c>
      <c r="H1438">
        <f>IF($A1438="","",$A1438&amp;" ("&amp;$C1438&amp;")")</f>
        <v/>
      </c>
      <c r="I1438">
        <f>IF($A1438="","",IF($E1438=1,$H1438,$I1437&amp;", "&amp;$H1438))</f>
        <v/>
      </c>
      <c r="J1438">
        <f>IF($A1438="","",IF($E1438=1,$B1438,""))</f>
        <v/>
      </c>
      <c r="K1438">
        <f>IF($A1438="","",IF(COUNTIF($B$2:$B1438,$B1438)=COUNTIF($B$2:$B$1601,$B1438),$B1438,""))</f>
        <v/>
      </c>
    </row>
    <row r="1439">
      <c r="A1439">
        <f>IF('TMP Paste'!$E1439="","",'TMP Paste'!$E1439)</f>
        <v/>
      </c>
      <c r="B1439">
        <f>IF($A1439="","",COUNTIF('TMP Paste'!$B$2:$B1439,"?*"))</f>
        <v/>
      </c>
      <c r="C1439">
        <f>IF($A1439="","",IFERROR('TMP Paste'!$M1439*1,0))</f>
        <v/>
      </c>
      <c r="D1439">
        <f>IF($A1439="","",SUMIF($B$2:$B1439,$B1439,$C$2:$C1439))</f>
        <v/>
      </c>
      <c r="E1439">
        <f>IF($A1439="",0,IF('TMP Paste'!$B1439="",0,1))</f>
        <v/>
      </c>
      <c r="F1439">
        <f>IF(OR($A1439="",$C1439&lt;1),"",$A1439&amp;"-"&amp;TEXT(($D1439-$C1439+1),"00")&amp;IF($C1439&gt;=2,", "&amp;$A1439&amp;"-"&amp;TEXT(($D1439-$C1439+1)+1,"00"),"")&amp;IF($C1439&gt;=3,", "&amp;$A1439&amp;"-"&amp;TEXT(($D1439-$C1439+1)+2,"00"),"")&amp;IF($C1439&gt;=4,", "&amp;$A1439&amp;"-"&amp;TEXT(($D1439-$C1439+1)+3,"00"),"")&amp;IF($C1439&gt;=5,", "&amp;$A1439&amp;"-"&amp;TEXT(($D1439-$C1439+1)+4,"00"),"")&amp;IF($C1439&gt;=6,", "&amp;$A1439&amp;"-"&amp;TEXT(($D1439-$C1439+1)+5,"00"),"")&amp;IF($C1439&gt;=7,", "&amp;$A1439&amp;"-"&amp;TEXT(($D1439-$C1439+1)+6,"00"),"")&amp;IF($C1439&gt;=8,", "&amp;$A1439&amp;"-"&amp;TEXT(($D1439-$C1439+1)+7,"00"),"")&amp;IF($C1439&gt;=9,", "&amp;$A1439&amp;"-"&amp;TEXT(($D1439-$C1439+1)+8,"00"),"")&amp;IF($C1439&gt;=10,", "&amp;$A1439&amp;"-"&amp;TEXT(($D1439-$C1439+1)+9,"00"),"")&amp;IF($C1439&gt;=11,", "&amp;$A1439&amp;"-"&amp;TEXT(($D1439-$C1439+1)+10,"00"),"")&amp;IF($C1439&gt;=12,", "&amp;$A1439&amp;"-"&amp;TEXT(($D1439-$C1439+1)+11,"00"),"")&amp;IF($C1439&gt;=13,", "&amp;$A1439&amp;"-"&amp;TEXT(($D1439-$C1439+1)+12,"00"),"")&amp;IF($C1439&gt;=14,", "&amp;$A1439&amp;"-"&amp;TEXT(($D1439-$C1439+1)+13,"00"),"")&amp;IF($C1439&gt;=15,", "&amp;$A1439&amp;"-"&amp;TEXT(($D1439-$C1439+1)+14,"00"),"")&amp;IF($C1439&gt;=16,", "&amp;$A1439&amp;"-"&amp;TEXT(($D1439-$C1439+1)+15,"00"),"")&amp;IF($C1439&gt;=17,", "&amp;$A1439&amp;"-"&amp;TEXT(($D1439-$C1439+1)+16,"00"),"")&amp;IF($C1439&gt;=18,", "&amp;$A1439&amp;"-"&amp;TEXT(($D1439-$C1439+1)+17,"00"),"")&amp;IF($C1439&gt;=19,", "&amp;$A1439&amp;"-"&amp;TEXT(($D1439-$C1439+1)+18,"00"),"")&amp;IF($C1439&gt;=20,", "&amp;$A1439&amp;"-"&amp;TEXT(($D1439-$C1439+1)+19,"00"),"")&amp;IF($C1439&gt;=21,", "&amp;$A1439&amp;"-"&amp;TEXT(($D1439-$C1439+1)+20,"00"),"")&amp;IF($C1439&gt;=22,", "&amp;$A1439&amp;"-"&amp;TEXT(($D1439-$C1439+1)+21,"00"),"")&amp;IF($C1439&gt;=23,", "&amp;$A1439&amp;"-"&amp;TEXT(($D1439-$C1439+1)+22,"00"),"")&amp;IF($C1439&gt;=24,", "&amp;$A1439&amp;"-"&amp;TEXT(($D1439-$C1439+1)+23,"00"),"")&amp;IF($C1439&gt;=25,", "&amp;$A1439&amp;"-"&amp;TEXT(($D1439-$C1439+1)+24,"00"),""))</f>
        <v/>
      </c>
      <c r="G1439">
        <f>IF($A1439="","",IF($E1439=1,$F1439,IF($F1439="",$G1438,IF($G1438="",$F1439,$G1438&amp;", "&amp;$F1439))))</f>
        <v/>
      </c>
      <c r="H1439">
        <f>IF($A1439="","",$A1439&amp;" ("&amp;$C1439&amp;")")</f>
        <v/>
      </c>
      <c r="I1439">
        <f>IF($A1439="","",IF($E1439=1,$H1439,$I1438&amp;", "&amp;$H1439))</f>
        <v/>
      </c>
      <c r="J1439">
        <f>IF($A1439="","",IF($E1439=1,$B1439,""))</f>
        <v/>
      </c>
      <c r="K1439">
        <f>IF($A1439="","",IF(COUNTIF($B$2:$B1439,$B1439)=COUNTIF($B$2:$B$1601,$B1439),$B1439,""))</f>
        <v/>
      </c>
    </row>
    <row r="1440">
      <c r="A1440">
        <f>IF('TMP Paste'!$E1440="","",'TMP Paste'!$E1440)</f>
        <v/>
      </c>
      <c r="B1440">
        <f>IF($A1440="","",COUNTIF('TMP Paste'!$B$2:$B1440,"?*"))</f>
        <v/>
      </c>
      <c r="C1440">
        <f>IF($A1440="","",IFERROR('TMP Paste'!$M1440*1,0))</f>
        <v/>
      </c>
      <c r="D1440">
        <f>IF($A1440="","",SUMIF($B$2:$B1440,$B1440,$C$2:$C1440))</f>
        <v/>
      </c>
      <c r="E1440">
        <f>IF($A1440="",0,IF('TMP Paste'!$B1440="",0,1))</f>
        <v/>
      </c>
      <c r="F1440">
        <f>IF(OR($A1440="",$C1440&lt;1),"",$A1440&amp;"-"&amp;TEXT(($D1440-$C1440+1),"00")&amp;IF($C1440&gt;=2,", "&amp;$A1440&amp;"-"&amp;TEXT(($D1440-$C1440+1)+1,"00"),"")&amp;IF($C1440&gt;=3,", "&amp;$A1440&amp;"-"&amp;TEXT(($D1440-$C1440+1)+2,"00"),"")&amp;IF($C1440&gt;=4,", "&amp;$A1440&amp;"-"&amp;TEXT(($D1440-$C1440+1)+3,"00"),"")&amp;IF($C1440&gt;=5,", "&amp;$A1440&amp;"-"&amp;TEXT(($D1440-$C1440+1)+4,"00"),"")&amp;IF($C1440&gt;=6,", "&amp;$A1440&amp;"-"&amp;TEXT(($D1440-$C1440+1)+5,"00"),"")&amp;IF($C1440&gt;=7,", "&amp;$A1440&amp;"-"&amp;TEXT(($D1440-$C1440+1)+6,"00"),"")&amp;IF($C1440&gt;=8,", "&amp;$A1440&amp;"-"&amp;TEXT(($D1440-$C1440+1)+7,"00"),"")&amp;IF($C1440&gt;=9,", "&amp;$A1440&amp;"-"&amp;TEXT(($D1440-$C1440+1)+8,"00"),"")&amp;IF($C1440&gt;=10,", "&amp;$A1440&amp;"-"&amp;TEXT(($D1440-$C1440+1)+9,"00"),"")&amp;IF($C1440&gt;=11,", "&amp;$A1440&amp;"-"&amp;TEXT(($D1440-$C1440+1)+10,"00"),"")&amp;IF($C1440&gt;=12,", "&amp;$A1440&amp;"-"&amp;TEXT(($D1440-$C1440+1)+11,"00"),"")&amp;IF($C1440&gt;=13,", "&amp;$A1440&amp;"-"&amp;TEXT(($D1440-$C1440+1)+12,"00"),"")&amp;IF($C1440&gt;=14,", "&amp;$A1440&amp;"-"&amp;TEXT(($D1440-$C1440+1)+13,"00"),"")&amp;IF($C1440&gt;=15,", "&amp;$A1440&amp;"-"&amp;TEXT(($D1440-$C1440+1)+14,"00"),"")&amp;IF($C1440&gt;=16,", "&amp;$A1440&amp;"-"&amp;TEXT(($D1440-$C1440+1)+15,"00"),"")&amp;IF($C1440&gt;=17,", "&amp;$A1440&amp;"-"&amp;TEXT(($D1440-$C1440+1)+16,"00"),"")&amp;IF($C1440&gt;=18,", "&amp;$A1440&amp;"-"&amp;TEXT(($D1440-$C1440+1)+17,"00"),"")&amp;IF($C1440&gt;=19,", "&amp;$A1440&amp;"-"&amp;TEXT(($D1440-$C1440+1)+18,"00"),"")&amp;IF($C1440&gt;=20,", "&amp;$A1440&amp;"-"&amp;TEXT(($D1440-$C1440+1)+19,"00"),"")&amp;IF($C1440&gt;=21,", "&amp;$A1440&amp;"-"&amp;TEXT(($D1440-$C1440+1)+20,"00"),"")&amp;IF($C1440&gt;=22,", "&amp;$A1440&amp;"-"&amp;TEXT(($D1440-$C1440+1)+21,"00"),"")&amp;IF($C1440&gt;=23,", "&amp;$A1440&amp;"-"&amp;TEXT(($D1440-$C1440+1)+22,"00"),"")&amp;IF($C1440&gt;=24,", "&amp;$A1440&amp;"-"&amp;TEXT(($D1440-$C1440+1)+23,"00"),"")&amp;IF($C1440&gt;=25,", "&amp;$A1440&amp;"-"&amp;TEXT(($D1440-$C1440+1)+24,"00"),""))</f>
        <v/>
      </c>
      <c r="G1440">
        <f>IF($A1440="","",IF($E1440=1,$F1440,IF($F1440="",$G1439,IF($G1439="",$F1440,$G1439&amp;", "&amp;$F1440))))</f>
        <v/>
      </c>
      <c r="H1440">
        <f>IF($A1440="","",$A1440&amp;" ("&amp;$C1440&amp;")")</f>
        <v/>
      </c>
      <c r="I1440">
        <f>IF($A1440="","",IF($E1440=1,$H1440,$I1439&amp;", "&amp;$H1440))</f>
        <v/>
      </c>
      <c r="J1440">
        <f>IF($A1440="","",IF($E1440=1,$B1440,""))</f>
        <v/>
      </c>
      <c r="K1440">
        <f>IF($A1440="","",IF(COUNTIF($B$2:$B1440,$B1440)=COUNTIF($B$2:$B$1601,$B1440),$B1440,""))</f>
        <v/>
      </c>
    </row>
    <row r="1441">
      <c r="A1441">
        <f>IF('TMP Paste'!$E1441="","",'TMP Paste'!$E1441)</f>
        <v/>
      </c>
      <c r="B1441">
        <f>IF($A1441="","",COUNTIF('TMP Paste'!$B$2:$B1441,"?*"))</f>
        <v/>
      </c>
      <c r="C1441">
        <f>IF($A1441="","",IFERROR('TMP Paste'!$M1441*1,0))</f>
        <v/>
      </c>
      <c r="D1441">
        <f>IF($A1441="","",SUMIF($B$2:$B1441,$B1441,$C$2:$C1441))</f>
        <v/>
      </c>
      <c r="E1441">
        <f>IF($A1441="",0,IF('TMP Paste'!$B1441="",0,1))</f>
        <v/>
      </c>
      <c r="F1441">
        <f>IF(OR($A1441="",$C1441&lt;1),"",$A1441&amp;"-"&amp;TEXT(($D1441-$C1441+1),"00")&amp;IF($C1441&gt;=2,", "&amp;$A1441&amp;"-"&amp;TEXT(($D1441-$C1441+1)+1,"00"),"")&amp;IF($C1441&gt;=3,", "&amp;$A1441&amp;"-"&amp;TEXT(($D1441-$C1441+1)+2,"00"),"")&amp;IF($C1441&gt;=4,", "&amp;$A1441&amp;"-"&amp;TEXT(($D1441-$C1441+1)+3,"00"),"")&amp;IF($C1441&gt;=5,", "&amp;$A1441&amp;"-"&amp;TEXT(($D1441-$C1441+1)+4,"00"),"")&amp;IF($C1441&gt;=6,", "&amp;$A1441&amp;"-"&amp;TEXT(($D1441-$C1441+1)+5,"00"),"")&amp;IF($C1441&gt;=7,", "&amp;$A1441&amp;"-"&amp;TEXT(($D1441-$C1441+1)+6,"00"),"")&amp;IF($C1441&gt;=8,", "&amp;$A1441&amp;"-"&amp;TEXT(($D1441-$C1441+1)+7,"00"),"")&amp;IF($C1441&gt;=9,", "&amp;$A1441&amp;"-"&amp;TEXT(($D1441-$C1441+1)+8,"00"),"")&amp;IF($C1441&gt;=10,", "&amp;$A1441&amp;"-"&amp;TEXT(($D1441-$C1441+1)+9,"00"),"")&amp;IF($C1441&gt;=11,", "&amp;$A1441&amp;"-"&amp;TEXT(($D1441-$C1441+1)+10,"00"),"")&amp;IF($C1441&gt;=12,", "&amp;$A1441&amp;"-"&amp;TEXT(($D1441-$C1441+1)+11,"00"),"")&amp;IF($C1441&gt;=13,", "&amp;$A1441&amp;"-"&amp;TEXT(($D1441-$C1441+1)+12,"00"),"")&amp;IF($C1441&gt;=14,", "&amp;$A1441&amp;"-"&amp;TEXT(($D1441-$C1441+1)+13,"00"),"")&amp;IF($C1441&gt;=15,", "&amp;$A1441&amp;"-"&amp;TEXT(($D1441-$C1441+1)+14,"00"),"")&amp;IF($C1441&gt;=16,", "&amp;$A1441&amp;"-"&amp;TEXT(($D1441-$C1441+1)+15,"00"),"")&amp;IF($C1441&gt;=17,", "&amp;$A1441&amp;"-"&amp;TEXT(($D1441-$C1441+1)+16,"00"),"")&amp;IF($C1441&gt;=18,", "&amp;$A1441&amp;"-"&amp;TEXT(($D1441-$C1441+1)+17,"00"),"")&amp;IF($C1441&gt;=19,", "&amp;$A1441&amp;"-"&amp;TEXT(($D1441-$C1441+1)+18,"00"),"")&amp;IF($C1441&gt;=20,", "&amp;$A1441&amp;"-"&amp;TEXT(($D1441-$C1441+1)+19,"00"),"")&amp;IF($C1441&gt;=21,", "&amp;$A1441&amp;"-"&amp;TEXT(($D1441-$C1441+1)+20,"00"),"")&amp;IF($C1441&gt;=22,", "&amp;$A1441&amp;"-"&amp;TEXT(($D1441-$C1441+1)+21,"00"),"")&amp;IF($C1441&gt;=23,", "&amp;$A1441&amp;"-"&amp;TEXT(($D1441-$C1441+1)+22,"00"),"")&amp;IF($C1441&gt;=24,", "&amp;$A1441&amp;"-"&amp;TEXT(($D1441-$C1441+1)+23,"00"),"")&amp;IF($C1441&gt;=25,", "&amp;$A1441&amp;"-"&amp;TEXT(($D1441-$C1441+1)+24,"00"),""))</f>
        <v/>
      </c>
      <c r="G1441">
        <f>IF($A1441="","",IF($E1441=1,$F1441,IF($F1441="",$G1440,IF($G1440="",$F1441,$G1440&amp;", "&amp;$F1441))))</f>
        <v/>
      </c>
      <c r="H1441">
        <f>IF($A1441="","",$A1441&amp;" ("&amp;$C1441&amp;")")</f>
        <v/>
      </c>
      <c r="I1441">
        <f>IF($A1441="","",IF($E1441=1,$H1441,$I1440&amp;", "&amp;$H1441))</f>
        <v/>
      </c>
      <c r="J1441">
        <f>IF($A1441="","",IF($E1441=1,$B1441,""))</f>
        <v/>
      </c>
      <c r="K1441">
        <f>IF($A1441="","",IF(COUNTIF($B$2:$B1441,$B1441)=COUNTIF($B$2:$B$1601,$B1441),$B1441,""))</f>
        <v/>
      </c>
    </row>
    <row r="1442">
      <c r="A1442">
        <f>IF('TMP Paste'!$E1442="","",'TMP Paste'!$E1442)</f>
        <v/>
      </c>
      <c r="B1442">
        <f>IF($A1442="","",COUNTIF('TMP Paste'!$B$2:$B1442,"?*"))</f>
        <v/>
      </c>
      <c r="C1442">
        <f>IF($A1442="","",IFERROR('TMP Paste'!$M1442*1,0))</f>
        <v/>
      </c>
      <c r="D1442">
        <f>IF($A1442="","",SUMIF($B$2:$B1442,$B1442,$C$2:$C1442))</f>
        <v/>
      </c>
      <c r="E1442">
        <f>IF($A1442="",0,IF('TMP Paste'!$B1442="",0,1))</f>
        <v/>
      </c>
      <c r="F1442">
        <f>IF(OR($A1442="",$C1442&lt;1),"",$A1442&amp;"-"&amp;TEXT(($D1442-$C1442+1),"00")&amp;IF($C1442&gt;=2,", "&amp;$A1442&amp;"-"&amp;TEXT(($D1442-$C1442+1)+1,"00"),"")&amp;IF($C1442&gt;=3,", "&amp;$A1442&amp;"-"&amp;TEXT(($D1442-$C1442+1)+2,"00"),"")&amp;IF($C1442&gt;=4,", "&amp;$A1442&amp;"-"&amp;TEXT(($D1442-$C1442+1)+3,"00"),"")&amp;IF($C1442&gt;=5,", "&amp;$A1442&amp;"-"&amp;TEXT(($D1442-$C1442+1)+4,"00"),"")&amp;IF($C1442&gt;=6,", "&amp;$A1442&amp;"-"&amp;TEXT(($D1442-$C1442+1)+5,"00"),"")&amp;IF($C1442&gt;=7,", "&amp;$A1442&amp;"-"&amp;TEXT(($D1442-$C1442+1)+6,"00"),"")&amp;IF($C1442&gt;=8,", "&amp;$A1442&amp;"-"&amp;TEXT(($D1442-$C1442+1)+7,"00"),"")&amp;IF($C1442&gt;=9,", "&amp;$A1442&amp;"-"&amp;TEXT(($D1442-$C1442+1)+8,"00"),"")&amp;IF($C1442&gt;=10,", "&amp;$A1442&amp;"-"&amp;TEXT(($D1442-$C1442+1)+9,"00"),"")&amp;IF($C1442&gt;=11,", "&amp;$A1442&amp;"-"&amp;TEXT(($D1442-$C1442+1)+10,"00"),"")&amp;IF($C1442&gt;=12,", "&amp;$A1442&amp;"-"&amp;TEXT(($D1442-$C1442+1)+11,"00"),"")&amp;IF($C1442&gt;=13,", "&amp;$A1442&amp;"-"&amp;TEXT(($D1442-$C1442+1)+12,"00"),"")&amp;IF($C1442&gt;=14,", "&amp;$A1442&amp;"-"&amp;TEXT(($D1442-$C1442+1)+13,"00"),"")&amp;IF($C1442&gt;=15,", "&amp;$A1442&amp;"-"&amp;TEXT(($D1442-$C1442+1)+14,"00"),"")&amp;IF($C1442&gt;=16,", "&amp;$A1442&amp;"-"&amp;TEXT(($D1442-$C1442+1)+15,"00"),"")&amp;IF($C1442&gt;=17,", "&amp;$A1442&amp;"-"&amp;TEXT(($D1442-$C1442+1)+16,"00"),"")&amp;IF($C1442&gt;=18,", "&amp;$A1442&amp;"-"&amp;TEXT(($D1442-$C1442+1)+17,"00"),"")&amp;IF($C1442&gt;=19,", "&amp;$A1442&amp;"-"&amp;TEXT(($D1442-$C1442+1)+18,"00"),"")&amp;IF($C1442&gt;=20,", "&amp;$A1442&amp;"-"&amp;TEXT(($D1442-$C1442+1)+19,"00"),"")&amp;IF($C1442&gt;=21,", "&amp;$A1442&amp;"-"&amp;TEXT(($D1442-$C1442+1)+20,"00"),"")&amp;IF($C1442&gt;=22,", "&amp;$A1442&amp;"-"&amp;TEXT(($D1442-$C1442+1)+21,"00"),"")&amp;IF($C1442&gt;=23,", "&amp;$A1442&amp;"-"&amp;TEXT(($D1442-$C1442+1)+22,"00"),"")&amp;IF($C1442&gt;=24,", "&amp;$A1442&amp;"-"&amp;TEXT(($D1442-$C1442+1)+23,"00"),"")&amp;IF($C1442&gt;=25,", "&amp;$A1442&amp;"-"&amp;TEXT(($D1442-$C1442+1)+24,"00"),""))</f>
        <v/>
      </c>
      <c r="G1442">
        <f>IF($A1442="","",IF($E1442=1,$F1442,IF($F1442="",$G1441,IF($G1441="",$F1442,$G1441&amp;", "&amp;$F1442))))</f>
        <v/>
      </c>
      <c r="H1442">
        <f>IF($A1442="","",$A1442&amp;" ("&amp;$C1442&amp;")")</f>
        <v/>
      </c>
      <c r="I1442">
        <f>IF($A1442="","",IF($E1442=1,$H1442,$I1441&amp;", "&amp;$H1442))</f>
        <v/>
      </c>
      <c r="J1442">
        <f>IF($A1442="","",IF($E1442=1,$B1442,""))</f>
        <v/>
      </c>
      <c r="K1442">
        <f>IF($A1442="","",IF(COUNTIF($B$2:$B1442,$B1442)=COUNTIF($B$2:$B$1601,$B1442),$B1442,""))</f>
        <v/>
      </c>
    </row>
    <row r="1443">
      <c r="A1443">
        <f>IF('TMP Paste'!$E1443="","",'TMP Paste'!$E1443)</f>
        <v/>
      </c>
      <c r="B1443">
        <f>IF($A1443="","",COUNTIF('TMP Paste'!$B$2:$B1443,"?*"))</f>
        <v/>
      </c>
      <c r="C1443">
        <f>IF($A1443="","",IFERROR('TMP Paste'!$M1443*1,0))</f>
        <v/>
      </c>
      <c r="D1443">
        <f>IF($A1443="","",SUMIF($B$2:$B1443,$B1443,$C$2:$C1443))</f>
        <v/>
      </c>
      <c r="E1443">
        <f>IF($A1443="",0,IF('TMP Paste'!$B1443="",0,1))</f>
        <v/>
      </c>
      <c r="F1443">
        <f>IF(OR($A1443="",$C1443&lt;1),"",$A1443&amp;"-"&amp;TEXT(($D1443-$C1443+1),"00")&amp;IF($C1443&gt;=2,", "&amp;$A1443&amp;"-"&amp;TEXT(($D1443-$C1443+1)+1,"00"),"")&amp;IF($C1443&gt;=3,", "&amp;$A1443&amp;"-"&amp;TEXT(($D1443-$C1443+1)+2,"00"),"")&amp;IF($C1443&gt;=4,", "&amp;$A1443&amp;"-"&amp;TEXT(($D1443-$C1443+1)+3,"00"),"")&amp;IF($C1443&gt;=5,", "&amp;$A1443&amp;"-"&amp;TEXT(($D1443-$C1443+1)+4,"00"),"")&amp;IF($C1443&gt;=6,", "&amp;$A1443&amp;"-"&amp;TEXT(($D1443-$C1443+1)+5,"00"),"")&amp;IF($C1443&gt;=7,", "&amp;$A1443&amp;"-"&amp;TEXT(($D1443-$C1443+1)+6,"00"),"")&amp;IF($C1443&gt;=8,", "&amp;$A1443&amp;"-"&amp;TEXT(($D1443-$C1443+1)+7,"00"),"")&amp;IF($C1443&gt;=9,", "&amp;$A1443&amp;"-"&amp;TEXT(($D1443-$C1443+1)+8,"00"),"")&amp;IF($C1443&gt;=10,", "&amp;$A1443&amp;"-"&amp;TEXT(($D1443-$C1443+1)+9,"00"),"")&amp;IF($C1443&gt;=11,", "&amp;$A1443&amp;"-"&amp;TEXT(($D1443-$C1443+1)+10,"00"),"")&amp;IF($C1443&gt;=12,", "&amp;$A1443&amp;"-"&amp;TEXT(($D1443-$C1443+1)+11,"00"),"")&amp;IF($C1443&gt;=13,", "&amp;$A1443&amp;"-"&amp;TEXT(($D1443-$C1443+1)+12,"00"),"")&amp;IF($C1443&gt;=14,", "&amp;$A1443&amp;"-"&amp;TEXT(($D1443-$C1443+1)+13,"00"),"")&amp;IF($C1443&gt;=15,", "&amp;$A1443&amp;"-"&amp;TEXT(($D1443-$C1443+1)+14,"00"),"")&amp;IF($C1443&gt;=16,", "&amp;$A1443&amp;"-"&amp;TEXT(($D1443-$C1443+1)+15,"00"),"")&amp;IF($C1443&gt;=17,", "&amp;$A1443&amp;"-"&amp;TEXT(($D1443-$C1443+1)+16,"00"),"")&amp;IF($C1443&gt;=18,", "&amp;$A1443&amp;"-"&amp;TEXT(($D1443-$C1443+1)+17,"00"),"")&amp;IF($C1443&gt;=19,", "&amp;$A1443&amp;"-"&amp;TEXT(($D1443-$C1443+1)+18,"00"),"")&amp;IF($C1443&gt;=20,", "&amp;$A1443&amp;"-"&amp;TEXT(($D1443-$C1443+1)+19,"00"),"")&amp;IF($C1443&gt;=21,", "&amp;$A1443&amp;"-"&amp;TEXT(($D1443-$C1443+1)+20,"00"),"")&amp;IF($C1443&gt;=22,", "&amp;$A1443&amp;"-"&amp;TEXT(($D1443-$C1443+1)+21,"00"),"")&amp;IF($C1443&gt;=23,", "&amp;$A1443&amp;"-"&amp;TEXT(($D1443-$C1443+1)+22,"00"),"")&amp;IF($C1443&gt;=24,", "&amp;$A1443&amp;"-"&amp;TEXT(($D1443-$C1443+1)+23,"00"),"")&amp;IF($C1443&gt;=25,", "&amp;$A1443&amp;"-"&amp;TEXT(($D1443-$C1443+1)+24,"00"),""))</f>
        <v/>
      </c>
      <c r="G1443">
        <f>IF($A1443="","",IF($E1443=1,$F1443,IF($F1443="",$G1442,IF($G1442="",$F1443,$G1442&amp;", "&amp;$F1443))))</f>
        <v/>
      </c>
      <c r="H1443">
        <f>IF($A1443="","",$A1443&amp;" ("&amp;$C1443&amp;")")</f>
        <v/>
      </c>
      <c r="I1443">
        <f>IF($A1443="","",IF($E1443=1,$H1443,$I1442&amp;", "&amp;$H1443))</f>
        <v/>
      </c>
      <c r="J1443">
        <f>IF($A1443="","",IF($E1443=1,$B1443,""))</f>
        <v/>
      </c>
      <c r="K1443">
        <f>IF($A1443="","",IF(COUNTIF($B$2:$B1443,$B1443)=COUNTIF($B$2:$B$1601,$B1443),$B1443,""))</f>
        <v/>
      </c>
    </row>
    <row r="1444">
      <c r="A1444">
        <f>IF('TMP Paste'!$E1444="","",'TMP Paste'!$E1444)</f>
        <v/>
      </c>
      <c r="B1444">
        <f>IF($A1444="","",COUNTIF('TMP Paste'!$B$2:$B1444,"?*"))</f>
        <v/>
      </c>
      <c r="C1444">
        <f>IF($A1444="","",IFERROR('TMP Paste'!$M1444*1,0))</f>
        <v/>
      </c>
      <c r="D1444">
        <f>IF($A1444="","",SUMIF($B$2:$B1444,$B1444,$C$2:$C1444))</f>
        <v/>
      </c>
      <c r="E1444">
        <f>IF($A1444="",0,IF('TMP Paste'!$B1444="",0,1))</f>
        <v/>
      </c>
      <c r="F1444">
        <f>IF(OR($A1444="",$C1444&lt;1),"",$A1444&amp;"-"&amp;TEXT(($D1444-$C1444+1),"00")&amp;IF($C1444&gt;=2,", "&amp;$A1444&amp;"-"&amp;TEXT(($D1444-$C1444+1)+1,"00"),"")&amp;IF($C1444&gt;=3,", "&amp;$A1444&amp;"-"&amp;TEXT(($D1444-$C1444+1)+2,"00"),"")&amp;IF($C1444&gt;=4,", "&amp;$A1444&amp;"-"&amp;TEXT(($D1444-$C1444+1)+3,"00"),"")&amp;IF($C1444&gt;=5,", "&amp;$A1444&amp;"-"&amp;TEXT(($D1444-$C1444+1)+4,"00"),"")&amp;IF($C1444&gt;=6,", "&amp;$A1444&amp;"-"&amp;TEXT(($D1444-$C1444+1)+5,"00"),"")&amp;IF($C1444&gt;=7,", "&amp;$A1444&amp;"-"&amp;TEXT(($D1444-$C1444+1)+6,"00"),"")&amp;IF($C1444&gt;=8,", "&amp;$A1444&amp;"-"&amp;TEXT(($D1444-$C1444+1)+7,"00"),"")&amp;IF($C1444&gt;=9,", "&amp;$A1444&amp;"-"&amp;TEXT(($D1444-$C1444+1)+8,"00"),"")&amp;IF($C1444&gt;=10,", "&amp;$A1444&amp;"-"&amp;TEXT(($D1444-$C1444+1)+9,"00"),"")&amp;IF($C1444&gt;=11,", "&amp;$A1444&amp;"-"&amp;TEXT(($D1444-$C1444+1)+10,"00"),"")&amp;IF($C1444&gt;=12,", "&amp;$A1444&amp;"-"&amp;TEXT(($D1444-$C1444+1)+11,"00"),"")&amp;IF($C1444&gt;=13,", "&amp;$A1444&amp;"-"&amp;TEXT(($D1444-$C1444+1)+12,"00"),"")&amp;IF($C1444&gt;=14,", "&amp;$A1444&amp;"-"&amp;TEXT(($D1444-$C1444+1)+13,"00"),"")&amp;IF($C1444&gt;=15,", "&amp;$A1444&amp;"-"&amp;TEXT(($D1444-$C1444+1)+14,"00"),"")&amp;IF($C1444&gt;=16,", "&amp;$A1444&amp;"-"&amp;TEXT(($D1444-$C1444+1)+15,"00"),"")&amp;IF($C1444&gt;=17,", "&amp;$A1444&amp;"-"&amp;TEXT(($D1444-$C1444+1)+16,"00"),"")&amp;IF($C1444&gt;=18,", "&amp;$A1444&amp;"-"&amp;TEXT(($D1444-$C1444+1)+17,"00"),"")&amp;IF($C1444&gt;=19,", "&amp;$A1444&amp;"-"&amp;TEXT(($D1444-$C1444+1)+18,"00"),"")&amp;IF($C1444&gt;=20,", "&amp;$A1444&amp;"-"&amp;TEXT(($D1444-$C1444+1)+19,"00"),"")&amp;IF($C1444&gt;=21,", "&amp;$A1444&amp;"-"&amp;TEXT(($D1444-$C1444+1)+20,"00"),"")&amp;IF($C1444&gt;=22,", "&amp;$A1444&amp;"-"&amp;TEXT(($D1444-$C1444+1)+21,"00"),"")&amp;IF($C1444&gt;=23,", "&amp;$A1444&amp;"-"&amp;TEXT(($D1444-$C1444+1)+22,"00"),"")&amp;IF($C1444&gt;=24,", "&amp;$A1444&amp;"-"&amp;TEXT(($D1444-$C1444+1)+23,"00"),"")&amp;IF($C1444&gt;=25,", "&amp;$A1444&amp;"-"&amp;TEXT(($D1444-$C1444+1)+24,"00"),""))</f>
        <v/>
      </c>
      <c r="G1444">
        <f>IF($A1444="","",IF($E1444=1,$F1444,IF($F1444="",$G1443,IF($G1443="",$F1444,$G1443&amp;", "&amp;$F1444))))</f>
        <v/>
      </c>
      <c r="H1444">
        <f>IF($A1444="","",$A1444&amp;" ("&amp;$C1444&amp;")")</f>
        <v/>
      </c>
      <c r="I1444">
        <f>IF($A1444="","",IF($E1444=1,$H1444,$I1443&amp;", "&amp;$H1444))</f>
        <v/>
      </c>
      <c r="J1444">
        <f>IF($A1444="","",IF($E1444=1,$B1444,""))</f>
        <v/>
      </c>
      <c r="K1444">
        <f>IF($A1444="","",IF(COUNTIF($B$2:$B1444,$B1444)=COUNTIF($B$2:$B$1601,$B1444),$B1444,""))</f>
        <v/>
      </c>
    </row>
    <row r="1445">
      <c r="A1445">
        <f>IF('TMP Paste'!$E1445="","",'TMP Paste'!$E1445)</f>
        <v/>
      </c>
      <c r="B1445">
        <f>IF($A1445="","",COUNTIF('TMP Paste'!$B$2:$B1445,"?*"))</f>
        <v/>
      </c>
      <c r="C1445">
        <f>IF($A1445="","",IFERROR('TMP Paste'!$M1445*1,0))</f>
        <v/>
      </c>
      <c r="D1445">
        <f>IF($A1445="","",SUMIF($B$2:$B1445,$B1445,$C$2:$C1445))</f>
        <v/>
      </c>
      <c r="E1445">
        <f>IF($A1445="",0,IF('TMP Paste'!$B1445="",0,1))</f>
        <v/>
      </c>
      <c r="F1445">
        <f>IF(OR($A1445="",$C1445&lt;1),"",$A1445&amp;"-"&amp;TEXT(($D1445-$C1445+1),"00")&amp;IF($C1445&gt;=2,", "&amp;$A1445&amp;"-"&amp;TEXT(($D1445-$C1445+1)+1,"00"),"")&amp;IF($C1445&gt;=3,", "&amp;$A1445&amp;"-"&amp;TEXT(($D1445-$C1445+1)+2,"00"),"")&amp;IF($C1445&gt;=4,", "&amp;$A1445&amp;"-"&amp;TEXT(($D1445-$C1445+1)+3,"00"),"")&amp;IF($C1445&gt;=5,", "&amp;$A1445&amp;"-"&amp;TEXT(($D1445-$C1445+1)+4,"00"),"")&amp;IF($C1445&gt;=6,", "&amp;$A1445&amp;"-"&amp;TEXT(($D1445-$C1445+1)+5,"00"),"")&amp;IF($C1445&gt;=7,", "&amp;$A1445&amp;"-"&amp;TEXT(($D1445-$C1445+1)+6,"00"),"")&amp;IF($C1445&gt;=8,", "&amp;$A1445&amp;"-"&amp;TEXT(($D1445-$C1445+1)+7,"00"),"")&amp;IF($C1445&gt;=9,", "&amp;$A1445&amp;"-"&amp;TEXT(($D1445-$C1445+1)+8,"00"),"")&amp;IF($C1445&gt;=10,", "&amp;$A1445&amp;"-"&amp;TEXT(($D1445-$C1445+1)+9,"00"),"")&amp;IF($C1445&gt;=11,", "&amp;$A1445&amp;"-"&amp;TEXT(($D1445-$C1445+1)+10,"00"),"")&amp;IF($C1445&gt;=12,", "&amp;$A1445&amp;"-"&amp;TEXT(($D1445-$C1445+1)+11,"00"),"")&amp;IF($C1445&gt;=13,", "&amp;$A1445&amp;"-"&amp;TEXT(($D1445-$C1445+1)+12,"00"),"")&amp;IF($C1445&gt;=14,", "&amp;$A1445&amp;"-"&amp;TEXT(($D1445-$C1445+1)+13,"00"),"")&amp;IF($C1445&gt;=15,", "&amp;$A1445&amp;"-"&amp;TEXT(($D1445-$C1445+1)+14,"00"),"")&amp;IF($C1445&gt;=16,", "&amp;$A1445&amp;"-"&amp;TEXT(($D1445-$C1445+1)+15,"00"),"")&amp;IF($C1445&gt;=17,", "&amp;$A1445&amp;"-"&amp;TEXT(($D1445-$C1445+1)+16,"00"),"")&amp;IF($C1445&gt;=18,", "&amp;$A1445&amp;"-"&amp;TEXT(($D1445-$C1445+1)+17,"00"),"")&amp;IF($C1445&gt;=19,", "&amp;$A1445&amp;"-"&amp;TEXT(($D1445-$C1445+1)+18,"00"),"")&amp;IF($C1445&gt;=20,", "&amp;$A1445&amp;"-"&amp;TEXT(($D1445-$C1445+1)+19,"00"),"")&amp;IF($C1445&gt;=21,", "&amp;$A1445&amp;"-"&amp;TEXT(($D1445-$C1445+1)+20,"00"),"")&amp;IF($C1445&gt;=22,", "&amp;$A1445&amp;"-"&amp;TEXT(($D1445-$C1445+1)+21,"00"),"")&amp;IF($C1445&gt;=23,", "&amp;$A1445&amp;"-"&amp;TEXT(($D1445-$C1445+1)+22,"00"),"")&amp;IF($C1445&gt;=24,", "&amp;$A1445&amp;"-"&amp;TEXT(($D1445-$C1445+1)+23,"00"),"")&amp;IF($C1445&gt;=25,", "&amp;$A1445&amp;"-"&amp;TEXT(($D1445-$C1445+1)+24,"00"),""))</f>
        <v/>
      </c>
      <c r="G1445">
        <f>IF($A1445="","",IF($E1445=1,$F1445,IF($F1445="",$G1444,IF($G1444="",$F1445,$G1444&amp;", "&amp;$F1445))))</f>
        <v/>
      </c>
      <c r="H1445">
        <f>IF($A1445="","",$A1445&amp;" ("&amp;$C1445&amp;")")</f>
        <v/>
      </c>
      <c r="I1445">
        <f>IF($A1445="","",IF($E1445=1,$H1445,$I1444&amp;", "&amp;$H1445))</f>
        <v/>
      </c>
      <c r="J1445">
        <f>IF($A1445="","",IF($E1445=1,$B1445,""))</f>
        <v/>
      </c>
      <c r="K1445">
        <f>IF($A1445="","",IF(COUNTIF($B$2:$B1445,$B1445)=COUNTIF($B$2:$B$1601,$B1445),$B1445,""))</f>
        <v/>
      </c>
    </row>
    <row r="1446">
      <c r="A1446">
        <f>IF('TMP Paste'!$E1446="","",'TMP Paste'!$E1446)</f>
        <v/>
      </c>
      <c r="B1446">
        <f>IF($A1446="","",COUNTIF('TMP Paste'!$B$2:$B1446,"?*"))</f>
        <v/>
      </c>
      <c r="C1446">
        <f>IF($A1446="","",IFERROR('TMP Paste'!$M1446*1,0))</f>
        <v/>
      </c>
      <c r="D1446">
        <f>IF($A1446="","",SUMIF($B$2:$B1446,$B1446,$C$2:$C1446))</f>
        <v/>
      </c>
      <c r="E1446">
        <f>IF($A1446="",0,IF('TMP Paste'!$B1446="",0,1))</f>
        <v/>
      </c>
      <c r="F1446">
        <f>IF(OR($A1446="",$C1446&lt;1),"",$A1446&amp;"-"&amp;TEXT(($D1446-$C1446+1),"00")&amp;IF($C1446&gt;=2,", "&amp;$A1446&amp;"-"&amp;TEXT(($D1446-$C1446+1)+1,"00"),"")&amp;IF($C1446&gt;=3,", "&amp;$A1446&amp;"-"&amp;TEXT(($D1446-$C1446+1)+2,"00"),"")&amp;IF($C1446&gt;=4,", "&amp;$A1446&amp;"-"&amp;TEXT(($D1446-$C1446+1)+3,"00"),"")&amp;IF($C1446&gt;=5,", "&amp;$A1446&amp;"-"&amp;TEXT(($D1446-$C1446+1)+4,"00"),"")&amp;IF($C1446&gt;=6,", "&amp;$A1446&amp;"-"&amp;TEXT(($D1446-$C1446+1)+5,"00"),"")&amp;IF($C1446&gt;=7,", "&amp;$A1446&amp;"-"&amp;TEXT(($D1446-$C1446+1)+6,"00"),"")&amp;IF($C1446&gt;=8,", "&amp;$A1446&amp;"-"&amp;TEXT(($D1446-$C1446+1)+7,"00"),"")&amp;IF($C1446&gt;=9,", "&amp;$A1446&amp;"-"&amp;TEXT(($D1446-$C1446+1)+8,"00"),"")&amp;IF($C1446&gt;=10,", "&amp;$A1446&amp;"-"&amp;TEXT(($D1446-$C1446+1)+9,"00"),"")&amp;IF($C1446&gt;=11,", "&amp;$A1446&amp;"-"&amp;TEXT(($D1446-$C1446+1)+10,"00"),"")&amp;IF($C1446&gt;=12,", "&amp;$A1446&amp;"-"&amp;TEXT(($D1446-$C1446+1)+11,"00"),"")&amp;IF($C1446&gt;=13,", "&amp;$A1446&amp;"-"&amp;TEXT(($D1446-$C1446+1)+12,"00"),"")&amp;IF($C1446&gt;=14,", "&amp;$A1446&amp;"-"&amp;TEXT(($D1446-$C1446+1)+13,"00"),"")&amp;IF($C1446&gt;=15,", "&amp;$A1446&amp;"-"&amp;TEXT(($D1446-$C1446+1)+14,"00"),"")&amp;IF($C1446&gt;=16,", "&amp;$A1446&amp;"-"&amp;TEXT(($D1446-$C1446+1)+15,"00"),"")&amp;IF($C1446&gt;=17,", "&amp;$A1446&amp;"-"&amp;TEXT(($D1446-$C1446+1)+16,"00"),"")&amp;IF($C1446&gt;=18,", "&amp;$A1446&amp;"-"&amp;TEXT(($D1446-$C1446+1)+17,"00"),"")&amp;IF($C1446&gt;=19,", "&amp;$A1446&amp;"-"&amp;TEXT(($D1446-$C1446+1)+18,"00"),"")&amp;IF($C1446&gt;=20,", "&amp;$A1446&amp;"-"&amp;TEXT(($D1446-$C1446+1)+19,"00"),"")&amp;IF($C1446&gt;=21,", "&amp;$A1446&amp;"-"&amp;TEXT(($D1446-$C1446+1)+20,"00"),"")&amp;IF($C1446&gt;=22,", "&amp;$A1446&amp;"-"&amp;TEXT(($D1446-$C1446+1)+21,"00"),"")&amp;IF($C1446&gt;=23,", "&amp;$A1446&amp;"-"&amp;TEXT(($D1446-$C1446+1)+22,"00"),"")&amp;IF($C1446&gt;=24,", "&amp;$A1446&amp;"-"&amp;TEXT(($D1446-$C1446+1)+23,"00"),"")&amp;IF($C1446&gt;=25,", "&amp;$A1446&amp;"-"&amp;TEXT(($D1446-$C1446+1)+24,"00"),""))</f>
        <v/>
      </c>
      <c r="G1446">
        <f>IF($A1446="","",IF($E1446=1,$F1446,IF($F1446="",$G1445,IF($G1445="",$F1446,$G1445&amp;", "&amp;$F1446))))</f>
        <v/>
      </c>
      <c r="H1446">
        <f>IF($A1446="","",$A1446&amp;" ("&amp;$C1446&amp;")")</f>
        <v/>
      </c>
      <c r="I1446">
        <f>IF($A1446="","",IF($E1446=1,$H1446,$I1445&amp;", "&amp;$H1446))</f>
        <v/>
      </c>
      <c r="J1446">
        <f>IF($A1446="","",IF($E1446=1,$B1446,""))</f>
        <v/>
      </c>
      <c r="K1446">
        <f>IF($A1446="","",IF(COUNTIF($B$2:$B1446,$B1446)=COUNTIF($B$2:$B$1601,$B1446),$B1446,""))</f>
        <v/>
      </c>
    </row>
    <row r="1447">
      <c r="A1447">
        <f>IF('TMP Paste'!$E1447="","",'TMP Paste'!$E1447)</f>
        <v/>
      </c>
      <c r="B1447">
        <f>IF($A1447="","",COUNTIF('TMP Paste'!$B$2:$B1447,"?*"))</f>
        <v/>
      </c>
      <c r="C1447">
        <f>IF($A1447="","",IFERROR('TMP Paste'!$M1447*1,0))</f>
        <v/>
      </c>
      <c r="D1447">
        <f>IF($A1447="","",SUMIF($B$2:$B1447,$B1447,$C$2:$C1447))</f>
        <v/>
      </c>
      <c r="E1447">
        <f>IF($A1447="",0,IF('TMP Paste'!$B1447="",0,1))</f>
        <v/>
      </c>
      <c r="F1447">
        <f>IF(OR($A1447="",$C1447&lt;1),"",$A1447&amp;"-"&amp;TEXT(($D1447-$C1447+1),"00")&amp;IF($C1447&gt;=2,", "&amp;$A1447&amp;"-"&amp;TEXT(($D1447-$C1447+1)+1,"00"),"")&amp;IF($C1447&gt;=3,", "&amp;$A1447&amp;"-"&amp;TEXT(($D1447-$C1447+1)+2,"00"),"")&amp;IF($C1447&gt;=4,", "&amp;$A1447&amp;"-"&amp;TEXT(($D1447-$C1447+1)+3,"00"),"")&amp;IF($C1447&gt;=5,", "&amp;$A1447&amp;"-"&amp;TEXT(($D1447-$C1447+1)+4,"00"),"")&amp;IF($C1447&gt;=6,", "&amp;$A1447&amp;"-"&amp;TEXT(($D1447-$C1447+1)+5,"00"),"")&amp;IF($C1447&gt;=7,", "&amp;$A1447&amp;"-"&amp;TEXT(($D1447-$C1447+1)+6,"00"),"")&amp;IF($C1447&gt;=8,", "&amp;$A1447&amp;"-"&amp;TEXT(($D1447-$C1447+1)+7,"00"),"")&amp;IF($C1447&gt;=9,", "&amp;$A1447&amp;"-"&amp;TEXT(($D1447-$C1447+1)+8,"00"),"")&amp;IF($C1447&gt;=10,", "&amp;$A1447&amp;"-"&amp;TEXT(($D1447-$C1447+1)+9,"00"),"")&amp;IF($C1447&gt;=11,", "&amp;$A1447&amp;"-"&amp;TEXT(($D1447-$C1447+1)+10,"00"),"")&amp;IF($C1447&gt;=12,", "&amp;$A1447&amp;"-"&amp;TEXT(($D1447-$C1447+1)+11,"00"),"")&amp;IF($C1447&gt;=13,", "&amp;$A1447&amp;"-"&amp;TEXT(($D1447-$C1447+1)+12,"00"),"")&amp;IF($C1447&gt;=14,", "&amp;$A1447&amp;"-"&amp;TEXT(($D1447-$C1447+1)+13,"00"),"")&amp;IF($C1447&gt;=15,", "&amp;$A1447&amp;"-"&amp;TEXT(($D1447-$C1447+1)+14,"00"),"")&amp;IF($C1447&gt;=16,", "&amp;$A1447&amp;"-"&amp;TEXT(($D1447-$C1447+1)+15,"00"),"")&amp;IF($C1447&gt;=17,", "&amp;$A1447&amp;"-"&amp;TEXT(($D1447-$C1447+1)+16,"00"),"")&amp;IF($C1447&gt;=18,", "&amp;$A1447&amp;"-"&amp;TEXT(($D1447-$C1447+1)+17,"00"),"")&amp;IF($C1447&gt;=19,", "&amp;$A1447&amp;"-"&amp;TEXT(($D1447-$C1447+1)+18,"00"),"")&amp;IF($C1447&gt;=20,", "&amp;$A1447&amp;"-"&amp;TEXT(($D1447-$C1447+1)+19,"00"),"")&amp;IF($C1447&gt;=21,", "&amp;$A1447&amp;"-"&amp;TEXT(($D1447-$C1447+1)+20,"00"),"")&amp;IF($C1447&gt;=22,", "&amp;$A1447&amp;"-"&amp;TEXT(($D1447-$C1447+1)+21,"00"),"")&amp;IF($C1447&gt;=23,", "&amp;$A1447&amp;"-"&amp;TEXT(($D1447-$C1447+1)+22,"00"),"")&amp;IF($C1447&gt;=24,", "&amp;$A1447&amp;"-"&amp;TEXT(($D1447-$C1447+1)+23,"00"),"")&amp;IF($C1447&gt;=25,", "&amp;$A1447&amp;"-"&amp;TEXT(($D1447-$C1447+1)+24,"00"),""))</f>
        <v/>
      </c>
      <c r="G1447">
        <f>IF($A1447="","",IF($E1447=1,$F1447,IF($F1447="",$G1446,IF($G1446="",$F1447,$G1446&amp;", "&amp;$F1447))))</f>
        <v/>
      </c>
      <c r="H1447">
        <f>IF($A1447="","",$A1447&amp;" ("&amp;$C1447&amp;")")</f>
        <v/>
      </c>
      <c r="I1447">
        <f>IF($A1447="","",IF($E1447=1,$H1447,$I1446&amp;", "&amp;$H1447))</f>
        <v/>
      </c>
      <c r="J1447">
        <f>IF($A1447="","",IF($E1447=1,$B1447,""))</f>
        <v/>
      </c>
      <c r="K1447">
        <f>IF($A1447="","",IF(COUNTIF($B$2:$B1447,$B1447)=COUNTIF($B$2:$B$1601,$B1447),$B1447,""))</f>
        <v/>
      </c>
    </row>
    <row r="1448">
      <c r="A1448">
        <f>IF('TMP Paste'!$E1448="","",'TMP Paste'!$E1448)</f>
        <v/>
      </c>
      <c r="B1448">
        <f>IF($A1448="","",COUNTIF('TMP Paste'!$B$2:$B1448,"?*"))</f>
        <v/>
      </c>
      <c r="C1448">
        <f>IF($A1448="","",IFERROR('TMP Paste'!$M1448*1,0))</f>
        <v/>
      </c>
      <c r="D1448">
        <f>IF($A1448="","",SUMIF($B$2:$B1448,$B1448,$C$2:$C1448))</f>
        <v/>
      </c>
      <c r="E1448">
        <f>IF($A1448="",0,IF('TMP Paste'!$B1448="",0,1))</f>
        <v/>
      </c>
      <c r="F1448">
        <f>IF(OR($A1448="",$C1448&lt;1),"",$A1448&amp;"-"&amp;TEXT(($D1448-$C1448+1),"00")&amp;IF($C1448&gt;=2,", "&amp;$A1448&amp;"-"&amp;TEXT(($D1448-$C1448+1)+1,"00"),"")&amp;IF($C1448&gt;=3,", "&amp;$A1448&amp;"-"&amp;TEXT(($D1448-$C1448+1)+2,"00"),"")&amp;IF($C1448&gt;=4,", "&amp;$A1448&amp;"-"&amp;TEXT(($D1448-$C1448+1)+3,"00"),"")&amp;IF($C1448&gt;=5,", "&amp;$A1448&amp;"-"&amp;TEXT(($D1448-$C1448+1)+4,"00"),"")&amp;IF($C1448&gt;=6,", "&amp;$A1448&amp;"-"&amp;TEXT(($D1448-$C1448+1)+5,"00"),"")&amp;IF($C1448&gt;=7,", "&amp;$A1448&amp;"-"&amp;TEXT(($D1448-$C1448+1)+6,"00"),"")&amp;IF($C1448&gt;=8,", "&amp;$A1448&amp;"-"&amp;TEXT(($D1448-$C1448+1)+7,"00"),"")&amp;IF($C1448&gt;=9,", "&amp;$A1448&amp;"-"&amp;TEXT(($D1448-$C1448+1)+8,"00"),"")&amp;IF($C1448&gt;=10,", "&amp;$A1448&amp;"-"&amp;TEXT(($D1448-$C1448+1)+9,"00"),"")&amp;IF($C1448&gt;=11,", "&amp;$A1448&amp;"-"&amp;TEXT(($D1448-$C1448+1)+10,"00"),"")&amp;IF($C1448&gt;=12,", "&amp;$A1448&amp;"-"&amp;TEXT(($D1448-$C1448+1)+11,"00"),"")&amp;IF($C1448&gt;=13,", "&amp;$A1448&amp;"-"&amp;TEXT(($D1448-$C1448+1)+12,"00"),"")&amp;IF($C1448&gt;=14,", "&amp;$A1448&amp;"-"&amp;TEXT(($D1448-$C1448+1)+13,"00"),"")&amp;IF($C1448&gt;=15,", "&amp;$A1448&amp;"-"&amp;TEXT(($D1448-$C1448+1)+14,"00"),"")&amp;IF($C1448&gt;=16,", "&amp;$A1448&amp;"-"&amp;TEXT(($D1448-$C1448+1)+15,"00"),"")&amp;IF($C1448&gt;=17,", "&amp;$A1448&amp;"-"&amp;TEXT(($D1448-$C1448+1)+16,"00"),"")&amp;IF($C1448&gt;=18,", "&amp;$A1448&amp;"-"&amp;TEXT(($D1448-$C1448+1)+17,"00"),"")&amp;IF($C1448&gt;=19,", "&amp;$A1448&amp;"-"&amp;TEXT(($D1448-$C1448+1)+18,"00"),"")&amp;IF($C1448&gt;=20,", "&amp;$A1448&amp;"-"&amp;TEXT(($D1448-$C1448+1)+19,"00"),"")&amp;IF($C1448&gt;=21,", "&amp;$A1448&amp;"-"&amp;TEXT(($D1448-$C1448+1)+20,"00"),"")&amp;IF($C1448&gt;=22,", "&amp;$A1448&amp;"-"&amp;TEXT(($D1448-$C1448+1)+21,"00"),"")&amp;IF($C1448&gt;=23,", "&amp;$A1448&amp;"-"&amp;TEXT(($D1448-$C1448+1)+22,"00"),"")&amp;IF($C1448&gt;=24,", "&amp;$A1448&amp;"-"&amp;TEXT(($D1448-$C1448+1)+23,"00"),"")&amp;IF($C1448&gt;=25,", "&amp;$A1448&amp;"-"&amp;TEXT(($D1448-$C1448+1)+24,"00"),""))</f>
        <v/>
      </c>
      <c r="G1448">
        <f>IF($A1448="","",IF($E1448=1,$F1448,IF($F1448="",$G1447,IF($G1447="",$F1448,$G1447&amp;", "&amp;$F1448))))</f>
        <v/>
      </c>
      <c r="H1448">
        <f>IF($A1448="","",$A1448&amp;" ("&amp;$C1448&amp;")")</f>
        <v/>
      </c>
      <c r="I1448">
        <f>IF($A1448="","",IF($E1448=1,$H1448,$I1447&amp;", "&amp;$H1448))</f>
        <v/>
      </c>
      <c r="J1448">
        <f>IF($A1448="","",IF($E1448=1,$B1448,""))</f>
        <v/>
      </c>
      <c r="K1448">
        <f>IF($A1448="","",IF(COUNTIF($B$2:$B1448,$B1448)=COUNTIF($B$2:$B$1601,$B1448),$B1448,""))</f>
        <v/>
      </c>
    </row>
    <row r="1449">
      <c r="A1449">
        <f>IF('TMP Paste'!$E1449="","",'TMP Paste'!$E1449)</f>
        <v/>
      </c>
      <c r="B1449">
        <f>IF($A1449="","",COUNTIF('TMP Paste'!$B$2:$B1449,"?*"))</f>
        <v/>
      </c>
      <c r="C1449">
        <f>IF($A1449="","",IFERROR('TMP Paste'!$M1449*1,0))</f>
        <v/>
      </c>
      <c r="D1449">
        <f>IF($A1449="","",SUMIF($B$2:$B1449,$B1449,$C$2:$C1449))</f>
        <v/>
      </c>
      <c r="E1449">
        <f>IF($A1449="",0,IF('TMP Paste'!$B1449="",0,1))</f>
        <v/>
      </c>
      <c r="F1449">
        <f>IF(OR($A1449="",$C1449&lt;1),"",$A1449&amp;"-"&amp;TEXT(($D1449-$C1449+1),"00")&amp;IF($C1449&gt;=2,", "&amp;$A1449&amp;"-"&amp;TEXT(($D1449-$C1449+1)+1,"00"),"")&amp;IF($C1449&gt;=3,", "&amp;$A1449&amp;"-"&amp;TEXT(($D1449-$C1449+1)+2,"00"),"")&amp;IF($C1449&gt;=4,", "&amp;$A1449&amp;"-"&amp;TEXT(($D1449-$C1449+1)+3,"00"),"")&amp;IF($C1449&gt;=5,", "&amp;$A1449&amp;"-"&amp;TEXT(($D1449-$C1449+1)+4,"00"),"")&amp;IF($C1449&gt;=6,", "&amp;$A1449&amp;"-"&amp;TEXT(($D1449-$C1449+1)+5,"00"),"")&amp;IF($C1449&gt;=7,", "&amp;$A1449&amp;"-"&amp;TEXT(($D1449-$C1449+1)+6,"00"),"")&amp;IF($C1449&gt;=8,", "&amp;$A1449&amp;"-"&amp;TEXT(($D1449-$C1449+1)+7,"00"),"")&amp;IF($C1449&gt;=9,", "&amp;$A1449&amp;"-"&amp;TEXT(($D1449-$C1449+1)+8,"00"),"")&amp;IF($C1449&gt;=10,", "&amp;$A1449&amp;"-"&amp;TEXT(($D1449-$C1449+1)+9,"00"),"")&amp;IF($C1449&gt;=11,", "&amp;$A1449&amp;"-"&amp;TEXT(($D1449-$C1449+1)+10,"00"),"")&amp;IF($C1449&gt;=12,", "&amp;$A1449&amp;"-"&amp;TEXT(($D1449-$C1449+1)+11,"00"),"")&amp;IF($C1449&gt;=13,", "&amp;$A1449&amp;"-"&amp;TEXT(($D1449-$C1449+1)+12,"00"),"")&amp;IF($C1449&gt;=14,", "&amp;$A1449&amp;"-"&amp;TEXT(($D1449-$C1449+1)+13,"00"),"")&amp;IF($C1449&gt;=15,", "&amp;$A1449&amp;"-"&amp;TEXT(($D1449-$C1449+1)+14,"00"),"")&amp;IF($C1449&gt;=16,", "&amp;$A1449&amp;"-"&amp;TEXT(($D1449-$C1449+1)+15,"00"),"")&amp;IF($C1449&gt;=17,", "&amp;$A1449&amp;"-"&amp;TEXT(($D1449-$C1449+1)+16,"00"),"")&amp;IF($C1449&gt;=18,", "&amp;$A1449&amp;"-"&amp;TEXT(($D1449-$C1449+1)+17,"00"),"")&amp;IF($C1449&gt;=19,", "&amp;$A1449&amp;"-"&amp;TEXT(($D1449-$C1449+1)+18,"00"),"")&amp;IF($C1449&gt;=20,", "&amp;$A1449&amp;"-"&amp;TEXT(($D1449-$C1449+1)+19,"00"),"")&amp;IF($C1449&gt;=21,", "&amp;$A1449&amp;"-"&amp;TEXT(($D1449-$C1449+1)+20,"00"),"")&amp;IF($C1449&gt;=22,", "&amp;$A1449&amp;"-"&amp;TEXT(($D1449-$C1449+1)+21,"00"),"")&amp;IF($C1449&gt;=23,", "&amp;$A1449&amp;"-"&amp;TEXT(($D1449-$C1449+1)+22,"00"),"")&amp;IF($C1449&gt;=24,", "&amp;$A1449&amp;"-"&amp;TEXT(($D1449-$C1449+1)+23,"00"),"")&amp;IF($C1449&gt;=25,", "&amp;$A1449&amp;"-"&amp;TEXT(($D1449-$C1449+1)+24,"00"),""))</f>
        <v/>
      </c>
      <c r="G1449">
        <f>IF($A1449="","",IF($E1449=1,$F1449,IF($F1449="",$G1448,IF($G1448="",$F1449,$G1448&amp;", "&amp;$F1449))))</f>
        <v/>
      </c>
      <c r="H1449">
        <f>IF($A1449="","",$A1449&amp;" ("&amp;$C1449&amp;")")</f>
        <v/>
      </c>
      <c r="I1449">
        <f>IF($A1449="","",IF($E1449=1,$H1449,$I1448&amp;", "&amp;$H1449))</f>
        <v/>
      </c>
      <c r="J1449">
        <f>IF($A1449="","",IF($E1449=1,$B1449,""))</f>
        <v/>
      </c>
      <c r="K1449">
        <f>IF($A1449="","",IF(COUNTIF($B$2:$B1449,$B1449)=COUNTIF($B$2:$B$1601,$B1449),$B1449,""))</f>
        <v/>
      </c>
    </row>
    <row r="1450">
      <c r="A1450">
        <f>IF('TMP Paste'!$E1450="","",'TMP Paste'!$E1450)</f>
        <v/>
      </c>
      <c r="B1450">
        <f>IF($A1450="","",COUNTIF('TMP Paste'!$B$2:$B1450,"?*"))</f>
        <v/>
      </c>
      <c r="C1450">
        <f>IF($A1450="","",IFERROR('TMP Paste'!$M1450*1,0))</f>
        <v/>
      </c>
      <c r="D1450">
        <f>IF($A1450="","",SUMIF($B$2:$B1450,$B1450,$C$2:$C1450))</f>
        <v/>
      </c>
      <c r="E1450">
        <f>IF($A1450="",0,IF('TMP Paste'!$B1450="",0,1))</f>
        <v/>
      </c>
      <c r="F1450">
        <f>IF(OR($A1450="",$C1450&lt;1),"",$A1450&amp;"-"&amp;TEXT(($D1450-$C1450+1),"00")&amp;IF($C1450&gt;=2,", "&amp;$A1450&amp;"-"&amp;TEXT(($D1450-$C1450+1)+1,"00"),"")&amp;IF($C1450&gt;=3,", "&amp;$A1450&amp;"-"&amp;TEXT(($D1450-$C1450+1)+2,"00"),"")&amp;IF($C1450&gt;=4,", "&amp;$A1450&amp;"-"&amp;TEXT(($D1450-$C1450+1)+3,"00"),"")&amp;IF($C1450&gt;=5,", "&amp;$A1450&amp;"-"&amp;TEXT(($D1450-$C1450+1)+4,"00"),"")&amp;IF($C1450&gt;=6,", "&amp;$A1450&amp;"-"&amp;TEXT(($D1450-$C1450+1)+5,"00"),"")&amp;IF($C1450&gt;=7,", "&amp;$A1450&amp;"-"&amp;TEXT(($D1450-$C1450+1)+6,"00"),"")&amp;IF($C1450&gt;=8,", "&amp;$A1450&amp;"-"&amp;TEXT(($D1450-$C1450+1)+7,"00"),"")&amp;IF($C1450&gt;=9,", "&amp;$A1450&amp;"-"&amp;TEXT(($D1450-$C1450+1)+8,"00"),"")&amp;IF($C1450&gt;=10,", "&amp;$A1450&amp;"-"&amp;TEXT(($D1450-$C1450+1)+9,"00"),"")&amp;IF($C1450&gt;=11,", "&amp;$A1450&amp;"-"&amp;TEXT(($D1450-$C1450+1)+10,"00"),"")&amp;IF($C1450&gt;=12,", "&amp;$A1450&amp;"-"&amp;TEXT(($D1450-$C1450+1)+11,"00"),"")&amp;IF($C1450&gt;=13,", "&amp;$A1450&amp;"-"&amp;TEXT(($D1450-$C1450+1)+12,"00"),"")&amp;IF($C1450&gt;=14,", "&amp;$A1450&amp;"-"&amp;TEXT(($D1450-$C1450+1)+13,"00"),"")&amp;IF($C1450&gt;=15,", "&amp;$A1450&amp;"-"&amp;TEXT(($D1450-$C1450+1)+14,"00"),"")&amp;IF($C1450&gt;=16,", "&amp;$A1450&amp;"-"&amp;TEXT(($D1450-$C1450+1)+15,"00"),"")&amp;IF($C1450&gt;=17,", "&amp;$A1450&amp;"-"&amp;TEXT(($D1450-$C1450+1)+16,"00"),"")&amp;IF($C1450&gt;=18,", "&amp;$A1450&amp;"-"&amp;TEXT(($D1450-$C1450+1)+17,"00"),"")&amp;IF($C1450&gt;=19,", "&amp;$A1450&amp;"-"&amp;TEXT(($D1450-$C1450+1)+18,"00"),"")&amp;IF($C1450&gt;=20,", "&amp;$A1450&amp;"-"&amp;TEXT(($D1450-$C1450+1)+19,"00"),"")&amp;IF($C1450&gt;=21,", "&amp;$A1450&amp;"-"&amp;TEXT(($D1450-$C1450+1)+20,"00"),"")&amp;IF($C1450&gt;=22,", "&amp;$A1450&amp;"-"&amp;TEXT(($D1450-$C1450+1)+21,"00"),"")&amp;IF($C1450&gt;=23,", "&amp;$A1450&amp;"-"&amp;TEXT(($D1450-$C1450+1)+22,"00"),"")&amp;IF($C1450&gt;=24,", "&amp;$A1450&amp;"-"&amp;TEXT(($D1450-$C1450+1)+23,"00"),"")&amp;IF($C1450&gt;=25,", "&amp;$A1450&amp;"-"&amp;TEXT(($D1450-$C1450+1)+24,"00"),""))</f>
        <v/>
      </c>
      <c r="G1450">
        <f>IF($A1450="","",IF($E1450=1,$F1450,IF($F1450="",$G1449,IF($G1449="",$F1450,$G1449&amp;", "&amp;$F1450))))</f>
        <v/>
      </c>
      <c r="H1450">
        <f>IF($A1450="","",$A1450&amp;" ("&amp;$C1450&amp;")")</f>
        <v/>
      </c>
      <c r="I1450">
        <f>IF($A1450="","",IF($E1450=1,$H1450,$I1449&amp;", "&amp;$H1450))</f>
        <v/>
      </c>
      <c r="J1450">
        <f>IF($A1450="","",IF($E1450=1,$B1450,""))</f>
        <v/>
      </c>
      <c r="K1450">
        <f>IF($A1450="","",IF(COUNTIF($B$2:$B1450,$B1450)=COUNTIF($B$2:$B$1601,$B1450),$B1450,""))</f>
        <v/>
      </c>
    </row>
    <row r="1451">
      <c r="A1451">
        <f>IF('TMP Paste'!$E1451="","",'TMP Paste'!$E1451)</f>
        <v/>
      </c>
      <c r="B1451">
        <f>IF($A1451="","",COUNTIF('TMP Paste'!$B$2:$B1451,"?*"))</f>
        <v/>
      </c>
      <c r="C1451">
        <f>IF($A1451="","",IFERROR('TMP Paste'!$M1451*1,0))</f>
        <v/>
      </c>
      <c r="D1451">
        <f>IF($A1451="","",SUMIF($B$2:$B1451,$B1451,$C$2:$C1451))</f>
        <v/>
      </c>
      <c r="E1451">
        <f>IF($A1451="",0,IF('TMP Paste'!$B1451="",0,1))</f>
        <v/>
      </c>
      <c r="F1451">
        <f>IF(OR($A1451="",$C1451&lt;1),"",$A1451&amp;"-"&amp;TEXT(($D1451-$C1451+1),"00")&amp;IF($C1451&gt;=2,", "&amp;$A1451&amp;"-"&amp;TEXT(($D1451-$C1451+1)+1,"00"),"")&amp;IF($C1451&gt;=3,", "&amp;$A1451&amp;"-"&amp;TEXT(($D1451-$C1451+1)+2,"00"),"")&amp;IF($C1451&gt;=4,", "&amp;$A1451&amp;"-"&amp;TEXT(($D1451-$C1451+1)+3,"00"),"")&amp;IF($C1451&gt;=5,", "&amp;$A1451&amp;"-"&amp;TEXT(($D1451-$C1451+1)+4,"00"),"")&amp;IF($C1451&gt;=6,", "&amp;$A1451&amp;"-"&amp;TEXT(($D1451-$C1451+1)+5,"00"),"")&amp;IF($C1451&gt;=7,", "&amp;$A1451&amp;"-"&amp;TEXT(($D1451-$C1451+1)+6,"00"),"")&amp;IF($C1451&gt;=8,", "&amp;$A1451&amp;"-"&amp;TEXT(($D1451-$C1451+1)+7,"00"),"")&amp;IF($C1451&gt;=9,", "&amp;$A1451&amp;"-"&amp;TEXT(($D1451-$C1451+1)+8,"00"),"")&amp;IF($C1451&gt;=10,", "&amp;$A1451&amp;"-"&amp;TEXT(($D1451-$C1451+1)+9,"00"),"")&amp;IF($C1451&gt;=11,", "&amp;$A1451&amp;"-"&amp;TEXT(($D1451-$C1451+1)+10,"00"),"")&amp;IF($C1451&gt;=12,", "&amp;$A1451&amp;"-"&amp;TEXT(($D1451-$C1451+1)+11,"00"),"")&amp;IF($C1451&gt;=13,", "&amp;$A1451&amp;"-"&amp;TEXT(($D1451-$C1451+1)+12,"00"),"")&amp;IF($C1451&gt;=14,", "&amp;$A1451&amp;"-"&amp;TEXT(($D1451-$C1451+1)+13,"00"),"")&amp;IF($C1451&gt;=15,", "&amp;$A1451&amp;"-"&amp;TEXT(($D1451-$C1451+1)+14,"00"),"")&amp;IF($C1451&gt;=16,", "&amp;$A1451&amp;"-"&amp;TEXT(($D1451-$C1451+1)+15,"00"),"")&amp;IF($C1451&gt;=17,", "&amp;$A1451&amp;"-"&amp;TEXT(($D1451-$C1451+1)+16,"00"),"")&amp;IF($C1451&gt;=18,", "&amp;$A1451&amp;"-"&amp;TEXT(($D1451-$C1451+1)+17,"00"),"")&amp;IF($C1451&gt;=19,", "&amp;$A1451&amp;"-"&amp;TEXT(($D1451-$C1451+1)+18,"00"),"")&amp;IF($C1451&gt;=20,", "&amp;$A1451&amp;"-"&amp;TEXT(($D1451-$C1451+1)+19,"00"),"")&amp;IF($C1451&gt;=21,", "&amp;$A1451&amp;"-"&amp;TEXT(($D1451-$C1451+1)+20,"00"),"")&amp;IF($C1451&gt;=22,", "&amp;$A1451&amp;"-"&amp;TEXT(($D1451-$C1451+1)+21,"00"),"")&amp;IF($C1451&gt;=23,", "&amp;$A1451&amp;"-"&amp;TEXT(($D1451-$C1451+1)+22,"00"),"")&amp;IF($C1451&gt;=24,", "&amp;$A1451&amp;"-"&amp;TEXT(($D1451-$C1451+1)+23,"00"),"")&amp;IF($C1451&gt;=25,", "&amp;$A1451&amp;"-"&amp;TEXT(($D1451-$C1451+1)+24,"00"),""))</f>
        <v/>
      </c>
      <c r="G1451">
        <f>IF($A1451="","",IF($E1451=1,$F1451,IF($F1451="",$G1450,IF($G1450="",$F1451,$G1450&amp;", "&amp;$F1451))))</f>
        <v/>
      </c>
      <c r="H1451">
        <f>IF($A1451="","",$A1451&amp;" ("&amp;$C1451&amp;")")</f>
        <v/>
      </c>
      <c r="I1451">
        <f>IF($A1451="","",IF($E1451=1,$H1451,$I1450&amp;", "&amp;$H1451))</f>
        <v/>
      </c>
      <c r="J1451">
        <f>IF($A1451="","",IF($E1451=1,$B1451,""))</f>
        <v/>
      </c>
      <c r="K1451">
        <f>IF($A1451="","",IF(COUNTIF($B$2:$B1451,$B1451)=COUNTIF($B$2:$B$1601,$B1451),$B1451,""))</f>
        <v/>
      </c>
    </row>
    <row r="1452">
      <c r="A1452">
        <f>IF('TMP Paste'!$E1452="","",'TMP Paste'!$E1452)</f>
        <v/>
      </c>
      <c r="B1452">
        <f>IF($A1452="","",COUNTIF('TMP Paste'!$B$2:$B1452,"?*"))</f>
        <v/>
      </c>
      <c r="C1452">
        <f>IF($A1452="","",IFERROR('TMP Paste'!$M1452*1,0))</f>
        <v/>
      </c>
      <c r="D1452">
        <f>IF($A1452="","",SUMIF($B$2:$B1452,$B1452,$C$2:$C1452))</f>
        <v/>
      </c>
      <c r="E1452">
        <f>IF($A1452="",0,IF('TMP Paste'!$B1452="",0,1))</f>
        <v/>
      </c>
      <c r="F1452">
        <f>IF(OR($A1452="",$C1452&lt;1),"",$A1452&amp;"-"&amp;TEXT(($D1452-$C1452+1),"00")&amp;IF($C1452&gt;=2,", "&amp;$A1452&amp;"-"&amp;TEXT(($D1452-$C1452+1)+1,"00"),"")&amp;IF($C1452&gt;=3,", "&amp;$A1452&amp;"-"&amp;TEXT(($D1452-$C1452+1)+2,"00"),"")&amp;IF($C1452&gt;=4,", "&amp;$A1452&amp;"-"&amp;TEXT(($D1452-$C1452+1)+3,"00"),"")&amp;IF($C1452&gt;=5,", "&amp;$A1452&amp;"-"&amp;TEXT(($D1452-$C1452+1)+4,"00"),"")&amp;IF($C1452&gt;=6,", "&amp;$A1452&amp;"-"&amp;TEXT(($D1452-$C1452+1)+5,"00"),"")&amp;IF($C1452&gt;=7,", "&amp;$A1452&amp;"-"&amp;TEXT(($D1452-$C1452+1)+6,"00"),"")&amp;IF($C1452&gt;=8,", "&amp;$A1452&amp;"-"&amp;TEXT(($D1452-$C1452+1)+7,"00"),"")&amp;IF($C1452&gt;=9,", "&amp;$A1452&amp;"-"&amp;TEXT(($D1452-$C1452+1)+8,"00"),"")&amp;IF($C1452&gt;=10,", "&amp;$A1452&amp;"-"&amp;TEXT(($D1452-$C1452+1)+9,"00"),"")&amp;IF($C1452&gt;=11,", "&amp;$A1452&amp;"-"&amp;TEXT(($D1452-$C1452+1)+10,"00"),"")&amp;IF($C1452&gt;=12,", "&amp;$A1452&amp;"-"&amp;TEXT(($D1452-$C1452+1)+11,"00"),"")&amp;IF($C1452&gt;=13,", "&amp;$A1452&amp;"-"&amp;TEXT(($D1452-$C1452+1)+12,"00"),"")&amp;IF($C1452&gt;=14,", "&amp;$A1452&amp;"-"&amp;TEXT(($D1452-$C1452+1)+13,"00"),"")&amp;IF($C1452&gt;=15,", "&amp;$A1452&amp;"-"&amp;TEXT(($D1452-$C1452+1)+14,"00"),"")&amp;IF($C1452&gt;=16,", "&amp;$A1452&amp;"-"&amp;TEXT(($D1452-$C1452+1)+15,"00"),"")&amp;IF($C1452&gt;=17,", "&amp;$A1452&amp;"-"&amp;TEXT(($D1452-$C1452+1)+16,"00"),"")&amp;IF($C1452&gt;=18,", "&amp;$A1452&amp;"-"&amp;TEXT(($D1452-$C1452+1)+17,"00"),"")&amp;IF($C1452&gt;=19,", "&amp;$A1452&amp;"-"&amp;TEXT(($D1452-$C1452+1)+18,"00"),"")&amp;IF($C1452&gt;=20,", "&amp;$A1452&amp;"-"&amp;TEXT(($D1452-$C1452+1)+19,"00"),"")&amp;IF($C1452&gt;=21,", "&amp;$A1452&amp;"-"&amp;TEXT(($D1452-$C1452+1)+20,"00"),"")&amp;IF($C1452&gt;=22,", "&amp;$A1452&amp;"-"&amp;TEXT(($D1452-$C1452+1)+21,"00"),"")&amp;IF($C1452&gt;=23,", "&amp;$A1452&amp;"-"&amp;TEXT(($D1452-$C1452+1)+22,"00"),"")&amp;IF($C1452&gt;=24,", "&amp;$A1452&amp;"-"&amp;TEXT(($D1452-$C1452+1)+23,"00"),"")&amp;IF($C1452&gt;=25,", "&amp;$A1452&amp;"-"&amp;TEXT(($D1452-$C1452+1)+24,"00"),""))</f>
        <v/>
      </c>
      <c r="G1452">
        <f>IF($A1452="","",IF($E1452=1,$F1452,IF($F1452="",$G1451,IF($G1451="",$F1452,$G1451&amp;", "&amp;$F1452))))</f>
        <v/>
      </c>
      <c r="H1452">
        <f>IF($A1452="","",$A1452&amp;" ("&amp;$C1452&amp;")")</f>
        <v/>
      </c>
      <c r="I1452">
        <f>IF($A1452="","",IF($E1452=1,$H1452,$I1451&amp;", "&amp;$H1452))</f>
        <v/>
      </c>
      <c r="J1452">
        <f>IF($A1452="","",IF($E1452=1,$B1452,""))</f>
        <v/>
      </c>
      <c r="K1452">
        <f>IF($A1452="","",IF(COUNTIF($B$2:$B1452,$B1452)=COUNTIF($B$2:$B$1601,$B1452),$B1452,""))</f>
        <v/>
      </c>
    </row>
    <row r="1453">
      <c r="A1453">
        <f>IF('TMP Paste'!$E1453="","",'TMP Paste'!$E1453)</f>
        <v/>
      </c>
      <c r="B1453">
        <f>IF($A1453="","",COUNTIF('TMP Paste'!$B$2:$B1453,"?*"))</f>
        <v/>
      </c>
      <c r="C1453">
        <f>IF($A1453="","",IFERROR('TMP Paste'!$M1453*1,0))</f>
        <v/>
      </c>
      <c r="D1453">
        <f>IF($A1453="","",SUMIF($B$2:$B1453,$B1453,$C$2:$C1453))</f>
        <v/>
      </c>
      <c r="E1453">
        <f>IF($A1453="",0,IF('TMP Paste'!$B1453="",0,1))</f>
        <v/>
      </c>
      <c r="F1453">
        <f>IF(OR($A1453="",$C1453&lt;1),"",$A1453&amp;"-"&amp;TEXT(($D1453-$C1453+1),"00")&amp;IF($C1453&gt;=2,", "&amp;$A1453&amp;"-"&amp;TEXT(($D1453-$C1453+1)+1,"00"),"")&amp;IF($C1453&gt;=3,", "&amp;$A1453&amp;"-"&amp;TEXT(($D1453-$C1453+1)+2,"00"),"")&amp;IF($C1453&gt;=4,", "&amp;$A1453&amp;"-"&amp;TEXT(($D1453-$C1453+1)+3,"00"),"")&amp;IF($C1453&gt;=5,", "&amp;$A1453&amp;"-"&amp;TEXT(($D1453-$C1453+1)+4,"00"),"")&amp;IF($C1453&gt;=6,", "&amp;$A1453&amp;"-"&amp;TEXT(($D1453-$C1453+1)+5,"00"),"")&amp;IF($C1453&gt;=7,", "&amp;$A1453&amp;"-"&amp;TEXT(($D1453-$C1453+1)+6,"00"),"")&amp;IF($C1453&gt;=8,", "&amp;$A1453&amp;"-"&amp;TEXT(($D1453-$C1453+1)+7,"00"),"")&amp;IF($C1453&gt;=9,", "&amp;$A1453&amp;"-"&amp;TEXT(($D1453-$C1453+1)+8,"00"),"")&amp;IF($C1453&gt;=10,", "&amp;$A1453&amp;"-"&amp;TEXT(($D1453-$C1453+1)+9,"00"),"")&amp;IF($C1453&gt;=11,", "&amp;$A1453&amp;"-"&amp;TEXT(($D1453-$C1453+1)+10,"00"),"")&amp;IF($C1453&gt;=12,", "&amp;$A1453&amp;"-"&amp;TEXT(($D1453-$C1453+1)+11,"00"),"")&amp;IF($C1453&gt;=13,", "&amp;$A1453&amp;"-"&amp;TEXT(($D1453-$C1453+1)+12,"00"),"")&amp;IF($C1453&gt;=14,", "&amp;$A1453&amp;"-"&amp;TEXT(($D1453-$C1453+1)+13,"00"),"")&amp;IF($C1453&gt;=15,", "&amp;$A1453&amp;"-"&amp;TEXT(($D1453-$C1453+1)+14,"00"),"")&amp;IF($C1453&gt;=16,", "&amp;$A1453&amp;"-"&amp;TEXT(($D1453-$C1453+1)+15,"00"),"")&amp;IF($C1453&gt;=17,", "&amp;$A1453&amp;"-"&amp;TEXT(($D1453-$C1453+1)+16,"00"),"")&amp;IF($C1453&gt;=18,", "&amp;$A1453&amp;"-"&amp;TEXT(($D1453-$C1453+1)+17,"00"),"")&amp;IF($C1453&gt;=19,", "&amp;$A1453&amp;"-"&amp;TEXT(($D1453-$C1453+1)+18,"00"),"")&amp;IF($C1453&gt;=20,", "&amp;$A1453&amp;"-"&amp;TEXT(($D1453-$C1453+1)+19,"00"),"")&amp;IF($C1453&gt;=21,", "&amp;$A1453&amp;"-"&amp;TEXT(($D1453-$C1453+1)+20,"00"),"")&amp;IF($C1453&gt;=22,", "&amp;$A1453&amp;"-"&amp;TEXT(($D1453-$C1453+1)+21,"00"),"")&amp;IF($C1453&gt;=23,", "&amp;$A1453&amp;"-"&amp;TEXT(($D1453-$C1453+1)+22,"00"),"")&amp;IF($C1453&gt;=24,", "&amp;$A1453&amp;"-"&amp;TEXT(($D1453-$C1453+1)+23,"00"),"")&amp;IF($C1453&gt;=25,", "&amp;$A1453&amp;"-"&amp;TEXT(($D1453-$C1453+1)+24,"00"),""))</f>
        <v/>
      </c>
      <c r="G1453">
        <f>IF($A1453="","",IF($E1453=1,$F1453,IF($F1453="",$G1452,IF($G1452="",$F1453,$G1452&amp;", "&amp;$F1453))))</f>
        <v/>
      </c>
      <c r="H1453">
        <f>IF($A1453="","",$A1453&amp;" ("&amp;$C1453&amp;")")</f>
        <v/>
      </c>
      <c r="I1453">
        <f>IF($A1453="","",IF($E1453=1,$H1453,$I1452&amp;", "&amp;$H1453))</f>
        <v/>
      </c>
      <c r="J1453">
        <f>IF($A1453="","",IF($E1453=1,$B1453,""))</f>
        <v/>
      </c>
      <c r="K1453">
        <f>IF($A1453="","",IF(COUNTIF($B$2:$B1453,$B1453)=COUNTIF($B$2:$B$1601,$B1453),$B1453,""))</f>
        <v/>
      </c>
    </row>
    <row r="1454">
      <c r="A1454">
        <f>IF('TMP Paste'!$E1454="","",'TMP Paste'!$E1454)</f>
        <v/>
      </c>
      <c r="B1454">
        <f>IF($A1454="","",COUNTIF('TMP Paste'!$B$2:$B1454,"?*"))</f>
        <v/>
      </c>
      <c r="C1454">
        <f>IF($A1454="","",IFERROR('TMP Paste'!$M1454*1,0))</f>
        <v/>
      </c>
      <c r="D1454">
        <f>IF($A1454="","",SUMIF($B$2:$B1454,$B1454,$C$2:$C1454))</f>
        <v/>
      </c>
      <c r="E1454">
        <f>IF($A1454="",0,IF('TMP Paste'!$B1454="",0,1))</f>
        <v/>
      </c>
      <c r="F1454">
        <f>IF(OR($A1454="",$C1454&lt;1),"",$A1454&amp;"-"&amp;TEXT(($D1454-$C1454+1),"00")&amp;IF($C1454&gt;=2,", "&amp;$A1454&amp;"-"&amp;TEXT(($D1454-$C1454+1)+1,"00"),"")&amp;IF($C1454&gt;=3,", "&amp;$A1454&amp;"-"&amp;TEXT(($D1454-$C1454+1)+2,"00"),"")&amp;IF($C1454&gt;=4,", "&amp;$A1454&amp;"-"&amp;TEXT(($D1454-$C1454+1)+3,"00"),"")&amp;IF($C1454&gt;=5,", "&amp;$A1454&amp;"-"&amp;TEXT(($D1454-$C1454+1)+4,"00"),"")&amp;IF($C1454&gt;=6,", "&amp;$A1454&amp;"-"&amp;TEXT(($D1454-$C1454+1)+5,"00"),"")&amp;IF($C1454&gt;=7,", "&amp;$A1454&amp;"-"&amp;TEXT(($D1454-$C1454+1)+6,"00"),"")&amp;IF($C1454&gt;=8,", "&amp;$A1454&amp;"-"&amp;TEXT(($D1454-$C1454+1)+7,"00"),"")&amp;IF($C1454&gt;=9,", "&amp;$A1454&amp;"-"&amp;TEXT(($D1454-$C1454+1)+8,"00"),"")&amp;IF($C1454&gt;=10,", "&amp;$A1454&amp;"-"&amp;TEXT(($D1454-$C1454+1)+9,"00"),"")&amp;IF($C1454&gt;=11,", "&amp;$A1454&amp;"-"&amp;TEXT(($D1454-$C1454+1)+10,"00"),"")&amp;IF($C1454&gt;=12,", "&amp;$A1454&amp;"-"&amp;TEXT(($D1454-$C1454+1)+11,"00"),"")&amp;IF($C1454&gt;=13,", "&amp;$A1454&amp;"-"&amp;TEXT(($D1454-$C1454+1)+12,"00"),"")&amp;IF($C1454&gt;=14,", "&amp;$A1454&amp;"-"&amp;TEXT(($D1454-$C1454+1)+13,"00"),"")&amp;IF($C1454&gt;=15,", "&amp;$A1454&amp;"-"&amp;TEXT(($D1454-$C1454+1)+14,"00"),"")&amp;IF($C1454&gt;=16,", "&amp;$A1454&amp;"-"&amp;TEXT(($D1454-$C1454+1)+15,"00"),"")&amp;IF($C1454&gt;=17,", "&amp;$A1454&amp;"-"&amp;TEXT(($D1454-$C1454+1)+16,"00"),"")&amp;IF($C1454&gt;=18,", "&amp;$A1454&amp;"-"&amp;TEXT(($D1454-$C1454+1)+17,"00"),"")&amp;IF($C1454&gt;=19,", "&amp;$A1454&amp;"-"&amp;TEXT(($D1454-$C1454+1)+18,"00"),"")&amp;IF($C1454&gt;=20,", "&amp;$A1454&amp;"-"&amp;TEXT(($D1454-$C1454+1)+19,"00"),"")&amp;IF($C1454&gt;=21,", "&amp;$A1454&amp;"-"&amp;TEXT(($D1454-$C1454+1)+20,"00"),"")&amp;IF($C1454&gt;=22,", "&amp;$A1454&amp;"-"&amp;TEXT(($D1454-$C1454+1)+21,"00"),"")&amp;IF($C1454&gt;=23,", "&amp;$A1454&amp;"-"&amp;TEXT(($D1454-$C1454+1)+22,"00"),"")&amp;IF($C1454&gt;=24,", "&amp;$A1454&amp;"-"&amp;TEXT(($D1454-$C1454+1)+23,"00"),"")&amp;IF($C1454&gt;=25,", "&amp;$A1454&amp;"-"&amp;TEXT(($D1454-$C1454+1)+24,"00"),""))</f>
        <v/>
      </c>
      <c r="G1454">
        <f>IF($A1454="","",IF($E1454=1,$F1454,IF($F1454="",$G1453,IF($G1453="",$F1454,$G1453&amp;", "&amp;$F1454))))</f>
        <v/>
      </c>
      <c r="H1454">
        <f>IF($A1454="","",$A1454&amp;" ("&amp;$C1454&amp;")")</f>
        <v/>
      </c>
      <c r="I1454">
        <f>IF($A1454="","",IF($E1454=1,$H1454,$I1453&amp;", "&amp;$H1454))</f>
        <v/>
      </c>
      <c r="J1454">
        <f>IF($A1454="","",IF($E1454=1,$B1454,""))</f>
        <v/>
      </c>
      <c r="K1454">
        <f>IF($A1454="","",IF(COUNTIF($B$2:$B1454,$B1454)=COUNTIF($B$2:$B$1601,$B1454),$B1454,""))</f>
        <v/>
      </c>
    </row>
    <row r="1455">
      <c r="A1455">
        <f>IF('TMP Paste'!$E1455="","",'TMP Paste'!$E1455)</f>
        <v/>
      </c>
      <c r="B1455">
        <f>IF($A1455="","",COUNTIF('TMP Paste'!$B$2:$B1455,"?*"))</f>
        <v/>
      </c>
      <c r="C1455">
        <f>IF($A1455="","",IFERROR('TMP Paste'!$M1455*1,0))</f>
        <v/>
      </c>
      <c r="D1455">
        <f>IF($A1455="","",SUMIF($B$2:$B1455,$B1455,$C$2:$C1455))</f>
        <v/>
      </c>
      <c r="E1455">
        <f>IF($A1455="",0,IF('TMP Paste'!$B1455="",0,1))</f>
        <v/>
      </c>
      <c r="F1455">
        <f>IF(OR($A1455="",$C1455&lt;1),"",$A1455&amp;"-"&amp;TEXT(($D1455-$C1455+1),"00")&amp;IF($C1455&gt;=2,", "&amp;$A1455&amp;"-"&amp;TEXT(($D1455-$C1455+1)+1,"00"),"")&amp;IF($C1455&gt;=3,", "&amp;$A1455&amp;"-"&amp;TEXT(($D1455-$C1455+1)+2,"00"),"")&amp;IF($C1455&gt;=4,", "&amp;$A1455&amp;"-"&amp;TEXT(($D1455-$C1455+1)+3,"00"),"")&amp;IF($C1455&gt;=5,", "&amp;$A1455&amp;"-"&amp;TEXT(($D1455-$C1455+1)+4,"00"),"")&amp;IF($C1455&gt;=6,", "&amp;$A1455&amp;"-"&amp;TEXT(($D1455-$C1455+1)+5,"00"),"")&amp;IF($C1455&gt;=7,", "&amp;$A1455&amp;"-"&amp;TEXT(($D1455-$C1455+1)+6,"00"),"")&amp;IF($C1455&gt;=8,", "&amp;$A1455&amp;"-"&amp;TEXT(($D1455-$C1455+1)+7,"00"),"")&amp;IF($C1455&gt;=9,", "&amp;$A1455&amp;"-"&amp;TEXT(($D1455-$C1455+1)+8,"00"),"")&amp;IF($C1455&gt;=10,", "&amp;$A1455&amp;"-"&amp;TEXT(($D1455-$C1455+1)+9,"00"),"")&amp;IF($C1455&gt;=11,", "&amp;$A1455&amp;"-"&amp;TEXT(($D1455-$C1455+1)+10,"00"),"")&amp;IF($C1455&gt;=12,", "&amp;$A1455&amp;"-"&amp;TEXT(($D1455-$C1455+1)+11,"00"),"")&amp;IF($C1455&gt;=13,", "&amp;$A1455&amp;"-"&amp;TEXT(($D1455-$C1455+1)+12,"00"),"")&amp;IF($C1455&gt;=14,", "&amp;$A1455&amp;"-"&amp;TEXT(($D1455-$C1455+1)+13,"00"),"")&amp;IF($C1455&gt;=15,", "&amp;$A1455&amp;"-"&amp;TEXT(($D1455-$C1455+1)+14,"00"),"")&amp;IF($C1455&gt;=16,", "&amp;$A1455&amp;"-"&amp;TEXT(($D1455-$C1455+1)+15,"00"),"")&amp;IF($C1455&gt;=17,", "&amp;$A1455&amp;"-"&amp;TEXT(($D1455-$C1455+1)+16,"00"),"")&amp;IF($C1455&gt;=18,", "&amp;$A1455&amp;"-"&amp;TEXT(($D1455-$C1455+1)+17,"00"),"")&amp;IF($C1455&gt;=19,", "&amp;$A1455&amp;"-"&amp;TEXT(($D1455-$C1455+1)+18,"00"),"")&amp;IF($C1455&gt;=20,", "&amp;$A1455&amp;"-"&amp;TEXT(($D1455-$C1455+1)+19,"00"),"")&amp;IF($C1455&gt;=21,", "&amp;$A1455&amp;"-"&amp;TEXT(($D1455-$C1455+1)+20,"00"),"")&amp;IF($C1455&gt;=22,", "&amp;$A1455&amp;"-"&amp;TEXT(($D1455-$C1455+1)+21,"00"),"")&amp;IF($C1455&gt;=23,", "&amp;$A1455&amp;"-"&amp;TEXT(($D1455-$C1455+1)+22,"00"),"")&amp;IF($C1455&gt;=24,", "&amp;$A1455&amp;"-"&amp;TEXT(($D1455-$C1455+1)+23,"00"),"")&amp;IF($C1455&gt;=25,", "&amp;$A1455&amp;"-"&amp;TEXT(($D1455-$C1455+1)+24,"00"),""))</f>
        <v/>
      </c>
      <c r="G1455">
        <f>IF($A1455="","",IF($E1455=1,$F1455,IF($F1455="",$G1454,IF($G1454="",$F1455,$G1454&amp;", "&amp;$F1455))))</f>
        <v/>
      </c>
      <c r="H1455">
        <f>IF($A1455="","",$A1455&amp;" ("&amp;$C1455&amp;")")</f>
        <v/>
      </c>
      <c r="I1455">
        <f>IF($A1455="","",IF($E1455=1,$H1455,$I1454&amp;", "&amp;$H1455))</f>
        <v/>
      </c>
      <c r="J1455">
        <f>IF($A1455="","",IF($E1455=1,$B1455,""))</f>
        <v/>
      </c>
      <c r="K1455">
        <f>IF($A1455="","",IF(COUNTIF($B$2:$B1455,$B1455)=COUNTIF($B$2:$B$1601,$B1455),$B1455,""))</f>
        <v/>
      </c>
    </row>
    <row r="1456">
      <c r="A1456">
        <f>IF('TMP Paste'!$E1456="","",'TMP Paste'!$E1456)</f>
        <v/>
      </c>
      <c r="B1456">
        <f>IF($A1456="","",COUNTIF('TMP Paste'!$B$2:$B1456,"?*"))</f>
        <v/>
      </c>
      <c r="C1456">
        <f>IF($A1456="","",IFERROR('TMP Paste'!$M1456*1,0))</f>
        <v/>
      </c>
      <c r="D1456">
        <f>IF($A1456="","",SUMIF($B$2:$B1456,$B1456,$C$2:$C1456))</f>
        <v/>
      </c>
      <c r="E1456">
        <f>IF($A1456="",0,IF('TMP Paste'!$B1456="",0,1))</f>
        <v/>
      </c>
      <c r="F1456">
        <f>IF(OR($A1456="",$C1456&lt;1),"",$A1456&amp;"-"&amp;TEXT(($D1456-$C1456+1),"00")&amp;IF($C1456&gt;=2,", "&amp;$A1456&amp;"-"&amp;TEXT(($D1456-$C1456+1)+1,"00"),"")&amp;IF($C1456&gt;=3,", "&amp;$A1456&amp;"-"&amp;TEXT(($D1456-$C1456+1)+2,"00"),"")&amp;IF($C1456&gt;=4,", "&amp;$A1456&amp;"-"&amp;TEXT(($D1456-$C1456+1)+3,"00"),"")&amp;IF($C1456&gt;=5,", "&amp;$A1456&amp;"-"&amp;TEXT(($D1456-$C1456+1)+4,"00"),"")&amp;IF($C1456&gt;=6,", "&amp;$A1456&amp;"-"&amp;TEXT(($D1456-$C1456+1)+5,"00"),"")&amp;IF($C1456&gt;=7,", "&amp;$A1456&amp;"-"&amp;TEXT(($D1456-$C1456+1)+6,"00"),"")&amp;IF($C1456&gt;=8,", "&amp;$A1456&amp;"-"&amp;TEXT(($D1456-$C1456+1)+7,"00"),"")&amp;IF($C1456&gt;=9,", "&amp;$A1456&amp;"-"&amp;TEXT(($D1456-$C1456+1)+8,"00"),"")&amp;IF($C1456&gt;=10,", "&amp;$A1456&amp;"-"&amp;TEXT(($D1456-$C1456+1)+9,"00"),"")&amp;IF($C1456&gt;=11,", "&amp;$A1456&amp;"-"&amp;TEXT(($D1456-$C1456+1)+10,"00"),"")&amp;IF($C1456&gt;=12,", "&amp;$A1456&amp;"-"&amp;TEXT(($D1456-$C1456+1)+11,"00"),"")&amp;IF($C1456&gt;=13,", "&amp;$A1456&amp;"-"&amp;TEXT(($D1456-$C1456+1)+12,"00"),"")&amp;IF($C1456&gt;=14,", "&amp;$A1456&amp;"-"&amp;TEXT(($D1456-$C1456+1)+13,"00"),"")&amp;IF($C1456&gt;=15,", "&amp;$A1456&amp;"-"&amp;TEXT(($D1456-$C1456+1)+14,"00"),"")&amp;IF($C1456&gt;=16,", "&amp;$A1456&amp;"-"&amp;TEXT(($D1456-$C1456+1)+15,"00"),"")&amp;IF($C1456&gt;=17,", "&amp;$A1456&amp;"-"&amp;TEXT(($D1456-$C1456+1)+16,"00"),"")&amp;IF($C1456&gt;=18,", "&amp;$A1456&amp;"-"&amp;TEXT(($D1456-$C1456+1)+17,"00"),"")&amp;IF($C1456&gt;=19,", "&amp;$A1456&amp;"-"&amp;TEXT(($D1456-$C1456+1)+18,"00"),"")&amp;IF($C1456&gt;=20,", "&amp;$A1456&amp;"-"&amp;TEXT(($D1456-$C1456+1)+19,"00"),"")&amp;IF($C1456&gt;=21,", "&amp;$A1456&amp;"-"&amp;TEXT(($D1456-$C1456+1)+20,"00"),"")&amp;IF($C1456&gt;=22,", "&amp;$A1456&amp;"-"&amp;TEXT(($D1456-$C1456+1)+21,"00"),"")&amp;IF($C1456&gt;=23,", "&amp;$A1456&amp;"-"&amp;TEXT(($D1456-$C1456+1)+22,"00"),"")&amp;IF($C1456&gt;=24,", "&amp;$A1456&amp;"-"&amp;TEXT(($D1456-$C1456+1)+23,"00"),"")&amp;IF($C1456&gt;=25,", "&amp;$A1456&amp;"-"&amp;TEXT(($D1456-$C1456+1)+24,"00"),""))</f>
        <v/>
      </c>
      <c r="G1456">
        <f>IF($A1456="","",IF($E1456=1,$F1456,IF($F1456="",$G1455,IF($G1455="",$F1456,$G1455&amp;", "&amp;$F1456))))</f>
        <v/>
      </c>
      <c r="H1456">
        <f>IF($A1456="","",$A1456&amp;" ("&amp;$C1456&amp;")")</f>
        <v/>
      </c>
      <c r="I1456">
        <f>IF($A1456="","",IF($E1456=1,$H1456,$I1455&amp;", "&amp;$H1456))</f>
        <v/>
      </c>
      <c r="J1456">
        <f>IF($A1456="","",IF($E1456=1,$B1456,""))</f>
        <v/>
      </c>
      <c r="K1456">
        <f>IF($A1456="","",IF(COUNTIF($B$2:$B1456,$B1456)=COUNTIF($B$2:$B$1601,$B1456),$B1456,""))</f>
        <v/>
      </c>
    </row>
    <row r="1457">
      <c r="A1457">
        <f>IF('TMP Paste'!$E1457="","",'TMP Paste'!$E1457)</f>
        <v/>
      </c>
      <c r="B1457">
        <f>IF($A1457="","",COUNTIF('TMP Paste'!$B$2:$B1457,"?*"))</f>
        <v/>
      </c>
      <c r="C1457">
        <f>IF($A1457="","",IFERROR('TMP Paste'!$M1457*1,0))</f>
        <v/>
      </c>
      <c r="D1457">
        <f>IF($A1457="","",SUMIF($B$2:$B1457,$B1457,$C$2:$C1457))</f>
        <v/>
      </c>
      <c r="E1457">
        <f>IF($A1457="",0,IF('TMP Paste'!$B1457="",0,1))</f>
        <v/>
      </c>
      <c r="F1457">
        <f>IF(OR($A1457="",$C1457&lt;1),"",$A1457&amp;"-"&amp;TEXT(($D1457-$C1457+1),"00")&amp;IF($C1457&gt;=2,", "&amp;$A1457&amp;"-"&amp;TEXT(($D1457-$C1457+1)+1,"00"),"")&amp;IF($C1457&gt;=3,", "&amp;$A1457&amp;"-"&amp;TEXT(($D1457-$C1457+1)+2,"00"),"")&amp;IF($C1457&gt;=4,", "&amp;$A1457&amp;"-"&amp;TEXT(($D1457-$C1457+1)+3,"00"),"")&amp;IF($C1457&gt;=5,", "&amp;$A1457&amp;"-"&amp;TEXT(($D1457-$C1457+1)+4,"00"),"")&amp;IF($C1457&gt;=6,", "&amp;$A1457&amp;"-"&amp;TEXT(($D1457-$C1457+1)+5,"00"),"")&amp;IF($C1457&gt;=7,", "&amp;$A1457&amp;"-"&amp;TEXT(($D1457-$C1457+1)+6,"00"),"")&amp;IF($C1457&gt;=8,", "&amp;$A1457&amp;"-"&amp;TEXT(($D1457-$C1457+1)+7,"00"),"")&amp;IF($C1457&gt;=9,", "&amp;$A1457&amp;"-"&amp;TEXT(($D1457-$C1457+1)+8,"00"),"")&amp;IF($C1457&gt;=10,", "&amp;$A1457&amp;"-"&amp;TEXT(($D1457-$C1457+1)+9,"00"),"")&amp;IF($C1457&gt;=11,", "&amp;$A1457&amp;"-"&amp;TEXT(($D1457-$C1457+1)+10,"00"),"")&amp;IF($C1457&gt;=12,", "&amp;$A1457&amp;"-"&amp;TEXT(($D1457-$C1457+1)+11,"00"),"")&amp;IF($C1457&gt;=13,", "&amp;$A1457&amp;"-"&amp;TEXT(($D1457-$C1457+1)+12,"00"),"")&amp;IF($C1457&gt;=14,", "&amp;$A1457&amp;"-"&amp;TEXT(($D1457-$C1457+1)+13,"00"),"")&amp;IF($C1457&gt;=15,", "&amp;$A1457&amp;"-"&amp;TEXT(($D1457-$C1457+1)+14,"00"),"")&amp;IF($C1457&gt;=16,", "&amp;$A1457&amp;"-"&amp;TEXT(($D1457-$C1457+1)+15,"00"),"")&amp;IF($C1457&gt;=17,", "&amp;$A1457&amp;"-"&amp;TEXT(($D1457-$C1457+1)+16,"00"),"")&amp;IF($C1457&gt;=18,", "&amp;$A1457&amp;"-"&amp;TEXT(($D1457-$C1457+1)+17,"00"),"")&amp;IF($C1457&gt;=19,", "&amp;$A1457&amp;"-"&amp;TEXT(($D1457-$C1457+1)+18,"00"),"")&amp;IF($C1457&gt;=20,", "&amp;$A1457&amp;"-"&amp;TEXT(($D1457-$C1457+1)+19,"00"),"")&amp;IF($C1457&gt;=21,", "&amp;$A1457&amp;"-"&amp;TEXT(($D1457-$C1457+1)+20,"00"),"")&amp;IF($C1457&gt;=22,", "&amp;$A1457&amp;"-"&amp;TEXT(($D1457-$C1457+1)+21,"00"),"")&amp;IF($C1457&gt;=23,", "&amp;$A1457&amp;"-"&amp;TEXT(($D1457-$C1457+1)+22,"00"),"")&amp;IF($C1457&gt;=24,", "&amp;$A1457&amp;"-"&amp;TEXT(($D1457-$C1457+1)+23,"00"),"")&amp;IF($C1457&gt;=25,", "&amp;$A1457&amp;"-"&amp;TEXT(($D1457-$C1457+1)+24,"00"),""))</f>
        <v/>
      </c>
      <c r="G1457">
        <f>IF($A1457="","",IF($E1457=1,$F1457,IF($F1457="",$G1456,IF($G1456="",$F1457,$G1456&amp;", "&amp;$F1457))))</f>
        <v/>
      </c>
      <c r="H1457">
        <f>IF($A1457="","",$A1457&amp;" ("&amp;$C1457&amp;")")</f>
        <v/>
      </c>
      <c r="I1457">
        <f>IF($A1457="","",IF($E1457=1,$H1457,$I1456&amp;", "&amp;$H1457))</f>
        <v/>
      </c>
      <c r="J1457">
        <f>IF($A1457="","",IF($E1457=1,$B1457,""))</f>
        <v/>
      </c>
      <c r="K1457">
        <f>IF($A1457="","",IF(COUNTIF($B$2:$B1457,$B1457)=COUNTIF($B$2:$B$1601,$B1457),$B1457,""))</f>
        <v/>
      </c>
    </row>
    <row r="1458">
      <c r="A1458">
        <f>IF('TMP Paste'!$E1458="","",'TMP Paste'!$E1458)</f>
        <v/>
      </c>
      <c r="B1458">
        <f>IF($A1458="","",COUNTIF('TMP Paste'!$B$2:$B1458,"?*"))</f>
        <v/>
      </c>
      <c r="C1458">
        <f>IF($A1458="","",IFERROR('TMP Paste'!$M1458*1,0))</f>
        <v/>
      </c>
      <c r="D1458">
        <f>IF($A1458="","",SUMIF($B$2:$B1458,$B1458,$C$2:$C1458))</f>
        <v/>
      </c>
      <c r="E1458">
        <f>IF($A1458="",0,IF('TMP Paste'!$B1458="",0,1))</f>
        <v/>
      </c>
      <c r="F1458">
        <f>IF(OR($A1458="",$C1458&lt;1),"",$A1458&amp;"-"&amp;TEXT(($D1458-$C1458+1),"00")&amp;IF($C1458&gt;=2,", "&amp;$A1458&amp;"-"&amp;TEXT(($D1458-$C1458+1)+1,"00"),"")&amp;IF($C1458&gt;=3,", "&amp;$A1458&amp;"-"&amp;TEXT(($D1458-$C1458+1)+2,"00"),"")&amp;IF($C1458&gt;=4,", "&amp;$A1458&amp;"-"&amp;TEXT(($D1458-$C1458+1)+3,"00"),"")&amp;IF($C1458&gt;=5,", "&amp;$A1458&amp;"-"&amp;TEXT(($D1458-$C1458+1)+4,"00"),"")&amp;IF($C1458&gt;=6,", "&amp;$A1458&amp;"-"&amp;TEXT(($D1458-$C1458+1)+5,"00"),"")&amp;IF($C1458&gt;=7,", "&amp;$A1458&amp;"-"&amp;TEXT(($D1458-$C1458+1)+6,"00"),"")&amp;IF($C1458&gt;=8,", "&amp;$A1458&amp;"-"&amp;TEXT(($D1458-$C1458+1)+7,"00"),"")&amp;IF($C1458&gt;=9,", "&amp;$A1458&amp;"-"&amp;TEXT(($D1458-$C1458+1)+8,"00"),"")&amp;IF($C1458&gt;=10,", "&amp;$A1458&amp;"-"&amp;TEXT(($D1458-$C1458+1)+9,"00"),"")&amp;IF($C1458&gt;=11,", "&amp;$A1458&amp;"-"&amp;TEXT(($D1458-$C1458+1)+10,"00"),"")&amp;IF($C1458&gt;=12,", "&amp;$A1458&amp;"-"&amp;TEXT(($D1458-$C1458+1)+11,"00"),"")&amp;IF($C1458&gt;=13,", "&amp;$A1458&amp;"-"&amp;TEXT(($D1458-$C1458+1)+12,"00"),"")&amp;IF($C1458&gt;=14,", "&amp;$A1458&amp;"-"&amp;TEXT(($D1458-$C1458+1)+13,"00"),"")&amp;IF($C1458&gt;=15,", "&amp;$A1458&amp;"-"&amp;TEXT(($D1458-$C1458+1)+14,"00"),"")&amp;IF($C1458&gt;=16,", "&amp;$A1458&amp;"-"&amp;TEXT(($D1458-$C1458+1)+15,"00"),"")&amp;IF($C1458&gt;=17,", "&amp;$A1458&amp;"-"&amp;TEXT(($D1458-$C1458+1)+16,"00"),"")&amp;IF($C1458&gt;=18,", "&amp;$A1458&amp;"-"&amp;TEXT(($D1458-$C1458+1)+17,"00"),"")&amp;IF($C1458&gt;=19,", "&amp;$A1458&amp;"-"&amp;TEXT(($D1458-$C1458+1)+18,"00"),"")&amp;IF($C1458&gt;=20,", "&amp;$A1458&amp;"-"&amp;TEXT(($D1458-$C1458+1)+19,"00"),"")&amp;IF($C1458&gt;=21,", "&amp;$A1458&amp;"-"&amp;TEXT(($D1458-$C1458+1)+20,"00"),"")&amp;IF($C1458&gt;=22,", "&amp;$A1458&amp;"-"&amp;TEXT(($D1458-$C1458+1)+21,"00"),"")&amp;IF($C1458&gt;=23,", "&amp;$A1458&amp;"-"&amp;TEXT(($D1458-$C1458+1)+22,"00"),"")&amp;IF($C1458&gt;=24,", "&amp;$A1458&amp;"-"&amp;TEXT(($D1458-$C1458+1)+23,"00"),"")&amp;IF($C1458&gt;=25,", "&amp;$A1458&amp;"-"&amp;TEXT(($D1458-$C1458+1)+24,"00"),""))</f>
        <v/>
      </c>
      <c r="G1458">
        <f>IF($A1458="","",IF($E1458=1,$F1458,IF($F1458="",$G1457,IF($G1457="",$F1458,$G1457&amp;", "&amp;$F1458))))</f>
        <v/>
      </c>
      <c r="H1458">
        <f>IF($A1458="","",$A1458&amp;" ("&amp;$C1458&amp;")")</f>
        <v/>
      </c>
      <c r="I1458">
        <f>IF($A1458="","",IF($E1458=1,$H1458,$I1457&amp;", "&amp;$H1458))</f>
        <v/>
      </c>
      <c r="J1458">
        <f>IF($A1458="","",IF($E1458=1,$B1458,""))</f>
        <v/>
      </c>
      <c r="K1458">
        <f>IF($A1458="","",IF(COUNTIF($B$2:$B1458,$B1458)=COUNTIF($B$2:$B$1601,$B1458),$B1458,""))</f>
        <v/>
      </c>
    </row>
    <row r="1459">
      <c r="A1459">
        <f>IF('TMP Paste'!$E1459="","",'TMP Paste'!$E1459)</f>
        <v/>
      </c>
      <c r="B1459">
        <f>IF($A1459="","",COUNTIF('TMP Paste'!$B$2:$B1459,"?*"))</f>
        <v/>
      </c>
      <c r="C1459">
        <f>IF($A1459="","",IFERROR('TMP Paste'!$M1459*1,0))</f>
        <v/>
      </c>
      <c r="D1459">
        <f>IF($A1459="","",SUMIF($B$2:$B1459,$B1459,$C$2:$C1459))</f>
        <v/>
      </c>
      <c r="E1459">
        <f>IF($A1459="",0,IF('TMP Paste'!$B1459="",0,1))</f>
        <v/>
      </c>
      <c r="F1459">
        <f>IF(OR($A1459="",$C1459&lt;1),"",$A1459&amp;"-"&amp;TEXT(($D1459-$C1459+1),"00")&amp;IF($C1459&gt;=2,", "&amp;$A1459&amp;"-"&amp;TEXT(($D1459-$C1459+1)+1,"00"),"")&amp;IF($C1459&gt;=3,", "&amp;$A1459&amp;"-"&amp;TEXT(($D1459-$C1459+1)+2,"00"),"")&amp;IF($C1459&gt;=4,", "&amp;$A1459&amp;"-"&amp;TEXT(($D1459-$C1459+1)+3,"00"),"")&amp;IF($C1459&gt;=5,", "&amp;$A1459&amp;"-"&amp;TEXT(($D1459-$C1459+1)+4,"00"),"")&amp;IF($C1459&gt;=6,", "&amp;$A1459&amp;"-"&amp;TEXT(($D1459-$C1459+1)+5,"00"),"")&amp;IF($C1459&gt;=7,", "&amp;$A1459&amp;"-"&amp;TEXT(($D1459-$C1459+1)+6,"00"),"")&amp;IF($C1459&gt;=8,", "&amp;$A1459&amp;"-"&amp;TEXT(($D1459-$C1459+1)+7,"00"),"")&amp;IF($C1459&gt;=9,", "&amp;$A1459&amp;"-"&amp;TEXT(($D1459-$C1459+1)+8,"00"),"")&amp;IF($C1459&gt;=10,", "&amp;$A1459&amp;"-"&amp;TEXT(($D1459-$C1459+1)+9,"00"),"")&amp;IF($C1459&gt;=11,", "&amp;$A1459&amp;"-"&amp;TEXT(($D1459-$C1459+1)+10,"00"),"")&amp;IF($C1459&gt;=12,", "&amp;$A1459&amp;"-"&amp;TEXT(($D1459-$C1459+1)+11,"00"),"")&amp;IF($C1459&gt;=13,", "&amp;$A1459&amp;"-"&amp;TEXT(($D1459-$C1459+1)+12,"00"),"")&amp;IF($C1459&gt;=14,", "&amp;$A1459&amp;"-"&amp;TEXT(($D1459-$C1459+1)+13,"00"),"")&amp;IF($C1459&gt;=15,", "&amp;$A1459&amp;"-"&amp;TEXT(($D1459-$C1459+1)+14,"00"),"")&amp;IF($C1459&gt;=16,", "&amp;$A1459&amp;"-"&amp;TEXT(($D1459-$C1459+1)+15,"00"),"")&amp;IF($C1459&gt;=17,", "&amp;$A1459&amp;"-"&amp;TEXT(($D1459-$C1459+1)+16,"00"),"")&amp;IF($C1459&gt;=18,", "&amp;$A1459&amp;"-"&amp;TEXT(($D1459-$C1459+1)+17,"00"),"")&amp;IF($C1459&gt;=19,", "&amp;$A1459&amp;"-"&amp;TEXT(($D1459-$C1459+1)+18,"00"),"")&amp;IF($C1459&gt;=20,", "&amp;$A1459&amp;"-"&amp;TEXT(($D1459-$C1459+1)+19,"00"),"")&amp;IF($C1459&gt;=21,", "&amp;$A1459&amp;"-"&amp;TEXT(($D1459-$C1459+1)+20,"00"),"")&amp;IF($C1459&gt;=22,", "&amp;$A1459&amp;"-"&amp;TEXT(($D1459-$C1459+1)+21,"00"),"")&amp;IF($C1459&gt;=23,", "&amp;$A1459&amp;"-"&amp;TEXT(($D1459-$C1459+1)+22,"00"),"")&amp;IF($C1459&gt;=24,", "&amp;$A1459&amp;"-"&amp;TEXT(($D1459-$C1459+1)+23,"00"),"")&amp;IF($C1459&gt;=25,", "&amp;$A1459&amp;"-"&amp;TEXT(($D1459-$C1459+1)+24,"00"),""))</f>
        <v/>
      </c>
      <c r="G1459">
        <f>IF($A1459="","",IF($E1459=1,$F1459,IF($F1459="",$G1458,IF($G1458="",$F1459,$G1458&amp;", "&amp;$F1459))))</f>
        <v/>
      </c>
      <c r="H1459">
        <f>IF($A1459="","",$A1459&amp;" ("&amp;$C1459&amp;")")</f>
        <v/>
      </c>
      <c r="I1459">
        <f>IF($A1459="","",IF($E1459=1,$H1459,$I1458&amp;", "&amp;$H1459))</f>
        <v/>
      </c>
      <c r="J1459">
        <f>IF($A1459="","",IF($E1459=1,$B1459,""))</f>
        <v/>
      </c>
      <c r="K1459">
        <f>IF($A1459="","",IF(COUNTIF($B$2:$B1459,$B1459)=COUNTIF($B$2:$B$1601,$B1459),$B1459,""))</f>
        <v/>
      </c>
    </row>
    <row r="1460">
      <c r="A1460">
        <f>IF('TMP Paste'!$E1460="","",'TMP Paste'!$E1460)</f>
        <v/>
      </c>
      <c r="B1460">
        <f>IF($A1460="","",COUNTIF('TMP Paste'!$B$2:$B1460,"?*"))</f>
        <v/>
      </c>
      <c r="C1460">
        <f>IF($A1460="","",IFERROR('TMP Paste'!$M1460*1,0))</f>
        <v/>
      </c>
      <c r="D1460">
        <f>IF($A1460="","",SUMIF($B$2:$B1460,$B1460,$C$2:$C1460))</f>
        <v/>
      </c>
      <c r="E1460">
        <f>IF($A1460="",0,IF('TMP Paste'!$B1460="",0,1))</f>
        <v/>
      </c>
      <c r="F1460">
        <f>IF(OR($A1460="",$C1460&lt;1),"",$A1460&amp;"-"&amp;TEXT(($D1460-$C1460+1),"00")&amp;IF($C1460&gt;=2,", "&amp;$A1460&amp;"-"&amp;TEXT(($D1460-$C1460+1)+1,"00"),"")&amp;IF($C1460&gt;=3,", "&amp;$A1460&amp;"-"&amp;TEXT(($D1460-$C1460+1)+2,"00"),"")&amp;IF($C1460&gt;=4,", "&amp;$A1460&amp;"-"&amp;TEXT(($D1460-$C1460+1)+3,"00"),"")&amp;IF($C1460&gt;=5,", "&amp;$A1460&amp;"-"&amp;TEXT(($D1460-$C1460+1)+4,"00"),"")&amp;IF($C1460&gt;=6,", "&amp;$A1460&amp;"-"&amp;TEXT(($D1460-$C1460+1)+5,"00"),"")&amp;IF($C1460&gt;=7,", "&amp;$A1460&amp;"-"&amp;TEXT(($D1460-$C1460+1)+6,"00"),"")&amp;IF($C1460&gt;=8,", "&amp;$A1460&amp;"-"&amp;TEXT(($D1460-$C1460+1)+7,"00"),"")&amp;IF($C1460&gt;=9,", "&amp;$A1460&amp;"-"&amp;TEXT(($D1460-$C1460+1)+8,"00"),"")&amp;IF($C1460&gt;=10,", "&amp;$A1460&amp;"-"&amp;TEXT(($D1460-$C1460+1)+9,"00"),"")&amp;IF($C1460&gt;=11,", "&amp;$A1460&amp;"-"&amp;TEXT(($D1460-$C1460+1)+10,"00"),"")&amp;IF($C1460&gt;=12,", "&amp;$A1460&amp;"-"&amp;TEXT(($D1460-$C1460+1)+11,"00"),"")&amp;IF($C1460&gt;=13,", "&amp;$A1460&amp;"-"&amp;TEXT(($D1460-$C1460+1)+12,"00"),"")&amp;IF($C1460&gt;=14,", "&amp;$A1460&amp;"-"&amp;TEXT(($D1460-$C1460+1)+13,"00"),"")&amp;IF($C1460&gt;=15,", "&amp;$A1460&amp;"-"&amp;TEXT(($D1460-$C1460+1)+14,"00"),"")&amp;IF($C1460&gt;=16,", "&amp;$A1460&amp;"-"&amp;TEXT(($D1460-$C1460+1)+15,"00"),"")&amp;IF($C1460&gt;=17,", "&amp;$A1460&amp;"-"&amp;TEXT(($D1460-$C1460+1)+16,"00"),"")&amp;IF($C1460&gt;=18,", "&amp;$A1460&amp;"-"&amp;TEXT(($D1460-$C1460+1)+17,"00"),"")&amp;IF($C1460&gt;=19,", "&amp;$A1460&amp;"-"&amp;TEXT(($D1460-$C1460+1)+18,"00"),"")&amp;IF($C1460&gt;=20,", "&amp;$A1460&amp;"-"&amp;TEXT(($D1460-$C1460+1)+19,"00"),"")&amp;IF($C1460&gt;=21,", "&amp;$A1460&amp;"-"&amp;TEXT(($D1460-$C1460+1)+20,"00"),"")&amp;IF($C1460&gt;=22,", "&amp;$A1460&amp;"-"&amp;TEXT(($D1460-$C1460+1)+21,"00"),"")&amp;IF($C1460&gt;=23,", "&amp;$A1460&amp;"-"&amp;TEXT(($D1460-$C1460+1)+22,"00"),"")&amp;IF($C1460&gt;=24,", "&amp;$A1460&amp;"-"&amp;TEXT(($D1460-$C1460+1)+23,"00"),"")&amp;IF($C1460&gt;=25,", "&amp;$A1460&amp;"-"&amp;TEXT(($D1460-$C1460+1)+24,"00"),""))</f>
        <v/>
      </c>
      <c r="G1460">
        <f>IF($A1460="","",IF($E1460=1,$F1460,IF($F1460="",$G1459,IF($G1459="",$F1460,$G1459&amp;", "&amp;$F1460))))</f>
        <v/>
      </c>
      <c r="H1460">
        <f>IF($A1460="","",$A1460&amp;" ("&amp;$C1460&amp;")")</f>
        <v/>
      </c>
      <c r="I1460">
        <f>IF($A1460="","",IF($E1460=1,$H1460,$I1459&amp;", "&amp;$H1460))</f>
        <v/>
      </c>
      <c r="J1460">
        <f>IF($A1460="","",IF($E1460=1,$B1460,""))</f>
        <v/>
      </c>
      <c r="K1460">
        <f>IF($A1460="","",IF(COUNTIF($B$2:$B1460,$B1460)=COUNTIF($B$2:$B$1601,$B1460),$B1460,""))</f>
        <v/>
      </c>
    </row>
    <row r="1461">
      <c r="A1461">
        <f>IF('TMP Paste'!$E1461="","",'TMP Paste'!$E1461)</f>
        <v/>
      </c>
      <c r="B1461">
        <f>IF($A1461="","",COUNTIF('TMP Paste'!$B$2:$B1461,"?*"))</f>
        <v/>
      </c>
      <c r="C1461">
        <f>IF($A1461="","",IFERROR('TMP Paste'!$M1461*1,0))</f>
        <v/>
      </c>
      <c r="D1461">
        <f>IF($A1461="","",SUMIF($B$2:$B1461,$B1461,$C$2:$C1461))</f>
        <v/>
      </c>
      <c r="E1461">
        <f>IF($A1461="",0,IF('TMP Paste'!$B1461="",0,1))</f>
        <v/>
      </c>
      <c r="F1461">
        <f>IF(OR($A1461="",$C1461&lt;1),"",$A1461&amp;"-"&amp;TEXT(($D1461-$C1461+1),"00")&amp;IF($C1461&gt;=2,", "&amp;$A1461&amp;"-"&amp;TEXT(($D1461-$C1461+1)+1,"00"),"")&amp;IF($C1461&gt;=3,", "&amp;$A1461&amp;"-"&amp;TEXT(($D1461-$C1461+1)+2,"00"),"")&amp;IF($C1461&gt;=4,", "&amp;$A1461&amp;"-"&amp;TEXT(($D1461-$C1461+1)+3,"00"),"")&amp;IF($C1461&gt;=5,", "&amp;$A1461&amp;"-"&amp;TEXT(($D1461-$C1461+1)+4,"00"),"")&amp;IF($C1461&gt;=6,", "&amp;$A1461&amp;"-"&amp;TEXT(($D1461-$C1461+1)+5,"00"),"")&amp;IF($C1461&gt;=7,", "&amp;$A1461&amp;"-"&amp;TEXT(($D1461-$C1461+1)+6,"00"),"")&amp;IF($C1461&gt;=8,", "&amp;$A1461&amp;"-"&amp;TEXT(($D1461-$C1461+1)+7,"00"),"")&amp;IF($C1461&gt;=9,", "&amp;$A1461&amp;"-"&amp;TEXT(($D1461-$C1461+1)+8,"00"),"")&amp;IF($C1461&gt;=10,", "&amp;$A1461&amp;"-"&amp;TEXT(($D1461-$C1461+1)+9,"00"),"")&amp;IF($C1461&gt;=11,", "&amp;$A1461&amp;"-"&amp;TEXT(($D1461-$C1461+1)+10,"00"),"")&amp;IF($C1461&gt;=12,", "&amp;$A1461&amp;"-"&amp;TEXT(($D1461-$C1461+1)+11,"00"),"")&amp;IF($C1461&gt;=13,", "&amp;$A1461&amp;"-"&amp;TEXT(($D1461-$C1461+1)+12,"00"),"")&amp;IF($C1461&gt;=14,", "&amp;$A1461&amp;"-"&amp;TEXT(($D1461-$C1461+1)+13,"00"),"")&amp;IF($C1461&gt;=15,", "&amp;$A1461&amp;"-"&amp;TEXT(($D1461-$C1461+1)+14,"00"),"")&amp;IF($C1461&gt;=16,", "&amp;$A1461&amp;"-"&amp;TEXT(($D1461-$C1461+1)+15,"00"),"")&amp;IF($C1461&gt;=17,", "&amp;$A1461&amp;"-"&amp;TEXT(($D1461-$C1461+1)+16,"00"),"")&amp;IF($C1461&gt;=18,", "&amp;$A1461&amp;"-"&amp;TEXT(($D1461-$C1461+1)+17,"00"),"")&amp;IF($C1461&gt;=19,", "&amp;$A1461&amp;"-"&amp;TEXT(($D1461-$C1461+1)+18,"00"),"")&amp;IF($C1461&gt;=20,", "&amp;$A1461&amp;"-"&amp;TEXT(($D1461-$C1461+1)+19,"00"),"")&amp;IF($C1461&gt;=21,", "&amp;$A1461&amp;"-"&amp;TEXT(($D1461-$C1461+1)+20,"00"),"")&amp;IF($C1461&gt;=22,", "&amp;$A1461&amp;"-"&amp;TEXT(($D1461-$C1461+1)+21,"00"),"")&amp;IF($C1461&gt;=23,", "&amp;$A1461&amp;"-"&amp;TEXT(($D1461-$C1461+1)+22,"00"),"")&amp;IF($C1461&gt;=24,", "&amp;$A1461&amp;"-"&amp;TEXT(($D1461-$C1461+1)+23,"00"),"")&amp;IF($C1461&gt;=25,", "&amp;$A1461&amp;"-"&amp;TEXT(($D1461-$C1461+1)+24,"00"),""))</f>
        <v/>
      </c>
      <c r="G1461">
        <f>IF($A1461="","",IF($E1461=1,$F1461,IF($F1461="",$G1460,IF($G1460="",$F1461,$G1460&amp;", "&amp;$F1461))))</f>
        <v/>
      </c>
      <c r="H1461">
        <f>IF($A1461="","",$A1461&amp;" ("&amp;$C1461&amp;")")</f>
        <v/>
      </c>
      <c r="I1461">
        <f>IF($A1461="","",IF($E1461=1,$H1461,$I1460&amp;", "&amp;$H1461))</f>
        <v/>
      </c>
      <c r="J1461">
        <f>IF($A1461="","",IF($E1461=1,$B1461,""))</f>
        <v/>
      </c>
      <c r="K1461">
        <f>IF($A1461="","",IF(COUNTIF($B$2:$B1461,$B1461)=COUNTIF($B$2:$B$1601,$B1461),$B1461,""))</f>
        <v/>
      </c>
    </row>
    <row r="1462">
      <c r="A1462">
        <f>IF('TMP Paste'!$E1462="","",'TMP Paste'!$E1462)</f>
        <v/>
      </c>
      <c r="B1462">
        <f>IF($A1462="","",COUNTIF('TMP Paste'!$B$2:$B1462,"?*"))</f>
        <v/>
      </c>
      <c r="C1462">
        <f>IF($A1462="","",IFERROR('TMP Paste'!$M1462*1,0))</f>
        <v/>
      </c>
      <c r="D1462">
        <f>IF($A1462="","",SUMIF($B$2:$B1462,$B1462,$C$2:$C1462))</f>
        <v/>
      </c>
      <c r="E1462">
        <f>IF($A1462="",0,IF('TMP Paste'!$B1462="",0,1))</f>
        <v/>
      </c>
      <c r="F1462">
        <f>IF(OR($A1462="",$C1462&lt;1),"",$A1462&amp;"-"&amp;TEXT(($D1462-$C1462+1),"00")&amp;IF($C1462&gt;=2,", "&amp;$A1462&amp;"-"&amp;TEXT(($D1462-$C1462+1)+1,"00"),"")&amp;IF($C1462&gt;=3,", "&amp;$A1462&amp;"-"&amp;TEXT(($D1462-$C1462+1)+2,"00"),"")&amp;IF($C1462&gt;=4,", "&amp;$A1462&amp;"-"&amp;TEXT(($D1462-$C1462+1)+3,"00"),"")&amp;IF($C1462&gt;=5,", "&amp;$A1462&amp;"-"&amp;TEXT(($D1462-$C1462+1)+4,"00"),"")&amp;IF($C1462&gt;=6,", "&amp;$A1462&amp;"-"&amp;TEXT(($D1462-$C1462+1)+5,"00"),"")&amp;IF($C1462&gt;=7,", "&amp;$A1462&amp;"-"&amp;TEXT(($D1462-$C1462+1)+6,"00"),"")&amp;IF($C1462&gt;=8,", "&amp;$A1462&amp;"-"&amp;TEXT(($D1462-$C1462+1)+7,"00"),"")&amp;IF($C1462&gt;=9,", "&amp;$A1462&amp;"-"&amp;TEXT(($D1462-$C1462+1)+8,"00"),"")&amp;IF($C1462&gt;=10,", "&amp;$A1462&amp;"-"&amp;TEXT(($D1462-$C1462+1)+9,"00"),"")&amp;IF($C1462&gt;=11,", "&amp;$A1462&amp;"-"&amp;TEXT(($D1462-$C1462+1)+10,"00"),"")&amp;IF($C1462&gt;=12,", "&amp;$A1462&amp;"-"&amp;TEXT(($D1462-$C1462+1)+11,"00"),"")&amp;IF($C1462&gt;=13,", "&amp;$A1462&amp;"-"&amp;TEXT(($D1462-$C1462+1)+12,"00"),"")&amp;IF($C1462&gt;=14,", "&amp;$A1462&amp;"-"&amp;TEXT(($D1462-$C1462+1)+13,"00"),"")&amp;IF($C1462&gt;=15,", "&amp;$A1462&amp;"-"&amp;TEXT(($D1462-$C1462+1)+14,"00"),"")&amp;IF($C1462&gt;=16,", "&amp;$A1462&amp;"-"&amp;TEXT(($D1462-$C1462+1)+15,"00"),"")&amp;IF($C1462&gt;=17,", "&amp;$A1462&amp;"-"&amp;TEXT(($D1462-$C1462+1)+16,"00"),"")&amp;IF($C1462&gt;=18,", "&amp;$A1462&amp;"-"&amp;TEXT(($D1462-$C1462+1)+17,"00"),"")&amp;IF($C1462&gt;=19,", "&amp;$A1462&amp;"-"&amp;TEXT(($D1462-$C1462+1)+18,"00"),"")&amp;IF($C1462&gt;=20,", "&amp;$A1462&amp;"-"&amp;TEXT(($D1462-$C1462+1)+19,"00"),"")&amp;IF($C1462&gt;=21,", "&amp;$A1462&amp;"-"&amp;TEXT(($D1462-$C1462+1)+20,"00"),"")&amp;IF($C1462&gt;=22,", "&amp;$A1462&amp;"-"&amp;TEXT(($D1462-$C1462+1)+21,"00"),"")&amp;IF($C1462&gt;=23,", "&amp;$A1462&amp;"-"&amp;TEXT(($D1462-$C1462+1)+22,"00"),"")&amp;IF($C1462&gt;=24,", "&amp;$A1462&amp;"-"&amp;TEXT(($D1462-$C1462+1)+23,"00"),"")&amp;IF($C1462&gt;=25,", "&amp;$A1462&amp;"-"&amp;TEXT(($D1462-$C1462+1)+24,"00"),""))</f>
        <v/>
      </c>
      <c r="G1462">
        <f>IF($A1462="","",IF($E1462=1,$F1462,IF($F1462="",$G1461,IF($G1461="",$F1462,$G1461&amp;", "&amp;$F1462))))</f>
        <v/>
      </c>
      <c r="H1462">
        <f>IF($A1462="","",$A1462&amp;" ("&amp;$C1462&amp;")")</f>
        <v/>
      </c>
      <c r="I1462">
        <f>IF($A1462="","",IF($E1462=1,$H1462,$I1461&amp;", "&amp;$H1462))</f>
        <v/>
      </c>
      <c r="J1462">
        <f>IF($A1462="","",IF($E1462=1,$B1462,""))</f>
        <v/>
      </c>
      <c r="K1462">
        <f>IF($A1462="","",IF(COUNTIF($B$2:$B1462,$B1462)=COUNTIF($B$2:$B$1601,$B1462),$B1462,""))</f>
        <v/>
      </c>
    </row>
    <row r="1463">
      <c r="A1463">
        <f>IF('TMP Paste'!$E1463="","",'TMP Paste'!$E1463)</f>
        <v/>
      </c>
      <c r="B1463">
        <f>IF($A1463="","",COUNTIF('TMP Paste'!$B$2:$B1463,"?*"))</f>
        <v/>
      </c>
      <c r="C1463">
        <f>IF($A1463="","",IFERROR('TMP Paste'!$M1463*1,0))</f>
        <v/>
      </c>
      <c r="D1463">
        <f>IF($A1463="","",SUMIF($B$2:$B1463,$B1463,$C$2:$C1463))</f>
        <v/>
      </c>
      <c r="E1463">
        <f>IF($A1463="",0,IF('TMP Paste'!$B1463="",0,1))</f>
        <v/>
      </c>
      <c r="F1463">
        <f>IF(OR($A1463="",$C1463&lt;1),"",$A1463&amp;"-"&amp;TEXT(($D1463-$C1463+1),"00")&amp;IF($C1463&gt;=2,", "&amp;$A1463&amp;"-"&amp;TEXT(($D1463-$C1463+1)+1,"00"),"")&amp;IF($C1463&gt;=3,", "&amp;$A1463&amp;"-"&amp;TEXT(($D1463-$C1463+1)+2,"00"),"")&amp;IF($C1463&gt;=4,", "&amp;$A1463&amp;"-"&amp;TEXT(($D1463-$C1463+1)+3,"00"),"")&amp;IF($C1463&gt;=5,", "&amp;$A1463&amp;"-"&amp;TEXT(($D1463-$C1463+1)+4,"00"),"")&amp;IF($C1463&gt;=6,", "&amp;$A1463&amp;"-"&amp;TEXT(($D1463-$C1463+1)+5,"00"),"")&amp;IF($C1463&gt;=7,", "&amp;$A1463&amp;"-"&amp;TEXT(($D1463-$C1463+1)+6,"00"),"")&amp;IF($C1463&gt;=8,", "&amp;$A1463&amp;"-"&amp;TEXT(($D1463-$C1463+1)+7,"00"),"")&amp;IF($C1463&gt;=9,", "&amp;$A1463&amp;"-"&amp;TEXT(($D1463-$C1463+1)+8,"00"),"")&amp;IF($C1463&gt;=10,", "&amp;$A1463&amp;"-"&amp;TEXT(($D1463-$C1463+1)+9,"00"),"")&amp;IF($C1463&gt;=11,", "&amp;$A1463&amp;"-"&amp;TEXT(($D1463-$C1463+1)+10,"00"),"")&amp;IF($C1463&gt;=12,", "&amp;$A1463&amp;"-"&amp;TEXT(($D1463-$C1463+1)+11,"00"),"")&amp;IF($C1463&gt;=13,", "&amp;$A1463&amp;"-"&amp;TEXT(($D1463-$C1463+1)+12,"00"),"")&amp;IF($C1463&gt;=14,", "&amp;$A1463&amp;"-"&amp;TEXT(($D1463-$C1463+1)+13,"00"),"")&amp;IF($C1463&gt;=15,", "&amp;$A1463&amp;"-"&amp;TEXT(($D1463-$C1463+1)+14,"00"),"")&amp;IF($C1463&gt;=16,", "&amp;$A1463&amp;"-"&amp;TEXT(($D1463-$C1463+1)+15,"00"),"")&amp;IF($C1463&gt;=17,", "&amp;$A1463&amp;"-"&amp;TEXT(($D1463-$C1463+1)+16,"00"),"")&amp;IF($C1463&gt;=18,", "&amp;$A1463&amp;"-"&amp;TEXT(($D1463-$C1463+1)+17,"00"),"")&amp;IF($C1463&gt;=19,", "&amp;$A1463&amp;"-"&amp;TEXT(($D1463-$C1463+1)+18,"00"),"")&amp;IF($C1463&gt;=20,", "&amp;$A1463&amp;"-"&amp;TEXT(($D1463-$C1463+1)+19,"00"),"")&amp;IF($C1463&gt;=21,", "&amp;$A1463&amp;"-"&amp;TEXT(($D1463-$C1463+1)+20,"00"),"")&amp;IF($C1463&gt;=22,", "&amp;$A1463&amp;"-"&amp;TEXT(($D1463-$C1463+1)+21,"00"),"")&amp;IF($C1463&gt;=23,", "&amp;$A1463&amp;"-"&amp;TEXT(($D1463-$C1463+1)+22,"00"),"")&amp;IF($C1463&gt;=24,", "&amp;$A1463&amp;"-"&amp;TEXT(($D1463-$C1463+1)+23,"00"),"")&amp;IF($C1463&gt;=25,", "&amp;$A1463&amp;"-"&amp;TEXT(($D1463-$C1463+1)+24,"00"),""))</f>
        <v/>
      </c>
      <c r="G1463">
        <f>IF($A1463="","",IF($E1463=1,$F1463,IF($F1463="",$G1462,IF($G1462="",$F1463,$G1462&amp;", "&amp;$F1463))))</f>
        <v/>
      </c>
      <c r="H1463">
        <f>IF($A1463="","",$A1463&amp;" ("&amp;$C1463&amp;")")</f>
        <v/>
      </c>
      <c r="I1463">
        <f>IF($A1463="","",IF($E1463=1,$H1463,$I1462&amp;", "&amp;$H1463))</f>
        <v/>
      </c>
      <c r="J1463">
        <f>IF($A1463="","",IF($E1463=1,$B1463,""))</f>
        <v/>
      </c>
      <c r="K1463">
        <f>IF($A1463="","",IF(COUNTIF($B$2:$B1463,$B1463)=COUNTIF($B$2:$B$1601,$B1463),$B1463,""))</f>
        <v/>
      </c>
    </row>
    <row r="1464">
      <c r="A1464">
        <f>IF('TMP Paste'!$E1464="","",'TMP Paste'!$E1464)</f>
        <v/>
      </c>
      <c r="B1464">
        <f>IF($A1464="","",COUNTIF('TMP Paste'!$B$2:$B1464,"?*"))</f>
        <v/>
      </c>
      <c r="C1464">
        <f>IF($A1464="","",IFERROR('TMP Paste'!$M1464*1,0))</f>
        <v/>
      </c>
      <c r="D1464">
        <f>IF($A1464="","",SUMIF($B$2:$B1464,$B1464,$C$2:$C1464))</f>
        <v/>
      </c>
      <c r="E1464">
        <f>IF($A1464="",0,IF('TMP Paste'!$B1464="",0,1))</f>
        <v/>
      </c>
      <c r="F1464">
        <f>IF(OR($A1464="",$C1464&lt;1),"",$A1464&amp;"-"&amp;TEXT(($D1464-$C1464+1),"00")&amp;IF($C1464&gt;=2,", "&amp;$A1464&amp;"-"&amp;TEXT(($D1464-$C1464+1)+1,"00"),"")&amp;IF($C1464&gt;=3,", "&amp;$A1464&amp;"-"&amp;TEXT(($D1464-$C1464+1)+2,"00"),"")&amp;IF($C1464&gt;=4,", "&amp;$A1464&amp;"-"&amp;TEXT(($D1464-$C1464+1)+3,"00"),"")&amp;IF($C1464&gt;=5,", "&amp;$A1464&amp;"-"&amp;TEXT(($D1464-$C1464+1)+4,"00"),"")&amp;IF($C1464&gt;=6,", "&amp;$A1464&amp;"-"&amp;TEXT(($D1464-$C1464+1)+5,"00"),"")&amp;IF($C1464&gt;=7,", "&amp;$A1464&amp;"-"&amp;TEXT(($D1464-$C1464+1)+6,"00"),"")&amp;IF($C1464&gt;=8,", "&amp;$A1464&amp;"-"&amp;TEXT(($D1464-$C1464+1)+7,"00"),"")&amp;IF($C1464&gt;=9,", "&amp;$A1464&amp;"-"&amp;TEXT(($D1464-$C1464+1)+8,"00"),"")&amp;IF($C1464&gt;=10,", "&amp;$A1464&amp;"-"&amp;TEXT(($D1464-$C1464+1)+9,"00"),"")&amp;IF($C1464&gt;=11,", "&amp;$A1464&amp;"-"&amp;TEXT(($D1464-$C1464+1)+10,"00"),"")&amp;IF($C1464&gt;=12,", "&amp;$A1464&amp;"-"&amp;TEXT(($D1464-$C1464+1)+11,"00"),"")&amp;IF($C1464&gt;=13,", "&amp;$A1464&amp;"-"&amp;TEXT(($D1464-$C1464+1)+12,"00"),"")&amp;IF($C1464&gt;=14,", "&amp;$A1464&amp;"-"&amp;TEXT(($D1464-$C1464+1)+13,"00"),"")&amp;IF($C1464&gt;=15,", "&amp;$A1464&amp;"-"&amp;TEXT(($D1464-$C1464+1)+14,"00"),"")&amp;IF($C1464&gt;=16,", "&amp;$A1464&amp;"-"&amp;TEXT(($D1464-$C1464+1)+15,"00"),"")&amp;IF($C1464&gt;=17,", "&amp;$A1464&amp;"-"&amp;TEXT(($D1464-$C1464+1)+16,"00"),"")&amp;IF($C1464&gt;=18,", "&amp;$A1464&amp;"-"&amp;TEXT(($D1464-$C1464+1)+17,"00"),"")&amp;IF($C1464&gt;=19,", "&amp;$A1464&amp;"-"&amp;TEXT(($D1464-$C1464+1)+18,"00"),"")&amp;IF($C1464&gt;=20,", "&amp;$A1464&amp;"-"&amp;TEXT(($D1464-$C1464+1)+19,"00"),"")&amp;IF($C1464&gt;=21,", "&amp;$A1464&amp;"-"&amp;TEXT(($D1464-$C1464+1)+20,"00"),"")&amp;IF($C1464&gt;=22,", "&amp;$A1464&amp;"-"&amp;TEXT(($D1464-$C1464+1)+21,"00"),"")&amp;IF($C1464&gt;=23,", "&amp;$A1464&amp;"-"&amp;TEXT(($D1464-$C1464+1)+22,"00"),"")&amp;IF($C1464&gt;=24,", "&amp;$A1464&amp;"-"&amp;TEXT(($D1464-$C1464+1)+23,"00"),"")&amp;IF($C1464&gt;=25,", "&amp;$A1464&amp;"-"&amp;TEXT(($D1464-$C1464+1)+24,"00"),""))</f>
        <v/>
      </c>
      <c r="G1464">
        <f>IF($A1464="","",IF($E1464=1,$F1464,IF($F1464="",$G1463,IF($G1463="",$F1464,$G1463&amp;", "&amp;$F1464))))</f>
        <v/>
      </c>
      <c r="H1464">
        <f>IF($A1464="","",$A1464&amp;" ("&amp;$C1464&amp;")")</f>
        <v/>
      </c>
      <c r="I1464">
        <f>IF($A1464="","",IF($E1464=1,$H1464,$I1463&amp;", "&amp;$H1464))</f>
        <v/>
      </c>
      <c r="J1464">
        <f>IF($A1464="","",IF($E1464=1,$B1464,""))</f>
        <v/>
      </c>
      <c r="K1464">
        <f>IF($A1464="","",IF(COUNTIF($B$2:$B1464,$B1464)=COUNTIF($B$2:$B$1601,$B1464),$B1464,""))</f>
        <v/>
      </c>
    </row>
    <row r="1465">
      <c r="A1465">
        <f>IF('TMP Paste'!$E1465="","",'TMP Paste'!$E1465)</f>
        <v/>
      </c>
      <c r="B1465">
        <f>IF($A1465="","",COUNTIF('TMP Paste'!$B$2:$B1465,"?*"))</f>
        <v/>
      </c>
      <c r="C1465">
        <f>IF($A1465="","",IFERROR('TMP Paste'!$M1465*1,0))</f>
        <v/>
      </c>
      <c r="D1465">
        <f>IF($A1465="","",SUMIF($B$2:$B1465,$B1465,$C$2:$C1465))</f>
        <v/>
      </c>
      <c r="E1465">
        <f>IF($A1465="",0,IF('TMP Paste'!$B1465="",0,1))</f>
        <v/>
      </c>
      <c r="F1465">
        <f>IF(OR($A1465="",$C1465&lt;1),"",$A1465&amp;"-"&amp;TEXT(($D1465-$C1465+1),"00")&amp;IF($C1465&gt;=2,", "&amp;$A1465&amp;"-"&amp;TEXT(($D1465-$C1465+1)+1,"00"),"")&amp;IF($C1465&gt;=3,", "&amp;$A1465&amp;"-"&amp;TEXT(($D1465-$C1465+1)+2,"00"),"")&amp;IF($C1465&gt;=4,", "&amp;$A1465&amp;"-"&amp;TEXT(($D1465-$C1465+1)+3,"00"),"")&amp;IF($C1465&gt;=5,", "&amp;$A1465&amp;"-"&amp;TEXT(($D1465-$C1465+1)+4,"00"),"")&amp;IF($C1465&gt;=6,", "&amp;$A1465&amp;"-"&amp;TEXT(($D1465-$C1465+1)+5,"00"),"")&amp;IF($C1465&gt;=7,", "&amp;$A1465&amp;"-"&amp;TEXT(($D1465-$C1465+1)+6,"00"),"")&amp;IF($C1465&gt;=8,", "&amp;$A1465&amp;"-"&amp;TEXT(($D1465-$C1465+1)+7,"00"),"")&amp;IF($C1465&gt;=9,", "&amp;$A1465&amp;"-"&amp;TEXT(($D1465-$C1465+1)+8,"00"),"")&amp;IF($C1465&gt;=10,", "&amp;$A1465&amp;"-"&amp;TEXT(($D1465-$C1465+1)+9,"00"),"")&amp;IF($C1465&gt;=11,", "&amp;$A1465&amp;"-"&amp;TEXT(($D1465-$C1465+1)+10,"00"),"")&amp;IF($C1465&gt;=12,", "&amp;$A1465&amp;"-"&amp;TEXT(($D1465-$C1465+1)+11,"00"),"")&amp;IF($C1465&gt;=13,", "&amp;$A1465&amp;"-"&amp;TEXT(($D1465-$C1465+1)+12,"00"),"")&amp;IF($C1465&gt;=14,", "&amp;$A1465&amp;"-"&amp;TEXT(($D1465-$C1465+1)+13,"00"),"")&amp;IF($C1465&gt;=15,", "&amp;$A1465&amp;"-"&amp;TEXT(($D1465-$C1465+1)+14,"00"),"")&amp;IF($C1465&gt;=16,", "&amp;$A1465&amp;"-"&amp;TEXT(($D1465-$C1465+1)+15,"00"),"")&amp;IF($C1465&gt;=17,", "&amp;$A1465&amp;"-"&amp;TEXT(($D1465-$C1465+1)+16,"00"),"")&amp;IF($C1465&gt;=18,", "&amp;$A1465&amp;"-"&amp;TEXT(($D1465-$C1465+1)+17,"00"),"")&amp;IF($C1465&gt;=19,", "&amp;$A1465&amp;"-"&amp;TEXT(($D1465-$C1465+1)+18,"00"),"")&amp;IF($C1465&gt;=20,", "&amp;$A1465&amp;"-"&amp;TEXT(($D1465-$C1465+1)+19,"00"),"")&amp;IF($C1465&gt;=21,", "&amp;$A1465&amp;"-"&amp;TEXT(($D1465-$C1465+1)+20,"00"),"")&amp;IF($C1465&gt;=22,", "&amp;$A1465&amp;"-"&amp;TEXT(($D1465-$C1465+1)+21,"00"),"")&amp;IF($C1465&gt;=23,", "&amp;$A1465&amp;"-"&amp;TEXT(($D1465-$C1465+1)+22,"00"),"")&amp;IF($C1465&gt;=24,", "&amp;$A1465&amp;"-"&amp;TEXT(($D1465-$C1465+1)+23,"00"),"")&amp;IF($C1465&gt;=25,", "&amp;$A1465&amp;"-"&amp;TEXT(($D1465-$C1465+1)+24,"00"),""))</f>
        <v/>
      </c>
      <c r="G1465">
        <f>IF($A1465="","",IF($E1465=1,$F1465,IF($F1465="",$G1464,IF($G1464="",$F1465,$G1464&amp;", "&amp;$F1465))))</f>
        <v/>
      </c>
      <c r="H1465">
        <f>IF($A1465="","",$A1465&amp;" ("&amp;$C1465&amp;")")</f>
        <v/>
      </c>
      <c r="I1465">
        <f>IF($A1465="","",IF($E1465=1,$H1465,$I1464&amp;", "&amp;$H1465))</f>
        <v/>
      </c>
      <c r="J1465">
        <f>IF($A1465="","",IF($E1465=1,$B1465,""))</f>
        <v/>
      </c>
      <c r="K1465">
        <f>IF($A1465="","",IF(COUNTIF($B$2:$B1465,$B1465)=COUNTIF($B$2:$B$1601,$B1465),$B1465,""))</f>
        <v/>
      </c>
    </row>
    <row r="1466">
      <c r="A1466">
        <f>IF('TMP Paste'!$E1466="","",'TMP Paste'!$E1466)</f>
        <v/>
      </c>
      <c r="B1466">
        <f>IF($A1466="","",COUNTIF('TMP Paste'!$B$2:$B1466,"?*"))</f>
        <v/>
      </c>
      <c r="C1466">
        <f>IF($A1466="","",IFERROR('TMP Paste'!$M1466*1,0))</f>
        <v/>
      </c>
      <c r="D1466">
        <f>IF($A1466="","",SUMIF($B$2:$B1466,$B1466,$C$2:$C1466))</f>
        <v/>
      </c>
      <c r="E1466">
        <f>IF($A1466="",0,IF('TMP Paste'!$B1466="",0,1))</f>
        <v/>
      </c>
      <c r="F1466">
        <f>IF(OR($A1466="",$C1466&lt;1),"",$A1466&amp;"-"&amp;TEXT(($D1466-$C1466+1),"00")&amp;IF($C1466&gt;=2,", "&amp;$A1466&amp;"-"&amp;TEXT(($D1466-$C1466+1)+1,"00"),"")&amp;IF($C1466&gt;=3,", "&amp;$A1466&amp;"-"&amp;TEXT(($D1466-$C1466+1)+2,"00"),"")&amp;IF($C1466&gt;=4,", "&amp;$A1466&amp;"-"&amp;TEXT(($D1466-$C1466+1)+3,"00"),"")&amp;IF($C1466&gt;=5,", "&amp;$A1466&amp;"-"&amp;TEXT(($D1466-$C1466+1)+4,"00"),"")&amp;IF($C1466&gt;=6,", "&amp;$A1466&amp;"-"&amp;TEXT(($D1466-$C1466+1)+5,"00"),"")&amp;IF($C1466&gt;=7,", "&amp;$A1466&amp;"-"&amp;TEXT(($D1466-$C1466+1)+6,"00"),"")&amp;IF($C1466&gt;=8,", "&amp;$A1466&amp;"-"&amp;TEXT(($D1466-$C1466+1)+7,"00"),"")&amp;IF($C1466&gt;=9,", "&amp;$A1466&amp;"-"&amp;TEXT(($D1466-$C1466+1)+8,"00"),"")&amp;IF($C1466&gt;=10,", "&amp;$A1466&amp;"-"&amp;TEXT(($D1466-$C1466+1)+9,"00"),"")&amp;IF($C1466&gt;=11,", "&amp;$A1466&amp;"-"&amp;TEXT(($D1466-$C1466+1)+10,"00"),"")&amp;IF($C1466&gt;=12,", "&amp;$A1466&amp;"-"&amp;TEXT(($D1466-$C1466+1)+11,"00"),"")&amp;IF($C1466&gt;=13,", "&amp;$A1466&amp;"-"&amp;TEXT(($D1466-$C1466+1)+12,"00"),"")&amp;IF($C1466&gt;=14,", "&amp;$A1466&amp;"-"&amp;TEXT(($D1466-$C1466+1)+13,"00"),"")&amp;IF($C1466&gt;=15,", "&amp;$A1466&amp;"-"&amp;TEXT(($D1466-$C1466+1)+14,"00"),"")&amp;IF($C1466&gt;=16,", "&amp;$A1466&amp;"-"&amp;TEXT(($D1466-$C1466+1)+15,"00"),"")&amp;IF($C1466&gt;=17,", "&amp;$A1466&amp;"-"&amp;TEXT(($D1466-$C1466+1)+16,"00"),"")&amp;IF($C1466&gt;=18,", "&amp;$A1466&amp;"-"&amp;TEXT(($D1466-$C1466+1)+17,"00"),"")&amp;IF($C1466&gt;=19,", "&amp;$A1466&amp;"-"&amp;TEXT(($D1466-$C1466+1)+18,"00"),"")&amp;IF($C1466&gt;=20,", "&amp;$A1466&amp;"-"&amp;TEXT(($D1466-$C1466+1)+19,"00"),"")&amp;IF($C1466&gt;=21,", "&amp;$A1466&amp;"-"&amp;TEXT(($D1466-$C1466+1)+20,"00"),"")&amp;IF($C1466&gt;=22,", "&amp;$A1466&amp;"-"&amp;TEXT(($D1466-$C1466+1)+21,"00"),"")&amp;IF($C1466&gt;=23,", "&amp;$A1466&amp;"-"&amp;TEXT(($D1466-$C1466+1)+22,"00"),"")&amp;IF($C1466&gt;=24,", "&amp;$A1466&amp;"-"&amp;TEXT(($D1466-$C1466+1)+23,"00"),"")&amp;IF($C1466&gt;=25,", "&amp;$A1466&amp;"-"&amp;TEXT(($D1466-$C1466+1)+24,"00"),""))</f>
        <v/>
      </c>
      <c r="G1466">
        <f>IF($A1466="","",IF($E1466=1,$F1466,IF($F1466="",$G1465,IF($G1465="",$F1466,$G1465&amp;", "&amp;$F1466))))</f>
        <v/>
      </c>
      <c r="H1466">
        <f>IF($A1466="","",$A1466&amp;" ("&amp;$C1466&amp;")")</f>
        <v/>
      </c>
      <c r="I1466">
        <f>IF($A1466="","",IF($E1466=1,$H1466,$I1465&amp;", "&amp;$H1466))</f>
        <v/>
      </c>
      <c r="J1466">
        <f>IF($A1466="","",IF($E1466=1,$B1466,""))</f>
        <v/>
      </c>
      <c r="K1466">
        <f>IF($A1466="","",IF(COUNTIF($B$2:$B1466,$B1466)=COUNTIF($B$2:$B$1601,$B1466),$B1466,""))</f>
        <v/>
      </c>
    </row>
    <row r="1467">
      <c r="A1467">
        <f>IF('TMP Paste'!$E1467="","",'TMP Paste'!$E1467)</f>
        <v/>
      </c>
      <c r="B1467">
        <f>IF($A1467="","",COUNTIF('TMP Paste'!$B$2:$B1467,"?*"))</f>
        <v/>
      </c>
      <c r="C1467">
        <f>IF($A1467="","",IFERROR('TMP Paste'!$M1467*1,0))</f>
        <v/>
      </c>
      <c r="D1467">
        <f>IF($A1467="","",SUMIF($B$2:$B1467,$B1467,$C$2:$C1467))</f>
        <v/>
      </c>
      <c r="E1467">
        <f>IF($A1467="",0,IF('TMP Paste'!$B1467="",0,1))</f>
        <v/>
      </c>
      <c r="F1467">
        <f>IF(OR($A1467="",$C1467&lt;1),"",$A1467&amp;"-"&amp;TEXT(($D1467-$C1467+1),"00")&amp;IF($C1467&gt;=2,", "&amp;$A1467&amp;"-"&amp;TEXT(($D1467-$C1467+1)+1,"00"),"")&amp;IF($C1467&gt;=3,", "&amp;$A1467&amp;"-"&amp;TEXT(($D1467-$C1467+1)+2,"00"),"")&amp;IF($C1467&gt;=4,", "&amp;$A1467&amp;"-"&amp;TEXT(($D1467-$C1467+1)+3,"00"),"")&amp;IF($C1467&gt;=5,", "&amp;$A1467&amp;"-"&amp;TEXT(($D1467-$C1467+1)+4,"00"),"")&amp;IF($C1467&gt;=6,", "&amp;$A1467&amp;"-"&amp;TEXT(($D1467-$C1467+1)+5,"00"),"")&amp;IF($C1467&gt;=7,", "&amp;$A1467&amp;"-"&amp;TEXT(($D1467-$C1467+1)+6,"00"),"")&amp;IF($C1467&gt;=8,", "&amp;$A1467&amp;"-"&amp;TEXT(($D1467-$C1467+1)+7,"00"),"")&amp;IF($C1467&gt;=9,", "&amp;$A1467&amp;"-"&amp;TEXT(($D1467-$C1467+1)+8,"00"),"")&amp;IF($C1467&gt;=10,", "&amp;$A1467&amp;"-"&amp;TEXT(($D1467-$C1467+1)+9,"00"),"")&amp;IF($C1467&gt;=11,", "&amp;$A1467&amp;"-"&amp;TEXT(($D1467-$C1467+1)+10,"00"),"")&amp;IF($C1467&gt;=12,", "&amp;$A1467&amp;"-"&amp;TEXT(($D1467-$C1467+1)+11,"00"),"")&amp;IF($C1467&gt;=13,", "&amp;$A1467&amp;"-"&amp;TEXT(($D1467-$C1467+1)+12,"00"),"")&amp;IF($C1467&gt;=14,", "&amp;$A1467&amp;"-"&amp;TEXT(($D1467-$C1467+1)+13,"00"),"")&amp;IF($C1467&gt;=15,", "&amp;$A1467&amp;"-"&amp;TEXT(($D1467-$C1467+1)+14,"00"),"")&amp;IF($C1467&gt;=16,", "&amp;$A1467&amp;"-"&amp;TEXT(($D1467-$C1467+1)+15,"00"),"")&amp;IF($C1467&gt;=17,", "&amp;$A1467&amp;"-"&amp;TEXT(($D1467-$C1467+1)+16,"00"),"")&amp;IF($C1467&gt;=18,", "&amp;$A1467&amp;"-"&amp;TEXT(($D1467-$C1467+1)+17,"00"),"")&amp;IF($C1467&gt;=19,", "&amp;$A1467&amp;"-"&amp;TEXT(($D1467-$C1467+1)+18,"00"),"")&amp;IF($C1467&gt;=20,", "&amp;$A1467&amp;"-"&amp;TEXT(($D1467-$C1467+1)+19,"00"),"")&amp;IF($C1467&gt;=21,", "&amp;$A1467&amp;"-"&amp;TEXT(($D1467-$C1467+1)+20,"00"),"")&amp;IF($C1467&gt;=22,", "&amp;$A1467&amp;"-"&amp;TEXT(($D1467-$C1467+1)+21,"00"),"")&amp;IF($C1467&gt;=23,", "&amp;$A1467&amp;"-"&amp;TEXT(($D1467-$C1467+1)+22,"00"),"")&amp;IF($C1467&gt;=24,", "&amp;$A1467&amp;"-"&amp;TEXT(($D1467-$C1467+1)+23,"00"),"")&amp;IF($C1467&gt;=25,", "&amp;$A1467&amp;"-"&amp;TEXT(($D1467-$C1467+1)+24,"00"),""))</f>
        <v/>
      </c>
      <c r="G1467">
        <f>IF($A1467="","",IF($E1467=1,$F1467,IF($F1467="",$G1466,IF($G1466="",$F1467,$G1466&amp;", "&amp;$F1467))))</f>
        <v/>
      </c>
      <c r="H1467">
        <f>IF($A1467="","",$A1467&amp;" ("&amp;$C1467&amp;")")</f>
        <v/>
      </c>
      <c r="I1467">
        <f>IF($A1467="","",IF($E1467=1,$H1467,$I1466&amp;", "&amp;$H1467))</f>
        <v/>
      </c>
      <c r="J1467">
        <f>IF($A1467="","",IF($E1467=1,$B1467,""))</f>
        <v/>
      </c>
      <c r="K1467">
        <f>IF($A1467="","",IF(COUNTIF($B$2:$B1467,$B1467)=COUNTIF($B$2:$B$1601,$B1467),$B1467,""))</f>
        <v/>
      </c>
    </row>
    <row r="1468">
      <c r="A1468">
        <f>IF('TMP Paste'!$E1468="","",'TMP Paste'!$E1468)</f>
        <v/>
      </c>
      <c r="B1468">
        <f>IF($A1468="","",COUNTIF('TMP Paste'!$B$2:$B1468,"?*"))</f>
        <v/>
      </c>
      <c r="C1468">
        <f>IF($A1468="","",IFERROR('TMP Paste'!$M1468*1,0))</f>
        <v/>
      </c>
      <c r="D1468">
        <f>IF($A1468="","",SUMIF($B$2:$B1468,$B1468,$C$2:$C1468))</f>
        <v/>
      </c>
      <c r="E1468">
        <f>IF($A1468="",0,IF('TMP Paste'!$B1468="",0,1))</f>
        <v/>
      </c>
      <c r="F1468">
        <f>IF(OR($A1468="",$C1468&lt;1),"",$A1468&amp;"-"&amp;TEXT(($D1468-$C1468+1),"00")&amp;IF($C1468&gt;=2,", "&amp;$A1468&amp;"-"&amp;TEXT(($D1468-$C1468+1)+1,"00"),"")&amp;IF($C1468&gt;=3,", "&amp;$A1468&amp;"-"&amp;TEXT(($D1468-$C1468+1)+2,"00"),"")&amp;IF($C1468&gt;=4,", "&amp;$A1468&amp;"-"&amp;TEXT(($D1468-$C1468+1)+3,"00"),"")&amp;IF($C1468&gt;=5,", "&amp;$A1468&amp;"-"&amp;TEXT(($D1468-$C1468+1)+4,"00"),"")&amp;IF($C1468&gt;=6,", "&amp;$A1468&amp;"-"&amp;TEXT(($D1468-$C1468+1)+5,"00"),"")&amp;IF($C1468&gt;=7,", "&amp;$A1468&amp;"-"&amp;TEXT(($D1468-$C1468+1)+6,"00"),"")&amp;IF($C1468&gt;=8,", "&amp;$A1468&amp;"-"&amp;TEXT(($D1468-$C1468+1)+7,"00"),"")&amp;IF($C1468&gt;=9,", "&amp;$A1468&amp;"-"&amp;TEXT(($D1468-$C1468+1)+8,"00"),"")&amp;IF($C1468&gt;=10,", "&amp;$A1468&amp;"-"&amp;TEXT(($D1468-$C1468+1)+9,"00"),"")&amp;IF($C1468&gt;=11,", "&amp;$A1468&amp;"-"&amp;TEXT(($D1468-$C1468+1)+10,"00"),"")&amp;IF($C1468&gt;=12,", "&amp;$A1468&amp;"-"&amp;TEXT(($D1468-$C1468+1)+11,"00"),"")&amp;IF($C1468&gt;=13,", "&amp;$A1468&amp;"-"&amp;TEXT(($D1468-$C1468+1)+12,"00"),"")&amp;IF($C1468&gt;=14,", "&amp;$A1468&amp;"-"&amp;TEXT(($D1468-$C1468+1)+13,"00"),"")&amp;IF($C1468&gt;=15,", "&amp;$A1468&amp;"-"&amp;TEXT(($D1468-$C1468+1)+14,"00"),"")&amp;IF($C1468&gt;=16,", "&amp;$A1468&amp;"-"&amp;TEXT(($D1468-$C1468+1)+15,"00"),"")&amp;IF($C1468&gt;=17,", "&amp;$A1468&amp;"-"&amp;TEXT(($D1468-$C1468+1)+16,"00"),"")&amp;IF($C1468&gt;=18,", "&amp;$A1468&amp;"-"&amp;TEXT(($D1468-$C1468+1)+17,"00"),"")&amp;IF($C1468&gt;=19,", "&amp;$A1468&amp;"-"&amp;TEXT(($D1468-$C1468+1)+18,"00"),"")&amp;IF($C1468&gt;=20,", "&amp;$A1468&amp;"-"&amp;TEXT(($D1468-$C1468+1)+19,"00"),"")&amp;IF($C1468&gt;=21,", "&amp;$A1468&amp;"-"&amp;TEXT(($D1468-$C1468+1)+20,"00"),"")&amp;IF($C1468&gt;=22,", "&amp;$A1468&amp;"-"&amp;TEXT(($D1468-$C1468+1)+21,"00"),"")&amp;IF($C1468&gt;=23,", "&amp;$A1468&amp;"-"&amp;TEXT(($D1468-$C1468+1)+22,"00"),"")&amp;IF($C1468&gt;=24,", "&amp;$A1468&amp;"-"&amp;TEXT(($D1468-$C1468+1)+23,"00"),"")&amp;IF($C1468&gt;=25,", "&amp;$A1468&amp;"-"&amp;TEXT(($D1468-$C1468+1)+24,"00"),""))</f>
        <v/>
      </c>
      <c r="G1468">
        <f>IF($A1468="","",IF($E1468=1,$F1468,IF($F1468="",$G1467,IF($G1467="",$F1468,$G1467&amp;", "&amp;$F1468))))</f>
        <v/>
      </c>
      <c r="H1468">
        <f>IF($A1468="","",$A1468&amp;" ("&amp;$C1468&amp;")")</f>
        <v/>
      </c>
      <c r="I1468">
        <f>IF($A1468="","",IF($E1468=1,$H1468,$I1467&amp;", "&amp;$H1468))</f>
        <v/>
      </c>
      <c r="J1468">
        <f>IF($A1468="","",IF($E1468=1,$B1468,""))</f>
        <v/>
      </c>
      <c r="K1468">
        <f>IF($A1468="","",IF(COUNTIF($B$2:$B1468,$B1468)=COUNTIF($B$2:$B$1601,$B1468),$B1468,""))</f>
        <v/>
      </c>
    </row>
    <row r="1469">
      <c r="A1469">
        <f>IF('TMP Paste'!$E1469="","",'TMP Paste'!$E1469)</f>
        <v/>
      </c>
      <c r="B1469">
        <f>IF($A1469="","",COUNTIF('TMP Paste'!$B$2:$B1469,"?*"))</f>
        <v/>
      </c>
      <c r="C1469">
        <f>IF($A1469="","",IFERROR('TMP Paste'!$M1469*1,0))</f>
        <v/>
      </c>
      <c r="D1469">
        <f>IF($A1469="","",SUMIF($B$2:$B1469,$B1469,$C$2:$C1469))</f>
        <v/>
      </c>
      <c r="E1469">
        <f>IF($A1469="",0,IF('TMP Paste'!$B1469="",0,1))</f>
        <v/>
      </c>
      <c r="F1469">
        <f>IF(OR($A1469="",$C1469&lt;1),"",$A1469&amp;"-"&amp;TEXT(($D1469-$C1469+1),"00")&amp;IF($C1469&gt;=2,", "&amp;$A1469&amp;"-"&amp;TEXT(($D1469-$C1469+1)+1,"00"),"")&amp;IF($C1469&gt;=3,", "&amp;$A1469&amp;"-"&amp;TEXT(($D1469-$C1469+1)+2,"00"),"")&amp;IF($C1469&gt;=4,", "&amp;$A1469&amp;"-"&amp;TEXT(($D1469-$C1469+1)+3,"00"),"")&amp;IF($C1469&gt;=5,", "&amp;$A1469&amp;"-"&amp;TEXT(($D1469-$C1469+1)+4,"00"),"")&amp;IF($C1469&gt;=6,", "&amp;$A1469&amp;"-"&amp;TEXT(($D1469-$C1469+1)+5,"00"),"")&amp;IF($C1469&gt;=7,", "&amp;$A1469&amp;"-"&amp;TEXT(($D1469-$C1469+1)+6,"00"),"")&amp;IF($C1469&gt;=8,", "&amp;$A1469&amp;"-"&amp;TEXT(($D1469-$C1469+1)+7,"00"),"")&amp;IF($C1469&gt;=9,", "&amp;$A1469&amp;"-"&amp;TEXT(($D1469-$C1469+1)+8,"00"),"")&amp;IF($C1469&gt;=10,", "&amp;$A1469&amp;"-"&amp;TEXT(($D1469-$C1469+1)+9,"00"),"")&amp;IF($C1469&gt;=11,", "&amp;$A1469&amp;"-"&amp;TEXT(($D1469-$C1469+1)+10,"00"),"")&amp;IF($C1469&gt;=12,", "&amp;$A1469&amp;"-"&amp;TEXT(($D1469-$C1469+1)+11,"00"),"")&amp;IF($C1469&gt;=13,", "&amp;$A1469&amp;"-"&amp;TEXT(($D1469-$C1469+1)+12,"00"),"")&amp;IF($C1469&gt;=14,", "&amp;$A1469&amp;"-"&amp;TEXT(($D1469-$C1469+1)+13,"00"),"")&amp;IF($C1469&gt;=15,", "&amp;$A1469&amp;"-"&amp;TEXT(($D1469-$C1469+1)+14,"00"),"")&amp;IF($C1469&gt;=16,", "&amp;$A1469&amp;"-"&amp;TEXT(($D1469-$C1469+1)+15,"00"),"")&amp;IF($C1469&gt;=17,", "&amp;$A1469&amp;"-"&amp;TEXT(($D1469-$C1469+1)+16,"00"),"")&amp;IF($C1469&gt;=18,", "&amp;$A1469&amp;"-"&amp;TEXT(($D1469-$C1469+1)+17,"00"),"")&amp;IF($C1469&gt;=19,", "&amp;$A1469&amp;"-"&amp;TEXT(($D1469-$C1469+1)+18,"00"),"")&amp;IF($C1469&gt;=20,", "&amp;$A1469&amp;"-"&amp;TEXT(($D1469-$C1469+1)+19,"00"),"")&amp;IF($C1469&gt;=21,", "&amp;$A1469&amp;"-"&amp;TEXT(($D1469-$C1469+1)+20,"00"),"")&amp;IF($C1469&gt;=22,", "&amp;$A1469&amp;"-"&amp;TEXT(($D1469-$C1469+1)+21,"00"),"")&amp;IF($C1469&gt;=23,", "&amp;$A1469&amp;"-"&amp;TEXT(($D1469-$C1469+1)+22,"00"),"")&amp;IF($C1469&gt;=24,", "&amp;$A1469&amp;"-"&amp;TEXT(($D1469-$C1469+1)+23,"00"),"")&amp;IF($C1469&gt;=25,", "&amp;$A1469&amp;"-"&amp;TEXT(($D1469-$C1469+1)+24,"00"),""))</f>
        <v/>
      </c>
      <c r="G1469">
        <f>IF($A1469="","",IF($E1469=1,$F1469,IF($F1469="",$G1468,IF($G1468="",$F1469,$G1468&amp;", "&amp;$F1469))))</f>
        <v/>
      </c>
      <c r="H1469">
        <f>IF($A1469="","",$A1469&amp;" ("&amp;$C1469&amp;")")</f>
        <v/>
      </c>
      <c r="I1469">
        <f>IF($A1469="","",IF($E1469=1,$H1469,$I1468&amp;", "&amp;$H1469))</f>
        <v/>
      </c>
      <c r="J1469">
        <f>IF($A1469="","",IF($E1469=1,$B1469,""))</f>
        <v/>
      </c>
      <c r="K1469">
        <f>IF($A1469="","",IF(COUNTIF($B$2:$B1469,$B1469)=COUNTIF($B$2:$B$1601,$B1469),$B1469,""))</f>
        <v/>
      </c>
    </row>
    <row r="1470">
      <c r="A1470">
        <f>IF('TMP Paste'!$E1470="","",'TMP Paste'!$E1470)</f>
        <v/>
      </c>
      <c r="B1470">
        <f>IF($A1470="","",COUNTIF('TMP Paste'!$B$2:$B1470,"?*"))</f>
        <v/>
      </c>
      <c r="C1470">
        <f>IF($A1470="","",IFERROR('TMP Paste'!$M1470*1,0))</f>
        <v/>
      </c>
      <c r="D1470">
        <f>IF($A1470="","",SUMIF($B$2:$B1470,$B1470,$C$2:$C1470))</f>
        <v/>
      </c>
      <c r="E1470">
        <f>IF($A1470="",0,IF('TMP Paste'!$B1470="",0,1))</f>
        <v/>
      </c>
      <c r="F1470">
        <f>IF(OR($A1470="",$C1470&lt;1),"",$A1470&amp;"-"&amp;TEXT(($D1470-$C1470+1),"00")&amp;IF($C1470&gt;=2,", "&amp;$A1470&amp;"-"&amp;TEXT(($D1470-$C1470+1)+1,"00"),"")&amp;IF($C1470&gt;=3,", "&amp;$A1470&amp;"-"&amp;TEXT(($D1470-$C1470+1)+2,"00"),"")&amp;IF($C1470&gt;=4,", "&amp;$A1470&amp;"-"&amp;TEXT(($D1470-$C1470+1)+3,"00"),"")&amp;IF($C1470&gt;=5,", "&amp;$A1470&amp;"-"&amp;TEXT(($D1470-$C1470+1)+4,"00"),"")&amp;IF($C1470&gt;=6,", "&amp;$A1470&amp;"-"&amp;TEXT(($D1470-$C1470+1)+5,"00"),"")&amp;IF($C1470&gt;=7,", "&amp;$A1470&amp;"-"&amp;TEXT(($D1470-$C1470+1)+6,"00"),"")&amp;IF($C1470&gt;=8,", "&amp;$A1470&amp;"-"&amp;TEXT(($D1470-$C1470+1)+7,"00"),"")&amp;IF($C1470&gt;=9,", "&amp;$A1470&amp;"-"&amp;TEXT(($D1470-$C1470+1)+8,"00"),"")&amp;IF($C1470&gt;=10,", "&amp;$A1470&amp;"-"&amp;TEXT(($D1470-$C1470+1)+9,"00"),"")&amp;IF($C1470&gt;=11,", "&amp;$A1470&amp;"-"&amp;TEXT(($D1470-$C1470+1)+10,"00"),"")&amp;IF($C1470&gt;=12,", "&amp;$A1470&amp;"-"&amp;TEXT(($D1470-$C1470+1)+11,"00"),"")&amp;IF($C1470&gt;=13,", "&amp;$A1470&amp;"-"&amp;TEXT(($D1470-$C1470+1)+12,"00"),"")&amp;IF($C1470&gt;=14,", "&amp;$A1470&amp;"-"&amp;TEXT(($D1470-$C1470+1)+13,"00"),"")&amp;IF($C1470&gt;=15,", "&amp;$A1470&amp;"-"&amp;TEXT(($D1470-$C1470+1)+14,"00"),"")&amp;IF($C1470&gt;=16,", "&amp;$A1470&amp;"-"&amp;TEXT(($D1470-$C1470+1)+15,"00"),"")&amp;IF($C1470&gt;=17,", "&amp;$A1470&amp;"-"&amp;TEXT(($D1470-$C1470+1)+16,"00"),"")&amp;IF($C1470&gt;=18,", "&amp;$A1470&amp;"-"&amp;TEXT(($D1470-$C1470+1)+17,"00"),"")&amp;IF($C1470&gt;=19,", "&amp;$A1470&amp;"-"&amp;TEXT(($D1470-$C1470+1)+18,"00"),"")&amp;IF($C1470&gt;=20,", "&amp;$A1470&amp;"-"&amp;TEXT(($D1470-$C1470+1)+19,"00"),"")&amp;IF($C1470&gt;=21,", "&amp;$A1470&amp;"-"&amp;TEXT(($D1470-$C1470+1)+20,"00"),"")&amp;IF($C1470&gt;=22,", "&amp;$A1470&amp;"-"&amp;TEXT(($D1470-$C1470+1)+21,"00"),"")&amp;IF($C1470&gt;=23,", "&amp;$A1470&amp;"-"&amp;TEXT(($D1470-$C1470+1)+22,"00"),"")&amp;IF($C1470&gt;=24,", "&amp;$A1470&amp;"-"&amp;TEXT(($D1470-$C1470+1)+23,"00"),"")&amp;IF($C1470&gt;=25,", "&amp;$A1470&amp;"-"&amp;TEXT(($D1470-$C1470+1)+24,"00"),""))</f>
        <v/>
      </c>
      <c r="G1470">
        <f>IF($A1470="","",IF($E1470=1,$F1470,IF($F1470="",$G1469,IF($G1469="",$F1470,$G1469&amp;", "&amp;$F1470))))</f>
        <v/>
      </c>
      <c r="H1470">
        <f>IF($A1470="","",$A1470&amp;" ("&amp;$C1470&amp;")")</f>
        <v/>
      </c>
      <c r="I1470">
        <f>IF($A1470="","",IF($E1470=1,$H1470,$I1469&amp;", "&amp;$H1470))</f>
        <v/>
      </c>
      <c r="J1470">
        <f>IF($A1470="","",IF($E1470=1,$B1470,""))</f>
        <v/>
      </c>
      <c r="K1470">
        <f>IF($A1470="","",IF(COUNTIF($B$2:$B1470,$B1470)=COUNTIF($B$2:$B$1601,$B1470),$B1470,""))</f>
        <v/>
      </c>
    </row>
    <row r="1471">
      <c r="A1471">
        <f>IF('TMP Paste'!$E1471="","",'TMP Paste'!$E1471)</f>
        <v/>
      </c>
      <c r="B1471">
        <f>IF($A1471="","",COUNTIF('TMP Paste'!$B$2:$B1471,"?*"))</f>
        <v/>
      </c>
      <c r="C1471">
        <f>IF($A1471="","",IFERROR('TMP Paste'!$M1471*1,0))</f>
        <v/>
      </c>
      <c r="D1471">
        <f>IF($A1471="","",SUMIF($B$2:$B1471,$B1471,$C$2:$C1471))</f>
        <v/>
      </c>
      <c r="E1471">
        <f>IF($A1471="",0,IF('TMP Paste'!$B1471="",0,1))</f>
        <v/>
      </c>
      <c r="F1471">
        <f>IF(OR($A1471="",$C1471&lt;1),"",$A1471&amp;"-"&amp;TEXT(($D1471-$C1471+1),"00")&amp;IF($C1471&gt;=2,", "&amp;$A1471&amp;"-"&amp;TEXT(($D1471-$C1471+1)+1,"00"),"")&amp;IF($C1471&gt;=3,", "&amp;$A1471&amp;"-"&amp;TEXT(($D1471-$C1471+1)+2,"00"),"")&amp;IF($C1471&gt;=4,", "&amp;$A1471&amp;"-"&amp;TEXT(($D1471-$C1471+1)+3,"00"),"")&amp;IF($C1471&gt;=5,", "&amp;$A1471&amp;"-"&amp;TEXT(($D1471-$C1471+1)+4,"00"),"")&amp;IF($C1471&gt;=6,", "&amp;$A1471&amp;"-"&amp;TEXT(($D1471-$C1471+1)+5,"00"),"")&amp;IF($C1471&gt;=7,", "&amp;$A1471&amp;"-"&amp;TEXT(($D1471-$C1471+1)+6,"00"),"")&amp;IF($C1471&gt;=8,", "&amp;$A1471&amp;"-"&amp;TEXT(($D1471-$C1471+1)+7,"00"),"")&amp;IF($C1471&gt;=9,", "&amp;$A1471&amp;"-"&amp;TEXT(($D1471-$C1471+1)+8,"00"),"")&amp;IF($C1471&gt;=10,", "&amp;$A1471&amp;"-"&amp;TEXT(($D1471-$C1471+1)+9,"00"),"")&amp;IF($C1471&gt;=11,", "&amp;$A1471&amp;"-"&amp;TEXT(($D1471-$C1471+1)+10,"00"),"")&amp;IF($C1471&gt;=12,", "&amp;$A1471&amp;"-"&amp;TEXT(($D1471-$C1471+1)+11,"00"),"")&amp;IF($C1471&gt;=13,", "&amp;$A1471&amp;"-"&amp;TEXT(($D1471-$C1471+1)+12,"00"),"")&amp;IF($C1471&gt;=14,", "&amp;$A1471&amp;"-"&amp;TEXT(($D1471-$C1471+1)+13,"00"),"")&amp;IF($C1471&gt;=15,", "&amp;$A1471&amp;"-"&amp;TEXT(($D1471-$C1471+1)+14,"00"),"")&amp;IF($C1471&gt;=16,", "&amp;$A1471&amp;"-"&amp;TEXT(($D1471-$C1471+1)+15,"00"),"")&amp;IF($C1471&gt;=17,", "&amp;$A1471&amp;"-"&amp;TEXT(($D1471-$C1471+1)+16,"00"),"")&amp;IF($C1471&gt;=18,", "&amp;$A1471&amp;"-"&amp;TEXT(($D1471-$C1471+1)+17,"00"),"")&amp;IF($C1471&gt;=19,", "&amp;$A1471&amp;"-"&amp;TEXT(($D1471-$C1471+1)+18,"00"),"")&amp;IF($C1471&gt;=20,", "&amp;$A1471&amp;"-"&amp;TEXT(($D1471-$C1471+1)+19,"00"),"")&amp;IF($C1471&gt;=21,", "&amp;$A1471&amp;"-"&amp;TEXT(($D1471-$C1471+1)+20,"00"),"")&amp;IF($C1471&gt;=22,", "&amp;$A1471&amp;"-"&amp;TEXT(($D1471-$C1471+1)+21,"00"),"")&amp;IF($C1471&gt;=23,", "&amp;$A1471&amp;"-"&amp;TEXT(($D1471-$C1471+1)+22,"00"),"")&amp;IF($C1471&gt;=24,", "&amp;$A1471&amp;"-"&amp;TEXT(($D1471-$C1471+1)+23,"00"),"")&amp;IF($C1471&gt;=25,", "&amp;$A1471&amp;"-"&amp;TEXT(($D1471-$C1471+1)+24,"00"),""))</f>
        <v/>
      </c>
      <c r="G1471">
        <f>IF($A1471="","",IF($E1471=1,$F1471,IF($F1471="",$G1470,IF($G1470="",$F1471,$G1470&amp;", "&amp;$F1471))))</f>
        <v/>
      </c>
      <c r="H1471">
        <f>IF($A1471="","",$A1471&amp;" ("&amp;$C1471&amp;")")</f>
        <v/>
      </c>
      <c r="I1471">
        <f>IF($A1471="","",IF($E1471=1,$H1471,$I1470&amp;", "&amp;$H1471))</f>
        <v/>
      </c>
      <c r="J1471">
        <f>IF($A1471="","",IF($E1471=1,$B1471,""))</f>
        <v/>
      </c>
      <c r="K1471">
        <f>IF($A1471="","",IF(COUNTIF($B$2:$B1471,$B1471)=COUNTIF($B$2:$B$1601,$B1471),$B1471,""))</f>
        <v/>
      </c>
    </row>
    <row r="1472">
      <c r="A1472">
        <f>IF('TMP Paste'!$E1472="","",'TMP Paste'!$E1472)</f>
        <v/>
      </c>
      <c r="B1472">
        <f>IF($A1472="","",COUNTIF('TMP Paste'!$B$2:$B1472,"?*"))</f>
        <v/>
      </c>
      <c r="C1472">
        <f>IF($A1472="","",IFERROR('TMP Paste'!$M1472*1,0))</f>
        <v/>
      </c>
      <c r="D1472">
        <f>IF($A1472="","",SUMIF($B$2:$B1472,$B1472,$C$2:$C1472))</f>
        <v/>
      </c>
      <c r="E1472">
        <f>IF($A1472="",0,IF('TMP Paste'!$B1472="",0,1))</f>
        <v/>
      </c>
      <c r="F1472">
        <f>IF(OR($A1472="",$C1472&lt;1),"",$A1472&amp;"-"&amp;TEXT(($D1472-$C1472+1),"00")&amp;IF($C1472&gt;=2,", "&amp;$A1472&amp;"-"&amp;TEXT(($D1472-$C1472+1)+1,"00"),"")&amp;IF($C1472&gt;=3,", "&amp;$A1472&amp;"-"&amp;TEXT(($D1472-$C1472+1)+2,"00"),"")&amp;IF($C1472&gt;=4,", "&amp;$A1472&amp;"-"&amp;TEXT(($D1472-$C1472+1)+3,"00"),"")&amp;IF($C1472&gt;=5,", "&amp;$A1472&amp;"-"&amp;TEXT(($D1472-$C1472+1)+4,"00"),"")&amp;IF($C1472&gt;=6,", "&amp;$A1472&amp;"-"&amp;TEXT(($D1472-$C1472+1)+5,"00"),"")&amp;IF($C1472&gt;=7,", "&amp;$A1472&amp;"-"&amp;TEXT(($D1472-$C1472+1)+6,"00"),"")&amp;IF($C1472&gt;=8,", "&amp;$A1472&amp;"-"&amp;TEXT(($D1472-$C1472+1)+7,"00"),"")&amp;IF($C1472&gt;=9,", "&amp;$A1472&amp;"-"&amp;TEXT(($D1472-$C1472+1)+8,"00"),"")&amp;IF($C1472&gt;=10,", "&amp;$A1472&amp;"-"&amp;TEXT(($D1472-$C1472+1)+9,"00"),"")&amp;IF($C1472&gt;=11,", "&amp;$A1472&amp;"-"&amp;TEXT(($D1472-$C1472+1)+10,"00"),"")&amp;IF($C1472&gt;=12,", "&amp;$A1472&amp;"-"&amp;TEXT(($D1472-$C1472+1)+11,"00"),"")&amp;IF($C1472&gt;=13,", "&amp;$A1472&amp;"-"&amp;TEXT(($D1472-$C1472+1)+12,"00"),"")&amp;IF($C1472&gt;=14,", "&amp;$A1472&amp;"-"&amp;TEXT(($D1472-$C1472+1)+13,"00"),"")&amp;IF($C1472&gt;=15,", "&amp;$A1472&amp;"-"&amp;TEXT(($D1472-$C1472+1)+14,"00"),"")&amp;IF($C1472&gt;=16,", "&amp;$A1472&amp;"-"&amp;TEXT(($D1472-$C1472+1)+15,"00"),"")&amp;IF($C1472&gt;=17,", "&amp;$A1472&amp;"-"&amp;TEXT(($D1472-$C1472+1)+16,"00"),"")&amp;IF($C1472&gt;=18,", "&amp;$A1472&amp;"-"&amp;TEXT(($D1472-$C1472+1)+17,"00"),"")&amp;IF($C1472&gt;=19,", "&amp;$A1472&amp;"-"&amp;TEXT(($D1472-$C1472+1)+18,"00"),"")&amp;IF($C1472&gt;=20,", "&amp;$A1472&amp;"-"&amp;TEXT(($D1472-$C1472+1)+19,"00"),"")&amp;IF($C1472&gt;=21,", "&amp;$A1472&amp;"-"&amp;TEXT(($D1472-$C1472+1)+20,"00"),"")&amp;IF($C1472&gt;=22,", "&amp;$A1472&amp;"-"&amp;TEXT(($D1472-$C1472+1)+21,"00"),"")&amp;IF($C1472&gt;=23,", "&amp;$A1472&amp;"-"&amp;TEXT(($D1472-$C1472+1)+22,"00"),"")&amp;IF($C1472&gt;=24,", "&amp;$A1472&amp;"-"&amp;TEXT(($D1472-$C1472+1)+23,"00"),"")&amp;IF($C1472&gt;=25,", "&amp;$A1472&amp;"-"&amp;TEXT(($D1472-$C1472+1)+24,"00"),""))</f>
        <v/>
      </c>
      <c r="G1472">
        <f>IF($A1472="","",IF($E1472=1,$F1472,IF($F1472="",$G1471,IF($G1471="",$F1472,$G1471&amp;", "&amp;$F1472))))</f>
        <v/>
      </c>
      <c r="H1472">
        <f>IF($A1472="","",$A1472&amp;" ("&amp;$C1472&amp;")")</f>
        <v/>
      </c>
      <c r="I1472">
        <f>IF($A1472="","",IF($E1472=1,$H1472,$I1471&amp;", "&amp;$H1472))</f>
        <v/>
      </c>
      <c r="J1472">
        <f>IF($A1472="","",IF($E1472=1,$B1472,""))</f>
        <v/>
      </c>
      <c r="K1472">
        <f>IF($A1472="","",IF(COUNTIF($B$2:$B1472,$B1472)=COUNTIF($B$2:$B$1601,$B1472),$B1472,""))</f>
        <v/>
      </c>
    </row>
    <row r="1473">
      <c r="A1473">
        <f>IF('TMP Paste'!$E1473="","",'TMP Paste'!$E1473)</f>
        <v/>
      </c>
      <c r="B1473">
        <f>IF($A1473="","",COUNTIF('TMP Paste'!$B$2:$B1473,"?*"))</f>
        <v/>
      </c>
      <c r="C1473">
        <f>IF($A1473="","",IFERROR('TMP Paste'!$M1473*1,0))</f>
        <v/>
      </c>
      <c r="D1473">
        <f>IF($A1473="","",SUMIF($B$2:$B1473,$B1473,$C$2:$C1473))</f>
        <v/>
      </c>
      <c r="E1473">
        <f>IF($A1473="",0,IF('TMP Paste'!$B1473="",0,1))</f>
        <v/>
      </c>
      <c r="F1473">
        <f>IF(OR($A1473="",$C1473&lt;1),"",$A1473&amp;"-"&amp;TEXT(($D1473-$C1473+1),"00")&amp;IF($C1473&gt;=2,", "&amp;$A1473&amp;"-"&amp;TEXT(($D1473-$C1473+1)+1,"00"),"")&amp;IF($C1473&gt;=3,", "&amp;$A1473&amp;"-"&amp;TEXT(($D1473-$C1473+1)+2,"00"),"")&amp;IF($C1473&gt;=4,", "&amp;$A1473&amp;"-"&amp;TEXT(($D1473-$C1473+1)+3,"00"),"")&amp;IF($C1473&gt;=5,", "&amp;$A1473&amp;"-"&amp;TEXT(($D1473-$C1473+1)+4,"00"),"")&amp;IF($C1473&gt;=6,", "&amp;$A1473&amp;"-"&amp;TEXT(($D1473-$C1473+1)+5,"00"),"")&amp;IF($C1473&gt;=7,", "&amp;$A1473&amp;"-"&amp;TEXT(($D1473-$C1473+1)+6,"00"),"")&amp;IF($C1473&gt;=8,", "&amp;$A1473&amp;"-"&amp;TEXT(($D1473-$C1473+1)+7,"00"),"")&amp;IF($C1473&gt;=9,", "&amp;$A1473&amp;"-"&amp;TEXT(($D1473-$C1473+1)+8,"00"),"")&amp;IF($C1473&gt;=10,", "&amp;$A1473&amp;"-"&amp;TEXT(($D1473-$C1473+1)+9,"00"),"")&amp;IF($C1473&gt;=11,", "&amp;$A1473&amp;"-"&amp;TEXT(($D1473-$C1473+1)+10,"00"),"")&amp;IF($C1473&gt;=12,", "&amp;$A1473&amp;"-"&amp;TEXT(($D1473-$C1473+1)+11,"00"),"")&amp;IF($C1473&gt;=13,", "&amp;$A1473&amp;"-"&amp;TEXT(($D1473-$C1473+1)+12,"00"),"")&amp;IF($C1473&gt;=14,", "&amp;$A1473&amp;"-"&amp;TEXT(($D1473-$C1473+1)+13,"00"),"")&amp;IF($C1473&gt;=15,", "&amp;$A1473&amp;"-"&amp;TEXT(($D1473-$C1473+1)+14,"00"),"")&amp;IF($C1473&gt;=16,", "&amp;$A1473&amp;"-"&amp;TEXT(($D1473-$C1473+1)+15,"00"),"")&amp;IF($C1473&gt;=17,", "&amp;$A1473&amp;"-"&amp;TEXT(($D1473-$C1473+1)+16,"00"),"")&amp;IF($C1473&gt;=18,", "&amp;$A1473&amp;"-"&amp;TEXT(($D1473-$C1473+1)+17,"00"),"")&amp;IF($C1473&gt;=19,", "&amp;$A1473&amp;"-"&amp;TEXT(($D1473-$C1473+1)+18,"00"),"")&amp;IF($C1473&gt;=20,", "&amp;$A1473&amp;"-"&amp;TEXT(($D1473-$C1473+1)+19,"00"),"")&amp;IF($C1473&gt;=21,", "&amp;$A1473&amp;"-"&amp;TEXT(($D1473-$C1473+1)+20,"00"),"")&amp;IF($C1473&gt;=22,", "&amp;$A1473&amp;"-"&amp;TEXT(($D1473-$C1473+1)+21,"00"),"")&amp;IF($C1473&gt;=23,", "&amp;$A1473&amp;"-"&amp;TEXT(($D1473-$C1473+1)+22,"00"),"")&amp;IF($C1473&gt;=24,", "&amp;$A1473&amp;"-"&amp;TEXT(($D1473-$C1473+1)+23,"00"),"")&amp;IF($C1473&gt;=25,", "&amp;$A1473&amp;"-"&amp;TEXT(($D1473-$C1473+1)+24,"00"),""))</f>
        <v/>
      </c>
      <c r="G1473">
        <f>IF($A1473="","",IF($E1473=1,$F1473,IF($F1473="",$G1472,IF($G1472="",$F1473,$G1472&amp;", "&amp;$F1473))))</f>
        <v/>
      </c>
      <c r="H1473">
        <f>IF($A1473="","",$A1473&amp;" ("&amp;$C1473&amp;")")</f>
        <v/>
      </c>
      <c r="I1473">
        <f>IF($A1473="","",IF($E1473=1,$H1473,$I1472&amp;", "&amp;$H1473))</f>
        <v/>
      </c>
      <c r="J1473">
        <f>IF($A1473="","",IF($E1473=1,$B1473,""))</f>
        <v/>
      </c>
      <c r="K1473">
        <f>IF($A1473="","",IF(COUNTIF($B$2:$B1473,$B1473)=COUNTIF($B$2:$B$1601,$B1473),$B1473,""))</f>
        <v/>
      </c>
    </row>
    <row r="1474">
      <c r="A1474">
        <f>IF('TMP Paste'!$E1474="","",'TMP Paste'!$E1474)</f>
        <v/>
      </c>
      <c r="B1474">
        <f>IF($A1474="","",COUNTIF('TMP Paste'!$B$2:$B1474,"?*"))</f>
        <v/>
      </c>
      <c r="C1474">
        <f>IF($A1474="","",IFERROR('TMP Paste'!$M1474*1,0))</f>
        <v/>
      </c>
      <c r="D1474">
        <f>IF($A1474="","",SUMIF($B$2:$B1474,$B1474,$C$2:$C1474))</f>
        <v/>
      </c>
      <c r="E1474">
        <f>IF($A1474="",0,IF('TMP Paste'!$B1474="",0,1))</f>
        <v/>
      </c>
      <c r="F1474">
        <f>IF(OR($A1474="",$C1474&lt;1),"",$A1474&amp;"-"&amp;TEXT(($D1474-$C1474+1),"00")&amp;IF($C1474&gt;=2,", "&amp;$A1474&amp;"-"&amp;TEXT(($D1474-$C1474+1)+1,"00"),"")&amp;IF($C1474&gt;=3,", "&amp;$A1474&amp;"-"&amp;TEXT(($D1474-$C1474+1)+2,"00"),"")&amp;IF($C1474&gt;=4,", "&amp;$A1474&amp;"-"&amp;TEXT(($D1474-$C1474+1)+3,"00"),"")&amp;IF($C1474&gt;=5,", "&amp;$A1474&amp;"-"&amp;TEXT(($D1474-$C1474+1)+4,"00"),"")&amp;IF($C1474&gt;=6,", "&amp;$A1474&amp;"-"&amp;TEXT(($D1474-$C1474+1)+5,"00"),"")&amp;IF($C1474&gt;=7,", "&amp;$A1474&amp;"-"&amp;TEXT(($D1474-$C1474+1)+6,"00"),"")&amp;IF($C1474&gt;=8,", "&amp;$A1474&amp;"-"&amp;TEXT(($D1474-$C1474+1)+7,"00"),"")&amp;IF($C1474&gt;=9,", "&amp;$A1474&amp;"-"&amp;TEXT(($D1474-$C1474+1)+8,"00"),"")&amp;IF($C1474&gt;=10,", "&amp;$A1474&amp;"-"&amp;TEXT(($D1474-$C1474+1)+9,"00"),"")&amp;IF($C1474&gt;=11,", "&amp;$A1474&amp;"-"&amp;TEXT(($D1474-$C1474+1)+10,"00"),"")&amp;IF($C1474&gt;=12,", "&amp;$A1474&amp;"-"&amp;TEXT(($D1474-$C1474+1)+11,"00"),"")&amp;IF($C1474&gt;=13,", "&amp;$A1474&amp;"-"&amp;TEXT(($D1474-$C1474+1)+12,"00"),"")&amp;IF($C1474&gt;=14,", "&amp;$A1474&amp;"-"&amp;TEXT(($D1474-$C1474+1)+13,"00"),"")&amp;IF($C1474&gt;=15,", "&amp;$A1474&amp;"-"&amp;TEXT(($D1474-$C1474+1)+14,"00"),"")&amp;IF($C1474&gt;=16,", "&amp;$A1474&amp;"-"&amp;TEXT(($D1474-$C1474+1)+15,"00"),"")&amp;IF($C1474&gt;=17,", "&amp;$A1474&amp;"-"&amp;TEXT(($D1474-$C1474+1)+16,"00"),"")&amp;IF($C1474&gt;=18,", "&amp;$A1474&amp;"-"&amp;TEXT(($D1474-$C1474+1)+17,"00"),"")&amp;IF($C1474&gt;=19,", "&amp;$A1474&amp;"-"&amp;TEXT(($D1474-$C1474+1)+18,"00"),"")&amp;IF($C1474&gt;=20,", "&amp;$A1474&amp;"-"&amp;TEXT(($D1474-$C1474+1)+19,"00"),"")&amp;IF($C1474&gt;=21,", "&amp;$A1474&amp;"-"&amp;TEXT(($D1474-$C1474+1)+20,"00"),"")&amp;IF($C1474&gt;=22,", "&amp;$A1474&amp;"-"&amp;TEXT(($D1474-$C1474+1)+21,"00"),"")&amp;IF($C1474&gt;=23,", "&amp;$A1474&amp;"-"&amp;TEXT(($D1474-$C1474+1)+22,"00"),"")&amp;IF($C1474&gt;=24,", "&amp;$A1474&amp;"-"&amp;TEXT(($D1474-$C1474+1)+23,"00"),"")&amp;IF($C1474&gt;=25,", "&amp;$A1474&amp;"-"&amp;TEXT(($D1474-$C1474+1)+24,"00"),""))</f>
        <v/>
      </c>
      <c r="G1474">
        <f>IF($A1474="","",IF($E1474=1,$F1474,IF($F1474="",$G1473,IF($G1473="",$F1474,$G1473&amp;", "&amp;$F1474))))</f>
        <v/>
      </c>
      <c r="H1474">
        <f>IF($A1474="","",$A1474&amp;" ("&amp;$C1474&amp;")")</f>
        <v/>
      </c>
      <c r="I1474">
        <f>IF($A1474="","",IF($E1474=1,$H1474,$I1473&amp;", "&amp;$H1474))</f>
        <v/>
      </c>
      <c r="J1474">
        <f>IF($A1474="","",IF($E1474=1,$B1474,""))</f>
        <v/>
      </c>
      <c r="K1474">
        <f>IF($A1474="","",IF(COUNTIF($B$2:$B1474,$B1474)=COUNTIF($B$2:$B$1601,$B1474),$B1474,""))</f>
        <v/>
      </c>
    </row>
    <row r="1475">
      <c r="A1475">
        <f>IF('TMP Paste'!$E1475="","",'TMP Paste'!$E1475)</f>
        <v/>
      </c>
      <c r="B1475">
        <f>IF($A1475="","",COUNTIF('TMP Paste'!$B$2:$B1475,"?*"))</f>
        <v/>
      </c>
      <c r="C1475">
        <f>IF($A1475="","",IFERROR('TMP Paste'!$M1475*1,0))</f>
        <v/>
      </c>
      <c r="D1475">
        <f>IF($A1475="","",SUMIF($B$2:$B1475,$B1475,$C$2:$C1475))</f>
        <v/>
      </c>
      <c r="E1475">
        <f>IF($A1475="",0,IF('TMP Paste'!$B1475="",0,1))</f>
        <v/>
      </c>
      <c r="F1475">
        <f>IF(OR($A1475="",$C1475&lt;1),"",$A1475&amp;"-"&amp;TEXT(($D1475-$C1475+1),"00")&amp;IF($C1475&gt;=2,", "&amp;$A1475&amp;"-"&amp;TEXT(($D1475-$C1475+1)+1,"00"),"")&amp;IF($C1475&gt;=3,", "&amp;$A1475&amp;"-"&amp;TEXT(($D1475-$C1475+1)+2,"00"),"")&amp;IF($C1475&gt;=4,", "&amp;$A1475&amp;"-"&amp;TEXT(($D1475-$C1475+1)+3,"00"),"")&amp;IF($C1475&gt;=5,", "&amp;$A1475&amp;"-"&amp;TEXT(($D1475-$C1475+1)+4,"00"),"")&amp;IF($C1475&gt;=6,", "&amp;$A1475&amp;"-"&amp;TEXT(($D1475-$C1475+1)+5,"00"),"")&amp;IF($C1475&gt;=7,", "&amp;$A1475&amp;"-"&amp;TEXT(($D1475-$C1475+1)+6,"00"),"")&amp;IF($C1475&gt;=8,", "&amp;$A1475&amp;"-"&amp;TEXT(($D1475-$C1475+1)+7,"00"),"")&amp;IF($C1475&gt;=9,", "&amp;$A1475&amp;"-"&amp;TEXT(($D1475-$C1475+1)+8,"00"),"")&amp;IF($C1475&gt;=10,", "&amp;$A1475&amp;"-"&amp;TEXT(($D1475-$C1475+1)+9,"00"),"")&amp;IF($C1475&gt;=11,", "&amp;$A1475&amp;"-"&amp;TEXT(($D1475-$C1475+1)+10,"00"),"")&amp;IF($C1475&gt;=12,", "&amp;$A1475&amp;"-"&amp;TEXT(($D1475-$C1475+1)+11,"00"),"")&amp;IF($C1475&gt;=13,", "&amp;$A1475&amp;"-"&amp;TEXT(($D1475-$C1475+1)+12,"00"),"")&amp;IF($C1475&gt;=14,", "&amp;$A1475&amp;"-"&amp;TEXT(($D1475-$C1475+1)+13,"00"),"")&amp;IF($C1475&gt;=15,", "&amp;$A1475&amp;"-"&amp;TEXT(($D1475-$C1475+1)+14,"00"),"")&amp;IF($C1475&gt;=16,", "&amp;$A1475&amp;"-"&amp;TEXT(($D1475-$C1475+1)+15,"00"),"")&amp;IF($C1475&gt;=17,", "&amp;$A1475&amp;"-"&amp;TEXT(($D1475-$C1475+1)+16,"00"),"")&amp;IF($C1475&gt;=18,", "&amp;$A1475&amp;"-"&amp;TEXT(($D1475-$C1475+1)+17,"00"),"")&amp;IF($C1475&gt;=19,", "&amp;$A1475&amp;"-"&amp;TEXT(($D1475-$C1475+1)+18,"00"),"")&amp;IF($C1475&gt;=20,", "&amp;$A1475&amp;"-"&amp;TEXT(($D1475-$C1475+1)+19,"00"),"")&amp;IF($C1475&gt;=21,", "&amp;$A1475&amp;"-"&amp;TEXT(($D1475-$C1475+1)+20,"00"),"")&amp;IF($C1475&gt;=22,", "&amp;$A1475&amp;"-"&amp;TEXT(($D1475-$C1475+1)+21,"00"),"")&amp;IF($C1475&gt;=23,", "&amp;$A1475&amp;"-"&amp;TEXT(($D1475-$C1475+1)+22,"00"),"")&amp;IF($C1475&gt;=24,", "&amp;$A1475&amp;"-"&amp;TEXT(($D1475-$C1475+1)+23,"00"),"")&amp;IF($C1475&gt;=25,", "&amp;$A1475&amp;"-"&amp;TEXT(($D1475-$C1475+1)+24,"00"),""))</f>
        <v/>
      </c>
      <c r="G1475">
        <f>IF($A1475="","",IF($E1475=1,$F1475,IF($F1475="",$G1474,IF($G1474="",$F1475,$G1474&amp;", "&amp;$F1475))))</f>
        <v/>
      </c>
      <c r="H1475">
        <f>IF($A1475="","",$A1475&amp;" ("&amp;$C1475&amp;")")</f>
        <v/>
      </c>
      <c r="I1475">
        <f>IF($A1475="","",IF($E1475=1,$H1475,$I1474&amp;", "&amp;$H1475))</f>
        <v/>
      </c>
      <c r="J1475">
        <f>IF($A1475="","",IF($E1475=1,$B1475,""))</f>
        <v/>
      </c>
      <c r="K1475">
        <f>IF($A1475="","",IF(COUNTIF($B$2:$B1475,$B1475)=COUNTIF($B$2:$B$1601,$B1475),$B1475,""))</f>
        <v/>
      </c>
    </row>
    <row r="1476">
      <c r="A1476">
        <f>IF('TMP Paste'!$E1476="","",'TMP Paste'!$E1476)</f>
        <v/>
      </c>
      <c r="B1476">
        <f>IF($A1476="","",COUNTIF('TMP Paste'!$B$2:$B1476,"?*"))</f>
        <v/>
      </c>
      <c r="C1476">
        <f>IF($A1476="","",IFERROR('TMP Paste'!$M1476*1,0))</f>
        <v/>
      </c>
      <c r="D1476">
        <f>IF($A1476="","",SUMIF($B$2:$B1476,$B1476,$C$2:$C1476))</f>
        <v/>
      </c>
      <c r="E1476">
        <f>IF($A1476="",0,IF('TMP Paste'!$B1476="",0,1))</f>
        <v/>
      </c>
      <c r="F1476">
        <f>IF(OR($A1476="",$C1476&lt;1),"",$A1476&amp;"-"&amp;TEXT(($D1476-$C1476+1),"00")&amp;IF($C1476&gt;=2,", "&amp;$A1476&amp;"-"&amp;TEXT(($D1476-$C1476+1)+1,"00"),"")&amp;IF($C1476&gt;=3,", "&amp;$A1476&amp;"-"&amp;TEXT(($D1476-$C1476+1)+2,"00"),"")&amp;IF($C1476&gt;=4,", "&amp;$A1476&amp;"-"&amp;TEXT(($D1476-$C1476+1)+3,"00"),"")&amp;IF($C1476&gt;=5,", "&amp;$A1476&amp;"-"&amp;TEXT(($D1476-$C1476+1)+4,"00"),"")&amp;IF($C1476&gt;=6,", "&amp;$A1476&amp;"-"&amp;TEXT(($D1476-$C1476+1)+5,"00"),"")&amp;IF($C1476&gt;=7,", "&amp;$A1476&amp;"-"&amp;TEXT(($D1476-$C1476+1)+6,"00"),"")&amp;IF($C1476&gt;=8,", "&amp;$A1476&amp;"-"&amp;TEXT(($D1476-$C1476+1)+7,"00"),"")&amp;IF($C1476&gt;=9,", "&amp;$A1476&amp;"-"&amp;TEXT(($D1476-$C1476+1)+8,"00"),"")&amp;IF($C1476&gt;=10,", "&amp;$A1476&amp;"-"&amp;TEXT(($D1476-$C1476+1)+9,"00"),"")&amp;IF($C1476&gt;=11,", "&amp;$A1476&amp;"-"&amp;TEXT(($D1476-$C1476+1)+10,"00"),"")&amp;IF($C1476&gt;=12,", "&amp;$A1476&amp;"-"&amp;TEXT(($D1476-$C1476+1)+11,"00"),"")&amp;IF($C1476&gt;=13,", "&amp;$A1476&amp;"-"&amp;TEXT(($D1476-$C1476+1)+12,"00"),"")&amp;IF($C1476&gt;=14,", "&amp;$A1476&amp;"-"&amp;TEXT(($D1476-$C1476+1)+13,"00"),"")&amp;IF($C1476&gt;=15,", "&amp;$A1476&amp;"-"&amp;TEXT(($D1476-$C1476+1)+14,"00"),"")&amp;IF($C1476&gt;=16,", "&amp;$A1476&amp;"-"&amp;TEXT(($D1476-$C1476+1)+15,"00"),"")&amp;IF($C1476&gt;=17,", "&amp;$A1476&amp;"-"&amp;TEXT(($D1476-$C1476+1)+16,"00"),"")&amp;IF($C1476&gt;=18,", "&amp;$A1476&amp;"-"&amp;TEXT(($D1476-$C1476+1)+17,"00"),"")&amp;IF($C1476&gt;=19,", "&amp;$A1476&amp;"-"&amp;TEXT(($D1476-$C1476+1)+18,"00"),"")&amp;IF($C1476&gt;=20,", "&amp;$A1476&amp;"-"&amp;TEXT(($D1476-$C1476+1)+19,"00"),"")&amp;IF($C1476&gt;=21,", "&amp;$A1476&amp;"-"&amp;TEXT(($D1476-$C1476+1)+20,"00"),"")&amp;IF($C1476&gt;=22,", "&amp;$A1476&amp;"-"&amp;TEXT(($D1476-$C1476+1)+21,"00"),"")&amp;IF($C1476&gt;=23,", "&amp;$A1476&amp;"-"&amp;TEXT(($D1476-$C1476+1)+22,"00"),"")&amp;IF($C1476&gt;=24,", "&amp;$A1476&amp;"-"&amp;TEXT(($D1476-$C1476+1)+23,"00"),"")&amp;IF($C1476&gt;=25,", "&amp;$A1476&amp;"-"&amp;TEXT(($D1476-$C1476+1)+24,"00"),""))</f>
        <v/>
      </c>
      <c r="G1476">
        <f>IF($A1476="","",IF($E1476=1,$F1476,IF($F1476="",$G1475,IF($G1475="",$F1476,$G1475&amp;", "&amp;$F1476))))</f>
        <v/>
      </c>
      <c r="H1476">
        <f>IF($A1476="","",$A1476&amp;" ("&amp;$C1476&amp;")")</f>
        <v/>
      </c>
      <c r="I1476">
        <f>IF($A1476="","",IF($E1476=1,$H1476,$I1475&amp;", "&amp;$H1476))</f>
        <v/>
      </c>
      <c r="J1476">
        <f>IF($A1476="","",IF($E1476=1,$B1476,""))</f>
        <v/>
      </c>
      <c r="K1476">
        <f>IF($A1476="","",IF(COUNTIF($B$2:$B1476,$B1476)=COUNTIF($B$2:$B$1601,$B1476),$B1476,""))</f>
        <v/>
      </c>
    </row>
    <row r="1477">
      <c r="A1477">
        <f>IF('TMP Paste'!$E1477="","",'TMP Paste'!$E1477)</f>
        <v/>
      </c>
      <c r="B1477">
        <f>IF($A1477="","",COUNTIF('TMP Paste'!$B$2:$B1477,"?*"))</f>
        <v/>
      </c>
      <c r="C1477">
        <f>IF($A1477="","",IFERROR('TMP Paste'!$M1477*1,0))</f>
        <v/>
      </c>
      <c r="D1477">
        <f>IF($A1477="","",SUMIF($B$2:$B1477,$B1477,$C$2:$C1477))</f>
        <v/>
      </c>
      <c r="E1477">
        <f>IF($A1477="",0,IF('TMP Paste'!$B1477="",0,1))</f>
        <v/>
      </c>
      <c r="F1477">
        <f>IF(OR($A1477="",$C1477&lt;1),"",$A1477&amp;"-"&amp;TEXT(($D1477-$C1477+1),"00")&amp;IF($C1477&gt;=2,", "&amp;$A1477&amp;"-"&amp;TEXT(($D1477-$C1477+1)+1,"00"),"")&amp;IF($C1477&gt;=3,", "&amp;$A1477&amp;"-"&amp;TEXT(($D1477-$C1477+1)+2,"00"),"")&amp;IF($C1477&gt;=4,", "&amp;$A1477&amp;"-"&amp;TEXT(($D1477-$C1477+1)+3,"00"),"")&amp;IF($C1477&gt;=5,", "&amp;$A1477&amp;"-"&amp;TEXT(($D1477-$C1477+1)+4,"00"),"")&amp;IF($C1477&gt;=6,", "&amp;$A1477&amp;"-"&amp;TEXT(($D1477-$C1477+1)+5,"00"),"")&amp;IF($C1477&gt;=7,", "&amp;$A1477&amp;"-"&amp;TEXT(($D1477-$C1477+1)+6,"00"),"")&amp;IF($C1477&gt;=8,", "&amp;$A1477&amp;"-"&amp;TEXT(($D1477-$C1477+1)+7,"00"),"")&amp;IF($C1477&gt;=9,", "&amp;$A1477&amp;"-"&amp;TEXT(($D1477-$C1477+1)+8,"00"),"")&amp;IF($C1477&gt;=10,", "&amp;$A1477&amp;"-"&amp;TEXT(($D1477-$C1477+1)+9,"00"),"")&amp;IF($C1477&gt;=11,", "&amp;$A1477&amp;"-"&amp;TEXT(($D1477-$C1477+1)+10,"00"),"")&amp;IF($C1477&gt;=12,", "&amp;$A1477&amp;"-"&amp;TEXT(($D1477-$C1477+1)+11,"00"),"")&amp;IF($C1477&gt;=13,", "&amp;$A1477&amp;"-"&amp;TEXT(($D1477-$C1477+1)+12,"00"),"")&amp;IF($C1477&gt;=14,", "&amp;$A1477&amp;"-"&amp;TEXT(($D1477-$C1477+1)+13,"00"),"")&amp;IF($C1477&gt;=15,", "&amp;$A1477&amp;"-"&amp;TEXT(($D1477-$C1477+1)+14,"00"),"")&amp;IF($C1477&gt;=16,", "&amp;$A1477&amp;"-"&amp;TEXT(($D1477-$C1477+1)+15,"00"),"")&amp;IF($C1477&gt;=17,", "&amp;$A1477&amp;"-"&amp;TEXT(($D1477-$C1477+1)+16,"00"),"")&amp;IF($C1477&gt;=18,", "&amp;$A1477&amp;"-"&amp;TEXT(($D1477-$C1477+1)+17,"00"),"")&amp;IF($C1477&gt;=19,", "&amp;$A1477&amp;"-"&amp;TEXT(($D1477-$C1477+1)+18,"00"),"")&amp;IF($C1477&gt;=20,", "&amp;$A1477&amp;"-"&amp;TEXT(($D1477-$C1477+1)+19,"00"),"")&amp;IF($C1477&gt;=21,", "&amp;$A1477&amp;"-"&amp;TEXT(($D1477-$C1477+1)+20,"00"),"")&amp;IF($C1477&gt;=22,", "&amp;$A1477&amp;"-"&amp;TEXT(($D1477-$C1477+1)+21,"00"),"")&amp;IF($C1477&gt;=23,", "&amp;$A1477&amp;"-"&amp;TEXT(($D1477-$C1477+1)+22,"00"),"")&amp;IF($C1477&gt;=24,", "&amp;$A1477&amp;"-"&amp;TEXT(($D1477-$C1477+1)+23,"00"),"")&amp;IF($C1477&gt;=25,", "&amp;$A1477&amp;"-"&amp;TEXT(($D1477-$C1477+1)+24,"00"),""))</f>
        <v/>
      </c>
      <c r="G1477">
        <f>IF($A1477="","",IF($E1477=1,$F1477,IF($F1477="",$G1476,IF($G1476="",$F1477,$G1476&amp;", "&amp;$F1477))))</f>
        <v/>
      </c>
      <c r="H1477">
        <f>IF($A1477="","",$A1477&amp;" ("&amp;$C1477&amp;")")</f>
        <v/>
      </c>
      <c r="I1477">
        <f>IF($A1477="","",IF($E1477=1,$H1477,$I1476&amp;", "&amp;$H1477))</f>
        <v/>
      </c>
      <c r="J1477">
        <f>IF($A1477="","",IF($E1477=1,$B1477,""))</f>
        <v/>
      </c>
      <c r="K1477">
        <f>IF($A1477="","",IF(COUNTIF($B$2:$B1477,$B1477)=COUNTIF($B$2:$B$1601,$B1477),$B1477,""))</f>
        <v/>
      </c>
    </row>
    <row r="1478">
      <c r="A1478">
        <f>IF('TMP Paste'!$E1478="","",'TMP Paste'!$E1478)</f>
        <v/>
      </c>
      <c r="B1478">
        <f>IF($A1478="","",COUNTIF('TMP Paste'!$B$2:$B1478,"?*"))</f>
        <v/>
      </c>
      <c r="C1478">
        <f>IF($A1478="","",IFERROR('TMP Paste'!$M1478*1,0))</f>
        <v/>
      </c>
      <c r="D1478">
        <f>IF($A1478="","",SUMIF($B$2:$B1478,$B1478,$C$2:$C1478))</f>
        <v/>
      </c>
      <c r="E1478">
        <f>IF($A1478="",0,IF('TMP Paste'!$B1478="",0,1))</f>
        <v/>
      </c>
      <c r="F1478">
        <f>IF(OR($A1478="",$C1478&lt;1),"",$A1478&amp;"-"&amp;TEXT(($D1478-$C1478+1),"00")&amp;IF($C1478&gt;=2,", "&amp;$A1478&amp;"-"&amp;TEXT(($D1478-$C1478+1)+1,"00"),"")&amp;IF($C1478&gt;=3,", "&amp;$A1478&amp;"-"&amp;TEXT(($D1478-$C1478+1)+2,"00"),"")&amp;IF($C1478&gt;=4,", "&amp;$A1478&amp;"-"&amp;TEXT(($D1478-$C1478+1)+3,"00"),"")&amp;IF($C1478&gt;=5,", "&amp;$A1478&amp;"-"&amp;TEXT(($D1478-$C1478+1)+4,"00"),"")&amp;IF($C1478&gt;=6,", "&amp;$A1478&amp;"-"&amp;TEXT(($D1478-$C1478+1)+5,"00"),"")&amp;IF($C1478&gt;=7,", "&amp;$A1478&amp;"-"&amp;TEXT(($D1478-$C1478+1)+6,"00"),"")&amp;IF($C1478&gt;=8,", "&amp;$A1478&amp;"-"&amp;TEXT(($D1478-$C1478+1)+7,"00"),"")&amp;IF($C1478&gt;=9,", "&amp;$A1478&amp;"-"&amp;TEXT(($D1478-$C1478+1)+8,"00"),"")&amp;IF($C1478&gt;=10,", "&amp;$A1478&amp;"-"&amp;TEXT(($D1478-$C1478+1)+9,"00"),"")&amp;IF($C1478&gt;=11,", "&amp;$A1478&amp;"-"&amp;TEXT(($D1478-$C1478+1)+10,"00"),"")&amp;IF($C1478&gt;=12,", "&amp;$A1478&amp;"-"&amp;TEXT(($D1478-$C1478+1)+11,"00"),"")&amp;IF($C1478&gt;=13,", "&amp;$A1478&amp;"-"&amp;TEXT(($D1478-$C1478+1)+12,"00"),"")&amp;IF($C1478&gt;=14,", "&amp;$A1478&amp;"-"&amp;TEXT(($D1478-$C1478+1)+13,"00"),"")&amp;IF($C1478&gt;=15,", "&amp;$A1478&amp;"-"&amp;TEXT(($D1478-$C1478+1)+14,"00"),"")&amp;IF($C1478&gt;=16,", "&amp;$A1478&amp;"-"&amp;TEXT(($D1478-$C1478+1)+15,"00"),"")&amp;IF($C1478&gt;=17,", "&amp;$A1478&amp;"-"&amp;TEXT(($D1478-$C1478+1)+16,"00"),"")&amp;IF($C1478&gt;=18,", "&amp;$A1478&amp;"-"&amp;TEXT(($D1478-$C1478+1)+17,"00"),"")&amp;IF($C1478&gt;=19,", "&amp;$A1478&amp;"-"&amp;TEXT(($D1478-$C1478+1)+18,"00"),"")&amp;IF($C1478&gt;=20,", "&amp;$A1478&amp;"-"&amp;TEXT(($D1478-$C1478+1)+19,"00"),"")&amp;IF($C1478&gt;=21,", "&amp;$A1478&amp;"-"&amp;TEXT(($D1478-$C1478+1)+20,"00"),"")&amp;IF($C1478&gt;=22,", "&amp;$A1478&amp;"-"&amp;TEXT(($D1478-$C1478+1)+21,"00"),"")&amp;IF($C1478&gt;=23,", "&amp;$A1478&amp;"-"&amp;TEXT(($D1478-$C1478+1)+22,"00"),"")&amp;IF($C1478&gt;=24,", "&amp;$A1478&amp;"-"&amp;TEXT(($D1478-$C1478+1)+23,"00"),"")&amp;IF($C1478&gt;=25,", "&amp;$A1478&amp;"-"&amp;TEXT(($D1478-$C1478+1)+24,"00"),""))</f>
        <v/>
      </c>
      <c r="G1478">
        <f>IF($A1478="","",IF($E1478=1,$F1478,IF($F1478="",$G1477,IF($G1477="",$F1478,$G1477&amp;", "&amp;$F1478))))</f>
        <v/>
      </c>
      <c r="H1478">
        <f>IF($A1478="","",$A1478&amp;" ("&amp;$C1478&amp;")")</f>
        <v/>
      </c>
      <c r="I1478">
        <f>IF($A1478="","",IF($E1478=1,$H1478,$I1477&amp;", "&amp;$H1478))</f>
        <v/>
      </c>
      <c r="J1478">
        <f>IF($A1478="","",IF($E1478=1,$B1478,""))</f>
        <v/>
      </c>
      <c r="K1478">
        <f>IF($A1478="","",IF(COUNTIF($B$2:$B1478,$B1478)=COUNTIF($B$2:$B$1601,$B1478),$B1478,""))</f>
        <v/>
      </c>
    </row>
    <row r="1479">
      <c r="A1479">
        <f>IF('TMP Paste'!$E1479="","",'TMP Paste'!$E1479)</f>
        <v/>
      </c>
      <c r="B1479">
        <f>IF($A1479="","",COUNTIF('TMP Paste'!$B$2:$B1479,"?*"))</f>
        <v/>
      </c>
      <c r="C1479">
        <f>IF($A1479="","",IFERROR('TMP Paste'!$M1479*1,0))</f>
        <v/>
      </c>
      <c r="D1479">
        <f>IF($A1479="","",SUMIF($B$2:$B1479,$B1479,$C$2:$C1479))</f>
        <v/>
      </c>
      <c r="E1479">
        <f>IF($A1479="",0,IF('TMP Paste'!$B1479="",0,1))</f>
        <v/>
      </c>
      <c r="F1479">
        <f>IF(OR($A1479="",$C1479&lt;1),"",$A1479&amp;"-"&amp;TEXT(($D1479-$C1479+1),"00")&amp;IF($C1479&gt;=2,", "&amp;$A1479&amp;"-"&amp;TEXT(($D1479-$C1479+1)+1,"00"),"")&amp;IF($C1479&gt;=3,", "&amp;$A1479&amp;"-"&amp;TEXT(($D1479-$C1479+1)+2,"00"),"")&amp;IF($C1479&gt;=4,", "&amp;$A1479&amp;"-"&amp;TEXT(($D1479-$C1479+1)+3,"00"),"")&amp;IF($C1479&gt;=5,", "&amp;$A1479&amp;"-"&amp;TEXT(($D1479-$C1479+1)+4,"00"),"")&amp;IF($C1479&gt;=6,", "&amp;$A1479&amp;"-"&amp;TEXT(($D1479-$C1479+1)+5,"00"),"")&amp;IF($C1479&gt;=7,", "&amp;$A1479&amp;"-"&amp;TEXT(($D1479-$C1479+1)+6,"00"),"")&amp;IF($C1479&gt;=8,", "&amp;$A1479&amp;"-"&amp;TEXT(($D1479-$C1479+1)+7,"00"),"")&amp;IF($C1479&gt;=9,", "&amp;$A1479&amp;"-"&amp;TEXT(($D1479-$C1479+1)+8,"00"),"")&amp;IF($C1479&gt;=10,", "&amp;$A1479&amp;"-"&amp;TEXT(($D1479-$C1479+1)+9,"00"),"")&amp;IF($C1479&gt;=11,", "&amp;$A1479&amp;"-"&amp;TEXT(($D1479-$C1479+1)+10,"00"),"")&amp;IF($C1479&gt;=12,", "&amp;$A1479&amp;"-"&amp;TEXT(($D1479-$C1479+1)+11,"00"),"")&amp;IF($C1479&gt;=13,", "&amp;$A1479&amp;"-"&amp;TEXT(($D1479-$C1479+1)+12,"00"),"")&amp;IF($C1479&gt;=14,", "&amp;$A1479&amp;"-"&amp;TEXT(($D1479-$C1479+1)+13,"00"),"")&amp;IF($C1479&gt;=15,", "&amp;$A1479&amp;"-"&amp;TEXT(($D1479-$C1479+1)+14,"00"),"")&amp;IF($C1479&gt;=16,", "&amp;$A1479&amp;"-"&amp;TEXT(($D1479-$C1479+1)+15,"00"),"")&amp;IF($C1479&gt;=17,", "&amp;$A1479&amp;"-"&amp;TEXT(($D1479-$C1479+1)+16,"00"),"")&amp;IF($C1479&gt;=18,", "&amp;$A1479&amp;"-"&amp;TEXT(($D1479-$C1479+1)+17,"00"),"")&amp;IF($C1479&gt;=19,", "&amp;$A1479&amp;"-"&amp;TEXT(($D1479-$C1479+1)+18,"00"),"")&amp;IF($C1479&gt;=20,", "&amp;$A1479&amp;"-"&amp;TEXT(($D1479-$C1479+1)+19,"00"),"")&amp;IF($C1479&gt;=21,", "&amp;$A1479&amp;"-"&amp;TEXT(($D1479-$C1479+1)+20,"00"),"")&amp;IF($C1479&gt;=22,", "&amp;$A1479&amp;"-"&amp;TEXT(($D1479-$C1479+1)+21,"00"),"")&amp;IF($C1479&gt;=23,", "&amp;$A1479&amp;"-"&amp;TEXT(($D1479-$C1479+1)+22,"00"),"")&amp;IF($C1479&gt;=24,", "&amp;$A1479&amp;"-"&amp;TEXT(($D1479-$C1479+1)+23,"00"),"")&amp;IF($C1479&gt;=25,", "&amp;$A1479&amp;"-"&amp;TEXT(($D1479-$C1479+1)+24,"00"),""))</f>
        <v/>
      </c>
      <c r="G1479">
        <f>IF($A1479="","",IF($E1479=1,$F1479,IF($F1479="",$G1478,IF($G1478="",$F1479,$G1478&amp;", "&amp;$F1479))))</f>
        <v/>
      </c>
      <c r="H1479">
        <f>IF($A1479="","",$A1479&amp;" ("&amp;$C1479&amp;")")</f>
        <v/>
      </c>
      <c r="I1479">
        <f>IF($A1479="","",IF($E1479=1,$H1479,$I1478&amp;", "&amp;$H1479))</f>
        <v/>
      </c>
      <c r="J1479">
        <f>IF($A1479="","",IF($E1479=1,$B1479,""))</f>
        <v/>
      </c>
      <c r="K1479">
        <f>IF($A1479="","",IF(COUNTIF($B$2:$B1479,$B1479)=COUNTIF($B$2:$B$1601,$B1479),$B1479,""))</f>
        <v/>
      </c>
    </row>
    <row r="1480">
      <c r="A1480">
        <f>IF('TMP Paste'!$E1480="","",'TMP Paste'!$E1480)</f>
        <v/>
      </c>
      <c r="B1480">
        <f>IF($A1480="","",COUNTIF('TMP Paste'!$B$2:$B1480,"?*"))</f>
        <v/>
      </c>
      <c r="C1480">
        <f>IF($A1480="","",IFERROR('TMP Paste'!$M1480*1,0))</f>
        <v/>
      </c>
      <c r="D1480">
        <f>IF($A1480="","",SUMIF($B$2:$B1480,$B1480,$C$2:$C1480))</f>
        <v/>
      </c>
      <c r="E1480">
        <f>IF($A1480="",0,IF('TMP Paste'!$B1480="",0,1))</f>
        <v/>
      </c>
      <c r="F1480">
        <f>IF(OR($A1480="",$C1480&lt;1),"",$A1480&amp;"-"&amp;TEXT(($D1480-$C1480+1),"00")&amp;IF($C1480&gt;=2,", "&amp;$A1480&amp;"-"&amp;TEXT(($D1480-$C1480+1)+1,"00"),"")&amp;IF($C1480&gt;=3,", "&amp;$A1480&amp;"-"&amp;TEXT(($D1480-$C1480+1)+2,"00"),"")&amp;IF($C1480&gt;=4,", "&amp;$A1480&amp;"-"&amp;TEXT(($D1480-$C1480+1)+3,"00"),"")&amp;IF($C1480&gt;=5,", "&amp;$A1480&amp;"-"&amp;TEXT(($D1480-$C1480+1)+4,"00"),"")&amp;IF($C1480&gt;=6,", "&amp;$A1480&amp;"-"&amp;TEXT(($D1480-$C1480+1)+5,"00"),"")&amp;IF($C1480&gt;=7,", "&amp;$A1480&amp;"-"&amp;TEXT(($D1480-$C1480+1)+6,"00"),"")&amp;IF($C1480&gt;=8,", "&amp;$A1480&amp;"-"&amp;TEXT(($D1480-$C1480+1)+7,"00"),"")&amp;IF($C1480&gt;=9,", "&amp;$A1480&amp;"-"&amp;TEXT(($D1480-$C1480+1)+8,"00"),"")&amp;IF($C1480&gt;=10,", "&amp;$A1480&amp;"-"&amp;TEXT(($D1480-$C1480+1)+9,"00"),"")&amp;IF($C1480&gt;=11,", "&amp;$A1480&amp;"-"&amp;TEXT(($D1480-$C1480+1)+10,"00"),"")&amp;IF($C1480&gt;=12,", "&amp;$A1480&amp;"-"&amp;TEXT(($D1480-$C1480+1)+11,"00"),"")&amp;IF($C1480&gt;=13,", "&amp;$A1480&amp;"-"&amp;TEXT(($D1480-$C1480+1)+12,"00"),"")&amp;IF($C1480&gt;=14,", "&amp;$A1480&amp;"-"&amp;TEXT(($D1480-$C1480+1)+13,"00"),"")&amp;IF($C1480&gt;=15,", "&amp;$A1480&amp;"-"&amp;TEXT(($D1480-$C1480+1)+14,"00"),"")&amp;IF($C1480&gt;=16,", "&amp;$A1480&amp;"-"&amp;TEXT(($D1480-$C1480+1)+15,"00"),"")&amp;IF($C1480&gt;=17,", "&amp;$A1480&amp;"-"&amp;TEXT(($D1480-$C1480+1)+16,"00"),"")&amp;IF($C1480&gt;=18,", "&amp;$A1480&amp;"-"&amp;TEXT(($D1480-$C1480+1)+17,"00"),"")&amp;IF($C1480&gt;=19,", "&amp;$A1480&amp;"-"&amp;TEXT(($D1480-$C1480+1)+18,"00"),"")&amp;IF($C1480&gt;=20,", "&amp;$A1480&amp;"-"&amp;TEXT(($D1480-$C1480+1)+19,"00"),"")&amp;IF($C1480&gt;=21,", "&amp;$A1480&amp;"-"&amp;TEXT(($D1480-$C1480+1)+20,"00"),"")&amp;IF($C1480&gt;=22,", "&amp;$A1480&amp;"-"&amp;TEXT(($D1480-$C1480+1)+21,"00"),"")&amp;IF($C1480&gt;=23,", "&amp;$A1480&amp;"-"&amp;TEXT(($D1480-$C1480+1)+22,"00"),"")&amp;IF($C1480&gt;=24,", "&amp;$A1480&amp;"-"&amp;TEXT(($D1480-$C1480+1)+23,"00"),"")&amp;IF($C1480&gt;=25,", "&amp;$A1480&amp;"-"&amp;TEXT(($D1480-$C1480+1)+24,"00"),""))</f>
        <v/>
      </c>
      <c r="G1480">
        <f>IF($A1480="","",IF($E1480=1,$F1480,IF($F1480="",$G1479,IF($G1479="",$F1480,$G1479&amp;", "&amp;$F1480))))</f>
        <v/>
      </c>
      <c r="H1480">
        <f>IF($A1480="","",$A1480&amp;" ("&amp;$C1480&amp;")")</f>
        <v/>
      </c>
      <c r="I1480">
        <f>IF($A1480="","",IF($E1480=1,$H1480,$I1479&amp;", "&amp;$H1480))</f>
        <v/>
      </c>
      <c r="J1480">
        <f>IF($A1480="","",IF($E1480=1,$B1480,""))</f>
        <v/>
      </c>
      <c r="K1480">
        <f>IF($A1480="","",IF(COUNTIF($B$2:$B1480,$B1480)=COUNTIF($B$2:$B$1601,$B1480),$B1480,""))</f>
        <v/>
      </c>
    </row>
    <row r="1481">
      <c r="A1481">
        <f>IF('TMP Paste'!$E1481="","",'TMP Paste'!$E1481)</f>
        <v/>
      </c>
      <c r="B1481">
        <f>IF($A1481="","",COUNTIF('TMP Paste'!$B$2:$B1481,"?*"))</f>
        <v/>
      </c>
      <c r="C1481">
        <f>IF($A1481="","",IFERROR('TMP Paste'!$M1481*1,0))</f>
        <v/>
      </c>
      <c r="D1481">
        <f>IF($A1481="","",SUMIF($B$2:$B1481,$B1481,$C$2:$C1481))</f>
        <v/>
      </c>
      <c r="E1481">
        <f>IF($A1481="",0,IF('TMP Paste'!$B1481="",0,1))</f>
        <v/>
      </c>
      <c r="F1481">
        <f>IF(OR($A1481="",$C1481&lt;1),"",$A1481&amp;"-"&amp;TEXT(($D1481-$C1481+1),"00")&amp;IF($C1481&gt;=2,", "&amp;$A1481&amp;"-"&amp;TEXT(($D1481-$C1481+1)+1,"00"),"")&amp;IF($C1481&gt;=3,", "&amp;$A1481&amp;"-"&amp;TEXT(($D1481-$C1481+1)+2,"00"),"")&amp;IF($C1481&gt;=4,", "&amp;$A1481&amp;"-"&amp;TEXT(($D1481-$C1481+1)+3,"00"),"")&amp;IF($C1481&gt;=5,", "&amp;$A1481&amp;"-"&amp;TEXT(($D1481-$C1481+1)+4,"00"),"")&amp;IF($C1481&gt;=6,", "&amp;$A1481&amp;"-"&amp;TEXT(($D1481-$C1481+1)+5,"00"),"")&amp;IF($C1481&gt;=7,", "&amp;$A1481&amp;"-"&amp;TEXT(($D1481-$C1481+1)+6,"00"),"")&amp;IF($C1481&gt;=8,", "&amp;$A1481&amp;"-"&amp;TEXT(($D1481-$C1481+1)+7,"00"),"")&amp;IF($C1481&gt;=9,", "&amp;$A1481&amp;"-"&amp;TEXT(($D1481-$C1481+1)+8,"00"),"")&amp;IF($C1481&gt;=10,", "&amp;$A1481&amp;"-"&amp;TEXT(($D1481-$C1481+1)+9,"00"),"")&amp;IF($C1481&gt;=11,", "&amp;$A1481&amp;"-"&amp;TEXT(($D1481-$C1481+1)+10,"00"),"")&amp;IF($C1481&gt;=12,", "&amp;$A1481&amp;"-"&amp;TEXT(($D1481-$C1481+1)+11,"00"),"")&amp;IF($C1481&gt;=13,", "&amp;$A1481&amp;"-"&amp;TEXT(($D1481-$C1481+1)+12,"00"),"")&amp;IF($C1481&gt;=14,", "&amp;$A1481&amp;"-"&amp;TEXT(($D1481-$C1481+1)+13,"00"),"")&amp;IF($C1481&gt;=15,", "&amp;$A1481&amp;"-"&amp;TEXT(($D1481-$C1481+1)+14,"00"),"")&amp;IF($C1481&gt;=16,", "&amp;$A1481&amp;"-"&amp;TEXT(($D1481-$C1481+1)+15,"00"),"")&amp;IF($C1481&gt;=17,", "&amp;$A1481&amp;"-"&amp;TEXT(($D1481-$C1481+1)+16,"00"),"")&amp;IF($C1481&gt;=18,", "&amp;$A1481&amp;"-"&amp;TEXT(($D1481-$C1481+1)+17,"00"),"")&amp;IF($C1481&gt;=19,", "&amp;$A1481&amp;"-"&amp;TEXT(($D1481-$C1481+1)+18,"00"),"")&amp;IF($C1481&gt;=20,", "&amp;$A1481&amp;"-"&amp;TEXT(($D1481-$C1481+1)+19,"00"),"")&amp;IF($C1481&gt;=21,", "&amp;$A1481&amp;"-"&amp;TEXT(($D1481-$C1481+1)+20,"00"),"")&amp;IF($C1481&gt;=22,", "&amp;$A1481&amp;"-"&amp;TEXT(($D1481-$C1481+1)+21,"00"),"")&amp;IF($C1481&gt;=23,", "&amp;$A1481&amp;"-"&amp;TEXT(($D1481-$C1481+1)+22,"00"),"")&amp;IF($C1481&gt;=24,", "&amp;$A1481&amp;"-"&amp;TEXT(($D1481-$C1481+1)+23,"00"),"")&amp;IF($C1481&gt;=25,", "&amp;$A1481&amp;"-"&amp;TEXT(($D1481-$C1481+1)+24,"00"),""))</f>
        <v/>
      </c>
      <c r="G1481">
        <f>IF($A1481="","",IF($E1481=1,$F1481,IF($F1481="",$G1480,IF($G1480="",$F1481,$G1480&amp;", "&amp;$F1481))))</f>
        <v/>
      </c>
      <c r="H1481">
        <f>IF($A1481="","",$A1481&amp;" ("&amp;$C1481&amp;")")</f>
        <v/>
      </c>
      <c r="I1481">
        <f>IF($A1481="","",IF($E1481=1,$H1481,$I1480&amp;", "&amp;$H1481))</f>
        <v/>
      </c>
      <c r="J1481">
        <f>IF($A1481="","",IF($E1481=1,$B1481,""))</f>
        <v/>
      </c>
      <c r="K1481">
        <f>IF($A1481="","",IF(COUNTIF($B$2:$B1481,$B1481)=COUNTIF($B$2:$B$1601,$B1481),$B1481,""))</f>
        <v/>
      </c>
    </row>
    <row r="1482">
      <c r="A1482">
        <f>IF('TMP Paste'!$E1482="","",'TMP Paste'!$E1482)</f>
        <v/>
      </c>
      <c r="B1482">
        <f>IF($A1482="","",COUNTIF('TMP Paste'!$B$2:$B1482,"?*"))</f>
        <v/>
      </c>
      <c r="C1482">
        <f>IF($A1482="","",IFERROR('TMP Paste'!$M1482*1,0))</f>
        <v/>
      </c>
      <c r="D1482">
        <f>IF($A1482="","",SUMIF($B$2:$B1482,$B1482,$C$2:$C1482))</f>
        <v/>
      </c>
      <c r="E1482">
        <f>IF($A1482="",0,IF('TMP Paste'!$B1482="",0,1))</f>
        <v/>
      </c>
      <c r="F1482">
        <f>IF(OR($A1482="",$C1482&lt;1),"",$A1482&amp;"-"&amp;TEXT(($D1482-$C1482+1),"00")&amp;IF($C1482&gt;=2,", "&amp;$A1482&amp;"-"&amp;TEXT(($D1482-$C1482+1)+1,"00"),"")&amp;IF($C1482&gt;=3,", "&amp;$A1482&amp;"-"&amp;TEXT(($D1482-$C1482+1)+2,"00"),"")&amp;IF($C1482&gt;=4,", "&amp;$A1482&amp;"-"&amp;TEXT(($D1482-$C1482+1)+3,"00"),"")&amp;IF($C1482&gt;=5,", "&amp;$A1482&amp;"-"&amp;TEXT(($D1482-$C1482+1)+4,"00"),"")&amp;IF($C1482&gt;=6,", "&amp;$A1482&amp;"-"&amp;TEXT(($D1482-$C1482+1)+5,"00"),"")&amp;IF($C1482&gt;=7,", "&amp;$A1482&amp;"-"&amp;TEXT(($D1482-$C1482+1)+6,"00"),"")&amp;IF($C1482&gt;=8,", "&amp;$A1482&amp;"-"&amp;TEXT(($D1482-$C1482+1)+7,"00"),"")&amp;IF($C1482&gt;=9,", "&amp;$A1482&amp;"-"&amp;TEXT(($D1482-$C1482+1)+8,"00"),"")&amp;IF($C1482&gt;=10,", "&amp;$A1482&amp;"-"&amp;TEXT(($D1482-$C1482+1)+9,"00"),"")&amp;IF($C1482&gt;=11,", "&amp;$A1482&amp;"-"&amp;TEXT(($D1482-$C1482+1)+10,"00"),"")&amp;IF($C1482&gt;=12,", "&amp;$A1482&amp;"-"&amp;TEXT(($D1482-$C1482+1)+11,"00"),"")&amp;IF($C1482&gt;=13,", "&amp;$A1482&amp;"-"&amp;TEXT(($D1482-$C1482+1)+12,"00"),"")&amp;IF($C1482&gt;=14,", "&amp;$A1482&amp;"-"&amp;TEXT(($D1482-$C1482+1)+13,"00"),"")&amp;IF($C1482&gt;=15,", "&amp;$A1482&amp;"-"&amp;TEXT(($D1482-$C1482+1)+14,"00"),"")&amp;IF($C1482&gt;=16,", "&amp;$A1482&amp;"-"&amp;TEXT(($D1482-$C1482+1)+15,"00"),"")&amp;IF($C1482&gt;=17,", "&amp;$A1482&amp;"-"&amp;TEXT(($D1482-$C1482+1)+16,"00"),"")&amp;IF($C1482&gt;=18,", "&amp;$A1482&amp;"-"&amp;TEXT(($D1482-$C1482+1)+17,"00"),"")&amp;IF($C1482&gt;=19,", "&amp;$A1482&amp;"-"&amp;TEXT(($D1482-$C1482+1)+18,"00"),"")&amp;IF($C1482&gt;=20,", "&amp;$A1482&amp;"-"&amp;TEXT(($D1482-$C1482+1)+19,"00"),"")&amp;IF($C1482&gt;=21,", "&amp;$A1482&amp;"-"&amp;TEXT(($D1482-$C1482+1)+20,"00"),"")&amp;IF($C1482&gt;=22,", "&amp;$A1482&amp;"-"&amp;TEXT(($D1482-$C1482+1)+21,"00"),"")&amp;IF($C1482&gt;=23,", "&amp;$A1482&amp;"-"&amp;TEXT(($D1482-$C1482+1)+22,"00"),"")&amp;IF($C1482&gt;=24,", "&amp;$A1482&amp;"-"&amp;TEXT(($D1482-$C1482+1)+23,"00"),"")&amp;IF($C1482&gt;=25,", "&amp;$A1482&amp;"-"&amp;TEXT(($D1482-$C1482+1)+24,"00"),""))</f>
        <v/>
      </c>
      <c r="G1482">
        <f>IF($A1482="","",IF($E1482=1,$F1482,IF($F1482="",$G1481,IF($G1481="",$F1482,$G1481&amp;", "&amp;$F1482))))</f>
        <v/>
      </c>
      <c r="H1482">
        <f>IF($A1482="","",$A1482&amp;" ("&amp;$C1482&amp;")")</f>
        <v/>
      </c>
      <c r="I1482">
        <f>IF($A1482="","",IF($E1482=1,$H1482,$I1481&amp;", "&amp;$H1482))</f>
        <v/>
      </c>
      <c r="J1482">
        <f>IF($A1482="","",IF($E1482=1,$B1482,""))</f>
        <v/>
      </c>
      <c r="K1482">
        <f>IF($A1482="","",IF(COUNTIF($B$2:$B1482,$B1482)=COUNTIF($B$2:$B$1601,$B1482),$B1482,""))</f>
        <v/>
      </c>
    </row>
    <row r="1483">
      <c r="A1483">
        <f>IF('TMP Paste'!$E1483="","",'TMP Paste'!$E1483)</f>
        <v/>
      </c>
      <c r="B1483">
        <f>IF($A1483="","",COUNTIF('TMP Paste'!$B$2:$B1483,"?*"))</f>
        <v/>
      </c>
      <c r="C1483">
        <f>IF($A1483="","",IFERROR('TMP Paste'!$M1483*1,0))</f>
        <v/>
      </c>
      <c r="D1483">
        <f>IF($A1483="","",SUMIF($B$2:$B1483,$B1483,$C$2:$C1483))</f>
        <v/>
      </c>
      <c r="E1483">
        <f>IF($A1483="",0,IF('TMP Paste'!$B1483="",0,1))</f>
        <v/>
      </c>
      <c r="F1483">
        <f>IF(OR($A1483="",$C1483&lt;1),"",$A1483&amp;"-"&amp;TEXT(($D1483-$C1483+1),"00")&amp;IF($C1483&gt;=2,", "&amp;$A1483&amp;"-"&amp;TEXT(($D1483-$C1483+1)+1,"00"),"")&amp;IF($C1483&gt;=3,", "&amp;$A1483&amp;"-"&amp;TEXT(($D1483-$C1483+1)+2,"00"),"")&amp;IF($C1483&gt;=4,", "&amp;$A1483&amp;"-"&amp;TEXT(($D1483-$C1483+1)+3,"00"),"")&amp;IF($C1483&gt;=5,", "&amp;$A1483&amp;"-"&amp;TEXT(($D1483-$C1483+1)+4,"00"),"")&amp;IF($C1483&gt;=6,", "&amp;$A1483&amp;"-"&amp;TEXT(($D1483-$C1483+1)+5,"00"),"")&amp;IF($C1483&gt;=7,", "&amp;$A1483&amp;"-"&amp;TEXT(($D1483-$C1483+1)+6,"00"),"")&amp;IF($C1483&gt;=8,", "&amp;$A1483&amp;"-"&amp;TEXT(($D1483-$C1483+1)+7,"00"),"")&amp;IF($C1483&gt;=9,", "&amp;$A1483&amp;"-"&amp;TEXT(($D1483-$C1483+1)+8,"00"),"")&amp;IF($C1483&gt;=10,", "&amp;$A1483&amp;"-"&amp;TEXT(($D1483-$C1483+1)+9,"00"),"")&amp;IF($C1483&gt;=11,", "&amp;$A1483&amp;"-"&amp;TEXT(($D1483-$C1483+1)+10,"00"),"")&amp;IF($C1483&gt;=12,", "&amp;$A1483&amp;"-"&amp;TEXT(($D1483-$C1483+1)+11,"00"),"")&amp;IF($C1483&gt;=13,", "&amp;$A1483&amp;"-"&amp;TEXT(($D1483-$C1483+1)+12,"00"),"")&amp;IF($C1483&gt;=14,", "&amp;$A1483&amp;"-"&amp;TEXT(($D1483-$C1483+1)+13,"00"),"")&amp;IF($C1483&gt;=15,", "&amp;$A1483&amp;"-"&amp;TEXT(($D1483-$C1483+1)+14,"00"),"")&amp;IF($C1483&gt;=16,", "&amp;$A1483&amp;"-"&amp;TEXT(($D1483-$C1483+1)+15,"00"),"")&amp;IF($C1483&gt;=17,", "&amp;$A1483&amp;"-"&amp;TEXT(($D1483-$C1483+1)+16,"00"),"")&amp;IF($C1483&gt;=18,", "&amp;$A1483&amp;"-"&amp;TEXT(($D1483-$C1483+1)+17,"00"),"")&amp;IF($C1483&gt;=19,", "&amp;$A1483&amp;"-"&amp;TEXT(($D1483-$C1483+1)+18,"00"),"")&amp;IF($C1483&gt;=20,", "&amp;$A1483&amp;"-"&amp;TEXT(($D1483-$C1483+1)+19,"00"),"")&amp;IF($C1483&gt;=21,", "&amp;$A1483&amp;"-"&amp;TEXT(($D1483-$C1483+1)+20,"00"),"")&amp;IF($C1483&gt;=22,", "&amp;$A1483&amp;"-"&amp;TEXT(($D1483-$C1483+1)+21,"00"),"")&amp;IF($C1483&gt;=23,", "&amp;$A1483&amp;"-"&amp;TEXT(($D1483-$C1483+1)+22,"00"),"")&amp;IF($C1483&gt;=24,", "&amp;$A1483&amp;"-"&amp;TEXT(($D1483-$C1483+1)+23,"00"),"")&amp;IF($C1483&gt;=25,", "&amp;$A1483&amp;"-"&amp;TEXT(($D1483-$C1483+1)+24,"00"),""))</f>
        <v/>
      </c>
      <c r="G1483">
        <f>IF($A1483="","",IF($E1483=1,$F1483,IF($F1483="",$G1482,IF($G1482="",$F1483,$G1482&amp;", "&amp;$F1483))))</f>
        <v/>
      </c>
      <c r="H1483">
        <f>IF($A1483="","",$A1483&amp;" ("&amp;$C1483&amp;")")</f>
        <v/>
      </c>
      <c r="I1483">
        <f>IF($A1483="","",IF($E1483=1,$H1483,$I1482&amp;", "&amp;$H1483))</f>
        <v/>
      </c>
      <c r="J1483">
        <f>IF($A1483="","",IF($E1483=1,$B1483,""))</f>
        <v/>
      </c>
      <c r="K1483">
        <f>IF($A1483="","",IF(COUNTIF($B$2:$B1483,$B1483)=COUNTIF($B$2:$B$1601,$B1483),$B1483,""))</f>
        <v/>
      </c>
    </row>
    <row r="1484">
      <c r="A1484">
        <f>IF('TMP Paste'!$E1484="","",'TMP Paste'!$E1484)</f>
        <v/>
      </c>
      <c r="B1484">
        <f>IF($A1484="","",COUNTIF('TMP Paste'!$B$2:$B1484,"?*"))</f>
        <v/>
      </c>
      <c r="C1484">
        <f>IF($A1484="","",IFERROR('TMP Paste'!$M1484*1,0))</f>
        <v/>
      </c>
      <c r="D1484">
        <f>IF($A1484="","",SUMIF($B$2:$B1484,$B1484,$C$2:$C1484))</f>
        <v/>
      </c>
      <c r="E1484">
        <f>IF($A1484="",0,IF('TMP Paste'!$B1484="",0,1))</f>
        <v/>
      </c>
      <c r="F1484">
        <f>IF(OR($A1484="",$C1484&lt;1),"",$A1484&amp;"-"&amp;TEXT(($D1484-$C1484+1),"00")&amp;IF($C1484&gt;=2,", "&amp;$A1484&amp;"-"&amp;TEXT(($D1484-$C1484+1)+1,"00"),"")&amp;IF($C1484&gt;=3,", "&amp;$A1484&amp;"-"&amp;TEXT(($D1484-$C1484+1)+2,"00"),"")&amp;IF($C1484&gt;=4,", "&amp;$A1484&amp;"-"&amp;TEXT(($D1484-$C1484+1)+3,"00"),"")&amp;IF($C1484&gt;=5,", "&amp;$A1484&amp;"-"&amp;TEXT(($D1484-$C1484+1)+4,"00"),"")&amp;IF($C1484&gt;=6,", "&amp;$A1484&amp;"-"&amp;TEXT(($D1484-$C1484+1)+5,"00"),"")&amp;IF($C1484&gt;=7,", "&amp;$A1484&amp;"-"&amp;TEXT(($D1484-$C1484+1)+6,"00"),"")&amp;IF($C1484&gt;=8,", "&amp;$A1484&amp;"-"&amp;TEXT(($D1484-$C1484+1)+7,"00"),"")&amp;IF($C1484&gt;=9,", "&amp;$A1484&amp;"-"&amp;TEXT(($D1484-$C1484+1)+8,"00"),"")&amp;IF($C1484&gt;=10,", "&amp;$A1484&amp;"-"&amp;TEXT(($D1484-$C1484+1)+9,"00"),"")&amp;IF($C1484&gt;=11,", "&amp;$A1484&amp;"-"&amp;TEXT(($D1484-$C1484+1)+10,"00"),"")&amp;IF($C1484&gt;=12,", "&amp;$A1484&amp;"-"&amp;TEXT(($D1484-$C1484+1)+11,"00"),"")&amp;IF($C1484&gt;=13,", "&amp;$A1484&amp;"-"&amp;TEXT(($D1484-$C1484+1)+12,"00"),"")&amp;IF($C1484&gt;=14,", "&amp;$A1484&amp;"-"&amp;TEXT(($D1484-$C1484+1)+13,"00"),"")&amp;IF($C1484&gt;=15,", "&amp;$A1484&amp;"-"&amp;TEXT(($D1484-$C1484+1)+14,"00"),"")&amp;IF($C1484&gt;=16,", "&amp;$A1484&amp;"-"&amp;TEXT(($D1484-$C1484+1)+15,"00"),"")&amp;IF($C1484&gt;=17,", "&amp;$A1484&amp;"-"&amp;TEXT(($D1484-$C1484+1)+16,"00"),"")&amp;IF($C1484&gt;=18,", "&amp;$A1484&amp;"-"&amp;TEXT(($D1484-$C1484+1)+17,"00"),"")&amp;IF($C1484&gt;=19,", "&amp;$A1484&amp;"-"&amp;TEXT(($D1484-$C1484+1)+18,"00"),"")&amp;IF($C1484&gt;=20,", "&amp;$A1484&amp;"-"&amp;TEXT(($D1484-$C1484+1)+19,"00"),"")&amp;IF($C1484&gt;=21,", "&amp;$A1484&amp;"-"&amp;TEXT(($D1484-$C1484+1)+20,"00"),"")&amp;IF($C1484&gt;=22,", "&amp;$A1484&amp;"-"&amp;TEXT(($D1484-$C1484+1)+21,"00"),"")&amp;IF($C1484&gt;=23,", "&amp;$A1484&amp;"-"&amp;TEXT(($D1484-$C1484+1)+22,"00"),"")&amp;IF($C1484&gt;=24,", "&amp;$A1484&amp;"-"&amp;TEXT(($D1484-$C1484+1)+23,"00"),"")&amp;IF($C1484&gt;=25,", "&amp;$A1484&amp;"-"&amp;TEXT(($D1484-$C1484+1)+24,"00"),""))</f>
        <v/>
      </c>
      <c r="G1484">
        <f>IF($A1484="","",IF($E1484=1,$F1484,IF($F1484="",$G1483,IF($G1483="",$F1484,$G1483&amp;", "&amp;$F1484))))</f>
        <v/>
      </c>
      <c r="H1484">
        <f>IF($A1484="","",$A1484&amp;" ("&amp;$C1484&amp;")")</f>
        <v/>
      </c>
      <c r="I1484">
        <f>IF($A1484="","",IF($E1484=1,$H1484,$I1483&amp;", "&amp;$H1484))</f>
        <v/>
      </c>
      <c r="J1484">
        <f>IF($A1484="","",IF($E1484=1,$B1484,""))</f>
        <v/>
      </c>
      <c r="K1484">
        <f>IF($A1484="","",IF(COUNTIF($B$2:$B1484,$B1484)=COUNTIF($B$2:$B$1601,$B1484),$B1484,""))</f>
        <v/>
      </c>
    </row>
    <row r="1485">
      <c r="A1485">
        <f>IF('TMP Paste'!$E1485="","",'TMP Paste'!$E1485)</f>
        <v/>
      </c>
      <c r="B1485">
        <f>IF($A1485="","",COUNTIF('TMP Paste'!$B$2:$B1485,"?*"))</f>
        <v/>
      </c>
      <c r="C1485">
        <f>IF($A1485="","",IFERROR('TMP Paste'!$M1485*1,0))</f>
        <v/>
      </c>
      <c r="D1485">
        <f>IF($A1485="","",SUMIF($B$2:$B1485,$B1485,$C$2:$C1485))</f>
        <v/>
      </c>
      <c r="E1485">
        <f>IF($A1485="",0,IF('TMP Paste'!$B1485="",0,1))</f>
        <v/>
      </c>
      <c r="F1485">
        <f>IF(OR($A1485="",$C1485&lt;1),"",$A1485&amp;"-"&amp;TEXT(($D1485-$C1485+1),"00")&amp;IF($C1485&gt;=2,", "&amp;$A1485&amp;"-"&amp;TEXT(($D1485-$C1485+1)+1,"00"),"")&amp;IF($C1485&gt;=3,", "&amp;$A1485&amp;"-"&amp;TEXT(($D1485-$C1485+1)+2,"00"),"")&amp;IF($C1485&gt;=4,", "&amp;$A1485&amp;"-"&amp;TEXT(($D1485-$C1485+1)+3,"00"),"")&amp;IF($C1485&gt;=5,", "&amp;$A1485&amp;"-"&amp;TEXT(($D1485-$C1485+1)+4,"00"),"")&amp;IF($C1485&gt;=6,", "&amp;$A1485&amp;"-"&amp;TEXT(($D1485-$C1485+1)+5,"00"),"")&amp;IF($C1485&gt;=7,", "&amp;$A1485&amp;"-"&amp;TEXT(($D1485-$C1485+1)+6,"00"),"")&amp;IF($C1485&gt;=8,", "&amp;$A1485&amp;"-"&amp;TEXT(($D1485-$C1485+1)+7,"00"),"")&amp;IF($C1485&gt;=9,", "&amp;$A1485&amp;"-"&amp;TEXT(($D1485-$C1485+1)+8,"00"),"")&amp;IF($C1485&gt;=10,", "&amp;$A1485&amp;"-"&amp;TEXT(($D1485-$C1485+1)+9,"00"),"")&amp;IF($C1485&gt;=11,", "&amp;$A1485&amp;"-"&amp;TEXT(($D1485-$C1485+1)+10,"00"),"")&amp;IF($C1485&gt;=12,", "&amp;$A1485&amp;"-"&amp;TEXT(($D1485-$C1485+1)+11,"00"),"")&amp;IF($C1485&gt;=13,", "&amp;$A1485&amp;"-"&amp;TEXT(($D1485-$C1485+1)+12,"00"),"")&amp;IF($C1485&gt;=14,", "&amp;$A1485&amp;"-"&amp;TEXT(($D1485-$C1485+1)+13,"00"),"")&amp;IF($C1485&gt;=15,", "&amp;$A1485&amp;"-"&amp;TEXT(($D1485-$C1485+1)+14,"00"),"")&amp;IF($C1485&gt;=16,", "&amp;$A1485&amp;"-"&amp;TEXT(($D1485-$C1485+1)+15,"00"),"")&amp;IF($C1485&gt;=17,", "&amp;$A1485&amp;"-"&amp;TEXT(($D1485-$C1485+1)+16,"00"),"")&amp;IF($C1485&gt;=18,", "&amp;$A1485&amp;"-"&amp;TEXT(($D1485-$C1485+1)+17,"00"),"")&amp;IF($C1485&gt;=19,", "&amp;$A1485&amp;"-"&amp;TEXT(($D1485-$C1485+1)+18,"00"),"")&amp;IF($C1485&gt;=20,", "&amp;$A1485&amp;"-"&amp;TEXT(($D1485-$C1485+1)+19,"00"),"")&amp;IF($C1485&gt;=21,", "&amp;$A1485&amp;"-"&amp;TEXT(($D1485-$C1485+1)+20,"00"),"")&amp;IF($C1485&gt;=22,", "&amp;$A1485&amp;"-"&amp;TEXT(($D1485-$C1485+1)+21,"00"),"")&amp;IF($C1485&gt;=23,", "&amp;$A1485&amp;"-"&amp;TEXT(($D1485-$C1485+1)+22,"00"),"")&amp;IF($C1485&gt;=24,", "&amp;$A1485&amp;"-"&amp;TEXT(($D1485-$C1485+1)+23,"00"),"")&amp;IF($C1485&gt;=25,", "&amp;$A1485&amp;"-"&amp;TEXT(($D1485-$C1485+1)+24,"00"),""))</f>
        <v/>
      </c>
      <c r="G1485">
        <f>IF($A1485="","",IF($E1485=1,$F1485,IF($F1485="",$G1484,IF($G1484="",$F1485,$G1484&amp;", "&amp;$F1485))))</f>
        <v/>
      </c>
      <c r="H1485">
        <f>IF($A1485="","",$A1485&amp;" ("&amp;$C1485&amp;")")</f>
        <v/>
      </c>
      <c r="I1485">
        <f>IF($A1485="","",IF($E1485=1,$H1485,$I1484&amp;", "&amp;$H1485))</f>
        <v/>
      </c>
      <c r="J1485">
        <f>IF($A1485="","",IF($E1485=1,$B1485,""))</f>
        <v/>
      </c>
      <c r="K1485">
        <f>IF($A1485="","",IF(COUNTIF($B$2:$B1485,$B1485)=COUNTIF($B$2:$B$1601,$B1485),$B1485,""))</f>
        <v/>
      </c>
    </row>
    <row r="1486">
      <c r="A1486">
        <f>IF('TMP Paste'!$E1486="","",'TMP Paste'!$E1486)</f>
        <v/>
      </c>
      <c r="B1486">
        <f>IF($A1486="","",COUNTIF('TMP Paste'!$B$2:$B1486,"?*"))</f>
        <v/>
      </c>
      <c r="C1486">
        <f>IF($A1486="","",IFERROR('TMP Paste'!$M1486*1,0))</f>
        <v/>
      </c>
      <c r="D1486">
        <f>IF($A1486="","",SUMIF($B$2:$B1486,$B1486,$C$2:$C1486))</f>
        <v/>
      </c>
      <c r="E1486">
        <f>IF($A1486="",0,IF('TMP Paste'!$B1486="",0,1))</f>
        <v/>
      </c>
      <c r="F1486">
        <f>IF(OR($A1486="",$C1486&lt;1),"",$A1486&amp;"-"&amp;TEXT(($D1486-$C1486+1),"00")&amp;IF($C1486&gt;=2,", "&amp;$A1486&amp;"-"&amp;TEXT(($D1486-$C1486+1)+1,"00"),"")&amp;IF($C1486&gt;=3,", "&amp;$A1486&amp;"-"&amp;TEXT(($D1486-$C1486+1)+2,"00"),"")&amp;IF($C1486&gt;=4,", "&amp;$A1486&amp;"-"&amp;TEXT(($D1486-$C1486+1)+3,"00"),"")&amp;IF($C1486&gt;=5,", "&amp;$A1486&amp;"-"&amp;TEXT(($D1486-$C1486+1)+4,"00"),"")&amp;IF($C1486&gt;=6,", "&amp;$A1486&amp;"-"&amp;TEXT(($D1486-$C1486+1)+5,"00"),"")&amp;IF($C1486&gt;=7,", "&amp;$A1486&amp;"-"&amp;TEXT(($D1486-$C1486+1)+6,"00"),"")&amp;IF($C1486&gt;=8,", "&amp;$A1486&amp;"-"&amp;TEXT(($D1486-$C1486+1)+7,"00"),"")&amp;IF($C1486&gt;=9,", "&amp;$A1486&amp;"-"&amp;TEXT(($D1486-$C1486+1)+8,"00"),"")&amp;IF($C1486&gt;=10,", "&amp;$A1486&amp;"-"&amp;TEXT(($D1486-$C1486+1)+9,"00"),"")&amp;IF($C1486&gt;=11,", "&amp;$A1486&amp;"-"&amp;TEXT(($D1486-$C1486+1)+10,"00"),"")&amp;IF($C1486&gt;=12,", "&amp;$A1486&amp;"-"&amp;TEXT(($D1486-$C1486+1)+11,"00"),"")&amp;IF($C1486&gt;=13,", "&amp;$A1486&amp;"-"&amp;TEXT(($D1486-$C1486+1)+12,"00"),"")&amp;IF($C1486&gt;=14,", "&amp;$A1486&amp;"-"&amp;TEXT(($D1486-$C1486+1)+13,"00"),"")&amp;IF($C1486&gt;=15,", "&amp;$A1486&amp;"-"&amp;TEXT(($D1486-$C1486+1)+14,"00"),"")&amp;IF($C1486&gt;=16,", "&amp;$A1486&amp;"-"&amp;TEXT(($D1486-$C1486+1)+15,"00"),"")&amp;IF($C1486&gt;=17,", "&amp;$A1486&amp;"-"&amp;TEXT(($D1486-$C1486+1)+16,"00"),"")&amp;IF($C1486&gt;=18,", "&amp;$A1486&amp;"-"&amp;TEXT(($D1486-$C1486+1)+17,"00"),"")&amp;IF($C1486&gt;=19,", "&amp;$A1486&amp;"-"&amp;TEXT(($D1486-$C1486+1)+18,"00"),"")&amp;IF($C1486&gt;=20,", "&amp;$A1486&amp;"-"&amp;TEXT(($D1486-$C1486+1)+19,"00"),"")&amp;IF($C1486&gt;=21,", "&amp;$A1486&amp;"-"&amp;TEXT(($D1486-$C1486+1)+20,"00"),"")&amp;IF($C1486&gt;=22,", "&amp;$A1486&amp;"-"&amp;TEXT(($D1486-$C1486+1)+21,"00"),"")&amp;IF($C1486&gt;=23,", "&amp;$A1486&amp;"-"&amp;TEXT(($D1486-$C1486+1)+22,"00"),"")&amp;IF($C1486&gt;=24,", "&amp;$A1486&amp;"-"&amp;TEXT(($D1486-$C1486+1)+23,"00"),"")&amp;IF($C1486&gt;=25,", "&amp;$A1486&amp;"-"&amp;TEXT(($D1486-$C1486+1)+24,"00"),""))</f>
        <v/>
      </c>
      <c r="G1486">
        <f>IF($A1486="","",IF($E1486=1,$F1486,IF($F1486="",$G1485,IF($G1485="",$F1486,$G1485&amp;", "&amp;$F1486))))</f>
        <v/>
      </c>
      <c r="H1486">
        <f>IF($A1486="","",$A1486&amp;" ("&amp;$C1486&amp;")")</f>
        <v/>
      </c>
      <c r="I1486">
        <f>IF($A1486="","",IF($E1486=1,$H1486,$I1485&amp;", "&amp;$H1486))</f>
        <v/>
      </c>
      <c r="J1486">
        <f>IF($A1486="","",IF($E1486=1,$B1486,""))</f>
        <v/>
      </c>
      <c r="K1486">
        <f>IF($A1486="","",IF(COUNTIF($B$2:$B1486,$B1486)=COUNTIF($B$2:$B$1601,$B1486),$B1486,""))</f>
        <v/>
      </c>
    </row>
    <row r="1487">
      <c r="A1487">
        <f>IF('TMP Paste'!$E1487="","",'TMP Paste'!$E1487)</f>
        <v/>
      </c>
      <c r="B1487">
        <f>IF($A1487="","",COUNTIF('TMP Paste'!$B$2:$B1487,"?*"))</f>
        <v/>
      </c>
      <c r="C1487">
        <f>IF($A1487="","",IFERROR('TMP Paste'!$M1487*1,0))</f>
        <v/>
      </c>
      <c r="D1487">
        <f>IF($A1487="","",SUMIF($B$2:$B1487,$B1487,$C$2:$C1487))</f>
        <v/>
      </c>
      <c r="E1487">
        <f>IF($A1487="",0,IF('TMP Paste'!$B1487="",0,1))</f>
        <v/>
      </c>
      <c r="F1487">
        <f>IF(OR($A1487="",$C1487&lt;1),"",$A1487&amp;"-"&amp;TEXT(($D1487-$C1487+1),"00")&amp;IF($C1487&gt;=2,", "&amp;$A1487&amp;"-"&amp;TEXT(($D1487-$C1487+1)+1,"00"),"")&amp;IF($C1487&gt;=3,", "&amp;$A1487&amp;"-"&amp;TEXT(($D1487-$C1487+1)+2,"00"),"")&amp;IF($C1487&gt;=4,", "&amp;$A1487&amp;"-"&amp;TEXT(($D1487-$C1487+1)+3,"00"),"")&amp;IF($C1487&gt;=5,", "&amp;$A1487&amp;"-"&amp;TEXT(($D1487-$C1487+1)+4,"00"),"")&amp;IF($C1487&gt;=6,", "&amp;$A1487&amp;"-"&amp;TEXT(($D1487-$C1487+1)+5,"00"),"")&amp;IF($C1487&gt;=7,", "&amp;$A1487&amp;"-"&amp;TEXT(($D1487-$C1487+1)+6,"00"),"")&amp;IF($C1487&gt;=8,", "&amp;$A1487&amp;"-"&amp;TEXT(($D1487-$C1487+1)+7,"00"),"")&amp;IF($C1487&gt;=9,", "&amp;$A1487&amp;"-"&amp;TEXT(($D1487-$C1487+1)+8,"00"),"")&amp;IF($C1487&gt;=10,", "&amp;$A1487&amp;"-"&amp;TEXT(($D1487-$C1487+1)+9,"00"),"")&amp;IF($C1487&gt;=11,", "&amp;$A1487&amp;"-"&amp;TEXT(($D1487-$C1487+1)+10,"00"),"")&amp;IF($C1487&gt;=12,", "&amp;$A1487&amp;"-"&amp;TEXT(($D1487-$C1487+1)+11,"00"),"")&amp;IF($C1487&gt;=13,", "&amp;$A1487&amp;"-"&amp;TEXT(($D1487-$C1487+1)+12,"00"),"")&amp;IF($C1487&gt;=14,", "&amp;$A1487&amp;"-"&amp;TEXT(($D1487-$C1487+1)+13,"00"),"")&amp;IF($C1487&gt;=15,", "&amp;$A1487&amp;"-"&amp;TEXT(($D1487-$C1487+1)+14,"00"),"")&amp;IF($C1487&gt;=16,", "&amp;$A1487&amp;"-"&amp;TEXT(($D1487-$C1487+1)+15,"00"),"")&amp;IF($C1487&gt;=17,", "&amp;$A1487&amp;"-"&amp;TEXT(($D1487-$C1487+1)+16,"00"),"")&amp;IF($C1487&gt;=18,", "&amp;$A1487&amp;"-"&amp;TEXT(($D1487-$C1487+1)+17,"00"),"")&amp;IF($C1487&gt;=19,", "&amp;$A1487&amp;"-"&amp;TEXT(($D1487-$C1487+1)+18,"00"),"")&amp;IF($C1487&gt;=20,", "&amp;$A1487&amp;"-"&amp;TEXT(($D1487-$C1487+1)+19,"00"),"")&amp;IF($C1487&gt;=21,", "&amp;$A1487&amp;"-"&amp;TEXT(($D1487-$C1487+1)+20,"00"),"")&amp;IF($C1487&gt;=22,", "&amp;$A1487&amp;"-"&amp;TEXT(($D1487-$C1487+1)+21,"00"),"")&amp;IF($C1487&gt;=23,", "&amp;$A1487&amp;"-"&amp;TEXT(($D1487-$C1487+1)+22,"00"),"")&amp;IF($C1487&gt;=24,", "&amp;$A1487&amp;"-"&amp;TEXT(($D1487-$C1487+1)+23,"00"),"")&amp;IF($C1487&gt;=25,", "&amp;$A1487&amp;"-"&amp;TEXT(($D1487-$C1487+1)+24,"00"),""))</f>
        <v/>
      </c>
      <c r="G1487">
        <f>IF($A1487="","",IF($E1487=1,$F1487,IF($F1487="",$G1486,IF($G1486="",$F1487,$G1486&amp;", "&amp;$F1487))))</f>
        <v/>
      </c>
      <c r="H1487">
        <f>IF($A1487="","",$A1487&amp;" ("&amp;$C1487&amp;")")</f>
        <v/>
      </c>
      <c r="I1487">
        <f>IF($A1487="","",IF($E1487=1,$H1487,$I1486&amp;", "&amp;$H1487))</f>
        <v/>
      </c>
      <c r="J1487">
        <f>IF($A1487="","",IF($E1487=1,$B1487,""))</f>
        <v/>
      </c>
      <c r="K1487">
        <f>IF($A1487="","",IF(COUNTIF($B$2:$B1487,$B1487)=COUNTIF($B$2:$B$1601,$B1487),$B1487,""))</f>
        <v/>
      </c>
    </row>
    <row r="1488">
      <c r="A1488">
        <f>IF('TMP Paste'!$E1488="","",'TMP Paste'!$E1488)</f>
        <v/>
      </c>
      <c r="B1488">
        <f>IF($A1488="","",COUNTIF('TMP Paste'!$B$2:$B1488,"?*"))</f>
        <v/>
      </c>
      <c r="C1488">
        <f>IF($A1488="","",IFERROR('TMP Paste'!$M1488*1,0))</f>
        <v/>
      </c>
      <c r="D1488">
        <f>IF($A1488="","",SUMIF($B$2:$B1488,$B1488,$C$2:$C1488))</f>
        <v/>
      </c>
      <c r="E1488">
        <f>IF($A1488="",0,IF('TMP Paste'!$B1488="",0,1))</f>
        <v/>
      </c>
      <c r="F1488">
        <f>IF(OR($A1488="",$C1488&lt;1),"",$A1488&amp;"-"&amp;TEXT(($D1488-$C1488+1),"00")&amp;IF($C1488&gt;=2,", "&amp;$A1488&amp;"-"&amp;TEXT(($D1488-$C1488+1)+1,"00"),"")&amp;IF($C1488&gt;=3,", "&amp;$A1488&amp;"-"&amp;TEXT(($D1488-$C1488+1)+2,"00"),"")&amp;IF($C1488&gt;=4,", "&amp;$A1488&amp;"-"&amp;TEXT(($D1488-$C1488+1)+3,"00"),"")&amp;IF($C1488&gt;=5,", "&amp;$A1488&amp;"-"&amp;TEXT(($D1488-$C1488+1)+4,"00"),"")&amp;IF($C1488&gt;=6,", "&amp;$A1488&amp;"-"&amp;TEXT(($D1488-$C1488+1)+5,"00"),"")&amp;IF($C1488&gt;=7,", "&amp;$A1488&amp;"-"&amp;TEXT(($D1488-$C1488+1)+6,"00"),"")&amp;IF($C1488&gt;=8,", "&amp;$A1488&amp;"-"&amp;TEXT(($D1488-$C1488+1)+7,"00"),"")&amp;IF($C1488&gt;=9,", "&amp;$A1488&amp;"-"&amp;TEXT(($D1488-$C1488+1)+8,"00"),"")&amp;IF($C1488&gt;=10,", "&amp;$A1488&amp;"-"&amp;TEXT(($D1488-$C1488+1)+9,"00"),"")&amp;IF($C1488&gt;=11,", "&amp;$A1488&amp;"-"&amp;TEXT(($D1488-$C1488+1)+10,"00"),"")&amp;IF($C1488&gt;=12,", "&amp;$A1488&amp;"-"&amp;TEXT(($D1488-$C1488+1)+11,"00"),"")&amp;IF($C1488&gt;=13,", "&amp;$A1488&amp;"-"&amp;TEXT(($D1488-$C1488+1)+12,"00"),"")&amp;IF($C1488&gt;=14,", "&amp;$A1488&amp;"-"&amp;TEXT(($D1488-$C1488+1)+13,"00"),"")&amp;IF($C1488&gt;=15,", "&amp;$A1488&amp;"-"&amp;TEXT(($D1488-$C1488+1)+14,"00"),"")&amp;IF($C1488&gt;=16,", "&amp;$A1488&amp;"-"&amp;TEXT(($D1488-$C1488+1)+15,"00"),"")&amp;IF($C1488&gt;=17,", "&amp;$A1488&amp;"-"&amp;TEXT(($D1488-$C1488+1)+16,"00"),"")&amp;IF($C1488&gt;=18,", "&amp;$A1488&amp;"-"&amp;TEXT(($D1488-$C1488+1)+17,"00"),"")&amp;IF($C1488&gt;=19,", "&amp;$A1488&amp;"-"&amp;TEXT(($D1488-$C1488+1)+18,"00"),"")&amp;IF($C1488&gt;=20,", "&amp;$A1488&amp;"-"&amp;TEXT(($D1488-$C1488+1)+19,"00"),"")&amp;IF($C1488&gt;=21,", "&amp;$A1488&amp;"-"&amp;TEXT(($D1488-$C1488+1)+20,"00"),"")&amp;IF($C1488&gt;=22,", "&amp;$A1488&amp;"-"&amp;TEXT(($D1488-$C1488+1)+21,"00"),"")&amp;IF($C1488&gt;=23,", "&amp;$A1488&amp;"-"&amp;TEXT(($D1488-$C1488+1)+22,"00"),"")&amp;IF($C1488&gt;=24,", "&amp;$A1488&amp;"-"&amp;TEXT(($D1488-$C1488+1)+23,"00"),"")&amp;IF($C1488&gt;=25,", "&amp;$A1488&amp;"-"&amp;TEXT(($D1488-$C1488+1)+24,"00"),""))</f>
        <v/>
      </c>
      <c r="G1488">
        <f>IF($A1488="","",IF($E1488=1,$F1488,IF($F1488="",$G1487,IF($G1487="",$F1488,$G1487&amp;", "&amp;$F1488))))</f>
        <v/>
      </c>
      <c r="H1488">
        <f>IF($A1488="","",$A1488&amp;" ("&amp;$C1488&amp;")")</f>
        <v/>
      </c>
      <c r="I1488">
        <f>IF($A1488="","",IF($E1488=1,$H1488,$I1487&amp;", "&amp;$H1488))</f>
        <v/>
      </c>
      <c r="J1488">
        <f>IF($A1488="","",IF($E1488=1,$B1488,""))</f>
        <v/>
      </c>
      <c r="K1488">
        <f>IF($A1488="","",IF(COUNTIF($B$2:$B1488,$B1488)=COUNTIF($B$2:$B$1601,$B1488),$B1488,""))</f>
        <v/>
      </c>
    </row>
    <row r="1489">
      <c r="A1489">
        <f>IF('TMP Paste'!$E1489="","",'TMP Paste'!$E1489)</f>
        <v/>
      </c>
      <c r="B1489">
        <f>IF($A1489="","",COUNTIF('TMP Paste'!$B$2:$B1489,"?*"))</f>
        <v/>
      </c>
      <c r="C1489">
        <f>IF($A1489="","",IFERROR('TMP Paste'!$M1489*1,0))</f>
        <v/>
      </c>
      <c r="D1489">
        <f>IF($A1489="","",SUMIF($B$2:$B1489,$B1489,$C$2:$C1489))</f>
        <v/>
      </c>
      <c r="E1489">
        <f>IF($A1489="",0,IF('TMP Paste'!$B1489="",0,1))</f>
        <v/>
      </c>
      <c r="F1489">
        <f>IF(OR($A1489="",$C1489&lt;1),"",$A1489&amp;"-"&amp;TEXT(($D1489-$C1489+1),"00")&amp;IF($C1489&gt;=2,", "&amp;$A1489&amp;"-"&amp;TEXT(($D1489-$C1489+1)+1,"00"),"")&amp;IF($C1489&gt;=3,", "&amp;$A1489&amp;"-"&amp;TEXT(($D1489-$C1489+1)+2,"00"),"")&amp;IF($C1489&gt;=4,", "&amp;$A1489&amp;"-"&amp;TEXT(($D1489-$C1489+1)+3,"00"),"")&amp;IF($C1489&gt;=5,", "&amp;$A1489&amp;"-"&amp;TEXT(($D1489-$C1489+1)+4,"00"),"")&amp;IF($C1489&gt;=6,", "&amp;$A1489&amp;"-"&amp;TEXT(($D1489-$C1489+1)+5,"00"),"")&amp;IF($C1489&gt;=7,", "&amp;$A1489&amp;"-"&amp;TEXT(($D1489-$C1489+1)+6,"00"),"")&amp;IF($C1489&gt;=8,", "&amp;$A1489&amp;"-"&amp;TEXT(($D1489-$C1489+1)+7,"00"),"")&amp;IF($C1489&gt;=9,", "&amp;$A1489&amp;"-"&amp;TEXT(($D1489-$C1489+1)+8,"00"),"")&amp;IF($C1489&gt;=10,", "&amp;$A1489&amp;"-"&amp;TEXT(($D1489-$C1489+1)+9,"00"),"")&amp;IF($C1489&gt;=11,", "&amp;$A1489&amp;"-"&amp;TEXT(($D1489-$C1489+1)+10,"00"),"")&amp;IF($C1489&gt;=12,", "&amp;$A1489&amp;"-"&amp;TEXT(($D1489-$C1489+1)+11,"00"),"")&amp;IF($C1489&gt;=13,", "&amp;$A1489&amp;"-"&amp;TEXT(($D1489-$C1489+1)+12,"00"),"")&amp;IF($C1489&gt;=14,", "&amp;$A1489&amp;"-"&amp;TEXT(($D1489-$C1489+1)+13,"00"),"")&amp;IF($C1489&gt;=15,", "&amp;$A1489&amp;"-"&amp;TEXT(($D1489-$C1489+1)+14,"00"),"")&amp;IF($C1489&gt;=16,", "&amp;$A1489&amp;"-"&amp;TEXT(($D1489-$C1489+1)+15,"00"),"")&amp;IF($C1489&gt;=17,", "&amp;$A1489&amp;"-"&amp;TEXT(($D1489-$C1489+1)+16,"00"),"")&amp;IF($C1489&gt;=18,", "&amp;$A1489&amp;"-"&amp;TEXT(($D1489-$C1489+1)+17,"00"),"")&amp;IF($C1489&gt;=19,", "&amp;$A1489&amp;"-"&amp;TEXT(($D1489-$C1489+1)+18,"00"),"")&amp;IF($C1489&gt;=20,", "&amp;$A1489&amp;"-"&amp;TEXT(($D1489-$C1489+1)+19,"00"),"")&amp;IF($C1489&gt;=21,", "&amp;$A1489&amp;"-"&amp;TEXT(($D1489-$C1489+1)+20,"00"),"")&amp;IF($C1489&gt;=22,", "&amp;$A1489&amp;"-"&amp;TEXT(($D1489-$C1489+1)+21,"00"),"")&amp;IF($C1489&gt;=23,", "&amp;$A1489&amp;"-"&amp;TEXT(($D1489-$C1489+1)+22,"00"),"")&amp;IF($C1489&gt;=24,", "&amp;$A1489&amp;"-"&amp;TEXT(($D1489-$C1489+1)+23,"00"),"")&amp;IF($C1489&gt;=25,", "&amp;$A1489&amp;"-"&amp;TEXT(($D1489-$C1489+1)+24,"00"),""))</f>
        <v/>
      </c>
      <c r="G1489">
        <f>IF($A1489="","",IF($E1489=1,$F1489,IF($F1489="",$G1488,IF($G1488="",$F1489,$G1488&amp;", "&amp;$F1489))))</f>
        <v/>
      </c>
      <c r="H1489">
        <f>IF($A1489="","",$A1489&amp;" ("&amp;$C1489&amp;")")</f>
        <v/>
      </c>
      <c r="I1489">
        <f>IF($A1489="","",IF($E1489=1,$H1489,$I1488&amp;", "&amp;$H1489))</f>
        <v/>
      </c>
      <c r="J1489">
        <f>IF($A1489="","",IF($E1489=1,$B1489,""))</f>
        <v/>
      </c>
      <c r="K1489">
        <f>IF($A1489="","",IF(COUNTIF($B$2:$B1489,$B1489)=COUNTIF($B$2:$B$1601,$B1489),$B1489,""))</f>
        <v/>
      </c>
    </row>
    <row r="1490">
      <c r="A1490">
        <f>IF('TMP Paste'!$E1490="","",'TMP Paste'!$E1490)</f>
        <v/>
      </c>
      <c r="B1490">
        <f>IF($A1490="","",COUNTIF('TMP Paste'!$B$2:$B1490,"?*"))</f>
        <v/>
      </c>
      <c r="C1490">
        <f>IF($A1490="","",IFERROR('TMP Paste'!$M1490*1,0))</f>
        <v/>
      </c>
      <c r="D1490">
        <f>IF($A1490="","",SUMIF($B$2:$B1490,$B1490,$C$2:$C1490))</f>
        <v/>
      </c>
      <c r="E1490">
        <f>IF($A1490="",0,IF('TMP Paste'!$B1490="",0,1))</f>
        <v/>
      </c>
      <c r="F1490">
        <f>IF(OR($A1490="",$C1490&lt;1),"",$A1490&amp;"-"&amp;TEXT(($D1490-$C1490+1),"00")&amp;IF($C1490&gt;=2,", "&amp;$A1490&amp;"-"&amp;TEXT(($D1490-$C1490+1)+1,"00"),"")&amp;IF($C1490&gt;=3,", "&amp;$A1490&amp;"-"&amp;TEXT(($D1490-$C1490+1)+2,"00"),"")&amp;IF($C1490&gt;=4,", "&amp;$A1490&amp;"-"&amp;TEXT(($D1490-$C1490+1)+3,"00"),"")&amp;IF($C1490&gt;=5,", "&amp;$A1490&amp;"-"&amp;TEXT(($D1490-$C1490+1)+4,"00"),"")&amp;IF($C1490&gt;=6,", "&amp;$A1490&amp;"-"&amp;TEXT(($D1490-$C1490+1)+5,"00"),"")&amp;IF($C1490&gt;=7,", "&amp;$A1490&amp;"-"&amp;TEXT(($D1490-$C1490+1)+6,"00"),"")&amp;IF($C1490&gt;=8,", "&amp;$A1490&amp;"-"&amp;TEXT(($D1490-$C1490+1)+7,"00"),"")&amp;IF($C1490&gt;=9,", "&amp;$A1490&amp;"-"&amp;TEXT(($D1490-$C1490+1)+8,"00"),"")&amp;IF($C1490&gt;=10,", "&amp;$A1490&amp;"-"&amp;TEXT(($D1490-$C1490+1)+9,"00"),"")&amp;IF($C1490&gt;=11,", "&amp;$A1490&amp;"-"&amp;TEXT(($D1490-$C1490+1)+10,"00"),"")&amp;IF($C1490&gt;=12,", "&amp;$A1490&amp;"-"&amp;TEXT(($D1490-$C1490+1)+11,"00"),"")&amp;IF($C1490&gt;=13,", "&amp;$A1490&amp;"-"&amp;TEXT(($D1490-$C1490+1)+12,"00"),"")&amp;IF($C1490&gt;=14,", "&amp;$A1490&amp;"-"&amp;TEXT(($D1490-$C1490+1)+13,"00"),"")&amp;IF($C1490&gt;=15,", "&amp;$A1490&amp;"-"&amp;TEXT(($D1490-$C1490+1)+14,"00"),"")&amp;IF($C1490&gt;=16,", "&amp;$A1490&amp;"-"&amp;TEXT(($D1490-$C1490+1)+15,"00"),"")&amp;IF($C1490&gt;=17,", "&amp;$A1490&amp;"-"&amp;TEXT(($D1490-$C1490+1)+16,"00"),"")&amp;IF($C1490&gt;=18,", "&amp;$A1490&amp;"-"&amp;TEXT(($D1490-$C1490+1)+17,"00"),"")&amp;IF($C1490&gt;=19,", "&amp;$A1490&amp;"-"&amp;TEXT(($D1490-$C1490+1)+18,"00"),"")&amp;IF($C1490&gt;=20,", "&amp;$A1490&amp;"-"&amp;TEXT(($D1490-$C1490+1)+19,"00"),"")&amp;IF($C1490&gt;=21,", "&amp;$A1490&amp;"-"&amp;TEXT(($D1490-$C1490+1)+20,"00"),"")&amp;IF($C1490&gt;=22,", "&amp;$A1490&amp;"-"&amp;TEXT(($D1490-$C1490+1)+21,"00"),"")&amp;IF($C1490&gt;=23,", "&amp;$A1490&amp;"-"&amp;TEXT(($D1490-$C1490+1)+22,"00"),"")&amp;IF($C1490&gt;=24,", "&amp;$A1490&amp;"-"&amp;TEXT(($D1490-$C1490+1)+23,"00"),"")&amp;IF($C1490&gt;=25,", "&amp;$A1490&amp;"-"&amp;TEXT(($D1490-$C1490+1)+24,"00"),""))</f>
        <v/>
      </c>
      <c r="G1490">
        <f>IF($A1490="","",IF($E1490=1,$F1490,IF($F1490="",$G1489,IF($G1489="",$F1490,$G1489&amp;", "&amp;$F1490))))</f>
        <v/>
      </c>
      <c r="H1490">
        <f>IF($A1490="","",$A1490&amp;" ("&amp;$C1490&amp;")")</f>
        <v/>
      </c>
      <c r="I1490">
        <f>IF($A1490="","",IF($E1490=1,$H1490,$I1489&amp;", "&amp;$H1490))</f>
        <v/>
      </c>
      <c r="J1490">
        <f>IF($A1490="","",IF($E1490=1,$B1490,""))</f>
        <v/>
      </c>
      <c r="K1490">
        <f>IF($A1490="","",IF(COUNTIF($B$2:$B1490,$B1490)=COUNTIF($B$2:$B$1601,$B1490),$B1490,""))</f>
        <v/>
      </c>
    </row>
    <row r="1491">
      <c r="A1491">
        <f>IF('TMP Paste'!$E1491="","",'TMP Paste'!$E1491)</f>
        <v/>
      </c>
      <c r="B1491">
        <f>IF($A1491="","",COUNTIF('TMP Paste'!$B$2:$B1491,"?*"))</f>
        <v/>
      </c>
      <c r="C1491">
        <f>IF($A1491="","",IFERROR('TMP Paste'!$M1491*1,0))</f>
        <v/>
      </c>
      <c r="D1491">
        <f>IF($A1491="","",SUMIF($B$2:$B1491,$B1491,$C$2:$C1491))</f>
        <v/>
      </c>
      <c r="E1491">
        <f>IF($A1491="",0,IF('TMP Paste'!$B1491="",0,1))</f>
        <v/>
      </c>
      <c r="F1491">
        <f>IF(OR($A1491="",$C1491&lt;1),"",$A1491&amp;"-"&amp;TEXT(($D1491-$C1491+1),"00")&amp;IF($C1491&gt;=2,", "&amp;$A1491&amp;"-"&amp;TEXT(($D1491-$C1491+1)+1,"00"),"")&amp;IF($C1491&gt;=3,", "&amp;$A1491&amp;"-"&amp;TEXT(($D1491-$C1491+1)+2,"00"),"")&amp;IF($C1491&gt;=4,", "&amp;$A1491&amp;"-"&amp;TEXT(($D1491-$C1491+1)+3,"00"),"")&amp;IF($C1491&gt;=5,", "&amp;$A1491&amp;"-"&amp;TEXT(($D1491-$C1491+1)+4,"00"),"")&amp;IF($C1491&gt;=6,", "&amp;$A1491&amp;"-"&amp;TEXT(($D1491-$C1491+1)+5,"00"),"")&amp;IF($C1491&gt;=7,", "&amp;$A1491&amp;"-"&amp;TEXT(($D1491-$C1491+1)+6,"00"),"")&amp;IF($C1491&gt;=8,", "&amp;$A1491&amp;"-"&amp;TEXT(($D1491-$C1491+1)+7,"00"),"")&amp;IF($C1491&gt;=9,", "&amp;$A1491&amp;"-"&amp;TEXT(($D1491-$C1491+1)+8,"00"),"")&amp;IF($C1491&gt;=10,", "&amp;$A1491&amp;"-"&amp;TEXT(($D1491-$C1491+1)+9,"00"),"")&amp;IF($C1491&gt;=11,", "&amp;$A1491&amp;"-"&amp;TEXT(($D1491-$C1491+1)+10,"00"),"")&amp;IF($C1491&gt;=12,", "&amp;$A1491&amp;"-"&amp;TEXT(($D1491-$C1491+1)+11,"00"),"")&amp;IF($C1491&gt;=13,", "&amp;$A1491&amp;"-"&amp;TEXT(($D1491-$C1491+1)+12,"00"),"")&amp;IF($C1491&gt;=14,", "&amp;$A1491&amp;"-"&amp;TEXT(($D1491-$C1491+1)+13,"00"),"")&amp;IF($C1491&gt;=15,", "&amp;$A1491&amp;"-"&amp;TEXT(($D1491-$C1491+1)+14,"00"),"")&amp;IF($C1491&gt;=16,", "&amp;$A1491&amp;"-"&amp;TEXT(($D1491-$C1491+1)+15,"00"),"")&amp;IF($C1491&gt;=17,", "&amp;$A1491&amp;"-"&amp;TEXT(($D1491-$C1491+1)+16,"00"),"")&amp;IF($C1491&gt;=18,", "&amp;$A1491&amp;"-"&amp;TEXT(($D1491-$C1491+1)+17,"00"),"")&amp;IF($C1491&gt;=19,", "&amp;$A1491&amp;"-"&amp;TEXT(($D1491-$C1491+1)+18,"00"),"")&amp;IF($C1491&gt;=20,", "&amp;$A1491&amp;"-"&amp;TEXT(($D1491-$C1491+1)+19,"00"),"")&amp;IF($C1491&gt;=21,", "&amp;$A1491&amp;"-"&amp;TEXT(($D1491-$C1491+1)+20,"00"),"")&amp;IF($C1491&gt;=22,", "&amp;$A1491&amp;"-"&amp;TEXT(($D1491-$C1491+1)+21,"00"),"")&amp;IF($C1491&gt;=23,", "&amp;$A1491&amp;"-"&amp;TEXT(($D1491-$C1491+1)+22,"00"),"")&amp;IF($C1491&gt;=24,", "&amp;$A1491&amp;"-"&amp;TEXT(($D1491-$C1491+1)+23,"00"),"")&amp;IF($C1491&gt;=25,", "&amp;$A1491&amp;"-"&amp;TEXT(($D1491-$C1491+1)+24,"00"),""))</f>
        <v/>
      </c>
      <c r="G1491">
        <f>IF($A1491="","",IF($E1491=1,$F1491,IF($F1491="",$G1490,IF($G1490="",$F1491,$G1490&amp;", "&amp;$F1491))))</f>
        <v/>
      </c>
      <c r="H1491">
        <f>IF($A1491="","",$A1491&amp;" ("&amp;$C1491&amp;")")</f>
        <v/>
      </c>
      <c r="I1491">
        <f>IF($A1491="","",IF($E1491=1,$H1491,$I1490&amp;", "&amp;$H1491))</f>
        <v/>
      </c>
      <c r="J1491">
        <f>IF($A1491="","",IF($E1491=1,$B1491,""))</f>
        <v/>
      </c>
      <c r="K1491">
        <f>IF($A1491="","",IF(COUNTIF($B$2:$B1491,$B1491)=COUNTIF($B$2:$B$1601,$B1491),$B1491,""))</f>
        <v/>
      </c>
    </row>
    <row r="1492">
      <c r="A1492">
        <f>IF('TMP Paste'!$E1492="","",'TMP Paste'!$E1492)</f>
        <v/>
      </c>
      <c r="B1492">
        <f>IF($A1492="","",COUNTIF('TMP Paste'!$B$2:$B1492,"?*"))</f>
        <v/>
      </c>
      <c r="C1492">
        <f>IF($A1492="","",IFERROR('TMP Paste'!$M1492*1,0))</f>
        <v/>
      </c>
      <c r="D1492">
        <f>IF($A1492="","",SUMIF($B$2:$B1492,$B1492,$C$2:$C1492))</f>
        <v/>
      </c>
      <c r="E1492">
        <f>IF($A1492="",0,IF('TMP Paste'!$B1492="",0,1))</f>
        <v/>
      </c>
      <c r="F1492">
        <f>IF(OR($A1492="",$C1492&lt;1),"",$A1492&amp;"-"&amp;TEXT(($D1492-$C1492+1),"00")&amp;IF($C1492&gt;=2,", "&amp;$A1492&amp;"-"&amp;TEXT(($D1492-$C1492+1)+1,"00"),"")&amp;IF($C1492&gt;=3,", "&amp;$A1492&amp;"-"&amp;TEXT(($D1492-$C1492+1)+2,"00"),"")&amp;IF($C1492&gt;=4,", "&amp;$A1492&amp;"-"&amp;TEXT(($D1492-$C1492+1)+3,"00"),"")&amp;IF($C1492&gt;=5,", "&amp;$A1492&amp;"-"&amp;TEXT(($D1492-$C1492+1)+4,"00"),"")&amp;IF($C1492&gt;=6,", "&amp;$A1492&amp;"-"&amp;TEXT(($D1492-$C1492+1)+5,"00"),"")&amp;IF($C1492&gt;=7,", "&amp;$A1492&amp;"-"&amp;TEXT(($D1492-$C1492+1)+6,"00"),"")&amp;IF($C1492&gt;=8,", "&amp;$A1492&amp;"-"&amp;TEXT(($D1492-$C1492+1)+7,"00"),"")&amp;IF($C1492&gt;=9,", "&amp;$A1492&amp;"-"&amp;TEXT(($D1492-$C1492+1)+8,"00"),"")&amp;IF($C1492&gt;=10,", "&amp;$A1492&amp;"-"&amp;TEXT(($D1492-$C1492+1)+9,"00"),"")&amp;IF($C1492&gt;=11,", "&amp;$A1492&amp;"-"&amp;TEXT(($D1492-$C1492+1)+10,"00"),"")&amp;IF($C1492&gt;=12,", "&amp;$A1492&amp;"-"&amp;TEXT(($D1492-$C1492+1)+11,"00"),"")&amp;IF($C1492&gt;=13,", "&amp;$A1492&amp;"-"&amp;TEXT(($D1492-$C1492+1)+12,"00"),"")&amp;IF($C1492&gt;=14,", "&amp;$A1492&amp;"-"&amp;TEXT(($D1492-$C1492+1)+13,"00"),"")&amp;IF($C1492&gt;=15,", "&amp;$A1492&amp;"-"&amp;TEXT(($D1492-$C1492+1)+14,"00"),"")&amp;IF($C1492&gt;=16,", "&amp;$A1492&amp;"-"&amp;TEXT(($D1492-$C1492+1)+15,"00"),"")&amp;IF($C1492&gt;=17,", "&amp;$A1492&amp;"-"&amp;TEXT(($D1492-$C1492+1)+16,"00"),"")&amp;IF($C1492&gt;=18,", "&amp;$A1492&amp;"-"&amp;TEXT(($D1492-$C1492+1)+17,"00"),"")&amp;IF($C1492&gt;=19,", "&amp;$A1492&amp;"-"&amp;TEXT(($D1492-$C1492+1)+18,"00"),"")&amp;IF($C1492&gt;=20,", "&amp;$A1492&amp;"-"&amp;TEXT(($D1492-$C1492+1)+19,"00"),"")&amp;IF($C1492&gt;=21,", "&amp;$A1492&amp;"-"&amp;TEXT(($D1492-$C1492+1)+20,"00"),"")&amp;IF($C1492&gt;=22,", "&amp;$A1492&amp;"-"&amp;TEXT(($D1492-$C1492+1)+21,"00"),"")&amp;IF($C1492&gt;=23,", "&amp;$A1492&amp;"-"&amp;TEXT(($D1492-$C1492+1)+22,"00"),"")&amp;IF($C1492&gt;=24,", "&amp;$A1492&amp;"-"&amp;TEXT(($D1492-$C1492+1)+23,"00"),"")&amp;IF($C1492&gt;=25,", "&amp;$A1492&amp;"-"&amp;TEXT(($D1492-$C1492+1)+24,"00"),""))</f>
        <v/>
      </c>
      <c r="G1492">
        <f>IF($A1492="","",IF($E1492=1,$F1492,IF($F1492="",$G1491,IF($G1491="",$F1492,$G1491&amp;", "&amp;$F1492))))</f>
        <v/>
      </c>
      <c r="H1492">
        <f>IF($A1492="","",$A1492&amp;" ("&amp;$C1492&amp;")")</f>
        <v/>
      </c>
      <c r="I1492">
        <f>IF($A1492="","",IF($E1492=1,$H1492,$I1491&amp;", "&amp;$H1492))</f>
        <v/>
      </c>
      <c r="J1492">
        <f>IF($A1492="","",IF($E1492=1,$B1492,""))</f>
        <v/>
      </c>
      <c r="K1492">
        <f>IF($A1492="","",IF(COUNTIF($B$2:$B1492,$B1492)=COUNTIF($B$2:$B$1601,$B1492),$B1492,""))</f>
        <v/>
      </c>
    </row>
    <row r="1493">
      <c r="A1493">
        <f>IF('TMP Paste'!$E1493="","",'TMP Paste'!$E1493)</f>
        <v/>
      </c>
      <c r="B1493">
        <f>IF($A1493="","",COUNTIF('TMP Paste'!$B$2:$B1493,"?*"))</f>
        <v/>
      </c>
      <c r="C1493">
        <f>IF($A1493="","",IFERROR('TMP Paste'!$M1493*1,0))</f>
        <v/>
      </c>
      <c r="D1493">
        <f>IF($A1493="","",SUMIF($B$2:$B1493,$B1493,$C$2:$C1493))</f>
        <v/>
      </c>
      <c r="E1493">
        <f>IF($A1493="",0,IF('TMP Paste'!$B1493="",0,1))</f>
        <v/>
      </c>
      <c r="F1493">
        <f>IF(OR($A1493="",$C1493&lt;1),"",$A1493&amp;"-"&amp;TEXT(($D1493-$C1493+1),"00")&amp;IF($C1493&gt;=2,", "&amp;$A1493&amp;"-"&amp;TEXT(($D1493-$C1493+1)+1,"00"),"")&amp;IF($C1493&gt;=3,", "&amp;$A1493&amp;"-"&amp;TEXT(($D1493-$C1493+1)+2,"00"),"")&amp;IF($C1493&gt;=4,", "&amp;$A1493&amp;"-"&amp;TEXT(($D1493-$C1493+1)+3,"00"),"")&amp;IF($C1493&gt;=5,", "&amp;$A1493&amp;"-"&amp;TEXT(($D1493-$C1493+1)+4,"00"),"")&amp;IF($C1493&gt;=6,", "&amp;$A1493&amp;"-"&amp;TEXT(($D1493-$C1493+1)+5,"00"),"")&amp;IF($C1493&gt;=7,", "&amp;$A1493&amp;"-"&amp;TEXT(($D1493-$C1493+1)+6,"00"),"")&amp;IF($C1493&gt;=8,", "&amp;$A1493&amp;"-"&amp;TEXT(($D1493-$C1493+1)+7,"00"),"")&amp;IF($C1493&gt;=9,", "&amp;$A1493&amp;"-"&amp;TEXT(($D1493-$C1493+1)+8,"00"),"")&amp;IF($C1493&gt;=10,", "&amp;$A1493&amp;"-"&amp;TEXT(($D1493-$C1493+1)+9,"00"),"")&amp;IF($C1493&gt;=11,", "&amp;$A1493&amp;"-"&amp;TEXT(($D1493-$C1493+1)+10,"00"),"")&amp;IF($C1493&gt;=12,", "&amp;$A1493&amp;"-"&amp;TEXT(($D1493-$C1493+1)+11,"00"),"")&amp;IF($C1493&gt;=13,", "&amp;$A1493&amp;"-"&amp;TEXT(($D1493-$C1493+1)+12,"00"),"")&amp;IF($C1493&gt;=14,", "&amp;$A1493&amp;"-"&amp;TEXT(($D1493-$C1493+1)+13,"00"),"")&amp;IF($C1493&gt;=15,", "&amp;$A1493&amp;"-"&amp;TEXT(($D1493-$C1493+1)+14,"00"),"")&amp;IF($C1493&gt;=16,", "&amp;$A1493&amp;"-"&amp;TEXT(($D1493-$C1493+1)+15,"00"),"")&amp;IF($C1493&gt;=17,", "&amp;$A1493&amp;"-"&amp;TEXT(($D1493-$C1493+1)+16,"00"),"")&amp;IF($C1493&gt;=18,", "&amp;$A1493&amp;"-"&amp;TEXT(($D1493-$C1493+1)+17,"00"),"")&amp;IF($C1493&gt;=19,", "&amp;$A1493&amp;"-"&amp;TEXT(($D1493-$C1493+1)+18,"00"),"")&amp;IF($C1493&gt;=20,", "&amp;$A1493&amp;"-"&amp;TEXT(($D1493-$C1493+1)+19,"00"),"")&amp;IF($C1493&gt;=21,", "&amp;$A1493&amp;"-"&amp;TEXT(($D1493-$C1493+1)+20,"00"),"")&amp;IF($C1493&gt;=22,", "&amp;$A1493&amp;"-"&amp;TEXT(($D1493-$C1493+1)+21,"00"),"")&amp;IF($C1493&gt;=23,", "&amp;$A1493&amp;"-"&amp;TEXT(($D1493-$C1493+1)+22,"00"),"")&amp;IF($C1493&gt;=24,", "&amp;$A1493&amp;"-"&amp;TEXT(($D1493-$C1493+1)+23,"00"),"")&amp;IF($C1493&gt;=25,", "&amp;$A1493&amp;"-"&amp;TEXT(($D1493-$C1493+1)+24,"00"),""))</f>
        <v/>
      </c>
      <c r="G1493">
        <f>IF($A1493="","",IF($E1493=1,$F1493,IF($F1493="",$G1492,IF($G1492="",$F1493,$G1492&amp;", "&amp;$F1493))))</f>
        <v/>
      </c>
      <c r="H1493">
        <f>IF($A1493="","",$A1493&amp;" ("&amp;$C1493&amp;")")</f>
        <v/>
      </c>
      <c r="I1493">
        <f>IF($A1493="","",IF($E1493=1,$H1493,$I1492&amp;", "&amp;$H1493))</f>
        <v/>
      </c>
      <c r="J1493">
        <f>IF($A1493="","",IF($E1493=1,$B1493,""))</f>
        <v/>
      </c>
      <c r="K1493">
        <f>IF($A1493="","",IF(COUNTIF($B$2:$B1493,$B1493)=COUNTIF($B$2:$B$1601,$B1493),$B1493,""))</f>
        <v/>
      </c>
    </row>
    <row r="1494">
      <c r="A1494">
        <f>IF('TMP Paste'!$E1494="","",'TMP Paste'!$E1494)</f>
        <v/>
      </c>
      <c r="B1494">
        <f>IF($A1494="","",COUNTIF('TMP Paste'!$B$2:$B1494,"?*"))</f>
        <v/>
      </c>
      <c r="C1494">
        <f>IF($A1494="","",IFERROR('TMP Paste'!$M1494*1,0))</f>
        <v/>
      </c>
      <c r="D1494">
        <f>IF($A1494="","",SUMIF($B$2:$B1494,$B1494,$C$2:$C1494))</f>
        <v/>
      </c>
      <c r="E1494">
        <f>IF($A1494="",0,IF('TMP Paste'!$B1494="",0,1))</f>
        <v/>
      </c>
      <c r="F1494">
        <f>IF(OR($A1494="",$C1494&lt;1),"",$A1494&amp;"-"&amp;TEXT(($D1494-$C1494+1),"00")&amp;IF($C1494&gt;=2,", "&amp;$A1494&amp;"-"&amp;TEXT(($D1494-$C1494+1)+1,"00"),"")&amp;IF($C1494&gt;=3,", "&amp;$A1494&amp;"-"&amp;TEXT(($D1494-$C1494+1)+2,"00"),"")&amp;IF($C1494&gt;=4,", "&amp;$A1494&amp;"-"&amp;TEXT(($D1494-$C1494+1)+3,"00"),"")&amp;IF($C1494&gt;=5,", "&amp;$A1494&amp;"-"&amp;TEXT(($D1494-$C1494+1)+4,"00"),"")&amp;IF($C1494&gt;=6,", "&amp;$A1494&amp;"-"&amp;TEXT(($D1494-$C1494+1)+5,"00"),"")&amp;IF($C1494&gt;=7,", "&amp;$A1494&amp;"-"&amp;TEXT(($D1494-$C1494+1)+6,"00"),"")&amp;IF($C1494&gt;=8,", "&amp;$A1494&amp;"-"&amp;TEXT(($D1494-$C1494+1)+7,"00"),"")&amp;IF($C1494&gt;=9,", "&amp;$A1494&amp;"-"&amp;TEXT(($D1494-$C1494+1)+8,"00"),"")&amp;IF($C1494&gt;=10,", "&amp;$A1494&amp;"-"&amp;TEXT(($D1494-$C1494+1)+9,"00"),"")&amp;IF($C1494&gt;=11,", "&amp;$A1494&amp;"-"&amp;TEXT(($D1494-$C1494+1)+10,"00"),"")&amp;IF($C1494&gt;=12,", "&amp;$A1494&amp;"-"&amp;TEXT(($D1494-$C1494+1)+11,"00"),"")&amp;IF($C1494&gt;=13,", "&amp;$A1494&amp;"-"&amp;TEXT(($D1494-$C1494+1)+12,"00"),"")&amp;IF($C1494&gt;=14,", "&amp;$A1494&amp;"-"&amp;TEXT(($D1494-$C1494+1)+13,"00"),"")&amp;IF($C1494&gt;=15,", "&amp;$A1494&amp;"-"&amp;TEXT(($D1494-$C1494+1)+14,"00"),"")&amp;IF($C1494&gt;=16,", "&amp;$A1494&amp;"-"&amp;TEXT(($D1494-$C1494+1)+15,"00"),"")&amp;IF($C1494&gt;=17,", "&amp;$A1494&amp;"-"&amp;TEXT(($D1494-$C1494+1)+16,"00"),"")&amp;IF($C1494&gt;=18,", "&amp;$A1494&amp;"-"&amp;TEXT(($D1494-$C1494+1)+17,"00"),"")&amp;IF($C1494&gt;=19,", "&amp;$A1494&amp;"-"&amp;TEXT(($D1494-$C1494+1)+18,"00"),"")&amp;IF($C1494&gt;=20,", "&amp;$A1494&amp;"-"&amp;TEXT(($D1494-$C1494+1)+19,"00"),"")&amp;IF($C1494&gt;=21,", "&amp;$A1494&amp;"-"&amp;TEXT(($D1494-$C1494+1)+20,"00"),"")&amp;IF($C1494&gt;=22,", "&amp;$A1494&amp;"-"&amp;TEXT(($D1494-$C1494+1)+21,"00"),"")&amp;IF($C1494&gt;=23,", "&amp;$A1494&amp;"-"&amp;TEXT(($D1494-$C1494+1)+22,"00"),"")&amp;IF($C1494&gt;=24,", "&amp;$A1494&amp;"-"&amp;TEXT(($D1494-$C1494+1)+23,"00"),"")&amp;IF($C1494&gt;=25,", "&amp;$A1494&amp;"-"&amp;TEXT(($D1494-$C1494+1)+24,"00"),""))</f>
        <v/>
      </c>
      <c r="G1494">
        <f>IF($A1494="","",IF($E1494=1,$F1494,IF($F1494="",$G1493,IF($G1493="",$F1494,$G1493&amp;", "&amp;$F1494))))</f>
        <v/>
      </c>
      <c r="H1494">
        <f>IF($A1494="","",$A1494&amp;" ("&amp;$C1494&amp;")")</f>
        <v/>
      </c>
      <c r="I1494">
        <f>IF($A1494="","",IF($E1494=1,$H1494,$I1493&amp;", "&amp;$H1494))</f>
        <v/>
      </c>
      <c r="J1494">
        <f>IF($A1494="","",IF($E1494=1,$B1494,""))</f>
        <v/>
      </c>
      <c r="K1494">
        <f>IF($A1494="","",IF(COUNTIF($B$2:$B1494,$B1494)=COUNTIF($B$2:$B$1601,$B1494),$B1494,""))</f>
        <v/>
      </c>
    </row>
    <row r="1495">
      <c r="A1495">
        <f>IF('TMP Paste'!$E1495="","",'TMP Paste'!$E1495)</f>
        <v/>
      </c>
      <c r="B1495">
        <f>IF($A1495="","",COUNTIF('TMP Paste'!$B$2:$B1495,"?*"))</f>
        <v/>
      </c>
      <c r="C1495">
        <f>IF($A1495="","",IFERROR('TMP Paste'!$M1495*1,0))</f>
        <v/>
      </c>
      <c r="D1495">
        <f>IF($A1495="","",SUMIF($B$2:$B1495,$B1495,$C$2:$C1495))</f>
        <v/>
      </c>
      <c r="E1495">
        <f>IF($A1495="",0,IF('TMP Paste'!$B1495="",0,1))</f>
        <v/>
      </c>
      <c r="F1495">
        <f>IF(OR($A1495="",$C1495&lt;1),"",$A1495&amp;"-"&amp;TEXT(($D1495-$C1495+1),"00")&amp;IF($C1495&gt;=2,", "&amp;$A1495&amp;"-"&amp;TEXT(($D1495-$C1495+1)+1,"00"),"")&amp;IF($C1495&gt;=3,", "&amp;$A1495&amp;"-"&amp;TEXT(($D1495-$C1495+1)+2,"00"),"")&amp;IF($C1495&gt;=4,", "&amp;$A1495&amp;"-"&amp;TEXT(($D1495-$C1495+1)+3,"00"),"")&amp;IF($C1495&gt;=5,", "&amp;$A1495&amp;"-"&amp;TEXT(($D1495-$C1495+1)+4,"00"),"")&amp;IF($C1495&gt;=6,", "&amp;$A1495&amp;"-"&amp;TEXT(($D1495-$C1495+1)+5,"00"),"")&amp;IF($C1495&gt;=7,", "&amp;$A1495&amp;"-"&amp;TEXT(($D1495-$C1495+1)+6,"00"),"")&amp;IF($C1495&gt;=8,", "&amp;$A1495&amp;"-"&amp;TEXT(($D1495-$C1495+1)+7,"00"),"")&amp;IF($C1495&gt;=9,", "&amp;$A1495&amp;"-"&amp;TEXT(($D1495-$C1495+1)+8,"00"),"")&amp;IF($C1495&gt;=10,", "&amp;$A1495&amp;"-"&amp;TEXT(($D1495-$C1495+1)+9,"00"),"")&amp;IF($C1495&gt;=11,", "&amp;$A1495&amp;"-"&amp;TEXT(($D1495-$C1495+1)+10,"00"),"")&amp;IF($C1495&gt;=12,", "&amp;$A1495&amp;"-"&amp;TEXT(($D1495-$C1495+1)+11,"00"),"")&amp;IF($C1495&gt;=13,", "&amp;$A1495&amp;"-"&amp;TEXT(($D1495-$C1495+1)+12,"00"),"")&amp;IF($C1495&gt;=14,", "&amp;$A1495&amp;"-"&amp;TEXT(($D1495-$C1495+1)+13,"00"),"")&amp;IF($C1495&gt;=15,", "&amp;$A1495&amp;"-"&amp;TEXT(($D1495-$C1495+1)+14,"00"),"")&amp;IF($C1495&gt;=16,", "&amp;$A1495&amp;"-"&amp;TEXT(($D1495-$C1495+1)+15,"00"),"")&amp;IF($C1495&gt;=17,", "&amp;$A1495&amp;"-"&amp;TEXT(($D1495-$C1495+1)+16,"00"),"")&amp;IF($C1495&gt;=18,", "&amp;$A1495&amp;"-"&amp;TEXT(($D1495-$C1495+1)+17,"00"),"")&amp;IF($C1495&gt;=19,", "&amp;$A1495&amp;"-"&amp;TEXT(($D1495-$C1495+1)+18,"00"),"")&amp;IF($C1495&gt;=20,", "&amp;$A1495&amp;"-"&amp;TEXT(($D1495-$C1495+1)+19,"00"),"")&amp;IF($C1495&gt;=21,", "&amp;$A1495&amp;"-"&amp;TEXT(($D1495-$C1495+1)+20,"00"),"")&amp;IF($C1495&gt;=22,", "&amp;$A1495&amp;"-"&amp;TEXT(($D1495-$C1495+1)+21,"00"),"")&amp;IF($C1495&gt;=23,", "&amp;$A1495&amp;"-"&amp;TEXT(($D1495-$C1495+1)+22,"00"),"")&amp;IF($C1495&gt;=24,", "&amp;$A1495&amp;"-"&amp;TEXT(($D1495-$C1495+1)+23,"00"),"")&amp;IF($C1495&gt;=25,", "&amp;$A1495&amp;"-"&amp;TEXT(($D1495-$C1495+1)+24,"00"),""))</f>
        <v/>
      </c>
      <c r="G1495">
        <f>IF($A1495="","",IF($E1495=1,$F1495,IF($F1495="",$G1494,IF($G1494="",$F1495,$G1494&amp;", "&amp;$F1495))))</f>
        <v/>
      </c>
      <c r="H1495">
        <f>IF($A1495="","",$A1495&amp;" ("&amp;$C1495&amp;")")</f>
        <v/>
      </c>
      <c r="I1495">
        <f>IF($A1495="","",IF($E1495=1,$H1495,$I1494&amp;", "&amp;$H1495))</f>
        <v/>
      </c>
      <c r="J1495">
        <f>IF($A1495="","",IF($E1495=1,$B1495,""))</f>
        <v/>
      </c>
      <c r="K1495">
        <f>IF($A1495="","",IF(COUNTIF($B$2:$B1495,$B1495)=COUNTIF($B$2:$B$1601,$B1495),$B1495,""))</f>
        <v/>
      </c>
    </row>
    <row r="1496">
      <c r="A1496">
        <f>IF('TMP Paste'!$E1496="","",'TMP Paste'!$E1496)</f>
        <v/>
      </c>
      <c r="B1496">
        <f>IF($A1496="","",COUNTIF('TMP Paste'!$B$2:$B1496,"?*"))</f>
        <v/>
      </c>
      <c r="C1496">
        <f>IF($A1496="","",IFERROR('TMP Paste'!$M1496*1,0))</f>
        <v/>
      </c>
      <c r="D1496">
        <f>IF($A1496="","",SUMIF($B$2:$B1496,$B1496,$C$2:$C1496))</f>
        <v/>
      </c>
      <c r="E1496">
        <f>IF($A1496="",0,IF('TMP Paste'!$B1496="",0,1))</f>
        <v/>
      </c>
      <c r="F1496">
        <f>IF(OR($A1496="",$C1496&lt;1),"",$A1496&amp;"-"&amp;TEXT(($D1496-$C1496+1),"00")&amp;IF($C1496&gt;=2,", "&amp;$A1496&amp;"-"&amp;TEXT(($D1496-$C1496+1)+1,"00"),"")&amp;IF($C1496&gt;=3,", "&amp;$A1496&amp;"-"&amp;TEXT(($D1496-$C1496+1)+2,"00"),"")&amp;IF($C1496&gt;=4,", "&amp;$A1496&amp;"-"&amp;TEXT(($D1496-$C1496+1)+3,"00"),"")&amp;IF($C1496&gt;=5,", "&amp;$A1496&amp;"-"&amp;TEXT(($D1496-$C1496+1)+4,"00"),"")&amp;IF($C1496&gt;=6,", "&amp;$A1496&amp;"-"&amp;TEXT(($D1496-$C1496+1)+5,"00"),"")&amp;IF($C1496&gt;=7,", "&amp;$A1496&amp;"-"&amp;TEXT(($D1496-$C1496+1)+6,"00"),"")&amp;IF($C1496&gt;=8,", "&amp;$A1496&amp;"-"&amp;TEXT(($D1496-$C1496+1)+7,"00"),"")&amp;IF($C1496&gt;=9,", "&amp;$A1496&amp;"-"&amp;TEXT(($D1496-$C1496+1)+8,"00"),"")&amp;IF($C1496&gt;=10,", "&amp;$A1496&amp;"-"&amp;TEXT(($D1496-$C1496+1)+9,"00"),"")&amp;IF($C1496&gt;=11,", "&amp;$A1496&amp;"-"&amp;TEXT(($D1496-$C1496+1)+10,"00"),"")&amp;IF($C1496&gt;=12,", "&amp;$A1496&amp;"-"&amp;TEXT(($D1496-$C1496+1)+11,"00"),"")&amp;IF($C1496&gt;=13,", "&amp;$A1496&amp;"-"&amp;TEXT(($D1496-$C1496+1)+12,"00"),"")&amp;IF($C1496&gt;=14,", "&amp;$A1496&amp;"-"&amp;TEXT(($D1496-$C1496+1)+13,"00"),"")&amp;IF($C1496&gt;=15,", "&amp;$A1496&amp;"-"&amp;TEXT(($D1496-$C1496+1)+14,"00"),"")&amp;IF($C1496&gt;=16,", "&amp;$A1496&amp;"-"&amp;TEXT(($D1496-$C1496+1)+15,"00"),"")&amp;IF($C1496&gt;=17,", "&amp;$A1496&amp;"-"&amp;TEXT(($D1496-$C1496+1)+16,"00"),"")&amp;IF($C1496&gt;=18,", "&amp;$A1496&amp;"-"&amp;TEXT(($D1496-$C1496+1)+17,"00"),"")&amp;IF($C1496&gt;=19,", "&amp;$A1496&amp;"-"&amp;TEXT(($D1496-$C1496+1)+18,"00"),"")&amp;IF($C1496&gt;=20,", "&amp;$A1496&amp;"-"&amp;TEXT(($D1496-$C1496+1)+19,"00"),"")&amp;IF($C1496&gt;=21,", "&amp;$A1496&amp;"-"&amp;TEXT(($D1496-$C1496+1)+20,"00"),"")&amp;IF($C1496&gt;=22,", "&amp;$A1496&amp;"-"&amp;TEXT(($D1496-$C1496+1)+21,"00"),"")&amp;IF($C1496&gt;=23,", "&amp;$A1496&amp;"-"&amp;TEXT(($D1496-$C1496+1)+22,"00"),"")&amp;IF($C1496&gt;=24,", "&amp;$A1496&amp;"-"&amp;TEXT(($D1496-$C1496+1)+23,"00"),"")&amp;IF($C1496&gt;=25,", "&amp;$A1496&amp;"-"&amp;TEXT(($D1496-$C1496+1)+24,"00"),""))</f>
        <v/>
      </c>
      <c r="G1496">
        <f>IF($A1496="","",IF($E1496=1,$F1496,IF($F1496="",$G1495,IF($G1495="",$F1496,$G1495&amp;", "&amp;$F1496))))</f>
        <v/>
      </c>
      <c r="H1496">
        <f>IF($A1496="","",$A1496&amp;" ("&amp;$C1496&amp;")")</f>
        <v/>
      </c>
      <c r="I1496">
        <f>IF($A1496="","",IF($E1496=1,$H1496,$I1495&amp;", "&amp;$H1496))</f>
        <v/>
      </c>
      <c r="J1496">
        <f>IF($A1496="","",IF($E1496=1,$B1496,""))</f>
        <v/>
      </c>
      <c r="K1496">
        <f>IF($A1496="","",IF(COUNTIF($B$2:$B1496,$B1496)=COUNTIF($B$2:$B$1601,$B1496),$B1496,""))</f>
        <v/>
      </c>
    </row>
    <row r="1497">
      <c r="A1497">
        <f>IF('TMP Paste'!$E1497="","",'TMP Paste'!$E1497)</f>
        <v/>
      </c>
      <c r="B1497">
        <f>IF($A1497="","",COUNTIF('TMP Paste'!$B$2:$B1497,"?*"))</f>
        <v/>
      </c>
      <c r="C1497">
        <f>IF($A1497="","",IFERROR('TMP Paste'!$M1497*1,0))</f>
        <v/>
      </c>
      <c r="D1497">
        <f>IF($A1497="","",SUMIF($B$2:$B1497,$B1497,$C$2:$C1497))</f>
        <v/>
      </c>
      <c r="E1497">
        <f>IF($A1497="",0,IF('TMP Paste'!$B1497="",0,1))</f>
        <v/>
      </c>
      <c r="F1497">
        <f>IF(OR($A1497="",$C1497&lt;1),"",$A1497&amp;"-"&amp;TEXT(($D1497-$C1497+1),"00")&amp;IF($C1497&gt;=2,", "&amp;$A1497&amp;"-"&amp;TEXT(($D1497-$C1497+1)+1,"00"),"")&amp;IF($C1497&gt;=3,", "&amp;$A1497&amp;"-"&amp;TEXT(($D1497-$C1497+1)+2,"00"),"")&amp;IF($C1497&gt;=4,", "&amp;$A1497&amp;"-"&amp;TEXT(($D1497-$C1497+1)+3,"00"),"")&amp;IF($C1497&gt;=5,", "&amp;$A1497&amp;"-"&amp;TEXT(($D1497-$C1497+1)+4,"00"),"")&amp;IF($C1497&gt;=6,", "&amp;$A1497&amp;"-"&amp;TEXT(($D1497-$C1497+1)+5,"00"),"")&amp;IF($C1497&gt;=7,", "&amp;$A1497&amp;"-"&amp;TEXT(($D1497-$C1497+1)+6,"00"),"")&amp;IF($C1497&gt;=8,", "&amp;$A1497&amp;"-"&amp;TEXT(($D1497-$C1497+1)+7,"00"),"")&amp;IF($C1497&gt;=9,", "&amp;$A1497&amp;"-"&amp;TEXT(($D1497-$C1497+1)+8,"00"),"")&amp;IF($C1497&gt;=10,", "&amp;$A1497&amp;"-"&amp;TEXT(($D1497-$C1497+1)+9,"00"),"")&amp;IF($C1497&gt;=11,", "&amp;$A1497&amp;"-"&amp;TEXT(($D1497-$C1497+1)+10,"00"),"")&amp;IF($C1497&gt;=12,", "&amp;$A1497&amp;"-"&amp;TEXT(($D1497-$C1497+1)+11,"00"),"")&amp;IF($C1497&gt;=13,", "&amp;$A1497&amp;"-"&amp;TEXT(($D1497-$C1497+1)+12,"00"),"")&amp;IF($C1497&gt;=14,", "&amp;$A1497&amp;"-"&amp;TEXT(($D1497-$C1497+1)+13,"00"),"")&amp;IF($C1497&gt;=15,", "&amp;$A1497&amp;"-"&amp;TEXT(($D1497-$C1497+1)+14,"00"),"")&amp;IF($C1497&gt;=16,", "&amp;$A1497&amp;"-"&amp;TEXT(($D1497-$C1497+1)+15,"00"),"")&amp;IF($C1497&gt;=17,", "&amp;$A1497&amp;"-"&amp;TEXT(($D1497-$C1497+1)+16,"00"),"")&amp;IF($C1497&gt;=18,", "&amp;$A1497&amp;"-"&amp;TEXT(($D1497-$C1497+1)+17,"00"),"")&amp;IF($C1497&gt;=19,", "&amp;$A1497&amp;"-"&amp;TEXT(($D1497-$C1497+1)+18,"00"),"")&amp;IF($C1497&gt;=20,", "&amp;$A1497&amp;"-"&amp;TEXT(($D1497-$C1497+1)+19,"00"),"")&amp;IF($C1497&gt;=21,", "&amp;$A1497&amp;"-"&amp;TEXT(($D1497-$C1497+1)+20,"00"),"")&amp;IF($C1497&gt;=22,", "&amp;$A1497&amp;"-"&amp;TEXT(($D1497-$C1497+1)+21,"00"),"")&amp;IF($C1497&gt;=23,", "&amp;$A1497&amp;"-"&amp;TEXT(($D1497-$C1497+1)+22,"00"),"")&amp;IF($C1497&gt;=24,", "&amp;$A1497&amp;"-"&amp;TEXT(($D1497-$C1497+1)+23,"00"),"")&amp;IF($C1497&gt;=25,", "&amp;$A1497&amp;"-"&amp;TEXT(($D1497-$C1497+1)+24,"00"),""))</f>
        <v/>
      </c>
      <c r="G1497">
        <f>IF($A1497="","",IF($E1497=1,$F1497,IF($F1497="",$G1496,IF($G1496="",$F1497,$G1496&amp;", "&amp;$F1497))))</f>
        <v/>
      </c>
      <c r="H1497">
        <f>IF($A1497="","",$A1497&amp;" ("&amp;$C1497&amp;")")</f>
        <v/>
      </c>
      <c r="I1497">
        <f>IF($A1497="","",IF($E1497=1,$H1497,$I1496&amp;", "&amp;$H1497))</f>
        <v/>
      </c>
      <c r="J1497">
        <f>IF($A1497="","",IF($E1497=1,$B1497,""))</f>
        <v/>
      </c>
      <c r="K1497">
        <f>IF($A1497="","",IF(COUNTIF($B$2:$B1497,$B1497)=COUNTIF($B$2:$B$1601,$B1497),$B1497,""))</f>
        <v/>
      </c>
    </row>
    <row r="1498">
      <c r="A1498">
        <f>IF('TMP Paste'!$E1498="","",'TMP Paste'!$E1498)</f>
        <v/>
      </c>
      <c r="B1498">
        <f>IF($A1498="","",COUNTIF('TMP Paste'!$B$2:$B1498,"?*"))</f>
        <v/>
      </c>
      <c r="C1498">
        <f>IF($A1498="","",IFERROR('TMP Paste'!$M1498*1,0))</f>
        <v/>
      </c>
      <c r="D1498">
        <f>IF($A1498="","",SUMIF($B$2:$B1498,$B1498,$C$2:$C1498))</f>
        <v/>
      </c>
      <c r="E1498">
        <f>IF($A1498="",0,IF('TMP Paste'!$B1498="",0,1))</f>
        <v/>
      </c>
      <c r="F1498">
        <f>IF(OR($A1498="",$C1498&lt;1),"",$A1498&amp;"-"&amp;TEXT(($D1498-$C1498+1),"00")&amp;IF($C1498&gt;=2,", "&amp;$A1498&amp;"-"&amp;TEXT(($D1498-$C1498+1)+1,"00"),"")&amp;IF($C1498&gt;=3,", "&amp;$A1498&amp;"-"&amp;TEXT(($D1498-$C1498+1)+2,"00"),"")&amp;IF($C1498&gt;=4,", "&amp;$A1498&amp;"-"&amp;TEXT(($D1498-$C1498+1)+3,"00"),"")&amp;IF($C1498&gt;=5,", "&amp;$A1498&amp;"-"&amp;TEXT(($D1498-$C1498+1)+4,"00"),"")&amp;IF($C1498&gt;=6,", "&amp;$A1498&amp;"-"&amp;TEXT(($D1498-$C1498+1)+5,"00"),"")&amp;IF($C1498&gt;=7,", "&amp;$A1498&amp;"-"&amp;TEXT(($D1498-$C1498+1)+6,"00"),"")&amp;IF($C1498&gt;=8,", "&amp;$A1498&amp;"-"&amp;TEXT(($D1498-$C1498+1)+7,"00"),"")&amp;IF($C1498&gt;=9,", "&amp;$A1498&amp;"-"&amp;TEXT(($D1498-$C1498+1)+8,"00"),"")&amp;IF($C1498&gt;=10,", "&amp;$A1498&amp;"-"&amp;TEXT(($D1498-$C1498+1)+9,"00"),"")&amp;IF($C1498&gt;=11,", "&amp;$A1498&amp;"-"&amp;TEXT(($D1498-$C1498+1)+10,"00"),"")&amp;IF($C1498&gt;=12,", "&amp;$A1498&amp;"-"&amp;TEXT(($D1498-$C1498+1)+11,"00"),"")&amp;IF($C1498&gt;=13,", "&amp;$A1498&amp;"-"&amp;TEXT(($D1498-$C1498+1)+12,"00"),"")&amp;IF($C1498&gt;=14,", "&amp;$A1498&amp;"-"&amp;TEXT(($D1498-$C1498+1)+13,"00"),"")&amp;IF($C1498&gt;=15,", "&amp;$A1498&amp;"-"&amp;TEXT(($D1498-$C1498+1)+14,"00"),"")&amp;IF($C1498&gt;=16,", "&amp;$A1498&amp;"-"&amp;TEXT(($D1498-$C1498+1)+15,"00"),"")&amp;IF($C1498&gt;=17,", "&amp;$A1498&amp;"-"&amp;TEXT(($D1498-$C1498+1)+16,"00"),"")&amp;IF($C1498&gt;=18,", "&amp;$A1498&amp;"-"&amp;TEXT(($D1498-$C1498+1)+17,"00"),"")&amp;IF($C1498&gt;=19,", "&amp;$A1498&amp;"-"&amp;TEXT(($D1498-$C1498+1)+18,"00"),"")&amp;IF($C1498&gt;=20,", "&amp;$A1498&amp;"-"&amp;TEXT(($D1498-$C1498+1)+19,"00"),"")&amp;IF($C1498&gt;=21,", "&amp;$A1498&amp;"-"&amp;TEXT(($D1498-$C1498+1)+20,"00"),"")&amp;IF($C1498&gt;=22,", "&amp;$A1498&amp;"-"&amp;TEXT(($D1498-$C1498+1)+21,"00"),"")&amp;IF($C1498&gt;=23,", "&amp;$A1498&amp;"-"&amp;TEXT(($D1498-$C1498+1)+22,"00"),"")&amp;IF($C1498&gt;=24,", "&amp;$A1498&amp;"-"&amp;TEXT(($D1498-$C1498+1)+23,"00"),"")&amp;IF($C1498&gt;=25,", "&amp;$A1498&amp;"-"&amp;TEXT(($D1498-$C1498+1)+24,"00"),""))</f>
        <v/>
      </c>
      <c r="G1498">
        <f>IF($A1498="","",IF($E1498=1,$F1498,IF($F1498="",$G1497,IF($G1497="",$F1498,$G1497&amp;", "&amp;$F1498))))</f>
        <v/>
      </c>
      <c r="H1498">
        <f>IF($A1498="","",$A1498&amp;" ("&amp;$C1498&amp;")")</f>
        <v/>
      </c>
      <c r="I1498">
        <f>IF($A1498="","",IF($E1498=1,$H1498,$I1497&amp;", "&amp;$H1498))</f>
        <v/>
      </c>
      <c r="J1498">
        <f>IF($A1498="","",IF($E1498=1,$B1498,""))</f>
        <v/>
      </c>
      <c r="K1498">
        <f>IF($A1498="","",IF(COUNTIF($B$2:$B1498,$B1498)=COUNTIF($B$2:$B$1601,$B1498),$B1498,""))</f>
        <v/>
      </c>
    </row>
    <row r="1499">
      <c r="A1499">
        <f>IF('TMP Paste'!$E1499="","",'TMP Paste'!$E1499)</f>
        <v/>
      </c>
      <c r="B1499">
        <f>IF($A1499="","",COUNTIF('TMP Paste'!$B$2:$B1499,"?*"))</f>
        <v/>
      </c>
      <c r="C1499">
        <f>IF($A1499="","",IFERROR('TMP Paste'!$M1499*1,0))</f>
        <v/>
      </c>
      <c r="D1499">
        <f>IF($A1499="","",SUMIF($B$2:$B1499,$B1499,$C$2:$C1499))</f>
        <v/>
      </c>
      <c r="E1499">
        <f>IF($A1499="",0,IF('TMP Paste'!$B1499="",0,1))</f>
        <v/>
      </c>
      <c r="F1499">
        <f>IF(OR($A1499="",$C1499&lt;1),"",$A1499&amp;"-"&amp;TEXT(($D1499-$C1499+1),"00")&amp;IF($C1499&gt;=2,", "&amp;$A1499&amp;"-"&amp;TEXT(($D1499-$C1499+1)+1,"00"),"")&amp;IF($C1499&gt;=3,", "&amp;$A1499&amp;"-"&amp;TEXT(($D1499-$C1499+1)+2,"00"),"")&amp;IF($C1499&gt;=4,", "&amp;$A1499&amp;"-"&amp;TEXT(($D1499-$C1499+1)+3,"00"),"")&amp;IF($C1499&gt;=5,", "&amp;$A1499&amp;"-"&amp;TEXT(($D1499-$C1499+1)+4,"00"),"")&amp;IF($C1499&gt;=6,", "&amp;$A1499&amp;"-"&amp;TEXT(($D1499-$C1499+1)+5,"00"),"")&amp;IF($C1499&gt;=7,", "&amp;$A1499&amp;"-"&amp;TEXT(($D1499-$C1499+1)+6,"00"),"")&amp;IF($C1499&gt;=8,", "&amp;$A1499&amp;"-"&amp;TEXT(($D1499-$C1499+1)+7,"00"),"")&amp;IF($C1499&gt;=9,", "&amp;$A1499&amp;"-"&amp;TEXT(($D1499-$C1499+1)+8,"00"),"")&amp;IF($C1499&gt;=10,", "&amp;$A1499&amp;"-"&amp;TEXT(($D1499-$C1499+1)+9,"00"),"")&amp;IF($C1499&gt;=11,", "&amp;$A1499&amp;"-"&amp;TEXT(($D1499-$C1499+1)+10,"00"),"")&amp;IF($C1499&gt;=12,", "&amp;$A1499&amp;"-"&amp;TEXT(($D1499-$C1499+1)+11,"00"),"")&amp;IF($C1499&gt;=13,", "&amp;$A1499&amp;"-"&amp;TEXT(($D1499-$C1499+1)+12,"00"),"")&amp;IF($C1499&gt;=14,", "&amp;$A1499&amp;"-"&amp;TEXT(($D1499-$C1499+1)+13,"00"),"")&amp;IF($C1499&gt;=15,", "&amp;$A1499&amp;"-"&amp;TEXT(($D1499-$C1499+1)+14,"00"),"")&amp;IF($C1499&gt;=16,", "&amp;$A1499&amp;"-"&amp;TEXT(($D1499-$C1499+1)+15,"00"),"")&amp;IF($C1499&gt;=17,", "&amp;$A1499&amp;"-"&amp;TEXT(($D1499-$C1499+1)+16,"00"),"")&amp;IF($C1499&gt;=18,", "&amp;$A1499&amp;"-"&amp;TEXT(($D1499-$C1499+1)+17,"00"),"")&amp;IF($C1499&gt;=19,", "&amp;$A1499&amp;"-"&amp;TEXT(($D1499-$C1499+1)+18,"00"),"")&amp;IF($C1499&gt;=20,", "&amp;$A1499&amp;"-"&amp;TEXT(($D1499-$C1499+1)+19,"00"),"")&amp;IF($C1499&gt;=21,", "&amp;$A1499&amp;"-"&amp;TEXT(($D1499-$C1499+1)+20,"00"),"")&amp;IF($C1499&gt;=22,", "&amp;$A1499&amp;"-"&amp;TEXT(($D1499-$C1499+1)+21,"00"),"")&amp;IF($C1499&gt;=23,", "&amp;$A1499&amp;"-"&amp;TEXT(($D1499-$C1499+1)+22,"00"),"")&amp;IF($C1499&gt;=24,", "&amp;$A1499&amp;"-"&amp;TEXT(($D1499-$C1499+1)+23,"00"),"")&amp;IF($C1499&gt;=25,", "&amp;$A1499&amp;"-"&amp;TEXT(($D1499-$C1499+1)+24,"00"),""))</f>
        <v/>
      </c>
      <c r="G1499">
        <f>IF($A1499="","",IF($E1499=1,$F1499,IF($F1499="",$G1498,IF($G1498="",$F1499,$G1498&amp;", "&amp;$F1499))))</f>
        <v/>
      </c>
      <c r="H1499">
        <f>IF($A1499="","",$A1499&amp;" ("&amp;$C1499&amp;")")</f>
        <v/>
      </c>
      <c r="I1499">
        <f>IF($A1499="","",IF($E1499=1,$H1499,$I1498&amp;", "&amp;$H1499))</f>
        <v/>
      </c>
      <c r="J1499">
        <f>IF($A1499="","",IF($E1499=1,$B1499,""))</f>
        <v/>
      </c>
      <c r="K1499">
        <f>IF($A1499="","",IF(COUNTIF($B$2:$B1499,$B1499)=COUNTIF($B$2:$B$1601,$B1499),$B1499,""))</f>
        <v/>
      </c>
    </row>
    <row r="1500">
      <c r="A1500">
        <f>IF('TMP Paste'!$E1500="","",'TMP Paste'!$E1500)</f>
        <v/>
      </c>
      <c r="B1500">
        <f>IF($A1500="","",COUNTIF('TMP Paste'!$B$2:$B1500,"?*"))</f>
        <v/>
      </c>
      <c r="C1500">
        <f>IF($A1500="","",IFERROR('TMP Paste'!$M1500*1,0))</f>
        <v/>
      </c>
      <c r="D1500">
        <f>IF($A1500="","",SUMIF($B$2:$B1500,$B1500,$C$2:$C1500))</f>
        <v/>
      </c>
      <c r="E1500">
        <f>IF($A1500="",0,IF('TMP Paste'!$B1500="",0,1))</f>
        <v/>
      </c>
      <c r="F1500">
        <f>IF(OR($A1500="",$C1500&lt;1),"",$A1500&amp;"-"&amp;TEXT(($D1500-$C1500+1),"00")&amp;IF($C1500&gt;=2,", "&amp;$A1500&amp;"-"&amp;TEXT(($D1500-$C1500+1)+1,"00"),"")&amp;IF($C1500&gt;=3,", "&amp;$A1500&amp;"-"&amp;TEXT(($D1500-$C1500+1)+2,"00"),"")&amp;IF($C1500&gt;=4,", "&amp;$A1500&amp;"-"&amp;TEXT(($D1500-$C1500+1)+3,"00"),"")&amp;IF($C1500&gt;=5,", "&amp;$A1500&amp;"-"&amp;TEXT(($D1500-$C1500+1)+4,"00"),"")&amp;IF($C1500&gt;=6,", "&amp;$A1500&amp;"-"&amp;TEXT(($D1500-$C1500+1)+5,"00"),"")&amp;IF($C1500&gt;=7,", "&amp;$A1500&amp;"-"&amp;TEXT(($D1500-$C1500+1)+6,"00"),"")&amp;IF($C1500&gt;=8,", "&amp;$A1500&amp;"-"&amp;TEXT(($D1500-$C1500+1)+7,"00"),"")&amp;IF($C1500&gt;=9,", "&amp;$A1500&amp;"-"&amp;TEXT(($D1500-$C1500+1)+8,"00"),"")&amp;IF($C1500&gt;=10,", "&amp;$A1500&amp;"-"&amp;TEXT(($D1500-$C1500+1)+9,"00"),"")&amp;IF($C1500&gt;=11,", "&amp;$A1500&amp;"-"&amp;TEXT(($D1500-$C1500+1)+10,"00"),"")&amp;IF($C1500&gt;=12,", "&amp;$A1500&amp;"-"&amp;TEXT(($D1500-$C1500+1)+11,"00"),"")&amp;IF($C1500&gt;=13,", "&amp;$A1500&amp;"-"&amp;TEXT(($D1500-$C1500+1)+12,"00"),"")&amp;IF($C1500&gt;=14,", "&amp;$A1500&amp;"-"&amp;TEXT(($D1500-$C1500+1)+13,"00"),"")&amp;IF($C1500&gt;=15,", "&amp;$A1500&amp;"-"&amp;TEXT(($D1500-$C1500+1)+14,"00"),"")&amp;IF($C1500&gt;=16,", "&amp;$A1500&amp;"-"&amp;TEXT(($D1500-$C1500+1)+15,"00"),"")&amp;IF($C1500&gt;=17,", "&amp;$A1500&amp;"-"&amp;TEXT(($D1500-$C1500+1)+16,"00"),"")&amp;IF($C1500&gt;=18,", "&amp;$A1500&amp;"-"&amp;TEXT(($D1500-$C1500+1)+17,"00"),"")&amp;IF($C1500&gt;=19,", "&amp;$A1500&amp;"-"&amp;TEXT(($D1500-$C1500+1)+18,"00"),"")&amp;IF($C1500&gt;=20,", "&amp;$A1500&amp;"-"&amp;TEXT(($D1500-$C1500+1)+19,"00"),"")&amp;IF($C1500&gt;=21,", "&amp;$A1500&amp;"-"&amp;TEXT(($D1500-$C1500+1)+20,"00"),"")&amp;IF($C1500&gt;=22,", "&amp;$A1500&amp;"-"&amp;TEXT(($D1500-$C1500+1)+21,"00"),"")&amp;IF($C1500&gt;=23,", "&amp;$A1500&amp;"-"&amp;TEXT(($D1500-$C1500+1)+22,"00"),"")&amp;IF($C1500&gt;=24,", "&amp;$A1500&amp;"-"&amp;TEXT(($D1500-$C1500+1)+23,"00"),"")&amp;IF($C1500&gt;=25,", "&amp;$A1500&amp;"-"&amp;TEXT(($D1500-$C1500+1)+24,"00"),""))</f>
        <v/>
      </c>
      <c r="G1500">
        <f>IF($A1500="","",IF($E1500=1,$F1500,IF($F1500="",$G1499,IF($G1499="",$F1500,$G1499&amp;", "&amp;$F1500))))</f>
        <v/>
      </c>
      <c r="H1500">
        <f>IF($A1500="","",$A1500&amp;" ("&amp;$C1500&amp;")")</f>
        <v/>
      </c>
      <c r="I1500">
        <f>IF($A1500="","",IF($E1500=1,$H1500,$I1499&amp;", "&amp;$H1500))</f>
        <v/>
      </c>
      <c r="J1500">
        <f>IF($A1500="","",IF($E1500=1,$B1500,""))</f>
        <v/>
      </c>
      <c r="K1500">
        <f>IF($A1500="","",IF(COUNTIF($B$2:$B1500,$B1500)=COUNTIF($B$2:$B$1601,$B1500),$B1500,""))</f>
        <v/>
      </c>
    </row>
    <row r="1501">
      <c r="A1501">
        <f>IF('TMP Paste'!$E1501="","",'TMP Paste'!$E1501)</f>
        <v/>
      </c>
      <c r="B1501">
        <f>IF($A1501="","",COUNTIF('TMP Paste'!$B$2:$B1501,"?*"))</f>
        <v/>
      </c>
      <c r="C1501">
        <f>IF($A1501="","",IFERROR('TMP Paste'!$M1501*1,0))</f>
        <v/>
      </c>
      <c r="D1501">
        <f>IF($A1501="","",SUMIF($B$2:$B1501,$B1501,$C$2:$C1501))</f>
        <v/>
      </c>
      <c r="E1501">
        <f>IF($A1501="",0,IF('TMP Paste'!$B1501="",0,1))</f>
        <v/>
      </c>
      <c r="F1501">
        <f>IF(OR($A1501="",$C1501&lt;1),"",$A1501&amp;"-"&amp;TEXT(($D1501-$C1501+1),"00")&amp;IF($C1501&gt;=2,", "&amp;$A1501&amp;"-"&amp;TEXT(($D1501-$C1501+1)+1,"00"),"")&amp;IF($C1501&gt;=3,", "&amp;$A1501&amp;"-"&amp;TEXT(($D1501-$C1501+1)+2,"00"),"")&amp;IF($C1501&gt;=4,", "&amp;$A1501&amp;"-"&amp;TEXT(($D1501-$C1501+1)+3,"00"),"")&amp;IF($C1501&gt;=5,", "&amp;$A1501&amp;"-"&amp;TEXT(($D1501-$C1501+1)+4,"00"),"")&amp;IF($C1501&gt;=6,", "&amp;$A1501&amp;"-"&amp;TEXT(($D1501-$C1501+1)+5,"00"),"")&amp;IF($C1501&gt;=7,", "&amp;$A1501&amp;"-"&amp;TEXT(($D1501-$C1501+1)+6,"00"),"")&amp;IF($C1501&gt;=8,", "&amp;$A1501&amp;"-"&amp;TEXT(($D1501-$C1501+1)+7,"00"),"")&amp;IF($C1501&gt;=9,", "&amp;$A1501&amp;"-"&amp;TEXT(($D1501-$C1501+1)+8,"00"),"")&amp;IF($C1501&gt;=10,", "&amp;$A1501&amp;"-"&amp;TEXT(($D1501-$C1501+1)+9,"00"),"")&amp;IF($C1501&gt;=11,", "&amp;$A1501&amp;"-"&amp;TEXT(($D1501-$C1501+1)+10,"00"),"")&amp;IF($C1501&gt;=12,", "&amp;$A1501&amp;"-"&amp;TEXT(($D1501-$C1501+1)+11,"00"),"")&amp;IF($C1501&gt;=13,", "&amp;$A1501&amp;"-"&amp;TEXT(($D1501-$C1501+1)+12,"00"),"")&amp;IF($C1501&gt;=14,", "&amp;$A1501&amp;"-"&amp;TEXT(($D1501-$C1501+1)+13,"00"),"")&amp;IF($C1501&gt;=15,", "&amp;$A1501&amp;"-"&amp;TEXT(($D1501-$C1501+1)+14,"00"),"")&amp;IF($C1501&gt;=16,", "&amp;$A1501&amp;"-"&amp;TEXT(($D1501-$C1501+1)+15,"00"),"")&amp;IF($C1501&gt;=17,", "&amp;$A1501&amp;"-"&amp;TEXT(($D1501-$C1501+1)+16,"00"),"")&amp;IF($C1501&gt;=18,", "&amp;$A1501&amp;"-"&amp;TEXT(($D1501-$C1501+1)+17,"00"),"")&amp;IF($C1501&gt;=19,", "&amp;$A1501&amp;"-"&amp;TEXT(($D1501-$C1501+1)+18,"00"),"")&amp;IF($C1501&gt;=20,", "&amp;$A1501&amp;"-"&amp;TEXT(($D1501-$C1501+1)+19,"00"),"")&amp;IF($C1501&gt;=21,", "&amp;$A1501&amp;"-"&amp;TEXT(($D1501-$C1501+1)+20,"00"),"")&amp;IF($C1501&gt;=22,", "&amp;$A1501&amp;"-"&amp;TEXT(($D1501-$C1501+1)+21,"00"),"")&amp;IF($C1501&gt;=23,", "&amp;$A1501&amp;"-"&amp;TEXT(($D1501-$C1501+1)+22,"00"),"")&amp;IF($C1501&gt;=24,", "&amp;$A1501&amp;"-"&amp;TEXT(($D1501-$C1501+1)+23,"00"),"")&amp;IF($C1501&gt;=25,", "&amp;$A1501&amp;"-"&amp;TEXT(($D1501-$C1501+1)+24,"00"),""))</f>
        <v/>
      </c>
      <c r="G1501">
        <f>IF($A1501="","",IF($E1501=1,$F1501,IF($F1501="",$G1500,IF($G1500="",$F1501,$G1500&amp;", "&amp;$F1501))))</f>
        <v/>
      </c>
      <c r="H1501">
        <f>IF($A1501="","",$A1501&amp;" ("&amp;$C1501&amp;")")</f>
        <v/>
      </c>
      <c r="I1501">
        <f>IF($A1501="","",IF($E1501=1,$H1501,$I1500&amp;", "&amp;$H1501))</f>
        <v/>
      </c>
      <c r="J1501">
        <f>IF($A1501="","",IF($E1501=1,$B1501,""))</f>
        <v/>
      </c>
      <c r="K1501">
        <f>IF($A1501="","",IF(COUNTIF($B$2:$B1501,$B1501)=COUNTIF($B$2:$B$1601,$B1501),$B1501,""))</f>
        <v/>
      </c>
    </row>
    <row r="1502">
      <c r="A1502">
        <f>IF('TMP Paste'!$E1502="","",'TMP Paste'!$E1502)</f>
        <v/>
      </c>
      <c r="B1502">
        <f>IF($A1502="","",COUNTIF('TMP Paste'!$B$2:$B1502,"?*"))</f>
        <v/>
      </c>
      <c r="C1502">
        <f>IF($A1502="","",IFERROR('TMP Paste'!$M1502*1,0))</f>
        <v/>
      </c>
      <c r="D1502">
        <f>IF($A1502="","",SUMIF($B$2:$B1502,$B1502,$C$2:$C1502))</f>
        <v/>
      </c>
      <c r="E1502">
        <f>IF($A1502="",0,IF('TMP Paste'!$B1502="",0,1))</f>
        <v/>
      </c>
      <c r="F1502">
        <f>IF(OR($A1502="",$C1502&lt;1),"",$A1502&amp;"-"&amp;TEXT(($D1502-$C1502+1),"00")&amp;IF($C1502&gt;=2,", "&amp;$A1502&amp;"-"&amp;TEXT(($D1502-$C1502+1)+1,"00"),"")&amp;IF($C1502&gt;=3,", "&amp;$A1502&amp;"-"&amp;TEXT(($D1502-$C1502+1)+2,"00"),"")&amp;IF($C1502&gt;=4,", "&amp;$A1502&amp;"-"&amp;TEXT(($D1502-$C1502+1)+3,"00"),"")&amp;IF($C1502&gt;=5,", "&amp;$A1502&amp;"-"&amp;TEXT(($D1502-$C1502+1)+4,"00"),"")&amp;IF($C1502&gt;=6,", "&amp;$A1502&amp;"-"&amp;TEXT(($D1502-$C1502+1)+5,"00"),"")&amp;IF($C1502&gt;=7,", "&amp;$A1502&amp;"-"&amp;TEXT(($D1502-$C1502+1)+6,"00"),"")&amp;IF($C1502&gt;=8,", "&amp;$A1502&amp;"-"&amp;TEXT(($D1502-$C1502+1)+7,"00"),"")&amp;IF($C1502&gt;=9,", "&amp;$A1502&amp;"-"&amp;TEXT(($D1502-$C1502+1)+8,"00"),"")&amp;IF($C1502&gt;=10,", "&amp;$A1502&amp;"-"&amp;TEXT(($D1502-$C1502+1)+9,"00"),"")&amp;IF($C1502&gt;=11,", "&amp;$A1502&amp;"-"&amp;TEXT(($D1502-$C1502+1)+10,"00"),"")&amp;IF($C1502&gt;=12,", "&amp;$A1502&amp;"-"&amp;TEXT(($D1502-$C1502+1)+11,"00"),"")&amp;IF($C1502&gt;=13,", "&amp;$A1502&amp;"-"&amp;TEXT(($D1502-$C1502+1)+12,"00"),"")&amp;IF($C1502&gt;=14,", "&amp;$A1502&amp;"-"&amp;TEXT(($D1502-$C1502+1)+13,"00"),"")&amp;IF($C1502&gt;=15,", "&amp;$A1502&amp;"-"&amp;TEXT(($D1502-$C1502+1)+14,"00"),"")&amp;IF($C1502&gt;=16,", "&amp;$A1502&amp;"-"&amp;TEXT(($D1502-$C1502+1)+15,"00"),"")&amp;IF($C1502&gt;=17,", "&amp;$A1502&amp;"-"&amp;TEXT(($D1502-$C1502+1)+16,"00"),"")&amp;IF($C1502&gt;=18,", "&amp;$A1502&amp;"-"&amp;TEXT(($D1502-$C1502+1)+17,"00"),"")&amp;IF($C1502&gt;=19,", "&amp;$A1502&amp;"-"&amp;TEXT(($D1502-$C1502+1)+18,"00"),"")&amp;IF($C1502&gt;=20,", "&amp;$A1502&amp;"-"&amp;TEXT(($D1502-$C1502+1)+19,"00"),"")&amp;IF($C1502&gt;=21,", "&amp;$A1502&amp;"-"&amp;TEXT(($D1502-$C1502+1)+20,"00"),"")&amp;IF($C1502&gt;=22,", "&amp;$A1502&amp;"-"&amp;TEXT(($D1502-$C1502+1)+21,"00"),"")&amp;IF($C1502&gt;=23,", "&amp;$A1502&amp;"-"&amp;TEXT(($D1502-$C1502+1)+22,"00"),"")&amp;IF($C1502&gt;=24,", "&amp;$A1502&amp;"-"&amp;TEXT(($D1502-$C1502+1)+23,"00"),"")&amp;IF($C1502&gt;=25,", "&amp;$A1502&amp;"-"&amp;TEXT(($D1502-$C1502+1)+24,"00"),""))</f>
        <v/>
      </c>
      <c r="G1502">
        <f>IF($A1502="","",IF($E1502=1,$F1502,IF($F1502="",$G1501,IF($G1501="",$F1502,$G1501&amp;", "&amp;$F1502))))</f>
        <v/>
      </c>
      <c r="H1502">
        <f>IF($A1502="","",$A1502&amp;" ("&amp;$C1502&amp;")")</f>
        <v/>
      </c>
      <c r="I1502">
        <f>IF($A1502="","",IF($E1502=1,$H1502,$I1501&amp;", "&amp;$H1502))</f>
        <v/>
      </c>
      <c r="J1502">
        <f>IF($A1502="","",IF($E1502=1,$B1502,""))</f>
        <v/>
      </c>
      <c r="K1502">
        <f>IF($A1502="","",IF(COUNTIF($B$2:$B1502,$B1502)=COUNTIF($B$2:$B$1601,$B1502),$B1502,""))</f>
        <v/>
      </c>
    </row>
    <row r="1503">
      <c r="A1503">
        <f>IF('TMP Paste'!$E1503="","",'TMP Paste'!$E1503)</f>
        <v/>
      </c>
      <c r="B1503">
        <f>IF($A1503="","",COUNTIF('TMP Paste'!$B$2:$B1503,"?*"))</f>
        <v/>
      </c>
      <c r="C1503">
        <f>IF($A1503="","",IFERROR('TMP Paste'!$M1503*1,0))</f>
        <v/>
      </c>
      <c r="D1503">
        <f>IF($A1503="","",SUMIF($B$2:$B1503,$B1503,$C$2:$C1503))</f>
        <v/>
      </c>
      <c r="E1503">
        <f>IF($A1503="",0,IF('TMP Paste'!$B1503="",0,1))</f>
        <v/>
      </c>
      <c r="F1503">
        <f>IF(OR($A1503="",$C1503&lt;1),"",$A1503&amp;"-"&amp;TEXT(($D1503-$C1503+1),"00")&amp;IF($C1503&gt;=2,", "&amp;$A1503&amp;"-"&amp;TEXT(($D1503-$C1503+1)+1,"00"),"")&amp;IF($C1503&gt;=3,", "&amp;$A1503&amp;"-"&amp;TEXT(($D1503-$C1503+1)+2,"00"),"")&amp;IF($C1503&gt;=4,", "&amp;$A1503&amp;"-"&amp;TEXT(($D1503-$C1503+1)+3,"00"),"")&amp;IF($C1503&gt;=5,", "&amp;$A1503&amp;"-"&amp;TEXT(($D1503-$C1503+1)+4,"00"),"")&amp;IF($C1503&gt;=6,", "&amp;$A1503&amp;"-"&amp;TEXT(($D1503-$C1503+1)+5,"00"),"")&amp;IF($C1503&gt;=7,", "&amp;$A1503&amp;"-"&amp;TEXT(($D1503-$C1503+1)+6,"00"),"")&amp;IF($C1503&gt;=8,", "&amp;$A1503&amp;"-"&amp;TEXT(($D1503-$C1503+1)+7,"00"),"")&amp;IF($C1503&gt;=9,", "&amp;$A1503&amp;"-"&amp;TEXT(($D1503-$C1503+1)+8,"00"),"")&amp;IF($C1503&gt;=10,", "&amp;$A1503&amp;"-"&amp;TEXT(($D1503-$C1503+1)+9,"00"),"")&amp;IF($C1503&gt;=11,", "&amp;$A1503&amp;"-"&amp;TEXT(($D1503-$C1503+1)+10,"00"),"")&amp;IF($C1503&gt;=12,", "&amp;$A1503&amp;"-"&amp;TEXT(($D1503-$C1503+1)+11,"00"),"")&amp;IF($C1503&gt;=13,", "&amp;$A1503&amp;"-"&amp;TEXT(($D1503-$C1503+1)+12,"00"),"")&amp;IF($C1503&gt;=14,", "&amp;$A1503&amp;"-"&amp;TEXT(($D1503-$C1503+1)+13,"00"),"")&amp;IF($C1503&gt;=15,", "&amp;$A1503&amp;"-"&amp;TEXT(($D1503-$C1503+1)+14,"00"),"")&amp;IF($C1503&gt;=16,", "&amp;$A1503&amp;"-"&amp;TEXT(($D1503-$C1503+1)+15,"00"),"")&amp;IF($C1503&gt;=17,", "&amp;$A1503&amp;"-"&amp;TEXT(($D1503-$C1503+1)+16,"00"),"")&amp;IF($C1503&gt;=18,", "&amp;$A1503&amp;"-"&amp;TEXT(($D1503-$C1503+1)+17,"00"),"")&amp;IF($C1503&gt;=19,", "&amp;$A1503&amp;"-"&amp;TEXT(($D1503-$C1503+1)+18,"00"),"")&amp;IF($C1503&gt;=20,", "&amp;$A1503&amp;"-"&amp;TEXT(($D1503-$C1503+1)+19,"00"),"")&amp;IF($C1503&gt;=21,", "&amp;$A1503&amp;"-"&amp;TEXT(($D1503-$C1503+1)+20,"00"),"")&amp;IF($C1503&gt;=22,", "&amp;$A1503&amp;"-"&amp;TEXT(($D1503-$C1503+1)+21,"00"),"")&amp;IF($C1503&gt;=23,", "&amp;$A1503&amp;"-"&amp;TEXT(($D1503-$C1503+1)+22,"00"),"")&amp;IF($C1503&gt;=24,", "&amp;$A1503&amp;"-"&amp;TEXT(($D1503-$C1503+1)+23,"00"),"")&amp;IF($C1503&gt;=25,", "&amp;$A1503&amp;"-"&amp;TEXT(($D1503-$C1503+1)+24,"00"),""))</f>
        <v/>
      </c>
      <c r="G1503">
        <f>IF($A1503="","",IF($E1503=1,$F1503,IF($F1503="",$G1502,IF($G1502="",$F1503,$G1502&amp;", "&amp;$F1503))))</f>
        <v/>
      </c>
      <c r="H1503">
        <f>IF($A1503="","",$A1503&amp;" ("&amp;$C1503&amp;")")</f>
        <v/>
      </c>
      <c r="I1503">
        <f>IF($A1503="","",IF($E1503=1,$H1503,$I1502&amp;", "&amp;$H1503))</f>
        <v/>
      </c>
      <c r="J1503">
        <f>IF($A1503="","",IF($E1503=1,$B1503,""))</f>
        <v/>
      </c>
      <c r="K1503">
        <f>IF($A1503="","",IF(COUNTIF($B$2:$B1503,$B1503)=COUNTIF($B$2:$B$1601,$B1503),$B1503,""))</f>
        <v/>
      </c>
    </row>
    <row r="1504">
      <c r="A1504">
        <f>IF('TMP Paste'!$E1504="","",'TMP Paste'!$E1504)</f>
        <v/>
      </c>
      <c r="B1504">
        <f>IF($A1504="","",COUNTIF('TMP Paste'!$B$2:$B1504,"?*"))</f>
        <v/>
      </c>
      <c r="C1504">
        <f>IF($A1504="","",IFERROR('TMP Paste'!$M1504*1,0))</f>
        <v/>
      </c>
      <c r="D1504">
        <f>IF($A1504="","",SUMIF($B$2:$B1504,$B1504,$C$2:$C1504))</f>
        <v/>
      </c>
      <c r="E1504">
        <f>IF($A1504="",0,IF('TMP Paste'!$B1504="",0,1))</f>
        <v/>
      </c>
      <c r="F1504">
        <f>IF(OR($A1504="",$C1504&lt;1),"",$A1504&amp;"-"&amp;TEXT(($D1504-$C1504+1),"00")&amp;IF($C1504&gt;=2,", "&amp;$A1504&amp;"-"&amp;TEXT(($D1504-$C1504+1)+1,"00"),"")&amp;IF($C1504&gt;=3,", "&amp;$A1504&amp;"-"&amp;TEXT(($D1504-$C1504+1)+2,"00"),"")&amp;IF($C1504&gt;=4,", "&amp;$A1504&amp;"-"&amp;TEXT(($D1504-$C1504+1)+3,"00"),"")&amp;IF($C1504&gt;=5,", "&amp;$A1504&amp;"-"&amp;TEXT(($D1504-$C1504+1)+4,"00"),"")&amp;IF($C1504&gt;=6,", "&amp;$A1504&amp;"-"&amp;TEXT(($D1504-$C1504+1)+5,"00"),"")&amp;IF($C1504&gt;=7,", "&amp;$A1504&amp;"-"&amp;TEXT(($D1504-$C1504+1)+6,"00"),"")&amp;IF($C1504&gt;=8,", "&amp;$A1504&amp;"-"&amp;TEXT(($D1504-$C1504+1)+7,"00"),"")&amp;IF($C1504&gt;=9,", "&amp;$A1504&amp;"-"&amp;TEXT(($D1504-$C1504+1)+8,"00"),"")&amp;IF($C1504&gt;=10,", "&amp;$A1504&amp;"-"&amp;TEXT(($D1504-$C1504+1)+9,"00"),"")&amp;IF($C1504&gt;=11,", "&amp;$A1504&amp;"-"&amp;TEXT(($D1504-$C1504+1)+10,"00"),"")&amp;IF($C1504&gt;=12,", "&amp;$A1504&amp;"-"&amp;TEXT(($D1504-$C1504+1)+11,"00"),"")&amp;IF($C1504&gt;=13,", "&amp;$A1504&amp;"-"&amp;TEXT(($D1504-$C1504+1)+12,"00"),"")&amp;IF($C1504&gt;=14,", "&amp;$A1504&amp;"-"&amp;TEXT(($D1504-$C1504+1)+13,"00"),"")&amp;IF($C1504&gt;=15,", "&amp;$A1504&amp;"-"&amp;TEXT(($D1504-$C1504+1)+14,"00"),"")&amp;IF($C1504&gt;=16,", "&amp;$A1504&amp;"-"&amp;TEXT(($D1504-$C1504+1)+15,"00"),"")&amp;IF($C1504&gt;=17,", "&amp;$A1504&amp;"-"&amp;TEXT(($D1504-$C1504+1)+16,"00"),"")&amp;IF($C1504&gt;=18,", "&amp;$A1504&amp;"-"&amp;TEXT(($D1504-$C1504+1)+17,"00"),"")&amp;IF($C1504&gt;=19,", "&amp;$A1504&amp;"-"&amp;TEXT(($D1504-$C1504+1)+18,"00"),"")&amp;IF($C1504&gt;=20,", "&amp;$A1504&amp;"-"&amp;TEXT(($D1504-$C1504+1)+19,"00"),"")&amp;IF($C1504&gt;=21,", "&amp;$A1504&amp;"-"&amp;TEXT(($D1504-$C1504+1)+20,"00"),"")&amp;IF($C1504&gt;=22,", "&amp;$A1504&amp;"-"&amp;TEXT(($D1504-$C1504+1)+21,"00"),"")&amp;IF($C1504&gt;=23,", "&amp;$A1504&amp;"-"&amp;TEXT(($D1504-$C1504+1)+22,"00"),"")&amp;IF($C1504&gt;=24,", "&amp;$A1504&amp;"-"&amp;TEXT(($D1504-$C1504+1)+23,"00"),"")&amp;IF($C1504&gt;=25,", "&amp;$A1504&amp;"-"&amp;TEXT(($D1504-$C1504+1)+24,"00"),""))</f>
        <v/>
      </c>
      <c r="G1504">
        <f>IF($A1504="","",IF($E1504=1,$F1504,IF($F1504="",$G1503,IF($G1503="",$F1504,$G1503&amp;", "&amp;$F1504))))</f>
        <v/>
      </c>
      <c r="H1504">
        <f>IF($A1504="","",$A1504&amp;" ("&amp;$C1504&amp;")")</f>
        <v/>
      </c>
      <c r="I1504">
        <f>IF($A1504="","",IF($E1504=1,$H1504,$I1503&amp;", "&amp;$H1504))</f>
        <v/>
      </c>
      <c r="J1504">
        <f>IF($A1504="","",IF($E1504=1,$B1504,""))</f>
        <v/>
      </c>
      <c r="K1504">
        <f>IF($A1504="","",IF(COUNTIF($B$2:$B1504,$B1504)=COUNTIF($B$2:$B$1601,$B1504),$B1504,""))</f>
        <v/>
      </c>
    </row>
    <row r="1505">
      <c r="A1505">
        <f>IF('TMP Paste'!$E1505="","",'TMP Paste'!$E1505)</f>
        <v/>
      </c>
      <c r="B1505">
        <f>IF($A1505="","",COUNTIF('TMP Paste'!$B$2:$B1505,"?*"))</f>
        <v/>
      </c>
      <c r="C1505">
        <f>IF($A1505="","",IFERROR('TMP Paste'!$M1505*1,0))</f>
        <v/>
      </c>
      <c r="D1505">
        <f>IF($A1505="","",SUMIF($B$2:$B1505,$B1505,$C$2:$C1505))</f>
        <v/>
      </c>
      <c r="E1505">
        <f>IF($A1505="",0,IF('TMP Paste'!$B1505="",0,1))</f>
        <v/>
      </c>
      <c r="F1505">
        <f>IF(OR($A1505="",$C1505&lt;1),"",$A1505&amp;"-"&amp;TEXT(($D1505-$C1505+1),"00")&amp;IF($C1505&gt;=2,", "&amp;$A1505&amp;"-"&amp;TEXT(($D1505-$C1505+1)+1,"00"),"")&amp;IF($C1505&gt;=3,", "&amp;$A1505&amp;"-"&amp;TEXT(($D1505-$C1505+1)+2,"00"),"")&amp;IF($C1505&gt;=4,", "&amp;$A1505&amp;"-"&amp;TEXT(($D1505-$C1505+1)+3,"00"),"")&amp;IF($C1505&gt;=5,", "&amp;$A1505&amp;"-"&amp;TEXT(($D1505-$C1505+1)+4,"00"),"")&amp;IF($C1505&gt;=6,", "&amp;$A1505&amp;"-"&amp;TEXT(($D1505-$C1505+1)+5,"00"),"")&amp;IF($C1505&gt;=7,", "&amp;$A1505&amp;"-"&amp;TEXT(($D1505-$C1505+1)+6,"00"),"")&amp;IF($C1505&gt;=8,", "&amp;$A1505&amp;"-"&amp;TEXT(($D1505-$C1505+1)+7,"00"),"")&amp;IF($C1505&gt;=9,", "&amp;$A1505&amp;"-"&amp;TEXT(($D1505-$C1505+1)+8,"00"),"")&amp;IF($C1505&gt;=10,", "&amp;$A1505&amp;"-"&amp;TEXT(($D1505-$C1505+1)+9,"00"),"")&amp;IF($C1505&gt;=11,", "&amp;$A1505&amp;"-"&amp;TEXT(($D1505-$C1505+1)+10,"00"),"")&amp;IF($C1505&gt;=12,", "&amp;$A1505&amp;"-"&amp;TEXT(($D1505-$C1505+1)+11,"00"),"")&amp;IF($C1505&gt;=13,", "&amp;$A1505&amp;"-"&amp;TEXT(($D1505-$C1505+1)+12,"00"),"")&amp;IF($C1505&gt;=14,", "&amp;$A1505&amp;"-"&amp;TEXT(($D1505-$C1505+1)+13,"00"),"")&amp;IF($C1505&gt;=15,", "&amp;$A1505&amp;"-"&amp;TEXT(($D1505-$C1505+1)+14,"00"),"")&amp;IF($C1505&gt;=16,", "&amp;$A1505&amp;"-"&amp;TEXT(($D1505-$C1505+1)+15,"00"),"")&amp;IF($C1505&gt;=17,", "&amp;$A1505&amp;"-"&amp;TEXT(($D1505-$C1505+1)+16,"00"),"")&amp;IF($C1505&gt;=18,", "&amp;$A1505&amp;"-"&amp;TEXT(($D1505-$C1505+1)+17,"00"),"")&amp;IF($C1505&gt;=19,", "&amp;$A1505&amp;"-"&amp;TEXT(($D1505-$C1505+1)+18,"00"),"")&amp;IF($C1505&gt;=20,", "&amp;$A1505&amp;"-"&amp;TEXT(($D1505-$C1505+1)+19,"00"),"")&amp;IF($C1505&gt;=21,", "&amp;$A1505&amp;"-"&amp;TEXT(($D1505-$C1505+1)+20,"00"),"")&amp;IF($C1505&gt;=22,", "&amp;$A1505&amp;"-"&amp;TEXT(($D1505-$C1505+1)+21,"00"),"")&amp;IF($C1505&gt;=23,", "&amp;$A1505&amp;"-"&amp;TEXT(($D1505-$C1505+1)+22,"00"),"")&amp;IF($C1505&gt;=24,", "&amp;$A1505&amp;"-"&amp;TEXT(($D1505-$C1505+1)+23,"00"),"")&amp;IF($C1505&gt;=25,", "&amp;$A1505&amp;"-"&amp;TEXT(($D1505-$C1505+1)+24,"00"),""))</f>
        <v/>
      </c>
      <c r="G1505">
        <f>IF($A1505="","",IF($E1505=1,$F1505,IF($F1505="",$G1504,IF($G1504="",$F1505,$G1504&amp;", "&amp;$F1505))))</f>
        <v/>
      </c>
      <c r="H1505">
        <f>IF($A1505="","",$A1505&amp;" ("&amp;$C1505&amp;")")</f>
        <v/>
      </c>
      <c r="I1505">
        <f>IF($A1505="","",IF($E1505=1,$H1505,$I1504&amp;", "&amp;$H1505))</f>
        <v/>
      </c>
      <c r="J1505">
        <f>IF($A1505="","",IF($E1505=1,$B1505,""))</f>
        <v/>
      </c>
      <c r="K1505">
        <f>IF($A1505="","",IF(COUNTIF($B$2:$B1505,$B1505)=COUNTIF($B$2:$B$1601,$B1505),$B1505,""))</f>
        <v/>
      </c>
    </row>
    <row r="1506">
      <c r="A1506">
        <f>IF('TMP Paste'!$E1506="","",'TMP Paste'!$E1506)</f>
        <v/>
      </c>
      <c r="B1506">
        <f>IF($A1506="","",COUNTIF('TMP Paste'!$B$2:$B1506,"?*"))</f>
        <v/>
      </c>
      <c r="C1506">
        <f>IF($A1506="","",IFERROR('TMP Paste'!$M1506*1,0))</f>
        <v/>
      </c>
      <c r="D1506">
        <f>IF($A1506="","",SUMIF($B$2:$B1506,$B1506,$C$2:$C1506))</f>
        <v/>
      </c>
      <c r="E1506">
        <f>IF($A1506="",0,IF('TMP Paste'!$B1506="",0,1))</f>
        <v/>
      </c>
      <c r="F1506">
        <f>IF(OR($A1506="",$C1506&lt;1),"",$A1506&amp;"-"&amp;TEXT(($D1506-$C1506+1),"00")&amp;IF($C1506&gt;=2,", "&amp;$A1506&amp;"-"&amp;TEXT(($D1506-$C1506+1)+1,"00"),"")&amp;IF($C1506&gt;=3,", "&amp;$A1506&amp;"-"&amp;TEXT(($D1506-$C1506+1)+2,"00"),"")&amp;IF($C1506&gt;=4,", "&amp;$A1506&amp;"-"&amp;TEXT(($D1506-$C1506+1)+3,"00"),"")&amp;IF($C1506&gt;=5,", "&amp;$A1506&amp;"-"&amp;TEXT(($D1506-$C1506+1)+4,"00"),"")&amp;IF($C1506&gt;=6,", "&amp;$A1506&amp;"-"&amp;TEXT(($D1506-$C1506+1)+5,"00"),"")&amp;IF($C1506&gt;=7,", "&amp;$A1506&amp;"-"&amp;TEXT(($D1506-$C1506+1)+6,"00"),"")&amp;IF($C1506&gt;=8,", "&amp;$A1506&amp;"-"&amp;TEXT(($D1506-$C1506+1)+7,"00"),"")&amp;IF($C1506&gt;=9,", "&amp;$A1506&amp;"-"&amp;TEXT(($D1506-$C1506+1)+8,"00"),"")&amp;IF($C1506&gt;=10,", "&amp;$A1506&amp;"-"&amp;TEXT(($D1506-$C1506+1)+9,"00"),"")&amp;IF($C1506&gt;=11,", "&amp;$A1506&amp;"-"&amp;TEXT(($D1506-$C1506+1)+10,"00"),"")&amp;IF($C1506&gt;=12,", "&amp;$A1506&amp;"-"&amp;TEXT(($D1506-$C1506+1)+11,"00"),"")&amp;IF($C1506&gt;=13,", "&amp;$A1506&amp;"-"&amp;TEXT(($D1506-$C1506+1)+12,"00"),"")&amp;IF($C1506&gt;=14,", "&amp;$A1506&amp;"-"&amp;TEXT(($D1506-$C1506+1)+13,"00"),"")&amp;IF($C1506&gt;=15,", "&amp;$A1506&amp;"-"&amp;TEXT(($D1506-$C1506+1)+14,"00"),"")&amp;IF($C1506&gt;=16,", "&amp;$A1506&amp;"-"&amp;TEXT(($D1506-$C1506+1)+15,"00"),"")&amp;IF($C1506&gt;=17,", "&amp;$A1506&amp;"-"&amp;TEXT(($D1506-$C1506+1)+16,"00"),"")&amp;IF($C1506&gt;=18,", "&amp;$A1506&amp;"-"&amp;TEXT(($D1506-$C1506+1)+17,"00"),"")&amp;IF($C1506&gt;=19,", "&amp;$A1506&amp;"-"&amp;TEXT(($D1506-$C1506+1)+18,"00"),"")&amp;IF($C1506&gt;=20,", "&amp;$A1506&amp;"-"&amp;TEXT(($D1506-$C1506+1)+19,"00"),"")&amp;IF($C1506&gt;=21,", "&amp;$A1506&amp;"-"&amp;TEXT(($D1506-$C1506+1)+20,"00"),"")&amp;IF($C1506&gt;=22,", "&amp;$A1506&amp;"-"&amp;TEXT(($D1506-$C1506+1)+21,"00"),"")&amp;IF($C1506&gt;=23,", "&amp;$A1506&amp;"-"&amp;TEXT(($D1506-$C1506+1)+22,"00"),"")&amp;IF($C1506&gt;=24,", "&amp;$A1506&amp;"-"&amp;TEXT(($D1506-$C1506+1)+23,"00"),"")&amp;IF($C1506&gt;=25,", "&amp;$A1506&amp;"-"&amp;TEXT(($D1506-$C1506+1)+24,"00"),""))</f>
        <v/>
      </c>
      <c r="G1506">
        <f>IF($A1506="","",IF($E1506=1,$F1506,IF($F1506="",$G1505,IF($G1505="",$F1506,$G1505&amp;", "&amp;$F1506))))</f>
        <v/>
      </c>
      <c r="H1506">
        <f>IF($A1506="","",$A1506&amp;" ("&amp;$C1506&amp;")")</f>
        <v/>
      </c>
      <c r="I1506">
        <f>IF($A1506="","",IF($E1506=1,$H1506,$I1505&amp;", "&amp;$H1506))</f>
        <v/>
      </c>
      <c r="J1506">
        <f>IF($A1506="","",IF($E1506=1,$B1506,""))</f>
        <v/>
      </c>
      <c r="K1506">
        <f>IF($A1506="","",IF(COUNTIF($B$2:$B1506,$B1506)=COUNTIF($B$2:$B$1601,$B1506),$B1506,""))</f>
        <v/>
      </c>
    </row>
    <row r="1507">
      <c r="A1507">
        <f>IF('TMP Paste'!$E1507="","",'TMP Paste'!$E1507)</f>
        <v/>
      </c>
      <c r="B1507">
        <f>IF($A1507="","",COUNTIF('TMP Paste'!$B$2:$B1507,"?*"))</f>
        <v/>
      </c>
      <c r="C1507">
        <f>IF($A1507="","",IFERROR('TMP Paste'!$M1507*1,0))</f>
        <v/>
      </c>
      <c r="D1507">
        <f>IF($A1507="","",SUMIF($B$2:$B1507,$B1507,$C$2:$C1507))</f>
        <v/>
      </c>
      <c r="E1507">
        <f>IF($A1507="",0,IF('TMP Paste'!$B1507="",0,1))</f>
        <v/>
      </c>
      <c r="F1507">
        <f>IF(OR($A1507="",$C1507&lt;1),"",$A1507&amp;"-"&amp;TEXT(($D1507-$C1507+1),"00")&amp;IF($C1507&gt;=2,", "&amp;$A1507&amp;"-"&amp;TEXT(($D1507-$C1507+1)+1,"00"),"")&amp;IF($C1507&gt;=3,", "&amp;$A1507&amp;"-"&amp;TEXT(($D1507-$C1507+1)+2,"00"),"")&amp;IF($C1507&gt;=4,", "&amp;$A1507&amp;"-"&amp;TEXT(($D1507-$C1507+1)+3,"00"),"")&amp;IF($C1507&gt;=5,", "&amp;$A1507&amp;"-"&amp;TEXT(($D1507-$C1507+1)+4,"00"),"")&amp;IF($C1507&gt;=6,", "&amp;$A1507&amp;"-"&amp;TEXT(($D1507-$C1507+1)+5,"00"),"")&amp;IF($C1507&gt;=7,", "&amp;$A1507&amp;"-"&amp;TEXT(($D1507-$C1507+1)+6,"00"),"")&amp;IF($C1507&gt;=8,", "&amp;$A1507&amp;"-"&amp;TEXT(($D1507-$C1507+1)+7,"00"),"")&amp;IF($C1507&gt;=9,", "&amp;$A1507&amp;"-"&amp;TEXT(($D1507-$C1507+1)+8,"00"),"")&amp;IF($C1507&gt;=10,", "&amp;$A1507&amp;"-"&amp;TEXT(($D1507-$C1507+1)+9,"00"),"")&amp;IF($C1507&gt;=11,", "&amp;$A1507&amp;"-"&amp;TEXT(($D1507-$C1507+1)+10,"00"),"")&amp;IF($C1507&gt;=12,", "&amp;$A1507&amp;"-"&amp;TEXT(($D1507-$C1507+1)+11,"00"),"")&amp;IF($C1507&gt;=13,", "&amp;$A1507&amp;"-"&amp;TEXT(($D1507-$C1507+1)+12,"00"),"")&amp;IF($C1507&gt;=14,", "&amp;$A1507&amp;"-"&amp;TEXT(($D1507-$C1507+1)+13,"00"),"")&amp;IF($C1507&gt;=15,", "&amp;$A1507&amp;"-"&amp;TEXT(($D1507-$C1507+1)+14,"00"),"")&amp;IF($C1507&gt;=16,", "&amp;$A1507&amp;"-"&amp;TEXT(($D1507-$C1507+1)+15,"00"),"")&amp;IF($C1507&gt;=17,", "&amp;$A1507&amp;"-"&amp;TEXT(($D1507-$C1507+1)+16,"00"),"")&amp;IF($C1507&gt;=18,", "&amp;$A1507&amp;"-"&amp;TEXT(($D1507-$C1507+1)+17,"00"),"")&amp;IF($C1507&gt;=19,", "&amp;$A1507&amp;"-"&amp;TEXT(($D1507-$C1507+1)+18,"00"),"")&amp;IF($C1507&gt;=20,", "&amp;$A1507&amp;"-"&amp;TEXT(($D1507-$C1507+1)+19,"00"),"")&amp;IF($C1507&gt;=21,", "&amp;$A1507&amp;"-"&amp;TEXT(($D1507-$C1507+1)+20,"00"),"")&amp;IF($C1507&gt;=22,", "&amp;$A1507&amp;"-"&amp;TEXT(($D1507-$C1507+1)+21,"00"),"")&amp;IF($C1507&gt;=23,", "&amp;$A1507&amp;"-"&amp;TEXT(($D1507-$C1507+1)+22,"00"),"")&amp;IF($C1507&gt;=24,", "&amp;$A1507&amp;"-"&amp;TEXT(($D1507-$C1507+1)+23,"00"),"")&amp;IF($C1507&gt;=25,", "&amp;$A1507&amp;"-"&amp;TEXT(($D1507-$C1507+1)+24,"00"),""))</f>
        <v/>
      </c>
      <c r="G1507">
        <f>IF($A1507="","",IF($E1507=1,$F1507,IF($F1507="",$G1506,IF($G1506="",$F1507,$G1506&amp;", "&amp;$F1507))))</f>
        <v/>
      </c>
      <c r="H1507">
        <f>IF($A1507="","",$A1507&amp;" ("&amp;$C1507&amp;")")</f>
        <v/>
      </c>
      <c r="I1507">
        <f>IF($A1507="","",IF($E1507=1,$H1507,$I1506&amp;", "&amp;$H1507))</f>
        <v/>
      </c>
      <c r="J1507">
        <f>IF($A1507="","",IF($E1507=1,$B1507,""))</f>
        <v/>
      </c>
      <c r="K1507">
        <f>IF($A1507="","",IF(COUNTIF($B$2:$B1507,$B1507)=COUNTIF($B$2:$B$1601,$B1507),$B1507,""))</f>
        <v/>
      </c>
    </row>
    <row r="1508">
      <c r="A1508">
        <f>IF('TMP Paste'!$E1508="","",'TMP Paste'!$E1508)</f>
        <v/>
      </c>
      <c r="B1508">
        <f>IF($A1508="","",COUNTIF('TMP Paste'!$B$2:$B1508,"?*"))</f>
        <v/>
      </c>
      <c r="C1508">
        <f>IF($A1508="","",IFERROR('TMP Paste'!$M1508*1,0))</f>
        <v/>
      </c>
      <c r="D1508">
        <f>IF($A1508="","",SUMIF($B$2:$B1508,$B1508,$C$2:$C1508))</f>
        <v/>
      </c>
      <c r="E1508">
        <f>IF($A1508="",0,IF('TMP Paste'!$B1508="",0,1))</f>
        <v/>
      </c>
      <c r="F1508">
        <f>IF(OR($A1508="",$C1508&lt;1),"",$A1508&amp;"-"&amp;TEXT(($D1508-$C1508+1),"00")&amp;IF($C1508&gt;=2,", "&amp;$A1508&amp;"-"&amp;TEXT(($D1508-$C1508+1)+1,"00"),"")&amp;IF($C1508&gt;=3,", "&amp;$A1508&amp;"-"&amp;TEXT(($D1508-$C1508+1)+2,"00"),"")&amp;IF($C1508&gt;=4,", "&amp;$A1508&amp;"-"&amp;TEXT(($D1508-$C1508+1)+3,"00"),"")&amp;IF($C1508&gt;=5,", "&amp;$A1508&amp;"-"&amp;TEXT(($D1508-$C1508+1)+4,"00"),"")&amp;IF($C1508&gt;=6,", "&amp;$A1508&amp;"-"&amp;TEXT(($D1508-$C1508+1)+5,"00"),"")&amp;IF($C1508&gt;=7,", "&amp;$A1508&amp;"-"&amp;TEXT(($D1508-$C1508+1)+6,"00"),"")&amp;IF($C1508&gt;=8,", "&amp;$A1508&amp;"-"&amp;TEXT(($D1508-$C1508+1)+7,"00"),"")&amp;IF($C1508&gt;=9,", "&amp;$A1508&amp;"-"&amp;TEXT(($D1508-$C1508+1)+8,"00"),"")&amp;IF($C1508&gt;=10,", "&amp;$A1508&amp;"-"&amp;TEXT(($D1508-$C1508+1)+9,"00"),"")&amp;IF($C1508&gt;=11,", "&amp;$A1508&amp;"-"&amp;TEXT(($D1508-$C1508+1)+10,"00"),"")&amp;IF($C1508&gt;=12,", "&amp;$A1508&amp;"-"&amp;TEXT(($D1508-$C1508+1)+11,"00"),"")&amp;IF($C1508&gt;=13,", "&amp;$A1508&amp;"-"&amp;TEXT(($D1508-$C1508+1)+12,"00"),"")&amp;IF($C1508&gt;=14,", "&amp;$A1508&amp;"-"&amp;TEXT(($D1508-$C1508+1)+13,"00"),"")&amp;IF($C1508&gt;=15,", "&amp;$A1508&amp;"-"&amp;TEXT(($D1508-$C1508+1)+14,"00"),"")&amp;IF($C1508&gt;=16,", "&amp;$A1508&amp;"-"&amp;TEXT(($D1508-$C1508+1)+15,"00"),"")&amp;IF($C1508&gt;=17,", "&amp;$A1508&amp;"-"&amp;TEXT(($D1508-$C1508+1)+16,"00"),"")&amp;IF($C1508&gt;=18,", "&amp;$A1508&amp;"-"&amp;TEXT(($D1508-$C1508+1)+17,"00"),"")&amp;IF($C1508&gt;=19,", "&amp;$A1508&amp;"-"&amp;TEXT(($D1508-$C1508+1)+18,"00"),"")&amp;IF($C1508&gt;=20,", "&amp;$A1508&amp;"-"&amp;TEXT(($D1508-$C1508+1)+19,"00"),"")&amp;IF($C1508&gt;=21,", "&amp;$A1508&amp;"-"&amp;TEXT(($D1508-$C1508+1)+20,"00"),"")&amp;IF($C1508&gt;=22,", "&amp;$A1508&amp;"-"&amp;TEXT(($D1508-$C1508+1)+21,"00"),"")&amp;IF($C1508&gt;=23,", "&amp;$A1508&amp;"-"&amp;TEXT(($D1508-$C1508+1)+22,"00"),"")&amp;IF($C1508&gt;=24,", "&amp;$A1508&amp;"-"&amp;TEXT(($D1508-$C1508+1)+23,"00"),"")&amp;IF($C1508&gt;=25,", "&amp;$A1508&amp;"-"&amp;TEXT(($D1508-$C1508+1)+24,"00"),""))</f>
        <v/>
      </c>
      <c r="G1508">
        <f>IF($A1508="","",IF($E1508=1,$F1508,IF($F1508="",$G1507,IF($G1507="",$F1508,$G1507&amp;", "&amp;$F1508))))</f>
        <v/>
      </c>
      <c r="H1508">
        <f>IF($A1508="","",$A1508&amp;" ("&amp;$C1508&amp;")")</f>
        <v/>
      </c>
      <c r="I1508">
        <f>IF($A1508="","",IF($E1508=1,$H1508,$I1507&amp;", "&amp;$H1508))</f>
        <v/>
      </c>
      <c r="J1508">
        <f>IF($A1508="","",IF($E1508=1,$B1508,""))</f>
        <v/>
      </c>
      <c r="K1508">
        <f>IF($A1508="","",IF(COUNTIF($B$2:$B1508,$B1508)=COUNTIF($B$2:$B$1601,$B1508),$B1508,""))</f>
        <v/>
      </c>
    </row>
    <row r="1509">
      <c r="A1509">
        <f>IF('TMP Paste'!$E1509="","",'TMP Paste'!$E1509)</f>
        <v/>
      </c>
      <c r="B1509">
        <f>IF($A1509="","",COUNTIF('TMP Paste'!$B$2:$B1509,"?*"))</f>
        <v/>
      </c>
      <c r="C1509">
        <f>IF($A1509="","",IFERROR('TMP Paste'!$M1509*1,0))</f>
        <v/>
      </c>
      <c r="D1509">
        <f>IF($A1509="","",SUMIF($B$2:$B1509,$B1509,$C$2:$C1509))</f>
        <v/>
      </c>
      <c r="E1509">
        <f>IF($A1509="",0,IF('TMP Paste'!$B1509="",0,1))</f>
        <v/>
      </c>
      <c r="F1509">
        <f>IF(OR($A1509="",$C1509&lt;1),"",$A1509&amp;"-"&amp;TEXT(($D1509-$C1509+1),"00")&amp;IF($C1509&gt;=2,", "&amp;$A1509&amp;"-"&amp;TEXT(($D1509-$C1509+1)+1,"00"),"")&amp;IF($C1509&gt;=3,", "&amp;$A1509&amp;"-"&amp;TEXT(($D1509-$C1509+1)+2,"00"),"")&amp;IF($C1509&gt;=4,", "&amp;$A1509&amp;"-"&amp;TEXT(($D1509-$C1509+1)+3,"00"),"")&amp;IF($C1509&gt;=5,", "&amp;$A1509&amp;"-"&amp;TEXT(($D1509-$C1509+1)+4,"00"),"")&amp;IF($C1509&gt;=6,", "&amp;$A1509&amp;"-"&amp;TEXT(($D1509-$C1509+1)+5,"00"),"")&amp;IF($C1509&gt;=7,", "&amp;$A1509&amp;"-"&amp;TEXT(($D1509-$C1509+1)+6,"00"),"")&amp;IF($C1509&gt;=8,", "&amp;$A1509&amp;"-"&amp;TEXT(($D1509-$C1509+1)+7,"00"),"")&amp;IF($C1509&gt;=9,", "&amp;$A1509&amp;"-"&amp;TEXT(($D1509-$C1509+1)+8,"00"),"")&amp;IF($C1509&gt;=10,", "&amp;$A1509&amp;"-"&amp;TEXT(($D1509-$C1509+1)+9,"00"),"")&amp;IF($C1509&gt;=11,", "&amp;$A1509&amp;"-"&amp;TEXT(($D1509-$C1509+1)+10,"00"),"")&amp;IF($C1509&gt;=12,", "&amp;$A1509&amp;"-"&amp;TEXT(($D1509-$C1509+1)+11,"00"),"")&amp;IF($C1509&gt;=13,", "&amp;$A1509&amp;"-"&amp;TEXT(($D1509-$C1509+1)+12,"00"),"")&amp;IF($C1509&gt;=14,", "&amp;$A1509&amp;"-"&amp;TEXT(($D1509-$C1509+1)+13,"00"),"")&amp;IF($C1509&gt;=15,", "&amp;$A1509&amp;"-"&amp;TEXT(($D1509-$C1509+1)+14,"00"),"")&amp;IF($C1509&gt;=16,", "&amp;$A1509&amp;"-"&amp;TEXT(($D1509-$C1509+1)+15,"00"),"")&amp;IF($C1509&gt;=17,", "&amp;$A1509&amp;"-"&amp;TEXT(($D1509-$C1509+1)+16,"00"),"")&amp;IF($C1509&gt;=18,", "&amp;$A1509&amp;"-"&amp;TEXT(($D1509-$C1509+1)+17,"00"),"")&amp;IF($C1509&gt;=19,", "&amp;$A1509&amp;"-"&amp;TEXT(($D1509-$C1509+1)+18,"00"),"")&amp;IF($C1509&gt;=20,", "&amp;$A1509&amp;"-"&amp;TEXT(($D1509-$C1509+1)+19,"00"),"")&amp;IF($C1509&gt;=21,", "&amp;$A1509&amp;"-"&amp;TEXT(($D1509-$C1509+1)+20,"00"),"")&amp;IF($C1509&gt;=22,", "&amp;$A1509&amp;"-"&amp;TEXT(($D1509-$C1509+1)+21,"00"),"")&amp;IF($C1509&gt;=23,", "&amp;$A1509&amp;"-"&amp;TEXT(($D1509-$C1509+1)+22,"00"),"")&amp;IF($C1509&gt;=24,", "&amp;$A1509&amp;"-"&amp;TEXT(($D1509-$C1509+1)+23,"00"),"")&amp;IF($C1509&gt;=25,", "&amp;$A1509&amp;"-"&amp;TEXT(($D1509-$C1509+1)+24,"00"),""))</f>
        <v/>
      </c>
      <c r="G1509">
        <f>IF($A1509="","",IF($E1509=1,$F1509,IF($F1509="",$G1508,IF($G1508="",$F1509,$G1508&amp;", "&amp;$F1509))))</f>
        <v/>
      </c>
      <c r="H1509">
        <f>IF($A1509="","",$A1509&amp;" ("&amp;$C1509&amp;")")</f>
        <v/>
      </c>
      <c r="I1509">
        <f>IF($A1509="","",IF($E1509=1,$H1509,$I1508&amp;", "&amp;$H1509))</f>
        <v/>
      </c>
      <c r="J1509">
        <f>IF($A1509="","",IF($E1509=1,$B1509,""))</f>
        <v/>
      </c>
      <c r="K1509">
        <f>IF($A1509="","",IF(COUNTIF($B$2:$B1509,$B1509)=COUNTIF($B$2:$B$1601,$B1509),$B1509,""))</f>
        <v/>
      </c>
    </row>
    <row r="1510">
      <c r="A1510">
        <f>IF('TMP Paste'!$E1510="","",'TMP Paste'!$E1510)</f>
        <v/>
      </c>
      <c r="B1510">
        <f>IF($A1510="","",COUNTIF('TMP Paste'!$B$2:$B1510,"?*"))</f>
        <v/>
      </c>
      <c r="C1510">
        <f>IF($A1510="","",IFERROR('TMP Paste'!$M1510*1,0))</f>
        <v/>
      </c>
      <c r="D1510">
        <f>IF($A1510="","",SUMIF($B$2:$B1510,$B1510,$C$2:$C1510))</f>
        <v/>
      </c>
      <c r="E1510">
        <f>IF($A1510="",0,IF('TMP Paste'!$B1510="",0,1))</f>
        <v/>
      </c>
      <c r="F1510">
        <f>IF(OR($A1510="",$C1510&lt;1),"",$A1510&amp;"-"&amp;TEXT(($D1510-$C1510+1),"00")&amp;IF($C1510&gt;=2,", "&amp;$A1510&amp;"-"&amp;TEXT(($D1510-$C1510+1)+1,"00"),"")&amp;IF($C1510&gt;=3,", "&amp;$A1510&amp;"-"&amp;TEXT(($D1510-$C1510+1)+2,"00"),"")&amp;IF($C1510&gt;=4,", "&amp;$A1510&amp;"-"&amp;TEXT(($D1510-$C1510+1)+3,"00"),"")&amp;IF($C1510&gt;=5,", "&amp;$A1510&amp;"-"&amp;TEXT(($D1510-$C1510+1)+4,"00"),"")&amp;IF($C1510&gt;=6,", "&amp;$A1510&amp;"-"&amp;TEXT(($D1510-$C1510+1)+5,"00"),"")&amp;IF($C1510&gt;=7,", "&amp;$A1510&amp;"-"&amp;TEXT(($D1510-$C1510+1)+6,"00"),"")&amp;IF($C1510&gt;=8,", "&amp;$A1510&amp;"-"&amp;TEXT(($D1510-$C1510+1)+7,"00"),"")&amp;IF($C1510&gt;=9,", "&amp;$A1510&amp;"-"&amp;TEXT(($D1510-$C1510+1)+8,"00"),"")&amp;IF($C1510&gt;=10,", "&amp;$A1510&amp;"-"&amp;TEXT(($D1510-$C1510+1)+9,"00"),"")&amp;IF($C1510&gt;=11,", "&amp;$A1510&amp;"-"&amp;TEXT(($D1510-$C1510+1)+10,"00"),"")&amp;IF($C1510&gt;=12,", "&amp;$A1510&amp;"-"&amp;TEXT(($D1510-$C1510+1)+11,"00"),"")&amp;IF($C1510&gt;=13,", "&amp;$A1510&amp;"-"&amp;TEXT(($D1510-$C1510+1)+12,"00"),"")&amp;IF($C1510&gt;=14,", "&amp;$A1510&amp;"-"&amp;TEXT(($D1510-$C1510+1)+13,"00"),"")&amp;IF($C1510&gt;=15,", "&amp;$A1510&amp;"-"&amp;TEXT(($D1510-$C1510+1)+14,"00"),"")&amp;IF($C1510&gt;=16,", "&amp;$A1510&amp;"-"&amp;TEXT(($D1510-$C1510+1)+15,"00"),"")&amp;IF($C1510&gt;=17,", "&amp;$A1510&amp;"-"&amp;TEXT(($D1510-$C1510+1)+16,"00"),"")&amp;IF($C1510&gt;=18,", "&amp;$A1510&amp;"-"&amp;TEXT(($D1510-$C1510+1)+17,"00"),"")&amp;IF($C1510&gt;=19,", "&amp;$A1510&amp;"-"&amp;TEXT(($D1510-$C1510+1)+18,"00"),"")&amp;IF($C1510&gt;=20,", "&amp;$A1510&amp;"-"&amp;TEXT(($D1510-$C1510+1)+19,"00"),"")&amp;IF($C1510&gt;=21,", "&amp;$A1510&amp;"-"&amp;TEXT(($D1510-$C1510+1)+20,"00"),"")&amp;IF($C1510&gt;=22,", "&amp;$A1510&amp;"-"&amp;TEXT(($D1510-$C1510+1)+21,"00"),"")&amp;IF($C1510&gt;=23,", "&amp;$A1510&amp;"-"&amp;TEXT(($D1510-$C1510+1)+22,"00"),"")&amp;IF($C1510&gt;=24,", "&amp;$A1510&amp;"-"&amp;TEXT(($D1510-$C1510+1)+23,"00"),"")&amp;IF($C1510&gt;=25,", "&amp;$A1510&amp;"-"&amp;TEXT(($D1510-$C1510+1)+24,"00"),""))</f>
        <v/>
      </c>
      <c r="G1510">
        <f>IF($A1510="","",IF($E1510=1,$F1510,IF($F1510="",$G1509,IF($G1509="",$F1510,$G1509&amp;", "&amp;$F1510))))</f>
        <v/>
      </c>
      <c r="H1510">
        <f>IF($A1510="","",$A1510&amp;" ("&amp;$C1510&amp;")")</f>
        <v/>
      </c>
      <c r="I1510">
        <f>IF($A1510="","",IF($E1510=1,$H1510,$I1509&amp;", "&amp;$H1510))</f>
        <v/>
      </c>
      <c r="J1510">
        <f>IF($A1510="","",IF($E1510=1,$B1510,""))</f>
        <v/>
      </c>
      <c r="K1510">
        <f>IF($A1510="","",IF(COUNTIF($B$2:$B1510,$B1510)=COUNTIF($B$2:$B$1601,$B1510),$B1510,""))</f>
        <v/>
      </c>
    </row>
    <row r="1511">
      <c r="A1511">
        <f>IF('TMP Paste'!$E1511="","",'TMP Paste'!$E1511)</f>
        <v/>
      </c>
      <c r="B1511">
        <f>IF($A1511="","",COUNTIF('TMP Paste'!$B$2:$B1511,"?*"))</f>
        <v/>
      </c>
      <c r="C1511">
        <f>IF($A1511="","",IFERROR('TMP Paste'!$M1511*1,0))</f>
        <v/>
      </c>
      <c r="D1511">
        <f>IF($A1511="","",SUMIF($B$2:$B1511,$B1511,$C$2:$C1511))</f>
        <v/>
      </c>
      <c r="E1511">
        <f>IF($A1511="",0,IF('TMP Paste'!$B1511="",0,1))</f>
        <v/>
      </c>
      <c r="F1511">
        <f>IF(OR($A1511="",$C1511&lt;1),"",$A1511&amp;"-"&amp;TEXT(($D1511-$C1511+1),"00")&amp;IF($C1511&gt;=2,", "&amp;$A1511&amp;"-"&amp;TEXT(($D1511-$C1511+1)+1,"00"),"")&amp;IF($C1511&gt;=3,", "&amp;$A1511&amp;"-"&amp;TEXT(($D1511-$C1511+1)+2,"00"),"")&amp;IF($C1511&gt;=4,", "&amp;$A1511&amp;"-"&amp;TEXT(($D1511-$C1511+1)+3,"00"),"")&amp;IF($C1511&gt;=5,", "&amp;$A1511&amp;"-"&amp;TEXT(($D1511-$C1511+1)+4,"00"),"")&amp;IF($C1511&gt;=6,", "&amp;$A1511&amp;"-"&amp;TEXT(($D1511-$C1511+1)+5,"00"),"")&amp;IF($C1511&gt;=7,", "&amp;$A1511&amp;"-"&amp;TEXT(($D1511-$C1511+1)+6,"00"),"")&amp;IF($C1511&gt;=8,", "&amp;$A1511&amp;"-"&amp;TEXT(($D1511-$C1511+1)+7,"00"),"")&amp;IF($C1511&gt;=9,", "&amp;$A1511&amp;"-"&amp;TEXT(($D1511-$C1511+1)+8,"00"),"")&amp;IF($C1511&gt;=10,", "&amp;$A1511&amp;"-"&amp;TEXT(($D1511-$C1511+1)+9,"00"),"")&amp;IF($C1511&gt;=11,", "&amp;$A1511&amp;"-"&amp;TEXT(($D1511-$C1511+1)+10,"00"),"")&amp;IF($C1511&gt;=12,", "&amp;$A1511&amp;"-"&amp;TEXT(($D1511-$C1511+1)+11,"00"),"")&amp;IF($C1511&gt;=13,", "&amp;$A1511&amp;"-"&amp;TEXT(($D1511-$C1511+1)+12,"00"),"")&amp;IF($C1511&gt;=14,", "&amp;$A1511&amp;"-"&amp;TEXT(($D1511-$C1511+1)+13,"00"),"")&amp;IF($C1511&gt;=15,", "&amp;$A1511&amp;"-"&amp;TEXT(($D1511-$C1511+1)+14,"00"),"")&amp;IF($C1511&gt;=16,", "&amp;$A1511&amp;"-"&amp;TEXT(($D1511-$C1511+1)+15,"00"),"")&amp;IF($C1511&gt;=17,", "&amp;$A1511&amp;"-"&amp;TEXT(($D1511-$C1511+1)+16,"00"),"")&amp;IF($C1511&gt;=18,", "&amp;$A1511&amp;"-"&amp;TEXT(($D1511-$C1511+1)+17,"00"),"")&amp;IF($C1511&gt;=19,", "&amp;$A1511&amp;"-"&amp;TEXT(($D1511-$C1511+1)+18,"00"),"")&amp;IF($C1511&gt;=20,", "&amp;$A1511&amp;"-"&amp;TEXT(($D1511-$C1511+1)+19,"00"),"")&amp;IF($C1511&gt;=21,", "&amp;$A1511&amp;"-"&amp;TEXT(($D1511-$C1511+1)+20,"00"),"")&amp;IF($C1511&gt;=22,", "&amp;$A1511&amp;"-"&amp;TEXT(($D1511-$C1511+1)+21,"00"),"")&amp;IF($C1511&gt;=23,", "&amp;$A1511&amp;"-"&amp;TEXT(($D1511-$C1511+1)+22,"00"),"")&amp;IF($C1511&gt;=24,", "&amp;$A1511&amp;"-"&amp;TEXT(($D1511-$C1511+1)+23,"00"),"")&amp;IF($C1511&gt;=25,", "&amp;$A1511&amp;"-"&amp;TEXT(($D1511-$C1511+1)+24,"00"),""))</f>
        <v/>
      </c>
      <c r="G1511">
        <f>IF($A1511="","",IF($E1511=1,$F1511,IF($F1511="",$G1510,IF($G1510="",$F1511,$G1510&amp;", "&amp;$F1511))))</f>
        <v/>
      </c>
      <c r="H1511">
        <f>IF($A1511="","",$A1511&amp;" ("&amp;$C1511&amp;")")</f>
        <v/>
      </c>
      <c r="I1511">
        <f>IF($A1511="","",IF($E1511=1,$H1511,$I1510&amp;", "&amp;$H1511))</f>
        <v/>
      </c>
      <c r="J1511">
        <f>IF($A1511="","",IF($E1511=1,$B1511,""))</f>
        <v/>
      </c>
      <c r="K1511">
        <f>IF($A1511="","",IF(COUNTIF($B$2:$B1511,$B1511)=COUNTIF($B$2:$B$1601,$B1511),$B1511,""))</f>
        <v/>
      </c>
    </row>
    <row r="1512">
      <c r="A1512">
        <f>IF('TMP Paste'!$E1512="","",'TMP Paste'!$E1512)</f>
        <v/>
      </c>
      <c r="B1512">
        <f>IF($A1512="","",COUNTIF('TMP Paste'!$B$2:$B1512,"?*"))</f>
        <v/>
      </c>
      <c r="C1512">
        <f>IF($A1512="","",IFERROR('TMP Paste'!$M1512*1,0))</f>
        <v/>
      </c>
      <c r="D1512">
        <f>IF($A1512="","",SUMIF($B$2:$B1512,$B1512,$C$2:$C1512))</f>
        <v/>
      </c>
      <c r="E1512">
        <f>IF($A1512="",0,IF('TMP Paste'!$B1512="",0,1))</f>
        <v/>
      </c>
      <c r="F1512">
        <f>IF(OR($A1512="",$C1512&lt;1),"",$A1512&amp;"-"&amp;TEXT(($D1512-$C1512+1),"00")&amp;IF($C1512&gt;=2,", "&amp;$A1512&amp;"-"&amp;TEXT(($D1512-$C1512+1)+1,"00"),"")&amp;IF($C1512&gt;=3,", "&amp;$A1512&amp;"-"&amp;TEXT(($D1512-$C1512+1)+2,"00"),"")&amp;IF($C1512&gt;=4,", "&amp;$A1512&amp;"-"&amp;TEXT(($D1512-$C1512+1)+3,"00"),"")&amp;IF($C1512&gt;=5,", "&amp;$A1512&amp;"-"&amp;TEXT(($D1512-$C1512+1)+4,"00"),"")&amp;IF($C1512&gt;=6,", "&amp;$A1512&amp;"-"&amp;TEXT(($D1512-$C1512+1)+5,"00"),"")&amp;IF($C1512&gt;=7,", "&amp;$A1512&amp;"-"&amp;TEXT(($D1512-$C1512+1)+6,"00"),"")&amp;IF($C1512&gt;=8,", "&amp;$A1512&amp;"-"&amp;TEXT(($D1512-$C1512+1)+7,"00"),"")&amp;IF($C1512&gt;=9,", "&amp;$A1512&amp;"-"&amp;TEXT(($D1512-$C1512+1)+8,"00"),"")&amp;IF($C1512&gt;=10,", "&amp;$A1512&amp;"-"&amp;TEXT(($D1512-$C1512+1)+9,"00"),"")&amp;IF($C1512&gt;=11,", "&amp;$A1512&amp;"-"&amp;TEXT(($D1512-$C1512+1)+10,"00"),"")&amp;IF($C1512&gt;=12,", "&amp;$A1512&amp;"-"&amp;TEXT(($D1512-$C1512+1)+11,"00"),"")&amp;IF($C1512&gt;=13,", "&amp;$A1512&amp;"-"&amp;TEXT(($D1512-$C1512+1)+12,"00"),"")&amp;IF($C1512&gt;=14,", "&amp;$A1512&amp;"-"&amp;TEXT(($D1512-$C1512+1)+13,"00"),"")&amp;IF($C1512&gt;=15,", "&amp;$A1512&amp;"-"&amp;TEXT(($D1512-$C1512+1)+14,"00"),"")&amp;IF($C1512&gt;=16,", "&amp;$A1512&amp;"-"&amp;TEXT(($D1512-$C1512+1)+15,"00"),"")&amp;IF($C1512&gt;=17,", "&amp;$A1512&amp;"-"&amp;TEXT(($D1512-$C1512+1)+16,"00"),"")&amp;IF($C1512&gt;=18,", "&amp;$A1512&amp;"-"&amp;TEXT(($D1512-$C1512+1)+17,"00"),"")&amp;IF($C1512&gt;=19,", "&amp;$A1512&amp;"-"&amp;TEXT(($D1512-$C1512+1)+18,"00"),"")&amp;IF($C1512&gt;=20,", "&amp;$A1512&amp;"-"&amp;TEXT(($D1512-$C1512+1)+19,"00"),"")&amp;IF($C1512&gt;=21,", "&amp;$A1512&amp;"-"&amp;TEXT(($D1512-$C1512+1)+20,"00"),"")&amp;IF($C1512&gt;=22,", "&amp;$A1512&amp;"-"&amp;TEXT(($D1512-$C1512+1)+21,"00"),"")&amp;IF($C1512&gt;=23,", "&amp;$A1512&amp;"-"&amp;TEXT(($D1512-$C1512+1)+22,"00"),"")&amp;IF($C1512&gt;=24,", "&amp;$A1512&amp;"-"&amp;TEXT(($D1512-$C1512+1)+23,"00"),"")&amp;IF($C1512&gt;=25,", "&amp;$A1512&amp;"-"&amp;TEXT(($D1512-$C1512+1)+24,"00"),""))</f>
        <v/>
      </c>
      <c r="G1512">
        <f>IF($A1512="","",IF($E1512=1,$F1512,IF($F1512="",$G1511,IF($G1511="",$F1512,$G1511&amp;", "&amp;$F1512))))</f>
        <v/>
      </c>
      <c r="H1512">
        <f>IF($A1512="","",$A1512&amp;" ("&amp;$C1512&amp;")")</f>
        <v/>
      </c>
      <c r="I1512">
        <f>IF($A1512="","",IF($E1512=1,$H1512,$I1511&amp;", "&amp;$H1512))</f>
        <v/>
      </c>
      <c r="J1512">
        <f>IF($A1512="","",IF($E1512=1,$B1512,""))</f>
        <v/>
      </c>
      <c r="K1512">
        <f>IF($A1512="","",IF(COUNTIF($B$2:$B1512,$B1512)=COUNTIF($B$2:$B$1601,$B1512),$B1512,""))</f>
        <v/>
      </c>
    </row>
    <row r="1513">
      <c r="A1513">
        <f>IF('TMP Paste'!$E1513="","",'TMP Paste'!$E1513)</f>
        <v/>
      </c>
      <c r="B1513">
        <f>IF($A1513="","",COUNTIF('TMP Paste'!$B$2:$B1513,"?*"))</f>
        <v/>
      </c>
      <c r="C1513">
        <f>IF($A1513="","",IFERROR('TMP Paste'!$M1513*1,0))</f>
        <v/>
      </c>
      <c r="D1513">
        <f>IF($A1513="","",SUMIF($B$2:$B1513,$B1513,$C$2:$C1513))</f>
        <v/>
      </c>
      <c r="E1513">
        <f>IF($A1513="",0,IF('TMP Paste'!$B1513="",0,1))</f>
        <v/>
      </c>
      <c r="F1513">
        <f>IF(OR($A1513="",$C1513&lt;1),"",$A1513&amp;"-"&amp;TEXT(($D1513-$C1513+1),"00")&amp;IF($C1513&gt;=2,", "&amp;$A1513&amp;"-"&amp;TEXT(($D1513-$C1513+1)+1,"00"),"")&amp;IF($C1513&gt;=3,", "&amp;$A1513&amp;"-"&amp;TEXT(($D1513-$C1513+1)+2,"00"),"")&amp;IF($C1513&gt;=4,", "&amp;$A1513&amp;"-"&amp;TEXT(($D1513-$C1513+1)+3,"00"),"")&amp;IF($C1513&gt;=5,", "&amp;$A1513&amp;"-"&amp;TEXT(($D1513-$C1513+1)+4,"00"),"")&amp;IF($C1513&gt;=6,", "&amp;$A1513&amp;"-"&amp;TEXT(($D1513-$C1513+1)+5,"00"),"")&amp;IF($C1513&gt;=7,", "&amp;$A1513&amp;"-"&amp;TEXT(($D1513-$C1513+1)+6,"00"),"")&amp;IF($C1513&gt;=8,", "&amp;$A1513&amp;"-"&amp;TEXT(($D1513-$C1513+1)+7,"00"),"")&amp;IF($C1513&gt;=9,", "&amp;$A1513&amp;"-"&amp;TEXT(($D1513-$C1513+1)+8,"00"),"")&amp;IF($C1513&gt;=10,", "&amp;$A1513&amp;"-"&amp;TEXT(($D1513-$C1513+1)+9,"00"),"")&amp;IF($C1513&gt;=11,", "&amp;$A1513&amp;"-"&amp;TEXT(($D1513-$C1513+1)+10,"00"),"")&amp;IF($C1513&gt;=12,", "&amp;$A1513&amp;"-"&amp;TEXT(($D1513-$C1513+1)+11,"00"),"")&amp;IF($C1513&gt;=13,", "&amp;$A1513&amp;"-"&amp;TEXT(($D1513-$C1513+1)+12,"00"),"")&amp;IF($C1513&gt;=14,", "&amp;$A1513&amp;"-"&amp;TEXT(($D1513-$C1513+1)+13,"00"),"")&amp;IF($C1513&gt;=15,", "&amp;$A1513&amp;"-"&amp;TEXT(($D1513-$C1513+1)+14,"00"),"")&amp;IF($C1513&gt;=16,", "&amp;$A1513&amp;"-"&amp;TEXT(($D1513-$C1513+1)+15,"00"),"")&amp;IF($C1513&gt;=17,", "&amp;$A1513&amp;"-"&amp;TEXT(($D1513-$C1513+1)+16,"00"),"")&amp;IF($C1513&gt;=18,", "&amp;$A1513&amp;"-"&amp;TEXT(($D1513-$C1513+1)+17,"00"),"")&amp;IF($C1513&gt;=19,", "&amp;$A1513&amp;"-"&amp;TEXT(($D1513-$C1513+1)+18,"00"),"")&amp;IF($C1513&gt;=20,", "&amp;$A1513&amp;"-"&amp;TEXT(($D1513-$C1513+1)+19,"00"),"")&amp;IF($C1513&gt;=21,", "&amp;$A1513&amp;"-"&amp;TEXT(($D1513-$C1513+1)+20,"00"),"")&amp;IF($C1513&gt;=22,", "&amp;$A1513&amp;"-"&amp;TEXT(($D1513-$C1513+1)+21,"00"),"")&amp;IF($C1513&gt;=23,", "&amp;$A1513&amp;"-"&amp;TEXT(($D1513-$C1513+1)+22,"00"),"")&amp;IF($C1513&gt;=24,", "&amp;$A1513&amp;"-"&amp;TEXT(($D1513-$C1513+1)+23,"00"),"")&amp;IF($C1513&gt;=25,", "&amp;$A1513&amp;"-"&amp;TEXT(($D1513-$C1513+1)+24,"00"),""))</f>
        <v/>
      </c>
      <c r="G1513">
        <f>IF($A1513="","",IF($E1513=1,$F1513,IF($F1513="",$G1512,IF($G1512="",$F1513,$G1512&amp;", "&amp;$F1513))))</f>
        <v/>
      </c>
      <c r="H1513">
        <f>IF($A1513="","",$A1513&amp;" ("&amp;$C1513&amp;")")</f>
        <v/>
      </c>
      <c r="I1513">
        <f>IF($A1513="","",IF($E1513=1,$H1513,$I1512&amp;", "&amp;$H1513))</f>
        <v/>
      </c>
      <c r="J1513">
        <f>IF($A1513="","",IF($E1513=1,$B1513,""))</f>
        <v/>
      </c>
      <c r="K1513">
        <f>IF($A1513="","",IF(COUNTIF($B$2:$B1513,$B1513)=COUNTIF($B$2:$B$1601,$B1513),$B1513,""))</f>
        <v/>
      </c>
    </row>
    <row r="1514">
      <c r="A1514">
        <f>IF('TMP Paste'!$E1514="","",'TMP Paste'!$E1514)</f>
        <v/>
      </c>
      <c r="B1514">
        <f>IF($A1514="","",COUNTIF('TMP Paste'!$B$2:$B1514,"?*"))</f>
        <v/>
      </c>
      <c r="C1514">
        <f>IF($A1514="","",IFERROR('TMP Paste'!$M1514*1,0))</f>
        <v/>
      </c>
      <c r="D1514">
        <f>IF($A1514="","",SUMIF($B$2:$B1514,$B1514,$C$2:$C1514))</f>
        <v/>
      </c>
      <c r="E1514">
        <f>IF($A1514="",0,IF('TMP Paste'!$B1514="",0,1))</f>
        <v/>
      </c>
      <c r="F1514">
        <f>IF(OR($A1514="",$C1514&lt;1),"",$A1514&amp;"-"&amp;TEXT(($D1514-$C1514+1),"00")&amp;IF($C1514&gt;=2,", "&amp;$A1514&amp;"-"&amp;TEXT(($D1514-$C1514+1)+1,"00"),"")&amp;IF($C1514&gt;=3,", "&amp;$A1514&amp;"-"&amp;TEXT(($D1514-$C1514+1)+2,"00"),"")&amp;IF($C1514&gt;=4,", "&amp;$A1514&amp;"-"&amp;TEXT(($D1514-$C1514+1)+3,"00"),"")&amp;IF($C1514&gt;=5,", "&amp;$A1514&amp;"-"&amp;TEXT(($D1514-$C1514+1)+4,"00"),"")&amp;IF($C1514&gt;=6,", "&amp;$A1514&amp;"-"&amp;TEXT(($D1514-$C1514+1)+5,"00"),"")&amp;IF($C1514&gt;=7,", "&amp;$A1514&amp;"-"&amp;TEXT(($D1514-$C1514+1)+6,"00"),"")&amp;IF($C1514&gt;=8,", "&amp;$A1514&amp;"-"&amp;TEXT(($D1514-$C1514+1)+7,"00"),"")&amp;IF($C1514&gt;=9,", "&amp;$A1514&amp;"-"&amp;TEXT(($D1514-$C1514+1)+8,"00"),"")&amp;IF($C1514&gt;=10,", "&amp;$A1514&amp;"-"&amp;TEXT(($D1514-$C1514+1)+9,"00"),"")&amp;IF($C1514&gt;=11,", "&amp;$A1514&amp;"-"&amp;TEXT(($D1514-$C1514+1)+10,"00"),"")&amp;IF($C1514&gt;=12,", "&amp;$A1514&amp;"-"&amp;TEXT(($D1514-$C1514+1)+11,"00"),"")&amp;IF($C1514&gt;=13,", "&amp;$A1514&amp;"-"&amp;TEXT(($D1514-$C1514+1)+12,"00"),"")&amp;IF($C1514&gt;=14,", "&amp;$A1514&amp;"-"&amp;TEXT(($D1514-$C1514+1)+13,"00"),"")&amp;IF($C1514&gt;=15,", "&amp;$A1514&amp;"-"&amp;TEXT(($D1514-$C1514+1)+14,"00"),"")&amp;IF($C1514&gt;=16,", "&amp;$A1514&amp;"-"&amp;TEXT(($D1514-$C1514+1)+15,"00"),"")&amp;IF($C1514&gt;=17,", "&amp;$A1514&amp;"-"&amp;TEXT(($D1514-$C1514+1)+16,"00"),"")&amp;IF($C1514&gt;=18,", "&amp;$A1514&amp;"-"&amp;TEXT(($D1514-$C1514+1)+17,"00"),"")&amp;IF($C1514&gt;=19,", "&amp;$A1514&amp;"-"&amp;TEXT(($D1514-$C1514+1)+18,"00"),"")&amp;IF($C1514&gt;=20,", "&amp;$A1514&amp;"-"&amp;TEXT(($D1514-$C1514+1)+19,"00"),"")&amp;IF($C1514&gt;=21,", "&amp;$A1514&amp;"-"&amp;TEXT(($D1514-$C1514+1)+20,"00"),"")&amp;IF($C1514&gt;=22,", "&amp;$A1514&amp;"-"&amp;TEXT(($D1514-$C1514+1)+21,"00"),"")&amp;IF($C1514&gt;=23,", "&amp;$A1514&amp;"-"&amp;TEXT(($D1514-$C1514+1)+22,"00"),"")&amp;IF($C1514&gt;=24,", "&amp;$A1514&amp;"-"&amp;TEXT(($D1514-$C1514+1)+23,"00"),"")&amp;IF($C1514&gt;=25,", "&amp;$A1514&amp;"-"&amp;TEXT(($D1514-$C1514+1)+24,"00"),""))</f>
        <v/>
      </c>
      <c r="G1514">
        <f>IF($A1514="","",IF($E1514=1,$F1514,IF($F1514="",$G1513,IF($G1513="",$F1514,$G1513&amp;", "&amp;$F1514))))</f>
        <v/>
      </c>
      <c r="H1514">
        <f>IF($A1514="","",$A1514&amp;" ("&amp;$C1514&amp;")")</f>
        <v/>
      </c>
      <c r="I1514">
        <f>IF($A1514="","",IF($E1514=1,$H1514,$I1513&amp;", "&amp;$H1514))</f>
        <v/>
      </c>
      <c r="J1514">
        <f>IF($A1514="","",IF($E1514=1,$B1514,""))</f>
        <v/>
      </c>
      <c r="K1514">
        <f>IF($A1514="","",IF(COUNTIF($B$2:$B1514,$B1514)=COUNTIF($B$2:$B$1601,$B1514),$B1514,""))</f>
        <v/>
      </c>
    </row>
    <row r="1515">
      <c r="A1515">
        <f>IF('TMP Paste'!$E1515="","",'TMP Paste'!$E1515)</f>
        <v/>
      </c>
      <c r="B1515">
        <f>IF($A1515="","",COUNTIF('TMP Paste'!$B$2:$B1515,"?*"))</f>
        <v/>
      </c>
      <c r="C1515">
        <f>IF($A1515="","",IFERROR('TMP Paste'!$M1515*1,0))</f>
        <v/>
      </c>
      <c r="D1515">
        <f>IF($A1515="","",SUMIF($B$2:$B1515,$B1515,$C$2:$C1515))</f>
        <v/>
      </c>
      <c r="E1515">
        <f>IF($A1515="",0,IF('TMP Paste'!$B1515="",0,1))</f>
        <v/>
      </c>
      <c r="F1515">
        <f>IF(OR($A1515="",$C1515&lt;1),"",$A1515&amp;"-"&amp;TEXT(($D1515-$C1515+1),"00")&amp;IF($C1515&gt;=2,", "&amp;$A1515&amp;"-"&amp;TEXT(($D1515-$C1515+1)+1,"00"),"")&amp;IF($C1515&gt;=3,", "&amp;$A1515&amp;"-"&amp;TEXT(($D1515-$C1515+1)+2,"00"),"")&amp;IF($C1515&gt;=4,", "&amp;$A1515&amp;"-"&amp;TEXT(($D1515-$C1515+1)+3,"00"),"")&amp;IF($C1515&gt;=5,", "&amp;$A1515&amp;"-"&amp;TEXT(($D1515-$C1515+1)+4,"00"),"")&amp;IF($C1515&gt;=6,", "&amp;$A1515&amp;"-"&amp;TEXT(($D1515-$C1515+1)+5,"00"),"")&amp;IF($C1515&gt;=7,", "&amp;$A1515&amp;"-"&amp;TEXT(($D1515-$C1515+1)+6,"00"),"")&amp;IF($C1515&gt;=8,", "&amp;$A1515&amp;"-"&amp;TEXT(($D1515-$C1515+1)+7,"00"),"")&amp;IF($C1515&gt;=9,", "&amp;$A1515&amp;"-"&amp;TEXT(($D1515-$C1515+1)+8,"00"),"")&amp;IF($C1515&gt;=10,", "&amp;$A1515&amp;"-"&amp;TEXT(($D1515-$C1515+1)+9,"00"),"")&amp;IF($C1515&gt;=11,", "&amp;$A1515&amp;"-"&amp;TEXT(($D1515-$C1515+1)+10,"00"),"")&amp;IF($C1515&gt;=12,", "&amp;$A1515&amp;"-"&amp;TEXT(($D1515-$C1515+1)+11,"00"),"")&amp;IF($C1515&gt;=13,", "&amp;$A1515&amp;"-"&amp;TEXT(($D1515-$C1515+1)+12,"00"),"")&amp;IF($C1515&gt;=14,", "&amp;$A1515&amp;"-"&amp;TEXT(($D1515-$C1515+1)+13,"00"),"")&amp;IF($C1515&gt;=15,", "&amp;$A1515&amp;"-"&amp;TEXT(($D1515-$C1515+1)+14,"00"),"")&amp;IF($C1515&gt;=16,", "&amp;$A1515&amp;"-"&amp;TEXT(($D1515-$C1515+1)+15,"00"),"")&amp;IF($C1515&gt;=17,", "&amp;$A1515&amp;"-"&amp;TEXT(($D1515-$C1515+1)+16,"00"),"")&amp;IF($C1515&gt;=18,", "&amp;$A1515&amp;"-"&amp;TEXT(($D1515-$C1515+1)+17,"00"),"")&amp;IF($C1515&gt;=19,", "&amp;$A1515&amp;"-"&amp;TEXT(($D1515-$C1515+1)+18,"00"),"")&amp;IF($C1515&gt;=20,", "&amp;$A1515&amp;"-"&amp;TEXT(($D1515-$C1515+1)+19,"00"),"")&amp;IF($C1515&gt;=21,", "&amp;$A1515&amp;"-"&amp;TEXT(($D1515-$C1515+1)+20,"00"),"")&amp;IF($C1515&gt;=22,", "&amp;$A1515&amp;"-"&amp;TEXT(($D1515-$C1515+1)+21,"00"),"")&amp;IF($C1515&gt;=23,", "&amp;$A1515&amp;"-"&amp;TEXT(($D1515-$C1515+1)+22,"00"),"")&amp;IF($C1515&gt;=24,", "&amp;$A1515&amp;"-"&amp;TEXT(($D1515-$C1515+1)+23,"00"),"")&amp;IF($C1515&gt;=25,", "&amp;$A1515&amp;"-"&amp;TEXT(($D1515-$C1515+1)+24,"00"),""))</f>
        <v/>
      </c>
      <c r="G1515">
        <f>IF($A1515="","",IF($E1515=1,$F1515,IF($F1515="",$G1514,IF($G1514="",$F1515,$G1514&amp;", "&amp;$F1515))))</f>
        <v/>
      </c>
      <c r="H1515">
        <f>IF($A1515="","",$A1515&amp;" ("&amp;$C1515&amp;")")</f>
        <v/>
      </c>
      <c r="I1515">
        <f>IF($A1515="","",IF($E1515=1,$H1515,$I1514&amp;", "&amp;$H1515))</f>
        <v/>
      </c>
      <c r="J1515">
        <f>IF($A1515="","",IF($E1515=1,$B1515,""))</f>
        <v/>
      </c>
      <c r="K1515">
        <f>IF($A1515="","",IF(COUNTIF($B$2:$B1515,$B1515)=COUNTIF($B$2:$B$1601,$B1515),$B1515,""))</f>
        <v/>
      </c>
    </row>
    <row r="1516">
      <c r="A1516">
        <f>IF('TMP Paste'!$E1516="","",'TMP Paste'!$E1516)</f>
        <v/>
      </c>
      <c r="B1516">
        <f>IF($A1516="","",COUNTIF('TMP Paste'!$B$2:$B1516,"?*"))</f>
        <v/>
      </c>
      <c r="C1516">
        <f>IF($A1516="","",IFERROR('TMP Paste'!$M1516*1,0))</f>
        <v/>
      </c>
      <c r="D1516">
        <f>IF($A1516="","",SUMIF($B$2:$B1516,$B1516,$C$2:$C1516))</f>
        <v/>
      </c>
      <c r="E1516">
        <f>IF($A1516="",0,IF('TMP Paste'!$B1516="",0,1))</f>
        <v/>
      </c>
      <c r="F1516">
        <f>IF(OR($A1516="",$C1516&lt;1),"",$A1516&amp;"-"&amp;TEXT(($D1516-$C1516+1),"00")&amp;IF($C1516&gt;=2,", "&amp;$A1516&amp;"-"&amp;TEXT(($D1516-$C1516+1)+1,"00"),"")&amp;IF($C1516&gt;=3,", "&amp;$A1516&amp;"-"&amp;TEXT(($D1516-$C1516+1)+2,"00"),"")&amp;IF($C1516&gt;=4,", "&amp;$A1516&amp;"-"&amp;TEXT(($D1516-$C1516+1)+3,"00"),"")&amp;IF($C1516&gt;=5,", "&amp;$A1516&amp;"-"&amp;TEXT(($D1516-$C1516+1)+4,"00"),"")&amp;IF($C1516&gt;=6,", "&amp;$A1516&amp;"-"&amp;TEXT(($D1516-$C1516+1)+5,"00"),"")&amp;IF($C1516&gt;=7,", "&amp;$A1516&amp;"-"&amp;TEXT(($D1516-$C1516+1)+6,"00"),"")&amp;IF($C1516&gt;=8,", "&amp;$A1516&amp;"-"&amp;TEXT(($D1516-$C1516+1)+7,"00"),"")&amp;IF($C1516&gt;=9,", "&amp;$A1516&amp;"-"&amp;TEXT(($D1516-$C1516+1)+8,"00"),"")&amp;IF($C1516&gt;=10,", "&amp;$A1516&amp;"-"&amp;TEXT(($D1516-$C1516+1)+9,"00"),"")&amp;IF($C1516&gt;=11,", "&amp;$A1516&amp;"-"&amp;TEXT(($D1516-$C1516+1)+10,"00"),"")&amp;IF($C1516&gt;=12,", "&amp;$A1516&amp;"-"&amp;TEXT(($D1516-$C1516+1)+11,"00"),"")&amp;IF($C1516&gt;=13,", "&amp;$A1516&amp;"-"&amp;TEXT(($D1516-$C1516+1)+12,"00"),"")&amp;IF($C1516&gt;=14,", "&amp;$A1516&amp;"-"&amp;TEXT(($D1516-$C1516+1)+13,"00"),"")&amp;IF($C1516&gt;=15,", "&amp;$A1516&amp;"-"&amp;TEXT(($D1516-$C1516+1)+14,"00"),"")&amp;IF($C1516&gt;=16,", "&amp;$A1516&amp;"-"&amp;TEXT(($D1516-$C1516+1)+15,"00"),"")&amp;IF($C1516&gt;=17,", "&amp;$A1516&amp;"-"&amp;TEXT(($D1516-$C1516+1)+16,"00"),"")&amp;IF($C1516&gt;=18,", "&amp;$A1516&amp;"-"&amp;TEXT(($D1516-$C1516+1)+17,"00"),"")&amp;IF($C1516&gt;=19,", "&amp;$A1516&amp;"-"&amp;TEXT(($D1516-$C1516+1)+18,"00"),"")&amp;IF($C1516&gt;=20,", "&amp;$A1516&amp;"-"&amp;TEXT(($D1516-$C1516+1)+19,"00"),"")&amp;IF($C1516&gt;=21,", "&amp;$A1516&amp;"-"&amp;TEXT(($D1516-$C1516+1)+20,"00"),"")&amp;IF($C1516&gt;=22,", "&amp;$A1516&amp;"-"&amp;TEXT(($D1516-$C1516+1)+21,"00"),"")&amp;IF($C1516&gt;=23,", "&amp;$A1516&amp;"-"&amp;TEXT(($D1516-$C1516+1)+22,"00"),"")&amp;IF($C1516&gt;=24,", "&amp;$A1516&amp;"-"&amp;TEXT(($D1516-$C1516+1)+23,"00"),"")&amp;IF($C1516&gt;=25,", "&amp;$A1516&amp;"-"&amp;TEXT(($D1516-$C1516+1)+24,"00"),""))</f>
        <v/>
      </c>
      <c r="G1516">
        <f>IF($A1516="","",IF($E1516=1,$F1516,IF($F1516="",$G1515,IF($G1515="",$F1516,$G1515&amp;", "&amp;$F1516))))</f>
        <v/>
      </c>
      <c r="H1516">
        <f>IF($A1516="","",$A1516&amp;" ("&amp;$C1516&amp;")")</f>
        <v/>
      </c>
      <c r="I1516">
        <f>IF($A1516="","",IF($E1516=1,$H1516,$I1515&amp;", "&amp;$H1516))</f>
        <v/>
      </c>
      <c r="J1516">
        <f>IF($A1516="","",IF($E1516=1,$B1516,""))</f>
        <v/>
      </c>
      <c r="K1516">
        <f>IF($A1516="","",IF(COUNTIF($B$2:$B1516,$B1516)=COUNTIF($B$2:$B$1601,$B1516),$B1516,""))</f>
        <v/>
      </c>
    </row>
    <row r="1517">
      <c r="A1517">
        <f>IF('TMP Paste'!$E1517="","",'TMP Paste'!$E1517)</f>
        <v/>
      </c>
      <c r="B1517">
        <f>IF($A1517="","",COUNTIF('TMP Paste'!$B$2:$B1517,"?*"))</f>
        <v/>
      </c>
      <c r="C1517">
        <f>IF($A1517="","",IFERROR('TMP Paste'!$M1517*1,0))</f>
        <v/>
      </c>
      <c r="D1517">
        <f>IF($A1517="","",SUMIF($B$2:$B1517,$B1517,$C$2:$C1517))</f>
        <v/>
      </c>
      <c r="E1517">
        <f>IF($A1517="",0,IF('TMP Paste'!$B1517="",0,1))</f>
        <v/>
      </c>
      <c r="F1517">
        <f>IF(OR($A1517="",$C1517&lt;1),"",$A1517&amp;"-"&amp;TEXT(($D1517-$C1517+1),"00")&amp;IF($C1517&gt;=2,", "&amp;$A1517&amp;"-"&amp;TEXT(($D1517-$C1517+1)+1,"00"),"")&amp;IF($C1517&gt;=3,", "&amp;$A1517&amp;"-"&amp;TEXT(($D1517-$C1517+1)+2,"00"),"")&amp;IF($C1517&gt;=4,", "&amp;$A1517&amp;"-"&amp;TEXT(($D1517-$C1517+1)+3,"00"),"")&amp;IF($C1517&gt;=5,", "&amp;$A1517&amp;"-"&amp;TEXT(($D1517-$C1517+1)+4,"00"),"")&amp;IF($C1517&gt;=6,", "&amp;$A1517&amp;"-"&amp;TEXT(($D1517-$C1517+1)+5,"00"),"")&amp;IF($C1517&gt;=7,", "&amp;$A1517&amp;"-"&amp;TEXT(($D1517-$C1517+1)+6,"00"),"")&amp;IF($C1517&gt;=8,", "&amp;$A1517&amp;"-"&amp;TEXT(($D1517-$C1517+1)+7,"00"),"")&amp;IF($C1517&gt;=9,", "&amp;$A1517&amp;"-"&amp;TEXT(($D1517-$C1517+1)+8,"00"),"")&amp;IF($C1517&gt;=10,", "&amp;$A1517&amp;"-"&amp;TEXT(($D1517-$C1517+1)+9,"00"),"")&amp;IF($C1517&gt;=11,", "&amp;$A1517&amp;"-"&amp;TEXT(($D1517-$C1517+1)+10,"00"),"")&amp;IF($C1517&gt;=12,", "&amp;$A1517&amp;"-"&amp;TEXT(($D1517-$C1517+1)+11,"00"),"")&amp;IF($C1517&gt;=13,", "&amp;$A1517&amp;"-"&amp;TEXT(($D1517-$C1517+1)+12,"00"),"")&amp;IF($C1517&gt;=14,", "&amp;$A1517&amp;"-"&amp;TEXT(($D1517-$C1517+1)+13,"00"),"")&amp;IF($C1517&gt;=15,", "&amp;$A1517&amp;"-"&amp;TEXT(($D1517-$C1517+1)+14,"00"),"")&amp;IF($C1517&gt;=16,", "&amp;$A1517&amp;"-"&amp;TEXT(($D1517-$C1517+1)+15,"00"),"")&amp;IF($C1517&gt;=17,", "&amp;$A1517&amp;"-"&amp;TEXT(($D1517-$C1517+1)+16,"00"),"")&amp;IF($C1517&gt;=18,", "&amp;$A1517&amp;"-"&amp;TEXT(($D1517-$C1517+1)+17,"00"),"")&amp;IF($C1517&gt;=19,", "&amp;$A1517&amp;"-"&amp;TEXT(($D1517-$C1517+1)+18,"00"),"")&amp;IF($C1517&gt;=20,", "&amp;$A1517&amp;"-"&amp;TEXT(($D1517-$C1517+1)+19,"00"),"")&amp;IF($C1517&gt;=21,", "&amp;$A1517&amp;"-"&amp;TEXT(($D1517-$C1517+1)+20,"00"),"")&amp;IF($C1517&gt;=22,", "&amp;$A1517&amp;"-"&amp;TEXT(($D1517-$C1517+1)+21,"00"),"")&amp;IF($C1517&gt;=23,", "&amp;$A1517&amp;"-"&amp;TEXT(($D1517-$C1517+1)+22,"00"),"")&amp;IF($C1517&gt;=24,", "&amp;$A1517&amp;"-"&amp;TEXT(($D1517-$C1517+1)+23,"00"),"")&amp;IF($C1517&gt;=25,", "&amp;$A1517&amp;"-"&amp;TEXT(($D1517-$C1517+1)+24,"00"),""))</f>
        <v/>
      </c>
      <c r="G1517">
        <f>IF($A1517="","",IF($E1517=1,$F1517,IF($F1517="",$G1516,IF($G1516="",$F1517,$G1516&amp;", "&amp;$F1517))))</f>
        <v/>
      </c>
      <c r="H1517">
        <f>IF($A1517="","",$A1517&amp;" ("&amp;$C1517&amp;")")</f>
        <v/>
      </c>
      <c r="I1517">
        <f>IF($A1517="","",IF($E1517=1,$H1517,$I1516&amp;", "&amp;$H1517))</f>
        <v/>
      </c>
      <c r="J1517">
        <f>IF($A1517="","",IF($E1517=1,$B1517,""))</f>
        <v/>
      </c>
      <c r="K1517">
        <f>IF($A1517="","",IF(COUNTIF($B$2:$B1517,$B1517)=COUNTIF($B$2:$B$1601,$B1517),$B1517,""))</f>
        <v/>
      </c>
    </row>
    <row r="1518">
      <c r="A1518">
        <f>IF('TMP Paste'!$E1518="","",'TMP Paste'!$E1518)</f>
        <v/>
      </c>
      <c r="B1518">
        <f>IF($A1518="","",COUNTIF('TMP Paste'!$B$2:$B1518,"?*"))</f>
        <v/>
      </c>
      <c r="C1518">
        <f>IF($A1518="","",IFERROR('TMP Paste'!$M1518*1,0))</f>
        <v/>
      </c>
      <c r="D1518">
        <f>IF($A1518="","",SUMIF($B$2:$B1518,$B1518,$C$2:$C1518))</f>
        <v/>
      </c>
      <c r="E1518">
        <f>IF($A1518="",0,IF('TMP Paste'!$B1518="",0,1))</f>
        <v/>
      </c>
      <c r="F1518">
        <f>IF(OR($A1518="",$C1518&lt;1),"",$A1518&amp;"-"&amp;TEXT(($D1518-$C1518+1),"00")&amp;IF($C1518&gt;=2,", "&amp;$A1518&amp;"-"&amp;TEXT(($D1518-$C1518+1)+1,"00"),"")&amp;IF($C1518&gt;=3,", "&amp;$A1518&amp;"-"&amp;TEXT(($D1518-$C1518+1)+2,"00"),"")&amp;IF($C1518&gt;=4,", "&amp;$A1518&amp;"-"&amp;TEXT(($D1518-$C1518+1)+3,"00"),"")&amp;IF($C1518&gt;=5,", "&amp;$A1518&amp;"-"&amp;TEXT(($D1518-$C1518+1)+4,"00"),"")&amp;IF($C1518&gt;=6,", "&amp;$A1518&amp;"-"&amp;TEXT(($D1518-$C1518+1)+5,"00"),"")&amp;IF($C1518&gt;=7,", "&amp;$A1518&amp;"-"&amp;TEXT(($D1518-$C1518+1)+6,"00"),"")&amp;IF($C1518&gt;=8,", "&amp;$A1518&amp;"-"&amp;TEXT(($D1518-$C1518+1)+7,"00"),"")&amp;IF($C1518&gt;=9,", "&amp;$A1518&amp;"-"&amp;TEXT(($D1518-$C1518+1)+8,"00"),"")&amp;IF($C1518&gt;=10,", "&amp;$A1518&amp;"-"&amp;TEXT(($D1518-$C1518+1)+9,"00"),"")&amp;IF($C1518&gt;=11,", "&amp;$A1518&amp;"-"&amp;TEXT(($D1518-$C1518+1)+10,"00"),"")&amp;IF($C1518&gt;=12,", "&amp;$A1518&amp;"-"&amp;TEXT(($D1518-$C1518+1)+11,"00"),"")&amp;IF($C1518&gt;=13,", "&amp;$A1518&amp;"-"&amp;TEXT(($D1518-$C1518+1)+12,"00"),"")&amp;IF($C1518&gt;=14,", "&amp;$A1518&amp;"-"&amp;TEXT(($D1518-$C1518+1)+13,"00"),"")&amp;IF($C1518&gt;=15,", "&amp;$A1518&amp;"-"&amp;TEXT(($D1518-$C1518+1)+14,"00"),"")&amp;IF($C1518&gt;=16,", "&amp;$A1518&amp;"-"&amp;TEXT(($D1518-$C1518+1)+15,"00"),"")&amp;IF($C1518&gt;=17,", "&amp;$A1518&amp;"-"&amp;TEXT(($D1518-$C1518+1)+16,"00"),"")&amp;IF($C1518&gt;=18,", "&amp;$A1518&amp;"-"&amp;TEXT(($D1518-$C1518+1)+17,"00"),"")&amp;IF($C1518&gt;=19,", "&amp;$A1518&amp;"-"&amp;TEXT(($D1518-$C1518+1)+18,"00"),"")&amp;IF($C1518&gt;=20,", "&amp;$A1518&amp;"-"&amp;TEXT(($D1518-$C1518+1)+19,"00"),"")&amp;IF($C1518&gt;=21,", "&amp;$A1518&amp;"-"&amp;TEXT(($D1518-$C1518+1)+20,"00"),"")&amp;IF($C1518&gt;=22,", "&amp;$A1518&amp;"-"&amp;TEXT(($D1518-$C1518+1)+21,"00"),"")&amp;IF($C1518&gt;=23,", "&amp;$A1518&amp;"-"&amp;TEXT(($D1518-$C1518+1)+22,"00"),"")&amp;IF($C1518&gt;=24,", "&amp;$A1518&amp;"-"&amp;TEXT(($D1518-$C1518+1)+23,"00"),"")&amp;IF($C1518&gt;=25,", "&amp;$A1518&amp;"-"&amp;TEXT(($D1518-$C1518+1)+24,"00"),""))</f>
        <v/>
      </c>
      <c r="G1518">
        <f>IF($A1518="","",IF($E1518=1,$F1518,IF($F1518="",$G1517,IF($G1517="",$F1518,$G1517&amp;", "&amp;$F1518))))</f>
        <v/>
      </c>
      <c r="H1518">
        <f>IF($A1518="","",$A1518&amp;" ("&amp;$C1518&amp;")")</f>
        <v/>
      </c>
      <c r="I1518">
        <f>IF($A1518="","",IF($E1518=1,$H1518,$I1517&amp;", "&amp;$H1518))</f>
        <v/>
      </c>
      <c r="J1518">
        <f>IF($A1518="","",IF($E1518=1,$B1518,""))</f>
        <v/>
      </c>
      <c r="K1518">
        <f>IF($A1518="","",IF(COUNTIF($B$2:$B1518,$B1518)=COUNTIF($B$2:$B$1601,$B1518),$B1518,""))</f>
        <v/>
      </c>
    </row>
    <row r="1519">
      <c r="A1519">
        <f>IF('TMP Paste'!$E1519="","",'TMP Paste'!$E1519)</f>
        <v/>
      </c>
      <c r="B1519">
        <f>IF($A1519="","",COUNTIF('TMP Paste'!$B$2:$B1519,"?*"))</f>
        <v/>
      </c>
      <c r="C1519">
        <f>IF($A1519="","",IFERROR('TMP Paste'!$M1519*1,0))</f>
        <v/>
      </c>
      <c r="D1519">
        <f>IF($A1519="","",SUMIF($B$2:$B1519,$B1519,$C$2:$C1519))</f>
        <v/>
      </c>
      <c r="E1519">
        <f>IF($A1519="",0,IF('TMP Paste'!$B1519="",0,1))</f>
        <v/>
      </c>
      <c r="F1519">
        <f>IF(OR($A1519="",$C1519&lt;1),"",$A1519&amp;"-"&amp;TEXT(($D1519-$C1519+1),"00")&amp;IF($C1519&gt;=2,", "&amp;$A1519&amp;"-"&amp;TEXT(($D1519-$C1519+1)+1,"00"),"")&amp;IF($C1519&gt;=3,", "&amp;$A1519&amp;"-"&amp;TEXT(($D1519-$C1519+1)+2,"00"),"")&amp;IF($C1519&gt;=4,", "&amp;$A1519&amp;"-"&amp;TEXT(($D1519-$C1519+1)+3,"00"),"")&amp;IF($C1519&gt;=5,", "&amp;$A1519&amp;"-"&amp;TEXT(($D1519-$C1519+1)+4,"00"),"")&amp;IF($C1519&gt;=6,", "&amp;$A1519&amp;"-"&amp;TEXT(($D1519-$C1519+1)+5,"00"),"")&amp;IF($C1519&gt;=7,", "&amp;$A1519&amp;"-"&amp;TEXT(($D1519-$C1519+1)+6,"00"),"")&amp;IF($C1519&gt;=8,", "&amp;$A1519&amp;"-"&amp;TEXT(($D1519-$C1519+1)+7,"00"),"")&amp;IF($C1519&gt;=9,", "&amp;$A1519&amp;"-"&amp;TEXT(($D1519-$C1519+1)+8,"00"),"")&amp;IF($C1519&gt;=10,", "&amp;$A1519&amp;"-"&amp;TEXT(($D1519-$C1519+1)+9,"00"),"")&amp;IF($C1519&gt;=11,", "&amp;$A1519&amp;"-"&amp;TEXT(($D1519-$C1519+1)+10,"00"),"")&amp;IF($C1519&gt;=12,", "&amp;$A1519&amp;"-"&amp;TEXT(($D1519-$C1519+1)+11,"00"),"")&amp;IF($C1519&gt;=13,", "&amp;$A1519&amp;"-"&amp;TEXT(($D1519-$C1519+1)+12,"00"),"")&amp;IF($C1519&gt;=14,", "&amp;$A1519&amp;"-"&amp;TEXT(($D1519-$C1519+1)+13,"00"),"")&amp;IF($C1519&gt;=15,", "&amp;$A1519&amp;"-"&amp;TEXT(($D1519-$C1519+1)+14,"00"),"")&amp;IF($C1519&gt;=16,", "&amp;$A1519&amp;"-"&amp;TEXT(($D1519-$C1519+1)+15,"00"),"")&amp;IF($C1519&gt;=17,", "&amp;$A1519&amp;"-"&amp;TEXT(($D1519-$C1519+1)+16,"00"),"")&amp;IF($C1519&gt;=18,", "&amp;$A1519&amp;"-"&amp;TEXT(($D1519-$C1519+1)+17,"00"),"")&amp;IF($C1519&gt;=19,", "&amp;$A1519&amp;"-"&amp;TEXT(($D1519-$C1519+1)+18,"00"),"")&amp;IF($C1519&gt;=20,", "&amp;$A1519&amp;"-"&amp;TEXT(($D1519-$C1519+1)+19,"00"),"")&amp;IF($C1519&gt;=21,", "&amp;$A1519&amp;"-"&amp;TEXT(($D1519-$C1519+1)+20,"00"),"")&amp;IF($C1519&gt;=22,", "&amp;$A1519&amp;"-"&amp;TEXT(($D1519-$C1519+1)+21,"00"),"")&amp;IF($C1519&gt;=23,", "&amp;$A1519&amp;"-"&amp;TEXT(($D1519-$C1519+1)+22,"00"),"")&amp;IF($C1519&gt;=24,", "&amp;$A1519&amp;"-"&amp;TEXT(($D1519-$C1519+1)+23,"00"),"")&amp;IF($C1519&gt;=25,", "&amp;$A1519&amp;"-"&amp;TEXT(($D1519-$C1519+1)+24,"00"),""))</f>
        <v/>
      </c>
      <c r="G1519">
        <f>IF($A1519="","",IF($E1519=1,$F1519,IF($F1519="",$G1518,IF($G1518="",$F1519,$G1518&amp;", "&amp;$F1519))))</f>
        <v/>
      </c>
      <c r="H1519">
        <f>IF($A1519="","",$A1519&amp;" ("&amp;$C1519&amp;")")</f>
        <v/>
      </c>
      <c r="I1519">
        <f>IF($A1519="","",IF($E1519=1,$H1519,$I1518&amp;", "&amp;$H1519))</f>
        <v/>
      </c>
      <c r="J1519">
        <f>IF($A1519="","",IF($E1519=1,$B1519,""))</f>
        <v/>
      </c>
      <c r="K1519">
        <f>IF($A1519="","",IF(COUNTIF($B$2:$B1519,$B1519)=COUNTIF($B$2:$B$1601,$B1519),$B1519,""))</f>
        <v/>
      </c>
    </row>
    <row r="1520">
      <c r="A1520">
        <f>IF('TMP Paste'!$E1520="","",'TMP Paste'!$E1520)</f>
        <v/>
      </c>
      <c r="B1520">
        <f>IF($A1520="","",COUNTIF('TMP Paste'!$B$2:$B1520,"?*"))</f>
        <v/>
      </c>
      <c r="C1520">
        <f>IF($A1520="","",IFERROR('TMP Paste'!$M1520*1,0))</f>
        <v/>
      </c>
      <c r="D1520">
        <f>IF($A1520="","",SUMIF($B$2:$B1520,$B1520,$C$2:$C1520))</f>
        <v/>
      </c>
      <c r="E1520">
        <f>IF($A1520="",0,IF('TMP Paste'!$B1520="",0,1))</f>
        <v/>
      </c>
      <c r="F1520">
        <f>IF(OR($A1520="",$C1520&lt;1),"",$A1520&amp;"-"&amp;TEXT(($D1520-$C1520+1),"00")&amp;IF($C1520&gt;=2,", "&amp;$A1520&amp;"-"&amp;TEXT(($D1520-$C1520+1)+1,"00"),"")&amp;IF($C1520&gt;=3,", "&amp;$A1520&amp;"-"&amp;TEXT(($D1520-$C1520+1)+2,"00"),"")&amp;IF($C1520&gt;=4,", "&amp;$A1520&amp;"-"&amp;TEXT(($D1520-$C1520+1)+3,"00"),"")&amp;IF($C1520&gt;=5,", "&amp;$A1520&amp;"-"&amp;TEXT(($D1520-$C1520+1)+4,"00"),"")&amp;IF($C1520&gt;=6,", "&amp;$A1520&amp;"-"&amp;TEXT(($D1520-$C1520+1)+5,"00"),"")&amp;IF($C1520&gt;=7,", "&amp;$A1520&amp;"-"&amp;TEXT(($D1520-$C1520+1)+6,"00"),"")&amp;IF($C1520&gt;=8,", "&amp;$A1520&amp;"-"&amp;TEXT(($D1520-$C1520+1)+7,"00"),"")&amp;IF($C1520&gt;=9,", "&amp;$A1520&amp;"-"&amp;TEXT(($D1520-$C1520+1)+8,"00"),"")&amp;IF($C1520&gt;=10,", "&amp;$A1520&amp;"-"&amp;TEXT(($D1520-$C1520+1)+9,"00"),"")&amp;IF($C1520&gt;=11,", "&amp;$A1520&amp;"-"&amp;TEXT(($D1520-$C1520+1)+10,"00"),"")&amp;IF($C1520&gt;=12,", "&amp;$A1520&amp;"-"&amp;TEXT(($D1520-$C1520+1)+11,"00"),"")&amp;IF($C1520&gt;=13,", "&amp;$A1520&amp;"-"&amp;TEXT(($D1520-$C1520+1)+12,"00"),"")&amp;IF($C1520&gt;=14,", "&amp;$A1520&amp;"-"&amp;TEXT(($D1520-$C1520+1)+13,"00"),"")&amp;IF($C1520&gt;=15,", "&amp;$A1520&amp;"-"&amp;TEXT(($D1520-$C1520+1)+14,"00"),"")&amp;IF($C1520&gt;=16,", "&amp;$A1520&amp;"-"&amp;TEXT(($D1520-$C1520+1)+15,"00"),"")&amp;IF($C1520&gt;=17,", "&amp;$A1520&amp;"-"&amp;TEXT(($D1520-$C1520+1)+16,"00"),"")&amp;IF($C1520&gt;=18,", "&amp;$A1520&amp;"-"&amp;TEXT(($D1520-$C1520+1)+17,"00"),"")&amp;IF($C1520&gt;=19,", "&amp;$A1520&amp;"-"&amp;TEXT(($D1520-$C1520+1)+18,"00"),"")&amp;IF($C1520&gt;=20,", "&amp;$A1520&amp;"-"&amp;TEXT(($D1520-$C1520+1)+19,"00"),"")&amp;IF($C1520&gt;=21,", "&amp;$A1520&amp;"-"&amp;TEXT(($D1520-$C1520+1)+20,"00"),"")&amp;IF($C1520&gt;=22,", "&amp;$A1520&amp;"-"&amp;TEXT(($D1520-$C1520+1)+21,"00"),"")&amp;IF($C1520&gt;=23,", "&amp;$A1520&amp;"-"&amp;TEXT(($D1520-$C1520+1)+22,"00"),"")&amp;IF($C1520&gt;=24,", "&amp;$A1520&amp;"-"&amp;TEXT(($D1520-$C1520+1)+23,"00"),"")&amp;IF($C1520&gt;=25,", "&amp;$A1520&amp;"-"&amp;TEXT(($D1520-$C1520+1)+24,"00"),""))</f>
        <v/>
      </c>
      <c r="G1520">
        <f>IF($A1520="","",IF($E1520=1,$F1520,IF($F1520="",$G1519,IF($G1519="",$F1520,$G1519&amp;", "&amp;$F1520))))</f>
        <v/>
      </c>
      <c r="H1520">
        <f>IF($A1520="","",$A1520&amp;" ("&amp;$C1520&amp;")")</f>
        <v/>
      </c>
      <c r="I1520">
        <f>IF($A1520="","",IF($E1520=1,$H1520,$I1519&amp;", "&amp;$H1520))</f>
        <v/>
      </c>
      <c r="J1520">
        <f>IF($A1520="","",IF($E1520=1,$B1520,""))</f>
        <v/>
      </c>
      <c r="K1520">
        <f>IF($A1520="","",IF(COUNTIF($B$2:$B1520,$B1520)=COUNTIF($B$2:$B$1601,$B1520),$B1520,""))</f>
        <v/>
      </c>
    </row>
    <row r="1521">
      <c r="A1521">
        <f>IF('TMP Paste'!$E1521="","",'TMP Paste'!$E1521)</f>
        <v/>
      </c>
      <c r="B1521">
        <f>IF($A1521="","",COUNTIF('TMP Paste'!$B$2:$B1521,"?*"))</f>
        <v/>
      </c>
      <c r="C1521">
        <f>IF($A1521="","",IFERROR('TMP Paste'!$M1521*1,0))</f>
        <v/>
      </c>
      <c r="D1521">
        <f>IF($A1521="","",SUMIF($B$2:$B1521,$B1521,$C$2:$C1521))</f>
        <v/>
      </c>
      <c r="E1521">
        <f>IF($A1521="",0,IF('TMP Paste'!$B1521="",0,1))</f>
        <v/>
      </c>
      <c r="F1521">
        <f>IF(OR($A1521="",$C1521&lt;1),"",$A1521&amp;"-"&amp;TEXT(($D1521-$C1521+1),"00")&amp;IF($C1521&gt;=2,", "&amp;$A1521&amp;"-"&amp;TEXT(($D1521-$C1521+1)+1,"00"),"")&amp;IF($C1521&gt;=3,", "&amp;$A1521&amp;"-"&amp;TEXT(($D1521-$C1521+1)+2,"00"),"")&amp;IF($C1521&gt;=4,", "&amp;$A1521&amp;"-"&amp;TEXT(($D1521-$C1521+1)+3,"00"),"")&amp;IF($C1521&gt;=5,", "&amp;$A1521&amp;"-"&amp;TEXT(($D1521-$C1521+1)+4,"00"),"")&amp;IF($C1521&gt;=6,", "&amp;$A1521&amp;"-"&amp;TEXT(($D1521-$C1521+1)+5,"00"),"")&amp;IF($C1521&gt;=7,", "&amp;$A1521&amp;"-"&amp;TEXT(($D1521-$C1521+1)+6,"00"),"")&amp;IF($C1521&gt;=8,", "&amp;$A1521&amp;"-"&amp;TEXT(($D1521-$C1521+1)+7,"00"),"")&amp;IF($C1521&gt;=9,", "&amp;$A1521&amp;"-"&amp;TEXT(($D1521-$C1521+1)+8,"00"),"")&amp;IF($C1521&gt;=10,", "&amp;$A1521&amp;"-"&amp;TEXT(($D1521-$C1521+1)+9,"00"),"")&amp;IF($C1521&gt;=11,", "&amp;$A1521&amp;"-"&amp;TEXT(($D1521-$C1521+1)+10,"00"),"")&amp;IF($C1521&gt;=12,", "&amp;$A1521&amp;"-"&amp;TEXT(($D1521-$C1521+1)+11,"00"),"")&amp;IF($C1521&gt;=13,", "&amp;$A1521&amp;"-"&amp;TEXT(($D1521-$C1521+1)+12,"00"),"")&amp;IF($C1521&gt;=14,", "&amp;$A1521&amp;"-"&amp;TEXT(($D1521-$C1521+1)+13,"00"),"")&amp;IF($C1521&gt;=15,", "&amp;$A1521&amp;"-"&amp;TEXT(($D1521-$C1521+1)+14,"00"),"")&amp;IF($C1521&gt;=16,", "&amp;$A1521&amp;"-"&amp;TEXT(($D1521-$C1521+1)+15,"00"),"")&amp;IF($C1521&gt;=17,", "&amp;$A1521&amp;"-"&amp;TEXT(($D1521-$C1521+1)+16,"00"),"")&amp;IF($C1521&gt;=18,", "&amp;$A1521&amp;"-"&amp;TEXT(($D1521-$C1521+1)+17,"00"),"")&amp;IF($C1521&gt;=19,", "&amp;$A1521&amp;"-"&amp;TEXT(($D1521-$C1521+1)+18,"00"),"")&amp;IF($C1521&gt;=20,", "&amp;$A1521&amp;"-"&amp;TEXT(($D1521-$C1521+1)+19,"00"),"")&amp;IF($C1521&gt;=21,", "&amp;$A1521&amp;"-"&amp;TEXT(($D1521-$C1521+1)+20,"00"),"")&amp;IF($C1521&gt;=22,", "&amp;$A1521&amp;"-"&amp;TEXT(($D1521-$C1521+1)+21,"00"),"")&amp;IF($C1521&gt;=23,", "&amp;$A1521&amp;"-"&amp;TEXT(($D1521-$C1521+1)+22,"00"),"")&amp;IF($C1521&gt;=24,", "&amp;$A1521&amp;"-"&amp;TEXT(($D1521-$C1521+1)+23,"00"),"")&amp;IF($C1521&gt;=25,", "&amp;$A1521&amp;"-"&amp;TEXT(($D1521-$C1521+1)+24,"00"),""))</f>
        <v/>
      </c>
      <c r="G1521">
        <f>IF($A1521="","",IF($E1521=1,$F1521,IF($F1521="",$G1520,IF($G1520="",$F1521,$G1520&amp;", "&amp;$F1521))))</f>
        <v/>
      </c>
      <c r="H1521">
        <f>IF($A1521="","",$A1521&amp;" ("&amp;$C1521&amp;")")</f>
        <v/>
      </c>
      <c r="I1521">
        <f>IF($A1521="","",IF($E1521=1,$H1521,$I1520&amp;", "&amp;$H1521))</f>
        <v/>
      </c>
      <c r="J1521">
        <f>IF($A1521="","",IF($E1521=1,$B1521,""))</f>
        <v/>
      </c>
      <c r="K1521">
        <f>IF($A1521="","",IF(COUNTIF($B$2:$B1521,$B1521)=COUNTIF($B$2:$B$1601,$B1521),$B1521,""))</f>
        <v/>
      </c>
    </row>
    <row r="1522">
      <c r="A1522">
        <f>IF('TMP Paste'!$E1522="","",'TMP Paste'!$E1522)</f>
        <v/>
      </c>
      <c r="B1522">
        <f>IF($A1522="","",COUNTIF('TMP Paste'!$B$2:$B1522,"?*"))</f>
        <v/>
      </c>
      <c r="C1522">
        <f>IF($A1522="","",IFERROR('TMP Paste'!$M1522*1,0))</f>
        <v/>
      </c>
      <c r="D1522">
        <f>IF($A1522="","",SUMIF($B$2:$B1522,$B1522,$C$2:$C1522))</f>
        <v/>
      </c>
      <c r="E1522">
        <f>IF($A1522="",0,IF('TMP Paste'!$B1522="",0,1))</f>
        <v/>
      </c>
      <c r="F1522">
        <f>IF(OR($A1522="",$C1522&lt;1),"",$A1522&amp;"-"&amp;TEXT(($D1522-$C1522+1),"00")&amp;IF($C1522&gt;=2,", "&amp;$A1522&amp;"-"&amp;TEXT(($D1522-$C1522+1)+1,"00"),"")&amp;IF($C1522&gt;=3,", "&amp;$A1522&amp;"-"&amp;TEXT(($D1522-$C1522+1)+2,"00"),"")&amp;IF($C1522&gt;=4,", "&amp;$A1522&amp;"-"&amp;TEXT(($D1522-$C1522+1)+3,"00"),"")&amp;IF($C1522&gt;=5,", "&amp;$A1522&amp;"-"&amp;TEXT(($D1522-$C1522+1)+4,"00"),"")&amp;IF($C1522&gt;=6,", "&amp;$A1522&amp;"-"&amp;TEXT(($D1522-$C1522+1)+5,"00"),"")&amp;IF($C1522&gt;=7,", "&amp;$A1522&amp;"-"&amp;TEXT(($D1522-$C1522+1)+6,"00"),"")&amp;IF($C1522&gt;=8,", "&amp;$A1522&amp;"-"&amp;TEXT(($D1522-$C1522+1)+7,"00"),"")&amp;IF($C1522&gt;=9,", "&amp;$A1522&amp;"-"&amp;TEXT(($D1522-$C1522+1)+8,"00"),"")&amp;IF($C1522&gt;=10,", "&amp;$A1522&amp;"-"&amp;TEXT(($D1522-$C1522+1)+9,"00"),"")&amp;IF($C1522&gt;=11,", "&amp;$A1522&amp;"-"&amp;TEXT(($D1522-$C1522+1)+10,"00"),"")&amp;IF($C1522&gt;=12,", "&amp;$A1522&amp;"-"&amp;TEXT(($D1522-$C1522+1)+11,"00"),"")&amp;IF($C1522&gt;=13,", "&amp;$A1522&amp;"-"&amp;TEXT(($D1522-$C1522+1)+12,"00"),"")&amp;IF($C1522&gt;=14,", "&amp;$A1522&amp;"-"&amp;TEXT(($D1522-$C1522+1)+13,"00"),"")&amp;IF($C1522&gt;=15,", "&amp;$A1522&amp;"-"&amp;TEXT(($D1522-$C1522+1)+14,"00"),"")&amp;IF($C1522&gt;=16,", "&amp;$A1522&amp;"-"&amp;TEXT(($D1522-$C1522+1)+15,"00"),"")&amp;IF($C1522&gt;=17,", "&amp;$A1522&amp;"-"&amp;TEXT(($D1522-$C1522+1)+16,"00"),"")&amp;IF($C1522&gt;=18,", "&amp;$A1522&amp;"-"&amp;TEXT(($D1522-$C1522+1)+17,"00"),"")&amp;IF($C1522&gt;=19,", "&amp;$A1522&amp;"-"&amp;TEXT(($D1522-$C1522+1)+18,"00"),"")&amp;IF($C1522&gt;=20,", "&amp;$A1522&amp;"-"&amp;TEXT(($D1522-$C1522+1)+19,"00"),"")&amp;IF($C1522&gt;=21,", "&amp;$A1522&amp;"-"&amp;TEXT(($D1522-$C1522+1)+20,"00"),"")&amp;IF($C1522&gt;=22,", "&amp;$A1522&amp;"-"&amp;TEXT(($D1522-$C1522+1)+21,"00"),"")&amp;IF($C1522&gt;=23,", "&amp;$A1522&amp;"-"&amp;TEXT(($D1522-$C1522+1)+22,"00"),"")&amp;IF($C1522&gt;=24,", "&amp;$A1522&amp;"-"&amp;TEXT(($D1522-$C1522+1)+23,"00"),"")&amp;IF($C1522&gt;=25,", "&amp;$A1522&amp;"-"&amp;TEXT(($D1522-$C1522+1)+24,"00"),""))</f>
        <v/>
      </c>
      <c r="G1522">
        <f>IF($A1522="","",IF($E1522=1,$F1522,IF($F1522="",$G1521,IF($G1521="",$F1522,$G1521&amp;", "&amp;$F1522))))</f>
        <v/>
      </c>
      <c r="H1522">
        <f>IF($A1522="","",$A1522&amp;" ("&amp;$C1522&amp;")")</f>
        <v/>
      </c>
      <c r="I1522">
        <f>IF($A1522="","",IF($E1522=1,$H1522,$I1521&amp;", "&amp;$H1522))</f>
        <v/>
      </c>
      <c r="J1522">
        <f>IF($A1522="","",IF($E1522=1,$B1522,""))</f>
        <v/>
      </c>
      <c r="K1522">
        <f>IF($A1522="","",IF(COUNTIF($B$2:$B1522,$B1522)=COUNTIF($B$2:$B$1601,$B1522),$B1522,""))</f>
        <v/>
      </c>
    </row>
    <row r="1523">
      <c r="A1523">
        <f>IF('TMP Paste'!$E1523="","",'TMP Paste'!$E1523)</f>
        <v/>
      </c>
      <c r="B1523">
        <f>IF($A1523="","",COUNTIF('TMP Paste'!$B$2:$B1523,"?*"))</f>
        <v/>
      </c>
      <c r="C1523">
        <f>IF($A1523="","",IFERROR('TMP Paste'!$M1523*1,0))</f>
        <v/>
      </c>
      <c r="D1523">
        <f>IF($A1523="","",SUMIF($B$2:$B1523,$B1523,$C$2:$C1523))</f>
        <v/>
      </c>
      <c r="E1523">
        <f>IF($A1523="",0,IF('TMP Paste'!$B1523="",0,1))</f>
        <v/>
      </c>
      <c r="F1523">
        <f>IF(OR($A1523="",$C1523&lt;1),"",$A1523&amp;"-"&amp;TEXT(($D1523-$C1523+1),"00")&amp;IF($C1523&gt;=2,", "&amp;$A1523&amp;"-"&amp;TEXT(($D1523-$C1523+1)+1,"00"),"")&amp;IF($C1523&gt;=3,", "&amp;$A1523&amp;"-"&amp;TEXT(($D1523-$C1523+1)+2,"00"),"")&amp;IF($C1523&gt;=4,", "&amp;$A1523&amp;"-"&amp;TEXT(($D1523-$C1523+1)+3,"00"),"")&amp;IF($C1523&gt;=5,", "&amp;$A1523&amp;"-"&amp;TEXT(($D1523-$C1523+1)+4,"00"),"")&amp;IF($C1523&gt;=6,", "&amp;$A1523&amp;"-"&amp;TEXT(($D1523-$C1523+1)+5,"00"),"")&amp;IF($C1523&gt;=7,", "&amp;$A1523&amp;"-"&amp;TEXT(($D1523-$C1523+1)+6,"00"),"")&amp;IF($C1523&gt;=8,", "&amp;$A1523&amp;"-"&amp;TEXT(($D1523-$C1523+1)+7,"00"),"")&amp;IF($C1523&gt;=9,", "&amp;$A1523&amp;"-"&amp;TEXT(($D1523-$C1523+1)+8,"00"),"")&amp;IF($C1523&gt;=10,", "&amp;$A1523&amp;"-"&amp;TEXT(($D1523-$C1523+1)+9,"00"),"")&amp;IF($C1523&gt;=11,", "&amp;$A1523&amp;"-"&amp;TEXT(($D1523-$C1523+1)+10,"00"),"")&amp;IF($C1523&gt;=12,", "&amp;$A1523&amp;"-"&amp;TEXT(($D1523-$C1523+1)+11,"00"),"")&amp;IF($C1523&gt;=13,", "&amp;$A1523&amp;"-"&amp;TEXT(($D1523-$C1523+1)+12,"00"),"")&amp;IF($C1523&gt;=14,", "&amp;$A1523&amp;"-"&amp;TEXT(($D1523-$C1523+1)+13,"00"),"")&amp;IF($C1523&gt;=15,", "&amp;$A1523&amp;"-"&amp;TEXT(($D1523-$C1523+1)+14,"00"),"")&amp;IF($C1523&gt;=16,", "&amp;$A1523&amp;"-"&amp;TEXT(($D1523-$C1523+1)+15,"00"),"")&amp;IF($C1523&gt;=17,", "&amp;$A1523&amp;"-"&amp;TEXT(($D1523-$C1523+1)+16,"00"),"")&amp;IF($C1523&gt;=18,", "&amp;$A1523&amp;"-"&amp;TEXT(($D1523-$C1523+1)+17,"00"),"")&amp;IF($C1523&gt;=19,", "&amp;$A1523&amp;"-"&amp;TEXT(($D1523-$C1523+1)+18,"00"),"")&amp;IF($C1523&gt;=20,", "&amp;$A1523&amp;"-"&amp;TEXT(($D1523-$C1523+1)+19,"00"),"")&amp;IF($C1523&gt;=21,", "&amp;$A1523&amp;"-"&amp;TEXT(($D1523-$C1523+1)+20,"00"),"")&amp;IF($C1523&gt;=22,", "&amp;$A1523&amp;"-"&amp;TEXT(($D1523-$C1523+1)+21,"00"),"")&amp;IF($C1523&gt;=23,", "&amp;$A1523&amp;"-"&amp;TEXT(($D1523-$C1523+1)+22,"00"),"")&amp;IF($C1523&gt;=24,", "&amp;$A1523&amp;"-"&amp;TEXT(($D1523-$C1523+1)+23,"00"),"")&amp;IF($C1523&gt;=25,", "&amp;$A1523&amp;"-"&amp;TEXT(($D1523-$C1523+1)+24,"00"),""))</f>
        <v/>
      </c>
      <c r="G1523">
        <f>IF($A1523="","",IF($E1523=1,$F1523,IF($F1523="",$G1522,IF($G1522="",$F1523,$G1522&amp;", "&amp;$F1523))))</f>
        <v/>
      </c>
      <c r="H1523">
        <f>IF($A1523="","",$A1523&amp;" ("&amp;$C1523&amp;")")</f>
        <v/>
      </c>
      <c r="I1523">
        <f>IF($A1523="","",IF($E1523=1,$H1523,$I1522&amp;", "&amp;$H1523))</f>
        <v/>
      </c>
      <c r="J1523">
        <f>IF($A1523="","",IF($E1523=1,$B1523,""))</f>
        <v/>
      </c>
      <c r="K1523">
        <f>IF($A1523="","",IF(COUNTIF($B$2:$B1523,$B1523)=COUNTIF($B$2:$B$1601,$B1523),$B1523,""))</f>
        <v/>
      </c>
    </row>
    <row r="1524">
      <c r="A1524">
        <f>IF('TMP Paste'!$E1524="","",'TMP Paste'!$E1524)</f>
        <v/>
      </c>
      <c r="B1524">
        <f>IF($A1524="","",COUNTIF('TMP Paste'!$B$2:$B1524,"?*"))</f>
        <v/>
      </c>
      <c r="C1524">
        <f>IF($A1524="","",IFERROR('TMP Paste'!$M1524*1,0))</f>
        <v/>
      </c>
      <c r="D1524">
        <f>IF($A1524="","",SUMIF($B$2:$B1524,$B1524,$C$2:$C1524))</f>
        <v/>
      </c>
      <c r="E1524">
        <f>IF($A1524="",0,IF('TMP Paste'!$B1524="",0,1))</f>
        <v/>
      </c>
      <c r="F1524">
        <f>IF(OR($A1524="",$C1524&lt;1),"",$A1524&amp;"-"&amp;TEXT(($D1524-$C1524+1),"00")&amp;IF($C1524&gt;=2,", "&amp;$A1524&amp;"-"&amp;TEXT(($D1524-$C1524+1)+1,"00"),"")&amp;IF($C1524&gt;=3,", "&amp;$A1524&amp;"-"&amp;TEXT(($D1524-$C1524+1)+2,"00"),"")&amp;IF($C1524&gt;=4,", "&amp;$A1524&amp;"-"&amp;TEXT(($D1524-$C1524+1)+3,"00"),"")&amp;IF($C1524&gt;=5,", "&amp;$A1524&amp;"-"&amp;TEXT(($D1524-$C1524+1)+4,"00"),"")&amp;IF($C1524&gt;=6,", "&amp;$A1524&amp;"-"&amp;TEXT(($D1524-$C1524+1)+5,"00"),"")&amp;IF($C1524&gt;=7,", "&amp;$A1524&amp;"-"&amp;TEXT(($D1524-$C1524+1)+6,"00"),"")&amp;IF($C1524&gt;=8,", "&amp;$A1524&amp;"-"&amp;TEXT(($D1524-$C1524+1)+7,"00"),"")&amp;IF($C1524&gt;=9,", "&amp;$A1524&amp;"-"&amp;TEXT(($D1524-$C1524+1)+8,"00"),"")&amp;IF($C1524&gt;=10,", "&amp;$A1524&amp;"-"&amp;TEXT(($D1524-$C1524+1)+9,"00"),"")&amp;IF($C1524&gt;=11,", "&amp;$A1524&amp;"-"&amp;TEXT(($D1524-$C1524+1)+10,"00"),"")&amp;IF($C1524&gt;=12,", "&amp;$A1524&amp;"-"&amp;TEXT(($D1524-$C1524+1)+11,"00"),"")&amp;IF($C1524&gt;=13,", "&amp;$A1524&amp;"-"&amp;TEXT(($D1524-$C1524+1)+12,"00"),"")&amp;IF($C1524&gt;=14,", "&amp;$A1524&amp;"-"&amp;TEXT(($D1524-$C1524+1)+13,"00"),"")&amp;IF($C1524&gt;=15,", "&amp;$A1524&amp;"-"&amp;TEXT(($D1524-$C1524+1)+14,"00"),"")&amp;IF($C1524&gt;=16,", "&amp;$A1524&amp;"-"&amp;TEXT(($D1524-$C1524+1)+15,"00"),"")&amp;IF($C1524&gt;=17,", "&amp;$A1524&amp;"-"&amp;TEXT(($D1524-$C1524+1)+16,"00"),"")&amp;IF($C1524&gt;=18,", "&amp;$A1524&amp;"-"&amp;TEXT(($D1524-$C1524+1)+17,"00"),"")&amp;IF($C1524&gt;=19,", "&amp;$A1524&amp;"-"&amp;TEXT(($D1524-$C1524+1)+18,"00"),"")&amp;IF($C1524&gt;=20,", "&amp;$A1524&amp;"-"&amp;TEXT(($D1524-$C1524+1)+19,"00"),"")&amp;IF($C1524&gt;=21,", "&amp;$A1524&amp;"-"&amp;TEXT(($D1524-$C1524+1)+20,"00"),"")&amp;IF($C1524&gt;=22,", "&amp;$A1524&amp;"-"&amp;TEXT(($D1524-$C1524+1)+21,"00"),"")&amp;IF($C1524&gt;=23,", "&amp;$A1524&amp;"-"&amp;TEXT(($D1524-$C1524+1)+22,"00"),"")&amp;IF($C1524&gt;=24,", "&amp;$A1524&amp;"-"&amp;TEXT(($D1524-$C1524+1)+23,"00"),"")&amp;IF($C1524&gt;=25,", "&amp;$A1524&amp;"-"&amp;TEXT(($D1524-$C1524+1)+24,"00"),""))</f>
        <v/>
      </c>
      <c r="G1524">
        <f>IF($A1524="","",IF($E1524=1,$F1524,IF($F1524="",$G1523,IF($G1523="",$F1524,$G1523&amp;", "&amp;$F1524))))</f>
        <v/>
      </c>
      <c r="H1524">
        <f>IF($A1524="","",$A1524&amp;" ("&amp;$C1524&amp;")")</f>
        <v/>
      </c>
      <c r="I1524">
        <f>IF($A1524="","",IF($E1524=1,$H1524,$I1523&amp;", "&amp;$H1524))</f>
        <v/>
      </c>
      <c r="J1524">
        <f>IF($A1524="","",IF($E1524=1,$B1524,""))</f>
        <v/>
      </c>
      <c r="K1524">
        <f>IF($A1524="","",IF(COUNTIF($B$2:$B1524,$B1524)=COUNTIF($B$2:$B$1601,$B1524),$B1524,""))</f>
        <v/>
      </c>
    </row>
    <row r="1525">
      <c r="A1525">
        <f>IF('TMP Paste'!$E1525="","",'TMP Paste'!$E1525)</f>
        <v/>
      </c>
      <c r="B1525">
        <f>IF($A1525="","",COUNTIF('TMP Paste'!$B$2:$B1525,"?*"))</f>
        <v/>
      </c>
      <c r="C1525">
        <f>IF($A1525="","",IFERROR('TMP Paste'!$M1525*1,0))</f>
        <v/>
      </c>
      <c r="D1525">
        <f>IF($A1525="","",SUMIF($B$2:$B1525,$B1525,$C$2:$C1525))</f>
        <v/>
      </c>
      <c r="E1525">
        <f>IF($A1525="",0,IF('TMP Paste'!$B1525="",0,1))</f>
        <v/>
      </c>
      <c r="F1525">
        <f>IF(OR($A1525="",$C1525&lt;1),"",$A1525&amp;"-"&amp;TEXT(($D1525-$C1525+1),"00")&amp;IF($C1525&gt;=2,", "&amp;$A1525&amp;"-"&amp;TEXT(($D1525-$C1525+1)+1,"00"),"")&amp;IF($C1525&gt;=3,", "&amp;$A1525&amp;"-"&amp;TEXT(($D1525-$C1525+1)+2,"00"),"")&amp;IF($C1525&gt;=4,", "&amp;$A1525&amp;"-"&amp;TEXT(($D1525-$C1525+1)+3,"00"),"")&amp;IF($C1525&gt;=5,", "&amp;$A1525&amp;"-"&amp;TEXT(($D1525-$C1525+1)+4,"00"),"")&amp;IF($C1525&gt;=6,", "&amp;$A1525&amp;"-"&amp;TEXT(($D1525-$C1525+1)+5,"00"),"")&amp;IF($C1525&gt;=7,", "&amp;$A1525&amp;"-"&amp;TEXT(($D1525-$C1525+1)+6,"00"),"")&amp;IF($C1525&gt;=8,", "&amp;$A1525&amp;"-"&amp;TEXT(($D1525-$C1525+1)+7,"00"),"")&amp;IF($C1525&gt;=9,", "&amp;$A1525&amp;"-"&amp;TEXT(($D1525-$C1525+1)+8,"00"),"")&amp;IF($C1525&gt;=10,", "&amp;$A1525&amp;"-"&amp;TEXT(($D1525-$C1525+1)+9,"00"),"")&amp;IF($C1525&gt;=11,", "&amp;$A1525&amp;"-"&amp;TEXT(($D1525-$C1525+1)+10,"00"),"")&amp;IF($C1525&gt;=12,", "&amp;$A1525&amp;"-"&amp;TEXT(($D1525-$C1525+1)+11,"00"),"")&amp;IF($C1525&gt;=13,", "&amp;$A1525&amp;"-"&amp;TEXT(($D1525-$C1525+1)+12,"00"),"")&amp;IF($C1525&gt;=14,", "&amp;$A1525&amp;"-"&amp;TEXT(($D1525-$C1525+1)+13,"00"),"")&amp;IF($C1525&gt;=15,", "&amp;$A1525&amp;"-"&amp;TEXT(($D1525-$C1525+1)+14,"00"),"")&amp;IF($C1525&gt;=16,", "&amp;$A1525&amp;"-"&amp;TEXT(($D1525-$C1525+1)+15,"00"),"")&amp;IF($C1525&gt;=17,", "&amp;$A1525&amp;"-"&amp;TEXT(($D1525-$C1525+1)+16,"00"),"")&amp;IF($C1525&gt;=18,", "&amp;$A1525&amp;"-"&amp;TEXT(($D1525-$C1525+1)+17,"00"),"")&amp;IF($C1525&gt;=19,", "&amp;$A1525&amp;"-"&amp;TEXT(($D1525-$C1525+1)+18,"00"),"")&amp;IF($C1525&gt;=20,", "&amp;$A1525&amp;"-"&amp;TEXT(($D1525-$C1525+1)+19,"00"),"")&amp;IF($C1525&gt;=21,", "&amp;$A1525&amp;"-"&amp;TEXT(($D1525-$C1525+1)+20,"00"),"")&amp;IF($C1525&gt;=22,", "&amp;$A1525&amp;"-"&amp;TEXT(($D1525-$C1525+1)+21,"00"),"")&amp;IF($C1525&gt;=23,", "&amp;$A1525&amp;"-"&amp;TEXT(($D1525-$C1525+1)+22,"00"),"")&amp;IF($C1525&gt;=24,", "&amp;$A1525&amp;"-"&amp;TEXT(($D1525-$C1525+1)+23,"00"),"")&amp;IF($C1525&gt;=25,", "&amp;$A1525&amp;"-"&amp;TEXT(($D1525-$C1525+1)+24,"00"),""))</f>
        <v/>
      </c>
      <c r="G1525">
        <f>IF($A1525="","",IF($E1525=1,$F1525,IF($F1525="",$G1524,IF($G1524="",$F1525,$G1524&amp;", "&amp;$F1525))))</f>
        <v/>
      </c>
      <c r="H1525">
        <f>IF($A1525="","",$A1525&amp;" ("&amp;$C1525&amp;")")</f>
        <v/>
      </c>
      <c r="I1525">
        <f>IF($A1525="","",IF($E1525=1,$H1525,$I1524&amp;", "&amp;$H1525))</f>
        <v/>
      </c>
      <c r="J1525">
        <f>IF($A1525="","",IF($E1525=1,$B1525,""))</f>
        <v/>
      </c>
      <c r="K1525">
        <f>IF($A1525="","",IF(COUNTIF($B$2:$B1525,$B1525)=COUNTIF($B$2:$B$1601,$B1525),$B1525,""))</f>
        <v/>
      </c>
    </row>
    <row r="1526">
      <c r="A1526">
        <f>IF('TMP Paste'!$E1526="","",'TMP Paste'!$E1526)</f>
        <v/>
      </c>
      <c r="B1526">
        <f>IF($A1526="","",COUNTIF('TMP Paste'!$B$2:$B1526,"?*"))</f>
        <v/>
      </c>
      <c r="C1526">
        <f>IF($A1526="","",IFERROR('TMP Paste'!$M1526*1,0))</f>
        <v/>
      </c>
      <c r="D1526">
        <f>IF($A1526="","",SUMIF($B$2:$B1526,$B1526,$C$2:$C1526))</f>
        <v/>
      </c>
      <c r="E1526">
        <f>IF($A1526="",0,IF('TMP Paste'!$B1526="",0,1))</f>
        <v/>
      </c>
      <c r="F1526">
        <f>IF(OR($A1526="",$C1526&lt;1),"",$A1526&amp;"-"&amp;TEXT(($D1526-$C1526+1),"00")&amp;IF($C1526&gt;=2,", "&amp;$A1526&amp;"-"&amp;TEXT(($D1526-$C1526+1)+1,"00"),"")&amp;IF($C1526&gt;=3,", "&amp;$A1526&amp;"-"&amp;TEXT(($D1526-$C1526+1)+2,"00"),"")&amp;IF($C1526&gt;=4,", "&amp;$A1526&amp;"-"&amp;TEXT(($D1526-$C1526+1)+3,"00"),"")&amp;IF($C1526&gt;=5,", "&amp;$A1526&amp;"-"&amp;TEXT(($D1526-$C1526+1)+4,"00"),"")&amp;IF($C1526&gt;=6,", "&amp;$A1526&amp;"-"&amp;TEXT(($D1526-$C1526+1)+5,"00"),"")&amp;IF($C1526&gt;=7,", "&amp;$A1526&amp;"-"&amp;TEXT(($D1526-$C1526+1)+6,"00"),"")&amp;IF($C1526&gt;=8,", "&amp;$A1526&amp;"-"&amp;TEXT(($D1526-$C1526+1)+7,"00"),"")&amp;IF($C1526&gt;=9,", "&amp;$A1526&amp;"-"&amp;TEXT(($D1526-$C1526+1)+8,"00"),"")&amp;IF($C1526&gt;=10,", "&amp;$A1526&amp;"-"&amp;TEXT(($D1526-$C1526+1)+9,"00"),"")&amp;IF($C1526&gt;=11,", "&amp;$A1526&amp;"-"&amp;TEXT(($D1526-$C1526+1)+10,"00"),"")&amp;IF($C1526&gt;=12,", "&amp;$A1526&amp;"-"&amp;TEXT(($D1526-$C1526+1)+11,"00"),"")&amp;IF($C1526&gt;=13,", "&amp;$A1526&amp;"-"&amp;TEXT(($D1526-$C1526+1)+12,"00"),"")&amp;IF($C1526&gt;=14,", "&amp;$A1526&amp;"-"&amp;TEXT(($D1526-$C1526+1)+13,"00"),"")&amp;IF($C1526&gt;=15,", "&amp;$A1526&amp;"-"&amp;TEXT(($D1526-$C1526+1)+14,"00"),"")&amp;IF($C1526&gt;=16,", "&amp;$A1526&amp;"-"&amp;TEXT(($D1526-$C1526+1)+15,"00"),"")&amp;IF($C1526&gt;=17,", "&amp;$A1526&amp;"-"&amp;TEXT(($D1526-$C1526+1)+16,"00"),"")&amp;IF($C1526&gt;=18,", "&amp;$A1526&amp;"-"&amp;TEXT(($D1526-$C1526+1)+17,"00"),"")&amp;IF($C1526&gt;=19,", "&amp;$A1526&amp;"-"&amp;TEXT(($D1526-$C1526+1)+18,"00"),"")&amp;IF($C1526&gt;=20,", "&amp;$A1526&amp;"-"&amp;TEXT(($D1526-$C1526+1)+19,"00"),"")&amp;IF($C1526&gt;=21,", "&amp;$A1526&amp;"-"&amp;TEXT(($D1526-$C1526+1)+20,"00"),"")&amp;IF($C1526&gt;=22,", "&amp;$A1526&amp;"-"&amp;TEXT(($D1526-$C1526+1)+21,"00"),"")&amp;IF($C1526&gt;=23,", "&amp;$A1526&amp;"-"&amp;TEXT(($D1526-$C1526+1)+22,"00"),"")&amp;IF($C1526&gt;=24,", "&amp;$A1526&amp;"-"&amp;TEXT(($D1526-$C1526+1)+23,"00"),"")&amp;IF($C1526&gt;=25,", "&amp;$A1526&amp;"-"&amp;TEXT(($D1526-$C1526+1)+24,"00"),""))</f>
        <v/>
      </c>
      <c r="G1526">
        <f>IF($A1526="","",IF($E1526=1,$F1526,IF($F1526="",$G1525,IF($G1525="",$F1526,$G1525&amp;", "&amp;$F1526))))</f>
        <v/>
      </c>
      <c r="H1526">
        <f>IF($A1526="","",$A1526&amp;" ("&amp;$C1526&amp;")")</f>
        <v/>
      </c>
      <c r="I1526">
        <f>IF($A1526="","",IF($E1526=1,$H1526,$I1525&amp;", "&amp;$H1526))</f>
        <v/>
      </c>
      <c r="J1526">
        <f>IF($A1526="","",IF($E1526=1,$B1526,""))</f>
        <v/>
      </c>
      <c r="K1526">
        <f>IF($A1526="","",IF(COUNTIF($B$2:$B1526,$B1526)=COUNTIF($B$2:$B$1601,$B1526),$B1526,""))</f>
        <v/>
      </c>
    </row>
    <row r="1527">
      <c r="A1527">
        <f>IF('TMP Paste'!$E1527="","",'TMP Paste'!$E1527)</f>
        <v/>
      </c>
      <c r="B1527">
        <f>IF($A1527="","",COUNTIF('TMP Paste'!$B$2:$B1527,"?*"))</f>
        <v/>
      </c>
      <c r="C1527">
        <f>IF($A1527="","",IFERROR('TMP Paste'!$M1527*1,0))</f>
        <v/>
      </c>
      <c r="D1527">
        <f>IF($A1527="","",SUMIF($B$2:$B1527,$B1527,$C$2:$C1527))</f>
        <v/>
      </c>
      <c r="E1527">
        <f>IF($A1527="",0,IF('TMP Paste'!$B1527="",0,1))</f>
        <v/>
      </c>
      <c r="F1527">
        <f>IF(OR($A1527="",$C1527&lt;1),"",$A1527&amp;"-"&amp;TEXT(($D1527-$C1527+1),"00")&amp;IF($C1527&gt;=2,", "&amp;$A1527&amp;"-"&amp;TEXT(($D1527-$C1527+1)+1,"00"),"")&amp;IF($C1527&gt;=3,", "&amp;$A1527&amp;"-"&amp;TEXT(($D1527-$C1527+1)+2,"00"),"")&amp;IF($C1527&gt;=4,", "&amp;$A1527&amp;"-"&amp;TEXT(($D1527-$C1527+1)+3,"00"),"")&amp;IF($C1527&gt;=5,", "&amp;$A1527&amp;"-"&amp;TEXT(($D1527-$C1527+1)+4,"00"),"")&amp;IF($C1527&gt;=6,", "&amp;$A1527&amp;"-"&amp;TEXT(($D1527-$C1527+1)+5,"00"),"")&amp;IF($C1527&gt;=7,", "&amp;$A1527&amp;"-"&amp;TEXT(($D1527-$C1527+1)+6,"00"),"")&amp;IF($C1527&gt;=8,", "&amp;$A1527&amp;"-"&amp;TEXT(($D1527-$C1527+1)+7,"00"),"")&amp;IF($C1527&gt;=9,", "&amp;$A1527&amp;"-"&amp;TEXT(($D1527-$C1527+1)+8,"00"),"")&amp;IF($C1527&gt;=10,", "&amp;$A1527&amp;"-"&amp;TEXT(($D1527-$C1527+1)+9,"00"),"")&amp;IF($C1527&gt;=11,", "&amp;$A1527&amp;"-"&amp;TEXT(($D1527-$C1527+1)+10,"00"),"")&amp;IF($C1527&gt;=12,", "&amp;$A1527&amp;"-"&amp;TEXT(($D1527-$C1527+1)+11,"00"),"")&amp;IF($C1527&gt;=13,", "&amp;$A1527&amp;"-"&amp;TEXT(($D1527-$C1527+1)+12,"00"),"")&amp;IF($C1527&gt;=14,", "&amp;$A1527&amp;"-"&amp;TEXT(($D1527-$C1527+1)+13,"00"),"")&amp;IF($C1527&gt;=15,", "&amp;$A1527&amp;"-"&amp;TEXT(($D1527-$C1527+1)+14,"00"),"")&amp;IF($C1527&gt;=16,", "&amp;$A1527&amp;"-"&amp;TEXT(($D1527-$C1527+1)+15,"00"),"")&amp;IF($C1527&gt;=17,", "&amp;$A1527&amp;"-"&amp;TEXT(($D1527-$C1527+1)+16,"00"),"")&amp;IF($C1527&gt;=18,", "&amp;$A1527&amp;"-"&amp;TEXT(($D1527-$C1527+1)+17,"00"),"")&amp;IF($C1527&gt;=19,", "&amp;$A1527&amp;"-"&amp;TEXT(($D1527-$C1527+1)+18,"00"),"")&amp;IF($C1527&gt;=20,", "&amp;$A1527&amp;"-"&amp;TEXT(($D1527-$C1527+1)+19,"00"),"")&amp;IF($C1527&gt;=21,", "&amp;$A1527&amp;"-"&amp;TEXT(($D1527-$C1527+1)+20,"00"),"")&amp;IF($C1527&gt;=22,", "&amp;$A1527&amp;"-"&amp;TEXT(($D1527-$C1527+1)+21,"00"),"")&amp;IF($C1527&gt;=23,", "&amp;$A1527&amp;"-"&amp;TEXT(($D1527-$C1527+1)+22,"00"),"")&amp;IF($C1527&gt;=24,", "&amp;$A1527&amp;"-"&amp;TEXT(($D1527-$C1527+1)+23,"00"),"")&amp;IF($C1527&gt;=25,", "&amp;$A1527&amp;"-"&amp;TEXT(($D1527-$C1527+1)+24,"00"),""))</f>
        <v/>
      </c>
      <c r="G1527">
        <f>IF($A1527="","",IF($E1527=1,$F1527,IF($F1527="",$G1526,IF($G1526="",$F1527,$G1526&amp;", "&amp;$F1527))))</f>
        <v/>
      </c>
      <c r="H1527">
        <f>IF($A1527="","",$A1527&amp;" ("&amp;$C1527&amp;")")</f>
        <v/>
      </c>
      <c r="I1527">
        <f>IF($A1527="","",IF($E1527=1,$H1527,$I1526&amp;", "&amp;$H1527))</f>
        <v/>
      </c>
      <c r="J1527">
        <f>IF($A1527="","",IF($E1527=1,$B1527,""))</f>
        <v/>
      </c>
      <c r="K1527">
        <f>IF($A1527="","",IF(COUNTIF($B$2:$B1527,$B1527)=COUNTIF($B$2:$B$1601,$B1527),$B1527,""))</f>
        <v/>
      </c>
    </row>
    <row r="1528">
      <c r="A1528">
        <f>IF('TMP Paste'!$E1528="","",'TMP Paste'!$E1528)</f>
        <v/>
      </c>
      <c r="B1528">
        <f>IF($A1528="","",COUNTIF('TMP Paste'!$B$2:$B1528,"?*"))</f>
        <v/>
      </c>
      <c r="C1528">
        <f>IF($A1528="","",IFERROR('TMP Paste'!$M1528*1,0))</f>
        <v/>
      </c>
      <c r="D1528">
        <f>IF($A1528="","",SUMIF($B$2:$B1528,$B1528,$C$2:$C1528))</f>
        <v/>
      </c>
      <c r="E1528">
        <f>IF($A1528="",0,IF('TMP Paste'!$B1528="",0,1))</f>
        <v/>
      </c>
      <c r="F1528">
        <f>IF(OR($A1528="",$C1528&lt;1),"",$A1528&amp;"-"&amp;TEXT(($D1528-$C1528+1),"00")&amp;IF($C1528&gt;=2,", "&amp;$A1528&amp;"-"&amp;TEXT(($D1528-$C1528+1)+1,"00"),"")&amp;IF($C1528&gt;=3,", "&amp;$A1528&amp;"-"&amp;TEXT(($D1528-$C1528+1)+2,"00"),"")&amp;IF($C1528&gt;=4,", "&amp;$A1528&amp;"-"&amp;TEXT(($D1528-$C1528+1)+3,"00"),"")&amp;IF($C1528&gt;=5,", "&amp;$A1528&amp;"-"&amp;TEXT(($D1528-$C1528+1)+4,"00"),"")&amp;IF($C1528&gt;=6,", "&amp;$A1528&amp;"-"&amp;TEXT(($D1528-$C1528+1)+5,"00"),"")&amp;IF($C1528&gt;=7,", "&amp;$A1528&amp;"-"&amp;TEXT(($D1528-$C1528+1)+6,"00"),"")&amp;IF($C1528&gt;=8,", "&amp;$A1528&amp;"-"&amp;TEXT(($D1528-$C1528+1)+7,"00"),"")&amp;IF($C1528&gt;=9,", "&amp;$A1528&amp;"-"&amp;TEXT(($D1528-$C1528+1)+8,"00"),"")&amp;IF($C1528&gt;=10,", "&amp;$A1528&amp;"-"&amp;TEXT(($D1528-$C1528+1)+9,"00"),"")&amp;IF($C1528&gt;=11,", "&amp;$A1528&amp;"-"&amp;TEXT(($D1528-$C1528+1)+10,"00"),"")&amp;IF($C1528&gt;=12,", "&amp;$A1528&amp;"-"&amp;TEXT(($D1528-$C1528+1)+11,"00"),"")&amp;IF($C1528&gt;=13,", "&amp;$A1528&amp;"-"&amp;TEXT(($D1528-$C1528+1)+12,"00"),"")&amp;IF($C1528&gt;=14,", "&amp;$A1528&amp;"-"&amp;TEXT(($D1528-$C1528+1)+13,"00"),"")&amp;IF($C1528&gt;=15,", "&amp;$A1528&amp;"-"&amp;TEXT(($D1528-$C1528+1)+14,"00"),"")&amp;IF($C1528&gt;=16,", "&amp;$A1528&amp;"-"&amp;TEXT(($D1528-$C1528+1)+15,"00"),"")&amp;IF($C1528&gt;=17,", "&amp;$A1528&amp;"-"&amp;TEXT(($D1528-$C1528+1)+16,"00"),"")&amp;IF($C1528&gt;=18,", "&amp;$A1528&amp;"-"&amp;TEXT(($D1528-$C1528+1)+17,"00"),"")&amp;IF($C1528&gt;=19,", "&amp;$A1528&amp;"-"&amp;TEXT(($D1528-$C1528+1)+18,"00"),"")&amp;IF($C1528&gt;=20,", "&amp;$A1528&amp;"-"&amp;TEXT(($D1528-$C1528+1)+19,"00"),"")&amp;IF($C1528&gt;=21,", "&amp;$A1528&amp;"-"&amp;TEXT(($D1528-$C1528+1)+20,"00"),"")&amp;IF($C1528&gt;=22,", "&amp;$A1528&amp;"-"&amp;TEXT(($D1528-$C1528+1)+21,"00"),"")&amp;IF($C1528&gt;=23,", "&amp;$A1528&amp;"-"&amp;TEXT(($D1528-$C1528+1)+22,"00"),"")&amp;IF($C1528&gt;=24,", "&amp;$A1528&amp;"-"&amp;TEXT(($D1528-$C1528+1)+23,"00"),"")&amp;IF($C1528&gt;=25,", "&amp;$A1528&amp;"-"&amp;TEXT(($D1528-$C1528+1)+24,"00"),""))</f>
        <v/>
      </c>
      <c r="G1528">
        <f>IF($A1528="","",IF($E1528=1,$F1528,IF($F1528="",$G1527,IF($G1527="",$F1528,$G1527&amp;", "&amp;$F1528))))</f>
        <v/>
      </c>
      <c r="H1528">
        <f>IF($A1528="","",$A1528&amp;" ("&amp;$C1528&amp;")")</f>
        <v/>
      </c>
      <c r="I1528">
        <f>IF($A1528="","",IF($E1528=1,$H1528,$I1527&amp;", "&amp;$H1528))</f>
        <v/>
      </c>
      <c r="J1528">
        <f>IF($A1528="","",IF($E1528=1,$B1528,""))</f>
        <v/>
      </c>
      <c r="K1528">
        <f>IF($A1528="","",IF(COUNTIF($B$2:$B1528,$B1528)=COUNTIF($B$2:$B$1601,$B1528),$B1528,""))</f>
        <v/>
      </c>
    </row>
    <row r="1529">
      <c r="A1529">
        <f>IF('TMP Paste'!$E1529="","",'TMP Paste'!$E1529)</f>
        <v/>
      </c>
      <c r="B1529">
        <f>IF($A1529="","",COUNTIF('TMP Paste'!$B$2:$B1529,"?*"))</f>
        <v/>
      </c>
      <c r="C1529">
        <f>IF($A1529="","",IFERROR('TMP Paste'!$M1529*1,0))</f>
        <v/>
      </c>
      <c r="D1529">
        <f>IF($A1529="","",SUMIF($B$2:$B1529,$B1529,$C$2:$C1529))</f>
        <v/>
      </c>
      <c r="E1529">
        <f>IF($A1529="",0,IF('TMP Paste'!$B1529="",0,1))</f>
        <v/>
      </c>
      <c r="F1529">
        <f>IF(OR($A1529="",$C1529&lt;1),"",$A1529&amp;"-"&amp;TEXT(($D1529-$C1529+1),"00")&amp;IF($C1529&gt;=2,", "&amp;$A1529&amp;"-"&amp;TEXT(($D1529-$C1529+1)+1,"00"),"")&amp;IF($C1529&gt;=3,", "&amp;$A1529&amp;"-"&amp;TEXT(($D1529-$C1529+1)+2,"00"),"")&amp;IF($C1529&gt;=4,", "&amp;$A1529&amp;"-"&amp;TEXT(($D1529-$C1529+1)+3,"00"),"")&amp;IF($C1529&gt;=5,", "&amp;$A1529&amp;"-"&amp;TEXT(($D1529-$C1529+1)+4,"00"),"")&amp;IF($C1529&gt;=6,", "&amp;$A1529&amp;"-"&amp;TEXT(($D1529-$C1529+1)+5,"00"),"")&amp;IF($C1529&gt;=7,", "&amp;$A1529&amp;"-"&amp;TEXT(($D1529-$C1529+1)+6,"00"),"")&amp;IF($C1529&gt;=8,", "&amp;$A1529&amp;"-"&amp;TEXT(($D1529-$C1529+1)+7,"00"),"")&amp;IF($C1529&gt;=9,", "&amp;$A1529&amp;"-"&amp;TEXT(($D1529-$C1529+1)+8,"00"),"")&amp;IF($C1529&gt;=10,", "&amp;$A1529&amp;"-"&amp;TEXT(($D1529-$C1529+1)+9,"00"),"")&amp;IF($C1529&gt;=11,", "&amp;$A1529&amp;"-"&amp;TEXT(($D1529-$C1529+1)+10,"00"),"")&amp;IF($C1529&gt;=12,", "&amp;$A1529&amp;"-"&amp;TEXT(($D1529-$C1529+1)+11,"00"),"")&amp;IF($C1529&gt;=13,", "&amp;$A1529&amp;"-"&amp;TEXT(($D1529-$C1529+1)+12,"00"),"")&amp;IF($C1529&gt;=14,", "&amp;$A1529&amp;"-"&amp;TEXT(($D1529-$C1529+1)+13,"00"),"")&amp;IF($C1529&gt;=15,", "&amp;$A1529&amp;"-"&amp;TEXT(($D1529-$C1529+1)+14,"00"),"")&amp;IF($C1529&gt;=16,", "&amp;$A1529&amp;"-"&amp;TEXT(($D1529-$C1529+1)+15,"00"),"")&amp;IF($C1529&gt;=17,", "&amp;$A1529&amp;"-"&amp;TEXT(($D1529-$C1529+1)+16,"00"),"")&amp;IF($C1529&gt;=18,", "&amp;$A1529&amp;"-"&amp;TEXT(($D1529-$C1529+1)+17,"00"),"")&amp;IF($C1529&gt;=19,", "&amp;$A1529&amp;"-"&amp;TEXT(($D1529-$C1529+1)+18,"00"),"")&amp;IF($C1529&gt;=20,", "&amp;$A1529&amp;"-"&amp;TEXT(($D1529-$C1529+1)+19,"00"),"")&amp;IF($C1529&gt;=21,", "&amp;$A1529&amp;"-"&amp;TEXT(($D1529-$C1529+1)+20,"00"),"")&amp;IF($C1529&gt;=22,", "&amp;$A1529&amp;"-"&amp;TEXT(($D1529-$C1529+1)+21,"00"),"")&amp;IF($C1529&gt;=23,", "&amp;$A1529&amp;"-"&amp;TEXT(($D1529-$C1529+1)+22,"00"),"")&amp;IF($C1529&gt;=24,", "&amp;$A1529&amp;"-"&amp;TEXT(($D1529-$C1529+1)+23,"00"),"")&amp;IF($C1529&gt;=25,", "&amp;$A1529&amp;"-"&amp;TEXT(($D1529-$C1529+1)+24,"00"),""))</f>
        <v/>
      </c>
      <c r="G1529">
        <f>IF($A1529="","",IF($E1529=1,$F1529,IF($F1529="",$G1528,IF($G1528="",$F1529,$G1528&amp;", "&amp;$F1529))))</f>
        <v/>
      </c>
      <c r="H1529">
        <f>IF($A1529="","",$A1529&amp;" ("&amp;$C1529&amp;")")</f>
        <v/>
      </c>
      <c r="I1529">
        <f>IF($A1529="","",IF($E1529=1,$H1529,$I1528&amp;", "&amp;$H1529))</f>
        <v/>
      </c>
      <c r="J1529">
        <f>IF($A1529="","",IF($E1529=1,$B1529,""))</f>
        <v/>
      </c>
      <c r="K1529">
        <f>IF($A1529="","",IF(COUNTIF($B$2:$B1529,$B1529)=COUNTIF($B$2:$B$1601,$B1529),$B1529,""))</f>
        <v/>
      </c>
    </row>
    <row r="1530">
      <c r="A1530">
        <f>IF('TMP Paste'!$E1530="","",'TMP Paste'!$E1530)</f>
        <v/>
      </c>
      <c r="B1530">
        <f>IF($A1530="","",COUNTIF('TMP Paste'!$B$2:$B1530,"?*"))</f>
        <v/>
      </c>
      <c r="C1530">
        <f>IF($A1530="","",IFERROR('TMP Paste'!$M1530*1,0))</f>
        <v/>
      </c>
      <c r="D1530">
        <f>IF($A1530="","",SUMIF($B$2:$B1530,$B1530,$C$2:$C1530))</f>
        <v/>
      </c>
      <c r="E1530">
        <f>IF($A1530="",0,IF('TMP Paste'!$B1530="",0,1))</f>
        <v/>
      </c>
      <c r="F1530">
        <f>IF(OR($A1530="",$C1530&lt;1),"",$A1530&amp;"-"&amp;TEXT(($D1530-$C1530+1),"00")&amp;IF($C1530&gt;=2,", "&amp;$A1530&amp;"-"&amp;TEXT(($D1530-$C1530+1)+1,"00"),"")&amp;IF($C1530&gt;=3,", "&amp;$A1530&amp;"-"&amp;TEXT(($D1530-$C1530+1)+2,"00"),"")&amp;IF($C1530&gt;=4,", "&amp;$A1530&amp;"-"&amp;TEXT(($D1530-$C1530+1)+3,"00"),"")&amp;IF($C1530&gt;=5,", "&amp;$A1530&amp;"-"&amp;TEXT(($D1530-$C1530+1)+4,"00"),"")&amp;IF($C1530&gt;=6,", "&amp;$A1530&amp;"-"&amp;TEXT(($D1530-$C1530+1)+5,"00"),"")&amp;IF($C1530&gt;=7,", "&amp;$A1530&amp;"-"&amp;TEXT(($D1530-$C1530+1)+6,"00"),"")&amp;IF($C1530&gt;=8,", "&amp;$A1530&amp;"-"&amp;TEXT(($D1530-$C1530+1)+7,"00"),"")&amp;IF($C1530&gt;=9,", "&amp;$A1530&amp;"-"&amp;TEXT(($D1530-$C1530+1)+8,"00"),"")&amp;IF($C1530&gt;=10,", "&amp;$A1530&amp;"-"&amp;TEXT(($D1530-$C1530+1)+9,"00"),"")&amp;IF($C1530&gt;=11,", "&amp;$A1530&amp;"-"&amp;TEXT(($D1530-$C1530+1)+10,"00"),"")&amp;IF($C1530&gt;=12,", "&amp;$A1530&amp;"-"&amp;TEXT(($D1530-$C1530+1)+11,"00"),"")&amp;IF($C1530&gt;=13,", "&amp;$A1530&amp;"-"&amp;TEXT(($D1530-$C1530+1)+12,"00"),"")&amp;IF($C1530&gt;=14,", "&amp;$A1530&amp;"-"&amp;TEXT(($D1530-$C1530+1)+13,"00"),"")&amp;IF($C1530&gt;=15,", "&amp;$A1530&amp;"-"&amp;TEXT(($D1530-$C1530+1)+14,"00"),"")&amp;IF($C1530&gt;=16,", "&amp;$A1530&amp;"-"&amp;TEXT(($D1530-$C1530+1)+15,"00"),"")&amp;IF($C1530&gt;=17,", "&amp;$A1530&amp;"-"&amp;TEXT(($D1530-$C1530+1)+16,"00"),"")&amp;IF($C1530&gt;=18,", "&amp;$A1530&amp;"-"&amp;TEXT(($D1530-$C1530+1)+17,"00"),"")&amp;IF($C1530&gt;=19,", "&amp;$A1530&amp;"-"&amp;TEXT(($D1530-$C1530+1)+18,"00"),"")&amp;IF($C1530&gt;=20,", "&amp;$A1530&amp;"-"&amp;TEXT(($D1530-$C1530+1)+19,"00"),"")&amp;IF($C1530&gt;=21,", "&amp;$A1530&amp;"-"&amp;TEXT(($D1530-$C1530+1)+20,"00"),"")&amp;IF($C1530&gt;=22,", "&amp;$A1530&amp;"-"&amp;TEXT(($D1530-$C1530+1)+21,"00"),"")&amp;IF($C1530&gt;=23,", "&amp;$A1530&amp;"-"&amp;TEXT(($D1530-$C1530+1)+22,"00"),"")&amp;IF($C1530&gt;=24,", "&amp;$A1530&amp;"-"&amp;TEXT(($D1530-$C1530+1)+23,"00"),"")&amp;IF($C1530&gt;=25,", "&amp;$A1530&amp;"-"&amp;TEXT(($D1530-$C1530+1)+24,"00"),""))</f>
        <v/>
      </c>
      <c r="G1530">
        <f>IF($A1530="","",IF($E1530=1,$F1530,IF($F1530="",$G1529,IF($G1529="",$F1530,$G1529&amp;", "&amp;$F1530))))</f>
        <v/>
      </c>
      <c r="H1530">
        <f>IF($A1530="","",$A1530&amp;" ("&amp;$C1530&amp;")")</f>
        <v/>
      </c>
      <c r="I1530">
        <f>IF($A1530="","",IF($E1530=1,$H1530,$I1529&amp;", "&amp;$H1530))</f>
        <v/>
      </c>
      <c r="J1530">
        <f>IF($A1530="","",IF($E1530=1,$B1530,""))</f>
        <v/>
      </c>
      <c r="K1530">
        <f>IF($A1530="","",IF(COUNTIF($B$2:$B1530,$B1530)=COUNTIF($B$2:$B$1601,$B1530),$B1530,""))</f>
        <v/>
      </c>
    </row>
    <row r="1531">
      <c r="A1531">
        <f>IF('TMP Paste'!$E1531="","",'TMP Paste'!$E1531)</f>
        <v/>
      </c>
      <c r="B1531">
        <f>IF($A1531="","",COUNTIF('TMP Paste'!$B$2:$B1531,"?*"))</f>
        <v/>
      </c>
      <c r="C1531">
        <f>IF($A1531="","",IFERROR('TMP Paste'!$M1531*1,0))</f>
        <v/>
      </c>
      <c r="D1531">
        <f>IF($A1531="","",SUMIF($B$2:$B1531,$B1531,$C$2:$C1531))</f>
        <v/>
      </c>
      <c r="E1531">
        <f>IF($A1531="",0,IF('TMP Paste'!$B1531="",0,1))</f>
        <v/>
      </c>
      <c r="F1531">
        <f>IF(OR($A1531="",$C1531&lt;1),"",$A1531&amp;"-"&amp;TEXT(($D1531-$C1531+1),"00")&amp;IF($C1531&gt;=2,", "&amp;$A1531&amp;"-"&amp;TEXT(($D1531-$C1531+1)+1,"00"),"")&amp;IF($C1531&gt;=3,", "&amp;$A1531&amp;"-"&amp;TEXT(($D1531-$C1531+1)+2,"00"),"")&amp;IF($C1531&gt;=4,", "&amp;$A1531&amp;"-"&amp;TEXT(($D1531-$C1531+1)+3,"00"),"")&amp;IF($C1531&gt;=5,", "&amp;$A1531&amp;"-"&amp;TEXT(($D1531-$C1531+1)+4,"00"),"")&amp;IF($C1531&gt;=6,", "&amp;$A1531&amp;"-"&amp;TEXT(($D1531-$C1531+1)+5,"00"),"")&amp;IF($C1531&gt;=7,", "&amp;$A1531&amp;"-"&amp;TEXT(($D1531-$C1531+1)+6,"00"),"")&amp;IF($C1531&gt;=8,", "&amp;$A1531&amp;"-"&amp;TEXT(($D1531-$C1531+1)+7,"00"),"")&amp;IF($C1531&gt;=9,", "&amp;$A1531&amp;"-"&amp;TEXT(($D1531-$C1531+1)+8,"00"),"")&amp;IF($C1531&gt;=10,", "&amp;$A1531&amp;"-"&amp;TEXT(($D1531-$C1531+1)+9,"00"),"")&amp;IF($C1531&gt;=11,", "&amp;$A1531&amp;"-"&amp;TEXT(($D1531-$C1531+1)+10,"00"),"")&amp;IF($C1531&gt;=12,", "&amp;$A1531&amp;"-"&amp;TEXT(($D1531-$C1531+1)+11,"00"),"")&amp;IF($C1531&gt;=13,", "&amp;$A1531&amp;"-"&amp;TEXT(($D1531-$C1531+1)+12,"00"),"")&amp;IF($C1531&gt;=14,", "&amp;$A1531&amp;"-"&amp;TEXT(($D1531-$C1531+1)+13,"00"),"")&amp;IF($C1531&gt;=15,", "&amp;$A1531&amp;"-"&amp;TEXT(($D1531-$C1531+1)+14,"00"),"")&amp;IF($C1531&gt;=16,", "&amp;$A1531&amp;"-"&amp;TEXT(($D1531-$C1531+1)+15,"00"),"")&amp;IF($C1531&gt;=17,", "&amp;$A1531&amp;"-"&amp;TEXT(($D1531-$C1531+1)+16,"00"),"")&amp;IF($C1531&gt;=18,", "&amp;$A1531&amp;"-"&amp;TEXT(($D1531-$C1531+1)+17,"00"),"")&amp;IF($C1531&gt;=19,", "&amp;$A1531&amp;"-"&amp;TEXT(($D1531-$C1531+1)+18,"00"),"")&amp;IF($C1531&gt;=20,", "&amp;$A1531&amp;"-"&amp;TEXT(($D1531-$C1531+1)+19,"00"),"")&amp;IF($C1531&gt;=21,", "&amp;$A1531&amp;"-"&amp;TEXT(($D1531-$C1531+1)+20,"00"),"")&amp;IF($C1531&gt;=22,", "&amp;$A1531&amp;"-"&amp;TEXT(($D1531-$C1531+1)+21,"00"),"")&amp;IF($C1531&gt;=23,", "&amp;$A1531&amp;"-"&amp;TEXT(($D1531-$C1531+1)+22,"00"),"")&amp;IF($C1531&gt;=24,", "&amp;$A1531&amp;"-"&amp;TEXT(($D1531-$C1531+1)+23,"00"),"")&amp;IF($C1531&gt;=25,", "&amp;$A1531&amp;"-"&amp;TEXT(($D1531-$C1531+1)+24,"00"),""))</f>
        <v/>
      </c>
      <c r="G1531">
        <f>IF($A1531="","",IF($E1531=1,$F1531,IF($F1531="",$G1530,IF($G1530="",$F1531,$G1530&amp;", "&amp;$F1531))))</f>
        <v/>
      </c>
      <c r="H1531">
        <f>IF($A1531="","",$A1531&amp;" ("&amp;$C1531&amp;")")</f>
        <v/>
      </c>
      <c r="I1531">
        <f>IF($A1531="","",IF($E1531=1,$H1531,$I1530&amp;", "&amp;$H1531))</f>
        <v/>
      </c>
      <c r="J1531">
        <f>IF($A1531="","",IF($E1531=1,$B1531,""))</f>
        <v/>
      </c>
      <c r="K1531">
        <f>IF($A1531="","",IF(COUNTIF($B$2:$B1531,$B1531)=COUNTIF($B$2:$B$1601,$B1531),$B1531,""))</f>
        <v/>
      </c>
    </row>
    <row r="1532">
      <c r="A1532">
        <f>IF('TMP Paste'!$E1532="","",'TMP Paste'!$E1532)</f>
        <v/>
      </c>
      <c r="B1532">
        <f>IF($A1532="","",COUNTIF('TMP Paste'!$B$2:$B1532,"?*"))</f>
        <v/>
      </c>
      <c r="C1532">
        <f>IF($A1532="","",IFERROR('TMP Paste'!$M1532*1,0))</f>
        <v/>
      </c>
      <c r="D1532">
        <f>IF($A1532="","",SUMIF($B$2:$B1532,$B1532,$C$2:$C1532))</f>
        <v/>
      </c>
      <c r="E1532">
        <f>IF($A1532="",0,IF('TMP Paste'!$B1532="",0,1))</f>
        <v/>
      </c>
      <c r="F1532">
        <f>IF(OR($A1532="",$C1532&lt;1),"",$A1532&amp;"-"&amp;TEXT(($D1532-$C1532+1),"00")&amp;IF($C1532&gt;=2,", "&amp;$A1532&amp;"-"&amp;TEXT(($D1532-$C1532+1)+1,"00"),"")&amp;IF($C1532&gt;=3,", "&amp;$A1532&amp;"-"&amp;TEXT(($D1532-$C1532+1)+2,"00"),"")&amp;IF($C1532&gt;=4,", "&amp;$A1532&amp;"-"&amp;TEXT(($D1532-$C1532+1)+3,"00"),"")&amp;IF($C1532&gt;=5,", "&amp;$A1532&amp;"-"&amp;TEXT(($D1532-$C1532+1)+4,"00"),"")&amp;IF($C1532&gt;=6,", "&amp;$A1532&amp;"-"&amp;TEXT(($D1532-$C1532+1)+5,"00"),"")&amp;IF($C1532&gt;=7,", "&amp;$A1532&amp;"-"&amp;TEXT(($D1532-$C1532+1)+6,"00"),"")&amp;IF($C1532&gt;=8,", "&amp;$A1532&amp;"-"&amp;TEXT(($D1532-$C1532+1)+7,"00"),"")&amp;IF($C1532&gt;=9,", "&amp;$A1532&amp;"-"&amp;TEXT(($D1532-$C1532+1)+8,"00"),"")&amp;IF($C1532&gt;=10,", "&amp;$A1532&amp;"-"&amp;TEXT(($D1532-$C1532+1)+9,"00"),"")&amp;IF($C1532&gt;=11,", "&amp;$A1532&amp;"-"&amp;TEXT(($D1532-$C1532+1)+10,"00"),"")&amp;IF($C1532&gt;=12,", "&amp;$A1532&amp;"-"&amp;TEXT(($D1532-$C1532+1)+11,"00"),"")&amp;IF($C1532&gt;=13,", "&amp;$A1532&amp;"-"&amp;TEXT(($D1532-$C1532+1)+12,"00"),"")&amp;IF($C1532&gt;=14,", "&amp;$A1532&amp;"-"&amp;TEXT(($D1532-$C1532+1)+13,"00"),"")&amp;IF($C1532&gt;=15,", "&amp;$A1532&amp;"-"&amp;TEXT(($D1532-$C1532+1)+14,"00"),"")&amp;IF($C1532&gt;=16,", "&amp;$A1532&amp;"-"&amp;TEXT(($D1532-$C1532+1)+15,"00"),"")&amp;IF($C1532&gt;=17,", "&amp;$A1532&amp;"-"&amp;TEXT(($D1532-$C1532+1)+16,"00"),"")&amp;IF($C1532&gt;=18,", "&amp;$A1532&amp;"-"&amp;TEXT(($D1532-$C1532+1)+17,"00"),"")&amp;IF($C1532&gt;=19,", "&amp;$A1532&amp;"-"&amp;TEXT(($D1532-$C1532+1)+18,"00"),"")&amp;IF($C1532&gt;=20,", "&amp;$A1532&amp;"-"&amp;TEXT(($D1532-$C1532+1)+19,"00"),"")&amp;IF($C1532&gt;=21,", "&amp;$A1532&amp;"-"&amp;TEXT(($D1532-$C1532+1)+20,"00"),"")&amp;IF($C1532&gt;=22,", "&amp;$A1532&amp;"-"&amp;TEXT(($D1532-$C1532+1)+21,"00"),"")&amp;IF($C1532&gt;=23,", "&amp;$A1532&amp;"-"&amp;TEXT(($D1532-$C1532+1)+22,"00"),"")&amp;IF($C1532&gt;=24,", "&amp;$A1532&amp;"-"&amp;TEXT(($D1532-$C1532+1)+23,"00"),"")&amp;IF($C1532&gt;=25,", "&amp;$A1532&amp;"-"&amp;TEXT(($D1532-$C1532+1)+24,"00"),""))</f>
        <v/>
      </c>
      <c r="G1532">
        <f>IF($A1532="","",IF($E1532=1,$F1532,IF($F1532="",$G1531,IF($G1531="",$F1532,$G1531&amp;", "&amp;$F1532))))</f>
        <v/>
      </c>
      <c r="H1532">
        <f>IF($A1532="","",$A1532&amp;" ("&amp;$C1532&amp;")")</f>
        <v/>
      </c>
      <c r="I1532">
        <f>IF($A1532="","",IF($E1532=1,$H1532,$I1531&amp;", "&amp;$H1532))</f>
        <v/>
      </c>
      <c r="J1532">
        <f>IF($A1532="","",IF($E1532=1,$B1532,""))</f>
        <v/>
      </c>
      <c r="K1532">
        <f>IF($A1532="","",IF(COUNTIF($B$2:$B1532,$B1532)=COUNTIF($B$2:$B$1601,$B1532),$B1532,""))</f>
        <v/>
      </c>
    </row>
    <row r="1533">
      <c r="A1533">
        <f>IF('TMP Paste'!$E1533="","",'TMP Paste'!$E1533)</f>
        <v/>
      </c>
      <c r="B1533">
        <f>IF($A1533="","",COUNTIF('TMP Paste'!$B$2:$B1533,"?*"))</f>
        <v/>
      </c>
      <c r="C1533">
        <f>IF($A1533="","",IFERROR('TMP Paste'!$M1533*1,0))</f>
        <v/>
      </c>
      <c r="D1533">
        <f>IF($A1533="","",SUMIF($B$2:$B1533,$B1533,$C$2:$C1533))</f>
        <v/>
      </c>
      <c r="E1533">
        <f>IF($A1533="",0,IF('TMP Paste'!$B1533="",0,1))</f>
        <v/>
      </c>
      <c r="F1533">
        <f>IF(OR($A1533="",$C1533&lt;1),"",$A1533&amp;"-"&amp;TEXT(($D1533-$C1533+1),"00")&amp;IF($C1533&gt;=2,", "&amp;$A1533&amp;"-"&amp;TEXT(($D1533-$C1533+1)+1,"00"),"")&amp;IF($C1533&gt;=3,", "&amp;$A1533&amp;"-"&amp;TEXT(($D1533-$C1533+1)+2,"00"),"")&amp;IF($C1533&gt;=4,", "&amp;$A1533&amp;"-"&amp;TEXT(($D1533-$C1533+1)+3,"00"),"")&amp;IF($C1533&gt;=5,", "&amp;$A1533&amp;"-"&amp;TEXT(($D1533-$C1533+1)+4,"00"),"")&amp;IF($C1533&gt;=6,", "&amp;$A1533&amp;"-"&amp;TEXT(($D1533-$C1533+1)+5,"00"),"")&amp;IF($C1533&gt;=7,", "&amp;$A1533&amp;"-"&amp;TEXT(($D1533-$C1533+1)+6,"00"),"")&amp;IF($C1533&gt;=8,", "&amp;$A1533&amp;"-"&amp;TEXT(($D1533-$C1533+1)+7,"00"),"")&amp;IF($C1533&gt;=9,", "&amp;$A1533&amp;"-"&amp;TEXT(($D1533-$C1533+1)+8,"00"),"")&amp;IF($C1533&gt;=10,", "&amp;$A1533&amp;"-"&amp;TEXT(($D1533-$C1533+1)+9,"00"),"")&amp;IF($C1533&gt;=11,", "&amp;$A1533&amp;"-"&amp;TEXT(($D1533-$C1533+1)+10,"00"),"")&amp;IF($C1533&gt;=12,", "&amp;$A1533&amp;"-"&amp;TEXT(($D1533-$C1533+1)+11,"00"),"")&amp;IF($C1533&gt;=13,", "&amp;$A1533&amp;"-"&amp;TEXT(($D1533-$C1533+1)+12,"00"),"")&amp;IF($C1533&gt;=14,", "&amp;$A1533&amp;"-"&amp;TEXT(($D1533-$C1533+1)+13,"00"),"")&amp;IF($C1533&gt;=15,", "&amp;$A1533&amp;"-"&amp;TEXT(($D1533-$C1533+1)+14,"00"),"")&amp;IF($C1533&gt;=16,", "&amp;$A1533&amp;"-"&amp;TEXT(($D1533-$C1533+1)+15,"00"),"")&amp;IF($C1533&gt;=17,", "&amp;$A1533&amp;"-"&amp;TEXT(($D1533-$C1533+1)+16,"00"),"")&amp;IF($C1533&gt;=18,", "&amp;$A1533&amp;"-"&amp;TEXT(($D1533-$C1533+1)+17,"00"),"")&amp;IF($C1533&gt;=19,", "&amp;$A1533&amp;"-"&amp;TEXT(($D1533-$C1533+1)+18,"00"),"")&amp;IF($C1533&gt;=20,", "&amp;$A1533&amp;"-"&amp;TEXT(($D1533-$C1533+1)+19,"00"),"")&amp;IF($C1533&gt;=21,", "&amp;$A1533&amp;"-"&amp;TEXT(($D1533-$C1533+1)+20,"00"),"")&amp;IF($C1533&gt;=22,", "&amp;$A1533&amp;"-"&amp;TEXT(($D1533-$C1533+1)+21,"00"),"")&amp;IF($C1533&gt;=23,", "&amp;$A1533&amp;"-"&amp;TEXT(($D1533-$C1533+1)+22,"00"),"")&amp;IF($C1533&gt;=24,", "&amp;$A1533&amp;"-"&amp;TEXT(($D1533-$C1533+1)+23,"00"),"")&amp;IF($C1533&gt;=25,", "&amp;$A1533&amp;"-"&amp;TEXT(($D1533-$C1533+1)+24,"00"),""))</f>
        <v/>
      </c>
      <c r="G1533">
        <f>IF($A1533="","",IF($E1533=1,$F1533,IF($F1533="",$G1532,IF($G1532="",$F1533,$G1532&amp;", "&amp;$F1533))))</f>
        <v/>
      </c>
      <c r="H1533">
        <f>IF($A1533="","",$A1533&amp;" ("&amp;$C1533&amp;")")</f>
        <v/>
      </c>
      <c r="I1533">
        <f>IF($A1533="","",IF($E1533=1,$H1533,$I1532&amp;", "&amp;$H1533))</f>
        <v/>
      </c>
      <c r="J1533">
        <f>IF($A1533="","",IF($E1533=1,$B1533,""))</f>
        <v/>
      </c>
      <c r="K1533">
        <f>IF($A1533="","",IF(COUNTIF($B$2:$B1533,$B1533)=COUNTIF($B$2:$B$1601,$B1533),$B1533,""))</f>
        <v/>
      </c>
    </row>
    <row r="1534">
      <c r="A1534">
        <f>IF('TMP Paste'!$E1534="","",'TMP Paste'!$E1534)</f>
        <v/>
      </c>
      <c r="B1534">
        <f>IF($A1534="","",COUNTIF('TMP Paste'!$B$2:$B1534,"?*"))</f>
        <v/>
      </c>
      <c r="C1534">
        <f>IF($A1534="","",IFERROR('TMP Paste'!$M1534*1,0))</f>
        <v/>
      </c>
      <c r="D1534">
        <f>IF($A1534="","",SUMIF($B$2:$B1534,$B1534,$C$2:$C1534))</f>
        <v/>
      </c>
      <c r="E1534">
        <f>IF($A1534="",0,IF('TMP Paste'!$B1534="",0,1))</f>
        <v/>
      </c>
      <c r="F1534">
        <f>IF(OR($A1534="",$C1534&lt;1),"",$A1534&amp;"-"&amp;TEXT(($D1534-$C1534+1),"00")&amp;IF($C1534&gt;=2,", "&amp;$A1534&amp;"-"&amp;TEXT(($D1534-$C1534+1)+1,"00"),"")&amp;IF($C1534&gt;=3,", "&amp;$A1534&amp;"-"&amp;TEXT(($D1534-$C1534+1)+2,"00"),"")&amp;IF($C1534&gt;=4,", "&amp;$A1534&amp;"-"&amp;TEXT(($D1534-$C1534+1)+3,"00"),"")&amp;IF($C1534&gt;=5,", "&amp;$A1534&amp;"-"&amp;TEXT(($D1534-$C1534+1)+4,"00"),"")&amp;IF($C1534&gt;=6,", "&amp;$A1534&amp;"-"&amp;TEXT(($D1534-$C1534+1)+5,"00"),"")&amp;IF($C1534&gt;=7,", "&amp;$A1534&amp;"-"&amp;TEXT(($D1534-$C1534+1)+6,"00"),"")&amp;IF($C1534&gt;=8,", "&amp;$A1534&amp;"-"&amp;TEXT(($D1534-$C1534+1)+7,"00"),"")&amp;IF($C1534&gt;=9,", "&amp;$A1534&amp;"-"&amp;TEXT(($D1534-$C1534+1)+8,"00"),"")&amp;IF($C1534&gt;=10,", "&amp;$A1534&amp;"-"&amp;TEXT(($D1534-$C1534+1)+9,"00"),"")&amp;IF($C1534&gt;=11,", "&amp;$A1534&amp;"-"&amp;TEXT(($D1534-$C1534+1)+10,"00"),"")&amp;IF($C1534&gt;=12,", "&amp;$A1534&amp;"-"&amp;TEXT(($D1534-$C1534+1)+11,"00"),"")&amp;IF($C1534&gt;=13,", "&amp;$A1534&amp;"-"&amp;TEXT(($D1534-$C1534+1)+12,"00"),"")&amp;IF($C1534&gt;=14,", "&amp;$A1534&amp;"-"&amp;TEXT(($D1534-$C1534+1)+13,"00"),"")&amp;IF($C1534&gt;=15,", "&amp;$A1534&amp;"-"&amp;TEXT(($D1534-$C1534+1)+14,"00"),"")&amp;IF($C1534&gt;=16,", "&amp;$A1534&amp;"-"&amp;TEXT(($D1534-$C1534+1)+15,"00"),"")&amp;IF($C1534&gt;=17,", "&amp;$A1534&amp;"-"&amp;TEXT(($D1534-$C1534+1)+16,"00"),"")&amp;IF($C1534&gt;=18,", "&amp;$A1534&amp;"-"&amp;TEXT(($D1534-$C1534+1)+17,"00"),"")&amp;IF($C1534&gt;=19,", "&amp;$A1534&amp;"-"&amp;TEXT(($D1534-$C1534+1)+18,"00"),"")&amp;IF($C1534&gt;=20,", "&amp;$A1534&amp;"-"&amp;TEXT(($D1534-$C1534+1)+19,"00"),"")&amp;IF($C1534&gt;=21,", "&amp;$A1534&amp;"-"&amp;TEXT(($D1534-$C1534+1)+20,"00"),"")&amp;IF($C1534&gt;=22,", "&amp;$A1534&amp;"-"&amp;TEXT(($D1534-$C1534+1)+21,"00"),"")&amp;IF($C1534&gt;=23,", "&amp;$A1534&amp;"-"&amp;TEXT(($D1534-$C1534+1)+22,"00"),"")&amp;IF($C1534&gt;=24,", "&amp;$A1534&amp;"-"&amp;TEXT(($D1534-$C1534+1)+23,"00"),"")&amp;IF($C1534&gt;=25,", "&amp;$A1534&amp;"-"&amp;TEXT(($D1534-$C1534+1)+24,"00"),""))</f>
        <v/>
      </c>
      <c r="G1534">
        <f>IF($A1534="","",IF($E1534=1,$F1534,IF($F1534="",$G1533,IF($G1533="",$F1534,$G1533&amp;", "&amp;$F1534))))</f>
        <v/>
      </c>
      <c r="H1534">
        <f>IF($A1534="","",$A1534&amp;" ("&amp;$C1534&amp;")")</f>
        <v/>
      </c>
      <c r="I1534">
        <f>IF($A1534="","",IF($E1534=1,$H1534,$I1533&amp;", "&amp;$H1534))</f>
        <v/>
      </c>
      <c r="J1534">
        <f>IF($A1534="","",IF($E1534=1,$B1534,""))</f>
        <v/>
      </c>
      <c r="K1534">
        <f>IF($A1534="","",IF(COUNTIF($B$2:$B1534,$B1534)=COUNTIF($B$2:$B$1601,$B1534),$B1534,""))</f>
        <v/>
      </c>
    </row>
    <row r="1535">
      <c r="A1535">
        <f>IF('TMP Paste'!$E1535="","",'TMP Paste'!$E1535)</f>
        <v/>
      </c>
      <c r="B1535">
        <f>IF($A1535="","",COUNTIF('TMP Paste'!$B$2:$B1535,"?*"))</f>
        <v/>
      </c>
      <c r="C1535">
        <f>IF($A1535="","",IFERROR('TMP Paste'!$M1535*1,0))</f>
        <v/>
      </c>
      <c r="D1535">
        <f>IF($A1535="","",SUMIF($B$2:$B1535,$B1535,$C$2:$C1535))</f>
        <v/>
      </c>
      <c r="E1535">
        <f>IF($A1535="",0,IF('TMP Paste'!$B1535="",0,1))</f>
        <v/>
      </c>
      <c r="F1535">
        <f>IF(OR($A1535="",$C1535&lt;1),"",$A1535&amp;"-"&amp;TEXT(($D1535-$C1535+1),"00")&amp;IF($C1535&gt;=2,", "&amp;$A1535&amp;"-"&amp;TEXT(($D1535-$C1535+1)+1,"00"),"")&amp;IF($C1535&gt;=3,", "&amp;$A1535&amp;"-"&amp;TEXT(($D1535-$C1535+1)+2,"00"),"")&amp;IF($C1535&gt;=4,", "&amp;$A1535&amp;"-"&amp;TEXT(($D1535-$C1535+1)+3,"00"),"")&amp;IF($C1535&gt;=5,", "&amp;$A1535&amp;"-"&amp;TEXT(($D1535-$C1535+1)+4,"00"),"")&amp;IF($C1535&gt;=6,", "&amp;$A1535&amp;"-"&amp;TEXT(($D1535-$C1535+1)+5,"00"),"")&amp;IF($C1535&gt;=7,", "&amp;$A1535&amp;"-"&amp;TEXT(($D1535-$C1535+1)+6,"00"),"")&amp;IF($C1535&gt;=8,", "&amp;$A1535&amp;"-"&amp;TEXT(($D1535-$C1535+1)+7,"00"),"")&amp;IF($C1535&gt;=9,", "&amp;$A1535&amp;"-"&amp;TEXT(($D1535-$C1535+1)+8,"00"),"")&amp;IF($C1535&gt;=10,", "&amp;$A1535&amp;"-"&amp;TEXT(($D1535-$C1535+1)+9,"00"),"")&amp;IF($C1535&gt;=11,", "&amp;$A1535&amp;"-"&amp;TEXT(($D1535-$C1535+1)+10,"00"),"")&amp;IF($C1535&gt;=12,", "&amp;$A1535&amp;"-"&amp;TEXT(($D1535-$C1535+1)+11,"00"),"")&amp;IF($C1535&gt;=13,", "&amp;$A1535&amp;"-"&amp;TEXT(($D1535-$C1535+1)+12,"00"),"")&amp;IF($C1535&gt;=14,", "&amp;$A1535&amp;"-"&amp;TEXT(($D1535-$C1535+1)+13,"00"),"")&amp;IF($C1535&gt;=15,", "&amp;$A1535&amp;"-"&amp;TEXT(($D1535-$C1535+1)+14,"00"),"")&amp;IF($C1535&gt;=16,", "&amp;$A1535&amp;"-"&amp;TEXT(($D1535-$C1535+1)+15,"00"),"")&amp;IF($C1535&gt;=17,", "&amp;$A1535&amp;"-"&amp;TEXT(($D1535-$C1535+1)+16,"00"),"")&amp;IF($C1535&gt;=18,", "&amp;$A1535&amp;"-"&amp;TEXT(($D1535-$C1535+1)+17,"00"),"")&amp;IF($C1535&gt;=19,", "&amp;$A1535&amp;"-"&amp;TEXT(($D1535-$C1535+1)+18,"00"),"")&amp;IF($C1535&gt;=20,", "&amp;$A1535&amp;"-"&amp;TEXT(($D1535-$C1535+1)+19,"00"),"")&amp;IF($C1535&gt;=21,", "&amp;$A1535&amp;"-"&amp;TEXT(($D1535-$C1535+1)+20,"00"),"")&amp;IF($C1535&gt;=22,", "&amp;$A1535&amp;"-"&amp;TEXT(($D1535-$C1535+1)+21,"00"),"")&amp;IF($C1535&gt;=23,", "&amp;$A1535&amp;"-"&amp;TEXT(($D1535-$C1535+1)+22,"00"),"")&amp;IF($C1535&gt;=24,", "&amp;$A1535&amp;"-"&amp;TEXT(($D1535-$C1535+1)+23,"00"),"")&amp;IF($C1535&gt;=25,", "&amp;$A1535&amp;"-"&amp;TEXT(($D1535-$C1535+1)+24,"00"),""))</f>
        <v/>
      </c>
      <c r="G1535">
        <f>IF($A1535="","",IF($E1535=1,$F1535,IF($F1535="",$G1534,IF($G1534="",$F1535,$G1534&amp;", "&amp;$F1535))))</f>
        <v/>
      </c>
      <c r="H1535">
        <f>IF($A1535="","",$A1535&amp;" ("&amp;$C1535&amp;")")</f>
        <v/>
      </c>
      <c r="I1535">
        <f>IF($A1535="","",IF($E1535=1,$H1535,$I1534&amp;", "&amp;$H1535))</f>
        <v/>
      </c>
      <c r="J1535">
        <f>IF($A1535="","",IF($E1535=1,$B1535,""))</f>
        <v/>
      </c>
      <c r="K1535">
        <f>IF($A1535="","",IF(COUNTIF($B$2:$B1535,$B1535)=COUNTIF($B$2:$B$1601,$B1535),$B1535,""))</f>
        <v/>
      </c>
    </row>
    <row r="1536">
      <c r="A1536">
        <f>IF('TMP Paste'!$E1536="","",'TMP Paste'!$E1536)</f>
        <v/>
      </c>
      <c r="B1536">
        <f>IF($A1536="","",COUNTIF('TMP Paste'!$B$2:$B1536,"?*"))</f>
        <v/>
      </c>
      <c r="C1536">
        <f>IF($A1536="","",IFERROR('TMP Paste'!$M1536*1,0))</f>
        <v/>
      </c>
      <c r="D1536">
        <f>IF($A1536="","",SUMIF($B$2:$B1536,$B1536,$C$2:$C1536))</f>
        <v/>
      </c>
      <c r="E1536">
        <f>IF($A1536="",0,IF('TMP Paste'!$B1536="",0,1))</f>
        <v/>
      </c>
      <c r="F1536">
        <f>IF(OR($A1536="",$C1536&lt;1),"",$A1536&amp;"-"&amp;TEXT(($D1536-$C1536+1),"00")&amp;IF($C1536&gt;=2,", "&amp;$A1536&amp;"-"&amp;TEXT(($D1536-$C1536+1)+1,"00"),"")&amp;IF($C1536&gt;=3,", "&amp;$A1536&amp;"-"&amp;TEXT(($D1536-$C1536+1)+2,"00"),"")&amp;IF($C1536&gt;=4,", "&amp;$A1536&amp;"-"&amp;TEXT(($D1536-$C1536+1)+3,"00"),"")&amp;IF($C1536&gt;=5,", "&amp;$A1536&amp;"-"&amp;TEXT(($D1536-$C1536+1)+4,"00"),"")&amp;IF($C1536&gt;=6,", "&amp;$A1536&amp;"-"&amp;TEXT(($D1536-$C1536+1)+5,"00"),"")&amp;IF($C1536&gt;=7,", "&amp;$A1536&amp;"-"&amp;TEXT(($D1536-$C1536+1)+6,"00"),"")&amp;IF($C1536&gt;=8,", "&amp;$A1536&amp;"-"&amp;TEXT(($D1536-$C1536+1)+7,"00"),"")&amp;IF($C1536&gt;=9,", "&amp;$A1536&amp;"-"&amp;TEXT(($D1536-$C1536+1)+8,"00"),"")&amp;IF($C1536&gt;=10,", "&amp;$A1536&amp;"-"&amp;TEXT(($D1536-$C1536+1)+9,"00"),"")&amp;IF($C1536&gt;=11,", "&amp;$A1536&amp;"-"&amp;TEXT(($D1536-$C1536+1)+10,"00"),"")&amp;IF($C1536&gt;=12,", "&amp;$A1536&amp;"-"&amp;TEXT(($D1536-$C1536+1)+11,"00"),"")&amp;IF($C1536&gt;=13,", "&amp;$A1536&amp;"-"&amp;TEXT(($D1536-$C1536+1)+12,"00"),"")&amp;IF($C1536&gt;=14,", "&amp;$A1536&amp;"-"&amp;TEXT(($D1536-$C1536+1)+13,"00"),"")&amp;IF($C1536&gt;=15,", "&amp;$A1536&amp;"-"&amp;TEXT(($D1536-$C1536+1)+14,"00"),"")&amp;IF($C1536&gt;=16,", "&amp;$A1536&amp;"-"&amp;TEXT(($D1536-$C1536+1)+15,"00"),"")&amp;IF($C1536&gt;=17,", "&amp;$A1536&amp;"-"&amp;TEXT(($D1536-$C1536+1)+16,"00"),"")&amp;IF($C1536&gt;=18,", "&amp;$A1536&amp;"-"&amp;TEXT(($D1536-$C1536+1)+17,"00"),"")&amp;IF($C1536&gt;=19,", "&amp;$A1536&amp;"-"&amp;TEXT(($D1536-$C1536+1)+18,"00"),"")&amp;IF($C1536&gt;=20,", "&amp;$A1536&amp;"-"&amp;TEXT(($D1536-$C1536+1)+19,"00"),"")&amp;IF($C1536&gt;=21,", "&amp;$A1536&amp;"-"&amp;TEXT(($D1536-$C1536+1)+20,"00"),"")&amp;IF($C1536&gt;=22,", "&amp;$A1536&amp;"-"&amp;TEXT(($D1536-$C1536+1)+21,"00"),"")&amp;IF($C1536&gt;=23,", "&amp;$A1536&amp;"-"&amp;TEXT(($D1536-$C1536+1)+22,"00"),"")&amp;IF($C1536&gt;=24,", "&amp;$A1536&amp;"-"&amp;TEXT(($D1536-$C1536+1)+23,"00"),"")&amp;IF($C1536&gt;=25,", "&amp;$A1536&amp;"-"&amp;TEXT(($D1536-$C1536+1)+24,"00"),""))</f>
        <v/>
      </c>
      <c r="G1536">
        <f>IF($A1536="","",IF($E1536=1,$F1536,IF($F1536="",$G1535,IF($G1535="",$F1536,$G1535&amp;", "&amp;$F1536))))</f>
        <v/>
      </c>
      <c r="H1536">
        <f>IF($A1536="","",$A1536&amp;" ("&amp;$C1536&amp;")")</f>
        <v/>
      </c>
      <c r="I1536">
        <f>IF($A1536="","",IF($E1536=1,$H1536,$I1535&amp;", "&amp;$H1536))</f>
        <v/>
      </c>
      <c r="J1536">
        <f>IF($A1536="","",IF($E1536=1,$B1536,""))</f>
        <v/>
      </c>
      <c r="K1536">
        <f>IF($A1536="","",IF(COUNTIF($B$2:$B1536,$B1536)=COUNTIF($B$2:$B$1601,$B1536),$B1536,""))</f>
        <v/>
      </c>
    </row>
    <row r="1537">
      <c r="A1537">
        <f>IF('TMP Paste'!$E1537="","",'TMP Paste'!$E1537)</f>
        <v/>
      </c>
      <c r="B1537">
        <f>IF($A1537="","",COUNTIF('TMP Paste'!$B$2:$B1537,"?*"))</f>
        <v/>
      </c>
      <c r="C1537">
        <f>IF($A1537="","",IFERROR('TMP Paste'!$M1537*1,0))</f>
        <v/>
      </c>
      <c r="D1537">
        <f>IF($A1537="","",SUMIF($B$2:$B1537,$B1537,$C$2:$C1537))</f>
        <v/>
      </c>
      <c r="E1537">
        <f>IF($A1537="",0,IF('TMP Paste'!$B1537="",0,1))</f>
        <v/>
      </c>
      <c r="F1537">
        <f>IF(OR($A1537="",$C1537&lt;1),"",$A1537&amp;"-"&amp;TEXT(($D1537-$C1537+1),"00")&amp;IF($C1537&gt;=2,", "&amp;$A1537&amp;"-"&amp;TEXT(($D1537-$C1537+1)+1,"00"),"")&amp;IF($C1537&gt;=3,", "&amp;$A1537&amp;"-"&amp;TEXT(($D1537-$C1537+1)+2,"00"),"")&amp;IF($C1537&gt;=4,", "&amp;$A1537&amp;"-"&amp;TEXT(($D1537-$C1537+1)+3,"00"),"")&amp;IF($C1537&gt;=5,", "&amp;$A1537&amp;"-"&amp;TEXT(($D1537-$C1537+1)+4,"00"),"")&amp;IF($C1537&gt;=6,", "&amp;$A1537&amp;"-"&amp;TEXT(($D1537-$C1537+1)+5,"00"),"")&amp;IF($C1537&gt;=7,", "&amp;$A1537&amp;"-"&amp;TEXT(($D1537-$C1537+1)+6,"00"),"")&amp;IF($C1537&gt;=8,", "&amp;$A1537&amp;"-"&amp;TEXT(($D1537-$C1537+1)+7,"00"),"")&amp;IF($C1537&gt;=9,", "&amp;$A1537&amp;"-"&amp;TEXT(($D1537-$C1537+1)+8,"00"),"")&amp;IF($C1537&gt;=10,", "&amp;$A1537&amp;"-"&amp;TEXT(($D1537-$C1537+1)+9,"00"),"")&amp;IF($C1537&gt;=11,", "&amp;$A1537&amp;"-"&amp;TEXT(($D1537-$C1537+1)+10,"00"),"")&amp;IF($C1537&gt;=12,", "&amp;$A1537&amp;"-"&amp;TEXT(($D1537-$C1537+1)+11,"00"),"")&amp;IF($C1537&gt;=13,", "&amp;$A1537&amp;"-"&amp;TEXT(($D1537-$C1537+1)+12,"00"),"")&amp;IF($C1537&gt;=14,", "&amp;$A1537&amp;"-"&amp;TEXT(($D1537-$C1537+1)+13,"00"),"")&amp;IF($C1537&gt;=15,", "&amp;$A1537&amp;"-"&amp;TEXT(($D1537-$C1537+1)+14,"00"),"")&amp;IF($C1537&gt;=16,", "&amp;$A1537&amp;"-"&amp;TEXT(($D1537-$C1537+1)+15,"00"),"")&amp;IF($C1537&gt;=17,", "&amp;$A1537&amp;"-"&amp;TEXT(($D1537-$C1537+1)+16,"00"),"")&amp;IF($C1537&gt;=18,", "&amp;$A1537&amp;"-"&amp;TEXT(($D1537-$C1537+1)+17,"00"),"")&amp;IF($C1537&gt;=19,", "&amp;$A1537&amp;"-"&amp;TEXT(($D1537-$C1537+1)+18,"00"),"")&amp;IF($C1537&gt;=20,", "&amp;$A1537&amp;"-"&amp;TEXT(($D1537-$C1537+1)+19,"00"),"")&amp;IF($C1537&gt;=21,", "&amp;$A1537&amp;"-"&amp;TEXT(($D1537-$C1537+1)+20,"00"),"")&amp;IF($C1537&gt;=22,", "&amp;$A1537&amp;"-"&amp;TEXT(($D1537-$C1537+1)+21,"00"),"")&amp;IF($C1537&gt;=23,", "&amp;$A1537&amp;"-"&amp;TEXT(($D1537-$C1537+1)+22,"00"),"")&amp;IF($C1537&gt;=24,", "&amp;$A1537&amp;"-"&amp;TEXT(($D1537-$C1537+1)+23,"00"),"")&amp;IF($C1537&gt;=25,", "&amp;$A1537&amp;"-"&amp;TEXT(($D1537-$C1537+1)+24,"00"),""))</f>
        <v/>
      </c>
      <c r="G1537">
        <f>IF($A1537="","",IF($E1537=1,$F1537,IF($F1537="",$G1536,IF($G1536="",$F1537,$G1536&amp;", "&amp;$F1537))))</f>
        <v/>
      </c>
      <c r="H1537">
        <f>IF($A1537="","",$A1537&amp;" ("&amp;$C1537&amp;")")</f>
        <v/>
      </c>
      <c r="I1537">
        <f>IF($A1537="","",IF($E1537=1,$H1537,$I1536&amp;", "&amp;$H1537))</f>
        <v/>
      </c>
      <c r="J1537">
        <f>IF($A1537="","",IF($E1537=1,$B1537,""))</f>
        <v/>
      </c>
      <c r="K1537">
        <f>IF($A1537="","",IF(COUNTIF($B$2:$B1537,$B1537)=COUNTIF($B$2:$B$1601,$B1537),$B1537,""))</f>
        <v/>
      </c>
    </row>
    <row r="1538">
      <c r="A1538">
        <f>IF('TMP Paste'!$E1538="","",'TMP Paste'!$E1538)</f>
        <v/>
      </c>
      <c r="B1538">
        <f>IF($A1538="","",COUNTIF('TMP Paste'!$B$2:$B1538,"?*"))</f>
        <v/>
      </c>
      <c r="C1538">
        <f>IF($A1538="","",IFERROR('TMP Paste'!$M1538*1,0))</f>
        <v/>
      </c>
      <c r="D1538">
        <f>IF($A1538="","",SUMIF($B$2:$B1538,$B1538,$C$2:$C1538))</f>
        <v/>
      </c>
      <c r="E1538">
        <f>IF($A1538="",0,IF('TMP Paste'!$B1538="",0,1))</f>
        <v/>
      </c>
      <c r="F1538">
        <f>IF(OR($A1538="",$C1538&lt;1),"",$A1538&amp;"-"&amp;TEXT(($D1538-$C1538+1),"00")&amp;IF($C1538&gt;=2,", "&amp;$A1538&amp;"-"&amp;TEXT(($D1538-$C1538+1)+1,"00"),"")&amp;IF($C1538&gt;=3,", "&amp;$A1538&amp;"-"&amp;TEXT(($D1538-$C1538+1)+2,"00"),"")&amp;IF($C1538&gt;=4,", "&amp;$A1538&amp;"-"&amp;TEXT(($D1538-$C1538+1)+3,"00"),"")&amp;IF($C1538&gt;=5,", "&amp;$A1538&amp;"-"&amp;TEXT(($D1538-$C1538+1)+4,"00"),"")&amp;IF($C1538&gt;=6,", "&amp;$A1538&amp;"-"&amp;TEXT(($D1538-$C1538+1)+5,"00"),"")&amp;IF($C1538&gt;=7,", "&amp;$A1538&amp;"-"&amp;TEXT(($D1538-$C1538+1)+6,"00"),"")&amp;IF($C1538&gt;=8,", "&amp;$A1538&amp;"-"&amp;TEXT(($D1538-$C1538+1)+7,"00"),"")&amp;IF($C1538&gt;=9,", "&amp;$A1538&amp;"-"&amp;TEXT(($D1538-$C1538+1)+8,"00"),"")&amp;IF($C1538&gt;=10,", "&amp;$A1538&amp;"-"&amp;TEXT(($D1538-$C1538+1)+9,"00"),"")&amp;IF($C1538&gt;=11,", "&amp;$A1538&amp;"-"&amp;TEXT(($D1538-$C1538+1)+10,"00"),"")&amp;IF($C1538&gt;=12,", "&amp;$A1538&amp;"-"&amp;TEXT(($D1538-$C1538+1)+11,"00"),"")&amp;IF($C1538&gt;=13,", "&amp;$A1538&amp;"-"&amp;TEXT(($D1538-$C1538+1)+12,"00"),"")&amp;IF($C1538&gt;=14,", "&amp;$A1538&amp;"-"&amp;TEXT(($D1538-$C1538+1)+13,"00"),"")&amp;IF($C1538&gt;=15,", "&amp;$A1538&amp;"-"&amp;TEXT(($D1538-$C1538+1)+14,"00"),"")&amp;IF($C1538&gt;=16,", "&amp;$A1538&amp;"-"&amp;TEXT(($D1538-$C1538+1)+15,"00"),"")&amp;IF($C1538&gt;=17,", "&amp;$A1538&amp;"-"&amp;TEXT(($D1538-$C1538+1)+16,"00"),"")&amp;IF($C1538&gt;=18,", "&amp;$A1538&amp;"-"&amp;TEXT(($D1538-$C1538+1)+17,"00"),"")&amp;IF($C1538&gt;=19,", "&amp;$A1538&amp;"-"&amp;TEXT(($D1538-$C1538+1)+18,"00"),"")&amp;IF($C1538&gt;=20,", "&amp;$A1538&amp;"-"&amp;TEXT(($D1538-$C1538+1)+19,"00"),"")&amp;IF($C1538&gt;=21,", "&amp;$A1538&amp;"-"&amp;TEXT(($D1538-$C1538+1)+20,"00"),"")&amp;IF($C1538&gt;=22,", "&amp;$A1538&amp;"-"&amp;TEXT(($D1538-$C1538+1)+21,"00"),"")&amp;IF($C1538&gt;=23,", "&amp;$A1538&amp;"-"&amp;TEXT(($D1538-$C1538+1)+22,"00"),"")&amp;IF($C1538&gt;=24,", "&amp;$A1538&amp;"-"&amp;TEXT(($D1538-$C1538+1)+23,"00"),"")&amp;IF($C1538&gt;=25,", "&amp;$A1538&amp;"-"&amp;TEXT(($D1538-$C1538+1)+24,"00"),""))</f>
        <v/>
      </c>
      <c r="G1538">
        <f>IF($A1538="","",IF($E1538=1,$F1538,IF($F1538="",$G1537,IF($G1537="",$F1538,$G1537&amp;", "&amp;$F1538))))</f>
        <v/>
      </c>
      <c r="H1538">
        <f>IF($A1538="","",$A1538&amp;" ("&amp;$C1538&amp;")")</f>
        <v/>
      </c>
      <c r="I1538">
        <f>IF($A1538="","",IF($E1538=1,$H1538,$I1537&amp;", "&amp;$H1538))</f>
        <v/>
      </c>
      <c r="J1538">
        <f>IF($A1538="","",IF($E1538=1,$B1538,""))</f>
        <v/>
      </c>
      <c r="K1538">
        <f>IF($A1538="","",IF(COUNTIF($B$2:$B1538,$B1538)=COUNTIF($B$2:$B$1601,$B1538),$B1538,""))</f>
        <v/>
      </c>
    </row>
    <row r="1539">
      <c r="A1539">
        <f>IF('TMP Paste'!$E1539="","",'TMP Paste'!$E1539)</f>
        <v/>
      </c>
      <c r="B1539">
        <f>IF($A1539="","",COUNTIF('TMP Paste'!$B$2:$B1539,"?*"))</f>
        <v/>
      </c>
      <c r="C1539">
        <f>IF($A1539="","",IFERROR('TMP Paste'!$M1539*1,0))</f>
        <v/>
      </c>
      <c r="D1539">
        <f>IF($A1539="","",SUMIF($B$2:$B1539,$B1539,$C$2:$C1539))</f>
        <v/>
      </c>
      <c r="E1539">
        <f>IF($A1539="",0,IF('TMP Paste'!$B1539="",0,1))</f>
        <v/>
      </c>
      <c r="F1539">
        <f>IF(OR($A1539="",$C1539&lt;1),"",$A1539&amp;"-"&amp;TEXT(($D1539-$C1539+1),"00")&amp;IF($C1539&gt;=2,", "&amp;$A1539&amp;"-"&amp;TEXT(($D1539-$C1539+1)+1,"00"),"")&amp;IF($C1539&gt;=3,", "&amp;$A1539&amp;"-"&amp;TEXT(($D1539-$C1539+1)+2,"00"),"")&amp;IF($C1539&gt;=4,", "&amp;$A1539&amp;"-"&amp;TEXT(($D1539-$C1539+1)+3,"00"),"")&amp;IF($C1539&gt;=5,", "&amp;$A1539&amp;"-"&amp;TEXT(($D1539-$C1539+1)+4,"00"),"")&amp;IF($C1539&gt;=6,", "&amp;$A1539&amp;"-"&amp;TEXT(($D1539-$C1539+1)+5,"00"),"")&amp;IF($C1539&gt;=7,", "&amp;$A1539&amp;"-"&amp;TEXT(($D1539-$C1539+1)+6,"00"),"")&amp;IF($C1539&gt;=8,", "&amp;$A1539&amp;"-"&amp;TEXT(($D1539-$C1539+1)+7,"00"),"")&amp;IF($C1539&gt;=9,", "&amp;$A1539&amp;"-"&amp;TEXT(($D1539-$C1539+1)+8,"00"),"")&amp;IF($C1539&gt;=10,", "&amp;$A1539&amp;"-"&amp;TEXT(($D1539-$C1539+1)+9,"00"),"")&amp;IF($C1539&gt;=11,", "&amp;$A1539&amp;"-"&amp;TEXT(($D1539-$C1539+1)+10,"00"),"")&amp;IF($C1539&gt;=12,", "&amp;$A1539&amp;"-"&amp;TEXT(($D1539-$C1539+1)+11,"00"),"")&amp;IF($C1539&gt;=13,", "&amp;$A1539&amp;"-"&amp;TEXT(($D1539-$C1539+1)+12,"00"),"")&amp;IF($C1539&gt;=14,", "&amp;$A1539&amp;"-"&amp;TEXT(($D1539-$C1539+1)+13,"00"),"")&amp;IF($C1539&gt;=15,", "&amp;$A1539&amp;"-"&amp;TEXT(($D1539-$C1539+1)+14,"00"),"")&amp;IF($C1539&gt;=16,", "&amp;$A1539&amp;"-"&amp;TEXT(($D1539-$C1539+1)+15,"00"),"")&amp;IF($C1539&gt;=17,", "&amp;$A1539&amp;"-"&amp;TEXT(($D1539-$C1539+1)+16,"00"),"")&amp;IF($C1539&gt;=18,", "&amp;$A1539&amp;"-"&amp;TEXT(($D1539-$C1539+1)+17,"00"),"")&amp;IF($C1539&gt;=19,", "&amp;$A1539&amp;"-"&amp;TEXT(($D1539-$C1539+1)+18,"00"),"")&amp;IF($C1539&gt;=20,", "&amp;$A1539&amp;"-"&amp;TEXT(($D1539-$C1539+1)+19,"00"),"")&amp;IF($C1539&gt;=21,", "&amp;$A1539&amp;"-"&amp;TEXT(($D1539-$C1539+1)+20,"00"),"")&amp;IF($C1539&gt;=22,", "&amp;$A1539&amp;"-"&amp;TEXT(($D1539-$C1539+1)+21,"00"),"")&amp;IF($C1539&gt;=23,", "&amp;$A1539&amp;"-"&amp;TEXT(($D1539-$C1539+1)+22,"00"),"")&amp;IF($C1539&gt;=24,", "&amp;$A1539&amp;"-"&amp;TEXT(($D1539-$C1539+1)+23,"00"),"")&amp;IF($C1539&gt;=25,", "&amp;$A1539&amp;"-"&amp;TEXT(($D1539-$C1539+1)+24,"00"),""))</f>
        <v/>
      </c>
      <c r="G1539">
        <f>IF($A1539="","",IF($E1539=1,$F1539,IF($F1539="",$G1538,IF($G1538="",$F1539,$G1538&amp;", "&amp;$F1539))))</f>
        <v/>
      </c>
      <c r="H1539">
        <f>IF($A1539="","",$A1539&amp;" ("&amp;$C1539&amp;")")</f>
        <v/>
      </c>
      <c r="I1539">
        <f>IF($A1539="","",IF($E1539=1,$H1539,$I1538&amp;", "&amp;$H1539))</f>
        <v/>
      </c>
      <c r="J1539">
        <f>IF($A1539="","",IF($E1539=1,$B1539,""))</f>
        <v/>
      </c>
      <c r="K1539">
        <f>IF($A1539="","",IF(COUNTIF($B$2:$B1539,$B1539)=COUNTIF($B$2:$B$1601,$B1539),$B1539,""))</f>
        <v/>
      </c>
    </row>
    <row r="1540">
      <c r="A1540">
        <f>IF('TMP Paste'!$E1540="","",'TMP Paste'!$E1540)</f>
        <v/>
      </c>
      <c r="B1540">
        <f>IF($A1540="","",COUNTIF('TMP Paste'!$B$2:$B1540,"?*"))</f>
        <v/>
      </c>
      <c r="C1540">
        <f>IF($A1540="","",IFERROR('TMP Paste'!$M1540*1,0))</f>
        <v/>
      </c>
      <c r="D1540">
        <f>IF($A1540="","",SUMIF($B$2:$B1540,$B1540,$C$2:$C1540))</f>
        <v/>
      </c>
      <c r="E1540">
        <f>IF($A1540="",0,IF('TMP Paste'!$B1540="",0,1))</f>
        <v/>
      </c>
      <c r="F1540">
        <f>IF(OR($A1540="",$C1540&lt;1),"",$A1540&amp;"-"&amp;TEXT(($D1540-$C1540+1),"00")&amp;IF($C1540&gt;=2,", "&amp;$A1540&amp;"-"&amp;TEXT(($D1540-$C1540+1)+1,"00"),"")&amp;IF($C1540&gt;=3,", "&amp;$A1540&amp;"-"&amp;TEXT(($D1540-$C1540+1)+2,"00"),"")&amp;IF($C1540&gt;=4,", "&amp;$A1540&amp;"-"&amp;TEXT(($D1540-$C1540+1)+3,"00"),"")&amp;IF($C1540&gt;=5,", "&amp;$A1540&amp;"-"&amp;TEXT(($D1540-$C1540+1)+4,"00"),"")&amp;IF($C1540&gt;=6,", "&amp;$A1540&amp;"-"&amp;TEXT(($D1540-$C1540+1)+5,"00"),"")&amp;IF($C1540&gt;=7,", "&amp;$A1540&amp;"-"&amp;TEXT(($D1540-$C1540+1)+6,"00"),"")&amp;IF($C1540&gt;=8,", "&amp;$A1540&amp;"-"&amp;TEXT(($D1540-$C1540+1)+7,"00"),"")&amp;IF($C1540&gt;=9,", "&amp;$A1540&amp;"-"&amp;TEXT(($D1540-$C1540+1)+8,"00"),"")&amp;IF($C1540&gt;=10,", "&amp;$A1540&amp;"-"&amp;TEXT(($D1540-$C1540+1)+9,"00"),"")&amp;IF($C1540&gt;=11,", "&amp;$A1540&amp;"-"&amp;TEXT(($D1540-$C1540+1)+10,"00"),"")&amp;IF($C1540&gt;=12,", "&amp;$A1540&amp;"-"&amp;TEXT(($D1540-$C1540+1)+11,"00"),"")&amp;IF($C1540&gt;=13,", "&amp;$A1540&amp;"-"&amp;TEXT(($D1540-$C1540+1)+12,"00"),"")&amp;IF($C1540&gt;=14,", "&amp;$A1540&amp;"-"&amp;TEXT(($D1540-$C1540+1)+13,"00"),"")&amp;IF($C1540&gt;=15,", "&amp;$A1540&amp;"-"&amp;TEXT(($D1540-$C1540+1)+14,"00"),"")&amp;IF($C1540&gt;=16,", "&amp;$A1540&amp;"-"&amp;TEXT(($D1540-$C1540+1)+15,"00"),"")&amp;IF($C1540&gt;=17,", "&amp;$A1540&amp;"-"&amp;TEXT(($D1540-$C1540+1)+16,"00"),"")&amp;IF($C1540&gt;=18,", "&amp;$A1540&amp;"-"&amp;TEXT(($D1540-$C1540+1)+17,"00"),"")&amp;IF($C1540&gt;=19,", "&amp;$A1540&amp;"-"&amp;TEXT(($D1540-$C1540+1)+18,"00"),"")&amp;IF($C1540&gt;=20,", "&amp;$A1540&amp;"-"&amp;TEXT(($D1540-$C1540+1)+19,"00"),"")&amp;IF($C1540&gt;=21,", "&amp;$A1540&amp;"-"&amp;TEXT(($D1540-$C1540+1)+20,"00"),"")&amp;IF($C1540&gt;=22,", "&amp;$A1540&amp;"-"&amp;TEXT(($D1540-$C1540+1)+21,"00"),"")&amp;IF($C1540&gt;=23,", "&amp;$A1540&amp;"-"&amp;TEXT(($D1540-$C1540+1)+22,"00"),"")&amp;IF($C1540&gt;=24,", "&amp;$A1540&amp;"-"&amp;TEXT(($D1540-$C1540+1)+23,"00"),"")&amp;IF($C1540&gt;=25,", "&amp;$A1540&amp;"-"&amp;TEXT(($D1540-$C1540+1)+24,"00"),""))</f>
        <v/>
      </c>
      <c r="G1540">
        <f>IF($A1540="","",IF($E1540=1,$F1540,IF($F1540="",$G1539,IF($G1539="",$F1540,$G1539&amp;", "&amp;$F1540))))</f>
        <v/>
      </c>
      <c r="H1540">
        <f>IF($A1540="","",$A1540&amp;" ("&amp;$C1540&amp;")")</f>
        <v/>
      </c>
      <c r="I1540">
        <f>IF($A1540="","",IF($E1540=1,$H1540,$I1539&amp;", "&amp;$H1540))</f>
        <v/>
      </c>
      <c r="J1540">
        <f>IF($A1540="","",IF($E1540=1,$B1540,""))</f>
        <v/>
      </c>
      <c r="K1540">
        <f>IF($A1540="","",IF(COUNTIF($B$2:$B1540,$B1540)=COUNTIF($B$2:$B$1601,$B1540),$B1540,""))</f>
        <v/>
      </c>
    </row>
    <row r="1541">
      <c r="A1541">
        <f>IF('TMP Paste'!$E1541="","",'TMP Paste'!$E1541)</f>
        <v/>
      </c>
      <c r="B1541">
        <f>IF($A1541="","",COUNTIF('TMP Paste'!$B$2:$B1541,"?*"))</f>
        <v/>
      </c>
      <c r="C1541">
        <f>IF($A1541="","",IFERROR('TMP Paste'!$M1541*1,0))</f>
        <v/>
      </c>
      <c r="D1541">
        <f>IF($A1541="","",SUMIF($B$2:$B1541,$B1541,$C$2:$C1541))</f>
        <v/>
      </c>
      <c r="E1541">
        <f>IF($A1541="",0,IF('TMP Paste'!$B1541="",0,1))</f>
        <v/>
      </c>
      <c r="F1541">
        <f>IF(OR($A1541="",$C1541&lt;1),"",$A1541&amp;"-"&amp;TEXT(($D1541-$C1541+1),"00")&amp;IF($C1541&gt;=2,", "&amp;$A1541&amp;"-"&amp;TEXT(($D1541-$C1541+1)+1,"00"),"")&amp;IF($C1541&gt;=3,", "&amp;$A1541&amp;"-"&amp;TEXT(($D1541-$C1541+1)+2,"00"),"")&amp;IF($C1541&gt;=4,", "&amp;$A1541&amp;"-"&amp;TEXT(($D1541-$C1541+1)+3,"00"),"")&amp;IF($C1541&gt;=5,", "&amp;$A1541&amp;"-"&amp;TEXT(($D1541-$C1541+1)+4,"00"),"")&amp;IF($C1541&gt;=6,", "&amp;$A1541&amp;"-"&amp;TEXT(($D1541-$C1541+1)+5,"00"),"")&amp;IF($C1541&gt;=7,", "&amp;$A1541&amp;"-"&amp;TEXT(($D1541-$C1541+1)+6,"00"),"")&amp;IF($C1541&gt;=8,", "&amp;$A1541&amp;"-"&amp;TEXT(($D1541-$C1541+1)+7,"00"),"")&amp;IF($C1541&gt;=9,", "&amp;$A1541&amp;"-"&amp;TEXT(($D1541-$C1541+1)+8,"00"),"")&amp;IF($C1541&gt;=10,", "&amp;$A1541&amp;"-"&amp;TEXT(($D1541-$C1541+1)+9,"00"),"")&amp;IF($C1541&gt;=11,", "&amp;$A1541&amp;"-"&amp;TEXT(($D1541-$C1541+1)+10,"00"),"")&amp;IF($C1541&gt;=12,", "&amp;$A1541&amp;"-"&amp;TEXT(($D1541-$C1541+1)+11,"00"),"")&amp;IF($C1541&gt;=13,", "&amp;$A1541&amp;"-"&amp;TEXT(($D1541-$C1541+1)+12,"00"),"")&amp;IF($C1541&gt;=14,", "&amp;$A1541&amp;"-"&amp;TEXT(($D1541-$C1541+1)+13,"00"),"")&amp;IF($C1541&gt;=15,", "&amp;$A1541&amp;"-"&amp;TEXT(($D1541-$C1541+1)+14,"00"),"")&amp;IF($C1541&gt;=16,", "&amp;$A1541&amp;"-"&amp;TEXT(($D1541-$C1541+1)+15,"00"),"")&amp;IF($C1541&gt;=17,", "&amp;$A1541&amp;"-"&amp;TEXT(($D1541-$C1541+1)+16,"00"),"")&amp;IF($C1541&gt;=18,", "&amp;$A1541&amp;"-"&amp;TEXT(($D1541-$C1541+1)+17,"00"),"")&amp;IF($C1541&gt;=19,", "&amp;$A1541&amp;"-"&amp;TEXT(($D1541-$C1541+1)+18,"00"),"")&amp;IF($C1541&gt;=20,", "&amp;$A1541&amp;"-"&amp;TEXT(($D1541-$C1541+1)+19,"00"),"")&amp;IF($C1541&gt;=21,", "&amp;$A1541&amp;"-"&amp;TEXT(($D1541-$C1541+1)+20,"00"),"")&amp;IF($C1541&gt;=22,", "&amp;$A1541&amp;"-"&amp;TEXT(($D1541-$C1541+1)+21,"00"),"")&amp;IF($C1541&gt;=23,", "&amp;$A1541&amp;"-"&amp;TEXT(($D1541-$C1541+1)+22,"00"),"")&amp;IF($C1541&gt;=24,", "&amp;$A1541&amp;"-"&amp;TEXT(($D1541-$C1541+1)+23,"00"),"")&amp;IF($C1541&gt;=25,", "&amp;$A1541&amp;"-"&amp;TEXT(($D1541-$C1541+1)+24,"00"),""))</f>
        <v/>
      </c>
      <c r="G1541">
        <f>IF($A1541="","",IF($E1541=1,$F1541,IF($F1541="",$G1540,IF($G1540="",$F1541,$G1540&amp;", "&amp;$F1541))))</f>
        <v/>
      </c>
      <c r="H1541">
        <f>IF($A1541="","",$A1541&amp;" ("&amp;$C1541&amp;")")</f>
        <v/>
      </c>
      <c r="I1541">
        <f>IF($A1541="","",IF($E1541=1,$H1541,$I1540&amp;", "&amp;$H1541))</f>
        <v/>
      </c>
      <c r="J1541">
        <f>IF($A1541="","",IF($E1541=1,$B1541,""))</f>
        <v/>
      </c>
      <c r="K1541">
        <f>IF($A1541="","",IF(COUNTIF($B$2:$B1541,$B1541)=COUNTIF($B$2:$B$1601,$B1541),$B1541,""))</f>
        <v/>
      </c>
    </row>
    <row r="1542">
      <c r="A1542">
        <f>IF('TMP Paste'!$E1542="","",'TMP Paste'!$E1542)</f>
        <v/>
      </c>
      <c r="B1542">
        <f>IF($A1542="","",COUNTIF('TMP Paste'!$B$2:$B1542,"?*"))</f>
        <v/>
      </c>
      <c r="C1542">
        <f>IF($A1542="","",IFERROR('TMP Paste'!$M1542*1,0))</f>
        <v/>
      </c>
      <c r="D1542">
        <f>IF($A1542="","",SUMIF($B$2:$B1542,$B1542,$C$2:$C1542))</f>
        <v/>
      </c>
      <c r="E1542">
        <f>IF($A1542="",0,IF('TMP Paste'!$B1542="",0,1))</f>
        <v/>
      </c>
      <c r="F1542">
        <f>IF(OR($A1542="",$C1542&lt;1),"",$A1542&amp;"-"&amp;TEXT(($D1542-$C1542+1),"00")&amp;IF($C1542&gt;=2,", "&amp;$A1542&amp;"-"&amp;TEXT(($D1542-$C1542+1)+1,"00"),"")&amp;IF($C1542&gt;=3,", "&amp;$A1542&amp;"-"&amp;TEXT(($D1542-$C1542+1)+2,"00"),"")&amp;IF($C1542&gt;=4,", "&amp;$A1542&amp;"-"&amp;TEXT(($D1542-$C1542+1)+3,"00"),"")&amp;IF($C1542&gt;=5,", "&amp;$A1542&amp;"-"&amp;TEXT(($D1542-$C1542+1)+4,"00"),"")&amp;IF($C1542&gt;=6,", "&amp;$A1542&amp;"-"&amp;TEXT(($D1542-$C1542+1)+5,"00"),"")&amp;IF($C1542&gt;=7,", "&amp;$A1542&amp;"-"&amp;TEXT(($D1542-$C1542+1)+6,"00"),"")&amp;IF($C1542&gt;=8,", "&amp;$A1542&amp;"-"&amp;TEXT(($D1542-$C1542+1)+7,"00"),"")&amp;IF($C1542&gt;=9,", "&amp;$A1542&amp;"-"&amp;TEXT(($D1542-$C1542+1)+8,"00"),"")&amp;IF($C1542&gt;=10,", "&amp;$A1542&amp;"-"&amp;TEXT(($D1542-$C1542+1)+9,"00"),"")&amp;IF($C1542&gt;=11,", "&amp;$A1542&amp;"-"&amp;TEXT(($D1542-$C1542+1)+10,"00"),"")&amp;IF($C1542&gt;=12,", "&amp;$A1542&amp;"-"&amp;TEXT(($D1542-$C1542+1)+11,"00"),"")&amp;IF($C1542&gt;=13,", "&amp;$A1542&amp;"-"&amp;TEXT(($D1542-$C1542+1)+12,"00"),"")&amp;IF($C1542&gt;=14,", "&amp;$A1542&amp;"-"&amp;TEXT(($D1542-$C1542+1)+13,"00"),"")&amp;IF($C1542&gt;=15,", "&amp;$A1542&amp;"-"&amp;TEXT(($D1542-$C1542+1)+14,"00"),"")&amp;IF($C1542&gt;=16,", "&amp;$A1542&amp;"-"&amp;TEXT(($D1542-$C1542+1)+15,"00"),"")&amp;IF($C1542&gt;=17,", "&amp;$A1542&amp;"-"&amp;TEXT(($D1542-$C1542+1)+16,"00"),"")&amp;IF($C1542&gt;=18,", "&amp;$A1542&amp;"-"&amp;TEXT(($D1542-$C1542+1)+17,"00"),"")&amp;IF($C1542&gt;=19,", "&amp;$A1542&amp;"-"&amp;TEXT(($D1542-$C1542+1)+18,"00"),"")&amp;IF($C1542&gt;=20,", "&amp;$A1542&amp;"-"&amp;TEXT(($D1542-$C1542+1)+19,"00"),"")&amp;IF($C1542&gt;=21,", "&amp;$A1542&amp;"-"&amp;TEXT(($D1542-$C1542+1)+20,"00"),"")&amp;IF($C1542&gt;=22,", "&amp;$A1542&amp;"-"&amp;TEXT(($D1542-$C1542+1)+21,"00"),"")&amp;IF($C1542&gt;=23,", "&amp;$A1542&amp;"-"&amp;TEXT(($D1542-$C1542+1)+22,"00"),"")&amp;IF($C1542&gt;=24,", "&amp;$A1542&amp;"-"&amp;TEXT(($D1542-$C1542+1)+23,"00"),"")&amp;IF($C1542&gt;=25,", "&amp;$A1542&amp;"-"&amp;TEXT(($D1542-$C1542+1)+24,"00"),""))</f>
        <v/>
      </c>
      <c r="G1542">
        <f>IF($A1542="","",IF($E1542=1,$F1542,IF($F1542="",$G1541,IF($G1541="",$F1542,$G1541&amp;", "&amp;$F1542))))</f>
        <v/>
      </c>
      <c r="H1542">
        <f>IF($A1542="","",$A1542&amp;" ("&amp;$C1542&amp;")")</f>
        <v/>
      </c>
      <c r="I1542">
        <f>IF($A1542="","",IF($E1542=1,$H1542,$I1541&amp;", "&amp;$H1542))</f>
        <v/>
      </c>
      <c r="J1542">
        <f>IF($A1542="","",IF($E1542=1,$B1542,""))</f>
        <v/>
      </c>
      <c r="K1542">
        <f>IF($A1542="","",IF(COUNTIF($B$2:$B1542,$B1542)=COUNTIF($B$2:$B$1601,$B1542),$B1542,""))</f>
        <v/>
      </c>
    </row>
    <row r="1543">
      <c r="A1543">
        <f>IF('TMP Paste'!$E1543="","",'TMP Paste'!$E1543)</f>
        <v/>
      </c>
      <c r="B1543">
        <f>IF($A1543="","",COUNTIF('TMP Paste'!$B$2:$B1543,"?*"))</f>
        <v/>
      </c>
      <c r="C1543">
        <f>IF($A1543="","",IFERROR('TMP Paste'!$M1543*1,0))</f>
        <v/>
      </c>
      <c r="D1543">
        <f>IF($A1543="","",SUMIF($B$2:$B1543,$B1543,$C$2:$C1543))</f>
        <v/>
      </c>
      <c r="E1543">
        <f>IF($A1543="",0,IF('TMP Paste'!$B1543="",0,1))</f>
        <v/>
      </c>
      <c r="F1543">
        <f>IF(OR($A1543="",$C1543&lt;1),"",$A1543&amp;"-"&amp;TEXT(($D1543-$C1543+1),"00")&amp;IF($C1543&gt;=2,", "&amp;$A1543&amp;"-"&amp;TEXT(($D1543-$C1543+1)+1,"00"),"")&amp;IF($C1543&gt;=3,", "&amp;$A1543&amp;"-"&amp;TEXT(($D1543-$C1543+1)+2,"00"),"")&amp;IF($C1543&gt;=4,", "&amp;$A1543&amp;"-"&amp;TEXT(($D1543-$C1543+1)+3,"00"),"")&amp;IF($C1543&gt;=5,", "&amp;$A1543&amp;"-"&amp;TEXT(($D1543-$C1543+1)+4,"00"),"")&amp;IF($C1543&gt;=6,", "&amp;$A1543&amp;"-"&amp;TEXT(($D1543-$C1543+1)+5,"00"),"")&amp;IF($C1543&gt;=7,", "&amp;$A1543&amp;"-"&amp;TEXT(($D1543-$C1543+1)+6,"00"),"")&amp;IF($C1543&gt;=8,", "&amp;$A1543&amp;"-"&amp;TEXT(($D1543-$C1543+1)+7,"00"),"")&amp;IF($C1543&gt;=9,", "&amp;$A1543&amp;"-"&amp;TEXT(($D1543-$C1543+1)+8,"00"),"")&amp;IF($C1543&gt;=10,", "&amp;$A1543&amp;"-"&amp;TEXT(($D1543-$C1543+1)+9,"00"),"")&amp;IF($C1543&gt;=11,", "&amp;$A1543&amp;"-"&amp;TEXT(($D1543-$C1543+1)+10,"00"),"")&amp;IF($C1543&gt;=12,", "&amp;$A1543&amp;"-"&amp;TEXT(($D1543-$C1543+1)+11,"00"),"")&amp;IF($C1543&gt;=13,", "&amp;$A1543&amp;"-"&amp;TEXT(($D1543-$C1543+1)+12,"00"),"")&amp;IF($C1543&gt;=14,", "&amp;$A1543&amp;"-"&amp;TEXT(($D1543-$C1543+1)+13,"00"),"")&amp;IF($C1543&gt;=15,", "&amp;$A1543&amp;"-"&amp;TEXT(($D1543-$C1543+1)+14,"00"),"")&amp;IF($C1543&gt;=16,", "&amp;$A1543&amp;"-"&amp;TEXT(($D1543-$C1543+1)+15,"00"),"")&amp;IF($C1543&gt;=17,", "&amp;$A1543&amp;"-"&amp;TEXT(($D1543-$C1543+1)+16,"00"),"")&amp;IF($C1543&gt;=18,", "&amp;$A1543&amp;"-"&amp;TEXT(($D1543-$C1543+1)+17,"00"),"")&amp;IF($C1543&gt;=19,", "&amp;$A1543&amp;"-"&amp;TEXT(($D1543-$C1543+1)+18,"00"),"")&amp;IF($C1543&gt;=20,", "&amp;$A1543&amp;"-"&amp;TEXT(($D1543-$C1543+1)+19,"00"),"")&amp;IF($C1543&gt;=21,", "&amp;$A1543&amp;"-"&amp;TEXT(($D1543-$C1543+1)+20,"00"),"")&amp;IF($C1543&gt;=22,", "&amp;$A1543&amp;"-"&amp;TEXT(($D1543-$C1543+1)+21,"00"),"")&amp;IF($C1543&gt;=23,", "&amp;$A1543&amp;"-"&amp;TEXT(($D1543-$C1543+1)+22,"00"),"")&amp;IF($C1543&gt;=24,", "&amp;$A1543&amp;"-"&amp;TEXT(($D1543-$C1543+1)+23,"00"),"")&amp;IF($C1543&gt;=25,", "&amp;$A1543&amp;"-"&amp;TEXT(($D1543-$C1543+1)+24,"00"),""))</f>
        <v/>
      </c>
      <c r="G1543">
        <f>IF($A1543="","",IF($E1543=1,$F1543,IF($F1543="",$G1542,IF($G1542="",$F1543,$G1542&amp;", "&amp;$F1543))))</f>
        <v/>
      </c>
      <c r="H1543">
        <f>IF($A1543="","",$A1543&amp;" ("&amp;$C1543&amp;")")</f>
        <v/>
      </c>
      <c r="I1543">
        <f>IF($A1543="","",IF($E1543=1,$H1543,$I1542&amp;", "&amp;$H1543))</f>
        <v/>
      </c>
      <c r="J1543">
        <f>IF($A1543="","",IF($E1543=1,$B1543,""))</f>
        <v/>
      </c>
      <c r="K1543">
        <f>IF($A1543="","",IF(COUNTIF($B$2:$B1543,$B1543)=COUNTIF($B$2:$B$1601,$B1543),$B1543,""))</f>
        <v/>
      </c>
    </row>
    <row r="1544">
      <c r="A1544">
        <f>IF('TMP Paste'!$E1544="","",'TMP Paste'!$E1544)</f>
        <v/>
      </c>
      <c r="B1544">
        <f>IF($A1544="","",COUNTIF('TMP Paste'!$B$2:$B1544,"?*"))</f>
        <v/>
      </c>
      <c r="C1544">
        <f>IF($A1544="","",IFERROR('TMP Paste'!$M1544*1,0))</f>
        <v/>
      </c>
      <c r="D1544">
        <f>IF($A1544="","",SUMIF($B$2:$B1544,$B1544,$C$2:$C1544))</f>
        <v/>
      </c>
      <c r="E1544">
        <f>IF($A1544="",0,IF('TMP Paste'!$B1544="",0,1))</f>
        <v/>
      </c>
      <c r="F1544">
        <f>IF(OR($A1544="",$C1544&lt;1),"",$A1544&amp;"-"&amp;TEXT(($D1544-$C1544+1),"00")&amp;IF($C1544&gt;=2,", "&amp;$A1544&amp;"-"&amp;TEXT(($D1544-$C1544+1)+1,"00"),"")&amp;IF($C1544&gt;=3,", "&amp;$A1544&amp;"-"&amp;TEXT(($D1544-$C1544+1)+2,"00"),"")&amp;IF($C1544&gt;=4,", "&amp;$A1544&amp;"-"&amp;TEXT(($D1544-$C1544+1)+3,"00"),"")&amp;IF($C1544&gt;=5,", "&amp;$A1544&amp;"-"&amp;TEXT(($D1544-$C1544+1)+4,"00"),"")&amp;IF($C1544&gt;=6,", "&amp;$A1544&amp;"-"&amp;TEXT(($D1544-$C1544+1)+5,"00"),"")&amp;IF($C1544&gt;=7,", "&amp;$A1544&amp;"-"&amp;TEXT(($D1544-$C1544+1)+6,"00"),"")&amp;IF($C1544&gt;=8,", "&amp;$A1544&amp;"-"&amp;TEXT(($D1544-$C1544+1)+7,"00"),"")&amp;IF($C1544&gt;=9,", "&amp;$A1544&amp;"-"&amp;TEXT(($D1544-$C1544+1)+8,"00"),"")&amp;IF($C1544&gt;=10,", "&amp;$A1544&amp;"-"&amp;TEXT(($D1544-$C1544+1)+9,"00"),"")&amp;IF($C1544&gt;=11,", "&amp;$A1544&amp;"-"&amp;TEXT(($D1544-$C1544+1)+10,"00"),"")&amp;IF($C1544&gt;=12,", "&amp;$A1544&amp;"-"&amp;TEXT(($D1544-$C1544+1)+11,"00"),"")&amp;IF($C1544&gt;=13,", "&amp;$A1544&amp;"-"&amp;TEXT(($D1544-$C1544+1)+12,"00"),"")&amp;IF($C1544&gt;=14,", "&amp;$A1544&amp;"-"&amp;TEXT(($D1544-$C1544+1)+13,"00"),"")&amp;IF($C1544&gt;=15,", "&amp;$A1544&amp;"-"&amp;TEXT(($D1544-$C1544+1)+14,"00"),"")&amp;IF($C1544&gt;=16,", "&amp;$A1544&amp;"-"&amp;TEXT(($D1544-$C1544+1)+15,"00"),"")&amp;IF($C1544&gt;=17,", "&amp;$A1544&amp;"-"&amp;TEXT(($D1544-$C1544+1)+16,"00"),"")&amp;IF($C1544&gt;=18,", "&amp;$A1544&amp;"-"&amp;TEXT(($D1544-$C1544+1)+17,"00"),"")&amp;IF($C1544&gt;=19,", "&amp;$A1544&amp;"-"&amp;TEXT(($D1544-$C1544+1)+18,"00"),"")&amp;IF($C1544&gt;=20,", "&amp;$A1544&amp;"-"&amp;TEXT(($D1544-$C1544+1)+19,"00"),"")&amp;IF($C1544&gt;=21,", "&amp;$A1544&amp;"-"&amp;TEXT(($D1544-$C1544+1)+20,"00"),"")&amp;IF($C1544&gt;=22,", "&amp;$A1544&amp;"-"&amp;TEXT(($D1544-$C1544+1)+21,"00"),"")&amp;IF($C1544&gt;=23,", "&amp;$A1544&amp;"-"&amp;TEXT(($D1544-$C1544+1)+22,"00"),"")&amp;IF($C1544&gt;=24,", "&amp;$A1544&amp;"-"&amp;TEXT(($D1544-$C1544+1)+23,"00"),"")&amp;IF($C1544&gt;=25,", "&amp;$A1544&amp;"-"&amp;TEXT(($D1544-$C1544+1)+24,"00"),""))</f>
        <v/>
      </c>
      <c r="G1544">
        <f>IF($A1544="","",IF($E1544=1,$F1544,IF($F1544="",$G1543,IF($G1543="",$F1544,$G1543&amp;", "&amp;$F1544))))</f>
        <v/>
      </c>
      <c r="H1544">
        <f>IF($A1544="","",$A1544&amp;" ("&amp;$C1544&amp;")")</f>
        <v/>
      </c>
      <c r="I1544">
        <f>IF($A1544="","",IF($E1544=1,$H1544,$I1543&amp;", "&amp;$H1544))</f>
        <v/>
      </c>
      <c r="J1544">
        <f>IF($A1544="","",IF($E1544=1,$B1544,""))</f>
        <v/>
      </c>
      <c r="K1544">
        <f>IF($A1544="","",IF(COUNTIF($B$2:$B1544,$B1544)=COUNTIF($B$2:$B$1601,$B1544),$B1544,""))</f>
        <v/>
      </c>
    </row>
    <row r="1545">
      <c r="A1545">
        <f>IF('TMP Paste'!$E1545="","",'TMP Paste'!$E1545)</f>
        <v/>
      </c>
      <c r="B1545">
        <f>IF($A1545="","",COUNTIF('TMP Paste'!$B$2:$B1545,"?*"))</f>
        <v/>
      </c>
      <c r="C1545">
        <f>IF($A1545="","",IFERROR('TMP Paste'!$M1545*1,0))</f>
        <v/>
      </c>
      <c r="D1545">
        <f>IF($A1545="","",SUMIF($B$2:$B1545,$B1545,$C$2:$C1545))</f>
        <v/>
      </c>
      <c r="E1545">
        <f>IF($A1545="",0,IF('TMP Paste'!$B1545="",0,1))</f>
        <v/>
      </c>
      <c r="F1545">
        <f>IF(OR($A1545="",$C1545&lt;1),"",$A1545&amp;"-"&amp;TEXT(($D1545-$C1545+1),"00")&amp;IF($C1545&gt;=2,", "&amp;$A1545&amp;"-"&amp;TEXT(($D1545-$C1545+1)+1,"00"),"")&amp;IF($C1545&gt;=3,", "&amp;$A1545&amp;"-"&amp;TEXT(($D1545-$C1545+1)+2,"00"),"")&amp;IF($C1545&gt;=4,", "&amp;$A1545&amp;"-"&amp;TEXT(($D1545-$C1545+1)+3,"00"),"")&amp;IF($C1545&gt;=5,", "&amp;$A1545&amp;"-"&amp;TEXT(($D1545-$C1545+1)+4,"00"),"")&amp;IF($C1545&gt;=6,", "&amp;$A1545&amp;"-"&amp;TEXT(($D1545-$C1545+1)+5,"00"),"")&amp;IF($C1545&gt;=7,", "&amp;$A1545&amp;"-"&amp;TEXT(($D1545-$C1545+1)+6,"00"),"")&amp;IF($C1545&gt;=8,", "&amp;$A1545&amp;"-"&amp;TEXT(($D1545-$C1545+1)+7,"00"),"")&amp;IF($C1545&gt;=9,", "&amp;$A1545&amp;"-"&amp;TEXT(($D1545-$C1545+1)+8,"00"),"")&amp;IF($C1545&gt;=10,", "&amp;$A1545&amp;"-"&amp;TEXT(($D1545-$C1545+1)+9,"00"),"")&amp;IF($C1545&gt;=11,", "&amp;$A1545&amp;"-"&amp;TEXT(($D1545-$C1545+1)+10,"00"),"")&amp;IF($C1545&gt;=12,", "&amp;$A1545&amp;"-"&amp;TEXT(($D1545-$C1545+1)+11,"00"),"")&amp;IF($C1545&gt;=13,", "&amp;$A1545&amp;"-"&amp;TEXT(($D1545-$C1545+1)+12,"00"),"")&amp;IF($C1545&gt;=14,", "&amp;$A1545&amp;"-"&amp;TEXT(($D1545-$C1545+1)+13,"00"),"")&amp;IF($C1545&gt;=15,", "&amp;$A1545&amp;"-"&amp;TEXT(($D1545-$C1545+1)+14,"00"),"")&amp;IF($C1545&gt;=16,", "&amp;$A1545&amp;"-"&amp;TEXT(($D1545-$C1545+1)+15,"00"),"")&amp;IF($C1545&gt;=17,", "&amp;$A1545&amp;"-"&amp;TEXT(($D1545-$C1545+1)+16,"00"),"")&amp;IF($C1545&gt;=18,", "&amp;$A1545&amp;"-"&amp;TEXT(($D1545-$C1545+1)+17,"00"),"")&amp;IF($C1545&gt;=19,", "&amp;$A1545&amp;"-"&amp;TEXT(($D1545-$C1545+1)+18,"00"),"")&amp;IF($C1545&gt;=20,", "&amp;$A1545&amp;"-"&amp;TEXT(($D1545-$C1545+1)+19,"00"),"")&amp;IF($C1545&gt;=21,", "&amp;$A1545&amp;"-"&amp;TEXT(($D1545-$C1545+1)+20,"00"),"")&amp;IF($C1545&gt;=22,", "&amp;$A1545&amp;"-"&amp;TEXT(($D1545-$C1545+1)+21,"00"),"")&amp;IF($C1545&gt;=23,", "&amp;$A1545&amp;"-"&amp;TEXT(($D1545-$C1545+1)+22,"00"),"")&amp;IF($C1545&gt;=24,", "&amp;$A1545&amp;"-"&amp;TEXT(($D1545-$C1545+1)+23,"00"),"")&amp;IF($C1545&gt;=25,", "&amp;$A1545&amp;"-"&amp;TEXT(($D1545-$C1545+1)+24,"00"),""))</f>
        <v/>
      </c>
      <c r="G1545">
        <f>IF($A1545="","",IF($E1545=1,$F1545,IF($F1545="",$G1544,IF($G1544="",$F1545,$G1544&amp;", "&amp;$F1545))))</f>
        <v/>
      </c>
      <c r="H1545">
        <f>IF($A1545="","",$A1545&amp;" ("&amp;$C1545&amp;")")</f>
        <v/>
      </c>
      <c r="I1545">
        <f>IF($A1545="","",IF($E1545=1,$H1545,$I1544&amp;", "&amp;$H1545))</f>
        <v/>
      </c>
      <c r="J1545">
        <f>IF($A1545="","",IF($E1545=1,$B1545,""))</f>
        <v/>
      </c>
      <c r="K1545">
        <f>IF($A1545="","",IF(COUNTIF($B$2:$B1545,$B1545)=COUNTIF($B$2:$B$1601,$B1545),$B1545,""))</f>
        <v/>
      </c>
    </row>
    <row r="1546">
      <c r="A1546">
        <f>IF('TMP Paste'!$E1546="","",'TMP Paste'!$E1546)</f>
        <v/>
      </c>
      <c r="B1546">
        <f>IF($A1546="","",COUNTIF('TMP Paste'!$B$2:$B1546,"?*"))</f>
        <v/>
      </c>
      <c r="C1546">
        <f>IF($A1546="","",IFERROR('TMP Paste'!$M1546*1,0))</f>
        <v/>
      </c>
      <c r="D1546">
        <f>IF($A1546="","",SUMIF($B$2:$B1546,$B1546,$C$2:$C1546))</f>
        <v/>
      </c>
      <c r="E1546">
        <f>IF($A1546="",0,IF('TMP Paste'!$B1546="",0,1))</f>
        <v/>
      </c>
      <c r="F1546">
        <f>IF(OR($A1546="",$C1546&lt;1),"",$A1546&amp;"-"&amp;TEXT(($D1546-$C1546+1),"00")&amp;IF($C1546&gt;=2,", "&amp;$A1546&amp;"-"&amp;TEXT(($D1546-$C1546+1)+1,"00"),"")&amp;IF($C1546&gt;=3,", "&amp;$A1546&amp;"-"&amp;TEXT(($D1546-$C1546+1)+2,"00"),"")&amp;IF($C1546&gt;=4,", "&amp;$A1546&amp;"-"&amp;TEXT(($D1546-$C1546+1)+3,"00"),"")&amp;IF($C1546&gt;=5,", "&amp;$A1546&amp;"-"&amp;TEXT(($D1546-$C1546+1)+4,"00"),"")&amp;IF($C1546&gt;=6,", "&amp;$A1546&amp;"-"&amp;TEXT(($D1546-$C1546+1)+5,"00"),"")&amp;IF($C1546&gt;=7,", "&amp;$A1546&amp;"-"&amp;TEXT(($D1546-$C1546+1)+6,"00"),"")&amp;IF($C1546&gt;=8,", "&amp;$A1546&amp;"-"&amp;TEXT(($D1546-$C1546+1)+7,"00"),"")&amp;IF($C1546&gt;=9,", "&amp;$A1546&amp;"-"&amp;TEXT(($D1546-$C1546+1)+8,"00"),"")&amp;IF($C1546&gt;=10,", "&amp;$A1546&amp;"-"&amp;TEXT(($D1546-$C1546+1)+9,"00"),"")&amp;IF($C1546&gt;=11,", "&amp;$A1546&amp;"-"&amp;TEXT(($D1546-$C1546+1)+10,"00"),"")&amp;IF($C1546&gt;=12,", "&amp;$A1546&amp;"-"&amp;TEXT(($D1546-$C1546+1)+11,"00"),"")&amp;IF($C1546&gt;=13,", "&amp;$A1546&amp;"-"&amp;TEXT(($D1546-$C1546+1)+12,"00"),"")&amp;IF($C1546&gt;=14,", "&amp;$A1546&amp;"-"&amp;TEXT(($D1546-$C1546+1)+13,"00"),"")&amp;IF($C1546&gt;=15,", "&amp;$A1546&amp;"-"&amp;TEXT(($D1546-$C1546+1)+14,"00"),"")&amp;IF($C1546&gt;=16,", "&amp;$A1546&amp;"-"&amp;TEXT(($D1546-$C1546+1)+15,"00"),"")&amp;IF($C1546&gt;=17,", "&amp;$A1546&amp;"-"&amp;TEXT(($D1546-$C1546+1)+16,"00"),"")&amp;IF($C1546&gt;=18,", "&amp;$A1546&amp;"-"&amp;TEXT(($D1546-$C1546+1)+17,"00"),"")&amp;IF($C1546&gt;=19,", "&amp;$A1546&amp;"-"&amp;TEXT(($D1546-$C1546+1)+18,"00"),"")&amp;IF($C1546&gt;=20,", "&amp;$A1546&amp;"-"&amp;TEXT(($D1546-$C1546+1)+19,"00"),"")&amp;IF($C1546&gt;=21,", "&amp;$A1546&amp;"-"&amp;TEXT(($D1546-$C1546+1)+20,"00"),"")&amp;IF($C1546&gt;=22,", "&amp;$A1546&amp;"-"&amp;TEXT(($D1546-$C1546+1)+21,"00"),"")&amp;IF($C1546&gt;=23,", "&amp;$A1546&amp;"-"&amp;TEXT(($D1546-$C1546+1)+22,"00"),"")&amp;IF($C1546&gt;=24,", "&amp;$A1546&amp;"-"&amp;TEXT(($D1546-$C1546+1)+23,"00"),"")&amp;IF($C1546&gt;=25,", "&amp;$A1546&amp;"-"&amp;TEXT(($D1546-$C1546+1)+24,"00"),""))</f>
        <v/>
      </c>
      <c r="G1546">
        <f>IF($A1546="","",IF($E1546=1,$F1546,IF($F1546="",$G1545,IF($G1545="",$F1546,$G1545&amp;", "&amp;$F1546))))</f>
        <v/>
      </c>
      <c r="H1546">
        <f>IF($A1546="","",$A1546&amp;" ("&amp;$C1546&amp;")")</f>
        <v/>
      </c>
      <c r="I1546">
        <f>IF($A1546="","",IF($E1546=1,$H1546,$I1545&amp;", "&amp;$H1546))</f>
        <v/>
      </c>
      <c r="J1546">
        <f>IF($A1546="","",IF($E1546=1,$B1546,""))</f>
        <v/>
      </c>
      <c r="K1546">
        <f>IF($A1546="","",IF(COUNTIF($B$2:$B1546,$B1546)=COUNTIF($B$2:$B$1601,$B1546),$B1546,""))</f>
        <v/>
      </c>
    </row>
    <row r="1547">
      <c r="A1547">
        <f>IF('TMP Paste'!$E1547="","",'TMP Paste'!$E1547)</f>
        <v/>
      </c>
      <c r="B1547">
        <f>IF($A1547="","",COUNTIF('TMP Paste'!$B$2:$B1547,"?*"))</f>
        <v/>
      </c>
      <c r="C1547">
        <f>IF($A1547="","",IFERROR('TMP Paste'!$M1547*1,0))</f>
        <v/>
      </c>
      <c r="D1547">
        <f>IF($A1547="","",SUMIF($B$2:$B1547,$B1547,$C$2:$C1547))</f>
        <v/>
      </c>
      <c r="E1547">
        <f>IF($A1547="",0,IF('TMP Paste'!$B1547="",0,1))</f>
        <v/>
      </c>
      <c r="F1547">
        <f>IF(OR($A1547="",$C1547&lt;1),"",$A1547&amp;"-"&amp;TEXT(($D1547-$C1547+1),"00")&amp;IF($C1547&gt;=2,", "&amp;$A1547&amp;"-"&amp;TEXT(($D1547-$C1547+1)+1,"00"),"")&amp;IF($C1547&gt;=3,", "&amp;$A1547&amp;"-"&amp;TEXT(($D1547-$C1547+1)+2,"00"),"")&amp;IF($C1547&gt;=4,", "&amp;$A1547&amp;"-"&amp;TEXT(($D1547-$C1547+1)+3,"00"),"")&amp;IF($C1547&gt;=5,", "&amp;$A1547&amp;"-"&amp;TEXT(($D1547-$C1547+1)+4,"00"),"")&amp;IF($C1547&gt;=6,", "&amp;$A1547&amp;"-"&amp;TEXT(($D1547-$C1547+1)+5,"00"),"")&amp;IF($C1547&gt;=7,", "&amp;$A1547&amp;"-"&amp;TEXT(($D1547-$C1547+1)+6,"00"),"")&amp;IF($C1547&gt;=8,", "&amp;$A1547&amp;"-"&amp;TEXT(($D1547-$C1547+1)+7,"00"),"")&amp;IF($C1547&gt;=9,", "&amp;$A1547&amp;"-"&amp;TEXT(($D1547-$C1547+1)+8,"00"),"")&amp;IF($C1547&gt;=10,", "&amp;$A1547&amp;"-"&amp;TEXT(($D1547-$C1547+1)+9,"00"),"")&amp;IF($C1547&gt;=11,", "&amp;$A1547&amp;"-"&amp;TEXT(($D1547-$C1547+1)+10,"00"),"")&amp;IF($C1547&gt;=12,", "&amp;$A1547&amp;"-"&amp;TEXT(($D1547-$C1547+1)+11,"00"),"")&amp;IF($C1547&gt;=13,", "&amp;$A1547&amp;"-"&amp;TEXT(($D1547-$C1547+1)+12,"00"),"")&amp;IF($C1547&gt;=14,", "&amp;$A1547&amp;"-"&amp;TEXT(($D1547-$C1547+1)+13,"00"),"")&amp;IF($C1547&gt;=15,", "&amp;$A1547&amp;"-"&amp;TEXT(($D1547-$C1547+1)+14,"00"),"")&amp;IF($C1547&gt;=16,", "&amp;$A1547&amp;"-"&amp;TEXT(($D1547-$C1547+1)+15,"00"),"")&amp;IF($C1547&gt;=17,", "&amp;$A1547&amp;"-"&amp;TEXT(($D1547-$C1547+1)+16,"00"),"")&amp;IF($C1547&gt;=18,", "&amp;$A1547&amp;"-"&amp;TEXT(($D1547-$C1547+1)+17,"00"),"")&amp;IF($C1547&gt;=19,", "&amp;$A1547&amp;"-"&amp;TEXT(($D1547-$C1547+1)+18,"00"),"")&amp;IF($C1547&gt;=20,", "&amp;$A1547&amp;"-"&amp;TEXT(($D1547-$C1547+1)+19,"00"),"")&amp;IF($C1547&gt;=21,", "&amp;$A1547&amp;"-"&amp;TEXT(($D1547-$C1547+1)+20,"00"),"")&amp;IF($C1547&gt;=22,", "&amp;$A1547&amp;"-"&amp;TEXT(($D1547-$C1547+1)+21,"00"),"")&amp;IF($C1547&gt;=23,", "&amp;$A1547&amp;"-"&amp;TEXT(($D1547-$C1547+1)+22,"00"),"")&amp;IF($C1547&gt;=24,", "&amp;$A1547&amp;"-"&amp;TEXT(($D1547-$C1547+1)+23,"00"),"")&amp;IF($C1547&gt;=25,", "&amp;$A1547&amp;"-"&amp;TEXT(($D1547-$C1547+1)+24,"00"),""))</f>
        <v/>
      </c>
      <c r="G1547">
        <f>IF($A1547="","",IF($E1547=1,$F1547,IF($F1547="",$G1546,IF($G1546="",$F1547,$G1546&amp;", "&amp;$F1547))))</f>
        <v/>
      </c>
      <c r="H1547">
        <f>IF($A1547="","",$A1547&amp;" ("&amp;$C1547&amp;")")</f>
        <v/>
      </c>
      <c r="I1547">
        <f>IF($A1547="","",IF($E1547=1,$H1547,$I1546&amp;", "&amp;$H1547))</f>
        <v/>
      </c>
      <c r="J1547">
        <f>IF($A1547="","",IF($E1547=1,$B1547,""))</f>
        <v/>
      </c>
      <c r="K1547">
        <f>IF($A1547="","",IF(COUNTIF($B$2:$B1547,$B1547)=COUNTIF($B$2:$B$1601,$B1547),$B1547,""))</f>
        <v/>
      </c>
    </row>
    <row r="1548">
      <c r="A1548">
        <f>IF('TMP Paste'!$E1548="","",'TMP Paste'!$E1548)</f>
        <v/>
      </c>
      <c r="B1548">
        <f>IF($A1548="","",COUNTIF('TMP Paste'!$B$2:$B1548,"?*"))</f>
        <v/>
      </c>
      <c r="C1548">
        <f>IF($A1548="","",IFERROR('TMP Paste'!$M1548*1,0))</f>
        <v/>
      </c>
      <c r="D1548">
        <f>IF($A1548="","",SUMIF($B$2:$B1548,$B1548,$C$2:$C1548))</f>
        <v/>
      </c>
      <c r="E1548">
        <f>IF($A1548="",0,IF('TMP Paste'!$B1548="",0,1))</f>
        <v/>
      </c>
      <c r="F1548">
        <f>IF(OR($A1548="",$C1548&lt;1),"",$A1548&amp;"-"&amp;TEXT(($D1548-$C1548+1),"00")&amp;IF($C1548&gt;=2,", "&amp;$A1548&amp;"-"&amp;TEXT(($D1548-$C1548+1)+1,"00"),"")&amp;IF($C1548&gt;=3,", "&amp;$A1548&amp;"-"&amp;TEXT(($D1548-$C1548+1)+2,"00"),"")&amp;IF($C1548&gt;=4,", "&amp;$A1548&amp;"-"&amp;TEXT(($D1548-$C1548+1)+3,"00"),"")&amp;IF($C1548&gt;=5,", "&amp;$A1548&amp;"-"&amp;TEXT(($D1548-$C1548+1)+4,"00"),"")&amp;IF($C1548&gt;=6,", "&amp;$A1548&amp;"-"&amp;TEXT(($D1548-$C1548+1)+5,"00"),"")&amp;IF($C1548&gt;=7,", "&amp;$A1548&amp;"-"&amp;TEXT(($D1548-$C1548+1)+6,"00"),"")&amp;IF($C1548&gt;=8,", "&amp;$A1548&amp;"-"&amp;TEXT(($D1548-$C1548+1)+7,"00"),"")&amp;IF($C1548&gt;=9,", "&amp;$A1548&amp;"-"&amp;TEXT(($D1548-$C1548+1)+8,"00"),"")&amp;IF($C1548&gt;=10,", "&amp;$A1548&amp;"-"&amp;TEXT(($D1548-$C1548+1)+9,"00"),"")&amp;IF($C1548&gt;=11,", "&amp;$A1548&amp;"-"&amp;TEXT(($D1548-$C1548+1)+10,"00"),"")&amp;IF($C1548&gt;=12,", "&amp;$A1548&amp;"-"&amp;TEXT(($D1548-$C1548+1)+11,"00"),"")&amp;IF($C1548&gt;=13,", "&amp;$A1548&amp;"-"&amp;TEXT(($D1548-$C1548+1)+12,"00"),"")&amp;IF($C1548&gt;=14,", "&amp;$A1548&amp;"-"&amp;TEXT(($D1548-$C1548+1)+13,"00"),"")&amp;IF($C1548&gt;=15,", "&amp;$A1548&amp;"-"&amp;TEXT(($D1548-$C1548+1)+14,"00"),"")&amp;IF($C1548&gt;=16,", "&amp;$A1548&amp;"-"&amp;TEXT(($D1548-$C1548+1)+15,"00"),"")&amp;IF($C1548&gt;=17,", "&amp;$A1548&amp;"-"&amp;TEXT(($D1548-$C1548+1)+16,"00"),"")&amp;IF($C1548&gt;=18,", "&amp;$A1548&amp;"-"&amp;TEXT(($D1548-$C1548+1)+17,"00"),"")&amp;IF($C1548&gt;=19,", "&amp;$A1548&amp;"-"&amp;TEXT(($D1548-$C1548+1)+18,"00"),"")&amp;IF($C1548&gt;=20,", "&amp;$A1548&amp;"-"&amp;TEXT(($D1548-$C1548+1)+19,"00"),"")&amp;IF($C1548&gt;=21,", "&amp;$A1548&amp;"-"&amp;TEXT(($D1548-$C1548+1)+20,"00"),"")&amp;IF($C1548&gt;=22,", "&amp;$A1548&amp;"-"&amp;TEXT(($D1548-$C1548+1)+21,"00"),"")&amp;IF($C1548&gt;=23,", "&amp;$A1548&amp;"-"&amp;TEXT(($D1548-$C1548+1)+22,"00"),"")&amp;IF($C1548&gt;=24,", "&amp;$A1548&amp;"-"&amp;TEXT(($D1548-$C1548+1)+23,"00"),"")&amp;IF($C1548&gt;=25,", "&amp;$A1548&amp;"-"&amp;TEXT(($D1548-$C1548+1)+24,"00"),""))</f>
        <v/>
      </c>
      <c r="G1548">
        <f>IF($A1548="","",IF($E1548=1,$F1548,IF($F1548="",$G1547,IF($G1547="",$F1548,$G1547&amp;", "&amp;$F1548))))</f>
        <v/>
      </c>
      <c r="H1548">
        <f>IF($A1548="","",$A1548&amp;" ("&amp;$C1548&amp;")")</f>
        <v/>
      </c>
      <c r="I1548">
        <f>IF($A1548="","",IF($E1548=1,$H1548,$I1547&amp;", "&amp;$H1548))</f>
        <v/>
      </c>
      <c r="J1548">
        <f>IF($A1548="","",IF($E1548=1,$B1548,""))</f>
        <v/>
      </c>
      <c r="K1548">
        <f>IF($A1548="","",IF(COUNTIF($B$2:$B1548,$B1548)=COUNTIF($B$2:$B$1601,$B1548),$B1548,""))</f>
        <v/>
      </c>
    </row>
    <row r="1549">
      <c r="A1549">
        <f>IF('TMP Paste'!$E1549="","",'TMP Paste'!$E1549)</f>
        <v/>
      </c>
      <c r="B1549">
        <f>IF($A1549="","",COUNTIF('TMP Paste'!$B$2:$B1549,"?*"))</f>
        <v/>
      </c>
      <c r="C1549">
        <f>IF($A1549="","",IFERROR('TMP Paste'!$M1549*1,0))</f>
        <v/>
      </c>
      <c r="D1549">
        <f>IF($A1549="","",SUMIF($B$2:$B1549,$B1549,$C$2:$C1549))</f>
        <v/>
      </c>
      <c r="E1549">
        <f>IF($A1549="",0,IF('TMP Paste'!$B1549="",0,1))</f>
        <v/>
      </c>
      <c r="F1549">
        <f>IF(OR($A1549="",$C1549&lt;1),"",$A1549&amp;"-"&amp;TEXT(($D1549-$C1549+1),"00")&amp;IF($C1549&gt;=2,", "&amp;$A1549&amp;"-"&amp;TEXT(($D1549-$C1549+1)+1,"00"),"")&amp;IF($C1549&gt;=3,", "&amp;$A1549&amp;"-"&amp;TEXT(($D1549-$C1549+1)+2,"00"),"")&amp;IF($C1549&gt;=4,", "&amp;$A1549&amp;"-"&amp;TEXT(($D1549-$C1549+1)+3,"00"),"")&amp;IF($C1549&gt;=5,", "&amp;$A1549&amp;"-"&amp;TEXT(($D1549-$C1549+1)+4,"00"),"")&amp;IF($C1549&gt;=6,", "&amp;$A1549&amp;"-"&amp;TEXT(($D1549-$C1549+1)+5,"00"),"")&amp;IF($C1549&gt;=7,", "&amp;$A1549&amp;"-"&amp;TEXT(($D1549-$C1549+1)+6,"00"),"")&amp;IF($C1549&gt;=8,", "&amp;$A1549&amp;"-"&amp;TEXT(($D1549-$C1549+1)+7,"00"),"")&amp;IF($C1549&gt;=9,", "&amp;$A1549&amp;"-"&amp;TEXT(($D1549-$C1549+1)+8,"00"),"")&amp;IF($C1549&gt;=10,", "&amp;$A1549&amp;"-"&amp;TEXT(($D1549-$C1549+1)+9,"00"),"")&amp;IF($C1549&gt;=11,", "&amp;$A1549&amp;"-"&amp;TEXT(($D1549-$C1549+1)+10,"00"),"")&amp;IF($C1549&gt;=12,", "&amp;$A1549&amp;"-"&amp;TEXT(($D1549-$C1549+1)+11,"00"),"")&amp;IF($C1549&gt;=13,", "&amp;$A1549&amp;"-"&amp;TEXT(($D1549-$C1549+1)+12,"00"),"")&amp;IF($C1549&gt;=14,", "&amp;$A1549&amp;"-"&amp;TEXT(($D1549-$C1549+1)+13,"00"),"")&amp;IF($C1549&gt;=15,", "&amp;$A1549&amp;"-"&amp;TEXT(($D1549-$C1549+1)+14,"00"),"")&amp;IF($C1549&gt;=16,", "&amp;$A1549&amp;"-"&amp;TEXT(($D1549-$C1549+1)+15,"00"),"")&amp;IF($C1549&gt;=17,", "&amp;$A1549&amp;"-"&amp;TEXT(($D1549-$C1549+1)+16,"00"),"")&amp;IF($C1549&gt;=18,", "&amp;$A1549&amp;"-"&amp;TEXT(($D1549-$C1549+1)+17,"00"),"")&amp;IF($C1549&gt;=19,", "&amp;$A1549&amp;"-"&amp;TEXT(($D1549-$C1549+1)+18,"00"),"")&amp;IF($C1549&gt;=20,", "&amp;$A1549&amp;"-"&amp;TEXT(($D1549-$C1549+1)+19,"00"),"")&amp;IF($C1549&gt;=21,", "&amp;$A1549&amp;"-"&amp;TEXT(($D1549-$C1549+1)+20,"00"),"")&amp;IF($C1549&gt;=22,", "&amp;$A1549&amp;"-"&amp;TEXT(($D1549-$C1549+1)+21,"00"),"")&amp;IF($C1549&gt;=23,", "&amp;$A1549&amp;"-"&amp;TEXT(($D1549-$C1549+1)+22,"00"),"")&amp;IF($C1549&gt;=24,", "&amp;$A1549&amp;"-"&amp;TEXT(($D1549-$C1549+1)+23,"00"),"")&amp;IF($C1549&gt;=25,", "&amp;$A1549&amp;"-"&amp;TEXT(($D1549-$C1549+1)+24,"00"),""))</f>
        <v/>
      </c>
      <c r="G1549">
        <f>IF($A1549="","",IF($E1549=1,$F1549,IF($F1549="",$G1548,IF($G1548="",$F1549,$G1548&amp;", "&amp;$F1549))))</f>
        <v/>
      </c>
      <c r="H1549">
        <f>IF($A1549="","",$A1549&amp;" ("&amp;$C1549&amp;")")</f>
        <v/>
      </c>
      <c r="I1549">
        <f>IF($A1549="","",IF($E1549=1,$H1549,$I1548&amp;", "&amp;$H1549))</f>
        <v/>
      </c>
      <c r="J1549">
        <f>IF($A1549="","",IF($E1549=1,$B1549,""))</f>
        <v/>
      </c>
      <c r="K1549">
        <f>IF($A1549="","",IF(COUNTIF($B$2:$B1549,$B1549)=COUNTIF($B$2:$B$1601,$B1549),$B1549,""))</f>
        <v/>
      </c>
    </row>
    <row r="1550">
      <c r="A1550">
        <f>IF('TMP Paste'!$E1550="","",'TMP Paste'!$E1550)</f>
        <v/>
      </c>
      <c r="B1550">
        <f>IF($A1550="","",COUNTIF('TMP Paste'!$B$2:$B1550,"?*"))</f>
        <v/>
      </c>
      <c r="C1550">
        <f>IF($A1550="","",IFERROR('TMP Paste'!$M1550*1,0))</f>
        <v/>
      </c>
      <c r="D1550">
        <f>IF($A1550="","",SUMIF($B$2:$B1550,$B1550,$C$2:$C1550))</f>
        <v/>
      </c>
      <c r="E1550">
        <f>IF($A1550="",0,IF('TMP Paste'!$B1550="",0,1))</f>
        <v/>
      </c>
      <c r="F1550">
        <f>IF(OR($A1550="",$C1550&lt;1),"",$A1550&amp;"-"&amp;TEXT(($D1550-$C1550+1),"00")&amp;IF($C1550&gt;=2,", "&amp;$A1550&amp;"-"&amp;TEXT(($D1550-$C1550+1)+1,"00"),"")&amp;IF($C1550&gt;=3,", "&amp;$A1550&amp;"-"&amp;TEXT(($D1550-$C1550+1)+2,"00"),"")&amp;IF($C1550&gt;=4,", "&amp;$A1550&amp;"-"&amp;TEXT(($D1550-$C1550+1)+3,"00"),"")&amp;IF($C1550&gt;=5,", "&amp;$A1550&amp;"-"&amp;TEXT(($D1550-$C1550+1)+4,"00"),"")&amp;IF($C1550&gt;=6,", "&amp;$A1550&amp;"-"&amp;TEXT(($D1550-$C1550+1)+5,"00"),"")&amp;IF($C1550&gt;=7,", "&amp;$A1550&amp;"-"&amp;TEXT(($D1550-$C1550+1)+6,"00"),"")&amp;IF($C1550&gt;=8,", "&amp;$A1550&amp;"-"&amp;TEXT(($D1550-$C1550+1)+7,"00"),"")&amp;IF($C1550&gt;=9,", "&amp;$A1550&amp;"-"&amp;TEXT(($D1550-$C1550+1)+8,"00"),"")&amp;IF($C1550&gt;=10,", "&amp;$A1550&amp;"-"&amp;TEXT(($D1550-$C1550+1)+9,"00"),"")&amp;IF($C1550&gt;=11,", "&amp;$A1550&amp;"-"&amp;TEXT(($D1550-$C1550+1)+10,"00"),"")&amp;IF($C1550&gt;=12,", "&amp;$A1550&amp;"-"&amp;TEXT(($D1550-$C1550+1)+11,"00"),"")&amp;IF($C1550&gt;=13,", "&amp;$A1550&amp;"-"&amp;TEXT(($D1550-$C1550+1)+12,"00"),"")&amp;IF($C1550&gt;=14,", "&amp;$A1550&amp;"-"&amp;TEXT(($D1550-$C1550+1)+13,"00"),"")&amp;IF($C1550&gt;=15,", "&amp;$A1550&amp;"-"&amp;TEXT(($D1550-$C1550+1)+14,"00"),"")&amp;IF($C1550&gt;=16,", "&amp;$A1550&amp;"-"&amp;TEXT(($D1550-$C1550+1)+15,"00"),"")&amp;IF($C1550&gt;=17,", "&amp;$A1550&amp;"-"&amp;TEXT(($D1550-$C1550+1)+16,"00"),"")&amp;IF($C1550&gt;=18,", "&amp;$A1550&amp;"-"&amp;TEXT(($D1550-$C1550+1)+17,"00"),"")&amp;IF($C1550&gt;=19,", "&amp;$A1550&amp;"-"&amp;TEXT(($D1550-$C1550+1)+18,"00"),"")&amp;IF($C1550&gt;=20,", "&amp;$A1550&amp;"-"&amp;TEXT(($D1550-$C1550+1)+19,"00"),"")&amp;IF($C1550&gt;=21,", "&amp;$A1550&amp;"-"&amp;TEXT(($D1550-$C1550+1)+20,"00"),"")&amp;IF($C1550&gt;=22,", "&amp;$A1550&amp;"-"&amp;TEXT(($D1550-$C1550+1)+21,"00"),"")&amp;IF($C1550&gt;=23,", "&amp;$A1550&amp;"-"&amp;TEXT(($D1550-$C1550+1)+22,"00"),"")&amp;IF($C1550&gt;=24,", "&amp;$A1550&amp;"-"&amp;TEXT(($D1550-$C1550+1)+23,"00"),"")&amp;IF($C1550&gt;=25,", "&amp;$A1550&amp;"-"&amp;TEXT(($D1550-$C1550+1)+24,"00"),""))</f>
        <v/>
      </c>
      <c r="G1550">
        <f>IF($A1550="","",IF($E1550=1,$F1550,IF($F1550="",$G1549,IF($G1549="",$F1550,$G1549&amp;", "&amp;$F1550))))</f>
        <v/>
      </c>
      <c r="H1550">
        <f>IF($A1550="","",$A1550&amp;" ("&amp;$C1550&amp;")")</f>
        <v/>
      </c>
      <c r="I1550">
        <f>IF($A1550="","",IF($E1550=1,$H1550,$I1549&amp;", "&amp;$H1550))</f>
        <v/>
      </c>
      <c r="J1550">
        <f>IF($A1550="","",IF($E1550=1,$B1550,""))</f>
        <v/>
      </c>
      <c r="K1550">
        <f>IF($A1550="","",IF(COUNTIF($B$2:$B1550,$B1550)=COUNTIF($B$2:$B$1601,$B1550),$B1550,""))</f>
        <v/>
      </c>
    </row>
    <row r="1551">
      <c r="A1551">
        <f>IF('TMP Paste'!$E1551="","",'TMP Paste'!$E1551)</f>
        <v/>
      </c>
      <c r="B1551">
        <f>IF($A1551="","",COUNTIF('TMP Paste'!$B$2:$B1551,"?*"))</f>
        <v/>
      </c>
      <c r="C1551">
        <f>IF($A1551="","",IFERROR('TMP Paste'!$M1551*1,0))</f>
        <v/>
      </c>
      <c r="D1551">
        <f>IF($A1551="","",SUMIF($B$2:$B1551,$B1551,$C$2:$C1551))</f>
        <v/>
      </c>
      <c r="E1551">
        <f>IF($A1551="",0,IF('TMP Paste'!$B1551="",0,1))</f>
        <v/>
      </c>
      <c r="F1551">
        <f>IF(OR($A1551="",$C1551&lt;1),"",$A1551&amp;"-"&amp;TEXT(($D1551-$C1551+1),"00")&amp;IF($C1551&gt;=2,", "&amp;$A1551&amp;"-"&amp;TEXT(($D1551-$C1551+1)+1,"00"),"")&amp;IF($C1551&gt;=3,", "&amp;$A1551&amp;"-"&amp;TEXT(($D1551-$C1551+1)+2,"00"),"")&amp;IF($C1551&gt;=4,", "&amp;$A1551&amp;"-"&amp;TEXT(($D1551-$C1551+1)+3,"00"),"")&amp;IF($C1551&gt;=5,", "&amp;$A1551&amp;"-"&amp;TEXT(($D1551-$C1551+1)+4,"00"),"")&amp;IF($C1551&gt;=6,", "&amp;$A1551&amp;"-"&amp;TEXT(($D1551-$C1551+1)+5,"00"),"")&amp;IF($C1551&gt;=7,", "&amp;$A1551&amp;"-"&amp;TEXT(($D1551-$C1551+1)+6,"00"),"")&amp;IF($C1551&gt;=8,", "&amp;$A1551&amp;"-"&amp;TEXT(($D1551-$C1551+1)+7,"00"),"")&amp;IF($C1551&gt;=9,", "&amp;$A1551&amp;"-"&amp;TEXT(($D1551-$C1551+1)+8,"00"),"")&amp;IF($C1551&gt;=10,", "&amp;$A1551&amp;"-"&amp;TEXT(($D1551-$C1551+1)+9,"00"),"")&amp;IF($C1551&gt;=11,", "&amp;$A1551&amp;"-"&amp;TEXT(($D1551-$C1551+1)+10,"00"),"")&amp;IF($C1551&gt;=12,", "&amp;$A1551&amp;"-"&amp;TEXT(($D1551-$C1551+1)+11,"00"),"")&amp;IF($C1551&gt;=13,", "&amp;$A1551&amp;"-"&amp;TEXT(($D1551-$C1551+1)+12,"00"),"")&amp;IF($C1551&gt;=14,", "&amp;$A1551&amp;"-"&amp;TEXT(($D1551-$C1551+1)+13,"00"),"")&amp;IF($C1551&gt;=15,", "&amp;$A1551&amp;"-"&amp;TEXT(($D1551-$C1551+1)+14,"00"),"")&amp;IF($C1551&gt;=16,", "&amp;$A1551&amp;"-"&amp;TEXT(($D1551-$C1551+1)+15,"00"),"")&amp;IF($C1551&gt;=17,", "&amp;$A1551&amp;"-"&amp;TEXT(($D1551-$C1551+1)+16,"00"),"")&amp;IF($C1551&gt;=18,", "&amp;$A1551&amp;"-"&amp;TEXT(($D1551-$C1551+1)+17,"00"),"")&amp;IF($C1551&gt;=19,", "&amp;$A1551&amp;"-"&amp;TEXT(($D1551-$C1551+1)+18,"00"),"")&amp;IF($C1551&gt;=20,", "&amp;$A1551&amp;"-"&amp;TEXT(($D1551-$C1551+1)+19,"00"),"")&amp;IF($C1551&gt;=21,", "&amp;$A1551&amp;"-"&amp;TEXT(($D1551-$C1551+1)+20,"00"),"")&amp;IF($C1551&gt;=22,", "&amp;$A1551&amp;"-"&amp;TEXT(($D1551-$C1551+1)+21,"00"),"")&amp;IF($C1551&gt;=23,", "&amp;$A1551&amp;"-"&amp;TEXT(($D1551-$C1551+1)+22,"00"),"")&amp;IF($C1551&gt;=24,", "&amp;$A1551&amp;"-"&amp;TEXT(($D1551-$C1551+1)+23,"00"),"")&amp;IF($C1551&gt;=25,", "&amp;$A1551&amp;"-"&amp;TEXT(($D1551-$C1551+1)+24,"00"),""))</f>
        <v/>
      </c>
      <c r="G1551">
        <f>IF($A1551="","",IF($E1551=1,$F1551,IF($F1551="",$G1550,IF($G1550="",$F1551,$G1550&amp;", "&amp;$F1551))))</f>
        <v/>
      </c>
      <c r="H1551">
        <f>IF($A1551="","",$A1551&amp;" ("&amp;$C1551&amp;")")</f>
        <v/>
      </c>
      <c r="I1551">
        <f>IF($A1551="","",IF($E1551=1,$H1551,$I1550&amp;", "&amp;$H1551))</f>
        <v/>
      </c>
      <c r="J1551">
        <f>IF($A1551="","",IF($E1551=1,$B1551,""))</f>
        <v/>
      </c>
      <c r="K1551">
        <f>IF($A1551="","",IF(COUNTIF($B$2:$B1551,$B1551)=COUNTIF($B$2:$B$1601,$B1551),$B1551,""))</f>
        <v/>
      </c>
    </row>
    <row r="1552">
      <c r="A1552">
        <f>IF('TMP Paste'!$E1552="","",'TMP Paste'!$E1552)</f>
        <v/>
      </c>
      <c r="B1552">
        <f>IF($A1552="","",COUNTIF('TMP Paste'!$B$2:$B1552,"?*"))</f>
        <v/>
      </c>
      <c r="C1552">
        <f>IF($A1552="","",IFERROR('TMP Paste'!$M1552*1,0))</f>
        <v/>
      </c>
      <c r="D1552">
        <f>IF($A1552="","",SUMIF($B$2:$B1552,$B1552,$C$2:$C1552))</f>
        <v/>
      </c>
      <c r="E1552">
        <f>IF($A1552="",0,IF('TMP Paste'!$B1552="",0,1))</f>
        <v/>
      </c>
      <c r="F1552">
        <f>IF(OR($A1552="",$C1552&lt;1),"",$A1552&amp;"-"&amp;TEXT(($D1552-$C1552+1),"00")&amp;IF($C1552&gt;=2,", "&amp;$A1552&amp;"-"&amp;TEXT(($D1552-$C1552+1)+1,"00"),"")&amp;IF($C1552&gt;=3,", "&amp;$A1552&amp;"-"&amp;TEXT(($D1552-$C1552+1)+2,"00"),"")&amp;IF($C1552&gt;=4,", "&amp;$A1552&amp;"-"&amp;TEXT(($D1552-$C1552+1)+3,"00"),"")&amp;IF($C1552&gt;=5,", "&amp;$A1552&amp;"-"&amp;TEXT(($D1552-$C1552+1)+4,"00"),"")&amp;IF($C1552&gt;=6,", "&amp;$A1552&amp;"-"&amp;TEXT(($D1552-$C1552+1)+5,"00"),"")&amp;IF($C1552&gt;=7,", "&amp;$A1552&amp;"-"&amp;TEXT(($D1552-$C1552+1)+6,"00"),"")&amp;IF($C1552&gt;=8,", "&amp;$A1552&amp;"-"&amp;TEXT(($D1552-$C1552+1)+7,"00"),"")&amp;IF($C1552&gt;=9,", "&amp;$A1552&amp;"-"&amp;TEXT(($D1552-$C1552+1)+8,"00"),"")&amp;IF($C1552&gt;=10,", "&amp;$A1552&amp;"-"&amp;TEXT(($D1552-$C1552+1)+9,"00"),"")&amp;IF($C1552&gt;=11,", "&amp;$A1552&amp;"-"&amp;TEXT(($D1552-$C1552+1)+10,"00"),"")&amp;IF($C1552&gt;=12,", "&amp;$A1552&amp;"-"&amp;TEXT(($D1552-$C1552+1)+11,"00"),"")&amp;IF($C1552&gt;=13,", "&amp;$A1552&amp;"-"&amp;TEXT(($D1552-$C1552+1)+12,"00"),"")&amp;IF($C1552&gt;=14,", "&amp;$A1552&amp;"-"&amp;TEXT(($D1552-$C1552+1)+13,"00"),"")&amp;IF($C1552&gt;=15,", "&amp;$A1552&amp;"-"&amp;TEXT(($D1552-$C1552+1)+14,"00"),"")&amp;IF($C1552&gt;=16,", "&amp;$A1552&amp;"-"&amp;TEXT(($D1552-$C1552+1)+15,"00"),"")&amp;IF($C1552&gt;=17,", "&amp;$A1552&amp;"-"&amp;TEXT(($D1552-$C1552+1)+16,"00"),"")&amp;IF($C1552&gt;=18,", "&amp;$A1552&amp;"-"&amp;TEXT(($D1552-$C1552+1)+17,"00"),"")&amp;IF($C1552&gt;=19,", "&amp;$A1552&amp;"-"&amp;TEXT(($D1552-$C1552+1)+18,"00"),"")&amp;IF($C1552&gt;=20,", "&amp;$A1552&amp;"-"&amp;TEXT(($D1552-$C1552+1)+19,"00"),"")&amp;IF($C1552&gt;=21,", "&amp;$A1552&amp;"-"&amp;TEXT(($D1552-$C1552+1)+20,"00"),"")&amp;IF($C1552&gt;=22,", "&amp;$A1552&amp;"-"&amp;TEXT(($D1552-$C1552+1)+21,"00"),"")&amp;IF($C1552&gt;=23,", "&amp;$A1552&amp;"-"&amp;TEXT(($D1552-$C1552+1)+22,"00"),"")&amp;IF($C1552&gt;=24,", "&amp;$A1552&amp;"-"&amp;TEXT(($D1552-$C1552+1)+23,"00"),"")&amp;IF($C1552&gt;=25,", "&amp;$A1552&amp;"-"&amp;TEXT(($D1552-$C1552+1)+24,"00"),""))</f>
        <v/>
      </c>
      <c r="G1552">
        <f>IF($A1552="","",IF($E1552=1,$F1552,IF($F1552="",$G1551,IF($G1551="",$F1552,$G1551&amp;", "&amp;$F1552))))</f>
        <v/>
      </c>
      <c r="H1552">
        <f>IF($A1552="","",$A1552&amp;" ("&amp;$C1552&amp;")")</f>
        <v/>
      </c>
      <c r="I1552">
        <f>IF($A1552="","",IF($E1552=1,$H1552,$I1551&amp;", "&amp;$H1552))</f>
        <v/>
      </c>
      <c r="J1552">
        <f>IF($A1552="","",IF($E1552=1,$B1552,""))</f>
        <v/>
      </c>
      <c r="K1552">
        <f>IF($A1552="","",IF(COUNTIF($B$2:$B1552,$B1552)=COUNTIF($B$2:$B$1601,$B1552),$B1552,""))</f>
        <v/>
      </c>
    </row>
    <row r="1553">
      <c r="A1553">
        <f>IF('TMP Paste'!$E1553="","",'TMP Paste'!$E1553)</f>
        <v/>
      </c>
      <c r="B1553">
        <f>IF($A1553="","",COUNTIF('TMP Paste'!$B$2:$B1553,"?*"))</f>
        <v/>
      </c>
      <c r="C1553">
        <f>IF($A1553="","",IFERROR('TMP Paste'!$M1553*1,0))</f>
        <v/>
      </c>
      <c r="D1553">
        <f>IF($A1553="","",SUMIF($B$2:$B1553,$B1553,$C$2:$C1553))</f>
        <v/>
      </c>
      <c r="E1553">
        <f>IF($A1553="",0,IF('TMP Paste'!$B1553="",0,1))</f>
        <v/>
      </c>
      <c r="F1553">
        <f>IF(OR($A1553="",$C1553&lt;1),"",$A1553&amp;"-"&amp;TEXT(($D1553-$C1553+1),"00")&amp;IF($C1553&gt;=2,", "&amp;$A1553&amp;"-"&amp;TEXT(($D1553-$C1553+1)+1,"00"),"")&amp;IF($C1553&gt;=3,", "&amp;$A1553&amp;"-"&amp;TEXT(($D1553-$C1553+1)+2,"00"),"")&amp;IF($C1553&gt;=4,", "&amp;$A1553&amp;"-"&amp;TEXT(($D1553-$C1553+1)+3,"00"),"")&amp;IF($C1553&gt;=5,", "&amp;$A1553&amp;"-"&amp;TEXT(($D1553-$C1553+1)+4,"00"),"")&amp;IF($C1553&gt;=6,", "&amp;$A1553&amp;"-"&amp;TEXT(($D1553-$C1553+1)+5,"00"),"")&amp;IF($C1553&gt;=7,", "&amp;$A1553&amp;"-"&amp;TEXT(($D1553-$C1553+1)+6,"00"),"")&amp;IF($C1553&gt;=8,", "&amp;$A1553&amp;"-"&amp;TEXT(($D1553-$C1553+1)+7,"00"),"")&amp;IF($C1553&gt;=9,", "&amp;$A1553&amp;"-"&amp;TEXT(($D1553-$C1553+1)+8,"00"),"")&amp;IF($C1553&gt;=10,", "&amp;$A1553&amp;"-"&amp;TEXT(($D1553-$C1553+1)+9,"00"),"")&amp;IF($C1553&gt;=11,", "&amp;$A1553&amp;"-"&amp;TEXT(($D1553-$C1553+1)+10,"00"),"")&amp;IF($C1553&gt;=12,", "&amp;$A1553&amp;"-"&amp;TEXT(($D1553-$C1553+1)+11,"00"),"")&amp;IF($C1553&gt;=13,", "&amp;$A1553&amp;"-"&amp;TEXT(($D1553-$C1553+1)+12,"00"),"")&amp;IF($C1553&gt;=14,", "&amp;$A1553&amp;"-"&amp;TEXT(($D1553-$C1553+1)+13,"00"),"")&amp;IF($C1553&gt;=15,", "&amp;$A1553&amp;"-"&amp;TEXT(($D1553-$C1553+1)+14,"00"),"")&amp;IF($C1553&gt;=16,", "&amp;$A1553&amp;"-"&amp;TEXT(($D1553-$C1553+1)+15,"00"),"")&amp;IF($C1553&gt;=17,", "&amp;$A1553&amp;"-"&amp;TEXT(($D1553-$C1553+1)+16,"00"),"")&amp;IF($C1553&gt;=18,", "&amp;$A1553&amp;"-"&amp;TEXT(($D1553-$C1553+1)+17,"00"),"")&amp;IF($C1553&gt;=19,", "&amp;$A1553&amp;"-"&amp;TEXT(($D1553-$C1553+1)+18,"00"),"")&amp;IF($C1553&gt;=20,", "&amp;$A1553&amp;"-"&amp;TEXT(($D1553-$C1553+1)+19,"00"),"")&amp;IF($C1553&gt;=21,", "&amp;$A1553&amp;"-"&amp;TEXT(($D1553-$C1553+1)+20,"00"),"")&amp;IF($C1553&gt;=22,", "&amp;$A1553&amp;"-"&amp;TEXT(($D1553-$C1553+1)+21,"00"),"")&amp;IF($C1553&gt;=23,", "&amp;$A1553&amp;"-"&amp;TEXT(($D1553-$C1553+1)+22,"00"),"")&amp;IF($C1553&gt;=24,", "&amp;$A1553&amp;"-"&amp;TEXT(($D1553-$C1553+1)+23,"00"),"")&amp;IF($C1553&gt;=25,", "&amp;$A1553&amp;"-"&amp;TEXT(($D1553-$C1553+1)+24,"00"),""))</f>
        <v/>
      </c>
      <c r="G1553">
        <f>IF($A1553="","",IF($E1553=1,$F1553,IF($F1553="",$G1552,IF($G1552="",$F1553,$G1552&amp;", "&amp;$F1553))))</f>
        <v/>
      </c>
      <c r="H1553">
        <f>IF($A1553="","",$A1553&amp;" ("&amp;$C1553&amp;")")</f>
        <v/>
      </c>
      <c r="I1553">
        <f>IF($A1553="","",IF($E1553=1,$H1553,$I1552&amp;", "&amp;$H1553))</f>
        <v/>
      </c>
      <c r="J1553">
        <f>IF($A1553="","",IF($E1553=1,$B1553,""))</f>
        <v/>
      </c>
      <c r="K1553">
        <f>IF($A1553="","",IF(COUNTIF($B$2:$B1553,$B1553)=COUNTIF($B$2:$B$1601,$B1553),$B1553,""))</f>
        <v/>
      </c>
    </row>
    <row r="1554">
      <c r="A1554">
        <f>IF('TMP Paste'!$E1554="","",'TMP Paste'!$E1554)</f>
        <v/>
      </c>
      <c r="B1554">
        <f>IF($A1554="","",COUNTIF('TMP Paste'!$B$2:$B1554,"?*"))</f>
        <v/>
      </c>
      <c r="C1554">
        <f>IF($A1554="","",IFERROR('TMP Paste'!$M1554*1,0))</f>
        <v/>
      </c>
      <c r="D1554">
        <f>IF($A1554="","",SUMIF($B$2:$B1554,$B1554,$C$2:$C1554))</f>
        <v/>
      </c>
      <c r="E1554">
        <f>IF($A1554="",0,IF('TMP Paste'!$B1554="",0,1))</f>
        <v/>
      </c>
      <c r="F1554">
        <f>IF(OR($A1554="",$C1554&lt;1),"",$A1554&amp;"-"&amp;TEXT(($D1554-$C1554+1),"00")&amp;IF($C1554&gt;=2,", "&amp;$A1554&amp;"-"&amp;TEXT(($D1554-$C1554+1)+1,"00"),"")&amp;IF($C1554&gt;=3,", "&amp;$A1554&amp;"-"&amp;TEXT(($D1554-$C1554+1)+2,"00"),"")&amp;IF($C1554&gt;=4,", "&amp;$A1554&amp;"-"&amp;TEXT(($D1554-$C1554+1)+3,"00"),"")&amp;IF($C1554&gt;=5,", "&amp;$A1554&amp;"-"&amp;TEXT(($D1554-$C1554+1)+4,"00"),"")&amp;IF($C1554&gt;=6,", "&amp;$A1554&amp;"-"&amp;TEXT(($D1554-$C1554+1)+5,"00"),"")&amp;IF($C1554&gt;=7,", "&amp;$A1554&amp;"-"&amp;TEXT(($D1554-$C1554+1)+6,"00"),"")&amp;IF($C1554&gt;=8,", "&amp;$A1554&amp;"-"&amp;TEXT(($D1554-$C1554+1)+7,"00"),"")&amp;IF($C1554&gt;=9,", "&amp;$A1554&amp;"-"&amp;TEXT(($D1554-$C1554+1)+8,"00"),"")&amp;IF($C1554&gt;=10,", "&amp;$A1554&amp;"-"&amp;TEXT(($D1554-$C1554+1)+9,"00"),"")&amp;IF($C1554&gt;=11,", "&amp;$A1554&amp;"-"&amp;TEXT(($D1554-$C1554+1)+10,"00"),"")&amp;IF($C1554&gt;=12,", "&amp;$A1554&amp;"-"&amp;TEXT(($D1554-$C1554+1)+11,"00"),"")&amp;IF($C1554&gt;=13,", "&amp;$A1554&amp;"-"&amp;TEXT(($D1554-$C1554+1)+12,"00"),"")&amp;IF($C1554&gt;=14,", "&amp;$A1554&amp;"-"&amp;TEXT(($D1554-$C1554+1)+13,"00"),"")&amp;IF($C1554&gt;=15,", "&amp;$A1554&amp;"-"&amp;TEXT(($D1554-$C1554+1)+14,"00"),"")&amp;IF($C1554&gt;=16,", "&amp;$A1554&amp;"-"&amp;TEXT(($D1554-$C1554+1)+15,"00"),"")&amp;IF($C1554&gt;=17,", "&amp;$A1554&amp;"-"&amp;TEXT(($D1554-$C1554+1)+16,"00"),"")&amp;IF($C1554&gt;=18,", "&amp;$A1554&amp;"-"&amp;TEXT(($D1554-$C1554+1)+17,"00"),"")&amp;IF($C1554&gt;=19,", "&amp;$A1554&amp;"-"&amp;TEXT(($D1554-$C1554+1)+18,"00"),"")&amp;IF($C1554&gt;=20,", "&amp;$A1554&amp;"-"&amp;TEXT(($D1554-$C1554+1)+19,"00"),"")&amp;IF($C1554&gt;=21,", "&amp;$A1554&amp;"-"&amp;TEXT(($D1554-$C1554+1)+20,"00"),"")&amp;IF($C1554&gt;=22,", "&amp;$A1554&amp;"-"&amp;TEXT(($D1554-$C1554+1)+21,"00"),"")&amp;IF($C1554&gt;=23,", "&amp;$A1554&amp;"-"&amp;TEXT(($D1554-$C1554+1)+22,"00"),"")&amp;IF($C1554&gt;=24,", "&amp;$A1554&amp;"-"&amp;TEXT(($D1554-$C1554+1)+23,"00"),"")&amp;IF($C1554&gt;=25,", "&amp;$A1554&amp;"-"&amp;TEXT(($D1554-$C1554+1)+24,"00"),""))</f>
        <v/>
      </c>
      <c r="G1554">
        <f>IF($A1554="","",IF($E1554=1,$F1554,IF($F1554="",$G1553,IF($G1553="",$F1554,$G1553&amp;", "&amp;$F1554))))</f>
        <v/>
      </c>
      <c r="H1554">
        <f>IF($A1554="","",$A1554&amp;" ("&amp;$C1554&amp;")")</f>
        <v/>
      </c>
      <c r="I1554">
        <f>IF($A1554="","",IF($E1554=1,$H1554,$I1553&amp;", "&amp;$H1554))</f>
        <v/>
      </c>
      <c r="J1554">
        <f>IF($A1554="","",IF($E1554=1,$B1554,""))</f>
        <v/>
      </c>
      <c r="K1554">
        <f>IF($A1554="","",IF(COUNTIF($B$2:$B1554,$B1554)=COUNTIF($B$2:$B$1601,$B1554),$B1554,""))</f>
        <v/>
      </c>
    </row>
    <row r="1555">
      <c r="A1555">
        <f>IF('TMP Paste'!$E1555="","",'TMP Paste'!$E1555)</f>
        <v/>
      </c>
      <c r="B1555">
        <f>IF($A1555="","",COUNTIF('TMP Paste'!$B$2:$B1555,"?*"))</f>
        <v/>
      </c>
      <c r="C1555">
        <f>IF($A1555="","",IFERROR('TMP Paste'!$M1555*1,0))</f>
        <v/>
      </c>
      <c r="D1555">
        <f>IF($A1555="","",SUMIF($B$2:$B1555,$B1555,$C$2:$C1555))</f>
        <v/>
      </c>
      <c r="E1555">
        <f>IF($A1555="",0,IF('TMP Paste'!$B1555="",0,1))</f>
        <v/>
      </c>
      <c r="F1555">
        <f>IF(OR($A1555="",$C1555&lt;1),"",$A1555&amp;"-"&amp;TEXT(($D1555-$C1555+1),"00")&amp;IF($C1555&gt;=2,", "&amp;$A1555&amp;"-"&amp;TEXT(($D1555-$C1555+1)+1,"00"),"")&amp;IF($C1555&gt;=3,", "&amp;$A1555&amp;"-"&amp;TEXT(($D1555-$C1555+1)+2,"00"),"")&amp;IF($C1555&gt;=4,", "&amp;$A1555&amp;"-"&amp;TEXT(($D1555-$C1555+1)+3,"00"),"")&amp;IF($C1555&gt;=5,", "&amp;$A1555&amp;"-"&amp;TEXT(($D1555-$C1555+1)+4,"00"),"")&amp;IF($C1555&gt;=6,", "&amp;$A1555&amp;"-"&amp;TEXT(($D1555-$C1555+1)+5,"00"),"")&amp;IF($C1555&gt;=7,", "&amp;$A1555&amp;"-"&amp;TEXT(($D1555-$C1555+1)+6,"00"),"")&amp;IF($C1555&gt;=8,", "&amp;$A1555&amp;"-"&amp;TEXT(($D1555-$C1555+1)+7,"00"),"")&amp;IF($C1555&gt;=9,", "&amp;$A1555&amp;"-"&amp;TEXT(($D1555-$C1555+1)+8,"00"),"")&amp;IF($C1555&gt;=10,", "&amp;$A1555&amp;"-"&amp;TEXT(($D1555-$C1555+1)+9,"00"),"")&amp;IF($C1555&gt;=11,", "&amp;$A1555&amp;"-"&amp;TEXT(($D1555-$C1555+1)+10,"00"),"")&amp;IF($C1555&gt;=12,", "&amp;$A1555&amp;"-"&amp;TEXT(($D1555-$C1555+1)+11,"00"),"")&amp;IF($C1555&gt;=13,", "&amp;$A1555&amp;"-"&amp;TEXT(($D1555-$C1555+1)+12,"00"),"")&amp;IF($C1555&gt;=14,", "&amp;$A1555&amp;"-"&amp;TEXT(($D1555-$C1555+1)+13,"00"),"")&amp;IF($C1555&gt;=15,", "&amp;$A1555&amp;"-"&amp;TEXT(($D1555-$C1555+1)+14,"00"),"")&amp;IF($C1555&gt;=16,", "&amp;$A1555&amp;"-"&amp;TEXT(($D1555-$C1555+1)+15,"00"),"")&amp;IF($C1555&gt;=17,", "&amp;$A1555&amp;"-"&amp;TEXT(($D1555-$C1555+1)+16,"00"),"")&amp;IF($C1555&gt;=18,", "&amp;$A1555&amp;"-"&amp;TEXT(($D1555-$C1555+1)+17,"00"),"")&amp;IF($C1555&gt;=19,", "&amp;$A1555&amp;"-"&amp;TEXT(($D1555-$C1555+1)+18,"00"),"")&amp;IF($C1555&gt;=20,", "&amp;$A1555&amp;"-"&amp;TEXT(($D1555-$C1555+1)+19,"00"),"")&amp;IF($C1555&gt;=21,", "&amp;$A1555&amp;"-"&amp;TEXT(($D1555-$C1555+1)+20,"00"),"")&amp;IF($C1555&gt;=22,", "&amp;$A1555&amp;"-"&amp;TEXT(($D1555-$C1555+1)+21,"00"),"")&amp;IF($C1555&gt;=23,", "&amp;$A1555&amp;"-"&amp;TEXT(($D1555-$C1555+1)+22,"00"),"")&amp;IF($C1555&gt;=24,", "&amp;$A1555&amp;"-"&amp;TEXT(($D1555-$C1555+1)+23,"00"),"")&amp;IF($C1555&gt;=25,", "&amp;$A1555&amp;"-"&amp;TEXT(($D1555-$C1555+1)+24,"00"),""))</f>
        <v/>
      </c>
      <c r="G1555">
        <f>IF($A1555="","",IF($E1555=1,$F1555,IF($F1555="",$G1554,IF($G1554="",$F1555,$G1554&amp;", "&amp;$F1555))))</f>
        <v/>
      </c>
      <c r="H1555">
        <f>IF($A1555="","",$A1555&amp;" ("&amp;$C1555&amp;")")</f>
        <v/>
      </c>
      <c r="I1555">
        <f>IF($A1555="","",IF($E1555=1,$H1555,$I1554&amp;", "&amp;$H1555))</f>
        <v/>
      </c>
      <c r="J1555">
        <f>IF($A1555="","",IF($E1555=1,$B1555,""))</f>
        <v/>
      </c>
      <c r="K1555">
        <f>IF($A1555="","",IF(COUNTIF($B$2:$B1555,$B1555)=COUNTIF($B$2:$B$1601,$B1555),$B1555,""))</f>
        <v/>
      </c>
    </row>
    <row r="1556">
      <c r="A1556">
        <f>IF('TMP Paste'!$E1556="","",'TMP Paste'!$E1556)</f>
        <v/>
      </c>
      <c r="B1556">
        <f>IF($A1556="","",COUNTIF('TMP Paste'!$B$2:$B1556,"?*"))</f>
        <v/>
      </c>
      <c r="C1556">
        <f>IF($A1556="","",IFERROR('TMP Paste'!$M1556*1,0))</f>
        <v/>
      </c>
      <c r="D1556">
        <f>IF($A1556="","",SUMIF($B$2:$B1556,$B1556,$C$2:$C1556))</f>
        <v/>
      </c>
      <c r="E1556">
        <f>IF($A1556="",0,IF('TMP Paste'!$B1556="",0,1))</f>
        <v/>
      </c>
      <c r="F1556">
        <f>IF(OR($A1556="",$C1556&lt;1),"",$A1556&amp;"-"&amp;TEXT(($D1556-$C1556+1),"00")&amp;IF($C1556&gt;=2,", "&amp;$A1556&amp;"-"&amp;TEXT(($D1556-$C1556+1)+1,"00"),"")&amp;IF($C1556&gt;=3,", "&amp;$A1556&amp;"-"&amp;TEXT(($D1556-$C1556+1)+2,"00"),"")&amp;IF($C1556&gt;=4,", "&amp;$A1556&amp;"-"&amp;TEXT(($D1556-$C1556+1)+3,"00"),"")&amp;IF($C1556&gt;=5,", "&amp;$A1556&amp;"-"&amp;TEXT(($D1556-$C1556+1)+4,"00"),"")&amp;IF($C1556&gt;=6,", "&amp;$A1556&amp;"-"&amp;TEXT(($D1556-$C1556+1)+5,"00"),"")&amp;IF($C1556&gt;=7,", "&amp;$A1556&amp;"-"&amp;TEXT(($D1556-$C1556+1)+6,"00"),"")&amp;IF($C1556&gt;=8,", "&amp;$A1556&amp;"-"&amp;TEXT(($D1556-$C1556+1)+7,"00"),"")&amp;IF($C1556&gt;=9,", "&amp;$A1556&amp;"-"&amp;TEXT(($D1556-$C1556+1)+8,"00"),"")&amp;IF($C1556&gt;=10,", "&amp;$A1556&amp;"-"&amp;TEXT(($D1556-$C1556+1)+9,"00"),"")&amp;IF($C1556&gt;=11,", "&amp;$A1556&amp;"-"&amp;TEXT(($D1556-$C1556+1)+10,"00"),"")&amp;IF($C1556&gt;=12,", "&amp;$A1556&amp;"-"&amp;TEXT(($D1556-$C1556+1)+11,"00"),"")&amp;IF($C1556&gt;=13,", "&amp;$A1556&amp;"-"&amp;TEXT(($D1556-$C1556+1)+12,"00"),"")&amp;IF($C1556&gt;=14,", "&amp;$A1556&amp;"-"&amp;TEXT(($D1556-$C1556+1)+13,"00"),"")&amp;IF($C1556&gt;=15,", "&amp;$A1556&amp;"-"&amp;TEXT(($D1556-$C1556+1)+14,"00"),"")&amp;IF($C1556&gt;=16,", "&amp;$A1556&amp;"-"&amp;TEXT(($D1556-$C1556+1)+15,"00"),"")&amp;IF($C1556&gt;=17,", "&amp;$A1556&amp;"-"&amp;TEXT(($D1556-$C1556+1)+16,"00"),"")&amp;IF($C1556&gt;=18,", "&amp;$A1556&amp;"-"&amp;TEXT(($D1556-$C1556+1)+17,"00"),"")&amp;IF($C1556&gt;=19,", "&amp;$A1556&amp;"-"&amp;TEXT(($D1556-$C1556+1)+18,"00"),"")&amp;IF($C1556&gt;=20,", "&amp;$A1556&amp;"-"&amp;TEXT(($D1556-$C1556+1)+19,"00"),"")&amp;IF($C1556&gt;=21,", "&amp;$A1556&amp;"-"&amp;TEXT(($D1556-$C1556+1)+20,"00"),"")&amp;IF($C1556&gt;=22,", "&amp;$A1556&amp;"-"&amp;TEXT(($D1556-$C1556+1)+21,"00"),"")&amp;IF($C1556&gt;=23,", "&amp;$A1556&amp;"-"&amp;TEXT(($D1556-$C1556+1)+22,"00"),"")&amp;IF($C1556&gt;=24,", "&amp;$A1556&amp;"-"&amp;TEXT(($D1556-$C1556+1)+23,"00"),"")&amp;IF($C1556&gt;=25,", "&amp;$A1556&amp;"-"&amp;TEXT(($D1556-$C1556+1)+24,"00"),""))</f>
        <v/>
      </c>
      <c r="G1556">
        <f>IF($A1556="","",IF($E1556=1,$F1556,IF($F1556="",$G1555,IF($G1555="",$F1556,$G1555&amp;", "&amp;$F1556))))</f>
        <v/>
      </c>
      <c r="H1556">
        <f>IF($A1556="","",$A1556&amp;" ("&amp;$C1556&amp;")")</f>
        <v/>
      </c>
      <c r="I1556">
        <f>IF($A1556="","",IF($E1556=1,$H1556,$I1555&amp;", "&amp;$H1556))</f>
        <v/>
      </c>
      <c r="J1556">
        <f>IF($A1556="","",IF($E1556=1,$B1556,""))</f>
        <v/>
      </c>
      <c r="K1556">
        <f>IF($A1556="","",IF(COUNTIF($B$2:$B1556,$B1556)=COUNTIF($B$2:$B$1601,$B1556),$B1556,""))</f>
        <v/>
      </c>
    </row>
    <row r="1557">
      <c r="A1557">
        <f>IF('TMP Paste'!$E1557="","",'TMP Paste'!$E1557)</f>
        <v/>
      </c>
      <c r="B1557">
        <f>IF($A1557="","",COUNTIF('TMP Paste'!$B$2:$B1557,"?*"))</f>
        <v/>
      </c>
      <c r="C1557">
        <f>IF($A1557="","",IFERROR('TMP Paste'!$M1557*1,0))</f>
        <v/>
      </c>
      <c r="D1557">
        <f>IF($A1557="","",SUMIF($B$2:$B1557,$B1557,$C$2:$C1557))</f>
        <v/>
      </c>
      <c r="E1557">
        <f>IF($A1557="",0,IF('TMP Paste'!$B1557="",0,1))</f>
        <v/>
      </c>
      <c r="F1557">
        <f>IF(OR($A1557="",$C1557&lt;1),"",$A1557&amp;"-"&amp;TEXT(($D1557-$C1557+1),"00")&amp;IF($C1557&gt;=2,", "&amp;$A1557&amp;"-"&amp;TEXT(($D1557-$C1557+1)+1,"00"),"")&amp;IF($C1557&gt;=3,", "&amp;$A1557&amp;"-"&amp;TEXT(($D1557-$C1557+1)+2,"00"),"")&amp;IF($C1557&gt;=4,", "&amp;$A1557&amp;"-"&amp;TEXT(($D1557-$C1557+1)+3,"00"),"")&amp;IF($C1557&gt;=5,", "&amp;$A1557&amp;"-"&amp;TEXT(($D1557-$C1557+1)+4,"00"),"")&amp;IF($C1557&gt;=6,", "&amp;$A1557&amp;"-"&amp;TEXT(($D1557-$C1557+1)+5,"00"),"")&amp;IF($C1557&gt;=7,", "&amp;$A1557&amp;"-"&amp;TEXT(($D1557-$C1557+1)+6,"00"),"")&amp;IF($C1557&gt;=8,", "&amp;$A1557&amp;"-"&amp;TEXT(($D1557-$C1557+1)+7,"00"),"")&amp;IF($C1557&gt;=9,", "&amp;$A1557&amp;"-"&amp;TEXT(($D1557-$C1557+1)+8,"00"),"")&amp;IF($C1557&gt;=10,", "&amp;$A1557&amp;"-"&amp;TEXT(($D1557-$C1557+1)+9,"00"),"")&amp;IF($C1557&gt;=11,", "&amp;$A1557&amp;"-"&amp;TEXT(($D1557-$C1557+1)+10,"00"),"")&amp;IF($C1557&gt;=12,", "&amp;$A1557&amp;"-"&amp;TEXT(($D1557-$C1557+1)+11,"00"),"")&amp;IF($C1557&gt;=13,", "&amp;$A1557&amp;"-"&amp;TEXT(($D1557-$C1557+1)+12,"00"),"")&amp;IF($C1557&gt;=14,", "&amp;$A1557&amp;"-"&amp;TEXT(($D1557-$C1557+1)+13,"00"),"")&amp;IF($C1557&gt;=15,", "&amp;$A1557&amp;"-"&amp;TEXT(($D1557-$C1557+1)+14,"00"),"")&amp;IF($C1557&gt;=16,", "&amp;$A1557&amp;"-"&amp;TEXT(($D1557-$C1557+1)+15,"00"),"")&amp;IF($C1557&gt;=17,", "&amp;$A1557&amp;"-"&amp;TEXT(($D1557-$C1557+1)+16,"00"),"")&amp;IF($C1557&gt;=18,", "&amp;$A1557&amp;"-"&amp;TEXT(($D1557-$C1557+1)+17,"00"),"")&amp;IF($C1557&gt;=19,", "&amp;$A1557&amp;"-"&amp;TEXT(($D1557-$C1557+1)+18,"00"),"")&amp;IF($C1557&gt;=20,", "&amp;$A1557&amp;"-"&amp;TEXT(($D1557-$C1557+1)+19,"00"),"")&amp;IF($C1557&gt;=21,", "&amp;$A1557&amp;"-"&amp;TEXT(($D1557-$C1557+1)+20,"00"),"")&amp;IF($C1557&gt;=22,", "&amp;$A1557&amp;"-"&amp;TEXT(($D1557-$C1557+1)+21,"00"),"")&amp;IF($C1557&gt;=23,", "&amp;$A1557&amp;"-"&amp;TEXT(($D1557-$C1557+1)+22,"00"),"")&amp;IF($C1557&gt;=24,", "&amp;$A1557&amp;"-"&amp;TEXT(($D1557-$C1557+1)+23,"00"),"")&amp;IF($C1557&gt;=25,", "&amp;$A1557&amp;"-"&amp;TEXT(($D1557-$C1557+1)+24,"00"),""))</f>
        <v/>
      </c>
      <c r="G1557">
        <f>IF($A1557="","",IF($E1557=1,$F1557,IF($F1557="",$G1556,IF($G1556="",$F1557,$G1556&amp;", "&amp;$F1557))))</f>
        <v/>
      </c>
      <c r="H1557">
        <f>IF($A1557="","",$A1557&amp;" ("&amp;$C1557&amp;")")</f>
        <v/>
      </c>
      <c r="I1557">
        <f>IF($A1557="","",IF($E1557=1,$H1557,$I1556&amp;", "&amp;$H1557))</f>
        <v/>
      </c>
      <c r="J1557">
        <f>IF($A1557="","",IF($E1557=1,$B1557,""))</f>
        <v/>
      </c>
      <c r="K1557">
        <f>IF($A1557="","",IF(COUNTIF($B$2:$B1557,$B1557)=COUNTIF($B$2:$B$1601,$B1557),$B1557,""))</f>
        <v/>
      </c>
    </row>
    <row r="1558">
      <c r="A1558">
        <f>IF('TMP Paste'!$E1558="","",'TMP Paste'!$E1558)</f>
        <v/>
      </c>
      <c r="B1558">
        <f>IF($A1558="","",COUNTIF('TMP Paste'!$B$2:$B1558,"?*"))</f>
        <v/>
      </c>
      <c r="C1558">
        <f>IF($A1558="","",IFERROR('TMP Paste'!$M1558*1,0))</f>
        <v/>
      </c>
      <c r="D1558">
        <f>IF($A1558="","",SUMIF($B$2:$B1558,$B1558,$C$2:$C1558))</f>
        <v/>
      </c>
      <c r="E1558">
        <f>IF($A1558="",0,IF('TMP Paste'!$B1558="",0,1))</f>
        <v/>
      </c>
      <c r="F1558">
        <f>IF(OR($A1558="",$C1558&lt;1),"",$A1558&amp;"-"&amp;TEXT(($D1558-$C1558+1),"00")&amp;IF($C1558&gt;=2,", "&amp;$A1558&amp;"-"&amp;TEXT(($D1558-$C1558+1)+1,"00"),"")&amp;IF($C1558&gt;=3,", "&amp;$A1558&amp;"-"&amp;TEXT(($D1558-$C1558+1)+2,"00"),"")&amp;IF($C1558&gt;=4,", "&amp;$A1558&amp;"-"&amp;TEXT(($D1558-$C1558+1)+3,"00"),"")&amp;IF($C1558&gt;=5,", "&amp;$A1558&amp;"-"&amp;TEXT(($D1558-$C1558+1)+4,"00"),"")&amp;IF($C1558&gt;=6,", "&amp;$A1558&amp;"-"&amp;TEXT(($D1558-$C1558+1)+5,"00"),"")&amp;IF($C1558&gt;=7,", "&amp;$A1558&amp;"-"&amp;TEXT(($D1558-$C1558+1)+6,"00"),"")&amp;IF($C1558&gt;=8,", "&amp;$A1558&amp;"-"&amp;TEXT(($D1558-$C1558+1)+7,"00"),"")&amp;IF($C1558&gt;=9,", "&amp;$A1558&amp;"-"&amp;TEXT(($D1558-$C1558+1)+8,"00"),"")&amp;IF($C1558&gt;=10,", "&amp;$A1558&amp;"-"&amp;TEXT(($D1558-$C1558+1)+9,"00"),"")&amp;IF($C1558&gt;=11,", "&amp;$A1558&amp;"-"&amp;TEXT(($D1558-$C1558+1)+10,"00"),"")&amp;IF($C1558&gt;=12,", "&amp;$A1558&amp;"-"&amp;TEXT(($D1558-$C1558+1)+11,"00"),"")&amp;IF($C1558&gt;=13,", "&amp;$A1558&amp;"-"&amp;TEXT(($D1558-$C1558+1)+12,"00"),"")&amp;IF($C1558&gt;=14,", "&amp;$A1558&amp;"-"&amp;TEXT(($D1558-$C1558+1)+13,"00"),"")&amp;IF($C1558&gt;=15,", "&amp;$A1558&amp;"-"&amp;TEXT(($D1558-$C1558+1)+14,"00"),"")&amp;IF($C1558&gt;=16,", "&amp;$A1558&amp;"-"&amp;TEXT(($D1558-$C1558+1)+15,"00"),"")&amp;IF($C1558&gt;=17,", "&amp;$A1558&amp;"-"&amp;TEXT(($D1558-$C1558+1)+16,"00"),"")&amp;IF($C1558&gt;=18,", "&amp;$A1558&amp;"-"&amp;TEXT(($D1558-$C1558+1)+17,"00"),"")&amp;IF($C1558&gt;=19,", "&amp;$A1558&amp;"-"&amp;TEXT(($D1558-$C1558+1)+18,"00"),"")&amp;IF($C1558&gt;=20,", "&amp;$A1558&amp;"-"&amp;TEXT(($D1558-$C1558+1)+19,"00"),"")&amp;IF($C1558&gt;=21,", "&amp;$A1558&amp;"-"&amp;TEXT(($D1558-$C1558+1)+20,"00"),"")&amp;IF($C1558&gt;=22,", "&amp;$A1558&amp;"-"&amp;TEXT(($D1558-$C1558+1)+21,"00"),"")&amp;IF($C1558&gt;=23,", "&amp;$A1558&amp;"-"&amp;TEXT(($D1558-$C1558+1)+22,"00"),"")&amp;IF($C1558&gt;=24,", "&amp;$A1558&amp;"-"&amp;TEXT(($D1558-$C1558+1)+23,"00"),"")&amp;IF($C1558&gt;=25,", "&amp;$A1558&amp;"-"&amp;TEXT(($D1558-$C1558+1)+24,"00"),""))</f>
        <v/>
      </c>
      <c r="G1558">
        <f>IF($A1558="","",IF($E1558=1,$F1558,IF($F1558="",$G1557,IF($G1557="",$F1558,$G1557&amp;", "&amp;$F1558))))</f>
        <v/>
      </c>
      <c r="H1558">
        <f>IF($A1558="","",$A1558&amp;" ("&amp;$C1558&amp;")")</f>
        <v/>
      </c>
      <c r="I1558">
        <f>IF($A1558="","",IF($E1558=1,$H1558,$I1557&amp;", "&amp;$H1558))</f>
        <v/>
      </c>
      <c r="J1558">
        <f>IF($A1558="","",IF($E1558=1,$B1558,""))</f>
        <v/>
      </c>
      <c r="K1558">
        <f>IF($A1558="","",IF(COUNTIF($B$2:$B1558,$B1558)=COUNTIF($B$2:$B$1601,$B1558),$B1558,""))</f>
        <v/>
      </c>
    </row>
    <row r="1559">
      <c r="A1559">
        <f>IF('TMP Paste'!$E1559="","",'TMP Paste'!$E1559)</f>
        <v/>
      </c>
      <c r="B1559">
        <f>IF($A1559="","",COUNTIF('TMP Paste'!$B$2:$B1559,"?*"))</f>
        <v/>
      </c>
      <c r="C1559">
        <f>IF($A1559="","",IFERROR('TMP Paste'!$M1559*1,0))</f>
        <v/>
      </c>
      <c r="D1559">
        <f>IF($A1559="","",SUMIF($B$2:$B1559,$B1559,$C$2:$C1559))</f>
        <v/>
      </c>
      <c r="E1559">
        <f>IF($A1559="",0,IF('TMP Paste'!$B1559="",0,1))</f>
        <v/>
      </c>
      <c r="F1559">
        <f>IF(OR($A1559="",$C1559&lt;1),"",$A1559&amp;"-"&amp;TEXT(($D1559-$C1559+1),"00")&amp;IF($C1559&gt;=2,", "&amp;$A1559&amp;"-"&amp;TEXT(($D1559-$C1559+1)+1,"00"),"")&amp;IF($C1559&gt;=3,", "&amp;$A1559&amp;"-"&amp;TEXT(($D1559-$C1559+1)+2,"00"),"")&amp;IF($C1559&gt;=4,", "&amp;$A1559&amp;"-"&amp;TEXT(($D1559-$C1559+1)+3,"00"),"")&amp;IF($C1559&gt;=5,", "&amp;$A1559&amp;"-"&amp;TEXT(($D1559-$C1559+1)+4,"00"),"")&amp;IF($C1559&gt;=6,", "&amp;$A1559&amp;"-"&amp;TEXT(($D1559-$C1559+1)+5,"00"),"")&amp;IF($C1559&gt;=7,", "&amp;$A1559&amp;"-"&amp;TEXT(($D1559-$C1559+1)+6,"00"),"")&amp;IF($C1559&gt;=8,", "&amp;$A1559&amp;"-"&amp;TEXT(($D1559-$C1559+1)+7,"00"),"")&amp;IF($C1559&gt;=9,", "&amp;$A1559&amp;"-"&amp;TEXT(($D1559-$C1559+1)+8,"00"),"")&amp;IF($C1559&gt;=10,", "&amp;$A1559&amp;"-"&amp;TEXT(($D1559-$C1559+1)+9,"00"),"")&amp;IF($C1559&gt;=11,", "&amp;$A1559&amp;"-"&amp;TEXT(($D1559-$C1559+1)+10,"00"),"")&amp;IF($C1559&gt;=12,", "&amp;$A1559&amp;"-"&amp;TEXT(($D1559-$C1559+1)+11,"00"),"")&amp;IF($C1559&gt;=13,", "&amp;$A1559&amp;"-"&amp;TEXT(($D1559-$C1559+1)+12,"00"),"")&amp;IF($C1559&gt;=14,", "&amp;$A1559&amp;"-"&amp;TEXT(($D1559-$C1559+1)+13,"00"),"")&amp;IF($C1559&gt;=15,", "&amp;$A1559&amp;"-"&amp;TEXT(($D1559-$C1559+1)+14,"00"),"")&amp;IF($C1559&gt;=16,", "&amp;$A1559&amp;"-"&amp;TEXT(($D1559-$C1559+1)+15,"00"),"")&amp;IF($C1559&gt;=17,", "&amp;$A1559&amp;"-"&amp;TEXT(($D1559-$C1559+1)+16,"00"),"")&amp;IF($C1559&gt;=18,", "&amp;$A1559&amp;"-"&amp;TEXT(($D1559-$C1559+1)+17,"00"),"")&amp;IF($C1559&gt;=19,", "&amp;$A1559&amp;"-"&amp;TEXT(($D1559-$C1559+1)+18,"00"),"")&amp;IF($C1559&gt;=20,", "&amp;$A1559&amp;"-"&amp;TEXT(($D1559-$C1559+1)+19,"00"),"")&amp;IF($C1559&gt;=21,", "&amp;$A1559&amp;"-"&amp;TEXT(($D1559-$C1559+1)+20,"00"),"")&amp;IF($C1559&gt;=22,", "&amp;$A1559&amp;"-"&amp;TEXT(($D1559-$C1559+1)+21,"00"),"")&amp;IF($C1559&gt;=23,", "&amp;$A1559&amp;"-"&amp;TEXT(($D1559-$C1559+1)+22,"00"),"")&amp;IF($C1559&gt;=24,", "&amp;$A1559&amp;"-"&amp;TEXT(($D1559-$C1559+1)+23,"00"),"")&amp;IF($C1559&gt;=25,", "&amp;$A1559&amp;"-"&amp;TEXT(($D1559-$C1559+1)+24,"00"),""))</f>
        <v/>
      </c>
      <c r="G1559">
        <f>IF($A1559="","",IF($E1559=1,$F1559,IF($F1559="",$G1558,IF($G1558="",$F1559,$G1558&amp;", "&amp;$F1559))))</f>
        <v/>
      </c>
      <c r="H1559">
        <f>IF($A1559="","",$A1559&amp;" ("&amp;$C1559&amp;")")</f>
        <v/>
      </c>
      <c r="I1559">
        <f>IF($A1559="","",IF($E1559=1,$H1559,$I1558&amp;", "&amp;$H1559))</f>
        <v/>
      </c>
      <c r="J1559">
        <f>IF($A1559="","",IF($E1559=1,$B1559,""))</f>
        <v/>
      </c>
      <c r="K1559">
        <f>IF($A1559="","",IF(COUNTIF($B$2:$B1559,$B1559)=COUNTIF($B$2:$B$1601,$B1559),$B1559,""))</f>
        <v/>
      </c>
    </row>
    <row r="1560">
      <c r="A1560">
        <f>IF('TMP Paste'!$E1560="","",'TMP Paste'!$E1560)</f>
        <v/>
      </c>
      <c r="B1560">
        <f>IF($A1560="","",COUNTIF('TMP Paste'!$B$2:$B1560,"?*"))</f>
        <v/>
      </c>
      <c r="C1560">
        <f>IF($A1560="","",IFERROR('TMP Paste'!$M1560*1,0))</f>
        <v/>
      </c>
      <c r="D1560">
        <f>IF($A1560="","",SUMIF($B$2:$B1560,$B1560,$C$2:$C1560))</f>
        <v/>
      </c>
      <c r="E1560">
        <f>IF($A1560="",0,IF('TMP Paste'!$B1560="",0,1))</f>
        <v/>
      </c>
      <c r="F1560">
        <f>IF(OR($A1560="",$C1560&lt;1),"",$A1560&amp;"-"&amp;TEXT(($D1560-$C1560+1),"00")&amp;IF($C1560&gt;=2,", "&amp;$A1560&amp;"-"&amp;TEXT(($D1560-$C1560+1)+1,"00"),"")&amp;IF($C1560&gt;=3,", "&amp;$A1560&amp;"-"&amp;TEXT(($D1560-$C1560+1)+2,"00"),"")&amp;IF($C1560&gt;=4,", "&amp;$A1560&amp;"-"&amp;TEXT(($D1560-$C1560+1)+3,"00"),"")&amp;IF($C1560&gt;=5,", "&amp;$A1560&amp;"-"&amp;TEXT(($D1560-$C1560+1)+4,"00"),"")&amp;IF($C1560&gt;=6,", "&amp;$A1560&amp;"-"&amp;TEXT(($D1560-$C1560+1)+5,"00"),"")&amp;IF($C1560&gt;=7,", "&amp;$A1560&amp;"-"&amp;TEXT(($D1560-$C1560+1)+6,"00"),"")&amp;IF($C1560&gt;=8,", "&amp;$A1560&amp;"-"&amp;TEXT(($D1560-$C1560+1)+7,"00"),"")&amp;IF($C1560&gt;=9,", "&amp;$A1560&amp;"-"&amp;TEXT(($D1560-$C1560+1)+8,"00"),"")&amp;IF($C1560&gt;=10,", "&amp;$A1560&amp;"-"&amp;TEXT(($D1560-$C1560+1)+9,"00"),"")&amp;IF($C1560&gt;=11,", "&amp;$A1560&amp;"-"&amp;TEXT(($D1560-$C1560+1)+10,"00"),"")&amp;IF($C1560&gt;=12,", "&amp;$A1560&amp;"-"&amp;TEXT(($D1560-$C1560+1)+11,"00"),"")&amp;IF($C1560&gt;=13,", "&amp;$A1560&amp;"-"&amp;TEXT(($D1560-$C1560+1)+12,"00"),"")&amp;IF($C1560&gt;=14,", "&amp;$A1560&amp;"-"&amp;TEXT(($D1560-$C1560+1)+13,"00"),"")&amp;IF($C1560&gt;=15,", "&amp;$A1560&amp;"-"&amp;TEXT(($D1560-$C1560+1)+14,"00"),"")&amp;IF($C1560&gt;=16,", "&amp;$A1560&amp;"-"&amp;TEXT(($D1560-$C1560+1)+15,"00"),"")&amp;IF($C1560&gt;=17,", "&amp;$A1560&amp;"-"&amp;TEXT(($D1560-$C1560+1)+16,"00"),"")&amp;IF($C1560&gt;=18,", "&amp;$A1560&amp;"-"&amp;TEXT(($D1560-$C1560+1)+17,"00"),"")&amp;IF($C1560&gt;=19,", "&amp;$A1560&amp;"-"&amp;TEXT(($D1560-$C1560+1)+18,"00"),"")&amp;IF($C1560&gt;=20,", "&amp;$A1560&amp;"-"&amp;TEXT(($D1560-$C1560+1)+19,"00"),"")&amp;IF($C1560&gt;=21,", "&amp;$A1560&amp;"-"&amp;TEXT(($D1560-$C1560+1)+20,"00"),"")&amp;IF($C1560&gt;=22,", "&amp;$A1560&amp;"-"&amp;TEXT(($D1560-$C1560+1)+21,"00"),"")&amp;IF($C1560&gt;=23,", "&amp;$A1560&amp;"-"&amp;TEXT(($D1560-$C1560+1)+22,"00"),"")&amp;IF($C1560&gt;=24,", "&amp;$A1560&amp;"-"&amp;TEXT(($D1560-$C1560+1)+23,"00"),"")&amp;IF($C1560&gt;=25,", "&amp;$A1560&amp;"-"&amp;TEXT(($D1560-$C1560+1)+24,"00"),""))</f>
        <v/>
      </c>
      <c r="G1560">
        <f>IF($A1560="","",IF($E1560=1,$F1560,IF($F1560="",$G1559,IF($G1559="",$F1560,$G1559&amp;", "&amp;$F1560))))</f>
        <v/>
      </c>
      <c r="H1560">
        <f>IF($A1560="","",$A1560&amp;" ("&amp;$C1560&amp;")")</f>
        <v/>
      </c>
      <c r="I1560">
        <f>IF($A1560="","",IF($E1560=1,$H1560,$I1559&amp;", "&amp;$H1560))</f>
        <v/>
      </c>
      <c r="J1560">
        <f>IF($A1560="","",IF($E1560=1,$B1560,""))</f>
        <v/>
      </c>
      <c r="K1560">
        <f>IF($A1560="","",IF(COUNTIF($B$2:$B1560,$B1560)=COUNTIF($B$2:$B$1601,$B1560),$B1560,""))</f>
        <v/>
      </c>
    </row>
    <row r="1561">
      <c r="A1561">
        <f>IF('TMP Paste'!$E1561="","",'TMP Paste'!$E1561)</f>
        <v/>
      </c>
      <c r="B1561">
        <f>IF($A1561="","",COUNTIF('TMP Paste'!$B$2:$B1561,"?*"))</f>
        <v/>
      </c>
      <c r="C1561">
        <f>IF($A1561="","",IFERROR('TMP Paste'!$M1561*1,0))</f>
        <v/>
      </c>
      <c r="D1561">
        <f>IF($A1561="","",SUMIF($B$2:$B1561,$B1561,$C$2:$C1561))</f>
        <v/>
      </c>
      <c r="E1561">
        <f>IF($A1561="",0,IF('TMP Paste'!$B1561="",0,1))</f>
        <v/>
      </c>
      <c r="F1561">
        <f>IF(OR($A1561="",$C1561&lt;1),"",$A1561&amp;"-"&amp;TEXT(($D1561-$C1561+1),"00")&amp;IF($C1561&gt;=2,", "&amp;$A1561&amp;"-"&amp;TEXT(($D1561-$C1561+1)+1,"00"),"")&amp;IF($C1561&gt;=3,", "&amp;$A1561&amp;"-"&amp;TEXT(($D1561-$C1561+1)+2,"00"),"")&amp;IF($C1561&gt;=4,", "&amp;$A1561&amp;"-"&amp;TEXT(($D1561-$C1561+1)+3,"00"),"")&amp;IF($C1561&gt;=5,", "&amp;$A1561&amp;"-"&amp;TEXT(($D1561-$C1561+1)+4,"00"),"")&amp;IF($C1561&gt;=6,", "&amp;$A1561&amp;"-"&amp;TEXT(($D1561-$C1561+1)+5,"00"),"")&amp;IF($C1561&gt;=7,", "&amp;$A1561&amp;"-"&amp;TEXT(($D1561-$C1561+1)+6,"00"),"")&amp;IF($C1561&gt;=8,", "&amp;$A1561&amp;"-"&amp;TEXT(($D1561-$C1561+1)+7,"00"),"")&amp;IF($C1561&gt;=9,", "&amp;$A1561&amp;"-"&amp;TEXT(($D1561-$C1561+1)+8,"00"),"")&amp;IF($C1561&gt;=10,", "&amp;$A1561&amp;"-"&amp;TEXT(($D1561-$C1561+1)+9,"00"),"")&amp;IF($C1561&gt;=11,", "&amp;$A1561&amp;"-"&amp;TEXT(($D1561-$C1561+1)+10,"00"),"")&amp;IF($C1561&gt;=12,", "&amp;$A1561&amp;"-"&amp;TEXT(($D1561-$C1561+1)+11,"00"),"")&amp;IF($C1561&gt;=13,", "&amp;$A1561&amp;"-"&amp;TEXT(($D1561-$C1561+1)+12,"00"),"")&amp;IF($C1561&gt;=14,", "&amp;$A1561&amp;"-"&amp;TEXT(($D1561-$C1561+1)+13,"00"),"")&amp;IF($C1561&gt;=15,", "&amp;$A1561&amp;"-"&amp;TEXT(($D1561-$C1561+1)+14,"00"),"")&amp;IF($C1561&gt;=16,", "&amp;$A1561&amp;"-"&amp;TEXT(($D1561-$C1561+1)+15,"00"),"")&amp;IF($C1561&gt;=17,", "&amp;$A1561&amp;"-"&amp;TEXT(($D1561-$C1561+1)+16,"00"),"")&amp;IF($C1561&gt;=18,", "&amp;$A1561&amp;"-"&amp;TEXT(($D1561-$C1561+1)+17,"00"),"")&amp;IF($C1561&gt;=19,", "&amp;$A1561&amp;"-"&amp;TEXT(($D1561-$C1561+1)+18,"00"),"")&amp;IF($C1561&gt;=20,", "&amp;$A1561&amp;"-"&amp;TEXT(($D1561-$C1561+1)+19,"00"),"")&amp;IF($C1561&gt;=21,", "&amp;$A1561&amp;"-"&amp;TEXT(($D1561-$C1561+1)+20,"00"),"")&amp;IF($C1561&gt;=22,", "&amp;$A1561&amp;"-"&amp;TEXT(($D1561-$C1561+1)+21,"00"),"")&amp;IF($C1561&gt;=23,", "&amp;$A1561&amp;"-"&amp;TEXT(($D1561-$C1561+1)+22,"00"),"")&amp;IF($C1561&gt;=24,", "&amp;$A1561&amp;"-"&amp;TEXT(($D1561-$C1561+1)+23,"00"),"")&amp;IF($C1561&gt;=25,", "&amp;$A1561&amp;"-"&amp;TEXT(($D1561-$C1561+1)+24,"00"),""))</f>
        <v/>
      </c>
      <c r="G1561">
        <f>IF($A1561="","",IF($E1561=1,$F1561,IF($F1561="",$G1560,IF($G1560="",$F1561,$G1560&amp;", "&amp;$F1561))))</f>
        <v/>
      </c>
      <c r="H1561">
        <f>IF($A1561="","",$A1561&amp;" ("&amp;$C1561&amp;")")</f>
        <v/>
      </c>
      <c r="I1561">
        <f>IF($A1561="","",IF($E1561=1,$H1561,$I1560&amp;", "&amp;$H1561))</f>
        <v/>
      </c>
      <c r="J1561">
        <f>IF($A1561="","",IF($E1561=1,$B1561,""))</f>
        <v/>
      </c>
      <c r="K1561">
        <f>IF($A1561="","",IF(COUNTIF($B$2:$B1561,$B1561)=COUNTIF($B$2:$B$1601,$B1561),$B1561,""))</f>
        <v/>
      </c>
    </row>
    <row r="1562">
      <c r="A1562">
        <f>IF('TMP Paste'!$E1562="","",'TMP Paste'!$E1562)</f>
        <v/>
      </c>
      <c r="B1562">
        <f>IF($A1562="","",COUNTIF('TMP Paste'!$B$2:$B1562,"?*"))</f>
        <v/>
      </c>
      <c r="C1562">
        <f>IF($A1562="","",IFERROR('TMP Paste'!$M1562*1,0))</f>
        <v/>
      </c>
      <c r="D1562">
        <f>IF($A1562="","",SUMIF($B$2:$B1562,$B1562,$C$2:$C1562))</f>
        <v/>
      </c>
      <c r="E1562">
        <f>IF($A1562="",0,IF('TMP Paste'!$B1562="",0,1))</f>
        <v/>
      </c>
      <c r="F1562">
        <f>IF(OR($A1562="",$C1562&lt;1),"",$A1562&amp;"-"&amp;TEXT(($D1562-$C1562+1),"00")&amp;IF($C1562&gt;=2,", "&amp;$A1562&amp;"-"&amp;TEXT(($D1562-$C1562+1)+1,"00"),"")&amp;IF($C1562&gt;=3,", "&amp;$A1562&amp;"-"&amp;TEXT(($D1562-$C1562+1)+2,"00"),"")&amp;IF($C1562&gt;=4,", "&amp;$A1562&amp;"-"&amp;TEXT(($D1562-$C1562+1)+3,"00"),"")&amp;IF($C1562&gt;=5,", "&amp;$A1562&amp;"-"&amp;TEXT(($D1562-$C1562+1)+4,"00"),"")&amp;IF($C1562&gt;=6,", "&amp;$A1562&amp;"-"&amp;TEXT(($D1562-$C1562+1)+5,"00"),"")&amp;IF($C1562&gt;=7,", "&amp;$A1562&amp;"-"&amp;TEXT(($D1562-$C1562+1)+6,"00"),"")&amp;IF($C1562&gt;=8,", "&amp;$A1562&amp;"-"&amp;TEXT(($D1562-$C1562+1)+7,"00"),"")&amp;IF($C1562&gt;=9,", "&amp;$A1562&amp;"-"&amp;TEXT(($D1562-$C1562+1)+8,"00"),"")&amp;IF($C1562&gt;=10,", "&amp;$A1562&amp;"-"&amp;TEXT(($D1562-$C1562+1)+9,"00"),"")&amp;IF($C1562&gt;=11,", "&amp;$A1562&amp;"-"&amp;TEXT(($D1562-$C1562+1)+10,"00"),"")&amp;IF($C1562&gt;=12,", "&amp;$A1562&amp;"-"&amp;TEXT(($D1562-$C1562+1)+11,"00"),"")&amp;IF($C1562&gt;=13,", "&amp;$A1562&amp;"-"&amp;TEXT(($D1562-$C1562+1)+12,"00"),"")&amp;IF($C1562&gt;=14,", "&amp;$A1562&amp;"-"&amp;TEXT(($D1562-$C1562+1)+13,"00"),"")&amp;IF($C1562&gt;=15,", "&amp;$A1562&amp;"-"&amp;TEXT(($D1562-$C1562+1)+14,"00"),"")&amp;IF($C1562&gt;=16,", "&amp;$A1562&amp;"-"&amp;TEXT(($D1562-$C1562+1)+15,"00"),"")&amp;IF($C1562&gt;=17,", "&amp;$A1562&amp;"-"&amp;TEXT(($D1562-$C1562+1)+16,"00"),"")&amp;IF($C1562&gt;=18,", "&amp;$A1562&amp;"-"&amp;TEXT(($D1562-$C1562+1)+17,"00"),"")&amp;IF($C1562&gt;=19,", "&amp;$A1562&amp;"-"&amp;TEXT(($D1562-$C1562+1)+18,"00"),"")&amp;IF($C1562&gt;=20,", "&amp;$A1562&amp;"-"&amp;TEXT(($D1562-$C1562+1)+19,"00"),"")&amp;IF($C1562&gt;=21,", "&amp;$A1562&amp;"-"&amp;TEXT(($D1562-$C1562+1)+20,"00"),"")&amp;IF($C1562&gt;=22,", "&amp;$A1562&amp;"-"&amp;TEXT(($D1562-$C1562+1)+21,"00"),"")&amp;IF($C1562&gt;=23,", "&amp;$A1562&amp;"-"&amp;TEXT(($D1562-$C1562+1)+22,"00"),"")&amp;IF($C1562&gt;=24,", "&amp;$A1562&amp;"-"&amp;TEXT(($D1562-$C1562+1)+23,"00"),"")&amp;IF($C1562&gt;=25,", "&amp;$A1562&amp;"-"&amp;TEXT(($D1562-$C1562+1)+24,"00"),""))</f>
        <v/>
      </c>
      <c r="G1562">
        <f>IF($A1562="","",IF($E1562=1,$F1562,IF($F1562="",$G1561,IF($G1561="",$F1562,$G1561&amp;", "&amp;$F1562))))</f>
        <v/>
      </c>
      <c r="H1562">
        <f>IF($A1562="","",$A1562&amp;" ("&amp;$C1562&amp;")")</f>
        <v/>
      </c>
      <c r="I1562">
        <f>IF($A1562="","",IF($E1562=1,$H1562,$I1561&amp;", "&amp;$H1562))</f>
        <v/>
      </c>
      <c r="J1562">
        <f>IF($A1562="","",IF($E1562=1,$B1562,""))</f>
        <v/>
      </c>
      <c r="K1562">
        <f>IF($A1562="","",IF(COUNTIF($B$2:$B1562,$B1562)=COUNTIF($B$2:$B$1601,$B1562),$B1562,""))</f>
        <v/>
      </c>
    </row>
    <row r="1563">
      <c r="A1563">
        <f>IF('TMP Paste'!$E1563="","",'TMP Paste'!$E1563)</f>
        <v/>
      </c>
      <c r="B1563">
        <f>IF($A1563="","",COUNTIF('TMP Paste'!$B$2:$B1563,"?*"))</f>
        <v/>
      </c>
      <c r="C1563">
        <f>IF($A1563="","",IFERROR('TMP Paste'!$M1563*1,0))</f>
        <v/>
      </c>
      <c r="D1563">
        <f>IF($A1563="","",SUMIF($B$2:$B1563,$B1563,$C$2:$C1563))</f>
        <v/>
      </c>
      <c r="E1563">
        <f>IF($A1563="",0,IF('TMP Paste'!$B1563="",0,1))</f>
        <v/>
      </c>
      <c r="F1563">
        <f>IF(OR($A1563="",$C1563&lt;1),"",$A1563&amp;"-"&amp;TEXT(($D1563-$C1563+1),"00")&amp;IF($C1563&gt;=2,", "&amp;$A1563&amp;"-"&amp;TEXT(($D1563-$C1563+1)+1,"00"),"")&amp;IF($C1563&gt;=3,", "&amp;$A1563&amp;"-"&amp;TEXT(($D1563-$C1563+1)+2,"00"),"")&amp;IF($C1563&gt;=4,", "&amp;$A1563&amp;"-"&amp;TEXT(($D1563-$C1563+1)+3,"00"),"")&amp;IF($C1563&gt;=5,", "&amp;$A1563&amp;"-"&amp;TEXT(($D1563-$C1563+1)+4,"00"),"")&amp;IF($C1563&gt;=6,", "&amp;$A1563&amp;"-"&amp;TEXT(($D1563-$C1563+1)+5,"00"),"")&amp;IF($C1563&gt;=7,", "&amp;$A1563&amp;"-"&amp;TEXT(($D1563-$C1563+1)+6,"00"),"")&amp;IF($C1563&gt;=8,", "&amp;$A1563&amp;"-"&amp;TEXT(($D1563-$C1563+1)+7,"00"),"")&amp;IF($C1563&gt;=9,", "&amp;$A1563&amp;"-"&amp;TEXT(($D1563-$C1563+1)+8,"00"),"")&amp;IF($C1563&gt;=10,", "&amp;$A1563&amp;"-"&amp;TEXT(($D1563-$C1563+1)+9,"00"),"")&amp;IF($C1563&gt;=11,", "&amp;$A1563&amp;"-"&amp;TEXT(($D1563-$C1563+1)+10,"00"),"")&amp;IF($C1563&gt;=12,", "&amp;$A1563&amp;"-"&amp;TEXT(($D1563-$C1563+1)+11,"00"),"")&amp;IF($C1563&gt;=13,", "&amp;$A1563&amp;"-"&amp;TEXT(($D1563-$C1563+1)+12,"00"),"")&amp;IF($C1563&gt;=14,", "&amp;$A1563&amp;"-"&amp;TEXT(($D1563-$C1563+1)+13,"00"),"")&amp;IF($C1563&gt;=15,", "&amp;$A1563&amp;"-"&amp;TEXT(($D1563-$C1563+1)+14,"00"),"")&amp;IF($C1563&gt;=16,", "&amp;$A1563&amp;"-"&amp;TEXT(($D1563-$C1563+1)+15,"00"),"")&amp;IF($C1563&gt;=17,", "&amp;$A1563&amp;"-"&amp;TEXT(($D1563-$C1563+1)+16,"00"),"")&amp;IF($C1563&gt;=18,", "&amp;$A1563&amp;"-"&amp;TEXT(($D1563-$C1563+1)+17,"00"),"")&amp;IF($C1563&gt;=19,", "&amp;$A1563&amp;"-"&amp;TEXT(($D1563-$C1563+1)+18,"00"),"")&amp;IF($C1563&gt;=20,", "&amp;$A1563&amp;"-"&amp;TEXT(($D1563-$C1563+1)+19,"00"),"")&amp;IF($C1563&gt;=21,", "&amp;$A1563&amp;"-"&amp;TEXT(($D1563-$C1563+1)+20,"00"),"")&amp;IF($C1563&gt;=22,", "&amp;$A1563&amp;"-"&amp;TEXT(($D1563-$C1563+1)+21,"00"),"")&amp;IF($C1563&gt;=23,", "&amp;$A1563&amp;"-"&amp;TEXT(($D1563-$C1563+1)+22,"00"),"")&amp;IF($C1563&gt;=24,", "&amp;$A1563&amp;"-"&amp;TEXT(($D1563-$C1563+1)+23,"00"),"")&amp;IF($C1563&gt;=25,", "&amp;$A1563&amp;"-"&amp;TEXT(($D1563-$C1563+1)+24,"00"),""))</f>
        <v/>
      </c>
      <c r="G1563">
        <f>IF($A1563="","",IF($E1563=1,$F1563,IF($F1563="",$G1562,IF($G1562="",$F1563,$G1562&amp;", "&amp;$F1563))))</f>
        <v/>
      </c>
      <c r="H1563">
        <f>IF($A1563="","",$A1563&amp;" ("&amp;$C1563&amp;")")</f>
        <v/>
      </c>
      <c r="I1563">
        <f>IF($A1563="","",IF($E1563=1,$H1563,$I1562&amp;", "&amp;$H1563))</f>
        <v/>
      </c>
      <c r="J1563">
        <f>IF($A1563="","",IF($E1563=1,$B1563,""))</f>
        <v/>
      </c>
      <c r="K1563">
        <f>IF($A1563="","",IF(COUNTIF($B$2:$B1563,$B1563)=COUNTIF($B$2:$B$1601,$B1563),$B1563,""))</f>
        <v/>
      </c>
    </row>
    <row r="1564">
      <c r="A1564">
        <f>IF('TMP Paste'!$E1564="","",'TMP Paste'!$E1564)</f>
        <v/>
      </c>
      <c r="B1564">
        <f>IF($A1564="","",COUNTIF('TMP Paste'!$B$2:$B1564,"?*"))</f>
        <v/>
      </c>
      <c r="C1564">
        <f>IF($A1564="","",IFERROR('TMP Paste'!$M1564*1,0))</f>
        <v/>
      </c>
      <c r="D1564">
        <f>IF($A1564="","",SUMIF($B$2:$B1564,$B1564,$C$2:$C1564))</f>
        <v/>
      </c>
      <c r="E1564">
        <f>IF($A1564="",0,IF('TMP Paste'!$B1564="",0,1))</f>
        <v/>
      </c>
      <c r="F1564">
        <f>IF(OR($A1564="",$C1564&lt;1),"",$A1564&amp;"-"&amp;TEXT(($D1564-$C1564+1),"00")&amp;IF($C1564&gt;=2,", "&amp;$A1564&amp;"-"&amp;TEXT(($D1564-$C1564+1)+1,"00"),"")&amp;IF($C1564&gt;=3,", "&amp;$A1564&amp;"-"&amp;TEXT(($D1564-$C1564+1)+2,"00"),"")&amp;IF($C1564&gt;=4,", "&amp;$A1564&amp;"-"&amp;TEXT(($D1564-$C1564+1)+3,"00"),"")&amp;IF($C1564&gt;=5,", "&amp;$A1564&amp;"-"&amp;TEXT(($D1564-$C1564+1)+4,"00"),"")&amp;IF($C1564&gt;=6,", "&amp;$A1564&amp;"-"&amp;TEXT(($D1564-$C1564+1)+5,"00"),"")&amp;IF($C1564&gt;=7,", "&amp;$A1564&amp;"-"&amp;TEXT(($D1564-$C1564+1)+6,"00"),"")&amp;IF($C1564&gt;=8,", "&amp;$A1564&amp;"-"&amp;TEXT(($D1564-$C1564+1)+7,"00"),"")&amp;IF($C1564&gt;=9,", "&amp;$A1564&amp;"-"&amp;TEXT(($D1564-$C1564+1)+8,"00"),"")&amp;IF($C1564&gt;=10,", "&amp;$A1564&amp;"-"&amp;TEXT(($D1564-$C1564+1)+9,"00"),"")&amp;IF($C1564&gt;=11,", "&amp;$A1564&amp;"-"&amp;TEXT(($D1564-$C1564+1)+10,"00"),"")&amp;IF($C1564&gt;=12,", "&amp;$A1564&amp;"-"&amp;TEXT(($D1564-$C1564+1)+11,"00"),"")&amp;IF($C1564&gt;=13,", "&amp;$A1564&amp;"-"&amp;TEXT(($D1564-$C1564+1)+12,"00"),"")&amp;IF($C1564&gt;=14,", "&amp;$A1564&amp;"-"&amp;TEXT(($D1564-$C1564+1)+13,"00"),"")&amp;IF($C1564&gt;=15,", "&amp;$A1564&amp;"-"&amp;TEXT(($D1564-$C1564+1)+14,"00"),"")&amp;IF($C1564&gt;=16,", "&amp;$A1564&amp;"-"&amp;TEXT(($D1564-$C1564+1)+15,"00"),"")&amp;IF($C1564&gt;=17,", "&amp;$A1564&amp;"-"&amp;TEXT(($D1564-$C1564+1)+16,"00"),"")&amp;IF($C1564&gt;=18,", "&amp;$A1564&amp;"-"&amp;TEXT(($D1564-$C1564+1)+17,"00"),"")&amp;IF($C1564&gt;=19,", "&amp;$A1564&amp;"-"&amp;TEXT(($D1564-$C1564+1)+18,"00"),"")&amp;IF($C1564&gt;=20,", "&amp;$A1564&amp;"-"&amp;TEXT(($D1564-$C1564+1)+19,"00"),"")&amp;IF($C1564&gt;=21,", "&amp;$A1564&amp;"-"&amp;TEXT(($D1564-$C1564+1)+20,"00"),"")&amp;IF($C1564&gt;=22,", "&amp;$A1564&amp;"-"&amp;TEXT(($D1564-$C1564+1)+21,"00"),"")&amp;IF($C1564&gt;=23,", "&amp;$A1564&amp;"-"&amp;TEXT(($D1564-$C1564+1)+22,"00"),"")&amp;IF($C1564&gt;=24,", "&amp;$A1564&amp;"-"&amp;TEXT(($D1564-$C1564+1)+23,"00"),"")&amp;IF($C1564&gt;=25,", "&amp;$A1564&amp;"-"&amp;TEXT(($D1564-$C1564+1)+24,"00"),""))</f>
        <v/>
      </c>
      <c r="G1564">
        <f>IF($A1564="","",IF($E1564=1,$F1564,IF($F1564="",$G1563,IF($G1563="",$F1564,$G1563&amp;", "&amp;$F1564))))</f>
        <v/>
      </c>
      <c r="H1564">
        <f>IF($A1564="","",$A1564&amp;" ("&amp;$C1564&amp;")")</f>
        <v/>
      </c>
      <c r="I1564">
        <f>IF($A1564="","",IF($E1564=1,$H1564,$I1563&amp;", "&amp;$H1564))</f>
        <v/>
      </c>
      <c r="J1564">
        <f>IF($A1564="","",IF($E1564=1,$B1564,""))</f>
        <v/>
      </c>
      <c r="K1564">
        <f>IF($A1564="","",IF(COUNTIF($B$2:$B1564,$B1564)=COUNTIF($B$2:$B$1601,$B1564),$B1564,""))</f>
        <v/>
      </c>
    </row>
    <row r="1565">
      <c r="A1565">
        <f>IF('TMP Paste'!$E1565="","",'TMP Paste'!$E1565)</f>
        <v/>
      </c>
      <c r="B1565">
        <f>IF($A1565="","",COUNTIF('TMP Paste'!$B$2:$B1565,"?*"))</f>
        <v/>
      </c>
      <c r="C1565">
        <f>IF($A1565="","",IFERROR('TMP Paste'!$M1565*1,0))</f>
        <v/>
      </c>
      <c r="D1565">
        <f>IF($A1565="","",SUMIF($B$2:$B1565,$B1565,$C$2:$C1565))</f>
        <v/>
      </c>
      <c r="E1565">
        <f>IF($A1565="",0,IF('TMP Paste'!$B1565="",0,1))</f>
        <v/>
      </c>
      <c r="F1565">
        <f>IF(OR($A1565="",$C1565&lt;1),"",$A1565&amp;"-"&amp;TEXT(($D1565-$C1565+1),"00")&amp;IF($C1565&gt;=2,", "&amp;$A1565&amp;"-"&amp;TEXT(($D1565-$C1565+1)+1,"00"),"")&amp;IF($C1565&gt;=3,", "&amp;$A1565&amp;"-"&amp;TEXT(($D1565-$C1565+1)+2,"00"),"")&amp;IF($C1565&gt;=4,", "&amp;$A1565&amp;"-"&amp;TEXT(($D1565-$C1565+1)+3,"00"),"")&amp;IF($C1565&gt;=5,", "&amp;$A1565&amp;"-"&amp;TEXT(($D1565-$C1565+1)+4,"00"),"")&amp;IF($C1565&gt;=6,", "&amp;$A1565&amp;"-"&amp;TEXT(($D1565-$C1565+1)+5,"00"),"")&amp;IF($C1565&gt;=7,", "&amp;$A1565&amp;"-"&amp;TEXT(($D1565-$C1565+1)+6,"00"),"")&amp;IF($C1565&gt;=8,", "&amp;$A1565&amp;"-"&amp;TEXT(($D1565-$C1565+1)+7,"00"),"")&amp;IF($C1565&gt;=9,", "&amp;$A1565&amp;"-"&amp;TEXT(($D1565-$C1565+1)+8,"00"),"")&amp;IF($C1565&gt;=10,", "&amp;$A1565&amp;"-"&amp;TEXT(($D1565-$C1565+1)+9,"00"),"")&amp;IF($C1565&gt;=11,", "&amp;$A1565&amp;"-"&amp;TEXT(($D1565-$C1565+1)+10,"00"),"")&amp;IF($C1565&gt;=12,", "&amp;$A1565&amp;"-"&amp;TEXT(($D1565-$C1565+1)+11,"00"),"")&amp;IF($C1565&gt;=13,", "&amp;$A1565&amp;"-"&amp;TEXT(($D1565-$C1565+1)+12,"00"),"")&amp;IF($C1565&gt;=14,", "&amp;$A1565&amp;"-"&amp;TEXT(($D1565-$C1565+1)+13,"00"),"")&amp;IF($C1565&gt;=15,", "&amp;$A1565&amp;"-"&amp;TEXT(($D1565-$C1565+1)+14,"00"),"")&amp;IF($C1565&gt;=16,", "&amp;$A1565&amp;"-"&amp;TEXT(($D1565-$C1565+1)+15,"00"),"")&amp;IF($C1565&gt;=17,", "&amp;$A1565&amp;"-"&amp;TEXT(($D1565-$C1565+1)+16,"00"),"")&amp;IF($C1565&gt;=18,", "&amp;$A1565&amp;"-"&amp;TEXT(($D1565-$C1565+1)+17,"00"),"")&amp;IF($C1565&gt;=19,", "&amp;$A1565&amp;"-"&amp;TEXT(($D1565-$C1565+1)+18,"00"),"")&amp;IF($C1565&gt;=20,", "&amp;$A1565&amp;"-"&amp;TEXT(($D1565-$C1565+1)+19,"00"),"")&amp;IF($C1565&gt;=21,", "&amp;$A1565&amp;"-"&amp;TEXT(($D1565-$C1565+1)+20,"00"),"")&amp;IF($C1565&gt;=22,", "&amp;$A1565&amp;"-"&amp;TEXT(($D1565-$C1565+1)+21,"00"),"")&amp;IF($C1565&gt;=23,", "&amp;$A1565&amp;"-"&amp;TEXT(($D1565-$C1565+1)+22,"00"),"")&amp;IF($C1565&gt;=24,", "&amp;$A1565&amp;"-"&amp;TEXT(($D1565-$C1565+1)+23,"00"),"")&amp;IF($C1565&gt;=25,", "&amp;$A1565&amp;"-"&amp;TEXT(($D1565-$C1565+1)+24,"00"),""))</f>
        <v/>
      </c>
      <c r="G1565">
        <f>IF($A1565="","",IF($E1565=1,$F1565,IF($F1565="",$G1564,IF($G1564="",$F1565,$G1564&amp;", "&amp;$F1565))))</f>
        <v/>
      </c>
      <c r="H1565">
        <f>IF($A1565="","",$A1565&amp;" ("&amp;$C1565&amp;")")</f>
        <v/>
      </c>
      <c r="I1565">
        <f>IF($A1565="","",IF($E1565=1,$H1565,$I1564&amp;", "&amp;$H1565))</f>
        <v/>
      </c>
      <c r="J1565">
        <f>IF($A1565="","",IF($E1565=1,$B1565,""))</f>
        <v/>
      </c>
      <c r="K1565">
        <f>IF($A1565="","",IF(COUNTIF($B$2:$B1565,$B1565)=COUNTIF($B$2:$B$1601,$B1565),$B1565,""))</f>
        <v/>
      </c>
    </row>
    <row r="1566">
      <c r="A1566">
        <f>IF('TMP Paste'!$E1566="","",'TMP Paste'!$E1566)</f>
        <v/>
      </c>
      <c r="B1566">
        <f>IF($A1566="","",COUNTIF('TMP Paste'!$B$2:$B1566,"?*"))</f>
        <v/>
      </c>
      <c r="C1566">
        <f>IF($A1566="","",IFERROR('TMP Paste'!$M1566*1,0))</f>
        <v/>
      </c>
      <c r="D1566">
        <f>IF($A1566="","",SUMIF($B$2:$B1566,$B1566,$C$2:$C1566))</f>
        <v/>
      </c>
      <c r="E1566">
        <f>IF($A1566="",0,IF('TMP Paste'!$B1566="",0,1))</f>
        <v/>
      </c>
      <c r="F1566">
        <f>IF(OR($A1566="",$C1566&lt;1),"",$A1566&amp;"-"&amp;TEXT(($D1566-$C1566+1),"00")&amp;IF($C1566&gt;=2,", "&amp;$A1566&amp;"-"&amp;TEXT(($D1566-$C1566+1)+1,"00"),"")&amp;IF($C1566&gt;=3,", "&amp;$A1566&amp;"-"&amp;TEXT(($D1566-$C1566+1)+2,"00"),"")&amp;IF($C1566&gt;=4,", "&amp;$A1566&amp;"-"&amp;TEXT(($D1566-$C1566+1)+3,"00"),"")&amp;IF($C1566&gt;=5,", "&amp;$A1566&amp;"-"&amp;TEXT(($D1566-$C1566+1)+4,"00"),"")&amp;IF($C1566&gt;=6,", "&amp;$A1566&amp;"-"&amp;TEXT(($D1566-$C1566+1)+5,"00"),"")&amp;IF($C1566&gt;=7,", "&amp;$A1566&amp;"-"&amp;TEXT(($D1566-$C1566+1)+6,"00"),"")&amp;IF($C1566&gt;=8,", "&amp;$A1566&amp;"-"&amp;TEXT(($D1566-$C1566+1)+7,"00"),"")&amp;IF($C1566&gt;=9,", "&amp;$A1566&amp;"-"&amp;TEXT(($D1566-$C1566+1)+8,"00"),"")&amp;IF($C1566&gt;=10,", "&amp;$A1566&amp;"-"&amp;TEXT(($D1566-$C1566+1)+9,"00"),"")&amp;IF($C1566&gt;=11,", "&amp;$A1566&amp;"-"&amp;TEXT(($D1566-$C1566+1)+10,"00"),"")&amp;IF($C1566&gt;=12,", "&amp;$A1566&amp;"-"&amp;TEXT(($D1566-$C1566+1)+11,"00"),"")&amp;IF($C1566&gt;=13,", "&amp;$A1566&amp;"-"&amp;TEXT(($D1566-$C1566+1)+12,"00"),"")&amp;IF($C1566&gt;=14,", "&amp;$A1566&amp;"-"&amp;TEXT(($D1566-$C1566+1)+13,"00"),"")&amp;IF($C1566&gt;=15,", "&amp;$A1566&amp;"-"&amp;TEXT(($D1566-$C1566+1)+14,"00"),"")&amp;IF($C1566&gt;=16,", "&amp;$A1566&amp;"-"&amp;TEXT(($D1566-$C1566+1)+15,"00"),"")&amp;IF($C1566&gt;=17,", "&amp;$A1566&amp;"-"&amp;TEXT(($D1566-$C1566+1)+16,"00"),"")&amp;IF($C1566&gt;=18,", "&amp;$A1566&amp;"-"&amp;TEXT(($D1566-$C1566+1)+17,"00"),"")&amp;IF($C1566&gt;=19,", "&amp;$A1566&amp;"-"&amp;TEXT(($D1566-$C1566+1)+18,"00"),"")&amp;IF($C1566&gt;=20,", "&amp;$A1566&amp;"-"&amp;TEXT(($D1566-$C1566+1)+19,"00"),"")&amp;IF($C1566&gt;=21,", "&amp;$A1566&amp;"-"&amp;TEXT(($D1566-$C1566+1)+20,"00"),"")&amp;IF($C1566&gt;=22,", "&amp;$A1566&amp;"-"&amp;TEXT(($D1566-$C1566+1)+21,"00"),"")&amp;IF($C1566&gt;=23,", "&amp;$A1566&amp;"-"&amp;TEXT(($D1566-$C1566+1)+22,"00"),"")&amp;IF($C1566&gt;=24,", "&amp;$A1566&amp;"-"&amp;TEXT(($D1566-$C1566+1)+23,"00"),"")&amp;IF($C1566&gt;=25,", "&amp;$A1566&amp;"-"&amp;TEXT(($D1566-$C1566+1)+24,"00"),""))</f>
        <v/>
      </c>
      <c r="G1566">
        <f>IF($A1566="","",IF($E1566=1,$F1566,IF($F1566="",$G1565,IF($G1565="",$F1566,$G1565&amp;", "&amp;$F1566))))</f>
        <v/>
      </c>
      <c r="H1566">
        <f>IF($A1566="","",$A1566&amp;" ("&amp;$C1566&amp;")")</f>
        <v/>
      </c>
      <c r="I1566">
        <f>IF($A1566="","",IF($E1566=1,$H1566,$I1565&amp;", "&amp;$H1566))</f>
        <v/>
      </c>
      <c r="J1566">
        <f>IF($A1566="","",IF($E1566=1,$B1566,""))</f>
        <v/>
      </c>
      <c r="K1566">
        <f>IF($A1566="","",IF(COUNTIF($B$2:$B1566,$B1566)=COUNTIF($B$2:$B$1601,$B1566),$B1566,""))</f>
        <v/>
      </c>
    </row>
    <row r="1567">
      <c r="A1567">
        <f>IF('TMP Paste'!$E1567="","",'TMP Paste'!$E1567)</f>
        <v/>
      </c>
      <c r="B1567">
        <f>IF($A1567="","",COUNTIF('TMP Paste'!$B$2:$B1567,"?*"))</f>
        <v/>
      </c>
      <c r="C1567">
        <f>IF($A1567="","",IFERROR('TMP Paste'!$M1567*1,0))</f>
        <v/>
      </c>
      <c r="D1567">
        <f>IF($A1567="","",SUMIF($B$2:$B1567,$B1567,$C$2:$C1567))</f>
        <v/>
      </c>
      <c r="E1567">
        <f>IF($A1567="",0,IF('TMP Paste'!$B1567="",0,1))</f>
        <v/>
      </c>
      <c r="F1567">
        <f>IF(OR($A1567="",$C1567&lt;1),"",$A1567&amp;"-"&amp;TEXT(($D1567-$C1567+1),"00")&amp;IF($C1567&gt;=2,", "&amp;$A1567&amp;"-"&amp;TEXT(($D1567-$C1567+1)+1,"00"),"")&amp;IF($C1567&gt;=3,", "&amp;$A1567&amp;"-"&amp;TEXT(($D1567-$C1567+1)+2,"00"),"")&amp;IF($C1567&gt;=4,", "&amp;$A1567&amp;"-"&amp;TEXT(($D1567-$C1567+1)+3,"00"),"")&amp;IF($C1567&gt;=5,", "&amp;$A1567&amp;"-"&amp;TEXT(($D1567-$C1567+1)+4,"00"),"")&amp;IF($C1567&gt;=6,", "&amp;$A1567&amp;"-"&amp;TEXT(($D1567-$C1567+1)+5,"00"),"")&amp;IF($C1567&gt;=7,", "&amp;$A1567&amp;"-"&amp;TEXT(($D1567-$C1567+1)+6,"00"),"")&amp;IF($C1567&gt;=8,", "&amp;$A1567&amp;"-"&amp;TEXT(($D1567-$C1567+1)+7,"00"),"")&amp;IF($C1567&gt;=9,", "&amp;$A1567&amp;"-"&amp;TEXT(($D1567-$C1567+1)+8,"00"),"")&amp;IF($C1567&gt;=10,", "&amp;$A1567&amp;"-"&amp;TEXT(($D1567-$C1567+1)+9,"00"),"")&amp;IF($C1567&gt;=11,", "&amp;$A1567&amp;"-"&amp;TEXT(($D1567-$C1567+1)+10,"00"),"")&amp;IF($C1567&gt;=12,", "&amp;$A1567&amp;"-"&amp;TEXT(($D1567-$C1567+1)+11,"00"),"")&amp;IF($C1567&gt;=13,", "&amp;$A1567&amp;"-"&amp;TEXT(($D1567-$C1567+1)+12,"00"),"")&amp;IF($C1567&gt;=14,", "&amp;$A1567&amp;"-"&amp;TEXT(($D1567-$C1567+1)+13,"00"),"")&amp;IF($C1567&gt;=15,", "&amp;$A1567&amp;"-"&amp;TEXT(($D1567-$C1567+1)+14,"00"),"")&amp;IF($C1567&gt;=16,", "&amp;$A1567&amp;"-"&amp;TEXT(($D1567-$C1567+1)+15,"00"),"")&amp;IF($C1567&gt;=17,", "&amp;$A1567&amp;"-"&amp;TEXT(($D1567-$C1567+1)+16,"00"),"")&amp;IF($C1567&gt;=18,", "&amp;$A1567&amp;"-"&amp;TEXT(($D1567-$C1567+1)+17,"00"),"")&amp;IF($C1567&gt;=19,", "&amp;$A1567&amp;"-"&amp;TEXT(($D1567-$C1567+1)+18,"00"),"")&amp;IF($C1567&gt;=20,", "&amp;$A1567&amp;"-"&amp;TEXT(($D1567-$C1567+1)+19,"00"),"")&amp;IF($C1567&gt;=21,", "&amp;$A1567&amp;"-"&amp;TEXT(($D1567-$C1567+1)+20,"00"),"")&amp;IF($C1567&gt;=22,", "&amp;$A1567&amp;"-"&amp;TEXT(($D1567-$C1567+1)+21,"00"),"")&amp;IF($C1567&gt;=23,", "&amp;$A1567&amp;"-"&amp;TEXT(($D1567-$C1567+1)+22,"00"),"")&amp;IF($C1567&gt;=24,", "&amp;$A1567&amp;"-"&amp;TEXT(($D1567-$C1567+1)+23,"00"),"")&amp;IF($C1567&gt;=25,", "&amp;$A1567&amp;"-"&amp;TEXT(($D1567-$C1567+1)+24,"00"),""))</f>
        <v/>
      </c>
      <c r="G1567">
        <f>IF($A1567="","",IF($E1567=1,$F1567,IF($F1567="",$G1566,IF($G1566="",$F1567,$G1566&amp;", "&amp;$F1567))))</f>
        <v/>
      </c>
      <c r="H1567">
        <f>IF($A1567="","",$A1567&amp;" ("&amp;$C1567&amp;")")</f>
        <v/>
      </c>
      <c r="I1567">
        <f>IF($A1567="","",IF($E1567=1,$H1567,$I1566&amp;", "&amp;$H1567))</f>
        <v/>
      </c>
      <c r="J1567">
        <f>IF($A1567="","",IF($E1567=1,$B1567,""))</f>
        <v/>
      </c>
      <c r="K1567">
        <f>IF($A1567="","",IF(COUNTIF($B$2:$B1567,$B1567)=COUNTIF($B$2:$B$1601,$B1567),$B1567,""))</f>
        <v/>
      </c>
    </row>
    <row r="1568">
      <c r="A1568">
        <f>IF('TMP Paste'!$E1568="","",'TMP Paste'!$E1568)</f>
        <v/>
      </c>
      <c r="B1568">
        <f>IF($A1568="","",COUNTIF('TMP Paste'!$B$2:$B1568,"?*"))</f>
        <v/>
      </c>
      <c r="C1568">
        <f>IF($A1568="","",IFERROR('TMP Paste'!$M1568*1,0))</f>
        <v/>
      </c>
      <c r="D1568">
        <f>IF($A1568="","",SUMIF($B$2:$B1568,$B1568,$C$2:$C1568))</f>
        <v/>
      </c>
      <c r="E1568">
        <f>IF($A1568="",0,IF('TMP Paste'!$B1568="",0,1))</f>
        <v/>
      </c>
      <c r="F1568">
        <f>IF(OR($A1568="",$C1568&lt;1),"",$A1568&amp;"-"&amp;TEXT(($D1568-$C1568+1),"00")&amp;IF($C1568&gt;=2,", "&amp;$A1568&amp;"-"&amp;TEXT(($D1568-$C1568+1)+1,"00"),"")&amp;IF($C1568&gt;=3,", "&amp;$A1568&amp;"-"&amp;TEXT(($D1568-$C1568+1)+2,"00"),"")&amp;IF($C1568&gt;=4,", "&amp;$A1568&amp;"-"&amp;TEXT(($D1568-$C1568+1)+3,"00"),"")&amp;IF($C1568&gt;=5,", "&amp;$A1568&amp;"-"&amp;TEXT(($D1568-$C1568+1)+4,"00"),"")&amp;IF($C1568&gt;=6,", "&amp;$A1568&amp;"-"&amp;TEXT(($D1568-$C1568+1)+5,"00"),"")&amp;IF($C1568&gt;=7,", "&amp;$A1568&amp;"-"&amp;TEXT(($D1568-$C1568+1)+6,"00"),"")&amp;IF($C1568&gt;=8,", "&amp;$A1568&amp;"-"&amp;TEXT(($D1568-$C1568+1)+7,"00"),"")&amp;IF($C1568&gt;=9,", "&amp;$A1568&amp;"-"&amp;TEXT(($D1568-$C1568+1)+8,"00"),"")&amp;IF($C1568&gt;=10,", "&amp;$A1568&amp;"-"&amp;TEXT(($D1568-$C1568+1)+9,"00"),"")&amp;IF($C1568&gt;=11,", "&amp;$A1568&amp;"-"&amp;TEXT(($D1568-$C1568+1)+10,"00"),"")&amp;IF($C1568&gt;=12,", "&amp;$A1568&amp;"-"&amp;TEXT(($D1568-$C1568+1)+11,"00"),"")&amp;IF($C1568&gt;=13,", "&amp;$A1568&amp;"-"&amp;TEXT(($D1568-$C1568+1)+12,"00"),"")&amp;IF($C1568&gt;=14,", "&amp;$A1568&amp;"-"&amp;TEXT(($D1568-$C1568+1)+13,"00"),"")&amp;IF($C1568&gt;=15,", "&amp;$A1568&amp;"-"&amp;TEXT(($D1568-$C1568+1)+14,"00"),"")&amp;IF($C1568&gt;=16,", "&amp;$A1568&amp;"-"&amp;TEXT(($D1568-$C1568+1)+15,"00"),"")&amp;IF($C1568&gt;=17,", "&amp;$A1568&amp;"-"&amp;TEXT(($D1568-$C1568+1)+16,"00"),"")&amp;IF($C1568&gt;=18,", "&amp;$A1568&amp;"-"&amp;TEXT(($D1568-$C1568+1)+17,"00"),"")&amp;IF($C1568&gt;=19,", "&amp;$A1568&amp;"-"&amp;TEXT(($D1568-$C1568+1)+18,"00"),"")&amp;IF($C1568&gt;=20,", "&amp;$A1568&amp;"-"&amp;TEXT(($D1568-$C1568+1)+19,"00"),"")&amp;IF($C1568&gt;=21,", "&amp;$A1568&amp;"-"&amp;TEXT(($D1568-$C1568+1)+20,"00"),"")&amp;IF($C1568&gt;=22,", "&amp;$A1568&amp;"-"&amp;TEXT(($D1568-$C1568+1)+21,"00"),"")&amp;IF($C1568&gt;=23,", "&amp;$A1568&amp;"-"&amp;TEXT(($D1568-$C1568+1)+22,"00"),"")&amp;IF($C1568&gt;=24,", "&amp;$A1568&amp;"-"&amp;TEXT(($D1568-$C1568+1)+23,"00"),"")&amp;IF($C1568&gt;=25,", "&amp;$A1568&amp;"-"&amp;TEXT(($D1568-$C1568+1)+24,"00"),""))</f>
        <v/>
      </c>
      <c r="G1568">
        <f>IF($A1568="","",IF($E1568=1,$F1568,IF($F1568="",$G1567,IF($G1567="",$F1568,$G1567&amp;", "&amp;$F1568))))</f>
        <v/>
      </c>
      <c r="H1568">
        <f>IF($A1568="","",$A1568&amp;" ("&amp;$C1568&amp;")")</f>
        <v/>
      </c>
      <c r="I1568">
        <f>IF($A1568="","",IF($E1568=1,$H1568,$I1567&amp;", "&amp;$H1568))</f>
        <v/>
      </c>
      <c r="J1568">
        <f>IF($A1568="","",IF($E1568=1,$B1568,""))</f>
        <v/>
      </c>
      <c r="K1568">
        <f>IF($A1568="","",IF(COUNTIF($B$2:$B1568,$B1568)=COUNTIF($B$2:$B$1601,$B1568),$B1568,""))</f>
        <v/>
      </c>
    </row>
    <row r="1569">
      <c r="A1569">
        <f>IF('TMP Paste'!$E1569="","",'TMP Paste'!$E1569)</f>
        <v/>
      </c>
      <c r="B1569">
        <f>IF($A1569="","",COUNTIF('TMP Paste'!$B$2:$B1569,"?*"))</f>
        <v/>
      </c>
      <c r="C1569">
        <f>IF($A1569="","",IFERROR('TMP Paste'!$M1569*1,0))</f>
        <v/>
      </c>
      <c r="D1569">
        <f>IF($A1569="","",SUMIF($B$2:$B1569,$B1569,$C$2:$C1569))</f>
        <v/>
      </c>
      <c r="E1569">
        <f>IF($A1569="",0,IF('TMP Paste'!$B1569="",0,1))</f>
        <v/>
      </c>
      <c r="F1569">
        <f>IF(OR($A1569="",$C1569&lt;1),"",$A1569&amp;"-"&amp;TEXT(($D1569-$C1569+1),"00")&amp;IF($C1569&gt;=2,", "&amp;$A1569&amp;"-"&amp;TEXT(($D1569-$C1569+1)+1,"00"),"")&amp;IF($C1569&gt;=3,", "&amp;$A1569&amp;"-"&amp;TEXT(($D1569-$C1569+1)+2,"00"),"")&amp;IF($C1569&gt;=4,", "&amp;$A1569&amp;"-"&amp;TEXT(($D1569-$C1569+1)+3,"00"),"")&amp;IF($C1569&gt;=5,", "&amp;$A1569&amp;"-"&amp;TEXT(($D1569-$C1569+1)+4,"00"),"")&amp;IF($C1569&gt;=6,", "&amp;$A1569&amp;"-"&amp;TEXT(($D1569-$C1569+1)+5,"00"),"")&amp;IF($C1569&gt;=7,", "&amp;$A1569&amp;"-"&amp;TEXT(($D1569-$C1569+1)+6,"00"),"")&amp;IF($C1569&gt;=8,", "&amp;$A1569&amp;"-"&amp;TEXT(($D1569-$C1569+1)+7,"00"),"")&amp;IF($C1569&gt;=9,", "&amp;$A1569&amp;"-"&amp;TEXT(($D1569-$C1569+1)+8,"00"),"")&amp;IF($C1569&gt;=10,", "&amp;$A1569&amp;"-"&amp;TEXT(($D1569-$C1569+1)+9,"00"),"")&amp;IF($C1569&gt;=11,", "&amp;$A1569&amp;"-"&amp;TEXT(($D1569-$C1569+1)+10,"00"),"")&amp;IF($C1569&gt;=12,", "&amp;$A1569&amp;"-"&amp;TEXT(($D1569-$C1569+1)+11,"00"),"")&amp;IF($C1569&gt;=13,", "&amp;$A1569&amp;"-"&amp;TEXT(($D1569-$C1569+1)+12,"00"),"")&amp;IF($C1569&gt;=14,", "&amp;$A1569&amp;"-"&amp;TEXT(($D1569-$C1569+1)+13,"00"),"")&amp;IF($C1569&gt;=15,", "&amp;$A1569&amp;"-"&amp;TEXT(($D1569-$C1569+1)+14,"00"),"")&amp;IF($C1569&gt;=16,", "&amp;$A1569&amp;"-"&amp;TEXT(($D1569-$C1569+1)+15,"00"),"")&amp;IF($C1569&gt;=17,", "&amp;$A1569&amp;"-"&amp;TEXT(($D1569-$C1569+1)+16,"00"),"")&amp;IF($C1569&gt;=18,", "&amp;$A1569&amp;"-"&amp;TEXT(($D1569-$C1569+1)+17,"00"),"")&amp;IF($C1569&gt;=19,", "&amp;$A1569&amp;"-"&amp;TEXT(($D1569-$C1569+1)+18,"00"),"")&amp;IF($C1569&gt;=20,", "&amp;$A1569&amp;"-"&amp;TEXT(($D1569-$C1569+1)+19,"00"),"")&amp;IF($C1569&gt;=21,", "&amp;$A1569&amp;"-"&amp;TEXT(($D1569-$C1569+1)+20,"00"),"")&amp;IF($C1569&gt;=22,", "&amp;$A1569&amp;"-"&amp;TEXT(($D1569-$C1569+1)+21,"00"),"")&amp;IF($C1569&gt;=23,", "&amp;$A1569&amp;"-"&amp;TEXT(($D1569-$C1569+1)+22,"00"),"")&amp;IF($C1569&gt;=24,", "&amp;$A1569&amp;"-"&amp;TEXT(($D1569-$C1569+1)+23,"00"),"")&amp;IF($C1569&gt;=25,", "&amp;$A1569&amp;"-"&amp;TEXT(($D1569-$C1569+1)+24,"00"),""))</f>
        <v/>
      </c>
      <c r="G1569">
        <f>IF($A1569="","",IF($E1569=1,$F1569,IF($F1569="",$G1568,IF($G1568="",$F1569,$G1568&amp;", "&amp;$F1569))))</f>
        <v/>
      </c>
      <c r="H1569">
        <f>IF($A1569="","",$A1569&amp;" ("&amp;$C1569&amp;")")</f>
        <v/>
      </c>
      <c r="I1569">
        <f>IF($A1569="","",IF($E1569=1,$H1569,$I1568&amp;", "&amp;$H1569))</f>
        <v/>
      </c>
      <c r="J1569">
        <f>IF($A1569="","",IF($E1569=1,$B1569,""))</f>
        <v/>
      </c>
      <c r="K1569">
        <f>IF($A1569="","",IF(COUNTIF($B$2:$B1569,$B1569)=COUNTIF($B$2:$B$1601,$B1569),$B1569,""))</f>
        <v/>
      </c>
    </row>
    <row r="1570">
      <c r="A1570">
        <f>IF('TMP Paste'!$E1570="","",'TMP Paste'!$E1570)</f>
        <v/>
      </c>
      <c r="B1570">
        <f>IF($A1570="","",COUNTIF('TMP Paste'!$B$2:$B1570,"?*"))</f>
        <v/>
      </c>
      <c r="C1570">
        <f>IF($A1570="","",IFERROR('TMP Paste'!$M1570*1,0))</f>
        <v/>
      </c>
      <c r="D1570">
        <f>IF($A1570="","",SUMIF($B$2:$B1570,$B1570,$C$2:$C1570))</f>
        <v/>
      </c>
      <c r="E1570">
        <f>IF($A1570="",0,IF('TMP Paste'!$B1570="",0,1))</f>
        <v/>
      </c>
      <c r="F1570">
        <f>IF(OR($A1570="",$C1570&lt;1),"",$A1570&amp;"-"&amp;TEXT(($D1570-$C1570+1),"00")&amp;IF($C1570&gt;=2,", "&amp;$A1570&amp;"-"&amp;TEXT(($D1570-$C1570+1)+1,"00"),"")&amp;IF($C1570&gt;=3,", "&amp;$A1570&amp;"-"&amp;TEXT(($D1570-$C1570+1)+2,"00"),"")&amp;IF($C1570&gt;=4,", "&amp;$A1570&amp;"-"&amp;TEXT(($D1570-$C1570+1)+3,"00"),"")&amp;IF($C1570&gt;=5,", "&amp;$A1570&amp;"-"&amp;TEXT(($D1570-$C1570+1)+4,"00"),"")&amp;IF($C1570&gt;=6,", "&amp;$A1570&amp;"-"&amp;TEXT(($D1570-$C1570+1)+5,"00"),"")&amp;IF($C1570&gt;=7,", "&amp;$A1570&amp;"-"&amp;TEXT(($D1570-$C1570+1)+6,"00"),"")&amp;IF($C1570&gt;=8,", "&amp;$A1570&amp;"-"&amp;TEXT(($D1570-$C1570+1)+7,"00"),"")&amp;IF($C1570&gt;=9,", "&amp;$A1570&amp;"-"&amp;TEXT(($D1570-$C1570+1)+8,"00"),"")&amp;IF($C1570&gt;=10,", "&amp;$A1570&amp;"-"&amp;TEXT(($D1570-$C1570+1)+9,"00"),"")&amp;IF($C1570&gt;=11,", "&amp;$A1570&amp;"-"&amp;TEXT(($D1570-$C1570+1)+10,"00"),"")&amp;IF($C1570&gt;=12,", "&amp;$A1570&amp;"-"&amp;TEXT(($D1570-$C1570+1)+11,"00"),"")&amp;IF($C1570&gt;=13,", "&amp;$A1570&amp;"-"&amp;TEXT(($D1570-$C1570+1)+12,"00"),"")&amp;IF($C1570&gt;=14,", "&amp;$A1570&amp;"-"&amp;TEXT(($D1570-$C1570+1)+13,"00"),"")&amp;IF($C1570&gt;=15,", "&amp;$A1570&amp;"-"&amp;TEXT(($D1570-$C1570+1)+14,"00"),"")&amp;IF($C1570&gt;=16,", "&amp;$A1570&amp;"-"&amp;TEXT(($D1570-$C1570+1)+15,"00"),"")&amp;IF($C1570&gt;=17,", "&amp;$A1570&amp;"-"&amp;TEXT(($D1570-$C1570+1)+16,"00"),"")&amp;IF($C1570&gt;=18,", "&amp;$A1570&amp;"-"&amp;TEXT(($D1570-$C1570+1)+17,"00"),"")&amp;IF($C1570&gt;=19,", "&amp;$A1570&amp;"-"&amp;TEXT(($D1570-$C1570+1)+18,"00"),"")&amp;IF($C1570&gt;=20,", "&amp;$A1570&amp;"-"&amp;TEXT(($D1570-$C1570+1)+19,"00"),"")&amp;IF($C1570&gt;=21,", "&amp;$A1570&amp;"-"&amp;TEXT(($D1570-$C1570+1)+20,"00"),"")&amp;IF($C1570&gt;=22,", "&amp;$A1570&amp;"-"&amp;TEXT(($D1570-$C1570+1)+21,"00"),"")&amp;IF($C1570&gt;=23,", "&amp;$A1570&amp;"-"&amp;TEXT(($D1570-$C1570+1)+22,"00"),"")&amp;IF($C1570&gt;=24,", "&amp;$A1570&amp;"-"&amp;TEXT(($D1570-$C1570+1)+23,"00"),"")&amp;IF($C1570&gt;=25,", "&amp;$A1570&amp;"-"&amp;TEXT(($D1570-$C1570+1)+24,"00"),""))</f>
        <v/>
      </c>
      <c r="G1570">
        <f>IF($A1570="","",IF($E1570=1,$F1570,IF($F1570="",$G1569,IF($G1569="",$F1570,$G1569&amp;", "&amp;$F1570))))</f>
        <v/>
      </c>
      <c r="H1570">
        <f>IF($A1570="","",$A1570&amp;" ("&amp;$C1570&amp;")")</f>
        <v/>
      </c>
      <c r="I1570">
        <f>IF($A1570="","",IF($E1570=1,$H1570,$I1569&amp;", "&amp;$H1570))</f>
        <v/>
      </c>
      <c r="J1570">
        <f>IF($A1570="","",IF($E1570=1,$B1570,""))</f>
        <v/>
      </c>
      <c r="K1570">
        <f>IF($A1570="","",IF(COUNTIF($B$2:$B1570,$B1570)=COUNTIF($B$2:$B$1601,$B1570),$B1570,""))</f>
        <v/>
      </c>
    </row>
    <row r="1571">
      <c r="A1571">
        <f>IF('TMP Paste'!$E1571="","",'TMP Paste'!$E1571)</f>
        <v/>
      </c>
      <c r="B1571">
        <f>IF($A1571="","",COUNTIF('TMP Paste'!$B$2:$B1571,"?*"))</f>
        <v/>
      </c>
      <c r="C1571">
        <f>IF($A1571="","",IFERROR('TMP Paste'!$M1571*1,0))</f>
        <v/>
      </c>
      <c r="D1571">
        <f>IF($A1571="","",SUMIF($B$2:$B1571,$B1571,$C$2:$C1571))</f>
        <v/>
      </c>
      <c r="E1571">
        <f>IF($A1571="",0,IF('TMP Paste'!$B1571="",0,1))</f>
        <v/>
      </c>
      <c r="F1571">
        <f>IF(OR($A1571="",$C1571&lt;1),"",$A1571&amp;"-"&amp;TEXT(($D1571-$C1571+1),"00")&amp;IF($C1571&gt;=2,", "&amp;$A1571&amp;"-"&amp;TEXT(($D1571-$C1571+1)+1,"00"),"")&amp;IF($C1571&gt;=3,", "&amp;$A1571&amp;"-"&amp;TEXT(($D1571-$C1571+1)+2,"00"),"")&amp;IF($C1571&gt;=4,", "&amp;$A1571&amp;"-"&amp;TEXT(($D1571-$C1571+1)+3,"00"),"")&amp;IF($C1571&gt;=5,", "&amp;$A1571&amp;"-"&amp;TEXT(($D1571-$C1571+1)+4,"00"),"")&amp;IF($C1571&gt;=6,", "&amp;$A1571&amp;"-"&amp;TEXT(($D1571-$C1571+1)+5,"00"),"")&amp;IF($C1571&gt;=7,", "&amp;$A1571&amp;"-"&amp;TEXT(($D1571-$C1571+1)+6,"00"),"")&amp;IF($C1571&gt;=8,", "&amp;$A1571&amp;"-"&amp;TEXT(($D1571-$C1571+1)+7,"00"),"")&amp;IF($C1571&gt;=9,", "&amp;$A1571&amp;"-"&amp;TEXT(($D1571-$C1571+1)+8,"00"),"")&amp;IF($C1571&gt;=10,", "&amp;$A1571&amp;"-"&amp;TEXT(($D1571-$C1571+1)+9,"00"),"")&amp;IF($C1571&gt;=11,", "&amp;$A1571&amp;"-"&amp;TEXT(($D1571-$C1571+1)+10,"00"),"")&amp;IF($C1571&gt;=12,", "&amp;$A1571&amp;"-"&amp;TEXT(($D1571-$C1571+1)+11,"00"),"")&amp;IF($C1571&gt;=13,", "&amp;$A1571&amp;"-"&amp;TEXT(($D1571-$C1571+1)+12,"00"),"")&amp;IF($C1571&gt;=14,", "&amp;$A1571&amp;"-"&amp;TEXT(($D1571-$C1571+1)+13,"00"),"")&amp;IF($C1571&gt;=15,", "&amp;$A1571&amp;"-"&amp;TEXT(($D1571-$C1571+1)+14,"00"),"")&amp;IF($C1571&gt;=16,", "&amp;$A1571&amp;"-"&amp;TEXT(($D1571-$C1571+1)+15,"00"),"")&amp;IF($C1571&gt;=17,", "&amp;$A1571&amp;"-"&amp;TEXT(($D1571-$C1571+1)+16,"00"),"")&amp;IF($C1571&gt;=18,", "&amp;$A1571&amp;"-"&amp;TEXT(($D1571-$C1571+1)+17,"00"),"")&amp;IF($C1571&gt;=19,", "&amp;$A1571&amp;"-"&amp;TEXT(($D1571-$C1571+1)+18,"00"),"")&amp;IF($C1571&gt;=20,", "&amp;$A1571&amp;"-"&amp;TEXT(($D1571-$C1571+1)+19,"00"),"")&amp;IF($C1571&gt;=21,", "&amp;$A1571&amp;"-"&amp;TEXT(($D1571-$C1571+1)+20,"00"),"")&amp;IF($C1571&gt;=22,", "&amp;$A1571&amp;"-"&amp;TEXT(($D1571-$C1571+1)+21,"00"),"")&amp;IF($C1571&gt;=23,", "&amp;$A1571&amp;"-"&amp;TEXT(($D1571-$C1571+1)+22,"00"),"")&amp;IF($C1571&gt;=24,", "&amp;$A1571&amp;"-"&amp;TEXT(($D1571-$C1571+1)+23,"00"),"")&amp;IF($C1571&gt;=25,", "&amp;$A1571&amp;"-"&amp;TEXT(($D1571-$C1571+1)+24,"00"),""))</f>
        <v/>
      </c>
      <c r="G1571">
        <f>IF($A1571="","",IF($E1571=1,$F1571,IF($F1571="",$G1570,IF($G1570="",$F1571,$G1570&amp;", "&amp;$F1571))))</f>
        <v/>
      </c>
      <c r="H1571">
        <f>IF($A1571="","",$A1571&amp;" ("&amp;$C1571&amp;")")</f>
        <v/>
      </c>
      <c r="I1571">
        <f>IF($A1571="","",IF($E1571=1,$H1571,$I1570&amp;", "&amp;$H1571))</f>
        <v/>
      </c>
      <c r="J1571">
        <f>IF($A1571="","",IF($E1571=1,$B1571,""))</f>
        <v/>
      </c>
      <c r="K1571">
        <f>IF($A1571="","",IF(COUNTIF($B$2:$B1571,$B1571)=COUNTIF($B$2:$B$1601,$B1571),$B1571,""))</f>
        <v/>
      </c>
    </row>
    <row r="1572">
      <c r="A1572">
        <f>IF('TMP Paste'!$E1572="","",'TMP Paste'!$E1572)</f>
        <v/>
      </c>
      <c r="B1572">
        <f>IF($A1572="","",COUNTIF('TMP Paste'!$B$2:$B1572,"?*"))</f>
        <v/>
      </c>
      <c r="C1572">
        <f>IF($A1572="","",IFERROR('TMP Paste'!$M1572*1,0))</f>
        <v/>
      </c>
      <c r="D1572">
        <f>IF($A1572="","",SUMIF($B$2:$B1572,$B1572,$C$2:$C1572))</f>
        <v/>
      </c>
      <c r="E1572">
        <f>IF($A1572="",0,IF('TMP Paste'!$B1572="",0,1))</f>
        <v/>
      </c>
      <c r="F1572">
        <f>IF(OR($A1572="",$C1572&lt;1),"",$A1572&amp;"-"&amp;TEXT(($D1572-$C1572+1),"00")&amp;IF($C1572&gt;=2,", "&amp;$A1572&amp;"-"&amp;TEXT(($D1572-$C1572+1)+1,"00"),"")&amp;IF($C1572&gt;=3,", "&amp;$A1572&amp;"-"&amp;TEXT(($D1572-$C1572+1)+2,"00"),"")&amp;IF($C1572&gt;=4,", "&amp;$A1572&amp;"-"&amp;TEXT(($D1572-$C1572+1)+3,"00"),"")&amp;IF($C1572&gt;=5,", "&amp;$A1572&amp;"-"&amp;TEXT(($D1572-$C1572+1)+4,"00"),"")&amp;IF($C1572&gt;=6,", "&amp;$A1572&amp;"-"&amp;TEXT(($D1572-$C1572+1)+5,"00"),"")&amp;IF($C1572&gt;=7,", "&amp;$A1572&amp;"-"&amp;TEXT(($D1572-$C1572+1)+6,"00"),"")&amp;IF($C1572&gt;=8,", "&amp;$A1572&amp;"-"&amp;TEXT(($D1572-$C1572+1)+7,"00"),"")&amp;IF($C1572&gt;=9,", "&amp;$A1572&amp;"-"&amp;TEXT(($D1572-$C1572+1)+8,"00"),"")&amp;IF($C1572&gt;=10,", "&amp;$A1572&amp;"-"&amp;TEXT(($D1572-$C1572+1)+9,"00"),"")&amp;IF($C1572&gt;=11,", "&amp;$A1572&amp;"-"&amp;TEXT(($D1572-$C1572+1)+10,"00"),"")&amp;IF($C1572&gt;=12,", "&amp;$A1572&amp;"-"&amp;TEXT(($D1572-$C1572+1)+11,"00"),"")&amp;IF($C1572&gt;=13,", "&amp;$A1572&amp;"-"&amp;TEXT(($D1572-$C1572+1)+12,"00"),"")&amp;IF($C1572&gt;=14,", "&amp;$A1572&amp;"-"&amp;TEXT(($D1572-$C1572+1)+13,"00"),"")&amp;IF($C1572&gt;=15,", "&amp;$A1572&amp;"-"&amp;TEXT(($D1572-$C1572+1)+14,"00"),"")&amp;IF($C1572&gt;=16,", "&amp;$A1572&amp;"-"&amp;TEXT(($D1572-$C1572+1)+15,"00"),"")&amp;IF($C1572&gt;=17,", "&amp;$A1572&amp;"-"&amp;TEXT(($D1572-$C1572+1)+16,"00"),"")&amp;IF($C1572&gt;=18,", "&amp;$A1572&amp;"-"&amp;TEXT(($D1572-$C1572+1)+17,"00"),"")&amp;IF($C1572&gt;=19,", "&amp;$A1572&amp;"-"&amp;TEXT(($D1572-$C1572+1)+18,"00"),"")&amp;IF($C1572&gt;=20,", "&amp;$A1572&amp;"-"&amp;TEXT(($D1572-$C1572+1)+19,"00"),"")&amp;IF($C1572&gt;=21,", "&amp;$A1572&amp;"-"&amp;TEXT(($D1572-$C1572+1)+20,"00"),"")&amp;IF($C1572&gt;=22,", "&amp;$A1572&amp;"-"&amp;TEXT(($D1572-$C1572+1)+21,"00"),"")&amp;IF($C1572&gt;=23,", "&amp;$A1572&amp;"-"&amp;TEXT(($D1572-$C1572+1)+22,"00"),"")&amp;IF($C1572&gt;=24,", "&amp;$A1572&amp;"-"&amp;TEXT(($D1572-$C1572+1)+23,"00"),"")&amp;IF($C1572&gt;=25,", "&amp;$A1572&amp;"-"&amp;TEXT(($D1572-$C1572+1)+24,"00"),""))</f>
        <v/>
      </c>
      <c r="G1572">
        <f>IF($A1572="","",IF($E1572=1,$F1572,IF($F1572="",$G1571,IF($G1571="",$F1572,$G1571&amp;", "&amp;$F1572))))</f>
        <v/>
      </c>
      <c r="H1572">
        <f>IF($A1572="","",$A1572&amp;" ("&amp;$C1572&amp;")")</f>
        <v/>
      </c>
      <c r="I1572">
        <f>IF($A1572="","",IF($E1572=1,$H1572,$I1571&amp;", "&amp;$H1572))</f>
        <v/>
      </c>
      <c r="J1572">
        <f>IF($A1572="","",IF($E1572=1,$B1572,""))</f>
        <v/>
      </c>
      <c r="K1572">
        <f>IF($A1572="","",IF(COUNTIF($B$2:$B1572,$B1572)=COUNTIF($B$2:$B$1601,$B1572),$B1572,""))</f>
        <v/>
      </c>
    </row>
    <row r="1573">
      <c r="A1573">
        <f>IF('TMP Paste'!$E1573="","",'TMP Paste'!$E1573)</f>
        <v/>
      </c>
      <c r="B1573">
        <f>IF($A1573="","",COUNTIF('TMP Paste'!$B$2:$B1573,"?*"))</f>
        <v/>
      </c>
      <c r="C1573">
        <f>IF($A1573="","",IFERROR('TMP Paste'!$M1573*1,0))</f>
        <v/>
      </c>
      <c r="D1573">
        <f>IF($A1573="","",SUMIF($B$2:$B1573,$B1573,$C$2:$C1573))</f>
        <v/>
      </c>
      <c r="E1573">
        <f>IF($A1573="",0,IF('TMP Paste'!$B1573="",0,1))</f>
        <v/>
      </c>
      <c r="F1573">
        <f>IF(OR($A1573="",$C1573&lt;1),"",$A1573&amp;"-"&amp;TEXT(($D1573-$C1573+1),"00")&amp;IF($C1573&gt;=2,", "&amp;$A1573&amp;"-"&amp;TEXT(($D1573-$C1573+1)+1,"00"),"")&amp;IF($C1573&gt;=3,", "&amp;$A1573&amp;"-"&amp;TEXT(($D1573-$C1573+1)+2,"00"),"")&amp;IF($C1573&gt;=4,", "&amp;$A1573&amp;"-"&amp;TEXT(($D1573-$C1573+1)+3,"00"),"")&amp;IF($C1573&gt;=5,", "&amp;$A1573&amp;"-"&amp;TEXT(($D1573-$C1573+1)+4,"00"),"")&amp;IF($C1573&gt;=6,", "&amp;$A1573&amp;"-"&amp;TEXT(($D1573-$C1573+1)+5,"00"),"")&amp;IF($C1573&gt;=7,", "&amp;$A1573&amp;"-"&amp;TEXT(($D1573-$C1573+1)+6,"00"),"")&amp;IF($C1573&gt;=8,", "&amp;$A1573&amp;"-"&amp;TEXT(($D1573-$C1573+1)+7,"00"),"")&amp;IF($C1573&gt;=9,", "&amp;$A1573&amp;"-"&amp;TEXT(($D1573-$C1573+1)+8,"00"),"")&amp;IF($C1573&gt;=10,", "&amp;$A1573&amp;"-"&amp;TEXT(($D1573-$C1573+1)+9,"00"),"")&amp;IF($C1573&gt;=11,", "&amp;$A1573&amp;"-"&amp;TEXT(($D1573-$C1573+1)+10,"00"),"")&amp;IF($C1573&gt;=12,", "&amp;$A1573&amp;"-"&amp;TEXT(($D1573-$C1573+1)+11,"00"),"")&amp;IF($C1573&gt;=13,", "&amp;$A1573&amp;"-"&amp;TEXT(($D1573-$C1573+1)+12,"00"),"")&amp;IF($C1573&gt;=14,", "&amp;$A1573&amp;"-"&amp;TEXT(($D1573-$C1573+1)+13,"00"),"")&amp;IF($C1573&gt;=15,", "&amp;$A1573&amp;"-"&amp;TEXT(($D1573-$C1573+1)+14,"00"),"")&amp;IF($C1573&gt;=16,", "&amp;$A1573&amp;"-"&amp;TEXT(($D1573-$C1573+1)+15,"00"),"")&amp;IF($C1573&gt;=17,", "&amp;$A1573&amp;"-"&amp;TEXT(($D1573-$C1573+1)+16,"00"),"")&amp;IF($C1573&gt;=18,", "&amp;$A1573&amp;"-"&amp;TEXT(($D1573-$C1573+1)+17,"00"),"")&amp;IF($C1573&gt;=19,", "&amp;$A1573&amp;"-"&amp;TEXT(($D1573-$C1573+1)+18,"00"),"")&amp;IF($C1573&gt;=20,", "&amp;$A1573&amp;"-"&amp;TEXT(($D1573-$C1573+1)+19,"00"),"")&amp;IF($C1573&gt;=21,", "&amp;$A1573&amp;"-"&amp;TEXT(($D1573-$C1573+1)+20,"00"),"")&amp;IF($C1573&gt;=22,", "&amp;$A1573&amp;"-"&amp;TEXT(($D1573-$C1573+1)+21,"00"),"")&amp;IF($C1573&gt;=23,", "&amp;$A1573&amp;"-"&amp;TEXT(($D1573-$C1573+1)+22,"00"),"")&amp;IF($C1573&gt;=24,", "&amp;$A1573&amp;"-"&amp;TEXT(($D1573-$C1573+1)+23,"00"),"")&amp;IF($C1573&gt;=25,", "&amp;$A1573&amp;"-"&amp;TEXT(($D1573-$C1573+1)+24,"00"),""))</f>
        <v/>
      </c>
      <c r="G1573">
        <f>IF($A1573="","",IF($E1573=1,$F1573,IF($F1573="",$G1572,IF($G1572="",$F1573,$G1572&amp;", "&amp;$F1573))))</f>
        <v/>
      </c>
      <c r="H1573">
        <f>IF($A1573="","",$A1573&amp;" ("&amp;$C1573&amp;")")</f>
        <v/>
      </c>
      <c r="I1573">
        <f>IF($A1573="","",IF($E1573=1,$H1573,$I1572&amp;", "&amp;$H1573))</f>
        <v/>
      </c>
      <c r="J1573">
        <f>IF($A1573="","",IF($E1573=1,$B1573,""))</f>
        <v/>
      </c>
      <c r="K1573">
        <f>IF($A1573="","",IF(COUNTIF($B$2:$B1573,$B1573)=COUNTIF($B$2:$B$1601,$B1573),$B1573,""))</f>
        <v/>
      </c>
    </row>
    <row r="1574">
      <c r="A1574">
        <f>IF('TMP Paste'!$E1574="","",'TMP Paste'!$E1574)</f>
        <v/>
      </c>
      <c r="B1574">
        <f>IF($A1574="","",COUNTIF('TMP Paste'!$B$2:$B1574,"?*"))</f>
        <v/>
      </c>
      <c r="C1574">
        <f>IF($A1574="","",IFERROR('TMP Paste'!$M1574*1,0))</f>
        <v/>
      </c>
      <c r="D1574">
        <f>IF($A1574="","",SUMIF($B$2:$B1574,$B1574,$C$2:$C1574))</f>
        <v/>
      </c>
      <c r="E1574">
        <f>IF($A1574="",0,IF('TMP Paste'!$B1574="",0,1))</f>
        <v/>
      </c>
      <c r="F1574">
        <f>IF(OR($A1574="",$C1574&lt;1),"",$A1574&amp;"-"&amp;TEXT(($D1574-$C1574+1),"00")&amp;IF($C1574&gt;=2,", "&amp;$A1574&amp;"-"&amp;TEXT(($D1574-$C1574+1)+1,"00"),"")&amp;IF($C1574&gt;=3,", "&amp;$A1574&amp;"-"&amp;TEXT(($D1574-$C1574+1)+2,"00"),"")&amp;IF($C1574&gt;=4,", "&amp;$A1574&amp;"-"&amp;TEXT(($D1574-$C1574+1)+3,"00"),"")&amp;IF($C1574&gt;=5,", "&amp;$A1574&amp;"-"&amp;TEXT(($D1574-$C1574+1)+4,"00"),"")&amp;IF($C1574&gt;=6,", "&amp;$A1574&amp;"-"&amp;TEXT(($D1574-$C1574+1)+5,"00"),"")&amp;IF($C1574&gt;=7,", "&amp;$A1574&amp;"-"&amp;TEXT(($D1574-$C1574+1)+6,"00"),"")&amp;IF($C1574&gt;=8,", "&amp;$A1574&amp;"-"&amp;TEXT(($D1574-$C1574+1)+7,"00"),"")&amp;IF($C1574&gt;=9,", "&amp;$A1574&amp;"-"&amp;TEXT(($D1574-$C1574+1)+8,"00"),"")&amp;IF($C1574&gt;=10,", "&amp;$A1574&amp;"-"&amp;TEXT(($D1574-$C1574+1)+9,"00"),"")&amp;IF($C1574&gt;=11,", "&amp;$A1574&amp;"-"&amp;TEXT(($D1574-$C1574+1)+10,"00"),"")&amp;IF($C1574&gt;=12,", "&amp;$A1574&amp;"-"&amp;TEXT(($D1574-$C1574+1)+11,"00"),"")&amp;IF($C1574&gt;=13,", "&amp;$A1574&amp;"-"&amp;TEXT(($D1574-$C1574+1)+12,"00"),"")&amp;IF($C1574&gt;=14,", "&amp;$A1574&amp;"-"&amp;TEXT(($D1574-$C1574+1)+13,"00"),"")&amp;IF($C1574&gt;=15,", "&amp;$A1574&amp;"-"&amp;TEXT(($D1574-$C1574+1)+14,"00"),"")&amp;IF($C1574&gt;=16,", "&amp;$A1574&amp;"-"&amp;TEXT(($D1574-$C1574+1)+15,"00"),"")&amp;IF($C1574&gt;=17,", "&amp;$A1574&amp;"-"&amp;TEXT(($D1574-$C1574+1)+16,"00"),"")&amp;IF($C1574&gt;=18,", "&amp;$A1574&amp;"-"&amp;TEXT(($D1574-$C1574+1)+17,"00"),"")&amp;IF($C1574&gt;=19,", "&amp;$A1574&amp;"-"&amp;TEXT(($D1574-$C1574+1)+18,"00"),"")&amp;IF($C1574&gt;=20,", "&amp;$A1574&amp;"-"&amp;TEXT(($D1574-$C1574+1)+19,"00"),"")&amp;IF($C1574&gt;=21,", "&amp;$A1574&amp;"-"&amp;TEXT(($D1574-$C1574+1)+20,"00"),"")&amp;IF($C1574&gt;=22,", "&amp;$A1574&amp;"-"&amp;TEXT(($D1574-$C1574+1)+21,"00"),"")&amp;IF($C1574&gt;=23,", "&amp;$A1574&amp;"-"&amp;TEXT(($D1574-$C1574+1)+22,"00"),"")&amp;IF($C1574&gt;=24,", "&amp;$A1574&amp;"-"&amp;TEXT(($D1574-$C1574+1)+23,"00"),"")&amp;IF($C1574&gt;=25,", "&amp;$A1574&amp;"-"&amp;TEXT(($D1574-$C1574+1)+24,"00"),""))</f>
        <v/>
      </c>
      <c r="G1574">
        <f>IF($A1574="","",IF($E1574=1,$F1574,IF($F1574="",$G1573,IF($G1573="",$F1574,$G1573&amp;", "&amp;$F1574))))</f>
        <v/>
      </c>
      <c r="H1574">
        <f>IF($A1574="","",$A1574&amp;" ("&amp;$C1574&amp;")")</f>
        <v/>
      </c>
      <c r="I1574">
        <f>IF($A1574="","",IF($E1574=1,$H1574,$I1573&amp;", "&amp;$H1574))</f>
        <v/>
      </c>
      <c r="J1574">
        <f>IF($A1574="","",IF($E1574=1,$B1574,""))</f>
        <v/>
      </c>
      <c r="K1574">
        <f>IF($A1574="","",IF(COUNTIF($B$2:$B1574,$B1574)=COUNTIF($B$2:$B$1601,$B1574),$B1574,""))</f>
        <v/>
      </c>
    </row>
    <row r="1575">
      <c r="A1575">
        <f>IF('TMP Paste'!$E1575="","",'TMP Paste'!$E1575)</f>
        <v/>
      </c>
      <c r="B1575">
        <f>IF($A1575="","",COUNTIF('TMP Paste'!$B$2:$B1575,"?*"))</f>
        <v/>
      </c>
      <c r="C1575">
        <f>IF($A1575="","",IFERROR('TMP Paste'!$M1575*1,0))</f>
        <v/>
      </c>
      <c r="D1575">
        <f>IF($A1575="","",SUMIF($B$2:$B1575,$B1575,$C$2:$C1575))</f>
        <v/>
      </c>
      <c r="E1575">
        <f>IF($A1575="",0,IF('TMP Paste'!$B1575="",0,1))</f>
        <v/>
      </c>
      <c r="F1575">
        <f>IF(OR($A1575="",$C1575&lt;1),"",$A1575&amp;"-"&amp;TEXT(($D1575-$C1575+1),"00")&amp;IF($C1575&gt;=2,", "&amp;$A1575&amp;"-"&amp;TEXT(($D1575-$C1575+1)+1,"00"),"")&amp;IF($C1575&gt;=3,", "&amp;$A1575&amp;"-"&amp;TEXT(($D1575-$C1575+1)+2,"00"),"")&amp;IF($C1575&gt;=4,", "&amp;$A1575&amp;"-"&amp;TEXT(($D1575-$C1575+1)+3,"00"),"")&amp;IF($C1575&gt;=5,", "&amp;$A1575&amp;"-"&amp;TEXT(($D1575-$C1575+1)+4,"00"),"")&amp;IF($C1575&gt;=6,", "&amp;$A1575&amp;"-"&amp;TEXT(($D1575-$C1575+1)+5,"00"),"")&amp;IF($C1575&gt;=7,", "&amp;$A1575&amp;"-"&amp;TEXT(($D1575-$C1575+1)+6,"00"),"")&amp;IF($C1575&gt;=8,", "&amp;$A1575&amp;"-"&amp;TEXT(($D1575-$C1575+1)+7,"00"),"")&amp;IF($C1575&gt;=9,", "&amp;$A1575&amp;"-"&amp;TEXT(($D1575-$C1575+1)+8,"00"),"")&amp;IF($C1575&gt;=10,", "&amp;$A1575&amp;"-"&amp;TEXT(($D1575-$C1575+1)+9,"00"),"")&amp;IF($C1575&gt;=11,", "&amp;$A1575&amp;"-"&amp;TEXT(($D1575-$C1575+1)+10,"00"),"")&amp;IF($C1575&gt;=12,", "&amp;$A1575&amp;"-"&amp;TEXT(($D1575-$C1575+1)+11,"00"),"")&amp;IF($C1575&gt;=13,", "&amp;$A1575&amp;"-"&amp;TEXT(($D1575-$C1575+1)+12,"00"),"")&amp;IF($C1575&gt;=14,", "&amp;$A1575&amp;"-"&amp;TEXT(($D1575-$C1575+1)+13,"00"),"")&amp;IF($C1575&gt;=15,", "&amp;$A1575&amp;"-"&amp;TEXT(($D1575-$C1575+1)+14,"00"),"")&amp;IF($C1575&gt;=16,", "&amp;$A1575&amp;"-"&amp;TEXT(($D1575-$C1575+1)+15,"00"),"")&amp;IF($C1575&gt;=17,", "&amp;$A1575&amp;"-"&amp;TEXT(($D1575-$C1575+1)+16,"00"),"")&amp;IF($C1575&gt;=18,", "&amp;$A1575&amp;"-"&amp;TEXT(($D1575-$C1575+1)+17,"00"),"")&amp;IF($C1575&gt;=19,", "&amp;$A1575&amp;"-"&amp;TEXT(($D1575-$C1575+1)+18,"00"),"")&amp;IF($C1575&gt;=20,", "&amp;$A1575&amp;"-"&amp;TEXT(($D1575-$C1575+1)+19,"00"),"")&amp;IF($C1575&gt;=21,", "&amp;$A1575&amp;"-"&amp;TEXT(($D1575-$C1575+1)+20,"00"),"")&amp;IF($C1575&gt;=22,", "&amp;$A1575&amp;"-"&amp;TEXT(($D1575-$C1575+1)+21,"00"),"")&amp;IF($C1575&gt;=23,", "&amp;$A1575&amp;"-"&amp;TEXT(($D1575-$C1575+1)+22,"00"),"")&amp;IF($C1575&gt;=24,", "&amp;$A1575&amp;"-"&amp;TEXT(($D1575-$C1575+1)+23,"00"),"")&amp;IF($C1575&gt;=25,", "&amp;$A1575&amp;"-"&amp;TEXT(($D1575-$C1575+1)+24,"00"),""))</f>
        <v/>
      </c>
      <c r="G1575">
        <f>IF($A1575="","",IF($E1575=1,$F1575,IF($F1575="",$G1574,IF($G1574="",$F1575,$G1574&amp;", "&amp;$F1575))))</f>
        <v/>
      </c>
      <c r="H1575">
        <f>IF($A1575="","",$A1575&amp;" ("&amp;$C1575&amp;")")</f>
        <v/>
      </c>
      <c r="I1575">
        <f>IF($A1575="","",IF($E1575=1,$H1575,$I1574&amp;", "&amp;$H1575))</f>
        <v/>
      </c>
      <c r="J1575">
        <f>IF($A1575="","",IF($E1575=1,$B1575,""))</f>
        <v/>
      </c>
      <c r="K1575">
        <f>IF($A1575="","",IF(COUNTIF($B$2:$B1575,$B1575)=COUNTIF($B$2:$B$1601,$B1575),$B1575,""))</f>
        <v/>
      </c>
    </row>
    <row r="1576">
      <c r="A1576">
        <f>IF('TMP Paste'!$E1576="","",'TMP Paste'!$E1576)</f>
        <v/>
      </c>
      <c r="B1576">
        <f>IF($A1576="","",COUNTIF('TMP Paste'!$B$2:$B1576,"?*"))</f>
        <v/>
      </c>
      <c r="C1576">
        <f>IF($A1576="","",IFERROR('TMP Paste'!$M1576*1,0))</f>
        <v/>
      </c>
      <c r="D1576">
        <f>IF($A1576="","",SUMIF($B$2:$B1576,$B1576,$C$2:$C1576))</f>
        <v/>
      </c>
      <c r="E1576">
        <f>IF($A1576="",0,IF('TMP Paste'!$B1576="",0,1))</f>
        <v/>
      </c>
      <c r="F1576">
        <f>IF(OR($A1576="",$C1576&lt;1),"",$A1576&amp;"-"&amp;TEXT(($D1576-$C1576+1),"00")&amp;IF($C1576&gt;=2,", "&amp;$A1576&amp;"-"&amp;TEXT(($D1576-$C1576+1)+1,"00"),"")&amp;IF($C1576&gt;=3,", "&amp;$A1576&amp;"-"&amp;TEXT(($D1576-$C1576+1)+2,"00"),"")&amp;IF($C1576&gt;=4,", "&amp;$A1576&amp;"-"&amp;TEXT(($D1576-$C1576+1)+3,"00"),"")&amp;IF($C1576&gt;=5,", "&amp;$A1576&amp;"-"&amp;TEXT(($D1576-$C1576+1)+4,"00"),"")&amp;IF($C1576&gt;=6,", "&amp;$A1576&amp;"-"&amp;TEXT(($D1576-$C1576+1)+5,"00"),"")&amp;IF($C1576&gt;=7,", "&amp;$A1576&amp;"-"&amp;TEXT(($D1576-$C1576+1)+6,"00"),"")&amp;IF($C1576&gt;=8,", "&amp;$A1576&amp;"-"&amp;TEXT(($D1576-$C1576+1)+7,"00"),"")&amp;IF($C1576&gt;=9,", "&amp;$A1576&amp;"-"&amp;TEXT(($D1576-$C1576+1)+8,"00"),"")&amp;IF($C1576&gt;=10,", "&amp;$A1576&amp;"-"&amp;TEXT(($D1576-$C1576+1)+9,"00"),"")&amp;IF($C1576&gt;=11,", "&amp;$A1576&amp;"-"&amp;TEXT(($D1576-$C1576+1)+10,"00"),"")&amp;IF($C1576&gt;=12,", "&amp;$A1576&amp;"-"&amp;TEXT(($D1576-$C1576+1)+11,"00"),"")&amp;IF($C1576&gt;=13,", "&amp;$A1576&amp;"-"&amp;TEXT(($D1576-$C1576+1)+12,"00"),"")&amp;IF($C1576&gt;=14,", "&amp;$A1576&amp;"-"&amp;TEXT(($D1576-$C1576+1)+13,"00"),"")&amp;IF($C1576&gt;=15,", "&amp;$A1576&amp;"-"&amp;TEXT(($D1576-$C1576+1)+14,"00"),"")&amp;IF($C1576&gt;=16,", "&amp;$A1576&amp;"-"&amp;TEXT(($D1576-$C1576+1)+15,"00"),"")&amp;IF($C1576&gt;=17,", "&amp;$A1576&amp;"-"&amp;TEXT(($D1576-$C1576+1)+16,"00"),"")&amp;IF($C1576&gt;=18,", "&amp;$A1576&amp;"-"&amp;TEXT(($D1576-$C1576+1)+17,"00"),"")&amp;IF($C1576&gt;=19,", "&amp;$A1576&amp;"-"&amp;TEXT(($D1576-$C1576+1)+18,"00"),"")&amp;IF($C1576&gt;=20,", "&amp;$A1576&amp;"-"&amp;TEXT(($D1576-$C1576+1)+19,"00"),"")&amp;IF($C1576&gt;=21,", "&amp;$A1576&amp;"-"&amp;TEXT(($D1576-$C1576+1)+20,"00"),"")&amp;IF($C1576&gt;=22,", "&amp;$A1576&amp;"-"&amp;TEXT(($D1576-$C1576+1)+21,"00"),"")&amp;IF($C1576&gt;=23,", "&amp;$A1576&amp;"-"&amp;TEXT(($D1576-$C1576+1)+22,"00"),"")&amp;IF($C1576&gt;=24,", "&amp;$A1576&amp;"-"&amp;TEXT(($D1576-$C1576+1)+23,"00"),"")&amp;IF($C1576&gt;=25,", "&amp;$A1576&amp;"-"&amp;TEXT(($D1576-$C1576+1)+24,"00"),""))</f>
        <v/>
      </c>
      <c r="G1576">
        <f>IF($A1576="","",IF($E1576=1,$F1576,IF($F1576="",$G1575,IF($G1575="",$F1576,$G1575&amp;", "&amp;$F1576))))</f>
        <v/>
      </c>
      <c r="H1576">
        <f>IF($A1576="","",$A1576&amp;" ("&amp;$C1576&amp;")")</f>
        <v/>
      </c>
      <c r="I1576">
        <f>IF($A1576="","",IF($E1576=1,$H1576,$I1575&amp;", "&amp;$H1576))</f>
        <v/>
      </c>
      <c r="J1576">
        <f>IF($A1576="","",IF($E1576=1,$B1576,""))</f>
        <v/>
      </c>
      <c r="K1576">
        <f>IF($A1576="","",IF(COUNTIF($B$2:$B1576,$B1576)=COUNTIF($B$2:$B$1601,$B1576),$B1576,""))</f>
        <v/>
      </c>
    </row>
    <row r="1577">
      <c r="A1577">
        <f>IF('TMP Paste'!$E1577="","",'TMP Paste'!$E1577)</f>
        <v/>
      </c>
      <c r="B1577">
        <f>IF($A1577="","",COUNTIF('TMP Paste'!$B$2:$B1577,"?*"))</f>
        <v/>
      </c>
      <c r="C1577">
        <f>IF($A1577="","",IFERROR('TMP Paste'!$M1577*1,0))</f>
        <v/>
      </c>
      <c r="D1577">
        <f>IF($A1577="","",SUMIF($B$2:$B1577,$B1577,$C$2:$C1577))</f>
        <v/>
      </c>
      <c r="E1577">
        <f>IF($A1577="",0,IF('TMP Paste'!$B1577="",0,1))</f>
        <v/>
      </c>
      <c r="F1577">
        <f>IF(OR($A1577="",$C1577&lt;1),"",$A1577&amp;"-"&amp;TEXT(($D1577-$C1577+1),"00")&amp;IF($C1577&gt;=2,", "&amp;$A1577&amp;"-"&amp;TEXT(($D1577-$C1577+1)+1,"00"),"")&amp;IF($C1577&gt;=3,", "&amp;$A1577&amp;"-"&amp;TEXT(($D1577-$C1577+1)+2,"00"),"")&amp;IF($C1577&gt;=4,", "&amp;$A1577&amp;"-"&amp;TEXT(($D1577-$C1577+1)+3,"00"),"")&amp;IF($C1577&gt;=5,", "&amp;$A1577&amp;"-"&amp;TEXT(($D1577-$C1577+1)+4,"00"),"")&amp;IF($C1577&gt;=6,", "&amp;$A1577&amp;"-"&amp;TEXT(($D1577-$C1577+1)+5,"00"),"")&amp;IF($C1577&gt;=7,", "&amp;$A1577&amp;"-"&amp;TEXT(($D1577-$C1577+1)+6,"00"),"")&amp;IF($C1577&gt;=8,", "&amp;$A1577&amp;"-"&amp;TEXT(($D1577-$C1577+1)+7,"00"),"")&amp;IF($C1577&gt;=9,", "&amp;$A1577&amp;"-"&amp;TEXT(($D1577-$C1577+1)+8,"00"),"")&amp;IF($C1577&gt;=10,", "&amp;$A1577&amp;"-"&amp;TEXT(($D1577-$C1577+1)+9,"00"),"")&amp;IF($C1577&gt;=11,", "&amp;$A1577&amp;"-"&amp;TEXT(($D1577-$C1577+1)+10,"00"),"")&amp;IF($C1577&gt;=12,", "&amp;$A1577&amp;"-"&amp;TEXT(($D1577-$C1577+1)+11,"00"),"")&amp;IF($C1577&gt;=13,", "&amp;$A1577&amp;"-"&amp;TEXT(($D1577-$C1577+1)+12,"00"),"")&amp;IF($C1577&gt;=14,", "&amp;$A1577&amp;"-"&amp;TEXT(($D1577-$C1577+1)+13,"00"),"")&amp;IF($C1577&gt;=15,", "&amp;$A1577&amp;"-"&amp;TEXT(($D1577-$C1577+1)+14,"00"),"")&amp;IF($C1577&gt;=16,", "&amp;$A1577&amp;"-"&amp;TEXT(($D1577-$C1577+1)+15,"00"),"")&amp;IF($C1577&gt;=17,", "&amp;$A1577&amp;"-"&amp;TEXT(($D1577-$C1577+1)+16,"00"),"")&amp;IF($C1577&gt;=18,", "&amp;$A1577&amp;"-"&amp;TEXT(($D1577-$C1577+1)+17,"00"),"")&amp;IF($C1577&gt;=19,", "&amp;$A1577&amp;"-"&amp;TEXT(($D1577-$C1577+1)+18,"00"),"")&amp;IF($C1577&gt;=20,", "&amp;$A1577&amp;"-"&amp;TEXT(($D1577-$C1577+1)+19,"00"),"")&amp;IF($C1577&gt;=21,", "&amp;$A1577&amp;"-"&amp;TEXT(($D1577-$C1577+1)+20,"00"),"")&amp;IF($C1577&gt;=22,", "&amp;$A1577&amp;"-"&amp;TEXT(($D1577-$C1577+1)+21,"00"),"")&amp;IF($C1577&gt;=23,", "&amp;$A1577&amp;"-"&amp;TEXT(($D1577-$C1577+1)+22,"00"),"")&amp;IF($C1577&gt;=24,", "&amp;$A1577&amp;"-"&amp;TEXT(($D1577-$C1577+1)+23,"00"),"")&amp;IF($C1577&gt;=25,", "&amp;$A1577&amp;"-"&amp;TEXT(($D1577-$C1577+1)+24,"00"),""))</f>
        <v/>
      </c>
      <c r="G1577">
        <f>IF($A1577="","",IF($E1577=1,$F1577,IF($F1577="",$G1576,IF($G1576="",$F1577,$G1576&amp;", "&amp;$F1577))))</f>
        <v/>
      </c>
      <c r="H1577">
        <f>IF($A1577="","",$A1577&amp;" ("&amp;$C1577&amp;")")</f>
        <v/>
      </c>
      <c r="I1577">
        <f>IF($A1577="","",IF($E1577=1,$H1577,$I1576&amp;", "&amp;$H1577))</f>
        <v/>
      </c>
      <c r="J1577">
        <f>IF($A1577="","",IF($E1577=1,$B1577,""))</f>
        <v/>
      </c>
      <c r="K1577">
        <f>IF($A1577="","",IF(COUNTIF($B$2:$B1577,$B1577)=COUNTIF($B$2:$B$1601,$B1577),$B1577,""))</f>
        <v/>
      </c>
    </row>
    <row r="1578">
      <c r="A1578">
        <f>IF('TMP Paste'!$E1578="","",'TMP Paste'!$E1578)</f>
        <v/>
      </c>
      <c r="B1578">
        <f>IF($A1578="","",COUNTIF('TMP Paste'!$B$2:$B1578,"?*"))</f>
        <v/>
      </c>
      <c r="C1578">
        <f>IF($A1578="","",IFERROR('TMP Paste'!$M1578*1,0))</f>
        <v/>
      </c>
      <c r="D1578">
        <f>IF($A1578="","",SUMIF($B$2:$B1578,$B1578,$C$2:$C1578))</f>
        <v/>
      </c>
      <c r="E1578">
        <f>IF($A1578="",0,IF('TMP Paste'!$B1578="",0,1))</f>
        <v/>
      </c>
      <c r="F1578">
        <f>IF(OR($A1578="",$C1578&lt;1),"",$A1578&amp;"-"&amp;TEXT(($D1578-$C1578+1),"00")&amp;IF($C1578&gt;=2,", "&amp;$A1578&amp;"-"&amp;TEXT(($D1578-$C1578+1)+1,"00"),"")&amp;IF($C1578&gt;=3,", "&amp;$A1578&amp;"-"&amp;TEXT(($D1578-$C1578+1)+2,"00"),"")&amp;IF($C1578&gt;=4,", "&amp;$A1578&amp;"-"&amp;TEXT(($D1578-$C1578+1)+3,"00"),"")&amp;IF($C1578&gt;=5,", "&amp;$A1578&amp;"-"&amp;TEXT(($D1578-$C1578+1)+4,"00"),"")&amp;IF($C1578&gt;=6,", "&amp;$A1578&amp;"-"&amp;TEXT(($D1578-$C1578+1)+5,"00"),"")&amp;IF($C1578&gt;=7,", "&amp;$A1578&amp;"-"&amp;TEXT(($D1578-$C1578+1)+6,"00"),"")&amp;IF($C1578&gt;=8,", "&amp;$A1578&amp;"-"&amp;TEXT(($D1578-$C1578+1)+7,"00"),"")&amp;IF($C1578&gt;=9,", "&amp;$A1578&amp;"-"&amp;TEXT(($D1578-$C1578+1)+8,"00"),"")&amp;IF($C1578&gt;=10,", "&amp;$A1578&amp;"-"&amp;TEXT(($D1578-$C1578+1)+9,"00"),"")&amp;IF($C1578&gt;=11,", "&amp;$A1578&amp;"-"&amp;TEXT(($D1578-$C1578+1)+10,"00"),"")&amp;IF($C1578&gt;=12,", "&amp;$A1578&amp;"-"&amp;TEXT(($D1578-$C1578+1)+11,"00"),"")&amp;IF($C1578&gt;=13,", "&amp;$A1578&amp;"-"&amp;TEXT(($D1578-$C1578+1)+12,"00"),"")&amp;IF($C1578&gt;=14,", "&amp;$A1578&amp;"-"&amp;TEXT(($D1578-$C1578+1)+13,"00"),"")&amp;IF($C1578&gt;=15,", "&amp;$A1578&amp;"-"&amp;TEXT(($D1578-$C1578+1)+14,"00"),"")&amp;IF($C1578&gt;=16,", "&amp;$A1578&amp;"-"&amp;TEXT(($D1578-$C1578+1)+15,"00"),"")&amp;IF($C1578&gt;=17,", "&amp;$A1578&amp;"-"&amp;TEXT(($D1578-$C1578+1)+16,"00"),"")&amp;IF($C1578&gt;=18,", "&amp;$A1578&amp;"-"&amp;TEXT(($D1578-$C1578+1)+17,"00"),"")&amp;IF($C1578&gt;=19,", "&amp;$A1578&amp;"-"&amp;TEXT(($D1578-$C1578+1)+18,"00"),"")&amp;IF($C1578&gt;=20,", "&amp;$A1578&amp;"-"&amp;TEXT(($D1578-$C1578+1)+19,"00"),"")&amp;IF($C1578&gt;=21,", "&amp;$A1578&amp;"-"&amp;TEXT(($D1578-$C1578+1)+20,"00"),"")&amp;IF($C1578&gt;=22,", "&amp;$A1578&amp;"-"&amp;TEXT(($D1578-$C1578+1)+21,"00"),"")&amp;IF($C1578&gt;=23,", "&amp;$A1578&amp;"-"&amp;TEXT(($D1578-$C1578+1)+22,"00"),"")&amp;IF($C1578&gt;=24,", "&amp;$A1578&amp;"-"&amp;TEXT(($D1578-$C1578+1)+23,"00"),"")&amp;IF($C1578&gt;=25,", "&amp;$A1578&amp;"-"&amp;TEXT(($D1578-$C1578+1)+24,"00"),""))</f>
        <v/>
      </c>
      <c r="G1578">
        <f>IF($A1578="","",IF($E1578=1,$F1578,IF($F1578="",$G1577,IF($G1577="",$F1578,$G1577&amp;", "&amp;$F1578))))</f>
        <v/>
      </c>
      <c r="H1578">
        <f>IF($A1578="","",$A1578&amp;" ("&amp;$C1578&amp;")")</f>
        <v/>
      </c>
      <c r="I1578">
        <f>IF($A1578="","",IF($E1578=1,$H1578,$I1577&amp;", "&amp;$H1578))</f>
        <v/>
      </c>
      <c r="J1578">
        <f>IF($A1578="","",IF($E1578=1,$B1578,""))</f>
        <v/>
      </c>
      <c r="K1578">
        <f>IF($A1578="","",IF(COUNTIF($B$2:$B1578,$B1578)=COUNTIF($B$2:$B$1601,$B1578),$B1578,""))</f>
        <v/>
      </c>
    </row>
    <row r="1579">
      <c r="A1579">
        <f>IF('TMP Paste'!$E1579="","",'TMP Paste'!$E1579)</f>
        <v/>
      </c>
      <c r="B1579">
        <f>IF($A1579="","",COUNTIF('TMP Paste'!$B$2:$B1579,"?*"))</f>
        <v/>
      </c>
      <c r="C1579">
        <f>IF($A1579="","",IFERROR('TMP Paste'!$M1579*1,0))</f>
        <v/>
      </c>
      <c r="D1579">
        <f>IF($A1579="","",SUMIF($B$2:$B1579,$B1579,$C$2:$C1579))</f>
        <v/>
      </c>
      <c r="E1579">
        <f>IF($A1579="",0,IF('TMP Paste'!$B1579="",0,1))</f>
        <v/>
      </c>
      <c r="F1579">
        <f>IF(OR($A1579="",$C1579&lt;1),"",$A1579&amp;"-"&amp;TEXT(($D1579-$C1579+1),"00")&amp;IF($C1579&gt;=2,", "&amp;$A1579&amp;"-"&amp;TEXT(($D1579-$C1579+1)+1,"00"),"")&amp;IF($C1579&gt;=3,", "&amp;$A1579&amp;"-"&amp;TEXT(($D1579-$C1579+1)+2,"00"),"")&amp;IF($C1579&gt;=4,", "&amp;$A1579&amp;"-"&amp;TEXT(($D1579-$C1579+1)+3,"00"),"")&amp;IF($C1579&gt;=5,", "&amp;$A1579&amp;"-"&amp;TEXT(($D1579-$C1579+1)+4,"00"),"")&amp;IF($C1579&gt;=6,", "&amp;$A1579&amp;"-"&amp;TEXT(($D1579-$C1579+1)+5,"00"),"")&amp;IF($C1579&gt;=7,", "&amp;$A1579&amp;"-"&amp;TEXT(($D1579-$C1579+1)+6,"00"),"")&amp;IF($C1579&gt;=8,", "&amp;$A1579&amp;"-"&amp;TEXT(($D1579-$C1579+1)+7,"00"),"")&amp;IF($C1579&gt;=9,", "&amp;$A1579&amp;"-"&amp;TEXT(($D1579-$C1579+1)+8,"00"),"")&amp;IF($C1579&gt;=10,", "&amp;$A1579&amp;"-"&amp;TEXT(($D1579-$C1579+1)+9,"00"),"")&amp;IF($C1579&gt;=11,", "&amp;$A1579&amp;"-"&amp;TEXT(($D1579-$C1579+1)+10,"00"),"")&amp;IF($C1579&gt;=12,", "&amp;$A1579&amp;"-"&amp;TEXT(($D1579-$C1579+1)+11,"00"),"")&amp;IF($C1579&gt;=13,", "&amp;$A1579&amp;"-"&amp;TEXT(($D1579-$C1579+1)+12,"00"),"")&amp;IF($C1579&gt;=14,", "&amp;$A1579&amp;"-"&amp;TEXT(($D1579-$C1579+1)+13,"00"),"")&amp;IF($C1579&gt;=15,", "&amp;$A1579&amp;"-"&amp;TEXT(($D1579-$C1579+1)+14,"00"),"")&amp;IF($C1579&gt;=16,", "&amp;$A1579&amp;"-"&amp;TEXT(($D1579-$C1579+1)+15,"00"),"")&amp;IF($C1579&gt;=17,", "&amp;$A1579&amp;"-"&amp;TEXT(($D1579-$C1579+1)+16,"00"),"")&amp;IF($C1579&gt;=18,", "&amp;$A1579&amp;"-"&amp;TEXT(($D1579-$C1579+1)+17,"00"),"")&amp;IF($C1579&gt;=19,", "&amp;$A1579&amp;"-"&amp;TEXT(($D1579-$C1579+1)+18,"00"),"")&amp;IF($C1579&gt;=20,", "&amp;$A1579&amp;"-"&amp;TEXT(($D1579-$C1579+1)+19,"00"),"")&amp;IF($C1579&gt;=21,", "&amp;$A1579&amp;"-"&amp;TEXT(($D1579-$C1579+1)+20,"00"),"")&amp;IF($C1579&gt;=22,", "&amp;$A1579&amp;"-"&amp;TEXT(($D1579-$C1579+1)+21,"00"),"")&amp;IF($C1579&gt;=23,", "&amp;$A1579&amp;"-"&amp;TEXT(($D1579-$C1579+1)+22,"00"),"")&amp;IF($C1579&gt;=24,", "&amp;$A1579&amp;"-"&amp;TEXT(($D1579-$C1579+1)+23,"00"),"")&amp;IF($C1579&gt;=25,", "&amp;$A1579&amp;"-"&amp;TEXT(($D1579-$C1579+1)+24,"00"),""))</f>
        <v/>
      </c>
      <c r="G1579">
        <f>IF($A1579="","",IF($E1579=1,$F1579,IF($F1579="",$G1578,IF($G1578="",$F1579,$G1578&amp;", "&amp;$F1579))))</f>
        <v/>
      </c>
      <c r="H1579">
        <f>IF($A1579="","",$A1579&amp;" ("&amp;$C1579&amp;")")</f>
        <v/>
      </c>
      <c r="I1579">
        <f>IF($A1579="","",IF($E1579=1,$H1579,$I1578&amp;", "&amp;$H1579))</f>
        <v/>
      </c>
      <c r="J1579">
        <f>IF($A1579="","",IF($E1579=1,$B1579,""))</f>
        <v/>
      </c>
      <c r="K1579">
        <f>IF($A1579="","",IF(COUNTIF($B$2:$B1579,$B1579)=COUNTIF($B$2:$B$1601,$B1579),$B1579,""))</f>
        <v/>
      </c>
    </row>
    <row r="1580">
      <c r="A1580">
        <f>IF('TMP Paste'!$E1580="","",'TMP Paste'!$E1580)</f>
        <v/>
      </c>
      <c r="B1580">
        <f>IF($A1580="","",COUNTIF('TMP Paste'!$B$2:$B1580,"?*"))</f>
        <v/>
      </c>
      <c r="C1580">
        <f>IF($A1580="","",IFERROR('TMP Paste'!$M1580*1,0))</f>
        <v/>
      </c>
      <c r="D1580">
        <f>IF($A1580="","",SUMIF($B$2:$B1580,$B1580,$C$2:$C1580))</f>
        <v/>
      </c>
      <c r="E1580">
        <f>IF($A1580="",0,IF('TMP Paste'!$B1580="",0,1))</f>
        <v/>
      </c>
      <c r="F1580">
        <f>IF(OR($A1580="",$C1580&lt;1),"",$A1580&amp;"-"&amp;TEXT(($D1580-$C1580+1),"00")&amp;IF($C1580&gt;=2,", "&amp;$A1580&amp;"-"&amp;TEXT(($D1580-$C1580+1)+1,"00"),"")&amp;IF($C1580&gt;=3,", "&amp;$A1580&amp;"-"&amp;TEXT(($D1580-$C1580+1)+2,"00"),"")&amp;IF($C1580&gt;=4,", "&amp;$A1580&amp;"-"&amp;TEXT(($D1580-$C1580+1)+3,"00"),"")&amp;IF($C1580&gt;=5,", "&amp;$A1580&amp;"-"&amp;TEXT(($D1580-$C1580+1)+4,"00"),"")&amp;IF($C1580&gt;=6,", "&amp;$A1580&amp;"-"&amp;TEXT(($D1580-$C1580+1)+5,"00"),"")&amp;IF($C1580&gt;=7,", "&amp;$A1580&amp;"-"&amp;TEXT(($D1580-$C1580+1)+6,"00"),"")&amp;IF($C1580&gt;=8,", "&amp;$A1580&amp;"-"&amp;TEXT(($D1580-$C1580+1)+7,"00"),"")&amp;IF($C1580&gt;=9,", "&amp;$A1580&amp;"-"&amp;TEXT(($D1580-$C1580+1)+8,"00"),"")&amp;IF($C1580&gt;=10,", "&amp;$A1580&amp;"-"&amp;TEXT(($D1580-$C1580+1)+9,"00"),"")&amp;IF($C1580&gt;=11,", "&amp;$A1580&amp;"-"&amp;TEXT(($D1580-$C1580+1)+10,"00"),"")&amp;IF($C1580&gt;=12,", "&amp;$A1580&amp;"-"&amp;TEXT(($D1580-$C1580+1)+11,"00"),"")&amp;IF($C1580&gt;=13,", "&amp;$A1580&amp;"-"&amp;TEXT(($D1580-$C1580+1)+12,"00"),"")&amp;IF($C1580&gt;=14,", "&amp;$A1580&amp;"-"&amp;TEXT(($D1580-$C1580+1)+13,"00"),"")&amp;IF($C1580&gt;=15,", "&amp;$A1580&amp;"-"&amp;TEXT(($D1580-$C1580+1)+14,"00"),"")&amp;IF($C1580&gt;=16,", "&amp;$A1580&amp;"-"&amp;TEXT(($D1580-$C1580+1)+15,"00"),"")&amp;IF($C1580&gt;=17,", "&amp;$A1580&amp;"-"&amp;TEXT(($D1580-$C1580+1)+16,"00"),"")&amp;IF($C1580&gt;=18,", "&amp;$A1580&amp;"-"&amp;TEXT(($D1580-$C1580+1)+17,"00"),"")&amp;IF($C1580&gt;=19,", "&amp;$A1580&amp;"-"&amp;TEXT(($D1580-$C1580+1)+18,"00"),"")&amp;IF($C1580&gt;=20,", "&amp;$A1580&amp;"-"&amp;TEXT(($D1580-$C1580+1)+19,"00"),"")&amp;IF($C1580&gt;=21,", "&amp;$A1580&amp;"-"&amp;TEXT(($D1580-$C1580+1)+20,"00"),"")&amp;IF($C1580&gt;=22,", "&amp;$A1580&amp;"-"&amp;TEXT(($D1580-$C1580+1)+21,"00"),"")&amp;IF($C1580&gt;=23,", "&amp;$A1580&amp;"-"&amp;TEXT(($D1580-$C1580+1)+22,"00"),"")&amp;IF($C1580&gt;=24,", "&amp;$A1580&amp;"-"&amp;TEXT(($D1580-$C1580+1)+23,"00"),"")&amp;IF($C1580&gt;=25,", "&amp;$A1580&amp;"-"&amp;TEXT(($D1580-$C1580+1)+24,"00"),""))</f>
        <v/>
      </c>
      <c r="G1580">
        <f>IF($A1580="","",IF($E1580=1,$F1580,IF($F1580="",$G1579,IF($G1579="",$F1580,$G1579&amp;", "&amp;$F1580))))</f>
        <v/>
      </c>
      <c r="H1580">
        <f>IF($A1580="","",$A1580&amp;" ("&amp;$C1580&amp;")")</f>
        <v/>
      </c>
      <c r="I1580">
        <f>IF($A1580="","",IF($E1580=1,$H1580,$I1579&amp;", "&amp;$H1580))</f>
        <v/>
      </c>
      <c r="J1580">
        <f>IF($A1580="","",IF($E1580=1,$B1580,""))</f>
        <v/>
      </c>
      <c r="K1580">
        <f>IF($A1580="","",IF(COUNTIF($B$2:$B1580,$B1580)=COUNTIF($B$2:$B$1601,$B1580),$B1580,""))</f>
        <v/>
      </c>
    </row>
    <row r="1581">
      <c r="A1581">
        <f>IF('TMP Paste'!$E1581="","",'TMP Paste'!$E1581)</f>
        <v/>
      </c>
      <c r="B1581">
        <f>IF($A1581="","",COUNTIF('TMP Paste'!$B$2:$B1581,"?*"))</f>
        <v/>
      </c>
      <c r="C1581">
        <f>IF($A1581="","",IFERROR('TMP Paste'!$M1581*1,0))</f>
        <v/>
      </c>
      <c r="D1581">
        <f>IF($A1581="","",SUMIF($B$2:$B1581,$B1581,$C$2:$C1581))</f>
        <v/>
      </c>
      <c r="E1581">
        <f>IF($A1581="",0,IF('TMP Paste'!$B1581="",0,1))</f>
        <v/>
      </c>
      <c r="F1581">
        <f>IF(OR($A1581="",$C1581&lt;1),"",$A1581&amp;"-"&amp;TEXT(($D1581-$C1581+1),"00")&amp;IF($C1581&gt;=2,", "&amp;$A1581&amp;"-"&amp;TEXT(($D1581-$C1581+1)+1,"00"),"")&amp;IF($C1581&gt;=3,", "&amp;$A1581&amp;"-"&amp;TEXT(($D1581-$C1581+1)+2,"00"),"")&amp;IF($C1581&gt;=4,", "&amp;$A1581&amp;"-"&amp;TEXT(($D1581-$C1581+1)+3,"00"),"")&amp;IF($C1581&gt;=5,", "&amp;$A1581&amp;"-"&amp;TEXT(($D1581-$C1581+1)+4,"00"),"")&amp;IF($C1581&gt;=6,", "&amp;$A1581&amp;"-"&amp;TEXT(($D1581-$C1581+1)+5,"00"),"")&amp;IF($C1581&gt;=7,", "&amp;$A1581&amp;"-"&amp;TEXT(($D1581-$C1581+1)+6,"00"),"")&amp;IF($C1581&gt;=8,", "&amp;$A1581&amp;"-"&amp;TEXT(($D1581-$C1581+1)+7,"00"),"")&amp;IF($C1581&gt;=9,", "&amp;$A1581&amp;"-"&amp;TEXT(($D1581-$C1581+1)+8,"00"),"")&amp;IF($C1581&gt;=10,", "&amp;$A1581&amp;"-"&amp;TEXT(($D1581-$C1581+1)+9,"00"),"")&amp;IF($C1581&gt;=11,", "&amp;$A1581&amp;"-"&amp;TEXT(($D1581-$C1581+1)+10,"00"),"")&amp;IF($C1581&gt;=12,", "&amp;$A1581&amp;"-"&amp;TEXT(($D1581-$C1581+1)+11,"00"),"")&amp;IF($C1581&gt;=13,", "&amp;$A1581&amp;"-"&amp;TEXT(($D1581-$C1581+1)+12,"00"),"")&amp;IF($C1581&gt;=14,", "&amp;$A1581&amp;"-"&amp;TEXT(($D1581-$C1581+1)+13,"00"),"")&amp;IF($C1581&gt;=15,", "&amp;$A1581&amp;"-"&amp;TEXT(($D1581-$C1581+1)+14,"00"),"")&amp;IF($C1581&gt;=16,", "&amp;$A1581&amp;"-"&amp;TEXT(($D1581-$C1581+1)+15,"00"),"")&amp;IF($C1581&gt;=17,", "&amp;$A1581&amp;"-"&amp;TEXT(($D1581-$C1581+1)+16,"00"),"")&amp;IF($C1581&gt;=18,", "&amp;$A1581&amp;"-"&amp;TEXT(($D1581-$C1581+1)+17,"00"),"")&amp;IF($C1581&gt;=19,", "&amp;$A1581&amp;"-"&amp;TEXT(($D1581-$C1581+1)+18,"00"),"")&amp;IF($C1581&gt;=20,", "&amp;$A1581&amp;"-"&amp;TEXT(($D1581-$C1581+1)+19,"00"),"")&amp;IF($C1581&gt;=21,", "&amp;$A1581&amp;"-"&amp;TEXT(($D1581-$C1581+1)+20,"00"),"")&amp;IF($C1581&gt;=22,", "&amp;$A1581&amp;"-"&amp;TEXT(($D1581-$C1581+1)+21,"00"),"")&amp;IF($C1581&gt;=23,", "&amp;$A1581&amp;"-"&amp;TEXT(($D1581-$C1581+1)+22,"00"),"")&amp;IF($C1581&gt;=24,", "&amp;$A1581&amp;"-"&amp;TEXT(($D1581-$C1581+1)+23,"00"),"")&amp;IF($C1581&gt;=25,", "&amp;$A1581&amp;"-"&amp;TEXT(($D1581-$C1581+1)+24,"00"),""))</f>
        <v/>
      </c>
      <c r="G1581">
        <f>IF($A1581="","",IF($E1581=1,$F1581,IF($F1581="",$G1580,IF($G1580="",$F1581,$G1580&amp;", "&amp;$F1581))))</f>
        <v/>
      </c>
      <c r="H1581">
        <f>IF($A1581="","",$A1581&amp;" ("&amp;$C1581&amp;")")</f>
        <v/>
      </c>
      <c r="I1581">
        <f>IF($A1581="","",IF($E1581=1,$H1581,$I1580&amp;", "&amp;$H1581))</f>
        <v/>
      </c>
      <c r="J1581">
        <f>IF($A1581="","",IF($E1581=1,$B1581,""))</f>
        <v/>
      </c>
      <c r="K1581">
        <f>IF($A1581="","",IF(COUNTIF($B$2:$B1581,$B1581)=COUNTIF($B$2:$B$1601,$B1581),$B1581,""))</f>
        <v/>
      </c>
    </row>
    <row r="1582">
      <c r="A1582">
        <f>IF('TMP Paste'!$E1582="","",'TMP Paste'!$E1582)</f>
        <v/>
      </c>
      <c r="B1582">
        <f>IF($A1582="","",COUNTIF('TMP Paste'!$B$2:$B1582,"?*"))</f>
        <v/>
      </c>
      <c r="C1582">
        <f>IF($A1582="","",IFERROR('TMP Paste'!$M1582*1,0))</f>
        <v/>
      </c>
      <c r="D1582">
        <f>IF($A1582="","",SUMIF($B$2:$B1582,$B1582,$C$2:$C1582))</f>
        <v/>
      </c>
      <c r="E1582">
        <f>IF($A1582="",0,IF('TMP Paste'!$B1582="",0,1))</f>
        <v/>
      </c>
      <c r="F1582">
        <f>IF(OR($A1582="",$C1582&lt;1),"",$A1582&amp;"-"&amp;TEXT(($D1582-$C1582+1),"00")&amp;IF($C1582&gt;=2,", "&amp;$A1582&amp;"-"&amp;TEXT(($D1582-$C1582+1)+1,"00"),"")&amp;IF($C1582&gt;=3,", "&amp;$A1582&amp;"-"&amp;TEXT(($D1582-$C1582+1)+2,"00"),"")&amp;IF($C1582&gt;=4,", "&amp;$A1582&amp;"-"&amp;TEXT(($D1582-$C1582+1)+3,"00"),"")&amp;IF($C1582&gt;=5,", "&amp;$A1582&amp;"-"&amp;TEXT(($D1582-$C1582+1)+4,"00"),"")&amp;IF($C1582&gt;=6,", "&amp;$A1582&amp;"-"&amp;TEXT(($D1582-$C1582+1)+5,"00"),"")&amp;IF($C1582&gt;=7,", "&amp;$A1582&amp;"-"&amp;TEXT(($D1582-$C1582+1)+6,"00"),"")&amp;IF($C1582&gt;=8,", "&amp;$A1582&amp;"-"&amp;TEXT(($D1582-$C1582+1)+7,"00"),"")&amp;IF($C1582&gt;=9,", "&amp;$A1582&amp;"-"&amp;TEXT(($D1582-$C1582+1)+8,"00"),"")&amp;IF($C1582&gt;=10,", "&amp;$A1582&amp;"-"&amp;TEXT(($D1582-$C1582+1)+9,"00"),"")&amp;IF($C1582&gt;=11,", "&amp;$A1582&amp;"-"&amp;TEXT(($D1582-$C1582+1)+10,"00"),"")&amp;IF($C1582&gt;=12,", "&amp;$A1582&amp;"-"&amp;TEXT(($D1582-$C1582+1)+11,"00"),"")&amp;IF($C1582&gt;=13,", "&amp;$A1582&amp;"-"&amp;TEXT(($D1582-$C1582+1)+12,"00"),"")&amp;IF($C1582&gt;=14,", "&amp;$A1582&amp;"-"&amp;TEXT(($D1582-$C1582+1)+13,"00"),"")&amp;IF($C1582&gt;=15,", "&amp;$A1582&amp;"-"&amp;TEXT(($D1582-$C1582+1)+14,"00"),"")&amp;IF($C1582&gt;=16,", "&amp;$A1582&amp;"-"&amp;TEXT(($D1582-$C1582+1)+15,"00"),"")&amp;IF($C1582&gt;=17,", "&amp;$A1582&amp;"-"&amp;TEXT(($D1582-$C1582+1)+16,"00"),"")&amp;IF($C1582&gt;=18,", "&amp;$A1582&amp;"-"&amp;TEXT(($D1582-$C1582+1)+17,"00"),"")&amp;IF($C1582&gt;=19,", "&amp;$A1582&amp;"-"&amp;TEXT(($D1582-$C1582+1)+18,"00"),"")&amp;IF($C1582&gt;=20,", "&amp;$A1582&amp;"-"&amp;TEXT(($D1582-$C1582+1)+19,"00"),"")&amp;IF($C1582&gt;=21,", "&amp;$A1582&amp;"-"&amp;TEXT(($D1582-$C1582+1)+20,"00"),"")&amp;IF($C1582&gt;=22,", "&amp;$A1582&amp;"-"&amp;TEXT(($D1582-$C1582+1)+21,"00"),"")&amp;IF($C1582&gt;=23,", "&amp;$A1582&amp;"-"&amp;TEXT(($D1582-$C1582+1)+22,"00"),"")&amp;IF($C1582&gt;=24,", "&amp;$A1582&amp;"-"&amp;TEXT(($D1582-$C1582+1)+23,"00"),"")&amp;IF($C1582&gt;=25,", "&amp;$A1582&amp;"-"&amp;TEXT(($D1582-$C1582+1)+24,"00"),""))</f>
        <v/>
      </c>
      <c r="G1582">
        <f>IF($A1582="","",IF($E1582=1,$F1582,IF($F1582="",$G1581,IF($G1581="",$F1582,$G1581&amp;", "&amp;$F1582))))</f>
        <v/>
      </c>
      <c r="H1582">
        <f>IF($A1582="","",$A1582&amp;" ("&amp;$C1582&amp;")")</f>
        <v/>
      </c>
      <c r="I1582">
        <f>IF($A1582="","",IF($E1582=1,$H1582,$I1581&amp;", "&amp;$H1582))</f>
        <v/>
      </c>
      <c r="J1582">
        <f>IF($A1582="","",IF($E1582=1,$B1582,""))</f>
        <v/>
      </c>
      <c r="K1582">
        <f>IF($A1582="","",IF(COUNTIF($B$2:$B1582,$B1582)=COUNTIF($B$2:$B$1601,$B1582),$B1582,""))</f>
        <v/>
      </c>
    </row>
    <row r="1583">
      <c r="A1583">
        <f>IF('TMP Paste'!$E1583="","",'TMP Paste'!$E1583)</f>
        <v/>
      </c>
      <c r="B1583">
        <f>IF($A1583="","",COUNTIF('TMP Paste'!$B$2:$B1583,"?*"))</f>
        <v/>
      </c>
      <c r="C1583">
        <f>IF($A1583="","",IFERROR('TMP Paste'!$M1583*1,0))</f>
        <v/>
      </c>
      <c r="D1583">
        <f>IF($A1583="","",SUMIF($B$2:$B1583,$B1583,$C$2:$C1583))</f>
        <v/>
      </c>
      <c r="E1583">
        <f>IF($A1583="",0,IF('TMP Paste'!$B1583="",0,1))</f>
        <v/>
      </c>
      <c r="F1583">
        <f>IF(OR($A1583="",$C1583&lt;1),"",$A1583&amp;"-"&amp;TEXT(($D1583-$C1583+1),"00")&amp;IF($C1583&gt;=2,", "&amp;$A1583&amp;"-"&amp;TEXT(($D1583-$C1583+1)+1,"00"),"")&amp;IF($C1583&gt;=3,", "&amp;$A1583&amp;"-"&amp;TEXT(($D1583-$C1583+1)+2,"00"),"")&amp;IF($C1583&gt;=4,", "&amp;$A1583&amp;"-"&amp;TEXT(($D1583-$C1583+1)+3,"00"),"")&amp;IF($C1583&gt;=5,", "&amp;$A1583&amp;"-"&amp;TEXT(($D1583-$C1583+1)+4,"00"),"")&amp;IF($C1583&gt;=6,", "&amp;$A1583&amp;"-"&amp;TEXT(($D1583-$C1583+1)+5,"00"),"")&amp;IF($C1583&gt;=7,", "&amp;$A1583&amp;"-"&amp;TEXT(($D1583-$C1583+1)+6,"00"),"")&amp;IF($C1583&gt;=8,", "&amp;$A1583&amp;"-"&amp;TEXT(($D1583-$C1583+1)+7,"00"),"")&amp;IF($C1583&gt;=9,", "&amp;$A1583&amp;"-"&amp;TEXT(($D1583-$C1583+1)+8,"00"),"")&amp;IF($C1583&gt;=10,", "&amp;$A1583&amp;"-"&amp;TEXT(($D1583-$C1583+1)+9,"00"),"")&amp;IF($C1583&gt;=11,", "&amp;$A1583&amp;"-"&amp;TEXT(($D1583-$C1583+1)+10,"00"),"")&amp;IF($C1583&gt;=12,", "&amp;$A1583&amp;"-"&amp;TEXT(($D1583-$C1583+1)+11,"00"),"")&amp;IF($C1583&gt;=13,", "&amp;$A1583&amp;"-"&amp;TEXT(($D1583-$C1583+1)+12,"00"),"")&amp;IF($C1583&gt;=14,", "&amp;$A1583&amp;"-"&amp;TEXT(($D1583-$C1583+1)+13,"00"),"")&amp;IF($C1583&gt;=15,", "&amp;$A1583&amp;"-"&amp;TEXT(($D1583-$C1583+1)+14,"00"),"")&amp;IF($C1583&gt;=16,", "&amp;$A1583&amp;"-"&amp;TEXT(($D1583-$C1583+1)+15,"00"),"")&amp;IF($C1583&gt;=17,", "&amp;$A1583&amp;"-"&amp;TEXT(($D1583-$C1583+1)+16,"00"),"")&amp;IF($C1583&gt;=18,", "&amp;$A1583&amp;"-"&amp;TEXT(($D1583-$C1583+1)+17,"00"),"")&amp;IF($C1583&gt;=19,", "&amp;$A1583&amp;"-"&amp;TEXT(($D1583-$C1583+1)+18,"00"),"")&amp;IF($C1583&gt;=20,", "&amp;$A1583&amp;"-"&amp;TEXT(($D1583-$C1583+1)+19,"00"),"")&amp;IF($C1583&gt;=21,", "&amp;$A1583&amp;"-"&amp;TEXT(($D1583-$C1583+1)+20,"00"),"")&amp;IF($C1583&gt;=22,", "&amp;$A1583&amp;"-"&amp;TEXT(($D1583-$C1583+1)+21,"00"),"")&amp;IF($C1583&gt;=23,", "&amp;$A1583&amp;"-"&amp;TEXT(($D1583-$C1583+1)+22,"00"),"")&amp;IF($C1583&gt;=24,", "&amp;$A1583&amp;"-"&amp;TEXT(($D1583-$C1583+1)+23,"00"),"")&amp;IF($C1583&gt;=25,", "&amp;$A1583&amp;"-"&amp;TEXT(($D1583-$C1583+1)+24,"00"),""))</f>
        <v/>
      </c>
      <c r="G1583">
        <f>IF($A1583="","",IF($E1583=1,$F1583,IF($F1583="",$G1582,IF($G1582="",$F1583,$G1582&amp;", "&amp;$F1583))))</f>
        <v/>
      </c>
      <c r="H1583">
        <f>IF($A1583="","",$A1583&amp;" ("&amp;$C1583&amp;")")</f>
        <v/>
      </c>
      <c r="I1583">
        <f>IF($A1583="","",IF($E1583=1,$H1583,$I1582&amp;", "&amp;$H1583))</f>
        <v/>
      </c>
      <c r="J1583">
        <f>IF($A1583="","",IF($E1583=1,$B1583,""))</f>
        <v/>
      </c>
      <c r="K1583">
        <f>IF($A1583="","",IF(COUNTIF($B$2:$B1583,$B1583)=COUNTIF($B$2:$B$1601,$B1583),$B1583,""))</f>
        <v/>
      </c>
    </row>
    <row r="1584">
      <c r="A1584">
        <f>IF('TMP Paste'!$E1584="","",'TMP Paste'!$E1584)</f>
        <v/>
      </c>
      <c r="B1584">
        <f>IF($A1584="","",COUNTIF('TMP Paste'!$B$2:$B1584,"?*"))</f>
        <v/>
      </c>
      <c r="C1584">
        <f>IF($A1584="","",IFERROR('TMP Paste'!$M1584*1,0))</f>
        <v/>
      </c>
      <c r="D1584">
        <f>IF($A1584="","",SUMIF($B$2:$B1584,$B1584,$C$2:$C1584))</f>
        <v/>
      </c>
      <c r="E1584">
        <f>IF($A1584="",0,IF('TMP Paste'!$B1584="",0,1))</f>
        <v/>
      </c>
      <c r="F1584">
        <f>IF(OR($A1584="",$C1584&lt;1),"",$A1584&amp;"-"&amp;TEXT(($D1584-$C1584+1),"00")&amp;IF($C1584&gt;=2,", "&amp;$A1584&amp;"-"&amp;TEXT(($D1584-$C1584+1)+1,"00"),"")&amp;IF($C1584&gt;=3,", "&amp;$A1584&amp;"-"&amp;TEXT(($D1584-$C1584+1)+2,"00"),"")&amp;IF($C1584&gt;=4,", "&amp;$A1584&amp;"-"&amp;TEXT(($D1584-$C1584+1)+3,"00"),"")&amp;IF($C1584&gt;=5,", "&amp;$A1584&amp;"-"&amp;TEXT(($D1584-$C1584+1)+4,"00"),"")&amp;IF($C1584&gt;=6,", "&amp;$A1584&amp;"-"&amp;TEXT(($D1584-$C1584+1)+5,"00"),"")&amp;IF($C1584&gt;=7,", "&amp;$A1584&amp;"-"&amp;TEXT(($D1584-$C1584+1)+6,"00"),"")&amp;IF($C1584&gt;=8,", "&amp;$A1584&amp;"-"&amp;TEXT(($D1584-$C1584+1)+7,"00"),"")&amp;IF($C1584&gt;=9,", "&amp;$A1584&amp;"-"&amp;TEXT(($D1584-$C1584+1)+8,"00"),"")&amp;IF($C1584&gt;=10,", "&amp;$A1584&amp;"-"&amp;TEXT(($D1584-$C1584+1)+9,"00"),"")&amp;IF($C1584&gt;=11,", "&amp;$A1584&amp;"-"&amp;TEXT(($D1584-$C1584+1)+10,"00"),"")&amp;IF($C1584&gt;=12,", "&amp;$A1584&amp;"-"&amp;TEXT(($D1584-$C1584+1)+11,"00"),"")&amp;IF($C1584&gt;=13,", "&amp;$A1584&amp;"-"&amp;TEXT(($D1584-$C1584+1)+12,"00"),"")&amp;IF($C1584&gt;=14,", "&amp;$A1584&amp;"-"&amp;TEXT(($D1584-$C1584+1)+13,"00"),"")&amp;IF($C1584&gt;=15,", "&amp;$A1584&amp;"-"&amp;TEXT(($D1584-$C1584+1)+14,"00"),"")&amp;IF($C1584&gt;=16,", "&amp;$A1584&amp;"-"&amp;TEXT(($D1584-$C1584+1)+15,"00"),"")&amp;IF($C1584&gt;=17,", "&amp;$A1584&amp;"-"&amp;TEXT(($D1584-$C1584+1)+16,"00"),"")&amp;IF($C1584&gt;=18,", "&amp;$A1584&amp;"-"&amp;TEXT(($D1584-$C1584+1)+17,"00"),"")&amp;IF($C1584&gt;=19,", "&amp;$A1584&amp;"-"&amp;TEXT(($D1584-$C1584+1)+18,"00"),"")&amp;IF($C1584&gt;=20,", "&amp;$A1584&amp;"-"&amp;TEXT(($D1584-$C1584+1)+19,"00"),"")&amp;IF($C1584&gt;=21,", "&amp;$A1584&amp;"-"&amp;TEXT(($D1584-$C1584+1)+20,"00"),"")&amp;IF($C1584&gt;=22,", "&amp;$A1584&amp;"-"&amp;TEXT(($D1584-$C1584+1)+21,"00"),"")&amp;IF($C1584&gt;=23,", "&amp;$A1584&amp;"-"&amp;TEXT(($D1584-$C1584+1)+22,"00"),"")&amp;IF($C1584&gt;=24,", "&amp;$A1584&amp;"-"&amp;TEXT(($D1584-$C1584+1)+23,"00"),"")&amp;IF($C1584&gt;=25,", "&amp;$A1584&amp;"-"&amp;TEXT(($D1584-$C1584+1)+24,"00"),""))</f>
        <v/>
      </c>
      <c r="G1584">
        <f>IF($A1584="","",IF($E1584=1,$F1584,IF($F1584="",$G1583,IF($G1583="",$F1584,$G1583&amp;", "&amp;$F1584))))</f>
        <v/>
      </c>
      <c r="H1584">
        <f>IF($A1584="","",$A1584&amp;" ("&amp;$C1584&amp;")")</f>
        <v/>
      </c>
      <c r="I1584">
        <f>IF($A1584="","",IF($E1584=1,$H1584,$I1583&amp;", "&amp;$H1584))</f>
        <v/>
      </c>
      <c r="J1584">
        <f>IF($A1584="","",IF($E1584=1,$B1584,""))</f>
        <v/>
      </c>
      <c r="K1584">
        <f>IF($A1584="","",IF(COUNTIF($B$2:$B1584,$B1584)=COUNTIF($B$2:$B$1601,$B1584),$B1584,""))</f>
        <v/>
      </c>
    </row>
    <row r="1585">
      <c r="A1585">
        <f>IF('TMP Paste'!$E1585="","",'TMP Paste'!$E1585)</f>
        <v/>
      </c>
      <c r="B1585">
        <f>IF($A1585="","",COUNTIF('TMP Paste'!$B$2:$B1585,"?*"))</f>
        <v/>
      </c>
      <c r="C1585">
        <f>IF($A1585="","",IFERROR('TMP Paste'!$M1585*1,0))</f>
        <v/>
      </c>
      <c r="D1585">
        <f>IF($A1585="","",SUMIF($B$2:$B1585,$B1585,$C$2:$C1585))</f>
        <v/>
      </c>
      <c r="E1585">
        <f>IF($A1585="",0,IF('TMP Paste'!$B1585="",0,1))</f>
        <v/>
      </c>
      <c r="F1585">
        <f>IF(OR($A1585="",$C1585&lt;1),"",$A1585&amp;"-"&amp;TEXT(($D1585-$C1585+1),"00")&amp;IF($C1585&gt;=2,", "&amp;$A1585&amp;"-"&amp;TEXT(($D1585-$C1585+1)+1,"00"),"")&amp;IF($C1585&gt;=3,", "&amp;$A1585&amp;"-"&amp;TEXT(($D1585-$C1585+1)+2,"00"),"")&amp;IF($C1585&gt;=4,", "&amp;$A1585&amp;"-"&amp;TEXT(($D1585-$C1585+1)+3,"00"),"")&amp;IF($C1585&gt;=5,", "&amp;$A1585&amp;"-"&amp;TEXT(($D1585-$C1585+1)+4,"00"),"")&amp;IF($C1585&gt;=6,", "&amp;$A1585&amp;"-"&amp;TEXT(($D1585-$C1585+1)+5,"00"),"")&amp;IF($C1585&gt;=7,", "&amp;$A1585&amp;"-"&amp;TEXT(($D1585-$C1585+1)+6,"00"),"")&amp;IF($C1585&gt;=8,", "&amp;$A1585&amp;"-"&amp;TEXT(($D1585-$C1585+1)+7,"00"),"")&amp;IF($C1585&gt;=9,", "&amp;$A1585&amp;"-"&amp;TEXT(($D1585-$C1585+1)+8,"00"),"")&amp;IF($C1585&gt;=10,", "&amp;$A1585&amp;"-"&amp;TEXT(($D1585-$C1585+1)+9,"00"),"")&amp;IF($C1585&gt;=11,", "&amp;$A1585&amp;"-"&amp;TEXT(($D1585-$C1585+1)+10,"00"),"")&amp;IF($C1585&gt;=12,", "&amp;$A1585&amp;"-"&amp;TEXT(($D1585-$C1585+1)+11,"00"),"")&amp;IF($C1585&gt;=13,", "&amp;$A1585&amp;"-"&amp;TEXT(($D1585-$C1585+1)+12,"00"),"")&amp;IF($C1585&gt;=14,", "&amp;$A1585&amp;"-"&amp;TEXT(($D1585-$C1585+1)+13,"00"),"")&amp;IF($C1585&gt;=15,", "&amp;$A1585&amp;"-"&amp;TEXT(($D1585-$C1585+1)+14,"00"),"")&amp;IF($C1585&gt;=16,", "&amp;$A1585&amp;"-"&amp;TEXT(($D1585-$C1585+1)+15,"00"),"")&amp;IF($C1585&gt;=17,", "&amp;$A1585&amp;"-"&amp;TEXT(($D1585-$C1585+1)+16,"00"),"")&amp;IF($C1585&gt;=18,", "&amp;$A1585&amp;"-"&amp;TEXT(($D1585-$C1585+1)+17,"00"),"")&amp;IF($C1585&gt;=19,", "&amp;$A1585&amp;"-"&amp;TEXT(($D1585-$C1585+1)+18,"00"),"")&amp;IF($C1585&gt;=20,", "&amp;$A1585&amp;"-"&amp;TEXT(($D1585-$C1585+1)+19,"00"),"")&amp;IF($C1585&gt;=21,", "&amp;$A1585&amp;"-"&amp;TEXT(($D1585-$C1585+1)+20,"00"),"")&amp;IF($C1585&gt;=22,", "&amp;$A1585&amp;"-"&amp;TEXT(($D1585-$C1585+1)+21,"00"),"")&amp;IF($C1585&gt;=23,", "&amp;$A1585&amp;"-"&amp;TEXT(($D1585-$C1585+1)+22,"00"),"")&amp;IF($C1585&gt;=24,", "&amp;$A1585&amp;"-"&amp;TEXT(($D1585-$C1585+1)+23,"00"),"")&amp;IF($C1585&gt;=25,", "&amp;$A1585&amp;"-"&amp;TEXT(($D1585-$C1585+1)+24,"00"),""))</f>
        <v/>
      </c>
      <c r="G1585">
        <f>IF($A1585="","",IF($E1585=1,$F1585,IF($F1585="",$G1584,IF($G1584="",$F1585,$G1584&amp;", "&amp;$F1585))))</f>
        <v/>
      </c>
      <c r="H1585">
        <f>IF($A1585="","",$A1585&amp;" ("&amp;$C1585&amp;")")</f>
        <v/>
      </c>
      <c r="I1585">
        <f>IF($A1585="","",IF($E1585=1,$H1585,$I1584&amp;", "&amp;$H1585))</f>
        <v/>
      </c>
      <c r="J1585">
        <f>IF($A1585="","",IF($E1585=1,$B1585,""))</f>
        <v/>
      </c>
      <c r="K1585">
        <f>IF($A1585="","",IF(COUNTIF($B$2:$B1585,$B1585)=COUNTIF($B$2:$B$1601,$B1585),$B1585,""))</f>
        <v/>
      </c>
    </row>
    <row r="1586">
      <c r="A1586">
        <f>IF('TMP Paste'!$E1586="","",'TMP Paste'!$E1586)</f>
        <v/>
      </c>
      <c r="B1586">
        <f>IF($A1586="","",COUNTIF('TMP Paste'!$B$2:$B1586,"?*"))</f>
        <v/>
      </c>
      <c r="C1586">
        <f>IF($A1586="","",IFERROR('TMP Paste'!$M1586*1,0))</f>
        <v/>
      </c>
      <c r="D1586">
        <f>IF($A1586="","",SUMIF($B$2:$B1586,$B1586,$C$2:$C1586))</f>
        <v/>
      </c>
      <c r="E1586">
        <f>IF($A1586="",0,IF('TMP Paste'!$B1586="",0,1))</f>
        <v/>
      </c>
      <c r="F1586">
        <f>IF(OR($A1586="",$C1586&lt;1),"",$A1586&amp;"-"&amp;TEXT(($D1586-$C1586+1),"00")&amp;IF($C1586&gt;=2,", "&amp;$A1586&amp;"-"&amp;TEXT(($D1586-$C1586+1)+1,"00"),"")&amp;IF($C1586&gt;=3,", "&amp;$A1586&amp;"-"&amp;TEXT(($D1586-$C1586+1)+2,"00"),"")&amp;IF($C1586&gt;=4,", "&amp;$A1586&amp;"-"&amp;TEXT(($D1586-$C1586+1)+3,"00"),"")&amp;IF($C1586&gt;=5,", "&amp;$A1586&amp;"-"&amp;TEXT(($D1586-$C1586+1)+4,"00"),"")&amp;IF($C1586&gt;=6,", "&amp;$A1586&amp;"-"&amp;TEXT(($D1586-$C1586+1)+5,"00"),"")&amp;IF($C1586&gt;=7,", "&amp;$A1586&amp;"-"&amp;TEXT(($D1586-$C1586+1)+6,"00"),"")&amp;IF($C1586&gt;=8,", "&amp;$A1586&amp;"-"&amp;TEXT(($D1586-$C1586+1)+7,"00"),"")&amp;IF($C1586&gt;=9,", "&amp;$A1586&amp;"-"&amp;TEXT(($D1586-$C1586+1)+8,"00"),"")&amp;IF($C1586&gt;=10,", "&amp;$A1586&amp;"-"&amp;TEXT(($D1586-$C1586+1)+9,"00"),"")&amp;IF($C1586&gt;=11,", "&amp;$A1586&amp;"-"&amp;TEXT(($D1586-$C1586+1)+10,"00"),"")&amp;IF($C1586&gt;=12,", "&amp;$A1586&amp;"-"&amp;TEXT(($D1586-$C1586+1)+11,"00"),"")&amp;IF($C1586&gt;=13,", "&amp;$A1586&amp;"-"&amp;TEXT(($D1586-$C1586+1)+12,"00"),"")&amp;IF($C1586&gt;=14,", "&amp;$A1586&amp;"-"&amp;TEXT(($D1586-$C1586+1)+13,"00"),"")&amp;IF($C1586&gt;=15,", "&amp;$A1586&amp;"-"&amp;TEXT(($D1586-$C1586+1)+14,"00"),"")&amp;IF($C1586&gt;=16,", "&amp;$A1586&amp;"-"&amp;TEXT(($D1586-$C1586+1)+15,"00"),"")&amp;IF($C1586&gt;=17,", "&amp;$A1586&amp;"-"&amp;TEXT(($D1586-$C1586+1)+16,"00"),"")&amp;IF($C1586&gt;=18,", "&amp;$A1586&amp;"-"&amp;TEXT(($D1586-$C1586+1)+17,"00"),"")&amp;IF($C1586&gt;=19,", "&amp;$A1586&amp;"-"&amp;TEXT(($D1586-$C1586+1)+18,"00"),"")&amp;IF($C1586&gt;=20,", "&amp;$A1586&amp;"-"&amp;TEXT(($D1586-$C1586+1)+19,"00"),"")&amp;IF($C1586&gt;=21,", "&amp;$A1586&amp;"-"&amp;TEXT(($D1586-$C1586+1)+20,"00"),"")&amp;IF($C1586&gt;=22,", "&amp;$A1586&amp;"-"&amp;TEXT(($D1586-$C1586+1)+21,"00"),"")&amp;IF($C1586&gt;=23,", "&amp;$A1586&amp;"-"&amp;TEXT(($D1586-$C1586+1)+22,"00"),"")&amp;IF($C1586&gt;=24,", "&amp;$A1586&amp;"-"&amp;TEXT(($D1586-$C1586+1)+23,"00"),"")&amp;IF($C1586&gt;=25,", "&amp;$A1586&amp;"-"&amp;TEXT(($D1586-$C1586+1)+24,"00"),""))</f>
        <v/>
      </c>
      <c r="G1586">
        <f>IF($A1586="","",IF($E1586=1,$F1586,IF($F1586="",$G1585,IF($G1585="",$F1586,$G1585&amp;", "&amp;$F1586))))</f>
        <v/>
      </c>
      <c r="H1586">
        <f>IF($A1586="","",$A1586&amp;" ("&amp;$C1586&amp;")")</f>
        <v/>
      </c>
      <c r="I1586">
        <f>IF($A1586="","",IF($E1586=1,$H1586,$I1585&amp;", "&amp;$H1586))</f>
        <v/>
      </c>
      <c r="J1586">
        <f>IF($A1586="","",IF($E1586=1,$B1586,""))</f>
        <v/>
      </c>
      <c r="K1586">
        <f>IF($A1586="","",IF(COUNTIF($B$2:$B1586,$B1586)=COUNTIF($B$2:$B$1601,$B1586),$B1586,""))</f>
        <v/>
      </c>
    </row>
    <row r="1587">
      <c r="A1587">
        <f>IF('TMP Paste'!$E1587="","",'TMP Paste'!$E1587)</f>
        <v/>
      </c>
      <c r="B1587">
        <f>IF($A1587="","",COUNTIF('TMP Paste'!$B$2:$B1587,"?*"))</f>
        <v/>
      </c>
      <c r="C1587">
        <f>IF($A1587="","",IFERROR('TMP Paste'!$M1587*1,0))</f>
        <v/>
      </c>
      <c r="D1587">
        <f>IF($A1587="","",SUMIF($B$2:$B1587,$B1587,$C$2:$C1587))</f>
        <v/>
      </c>
      <c r="E1587">
        <f>IF($A1587="",0,IF('TMP Paste'!$B1587="",0,1))</f>
        <v/>
      </c>
      <c r="F1587">
        <f>IF(OR($A1587="",$C1587&lt;1),"",$A1587&amp;"-"&amp;TEXT(($D1587-$C1587+1),"00")&amp;IF($C1587&gt;=2,", "&amp;$A1587&amp;"-"&amp;TEXT(($D1587-$C1587+1)+1,"00"),"")&amp;IF($C1587&gt;=3,", "&amp;$A1587&amp;"-"&amp;TEXT(($D1587-$C1587+1)+2,"00"),"")&amp;IF($C1587&gt;=4,", "&amp;$A1587&amp;"-"&amp;TEXT(($D1587-$C1587+1)+3,"00"),"")&amp;IF($C1587&gt;=5,", "&amp;$A1587&amp;"-"&amp;TEXT(($D1587-$C1587+1)+4,"00"),"")&amp;IF($C1587&gt;=6,", "&amp;$A1587&amp;"-"&amp;TEXT(($D1587-$C1587+1)+5,"00"),"")&amp;IF($C1587&gt;=7,", "&amp;$A1587&amp;"-"&amp;TEXT(($D1587-$C1587+1)+6,"00"),"")&amp;IF($C1587&gt;=8,", "&amp;$A1587&amp;"-"&amp;TEXT(($D1587-$C1587+1)+7,"00"),"")&amp;IF($C1587&gt;=9,", "&amp;$A1587&amp;"-"&amp;TEXT(($D1587-$C1587+1)+8,"00"),"")&amp;IF($C1587&gt;=10,", "&amp;$A1587&amp;"-"&amp;TEXT(($D1587-$C1587+1)+9,"00"),"")&amp;IF($C1587&gt;=11,", "&amp;$A1587&amp;"-"&amp;TEXT(($D1587-$C1587+1)+10,"00"),"")&amp;IF($C1587&gt;=12,", "&amp;$A1587&amp;"-"&amp;TEXT(($D1587-$C1587+1)+11,"00"),"")&amp;IF($C1587&gt;=13,", "&amp;$A1587&amp;"-"&amp;TEXT(($D1587-$C1587+1)+12,"00"),"")&amp;IF($C1587&gt;=14,", "&amp;$A1587&amp;"-"&amp;TEXT(($D1587-$C1587+1)+13,"00"),"")&amp;IF($C1587&gt;=15,", "&amp;$A1587&amp;"-"&amp;TEXT(($D1587-$C1587+1)+14,"00"),"")&amp;IF($C1587&gt;=16,", "&amp;$A1587&amp;"-"&amp;TEXT(($D1587-$C1587+1)+15,"00"),"")&amp;IF($C1587&gt;=17,", "&amp;$A1587&amp;"-"&amp;TEXT(($D1587-$C1587+1)+16,"00"),"")&amp;IF($C1587&gt;=18,", "&amp;$A1587&amp;"-"&amp;TEXT(($D1587-$C1587+1)+17,"00"),"")&amp;IF($C1587&gt;=19,", "&amp;$A1587&amp;"-"&amp;TEXT(($D1587-$C1587+1)+18,"00"),"")&amp;IF($C1587&gt;=20,", "&amp;$A1587&amp;"-"&amp;TEXT(($D1587-$C1587+1)+19,"00"),"")&amp;IF($C1587&gt;=21,", "&amp;$A1587&amp;"-"&amp;TEXT(($D1587-$C1587+1)+20,"00"),"")&amp;IF($C1587&gt;=22,", "&amp;$A1587&amp;"-"&amp;TEXT(($D1587-$C1587+1)+21,"00"),"")&amp;IF($C1587&gt;=23,", "&amp;$A1587&amp;"-"&amp;TEXT(($D1587-$C1587+1)+22,"00"),"")&amp;IF($C1587&gt;=24,", "&amp;$A1587&amp;"-"&amp;TEXT(($D1587-$C1587+1)+23,"00"),"")&amp;IF($C1587&gt;=25,", "&amp;$A1587&amp;"-"&amp;TEXT(($D1587-$C1587+1)+24,"00"),""))</f>
        <v/>
      </c>
      <c r="G1587">
        <f>IF($A1587="","",IF($E1587=1,$F1587,IF($F1587="",$G1586,IF($G1586="",$F1587,$G1586&amp;", "&amp;$F1587))))</f>
        <v/>
      </c>
      <c r="H1587">
        <f>IF($A1587="","",$A1587&amp;" ("&amp;$C1587&amp;")")</f>
        <v/>
      </c>
      <c r="I1587">
        <f>IF($A1587="","",IF($E1587=1,$H1587,$I1586&amp;", "&amp;$H1587))</f>
        <v/>
      </c>
      <c r="J1587">
        <f>IF($A1587="","",IF($E1587=1,$B1587,""))</f>
        <v/>
      </c>
      <c r="K1587">
        <f>IF($A1587="","",IF(COUNTIF($B$2:$B1587,$B1587)=COUNTIF($B$2:$B$1601,$B1587),$B1587,""))</f>
        <v/>
      </c>
    </row>
    <row r="1588">
      <c r="A1588">
        <f>IF('TMP Paste'!$E1588="","",'TMP Paste'!$E1588)</f>
        <v/>
      </c>
      <c r="B1588">
        <f>IF($A1588="","",COUNTIF('TMP Paste'!$B$2:$B1588,"?*"))</f>
        <v/>
      </c>
      <c r="C1588">
        <f>IF($A1588="","",IFERROR('TMP Paste'!$M1588*1,0))</f>
        <v/>
      </c>
      <c r="D1588">
        <f>IF($A1588="","",SUMIF($B$2:$B1588,$B1588,$C$2:$C1588))</f>
        <v/>
      </c>
      <c r="E1588">
        <f>IF($A1588="",0,IF('TMP Paste'!$B1588="",0,1))</f>
        <v/>
      </c>
      <c r="F1588">
        <f>IF(OR($A1588="",$C1588&lt;1),"",$A1588&amp;"-"&amp;TEXT(($D1588-$C1588+1),"00")&amp;IF($C1588&gt;=2,", "&amp;$A1588&amp;"-"&amp;TEXT(($D1588-$C1588+1)+1,"00"),"")&amp;IF($C1588&gt;=3,", "&amp;$A1588&amp;"-"&amp;TEXT(($D1588-$C1588+1)+2,"00"),"")&amp;IF($C1588&gt;=4,", "&amp;$A1588&amp;"-"&amp;TEXT(($D1588-$C1588+1)+3,"00"),"")&amp;IF($C1588&gt;=5,", "&amp;$A1588&amp;"-"&amp;TEXT(($D1588-$C1588+1)+4,"00"),"")&amp;IF($C1588&gt;=6,", "&amp;$A1588&amp;"-"&amp;TEXT(($D1588-$C1588+1)+5,"00"),"")&amp;IF($C1588&gt;=7,", "&amp;$A1588&amp;"-"&amp;TEXT(($D1588-$C1588+1)+6,"00"),"")&amp;IF($C1588&gt;=8,", "&amp;$A1588&amp;"-"&amp;TEXT(($D1588-$C1588+1)+7,"00"),"")&amp;IF($C1588&gt;=9,", "&amp;$A1588&amp;"-"&amp;TEXT(($D1588-$C1588+1)+8,"00"),"")&amp;IF($C1588&gt;=10,", "&amp;$A1588&amp;"-"&amp;TEXT(($D1588-$C1588+1)+9,"00"),"")&amp;IF($C1588&gt;=11,", "&amp;$A1588&amp;"-"&amp;TEXT(($D1588-$C1588+1)+10,"00"),"")&amp;IF($C1588&gt;=12,", "&amp;$A1588&amp;"-"&amp;TEXT(($D1588-$C1588+1)+11,"00"),"")&amp;IF($C1588&gt;=13,", "&amp;$A1588&amp;"-"&amp;TEXT(($D1588-$C1588+1)+12,"00"),"")&amp;IF($C1588&gt;=14,", "&amp;$A1588&amp;"-"&amp;TEXT(($D1588-$C1588+1)+13,"00"),"")&amp;IF($C1588&gt;=15,", "&amp;$A1588&amp;"-"&amp;TEXT(($D1588-$C1588+1)+14,"00"),"")&amp;IF($C1588&gt;=16,", "&amp;$A1588&amp;"-"&amp;TEXT(($D1588-$C1588+1)+15,"00"),"")&amp;IF($C1588&gt;=17,", "&amp;$A1588&amp;"-"&amp;TEXT(($D1588-$C1588+1)+16,"00"),"")&amp;IF($C1588&gt;=18,", "&amp;$A1588&amp;"-"&amp;TEXT(($D1588-$C1588+1)+17,"00"),"")&amp;IF($C1588&gt;=19,", "&amp;$A1588&amp;"-"&amp;TEXT(($D1588-$C1588+1)+18,"00"),"")&amp;IF($C1588&gt;=20,", "&amp;$A1588&amp;"-"&amp;TEXT(($D1588-$C1588+1)+19,"00"),"")&amp;IF($C1588&gt;=21,", "&amp;$A1588&amp;"-"&amp;TEXT(($D1588-$C1588+1)+20,"00"),"")&amp;IF($C1588&gt;=22,", "&amp;$A1588&amp;"-"&amp;TEXT(($D1588-$C1588+1)+21,"00"),"")&amp;IF($C1588&gt;=23,", "&amp;$A1588&amp;"-"&amp;TEXT(($D1588-$C1588+1)+22,"00"),"")&amp;IF($C1588&gt;=24,", "&amp;$A1588&amp;"-"&amp;TEXT(($D1588-$C1588+1)+23,"00"),"")&amp;IF($C1588&gt;=25,", "&amp;$A1588&amp;"-"&amp;TEXT(($D1588-$C1588+1)+24,"00"),""))</f>
        <v/>
      </c>
      <c r="G1588">
        <f>IF($A1588="","",IF($E1588=1,$F1588,IF($F1588="",$G1587,IF($G1587="",$F1588,$G1587&amp;", "&amp;$F1588))))</f>
        <v/>
      </c>
      <c r="H1588">
        <f>IF($A1588="","",$A1588&amp;" ("&amp;$C1588&amp;")")</f>
        <v/>
      </c>
      <c r="I1588">
        <f>IF($A1588="","",IF($E1588=1,$H1588,$I1587&amp;", "&amp;$H1588))</f>
        <v/>
      </c>
      <c r="J1588">
        <f>IF($A1588="","",IF($E1588=1,$B1588,""))</f>
        <v/>
      </c>
      <c r="K1588">
        <f>IF($A1588="","",IF(COUNTIF($B$2:$B1588,$B1588)=COUNTIF($B$2:$B$1601,$B1588),$B1588,""))</f>
        <v/>
      </c>
    </row>
    <row r="1589">
      <c r="A1589">
        <f>IF('TMP Paste'!$E1589="","",'TMP Paste'!$E1589)</f>
        <v/>
      </c>
      <c r="B1589">
        <f>IF($A1589="","",COUNTIF('TMP Paste'!$B$2:$B1589,"?*"))</f>
        <v/>
      </c>
      <c r="C1589">
        <f>IF($A1589="","",IFERROR('TMP Paste'!$M1589*1,0))</f>
        <v/>
      </c>
      <c r="D1589">
        <f>IF($A1589="","",SUMIF($B$2:$B1589,$B1589,$C$2:$C1589))</f>
        <v/>
      </c>
      <c r="E1589">
        <f>IF($A1589="",0,IF('TMP Paste'!$B1589="",0,1))</f>
        <v/>
      </c>
      <c r="F1589">
        <f>IF(OR($A1589="",$C1589&lt;1),"",$A1589&amp;"-"&amp;TEXT(($D1589-$C1589+1),"00")&amp;IF($C1589&gt;=2,", "&amp;$A1589&amp;"-"&amp;TEXT(($D1589-$C1589+1)+1,"00"),"")&amp;IF($C1589&gt;=3,", "&amp;$A1589&amp;"-"&amp;TEXT(($D1589-$C1589+1)+2,"00"),"")&amp;IF($C1589&gt;=4,", "&amp;$A1589&amp;"-"&amp;TEXT(($D1589-$C1589+1)+3,"00"),"")&amp;IF($C1589&gt;=5,", "&amp;$A1589&amp;"-"&amp;TEXT(($D1589-$C1589+1)+4,"00"),"")&amp;IF($C1589&gt;=6,", "&amp;$A1589&amp;"-"&amp;TEXT(($D1589-$C1589+1)+5,"00"),"")&amp;IF($C1589&gt;=7,", "&amp;$A1589&amp;"-"&amp;TEXT(($D1589-$C1589+1)+6,"00"),"")&amp;IF($C1589&gt;=8,", "&amp;$A1589&amp;"-"&amp;TEXT(($D1589-$C1589+1)+7,"00"),"")&amp;IF($C1589&gt;=9,", "&amp;$A1589&amp;"-"&amp;TEXT(($D1589-$C1589+1)+8,"00"),"")&amp;IF($C1589&gt;=10,", "&amp;$A1589&amp;"-"&amp;TEXT(($D1589-$C1589+1)+9,"00"),"")&amp;IF($C1589&gt;=11,", "&amp;$A1589&amp;"-"&amp;TEXT(($D1589-$C1589+1)+10,"00"),"")&amp;IF($C1589&gt;=12,", "&amp;$A1589&amp;"-"&amp;TEXT(($D1589-$C1589+1)+11,"00"),"")&amp;IF($C1589&gt;=13,", "&amp;$A1589&amp;"-"&amp;TEXT(($D1589-$C1589+1)+12,"00"),"")&amp;IF($C1589&gt;=14,", "&amp;$A1589&amp;"-"&amp;TEXT(($D1589-$C1589+1)+13,"00"),"")&amp;IF($C1589&gt;=15,", "&amp;$A1589&amp;"-"&amp;TEXT(($D1589-$C1589+1)+14,"00"),"")&amp;IF($C1589&gt;=16,", "&amp;$A1589&amp;"-"&amp;TEXT(($D1589-$C1589+1)+15,"00"),"")&amp;IF($C1589&gt;=17,", "&amp;$A1589&amp;"-"&amp;TEXT(($D1589-$C1589+1)+16,"00"),"")&amp;IF($C1589&gt;=18,", "&amp;$A1589&amp;"-"&amp;TEXT(($D1589-$C1589+1)+17,"00"),"")&amp;IF($C1589&gt;=19,", "&amp;$A1589&amp;"-"&amp;TEXT(($D1589-$C1589+1)+18,"00"),"")&amp;IF($C1589&gt;=20,", "&amp;$A1589&amp;"-"&amp;TEXT(($D1589-$C1589+1)+19,"00"),"")&amp;IF($C1589&gt;=21,", "&amp;$A1589&amp;"-"&amp;TEXT(($D1589-$C1589+1)+20,"00"),"")&amp;IF($C1589&gt;=22,", "&amp;$A1589&amp;"-"&amp;TEXT(($D1589-$C1589+1)+21,"00"),"")&amp;IF($C1589&gt;=23,", "&amp;$A1589&amp;"-"&amp;TEXT(($D1589-$C1589+1)+22,"00"),"")&amp;IF($C1589&gt;=24,", "&amp;$A1589&amp;"-"&amp;TEXT(($D1589-$C1589+1)+23,"00"),"")&amp;IF($C1589&gt;=25,", "&amp;$A1589&amp;"-"&amp;TEXT(($D1589-$C1589+1)+24,"00"),""))</f>
        <v/>
      </c>
      <c r="G1589">
        <f>IF($A1589="","",IF($E1589=1,$F1589,IF($F1589="",$G1588,IF($G1588="",$F1589,$G1588&amp;", "&amp;$F1589))))</f>
        <v/>
      </c>
      <c r="H1589">
        <f>IF($A1589="","",$A1589&amp;" ("&amp;$C1589&amp;")")</f>
        <v/>
      </c>
      <c r="I1589">
        <f>IF($A1589="","",IF($E1589=1,$H1589,$I1588&amp;", "&amp;$H1589))</f>
        <v/>
      </c>
      <c r="J1589">
        <f>IF($A1589="","",IF($E1589=1,$B1589,""))</f>
        <v/>
      </c>
      <c r="K1589">
        <f>IF($A1589="","",IF(COUNTIF($B$2:$B1589,$B1589)=COUNTIF($B$2:$B$1601,$B1589),$B1589,""))</f>
        <v/>
      </c>
    </row>
    <row r="1590">
      <c r="A1590">
        <f>IF('TMP Paste'!$E1590="","",'TMP Paste'!$E1590)</f>
        <v/>
      </c>
      <c r="B1590">
        <f>IF($A1590="","",COUNTIF('TMP Paste'!$B$2:$B1590,"?*"))</f>
        <v/>
      </c>
      <c r="C1590">
        <f>IF($A1590="","",IFERROR('TMP Paste'!$M1590*1,0))</f>
        <v/>
      </c>
      <c r="D1590">
        <f>IF($A1590="","",SUMIF($B$2:$B1590,$B1590,$C$2:$C1590))</f>
        <v/>
      </c>
      <c r="E1590">
        <f>IF($A1590="",0,IF('TMP Paste'!$B1590="",0,1))</f>
        <v/>
      </c>
      <c r="F1590">
        <f>IF(OR($A1590="",$C1590&lt;1),"",$A1590&amp;"-"&amp;TEXT(($D1590-$C1590+1),"00")&amp;IF($C1590&gt;=2,", "&amp;$A1590&amp;"-"&amp;TEXT(($D1590-$C1590+1)+1,"00"),"")&amp;IF($C1590&gt;=3,", "&amp;$A1590&amp;"-"&amp;TEXT(($D1590-$C1590+1)+2,"00"),"")&amp;IF($C1590&gt;=4,", "&amp;$A1590&amp;"-"&amp;TEXT(($D1590-$C1590+1)+3,"00"),"")&amp;IF($C1590&gt;=5,", "&amp;$A1590&amp;"-"&amp;TEXT(($D1590-$C1590+1)+4,"00"),"")&amp;IF($C1590&gt;=6,", "&amp;$A1590&amp;"-"&amp;TEXT(($D1590-$C1590+1)+5,"00"),"")&amp;IF($C1590&gt;=7,", "&amp;$A1590&amp;"-"&amp;TEXT(($D1590-$C1590+1)+6,"00"),"")&amp;IF($C1590&gt;=8,", "&amp;$A1590&amp;"-"&amp;TEXT(($D1590-$C1590+1)+7,"00"),"")&amp;IF($C1590&gt;=9,", "&amp;$A1590&amp;"-"&amp;TEXT(($D1590-$C1590+1)+8,"00"),"")&amp;IF($C1590&gt;=10,", "&amp;$A1590&amp;"-"&amp;TEXT(($D1590-$C1590+1)+9,"00"),"")&amp;IF($C1590&gt;=11,", "&amp;$A1590&amp;"-"&amp;TEXT(($D1590-$C1590+1)+10,"00"),"")&amp;IF($C1590&gt;=12,", "&amp;$A1590&amp;"-"&amp;TEXT(($D1590-$C1590+1)+11,"00"),"")&amp;IF($C1590&gt;=13,", "&amp;$A1590&amp;"-"&amp;TEXT(($D1590-$C1590+1)+12,"00"),"")&amp;IF($C1590&gt;=14,", "&amp;$A1590&amp;"-"&amp;TEXT(($D1590-$C1590+1)+13,"00"),"")&amp;IF($C1590&gt;=15,", "&amp;$A1590&amp;"-"&amp;TEXT(($D1590-$C1590+1)+14,"00"),"")&amp;IF($C1590&gt;=16,", "&amp;$A1590&amp;"-"&amp;TEXT(($D1590-$C1590+1)+15,"00"),"")&amp;IF($C1590&gt;=17,", "&amp;$A1590&amp;"-"&amp;TEXT(($D1590-$C1590+1)+16,"00"),"")&amp;IF($C1590&gt;=18,", "&amp;$A1590&amp;"-"&amp;TEXT(($D1590-$C1590+1)+17,"00"),"")&amp;IF($C1590&gt;=19,", "&amp;$A1590&amp;"-"&amp;TEXT(($D1590-$C1590+1)+18,"00"),"")&amp;IF($C1590&gt;=20,", "&amp;$A1590&amp;"-"&amp;TEXT(($D1590-$C1590+1)+19,"00"),"")&amp;IF($C1590&gt;=21,", "&amp;$A1590&amp;"-"&amp;TEXT(($D1590-$C1590+1)+20,"00"),"")&amp;IF($C1590&gt;=22,", "&amp;$A1590&amp;"-"&amp;TEXT(($D1590-$C1590+1)+21,"00"),"")&amp;IF($C1590&gt;=23,", "&amp;$A1590&amp;"-"&amp;TEXT(($D1590-$C1590+1)+22,"00"),"")&amp;IF($C1590&gt;=24,", "&amp;$A1590&amp;"-"&amp;TEXT(($D1590-$C1590+1)+23,"00"),"")&amp;IF($C1590&gt;=25,", "&amp;$A1590&amp;"-"&amp;TEXT(($D1590-$C1590+1)+24,"00"),""))</f>
        <v/>
      </c>
      <c r="G1590">
        <f>IF($A1590="","",IF($E1590=1,$F1590,IF($F1590="",$G1589,IF($G1589="",$F1590,$G1589&amp;", "&amp;$F1590))))</f>
        <v/>
      </c>
      <c r="H1590">
        <f>IF($A1590="","",$A1590&amp;" ("&amp;$C1590&amp;")")</f>
        <v/>
      </c>
      <c r="I1590">
        <f>IF($A1590="","",IF($E1590=1,$H1590,$I1589&amp;", "&amp;$H1590))</f>
        <v/>
      </c>
      <c r="J1590">
        <f>IF($A1590="","",IF($E1590=1,$B1590,""))</f>
        <v/>
      </c>
      <c r="K1590">
        <f>IF($A1590="","",IF(COUNTIF($B$2:$B1590,$B1590)=COUNTIF($B$2:$B$1601,$B1590),$B1590,""))</f>
        <v/>
      </c>
    </row>
    <row r="1591">
      <c r="A1591">
        <f>IF('TMP Paste'!$E1591="","",'TMP Paste'!$E1591)</f>
        <v/>
      </c>
      <c r="B1591">
        <f>IF($A1591="","",COUNTIF('TMP Paste'!$B$2:$B1591,"?*"))</f>
        <v/>
      </c>
      <c r="C1591">
        <f>IF($A1591="","",IFERROR('TMP Paste'!$M1591*1,0))</f>
        <v/>
      </c>
      <c r="D1591">
        <f>IF($A1591="","",SUMIF($B$2:$B1591,$B1591,$C$2:$C1591))</f>
        <v/>
      </c>
      <c r="E1591">
        <f>IF($A1591="",0,IF('TMP Paste'!$B1591="",0,1))</f>
        <v/>
      </c>
      <c r="F1591">
        <f>IF(OR($A1591="",$C1591&lt;1),"",$A1591&amp;"-"&amp;TEXT(($D1591-$C1591+1),"00")&amp;IF($C1591&gt;=2,", "&amp;$A1591&amp;"-"&amp;TEXT(($D1591-$C1591+1)+1,"00"),"")&amp;IF($C1591&gt;=3,", "&amp;$A1591&amp;"-"&amp;TEXT(($D1591-$C1591+1)+2,"00"),"")&amp;IF($C1591&gt;=4,", "&amp;$A1591&amp;"-"&amp;TEXT(($D1591-$C1591+1)+3,"00"),"")&amp;IF($C1591&gt;=5,", "&amp;$A1591&amp;"-"&amp;TEXT(($D1591-$C1591+1)+4,"00"),"")&amp;IF($C1591&gt;=6,", "&amp;$A1591&amp;"-"&amp;TEXT(($D1591-$C1591+1)+5,"00"),"")&amp;IF($C1591&gt;=7,", "&amp;$A1591&amp;"-"&amp;TEXT(($D1591-$C1591+1)+6,"00"),"")&amp;IF($C1591&gt;=8,", "&amp;$A1591&amp;"-"&amp;TEXT(($D1591-$C1591+1)+7,"00"),"")&amp;IF($C1591&gt;=9,", "&amp;$A1591&amp;"-"&amp;TEXT(($D1591-$C1591+1)+8,"00"),"")&amp;IF($C1591&gt;=10,", "&amp;$A1591&amp;"-"&amp;TEXT(($D1591-$C1591+1)+9,"00"),"")&amp;IF($C1591&gt;=11,", "&amp;$A1591&amp;"-"&amp;TEXT(($D1591-$C1591+1)+10,"00"),"")&amp;IF($C1591&gt;=12,", "&amp;$A1591&amp;"-"&amp;TEXT(($D1591-$C1591+1)+11,"00"),"")&amp;IF($C1591&gt;=13,", "&amp;$A1591&amp;"-"&amp;TEXT(($D1591-$C1591+1)+12,"00"),"")&amp;IF($C1591&gt;=14,", "&amp;$A1591&amp;"-"&amp;TEXT(($D1591-$C1591+1)+13,"00"),"")&amp;IF($C1591&gt;=15,", "&amp;$A1591&amp;"-"&amp;TEXT(($D1591-$C1591+1)+14,"00"),"")&amp;IF($C1591&gt;=16,", "&amp;$A1591&amp;"-"&amp;TEXT(($D1591-$C1591+1)+15,"00"),"")&amp;IF($C1591&gt;=17,", "&amp;$A1591&amp;"-"&amp;TEXT(($D1591-$C1591+1)+16,"00"),"")&amp;IF($C1591&gt;=18,", "&amp;$A1591&amp;"-"&amp;TEXT(($D1591-$C1591+1)+17,"00"),"")&amp;IF($C1591&gt;=19,", "&amp;$A1591&amp;"-"&amp;TEXT(($D1591-$C1591+1)+18,"00"),"")&amp;IF($C1591&gt;=20,", "&amp;$A1591&amp;"-"&amp;TEXT(($D1591-$C1591+1)+19,"00"),"")&amp;IF($C1591&gt;=21,", "&amp;$A1591&amp;"-"&amp;TEXT(($D1591-$C1591+1)+20,"00"),"")&amp;IF($C1591&gt;=22,", "&amp;$A1591&amp;"-"&amp;TEXT(($D1591-$C1591+1)+21,"00"),"")&amp;IF($C1591&gt;=23,", "&amp;$A1591&amp;"-"&amp;TEXT(($D1591-$C1591+1)+22,"00"),"")&amp;IF($C1591&gt;=24,", "&amp;$A1591&amp;"-"&amp;TEXT(($D1591-$C1591+1)+23,"00"),"")&amp;IF($C1591&gt;=25,", "&amp;$A1591&amp;"-"&amp;TEXT(($D1591-$C1591+1)+24,"00"),""))</f>
        <v/>
      </c>
      <c r="G1591">
        <f>IF($A1591="","",IF($E1591=1,$F1591,IF($F1591="",$G1590,IF($G1590="",$F1591,$G1590&amp;", "&amp;$F1591))))</f>
        <v/>
      </c>
      <c r="H1591">
        <f>IF($A1591="","",$A1591&amp;" ("&amp;$C1591&amp;")")</f>
        <v/>
      </c>
      <c r="I1591">
        <f>IF($A1591="","",IF($E1591=1,$H1591,$I1590&amp;", "&amp;$H1591))</f>
        <v/>
      </c>
      <c r="J1591">
        <f>IF($A1591="","",IF($E1591=1,$B1591,""))</f>
        <v/>
      </c>
      <c r="K1591">
        <f>IF($A1591="","",IF(COUNTIF($B$2:$B1591,$B1591)=COUNTIF($B$2:$B$1601,$B1591),$B1591,""))</f>
        <v/>
      </c>
    </row>
    <row r="1592">
      <c r="A1592">
        <f>IF('TMP Paste'!$E1592="","",'TMP Paste'!$E1592)</f>
        <v/>
      </c>
      <c r="B1592">
        <f>IF($A1592="","",COUNTIF('TMP Paste'!$B$2:$B1592,"?*"))</f>
        <v/>
      </c>
      <c r="C1592">
        <f>IF($A1592="","",IFERROR('TMP Paste'!$M1592*1,0))</f>
        <v/>
      </c>
      <c r="D1592">
        <f>IF($A1592="","",SUMIF($B$2:$B1592,$B1592,$C$2:$C1592))</f>
        <v/>
      </c>
      <c r="E1592">
        <f>IF($A1592="",0,IF('TMP Paste'!$B1592="",0,1))</f>
        <v/>
      </c>
      <c r="F1592">
        <f>IF(OR($A1592="",$C1592&lt;1),"",$A1592&amp;"-"&amp;TEXT(($D1592-$C1592+1),"00")&amp;IF($C1592&gt;=2,", "&amp;$A1592&amp;"-"&amp;TEXT(($D1592-$C1592+1)+1,"00"),"")&amp;IF($C1592&gt;=3,", "&amp;$A1592&amp;"-"&amp;TEXT(($D1592-$C1592+1)+2,"00"),"")&amp;IF($C1592&gt;=4,", "&amp;$A1592&amp;"-"&amp;TEXT(($D1592-$C1592+1)+3,"00"),"")&amp;IF($C1592&gt;=5,", "&amp;$A1592&amp;"-"&amp;TEXT(($D1592-$C1592+1)+4,"00"),"")&amp;IF($C1592&gt;=6,", "&amp;$A1592&amp;"-"&amp;TEXT(($D1592-$C1592+1)+5,"00"),"")&amp;IF($C1592&gt;=7,", "&amp;$A1592&amp;"-"&amp;TEXT(($D1592-$C1592+1)+6,"00"),"")&amp;IF($C1592&gt;=8,", "&amp;$A1592&amp;"-"&amp;TEXT(($D1592-$C1592+1)+7,"00"),"")&amp;IF($C1592&gt;=9,", "&amp;$A1592&amp;"-"&amp;TEXT(($D1592-$C1592+1)+8,"00"),"")&amp;IF($C1592&gt;=10,", "&amp;$A1592&amp;"-"&amp;TEXT(($D1592-$C1592+1)+9,"00"),"")&amp;IF($C1592&gt;=11,", "&amp;$A1592&amp;"-"&amp;TEXT(($D1592-$C1592+1)+10,"00"),"")&amp;IF($C1592&gt;=12,", "&amp;$A1592&amp;"-"&amp;TEXT(($D1592-$C1592+1)+11,"00"),"")&amp;IF($C1592&gt;=13,", "&amp;$A1592&amp;"-"&amp;TEXT(($D1592-$C1592+1)+12,"00"),"")&amp;IF($C1592&gt;=14,", "&amp;$A1592&amp;"-"&amp;TEXT(($D1592-$C1592+1)+13,"00"),"")&amp;IF($C1592&gt;=15,", "&amp;$A1592&amp;"-"&amp;TEXT(($D1592-$C1592+1)+14,"00"),"")&amp;IF($C1592&gt;=16,", "&amp;$A1592&amp;"-"&amp;TEXT(($D1592-$C1592+1)+15,"00"),"")&amp;IF($C1592&gt;=17,", "&amp;$A1592&amp;"-"&amp;TEXT(($D1592-$C1592+1)+16,"00"),"")&amp;IF($C1592&gt;=18,", "&amp;$A1592&amp;"-"&amp;TEXT(($D1592-$C1592+1)+17,"00"),"")&amp;IF($C1592&gt;=19,", "&amp;$A1592&amp;"-"&amp;TEXT(($D1592-$C1592+1)+18,"00"),"")&amp;IF($C1592&gt;=20,", "&amp;$A1592&amp;"-"&amp;TEXT(($D1592-$C1592+1)+19,"00"),"")&amp;IF($C1592&gt;=21,", "&amp;$A1592&amp;"-"&amp;TEXT(($D1592-$C1592+1)+20,"00"),"")&amp;IF($C1592&gt;=22,", "&amp;$A1592&amp;"-"&amp;TEXT(($D1592-$C1592+1)+21,"00"),"")&amp;IF($C1592&gt;=23,", "&amp;$A1592&amp;"-"&amp;TEXT(($D1592-$C1592+1)+22,"00"),"")&amp;IF($C1592&gt;=24,", "&amp;$A1592&amp;"-"&amp;TEXT(($D1592-$C1592+1)+23,"00"),"")&amp;IF($C1592&gt;=25,", "&amp;$A1592&amp;"-"&amp;TEXT(($D1592-$C1592+1)+24,"00"),""))</f>
        <v/>
      </c>
      <c r="G1592">
        <f>IF($A1592="","",IF($E1592=1,$F1592,IF($F1592="",$G1591,IF($G1591="",$F1592,$G1591&amp;", "&amp;$F1592))))</f>
        <v/>
      </c>
      <c r="H1592">
        <f>IF($A1592="","",$A1592&amp;" ("&amp;$C1592&amp;")")</f>
        <v/>
      </c>
      <c r="I1592">
        <f>IF($A1592="","",IF($E1592=1,$H1592,$I1591&amp;", "&amp;$H1592))</f>
        <v/>
      </c>
      <c r="J1592">
        <f>IF($A1592="","",IF($E1592=1,$B1592,""))</f>
        <v/>
      </c>
      <c r="K1592">
        <f>IF($A1592="","",IF(COUNTIF($B$2:$B1592,$B1592)=COUNTIF($B$2:$B$1601,$B1592),$B1592,""))</f>
        <v/>
      </c>
    </row>
    <row r="1593">
      <c r="A1593">
        <f>IF('TMP Paste'!$E1593="","",'TMP Paste'!$E1593)</f>
        <v/>
      </c>
      <c r="B1593">
        <f>IF($A1593="","",COUNTIF('TMP Paste'!$B$2:$B1593,"?*"))</f>
        <v/>
      </c>
      <c r="C1593">
        <f>IF($A1593="","",IFERROR('TMP Paste'!$M1593*1,0))</f>
        <v/>
      </c>
      <c r="D1593">
        <f>IF($A1593="","",SUMIF($B$2:$B1593,$B1593,$C$2:$C1593))</f>
        <v/>
      </c>
      <c r="E1593">
        <f>IF($A1593="",0,IF('TMP Paste'!$B1593="",0,1))</f>
        <v/>
      </c>
      <c r="F1593">
        <f>IF(OR($A1593="",$C1593&lt;1),"",$A1593&amp;"-"&amp;TEXT(($D1593-$C1593+1),"00")&amp;IF($C1593&gt;=2,", "&amp;$A1593&amp;"-"&amp;TEXT(($D1593-$C1593+1)+1,"00"),"")&amp;IF($C1593&gt;=3,", "&amp;$A1593&amp;"-"&amp;TEXT(($D1593-$C1593+1)+2,"00"),"")&amp;IF($C1593&gt;=4,", "&amp;$A1593&amp;"-"&amp;TEXT(($D1593-$C1593+1)+3,"00"),"")&amp;IF($C1593&gt;=5,", "&amp;$A1593&amp;"-"&amp;TEXT(($D1593-$C1593+1)+4,"00"),"")&amp;IF($C1593&gt;=6,", "&amp;$A1593&amp;"-"&amp;TEXT(($D1593-$C1593+1)+5,"00"),"")&amp;IF($C1593&gt;=7,", "&amp;$A1593&amp;"-"&amp;TEXT(($D1593-$C1593+1)+6,"00"),"")&amp;IF($C1593&gt;=8,", "&amp;$A1593&amp;"-"&amp;TEXT(($D1593-$C1593+1)+7,"00"),"")&amp;IF($C1593&gt;=9,", "&amp;$A1593&amp;"-"&amp;TEXT(($D1593-$C1593+1)+8,"00"),"")&amp;IF($C1593&gt;=10,", "&amp;$A1593&amp;"-"&amp;TEXT(($D1593-$C1593+1)+9,"00"),"")&amp;IF($C1593&gt;=11,", "&amp;$A1593&amp;"-"&amp;TEXT(($D1593-$C1593+1)+10,"00"),"")&amp;IF($C1593&gt;=12,", "&amp;$A1593&amp;"-"&amp;TEXT(($D1593-$C1593+1)+11,"00"),"")&amp;IF($C1593&gt;=13,", "&amp;$A1593&amp;"-"&amp;TEXT(($D1593-$C1593+1)+12,"00"),"")&amp;IF($C1593&gt;=14,", "&amp;$A1593&amp;"-"&amp;TEXT(($D1593-$C1593+1)+13,"00"),"")&amp;IF($C1593&gt;=15,", "&amp;$A1593&amp;"-"&amp;TEXT(($D1593-$C1593+1)+14,"00"),"")&amp;IF($C1593&gt;=16,", "&amp;$A1593&amp;"-"&amp;TEXT(($D1593-$C1593+1)+15,"00"),"")&amp;IF($C1593&gt;=17,", "&amp;$A1593&amp;"-"&amp;TEXT(($D1593-$C1593+1)+16,"00"),"")&amp;IF($C1593&gt;=18,", "&amp;$A1593&amp;"-"&amp;TEXT(($D1593-$C1593+1)+17,"00"),"")&amp;IF($C1593&gt;=19,", "&amp;$A1593&amp;"-"&amp;TEXT(($D1593-$C1593+1)+18,"00"),"")&amp;IF($C1593&gt;=20,", "&amp;$A1593&amp;"-"&amp;TEXT(($D1593-$C1593+1)+19,"00"),"")&amp;IF($C1593&gt;=21,", "&amp;$A1593&amp;"-"&amp;TEXT(($D1593-$C1593+1)+20,"00"),"")&amp;IF($C1593&gt;=22,", "&amp;$A1593&amp;"-"&amp;TEXT(($D1593-$C1593+1)+21,"00"),"")&amp;IF($C1593&gt;=23,", "&amp;$A1593&amp;"-"&amp;TEXT(($D1593-$C1593+1)+22,"00"),"")&amp;IF($C1593&gt;=24,", "&amp;$A1593&amp;"-"&amp;TEXT(($D1593-$C1593+1)+23,"00"),"")&amp;IF($C1593&gt;=25,", "&amp;$A1593&amp;"-"&amp;TEXT(($D1593-$C1593+1)+24,"00"),""))</f>
        <v/>
      </c>
      <c r="G1593">
        <f>IF($A1593="","",IF($E1593=1,$F1593,IF($F1593="",$G1592,IF($G1592="",$F1593,$G1592&amp;", "&amp;$F1593))))</f>
        <v/>
      </c>
      <c r="H1593">
        <f>IF($A1593="","",$A1593&amp;" ("&amp;$C1593&amp;")")</f>
        <v/>
      </c>
      <c r="I1593">
        <f>IF($A1593="","",IF($E1593=1,$H1593,$I1592&amp;", "&amp;$H1593))</f>
        <v/>
      </c>
      <c r="J1593">
        <f>IF($A1593="","",IF($E1593=1,$B1593,""))</f>
        <v/>
      </c>
      <c r="K1593">
        <f>IF($A1593="","",IF(COUNTIF($B$2:$B1593,$B1593)=COUNTIF($B$2:$B$1601,$B1593),$B1593,""))</f>
        <v/>
      </c>
    </row>
    <row r="1594">
      <c r="A1594">
        <f>IF('TMP Paste'!$E1594="","",'TMP Paste'!$E1594)</f>
        <v/>
      </c>
      <c r="B1594">
        <f>IF($A1594="","",COUNTIF('TMP Paste'!$B$2:$B1594,"?*"))</f>
        <v/>
      </c>
      <c r="C1594">
        <f>IF($A1594="","",IFERROR('TMP Paste'!$M1594*1,0))</f>
        <v/>
      </c>
      <c r="D1594">
        <f>IF($A1594="","",SUMIF($B$2:$B1594,$B1594,$C$2:$C1594))</f>
        <v/>
      </c>
      <c r="E1594">
        <f>IF($A1594="",0,IF('TMP Paste'!$B1594="",0,1))</f>
        <v/>
      </c>
      <c r="F1594">
        <f>IF(OR($A1594="",$C1594&lt;1),"",$A1594&amp;"-"&amp;TEXT(($D1594-$C1594+1),"00")&amp;IF($C1594&gt;=2,", "&amp;$A1594&amp;"-"&amp;TEXT(($D1594-$C1594+1)+1,"00"),"")&amp;IF($C1594&gt;=3,", "&amp;$A1594&amp;"-"&amp;TEXT(($D1594-$C1594+1)+2,"00"),"")&amp;IF($C1594&gt;=4,", "&amp;$A1594&amp;"-"&amp;TEXT(($D1594-$C1594+1)+3,"00"),"")&amp;IF($C1594&gt;=5,", "&amp;$A1594&amp;"-"&amp;TEXT(($D1594-$C1594+1)+4,"00"),"")&amp;IF($C1594&gt;=6,", "&amp;$A1594&amp;"-"&amp;TEXT(($D1594-$C1594+1)+5,"00"),"")&amp;IF($C1594&gt;=7,", "&amp;$A1594&amp;"-"&amp;TEXT(($D1594-$C1594+1)+6,"00"),"")&amp;IF($C1594&gt;=8,", "&amp;$A1594&amp;"-"&amp;TEXT(($D1594-$C1594+1)+7,"00"),"")&amp;IF($C1594&gt;=9,", "&amp;$A1594&amp;"-"&amp;TEXT(($D1594-$C1594+1)+8,"00"),"")&amp;IF($C1594&gt;=10,", "&amp;$A1594&amp;"-"&amp;TEXT(($D1594-$C1594+1)+9,"00"),"")&amp;IF($C1594&gt;=11,", "&amp;$A1594&amp;"-"&amp;TEXT(($D1594-$C1594+1)+10,"00"),"")&amp;IF($C1594&gt;=12,", "&amp;$A1594&amp;"-"&amp;TEXT(($D1594-$C1594+1)+11,"00"),"")&amp;IF($C1594&gt;=13,", "&amp;$A1594&amp;"-"&amp;TEXT(($D1594-$C1594+1)+12,"00"),"")&amp;IF($C1594&gt;=14,", "&amp;$A1594&amp;"-"&amp;TEXT(($D1594-$C1594+1)+13,"00"),"")&amp;IF($C1594&gt;=15,", "&amp;$A1594&amp;"-"&amp;TEXT(($D1594-$C1594+1)+14,"00"),"")&amp;IF($C1594&gt;=16,", "&amp;$A1594&amp;"-"&amp;TEXT(($D1594-$C1594+1)+15,"00"),"")&amp;IF($C1594&gt;=17,", "&amp;$A1594&amp;"-"&amp;TEXT(($D1594-$C1594+1)+16,"00"),"")&amp;IF($C1594&gt;=18,", "&amp;$A1594&amp;"-"&amp;TEXT(($D1594-$C1594+1)+17,"00"),"")&amp;IF($C1594&gt;=19,", "&amp;$A1594&amp;"-"&amp;TEXT(($D1594-$C1594+1)+18,"00"),"")&amp;IF($C1594&gt;=20,", "&amp;$A1594&amp;"-"&amp;TEXT(($D1594-$C1594+1)+19,"00"),"")&amp;IF($C1594&gt;=21,", "&amp;$A1594&amp;"-"&amp;TEXT(($D1594-$C1594+1)+20,"00"),"")&amp;IF($C1594&gt;=22,", "&amp;$A1594&amp;"-"&amp;TEXT(($D1594-$C1594+1)+21,"00"),"")&amp;IF($C1594&gt;=23,", "&amp;$A1594&amp;"-"&amp;TEXT(($D1594-$C1594+1)+22,"00"),"")&amp;IF($C1594&gt;=24,", "&amp;$A1594&amp;"-"&amp;TEXT(($D1594-$C1594+1)+23,"00"),"")&amp;IF($C1594&gt;=25,", "&amp;$A1594&amp;"-"&amp;TEXT(($D1594-$C1594+1)+24,"00"),""))</f>
        <v/>
      </c>
      <c r="G1594">
        <f>IF($A1594="","",IF($E1594=1,$F1594,IF($F1594="",$G1593,IF($G1593="",$F1594,$G1593&amp;", "&amp;$F1594))))</f>
        <v/>
      </c>
      <c r="H1594">
        <f>IF($A1594="","",$A1594&amp;" ("&amp;$C1594&amp;")")</f>
        <v/>
      </c>
      <c r="I1594">
        <f>IF($A1594="","",IF($E1594=1,$H1594,$I1593&amp;", "&amp;$H1594))</f>
        <v/>
      </c>
      <c r="J1594">
        <f>IF($A1594="","",IF($E1594=1,$B1594,""))</f>
        <v/>
      </c>
      <c r="K1594">
        <f>IF($A1594="","",IF(COUNTIF($B$2:$B1594,$B1594)=COUNTIF($B$2:$B$1601,$B1594),$B1594,""))</f>
        <v/>
      </c>
    </row>
    <row r="1595">
      <c r="A1595">
        <f>IF('TMP Paste'!$E1595="","",'TMP Paste'!$E1595)</f>
        <v/>
      </c>
      <c r="B1595">
        <f>IF($A1595="","",COUNTIF('TMP Paste'!$B$2:$B1595,"?*"))</f>
        <v/>
      </c>
      <c r="C1595">
        <f>IF($A1595="","",IFERROR('TMP Paste'!$M1595*1,0))</f>
        <v/>
      </c>
      <c r="D1595">
        <f>IF($A1595="","",SUMIF($B$2:$B1595,$B1595,$C$2:$C1595))</f>
        <v/>
      </c>
      <c r="E1595">
        <f>IF($A1595="",0,IF('TMP Paste'!$B1595="",0,1))</f>
        <v/>
      </c>
      <c r="F1595">
        <f>IF(OR($A1595="",$C1595&lt;1),"",$A1595&amp;"-"&amp;TEXT(($D1595-$C1595+1),"00")&amp;IF($C1595&gt;=2,", "&amp;$A1595&amp;"-"&amp;TEXT(($D1595-$C1595+1)+1,"00"),"")&amp;IF($C1595&gt;=3,", "&amp;$A1595&amp;"-"&amp;TEXT(($D1595-$C1595+1)+2,"00"),"")&amp;IF($C1595&gt;=4,", "&amp;$A1595&amp;"-"&amp;TEXT(($D1595-$C1595+1)+3,"00"),"")&amp;IF($C1595&gt;=5,", "&amp;$A1595&amp;"-"&amp;TEXT(($D1595-$C1595+1)+4,"00"),"")&amp;IF($C1595&gt;=6,", "&amp;$A1595&amp;"-"&amp;TEXT(($D1595-$C1595+1)+5,"00"),"")&amp;IF($C1595&gt;=7,", "&amp;$A1595&amp;"-"&amp;TEXT(($D1595-$C1595+1)+6,"00"),"")&amp;IF($C1595&gt;=8,", "&amp;$A1595&amp;"-"&amp;TEXT(($D1595-$C1595+1)+7,"00"),"")&amp;IF($C1595&gt;=9,", "&amp;$A1595&amp;"-"&amp;TEXT(($D1595-$C1595+1)+8,"00"),"")&amp;IF($C1595&gt;=10,", "&amp;$A1595&amp;"-"&amp;TEXT(($D1595-$C1595+1)+9,"00"),"")&amp;IF($C1595&gt;=11,", "&amp;$A1595&amp;"-"&amp;TEXT(($D1595-$C1595+1)+10,"00"),"")&amp;IF($C1595&gt;=12,", "&amp;$A1595&amp;"-"&amp;TEXT(($D1595-$C1595+1)+11,"00"),"")&amp;IF($C1595&gt;=13,", "&amp;$A1595&amp;"-"&amp;TEXT(($D1595-$C1595+1)+12,"00"),"")&amp;IF($C1595&gt;=14,", "&amp;$A1595&amp;"-"&amp;TEXT(($D1595-$C1595+1)+13,"00"),"")&amp;IF($C1595&gt;=15,", "&amp;$A1595&amp;"-"&amp;TEXT(($D1595-$C1595+1)+14,"00"),"")&amp;IF($C1595&gt;=16,", "&amp;$A1595&amp;"-"&amp;TEXT(($D1595-$C1595+1)+15,"00"),"")&amp;IF($C1595&gt;=17,", "&amp;$A1595&amp;"-"&amp;TEXT(($D1595-$C1595+1)+16,"00"),"")&amp;IF($C1595&gt;=18,", "&amp;$A1595&amp;"-"&amp;TEXT(($D1595-$C1595+1)+17,"00"),"")&amp;IF($C1595&gt;=19,", "&amp;$A1595&amp;"-"&amp;TEXT(($D1595-$C1595+1)+18,"00"),"")&amp;IF($C1595&gt;=20,", "&amp;$A1595&amp;"-"&amp;TEXT(($D1595-$C1595+1)+19,"00"),"")&amp;IF($C1595&gt;=21,", "&amp;$A1595&amp;"-"&amp;TEXT(($D1595-$C1595+1)+20,"00"),"")&amp;IF($C1595&gt;=22,", "&amp;$A1595&amp;"-"&amp;TEXT(($D1595-$C1595+1)+21,"00"),"")&amp;IF($C1595&gt;=23,", "&amp;$A1595&amp;"-"&amp;TEXT(($D1595-$C1595+1)+22,"00"),"")&amp;IF($C1595&gt;=24,", "&amp;$A1595&amp;"-"&amp;TEXT(($D1595-$C1595+1)+23,"00"),"")&amp;IF($C1595&gt;=25,", "&amp;$A1595&amp;"-"&amp;TEXT(($D1595-$C1595+1)+24,"00"),""))</f>
        <v/>
      </c>
      <c r="G1595">
        <f>IF($A1595="","",IF($E1595=1,$F1595,IF($F1595="",$G1594,IF($G1594="",$F1595,$G1594&amp;", "&amp;$F1595))))</f>
        <v/>
      </c>
      <c r="H1595">
        <f>IF($A1595="","",$A1595&amp;" ("&amp;$C1595&amp;")")</f>
        <v/>
      </c>
      <c r="I1595">
        <f>IF($A1595="","",IF($E1595=1,$H1595,$I1594&amp;", "&amp;$H1595))</f>
        <v/>
      </c>
      <c r="J1595">
        <f>IF($A1595="","",IF($E1595=1,$B1595,""))</f>
        <v/>
      </c>
      <c r="K1595">
        <f>IF($A1595="","",IF(COUNTIF($B$2:$B1595,$B1595)=COUNTIF($B$2:$B$1601,$B1595),$B1595,""))</f>
        <v/>
      </c>
    </row>
    <row r="1596">
      <c r="A1596">
        <f>IF('TMP Paste'!$E1596="","",'TMP Paste'!$E1596)</f>
        <v/>
      </c>
      <c r="B1596">
        <f>IF($A1596="","",COUNTIF('TMP Paste'!$B$2:$B1596,"?*"))</f>
        <v/>
      </c>
      <c r="C1596">
        <f>IF($A1596="","",IFERROR('TMP Paste'!$M1596*1,0))</f>
        <v/>
      </c>
      <c r="D1596">
        <f>IF($A1596="","",SUMIF($B$2:$B1596,$B1596,$C$2:$C1596))</f>
        <v/>
      </c>
      <c r="E1596">
        <f>IF($A1596="",0,IF('TMP Paste'!$B1596="",0,1))</f>
        <v/>
      </c>
      <c r="F1596">
        <f>IF(OR($A1596="",$C1596&lt;1),"",$A1596&amp;"-"&amp;TEXT(($D1596-$C1596+1),"00")&amp;IF($C1596&gt;=2,", "&amp;$A1596&amp;"-"&amp;TEXT(($D1596-$C1596+1)+1,"00"),"")&amp;IF($C1596&gt;=3,", "&amp;$A1596&amp;"-"&amp;TEXT(($D1596-$C1596+1)+2,"00"),"")&amp;IF($C1596&gt;=4,", "&amp;$A1596&amp;"-"&amp;TEXT(($D1596-$C1596+1)+3,"00"),"")&amp;IF($C1596&gt;=5,", "&amp;$A1596&amp;"-"&amp;TEXT(($D1596-$C1596+1)+4,"00"),"")&amp;IF($C1596&gt;=6,", "&amp;$A1596&amp;"-"&amp;TEXT(($D1596-$C1596+1)+5,"00"),"")&amp;IF($C1596&gt;=7,", "&amp;$A1596&amp;"-"&amp;TEXT(($D1596-$C1596+1)+6,"00"),"")&amp;IF($C1596&gt;=8,", "&amp;$A1596&amp;"-"&amp;TEXT(($D1596-$C1596+1)+7,"00"),"")&amp;IF($C1596&gt;=9,", "&amp;$A1596&amp;"-"&amp;TEXT(($D1596-$C1596+1)+8,"00"),"")&amp;IF($C1596&gt;=10,", "&amp;$A1596&amp;"-"&amp;TEXT(($D1596-$C1596+1)+9,"00"),"")&amp;IF($C1596&gt;=11,", "&amp;$A1596&amp;"-"&amp;TEXT(($D1596-$C1596+1)+10,"00"),"")&amp;IF($C1596&gt;=12,", "&amp;$A1596&amp;"-"&amp;TEXT(($D1596-$C1596+1)+11,"00"),"")&amp;IF($C1596&gt;=13,", "&amp;$A1596&amp;"-"&amp;TEXT(($D1596-$C1596+1)+12,"00"),"")&amp;IF($C1596&gt;=14,", "&amp;$A1596&amp;"-"&amp;TEXT(($D1596-$C1596+1)+13,"00"),"")&amp;IF($C1596&gt;=15,", "&amp;$A1596&amp;"-"&amp;TEXT(($D1596-$C1596+1)+14,"00"),"")&amp;IF($C1596&gt;=16,", "&amp;$A1596&amp;"-"&amp;TEXT(($D1596-$C1596+1)+15,"00"),"")&amp;IF($C1596&gt;=17,", "&amp;$A1596&amp;"-"&amp;TEXT(($D1596-$C1596+1)+16,"00"),"")&amp;IF($C1596&gt;=18,", "&amp;$A1596&amp;"-"&amp;TEXT(($D1596-$C1596+1)+17,"00"),"")&amp;IF($C1596&gt;=19,", "&amp;$A1596&amp;"-"&amp;TEXT(($D1596-$C1596+1)+18,"00"),"")&amp;IF($C1596&gt;=20,", "&amp;$A1596&amp;"-"&amp;TEXT(($D1596-$C1596+1)+19,"00"),"")&amp;IF($C1596&gt;=21,", "&amp;$A1596&amp;"-"&amp;TEXT(($D1596-$C1596+1)+20,"00"),"")&amp;IF($C1596&gt;=22,", "&amp;$A1596&amp;"-"&amp;TEXT(($D1596-$C1596+1)+21,"00"),"")&amp;IF($C1596&gt;=23,", "&amp;$A1596&amp;"-"&amp;TEXT(($D1596-$C1596+1)+22,"00"),"")&amp;IF($C1596&gt;=24,", "&amp;$A1596&amp;"-"&amp;TEXT(($D1596-$C1596+1)+23,"00"),"")&amp;IF($C1596&gt;=25,", "&amp;$A1596&amp;"-"&amp;TEXT(($D1596-$C1596+1)+24,"00"),""))</f>
        <v/>
      </c>
      <c r="G1596">
        <f>IF($A1596="","",IF($E1596=1,$F1596,IF($F1596="",$G1595,IF($G1595="",$F1596,$G1595&amp;", "&amp;$F1596))))</f>
        <v/>
      </c>
      <c r="H1596">
        <f>IF($A1596="","",$A1596&amp;" ("&amp;$C1596&amp;")")</f>
        <v/>
      </c>
      <c r="I1596">
        <f>IF($A1596="","",IF($E1596=1,$H1596,$I1595&amp;", "&amp;$H1596))</f>
        <v/>
      </c>
      <c r="J1596">
        <f>IF($A1596="","",IF($E1596=1,$B1596,""))</f>
        <v/>
      </c>
      <c r="K1596">
        <f>IF($A1596="","",IF(COUNTIF($B$2:$B1596,$B1596)=COUNTIF($B$2:$B$1601,$B1596),$B1596,""))</f>
        <v/>
      </c>
    </row>
    <row r="1597">
      <c r="A1597">
        <f>IF('TMP Paste'!$E1597="","",'TMP Paste'!$E1597)</f>
        <v/>
      </c>
      <c r="B1597">
        <f>IF($A1597="","",COUNTIF('TMP Paste'!$B$2:$B1597,"?*"))</f>
        <v/>
      </c>
      <c r="C1597">
        <f>IF($A1597="","",IFERROR('TMP Paste'!$M1597*1,0))</f>
        <v/>
      </c>
      <c r="D1597">
        <f>IF($A1597="","",SUMIF($B$2:$B1597,$B1597,$C$2:$C1597))</f>
        <v/>
      </c>
      <c r="E1597">
        <f>IF($A1597="",0,IF('TMP Paste'!$B1597="",0,1))</f>
        <v/>
      </c>
      <c r="F1597">
        <f>IF(OR($A1597="",$C1597&lt;1),"",$A1597&amp;"-"&amp;TEXT(($D1597-$C1597+1),"00")&amp;IF($C1597&gt;=2,", "&amp;$A1597&amp;"-"&amp;TEXT(($D1597-$C1597+1)+1,"00"),"")&amp;IF($C1597&gt;=3,", "&amp;$A1597&amp;"-"&amp;TEXT(($D1597-$C1597+1)+2,"00"),"")&amp;IF($C1597&gt;=4,", "&amp;$A1597&amp;"-"&amp;TEXT(($D1597-$C1597+1)+3,"00"),"")&amp;IF($C1597&gt;=5,", "&amp;$A1597&amp;"-"&amp;TEXT(($D1597-$C1597+1)+4,"00"),"")&amp;IF($C1597&gt;=6,", "&amp;$A1597&amp;"-"&amp;TEXT(($D1597-$C1597+1)+5,"00"),"")&amp;IF($C1597&gt;=7,", "&amp;$A1597&amp;"-"&amp;TEXT(($D1597-$C1597+1)+6,"00"),"")&amp;IF($C1597&gt;=8,", "&amp;$A1597&amp;"-"&amp;TEXT(($D1597-$C1597+1)+7,"00"),"")&amp;IF($C1597&gt;=9,", "&amp;$A1597&amp;"-"&amp;TEXT(($D1597-$C1597+1)+8,"00"),"")&amp;IF($C1597&gt;=10,", "&amp;$A1597&amp;"-"&amp;TEXT(($D1597-$C1597+1)+9,"00"),"")&amp;IF($C1597&gt;=11,", "&amp;$A1597&amp;"-"&amp;TEXT(($D1597-$C1597+1)+10,"00"),"")&amp;IF($C1597&gt;=12,", "&amp;$A1597&amp;"-"&amp;TEXT(($D1597-$C1597+1)+11,"00"),"")&amp;IF($C1597&gt;=13,", "&amp;$A1597&amp;"-"&amp;TEXT(($D1597-$C1597+1)+12,"00"),"")&amp;IF($C1597&gt;=14,", "&amp;$A1597&amp;"-"&amp;TEXT(($D1597-$C1597+1)+13,"00"),"")&amp;IF($C1597&gt;=15,", "&amp;$A1597&amp;"-"&amp;TEXT(($D1597-$C1597+1)+14,"00"),"")&amp;IF($C1597&gt;=16,", "&amp;$A1597&amp;"-"&amp;TEXT(($D1597-$C1597+1)+15,"00"),"")&amp;IF($C1597&gt;=17,", "&amp;$A1597&amp;"-"&amp;TEXT(($D1597-$C1597+1)+16,"00"),"")&amp;IF($C1597&gt;=18,", "&amp;$A1597&amp;"-"&amp;TEXT(($D1597-$C1597+1)+17,"00"),"")&amp;IF($C1597&gt;=19,", "&amp;$A1597&amp;"-"&amp;TEXT(($D1597-$C1597+1)+18,"00"),"")&amp;IF($C1597&gt;=20,", "&amp;$A1597&amp;"-"&amp;TEXT(($D1597-$C1597+1)+19,"00"),"")&amp;IF($C1597&gt;=21,", "&amp;$A1597&amp;"-"&amp;TEXT(($D1597-$C1597+1)+20,"00"),"")&amp;IF($C1597&gt;=22,", "&amp;$A1597&amp;"-"&amp;TEXT(($D1597-$C1597+1)+21,"00"),"")&amp;IF($C1597&gt;=23,", "&amp;$A1597&amp;"-"&amp;TEXT(($D1597-$C1597+1)+22,"00"),"")&amp;IF($C1597&gt;=24,", "&amp;$A1597&amp;"-"&amp;TEXT(($D1597-$C1597+1)+23,"00"),"")&amp;IF($C1597&gt;=25,", "&amp;$A1597&amp;"-"&amp;TEXT(($D1597-$C1597+1)+24,"00"),""))</f>
        <v/>
      </c>
      <c r="G1597">
        <f>IF($A1597="","",IF($E1597=1,$F1597,IF($F1597="",$G1596,IF($G1596="",$F1597,$G1596&amp;", "&amp;$F1597))))</f>
        <v/>
      </c>
      <c r="H1597">
        <f>IF($A1597="","",$A1597&amp;" ("&amp;$C1597&amp;")")</f>
        <v/>
      </c>
      <c r="I1597">
        <f>IF($A1597="","",IF($E1597=1,$H1597,$I1596&amp;", "&amp;$H1597))</f>
        <v/>
      </c>
      <c r="J1597">
        <f>IF($A1597="","",IF($E1597=1,$B1597,""))</f>
        <v/>
      </c>
      <c r="K1597">
        <f>IF($A1597="","",IF(COUNTIF($B$2:$B1597,$B1597)=COUNTIF($B$2:$B$1601,$B1597),$B1597,""))</f>
        <v/>
      </c>
    </row>
    <row r="1598">
      <c r="A1598">
        <f>IF('TMP Paste'!$E1598="","",'TMP Paste'!$E1598)</f>
        <v/>
      </c>
      <c r="B1598">
        <f>IF($A1598="","",COUNTIF('TMP Paste'!$B$2:$B1598,"?*"))</f>
        <v/>
      </c>
      <c r="C1598">
        <f>IF($A1598="","",IFERROR('TMP Paste'!$M1598*1,0))</f>
        <v/>
      </c>
      <c r="D1598">
        <f>IF($A1598="","",SUMIF($B$2:$B1598,$B1598,$C$2:$C1598))</f>
        <v/>
      </c>
      <c r="E1598">
        <f>IF($A1598="",0,IF('TMP Paste'!$B1598="",0,1))</f>
        <v/>
      </c>
      <c r="F1598">
        <f>IF(OR($A1598="",$C1598&lt;1),"",$A1598&amp;"-"&amp;TEXT(($D1598-$C1598+1),"00")&amp;IF($C1598&gt;=2,", "&amp;$A1598&amp;"-"&amp;TEXT(($D1598-$C1598+1)+1,"00"),"")&amp;IF($C1598&gt;=3,", "&amp;$A1598&amp;"-"&amp;TEXT(($D1598-$C1598+1)+2,"00"),"")&amp;IF($C1598&gt;=4,", "&amp;$A1598&amp;"-"&amp;TEXT(($D1598-$C1598+1)+3,"00"),"")&amp;IF($C1598&gt;=5,", "&amp;$A1598&amp;"-"&amp;TEXT(($D1598-$C1598+1)+4,"00"),"")&amp;IF($C1598&gt;=6,", "&amp;$A1598&amp;"-"&amp;TEXT(($D1598-$C1598+1)+5,"00"),"")&amp;IF($C1598&gt;=7,", "&amp;$A1598&amp;"-"&amp;TEXT(($D1598-$C1598+1)+6,"00"),"")&amp;IF($C1598&gt;=8,", "&amp;$A1598&amp;"-"&amp;TEXT(($D1598-$C1598+1)+7,"00"),"")&amp;IF($C1598&gt;=9,", "&amp;$A1598&amp;"-"&amp;TEXT(($D1598-$C1598+1)+8,"00"),"")&amp;IF($C1598&gt;=10,", "&amp;$A1598&amp;"-"&amp;TEXT(($D1598-$C1598+1)+9,"00"),"")&amp;IF($C1598&gt;=11,", "&amp;$A1598&amp;"-"&amp;TEXT(($D1598-$C1598+1)+10,"00"),"")&amp;IF($C1598&gt;=12,", "&amp;$A1598&amp;"-"&amp;TEXT(($D1598-$C1598+1)+11,"00"),"")&amp;IF($C1598&gt;=13,", "&amp;$A1598&amp;"-"&amp;TEXT(($D1598-$C1598+1)+12,"00"),"")&amp;IF($C1598&gt;=14,", "&amp;$A1598&amp;"-"&amp;TEXT(($D1598-$C1598+1)+13,"00"),"")&amp;IF($C1598&gt;=15,", "&amp;$A1598&amp;"-"&amp;TEXT(($D1598-$C1598+1)+14,"00"),"")&amp;IF($C1598&gt;=16,", "&amp;$A1598&amp;"-"&amp;TEXT(($D1598-$C1598+1)+15,"00"),"")&amp;IF($C1598&gt;=17,", "&amp;$A1598&amp;"-"&amp;TEXT(($D1598-$C1598+1)+16,"00"),"")&amp;IF($C1598&gt;=18,", "&amp;$A1598&amp;"-"&amp;TEXT(($D1598-$C1598+1)+17,"00"),"")&amp;IF($C1598&gt;=19,", "&amp;$A1598&amp;"-"&amp;TEXT(($D1598-$C1598+1)+18,"00"),"")&amp;IF($C1598&gt;=20,", "&amp;$A1598&amp;"-"&amp;TEXT(($D1598-$C1598+1)+19,"00"),"")&amp;IF($C1598&gt;=21,", "&amp;$A1598&amp;"-"&amp;TEXT(($D1598-$C1598+1)+20,"00"),"")&amp;IF($C1598&gt;=22,", "&amp;$A1598&amp;"-"&amp;TEXT(($D1598-$C1598+1)+21,"00"),"")&amp;IF($C1598&gt;=23,", "&amp;$A1598&amp;"-"&amp;TEXT(($D1598-$C1598+1)+22,"00"),"")&amp;IF($C1598&gt;=24,", "&amp;$A1598&amp;"-"&amp;TEXT(($D1598-$C1598+1)+23,"00"),"")&amp;IF($C1598&gt;=25,", "&amp;$A1598&amp;"-"&amp;TEXT(($D1598-$C1598+1)+24,"00"),""))</f>
        <v/>
      </c>
      <c r="G1598">
        <f>IF($A1598="","",IF($E1598=1,$F1598,IF($F1598="",$G1597,IF($G1597="",$F1598,$G1597&amp;", "&amp;$F1598))))</f>
        <v/>
      </c>
      <c r="H1598">
        <f>IF($A1598="","",$A1598&amp;" ("&amp;$C1598&amp;")")</f>
        <v/>
      </c>
      <c r="I1598">
        <f>IF($A1598="","",IF($E1598=1,$H1598,$I1597&amp;", "&amp;$H1598))</f>
        <v/>
      </c>
      <c r="J1598">
        <f>IF($A1598="","",IF($E1598=1,$B1598,""))</f>
        <v/>
      </c>
      <c r="K1598">
        <f>IF($A1598="","",IF(COUNTIF($B$2:$B1598,$B1598)=COUNTIF($B$2:$B$1601,$B1598),$B1598,""))</f>
        <v/>
      </c>
    </row>
    <row r="1599">
      <c r="A1599">
        <f>IF('TMP Paste'!$E1599="","",'TMP Paste'!$E1599)</f>
        <v/>
      </c>
      <c r="B1599">
        <f>IF($A1599="","",COUNTIF('TMP Paste'!$B$2:$B1599,"?*"))</f>
        <v/>
      </c>
      <c r="C1599">
        <f>IF($A1599="","",IFERROR('TMP Paste'!$M1599*1,0))</f>
        <v/>
      </c>
      <c r="D1599">
        <f>IF($A1599="","",SUMIF($B$2:$B1599,$B1599,$C$2:$C1599))</f>
        <v/>
      </c>
      <c r="E1599">
        <f>IF($A1599="",0,IF('TMP Paste'!$B1599="",0,1))</f>
        <v/>
      </c>
      <c r="F1599">
        <f>IF(OR($A1599="",$C1599&lt;1),"",$A1599&amp;"-"&amp;TEXT(($D1599-$C1599+1),"00")&amp;IF($C1599&gt;=2,", "&amp;$A1599&amp;"-"&amp;TEXT(($D1599-$C1599+1)+1,"00"),"")&amp;IF($C1599&gt;=3,", "&amp;$A1599&amp;"-"&amp;TEXT(($D1599-$C1599+1)+2,"00"),"")&amp;IF($C1599&gt;=4,", "&amp;$A1599&amp;"-"&amp;TEXT(($D1599-$C1599+1)+3,"00"),"")&amp;IF($C1599&gt;=5,", "&amp;$A1599&amp;"-"&amp;TEXT(($D1599-$C1599+1)+4,"00"),"")&amp;IF($C1599&gt;=6,", "&amp;$A1599&amp;"-"&amp;TEXT(($D1599-$C1599+1)+5,"00"),"")&amp;IF($C1599&gt;=7,", "&amp;$A1599&amp;"-"&amp;TEXT(($D1599-$C1599+1)+6,"00"),"")&amp;IF($C1599&gt;=8,", "&amp;$A1599&amp;"-"&amp;TEXT(($D1599-$C1599+1)+7,"00"),"")&amp;IF($C1599&gt;=9,", "&amp;$A1599&amp;"-"&amp;TEXT(($D1599-$C1599+1)+8,"00"),"")&amp;IF($C1599&gt;=10,", "&amp;$A1599&amp;"-"&amp;TEXT(($D1599-$C1599+1)+9,"00"),"")&amp;IF($C1599&gt;=11,", "&amp;$A1599&amp;"-"&amp;TEXT(($D1599-$C1599+1)+10,"00"),"")&amp;IF($C1599&gt;=12,", "&amp;$A1599&amp;"-"&amp;TEXT(($D1599-$C1599+1)+11,"00"),"")&amp;IF($C1599&gt;=13,", "&amp;$A1599&amp;"-"&amp;TEXT(($D1599-$C1599+1)+12,"00"),"")&amp;IF($C1599&gt;=14,", "&amp;$A1599&amp;"-"&amp;TEXT(($D1599-$C1599+1)+13,"00"),"")&amp;IF($C1599&gt;=15,", "&amp;$A1599&amp;"-"&amp;TEXT(($D1599-$C1599+1)+14,"00"),"")&amp;IF($C1599&gt;=16,", "&amp;$A1599&amp;"-"&amp;TEXT(($D1599-$C1599+1)+15,"00"),"")&amp;IF($C1599&gt;=17,", "&amp;$A1599&amp;"-"&amp;TEXT(($D1599-$C1599+1)+16,"00"),"")&amp;IF($C1599&gt;=18,", "&amp;$A1599&amp;"-"&amp;TEXT(($D1599-$C1599+1)+17,"00"),"")&amp;IF($C1599&gt;=19,", "&amp;$A1599&amp;"-"&amp;TEXT(($D1599-$C1599+1)+18,"00"),"")&amp;IF($C1599&gt;=20,", "&amp;$A1599&amp;"-"&amp;TEXT(($D1599-$C1599+1)+19,"00"),"")&amp;IF($C1599&gt;=21,", "&amp;$A1599&amp;"-"&amp;TEXT(($D1599-$C1599+1)+20,"00"),"")&amp;IF($C1599&gt;=22,", "&amp;$A1599&amp;"-"&amp;TEXT(($D1599-$C1599+1)+21,"00"),"")&amp;IF($C1599&gt;=23,", "&amp;$A1599&amp;"-"&amp;TEXT(($D1599-$C1599+1)+22,"00"),"")&amp;IF($C1599&gt;=24,", "&amp;$A1599&amp;"-"&amp;TEXT(($D1599-$C1599+1)+23,"00"),"")&amp;IF($C1599&gt;=25,", "&amp;$A1599&amp;"-"&amp;TEXT(($D1599-$C1599+1)+24,"00"),""))</f>
        <v/>
      </c>
      <c r="G1599">
        <f>IF($A1599="","",IF($E1599=1,$F1599,IF($F1599="",$G1598,IF($G1598="",$F1599,$G1598&amp;", "&amp;$F1599))))</f>
        <v/>
      </c>
      <c r="H1599">
        <f>IF($A1599="","",$A1599&amp;" ("&amp;$C1599&amp;")")</f>
        <v/>
      </c>
      <c r="I1599">
        <f>IF($A1599="","",IF($E1599=1,$H1599,$I1598&amp;", "&amp;$H1599))</f>
        <v/>
      </c>
      <c r="J1599">
        <f>IF($A1599="","",IF($E1599=1,$B1599,""))</f>
        <v/>
      </c>
      <c r="K1599">
        <f>IF($A1599="","",IF(COUNTIF($B$2:$B1599,$B1599)=COUNTIF($B$2:$B$1601,$B1599),$B1599,""))</f>
        <v/>
      </c>
    </row>
    <row r="1600">
      <c r="A1600">
        <f>IF('TMP Paste'!$E1600="","",'TMP Paste'!$E1600)</f>
        <v/>
      </c>
      <c r="B1600">
        <f>IF($A1600="","",COUNTIF('TMP Paste'!$B$2:$B1600,"?*"))</f>
        <v/>
      </c>
      <c r="C1600">
        <f>IF($A1600="","",IFERROR('TMP Paste'!$M1600*1,0))</f>
        <v/>
      </c>
      <c r="D1600">
        <f>IF($A1600="","",SUMIF($B$2:$B1600,$B1600,$C$2:$C1600))</f>
        <v/>
      </c>
      <c r="E1600">
        <f>IF($A1600="",0,IF('TMP Paste'!$B1600="",0,1))</f>
        <v/>
      </c>
      <c r="F1600">
        <f>IF(OR($A1600="",$C1600&lt;1),"",$A1600&amp;"-"&amp;TEXT(($D1600-$C1600+1),"00")&amp;IF($C1600&gt;=2,", "&amp;$A1600&amp;"-"&amp;TEXT(($D1600-$C1600+1)+1,"00"),"")&amp;IF($C1600&gt;=3,", "&amp;$A1600&amp;"-"&amp;TEXT(($D1600-$C1600+1)+2,"00"),"")&amp;IF($C1600&gt;=4,", "&amp;$A1600&amp;"-"&amp;TEXT(($D1600-$C1600+1)+3,"00"),"")&amp;IF($C1600&gt;=5,", "&amp;$A1600&amp;"-"&amp;TEXT(($D1600-$C1600+1)+4,"00"),"")&amp;IF($C1600&gt;=6,", "&amp;$A1600&amp;"-"&amp;TEXT(($D1600-$C1600+1)+5,"00"),"")&amp;IF($C1600&gt;=7,", "&amp;$A1600&amp;"-"&amp;TEXT(($D1600-$C1600+1)+6,"00"),"")&amp;IF($C1600&gt;=8,", "&amp;$A1600&amp;"-"&amp;TEXT(($D1600-$C1600+1)+7,"00"),"")&amp;IF($C1600&gt;=9,", "&amp;$A1600&amp;"-"&amp;TEXT(($D1600-$C1600+1)+8,"00"),"")&amp;IF($C1600&gt;=10,", "&amp;$A1600&amp;"-"&amp;TEXT(($D1600-$C1600+1)+9,"00"),"")&amp;IF($C1600&gt;=11,", "&amp;$A1600&amp;"-"&amp;TEXT(($D1600-$C1600+1)+10,"00"),"")&amp;IF($C1600&gt;=12,", "&amp;$A1600&amp;"-"&amp;TEXT(($D1600-$C1600+1)+11,"00"),"")&amp;IF($C1600&gt;=13,", "&amp;$A1600&amp;"-"&amp;TEXT(($D1600-$C1600+1)+12,"00"),"")&amp;IF($C1600&gt;=14,", "&amp;$A1600&amp;"-"&amp;TEXT(($D1600-$C1600+1)+13,"00"),"")&amp;IF($C1600&gt;=15,", "&amp;$A1600&amp;"-"&amp;TEXT(($D1600-$C1600+1)+14,"00"),"")&amp;IF($C1600&gt;=16,", "&amp;$A1600&amp;"-"&amp;TEXT(($D1600-$C1600+1)+15,"00"),"")&amp;IF($C1600&gt;=17,", "&amp;$A1600&amp;"-"&amp;TEXT(($D1600-$C1600+1)+16,"00"),"")&amp;IF($C1600&gt;=18,", "&amp;$A1600&amp;"-"&amp;TEXT(($D1600-$C1600+1)+17,"00"),"")&amp;IF($C1600&gt;=19,", "&amp;$A1600&amp;"-"&amp;TEXT(($D1600-$C1600+1)+18,"00"),"")&amp;IF($C1600&gt;=20,", "&amp;$A1600&amp;"-"&amp;TEXT(($D1600-$C1600+1)+19,"00"),"")&amp;IF($C1600&gt;=21,", "&amp;$A1600&amp;"-"&amp;TEXT(($D1600-$C1600+1)+20,"00"),"")&amp;IF($C1600&gt;=22,", "&amp;$A1600&amp;"-"&amp;TEXT(($D1600-$C1600+1)+21,"00"),"")&amp;IF($C1600&gt;=23,", "&amp;$A1600&amp;"-"&amp;TEXT(($D1600-$C1600+1)+22,"00"),"")&amp;IF($C1600&gt;=24,", "&amp;$A1600&amp;"-"&amp;TEXT(($D1600-$C1600+1)+23,"00"),"")&amp;IF($C1600&gt;=25,", "&amp;$A1600&amp;"-"&amp;TEXT(($D1600-$C1600+1)+24,"00"),""))</f>
        <v/>
      </c>
      <c r="G1600">
        <f>IF($A1600="","",IF($E1600=1,$F1600,IF($F1600="",$G1599,IF($G1599="",$F1600,$G1599&amp;", "&amp;$F1600))))</f>
        <v/>
      </c>
      <c r="H1600">
        <f>IF($A1600="","",$A1600&amp;" ("&amp;$C1600&amp;")")</f>
        <v/>
      </c>
      <c r="I1600">
        <f>IF($A1600="","",IF($E1600=1,$H1600,$I1599&amp;", "&amp;$H1600))</f>
        <v/>
      </c>
      <c r="J1600">
        <f>IF($A1600="","",IF($E1600=1,$B1600,""))</f>
        <v/>
      </c>
      <c r="K1600">
        <f>IF($A1600="","",IF(COUNTIF($B$2:$B1600,$B1600)=COUNTIF($B$2:$B$1601,$B1600),$B1600,""))</f>
        <v/>
      </c>
    </row>
    <row r="1601">
      <c r="A1601">
        <f>IF('TMP Paste'!$E1601="","",'TMP Paste'!$E1601)</f>
        <v/>
      </c>
      <c r="B1601">
        <f>IF($A1601="","",COUNTIF('TMP Paste'!$B$2:$B1601,"?*"))</f>
        <v/>
      </c>
      <c r="C1601">
        <f>IF($A1601="","",IFERROR('TMP Paste'!$M1601*1,0))</f>
        <v/>
      </c>
      <c r="D1601">
        <f>IF($A1601="","",SUMIF($B$2:$B1601,$B1601,$C$2:$C1601))</f>
        <v/>
      </c>
      <c r="E1601">
        <f>IF($A1601="",0,IF('TMP Paste'!$B1601="",0,1))</f>
        <v/>
      </c>
      <c r="F1601">
        <f>IF(OR($A1601="",$C1601&lt;1),"",$A1601&amp;"-"&amp;TEXT(($D1601-$C1601+1),"00")&amp;IF($C1601&gt;=2,", "&amp;$A1601&amp;"-"&amp;TEXT(($D1601-$C1601+1)+1,"00"),"")&amp;IF($C1601&gt;=3,", "&amp;$A1601&amp;"-"&amp;TEXT(($D1601-$C1601+1)+2,"00"),"")&amp;IF($C1601&gt;=4,", "&amp;$A1601&amp;"-"&amp;TEXT(($D1601-$C1601+1)+3,"00"),"")&amp;IF($C1601&gt;=5,", "&amp;$A1601&amp;"-"&amp;TEXT(($D1601-$C1601+1)+4,"00"),"")&amp;IF($C1601&gt;=6,", "&amp;$A1601&amp;"-"&amp;TEXT(($D1601-$C1601+1)+5,"00"),"")&amp;IF($C1601&gt;=7,", "&amp;$A1601&amp;"-"&amp;TEXT(($D1601-$C1601+1)+6,"00"),"")&amp;IF($C1601&gt;=8,", "&amp;$A1601&amp;"-"&amp;TEXT(($D1601-$C1601+1)+7,"00"),"")&amp;IF($C1601&gt;=9,", "&amp;$A1601&amp;"-"&amp;TEXT(($D1601-$C1601+1)+8,"00"),"")&amp;IF($C1601&gt;=10,", "&amp;$A1601&amp;"-"&amp;TEXT(($D1601-$C1601+1)+9,"00"),"")&amp;IF($C1601&gt;=11,", "&amp;$A1601&amp;"-"&amp;TEXT(($D1601-$C1601+1)+10,"00"),"")&amp;IF($C1601&gt;=12,", "&amp;$A1601&amp;"-"&amp;TEXT(($D1601-$C1601+1)+11,"00"),"")&amp;IF($C1601&gt;=13,", "&amp;$A1601&amp;"-"&amp;TEXT(($D1601-$C1601+1)+12,"00"),"")&amp;IF($C1601&gt;=14,", "&amp;$A1601&amp;"-"&amp;TEXT(($D1601-$C1601+1)+13,"00"),"")&amp;IF($C1601&gt;=15,", "&amp;$A1601&amp;"-"&amp;TEXT(($D1601-$C1601+1)+14,"00"),"")&amp;IF($C1601&gt;=16,", "&amp;$A1601&amp;"-"&amp;TEXT(($D1601-$C1601+1)+15,"00"),"")&amp;IF($C1601&gt;=17,", "&amp;$A1601&amp;"-"&amp;TEXT(($D1601-$C1601+1)+16,"00"),"")&amp;IF($C1601&gt;=18,", "&amp;$A1601&amp;"-"&amp;TEXT(($D1601-$C1601+1)+17,"00"),"")&amp;IF($C1601&gt;=19,", "&amp;$A1601&amp;"-"&amp;TEXT(($D1601-$C1601+1)+18,"00"),"")&amp;IF($C1601&gt;=20,", "&amp;$A1601&amp;"-"&amp;TEXT(($D1601-$C1601+1)+19,"00"),"")&amp;IF($C1601&gt;=21,", "&amp;$A1601&amp;"-"&amp;TEXT(($D1601-$C1601+1)+20,"00"),"")&amp;IF($C1601&gt;=22,", "&amp;$A1601&amp;"-"&amp;TEXT(($D1601-$C1601+1)+21,"00"),"")&amp;IF($C1601&gt;=23,", "&amp;$A1601&amp;"-"&amp;TEXT(($D1601-$C1601+1)+22,"00"),"")&amp;IF($C1601&gt;=24,", "&amp;$A1601&amp;"-"&amp;TEXT(($D1601-$C1601+1)+23,"00"),"")&amp;IF($C1601&gt;=25,", "&amp;$A1601&amp;"-"&amp;TEXT(($D1601-$C1601+1)+24,"00"),""))</f>
        <v/>
      </c>
      <c r="G1601">
        <f>IF($A1601="","",IF($E1601=1,$F1601,IF($F1601="",$G1600,IF($G1600="",$F1601,$G1600&amp;", "&amp;$F1601))))</f>
        <v/>
      </c>
      <c r="H1601">
        <f>IF($A1601="","",$A1601&amp;" ("&amp;$C1601&amp;")")</f>
        <v/>
      </c>
      <c r="I1601">
        <f>IF($A1601="","",IF($E1601=1,$H1601,$I1600&amp;", "&amp;$H1601))</f>
        <v/>
      </c>
      <c r="J1601">
        <f>IF($A1601="","",IF($E1601=1,$B1601,""))</f>
        <v/>
      </c>
      <c r="K1601">
        <f>IF($A1601="","",IF(COUNTIF($B$2:$B1601,$B1601)=COUNTIF($B$2:$B$1601,$B1601),$B1601,""))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2026-07-24T10:16:00Z</dcterms:created>
  <dcterms:modified xmlns:dcterms="http://purl.org/dc/terms/" xmlns:xsi="http://www.w3.org/2001/XMLSchema-instance" xsi:type="dcterms:W3CDTF">2026-07-29T06:22:11Z</dcterms:modified>
  <cp:lastModifiedBy>Baskoro Adi Nugroho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E60AB471C0014F699568741035D03C09_12</vt:lpwstr>
  </property>
  <property name="KSOProductBuildVer" fmtid="{D5CDD505-2E9C-101B-9397-08002B2CF9AE}" pid="3">
    <vt:lpwstr xmlns:vt="http://schemas.openxmlformats.org/officeDocument/2006/docPropsVTypes">1033-12.1.0.27458</vt:lpwstr>
  </property>
  <property name="CalculationRule" fmtid="{D5CDD505-2E9C-101B-9397-08002B2CF9AE}" pid="4">
    <vt:i4 xmlns:vt="http://schemas.openxmlformats.org/officeDocument/2006/docPropsVTypes">0</vt:i4>
  </property>
</Properties>
</file>